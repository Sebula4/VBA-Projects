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sebul\Desktop\"/>
    </mc:Choice>
  </mc:AlternateContent>
  <xr:revisionPtr revIDLastSave="0" documentId="13_ncr:1_{9E3084E6-9B17-4539-BC9B-1689E7BFE889}" xr6:coauthVersionLast="45" xr6:coauthVersionMax="45" xr10:uidLastSave="{00000000-0000-0000-0000-000000000000}"/>
  <bookViews>
    <workbookView xWindow="28680" yWindow="-120" windowWidth="29040" windowHeight="15840" tabRatio="651" xr2:uid="{F9F53682-8645-4276-B964-EC113D894B68}"/>
  </bookViews>
  <sheets>
    <sheet name="Setup" sheetId="1" r:id="rId1"/>
    <sheet name="Input" sheetId="2" state="hidden" r:id="rId2"/>
    <sheet name="Records" sheetId="14" state="hidden" r:id="rId3"/>
    <sheet name="Calendar" sheetId="10" state="hidden" r:id="rId4"/>
    <sheet name="Top Days" sheetId="16" state="hidden" r:id="rId5"/>
    <sheet name="Journals" sheetId="11" state="hidden" r:id="rId6"/>
    <sheet name="Tab" sheetId="13" state="hidden" r:id="rId7"/>
    <sheet name="Lookups" sheetId="15" state="hidden" r:id="rId8"/>
    <sheet name="DB" sheetId="3" state="hidden" r:id="rId9"/>
  </sheets>
  <definedNames>
    <definedName name="Bad">Setup!$C$14:$I$18</definedName>
    <definedName name="Good">Setup!$C$7:$I$11</definedName>
    <definedName name="Habits">OFFSET(Lookups!$C$1,1,0,MAX(Lookups!$A:$A),1)</definedName>
    <definedName name="weekdays">Lookups!$F$2:$G$8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 i="2" l="1"/>
  <c r="L4" i="16"/>
  <c r="L5" i="16"/>
  <c r="L6" i="16"/>
  <c r="L7" i="16"/>
  <c r="L3" i="16"/>
  <c r="A5" i="11"/>
  <c r="A8" i="11" s="1"/>
  <c r="A11" i="11" s="1"/>
  <c r="A14" i="11" s="1"/>
  <c r="A17" i="11" s="1"/>
  <c r="A20" i="11" s="1"/>
  <c r="A23" i="11" s="1"/>
  <c r="A26" i="11" s="1"/>
  <c r="A29" i="11" s="1"/>
  <c r="A32" i="11" s="1"/>
  <c r="A35" i="11" s="1"/>
  <c r="A38" i="11" s="1"/>
  <c r="A41" i="11" s="1"/>
  <c r="A44" i="11" s="1"/>
  <c r="A47" i="11" s="1"/>
  <c r="A50" i="11" s="1"/>
  <c r="XEV18" i="10" l="1"/>
  <c r="XEW18" i="10"/>
  <c r="XEX18" i="10"/>
  <c r="XEY18" i="10"/>
  <c r="XEZ18" i="10"/>
  <c r="XFA18" i="10"/>
  <c r="XFB18" i="10"/>
  <c r="XFC18" i="10"/>
  <c r="XFD18" i="10"/>
  <c r="C5" i="10"/>
  <c r="D5" i="10"/>
  <c r="E5" i="10"/>
  <c r="F5" i="10"/>
  <c r="G5" i="10"/>
  <c r="H5" i="10"/>
  <c r="I5" i="10"/>
  <c r="J5" i="10"/>
  <c r="K5" i="10"/>
  <c r="L5" i="10"/>
  <c r="M5" i="10"/>
  <c r="N5" i="10"/>
  <c r="O5" i="10"/>
  <c r="P5" i="10"/>
  <c r="Q5" i="10"/>
  <c r="R5" i="10"/>
  <c r="S5" i="10"/>
  <c r="T5" i="10"/>
  <c r="U5" i="10"/>
  <c r="V5" i="10"/>
  <c r="W5" i="10"/>
  <c r="X5" i="10"/>
  <c r="Y5" i="10"/>
  <c r="Z5" i="10"/>
  <c r="AA5" i="10"/>
  <c r="AB5" i="10"/>
  <c r="AC5" i="10"/>
  <c r="AD5" i="10"/>
  <c r="AE5" i="10"/>
  <c r="AF5" i="10"/>
  <c r="B5" i="10"/>
  <c r="A5" i="15" l="1"/>
  <c r="A11" i="15"/>
  <c r="B10" i="15"/>
  <c r="B11" i="15"/>
  <c r="B3" i="15"/>
  <c r="A3" i="15" s="1"/>
  <c r="B4" i="15"/>
  <c r="A4" i="15" s="1"/>
  <c r="B5" i="15"/>
  <c r="B6" i="15"/>
  <c r="A6" i="15" s="1"/>
  <c r="B7" i="15"/>
  <c r="B8" i="15"/>
  <c r="B9" i="15"/>
  <c r="B2" i="15"/>
  <c r="A2" i="15" s="1"/>
  <c r="I54" i="14"/>
  <c r="H54" i="14"/>
  <c r="G54" i="14"/>
  <c r="F54" i="14"/>
  <c r="E54" i="14"/>
  <c r="D54" i="14"/>
  <c r="C54" i="14"/>
  <c r="B54" i="14"/>
  <c r="A54" i="14"/>
  <c r="I53" i="14"/>
  <c r="E52" i="14"/>
  <c r="F53" i="14" s="1"/>
  <c r="I52" i="14"/>
  <c r="I48" i="14"/>
  <c r="I47" i="14"/>
  <c r="E47" i="14"/>
  <c r="F48" i="14" s="1"/>
  <c r="I49" i="14"/>
  <c r="H49" i="14"/>
  <c r="G49" i="14"/>
  <c r="F49" i="14"/>
  <c r="E49" i="14"/>
  <c r="D49" i="14"/>
  <c r="C49" i="14"/>
  <c r="B49" i="14"/>
  <c r="A49" i="14"/>
  <c r="I34" i="14"/>
  <c r="H34" i="14"/>
  <c r="G34" i="14"/>
  <c r="F34" i="14"/>
  <c r="E34" i="14"/>
  <c r="D34" i="14"/>
  <c r="C34" i="14"/>
  <c r="B34" i="14"/>
  <c r="A34" i="14"/>
  <c r="E32" i="14"/>
  <c r="F33" i="14" s="1"/>
  <c r="I33" i="14"/>
  <c r="I32" i="14"/>
  <c r="I29" i="14"/>
  <c r="H29" i="14"/>
  <c r="G29" i="14"/>
  <c r="F29" i="14"/>
  <c r="E29" i="14"/>
  <c r="D29" i="14"/>
  <c r="C29" i="14"/>
  <c r="B29" i="14"/>
  <c r="A29" i="14"/>
  <c r="I28" i="14"/>
  <c r="I27" i="14"/>
  <c r="E27" i="14"/>
  <c r="F28" i="14" s="1"/>
  <c r="I24" i="14"/>
  <c r="H24" i="14"/>
  <c r="G24" i="14"/>
  <c r="F24" i="14"/>
  <c r="E24" i="14"/>
  <c r="D24" i="14"/>
  <c r="C24" i="14"/>
  <c r="B24" i="14"/>
  <c r="A24" i="14"/>
  <c r="I23" i="14"/>
  <c r="I22" i="14"/>
  <c r="E22" i="14"/>
  <c r="F23" i="14" s="1"/>
  <c r="I19" i="14"/>
  <c r="H19" i="14"/>
  <c r="G19" i="14"/>
  <c r="F19" i="14"/>
  <c r="E19" i="14"/>
  <c r="D19" i="14"/>
  <c r="C19" i="14"/>
  <c r="B19" i="14"/>
  <c r="A19" i="14"/>
  <c r="I18" i="14"/>
  <c r="I17" i="14"/>
  <c r="E17" i="14"/>
  <c r="F18" i="14" s="1"/>
  <c r="I44" i="14"/>
  <c r="H44" i="14"/>
  <c r="G44" i="14"/>
  <c r="F44" i="14"/>
  <c r="E44" i="14"/>
  <c r="D44" i="14"/>
  <c r="C44" i="14"/>
  <c r="B44" i="14"/>
  <c r="A44" i="14"/>
  <c r="I59" i="14"/>
  <c r="H59" i="14"/>
  <c r="G59" i="14"/>
  <c r="F59" i="14"/>
  <c r="E59" i="14"/>
  <c r="D59" i="14"/>
  <c r="C59" i="14"/>
  <c r="B59" i="14"/>
  <c r="A59" i="14"/>
  <c r="I58" i="14"/>
  <c r="I57" i="14"/>
  <c r="E57" i="14"/>
  <c r="I39" i="14"/>
  <c r="H39" i="14"/>
  <c r="G39" i="14"/>
  <c r="F39" i="14"/>
  <c r="E39" i="14"/>
  <c r="D39" i="14"/>
  <c r="C39" i="14"/>
  <c r="B39" i="14"/>
  <c r="A39" i="14"/>
  <c r="E37" i="14"/>
  <c r="F38" i="14" s="1"/>
  <c r="I38" i="14"/>
  <c r="I37" i="14"/>
  <c r="I13" i="14"/>
  <c r="I12" i="14"/>
  <c r="I14" i="14"/>
  <c r="H14" i="14"/>
  <c r="G14" i="14"/>
  <c r="F14" i="14"/>
  <c r="E14" i="14"/>
  <c r="D14" i="14"/>
  <c r="C14" i="14"/>
  <c r="B14" i="14"/>
  <c r="A14" i="14"/>
  <c r="I9" i="14"/>
  <c r="H9" i="14"/>
  <c r="G9" i="14"/>
  <c r="F9" i="14"/>
  <c r="E9" i="14"/>
  <c r="D9" i="14"/>
  <c r="C9" i="14"/>
  <c r="B9" i="14"/>
  <c r="A9" i="14"/>
  <c r="E12" i="14"/>
  <c r="F13" i="14" s="1"/>
  <c r="I8" i="14"/>
  <c r="I7" i="14"/>
  <c r="E7" i="14"/>
  <c r="F8" i="14" s="1"/>
  <c r="F43" i="14"/>
  <c r="A7" i="15" l="1"/>
  <c r="A8" i="15" l="1"/>
  <c r="C2" i="15"/>
  <c r="A9" i="15"/>
  <c r="A10" i="15"/>
  <c r="C5" i="15" l="1"/>
  <c r="C3" i="15"/>
  <c r="C4" i="15"/>
  <c r="C7" i="15"/>
  <c r="C8" i="15"/>
  <c r="C10" i="15"/>
  <c r="C9" i="15"/>
  <c r="C11" i="15"/>
  <c r="C6" i="15"/>
  <c r="F53" i="2" l="1"/>
  <c r="F48" i="2"/>
  <c r="F43" i="2"/>
  <c r="F38" i="2"/>
  <c r="F33" i="2"/>
  <c r="F48" i="13"/>
  <c r="F43" i="13"/>
  <c r="F38" i="13"/>
  <c r="F33" i="13"/>
  <c r="F28" i="13"/>
  <c r="F23" i="13"/>
  <c r="F18" i="13"/>
  <c r="F13" i="13"/>
  <c r="F8" i="13"/>
  <c r="F28" i="2"/>
  <c r="F23" i="2"/>
  <c r="F18" i="2"/>
  <c r="F13" i="2"/>
  <c r="F8" i="2"/>
  <c r="AL1" i="3" l="1"/>
  <c r="AH1" i="3"/>
  <c r="AD1" i="3"/>
  <c r="Z1" i="3"/>
  <c r="V1" i="3"/>
  <c r="R1" i="3"/>
  <c r="N1" i="3"/>
  <c r="A9" i="10" s="1"/>
  <c r="J1" i="3"/>
  <c r="AS1" i="3"/>
  <c r="F1" i="3"/>
  <c r="A7" i="10" s="1"/>
  <c r="A36" i="14" l="1"/>
  <c r="A37" i="14" s="1"/>
  <c r="A13" i="10"/>
  <c r="A16" i="14"/>
  <c r="A17" i="14" s="1"/>
  <c r="A8" i="10"/>
  <c r="A26" i="14"/>
  <c r="A27" i="14" s="1"/>
  <c r="A10" i="10"/>
  <c r="A46" i="14"/>
  <c r="A47" i="14" s="1"/>
  <c r="A15" i="10"/>
  <c r="A31" i="14"/>
  <c r="A32" i="14" s="1"/>
  <c r="A12" i="10"/>
  <c r="A51" i="14"/>
  <c r="A52" i="14" s="1"/>
  <c r="A16" i="10"/>
  <c r="A41" i="14"/>
  <c r="A42" i="14" s="1"/>
  <c r="A14" i="10"/>
  <c r="O1" i="3"/>
  <c r="A21" i="14"/>
  <c r="A22" i="14" s="1"/>
  <c r="I1" i="3"/>
  <c r="A11" i="14"/>
  <c r="A12" i="14" s="1"/>
  <c r="H1" i="3"/>
  <c r="A46" i="13"/>
  <c r="A47" i="13" s="1"/>
  <c r="A46" i="2"/>
  <c r="A47" i="2" s="1"/>
  <c r="Y1" i="3"/>
  <c r="A31" i="13"/>
  <c r="A32" i="13" s="1"/>
  <c r="A31" i="2"/>
  <c r="AK1" i="3"/>
  <c r="AC1" i="3"/>
  <c r="A36" i="13"/>
  <c r="A37" i="13" s="1"/>
  <c r="A36" i="2"/>
  <c r="A26" i="13"/>
  <c r="A27" i="13" s="1"/>
  <c r="A26" i="2"/>
  <c r="A27" i="2" s="1"/>
  <c r="U1" i="3"/>
  <c r="M1" i="3"/>
  <c r="A16" i="2"/>
  <c r="A16" i="13"/>
  <c r="A17" i="13" s="1"/>
  <c r="AO1" i="3"/>
  <c r="A51" i="13"/>
  <c r="A52" i="13" s="1"/>
  <c r="A51" i="2"/>
  <c r="G1" i="3"/>
  <c r="A11" i="13"/>
  <c r="A12" i="13" s="1"/>
  <c r="Q1" i="3"/>
  <c r="A21" i="2"/>
  <c r="A21" i="13"/>
  <c r="A22" i="13" s="1"/>
  <c r="AG1" i="3"/>
  <c r="A41" i="2"/>
  <c r="A42" i="2" s="1"/>
  <c r="A41" i="13"/>
  <c r="A42" i="13" s="1"/>
  <c r="AE1" i="3"/>
  <c r="AF1" i="3"/>
  <c r="AM1" i="3"/>
  <c r="AN1" i="3"/>
  <c r="AI1" i="3"/>
  <c r="AJ1" i="3"/>
  <c r="AA1" i="3"/>
  <c r="AB1" i="3"/>
  <c r="W1" i="3"/>
  <c r="X1" i="3"/>
  <c r="T1" i="3"/>
  <c r="S1" i="3"/>
  <c r="P1" i="3"/>
  <c r="K1" i="3"/>
  <c r="L1" i="3"/>
  <c r="A17" i="2"/>
  <c r="A22" i="2"/>
  <c r="B1" i="3"/>
  <c r="I29" i="11" l="1"/>
  <c r="A6" i="14"/>
  <c r="A7" i="14" s="1"/>
  <c r="A6" i="10"/>
  <c r="A52" i="2"/>
  <c r="E1" i="3"/>
  <c r="A6" i="13"/>
  <c r="A7" i="13" s="1"/>
  <c r="D1" i="3"/>
  <c r="C1" i="3"/>
  <c r="A32" i="2"/>
  <c r="A11" i="2"/>
  <c r="A12" i="2" s="1"/>
  <c r="A37" i="2"/>
  <c r="A6" i="2"/>
  <c r="A7" i="2" s="1"/>
  <c r="H19" i="10" l="1"/>
  <c r="A27" i="11"/>
  <c r="A21" i="11"/>
  <c r="A18" i="11"/>
  <c r="I14" i="11"/>
  <c r="F8" i="11"/>
  <c r="A11" i="16"/>
  <c r="I11" i="11"/>
  <c r="A33" i="11"/>
  <c r="F29" i="11"/>
  <c r="A24" i="11"/>
  <c r="F20" i="11"/>
  <c r="I17" i="11"/>
  <c r="A12" i="11"/>
  <c r="A14" i="16"/>
  <c r="A9" i="11"/>
  <c r="A17" i="16"/>
  <c r="I23" i="11"/>
  <c r="A15" i="11"/>
  <c r="F11" i="11"/>
  <c r="A6" i="11"/>
  <c r="I8" i="11"/>
  <c r="A5" i="16"/>
  <c r="F32" i="11"/>
  <c r="F26" i="11"/>
  <c r="I20" i="11"/>
  <c r="I32" i="11"/>
  <c r="I26" i="11"/>
  <c r="F23" i="11"/>
  <c r="F17" i="11"/>
  <c r="F14" i="11"/>
  <c r="F5" i="11"/>
  <c r="I5" i="11"/>
  <c r="A8" i="16"/>
  <c r="A30" i="11"/>
  <c r="I35" i="11"/>
  <c r="A36" i="11"/>
  <c r="F35" i="11"/>
  <c r="VGA19" i="10"/>
  <c r="TYQ19" i="10"/>
  <c r="XBI19" i="10"/>
  <c r="C19" i="10"/>
  <c r="WUK19" i="10"/>
  <c r="WXU19" i="10"/>
  <c r="G19" i="10"/>
  <c r="E19" i="10"/>
  <c r="WXE19" i="10"/>
  <c r="WPM19" i="10"/>
  <c r="WZX19" i="10"/>
  <c r="WMR19" i="10"/>
  <c r="XEE19" i="10"/>
  <c r="WUY19" i="10"/>
  <c r="WOY19" i="10"/>
  <c r="WFW19" i="10"/>
  <c r="VZW19" i="10"/>
  <c r="VQU19" i="10"/>
  <c r="VKU19" i="10"/>
  <c r="VEQ19" i="10"/>
  <c r="VCE19" i="10"/>
  <c r="UYM19" i="10"/>
  <c r="UWA19" i="10"/>
  <c r="USI19" i="10"/>
  <c r="UPW19" i="10"/>
  <c r="UME19" i="10"/>
  <c r="UIM19" i="10"/>
  <c r="UGA19" i="10"/>
  <c r="UBC19" i="10"/>
  <c r="G12" i="10"/>
  <c r="Q19" i="10"/>
  <c r="C18" i="10"/>
  <c r="S18" i="10"/>
  <c r="AH18" i="10"/>
  <c r="AX18" i="10"/>
  <c r="BN18" i="10"/>
  <c r="CD18" i="10"/>
  <c r="CT18" i="10"/>
  <c r="DJ18" i="10"/>
  <c r="DZ18" i="10"/>
  <c r="EP18" i="10"/>
  <c r="Z19" i="10"/>
  <c r="L18" i="10"/>
  <c r="AB18" i="10"/>
  <c r="AQ18" i="10"/>
  <c r="BG18" i="10"/>
  <c r="BW18" i="10"/>
  <c r="CM18" i="10"/>
  <c r="DC18" i="10"/>
  <c r="DS18" i="10"/>
  <c r="EI18" i="10"/>
  <c r="EY18" i="10"/>
  <c r="FO18" i="10"/>
  <c r="GE18" i="10"/>
  <c r="GU18" i="10"/>
  <c r="HK18" i="10"/>
  <c r="IA18" i="10"/>
  <c r="IQ18" i="10"/>
  <c r="JG18" i="10"/>
  <c r="JW18" i="10"/>
  <c r="KM18" i="10"/>
  <c r="LC18" i="10"/>
  <c r="AA19" i="10"/>
  <c r="AC18" i="10"/>
  <c r="BH18" i="10"/>
  <c r="CN18" i="10"/>
  <c r="DT18" i="10"/>
  <c r="EX18" i="10"/>
  <c r="FT18" i="10"/>
  <c r="GO18" i="10"/>
  <c r="HJ18" i="10"/>
  <c r="IF18" i="10"/>
  <c r="JA18" i="10"/>
  <c r="JV18" i="10"/>
  <c r="KR18" i="10"/>
  <c r="LM18" i="10"/>
  <c r="MC18" i="10"/>
  <c r="MS18" i="10"/>
  <c r="NI18" i="10"/>
  <c r="NY18" i="10"/>
  <c r="OO18" i="10"/>
  <c r="PE18" i="10"/>
  <c r="PU18" i="10"/>
  <c r="T19" i="10"/>
  <c r="V18" i="10"/>
  <c r="BA18" i="10"/>
  <c r="CG18" i="10"/>
  <c r="DM18" i="10"/>
  <c r="ES18" i="10"/>
  <c r="FP18" i="10"/>
  <c r="GK18" i="10"/>
  <c r="HF18" i="10"/>
  <c r="IB18" i="10"/>
  <c r="IW18" i="10"/>
  <c r="JR18" i="10"/>
  <c r="KN18" i="10"/>
  <c r="LI18" i="10"/>
  <c r="AN18" i="10"/>
  <c r="CZ18" i="10"/>
  <c r="FF18" i="10"/>
  <c r="GW18" i="10"/>
  <c r="IN18" i="10"/>
  <c r="KD18" i="10"/>
  <c r="LP18" i="10"/>
  <c r="ML18" i="10"/>
  <c r="NG18" i="10"/>
  <c r="OB18" i="10"/>
  <c r="OX18" i="10"/>
  <c r="PS18" i="10"/>
  <c r="QM18" i="10"/>
  <c r="RC18" i="10"/>
  <c r="RS18" i="10"/>
  <c r="SI18" i="10"/>
  <c r="SY18" i="10"/>
  <c r="TO18" i="10"/>
  <c r="UE18" i="10"/>
  <c r="UU18" i="10"/>
  <c r="VK18" i="10"/>
  <c r="WA18" i="10"/>
  <c r="WQ18" i="10"/>
  <c r="XG18" i="10"/>
  <c r="XW18" i="10"/>
  <c r="YM18" i="10"/>
  <c r="ZC18" i="10"/>
  <c r="ZS18" i="10"/>
  <c r="AAI18" i="10"/>
  <c r="AAY18" i="10"/>
  <c r="ABO18" i="10"/>
  <c r="ACE18" i="10"/>
  <c r="ACU18" i="10"/>
  <c r="ADK18" i="10"/>
  <c r="AEA18" i="10"/>
  <c r="AEQ18" i="10"/>
  <c r="AFG18" i="10"/>
  <c r="AFW18" i="10"/>
  <c r="AGM18" i="10"/>
  <c r="AHC18" i="10"/>
  <c r="AHS18" i="10"/>
  <c r="AII18" i="10"/>
  <c r="J18" i="10"/>
  <c r="BU18" i="10"/>
  <c r="EG18" i="10"/>
  <c r="GC18" i="10"/>
  <c r="HT18" i="10"/>
  <c r="JJ18" i="10"/>
  <c r="LA18" i="10"/>
  <c r="MB18" i="10"/>
  <c r="MX18" i="10"/>
  <c r="NS18" i="10"/>
  <c r="ON18" i="10"/>
  <c r="PJ18" i="10"/>
  <c r="QE18" i="10"/>
  <c r="QV18" i="10"/>
  <c r="RL18" i="10"/>
  <c r="SB18" i="10"/>
  <c r="SR18" i="10"/>
  <c r="TH18" i="10"/>
  <c r="TX18" i="10"/>
  <c r="UN18" i="10"/>
  <c r="VD18" i="10"/>
  <c r="VT18" i="10"/>
  <c r="WJ18" i="10"/>
  <c r="WZ18" i="10"/>
  <c r="XP18" i="10"/>
  <c r="YF18" i="10"/>
  <c r="YV18" i="10"/>
  <c r="ZL18" i="10"/>
  <c r="AAB18" i="10"/>
  <c r="AAR18" i="10"/>
  <c r="ABH18" i="10"/>
  <c r="ABX18" i="10"/>
  <c r="ACN18" i="10"/>
  <c r="B18" i="10"/>
  <c r="FA18" i="10"/>
  <c r="IH18" i="10"/>
  <c r="LN18" i="10"/>
  <c r="ND18" i="10"/>
  <c r="OU18" i="10"/>
  <c r="QK18" i="10"/>
  <c r="RQ18" i="10"/>
  <c r="SW18" i="10"/>
  <c r="UC18" i="10"/>
  <c r="VI18" i="10"/>
  <c r="WO18" i="10"/>
  <c r="XU18" i="10"/>
  <c r="ZA18" i="10"/>
  <c r="AAG18" i="10"/>
  <c r="ABM18" i="10"/>
  <c r="ACS18" i="10"/>
  <c r="ADP18" i="10"/>
  <c r="AEK18" i="10"/>
  <c r="AFF18" i="10"/>
  <c r="AGB18" i="10"/>
  <c r="AGW18" i="10"/>
  <c r="AHR18" i="10"/>
  <c r="AIN18" i="10"/>
  <c r="AJE18" i="10"/>
  <c r="AJU18" i="10"/>
  <c r="AKK18" i="10"/>
  <c r="ALA18" i="10"/>
  <c r="ALQ18" i="10"/>
  <c r="AMG18" i="10"/>
  <c r="AMW18" i="10"/>
  <c r="ANM18" i="10"/>
  <c r="AOC18" i="10"/>
  <c r="AOS18" i="10"/>
  <c r="API18" i="10"/>
  <c r="APY18" i="10"/>
  <c r="AQO18" i="10"/>
  <c r="ARE18" i="10"/>
  <c r="ARU18" i="10"/>
  <c r="ASK18" i="10"/>
  <c r="ATA18" i="10"/>
  <c r="ATQ18" i="10"/>
  <c r="AUG18" i="10"/>
  <c r="AUW18" i="10"/>
  <c r="AVM18" i="10"/>
  <c r="AWC18" i="10"/>
  <c r="AWS18" i="10"/>
  <c r="AXI18" i="10"/>
  <c r="AXY18" i="10"/>
  <c r="AYO18" i="10"/>
  <c r="AZE18" i="10"/>
  <c r="AZU18" i="10"/>
  <c r="BAK18" i="10"/>
  <c r="BBA18" i="10"/>
  <c r="BBQ18" i="10"/>
  <c r="BCG18" i="10"/>
  <c r="BCW18" i="10"/>
  <c r="BDM18" i="10"/>
  <c r="BEC18" i="10"/>
  <c r="BES18" i="10"/>
  <c r="BFI18" i="10"/>
  <c r="BFY18" i="10"/>
  <c r="BGO18" i="10"/>
  <c r="BHE18" i="10"/>
  <c r="BHU18" i="10"/>
  <c r="BIK18" i="10"/>
  <c r="BJA18" i="10"/>
  <c r="BJQ18" i="10"/>
  <c r="BKG18" i="10"/>
  <c r="CS18" i="10"/>
  <c r="GS18" i="10"/>
  <c r="JZ18" i="10"/>
  <c r="MJ18" i="10"/>
  <c r="OA18" i="10"/>
  <c r="PR18" i="10"/>
  <c r="RB18" i="10"/>
  <c r="SH18" i="10"/>
  <c r="TN18" i="10"/>
  <c r="UT18" i="10"/>
  <c r="VZ18" i="10"/>
  <c r="XF18" i="10"/>
  <c r="YL18" i="10"/>
  <c r="ZR18" i="10"/>
  <c r="AAX18" i="10"/>
  <c r="ACD18" i="10"/>
  <c r="ADF18" i="10"/>
  <c r="AEB18" i="10"/>
  <c r="AEW18" i="10"/>
  <c r="AFR18" i="10"/>
  <c r="AGN18" i="10"/>
  <c r="AHI18" i="10"/>
  <c r="AID18" i="10"/>
  <c r="AIX18" i="10"/>
  <c r="AJN18" i="10"/>
  <c r="AKD18" i="10"/>
  <c r="AKT18" i="10"/>
  <c r="ALJ18" i="10"/>
  <c r="ALZ18" i="10"/>
  <c r="AMP18" i="10"/>
  <c r="ANF18" i="10"/>
  <c r="ANV18" i="10"/>
  <c r="AOL18" i="10"/>
  <c r="APB18" i="10"/>
  <c r="APR18" i="10"/>
  <c r="AQH18" i="10"/>
  <c r="AQX18" i="10"/>
  <c r="ARN18" i="10"/>
  <c r="ASD18" i="10"/>
  <c r="AST18" i="10"/>
  <c r="ATJ18" i="10"/>
  <c r="ATZ18" i="10"/>
  <c r="CB18" i="10"/>
  <c r="JN18" i="10"/>
  <c r="NT18" i="10"/>
  <c r="QW18" i="10"/>
  <c r="TI18" i="10"/>
  <c r="VU18" i="10"/>
  <c r="YG18" i="10"/>
  <c r="AAS18" i="10"/>
  <c r="ADB18" i="10"/>
  <c r="AES18" i="10"/>
  <c r="AGJ18" i="10"/>
  <c r="AHZ18" i="10"/>
  <c r="AJK18" i="10"/>
  <c r="AKQ18" i="10"/>
  <c r="ALW18" i="10"/>
  <c r="ANC18" i="10"/>
  <c r="AOI18" i="10"/>
  <c r="APO18" i="10"/>
  <c r="AQU18" i="10"/>
  <c r="ASA18" i="10"/>
  <c r="ATG18" i="10"/>
  <c r="AUL18" i="10"/>
  <c r="AVG18" i="10"/>
  <c r="AWB18" i="10"/>
  <c r="AWX18" i="10"/>
  <c r="AXS18" i="10"/>
  <c r="AYN18" i="10"/>
  <c r="AZJ18" i="10"/>
  <c r="BAE18" i="10"/>
  <c r="BAZ18" i="10"/>
  <c r="BBV18" i="10"/>
  <c r="BCQ18" i="10"/>
  <c r="BDL18" i="10"/>
  <c r="BEH18" i="10"/>
  <c r="BFC18" i="10"/>
  <c r="BFX18" i="10"/>
  <c r="BGT18" i="10"/>
  <c r="BHO18" i="10"/>
  <c r="BIJ18" i="10"/>
  <c r="BJF18" i="10"/>
  <c r="BKA18" i="10"/>
  <c r="BKS18" i="10"/>
  <c r="BLI18" i="10"/>
  <c r="BLY18" i="10"/>
  <c r="BMO18" i="10"/>
  <c r="BNE18" i="10"/>
  <c r="BNU18" i="10"/>
  <c r="BOK18" i="10"/>
  <c r="BPA18" i="10"/>
  <c r="BPQ18" i="10"/>
  <c r="BQG18" i="10"/>
  <c r="BQW18" i="10"/>
  <c r="BRM18" i="10"/>
  <c r="BSC18" i="10"/>
  <c r="BSS18" i="10"/>
  <c r="BTI18" i="10"/>
  <c r="BTY18" i="10"/>
  <c r="BUO18" i="10"/>
  <c r="BVE18" i="10"/>
  <c r="BVU18" i="10"/>
  <c r="BWK18" i="10"/>
  <c r="BXA18" i="10"/>
  <c r="BXQ18" i="10"/>
  <c r="EO18" i="10"/>
  <c r="LF18" i="10"/>
  <c r="OQ18" i="10"/>
  <c r="RN18" i="10"/>
  <c r="TZ18" i="10"/>
  <c r="WL18" i="10"/>
  <c r="YX18" i="10"/>
  <c r="ABJ18" i="10"/>
  <c r="ADN18" i="10"/>
  <c r="AFE18" i="10"/>
  <c r="AGV18" i="10"/>
  <c r="AIL18" i="10"/>
  <c r="AJT18" i="10"/>
  <c r="AKZ18" i="10"/>
  <c r="AMF18" i="10"/>
  <c r="ANL18" i="10"/>
  <c r="AOR18" i="10"/>
  <c r="APX18" i="10"/>
  <c r="ARD18" i="10"/>
  <c r="ASJ18" i="10"/>
  <c r="ATP18" i="10"/>
  <c r="AUR18" i="10"/>
  <c r="AVN18" i="10"/>
  <c r="AWI18" i="10"/>
  <c r="AXD18" i="10"/>
  <c r="AXZ18" i="10"/>
  <c r="AYU18" i="10"/>
  <c r="AZP18" i="10"/>
  <c r="BAL18" i="10"/>
  <c r="BBG18" i="10"/>
  <c r="BCB18" i="10"/>
  <c r="BCX18" i="10"/>
  <c r="BDS18" i="10"/>
  <c r="BEN18" i="10"/>
  <c r="BFJ18" i="10"/>
  <c r="BGE18" i="10"/>
  <c r="BGZ18" i="10"/>
  <c r="BHV18" i="10"/>
  <c r="BIQ18" i="10"/>
  <c r="BJL18" i="10"/>
  <c r="BKH18" i="10"/>
  <c r="BKX18" i="10"/>
  <c r="BLN18" i="10"/>
  <c r="BMD18" i="10"/>
  <c r="BMT18" i="10"/>
  <c r="BNJ18" i="10"/>
  <c r="BNZ18" i="10"/>
  <c r="BOP18" i="10"/>
  <c r="BPF18" i="10"/>
  <c r="BPV18" i="10"/>
  <c r="BQL18" i="10"/>
  <c r="BRB18" i="10"/>
  <c r="BRR18" i="10"/>
  <c r="BSH18" i="10"/>
  <c r="BSX18" i="10"/>
  <c r="BTN18" i="10"/>
  <c r="BUD18" i="10"/>
  <c r="BUT18" i="10"/>
  <c r="BVJ18" i="10"/>
  <c r="BVZ18" i="10"/>
  <c r="BWP18" i="10"/>
  <c r="BXF18" i="10"/>
  <c r="BXV18" i="10"/>
  <c r="HB18" i="10"/>
  <c r="MN18" i="10"/>
  <c r="PV18" i="10"/>
  <c r="SK18" i="10"/>
  <c r="UW18" i="10"/>
  <c r="XI18" i="10"/>
  <c r="ZU18" i="10"/>
  <c r="ACG18" i="10"/>
  <c r="AEC18" i="10"/>
  <c r="AFT18" i="10"/>
  <c r="AHJ18" i="10"/>
  <c r="AIY18" i="10"/>
  <c r="AKE18" i="10"/>
  <c r="ALK18" i="10"/>
  <c r="AMQ18" i="10"/>
  <c r="ANW18" i="10"/>
  <c r="APC18" i="10"/>
  <c r="AQI18" i="10"/>
  <c r="ARO18" i="10"/>
  <c r="ASU18" i="10"/>
  <c r="AUA18" i="10"/>
  <c r="NK18" i="10"/>
  <c r="XZ18" i="10"/>
  <c r="AGF18" i="10"/>
  <c r="ALT18" i="10"/>
  <c r="AQR18" i="10"/>
  <c r="AUU18" i="10"/>
  <c r="AWL18" i="10"/>
  <c r="AYB18" i="10"/>
  <c r="AZS18" i="10"/>
  <c r="BBJ18" i="10"/>
  <c r="BCZ18" i="10"/>
  <c r="BEQ18" i="10"/>
  <c r="BGH18" i="10"/>
  <c r="BHX18" i="10"/>
  <c r="BJO18" i="10"/>
  <c r="BKZ18" i="10"/>
  <c r="BMF18" i="10"/>
  <c r="BNL18" i="10"/>
  <c r="BOR18" i="10"/>
  <c r="BPX18" i="10"/>
  <c r="BRD18" i="10"/>
  <c r="BSJ18" i="10"/>
  <c r="BTP18" i="10"/>
  <c r="BUV18" i="10"/>
  <c r="BWB18" i="10"/>
  <c r="BXH18" i="10"/>
  <c r="BYF18" i="10"/>
  <c r="BYV18" i="10"/>
  <c r="BZL18" i="10"/>
  <c r="CAB18" i="10"/>
  <c r="CAR18" i="10"/>
  <c r="CBH18" i="10"/>
  <c r="CBX18" i="10"/>
  <c r="CCN18" i="10"/>
  <c r="CDD18" i="10"/>
  <c r="CDT18" i="10"/>
  <c r="CEJ18" i="10"/>
  <c r="CEZ18" i="10"/>
  <c r="CFP18" i="10"/>
  <c r="CGF18" i="10"/>
  <c r="CGV18" i="10"/>
  <c r="CHL18" i="10"/>
  <c r="CIB18" i="10"/>
  <c r="RF18" i="10"/>
  <c r="ABB18" i="10"/>
  <c r="AIG18" i="10"/>
  <c r="ANH18" i="10"/>
  <c r="ASF18" i="10"/>
  <c r="AVJ18" i="10"/>
  <c r="AWZ18" i="10"/>
  <c r="AYQ18" i="10"/>
  <c r="BAH18" i="10"/>
  <c r="BBX18" i="10"/>
  <c r="BDO18" i="10"/>
  <c r="BFF18" i="10"/>
  <c r="BGV18" i="10"/>
  <c r="BIM18" i="10"/>
  <c r="BKD18" i="10"/>
  <c r="BLK18" i="10"/>
  <c r="BMQ18" i="10"/>
  <c r="BNW18" i="10"/>
  <c r="BPC18" i="10"/>
  <c r="BQI18" i="10"/>
  <c r="BRO18" i="10"/>
  <c r="BSU18" i="10"/>
  <c r="BUA18" i="10"/>
  <c r="BVG18" i="10"/>
  <c r="BWM18" i="10"/>
  <c r="BXS18" i="10"/>
  <c r="BYK18" i="10"/>
  <c r="BZA18" i="10"/>
  <c r="BZQ18" i="10"/>
  <c r="CAG18" i="10"/>
  <c r="CAW18" i="10"/>
  <c r="CBM18" i="10"/>
  <c r="CCC18" i="10"/>
  <c r="CCS18" i="10"/>
  <c r="CDI18" i="10"/>
  <c r="CDY18" i="10"/>
  <c r="CEO18" i="10"/>
  <c r="CFE18" i="10"/>
  <c r="CFU18" i="10"/>
  <c r="CGK18" i="10"/>
  <c r="CHA18" i="10"/>
  <c r="CHQ18" i="10"/>
  <c r="FM18" i="10"/>
  <c r="UH18" i="10"/>
  <c r="ADT18" i="10"/>
  <c r="AJX18" i="10"/>
  <c r="AOV18" i="10"/>
  <c r="ATT18" i="10"/>
  <c r="AVV18" i="10"/>
  <c r="AXL18" i="10"/>
  <c r="AZC18" i="10"/>
  <c r="BAT18" i="10"/>
  <c r="BCJ18" i="10"/>
  <c r="BEA18" i="10"/>
  <c r="BFR18" i="10"/>
  <c r="BHH18" i="10"/>
  <c r="BIY18" i="10"/>
  <c r="BKN18" i="10"/>
  <c r="BLT18" i="10"/>
  <c r="BMZ18" i="10"/>
  <c r="BOF18" i="10"/>
  <c r="BPL18" i="10"/>
  <c r="BQR18" i="10"/>
  <c r="BRX18" i="10"/>
  <c r="BTD18" i="10"/>
  <c r="BUJ18" i="10"/>
  <c r="BVP18" i="10"/>
  <c r="BWV18" i="10"/>
  <c r="BXZ18" i="10"/>
  <c r="BYP18" i="10"/>
  <c r="BZF18" i="10"/>
  <c r="BZV18" i="10"/>
  <c r="CAL18" i="10"/>
  <c r="CBB18" i="10"/>
  <c r="CBR18" i="10"/>
  <c r="CCH18" i="10"/>
  <c r="CCX18" i="10"/>
  <c r="CDN18" i="10"/>
  <c r="CED18" i="10"/>
  <c r="CET18" i="10"/>
  <c r="CFJ18" i="10"/>
  <c r="CFZ18" i="10"/>
  <c r="CGP18" i="10"/>
  <c r="CHF18" i="10"/>
  <c r="CHV18" i="10"/>
  <c r="AED18" i="10"/>
  <c r="AVZ18" i="10"/>
  <c r="BCN18" i="10"/>
  <c r="BJC18" i="10"/>
  <c r="BOI18" i="10"/>
  <c r="BTG18" i="10"/>
  <c r="BYA18" i="10"/>
  <c r="CAM18" i="10"/>
  <c r="CCY18" i="10"/>
  <c r="CFK18" i="10"/>
  <c r="CHW18" i="10"/>
  <c r="CIR18" i="10"/>
  <c r="CJH18" i="10"/>
  <c r="CJX18" i="10"/>
  <c r="CKN18" i="10"/>
  <c r="CLD18" i="10"/>
  <c r="CLT18" i="10"/>
  <c r="CMJ18" i="10"/>
  <c r="CMZ18" i="10"/>
  <c r="CNP18" i="10"/>
  <c r="COF18" i="10"/>
  <c r="COV18" i="10"/>
  <c r="CPL18" i="10"/>
  <c r="CQB18" i="10"/>
  <c r="CQR18" i="10"/>
  <c r="CRH18" i="10"/>
  <c r="CRX18" i="10"/>
  <c r="CSN18" i="10"/>
  <c r="CTD18" i="10"/>
  <c r="CTT18" i="10"/>
  <c r="CUJ18" i="10"/>
  <c r="CUZ18" i="10"/>
  <c r="CVP18" i="10"/>
  <c r="CWF18" i="10"/>
  <c r="CWV18" i="10"/>
  <c r="CXL18" i="10"/>
  <c r="CYB18" i="10"/>
  <c r="CYR18" i="10"/>
  <c r="CZH18" i="10"/>
  <c r="CZX18" i="10"/>
  <c r="DAN18" i="10"/>
  <c r="DBD18" i="10"/>
  <c r="DBT18" i="10"/>
  <c r="DCJ18" i="10"/>
  <c r="DCZ18" i="10"/>
  <c r="DDP18" i="10"/>
  <c r="DEF18" i="10"/>
  <c r="DEV18" i="10"/>
  <c r="DFL18" i="10"/>
  <c r="DGB18" i="10"/>
  <c r="DGR18" i="10"/>
  <c r="DHH18" i="10"/>
  <c r="DHX18" i="10"/>
  <c r="DIN18" i="10"/>
  <c r="DJD18" i="10"/>
  <c r="DJT18" i="10"/>
  <c r="DKJ18" i="10"/>
  <c r="DKZ18" i="10"/>
  <c r="DLP18" i="10"/>
  <c r="DMF18" i="10"/>
  <c r="DMV18" i="10"/>
  <c r="DNL18" i="10"/>
  <c r="DOB18" i="10"/>
  <c r="DOR18" i="10"/>
  <c r="DPH18" i="10"/>
  <c r="DPX18" i="10"/>
  <c r="DQN18" i="10"/>
  <c r="DRD18" i="10"/>
  <c r="DRT18" i="10"/>
  <c r="DSJ18" i="10"/>
  <c r="DSZ18" i="10"/>
  <c r="DTP18" i="10"/>
  <c r="DUF18" i="10"/>
  <c r="DUV18" i="10"/>
  <c r="DVL18" i="10"/>
  <c r="DWB18" i="10"/>
  <c r="DWR18" i="10"/>
  <c r="DXH18" i="10"/>
  <c r="DXX18" i="10"/>
  <c r="DYN18" i="10"/>
  <c r="DZD18" i="10"/>
  <c r="DZT18" i="10"/>
  <c r="EAJ18" i="10"/>
  <c r="EAZ18" i="10"/>
  <c r="EBP18" i="10"/>
  <c r="XJ18" i="10"/>
  <c r="AUT18" i="10"/>
  <c r="BBH18" i="10"/>
  <c r="BHW18" i="10"/>
  <c r="BNK18" i="10"/>
  <c r="BSI18" i="10"/>
  <c r="BXG18" i="10"/>
  <c r="CAA18" i="10"/>
  <c r="CCM18" i="10"/>
  <c r="CEY18" i="10"/>
  <c r="CHK18" i="10"/>
  <c r="CIO18" i="10"/>
  <c r="CJE18" i="10"/>
  <c r="CJU18" i="10"/>
  <c r="CKK18" i="10"/>
  <c r="CLA18" i="10"/>
  <c r="CLQ18" i="10"/>
  <c r="CMG18" i="10"/>
  <c r="CMW18" i="10"/>
  <c r="CNM18" i="10"/>
  <c r="COC18" i="10"/>
  <c r="COS18" i="10"/>
  <c r="CPI18" i="10"/>
  <c r="CPY18" i="10"/>
  <c r="CQO18" i="10"/>
  <c r="CRE18" i="10"/>
  <c r="CRU18" i="10"/>
  <c r="CSK18" i="10"/>
  <c r="CTA18" i="10"/>
  <c r="CTQ18" i="10"/>
  <c r="CUG18" i="10"/>
  <c r="CUW18" i="10"/>
  <c r="CVM18" i="10"/>
  <c r="CWC18" i="10"/>
  <c r="CWS18" i="10"/>
  <c r="CXI18" i="10"/>
  <c r="CXY18" i="10"/>
  <c r="CYO18" i="10"/>
  <c r="CZE18" i="10"/>
  <c r="CZU18" i="10"/>
  <c r="DAK18" i="10"/>
  <c r="DBA18" i="10"/>
  <c r="DBQ18" i="10"/>
  <c r="DCG18" i="10"/>
  <c r="DCW18" i="10"/>
  <c r="DDM18" i="10"/>
  <c r="DEC18" i="10"/>
  <c r="DES18" i="10"/>
  <c r="DFI18" i="10"/>
  <c r="DFY18" i="10"/>
  <c r="DGO18" i="10"/>
  <c r="DHE18" i="10"/>
  <c r="DHU18" i="10"/>
  <c r="DIK18" i="10"/>
  <c r="DJA18" i="10"/>
  <c r="DJQ18" i="10"/>
  <c r="DKG18" i="10"/>
  <c r="DKW18" i="10"/>
  <c r="DLM18" i="10"/>
  <c r="DMC18" i="10"/>
  <c r="DMS18" i="10"/>
  <c r="DNI18" i="10"/>
  <c r="DNY18" i="10"/>
  <c r="DOO18" i="10"/>
  <c r="DPE18" i="10"/>
  <c r="DPU18" i="10"/>
  <c r="DQK18" i="10"/>
  <c r="DRA18" i="10"/>
  <c r="DRQ18" i="10"/>
  <c r="DSG18" i="10"/>
  <c r="DSW18" i="10"/>
  <c r="DTM18" i="10"/>
  <c r="DUC18" i="10"/>
  <c r="DUS18" i="10"/>
  <c r="DVI18" i="10"/>
  <c r="DVY18" i="10"/>
  <c r="DWO18" i="10"/>
  <c r="DXE18" i="10"/>
  <c r="DXU18" i="10"/>
  <c r="DYK18" i="10"/>
  <c r="DZA18" i="10"/>
  <c r="DZQ18" i="10"/>
  <c r="EAG18" i="10"/>
  <c r="EAW18" i="10"/>
  <c r="EBM18" i="10"/>
  <c r="AMR18" i="10"/>
  <c r="AYL18" i="10"/>
  <c r="BEZ18" i="10"/>
  <c r="BLG18" i="10"/>
  <c r="BQE18" i="10"/>
  <c r="BVC18" i="10"/>
  <c r="BYY18" i="10"/>
  <c r="CBK18" i="10"/>
  <c r="CDW18" i="10"/>
  <c r="CGI18" i="10"/>
  <c r="CIH18" i="10"/>
  <c r="CIX18" i="10"/>
  <c r="CJN18" i="10"/>
  <c r="CKD18" i="10"/>
  <c r="CKT18" i="10"/>
  <c r="CLJ18" i="10"/>
  <c r="CLZ18" i="10"/>
  <c r="CMP18" i="10"/>
  <c r="CNF18" i="10"/>
  <c r="CNV18" i="10"/>
  <c r="COL18" i="10"/>
  <c r="CPB18" i="10"/>
  <c r="CPR18" i="10"/>
  <c r="CQH18" i="10"/>
  <c r="CQX18" i="10"/>
  <c r="CRN18" i="10"/>
  <c r="CSD18" i="10"/>
  <c r="CST18" i="10"/>
  <c r="CTJ18" i="10"/>
  <c r="CTZ18" i="10"/>
  <c r="CUP18" i="10"/>
  <c r="CVF18" i="10"/>
  <c r="CVV18" i="10"/>
  <c r="CWL18" i="10"/>
  <c r="CXB18" i="10"/>
  <c r="CXR18" i="10"/>
  <c r="CYH18" i="10"/>
  <c r="CYX18" i="10"/>
  <c r="CZN18" i="10"/>
  <c r="DAD18" i="10"/>
  <c r="DAT18" i="10"/>
  <c r="DBJ18" i="10"/>
  <c r="DBZ18" i="10"/>
  <c r="DCP18" i="10"/>
  <c r="DDF18" i="10"/>
  <c r="DDV18" i="10"/>
  <c r="DEL18" i="10"/>
  <c r="DFB18" i="10"/>
  <c r="DFR18" i="10"/>
  <c r="DGH18" i="10"/>
  <c r="DGX18" i="10"/>
  <c r="DHN18" i="10"/>
  <c r="DID18" i="10"/>
  <c r="DIT18" i="10"/>
  <c r="DJJ18" i="10"/>
  <c r="DJZ18" i="10"/>
  <c r="DKP18" i="10"/>
  <c r="DLF18" i="10"/>
  <c r="DLV18" i="10"/>
  <c r="DML18" i="10"/>
  <c r="DNB18" i="10"/>
  <c r="DNR18" i="10"/>
  <c r="DOH18" i="10"/>
  <c r="DOX18" i="10"/>
  <c r="DPN18" i="10"/>
  <c r="DQD18" i="10"/>
  <c r="DQT18" i="10"/>
  <c r="DRJ18" i="10"/>
  <c r="DRZ18" i="10"/>
  <c r="DSP18" i="10"/>
  <c r="DTF18" i="10"/>
  <c r="DTV18" i="10"/>
  <c r="DUL18" i="10"/>
  <c r="DVB18" i="10"/>
  <c r="DVR18" i="10"/>
  <c r="DWH18" i="10"/>
  <c r="DWX18" i="10"/>
  <c r="DXN18" i="10"/>
  <c r="DYD18" i="10"/>
  <c r="DYT18" i="10"/>
  <c r="BHB18" i="10"/>
  <c r="BZS18" i="10"/>
  <c r="CIM18" i="10"/>
  <c r="CKY18" i="10"/>
  <c r="CNK18" i="10"/>
  <c r="CPW18" i="10"/>
  <c r="CSI18" i="10"/>
  <c r="CUU18" i="10"/>
  <c r="CXG18" i="10"/>
  <c r="CZS18" i="10"/>
  <c r="DCE18" i="10"/>
  <c r="DEQ18" i="10"/>
  <c r="DHC18" i="10"/>
  <c r="DJO18" i="10"/>
  <c r="DMA18" i="10"/>
  <c r="DOM18" i="10"/>
  <c r="DQY18" i="10"/>
  <c r="DTK18" i="10"/>
  <c r="DVW18" i="10"/>
  <c r="DYI18" i="10"/>
  <c r="DZV18" i="10"/>
  <c r="EBB18" i="10"/>
  <c r="ECA18" i="10"/>
  <c r="ECQ18" i="10"/>
  <c r="EDG18" i="10"/>
  <c r="EDW18" i="10"/>
  <c r="EEM18" i="10"/>
  <c r="EFC18" i="10"/>
  <c r="EFS18" i="10"/>
  <c r="EGI18" i="10"/>
  <c r="EGY18" i="10"/>
  <c r="EHO18" i="10"/>
  <c r="EIE18" i="10"/>
  <c r="EIU18" i="10"/>
  <c r="EJK18" i="10"/>
  <c r="EKA18" i="10"/>
  <c r="EKQ18" i="10"/>
  <c r="ELG18" i="10"/>
  <c r="ELW18" i="10"/>
  <c r="EMM18" i="10"/>
  <c r="ENC18" i="10"/>
  <c r="ENS18" i="10"/>
  <c r="EOI18" i="10"/>
  <c r="EOY18" i="10"/>
  <c r="EPO18" i="10"/>
  <c r="EQE18" i="10"/>
  <c r="EQU18" i="10"/>
  <c r="ERK18" i="10"/>
  <c r="ESA18" i="10"/>
  <c r="ESQ18" i="10"/>
  <c r="ETG18" i="10"/>
  <c r="ETW18" i="10"/>
  <c r="EUM18" i="10"/>
  <c r="EVC18" i="10"/>
  <c r="EVS18" i="10"/>
  <c r="EWI18" i="10"/>
  <c r="EWY18" i="10"/>
  <c r="EXO18" i="10"/>
  <c r="EYE18" i="10"/>
  <c r="EYU18" i="10"/>
  <c r="EZK18" i="10"/>
  <c r="FAA18" i="10"/>
  <c r="FAQ18" i="10"/>
  <c r="FBG18" i="10"/>
  <c r="FBW18" i="10"/>
  <c r="FCM18" i="10"/>
  <c r="FDC18" i="10"/>
  <c r="FDS18" i="10"/>
  <c r="FEI18" i="10"/>
  <c r="FEY18" i="10"/>
  <c r="FFO18" i="10"/>
  <c r="FGE18" i="10"/>
  <c r="FGU18" i="10"/>
  <c r="FHK18" i="10"/>
  <c r="FIA18" i="10"/>
  <c r="FIQ18" i="10"/>
  <c r="FJG18" i="10"/>
  <c r="FJW18" i="10"/>
  <c r="FKM18" i="10"/>
  <c r="FLC18" i="10"/>
  <c r="FLS18" i="10"/>
  <c r="FMI18" i="10"/>
  <c r="AVO18" i="10"/>
  <c r="BSY18" i="10"/>
  <c r="CFG18" i="10"/>
  <c r="CJW18" i="10"/>
  <c r="CMI18" i="10"/>
  <c r="COU18" i="10"/>
  <c r="CRG18" i="10"/>
  <c r="CTS18" i="10"/>
  <c r="CWE18" i="10"/>
  <c r="CYQ18" i="10"/>
  <c r="DBC18" i="10"/>
  <c r="DDO18" i="10"/>
  <c r="DGA18" i="10"/>
  <c r="DIM18" i="10"/>
  <c r="DKY18" i="10"/>
  <c r="DNK18" i="10"/>
  <c r="DPW18" i="10"/>
  <c r="DSI18" i="10"/>
  <c r="DUU18" i="10"/>
  <c r="DXG18" i="10"/>
  <c r="DZG18" i="10"/>
  <c r="EAM18" i="10"/>
  <c r="EBR18" i="10"/>
  <c r="ECJ18" i="10"/>
  <c r="ECZ18" i="10"/>
  <c r="EDP18" i="10"/>
  <c r="EEF18" i="10"/>
  <c r="EEV18" i="10"/>
  <c r="EFL18" i="10"/>
  <c r="EGB18" i="10"/>
  <c r="EGR18" i="10"/>
  <c r="EHH18" i="10"/>
  <c r="EHX18" i="10"/>
  <c r="EIN18" i="10"/>
  <c r="EJD18" i="10"/>
  <c r="EJT18" i="10"/>
  <c r="EKJ18" i="10"/>
  <c r="EKZ18" i="10"/>
  <c r="ELP18" i="10"/>
  <c r="EMF18" i="10"/>
  <c r="EMV18" i="10"/>
  <c r="ENL18" i="10"/>
  <c r="EOB18" i="10"/>
  <c r="EOR18" i="10"/>
  <c r="EPH18" i="10"/>
  <c r="EPX18" i="10"/>
  <c r="EQN18" i="10"/>
  <c r="ERD18" i="10"/>
  <c r="ERT18" i="10"/>
  <c r="ESJ18" i="10"/>
  <c r="ESZ18" i="10"/>
  <c r="ETP18" i="10"/>
  <c r="EUF18" i="10"/>
  <c r="EUV18" i="10"/>
  <c r="EVL18" i="10"/>
  <c r="EWB18" i="10"/>
  <c r="EWR18" i="10"/>
  <c r="EXH18" i="10"/>
  <c r="EXX18" i="10"/>
  <c r="EYN18" i="10"/>
  <c r="EZD18" i="10"/>
  <c r="EZT18" i="10"/>
  <c r="FAJ18" i="10"/>
  <c r="FAZ18" i="10"/>
  <c r="FBP18" i="10"/>
  <c r="FCF18" i="10"/>
  <c r="FCV18" i="10"/>
  <c r="FDL18" i="10"/>
  <c r="FEB18" i="10"/>
  <c r="FER18" i="10"/>
  <c r="FFH18" i="10"/>
  <c r="FFX18" i="10"/>
  <c r="FGN18" i="10"/>
  <c r="FHD18" i="10"/>
  <c r="FHT18" i="10"/>
  <c r="FIJ18" i="10"/>
  <c r="FIZ18" i="10"/>
  <c r="FJP18" i="10"/>
  <c r="FKF18" i="10"/>
  <c r="FKV18" i="10"/>
  <c r="FLL18" i="10"/>
  <c r="FMB18" i="10"/>
  <c r="FMR18" i="10"/>
  <c r="FNH18" i="10"/>
  <c r="FNX18" i="10"/>
  <c r="AIZ18" i="10"/>
  <c r="BPG18" i="10"/>
  <c r="CDK18" i="10"/>
  <c r="CJK18" i="10"/>
  <c r="CLW18" i="10"/>
  <c r="COI18" i="10"/>
  <c r="CQU18" i="10"/>
  <c r="CTG18" i="10"/>
  <c r="CVS18" i="10"/>
  <c r="CYE18" i="10"/>
  <c r="DAQ18" i="10"/>
  <c r="DDC18" i="10"/>
  <c r="DFO18" i="10"/>
  <c r="DIA18" i="10"/>
  <c r="DKM18" i="10"/>
  <c r="DMY18" i="10"/>
  <c r="DPK18" i="10"/>
  <c r="DRW18" i="10"/>
  <c r="DUI18" i="10"/>
  <c r="DWU18" i="10"/>
  <c r="DZB18" i="10"/>
  <c r="EAH18" i="10"/>
  <c r="EBN18" i="10"/>
  <c r="ECG18" i="10"/>
  <c r="ECW18" i="10"/>
  <c r="EDM18" i="10"/>
  <c r="EEC18" i="10"/>
  <c r="EES18" i="10"/>
  <c r="EFI18" i="10"/>
  <c r="EFY18" i="10"/>
  <c r="EGO18" i="10"/>
  <c r="EHE18" i="10"/>
  <c r="EHU18" i="10"/>
  <c r="EIK18" i="10"/>
  <c r="EJA18" i="10"/>
  <c r="EJQ18" i="10"/>
  <c r="EKG18" i="10"/>
  <c r="EKW18" i="10"/>
  <c r="ELM18" i="10"/>
  <c r="EMC18" i="10"/>
  <c r="EMS18" i="10"/>
  <c r="ENI18" i="10"/>
  <c r="ENY18" i="10"/>
  <c r="EOO18" i="10"/>
  <c r="EPE18" i="10"/>
  <c r="EPU18" i="10"/>
  <c r="EQK18" i="10"/>
  <c r="ERA18" i="10"/>
  <c r="ERQ18" i="10"/>
  <c r="ESG18" i="10"/>
  <c r="ESW18" i="10"/>
  <c r="ETM18" i="10"/>
  <c r="EUC18" i="10"/>
  <c r="EUS18" i="10"/>
  <c r="EVI18" i="10"/>
  <c r="EVY18" i="10"/>
  <c r="EWO18" i="10"/>
  <c r="EXE18" i="10"/>
  <c r="EXU18" i="10"/>
  <c r="EYK18" i="10"/>
  <c r="EZA18" i="10"/>
  <c r="EZQ18" i="10"/>
  <c r="FAG18" i="10"/>
  <c r="FAW18" i="10"/>
  <c r="FBM18" i="10"/>
  <c r="FCC18" i="10"/>
  <c r="FCS18" i="10"/>
  <c r="FDI18" i="10"/>
  <c r="FDY18" i="10"/>
  <c r="FEO18" i="10"/>
  <c r="FFE18" i="10"/>
  <c r="FFU18" i="10"/>
  <c r="FGK18" i="10"/>
  <c r="FHA18" i="10"/>
  <c r="FHQ18" i="10"/>
  <c r="FIG18" i="10"/>
  <c r="FIW18" i="10"/>
  <c r="FJM18" i="10"/>
  <c r="FKC18" i="10"/>
  <c r="FKS18" i="10"/>
  <c r="FLI18" i="10"/>
  <c r="FLY18" i="10"/>
  <c r="FMO18" i="10"/>
  <c r="FNE18" i="10"/>
  <c r="FNU18" i="10"/>
  <c r="FOK18" i="10"/>
  <c r="CJO18" i="10"/>
  <c r="CTK18" i="10"/>
  <c r="DDG18" i="10"/>
  <c r="DNC18" i="10"/>
  <c r="DWY18" i="10"/>
  <c r="ECH18" i="10"/>
  <c r="EET18" i="10"/>
  <c r="EHF18" i="10"/>
  <c r="EJR18" i="10"/>
  <c r="EMD18" i="10"/>
  <c r="EOP18" i="10"/>
  <c r="ERB18" i="10"/>
  <c r="ETN18" i="10"/>
  <c r="EVZ18" i="10"/>
  <c r="EYL18" i="10"/>
  <c r="FAX18" i="10"/>
  <c r="FDJ18" i="10"/>
  <c r="FFV18" i="10"/>
  <c r="FIH18" i="10"/>
  <c r="FKT18" i="10"/>
  <c r="FMY18" i="10"/>
  <c r="FOE18" i="10"/>
  <c r="FOY18" i="10"/>
  <c r="FPO18" i="10"/>
  <c r="FQE18" i="10"/>
  <c r="FQU18" i="10"/>
  <c r="FRK18" i="10"/>
  <c r="FSA18" i="10"/>
  <c r="FSQ18" i="10"/>
  <c r="FTG18" i="10"/>
  <c r="FTW18" i="10"/>
  <c r="FUM18" i="10"/>
  <c r="FVC18" i="10"/>
  <c r="FVS18" i="10"/>
  <c r="FWI18" i="10"/>
  <c r="FWY18" i="10"/>
  <c r="FXO18" i="10"/>
  <c r="FYE18" i="10"/>
  <c r="FYU18" i="10"/>
  <c r="FZK18" i="10"/>
  <c r="GAA18" i="10"/>
  <c r="GAQ18" i="10"/>
  <c r="GBG18" i="10"/>
  <c r="GBW18" i="10"/>
  <c r="GCM18" i="10"/>
  <c r="GDC18" i="10"/>
  <c r="GDS18" i="10"/>
  <c r="GEI18" i="10"/>
  <c r="GEY18" i="10"/>
  <c r="GFO18" i="10"/>
  <c r="GGE18" i="10"/>
  <c r="GGU18" i="10"/>
  <c r="GHK18" i="10"/>
  <c r="GIA18" i="10"/>
  <c r="GIQ18" i="10"/>
  <c r="GJG18" i="10"/>
  <c r="GJW18" i="10"/>
  <c r="GKM18" i="10"/>
  <c r="GLC18" i="10"/>
  <c r="GLS18" i="10"/>
  <c r="GMI18" i="10"/>
  <c r="GMY18" i="10"/>
  <c r="GNO18" i="10"/>
  <c r="GOE18" i="10"/>
  <c r="GOU18" i="10"/>
  <c r="GPK18" i="10"/>
  <c r="GQA18" i="10"/>
  <c r="GQQ18" i="10"/>
  <c r="GRG18" i="10"/>
  <c r="GRW18" i="10"/>
  <c r="GSM18" i="10"/>
  <c r="GTC18" i="10"/>
  <c r="GTS18" i="10"/>
  <c r="GUI18" i="10"/>
  <c r="GUY18" i="10"/>
  <c r="GVO18" i="10"/>
  <c r="GWE18" i="10"/>
  <c r="GWU18" i="10"/>
  <c r="GXK18" i="10"/>
  <c r="GYA18" i="10"/>
  <c r="GYQ18" i="10"/>
  <c r="GZG18" i="10"/>
  <c r="GZW18" i="10"/>
  <c r="HAM18" i="10"/>
  <c r="HBC18" i="10"/>
  <c r="HBS18" i="10"/>
  <c r="HCI18" i="10"/>
  <c r="HCY18" i="10"/>
  <c r="HDO18" i="10"/>
  <c r="CKE18" i="10"/>
  <c r="CUA18" i="10"/>
  <c r="DDW18" i="10"/>
  <c r="DNS18" i="10"/>
  <c r="DXO18" i="10"/>
  <c r="ECL18" i="10"/>
  <c r="EEX18" i="10"/>
  <c r="EHJ18" i="10"/>
  <c r="EJV18" i="10"/>
  <c r="EMH18" i="10"/>
  <c r="EOT18" i="10"/>
  <c r="ERF18" i="10"/>
  <c r="ETR18" i="10"/>
  <c r="EWD18" i="10"/>
  <c r="EYP18" i="10"/>
  <c r="FBB18" i="10"/>
  <c r="FDN18" i="10"/>
  <c r="FFZ18" i="10"/>
  <c r="FIL18" i="10"/>
  <c r="FKX18" i="10"/>
  <c r="FNB18" i="10"/>
  <c r="FOH18" i="10"/>
  <c r="FOZ18" i="10"/>
  <c r="FPP18" i="10"/>
  <c r="FQF18" i="10"/>
  <c r="FQV18" i="10"/>
  <c r="FRL18" i="10"/>
  <c r="FSB18" i="10"/>
  <c r="FSR18" i="10"/>
  <c r="FTH18" i="10"/>
  <c r="FTX18" i="10"/>
  <c r="FUN18" i="10"/>
  <c r="FVD18" i="10"/>
  <c r="FVT18" i="10"/>
  <c r="FWJ18" i="10"/>
  <c r="FWZ18" i="10"/>
  <c r="FXP18" i="10"/>
  <c r="FYF18" i="10"/>
  <c r="FYV18" i="10"/>
  <c r="FZL18" i="10"/>
  <c r="GAB18" i="10"/>
  <c r="GAR18" i="10"/>
  <c r="GBH18" i="10"/>
  <c r="GBX18" i="10"/>
  <c r="GCN18" i="10"/>
  <c r="GDD18" i="10"/>
  <c r="GDT18" i="10"/>
  <c r="GEJ18" i="10"/>
  <c r="GEZ18" i="10"/>
  <c r="GFP18" i="10"/>
  <c r="GGF18" i="10"/>
  <c r="GGV18" i="10"/>
  <c r="GHL18" i="10"/>
  <c r="GIB18" i="10"/>
  <c r="GIR18" i="10"/>
  <c r="GJH18" i="10"/>
  <c r="GJX18" i="10"/>
  <c r="GKN18" i="10"/>
  <c r="GLD18" i="10"/>
  <c r="GLT18" i="10"/>
  <c r="GMJ18" i="10"/>
  <c r="GMZ18" i="10"/>
  <c r="GNP18" i="10"/>
  <c r="GOF18" i="10"/>
  <c r="GOV18" i="10"/>
  <c r="GPL18" i="10"/>
  <c r="GQB18" i="10"/>
  <c r="GQR18" i="10"/>
  <c r="GRH18" i="10"/>
  <c r="GRX18" i="10"/>
  <c r="GSN18" i="10"/>
  <c r="GTD18" i="10"/>
  <c r="GTT18" i="10"/>
  <c r="GUJ18" i="10"/>
  <c r="GUZ18" i="10"/>
  <c r="GVP18" i="10"/>
  <c r="GWF18" i="10"/>
  <c r="GWV18" i="10"/>
  <c r="GXL18" i="10"/>
  <c r="GYB18" i="10"/>
  <c r="GYR18" i="10"/>
  <c r="GZH18" i="10"/>
  <c r="GZX18" i="10"/>
  <c r="HAN18" i="10"/>
  <c r="HBD18" i="10"/>
  <c r="HBT18" i="10"/>
  <c r="HCJ18" i="10"/>
  <c r="HCZ18" i="10"/>
  <c r="CII18" i="10"/>
  <c r="CSE18" i="10"/>
  <c r="DCA18" i="10"/>
  <c r="DLW18" i="10"/>
  <c r="DVS18" i="10"/>
  <c r="EBZ18" i="10"/>
  <c r="EEL18" i="10"/>
  <c r="EGX18" i="10"/>
  <c r="EJJ18" i="10"/>
  <c r="ELV18" i="10"/>
  <c r="EOH18" i="10"/>
  <c r="EQT18" i="10"/>
  <c r="ETF18" i="10"/>
  <c r="EVR18" i="10"/>
  <c r="EYD18" i="10"/>
  <c r="FAP18" i="10"/>
  <c r="FDB18" i="10"/>
  <c r="FFN18" i="10"/>
  <c r="FHZ18" i="10"/>
  <c r="FKL18" i="10"/>
  <c r="FMU18" i="10"/>
  <c r="FOA18" i="10"/>
  <c r="FOW18" i="10"/>
  <c r="FPM18" i="10"/>
  <c r="FQC18" i="10"/>
  <c r="FQS18" i="10"/>
  <c r="FRI18" i="10"/>
  <c r="FRY18" i="10"/>
  <c r="FSO18" i="10"/>
  <c r="FTE18" i="10"/>
  <c r="FTU18" i="10"/>
  <c r="FUK18" i="10"/>
  <c r="FVA18" i="10"/>
  <c r="FVQ18" i="10"/>
  <c r="FWG18" i="10"/>
  <c r="FWW18" i="10"/>
  <c r="FXM18" i="10"/>
  <c r="FYC18" i="10"/>
  <c r="FYS18" i="10"/>
  <c r="FZI18" i="10"/>
  <c r="FZY18" i="10"/>
  <c r="GAO18" i="10"/>
  <c r="GBE18" i="10"/>
  <c r="GBU18" i="10"/>
  <c r="GCK18" i="10"/>
  <c r="GDA18" i="10"/>
  <c r="GDQ18" i="10"/>
  <c r="GEG18" i="10"/>
  <c r="GEW18" i="10"/>
  <c r="GFM18" i="10"/>
  <c r="GGC18" i="10"/>
  <c r="GGS18" i="10"/>
  <c r="GHI18" i="10"/>
  <c r="GHY18" i="10"/>
  <c r="GIO18" i="10"/>
  <c r="GJE18" i="10"/>
  <c r="GJU18" i="10"/>
  <c r="GKK18" i="10"/>
  <c r="GLA18" i="10"/>
  <c r="GLQ18" i="10"/>
  <c r="GMG18" i="10"/>
  <c r="GMW18" i="10"/>
  <c r="GNM18" i="10"/>
  <c r="GOC18" i="10"/>
  <c r="GOS18" i="10"/>
  <c r="GPI18" i="10"/>
  <c r="GPY18" i="10"/>
  <c r="GQO18" i="10"/>
  <c r="GRE18" i="10"/>
  <c r="GRU18" i="10"/>
  <c r="GSK18" i="10"/>
  <c r="GTA18" i="10"/>
  <c r="GTQ18" i="10"/>
  <c r="GUG18" i="10"/>
  <c r="GUW18" i="10"/>
  <c r="GVM18" i="10"/>
  <c r="GWC18" i="10"/>
  <c r="GWS18" i="10"/>
  <c r="GXI18" i="10"/>
  <c r="GXY18" i="10"/>
  <c r="GYO18" i="10"/>
  <c r="GZE18" i="10"/>
  <c r="GZU18" i="10"/>
  <c r="HAK18" i="10"/>
  <c r="HBA18" i="10"/>
  <c r="CNW18" i="10"/>
  <c r="EAA18" i="10"/>
  <c r="EKT18" i="10"/>
  <c r="EUP18" i="10"/>
  <c r="FEL18" i="10"/>
  <c r="FNN18" i="10"/>
  <c r="FQL18" i="10"/>
  <c r="FSX18" i="10"/>
  <c r="FVJ18" i="10"/>
  <c r="FXV18" i="10"/>
  <c r="GAH18" i="10"/>
  <c r="GCT18" i="10"/>
  <c r="GFF18" i="10"/>
  <c r="GHR18" i="10"/>
  <c r="GKD18" i="10"/>
  <c r="GMP18" i="10"/>
  <c r="GPB18" i="10"/>
  <c r="GRN18" i="10"/>
  <c r="GTZ18" i="10"/>
  <c r="GWL18" i="10"/>
  <c r="GYX18" i="10"/>
  <c r="HBJ18" i="10"/>
  <c r="HCP18" i="10"/>
  <c r="HDQ18" i="10"/>
  <c r="HEG18" i="10"/>
  <c r="HEW18" i="10"/>
  <c r="HFM18" i="10"/>
  <c r="HGC18" i="10"/>
  <c r="HGS18" i="10"/>
  <c r="HHI18" i="10"/>
  <c r="HHY18" i="10"/>
  <c r="HIO18" i="10"/>
  <c r="HJE18" i="10"/>
  <c r="HJU18" i="10"/>
  <c r="HKK18" i="10"/>
  <c r="HLA18" i="10"/>
  <c r="HLQ18" i="10"/>
  <c r="HMG18" i="10"/>
  <c r="HMW18" i="10"/>
  <c r="HNM18" i="10"/>
  <c r="HOC18" i="10"/>
  <c r="HOS18" i="10"/>
  <c r="HPI18" i="10"/>
  <c r="HPY18" i="10"/>
  <c r="HQO18" i="10"/>
  <c r="HRE18" i="10"/>
  <c r="HRU18" i="10"/>
  <c r="HSK18" i="10"/>
  <c r="HTA18" i="10"/>
  <c r="HTQ18" i="10"/>
  <c r="HUG18" i="10"/>
  <c r="HUW18" i="10"/>
  <c r="HVM18" i="10"/>
  <c r="HWC18" i="10"/>
  <c r="HWS18" i="10"/>
  <c r="HXI18" i="10"/>
  <c r="HXY18" i="10"/>
  <c r="HYO18" i="10"/>
  <c r="HZE18" i="10"/>
  <c r="HZU18" i="10"/>
  <c r="IAK18" i="10"/>
  <c r="IBA18" i="10"/>
  <c r="IBQ18" i="10"/>
  <c r="ICG18" i="10"/>
  <c r="ICW18" i="10"/>
  <c r="IDM18" i="10"/>
  <c r="IEC18" i="10"/>
  <c r="IES18" i="10"/>
  <c r="IFI18" i="10"/>
  <c r="IFY18" i="10"/>
  <c r="IGO18" i="10"/>
  <c r="IHE18" i="10"/>
  <c r="U19" i="10"/>
  <c r="G18" i="10"/>
  <c r="W18" i="10"/>
  <c r="AL18" i="10"/>
  <c r="BB18" i="10"/>
  <c r="BR18" i="10"/>
  <c r="CH18" i="10"/>
  <c r="CX18" i="10"/>
  <c r="DN18" i="10"/>
  <c r="ED18" i="10"/>
  <c r="ET18" i="10"/>
  <c r="AD19" i="10"/>
  <c r="P18" i="10"/>
  <c r="AF18" i="10"/>
  <c r="AU18" i="10"/>
  <c r="BK18" i="10"/>
  <c r="CA18" i="10"/>
  <c r="CQ18" i="10"/>
  <c r="DG18" i="10"/>
  <c r="DW18" i="10"/>
  <c r="EM18" i="10"/>
  <c r="FC18" i="10"/>
  <c r="FS18" i="10"/>
  <c r="GI18" i="10"/>
  <c r="GY18" i="10"/>
  <c r="HO18" i="10"/>
  <c r="IE18" i="10"/>
  <c r="IU18" i="10"/>
  <c r="JK18" i="10"/>
  <c r="KA18" i="10"/>
  <c r="KQ18" i="10"/>
  <c r="LG18" i="10"/>
  <c r="E18" i="10"/>
  <c r="AJ18" i="10"/>
  <c r="BP18" i="10"/>
  <c r="CV18" i="10"/>
  <c r="EB18" i="10"/>
  <c r="FD18" i="10"/>
  <c r="FY18" i="10"/>
  <c r="GT18" i="10"/>
  <c r="HP18" i="10"/>
  <c r="IK18" i="10"/>
  <c r="JF18" i="10"/>
  <c r="KB18" i="10"/>
  <c r="KW18" i="10"/>
  <c r="LQ18" i="10"/>
  <c r="MG18" i="10"/>
  <c r="MW18" i="10"/>
  <c r="NM18" i="10"/>
  <c r="OC18" i="10"/>
  <c r="OS18" i="10"/>
  <c r="PI18" i="10"/>
  <c r="PY18" i="10"/>
  <c r="AB19" i="10"/>
  <c r="AD18" i="10"/>
  <c r="BI18" i="10"/>
  <c r="CO18" i="10"/>
  <c r="DU18" i="10"/>
  <c r="EZ18" i="10"/>
  <c r="FU18" i="10"/>
  <c r="GP18" i="10"/>
  <c r="HL18" i="10"/>
  <c r="IG18" i="10"/>
  <c r="JB18" i="10"/>
  <c r="JX18" i="10"/>
  <c r="KS18" i="10"/>
  <c r="W19" i="10"/>
  <c r="BD18" i="10"/>
  <c r="DP18" i="10"/>
  <c r="FQ18" i="10"/>
  <c r="HH18" i="10"/>
  <c r="IX18" i="10"/>
  <c r="KO18" i="10"/>
  <c r="LV18" i="10"/>
  <c r="MQ18" i="10"/>
  <c r="NL18" i="10"/>
  <c r="OH18" i="10"/>
  <c r="PC18" i="10"/>
  <c r="PX18" i="10"/>
  <c r="QQ18" i="10"/>
  <c r="RG18" i="10"/>
  <c r="RW18" i="10"/>
  <c r="SM18" i="10"/>
  <c r="TC18" i="10"/>
  <c r="TS18" i="10"/>
  <c r="UI18" i="10"/>
  <c r="UY18" i="10"/>
  <c r="VO18" i="10"/>
  <c r="WE18" i="10"/>
  <c r="WU18" i="10"/>
  <c r="XK18" i="10"/>
  <c r="YA18" i="10"/>
  <c r="YQ18" i="10"/>
  <c r="ZG18" i="10"/>
  <c r="ZW18" i="10"/>
  <c r="AAM18" i="10"/>
  <c r="ABC18" i="10"/>
  <c r="ABS18" i="10"/>
  <c r="ACI18" i="10"/>
  <c r="ACY18" i="10"/>
  <c r="ADO18" i="10"/>
  <c r="AEE18" i="10"/>
  <c r="AEU18" i="10"/>
  <c r="AFK18" i="10"/>
  <c r="AGA18" i="10"/>
  <c r="AGQ18" i="10"/>
  <c r="AHG18" i="10"/>
  <c r="AHW18" i="10"/>
  <c r="AIM18" i="10"/>
  <c r="Z18" i="10"/>
  <c r="CK18" i="10"/>
  <c r="EW18" i="10"/>
  <c r="GN18" i="10"/>
  <c r="ID18" i="10"/>
  <c r="JU18" i="10"/>
  <c r="LL18" i="10"/>
  <c r="MH18" i="10"/>
  <c r="NC18" i="10"/>
  <c r="NX18" i="10"/>
  <c r="OT18" i="10"/>
  <c r="PO18" i="10"/>
  <c r="QJ18" i="10"/>
  <c r="QZ18" i="10"/>
  <c r="RP18" i="10"/>
  <c r="SF18" i="10"/>
  <c r="SV18" i="10"/>
  <c r="TL18" i="10"/>
  <c r="UB18" i="10"/>
  <c r="UR18" i="10"/>
  <c r="VH18" i="10"/>
  <c r="VX18" i="10"/>
  <c r="WN18" i="10"/>
  <c r="XD18" i="10"/>
  <c r="XT18" i="10"/>
  <c r="YJ18" i="10"/>
  <c r="YZ18" i="10"/>
  <c r="ZP18" i="10"/>
  <c r="AAF18" i="10"/>
  <c r="AAV18" i="10"/>
  <c r="ABL18" i="10"/>
  <c r="ACB18" i="10"/>
  <c r="ACR18" i="10"/>
  <c r="BL18" i="10"/>
  <c r="FV18" i="10"/>
  <c r="JD18" i="10"/>
  <c r="LX18" i="10"/>
  <c r="NO18" i="10"/>
  <c r="PF18" i="10"/>
  <c r="QS18" i="10"/>
  <c r="RY18" i="10"/>
  <c r="TE18" i="10"/>
  <c r="UK18" i="10"/>
  <c r="VQ18" i="10"/>
  <c r="WW18" i="10"/>
  <c r="YC18" i="10"/>
  <c r="ZI18" i="10"/>
  <c r="AAO18" i="10"/>
  <c r="ABU18" i="10"/>
  <c r="ACZ18" i="10"/>
  <c r="ADU18" i="10"/>
  <c r="AEP18" i="10"/>
  <c r="AFL18" i="10"/>
  <c r="AGG18" i="10"/>
  <c r="AHB18" i="10"/>
  <c r="AHX18" i="10"/>
  <c r="AIS18" i="10"/>
  <c r="AJI18" i="10"/>
  <c r="AJY18" i="10"/>
  <c r="AKO18" i="10"/>
  <c r="ALE18" i="10"/>
  <c r="ALU18" i="10"/>
  <c r="AMK18" i="10"/>
  <c r="ANA18" i="10"/>
  <c r="ANQ18" i="10"/>
  <c r="AOG18" i="10"/>
  <c r="AOW18" i="10"/>
  <c r="APM18" i="10"/>
  <c r="AQC18" i="10"/>
  <c r="AQS18" i="10"/>
  <c r="ARI18" i="10"/>
  <c r="ARY18" i="10"/>
  <c r="ASO18" i="10"/>
  <c r="ATE18" i="10"/>
  <c r="ATU18" i="10"/>
  <c r="AUK18" i="10"/>
  <c r="AVA18" i="10"/>
  <c r="AVQ18" i="10"/>
  <c r="AWG18" i="10"/>
  <c r="AWW18" i="10"/>
  <c r="AXM18" i="10"/>
  <c r="AYC18" i="10"/>
  <c r="AYS18" i="10"/>
  <c r="AZI18" i="10"/>
  <c r="AZY18" i="10"/>
  <c r="BAO18" i="10"/>
  <c r="BBE18" i="10"/>
  <c r="BBU18" i="10"/>
  <c r="BCK18" i="10"/>
  <c r="BDA18" i="10"/>
  <c r="BDQ18" i="10"/>
  <c r="BEG18" i="10"/>
  <c r="BEW18" i="10"/>
  <c r="BFM18" i="10"/>
  <c r="BGC18" i="10"/>
  <c r="BGS18" i="10"/>
  <c r="BHI18" i="10"/>
  <c r="BHY18" i="10"/>
  <c r="BIO18" i="10"/>
  <c r="BJE18" i="10"/>
  <c r="BJU18" i="10"/>
  <c r="AF19" i="10"/>
  <c r="DY18" i="10"/>
  <c r="HN18" i="10"/>
  <c r="KV18" i="10"/>
  <c r="MU18" i="10"/>
  <c r="OL18" i="10"/>
  <c r="QB18" i="10"/>
  <c r="RJ18" i="10"/>
  <c r="SP18" i="10"/>
  <c r="TV18" i="10"/>
  <c r="VB18" i="10"/>
  <c r="WH18" i="10"/>
  <c r="XN18" i="10"/>
  <c r="YT18" i="10"/>
  <c r="ZZ18" i="10"/>
  <c r="ABF18" i="10"/>
  <c r="ACL18" i="10"/>
  <c r="ADL18" i="10"/>
  <c r="AEG18" i="10"/>
  <c r="AFB18" i="10"/>
  <c r="AFX18" i="10"/>
  <c r="AGS18" i="10"/>
  <c r="AHN18" i="10"/>
  <c r="AIJ18" i="10"/>
  <c r="AJB18" i="10"/>
  <c r="AJR18" i="10"/>
  <c r="AKH18" i="10"/>
  <c r="AKX18" i="10"/>
  <c r="ALN18" i="10"/>
  <c r="AMD18" i="10"/>
  <c r="AMT18" i="10"/>
  <c r="ANJ18" i="10"/>
  <c r="ANZ18" i="10"/>
  <c r="AOP18" i="10"/>
  <c r="APF18" i="10"/>
  <c r="APV18" i="10"/>
  <c r="AQL18" i="10"/>
  <c r="ARB18" i="10"/>
  <c r="ARR18" i="10"/>
  <c r="ASH18" i="10"/>
  <c r="ASX18" i="10"/>
  <c r="ATN18" i="10"/>
  <c r="AUD18" i="10"/>
  <c r="EN18" i="10"/>
  <c r="LE18" i="10"/>
  <c r="OP18" i="10"/>
  <c r="RM18" i="10"/>
  <c r="TY18" i="10"/>
  <c r="WK18" i="10"/>
  <c r="YW18" i="10"/>
  <c r="ABI18" i="10"/>
  <c r="ADM18" i="10"/>
  <c r="AFD18" i="10"/>
  <c r="AGT18" i="10"/>
  <c r="AIK18" i="10"/>
  <c r="AJS18" i="10"/>
  <c r="AKY18" i="10"/>
  <c r="AME18" i="10"/>
  <c r="ANK18" i="10"/>
  <c r="AOQ18" i="10"/>
  <c r="APW18" i="10"/>
  <c r="ARC18" i="10"/>
  <c r="ASI18" i="10"/>
  <c r="ATO18" i="10"/>
  <c r="AUQ18" i="10"/>
  <c r="AVL18" i="10"/>
  <c r="AWH18" i="10"/>
  <c r="AXC18" i="10"/>
  <c r="AXX18" i="10"/>
  <c r="AYT18" i="10"/>
  <c r="AZO18" i="10"/>
  <c r="BAJ18" i="10"/>
  <c r="BBF18" i="10"/>
  <c r="BCA18" i="10"/>
  <c r="BCV18" i="10"/>
  <c r="BDR18" i="10"/>
  <c r="BEM18" i="10"/>
  <c r="BFH18" i="10"/>
  <c r="BGD18" i="10"/>
  <c r="BGY18" i="10"/>
  <c r="BHT18" i="10"/>
  <c r="BIP18" i="10"/>
  <c r="BJK18" i="10"/>
  <c r="BKF18" i="10"/>
  <c r="BKW18" i="10"/>
  <c r="BLM18" i="10"/>
  <c r="BMC18" i="10"/>
  <c r="BMS18" i="10"/>
  <c r="BNI18" i="10"/>
  <c r="BNY18" i="10"/>
  <c r="BOO18" i="10"/>
  <c r="BPE18" i="10"/>
  <c r="BPU18" i="10"/>
  <c r="BQK18" i="10"/>
  <c r="BRA18" i="10"/>
  <c r="BRQ18" i="10"/>
  <c r="BSG18" i="10"/>
  <c r="BSW18" i="10"/>
  <c r="BTM18" i="10"/>
  <c r="BUC18" i="10"/>
  <c r="BUS18" i="10"/>
  <c r="BVI18" i="10"/>
  <c r="BVY18" i="10"/>
  <c r="BWO18" i="10"/>
  <c r="BXE18" i="10"/>
  <c r="BXU18" i="10"/>
  <c r="GH18" i="10"/>
  <c r="ME18" i="10"/>
  <c r="PL18" i="10"/>
  <c r="SD18" i="10"/>
  <c r="UP18" i="10"/>
  <c r="XB18" i="10"/>
  <c r="ZN18" i="10"/>
  <c r="ABZ18" i="10"/>
  <c r="ADY18" i="10"/>
  <c r="AFP18" i="10"/>
  <c r="AHF18" i="10"/>
  <c r="AIV18" i="10"/>
  <c r="AKB18" i="10"/>
  <c r="ALH18" i="10"/>
  <c r="AMN18" i="10"/>
  <c r="ANT18" i="10"/>
  <c r="AOZ18" i="10"/>
  <c r="AQF18" i="10"/>
  <c r="ARL18" i="10"/>
  <c r="ASR18" i="10"/>
  <c r="ATX18" i="10"/>
  <c r="AUX18" i="10"/>
  <c r="AVS18" i="10"/>
  <c r="AWN18" i="10"/>
  <c r="AXJ18" i="10"/>
  <c r="AYE18" i="10"/>
  <c r="AYZ18" i="10"/>
  <c r="AZV18" i="10"/>
  <c r="BAQ18" i="10"/>
  <c r="BBL18" i="10"/>
  <c r="BCH18" i="10"/>
  <c r="BDC18" i="10"/>
  <c r="BDX18" i="10"/>
  <c r="BET18" i="10"/>
  <c r="BFO18" i="10"/>
  <c r="BGJ18" i="10"/>
  <c r="BHF18" i="10"/>
  <c r="BIA18" i="10"/>
  <c r="BIV18" i="10"/>
  <c r="BJR18" i="10"/>
  <c r="BKL18" i="10"/>
  <c r="BLB18" i="10"/>
  <c r="BLR18" i="10"/>
  <c r="BMH18" i="10"/>
  <c r="BMX18" i="10"/>
  <c r="BNN18" i="10"/>
  <c r="BOD18" i="10"/>
  <c r="BOT18" i="10"/>
  <c r="BPJ18" i="10"/>
  <c r="BPZ18" i="10"/>
  <c r="BQP18" i="10"/>
  <c r="BRF18" i="10"/>
  <c r="BRV18" i="10"/>
  <c r="BSL18" i="10"/>
  <c r="BTB18" i="10"/>
  <c r="BTR18" i="10"/>
  <c r="BUH18" i="10"/>
  <c r="BUX18" i="10"/>
  <c r="BVN18" i="10"/>
  <c r="BWD18" i="10"/>
  <c r="BWT18" i="10"/>
  <c r="BXJ18" i="10"/>
  <c r="AV18" i="10"/>
  <c r="IS18" i="10"/>
  <c r="NJ18" i="10"/>
  <c r="QO18" i="10"/>
  <c r="TA18" i="10"/>
  <c r="VM18" i="10"/>
  <c r="XY18" i="10"/>
  <c r="AAK18" i="10"/>
  <c r="ACW18" i="10"/>
  <c r="AEN18" i="10"/>
  <c r="AGD18" i="10"/>
  <c r="AHU18" i="10"/>
  <c r="AJG18" i="10"/>
  <c r="AKM18" i="10"/>
  <c r="ALS18" i="10"/>
  <c r="AMY18" i="10"/>
  <c r="AOE18" i="10"/>
  <c r="APK18" i="10"/>
  <c r="AQQ18" i="10"/>
  <c r="ARW18" i="10"/>
  <c r="ATC18" i="10"/>
  <c r="AUI18" i="10"/>
  <c r="QP18" i="10"/>
  <c r="AAL18" i="10"/>
  <c r="AHV18" i="10"/>
  <c r="AMZ18" i="10"/>
  <c r="ARX18" i="10"/>
  <c r="AVF18" i="10"/>
  <c r="AWV18" i="10"/>
  <c r="AYM18" i="10"/>
  <c r="BAD18" i="10"/>
  <c r="BBT18" i="10"/>
  <c r="BDK18" i="10"/>
  <c r="BFB18" i="10"/>
  <c r="BGR18" i="10"/>
  <c r="BII18" i="10"/>
  <c r="BJZ18" i="10"/>
  <c r="BLH18" i="10"/>
  <c r="BMN18" i="10"/>
  <c r="BNT18" i="10"/>
  <c r="BOZ18" i="10"/>
  <c r="BQF18" i="10"/>
  <c r="BRL18" i="10"/>
  <c r="BSR18" i="10"/>
  <c r="BTX18" i="10"/>
  <c r="BVD18" i="10"/>
  <c r="BWJ18" i="10"/>
  <c r="BXP18" i="10"/>
  <c r="BYJ18" i="10"/>
  <c r="BYZ18" i="10"/>
  <c r="BZP18" i="10"/>
  <c r="CAF18" i="10"/>
  <c r="CAV18" i="10"/>
  <c r="CBL18" i="10"/>
  <c r="CCB18" i="10"/>
  <c r="CCR18" i="10"/>
  <c r="CDH18" i="10"/>
  <c r="CDX18" i="10"/>
  <c r="CEN18" i="10"/>
  <c r="CFD18" i="10"/>
  <c r="CFT18" i="10"/>
  <c r="CGJ18" i="10"/>
  <c r="CGZ18" i="10"/>
  <c r="CHP18" i="10"/>
  <c r="DI18" i="10"/>
  <c r="TR18" i="10"/>
  <c r="ADI18" i="10"/>
  <c r="AJP18" i="10"/>
  <c r="AON18" i="10"/>
  <c r="ATL18" i="10"/>
  <c r="AVT18" i="10"/>
  <c r="AXK18" i="10"/>
  <c r="AZB18" i="10"/>
  <c r="BAR18" i="10"/>
  <c r="BCI18" i="10"/>
  <c r="BDZ18" i="10"/>
  <c r="BFP18" i="10"/>
  <c r="BHG18" i="10"/>
  <c r="BIX18" i="10"/>
  <c r="BKM18" i="10"/>
  <c r="BLS18" i="10"/>
  <c r="BMY18" i="10"/>
  <c r="BOE18" i="10"/>
  <c r="BPK18" i="10"/>
  <c r="BQQ18" i="10"/>
  <c r="BRW18" i="10"/>
  <c r="BTC18" i="10"/>
  <c r="BUI18" i="10"/>
  <c r="BVO18" i="10"/>
  <c r="BWU18" i="10"/>
  <c r="BXY18" i="10"/>
  <c r="BYO18" i="10"/>
  <c r="BZE18" i="10"/>
  <c r="BZU18" i="10"/>
  <c r="CAK18" i="10"/>
  <c r="CBA18" i="10"/>
  <c r="CBQ18" i="10"/>
  <c r="CCG18" i="10"/>
  <c r="CCW18" i="10"/>
  <c r="CDM18" i="10"/>
  <c r="CEC18" i="10"/>
  <c r="CES18" i="10"/>
  <c r="CFI18" i="10"/>
  <c r="CFY18" i="10"/>
  <c r="CGO18" i="10"/>
  <c r="CHE18" i="10"/>
  <c r="CHU18" i="10"/>
  <c r="LT18" i="10"/>
  <c r="WT18" i="10"/>
  <c r="AFJ18" i="10"/>
  <c r="ALD18" i="10"/>
  <c r="AQB18" i="10"/>
  <c r="AUP18" i="10"/>
  <c r="AWF18" i="10"/>
  <c r="AXW18" i="10"/>
  <c r="AZN18" i="10"/>
  <c r="BBD18" i="10"/>
  <c r="BCU18" i="10"/>
  <c r="BEL18" i="10"/>
  <c r="BGB18" i="10"/>
  <c r="BHS18" i="10"/>
  <c r="BJJ18" i="10"/>
  <c r="BKV18" i="10"/>
  <c r="BMB18" i="10"/>
  <c r="BNH18" i="10"/>
  <c r="BON18" i="10"/>
  <c r="BPT18" i="10"/>
  <c r="BQZ18" i="10"/>
  <c r="BSF18" i="10"/>
  <c r="BTL18" i="10"/>
  <c r="BUR18" i="10"/>
  <c r="BVX18" i="10"/>
  <c r="BXD18" i="10"/>
  <c r="BYD18" i="10"/>
  <c r="BYT18" i="10"/>
  <c r="BZJ18" i="10"/>
  <c r="BZZ18" i="10"/>
  <c r="CAP18" i="10"/>
  <c r="CBF18" i="10"/>
  <c r="CBV18" i="10"/>
  <c r="CCL18" i="10"/>
  <c r="CDB18" i="10"/>
  <c r="CDR18" i="10"/>
  <c r="CEH18" i="10"/>
  <c r="CEX18" i="10"/>
  <c r="CFN18" i="10"/>
  <c r="CGD18" i="10"/>
  <c r="CGT18" i="10"/>
  <c r="CHJ18" i="10"/>
  <c r="CHZ18" i="10"/>
  <c r="AKF18" i="10"/>
  <c r="AXP18" i="10"/>
  <c r="BEE18" i="10"/>
  <c r="BKQ18" i="10"/>
  <c r="BPO18" i="10"/>
  <c r="BUM18" i="10"/>
  <c r="BYQ18" i="10"/>
  <c r="CBC18" i="10"/>
  <c r="CDO18" i="10"/>
  <c r="CGA18" i="10"/>
  <c r="CIF18" i="10"/>
  <c r="CIV18" i="10"/>
  <c r="CJL18" i="10"/>
  <c r="CKB18" i="10"/>
  <c r="CKR18" i="10"/>
  <c r="CLH18" i="10"/>
  <c r="CLX18" i="10"/>
  <c r="CMN18" i="10"/>
  <c r="CND18" i="10"/>
  <c r="CNT18" i="10"/>
  <c r="COJ18" i="10"/>
  <c r="COZ18" i="10"/>
  <c r="CPP18" i="10"/>
  <c r="CQF18" i="10"/>
  <c r="CQV18" i="10"/>
  <c r="CRL18" i="10"/>
  <c r="CSB18" i="10"/>
  <c r="CSR18" i="10"/>
  <c r="CTH18" i="10"/>
  <c r="CTX18" i="10"/>
  <c r="CUN18" i="10"/>
  <c r="CVD18" i="10"/>
  <c r="CVT18" i="10"/>
  <c r="CWJ18" i="10"/>
  <c r="CWZ18" i="10"/>
  <c r="CXP18" i="10"/>
  <c r="CYF18" i="10"/>
  <c r="CYV18" i="10"/>
  <c r="CZL18" i="10"/>
  <c r="DAB18" i="10"/>
  <c r="DAR18" i="10"/>
  <c r="DBH18" i="10"/>
  <c r="DBX18" i="10"/>
  <c r="DCN18" i="10"/>
  <c r="DDD18" i="10"/>
  <c r="DDT18" i="10"/>
  <c r="DEJ18" i="10"/>
  <c r="DEZ18" i="10"/>
  <c r="DFP18" i="10"/>
  <c r="DGF18" i="10"/>
  <c r="DGV18" i="10"/>
  <c r="DHL18" i="10"/>
  <c r="DIB18" i="10"/>
  <c r="DIR18" i="10"/>
  <c r="DJH18" i="10"/>
  <c r="DJX18" i="10"/>
  <c r="DKN18" i="10"/>
  <c r="DLD18" i="10"/>
  <c r="DLT18" i="10"/>
  <c r="DMJ18" i="10"/>
  <c r="DMZ18" i="10"/>
  <c r="DNP18" i="10"/>
  <c r="DOF18" i="10"/>
  <c r="DOV18" i="10"/>
  <c r="DPL18" i="10"/>
  <c r="DQB18" i="10"/>
  <c r="DQR18" i="10"/>
  <c r="DRH18" i="10"/>
  <c r="DRX18" i="10"/>
  <c r="DSN18" i="10"/>
  <c r="DTD18" i="10"/>
  <c r="DTT18" i="10"/>
  <c r="DUJ18" i="10"/>
  <c r="DUZ18" i="10"/>
  <c r="DVP18" i="10"/>
  <c r="DWF18" i="10"/>
  <c r="DWV18" i="10"/>
  <c r="DXL18" i="10"/>
  <c r="DYB18" i="10"/>
  <c r="DYR18" i="10"/>
  <c r="DZH18" i="10"/>
  <c r="DZX18" i="10"/>
  <c r="EAN18" i="10"/>
  <c r="EBD18" i="10"/>
  <c r="EBT18" i="10"/>
  <c r="AFU18" i="10"/>
  <c r="AWJ18" i="10"/>
  <c r="BCY18" i="10"/>
  <c r="BJN18" i="10"/>
  <c r="BOQ18" i="10"/>
  <c r="BTO18" i="10"/>
  <c r="BYE18" i="10"/>
  <c r="CAQ18" i="10"/>
  <c r="CDC18" i="10"/>
  <c r="CFO18" i="10"/>
  <c r="CIA18" i="10"/>
  <c r="CIS18" i="10"/>
  <c r="CJI18" i="10"/>
  <c r="CJY18" i="10"/>
  <c r="CKO18" i="10"/>
  <c r="CLE18" i="10"/>
  <c r="CLU18" i="10"/>
  <c r="CMK18" i="10"/>
  <c r="CNA18" i="10"/>
  <c r="CNQ18" i="10"/>
  <c r="COG18" i="10"/>
  <c r="COW18" i="10"/>
  <c r="CPM18" i="10"/>
  <c r="CQC18" i="10"/>
  <c r="CQS18" i="10"/>
  <c r="CRI18" i="10"/>
  <c r="CRY18" i="10"/>
  <c r="CSO18" i="10"/>
  <c r="CTE18" i="10"/>
  <c r="CTU18" i="10"/>
  <c r="CUK18" i="10"/>
  <c r="CVA18" i="10"/>
  <c r="CVQ18" i="10"/>
  <c r="CWG18" i="10"/>
  <c r="CWW18" i="10"/>
  <c r="CXM18" i="10"/>
  <c r="CYC18" i="10"/>
  <c r="CYS18" i="10"/>
  <c r="CZI18" i="10"/>
  <c r="CZY18" i="10"/>
  <c r="DAO18" i="10"/>
  <c r="DBE18" i="10"/>
  <c r="DBU18" i="10"/>
  <c r="DCK18" i="10"/>
  <c r="DDA18" i="10"/>
  <c r="DDQ18" i="10"/>
  <c r="DEG18" i="10"/>
  <c r="DEW18" i="10"/>
  <c r="DFM18" i="10"/>
  <c r="DGC18" i="10"/>
  <c r="DGS18" i="10"/>
  <c r="DHI18" i="10"/>
  <c r="DHY18" i="10"/>
  <c r="DIO18" i="10"/>
  <c r="DJE18" i="10"/>
  <c r="DJU18" i="10"/>
  <c r="DKK18" i="10"/>
  <c r="DLA18" i="10"/>
  <c r="DLQ18" i="10"/>
  <c r="DMG18" i="10"/>
  <c r="DMW18" i="10"/>
  <c r="DNM18" i="10"/>
  <c r="DOC18" i="10"/>
  <c r="DOS18" i="10"/>
  <c r="DPI18" i="10"/>
  <c r="DPY18" i="10"/>
  <c r="DQO18" i="10"/>
  <c r="DRE18" i="10"/>
  <c r="DRU18" i="10"/>
  <c r="DSK18" i="10"/>
  <c r="DTA18" i="10"/>
  <c r="DTQ18" i="10"/>
  <c r="DUG18" i="10"/>
  <c r="DUW18" i="10"/>
  <c r="DVM18" i="10"/>
  <c r="DWC18" i="10"/>
  <c r="DWS18" i="10"/>
  <c r="DXI18" i="10"/>
  <c r="DXY18" i="10"/>
  <c r="DYO18" i="10"/>
  <c r="DZE18" i="10"/>
  <c r="DZU18" i="10"/>
  <c r="EAK18" i="10"/>
  <c r="EBA18" i="10"/>
  <c r="PW18" i="10"/>
  <c r="ARP18" i="10"/>
  <c r="BAB18" i="10"/>
  <c r="BGQ18" i="10"/>
  <c r="BMM18" i="10"/>
  <c r="BRK18" i="10"/>
  <c r="BWI18" i="10"/>
  <c r="BZO18" i="10"/>
  <c r="CCA18" i="10"/>
  <c r="CEM18" i="10"/>
  <c r="CGY18" i="10"/>
  <c r="CIL18" i="10"/>
  <c r="CJB18" i="10"/>
  <c r="CJR18" i="10"/>
  <c r="CKH18" i="10"/>
  <c r="CKX18" i="10"/>
  <c r="CLN18" i="10"/>
  <c r="CMD18" i="10"/>
  <c r="CMT18" i="10"/>
  <c r="CNJ18" i="10"/>
  <c r="CNZ18" i="10"/>
  <c r="COP18" i="10"/>
  <c r="CPF18" i="10"/>
  <c r="CPV18" i="10"/>
  <c r="CQL18" i="10"/>
  <c r="CRB18" i="10"/>
  <c r="CRR18" i="10"/>
  <c r="CSH18" i="10"/>
  <c r="CSX18" i="10"/>
  <c r="CTN18" i="10"/>
  <c r="CUD18" i="10"/>
  <c r="CUT18" i="10"/>
  <c r="CVJ18" i="10"/>
  <c r="CVZ18" i="10"/>
  <c r="CWP18" i="10"/>
  <c r="CXF18" i="10"/>
  <c r="CXV18" i="10"/>
  <c r="CYL18" i="10"/>
  <c r="CZB18" i="10"/>
  <c r="CZR18" i="10"/>
  <c r="DAH18" i="10"/>
  <c r="DAX18" i="10"/>
  <c r="DBN18" i="10"/>
  <c r="DCD18" i="10"/>
  <c r="DCT18" i="10"/>
  <c r="DDJ18" i="10"/>
  <c r="DDZ18" i="10"/>
  <c r="DEP18" i="10"/>
  <c r="DFF18" i="10"/>
  <c r="DFV18" i="10"/>
  <c r="DGL18" i="10"/>
  <c r="DHB18" i="10"/>
  <c r="DHR18" i="10"/>
  <c r="DIH18" i="10"/>
  <c r="DIX18" i="10"/>
  <c r="DJN18" i="10"/>
  <c r="DKD18" i="10"/>
  <c r="DKT18" i="10"/>
  <c r="DLJ18" i="10"/>
  <c r="DLZ18" i="10"/>
  <c r="DMP18" i="10"/>
  <c r="DNF18" i="10"/>
  <c r="DNV18" i="10"/>
  <c r="DOL18" i="10"/>
  <c r="DPB18" i="10"/>
  <c r="DPR18" i="10"/>
  <c r="DQH18" i="10"/>
  <c r="DQX18" i="10"/>
  <c r="DRN18" i="10"/>
  <c r="DSD18" i="10"/>
  <c r="DST18" i="10"/>
  <c r="DTJ18" i="10"/>
  <c r="DTZ18" i="10"/>
  <c r="DUP18" i="10"/>
  <c r="DVF18" i="10"/>
  <c r="DVV18" i="10"/>
  <c r="DWL18" i="10"/>
  <c r="DXB18" i="10"/>
  <c r="DXR18" i="10"/>
  <c r="DYH18" i="10"/>
  <c r="SL18" i="10"/>
  <c r="BMU18" i="10"/>
  <c r="CCE18" i="10"/>
  <c r="CJC18" i="10"/>
  <c r="CLO18" i="10"/>
  <c r="COA18" i="10"/>
  <c r="CQM18" i="10"/>
  <c r="CSY18" i="10"/>
  <c r="CVK18" i="10"/>
  <c r="CXW18" i="10"/>
  <c r="DAI18" i="10"/>
  <c r="DCU18" i="10"/>
  <c r="DFG18" i="10"/>
  <c r="DHS18" i="10"/>
  <c r="DKE18" i="10"/>
  <c r="DMQ18" i="10"/>
  <c r="DPC18" i="10"/>
  <c r="DRO18" i="10"/>
  <c r="DUA18" i="10"/>
  <c r="DWM18" i="10"/>
  <c r="DYX18" i="10"/>
  <c r="EAD18" i="10"/>
  <c r="EBJ18" i="10"/>
  <c r="ECE18" i="10"/>
  <c r="ECU18" i="10"/>
  <c r="EDK18" i="10"/>
  <c r="EEA18" i="10"/>
  <c r="EEQ18" i="10"/>
  <c r="EFG18" i="10"/>
  <c r="EFW18" i="10"/>
  <c r="EGM18" i="10"/>
  <c r="EHC18" i="10"/>
  <c r="EHS18" i="10"/>
  <c r="EII18" i="10"/>
  <c r="EIY18" i="10"/>
  <c r="EJO18" i="10"/>
  <c r="EKE18" i="10"/>
  <c r="EKU18" i="10"/>
  <c r="ELK18" i="10"/>
  <c r="EMA18" i="10"/>
  <c r="EMQ18" i="10"/>
  <c r="ENG18" i="10"/>
  <c r="ENW18" i="10"/>
  <c r="EOM18" i="10"/>
  <c r="EPC18" i="10"/>
  <c r="EPS18" i="10"/>
  <c r="EQI18" i="10"/>
  <c r="EQY18" i="10"/>
  <c r="ERO18" i="10"/>
  <c r="ESE18" i="10"/>
  <c r="ESU18" i="10"/>
  <c r="ETK18" i="10"/>
  <c r="EUA18" i="10"/>
  <c r="EUQ18" i="10"/>
  <c r="EVG18" i="10"/>
  <c r="EVW18" i="10"/>
  <c r="EWM18" i="10"/>
  <c r="EXC18" i="10"/>
  <c r="EXS18" i="10"/>
  <c r="EYI18" i="10"/>
  <c r="EYY18" i="10"/>
  <c r="EZO18" i="10"/>
  <c r="FAE18" i="10"/>
  <c r="FAU18" i="10"/>
  <c r="FBK18" i="10"/>
  <c r="FCA18" i="10"/>
  <c r="FCQ18" i="10"/>
  <c r="FDG18" i="10"/>
  <c r="FDW18" i="10"/>
  <c r="FEM18" i="10"/>
  <c r="FFC18" i="10"/>
  <c r="FFS18" i="10"/>
  <c r="FGI18" i="10"/>
  <c r="FGY18" i="10"/>
  <c r="FHO18" i="10"/>
  <c r="FIE18" i="10"/>
  <c r="FIU18" i="10"/>
  <c r="FJK18" i="10"/>
  <c r="FKA18" i="10"/>
  <c r="FKQ18" i="10"/>
  <c r="FLG18" i="10"/>
  <c r="FLW18" i="10"/>
  <c r="FMM18" i="10"/>
  <c r="BCD18" i="10"/>
  <c r="BXW18" i="10"/>
  <c r="CHS18" i="10"/>
  <c r="CKM18" i="10"/>
  <c r="CMY18" i="10"/>
  <c r="CPK18" i="10"/>
  <c r="CRW18" i="10"/>
  <c r="CUI18" i="10"/>
  <c r="CWU18" i="10"/>
  <c r="CZG18" i="10"/>
  <c r="DBS18" i="10"/>
  <c r="DEE18" i="10"/>
  <c r="DGQ18" i="10"/>
  <c r="DJC18" i="10"/>
  <c r="DLO18" i="10"/>
  <c r="DOA18" i="10"/>
  <c r="DQM18" i="10"/>
  <c r="DSY18" i="10"/>
  <c r="DVK18" i="10"/>
  <c r="DXW18" i="10"/>
  <c r="DZO18" i="10"/>
  <c r="EAU18" i="10"/>
  <c r="EBW18" i="10"/>
  <c r="ECN18" i="10"/>
  <c r="EDD18" i="10"/>
  <c r="EDT18" i="10"/>
  <c r="EEJ18" i="10"/>
  <c r="EEZ18" i="10"/>
  <c r="EFP18" i="10"/>
  <c r="EGF18" i="10"/>
  <c r="EGV18" i="10"/>
  <c r="EHL18" i="10"/>
  <c r="EIB18" i="10"/>
  <c r="EIR18" i="10"/>
  <c r="EJH18" i="10"/>
  <c r="EJX18" i="10"/>
  <c r="EKN18" i="10"/>
  <c r="ELD18" i="10"/>
  <c r="ELT18" i="10"/>
  <c r="EMJ18" i="10"/>
  <c r="EMZ18" i="10"/>
  <c r="ENP18" i="10"/>
  <c r="EOF18" i="10"/>
  <c r="EOV18" i="10"/>
  <c r="EPL18" i="10"/>
  <c r="EQB18" i="10"/>
  <c r="EQR18" i="10"/>
  <c r="ERH18" i="10"/>
  <c r="ERX18" i="10"/>
  <c r="ESN18" i="10"/>
  <c r="ETD18" i="10"/>
  <c r="ETT18" i="10"/>
  <c r="EUJ18" i="10"/>
  <c r="EUZ18" i="10"/>
  <c r="EVP18" i="10"/>
  <c r="EWF18" i="10"/>
  <c r="EWV18" i="10"/>
  <c r="EXL18" i="10"/>
  <c r="EYB18" i="10"/>
  <c r="EYR18" i="10"/>
  <c r="EZH18" i="10"/>
  <c r="EZX18" i="10"/>
  <c r="FAN18" i="10"/>
  <c r="FBD18" i="10"/>
  <c r="FBT18" i="10"/>
  <c r="FCJ18" i="10"/>
  <c r="FCZ18" i="10"/>
  <c r="FDP18" i="10"/>
  <c r="FEF18" i="10"/>
  <c r="FEV18" i="10"/>
  <c r="FFL18" i="10"/>
  <c r="FGB18" i="10"/>
  <c r="FGR18" i="10"/>
  <c r="FHH18" i="10"/>
  <c r="FHX18" i="10"/>
  <c r="FIN18" i="10"/>
  <c r="FJD18" i="10"/>
  <c r="FJT18" i="10"/>
  <c r="FKJ18" i="10"/>
  <c r="FKZ18" i="10"/>
  <c r="FLP18" i="10"/>
  <c r="FMF18" i="10"/>
  <c r="FMV18" i="10"/>
  <c r="FNL18" i="10"/>
  <c r="FOB18" i="10"/>
  <c r="AXF18" i="10"/>
  <c r="BUE18" i="10"/>
  <c r="CFW18" i="10"/>
  <c r="CKA18" i="10"/>
  <c r="CMM18" i="10"/>
  <c r="COY18" i="10"/>
  <c r="CRK18" i="10"/>
  <c r="CTW18" i="10"/>
  <c r="CWI18" i="10"/>
  <c r="CYU18" i="10"/>
  <c r="DBG18" i="10"/>
  <c r="DDS18" i="10"/>
  <c r="DGE18" i="10"/>
  <c r="DIQ18" i="10"/>
  <c r="DLC18" i="10"/>
  <c r="DNO18" i="10"/>
  <c r="DQA18" i="10"/>
  <c r="DSM18" i="10"/>
  <c r="DUY18" i="10"/>
  <c r="DXK18" i="10"/>
  <c r="DZJ18" i="10"/>
  <c r="EAP18" i="10"/>
  <c r="EBS18" i="10"/>
  <c r="ECK18" i="10"/>
  <c r="EDA18" i="10"/>
  <c r="EDQ18" i="10"/>
  <c r="EEG18" i="10"/>
  <c r="EEW18" i="10"/>
  <c r="EFM18" i="10"/>
  <c r="EGC18" i="10"/>
  <c r="EGS18" i="10"/>
  <c r="EHI18" i="10"/>
  <c r="EHY18" i="10"/>
  <c r="EIO18" i="10"/>
  <c r="EJE18" i="10"/>
  <c r="EJU18" i="10"/>
  <c r="EKK18" i="10"/>
  <c r="ELA18" i="10"/>
  <c r="ELQ18" i="10"/>
  <c r="EMG18" i="10"/>
  <c r="EMW18" i="10"/>
  <c r="ENM18" i="10"/>
  <c r="EOC18" i="10"/>
  <c r="EOS18" i="10"/>
  <c r="EPI18" i="10"/>
  <c r="EPY18" i="10"/>
  <c r="EQO18" i="10"/>
  <c r="ERE18" i="10"/>
  <c r="ERU18" i="10"/>
  <c r="ESK18" i="10"/>
  <c r="ETA18" i="10"/>
  <c r="ETQ18" i="10"/>
  <c r="EUG18" i="10"/>
  <c r="EUW18" i="10"/>
  <c r="EVM18" i="10"/>
  <c r="EWC18" i="10"/>
  <c r="EWS18" i="10"/>
  <c r="EXI18" i="10"/>
  <c r="EXY18" i="10"/>
  <c r="EYO18" i="10"/>
  <c r="EZE18" i="10"/>
  <c r="EZU18" i="10"/>
  <c r="FAK18" i="10"/>
  <c r="FBA18" i="10"/>
  <c r="FBQ18" i="10"/>
  <c r="FCG18" i="10"/>
  <c r="FCW18" i="10"/>
  <c r="FDM18" i="10"/>
  <c r="FEC18" i="10"/>
  <c r="FES18" i="10"/>
  <c r="FFI18" i="10"/>
  <c r="FFY18" i="10"/>
  <c r="FGO18" i="10"/>
  <c r="FHE18" i="10"/>
  <c r="FHU18" i="10"/>
  <c r="FIK18" i="10"/>
  <c r="FJA18" i="10"/>
  <c r="FJQ18" i="10"/>
  <c r="FKG18" i="10"/>
  <c r="FKW18" i="10"/>
  <c r="FLM18" i="10"/>
  <c r="FMC18" i="10"/>
  <c r="FMS18" i="10"/>
  <c r="FNI18" i="10"/>
  <c r="FNY18" i="10"/>
  <c r="ANX18" i="10"/>
  <c r="CMA18" i="10"/>
  <c r="CVW18" i="10"/>
  <c r="DFS18" i="10"/>
  <c r="DPO18" i="10"/>
  <c r="DZC18" i="10"/>
  <c r="ECX18" i="10"/>
  <c r="EFJ18" i="10"/>
  <c r="EHV18" i="10"/>
  <c r="EKH18" i="10"/>
  <c r="EMT18" i="10"/>
  <c r="EPF18" i="10"/>
  <c r="ERR18" i="10"/>
  <c r="EUD18" i="10"/>
  <c r="EWP18" i="10"/>
  <c r="EZB18" i="10"/>
  <c r="FBN18" i="10"/>
  <c r="FDZ18" i="10"/>
  <c r="FGL18" i="10"/>
  <c r="FIX18" i="10"/>
  <c r="FLJ18" i="10"/>
  <c r="FNG18" i="10"/>
  <c r="FOM18" i="10"/>
  <c r="FPC18" i="10"/>
  <c r="FPS18" i="10"/>
  <c r="FQI18" i="10"/>
  <c r="FQY18" i="10"/>
  <c r="FRO18" i="10"/>
  <c r="FSE18" i="10"/>
  <c r="FSU18" i="10"/>
  <c r="FTK18" i="10"/>
  <c r="FUA18" i="10"/>
  <c r="FUQ18" i="10"/>
  <c r="FVG18" i="10"/>
  <c r="FVW18" i="10"/>
  <c r="FWM18" i="10"/>
  <c r="FXC18" i="10"/>
  <c r="FXS18" i="10"/>
  <c r="FYI18" i="10"/>
  <c r="FYY18" i="10"/>
  <c r="FZO18" i="10"/>
  <c r="GAE18" i="10"/>
  <c r="GAU18" i="10"/>
  <c r="GBK18" i="10"/>
  <c r="GCA18" i="10"/>
  <c r="GCQ18" i="10"/>
  <c r="GDG18" i="10"/>
  <c r="GDW18" i="10"/>
  <c r="GEM18" i="10"/>
  <c r="GFC18" i="10"/>
  <c r="GFS18" i="10"/>
  <c r="GGI18" i="10"/>
  <c r="GGY18" i="10"/>
  <c r="GHO18" i="10"/>
  <c r="GIE18" i="10"/>
  <c r="GIU18" i="10"/>
  <c r="GJK18" i="10"/>
  <c r="GKA18" i="10"/>
  <c r="GKQ18" i="10"/>
  <c r="GLG18" i="10"/>
  <c r="GLW18" i="10"/>
  <c r="GMM18" i="10"/>
  <c r="GNC18" i="10"/>
  <c r="GNS18" i="10"/>
  <c r="GOI18" i="10"/>
  <c r="GOY18" i="10"/>
  <c r="GPO18" i="10"/>
  <c r="GQE18" i="10"/>
  <c r="GQU18" i="10"/>
  <c r="GRK18" i="10"/>
  <c r="GSA18" i="10"/>
  <c r="GSQ18" i="10"/>
  <c r="GTG18" i="10"/>
  <c r="GTW18" i="10"/>
  <c r="GUM18" i="10"/>
  <c r="GVC18" i="10"/>
  <c r="GVS18" i="10"/>
  <c r="GWI18" i="10"/>
  <c r="GWY18" i="10"/>
  <c r="GXO18" i="10"/>
  <c r="GYE18" i="10"/>
  <c r="GYU18" i="10"/>
  <c r="GZK18" i="10"/>
  <c r="HAA18" i="10"/>
  <c r="HAQ18" i="10"/>
  <c r="HBG18" i="10"/>
  <c r="HBW18" i="10"/>
  <c r="HCM18" i="10"/>
  <c r="HDC18" i="10"/>
  <c r="AYV18" i="10"/>
  <c r="CMQ18" i="10"/>
  <c r="CWM18" i="10"/>
  <c r="DGI18" i="10"/>
  <c r="DQE18" i="10"/>
  <c r="DZK18" i="10"/>
  <c r="EDB18" i="10"/>
  <c r="EFN18" i="10"/>
  <c r="EHZ18" i="10"/>
  <c r="EKL18" i="10"/>
  <c r="EMX18" i="10"/>
  <c r="EPJ18" i="10"/>
  <c r="ERV18" i="10"/>
  <c r="EUH18" i="10"/>
  <c r="EWT18" i="10"/>
  <c r="EZF18" i="10"/>
  <c r="FBR18" i="10"/>
  <c r="FED18" i="10"/>
  <c r="FGP18" i="10"/>
  <c r="FJB18" i="10"/>
  <c r="FLN18" i="10"/>
  <c r="FNJ18" i="10"/>
  <c r="FON18" i="10"/>
  <c r="FPD18" i="10"/>
  <c r="FPT18" i="10"/>
  <c r="FQJ18" i="10"/>
  <c r="FQZ18" i="10"/>
  <c r="FRP18" i="10"/>
  <c r="FSF18" i="10"/>
  <c r="FSV18" i="10"/>
  <c r="FTL18" i="10"/>
  <c r="FUB18" i="10"/>
  <c r="FUR18" i="10"/>
  <c r="FVH18" i="10"/>
  <c r="FVX18" i="10"/>
  <c r="FWN18" i="10"/>
  <c r="FXD18" i="10"/>
  <c r="FXT18" i="10"/>
  <c r="FYJ18" i="10"/>
  <c r="FYZ18" i="10"/>
  <c r="FZP18" i="10"/>
  <c r="GAF18" i="10"/>
  <c r="GAV18" i="10"/>
  <c r="GBL18" i="10"/>
  <c r="GCB18" i="10"/>
  <c r="GCR18" i="10"/>
  <c r="GDH18" i="10"/>
  <c r="GDX18" i="10"/>
  <c r="GEN18" i="10"/>
  <c r="GFD18" i="10"/>
  <c r="GFT18" i="10"/>
  <c r="GGJ18" i="10"/>
  <c r="GGZ18" i="10"/>
  <c r="GHP18" i="10"/>
  <c r="GIF18" i="10"/>
  <c r="GIV18" i="10"/>
  <c r="GJL18" i="10"/>
  <c r="GKB18" i="10"/>
  <c r="GKR18" i="10"/>
  <c r="GLH18" i="10"/>
  <c r="GLX18" i="10"/>
  <c r="GMN18" i="10"/>
  <c r="GND18" i="10"/>
  <c r="GNT18" i="10"/>
  <c r="GOJ18" i="10"/>
  <c r="GOZ18" i="10"/>
  <c r="GPP18" i="10"/>
  <c r="GQF18" i="10"/>
  <c r="GQV18" i="10"/>
  <c r="GRL18" i="10"/>
  <c r="GSB18" i="10"/>
  <c r="GSR18" i="10"/>
  <c r="GTH18" i="10"/>
  <c r="GTX18" i="10"/>
  <c r="GUN18" i="10"/>
  <c r="GVD18" i="10"/>
  <c r="GVT18" i="10"/>
  <c r="GWJ18" i="10"/>
  <c r="GWZ18" i="10"/>
  <c r="GXP18" i="10"/>
  <c r="GYF18" i="10"/>
  <c r="GYV18" i="10"/>
  <c r="GZL18" i="10"/>
  <c r="HAB18" i="10"/>
  <c r="HAR18" i="10"/>
  <c r="HBH18" i="10"/>
  <c r="HBX18" i="10"/>
  <c r="HCN18" i="10"/>
  <c r="HDD18" i="10"/>
  <c r="CKU18" i="10"/>
  <c r="CUQ18" i="10"/>
  <c r="DEM18" i="10"/>
  <c r="DOI18" i="10"/>
  <c r="DYE18" i="10"/>
  <c r="ECP18" i="10"/>
  <c r="EFB18" i="10"/>
  <c r="EHN18" i="10"/>
  <c r="EJZ18" i="10"/>
  <c r="EML18" i="10"/>
  <c r="EOX18" i="10"/>
  <c r="ERJ18" i="10"/>
  <c r="ETV18" i="10"/>
  <c r="EWH18" i="10"/>
  <c r="EYT18" i="10"/>
  <c r="FBF18" i="10"/>
  <c r="FDR18" i="10"/>
  <c r="FGD18" i="10"/>
  <c r="FIP18" i="10"/>
  <c r="FLB18" i="10"/>
  <c r="FNC18" i="10"/>
  <c r="FOI18" i="10"/>
  <c r="FPA18" i="10"/>
  <c r="FPQ18" i="10"/>
  <c r="FQG18" i="10"/>
  <c r="FQW18" i="10"/>
  <c r="FRM18" i="10"/>
  <c r="FSC18" i="10"/>
  <c r="FSS18" i="10"/>
  <c r="FTI18" i="10"/>
  <c r="FTY18" i="10"/>
  <c r="FUO18" i="10"/>
  <c r="FVE18" i="10"/>
  <c r="FVU18" i="10"/>
  <c r="FWK18" i="10"/>
  <c r="FXA18" i="10"/>
  <c r="FXQ18" i="10"/>
  <c r="FYG18" i="10"/>
  <c r="FYW18" i="10"/>
  <c r="FZM18" i="10"/>
  <c r="GAC18" i="10"/>
  <c r="GAS18" i="10"/>
  <c r="GBI18" i="10"/>
  <c r="GBY18" i="10"/>
  <c r="GCO18" i="10"/>
  <c r="GDE18" i="10"/>
  <c r="GDU18" i="10"/>
  <c r="GEK18" i="10"/>
  <c r="GFA18" i="10"/>
  <c r="GFQ18" i="10"/>
  <c r="GGG18" i="10"/>
  <c r="GGW18" i="10"/>
  <c r="GHM18" i="10"/>
  <c r="GIC18" i="10"/>
  <c r="GIS18" i="10"/>
  <c r="GJI18" i="10"/>
  <c r="GJY18" i="10"/>
  <c r="GKO18" i="10"/>
  <c r="GLE18" i="10"/>
  <c r="GLU18" i="10"/>
  <c r="GMK18" i="10"/>
  <c r="GNA18" i="10"/>
  <c r="GNQ18" i="10"/>
  <c r="GOG18" i="10"/>
  <c r="GOW18" i="10"/>
  <c r="GPM18" i="10"/>
  <c r="GQC18" i="10"/>
  <c r="GQS18" i="10"/>
  <c r="GRI18" i="10"/>
  <c r="GRY18" i="10"/>
  <c r="GSO18" i="10"/>
  <c r="GTE18" i="10"/>
  <c r="GTU18" i="10"/>
  <c r="GUK18" i="10"/>
  <c r="GVA18" i="10"/>
  <c r="GVQ18" i="10"/>
  <c r="GWG18" i="10"/>
  <c r="GWW18" i="10"/>
  <c r="GXM18" i="10"/>
  <c r="GYC18" i="10"/>
  <c r="GYS18" i="10"/>
  <c r="GZI18" i="10"/>
  <c r="GZY18" i="10"/>
  <c r="HAO18" i="10"/>
  <c r="HBE18" i="10"/>
  <c r="CXS18" i="10"/>
  <c r="EDJ18" i="10"/>
  <c r="ENF18" i="10"/>
  <c r="EXB18" i="10"/>
  <c r="FGX18" i="10"/>
  <c r="FOP18" i="10"/>
  <c r="FRB18" i="10"/>
  <c r="FTN18" i="10"/>
  <c r="FVZ18" i="10"/>
  <c r="FYL18" i="10"/>
  <c r="GAX18" i="10"/>
  <c r="GDJ18" i="10"/>
  <c r="GFV18" i="10"/>
  <c r="GIH18" i="10"/>
  <c r="GKT18" i="10"/>
  <c r="GNF18" i="10"/>
  <c r="GPR18" i="10"/>
  <c r="GSD18" i="10"/>
  <c r="GUP18" i="10"/>
  <c r="GXB18" i="10"/>
  <c r="GZN18" i="10"/>
  <c r="HBR18" i="10"/>
  <c r="HCX18" i="10"/>
  <c r="HDU18" i="10"/>
  <c r="HEK18" i="10"/>
  <c r="HFA18" i="10"/>
  <c r="HFQ18" i="10"/>
  <c r="HGG18" i="10"/>
  <c r="HGW18" i="10"/>
  <c r="HHM18" i="10"/>
  <c r="HIC18" i="10"/>
  <c r="HIS18" i="10"/>
  <c r="HJI18" i="10"/>
  <c r="HJY18" i="10"/>
  <c r="HKO18" i="10"/>
  <c r="HLE18" i="10"/>
  <c r="HLU18" i="10"/>
  <c r="HMK18" i="10"/>
  <c r="HNA18" i="10"/>
  <c r="HNQ18" i="10"/>
  <c r="HOG18" i="10"/>
  <c r="HOW18" i="10"/>
  <c r="HPM18" i="10"/>
  <c r="HQC18" i="10"/>
  <c r="HQS18" i="10"/>
  <c r="HRI18" i="10"/>
  <c r="HRY18" i="10"/>
  <c r="HSO18" i="10"/>
  <c r="HTE18" i="10"/>
  <c r="HTU18" i="10"/>
  <c r="HUK18" i="10"/>
  <c r="HVA18" i="10"/>
  <c r="HVQ18" i="10"/>
  <c r="HWG18" i="10"/>
  <c r="HWW18" i="10"/>
  <c r="HXM18" i="10"/>
  <c r="HYC18" i="10"/>
  <c r="HYS18" i="10"/>
  <c r="HZI18" i="10"/>
  <c r="HZY18" i="10"/>
  <c r="IAO18" i="10"/>
  <c r="IBE18" i="10"/>
  <c r="IBU18" i="10"/>
  <c r="ICK18" i="10"/>
  <c r="IDA18" i="10"/>
  <c r="IDQ18" i="10"/>
  <c r="IEG18" i="10"/>
  <c r="IEW18" i="10"/>
  <c r="IFM18" i="10"/>
  <c r="IGC18" i="10"/>
  <c r="IGS18" i="10"/>
  <c r="IHI18" i="10"/>
  <c r="IHY18" i="10"/>
  <c r="IIO18" i="10"/>
  <c r="IJE18" i="10"/>
  <c r="IJU18" i="10"/>
  <c r="IKK18" i="10"/>
  <c r="ILA18" i="10"/>
  <c r="ILQ18" i="10"/>
  <c r="IMG18" i="10"/>
  <c r="IMW18" i="10"/>
  <c r="INM18" i="10"/>
  <c r="IOC18" i="10"/>
  <c r="IOS18" i="10"/>
  <c r="IPI18" i="10"/>
  <c r="IPY18" i="10"/>
  <c r="IQO18" i="10"/>
  <c r="IRE18" i="10"/>
  <c r="IRU18" i="10"/>
  <c r="ISK18" i="10"/>
  <c r="ITA18" i="10"/>
  <c r="ITQ18" i="10"/>
  <c r="IUG18" i="10"/>
  <c r="IUW18" i="10"/>
  <c r="IVM18" i="10"/>
  <c r="IWC18" i="10"/>
  <c r="IWS18" i="10"/>
  <c r="IXI18" i="10"/>
  <c r="IXY18" i="10"/>
  <c r="IYO18" i="10"/>
  <c r="IZE18" i="10"/>
  <c r="IZU18" i="10"/>
  <c r="JAK18" i="10"/>
  <c r="JBA18" i="10"/>
  <c r="JBQ18" i="10"/>
  <c r="JCG18" i="10"/>
  <c r="JCW18" i="10"/>
  <c r="JDM18" i="10"/>
  <c r="JEC18" i="10"/>
  <c r="JES18" i="10"/>
  <c r="JFI18" i="10"/>
  <c r="DKA18" i="10"/>
  <c r="EGL18" i="10"/>
  <c r="EQH18" i="10"/>
  <c r="FAD18" i="10"/>
  <c r="FJZ18" i="10"/>
  <c r="FPJ18" i="10"/>
  <c r="FRV18" i="10"/>
  <c r="FUH18" i="10"/>
  <c r="FWT18" i="10"/>
  <c r="FZF18" i="10"/>
  <c r="GBR18" i="10"/>
  <c r="GED18" i="10"/>
  <c r="GGP18" i="10"/>
  <c r="GJB18" i="10"/>
  <c r="GLN18" i="10"/>
  <c r="GNZ18" i="10"/>
  <c r="GQL18" i="10"/>
  <c r="GSX18" i="10"/>
  <c r="GVJ18" i="10"/>
  <c r="GXV18" i="10"/>
  <c r="HAH18" i="10"/>
  <c r="HCC18" i="10"/>
  <c r="HDH18" i="10"/>
  <c r="HDZ18" i="10"/>
  <c r="HEP18" i="10"/>
  <c r="HFF18" i="10"/>
  <c r="HFV18" i="10"/>
  <c r="HGL18" i="10"/>
  <c r="HHB18" i="10"/>
  <c r="HHR18" i="10"/>
  <c r="HIH18" i="10"/>
  <c r="HIX18" i="10"/>
  <c r="HJN18" i="10"/>
  <c r="HKD18" i="10"/>
  <c r="HKT18" i="10"/>
  <c r="HLJ18" i="10"/>
  <c r="HLZ18" i="10"/>
  <c r="HMP18" i="10"/>
  <c r="HNF18" i="10"/>
  <c r="HNV18" i="10"/>
  <c r="HOL18" i="10"/>
  <c r="HPB18" i="10"/>
  <c r="HPR18" i="10"/>
  <c r="HQH18" i="10"/>
  <c r="HQX18" i="10"/>
  <c r="HRN18" i="10"/>
  <c r="HSD18" i="10"/>
  <c r="HST18" i="10"/>
  <c r="HTJ18" i="10"/>
  <c r="HTZ18" i="10"/>
  <c r="HUP18" i="10"/>
  <c r="HVF18" i="10"/>
  <c r="HVV18" i="10"/>
  <c r="HWL18" i="10"/>
  <c r="HXB18" i="10"/>
  <c r="HXR18" i="10"/>
  <c r="HYH18" i="10"/>
  <c r="HYX18" i="10"/>
  <c r="HZN18" i="10"/>
  <c r="IAD18" i="10"/>
  <c r="IAT18" i="10"/>
  <c r="IBJ18" i="10"/>
  <c r="IBZ18" i="10"/>
  <c r="DMM18" i="10"/>
  <c r="EHB18" i="10"/>
  <c r="EQX18" i="10"/>
  <c r="FAT18" i="10"/>
  <c r="FKP18" i="10"/>
  <c r="FPN18" i="10"/>
  <c r="FRZ18" i="10"/>
  <c r="FUL18" i="10"/>
  <c r="FWX18" i="10"/>
  <c r="FZJ18" i="10"/>
  <c r="GBV18" i="10"/>
  <c r="GEH18" i="10"/>
  <c r="GGT18" i="10"/>
  <c r="GJF18" i="10"/>
  <c r="GLR18" i="10"/>
  <c r="GOD18" i="10"/>
  <c r="GQP18" i="10"/>
  <c r="GTB18" i="10"/>
  <c r="GVN18" i="10"/>
  <c r="GXZ18" i="10"/>
  <c r="HAL18" i="10"/>
  <c r="HCD18" i="10"/>
  <c r="HDI18" i="10"/>
  <c r="HEA18" i="10"/>
  <c r="HEQ18" i="10"/>
  <c r="HFG18" i="10"/>
  <c r="HFW18" i="10"/>
  <c r="HGM18" i="10"/>
  <c r="HHC18" i="10"/>
  <c r="HHS18" i="10"/>
  <c r="HII18" i="10"/>
  <c r="HIY18" i="10"/>
  <c r="HJO18" i="10"/>
  <c r="HKE18" i="10"/>
  <c r="HKU18" i="10"/>
  <c r="HLK18" i="10"/>
  <c r="HMA18" i="10"/>
  <c r="HMQ18" i="10"/>
  <c r="HNG18" i="10"/>
  <c r="HNW18" i="10"/>
  <c r="HOM18" i="10"/>
  <c r="HPC18" i="10"/>
  <c r="CVG18" i="10"/>
  <c r="ECT18" i="10"/>
  <c r="EMP18" i="10"/>
  <c r="EWL18" i="10"/>
  <c r="FGH18" i="10"/>
  <c r="FOL18" i="10"/>
  <c r="FQX18" i="10"/>
  <c r="FTJ18" i="10"/>
  <c r="FVV18" i="10"/>
  <c r="FYH18" i="10"/>
  <c r="GAT18" i="10"/>
  <c r="GDF18" i="10"/>
  <c r="GFR18" i="10"/>
  <c r="GID18" i="10"/>
  <c r="GKP18" i="10"/>
  <c r="GNB18" i="10"/>
  <c r="GPN18" i="10"/>
  <c r="GRZ18" i="10"/>
  <c r="GUL18" i="10"/>
  <c r="GWX18" i="10"/>
  <c r="GZJ18" i="10"/>
  <c r="HBQ18" i="10"/>
  <c r="HEZ18" i="10"/>
  <c r="HHL18" i="10"/>
  <c r="HJX18" i="10"/>
  <c r="HMJ18" i="10"/>
  <c r="HOV18" i="10"/>
  <c r="HQJ18" i="10"/>
  <c r="HRP18" i="10"/>
  <c r="HSV18" i="10"/>
  <c r="HUB18" i="10"/>
  <c r="HVH18" i="10"/>
  <c r="HWN18" i="10"/>
  <c r="HXT18" i="10"/>
  <c r="HYZ18" i="10"/>
  <c r="IAF18" i="10"/>
  <c r="IBL18" i="10"/>
  <c r="ICM18" i="10"/>
  <c r="IDH18" i="10"/>
  <c r="IED18" i="10"/>
  <c r="IEY18" i="10"/>
  <c r="IFT18" i="10"/>
  <c r="IGP18" i="10"/>
  <c r="IHK18" i="10"/>
  <c r="IIF18" i="10"/>
  <c r="IJB18" i="10"/>
  <c r="IJW18" i="10"/>
  <c r="IKR18" i="10"/>
  <c r="ILN18" i="10"/>
  <c r="IMI18" i="10"/>
  <c r="IND18" i="10"/>
  <c r="INZ18" i="10"/>
  <c r="IOU18" i="10"/>
  <c r="IPP18" i="10"/>
  <c r="IQL18" i="10"/>
  <c r="IRG18" i="10"/>
  <c r="ISB18" i="10"/>
  <c r="ISX18" i="10"/>
  <c r="ITS18" i="10"/>
  <c r="IUN18" i="10"/>
  <c r="IVJ18" i="10"/>
  <c r="IWE18" i="10"/>
  <c r="IWZ18" i="10"/>
  <c r="IXV18" i="10"/>
  <c r="HDE18" i="10"/>
  <c r="HFT18" i="10"/>
  <c r="HIF18" i="10"/>
  <c r="HKR18" i="10"/>
  <c r="HND18" i="10"/>
  <c r="HPO18" i="10"/>
  <c r="HQU18" i="10"/>
  <c r="HSA18" i="10"/>
  <c r="HTG18" i="10"/>
  <c r="HUM18" i="10"/>
  <c r="HVS18" i="10"/>
  <c r="HWY18" i="10"/>
  <c r="HYE18" i="10"/>
  <c r="HZK18" i="10"/>
  <c r="IAQ18" i="10"/>
  <c r="IBW18" i="10"/>
  <c r="ICT18" i="10"/>
  <c r="IDO18" i="10"/>
  <c r="IEJ18" i="10"/>
  <c r="IFF18" i="10"/>
  <c r="IGA18" i="10"/>
  <c r="IGV18" i="10"/>
  <c r="IHR18" i="10"/>
  <c r="IIM18" i="10"/>
  <c r="IJH18" i="10"/>
  <c r="IKD18" i="10"/>
  <c r="IKY18" i="10"/>
  <c r="ILT18" i="10"/>
  <c r="IMP18" i="10"/>
  <c r="INK18" i="10"/>
  <c r="IOF18" i="10"/>
  <c r="IPB18" i="10"/>
  <c r="IPW18" i="10"/>
  <c r="IQR18" i="10"/>
  <c r="IRN18" i="10"/>
  <c r="ISI18" i="10"/>
  <c r="ITD18" i="10"/>
  <c r="ITZ18" i="10"/>
  <c r="IUU18" i="10"/>
  <c r="IVP18" i="10"/>
  <c r="IWL18" i="10"/>
  <c r="IXG18" i="10"/>
  <c r="IYB18" i="10"/>
  <c r="HEB18" i="10"/>
  <c r="HGN18" i="10"/>
  <c r="HIZ18" i="10"/>
  <c r="HLL18" i="10"/>
  <c r="HNX18" i="10"/>
  <c r="HPX18" i="10"/>
  <c r="HRD18" i="10"/>
  <c r="HSJ18" i="10"/>
  <c r="HTP18" i="10"/>
  <c r="HUV18" i="10"/>
  <c r="HWB18" i="10"/>
  <c r="HXH18" i="10"/>
  <c r="HYN18" i="10"/>
  <c r="HZT18" i="10"/>
  <c r="IAZ18" i="10"/>
  <c r="ICE18" i="10"/>
  <c r="ICZ18" i="10"/>
  <c r="IDV18" i="10"/>
  <c r="IEQ18" i="10"/>
  <c r="IFL18" i="10"/>
  <c r="IGH18" i="10"/>
  <c r="IHC18" i="10"/>
  <c r="IHX18" i="10"/>
  <c r="IIT18" i="10"/>
  <c r="IJO18" i="10"/>
  <c r="IKJ18" i="10"/>
  <c r="ILF18" i="10"/>
  <c r="IMA18" i="10"/>
  <c r="IMV18" i="10"/>
  <c r="INR18" i="10"/>
  <c r="IOM18" i="10"/>
  <c r="IPH18" i="10"/>
  <c r="IQD18" i="10"/>
  <c r="IQY18" i="10"/>
  <c r="IRT18" i="10"/>
  <c r="ISP18" i="10"/>
  <c r="ITK18" i="10"/>
  <c r="IUF18" i="10"/>
  <c r="IVB18" i="10"/>
  <c r="IVW18" i="10"/>
  <c r="IWR18" i="10"/>
  <c r="IXN18" i="10"/>
  <c r="IYI18" i="10"/>
  <c r="IZD18" i="10"/>
  <c r="IZZ18" i="10"/>
  <c r="JAU18" i="10"/>
  <c r="JBP18" i="10"/>
  <c r="JCL18" i="10"/>
  <c r="JDG18" i="10"/>
  <c r="JEB18" i="10"/>
  <c r="JEX18" i="10"/>
  <c r="JFQ18" i="10"/>
  <c r="JGG18" i="10"/>
  <c r="JGW18" i="10"/>
  <c r="JHM18" i="10"/>
  <c r="JIC18" i="10"/>
  <c r="JIS18" i="10"/>
  <c r="JJI18" i="10"/>
  <c r="JJY18" i="10"/>
  <c r="JKO18" i="10"/>
  <c r="HCO18" i="10"/>
  <c r="HFL18" i="10"/>
  <c r="HHX18" i="10"/>
  <c r="HKJ18" i="10"/>
  <c r="HMV18" i="10"/>
  <c r="HPH18" i="10"/>
  <c r="HQQ18" i="10"/>
  <c r="HRW18" i="10"/>
  <c r="HTC18" i="10"/>
  <c r="HUI18" i="10"/>
  <c r="HVO18" i="10"/>
  <c r="HWU18" i="10"/>
  <c r="HYA18" i="10"/>
  <c r="HZG18" i="10"/>
  <c r="IAM18" i="10"/>
  <c r="IBS18" i="10"/>
  <c r="ICQ18" i="10"/>
  <c r="IDL18" i="10"/>
  <c r="IEH18" i="10"/>
  <c r="IFC18" i="10"/>
  <c r="IFX18" i="10"/>
  <c r="IGT18" i="10"/>
  <c r="IHO18" i="10"/>
  <c r="IIJ18" i="10"/>
  <c r="IJF18" i="10"/>
  <c r="IKA18" i="10"/>
  <c r="IKV18" i="10"/>
  <c r="ILR18" i="10"/>
  <c r="IMM18" i="10"/>
  <c r="INH18" i="10"/>
  <c r="IOD18" i="10"/>
  <c r="IOY18" i="10"/>
  <c r="IPT18" i="10"/>
  <c r="IQP18" i="10"/>
  <c r="IRK18" i="10"/>
  <c r="ISF18" i="10"/>
  <c r="ITB18" i="10"/>
  <c r="ITW18" i="10"/>
  <c r="IUR18" i="10"/>
  <c r="IVN18" i="10"/>
  <c r="IWI18" i="10"/>
  <c r="IXD18" i="10"/>
  <c r="IXZ18" i="10"/>
  <c r="IYX18" i="10"/>
  <c r="JAA18" i="10"/>
  <c r="JBC18" i="10"/>
  <c r="JCE18" i="10"/>
  <c r="JDH18" i="10"/>
  <c r="JEJ18" i="10"/>
  <c r="JFL18" i="10"/>
  <c r="JGH18" i="10"/>
  <c r="JHC18" i="10"/>
  <c r="JHX18" i="10"/>
  <c r="JIT18" i="10"/>
  <c r="JJO18" i="10"/>
  <c r="JKJ18" i="10"/>
  <c r="JLE18" i="10"/>
  <c r="JLU18" i="10"/>
  <c r="JMK18" i="10"/>
  <c r="JNA18" i="10"/>
  <c r="JNQ18" i="10"/>
  <c r="JOG18" i="10"/>
  <c r="JOW18" i="10"/>
  <c r="JPM18" i="10"/>
  <c r="JQC18" i="10"/>
  <c r="JQS18" i="10"/>
  <c r="JRI18" i="10"/>
  <c r="JRY18" i="10"/>
  <c r="JSO18" i="10"/>
  <c r="JTE18" i="10"/>
  <c r="JTU18" i="10"/>
  <c r="JUK18" i="10"/>
  <c r="JVA18" i="10"/>
  <c r="JVQ18" i="10"/>
  <c r="JWG18" i="10"/>
  <c r="JWW18" i="10"/>
  <c r="JXM18" i="10"/>
  <c r="JYC18" i="10"/>
  <c r="JYS18" i="10"/>
  <c r="JZI18" i="10"/>
  <c r="JZY18" i="10"/>
  <c r="KAO18" i="10"/>
  <c r="KBE18" i="10"/>
  <c r="KBU18" i="10"/>
  <c r="KCK18" i="10"/>
  <c r="KDA18" i="10"/>
  <c r="KDQ18" i="10"/>
  <c r="KEG18" i="10"/>
  <c r="KEW18" i="10"/>
  <c r="KFM18" i="10"/>
  <c r="KGC18" i="10"/>
  <c r="KGS18" i="10"/>
  <c r="KHI18" i="10"/>
  <c r="KHY18" i="10"/>
  <c r="KIO18" i="10"/>
  <c r="KJE18" i="10"/>
  <c r="KJU18" i="10"/>
  <c r="KKK18" i="10"/>
  <c r="KLA18" i="10"/>
  <c r="KLQ18" i="10"/>
  <c r="KMG18" i="10"/>
  <c r="KMW18" i="10"/>
  <c r="KNM18" i="10"/>
  <c r="KOC18" i="10"/>
  <c r="KOS18" i="10"/>
  <c r="KPI18" i="10"/>
  <c r="KPY18" i="10"/>
  <c r="KQO18" i="10"/>
  <c r="KRE18" i="10"/>
  <c r="KRU18" i="10"/>
  <c r="KSK18" i="10"/>
  <c r="KTA18" i="10"/>
  <c r="KTQ18" i="10"/>
  <c r="KUG18" i="10"/>
  <c r="KUW18" i="10"/>
  <c r="KVM18" i="10"/>
  <c r="KWC18" i="10"/>
  <c r="KWS18" i="10"/>
  <c r="KXI18" i="10"/>
  <c r="KXY18" i="10"/>
  <c r="KYO18" i="10"/>
  <c r="KZE18" i="10"/>
  <c r="KZU18" i="10"/>
  <c r="LAK18" i="10"/>
  <c r="LBA18" i="10"/>
  <c r="LBQ18" i="10"/>
  <c r="LCG18" i="10"/>
  <c r="LCW18" i="10"/>
  <c r="LDM18" i="10"/>
  <c r="LEC18" i="10"/>
  <c r="LES18" i="10"/>
  <c r="LFI18" i="10"/>
  <c r="LFY18" i="10"/>
  <c r="LGO18" i="10"/>
  <c r="LHE18" i="10"/>
  <c r="LHU18" i="10"/>
  <c r="IYZ18" i="10"/>
  <c r="JAB18" i="10"/>
  <c r="JBD18" i="10"/>
  <c r="JCH18" i="10"/>
  <c r="JDJ18" i="10"/>
  <c r="JEL18" i="10"/>
  <c r="JFN18" i="10"/>
  <c r="JGI18" i="10"/>
  <c r="JHD18" i="10"/>
  <c r="JHZ18" i="10"/>
  <c r="JIU18" i="10"/>
  <c r="JJP18" i="10"/>
  <c r="JKL18" i="10"/>
  <c r="JLF18" i="10"/>
  <c r="JLV18" i="10"/>
  <c r="JML18" i="10"/>
  <c r="JNB18" i="10"/>
  <c r="JNR18" i="10"/>
  <c r="JOH18" i="10"/>
  <c r="JOX18" i="10"/>
  <c r="JPN18" i="10"/>
  <c r="JQD18" i="10"/>
  <c r="JQT18" i="10"/>
  <c r="JRJ18" i="10"/>
  <c r="JRZ18" i="10"/>
  <c r="JSP18" i="10"/>
  <c r="JTF18" i="10"/>
  <c r="JTV18" i="10"/>
  <c r="JUL18" i="10"/>
  <c r="JVB18" i="10"/>
  <c r="JVR18" i="10"/>
  <c r="JWH18" i="10"/>
  <c r="JWX18" i="10"/>
  <c r="JXN18" i="10"/>
  <c r="Y19" i="10"/>
  <c r="K18" i="10"/>
  <c r="AA18" i="10"/>
  <c r="AP18" i="10"/>
  <c r="BF18" i="10"/>
  <c r="BV18" i="10"/>
  <c r="CL18" i="10"/>
  <c r="DB18" i="10"/>
  <c r="DR18" i="10"/>
  <c r="EH18" i="10"/>
  <c r="R19" i="10"/>
  <c r="D18" i="10"/>
  <c r="T18" i="10"/>
  <c r="AI18" i="10"/>
  <c r="AY18" i="10"/>
  <c r="BO18" i="10"/>
  <c r="CE18" i="10"/>
  <c r="CU18" i="10"/>
  <c r="DK18" i="10"/>
  <c r="EA18" i="10"/>
  <c r="EQ18" i="10"/>
  <c r="FG18" i="10"/>
  <c r="FW18" i="10"/>
  <c r="GM18" i="10"/>
  <c r="HC18" i="10"/>
  <c r="HS18" i="10"/>
  <c r="II18" i="10"/>
  <c r="IY18" i="10"/>
  <c r="JO18" i="10"/>
  <c r="KE18" i="10"/>
  <c r="KU18" i="10"/>
  <c r="LK18" i="10"/>
  <c r="M18" i="10"/>
  <c r="AR18" i="10"/>
  <c r="BX18" i="10"/>
  <c r="DD18" i="10"/>
  <c r="EJ18" i="10"/>
  <c r="FI18" i="10"/>
  <c r="GD18" i="10"/>
  <c r="GZ18" i="10"/>
  <c r="HU18" i="10"/>
  <c r="IP18" i="10"/>
  <c r="JL18" i="10"/>
  <c r="KG18" i="10"/>
  <c r="LB18" i="10"/>
  <c r="LU18" i="10"/>
  <c r="MK18" i="10"/>
  <c r="NA18" i="10"/>
  <c r="NQ18" i="10"/>
  <c r="OG18" i="10"/>
  <c r="OW18" i="10"/>
  <c r="PM18" i="10"/>
  <c r="QC18" i="10"/>
  <c r="F18" i="10"/>
  <c r="AK18" i="10"/>
  <c r="BQ18" i="10"/>
  <c r="CW18" i="10"/>
  <c r="EC18" i="10"/>
  <c r="FE18" i="10"/>
  <c r="FZ18" i="10"/>
  <c r="GV18" i="10"/>
  <c r="HQ18" i="10"/>
  <c r="IL18" i="10"/>
  <c r="JH18" i="10"/>
  <c r="KC18" i="10"/>
  <c r="KX18" i="10"/>
  <c r="I18" i="10"/>
  <c r="BT18" i="10"/>
  <c r="EF18" i="10"/>
  <c r="GB18" i="10"/>
  <c r="HR18" i="10"/>
  <c r="JI18" i="10"/>
  <c r="KZ18" i="10"/>
  <c r="MA18" i="10"/>
  <c r="MV18" i="10"/>
  <c r="NR18" i="10"/>
  <c r="OM18" i="10"/>
  <c r="PH18" i="10"/>
  <c r="QD18" i="10"/>
  <c r="QU18" i="10"/>
  <c r="RK18" i="10"/>
  <c r="SA18" i="10"/>
  <c r="SQ18" i="10"/>
  <c r="TG18" i="10"/>
  <c r="TW18" i="10"/>
  <c r="UM18" i="10"/>
  <c r="VC18" i="10"/>
  <c r="VS18" i="10"/>
  <c r="WI18" i="10"/>
  <c r="WY18" i="10"/>
  <c r="XO18" i="10"/>
  <c r="YE18" i="10"/>
  <c r="YU18" i="10"/>
  <c r="ZK18" i="10"/>
  <c r="AAA18" i="10"/>
  <c r="AAQ18" i="10"/>
  <c r="ABG18" i="10"/>
  <c r="ABW18" i="10"/>
  <c r="ACM18" i="10"/>
  <c r="ADC18" i="10"/>
  <c r="ADS18" i="10"/>
  <c r="AEI18" i="10"/>
  <c r="AEY18" i="10"/>
  <c r="AFO18" i="10"/>
  <c r="AGE18" i="10"/>
  <c r="AGU18" i="10"/>
  <c r="AHK18" i="10"/>
  <c r="AIA18" i="10"/>
  <c r="AIQ18" i="10"/>
  <c r="AO18" i="10"/>
  <c r="DA18" i="10"/>
  <c r="FH18" i="10"/>
  <c r="GX18" i="10"/>
  <c r="IO18" i="10"/>
  <c r="KF18" i="10"/>
  <c r="LR18" i="10"/>
  <c r="MM18" i="10"/>
  <c r="NH18" i="10"/>
  <c r="OD18" i="10"/>
  <c r="OY18" i="10"/>
  <c r="PT18" i="10"/>
  <c r="QN18" i="10"/>
  <c r="RD18" i="10"/>
  <c r="RT18" i="10"/>
  <c r="SJ18" i="10"/>
  <c r="SZ18" i="10"/>
  <c r="TP18" i="10"/>
  <c r="UF18" i="10"/>
  <c r="UV18" i="10"/>
  <c r="VL18" i="10"/>
  <c r="WB18" i="10"/>
  <c r="WR18" i="10"/>
  <c r="XH18" i="10"/>
  <c r="XX18" i="10"/>
  <c r="YN18" i="10"/>
  <c r="ZD18" i="10"/>
  <c r="ZT18" i="10"/>
  <c r="AAJ18" i="10"/>
  <c r="AAZ18" i="10"/>
  <c r="ABP18" i="10"/>
  <c r="ACF18" i="10"/>
  <c r="ACV18" i="10"/>
  <c r="CR18" i="10"/>
  <c r="GR18" i="10"/>
  <c r="JY18" i="10"/>
  <c r="MI18" i="10"/>
  <c r="NZ18" i="10"/>
  <c r="PP18" i="10"/>
  <c r="RA18" i="10"/>
  <c r="SG18" i="10"/>
  <c r="TM18" i="10"/>
  <c r="US18" i="10"/>
  <c r="VY18" i="10"/>
  <c r="XE18" i="10"/>
  <c r="YK18" i="10"/>
  <c r="ZQ18" i="10"/>
  <c r="AAW18" i="10"/>
  <c r="ACC18" i="10"/>
  <c r="ADE18" i="10"/>
  <c r="ADZ18" i="10"/>
  <c r="AEV18" i="10"/>
  <c r="AFQ18" i="10"/>
  <c r="AGL18" i="10"/>
  <c r="AHH18" i="10"/>
  <c r="AIC18" i="10"/>
  <c r="AIW18" i="10"/>
  <c r="AJM18" i="10"/>
  <c r="AKC18" i="10"/>
  <c r="AKS18" i="10"/>
  <c r="ALI18" i="10"/>
  <c r="ALY18" i="10"/>
  <c r="AMO18" i="10"/>
  <c r="ANE18" i="10"/>
  <c r="ANU18" i="10"/>
  <c r="AOK18" i="10"/>
  <c r="APA18" i="10"/>
  <c r="APQ18" i="10"/>
  <c r="AQG18" i="10"/>
  <c r="AQW18" i="10"/>
  <c r="ARM18" i="10"/>
  <c r="ASC18" i="10"/>
  <c r="ASS18" i="10"/>
  <c r="ATI18" i="10"/>
  <c r="ATY18" i="10"/>
  <c r="AUO18" i="10"/>
  <c r="AVE18" i="10"/>
  <c r="AVU18" i="10"/>
  <c r="AWK18" i="10"/>
  <c r="AXA18" i="10"/>
  <c r="AXQ18" i="10"/>
  <c r="AYG18" i="10"/>
  <c r="AYW18" i="10"/>
  <c r="AZM18" i="10"/>
  <c r="BAC18" i="10"/>
  <c r="BAS18" i="10"/>
  <c r="BBI18" i="10"/>
  <c r="BBY18" i="10"/>
  <c r="BCO18" i="10"/>
  <c r="BDE18" i="10"/>
  <c r="BDU18" i="10"/>
  <c r="BEK18" i="10"/>
  <c r="BFA18" i="10"/>
  <c r="BFQ18" i="10"/>
  <c r="BGG18" i="10"/>
  <c r="BGW18" i="10"/>
  <c r="BHM18" i="10"/>
  <c r="BIC18" i="10"/>
  <c r="BIS18" i="10"/>
  <c r="BJI18" i="10"/>
  <c r="BJY18" i="10"/>
  <c r="AG18" i="10"/>
  <c r="FB18" i="10"/>
  <c r="IJ18" i="10"/>
  <c r="LO18" i="10"/>
  <c r="NF18" i="10"/>
  <c r="OV18" i="10"/>
  <c r="QL18" i="10"/>
  <c r="RR18" i="10"/>
  <c r="SX18" i="10"/>
  <c r="UD18" i="10"/>
  <c r="VJ18" i="10"/>
  <c r="WP18" i="10"/>
  <c r="XV18" i="10"/>
  <c r="ZB18" i="10"/>
  <c r="AAH18" i="10"/>
  <c r="ABN18" i="10"/>
  <c r="ACT18" i="10"/>
  <c r="ADQ18" i="10"/>
  <c r="AEL18" i="10"/>
  <c r="AFH18" i="10"/>
  <c r="AGC18" i="10"/>
  <c r="AGX18" i="10"/>
  <c r="AHT18" i="10"/>
  <c r="AIO18" i="10"/>
  <c r="AJF18" i="10"/>
  <c r="AJV18" i="10"/>
  <c r="AKL18" i="10"/>
  <c r="ALB18" i="10"/>
  <c r="ALR18" i="10"/>
  <c r="AMH18" i="10"/>
  <c r="AMX18" i="10"/>
  <c r="ANN18" i="10"/>
  <c r="AOD18" i="10"/>
  <c r="AOT18" i="10"/>
  <c r="APJ18" i="10"/>
  <c r="APZ18" i="10"/>
  <c r="AQP18" i="10"/>
  <c r="ARF18" i="10"/>
  <c r="ARV18" i="10"/>
  <c r="ASL18" i="10"/>
  <c r="ATB18" i="10"/>
  <c r="ATR18" i="10"/>
  <c r="AUH18" i="10"/>
  <c r="GG18" i="10"/>
  <c r="MD18" i="10"/>
  <c r="PK18" i="10"/>
  <c r="SC18" i="10"/>
  <c r="UO18" i="10"/>
  <c r="XA18" i="10"/>
  <c r="ZM18" i="10"/>
  <c r="ABY18" i="10"/>
  <c r="ADX18" i="10"/>
  <c r="AFN18" i="10"/>
  <c r="AHE18" i="10"/>
  <c r="AIU18" i="10"/>
  <c r="AKA18" i="10"/>
  <c r="ALG18" i="10"/>
  <c r="AMM18" i="10"/>
  <c r="ANS18" i="10"/>
  <c r="AOY18" i="10"/>
  <c r="AQE18" i="10"/>
  <c r="ARK18" i="10"/>
  <c r="ASQ18" i="10"/>
  <c r="ATW18" i="10"/>
  <c r="AUV18" i="10"/>
  <c r="AVR18" i="10"/>
  <c r="AWM18" i="10"/>
  <c r="AXH18" i="10"/>
  <c r="AYD18" i="10"/>
  <c r="AYY18" i="10"/>
  <c r="AZT18" i="10"/>
  <c r="BAP18" i="10"/>
  <c r="BBK18" i="10"/>
  <c r="BCF18" i="10"/>
  <c r="BDB18" i="10"/>
  <c r="BDW18" i="10"/>
  <c r="BER18" i="10"/>
  <c r="BFN18" i="10"/>
  <c r="BGI18" i="10"/>
  <c r="BHD18" i="10"/>
  <c r="BHZ18" i="10"/>
  <c r="BIU18" i="10"/>
  <c r="BJP18" i="10"/>
  <c r="BKK18" i="10"/>
  <c r="BLA18" i="10"/>
  <c r="BLQ18" i="10"/>
  <c r="BMG18" i="10"/>
  <c r="BMW18" i="10"/>
  <c r="BNM18" i="10"/>
  <c r="BOC18" i="10"/>
  <c r="BOS18" i="10"/>
  <c r="BPI18" i="10"/>
  <c r="BPY18" i="10"/>
  <c r="BQO18" i="10"/>
  <c r="BRE18" i="10"/>
  <c r="BRU18" i="10"/>
  <c r="BSK18" i="10"/>
  <c r="BTA18" i="10"/>
  <c r="BTQ18" i="10"/>
  <c r="BUG18" i="10"/>
  <c r="BUW18" i="10"/>
  <c r="BVM18" i="10"/>
  <c r="BWC18" i="10"/>
  <c r="BWS18" i="10"/>
  <c r="BXI18" i="10"/>
  <c r="R18" i="10"/>
  <c r="HY18" i="10"/>
  <c r="MZ18" i="10"/>
  <c r="QH18" i="10"/>
  <c r="ST18" i="10"/>
  <c r="VF18" i="10"/>
  <c r="XR18" i="10"/>
  <c r="AAD18" i="10"/>
  <c r="ACP18" i="10"/>
  <c r="AEJ18" i="10"/>
  <c r="AFZ18" i="10"/>
  <c r="AHQ18" i="10"/>
  <c r="AJD18" i="10"/>
  <c r="AKJ18" i="10"/>
  <c r="ALP18" i="10"/>
  <c r="AMV18" i="10"/>
  <c r="AOB18" i="10"/>
  <c r="APH18" i="10"/>
  <c r="AQN18" i="10"/>
  <c r="ART18" i="10"/>
  <c r="ASZ18" i="10"/>
  <c r="AUF18" i="10"/>
  <c r="AVC18" i="10"/>
  <c r="AVX18" i="10"/>
  <c r="AWT18" i="10"/>
  <c r="AXO18" i="10"/>
  <c r="AYJ18" i="10"/>
  <c r="AZF18" i="10"/>
  <c r="BAA18" i="10"/>
  <c r="BAV18" i="10"/>
  <c r="BBR18" i="10"/>
  <c r="BCM18" i="10"/>
  <c r="BDH18" i="10"/>
  <c r="BED18" i="10"/>
  <c r="BEY18" i="10"/>
  <c r="BFT18" i="10"/>
  <c r="BGP18" i="10"/>
  <c r="BHK18" i="10"/>
  <c r="BIF18" i="10"/>
  <c r="BJB18" i="10"/>
  <c r="BJW18" i="10"/>
  <c r="BKP18" i="10"/>
  <c r="BLF18" i="10"/>
  <c r="BLV18" i="10"/>
  <c r="BML18" i="10"/>
  <c r="BNB18" i="10"/>
  <c r="BNR18" i="10"/>
  <c r="BOH18" i="10"/>
  <c r="BOX18" i="10"/>
  <c r="BPN18" i="10"/>
  <c r="BQD18" i="10"/>
  <c r="BQT18" i="10"/>
  <c r="BRJ18" i="10"/>
  <c r="BRZ18" i="10"/>
  <c r="BSP18" i="10"/>
  <c r="BTF18" i="10"/>
  <c r="BTV18" i="10"/>
  <c r="BUL18" i="10"/>
  <c r="BVB18" i="10"/>
  <c r="BVR18" i="10"/>
  <c r="BWH18" i="10"/>
  <c r="BWX18" i="10"/>
  <c r="BXN18" i="10"/>
  <c r="DH18" i="10"/>
  <c r="KJ18" i="10"/>
  <c r="OE18" i="10"/>
  <c r="RE18" i="10"/>
  <c r="TQ18" i="10"/>
  <c r="WC18" i="10"/>
  <c r="YO18" i="10"/>
  <c r="ABA18" i="10"/>
  <c r="ADH18" i="10"/>
  <c r="AEX18" i="10"/>
  <c r="AGO18" i="10"/>
  <c r="AIF18" i="10"/>
  <c r="AJO18" i="10"/>
  <c r="AKU18" i="10"/>
  <c r="AMA18" i="10"/>
  <c r="ANG18" i="10"/>
  <c r="AOM18" i="10"/>
  <c r="APS18" i="10"/>
  <c r="AQY18" i="10"/>
  <c r="ASE18" i="10"/>
  <c r="ATK18" i="10"/>
  <c r="AW18" i="10"/>
  <c r="TB18" i="10"/>
  <c r="ACX18" i="10"/>
  <c r="AJH18" i="10"/>
  <c r="AOF18" i="10"/>
  <c r="ATD18" i="10"/>
  <c r="AVP18" i="10"/>
  <c r="AXG18" i="10"/>
  <c r="AYX18" i="10"/>
  <c r="BAN18" i="10"/>
  <c r="BCE18" i="10"/>
  <c r="BDV18" i="10"/>
  <c r="BFL18" i="10"/>
  <c r="BHC18" i="10"/>
  <c r="BIT18" i="10"/>
  <c r="BKJ18" i="10"/>
  <c r="BLP18" i="10"/>
  <c r="BMV18" i="10"/>
  <c r="BOB18" i="10"/>
  <c r="BPH18" i="10"/>
  <c r="BQN18" i="10"/>
  <c r="BRT18" i="10"/>
  <c r="BSZ18" i="10"/>
  <c r="BUF18" i="10"/>
  <c r="BVL18" i="10"/>
  <c r="BWR18" i="10"/>
  <c r="BXX18" i="10"/>
  <c r="BYN18" i="10"/>
  <c r="BZD18" i="10"/>
  <c r="BZT18" i="10"/>
  <c r="CAJ18" i="10"/>
  <c r="CAZ18" i="10"/>
  <c r="CBP18" i="10"/>
  <c r="CCF18" i="10"/>
  <c r="CCV18" i="10"/>
  <c r="CDL18" i="10"/>
  <c r="CEB18" i="10"/>
  <c r="CER18" i="10"/>
  <c r="CFH18" i="10"/>
  <c r="CFX18" i="10"/>
  <c r="CGN18" i="10"/>
  <c r="CHD18" i="10"/>
  <c r="CHT18" i="10"/>
  <c r="KK18" i="10"/>
  <c r="WD18" i="10"/>
  <c r="AEZ18" i="10"/>
  <c r="AKV18" i="10"/>
  <c r="APT18" i="10"/>
  <c r="AUN18" i="10"/>
  <c r="AWE18" i="10"/>
  <c r="AXV18" i="10"/>
  <c r="AZL18" i="10"/>
  <c r="BBC18" i="10"/>
  <c r="BCT18" i="10"/>
  <c r="BEJ18" i="10"/>
  <c r="BGA18" i="10"/>
  <c r="BHR18" i="10"/>
  <c r="BJH18" i="10"/>
  <c r="BKU18" i="10"/>
  <c r="BMA18" i="10"/>
  <c r="BNG18" i="10"/>
  <c r="BOM18" i="10"/>
  <c r="BPS18" i="10"/>
  <c r="BQY18" i="10"/>
  <c r="BSE18" i="10"/>
  <c r="BTK18" i="10"/>
  <c r="BUQ18" i="10"/>
  <c r="BVW18" i="10"/>
  <c r="BXC18" i="10"/>
  <c r="BYC18" i="10"/>
  <c r="BYS18" i="10"/>
  <c r="BZI18" i="10"/>
  <c r="BZY18" i="10"/>
  <c r="CAO18" i="10"/>
  <c r="CBE18" i="10"/>
  <c r="CBU18" i="10"/>
  <c r="CCK18" i="10"/>
  <c r="CDA18" i="10"/>
  <c r="CDQ18" i="10"/>
  <c r="CEG18" i="10"/>
  <c r="CEW18" i="10"/>
  <c r="CFM18" i="10"/>
  <c r="CGC18" i="10"/>
  <c r="CGS18" i="10"/>
  <c r="CHI18" i="10"/>
  <c r="CHY18" i="10"/>
  <c r="PB18" i="10"/>
  <c r="ZF18" i="10"/>
  <c r="AHA18" i="10"/>
  <c r="AMJ18" i="10"/>
  <c r="ARH18" i="10"/>
  <c r="AUZ18" i="10"/>
  <c r="AWQ18" i="10"/>
  <c r="AYH18" i="10"/>
  <c r="AZX18" i="10"/>
  <c r="BBO18" i="10"/>
  <c r="BDF18" i="10"/>
  <c r="BEV18" i="10"/>
  <c r="BGM18" i="10"/>
  <c r="BID18" i="10"/>
  <c r="BJT18" i="10"/>
  <c r="BLD18" i="10"/>
  <c r="BMJ18" i="10"/>
  <c r="BNP18" i="10"/>
  <c r="BOV18" i="10"/>
  <c r="BQB18" i="10"/>
  <c r="BRH18" i="10"/>
  <c r="BSN18" i="10"/>
  <c r="BTT18" i="10"/>
  <c r="BUZ18" i="10"/>
  <c r="BWF18" i="10"/>
  <c r="BXL18" i="10"/>
  <c r="BYH18" i="10"/>
  <c r="BYX18" i="10"/>
  <c r="BZN18" i="10"/>
  <c r="CAD18" i="10"/>
  <c r="CAT18" i="10"/>
  <c r="CBJ18" i="10"/>
  <c r="CBZ18" i="10"/>
  <c r="CCP18" i="10"/>
  <c r="CDF18" i="10"/>
  <c r="CDV18" i="10"/>
  <c r="CEL18" i="10"/>
  <c r="CFB18" i="10"/>
  <c r="CFR18" i="10"/>
  <c r="CGH18" i="10"/>
  <c r="CGX18" i="10"/>
  <c r="CHN18" i="10"/>
  <c r="HD18" i="10"/>
  <c r="APD18" i="10"/>
  <c r="AZG18" i="10"/>
  <c r="BFV18" i="10"/>
  <c r="BLW18" i="10"/>
  <c r="BQU18" i="10"/>
  <c r="BVS18" i="10"/>
  <c r="BZG18" i="10"/>
  <c r="CBS18" i="10"/>
  <c r="CEE18" i="10"/>
  <c r="CGQ18" i="10"/>
  <c r="CIJ18" i="10"/>
  <c r="CIZ18" i="10"/>
  <c r="CJP18" i="10"/>
  <c r="CKF18" i="10"/>
  <c r="CKV18" i="10"/>
  <c r="CLL18" i="10"/>
  <c r="CMB18" i="10"/>
  <c r="CMR18" i="10"/>
  <c r="CNH18" i="10"/>
  <c r="CNX18" i="10"/>
  <c r="CON18" i="10"/>
  <c r="CPD18" i="10"/>
  <c r="CPT18" i="10"/>
  <c r="CQJ18" i="10"/>
  <c r="CQZ18" i="10"/>
  <c r="CRP18" i="10"/>
  <c r="CSF18" i="10"/>
  <c r="CSV18" i="10"/>
  <c r="CTL18" i="10"/>
  <c r="CUB18" i="10"/>
  <c r="CUR18" i="10"/>
  <c r="CVH18" i="10"/>
  <c r="CVX18" i="10"/>
  <c r="CWN18" i="10"/>
  <c r="CXD18" i="10"/>
  <c r="CXT18" i="10"/>
  <c r="CYJ18" i="10"/>
  <c r="CYZ18" i="10"/>
  <c r="CZP18" i="10"/>
  <c r="DAF18" i="10"/>
  <c r="DAV18" i="10"/>
  <c r="DBL18" i="10"/>
  <c r="DCB18" i="10"/>
  <c r="DCR18" i="10"/>
  <c r="DDH18" i="10"/>
  <c r="DDX18" i="10"/>
  <c r="DEN18" i="10"/>
  <c r="DFD18" i="10"/>
  <c r="DFT18" i="10"/>
  <c r="DGJ18" i="10"/>
  <c r="DGZ18" i="10"/>
  <c r="DHP18" i="10"/>
  <c r="DIF18" i="10"/>
  <c r="DIV18" i="10"/>
  <c r="DJL18" i="10"/>
  <c r="DKB18" i="10"/>
  <c r="DKR18" i="10"/>
  <c r="DLH18" i="10"/>
  <c r="DLX18" i="10"/>
  <c r="DMN18" i="10"/>
  <c r="DND18" i="10"/>
  <c r="DNT18" i="10"/>
  <c r="DOJ18" i="10"/>
  <c r="DOZ18" i="10"/>
  <c r="DPP18" i="10"/>
  <c r="DQF18" i="10"/>
  <c r="DQV18" i="10"/>
  <c r="DRL18" i="10"/>
  <c r="DSB18" i="10"/>
  <c r="DSR18" i="10"/>
  <c r="DTH18" i="10"/>
  <c r="DTX18" i="10"/>
  <c r="DUN18" i="10"/>
  <c r="DVD18" i="10"/>
  <c r="DVT18" i="10"/>
  <c r="DWJ18" i="10"/>
  <c r="DWZ18" i="10"/>
  <c r="DXP18" i="10"/>
  <c r="DYF18" i="10"/>
  <c r="DYV18" i="10"/>
  <c r="DZL18" i="10"/>
  <c r="EAB18" i="10"/>
  <c r="EAR18" i="10"/>
  <c r="EBH18" i="10"/>
  <c r="EBX18" i="10"/>
  <c r="ALL18" i="10"/>
  <c r="AYA18" i="10"/>
  <c r="BEP18" i="10"/>
  <c r="BKY18" i="10"/>
  <c r="BPW18" i="10"/>
  <c r="BUU18" i="10"/>
  <c r="BYU18" i="10"/>
  <c r="CBG18" i="10"/>
  <c r="CDS18" i="10"/>
  <c r="CGE18" i="10"/>
  <c r="CIG18" i="10"/>
  <c r="CIW18" i="10"/>
  <c r="CJM18" i="10"/>
  <c r="CKC18" i="10"/>
  <c r="CKS18" i="10"/>
  <c r="CLI18" i="10"/>
  <c r="CLY18" i="10"/>
  <c r="CMO18" i="10"/>
  <c r="CNE18" i="10"/>
  <c r="CNU18" i="10"/>
  <c r="COK18" i="10"/>
  <c r="CPA18" i="10"/>
  <c r="CPQ18" i="10"/>
  <c r="CQG18" i="10"/>
  <c r="CQW18" i="10"/>
  <c r="CRM18" i="10"/>
  <c r="CSC18" i="10"/>
  <c r="CSS18" i="10"/>
  <c r="CTI18" i="10"/>
  <c r="CTY18" i="10"/>
  <c r="CUO18" i="10"/>
  <c r="CVE18" i="10"/>
  <c r="CVU18" i="10"/>
  <c r="CWK18" i="10"/>
  <c r="CXA18" i="10"/>
  <c r="CXQ18" i="10"/>
  <c r="CYG18" i="10"/>
  <c r="CYW18" i="10"/>
  <c r="CZM18" i="10"/>
  <c r="DAC18" i="10"/>
  <c r="DAS18" i="10"/>
  <c r="DBI18" i="10"/>
  <c r="DBY18" i="10"/>
  <c r="DCO18" i="10"/>
  <c r="DDE18" i="10"/>
  <c r="DDU18" i="10"/>
  <c r="DEK18" i="10"/>
  <c r="DFA18" i="10"/>
  <c r="DFQ18" i="10"/>
  <c r="DGG18" i="10"/>
  <c r="DGW18" i="10"/>
  <c r="DHM18" i="10"/>
  <c r="DIC18" i="10"/>
  <c r="DIS18" i="10"/>
  <c r="DJI18" i="10"/>
  <c r="DJY18" i="10"/>
  <c r="DKO18" i="10"/>
  <c r="DLE18" i="10"/>
  <c r="DLU18" i="10"/>
  <c r="DMK18" i="10"/>
  <c r="DNA18" i="10"/>
  <c r="DNQ18" i="10"/>
  <c r="DOG18" i="10"/>
  <c r="DOW18" i="10"/>
  <c r="DPM18" i="10"/>
  <c r="DQC18" i="10"/>
  <c r="DQS18" i="10"/>
  <c r="DRI18" i="10"/>
  <c r="DRY18" i="10"/>
  <c r="DSO18" i="10"/>
  <c r="DTE18" i="10"/>
  <c r="DTU18" i="10"/>
  <c r="DUK18" i="10"/>
  <c r="DVA18" i="10"/>
  <c r="DVQ18" i="10"/>
  <c r="DWG18" i="10"/>
  <c r="DWW18" i="10"/>
  <c r="DXM18" i="10"/>
  <c r="DYC18" i="10"/>
  <c r="DYS18" i="10"/>
  <c r="DZI18" i="10"/>
  <c r="DZY18" i="10"/>
  <c r="EAO18" i="10"/>
  <c r="EBE18" i="10"/>
  <c r="ZV18" i="10"/>
  <c r="AVD18" i="10"/>
  <c r="BBS18" i="10"/>
  <c r="BIH18" i="10"/>
  <c r="BNS18" i="10"/>
  <c r="BSQ18" i="10"/>
  <c r="BXO18" i="10"/>
  <c r="CAE18" i="10"/>
  <c r="CCQ18" i="10"/>
  <c r="CFC18" i="10"/>
  <c r="CHO18" i="10"/>
  <c r="CIP18" i="10"/>
  <c r="CJF18" i="10"/>
  <c r="CJV18" i="10"/>
  <c r="CKL18" i="10"/>
  <c r="CLB18" i="10"/>
  <c r="CLR18" i="10"/>
  <c r="CMH18" i="10"/>
  <c r="CMX18" i="10"/>
  <c r="CNN18" i="10"/>
  <c r="COD18" i="10"/>
  <c r="COT18" i="10"/>
  <c r="CPJ18" i="10"/>
  <c r="CPZ18" i="10"/>
  <c r="CQP18" i="10"/>
  <c r="CRF18" i="10"/>
  <c r="CRV18" i="10"/>
  <c r="CSL18" i="10"/>
  <c r="CTB18" i="10"/>
  <c r="CTR18" i="10"/>
  <c r="CUH18" i="10"/>
  <c r="CUX18" i="10"/>
  <c r="CVN18" i="10"/>
  <c r="CWD18" i="10"/>
  <c r="CWT18" i="10"/>
  <c r="CXJ18" i="10"/>
  <c r="CXZ18" i="10"/>
  <c r="CYP18" i="10"/>
  <c r="CZF18" i="10"/>
  <c r="CZV18" i="10"/>
  <c r="DAL18" i="10"/>
  <c r="DBB18" i="10"/>
  <c r="DBR18" i="10"/>
  <c r="DCH18" i="10"/>
  <c r="DCX18" i="10"/>
  <c r="DDN18" i="10"/>
  <c r="DED18" i="10"/>
  <c r="DET18" i="10"/>
  <c r="DFJ18" i="10"/>
  <c r="DFZ18" i="10"/>
  <c r="DGP18" i="10"/>
  <c r="DHF18" i="10"/>
  <c r="DHV18" i="10"/>
  <c r="DIL18" i="10"/>
  <c r="DJB18" i="10"/>
  <c r="DJR18" i="10"/>
  <c r="DKH18" i="10"/>
  <c r="DKX18" i="10"/>
  <c r="DLN18" i="10"/>
  <c r="DMD18" i="10"/>
  <c r="DMT18" i="10"/>
  <c r="DNJ18" i="10"/>
  <c r="DNZ18" i="10"/>
  <c r="DOP18" i="10"/>
  <c r="DPF18" i="10"/>
  <c r="DPV18" i="10"/>
  <c r="DQL18" i="10"/>
  <c r="DRB18" i="10"/>
  <c r="DRR18" i="10"/>
  <c r="DSH18" i="10"/>
  <c r="DSX18" i="10"/>
  <c r="DTN18" i="10"/>
  <c r="DUD18" i="10"/>
  <c r="DUT18" i="10"/>
  <c r="DVJ18" i="10"/>
  <c r="DVZ18" i="10"/>
  <c r="DWP18" i="10"/>
  <c r="DXF18" i="10"/>
  <c r="DXV18" i="10"/>
  <c r="DYL18" i="10"/>
  <c r="ASV18" i="10"/>
  <c r="BRS18" i="10"/>
  <c r="CEQ18" i="10"/>
  <c r="CJS18" i="10"/>
  <c r="CME18" i="10"/>
  <c r="COQ18" i="10"/>
  <c r="CRC18" i="10"/>
  <c r="CTO18" i="10"/>
  <c r="CWA18" i="10"/>
  <c r="CYM18" i="10"/>
  <c r="DAY18" i="10"/>
  <c r="DDK18" i="10"/>
  <c r="DFW18" i="10"/>
  <c r="DII18" i="10"/>
  <c r="DKU18" i="10"/>
  <c r="DNG18" i="10"/>
  <c r="DPS18" i="10"/>
  <c r="DSE18" i="10"/>
  <c r="DUQ18" i="10"/>
  <c r="DXC18" i="10"/>
  <c r="DZF18" i="10"/>
  <c r="EAL18" i="10"/>
  <c r="EBQ18" i="10"/>
  <c r="ECI18" i="10"/>
  <c r="ECY18" i="10"/>
  <c r="EDO18" i="10"/>
  <c r="EEE18" i="10"/>
  <c r="EEU18" i="10"/>
  <c r="EFK18" i="10"/>
  <c r="EGA18" i="10"/>
  <c r="EGQ18" i="10"/>
  <c r="EHG18" i="10"/>
  <c r="EHW18" i="10"/>
  <c r="EIM18" i="10"/>
  <c r="EJC18" i="10"/>
  <c r="EJS18" i="10"/>
  <c r="EKI18" i="10"/>
  <c r="EKY18" i="10"/>
  <c r="ELO18" i="10"/>
  <c r="EME18" i="10"/>
  <c r="EMU18" i="10"/>
  <c r="ENK18" i="10"/>
  <c r="EOA18" i="10"/>
  <c r="EOQ18" i="10"/>
  <c r="EPG18" i="10"/>
  <c r="EPW18" i="10"/>
  <c r="EQM18" i="10"/>
  <c r="ERC18" i="10"/>
  <c r="ERS18" i="10"/>
  <c r="ESI18" i="10"/>
  <c r="ESY18" i="10"/>
  <c r="ETO18" i="10"/>
  <c r="EUE18" i="10"/>
  <c r="EUU18" i="10"/>
  <c r="EVK18" i="10"/>
  <c r="EWA18" i="10"/>
  <c r="EWQ18" i="10"/>
  <c r="EXG18" i="10"/>
  <c r="EXW18" i="10"/>
  <c r="EYM18" i="10"/>
  <c r="EZC18" i="10"/>
  <c r="EZS18" i="10"/>
  <c r="FAI18" i="10"/>
  <c r="FAY18" i="10"/>
  <c r="FBO18" i="10"/>
  <c r="FCE18" i="10"/>
  <c r="FCU18" i="10"/>
  <c r="FDK18" i="10"/>
  <c r="FEA18" i="10"/>
  <c r="FEQ18" i="10"/>
  <c r="FFG18" i="10"/>
  <c r="FFW18" i="10"/>
  <c r="FGM18" i="10"/>
  <c r="FHC18" i="10"/>
  <c r="FHS18" i="10"/>
  <c r="FII18" i="10"/>
  <c r="FIY18" i="10"/>
  <c r="FJO18" i="10"/>
  <c r="FKE18" i="10"/>
  <c r="FKU18" i="10"/>
  <c r="FLK18" i="10"/>
  <c r="FMA18" i="10"/>
  <c r="FMQ18" i="10"/>
  <c r="BIR18" i="10"/>
  <c r="CAI18" i="10"/>
  <c r="CIQ18" i="10"/>
  <c r="CLC18" i="10"/>
  <c r="CNO18" i="10"/>
  <c r="CQA18" i="10"/>
  <c r="CSM18" i="10"/>
  <c r="CUY18" i="10"/>
  <c r="CXK18" i="10"/>
  <c r="CZW18" i="10"/>
  <c r="DCI18" i="10"/>
  <c r="DEU18" i="10"/>
  <c r="DHG18" i="10"/>
  <c r="DJS18" i="10"/>
  <c r="DME18" i="10"/>
  <c r="DOQ18" i="10"/>
  <c r="DRC18" i="10"/>
  <c r="DTO18" i="10"/>
  <c r="DWA18" i="10"/>
  <c r="DYM18" i="10"/>
  <c r="DZW18" i="10"/>
  <c r="EBC18" i="10"/>
  <c r="ECB18" i="10"/>
  <c r="ECR18" i="10"/>
  <c r="EDH18" i="10"/>
  <c r="EDX18" i="10"/>
  <c r="EEN18" i="10"/>
  <c r="EFD18" i="10"/>
  <c r="EFT18" i="10"/>
  <c r="EGJ18" i="10"/>
  <c r="EGZ18" i="10"/>
  <c r="EHP18" i="10"/>
  <c r="EIF18" i="10"/>
  <c r="EIV18" i="10"/>
  <c r="EJL18" i="10"/>
  <c r="EKB18" i="10"/>
  <c r="EKR18" i="10"/>
  <c r="ELH18" i="10"/>
  <c r="ELX18" i="10"/>
  <c r="EMN18" i="10"/>
  <c r="END18" i="10"/>
  <c r="ENT18" i="10"/>
  <c r="EOJ18" i="10"/>
  <c r="EOZ18" i="10"/>
  <c r="EPP18" i="10"/>
  <c r="EQF18" i="10"/>
  <c r="EQV18" i="10"/>
  <c r="ERL18" i="10"/>
  <c r="ESB18" i="10"/>
  <c r="ESR18" i="10"/>
  <c r="ETH18" i="10"/>
  <c r="ETX18" i="10"/>
  <c r="EUN18" i="10"/>
  <c r="EVD18" i="10"/>
  <c r="EVT18" i="10"/>
  <c r="EWJ18" i="10"/>
  <c r="EWZ18" i="10"/>
  <c r="EXP18" i="10"/>
  <c r="EYF18" i="10"/>
  <c r="EYV18" i="10"/>
  <c r="EZL18" i="10"/>
  <c r="FAB18" i="10"/>
  <c r="FAR18" i="10"/>
  <c r="FBH18" i="10"/>
  <c r="FBX18" i="10"/>
  <c r="FCN18" i="10"/>
  <c r="FDD18" i="10"/>
  <c r="FDT18" i="10"/>
  <c r="FEJ18" i="10"/>
  <c r="FEZ18" i="10"/>
  <c r="FFP18" i="10"/>
  <c r="FGF18" i="10"/>
  <c r="FGV18" i="10"/>
  <c r="FHL18" i="10"/>
  <c r="FIB18" i="10"/>
  <c r="FIR18" i="10"/>
  <c r="FJH18" i="10"/>
  <c r="FJX18" i="10"/>
  <c r="FKN18" i="10"/>
  <c r="FLD18" i="10"/>
  <c r="FLT18" i="10"/>
  <c r="FMJ18" i="10"/>
  <c r="FMZ18" i="10"/>
  <c r="FNP18" i="10"/>
  <c r="FOF18" i="10"/>
  <c r="BDT18" i="10"/>
  <c r="BYM18" i="10"/>
  <c r="CIE18" i="10"/>
  <c r="CKQ18" i="10"/>
  <c r="CNC18" i="10"/>
  <c r="CPO18" i="10"/>
  <c r="CSA18" i="10"/>
  <c r="CUM18" i="10"/>
  <c r="CWY18" i="10"/>
  <c r="CZK18" i="10"/>
  <c r="DBW18" i="10"/>
  <c r="DEI18" i="10"/>
  <c r="DGU18" i="10"/>
  <c r="DJG18" i="10"/>
  <c r="DLS18" i="10"/>
  <c r="DOE18" i="10"/>
  <c r="DQQ18" i="10"/>
  <c r="DTC18" i="10"/>
  <c r="DVO18" i="10"/>
  <c r="DYA18" i="10"/>
  <c r="DZR18" i="10"/>
  <c r="EAX18" i="10"/>
  <c r="EBY18" i="10"/>
  <c r="ECO18" i="10"/>
  <c r="EDE18" i="10"/>
  <c r="EDU18" i="10"/>
  <c r="EEK18" i="10"/>
  <c r="EFA18" i="10"/>
  <c r="EFQ18" i="10"/>
  <c r="EGG18" i="10"/>
  <c r="EGW18" i="10"/>
  <c r="EHM18" i="10"/>
  <c r="EIC18" i="10"/>
  <c r="EIS18" i="10"/>
  <c r="EJI18" i="10"/>
  <c r="EJY18" i="10"/>
  <c r="EKO18" i="10"/>
  <c r="ELE18" i="10"/>
  <c r="ELU18" i="10"/>
  <c r="EMK18" i="10"/>
  <c r="ENA18" i="10"/>
  <c r="ENQ18" i="10"/>
  <c r="EOG18" i="10"/>
  <c r="EOW18" i="10"/>
  <c r="EPM18" i="10"/>
  <c r="EQC18" i="10"/>
  <c r="EQS18" i="10"/>
  <c r="ERI18" i="10"/>
  <c r="ERY18" i="10"/>
  <c r="ESO18" i="10"/>
  <c r="ETE18" i="10"/>
  <c r="ETU18" i="10"/>
  <c r="EUK18" i="10"/>
  <c r="EVA18" i="10"/>
  <c r="EVQ18" i="10"/>
  <c r="EWG18" i="10"/>
  <c r="EWW18" i="10"/>
  <c r="EXM18" i="10"/>
  <c r="EYC18" i="10"/>
  <c r="EYS18" i="10"/>
  <c r="EZI18" i="10"/>
  <c r="EZY18" i="10"/>
  <c r="FAO18" i="10"/>
  <c r="FBE18" i="10"/>
  <c r="FBU18" i="10"/>
  <c r="FCK18" i="10"/>
  <c r="FDA18" i="10"/>
  <c r="FDQ18" i="10"/>
  <c r="FEG18" i="10"/>
  <c r="FEW18" i="10"/>
  <c r="FFM18" i="10"/>
  <c r="FGC18" i="10"/>
  <c r="FGS18" i="10"/>
  <c r="FHI18" i="10"/>
  <c r="FHY18" i="10"/>
  <c r="FIO18" i="10"/>
  <c r="FJE18" i="10"/>
  <c r="FJU18" i="10"/>
  <c r="FKK18" i="10"/>
  <c r="FLA18" i="10"/>
  <c r="FLQ18" i="10"/>
  <c r="FMG18" i="10"/>
  <c r="FMW18" i="10"/>
  <c r="FNM18" i="10"/>
  <c r="FOC18" i="10"/>
  <c r="BQM18" i="10"/>
  <c r="COM18" i="10"/>
  <c r="CYI18" i="10"/>
  <c r="DIE18" i="10"/>
  <c r="DSA18" i="10"/>
  <c r="EAI18" i="10"/>
  <c r="EDN18" i="10"/>
  <c r="EFZ18" i="10"/>
  <c r="EIL18" i="10"/>
  <c r="EKX18" i="10"/>
  <c r="ENJ18" i="10"/>
  <c r="EPV18" i="10"/>
  <c r="ESH18" i="10"/>
  <c r="EUT18" i="10"/>
  <c r="EXF18" i="10"/>
  <c r="EZR18" i="10"/>
  <c r="FCD18" i="10"/>
  <c r="FEP18" i="10"/>
  <c r="FHB18" i="10"/>
  <c r="FJN18" i="10"/>
  <c r="FLZ18" i="10"/>
  <c r="FNO18" i="10"/>
  <c r="FOQ18" i="10"/>
  <c r="FPG18" i="10"/>
  <c r="FPW18" i="10"/>
  <c r="FQM18" i="10"/>
  <c r="FRC18" i="10"/>
  <c r="FRS18" i="10"/>
  <c r="FSI18" i="10"/>
  <c r="FSY18" i="10"/>
  <c r="FTO18" i="10"/>
  <c r="FUE18" i="10"/>
  <c r="FUU18" i="10"/>
  <c r="FVK18" i="10"/>
  <c r="FWA18" i="10"/>
  <c r="FWQ18" i="10"/>
  <c r="FXG18" i="10"/>
  <c r="FXW18" i="10"/>
  <c r="FYM18" i="10"/>
  <c r="FZC18" i="10"/>
  <c r="FZS18" i="10"/>
  <c r="GAI18" i="10"/>
  <c r="GAY18" i="10"/>
  <c r="GBO18" i="10"/>
  <c r="GCE18" i="10"/>
  <c r="GCU18" i="10"/>
  <c r="GDK18" i="10"/>
  <c r="GEA18" i="10"/>
  <c r="GEQ18" i="10"/>
  <c r="GFG18" i="10"/>
  <c r="GFW18" i="10"/>
  <c r="GGM18" i="10"/>
  <c r="GHC18" i="10"/>
  <c r="GHS18" i="10"/>
  <c r="GII18" i="10"/>
  <c r="GIY18" i="10"/>
  <c r="GJO18" i="10"/>
  <c r="GKE18" i="10"/>
  <c r="GKU18" i="10"/>
  <c r="GLK18" i="10"/>
  <c r="GMA18" i="10"/>
  <c r="GMQ18" i="10"/>
  <c r="GNG18" i="10"/>
  <c r="GNW18" i="10"/>
  <c r="GOM18" i="10"/>
  <c r="GPC18" i="10"/>
  <c r="GPS18" i="10"/>
  <c r="GQI18" i="10"/>
  <c r="GQY18" i="10"/>
  <c r="GRO18" i="10"/>
  <c r="GSE18" i="10"/>
  <c r="GSU18" i="10"/>
  <c r="GTK18" i="10"/>
  <c r="GUA18" i="10"/>
  <c r="GUQ18" i="10"/>
  <c r="GVG18" i="10"/>
  <c r="GVW18" i="10"/>
  <c r="GWM18" i="10"/>
  <c r="GXC18" i="10"/>
  <c r="GXS18" i="10"/>
  <c r="GYI18" i="10"/>
  <c r="GYY18" i="10"/>
  <c r="GZO18" i="10"/>
  <c r="HAE18" i="10"/>
  <c r="HAU18" i="10"/>
  <c r="HBK18" i="10"/>
  <c r="HCA18" i="10"/>
  <c r="HCQ18" i="10"/>
  <c r="HDG18" i="10"/>
  <c r="BVK18" i="10"/>
  <c r="CPC18" i="10"/>
  <c r="CYY18" i="10"/>
  <c r="DIU18" i="10"/>
  <c r="DSQ18" i="10"/>
  <c r="EAQ18" i="10"/>
  <c r="EDR18" i="10"/>
  <c r="EGD18" i="10"/>
  <c r="EIP18" i="10"/>
  <c r="ELB18" i="10"/>
  <c r="ENN18" i="10"/>
  <c r="EPZ18" i="10"/>
  <c r="ESL18" i="10"/>
  <c r="EUX18" i="10"/>
  <c r="EXJ18" i="10"/>
  <c r="EZV18" i="10"/>
  <c r="FCH18" i="10"/>
  <c r="FET18" i="10"/>
  <c r="FHF18" i="10"/>
  <c r="FJR18" i="10"/>
  <c r="FMD18" i="10"/>
  <c r="FNR18" i="10"/>
  <c r="FOR18" i="10"/>
  <c r="FPH18" i="10"/>
  <c r="FPX18" i="10"/>
  <c r="FQN18" i="10"/>
  <c r="FRD18" i="10"/>
  <c r="FRT18" i="10"/>
  <c r="FSJ18" i="10"/>
  <c r="FSZ18" i="10"/>
  <c r="FTP18" i="10"/>
  <c r="FUF18" i="10"/>
  <c r="FUV18" i="10"/>
  <c r="FVL18" i="10"/>
  <c r="FWB18" i="10"/>
  <c r="FWR18" i="10"/>
  <c r="FXH18" i="10"/>
  <c r="FXX18" i="10"/>
  <c r="FYN18" i="10"/>
  <c r="FZD18" i="10"/>
  <c r="FZT18" i="10"/>
  <c r="GAJ18" i="10"/>
  <c r="GAZ18" i="10"/>
  <c r="GBP18" i="10"/>
  <c r="GCF18" i="10"/>
  <c r="GCV18" i="10"/>
  <c r="GDL18" i="10"/>
  <c r="GEB18" i="10"/>
  <c r="GER18" i="10"/>
  <c r="GFH18" i="10"/>
  <c r="GFX18" i="10"/>
  <c r="GGN18" i="10"/>
  <c r="GHD18" i="10"/>
  <c r="GHT18" i="10"/>
  <c r="GIJ18" i="10"/>
  <c r="GIZ18" i="10"/>
  <c r="GJP18" i="10"/>
  <c r="GKF18" i="10"/>
  <c r="GKV18" i="10"/>
  <c r="GLL18" i="10"/>
  <c r="GMB18" i="10"/>
  <c r="GMR18" i="10"/>
  <c r="GNH18" i="10"/>
  <c r="GNX18" i="10"/>
  <c r="GON18" i="10"/>
  <c r="GPD18" i="10"/>
  <c r="GPT18" i="10"/>
  <c r="GQJ18" i="10"/>
  <c r="GQZ18" i="10"/>
  <c r="GRP18" i="10"/>
  <c r="GSF18" i="10"/>
  <c r="GSV18" i="10"/>
  <c r="GTL18" i="10"/>
  <c r="GUB18" i="10"/>
  <c r="GUR18" i="10"/>
  <c r="GVH18" i="10"/>
  <c r="GVX18" i="10"/>
  <c r="GWN18" i="10"/>
  <c r="GXD18" i="10"/>
  <c r="GXT18" i="10"/>
  <c r="GYJ18" i="10"/>
  <c r="GYZ18" i="10"/>
  <c r="GZP18" i="10"/>
  <c r="HAF18" i="10"/>
  <c r="HAV18" i="10"/>
  <c r="HBL18" i="10"/>
  <c r="HCB18" i="10"/>
  <c r="HCR18" i="10"/>
  <c r="BFK18" i="10"/>
  <c r="CNG18" i="10"/>
  <c r="CXC18" i="10"/>
  <c r="DGY18" i="10"/>
  <c r="DQU18" i="10"/>
  <c r="DZS18" i="10"/>
  <c r="EDF18" i="10"/>
  <c r="EFR18" i="10"/>
  <c r="EID18" i="10"/>
  <c r="EKP18" i="10"/>
  <c r="ENB18" i="10"/>
  <c r="EPN18" i="10"/>
  <c r="ERZ18" i="10"/>
  <c r="EUL18" i="10"/>
  <c r="EWX18" i="10"/>
  <c r="EZJ18" i="10"/>
  <c r="FBV18" i="10"/>
  <c r="FEH18" i="10"/>
  <c r="FGT18" i="10"/>
  <c r="FJF18" i="10"/>
  <c r="FLR18" i="10"/>
  <c r="FNK18" i="10"/>
  <c r="FOO18" i="10"/>
  <c r="FPE18" i="10"/>
  <c r="FPU18" i="10"/>
  <c r="FQK18" i="10"/>
  <c r="FRA18" i="10"/>
  <c r="FRQ18" i="10"/>
  <c r="FSG18" i="10"/>
  <c r="FSW18" i="10"/>
  <c r="FTM18" i="10"/>
  <c r="FUC18" i="10"/>
  <c r="FUS18" i="10"/>
  <c r="FVI18" i="10"/>
  <c r="FVY18" i="10"/>
  <c r="FWO18" i="10"/>
  <c r="FXE18" i="10"/>
  <c r="FXU18" i="10"/>
  <c r="FYK18" i="10"/>
  <c r="FZA18" i="10"/>
  <c r="FZQ18" i="10"/>
  <c r="GAG18" i="10"/>
  <c r="GAW18" i="10"/>
  <c r="GBM18" i="10"/>
  <c r="GCC18" i="10"/>
  <c r="GCS18" i="10"/>
  <c r="GDI18" i="10"/>
  <c r="GDY18" i="10"/>
  <c r="GEO18" i="10"/>
  <c r="GFE18" i="10"/>
  <c r="GFU18" i="10"/>
  <c r="GGK18" i="10"/>
  <c r="GHA18" i="10"/>
  <c r="GHQ18" i="10"/>
  <c r="GIG18" i="10"/>
  <c r="GIW18" i="10"/>
  <c r="GJM18" i="10"/>
  <c r="GKC18" i="10"/>
  <c r="GKS18" i="10"/>
  <c r="GLI18" i="10"/>
  <c r="GLY18" i="10"/>
  <c r="GMO18" i="10"/>
  <c r="GNE18" i="10"/>
  <c r="GNU18" i="10"/>
  <c r="GOK18" i="10"/>
  <c r="GPA18" i="10"/>
  <c r="GPQ18" i="10"/>
  <c r="GQG18" i="10"/>
  <c r="GQW18" i="10"/>
  <c r="GRM18" i="10"/>
  <c r="GSC18" i="10"/>
  <c r="GSS18" i="10"/>
  <c r="GTI18" i="10"/>
  <c r="GTY18" i="10"/>
  <c r="GUO18" i="10"/>
  <c r="GVE18" i="10"/>
  <c r="GVU18" i="10"/>
  <c r="GWK18" i="10"/>
  <c r="GXA18" i="10"/>
  <c r="GXQ18" i="10"/>
  <c r="GYG18" i="10"/>
  <c r="GYW18" i="10"/>
  <c r="GZM18" i="10"/>
  <c r="HAC18" i="10"/>
  <c r="HAS18" i="10"/>
  <c r="HBI18" i="10"/>
  <c r="DHO18" i="10"/>
  <c r="EFV18" i="10"/>
  <c r="EPR18" i="10"/>
  <c r="EZN18" i="10"/>
  <c r="FJJ18" i="10"/>
  <c r="FPF18" i="10"/>
  <c r="FRR18" i="10"/>
  <c r="FUD18" i="10"/>
  <c r="FWP18" i="10"/>
  <c r="FZB18" i="10"/>
  <c r="GBN18" i="10"/>
  <c r="GDZ18" i="10"/>
  <c r="AC19" i="10"/>
  <c r="O18" i="10"/>
  <c r="AE18" i="10"/>
  <c r="AT18" i="10"/>
  <c r="BJ18" i="10"/>
  <c r="BZ18" i="10"/>
  <c r="CP18" i="10"/>
  <c r="DF18" i="10"/>
  <c r="DV18" i="10"/>
  <c r="EL18" i="10"/>
  <c r="V19" i="10"/>
  <c r="H18" i="10"/>
  <c r="X18" i="10"/>
  <c r="AM18" i="10"/>
  <c r="BC18" i="10"/>
  <c r="BS18" i="10"/>
  <c r="CI18" i="10"/>
  <c r="CY18" i="10"/>
  <c r="DO18" i="10"/>
  <c r="EE18" i="10"/>
  <c r="EU18" i="10"/>
  <c r="FK18" i="10"/>
  <c r="GA18" i="10"/>
  <c r="GQ18" i="10"/>
  <c r="HG18" i="10"/>
  <c r="HW18" i="10"/>
  <c r="IM18" i="10"/>
  <c r="JC18" i="10"/>
  <c r="JS18" i="10"/>
  <c r="KI18" i="10"/>
  <c r="KY18" i="10"/>
  <c r="S19" i="10"/>
  <c r="U18" i="10"/>
  <c r="AZ18" i="10"/>
  <c r="CF18" i="10"/>
  <c r="DL18" i="10"/>
  <c r="ER18" i="10"/>
  <c r="FN18" i="10"/>
  <c r="GJ18" i="10"/>
  <c r="HE18" i="10"/>
  <c r="HZ18" i="10"/>
  <c r="IV18" i="10"/>
  <c r="JQ18" i="10"/>
  <c r="KL18" i="10"/>
  <c r="LH18" i="10"/>
  <c r="LY18" i="10"/>
  <c r="MO18" i="10"/>
  <c r="NE18" i="10"/>
  <c r="NU18" i="10"/>
  <c r="OK18" i="10"/>
  <c r="PA18" i="10"/>
  <c r="PQ18" i="10"/>
  <c r="QG18" i="10"/>
  <c r="N18" i="10"/>
  <c r="AS18" i="10"/>
  <c r="BY18" i="10"/>
  <c r="DE18" i="10"/>
  <c r="EK18" i="10"/>
  <c r="FJ18" i="10"/>
  <c r="GF18" i="10"/>
  <c r="HA18" i="10"/>
  <c r="HV18" i="10"/>
  <c r="IR18" i="10"/>
  <c r="JM18" i="10"/>
  <c r="KH18" i="10"/>
  <c r="LD18" i="10"/>
  <c r="Y18" i="10"/>
  <c r="CJ18" i="10"/>
  <c r="EV18" i="10"/>
  <c r="GL18" i="10"/>
  <c r="IC18" i="10"/>
  <c r="JT18" i="10"/>
  <c r="LJ18" i="10"/>
  <c r="MF18" i="10"/>
  <c r="NB18" i="10"/>
  <c r="NW18" i="10"/>
  <c r="OR18" i="10"/>
  <c r="PN18" i="10"/>
  <c r="QI18" i="10"/>
  <c r="QY18" i="10"/>
  <c r="RO18" i="10"/>
  <c r="SE18" i="10"/>
  <c r="SU18" i="10"/>
  <c r="TK18" i="10"/>
  <c r="UA18" i="10"/>
  <c r="UQ18" i="10"/>
  <c r="VG18" i="10"/>
  <c r="VW18" i="10"/>
  <c r="WM18" i="10"/>
  <c r="XC18" i="10"/>
  <c r="XS18" i="10"/>
  <c r="YI18" i="10"/>
  <c r="YY18" i="10"/>
  <c r="ZO18" i="10"/>
  <c r="AAE18" i="10"/>
  <c r="AAU18" i="10"/>
  <c r="ABK18" i="10"/>
  <c r="ACA18" i="10"/>
  <c r="ACQ18" i="10"/>
  <c r="ADG18" i="10"/>
  <c r="ADW18" i="10"/>
  <c r="AEM18" i="10"/>
  <c r="AFC18" i="10"/>
  <c r="AFS18" i="10"/>
  <c r="AGI18" i="10"/>
  <c r="AGY18" i="10"/>
  <c r="AHO18" i="10"/>
  <c r="AIE18" i="10"/>
  <c r="X19" i="10"/>
  <c r="BE18" i="10"/>
  <c r="DQ18" i="10"/>
  <c r="FR18" i="10"/>
  <c r="HI18" i="10"/>
  <c r="IZ18" i="10"/>
  <c r="KP18" i="10"/>
  <c r="LW18" i="10"/>
  <c r="MR18" i="10"/>
  <c r="NN18" i="10"/>
  <c r="OI18" i="10"/>
  <c r="PD18" i="10"/>
  <c r="PZ18" i="10"/>
  <c r="QR18" i="10"/>
  <c r="RH18" i="10"/>
  <c r="RX18" i="10"/>
  <c r="SN18" i="10"/>
  <c r="TD18" i="10"/>
  <c r="TT18" i="10"/>
  <c r="UJ18" i="10"/>
  <c r="UZ18" i="10"/>
  <c r="VP18" i="10"/>
  <c r="WF18" i="10"/>
  <c r="WV18" i="10"/>
  <c r="XL18" i="10"/>
  <c r="YB18" i="10"/>
  <c r="YR18" i="10"/>
  <c r="ZH18" i="10"/>
  <c r="ZX18" i="10"/>
  <c r="AAN18" i="10"/>
  <c r="ABD18" i="10"/>
  <c r="ABT18" i="10"/>
  <c r="ACJ18" i="10"/>
  <c r="AE19" i="10"/>
  <c r="DX18" i="10"/>
  <c r="HM18" i="10"/>
  <c r="KT18" i="10"/>
  <c r="MT18" i="10"/>
  <c r="OJ18" i="10"/>
  <c r="QA18" i="10"/>
  <c r="RI18" i="10"/>
  <c r="SO18" i="10"/>
  <c r="TU18" i="10"/>
  <c r="VA18" i="10"/>
  <c r="WG18" i="10"/>
  <c r="XM18" i="10"/>
  <c r="YS18" i="10"/>
  <c r="ZY18" i="10"/>
  <c r="ABE18" i="10"/>
  <c r="ACK18" i="10"/>
  <c r="ADJ18" i="10"/>
  <c r="AEF18" i="10"/>
  <c r="AFA18" i="10"/>
  <c r="AFV18" i="10"/>
  <c r="AGR18" i="10"/>
  <c r="AHM18" i="10"/>
  <c r="AIH18" i="10"/>
  <c r="AJA18" i="10"/>
  <c r="AJQ18" i="10"/>
  <c r="AKG18" i="10"/>
  <c r="AKW18" i="10"/>
  <c r="ALM18" i="10"/>
  <c r="AMC18" i="10"/>
  <c r="AMS18" i="10"/>
  <c r="ANI18" i="10"/>
  <c r="ANY18" i="10"/>
  <c r="AOO18" i="10"/>
  <c r="APE18" i="10"/>
  <c r="APU18" i="10"/>
  <c r="AQK18" i="10"/>
  <c r="ARA18" i="10"/>
  <c r="ARQ18" i="10"/>
  <c r="ASG18" i="10"/>
  <c r="ASW18" i="10"/>
  <c r="ATM18" i="10"/>
  <c r="AUC18" i="10"/>
  <c r="AUS18" i="10"/>
  <c r="AVI18" i="10"/>
  <c r="AVY18" i="10"/>
  <c r="AWO18" i="10"/>
  <c r="AXE18" i="10"/>
  <c r="AXU18" i="10"/>
  <c r="AYK18" i="10"/>
  <c r="AZA18" i="10"/>
  <c r="AZQ18" i="10"/>
  <c r="BAG18" i="10"/>
  <c r="BAW18" i="10"/>
  <c r="BBM18" i="10"/>
  <c r="BCC18" i="10"/>
  <c r="BCS18" i="10"/>
  <c r="BDI18" i="10"/>
  <c r="BDY18" i="10"/>
  <c r="BEO18" i="10"/>
  <c r="BFE18" i="10"/>
  <c r="BFU18" i="10"/>
  <c r="BGK18" i="10"/>
  <c r="BHA18" i="10"/>
  <c r="BHQ18" i="10"/>
  <c r="BIG18" i="10"/>
  <c r="BIW18" i="10"/>
  <c r="BJM18" i="10"/>
  <c r="BKC18" i="10"/>
  <c r="BM18" i="10"/>
  <c r="FX18" i="10"/>
  <c r="JE18" i="10"/>
  <c r="LZ18" i="10"/>
  <c r="NP18" i="10"/>
  <c r="PG18" i="10"/>
  <c r="QT18" i="10"/>
  <c r="RZ18" i="10"/>
  <c r="TF18" i="10"/>
  <c r="UL18" i="10"/>
  <c r="VR18" i="10"/>
  <c r="WX18" i="10"/>
  <c r="YD18" i="10"/>
  <c r="ZJ18" i="10"/>
  <c r="AAP18" i="10"/>
  <c r="ABV18" i="10"/>
  <c r="ADA18" i="10"/>
  <c r="ADV18" i="10"/>
  <c r="AER18" i="10"/>
  <c r="AFM18" i="10"/>
  <c r="AGH18" i="10"/>
  <c r="AHD18" i="10"/>
  <c r="AHY18" i="10"/>
  <c r="AIT18" i="10"/>
  <c r="AJJ18" i="10"/>
  <c r="AJZ18" i="10"/>
  <c r="AKP18" i="10"/>
  <c r="ALF18" i="10"/>
  <c r="ALV18" i="10"/>
  <c r="AML18" i="10"/>
  <c r="ANB18" i="10"/>
  <c r="ANR18" i="10"/>
  <c r="AOH18" i="10"/>
  <c r="AOX18" i="10"/>
  <c r="APN18" i="10"/>
  <c r="AQD18" i="10"/>
  <c r="AQT18" i="10"/>
  <c r="ARJ18" i="10"/>
  <c r="ARZ18" i="10"/>
  <c r="ASP18" i="10"/>
  <c r="ATF18" i="10"/>
  <c r="ATV18" i="10"/>
  <c r="Q18" i="10"/>
  <c r="HX18" i="10"/>
  <c r="MY18" i="10"/>
  <c r="QF18" i="10"/>
  <c r="SS18" i="10"/>
  <c r="VE18" i="10"/>
  <c r="XQ18" i="10"/>
  <c r="AAC18" i="10"/>
  <c r="ACO18" i="10"/>
  <c r="AEH18" i="10"/>
  <c r="AFY18" i="10"/>
  <c r="AHP18" i="10"/>
  <c r="AJC18" i="10"/>
  <c r="AKI18" i="10"/>
  <c r="ALO18" i="10"/>
  <c r="AMU18" i="10"/>
  <c r="AOA18" i="10"/>
  <c r="APG18" i="10"/>
  <c r="AQM18" i="10"/>
  <c r="ARS18" i="10"/>
  <c r="ASY18" i="10"/>
  <c r="AUE18" i="10"/>
  <c r="AVB18" i="10"/>
  <c r="AVW18" i="10"/>
  <c r="AWR18" i="10"/>
  <c r="AXN18" i="10"/>
  <c r="AYI18" i="10"/>
  <c r="AZD18" i="10"/>
  <c r="AZZ18" i="10"/>
  <c r="BAU18" i="10"/>
  <c r="BBP18" i="10"/>
  <c r="BCL18" i="10"/>
  <c r="BDG18" i="10"/>
  <c r="BEB18" i="10"/>
  <c r="BEX18" i="10"/>
  <c r="BFS18" i="10"/>
  <c r="BGN18" i="10"/>
  <c r="BHJ18" i="10"/>
  <c r="BIE18" i="10"/>
  <c r="BIZ18" i="10"/>
  <c r="BJV18" i="10"/>
  <c r="BKO18" i="10"/>
  <c r="BLE18" i="10"/>
  <c r="BLU18" i="10"/>
  <c r="BMK18" i="10"/>
  <c r="BNA18" i="10"/>
  <c r="BNQ18" i="10"/>
  <c r="BOG18" i="10"/>
  <c r="BOW18" i="10"/>
  <c r="BPM18" i="10"/>
  <c r="BQC18" i="10"/>
  <c r="BQS18" i="10"/>
  <c r="BRI18" i="10"/>
  <c r="BRY18" i="10"/>
  <c r="BSO18" i="10"/>
  <c r="BTE18" i="10"/>
  <c r="BTU18" i="10"/>
  <c r="BUK18" i="10"/>
  <c r="BVA18" i="10"/>
  <c r="BVQ18" i="10"/>
  <c r="BWG18" i="10"/>
  <c r="BWW18" i="10"/>
  <c r="BXM18" i="10"/>
  <c r="CC18" i="10"/>
  <c r="JP18" i="10"/>
  <c r="NV18" i="10"/>
  <c r="QX18" i="10"/>
  <c r="TJ18" i="10"/>
  <c r="VV18" i="10"/>
  <c r="YH18" i="10"/>
  <c r="AAT18" i="10"/>
  <c r="ADD18" i="10"/>
  <c r="AET18" i="10"/>
  <c r="AGK18" i="10"/>
  <c r="AIB18" i="10"/>
  <c r="AJL18" i="10"/>
  <c r="AKR18" i="10"/>
  <c r="ALX18" i="10"/>
  <c r="AND18" i="10"/>
  <c r="AOJ18" i="10"/>
  <c r="APP18" i="10"/>
  <c r="AQV18" i="10"/>
  <c r="ASB18" i="10"/>
  <c r="ATH18" i="10"/>
  <c r="AUM18" i="10"/>
  <c r="AVH18" i="10"/>
  <c r="AWD18" i="10"/>
  <c r="AWY18" i="10"/>
  <c r="AXT18" i="10"/>
  <c r="AYP18" i="10"/>
  <c r="AZK18" i="10"/>
  <c r="BAF18" i="10"/>
  <c r="BBB18" i="10"/>
  <c r="BBW18" i="10"/>
  <c r="BCR18" i="10"/>
  <c r="BDN18" i="10"/>
  <c r="BEI18" i="10"/>
  <c r="BFD18" i="10"/>
  <c r="BFZ18" i="10"/>
  <c r="BGU18" i="10"/>
  <c r="BHP18" i="10"/>
  <c r="BIL18" i="10"/>
  <c r="BJG18" i="10"/>
  <c r="BKB18" i="10"/>
  <c r="BKT18" i="10"/>
  <c r="BLJ18" i="10"/>
  <c r="BLZ18" i="10"/>
  <c r="BMP18" i="10"/>
  <c r="BNF18" i="10"/>
  <c r="BNV18" i="10"/>
  <c r="BOL18" i="10"/>
  <c r="BPB18" i="10"/>
  <c r="BPR18" i="10"/>
  <c r="BQH18" i="10"/>
  <c r="BQX18" i="10"/>
  <c r="BRN18" i="10"/>
  <c r="BSD18" i="10"/>
  <c r="BST18" i="10"/>
  <c r="BTJ18" i="10"/>
  <c r="BTZ18" i="10"/>
  <c r="BUP18" i="10"/>
  <c r="BVF18" i="10"/>
  <c r="BVV18" i="10"/>
  <c r="BWL18" i="10"/>
  <c r="BXB18" i="10"/>
  <c r="BXR18" i="10"/>
  <c r="RU18" i="10"/>
  <c r="ABQ18" i="10"/>
  <c r="AIP18" i="10"/>
  <c r="ANO18" i="10"/>
  <c r="ASM18" i="10"/>
  <c r="AEO18" i="10"/>
  <c r="AWA18" i="10"/>
  <c r="BCP18" i="10"/>
  <c r="BJD18" i="10"/>
  <c r="BOJ18" i="10"/>
  <c r="BTH18" i="10"/>
  <c r="BYB18" i="10"/>
  <c r="CAN18" i="10"/>
  <c r="CCZ18" i="10"/>
  <c r="CFL18" i="10"/>
  <c r="CHX18" i="10"/>
  <c r="AMB18" i="10"/>
  <c r="AYF18" i="10"/>
  <c r="BEU18" i="10"/>
  <c r="BLC18" i="10"/>
  <c r="BQA18" i="10"/>
  <c r="BUY18" i="10"/>
  <c r="BYW18" i="10"/>
  <c r="CBI18" i="10"/>
  <c r="CDU18" i="10"/>
  <c r="CGG18" i="10"/>
  <c r="RV18" i="10"/>
  <c r="ASN18" i="10"/>
  <c r="BAI18" i="10"/>
  <c r="BGX18" i="10"/>
  <c r="BMR18" i="10"/>
  <c r="BRP18" i="10"/>
  <c r="BWN18" i="10"/>
  <c r="BZR18" i="10"/>
  <c r="CCD18" i="10"/>
  <c r="CEP18" i="10"/>
  <c r="CHB18" i="10"/>
  <c r="BAX18" i="10"/>
  <c r="BWY18" i="10"/>
  <c r="CHG18" i="10"/>
  <c r="CKJ18" i="10"/>
  <c r="CMV18" i="10"/>
  <c r="CPH18" i="10"/>
  <c r="CRT18" i="10"/>
  <c r="CUF18" i="10"/>
  <c r="CWR18" i="10"/>
  <c r="CZD18" i="10"/>
  <c r="DBP18" i="10"/>
  <c r="DEB18" i="10"/>
  <c r="DGN18" i="10"/>
  <c r="DIZ18" i="10"/>
  <c r="DLL18" i="10"/>
  <c r="DNX18" i="10"/>
  <c r="DQJ18" i="10"/>
  <c r="DSV18" i="10"/>
  <c r="DVH18" i="10"/>
  <c r="DXT18" i="10"/>
  <c r="EAF18" i="10"/>
  <c r="AQJ18" i="10"/>
  <c r="BRC18" i="10"/>
  <c r="CEI18" i="10"/>
  <c r="CJQ18" i="10"/>
  <c r="CMC18" i="10"/>
  <c r="COO18" i="10"/>
  <c r="CRA18" i="10"/>
  <c r="CTM18" i="10"/>
  <c r="CVY18" i="10"/>
  <c r="CYK18" i="10"/>
  <c r="DAW18" i="10"/>
  <c r="DDI18" i="10"/>
  <c r="DFU18" i="10"/>
  <c r="DIG18" i="10"/>
  <c r="DKS18" i="10"/>
  <c r="DNE18" i="10"/>
  <c r="DPQ18" i="10"/>
  <c r="DSC18" i="10"/>
  <c r="DUO18" i="10"/>
  <c r="DXA18" i="10"/>
  <c r="DZM18" i="10"/>
  <c r="AHL18" i="10"/>
  <c r="BOY18" i="10"/>
  <c r="CDG18" i="10"/>
  <c r="CJJ18" i="10"/>
  <c r="CLV18" i="10"/>
  <c r="COH18" i="10"/>
  <c r="CQT18" i="10"/>
  <c r="CTF18" i="10"/>
  <c r="CVR18" i="10"/>
  <c r="CYD18" i="10"/>
  <c r="DAP18" i="10"/>
  <c r="DDB18" i="10"/>
  <c r="DFN18" i="10"/>
  <c r="DHZ18" i="10"/>
  <c r="DKL18" i="10"/>
  <c r="DMX18" i="10"/>
  <c r="DPJ18" i="10"/>
  <c r="DRV18" i="10"/>
  <c r="DUH18" i="10"/>
  <c r="DWT18" i="10"/>
  <c r="BAM18" i="10"/>
  <c r="CMU18" i="10"/>
  <c r="CWQ18" i="10"/>
  <c r="DGM18" i="10"/>
  <c r="DQI18" i="10"/>
  <c r="DZN18" i="10"/>
  <c r="EDC18" i="10"/>
  <c r="EFO18" i="10"/>
  <c r="EIA18" i="10"/>
  <c r="EKM18" i="10"/>
  <c r="EMY18" i="10"/>
  <c r="EPK18" i="10"/>
  <c r="ERW18" i="10"/>
  <c r="EUI18" i="10"/>
  <c r="EWU18" i="10"/>
  <c r="EZG18" i="10"/>
  <c r="FBS18" i="10"/>
  <c r="FEE18" i="10"/>
  <c r="FGQ18" i="10"/>
  <c r="FJC18" i="10"/>
  <c r="FLO18" i="10"/>
  <c r="CCU18" i="10"/>
  <c r="CQQ18" i="10"/>
  <c r="DAM18" i="10"/>
  <c r="DKI18" i="10"/>
  <c r="DUE18" i="10"/>
  <c r="EBK18" i="10"/>
  <c r="EEB18" i="10"/>
  <c r="EGN18" i="10"/>
  <c r="EIZ18" i="10"/>
  <c r="ELL18" i="10"/>
  <c r="ENX18" i="10"/>
  <c r="EQJ18" i="10"/>
  <c r="ESV18" i="10"/>
  <c r="EVH18" i="10"/>
  <c r="EXT18" i="10"/>
  <c r="FAF18" i="10"/>
  <c r="FCR18" i="10"/>
  <c r="FFD18" i="10"/>
  <c r="FHP18" i="10"/>
  <c r="FKB18" i="10"/>
  <c r="FMN18" i="10"/>
  <c r="BKI18" i="10"/>
  <c r="CNS18" i="10"/>
  <c r="CXO18" i="10"/>
  <c r="DHK18" i="10"/>
  <c r="DRG18" i="10"/>
  <c r="DZZ18" i="10"/>
  <c r="EDI18" i="10"/>
  <c r="EFU18" i="10"/>
  <c r="EIG18" i="10"/>
  <c r="EKS18" i="10"/>
  <c r="ENE18" i="10"/>
  <c r="EPQ18" i="10"/>
  <c r="ESC18" i="10"/>
  <c r="EUO18" i="10"/>
  <c r="EXA18" i="10"/>
  <c r="EZM18" i="10"/>
  <c r="FBY18" i="10"/>
  <c r="FEK18" i="10"/>
  <c r="FGW18" i="10"/>
  <c r="FJI18" i="10"/>
  <c r="FLU18" i="10"/>
  <c r="FOG18" i="10"/>
  <c r="DKQ18" i="10"/>
  <c r="EGP18" i="10"/>
  <c r="EQL18" i="10"/>
  <c r="FAH18" i="10"/>
  <c r="FKD18" i="10"/>
  <c r="FPK18" i="10"/>
  <c r="FRW18" i="10"/>
  <c r="FUI18" i="10"/>
  <c r="FWU18" i="10"/>
  <c r="FZG18" i="10"/>
  <c r="GBS18" i="10"/>
  <c r="GEE18" i="10"/>
  <c r="GGQ18" i="10"/>
  <c r="GJC18" i="10"/>
  <c r="GLO18" i="10"/>
  <c r="GOA18" i="10"/>
  <c r="GQM18" i="10"/>
  <c r="GSY18" i="10"/>
  <c r="GVK18" i="10"/>
  <c r="GXW18" i="10"/>
  <c r="HAI18" i="10"/>
  <c r="HCU18" i="10"/>
  <c r="DBK18" i="10"/>
  <c r="EEH18" i="10"/>
  <c r="EOD18" i="10"/>
  <c r="EXZ18" i="10"/>
  <c r="FHV18" i="10"/>
  <c r="FOV18" i="10"/>
  <c r="FRH18" i="10"/>
  <c r="FTT18" i="10"/>
  <c r="FWF18" i="10"/>
  <c r="FYR18" i="10"/>
  <c r="GBD18" i="10"/>
  <c r="GDP18" i="10"/>
  <c r="GGB18" i="10"/>
  <c r="GIN18" i="10"/>
  <c r="GKZ18" i="10"/>
  <c r="GNL18" i="10"/>
  <c r="GPX18" i="10"/>
  <c r="GSJ18" i="10"/>
  <c r="GUV18" i="10"/>
  <c r="GXH18" i="10"/>
  <c r="GZT18" i="10"/>
  <c r="HCF18" i="10"/>
  <c r="CZO18" i="10"/>
  <c r="EDV18" i="10"/>
  <c r="ENR18" i="10"/>
  <c r="EXN18" i="10"/>
  <c r="FHJ18" i="10"/>
  <c r="FOS18" i="10"/>
  <c r="FRE18" i="10"/>
  <c r="FTQ18" i="10"/>
  <c r="FWC18" i="10"/>
  <c r="FYO18" i="10"/>
  <c r="GBA18" i="10"/>
  <c r="GDM18" i="10"/>
  <c r="GFY18" i="10"/>
  <c r="GIK18" i="10"/>
  <c r="GKW18" i="10"/>
  <c r="GNI18" i="10"/>
  <c r="GPU18" i="10"/>
  <c r="GSG18" i="10"/>
  <c r="GUS18" i="10"/>
  <c r="GXE18" i="10"/>
  <c r="GZQ18" i="10"/>
  <c r="DRK18" i="10"/>
  <c r="FLV18" i="10"/>
  <c r="FXF18" i="10"/>
  <c r="GGL18" i="10"/>
  <c r="GLJ18" i="10"/>
  <c r="GQH18" i="10"/>
  <c r="GVF18" i="10"/>
  <c r="HAD18" i="10"/>
  <c r="HDF18" i="10"/>
  <c r="HEO18" i="10"/>
  <c r="HFU18" i="10"/>
  <c r="HHA18" i="10"/>
  <c r="HIG18" i="10"/>
  <c r="HJM18" i="10"/>
  <c r="HKS18" i="10"/>
  <c r="HLY18" i="10"/>
  <c r="HNE18" i="10"/>
  <c r="HOK18" i="10"/>
  <c r="HPQ18" i="10"/>
  <c r="HQW18" i="10"/>
  <c r="HSC18" i="10"/>
  <c r="HTI18" i="10"/>
  <c r="HUO18" i="10"/>
  <c r="HVU18" i="10"/>
  <c r="HXA18" i="10"/>
  <c r="HYG18" i="10"/>
  <c r="HZM18" i="10"/>
  <c r="IAS18" i="10"/>
  <c r="IBY18" i="10"/>
  <c r="IDE18" i="10"/>
  <c r="IEK18" i="10"/>
  <c r="IFQ18" i="10"/>
  <c r="IGW18" i="10"/>
  <c r="IHU18" i="10"/>
  <c r="IIS18" i="10"/>
  <c r="IJM18" i="10"/>
  <c r="IKG18" i="10"/>
  <c r="ILE18" i="10"/>
  <c r="ILY18" i="10"/>
  <c r="IMS18" i="10"/>
  <c r="INQ18" i="10"/>
  <c r="IOK18" i="10"/>
  <c r="IPE18" i="10"/>
  <c r="IQC18" i="10"/>
  <c r="IQW18" i="10"/>
  <c r="IRQ18" i="10"/>
  <c r="ISO18" i="10"/>
  <c r="ITI18" i="10"/>
  <c r="IUC18" i="10"/>
  <c r="IVA18" i="10"/>
  <c r="IVU18" i="10"/>
  <c r="IWO18" i="10"/>
  <c r="IXM18" i="10"/>
  <c r="IYG18" i="10"/>
  <c r="IZA18" i="10"/>
  <c r="IZY18" i="10"/>
  <c r="JAS18" i="10"/>
  <c r="JBM18" i="10"/>
  <c r="JCK18" i="10"/>
  <c r="JDE18" i="10"/>
  <c r="JDY18" i="10"/>
  <c r="JEW18" i="10"/>
  <c r="CQI18" i="10"/>
  <c r="EDZ18" i="10"/>
  <c r="EST18" i="10"/>
  <c r="FFB18" i="10"/>
  <c r="FOT18" i="10"/>
  <c r="FSL18" i="10"/>
  <c r="FVN18" i="10"/>
  <c r="FYP18" i="10"/>
  <c r="GCH18" i="10"/>
  <c r="GFJ18" i="10"/>
  <c r="GIL18" i="10"/>
  <c r="GMD18" i="10"/>
  <c r="GPF18" i="10"/>
  <c r="GSH18" i="10"/>
  <c r="GVZ18" i="10"/>
  <c r="GZB18" i="10"/>
  <c r="HBU18" i="10"/>
  <c r="HDM18" i="10"/>
  <c r="HEH18" i="10"/>
  <c r="HFB18" i="10"/>
  <c r="HFZ18" i="10"/>
  <c r="HGT18" i="10"/>
  <c r="HHN18" i="10"/>
  <c r="HIL18" i="10"/>
  <c r="HJF18" i="10"/>
  <c r="HJZ18" i="10"/>
  <c r="HKX18" i="10"/>
  <c r="HLR18" i="10"/>
  <c r="HML18" i="10"/>
  <c r="HNJ18" i="10"/>
  <c r="HOD18" i="10"/>
  <c r="HOX18" i="10"/>
  <c r="HPV18" i="10"/>
  <c r="HQP18" i="10"/>
  <c r="HRJ18" i="10"/>
  <c r="HSH18" i="10"/>
  <c r="HTB18" i="10"/>
  <c r="HTV18" i="10"/>
  <c r="HUT18" i="10"/>
  <c r="HVN18" i="10"/>
  <c r="HWH18" i="10"/>
  <c r="HXF18" i="10"/>
  <c r="HXZ18" i="10"/>
  <c r="HYT18" i="10"/>
  <c r="HZR18" i="10"/>
  <c r="IAL18" i="10"/>
  <c r="IBF18" i="10"/>
  <c r="CIY18" i="10"/>
  <c r="ECD18" i="10"/>
  <c r="EOL18" i="10"/>
  <c r="FDF18" i="10"/>
  <c r="FOD18" i="10"/>
  <c r="FRJ18" i="10"/>
  <c r="FVB18" i="10"/>
  <c r="FYD18" i="10"/>
  <c r="GBF18" i="10"/>
  <c r="GEX18" i="10"/>
  <c r="GHZ18" i="10"/>
  <c r="GLB18" i="10"/>
  <c r="GOT18" i="10"/>
  <c r="GRV18" i="10"/>
  <c r="GUX18" i="10"/>
  <c r="GYP18" i="10"/>
  <c r="HBN18" i="10"/>
  <c r="HDB18" i="10"/>
  <c r="HEE18" i="10"/>
  <c r="HEY18" i="10"/>
  <c r="HFS18" i="10"/>
  <c r="HGQ18" i="10"/>
  <c r="HHK18" i="10"/>
  <c r="HIE18" i="10"/>
  <c r="HJC18" i="10"/>
  <c r="HJW18" i="10"/>
  <c r="HKQ18" i="10"/>
  <c r="HLO18" i="10"/>
  <c r="HMI18" i="10"/>
  <c r="HNC18" i="10"/>
  <c r="HOA18" i="10"/>
  <c r="HOU18" i="10"/>
  <c r="CLK18" i="10"/>
  <c r="EFF18" i="10"/>
  <c r="ERN18" i="10"/>
  <c r="FDV18" i="10"/>
  <c r="FPB18" i="10"/>
  <c r="FSD18" i="10"/>
  <c r="FVF18" i="10"/>
  <c r="FYX18" i="10"/>
  <c r="GBZ18" i="10"/>
  <c r="GFB18" i="10"/>
  <c r="GIT18" i="10"/>
  <c r="GLV18" i="10"/>
  <c r="GOX18" i="10"/>
  <c r="GSP18" i="10"/>
  <c r="GVR18" i="10"/>
  <c r="GYT18" i="10"/>
  <c r="HCW18" i="10"/>
  <c r="HGF18" i="10"/>
  <c r="HJH18" i="10"/>
  <c r="HMZ18" i="10"/>
  <c r="HPT18" i="10"/>
  <c r="HRH18" i="10"/>
  <c r="HTD18" i="10"/>
  <c r="HUR18" i="10"/>
  <c r="HWF18" i="10"/>
  <c r="HYB18" i="10"/>
  <c r="HZP18" i="10"/>
  <c r="IBD18" i="10"/>
  <c r="ICR18" i="10"/>
  <c r="IDS18" i="10"/>
  <c r="IET18" i="10"/>
  <c r="IFZ18" i="10"/>
  <c r="IGZ18" i="10"/>
  <c r="IIA18" i="10"/>
  <c r="IJG18" i="10"/>
  <c r="IKH18" i="10"/>
  <c r="ILH18" i="10"/>
  <c r="IMN18" i="10"/>
  <c r="INO18" i="10"/>
  <c r="IOP18" i="10"/>
  <c r="IPV18" i="10"/>
  <c r="IQV18" i="10"/>
  <c r="IRW18" i="10"/>
  <c r="ITC18" i="10"/>
  <c r="IUD18" i="10"/>
  <c r="IVD18" i="10"/>
  <c r="IWJ18" i="10"/>
  <c r="IXK18" i="10"/>
  <c r="HBY18" i="10"/>
  <c r="HGJ18" i="10"/>
  <c r="HJL18" i="10"/>
  <c r="HMN18" i="10"/>
  <c r="HPW18" i="10"/>
  <c r="HRK18" i="10"/>
  <c r="HSY18" i="10"/>
  <c r="HUU18" i="10"/>
  <c r="HWI18" i="10"/>
  <c r="HXW18" i="10"/>
  <c r="HZS18" i="10"/>
  <c r="IBG18" i="10"/>
  <c r="ICN18" i="10"/>
  <c r="IDT18" i="10"/>
  <c r="IEU18" i="10"/>
  <c r="IFV18" i="10"/>
  <c r="IHB18" i="10"/>
  <c r="IIB18" i="10"/>
  <c r="IJC18" i="10"/>
  <c r="IKI18" i="10"/>
  <c r="ILJ18" i="10"/>
  <c r="IMJ18" i="10"/>
  <c r="INP18" i="10"/>
  <c r="IOQ18" i="10"/>
  <c r="IPR18" i="10"/>
  <c r="IQX18" i="10"/>
  <c r="IRX18" i="10"/>
  <c r="ISY18" i="10"/>
  <c r="IUE18" i="10"/>
  <c r="IVF18" i="10"/>
  <c r="IWF18" i="10"/>
  <c r="IXL18" i="10"/>
  <c r="HCG18" i="10"/>
  <c r="HFX18" i="10"/>
  <c r="HJP18" i="10"/>
  <c r="HMR18" i="10"/>
  <c r="HPP18" i="10"/>
  <c r="HRL18" i="10"/>
  <c r="HSZ18" i="10"/>
  <c r="HUN18" i="10"/>
  <c r="HWJ18" i="10"/>
  <c r="HXX18" i="10"/>
  <c r="HZL18" i="10"/>
  <c r="IBH18" i="10"/>
  <c r="ICP18" i="10"/>
  <c r="IDP18" i="10"/>
  <c r="IEV18" i="10"/>
  <c r="IFW18" i="10"/>
  <c r="IGX18" i="10"/>
  <c r="IID18" i="10"/>
  <c r="IJD18" i="10"/>
  <c r="IKE18" i="10"/>
  <c r="ILK18" i="10"/>
  <c r="IML18" i="10"/>
  <c r="INL18" i="10"/>
  <c r="IOR18" i="10"/>
  <c r="IPS18" i="10"/>
  <c r="IQT18" i="10"/>
  <c r="IRZ18" i="10"/>
  <c r="ISZ18" i="10"/>
  <c r="IUA18" i="10"/>
  <c r="IVG18" i="10"/>
  <c r="IWH18" i="10"/>
  <c r="IXH18" i="10"/>
  <c r="IYN18" i="10"/>
  <c r="IZO18" i="10"/>
  <c r="JAP18" i="10"/>
  <c r="JBV18" i="10"/>
  <c r="JCV18" i="10"/>
  <c r="JDW18" i="10"/>
  <c r="JFC18" i="10"/>
  <c r="JFY18" i="10"/>
  <c r="JGS18" i="10"/>
  <c r="JHQ18" i="10"/>
  <c r="JIK18" i="10"/>
  <c r="JJE18" i="10"/>
  <c r="JKC18" i="10"/>
  <c r="JKW18" i="10"/>
  <c r="HEV18" i="10"/>
  <c r="HIN18" i="10"/>
  <c r="HLP18" i="10"/>
  <c r="HOR18" i="10"/>
  <c r="HQY18" i="10"/>
  <c r="HSM18" i="10"/>
  <c r="HUA18" i="10"/>
  <c r="HVW18" i="10"/>
  <c r="HXK18" i="10"/>
  <c r="HYY18" i="10"/>
  <c r="IAU18" i="10"/>
  <c r="ICF18" i="10"/>
  <c r="IDG18" i="10"/>
  <c r="IEM18" i="10"/>
  <c r="IFN18" i="10"/>
  <c r="IGN18" i="10"/>
  <c r="IHT18" i="10"/>
  <c r="IIU18" i="10"/>
  <c r="IJV18" i="10"/>
  <c r="ILB18" i="10"/>
  <c r="IMB18" i="10"/>
  <c r="INC18" i="10"/>
  <c r="IOI18" i="10"/>
  <c r="IPJ18" i="10"/>
  <c r="IQJ18" i="10"/>
  <c r="IRP18" i="10"/>
  <c r="ISQ18" i="10"/>
  <c r="ITR18" i="10"/>
  <c r="IUX18" i="10"/>
  <c r="IVX18" i="10"/>
  <c r="IWY18" i="10"/>
  <c r="IYE18" i="10"/>
  <c r="IZL18" i="10"/>
  <c r="JAV18" i="10"/>
  <c r="JCM18" i="10"/>
  <c r="JDV18" i="10"/>
  <c r="JFF18" i="10"/>
  <c r="JGM18" i="10"/>
  <c r="JHN18" i="10"/>
  <c r="JIN18" i="10"/>
  <c r="JJT18" i="10"/>
  <c r="JKU18" i="10"/>
  <c r="JLQ18" i="10"/>
  <c r="JMO18" i="10"/>
  <c r="JNI18" i="10"/>
  <c r="JOC18" i="10"/>
  <c r="JPA18" i="10"/>
  <c r="JPU18" i="10"/>
  <c r="JQO18" i="10"/>
  <c r="JRM18" i="10"/>
  <c r="JSG18" i="10"/>
  <c r="JTA18" i="10"/>
  <c r="JTY18" i="10"/>
  <c r="JUS18" i="10"/>
  <c r="JVM18" i="10"/>
  <c r="JWK18" i="10"/>
  <c r="JXE18" i="10"/>
  <c r="JXY18" i="10"/>
  <c r="JYW18" i="10"/>
  <c r="JZQ18" i="10"/>
  <c r="KAK18" i="10"/>
  <c r="KBI18" i="10"/>
  <c r="KCC18" i="10"/>
  <c r="KCW18" i="10"/>
  <c r="KDU18" i="10"/>
  <c r="KEO18" i="10"/>
  <c r="KFI18" i="10"/>
  <c r="KGG18" i="10"/>
  <c r="KHA18" i="10"/>
  <c r="KHU18" i="10"/>
  <c r="KIS18" i="10"/>
  <c r="KJM18" i="10"/>
  <c r="KKG18" i="10"/>
  <c r="KLE18" i="10"/>
  <c r="KLY18" i="10"/>
  <c r="KMS18" i="10"/>
  <c r="KNQ18" i="10"/>
  <c r="KOK18" i="10"/>
  <c r="KPE18" i="10"/>
  <c r="KQC18" i="10"/>
  <c r="KQW18" i="10"/>
  <c r="KRQ18" i="10"/>
  <c r="KSO18" i="10"/>
  <c r="KTI18" i="10"/>
  <c r="KUC18" i="10"/>
  <c r="KVA18" i="10"/>
  <c r="KVU18" i="10"/>
  <c r="KWO18" i="10"/>
  <c r="KXM18" i="10"/>
  <c r="KYG18" i="10"/>
  <c r="KZA18" i="10"/>
  <c r="KZY18" i="10"/>
  <c r="LAS18" i="10"/>
  <c r="LBM18" i="10"/>
  <c r="LCK18" i="10"/>
  <c r="LDE18" i="10"/>
  <c r="LDY18" i="10"/>
  <c r="LEW18" i="10"/>
  <c r="LFQ18" i="10"/>
  <c r="LGK18" i="10"/>
  <c r="LHI18" i="10"/>
  <c r="IYL18" i="10"/>
  <c r="IZV18" i="10"/>
  <c r="JBL18" i="10"/>
  <c r="JCU18" i="10"/>
  <c r="JEE18" i="10"/>
  <c r="JFS18" i="10"/>
  <c r="JGT18" i="10"/>
  <c r="JHT18" i="10"/>
  <c r="JIZ18" i="10"/>
  <c r="JKA18" i="10"/>
  <c r="JLB18" i="10"/>
  <c r="JLZ18" i="10"/>
  <c r="JMT18" i="10"/>
  <c r="JNN18" i="10"/>
  <c r="JOL18" i="10"/>
  <c r="JPF18" i="10"/>
  <c r="JPZ18" i="10"/>
  <c r="JQX18" i="10"/>
  <c r="JRR18" i="10"/>
  <c r="JSL18" i="10"/>
  <c r="JTJ18" i="10"/>
  <c r="JUD18" i="10"/>
  <c r="JUX18" i="10"/>
  <c r="JVV18" i="10"/>
  <c r="JWP18" i="10"/>
  <c r="JXJ18" i="10"/>
  <c r="JYD18" i="10"/>
  <c r="JYT18" i="10"/>
  <c r="JZJ18" i="10"/>
  <c r="JZZ18" i="10"/>
  <c r="KAP18" i="10"/>
  <c r="KBF18" i="10"/>
  <c r="KBV18" i="10"/>
  <c r="KCL18" i="10"/>
  <c r="KDB18" i="10"/>
  <c r="KDR18" i="10"/>
  <c r="KEH18" i="10"/>
  <c r="KEX18" i="10"/>
  <c r="KFN18" i="10"/>
  <c r="KGD18" i="10"/>
  <c r="KGT18" i="10"/>
  <c r="KHJ18" i="10"/>
  <c r="KHZ18" i="10"/>
  <c r="KIP18" i="10"/>
  <c r="KJF18" i="10"/>
  <c r="KJV18" i="10"/>
  <c r="KKL18" i="10"/>
  <c r="KLB18" i="10"/>
  <c r="KLR18" i="10"/>
  <c r="KMH18" i="10"/>
  <c r="KMX18" i="10"/>
  <c r="KNN18" i="10"/>
  <c r="KOD18" i="10"/>
  <c r="KOT18" i="10"/>
  <c r="KPJ18" i="10"/>
  <c r="KPZ18" i="10"/>
  <c r="KQP18" i="10"/>
  <c r="KRF18" i="10"/>
  <c r="KRV18" i="10"/>
  <c r="KSL18" i="10"/>
  <c r="KTB18" i="10"/>
  <c r="KTR18" i="10"/>
  <c r="KUH18" i="10"/>
  <c r="KUX18" i="10"/>
  <c r="KVN18" i="10"/>
  <c r="KWD18" i="10"/>
  <c r="KWT18" i="10"/>
  <c r="KXJ18" i="10"/>
  <c r="KXZ18" i="10"/>
  <c r="KYP18" i="10"/>
  <c r="KZF18" i="10"/>
  <c r="KZV18" i="10"/>
  <c r="LAL18" i="10"/>
  <c r="LBB18" i="10"/>
  <c r="LBR18" i="10"/>
  <c r="LCH18" i="10"/>
  <c r="LCX18" i="10"/>
  <c r="LDN18" i="10"/>
  <c r="LED18" i="10"/>
  <c r="LET18" i="10"/>
  <c r="LFJ18" i="10"/>
  <c r="LFZ18" i="10"/>
  <c r="LGP18" i="10"/>
  <c r="LHF18" i="10"/>
  <c r="LHV18" i="10"/>
  <c r="LIL18" i="10"/>
  <c r="LJB18" i="10"/>
  <c r="LJR18" i="10"/>
  <c r="LKH18" i="10"/>
  <c r="LKX18" i="10"/>
  <c r="LLN18" i="10"/>
  <c r="LMD18" i="10"/>
  <c r="LMT18" i="10"/>
  <c r="LNJ18" i="10"/>
  <c r="LNZ18" i="10"/>
  <c r="LOP18" i="10"/>
  <c r="LPF18" i="10"/>
  <c r="LPV18" i="10"/>
  <c r="LQL18" i="10"/>
  <c r="LRB18" i="10"/>
  <c r="LRR18" i="10"/>
  <c r="LSH18" i="10"/>
  <c r="LSX18" i="10"/>
  <c r="LTN18" i="10"/>
  <c r="LUD18" i="10"/>
  <c r="LUT18" i="10"/>
  <c r="LVJ18" i="10"/>
  <c r="LVZ18" i="10"/>
  <c r="LWP18" i="10"/>
  <c r="LXF18" i="10"/>
  <c r="IYM18" i="10"/>
  <c r="IZP18" i="10"/>
  <c r="JAR18" i="10"/>
  <c r="JBT18" i="10"/>
  <c r="JCX18" i="10"/>
  <c r="JDZ18" i="10"/>
  <c r="JFB18" i="10"/>
  <c r="JFZ18" i="10"/>
  <c r="JGU18" i="10"/>
  <c r="JHP18" i="10"/>
  <c r="JIL18" i="10"/>
  <c r="JJG18" i="10"/>
  <c r="JKB18" i="10"/>
  <c r="JKX18" i="10"/>
  <c r="JLO18" i="10"/>
  <c r="JME18" i="10"/>
  <c r="JMU18" i="10"/>
  <c r="JNK18" i="10"/>
  <c r="JOA18" i="10"/>
  <c r="JOQ18" i="10"/>
  <c r="JPG18" i="10"/>
  <c r="JPW18" i="10"/>
  <c r="JQM18" i="10"/>
  <c r="JRC18" i="10"/>
  <c r="JRS18" i="10"/>
  <c r="JSI18" i="10"/>
  <c r="JSY18" i="10"/>
  <c r="JTO18" i="10"/>
  <c r="JUE18" i="10"/>
  <c r="JUU18" i="10"/>
  <c r="JVK18" i="10"/>
  <c r="JWA18" i="10"/>
  <c r="JWQ18" i="10"/>
  <c r="JXG18" i="10"/>
  <c r="JXW18" i="10"/>
  <c r="JYM18" i="10"/>
  <c r="JZC18" i="10"/>
  <c r="JZS18" i="10"/>
  <c r="KAI18" i="10"/>
  <c r="KAY18" i="10"/>
  <c r="KBO18" i="10"/>
  <c r="KCE18" i="10"/>
  <c r="KCU18" i="10"/>
  <c r="KDK18" i="10"/>
  <c r="KEA18" i="10"/>
  <c r="KEQ18" i="10"/>
  <c r="KFG18" i="10"/>
  <c r="KFW18" i="10"/>
  <c r="KGM18" i="10"/>
  <c r="KHC18" i="10"/>
  <c r="KHS18" i="10"/>
  <c r="KII18" i="10"/>
  <c r="KIY18" i="10"/>
  <c r="KJO18" i="10"/>
  <c r="KKE18" i="10"/>
  <c r="KKU18" i="10"/>
  <c r="KLK18" i="10"/>
  <c r="KMA18" i="10"/>
  <c r="KMQ18" i="10"/>
  <c r="KNG18" i="10"/>
  <c r="KNW18" i="10"/>
  <c r="KOM18" i="10"/>
  <c r="KPC18" i="10"/>
  <c r="KPS18" i="10"/>
  <c r="KQI18" i="10"/>
  <c r="KQY18" i="10"/>
  <c r="KRO18" i="10"/>
  <c r="KSE18" i="10"/>
  <c r="KSU18" i="10"/>
  <c r="KTK18" i="10"/>
  <c r="KUA18" i="10"/>
  <c r="KUQ18" i="10"/>
  <c r="KVG18" i="10"/>
  <c r="KVW18" i="10"/>
  <c r="KWM18" i="10"/>
  <c r="KXC18" i="10"/>
  <c r="KXS18" i="10"/>
  <c r="KYI18" i="10"/>
  <c r="KYY18" i="10"/>
  <c r="KZO18" i="10"/>
  <c r="LAE18" i="10"/>
  <c r="LAU18" i="10"/>
  <c r="LBK18" i="10"/>
  <c r="LCA18" i="10"/>
  <c r="LCQ18" i="10"/>
  <c r="LDG18" i="10"/>
  <c r="LDW18" i="10"/>
  <c r="LEM18" i="10"/>
  <c r="LFC18" i="10"/>
  <c r="LFS18" i="10"/>
  <c r="LGI18" i="10"/>
  <c r="LGY18" i="10"/>
  <c r="LHO18" i="10"/>
  <c r="LIE18" i="10"/>
  <c r="LIU18" i="10"/>
  <c r="LJK18" i="10"/>
  <c r="LKA18" i="10"/>
  <c r="LKQ18" i="10"/>
  <c r="LLG18" i="10"/>
  <c r="LLW18" i="10"/>
  <c r="LMM18" i="10"/>
  <c r="LNC18" i="10"/>
  <c r="LNS18" i="10"/>
  <c r="LOI18" i="10"/>
  <c r="LOY18" i="10"/>
  <c r="LPO18" i="10"/>
  <c r="LQE18" i="10"/>
  <c r="LQU18" i="10"/>
  <c r="LRK18" i="10"/>
  <c r="LSA18" i="10"/>
  <c r="LSQ18" i="10"/>
  <c r="LTG18" i="10"/>
  <c r="LTW18" i="10"/>
  <c r="LUM18" i="10"/>
  <c r="LVC18" i="10"/>
  <c r="LVS18" i="10"/>
  <c r="LWI18" i="10"/>
  <c r="LWY18" i="10"/>
  <c r="LXO18" i="10"/>
  <c r="LYE18" i="10"/>
  <c r="LYU18" i="10"/>
  <c r="LZK18" i="10"/>
  <c r="MAA18" i="10"/>
  <c r="MAQ18" i="10"/>
  <c r="MBG18" i="10"/>
  <c r="MBW18" i="10"/>
  <c r="MCM18" i="10"/>
  <c r="MDC18" i="10"/>
  <c r="MDS18" i="10"/>
  <c r="MEI18" i="10"/>
  <c r="MEY18" i="10"/>
  <c r="MFO18" i="10"/>
  <c r="MGE18" i="10"/>
  <c r="MGU18" i="10"/>
  <c r="MHK18" i="10"/>
  <c r="MIA18" i="10"/>
  <c r="MIQ18" i="10"/>
  <c r="MJG18" i="10"/>
  <c r="MJW18" i="10"/>
  <c r="MKM18" i="10"/>
  <c r="MLC18" i="10"/>
  <c r="MLS18" i="10"/>
  <c r="MMI18" i="10"/>
  <c r="MMY18" i="10"/>
  <c r="MNO18" i="10"/>
  <c r="MOE18" i="10"/>
  <c r="MOU18" i="10"/>
  <c r="MPK18" i="10"/>
  <c r="MQA18" i="10"/>
  <c r="MQQ18" i="10"/>
  <c r="MRG18" i="10"/>
  <c r="MRW18" i="10"/>
  <c r="MSM18" i="10"/>
  <c r="MTC18" i="10"/>
  <c r="MTS18" i="10"/>
  <c r="MUI18" i="10"/>
  <c r="MUY18" i="10"/>
  <c r="MVO18" i="10"/>
  <c r="MWE18" i="10"/>
  <c r="MWU18" i="10"/>
  <c r="MXK18" i="10"/>
  <c r="MYA18" i="10"/>
  <c r="MYQ18" i="10"/>
  <c r="MZG18" i="10"/>
  <c r="MZW18" i="10"/>
  <c r="NAM18" i="10"/>
  <c r="NBC18" i="10"/>
  <c r="NBS18" i="10"/>
  <c r="NCI18" i="10"/>
  <c r="NCY18" i="10"/>
  <c r="NDO18" i="10"/>
  <c r="IZC18" i="10"/>
  <c r="JAF18" i="10"/>
  <c r="JBH18" i="10"/>
  <c r="JCJ18" i="10"/>
  <c r="JDN18" i="10"/>
  <c r="JEP18" i="10"/>
  <c r="JFP18" i="10"/>
  <c r="JGL18" i="10"/>
  <c r="JHG18" i="10"/>
  <c r="JIB18" i="10"/>
  <c r="JIX18" i="10"/>
  <c r="JJS18" i="10"/>
  <c r="JKN18" i="10"/>
  <c r="JLH18" i="10"/>
  <c r="JLX18" i="10"/>
  <c r="JMN18" i="10"/>
  <c r="JND18" i="10"/>
  <c r="JNT18" i="10"/>
  <c r="JOJ18" i="10"/>
  <c r="JOZ18" i="10"/>
  <c r="JPP18" i="10"/>
  <c r="JQF18" i="10"/>
  <c r="JQV18" i="10"/>
  <c r="JRL18" i="10"/>
  <c r="JSB18" i="10"/>
  <c r="JSR18" i="10"/>
  <c r="JTH18" i="10"/>
  <c r="JTX18" i="10"/>
  <c r="JUN18" i="10"/>
  <c r="JVD18" i="10"/>
  <c r="JVT18" i="10"/>
  <c r="JWJ18" i="10"/>
  <c r="JWZ18" i="10"/>
  <c r="JXP18" i="10"/>
  <c r="JYF18" i="10"/>
  <c r="JYV18" i="10"/>
  <c r="JZL18" i="10"/>
  <c r="KAB18" i="10"/>
  <c r="KAR18" i="10"/>
  <c r="KBH18" i="10"/>
  <c r="KBX18" i="10"/>
  <c r="KCN18" i="10"/>
  <c r="KDD18" i="10"/>
  <c r="KDT18" i="10"/>
  <c r="KEJ18" i="10"/>
  <c r="KEZ18" i="10"/>
  <c r="KFP18" i="10"/>
  <c r="KGF18" i="10"/>
  <c r="KGV18" i="10"/>
  <c r="KHL18" i="10"/>
  <c r="KIB18" i="10"/>
  <c r="KIR18" i="10"/>
  <c r="KJH18" i="10"/>
  <c r="KJX18" i="10"/>
  <c r="KKN18" i="10"/>
  <c r="KLD18" i="10"/>
  <c r="KLT18" i="10"/>
  <c r="KMJ18" i="10"/>
  <c r="KMZ18" i="10"/>
  <c r="KNP18" i="10"/>
  <c r="KOF18" i="10"/>
  <c r="KOV18" i="10"/>
  <c r="KPL18" i="10"/>
  <c r="KQB18" i="10"/>
  <c r="KQR18" i="10"/>
  <c r="KRH18" i="10"/>
  <c r="KRX18" i="10"/>
  <c r="KSN18" i="10"/>
  <c r="KTD18" i="10"/>
  <c r="KTT18" i="10"/>
  <c r="KUJ18" i="10"/>
  <c r="KUZ18" i="10"/>
  <c r="KVP18" i="10"/>
  <c r="KWF18" i="10"/>
  <c r="KWV18" i="10"/>
  <c r="KXL18" i="10"/>
  <c r="KYB18" i="10"/>
  <c r="LAB18" i="10"/>
  <c r="LCN18" i="10"/>
  <c r="LEZ18" i="10"/>
  <c r="LHL18" i="10"/>
  <c r="LIZ18" i="10"/>
  <c r="LKF18" i="10"/>
  <c r="LLL18" i="10"/>
  <c r="LMR18" i="10"/>
  <c r="LNX18" i="10"/>
  <c r="LPD18" i="10"/>
  <c r="LQJ18" i="10"/>
  <c r="LRP18" i="10"/>
  <c r="LSV18" i="10"/>
  <c r="LUB18" i="10"/>
  <c r="LVH18" i="10"/>
  <c r="LWN18" i="10"/>
  <c r="LXT18" i="10"/>
  <c r="LYO18" i="10"/>
  <c r="LZJ18" i="10"/>
  <c r="MAF18" i="10"/>
  <c r="MBA18" i="10"/>
  <c r="MBV18" i="10"/>
  <c r="MCR18" i="10"/>
  <c r="MDM18" i="10"/>
  <c r="MEH18" i="10"/>
  <c r="MFD18" i="10"/>
  <c r="MFY18" i="10"/>
  <c r="MGT18" i="10"/>
  <c r="MHP18" i="10"/>
  <c r="MIK18" i="10"/>
  <c r="MJF18" i="10"/>
  <c r="MKB18" i="10"/>
  <c r="MKW18" i="10"/>
  <c r="MLR18" i="10"/>
  <c r="MMN18" i="10"/>
  <c r="MNI18" i="10"/>
  <c r="MOD18" i="10"/>
  <c r="MOZ18" i="10"/>
  <c r="MPU18" i="10"/>
  <c r="MQP18" i="10"/>
  <c r="MRL18" i="10"/>
  <c r="MSG18" i="10"/>
  <c r="MTB18" i="10"/>
  <c r="MTX18" i="10"/>
  <c r="MUS18" i="10"/>
  <c r="MVN18" i="10"/>
  <c r="MWJ18" i="10"/>
  <c r="MXE18" i="10"/>
  <c r="MXZ18" i="10"/>
  <c r="MYV18" i="10"/>
  <c r="MZQ18" i="10"/>
  <c r="NAL18" i="10"/>
  <c r="NBH18" i="10"/>
  <c r="KYZ18" i="10"/>
  <c r="LBL18" i="10"/>
  <c r="LDX18" i="10"/>
  <c r="LGJ18" i="10"/>
  <c r="LIK18" i="10"/>
  <c r="LJQ18" i="10"/>
  <c r="LKW18" i="10"/>
  <c r="LMC18" i="10"/>
  <c r="LNI18" i="10"/>
  <c r="LOO18" i="10"/>
  <c r="LPU18" i="10"/>
  <c r="LRA18" i="10"/>
  <c r="LSG18" i="10"/>
  <c r="LTM18" i="10"/>
  <c r="LUS18" i="10"/>
  <c r="LVY18" i="10"/>
  <c r="LXE18" i="10"/>
  <c r="LYF18" i="10"/>
  <c r="LZA18" i="10"/>
  <c r="LZV18" i="10"/>
  <c r="MAR18" i="10"/>
  <c r="MBM18" i="10"/>
  <c r="MCH18" i="10"/>
  <c r="MDD18" i="10"/>
  <c r="MDY18" i="10"/>
  <c r="MET18" i="10"/>
  <c r="MFP18" i="10"/>
  <c r="MGK18" i="10"/>
  <c r="MHF18" i="10"/>
  <c r="MIB18" i="10"/>
  <c r="MIW18" i="10"/>
  <c r="MJR18" i="10"/>
  <c r="MKN18" i="10"/>
  <c r="MLI18" i="10"/>
  <c r="MMD18" i="10"/>
  <c r="MMZ18" i="10"/>
  <c r="MNU18" i="10"/>
  <c r="MOP18" i="10"/>
  <c r="MPL18" i="10"/>
  <c r="MQG18" i="10"/>
  <c r="MRB18" i="10"/>
  <c r="MRX18" i="10"/>
  <c r="MSS18" i="10"/>
  <c r="MTN18" i="10"/>
  <c r="MUJ18" i="10"/>
  <c r="MVE18" i="10"/>
  <c r="MVZ18" i="10"/>
  <c r="MWV18" i="10"/>
  <c r="MXQ18" i="10"/>
  <c r="MYL18" i="10"/>
  <c r="MZH18" i="10"/>
  <c r="NAC18" i="10"/>
  <c r="NAX18" i="10"/>
  <c r="NBT18" i="10"/>
  <c r="NCO18" i="10"/>
  <c r="NDJ18" i="10"/>
  <c r="NEC18" i="10"/>
  <c r="NES18" i="10"/>
  <c r="NFI18" i="10"/>
  <c r="NFY18" i="10"/>
  <c r="NGO18" i="10"/>
  <c r="NHE18" i="10"/>
  <c r="NHU18" i="10"/>
  <c r="NIK18" i="10"/>
  <c r="NJA18" i="10"/>
  <c r="NJQ18" i="10"/>
  <c r="NKG18" i="10"/>
  <c r="NKW18" i="10"/>
  <c r="NLM18" i="10"/>
  <c r="NMC18" i="10"/>
  <c r="NMS18" i="10"/>
  <c r="NNI18" i="10"/>
  <c r="NNY18" i="10"/>
  <c r="NOO18" i="10"/>
  <c r="NPE18" i="10"/>
  <c r="NPU18" i="10"/>
  <c r="NQK18" i="10"/>
  <c r="NRA18" i="10"/>
  <c r="NRQ18" i="10"/>
  <c r="NSG18" i="10"/>
  <c r="NSW18" i="10"/>
  <c r="NTM18" i="10"/>
  <c r="NUC18" i="10"/>
  <c r="NUS18" i="10"/>
  <c r="NVI18" i="10"/>
  <c r="NVY18" i="10"/>
  <c r="NWO18" i="10"/>
  <c r="NXE18" i="10"/>
  <c r="NXU18" i="10"/>
  <c r="NYK18" i="10"/>
  <c r="NZA18" i="10"/>
  <c r="NZQ18" i="10"/>
  <c r="OAG18" i="10"/>
  <c r="OAW18" i="10"/>
  <c r="OBM18" i="10"/>
  <c r="OCC18" i="10"/>
  <c r="OCS18" i="10"/>
  <c r="ODI18" i="10"/>
  <c r="ODY18" i="10"/>
  <c r="OEO18" i="10"/>
  <c r="OFE18" i="10"/>
  <c r="OFU18" i="10"/>
  <c r="OGK18" i="10"/>
  <c r="OHA18" i="10"/>
  <c r="OHQ18" i="10"/>
  <c r="OIG18" i="10"/>
  <c r="OIW18" i="10"/>
  <c r="OJM18" i="10"/>
  <c r="OKC18" i="10"/>
  <c r="OKS18" i="10"/>
  <c r="OLI18" i="10"/>
  <c r="OLY18" i="10"/>
  <c r="OMO18" i="10"/>
  <c r="ONE18" i="10"/>
  <c r="ONU18" i="10"/>
  <c r="OOK18" i="10"/>
  <c r="OPA18" i="10"/>
  <c r="OPQ18" i="10"/>
  <c r="OQG18" i="10"/>
  <c r="OQW18" i="10"/>
  <c r="ORM18" i="10"/>
  <c r="OSC18" i="10"/>
  <c r="OSS18" i="10"/>
  <c r="OTI18" i="10"/>
  <c r="OTY18" i="10"/>
  <c r="OUO18" i="10"/>
  <c r="OVE18" i="10"/>
  <c r="OVU18" i="10"/>
  <c r="OWK18" i="10"/>
  <c r="OXA18" i="10"/>
  <c r="OXQ18" i="10"/>
  <c r="OYG18" i="10"/>
  <c r="OYW18" i="10"/>
  <c r="OZM18" i="10"/>
  <c r="PAC18" i="10"/>
  <c r="PAS18" i="10"/>
  <c r="PBI18" i="10"/>
  <c r="PBY18" i="10"/>
  <c r="PCO18" i="10"/>
  <c r="PDE18" i="10"/>
  <c r="PDU18" i="10"/>
  <c r="PEK18" i="10"/>
  <c r="PFA18" i="10"/>
  <c r="PFQ18" i="10"/>
  <c r="PGG18" i="10"/>
  <c r="PGW18" i="10"/>
  <c r="PHM18" i="10"/>
  <c r="PIC18" i="10"/>
  <c r="PIS18" i="10"/>
  <c r="PJI18" i="10"/>
  <c r="PJY18" i="10"/>
  <c r="PKO18" i="10"/>
  <c r="PLE18" i="10"/>
  <c r="PLU18" i="10"/>
  <c r="PMK18" i="10"/>
  <c r="PNA18" i="10"/>
  <c r="PNQ18" i="10"/>
  <c r="POG18" i="10"/>
  <c r="POW18" i="10"/>
  <c r="PPM18" i="10"/>
  <c r="PQC18" i="10"/>
  <c r="PQS18" i="10"/>
  <c r="PRI18" i="10"/>
  <c r="PRY18" i="10"/>
  <c r="PSO18" i="10"/>
  <c r="PTE18" i="10"/>
  <c r="PTU18" i="10"/>
  <c r="PUK18" i="10"/>
  <c r="PVA18" i="10"/>
  <c r="PVQ18" i="10"/>
  <c r="PWG18" i="10"/>
  <c r="LAJ18" i="10"/>
  <c r="LCV18" i="10"/>
  <c r="LFH18" i="10"/>
  <c r="LHT18" i="10"/>
  <c r="LJD18" i="10"/>
  <c r="LKJ18" i="10"/>
  <c r="LLP18" i="10"/>
  <c r="LMV18" i="10"/>
  <c r="LOB18" i="10"/>
  <c r="LPH18" i="10"/>
  <c r="LQN18" i="10"/>
  <c r="LRT18" i="10"/>
  <c r="LSZ18" i="10"/>
  <c r="LUF18" i="10"/>
  <c r="LVL18" i="10"/>
  <c r="LWR18" i="10"/>
  <c r="LXV18" i="10"/>
  <c r="LYR18" i="10"/>
  <c r="LZM18" i="10"/>
  <c r="MAH18" i="10"/>
  <c r="MBD18" i="10"/>
  <c r="MBY18" i="10"/>
  <c r="MCT18" i="10"/>
  <c r="MDP18" i="10"/>
  <c r="MEK18" i="10"/>
  <c r="MFF18" i="10"/>
  <c r="MGB18" i="10"/>
  <c r="MGW18" i="10"/>
  <c r="MHR18" i="10"/>
  <c r="MIN18" i="10"/>
  <c r="MJI18" i="10"/>
  <c r="MKD18" i="10"/>
  <c r="MKZ18" i="10"/>
  <c r="MLU18" i="10"/>
  <c r="MMP18" i="10"/>
  <c r="MNL18" i="10"/>
  <c r="MOG18" i="10"/>
  <c r="MPB18" i="10"/>
  <c r="MPX18" i="10"/>
  <c r="MQS18" i="10"/>
  <c r="MRN18" i="10"/>
  <c r="MSJ18" i="10"/>
  <c r="MTE18" i="10"/>
  <c r="MTZ18" i="10"/>
  <c r="MUV18" i="10"/>
  <c r="MVQ18" i="10"/>
  <c r="MWL18" i="10"/>
  <c r="MXH18" i="10"/>
  <c r="MYC18" i="10"/>
  <c r="MYX18" i="10"/>
  <c r="MZT18" i="10"/>
  <c r="NAO18" i="10"/>
  <c r="NBJ18" i="10"/>
  <c r="NCF18" i="10"/>
  <c r="NDA18" i="10"/>
  <c r="NDV18" i="10"/>
  <c r="NEL18" i="10"/>
  <c r="NFB18" i="10"/>
  <c r="NFR18" i="10"/>
  <c r="NGH18" i="10"/>
  <c r="NGX18" i="10"/>
  <c r="NHN18" i="10"/>
  <c r="NID18" i="10"/>
  <c r="NIT18" i="10"/>
  <c r="NJJ18" i="10"/>
  <c r="NJZ18" i="10"/>
  <c r="NKP18" i="10"/>
  <c r="NLF18" i="10"/>
  <c r="NLV18" i="10"/>
  <c r="NML18" i="10"/>
  <c r="NNB18" i="10"/>
  <c r="NNR18" i="10"/>
  <c r="NOH18" i="10"/>
  <c r="NOX18" i="10"/>
  <c r="NPN18" i="10"/>
  <c r="NQD18" i="10"/>
  <c r="NQT18" i="10"/>
  <c r="NRJ18" i="10"/>
  <c r="NRZ18" i="10"/>
  <c r="NSP18" i="10"/>
  <c r="NTF18" i="10"/>
  <c r="NTV18" i="10"/>
  <c r="NUL18" i="10"/>
  <c r="NVB18" i="10"/>
  <c r="NVR18" i="10"/>
  <c r="NWH18" i="10"/>
  <c r="NWX18" i="10"/>
  <c r="NXN18" i="10"/>
  <c r="NYD18" i="10"/>
  <c r="NYT18" i="10"/>
  <c r="NZJ18" i="10"/>
  <c r="NZZ18" i="10"/>
  <c r="OAP18" i="10"/>
  <c r="OBF18" i="10"/>
  <c r="OBV18" i="10"/>
  <c r="OCL18" i="10"/>
  <c r="ODB18" i="10"/>
  <c r="ODR18" i="10"/>
  <c r="OEH18" i="10"/>
  <c r="OEX18" i="10"/>
  <c r="OFN18" i="10"/>
  <c r="OGD18" i="10"/>
  <c r="OGT18" i="10"/>
  <c r="OHJ18" i="10"/>
  <c r="OHZ18" i="10"/>
  <c r="OIP18" i="10"/>
  <c r="OJF18" i="10"/>
  <c r="OJV18" i="10"/>
  <c r="OKL18" i="10"/>
  <c r="OLB18" i="10"/>
  <c r="OLR18" i="10"/>
  <c r="OMH18" i="10"/>
  <c r="OMX18" i="10"/>
  <c r="LAN18" i="10"/>
  <c r="LCZ18" i="10"/>
  <c r="LFL18" i="10"/>
  <c r="LHX18" i="10"/>
  <c r="LJE18" i="10"/>
  <c r="LKK18" i="10"/>
  <c r="LLQ18" i="10"/>
  <c r="LMW18" i="10"/>
  <c r="LOC18" i="10"/>
  <c r="LPI18" i="10"/>
  <c r="LQO18" i="10"/>
  <c r="LRU18" i="10"/>
  <c r="LTA18" i="10"/>
  <c r="LUG18" i="10"/>
  <c r="LVM18" i="10"/>
  <c r="LWS18" i="10"/>
  <c r="LXX18" i="10"/>
  <c r="LYS18" i="10"/>
  <c r="LZN18" i="10"/>
  <c r="MAJ18" i="10"/>
  <c r="MBE18" i="10"/>
  <c r="MBZ18" i="10"/>
  <c r="MCV18" i="10"/>
  <c r="MDQ18" i="10"/>
  <c r="MEL18" i="10"/>
  <c r="MFH18" i="10"/>
  <c r="MGC18" i="10"/>
  <c r="MGX18" i="10"/>
  <c r="MHT18" i="10"/>
  <c r="MIO18" i="10"/>
  <c r="MJJ18" i="10"/>
  <c r="MKF18" i="10"/>
  <c r="MLA18" i="10"/>
  <c r="MLV18" i="10"/>
  <c r="MMR18" i="10"/>
  <c r="MNM18" i="10"/>
  <c r="MOH18" i="10"/>
  <c r="MPD18" i="10"/>
  <c r="MPY18" i="10"/>
  <c r="MQT18" i="10"/>
  <c r="MSF18" i="10"/>
  <c r="MVM18" i="10"/>
  <c r="MYT18" i="10"/>
  <c r="NBX18" i="10"/>
  <c r="NDN18" i="10"/>
  <c r="NEV18" i="10"/>
  <c r="NGB18" i="10"/>
  <c r="NHH18" i="10"/>
  <c r="NIN18" i="10"/>
  <c r="NJT18" i="10"/>
  <c r="NKZ18" i="10"/>
  <c r="NMF18" i="10"/>
  <c r="NNL18" i="10"/>
  <c r="NOR18" i="10"/>
  <c r="NPX18" i="10"/>
  <c r="NRD18" i="10"/>
  <c r="NSJ18" i="10"/>
  <c r="NTP18" i="10"/>
  <c r="NUV18" i="10"/>
  <c r="NWB18" i="10"/>
  <c r="NXH18" i="10"/>
  <c r="NYN18" i="10"/>
  <c r="NZT18" i="10"/>
  <c r="OAZ18" i="10"/>
  <c r="OCF18" i="10"/>
  <c r="ODL18" i="10"/>
  <c r="OER18" i="10"/>
  <c r="OFX18" i="10"/>
  <c r="OHD18" i="10"/>
  <c r="OIJ18" i="10"/>
  <c r="OJP18" i="10"/>
  <c r="OKV18" i="10"/>
  <c r="OMB18" i="10"/>
  <c r="ONF18" i="10"/>
  <c r="OOA18" i="10"/>
  <c r="OOV18" i="10"/>
  <c r="OPR18" i="10"/>
  <c r="OQM18" i="10"/>
  <c r="ORH18" i="10"/>
  <c r="OSD18" i="10"/>
  <c r="OSY18" i="10"/>
  <c r="OTT18" i="10"/>
  <c r="OUP18" i="10"/>
  <c r="OVK18" i="10"/>
  <c r="OWF18" i="10"/>
  <c r="OXB18" i="10"/>
  <c r="OXW18" i="10"/>
  <c r="OYR18" i="10"/>
  <c r="OZN18" i="10"/>
  <c r="PAI18" i="10"/>
  <c r="PBD18" i="10"/>
  <c r="PBZ18" i="10"/>
  <c r="PCU18" i="10"/>
  <c r="PDP18" i="10"/>
  <c r="PEL18" i="10"/>
  <c r="PFG18" i="10"/>
  <c r="PGB18" i="10"/>
  <c r="PGX18" i="10"/>
  <c r="PHS18" i="10"/>
  <c r="PIN18" i="10"/>
  <c r="PJJ18" i="10"/>
  <c r="PKE18" i="10"/>
  <c r="PKZ18" i="10"/>
  <c r="PLV18" i="10"/>
  <c r="PMQ18" i="10"/>
  <c r="PNL18" i="10"/>
  <c r="POH18" i="10"/>
  <c r="PPC18" i="10"/>
  <c r="PPX18" i="10"/>
  <c r="PQT18" i="10"/>
  <c r="PRO18" i="10"/>
  <c r="PSJ18" i="10"/>
  <c r="PTF18" i="10"/>
  <c r="PUA18" i="10"/>
  <c r="PUV18" i="10"/>
  <c r="PVR18" i="10"/>
  <c r="PWL18" i="10"/>
  <c r="PXB18" i="10"/>
  <c r="PXR18" i="10"/>
  <c r="PYH18" i="10"/>
  <c r="PYX18" i="10"/>
  <c r="PZN18" i="10"/>
  <c r="QAD18" i="10"/>
  <c r="QAT18" i="10"/>
  <c r="QBJ18" i="10"/>
  <c r="QBZ18" i="10"/>
  <c r="QCP18" i="10"/>
  <c r="QDF18" i="10"/>
  <c r="QDV18" i="10"/>
  <c r="QEL18" i="10"/>
  <c r="QFB18" i="10"/>
  <c r="QFR18" i="10"/>
  <c r="QGH18" i="10"/>
  <c r="QGX18" i="10"/>
  <c r="QHN18" i="10"/>
  <c r="QID18" i="10"/>
  <c r="QIT18" i="10"/>
  <c r="QJJ18" i="10"/>
  <c r="QJZ18" i="10"/>
  <c r="QKP18" i="10"/>
  <c r="QLF18" i="10"/>
  <c r="QLV18" i="10"/>
  <c r="QML18" i="10"/>
  <c r="QNB18" i="10"/>
  <c r="QNR18" i="10"/>
  <c r="QOH18" i="10"/>
  <c r="QOX18" i="10"/>
  <c r="QPN18" i="10"/>
  <c r="QQD18" i="10"/>
  <c r="QQT18" i="10"/>
  <c r="QRJ18" i="10"/>
  <c r="QRZ18" i="10"/>
  <c r="QSP18" i="10"/>
  <c r="QTF18" i="10"/>
  <c r="QTV18" i="10"/>
  <c r="QUL18" i="10"/>
  <c r="QVB18" i="10"/>
  <c r="QVR18" i="10"/>
  <c r="QWH18" i="10"/>
  <c r="QWX18" i="10"/>
  <c r="QXN18" i="10"/>
  <c r="QYD18" i="10"/>
  <c r="QYT18" i="10"/>
  <c r="QZJ18" i="10"/>
  <c r="QZZ18" i="10"/>
  <c r="RAP18" i="10"/>
  <c r="RBF18" i="10"/>
  <c r="RBV18" i="10"/>
  <c r="RCL18" i="10"/>
  <c r="RDB18" i="10"/>
  <c r="RDR18" i="10"/>
  <c r="REH18" i="10"/>
  <c r="REX18" i="10"/>
  <c r="RFN18" i="10"/>
  <c r="RGD18" i="10"/>
  <c r="RGT18" i="10"/>
  <c r="RHJ18" i="10"/>
  <c r="RHZ18" i="10"/>
  <c r="RIP18" i="10"/>
  <c r="RJF18" i="10"/>
  <c r="RJV18" i="10"/>
  <c r="RKL18" i="10"/>
  <c r="RLB18" i="10"/>
  <c r="RLR18" i="10"/>
  <c r="RMH18" i="10"/>
  <c r="RMX18" i="10"/>
  <c r="RNN18" i="10"/>
  <c r="ROD18" i="10"/>
  <c r="ROT18" i="10"/>
  <c r="RPJ18" i="10"/>
  <c r="RPZ18" i="10"/>
  <c r="RQP18" i="10"/>
  <c r="RRF18" i="10"/>
  <c r="RRV18" i="10"/>
  <c r="RSL18" i="10"/>
  <c r="RTB18" i="10"/>
  <c r="RTR18" i="10"/>
  <c r="RUH18" i="10"/>
  <c r="RUX18" i="10"/>
  <c r="RVN18" i="10"/>
  <c r="RWD18" i="10"/>
  <c r="RWT18" i="10"/>
  <c r="RXJ18" i="10"/>
  <c r="RXZ18" i="10"/>
  <c r="RYP18" i="10"/>
  <c r="RZF18" i="10"/>
  <c r="RZV18" i="10"/>
  <c r="SAL18" i="10"/>
  <c r="SBB18" i="10"/>
  <c r="SBR18" i="10"/>
  <c r="SCH18" i="10"/>
  <c r="MUB18" i="10"/>
  <c r="MXI18" i="10"/>
  <c r="NAP18" i="10"/>
  <c r="NCW18" i="10"/>
  <c r="NEI18" i="10"/>
  <c r="NFO18" i="10"/>
  <c r="NGU18" i="10"/>
  <c r="NIA18" i="10"/>
  <c r="NJG18" i="10"/>
  <c r="NKM18" i="10"/>
  <c r="NLS18" i="10"/>
  <c r="NMY18" i="10"/>
  <c r="NOE18" i="10"/>
  <c r="NPK18" i="10"/>
  <c r="NQQ18" i="10"/>
  <c r="NRW18" i="10"/>
  <c r="NTC18" i="10"/>
  <c r="NUI18" i="10"/>
  <c r="NVO18" i="10"/>
  <c r="NWU18" i="10"/>
  <c r="NYA18" i="10"/>
  <c r="NZG18" i="10"/>
  <c r="OAM18" i="10"/>
  <c r="OBS18" i="10"/>
  <c r="OCY18" i="10"/>
  <c r="OEE18" i="10"/>
  <c r="OFK18" i="10"/>
  <c r="OGQ18" i="10"/>
  <c r="OHW18" i="10"/>
  <c r="OJC18" i="10"/>
  <c r="OKI18" i="10"/>
  <c r="OLO18" i="10"/>
  <c r="OMU18" i="10"/>
  <c r="ONR18" i="10"/>
  <c r="OOM18" i="10"/>
  <c r="OPH18" i="10"/>
  <c r="OQD18" i="10"/>
  <c r="OQY18" i="10"/>
  <c r="ORT18" i="10"/>
  <c r="OSP18" i="10"/>
  <c r="OTK18" i="10"/>
  <c r="OUF18" i="10"/>
  <c r="OVB18" i="10"/>
  <c r="OVW18" i="10"/>
  <c r="OWR18" i="10"/>
  <c r="OXN18" i="10"/>
  <c r="OYI18" i="10"/>
  <c r="OZD18" i="10"/>
  <c r="OZZ18" i="10"/>
  <c r="PAU18" i="10"/>
  <c r="PBP18" i="10"/>
  <c r="PCL18" i="10"/>
  <c r="PDG18" i="10"/>
  <c r="PEB18" i="10"/>
  <c r="PEX18" i="10"/>
  <c r="PFS18" i="10"/>
  <c r="PGN18" i="10"/>
  <c r="PHJ18" i="10"/>
  <c r="PIE18" i="10"/>
  <c r="PIZ18" i="10"/>
  <c r="PJV18" i="10"/>
  <c r="PKQ18" i="10"/>
  <c r="PLL18" i="10"/>
  <c r="PMH18" i="10"/>
  <c r="PNC18" i="10"/>
  <c r="PNX18" i="10"/>
  <c r="POT18" i="10"/>
  <c r="PPO18" i="10"/>
  <c r="PQJ18" i="10"/>
  <c r="PRF18" i="10"/>
  <c r="PSA18" i="10"/>
  <c r="PSV18" i="10"/>
  <c r="PTR18" i="10"/>
  <c r="PUM18" i="10"/>
  <c r="PVH18" i="10"/>
  <c r="PWD18" i="10"/>
  <c r="PWU18" i="10"/>
  <c r="PXK18" i="10"/>
  <c r="PYA18" i="10"/>
  <c r="PYQ18" i="10"/>
  <c r="PZG18" i="10"/>
  <c r="PZW18" i="10"/>
  <c r="QAM18" i="10"/>
  <c r="QBC18" i="10"/>
  <c r="QBS18" i="10"/>
  <c r="QCI18" i="10"/>
  <c r="QCY18" i="10"/>
  <c r="QDO18" i="10"/>
  <c r="QEE18" i="10"/>
  <c r="QEU18" i="10"/>
  <c r="QFK18" i="10"/>
  <c r="QGA18" i="10"/>
  <c r="QGQ18" i="10"/>
  <c r="QHG18" i="10"/>
  <c r="QHW18" i="10"/>
  <c r="QIM18" i="10"/>
  <c r="QJC18" i="10"/>
  <c r="QJS18" i="10"/>
  <c r="QKI18" i="10"/>
  <c r="QKY18" i="10"/>
  <c r="QLO18" i="10"/>
  <c r="QME18" i="10"/>
  <c r="QMU18" i="10"/>
  <c r="QNK18" i="10"/>
  <c r="QOA18" i="10"/>
  <c r="QOQ18" i="10"/>
  <c r="QPG18" i="10"/>
  <c r="QPW18" i="10"/>
  <c r="QQM18" i="10"/>
  <c r="QRC18" i="10"/>
  <c r="QRS18" i="10"/>
  <c r="QSI18" i="10"/>
  <c r="QSY18" i="10"/>
  <c r="QTO18" i="10"/>
  <c r="QUE18" i="10"/>
  <c r="QUU18" i="10"/>
  <c r="QVK18" i="10"/>
  <c r="QWA18" i="10"/>
  <c r="QWQ18" i="10"/>
  <c r="QXG18" i="10"/>
  <c r="QXW18" i="10"/>
  <c r="QYM18" i="10"/>
  <c r="QZC18" i="10"/>
  <c r="QZS18" i="10"/>
  <c r="RAI18" i="10"/>
  <c r="RAY18" i="10"/>
  <c r="RBO18" i="10"/>
  <c r="RCE18" i="10"/>
  <c r="RCU18" i="10"/>
  <c r="RDK18" i="10"/>
  <c r="REA18" i="10"/>
  <c r="REQ18" i="10"/>
  <c r="RFG18" i="10"/>
  <c r="RFW18" i="10"/>
  <c r="RGM18" i="10"/>
  <c r="RHC18" i="10"/>
  <c r="RHS18" i="10"/>
  <c r="RII18" i="10"/>
  <c r="RIY18" i="10"/>
  <c r="RJO18" i="10"/>
  <c r="RKE18" i="10"/>
  <c r="RKU18" i="10"/>
  <c r="RLK18" i="10"/>
  <c r="RMA18" i="10"/>
  <c r="RMQ18" i="10"/>
  <c r="RNG18" i="10"/>
  <c r="RNW18" i="10"/>
  <c r="ROM18" i="10"/>
  <c r="RPC18" i="10"/>
  <c r="RPS18" i="10"/>
  <c r="RQI18" i="10"/>
  <c r="RQY18" i="10"/>
  <c r="RRO18" i="10"/>
  <c r="RSE18" i="10"/>
  <c r="RSU18" i="10"/>
  <c r="RTK18" i="10"/>
  <c r="RUA18" i="10"/>
  <c r="RUQ18" i="10"/>
  <c r="RVG18" i="10"/>
  <c r="RVW18" i="10"/>
  <c r="RWM18" i="10"/>
  <c r="RXC18" i="10"/>
  <c r="RXS18" i="10"/>
  <c r="RYI18" i="10"/>
  <c r="RYY18" i="10"/>
  <c r="RZO18" i="10"/>
  <c r="SAE18" i="10"/>
  <c r="SAU18" i="10"/>
  <c r="SBK18" i="10"/>
  <c r="SCA18" i="10"/>
  <c r="SCQ18" i="10"/>
  <c r="SDG18" i="10"/>
  <c r="SDW18" i="10"/>
  <c r="SEM18" i="10"/>
  <c r="SFC18" i="10"/>
  <c r="SFS18" i="10"/>
  <c r="SGI18" i="10"/>
  <c r="SGY18" i="10"/>
  <c r="SHO18" i="10"/>
  <c r="SIE18" i="10"/>
  <c r="SIU18" i="10"/>
  <c r="SJK18" i="10"/>
  <c r="SKA18" i="10"/>
  <c r="SKQ18" i="10"/>
  <c r="SLG18" i="10"/>
  <c r="SLW18" i="10"/>
  <c r="SMM18" i="10"/>
  <c r="SNC18" i="10"/>
  <c r="SNS18" i="10"/>
  <c r="SOI18" i="10"/>
  <c r="SOY18" i="10"/>
  <c r="SPO18" i="10"/>
  <c r="SQE18" i="10"/>
  <c r="SQU18" i="10"/>
  <c r="SRK18" i="10"/>
  <c r="SSA18" i="10"/>
  <c r="SSQ18" i="10"/>
  <c r="STG18" i="10"/>
  <c r="STW18" i="10"/>
  <c r="SUM18" i="10"/>
  <c r="SVC18" i="10"/>
  <c r="SVS18" i="10"/>
  <c r="SWI18" i="10"/>
  <c r="SWY18" i="10"/>
  <c r="SXO18" i="10"/>
  <c r="SYE18" i="10"/>
  <c r="SYU18" i="10"/>
  <c r="SZK18" i="10"/>
  <c r="TAA18" i="10"/>
  <c r="TAQ18" i="10"/>
  <c r="TBG18" i="10"/>
  <c r="TBW18" i="10"/>
  <c r="TCM18" i="10"/>
  <c r="TDC18" i="10"/>
  <c r="TDS18" i="10"/>
  <c r="TEI18" i="10"/>
  <c r="TEY18" i="10"/>
  <c r="TFO18" i="10"/>
  <c r="TGE18" i="10"/>
  <c r="TGU18" i="10"/>
  <c r="THK18" i="10"/>
  <c r="TIA18" i="10"/>
  <c r="TIQ18" i="10"/>
  <c r="TJG18" i="10"/>
  <c r="TJW18" i="10"/>
  <c r="TKM18" i="10"/>
  <c r="TLC18" i="10"/>
  <c r="TLS18" i="10"/>
  <c r="TMI18" i="10"/>
  <c r="TMY18" i="10"/>
  <c r="TNO18" i="10"/>
  <c r="TOE18" i="10"/>
  <c r="TOU18" i="10"/>
  <c r="TPK18" i="10"/>
  <c r="TQA18" i="10"/>
  <c r="TQQ18" i="10"/>
  <c r="TRG18" i="10"/>
  <c r="TRW18" i="10"/>
  <c r="TSM18" i="10"/>
  <c r="TTC18" i="10"/>
  <c r="TTS18" i="10"/>
  <c r="TUI18" i="10"/>
  <c r="TUY18" i="10"/>
  <c r="TVO18" i="10"/>
  <c r="TWE18" i="10"/>
  <c r="TWU18" i="10"/>
  <c r="TXK18" i="10"/>
  <c r="TYA18" i="10"/>
  <c r="TYQ18" i="10"/>
  <c r="TZG18" i="10"/>
  <c r="TZW18" i="10"/>
  <c r="UAM18" i="10"/>
  <c r="UBC18" i="10"/>
  <c r="UBS18" i="10"/>
  <c r="UCI18" i="10"/>
  <c r="UCY18" i="10"/>
  <c r="UDO18" i="10"/>
  <c r="UEE18" i="10"/>
  <c r="UEU18" i="10"/>
  <c r="UFK18" i="10"/>
  <c r="UGA18" i="10"/>
  <c r="UGQ18" i="10"/>
  <c r="UHG18" i="10"/>
  <c r="UHW18" i="10"/>
  <c r="UIM18" i="10"/>
  <c r="UJC18" i="10"/>
  <c r="UJS18" i="10"/>
  <c r="UKI18" i="10"/>
  <c r="UKY18" i="10"/>
  <c r="ULO18" i="10"/>
  <c r="UME18" i="10"/>
  <c r="UMU18" i="10"/>
  <c r="UNK18" i="10"/>
  <c r="UOA18" i="10"/>
  <c r="UOQ18" i="10"/>
  <c r="UPG18" i="10"/>
  <c r="UPW18" i="10"/>
  <c r="UQM18" i="10"/>
  <c r="URC18" i="10"/>
  <c r="URS18" i="10"/>
  <c r="USI18" i="10"/>
  <c r="USY18" i="10"/>
  <c r="UTO18" i="10"/>
  <c r="UUE18" i="10"/>
  <c r="UUU18" i="10"/>
  <c r="UVK18" i="10"/>
  <c r="UWA18" i="10"/>
  <c r="UWQ18" i="10"/>
  <c r="UXG18" i="10"/>
  <c r="UXW18" i="10"/>
  <c r="UYM18" i="10"/>
  <c r="UZC18" i="10"/>
  <c r="UZS18" i="10"/>
  <c r="VAI18" i="10"/>
  <c r="VAY18" i="10"/>
  <c r="VBO18" i="10"/>
  <c r="VCE18" i="10"/>
  <c r="MRU18" i="10"/>
  <c r="MVB18" i="10"/>
  <c r="MYJ18" i="10"/>
  <c r="NBQ18" i="10"/>
  <c r="NDI18" i="10"/>
  <c r="NER18" i="10"/>
  <c r="NFX18" i="10"/>
  <c r="NHD18" i="10"/>
  <c r="NIJ18" i="10"/>
  <c r="NJP18" i="10"/>
  <c r="NKV18" i="10"/>
  <c r="NMB18" i="10"/>
  <c r="NNH18" i="10"/>
  <c r="NON18" i="10"/>
  <c r="NPT18" i="10"/>
  <c r="NQZ18" i="10"/>
  <c r="NSF18" i="10"/>
  <c r="NTL18" i="10"/>
  <c r="NUR18" i="10"/>
  <c r="NVX18" i="10"/>
  <c r="NXD18" i="10"/>
  <c r="NYJ18" i="10"/>
  <c r="NZP18" i="10"/>
  <c r="OAV18" i="10"/>
  <c r="OCB18" i="10"/>
  <c r="ODH18" i="10"/>
  <c r="OEN18" i="10"/>
  <c r="OFT18" i="10"/>
  <c r="OGZ18" i="10"/>
  <c r="OIF18" i="10"/>
  <c r="OJL18" i="10"/>
  <c r="OKR18" i="10"/>
  <c r="OLX18" i="10"/>
  <c r="ONC18" i="10"/>
  <c r="ONX18" i="10"/>
  <c r="OOT18" i="10"/>
  <c r="OPO18" i="10"/>
  <c r="OQJ18" i="10"/>
  <c r="ORF18" i="10"/>
  <c r="OSA18" i="10"/>
  <c r="OSV18" i="10"/>
  <c r="OTR18" i="10"/>
  <c r="OUM18" i="10"/>
  <c r="OVH18" i="10"/>
  <c r="OWD18" i="10"/>
  <c r="OWY18" i="10"/>
  <c r="OXT18" i="10"/>
  <c r="OYP18" i="10"/>
  <c r="OZK18" i="10"/>
  <c r="PAF18" i="10"/>
  <c r="PBB18" i="10"/>
  <c r="PBW18" i="10"/>
  <c r="PCR18" i="10"/>
  <c r="PDN18" i="10"/>
  <c r="PEI18" i="10"/>
  <c r="PFD18" i="10"/>
  <c r="PFZ18" i="10"/>
  <c r="PGU18" i="10"/>
  <c r="PHP18" i="10"/>
  <c r="PIL18" i="10"/>
  <c r="PJG18" i="10"/>
  <c r="PKB18" i="10"/>
  <c r="PKX18" i="10"/>
  <c r="PLS18" i="10"/>
  <c r="PMN18" i="10"/>
  <c r="PNJ18" i="10"/>
  <c r="POE18" i="10"/>
  <c r="POZ18" i="10"/>
  <c r="PPV18" i="10"/>
  <c r="PQQ18" i="10"/>
  <c r="PRL18" i="10"/>
  <c r="PSH18" i="10"/>
  <c r="PTC18" i="10"/>
  <c r="PTX18" i="10"/>
  <c r="PUT18" i="10"/>
  <c r="PVO18" i="10"/>
  <c r="PWJ18" i="10"/>
  <c r="PWZ18" i="10"/>
  <c r="PXP18" i="10"/>
  <c r="PYF18" i="10"/>
  <c r="PYV18" i="10"/>
  <c r="PZL18" i="10"/>
  <c r="QAB18" i="10"/>
  <c r="QAR18" i="10"/>
  <c r="QBH18" i="10"/>
  <c r="QBX18" i="10"/>
  <c r="QCN18" i="10"/>
  <c r="QDD18" i="10"/>
  <c r="QDT18" i="10"/>
  <c r="QEJ18" i="10"/>
  <c r="QEZ18" i="10"/>
  <c r="QFP18" i="10"/>
  <c r="QGF18" i="10"/>
  <c r="QGV18" i="10"/>
  <c r="QHL18" i="10"/>
  <c r="QIB18" i="10"/>
  <c r="QIR18" i="10"/>
  <c r="QJH18" i="10"/>
  <c r="QJX18" i="10"/>
  <c r="QKN18" i="10"/>
  <c r="QLD18" i="10"/>
  <c r="QLT18" i="10"/>
  <c r="QMJ18" i="10"/>
  <c r="QMZ18" i="10"/>
  <c r="QNP18" i="10"/>
  <c r="QOF18" i="10"/>
  <c r="QOV18" i="10"/>
  <c r="QPL18" i="10"/>
  <c r="QQB18" i="10"/>
  <c r="QQR18" i="10"/>
  <c r="QRH18" i="10"/>
  <c r="QRX18" i="10"/>
  <c r="QSN18" i="10"/>
  <c r="QTD18" i="10"/>
  <c r="QTT18" i="10"/>
  <c r="QUJ18" i="10"/>
  <c r="QUZ18" i="10"/>
  <c r="QVP18" i="10"/>
  <c r="QWF18" i="10"/>
  <c r="QWV18" i="10"/>
  <c r="QXL18" i="10"/>
  <c r="QYB18" i="10"/>
  <c r="QYR18" i="10"/>
  <c r="QZH18" i="10"/>
  <c r="QZX18" i="10"/>
  <c r="RAN18" i="10"/>
  <c r="RBD18" i="10"/>
  <c r="RBT18" i="10"/>
  <c r="RCJ18" i="10"/>
  <c r="RCZ18" i="10"/>
  <c r="RDP18" i="10"/>
  <c r="REF18" i="10"/>
  <c r="REV18" i="10"/>
  <c r="RFL18" i="10"/>
  <c r="RGB18" i="10"/>
  <c r="RGR18" i="10"/>
  <c r="RHH18" i="10"/>
  <c r="RHX18" i="10"/>
  <c r="RIN18" i="10"/>
  <c r="RJD18" i="10"/>
  <c r="RJT18" i="10"/>
  <c r="RKJ18" i="10"/>
  <c r="RKZ18" i="10"/>
  <c r="RLP18" i="10"/>
  <c r="RMF18" i="10"/>
  <c r="RMV18" i="10"/>
  <c r="RNL18" i="10"/>
  <c r="ROB18" i="10"/>
  <c r="ROR18" i="10"/>
  <c r="RPH18" i="10"/>
  <c r="RPX18" i="10"/>
  <c r="RQN18" i="10"/>
  <c r="RRD18" i="10"/>
  <c r="RRT18" i="10"/>
  <c r="RSJ18" i="10"/>
  <c r="RSZ18" i="10"/>
  <c r="RTP18" i="10"/>
  <c r="RUF18" i="10"/>
  <c r="RUV18" i="10"/>
  <c r="RVL18" i="10"/>
  <c r="RWB18" i="10"/>
  <c r="RWR18" i="10"/>
  <c r="RXH18" i="10"/>
  <c r="RXX18" i="10"/>
  <c r="RYN18" i="10"/>
  <c r="RZD18" i="10"/>
  <c r="RZT18" i="10"/>
  <c r="SAJ18" i="10"/>
  <c r="SAZ18" i="10"/>
  <c r="SBP18" i="10"/>
  <c r="SCF18" i="10"/>
  <c r="SCV18" i="10"/>
  <c r="SDL18" i="10"/>
  <c r="SEB18" i="10"/>
  <c r="SER18" i="10"/>
  <c r="SFH18" i="10"/>
  <c r="SFX18" i="10"/>
  <c r="SGN18" i="10"/>
  <c r="SHD18" i="10"/>
  <c r="MRZ18" i="10"/>
  <c r="MVH18" i="10"/>
  <c r="MYO18" i="10"/>
  <c r="NBV18" i="10"/>
  <c r="NDM18" i="10"/>
  <c r="NEU18" i="10"/>
  <c r="NGA18" i="10"/>
  <c r="NHG18" i="10"/>
  <c r="NIM18" i="10"/>
  <c r="NJS18" i="10"/>
  <c r="NKY18" i="10"/>
  <c r="NME18" i="10"/>
  <c r="NNK18" i="10"/>
  <c r="NOQ18" i="10"/>
  <c r="NPW18" i="10"/>
  <c r="NRC18" i="10"/>
  <c r="NSI18" i="10"/>
  <c r="NTO18" i="10"/>
  <c r="NUU18" i="10"/>
  <c r="NWA18" i="10"/>
  <c r="NXG18" i="10"/>
  <c r="NYM18" i="10"/>
  <c r="NZS18" i="10"/>
  <c r="OAY18" i="10"/>
  <c r="OCE18" i="10"/>
  <c r="ODK18" i="10"/>
  <c r="OEQ18" i="10"/>
  <c r="OFW18" i="10"/>
  <c r="OHC18" i="10"/>
  <c r="OII18" i="10"/>
  <c r="OJO18" i="10"/>
  <c r="OKU18" i="10"/>
  <c r="ONO18" i="10"/>
  <c r="OQV18" i="10"/>
  <c r="OUD18" i="10"/>
  <c r="OXK18" i="10"/>
  <c r="PAR18" i="10"/>
  <c r="PDZ18" i="10"/>
  <c r="PHG18" i="10"/>
  <c r="PKN18" i="10"/>
  <c r="PNV18" i="10"/>
  <c r="PRC18" i="10"/>
  <c r="PUJ18" i="10"/>
  <c r="PXI18" i="10"/>
  <c r="PZU18" i="10"/>
  <c r="QCG18" i="10"/>
  <c r="QES18" i="10"/>
  <c r="QHE18" i="10"/>
  <c r="QJQ18" i="10"/>
  <c r="QMC18" i="10"/>
  <c r="QOO18" i="10"/>
  <c r="QRA18" i="10"/>
  <c r="QTM18" i="10"/>
  <c r="QVY18" i="10"/>
  <c r="QYK18" i="10"/>
  <c r="RAW18" i="10"/>
  <c r="RDI18" i="10"/>
  <c r="RFU18" i="10"/>
  <c r="RIG18" i="10"/>
  <c r="RKS18" i="10"/>
  <c r="RNE18" i="10"/>
  <c r="RPQ18" i="10"/>
  <c r="RSC18" i="10"/>
  <c r="RUO18" i="10"/>
  <c r="RXA18" i="10"/>
  <c r="RZM18" i="10"/>
  <c r="SBY18" i="10"/>
  <c r="SDJ18" i="10"/>
  <c r="SEP18" i="10"/>
  <c r="SFV18" i="10"/>
  <c r="SHB18" i="10"/>
  <c r="SIC18" i="10"/>
  <c r="SIX18" i="10"/>
  <c r="SJT18" i="10"/>
  <c r="SKO18" i="10"/>
  <c r="SLJ18" i="10"/>
  <c r="SMF18" i="10"/>
  <c r="SNA18" i="10"/>
  <c r="SNV18" i="10"/>
  <c r="SOR18" i="10"/>
  <c r="SPM18" i="10"/>
  <c r="SQH18" i="10"/>
  <c r="SRD18" i="10"/>
  <c r="SRY18" i="10"/>
  <c r="SST18" i="10"/>
  <c r="STP18" i="10"/>
  <c r="SUK18" i="10"/>
  <c r="SVF18" i="10"/>
  <c r="SWB18" i="10"/>
  <c r="SWW18" i="10"/>
  <c r="SXR18" i="10"/>
  <c r="SYN18" i="10"/>
  <c r="SZI18" i="10"/>
  <c r="TAD18" i="10"/>
  <c r="TAZ18" i="10"/>
  <c r="TBU18" i="10"/>
  <c r="TCP18" i="10"/>
  <c r="TDL18" i="10"/>
  <c r="TEG18" i="10"/>
  <c r="TFB18" i="10"/>
  <c r="TFX18" i="10"/>
  <c r="TGS18" i="10"/>
  <c r="THN18" i="10"/>
  <c r="TIJ18" i="10"/>
  <c r="TJE18" i="10"/>
  <c r="TJZ18" i="10"/>
  <c r="TKV18" i="10"/>
  <c r="TLQ18" i="10"/>
  <c r="TML18" i="10"/>
  <c r="TNH18" i="10"/>
  <c r="TOC18" i="10"/>
  <c r="TOX18" i="10"/>
  <c r="TPT18" i="10"/>
  <c r="TQO18" i="10"/>
  <c r="TRJ18" i="10"/>
  <c r="TSF18" i="10"/>
  <c r="TTA18" i="10"/>
  <c r="ONT18" i="10"/>
  <c r="ORB18" i="10"/>
  <c r="OUI18" i="10"/>
  <c r="OXP18" i="10"/>
  <c r="PAX18" i="10"/>
  <c r="PEE18" i="10"/>
  <c r="PHL18" i="10"/>
  <c r="PKT18" i="10"/>
  <c r="POA18" i="10"/>
  <c r="PRH18" i="10"/>
  <c r="PUP18" i="10"/>
  <c r="PXM18" i="10"/>
  <c r="PZY18" i="10"/>
  <c r="QCK18" i="10"/>
  <c r="QEW18" i="10"/>
  <c r="QHI18" i="10"/>
  <c r="QJU18" i="10"/>
  <c r="QMG18" i="10"/>
  <c r="QOS18" i="10"/>
  <c r="QRE18" i="10"/>
  <c r="QTQ18" i="10"/>
  <c r="QWC18" i="10"/>
  <c r="QYO18" i="10"/>
  <c r="RBA18" i="10"/>
  <c r="RDM18" i="10"/>
  <c r="RFY18" i="10"/>
  <c r="RIK18" i="10"/>
  <c r="RKW18" i="10"/>
  <c r="RNI18" i="10"/>
  <c r="RPU18" i="10"/>
  <c r="RSG18" i="10"/>
  <c r="RUS18" i="10"/>
  <c r="RXE18" i="10"/>
  <c r="RZQ18" i="10"/>
  <c r="SCC18" i="10"/>
  <c r="SDM18" i="10"/>
  <c r="SES18" i="10"/>
  <c r="SFY18" i="10"/>
  <c r="SHE18" i="10"/>
  <c r="SID18" i="10"/>
  <c r="SIZ18" i="10"/>
  <c r="SJU18" i="10"/>
  <c r="SKP18" i="10"/>
  <c r="SLL18" i="10"/>
  <c r="SMG18" i="10"/>
  <c r="SNB18" i="10"/>
  <c r="SNX18" i="10"/>
  <c r="SOS18" i="10"/>
  <c r="SPN18" i="10"/>
  <c r="SQJ18" i="10"/>
  <c r="SRE18" i="10"/>
  <c r="SRZ18" i="10"/>
  <c r="SSV18" i="10"/>
  <c r="STQ18" i="10"/>
  <c r="SUL18" i="10"/>
  <c r="SVH18" i="10"/>
  <c r="SWC18" i="10"/>
  <c r="SWX18" i="10"/>
  <c r="SXT18" i="10"/>
  <c r="SYO18" i="10"/>
  <c r="SZJ18" i="10"/>
  <c r="TAF18" i="10"/>
  <c r="TBA18" i="10"/>
  <c r="TBV18" i="10"/>
  <c r="TCR18" i="10"/>
  <c r="TDM18" i="10"/>
  <c r="TEH18" i="10"/>
  <c r="TFD18" i="10"/>
  <c r="TFY18" i="10"/>
  <c r="TGT18" i="10"/>
  <c r="THP18" i="10"/>
  <c r="TIK18" i="10"/>
  <c r="TJF18" i="10"/>
  <c r="TKB18" i="10"/>
  <c r="TKW18" i="10"/>
  <c r="TLR18" i="10"/>
  <c r="TMN18" i="10"/>
  <c r="TNI18" i="10"/>
  <c r="TOD18" i="10"/>
  <c r="TOZ18" i="10"/>
  <c r="TPU18" i="10"/>
  <c r="TQP18" i="10"/>
  <c r="TRL18" i="10"/>
  <c r="TSG18" i="10"/>
  <c r="TTB18" i="10"/>
  <c r="TTX18" i="10"/>
  <c r="OMA18" i="10"/>
  <c r="OPP18" i="10"/>
  <c r="OSX18" i="10"/>
  <c r="OWE18" i="10"/>
  <c r="OZL18" i="10"/>
  <c r="PCT18" i="10"/>
  <c r="PGA18" i="10"/>
  <c r="PJH18" i="10"/>
  <c r="PMP18" i="10"/>
  <c r="PPW18" i="10"/>
  <c r="PTD18" i="10"/>
  <c r="PWK18" i="10"/>
  <c r="PYW18" i="10"/>
  <c r="QBI18" i="10"/>
  <c r="QDU18" i="10"/>
  <c r="QGG18" i="10"/>
  <c r="QIS18" i="10"/>
  <c r="QLE18" i="10"/>
  <c r="QNQ18" i="10"/>
  <c r="QQC18" i="10"/>
  <c r="QSO18" i="10"/>
  <c r="QVA18" i="10"/>
  <c r="QXM18" i="10"/>
  <c r="QZY18" i="10"/>
  <c r="RCK18" i="10"/>
  <c r="REW18" i="10"/>
  <c r="RHI18" i="10"/>
  <c r="RJU18" i="10"/>
  <c r="RMG18" i="10"/>
  <c r="ROS18" i="10"/>
  <c r="RRE18" i="10"/>
  <c r="RTQ18" i="10"/>
  <c r="RWC18" i="10"/>
  <c r="RYO18" i="10"/>
  <c r="SBA18" i="10"/>
  <c r="SCX18" i="10"/>
  <c r="SED18" i="10"/>
  <c r="SFJ18" i="10"/>
  <c r="SGP18" i="10"/>
  <c r="SHU18" i="10"/>
  <c r="SIP18" i="10"/>
  <c r="SJL18" i="10"/>
  <c r="SKG18" i="10"/>
  <c r="SLB18" i="10"/>
  <c r="SLX18" i="10"/>
  <c r="SMS18" i="10"/>
  <c r="SNN18" i="10"/>
  <c r="SOJ18" i="10"/>
  <c r="SPE18" i="10"/>
  <c r="SPZ18" i="10"/>
  <c r="SQV18" i="10"/>
  <c r="SRQ18" i="10"/>
  <c r="SSL18" i="10"/>
  <c r="STH18" i="10"/>
  <c r="SUC18" i="10"/>
  <c r="SUX18" i="10"/>
  <c r="SVT18" i="10"/>
  <c r="SWO18" i="10"/>
  <c r="SXJ18" i="10"/>
  <c r="SYF18" i="10"/>
  <c r="SZA18" i="10"/>
  <c r="SZV18" i="10"/>
  <c r="TAR18" i="10"/>
  <c r="TBM18" i="10"/>
  <c r="TCH18" i="10"/>
  <c r="TDD18" i="10"/>
  <c r="TDY18" i="10"/>
  <c r="TET18" i="10"/>
  <c r="TFP18" i="10"/>
  <c r="TGK18" i="10"/>
  <c r="THF18" i="10"/>
  <c r="TIB18" i="10"/>
  <c r="TIW18" i="10"/>
  <c r="TJR18" i="10"/>
  <c r="TKN18" i="10"/>
  <c r="TLI18" i="10"/>
  <c r="TMD18" i="10"/>
  <c r="TMZ18" i="10"/>
  <c r="TNU18" i="10"/>
  <c r="TOP18" i="10"/>
  <c r="TPL18" i="10"/>
  <c r="TQG18" i="10"/>
  <c r="TRB18" i="10"/>
  <c r="TRX18" i="10"/>
  <c r="TSS18" i="10"/>
  <c r="TTN18" i="10"/>
  <c r="TUJ18" i="10"/>
  <c r="TVE18" i="10"/>
  <c r="TVZ18" i="10"/>
  <c r="TWV18" i="10"/>
  <c r="TXQ18" i="10"/>
  <c r="TYL18" i="10"/>
  <c r="TZH18" i="10"/>
  <c r="UAC18" i="10"/>
  <c r="UAX18" i="10"/>
  <c r="UBT18" i="10"/>
  <c r="UCO18" i="10"/>
  <c r="UDJ18" i="10"/>
  <c r="UEF18" i="10"/>
  <c r="UFA18" i="10"/>
  <c r="UFV18" i="10"/>
  <c r="UGR18" i="10"/>
  <c r="UHM18" i="10"/>
  <c r="UIH18" i="10"/>
  <c r="UJD18" i="10"/>
  <c r="UJY18" i="10"/>
  <c r="UKT18" i="10"/>
  <c r="ULP18" i="10"/>
  <c r="UMK18" i="10"/>
  <c r="UNF18" i="10"/>
  <c r="UOB18" i="10"/>
  <c r="UOW18" i="10"/>
  <c r="UPR18" i="10"/>
  <c r="UQN18" i="10"/>
  <c r="URI18" i="10"/>
  <c r="USD18" i="10"/>
  <c r="USZ18" i="10"/>
  <c r="UTU18" i="10"/>
  <c r="UUP18" i="10"/>
  <c r="UVL18" i="10"/>
  <c r="UWG18" i="10"/>
  <c r="UXB18" i="10"/>
  <c r="UXX18" i="10"/>
  <c r="UYS18" i="10"/>
  <c r="OOZ18" i="10"/>
  <c r="OSH18" i="10"/>
  <c r="OVO18" i="10"/>
  <c r="OYV18" i="10"/>
  <c r="PCD18" i="10"/>
  <c r="PFK18" i="10"/>
  <c r="PIR18" i="10"/>
  <c r="PLZ18" i="10"/>
  <c r="PPG18" i="10"/>
  <c r="PSN18" i="10"/>
  <c r="PVV18" i="10"/>
  <c r="PYK18" i="10"/>
  <c r="QAW18" i="10"/>
  <c r="QDI18" i="10"/>
  <c r="QFU18" i="10"/>
  <c r="QIG18" i="10"/>
  <c r="QKS18" i="10"/>
  <c r="QNE18" i="10"/>
  <c r="QPQ18" i="10"/>
  <c r="QSC18" i="10"/>
  <c r="QUO18" i="10"/>
  <c r="QXA18" i="10"/>
  <c r="QZM18" i="10"/>
  <c r="RBY18" i="10"/>
  <c r="REK18" i="10"/>
  <c r="RGW18" i="10"/>
  <c r="RJI18" i="10"/>
  <c r="RLU18" i="10"/>
  <c r="ROG18" i="10"/>
  <c r="RQS18" i="10"/>
  <c r="RTE18" i="10"/>
  <c r="RVQ18" i="10"/>
  <c r="RYC18" i="10"/>
  <c r="SAO18" i="10"/>
  <c r="SCS18" i="10"/>
  <c r="SDY18" i="10"/>
  <c r="SFE18" i="10"/>
  <c r="SGK18" i="10"/>
  <c r="SHQ18" i="10"/>
  <c r="SIL18" i="10"/>
  <c r="SJH18" i="10"/>
  <c r="SKC18" i="10"/>
  <c r="SKX18" i="10"/>
  <c r="SLT18" i="10"/>
  <c r="SMO18" i="10"/>
  <c r="SNJ18" i="10"/>
  <c r="SOF18" i="10"/>
  <c r="SPA18" i="10"/>
  <c r="SPV18" i="10"/>
  <c r="SQR18" i="10"/>
  <c r="SRM18" i="10"/>
  <c r="SSH18" i="10"/>
  <c r="STD18" i="10"/>
  <c r="STY18" i="10"/>
  <c r="SUT18" i="10"/>
  <c r="SVP18" i="10"/>
  <c r="SWK18" i="10"/>
  <c r="SXF18" i="10"/>
  <c r="SYB18" i="10"/>
  <c r="SYW18" i="10"/>
  <c r="SZR18" i="10"/>
  <c r="TAN18" i="10"/>
  <c r="TBI18" i="10"/>
  <c r="TCD18" i="10"/>
  <c r="TCZ18" i="10"/>
  <c r="TDU18" i="10"/>
  <c r="TEP18" i="10"/>
  <c r="TFL18" i="10"/>
  <c r="TGG18" i="10"/>
  <c r="THB18" i="10"/>
  <c r="THX18" i="10"/>
  <c r="TIS18" i="10"/>
  <c r="TJN18" i="10"/>
  <c r="TKJ18" i="10"/>
  <c r="TLE18" i="10"/>
  <c r="TLZ18" i="10"/>
  <c r="TMV18" i="10"/>
  <c r="TNQ18" i="10"/>
  <c r="TOL18" i="10"/>
  <c r="TPH18" i="10"/>
  <c r="TQC18" i="10"/>
  <c r="TQX18" i="10"/>
  <c r="TRT18" i="10"/>
  <c r="TSO18" i="10"/>
  <c r="TTJ18" i="10"/>
  <c r="TUK18" i="10"/>
  <c r="TVN18" i="10"/>
  <c r="TWR18" i="10"/>
  <c r="TXT18" i="10"/>
  <c r="TYV18" i="10"/>
  <c r="TZY18" i="10"/>
  <c r="UBA18" i="10"/>
  <c r="UCC18" i="10"/>
  <c r="UDF18" i="10"/>
  <c r="UEH18" i="10"/>
  <c r="UFJ18" i="10"/>
  <c r="UGN18" i="10"/>
  <c r="UHP18" i="10"/>
  <c r="UIR18" i="10"/>
  <c r="UJU18" i="10"/>
  <c r="UKW18" i="10"/>
  <c r="ULY18" i="10"/>
  <c r="UNB18" i="10"/>
  <c r="UOD18" i="10"/>
  <c r="UPF18" i="10"/>
  <c r="UQJ18" i="10"/>
  <c r="URL18" i="10"/>
  <c r="USN18" i="10"/>
  <c r="UTQ18" i="10"/>
  <c r="UUS18" i="10"/>
  <c r="UVU18" i="10"/>
  <c r="UWX18" i="10"/>
  <c r="UXZ18" i="10"/>
  <c r="UZA18" i="10"/>
  <c r="UZV18" i="10"/>
  <c r="VAR18" i="10"/>
  <c r="VBM18" i="10"/>
  <c r="VCH18" i="10"/>
  <c r="VDA18" i="10"/>
  <c r="VDQ18" i="10"/>
  <c r="VEG18" i="10"/>
  <c r="VEW18" i="10"/>
  <c r="VFM18" i="10"/>
  <c r="VGC18" i="10"/>
  <c r="VGS18" i="10"/>
  <c r="VHI18" i="10"/>
  <c r="VHY18" i="10"/>
  <c r="VIO18" i="10"/>
  <c r="VJE18" i="10"/>
  <c r="VJU18" i="10"/>
  <c r="VKK18" i="10"/>
  <c r="VLA18" i="10"/>
  <c r="VLQ18" i="10"/>
  <c r="VMG18" i="10"/>
  <c r="VMW18" i="10"/>
  <c r="VNM18" i="10"/>
  <c r="VOC18" i="10"/>
  <c r="FL18" i="10"/>
  <c r="UG18" i="10"/>
  <c r="ADR18" i="10"/>
  <c r="AJW18" i="10"/>
  <c r="AOU18" i="10"/>
  <c r="ATS18" i="10"/>
  <c r="AKN18" i="10"/>
  <c r="AXR18" i="10"/>
  <c r="BEF18" i="10"/>
  <c r="BKR18" i="10"/>
  <c r="BPP18" i="10"/>
  <c r="BUN18" i="10"/>
  <c r="BYR18" i="10"/>
  <c r="CBD18" i="10"/>
  <c r="CDP18" i="10"/>
  <c r="CGB18" i="10"/>
  <c r="OF18" i="10"/>
  <c r="AQZ18" i="10"/>
  <c r="AZW18" i="10"/>
  <c r="BGL18" i="10"/>
  <c r="BMI18" i="10"/>
  <c r="BRG18" i="10"/>
  <c r="BWE18" i="10"/>
  <c r="BZM18" i="10"/>
  <c r="CBY18" i="10"/>
  <c r="CEK18" i="10"/>
  <c r="CGW18" i="10"/>
  <c r="ABR18" i="10"/>
  <c r="AVK18" i="10"/>
  <c r="BBZ18" i="10"/>
  <c r="BIN18" i="10"/>
  <c r="BNX18" i="10"/>
  <c r="BSV18" i="10"/>
  <c r="BXT18" i="10"/>
  <c r="CAH18" i="10"/>
  <c r="CCT18" i="10"/>
  <c r="CFF18" i="10"/>
  <c r="CHR18" i="10"/>
  <c r="BHL18" i="10"/>
  <c r="BZW18" i="10"/>
  <c r="CIN18" i="10"/>
  <c r="CKZ18" i="10"/>
  <c r="CNL18" i="10"/>
  <c r="CPX18" i="10"/>
  <c r="CSJ18" i="10"/>
  <c r="CUV18" i="10"/>
  <c r="CXH18" i="10"/>
  <c r="CZT18" i="10"/>
  <c r="DCF18" i="10"/>
  <c r="DER18" i="10"/>
  <c r="DHD18" i="10"/>
  <c r="DJP18" i="10"/>
  <c r="DMB18" i="10"/>
  <c r="DON18" i="10"/>
  <c r="DQZ18" i="10"/>
  <c r="DTL18" i="10"/>
  <c r="DVX18" i="10"/>
  <c r="DYJ18" i="10"/>
  <c r="EAV18" i="10"/>
  <c r="AZR18" i="10"/>
  <c r="BWA18" i="10"/>
  <c r="CGU18" i="10"/>
  <c r="CKG18" i="10"/>
  <c r="CMS18" i="10"/>
  <c r="CPE18" i="10"/>
  <c r="CRQ18" i="10"/>
  <c r="CUC18" i="10"/>
  <c r="CWO18" i="10"/>
  <c r="CZA18" i="10"/>
  <c r="DBM18" i="10"/>
  <c r="DDY18" i="10"/>
  <c r="DGK18" i="10"/>
  <c r="DIW18" i="10"/>
  <c r="DLI18" i="10"/>
  <c r="DNU18" i="10"/>
  <c r="DQG18" i="10"/>
  <c r="DSS18" i="10"/>
  <c r="DVE18" i="10"/>
  <c r="DXQ18" i="10"/>
  <c r="EAC18" i="10"/>
  <c r="AWU18" i="10"/>
  <c r="BTW18" i="10"/>
  <c r="CFS18" i="10"/>
  <c r="CJZ18" i="10"/>
  <c r="CML18" i="10"/>
  <c r="COX18" i="10"/>
  <c r="CRJ18" i="10"/>
  <c r="CTV18" i="10"/>
  <c r="CWH18" i="10"/>
  <c r="CYT18" i="10"/>
  <c r="DBF18" i="10"/>
  <c r="DDR18" i="10"/>
  <c r="DGD18" i="10"/>
  <c r="DIP18" i="10"/>
  <c r="DLB18" i="10"/>
  <c r="DNN18" i="10"/>
  <c r="DPZ18" i="10"/>
  <c r="DSL18" i="10"/>
  <c r="DUX18" i="10"/>
  <c r="DXJ18" i="10"/>
  <c r="BWQ18" i="10"/>
  <c r="CPG18" i="10"/>
  <c r="CZC18" i="10"/>
  <c r="DIY18" i="10"/>
  <c r="DSU18" i="10"/>
  <c r="EAT18" i="10"/>
  <c r="EDS18" i="10"/>
  <c r="EGE18" i="10"/>
  <c r="EIQ18" i="10"/>
  <c r="ELC18" i="10"/>
  <c r="ENO18" i="10"/>
  <c r="EQA18" i="10"/>
  <c r="ESM18" i="10"/>
  <c r="EUY18" i="10"/>
  <c r="EXK18" i="10"/>
  <c r="EZW18" i="10"/>
  <c r="FCI18" i="10"/>
  <c r="FEU18" i="10"/>
  <c r="FHG18" i="10"/>
  <c r="FJS18" i="10"/>
  <c r="FME18" i="10"/>
  <c r="CJG18" i="10"/>
  <c r="CTC18" i="10"/>
  <c r="DCY18" i="10"/>
  <c r="DMU18" i="10"/>
  <c r="DWQ18" i="10"/>
  <c r="ECF18" i="10"/>
  <c r="EER18" i="10"/>
  <c r="EHD18" i="10"/>
  <c r="EJP18" i="10"/>
  <c r="EMB18" i="10"/>
  <c r="EON18" i="10"/>
  <c r="EQZ18" i="10"/>
  <c r="ETL18" i="10"/>
  <c r="EVX18" i="10"/>
  <c r="EYJ18" i="10"/>
  <c r="FAV18" i="10"/>
  <c r="FDH18" i="10"/>
  <c r="FFT18" i="10"/>
  <c r="FIF18" i="10"/>
  <c r="FKR18" i="10"/>
  <c r="FND18" i="10"/>
  <c r="CAY18" i="10"/>
  <c r="CQE18" i="10"/>
  <c r="DAA18" i="10"/>
  <c r="DJW18" i="10"/>
  <c r="DTS18" i="10"/>
  <c r="EBF18" i="10"/>
  <c r="EDY18" i="10"/>
  <c r="EGK18" i="10"/>
  <c r="EIW18" i="10"/>
  <c r="ELI18" i="10"/>
  <c r="ENU18" i="10"/>
  <c r="EQG18" i="10"/>
  <c r="ESS18" i="10"/>
  <c r="EVE18" i="10"/>
  <c r="EXQ18" i="10"/>
  <c r="FAC18" i="10"/>
  <c r="FCO18" i="10"/>
  <c r="FFA18" i="10"/>
  <c r="FHM18" i="10"/>
  <c r="FJY18" i="10"/>
  <c r="FMK18" i="10"/>
  <c r="CEA18" i="10"/>
  <c r="DUM18" i="10"/>
  <c r="EJB18" i="10"/>
  <c r="ESX18" i="10"/>
  <c r="FCT18" i="10"/>
  <c r="FMP18" i="10"/>
  <c r="FQA18" i="10"/>
  <c r="FSM18" i="10"/>
  <c r="FUY18" i="10"/>
  <c r="FXK18" i="10"/>
  <c r="FZW18" i="10"/>
  <c r="GCI18" i="10"/>
  <c r="GEU18" i="10"/>
  <c r="GHG18" i="10"/>
  <c r="GJS18" i="10"/>
  <c r="GME18" i="10"/>
  <c r="GOQ18" i="10"/>
  <c r="GRC18" i="10"/>
  <c r="GTO18" i="10"/>
  <c r="GWA18" i="10"/>
  <c r="GYM18" i="10"/>
  <c r="HAY18" i="10"/>
  <c r="HDK18" i="10"/>
  <c r="DLG18" i="10"/>
  <c r="EGT18" i="10"/>
  <c r="EQP18" i="10"/>
  <c r="FAL18" i="10"/>
  <c r="FKH18" i="10"/>
  <c r="FPL18" i="10"/>
  <c r="FRX18" i="10"/>
  <c r="FUJ18" i="10"/>
  <c r="FWV18" i="10"/>
  <c r="FZH18" i="10"/>
  <c r="GBT18" i="10"/>
  <c r="GEF18" i="10"/>
  <c r="GGR18" i="10"/>
  <c r="GJD18" i="10"/>
  <c r="GLP18" i="10"/>
  <c r="GOB18" i="10"/>
  <c r="GQN18" i="10"/>
  <c r="GSZ18" i="10"/>
  <c r="GVL18" i="10"/>
  <c r="GXX18" i="10"/>
  <c r="HAJ18" i="10"/>
  <c r="HCV18" i="10"/>
  <c r="DJK18" i="10"/>
  <c r="EGH18" i="10"/>
  <c r="EQD18" i="10"/>
  <c r="EZZ18" i="10"/>
  <c r="FJV18" i="10"/>
  <c r="FPI18" i="10"/>
  <c r="FRU18" i="10"/>
  <c r="FUG18" i="10"/>
  <c r="FWS18" i="10"/>
  <c r="FZE18" i="10"/>
  <c r="GBQ18" i="10"/>
  <c r="GEC18" i="10"/>
  <c r="GGO18" i="10"/>
  <c r="GJA18" i="10"/>
  <c r="GLM18" i="10"/>
  <c r="GNY18" i="10"/>
  <c r="GQK18" i="10"/>
  <c r="GSW18" i="10"/>
  <c r="GVI18" i="10"/>
  <c r="GXU18" i="10"/>
  <c r="HAG18" i="10"/>
  <c r="EIH18" i="10"/>
  <c r="FPV18" i="10"/>
  <c r="FZR18" i="10"/>
  <c r="GHB18" i="10"/>
  <c r="GLZ18" i="10"/>
  <c r="GQX18" i="10"/>
  <c r="GVV18" i="10"/>
  <c r="HAT18" i="10"/>
  <c r="HDL18" i="10"/>
  <c r="HES18" i="10"/>
  <c r="HFY18" i="10"/>
  <c r="HHE18" i="10"/>
  <c r="HIK18" i="10"/>
  <c r="HJQ18" i="10"/>
  <c r="HKW18" i="10"/>
  <c r="HMC18" i="10"/>
  <c r="HNI18" i="10"/>
  <c r="HOO18" i="10"/>
  <c r="HPU18" i="10"/>
  <c r="HRA18" i="10"/>
  <c r="HSG18" i="10"/>
  <c r="HTM18" i="10"/>
  <c r="HUS18" i="10"/>
  <c r="HVY18" i="10"/>
  <c r="HXE18" i="10"/>
  <c r="HYK18" i="10"/>
  <c r="HZQ18" i="10"/>
  <c r="IAW18" i="10"/>
  <c r="ICC18" i="10"/>
  <c r="IDI18" i="10"/>
  <c r="IEO18" i="10"/>
  <c r="IFU18" i="10"/>
  <c r="IHA18" i="10"/>
  <c r="IIC18" i="10"/>
  <c r="IIW18" i="10"/>
  <c r="IJQ18" i="10"/>
  <c r="IKO18" i="10"/>
  <c r="ILI18" i="10"/>
  <c r="IMC18" i="10"/>
  <c r="INA18" i="10"/>
  <c r="INU18" i="10"/>
  <c r="IOO18" i="10"/>
  <c r="IPM18" i="10"/>
  <c r="IQG18" i="10"/>
  <c r="IRA18" i="10"/>
  <c r="IRY18" i="10"/>
  <c r="ISS18" i="10"/>
  <c r="ITM18" i="10"/>
  <c r="IUK18" i="10"/>
  <c r="IVE18" i="10"/>
  <c r="IVY18" i="10"/>
  <c r="IWW18" i="10"/>
  <c r="IXQ18" i="10"/>
  <c r="IYK18" i="10"/>
  <c r="IZI18" i="10"/>
  <c r="JAC18" i="10"/>
  <c r="JAW18" i="10"/>
  <c r="JBU18" i="10"/>
  <c r="JCO18" i="10"/>
  <c r="JDI18" i="10"/>
  <c r="JEG18" i="10"/>
  <c r="JFA18" i="10"/>
  <c r="DAE18" i="10"/>
  <c r="EIX18" i="10"/>
  <c r="EVF18" i="10"/>
  <c r="FHN18" i="10"/>
  <c r="FPZ18" i="10"/>
  <c r="FTB18" i="10"/>
  <c r="FWD18" i="10"/>
  <c r="FZV18" i="10"/>
  <c r="GCX18" i="10"/>
  <c r="GFZ18" i="10"/>
  <c r="GJR18" i="10"/>
  <c r="GMT18" i="10"/>
  <c r="GPV18" i="10"/>
  <c r="GTN18" i="10"/>
  <c r="GWP18" i="10"/>
  <c r="GZR18" i="10"/>
  <c r="HCK18" i="10"/>
  <c r="HDR18" i="10"/>
  <c r="HEL18" i="10"/>
  <c r="HFJ18" i="10"/>
  <c r="HGD18" i="10"/>
  <c r="HGX18" i="10"/>
  <c r="HHV18" i="10"/>
  <c r="HIP18" i="10"/>
  <c r="HJJ18" i="10"/>
  <c r="HKH18" i="10"/>
  <c r="HLB18" i="10"/>
  <c r="HLV18" i="10"/>
  <c r="HMT18" i="10"/>
  <c r="HNN18" i="10"/>
  <c r="HOH18" i="10"/>
  <c r="HPF18" i="10"/>
  <c r="HPZ18" i="10"/>
  <c r="HQT18" i="10"/>
  <c r="HRR18" i="10"/>
  <c r="HSL18" i="10"/>
  <c r="HTF18" i="10"/>
  <c r="HUD18" i="10"/>
  <c r="HUX18" i="10"/>
  <c r="HVR18" i="10"/>
  <c r="HWP18" i="10"/>
  <c r="HXJ18" i="10"/>
  <c r="HYD18" i="10"/>
  <c r="HZB18" i="10"/>
  <c r="HZV18" i="10"/>
  <c r="IAP18" i="10"/>
  <c r="IBN18" i="10"/>
  <c r="CSU18" i="10"/>
  <c r="EEP18" i="10"/>
  <c r="ETJ18" i="10"/>
  <c r="FFR18" i="10"/>
  <c r="FOX18" i="10"/>
  <c r="FSP18" i="10"/>
  <c r="FVR18" i="10"/>
  <c r="FYT18" i="10"/>
  <c r="GCL18" i="10"/>
  <c r="GFN18" i="10"/>
  <c r="GIP18" i="10"/>
  <c r="GMH18" i="10"/>
  <c r="GPJ18" i="10"/>
  <c r="GSL18" i="10"/>
  <c r="GWD18" i="10"/>
  <c r="GZF18" i="10"/>
  <c r="HBV18" i="10"/>
  <c r="HDN18" i="10"/>
  <c r="HEI18" i="10"/>
  <c r="HFC18" i="10"/>
  <c r="HGA18" i="10"/>
  <c r="HGU18" i="10"/>
  <c r="HHO18" i="10"/>
  <c r="HIM18" i="10"/>
  <c r="HJG18" i="10"/>
  <c r="HKA18" i="10"/>
  <c r="HKY18" i="10"/>
  <c r="HLS18" i="10"/>
  <c r="HMM18" i="10"/>
  <c r="HNK18" i="10"/>
  <c r="HOE18" i="10"/>
  <c r="HOY18" i="10"/>
  <c r="DFC18" i="10"/>
  <c r="EHR18" i="10"/>
  <c r="ETZ18" i="10"/>
  <c r="FIT18" i="10"/>
  <c r="FPR18" i="10"/>
  <c r="FST18" i="10"/>
  <c r="FWL18" i="10"/>
  <c r="FZN18" i="10"/>
  <c r="GCP18" i="10"/>
  <c r="GGH18" i="10"/>
  <c r="GJJ18" i="10"/>
  <c r="GML18" i="10"/>
  <c r="GQD18" i="10"/>
  <c r="GTF18" i="10"/>
  <c r="GWH18" i="10"/>
  <c r="GZZ18" i="10"/>
  <c r="HDT18" i="10"/>
  <c r="HGV18" i="10"/>
  <c r="HKN18" i="10"/>
  <c r="HNP18" i="10"/>
  <c r="HQB18" i="10"/>
  <c r="HRX18" i="10"/>
  <c r="HTL18" i="10"/>
  <c r="HUZ18" i="10"/>
  <c r="HWV18" i="10"/>
  <c r="HYJ18" i="10"/>
  <c r="HZX18" i="10"/>
  <c r="IBT18" i="10"/>
  <c r="ICX18" i="10"/>
  <c r="IDX18" i="10"/>
  <c r="IFD18" i="10"/>
  <c r="IGE18" i="10"/>
  <c r="IHF18" i="10"/>
  <c r="IIL18" i="10"/>
  <c r="IJL18" i="10"/>
  <c r="IKM18" i="10"/>
  <c r="ILS18" i="10"/>
  <c r="IMT18" i="10"/>
  <c r="INT18" i="10"/>
  <c r="IOZ18" i="10"/>
  <c r="IQA18" i="10"/>
  <c r="IRB18" i="10"/>
  <c r="ISH18" i="10"/>
  <c r="ITH18" i="10"/>
  <c r="IUI18" i="10"/>
  <c r="IVO18" i="10"/>
  <c r="IWP18" i="10"/>
  <c r="IXP18" i="10"/>
  <c r="HDX18" i="10"/>
  <c r="HGZ18" i="10"/>
  <c r="HKB18" i="10"/>
  <c r="HNT18" i="10"/>
  <c r="HQE18" i="10"/>
  <c r="HRS18" i="10"/>
  <c r="HTO18" i="10"/>
  <c r="HVC18" i="10"/>
  <c r="HWQ18" i="10"/>
  <c r="HYM18" i="10"/>
  <c r="IAA18" i="10"/>
  <c r="IBO18" i="10"/>
  <c r="ICY18" i="10"/>
  <c r="IDZ18" i="10"/>
  <c r="IEZ18" i="10"/>
  <c r="IGF18" i="10"/>
  <c r="IHG18" i="10"/>
  <c r="IIH18" i="10"/>
  <c r="IJN18" i="10"/>
  <c r="IKN18" i="10"/>
  <c r="ILO18" i="10"/>
  <c r="IMU18" i="10"/>
  <c r="INV18" i="10"/>
  <c r="IOV18" i="10"/>
  <c r="IQB18" i="10"/>
  <c r="IRC18" i="10"/>
  <c r="ISD18" i="10"/>
  <c r="ITJ18" i="10"/>
  <c r="IUJ18" i="10"/>
  <c r="IVK18" i="10"/>
  <c r="IWQ18" i="10"/>
  <c r="IXR18" i="10"/>
  <c r="HDJ18" i="10"/>
  <c r="HHD18" i="10"/>
  <c r="HKF18" i="10"/>
  <c r="HNH18" i="10"/>
  <c r="HQF18" i="10"/>
  <c r="HRT18" i="10"/>
  <c r="HTH18" i="10"/>
  <c r="HVD18" i="10"/>
  <c r="HWR18" i="10"/>
  <c r="HYF18" i="10"/>
  <c r="IAB18" i="10"/>
  <c r="IBP18" i="10"/>
  <c r="ICU18" i="10"/>
  <c r="IEA18" i="10"/>
  <c r="IFB18" i="10"/>
  <c r="IGB18" i="10"/>
  <c r="IHH18" i="10"/>
  <c r="III18" i="10"/>
  <c r="IJJ18" i="10"/>
  <c r="IKP18" i="10"/>
  <c r="ILP18" i="10"/>
  <c r="IMQ18" i="10"/>
  <c r="INW18" i="10"/>
  <c r="IOX18" i="10"/>
  <c r="IPX18" i="10"/>
  <c r="IRD18" i="10"/>
  <c r="ISE18" i="10"/>
  <c r="ITF18" i="10"/>
  <c r="IUL18" i="10"/>
  <c r="IVL18" i="10"/>
  <c r="IWM18" i="10"/>
  <c r="IXS18" i="10"/>
  <c r="IYT18" i="10"/>
  <c r="IZT18" i="10"/>
  <c r="JAZ18" i="10"/>
  <c r="JCA18" i="10"/>
  <c r="JDB18" i="10"/>
  <c r="JEH18" i="10"/>
  <c r="JFH18" i="10"/>
  <c r="JGC18" i="10"/>
  <c r="JHA18" i="10"/>
  <c r="JHU18" i="10"/>
  <c r="JIO18" i="10"/>
  <c r="JJM18" i="10"/>
  <c r="JKG18" i="10"/>
  <c r="JLA18" i="10"/>
  <c r="HGB18" i="10"/>
  <c r="HJD18" i="10"/>
  <c r="HMF18" i="10"/>
  <c r="HPS18" i="10"/>
  <c r="HRG18" i="10"/>
  <c r="HSU18" i="10"/>
  <c r="HUQ18" i="10"/>
  <c r="HWE18" i="10"/>
  <c r="HXS18" i="10"/>
  <c r="HZO18" i="10"/>
  <c r="IBC18" i="10"/>
  <c r="ICL18" i="10"/>
  <c r="IDR18" i="10"/>
  <c r="IER18" i="10"/>
  <c r="IFS18" i="10"/>
  <c r="IGY18" i="10"/>
  <c r="IHZ18" i="10"/>
  <c r="IIZ18" i="10"/>
  <c r="IKF18" i="10"/>
  <c r="ILG18" i="10"/>
  <c r="IMH18" i="10"/>
  <c r="INN18" i="10"/>
  <c r="ION18" i="10"/>
  <c r="IPO18" i="10"/>
  <c r="IQU18" i="10"/>
  <c r="IRV18" i="10"/>
  <c r="ISV18" i="10"/>
  <c r="IUB18" i="10"/>
  <c r="IVC18" i="10"/>
  <c r="IWD18" i="10"/>
  <c r="IXJ18" i="10"/>
  <c r="IYJ18" i="10"/>
  <c r="IZS18" i="10"/>
  <c r="JBJ18" i="10"/>
  <c r="JCT18" i="10"/>
  <c r="JED18" i="10"/>
  <c r="JFR18" i="10"/>
  <c r="JGR18" i="10"/>
  <c r="JHS18" i="10"/>
  <c r="JIY18" i="10"/>
  <c r="JJZ18" i="10"/>
  <c r="JKZ18" i="10"/>
  <c r="JLY18" i="10"/>
  <c r="JMS18" i="10"/>
  <c r="JNM18" i="10"/>
  <c r="JOK18" i="10"/>
  <c r="JPE18" i="10"/>
  <c r="JPY18" i="10"/>
  <c r="JQW18" i="10"/>
  <c r="JRQ18" i="10"/>
  <c r="JSK18" i="10"/>
  <c r="JTI18" i="10"/>
  <c r="JUC18" i="10"/>
  <c r="JUW18" i="10"/>
  <c r="JVU18" i="10"/>
  <c r="JWO18" i="10"/>
  <c r="JXI18" i="10"/>
  <c r="JYG18" i="10"/>
  <c r="JZA18" i="10"/>
  <c r="JZU18" i="10"/>
  <c r="KAS18" i="10"/>
  <c r="KBM18" i="10"/>
  <c r="KCG18" i="10"/>
  <c r="KDE18" i="10"/>
  <c r="KDY18" i="10"/>
  <c r="KES18" i="10"/>
  <c r="KFQ18" i="10"/>
  <c r="KGK18" i="10"/>
  <c r="KHE18" i="10"/>
  <c r="KIC18" i="10"/>
  <c r="KIW18" i="10"/>
  <c r="KJQ18" i="10"/>
  <c r="KKO18" i="10"/>
  <c r="KLI18" i="10"/>
  <c r="KMC18" i="10"/>
  <c r="KNA18" i="10"/>
  <c r="KNU18" i="10"/>
  <c r="KOO18" i="10"/>
  <c r="KPM18" i="10"/>
  <c r="KQG18" i="10"/>
  <c r="KRA18" i="10"/>
  <c r="KRY18" i="10"/>
  <c r="KSS18" i="10"/>
  <c r="KTM18" i="10"/>
  <c r="KUK18" i="10"/>
  <c r="KVE18" i="10"/>
  <c r="KVY18" i="10"/>
  <c r="KWW18" i="10"/>
  <c r="KXQ18" i="10"/>
  <c r="KYK18" i="10"/>
  <c r="KZI18" i="10"/>
  <c r="LAC18" i="10"/>
  <c r="LAW18" i="10"/>
  <c r="LBU18" i="10"/>
  <c r="LCO18" i="10"/>
  <c r="LDI18" i="10"/>
  <c r="LEG18" i="10"/>
  <c r="LFA18" i="10"/>
  <c r="LFU18" i="10"/>
  <c r="LGS18" i="10"/>
  <c r="LHM18" i="10"/>
  <c r="IYR18" i="10"/>
  <c r="JAI18" i="10"/>
  <c r="JBS18" i="10"/>
  <c r="JDC18" i="10"/>
  <c r="JET18" i="10"/>
  <c r="JFX18" i="10"/>
  <c r="JGY18" i="10"/>
  <c r="JIE18" i="10"/>
  <c r="JJF18" i="10"/>
  <c r="JKF18" i="10"/>
  <c r="JLJ18" i="10"/>
  <c r="JMD18" i="10"/>
  <c r="JMX18" i="10"/>
  <c r="JNV18" i="10"/>
  <c r="JOP18" i="10"/>
  <c r="JPJ18" i="10"/>
  <c r="JQH18" i="10"/>
  <c r="JRB18" i="10"/>
  <c r="JRV18" i="10"/>
  <c r="JST18" i="10"/>
  <c r="JTN18" i="10"/>
  <c r="JUH18" i="10"/>
  <c r="JVF18" i="10"/>
  <c r="JVZ18" i="10"/>
  <c r="JWT18" i="10"/>
  <c r="JXR18" i="10"/>
  <c r="JYH18" i="10"/>
  <c r="JYX18" i="10"/>
  <c r="JZN18" i="10"/>
  <c r="KAD18" i="10"/>
  <c r="KAT18" i="10"/>
  <c r="KBJ18" i="10"/>
  <c r="KBZ18" i="10"/>
  <c r="KCP18" i="10"/>
  <c r="KDF18" i="10"/>
  <c r="KDV18" i="10"/>
  <c r="KEL18" i="10"/>
  <c r="KFB18" i="10"/>
  <c r="KFR18" i="10"/>
  <c r="KGH18" i="10"/>
  <c r="KGX18" i="10"/>
  <c r="KHN18" i="10"/>
  <c r="KID18" i="10"/>
  <c r="KIT18" i="10"/>
  <c r="KJJ18" i="10"/>
  <c r="KJZ18" i="10"/>
  <c r="KKP18" i="10"/>
  <c r="KLF18" i="10"/>
  <c r="KLV18" i="10"/>
  <c r="KML18" i="10"/>
  <c r="KNB18" i="10"/>
  <c r="KNR18" i="10"/>
  <c r="KOH18" i="10"/>
  <c r="KOX18" i="10"/>
  <c r="KPN18" i="10"/>
  <c r="KQD18" i="10"/>
  <c r="KQT18" i="10"/>
  <c r="KRJ18" i="10"/>
  <c r="KRZ18" i="10"/>
  <c r="KSP18" i="10"/>
  <c r="KTF18" i="10"/>
  <c r="KTV18" i="10"/>
  <c r="KUL18" i="10"/>
  <c r="KVB18" i="10"/>
  <c r="KVR18" i="10"/>
  <c r="KWH18" i="10"/>
  <c r="KWX18" i="10"/>
  <c r="KXN18" i="10"/>
  <c r="KYD18" i="10"/>
  <c r="KYT18" i="10"/>
  <c r="KZJ18" i="10"/>
  <c r="KZZ18" i="10"/>
  <c r="LAP18" i="10"/>
  <c r="LBF18" i="10"/>
  <c r="LBV18" i="10"/>
  <c r="LCL18" i="10"/>
  <c r="LDB18" i="10"/>
  <c r="LDR18" i="10"/>
  <c r="LEH18" i="10"/>
  <c r="LEX18" i="10"/>
  <c r="LFN18" i="10"/>
  <c r="LGD18" i="10"/>
  <c r="LGT18" i="10"/>
  <c r="LHJ18" i="10"/>
  <c r="LHZ18" i="10"/>
  <c r="LIP18" i="10"/>
  <c r="LJF18" i="10"/>
  <c r="LJV18" i="10"/>
  <c r="LKL18" i="10"/>
  <c r="LLB18" i="10"/>
  <c r="LLR18" i="10"/>
  <c r="LMH18" i="10"/>
  <c r="LMX18" i="10"/>
  <c r="LNN18" i="10"/>
  <c r="LOD18" i="10"/>
  <c r="LOT18" i="10"/>
  <c r="LPJ18" i="10"/>
  <c r="LPZ18" i="10"/>
  <c r="LQP18" i="10"/>
  <c r="LRF18" i="10"/>
  <c r="LRV18" i="10"/>
  <c r="LSL18" i="10"/>
  <c r="LTB18" i="10"/>
  <c r="LTR18" i="10"/>
  <c r="LUH18" i="10"/>
  <c r="LUX18" i="10"/>
  <c r="LVN18" i="10"/>
  <c r="LWD18" i="10"/>
  <c r="LWT18" i="10"/>
  <c r="LXJ18" i="10"/>
  <c r="IYU18" i="10"/>
  <c r="IZW18" i="10"/>
  <c r="JAY18" i="10"/>
  <c r="JCB18" i="10"/>
  <c r="JDD18" i="10"/>
  <c r="JEF18" i="10"/>
  <c r="JFJ18" i="10"/>
  <c r="JGE18" i="10"/>
  <c r="JGZ18" i="10"/>
  <c r="JHV18" i="10"/>
  <c r="JIQ18" i="10"/>
  <c r="JJL18" i="10"/>
  <c r="JKH18" i="10"/>
  <c r="JLC18" i="10"/>
  <c r="JLS18" i="10"/>
  <c r="JMI18" i="10"/>
  <c r="JMY18" i="10"/>
  <c r="JNO18" i="10"/>
  <c r="JOE18" i="10"/>
  <c r="JOU18" i="10"/>
  <c r="JPK18" i="10"/>
  <c r="JQA18" i="10"/>
  <c r="JQQ18" i="10"/>
  <c r="JRG18" i="10"/>
  <c r="JRW18" i="10"/>
  <c r="JSM18" i="10"/>
  <c r="JTC18" i="10"/>
  <c r="JTS18" i="10"/>
  <c r="JUI18" i="10"/>
  <c r="JUY18" i="10"/>
  <c r="JVO18" i="10"/>
  <c r="JWE18" i="10"/>
  <c r="JWU18" i="10"/>
  <c r="JXK18" i="10"/>
  <c r="JYA18" i="10"/>
  <c r="JYQ18" i="10"/>
  <c r="JZG18" i="10"/>
  <c r="JZW18" i="10"/>
  <c r="KAM18" i="10"/>
  <c r="KBC18" i="10"/>
  <c r="KBS18" i="10"/>
  <c r="KCI18" i="10"/>
  <c r="KCY18" i="10"/>
  <c r="KDO18" i="10"/>
  <c r="KEE18" i="10"/>
  <c r="KEU18" i="10"/>
  <c r="KFK18" i="10"/>
  <c r="KGA18" i="10"/>
  <c r="KGQ18" i="10"/>
  <c r="KHG18" i="10"/>
  <c r="KHW18" i="10"/>
  <c r="KIM18" i="10"/>
  <c r="KJC18" i="10"/>
  <c r="KJS18" i="10"/>
  <c r="KKI18" i="10"/>
  <c r="KKY18" i="10"/>
  <c r="KLO18" i="10"/>
  <c r="KME18" i="10"/>
  <c r="KMU18" i="10"/>
  <c r="KNK18" i="10"/>
  <c r="KOA18" i="10"/>
  <c r="KOQ18" i="10"/>
  <c r="KPG18" i="10"/>
  <c r="KPW18" i="10"/>
  <c r="KQM18" i="10"/>
  <c r="KRC18" i="10"/>
  <c r="KRS18" i="10"/>
  <c r="KSI18" i="10"/>
  <c r="KSY18" i="10"/>
  <c r="KTO18" i="10"/>
  <c r="KUE18" i="10"/>
  <c r="KUU18" i="10"/>
  <c r="KVK18" i="10"/>
  <c r="KWA18" i="10"/>
  <c r="KWQ18" i="10"/>
  <c r="KXG18" i="10"/>
  <c r="KXW18" i="10"/>
  <c r="KYM18" i="10"/>
  <c r="KZC18" i="10"/>
  <c r="KZS18" i="10"/>
  <c r="LAI18" i="10"/>
  <c r="LAY18" i="10"/>
  <c r="LBO18" i="10"/>
  <c r="LCE18" i="10"/>
  <c r="LCU18" i="10"/>
  <c r="LDK18" i="10"/>
  <c r="LEA18" i="10"/>
  <c r="LEQ18" i="10"/>
  <c r="LFG18" i="10"/>
  <c r="LFW18" i="10"/>
  <c r="LGM18" i="10"/>
  <c r="LHC18" i="10"/>
  <c r="LHS18" i="10"/>
  <c r="LII18" i="10"/>
  <c r="LIY18" i="10"/>
  <c r="LJO18" i="10"/>
  <c r="LKE18" i="10"/>
  <c r="LKU18" i="10"/>
  <c r="LLK18" i="10"/>
  <c r="LMA18" i="10"/>
  <c r="LMQ18" i="10"/>
  <c r="LNG18" i="10"/>
  <c r="LNW18" i="10"/>
  <c r="LOM18" i="10"/>
  <c r="LPC18" i="10"/>
  <c r="LPS18" i="10"/>
  <c r="LQI18" i="10"/>
  <c r="LQY18" i="10"/>
  <c r="LRO18" i="10"/>
  <c r="LSE18" i="10"/>
  <c r="LSU18" i="10"/>
  <c r="LTK18" i="10"/>
  <c r="LUA18" i="10"/>
  <c r="LUQ18" i="10"/>
  <c r="LVG18" i="10"/>
  <c r="LVW18" i="10"/>
  <c r="LWM18" i="10"/>
  <c r="LXC18" i="10"/>
  <c r="LXS18" i="10"/>
  <c r="LYI18" i="10"/>
  <c r="LYY18" i="10"/>
  <c r="LZO18" i="10"/>
  <c r="MAE18" i="10"/>
  <c r="MAU18" i="10"/>
  <c r="MBK18" i="10"/>
  <c r="MCA18" i="10"/>
  <c r="MCQ18" i="10"/>
  <c r="MDG18" i="10"/>
  <c r="MDW18" i="10"/>
  <c r="MEM18" i="10"/>
  <c r="MFC18" i="10"/>
  <c r="MFS18" i="10"/>
  <c r="MGI18" i="10"/>
  <c r="MGY18" i="10"/>
  <c r="MHO18" i="10"/>
  <c r="MIE18" i="10"/>
  <c r="MIU18" i="10"/>
  <c r="MJK18" i="10"/>
  <c r="MKA18" i="10"/>
  <c r="MKQ18" i="10"/>
  <c r="MLG18" i="10"/>
  <c r="MLW18" i="10"/>
  <c r="MMM18" i="10"/>
  <c r="MNC18" i="10"/>
  <c r="MNS18" i="10"/>
  <c r="MOI18" i="10"/>
  <c r="MOY18" i="10"/>
  <c r="MPO18" i="10"/>
  <c r="MQE18" i="10"/>
  <c r="MQU18" i="10"/>
  <c r="MRK18" i="10"/>
  <c r="MSA18" i="10"/>
  <c r="MSQ18" i="10"/>
  <c r="MTG18" i="10"/>
  <c r="MTW18" i="10"/>
  <c r="MUM18" i="10"/>
  <c r="MVC18" i="10"/>
  <c r="MVS18" i="10"/>
  <c r="MWI18" i="10"/>
  <c r="MWY18" i="10"/>
  <c r="MXO18" i="10"/>
  <c r="MYE18" i="10"/>
  <c r="MYU18" i="10"/>
  <c r="MZK18" i="10"/>
  <c r="NAA18" i="10"/>
  <c r="NAQ18" i="10"/>
  <c r="NBG18" i="10"/>
  <c r="NBW18" i="10"/>
  <c r="NCM18" i="10"/>
  <c r="NDC18" i="10"/>
  <c r="NDS18" i="10"/>
  <c r="IZK18" i="10"/>
  <c r="JAM18" i="10"/>
  <c r="JBO18" i="10"/>
  <c r="JCR18" i="10"/>
  <c r="JDT18" i="10"/>
  <c r="JEV18" i="10"/>
  <c r="JFV18" i="10"/>
  <c r="JGQ18" i="10"/>
  <c r="JHL18" i="10"/>
  <c r="JIH18" i="10"/>
  <c r="JJC18" i="10"/>
  <c r="JJX18" i="10"/>
  <c r="JKT18" i="10"/>
  <c r="JLL18" i="10"/>
  <c r="JMB18" i="10"/>
  <c r="JMR18" i="10"/>
  <c r="JNH18" i="10"/>
  <c r="JNX18" i="10"/>
  <c r="JON18" i="10"/>
  <c r="JPD18" i="10"/>
  <c r="JPT18" i="10"/>
  <c r="JQJ18" i="10"/>
  <c r="JQZ18" i="10"/>
  <c r="JRP18" i="10"/>
  <c r="JSF18" i="10"/>
  <c r="JSV18" i="10"/>
  <c r="JTL18" i="10"/>
  <c r="JUB18" i="10"/>
  <c r="JUR18" i="10"/>
  <c r="JVH18" i="10"/>
  <c r="JVX18" i="10"/>
  <c r="JWN18" i="10"/>
  <c r="JXD18" i="10"/>
  <c r="JXT18" i="10"/>
  <c r="JYJ18" i="10"/>
  <c r="JYZ18" i="10"/>
  <c r="JZP18" i="10"/>
  <c r="KAF18" i="10"/>
  <c r="KAV18" i="10"/>
  <c r="KBL18" i="10"/>
  <c r="KCB18" i="10"/>
  <c r="KCR18" i="10"/>
  <c r="KDH18" i="10"/>
  <c r="KDX18" i="10"/>
  <c r="KEN18" i="10"/>
  <c r="KFD18" i="10"/>
  <c r="KFT18" i="10"/>
  <c r="KGJ18" i="10"/>
  <c r="KGZ18" i="10"/>
  <c r="KHP18" i="10"/>
  <c r="KIF18" i="10"/>
  <c r="KIV18" i="10"/>
  <c r="KJL18" i="10"/>
  <c r="KKB18" i="10"/>
  <c r="KKR18" i="10"/>
  <c r="KLH18" i="10"/>
  <c r="KLX18" i="10"/>
  <c r="KMN18" i="10"/>
  <c r="KND18" i="10"/>
  <c r="KNT18" i="10"/>
  <c r="KOJ18" i="10"/>
  <c r="KOZ18" i="10"/>
  <c r="KPP18" i="10"/>
  <c r="KQF18" i="10"/>
  <c r="KQV18" i="10"/>
  <c r="KRL18" i="10"/>
  <c r="KSB18" i="10"/>
  <c r="KSR18" i="10"/>
  <c r="KTH18" i="10"/>
  <c r="KTX18" i="10"/>
  <c r="KUN18" i="10"/>
  <c r="KVD18" i="10"/>
  <c r="KVT18" i="10"/>
  <c r="KWJ18" i="10"/>
  <c r="LS18" i="10"/>
  <c r="WS18" i="10"/>
  <c r="AFI18" i="10"/>
  <c r="ALC18" i="10"/>
  <c r="AQA18" i="10"/>
  <c r="IT18" i="10"/>
  <c r="APL18" i="10"/>
  <c r="AZH18" i="10"/>
  <c r="BFW18" i="10"/>
  <c r="BLX18" i="10"/>
  <c r="BQV18" i="10"/>
  <c r="BVT18" i="10"/>
  <c r="BZH18" i="10"/>
  <c r="CBT18" i="10"/>
  <c r="CEF18" i="10"/>
  <c r="CGR18" i="10"/>
  <c r="YP18" i="10"/>
  <c r="AUY18" i="10"/>
  <c r="BBN18" i="10"/>
  <c r="BIB18" i="10"/>
  <c r="BNO18" i="10"/>
  <c r="BSM18" i="10"/>
  <c r="BXK18" i="10"/>
  <c r="CAC18" i="10"/>
  <c r="CCO18" i="10"/>
  <c r="CFA18" i="10"/>
  <c r="CHM18" i="10"/>
  <c r="AIR18" i="10"/>
  <c r="AXB18" i="10"/>
  <c r="BDP18" i="10"/>
  <c r="BKE18" i="10"/>
  <c r="BPD18" i="10"/>
  <c r="BUB18" i="10"/>
  <c r="BYL18" i="10"/>
  <c r="CAX18" i="10"/>
  <c r="CDJ18" i="10"/>
  <c r="CFV18" i="10"/>
  <c r="UX18" i="10"/>
  <c r="BNC18" i="10"/>
  <c r="CCI18" i="10"/>
  <c r="CJD18" i="10"/>
  <c r="CLP18" i="10"/>
  <c r="COB18" i="10"/>
  <c r="CQN18" i="10"/>
  <c r="CSZ18" i="10"/>
  <c r="CVL18" i="10"/>
  <c r="CXX18" i="10"/>
  <c r="DAJ18" i="10"/>
  <c r="DCV18" i="10"/>
  <c r="DFH18" i="10"/>
  <c r="DHT18" i="10"/>
  <c r="DKF18" i="10"/>
  <c r="DMR18" i="10"/>
  <c r="DPD18" i="10"/>
  <c r="DRP18" i="10"/>
  <c r="DUB18" i="10"/>
  <c r="DWN18" i="10"/>
  <c r="DYZ18" i="10"/>
  <c r="EBL18" i="10"/>
  <c r="BGF18" i="10"/>
  <c r="BZK18" i="10"/>
  <c r="CIK18" i="10"/>
  <c r="CKW18" i="10"/>
  <c r="CNI18" i="10"/>
  <c r="CPU18" i="10"/>
  <c r="CSG18" i="10"/>
  <c r="CUS18" i="10"/>
  <c r="CXE18" i="10"/>
  <c r="CZQ18" i="10"/>
  <c r="DCC18" i="10"/>
  <c r="DEO18" i="10"/>
  <c r="DHA18" i="10"/>
  <c r="DJM18" i="10"/>
  <c r="DLY18" i="10"/>
  <c r="DOK18" i="10"/>
  <c r="DQW18" i="10"/>
  <c r="DTI18" i="10"/>
  <c r="DVU18" i="10"/>
  <c r="DYG18" i="10"/>
  <c r="EAS18" i="10"/>
  <c r="BDJ18" i="10"/>
  <c r="BYI18" i="10"/>
  <c r="CID18" i="10"/>
  <c r="CKP18" i="10"/>
  <c r="CNB18" i="10"/>
  <c r="CPN18" i="10"/>
  <c r="CRZ18" i="10"/>
  <c r="CUL18" i="10"/>
  <c r="CWX18" i="10"/>
  <c r="CZJ18" i="10"/>
  <c r="DBV18" i="10"/>
  <c r="DEH18" i="10"/>
  <c r="DGT18" i="10"/>
  <c r="DJF18" i="10"/>
  <c r="DLR18" i="10"/>
  <c r="DOD18" i="10"/>
  <c r="DQP18" i="10"/>
  <c r="DTB18" i="10"/>
  <c r="DVN18" i="10"/>
  <c r="DXZ18" i="10"/>
  <c r="CHC18" i="10"/>
  <c r="CRS18" i="10"/>
  <c r="DBO18" i="10"/>
  <c r="DLK18" i="10"/>
  <c r="DVG18" i="10"/>
  <c r="EBV18" i="10"/>
  <c r="EEI18" i="10"/>
  <c r="EGU18" i="10"/>
  <c r="EJG18" i="10"/>
  <c r="ELS18" i="10"/>
  <c r="EOE18" i="10"/>
  <c r="EQQ18" i="10"/>
  <c r="ETC18" i="10"/>
  <c r="EVO18" i="10"/>
  <c r="EYA18" i="10"/>
  <c r="FAM18" i="10"/>
  <c r="FCY18" i="10"/>
  <c r="FFK18" i="10"/>
  <c r="FHW18" i="10"/>
  <c r="FKI18" i="10"/>
  <c r="ACH18" i="10"/>
  <c r="CLS18" i="10"/>
  <c r="CVO18" i="10"/>
  <c r="DFK18" i="10"/>
  <c r="DPG18" i="10"/>
  <c r="DYY18" i="10"/>
  <c r="ECV18" i="10"/>
  <c r="EFH18" i="10"/>
  <c r="EHT18" i="10"/>
  <c r="EKF18" i="10"/>
  <c r="EMR18" i="10"/>
  <c r="EPD18" i="10"/>
  <c r="ERP18" i="10"/>
  <c r="EUB18" i="10"/>
  <c r="EWN18" i="10"/>
  <c r="EYZ18" i="10"/>
  <c r="FBL18" i="10"/>
  <c r="FDX18" i="10"/>
  <c r="FGJ18" i="10"/>
  <c r="FIV18" i="10"/>
  <c r="FLH18" i="10"/>
  <c r="FNT18" i="10"/>
  <c r="CIU18" i="10"/>
  <c r="CSQ18" i="10"/>
  <c r="DCM18" i="10"/>
  <c r="DMI18" i="10"/>
  <c r="DWE18" i="10"/>
  <c r="ECC18" i="10"/>
  <c r="EEO18" i="10"/>
  <c r="EHA18" i="10"/>
  <c r="EJM18" i="10"/>
  <c r="ELY18" i="10"/>
  <c r="EOK18" i="10"/>
  <c r="EQW18" i="10"/>
  <c r="ETI18" i="10"/>
  <c r="EVU18" i="10"/>
  <c r="EYG18" i="10"/>
  <c r="FAS18" i="10"/>
  <c r="FDE18" i="10"/>
  <c r="FFQ18" i="10"/>
  <c r="FIC18" i="10"/>
  <c r="FKO18" i="10"/>
  <c r="FNA18" i="10"/>
  <c r="CQY18" i="10"/>
  <c r="EBO18" i="10"/>
  <c r="ELN18" i="10"/>
  <c r="EVJ18" i="10"/>
  <c r="FFF18" i="10"/>
  <c r="FNW18" i="10"/>
  <c r="FQQ18" i="10"/>
  <c r="FTC18" i="10"/>
  <c r="FVO18" i="10"/>
  <c r="FYA18" i="10"/>
  <c r="GAM18" i="10"/>
  <c r="GCY18" i="10"/>
  <c r="GFK18" i="10"/>
  <c r="GHW18" i="10"/>
  <c r="GKI18" i="10"/>
  <c r="GMU18" i="10"/>
  <c r="GPG18" i="10"/>
  <c r="GRS18" i="10"/>
  <c r="GUE18" i="10"/>
  <c r="GWQ18" i="10"/>
  <c r="GZC18" i="10"/>
  <c r="HBO18" i="10"/>
  <c r="CGM18" i="10"/>
  <c r="DVC18" i="10"/>
  <c r="EJF18" i="10"/>
  <c r="ETB18" i="10"/>
  <c r="FCX18" i="10"/>
  <c r="FMT18" i="10"/>
  <c r="FQB18" i="10"/>
  <c r="FSN18" i="10"/>
  <c r="FUZ18" i="10"/>
  <c r="FXL18" i="10"/>
  <c r="FZX18" i="10"/>
  <c r="GCJ18" i="10"/>
  <c r="GEV18" i="10"/>
  <c r="GHH18" i="10"/>
  <c r="GJT18" i="10"/>
  <c r="GMF18" i="10"/>
  <c r="GOR18" i="10"/>
  <c r="GRD18" i="10"/>
  <c r="GTP18" i="10"/>
  <c r="GWB18" i="10"/>
  <c r="GYN18" i="10"/>
  <c r="HAZ18" i="10"/>
  <c r="BZC18" i="10"/>
  <c r="DTG18" i="10"/>
  <c r="EIT18" i="10"/>
  <c r="ESP18" i="10"/>
  <c r="FCL18" i="10"/>
  <c r="FMH18" i="10"/>
  <c r="FPY18" i="10"/>
  <c r="FSK18" i="10"/>
  <c r="FUW18" i="10"/>
  <c r="FXI18" i="10"/>
  <c r="FZU18" i="10"/>
  <c r="GCG18" i="10"/>
  <c r="GES18" i="10"/>
  <c r="GHE18" i="10"/>
  <c r="GJQ18" i="10"/>
  <c r="GMC18" i="10"/>
  <c r="GOO18" i="10"/>
  <c r="GRA18" i="10"/>
  <c r="GTM18" i="10"/>
  <c r="GVY18" i="10"/>
  <c r="GYK18" i="10"/>
  <c r="HAW18" i="10"/>
  <c r="ESD18" i="10"/>
  <c r="FSH18" i="10"/>
  <c r="GCD18" i="10"/>
  <c r="GIX18" i="10"/>
  <c r="GNV18" i="10"/>
  <c r="GST18" i="10"/>
  <c r="GXR18" i="10"/>
  <c r="HBZ18" i="10"/>
  <c r="HDY18" i="10"/>
  <c r="HFE18" i="10"/>
  <c r="HGK18" i="10"/>
  <c r="HHQ18" i="10"/>
  <c r="HIW18" i="10"/>
  <c r="HKC18" i="10"/>
  <c r="HLI18" i="10"/>
  <c r="HMO18" i="10"/>
  <c r="HNU18" i="10"/>
  <c r="HPA18" i="10"/>
  <c r="HQG18" i="10"/>
  <c r="HRM18" i="10"/>
  <c r="HSS18" i="10"/>
  <c r="HTY18" i="10"/>
  <c r="HVE18" i="10"/>
  <c r="HWK18" i="10"/>
  <c r="HXQ18" i="10"/>
  <c r="HYW18" i="10"/>
  <c r="IAC18" i="10"/>
  <c r="IBI18" i="10"/>
  <c r="ICO18" i="10"/>
  <c r="IDU18" i="10"/>
  <c r="IFA18" i="10"/>
  <c r="IGG18" i="10"/>
  <c r="IHM18" i="10"/>
  <c r="IIG18" i="10"/>
  <c r="IJA18" i="10"/>
  <c r="IJY18" i="10"/>
  <c r="IKS18" i="10"/>
  <c r="ILM18" i="10"/>
  <c r="IMK18" i="10"/>
  <c r="INE18" i="10"/>
  <c r="INY18" i="10"/>
  <c r="IOW18" i="10"/>
  <c r="IPQ18" i="10"/>
  <c r="IQK18" i="10"/>
  <c r="IRI18" i="10"/>
  <c r="ISC18" i="10"/>
  <c r="ISW18" i="10"/>
  <c r="ITU18" i="10"/>
  <c r="IUO18" i="10"/>
  <c r="IVI18" i="10"/>
  <c r="IWG18" i="10"/>
  <c r="IXA18" i="10"/>
  <c r="IXU18" i="10"/>
  <c r="IYS18" i="10"/>
  <c r="IZM18" i="10"/>
  <c r="JAG18" i="10"/>
  <c r="JBE18" i="10"/>
  <c r="JBY18" i="10"/>
  <c r="JCS18" i="10"/>
  <c r="JDQ18" i="10"/>
  <c r="JEK18" i="10"/>
  <c r="JFE18" i="10"/>
  <c r="DTW18" i="10"/>
  <c r="ELJ18" i="10"/>
  <c r="EXR18" i="10"/>
  <c r="FML18" i="10"/>
  <c r="FQP18" i="10"/>
  <c r="FTR18" i="10"/>
  <c r="FXJ18" i="10"/>
  <c r="GAL18" i="10"/>
  <c r="GDN18" i="10"/>
  <c r="GHF18" i="10"/>
  <c r="GKH18" i="10"/>
  <c r="GNJ18" i="10"/>
  <c r="GRB18" i="10"/>
  <c r="GUD18" i="10"/>
  <c r="GXF18" i="10"/>
  <c r="HAX18" i="10"/>
  <c r="HCS18" i="10"/>
  <c r="HDV18" i="10"/>
  <c r="HET18" i="10"/>
  <c r="HFN18" i="10"/>
  <c r="HGH18" i="10"/>
  <c r="HHF18" i="10"/>
  <c r="HHZ18" i="10"/>
  <c r="HIT18" i="10"/>
  <c r="HJR18" i="10"/>
  <c r="HKL18" i="10"/>
  <c r="HLF18" i="10"/>
  <c r="HMD18" i="10"/>
  <c r="HMX18" i="10"/>
  <c r="HNR18" i="10"/>
  <c r="HOP18" i="10"/>
  <c r="HPJ18" i="10"/>
  <c r="HQD18" i="10"/>
  <c r="HRB18" i="10"/>
  <c r="HRV18" i="10"/>
  <c r="HSP18" i="10"/>
  <c r="HTN18" i="10"/>
  <c r="HUH18" i="10"/>
  <c r="HVB18" i="10"/>
  <c r="HVZ18" i="10"/>
  <c r="HWT18" i="10"/>
  <c r="HXN18" i="10"/>
  <c r="HYL18" i="10"/>
  <c r="HZF18" i="10"/>
  <c r="HZZ18" i="10"/>
  <c r="IAX18" i="10"/>
  <c r="IBR18" i="10"/>
  <c r="DCQ18" i="10"/>
  <c r="EJN18" i="10"/>
  <c r="EVV18" i="10"/>
  <c r="FID18" i="10"/>
  <c r="FQD18" i="10"/>
  <c r="FTF18" i="10"/>
  <c r="FWH18" i="10"/>
  <c r="FZZ18" i="10"/>
  <c r="GDB18" i="10"/>
  <c r="GGD18" i="10"/>
  <c r="GJV18" i="10"/>
  <c r="GMX18" i="10"/>
  <c r="GPZ18" i="10"/>
  <c r="GTR18" i="10"/>
  <c r="GWT18" i="10"/>
  <c r="GZV18" i="10"/>
  <c r="HCL18" i="10"/>
  <c r="HDS18" i="10"/>
  <c r="HEM18" i="10"/>
  <c r="HFK18" i="10"/>
  <c r="HGE18" i="10"/>
  <c r="HGY18" i="10"/>
  <c r="HHW18" i="10"/>
  <c r="HIQ18" i="10"/>
  <c r="HJK18" i="10"/>
  <c r="HKI18" i="10"/>
  <c r="HLC18" i="10"/>
  <c r="HLW18" i="10"/>
  <c r="HMU18" i="10"/>
  <c r="HNO18" i="10"/>
  <c r="HOI18" i="10"/>
  <c r="HPG18" i="10"/>
  <c r="DOY18" i="10"/>
  <c r="EKD18" i="10"/>
  <c r="EYX18" i="10"/>
  <c r="FLF18" i="10"/>
  <c r="FQH18" i="10"/>
  <c r="FTZ18" i="10"/>
  <c r="FXB18" i="10"/>
  <c r="GAD18" i="10"/>
  <c r="GDV18" i="10"/>
  <c r="GGX18" i="10"/>
  <c r="GJZ18" i="10"/>
  <c r="GNR18" i="10"/>
  <c r="GQT18" i="10"/>
  <c r="GTV18" i="10"/>
  <c r="GXN18" i="10"/>
  <c r="HAP18" i="10"/>
  <c r="HEJ18" i="10"/>
  <c r="HIB18" i="10"/>
  <c r="HLD18" i="10"/>
  <c r="HOF18" i="10"/>
  <c r="HQR18" i="10"/>
  <c r="HSF18" i="10"/>
  <c r="HTT18" i="10"/>
  <c r="HVP18" i="10"/>
  <c r="HXD18" i="10"/>
  <c r="HYR18" i="10"/>
  <c r="IAN18" i="10"/>
  <c r="ICB18" i="10"/>
  <c r="IDC18" i="10"/>
  <c r="IEI18" i="10"/>
  <c r="IFJ18" i="10"/>
  <c r="IGJ18" i="10"/>
  <c r="IHP18" i="10"/>
  <c r="IIQ18" i="10"/>
  <c r="IJR18" i="10"/>
  <c r="IKX18" i="10"/>
  <c r="ILX18" i="10"/>
  <c r="IMY18" i="10"/>
  <c r="IOE18" i="10"/>
  <c r="IPF18" i="10"/>
  <c r="IQF18" i="10"/>
  <c r="IRL18" i="10"/>
  <c r="ISM18" i="10"/>
  <c r="ITN18" i="10"/>
  <c r="IUT18" i="10"/>
  <c r="IVT18" i="10"/>
  <c r="IWU18" i="10"/>
  <c r="IYA18" i="10"/>
  <c r="HEN18" i="10"/>
  <c r="HHP18" i="10"/>
  <c r="HLH18" i="10"/>
  <c r="HOJ18" i="10"/>
  <c r="HQM18" i="10"/>
  <c r="HSI18" i="10"/>
  <c r="HTW18" i="10"/>
  <c r="HVK18" i="10"/>
  <c r="HXG18" i="10"/>
  <c r="HYU18" i="10"/>
  <c r="IAI18" i="10"/>
  <c r="ICD18" i="10"/>
  <c r="IDD18" i="10"/>
  <c r="IEE18" i="10"/>
  <c r="IFK18" i="10"/>
  <c r="IGL18" i="10"/>
  <c r="IHL18" i="10"/>
  <c r="IIR18" i="10"/>
  <c r="IJS18" i="10"/>
  <c r="IKT18" i="10"/>
  <c r="ILZ18" i="10"/>
  <c r="IMZ18" i="10"/>
  <c r="IOA18" i="10"/>
  <c r="IPG18" i="10"/>
  <c r="IQH18" i="10"/>
  <c r="IRH18" i="10"/>
  <c r="ISN18" i="10"/>
  <c r="ITO18" i="10"/>
  <c r="IUP18" i="10"/>
  <c r="IVV18" i="10"/>
  <c r="IWV18" i="10"/>
  <c r="IXW18" i="10"/>
  <c r="HER18" i="10"/>
  <c r="HHT18" i="10"/>
  <c r="HKV18" i="10"/>
  <c r="HON18" i="10"/>
  <c r="HQN18" i="10"/>
  <c r="HSB18" i="10"/>
  <c r="HTX18" i="10"/>
  <c r="HVL18" i="10"/>
  <c r="HWZ18" i="10"/>
  <c r="HYV18" i="10"/>
  <c r="IAJ18" i="10"/>
  <c r="IBX18" i="10"/>
  <c r="IDF18" i="10"/>
  <c r="IEF18" i="10"/>
  <c r="IFG18" i="10"/>
  <c r="IGM18" i="10"/>
  <c r="IHN18" i="10"/>
  <c r="IIN18" i="10"/>
  <c r="IJT18" i="10"/>
  <c r="IKU18" i="10"/>
  <c r="ILV18" i="10"/>
  <c r="INB18" i="10"/>
  <c r="IOB18" i="10"/>
  <c r="IPC18" i="10"/>
  <c r="IQI18" i="10"/>
  <c r="IRJ18" i="10"/>
  <c r="ISJ18" i="10"/>
  <c r="ITP18" i="10"/>
  <c r="IUQ18" i="10"/>
  <c r="IVR18" i="10"/>
  <c r="IWX18" i="10"/>
  <c r="IXX18" i="10"/>
  <c r="IYY18" i="10"/>
  <c r="JAE18" i="10"/>
  <c r="JBF18" i="10"/>
  <c r="JCF18" i="10"/>
  <c r="JDL18" i="10"/>
  <c r="JEM18" i="10"/>
  <c r="JFM18" i="10"/>
  <c r="JGK18" i="10"/>
  <c r="JHE18" i="10"/>
  <c r="JHY18" i="10"/>
  <c r="JIW18" i="10"/>
  <c r="JJQ18" i="10"/>
  <c r="JKK18" i="10"/>
  <c r="HDP18" i="10"/>
  <c r="HGR18" i="10"/>
  <c r="HJT18" i="10"/>
  <c r="HNL18" i="10"/>
  <c r="HQA18" i="10"/>
  <c r="HRO18" i="10"/>
  <c r="HTK18" i="10"/>
  <c r="HUY18" i="10"/>
  <c r="HWM18" i="10"/>
  <c r="HYI18" i="10"/>
  <c r="HZW18" i="10"/>
  <c r="IBK18" i="10"/>
  <c r="ICV18" i="10"/>
  <c r="IDW18" i="10"/>
  <c r="IEX18" i="10"/>
  <c r="IGD18" i="10"/>
  <c r="IHD18" i="10"/>
  <c r="IIE18" i="10"/>
  <c r="IJK18" i="10"/>
  <c r="IKL18" i="10"/>
  <c r="ILL18" i="10"/>
  <c r="IMR18" i="10"/>
  <c r="INS18" i="10"/>
  <c r="IOT18" i="10"/>
  <c r="IPZ18" i="10"/>
  <c r="IQZ18" i="10"/>
  <c r="ISA18" i="10"/>
  <c r="ITG18" i="10"/>
  <c r="IUH18" i="10"/>
  <c r="IVH18" i="10"/>
  <c r="IWN18" i="10"/>
  <c r="IXO18" i="10"/>
  <c r="IYQ18" i="10"/>
  <c r="JAH18" i="10"/>
  <c r="JBR18" i="10"/>
  <c r="JCZ18" i="10"/>
  <c r="JEQ18" i="10"/>
  <c r="JFW18" i="10"/>
  <c r="JGX18" i="10"/>
  <c r="JID18" i="10"/>
  <c r="JJD18" i="10"/>
  <c r="JKE18" i="10"/>
  <c r="JLI18" i="10"/>
  <c r="JMC18" i="10"/>
  <c r="JMW18" i="10"/>
  <c r="JNU18" i="10"/>
  <c r="JOO18" i="10"/>
  <c r="JPI18" i="10"/>
  <c r="JQG18" i="10"/>
  <c r="JRA18" i="10"/>
  <c r="JRU18" i="10"/>
  <c r="JSS18" i="10"/>
  <c r="JTM18" i="10"/>
  <c r="JUG18" i="10"/>
  <c r="JVE18" i="10"/>
  <c r="JVY18" i="10"/>
  <c r="JWS18" i="10"/>
  <c r="JXQ18" i="10"/>
  <c r="JYK18" i="10"/>
  <c r="JZE18" i="10"/>
  <c r="KAC18" i="10"/>
  <c r="KAW18" i="10"/>
  <c r="KBQ18" i="10"/>
  <c r="KCO18" i="10"/>
  <c r="KDI18" i="10"/>
  <c r="KEC18" i="10"/>
  <c r="KFA18" i="10"/>
  <c r="KFU18" i="10"/>
  <c r="KGO18" i="10"/>
  <c r="KHM18" i="10"/>
  <c r="KIG18" i="10"/>
  <c r="KJA18" i="10"/>
  <c r="KJY18" i="10"/>
  <c r="KKS18" i="10"/>
  <c r="KLM18" i="10"/>
  <c r="KMK18" i="10"/>
  <c r="KNE18" i="10"/>
  <c r="KNY18" i="10"/>
  <c r="KOW18" i="10"/>
  <c r="KPQ18" i="10"/>
  <c r="KQK18" i="10"/>
  <c r="KRI18" i="10"/>
  <c r="KSC18" i="10"/>
  <c r="KSW18" i="10"/>
  <c r="KTU18" i="10"/>
  <c r="KUO18" i="10"/>
  <c r="KVI18" i="10"/>
  <c r="KWG18" i="10"/>
  <c r="KXA18" i="10"/>
  <c r="KXU18" i="10"/>
  <c r="KYS18" i="10"/>
  <c r="KZM18" i="10"/>
  <c r="LAG18" i="10"/>
  <c r="LBE18" i="10"/>
  <c r="LBY18" i="10"/>
  <c r="LCS18" i="10"/>
  <c r="LDQ18" i="10"/>
  <c r="LEK18" i="10"/>
  <c r="LFE18" i="10"/>
  <c r="LGC18" i="10"/>
  <c r="LGW18" i="10"/>
  <c r="LHQ18" i="10"/>
  <c r="IZG18" i="10"/>
  <c r="JAQ18" i="10"/>
  <c r="JBZ18" i="10"/>
  <c r="JDP18" i="10"/>
  <c r="JEZ18" i="10"/>
  <c r="JGD18" i="10"/>
  <c r="JHJ18" i="10"/>
  <c r="JIJ18" i="10"/>
  <c r="JJK18" i="10"/>
  <c r="JKQ18" i="10"/>
  <c r="JLN18" i="10"/>
  <c r="JMH18" i="10"/>
  <c r="JNF18" i="10"/>
  <c r="JNZ18" i="10"/>
  <c r="JOT18" i="10"/>
  <c r="JPR18" i="10"/>
  <c r="JQL18" i="10"/>
  <c r="JRF18" i="10"/>
  <c r="JSD18" i="10"/>
  <c r="JSX18" i="10"/>
  <c r="JTR18" i="10"/>
  <c r="JUP18" i="10"/>
  <c r="JVJ18" i="10"/>
  <c r="JWD18" i="10"/>
  <c r="JXB18" i="10"/>
  <c r="JXV18" i="10"/>
  <c r="JYL18" i="10"/>
  <c r="JZB18" i="10"/>
  <c r="JZR18" i="10"/>
  <c r="KAH18" i="10"/>
  <c r="KAX18" i="10"/>
  <c r="KBN18" i="10"/>
  <c r="KCD18" i="10"/>
  <c r="KCT18" i="10"/>
  <c r="KDJ18" i="10"/>
  <c r="KDZ18" i="10"/>
  <c r="KEP18" i="10"/>
  <c r="KFF18" i="10"/>
  <c r="KFV18" i="10"/>
  <c r="KGL18" i="10"/>
  <c r="KHB18" i="10"/>
  <c r="KHR18" i="10"/>
  <c r="KIH18" i="10"/>
  <c r="KIX18" i="10"/>
  <c r="KJN18" i="10"/>
  <c r="KKD18" i="10"/>
  <c r="KKT18" i="10"/>
  <c r="KLJ18" i="10"/>
  <c r="KLZ18" i="10"/>
  <c r="KMP18" i="10"/>
  <c r="KNF18" i="10"/>
  <c r="KNV18" i="10"/>
  <c r="KOL18" i="10"/>
  <c r="KPB18" i="10"/>
  <c r="KPR18" i="10"/>
  <c r="KQH18" i="10"/>
  <c r="KQX18" i="10"/>
  <c r="KRN18" i="10"/>
  <c r="KSD18" i="10"/>
  <c r="KST18" i="10"/>
  <c r="KTJ18" i="10"/>
  <c r="KTZ18" i="10"/>
  <c r="KUP18" i="10"/>
  <c r="KVF18" i="10"/>
  <c r="KVV18" i="10"/>
  <c r="KWL18" i="10"/>
  <c r="KXB18" i="10"/>
  <c r="KXR18" i="10"/>
  <c r="KYH18" i="10"/>
  <c r="KYX18" i="10"/>
  <c r="KZN18" i="10"/>
  <c r="LAD18" i="10"/>
  <c r="LAT18" i="10"/>
  <c r="LBJ18" i="10"/>
  <c r="LBZ18" i="10"/>
  <c r="LCP18" i="10"/>
  <c r="LDF18" i="10"/>
  <c r="LDV18" i="10"/>
  <c r="LEL18" i="10"/>
  <c r="LFB18" i="10"/>
  <c r="LFR18" i="10"/>
  <c r="LGH18" i="10"/>
  <c r="LGX18" i="10"/>
  <c r="LHN18" i="10"/>
  <c r="LID18" i="10"/>
  <c r="LIT18" i="10"/>
  <c r="LJJ18" i="10"/>
  <c r="LJZ18" i="10"/>
  <c r="LKP18" i="10"/>
  <c r="LLF18" i="10"/>
  <c r="LLV18" i="10"/>
  <c r="LML18" i="10"/>
  <c r="LNB18" i="10"/>
  <c r="LNR18" i="10"/>
  <c r="LOH18" i="10"/>
  <c r="LOX18" i="10"/>
  <c r="LPN18" i="10"/>
  <c r="LQD18" i="10"/>
  <c r="LQT18" i="10"/>
  <c r="LRJ18" i="10"/>
  <c r="LRZ18" i="10"/>
  <c r="LSP18" i="10"/>
  <c r="LTF18" i="10"/>
  <c r="LTV18" i="10"/>
  <c r="LUL18" i="10"/>
  <c r="LVB18" i="10"/>
  <c r="LVR18" i="10"/>
  <c r="LWH18" i="10"/>
  <c r="LWX18" i="10"/>
  <c r="LXN18" i="10"/>
  <c r="IZB18" i="10"/>
  <c r="JAD18" i="10"/>
  <c r="JBG18" i="10"/>
  <c r="JCI18" i="10"/>
  <c r="JDK18" i="10"/>
  <c r="JEN18" i="10"/>
  <c r="JFO18" i="10"/>
  <c r="JGJ18" i="10"/>
  <c r="JHF18" i="10"/>
  <c r="JIA18" i="10"/>
  <c r="JIV18" i="10"/>
  <c r="JJR18" i="10"/>
  <c r="JKM18" i="10"/>
  <c r="JLG18" i="10"/>
  <c r="JLW18" i="10"/>
  <c r="JMM18" i="10"/>
  <c r="JNC18" i="10"/>
  <c r="JNS18" i="10"/>
  <c r="JOI18" i="10"/>
  <c r="JOY18" i="10"/>
  <c r="JPO18" i="10"/>
  <c r="JQE18" i="10"/>
  <c r="JQU18" i="10"/>
  <c r="JRK18" i="10"/>
  <c r="JSA18" i="10"/>
  <c r="JSQ18" i="10"/>
  <c r="JTG18" i="10"/>
  <c r="JTW18" i="10"/>
  <c r="JUM18" i="10"/>
  <c r="JVC18" i="10"/>
  <c r="JVS18" i="10"/>
  <c r="JWI18" i="10"/>
  <c r="JWY18" i="10"/>
  <c r="JXO18" i="10"/>
  <c r="JYE18" i="10"/>
  <c r="JYU18" i="10"/>
  <c r="JZK18" i="10"/>
  <c r="KAA18" i="10"/>
  <c r="KAQ18" i="10"/>
  <c r="KBG18" i="10"/>
  <c r="KBW18" i="10"/>
  <c r="KCM18" i="10"/>
  <c r="KDC18" i="10"/>
  <c r="KDS18" i="10"/>
  <c r="KEI18" i="10"/>
  <c r="KEY18" i="10"/>
  <c r="KFO18" i="10"/>
  <c r="KGE18" i="10"/>
  <c r="KGU18" i="10"/>
  <c r="KHK18" i="10"/>
  <c r="KIA18" i="10"/>
  <c r="KIQ18" i="10"/>
  <c r="KJG18" i="10"/>
  <c r="KJW18" i="10"/>
  <c r="KKM18" i="10"/>
  <c r="KLC18" i="10"/>
  <c r="KLS18" i="10"/>
  <c r="KMI18" i="10"/>
  <c r="KMY18" i="10"/>
  <c r="KNO18" i="10"/>
  <c r="KOE18" i="10"/>
  <c r="KOU18" i="10"/>
  <c r="KPK18" i="10"/>
  <c r="KQA18" i="10"/>
  <c r="KQQ18" i="10"/>
  <c r="KRG18" i="10"/>
  <c r="KRW18" i="10"/>
  <c r="KSM18" i="10"/>
  <c r="KTC18" i="10"/>
  <c r="KTS18" i="10"/>
  <c r="KUI18" i="10"/>
  <c r="KUY18" i="10"/>
  <c r="KVO18" i="10"/>
  <c r="KWE18" i="10"/>
  <c r="KWU18" i="10"/>
  <c r="KXK18" i="10"/>
  <c r="KYA18" i="10"/>
  <c r="KYQ18" i="10"/>
  <c r="KZG18" i="10"/>
  <c r="KZW18" i="10"/>
  <c r="LAM18" i="10"/>
  <c r="LBC18" i="10"/>
  <c r="LBS18" i="10"/>
  <c r="LCI18" i="10"/>
  <c r="LCY18" i="10"/>
  <c r="LDO18" i="10"/>
  <c r="LEE18" i="10"/>
  <c r="LEU18" i="10"/>
  <c r="LFK18" i="10"/>
  <c r="LGA18" i="10"/>
  <c r="LGQ18" i="10"/>
  <c r="LHG18" i="10"/>
  <c r="LHW18" i="10"/>
  <c r="LIM18" i="10"/>
  <c r="LJC18" i="10"/>
  <c r="LJS18" i="10"/>
  <c r="LKI18" i="10"/>
  <c r="LKY18" i="10"/>
  <c r="LLO18" i="10"/>
  <c r="LME18" i="10"/>
  <c r="LMU18" i="10"/>
  <c r="LNK18" i="10"/>
  <c r="LOA18" i="10"/>
  <c r="LOQ18" i="10"/>
  <c r="LPG18" i="10"/>
  <c r="LPW18" i="10"/>
  <c r="LQM18" i="10"/>
  <c r="LRC18" i="10"/>
  <c r="LRS18" i="10"/>
  <c r="LSI18" i="10"/>
  <c r="LSY18" i="10"/>
  <c r="LTO18" i="10"/>
  <c r="LUE18" i="10"/>
  <c r="LUU18" i="10"/>
  <c r="LVK18" i="10"/>
  <c r="LWA18" i="10"/>
  <c r="LWQ18" i="10"/>
  <c r="LXG18" i="10"/>
  <c r="LXW18" i="10"/>
  <c r="LYM18" i="10"/>
  <c r="LZC18" i="10"/>
  <c r="LZS18" i="10"/>
  <c r="MAI18" i="10"/>
  <c r="MAY18" i="10"/>
  <c r="MBO18" i="10"/>
  <c r="MCE18" i="10"/>
  <c r="MCU18" i="10"/>
  <c r="MDK18" i="10"/>
  <c r="MEA18" i="10"/>
  <c r="MEQ18" i="10"/>
  <c r="MFG18" i="10"/>
  <c r="MFW18" i="10"/>
  <c r="MGM18" i="10"/>
  <c r="MHC18" i="10"/>
  <c r="MHS18" i="10"/>
  <c r="MII18" i="10"/>
  <c r="MIY18" i="10"/>
  <c r="MJO18" i="10"/>
  <c r="MKE18" i="10"/>
  <c r="MKU18" i="10"/>
  <c r="MLK18" i="10"/>
  <c r="MMA18" i="10"/>
  <c r="MMQ18" i="10"/>
  <c r="MNG18" i="10"/>
  <c r="MNW18" i="10"/>
  <c r="MOM18" i="10"/>
  <c r="MPC18" i="10"/>
  <c r="MPS18" i="10"/>
  <c r="MQI18" i="10"/>
  <c r="MQY18" i="10"/>
  <c r="MRO18" i="10"/>
  <c r="MSE18" i="10"/>
  <c r="MSU18" i="10"/>
  <c r="MTK18" i="10"/>
  <c r="MUA18" i="10"/>
  <c r="MUQ18" i="10"/>
  <c r="MVG18" i="10"/>
  <c r="MVW18" i="10"/>
  <c r="MWM18" i="10"/>
  <c r="MXC18" i="10"/>
  <c r="MXS18" i="10"/>
  <c r="MYI18" i="10"/>
  <c r="MYY18" i="10"/>
  <c r="MZO18" i="10"/>
  <c r="NAE18" i="10"/>
  <c r="NAU18" i="10"/>
  <c r="NBK18" i="10"/>
  <c r="NCA18" i="10"/>
  <c r="NCQ18" i="10"/>
  <c r="NDG18" i="10"/>
  <c r="IYP18" i="10"/>
  <c r="IZR18" i="10"/>
  <c r="JAT18" i="10"/>
  <c r="JBW18" i="10"/>
  <c r="JCY18" i="10"/>
  <c r="JEA18" i="10"/>
  <c r="JFD18" i="10"/>
  <c r="JGA18" i="10"/>
  <c r="JGV18" i="10"/>
  <c r="JHR18" i="10"/>
  <c r="JIM18" i="10"/>
  <c r="JJH18" i="10"/>
  <c r="JKD18" i="10"/>
  <c r="JKY18" i="10"/>
  <c r="JLP18" i="10"/>
  <c r="JMF18" i="10"/>
  <c r="JMV18" i="10"/>
  <c r="JNL18" i="10"/>
  <c r="JOB18" i="10"/>
  <c r="JOR18" i="10"/>
  <c r="JPH18" i="10"/>
  <c r="JPX18" i="10"/>
  <c r="JQN18" i="10"/>
  <c r="JRD18" i="10"/>
  <c r="JRT18" i="10"/>
  <c r="JSJ18" i="10"/>
  <c r="JSZ18" i="10"/>
  <c r="JTP18" i="10"/>
  <c r="JUF18" i="10"/>
  <c r="JUV18" i="10"/>
  <c r="JVL18" i="10"/>
  <c r="JWB18" i="10"/>
  <c r="JWR18" i="10"/>
  <c r="JXH18" i="10"/>
  <c r="JXX18" i="10"/>
  <c r="JYN18" i="10"/>
  <c r="JZD18" i="10"/>
  <c r="JZT18" i="10"/>
  <c r="KAJ18" i="10"/>
  <c r="KAZ18" i="10"/>
  <c r="KBP18" i="10"/>
  <c r="KCF18" i="10"/>
  <c r="KCV18" i="10"/>
  <c r="KDL18" i="10"/>
  <c r="KEB18" i="10"/>
  <c r="KER18" i="10"/>
  <c r="KFH18" i="10"/>
  <c r="KFX18" i="10"/>
  <c r="KGN18" i="10"/>
  <c r="KHD18" i="10"/>
  <c r="KHT18" i="10"/>
  <c r="KIJ18" i="10"/>
  <c r="KIZ18" i="10"/>
  <c r="KJP18" i="10"/>
  <c r="KKF18" i="10"/>
  <c r="KKV18" i="10"/>
  <c r="KLL18" i="10"/>
  <c r="KMB18" i="10"/>
  <c r="KMR18" i="10"/>
  <c r="KNH18" i="10"/>
  <c r="KNX18" i="10"/>
  <c r="KON18" i="10"/>
  <c r="KPD18" i="10"/>
  <c r="KPT18" i="10"/>
  <c r="KQJ18" i="10"/>
  <c r="KQZ18" i="10"/>
  <c r="KRP18" i="10"/>
  <c r="KSF18" i="10"/>
  <c r="KSV18" i="10"/>
  <c r="KTL18" i="10"/>
  <c r="KUB18" i="10"/>
  <c r="KUR18" i="10"/>
  <c r="KVH18" i="10"/>
  <c r="KVX18" i="10"/>
  <c r="KWN18" i="10"/>
  <c r="KXD18" i="10"/>
  <c r="KXT18" i="10"/>
  <c r="KYV18" i="10"/>
  <c r="LBH18" i="10"/>
  <c r="LDT18" i="10"/>
  <c r="LGF18" i="10"/>
  <c r="LIJ18" i="10"/>
  <c r="LJP18" i="10"/>
  <c r="LKV18" i="10"/>
  <c r="LMB18" i="10"/>
  <c r="LNH18" i="10"/>
  <c r="LON18" i="10"/>
  <c r="LPT18" i="10"/>
  <c r="LQZ18" i="10"/>
  <c r="LSF18" i="10"/>
  <c r="LTL18" i="10"/>
  <c r="LUR18" i="10"/>
  <c r="LVX18" i="10"/>
  <c r="LXD18" i="10"/>
  <c r="LYD18" i="10"/>
  <c r="LYZ18" i="10"/>
  <c r="LZU18" i="10"/>
  <c r="MAP18" i="10"/>
  <c r="MBL18" i="10"/>
  <c r="MCG18" i="10"/>
  <c r="MDB18" i="10"/>
  <c r="MDX18" i="10"/>
  <c r="MES18" i="10"/>
  <c r="MFN18" i="10"/>
  <c r="MGJ18" i="10"/>
  <c r="MHE18" i="10"/>
  <c r="MHZ18" i="10"/>
  <c r="MIV18" i="10"/>
  <c r="MJQ18" i="10"/>
  <c r="MKL18" i="10"/>
  <c r="MLH18" i="10"/>
  <c r="MMC18" i="10"/>
  <c r="MMX18" i="10"/>
  <c r="MNT18" i="10"/>
  <c r="MOO18" i="10"/>
  <c r="MPJ18" i="10"/>
  <c r="MQF18" i="10"/>
  <c r="MRA18" i="10"/>
  <c r="MRV18" i="10"/>
  <c r="MSR18" i="10"/>
  <c r="MTM18" i="10"/>
  <c r="MUH18" i="10"/>
  <c r="MVD18" i="10"/>
  <c r="MVY18" i="10"/>
  <c r="MWT18" i="10"/>
  <c r="MXP18" i="10"/>
  <c r="MYK18" i="10"/>
  <c r="MZF18" i="10"/>
  <c r="NAB18" i="10"/>
  <c r="NAW18" i="10"/>
  <c r="NBR18" i="10"/>
  <c r="LAF18" i="10"/>
  <c r="LCR18" i="10"/>
  <c r="LFD18" i="10"/>
  <c r="LHP18" i="10"/>
  <c r="LJA18" i="10"/>
  <c r="LKG18" i="10"/>
  <c r="LLM18" i="10"/>
  <c r="LMS18" i="10"/>
  <c r="LNY18" i="10"/>
  <c r="LPE18" i="10"/>
  <c r="LQK18" i="10"/>
  <c r="LRQ18" i="10"/>
  <c r="LSW18" i="10"/>
  <c r="LUC18" i="10"/>
  <c r="LVI18" i="10"/>
  <c r="LWO18" i="10"/>
  <c r="LXU18" i="10"/>
  <c r="LYP18" i="10"/>
  <c r="LZL18" i="10"/>
  <c r="MAG18" i="10"/>
  <c r="MBB18" i="10"/>
  <c r="MBX18" i="10"/>
  <c r="MCS18" i="10"/>
  <c r="MDN18" i="10"/>
  <c r="MEJ18" i="10"/>
  <c r="MFE18" i="10"/>
  <c r="MFZ18" i="10"/>
  <c r="MGV18" i="10"/>
  <c r="MHQ18" i="10"/>
  <c r="MIL18" i="10"/>
  <c r="MJH18" i="10"/>
  <c r="MKC18" i="10"/>
  <c r="MKX18" i="10"/>
  <c r="MLT18" i="10"/>
  <c r="MMO18" i="10"/>
  <c r="MNJ18" i="10"/>
  <c r="MOF18" i="10"/>
  <c r="MPA18" i="10"/>
  <c r="MPV18" i="10"/>
  <c r="MQR18" i="10"/>
  <c r="MRM18" i="10"/>
  <c r="MSH18" i="10"/>
  <c r="MTD18" i="10"/>
  <c r="MTY18" i="10"/>
  <c r="MUT18" i="10"/>
  <c r="MVP18" i="10"/>
  <c r="MWK18" i="10"/>
  <c r="MXF18" i="10"/>
  <c r="MYB18" i="10"/>
  <c r="MYW18" i="10"/>
  <c r="MZR18" i="10"/>
  <c r="NAN18" i="10"/>
  <c r="NBI18" i="10"/>
  <c r="NCD18" i="10"/>
  <c r="NCZ18" i="10"/>
  <c r="NDU18" i="10"/>
  <c r="NEK18" i="10"/>
  <c r="NFA18" i="10"/>
  <c r="NFQ18" i="10"/>
  <c r="NGG18" i="10"/>
  <c r="NGW18" i="10"/>
  <c r="NHM18" i="10"/>
  <c r="NIC18" i="10"/>
  <c r="NIS18" i="10"/>
  <c r="NJI18" i="10"/>
  <c r="NJY18" i="10"/>
  <c r="NKO18" i="10"/>
  <c r="NLE18" i="10"/>
  <c r="NLU18" i="10"/>
  <c r="NMK18" i="10"/>
  <c r="NNA18" i="10"/>
  <c r="NNQ18" i="10"/>
  <c r="NOG18" i="10"/>
  <c r="NOW18" i="10"/>
  <c r="NPM18" i="10"/>
  <c r="NQC18" i="10"/>
  <c r="NQS18" i="10"/>
  <c r="NRI18" i="10"/>
  <c r="NRY18" i="10"/>
  <c r="NSO18" i="10"/>
  <c r="NTE18" i="10"/>
  <c r="NTU18" i="10"/>
  <c r="NUK18" i="10"/>
  <c r="NVA18" i="10"/>
  <c r="NVQ18" i="10"/>
  <c r="NWG18" i="10"/>
  <c r="NWW18" i="10"/>
  <c r="NXM18" i="10"/>
  <c r="NYC18" i="10"/>
  <c r="NYS18" i="10"/>
  <c r="NZI18" i="10"/>
  <c r="NZY18" i="10"/>
  <c r="OAO18" i="10"/>
  <c r="OBE18" i="10"/>
  <c r="OBU18" i="10"/>
  <c r="OCK18" i="10"/>
  <c r="ODA18" i="10"/>
  <c r="ODQ18" i="10"/>
  <c r="OEG18" i="10"/>
  <c r="OEW18" i="10"/>
  <c r="OFM18" i="10"/>
  <c r="OGC18" i="10"/>
  <c r="OGS18" i="10"/>
  <c r="OHI18" i="10"/>
  <c r="OHY18" i="10"/>
  <c r="OIO18" i="10"/>
  <c r="OJE18" i="10"/>
  <c r="OJU18" i="10"/>
  <c r="OKK18" i="10"/>
  <c r="OLA18" i="10"/>
  <c r="OLQ18" i="10"/>
  <c r="OMG18" i="10"/>
  <c r="OMW18" i="10"/>
  <c r="ONM18" i="10"/>
  <c r="OOC18" i="10"/>
  <c r="OOS18" i="10"/>
  <c r="OPI18" i="10"/>
  <c r="OPY18" i="10"/>
  <c r="OQO18" i="10"/>
  <c r="ORE18" i="10"/>
  <c r="ORU18" i="10"/>
  <c r="OSK18" i="10"/>
  <c r="OTA18" i="10"/>
  <c r="OTQ18" i="10"/>
  <c r="OUG18" i="10"/>
  <c r="OUW18" i="10"/>
  <c r="OVM18" i="10"/>
  <c r="OWC18" i="10"/>
  <c r="OWS18" i="10"/>
  <c r="OXI18" i="10"/>
  <c r="OXY18" i="10"/>
  <c r="OYO18" i="10"/>
  <c r="OZE18" i="10"/>
  <c r="OZU18" i="10"/>
  <c r="PAK18" i="10"/>
  <c r="PBA18" i="10"/>
  <c r="PBQ18" i="10"/>
  <c r="PCG18" i="10"/>
  <c r="PCW18" i="10"/>
  <c r="PDM18" i="10"/>
  <c r="PEC18" i="10"/>
  <c r="PES18" i="10"/>
  <c r="PFI18" i="10"/>
  <c r="PFY18" i="10"/>
  <c r="PGO18" i="10"/>
  <c r="PHE18" i="10"/>
  <c r="PHU18" i="10"/>
  <c r="PIK18" i="10"/>
  <c r="PJA18" i="10"/>
  <c r="PJQ18" i="10"/>
  <c r="PKG18" i="10"/>
  <c r="PKW18" i="10"/>
  <c r="PLM18" i="10"/>
  <c r="PMC18" i="10"/>
  <c r="PMS18" i="10"/>
  <c r="PNI18" i="10"/>
  <c r="PNY18" i="10"/>
  <c r="POO18" i="10"/>
  <c r="PPE18" i="10"/>
  <c r="PPU18" i="10"/>
  <c r="PQK18" i="10"/>
  <c r="PRA18" i="10"/>
  <c r="PRQ18" i="10"/>
  <c r="PSG18" i="10"/>
  <c r="PSW18" i="10"/>
  <c r="PTM18" i="10"/>
  <c r="PUC18" i="10"/>
  <c r="PUS18" i="10"/>
  <c r="PVI18" i="10"/>
  <c r="PVY18" i="10"/>
  <c r="KZD18" i="10"/>
  <c r="LBP18" i="10"/>
  <c r="LEB18" i="10"/>
  <c r="LGN18" i="10"/>
  <c r="LIN18" i="10"/>
  <c r="LJT18" i="10"/>
  <c r="LKZ18" i="10"/>
  <c r="LMF18" i="10"/>
  <c r="LNL18" i="10"/>
  <c r="LOR18" i="10"/>
  <c r="LPX18" i="10"/>
  <c r="LRD18" i="10"/>
  <c r="LSJ18" i="10"/>
  <c r="LTP18" i="10"/>
  <c r="LUV18" i="10"/>
  <c r="LWB18" i="10"/>
  <c r="LXH18" i="10"/>
  <c r="LYG18" i="10"/>
  <c r="LZB18" i="10"/>
  <c r="LZX18" i="10"/>
  <c r="MAS18" i="10"/>
  <c r="MBN18" i="10"/>
  <c r="MCJ18" i="10"/>
  <c r="MDE18" i="10"/>
  <c r="MDZ18" i="10"/>
  <c r="MEV18" i="10"/>
  <c r="MFQ18" i="10"/>
  <c r="MGL18" i="10"/>
  <c r="MHH18" i="10"/>
  <c r="MIC18" i="10"/>
  <c r="MIX18" i="10"/>
  <c r="MJT18" i="10"/>
  <c r="MKO18" i="10"/>
  <c r="MLJ18" i="10"/>
  <c r="MMF18" i="10"/>
  <c r="MNA18" i="10"/>
  <c r="MNV18" i="10"/>
  <c r="MOR18" i="10"/>
  <c r="MPM18" i="10"/>
  <c r="MQH18" i="10"/>
  <c r="MRD18" i="10"/>
  <c r="MRY18" i="10"/>
  <c r="MST18" i="10"/>
  <c r="MTP18" i="10"/>
  <c r="MUK18" i="10"/>
  <c r="MVF18" i="10"/>
  <c r="MWB18" i="10"/>
  <c r="MWW18" i="10"/>
  <c r="MXR18" i="10"/>
  <c r="MYN18" i="10"/>
  <c r="MZI18" i="10"/>
  <c r="NAD18" i="10"/>
  <c r="NAZ18" i="10"/>
  <c r="NBU18" i="10"/>
  <c r="NCP18" i="10"/>
  <c r="NDL18" i="10"/>
  <c r="NED18" i="10"/>
  <c r="NET18" i="10"/>
  <c r="NFJ18" i="10"/>
  <c r="NFZ18" i="10"/>
  <c r="NGP18" i="10"/>
  <c r="NHF18" i="10"/>
  <c r="NHV18" i="10"/>
  <c r="NIL18" i="10"/>
  <c r="NJB18" i="10"/>
  <c r="NJR18" i="10"/>
  <c r="NKH18" i="10"/>
  <c r="NKX18" i="10"/>
  <c r="NLN18" i="10"/>
  <c r="NMD18" i="10"/>
  <c r="NMT18" i="10"/>
  <c r="NNJ18" i="10"/>
  <c r="NNZ18" i="10"/>
  <c r="NOP18" i="10"/>
  <c r="NPF18" i="10"/>
  <c r="NPV18" i="10"/>
  <c r="NQL18" i="10"/>
  <c r="NRB18" i="10"/>
  <c r="NRR18" i="10"/>
  <c r="NSH18" i="10"/>
  <c r="NSX18" i="10"/>
  <c r="NTN18" i="10"/>
  <c r="NUD18" i="10"/>
  <c r="NUT18" i="10"/>
  <c r="NVJ18" i="10"/>
  <c r="NVZ18" i="10"/>
  <c r="NWP18" i="10"/>
  <c r="NXF18" i="10"/>
  <c r="NXV18" i="10"/>
  <c r="NYL18" i="10"/>
  <c r="NZB18" i="10"/>
  <c r="NZR18" i="10"/>
  <c r="OAH18" i="10"/>
  <c r="OAX18" i="10"/>
  <c r="OBN18" i="10"/>
  <c r="OCD18" i="10"/>
  <c r="OCT18" i="10"/>
  <c r="ODJ18" i="10"/>
  <c r="ODZ18" i="10"/>
  <c r="OEP18" i="10"/>
  <c r="OFF18" i="10"/>
  <c r="OFV18" i="10"/>
  <c r="OGL18" i="10"/>
  <c r="OHB18" i="10"/>
  <c r="OHR18" i="10"/>
  <c r="OIH18" i="10"/>
  <c r="OIX18" i="10"/>
  <c r="OJN18" i="10"/>
  <c r="OKD18" i="10"/>
  <c r="OKT18" i="10"/>
  <c r="OLJ18" i="10"/>
  <c r="OLZ18" i="10"/>
  <c r="OMP18" i="10"/>
  <c r="KZH18" i="10"/>
  <c r="LBT18" i="10"/>
  <c r="LEF18" i="10"/>
  <c r="LGR18" i="10"/>
  <c r="LIO18" i="10"/>
  <c r="LJU18" i="10"/>
  <c r="LLA18" i="10"/>
  <c r="LMG18" i="10"/>
  <c r="LNM18" i="10"/>
  <c r="LOS18" i="10"/>
  <c r="LPY18" i="10"/>
  <c r="LRE18" i="10"/>
  <c r="LSK18" i="10"/>
  <c r="LTQ18" i="10"/>
  <c r="LUW18" i="10"/>
  <c r="LWC18" i="10"/>
  <c r="LXI18" i="10"/>
  <c r="LYH18" i="10"/>
  <c r="LZD18" i="10"/>
  <c r="LZY18" i="10"/>
  <c r="MAT18" i="10"/>
  <c r="MBP18" i="10"/>
  <c r="MCK18" i="10"/>
  <c r="MDF18" i="10"/>
  <c r="MEB18" i="10"/>
  <c r="MEW18" i="10"/>
  <c r="MFR18" i="10"/>
  <c r="MGN18" i="10"/>
  <c r="MHI18" i="10"/>
  <c r="MID18" i="10"/>
  <c r="MIZ18" i="10"/>
  <c r="MJU18" i="10"/>
  <c r="MKP18" i="10"/>
  <c r="MLL18" i="10"/>
  <c r="MMG18" i="10"/>
  <c r="MNB18" i="10"/>
  <c r="MNX18" i="10"/>
  <c r="MOS18" i="10"/>
  <c r="MPN18" i="10"/>
  <c r="MQJ18" i="10"/>
  <c r="MRE18" i="10"/>
  <c r="MTV18" i="10"/>
  <c r="MXD18" i="10"/>
  <c r="NAK18" i="10"/>
  <c r="NCS18" i="10"/>
  <c r="NEF18" i="10"/>
  <c r="NFL18" i="10"/>
  <c r="NGR18" i="10"/>
  <c r="NHX18" i="10"/>
  <c r="NJD18" i="10"/>
  <c r="NKJ18" i="10"/>
  <c r="NLP18" i="10"/>
  <c r="NMV18" i="10"/>
  <c r="NOB18" i="10"/>
  <c r="NPH18" i="10"/>
  <c r="NQN18" i="10"/>
  <c r="NRT18" i="10"/>
  <c r="NSZ18" i="10"/>
  <c r="NUF18" i="10"/>
  <c r="NVL18" i="10"/>
  <c r="NWR18" i="10"/>
  <c r="NXX18" i="10"/>
  <c r="NZD18" i="10"/>
  <c r="OAJ18" i="10"/>
  <c r="OBP18" i="10"/>
  <c r="OCV18" i="10"/>
  <c r="OEB18" i="10"/>
  <c r="OFH18" i="10"/>
  <c r="OGN18" i="10"/>
  <c r="OHT18" i="10"/>
  <c r="OIZ18" i="10"/>
  <c r="OKF18" i="10"/>
  <c r="OLL18" i="10"/>
  <c r="OMR18" i="10"/>
  <c r="ONP18" i="10"/>
  <c r="OOL18" i="10"/>
  <c r="OPG18" i="10"/>
  <c r="OQB18" i="10"/>
  <c r="OQX18" i="10"/>
  <c r="ORS18" i="10"/>
  <c r="OSN18" i="10"/>
  <c r="OTJ18" i="10"/>
  <c r="OUE18" i="10"/>
  <c r="OUZ18" i="10"/>
  <c r="OVV18" i="10"/>
  <c r="OWQ18" i="10"/>
  <c r="OXL18" i="10"/>
  <c r="OYH18" i="10"/>
  <c r="OZC18" i="10"/>
  <c r="OZX18" i="10"/>
  <c r="PAT18" i="10"/>
  <c r="PBO18" i="10"/>
  <c r="PCJ18" i="10"/>
  <c r="PDF18" i="10"/>
  <c r="PEA18" i="10"/>
  <c r="PEV18" i="10"/>
  <c r="PFR18" i="10"/>
  <c r="PGM18" i="10"/>
  <c r="PHH18" i="10"/>
  <c r="PID18" i="10"/>
  <c r="PIY18" i="10"/>
  <c r="PJT18" i="10"/>
  <c r="PKP18" i="10"/>
  <c r="PLK18" i="10"/>
  <c r="PMF18" i="10"/>
  <c r="PNB18" i="10"/>
  <c r="PNW18" i="10"/>
  <c r="POR18" i="10"/>
  <c r="PPN18" i="10"/>
  <c r="PQI18" i="10"/>
  <c r="PRD18" i="10"/>
  <c r="PRZ18" i="10"/>
  <c r="PSU18" i="10"/>
  <c r="PTP18" i="10"/>
  <c r="PUL18" i="10"/>
  <c r="PVG18" i="10"/>
  <c r="PWB18" i="10"/>
  <c r="PWT18" i="10"/>
  <c r="PXJ18" i="10"/>
  <c r="PXZ18" i="10"/>
  <c r="PYP18" i="10"/>
  <c r="PZF18" i="10"/>
  <c r="PZV18" i="10"/>
  <c r="QAL18" i="10"/>
  <c r="QBB18" i="10"/>
  <c r="QBR18" i="10"/>
  <c r="QCH18" i="10"/>
  <c r="QCX18" i="10"/>
  <c r="QDN18" i="10"/>
  <c r="QED18" i="10"/>
  <c r="QET18" i="10"/>
  <c r="QFJ18" i="10"/>
  <c r="QFZ18" i="10"/>
  <c r="QGP18" i="10"/>
  <c r="QHF18" i="10"/>
  <c r="QHV18" i="10"/>
  <c r="QIL18" i="10"/>
  <c r="QJB18" i="10"/>
  <c r="QJR18" i="10"/>
  <c r="QKH18" i="10"/>
  <c r="QKX18" i="10"/>
  <c r="QLN18" i="10"/>
  <c r="QMD18" i="10"/>
  <c r="QMT18" i="10"/>
  <c r="QNJ18" i="10"/>
  <c r="QNZ18" i="10"/>
  <c r="QOP18" i="10"/>
  <c r="QPF18" i="10"/>
  <c r="QPV18" i="10"/>
  <c r="QQL18" i="10"/>
  <c r="QRB18" i="10"/>
  <c r="QRR18" i="10"/>
  <c r="QSH18" i="10"/>
  <c r="QSX18" i="10"/>
  <c r="QTN18" i="10"/>
  <c r="QUD18" i="10"/>
  <c r="QUT18" i="10"/>
  <c r="QVJ18" i="10"/>
  <c r="QVZ18" i="10"/>
  <c r="QWP18" i="10"/>
  <c r="QXF18" i="10"/>
  <c r="QXV18" i="10"/>
  <c r="QYL18" i="10"/>
  <c r="QZB18" i="10"/>
  <c r="QZR18" i="10"/>
  <c r="RAH18" i="10"/>
  <c r="RAX18" i="10"/>
  <c r="RBN18" i="10"/>
  <c r="RCD18" i="10"/>
  <c r="RCT18" i="10"/>
  <c r="RDJ18" i="10"/>
  <c r="RDZ18" i="10"/>
  <c r="REP18" i="10"/>
  <c r="RFF18" i="10"/>
  <c r="RFV18" i="10"/>
  <c r="RGL18" i="10"/>
  <c r="RHB18" i="10"/>
  <c r="RHR18" i="10"/>
  <c r="RIH18" i="10"/>
  <c r="RIX18" i="10"/>
  <c r="RJN18" i="10"/>
  <c r="RKD18" i="10"/>
  <c r="RKT18" i="10"/>
  <c r="RLJ18" i="10"/>
  <c r="RLZ18" i="10"/>
  <c r="RMP18" i="10"/>
  <c r="RNF18" i="10"/>
  <c r="RNV18" i="10"/>
  <c r="ROL18" i="10"/>
  <c r="RPB18" i="10"/>
  <c r="RPR18" i="10"/>
  <c r="RQH18" i="10"/>
  <c r="RQX18" i="10"/>
  <c r="RRN18" i="10"/>
  <c r="RSD18" i="10"/>
  <c r="RST18" i="10"/>
  <c r="RTJ18" i="10"/>
  <c r="RTZ18" i="10"/>
  <c r="RUP18" i="10"/>
  <c r="RVF18" i="10"/>
  <c r="RVV18" i="10"/>
  <c r="RWL18" i="10"/>
  <c r="RXB18" i="10"/>
  <c r="RXR18" i="10"/>
  <c r="RYH18" i="10"/>
  <c r="RYX18" i="10"/>
  <c r="RZN18" i="10"/>
  <c r="SAD18" i="10"/>
  <c r="SAT18" i="10"/>
  <c r="SBJ18" i="10"/>
  <c r="SBZ18" i="10"/>
  <c r="MSK18" i="10"/>
  <c r="MVR18" i="10"/>
  <c r="MYZ18" i="10"/>
  <c r="NCB18" i="10"/>
  <c r="NDR18" i="10"/>
  <c r="NEY18" i="10"/>
  <c r="NGE18" i="10"/>
  <c r="NHK18" i="10"/>
  <c r="NIQ18" i="10"/>
  <c r="NJW18" i="10"/>
  <c r="NLC18" i="10"/>
  <c r="NMI18" i="10"/>
  <c r="NNO18" i="10"/>
  <c r="NOU18" i="10"/>
  <c r="NQA18" i="10"/>
  <c r="NRG18" i="10"/>
  <c r="NSM18" i="10"/>
  <c r="NTS18" i="10"/>
  <c r="NUY18" i="10"/>
  <c r="NWE18" i="10"/>
  <c r="NXK18" i="10"/>
  <c r="NYQ18" i="10"/>
  <c r="NZW18" i="10"/>
  <c r="OBC18" i="10"/>
  <c r="OCI18" i="10"/>
  <c r="ODO18" i="10"/>
  <c r="OEU18" i="10"/>
  <c r="OGA18" i="10"/>
  <c r="OHG18" i="10"/>
  <c r="OIM18" i="10"/>
  <c r="OJS18" i="10"/>
  <c r="OKY18" i="10"/>
  <c r="OME18" i="10"/>
  <c r="ONG18" i="10"/>
  <c r="OOB18" i="10"/>
  <c r="OOX18" i="10"/>
  <c r="OPS18" i="10"/>
  <c r="OQN18" i="10"/>
  <c r="ORJ18" i="10"/>
  <c r="OSE18" i="10"/>
  <c r="OSZ18" i="10"/>
  <c r="OTV18" i="10"/>
  <c r="OUQ18" i="10"/>
  <c r="OVL18" i="10"/>
  <c r="OWH18" i="10"/>
  <c r="OXC18" i="10"/>
  <c r="OXX18" i="10"/>
  <c r="OYT18" i="10"/>
  <c r="OZO18" i="10"/>
  <c r="PAJ18" i="10"/>
  <c r="PBF18" i="10"/>
  <c r="PCA18" i="10"/>
  <c r="PCV18" i="10"/>
  <c r="PDR18" i="10"/>
  <c r="PEM18" i="10"/>
  <c r="PFH18" i="10"/>
  <c r="PGD18" i="10"/>
  <c r="PGY18" i="10"/>
  <c r="PHT18" i="10"/>
  <c r="PIP18" i="10"/>
  <c r="PJK18" i="10"/>
  <c r="PKF18" i="10"/>
  <c r="PLB18" i="10"/>
  <c r="PLW18" i="10"/>
  <c r="PMR18" i="10"/>
  <c r="PNN18" i="10"/>
  <c r="POI18" i="10"/>
  <c r="PPD18" i="10"/>
  <c r="PPZ18" i="10"/>
  <c r="PQU18" i="10"/>
  <c r="PRP18" i="10"/>
  <c r="PSL18" i="10"/>
  <c r="PTG18" i="10"/>
  <c r="PUB18" i="10"/>
  <c r="PUX18" i="10"/>
  <c r="PVS18" i="10"/>
  <c r="PWM18" i="10"/>
  <c r="PXC18" i="10"/>
  <c r="PXS18" i="10"/>
  <c r="PYI18" i="10"/>
  <c r="PYY18" i="10"/>
  <c r="PZO18" i="10"/>
  <c r="QAE18" i="10"/>
  <c r="QAU18" i="10"/>
  <c r="QBK18" i="10"/>
  <c r="QCA18" i="10"/>
  <c r="QCQ18" i="10"/>
  <c r="QDG18" i="10"/>
  <c r="QDW18" i="10"/>
  <c r="QEM18" i="10"/>
  <c r="QFC18" i="10"/>
  <c r="QFS18" i="10"/>
  <c r="QGI18" i="10"/>
  <c r="QGY18" i="10"/>
  <c r="QHO18" i="10"/>
  <c r="QIE18" i="10"/>
  <c r="QIU18" i="10"/>
  <c r="QJK18" i="10"/>
  <c r="QKA18" i="10"/>
  <c r="QKQ18" i="10"/>
  <c r="QLG18" i="10"/>
  <c r="QLW18" i="10"/>
  <c r="QMM18" i="10"/>
  <c r="QNC18" i="10"/>
  <c r="QNS18" i="10"/>
  <c r="QOI18" i="10"/>
  <c r="QOY18" i="10"/>
  <c r="QPO18" i="10"/>
  <c r="QQE18" i="10"/>
  <c r="QQU18" i="10"/>
  <c r="QRK18" i="10"/>
  <c r="QSA18" i="10"/>
  <c r="QSQ18" i="10"/>
  <c r="QTG18" i="10"/>
  <c r="QTW18" i="10"/>
  <c r="QUM18" i="10"/>
  <c r="QVC18" i="10"/>
  <c r="QVS18" i="10"/>
  <c r="QWI18" i="10"/>
  <c r="QWY18" i="10"/>
  <c r="QXO18" i="10"/>
  <c r="QYE18" i="10"/>
  <c r="QYU18" i="10"/>
  <c r="QZK18" i="10"/>
  <c r="RAA18" i="10"/>
  <c r="RAQ18" i="10"/>
  <c r="RBG18" i="10"/>
  <c r="RBW18" i="10"/>
  <c r="RCM18" i="10"/>
  <c r="RDC18" i="10"/>
  <c r="RDS18" i="10"/>
  <c r="REI18" i="10"/>
  <c r="REY18" i="10"/>
  <c r="RFO18" i="10"/>
  <c r="RGE18" i="10"/>
  <c r="RGU18" i="10"/>
  <c r="RHK18" i="10"/>
  <c r="RIA18" i="10"/>
  <c r="RIQ18" i="10"/>
  <c r="RJG18" i="10"/>
  <c r="RJW18" i="10"/>
  <c r="RKM18" i="10"/>
  <c r="RLC18" i="10"/>
  <c r="RLS18" i="10"/>
  <c r="RMI18" i="10"/>
  <c r="RMY18" i="10"/>
  <c r="RNO18" i="10"/>
  <c r="ROE18" i="10"/>
  <c r="ROU18" i="10"/>
  <c r="RPK18" i="10"/>
  <c r="RQA18" i="10"/>
  <c r="RQQ18" i="10"/>
  <c r="RRG18" i="10"/>
  <c r="RRW18" i="10"/>
  <c r="RSM18" i="10"/>
  <c r="RTC18" i="10"/>
  <c r="RTS18" i="10"/>
  <c r="RUI18" i="10"/>
  <c r="RUY18" i="10"/>
  <c r="RVO18" i="10"/>
  <c r="RWE18" i="10"/>
  <c r="RWU18" i="10"/>
  <c r="RXK18" i="10"/>
  <c r="RYA18" i="10"/>
  <c r="RYQ18" i="10"/>
  <c r="RZG18" i="10"/>
  <c r="RZW18" i="10"/>
  <c r="SAM18" i="10"/>
  <c r="SBC18" i="10"/>
  <c r="SBS18" i="10"/>
  <c r="SCI18" i="10"/>
  <c r="SCY18" i="10"/>
  <c r="SDO18" i="10"/>
  <c r="SEE18" i="10"/>
  <c r="SEU18" i="10"/>
  <c r="SFK18" i="10"/>
  <c r="SGA18" i="10"/>
  <c r="SGQ18" i="10"/>
  <c r="SHG18" i="10"/>
  <c r="SHW18" i="10"/>
  <c r="SIM18" i="10"/>
  <c r="SJC18" i="10"/>
  <c r="SJS18" i="10"/>
  <c r="SKI18" i="10"/>
  <c r="SKY18" i="10"/>
  <c r="SLO18" i="10"/>
  <c r="SME18" i="10"/>
  <c r="SMU18" i="10"/>
  <c r="SNK18" i="10"/>
  <c r="SOA18" i="10"/>
  <c r="SOQ18" i="10"/>
  <c r="SPG18" i="10"/>
  <c r="SPW18" i="10"/>
  <c r="SQM18" i="10"/>
  <c r="SRC18" i="10"/>
  <c r="SRS18" i="10"/>
  <c r="SSI18" i="10"/>
  <c r="SSY18" i="10"/>
  <c r="STO18" i="10"/>
  <c r="SUE18" i="10"/>
  <c r="SUU18" i="10"/>
  <c r="SVK18" i="10"/>
  <c r="SWA18" i="10"/>
  <c r="SWQ18" i="10"/>
  <c r="SXG18" i="10"/>
  <c r="SXW18" i="10"/>
  <c r="SYM18" i="10"/>
  <c r="SZC18" i="10"/>
  <c r="SZS18" i="10"/>
  <c r="TAI18" i="10"/>
  <c r="TAY18" i="10"/>
  <c r="TBO18" i="10"/>
  <c r="TCE18" i="10"/>
  <c r="TCU18" i="10"/>
  <c r="TDK18" i="10"/>
  <c r="TEA18" i="10"/>
  <c r="TEQ18" i="10"/>
  <c r="TFG18" i="10"/>
  <c r="TFW18" i="10"/>
  <c r="TGM18" i="10"/>
  <c r="THC18" i="10"/>
  <c r="THS18" i="10"/>
  <c r="TII18" i="10"/>
  <c r="TIY18" i="10"/>
  <c r="TJO18" i="10"/>
  <c r="TKE18" i="10"/>
  <c r="TKU18" i="10"/>
  <c r="TLK18" i="10"/>
  <c r="TMA18" i="10"/>
  <c r="TMQ18" i="10"/>
  <c r="TNG18" i="10"/>
  <c r="TNW18" i="10"/>
  <c r="TOM18" i="10"/>
  <c r="TPC18" i="10"/>
  <c r="TPS18" i="10"/>
  <c r="TQI18" i="10"/>
  <c r="TQY18" i="10"/>
  <c r="TRO18" i="10"/>
  <c r="TSE18" i="10"/>
  <c r="TSU18" i="10"/>
  <c r="TTK18" i="10"/>
  <c r="TUA18" i="10"/>
  <c r="TUQ18" i="10"/>
  <c r="TVG18" i="10"/>
  <c r="TVW18" i="10"/>
  <c r="TWM18" i="10"/>
  <c r="TXC18" i="10"/>
  <c r="TXS18" i="10"/>
  <c r="TYI18" i="10"/>
  <c r="TYY18" i="10"/>
  <c r="TZO18" i="10"/>
  <c r="UAE18" i="10"/>
  <c r="UAU18" i="10"/>
  <c r="UBK18" i="10"/>
  <c r="UCA18" i="10"/>
  <c r="UCQ18" i="10"/>
  <c r="UDG18" i="10"/>
  <c r="UDW18" i="10"/>
  <c r="UEM18" i="10"/>
  <c r="UFC18" i="10"/>
  <c r="UFS18" i="10"/>
  <c r="UGI18" i="10"/>
  <c r="UGY18" i="10"/>
  <c r="UHO18" i="10"/>
  <c r="UIE18" i="10"/>
  <c r="UIU18" i="10"/>
  <c r="UJK18" i="10"/>
  <c r="UKA18" i="10"/>
  <c r="UKQ18" i="10"/>
  <c r="ULG18" i="10"/>
  <c r="ULW18" i="10"/>
  <c r="UMM18" i="10"/>
  <c r="UNC18" i="10"/>
  <c r="UNS18" i="10"/>
  <c r="UOI18" i="10"/>
  <c r="UOY18" i="10"/>
  <c r="UPO18" i="10"/>
  <c r="UQE18" i="10"/>
  <c r="UQU18" i="10"/>
  <c r="URK18" i="10"/>
  <c r="USA18" i="10"/>
  <c r="USQ18" i="10"/>
  <c r="UTG18" i="10"/>
  <c r="OZ18" i="10"/>
  <c r="ZE18" i="10"/>
  <c r="AGZ18" i="10"/>
  <c r="AMI18" i="10"/>
  <c r="ARG18" i="10"/>
  <c r="VN18" i="10"/>
  <c r="AUJ18" i="10"/>
  <c r="BAY18" i="10"/>
  <c r="BHN18" i="10"/>
  <c r="BND18" i="10"/>
  <c r="BSB18" i="10"/>
  <c r="BWZ18" i="10"/>
  <c r="BZX18" i="10"/>
  <c r="CCJ18" i="10"/>
  <c r="CEV18" i="10"/>
  <c r="CHH18" i="10"/>
  <c r="AGP18" i="10"/>
  <c r="AWP18" i="10"/>
  <c r="BDD18" i="10"/>
  <c r="BJS18" i="10"/>
  <c r="BOU18" i="10"/>
  <c r="BTS18" i="10"/>
  <c r="BYG18" i="10"/>
  <c r="CAS18" i="10"/>
  <c r="CDE18" i="10"/>
  <c r="CFQ18" i="10"/>
  <c r="CIC18" i="10"/>
  <c r="ANP18" i="10"/>
  <c r="AYR18" i="10"/>
  <c r="BFG18" i="10"/>
  <c r="BLL18" i="10"/>
  <c r="BQJ18" i="10"/>
  <c r="BVH18" i="10"/>
  <c r="BZB18" i="10"/>
  <c r="CBN18" i="10"/>
  <c r="CDZ18" i="10"/>
  <c r="CGL18" i="10"/>
  <c r="AUB18" i="10"/>
  <c r="BSA18" i="10"/>
  <c r="CEU18" i="10"/>
  <c r="CJT18" i="10"/>
  <c r="CMF18" i="10"/>
  <c r="COR18" i="10"/>
  <c r="CRD18" i="10"/>
  <c r="CTP18" i="10"/>
  <c r="CWB18" i="10"/>
  <c r="CYN18" i="10"/>
  <c r="DAZ18" i="10"/>
  <c r="DDL18" i="10"/>
  <c r="DFX18" i="10"/>
  <c r="DIJ18" i="10"/>
  <c r="DKV18" i="10"/>
  <c r="DNH18" i="10"/>
  <c r="DPT18" i="10"/>
  <c r="DSF18" i="10"/>
  <c r="DUR18" i="10"/>
  <c r="DXD18" i="10"/>
  <c r="DZP18" i="10"/>
  <c r="MP18" i="10"/>
  <c r="BME18" i="10"/>
  <c r="CBW18" i="10"/>
  <c r="CJA18" i="10"/>
  <c r="CLM18" i="10"/>
  <c r="CNY18" i="10"/>
  <c r="CQK18" i="10"/>
  <c r="CSW18" i="10"/>
  <c r="CVI18" i="10"/>
  <c r="CXU18" i="10"/>
  <c r="DAG18" i="10"/>
  <c r="DCS18" i="10"/>
  <c r="DFE18" i="10"/>
  <c r="DHQ18" i="10"/>
  <c r="DKC18" i="10"/>
  <c r="DMO18" i="10"/>
  <c r="DPA18" i="10"/>
  <c r="DRM18" i="10"/>
  <c r="DTY18" i="10"/>
  <c r="DWK18" i="10"/>
  <c r="DYW18" i="10"/>
  <c r="EBI18" i="10"/>
  <c r="BJX18" i="10"/>
  <c r="CAU18" i="10"/>
  <c r="CIT18" i="10"/>
  <c r="CLF18" i="10"/>
  <c r="CNR18" i="10"/>
  <c r="CQD18" i="10"/>
  <c r="CSP18" i="10"/>
  <c r="CVB18" i="10"/>
  <c r="CXN18" i="10"/>
  <c r="CZZ18" i="10"/>
  <c r="DCL18" i="10"/>
  <c r="DEX18" i="10"/>
  <c r="DHJ18" i="10"/>
  <c r="DJV18" i="10"/>
  <c r="DMH18" i="10"/>
  <c r="DOT18" i="10"/>
  <c r="DRF18" i="10"/>
  <c r="DTR18" i="10"/>
  <c r="DWD18" i="10"/>
  <c r="DYP18" i="10"/>
  <c r="CKI18" i="10"/>
  <c r="CUE18" i="10"/>
  <c r="DEA18" i="10"/>
  <c r="DNW18" i="10"/>
  <c r="DXS18" i="10"/>
  <c r="ECM18" i="10"/>
  <c r="EEY18" i="10"/>
  <c r="EHK18" i="10"/>
  <c r="EJW18" i="10"/>
  <c r="EMI18" i="10"/>
  <c r="EOU18" i="10"/>
  <c r="ERG18" i="10"/>
  <c r="ETS18" i="10"/>
  <c r="EWE18" i="10"/>
  <c r="EYQ18" i="10"/>
  <c r="FBC18" i="10"/>
  <c r="FDO18" i="10"/>
  <c r="FGA18" i="10"/>
  <c r="FIM18" i="10"/>
  <c r="FKY18" i="10"/>
  <c r="BOA18" i="10"/>
  <c r="COE18" i="10"/>
  <c r="CYA18" i="10"/>
  <c r="DHW18" i="10"/>
  <c r="DRS18" i="10"/>
  <c r="EAE18" i="10"/>
  <c r="EDL18" i="10"/>
  <c r="EFX18" i="10"/>
  <c r="EIJ18" i="10"/>
  <c r="EKV18" i="10"/>
  <c r="ENH18" i="10"/>
  <c r="EPT18" i="10"/>
  <c r="ESF18" i="10"/>
  <c r="EUR18" i="10"/>
  <c r="EXD18" i="10"/>
  <c r="EZP18" i="10"/>
  <c r="FCB18" i="10"/>
  <c r="FEN18" i="10"/>
  <c r="FGZ18" i="10"/>
  <c r="FJL18" i="10"/>
  <c r="FLX18" i="10"/>
  <c r="FOJ18" i="10"/>
  <c r="CLG18" i="10"/>
  <c r="CVC18" i="10"/>
  <c r="DEY18" i="10"/>
  <c r="DOU18" i="10"/>
  <c r="DYQ18" i="10"/>
  <c r="ECS18" i="10"/>
  <c r="EFE18" i="10"/>
  <c r="EHQ18" i="10"/>
  <c r="EKC18" i="10"/>
  <c r="EMO18" i="10"/>
  <c r="EPA18" i="10"/>
  <c r="ERM18" i="10"/>
  <c r="ETY18" i="10"/>
  <c r="EWK18" i="10"/>
  <c r="EYW18" i="10"/>
  <c r="FBI18" i="10"/>
  <c r="FDU18" i="10"/>
  <c r="FGG18" i="10"/>
  <c r="FIS18" i="10"/>
  <c r="FLE18" i="10"/>
  <c r="FNQ18" i="10"/>
  <c r="DAU18" i="10"/>
  <c r="EED18" i="10"/>
  <c r="ENZ18" i="10"/>
  <c r="EXV18" i="10"/>
  <c r="FHR18" i="10"/>
  <c r="FOU18" i="10"/>
  <c r="FRG18" i="10"/>
  <c r="FTS18" i="10"/>
  <c r="FWE18" i="10"/>
  <c r="FYQ18" i="10"/>
  <c r="GBC18" i="10"/>
  <c r="GDO18" i="10"/>
  <c r="GGA18" i="10"/>
  <c r="GIM18" i="10"/>
  <c r="GKY18" i="10"/>
  <c r="GNK18" i="10"/>
  <c r="GPW18" i="10"/>
  <c r="GSI18" i="10"/>
  <c r="GUU18" i="10"/>
  <c r="GXG18" i="10"/>
  <c r="GZS18" i="10"/>
  <c r="HCE18" i="10"/>
  <c r="CRO18" i="10"/>
  <c r="EBU18" i="10"/>
  <c r="ELR18" i="10"/>
  <c r="EVN18" i="10"/>
  <c r="FFJ18" i="10"/>
  <c r="FNZ18" i="10"/>
  <c r="FQR18" i="10"/>
  <c r="FTD18" i="10"/>
  <c r="FVP18" i="10"/>
  <c r="FYB18" i="10"/>
  <c r="GAN18" i="10"/>
  <c r="GCZ18" i="10"/>
  <c r="GFL18" i="10"/>
  <c r="GHX18" i="10"/>
  <c r="GKJ18" i="10"/>
  <c r="GMV18" i="10"/>
  <c r="GPH18" i="10"/>
  <c r="GRT18" i="10"/>
  <c r="GUF18" i="10"/>
  <c r="GWR18" i="10"/>
  <c r="GZD18" i="10"/>
  <c r="HBP18" i="10"/>
  <c r="CPS18" i="10"/>
  <c r="EAY18" i="10"/>
  <c r="ELF18" i="10"/>
  <c r="EVB18" i="10"/>
  <c r="FEX18" i="10"/>
  <c r="FNS18" i="10"/>
  <c r="FQO18" i="10"/>
  <c r="FTA18" i="10"/>
  <c r="FVM18" i="10"/>
  <c r="FXY18" i="10"/>
  <c r="GAK18" i="10"/>
  <c r="GCW18" i="10"/>
  <c r="GFI18" i="10"/>
  <c r="GHU18" i="10"/>
  <c r="GKG18" i="10"/>
  <c r="GMS18" i="10"/>
  <c r="GPE18" i="10"/>
  <c r="GRQ18" i="10"/>
  <c r="GUC18" i="10"/>
  <c r="GWO18" i="10"/>
  <c r="GZA18" i="10"/>
  <c r="BLO18" i="10"/>
  <c r="FBZ18" i="10"/>
  <c r="FUT18" i="10"/>
  <c r="GEP18" i="10"/>
  <c r="GJN18" i="10"/>
  <c r="GOL18" i="10"/>
  <c r="GTJ18" i="10"/>
  <c r="GYH18" i="10"/>
  <c r="HCH18" i="10"/>
  <c r="HEC18" i="10"/>
  <c r="HFI18" i="10"/>
  <c r="HGO18" i="10"/>
  <c r="HHU18" i="10"/>
  <c r="HJA18" i="10"/>
  <c r="HKG18" i="10"/>
  <c r="HLM18" i="10"/>
  <c r="HMS18" i="10"/>
  <c r="HNY18" i="10"/>
  <c r="HPE18" i="10"/>
  <c r="HQK18" i="10"/>
  <c r="HRQ18" i="10"/>
  <c r="HSW18" i="10"/>
  <c r="HUC18" i="10"/>
  <c r="HVI18" i="10"/>
  <c r="HWO18" i="10"/>
  <c r="HXU18" i="10"/>
  <c r="HZA18" i="10"/>
  <c r="IAG18" i="10"/>
  <c r="IBM18" i="10"/>
  <c r="ICS18" i="10"/>
  <c r="IDY18" i="10"/>
  <c r="IFE18" i="10"/>
  <c r="IGK18" i="10"/>
  <c r="IHQ18" i="10"/>
  <c r="IIK18" i="10"/>
  <c r="IJI18" i="10"/>
  <c r="IKC18" i="10"/>
  <c r="IKW18" i="10"/>
  <c r="ILU18" i="10"/>
  <c r="IMO18" i="10"/>
  <c r="INI18" i="10"/>
  <c r="IOG18" i="10"/>
  <c r="IPA18" i="10"/>
  <c r="IPU18" i="10"/>
  <c r="IQS18" i="10"/>
  <c r="IRM18" i="10"/>
  <c r="ISG18" i="10"/>
  <c r="ITE18" i="10"/>
  <c r="ITY18" i="10"/>
  <c r="IUS18" i="10"/>
  <c r="IVQ18" i="10"/>
  <c r="IWK18" i="10"/>
  <c r="IXE18" i="10"/>
  <c r="IYC18" i="10"/>
  <c r="IYW18" i="10"/>
  <c r="IZQ18" i="10"/>
  <c r="JAO18" i="10"/>
  <c r="JBI18" i="10"/>
  <c r="JCC18" i="10"/>
  <c r="JDA18" i="10"/>
  <c r="JDU18" i="10"/>
  <c r="JEO18" i="10"/>
  <c r="CBO18" i="10"/>
  <c r="EBG18" i="10"/>
  <c r="ENV18" i="10"/>
  <c r="FCP18" i="10"/>
  <c r="FNV18" i="10"/>
  <c r="FRF18" i="10"/>
  <c r="FUX18" i="10"/>
  <c r="FXZ18" i="10"/>
  <c r="GBB18" i="10"/>
  <c r="GET18" i="10"/>
  <c r="GHV18" i="10"/>
  <c r="GKX18" i="10"/>
  <c r="GOP18" i="10"/>
  <c r="GRR18" i="10"/>
  <c r="GUT18" i="10"/>
  <c r="GYL18" i="10"/>
  <c r="HBM18" i="10"/>
  <c r="HDA18" i="10"/>
  <c r="HED18" i="10"/>
  <c r="HEX18" i="10"/>
  <c r="HFR18" i="10"/>
  <c r="HGP18" i="10"/>
  <c r="HHJ18" i="10"/>
  <c r="HID18" i="10"/>
  <c r="HJB18" i="10"/>
  <c r="HJV18" i="10"/>
  <c r="HKP18" i="10"/>
  <c r="HLN18" i="10"/>
  <c r="HMH18" i="10"/>
  <c r="HNB18" i="10"/>
  <c r="HNZ18" i="10"/>
  <c r="HOT18" i="10"/>
  <c r="HPN18" i="10"/>
  <c r="HQL18" i="10"/>
  <c r="HRF18" i="10"/>
  <c r="HRZ18" i="10"/>
  <c r="HSX18" i="10"/>
  <c r="HTR18" i="10"/>
  <c r="HUL18" i="10"/>
  <c r="HVJ18" i="10"/>
  <c r="HWD18" i="10"/>
  <c r="HWX18" i="10"/>
  <c r="HXV18" i="10"/>
  <c r="HYP18" i="10"/>
  <c r="HZJ18" i="10"/>
  <c r="IAH18" i="10"/>
  <c r="IBB18" i="10"/>
  <c r="IBV18" i="10"/>
  <c r="DWI18" i="10"/>
  <c r="ELZ18" i="10"/>
  <c r="EYH18" i="10"/>
  <c r="FMX18" i="10"/>
  <c r="FQT18" i="10"/>
  <c r="FTV18" i="10"/>
  <c r="FXN18" i="10"/>
  <c r="GAP18" i="10"/>
  <c r="GDR18" i="10"/>
  <c r="GHJ18" i="10"/>
  <c r="GKL18" i="10"/>
  <c r="GNN18" i="10"/>
  <c r="GRF18" i="10"/>
  <c r="GUH18" i="10"/>
  <c r="GXJ18" i="10"/>
  <c r="HBB18" i="10"/>
  <c r="HCT18" i="10"/>
  <c r="HDW18" i="10"/>
  <c r="HEU18" i="10"/>
  <c r="HFO18" i="10"/>
  <c r="HGI18" i="10"/>
  <c r="HHG18" i="10"/>
  <c r="HIA18" i="10"/>
  <c r="HIU18" i="10"/>
  <c r="HJS18" i="10"/>
  <c r="HKM18" i="10"/>
  <c r="HLG18" i="10"/>
  <c r="HME18" i="10"/>
  <c r="HMY18" i="10"/>
  <c r="HNS18" i="10"/>
  <c r="HOQ18" i="10"/>
  <c r="HPK18" i="10"/>
  <c r="DYU18" i="10"/>
  <c r="EPB18" i="10"/>
  <c r="FBJ18" i="10"/>
  <c r="FNF18" i="10"/>
  <c r="FRN18" i="10"/>
  <c r="FUP18" i="10"/>
  <c r="FXR18" i="10"/>
  <c r="GBJ18" i="10"/>
  <c r="GEL18" i="10"/>
  <c r="GHN18" i="10"/>
  <c r="GLF18" i="10"/>
  <c r="GOH18" i="10"/>
  <c r="GRJ18" i="10"/>
  <c r="GVB18" i="10"/>
  <c r="GYD18" i="10"/>
  <c r="HBF18" i="10"/>
  <c r="HFP18" i="10"/>
  <c r="HIR18" i="10"/>
  <c r="HLT18" i="10"/>
  <c r="HPL18" i="10"/>
  <c r="HQZ18" i="10"/>
  <c r="HSN18" i="10"/>
  <c r="HUJ18" i="10"/>
  <c r="HVX18" i="10"/>
  <c r="HXL18" i="10"/>
  <c r="HZH18" i="10"/>
  <c r="IAV18" i="10"/>
  <c r="ICH18" i="10"/>
  <c r="IDN18" i="10"/>
  <c r="IEN18" i="10"/>
  <c r="IFO18" i="10"/>
  <c r="IGU18" i="10"/>
  <c r="IHV18" i="10"/>
  <c r="IIV18" i="10"/>
  <c r="IKB18" i="10"/>
  <c r="ILC18" i="10"/>
  <c r="IMD18" i="10"/>
  <c r="INJ18" i="10"/>
  <c r="IOJ18" i="10"/>
  <c r="IPK18" i="10"/>
  <c r="IQQ18" i="10"/>
  <c r="IRR18" i="10"/>
  <c r="ISR18" i="10"/>
  <c r="ITX18" i="10"/>
  <c r="IUY18" i="10"/>
  <c r="IVZ18" i="10"/>
  <c r="IXF18" i="10"/>
  <c r="IYF18" i="10"/>
  <c r="HFD18" i="10"/>
  <c r="HIV18" i="10"/>
  <c r="HLX18" i="10"/>
  <c r="HOZ18" i="10"/>
  <c r="HRC18" i="10"/>
  <c r="HSQ18" i="10"/>
  <c r="HUE18" i="10"/>
  <c r="HWA18" i="10"/>
  <c r="HXO18" i="10"/>
  <c r="HZC18" i="10"/>
  <c r="IAY18" i="10"/>
  <c r="ICI18" i="10"/>
  <c r="IDJ18" i="10"/>
  <c r="IEP18" i="10"/>
  <c r="IFP18" i="10"/>
  <c r="IGQ18" i="10"/>
  <c r="IHW18" i="10"/>
  <c r="IIX18" i="10"/>
  <c r="IJX18" i="10"/>
  <c r="ILD18" i="10"/>
  <c r="IME18" i="10"/>
  <c r="INF18" i="10"/>
  <c r="IOL18" i="10"/>
  <c r="IPL18" i="10"/>
  <c r="IQM18" i="10"/>
  <c r="IRS18" i="10"/>
  <c r="IST18" i="10"/>
  <c r="ITT18" i="10"/>
  <c r="IUZ18" i="10"/>
  <c r="IWA18" i="10"/>
  <c r="IXB18" i="10"/>
  <c r="IYH18" i="10"/>
  <c r="HFH18" i="10"/>
  <c r="HIJ18" i="10"/>
  <c r="HMB18" i="10"/>
  <c r="HPD18" i="10"/>
  <c r="HQV18" i="10"/>
  <c r="HSR18" i="10"/>
  <c r="HUF18" i="10"/>
  <c r="HVT18" i="10"/>
  <c r="HXP18" i="10"/>
  <c r="HZD18" i="10"/>
  <c r="IAR18" i="10"/>
  <c r="ICJ18" i="10"/>
  <c r="IDK18" i="10"/>
  <c r="IEL18" i="10"/>
  <c r="IFR18" i="10"/>
  <c r="IGR18" i="10"/>
  <c r="IHS18" i="10"/>
  <c r="IIY18" i="10"/>
  <c r="IJZ18" i="10"/>
  <c r="IKZ18" i="10"/>
  <c r="IMF18" i="10"/>
  <c r="ING18" i="10"/>
  <c r="IOH18" i="10"/>
  <c r="IPN18" i="10"/>
  <c r="IQN18" i="10"/>
  <c r="IRO18" i="10"/>
  <c r="ISU18" i="10"/>
  <c r="ITV18" i="10"/>
  <c r="IUV18" i="10"/>
  <c r="IWB18" i="10"/>
  <c r="IXC18" i="10"/>
  <c r="IYD18" i="10"/>
  <c r="IZJ18" i="10"/>
  <c r="JAJ18" i="10"/>
  <c r="JBK18" i="10"/>
  <c r="JCQ18" i="10"/>
  <c r="JDR18" i="10"/>
  <c r="JER18" i="10"/>
  <c r="JFU18" i="10"/>
  <c r="JGO18" i="10"/>
  <c r="JHI18" i="10"/>
  <c r="JIG18" i="10"/>
  <c r="JJA18" i="10"/>
  <c r="JJU18" i="10"/>
  <c r="JKS18" i="10"/>
  <c r="HEF18" i="10"/>
  <c r="HHH18" i="10"/>
  <c r="HKZ18" i="10"/>
  <c r="HOB18" i="10"/>
  <c r="HQI18" i="10"/>
  <c r="HSE18" i="10"/>
  <c r="HTS18" i="10"/>
  <c r="HVG18" i="10"/>
  <c r="HXC18" i="10"/>
  <c r="HYQ18" i="10"/>
  <c r="IAE18" i="10"/>
  <c r="ICA18" i="10"/>
  <c r="IDB18" i="10"/>
  <c r="IEB18" i="10"/>
  <c r="IFH18" i="10"/>
  <c r="IGI18" i="10"/>
  <c r="IHJ18" i="10"/>
  <c r="IIP18" i="10"/>
  <c r="IJP18" i="10"/>
  <c r="IKQ18" i="10"/>
  <c r="ILW18" i="10"/>
  <c r="IMX18" i="10"/>
  <c r="INX18" i="10"/>
  <c r="IPD18" i="10"/>
  <c r="IQE18" i="10"/>
  <c r="IRF18" i="10"/>
  <c r="ISL18" i="10"/>
  <c r="ITL18" i="10"/>
  <c r="IUM18" i="10"/>
  <c r="IVS18" i="10"/>
  <c r="IWT18" i="10"/>
  <c r="IXT18" i="10"/>
  <c r="IZF18" i="10"/>
  <c r="JAN18" i="10"/>
  <c r="JBX18" i="10"/>
  <c r="JDO18" i="10"/>
  <c r="JEY18" i="10"/>
  <c r="JGB18" i="10"/>
  <c r="JHH18" i="10"/>
  <c r="JII18" i="10"/>
  <c r="JJJ18" i="10"/>
  <c r="JKP18" i="10"/>
  <c r="JLM18" i="10"/>
  <c r="JMG18" i="10"/>
  <c r="JNE18" i="10"/>
  <c r="JNY18" i="10"/>
  <c r="JOS18" i="10"/>
  <c r="JPQ18" i="10"/>
  <c r="JQK18" i="10"/>
  <c r="JRE18" i="10"/>
  <c r="JSC18" i="10"/>
  <c r="JSW18" i="10"/>
  <c r="JTQ18" i="10"/>
  <c r="JUO18" i="10"/>
  <c r="JVI18" i="10"/>
  <c r="JWC18" i="10"/>
  <c r="JXA18" i="10"/>
  <c r="JXU18" i="10"/>
  <c r="JYO18" i="10"/>
  <c r="JZM18" i="10"/>
  <c r="KAG18" i="10"/>
  <c r="KBA18" i="10"/>
  <c r="KBY18" i="10"/>
  <c r="KCS18" i="10"/>
  <c r="KDM18" i="10"/>
  <c r="KEK18" i="10"/>
  <c r="KFE18" i="10"/>
  <c r="KFY18" i="10"/>
  <c r="KGW18" i="10"/>
  <c r="KHQ18" i="10"/>
  <c r="KIK18" i="10"/>
  <c r="KJI18" i="10"/>
  <c r="KKC18" i="10"/>
  <c r="KKW18" i="10"/>
  <c r="KLU18" i="10"/>
  <c r="KMO18" i="10"/>
  <c r="KNI18" i="10"/>
  <c r="KOG18" i="10"/>
  <c r="KPA18" i="10"/>
  <c r="KPU18" i="10"/>
  <c r="KQS18" i="10"/>
  <c r="KRM18" i="10"/>
  <c r="KSG18" i="10"/>
  <c r="KTE18" i="10"/>
  <c r="KTY18" i="10"/>
  <c r="KUS18" i="10"/>
  <c r="KVQ18" i="10"/>
  <c r="KWK18" i="10"/>
  <c r="KXE18" i="10"/>
  <c r="KYC18" i="10"/>
  <c r="KYW18" i="10"/>
  <c r="KZQ18" i="10"/>
  <c r="LAO18" i="10"/>
  <c r="LBI18" i="10"/>
  <c r="LCC18" i="10"/>
  <c r="LDA18" i="10"/>
  <c r="LDU18" i="10"/>
  <c r="LEO18" i="10"/>
  <c r="LFM18" i="10"/>
  <c r="LGG18" i="10"/>
  <c r="LHA18" i="10"/>
  <c r="LHY18" i="10"/>
  <c r="IZN18" i="10"/>
  <c r="JAX18" i="10"/>
  <c r="JCN18" i="10"/>
  <c r="JDX18" i="10"/>
  <c r="JFG18" i="10"/>
  <c r="JGN18" i="10"/>
  <c r="JHO18" i="10"/>
  <c r="JIP18" i="10"/>
  <c r="JJV18" i="10"/>
  <c r="JKV18" i="10"/>
  <c r="JLR18" i="10"/>
  <c r="JMP18" i="10"/>
  <c r="JNJ18" i="10"/>
  <c r="JOD18" i="10"/>
  <c r="JPB18" i="10"/>
  <c r="JPV18" i="10"/>
  <c r="JQP18" i="10"/>
  <c r="JRN18" i="10"/>
  <c r="JSH18" i="10"/>
  <c r="JTB18" i="10"/>
  <c r="JTZ18" i="10"/>
  <c r="JUT18" i="10"/>
  <c r="JVN18" i="10"/>
  <c r="JWL18" i="10"/>
  <c r="JXF18" i="10"/>
  <c r="JXZ18" i="10"/>
  <c r="JYP18" i="10"/>
  <c r="JZF18" i="10"/>
  <c r="JZV18" i="10"/>
  <c r="KAL18" i="10"/>
  <c r="KBB18" i="10"/>
  <c r="KBR18" i="10"/>
  <c r="KCH18" i="10"/>
  <c r="KCX18" i="10"/>
  <c r="KDN18" i="10"/>
  <c r="KED18" i="10"/>
  <c r="KET18" i="10"/>
  <c r="KFJ18" i="10"/>
  <c r="KFZ18" i="10"/>
  <c r="KGP18" i="10"/>
  <c r="KHF18" i="10"/>
  <c r="KHV18" i="10"/>
  <c r="KIL18" i="10"/>
  <c r="KJB18" i="10"/>
  <c r="KJR18" i="10"/>
  <c r="KKH18" i="10"/>
  <c r="KKX18" i="10"/>
  <c r="KLN18" i="10"/>
  <c r="KMD18" i="10"/>
  <c r="KMT18" i="10"/>
  <c r="KNJ18" i="10"/>
  <c r="KNZ18" i="10"/>
  <c r="KOP18" i="10"/>
  <c r="KPF18" i="10"/>
  <c r="KPV18" i="10"/>
  <c r="KQL18" i="10"/>
  <c r="KRB18" i="10"/>
  <c r="KRR18" i="10"/>
  <c r="KSH18" i="10"/>
  <c r="KSX18" i="10"/>
  <c r="KTN18" i="10"/>
  <c r="KUD18" i="10"/>
  <c r="KUT18" i="10"/>
  <c r="KVJ18" i="10"/>
  <c r="KVZ18" i="10"/>
  <c r="KWP18" i="10"/>
  <c r="KXF18" i="10"/>
  <c r="KXV18" i="10"/>
  <c r="KYL18" i="10"/>
  <c r="KZB18" i="10"/>
  <c r="KZR18" i="10"/>
  <c r="LAH18" i="10"/>
  <c r="LAX18" i="10"/>
  <c r="LBN18" i="10"/>
  <c r="LCD18" i="10"/>
  <c r="LCT18" i="10"/>
  <c r="LDJ18" i="10"/>
  <c r="LDZ18" i="10"/>
  <c r="LEP18" i="10"/>
  <c r="LFF18" i="10"/>
  <c r="LFV18" i="10"/>
  <c r="LGL18" i="10"/>
  <c r="LHB18" i="10"/>
  <c r="LHR18" i="10"/>
  <c r="LIH18" i="10"/>
  <c r="LIX18" i="10"/>
  <c r="LJN18" i="10"/>
  <c r="LKD18" i="10"/>
  <c r="LKT18" i="10"/>
  <c r="LLJ18" i="10"/>
  <c r="LLZ18" i="10"/>
  <c r="LMP18" i="10"/>
  <c r="LNF18" i="10"/>
  <c r="LNV18" i="10"/>
  <c r="LOL18" i="10"/>
  <c r="LPB18" i="10"/>
  <c r="LPR18" i="10"/>
  <c r="LQH18" i="10"/>
  <c r="LQX18" i="10"/>
  <c r="LRN18" i="10"/>
  <c r="LSD18" i="10"/>
  <c r="LST18" i="10"/>
  <c r="LTJ18" i="10"/>
  <c r="LTZ18" i="10"/>
  <c r="LUP18" i="10"/>
  <c r="LVF18" i="10"/>
  <c r="LVV18" i="10"/>
  <c r="LWL18" i="10"/>
  <c r="LXB18" i="10"/>
  <c r="LXR18" i="10"/>
  <c r="IZH18" i="10"/>
  <c r="JAL18" i="10"/>
  <c r="JBN18" i="10"/>
  <c r="JCP18" i="10"/>
  <c r="JDS18" i="10"/>
  <c r="JEU18" i="10"/>
  <c r="JFT18" i="10"/>
  <c r="JGP18" i="10"/>
  <c r="JHK18" i="10"/>
  <c r="JIF18" i="10"/>
  <c r="JJB18" i="10"/>
  <c r="JJW18" i="10"/>
  <c r="JKR18" i="10"/>
  <c r="JLK18" i="10"/>
  <c r="JMA18" i="10"/>
  <c r="JMQ18" i="10"/>
  <c r="JNG18" i="10"/>
  <c r="JNW18" i="10"/>
  <c r="JOM18" i="10"/>
  <c r="JPC18" i="10"/>
  <c r="JPS18" i="10"/>
  <c r="JQI18" i="10"/>
  <c r="JQY18" i="10"/>
  <c r="JRO18" i="10"/>
  <c r="JSE18" i="10"/>
  <c r="JSU18" i="10"/>
  <c r="JTK18" i="10"/>
  <c r="JUA18" i="10"/>
  <c r="JUQ18" i="10"/>
  <c r="JVG18" i="10"/>
  <c r="JVW18" i="10"/>
  <c r="JWM18" i="10"/>
  <c r="JXC18" i="10"/>
  <c r="JXS18" i="10"/>
  <c r="JYI18" i="10"/>
  <c r="JYY18" i="10"/>
  <c r="JZO18" i="10"/>
  <c r="KAE18" i="10"/>
  <c r="KAU18" i="10"/>
  <c r="KBK18" i="10"/>
  <c r="KCA18" i="10"/>
  <c r="KCQ18" i="10"/>
  <c r="KDG18" i="10"/>
  <c r="KDW18" i="10"/>
  <c r="KEM18" i="10"/>
  <c r="KFC18" i="10"/>
  <c r="KFS18" i="10"/>
  <c r="KGI18" i="10"/>
  <c r="KGY18" i="10"/>
  <c r="KHO18" i="10"/>
  <c r="KIE18" i="10"/>
  <c r="KIU18" i="10"/>
  <c r="KJK18" i="10"/>
  <c r="KKA18" i="10"/>
  <c r="KKQ18" i="10"/>
  <c r="KLG18" i="10"/>
  <c r="KLW18" i="10"/>
  <c r="KMM18" i="10"/>
  <c r="KNC18" i="10"/>
  <c r="KNS18" i="10"/>
  <c r="KOI18" i="10"/>
  <c r="KOY18" i="10"/>
  <c r="KPO18" i="10"/>
  <c r="KQE18" i="10"/>
  <c r="KQU18" i="10"/>
  <c r="KRK18" i="10"/>
  <c r="KSA18" i="10"/>
  <c r="KSQ18" i="10"/>
  <c r="KTG18" i="10"/>
  <c r="KTW18" i="10"/>
  <c r="KUM18" i="10"/>
  <c r="KVC18" i="10"/>
  <c r="KVS18" i="10"/>
  <c r="KWI18" i="10"/>
  <c r="KWY18" i="10"/>
  <c r="KXO18" i="10"/>
  <c r="KYE18" i="10"/>
  <c r="KYU18" i="10"/>
  <c r="KZK18" i="10"/>
  <c r="LAA18" i="10"/>
  <c r="LAQ18" i="10"/>
  <c r="LBG18" i="10"/>
  <c r="LBW18" i="10"/>
  <c r="LCM18" i="10"/>
  <c r="LDC18" i="10"/>
  <c r="LDS18" i="10"/>
  <c r="LEI18" i="10"/>
  <c r="LEY18" i="10"/>
  <c r="LFO18" i="10"/>
  <c r="LGE18" i="10"/>
  <c r="LGU18" i="10"/>
  <c r="LHK18" i="10"/>
  <c r="LIA18" i="10"/>
  <c r="LIQ18" i="10"/>
  <c r="LJG18" i="10"/>
  <c r="LJW18" i="10"/>
  <c r="LKM18" i="10"/>
  <c r="LLC18" i="10"/>
  <c r="LLS18" i="10"/>
  <c r="LMI18" i="10"/>
  <c r="LMY18" i="10"/>
  <c r="LNO18" i="10"/>
  <c r="LOE18" i="10"/>
  <c r="LOU18" i="10"/>
  <c r="LPK18" i="10"/>
  <c r="LQA18" i="10"/>
  <c r="LQQ18" i="10"/>
  <c r="LRG18" i="10"/>
  <c r="LRW18" i="10"/>
  <c r="LSM18" i="10"/>
  <c r="LTC18" i="10"/>
  <c r="LTS18" i="10"/>
  <c r="LUI18" i="10"/>
  <c r="LUY18" i="10"/>
  <c r="LVO18" i="10"/>
  <c r="LWE18" i="10"/>
  <c r="LWU18" i="10"/>
  <c r="LXK18" i="10"/>
  <c r="LYA18" i="10"/>
  <c r="LYQ18" i="10"/>
  <c r="LZG18" i="10"/>
  <c r="LZW18" i="10"/>
  <c r="MAM18" i="10"/>
  <c r="MBC18" i="10"/>
  <c r="MBS18" i="10"/>
  <c r="MCI18" i="10"/>
  <c r="MCY18" i="10"/>
  <c r="MDO18" i="10"/>
  <c r="MEE18" i="10"/>
  <c r="MEU18" i="10"/>
  <c r="MFK18" i="10"/>
  <c r="MGA18" i="10"/>
  <c r="MGQ18" i="10"/>
  <c r="MHG18" i="10"/>
  <c r="MHW18" i="10"/>
  <c r="MIM18" i="10"/>
  <c r="MJC18" i="10"/>
  <c r="MJS18" i="10"/>
  <c r="MKI18" i="10"/>
  <c r="MKY18" i="10"/>
  <c r="MLO18" i="10"/>
  <c r="MME18" i="10"/>
  <c r="MMU18" i="10"/>
  <c r="MNK18" i="10"/>
  <c r="MOA18" i="10"/>
  <c r="MOQ18" i="10"/>
  <c r="MPG18" i="10"/>
  <c r="MPW18" i="10"/>
  <c r="MQM18" i="10"/>
  <c r="MRC18" i="10"/>
  <c r="MRS18" i="10"/>
  <c r="MSI18" i="10"/>
  <c r="MSY18" i="10"/>
  <c r="MTO18" i="10"/>
  <c r="MUE18" i="10"/>
  <c r="MUU18" i="10"/>
  <c r="MVK18" i="10"/>
  <c r="MWA18" i="10"/>
  <c r="MWQ18" i="10"/>
  <c r="MXG18" i="10"/>
  <c r="MXW18" i="10"/>
  <c r="MYM18" i="10"/>
  <c r="MZC18" i="10"/>
  <c r="MZS18" i="10"/>
  <c r="NAI18" i="10"/>
  <c r="NAY18" i="10"/>
  <c r="NBO18" i="10"/>
  <c r="NCE18" i="10"/>
  <c r="NCU18" i="10"/>
  <c r="NDK18" i="10"/>
  <c r="IYV18" i="10"/>
  <c r="IZX18" i="10"/>
  <c r="JBB18" i="10"/>
  <c r="JCD18" i="10"/>
  <c r="JDF18" i="10"/>
  <c r="JEI18" i="10"/>
  <c r="JFK18" i="10"/>
  <c r="JGF18" i="10"/>
  <c r="JHB18" i="10"/>
  <c r="JHW18" i="10"/>
  <c r="JIR18" i="10"/>
  <c r="JJN18" i="10"/>
  <c r="JKI18" i="10"/>
  <c r="JLD18" i="10"/>
  <c r="JLT18" i="10"/>
  <c r="JMJ18" i="10"/>
  <c r="JMZ18" i="10"/>
  <c r="JNP18" i="10"/>
  <c r="JOF18" i="10"/>
  <c r="JOV18" i="10"/>
  <c r="JPL18" i="10"/>
  <c r="JQB18" i="10"/>
  <c r="JQR18" i="10"/>
  <c r="JRH18" i="10"/>
  <c r="JRX18" i="10"/>
  <c r="JSN18" i="10"/>
  <c r="JTD18" i="10"/>
  <c r="JTT18" i="10"/>
  <c r="JUJ18" i="10"/>
  <c r="JUZ18" i="10"/>
  <c r="JVP18" i="10"/>
  <c r="JWF18" i="10"/>
  <c r="JWV18" i="10"/>
  <c r="JXL18" i="10"/>
  <c r="JYB18" i="10"/>
  <c r="JYR18" i="10"/>
  <c r="JZH18" i="10"/>
  <c r="JZX18" i="10"/>
  <c r="KAN18" i="10"/>
  <c r="KBD18" i="10"/>
  <c r="KBT18" i="10"/>
  <c r="KCJ18" i="10"/>
  <c r="KCZ18" i="10"/>
  <c r="KDP18" i="10"/>
  <c r="KEF18" i="10"/>
  <c r="KEV18" i="10"/>
  <c r="KFL18" i="10"/>
  <c r="KGB18" i="10"/>
  <c r="KGR18" i="10"/>
  <c r="KHH18" i="10"/>
  <c r="KHX18" i="10"/>
  <c r="KIN18" i="10"/>
  <c r="KJD18" i="10"/>
  <c r="KJT18" i="10"/>
  <c r="KKJ18" i="10"/>
  <c r="KKZ18" i="10"/>
  <c r="KLP18" i="10"/>
  <c r="KMF18" i="10"/>
  <c r="KMV18" i="10"/>
  <c r="KNL18" i="10"/>
  <c r="KOB18" i="10"/>
  <c r="KOR18" i="10"/>
  <c r="KPH18" i="10"/>
  <c r="KPX18" i="10"/>
  <c r="KQN18" i="10"/>
  <c r="KRD18" i="10"/>
  <c r="KRT18" i="10"/>
  <c r="KSJ18" i="10"/>
  <c r="KSZ18" i="10"/>
  <c r="KTP18" i="10"/>
  <c r="KUF18" i="10"/>
  <c r="KUV18" i="10"/>
  <c r="KVL18" i="10"/>
  <c r="KWB18" i="10"/>
  <c r="KWR18" i="10"/>
  <c r="KXH18" i="10"/>
  <c r="KXX18" i="10"/>
  <c r="KZL18" i="10"/>
  <c r="LBX18" i="10"/>
  <c r="LEJ18" i="10"/>
  <c r="LGV18" i="10"/>
  <c r="LIR18" i="10"/>
  <c r="LJX18" i="10"/>
  <c r="LLD18" i="10"/>
  <c r="LMJ18" i="10"/>
  <c r="LNP18" i="10"/>
  <c r="LOV18" i="10"/>
  <c r="LQB18" i="10"/>
  <c r="LRH18" i="10"/>
  <c r="LSN18" i="10"/>
  <c r="LTT18" i="10"/>
  <c r="LUZ18" i="10"/>
  <c r="LWF18" i="10"/>
  <c r="LXL18" i="10"/>
  <c r="LYJ18" i="10"/>
  <c r="LZE18" i="10"/>
  <c r="LZZ18" i="10"/>
  <c r="MAV18" i="10"/>
  <c r="MBQ18" i="10"/>
  <c r="MCL18" i="10"/>
  <c r="MDH18" i="10"/>
  <c r="MEC18" i="10"/>
  <c r="MEX18" i="10"/>
  <c r="MFT18" i="10"/>
  <c r="MGO18" i="10"/>
  <c r="MHJ18" i="10"/>
  <c r="MIF18" i="10"/>
  <c r="MJA18" i="10"/>
  <c r="MJV18" i="10"/>
  <c r="MKR18" i="10"/>
  <c r="MLM18" i="10"/>
  <c r="MMH18" i="10"/>
  <c r="MND18" i="10"/>
  <c r="MNY18" i="10"/>
  <c r="MOT18" i="10"/>
  <c r="MPP18" i="10"/>
  <c r="MQK18" i="10"/>
  <c r="MRF18" i="10"/>
  <c r="MSB18" i="10"/>
  <c r="MSW18" i="10"/>
  <c r="MTR18" i="10"/>
  <c r="MUN18" i="10"/>
  <c r="MVI18" i="10"/>
  <c r="MWD18" i="10"/>
  <c r="MWZ18" i="10"/>
  <c r="MXU18" i="10"/>
  <c r="MYP18" i="10"/>
  <c r="MZL18" i="10"/>
  <c r="NAG18" i="10"/>
  <c r="NBB18" i="10"/>
  <c r="KYJ18" i="10"/>
  <c r="LAV18" i="10"/>
  <c r="LDH18" i="10"/>
  <c r="LFT18" i="10"/>
  <c r="LIC18" i="10"/>
  <c r="LJI18" i="10"/>
  <c r="LKO18" i="10"/>
  <c r="LLU18" i="10"/>
  <c r="LNA18" i="10"/>
  <c r="LOG18" i="10"/>
  <c r="LPM18" i="10"/>
  <c r="LQS18" i="10"/>
  <c r="LRY18" i="10"/>
  <c r="LTE18" i="10"/>
  <c r="LUK18" i="10"/>
  <c r="LVQ18" i="10"/>
  <c r="LWW18" i="10"/>
  <c r="LXZ18" i="10"/>
  <c r="LYV18" i="10"/>
  <c r="LZQ18" i="10"/>
  <c r="MAL18" i="10"/>
  <c r="MBH18" i="10"/>
  <c r="MCC18" i="10"/>
  <c r="MCX18" i="10"/>
  <c r="MDT18" i="10"/>
  <c r="MEO18" i="10"/>
  <c r="MFJ18" i="10"/>
  <c r="MGF18" i="10"/>
  <c r="MHA18" i="10"/>
  <c r="MHV18" i="10"/>
  <c r="MIR18" i="10"/>
  <c r="MJM18" i="10"/>
  <c r="MKH18" i="10"/>
  <c r="MLD18" i="10"/>
  <c r="MLY18" i="10"/>
  <c r="MMT18" i="10"/>
  <c r="MNP18" i="10"/>
  <c r="MOK18" i="10"/>
  <c r="MPF18" i="10"/>
  <c r="MQB18" i="10"/>
  <c r="MQW18" i="10"/>
  <c r="MRR18" i="10"/>
  <c r="MSN18" i="10"/>
  <c r="MTI18" i="10"/>
  <c r="MUD18" i="10"/>
  <c r="MUZ18" i="10"/>
  <c r="MVU18" i="10"/>
  <c r="MWP18" i="10"/>
  <c r="MXL18" i="10"/>
  <c r="MYG18" i="10"/>
  <c r="MZB18" i="10"/>
  <c r="MZX18" i="10"/>
  <c r="NAS18" i="10"/>
  <c r="NBN18" i="10"/>
  <c r="NCJ18" i="10"/>
  <c r="NDE18" i="10"/>
  <c r="NDY18" i="10"/>
  <c r="NEO18" i="10"/>
  <c r="NFE18" i="10"/>
  <c r="NFU18" i="10"/>
  <c r="NGK18" i="10"/>
  <c r="NHA18" i="10"/>
  <c r="NHQ18" i="10"/>
  <c r="NIG18" i="10"/>
  <c r="NIW18" i="10"/>
  <c r="NJM18" i="10"/>
  <c r="NKC18" i="10"/>
  <c r="NKS18" i="10"/>
  <c r="NLI18" i="10"/>
  <c r="NLY18" i="10"/>
  <c r="NMO18" i="10"/>
  <c r="NNE18" i="10"/>
  <c r="NNU18" i="10"/>
  <c r="NOK18" i="10"/>
  <c r="NPA18" i="10"/>
  <c r="NPQ18" i="10"/>
  <c r="NQG18" i="10"/>
  <c r="NQW18" i="10"/>
  <c r="NRM18" i="10"/>
  <c r="NSC18" i="10"/>
  <c r="NSS18" i="10"/>
  <c r="NTI18" i="10"/>
  <c r="NTY18" i="10"/>
  <c r="NUO18" i="10"/>
  <c r="NVE18" i="10"/>
  <c r="NVU18" i="10"/>
  <c r="NWK18" i="10"/>
  <c r="NXA18" i="10"/>
  <c r="NXQ18" i="10"/>
  <c r="NYG18" i="10"/>
  <c r="NYW18" i="10"/>
  <c r="NZM18" i="10"/>
  <c r="OAC18" i="10"/>
  <c r="OAS18" i="10"/>
  <c r="OBI18" i="10"/>
  <c r="OBY18" i="10"/>
  <c r="OCO18" i="10"/>
  <c r="ODE18" i="10"/>
  <c r="ODU18" i="10"/>
  <c r="OEK18" i="10"/>
  <c r="OFA18" i="10"/>
  <c r="OFQ18" i="10"/>
  <c r="OGG18" i="10"/>
  <c r="OGW18" i="10"/>
  <c r="OHM18" i="10"/>
  <c r="OIC18" i="10"/>
  <c r="OIS18" i="10"/>
  <c r="OJI18" i="10"/>
  <c r="OJY18" i="10"/>
  <c r="OKO18" i="10"/>
  <c r="OLE18" i="10"/>
  <c r="OLU18" i="10"/>
  <c r="OMK18" i="10"/>
  <c r="ONA18" i="10"/>
  <c r="ONQ18" i="10"/>
  <c r="OOG18" i="10"/>
  <c r="OOW18" i="10"/>
  <c r="OPM18" i="10"/>
  <c r="OQC18" i="10"/>
  <c r="OQS18" i="10"/>
  <c r="ORI18" i="10"/>
  <c r="ORY18" i="10"/>
  <c r="OSO18" i="10"/>
  <c r="OTE18" i="10"/>
  <c r="OTU18" i="10"/>
  <c r="OUK18" i="10"/>
  <c r="OVA18" i="10"/>
  <c r="OVQ18" i="10"/>
  <c r="OWG18" i="10"/>
  <c r="OWW18" i="10"/>
  <c r="OXM18" i="10"/>
  <c r="OYC18" i="10"/>
  <c r="OYS18" i="10"/>
  <c r="OZI18" i="10"/>
  <c r="OZY18" i="10"/>
  <c r="PAO18" i="10"/>
  <c r="PBE18" i="10"/>
  <c r="PBU18" i="10"/>
  <c r="PCK18" i="10"/>
  <c r="PDA18" i="10"/>
  <c r="PDQ18" i="10"/>
  <c r="PEG18" i="10"/>
  <c r="PEW18" i="10"/>
  <c r="PFM18" i="10"/>
  <c r="PGC18" i="10"/>
  <c r="PGS18" i="10"/>
  <c r="PHI18" i="10"/>
  <c r="PHY18" i="10"/>
  <c r="PIO18" i="10"/>
  <c r="PJE18" i="10"/>
  <c r="PJU18" i="10"/>
  <c r="PKK18" i="10"/>
  <c r="PLA18" i="10"/>
  <c r="PLQ18" i="10"/>
  <c r="PMG18" i="10"/>
  <c r="PMW18" i="10"/>
  <c r="PNM18" i="10"/>
  <c r="POC18" i="10"/>
  <c r="POS18" i="10"/>
  <c r="PPI18" i="10"/>
  <c r="PPY18" i="10"/>
  <c r="PQO18" i="10"/>
  <c r="PRE18" i="10"/>
  <c r="PRU18" i="10"/>
  <c r="PSK18" i="10"/>
  <c r="PTA18" i="10"/>
  <c r="PTQ18" i="10"/>
  <c r="PUG18" i="10"/>
  <c r="PUW18" i="10"/>
  <c r="PVM18" i="10"/>
  <c r="PWC18" i="10"/>
  <c r="KZT18" i="10"/>
  <c r="LCF18" i="10"/>
  <c r="LER18" i="10"/>
  <c r="LHD18" i="10"/>
  <c r="LIV18" i="10"/>
  <c r="LKB18" i="10"/>
  <c r="LLH18" i="10"/>
  <c r="LMN18" i="10"/>
  <c r="LNT18" i="10"/>
  <c r="LOZ18" i="10"/>
  <c r="LQF18" i="10"/>
  <c r="LRL18" i="10"/>
  <c r="LSR18" i="10"/>
  <c r="LTX18" i="10"/>
  <c r="LVD18" i="10"/>
  <c r="LWJ18" i="10"/>
  <c r="LXP18" i="10"/>
  <c r="LYL18" i="10"/>
  <c r="LZH18" i="10"/>
  <c r="MAC18" i="10"/>
  <c r="MAX18" i="10"/>
  <c r="MBT18" i="10"/>
  <c r="MCO18" i="10"/>
  <c r="MDJ18" i="10"/>
  <c r="MEF18" i="10"/>
  <c r="MFA18" i="10"/>
  <c r="MFV18" i="10"/>
  <c r="MGR18" i="10"/>
  <c r="MHM18" i="10"/>
  <c r="MIH18" i="10"/>
  <c r="MJD18" i="10"/>
  <c r="MJY18" i="10"/>
  <c r="MKT18" i="10"/>
  <c r="MLP18" i="10"/>
  <c r="MMK18" i="10"/>
  <c r="MNF18" i="10"/>
  <c r="MOB18" i="10"/>
  <c r="MOW18" i="10"/>
  <c r="MPR18" i="10"/>
  <c r="MQN18" i="10"/>
  <c r="MRI18" i="10"/>
  <c r="MSD18" i="10"/>
  <c r="MSZ18" i="10"/>
  <c r="MTU18" i="10"/>
  <c r="MUP18" i="10"/>
  <c r="MVL18" i="10"/>
  <c r="MWG18" i="10"/>
  <c r="MXB18" i="10"/>
  <c r="MXX18" i="10"/>
  <c r="MYS18" i="10"/>
  <c r="MZN18" i="10"/>
  <c r="NAJ18" i="10"/>
  <c r="NBE18" i="10"/>
  <c r="NBZ18" i="10"/>
  <c r="NCV18" i="10"/>
  <c r="NDQ18" i="10"/>
  <c r="NEH18" i="10"/>
  <c r="NEX18" i="10"/>
  <c r="NFN18" i="10"/>
  <c r="NGD18" i="10"/>
  <c r="NGT18" i="10"/>
  <c r="NHJ18" i="10"/>
  <c r="NHZ18" i="10"/>
  <c r="NIP18" i="10"/>
  <c r="NJF18" i="10"/>
  <c r="NJV18" i="10"/>
  <c r="NKL18" i="10"/>
  <c r="NLB18" i="10"/>
  <c r="NLR18" i="10"/>
  <c r="NMH18" i="10"/>
  <c r="NMX18" i="10"/>
  <c r="NNN18" i="10"/>
  <c r="NOD18" i="10"/>
  <c r="NOT18" i="10"/>
  <c r="NPJ18" i="10"/>
  <c r="NPZ18" i="10"/>
  <c r="NQP18" i="10"/>
  <c r="NRF18" i="10"/>
  <c r="NRV18" i="10"/>
  <c r="NSL18" i="10"/>
  <c r="NTB18" i="10"/>
  <c r="NTR18" i="10"/>
  <c r="NUH18" i="10"/>
  <c r="NUX18" i="10"/>
  <c r="NVN18" i="10"/>
  <c r="NWD18" i="10"/>
  <c r="NWT18" i="10"/>
  <c r="NXJ18" i="10"/>
  <c r="NXZ18" i="10"/>
  <c r="NYP18" i="10"/>
  <c r="NZF18" i="10"/>
  <c r="NZV18" i="10"/>
  <c r="OAL18" i="10"/>
  <c r="OBB18" i="10"/>
  <c r="OBR18" i="10"/>
  <c r="OCH18" i="10"/>
  <c r="OCX18" i="10"/>
  <c r="ODN18" i="10"/>
  <c r="OED18" i="10"/>
  <c r="OET18" i="10"/>
  <c r="OFJ18" i="10"/>
  <c r="OFZ18" i="10"/>
  <c r="OGP18" i="10"/>
  <c r="OHF18" i="10"/>
  <c r="OHV18" i="10"/>
  <c r="OIL18" i="10"/>
  <c r="OJB18" i="10"/>
  <c r="OJR18" i="10"/>
  <c r="OKH18" i="10"/>
  <c r="OKX18" i="10"/>
  <c r="OLN18" i="10"/>
  <c r="OMD18" i="10"/>
  <c r="OMT18" i="10"/>
  <c r="KZX18" i="10"/>
  <c r="LCJ18" i="10"/>
  <c r="LEV18" i="10"/>
  <c r="LHH18" i="10"/>
  <c r="LIW18" i="10"/>
  <c r="LKC18" i="10"/>
  <c r="LLI18" i="10"/>
  <c r="LMO18" i="10"/>
  <c r="LNU18" i="10"/>
  <c r="LPA18" i="10"/>
  <c r="LQG18" i="10"/>
  <c r="LRM18" i="10"/>
  <c r="LSS18" i="10"/>
  <c r="LTY18" i="10"/>
  <c r="LVE18" i="10"/>
  <c r="LWK18" i="10"/>
  <c r="LXQ18" i="10"/>
  <c r="LYN18" i="10"/>
  <c r="LZI18" i="10"/>
  <c r="MAD18" i="10"/>
  <c r="MAZ18" i="10"/>
  <c r="MBU18" i="10"/>
  <c r="MCP18" i="10"/>
  <c r="MDL18" i="10"/>
  <c r="MEG18" i="10"/>
  <c r="MFB18" i="10"/>
  <c r="MFX18" i="10"/>
  <c r="MGS18" i="10"/>
  <c r="MHN18" i="10"/>
  <c r="MIJ18" i="10"/>
  <c r="MJE18" i="10"/>
  <c r="MJZ18" i="10"/>
  <c r="MKV18" i="10"/>
  <c r="MLQ18" i="10"/>
  <c r="MML18" i="10"/>
  <c r="MNH18" i="10"/>
  <c r="MOC18" i="10"/>
  <c r="MOX18" i="10"/>
  <c r="MPT18" i="10"/>
  <c r="MQO18" i="10"/>
  <c r="MRJ18" i="10"/>
  <c r="MUR18" i="10"/>
  <c r="MXY18" i="10"/>
  <c r="NBF18" i="10"/>
  <c r="NDD18" i="10"/>
  <c r="NEN18" i="10"/>
  <c r="NFT18" i="10"/>
  <c r="NGZ18" i="10"/>
  <c r="NIF18" i="10"/>
  <c r="NJL18" i="10"/>
  <c r="NKR18" i="10"/>
  <c r="NLX18" i="10"/>
  <c r="NND18" i="10"/>
  <c r="NOJ18" i="10"/>
  <c r="NPP18" i="10"/>
  <c r="NQV18" i="10"/>
  <c r="NSB18" i="10"/>
  <c r="NTH18" i="10"/>
  <c r="NUN18" i="10"/>
  <c r="NVT18" i="10"/>
  <c r="NWZ18" i="10"/>
  <c r="NYF18" i="10"/>
  <c r="NZL18" i="10"/>
  <c r="OAR18" i="10"/>
  <c r="OBX18" i="10"/>
  <c r="ODD18" i="10"/>
  <c r="OEJ18" i="10"/>
  <c r="OFP18" i="10"/>
  <c r="OGV18" i="10"/>
  <c r="OIB18" i="10"/>
  <c r="OJH18" i="10"/>
  <c r="OKN18" i="10"/>
  <c r="OLT18" i="10"/>
  <c r="OMZ18" i="10"/>
  <c r="KWZ18" i="10"/>
  <c r="LDD18" i="10"/>
  <c r="LKN18" i="10"/>
  <c r="LPL18" i="10"/>
  <c r="LUJ18" i="10"/>
  <c r="LYT18" i="10"/>
  <c r="MCB18" i="10"/>
  <c r="MFI18" i="10"/>
  <c r="MIP18" i="10"/>
  <c r="MLX18" i="10"/>
  <c r="MPE18" i="10"/>
  <c r="MSL18" i="10"/>
  <c r="MVT18" i="10"/>
  <c r="MZA18" i="10"/>
  <c r="KZP18" i="10"/>
  <c r="LIS18" i="10"/>
  <c r="LNQ18" i="10"/>
  <c r="LSO18" i="10"/>
  <c r="LXM18" i="10"/>
  <c r="MAW18" i="10"/>
  <c r="MED18" i="10"/>
  <c r="MHL18" i="10"/>
  <c r="MKS18" i="10"/>
  <c r="MNZ18" i="10"/>
  <c r="MRH18" i="10"/>
  <c r="MUO18" i="10"/>
  <c r="MXV18" i="10"/>
  <c r="NBD18" i="10"/>
  <c r="NEG18" i="10"/>
  <c r="NGS18" i="10"/>
  <c r="NJE18" i="10"/>
  <c r="NLQ18" i="10"/>
  <c r="NOC18" i="10"/>
  <c r="NQO18" i="10"/>
  <c r="NTA18" i="10"/>
  <c r="NVM18" i="10"/>
  <c r="NXY18" i="10"/>
  <c r="OAK18" i="10"/>
  <c r="OCW18" i="10"/>
  <c r="OFI18" i="10"/>
  <c r="OHU18" i="10"/>
  <c r="OKG18" i="10"/>
  <c r="OMS18" i="10"/>
  <c r="OPE18" i="10"/>
  <c r="ORQ18" i="10"/>
  <c r="OUC18" i="10"/>
  <c r="OWO18" i="10"/>
  <c r="OZA18" i="10"/>
  <c r="PBM18" i="10"/>
  <c r="PDY18" i="10"/>
  <c r="PGK18" i="10"/>
  <c r="PIW18" i="10"/>
  <c r="PLI18" i="10"/>
  <c r="PNU18" i="10"/>
  <c r="PQG18" i="10"/>
  <c r="PSS18" i="10"/>
  <c r="PVE18" i="10"/>
  <c r="LDL18" i="10"/>
  <c r="LKR18" i="10"/>
  <c r="LPP18" i="10"/>
  <c r="LUN18" i="10"/>
  <c r="LYW18" i="10"/>
  <c r="MCD18" i="10"/>
  <c r="MFL18" i="10"/>
  <c r="MIS18" i="10"/>
  <c r="MLZ18" i="10"/>
  <c r="MPH18" i="10"/>
  <c r="MSO18" i="10"/>
  <c r="MVV18" i="10"/>
  <c r="MZD18" i="10"/>
  <c r="NCK18" i="10"/>
  <c r="NFF18" i="10"/>
  <c r="NHR18" i="10"/>
  <c r="NKD18" i="10"/>
  <c r="NMP18" i="10"/>
  <c r="NPB18" i="10"/>
  <c r="NRN18" i="10"/>
  <c r="NTZ18" i="10"/>
  <c r="NWL18" i="10"/>
  <c r="NYX18" i="10"/>
  <c r="OBJ18" i="10"/>
  <c r="ODV18" i="10"/>
  <c r="OGH18" i="10"/>
  <c r="OIT18" i="10"/>
  <c r="OLF18" i="10"/>
  <c r="LBD18" i="10"/>
  <c r="LJM18" i="10"/>
  <c r="LOK18" i="10"/>
  <c r="LTI18" i="10"/>
  <c r="LYC18" i="10"/>
  <c r="MBJ18" i="10"/>
  <c r="MER18" i="10"/>
  <c r="MHY18" i="10"/>
  <c r="MLF18" i="10"/>
  <c r="MON18" i="10"/>
  <c r="MTA18" i="10"/>
  <c r="NDX18" i="10"/>
  <c r="NIV18" i="10"/>
  <c r="NNT18" i="10"/>
  <c r="NSR18" i="10"/>
  <c r="NXP18" i="10"/>
  <c r="OCN18" i="10"/>
  <c r="OHL18" i="10"/>
  <c r="OMJ18" i="10"/>
  <c r="OOQ18" i="10"/>
  <c r="OQH18" i="10"/>
  <c r="ORX18" i="10"/>
  <c r="OTO18" i="10"/>
  <c r="OVF18" i="10"/>
  <c r="OWV18" i="10"/>
  <c r="OYM18" i="10"/>
  <c r="PAD18" i="10"/>
  <c r="PBT18" i="10"/>
  <c r="PDK18" i="10"/>
  <c r="PFB18" i="10"/>
  <c r="PGR18" i="10"/>
  <c r="PII18" i="10"/>
  <c r="PJZ18" i="10"/>
  <c r="PLP18" i="10"/>
  <c r="PNG18" i="10"/>
  <c r="POX18" i="10"/>
  <c r="PQN18" i="10"/>
  <c r="PSE18" i="10"/>
  <c r="PTV18" i="10"/>
  <c r="PVL18" i="10"/>
  <c r="PWX18" i="10"/>
  <c r="PYD18" i="10"/>
  <c r="PZJ18" i="10"/>
  <c r="QAP18" i="10"/>
  <c r="QBV18" i="10"/>
  <c r="QDB18" i="10"/>
  <c r="QEH18" i="10"/>
  <c r="QFN18" i="10"/>
  <c r="QGT18" i="10"/>
  <c r="QHZ18" i="10"/>
  <c r="QJF18" i="10"/>
  <c r="QKL18" i="10"/>
  <c r="QLR18" i="10"/>
  <c r="QMX18" i="10"/>
  <c r="QOD18" i="10"/>
  <c r="QPJ18" i="10"/>
  <c r="QQP18" i="10"/>
  <c r="QRV18" i="10"/>
  <c r="QTB18" i="10"/>
  <c r="QUH18" i="10"/>
  <c r="QVN18" i="10"/>
  <c r="QWT18" i="10"/>
  <c r="QXZ18" i="10"/>
  <c r="QZF18" i="10"/>
  <c r="RAL18" i="10"/>
  <c r="RBR18" i="10"/>
  <c r="RCX18" i="10"/>
  <c r="RED18" i="10"/>
  <c r="RFJ18" i="10"/>
  <c r="RGP18" i="10"/>
  <c r="RHV18" i="10"/>
  <c r="RJB18" i="10"/>
  <c r="RKH18" i="10"/>
  <c r="RLN18" i="10"/>
  <c r="RMT18" i="10"/>
  <c r="RNZ18" i="10"/>
  <c r="RPF18" i="10"/>
  <c r="RQL18" i="10"/>
  <c r="RRR18" i="10"/>
  <c r="RSX18" i="10"/>
  <c r="RUD18" i="10"/>
  <c r="RVJ18" i="10"/>
  <c r="RWP18" i="10"/>
  <c r="RXV18" i="10"/>
  <c r="RZB18" i="10"/>
  <c r="SAH18" i="10"/>
  <c r="SBN18" i="10"/>
  <c r="MTF18" i="10"/>
  <c r="MZU18" i="10"/>
  <c r="NEA18" i="10"/>
  <c r="NGM18" i="10"/>
  <c r="NIY18" i="10"/>
  <c r="NLK18" i="10"/>
  <c r="NNW18" i="10"/>
  <c r="NQI18" i="10"/>
  <c r="NSU18" i="10"/>
  <c r="NVG18" i="10"/>
  <c r="NXS18" i="10"/>
  <c r="OAE18" i="10"/>
  <c r="OCQ18" i="10"/>
  <c r="OFC18" i="10"/>
  <c r="OHO18" i="10"/>
  <c r="OKA18" i="10"/>
  <c r="OMM18" i="10"/>
  <c r="OOH18" i="10"/>
  <c r="OPX18" i="10"/>
  <c r="ORO18" i="10"/>
  <c r="OTF18" i="10"/>
  <c r="OUV18" i="10"/>
  <c r="OWM18" i="10"/>
  <c r="OYD18" i="10"/>
  <c r="OZT18" i="10"/>
  <c r="PBK18" i="10"/>
  <c r="PDB18" i="10"/>
  <c r="PER18" i="10"/>
  <c r="PGI18" i="10"/>
  <c r="PHZ18" i="10"/>
  <c r="PJP18" i="10"/>
  <c r="PLG18" i="10"/>
  <c r="PMX18" i="10"/>
  <c r="PON18" i="10"/>
  <c r="PQE18" i="10"/>
  <c r="PRV18" i="10"/>
  <c r="PTL18" i="10"/>
  <c r="PVC18" i="10"/>
  <c r="PWQ18" i="10"/>
  <c r="PXW18" i="10"/>
  <c r="PZC18" i="10"/>
  <c r="QAI18" i="10"/>
  <c r="QBO18" i="10"/>
  <c r="QCU18" i="10"/>
  <c r="QEA18" i="10"/>
  <c r="QFG18" i="10"/>
  <c r="QGM18" i="10"/>
  <c r="QHS18" i="10"/>
  <c r="QIY18" i="10"/>
  <c r="QKE18" i="10"/>
  <c r="QLK18" i="10"/>
  <c r="QMQ18" i="10"/>
  <c r="QNW18" i="10"/>
  <c r="QPC18" i="10"/>
  <c r="QQI18" i="10"/>
  <c r="QRO18" i="10"/>
  <c r="QSU18" i="10"/>
  <c r="QUA18" i="10"/>
  <c r="QVG18" i="10"/>
  <c r="QWM18" i="10"/>
  <c r="QXS18" i="10"/>
  <c r="QYY18" i="10"/>
  <c r="RAE18" i="10"/>
  <c r="RBK18" i="10"/>
  <c r="RCQ18" i="10"/>
  <c r="RDW18" i="10"/>
  <c r="RFC18" i="10"/>
  <c r="RGI18" i="10"/>
  <c r="RHO18" i="10"/>
  <c r="RIU18" i="10"/>
  <c r="RKA18" i="10"/>
  <c r="RLG18" i="10"/>
  <c r="RMM18" i="10"/>
  <c r="RNS18" i="10"/>
  <c r="ROY18" i="10"/>
  <c r="RQE18" i="10"/>
  <c r="RRK18" i="10"/>
  <c r="RSQ18" i="10"/>
  <c r="RTW18" i="10"/>
  <c r="RVC18" i="10"/>
  <c r="RWI18" i="10"/>
  <c r="RXO18" i="10"/>
  <c r="RYU18" i="10"/>
  <c r="SAA18" i="10"/>
  <c r="SBG18" i="10"/>
  <c r="SCM18" i="10"/>
  <c r="SDS18" i="10"/>
  <c r="SEY18" i="10"/>
  <c r="SGE18" i="10"/>
  <c r="SHK18" i="10"/>
  <c r="SIQ18" i="10"/>
  <c r="SJW18" i="10"/>
  <c r="SLC18" i="10"/>
  <c r="SMI18" i="10"/>
  <c r="SNO18" i="10"/>
  <c r="SOU18" i="10"/>
  <c r="SQA18" i="10"/>
  <c r="SRG18" i="10"/>
  <c r="SSM18" i="10"/>
  <c r="STS18" i="10"/>
  <c r="SUY18" i="10"/>
  <c r="SWE18" i="10"/>
  <c r="SXK18" i="10"/>
  <c r="SYQ18" i="10"/>
  <c r="SZW18" i="10"/>
  <c r="TBC18" i="10"/>
  <c r="TCI18" i="10"/>
  <c r="TDO18" i="10"/>
  <c r="TEU18" i="10"/>
  <c r="TGA18" i="10"/>
  <c r="THG18" i="10"/>
  <c r="TIM18" i="10"/>
  <c r="TJS18" i="10"/>
  <c r="TKY18" i="10"/>
  <c r="TME18" i="10"/>
  <c r="TNK18" i="10"/>
  <c r="TOQ18" i="10"/>
  <c r="TPW18" i="10"/>
  <c r="TRC18" i="10"/>
  <c r="TSI18" i="10"/>
  <c r="TTO18" i="10"/>
  <c r="TUU18" i="10"/>
  <c r="TWA18" i="10"/>
  <c r="TXG18" i="10"/>
  <c r="TYM18" i="10"/>
  <c r="TZS18" i="10"/>
  <c r="UAY18" i="10"/>
  <c r="UCE18" i="10"/>
  <c r="UDK18" i="10"/>
  <c r="UEQ18" i="10"/>
  <c r="UFW18" i="10"/>
  <c r="UHC18" i="10"/>
  <c r="UII18" i="10"/>
  <c r="UJO18" i="10"/>
  <c r="UKU18" i="10"/>
  <c r="UMA18" i="10"/>
  <c r="UNG18" i="10"/>
  <c r="UOM18" i="10"/>
  <c r="UPS18" i="10"/>
  <c r="UQY18" i="10"/>
  <c r="USE18" i="10"/>
  <c r="UTK18" i="10"/>
  <c r="UUI18" i="10"/>
  <c r="UVC18" i="10"/>
  <c r="UVW18" i="10"/>
  <c r="UWU18" i="10"/>
  <c r="UXO18" i="10"/>
  <c r="UYI18" i="10"/>
  <c r="UZG18" i="10"/>
  <c r="VAA18" i="10"/>
  <c r="VAU18" i="10"/>
  <c r="VBS18" i="10"/>
  <c r="VCM18" i="10"/>
  <c r="MUG18" i="10"/>
  <c r="MZE18" i="10"/>
  <c r="NCN18" i="10"/>
  <c r="NEJ18" i="10"/>
  <c r="NGF18" i="10"/>
  <c r="NHT18" i="10"/>
  <c r="NJH18" i="10"/>
  <c r="NLD18" i="10"/>
  <c r="NMR18" i="10"/>
  <c r="NOF18" i="10"/>
  <c r="NQB18" i="10"/>
  <c r="NRP18" i="10"/>
  <c r="NTD18" i="10"/>
  <c r="NUZ18" i="10"/>
  <c r="NWN18" i="10"/>
  <c r="NYB18" i="10"/>
  <c r="NZX18" i="10"/>
  <c r="OBL18" i="10"/>
  <c r="OCZ18" i="10"/>
  <c r="OEV18" i="10"/>
  <c r="OGJ18" i="10"/>
  <c r="OHX18" i="10"/>
  <c r="OJT18" i="10"/>
  <c r="OLH18" i="10"/>
  <c r="OMV18" i="10"/>
  <c r="OOD18" i="10"/>
  <c r="OPD18" i="10"/>
  <c r="OQE18" i="10"/>
  <c r="ORK18" i="10"/>
  <c r="OSL18" i="10"/>
  <c r="OTL18" i="10"/>
  <c r="OUR18" i="10"/>
  <c r="OVS18" i="10"/>
  <c r="OWT18" i="10"/>
  <c r="OXZ18" i="10"/>
  <c r="OYZ18" i="10"/>
  <c r="PAA18" i="10"/>
  <c r="PBG18" i="10"/>
  <c r="PCH18" i="10"/>
  <c r="PDH18" i="10"/>
  <c r="PEN18" i="10"/>
  <c r="PFO18" i="10"/>
  <c r="PGP18" i="10"/>
  <c r="PHV18" i="10"/>
  <c r="PIV18" i="10"/>
  <c r="PJW18" i="10"/>
  <c r="PLC18" i="10"/>
  <c r="PMD18" i="10"/>
  <c r="PND18" i="10"/>
  <c r="POJ18" i="10"/>
  <c r="PPK18" i="10"/>
  <c r="PQL18" i="10"/>
  <c r="PRR18" i="10"/>
  <c r="PSR18" i="10"/>
  <c r="PTS18" i="10"/>
  <c r="PUY18" i="10"/>
  <c r="PVZ18" i="10"/>
  <c r="PWV18" i="10"/>
  <c r="PXT18" i="10"/>
  <c r="PYN18" i="10"/>
  <c r="PZH18" i="10"/>
  <c r="QAF18" i="10"/>
  <c r="QAZ18" i="10"/>
  <c r="QBT18" i="10"/>
  <c r="QCR18" i="10"/>
  <c r="QDL18" i="10"/>
  <c r="QEF18" i="10"/>
  <c r="QFD18" i="10"/>
  <c r="QFX18" i="10"/>
  <c r="QGR18" i="10"/>
  <c r="QHP18" i="10"/>
  <c r="QIJ18" i="10"/>
  <c r="QJD18" i="10"/>
  <c r="QKB18" i="10"/>
  <c r="QKV18" i="10"/>
  <c r="QLP18" i="10"/>
  <c r="QMN18" i="10"/>
  <c r="QNH18" i="10"/>
  <c r="QOB18" i="10"/>
  <c r="QOZ18" i="10"/>
  <c r="QPT18" i="10"/>
  <c r="QQN18" i="10"/>
  <c r="QRL18" i="10"/>
  <c r="QSF18" i="10"/>
  <c r="QSZ18" i="10"/>
  <c r="QTX18" i="10"/>
  <c r="QUR18" i="10"/>
  <c r="QVL18" i="10"/>
  <c r="QWJ18" i="10"/>
  <c r="QXD18" i="10"/>
  <c r="QXX18" i="10"/>
  <c r="QYV18" i="10"/>
  <c r="QZP18" i="10"/>
  <c r="RAJ18" i="10"/>
  <c r="RBH18" i="10"/>
  <c r="RCB18" i="10"/>
  <c r="RCV18" i="10"/>
  <c r="RDT18" i="10"/>
  <c r="REN18" i="10"/>
  <c r="RFH18" i="10"/>
  <c r="RGF18" i="10"/>
  <c r="RGZ18" i="10"/>
  <c r="RHT18" i="10"/>
  <c r="RIR18" i="10"/>
  <c r="RJL18" i="10"/>
  <c r="RKF18" i="10"/>
  <c r="RLD18" i="10"/>
  <c r="RLX18" i="10"/>
  <c r="RMR18" i="10"/>
  <c r="RNP18" i="10"/>
  <c r="ROJ18" i="10"/>
  <c r="RPD18" i="10"/>
  <c r="RQB18" i="10"/>
  <c r="RQV18" i="10"/>
  <c r="RRP18" i="10"/>
  <c r="RSN18" i="10"/>
  <c r="RTH18" i="10"/>
  <c r="RUB18" i="10"/>
  <c r="RUZ18" i="10"/>
  <c r="RVT18" i="10"/>
  <c r="RWN18" i="10"/>
  <c r="RXL18" i="10"/>
  <c r="RYF18" i="10"/>
  <c r="RYZ18" i="10"/>
  <c r="RZX18" i="10"/>
  <c r="SAR18" i="10"/>
  <c r="SBL18" i="10"/>
  <c r="SCJ18" i="10"/>
  <c r="SDD18" i="10"/>
  <c r="SDX18" i="10"/>
  <c r="SEV18" i="10"/>
  <c r="SFP18" i="10"/>
  <c r="SGJ18" i="10"/>
  <c r="SHH18" i="10"/>
  <c r="MTQ18" i="10"/>
  <c r="MXT18" i="10"/>
  <c r="NCG18" i="10"/>
  <c r="NEE18" i="10"/>
  <c r="NFS18" i="10"/>
  <c r="NHO18" i="10"/>
  <c r="NJC18" i="10"/>
  <c r="NKQ18" i="10"/>
  <c r="NMM18" i="10"/>
  <c r="NOA18" i="10"/>
  <c r="NPO18" i="10"/>
  <c r="NRK18" i="10"/>
  <c r="NSY18" i="10"/>
  <c r="NUM18" i="10"/>
  <c r="NWI18" i="10"/>
  <c r="NXW18" i="10"/>
  <c r="NZK18" i="10"/>
  <c r="OBG18" i="10"/>
  <c r="OCU18" i="10"/>
  <c r="OEI18" i="10"/>
  <c r="OGE18" i="10"/>
  <c r="OHS18" i="10"/>
  <c r="OJG18" i="10"/>
  <c r="OLC18" i="10"/>
  <c r="OPF18" i="10"/>
  <c r="OTH18" i="10"/>
  <c r="OYF18" i="10"/>
  <c r="PCI18" i="10"/>
  <c r="PGL18" i="10"/>
  <c r="PLJ18" i="10"/>
  <c r="PPL18" i="10"/>
  <c r="PTO18" i="10"/>
  <c r="PXY18" i="10"/>
  <c r="QBA18" i="10"/>
  <c r="QEC18" i="10"/>
  <c r="QHU18" i="10"/>
  <c r="QKW18" i="10"/>
  <c r="QNY18" i="10"/>
  <c r="QRQ18" i="10"/>
  <c r="QUS18" i="10"/>
  <c r="QXU18" i="10"/>
  <c r="RBM18" i="10"/>
  <c r="REO18" i="10"/>
  <c r="RHQ18" i="10"/>
  <c r="RLI18" i="10"/>
  <c r="ROK18" i="10"/>
  <c r="RRM18" i="10"/>
  <c r="RVE18" i="10"/>
  <c r="RYG18" i="10"/>
  <c r="SBI18" i="10"/>
  <c r="SDR18" i="10"/>
  <c r="SFF18" i="10"/>
  <c r="SGT18" i="10"/>
  <c r="SIH18" i="10"/>
  <c r="SJI18" i="10"/>
  <c r="SKJ18" i="10"/>
  <c r="SLP18" i="10"/>
  <c r="SMP18" i="10"/>
  <c r="SNQ18" i="10"/>
  <c r="SOW18" i="10"/>
  <c r="SPX18" i="10"/>
  <c r="SQX18" i="10"/>
  <c r="SSD18" i="10"/>
  <c r="STE18" i="10"/>
  <c r="SUF18" i="10"/>
  <c r="SVL18" i="10"/>
  <c r="SWL18" i="10"/>
  <c r="SXM18" i="10"/>
  <c r="SYS18" i="10"/>
  <c r="SZT18" i="10"/>
  <c r="TAT18" i="10"/>
  <c r="TBZ18" i="10"/>
  <c r="TDA18" i="10"/>
  <c r="TEB18" i="10"/>
  <c r="TFH18" i="10"/>
  <c r="TGH18" i="10"/>
  <c r="THI18" i="10"/>
  <c r="TIO18" i="10"/>
  <c r="TJP18" i="10"/>
  <c r="TKP18" i="10"/>
  <c r="TLV18" i="10"/>
  <c r="TMW18" i="10"/>
  <c r="TNX18" i="10"/>
  <c r="TPD18" i="10"/>
  <c r="TQD18" i="10"/>
  <c r="TRE18" i="10"/>
  <c r="TSK18" i="10"/>
  <c r="OLS18" i="10"/>
  <c r="OQF18" i="10"/>
  <c r="OVD18" i="10"/>
  <c r="OZG18" i="10"/>
  <c r="PDJ18" i="10"/>
  <c r="PIH18" i="10"/>
  <c r="PMJ18" i="10"/>
  <c r="PQM18" i="10"/>
  <c r="PVK18" i="10"/>
  <c r="PYS18" i="10"/>
  <c r="QBU18" i="10"/>
  <c r="QFM18" i="10"/>
  <c r="QIO18" i="10"/>
  <c r="QLQ18" i="10"/>
  <c r="QPI18" i="10"/>
  <c r="QSK18" i="10"/>
  <c r="QVM18" i="10"/>
  <c r="QZE18" i="10"/>
  <c r="RCG18" i="10"/>
  <c r="RFI18" i="10"/>
  <c r="RJA18" i="10"/>
  <c r="RMC18" i="10"/>
  <c r="RPE18" i="10"/>
  <c r="RSW18" i="10"/>
  <c r="RVY18" i="10"/>
  <c r="RZA18" i="10"/>
  <c r="SCO18" i="10"/>
  <c r="SEC18" i="10"/>
  <c r="SFQ18" i="10"/>
  <c r="SHM18" i="10"/>
  <c r="SIO18" i="10"/>
  <c r="SJP18" i="10"/>
  <c r="SKV18" i="10"/>
  <c r="SLV18" i="10"/>
  <c r="SMW18" i="10"/>
  <c r="SOC18" i="10"/>
  <c r="SPD18" i="10"/>
  <c r="SQD18" i="10"/>
  <c r="SRJ18" i="10"/>
  <c r="SSK18" i="10"/>
  <c r="STL18" i="10"/>
  <c r="SUR18" i="10"/>
  <c r="SVR18" i="10"/>
  <c r="SWS18" i="10"/>
  <c r="SXY18" i="10"/>
  <c r="SYZ18" i="10"/>
  <c r="SZZ18" i="10"/>
  <c r="TBF18" i="10"/>
  <c r="TCG18" i="10"/>
  <c r="TDH18" i="10"/>
  <c r="TEN18" i="10"/>
  <c r="TFN18" i="10"/>
  <c r="TGO18" i="10"/>
  <c r="THU18" i="10"/>
  <c r="TIV18" i="10"/>
  <c r="TJV18" i="10"/>
  <c r="TLB18" i="10"/>
  <c r="TMC18" i="10"/>
  <c r="TND18" i="10"/>
  <c r="TOJ18" i="10"/>
  <c r="TPJ18" i="10"/>
  <c r="TQK18" i="10"/>
  <c r="TRQ18" i="10"/>
  <c r="TSR18" i="10"/>
  <c r="TTR18" i="10"/>
  <c r="OND18" i="10"/>
  <c r="ORG18" i="10"/>
  <c r="OVJ18" i="10"/>
  <c r="PAH18" i="10"/>
  <c r="PEJ18" i="10"/>
  <c r="PIM18" i="10"/>
  <c r="PNK18" i="10"/>
  <c r="PRN18" i="10"/>
  <c r="PVP18" i="10"/>
  <c r="PZM18" i="10"/>
  <c r="QCO18" i="10"/>
  <c r="QFQ18" i="10"/>
  <c r="QJI18" i="10"/>
  <c r="QMK18" i="10"/>
  <c r="QPM18" i="10"/>
  <c r="QTE18" i="10"/>
  <c r="QWG18" i="10"/>
  <c r="QZI18" i="10"/>
  <c r="RDA18" i="10"/>
  <c r="RGC18" i="10"/>
  <c r="RJE18" i="10"/>
  <c r="RMW18" i="10"/>
  <c r="RPY18" i="10"/>
  <c r="RTA18" i="10"/>
  <c r="RWS18" i="10"/>
  <c r="RZU18" i="10"/>
  <c r="SCP18" i="10"/>
  <c r="SEL18" i="10"/>
  <c r="SFZ18" i="10"/>
  <c r="SHN18" i="10"/>
  <c r="SIV18" i="10"/>
  <c r="SJV18" i="10"/>
  <c r="SKW18" i="10"/>
  <c r="SMC18" i="10"/>
  <c r="SND18" i="10"/>
  <c r="SOD18" i="10"/>
  <c r="SPJ18" i="10"/>
  <c r="SQK18" i="10"/>
  <c r="SRL18" i="10"/>
  <c r="SSR18" i="10"/>
  <c r="STR18" i="10"/>
  <c r="SUS18" i="10"/>
  <c r="SVY18" i="10"/>
  <c r="SWZ18" i="10"/>
  <c r="SXZ18" i="10"/>
  <c r="SZF18" i="10"/>
  <c r="TAG18" i="10"/>
  <c r="TBH18" i="10"/>
  <c r="TCN18" i="10"/>
  <c r="TDN18" i="10"/>
  <c r="TEO18" i="10"/>
  <c r="TFU18" i="10"/>
  <c r="TGV18" i="10"/>
  <c r="THV18" i="10"/>
  <c r="TJB18" i="10"/>
  <c r="TKC18" i="10"/>
  <c r="TLD18" i="10"/>
  <c r="TMJ18" i="10"/>
  <c r="TNJ18" i="10"/>
  <c r="TOK18" i="10"/>
  <c r="TPQ18" i="10"/>
  <c r="TQR18" i="10"/>
  <c r="TRR18" i="10"/>
  <c r="TSX18" i="10"/>
  <c r="TTY18" i="10"/>
  <c r="TUZ18" i="10"/>
  <c r="TWF18" i="10"/>
  <c r="TXF18" i="10"/>
  <c r="TYG18" i="10"/>
  <c r="TZM18" i="10"/>
  <c r="UAN18" i="10"/>
  <c r="UBN18" i="10"/>
  <c r="UCT18" i="10"/>
  <c r="UDU18" i="10"/>
  <c r="UEV18" i="10"/>
  <c r="UGB18" i="10"/>
  <c r="UHB18" i="10"/>
  <c r="UIC18" i="10"/>
  <c r="UJI18" i="10"/>
  <c r="UKJ18" i="10"/>
  <c r="ULJ18" i="10"/>
  <c r="UMP18" i="10"/>
  <c r="UNQ18" i="10"/>
  <c r="UOR18" i="10"/>
  <c r="UPX18" i="10"/>
  <c r="UQX18" i="10"/>
  <c r="URY18" i="10"/>
  <c r="UTE18" i="10"/>
  <c r="UUF18" i="10"/>
  <c r="UVF18" i="10"/>
  <c r="UWL18" i="10"/>
  <c r="UXM18" i="10"/>
  <c r="UYN18" i="10"/>
  <c r="OPV18" i="10"/>
  <c r="OTX18" i="10"/>
  <c r="OYA18" i="10"/>
  <c r="PCY18" i="10"/>
  <c r="PHB18" i="10"/>
  <c r="PLD18" i="10"/>
  <c r="PQB18" i="10"/>
  <c r="PUE18" i="10"/>
  <c r="PXU18" i="10"/>
  <c r="QBM18" i="10"/>
  <c r="QEO18" i="10"/>
  <c r="QHQ18" i="10"/>
  <c r="QLI18" i="10"/>
  <c r="QOK18" i="10"/>
  <c r="QRM18" i="10"/>
  <c r="QVE18" i="10"/>
  <c r="QYG18" i="10"/>
  <c r="RBI18" i="10"/>
  <c r="RFA18" i="10"/>
  <c r="RIC18" i="10"/>
  <c r="RLE18" i="10"/>
  <c r="ROW18" i="10"/>
  <c r="RRY18" i="10"/>
  <c r="RVA18" i="10"/>
  <c r="RYS18" i="10"/>
  <c r="SBU18" i="10"/>
  <c r="SDQ18" i="10"/>
  <c r="SFM18" i="10"/>
  <c r="SHA18" i="10"/>
  <c r="SIG18" i="10"/>
  <c r="SJM18" i="10"/>
  <c r="SKN18" i="10"/>
  <c r="SLN18" i="10"/>
  <c r="SMT18" i="10"/>
  <c r="SNU18" i="10"/>
  <c r="SOV18" i="10"/>
  <c r="SQB18" i="10"/>
  <c r="SRB18" i="10"/>
  <c r="SSC18" i="10"/>
  <c r="STI18" i="10"/>
  <c r="SUJ18" i="10"/>
  <c r="SVJ18" i="10"/>
  <c r="SWP18" i="10"/>
  <c r="SXQ18" i="10"/>
  <c r="SYR18" i="10"/>
  <c r="SZX18" i="10"/>
  <c r="TAX18" i="10"/>
  <c r="TBY18" i="10"/>
  <c r="TDE18" i="10"/>
  <c r="TEF18" i="10"/>
  <c r="TFF18" i="10"/>
  <c r="TGL18" i="10"/>
  <c r="THM18" i="10"/>
  <c r="TIN18" i="10"/>
  <c r="TJT18" i="10"/>
  <c r="TKT18" i="10"/>
  <c r="TLU18" i="10"/>
  <c r="TNA18" i="10"/>
  <c r="TOB18" i="10"/>
  <c r="TPB18" i="10"/>
  <c r="TQH18" i="10"/>
  <c r="TRI18" i="10"/>
  <c r="TSJ18" i="10"/>
  <c r="TTP18" i="10"/>
  <c r="TVA18" i="10"/>
  <c r="TWJ18" i="10"/>
  <c r="TXZ18" i="10"/>
  <c r="TZJ18" i="10"/>
  <c r="UAT18" i="10"/>
  <c r="UCK18" i="10"/>
  <c r="UDT18" i="10"/>
  <c r="UFD18" i="10"/>
  <c r="UGT18" i="10"/>
  <c r="UID18" i="10"/>
  <c r="UJM18" i="10"/>
  <c r="ULD18" i="10"/>
  <c r="UMN18" i="10"/>
  <c r="UNX18" i="10"/>
  <c r="UPN18" i="10"/>
  <c r="UQW18" i="10"/>
  <c r="USG18" i="10"/>
  <c r="UTX18" i="10"/>
  <c r="UVH18" i="10"/>
  <c r="UWP18" i="10"/>
  <c r="UYG18" i="10"/>
  <c r="UZL18" i="10"/>
  <c r="VAL18" i="10"/>
  <c r="VBR18" i="10"/>
  <c r="VCS18" i="10"/>
  <c r="VDM18" i="10"/>
  <c r="VEK18" i="10"/>
  <c r="VFE18" i="10"/>
  <c r="VFY18" i="10"/>
  <c r="VGW18" i="10"/>
  <c r="VHQ18" i="10"/>
  <c r="VIK18" i="10"/>
  <c r="VJI18" i="10"/>
  <c r="VKC18" i="10"/>
  <c r="VKW18" i="10"/>
  <c r="VLU18" i="10"/>
  <c r="VMO18" i="10"/>
  <c r="VNI18" i="10"/>
  <c r="VOG18" i="10"/>
  <c r="VOW18" i="10"/>
  <c r="VPM18" i="10"/>
  <c r="VQC18" i="10"/>
  <c r="VQS18" i="10"/>
  <c r="VRI18" i="10"/>
  <c r="VRY18" i="10"/>
  <c r="VSO18" i="10"/>
  <c r="VTE18" i="10"/>
  <c r="VTU18" i="10"/>
  <c r="VUK18" i="10"/>
  <c r="VVA18" i="10"/>
  <c r="VVQ18" i="10"/>
  <c r="VWG18" i="10"/>
  <c r="VWW18" i="10"/>
  <c r="VXM18" i="10"/>
  <c r="VYC18" i="10"/>
  <c r="VYS18" i="10"/>
  <c r="VZI18" i="10"/>
  <c r="VZY18" i="10"/>
  <c r="WAO18" i="10"/>
  <c r="WBE18" i="10"/>
  <c r="WBU18" i="10"/>
  <c r="WCK18" i="10"/>
  <c r="WDA18" i="10"/>
  <c r="WDQ18" i="10"/>
  <c r="WEG18" i="10"/>
  <c r="WEW18" i="10"/>
  <c r="WFM18" i="10"/>
  <c r="WGC18" i="10"/>
  <c r="WGS18" i="10"/>
  <c r="WHI18" i="10"/>
  <c r="WHY18" i="10"/>
  <c r="WIO18" i="10"/>
  <c r="WJE18" i="10"/>
  <c r="WJU18" i="10"/>
  <c r="WKK18" i="10"/>
  <c r="WLA18" i="10"/>
  <c r="WLQ18" i="10"/>
  <c r="WMG18" i="10"/>
  <c r="WMW18" i="10"/>
  <c r="WNM18" i="10"/>
  <c r="WOC18" i="10"/>
  <c r="WOS18" i="10"/>
  <c r="WPI18" i="10"/>
  <c r="WPY18" i="10"/>
  <c r="WQO18" i="10"/>
  <c r="WRE18" i="10"/>
  <c r="WRU18" i="10"/>
  <c r="WSK18" i="10"/>
  <c r="WTA18" i="10"/>
  <c r="WTQ18" i="10"/>
  <c r="WUG18" i="10"/>
  <c r="WUW18" i="10"/>
  <c r="WVM18" i="10"/>
  <c r="WWC18" i="10"/>
  <c r="WWS18" i="10"/>
  <c r="WXI18" i="10"/>
  <c r="WXY18" i="10"/>
  <c r="WYO18" i="10"/>
  <c r="WZE18" i="10"/>
  <c r="WZU18" i="10"/>
  <c r="XAK18" i="10"/>
  <c r="XBA18" i="10"/>
  <c r="XBQ18" i="10"/>
  <c r="XCG18" i="10"/>
  <c r="XCW18" i="10"/>
  <c r="XDM18" i="10"/>
  <c r="XEC18" i="10"/>
  <c r="XES18" i="10"/>
  <c r="AS19" i="10"/>
  <c r="BI19" i="10"/>
  <c r="BY19" i="10"/>
  <c r="CO19" i="10"/>
  <c r="DE19" i="10"/>
  <c r="DU19" i="10"/>
  <c r="EK19" i="10"/>
  <c r="FA19" i="10"/>
  <c r="FQ19" i="10"/>
  <c r="GG19" i="10"/>
  <c r="GW19" i="10"/>
  <c r="HM19" i="10"/>
  <c r="IC19" i="10"/>
  <c r="IS19" i="10"/>
  <c r="JI19" i="10"/>
  <c r="JY19" i="10"/>
  <c r="KO19" i="10"/>
  <c r="LE19" i="10"/>
  <c r="LU19" i="10"/>
  <c r="MK19" i="10"/>
  <c r="NA19" i="10"/>
  <c r="NQ19" i="10"/>
  <c r="OG19" i="10"/>
  <c r="OW19" i="10"/>
  <c r="PM19" i="10"/>
  <c r="QC19" i="10"/>
  <c r="QS19" i="10"/>
  <c r="RI19" i="10"/>
  <c r="RY19" i="10"/>
  <c r="SO19" i="10"/>
  <c r="TE19" i="10"/>
  <c r="TU19" i="10"/>
  <c r="UK19" i="10"/>
  <c r="VA19" i="10"/>
  <c r="VQ19" i="10"/>
  <c r="WG19" i="10"/>
  <c r="WW19" i="10"/>
  <c r="XM19" i="10"/>
  <c r="YC19" i="10"/>
  <c r="YS19" i="10"/>
  <c r="ZI19" i="10"/>
  <c r="ZY19" i="10"/>
  <c r="AAO19" i="10"/>
  <c r="ABE19" i="10"/>
  <c r="ABU19" i="10"/>
  <c r="ACK19" i="10"/>
  <c r="ADA19" i="10"/>
  <c r="ADQ19" i="10"/>
  <c r="AEG19" i="10"/>
  <c r="AEW19" i="10"/>
  <c r="AFM19" i="10"/>
  <c r="AGC19" i="10"/>
  <c r="AGS19" i="10"/>
  <c r="AHI19" i="10"/>
  <c r="AHY19" i="10"/>
  <c r="AIO19" i="10"/>
  <c r="AJE19" i="10"/>
  <c r="AJU19" i="10"/>
  <c r="AKK19" i="10"/>
  <c r="ALA19" i="10"/>
  <c r="ALQ19" i="10"/>
  <c r="AMG19" i="10"/>
  <c r="AMW19" i="10"/>
  <c r="ANM19" i="10"/>
  <c r="AOC19" i="10"/>
  <c r="AOS19" i="10"/>
  <c r="API19" i="10"/>
  <c r="APY19" i="10"/>
  <c r="AQO19" i="10"/>
  <c r="ARE19" i="10"/>
  <c r="ARU19" i="10"/>
  <c r="ASK19" i="10"/>
  <c r="ATA19" i="10"/>
  <c r="ATQ19" i="10"/>
  <c r="AUG19" i="10"/>
  <c r="AUW19" i="10"/>
  <c r="AVM19" i="10"/>
  <c r="AWC19" i="10"/>
  <c r="AWS19" i="10"/>
  <c r="AXI19" i="10"/>
  <c r="AXY19" i="10"/>
  <c r="AYO19" i="10"/>
  <c r="TUV18" i="10"/>
  <c r="TVX18" i="10"/>
  <c r="TWZ18" i="10"/>
  <c r="TYC18" i="10"/>
  <c r="TZE18" i="10"/>
  <c r="UAG18" i="10"/>
  <c r="UBJ18" i="10"/>
  <c r="UCL18" i="10"/>
  <c r="UDN18" i="10"/>
  <c r="UER18" i="10"/>
  <c r="UFT18" i="10"/>
  <c r="UGV18" i="10"/>
  <c r="UHY18" i="10"/>
  <c r="UJA18" i="10"/>
  <c r="UKC18" i="10"/>
  <c r="ULF18" i="10"/>
  <c r="UMH18" i="10"/>
  <c r="UNJ18" i="10"/>
  <c r="UON18" i="10"/>
  <c r="UPP18" i="10"/>
  <c r="UQR18" i="10"/>
  <c r="URU18" i="10"/>
  <c r="USW18" i="10"/>
  <c r="UTY18" i="10"/>
  <c r="UVB18" i="10"/>
  <c r="UWD18" i="10"/>
  <c r="UXF18" i="10"/>
  <c r="UYJ18" i="10"/>
  <c r="UZH18" i="10"/>
  <c r="VAC18" i="10"/>
  <c r="VAX18" i="10"/>
  <c r="VBT18" i="10"/>
  <c r="VCO18" i="10"/>
  <c r="VDF18" i="10"/>
  <c r="VDV18" i="10"/>
  <c r="VEL18" i="10"/>
  <c r="VFB18" i="10"/>
  <c r="VFR18" i="10"/>
  <c r="VGH18" i="10"/>
  <c r="VGX18" i="10"/>
  <c r="VHN18" i="10"/>
  <c r="VID18" i="10"/>
  <c r="VIT18" i="10"/>
  <c r="VJJ18" i="10"/>
  <c r="VJZ18" i="10"/>
  <c r="VKP18" i="10"/>
  <c r="VLF18" i="10"/>
  <c r="VLV18" i="10"/>
  <c r="VML18" i="10"/>
  <c r="VNB18" i="10"/>
  <c r="VNR18" i="10"/>
  <c r="VOH18" i="10"/>
  <c r="VOX18" i="10"/>
  <c r="VPN18" i="10"/>
  <c r="VQD18" i="10"/>
  <c r="VQT18" i="10"/>
  <c r="VRJ18" i="10"/>
  <c r="VRZ18" i="10"/>
  <c r="VSP18" i="10"/>
  <c r="VTF18" i="10"/>
  <c r="VTV18" i="10"/>
  <c r="VUL18" i="10"/>
  <c r="VVB18" i="10"/>
  <c r="VVR18" i="10"/>
  <c r="VWH18" i="10"/>
  <c r="VWX18" i="10"/>
  <c r="VXN18" i="10"/>
  <c r="VYD18" i="10"/>
  <c r="VYT18" i="10"/>
  <c r="VZJ18" i="10"/>
  <c r="VZZ18" i="10"/>
  <c r="WAP18" i="10"/>
  <c r="WBF18" i="10"/>
  <c r="WBV18" i="10"/>
  <c r="WCL18" i="10"/>
  <c r="WDB18" i="10"/>
  <c r="WDR18" i="10"/>
  <c r="WEH18" i="10"/>
  <c r="WEX18" i="10"/>
  <c r="WFN18" i="10"/>
  <c r="WGD18" i="10"/>
  <c r="WGT18" i="10"/>
  <c r="WHJ18" i="10"/>
  <c r="WHZ18" i="10"/>
  <c r="WIP18" i="10"/>
  <c r="WJF18" i="10"/>
  <c r="WJV18" i="10"/>
  <c r="WKL18" i="10"/>
  <c r="WLB18" i="10"/>
  <c r="WLR18" i="10"/>
  <c r="WMH18" i="10"/>
  <c r="WMX18" i="10"/>
  <c r="WNN18" i="10"/>
  <c r="WOD18" i="10"/>
  <c r="WOT18" i="10"/>
  <c r="WPJ18" i="10"/>
  <c r="WPZ18" i="10"/>
  <c r="WQP18" i="10"/>
  <c r="WRF18" i="10"/>
  <c r="WRV18" i="10"/>
  <c r="WSL18" i="10"/>
  <c r="WTB18" i="10"/>
  <c r="WTR18" i="10"/>
  <c r="WUH18" i="10"/>
  <c r="WUX18" i="10"/>
  <c r="WVN18" i="10"/>
  <c r="WWD18" i="10"/>
  <c r="WWT18" i="10"/>
  <c r="WXJ18" i="10"/>
  <c r="WXZ18" i="10"/>
  <c r="WYP18" i="10"/>
  <c r="WZF18" i="10"/>
  <c r="WZV18" i="10"/>
  <c r="XAL18" i="10"/>
  <c r="XBB18" i="10"/>
  <c r="XBR18" i="10"/>
  <c r="XCH18" i="10"/>
  <c r="XCX18" i="10"/>
  <c r="XDN18" i="10"/>
  <c r="XED18" i="10"/>
  <c r="XET18" i="10"/>
  <c r="AT19" i="10"/>
  <c r="BJ19" i="10"/>
  <c r="BZ19" i="10"/>
  <c r="CP19" i="10"/>
  <c r="DF19" i="10"/>
  <c r="DV19" i="10"/>
  <c r="EL19" i="10"/>
  <c r="FB19" i="10"/>
  <c r="FR19" i="10"/>
  <c r="GH19" i="10"/>
  <c r="GX19" i="10"/>
  <c r="HN19" i="10"/>
  <c r="ID19" i="10"/>
  <c r="IT19" i="10"/>
  <c r="JJ19" i="10"/>
  <c r="JZ19" i="10"/>
  <c r="KP19" i="10"/>
  <c r="LF19" i="10"/>
  <c r="LV19" i="10"/>
  <c r="ML19" i="10"/>
  <c r="NB19" i="10"/>
  <c r="NR19" i="10"/>
  <c r="OH19" i="10"/>
  <c r="OX19" i="10"/>
  <c r="PN19" i="10"/>
  <c r="QD19" i="10"/>
  <c r="QT19" i="10"/>
  <c r="RJ19" i="10"/>
  <c r="RZ19" i="10"/>
  <c r="SP19" i="10"/>
  <c r="TF19" i="10"/>
  <c r="TV19" i="10"/>
  <c r="UL19" i="10"/>
  <c r="VB19" i="10"/>
  <c r="VR19" i="10"/>
  <c r="WH19" i="10"/>
  <c r="WX19" i="10"/>
  <c r="XN19" i="10"/>
  <c r="YD19" i="10"/>
  <c r="YT19" i="10"/>
  <c r="ZJ19" i="10"/>
  <c r="ZZ19" i="10"/>
  <c r="AAP19" i="10"/>
  <c r="ABF19" i="10"/>
  <c r="ABV19" i="10"/>
  <c r="ACL19" i="10"/>
  <c r="ADB19" i="10"/>
  <c r="ADR19" i="10"/>
  <c r="AEH19" i="10"/>
  <c r="AEX19" i="10"/>
  <c r="AFN19" i="10"/>
  <c r="AGD19" i="10"/>
  <c r="AGT19" i="10"/>
  <c r="AHJ19" i="10"/>
  <c r="AHZ19" i="10"/>
  <c r="AIP19" i="10"/>
  <c r="AJF19" i="10"/>
  <c r="AJV19" i="10"/>
  <c r="AKL19" i="10"/>
  <c r="ALB19" i="10"/>
  <c r="ALR19" i="10"/>
  <c r="AMH19" i="10"/>
  <c r="AMX19" i="10"/>
  <c r="ANN19" i="10"/>
  <c r="AOD19" i="10"/>
  <c r="AOT19" i="10"/>
  <c r="APJ19" i="10"/>
  <c r="APZ19" i="10"/>
  <c r="AQP19" i="10"/>
  <c r="ARF19" i="10"/>
  <c r="ARV19" i="10"/>
  <c r="ASL19" i="10"/>
  <c r="ATB19" i="10"/>
  <c r="ATR19" i="10"/>
  <c r="AUH19" i="10"/>
  <c r="AUX19" i="10"/>
  <c r="AVN19" i="10"/>
  <c r="AWD19" i="10"/>
  <c r="AWT19" i="10"/>
  <c r="AXJ19" i="10"/>
  <c r="AXZ19" i="10"/>
  <c r="AYP19" i="10"/>
  <c r="AZF19" i="10"/>
  <c r="AZV19" i="10"/>
  <c r="BAL19" i="10"/>
  <c r="BBB19" i="10"/>
  <c r="BBR19" i="10"/>
  <c r="BCH19" i="10"/>
  <c r="BCX19" i="10"/>
  <c r="BDN19" i="10"/>
  <c r="BED19" i="10"/>
  <c r="BET19" i="10"/>
  <c r="TUF18" i="10"/>
  <c r="TVL18" i="10"/>
  <c r="TWN18" i="10"/>
  <c r="TXP18" i="10"/>
  <c r="TYS18" i="10"/>
  <c r="TZU18" i="10"/>
  <c r="UAW18" i="10"/>
  <c r="UBZ18" i="10"/>
  <c r="UDB18" i="10"/>
  <c r="UED18" i="10"/>
  <c r="UFH18" i="10"/>
  <c r="UGJ18" i="10"/>
  <c r="UHL18" i="10"/>
  <c r="UIO18" i="10"/>
  <c r="UJQ18" i="10"/>
  <c r="UKS18" i="10"/>
  <c r="ULV18" i="10"/>
  <c r="UMX18" i="10"/>
  <c r="UNZ18" i="10"/>
  <c r="UPD18" i="10"/>
  <c r="UQF18" i="10"/>
  <c r="URH18" i="10"/>
  <c r="USK18" i="10"/>
  <c r="UTM18" i="10"/>
  <c r="UUO18" i="10"/>
  <c r="UVR18" i="10"/>
  <c r="UWT18" i="10"/>
  <c r="UXV18" i="10"/>
  <c r="UYX18" i="10"/>
  <c r="UZT18" i="10"/>
  <c r="VAO18" i="10"/>
  <c r="VBJ18" i="10"/>
  <c r="VCF18" i="10"/>
  <c r="VCY18" i="10"/>
  <c r="VDO18" i="10"/>
  <c r="VEE18" i="10"/>
  <c r="VEU18" i="10"/>
  <c r="VFK18" i="10"/>
  <c r="VGA18" i="10"/>
  <c r="VGQ18" i="10"/>
  <c r="VHG18" i="10"/>
  <c r="VHW18" i="10"/>
  <c r="VIM18" i="10"/>
  <c r="VJC18" i="10"/>
  <c r="VJS18" i="10"/>
  <c r="VKI18" i="10"/>
  <c r="VKY18" i="10"/>
  <c r="VLO18" i="10"/>
  <c r="VME18" i="10"/>
  <c r="VMU18" i="10"/>
  <c r="VNK18" i="10"/>
  <c r="VOA18" i="10"/>
  <c r="VOQ18" i="10"/>
  <c r="VPG18" i="10"/>
  <c r="VPW18" i="10"/>
  <c r="VQM18" i="10"/>
  <c r="VRC18" i="10"/>
  <c r="VRS18" i="10"/>
  <c r="VSI18" i="10"/>
  <c r="VSY18" i="10"/>
  <c r="VTO18" i="10"/>
  <c r="VUE18" i="10"/>
  <c r="VUU18" i="10"/>
  <c r="VVK18" i="10"/>
  <c r="VWA18" i="10"/>
  <c r="VWQ18" i="10"/>
  <c r="VXG18" i="10"/>
  <c r="VXW18" i="10"/>
  <c r="VYM18" i="10"/>
  <c r="VZC18" i="10"/>
  <c r="VZS18" i="10"/>
  <c r="WAI18" i="10"/>
  <c r="WAY18" i="10"/>
  <c r="WBO18" i="10"/>
  <c r="WCE18" i="10"/>
  <c r="WCU18" i="10"/>
  <c r="WDK18" i="10"/>
  <c r="WEA18" i="10"/>
  <c r="WEQ18" i="10"/>
  <c r="WFG18" i="10"/>
  <c r="WFW18" i="10"/>
  <c r="WGM18" i="10"/>
  <c r="WHC18" i="10"/>
  <c r="WHS18" i="10"/>
  <c r="WII18" i="10"/>
  <c r="WIY18" i="10"/>
  <c r="WJO18" i="10"/>
  <c r="WKE18" i="10"/>
  <c r="WKU18" i="10"/>
  <c r="WLK18" i="10"/>
  <c r="WMA18" i="10"/>
  <c r="WMQ18" i="10"/>
  <c r="WNG18" i="10"/>
  <c r="WNW18" i="10"/>
  <c r="WOM18" i="10"/>
  <c r="WPC18" i="10"/>
  <c r="WPS18" i="10"/>
  <c r="WQI18" i="10"/>
  <c r="WQY18" i="10"/>
  <c r="WRO18" i="10"/>
  <c r="WSE18" i="10"/>
  <c r="WSU18" i="10"/>
  <c r="WTK18" i="10"/>
  <c r="WUA18" i="10"/>
  <c r="WUQ18" i="10"/>
  <c r="WVG18" i="10"/>
  <c r="WVW18" i="10"/>
  <c r="WWM18" i="10"/>
  <c r="WXC18" i="10"/>
  <c r="WXS18" i="10"/>
  <c r="WYI18" i="10"/>
  <c r="WYY18" i="10"/>
  <c r="WZO18" i="10"/>
  <c r="XAE18" i="10"/>
  <c r="XAU18" i="10"/>
  <c r="XBK18" i="10"/>
  <c r="XCA18" i="10"/>
  <c r="XCQ18" i="10"/>
  <c r="XDG18" i="10"/>
  <c r="XDW18" i="10"/>
  <c r="XEM18" i="10"/>
  <c r="AM19" i="10"/>
  <c r="BC19" i="10"/>
  <c r="BS19" i="10"/>
  <c r="CI19" i="10"/>
  <c r="CY19" i="10"/>
  <c r="DO19" i="10"/>
  <c r="EE19" i="10"/>
  <c r="EU19" i="10"/>
  <c r="FK19" i="10"/>
  <c r="GA19" i="10"/>
  <c r="GQ19" i="10"/>
  <c r="HG19" i="10"/>
  <c r="HW19" i="10"/>
  <c r="IM19" i="10"/>
  <c r="JC19" i="10"/>
  <c r="JS19" i="10"/>
  <c r="KI19" i="10"/>
  <c r="KY19" i="10"/>
  <c r="LO19" i="10"/>
  <c r="ME19" i="10"/>
  <c r="MU19" i="10"/>
  <c r="NK19" i="10"/>
  <c r="OA19" i="10"/>
  <c r="OQ19" i="10"/>
  <c r="PG19" i="10"/>
  <c r="PW19" i="10"/>
  <c r="QM19" i="10"/>
  <c r="RC19" i="10"/>
  <c r="RS19" i="10"/>
  <c r="SI19" i="10"/>
  <c r="SY19" i="10"/>
  <c r="TO19" i="10"/>
  <c r="UE19" i="10"/>
  <c r="UU19" i="10"/>
  <c r="VK19" i="10"/>
  <c r="WA19" i="10"/>
  <c r="WQ19" i="10"/>
  <c r="XG19" i="10"/>
  <c r="XW19" i="10"/>
  <c r="YM19" i="10"/>
  <c r="ZC19" i="10"/>
  <c r="ZS19" i="10"/>
  <c r="AAI19" i="10"/>
  <c r="AAY19" i="10"/>
  <c r="ABO19" i="10"/>
  <c r="ACE19" i="10"/>
  <c r="ACU19" i="10"/>
  <c r="ADK19" i="10"/>
  <c r="AEA19" i="10"/>
  <c r="AEQ19" i="10"/>
  <c r="AFG19" i="10"/>
  <c r="AFW19" i="10"/>
  <c r="AGM19" i="10"/>
  <c r="AHC19" i="10"/>
  <c r="AHS19" i="10"/>
  <c r="AII19" i="10"/>
  <c r="AIY19" i="10"/>
  <c r="AJO19" i="10"/>
  <c r="AKE19" i="10"/>
  <c r="AKU19" i="10"/>
  <c r="ALK19" i="10"/>
  <c r="AMA19" i="10"/>
  <c r="AMQ19" i="10"/>
  <c r="ANG19" i="10"/>
  <c r="ANW19" i="10"/>
  <c r="AOM19" i="10"/>
  <c r="APC19" i="10"/>
  <c r="APS19" i="10"/>
  <c r="AQI19" i="10"/>
  <c r="AQY19" i="10"/>
  <c r="ARO19" i="10"/>
  <c r="ASE19" i="10"/>
  <c r="ASU19" i="10"/>
  <c r="ATK19" i="10"/>
  <c r="AUA19" i="10"/>
  <c r="AUQ19" i="10"/>
  <c r="AVG19" i="10"/>
  <c r="AVW19" i="10"/>
  <c r="AWM19" i="10"/>
  <c r="AXC19" i="10"/>
  <c r="AXS19" i="10"/>
  <c r="AYI19" i="10"/>
  <c r="AYY19" i="10"/>
  <c r="AZO19" i="10"/>
  <c r="BAE19" i="10"/>
  <c r="BAU19" i="10"/>
  <c r="BBK19" i="10"/>
  <c r="BCA19" i="10"/>
  <c r="BCQ19" i="10"/>
  <c r="BDG19" i="10"/>
  <c r="BDW19" i="10"/>
  <c r="BEM19" i="10"/>
  <c r="BFC19" i="10"/>
  <c r="BFS19" i="10"/>
  <c r="BGI19" i="10"/>
  <c r="BGY19" i="10"/>
  <c r="BHO19" i="10"/>
  <c r="BIE19" i="10"/>
  <c r="BIU19" i="10"/>
  <c r="BJK19" i="10"/>
  <c r="BKA19" i="10"/>
  <c r="BKQ19" i="10"/>
  <c r="BLG19" i="10"/>
  <c r="BLW19" i="10"/>
  <c r="BMM19" i="10"/>
  <c r="BNC19" i="10"/>
  <c r="BNS19" i="10"/>
  <c r="BOI19" i="10"/>
  <c r="BOY19" i="10"/>
  <c r="BPO19" i="10"/>
  <c r="BQE19" i="10"/>
  <c r="BQU19" i="10"/>
  <c r="BRK19" i="10"/>
  <c r="BSA19" i="10"/>
  <c r="BSQ19" i="10"/>
  <c r="BTG19" i="10"/>
  <c r="BTW19" i="10"/>
  <c r="BUM19" i="10"/>
  <c r="BVC19" i="10"/>
  <c r="BVS19" i="10"/>
  <c r="BWI19" i="10"/>
  <c r="BWY19" i="10"/>
  <c r="BXO19" i="10"/>
  <c r="BYE19" i="10"/>
  <c r="BYU19" i="10"/>
  <c r="BZK19" i="10"/>
  <c r="CAA19" i="10"/>
  <c r="CAQ19" i="10"/>
  <c r="CBG19" i="10"/>
  <c r="CBW19" i="10"/>
  <c r="CCM19" i="10"/>
  <c r="CDC19" i="10"/>
  <c r="CDS19" i="10"/>
  <c r="CEI19" i="10"/>
  <c r="CEY19" i="10"/>
  <c r="CFO19" i="10"/>
  <c r="CGE19" i="10"/>
  <c r="CGU19" i="10"/>
  <c r="CHK19" i="10"/>
  <c r="CIA19" i="10"/>
  <c r="CIQ19" i="10"/>
  <c r="CJG19" i="10"/>
  <c r="CJW19" i="10"/>
  <c r="CKM19" i="10"/>
  <c r="CLC19" i="10"/>
  <c r="CLS19" i="10"/>
  <c r="CMI19" i="10"/>
  <c r="CMY19" i="10"/>
  <c r="CNO19" i="10"/>
  <c r="COE19" i="10"/>
  <c r="COU19" i="10"/>
  <c r="CPK19" i="10"/>
  <c r="CQA19" i="10"/>
  <c r="CQQ19" i="10"/>
  <c r="CRG19" i="10"/>
  <c r="CRW19" i="10"/>
  <c r="CSM19" i="10"/>
  <c r="CTC19" i="10"/>
  <c r="CTS19" i="10"/>
  <c r="CUI19" i="10"/>
  <c r="CUY19" i="10"/>
  <c r="CVO19" i="10"/>
  <c r="CWE19" i="10"/>
  <c r="CWU19" i="10"/>
  <c r="CXK19" i="10"/>
  <c r="CYA19" i="10"/>
  <c r="CYQ19" i="10"/>
  <c r="CZG19" i="10"/>
  <c r="CZW19" i="10"/>
  <c r="DAM19" i="10"/>
  <c r="DBC19" i="10"/>
  <c r="DBS19" i="10"/>
  <c r="DCI19" i="10"/>
  <c r="DCY19" i="10"/>
  <c r="DDO19" i="10"/>
  <c r="DEE19" i="10"/>
  <c r="DEU19" i="10"/>
  <c r="DFK19" i="10"/>
  <c r="DGA19" i="10"/>
  <c r="DGQ19" i="10"/>
  <c r="DHG19" i="10"/>
  <c r="DHW19" i="10"/>
  <c r="DIM19" i="10"/>
  <c r="DJC19" i="10"/>
  <c r="DJS19" i="10"/>
  <c r="DKI19" i="10"/>
  <c r="DKY19" i="10"/>
  <c r="DLO19" i="10"/>
  <c r="DME19" i="10"/>
  <c r="DMU19" i="10"/>
  <c r="TTV18" i="10"/>
  <c r="TVF18" i="10"/>
  <c r="TWH18" i="10"/>
  <c r="TXJ18" i="10"/>
  <c r="TYN18" i="10"/>
  <c r="TZP18" i="10"/>
  <c r="UAR18" i="10"/>
  <c r="UBU18" i="10"/>
  <c r="UCW18" i="10"/>
  <c r="UDY18" i="10"/>
  <c r="UFB18" i="10"/>
  <c r="UGD18" i="10"/>
  <c r="UHF18" i="10"/>
  <c r="UIJ18" i="10"/>
  <c r="UJL18" i="10"/>
  <c r="UKN18" i="10"/>
  <c r="ULQ18" i="10"/>
  <c r="UMS18" i="10"/>
  <c r="UNU18" i="10"/>
  <c r="UOX18" i="10"/>
  <c r="UPZ18" i="10"/>
  <c r="URB18" i="10"/>
  <c r="USF18" i="10"/>
  <c r="UTH18" i="10"/>
  <c r="UUJ18" i="10"/>
  <c r="UVM18" i="10"/>
  <c r="UWO18" i="10"/>
  <c r="UXQ18" i="10"/>
  <c r="UYT18" i="10"/>
  <c r="UZP18" i="10"/>
  <c r="VAK18" i="10"/>
  <c r="VBF18" i="10"/>
  <c r="VCB18" i="10"/>
  <c r="VCV18" i="10"/>
  <c r="VDL18" i="10"/>
  <c r="VEB18" i="10"/>
  <c r="VER18" i="10"/>
  <c r="VFH18" i="10"/>
  <c r="VFX18" i="10"/>
  <c r="VGN18" i="10"/>
  <c r="VHD18" i="10"/>
  <c r="VHT18" i="10"/>
  <c r="VIJ18" i="10"/>
  <c r="VIZ18" i="10"/>
  <c r="VJP18" i="10"/>
  <c r="VKF18" i="10"/>
  <c r="VKV18" i="10"/>
  <c r="VLL18" i="10"/>
  <c r="VMB18" i="10"/>
  <c r="VMR18" i="10"/>
  <c r="VNH18" i="10"/>
  <c r="VNX18" i="10"/>
  <c r="VON18" i="10"/>
  <c r="VPD18" i="10"/>
  <c r="VPT18" i="10"/>
  <c r="VQJ18" i="10"/>
  <c r="VQZ18" i="10"/>
  <c r="VRP18" i="10"/>
  <c r="VSF18" i="10"/>
  <c r="VSV18" i="10"/>
  <c r="VTL18" i="10"/>
  <c r="VUB18" i="10"/>
  <c r="VUR18" i="10"/>
  <c r="VVH18" i="10"/>
  <c r="VVX18" i="10"/>
  <c r="VWN18" i="10"/>
  <c r="VXD18" i="10"/>
  <c r="VXT18" i="10"/>
  <c r="VYJ18" i="10"/>
  <c r="VYZ18" i="10"/>
  <c r="VZP18" i="10"/>
  <c r="WAF18" i="10"/>
  <c r="WAV18" i="10"/>
  <c r="WBL18" i="10"/>
  <c r="WCB18" i="10"/>
  <c r="WCR18" i="10"/>
  <c r="WDH18" i="10"/>
  <c r="WDX18" i="10"/>
  <c r="WEN18" i="10"/>
  <c r="WFD18" i="10"/>
  <c r="WFT18" i="10"/>
  <c r="WGJ18" i="10"/>
  <c r="WGZ18" i="10"/>
  <c r="WHP18" i="10"/>
  <c r="WIF18" i="10"/>
  <c r="WIV18" i="10"/>
  <c r="WJL18" i="10"/>
  <c r="WKB18" i="10"/>
  <c r="WKR18" i="10"/>
  <c r="WLH18" i="10"/>
  <c r="WLX18" i="10"/>
  <c r="WMN18" i="10"/>
  <c r="WND18" i="10"/>
  <c r="WNT18" i="10"/>
  <c r="WOJ18" i="10"/>
  <c r="WOZ18" i="10"/>
  <c r="WPP18" i="10"/>
  <c r="WQF18" i="10"/>
  <c r="WQV18" i="10"/>
  <c r="WRL18" i="10"/>
  <c r="WSB18" i="10"/>
  <c r="WSR18" i="10"/>
  <c r="WTH18" i="10"/>
  <c r="WTX18" i="10"/>
  <c r="WUN18" i="10"/>
  <c r="WVD18" i="10"/>
  <c r="WVT18" i="10"/>
  <c r="WWJ18" i="10"/>
  <c r="WWZ18" i="10"/>
  <c r="WXP18" i="10"/>
  <c r="WYF18" i="10"/>
  <c r="WYV18" i="10"/>
  <c r="WZL18" i="10"/>
  <c r="XAB18" i="10"/>
  <c r="XAR18" i="10"/>
  <c r="XBH18" i="10"/>
  <c r="XBX18" i="10"/>
  <c r="XCN18" i="10"/>
  <c r="XDD18" i="10"/>
  <c r="XDT18" i="10"/>
  <c r="XEJ18" i="10"/>
  <c r="AN19" i="10"/>
  <c r="BD19" i="10"/>
  <c r="BT19" i="10"/>
  <c r="CJ19" i="10"/>
  <c r="CZ19" i="10"/>
  <c r="DP19" i="10"/>
  <c r="EF19" i="10"/>
  <c r="EV19" i="10"/>
  <c r="FL19" i="10"/>
  <c r="GB19" i="10"/>
  <c r="GR19" i="10"/>
  <c r="HH19" i="10"/>
  <c r="HX19" i="10"/>
  <c r="IN19" i="10"/>
  <c r="JD19" i="10"/>
  <c r="JT19" i="10"/>
  <c r="KJ19" i="10"/>
  <c r="KZ19" i="10"/>
  <c r="LP19" i="10"/>
  <c r="MF19" i="10"/>
  <c r="MV19" i="10"/>
  <c r="NL19" i="10"/>
  <c r="OB19" i="10"/>
  <c r="OR19" i="10"/>
  <c r="PH19" i="10"/>
  <c r="PX19" i="10"/>
  <c r="QN19" i="10"/>
  <c r="RD19" i="10"/>
  <c r="RT19" i="10"/>
  <c r="SJ19" i="10"/>
  <c r="SZ19" i="10"/>
  <c r="TP19" i="10"/>
  <c r="UF19" i="10"/>
  <c r="UV19" i="10"/>
  <c r="VL19" i="10"/>
  <c r="WB19" i="10"/>
  <c r="WR19" i="10"/>
  <c r="XH19" i="10"/>
  <c r="XX19" i="10"/>
  <c r="YN19" i="10"/>
  <c r="ZD19" i="10"/>
  <c r="ZT19" i="10"/>
  <c r="AAJ19" i="10"/>
  <c r="AAZ19" i="10"/>
  <c r="ABP19" i="10"/>
  <c r="ACF19" i="10"/>
  <c r="ACV19" i="10"/>
  <c r="ADL19" i="10"/>
  <c r="AEB19" i="10"/>
  <c r="AER19" i="10"/>
  <c r="AGR19" i="10"/>
  <c r="AJD19" i="10"/>
  <c r="ALP19" i="10"/>
  <c r="AOB19" i="10"/>
  <c r="AQN19" i="10"/>
  <c r="ASZ19" i="10"/>
  <c r="AVL19" i="10"/>
  <c r="AXX19" i="10"/>
  <c r="AZM19" i="10"/>
  <c r="BAS19" i="10"/>
  <c r="BBY19" i="10"/>
  <c r="BDE19" i="10"/>
  <c r="BEK19" i="10"/>
  <c r="BFM19" i="10"/>
  <c r="BGH19" i="10"/>
  <c r="BHD19" i="10"/>
  <c r="BHY19" i="10"/>
  <c r="BIT19" i="10"/>
  <c r="BJP19" i="10"/>
  <c r="BKK19" i="10"/>
  <c r="BLF19" i="10"/>
  <c r="BMB19" i="10"/>
  <c r="BMW19" i="10"/>
  <c r="BNR19" i="10"/>
  <c r="BON19" i="10"/>
  <c r="BPI19" i="10"/>
  <c r="BQD19" i="10"/>
  <c r="BQZ19" i="10"/>
  <c r="BRU19" i="10"/>
  <c r="BSP19" i="10"/>
  <c r="BTL19" i="10"/>
  <c r="BUG19" i="10"/>
  <c r="BVB19" i="10"/>
  <c r="BVX19" i="10"/>
  <c r="BWS19" i="10"/>
  <c r="BXN19" i="10"/>
  <c r="BYJ19" i="10"/>
  <c r="BZE19" i="10"/>
  <c r="BZZ19" i="10"/>
  <c r="CAV19" i="10"/>
  <c r="CBQ19" i="10"/>
  <c r="CCL19" i="10"/>
  <c r="CDH19" i="10"/>
  <c r="CEC19" i="10"/>
  <c r="CEX19" i="10"/>
  <c r="CFT19" i="10"/>
  <c r="CGO19" i="10"/>
  <c r="CHJ19" i="10"/>
  <c r="CIF19" i="10"/>
  <c r="CJA19" i="10"/>
  <c r="CJV19" i="10"/>
  <c r="CKR19" i="10"/>
  <c r="CLM19" i="10"/>
  <c r="CMH19" i="10"/>
  <c r="CND19" i="10"/>
  <c r="CNY19" i="10"/>
  <c r="COT19" i="10"/>
  <c r="CPP19" i="10"/>
  <c r="CQK19" i="10"/>
  <c r="CRF19" i="10"/>
  <c r="CSB19" i="10"/>
  <c r="CSW19" i="10"/>
  <c r="CTR19" i="10"/>
  <c r="CUN19" i="10"/>
  <c r="CVI19" i="10"/>
  <c r="CWD19" i="10"/>
  <c r="CWZ19" i="10"/>
  <c r="CXU19" i="10"/>
  <c r="CYP19" i="10"/>
  <c r="CZL19" i="10"/>
  <c r="DAG19" i="10"/>
  <c r="DBB19" i="10"/>
  <c r="DBX19" i="10"/>
  <c r="DCS19" i="10"/>
  <c r="DDN19" i="10"/>
  <c r="DEJ19" i="10"/>
  <c r="DFE19" i="10"/>
  <c r="DFZ19" i="10"/>
  <c r="DGV19" i="10"/>
  <c r="DHQ19" i="10"/>
  <c r="DIL19" i="10"/>
  <c r="DJH19" i="10"/>
  <c r="DKC19" i="10"/>
  <c r="DKX19" i="10"/>
  <c r="DLT19" i="10"/>
  <c r="DMO19" i="10"/>
  <c r="DNJ19" i="10"/>
  <c r="DNZ19" i="10"/>
  <c r="DOP19" i="10"/>
  <c r="DPF19" i="10"/>
  <c r="DPV19" i="10"/>
  <c r="DQL19" i="10"/>
  <c r="DRB19" i="10"/>
  <c r="DRR19" i="10"/>
  <c r="DSH19" i="10"/>
  <c r="DSX19" i="10"/>
  <c r="DTN19" i="10"/>
  <c r="DUD19" i="10"/>
  <c r="DUT19" i="10"/>
  <c r="DVJ19" i="10"/>
  <c r="DVZ19" i="10"/>
  <c r="DWP19" i="10"/>
  <c r="DXF19" i="10"/>
  <c r="DXV19" i="10"/>
  <c r="DYL19" i="10"/>
  <c r="DZB19" i="10"/>
  <c r="DZR19" i="10"/>
  <c r="EAH19" i="10"/>
  <c r="EAX19" i="10"/>
  <c r="EBN19" i="10"/>
  <c r="ECD19" i="10"/>
  <c r="ECT19" i="10"/>
  <c r="EDJ19" i="10"/>
  <c r="EDZ19" i="10"/>
  <c r="EEP19" i="10"/>
  <c r="EFF19" i="10"/>
  <c r="EFV19" i="10"/>
  <c r="EGL19" i="10"/>
  <c r="EHB19" i="10"/>
  <c r="EHR19" i="10"/>
  <c r="EIH19" i="10"/>
  <c r="EIX19" i="10"/>
  <c r="EJN19" i="10"/>
  <c r="EKD19" i="10"/>
  <c r="EKT19" i="10"/>
  <c r="ELJ19" i="10"/>
  <c r="ELZ19" i="10"/>
  <c r="EMP19" i="10"/>
  <c r="ENF19" i="10"/>
  <c r="ENV19" i="10"/>
  <c r="EOL19" i="10"/>
  <c r="EPB19" i="10"/>
  <c r="EPR19" i="10"/>
  <c r="EQH19" i="10"/>
  <c r="EQX19" i="10"/>
  <c r="ERN19" i="10"/>
  <c r="ESD19" i="10"/>
  <c r="EST19" i="10"/>
  <c r="ETJ19" i="10"/>
  <c r="ETZ19" i="10"/>
  <c r="EUP19" i="10"/>
  <c r="EVF19" i="10"/>
  <c r="EVV19" i="10"/>
  <c r="EWL19" i="10"/>
  <c r="EXB19" i="10"/>
  <c r="EXR19" i="10"/>
  <c r="EYH19" i="10"/>
  <c r="EYX19" i="10"/>
  <c r="EZN19" i="10"/>
  <c r="FAD19" i="10"/>
  <c r="FAT19" i="10"/>
  <c r="FBJ19" i="10"/>
  <c r="FBZ19" i="10"/>
  <c r="FCP19" i="10"/>
  <c r="FDF19" i="10"/>
  <c r="FDV19" i="10"/>
  <c r="FEL19" i="10"/>
  <c r="FFB19" i="10"/>
  <c r="FFR19" i="10"/>
  <c r="FGH19" i="10"/>
  <c r="FGX19" i="10"/>
  <c r="FHN19" i="10"/>
  <c r="FID19" i="10"/>
  <c r="FIT19" i="10"/>
  <c r="FJJ19" i="10"/>
  <c r="FJZ19" i="10"/>
  <c r="FKP19" i="10"/>
  <c r="FLF19" i="10"/>
  <c r="FLV19" i="10"/>
  <c r="FML19" i="10"/>
  <c r="FNB19" i="10"/>
  <c r="FNR19" i="10"/>
  <c r="FOH19" i="10"/>
  <c r="FOX19" i="10"/>
  <c r="FPN19" i="10"/>
  <c r="FQD19" i="10"/>
  <c r="FQT19" i="10"/>
  <c r="FRJ19" i="10"/>
  <c r="FRZ19" i="10"/>
  <c r="FSP19" i="10"/>
  <c r="FTF19" i="10"/>
  <c r="FTV19" i="10"/>
  <c r="FUL19" i="10"/>
  <c r="FVB19" i="10"/>
  <c r="FVR19" i="10"/>
  <c r="FWH19" i="10"/>
  <c r="FWX19" i="10"/>
  <c r="FXN19" i="10"/>
  <c r="FYD19" i="10"/>
  <c r="FYT19" i="10"/>
  <c r="FZJ19" i="10"/>
  <c r="FZZ19" i="10"/>
  <c r="GAP19" i="10"/>
  <c r="GBF19" i="10"/>
  <c r="GBV19" i="10"/>
  <c r="GCL19" i="10"/>
  <c r="GDB19" i="10"/>
  <c r="GDR19" i="10"/>
  <c r="GEH19" i="10"/>
  <c r="GEX19" i="10"/>
  <c r="GFN19" i="10"/>
  <c r="GGD19" i="10"/>
  <c r="GGT19" i="10"/>
  <c r="GHJ19" i="10"/>
  <c r="GHZ19" i="10"/>
  <c r="GIP19" i="10"/>
  <c r="GJF19" i="10"/>
  <c r="GJV19" i="10"/>
  <c r="GKL19" i="10"/>
  <c r="GLB19" i="10"/>
  <c r="GLR19" i="10"/>
  <c r="GMH19" i="10"/>
  <c r="GMX19" i="10"/>
  <c r="GNN19" i="10"/>
  <c r="GOD19" i="10"/>
  <c r="GOT19" i="10"/>
  <c r="GPJ19" i="10"/>
  <c r="GPZ19" i="10"/>
  <c r="GQP19" i="10"/>
  <c r="GRF19" i="10"/>
  <c r="GRV19" i="10"/>
  <c r="GSL19" i="10"/>
  <c r="GTB19" i="10"/>
  <c r="GTR19" i="10"/>
  <c r="GUH19" i="10"/>
  <c r="GUX19" i="10"/>
  <c r="GVN19" i="10"/>
  <c r="GWD19" i="10"/>
  <c r="GWT19" i="10"/>
  <c r="GXJ19" i="10"/>
  <c r="GXZ19" i="10"/>
  <c r="GYP19" i="10"/>
  <c r="GZF19" i="10"/>
  <c r="GZV19" i="10"/>
  <c r="HAL19" i="10"/>
  <c r="HBB19" i="10"/>
  <c r="HBR19" i="10"/>
  <c r="HCH19" i="10"/>
  <c r="HCX19" i="10"/>
  <c r="HDN19" i="10"/>
  <c r="HED19" i="10"/>
  <c r="HET19" i="10"/>
  <c r="AFP19" i="10"/>
  <c r="AIB19" i="10"/>
  <c r="AKN19" i="10"/>
  <c r="AMZ19" i="10"/>
  <c r="APL19" i="10"/>
  <c r="ARX19" i="10"/>
  <c r="AUJ19" i="10"/>
  <c r="AWV19" i="10"/>
  <c r="AYZ19" i="10"/>
  <c r="BAF19" i="10"/>
  <c r="BBL19" i="10"/>
  <c r="BCR19" i="10"/>
  <c r="BDX19" i="10"/>
  <c r="BFD19" i="10"/>
  <c r="BFY19" i="10"/>
  <c r="BGT19" i="10"/>
  <c r="BHP19" i="10"/>
  <c r="BIK19" i="10"/>
  <c r="BJF19" i="10"/>
  <c r="BKB19" i="10"/>
  <c r="BKW19" i="10"/>
  <c r="BLR19" i="10"/>
  <c r="BMN19" i="10"/>
  <c r="BNI19" i="10"/>
  <c r="BOD19" i="10"/>
  <c r="BOZ19" i="10"/>
  <c r="BPU19" i="10"/>
  <c r="BQP19" i="10"/>
  <c r="BRL19" i="10"/>
  <c r="BSG19" i="10"/>
  <c r="BTB19" i="10"/>
  <c r="BTX19" i="10"/>
  <c r="BUS19" i="10"/>
  <c r="BVN19" i="10"/>
  <c r="BWJ19" i="10"/>
  <c r="BXE19" i="10"/>
  <c r="BXZ19" i="10"/>
  <c r="BYV19" i="10"/>
  <c r="BZQ19" i="10"/>
  <c r="CAL19" i="10"/>
  <c r="CBH19" i="10"/>
  <c r="CCC19" i="10"/>
  <c r="CCX19" i="10"/>
  <c r="CDT19" i="10"/>
  <c r="CEO19" i="10"/>
  <c r="CFJ19" i="10"/>
  <c r="CGF19" i="10"/>
  <c r="CHA19" i="10"/>
  <c r="CHV19" i="10"/>
  <c r="CIR19" i="10"/>
  <c r="CJM19" i="10"/>
  <c r="CKH19" i="10"/>
  <c r="CLD19" i="10"/>
  <c r="CLY19" i="10"/>
  <c r="CMT19" i="10"/>
  <c r="CNP19" i="10"/>
  <c r="COK19" i="10"/>
  <c r="CPF19" i="10"/>
  <c r="CQB19" i="10"/>
  <c r="CQW19" i="10"/>
  <c r="CRR19" i="10"/>
  <c r="CSN19" i="10"/>
  <c r="CTI19" i="10"/>
  <c r="CUD19" i="10"/>
  <c r="CUZ19" i="10"/>
  <c r="CVU19" i="10"/>
  <c r="CWP19" i="10"/>
  <c r="CXL19" i="10"/>
  <c r="CYG19" i="10"/>
  <c r="CZB19" i="10"/>
  <c r="CZX19" i="10"/>
  <c r="DAS19" i="10"/>
  <c r="DBN19" i="10"/>
  <c r="DCJ19" i="10"/>
  <c r="DDE19" i="10"/>
  <c r="DDZ19" i="10"/>
  <c r="DEV19" i="10"/>
  <c r="DFQ19" i="10"/>
  <c r="DGL19" i="10"/>
  <c r="DHH19" i="10"/>
  <c r="DIC19" i="10"/>
  <c r="DIX19" i="10"/>
  <c r="KXP18" i="10"/>
  <c r="LFP18" i="10"/>
  <c r="LLT18" i="10"/>
  <c r="LQR18" i="10"/>
  <c r="LVP18" i="10"/>
  <c r="LZP18" i="10"/>
  <c r="MCW18" i="10"/>
  <c r="MGD18" i="10"/>
  <c r="MJL18" i="10"/>
  <c r="MMS18" i="10"/>
  <c r="MPZ18" i="10"/>
  <c r="MTH18" i="10"/>
  <c r="MWO18" i="10"/>
  <c r="MZV18" i="10"/>
  <c r="LCB18" i="10"/>
  <c r="LJY18" i="10"/>
  <c r="LOW18" i="10"/>
  <c r="LTU18" i="10"/>
  <c r="LYK18" i="10"/>
  <c r="MBR18" i="10"/>
  <c r="MEZ18" i="10"/>
  <c r="MIG18" i="10"/>
  <c r="MLN18" i="10"/>
  <c r="MOV18" i="10"/>
  <c r="MSC18" i="10"/>
  <c r="MVJ18" i="10"/>
  <c r="MYR18" i="10"/>
  <c r="NBY18" i="10"/>
  <c r="NEW18" i="10"/>
  <c r="NHI18" i="10"/>
  <c r="NJU18" i="10"/>
  <c r="NMG18" i="10"/>
  <c r="NOS18" i="10"/>
  <c r="NRE18" i="10"/>
  <c r="NTQ18" i="10"/>
  <c r="NWC18" i="10"/>
  <c r="NYO18" i="10"/>
  <c r="OBA18" i="10"/>
  <c r="ODM18" i="10"/>
  <c r="OFY18" i="10"/>
  <c r="OIK18" i="10"/>
  <c r="OKW18" i="10"/>
  <c r="ONI18" i="10"/>
  <c r="OPU18" i="10"/>
  <c r="OSG18" i="10"/>
  <c r="OUS18" i="10"/>
  <c r="OXE18" i="10"/>
  <c r="OZQ18" i="10"/>
  <c r="PCC18" i="10"/>
  <c r="PEO18" i="10"/>
  <c r="PHA18" i="10"/>
  <c r="PJM18" i="10"/>
  <c r="PLY18" i="10"/>
  <c r="POK18" i="10"/>
  <c r="PQW18" i="10"/>
  <c r="PTI18" i="10"/>
  <c r="PVU18" i="10"/>
  <c r="LFX18" i="10"/>
  <c r="LLX18" i="10"/>
  <c r="LQV18" i="10"/>
  <c r="LVT18" i="10"/>
  <c r="LZR18" i="10"/>
  <c r="MCZ18" i="10"/>
  <c r="MGG18" i="10"/>
  <c r="MJN18" i="10"/>
  <c r="MMV18" i="10"/>
  <c r="MQC18" i="10"/>
  <c r="MTJ18" i="10"/>
  <c r="MWR18" i="10"/>
  <c r="MZY18" i="10"/>
  <c r="NDF18" i="10"/>
  <c r="NFV18" i="10"/>
  <c r="NIH18" i="10"/>
  <c r="NKT18" i="10"/>
  <c r="NNF18" i="10"/>
  <c r="NPR18" i="10"/>
  <c r="NSD18" i="10"/>
  <c r="NUP18" i="10"/>
  <c r="NXB18" i="10"/>
  <c r="NZN18" i="10"/>
  <c r="OBZ18" i="10"/>
  <c r="OEL18" i="10"/>
  <c r="OGX18" i="10"/>
  <c r="OJJ18" i="10"/>
  <c r="OLV18" i="10"/>
  <c r="LDP18" i="10"/>
  <c r="LKS18" i="10"/>
  <c r="LPQ18" i="10"/>
  <c r="LUO18" i="10"/>
  <c r="LYX18" i="10"/>
  <c r="MCF18" i="10"/>
  <c r="MFM18" i="10"/>
  <c r="MIT18" i="10"/>
  <c r="MMB18" i="10"/>
  <c r="MPI18" i="10"/>
  <c r="MWH18" i="10"/>
  <c r="NFD18" i="10"/>
  <c r="NKB18" i="10"/>
  <c r="NOZ18" i="10"/>
  <c r="NTX18" i="10"/>
  <c r="NYV18" i="10"/>
  <c r="ODT18" i="10"/>
  <c r="OIR18" i="10"/>
  <c r="ONK18" i="10"/>
  <c r="OPB18" i="10"/>
  <c r="OQR18" i="10"/>
  <c r="OSI18" i="10"/>
  <c r="OTZ18" i="10"/>
  <c r="OVP18" i="10"/>
  <c r="OXG18" i="10"/>
  <c r="OYX18" i="10"/>
  <c r="PAN18" i="10"/>
  <c r="PCE18" i="10"/>
  <c r="PDV18" i="10"/>
  <c r="PFL18" i="10"/>
  <c r="PHC18" i="10"/>
  <c r="PIT18" i="10"/>
  <c r="PKJ18" i="10"/>
  <c r="PMA18" i="10"/>
  <c r="PNR18" i="10"/>
  <c r="PPH18" i="10"/>
  <c r="PQY18" i="10"/>
  <c r="PSP18" i="10"/>
  <c r="PUF18" i="10"/>
  <c r="PVW18" i="10"/>
  <c r="PXF18" i="10"/>
  <c r="PYL18" i="10"/>
  <c r="PZR18" i="10"/>
  <c r="QAX18" i="10"/>
  <c r="QCD18" i="10"/>
  <c r="QDJ18" i="10"/>
  <c r="QEP18" i="10"/>
  <c r="QFV18" i="10"/>
  <c r="QHB18" i="10"/>
  <c r="QIH18" i="10"/>
  <c r="QJN18" i="10"/>
  <c r="QKT18" i="10"/>
  <c r="QLZ18" i="10"/>
  <c r="QNF18" i="10"/>
  <c r="QOL18" i="10"/>
  <c r="QPR18" i="10"/>
  <c r="QQX18" i="10"/>
  <c r="QSD18" i="10"/>
  <c r="QTJ18" i="10"/>
  <c r="QUP18" i="10"/>
  <c r="QVV18" i="10"/>
  <c r="QXB18" i="10"/>
  <c r="QYH18" i="10"/>
  <c r="QZN18" i="10"/>
  <c r="RAT18" i="10"/>
  <c r="RBZ18" i="10"/>
  <c r="RDF18" i="10"/>
  <c r="REL18" i="10"/>
  <c r="RFR18" i="10"/>
  <c r="RGX18" i="10"/>
  <c r="RID18" i="10"/>
  <c r="RJJ18" i="10"/>
  <c r="RKP18" i="10"/>
  <c r="RLV18" i="10"/>
  <c r="RNB18" i="10"/>
  <c r="ROH18" i="10"/>
  <c r="RPN18" i="10"/>
  <c r="RQT18" i="10"/>
  <c r="RRZ18" i="10"/>
  <c r="RTF18" i="10"/>
  <c r="RUL18" i="10"/>
  <c r="RVR18" i="10"/>
  <c r="RWX18" i="10"/>
  <c r="RYD18" i="10"/>
  <c r="RZJ18" i="10"/>
  <c r="SAP18" i="10"/>
  <c r="SBV18" i="10"/>
  <c r="MUW18" i="10"/>
  <c r="NBL18" i="10"/>
  <c r="NEQ18" i="10"/>
  <c r="NHC18" i="10"/>
  <c r="NJO18" i="10"/>
  <c r="NMA18" i="10"/>
  <c r="NOM18" i="10"/>
  <c r="NQY18" i="10"/>
  <c r="NTK18" i="10"/>
  <c r="NVW18" i="10"/>
  <c r="NYI18" i="10"/>
  <c r="OAU18" i="10"/>
  <c r="ODG18" i="10"/>
  <c r="OFS18" i="10"/>
  <c r="OIE18" i="10"/>
  <c r="OKQ18" i="10"/>
  <c r="ONB18" i="10"/>
  <c r="OOR18" i="10"/>
  <c r="OQI18" i="10"/>
  <c r="ORZ18" i="10"/>
  <c r="OTP18" i="10"/>
  <c r="OVG18" i="10"/>
  <c r="OWX18" i="10"/>
  <c r="OYN18" i="10"/>
  <c r="PAE18" i="10"/>
  <c r="PBV18" i="10"/>
  <c r="PDL18" i="10"/>
  <c r="PFC18" i="10"/>
  <c r="PGT18" i="10"/>
  <c r="PIJ18" i="10"/>
  <c r="PKA18" i="10"/>
  <c r="PLR18" i="10"/>
  <c r="PNH18" i="10"/>
  <c r="POY18" i="10"/>
  <c r="PQP18" i="10"/>
  <c r="PSF18" i="10"/>
  <c r="PTW18" i="10"/>
  <c r="PVN18" i="10"/>
  <c r="PWY18" i="10"/>
  <c r="PYE18" i="10"/>
  <c r="PZK18" i="10"/>
  <c r="QAQ18" i="10"/>
  <c r="QBW18" i="10"/>
  <c r="QDC18" i="10"/>
  <c r="QEI18" i="10"/>
  <c r="QFO18" i="10"/>
  <c r="QGU18" i="10"/>
  <c r="QIA18" i="10"/>
  <c r="QJG18" i="10"/>
  <c r="QKM18" i="10"/>
  <c r="QLS18" i="10"/>
  <c r="QMY18" i="10"/>
  <c r="QOE18" i="10"/>
  <c r="QPK18" i="10"/>
  <c r="QQQ18" i="10"/>
  <c r="QRW18" i="10"/>
  <c r="QTC18" i="10"/>
  <c r="QUI18" i="10"/>
  <c r="QVO18" i="10"/>
  <c r="QWU18" i="10"/>
  <c r="QYA18" i="10"/>
  <c r="QZG18" i="10"/>
  <c r="RAM18" i="10"/>
  <c r="RBS18" i="10"/>
  <c r="RCY18" i="10"/>
  <c r="REE18" i="10"/>
  <c r="RFK18" i="10"/>
  <c r="RGQ18" i="10"/>
  <c r="RHW18" i="10"/>
  <c r="RJC18" i="10"/>
  <c r="RKI18" i="10"/>
  <c r="RLO18" i="10"/>
  <c r="RMU18" i="10"/>
  <c r="ROA18" i="10"/>
  <c r="RPG18" i="10"/>
  <c r="RQM18" i="10"/>
  <c r="RRS18" i="10"/>
  <c r="RSY18" i="10"/>
  <c r="RUE18" i="10"/>
  <c r="RVK18" i="10"/>
  <c r="RWQ18" i="10"/>
  <c r="RXW18" i="10"/>
  <c r="RZC18" i="10"/>
  <c r="SAI18" i="10"/>
  <c r="SBO18" i="10"/>
  <c r="SCU18" i="10"/>
  <c r="SEA18" i="10"/>
  <c r="SFG18" i="10"/>
  <c r="SGM18" i="10"/>
  <c r="SHS18" i="10"/>
  <c r="SIY18" i="10"/>
  <c r="SKE18" i="10"/>
  <c r="SLK18" i="10"/>
  <c r="SMQ18" i="10"/>
  <c r="SNW18" i="10"/>
  <c r="SPC18" i="10"/>
  <c r="SQI18" i="10"/>
  <c r="SRO18" i="10"/>
  <c r="SSU18" i="10"/>
  <c r="SUA18" i="10"/>
  <c r="SVG18" i="10"/>
  <c r="SWM18" i="10"/>
  <c r="SXS18" i="10"/>
  <c r="SYY18" i="10"/>
  <c r="TAE18" i="10"/>
  <c r="TBK18" i="10"/>
  <c r="TCQ18" i="10"/>
  <c r="TDW18" i="10"/>
  <c r="TFC18" i="10"/>
  <c r="TGI18" i="10"/>
  <c r="THO18" i="10"/>
  <c r="TIU18" i="10"/>
  <c r="TKA18" i="10"/>
  <c r="TLG18" i="10"/>
  <c r="TMM18" i="10"/>
  <c r="TNS18" i="10"/>
  <c r="TOY18" i="10"/>
  <c r="TQE18" i="10"/>
  <c r="TRK18" i="10"/>
  <c r="TSQ18" i="10"/>
  <c r="TTW18" i="10"/>
  <c r="TVC18" i="10"/>
  <c r="TWI18" i="10"/>
  <c r="TXO18" i="10"/>
  <c r="TYU18" i="10"/>
  <c r="UAA18" i="10"/>
  <c r="UBG18" i="10"/>
  <c r="UCM18" i="10"/>
  <c r="UDS18" i="10"/>
  <c r="UEY18" i="10"/>
  <c r="UGE18" i="10"/>
  <c r="UHK18" i="10"/>
  <c r="UIQ18" i="10"/>
  <c r="UJW18" i="10"/>
  <c r="ULC18" i="10"/>
  <c r="UMI18" i="10"/>
  <c r="UNO18" i="10"/>
  <c r="UOU18" i="10"/>
  <c r="UQA18" i="10"/>
  <c r="URG18" i="10"/>
  <c r="USM18" i="10"/>
  <c r="UTS18" i="10"/>
  <c r="UUM18" i="10"/>
  <c r="UVG18" i="10"/>
  <c r="UWE18" i="10"/>
  <c r="UWY18" i="10"/>
  <c r="UXS18" i="10"/>
  <c r="UYQ18" i="10"/>
  <c r="UZK18" i="10"/>
  <c r="VAE18" i="10"/>
  <c r="VBC18" i="10"/>
  <c r="VBW18" i="10"/>
  <c r="VCQ18" i="10"/>
  <c r="MVX18" i="10"/>
  <c r="MZZ18" i="10"/>
  <c r="NCX18" i="10"/>
  <c r="NEZ18" i="10"/>
  <c r="NGN18" i="10"/>
  <c r="NIB18" i="10"/>
  <c r="NJX18" i="10"/>
  <c r="NLL18" i="10"/>
  <c r="NMZ18" i="10"/>
  <c r="NOV18" i="10"/>
  <c r="NQJ18" i="10"/>
  <c r="NRX18" i="10"/>
  <c r="NTT18" i="10"/>
  <c r="NVH18" i="10"/>
  <c r="NWV18" i="10"/>
  <c r="NYR18" i="10"/>
  <c r="OAF18" i="10"/>
  <c r="OBT18" i="10"/>
  <c r="ODP18" i="10"/>
  <c r="OFD18" i="10"/>
  <c r="OGR18" i="10"/>
  <c r="OIN18" i="10"/>
  <c r="OKB18" i="10"/>
  <c r="OLP18" i="10"/>
  <c r="ONH18" i="10"/>
  <c r="OOI18" i="10"/>
  <c r="OPJ18" i="10"/>
  <c r="OQP18" i="10"/>
  <c r="ORP18" i="10"/>
  <c r="OSQ18" i="10"/>
  <c r="OTW18" i="10"/>
  <c r="OUX18" i="10"/>
  <c r="OVX18" i="10"/>
  <c r="OXD18" i="10"/>
  <c r="OYE18" i="10"/>
  <c r="OZF18" i="10"/>
  <c r="PAL18" i="10"/>
  <c r="PBL18" i="10"/>
  <c r="PCM18" i="10"/>
  <c r="PDS18" i="10"/>
  <c r="PET18" i="10"/>
  <c r="PFT18" i="10"/>
  <c r="PGZ18" i="10"/>
  <c r="PIA18" i="10"/>
  <c r="PJB18" i="10"/>
  <c r="PKH18" i="10"/>
  <c r="PLH18" i="10"/>
  <c r="PMI18" i="10"/>
  <c r="PNO18" i="10"/>
  <c r="POP18" i="10"/>
  <c r="PPP18" i="10"/>
  <c r="PQV18" i="10"/>
  <c r="PRW18" i="10"/>
  <c r="PSX18" i="10"/>
  <c r="PUD18" i="10"/>
  <c r="PVD18" i="10"/>
  <c r="PWE18" i="10"/>
  <c r="PXD18" i="10"/>
  <c r="PXX18" i="10"/>
  <c r="PYR18" i="10"/>
  <c r="PZP18" i="10"/>
  <c r="QAJ18" i="10"/>
  <c r="QBD18" i="10"/>
  <c r="QCB18" i="10"/>
  <c r="QCV18" i="10"/>
  <c r="QDP18" i="10"/>
  <c r="QEN18" i="10"/>
  <c r="QFH18" i="10"/>
  <c r="QGB18" i="10"/>
  <c r="QGZ18" i="10"/>
  <c r="QHT18" i="10"/>
  <c r="QIN18" i="10"/>
  <c r="QJL18" i="10"/>
  <c r="QKF18" i="10"/>
  <c r="QKZ18" i="10"/>
  <c r="QLX18" i="10"/>
  <c r="QMR18" i="10"/>
  <c r="QNL18" i="10"/>
  <c r="QOJ18" i="10"/>
  <c r="QPD18" i="10"/>
  <c r="QPX18" i="10"/>
  <c r="QQV18" i="10"/>
  <c r="QRP18" i="10"/>
  <c r="QSJ18" i="10"/>
  <c r="QTH18" i="10"/>
  <c r="QUB18" i="10"/>
  <c r="QUV18" i="10"/>
  <c r="QVT18" i="10"/>
  <c r="QWN18" i="10"/>
  <c r="QXH18" i="10"/>
  <c r="QYF18" i="10"/>
  <c r="QYZ18" i="10"/>
  <c r="QZT18" i="10"/>
  <c r="RAR18" i="10"/>
  <c r="RBL18" i="10"/>
  <c r="RCF18" i="10"/>
  <c r="RDD18" i="10"/>
  <c r="RDX18" i="10"/>
  <c r="RER18" i="10"/>
  <c r="RFP18" i="10"/>
  <c r="RGJ18" i="10"/>
  <c r="RHD18" i="10"/>
  <c r="RIB18" i="10"/>
  <c r="RIV18" i="10"/>
  <c r="RJP18" i="10"/>
  <c r="RKN18" i="10"/>
  <c r="RLH18" i="10"/>
  <c r="RMB18" i="10"/>
  <c r="RMZ18" i="10"/>
  <c r="RNT18" i="10"/>
  <c r="RON18" i="10"/>
  <c r="RPL18" i="10"/>
  <c r="RQF18" i="10"/>
  <c r="RQZ18" i="10"/>
  <c r="RRX18" i="10"/>
  <c r="RSR18" i="10"/>
  <c r="RTL18" i="10"/>
  <c r="RUJ18" i="10"/>
  <c r="RVD18" i="10"/>
  <c r="RVX18" i="10"/>
  <c r="RWV18" i="10"/>
  <c r="RXP18" i="10"/>
  <c r="RYJ18" i="10"/>
  <c r="RZH18" i="10"/>
  <c r="SAB18" i="10"/>
  <c r="SAV18" i="10"/>
  <c r="SBT18" i="10"/>
  <c r="SCN18" i="10"/>
  <c r="SDH18" i="10"/>
  <c r="SEF18" i="10"/>
  <c r="SEZ18" i="10"/>
  <c r="SFT18" i="10"/>
  <c r="SGR18" i="10"/>
  <c r="SHL18" i="10"/>
  <c r="MUL18" i="10"/>
  <c r="MZJ18" i="10"/>
  <c r="NCR18" i="10"/>
  <c r="NEM18" i="10"/>
  <c r="NGI18" i="10"/>
  <c r="NHW18" i="10"/>
  <c r="NJK18" i="10"/>
  <c r="NLG18" i="10"/>
  <c r="NMU18" i="10"/>
  <c r="NOI18" i="10"/>
  <c r="NQE18" i="10"/>
  <c r="NRS18" i="10"/>
  <c r="NTG18" i="10"/>
  <c r="NVC18" i="10"/>
  <c r="NWQ18" i="10"/>
  <c r="NYE18" i="10"/>
  <c r="OAA18" i="10"/>
  <c r="OBO18" i="10"/>
  <c r="ODC18" i="10"/>
  <c r="OEY18" i="10"/>
  <c r="OGM18" i="10"/>
  <c r="OIA18" i="10"/>
  <c r="OJW18" i="10"/>
  <c r="OLK18" i="10"/>
  <c r="OQA18" i="10"/>
  <c r="OUY18" i="10"/>
  <c r="OZB18" i="10"/>
  <c r="PDD18" i="10"/>
  <c r="PIB18" i="10"/>
  <c r="PME18" i="10"/>
  <c r="PQH18" i="10"/>
  <c r="PVF18" i="10"/>
  <c r="PYO18" i="10"/>
  <c r="QBQ18" i="10"/>
  <c r="QFI18" i="10"/>
  <c r="QIK18" i="10"/>
  <c r="QLM18" i="10"/>
  <c r="QPE18" i="10"/>
  <c r="QSG18" i="10"/>
  <c r="QVI18" i="10"/>
  <c r="QZA18" i="10"/>
  <c r="RCC18" i="10"/>
  <c r="RFE18" i="10"/>
  <c r="RIW18" i="10"/>
  <c r="RLY18" i="10"/>
  <c r="RPA18" i="10"/>
  <c r="RSS18" i="10"/>
  <c r="RVU18" i="10"/>
  <c r="RYW18" i="10"/>
  <c r="SCL18" i="10"/>
  <c r="SDZ18" i="10"/>
  <c r="SFN18" i="10"/>
  <c r="SHJ18" i="10"/>
  <c r="SIN18" i="10"/>
  <c r="SJN18" i="10"/>
  <c r="SKT18" i="10"/>
  <c r="SLU18" i="10"/>
  <c r="SMV18" i="10"/>
  <c r="SOB18" i="10"/>
  <c r="SPB18" i="10"/>
  <c r="SQC18" i="10"/>
  <c r="SRI18" i="10"/>
  <c r="SSJ18" i="10"/>
  <c r="STJ18" i="10"/>
  <c r="SUP18" i="10"/>
  <c r="SVQ18" i="10"/>
  <c r="SWR18" i="10"/>
  <c r="SXX18" i="10"/>
  <c r="SYX18" i="10"/>
  <c r="SZY18" i="10"/>
  <c r="TBE18" i="10"/>
  <c r="TCF18" i="10"/>
  <c r="TDF18" i="10"/>
  <c r="TEL18" i="10"/>
  <c r="TFM18" i="10"/>
  <c r="TGN18" i="10"/>
  <c r="THT18" i="10"/>
  <c r="TIT18" i="10"/>
  <c r="TJU18" i="10"/>
  <c r="TLA18" i="10"/>
  <c r="TMB18" i="10"/>
  <c r="TNB18" i="10"/>
  <c r="TOH18" i="10"/>
  <c r="TPI18" i="10"/>
  <c r="TQJ18" i="10"/>
  <c r="TRP18" i="10"/>
  <c r="TSP18" i="10"/>
  <c r="OMY18" i="10"/>
  <c r="ORW18" i="10"/>
  <c r="OVZ18" i="10"/>
  <c r="PAB18" i="10"/>
  <c r="PEZ18" i="10"/>
  <c r="PJC18" i="10"/>
  <c r="PNF18" i="10"/>
  <c r="PSD18" i="10"/>
  <c r="PWF18" i="10"/>
  <c r="PZI18" i="10"/>
  <c r="QDA18" i="10"/>
  <c r="QGC18" i="10"/>
  <c r="QJE18" i="10"/>
  <c r="QMW18" i="10"/>
  <c r="QPY18" i="10"/>
  <c r="QTA18" i="10"/>
  <c r="QWS18" i="10"/>
  <c r="QZU18" i="10"/>
  <c r="RCW18" i="10"/>
  <c r="RGO18" i="10"/>
  <c r="RJQ18" i="10"/>
  <c r="RMS18" i="10"/>
  <c r="RQK18" i="10"/>
  <c r="RTM18" i="10"/>
  <c r="RWO18" i="10"/>
  <c r="SAG18" i="10"/>
  <c r="SCW18" i="10"/>
  <c r="SEK18" i="10"/>
  <c r="SGG18" i="10"/>
  <c r="SHT18" i="10"/>
  <c r="SIT18" i="10"/>
  <c r="SJZ18" i="10"/>
  <c r="SLA18" i="10"/>
  <c r="SMB18" i="10"/>
  <c r="SNH18" i="10"/>
  <c r="SOH18" i="10"/>
  <c r="SPI18" i="10"/>
  <c r="SQO18" i="10"/>
  <c r="SRP18" i="10"/>
  <c r="SSP18" i="10"/>
  <c r="STV18" i="10"/>
  <c r="SUW18" i="10"/>
  <c r="SVX18" i="10"/>
  <c r="SXD18" i="10"/>
  <c r="SYD18" i="10"/>
  <c r="SZE18" i="10"/>
  <c r="TAK18" i="10"/>
  <c r="TBL18" i="10"/>
  <c r="TCL18" i="10"/>
  <c r="TDR18" i="10"/>
  <c r="TES18" i="10"/>
  <c r="TFT18" i="10"/>
  <c r="TGZ18" i="10"/>
  <c r="THZ18" i="10"/>
  <c r="TJA18" i="10"/>
  <c r="TKG18" i="10"/>
  <c r="TLH18" i="10"/>
  <c r="TMH18" i="10"/>
  <c r="TNN18" i="10"/>
  <c r="TOO18" i="10"/>
  <c r="TPP18" i="10"/>
  <c r="TQV18" i="10"/>
  <c r="TRV18" i="10"/>
  <c r="TSW18" i="10"/>
  <c r="TUC18" i="10"/>
  <c r="ONZ18" i="10"/>
  <c r="OSB18" i="10"/>
  <c r="OWZ18" i="10"/>
  <c r="PBC18" i="10"/>
  <c r="PFF18" i="10"/>
  <c r="PKD18" i="10"/>
  <c r="POF18" i="10"/>
  <c r="PSI18" i="10"/>
  <c r="PXA18" i="10"/>
  <c r="QAC18" i="10"/>
  <c r="QDE18" i="10"/>
  <c r="QGW18" i="10"/>
  <c r="QJY18" i="10"/>
  <c r="QNA18" i="10"/>
  <c r="QQS18" i="10"/>
  <c r="QTU18" i="10"/>
  <c r="QWW18" i="10"/>
  <c r="RAO18" i="10"/>
  <c r="RDQ18" i="10"/>
  <c r="RGS18" i="10"/>
  <c r="RKK18" i="10"/>
  <c r="RNM18" i="10"/>
  <c r="RQO18" i="10"/>
  <c r="RUG18" i="10"/>
  <c r="RXI18" i="10"/>
  <c r="SAK18" i="10"/>
  <c r="SDF18" i="10"/>
  <c r="SET18" i="10"/>
  <c r="SGH18" i="10"/>
  <c r="SHZ18" i="10"/>
  <c r="SJA18" i="10"/>
  <c r="SKB18" i="10"/>
  <c r="SLH18" i="10"/>
  <c r="SMH18" i="10"/>
  <c r="SNI18" i="10"/>
  <c r="SOO18" i="10"/>
  <c r="SPP18" i="10"/>
  <c r="SQP18" i="10"/>
  <c r="SRV18" i="10"/>
  <c r="SSW18" i="10"/>
  <c r="STX18" i="10"/>
  <c r="SVD18" i="10"/>
  <c r="SWD18" i="10"/>
  <c r="SXE18" i="10"/>
  <c r="SYK18" i="10"/>
  <c r="SZL18" i="10"/>
  <c r="TAL18" i="10"/>
  <c r="TBR18" i="10"/>
  <c r="TCS18" i="10"/>
  <c r="TDT18" i="10"/>
  <c r="TEZ18" i="10"/>
  <c r="TFZ18" i="10"/>
  <c r="THA18" i="10"/>
  <c r="TIG18" i="10"/>
  <c r="TJH18" i="10"/>
  <c r="TKH18" i="10"/>
  <c r="TLN18" i="10"/>
  <c r="TMO18" i="10"/>
  <c r="TNP18" i="10"/>
  <c r="TOV18" i="10"/>
  <c r="TPV18" i="10"/>
  <c r="TQW18" i="10"/>
  <c r="TSC18" i="10"/>
  <c r="TTD18" i="10"/>
  <c r="TUD18" i="10"/>
  <c r="TVJ18" i="10"/>
  <c r="TWK18" i="10"/>
  <c r="TXL18" i="10"/>
  <c r="TYR18" i="10"/>
  <c r="TZR18" i="10"/>
  <c r="UAS18" i="10"/>
  <c r="UBY18" i="10"/>
  <c r="UCZ18" i="10"/>
  <c r="UDZ18" i="10"/>
  <c r="UFF18" i="10"/>
  <c r="UGG18" i="10"/>
  <c r="UHH18" i="10"/>
  <c r="UIN18" i="10"/>
  <c r="UJN18" i="10"/>
  <c r="UKO18" i="10"/>
  <c r="ULU18" i="10"/>
  <c r="UMV18" i="10"/>
  <c r="UNV18" i="10"/>
  <c r="UPB18" i="10"/>
  <c r="UQC18" i="10"/>
  <c r="URD18" i="10"/>
  <c r="USJ18" i="10"/>
  <c r="UTJ18" i="10"/>
  <c r="UUK18" i="10"/>
  <c r="UVQ18" i="10"/>
  <c r="UWR18" i="10"/>
  <c r="UXR18" i="10"/>
  <c r="OMI18" i="10"/>
  <c r="OQQ18" i="10"/>
  <c r="OUT18" i="10"/>
  <c r="OZR18" i="10"/>
  <c r="PDT18" i="10"/>
  <c r="PHW18" i="10"/>
  <c r="PMU18" i="10"/>
  <c r="PQX18" i="10"/>
  <c r="PUZ18" i="10"/>
  <c r="PZA18" i="10"/>
  <c r="QCC18" i="10"/>
  <c r="QFE18" i="10"/>
  <c r="QIW18" i="10"/>
  <c r="QLY18" i="10"/>
  <c r="QPA18" i="10"/>
  <c r="QSS18" i="10"/>
  <c r="QVU18" i="10"/>
  <c r="QYW18" i="10"/>
  <c r="RCO18" i="10"/>
  <c r="RFQ18" i="10"/>
  <c r="RIS18" i="10"/>
  <c r="RMK18" i="10"/>
  <c r="RPM18" i="10"/>
  <c r="RSO18" i="10"/>
  <c r="RWG18" i="10"/>
  <c r="RZI18" i="10"/>
  <c r="SCK18" i="10"/>
  <c r="SEG18" i="10"/>
  <c r="SFU18" i="10"/>
  <c r="SHI18" i="10"/>
  <c r="SIR18" i="10"/>
  <c r="SJR18" i="10"/>
  <c r="SKS18" i="10"/>
  <c r="SLY18" i="10"/>
  <c r="SMZ18" i="10"/>
  <c r="SNZ18" i="10"/>
  <c r="SPF18" i="10"/>
  <c r="SQG18" i="10"/>
  <c r="SRH18" i="10"/>
  <c r="SSN18" i="10"/>
  <c r="STN18" i="10"/>
  <c r="SUO18" i="10"/>
  <c r="SVU18" i="10"/>
  <c r="SWV18" i="10"/>
  <c r="SXV18" i="10"/>
  <c r="SZB18" i="10"/>
  <c r="TAC18" i="10"/>
  <c r="TBD18" i="10"/>
  <c r="TCJ18" i="10"/>
  <c r="TDJ18" i="10"/>
  <c r="TEK18" i="10"/>
  <c r="TFQ18" i="10"/>
  <c r="TGR18" i="10"/>
  <c r="THR18" i="10"/>
  <c r="TIX18" i="10"/>
  <c r="TJY18" i="10"/>
  <c r="TKZ18" i="10"/>
  <c r="TMF18" i="10"/>
  <c r="TNF18" i="10"/>
  <c r="TOG18" i="10"/>
  <c r="TPM18" i="10"/>
  <c r="TQN18" i="10"/>
  <c r="TRN18" i="10"/>
  <c r="TST18" i="10"/>
  <c r="TTL18" i="10"/>
  <c r="TVH18" i="10"/>
  <c r="TWX18" i="10"/>
  <c r="TYH18" i="10"/>
  <c r="TZQ18" i="10"/>
  <c r="UBH18" i="10"/>
  <c r="UCR18" i="10"/>
  <c r="UEB18" i="10"/>
  <c r="UFR18" i="10"/>
  <c r="UHA18" i="10"/>
  <c r="UIK18" i="10"/>
  <c r="UKB18" i="10"/>
  <c r="ULL18" i="10"/>
  <c r="UMT18" i="10"/>
  <c r="UOK18" i="10"/>
  <c r="UPU18" i="10"/>
  <c r="URE18" i="10"/>
  <c r="USV18" i="10"/>
  <c r="UUD18" i="10"/>
  <c r="UVN18" i="10"/>
  <c r="UXE18" i="10"/>
  <c r="UYO18" i="10"/>
  <c r="UZQ18" i="10"/>
  <c r="VAW18" i="10"/>
  <c r="VBX18" i="10"/>
  <c r="VCW18" i="10"/>
  <c r="VDU18" i="10"/>
  <c r="VEO18" i="10"/>
  <c r="VFI18" i="10"/>
  <c r="VGG18" i="10"/>
  <c r="VHA18" i="10"/>
  <c r="VHU18" i="10"/>
  <c r="VIS18" i="10"/>
  <c r="VJM18" i="10"/>
  <c r="VKG18" i="10"/>
  <c r="VLE18" i="10"/>
  <c r="VLY18" i="10"/>
  <c r="VMS18" i="10"/>
  <c r="VNQ18" i="10"/>
  <c r="VOK18" i="10"/>
  <c r="VPA18" i="10"/>
  <c r="VPQ18" i="10"/>
  <c r="VQG18" i="10"/>
  <c r="VQW18" i="10"/>
  <c r="VRM18" i="10"/>
  <c r="VSC18" i="10"/>
  <c r="VSS18" i="10"/>
  <c r="VTI18" i="10"/>
  <c r="VTY18" i="10"/>
  <c r="VUO18" i="10"/>
  <c r="VVE18" i="10"/>
  <c r="VVU18" i="10"/>
  <c r="VWK18" i="10"/>
  <c r="VXA18" i="10"/>
  <c r="VXQ18" i="10"/>
  <c r="VYG18" i="10"/>
  <c r="VYW18" i="10"/>
  <c r="VZM18" i="10"/>
  <c r="WAC18" i="10"/>
  <c r="WAS18" i="10"/>
  <c r="WBI18" i="10"/>
  <c r="WBY18" i="10"/>
  <c r="WCO18" i="10"/>
  <c r="WDE18" i="10"/>
  <c r="WDU18" i="10"/>
  <c r="WEK18" i="10"/>
  <c r="WFA18" i="10"/>
  <c r="WFQ18" i="10"/>
  <c r="WGG18" i="10"/>
  <c r="WGW18" i="10"/>
  <c r="WHM18" i="10"/>
  <c r="WIC18" i="10"/>
  <c r="WIS18" i="10"/>
  <c r="WJI18" i="10"/>
  <c r="WJY18" i="10"/>
  <c r="WKO18" i="10"/>
  <c r="WLE18" i="10"/>
  <c r="WLU18" i="10"/>
  <c r="WMK18" i="10"/>
  <c r="WNA18" i="10"/>
  <c r="WNQ18" i="10"/>
  <c r="WOG18" i="10"/>
  <c r="WOW18" i="10"/>
  <c r="WPM18" i="10"/>
  <c r="WQC18" i="10"/>
  <c r="WQS18" i="10"/>
  <c r="WRI18" i="10"/>
  <c r="WRY18" i="10"/>
  <c r="WSO18" i="10"/>
  <c r="WTE18" i="10"/>
  <c r="WTU18" i="10"/>
  <c r="WUK18" i="10"/>
  <c r="WVA18" i="10"/>
  <c r="WVQ18" i="10"/>
  <c r="WWG18" i="10"/>
  <c r="WWW18" i="10"/>
  <c r="WXM18" i="10"/>
  <c r="WYC18" i="10"/>
  <c r="WYS18" i="10"/>
  <c r="WZI18" i="10"/>
  <c r="WZY18" i="10"/>
  <c r="XAO18" i="10"/>
  <c r="XBE18" i="10"/>
  <c r="XBU18" i="10"/>
  <c r="XCK18" i="10"/>
  <c r="XDA18" i="10"/>
  <c r="XDQ18" i="10"/>
  <c r="XEG18" i="10"/>
  <c r="AG19" i="10"/>
  <c r="AW19" i="10"/>
  <c r="BM19" i="10"/>
  <c r="CC19" i="10"/>
  <c r="CS19" i="10"/>
  <c r="DI19" i="10"/>
  <c r="DY19" i="10"/>
  <c r="EO19" i="10"/>
  <c r="FE19" i="10"/>
  <c r="FU19" i="10"/>
  <c r="GK19" i="10"/>
  <c r="HA19" i="10"/>
  <c r="HQ19" i="10"/>
  <c r="IG19" i="10"/>
  <c r="IW19" i="10"/>
  <c r="JM19" i="10"/>
  <c r="KC19" i="10"/>
  <c r="KS19" i="10"/>
  <c r="LI19" i="10"/>
  <c r="LY19" i="10"/>
  <c r="MO19" i="10"/>
  <c r="NE19" i="10"/>
  <c r="NU19" i="10"/>
  <c r="OK19" i="10"/>
  <c r="PA19" i="10"/>
  <c r="PQ19" i="10"/>
  <c r="QG19" i="10"/>
  <c r="QW19" i="10"/>
  <c r="RM19" i="10"/>
  <c r="SC19" i="10"/>
  <c r="SS19" i="10"/>
  <c r="TI19" i="10"/>
  <c r="TY19" i="10"/>
  <c r="UO19" i="10"/>
  <c r="VE19" i="10"/>
  <c r="VU19" i="10"/>
  <c r="WK19" i="10"/>
  <c r="XA19" i="10"/>
  <c r="XQ19" i="10"/>
  <c r="YG19" i="10"/>
  <c r="YW19" i="10"/>
  <c r="ZM19" i="10"/>
  <c r="AAC19" i="10"/>
  <c r="AAS19" i="10"/>
  <c r="ABI19" i="10"/>
  <c r="ABY19" i="10"/>
  <c r="ACO19" i="10"/>
  <c r="ADE19" i="10"/>
  <c r="ADU19" i="10"/>
  <c r="AEK19" i="10"/>
  <c r="AFA19" i="10"/>
  <c r="AFQ19" i="10"/>
  <c r="AGG19" i="10"/>
  <c r="AGW19" i="10"/>
  <c r="AHM19" i="10"/>
  <c r="AIC19" i="10"/>
  <c r="AIS19" i="10"/>
  <c r="AJI19" i="10"/>
  <c r="AJY19" i="10"/>
  <c r="AKO19" i="10"/>
  <c r="ALE19" i="10"/>
  <c r="ALU19" i="10"/>
  <c r="AMK19" i="10"/>
  <c r="ANA19" i="10"/>
  <c r="ANQ19" i="10"/>
  <c r="AOG19" i="10"/>
  <c r="AOW19" i="10"/>
  <c r="APM19" i="10"/>
  <c r="AQC19" i="10"/>
  <c r="AQS19" i="10"/>
  <c r="ARI19" i="10"/>
  <c r="ARY19" i="10"/>
  <c r="ASO19" i="10"/>
  <c r="ATE19" i="10"/>
  <c r="ATU19" i="10"/>
  <c r="AUK19" i="10"/>
  <c r="AVA19" i="10"/>
  <c r="AVQ19" i="10"/>
  <c r="AWG19" i="10"/>
  <c r="AWW19" i="10"/>
  <c r="AXM19" i="10"/>
  <c r="AYC19" i="10"/>
  <c r="TTQ18" i="10"/>
  <c r="TVB18" i="10"/>
  <c r="TWD18" i="10"/>
  <c r="TXH18" i="10"/>
  <c r="TYJ18" i="10"/>
  <c r="TZL18" i="10"/>
  <c r="UAO18" i="10"/>
  <c r="UBQ18" i="10"/>
  <c r="UCS18" i="10"/>
  <c r="UDV18" i="10"/>
  <c r="UEX18" i="10"/>
  <c r="UFZ18" i="10"/>
  <c r="UHD18" i="10"/>
  <c r="UIF18" i="10"/>
  <c r="UJH18" i="10"/>
  <c r="UKK18" i="10"/>
  <c r="ULM18" i="10"/>
  <c r="UMO18" i="10"/>
  <c r="UNR18" i="10"/>
  <c r="UOT18" i="10"/>
  <c r="UPV18" i="10"/>
  <c r="UQZ18" i="10"/>
  <c r="USB18" i="10"/>
  <c r="UTD18" i="10"/>
  <c r="UUG18" i="10"/>
  <c r="UVI18" i="10"/>
  <c r="UWK18" i="10"/>
  <c r="UXN18" i="10"/>
  <c r="UYP18" i="10"/>
  <c r="UZM18" i="10"/>
  <c r="VAH18" i="10"/>
  <c r="VBD18" i="10"/>
  <c r="VBY18" i="10"/>
  <c r="VCT18" i="10"/>
  <c r="VDJ18" i="10"/>
  <c r="VDZ18" i="10"/>
  <c r="VEP18" i="10"/>
  <c r="VFF18" i="10"/>
  <c r="VFV18" i="10"/>
  <c r="VGL18" i="10"/>
  <c r="VHB18" i="10"/>
  <c r="VHR18" i="10"/>
  <c r="VIH18" i="10"/>
  <c r="VIX18" i="10"/>
  <c r="VJN18" i="10"/>
  <c r="VKD18" i="10"/>
  <c r="VKT18" i="10"/>
  <c r="VLJ18" i="10"/>
  <c r="VLZ18" i="10"/>
  <c r="VMP18" i="10"/>
  <c r="VNF18" i="10"/>
  <c r="VNV18" i="10"/>
  <c r="VOL18" i="10"/>
  <c r="VPB18" i="10"/>
  <c r="VPR18" i="10"/>
  <c r="VQH18" i="10"/>
  <c r="VQX18" i="10"/>
  <c r="VRN18" i="10"/>
  <c r="VSD18" i="10"/>
  <c r="VST18" i="10"/>
  <c r="VTJ18" i="10"/>
  <c r="VTZ18" i="10"/>
  <c r="VUP18" i="10"/>
  <c r="VVF18" i="10"/>
  <c r="VVV18" i="10"/>
  <c r="VWL18" i="10"/>
  <c r="VXB18" i="10"/>
  <c r="VXR18" i="10"/>
  <c r="VYH18" i="10"/>
  <c r="VYX18" i="10"/>
  <c r="VZN18" i="10"/>
  <c r="WAD18" i="10"/>
  <c r="WAT18" i="10"/>
  <c r="WBJ18" i="10"/>
  <c r="WBZ18" i="10"/>
  <c r="WCP18" i="10"/>
  <c r="WDF18" i="10"/>
  <c r="WDV18" i="10"/>
  <c r="WEL18" i="10"/>
  <c r="WFB18" i="10"/>
  <c r="WFR18" i="10"/>
  <c r="WGH18" i="10"/>
  <c r="WGX18" i="10"/>
  <c r="WHN18" i="10"/>
  <c r="WID18" i="10"/>
  <c r="WIT18" i="10"/>
  <c r="WJJ18" i="10"/>
  <c r="WJZ18" i="10"/>
  <c r="WKP18" i="10"/>
  <c r="WLF18" i="10"/>
  <c r="WLV18" i="10"/>
  <c r="WML18" i="10"/>
  <c r="WNB18" i="10"/>
  <c r="WNR18" i="10"/>
  <c r="WOH18" i="10"/>
  <c r="WOX18" i="10"/>
  <c r="WPN18" i="10"/>
  <c r="WQD18" i="10"/>
  <c r="WQT18" i="10"/>
  <c r="WRJ18" i="10"/>
  <c r="WRZ18" i="10"/>
  <c r="WSP18" i="10"/>
  <c r="WTF18" i="10"/>
  <c r="WTV18" i="10"/>
  <c r="WUL18" i="10"/>
  <c r="WVB18" i="10"/>
  <c r="WVR18" i="10"/>
  <c r="WWH18" i="10"/>
  <c r="WWX18" i="10"/>
  <c r="WXN18" i="10"/>
  <c r="WYD18" i="10"/>
  <c r="WYT18" i="10"/>
  <c r="WZJ18" i="10"/>
  <c r="WZZ18" i="10"/>
  <c r="XAP18" i="10"/>
  <c r="XBF18" i="10"/>
  <c r="XBV18" i="10"/>
  <c r="XCL18" i="10"/>
  <c r="XDB18" i="10"/>
  <c r="XDR18" i="10"/>
  <c r="XEH18" i="10"/>
  <c r="AH19" i="10"/>
  <c r="AX19" i="10"/>
  <c r="BN19" i="10"/>
  <c r="CD19" i="10"/>
  <c r="CT19" i="10"/>
  <c r="DJ19" i="10"/>
  <c r="DZ19" i="10"/>
  <c r="EP19" i="10"/>
  <c r="FF19" i="10"/>
  <c r="FV19" i="10"/>
  <c r="GL19" i="10"/>
  <c r="HB19" i="10"/>
  <c r="HR19" i="10"/>
  <c r="IH19" i="10"/>
  <c r="IX19" i="10"/>
  <c r="JN19" i="10"/>
  <c r="KD19" i="10"/>
  <c r="KT19" i="10"/>
  <c r="LJ19" i="10"/>
  <c r="LZ19" i="10"/>
  <c r="MP19" i="10"/>
  <c r="NF19" i="10"/>
  <c r="NV19" i="10"/>
  <c r="OL19" i="10"/>
  <c r="PB19" i="10"/>
  <c r="PR19" i="10"/>
  <c r="QH19" i="10"/>
  <c r="QX19" i="10"/>
  <c r="RN19" i="10"/>
  <c r="SD19" i="10"/>
  <c r="ST19" i="10"/>
  <c r="TJ19" i="10"/>
  <c r="TZ19" i="10"/>
  <c r="UP19" i="10"/>
  <c r="VF19" i="10"/>
  <c r="VV19" i="10"/>
  <c r="WL19" i="10"/>
  <c r="XB19" i="10"/>
  <c r="XR19" i="10"/>
  <c r="YH19" i="10"/>
  <c r="YX19" i="10"/>
  <c r="ZN19" i="10"/>
  <c r="AAD19" i="10"/>
  <c r="AAT19" i="10"/>
  <c r="ABJ19" i="10"/>
  <c r="ABZ19" i="10"/>
  <c r="ACP19" i="10"/>
  <c r="ADF19" i="10"/>
  <c r="ADV19" i="10"/>
  <c r="AEL19" i="10"/>
  <c r="AFB19" i="10"/>
  <c r="AFR19" i="10"/>
  <c r="AGH19" i="10"/>
  <c r="AGX19" i="10"/>
  <c r="AHN19" i="10"/>
  <c r="AID19" i="10"/>
  <c r="AIT19" i="10"/>
  <c r="AJJ19" i="10"/>
  <c r="AJZ19" i="10"/>
  <c r="AKP19" i="10"/>
  <c r="ALF19" i="10"/>
  <c r="ALV19" i="10"/>
  <c r="AML19" i="10"/>
  <c r="ANB19" i="10"/>
  <c r="ANR19" i="10"/>
  <c r="AOH19" i="10"/>
  <c r="AOX19" i="10"/>
  <c r="APN19" i="10"/>
  <c r="AQD19" i="10"/>
  <c r="AQT19" i="10"/>
  <c r="ARJ19" i="10"/>
  <c r="ARZ19" i="10"/>
  <c r="ASP19" i="10"/>
  <c r="ATF19" i="10"/>
  <c r="ATV19" i="10"/>
  <c r="AUL19" i="10"/>
  <c r="AVB19" i="10"/>
  <c r="AVR19" i="10"/>
  <c r="AWH19" i="10"/>
  <c r="AWX19" i="10"/>
  <c r="AXN19" i="10"/>
  <c r="AYD19" i="10"/>
  <c r="AYT19" i="10"/>
  <c r="AZJ19" i="10"/>
  <c r="AZZ19" i="10"/>
  <c r="BAP19" i="10"/>
  <c r="BBF19" i="10"/>
  <c r="BBV19" i="10"/>
  <c r="BCL19" i="10"/>
  <c r="BDB19" i="10"/>
  <c r="BDR19" i="10"/>
  <c r="BEH19" i="10"/>
  <c r="BEX19" i="10"/>
  <c r="TUP18" i="10"/>
  <c r="TVR18" i="10"/>
  <c r="TWT18" i="10"/>
  <c r="TXX18" i="10"/>
  <c r="TYZ18" i="10"/>
  <c r="UAB18" i="10"/>
  <c r="UBE18" i="10"/>
  <c r="UCG18" i="10"/>
  <c r="UDI18" i="10"/>
  <c r="UEL18" i="10"/>
  <c r="UFN18" i="10"/>
  <c r="UGP18" i="10"/>
  <c r="UHT18" i="10"/>
  <c r="UIV18" i="10"/>
  <c r="UJX18" i="10"/>
  <c r="ULA18" i="10"/>
  <c r="UMC18" i="10"/>
  <c r="UNE18" i="10"/>
  <c r="UOH18" i="10"/>
  <c r="UPJ18" i="10"/>
  <c r="UQL18" i="10"/>
  <c r="URP18" i="10"/>
  <c r="USR18" i="10"/>
  <c r="UTT18" i="10"/>
  <c r="UUW18" i="10"/>
  <c r="UVY18" i="10"/>
  <c r="UXA18" i="10"/>
  <c r="UYD18" i="10"/>
  <c r="UZD18" i="10"/>
  <c r="UZY18" i="10"/>
  <c r="VAT18" i="10"/>
  <c r="VBP18" i="10"/>
  <c r="VCK18" i="10"/>
  <c r="VDC18" i="10"/>
  <c r="VDS18" i="10"/>
  <c r="VEI18" i="10"/>
  <c r="VEY18" i="10"/>
  <c r="VFO18" i="10"/>
  <c r="VGE18" i="10"/>
  <c r="VGU18" i="10"/>
  <c r="VHK18" i="10"/>
  <c r="VIA18" i="10"/>
  <c r="VIQ18" i="10"/>
  <c r="VJG18" i="10"/>
  <c r="VJW18" i="10"/>
  <c r="VKM18" i="10"/>
  <c r="VLC18" i="10"/>
  <c r="VLS18" i="10"/>
  <c r="VMI18" i="10"/>
  <c r="VMY18" i="10"/>
  <c r="VNO18" i="10"/>
  <c r="VOE18" i="10"/>
  <c r="VOU18" i="10"/>
  <c r="VPK18" i="10"/>
  <c r="VQA18" i="10"/>
  <c r="VQQ18" i="10"/>
  <c r="VRG18" i="10"/>
  <c r="VRW18" i="10"/>
  <c r="VSM18" i="10"/>
  <c r="VTC18" i="10"/>
  <c r="VTS18" i="10"/>
  <c r="VUI18" i="10"/>
  <c r="VUY18" i="10"/>
  <c r="VVO18" i="10"/>
  <c r="VWE18" i="10"/>
  <c r="VWU18" i="10"/>
  <c r="VXK18" i="10"/>
  <c r="VYA18" i="10"/>
  <c r="VYQ18" i="10"/>
  <c r="VZG18" i="10"/>
  <c r="VZW18" i="10"/>
  <c r="WAM18" i="10"/>
  <c r="WBC18" i="10"/>
  <c r="WBS18" i="10"/>
  <c r="WCI18" i="10"/>
  <c r="WCY18" i="10"/>
  <c r="WDO18" i="10"/>
  <c r="WEE18" i="10"/>
  <c r="WEU18" i="10"/>
  <c r="WFK18" i="10"/>
  <c r="WGA18" i="10"/>
  <c r="WGQ18" i="10"/>
  <c r="WHG18" i="10"/>
  <c r="WHW18" i="10"/>
  <c r="WIM18" i="10"/>
  <c r="WJC18" i="10"/>
  <c r="WJS18" i="10"/>
  <c r="WKI18" i="10"/>
  <c r="WKY18" i="10"/>
  <c r="WLO18" i="10"/>
  <c r="WME18" i="10"/>
  <c r="WMU18" i="10"/>
  <c r="WNK18" i="10"/>
  <c r="WOA18" i="10"/>
  <c r="WOQ18" i="10"/>
  <c r="WPG18" i="10"/>
  <c r="WPW18" i="10"/>
  <c r="WQM18" i="10"/>
  <c r="WRC18" i="10"/>
  <c r="WRS18" i="10"/>
  <c r="WSI18" i="10"/>
  <c r="WSY18" i="10"/>
  <c r="WTO18" i="10"/>
  <c r="WUE18" i="10"/>
  <c r="WUU18" i="10"/>
  <c r="WVK18" i="10"/>
  <c r="WWA18" i="10"/>
  <c r="WWQ18" i="10"/>
  <c r="WXG18" i="10"/>
  <c r="WXW18" i="10"/>
  <c r="WYM18" i="10"/>
  <c r="WZC18" i="10"/>
  <c r="WZS18" i="10"/>
  <c r="XAI18" i="10"/>
  <c r="XAY18" i="10"/>
  <c r="XBO18" i="10"/>
  <c r="XCE18" i="10"/>
  <c r="XCU18" i="10"/>
  <c r="XDK18" i="10"/>
  <c r="XEA18" i="10"/>
  <c r="XEQ18" i="10"/>
  <c r="AQ19" i="10"/>
  <c r="BG19" i="10"/>
  <c r="BW19" i="10"/>
  <c r="CM19" i="10"/>
  <c r="DC19" i="10"/>
  <c r="DS19" i="10"/>
  <c r="EI19" i="10"/>
  <c r="EY19" i="10"/>
  <c r="FO19" i="10"/>
  <c r="GE19" i="10"/>
  <c r="GU19" i="10"/>
  <c r="HK19" i="10"/>
  <c r="IA19" i="10"/>
  <c r="IQ19" i="10"/>
  <c r="JG19" i="10"/>
  <c r="JW19" i="10"/>
  <c r="KM19" i="10"/>
  <c r="LC19" i="10"/>
  <c r="LS19" i="10"/>
  <c r="MI19" i="10"/>
  <c r="MY19" i="10"/>
  <c r="NO19" i="10"/>
  <c r="OE19" i="10"/>
  <c r="OU19" i="10"/>
  <c r="PK19" i="10"/>
  <c r="QA19" i="10"/>
  <c r="QQ19" i="10"/>
  <c r="RG19" i="10"/>
  <c r="RW19" i="10"/>
  <c r="SM19" i="10"/>
  <c r="TC19" i="10"/>
  <c r="TS19" i="10"/>
  <c r="UI19" i="10"/>
  <c r="UY19" i="10"/>
  <c r="VO19" i="10"/>
  <c r="WE19" i="10"/>
  <c r="WU19" i="10"/>
  <c r="XK19" i="10"/>
  <c r="YA19" i="10"/>
  <c r="YQ19" i="10"/>
  <c r="ZG19" i="10"/>
  <c r="ZW19" i="10"/>
  <c r="AAM19" i="10"/>
  <c r="ABC19" i="10"/>
  <c r="ABS19" i="10"/>
  <c r="ACI19" i="10"/>
  <c r="ACY19" i="10"/>
  <c r="ADO19" i="10"/>
  <c r="AEE19" i="10"/>
  <c r="AEU19" i="10"/>
  <c r="AFK19" i="10"/>
  <c r="AGA19" i="10"/>
  <c r="AGQ19" i="10"/>
  <c r="AHG19" i="10"/>
  <c r="AHW19" i="10"/>
  <c r="AIM19" i="10"/>
  <c r="AJC19" i="10"/>
  <c r="AJS19" i="10"/>
  <c r="AKI19" i="10"/>
  <c r="AKY19" i="10"/>
  <c r="ALO19" i="10"/>
  <c r="AME19" i="10"/>
  <c r="AMU19" i="10"/>
  <c r="ANK19" i="10"/>
  <c r="AOA19" i="10"/>
  <c r="AOQ19" i="10"/>
  <c r="APG19" i="10"/>
  <c r="APW19" i="10"/>
  <c r="AQM19" i="10"/>
  <c r="ARC19" i="10"/>
  <c r="ARS19" i="10"/>
  <c r="ASI19" i="10"/>
  <c r="ASY19" i="10"/>
  <c r="ATO19" i="10"/>
  <c r="AUE19" i="10"/>
  <c r="AUU19" i="10"/>
  <c r="AVK19" i="10"/>
  <c r="AWA19" i="10"/>
  <c r="AWQ19" i="10"/>
  <c r="AXG19" i="10"/>
  <c r="AXW19" i="10"/>
  <c r="AYM19" i="10"/>
  <c r="AZC19" i="10"/>
  <c r="AZS19" i="10"/>
  <c r="BAI19" i="10"/>
  <c r="BAY19" i="10"/>
  <c r="BBO19" i="10"/>
  <c r="BCE19" i="10"/>
  <c r="BCU19" i="10"/>
  <c r="BDK19" i="10"/>
  <c r="BEA19" i="10"/>
  <c r="BEQ19" i="10"/>
  <c r="BFG19" i="10"/>
  <c r="BFW19" i="10"/>
  <c r="BGM19" i="10"/>
  <c r="BHC19" i="10"/>
  <c r="BHS19" i="10"/>
  <c r="BII19" i="10"/>
  <c r="BIY19" i="10"/>
  <c r="BJO19" i="10"/>
  <c r="BKE19" i="10"/>
  <c r="BKU19" i="10"/>
  <c r="BLK19" i="10"/>
  <c r="BMA19" i="10"/>
  <c r="BMQ19" i="10"/>
  <c r="BNG19" i="10"/>
  <c r="BNW19" i="10"/>
  <c r="BOM19" i="10"/>
  <c r="BPC19" i="10"/>
  <c r="BPS19" i="10"/>
  <c r="BQI19" i="10"/>
  <c r="BQY19" i="10"/>
  <c r="BRO19" i="10"/>
  <c r="BSE19" i="10"/>
  <c r="BSU19" i="10"/>
  <c r="BTK19" i="10"/>
  <c r="BUA19" i="10"/>
  <c r="BUQ19" i="10"/>
  <c r="BVG19" i="10"/>
  <c r="BVW19" i="10"/>
  <c r="BWM19" i="10"/>
  <c r="BXC19" i="10"/>
  <c r="BXS19" i="10"/>
  <c r="BYI19" i="10"/>
  <c r="BYY19" i="10"/>
  <c r="BZO19" i="10"/>
  <c r="CAE19" i="10"/>
  <c r="CAU19" i="10"/>
  <c r="CBK19" i="10"/>
  <c r="CCA19" i="10"/>
  <c r="CCQ19" i="10"/>
  <c r="CDG19" i="10"/>
  <c r="CDW19" i="10"/>
  <c r="CEM19" i="10"/>
  <c r="CFC19" i="10"/>
  <c r="CFS19" i="10"/>
  <c r="CGI19" i="10"/>
  <c r="CGY19" i="10"/>
  <c r="CHO19" i="10"/>
  <c r="CIE19" i="10"/>
  <c r="CIU19" i="10"/>
  <c r="CJK19" i="10"/>
  <c r="CKA19" i="10"/>
  <c r="CKQ19" i="10"/>
  <c r="CLG19" i="10"/>
  <c r="CLW19" i="10"/>
  <c r="CMM19" i="10"/>
  <c r="CNC19" i="10"/>
  <c r="CNS19" i="10"/>
  <c r="COI19" i="10"/>
  <c r="COY19" i="10"/>
  <c r="CPO19" i="10"/>
  <c r="CQE19" i="10"/>
  <c r="CQU19" i="10"/>
  <c r="CRK19" i="10"/>
  <c r="CSA19" i="10"/>
  <c r="CSQ19" i="10"/>
  <c r="CTG19" i="10"/>
  <c r="CTW19" i="10"/>
  <c r="CUM19" i="10"/>
  <c r="CVC19" i="10"/>
  <c r="CVS19" i="10"/>
  <c r="CWI19" i="10"/>
  <c r="CWY19" i="10"/>
  <c r="CXO19" i="10"/>
  <c r="CYE19" i="10"/>
  <c r="CYU19" i="10"/>
  <c r="CZK19" i="10"/>
  <c r="DAA19" i="10"/>
  <c r="DAQ19" i="10"/>
  <c r="DBG19" i="10"/>
  <c r="DBW19" i="10"/>
  <c r="DCM19" i="10"/>
  <c r="DDC19" i="10"/>
  <c r="DDS19" i="10"/>
  <c r="DEI19" i="10"/>
  <c r="DEY19" i="10"/>
  <c r="DFO19" i="10"/>
  <c r="DGE19" i="10"/>
  <c r="DGU19" i="10"/>
  <c r="DHK19" i="10"/>
  <c r="DIA19" i="10"/>
  <c r="DIQ19" i="10"/>
  <c r="DJG19" i="10"/>
  <c r="DJW19" i="10"/>
  <c r="DKM19" i="10"/>
  <c r="DLC19" i="10"/>
  <c r="DLS19" i="10"/>
  <c r="DMI19" i="10"/>
  <c r="DMY19" i="10"/>
  <c r="TUG18" i="10"/>
  <c r="TVM18" i="10"/>
  <c r="TWO18" i="10"/>
  <c r="TXR18" i="10"/>
  <c r="TYT18" i="10"/>
  <c r="TZV18" i="10"/>
  <c r="UAZ18" i="10"/>
  <c r="UCB18" i="10"/>
  <c r="UDD18" i="10"/>
  <c r="UEG18" i="10"/>
  <c r="UFI18" i="10"/>
  <c r="UGK18" i="10"/>
  <c r="UHN18" i="10"/>
  <c r="UIP18" i="10"/>
  <c r="UJR18" i="10"/>
  <c r="UKV18" i="10"/>
  <c r="ULX18" i="10"/>
  <c r="UMZ18" i="10"/>
  <c r="UOC18" i="10"/>
  <c r="UPE18" i="10"/>
  <c r="UQG18" i="10"/>
  <c r="URJ18" i="10"/>
  <c r="USL18" i="10"/>
  <c r="UTN18" i="10"/>
  <c r="UUR18" i="10"/>
  <c r="UVT18" i="10"/>
  <c r="UWV18" i="10"/>
  <c r="UXY18" i="10"/>
  <c r="UYZ18" i="10"/>
  <c r="UZU18" i="10"/>
  <c r="VAP18" i="10"/>
  <c r="VBL18" i="10"/>
  <c r="VCG18" i="10"/>
  <c r="VCZ18" i="10"/>
  <c r="VDP18" i="10"/>
  <c r="VEF18" i="10"/>
  <c r="VEV18" i="10"/>
  <c r="VFL18" i="10"/>
  <c r="VGB18" i="10"/>
  <c r="VGR18" i="10"/>
  <c r="VHH18" i="10"/>
  <c r="VHX18" i="10"/>
  <c r="VIN18" i="10"/>
  <c r="VJD18" i="10"/>
  <c r="VJT18" i="10"/>
  <c r="VKJ18" i="10"/>
  <c r="VKZ18" i="10"/>
  <c r="VLP18" i="10"/>
  <c r="VMF18" i="10"/>
  <c r="VMV18" i="10"/>
  <c r="VNL18" i="10"/>
  <c r="VOB18" i="10"/>
  <c r="VOR18" i="10"/>
  <c r="VPH18" i="10"/>
  <c r="VPX18" i="10"/>
  <c r="VQN18" i="10"/>
  <c r="VRD18" i="10"/>
  <c r="VRT18" i="10"/>
  <c r="VSJ18" i="10"/>
  <c r="VSZ18" i="10"/>
  <c r="VTP18" i="10"/>
  <c r="VUF18" i="10"/>
  <c r="VUV18" i="10"/>
  <c r="VVL18" i="10"/>
  <c r="VWB18" i="10"/>
  <c r="VWR18" i="10"/>
  <c r="VXH18" i="10"/>
  <c r="VXX18" i="10"/>
  <c r="VYN18" i="10"/>
  <c r="VZD18" i="10"/>
  <c r="VZT18" i="10"/>
  <c r="WAJ18" i="10"/>
  <c r="WAZ18" i="10"/>
  <c r="WBP18" i="10"/>
  <c r="WCF18" i="10"/>
  <c r="WCV18" i="10"/>
  <c r="WDL18" i="10"/>
  <c r="WEB18" i="10"/>
  <c r="WER18" i="10"/>
  <c r="WFH18" i="10"/>
  <c r="WFX18" i="10"/>
  <c r="WGN18" i="10"/>
  <c r="WHD18" i="10"/>
  <c r="WHT18" i="10"/>
  <c r="WIJ18" i="10"/>
  <c r="WIZ18" i="10"/>
  <c r="WJP18" i="10"/>
  <c r="WKF18" i="10"/>
  <c r="WKV18" i="10"/>
  <c r="WLL18" i="10"/>
  <c r="WMB18" i="10"/>
  <c r="WMR18" i="10"/>
  <c r="WNH18" i="10"/>
  <c r="WNX18" i="10"/>
  <c r="WON18" i="10"/>
  <c r="WPD18" i="10"/>
  <c r="WPT18" i="10"/>
  <c r="WQJ18" i="10"/>
  <c r="WQZ18" i="10"/>
  <c r="WRP18" i="10"/>
  <c r="WSF18" i="10"/>
  <c r="WSV18" i="10"/>
  <c r="WTL18" i="10"/>
  <c r="WUB18" i="10"/>
  <c r="WUR18" i="10"/>
  <c r="WVH18" i="10"/>
  <c r="WVX18" i="10"/>
  <c r="WWN18" i="10"/>
  <c r="WXD18" i="10"/>
  <c r="WXT18" i="10"/>
  <c r="WYJ18" i="10"/>
  <c r="WYZ18" i="10"/>
  <c r="WZP18" i="10"/>
  <c r="XAF18" i="10"/>
  <c r="XAV18" i="10"/>
  <c r="XBL18" i="10"/>
  <c r="XCB18" i="10"/>
  <c r="XCR18" i="10"/>
  <c r="XDH18" i="10"/>
  <c r="XDX18" i="10"/>
  <c r="XEN18" i="10"/>
  <c r="AR19" i="10"/>
  <c r="BH19" i="10"/>
  <c r="BX19" i="10"/>
  <c r="CN19" i="10"/>
  <c r="DD19" i="10"/>
  <c r="DT19" i="10"/>
  <c r="EJ19" i="10"/>
  <c r="EZ19" i="10"/>
  <c r="FP19" i="10"/>
  <c r="GF19" i="10"/>
  <c r="GV19" i="10"/>
  <c r="HL19" i="10"/>
  <c r="IB19" i="10"/>
  <c r="IR19" i="10"/>
  <c r="JH19" i="10"/>
  <c r="JX19" i="10"/>
  <c r="KN19" i="10"/>
  <c r="LD19" i="10"/>
  <c r="LT19" i="10"/>
  <c r="MJ19" i="10"/>
  <c r="MZ19" i="10"/>
  <c r="NP19" i="10"/>
  <c r="OF19" i="10"/>
  <c r="OV19" i="10"/>
  <c r="PL19" i="10"/>
  <c r="QB19" i="10"/>
  <c r="QR19" i="10"/>
  <c r="RH19" i="10"/>
  <c r="RX19" i="10"/>
  <c r="SN19" i="10"/>
  <c r="TD19" i="10"/>
  <c r="TT19" i="10"/>
  <c r="UJ19" i="10"/>
  <c r="UZ19" i="10"/>
  <c r="VP19" i="10"/>
  <c r="WF19" i="10"/>
  <c r="WV19" i="10"/>
  <c r="XL19" i="10"/>
  <c r="YB19" i="10"/>
  <c r="YR19" i="10"/>
  <c r="ZH19" i="10"/>
  <c r="ZX19" i="10"/>
  <c r="AAN19" i="10"/>
  <c r="ABD19" i="10"/>
  <c r="ABT19" i="10"/>
  <c r="ACJ19" i="10"/>
  <c r="ACZ19" i="10"/>
  <c r="ADP19" i="10"/>
  <c r="AEF19" i="10"/>
  <c r="AEV19" i="10"/>
  <c r="AHH19" i="10"/>
  <c r="AJT19" i="10"/>
  <c r="AMF19" i="10"/>
  <c r="AOR19" i="10"/>
  <c r="ARD19" i="10"/>
  <c r="ATP19" i="10"/>
  <c r="AWB19" i="10"/>
  <c r="AYN19" i="10"/>
  <c r="AZU19" i="10"/>
  <c r="BBA19" i="10"/>
  <c r="BCG19" i="10"/>
  <c r="BDM19" i="10"/>
  <c r="BES19" i="10"/>
  <c r="BFR19" i="10"/>
  <c r="BGN19" i="10"/>
  <c r="BHI19" i="10"/>
  <c r="BID19" i="10"/>
  <c r="BIZ19" i="10"/>
  <c r="BJU19" i="10"/>
  <c r="BKP19" i="10"/>
  <c r="BLL19" i="10"/>
  <c r="BMG19" i="10"/>
  <c r="BNB19" i="10"/>
  <c r="BNX19" i="10"/>
  <c r="BOS19" i="10"/>
  <c r="BPN19" i="10"/>
  <c r="BQJ19" i="10"/>
  <c r="BRE19" i="10"/>
  <c r="BRZ19" i="10"/>
  <c r="BSV19" i="10"/>
  <c r="BTQ19" i="10"/>
  <c r="BUL19" i="10"/>
  <c r="BVH19" i="10"/>
  <c r="BWC19" i="10"/>
  <c r="BWX19" i="10"/>
  <c r="BXT19" i="10"/>
  <c r="BYO19" i="10"/>
  <c r="BZJ19" i="10"/>
  <c r="CAF19" i="10"/>
  <c r="CBA19" i="10"/>
  <c r="CBV19" i="10"/>
  <c r="CCR19" i="10"/>
  <c r="CDM19" i="10"/>
  <c r="CEH19" i="10"/>
  <c r="CFD19" i="10"/>
  <c r="CFY19" i="10"/>
  <c r="CGT19" i="10"/>
  <c r="CHP19" i="10"/>
  <c r="CIK19" i="10"/>
  <c r="CJF19" i="10"/>
  <c r="CKB19" i="10"/>
  <c r="CKW19" i="10"/>
  <c r="CLR19" i="10"/>
  <c r="CMN19" i="10"/>
  <c r="CNI19" i="10"/>
  <c r="COD19" i="10"/>
  <c r="COZ19" i="10"/>
  <c r="CPU19" i="10"/>
  <c r="CQP19" i="10"/>
  <c r="CRL19" i="10"/>
  <c r="CSG19" i="10"/>
  <c r="CTB19" i="10"/>
  <c r="CTX19" i="10"/>
  <c r="CUS19" i="10"/>
  <c r="CVN19" i="10"/>
  <c r="CWJ19" i="10"/>
  <c r="CXE19" i="10"/>
  <c r="CXZ19" i="10"/>
  <c r="CYV19" i="10"/>
  <c r="CZQ19" i="10"/>
  <c r="DAL19" i="10"/>
  <c r="DBH19" i="10"/>
  <c r="DCC19" i="10"/>
  <c r="DCX19" i="10"/>
  <c r="DDT19" i="10"/>
  <c r="DEO19" i="10"/>
  <c r="DFJ19" i="10"/>
  <c r="DGF19" i="10"/>
  <c r="DHA19" i="10"/>
  <c r="DHV19" i="10"/>
  <c r="DIR19" i="10"/>
  <c r="DJM19" i="10"/>
  <c r="DKH19" i="10"/>
  <c r="DLD19" i="10"/>
  <c r="DLY19" i="10"/>
  <c r="DMT19" i="10"/>
  <c r="DNN19" i="10"/>
  <c r="DOD19" i="10"/>
  <c r="DOT19" i="10"/>
  <c r="DPJ19" i="10"/>
  <c r="DPZ19" i="10"/>
  <c r="DQP19" i="10"/>
  <c r="DRF19" i="10"/>
  <c r="DRV19" i="10"/>
  <c r="DSL19" i="10"/>
  <c r="DTB19" i="10"/>
  <c r="DTR19" i="10"/>
  <c r="DUH19" i="10"/>
  <c r="DUX19" i="10"/>
  <c r="DVN19" i="10"/>
  <c r="DWD19" i="10"/>
  <c r="DWT19" i="10"/>
  <c r="DXJ19" i="10"/>
  <c r="DXZ19" i="10"/>
  <c r="DYP19" i="10"/>
  <c r="DZF19" i="10"/>
  <c r="DZV19" i="10"/>
  <c r="EAL19" i="10"/>
  <c r="EBB19" i="10"/>
  <c r="EBR19" i="10"/>
  <c r="ECH19" i="10"/>
  <c r="ECX19" i="10"/>
  <c r="EDN19" i="10"/>
  <c r="EED19" i="10"/>
  <c r="EET19" i="10"/>
  <c r="EFJ19" i="10"/>
  <c r="EFZ19" i="10"/>
  <c r="EGP19" i="10"/>
  <c r="EHF19" i="10"/>
  <c r="EHV19" i="10"/>
  <c r="EIL19" i="10"/>
  <c r="EJB19" i="10"/>
  <c r="EJR19" i="10"/>
  <c r="EKH19" i="10"/>
  <c r="EKX19" i="10"/>
  <c r="ELN19" i="10"/>
  <c r="EMD19" i="10"/>
  <c r="EMT19" i="10"/>
  <c r="ENJ19" i="10"/>
  <c r="ENZ19" i="10"/>
  <c r="EOP19" i="10"/>
  <c r="EPF19" i="10"/>
  <c r="EPV19" i="10"/>
  <c r="EQL19" i="10"/>
  <c r="ERB19" i="10"/>
  <c r="ERR19" i="10"/>
  <c r="ESH19" i="10"/>
  <c r="ESX19" i="10"/>
  <c r="ETN19" i="10"/>
  <c r="EUD19" i="10"/>
  <c r="EUT19" i="10"/>
  <c r="EVJ19" i="10"/>
  <c r="EVZ19" i="10"/>
  <c r="EWP19" i="10"/>
  <c r="EXF19" i="10"/>
  <c r="EXV19" i="10"/>
  <c r="EYL19" i="10"/>
  <c r="EZB19" i="10"/>
  <c r="EZR19" i="10"/>
  <c r="FAH19" i="10"/>
  <c r="FAX19" i="10"/>
  <c r="FBN19" i="10"/>
  <c r="FCD19" i="10"/>
  <c r="FCT19" i="10"/>
  <c r="FDJ19" i="10"/>
  <c r="FDZ19" i="10"/>
  <c r="FEP19" i="10"/>
  <c r="FFF19" i="10"/>
  <c r="FFV19" i="10"/>
  <c r="FGL19" i="10"/>
  <c r="FHB19" i="10"/>
  <c r="FHR19" i="10"/>
  <c r="FIH19" i="10"/>
  <c r="FIX19" i="10"/>
  <c r="FJN19" i="10"/>
  <c r="FKD19" i="10"/>
  <c r="FKT19" i="10"/>
  <c r="FLJ19" i="10"/>
  <c r="FLZ19" i="10"/>
  <c r="FMP19" i="10"/>
  <c r="FNF19" i="10"/>
  <c r="FNV19" i="10"/>
  <c r="FOL19" i="10"/>
  <c r="FPB19" i="10"/>
  <c r="FPR19" i="10"/>
  <c r="FQH19" i="10"/>
  <c r="FQX19" i="10"/>
  <c r="FRN19" i="10"/>
  <c r="FSD19" i="10"/>
  <c r="FST19" i="10"/>
  <c r="FTJ19" i="10"/>
  <c r="FTZ19" i="10"/>
  <c r="FUP19" i="10"/>
  <c r="FVF19" i="10"/>
  <c r="FVV19" i="10"/>
  <c r="FWL19" i="10"/>
  <c r="FXB19" i="10"/>
  <c r="FXR19" i="10"/>
  <c r="FYH19" i="10"/>
  <c r="FYX19" i="10"/>
  <c r="FZN19" i="10"/>
  <c r="GAD19" i="10"/>
  <c r="GAT19" i="10"/>
  <c r="GBJ19" i="10"/>
  <c r="GBZ19" i="10"/>
  <c r="GCP19" i="10"/>
  <c r="GDF19" i="10"/>
  <c r="GDV19" i="10"/>
  <c r="GEL19" i="10"/>
  <c r="GFB19" i="10"/>
  <c r="GFR19" i="10"/>
  <c r="GGH19" i="10"/>
  <c r="GGX19" i="10"/>
  <c r="GHN19" i="10"/>
  <c r="GID19" i="10"/>
  <c r="GIT19" i="10"/>
  <c r="GJJ19" i="10"/>
  <c r="GJZ19" i="10"/>
  <c r="GKP19" i="10"/>
  <c r="GLF19" i="10"/>
  <c r="GLV19" i="10"/>
  <c r="GML19" i="10"/>
  <c r="GNB19" i="10"/>
  <c r="GNR19" i="10"/>
  <c r="GOH19" i="10"/>
  <c r="GOX19" i="10"/>
  <c r="GPN19" i="10"/>
  <c r="GQD19" i="10"/>
  <c r="GQT19" i="10"/>
  <c r="GRJ19" i="10"/>
  <c r="GRZ19" i="10"/>
  <c r="GSP19" i="10"/>
  <c r="GTF19" i="10"/>
  <c r="GTV19" i="10"/>
  <c r="GUL19" i="10"/>
  <c r="GVB19" i="10"/>
  <c r="GVR19" i="10"/>
  <c r="GWH19" i="10"/>
  <c r="GWX19" i="10"/>
  <c r="GXN19" i="10"/>
  <c r="GYD19" i="10"/>
  <c r="GYT19" i="10"/>
  <c r="GZJ19" i="10"/>
  <c r="GZZ19" i="10"/>
  <c r="HAP19" i="10"/>
  <c r="HBF19" i="10"/>
  <c r="HBV19" i="10"/>
  <c r="HCL19" i="10"/>
  <c r="HDB19" i="10"/>
  <c r="HDR19" i="10"/>
  <c r="HEH19" i="10"/>
  <c r="HEX19" i="10"/>
  <c r="AGF19" i="10"/>
  <c r="AIR19" i="10"/>
  <c r="ALD19" i="10"/>
  <c r="ANP19" i="10"/>
  <c r="AQB19" i="10"/>
  <c r="ASN19" i="10"/>
  <c r="AUZ19" i="10"/>
  <c r="AXL19" i="10"/>
  <c r="AZH19" i="10"/>
  <c r="BAN19" i="10"/>
  <c r="BBT19" i="10"/>
  <c r="BCZ19" i="10"/>
  <c r="BEF19" i="10"/>
  <c r="BFI19" i="10"/>
  <c r="BGD19" i="10"/>
  <c r="BGZ19" i="10"/>
  <c r="BHU19" i="10"/>
  <c r="BIP19" i="10"/>
  <c r="BJL19" i="10"/>
  <c r="BKG19" i="10"/>
  <c r="BLB19" i="10"/>
  <c r="BLX19" i="10"/>
  <c r="BMS19" i="10"/>
  <c r="BNN19" i="10"/>
  <c r="BOJ19" i="10"/>
  <c r="BPE19" i="10"/>
  <c r="BPZ19" i="10"/>
  <c r="BQV19" i="10"/>
  <c r="BRQ19" i="10"/>
  <c r="BSL19" i="10"/>
  <c r="BTH19" i="10"/>
  <c r="BUC19" i="10"/>
  <c r="BUX19" i="10"/>
  <c r="BVT19" i="10"/>
  <c r="BWO19" i="10"/>
  <c r="BXJ19" i="10"/>
  <c r="BYF19" i="10"/>
  <c r="BZA19" i="10"/>
  <c r="BZV19" i="10"/>
  <c r="CAR19" i="10"/>
  <c r="CBM19" i="10"/>
  <c r="CCH19" i="10"/>
  <c r="CDD19" i="10"/>
  <c r="CDY19" i="10"/>
  <c r="CET19" i="10"/>
  <c r="CFP19" i="10"/>
  <c r="CGK19" i="10"/>
  <c r="CHF19" i="10"/>
  <c r="CIB19" i="10"/>
  <c r="CIW19" i="10"/>
  <c r="CJR19" i="10"/>
  <c r="CKN19" i="10"/>
  <c r="CLI19" i="10"/>
  <c r="CMD19" i="10"/>
  <c r="CMZ19" i="10"/>
  <c r="CNU19" i="10"/>
  <c r="COP19" i="10"/>
  <c r="CPL19" i="10"/>
  <c r="CQG19" i="10"/>
  <c r="CRB19" i="10"/>
  <c r="CRX19" i="10"/>
  <c r="CSS19" i="10"/>
  <c r="CTN19" i="10"/>
  <c r="CUJ19" i="10"/>
  <c r="CVE19" i="10"/>
  <c r="CVZ19" i="10"/>
  <c r="CWV19" i="10"/>
  <c r="CXQ19" i="10"/>
  <c r="CYL19" i="10"/>
  <c r="CZH19" i="10"/>
  <c r="DAC19" i="10"/>
  <c r="DAX19" i="10"/>
  <c r="DBT19" i="10"/>
  <c r="DCO19" i="10"/>
  <c r="DDJ19" i="10"/>
  <c r="DEF19" i="10"/>
  <c r="DFA19" i="10"/>
  <c r="DFV19" i="10"/>
  <c r="DGR19" i="10"/>
  <c r="DHM19" i="10"/>
  <c r="DIH19" i="10"/>
  <c r="DJD19" i="10"/>
  <c r="DJY19" i="10"/>
  <c r="DKT19" i="10"/>
  <c r="DLP19" i="10"/>
  <c r="DMK19" i="10"/>
  <c r="DNF19" i="10"/>
  <c r="DNW19" i="10"/>
  <c r="DOM19" i="10"/>
  <c r="DPC19" i="10"/>
  <c r="DPS19" i="10"/>
  <c r="DQI19" i="10"/>
  <c r="KYF18" i="10"/>
  <c r="LIB18" i="10"/>
  <c r="LMZ18" i="10"/>
  <c r="LRX18" i="10"/>
  <c r="LWV18" i="10"/>
  <c r="MAK18" i="10"/>
  <c r="MDR18" i="10"/>
  <c r="MGZ18" i="10"/>
  <c r="MKG18" i="10"/>
  <c r="MNN18" i="10"/>
  <c r="MQV18" i="10"/>
  <c r="MUC18" i="10"/>
  <c r="MXJ18" i="10"/>
  <c r="NAR18" i="10"/>
  <c r="LEN18" i="10"/>
  <c r="LLE18" i="10"/>
  <c r="LQC18" i="10"/>
  <c r="LVA18" i="10"/>
  <c r="LZF18" i="10"/>
  <c r="MCN18" i="10"/>
  <c r="MFU18" i="10"/>
  <c r="MJB18" i="10"/>
  <c r="MMJ18" i="10"/>
  <c r="MPQ18" i="10"/>
  <c r="MSX18" i="10"/>
  <c r="MWF18" i="10"/>
  <c r="MZM18" i="10"/>
  <c r="NCT18" i="10"/>
  <c r="NFM18" i="10"/>
  <c r="NHY18" i="10"/>
  <c r="NKK18" i="10"/>
  <c r="NMW18" i="10"/>
  <c r="NPI18" i="10"/>
  <c r="NRU18" i="10"/>
  <c r="NUG18" i="10"/>
  <c r="NWS18" i="10"/>
  <c r="NZE18" i="10"/>
  <c r="OBQ18" i="10"/>
  <c r="OEC18" i="10"/>
  <c r="OGO18" i="10"/>
  <c r="OJA18" i="10"/>
  <c r="OLM18" i="10"/>
  <c r="ONY18" i="10"/>
  <c r="OQK18" i="10"/>
  <c r="OSW18" i="10"/>
  <c r="OVI18" i="10"/>
  <c r="OXU18" i="10"/>
  <c r="PAG18" i="10"/>
  <c r="PCS18" i="10"/>
  <c r="PFE18" i="10"/>
  <c r="PHQ18" i="10"/>
  <c r="PKC18" i="10"/>
  <c r="PMO18" i="10"/>
  <c r="PPA18" i="10"/>
  <c r="PRM18" i="10"/>
  <c r="PTY18" i="10"/>
  <c r="KYN18" i="10"/>
  <c r="LIF18" i="10"/>
  <c r="LND18" i="10"/>
  <c r="LSB18" i="10"/>
  <c r="LWZ18" i="10"/>
  <c r="MAN18" i="10"/>
  <c r="MDU18" i="10"/>
  <c r="MHB18" i="10"/>
  <c r="MKJ18" i="10"/>
  <c r="MNQ18" i="10"/>
  <c r="MQX18" i="10"/>
  <c r="MUF18" i="10"/>
  <c r="MXM18" i="10"/>
  <c r="NAT18" i="10"/>
  <c r="NDZ18" i="10"/>
  <c r="NGL18" i="10"/>
  <c r="NIX18" i="10"/>
  <c r="NLJ18" i="10"/>
  <c r="NNV18" i="10"/>
  <c r="NQH18" i="10"/>
  <c r="NST18" i="10"/>
  <c r="NVF18" i="10"/>
  <c r="NXR18" i="10"/>
  <c r="OAD18" i="10"/>
  <c r="OCP18" i="10"/>
  <c r="OFB18" i="10"/>
  <c r="OHN18" i="10"/>
  <c r="OJZ18" i="10"/>
  <c r="OML18" i="10"/>
  <c r="LGB18" i="10"/>
  <c r="LLY18" i="10"/>
  <c r="LQW18" i="10"/>
  <c r="LVU18" i="10"/>
  <c r="LZT18" i="10"/>
  <c r="MDA18" i="10"/>
  <c r="MGH18" i="10"/>
  <c r="MJP18" i="10"/>
  <c r="MMW18" i="10"/>
  <c r="MQD18" i="10"/>
  <c r="MZP18" i="10"/>
  <c r="NGJ18" i="10"/>
  <c r="NLH18" i="10"/>
  <c r="NQF18" i="10"/>
  <c r="NVD18" i="10"/>
  <c r="OAB18" i="10"/>
  <c r="OEZ18" i="10"/>
  <c r="OJX18" i="10"/>
  <c r="ONV18" i="10"/>
  <c r="OPL18" i="10"/>
  <c r="ORC18" i="10"/>
  <c r="OST18" i="10"/>
  <c r="OUJ18" i="10"/>
  <c r="OWA18" i="10"/>
  <c r="OXR18" i="10"/>
  <c r="OZH18" i="10"/>
  <c r="PAY18" i="10"/>
  <c r="PCP18" i="10"/>
  <c r="PEF18" i="10"/>
  <c r="PFW18" i="10"/>
  <c r="PHN18" i="10"/>
  <c r="PJD18" i="10"/>
  <c r="PKU18" i="10"/>
  <c r="PML18" i="10"/>
  <c r="POB18" i="10"/>
  <c r="PPS18" i="10"/>
  <c r="PRJ18" i="10"/>
  <c r="PSZ18" i="10"/>
  <c r="PUQ18" i="10"/>
  <c r="PWH18" i="10"/>
  <c r="PXN18" i="10"/>
  <c r="PYT18" i="10"/>
  <c r="PZZ18" i="10"/>
  <c r="QBF18" i="10"/>
  <c r="QCL18" i="10"/>
  <c r="QDR18" i="10"/>
  <c r="QEX18" i="10"/>
  <c r="QGD18" i="10"/>
  <c r="QHJ18" i="10"/>
  <c r="QIP18" i="10"/>
  <c r="QJV18" i="10"/>
  <c r="QLB18" i="10"/>
  <c r="QMH18" i="10"/>
  <c r="QNN18" i="10"/>
  <c r="QOT18" i="10"/>
  <c r="QPZ18" i="10"/>
  <c r="QRF18" i="10"/>
  <c r="QSL18" i="10"/>
  <c r="QTR18" i="10"/>
  <c r="QUX18" i="10"/>
  <c r="QWD18" i="10"/>
  <c r="QXJ18" i="10"/>
  <c r="QYP18" i="10"/>
  <c r="QZV18" i="10"/>
  <c r="RBB18" i="10"/>
  <c r="RCH18" i="10"/>
  <c r="RDN18" i="10"/>
  <c r="RET18" i="10"/>
  <c r="RFZ18" i="10"/>
  <c r="RHF18" i="10"/>
  <c r="RIL18" i="10"/>
  <c r="RJR18" i="10"/>
  <c r="RKX18" i="10"/>
  <c r="RMD18" i="10"/>
  <c r="RNJ18" i="10"/>
  <c r="ROP18" i="10"/>
  <c r="RPV18" i="10"/>
  <c r="RRB18" i="10"/>
  <c r="RSH18" i="10"/>
  <c r="RTN18" i="10"/>
  <c r="RUT18" i="10"/>
  <c r="RVZ18" i="10"/>
  <c r="RXF18" i="10"/>
  <c r="RYL18" i="10"/>
  <c r="RZR18" i="10"/>
  <c r="SAX18" i="10"/>
  <c r="SCD18" i="10"/>
  <c r="MWN18" i="10"/>
  <c r="NCL18" i="10"/>
  <c r="NFG18" i="10"/>
  <c r="NHS18" i="10"/>
  <c r="NKE18" i="10"/>
  <c r="NMQ18" i="10"/>
  <c r="NPC18" i="10"/>
  <c r="NRO18" i="10"/>
  <c r="NUA18" i="10"/>
  <c r="NWM18" i="10"/>
  <c r="NYY18" i="10"/>
  <c r="OBK18" i="10"/>
  <c r="ODW18" i="10"/>
  <c r="OGI18" i="10"/>
  <c r="OIU18" i="10"/>
  <c r="OLG18" i="10"/>
  <c r="ONL18" i="10"/>
  <c r="OPC18" i="10"/>
  <c r="OQT18" i="10"/>
  <c r="OSJ18" i="10"/>
  <c r="OUA18" i="10"/>
  <c r="OVR18" i="10"/>
  <c r="OXH18" i="10"/>
  <c r="OYY18" i="10"/>
  <c r="PAP18" i="10"/>
  <c r="PCF18" i="10"/>
  <c r="PDW18" i="10"/>
  <c r="PFN18" i="10"/>
  <c r="PHD18" i="10"/>
  <c r="PIU18" i="10"/>
  <c r="PKL18" i="10"/>
  <c r="PMB18" i="10"/>
  <c r="PNS18" i="10"/>
  <c r="PPJ18" i="10"/>
  <c r="PQZ18" i="10"/>
  <c r="PSQ18" i="10"/>
  <c r="PUH18" i="10"/>
  <c r="PVX18" i="10"/>
  <c r="PXG18" i="10"/>
  <c r="PYM18" i="10"/>
  <c r="PZS18" i="10"/>
  <c r="QAY18" i="10"/>
  <c r="QCE18" i="10"/>
  <c r="QDK18" i="10"/>
  <c r="QEQ18" i="10"/>
  <c r="QFW18" i="10"/>
  <c r="QHC18" i="10"/>
  <c r="QII18" i="10"/>
  <c r="QJO18" i="10"/>
  <c r="QKU18" i="10"/>
  <c r="QMA18" i="10"/>
  <c r="QNG18" i="10"/>
  <c r="QOM18" i="10"/>
  <c r="QPS18" i="10"/>
  <c r="QQY18" i="10"/>
  <c r="QSE18" i="10"/>
  <c r="QTK18" i="10"/>
  <c r="QUQ18" i="10"/>
  <c r="QVW18" i="10"/>
  <c r="QXC18" i="10"/>
  <c r="QYI18" i="10"/>
  <c r="QZO18" i="10"/>
  <c r="RAU18" i="10"/>
  <c r="RCA18" i="10"/>
  <c r="RDG18" i="10"/>
  <c r="REM18" i="10"/>
  <c r="RFS18" i="10"/>
  <c r="RGY18" i="10"/>
  <c r="RIE18" i="10"/>
  <c r="RJK18" i="10"/>
  <c r="RKQ18" i="10"/>
  <c r="RLW18" i="10"/>
  <c r="RNC18" i="10"/>
  <c r="ROI18" i="10"/>
  <c r="RPO18" i="10"/>
  <c r="RQU18" i="10"/>
  <c r="RSA18" i="10"/>
  <c r="RTG18" i="10"/>
  <c r="RUM18" i="10"/>
  <c r="RVS18" i="10"/>
  <c r="RWY18" i="10"/>
  <c r="RYE18" i="10"/>
  <c r="RZK18" i="10"/>
  <c r="SAQ18" i="10"/>
  <c r="SBW18" i="10"/>
  <c r="SDC18" i="10"/>
  <c r="SEI18" i="10"/>
  <c r="SFO18" i="10"/>
  <c r="SGU18" i="10"/>
  <c r="SIA18" i="10"/>
  <c r="SJG18" i="10"/>
  <c r="SKM18" i="10"/>
  <c r="SLS18" i="10"/>
  <c r="SMY18" i="10"/>
  <c r="SOE18" i="10"/>
  <c r="SPK18" i="10"/>
  <c r="SQQ18" i="10"/>
  <c r="SRW18" i="10"/>
  <c r="STC18" i="10"/>
  <c r="SUI18" i="10"/>
  <c r="SVO18" i="10"/>
  <c r="SWU18" i="10"/>
  <c r="SYA18" i="10"/>
  <c r="SZG18" i="10"/>
  <c r="TAM18" i="10"/>
  <c r="TBS18" i="10"/>
  <c r="TCY18" i="10"/>
  <c r="TEE18" i="10"/>
  <c r="TFK18" i="10"/>
  <c r="TGQ18" i="10"/>
  <c r="THW18" i="10"/>
  <c r="TJC18" i="10"/>
  <c r="TKI18" i="10"/>
  <c r="TLO18" i="10"/>
  <c r="TMU18" i="10"/>
  <c r="TOA18" i="10"/>
  <c r="TPG18" i="10"/>
  <c r="TQM18" i="10"/>
  <c r="TRS18" i="10"/>
  <c r="TSY18" i="10"/>
  <c r="TUE18" i="10"/>
  <c r="TVK18" i="10"/>
  <c r="TWQ18" i="10"/>
  <c r="TXW18" i="10"/>
  <c r="TZC18" i="10"/>
  <c r="UAI18" i="10"/>
  <c r="UBO18" i="10"/>
  <c r="UCU18" i="10"/>
  <c r="UEA18" i="10"/>
  <c r="UFG18" i="10"/>
  <c r="UGM18" i="10"/>
  <c r="UHS18" i="10"/>
  <c r="UIY18" i="10"/>
  <c r="UKE18" i="10"/>
  <c r="ULK18" i="10"/>
  <c r="UMQ18" i="10"/>
  <c r="UNW18" i="10"/>
  <c r="UPC18" i="10"/>
  <c r="UQI18" i="10"/>
  <c r="URO18" i="10"/>
  <c r="USU18" i="10"/>
  <c r="UTW18" i="10"/>
  <c r="UUQ18" i="10"/>
  <c r="UVO18" i="10"/>
  <c r="UWI18" i="10"/>
  <c r="UXC18" i="10"/>
  <c r="UYA18" i="10"/>
  <c r="UYU18" i="10"/>
  <c r="UZO18" i="10"/>
  <c r="VAM18" i="10"/>
  <c r="VBG18" i="10"/>
  <c r="VCA18" i="10"/>
  <c r="MSP18" i="10"/>
  <c r="MWS18" i="10"/>
  <c r="NAV18" i="10"/>
  <c r="NDT18" i="10"/>
  <c r="NFH18" i="10"/>
  <c r="NGV18" i="10"/>
  <c r="NIR18" i="10"/>
  <c r="NKF18" i="10"/>
  <c r="NLT18" i="10"/>
  <c r="NNP18" i="10"/>
  <c r="NPD18" i="10"/>
  <c r="NQR18" i="10"/>
  <c r="NSN18" i="10"/>
  <c r="NUB18" i="10"/>
  <c r="NVP18" i="10"/>
  <c r="NXL18" i="10"/>
  <c r="NYZ18" i="10"/>
  <c r="OAN18" i="10"/>
  <c r="OCJ18" i="10"/>
  <c r="ODX18" i="10"/>
  <c r="OFL18" i="10"/>
  <c r="OHH18" i="10"/>
  <c r="OIV18" i="10"/>
  <c r="OKJ18" i="10"/>
  <c r="OMF18" i="10"/>
  <c r="ONN18" i="10"/>
  <c r="OON18" i="10"/>
  <c r="OPT18" i="10"/>
  <c r="OQU18" i="10"/>
  <c r="ORV18" i="10"/>
  <c r="OTB18" i="10"/>
  <c r="OUB18" i="10"/>
  <c r="OVC18" i="10"/>
  <c r="OWI18" i="10"/>
  <c r="OXJ18" i="10"/>
  <c r="OYJ18" i="10"/>
  <c r="OZP18" i="10"/>
  <c r="PAQ18" i="10"/>
  <c r="PBR18" i="10"/>
  <c r="PCX18" i="10"/>
  <c r="PDX18" i="10"/>
  <c r="PEY18" i="10"/>
  <c r="PGE18" i="10"/>
  <c r="PHF18" i="10"/>
  <c r="PIF18" i="10"/>
  <c r="PJL18" i="10"/>
  <c r="PKM18" i="10"/>
  <c r="PLN18" i="10"/>
  <c r="PMT18" i="10"/>
  <c r="PNT18" i="10"/>
  <c r="POU18" i="10"/>
  <c r="PQA18" i="10"/>
  <c r="PRB18" i="10"/>
  <c r="PSB18" i="10"/>
  <c r="PTH18" i="10"/>
  <c r="PUI18" i="10"/>
  <c r="PVJ18" i="10"/>
  <c r="PWN18" i="10"/>
  <c r="PXH18" i="10"/>
  <c r="PYB18" i="10"/>
  <c r="PYZ18" i="10"/>
  <c r="PZT18" i="10"/>
  <c r="QAN18" i="10"/>
  <c r="QBL18" i="10"/>
  <c r="QCF18" i="10"/>
  <c r="QCZ18" i="10"/>
  <c r="QDX18" i="10"/>
  <c r="QER18" i="10"/>
  <c r="QFL18" i="10"/>
  <c r="QGJ18" i="10"/>
  <c r="QHD18" i="10"/>
  <c r="QHX18" i="10"/>
  <c r="QIV18" i="10"/>
  <c r="QJP18" i="10"/>
  <c r="QKJ18" i="10"/>
  <c r="QLH18" i="10"/>
  <c r="QMB18" i="10"/>
  <c r="QMV18" i="10"/>
  <c r="QNT18" i="10"/>
  <c r="QON18" i="10"/>
  <c r="QPH18" i="10"/>
  <c r="QQF18" i="10"/>
  <c r="QQZ18" i="10"/>
  <c r="QRT18" i="10"/>
  <c r="QSR18" i="10"/>
  <c r="QTL18" i="10"/>
  <c r="QUF18" i="10"/>
  <c r="QVD18" i="10"/>
  <c r="QVX18" i="10"/>
  <c r="QWR18" i="10"/>
  <c r="QXP18" i="10"/>
  <c r="QYJ18" i="10"/>
  <c r="QZD18" i="10"/>
  <c r="RAB18" i="10"/>
  <c r="RAV18" i="10"/>
  <c r="RBP18" i="10"/>
  <c r="RCN18" i="10"/>
  <c r="RDH18" i="10"/>
  <c r="REB18" i="10"/>
  <c r="REZ18" i="10"/>
  <c r="RFT18" i="10"/>
  <c r="RGN18" i="10"/>
  <c r="RHL18" i="10"/>
  <c r="RIF18" i="10"/>
  <c r="RIZ18" i="10"/>
  <c r="RJX18" i="10"/>
  <c r="RKR18" i="10"/>
  <c r="RLL18" i="10"/>
  <c r="RMJ18" i="10"/>
  <c r="RND18" i="10"/>
  <c r="RNX18" i="10"/>
  <c r="ROV18" i="10"/>
  <c r="RPP18" i="10"/>
  <c r="RQJ18" i="10"/>
  <c r="RRH18" i="10"/>
  <c r="RSB18" i="10"/>
  <c r="RSV18" i="10"/>
  <c r="RTT18" i="10"/>
  <c r="RUN18" i="10"/>
  <c r="RVH18" i="10"/>
  <c r="RWF18" i="10"/>
  <c r="RWZ18" i="10"/>
  <c r="RXT18" i="10"/>
  <c r="RYR18" i="10"/>
  <c r="RZL18" i="10"/>
  <c r="SAF18" i="10"/>
  <c r="SBD18" i="10"/>
  <c r="SBX18" i="10"/>
  <c r="SCR18" i="10"/>
  <c r="SDP18" i="10"/>
  <c r="SEJ18" i="10"/>
  <c r="SFD18" i="10"/>
  <c r="SGB18" i="10"/>
  <c r="SGV18" i="10"/>
  <c r="SHP18" i="10"/>
  <c r="MWC18" i="10"/>
  <c r="NAF18" i="10"/>
  <c r="NDB18" i="10"/>
  <c r="NFC18" i="10"/>
  <c r="NGQ18" i="10"/>
  <c r="NIE18" i="10"/>
  <c r="NKA18" i="10"/>
  <c r="NLO18" i="10"/>
  <c r="NNC18" i="10"/>
  <c r="NOY18" i="10"/>
  <c r="NQM18" i="10"/>
  <c r="NSA18" i="10"/>
  <c r="NTW18" i="10"/>
  <c r="NVK18" i="10"/>
  <c r="NWY18" i="10"/>
  <c r="NYU18" i="10"/>
  <c r="OAI18" i="10"/>
  <c r="OBW18" i="10"/>
  <c r="ODS18" i="10"/>
  <c r="OFG18" i="10"/>
  <c r="OGU18" i="10"/>
  <c r="OIQ18" i="10"/>
  <c r="OKE18" i="10"/>
  <c r="OMQ18" i="10"/>
  <c r="ORR18" i="10"/>
  <c r="OVT18" i="10"/>
  <c r="OZW18" i="10"/>
  <c r="PEU18" i="10"/>
  <c r="PIX18" i="10"/>
  <c r="PMZ18" i="10"/>
  <c r="PRX18" i="10"/>
  <c r="PWA18" i="10"/>
  <c r="PZE18" i="10"/>
  <c r="QCW18" i="10"/>
  <c r="QFY18" i="10"/>
  <c r="QJA18" i="10"/>
  <c r="QMS18" i="10"/>
  <c r="QPU18" i="10"/>
  <c r="QSW18" i="10"/>
  <c r="QWO18" i="10"/>
  <c r="QZQ18" i="10"/>
  <c r="RCS18" i="10"/>
  <c r="RGK18" i="10"/>
  <c r="RJM18" i="10"/>
  <c r="RMO18" i="10"/>
  <c r="RQG18" i="10"/>
  <c r="RTI18" i="10"/>
  <c r="RWK18" i="10"/>
  <c r="SAC18" i="10"/>
  <c r="SCT18" i="10"/>
  <c r="SEH18" i="10"/>
  <c r="SGD18" i="10"/>
  <c r="SHR18" i="10"/>
  <c r="SIS18" i="10"/>
  <c r="SJY18" i="10"/>
  <c r="SKZ18" i="10"/>
  <c r="SLZ18" i="10"/>
  <c r="SNF18" i="10"/>
  <c r="SOG18" i="10"/>
  <c r="SPH18" i="10"/>
  <c r="SQN18" i="10"/>
  <c r="SRN18" i="10"/>
  <c r="SSO18" i="10"/>
  <c r="STU18" i="10"/>
  <c r="SUV18" i="10"/>
  <c r="SVV18" i="10"/>
  <c r="SXB18" i="10"/>
  <c r="SYC18" i="10"/>
  <c r="SZD18" i="10"/>
  <c r="TAJ18" i="10"/>
  <c r="TBJ18" i="10"/>
  <c r="TCK18" i="10"/>
  <c r="TDQ18" i="10"/>
  <c r="TER18" i="10"/>
  <c r="TFR18" i="10"/>
  <c r="TGX18" i="10"/>
  <c r="THY18" i="10"/>
  <c r="TIZ18" i="10"/>
  <c r="TKF18" i="10"/>
  <c r="TLF18" i="10"/>
  <c r="TMG18" i="10"/>
  <c r="TNM18" i="10"/>
  <c r="TON18" i="10"/>
  <c r="TPN18" i="10"/>
  <c r="TQT18" i="10"/>
  <c r="TRU18" i="10"/>
  <c r="TSV18" i="10"/>
  <c r="OOP18" i="10"/>
  <c r="OSR18" i="10"/>
  <c r="OWU18" i="10"/>
  <c r="PBS18" i="10"/>
  <c r="PFV18" i="10"/>
  <c r="PJX18" i="10"/>
  <c r="POV18" i="10"/>
  <c r="PSY18" i="10"/>
  <c r="PWW18" i="10"/>
  <c r="QAO18" i="10"/>
  <c r="QDQ18" i="10"/>
  <c r="QGS18" i="10"/>
  <c r="QKK18" i="10"/>
  <c r="QNM18" i="10"/>
  <c r="QQO18" i="10"/>
  <c r="QUG18" i="10"/>
  <c r="QXI18" i="10"/>
  <c r="RAK18" i="10"/>
  <c r="REC18" i="10"/>
  <c r="RHE18" i="10"/>
  <c r="RKG18" i="10"/>
  <c r="RNY18" i="10"/>
  <c r="RRA18" i="10"/>
  <c r="RUC18" i="10"/>
  <c r="RXU18" i="10"/>
  <c r="SAW18" i="10"/>
  <c r="SDE18" i="10"/>
  <c r="SFA18" i="10"/>
  <c r="SGO18" i="10"/>
  <c r="SHY18" i="10"/>
  <c r="SJE18" i="10"/>
  <c r="SKF18" i="10"/>
  <c r="SLF18" i="10"/>
  <c r="SML18" i="10"/>
  <c r="SNM18" i="10"/>
  <c r="SON18" i="10"/>
  <c r="SPT18" i="10"/>
  <c r="SQT18" i="10"/>
  <c r="SRU18" i="10"/>
  <c r="STA18" i="10"/>
  <c r="SUB18" i="10"/>
  <c r="SVB18" i="10"/>
  <c r="SWH18" i="10"/>
  <c r="SXI18" i="10"/>
  <c r="SYJ18" i="10"/>
  <c r="SZP18" i="10"/>
  <c r="TAP18" i="10"/>
  <c r="TBQ18" i="10"/>
  <c r="TCW18" i="10"/>
  <c r="TDX18" i="10"/>
  <c r="TEX18" i="10"/>
  <c r="TGD18" i="10"/>
  <c r="THE18" i="10"/>
  <c r="TIF18" i="10"/>
  <c r="TJL18" i="10"/>
  <c r="TKL18" i="10"/>
  <c r="TLM18" i="10"/>
  <c r="TMS18" i="10"/>
  <c r="TNT18" i="10"/>
  <c r="TOT18" i="10"/>
  <c r="TPZ18" i="10"/>
  <c r="TRA18" i="10"/>
  <c r="TSB18" i="10"/>
  <c r="TTH18" i="10"/>
  <c r="TUH18" i="10"/>
  <c r="OOU18" i="10"/>
  <c r="OTS18" i="10"/>
  <c r="OXV18" i="10"/>
  <c r="PBX18" i="10"/>
  <c r="PGV18" i="10"/>
  <c r="PKY18" i="10"/>
  <c r="PPB18" i="10"/>
  <c r="PTZ18" i="10"/>
  <c r="PXQ18" i="10"/>
  <c r="QAS18" i="10"/>
  <c r="QEK18" i="10"/>
  <c r="QHM18" i="10"/>
  <c r="QKO18" i="10"/>
  <c r="QOG18" i="10"/>
  <c r="QRI18" i="10"/>
  <c r="QUK18" i="10"/>
  <c r="QYC18" i="10"/>
  <c r="RBE18" i="10"/>
  <c r="REG18" i="10"/>
  <c r="RHY18" i="10"/>
  <c r="RLA18" i="10"/>
  <c r="ROC18" i="10"/>
  <c r="RRU18" i="10"/>
  <c r="RUW18" i="10"/>
  <c r="RXY18" i="10"/>
  <c r="SBQ18" i="10"/>
  <c r="SDN18" i="10"/>
  <c r="SFB18" i="10"/>
  <c r="SGX18" i="10"/>
  <c r="SIF18" i="10"/>
  <c r="SJF18" i="10"/>
  <c r="SKL18" i="10"/>
  <c r="SLM18" i="10"/>
  <c r="SMN18" i="10"/>
  <c r="SNT18" i="10"/>
  <c r="SOT18" i="10"/>
  <c r="SPU18" i="10"/>
  <c r="SRA18" i="10"/>
  <c r="SSB18" i="10"/>
  <c r="STB18" i="10"/>
  <c r="SUH18" i="10"/>
  <c r="SVI18" i="10"/>
  <c r="SWJ18" i="10"/>
  <c r="SXP18" i="10"/>
  <c r="SYP18" i="10"/>
  <c r="SZQ18" i="10"/>
  <c r="TAW18" i="10"/>
  <c r="TBX18" i="10"/>
  <c r="TCX18" i="10"/>
  <c r="TED18" i="10"/>
  <c r="TFE18" i="10"/>
  <c r="TGF18" i="10"/>
  <c r="THL18" i="10"/>
  <c r="TIL18" i="10"/>
  <c r="TJM18" i="10"/>
  <c r="TKS18" i="10"/>
  <c r="TLT18" i="10"/>
  <c r="TMT18" i="10"/>
  <c r="TNZ18" i="10"/>
  <c r="TPA18" i="10"/>
  <c r="TQB18" i="10"/>
  <c r="TRH18" i="10"/>
  <c r="TSH18" i="10"/>
  <c r="TTI18" i="10"/>
  <c r="TUO18" i="10"/>
  <c r="TVP18" i="10"/>
  <c r="TWP18" i="10"/>
  <c r="TXV18" i="10"/>
  <c r="TYW18" i="10"/>
  <c r="TZX18" i="10"/>
  <c r="UBD18" i="10"/>
  <c r="UCD18" i="10"/>
  <c r="UDE18" i="10"/>
  <c r="UEK18" i="10"/>
  <c r="UFL18" i="10"/>
  <c r="UGL18" i="10"/>
  <c r="UHR18" i="10"/>
  <c r="UIS18" i="10"/>
  <c r="UJT18" i="10"/>
  <c r="UKZ18" i="10"/>
  <c r="ULZ18" i="10"/>
  <c r="UNA18" i="10"/>
  <c r="UOG18" i="10"/>
  <c r="UPH18" i="10"/>
  <c r="UQH18" i="10"/>
  <c r="URN18" i="10"/>
  <c r="USO18" i="10"/>
  <c r="UTP18" i="10"/>
  <c r="UUV18" i="10"/>
  <c r="UVV18" i="10"/>
  <c r="UWW18" i="10"/>
  <c r="UYC18" i="10"/>
  <c r="ONJ18" i="10"/>
  <c r="ORL18" i="10"/>
  <c r="OWJ18" i="10"/>
  <c r="PAM18" i="10"/>
  <c r="PEP18" i="10"/>
  <c r="PJN18" i="10"/>
  <c r="PNP18" i="10"/>
  <c r="PRS18" i="10"/>
  <c r="PWO18" i="10"/>
  <c r="PZQ18" i="10"/>
  <c r="QCS18" i="10"/>
  <c r="QGK18" i="10"/>
  <c r="QJM18" i="10"/>
  <c r="QMO18" i="10"/>
  <c r="QQG18" i="10"/>
  <c r="QTI18" i="10"/>
  <c r="QWK18" i="10"/>
  <c r="RAC18" i="10"/>
  <c r="RDE18" i="10"/>
  <c r="RGG18" i="10"/>
  <c r="RJY18" i="10"/>
  <c r="RNA18" i="10"/>
  <c r="RQC18" i="10"/>
  <c r="RTU18" i="10"/>
  <c r="RWW18" i="10"/>
  <c r="RZY18" i="10"/>
  <c r="SDA18" i="10"/>
  <c r="SEO18" i="10"/>
  <c r="SGC18" i="10"/>
  <c r="SHV18" i="10"/>
  <c r="SIW18" i="10"/>
  <c r="SJX18" i="10"/>
  <c r="SLD18" i="10"/>
  <c r="SMD18" i="10"/>
  <c r="SNE18" i="10"/>
  <c r="SOK18" i="10"/>
  <c r="SPL18" i="10"/>
  <c r="SQL18" i="10"/>
  <c r="SRR18" i="10"/>
  <c r="SSS18" i="10"/>
  <c r="STT18" i="10"/>
  <c r="SUZ18" i="10"/>
  <c r="SVZ18" i="10"/>
  <c r="SXA18" i="10"/>
  <c r="SYG18" i="10"/>
  <c r="SZH18" i="10"/>
  <c r="TAH18" i="10"/>
  <c r="TBN18" i="10"/>
  <c r="TCO18" i="10"/>
  <c r="TDP18" i="10"/>
  <c r="TEV18" i="10"/>
  <c r="TFV18" i="10"/>
  <c r="TGW18" i="10"/>
  <c r="TIC18" i="10"/>
  <c r="TJD18" i="10"/>
  <c r="TKD18" i="10"/>
  <c r="TLJ18" i="10"/>
  <c r="TMK18" i="10"/>
  <c r="TNL18" i="10"/>
  <c r="TOR18" i="10"/>
  <c r="TPR18" i="10"/>
  <c r="TQS18" i="10"/>
  <c r="TRY18" i="10"/>
  <c r="TSZ18" i="10"/>
  <c r="TTZ18" i="10"/>
  <c r="TVV18" i="10"/>
  <c r="TXE18" i="10"/>
  <c r="TYO18" i="10"/>
  <c r="UAF18" i="10"/>
  <c r="UBP18" i="10"/>
  <c r="UCX18" i="10"/>
  <c r="UEO18" i="10"/>
  <c r="UFY18" i="10"/>
  <c r="UHI18" i="10"/>
  <c r="UIZ18" i="10"/>
  <c r="UKH18" i="10"/>
  <c r="ULR18" i="10"/>
  <c r="UNI18" i="10"/>
  <c r="UOS18" i="10"/>
  <c r="UQB18" i="10"/>
  <c r="URR18" i="10"/>
  <c r="UTB18" i="10"/>
  <c r="UUL18" i="10"/>
  <c r="UWC18" i="10"/>
  <c r="UXL18" i="10"/>
  <c r="UYV18" i="10"/>
  <c r="VAB18" i="10"/>
  <c r="VBB18" i="10"/>
  <c r="VCC18" i="10"/>
  <c r="VDE18" i="10"/>
  <c r="VDY18" i="10"/>
  <c r="VES18" i="10"/>
  <c r="VFQ18" i="10"/>
  <c r="VGK18" i="10"/>
  <c r="VHE18" i="10"/>
  <c r="VIC18" i="10"/>
  <c r="VIW18" i="10"/>
  <c r="VJQ18" i="10"/>
  <c r="VKO18" i="10"/>
  <c r="VLI18" i="10"/>
  <c r="VMC18" i="10"/>
  <c r="VNA18" i="10"/>
  <c r="VNU18" i="10"/>
  <c r="VOO18" i="10"/>
  <c r="VPE18" i="10"/>
  <c r="VPU18" i="10"/>
  <c r="VQK18" i="10"/>
  <c r="VRA18" i="10"/>
  <c r="VRQ18" i="10"/>
  <c r="VSG18" i="10"/>
  <c r="VSW18" i="10"/>
  <c r="VTM18" i="10"/>
  <c r="VUC18" i="10"/>
  <c r="VUS18" i="10"/>
  <c r="VVI18" i="10"/>
  <c r="VVY18" i="10"/>
  <c r="VWO18" i="10"/>
  <c r="VXE18" i="10"/>
  <c r="VXU18" i="10"/>
  <c r="VYK18" i="10"/>
  <c r="VZA18" i="10"/>
  <c r="VZQ18" i="10"/>
  <c r="WAG18" i="10"/>
  <c r="WAW18" i="10"/>
  <c r="WBM18" i="10"/>
  <c r="WCC18" i="10"/>
  <c r="WCS18" i="10"/>
  <c r="WDI18" i="10"/>
  <c r="WDY18" i="10"/>
  <c r="WEO18" i="10"/>
  <c r="WFE18" i="10"/>
  <c r="WFU18" i="10"/>
  <c r="WGK18" i="10"/>
  <c r="WHA18" i="10"/>
  <c r="WHQ18" i="10"/>
  <c r="WIG18" i="10"/>
  <c r="WIW18" i="10"/>
  <c r="WJM18" i="10"/>
  <c r="WKC18" i="10"/>
  <c r="WKS18" i="10"/>
  <c r="WLI18" i="10"/>
  <c r="WLY18" i="10"/>
  <c r="WMO18" i="10"/>
  <c r="WNE18" i="10"/>
  <c r="WNU18" i="10"/>
  <c r="WOK18" i="10"/>
  <c r="WPA18" i="10"/>
  <c r="WPQ18" i="10"/>
  <c r="WQG18" i="10"/>
  <c r="WQW18" i="10"/>
  <c r="WRM18" i="10"/>
  <c r="WSC18" i="10"/>
  <c r="WSS18" i="10"/>
  <c r="WTI18" i="10"/>
  <c r="WTY18" i="10"/>
  <c r="WUO18" i="10"/>
  <c r="WVE18" i="10"/>
  <c r="WVU18" i="10"/>
  <c r="WWK18" i="10"/>
  <c r="WXA18" i="10"/>
  <c r="WXQ18" i="10"/>
  <c r="WYG18" i="10"/>
  <c r="WYW18" i="10"/>
  <c r="WZM18" i="10"/>
  <c r="XAC18" i="10"/>
  <c r="XAS18" i="10"/>
  <c r="XBI18" i="10"/>
  <c r="XBY18" i="10"/>
  <c r="XCO18" i="10"/>
  <c r="XDE18" i="10"/>
  <c r="XDU18" i="10"/>
  <c r="XEK18" i="10"/>
  <c r="AK19" i="10"/>
  <c r="BA19" i="10"/>
  <c r="BQ19" i="10"/>
  <c r="CG19" i="10"/>
  <c r="CW19" i="10"/>
  <c r="DM19" i="10"/>
  <c r="EC19" i="10"/>
  <c r="ES19" i="10"/>
  <c r="FI19" i="10"/>
  <c r="FY19" i="10"/>
  <c r="GO19" i="10"/>
  <c r="HE19" i="10"/>
  <c r="HU19" i="10"/>
  <c r="IK19" i="10"/>
  <c r="JA19" i="10"/>
  <c r="JQ19" i="10"/>
  <c r="KG19" i="10"/>
  <c r="KW19" i="10"/>
  <c r="LM19" i="10"/>
  <c r="MC19" i="10"/>
  <c r="MS19" i="10"/>
  <c r="NI19" i="10"/>
  <c r="NY19" i="10"/>
  <c r="OO19" i="10"/>
  <c r="PE19" i="10"/>
  <c r="PU19" i="10"/>
  <c r="QK19" i="10"/>
  <c r="RA19" i="10"/>
  <c r="RQ19" i="10"/>
  <c r="SG19" i="10"/>
  <c r="SW19" i="10"/>
  <c r="TM19" i="10"/>
  <c r="UC19" i="10"/>
  <c r="US19" i="10"/>
  <c r="VI19" i="10"/>
  <c r="VY19" i="10"/>
  <c r="WO19" i="10"/>
  <c r="XE19" i="10"/>
  <c r="XU19" i="10"/>
  <c r="YK19" i="10"/>
  <c r="ZA19" i="10"/>
  <c r="ZQ19" i="10"/>
  <c r="AAG19" i="10"/>
  <c r="AAW19" i="10"/>
  <c r="ABM19" i="10"/>
  <c r="ACC19" i="10"/>
  <c r="ACS19" i="10"/>
  <c r="ADI19" i="10"/>
  <c r="ADY19" i="10"/>
  <c r="AEO19" i="10"/>
  <c r="AFE19" i="10"/>
  <c r="AFU19" i="10"/>
  <c r="AGK19" i="10"/>
  <c r="AHA19" i="10"/>
  <c r="AHQ19" i="10"/>
  <c r="AIG19" i="10"/>
  <c r="AIW19" i="10"/>
  <c r="AJM19" i="10"/>
  <c r="AKC19" i="10"/>
  <c r="AKS19" i="10"/>
  <c r="ALI19" i="10"/>
  <c r="ALY19" i="10"/>
  <c r="AMO19" i="10"/>
  <c r="ANE19" i="10"/>
  <c r="ANU19" i="10"/>
  <c r="AOK19" i="10"/>
  <c r="APA19" i="10"/>
  <c r="APQ19" i="10"/>
  <c r="AQG19" i="10"/>
  <c r="AQW19" i="10"/>
  <c r="ARM19" i="10"/>
  <c r="ASC19" i="10"/>
  <c r="ASS19" i="10"/>
  <c r="ATI19" i="10"/>
  <c r="ATY19" i="10"/>
  <c r="AUO19" i="10"/>
  <c r="AVE19" i="10"/>
  <c r="AVU19" i="10"/>
  <c r="AWK19" i="10"/>
  <c r="AXA19" i="10"/>
  <c r="AXQ19" i="10"/>
  <c r="AYG19" i="10"/>
  <c r="TUB18" i="10"/>
  <c r="TVI18" i="10"/>
  <c r="TWL18" i="10"/>
  <c r="TXN18" i="10"/>
  <c r="TYP18" i="10"/>
  <c r="TZT18" i="10"/>
  <c r="UAV18" i="10"/>
  <c r="UBX18" i="10"/>
  <c r="UDA18" i="10"/>
  <c r="UEC18" i="10"/>
  <c r="UFE18" i="10"/>
  <c r="UGH18" i="10"/>
  <c r="UHJ18" i="10"/>
  <c r="UIL18" i="10"/>
  <c r="UJP18" i="10"/>
  <c r="UKR18" i="10"/>
  <c r="ULT18" i="10"/>
  <c r="UMW18" i="10"/>
  <c r="UNY18" i="10"/>
  <c r="UPA18" i="10"/>
  <c r="UQD18" i="10"/>
  <c r="URF18" i="10"/>
  <c r="USH18" i="10"/>
  <c r="UTL18" i="10"/>
  <c r="UUN18" i="10"/>
  <c r="UVP18" i="10"/>
  <c r="UWS18" i="10"/>
  <c r="UXU18" i="10"/>
  <c r="UYW18" i="10"/>
  <c r="UZR18" i="10"/>
  <c r="VAN18" i="10"/>
  <c r="VBI18" i="10"/>
  <c r="VCD18" i="10"/>
  <c r="VCX18" i="10"/>
  <c r="VDN18" i="10"/>
  <c r="VED18" i="10"/>
  <c r="VET18" i="10"/>
  <c r="VFJ18" i="10"/>
  <c r="VFZ18" i="10"/>
  <c r="VGP18" i="10"/>
  <c r="VHF18" i="10"/>
  <c r="VHV18" i="10"/>
  <c r="VIL18" i="10"/>
  <c r="VJB18" i="10"/>
  <c r="VJR18" i="10"/>
  <c r="VKH18" i="10"/>
  <c r="VKX18" i="10"/>
  <c r="VLN18" i="10"/>
  <c r="VMD18" i="10"/>
  <c r="VMT18" i="10"/>
  <c r="VNJ18" i="10"/>
  <c r="VNZ18" i="10"/>
  <c r="VOP18" i="10"/>
  <c r="VPF18" i="10"/>
  <c r="VPV18" i="10"/>
  <c r="VQL18" i="10"/>
  <c r="VRB18" i="10"/>
  <c r="VRR18" i="10"/>
  <c r="VSH18" i="10"/>
  <c r="VSX18" i="10"/>
  <c r="VTN18" i="10"/>
  <c r="VUD18" i="10"/>
  <c r="VUT18" i="10"/>
  <c r="VVJ18" i="10"/>
  <c r="VVZ18" i="10"/>
  <c r="VWP18" i="10"/>
  <c r="VXF18" i="10"/>
  <c r="VXV18" i="10"/>
  <c r="VYL18" i="10"/>
  <c r="VZB18" i="10"/>
  <c r="VZR18" i="10"/>
  <c r="WAH18" i="10"/>
  <c r="WAX18" i="10"/>
  <c r="WBN18" i="10"/>
  <c r="WCD18" i="10"/>
  <c r="WCT18" i="10"/>
  <c r="WDJ18" i="10"/>
  <c r="WDZ18" i="10"/>
  <c r="WEP18" i="10"/>
  <c r="WFF18" i="10"/>
  <c r="WFV18" i="10"/>
  <c r="WGL18" i="10"/>
  <c r="WHB18" i="10"/>
  <c r="WHR18" i="10"/>
  <c r="WIH18" i="10"/>
  <c r="WIX18" i="10"/>
  <c r="WJN18" i="10"/>
  <c r="WKD18" i="10"/>
  <c r="WKT18" i="10"/>
  <c r="WLJ18" i="10"/>
  <c r="WLZ18" i="10"/>
  <c r="WMP18" i="10"/>
  <c r="WNF18" i="10"/>
  <c r="WNV18" i="10"/>
  <c r="WOL18" i="10"/>
  <c r="WPB18" i="10"/>
  <c r="WPR18" i="10"/>
  <c r="WQH18" i="10"/>
  <c r="WQX18" i="10"/>
  <c r="WRN18" i="10"/>
  <c r="WSD18" i="10"/>
  <c r="WST18" i="10"/>
  <c r="WTJ18" i="10"/>
  <c r="WTZ18" i="10"/>
  <c r="WUP18" i="10"/>
  <c r="WVF18" i="10"/>
  <c r="WVV18" i="10"/>
  <c r="WWL18" i="10"/>
  <c r="WXB18" i="10"/>
  <c r="WXR18" i="10"/>
  <c r="WYH18" i="10"/>
  <c r="WYX18" i="10"/>
  <c r="WZN18" i="10"/>
  <c r="XAD18" i="10"/>
  <c r="XAT18" i="10"/>
  <c r="XBJ18" i="10"/>
  <c r="XBZ18" i="10"/>
  <c r="XCP18" i="10"/>
  <c r="XDF18" i="10"/>
  <c r="XDV18" i="10"/>
  <c r="XEL18" i="10"/>
  <c r="AL19" i="10"/>
  <c r="BB19" i="10"/>
  <c r="BR19" i="10"/>
  <c r="CH19" i="10"/>
  <c r="CX19" i="10"/>
  <c r="DN19" i="10"/>
  <c r="ED19" i="10"/>
  <c r="ET19" i="10"/>
  <c r="FJ19" i="10"/>
  <c r="FZ19" i="10"/>
  <c r="GP19" i="10"/>
  <c r="HF19" i="10"/>
  <c r="HV19" i="10"/>
  <c r="IL19" i="10"/>
  <c r="JB19" i="10"/>
  <c r="JR19" i="10"/>
  <c r="KH19" i="10"/>
  <c r="KX19" i="10"/>
  <c r="LN19" i="10"/>
  <c r="MD19" i="10"/>
  <c r="MT19" i="10"/>
  <c r="NJ19" i="10"/>
  <c r="NZ19" i="10"/>
  <c r="OP19" i="10"/>
  <c r="PF19" i="10"/>
  <c r="PV19" i="10"/>
  <c r="QL19" i="10"/>
  <c r="RB19" i="10"/>
  <c r="RR19" i="10"/>
  <c r="SH19" i="10"/>
  <c r="SX19" i="10"/>
  <c r="TN19" i="10"/>
  <c r="UD19" i="10"/>
  <c r="UT19" i="10"/>
  <c r="VJ19" i="10"/>
  <c r="VZ19" i="10"/>
  <c r="WP19" i="10"/>
  <c r="XF19" i="10"/>
  <c r="XV19" i="10"/>
  <c r="YL19" i="10"/>
  <c r="ZB19" i="10"/>
  <c r="ZR19" i="10"/>
  <c r="AAH19" i="10"/>
  <c r="AAX19" i="10"/>
  <c r="ABN19" i="10"/>
  <c r="ACD19" i="10"/>
  <c r="ACT19" i="10"/>
  <c r="ADJ19" i="10"/>
  <c r="ADZ19" i="10"/>
  <c r="AEP19" i="10"/>
  <c r="AFF19" i="10"/>
  <c r="AFV19" i="10"/>
  <c r="AGL19" i="10"/>
  <c r="AHB19" i="10"/>
  <c r="AHR19" i="10"/>
  <c r="AIH19" i="10"/>
  <c r="AIX19" i="10"/>
  <c r="AJN19" i="10"/>
  <c r="AKD19" i="10"/>
  <c r="AKT19" i="10"/>
  <c r="ALJ19" i="10"/>
  <c r="ALZ19" i="10"/>
  <c r="AMP19" i="10"/>
  <c r="ANF19" i="10"/>
  <c r="ANV19" i="10"/>
  <c r="AOL19" i="10"/>
  <c r="APB19" i="10"/>
  <c r="APR19" i="10"/>
  <c r="AQH19" i="10"/>
  <c r="AQX19" i="10"/>
  <c r="ARN19" i="10"/>
  <c r="ASD19" i="10"/>
  <c r="AST19" i="10"/>
  <c r="ATJ19" i="10"/>
  <c r="ATZ19" i="10"/>
  <c r="AUP19" i="10"/>
  <c r="AVF19" i="10"/>
  <c r="AVV19" i="10"/>
  <c r="AWL19" i="10"/>
  <c r="AXB19" i="10"/>
  <c r="AXR19" i="10"/>
  <c r="AYH19" i="10"/>
  <c r="AYX19" i="10"/>
  <c r="AZN19" i="10"/>
  <c r="BAD19" i="10"/>
  <c r="BAT19" i="10"/>
  <c r="BBJ19" i="10"/>
  <c r="BBZ19" i="10"/>
  <c r="BCP19" i="10"/>
  <c r="BDF19" i="10"/>
  <c r="BDV19" i="10"/>
  <c r="BEL19" i="10"/>
  <c r="BFB19" i="10"/>
  <c r="TUW18" i="10"/>
  <c r="TVY18" i="10"/>
  <c r="TXB18" i="10"/>
  <c r="TYD18" i="10"/>
  <c r="TZF18" i="10"/>
  <c r="UAJ18" i="10"/>
  <c r="UBL18" i="10"/>
  <c r="UCN18" i="10"/>
  <c r="UDQ18" i="10"/>
  <c r="UES18" i="10"/>
  <c r="UFU18" i="10"/>
  <c r="UGX18" i="10"/>
  <c r="UHZ18" i="10"/>
  <c r="UJB18" i="10"/>
  <c r="UKF18" i="10"/>
  <c r="ULH18" i="10"/>
  <c r="UMJ18" i="10"/>
  <c r="UNM18" i="10"/>
  <c r="UOO18" i="10"/>
  <c r="UPQ18" i="10"/>
  <c r="UQT18" i="10"/>
  <c r="URV18" i="10"/>
  <c r="USX18" i="10"/>
  <c r="UUB18" i="10"/>
  <c r="UVD18" i="10"/>
  <c r="UWF18" i="10"/>
  <c r="UXI18" i="10"/>
  <c r="UYK18" i="10"/>
  <c r="UZI18" i="10"/>
  <c r="VAD18" i="10"/>
  <c r="VAZ18" i="10"/>
  <c r="VBU18" i="10"/>
  <c r="VCP18" i="10"/>
  <c r="VDG18" i="10"/>
  <c r="VDW18" i="10"/>
  <c r="VEM18" i="10"/>
  <c r="VFC18" i="10"/>
  <c r="VFS18" i="10"/>
  <c r="VGI18" i="10"/>
  <c r="VGY18" i="10"/>
  <c r="VHO18" i="10"/>
  <c r="VIE18" i="10"/>
  <c r="VIU18" i="10"/>
  <c r="VJK18" i="10"/>
  <c r="VKA18" i="10"/>
  <c r="VKQ18" i="10"/>
  <c r="VLG18" i="10"/>
  <c r="VLW18" i="10"/>
  <c r="VMM18" i="10"/>
  <c r="VNC18" i="10"/>
  <c r="VNS18" i="10"/>
  <c r="VOI18" i="10"/>
  <c r="VOY18" i="10"/>
  <c r="VPO18" i="10"/>
  <c r="VQE18" i="10"/>
  <c r="VQU18" i="10"/>
  <c r="VRK18" i="10"/>
  <c r="VSA18" i="10"/>
  <c r="VSQ18" i="10"/>
  <c r="VTG18" i="10"/>
  <c r="VTW18" i="10"/>
  <c r="VUM18" i="10"/>
  <c r="VVC18" i="10"/>
  <c r="VVS18" i="10"/>
  <c r="VWI18" i="10"/>
  <c r="VWY18" i="10"/>
  <c r="VXO18" i="10"/>
  <c r="VYE18" i="10"/>
  <c r="VYU18" i="10"/>
  <c r="VZK18" i="10"/>
  <c r="WAA18" i="10"/>
  <c r="WAQ18" i="10"/>
  <c r="WBG18" i="10"/>
  <c r="WBW18" i="10"/>
  <c r="WCM18" i="10"/>
  <c r="WDC18" i="10"/>
  <c r="WDS18" i="10"/>
  <c r="WEI18" i="10"/>
  <c r="WEY18" i="10"/>
  <c r="WFO18" i="10"/>
  <c r="WGE18" i="10"/>
  <c r="WGU18" i="10"/>
  <c r="WHK18" i="10"/>
  <c r="WIA18" i="10"/>
  <c r="WIQ18" i="10"/>
  <c r="WJG18" i="10"/>
  <c r="WJW18" i="10"/>
  <c r="WKM18" i="10"/>
  <c r="WLC18" i="10"/>
  <c r="WLS18" i="10"/>
  <c r="WMI18" i="10"/>
  <c r="WMY18" i="10"/>
  <c r="WNO18" i="10"/>
  <c r="WOE18" i="10"/>
  <c r="WOU18" i="10"/>
  <c r="WPK18" i="10"/>
  <c r="WQA18" i="10"/>
  <c r="WQQ18" i="10"/>
  <c r="WRG18" i="10"/>
  <c r="WRW18" i="10"/>
  <c r="WSM18" i="10"/>
  <c r="WTC18" i="10"/>
  <c r="WTS18" i="10"/>
  <c r="WUI18" i="10"/>
  <c r="WUY18" i="10"/>
  <c r="WVO18" i="10"/>
  <c r="WWE18" i="10"/>
  <c r="WWU18" i="10"/>
  <c r="WXK18" i="10"/>
  <c r="WYA18" i="10"/>
  <c r="WYQ18" i="10"/>
  <c r="WZG18" i="10"/>
  <c r="WZW18" i="10"/>
  <c r="XAM18" i="10"/>
  <c r="XBC18" i="10"/>
  <c r="XBS18" i="10"/>
  <c r="XCI18" i="10"/>
  <c r="XCY18" i="10"/>
  <c r="XDO18" i="10"/>
  <c r="XEE18" i="10"/>
  <c r="XEU18" i="10"/>
  <c r="AU19" i="10"/>
  <c r="BK19" i="10"/>
  <c r="CA19" i="10"/>
  <c r="CQ19" i="10"/>
  <c r="DG19" i="10"/>
  <c r="DW19" i="10"/>
  <c r="EM19" i="10"/>
  <c r="FC19" i="10"/>
  <c r="FS19" i="10"/>
  <c r="GI19" i="10"/>
  <c r="GY19" i="10"/>
  <c r="HO19" i="10"/>
  <c r="IE19" i="10"/>
  <c r="IU19" i="10"/>
  <c r="JK19" i="10"/>
  <c r="KA19" i="10"/>
  <c r="KQ19" i="10"/>
  <c r="LG19" i="10"/>
  <c r="LW19" i="10"/>
  <c r="MM19" i="10"/>
  <c r="NC19" i="10"/>
  <c r="NS19" i="10"/>
  <c r="OI19" i="10"/>
  <c r="OY19" i="10"/>
  <c r="PO19" i="10"/>
  <c r="QE19" i="10"/>
  <c r="QU19" i="10"/>
  <c r="RK19" i="10"/>
  <c r="SA19" i="10"/>
  <c r="SQ19" i="10"/>
  <c r="TG19" i="10"/>
  <c r="TW19" i="10"/>
  <c r="UM19" i="10"/>
  <c r="VC19" i="10"/>
  <c r="VS19" i="10"/>
  <c r="WI19" i="10"/>
  <c r="WY19" i="10"/>
  <c r="XO19" i="10"/>
  <c r="YE19" i="10"/>
  <c r="YU19" i="10"/>
  <c r="ZK19" i="10"/>
  <c r="AAA19" i="10"/>
  <c r="AAQ19" i="10"/>
  <c r="ABG19" i="10"/>
  <c r="ABW19" i="10"/>
  <c r="ACM19" i="10"/>
  <c r="ADC19" i="10"/>
  <c r="ADS19" i="10"/>
  <c r="AEI19" i="10"/>
  <c r="AEY19" i="10"/>
  <c r="AFO19" i="10"/>
  <c r="AGE19" i="10"/>
  <c r="AGU19" i="10"/>
  <c r="AHK19" i="10"/>
  <c r="AIA19" i="10"/>
  <c r="AIQ19" i="10"/>
  <c r="AJG19" i="10"/>
  <c r="AJW19" i="10"/>
  <c r="AKM19" i="10"/>
  <c r="ALC19" i="10"/>
  <c r="ALS19" i="10"/>
  <c r="AMI19" i="10"/>
  <c r="AMY19" i="10"/>
  <c r="ANO19" i="10"/>
  <c r="AOE19" i="10"/>
  <c r="AOU19" i="10"/>
  <c r="APK19" i="10"/>
  <c r="AQA19" i="10"/>
  <c r="AQQ19" i="10"/>
  <c r="ARG19" i="10"/>
  <c r="ARW19" i="10"/>
  <c r="ASM19" i="10"/>
  <c r="ATC19" i="10"/>
  <c r="ATS19" i="10"/>
  <c r="AUI19" i="10"/>
  <c r="AUY19" i="10"/>
  <c r="AVO19" i="10"/>
  <c r="AWE19" i="10"/>
  <c r="AWU19" i="10"/>
  <c r="AXK19" i="10"/>
  <c r="AYA19" i="10"/>
  <c r="AYQ19" i="10"/>
  <c r="AZG19" i="10"/>
  <c r="AZW19" i="10"/>
  <c r="BAM19" i="10"/>
  <c r="BBC19" i="10"/>
  <c r="BBS19" i="10"/>
  <c r="BCI19" i="10"/>
  <c r="BCY19" i="10"/>
  <c r="BDO19" i="10"/>
  <c r="BEE19" i="10"/>
  <c r="BEU19" i="10"/>
  <c r="BFK19" i="10"/>
  <c r="BGA19" i="10"/>
  <c r="BGQ19" i="10"/>
  <c r="BHG19" i="10"/>
  <c r="BHW19" i="10"/>
  <c r="BIM19" i="10"/>
  <c r="BJC19" i="10"/>
  <c r="BJS19" i="10"/>
  <c r="BKI19" i="10"/>
  <c r="BKY19" i="10"/>
  <c r="BLO19" i="10"/>
  <c r="BME19" i="10"/>
  <c r="BMU19" i="10"/>
  <c r="BNK19" i="10"/>
  <c r="BOA19" i="10"/>
  <c r="BOQ19" i="10"/>
  <c r="BPG19" i="10"/>
  <c r="BPW19" i="10"/>
  <c r="BQM19" i="10"/>
  <c r="BRC19" i="10"/>
  <c r="BRS19" i="10"/>
  <c r="BSI19" i="10"/>
  <c r="BSY19" i="10"/>
  <c r="BTO19" i="10"/>
  <c r="BUE19" i="10"/>
  <c r="BUU19" i="10"/>
  <c r="BVK19" i="10"/>
  <c r="BWA19" i="10"/>
  <c r="BWQ19" i="10"/>
  <c r="BXG19" i="10"/>
  <c r="BXW19" i="10"/>
  <c r="BYM19" i="10"/>
  <c r="BZC19" i="10"/>
  <c r="BZS19" i="10"/>
  <c r="CAI19" i="10"/>
  <c r="CAY19" i="10"/>
  <c r="CBO19" i="10"/>
  <c r="CCE19" i="10"/>
  <c r="CCU19" i="10"/>
  <c r="CDK19" i="10"/>
  <c r="CEA19" i="10"/>
  <c r="CEQ19" i="10"/>
  <c r="CFG19" i="10"/>
  <c r="CFW19" i="10"/>
  <c r="CGM19" i="10"/>
  <c r="CHC19" i="10"/>
  <c r="CHS19" i="10"/>
  <c r="CII19" i="10"/>
  <c r="CIY19" i="10"/>
  <c r="CJO19" i="10"/>
  <c r="CKE19" i="10"/>
  <c r="CKU19" i="10"/>
  <c r="CLK19" i="10"/>
  <c r="CMA19" i="10"/>
  <c r="CMQ19" i="10"/>
  <c r="CNG19" i="10"/>
  <c r="CNW19" i="10"/>
  <c r="COM19" i="10"/>
  <c r="CPC19" i="10"/>
  <c r="CPS19" i="10"/>
  <c r="CQI19" i="10"/>
  <c r="CQY19" i="10"/>
  <c r="CRO19" i="10"/>
  <c r="CSE19" i="10"/>
  <c r="CSU19" i="10"/>
  <c r="CTK19" i="10"/>
  <c r="CUA19" i="10"/>
  <c r="CUQ19" i="10"/>
  <c r="CVG19" i="10"/>
  <c r="CVW19" i="10"/>
  <c r="CWM19" i="10"/>
  <c r="CXC19" i="10"/>
  <c r="CXS19" i="10"/>
  <c r="CYI19" i="10"/>
  <c r="CYY19" i="10"/>
  <c r="CZO19" i="10"/>
  <c r="DAE19" i="10"/>
  <c r="DAU19" i="10"/>
  <c r="DBK19" i="10"/>
  <c r="DCA19" i="10"/>
  <c r="DCQ19" i="10"/>
  <c r="DDG19" i="10"/>
  <c r="DDW19" i="10"/>
  <c r="DEM19" i="10"/>
  <c r="DFC19" i="10"/>
  <c r="DFS19" i="10"/>
  <c r="DGI19" i="10"/>
  <c r="DGY19" i="10"/>
  <c r="DHO19" i="10"/>
  <c r="DIE19" i="10"/>
  <c r="DIU19" i="10"/>
  <c r="DJK19" i="10"/>
  <c r="DKA19" i="10"/>
  <c r="DKQ19" i="10"/>
  <c r="DLG19" i="10"/>
  <c r="DLW19" i="10"/>
  <c r="DMM19" i="10"/>
  <c r="DNC19" i="10"/>
  <c r="TUR18" i="10"/>
  <c r="TVT18" i="10"/>
  <c r="TWW18" i="10"/>
  <c r="TXY18" i="10"/>
  <c r="TZA18" i="10"/>
  <c r="UAD18" i="10"/>
  <c r="UBF18" i="10"/>
  <c r="UCH18" i="10"/>
  <c r="UDL18" i="10"/>
  <c r="UEN18" i="10"/>
  <c r="UFP18" i="10"/>
  <c r="UGS18" i="10"/>
  <c r="UHU18" i="10"/>
  <c r="UIW18" i="10"/>
  <c r="UJZ18" i="10"/>
  <c r="ULB18" i="10"/>
  <c r="UMD18" i="10"/>
  <c r="UNH18" i="10"/>
  <c r="UOJ18" i="10"/>
  <c r="UPL18" i="10"/>
  <c r="UQO18" i="10"/>
  <c r="URQ18" i="10"/>
  <c r="USS18" i="10"/>
  <c r="UTV18" i="10"/>
  <c r="UUX18" i="10"/>
  <c r="UVZ18" i="10"/>
  <c r="UXD18" i="10"/>
  <c r="UYF18" i="10"/>
  <c r="UZE18" i="10"/>
  <c r="UZZ18" i="10"/>
  <c r="VAV18" i="10"/>
  <c r="VBQ18" i="10"/>
  <c r="VCL18" i="10"/>
  <c r="VDD18" i="10"/>
  <c r="VDT18" i="10"/>
  <c r="VEJ18" i="10"/>
  <c r="VEZ18" i="10"/>
  <c r="VFP18" i="10"/>
  <c r="VGF18" i="10"/>
  <c r="VGV18" i="10"/>
  <c r="VHL18" i="10"/>
  <c r="VIB18" i="10"/>
  <c r="VIR18" i="10"/>
  <c r="VJH18" i="10"/>
  <c r="VJX18" i="10"/>
  <c r="VKN18" i="10"/>
  <c r="VLD18" i="10"/>
  <c r="VLT18" i="10"/>
  <c r="VMJ18" i="10"/>
  <c r="VMZ18" i="10"/>
  <c r="VNP18" i="10"/>
  <c r="VOF18" i="10"/>
  <c r="VOV18" i="10"/>
  <c r="VPL18" i="10"/>
  <c r="VQB18" i="10"/>
  <c r="VQR18" i="10"/>
  <c r="VRH18" i="10"/>
  <c r="VRX18" i="10"/>
  <c r="VSN18" i="10"/>
  <c r="VTD18" i="10"/>
  <c r="VTT18" i="10"/>
  <c r="VUJ18" i="10"/>
  <c r="VUZ18" i="10"/>
  <c r="VVP18" i="10"/>
  <c r="VWF18" i="10"/>
  <c r="VWV18" i="10"/>
  <c r="VXL18" i="10"/>
  <c r="VYB18" i="10"/>
  <c r="VYR18" i="10"/>
  <c r="VZH18" i="10"/>
  <c r="VZX18" i="10"/>
  <c r="WAN18" i="10"/>
  <c r="WBD18" i="10"/>
  <c r="WBT18" i="10"/>
  <c r="WCJ18" i="10"/>
  <c r="WCZ18" i="10"/>
  <c r="WDP18" i="10"/>
  <c r="WEF18" i="10"/>
  <c r="WEV18" i="10"/>
  <c r="WFL18" i="10"/>
  <c r="WGB18" i="10"/>
  <c r="WGR18" i="10"/>
  <c r="WHH18" i="10"/>
  <c r="WHX18" i="10"/>
  <c r="WIN18" i="10"/>
  <c r="WJD18" i="10"/>
  <c r="WJT18" i="10"/>
  <c r="WKJ18" i="10"/>
  <c r="WKZ18" i="10"/>
  <c r="WLP18" i="10"/>
  <c r="WMF18" i="10"/>
  <c r="WMV18" i="10"/>
  <c r="WNL18" i="10"/>
  <c r="WOB18" i="10"/>
  <c r="WOR18" i="10"/>
  <c r="WPH18" i="10"/>
  <c r="WPX18" i="10"/>
  <c r="WQN18" i="10"/>
  <c r="WRD18" i="10"/>
  <c r="WRT18" i="10"/>
  <c r="WSJ18" i="10"/>
  <c r="WSZ18" i="10"/>
  <c r="WTP18" i="10"/>
  <c r="WUF18" i="10"/>
  <c r="WUV18" i="10"/>
  <c r="WVL18" i="10"/>
  <c r="WWB18" i="10"/>
  <c r="WWR18" i="10"/>
  <c r="WXH18" i="10"/>
  <c r="WXX18" i="10"/>
  <c r="WYN18" i="10"/>
  <c r="WZD18" i="10"/>
  <c r="WZT18" i="10"/>
  <c r="XAJ18" i="10"/>
  <c r="XAZ18" i="10"/>
  <c r="XBP18" i="10"/>
  <c r="XCF18" i="10"/>
  <c r="XCV18" i="10"/>
  <c r="XDL18" i="10"/>
  <c r="XEB18" i="10"/>
  <c r="XER18" i="10"/>
  <c r="AV19" i="10"/>
  <c r="BL19" i="10"/>
  <c r="CB19" i="10"/>
  <c r="CR19" i="10"/>
  <c r="DH19" i="10"/>
  <c r="DX19" i="10"/>
  <c r="EN19" i="10"/>
  <c r="FD19" i="10"/>
  <c r="FT19" i="10"/>
  <c r="GJ19" i="10"/>
  <c r="GZ19" i="10"/>
  <c r="HP19" i="10"/>
  <c r="IF19" i="10"/>
  <c r="IV19" i="10"/>
  <c r="JL19" i="10"/>
  <c r="KB19" i="10"/>
  <c r="KR19" i="10"/>
  <c r="LH19" i="10"/>
  <c r="LX19" i="10"/>
  <c r="MN19" i="10"/>
  <c r="ND19" i="10"/>
  <c r="NT19" i="10"/>
  <c r="OJ19" i="10"/>
  <c r="OZ19" i="10"/>
  <c r="PP19" i="10"/>
  <c r="QF19" i="10"/>
  <c r="QV19" i="10"/>
  <c r="RL19" i="10"/>
  <c r="SB19" i="10"/>
  <c r="SR19" i="10"/>
  <c r="TH19" i="10"/>
  <c r="TX19" i="10"/>
  <c r="UN19" i="10"/>
  <c r="VD19" i="10"/>
  <c r="VT19" i="10"/>
  <c r="WJ19" i="10"/>
  <c r="WZ19" i="10"/>
  <c r="XP19" i="10"/>
  <c r="YF19" i="10"/>
  <c r="YV19" i="10"/>
  <c r="ZL19" i="10"/>
  <c r="AAB19" i="10"/>
  <c r="AAR19" i="10"/>
  <c r="ABH19" i="10"/>
  <c r="ABX19" i="10"/>
  <c r="ACN19" i="10"/>
  <c r="ADD19" i="10"/>
  <c r="ADT19" i="10"/>
  <c r="AEJ19" i="10"/>
  <c r="AFL19" i="10"/>
  <c r="AHX19" i="10"/>
  <c r="AKJ19" i="10"/>
  <c r="AMV19" i="10"/>
  <c r="APH19" i="10"/>
  <c r="ART19" i="10"/>
  <c r="AUF19" i="10"/>
  <c r="AWR19" i="10"/>
  <c r="AYW19" i="10"/>
  <c r="BAC19" i="10"/>
  <c r="BBI19" i="10"/>
  <c r="BCO19" i="10"/>
  <c r="BDU19" i="10"/>
  <c r="BFA19" i="10"/>
  <c r="BFX19" i="10"/>
  <c r="BGS19" i="10"/>
  <c r="BHN19" i="10"/>
  <c r="BIJ19" i="10"/>
  <c r="BJE19" i="10"/>
  <c r="BJZ19" i="10"/>
  <c r="BKV19" i="10"/>
  <c r="BLQ19" i="10"/>
  <c r="BML19" i="10"/>
  <c r="BNH19" i="10"/>
  <c r="BOC19" i="10"/>
  <c r="BOX19" i="10"/>
  <c r="BPT19" i="10"/>
  <c r="BQO19" i="10"/>
  <c r="BRJ19" i="10"/>
  <c r="BSF19" i="10"/>
  <c r="BTA19" i="10"/>
  <c r="BTV19" i="10"/>
  <c r="BUR19" i="10"/>
  <c r="BVM19" i="10"/>
  <c r="BWH19" i="10"/>
  <c r="BXD19" i="10"/>
  <c r="BXY19" i="10"/>
  <c r="BYT19" i="10"/>
  <c r="BZP19" i="10"/>
  <c r="CAK19" i="10"/>
  <c r="CBF19" i="10"/>
  <c r="CCB19" i="10"/>
  <c r="CCW19" i="10"/>
  <c r="CDR19" i="10"/>
  <c r="CEN19" i="10"/>
  <c r="CFI19" i="10"/>
  <c r="CGD19" i="10"/>
  <c r="CGZ19" i="10"/>
  <c r="CHU19" i="10"/>
  <c r="CIP19" i="10"/>
  <c r="CJL19" i="10"/>
  <c r="CKG19" i="10"/>
  <c r="CLB19" i="10"/>
  <c r="CLX19" i="10"/>
  <c r="CMS19" i="10"/>
  <c r="CNN19" i="10"/>
  <c r="COJ19" i="10"/>
  <c r="CPE19" i="10"/>
  <c r="CPZ19" i="10"/>
  <c r="CQV19" i="10"/>
  <c r="CRQ19" i="10"/>
  <c r="CSL19" i="10"/>
  <c r="CTH19" i="10"/>
  <c r="CUC19" i="10"/>
  <c r="CUX19" i="10"/>
  <c r="CVT19" i="10"/>
  <c r="CWO19" i="10"/>
  <c r="CXJ19" i="10"/>
  <c r="CYF19" i="10"/>
  <c r="CZA19" i="10"/>
  <c r="CZV19" i="10"/>
  <c r="DAR19" i="10"/>
  <c r="DBM19" i="10"/>
  <c r="DCH19" i="10"/>
  <c r="DDD19" i="10"/>
  <c r="DDY19" i="10"/>
  <c r="DET19" i="10"/>
  <c r="DFP19" i="10"/>
  <c r="DGK19" i="10"/>
  <c r="DHF19" i="10"/>
  <c r="DIB19" i="10"/>
  <c r="DIW19" i="10"/>
  <c r="DJR19" i="10"/>
  <c r="DKN19" i="10"/>
  <c r="DLI19" i="10"/>
  <c r="DMD19" i="10"/>
  <c r="DMZ19" i="10"/>
  <c r="DNR19" i="10"/>
  <c r="DOH19" i="10"/>
  <c r="DOX19" i="10"/>
  <c r="DPN19" i="10"/>
  <c r="DQD19" i="10"/>
  <c r="DQT19" i="10"/>
  <c r="DRJ19" i="10"/>
  <c r="DRZ19" i="10"/>
  <c r="DSP19" i="10"/>
  <c r="DTF19" i="10"/>
  <c r="DTV19" i="10"/>
  <c r="DUL19" i="10"/>
  <c r="DVB19" i="10"/>
  <c r="DVR19" i="10"/>
  <c r="DWH19" i="10"/>
  <c r="DWX19" i="10"/>
  <c r="DXN19" i="10"/>
  <c r="DYD19" i="10"/>
  <c r="DYT19" i="10"/>
  <c r="DZJ19" i="10"/>
  <c r="DZZ19" i="10"/>
  <c r="EAP19" i="10"/>
  <c r="EBF19" i="10"/>
  <c r="EBV19" i="10"/>
  <c r="ECL19" i="10"/>
  <c r="EDB19" i="10"/>
  <c r="EDR19" i="10"/>
  <c r="EEH19" i="10"/>
  <c r="EEX19" i="10"/>
  <c r="EFN19" i="10"/>
  <c r="EGD19" i="10"/>
  <c r="EGT19" i="10"/>
  <c r="EHJ19" i="10"/>
  <c r="EHZ19" i="10"/>
  <c r="EIP19" i="10"/>
  <c r="EJF19" i="10"/>
  <c r="EJV19" i="10"/>
  <c r="EKL19" i="10"/>
  <c r="ELB19" i="10"/>
  <c r="ELR19" i="10"/>
  <c r="EMH19" i="10"/>
  <c r="EMX19" i="10"/>
  <c r="ENN19" i="10"/>
  <c r="EOD19" i="10"/>
  <c r="EOT19" i="10"/>
  <c r="EPJ19" i="10"/>
  <c r="EPZ19" i="10"/>
  <c r="EQP19" i="10"/>
  <c r="ERF19" i="10"/>
  <c r="ERV19" i="10"/>
  <c r="ESL19" i="10"/>
  <c r="ETB19" i="10"/>
  <c r="ETR19" i="10"/>
  <c r="EUH19" i="10"/>
  <c r="EUX19" i="10"/>
  <c r="EVN19" i="10"/>
  <c r="EWD19" i="10"/>
  <c r="EWT19" i="10"/>
  <c r="EXJ19" i="10"/>
  <c r="EXZ19" i="10"/>
  <c r="EYP19" i="10"/>
  <c r="EZF19" i="10"/>
  <c r="EZV19" i="10"/>
  <c r="FAL19" i="10"/>
  <c r="FBB19" i="10"/>
  <c r="FBR19" i="10"/>
  <c r="FCH19" i="10"/>
  <c r="FCX19" i="10"/>
  <c r="FDN19" i="10"/>
  <c r="FED19" i="10"/>
  <c r="FET19" i="10"/>
  <c r="FFJ19" i="10"/>
  <c r="FFZ19" i="10"/>
  <c r="FGP19" i="10"/>
  <c r="FHF19" i="10"/>
  <c r="FHV19" i="10"/>
  <c r="FIL19" i="10"/>
  <c r="FJB19" i="10"/>
  <c r="FJR19" i="10"/>
  <c r="FKH19" i="10"/>
  <c r="FKX19" i="10"/>
  <c r="FLN19" i="10"/>
  <c r="FMD19" i="10"/>
  <c r="FMT19" i="10"/>
  <c r="FNJ19" i="10"/>
  <c r="FNZ19" i="10"/>
  <c r="FOP19" i="10"/>
  <c r="FPF19" i="10"/>
  <c r="FPV19" i="10"/>
  <c r="FQL19" i="10"/>
  <c r="FRB19" i="10"/>
  <c r="FRR19" i="10"/>
  <c r="FSH19" i="10"/>
  <c r="FSX19" i="10"/>
  <c r="FTN19" i="10"/>
  <c r="FUD19" i="10"/>
  <c r="FUT19" i="10"/>
  <c r="FVJ19" i="10"/>
  <c r="FVZ19" i="10"/>
  <c r="FWP19" i="10"/>
  <c r="FXF19" i="10"/>
  <c r="FXV19" i="10"/>
  <c r="FYL19" i="10"/>
  <c r="FZB19" i="10"/>
  <c r="FZR19" i="10"/>
  <c r="GAH19" i="10"/>
  <c r="GAX19" i="10"/>
  <c r="GBN19" i="10"/>
  <c r="GCD19" i="10"/>
  <c r="GCT19" i="10"/>
  <c r="GDJ19" i="10"/>
  <c r="GDZ19" i="10"/>
  <c r="GEP19" i="10"/>
  <c r="GFF19" i="10"/>
  <c r="GFV19" i="10"/>
  <c r="GGL19" i="10"/>
  <c r="GHB19" i="10"/>
  <c r="GHR19" i="10"/>
  <c r="GIH19" i="10"/>
  <c r="GIX19" i="10"/>
  <c r="GJN19" i="10"/>
  <c r="GKD19" i="10"/>
  <c r="GKT19" i="10"/>
  <c r="GLJ19" i="10"/>
  <c r="GLZ19" i="10"/>
  <c r="GMP19" i="10"/>
  <c r="GNF19" i="10"/>
  <c r="GNV19" i="10"/>
  <c r="GOL19" i="10"/>
  <c r="GPB19" i="10"/>
  <c r="GPR19" i="10"/>
  <c r="GQH19" i="10"/>
  <c r="GQX19" i="10"/>
  <c r="GRN19" i="10"/>
  <c r="GSD19" i="10"/>
  <c r="GST19" i="10"/>
  <c r="GTJ19" i="10"/>
  <c r="GTZ19" i="10"/>
  <c r="GUP19" i="10"/>
  <c r="GVF19" i="10"/>
  <c r="GVV19" i="10"/>
  <c r="GWL19" i="10"/>
  <c r="GXB19" i="10"/>
  <c r="GXR19" i="10"/>
  <c r="GYH19" i="10"/>
  <c r="GYX19" i="10"/>
  <c r="GZN19" i="10"/>
  <c r="HAD19" i="10"/>
  <c r="HAT19" i="10"/>
  <c r="HBJ19" i="10"/>
  <c r="HBZ19" i="10"/>
  <c r="HCP19" i="10"/>
  <c r="HDF19" i="10"/>
  <c r="HDV19" i="10"/>
  <c r="HEL19" i="10"/>
  <c r="HFB19" i="10"/>
  <c r="AGV19" i="10"/>
  <c r="AJH19" i="10"/>
  <c r="ALT19" i="10"/>
  <c r="AOF19" i="10"/>
  <c r="AQR19" i="10"/>
  <c r="ATD19" i="10"/>
  <c r="AVP19" i="10"/>
  <c r="AYB19" i="10"/>
  <c r="AZP19" i="10"/>
  <c r="BAV19" i="10"/>
  <c r="BCB19" i="10"/>
  <c r="BDH19" i="10"/>
  <c r="BEN19" i="10"/>
  <c r="BFN19" i="10"/>
  <c r="BGJ19" i="10"/>
  <c r="BHE19" i="10"/>
  <c r="BHZ19" i="10"/>
  <c r="BIV19" i="10"/>
  <c r="BJQ19" i="10"/>
  <c r="BKL19" i="10"/>
  <c r="BLH19" i="10"/>
  <c r="BMC19" i="10"/>
  <c r="BMX19" i="10"/>
  <c r="BNT19" i="10"/>
  <c r="BOO19" i="10"/>
  <c r="BPJ19" i="10"/>
  <c r="BQF19" i="10"/>
  <c r="BRA19" i="10"/>
  <c r="BRV19" i="10"/>
  <c r="BSR19" i="10"/>
  <c r="BTM19" i="10"/>
  <c r="BUH19" i="10"/>
  <c r="BVD19" i="10"/>
  <c r="BVY19" i="10"/>
  <c r="BWT19" i="10"/>
  <c r="BXP19" i="10"/>
  <c r="BYK19" i="10"/>
  <c r="BZF19" i="10"/>
  <c r="CAB19" i="10"/>
  <c r="CAW19" i="10"/>
  <c r="CBR19" i="10"/>
  <c r="CCN19" i="10"/>
  <c r="CDI19" i="10"/>
  <c r="CED19" i="10"/>
  <c r="CEZ19" i="10"/>
  <c r="CFU19" i="10"/>
  <c r="CGP19" i="10"/>
  <c r="CHL19" i="10"/>
  <c r="CIG19" i="10"/>
  <c r="CJB19" i="10"/>
  <c r="CJX19" i="10"/>
  <c r="CKS19" i="10"/>
  <c r="CLN19" i="10"/>
  <c r="CMJ19" i="10"/>
  <c r="CNE19" i="10"/>
  <c r="CNZ19" i="10"/>
  <c r="COV19" i="10"/>
  <c r="CPQ19" i="10"/>
  <c r="CQL19" i="10"/>
  <c r="CRH19" i="10"/>
  <c r="CSC19" i="10"/>
  <c r="CSX19" i="10"/>
  <c r="CTT19" i="10"/>
  <c r="CUO19" i="10"/>
  <c r="CVJ19" i="10"/>
  <c r="CWF19" i="10"/>
  <c r="CXA19" i="10"/>
  <c r="CXV19" i="10"/>
  <c r="CYR19" i="10"/>
  <c r="CZM19" i="10"/>
  <c r="DAH19" i="10"/>
  <c r="DBD19" i="10"/>
  <c r="DBY19" i="10"/>
  <c r="DCT19" i="10"/>
  <c r="DDP19" i="10"/>
  <c r="DEK19" i="10"/>
  <c r="DFF19" i="10"/>
  <c r="DGB19" i="10"/>
  <c r="DGW19" i="10"/>
  <c r="DHR19" i="10"/>
  <c r="DIN19" i="10"/>
  <c r="DJI19" i="10"/>
  <c r="DKD19" i="10"/>
  <c r="DKZ19" i="10"/>
  <c r="DLU19" i="10"/>
  <c r="DMP19" i="10"/>
  <c r="DNK19" i="10"/>
  <c r="DOA19" i="10"/>
  <c r="DOQ19" i="10"/>
  <c r="DPG19" i="10"/>
  <c r="DPW19" i="10"/>
  <c r="DQM19" i="10"/>
  <c r="DRC19" i="10"/>
  <c r="DRS19" i="10"/>
  <c r="DSI19" i="10"/>
  <c r="DSY19" i="10"/>
  <c r="DTO19" i="10"/>
  <c r="DUE19" i="10"/>
  <c r="DUU19" i="10"/>
  <c r="DVK19" i="10"/>
  <c r="DWA19" i="10"/>
  <c r="DWQ19" i="10"/>
  <c r="DXG19" i="10"/>
  <c r="DXW19" i="10"/>
  <c r="DYM19" i="10"/>
  <c r="DZC19" i="10"/>
  <c r="DZS19" i="10"/>
  <c r="EAI19" i="10"/>
  <c r="EAY19" i="10"/>
  <c r="EBO19" i="10"/>
  <c r="ECE19" i="10"/>
  <c r="ECU19" i="10"/>
  <c r="EDK19" i="10"/>
  <c r="EEA19" i="10"/>
  <c r="EEQ19" i="10"/>
  <c r="EFG19" i="10"/>
  <c r="EFW19" i="10"/>
  <c r="EGM19" i="10"/>
  <c r="EHC19" i="10"/>
  <c r="EHS19" i="10"/>
  <c r="EII19" i="10"/>
  <c r="EIY19" i="10"/>
  <c r="EJO19" i="10"/>
  <c r="EKE19" i="10"/>
  <c r="EKU19" i="10"/>
  <c r="ELK19" i="10"/>
  <c r="EMA19" i="10"/>
  <c r="EMQ19" i="10"/>
  <c r="ENG19" i="10"/>
  <c r="ENW19" i="10"/>
  <c r="EOM19" i="10"/>
  <c r="EPC19" i="10"/>
  <c r="EPS19" i="10"/>
  <c r="EQI19" i="10"/>
  <c r="EQY19" i="10"/>
  <c r="ERO19" i="10"/>
  <c r="ESE19" i="10"/>
  <c r="ESU19" i="10"/>
  <c r="ETK19" i="10"/>
  <c r="EUA19" i="10"/>
  <c r="EUQ19" i="10"/>
  <c r="EVG19" i="10"/>
  <c r="EVW19" i="10"/>
  <c r="EWM19" i="10"/>
  <c r="EXC19" i="10"/>
  <c r="EXS19" i="10"/>
  <c r="EYI19" i="10"/>
  <c r="EYY19" i="10"/>
  <c r="EZO19" i="10"/>
  <c r="FAE19" i="10"/>
  <c r="FAU19" i="10"/>
  <c r="FBK19" i="10"/>
  <c r="FCA19" i="10"/>
  <c r="FCQ19" i="10"/>
  <c r="FDG19" i="10"/>
  <c r="FDW19" i="10"/>
  <c r="FEM19" i="10"/>
  <c r="FFC19" i="10"/>
  <c r="FFS19" i="10"/>
  <c r="FGI19" i="10"/>
  <c r="FGY19" i="10"/>
  <c r="FHO19" i="10"/>
  <c r="FIE19" i="10"/>
  <c r="FIU19" i="10"/>
  <c r="FJK19" i="10"/>
  <c r="FKA19" i="10"/>
  <c r="FKQ19" i="10"/>
  <c r="FLG19" i="10"/>
  <c r="FLW19" i="10"/>
  <c r="FMM19" i="10"/>
  <c r="FNC19" i="10"/>
  <c r="FNS19" i="10"/>
  <c r="FOI19" i="10"/>
  <c r="FOY19" i="10"/>
  <c r="FPO19" i="10"/>
  <c r="FQE19" i="10"/>
  <c r="FQU19" i="10"/>
  <c r="FRK19" i="10"/>
  <c r="FSA19" i="10"/>
  <c r="FSQ19" i="10"/>
  <c r="FTG19" i="10"/>
  <c r="FTW19" i="10"/>
  <c r="FUM19" i="10"/>
  <c r="FVC19" i="10"/>
  <c r="FVS19" i="10"/>
  <c r="FWI19" i="10"/>
  <c r="FWY19" i="10"/>
  <c r="FXO19" i="10"/>
  <c r="FYE19" i="10"/>
  <c r="FYU19" i="10"/>
  <c r="FZK19" i="10"/>
  <c r="GAA19" i="10"/>
  <c r="GAQ19" i="10"/>
  <c r="GBG19" i="10"/>
  <c r="GBW19" i="10"/>
  <c r="GCM19" i="10"/>
  <c r="GDC19" i="10"/>
  <c r="GDS19" i="10"/>
  <c r="GEI19" i="10"/>
  <c r="GEY19" i="10"/>
  <c r="GFO19" i="10"/>
  <c r="GGE19" i="10"/>
  <c r="GGU19" i="10"/>
  <c r="GHK19" i="10"/>
  <c r="GIA19" i="10"/>
  <c r="GIQ19" i="10"/>
  <c r="GJG19" i="10"/>
  <c r="GJW19" i="10"/>
  <c r="GKM19" i="10"/>
  <c r="GLC19" i="10"/>
  <c r="GLS19" i="10"/>
  <c r="GMI19" i="10"/>
  <c r="GMY19" i="10"/>
  <c r="GNO19" i="10"/>
  <c r="GOE19" i="10"/>
  <c r="GOU19" i="10"/>
  <c r="GPK19" i="10"/>
  <c r="GQA19" i="10"/>
  <c r="GQQ19" i="10"/>
  <c r="GRG19" i="10"/>
  <c r="GRW19" i="10"/>
  <c r="GSM19" i="10"/>
  <c r="GTC19" i="10"/>
  <c r="GTS19" i="10"/>
  <c r="GUI19" i="10"/>
  <c r="GUY19" i="10"/>
  <c r="GVO19" i="10"/>
  <c r="GWE19" i="10"/>
  <c r="GWU19" i="10"/>
  <c r="GXK19" i="10"/>
  <c r="GYA19" i="10"/>
  <c r="GYQ19" i="10"/>
  <c r="GZG19" i="10"/>
  <c r="GZW19" i="10"/>
  <c r="HAM19" i="10"/>
  <c r="HBC19" i="10"/>
  <c r="HBS19" i="10"/>
  <c r="HCI19" i="10"/>
  <c r="HCY19" i="10"/>
  <c r="HDO19" i="10"/>
  <c r="HEE19" i="10"/>
  <c r="HEU19" i="10"/>
  <c r="AFT19" i="10"/>
  <c r="AIF19" i="10"/>
  <c r="AKR19" i="10"/>
  <c r="AND19" i="10"/>
  <c r="APP19" i="10"/>
  <c r="ASB19" i="10"/>
  <c r="AUN19" i="10"/>
  <c r="AWZ19" i="10"/>
  <c r="AZA19" i="10"/>
  <c r="BAG19" i="10"/>
  <c r="BBM19" i="10"/>
  <c r="BCS19" i="10"/>
  <c r="BDY19" i="10"/>
  <c r="BFE19" i="10"/>
  <c r="BFZ19" i="10"/>
  <c r="BGV19" i="10"/>
  <c r="BHQ19" i="10"/>
  <c r="BIL19" i="10"/>
  <c r="BJH19" i="10"/>
  <c r="BKC19" i="10"/>
  <c r="BKX19" i="10"/>
  <c r="BLT19" i="10"/>
  <c r="BMO19" i="10"/>
  <c r="BNJ19" i="10"/>
  <c r="BOF19" i="10"/>
  <c r="BPA19" i="10"/>
  <c r="BPV19" i="10"/>
  <c r="BQR19" i="10"/>
  <c r="BRM19" i="10"/>
  <c r="BSH19" i="10"/>
  <c r="BTD19" i="10"/>
  <c r="BTY19" i="10"/>
  <c r="BUT19" i="10"/>
  <c r="BVP19" i="10"/>
  <c r="BWK19" i="10"/>
  <c r="BXF19" i="10"/>
  <c r="BYB19" i="10"/>
  <c r="BYW19" i="10"/>
  <c r="BZR19" i="10"/>
  <c r="CAN19" i="10"/>
  <c r="CBI19" i="10"/>
  <c r="CCD19" i="10"/>
  <c r="CCZ19" i="10"/>
  <c r="CDU19" i="10"/>
  <c r="CEP19" i="10"/>
  <c r="CFL19" i="10"/>
  <c r="CGG19" i="10"/>
  <c r="CHB19" i="10"/>
  <c r="CHX19" i="10"/>
  <c r="CIS19" i="10"/>
  <c r="CJN19" i="10"/>
  <c r="CKJ19" i="10"/>
  <c r="CLE19" i="10"/>
  <c r="CLZ19" i="10"/>
  <c r="CMV19" i="10"/>
  <c r="CNQ19" i="10"/>
  <c r="COL19" i="10"/>
  <c r="CPH19" i="10"/>
  <c r="CQC19" i="10"/>
  <c r="CQX19" i="10"/>
  <c r="CRT19" i="10"/>
  <c r="CSO19" i="10"/>
  <c r="CTJ19" i="10"/>
  <c r="CUF19" i="10"/>
  <c r="CVA19" i="10"/>
  <c r="CVV19" i="10"/>
  <c r="CWR19" i="10"/>
  <c r="CXM19" i="10"/>
  <c r="CYH19" i="10"/>
  <c r="CZD19" i="10"/>
  <c r="CZY19" i="10"/>
  <c r="DAT19" i="10"/>
  <c r="DBP19" i="10"/>
  <c r="DCK19" i="10"/>
  <c r="DDF19" i="10"/>
  <c r="DEB19" i="10"/>
  <c r="DEW19" i="10"/>
  <c r="DFR19" i="10"/>
  <c r="DGN19" i="10"/>
  <c r="DHI19" i="10"/>
  <c r="DID19" i="10"/>
  <c r="DIZ19" i="10"/>
  <c r="DJU19" i="10"/>
  <c r="DKP19" i="10"/>
  <c r="DLL19" i="10"/>
  <c r="DMG19" i="10"/>
  <c r="DNB19" i="10"/>
  <c r="DNT19" i="10"/>
  <c r="DOJ19" i="10"/>
  <c r="DOZ19" i="10"/>
  <c r="DPP19" i="10"/>
  <c r="DQF19" i="10"/>
  <c r="DQV19" i="10"/>
  <c r="DRL19" i="10"/>
  <c r="DSB19" i="10"/>
  <c r="DSR19" i="10"/>
  <c r="DTH19" i="10"/>
  <c r="DTX19" i="10"/>
  <c r="DUN19" i="10"/>
  <c r="DVD19" i="10"/>
  <c r="DVT19" i="10"/>
  <c r="DWJ19" i="10"/>
  <c r="DWZ19" i="10"/>
  <c r="DXP19" i="10"/>
  <c r="DYF19" i="10"/>
  <c r="DYV19" i="10"/>
  <c r="DZL19" i="10"/>
  <c r="EAB19" i="10"/>
  <c r="EAR19" i="10"/>
  <c r="EBH19" i="10"/>
  <c r="EBX19" i="10"/>
  <c r="ECN19" i="10"/>
  <c r="EDD19" i="10"/>
  <c r="EDT19" i="10"/>
  <c r="EEJ19" i="10"/>
  <c r="EEZ19" i="10"/>
  <c r="EFP19" i="10"/>
  <c r="EGF19" i="10"/>
  <c r="EGV19" i="10"/>
  <c r="EHL19" i="10"/>
  <c r="EIB19" i="10"/>
  <c r="EIR19" i="10"/>
  <c r="EJH19" i="10"/>
  <c r="EJX19" i="10"/>
  <c r="EKN19" i="10"/>
  <c r="ELD19" i="10"/>
  <c r="ELT19" i="10"/>
  <c r="EMJ19" i="10"/>
  <c r="EMZ19" i="10"/>
  <c r="ENP19" i="10"/>
  <c r="EOF19" i="10"/>
  <c r="EOV19" i="10"/>
  <c r="EPL19" i="10"/>
  <c r="EQB19" i="10"/>
  <c r="EQR19" i="10"/>
  <c r="ERH19" i="10"/>
  <c r="ERX19" i="10"/>
  <c r="ESN19" i="10"/>
  <c r="ETD19" i="10"/>
  <c r="ETT19" i="10"/>
  <c r="EUJ19" i="10"/>
  <c r="EUZ19" i="10"/>
  <c r="EVP19" i="10"/>
  <c r="EWF19" i="10"/>
  <c r="EWV19" i="10"/>
  <c r="EXL19" i="10"/>
  <c r="EYB19" i="10"/>
  <c r="EYR19" i="10"/>
  <c r="EZH19" i="10"/>
  <c r="EZX19" i="10"/>
  <c r="FAN19" i="10"/>
  <c r="FBD19" i="10"/>
  <c r="FBT19" i="10"/>
  <c r="FCJ19" i="10"/>
  <c r="FCZ19" i="10"/>
  <c r="FDP19" i="10"/>
  <c r="FEF19" i="10"/>
  <c r="FEV19" i="10"/>
  <c r="FFL19" i="10"/>
  <c r="FGB19" i="10"/>
  <c r="FGR19" i="10"/>
  <c r="FHH19" i="10"/>
  <c r="FHX19" i="10"/>
  <c r="FIN19" i="10"/>
  <c r="FJD19" i="10"/>
  <c r="FJT19" i="10"/>
  <c r="FKJ19" i="10"/>
  <c r="FKZ19" i="10"/>
  <c r="FLP19" i="10"/>
  <c r="FMF19" i="10"/>
  <c r="FMV19" i="10"/>
  <c r="FNL19" i="10"/>
  <c r="FOB19" i="10"/>
  <c r="FOR19" i="10"/>
  <c r="FPH19" i="10"/>
  <c r="FPX19" i="10"/>
  <c r="FQN19" i="10"/>
  <c r="FRD19" i="10"/>
  <c r="FRT19" i="10"/>
  <c r="FSJ19" i="10"/>
  <c r="FSZ19" i="10"/>
  <c r="FTP19" i="10"/>
  <c r="FUF19" i="10"/>
  <c r="FUV19" i="10"/>
  <c r="FVL19" i="10"/>
  <c r="FWB19" i="10"/>
  <c r="FWR19" i="10"/>
  <c r="FXH19" i="10"/>
  <c r="FXX19" i="10"/>
  <c r="FYN19" i="10"/>
  <c r="FZD19" i="10"/>
  <c r="FZT19" i="10"/>
  <c r="GAJ19" i="10"/>
  <c r="GAZ19" i="10"/>
  <c r="GBP19" i="10"/>
  <c r="GCF19" i="10"/>
  <c r="GCV19" i="10"/>
  <c r="GDL19" i="10"/>
  <c r="GEB19" i="10"/>
  <c r="GER19" i="10"/>
  <c r="GFH19" i="10"/>
  <c r="GFX19" i="10"/>
  <c r="GGN19" i="10"/>
  <c r="GHD19" i="10"/>
  <c r="GHT19" i="10"/>
  <c r="GIJ19" i="10"/>
  <c r="GIZ19" i="10"/>
  <c r="GJP19" i="10"/>
  <c r="GKF19" i="10"/>
  <c r="GKV19" i="10"/>
  <c r="GLL19" i="10"/>
  <c r="GMB19" i="10"/>
  <c r="GMR19" i="10"/>
  <c r="GNH19" i="10"/>
  <c r="GNX19" i="10"/>
  <c r="GON19" i="10"/>
  <c r="GPD19" i="10"/>
  <c r="GPT19" i="10"/>
  <c r="GQJ19" i="10"/>
  <c r="GQZ19" i="10"/>
  <c r="GRP19" i="10"/>
  <c r="GSF19" i="10"/>
  <c r="GSV19" i="10"/>
  <c r="GTL19" i="10"/>
  <c r="GUB19" i="10"/>
  <c r="GUR19" i="10"/>
  <c r="GVH19" i="10"/>
  <c r="GVX19" i="10"/>
  <c r="GWN19" i="10"/>
  <c r="GXD19" i="10"/>
  <c r="GXT19" i="10"/>
  <c r="GYJ19" i="10"/>
  <c r="GYZ19" i="10"/>
  <c r="GZP19" i="10"/>
  <c r="HAF19" i="10"/>
  <c r="HAV19" i="10"/>
  <c r="HBL19" i="10"/>
  <c r="HCB19" i="10"/>
  <c r="HCR19" i="10"/>
  <c r="HDH19" i="10"/>
  <c r="HDX19" i="10"/>
  <c r="HEN19" i="10"/>
  <c r="HFD19" i="10"/>
  <c r="HFT19" i="10"/>
  <c r="HGJ19" i="10"/>
  <c r="HGZ19" i="10"/>
  <c r="HHP19" i="10"/>
  <c r="HIF19" i="10"/>
  <c r="HIV19" i="10"/>
  <c r="HJL19" i="10"/>
  <c r="HKB19" i="10"/>
  <c r="HKR19" i="10"/>
  <c r="HLH19" i="10"/>
  <c r="HLX19" i="10"/>
  <c r="HMN19" i="10"/>
  <c r="HND19" i="10"/>
  <c r="HNT19" i="10"/>
  <c r="HOJ19" i="10"/>
  <c r="HOZ19" i="10"/>
  <c r="HPP19" i="10"/>
  <c r="HQF19" i="10"/>
  <c r="HQV19" i="10"/>
  <c r="HRL19" i="10"/>
  <c r="HSB19" i="10"/>
  <c r="HSR19" i="10"/>
  <c r="HTH19" i="10"/>
  <c r="HTX19" i="10"/>
  <c r="HUN19" i="10"/>
  <c r="HVD19" i="10"/>
  <c r="HVT19" i="10"/>
  <c r="HWJ19" i="10"/>
  <c r="HWZ19" i="10"/>
  <c r="HXP19" i="10"/>
  <c r="HYF19" i="10"/>
  <c r="HYV19" i="10"/>
  <c r="HZL19" i="10"/>
  <c r="IAB19" i="10"/>
  <c r="IAR19" i="10"/>
  <c r="IBH19" i="10"/>
  <c r="IBX19" i="10"/>
  <c r="ICN19" i="10"/>
  <c r="IDD19" i="10"/>
  <c r="IDT19" i="10"/>
  <c r="IEJ19" i="10"/>
  <c r="IEZ19" i="10"/>
  <c r="IFP19" i="10"/>
  <c r="IGF19" i="10"/>
  <c r="IGV19" i="10"/>
  <c r="IHL19" i="10"/>
  <c r="IIB19" i="10"/>
  <c r="IIR19" i="10"/>
  <c r="IJH19" i="10"/>
  <c r="IJX19" i="10"/>
  <c r="IKN19" i="10"/>
  <c r="ILD19" i="10"/>
  <c r="ILT19" i="10"/>
  <c r="IMJ19" i="10"/>
  <c r="IMZ19" i="10"/>
  <c r="INP19" i="10"/>
  <c r="IOF19" i="10"/>
  <c r="IOV19" i="10"/>
  <c r="IPL19" i="10"/>
  <c r="IQB19" i="10"/>
  <c r="IQR19" i="10"/>
  <c r="IRH19" i="10"/>
  <c r="IRX19" i="10"/>
  <c r="ISN19" i="10"/>
  <c r="ITD19" i="10"/>
  <c r="ITT19" i="10"/>
  <c r="IUJ19" i="10"/>
  <c r="IUZ19" i="10"/>
  <c r="IVP19" i="10"/>
  <c r="IWF19" i="10"/>
  <c r="IWV19" i="10"/>
  <c r="IXL19" i="10"/>
  <c r="IYB19" i="10"/>
  <c r="IYR19" i="10"/>
  <c r="IZH19" i="10"/>
  <c r="IZX19" i="10"/>
  <c r="JAN19" i="10"/>
  <c r="JBD19" i="10"/>
  <c r="JBT19" i="10"/>
  <c r="JCJ19" i="10"/>
  <c r="JCZ19" i="10"/>
  <c r="JDP19" i="10"/>
  <c r="JEF19" i="10"/>
  <c r="JEV19" i="10"/>
  <c r="JFL19" i="10"/>
  <c r="JGB19" i="10"/>
  <c r="JGR19" i="10"/>
  <c r="JHH19" i="10"/>
  <c r="JHX19" i="10"/>
  <c r="JIN19" i="10"/>
  <c r="JJD19" i="10"/>
  <c r="JJT19" i="10"/>
  <c r="JKJ19" i="10"/>
  <c r="JKZ19" i="10"/>
  <c r="JLP19" i="10"/>
  <c r="JMF19" i="10"/>
  <c r="JMV19" i="10"/>
  <c r="JNL19" i="10"/>
  <c r="AFH19" i="10"/>
  <c r="AHT19" i="10"/>
  <c r="AKF19" i="10"/>
  <c r="AMR19" i="10"/>
  <c r="APD19" i="10"/>
  <c r="ARP19" i="10"/>
  <c r="AUB19" i="10"/>
  <c r="AWN19" i="10"/>
  <c r="AYV19" i="10"/>
  <c r="BAB19" i="10"/>
  <c r="BBH19" i="10"/>
  <c r="BCN19" i="10"/>
  <c r="BDT19" i="10"/>
  <c r="BEZ19" i="10"/>
  <c r="BFV19" i="10"/>
  <c r="BGR19" i="10"/>
  <c r="BHM19" i="10"/>
  <c r="BIH19" i="10"/>
  <c r="BJD19" i="10"/>
  <c r="BJY19" i="10"/>
  <c r="BKT19" i="10"/>
  <c r="BLP19" i="10"/>
  <c r="BMK19" i="10"/>
  <c r="BNF19" i="10"/>
  <c r="BOB19" i="10"/>
  <c r="BOW19" i="10"/>
  <c r="BPR19" i="10"/>
  <c r="BQN19" i="10"/>
  <c r="BRI19" i="10"/>
  <c r="BSD19" i="10"/>
  <c r="BSZ19" i="10"/>
  <c r="BTU19" i="10"/>
  <c r="BUP19" i="10"/>
  <c r="BVL19" i="10"/>
  <c r="BWG19" i="10"/>
  <c r="BXB19" i="10"/>
  <c r="BXX19" i="10"/>
  <c r="BYS19" i="10"/>
  <c r="BZN19" i="10"/>
  <c r="CAJ19" i="10"/>
  <c r="CBE19" i="10"/>
  <c r="CBZ19" i="10"/>
  <c r="CCV19" i="10"/>
  <c r="CDQ19" i="10"/>
  <c r="CEL19" i="10"/>
  <c r="CFH19" i="10"/>
  <c r="CGC19" i="10"/>
  <c r="CGX19" i="10"/>
  <c r="CHT19" i="10"/>
  <c r="CIO19" i="10"/>
  <c r="CJJ19" i="10"/>
  <c r="CKF19" i="10"/>
  <c r="CLA19" i="10"/>
  <c r="CLV19" i="10"/>
  <c r="CMR19" i="10"/>
  <c r="CNM19" i="10"/>
  <c r="COH19" i="10"/>
  <c r="CPD19" i="10"/>
  <c r="CPY19" i="10"/>
  <c r="CQT19" i="10"/>
  <c r="CRP19" i="10"/>
  <c r="CSK19" i="10"/>
  <c r="CTF19" i="10"/>
  <c r="CUB19" i="10"/>
  <c r="CUW19" i="10"/>
  <c r="CVR19" i="10"/>
  <c r="CWN19" i="10"/>
  <c r="CXI19" i="10"/>
  <c r="CYD19" i="10"/>
  <c r="CYZ19" i="10"/>
  <c r="CZU19" i="10"/>
  <c r="DAP19" i="10"/>
  <c r="DBL19" i="10"/>
  <c r="DCG19" i="10"/>
  <c r="DDB19" i="10"/>
  <c r="DDX19" i="10"/>
  <c r="DES19" i="10"/>
  <c r="DFN19" i="10"/>
  <c r="DGJ19" i="10"/>
  <c r="DHE19" i="10"/>
  <c r="DHZ19" i="10"/>
  <c r="DIV19" i="10"/>
  <c r="DJQ19" i="10"/>
  <c r="DKL19" i="10"/>
  <c r="DLH19" i="10"/>
  <c r="DMC19" i="10"/>
  <c r="DMX19" i="10"/>
  <c r="DNQ19" i="10"/>
  <c r="DOG19" i="10"/>
  <c r="DOW19" i="10"/>
  <c r="DPM19" i="10"/>
  <c r="DQC19" i="10"/>
  <c r="DQS19" i="10"/>
  <c r="DRI19" i="10"/>
  <c r="DRY19" i="10"/>
  <c r="DSO19" i="10"/>
  <c r="DTE19" i="10"/>
  <c r="DTU19" i="10"/>
  <c r="DUK19" i="10"/>
  <c r="DVA19" i="10"/>
  <c r="DVQ19" i="10"/>
  <c r="DWG19" i="10"/>
  <c r="DWW19" i="10"/>
  <c r="DXM19" i="10"/>
  <c r="DYC19" i="10"/>
  <c r="DYS19" i="10"/>
  <c r="DZI19" i="10"/>
  <c r="DZY19" i="10"/>
  <c r="EAO19" i="10"/>
  <c r="EBE19" i="10"/>
  <c r="EBU19" i="10"/>
  <c r="ECK19" i="10"/>
  <c r="EDA19" i="10"/>
  <c r="EDQ19" i="10"/>
  <c r="EEG19" i="10"/>
  <c r="EEW19" i="10"/>
  <c r="EFM19" i="10"/>
  <c r="EGC19" i="10"/>
  <c r="EGS19" i="10"/>
  <c r="EHI19" i="10"/>
  <c r="EHY19" i="10"/>
  <c r="EIO19" i="10"/>
  <c r="EJE19" i="10"/>
  <c r="EJU19" i="10"/>
  <c r="EKK19" i="10"/>
  <c r="ELA19" i="10"/>
  <c r="ELQ19" i="10"/>
  <c r="EMG19" i="10"/>
  <c r="EMW19" i="10"/>
  <c r="ENM19" i="10"/>
  <c r="EOC19" i="10"/>
  <c r="EOS19" i="10"/>
  <c r="EPI19" i="10"/>
  <c r="EPY19" i="10"/>
  <c r="EQO19" i="10"/>
  <c r="ERE19" i="10"/>
  <c r="ERU19" i="10"/>
  <c r="ESK19" i="10"/>
  <c r="ETA19" i="10"/>
  <c r="ETQ19" i="10"/>
  <c r="EUG19" i="10"/>
  <c r="EUW19" i="10"/>
  <c r="EVM19" i="10"/>
  <c r="EWC19" i="10"/>
  <c r="EWS19" i="10"/>
  <c r="EXI19" i="10"/>
  <c r="EXY19" i="10"/>
  <c r="EYO19" i="10"/>
  <c r="EZE19" i="10"/>
  <c r="EZU19" i="10"/>
  <c r="FAK19" i="10"/>
  <c r="FBA19" i="10"/>
  <c r="FBQ19" i="10"/>
  <c r="FCG19" i="10"/>
  <c r="FCW19" i="10"/>
  <c r="FDM19" i="10"/>
  <c r="FEC19" i="10"/>
  <c r="FES19" i="10"/>
  <c r="FFI19" i="10"/>
  <c r="FFY19" i="10"/>
  <c r="FGO19" i="10"/>
  <c r="FHE19" i="10"/>
  <c r="FHU19" i="10"/>
  <c r="FIK19" i="10"/>
  <c r="FJA19" i="10"/>
  <c r="FJQ19" i="10"/>
  <c r="FKG19" i="10"/>
  <c r="FKW19" i="10"/>
  <c r="FLM19" i="10"/>
  <c r="FMC19" i="10"/>
  <c r="FMS19" i="10"/>
  <c r="FNI19" i="10"/>
  <c r="FNY19" i="10"/>
  <c r="FOO19" i="10"/>
  <c r="FPE19" i="10"/>
  <c r="FPU19" i="10"/>
  <c r="FQK19" i="10"/>
  <c r="FRA19" i="10"/>
  <c r="FRQ19" i="10"/>
  <c r="FSG19" i="10"/>
  <c r="FSW19" i="10"/>
  <c r="FTM19" i="10"/>
  <c r="FUC19" i="10"/>
  <c r="FUS19" i="10"/>
  <c r="FVI19" i="10"/>
  <c r="FVY19" i="10"/>
  <c r="FWO19" i="10"/>
  <c r="FXE19" i="10"/>
  <c r="FXU19" i="10"/>
  <c r="FYK19" i="10"/>
  <c r="FZA19" i="10"/>
  <c r="FZQ19" i="10"/>
  <c r="GAG19" i="10"/>
  <c r="GAW19" i="10"/>
  <c r="GBM19" i="10"/>
  <c r="GCC19" i="10"/>
  <c r="GCS19" i="10"/>
  <c r="GDI19" i="10"/>
  <c r="GDY19" i="10"/>
  <c r="GEO19" i="10"/>
  <c r="GFE19" i="10"/>
  <c r="GFU19" i="10"/>
  <c r="GGK19" i="10"/>
  <c r="GHA19" i="10"/>
  <c r="GHQ19" i="10"/>
  <c r="GIG19" i="10"/>
  <c r="GIW19" i="10"/>
  <c r="GJM19" i="10"/>
  <c r="GKC19" i="10"/>
  <c r="GKS19" i="10"/>
  <c r="GLI19" i="10"/>
  <c r="GLY19" i="10"/>
  <c r="GMO19" i="10"/>
  <c r="GNE19" i="10"/>
  <c r="GNU19" i="10"/>
  <c r="GOK19" i="10"/>
  <c r="GPA19" i="10"/>
  <c r="GPQ19" i="10"/>
  <c r="GQG19" i="10"/>
  <c r="GQW19" i="10"/>
  <c r="GRM19" i="10"/>
  <c r="GSC19" i="10"/>
  <c r="GSS19" i="10"/>
  <c r="GTI19" i="10"/>
  <c r="GTY19" i="10"/>
  <c r="GUO19" i="10"/>
  <c r="GVE19" i="10"/>
  <c r="GVU19" i="10"/>
  <c r="GWK19" i="10"/>
  <c r="GXA19" i="10"/>
  <c r="GXQ19" i="10"/>
  <c r="GYG19" i="10"/>
  <c r="GYW19" i="10"/>
  <c r="GZM19" i="10"/>
  <c r="HAC19" i="10"/>
  <c r="HAS19" i="10"/>
  <c r="HBI19" i="10"/>
  <c r="HBY19" i="10"/>
  <c r="HCO19" i="10"/>
  <c r="HDE19" i="10"/>
  <c r="HDU19" i="10"/>
  <c r="HEK19" i="10"/>
  <c r="HFS19" i="10"/>
  <c r="HGO19" i="10"/>
  <c r="HHJ19" i="10"/>
  <c r="HIE19" i="10"/>
  <c r="HJA19" i="10"/>
  <c r="HJV19" i="10"/>
  <c r="HKQ19" i="10"/>
  <c r="HLM19" i="10"/>
  <c r="HMH19" i="10"/>
  <c r="HNC19" i="10"/>
  <c r="LAR18" i="10"/>
  <c r="LJH18" i="10"/>
  <c r="LOF18" i="10"/>
  <c r="LTD18" i="10"/>
  <c r="LXY18" i="10"/>
  <c r="MBF18" i="10"/>
  <c r="MEN18" i="10"/>
  <c r="MHU18" i="10"/>
  <c r="MLB18" i="10"/>
  <c r="MOJ18" i="10"/>
  <c r="MRQ18" i="10"/>
  <c r="MUX18" i="10"/>
  <c r="MYF18" i="10"/>
  <c r="NBM18" i="10"/>
  <c r="LGZ18" i="10"/>
  <c r="LMK18" i="10"/>
  <c r="LRI18" i="10"/>
  <c r="LWG18" i="10"/>
  <c r="MAB18" i="10"/>
  <c r="MDI18" i="10"/>
  <c r="MGP18" i="10"/>
  <c r="MJX18" i="10"/>
  <c r="MNE18" i="10"/>
  <c r="MQL18" i="10"/>
  <c r="MTT18" i="10"/>
  <c r="MXA18" i="10"/>
  <c r="NAH18" i="10"/>
  <c r="NDP18" i="10"/>
  <c r="NGC18" i="10"/>
  <c r="NIO18" i="10"/>
  <c r="NLA18" i="10"/>
  <c r="NNM18" i="10"/>
  <c r="NPY18" i="10"/>
  <c r="NSK18" i="10"/>
  <c r="NUW18" i="10"/>
  <c r="NXI18" i="10"/>
  <c r="NZU18" i="10"/>
  <c r="OCG18" i="10"/>
  <c r="OES18" i="10"/>
  <c r="OHE18" i="10"/>
  <c r="OJQ18" i="10"/>
  <c r="OMC18" i="10"/>
  <c r="OOO18" i="10"/>
  <c r="ORA18" i="10"/>
  <c r="OTM18" i="10"/>
  <c r="OVY18" i="10"/>
  <c r="OYK18" i="10"/>
  <c r="PAW18" i="10"/>
  <c r="PDI18" i="10"/>
  <c r="PFU18" i="10"/>
  <c r="PIG18" i="10"/>
  <c r="PKS18" i="10"/>
  <c r="PNE18" i="10"/>
  <c r="PPQ18" i="10"/>
  <c r="PSC18" i="10"/>
  <c r="PUO18" i="10"/>
  <c r="LAZ18" i="10"/>
  <c r="LJL18" i="10"/>
  <c r="LOJ18" i="10"/>
  <c r="LTH18" i="10"/>
  <c r="LYB18" i="10"/>
  <c r="MBI18" i="10"/>
  <c r="MEP18" i="10"/>
  <c r="MHX18" i="10"/>
  <c r="MLE18" i="10"/>
  <c r="MOL18" i="10"/>
  <c r="MRT18" i="10"/>
  <c r="MVA18" i="10"/>
  <c r="MYH18" i="10"/>
  <c r="NBP18" i="10"/>
  <c r="NEP18" i="10"/>
  <c r="NHB18" i="10"/>
  <c r="NJN18" i="10"/>
  <c r="NLZ18" i="10"/>
  <c r="NOL18" i="10"/>
  <c r="NQX18" i="10"/>
  <c r="NTJ18" i="10"/>
  <c r="NVV18" i="10"/>
  <c r="NYH18" i="10"/>
  <c r="OAT18" i="10"/>
  <c r="ODF18" i="10"/>
  <c r="OFR18" i="10"/>
  <c r="OID18" i="10"/>
  <c r="OKP18" i="10"/>
  <c r="KYR18" i="10"/>
  <c r="LIG18" i="10"/>
  <c r="LNE18" i="10"/>
  <c r="LSC18" i="10"/>
  <c r="LXA18" i="10"/>
  <c r="MAO18" i="10"/>
  <c r="MDV18" i="10"/>
  <c r="MHD18" i="10"/>
  <c r="MKK18" i="10"/>
  <c r="MNR18" i="10"/>
  <c r="MQZ18" i="10"/>
  <c r="NCH18" i="10"/>
  <c r="NHP18" i="10"/>
  <c r="NMN18" i="10"/>
  <c r="NRL18" i="10"/>
  <c r="NWJ18" i="10"/>
  <c r="OBH18" i="10"/>
  <c r="OGF18" i="10"/>
  <c r="OLD18" i="10"/>
  <c r="OOF18" i="10"/>
  <c r="OPW18" i="10"/>
  <c r="ORN18" i="10"/>
  <c r="OTD18" i="10"/>
  <c r="OUU18" i="10"/>
  <c r="OWL18" i="10"/>
  <c r="OYB18" i="10"/>
  <c r="OZS18" i="10"/>
  <c r="PBJ18" i="10"/>
  <c r="PCZ18" i="10"/>
  <c r="PEQ18" i="10"/>
  <c r="PGH18" i="10"/>
  <c r="PHX18" i="10"/>
  <c r="PJO18" i="10"/>
  <c r="PLF18" i="10"/>
  <c r="PMV18" i="10"/>
  <c r="POM18" i="10"/>
  <c r="PQD18" i="10"/>
  <c r="PRT18" i="10"/>
  <c r="PTK18" i="10"/>
  <c r="PVB18" i="10"/>
  <c r="PWP18" i="10"/>
  <c r="PXV18" i="10"/>
  <c r="PZB18" i="10"/>
  <c r="QAH18" i="10"/>
  <c r="QBN18" i="10"/>
  <c r="QCT18" i="10"/>
  <c r="QDZ18" i="10"/>
  <c r="QFF18" i="10"/>
  <c r="QGL18" i="10"/>
  <c r="QHR18" i="10"/>
  <c r="QIX18" i="10"/>
  <c r="QKD18" i="10"/>
  <c r="QLJ18" i="10"/>
  <c r="QMP18" i="10"/>
  <c r="QNV18" i="10"/>
  <c r="QPB18" i="10"/>
  <c r="QQH18" i="10"/>
  <c r="QRN18" i="10"/>
  <c r="QST18" i="10"/>
  <c r="QTZ18" i="10"/>
  <c r="QVF18" i="10"/>
  <c r="QWL18" i="10"/>
  <c r="QXR18" i="10"/>
  <c r="QYX18" i="10"/>
  <c r="RAD18" i="10"/>
  <c r="RBJ18" i="10"/>
  <c r="RCP18" i="10"/>
  <c r="RDV18" i="10"/>
  <c r="RFB18" i="10"/>
  <c r="RGH18" i="10"/>
  <c r="RHN18" i="10"/>
  <c r="RIT18" i="10"/>
  <c r="RJZ18" i="10"/>
  <c r="RLF18" i="10"/>
  <c r="RML18" i="10"/>
  <c r="RNR18" i="10"/>
  <c r="ROX18" i="10"/>
  <c r="RQD18" i="10"/>
  <c r="RRJ18" i="10"/>
  <c r="RSP18" i="10"/>
  <c r="RTV18" i="10"/>
  <c r="RVB18" i="10"/>
  <c r="RWH18" i="10"/>
  <c r="RXN18" i="10"/>
  <c r="RYT18" i="10"/>
  <c r="RZZ18" i="10"/>
  <c r="SBF18" i="10"/>
  <c r="MRP18" i="10"/>
  <c r="MYD18" i="10"/>
  <c r="NDH18" i="10"/>
  <c r="NFW18" i="10"/>
  <c r="NII18" i="10"/>
  <c r="NKU18" i="10"/>
  <c r="NNG18" i="10"/>
  <c r="NPS18" i="10"/>
  <c r="NSE18" i="10"/>
  <c r="NUQ18" i="10"/>
  <c r="NXC18" i="10"/>
  <c r="NZO18" i="10"/>
  <c r="OCA18" i="10"/>
  <c r="OEM18" i="10"/>
  <c r="OGY18" i="10"/>
  <c r="OJK18" i="10"/>
  <c r="OLW18" i="10"/>
  <c r="ONW18" i="10"/>
  <c r="OPN18" i="10"/>
  <c r="ORD18" i="10"/>
  <c r="OSU18" i="10"/>
  <c r="OUL18" i="10"/>
  <c r="OWB18" i="10"/>
  <c r="OXS18" i="10"/>
  <c r="OZJ18" i="10"/>
  <c r="PAZ18" i="10"/>
  <c r="PCQ18" i="10"/>
  <c r="PEH18" i="10"/>
  <c r="PFX18" i="10"/>
  <c r="PHO18" i="10"/>
  <c r="PJF18" i="10"/>
  <c r="PKV18" i="10"/>
  <c r="PMM18" i="10"/>
  <c r="POD18" i="10"/>
  <c r="PPT18" i="10"/>
  <c r="PRK18" i="10"/>
  <c r="PTB18" i="10"/>
  <c r="PUR18" i="10"/>
  <c r="PWI18" i="10"/>
  <c r="PXO18" i="10"/>
  <c r="PYU18" i="10"/>
  <c r="QAA18" i="10"/>
  <c r="QBG18" i="10"/>
  <c r="QCM18" i="10"/>
  <c r="QDS18" i="10"/>
  <c r="QEY18" i="10"/>
  <c r="QGE18" i="10"/>
  <c r="QHK18" i="10"/>
  <c r="QIQ18" i="10"/>
  <c r="QJW18" i="10"/>
  <c r="QLC18" i="10"/>
  <c r="QMI18" i="10"/>
  <c r="QNO18" i="10"/>
  <c r="QOU18" i="10"/>
  <c r="QQA18" i="10"/>
  <c r="QRG18" i="10"/>
  <c r="QSM18" i="10"/>
  <c r="QTS18" i="10"/>
  <c r="QUY18" i="10"/>
  <c r="QWE18" i="10"/>
  <c r="QXK18" i="10"/>
  <c r="QYQ18" i="10"/>
  <c r="QZW18" i="10"/>
  <c r="RBC18" i="10"/>
  <c r="RCI18" i="10"/>
  <c r="RDO18" i="10"/>
  <c r="REU18" i="10"/>
  <c r="RGA18" i="10"/>
  <c r="RHG18" i="10"/>
  <c r="RIM18" i="10"/>
  <c r="RJS18" i="10"/>
  <c r="RKY18" i="10"/>
  <c r="RME18" i="10"/>
  <c r="RNK18" i="10"/>
  <c r="ROQ18" i="10"/>
  <c r="RPW18" i="10"/>
  <c r="RRC18" i="10"/>
  <c r="RSI18" i="10"/>
  <c r="RTO18" i="10"/>
  <c r="RUU18" i="10"/>
  <c r="RWA18" i="10"/>
  <c r="RXG18" i="10"/>
  <c r="RYM18" i="10"/>
  <c r="RZS18" i="10"/>
  <c r="SAY18" i="10"/>
  <c r="SCE18" i="10"/>
  <c r="SDK18" i="10"/>
  <c r="SEQ18" i="10"/>
  <c r="SFW18" i="10"/>
  <c r="SHC18" i="10"/>
  <c r="SII18" i="10"/>
  <c r="SJO18" i="10"/>
  <c r="SKU18" i="10"/>
  <c r="SMA18" i="10"/>
  <c r="SNG18" i="10"/>
  <c r="SOM18" i="10"/>
  <c r="SPS18" i="10"/>
  <c r="SQY18" i="10"/>
  <c r="SSE18" i="10"/>
  <c r="STK18" i="10"/>
  <c r="SUQ18" i="10"/>
  <c r="SVW18" i="10"/>
  <c r="SXC18" i="10"/>
  <c r="SYI18" i="10"/>
  <c r="SZO18" i="10"/>
  <c r="TAU18" i="10"/>
  <c r="TCA18" i="10"/>
  <c r="TDG18" i="10"/>
  <c r="TEM18" i="10"/>
  <c r="TFS18" i="10"/>
  <c r="TGY18" i="10"/>
  <c r="TIE18" i="10"/>
  <c r="TJK18" i="10"/>
  <c r="TKQ18" i="10"/>
  <c r="TLW18" i="10"/>
  <c r="TNC18" i="10"/>
  <c r="TOI18" i="10"/>
  <c r="TPO18" i="10"/>
  <c r="TQU18" i="10"/>
  <c r="TSA18" i="10"/>
  <c r="TTG18" i="10"/>
  <c r="TUM18" i="10"/>
  <c r="TVS18" i="10"/>
  <c r="TWY18" i="10"/>
  <c r="TYE18" i="10"/>
  <c r="TZK18" i="10"/>
  <c r="UAQ18" i="10"/>
  <c r="UBW18" i="10"/>
  <c r="UDC18" i="10"/>
  <c r="UEI18" i="10"/>
  <c r="UFO18" i="10"/>
  <c r="UGU18" i="10"/>
  <c r="UIA18" i="10"/>
  <c r="UJG18" i="10"/>
  <c r="UKM18" i="10"/>
  <c r="ULS18" i="10"/>
  <c r="UMY18" i="10"/>
  <c r="UOE18" i="10"/>
  <c r="UPK18" i="10"/>
  <c r="UQQ18" i="10"/>
  <c r="URW18" i="10"/>
  <c r="UTC18" i="10"/>
  <c r="UUA18" i="10"/>
  <c r="UUY18" i="10"/>
  <c r="UVS18" i="10"/>
  <c r="UWM18" i="10"/>
  <c r="UXK18" i="10"/>
  <c r="UYE18" i="10"/>
  <c r="UYY18" i="10"/>
  <c r="UZW18" i="10"/>
  <c r="VAQ18" i="10"/>
  <c r="VBK18" i="10"/>
  <c r="VCI18" i="10"/>
  <c r="MTL18" i="10"/>
  <c r="MXN18" i="10"/>
  <c r="NCC18" i="10"/>
  <c r="NEB18" i="10"/>
  <c r="NFP18" i="10"/>
  <c r="NHL18" i="10"/>
  <c r="NIZ18" i="10"/>
  <c r="NKN18" i="10"/>
  <c r="NMJ18" i="10"/>
  <c r="NNX18" i="10"/>
  <c r="NPL18" i="10"/>
  <c r="NRH18" i="10"/>
  <c r="NSV18" i="10"/>
  <c r="NUJ18" i="10"/>
  <c r="NWF18" i="10"/>
  <c r="NXT18" i="10"/>
  <c r="NZH18" i="10"/>
  <c r="OBD18" i="10"/>
  <c r="OCR18" i="10"/>
  <c r="OEF18" i="10"/>
  <c r="OGB18" i="10"/>
  <c r="OHP18" i="10"/>
  <c r="OJD18" i="10"/>
  <c r="OKZ18" i="10"/>
  <c r="OMN18" i="10"/>
  <c r="ONS18" i="10"/>
  <c r="OOY18" i="10"/>
  <c r="OPZ18" i="10"/>
  <c r="OQZ18" i="10"/>
  <c r="OSF18" i="10"/>
  <c r="OTG18" i="10"/>
  <c r="OUH18" i="10"/>
  <c r="OVN18" i="10"/>
  <c r="OWN18" i="10"/>
  <c r="OXO18" i="10"/>
  <c r="OYU18" i="10"/>
  <c r="OZV18" i="10"/>
  <c r="PAV18" i="10"/>
  <c r="PCB18" i="10"/>
  <c r="PDC18" i="10"/>
  <c r="PED18" i="10"/>
  <c r="PFJ18" i="10"/>
  <c r="PGJ18" i="10"/>
  <c r="PHK18" i="10"/>
  <c r="PIQ18" i="10"/>
  <c r="PJR18" i="10"/>
  <c r="PKR18" i="10"/>
  <c r="PLX18" i="10"/>
  <c r="PMY18" i="10"/>
  <c r="PNZ18" i="10"/>
  <c r="PPF18" i="10"/>
  <c r="PQF18" i="10"/>
  <c r="PRG18" i="10"/>
  <c r="PSM18" i="10"/>
  <c r="PTN18" i="10"/>
  <c r="PUN18" i="10"/>
  <c r="PVT18" i="10"/>
  <c r="PWR18" i="10"/>
  <c r="PXL18" i="10"/>
  <c r="PYJ18" i="10"/>
  <c r="PZD18" i="10"/>
  <c r="PZX18" i="10"/>
  <c r="QAV18" i="10"/>
  <c r="QBP18" i="10"/>
  <c r="QCJ18" i="10"/>
  <c r="QDH18" i="10"/>
  <c r="QEB18" i="10"/>
  <c r="QEV18" i="10"/>
  <c r="QFT18" i="10"/>
  <c r="QGN18" i="10"/>
  <c r="QHH18" i="10"/>
  <c r="QIF18" i="10"/>
  <c r="QIZ18" i="10"/>
  <c r="QJT18" i="10"/>
  <c r="QKR18" i="10"/>
  <c r="QLL18" i="10"/>
  <c r="QMF18" i="10"/>
  <c r="QND18" i="10"/>
  <c r="QNX18" i="10"/>
  <c r="QOR18" i="10"/>
  <c r="QPP18" i="10"/>
  <c r="QQJ18" i="10"/>
  <c r="QRD18" i="10"/>
  <c r="QSB18" i="10"/>
  <c r="QSV18" i="10"/>
  <c r="QTP18" i="10"/>
  <c r="QUN18" i="10"/>
  <c r="QVH18" i="10"/>
  <c r="QWB18" i="10"/>
  <c r="QWZ18" i="10"/>
  <c r="QXT18" i="10"/>
  <c r="QYN18" i="10"/>
  <c r="QZL18" i="10"/>
  <c r="RAF18" i="10"/>
  <c r="RAZ18" i="10"/>
  <c r="RBX18" i="10"/>
  <c r="RCR18" i="10"/>
  <c r="RDL18" i="10"/>
  <c r="REJ18" i="10"/>
  <c r="RFD18" i="10"/>
  <c r="RFX18" i="10"/>
  <c r="RGV18" i="10"/>
  <c r="RHP18" i="10"/>
  <c r="RIJ18" i="10"/>
  <c r="RJH18" i="10"/>
  <c r="RKB18" i="10"/>
  <c r="RKV18" i="10"/>
  <c r="RLT18" i="10"/>
  <c r="RMN18" i="10"/>
  <c r="RNH18" i="10"/>
  <c r="ROF18" i="10"/>
  <c r="ROZ18" i="10"/>
  <c r="RPT18" i="10"/>
  <c r="RQR18" i="10"/>
  <c r="RRL18" i="10"/>
  <c r="RSF18" i="10"/>
  <c r="RTD18" i="10"/>
  <c r="RTX18" i="10"/>
  <c r="RUR18" i="10"/>
  <c r="RVP18" i="10"/>
  <c r="RWJ18" i="10"/>
  <c r="RXD18" i="10"/>
  <c r="RYB18" i="10"/>
  <c r="RYV18" i="10"/>
  <c r="RZP18" i="10"/>
  <c r="SAN18" i="10"/>
  <c r="SBH18" i="10"/>
  <c r="SCB18" i="10"/>
  <c r="SCZ18" i="10"/>
  <c r="SDT18" i="10"/>
  <c r="SEN18" i="10"/>
  <c r="SFL18" i="10"/>
  <c r="SGF18" i="10"/>
  <c r="SGZ18" i="10"/>
  <c r="MSV18" i="10"/>
  <c r="MWX18" i="10"/>
  <c r="NBA18" i="10"/>
  <c r="NDW18" i="10"/>
  <c r="NFK18" i="10"/>
  <c r="NGY18" i="10"/>
  <c r="NIU18" i="10"/>
  <c r="NKI18" i="10"/>
  <c r="NLW18" i="10"/>
  <c r="NNS18" i="10"/>
  <c r="NPG18" i="10"/>
  <c r="NQU18" i="10"/>
  <c r="NSQ18" i="10"/>
  <c r="NUE18" i="10"/>
  <c r="NVS18" i="10"/>
  <c r="NXO18" i="10"/>
  <c r="NZC18" i="10"/>
  <c r="OAQ18" i="10"/>
  <c r="OCM18" i="10"/>
  <c r="OEA18" i="10"/>
  <c r="OFO18" i="10"/>
  <c r="OHK18" i="10"/>
  <c r="OIY18" i="10"/>
  <c r="OKM18" i="10"/>
  <c r="OOJ18" i="10"/>
  <c r="OSM18" i="10"/>
  <c r="OWP18" i="10"/>
  <c r="PBN18" i="10"/>
  <c r="PFP18" i="10"/>
  <c r="PJS18" i="10"/>
  <c r="POQ18" i="10"/>
  <c r="PST18" i="10"/>
  <c r="PWS18" i="10"/>
  <c r="QAK18" i="10"/>
  <c r="QDM18" i="10"/>
  <c r="QGO18" i="10"/>
  <c r="QKG18" i="10"/>
  <c r="QNI18" i="10"/>
  <c r="QQK18" i="10"/>
  <c r="QUC18" i="10"/>
  <c r="QXE18" i="10"/>
  <c r="RAG18" i="10"/>
  <c r="RDY18" i="10"/>
  <c r="RHA18" i="10"/>
  <c r="RKC18" i="10"/>
  <c r="RNU18" i="10"/>
  <c r="RQW18" i="10"/>
  <c r="RTY18" i="10"/>
  <c r="RXQ18" i="10"/>
  <c r="SAS18" i="10"/>
  <c r="SDB18" i="10"/>
  <c r="SEX18" i="10"/>
  <c r="SGL18" i="10"/>
  <c r="SHX18" i="10"/>
  <c r="SJD18" i="10"/>
  <c r="SKD18" i="10"/>
  <c r="SLE18" i="10"/>
  <c r="SMK18" i="10"/>
  <c r="SNL18" i="10"/>
  <c r="SOL18" i="10"/>
  <c r="SPR18" i="10"/>
  <c r="SQS18" i="10"/>
  <c r="SRT18" i="10"/>
  <c r="SSZ18" i="10"/>
  <c r="STZ18" i="10"/>
  <c r="SVA18" i="10"/>
  <c r="SWG18" i="10"/>
  <c r="SXH18" i="10"/>
  <c r="SYH18" i="10"/>
  <c r="SZN18" i="10"/>
  <c r="TAO18" i="10"/>
  <c r="TBP18" i="10"/>
  <c r="TCV18" i="10"/>
  <c r="TDV18" i="10"/>
  <c r="TEW18" i="10"/>
  <c r="TGC18" i="10"/>
  <c r="THD18" i="10"/>
  <c r="TID18" i="10"/>
  <c r="TJJ18" i="10"/>
  <c r="TKK18" i="10"/>
  <c r="TLL18" i="10"/>
  <c r="TMR18" i="10"/>
  <c r="TNR18" i="10"/>
  <c r="TOS18" i="10"/>
  <c r="TPY18" i="10"/>
  <c r="TQZ18" i="10"/>
  <c r="TRZ18" i="10"/>
  <c r="TTF18" i="10"/>
  <c r="OPK18" i="10"/>
  <c r="OTN18" i="10"/>
  <c r="OYL18" i="10"/>
  <c r="PCN18" i="10"/>
  <c r="PGQ18" i="10"/>
  <c r="PLO18" i="10"/>
  <c r="PPR18" i="10"/>
  <c r="PTT18" i="10"/>
  <c r="PYC18" i="10"/>
  <c r="QBE18" i="10"/>
  <c r="QEG18" i="10"/>
  <c r="QHY18" i="10"/>
  <c r="QLA18" i="10"/>
  <c r="QOC18" i="10"/>
  <c r="QRU18" i="10"/>
  <c r="QUW18" i="10"/>
  <c r="QXY18" i="10"/>
  <c r="RBQ18" i="10"/>
  <c r="RES18" i="10"/>
  <c r="RHU18" i="10"/>
  <c r="RLM18" i="10"/>
  <c r="ROO18" i="10"/>
  <c r="RRQ18" i="10"/>
  <c r="RVI18" i="10"/>
  <c r="RYK18" i="10"/>
  <c r="SBM18" i="10"/>
  <c r="SDU18" i="10"/>
  <c r="SFI18" i="10"/>
  <c r="SGW18" i="10"/>
  <c r="SIJ18" i="10"/>
  <c r="SJJ18" i="10"/>
  <c r="SKK18" i="10"/>
  <c r="SLQ18" i="10"/>
  <c r="SMR18" i="10"/>
  <c r="SNR18" i="10"/>
  <c r="SOX18" i="10"/>
  <c r="SPY18" i="10"/>
  <c r="SQZ18" i="10"/>
  <c r="SSF18" i="10"/>
  <c r="STF18" i="10"/>
  <c r="SUG18" i="10"/>
  <c r="SVM18" i="10"/>
  <c r="SWN18" i="10"/>
  <c r="SXN18" i="10"/>
  <c r="SYT18" i="10"/>
  <c r="SZU18" i="10"/>
  <c r="TAV18" i="10"/>
  <c r="TCB18" i="10"/>
  <c r="TDB18" i="10"/>
  <c r="TEC18" i="10"/>
  <c r="TFI18" i="10"/>
  <c r="TGJ18" i="10"/>
  <c r="THJ18" i="10"/>
  <c r="TIP18" i="10"/>
  <c r="TJQ18" i="10"/>
  <c r="TKR18" i="10"/>
  <c r="TLX18" i="10"/>
  <c r="TMX18" i="10"/>
  <c r="TNY18" i="10"/>
  <c r="TPE18" i="10"/>
  <c r="TQF18" i="10"/>
  <c r="TRF18" i="10"/>
  <c r="TSL18" i="10"/>
  <c r="TTM18" i="10"/>
  <c r="TUN18" i="10"/>
  <c r="OQL18" i="10"/>
  <c r="OUN18" i="10"/>
  <c r="OYQ18" i="10"/>
  <c r="PDO18" i="10"/>
  <c r="PHR18" i="10"/>
  <c r="PLT18" i="10"/>
  <c r="PQR18" i="10"/>
  <c r="PUU18" i="10"/>
  <c r="PYG18" i="10"/>
  <c r="QBY18" i="10"/>
  <c r="QFA18" i="10"/>
  <c r="QIC18" i="10"/>
  <c r="QLU18" i="10"/>
  <c r="QOW18" i="10"/>
  <c r="QRY18" i="10"/>
  <c r="QVQ18" i="10"/>
  <c r="QYS18" i="10"/>
  <c r="RBU18" i="10"/>
  <c r="RFM18" i="10"/>
  <c r="RIO18" i="10"/>
  <c r="RLQ18" i="10"/>
  <c r="RPI18" i="10"/>
  <c r="RSK18" i="10"/>
  <c r="RVM18" i="10"/>
  <c r="RZE18" i="10"/>
  <c r="SCG18" i="10"/>
  <c r="SDV18" i="10"/>
  <c r="SFR18" i="10"/>
  <c r="SHF18" i="10"/>
  <c r="SIK18" i="10"/>
  <c r="SJQ18" i="10"/>
  <c r="SKR18" i="10"/>
  <c r="SLR18" i="10"/>
  <c r="SMX18" i="10"/>
  <c r="SNY18" i="10"/>
  <c r="SOZ18" i="10"/>
  <c r="SQF18" i="10"/>
  <c r="SRF18" i="10"/>
  <c r="SSG18" i="10"/>
  <c r="STM18" i="10"/>
  <c r="SUN18" i="10"/>
  <c r="SVN18" i="10"/>
  <c r="SWT18" i="10"/>
  <c r="SXU18" i="10"/>
  <c r="SYV18" i="10"/>
  <c r="TAB18" i="10"/>
  <c r="TBB18" i="10"/>
  <c r="TCC18" i="10"/>
  <c r="TDI18" i="10"/>
  <c r="TEJ18" i="10"/>
  <c r="TFJ18" i="10"/>
  <c r="TGP18" i="10"/>
  <c r="THQ18" i="10"/>
  <c r="TIR18" i="10"/>
  <c r="TJX18" i="10"/>
  <c r="TKX18" i="10"/>
  <c r="TLY18" i="10"/>
  <c r="TNE18" i="10"/>
  <c r="TOF18" i="10"/>
  <c r="TPF18" i="10"/>
  <c r="TQL18" i="10"/>
  <c r="TRM18" i="10"/>
  <c r="TSN18" i="10"/>
  <c r="TTT18" i="10"/>
  <c r="TUT18" i="10"/>
  <c r="TVU18" i="10"/>
  <c r="TXA18" i="10"/>
  <c r="TYB18" i="10"/>
  <c r="TZB18" i="10"/>
  <c r="UAH18" i="10"/>
  <c r="UBI18" i="10"/>
  <c r="UCJ18" i="10"/>
  <c r="UDP18" i="10"/>
  <c r="UEP18" i="10"/>
  <c r="UFQ18" i="10"/>
  <c r="UGW18" i="10"/>
  <c r="UHX18" i="10"/>
  <c r="UIX18" i="10"/>
  <c r="UKD18" i="10"/>
  <c r="ULE18" i="10"/>
  <c r="UMF18" i="10"/>
  <c r="UNL18" i="10"/>
  <c r="UOL18" i="10"/>
  <c r="UPM18" i="10"/>
  <c r="UQS18" i="10"/>
  <c r="URT18" i="10"/>
  <c r="UST18" i="10"/>
  <c r="UTZ18" i="10"/>
  <c r="UVA18" i="10"/>
  <c r="UWB18" i="10"/>
  <c r="UXH18" i="10"/>
  <c r="UYH18" i="10"/>
  <c r="OOE18" i="10"/>
  <c r="OTC18" i="10"/>
  <c r="OXF18" i="10"/>
  <c r="PBH18" i="10"/>
  <c r="PGF18" i="10"/>
  <c r="PKI18" i="10"/>
  <c r="POL18" i="10"/>
  <c r="PTJ18" i="10"/>
  <c r="PXE18" i="10"/>
  <c r="QAG18" i="10"/>
  <c r="QDY18" i="10"/>
  <c r="QHA18" i="10"/>
  <c r="QKC18" i="10"/>
  <c r="QNU18" i="10"/>
  <c r="QQW18" i="10"/>
  <c r="QTY18" i="10"/>
  <c r="QXQ18" i="10"/>
  <c r="RAS18" i="10"/>
  <c r="RDU18" i="10"/>
  <c r="RHM18" i="10"/>
  <c r="RKO18" i="10"/>
  <c r="RNQ18" i="10"/>
  <c r="RRI18" i="10"/>
  <c r="RUK18" i="10"/>
  <c r="RXM18" i="10"/>
  <c r="SBE18" i="10"/>
  <c r="SDI18" i="10"/>
  <c r="SEW18" i="10"/>
  <c r="SGS18" i="10"/>
  <c r="SIB18" i="10"/>
  <c r="SJB18" i="10"/>
  <c r="SKH18" i="10"/>
  <c r="SLI18" i="10"/>
  <c r="SMJ18" i="10"/>
  <c r="SNP18" i="10"/>
  <c r="SOP18" i="10"/>
  <c r="SPQ18" i="10"/>
  <c r="SQW18" i="10"/>
  <c r="SRX18" i="10"/>
  <c r="SSX18" i="10"/>
  <c r="SUD18" i="10"/>
  <c r="SVE18" i="10"/>
  <c r="SWF18" i="10"/>
  <c r="SXL18" i="10"/>
  <c r="SYL18" i="10"/>
  <c r="SZM18" i="10"/>
  <c r="TAS18" i="10"/>
  <c r="TBT18" i="10"/>
  <c r="TCT18" i="10"/>
  <c r="TDZ18" i="10"/>
  <c r="TFA18" i="10"/>
  <c r="TGB18" i="10"/>
  <c r="THH18" i="10"/>
  <c r="TIH18" i="10"/>
  <c r="TJI18" i="10"/>
  <c r="TKO18" i="10"/>
  <c r="TLP18" i="10"/>
  <c r="TMP18" i="10"/>
  <c r="TNV18" i="10"/>
  <c r="TOW18" i="10"/>
  <c r="TPX18" i="10"/>
  <c r="TRD18" i="10"/>
  <c r="TSD18" i="10"/>
  <c r="TTE18" i="10"/>
  <c r="TUS18" i="10"/>
  <c r="TWC18" i="10"/>
  <c r="TXM18" i="10"/>
  <c r="TZD18" i="10"/>
  <c r="UAL18" i="10"/>
  <c r="UBV18" i="10"/>
  <c r="UDM18" i="10"/>
  <c r="UEW18" i="10"/>
  <c r="UGF18" i="10"/>
  <c r="UHV18" i="10"/>
  <c r="UJF18" i="10"/>
  <c r="UKP18" i="10"/>
  <c r="UMG18" i="10"/>
  <c r="UNP18" i="10"/>
  <c r="UOZ18" i="10"/>
  <c r="UQP18" i="10"/>
  <c r="URZ18" i="10"/>
  <c r="UTI18" i="10"/>
  <c r="UUZ18" i="10"/>
  <c r="UWJ18" i="10"/>
  <c r="UXT18" i="10"/>
  <c r="UZF18" i="10"/>
  <c r="VAG18" i="10"/>
  <c r="VBH18" i="10"/>
  <c r="VCN18" i="10"/>
  <c r="VDI18" i="10"/>
  <c r="VEC18" i="10"/>
  <c r="VFA18" i="10"/>
  <c r="VFU18" i="10"/>
  <c r="VGO18" i="10"/>
  <c r="VHM18" i="10"/>
  <c r="VIG18" i="10"/>
  <c r="VJA18" i="10"/>
  <c r="VJY18" i="10"/>
  <c r="VKS18" i="10"/>
  <c r="VLM18" i="10"/>
  <c r="VMK18" i="10"/>
  <c r="VNE18" i="10"/>
  <c r="VNY18" i="10"/>
  <c r="VOS18" i="10"/>
  <c r="VPI18" i="10"/>
  <c r="VPY18" i="10"/>
  <c r="VQO18" i="10"/>
  <c r="VRE18" i="10"/>
  <c r="VRU18" i="10"/>
  <c r="VSK18" i="10"/>
  <c r="VTA18" i="10"/>
  <c r="VTQ18" i="10"/>
  <c r="VUG18" i="10"/>
  <c r="VUW18" i="10"/>
  <c r="VVM18" i="10"/>
  <c r="VWC18" i="10"/>
  <c r="VWS18" i="10"/>
  <c r="VXI18" i="10"/>
  <c r="VXY18" i="10"/>
  <c r="VYO18" i="10"/>
  <c r="VZE18" i="10"/>
  <c r="VZU18" i="10"/>
  <c r="WAK18" i="10"/>
  <c r="WBA18" i="10"/>
  <c r="WBQ18" i="10"/>
  <c r="WCG18" i="10"/>
  <c r="WCW18" i="10"/>
  <c r="WDM18" i="10"/>
  <c r="WEC18" i="10"/>
  <c r="WES18" i="10"/>
  <c r="WFI18" i="10"/>
  <c r="WFY18" i="10"/>
  <c r="WGO18" i="10"/>
  <c r="WHE18" i="10"/>
  <c r="WHU18" i="10"/>
  <c r="WIK18" i="10"/>
  <c r="WJA18" i="10"/>
  <c r="WJQ18" i="10"/>
  <c r="WKG18" i="10"/>
  <c r="WKW18" i="10"/>
  <c r="WLM18" i="10"/>
  <c r="WMC18" i="10"/>
  <c r="WMS18" i="10"/>
  <c r="WNI18" i="10"/>
  <c r="WNY18" i="10"/>
  <c r="WOO18" i="10"/>
  <c r="WPE18" i="10"/>
  <c r="WPU18" i="10"/>
  <c r="WQK18" i="10"/>
  <c r="WRA18" i="10"/>
  <c r="WRQ18" i="10"/>
  <c r="WSG18" i="10"/>
  <c r="WSW18" i="10"/>
  <c r="WTM18" i="10"/>
  <c r="WUC18" i="10"/>
  <c r="WUS18" i="10"/>
  <c r="WVI18" i="10"/>
  <c r="WVY18" i="10"/>
  <c r="WWO18" i="10"/>
  <c r="WXE18" i="10"/>
  <c r="WXU18" i="10"/>
  <c r="WYK18" i="10"/>
  <c r="WZA18" i="10"/>
  <c r="WZQ18" i="10"/>
  <c r="XAG18" i="10"/>
  <c r="XAW18" i="10"/>
  <c r="XBM18" i="10"/>
  <c r="XCC18" i="10"/>
  <c r="XCS18" i="10"/>
  <c r="XDI18" i="10"/>
  <c r="XDY18" i="10"/>
  <c r="XEO18" i="10"/>
  <c r="AO19" i="10"/>
  <c r="BE19" i="10"/>
  <c r="BU19" i="10"/>
  <c r="CK19" i="10"/>
  <c r="DA19" i="10"/>
  <c r="DQ19" i="10"/>
  <c r="EG19" i="10"/>
  <c r="EW19" i="10"/>
  <c r="FM19" i="10"/>
  <c r="GC19" i="10"/>
  <c r="GS19" i="10"/>
  <c r="HI19" i="10"/>
  <c r="HY19" i="10"/>
  <c r="IO19" i="10"/>
  <c r="JE19" i="10"/>
  <c r="JU19" i="10"/>
  <c r="KK19" i="10"/>
  <c r="LA19" i="10"/>
  <c r="LQ19" i="10"/>
  <c r="MG19" i="10"/>
  <c r="MW19" i="10"/>
  <c r="NM19" i="10"/>
  <c r="OC19" i="10"/>
  <c r="OS19" i="10"/>
  <c r="PI19" i="10"/>
  <c r="PY19" i="10"/>
  <c r="QO19" i="10"/>
  <c r="RE19" i="10"/>
  <c r="RU19" i="10"/>
  <c r="SK19" i="10"/>
  <c r="TA19" i="10"/>
  <c r="TQ19" i="10"/>
  <c r="UG19" i="10"/>
  <c r="UW19" i="10"/>
  <c r="VM19" i="10"/>
  <c r="WC19" i="10"/>
  <c r="WS19" i="10"/>
  <c r="XI19" i="10"/>
  <c r="XY19" i="10"/>
  <c r="YO19" i="10"/>
  <c r="ZE19" i="10"/>
  <c r="ZU19" i="10"/>
  <c r="AAK19" i="10"/>
  <c r="ABA19" i="10"/>
  <c r="ABQ19" i="10"/>
  <c r="ACG19" i="10"/>
  <c r="ACW19" i="10"/>
  <c r="ADM19" i="10"/>
  <c r="AEC19" i="10"/>
  <c r="AES19" i="10"/>
  <c r="AFI19" i="10"/>
  <c r="AFY19" i="10"/>
  <c r="AGO19" i="10"/>
  <c r="AHE19" i="10"/>
  <c r="AHU19" i="10"/>
  <c r="AIK19" i="10"/>
  <c r="AJA19" i="10"/>
  <c r="AJQ19" i="10"/>
  <c r="AKG19" i="10"/>
  <c r="AKW19" i="10"/>
  <c r="ALM19" i="10"/>
  <c r="AMC19" i="10"/>
  <c r="AMS19" i="10"/>
  <c r="ANI19" i="10"/>
  <c r="ANY19" i="10"/>
  <c r="AOO19" i="10"/>
  <c r="APE19" i="10"/>
  <c r="APU19" i="10"/>
  <c r="AQK19" i="10"/>
  <c r="ARA19" i="10"/>
  <c r="ARQ19" i="10"/>
  <c r="ASG19" i="10"/>
  <c r="ASW19" i="10"/>
  <c r="ATM19" i="10"/>
  <c r="AUC19" i="10"/>
  <c r="AUS19" i="10"/>
  <c r="AVI19" i="10"/>
  <c r="AVY19" i="10"/>
  <c r="AWO19" i="10"/>
  <c r="AXE19" i="10"/>
  <c r="AXU19" i="10"/>
  <c r="AYK19" i="10"/>
  <c r="TUL18" i="10"/>
  <c r="TVQ18" i="10"/>
  <c r="TWS18" i="10"/>
  <c r="TXU18" i="10"/>
  <c r="TYX18" i="10"/>
  <c r="TZZ18" i="10"/>
  <c r="UBB18" i="10"/>
  <c r="UCF18" i="10"/>
  <c r="UDH18" i="10"/>
  <c r="UEJ18" i="10"/>
  <c r="UFM18" i="10"/>
  <c r="UGO18" i="10"/>
  <c r="UHQ18" i="10"/>
  <c r="UIT18" i="10"/>
  <c r="UJV18" i="10"/>
  <c r="UKX18" i="10"/>
  <c r="UMB18" i="10"/>
  <c r="UND18" i="10"/>
  <c r="UOF18" i="10"/>
  <c r="UPI18" i="10"/>
  <c r="UQK18" i="10"/>
  <c r="URM18" i="10"/>
  <c r="USP18" i="10"/>
  <c r="UTR18" i="10"/>
  <c r="UUT18" i="10"/>
  <c r="UVX18" i="10"/>
  <c r="UWZ18" i="10"/>
  <c r="UYB18" i="10"/>
  <c r="UZB18" i="10"/>
  <c r="UZX18" i="10"/>
  <c r="VAS18" i="10"/>
  <c r="VBN18" i="10"/>
  <c r="VCJ18" i="10"/>
  <c r="VDB18" i="10"/>
  <c r="VDR18" i="10"/>
  <c r="VEH18" i="10"/>
  <c r="VEX18" i="10"/>
  <c r="VFN18" i="10"/>
  <c r="VGD18" i="10"/>
  <c r="VGT18" i="10"/>
  <c r="VHJ18" i="10"/>
  <c r="VHZ18" i="10"/>
  <c r="VIP18" i="10"/>
  <c r="VJF18" i="10"/>
  <c r="VJV18" i="10"/>
  <c r="VKL18" i="10"/>
  <c r="VLB18" i="10"/>
  <c r="VLR18" i="10"/>
  <c r="VMH18" i="10"/>
  <c r="VMX18" i="10"/>
  <c r="VNN18" i="10"/>
  <c r="VOD18" i="10"/>
  <c r="VOT18" i="10"/>
  <c r="VPJ18" i="10"/>
  <c r="VPZ18" i="10"/>
  <c r="VQP18" i="10"/>
  <c r="VRF18" i="10"/>
  <c r="VRV18" i="10"/>
  <c r="VSL18" i="10"/>
  <c r="VTB18" i="10"/>
  <c r="VTR18" i="10"/>
  <c r="VUH18" i="10"/>
  <c r="VUX18" i="10"/>
  <c r="VVN18" i="10"/>
  <c r="VWD18" i="10"/>
  <c r="VWT18" i="10"/>
  <c r="VXJ18" i="10"/>
  <c r="VXZ18" i="10"/>
  <c r="VYP18" i="10"/>
  <c r="VZF18" i="10"/>
  <c r="VZV18" i="10"/>
  <c r="WAL18" i="10"/>
  <c r="WBB18" i="10"/>
  <c r="WBR18" i="10"/>
  <c r="WCH18" i="10"/>
  <c r="WCX18" i="10"/>
  <c r="WDN18" i="10"/>
  <c r="WED18" i="10"/>
  <c r="WET18" i="10"/>
  <c r="WFJ18" i="10"/>
  <c r="WFZ18" i="10"/>
  <c r="WGP18" i="10"/>
  <c r="WHF18" i="10"/>
  <c r="WHV18" i="10"/>
  <c r="WIL18" i="10"/>
  <c r="WJB18" i="10"/>
  <c r="WJR18" i="10"/>
  <c r="WKH18" i="10"/>
  <c r="WKX18" i="10"/>
  <c r="WLN18" i="10"/>
  <c r="WMD18" i="10"/>
  <c r="WMT18" i="10"/>
  <c r="WNJ18" i="10"/>
  <c r="WNZ18" i="10"/>
  <c r="WOP18" i="10"/>
  <c r="WPF18" i="10"/>
  <c r="WPV18" i="10"/>
  <c r="WQL18" i="10"/>
  <c r="WRB18" i="10"/>
  <c r="WRR18" i="10"/>
  <c r="WSH18" i="10"/>
  <c r="WSX18" i="10"/>
  <c r="WTN18" i="10"/>
  <c r="WUD18" i="10"/>
  <c r="WUT18" i="10"/>
  <c r="WVJ18" i="10"/>
  <c r="WVZ18" i="10"/>
  <c r="WWP18" i="10"/>
  <c r="WXF18" i="10"/>
  <c r="WXV18" i="10"/>
  <c r="WYL18" i="10"/>
  <c r="WZB18" i="10"/>
  <c r="WZR18" i="10"/>
  <c r="XAH18" i="10"/>
  <c r="XAX18" i="10"/>
  <c r="XBN18" i="10"/>
  <c r="XCD18" i="10"/>
  <c r="XCT18" i="10"/>
  <c r="XDJ18" i="10"/>
  <c r="XDZ18" i="10"/>
  <c r="XEP18" i="10"/>
  <c r="AP19" i="10"/>
  <c r="BF19" i="10"/>
  <c r="BV19" i="10"/>
  <c r="CL19" i="10"/>
  <c r="DB19" i="10"/>
  <c r="DR19" i="10"/>
  <c r="EH19" i="10"/>
  <c r="EX19" i="10"/>
  <c r="FN19" i="10"/>
  <c r="GD19" i="10"/>
  <c r="GT19" i="10"/>
  <c r="HJ19" i="10"/>
  <c r="HZ19" i="10"/>
  <c r="IP19" i="10"/>
  <c r="JF19" i="10"/>
  <c r="JV19" i="10"/>
  <c r="KL19" i="10"/>
  <c r="LB19" i="10"/>
  <c r="LR19" i="10"/>
  <c r="MH19" i="10"/>
  <c r="MX19" i="10"/>
  <c r="NN19" i="10"/>
  <c r="OD19" i="10"/>
  <c r="OT19" i="10"/>
  <c r="PJ19" i="10"/>
  <c r="PZ19" i="10"/>
  <c r="QP19" i="10"/>
  <c r="RF19" i="10"/>
  <c r="RV19" i="10"/>
  <c r="SL19" i="10"/>
  <c r="TB19" i="10"/>
  <c r="TR19" i="10"/>
  <c r="UH19" i="10"/>
  <c r="UX19" i="10"/>
  <c r="VN19" i="10"/>
  <c r="WD19" i="10"/>
  <c r="WT19" i="10"/>
  <c r="XJ19" i="10"/>
  <c r="XZ19" i="10"/>
  <c r="YP19" i="10"/>
  <c r="ZF19" i="10"/>
  <c r="ZV19" i="10"/>
  <c r="AAL19" i="10"/>
  <c r="ABB19" i="10"/>
  <c r="ABR19" i="10"/>
  <c r="ACH19" i="10"/>
  <c r="ACX19" i="10"/>
  <c r="ADN19" i="10"/>
  <c r="AED19" i="10"/>
  <c r="AET19" i="10"/>
  <c r="AFJ19" i="10"/>
  <c r="AFZ19" i="10"/>
  <c r="AGP19" i="10"/>
  <c r="AHF19" i="10"/>
  <c r="AHV19" i="10"/>
  <c r="AIL19" i="10"/>
  <c r="AJB19" i="10"/>
  <c r="AJR19" i="10"/>
  <c r="AKH19" i="10"/>
  <c r="AKX19" i="10"/>
  <c r="ALN19" i="10"/>
  <c r="AMD19" i="10"/>
  <c r="AMT19" i="10"/>
  <c r="ANJ19" i="10"/>
  <c r="ANZ19" i="10"/>
  <c r="AOP19" i="10"/>
  <c r="APF19" i="10"/>
  <c r="APV19" i="10"/>
  <c r="AQL19" i="10"/>
  <c r="ARB19" i="10"/>
  <c r="ARR19" i="10"/>
  <c r="ASH19" i="10"/>
  <c r="ASX19" i="10"/>
  <c r="ATN19" i="10"/>
  <c r="AUD19" i="10"/>
  <c r="AUT19" i="10"/>
  <c r="AVJ19" i="10"/>
  <c r="AVZ19" i="10"/>
  <c r="AWP19" i="10"/>
  <c r="AXF19" i="10"/>
  <c r="AXV19" i="10"/>
  <c r="AYL19" i="10"/>
  <c r="AZB19" i="10"/>
  <c r="AZR19" i="10"/>
  <c r="BAH19" i="10"/>
  <c r="BAX19" i="10"/>
  <c r="BBN19" i="10"/>
  <c r="BCD19" i="10"/>
  <c r="BCT19" i="10"/>
  <c r="BDJ19" i="10"/>
  <c r="BDZ19" i="10"/>
  <c r="BEP19" i="10"/>
  <c r="TTU18" i="10"/>
  <c r="TVD18" i="10"/>
  <c r="TWG18" i="10"/>
  <c r="TXI18" i="10"/>
  <c r="TYK18" i="10"/>
  <c r="TZN18" i="10"/>
  <c r="UAP18" i="10"/>
  <c r="UBR18" i="10"/>
  <c r="UCV18" i="10"/>
  <c r="UDX18" i="10"/>
  <c r="UEZ18" i="10"/>
  <c r="UGC18" i="10"/>
  <c r="UHE18" i="10"/>
  <c r="UIG18" i="10"/>
  <c r="UJJ18" i="10"/>
  <c r="UKL18" i="10"/>
  <c r="ULN18" i="10"/>
  <c r="UMR18" i="10"/>
  <c r="UNT18" i="10"/>
  <c r="UOV18" i="10"/>
  <c r="UPY18" i="10"/>
  <c r="URA18" i="10"/>
  <c r="USC18" i="10"/>
  <c r="UTF18" i="10"/>
  <c r="UUH18" i="10"/>
  <c r="UVJ18" i="10"/>
  <c r="UWN18" i="10"/>
  <c r="UXP18" i="10"/>
  <c r="UYR18" i="10"/>
  <c r="UZN18" i="10"/>
  <c r="VAJ18" i="10"/>
  <c r="VBE18" i="10"/>
  <c r="VBZ18" i="10"/>
  <c r="VCU18" i="10"/>
  <c r="VDK18" i="10"/>
  <c r="VEA18" i="10"/>
  <c r="VEQ18" i="10"/>
  <c r="VFG18" i="10"/>
  <c r="VFW18" i="10"/>
  <c r="VGM18" i="10"/>
  <c r="VHC18" i="10"/>
  <c r="VHS18" i="10"/>
  <c r="VII18" i="10"/>
  <c r="VIY18" i="10"/>
  <c r="VJO18" i="10"/>
  <c r="VKE18" i="10"/>
  <c r="VKU18" i="10"/>
  <c r="VLK18" i="10"/>
  <c r="VMA18" i="10"/>
  <c r="VMQ18" i="10"/>
  <c r="VNG18" i="10"/>
  <c r="VNW18" i="10"/>
  <c r="VOM18" i="10"/>
  <c r="VPC18" i="10"/>
  <c r="VPS18" i="10"/>
  <c r="VQI18" i="10"/>
  <c r="VQY18" i="10"/>
  <c r="VRO18" i="10"/>
  <c r="VSE18" i="10"/>
  <c r="VSU18" i="10"/>
  <c r="VTK18" i="10"/>
  <c r="VUA18" i="10"/>
  <c r="VUQ18" i="10"/>
  <c r="VVG18" i="10"/>
  <c r="VVW18" i="10"/>
  <c r="VWM18" i="10"/>
  <c r="VXC18" i="10"/>
  <c r="VXS18" i="10"/>
  <c r="VYI18" i="10"/>
  <c r="VYY18" i="10"/>
  <c r="VZO18" i="10"/>
  <c r="WAE18" i="10"/>
  <c r="WAU18" i="10"/>
  <c r="WBK18" i="10"/>
  <c r="WCA18" i="10"/>
  <c r="WCQ18" i="10"/>
  <c r="WDG18" i="10"/>
  <c r="WDW18" i="10"/>
  <c r="WEM18" i="10"/>
  <c r="WFC18" i="10"/>
  <c r="WFS18" i="10"/>
  <c r="WGI18" i="10"/>
  <c r="WGY18" i="10"/>
  <c r="WHO18" i="10"/>
  <c r="WIE18" i="10"/>
  <c r="WIU18" i="10"/>
  <c r="WJK18" i="10"/>
  <c r="WKA18" i="10"/>
  <c r="WKQ18" i="10"/>
  <c r="WLG18" i="10"/>
  <c r="WLW18" i="10"/>
  <c r="WMM18" i="10"/>
  <c r="WNC18" i="10"/>
  <c r="WNS18" i="10"/>
  <c r="WOI18" i="10"/>
  <c r="WOY18" i="10"/>
  <c r="WPO18" i="10"/>
  <c r="WQE18" i="10"/>
  <c r="WQU18" i="10"/>
  <c r="WRK18" i="10"/>
  <c r="WSA18" i="10"/>
  <c r="WSQ18" i="10"/>
  <c r="WTG18" i="10"/>
  <c r="WTW18" i="10"/>
  <c r="WUM18" i="10"/>
  <c r="WVC18" i="10"/>
  <c r="WVS18" i="10"/>
  <c r="WWI18" i="10"/>
  <c r="WWY18" i="10"/>
  <c r="WXO18" i="10"/>
  <c r="WYE18" i="10"/>
  <c r="WYU18" i="10"/>
  <c r="WZK18" i="10"/>
  <c r="XAA18" i="10"/>
  <c r="XAQ18" i="10"/>
  <c r="XBG18" i="10"/>
  <c r="XBW18" i="10"/>
  <c r="XCM18" i="10"/>
  <c r="XDC18" i="10"/>
  <c r="XDS18" i="10"/>
  <c r="XEI18" i="10"/>
  <c r="AI19" i="10"/>
  <c r="AY19" i="10"/>
  <c r="BO19" i="10"/>
  <c r="CE19" i="10"/>
  <c r="CU19" i="10"/>
  <c r="DK19" i="10"/>
  <c r="EA19" i="10"/>
  <c r="EQ19" i="10"/>
  <c r="FG19" i="10"/>
  <c r="FW19" i="10"/>
  <c r="GM19" i="10"/>
  <c r="HC19" i="10"/>
  <c r="HS19" i="10"/>
  <c r="II19" i="10"/>
  <c r="IY19" i="10"/>
  <c r="JO19" i="10"/>
  <c r="KE19" i="10"/>
  <c r="KU19" i="10"/>
  <c r="LK19" i="10"/>
  <c r="MA19" i="10"/>
  <c r="MQ19" i="10"/>
  <c r="NG19" i="10"/>
  <c r="NW19" i="10"/>
  <c r="OM19" i="10"/>
  <c r="PC19" i="10"/>
  <c r="PS19" i="10"/>
  <c r="QI19" i="10"/>
  <c r="QY19" i="10"/>
  <c r="RO19" i="10"/>
  <c r="SE19" i="10"/>
  <c r="SU19" i="10"/>
  <c r="TK19" i="10"/>
  <c r="UA19" i="10"/>
  <c r="UQ19" i="10"/>
  <c r="VG19" i="10"/>
  <c r="VW19" i="10"/>
  <c r="WM19" i="10"/>
  <c r="XC19" i="10"/>
  <c r="XS19" i="10"/>
  <c r="YI19" i="10"/>
  <c r="YY19" i="10"/>
  <c r="ZO19" i="10"/>
  <c r="AAE19" i="10"/>
  <c r="AAU19" i="10"/>
  <c r="ABK19" i="10"/>
  <c r="ACA19" i="10"/>
  <c r="ACQ19" i="10"/>
  <c r="ADG19" i="10"/>
  <c r="ADW19" i="10"/>
  <c r="AEM19" i="10"/>
  <c r="AFC19" i="10"/>
  <c r="AFS19" i="10"/>
  <c r="AGI19" i="10"/>
  <c r="AGY19" i="10"/>
  <c r="AHO19" i="10"/>
  <c r="AIE19" i="10"/>
  <c r="AIU19" i="10"/>
  <c r="AJK19" i="10"/>
  <c r="AKA19" i="10"/>
  <c r="AKQ19" i="10"/>
  <c r="ALG19" i="10"/>
  <c r="ALW19" i="10"/>
  <c r="AMM19" i="10"/>
  <c r="ANC19" i="10"/>
  <c r="ANS19" i="10"/>
  <c r="AOI19" i="10"/>
  <c r="AOY19" i="10"/>
  <c r="APO19" i="10"/>
  <c r="AQE19" i="10"/>
  <c r="AQU19" i="10"/>
  <c r="ARK19" i="10"/>
  <c r="ASA19" i="10"/>
  <c r="ASQ19" i="10"/>
  <c r="ATG19" i="10"/>
  <c r="ATW19" i="10"/>
  <c r="AUM19" i="10"/>
  <c r="AVC19" i="10"/>
  <c r="AVS19" i="10"/>
  <c r="AWI19" i="10"/>
  <c r="AWY19" i="10"/>
  <c r="AXO19" i="10"/>
  <c r="AYE19" i="10"/>
  <c r="AYU19" i="10"/>
  <c r="AZK19" i="10"/>
  <c r="BAA19" i="10"/>
  <c r="BAQ19" i="10"/>
  <c r="BBG19" i="10"/>
  <c r="BBW19" i="10"/>
  <c r="BCM19" i="10"/>
  <c r="BDC19" i="10"/>
  <c r="BDS19" i="10"/>
  <c r="BEI19" i="10"/>
  <c r="BEY19" i="10"/>
  <c r="BFO19" i="10"/>
  <c r="BGE19" i="10"/>
  <c r="BGU19" i="10"/>
  <c r="BHK19" i="10"/>
  <c r="BIA19" i="10"/>
  <c r="BIQ19" i="10"/>
  <c r="BJG19" i="10"/>
  <c r="BJW19" i="10"/>
  <c r="BKM19" i="10"/>
  <c r="BLC19" i="10"/>
  <c r="BLS19" i="10"/>
  <c r="BMI19" i="10"/>
  <c r="BMY19" i="10"/>
  <c r="BNO19" i="10"/>
  <c r="BOE19" i="10"/>
  <c r="BOU19" i="10"/>
  <c r="BPK19" i="10"/>
  <c r="BQA19" i="10"/>
  <c r="BQQ19" i="10"/>
  <c r="BRG19" i="10"/>
  <c r="BRW19" i="10"/>
  <c r="BSM19" i="10"/>
  <c r="BTC19" i="10"/>
  <c r="BTS19" i="10"/>
  <c r="BUI19" i="10"/>
  <c r="BUY19" i="10"/>
  <c r="BVO19" i="10"/>
  <c r="BWE19" i="10"/>
  <c r="BWU19" i="10"/>
  <c r="BXK19" i="10"/>
  <c r="BYA19" i="10"/>
  <c r="BYQ19" i="10"/>
  <c r="BZG19" i="10"/>
  <c r="BZW19" i="10"/>
  <c r="CAM19" i="10"/>
  <c r="CBC19" i="10"/>
  <c r="CBS19" i="10"/>
  <c r="CCI19" i="10"/>
  <c r="CCY19" i="10"/>
  <c r="CDO19" i="10"/>
  <c r="CEE19" i="10"/>
  <c r="CEU19" i="10"/>
  <c r="CFK19" i="10"/>
  <c r="CGA19" i="10"/>
  <c r="CGQ19" i="10"/>
  <c r="CHG19" i="10"/>
  <c r="CHW19" i="10"/>
  <c r="CIM19" i="10"/>
  <c r="CJC19" i="10"/>
  <c r="CJS19" i="10"/>
  <c r="CKI19" i="10"/>
  <c r="CKY19" i="10"/>
  <c r="CLO19" i="10"/>
  <c r="CME19" i="10"/>
  <c r="CMU19" i="10"/>
  <c r="CNK19" i="10"/>
  <c r="COA19" i="10"/>
  <c r="COQ19" i="10"/>
  <c r="CPG19" i="10"/>
  <c r="CPW19" i="10"/>
  <c r="CQM19" i="10"/>
  <c r="CRC19" i="10"/>
  <c r="CRS19" i="10"/>
  <c r="CSI19" i="10"/>
  <c r="CSY19" i="10"/>
  <c r="CTO19" i="10"/>
  <c r="CUE19" i="10"/>
  <c r="CUU19" i="10"/>
  <c r="CVK19" i="10"/>
  <c r="CWA19" i="10"/>
  <c r="CWQ19" i="10"/>
  <c r="CXG19" i="10"/>
  <c r="CXW19" i="10"/>
  <c r="CYM19" i="10"/>
  <c r="CZC19" i="10"/>
  <c r="CZS19" i="10"/>
  <c r="DAI19" i="10"/>
  <c r="DAY19" i="10"/>
  <c r="DBO19" i="10"/>
  <c r="DCE19" i="10"/>
  <c r="DCU19" i="10"/>
  <c r="DDK19" i="10"/>
  <c r="DEA19" i="10"/>
  <c r="DEQ19" i="10"/>
  <c r="DFG19" i="10"/>
  <c r="DFW19" i="10"/>
  <c r="DGM19" i="10"/>
  <c r="DHC19" i="10"/>
  <c r="DHS19" i="10"/>
  <c r="DII19" i="10"/>
  <c r="DIY19" i="10"/>
  <c r="DJO19" i="10"/>
  <c r="DKE19" i="10"/>
  <c r="DKU19" i="10"/>
  <c r="DLK19" i="10"/>
  <c r="DMA19" i="10"/>
  <c r="DMQ19" i="10"/>
  <c r="DNG19" i="10"/>
  <c r="TUX18" i="10"/>
  <c r="TWB18" i="10"/>
  <c r="TXD18" i="10"/>
  <c r="TYF18" i="10"/>
  <c r="TZI18" i="10"/>
  <c r="UAK18" i="10"/>
  <c r="UBM18" i="10"/>
  <c r="UCP18" i="10"/>
  <c r="UDR18" i="10"/>
  <c r="UET18" i="10"/>
  <c r="UFX18" i="10"/>
  <c r="UGZ18" i="10"/>
  <c r="UIB18" i="10"/>
  <c r="UJE18" i="10"/>
  <c r="UKG18" i="10"/>
  <c r="ULI18" i="10"/>
  <c r="UML18" i="10"/>
  <c r="UNN18" i="10"/>
  <c r="UOP18" i="10"/>
  <c r="UPT18" i="10"/>
  <c r="UQV18" i="10"/>
  <c r="URX18" i="10"/>
  <c r="UTA18" i="10"/>
  <c r="UUC18" i="10"/>
  <c r="UVE18" i="10"/>
  <c r="UWH18" i="10"/>
  <c r="UXJ18" i="10"/>
  <c r="UYL18" i="10"/>
  <c r="UZJ18" i="10"/>
  <c r="VAF18" i="10"/>
  <c r="VBA18" i="10"/>
  <c r="VBV18" i="10"/>
  <c r="VCR18" i="10"/>
  <c r="VDH18" i="10"/>
  <c r="VDX18" i="10"/>
  <c r="VEN18" i="10"/>
  <c r="VFD18" i="10"/>
  <c r="VFT18" i="10"/>
  <c r="VGJ18" i="10"/>
  <c r="VGZ18" i="10"/>
  <c r="VHP18" i="10"/>
  <c r="VIF18" i="10"/>
  <c r="VIV18" i="10"/>
  <c r="VJL18" i="10"/>
  <c r="VKB18" i="10"/>
  <c r="VKR18" i="10"/>
  <c r="VLH18" i="10"/>
  <c r="VLX18" i="10"/>
  <c r="VMN18" i="10"/>
  <c r="VND18" i="10"/>
  <c r="VNT18" i="10"/>
  <c r="VOJ18" i="10"/>
  <c r="VOZ18" i="10"/>
  <c r="VPP18" i="10"/>
  <c r="VQF18" i="10"/>
  <c r="VQV18" i="10"/>
  <c r="VRL18" i="10"/>
  <c r="VSB18" i="10"/>
  <c r="VSR18" i="10"/>
  <c r="VTH18" i="10"/>
  <c r="VTX18" i="10"/>
  <c r="VUN18" i="10"/>
  <c r="VVD18" i="10"/>
  <c r="VVT18" i="10"/>
  <c r="VWJ18" i="10"/>
  <c r="VWZ18" i="10"/>
  <c r="VXP18" i="10"/>
  <c r="VYF18" i="10"/>
  <c r="VYV18" i="10"/>
  <c r="VZL18" i="10"/>
  <c r="WAB18" i="10"/>
  <c r="WAR18" i="10"/>
  <c r="WBH18" i="10"/>
  <c r="WBX18" i="10"/>
  <c r="WCN18" i="10"/>
  <c r="WDD18" i="10"/>
  <c r="WDT18" i="10"/>
  <c r="WEJ18" i="10"/>
  <c r="WEZ18" i="10"/>
  <c r="WFP18" i="10"/>
  <c r="WGF18" i="10"/>
  <c r="WGV18" i="10"/>
  <c r="WHL18" i="10"/>
  <c r="WIB18" i="10"/>
  <c r="WIR18" i="10"/>
  <c r="WJH18" i="10"/>
  <c r="WJX18" i="10"/>
  <c r="WKN18" i="10"/>
  <c r="WLD18" i="10"/>
  <c r="WLT18" i="10"/>
  <c r="WMJ18" i="10"/>
  <c r="WMZ18" i="10"/>
  <c r="WNP18" i="10"/>
  <c r="WOF18" i="10"/>
  <c r="WOV18" i="10"/>
  <c r="WPL18" i="10"/>
  <c r="WQB18" i="10"/>
  <c r="WQR18" i="10"/>
  <c r="WRH18" i="10"/>
  <c r="WRX18" i="10"/>
  <c r="WSN18" i="10"/>
  <c r="WTD18" i="10"/>
  <c r="WTT18" i="10"/>
  <c r="WUJ18" i="10"/>
  <c r="WUZ18" i="10"/>
  <c r="WVP18" i="10"/>
  <c r="WWF18" i="10"/>
  <c r="WWV18" i="10"/>
  <c r="WXL18" i="10"/>
  <c r="WYB18" i="10"/>
  <c r="WYR18" i="10"/>
  <c r="WZH18" i="10"/>
  <c r="WZX18" i="10"/>
  <c r="XAN18" i="10"/>
  <c r="XBD18" i="10"/>
  <c r="XBT18" i="10"/>
  <c r="XCJ18" i="10"/>
  <c r="XCZ18" i="10"/>
  <c r="XDP18" i="10"/>
  <c r="XEF18" i="10"/>
  <c r="AJ19" i="10"/>
  <c r="AZ19" i="10"/>
  <c r="BP19" i="10"/>
  <c r="CF19" i="10"/>
  <c r="CV19" i="10"/>
  <c r="DL19" i="10"/>
  <c r="EB19" i="10"/>
  <c r="ER19" i="10"/>
  <c r="FH19" i="10"/>
  <c r="FX19" i="10"/>
  <c r="GN19" i="10"/>
  <c r="HD19" i="10"/>
  <c r="HT19" i="10"/>
  <c r="IJ19" i="10"/>
  <c r="IZ19" i="10"/>
  <c r="JP19" i="10"/>
  <c r="KF19" i="10"/>
  <c r="KV19" i="10"/>
  <c r="LL19" i="10"/>
  <c r="MB19" i="10"/>
  <c r="MR19" i="10"/>
  <c r="NH19" i="10"/>
  <c r="NX19" i="10"/>
  <c r="ON19" i="10"/>
  <c r="PD19" i="10"/>
  <c r="PT19" i="10"/>
  <c r="QJ19" i="10"/>
  <c r="QZ19" i="10"/>
  <c r="RP19" i="10"/>
  <c r="SF19" i="10"/>
  <c r="SV19" i="10"/>
  <c r="TL19" i="10"/>
  <c r="UB19" i="10"/>
  <c r="UR19" i="10"/>
  <c r="VH19" i="10"/>
  <c r="VX19" i="10"/>
  <c r="WN19" i="10"/>
  <c r="XD19" i="10"/>
  <c r="XT19" i="10"/>
  <c r="YJ19" i="10"/>
  <c r="YZ19" i="10"/>
  <c r="ZP19" i="10"/>
  <c r="AAF19" i="10"/>
  <c r="AAV19" i="10"/>
  <c r="ABL19" i="10"/>
  <c r="ACB19" i="10"/>
  <c r="ACR19" i="10"/>
  <c r="ADH19" i="10"/>
  <c r="ADX19" i="10"/>
  <c r="AEN19" i="10"/>
  <c r="AGB19" i="10"/>
  <c r="AIN19" i="10"/>
  <c r="AKZ19" i="10"/>
  <c r="ANL19" i="10"/>
  <c r="APX19" i="10"/>
  <c r="ASJ19" i="10"/>
  <c r="AUV19" i="10"/>
  <c r="AXH19" i="10"/>
  <c r="AZE19" i="10"/>
  <c r="BAK19" i="10"/>
  <c r="BBQ19" i="10"/>
  <c r="BCW19" i="10"/>
  <c r="BEC19" i="10"/>
  <c r="BFH19" i="10"/>
  <c r="BGC19" i="10"/>
  <c r="BGX19" i="10"/>
  <c r="BHT19" i="10"/>
  <c r="BIO19" i="10"/>
  <c r="BJJ19" i="10"/>
  <c r="BKF19" i="10"/>
  <c r="BLA19" i="10"/>
  <c r="BLV19" i="10"/>
  <c r="BMR19" i="10"/>
  <c r="BNM19" i="10"/>
  <c r="BOH19" i="10"/>
  <c r="BPD19" i="10"/>
  <c r="BPY19" i="10"/>
  <c r="BQT19" i="10"/>
  <c r="BRP19" i="10"/>
  <c r="BSK19" i="10"/>
  <c r="BTF19" i="10"/>
  <c r="BUB19" i="10"/>
  <c r="BUW19" i="10"/>
  <c r="BVR19" i="10"/>
  <c r="BWN19" i="10"/>
  <c r="BXI19" i="10"/>
  <c r="BYD19" i="10"/>
  <c r="BYZ19" i="10"/>
  <c r="BZU19" i="10"/>
  <c r="CAP19" i="10"/>
  <c r="CBL19" i="10"/>
  <c r="CCG19" i="10"/>
  <c r="CDB19" i="10"/>
  <c r="CDX19" i="10"/>
  <c r="CES19" i="10"/>
  <c r="CFN19" i="10"/>
  <c r="CGJ19" i="10"/>
  <c r="CHE19" i="10"/>
  <c r="CHZ19" i="10"/>
  <c r="CIV19" i="10"/>
  <c r="CJQ19" i="10"/>
  <c r="CKL19" i="10"/>
  <c r="CLH19" i="10"/>
  <c r="CMC19" i="10"/>
  <c r="CMX19" i="10"/>
  <c r="CNT19" i="10"/>
  <c r="COO19" i="10"/>
  <c r="CPJ19" i="10"/>
  <c r="CQF19" i="10"/>
  <c r="CRA19" i="10"/>
  <c r="CRV19" i="10"/>
  <c r="CSR19" i="10"/>
  <c r="CTM19" i="10"/>
  <c r="CUH19" i="10"/>
  <c r="CVD19" i="10"/>
  <c r="CVY19" i="10"/>
  <c r="CWT19" i="10"/>
  <c r="CXP19" i="10"/>
  <c r="CYK19" i="10"/>
  <c r="CZF19" i="10"/>
  <c r="DAB19" i="10"/>
  <c r="DAW19" i="10"/>
  <c r="DBR19" i="10"/>
  <c r="DCN19" i="10"/>
  <c r="DDI19" i="10"/>
  <c r="DED19" i="10"/>
  <c r="DEZ19" i="10"/>
  <c r="DFU19" i="10"/>
  <c r="DGP19" i="10"/>
  <c r="DHL19" i="10"/>
  <c r="DIG19" i="10"/>
  <c r="DJB19" i="10"/>
  <c r="DJX19" i="10"/>
  <c r="DKS19" i="10"/>
  <c r="DLN19" i="10"/>
  <c r="DMJ19" i="10"/>
  <c r="DNE19" i="10"/>
  <c r="DNV19" i="10"/>
  <c r="DOL19" i="10"/>
  <c r="DPB19" i="10"/>
  <c r="DPR19" i="10"/>
  <c r="DQH19" i="10"/>
  <c r="DQX19" i="10"/>
  <c r="DRN19" i="10"/>
  <c r="DSD19" i="10"/>
  <c r="DST19" i="10"/>
  <c r="DTJ19" i="10"/>
  <c r="DTZ19" i="10"/>
  <c r="DUP19" i="10"/>
  <c r="DVF19" i="10"/>
  <c r="DVV19" i="10"/>
  <c r="DWL19" i="10"/>
  <c r="DXB19" i="10"/>
  <c r="DXR19" i="10"/>
  <c r="DYH19" i="10"/>
  <c r="DYX19" i="10"/>
  <c r="DZN19" i="10"/>
  <c r="EAD19" i="10"/>
  <c r="EAT19" i="10"/>
  <c r="EBJ19" i="10"/>
  <c r="EBZ19" i="10"/>
  <c r="ECP19" i="10"/>
  <c r="EDF19" i="10"/>
  <c r="EDV19" i="10"/>
  <c r="EEL19" i="10"/>
  <c r="EFB19" i="10"/>
  <c r="EFR19" i="10"/>
  <c r="EGH19" i="10"/>
  <c r="EGX19" i="10"/>
  <c r="EHN19" i="10"/>
  <c r="EID19" i="10"/>
  <c r="EIT19" i="10"/>
  <c r="EJJ19" i="10"/>
  <c r="EJZ19" i="10"/>
  <c r="EKP19" i="10"/>
  <c r="ELF19" i="10"/>
  <c r="ELV19" i="10"/>
  <c r="EML19" i="10"/>
  <c r="ENB19" i="10"/>
  <c r="ENR19" i="10"/>
  <c r="EOH19" i="10"/>
  <c r="EOX19" i="10"/>
  <c r="EPN19" i="10"/>
  <c r="EQD19" i="10"/>
  <c r="EQT19" i="10"/>
  <c r="ERJ19" i="10"/>
  <c r="ERZ19" i="10"/>
  <c r="ESP19" i="10"/>
  <c r="ETF19" i="10"/>
  <c r="ETV19" i="10"/>
  <c r="EUL19" i="10"/>
  <c r="EVB19" i="10"/>
  <c r="EVR19" i="10"/>
  <c r="EWH19" i="10"/>
  <c r="EWX19" i="10"/>
  <c r="EXN19" i="10"/>
  <c r="EYD19" i="10"/>
  <c r="EYT19" i="10"/>
  <c r="EZJ19" i="10"/>
  <c r="EZZ19" i="10"/>
  <c r="FAP19" i="10"/>
  <c r="FBF19" i="10"/>
  <c r="FBV19" i="10"/>
  <c r="FCL19" i="10"/>
  <c r="FDB19" i="10"/>
  <c r="FDR19" i="10"/>
  <c r="FEH19" i="10"/>
  <c r="FEX19" i="10"/>
  <c r="FFN19" i="10"/>
  <c r="FGD19" i="10"/>
  <c r="FGT19" i="10"/>
  <c r="FHJ19" i="10"/>
  <c r="FHZ19" i="10"/>
  <c r="FIP19" i="10"/>
  <c r="FJF19" i="10"/>
  <c r="FJV19" i="10"/>
  <c r="FKL19" i="10"/>
  <c r="FLB19" i="10"/>
  <c r="FLR19" i="10"/>
  <c r="FMH19" i="10"/>
  <c r="FMX19" i="10"/>
  <c r="FNN19" i="10"/>
  <c r="FOD19" i="10"/>
  <c r="FOT19" i="10"/>
  <c r="FPJ19" i="10"/>
  <c r="FPZ19" i="10"/>
  <c r="FQP19" i="10"/>
  <c r="FRF19" i="10"/>
  <c r="FRV19" i="10"/>
  <c r="FSL19" i="10"/>
  <c r="FTB19" i="10"/>
  <c r="FTR19" i="10"/>
  <c r="FUH19" i="10"/>
  <c r="FUX19" i="10"/>
  <c r="FVN19" i="10"/>
  <c r="FWD19" i="10"/>
  <c r="FWT19" i="10"/>
  <c r="FXJ19" i="10"/>
  <c r="FXZ19" i="10"/>
  <c r="FYP19" i="10"/>
  <c r="FZF19" i="10"/>
  <c r="FZV19" i="10"/>
  <c r="GAL19" i="10"/>
  <c r="GBB19" i="10"/>
  <c r="GBR19" i="10"/>
  <c r="GCH19" i="10"/>
  <c r="GCX19" i="10"/>
  <c r="GDN19" i="10"/>
  <c r="GED19" i="10"/>
  <c r="GET19" i="10"/>
  <c r="GFJ19" i="10"/>
  <c r="GFZ19" i="10"/>
  <c r="GGP19" i="10"/>
  <c r="GHF19" i="10"/>
  <c r="GHV19" i="10"/>
  <c r="GIL19" i="10"/>
  <c r="GJB19" i="10"/>
  <c r="GJR19" i="10"/>
  <c r="GKH19" i="10"/>
  <c r="GKX19" i="10"/>
  <c r="GLN19" i="10"/>
  <c r="GMD19" i="10"/>
  <c r="GMT19" i="10"/>
  <c r="GNJ19" i="10"/>
  <c r="GNZ19" i="10"/>
  <c r="GOP19" i="10"/>
  <c r="GPF19" i="10"/>
  <c r="GPV19" i="10"/>
  <c r="GQL19" i="10"/>
  <c r="GRB19" i="10"/>
  <c r="GRR19" i="10"/>
  <c r="GSH19" i="10"/>
  <c r="GSX19" i="10"/>
  <c r="GTN19" i="10"/>
  <c r="GUD19" i="10"/>
  <c r="GUT19" i="10"/>
  <c r="GVJ19" i="10"/>
  <c r="GVZ19" i="10"/>
  <c r="GWP19" i="10"/>
  <c r="GXF19" i="10"/>
  <c r="GXV19" i="10"/>
  <c r="GYL19" i="10"/>
  <c r="GZB19" i="10"/>
  <c r="GZR19" i="10"/>
  <c r="HAH19" i="10"/>
  <c r="HAX19" i="10"/>
  <c r="HBN19" i="10"/>
  <c r="HCD19" i="10"/>
  <c r="HCT19" i="10"/>
  <c r="HDJ19" i="10"/>
  <c r="HDZ19" i="10"/>
  <c r="HEP19" i="10"/>
  <c r="AEZ19" i="10"/>
  <c r="AHL19" i="10"/>
  <c r="AJX19" i="10"/>
  <c r="AMJ19" i="10"/>
  <c r="AOV19" i="10"/>
  <c r="ARH19" i="10"/>
  <c r="ATT19" i="10"/>
  <c r="AWF19" i="10"/>
  <c r="AYR19" i="10"/>
  <c r="AZX19" i="10"/>
  <c r="BBD19" i="10"/>
  <c r="BCJ19" i="10"/>
  <c r="BDP19" i="10"/>
  <c r="BEV19" i="10"/>
  <c r="BFT19" i="10"/>
  <c r="BGO19" i="10"/>
  <c r="BHJ19" i="10"/>
  <c r="BIF19" i="10"/>
  <c r="BJA19" i="10"/>
  <c r="BJV19" i="10"/>
  <c r="BKR19" i="10"/>
  <c r="BLM19" i="10"/>
  <c r="BMH19" i="10"/>
  <c r="BND19" i="10"/>
  <c r="BNY19" i="10"/>
  <c r="BOT19" i="10"/>
  <c r="BPP19" i="10"/>
  <c r="BQK19" i="10"/>
  <c r="BRF19" i="10"/>
  <c r="BSB19" i="10"/>
  <c r="BSW19" i="10"/>
  <c r="BTR19" i="10"/>
  <c r="BUN19" i="10"/>
  <c r="BVI19" i="10"/>
  <c r="BWD19" i="10"/>
  <c r="BWZ19" i="10"/>
  <c r="BXU19" i="10"/>
  <c r="BYP19" i="10"/>
  <c r="BZL19" i="10"/>
  <c r="CAG19" i="10"/>
  <c r="CBB19" i="10"/>
  <c r="CBX19" i="10"/>
  <c r="CCS19" i="10"/>
  <c r="CDN19" i="10"/>
  <c r="CEJ19" i="10"/>
  <c r="CFE19" i="10"/>
  <c r="CFZ19" i="10"/>
  <c r="CGV19" i="10"/>
  <c r="CHQ19" i="10"/>
  <c r="CIL19" i="10"/>
  <c r="CJH19" i="10"/>
  <c r="CKC19" i="10"/>
  <c r="CKX19" i="10"/>
  <c r="CLT19" i="10"/>
  <c r="CMO19" i="10"/>
  <c r="CNJ19" i="10"/>
  <c r="COF19" i="10"/>
  <c r="CPA19" i="10"/>
  <c r="CPV19" i="10"/>
  <c r="CQR19" i="10"/>
  <c r="CRM19" i="10"/>
  <c r="CSH19" i="10"/>
  <c r="CTD19" i="10"/>
  <c r="CTY19" i="10"/>
  <c r="CUT19" i="10"/>
  <c r="CVP19" i="10"/>
  <c r="CWK19" i="10"/>
  <c r="CXF19" i="10"/>
  <c r="CYB19" i="10"/>
  <c r="CYW19" i="10"/>
  <c r="CZR19" i="10"/>
  <c r="DAN19" i="10"/>
  <c r="DBI19" i="10"/>
  <c r="DCD19" i="10"/>
  <c r="DCZ19" i="10"/>
  <c r="DDU19" i="10"/>
  <c r="DEP19" i="10"/>
  <c r="DFL19" i="10"/>
  <c r="DGG19" i="10"/>
  <c r="DHB19" i="10"/>
  <c r="DHX19" i="10"/>
  <c r="DIS19" i="10"/>
  <c r="DJN19" i="10"/>
  <c r="DKJ19" i="10"/>
  <c r="DLE19" i="10"/>
  <c r="DJT19" i="10"/>
  <c r="DMF19" i="10"/>
  <c r="DNS19" i="10"/>
  <c r="DOY19" i="10"/>
  <c r="DQE19" i="10"/>
  <c r="DRG19" i="10"/>
  <c r="DSA19" i="10"/>
  <c r="DSU19" i="10"/>
  <c r="DTS19" i="10"/>
  <c r="DUM19" i="10"/>
  <c r="DVG19" i="10"/>
  <c r="DWE19" i="10"/>
  <c r="DWY19" i="10"/>
  <c r="DXS19" i="10"/>
  <c r="DYQ19" i="10"/>
  <c r="DZK19" i="10"/>
  <c r="EAE19" i="10"/>
  <c r="EBC19" i="10"/>
  <c r="EBW19" i="10"/>
  <c r="ECQ19" i="10"/>
  <c r="EDO19" i="10"/>
  <c r="EEI19" i="10"/>
  <c r="EFC19" i="10"/>
  <c r="EGA19" i="10"/>
  <c r="EGU19" i="10"/>
  <c r="EHO19" i="10"/>
  <c r="EIM19" i="10"/>
  <c r="EJG19" i="10"/>
  <c r="EKA19" i="10"/>
  <c r="EKY19" i="10"/>
  <c r="ELS19" i="10"/>
  <c r="EMM19" i="10"/>
  <c r="ENK19" i="10"/>
  <c r="EOE19" i="10"/>
  <c r="EOY19" i="10"/>
  <c r="EPW19" i="10"/>
  <c r="EQQ19" i="10"/>
  <c r="ERK19" i="10"/>
  <c r="ESI19" i="10"/>
  <c r="ETC19" i="10"/>
  <c r="ETW19" i="10"/>
  <c r="EUU19" i="10"/>
  <c r="EVO19" i="10"/>
  <c r="EWI19" i="10"/>
  <c r="EXG19" i="10"/>
  <c r="EYA19" i="10"/>
  <c r="EYU19" i="10"/>
  <c r="EZS19" i="10"/>
  <c r="FAM19" i="10"/>
  <c r="FBG19" i="10"/>
  <c r="FCE19" i="10"/>
  <c r="FCY19" i="10"/>
  <c r="FDS19" i="10"/>
  <c r="FEQ19" i="10"/>
  <c r="FFK19" i="10"/>
  <c r="FGE19" i="10"/>
  <c r="FHC19" i="10"/>
  <c r="FHW19" i="10"/>
  <c r="FIQ19" i="10"/>
  <c r="FJO19" i="10"/>
  <c r="FKI19" i="10"/>
  <c r="FLC19" i="10"/>
  <c r="FMA19" i="10"/>
  <c r="FMU19" i="10"/>
  <c r="FNO19" i="10"/>
  <c r="FOM19" i="10"/>
  <c r="FPG19" i="10"/>
  <c r="FQA19" i="10"/>
  <c r="FQY19" i="10"/>
  <c r="FRS19" i="10"/>
  <c r="FSM19" i="10"/>
  <c r="FTK19" i="10"/>
  <c r="FUE19" i="10"/>
  <c r="FUY19" i="10"/>
  <c r="FVW19" i="10"/>
  <c r="FWQ19" i="10"/>
  <c r="FXK19" i="10"/>
  <c r="FYI19" i="10"/>
  <c r="FZC19" i="10"/>
  <c r="FZW19" i="10"/>
  <c r="GAU19" i="10"/>
  <c r="GBO19" i="10"/>
  <c r="GCI19" i="10"/>
  <c r="GDG19" i="10"/>
  <c r="GEA19" i="10"/>
  <c r="GEU19" i="10"/>
  <c r="GFS19" i="10"/>
  <c r="GGM19" i="10"/>
  <c r="GHG19" i="10"/>
  <c r="GIE19" i="10"/>
  <c r="GIY19" i="10"/>
  <c r="GJS19" i="10"/>
  <c r="GKQ19" i="10"/>
  <c r="GLK19" i="10"/>
  <c r="GME19" i="10"/>
  <c r="GNC19" i="10"/>
  <c r="GNW19" i="10"/>
  <c r="GOQ19" i="10"/>
  <c r="GPO19" i="10"/>
  <c r="GQI19" i="10"/>
  <c r="GRC19" i="10"/>
  <c r="GSA19" i="10"/>
  <c r="GSU19" i="10"/>
  <c r="GTO19" i="10"/>
  <c r="GUM19" i="10"/>
  <c r="GVG19" i="10"/>
  <c r="GWA19" i="10"/>
  <c r="GWY19" i="10"/>
  <c r="GXS19" i="10"/>
  <c r="GYM19" i="10"/>
  <c r="GZK19" i="10"/>
  <c r="HAE19" i="10"/>
  <c r="HAY19" i="10"/>
  <c r="HBW19" i="10"/>
  <c r="HCQ19" i="10"/>
  <c r="HDK19" i="10"/>
  <c r="HEI19" i="10"/>
  <c r="HFC19" i="10"/>
  <c r="AHP19" i="10"/>
  <c r="ALH19" i="10"/>
  <c r="AOJ19" i="10"/>
  <c r="ARL19" i="10"/>
  <c r="AVD19" i="10"/>
  <c r="AYF19" i="10"/>
  <c r="AZY19" i="10"/>
  <c r="BBU19" i="10"/>
  <c r="BDI19" i="10"/>
  <c r="BEW19" i="10"/>
  <c r="BGF19" i="10"/>
  <c r="BHF19" i="10"/>
  <c r="BIG19" i="10"/>
  <c r="BJM19" i="10"/>
  <c r="BKN19" i="10"/>
  <c r="BLN19" i="10"/>
  <c r="BMT19" i="10"/>
  <c r="BNU19" i="10"/>
  <c r="BOV19" i="10"/>
  <c r="BQB19" i="10"/>
  <c r="BRB19" i="10"/>
  <c r="BSC19" i="10"/>
  <c r="BTI19" i="10"/>
  <c r="BUJ19" i="10"/>
  <c r="BVJ19" i="10"/>
  <c r="BWP19" i="10"/>
  <c r="BXQ19" i="10"/>
  <c r="BYR19" i="10"/>
  <c r="BZX19" i="10"/>
  <c r="CAX19" i="10"/>
  <c r="CBY19" i="10"/>
  <c r="CDE19" i="10"/>
  <c r="CEF19" i="10"/>
  <c r="CFF19" i="10"/>
  <c r="CGL19" i="10"/>
  <c r="CHM19" i="10"/>
  <c r="CIN19" i="10"/>
  <c r="CJT19" i="10"/>
  <c r="CKT19" i="10"/>
  <c r="CLU19" i="10"/>
  <c r="CNA19" i="10"/>
  <c r="COB19" i="10"/>
  <c r="CPB19" i="10"/>
  <c r="CQH19" i="10"/>
  <c r="CRI19" i="10"/>
  <c r="CSJ19" i="10"/>
  <c r="CTP19" i="10"/>
  <c r="CUP19" i="10"/>
  <c r="CVQ19" i="10"/>
  <c r="CWW19" i="10"/>
  <c r="CXX19" i="10"/>
  <c r="CYX19" i="10"/>
  <c r="DAD19" i="10"/>
  <c r="DBE19" i="10"/>
  <c r="DCF19" i="10"/>
  <c r="DDL19" i="10"/>
  <c r="DEL19" i="10"/>
  <c r="DFM19" i="10"/>
  <c r="DGS19" i="10"/>
  <c r="DHT19" i="10"/>
  <c r="DIT19" i="10"/>
  <c r="DJZ19" i="10"/>
  <c r="DLA19" i="10"/>
  <c r="DMB19" i="10"/>
  <c r="DNH19" i="10"/>
  <c r="DOB19" i="10"/>
  <c r="DOV19" i="10"/>
  <c r="DPT19" i="10"/>
  <c r="DQN19" i="10"/>
  <c r="DRH19" i="10"/>
  <c r="DSF19" i="10"/>
  <c r="DSZ19" i="10"/>
  <c r="DTT19" i="10"/>
  <c r="DUR19" i="10"/>
  <c r="DVL19" i="10"/>
  <c r="DWF19" i="10"/>
  <c r="DXD19" i="10"/>
  <c r="DXX19" i="10"/>
  <c r="DYR19" i="10"/>
  <c r="DZP19" i="10"/>
  <c r="EAJ19" i="10"/>
  <c r="EBD19" i="10"/>
  <c r="ECB19" i="10"/>
  <c r="ECV19" i="10"/>
  <c r="EDP19" i="10"/>
  <c r="EEN19" i="10"/>
  <c r="EFH19" i="10"/>
  <c r="EGB19" i="10"/>
  <c r="EGZ19" i="10"/>
  <c r="EHT19" i="10"/>
  <c r="EIN19" i="10"/>
  <c r="EJL19" i="10"/>
  <c r="EKF19" i="10"/>
  <c r="EKZ19" i="10"/>
  <c r="ELX19" i="10"/>
  <c r="EMR19" i="10"/>
  <c r="ENL19" i="10"/>
  <c r="EOJ19" i="10"/>
  <c r="EPD19" i="10"/>
  <c r="EPX19" i="10"/>
  <c r="EQV19" i="10"/>
  <c r="ERP19" i="10"/>
  <c r="ESJ19" i="10"/>
  <c r="ETH19" i="10"/>
  <c r="EUB19" i="10"/>
  <c r="EUV19" i="10"/>
  <c r="EVT19" i="10"/>
  <c r="EWN19" i="10"/>
  <c r="EXH19" i="10"/>
  <c r="EYF19" i="10"/>
  <c r="EYZ19" i="10"/>
  <c r="EZT19" i="10"/>
  <c r="FAR19" i="10"/>
  <c r="FBL19" i="10"/>
  <c r="FCF19" i="10"/>
  <c r="FDD19" i="10"/>
  <c r="FDX19" i="10"/>
  <c r="FER19" i="10"/>
  <c r="FFP19" i="10"/>
  <c r="FGJ19" i="10"/>
  <c r="FHD19" i="10"/>
  <c r="FIB19" i="10"/>
  <c r="FIV19" i="10"/>
  <c r="FJP19" i="10"/>
  <c r="FKN19" i="10"/>
  <c r="FLH19" i="10"/>
  <c r="FMB19" i="10"/>
  <c r="FMZ19" i="10"/>
  <c r="FNT19" i="10"/>
  <c r="FON19" i="10"/>
  <c r="FPL19" i="10"/>
  <c r="FQF19" i="10"/>
  <c r="FQZ19" i="10"/>
  <c r="FRX19" i="10"/>
  <c r="FSR19" i="10"/>
  <c r="FTL19" i="10"/>
  <c r="FUJ19" i="10"/>
  <c r="FVD19" i="10"/>
  <c r="FVX19" i="10"/>
  <c r="FWV19" i="10"/>
  <c r="FXP19" i="10"/>
  <c r="FYJ19" i="10"/>
  <c r="FZH19" i="10"/>
  <c r="GAB19" i="10"/>
  <c r="GAV19" i="10"/>
  <c r="GBT19" i="10"/>
  <c r="GCN19" i="10"/>
  <c r="GDH19" i="10"/>
  <c r="GEF19" i="10"/>
  <c r="GEZ19" i="10"/>
  <c r="GFT19" i="10"/>
  <c r="GGR19" i="10"/>
  <c r="GHL19" i="10"/>
  <c r="GIF19" i="10"/>
  <c r="GJD19" i="10"/>
  <c r="GJX19" i="10"/>
  <c r="GKR19" i="10"/>
  <c r="GLP19" i="10"/>
  <c r="GMJ19" i="10"/>
  <c r="GND19" i="10"/>
  <c r="GOB19" i="10"/>
  <c r="GOV19" i="10"/>
  <c r="GPP19" i="10"/>
  <c r="GQN19" i="10"/>
  <c r="GRH19" i="10"/>
  <c r="GSB19" i="10"/>
  <c r="GSZ19" i="10"/>
  <c r="GTT19" i="10"/>
  <c r="GUN19" i="10"/>
  <c r="GVL19" i="10"/>
  <c r="GWF19" i="10"/>
  <c r="GWZ19" i="10"/>
  <c r="GXX19" i="10"/>
  <c r="GYR19" i="10"/>
  <c r="GZL19" i="10"/>
  <c r="HAJ19" i="10"/>
  <c r="HBD19" i="10"/>
  <c r="HBX19" i="10"/>
  <c r="HCV19" i="10"/>
  <c r="HDP19" i="10"/>
  <c r="HEJ19" i="10"/>
  <c r="HFH19" i="10"/>
  <c r="HGB19" i="10"/>
  <c r="HGV19" i="10"/>
  <c r="HHT19" i="10"/>
  <c r="HIN19" i="10"/>
  <c r="HJH19" i="10"/>
  <c r="HKF19" i="10"/>
  <c r="HKZ19" i="10"/>
  <c r="HLT19" i="10"/>
  <c r="HMR19" i="10"/>
  <c r="HNL19" i="10"/>
  <c r="HOF19" i="10"/>
  <c r="HPD19" i="10"/>
  <c r="HPX19" i="10"/>
  <c r="HQR19" i="10"/>
  <c r="HRP19" i="10"/>
  <c r="HSJ19" i="10"/>
  <c r="HTD19" i="10"/>
  <c r="HUB19" i="10"/>
  <c r="HUV19" i="10"/>
  <c r="HVP19" i="10"/>
  <c r="HWN19" i="10"/>
  <c r="HXH19" i="10"/>
  <c r="HYB19" i="10"/>
  <c r="HYZ19" i="10"/>
  <c r="HZT19" i="10"/>
  <c r="IAN19" i="10"/>
  <c r="IBL19" i="10"/>
  <c r="ICF19" i="10"/>
  <c r="ICZ19" i="10"/>
  <c r="IDX19" i="10"/>
  <c r="IER19" i="10"/>
  <c r="IFL19" i="10"/>
  <c r="IGJ19" i="10"/>
  <c r="IHD19" i="10"/>
  <c r="IHX19" i="10"/>
  <c r="IIV19" i="10"/>
  <c r="IJP19" i="10"/>
  <c r="IKJ19" i="10"/>
  <c r="ILH19" i="10"/>
  <c r="IMB19" i="10"/>
  <c r="IMV19" i="10"/>
  <c r="INT19" i="10"/>
  <c r="ION19" i="10"/>
  <c r="IPH19" i="10"/>
  <c r="IQF19" i="10"/>
  <c r="IQZ19" i="10"/>
  <c r="IRT19" i="10"/>
  <c r="ISR19" i="10"/>
  <c r="ITL19" i="10"/>
  <c r="IUF19" i="10"/>
  <c r="IVD19" i="10"/>
  <c r="IVX19" i="10"/>
  <c r="IWR19" i="10"/>
  <c r="IXP19" i="10"/>
  <c r="IYJ19" i="10"/>
  <c r="IZD19" i="10"/>
  <c r="JAB19" i="10"/>
  <c r="JAV19" i="10"/>
  <c r="JBP19" i="10"/>
  <c r="JCN19" i="10"/>
  <c r="JDH19" i="10"/>
  <c r="JEB19" i="10"/>
  <c r="JEZ19" i="10"/>
  <c r="JFT19" i="10"/>
  <c r="JGN19" i="10"/>
  <c r="JHL19" i="10"/>
  <c r="JIF19" i="10"/>
  <c r="JIZ19" i="10"/>
  <c r="JJX19" i="10"/>
  <c r="JKR19" i="10"/>
  <c r="JLL19" i="10"/>
  <c r="JMJ19" i="10"/>
  <c r="JND19" i="10"/>
  <c r="JNX19" i="10"/>
  <c r="AIJ19" i="10"/>
  <c r="ALL19" i="10"/>
  <c r="AON19" i="10"/>
  <c r="ASF19" i="10"/>
  <c r="AVH19" i="10"/>
  <c r="AYJ19" i="10"/>
  <c r="BAJ19" i="10"/>
  <c r="BBX19" i="10"/>
  <c r="BDL19" i="10"/>
  <c r="BFF19" i="10"/>
  <c r="BGG19" i="10"/>
  <c r="BHH19" i="10"/>
  <c r="BIN19" i="10"/>
  <c r="BJN19" i="10"/>
  <c r="BKO19" i="10"/>
  <c r="BLU19" i="10"/>
  <c r="BMV19" i="10"/>
  <c r="BNV19" i="10"/>
  <c r="BPB19" i="10"/>
  <c r="BQC19" i="10"/>
  <c r="BRD19" i="10"/>
  <c r="BSJ19" i="10"/>
  <c r="BTJ19" i="10"/>
  <c r="BUK19" i="10"/>
  <c r="BVQ19" i="10"/>
  <c r="BWR19" i="10"/>
  <c r="BXR19" i="10"/>
  <c r="BYX19" i="10"/>
  <c r="BZY19" i="10"/>
  <c r="CAZ19" i="10"/>
  <c r="CCF19" i="10"/>
  <c r="CDF19" i="10"/>
  <c r="CEG19" i="10"/>
  <c r="CFM19" i="10"/>
  <c r="CGN19" i="10"/>
  <c r="CHN19" i="10"/>
  <c r="CIT19" i="10"/>
  <c r="CJU19" i="10"/>
  <c r="CKV19" i="10"/>
  <c r="CMB19" i="10"/>
  <c r="CNB19" i="10"/>
  <c r="COC19" i="10"/>
  <c r="CPI19" i="10"/>
  <c r="CQJ19" i="10"/>
  <c r="CRJ19" i="10"/>
  <c r="CSP19" i="10"/>
  <c r="CTQ19" i="10"/>
  <c r="CUR19" i="10"/>
  <c r="CVX19" i="10"/>
  <c r="CWX19" i="10"/>
  <c r="CXY19" i="10"/>
  <c r="CZE19" i="10"/>
  <c r="DAF19" i="10"/>
  <c r="DBF19" i="10"/>
  <c r="DCL19" i="10"/>
  <c r="DDM19" i="10"/>
  <c r="DEN19" i="10"/>
  <c r="DFT19" i="10"/>
  <c r="DGT19" i="10"/>
  <c r="DHU19" i="10"/>
  <c r="DJA19" i="10"/>
  <c r="DKB19" i="10"/>
  <c r="DLB19" i="10"/>
  <c r="DMH19" i="10"/>
  <c r="DNI19" i="10"/>
  <c r="DOC19" i="10"/>
  <c r="DPA19" i="10"/>
  <c r="DPU19" i="10"/>
  <c r="DQO19" i="10"/>
  <c r="DRM19" i="10"/>
  <c r="DSG19" i="10"/>
  <c r="DTA19" i="10"/>
  <c r="DTY19" i="10"/>
  <c r="DUS19" i="10"/>
  <c r="DVM19" i="10"/>
  <c r="DWK19" i="10"/>
  <c r="DXE19" i="10"/>
  <c r="DXY19" i="10"/>
  <c r="DYW19" i="10"/>
  <c r="DZQ19" i="10"/>
  <c r="EAK19" i="10"/>
  <c r="EBI19" i="10"/>
  <c r="ECC19" i="10"/>
  <c r="ECW19" i="10"/>
  <c r="EDU19" i="10"/>
  <c r="EEO19" i="10"/>
  <c r="EFI19" i="10"/>
  <c r="EGG19" i="10"/>
  <c r="EHA19" i="10"/>
  <c r="EHU19" i="10"/>
  <c r="EIS19" i="10"/>
  <c r="EJM19" i="10"/>
  <c r="EKG19" i="10"/>
  <c r="ELE19" i="10"/>
  <c r="ELY19" i="10"/>
  <c r="EMS19" i="10"/>
  <c r="ENQ19" i="10"/>
  <c r="EOK19" i="10"/>
  <c r="EPE19" i="10"/>
  <c r="EQC19" i="10"/>
  <c r="EQW19" i="10"/>
  <c r="ERQ19" i="10"/>
  <c r="ESO19" i="10"/>
  <c r="ETI19" i="10"/>
  <c r="EUC19" i="10"/>
  <c r="EVA19" i="10"/>
  <c r="EVU19" i="10"/>
  <c r="EWO19" i="10"/>
  <c r="EXM19" i="10"/>
  <c r="EYG19" i="10"/>
  <c r="EZA19" i="10"/>
  <c r="EZY19" i="10"/>
  <c r="FAS19" i="10"/>
  <c r="FBM19" i="10"/>
  <c r="FCK19" i="10"/>
  <c r="FDE19" i="10"/>
  <c r="FDY19" i="10"/>
  <c r="FEW19" i="10"/>
  <c r="FFQ19" i="10"/>
  <c r="FGK19" i="10"/>
  <c r="FHI19" i="10"/>
  <c r="FIC19" i="10"/>
  <c r="FIW19" i="10"/>
  <c r="FJU19" i="10"/>
  <c r="FKO19" i="10"/>
  <c r="FLI19" i="10"/>
  <c r="FMG19" i="10"/>
  <c r="FNA19" i="10"/>
  <c r="FNU19" i="10"/>
  <c r="FOS19" i="10"/>
  <c r="FPM19" i="10"/>
  <c r="FQG19" i="10"/>
  <c r="FRE19" i="10"/>
  <c r="FRY19" i="10"/>
  <c r="FSS19" i="10"/>
  <c r="FTQ19" i="10"/>
  <c r="FUK19" i="10"/>
  <c r="FVE19" i="10"/>
  <c r="FWC19" i="10"/>
  <c r="FWW19" i="10"/>
  <c r="FXQ19" i="10"/>
  <c r="FYO19" i="10"/>
  <c r="FZI19" i="10"/>
  <c r="GAC19" i="10"/>
  <c r="GBA19" i="10"/>
  <c r="GBU19" i="10"/>
  <c r="GCO19" i="10"/>
  <c r="GDM19" i="10"/>
  <c r="GEG19" i="10"/>
  <c r="GFA19" i="10"/>
  <c r="GFY19" i="10"/>
  <c r="GGS19" i="10"/>
  <c r="GHM19" i="10"/>
  <c r="GIK19" i="10"/>
  <c r="GJE19" i="10"/>
  <c r="GJY19" i="10"/>
  <c r="GKW19" i="10"/>
  <c r="GLQ19" i="10"/>
  <c r="GMK19" i="10"/>
  <c r="GNI19" i="10"/>
  <c r="GOC19" i="10"/>
  <c r="GOW19" i="10"/>
  <c r="GPU19" i="10"/>
  <c r="GQO19" i="10"/>
  <c r="GRI19" i="10"/>
  <c r="GSG19" i="10"/>
  <c r="GTA19" i="10"/>
  <c r="GTU19" i="10"/>
  <c r="GUS19" i="10"/>
  <c r="GVM19" i="10"/>
  <c r="GWG19" i="10"/>
  <c r="GXE19" i="10"/>
  <c r="GXY19" i="10"/>
  <c r="GYS19" i="10"/>
  <c r="GZQ19" i="10"/>
  <c r="HAK19" i="10"/>
  <c r="HBE19" i="10"/>
  <c r="HCC19" i="10"/>
  <c r="HCW19" i="10"/>
  <c r="HDQ19" i="10"/>
  <c r="HFA19" i="10"/>
  <c r="HGD19" i="10"/>
  <c r="HHE19" i="10"/>
  <c r="HIK19" i="10"/>
  <c r="HJK19" i="10"/>
  <c r="HKL19" i="10"/>
  <c r="HLR19" i="10"/>
  <c r="HMS19" i="10"/>
  <c r="HNS19" i="10"/>
  <c r="HOO19" i="10"/>
  <c r="HPJ19" i="10"/>
  <c r="HQE19" i="10"/>
  <c r="HRA19" i="10"/>
  <c r="HRV19" i="10"/>
  <c r="HSQ19" i="10"/>
  <c r="HTM19" i="10"/>
  <c r="HUH19" i="10"/>
  <c r="HVC19" i="10"/>
  <c r="HVY19" i="10"/>
  <c r="HWT19" i="10"/>
  <c r="HXO19" i="10"/>
  <c r="HYK19" i="10"/>
  <c r="HZF19" i="10"/>
  <c r="IAA19" i="10"/>
  <c r="IAW19" i="10"/>
  <c r="IBR19" i="10"/>
  <c r="ICM19" i="10"/>
  <c r="IDI19" i="10"/>
  <c r="IED19" i="10"/>
  <c r="IEY19" i="10"/>
  <c r="IFU19" i="10"/>
  <c r="IGP19" i="10"/>
  <c r="IHK19" i="10"/>
  <c r="IIG19" i="10"/>
  <c r="IJB19" i="10"/>
  <c r="IJW19" i="10"/>
  <c r="IKS19" i="10"/>
  <c r="ILN19" i="10"/>
  <c r="IMI19" i="10"/>
  <c r="INE19" i="10"/>
  <c r="INZ19" i="10"/>
  <c r="IOU19" i="10"/>
  <c r="IPQ19" i="10"/>
  <c r="IQL19" i="10"/>
  <c r="IRG19" i="10"/>
  <c r="ISC19" i="10"/>
  <c r="ISX19" i="10"/>
  <c r="ITS19" i="10"/>
  <c r="IUO19" i="10"/>
  <c r="IVJ19" i="10"/>
  <c r="IWE19" i="10"/>
  <c r="IXA19" i="10"/>
  <c r="IXV19" i="10"/>
  <c r="IYQ19" i="10"/>
  <c r="IZM19" i="10"/>
  <c r="JAH19" i="10"/>
  <c r="JBC19" i="10"/>
  <c r="JBY19" i="10"/>
  <c r="JCT19" i="10"/>
  <c r="JDO19" i="10"/>
  <c r="JEK19" i="10"/>
  <c r="JFF19" i="10"/>
  <c r="JGA19" i="10"/>
  <c r="JGW19" i="10"/>
  <c r="JHR19" i="10"/>
  <c r="JIM19" i="10"/>
  <c r="JJI19" i="10"/>
  <c r="JKD19" i="10"/>
  <c r="JKY19" i="10"/>
  <c r="JLU19" i="10"/>
  <c r="JMP19" i="10"/>
  <c r="JNK19" i="10"/>
  <c r="JOE19" i="10"/>
  <c r="JOU19" i="10"/>
  <c r="JPK19" i="10"/>
  <c r="JQA19" i="10"/>
  <c r="JQQ19" i="10"/>
  <c r="JRG19" i="10"/>
  <c r="JRW19" i="10"/>
  <c r="JSM19" i="10"/>
  <c r="JTC19" i="10"/>
  <c r="JTS19" i="10"/>
  <c r="JUI19" i="10"/>
  <c r="JUY19" i="10"/>
  <c r="JVO19" i="10"/>
  <c r="JWE19" i="10"/>
  <c r="JWU19" i="10"/>
  <c r="JXK19" i="10"/>
  <c r="JYA19" i="10"/>
  <c r="JYQ19" i="10"/>
  <c r="JZG19" i="10"/>
  <c r="JZW19" i="10"/>
  <c r="KAM19" i="10"/>
  <c r="KBC19" i="10"/>
  <c r="KBS19" i="10"/>
  <c r="KCI19" i="10"/>
  <c r="KCY19" i="10"/>
  <c r="KDO19" i="10"/>
  <c r="KEE19" i="10"/>
  <c r="KEU19" i="10"/>
  <c r="KFK19" i="10"/>
  <c r="KGA19" i="10"/>
  <c r="KGQ19" i="10"/>
  <c r="KHG19" i="10"/>
  <c r="KHW19" i="10"/>
  <c r="KIM19" i="10"/>
  <c r="KJC19" i="10"/>
  <c r="KJS19" i="10"/>
  <c r="KKI19" i="10"/>
  <c r="KKY19" i="10"/>
  <c r="KLO19" i="10"/>
  <c r="KME19" i="10"/>
  <c r="KMU19" i="10"/>
  <c r="KNK19" i="10"/>
  <c r="KOA19" i="10"/>
  <c r="KOQ19" i="10"/>
  <c r="KPG19" i="10"/>
  <c r="KPW19" i="10"/>
  <c r="KQM19" i="10"/>
  <c r="KRC19" i="10"/>
  <c r="KRS19" i="10"/>
  <c r="KSI19" i="10"/>
  <c r="KSY19" i="10"/>
  <c r="KTO19" i="10"/>
  <c r="KUE19" i="10"/>
  <c r="KUU19" i="10"/>
  <c r="KVK19" i="10"/>
  <c r="KWA19" i="10"/>
  <c r="KWQ19" i="10"/>
  <c r="KXG19" i="10"/>
  <c r="KXW19" i="10"/>
  <c r="KYM19" i="10"/>
  <c r="KZC19" i="10"/>
  <c r="KZS19" i="10"/>
  <c r="LAI19" i="10"/>
  <c r="LAY19" i="10"/>
  <c r="LBO19" i="10"/>
  <c r="LCE19" i="10"/>
  <c r="LCU19" i="10"/>
  <c r="LDK19" i="10"/>
  <c r="LEA19" i="10"/>
  <c r="LEQ19" i="10"/>
  <c r="LFG19" i="10"/>
  <c r="LFW19" i="10"/>
  <c r="LGM19" i="10"/>
  <c r="LHC19" i="10"/>
  <c r="LHS19" i="10"/>
  <c r="LII19" i="10"/>
  <c r="LIY19" i="10"/>
  <c r="LJO19" i="10"/>
  <c r="LKE19" i="10"/>
  <c r="LKU19" i="10"/>
  <c r="LLK19" i="10"/>
  <c r="LMA19" i="10"/>
  <c r="LMQ19" i="10"/>
  <c r="LNG19" i="10"/>
  <c r="LNW19" i="10"/>
  <c r="LOM19" i="10"/>
  <c r="LPC19" i="10"/>
  <c r="LPS19" i="10"/>
  <c r="LQI19" i="10"/>
  <c r="LQY19" i="10"/>
  <c r="LRO19" i="10"/>
  <c r="LSE19" i="10"/>
  <c r="LSU19" i="10"/>
  <c r="LTK19" i="10"/>
  <c r="LUA19" i="10"/>
  <c r="LUQ19" i="10"/>
  <c r="LVG19" i="10"/>
  <c r="LVW19" i="10"/>
  <c r="LWM19" i="10"/>
  <c r="LXC19" i="10"/>
  <c r="LXS19" i="10"/>
  <c r="LYI19" i="10"/>
  <c r="LYY19" i="10"/>
  <c r="LZO19" i="10"/>
  <c r="MAE19" i="10"/>
  <c r="MAU19" i="10"/>
  <c r="MBK19" i="10"/>
  <c r="MCA19" i="10"/>
  <c r="MCQ19" i="10"/>
  <c r="MDG19" i="10"/>
  <c r="MDW19" i="10"/>
  <c r="MEM19" i="10"/>
  <c r="MFC19" i="10"/>
  <c r="MFS19" i="10"/>
  <c r="MGI19" i="10"/>
  <c r="MGY19" i="10"/>
  <c r="MHO19" i="10"/>
  <c r="MIE19" i="10"/>
  <c r="MIU19" i="10"/>
  <c r="MJK19" i="10"/>
  <c r="MKA19" i="10"/>
  <c r="MKQ19" i="10"/>
  <c r="MLG19" i="10"/>
  <c r="MLW19" i="10"/>
  <c r="MMM19" i="10"/>
  <c r="MNC19" i="10"/>
  <c r="MNS19" i="10"/>
  <c r="MOI19" i="10"/>
  <c r="MOY19" i="10"/>
  <c r="MPO19" i="10"/>
  <c r="MQE19" i="10"/>
  <c r="MQU19" i="10"/>
  <c r="MRK19" i="10"/>
  <c r="MSA19" i="10"/>
  <c r="MSQ19" i="10"/>
  <c r="MTG19" i="10"/>
  <c r="MTW19" i="10"/>
  <c r="MUM19" i="10"/>
  <c r="MVC19" i="10"/>
  <c r="MVS19" i="10"/>
  <c r="MWI19" i="10"/>
  <c r="MWY19" i="10"/>
  <c r="MXO19" i="10"/>
  <c r="MYE19" i="10"/>
  <c r="MYU19" i="10"/>
  <c r="MZK19" i="10"/>
  <c r="NAA19" i="10"/>
  <c r="NAQ19" i="10"/>
  <c r="NBG19" i="10"/>
  <c r="NBW19" i="10"/>
  <c r="NCM19" i="10"/>
  <c r="NDC19" i="10"/>
  <c r="NDS19" i="10"/>
  <c r="NEI19" i="10"/>
  <c r="NEY19" i="10"/>
  <c r="NFO19" i="10"/>
  <c r="NGE19" i="10"/>
  <c r="NGU19" i="10"/>
  <c r="NHK19" i="10"/>
  <c r="NIA19" i="10"/>
  <c r="NIQ19" i="10"/>
  <c r="NJG19" i="10"/>
  <c r="NJW19" i="10"/>
  <c r="NKM19" i="10"/>
  <c r="NLC19" i="10"/>
  <c r="NLS19" i="10"/>
  <c r="NMI19" i="10"/>
  <c r="NMY19" i="10"/>
  <c r="NNO19" i="10"/>
  <c r="NOE19" i="10"/>
  <c r="NOU19" i="10"/>
  <c r="NPK19" i="10"/>
  <c r="NQA19" i="10"/>
  <c r="NQQ19" i="10"/>
  <c r="NRG19" i="10"/>
  <c r="NRW19" i="10"/>
  <c r="NSM19" i="10"/>
  <c r="NTC19" i="10"/>
  <c r="NTS19" i="10"/>
  <c r="NUI19" i="10"/>
  <c r="NUY19" i="10"/>
  <c r="NVO19" i="10"/>
  <c r="NWE19" i="10"/>
  <c r="NWU19" i="10"/>
  <c r="NXK19" i="10"/>
  <c r="NYA19" i="10"/>
  <c r="NYQ19" i="10"/>
  <c r="NZG19" i="10"/>
  <c r="NZW19" i="10"/>
  <c r="OAM19" i="10"/>
  <c r="OBC19" i="10"/>
  <c r="OBS19" i="10"/>
  <c r="OCI19" i="10"/>
  <c r="OCY19" i="10"/>
  <c r="ODO19" i="10"/>
  <c r="OEE19" i="10"/>
  <c r="OEU19" i="10"/>
  <c r="OFK19" i="10"/>
  <c r="OGA19" i="10"/>
  <c r="OGQ19" i="10"/>
  <c r="OHG19" i="10"/>
  <c r="OHW19" i="10"/>
  <c r="OIM19" i="10"/>
  <c r="OJC19" i="10"/>
  <c r="OJS19" i="10"/>
  <c r="OKI19" i="10"/>
  <c r="OKY19" i="10"/>
  <c r="OLO19" i="10"/>
  <c r="OME19" i="10"/>
  <c r="OMU19" i="10"/>
  <c r="ONK19" i="10"/>
  <c r="OOA19" i="10"/>
  <c r="OOQ19" i="10"/>
  <c r="OPG19" i="10"/>
  <c r="OPW19" i="10"/>
  <c r="OQM19" i="10"/>
  <c r="ORC19" i="10"/>
  <c r="ORS19" i="10"/>
  <c r="OSI19" i="10"/>
  <c r="OSY19" i="10"/>
  <c r="OTO19" i="10"/>
  <c r="OUE19" i="10"/>
  <c r="OUU19" i="10"/>
  <c r="OVK19" i="10"/>
  <c r="OWA19" i="10"/>
  <c r="OWQ19" i="10"/>
  <c r="OXG19" i="10"/>
  <c r="OXW19" i="10"/>
  <c r="OYM19" i="10"/>
  <c r="OZC19" i="10"/>
  <c r="OZS19" i="10"/>
  <c r="PAI19" i="10"/>
  <c r="PAY19" i="10"/>
  <c r="PBO19" i="10"/>
  <c r="PCE19" i="10"/>
  <c r="PCU19" i="10"/>
  <c r="PDK19" i="10"/>
  <c r="HFE19" i="10"/>
  <c r="HFZ19" i="10"/>
  <c r="HGU19" i="10"/>
  <c r="HHQ19" i="10"/>
  <c r="HIL19" i="10"/>
  <c r="HJG19" i="10"/>
  <c r="HKC19" i="10"/>
  <c r="HKX19" i="10"/>
  <c r="HLS19" i="10"/>
  <c r="HMO19" i="10"/>
  <c r="HNJ19" i="10"/>
  <c r="HOE19" i="10"/>
  <c r="HPA19" i="10"/>
  <c r="HPV19" i="10"/>
  <c r="HQQ19" i="10"/>
  <c r="HRM19" i="10"/>
  <c r="HSH19" i="10"/>
  <c r="HTC19" i="10"/>
  <c r="HTY19" i="10"/>
  <c r="HUT19" i="10"/>
  <c r="HVO19" i="10"/>
  <c r="HWK19" i="10"/>
  <c r="HXF19" i="10"/>
  <c r="HYA19" i="10"/>
  <c r="HYW19" i="10"/>
  <c r="HZR19" i="10"/>
  <c r="IAM19" i="10"/>
  <c r="IBI19" i="10"/>
  <c r="ICD19" i="10"/>
  <c r="ICY19" i="10"/>
  <c r="IDU19" i="10"/>
  <c r="IEP19" i="10"/>
  <c r="IFK19" i="10"/>
  <c r="IGG19" i="10"/>
  <c r="IHB19" i="10"/>
  <c r="IHW19" i="10"/>
  <c r="IIS19" i="10"/>
  <c r="IJN19" i="10"/>
  <c r="IKI19" i="10"/>
  <c r="ILE19" i="10"/>
  <c r="ILZ19" i="10"/>
  <c r="IMU19" i="10"/>
  <c r="INQ19" i="10"/>
  <c r="IOL19" i="10"/>
  <c r="IPG19" i="10"/>
  <c r="IQC19" i="10"/>
  <c r="IQX19" i="10"/>
  <c r="IRS19" i="10"/>
  <c r="ISO19" i="10"/>
  <c r="ITJ19" i="10"/>
  <c r="IUE19" i="10"/>
  <c r="IVA19" i="10"/>
  <c r="IVV19" i="10"/>
  <c r="IWQ19" i="10"/>
  <c r="IXM19" i="10"/>
  <c r="IYH19" i="10"/>
  <c r="IZC19" i="10"/>
  <c r="IZY19" i="10"/>
  <c r="JAT19" i="10"/>
  <c r="JBO19" i="10"/>
  <c r="JCK19" i="10"/>
  <c r="JDF19" i="10"/>
  <c r="JEA19" i="10"/>
  <c r="JEW19" i="10"/>
  <c r="JFR19" i="10"/>
  <c r="JGM19" i="10"/>
  <c r="JHI19" i="10"/>
  <c r="JID19" i="10"/>
  <c r="JIY19" i="10"/>
  <c r="JJU19" i="10"/>
  <c r="JKP19" i="10"/>
  <c r="JLK19" i="10"/>
  <c r="JMG19" i="10"/>
  <c r="JNB19" i="10"/>
  <c r="JNW19" i="10"/>
  <c r="JON19" i="10"/>
  <c r="JPD19" i="10"/>
  <c r="JPT19" i="10"/>
  <c r="JQJ19" i="10"/>
  <c r="JQZ19" i="10"/>
  <c r="JRP19" i="10"/>
  <c r="JSF19" i="10"/>
  <c r="JSV19" i="10"/>
  <c r="JTL19" i="10"/>
  <c r="JUB19" i="10"/>
  <c r="JUR19" i="10"/>
  <c r="JVH19" i="10"/>
  <c r="JVX19" i="10"/>
  <c r="JWN19" i="10"/>
  <c r="JXD19" i="10"/>
  <c r="JXT19" i="10"/>
  <c r="JYJ19" i="10"/>
  <c r="JYZ19" i="10"/>
  <c r="JZP19" i="10"/>
  <c r="KAF19" i="10"/>
  <c r="KAV19" i="10"/>
  <c r="KBL19" i="10"/>
  <c r="KCB19" i="10"/>
  <c r="KCR19" i="10"/>
  <c r="KDH19" i="10"/>
  <c r="KDX19" i="10"/>
  <c r="KEN19" i="10"/>
  <c r="KFD19" i="10"/>
  <c r="KFT19" i="10"/>
  <c r="KGJ19" i="10"/>
  <c r="KGZ19" i="10"/>
  <c r="KHP19" i="10"/>
  <c r="KIF19" i="10"/>
  <c r="KIV19" i="10"/>
  <c r="KJL19" i="10"/>
  <c r="KKB19" i="10"/>
  <c r="KKR19" i="10"/>
  <c r="KLH19" i="10"/>
  <c r="KLX19" i="10"/>
  <c r="KMN19" i="10"/>
  <c r="KND19" i="10"/>
  <c r="KNT19" i="10"/>
  <c r="KOJ19" i="10"/>
  <c r="KOZ19" i="10"/>
  <c r="KPP19" i="10"/>
  <c r="KQF19" i="10"/>
  <c r="KQV19" i="10"/>
  <c r="KRL19" i="10"/>
  <c r="KSB19" i="10"/>
  <c r="KSR19" i="10"/>
  <c r="KTH19" i="10"/>
  <c r="KTX19" i="10"/>
  <c r="KUN19" i="10"/>
  <c r="KVD19" i="10"/>
  <c r="KVT19" i="10"/>
  <c r="KWJ19" i="10"/>
  <c r="KWZ19" i="10"/>
  <c r="KXP19" i="10"/>
  <c r="KYF19" i="10"/>
  <c r="KYV19" i="10"/>
  <c r="KZL19" i="10"/>
  <c r="LAB19" i="10"/>
  <c r="LAR19" i="10"/>
  <c r="LBH19" i="10"/>
  <c r="LBX19" i="10"/>
  <c r="LCN19" i="10"/>
  <c r="LDD19" i="10"/>
  <c r="LDT19" i="10"/>
  <c r="LEJ19" i="10"/>
  <c r="LEZ19" i="10"/>
  <c r="LFP19" i="10"/>
  <c r="LGF19" i="10"/>
  <c r="LGV19" i="10"/>
  <c r="LHL19" i="10"/>
  <c r="LIB19" i="10"/>
  <c r="LIR19" i="10"/>
  <c r="LJH19" i="10"/>
  <c r="LJX19" i="10"/>
  <c r="LKN19" i="10"/>
  <c r="LLD19" i="10"/>
  <c r="LLT19" i="10"/>
  <c r="LMJ19" i="10"/>
  <c r="LMZ19" i="10"/>
  <c r="LNP19" i="10"/>
  <c r="LOF19" i="10"/>
  <c r="LOV19" i="10"/>
  <c r="LPL19" i="10"/>
  <c r="LQB19" i="10"/>
  <c r="LQR19" i="10"/>
  <c r="LRH19" i="10"/>
  <c r="LRX19" i="10"/>
  <c r="LSN19" i="10"/>
  <c r="LTD19" i="10"/>
  <c r="LTT19" i="10"/>
  <c r="LUJ19" i="10"/>
  <c r="LUZ19" i="10"/>
  <c r="LVP19" i="10"/>
  <c r="LWF19" i="10"/>
  <c r="LWV19" i="10"/>
  <c r="LXL19" i="10"/>
  <c r="LYB19" i="10"/>
  <c r="LYR19" i="10"/>
  <c r="LZH19" i="10"/>
  <c r="LZX19" i="10"/>
  <c r="MAN19" i="10"/>
  <c r="MBD19" i="10"/>
  <c r="MBT19" i="10"/>
  <c r="MCJ19" i="10"/>
  <c r="MCZ19" i="10"/>
  <c r="MDP19" i="10"/>
  <c r="MEF19" i="10"/>
  <c r="MEV19" i="10"/>
  <c r="MFL19" i="10"/>
  <c r="MGB19" i="10"/>
  <c r="MGR19" i="10"/>
  <c r="MHH19" i="10"/>
  <c r="MHX19" i="10"/>
  <c r="MIN19" i="10"/>
  <c r="MJD19" i="10"/>
  <c r="MJT19" i="10"/>
  <c r="MKJ19" i="10"/>
  <c r="MKZ19" i="10"/>
  <c r="MLP19" i="10"/>
  <c r="MMF19" i="10"/>
  <c r="MMV19" i="10"/>
  <c r="MNL19" i="10"/>
  <c r="MOB19" i="10"/>
  <c r="MOR19" i="10"/>
  <c r="MPH19" i="10"/>
  <c r="MPX19" i="10"/>
  <c r="MQN19" i="10"/>
  <c r="MRD19" i="10"/>
  <c r="MRT19" i="10"/>
  <c r="MSJ19" i="10"/>
  <c r="MSZ19" i="10"/>
  <c r="MTP19" i="10"/>
  <c r="MUF19" i="10"/>
  <c r="MUV19" i="10"/>
  <c r="MVL19" i="10"/>
  <c r="MWB19" i="10"/>
  <c r="MWR19" i="10"/>
  <c r="MXH19" i="10"/>
  <c r="MXX19" i="10"/>
  <c r="MYN19" i="10"/>
  <c r="MZD19" i="10"/>
  <c r="MZT19" i="10"/>
  <c r="NAJ19" i="10"/>
  <c r="NAZ19" i="10"/>
  <c r="NBP19" i="10"/>
  <c r="NCF19" i="10"/>
  <c r="NCV19" i="10"/>
  <c r="NDL19" i="10"/>
  <c r="NEB19" i="10"/>
  <c r="NER19" i="10"/>
  <c r="NFH19" i="10"/>
  <c r="NFX19" i="10"/>
  <c r="NGN19" i="10"/>
  <c r="NHD19" i="10"/>
  <c r="NHT19" i="10"/>
  <c r="NIJ19" i="10"/>
  <c r="NIZ19" i="10"/>
  <c r="NJP19" i="10"/>
  <c r="NKF19" i="10"/>
  <c r="NKV19" i="10"/>
  <c r="NLL19" i="10"/>
  <c r="NMB19" i="10"/>
  <c r="NMR19" i="10"/>
  <c r="NNH19" i="10"/>
  <c r="NNX19" i="10"/>
  <c r="NON19" i="10"/>
  <c r="NPD19" i="10"/>
  <c r="NPT19" i="10"/>
  <c r="NQJ19" i="10"/>
  <c r="NQZ19" i="10"/>
  <c r="NRP19" i="10"/>
  <c r="NSF19" i="10"/>
  <c r="NSV19" i="10"/>
  <c r="NTL19" i="10"/>
  <c r="NUB19" i="10"/>
  <c r="NUR19" i="10"/>
  <c r="NVH19" i="10"/>
  <c r="NVX19" i="10"/>
  <c r="NWN19" i="10"/>
  <c r="NXD19" i="10"/>
  <c r="NXT19" i="10"/>
  <c r="NYJ19" i="10"/>
  <c r="NYZ19" i="10"/>
  <c r="NZP19" i="10"/>
  <c r="OAF19" i="10"/>
  <c r="OAV19" i="10"/>
  <c r="OBL19" i="10"/>
  <c r="OCB19" i="10"/>
  <c r="OCR19" i="10"/>
  <c r="ODH19" i="10"/>
  <c r="ODX19" i="10"/>
  <c r="OEN19" i="10"/>
  <c r="OFD19" i="10"/>
  <c r="OFT19" i="10"/>
  <c r="OGJ19" i="10"/>
  <c r="OGZ19" i="10"/>
  <c r="OHP19" i="10"/>
  <c r="OIF19" i="10"/>
  <c r="OIV19" i="10"/>
  <c r="OJL19" i="10"/>
  <c r="OKB19" i="10"/>
  <c r="OKR19" i="10"/>
  <c r="OLH19" i="10"/>
  <c r="OLX19" i="10"/>
  <c r="OMN19" i="10"/>
  <c r="OND19" i="10"/>
  <c r="ONT19" i="10"/>
  <c r="OOJ19" i="10"/>
  <c r="OOZ19" i="10"/>
  <c r="OPP19" i="10"/>
  <c r="OQF19" i="10"/>
  <c r="OQV19" i="10"/>
  <c r="ORL19" i="10"/>
  <c r="OSB19" i="10"/>
  <c r="OSR19" i="10"/>
  <c r="OTH19" i="10"/>
  <c r="OTX19" i="10"/>
  <c r="OUN19" i="10"/>
  <c r="OVD19" i="10"/>
  <c r="OVT19" i="10"/>
  <c r="OWJ19" i="10"/>
  <c r="OWZ19" i="10"/>
  <c r="OXP19" i="10"/>
  <c r="OYF19" i="10"/>
  <c r="OYV19" i="10"/>
  <c r="OZL19" i="10"/>
  <c r="PAB19" i="10"/>
  <c r="PAR19" i="10"/>
  <c r="PBH19" i="10"/>
  <c r="PBX19" i="10"/>
  <c r="PCN19" i="10"/>
  <c r="PDD19" i="10"/>
  <c r="PDT19" i="10"/>
  <c r="PEJ19" i="10"/>
  <c r="PEZ19" i="10"/>
  <c r="PFP19" i="10"/>
  <c r="PGF19" i="10"/>
  <c r="PGV19" i="10"/>
  <c r="PHL19" i="10"/>
  <c r="PIB19" i="10"/>
  <c r="PIR19" i="10"/>
  <c r="PJH19" i="10"/>
  <c r="PJX19" i="10"/>
  <c r="PKN19" i="10"/>
  <c r="PLD19" i="10"/>
  <c r="PLT19" i="10"/>
  <c r="PMJ19" i="10"/>
  <c r="PMZ19" i="10"/>
  <c r="PNP19" i="10"/>
  <c r="POF19" i="10"/>
  <c r="POV19" i="10"/>
  <c r="PPL19" i="10"/>
  <c r="PQB19" i="10"/>
  <c r="PQR19" i="10"/>
  <c r="PRH19" i="10"/>
  <c r="PRX19" i="10"/>
  <c r="PSN19" i="10"/>
  <c r="PTD19" i="10"/>
  <c r="PTT19" i="10"/>
  <c r="PUJ19" i="10"/>
  <c r="PUZ19" i="10"/>
  <c r="PVP19" i="10"/>
  <c r="HES19" i="10"/>
  <c r="HFV19" i="10"/>
  <c r="HGQ19" i="10"/>
  <c r="HHM19" i="10"/>
  <c r="HIH19" i="10"/>
  <c r="HJC19" i="10"/>
  <c r="HJY19" i="10"/>
  <c r="HKT19" i="10"/>
  <c r="HLO19" i="10"/>
  <c r="HMK19" i="10"/>
  <c r="HNF19" i="10"/>
  <c r="HOA19" i="10"/>
  <c r="HOW19" i="10"/>
  <c r="HPR19" i="10"/>
  <c r="HQM19" i="10"/>
  <c r="HRI19" i="10"/>
  <c r="HSD19" i="10"/>
  <c r="HSY19" i="10"/>
  <c r="HTU19" i="10"/>
  <c r="HUP19" i="10"/>
  <c r="HVK19" i="10"/>
  <c r="HWG19" i="10"/>
  <c r="HXB19" i="10"/>
  <c r="HXW19" i="10"/>
  <c r="HYS19" i="10"/>
  <c r="HZN19" i="10"/>
  <c r="IAI19" i="10"/>
  <c r="IBE19" i="10"/>
  <c r="IBZ19" i="10"/>
  <c r="ICU19" i="10"/>
  <c r="IDQ19" i="10"/>
  <c r="IEL19" i="10"/>
  <c r="IFG19" i="10"/>
  <c r="IGC19" i="10"/>
  <c r="IGX19" i="10"/>
  <c r="IHS19" i="10"/>
  <c r="IIO19" i="10"/>
  <c r="IJJ19" i="10"/>
  <c r="IKE19" i="10"/>
  <c r="ILA19" i="10"/>
  <c r="ILV19" i="10"/>
  <c r="IMQ19" i="10"/>
  <c r="INM19" i="10"/>
  <c r="IOH19" i="10"/>
  <c r="IPC19" i="10"/>
  <c r="IPY19" i="10"/>
  <c r="IQT19" i="10"/>
  <c r="IRO19" i="10"/>
  <c r="ISK19" i="10"/>
  <c r="ITF19" i="10"/>
  <c r="IUA19" i="10"/>
  <c r="IUW19" i="10"/>
  <c r="IVR19" i="10"/>
  <c r="IWM19" i="10"/>
  <c r="IXI19" i="10"/>
  <c r="IYD19" i="10"/>
  <c r="IYY19" i="10"/>
  <c r="IZU19" i="10"/>
  <c r="JAP19" i="10"/>
  <c r="JBK19" i="10"/>
  <c r="JCG19" i="10"/>
  <c r="JDB19" i="10"/>
  <c r="JDW19" i="10"/>
  <c r="JES19" i="10"/>
  <c r="JFN19" i="10"/>
  <c r="JGI19" i="10"/>
  <c r="JHE19" i="10"/>
  <c r="JHZ19" i="10"/>
  <c r="JIU19" i="10"/>
  <c r="JJQ19" i="10"/>
  <c r="JKL19" i="10"/>
  <c r="JLG19" i="10"/>
  <c r="JMC19" i="10"/>
  <c r="JMX19" i="10"/>
  <c r="JNS19" i="10"/>
  <c r="JOK19" i="10"/>
  <c r="JPA19" i="10"/>
  <c r="JPQ19" i="10"/>
  <c r="JQG19" i="10"/>
  <c r="JQW19" i="10"/>
  <c r="JRM19" i="10"/>
  <c r="JSC19" i="10"/>
  <c r="JSS19" i="10"/>
  <c r="JTI19" i="10"/>
  <c r="JTY19" i="10"/>
  <c r="JUO19" i="10"/>
  <c r="JVE19" i="10"/>
  <c r="JVU19" i="10"/>
  <c r="JWK19" i="10"/>
  <c r="JXA19" i="10"/>
  <c r="JXQ19" i="10"/>
  <c r="JYG19" i="10"/>
  <c r="JYW19" i="10"/>
  <c r="JZM19" i="10"/>
  <c r="KAC19" i="10"/>
  <c r="KAS19" i="10"/>
  <c r="KBI19" i="10"/>
  <c r="KBY19" i="10"/>
  <c r="KCO19" i="10"/>
  <c r="KDE19" i="10"/>
  <c r="KDU19" i="10"/>
  <c r="KEK19" i="10"/>
  <c r="KFA19" i="10"/>
  <c r="KFQ19" i="10"/>
  <c r="KGG19" i="10"/>
  <c r="KGW19" i="10"/>
  <c r="KHM19" i="10"/>
  <c r="KIC19" i="10"/>
  <c r="KIS19" i="10"/>
  <c r="KJI19" i="10"/>
  <c r="KJY19" i="10"/>
  <c r="KKO19" i="10"/>
  <c r="KLE19" i="10"/>
  <c r="KLU19" i="10"/>
  <c r="KMK19" i="10"/>
  <c r="KNA19" i="10"/>
  <c r="KNQ19" i="10"/>
  <c r="KOG19" i="10"/>
  <c r="KOW19" i="10"/>
  <c r="KPM19" i="10"/>
  <c r="KQC19" i="10"/>
  <c r="KQS19" i="10"/>
  <c r="KRI19" i="10"/>
  <c r="KRY19" i="10"/>
  <c r="KSO19" i="10"/>
  <c r="KTE19" i="10"/>
  <c r="KTU19" i="10"/>
  <c r="KUK19" i="10"/>
  <c r="KVA19" i="10"/>
  <c r="KVQ19" i="10"/>
  <c r="KWG19" i="10"/>
  <c r="KWW19" i="10"/>
  <c r="KXM19" i="10"/>
  <c r="KYC19" i="10"/>
  <c r="KYS19" i="10"/>
  <c r="KZI19" i="10"/>
  <c r="KZY19" i="10"/>
  <c r="LAO19" i="10"/>
  <c r="LBE19" i="10"/>
  <c r="LBU19" i="10"/>
  <c r="LCK19" i="10"/>
  <c r="LDA19" i="10"/>
  <c r="LDQ19" i="10"/>
  <c r="LEG19" i="10"/>
  <c r="LEW19" i="10"/>
  <c r="LFM19" i="10"/>
  <c r="LGC19" i="10"/>
  <c r="LGS19" i="10"/>
  <c r="LHI19" i="10"/>
  <c r="LHY19" i="10"/>
  <c r="LIO19" i="10"/>
  <c r="LJE19" i="10"/>
  <c r="LJU19" i="10"/>
  <c r="LKK19" i="10"/>
  <c r="LLA19" i="10"/>
  <c r="LLQ19" i="10"/>
  <c r="LMG19" i="10"/>
  <c r="LMW19" i="10"/>
  <c r="LNM19" i="10"/>
  <c r="LOC19" i="10"/>
  <c r="LOS19" i="10"/>
  <c r="LPI19" i="10"/>
  <c r="LPY19" i="10"/>
  <c r="LQO19" i="10"/>
  <c r="LRE19" i="10"/>
  <c r="LRU19" i="10"/>
  <c r="LSK19" i="10"/>
  <c r="LTA19" i="10"/>
  <c r="LTQ19" i="10"/>
  <c r="LUG19" i="10"/>
  <c r="LUW19" i="10"/>
  <c r="LVM19" i="10"/>
  <c r="LWC19" i="10"/>
  <c r="LWS19" i="10"/>
  <c r="LXI19" i="10"/>
  <c r="LXY19" i="10"/>
  <c r="LYO19" i="10"/>
  <c r="LZE19" i="10"/>
  <c r="LZU19" i="10"/>
  <c r="MAK19" i="10"/>
  <c r="MBA19" i="10"/>
  <c r="MBQ19" i="10"/>
  <c r="MCG19" i="10"/>
  <c r="MCW19" i="10"/>
  <c r="MDM19" i="10"/>
  <c r="MEC19" i="10"/>
  <c r="MES19" i="10"/>
  <c r="MFI19" i="10"/>
  <c r="MFY19" i="10"/>
  <c r="MGO19" i="10"/>
  <c r="MHE19" i="10"/>
  <c r="MHU19" i="10"/>
  <c r="MIK19" i="10"/>
  <c r="MJA19" i="10"/>
  <c r="MJQ19" i="10"/>
  <c r="MKG19" i="10"/>
  <c r="MKW19" i="10"/>
  <c r="MLM19" i="10"/>
  <c r="MMC19" i="10"/>
  <c r="MMS19" i="10"/>
  <c r="MNI19" i="10"/>
  <c r="MNY19" i="10"/>
  <c r="MOO19" i="10"/>
  <c r="MPE19" i="10"/>
  <c r="MPU19" i="10"/>
  <c r="MQK19" i="10"/>
  <c r="MRA19" i="10"/>
  <c r="MRQ19" i="10"/>
  <c r="MSG19" i="10"/>
  <c r="MSW19" i="10"/>
  <c r="MTM19" i="10"/>
  <c r="MUC19" i="10"/>
  <c r="MUS19" i="10"/>
  <c r="MVI19" i="10"/>
  <c r="MVY19" i="10"/>
  <c r="MWO19" i="10"/>
  <c r="MXE19" i="10"/>
  <c r="MXU19" i="10"/>
  <c r="MYK19" i="10"/>
  <c r="MZA19" i="10"/>
  <c r="MZQ19" i="10"/>
  <c r="NAG19" i="10"/>
  <c r="NAW19" i="10"/>
  <c r="NBM19" i="10"/>
  <c r="NCC19" i="10"/>
  <c r="NCS19" i="10"/>
  <c r="NDI19" i="10"/>
  <c r="NDY19" i="10"/>
  <c r="NEO19" i="10"/>
  <c r="NFE19" i="10"/>
  <c r="NFU19" i="10"/>
  <c r="NGK19" i="10"/>
  <c r="NHA19" i="10"/>
  <c r="NHQ19" i="10"/>
  <c r="NIG19" i="10"/>
  <c r="NIW19" i="10"/>
  <c r="NJM19" i="10"/>
  <c r="NKC19" i="10"/>
  <c r="NKS19" i="10"/>
  <c r="NLI19" i="10"/>
  <c r="NLY19" i="10"/>
  <c r="NMO19" i="10"/>
  <c r="NNE19" i="10"/>
  <c r="NNU19" i="10"/>
  <c r="NOK19" i="10"/>
  <c r="NPA19" i="10"/>
  <c r="NPQ19" i="10"/>
  <c r="NQG19" i="10"/>
  <c r="NQW19" i="10"/>
  <c r="NRM19" i="10"/>
  <c r="NSC19" i="10"/>
  <c r="NSS19" i="10"/>
  <c r="NTI19" i="10"/>
  <c r="NTY19" i="10"/>
  <c r="NUO19" i="10"/>
  <c r="NVE19" i="10"/>
  <c r="NVU19" i="10"/>
  <c r="NWK19" i="10"/>
  <c r="NXA19" i="10"/>
  <c r="NXQ19" i="10"/>
  <c r="NYG19" i="10"/>
  <c r="NYW19" i="10"/>
  <c r="NZM19" i="10"/>
  <c r="OAC19" i="10"/>
  <c r="OAS19" i="10"/>
  <c r="OBI19" i="10"/>
  <c r="OBY19" i="10"/>
  <c r="OCO19" i="10"/>
  <c r="ODE19" i="10"/>
  <c r="ODU19" i="10"/>
  <c r="OEK19" i="10"/>
  <c r="OFA19" i="10"/>
  <c r="OFQ19" i="10"/>
  <c r="OGG19" i="10"/>
  <c r="OGW19" i="10"/>
  <c r="OHM19" i="10"/>
  <c r="OIC19" i="10"/>
  <c r="OIS19" i="10"/>
  <c r="OJI19" i="10"/>
  <c r="OJY19" i="10"/>
  <c r="OKO19" i="10"/>
  <c r="OLE19" i="10"/>
  <c r="OLU19" i="10"/>
  <c r="OMK19" i="10"/>
  <c r="ONA19" i="10"/>
  <c r="ONQ19" i="10"/>
  <c r="OOG19" i="10"/>
  <c r="OOW19" i="10"/>
  <c r="OPM19" i="10"/>
  <c r="OQC19" i="10"/>
  <c r="OQS19" i="10"/>
  <c r="ORI19" i="10"/>
  <c r="ORY19" i="10"/>
  <c r="OSO19" i="10"/>
  <c r="OTE19" i="10"/>
  <c r="OTU19" i="10"/>
  <c r="OUK19" i="10"/>
  <c r="OVA19" i="10"/>
  <c r="OVQ19" i="10"/>
  <c r="OWG19" i="10"/>
  <c r="OWW19" i="10"/>
  <c r="OXM19" i="10"/>
  <c r="OYC19" i="10"/>
  <c r="OYS19" i="10"/>
  <c r="OZI19" i="10"/>
  <c r="OZY19" i="10"/>
  <c r="PAO19" i="10"/>
  <c r="PBE19" i="10"/>
  <c r="PBU19" i="10"/>
  <c r="PCK19" i="10"/>
  <c r="PDA19" i="10"/>
  <c r="PDQ19" i="10"/>
  <c r="PEG19" i="10"/>
  <c r="PEW19" i="10"/>
  <c r="PFM19" i="10"/>
  <c r="PGC19" i="10"/>
  <c r="PGS19" i="10"/>
  <c r="PHI19" i="10"/>
  <c r="PHY19" i="10"/>
  <c r="PIO19" i="10"/>
  <c r="PJE19" i="10"/>
  <c r="PJU19" i="10"/>
  <c r="PKK19" i="10"/>
  <c r="PLA19" i="10"/>
  <c r="PLQ19" i="10"/>
  <c r="PMG19" i="10"/>
  <c r="PMW19" i="10"/>
  <c r="PNM19" i="10"/>
  <c r="POC19" i="10"/>
  <c r="POS19" i="10"/>
  <c r="PPI19" i="10"/>
  <c r="PPY19" i="10"/>
  <c r="PQO19" i="10"/>
  <c r="PRE19" i="10"/>
  <c r="PRU19" i="10"/>
  <c r="PSK19" i="10"/>
  <c r="PTA19" i="10"/>
  <c r="PTQ19" i="10"/>
  <c r="PUG19" i="10"/>
  <c r="PUW19" i="10"/>
  <c r="PVM19" i="10"/>
  <c r="PWC19" i="10"/>
  <c r="PWS19" i="10"/>
  <c r="PXI19" i="10"/>
  <c r="PXY19" i="10"/>
  <c r="PYO19" i="10"/>
  <c r="PZE19" i="10"/>
  <c r="PZU19" i="10"/>
  <c r="QAK19" i="10"/>
  <c r="QBA19" i="10"/>
  <c r="QBQ19" i="10"/>
  <c r="QCG19" i="10"/>
  <c r="QCW19" i="10"/>
  <c r="QDM19" i="10"/>
  <c r="QEC19" i="10"/>
  <c r="QES19" i="10"/>
  <c r="QFI19" i="10"/>
  <c r="QFY19" i="10"/>
  <c r="QGO19" i="10"/>
  <c r="QHE19" i="10"/>
  <c r="QHU19" i="10"/>
  <c r="QIK19" i="10"/>
  <c r="QJA19" i="10"/>
  <c r="QJQ19" i="10"/>
  <c r="QKG19" i="10"/>
  <c r="QKW19" i="10"/>
  <c r="QLM19" i="10"/>
  <c r="QMC19" i="10"/>
  <c r="QMS19" i="10"/>
  <c r="QNI19" i="10"/>
  <c r="QNY19" i="10"/>
  <c r="QOO19" i="10"/>
  <c r="QPE19" i="10"/>
  <c r="QPU19" i="10"/>
  <c r="QQK19" i="10"/>
  <c r="QRA19" i="10"/>
  <c r="QRQ19" i="10"/>
  <c r="QSG19" i="10"/>
  <c r="QSW19" i="10"/>
  <c r="QTM19" i="10"/>
  <c r="QUC19" i="10"/>
  <c r="QUS19" i="10"/>
  <c r="QVI19" i="10"/>
  <c r="QVY19" i="10"/>
  <c r="QWO19" i="10"/>
  <c r="QXE19" i="10"/>
  <c r="QXU19" i="10"/>
  <c r="QYK19" i="10"/>
  <c r="QZA19" i="10"/>
  <c r="QZQ19" i="10"/>
  <c r="RAG19" i="10"/>
  <c r="RAW19" i="10"/>
  <c r="RBM19" i="10"/>
  <c r="RCC19" i="10"/>
  <c r="RCS19" i="10"/>
  <c r="RDI19" i="10"/>
  <c r="RDY19" i="10"/>
  <c r="REO19" i="10"/>
  <c r="RFE19" i="10"/>
  <c r="RFU19" i="10"/>
  <c r="RGK19" i="10"/>
  <c r="RHA19" i="10"/>
  <c r="RHQ19" i="10"/>
  <c r="RIG19" i="10"/>
  <c r="RIW19" i="10"/>
  <c r="RJM19" i="10"/>
  <c r="RKC19" i="10"/>
  <c r="RKS19" i="10"/>
  <c r="RLI19" i="10"/>
  <c r="RLY19" i="10"/>
  <c r="RMO19" i="10"/>
  <c r="RNE19" i="10"/>
  <c r="RNU19" i="10"/>
  <c r="ROK19" i="10"/>
  <c r="RPA19" i="10"/>
  <c r="RPQ19" i="10"/>
  <c r="RQG19" i="10"/>
  <c r="RQW19" i="10"/>
  <c r="RRM19" i="10"/>
  <c r="RSC19" i="10"/>
  <c r="RSS19" i="10"/>
  <c r="RTI19" i="10"/>
  <c r="RTY19" i="10"/>
  <c r="RUO19" i="10"/>
  <c r="RVE19" i="10"/>
  <c r="RVU19" i="10"/>
  <c r="RWK19" i="10"/>
  <c r="RXA19" i="10"/>
  <c r="RXQ19" i="10"/>
  <c r="RYG19" i="10"/>
  <c r="RYW19" i="10"/>
  <c r="RZM19" i="10"/>
  <c r="SAC19" i="10"/>
  <c r="SAS19" i="10"/>
  <c r="SBI19" i="10"/>
  <c r="SBY19" i="10"/>
  <c r="SCO19" i="10"/>
  <c r="SDE19" i="10"/>
  <c r="SDU19" i="10"/>
  <c r="SEK19" i="10"/>
  <c r="SFA19" i="10"/>
  <c r="SFQ19" i="10"/>
  <c r="SGG19" i="10"/>
  <c r="SGW19" i="10"/>
  <c r="SHM19" i="10"/>
  <c r="SIC19" i="10"/>
  <c r="SIS19" i="10"/>
  <c r="SJI19" i="10"/>
  <c r="SJY19" i="10"/>
  <c r="SKO19" i="10"/>
  <c r="SLE19" i="10"/>
  <c r="SLU19" i="10"/>
  <c r="SMK19" i="10"/>
  <c r="SNA19" i="10"/>
  <c r="SNQ19" i="10"/>
  <c r="SOG19" i="10"/>
  <c r="SOW19" i="10"/>
  <c r="SPM19" i="10"/>
  <c r="SQC19" i="10"/>
  <c r="SQS19" i="10"/>
  <c r="SRI19" i="10"/>
  <c r="SRY19" i="10"/>
  <c r="SSO19" i="10"/>
  <c r="STE19" i="10"/>
  <c r="STU19" i="10"/>
  <c r="SUK19" i="10"/>
  <c r="SVA19" i="10"/>
  <c r="SVQ19" i="10"/>
  <c r="SWG19" i="10"/>
  <c r="SWW19" i="10"/>
  <c r="SXM19" i="10"/>
  <c r="SYC19" i="10"/>
  <c r="SYS19" i="10"/>
  <c r="SZI19" i="10"/>
  <c r="SZY19" i="10"/>
  <c r="TAO19" i="10"/>
  <c r="TBE19" i="10"/>
  <c r="TBU19" i="10"/>
  <c r="HEW19" i="10"/>
  <c r="HFW19" i="10"/>
  <c r="HGS19" i="10"/>
  <c r="HHN19" i="10"/>
  <c r="HII19" i="10"/>
  <c r="HJE19" i="10"/>
  <c r="HJZ19" i="10"/>
  <c r="HKU19" i="10"/>
  <c r="HLQ19" i="10"/>
  <c r="HML19" i="10"/>
  <c r="HNG19" i="10"/>
  <c r="HOC19" i="10"/>
  <c r="HOX19" i="10"/>
  <c r="HPS19" i="10"/>
  <c r="HQO19" i="10"/>
  <c r="HRJ19" i="10"/>
  <c r="HSE19" i="10"/>
  <c r="HTA19" i="10"/>
  <c r="HTV19" i="10"/>
  <c r="HUQ19" i="10"/>
  <c r="HVM19" i="10"/>
  <c r="HWH19" i="10"/>
  <c r="HXC19" i="10"/>
  <c r="HXY19" i="10"/>
  <c r="HYT19" i="10"/>
  <c r="HZO19" i="10"/>
  <c r="IAK19" i="10"/>
  <c r="IBF19" i="10"/>
  <c r="ICA19" i="10"/>
  <c r="ICW19" i="10"/>
  <c r="IDR19" i="10"/>
  <c r="IEM19" i="10"/>
  <c r="IFI19" i="10"/>
  <c r="IGD19" i="10"/>
  <c r="IGY19" i="10"/>
  <c r="IHU19" i="10"/>
  <c r="IIP19" i="10"/>
  <c r="IJK19" i="10"/>
  <c r="IKG19" i="10"/>
  <c r="ILB19" i="10"/>
  <c r="ILW19" i="10"/>
  <c r="IMS19" i="10"/>
  <c r="INN19" i="10"/>
  <c r="IOI19" i="10"/>
  <c r="IPE19" i="10"/>
  <c r="IPZ19" i="10"/>
  <c r="IQU19" i="10"/>
  <c r="IRQ19" i="10"/>
  <c r="ISL19" i="10"/>
  <c r="ITG19" i="10"/>
  <c r="IUC19" i="10"/>
  <c r="IUX19" i="10"/>
  <c r="IVS19" i="10"/>
  <c r="IWO19" i="10"/>
  <c r="IXJ19" i="10"/>
  <c r="IYE19" i="10"/>
  <c r="IZA19" i="10"/>
  <c r="IZV19" i="10"/>
  <c r="JAQ19" i="10"/>
  <c r="JBM19" i="10"/>
  <c r="JCH19" i="10"/>
  <c r="JDC19" i="10"/>
  <c r="JDY19" i="10"/>
  <c r="JET19" i="10"/>
  <c r="JFO19" i="10"/>
  <c r="JGK19" i="10"/>
  <c r="JHF19" i="10"/>
  <c r="JIA19" i="10"/>
  <c r="JIW19" i="10"/>
  <c r="JJR19" i="10"/>
  <c r="JKM19" i="10"/>
  <c r="JLI19" i="10"/>
  <c r="JMD19" i="10"/>
  <c r="JMY19" i="10"/>
  <c r="JNU19" i="10"/>
  <c r="JOL19" i="10"/>
  <c r="JPB19" i="10"/>
  <c r="JPR19" i="10"/>
  <c r="JQH19" i="10"/>
  <c r="JQX19" i="10"/>
  <c r="JRN19" i="10"/>
  <c r="JSD19" i="10"/>
  <c r="JST19" i="10"/>
  <c r="JTJ19" i="10"/>
  <c r="JTZ19" i="10"/>
  <c r="JUP19" i="10"/>
  <c r="JVF19" i="10"/>
  <c r="JVV19" i="10"/>
  <c r="JWL19" i="10"/>
  <c r="JXB19" i="10"/>
  <c r="JXR19" i="10"/>
  <c r="JYH19" i="10"/>
  <c r="JYX19" i="10"/>
  <c r="JZN19" i="10"/>
  <c r="KAD19" i="10"/>
  <c r="KAT19" i="10"/>
  <c r="KBJ19" i="10"/>
  <c r="KBZ19" i="10"/>
  <c r="KCP19" i="10"/>
  <c r="KDF19" i="10"/>
  <c r="KDV19" i="10"/>
  <c r="KEL19" i="10"/>
  <c r="KFB19" i="10"/>
  <c r="KFR19" i="10"/>
  <c r="KGH19" i="10"/>
  <c r="KGX19" i="10"/>
  <c r="KHN19" i="10"/>
  <c r="KID19" i="10"/>
  <c r="KIT19" i="10"/>
  <c r="KJJ19" i="10"/>
  <c r="KJZ19" i="10"/>
  <c r="KKP19" i="10"/>
  <c r="KLF19" i="10"/>
  <c r="KLV19" i="10"/>
  <c r="KML19" i="10"/>
  <c r="KNB19" i="10"/>
  <c r="KNR19" i="10"/>
  <c r="KOH19" i="10"/>
  <c r="KOX19" i="10"/>
  <c r="KPN19" i="10"/>
  <c r="KQD19" i="10"/>
  <c r="KQT19" i="10"/>
  <c r="KRJ19" i="10"/>
  <c r="KRZ19" i="10"/>
  <c r="KSP19" i="10"/>
  <c r="KTF19" i="10"/>
  <c r="KTV19" i="10"/>
  <c r="KUL19" i="10"/>
  <c r="KVB19" i="10"/>
  <c r="KVR19" i="10"/>
  <c r="KWH19" i="10"/>
  <c r="KWX19" i="10"/>
  <c r="KXN19" i="10"/>
  <c r="KYD19" i="10"/>
  <c r="KYT19" i="10"/>
  <c r="KZJ19" i="10"/>
  <c r="KZZ19" i="10"/>
  <c r="LAP19" i="10"/>
  <c r="LBF19" i="10"/>
  <c r="LBV19" i="10"/>
  <c r="LCL19" i="10"/>
  <c r="LDB19" i="10"/>
  <c r="LDR19" i="10"/>
  <c r="LEH19" i="10"/>
  <c r="LEX19" i="10"/>
  <c r="LFN19" i="10"/>
  <c r="LGD19" i="10"/>
  <c r="LGT19" i="10"/>
  <c r="LHJ19" i="10"/>
  <c r="LHZ19" i="10"/>
  <c r="LIP19" i="10"/>
  <c r="LJF19" i="10"/>
  <c r="LJV19" i="10"/>
  <c r="LKL19" i="10"/>
  <c r="LLB19" i="10"/>
  <c r="LLR19" i="10"/>
  <c r="LMH19" i="10"/>
  <c r="LMX19" i="10"/>
  <c r="LNN19" i="10"/>
  <c r="LOD19" i="10"/>
  <c r="LOT19" i="10"/>
  <c r="LPJ19" i="10"/>
  <c r="LPZ19" i="10"/>
  <c r="LQP19" i="10"/>
  <c r="LRF19" i="10"/>
  <c r="LRV19" i="10"/>
  <c r="LSL19" i="10"/>
  <c r="LTB19" i="10"/>
  <c r="LTR19" i="10"/>
  <c r="LUH19" i="10"/>
  <c r="LUX19" i="10"/>
  <c r="LVN19" i="10"/>
  <c r="LWD19" i="10"/>
  <c r="LWT19" i="10"/>
  <c r="LXJ19" i="10"/>
  <c r="LXZ19" i="10"/>
  <c r="LYP19" i="10"/>
  <c r="LZF19" i="10"/>
  <c r="LZV19" i="10"/>
  <c r="MAL19" i="10"/>
  <c r="MBB19" i="10"/>
  <c r="MBR19" i="10"/>
  <c r="MCH19" i="10"/>
  <c r="MCX19" i="10"/>
  <c r="MDN19" i="10"/>
  <c r="MED19" i="10"/>
  <c r="MET19" i="10"/>
  <c r="MFJ19" i="10"/>
  <c r="MFZ19" i="10"/>
  <c r="MGP19" i="10"/>
  <c r="MHF19" i="10"/>
  <c r="MHV19" i="10"/>
  <c r="MIL19" i="10"/>
  <c r="MJB19" i="10"/>
  <c r="MJR19" i="10"/>
  <c r="MKH19" i="10"/>
  <c r="MKX19" i="10"/>
  <c r="MLN19" i="10"/>
  <c r="MMD19" i="10"/>
  <c r="MMT19" i="10"/>
  <c r="MNJ19" i="10"/>
  <c r="MNZ19" i="10"/>
  <c r="MOP19" i="10"/>
  <c r="MPF19" i="10"/>
  <c r="MPV19" i="10"/>
  <c r="MQL19" i="10"/>
  <c r="MRB19" i="10"/>
  <c r="MRR19" i="10"/>
  <c r="MSH19" i="10"/>
  <c r="MSX19" i="10"/>
  <c r="MTN19" i="10"/>
  <c r="MUD19" i="10"/>
  <c r="MUT19" i="10"/>
  <c r="MVJ19" i="10"/>
  <c r="MVZ19" i="10"/>
  <c r="MWP19" i="10"/>
  <c r="MXF19" i="10"/>
  <c r="MXV19" i="10"/>
  <c r="MYL19" i="10"/>
  <c r="MZB19" i="10"/>
  <c r="MZR19" i="10"/>
  <c r="NAH19" i="10"/>
  <c r="NAX19" i="10"/>
  <c r="NBN19" i="10"/>
  <c r="NCD19" i="10"/>
  <c r="NCT19" i="10"/>
  <c r="NDJ19" i="10"/>
  <c r="NDZ19" i="10"/>
  <c r="NEP19" i="10"/>
  <c r="NFF19" i="10"/>
  <c r="NFV19" i="10"/>
  <c r="NGL19" i="10"/>
  <c r="NHB19" i="10"/>
  <c r="NHR19" i="10"/>
  <c r="NIH19" i="10"/>
  <c r="NIX19" i="10"/>
  <c r="NJN19" i="10"/>
  <c r="NKD19" i="10"/>
  <c r="NKT19" i="10"/>
  <c r="NLJ19" i="10"/>
  <c r="NLZ19" i="10"/>
  <c r="NMP19" i="10"/>
  <c r="NNF19" i="10"/>
  <c r="NNV19" i="10"/>
  <c r="NOL19" i="10"/>
  <c r="NPB19" i="10"/>
  <c r="NPR19" i="10"/>
  <c r="NQH19" i="10"/>
  <c r="NQX19" i="10"/>
  <c r="NRN19" i="10"/>
  <c r="NSD19" i="10"/>
  <c r="NST19" i="10"/>
  <c r="NTJ19" i="10"/>
  <c r="NTZ19" i="10"/>
  <c r="NUP19" i="10"/>
  <c r="NVF19" i="10"/>
  <c r="NVV19" i="10"/>
  <c r="NWL19" i="10"/>
  <c r="NXB19" i="10"/>
  <c r="NXR19" i="10"/>
  <c r="NYH19" i="10"/>
  <c r="NYX19" i="10"/>
  <c r="NZN19" i="10"/>
  <c r="OAD19" i="10"/>
  <c r="OAT19" i="10"/>
  <c r="OBJ19" i="10"/>
  <c r="OBZ19" i="10"/>
  <c r="OCP19" i="10"/>
  <c r="ODF19" i="10"/>
  <c r="ODV19" i="10"/>
  <c r="OEL19" i="10"/>
  <c r="OFB19" i="10"/>
  <c r="OFR19" i="10"/>
  <c r="OGH19" i="10"/>
  <c r="OGX19" i="10"/>
  <c r="OHN19" i="10"/>
  <c r="OID19" i="10"/>
  <c r="OIT19" i="10"/>
  <c r="OJJ19" i="10"/>
  <c r="OJZ19" i="10"/>
  <c r="OKP19" i="10"/>
  <c r="OLF19" i="10"/>
  <c r="OLV19" i="10"/>
  <c r="OML19" i="10"/>
  <c r="ONB19" i="10"/>
  <c r="ONR19" i="10"/>
  <c r="OOH19" i="10"/>
  <c r="OOX19" i="10"/>
  <c r="OPN19" i="10"/>
  <c r="OQD19" i="10"/>
  <c r="OQT19" i="10"/>
  <c r="ORJ19" i="10"/>
  <c r="ORZ19" i="10"/>
  <c r="OSP19" i="10"/>
  <c r="OTF19" i="10"/>
  <c r="OTV19" i="10"/>
  <c r="OUL19" i="10"/>
  <c r="OVB19" i="10"/>
  <c r="OVR19" i="10"/>
  <c r="OWH19" i="10"/>
  <c r="OWX19" i="10"/>
  <c r="OXN19" i="10"/>
  <c r="OYD19" i="10"/>
  <c r="OYT19" i="10"/>
  <c r="OZJ19" i="10"/>
  <c r="OZZ19" i="10"/>
  <c r="PAP19" i="10"/>
  <c r="PBF19" i="10"/>
  <c r="PBV19" i="10"/>
  <c r="PCL19" i="10"/>
  <c r="PDB19" i="10"/>
  <c r="PDR19" i="10"/>
  <c r="PEH19" i="10"/>
  <c r="PEX19" i="10"/>
  <c r="PFN19" i="10"/>
  <c r="PGD19" i="10"/>
  <c r="PGT19" i="10"/>
  <c r="PHJ19" i="10"/>
  <c r="PHZ19" i="10"/>
  <c r="PIP19" i="10"/>
  <c r="PJF19" i="10"/>
  <c r="PJV19" i="10"/>
  <c r="PKL19" i="10"/>
  <c r="PLB19" i="10"/>
  <c r="PLR19" i="10"/>
  <c r="PMH19" i="10"/>
  <c r="PMX19" i="10"/>
  <c r="PNN19" i="10"/>
  <c r="POD19" i="10"/>
  <c r="POT19" i="10"/>
  <c r="PPJ19" i="10"/>
  <c r="PPZ19" i="10"/>
  <c r="PQP19" i="10"/>
  <c r="PRF19" i="10"/>
  <c r="PRV19" i="10"/>
  <c r="PSL19" i="10"/>
  <c r="PTB19" i="10"/>
  <c r="PTR19" i="10"/>
  <c r="PUH19" i="10"/>
  <c r="PUX19" i="10"/>
  <c r="PVN19" i="10"/>
  <c r="PEY19" i="10"/>
  <c r="PHK19" i="10"/>
  <c r="PJW19" i="10"/>
  <c r="PMI19" i="10"/>
  <c r="POU19" i="10"/>
  <c r="PRG19" i="10"/>
  <c r="PTS19" i="10"/>
  <c r="PWA19" i="10"/>
  <c r="PWX19" i="10"/>
  <c r="PXS19" i="10"/>
  <c r="PYN19" i="10"/>
  <c r="PZJ19" i="10"/>
  <c r="QAE19" i="10"/>
  <c r="QAZ19" i="10"/>
  <c r="QBV19" i="10"/>
  <c r="QCQ19" i="10"/>
  <c r="QDL19" i="10"/>
  <c r="QEH19" i="10"/>
  <c r="QFC19" i="10"/>
  <c r="QFX19" i="10"/>
  <c r="QGT19" i="10"/>
  <c r="QHO19" i="10"/>
  <c r="QIJ19" i="10"/>
  <c r="QJF19" i="10"/>
  <c r="QKA19" i="10"/>
  <c r="QKV19" i="10"/>
  <c r="QLR19" i="10"/>
  <c r="QMM19" i="10"/>
  <c r="QNH19" i="10"/>
  <c r="QOD19" i="10"/>
  <c r="QOY19" i="10"/>
  <c r="QPT19" i="10"/>
  <c r="QQP19" i="10"/>
  <c r="QRK19" i="10"/>
  <c r="QSF19" i="10"/>
  <c r="QTB19" i="10"/>
  <c r="QTW19" i="10"/>
  <c r="QUR19" i="10"/>
  <c r="QVN19" i="10"/>
  <c r="QWI19" i="10"/>
  <c r="QXD19" i="10"/>
  <c r="QXZ19" i="10"/>
  <c r="QYU19" i="10"/>
  <c r="QZP19" i="10"/>
  <c r="RAL19" i="10"/>
  <c r="RBG19" i="10"/>
  <c r="RCB19" i="10"/>
  <c r="RCX19" i="10"/>
  <c r="RDS19" i="10"/>
  <c r="REN19" i="10"/>
  <c r="RFJ19" i="10"/>
  <c r="RGE19" i="10"/>
  <c r="RGZ19" i="10"/>
  <c r="RHV19" i="10"/>
  <c r="RIQ19" i="10"/>
  <c r="RJL19" i="10"/>
  <c r="RKH19" i="10"/>
  <c r="RLC19" i="10"/>
  <c r="RLX19" i="10"/>
  <c r="RMT19" i="10"/>
  <c r="RNO19" i="10"/>
  <c r="ROJ19" i="10"/>
  <c r="RPF19" i="10"/>
  <c r="RQA19" i="10"/>
  <c r="RQV19" i="10"/>
  <c r="RRR19" i="10"/>
  <c r="RSM19" i="10"/>
  <c r="RTH19" i="10"/>
  <c r="RUD19" i="10"/>
  <c r="RUY19" i="10"/>
  <c r="RVT19" i="10"/>
  <c r="RWP19" i="10"/>
  <c r="RXK19" i="10"/>
  <c r="RYF19" i="10"/>
  <c r="RZB19" i="10"/>
  <c r="RZW19" i="10"/>
  <c r="SAR19" i="10"/>
  <c r="SBN19" i="10"/>
  <c r="SCI19" i="10"/>
  <c r="SDD19" i="10"/>
  <c r="SDZ19" i="10"/>
  <c r="SEU19" i="10"/>
  <c r="SFP19" i="10"/>
  <c r="SGL19" i="10"/>
  <c r="SHG19" i="10"/>
  <c r="SIB19" i="10"/>
  <c r="SIX19" i="10"/>
  <c r="SJS19" i="10"/>
  <c r="SKN19" i="10"/>
  <c r="SLJ19" i="10"/>
  <c r="SME19" i="10"/>
  <c r="SMZ19" i="10"/>
  <c r="SNV19" i="10"/>
  <c r="SOQ19" i="10"/>
  <c r="SPL19" i="10"/>
  <c r="SQH19" i="10"/>
  <c r="SRC19" i="10"/>
  <c r="SRX19" i="10"/>
  <c r="SST19" i="10"/>
  <c r="STO19" i="10"/>
  <c r="SUJ19" i="10"/>
  <c r="SVF19" i="10"/>
  <c r="SWA19" i="10"/>
  <c r="SWV19" i="10"/>
  <c r="SXR19" i="10"/>
  <c r="SYM19" i="10"/>
  <c r="SZH19" i="10"/>
  <c r="TAD19" i="10"/>
  <c r="TAY19" i="10"/>
  <c r="TBT19" i="10"/>
  <c r="TCN19" i="10"/>
  <c r="TDD19" i="10"/>
  <c r="TDT19" i="10"/>
  <c r="TEJ19" i="10"/>
  <c r="TEZ19" i="10"/>
  <c r="TFP19" i="10"/>
  <c r="TGF19" i="10"/>
  <c r="TGV19" i="10"/>
  <c r="THL19" i="10"/>
  <c r="TIB19" i="10"/>
  <c r="TIR19" i="10"/>
  <c r="TJH19" i="10"/>
  <c r="TJX19" i="10"/>
  <c r="TKN19" i="10"/>
  <c r="TLD19" i="10"/>
  <c r="TLT19" i="10"/>
  <c r="TMJ19" i="10"/>
  <c r="TMZ19" i="10"/>
  <c r="TNP19" i="10"/>
  <c r="TOF19" i="10"/>
  <c r="TOV19" i="10"/>
  <c r="TPL19" i="10"/>
  <c r="TQB19" i="10"/>
  <c r="TQR19" i="10"/>
  <c r="TRH19" i="10"/>
  <c r="TRX19" i="10"/>
  <c r="TSN19" i="10"/>
  <c r="TTD19" i="10"/>
  <c r="TTT19" i="10"/>
  <c r="TUJ19" i="10"/>
  <c r="TUZ19" i="10"/>
  <c r="TVP19" i="10"/>
  <c r="TWF19" i="10"/>
  <c r="TWV19" i="10"/>
  <c r="TXL19" i="10"/>
  <c r="TYB19" i="10"/>
  <c r="TYR19" i="10"/>
  <c r="TZH19" i="10"/>
  <c r="TZX19" i="10"/>
  <c r="UAN19" i="10"/>
  <c r="UBD19" i="10"/>
  <c r="UBT19" i="10"/>
  <c r="UCJ19" i="10"/>
  <c r="UCZ19" i="10"/>
  <c r="UDP19" i="10"/>
  <c r="UEF19" i="10"/>
  <c r="UEV19" i="10"/>
  <c r="UFL19" i="10"/>
  <c r="UGB19" i="10"/>
  <c r="UGR19" i="10"/>
  <c r="UHH19" i="10"/>
  <c r="UHX19" i="10"/>
  <c r="UIN19" i="10"/>
  <c r="UJD19" i="10"/>
  <c r="UJT19" i="10"/>
  <c r="UKJ19" i="10"/>
  <c r="UKZ19" i="10"/>
  <c r="ULP19" i="10"/>
  <c r="UMF19" i="10"/>
  <c r="UMV19" i="10"/>
  <c r="UNL19" i="10"/>
  <c r="UOB19" i="10"/>
  <c r="UOR19" i="10"/>
  <c r="UPH19" i="10"/>
  <c r="UPX19" i="10"/>
  <c r="UQN19" i="10"/>
  <c r="URD19" i="10"/>
  <c r="URT19" i="10"/>
  <c r="USJ19" i="10"/>
  <c r="USZ19" i="10"/>
  <c r="UTP19" i="10"/>
  <c r="UUF19" i="10"/>
  <c r="UUV19" i="10"/>
  <c r="UVL19" i="10"/>
  <c r="UWB19" i="10"/>
  <c r="UWR19" i="10"/>
  <c r="UXH19" i="10"/>
  <c r="UXX19" i="10"/>
  <c r="UYN19" i="10"/>
  <c r="UZD19" i="10"/>
  <c r="UZT19" i="10"/>
  <c r="VAJ19" i="10"/>
  <c r="VAZ19" i="10"/>
  <c r="VBP19" i="10"/>
  <c r="VCF19" i="10"/>
  <c r="VCV19" i="10"/>
  <c r="VDL19" i="10"/>
  <c r="VEB19" i="10"/>
  <c r="VER19" i="10"/>
  <c r="VFH19" i="10"/>
  <c r="VFX19" i="10"/>
  <c r="VGN19" i="10"/>
  <c r="VHD19" i="10"/>
  <c r="VHT19" i="10"/>
  <c r="VIJ19" i="10"/>
  <c r="VIZ19" i="10"/>
  <c r="VJP19" i="10"/>
  <c r="VKF19" i="10"/>
  <c r="VKV19" i="10"/>
  <c r="VLL19" i="10"/>
  <c r="VMB19" i="10"/>
  <c r="VMR19" i="10"/>
  <c r="VNH19" i="10"/>
  <c r="VNX19" i="10"/>
  <c r="VON19" i="10"/>
  <c r="VPD19" i="10"/>
  <c r="VPT19" i="10"/>
  <c r="VQJ19" i="10"/>
  <c r="VQZ19" i="10"/>
  <c r="VRP19" i="10"/>
  <c r="VSF19" i="10"/>
  <c r="VSV19" i="10"/>
  <c r="VTL19" i="10"/>
  <c r="VUB19" i="10"/>
  <c r="VUR19" i="10"/>
  <c r="VVH19" i="10"/>
  <c r="VVX19" i="10"/>
  <c r="VWN19" i="10"/>
  <c r="VXD19" i="10"/>
  <c r="VXT19" i="10"/>
  <c r="VYJ19" i="10"/>
  <c r="VYZ19" i="10"/>
  <c r="VZP19" i="10"/>
  <c r="WAF19" i="10"/>
  <c r="WAV19" i="10"/>
  <c r="WBL19" i="10"/>
  <c r="WCB19" i="10"/>
  <c r="WCR19" i="10"/>
  <c r="WDH19" i="10"/>
  <c r="WDX19" i="10"/>
  <c r="WEN19" i="10"/>
  <c r="WFL19" i="10"/>
  <c r="WGZ19" i="10"/>
  <c r="WJD19" i="10"/>
  <c r="WLH19" i="10"/>
  <c r="WNL19" i="10"/>
  <c r="WPL19" i="10"/>
  <c r="WRP19" i="10"/>
  <c r="WTP19" i="10"/>
  <c r="WVX19" i="10"/>
  <c r="WXX19" i="10"/>
  <c r="XAB19" i="10"/>
  <c r="XCB19" i="10"/>
  <c r="XEF19" i="10"/>
  <c r="WQG19" i="10"/>
  <c r="WSW19" i="10"/>
  <c r="WVQ19" i="10"/>
  <c r="WYG19" i="10"/>
  <c r="XBA19" i="10"/>
  <c r="XDQ19" i="10"/>
  <c r="PEM19" i="10"/>
  <c r="PGY19" i="10"/>
  <c r="PJK19" i="10"/>
  <c r="PLW19" i="10"/>
  <c r="POI19" i="10"/>
  <c r="PQU19" i="10"/>
  <c r="PTG19" i="10"/>
  <c r="PVS19" i="10"/>
  <c r="PWT19" i="10"/>
  <c r="PXO19" i="10"/>
  <c r="PYJ19" i="10"/>
  <c r="PZF19" i="10"/>
  <c r="QAA19" i="10"/>
  <c r="QAV19" i="10"/>
  <c r="QBR19" i="10"/>
  <c r="QCM19" i="10"/>
  <c r="QDH19" i="10"/>
  <c r="QED19" i="10"/>
  <c r="QEY19" i="10"/>
  <c r="QFT19" i="10"/>
  <c r="QGP19" i="10"/>
  <c r="QHK19" i="10"/>
  <c r="QIF19" i="10"/>
  <c r="QJB19" i="10"/>
  <c r="QJW19" i="10"/>
  <c r="QKR19" i="10"/>
  <c r="QLN19" i="10"/>
  <c r="QMI19" i="10"/>
  <c r="QND19" i="10"/>
  <c r="QNZ19" i="10"/>
  <c r="QOU19" i="10"/>
  <c r="QPP19" i="10"/>
  <c r="QQL19" i="10"/>
  <c r="QRG19" i="10"/>
  <c r="QSB19" i="10"/>
  <c r="QSX19" i="10"/>
  <c r="QTS19" i="10"/>
  <c r="QUN19" i="10"/>
  <c r="QVJ19" i="10"/>
  <c r="QWE19" i="10"/>
  <c r="QWZ19" i="10"/>
  <c r="QXV19" i="10"/>
  <c r="QYQ19" i="10"/>
  <c r="QZL19" i="10"/>
  <c r="RAH19" i="10"/>
  <c r="RBC19" i="10"/>
  <c r="RBX19" i="10"/>
  <c r="RCT19" i="10"/>
  <c r="RDO19" i="10"/>
  <c r="REJ19" i="10"/>
  <c r="RFF19" i="10"/>
  <c r="RGA19" i="10"/>
  <c r="RGV19" i="10"/>
  <c r="RHR19" i="10"/>
  <c r="RIM19" i="10"/>
  <c r="RJH19" i="10"/>
  <c r="RKD19" i="10"/>
  <c r="RKY19" i="10"/>
  <c r="RLT19" i="10"/>
  <c r="RMP19" i="10"/>
  <c r="RNK19" i="10"/>
  <c r="ROF19" i="10"/>
  <c r="RPB19" i="10"/>
  <c r="RPW19" i="10"/>
  <c r="RQR19" i="10"/>
  <c r="RRN19" i="10"/>
  <c r="RSI19" i="10"/>
  <c r="RTD19" i="10"/>
  <c r="RTZ19" i="10"/>
  <c r="RUU19" i="10"/>
  <c r="RVP19" i="10"/>
  <c r="RWL19" i="10"/>
  <c r="RXG19" i="10"/>
  <c r="RYB19" i="10"/>
  <c r="RYX19" i="10"/>
  <c r="RZS19" i="10"/>
  <c r="SAN19" i="10"/>
  <c r="SBJ19" i="10"/>
  <c r="SCE19" i="10"/>
  <c r="SCZ19" i="10"/>
  <c r="SDV19" i="10"/>
  <c r="SEQ19" i="10"/>
  <c r="SFL19" i="10"/>
  <c r="SGH19" i="10"/>
  <c r="SHC19" i="10"/>
  <c r="SHX19" i="10"/>
  <c r="SIT19" i="10"/>
  <c r="SJO19" i="10"/>
  <c r="SKJ19" i="10"/>
  <c r="SLF19" i="10"/>
  <c r="SMA19" i="10"/>
  <c r="SMV19" i="10"/>
  <c r="SNR19" i="10"/>
  <c r="SOM19" i="10"/>
  <c r="SPH19" i="10"/>
  <c r="SQD19" i="10"/>
  <c r="SQY19" i="10"/>
  <c r="SRT19" i="10"/>
  <c r="SSP19" i="10"/>
  <c r="STK19" i="10"/>
  <c r="SUF19" i="10"/>
  <c r="SVB19" i="10"/>
  <c r="SVW19" i="10"/>
  <c r="SWR19" i="10"/>
  <c r="SXN19" i="10"/>
  <c r="SYI19" i="10"/>
  <c r="SZD19" i="10"/>
  <c r="SZZ19" i="10"/>
  <c r="TAU19" i="10"/>
  <c r="TBP19" i="10"/>
  <c r="TCK19" i="10"/>
  <c r="TDA19" i="10"/>
  <c r="TDQ19" i="10"/>
  <c r="TEG19" i="10"/>
  <c r="TEW19" i="10"/>
  <c r="TFM19" i="10"/>
  <c r="TGC19" i="10"/>
  <c r="TGS19" i="10"/>
  <c r="THI19" i="10"/>
  <c r="THY19" i="10"/>
  <c r="TIO19" i="10"/>
  <c r="TJE19" i="10"/>
  <c r="TJU19" i="10"/>
  <c r="TKK19" i="10"/>
  <c r="TLA19" i="10"/>
  <c r="TLQ19" i="10"/>
  <c r="TMG19" i="10"/>
  <c r="TMW19" i="10"/>
  <c r="TNM19" i="10"/>
  <c r="TOC19" i="10"/>
  <c r="TOS19" i="10"/>
  <c r="TPI19" i="10"/>
  <c r="TPY19" i="10"/>
  <c r="TQO19" i="10"/>
  <c r="TRE19" i="10"/>
  <c r="TRU19" i="10"/>
  <c r="TSK19" i="10"/>
  <c r="TTA19" i="10"/>
  <c r="TTQ19" i="10"/>
  <c r="TUG19" i="10"/>
  <c r="TUW19" i="10"/>
  <c r="TVM19" i="10"/>
  <c r="TWC19" i="10"/>
  <c r="TWS19" i="10"/>
  <c r="TXI19" i="10"/>
  <c r="TXY19" i="10"/>
  <c r="TYO19" i="10"/>
  <c r="TZE19" i="10"/>
  <c r="TZU19" i="10"/>
  <c r="UAK19" i="10"/>
  <c r="UBA19" i="10"/>
  <c r="UBQ19" i="10"/>
  <c r="UCG19" i="10"/>
  <c r="UCW19" i="10"/>
  <c r="UDM19" i="10"/>
  <c r="UEC19" i="10"/>
  <c r="UES19" i="10"/>
  <c r="UFI19" i="10"/>
  <c r="UFY19" i="10"/>
  <c r="UGO19" i="10"/>
  <c r="UHE19" i="10"/>
  <c r="UHU19" i="10"/>
  <c r="UIK19" i="10"/>
  <c r="UJA19" i="10"/>
  <c r="UJQ19" i="10"/>
  <c r="UKG19" i="10"/>
  <c r="UKW19" i="10"/>
  <c r="ULM19" i="10"/>
  <c r="UMC19" i="10"/>
  <c r="UMS19" i="10"/>
  <c r="UNI19" i="10"/>
  <c r="UNY19" i="10"/>
  <c r="UOO19" i="10"/>
  <c r="UPE19" i="10"/>
  <c r="UPU19" i="10"/>
  <c r="UQK19" i="10"/>
  <c r="URA19" i="10"/>
  <c r="URQ19" i="10"/>
  <c r="USG19" i="10"/>
  <c r="USW19" i="10"/>
  <c r="UTM19" i="10"/>
  <c r="UUC19" i="10"/>
  <c r="UUS19" i="10"/>
  <c r="UVI19" i="10"/>
  <c r="UVY19" i="10"/>
  <c r="UWO19" i="10"/>
  <c r="UXE19" i="10"/>
  <c r="UXU19" i="10"/>
  <c r="UYK19" i="10"/>
  <c r="UZA19" i="10"/>
  <c r="UZQ19" i="10"/>
  <c r="VAG19" i="10"/>
  <c r="VAW19" i="10"/>
  <c r="VBM19" i="10"/>
  <c r="VCC19" i="10"/>
  <c r="VCS19" i="10"/>
  <c r="VDI19" i="10"/>
  <c r="VDY19" i="10"/>
  <c r="VEO19" i="10"/>
  <c r="VFE19" i="10"/>
  <c r="VFU19" i="10"/>
  <c r="VGK19" i="10"/>
  <c r="VHA19" i="10"/>
  <c r="VHQ19" i="10"/>
  <c r="VIG19" i="10"/>
  <c r="VIW19" i="10"/>
  <c r="VJM19" i="10"/>
  <c r="VKC19" i="10"/>
  <c r="VKS19" i="10"/>
  <c r="VLI19" i="10"/>
  <c r="VLY19" i="10"/>
  <c r="VMO19" i="10"/>
  <c r="VNE19" i="10"/>
  <c r="VNU19" i="10"/>
  <c r="VOK19" i="10"/>
  <c r="VPA19" i="10"/>
  <c r="VPQ19" i="10"/>
  <c r="VQG19" i="10"/>
  <c r="VQW19" i="10"/>
  <c r="VRM19" i="10"/>
  <c r="VSC19" i="10"/>
  <c r="VSS19" i="10"/>
  <c r="VTI19" i="10"/>
  <c r="VTY19" i="10"/>
  <c r="VUO19" i="10"/>
  <c r="VVE19" i="10"/>
  <c r="VVU19" i="10"/>
  <c r="VWK19" i="10"/>
  <c r="VXA19" i="10"/>
  <c r="VXQ19" i="10"/>
  <c r="VYG19" i="10"/>
  <c r="VYW19" i="10"/>
  <c r="VZM19" i="10"/>
  <c r="WAC19" i="10"/>
  <c r="WAS19" i="10"/>
  <c r="WBI19" i="10"/>
  <c r="WBY19" i="10"/>
  <c r="WCO19" i="10"/>
  <c r="WDE19" i="10"/>
  <c r="WDU19" i="10"/>
  <c r="WEK19" i="10"/>
  <c r="WFA19" i="10"/>
  <c r="WFQ19" i="10"/>
  <c r="WGG19" i="10"/>
  <c r="WGW19" i="10"/>
  <c r="WHM19" i="10"/>
  <c r="WIC19" i="10"/>
  <c r="WIS19" i="10"/>
  <c r="WJI19" i="10"/>
  <c r="WJY19" i="10"/>
  <c r="WKO19" i="10"/>
  <c r="WLE19" i="10"/>
  <c r="WLU19" i="10"/>
  <c r="WMK19" i="10"/>
  <c r="WNA19" i="10"/>
  <c r="WNQ19" i="10"/>
  <c r="WOK19" i="10"/>
  <c r="WQO19" i="10"/>
  <c r="WTI19" i="10"/>
  <c r="WVY19" i="10"/>
  <c r="WYS19" i="10"/>
  <c r="XBM19" i="10"/>
  <c r="XEC19" i="10"/>
  <c r="PFG19" i="10"/>
  <c r="PHS19" i="10"/>
  <c r="PKE19" i="10"/>
  <c r="PMQ19" i="10"/>
  <c r="PPC19" i="10"/>
  <c r="PRO19" i="10"/>
  <c r="PUA19" i="10"/>
  <c r="PWE19" i="10"/>
  <c r="PWZ19" i="10"/>
  <c r="PXV19" i="10"/>
  <c r="PYQ19" i="10"/>
  <c r="PZL19" i="10"/>
  <c r="QAH19" i="10"/>
  <c r="QBC19" i="10"/>
  <c r="QBX19" i="10"/>
  <c r="QCT19" i="10"/>
  <c r="QDO19" i="10"/>
  <c r="QEJ19" i="10"/>
  <c r="QFF19" i="10"/>
  <c r="QGA19" i="10"/>
  <c r="QGV19" i="10"/>
  <c r="QHR19" i="10"/>
  <c r="QIM19" i="10"/>
  <c r="QJH19" i="10"/>
  <c r="QKD19" i="10"/>
  <c r="QKY19" i="10"/>
  <c r="QLT19" i="10"/>
  <c r="QMP19" i="10"/>
  <c r="QNK19" i="10"/>
  <c r="QOF19" i="10"/>
  <c r="QPB19" i="10"/>
  <c r="QPW19" i="10"/>
  <c r="QQR19" i="10"/>
  <c r="QRN19" i="10"/>
  <c r="QSI19" i="10"/>
  <c r="QTD19" i="10"/>
  <c r="QTZ19" i="10"/>
  <c r="QUU19" i="10"/>
  <c r="QVP19" i="10"/>
  <c r="QWL19" i="10"/>
  <c r="QXG19" i="10"/>
  <c r="QYB19" i="10"/>
  <c r="QYX19" i="10"/>
  <c r="QZS19" i="10"/>
  <c r="RAN19" i="10"/>
  <c r="RBJ19" i="10"/>
  <c r="RCE19" i="10"/>
  <c r="RCZ19" i="10"/>
  <c r="RDV19" i="10"/>
  <c r="REQ19" i="10"/>
  <c r="RFL19" i="10"/>
  <c r="RGH19" i="10"/>
  <c r="RHC19" i="10"/>
  <c r="RHX19" i="10"/>
  <c r="RIT19" i="10"/>
  <c r="RJO19" i="10"/>
  <c r="RKJ19" i="10"/>
  <c r="RLF19" i="10"/>
  <c r="RMA19" i="10"/>
  <c r="RMV19" i="10"/>
  <c r="RNR19" i="10"/>
  <c r="ROM19" i="10"/>
  <c r="RPH19" i="10"/>
  <c r="RQD19" i="10"/>
  <c r="RQY19" i="10"/>
  <c r="RRT19" i="10"/>
  <c r="RSP19" i="10"/>
  <c r="RTK19" i="10"/>
  <c r="RUF19" i="10"/>
  <c r="RVB19" i="10"/>
  <c r="RVW19" i="10"/>
  <c r="RWR19" i="10"/>
  <c r="RXN19" i="10"/>
  <c r="RYI19" i="10"/>
  <c r="RZD19" i="10"/>
  <c r="RZZ19" i="10"/>
  <c r="SAU19" i="10"/>
  <c r="SBP19" i="10"/>
  <c r="SCL19" i="10"/>
  <c r="SDG19" i="10"/>
  <c r="SEB19" i="10"/>
  <c r="SEX19" i="10"/>
  <c r="SFS19" i="10"/>
  <c r="SGN19" i="10"/>
  <c r="SHJ19" i="10"/>
  <c r="SIE19" i="10"/>
  <c r="SIZ19" i="10"/>
  <c r="SJV19" i="10"/>
  <c r="SKQ19" i="10"/>
  <c r="SLL19" i="10"/>
  <c r="SMH19" i="10"/>
  <c r="SNC19" i="10"/>
  <c r="SNX19" i="10"/>
  <c r="SOT19" i="10"/>
  <c r="SPO19" i="10"/>
  <c r="SQJ19" i="10"/>
  <c r="SRF19" i="10"/>
  <c r="SSA19" i="10"/>
  <c r="SSV19" i="10"/>
  <c r="STR19" i="10"/>
  <c r="SUM19" i="10"/>
  <c r="SVH19" i="10"/>
  <c r="SWD19" i="10"/>
  <c r="SWY19" i="10"/>
  <c r="SXT19" i="10"/>
  <c r="SYP19" i="10"/>
  <c r="SZK19" i="10"/>
  <c r="TAF19" i="10"/>
  <c r="TBB19" i="10"/>
  <c r="TBW19" i="10"/>
  <c r="TCP19" i="10"/>
  <c r="TDF19" i="10"/>
  <c r="TDV19" i="10"/>
  <c r="TEL19" i="10"/>
  <c r="TFB19" i="10"/>
  <c r="TFR19" i="10"/>
  <c r="TGH19" i="10"/>
  <c r="TGX19" i="10"/>
  <c r="THN19" i="10"/>
  <c r="TID19" i="10"/>
  <c r="TIT19" i="10"/>
  <c r="TJJ19" i="10"/>
  <c r="TJZ19" i="10"/>
  <c r="TKP19" i="10"/>
  <c r="TLF19" i="10"/>
  <c r="TLV19" i="10"/>
  <c r="TML19" i="10"/>
  <c r="TNB19" i="10"/>
  <c r="TNR19" i="10"/>
  <c r="TOH19" i="10"/>
  <c r="TOX19" i="10"/>
  <c r="TPN19" i="10"/>
  <c r="TQD19" i="10"/>
  <c r="TQT19" i="10"/>
  <c r="TRJ19" i="10"/>
  <c r="TRZ19" i="10"/>
  <c r="TSP19" i="10"/>
  <c r="TTF19" i="10"/>
  <c r="TTV19" i="10"/>
  <c r="TUL19" i="10"/>
  <c r="TVB19" i="10"/>
  <c r="TVR19" i="10"/>
  <c r="TWH19" i="10"/>
  <c r="TWX19" i="10"/>
  <c r="TXN19" i="10"/>
  <c r="TYD19" i="10"/>
  <c r="TYT19" i="10"/>
  <c r="TZJ19" i="10"/>
  <c r="TZZ19" i="10"/>
  <c r="UAP19" i="10"/>
  <c r="UBF19" i="10"/>
  <c r="UBV19" i="10"/>
  <c r="UCL19" i="10"/>
  <c r="UDB19" i="10"/>
  <c r="UDR19" i="10"/>
  <c r="UEH19" i="10"/>
  <c r="UEX19" i="10"/>
  <c r="UFN19" i="10"/>
  <c r="UGD19" i="10"/>
  <c r="UGT19" i="10"/>
  <c r="UHJ19" i="10"/>
  <c r="UHZ19" i="10"/>
  <c r="UIP19" i="10"/>
  <c r="UJF19" i="10"/>
  <c r="UJV19" i="10"/>
  <c r="UKL19" i="10"/>
  <c r="ULB19" i="10"/>
  <c r="ULR19" i="10"/>
  <c r="UMH19" i="10"/>
  <c r="UMX19" i="10"/>
  <c r="UNN19" i="10"/>
  <c r="UOD19" i="10"/>
  <c r="UOT19" i="10"/>
  <c r="UPJ19" i="10"/>
  <c r="DKO19" i="10"/>
  <c r="DMV19" i="10"/>
  <c r="DOE19" i="10"/>
  <c r="DPK19" i="10"/>
  <c r="DQQ19" i="10"/>
  <c r="DRK19" i="10"/>
  <c r="DSE19" i="10"/>
  <c r="DTC19" i="10"/>
  <c r="DTW19" i="10"/>
  <c r="DUQ19" i="10"/>
  <c r="DVO19" i="10"/>
  <c r="DWI19" i="10"/>
  <c r="DXC19" i="10"/>
  <c r="DYA19" i="10"/>
  <c r="DYU19" i="10"/>
  <c r="DZO19" i="10"/>
  <c r="EAM19" i="10"/>
  <c r="EBG19" i="10"/>
  <c r="ECA19" i="10"/>
  <c r="ECY19" i="10"/>
  <c r="EDS19" i="10"/>
  <c r="EEM19" i="10"/>
  <c r="EFK19" i="10"/>
  <c r="EGE19" i="10"/>
  <c r="EGY19" i="10"/>
  <c r="EHW19" i="10"/>
  <c r="EIQ19" i="10"/>
  <c r="EJK19" i="10"/>
  <c r="EKI19" i="10"/>
  <c r="ELC19" i="10"/>
  <c r="ELW19" i="10"/>
  <c r="EMU19" i="10"/>
  <c r="ENO19" i="10"/>
  <c r="EOI19" i="10"/>
  <c r="EPG19" i="10"/>
  <c r="EQA19" i="10"/>
  <c r="EQU19" i="10"/>
  <c r="ERS19" i="10"/>
  <c r="ESM19" i="10"/>
  <c r="ETG19" i="10"/>
  <c r="EUE19" i="10"/>
  <c r="EUY19" i="10"/>
  <c r="EVS19" i="10"/>
  <c r="EWQ19" i="10"/>
  <c r="EXK19" i="10"/>
  <c r="EYE19" i="10"/>
  <c r="EZC19" i="10"/>
  <c r="EZW19" i="10"/>
  <c r="FAQ19" i="10"/>
  <c r="FBO19" i="10"/>
  <c r="FCI19" i="10"/>
  <c r="FDC19" i="10"/>
  <c r="FEA19" i="10"/>
  <c r="FEU19" i="10"/>
  <c r="FFO19" i="10"/>
  <c r="FGM19" i="10"/>
  <c r="FHG19" i="10"/>
  <c r="FIA19" i="10"/>
  <c r="FIY19" i="10"/>
  <c r="FJS19" i="10"/>
  <c r="FKM19" i="10"/>
  <c r="FLK19" i="10"/>
  <c r="FME19" i="10"/>
  <c r="FMY19" i="10"/>
  <c r="FNW19" i="10"/>
  <c r="FOQ19" i="10"/>
  <c r="FPK19" i="10"/>
  <c r="FQI19" i="10"/>
  <c r="FRC19" i="10"/>
  <c r="FRW19" i="10"/>
  <c r="FSU19" i="10"/>
  <c r="FTO19" i="10"/>
  <c r="FUI19" i="10"/>
  <c r="FVG19" i="10"/>
  <c r="FWA19" i="10"/>
  <c r="FWU19" i="10"/>
  <c r="FXS19" i="10"/>
  <c r="FYM19" i="10"/>
  <c r="FZG19" i="10"/>
  <c r="GAE19" i="10"/>
  <c r="GAY19" i="10"/>
  <c r="GBS19" i="10"/>
  <c r="GCQ19" i="10"/>
  <c r="GDK19" i="10"/>
  <c r="GEE19" i="10"/>
  <c r="GFC19" i="10"/>
  <c r="GFW19" i="10"/>
  <c r="GGQ19" i="10"/>
  <c r="GHO19" i="10"/>
  <c r="GII19" i="10"/>
  <c r="GJC19" i="10"/>
  <c r="GKA19" i="10"/>
  <c r="GKU19" i="10"/>
  <c r="GLO19" i="10"/>
  <c r="GMM19" i="10"/>
  <c r="GNG19" i="10"/>
  <c r="GOA19" i="10"/>
  <c r="GOY19" i="10"/>
  <c r="GPS19" i="10"/>
  <c r="GQM19" i="10"/>
  <c r="GRK19" i="10"/>
  <c r="GSE19" i="10"/>
  <c r="GSY19" i="10"/>
  <c r="GTW19" i="10"/>
  <c r="GUQ19" i="10"/>
  <c r="GVK19" i="10"/>
  <c r="GWI19" i="10"/>
  <c r="GXC19" i="10"/>
  <c r="GXW19" i="10"/>
  <c r="GYU19" i="10"/>
  <c r="GZO19" i="10"/>
  <c r="HAI19" i="10"/>
  <c r="HBG19" i="10"/>
  <c r="HCA19" i="10"/>
  <c r="HCU19" i="10"/>
  <c r="HDS19" i="10"/>
  <c r="HEM19" i="10"/>
  <c r="AFD19" i="10"/>
  <c r="AIV19" i="10"/>
  <c r="ALX19" i="10"/>
  <c r="AOZ19" i="10"/>
  <c r="ASR19" i="10"/>
  <c r="AVT19" i="10"/>
  <c r="AYS19" i="10"/>
  <c r="BAO19" i="10"/>
  <c r="BCC19" i="10"/>
  <c r="BDQ19" i="10"/>
  <c r="BFJ19" i="10"/>
  <c r="BGK19" i="10"/>
  <c r="BHL19" i="10"/>
  <c r="BIR19" i="10"/>
  <c r="BJR19" i="10"/>
  <c r="BKS19" i="10"/>
  <c r="BLY19" i="10"/>
  <c r="BMZ19" i="10"/>
  <c r="BNZ19" i="10"/>
  <c r="BPF19" i="10"/>
  <c r="BQG19" i="10"/>
  <c r="BRH19" i="10"/>
  <c r="BSN19" i="10"/>
  <c r="BTN19" i="10"/>
  <c r="BUO19" i="10"/>
  <c r="BVU19" i="10"/>
  <c r="BWV19" i="10"/>
  <c r="BXV19" i="10"/>
  <c r="BZB19" i="10"/>
  <c r="CAC19" i="10"/>
  <c r="CBD19" i="10"/>
  <c r="CCJ19" i="10"/>
  <c r="CDJ19" i="10"/>
  <c r="CEK19" i="10"/>
  <c r="CFQ19" i="10"/>
  <c r="CGR19" i="10"/>
  <c r="CHR19" i="10"/>
  <c r="CIX19" i="10"/>
  <c r="CJY19" i="10"/>
  <c r="CKZ19" i="10"/>
  <c r="CMF19" i="10"/>
  <c r="CNF19" i="10"/>
  <c r="COG19" i="10"/>
  <c r="CPM19" i="10"/>
  <c r="CQN19" i="10"/>
  <c r="CRN19" i="10"/>
  <c r="CST19" i="10"/>
  <c r="CTU19" i="10"/>
  <c r="CUV19" i="10"/>
  <c r="CWB19" i="10"/>
  <c r="CXB19" i="10"/>
  <c r="CYC19" i="10"/>
  <c r="CZI19" i="10"/>
  <c r="DAJ19" i="10"/>
  <c r="DBJ19" i="10"/>
  <c r="DCP19" i="10"/>
  <c r="DDQ19" i="10"/>
  <c r="DER19" i="10"/>
  <c r="DFX19" i="10"/>
  <c r="DGX19" i="10"/>
  <c r="DHY19" i="10"/>
  <c r="DJE19" i="10"/>
  <c r="DKF19" i="10"/>
  <c r="DLF19" i="10"/>
  <c r="DML19" i="10"/>
  <c r="DNL19" i="10"/>
  <c r="DOF19" i="10"/>
  <c r="DPD19" i="10"/>
  <c r="DPX19" i="10"/>
  <c r="DQR19" i="10"/>
  <c r="DRP19" i="10"/>
  <c r="DSJ19" i="10"/>
  <c r="DTD19" i="10"/>
  <c r="DUB19" i="10"/>
  <c r="DUV19" i="10"/>
  <c r="DVP19" i="10"/>
  <c r="DWN19" i="10"/>
  <c r="DXH19" i="10"/>
  <c r="DYB19" i="10"/>
  <c r="DYZ19" i="10"/>
  <c r="DZT19" i="10"/>
  <c r="EAN19" i="10"/>
  <c r="EBL19" i="10"/>
  <c r="ECF19" i="10"/>
  <c r="ECZ19" i="10"/>
  <c r="EDX19" i="10"/>
  <c r="EER19" i="10"/>
  <c r="EFL19" i="10"/>
  <c r="EGJ19" i="10"/>
  <c r="EHD19" i="10"/>
  <c r="EHX19" i="10"/>
  <c r="EIV19" i="10"/>
  <c r="EJP19" i="10"/>
  <c r="EKJ19" i="10"/>
  <c r="ELH19" i="10"/>
  <c r="EMB19" i="10"/>
  <c r="EMV19" i="10"/>
  <c r="ENT19" i="10"/>
  <c r="EON19" i="10"/>
  <c r="EPH19" i="10"/>
  <c r="EQF19" i="10"/>
  <c r="EQZ19" i="10"/>
  <c r="ERT19" i="10"/>
  <c r="ESR19" i="10"/>
  <c r="ETL19" i="10"/>
  <c r="EUF19" i="10"/>
  <c r="EVD19" i="10"/>
  <c r="EVX19" i="10"/>
  <c r="EWR19" i="10"/>
  <c r="EXP19" i="10"/>
  <c r="EYJ19" i="10"/>
  <c r="EZD19" i="10"/>
  <c r="FAB19" i="10"/>
  <c r="FAV19" i="10"/>
  <c r="FBP19" i="10"/>
  <c r="FCN19" i="10"/>
  <c r="FDH19" i="10"/>
  <c r="FEB19" i="10"/>
  <c r="FEZ19" i="10"/>
  <c r="FFT19" i="10"/>
  <c r="FGN19" i="10"/>
  <c r="FHL19" i="10"/>
  <c r="FIF19" i="10"/>
  <c r="FIZ19" i="10"/>
  <c r="FJX19" i="10"/>
  <c r="FKR19" i="10"/>
  <c r="FLL19" i="10"/>
  <c r="FMJ19" i="10"/>
  <c r="FND19" i="10"/>
  <c r="FNX19" i="10"/>
  <c r="FOV19" i="10"/>
  <c r="FPP19" i="10"/>
  <c r="FQJ19" i="10"/>
  <c r="FRH19" i="10"/>
  <c r="FSB19" i="10"/>
  <c r="FSV19" i="10"/>
  <c r="FTT19" i="10"/>
  <c r="FUN19" i="10"/>
  <c r="FVH19" i="10"/>
  <c r="FWF19" i="10"/>
  <c r="FWZ19" i="10"/>
  <c r="FXT19" i="10"/>
  <c r="FYR19" i="10"/>
  <c r="FZL19" i="10"/>
  <c r="GAF19" i="10"/>
  <c r="GBD19" i="10"/>
  <c r="GBX19" i="10"/>
  <c r="GCR19" i="10"/>
  <c r="GDP19" i="10"/>
  <c r="GEJ19" i="10"/>
  <c r="GFD19" i="10"/>
  <c r="GGB19" i="10"/>
  <c r="GGV19" i="10"/>
  <c r="GHP19" i="10"/>
  <c r="GIN19" i="10"/>
  <c r="GJH19" i="10"/>
  <c r="GKB19" i="10"/>
  <c r="GKZ19" i="10"/>
  <c r="GLT19" i="10"/>
  <c r="GMN19" i="10"/>
  <c r="GNL19" i="10"/>
  <c r="GOF19" i="10"/>
  <c r="GOZ19" i="10"/>
  <c r="GPX19" i="10"/>
  <c r="GQR19" i="10"/>
  <c r="GRL19" i="10"/>
  <c r="GSJ19" i="10"/>
  <c r="GTD19" i="10"/>
  <c r="GTX19" i="10"/>
  <c r="GUV19" i="10"/>
  <c r="GVP19" i="10"/>
  <c r="GWJ19" i="10"/>
  <c r="GXH19" i="10"/>
  <c r="GYB19" i="10"/>
  <c r="GYV19" i="10"/>
  <c r="GZT19" i="10"/>
  <c r="HAN19" i="10"/>
  <c r="HBH19" i="10"/>
  <c r="HCF19" i="10"/>
  <c r="HCZ19" i="10"/>
  <c r="HDT19" i="10"/>
  <c r="HER19" i="10"/>
  <c r="HFL19" i="10"/>
  <c r="HGF19" i="10"/>
  <c r="HHD19" i="10"/>
  <c r="HHX19" i="10"/>
  <c r="HIR19" i="10"/>
  <c r="HJP19" i="10"/>
  <c r="HKJ19" i="10"/>
  <c r="HLD19" i="10"/>
  <c r="HMB19" i="10"/>
  <c r="HMV19" i="10"/>
  <c r="HNP19" i="10"/>
  <c r="HON19" i="10"/>
  <c r="HPH19" i="10"/>
  <c r="HQB19" i="10"/>
  <c r="HQZ19" i="10"/>
  <c r="HRT19" i="10"/>
  <c r="HSN19" i="10"/>
  <c r="HTL19" i="10"/>
  <c r="HUF19" i="10"/>
  <c r="HUZ19" i="10"/>
  <c r="HVX19" i="10"/>
  <c r="HWR19" i="10"/>
  <c r="HXL19" i="10"/>
  <c r="HYJ19" i="10"/>
  <c r="HZD19" i="10"/>
  <c r="HZX19" i="10"/>
  <c r="IAV19" i="10"/>
  <c r="IBP19" i="10"/>
  <c r="ICJ19" i="10"/>
  <c r="IDH19" i="10"/>
  <c r="IEB19" i="10"/>
  <c r="IEV19" i="10"/>
  <c r="IFT19" i="10"/>
  <c r="IGN19" i="10"/>
  <c r="IHH19" i="10"/>
  <c r="IIF19" i="10"/>
  <c r="IIZ19" i="10"/>
  <c r="IJT19" i="10"/>
  <c r="IKR19" i="10"/>
  <c r="ILL19" i="10"/>
  <c r="IMF19" i="10"/>
  <c r="IND19" i="10"/>
  <c r="INX19" i="10"/>
  <c r="IOR19" i="10"/>
  <c r="IPP19" i="10"/>
  <c r="IQJ19" i="10"/>
  <c r="IRD19" i="10"/>
  <c r="ISB19" i="10"/>
  <c r="ISV19" i="10"/>
  <c r="ITP19" i="10"/>
  <c r="IUN19" i="10"/>
  <c r="IVH19" i="10"/>
  <c r="IWB19" i="10"/>
  <c r="IWZ19" i="10"/>
  <c r="IXT19" i="10"/>
  <c r="IYN19" i="10"/>
  <c r="IZL19" i="10"/>
  <c r="JAF19" i="10"/>
  <c r="JAZ19" i="10"/>
  <c r="JBX19" i="10"/>
  <c r="JCR19" i="10"/>
  <c r="JDL19" i="10"/>
  <c r="JEJ19" i="10"/>
  <c r="JFD19" i="10"/>
  <c r="JFX19" i="10"/>
  <c r="JGV19" i="10"/>
  <c r="JHP19" i="10"/>
  <c r="JIJ19" i="10"/>
  <c r="JJH19" i="10"/>
  <c r="JKB19" i="10"/>
  <c r="JKV19" i="10"/>
  <c r="JLT19" i="10"/>
  <c r="JMN19" i="10"/>
  <c r="JNH19" i="10"/>
  <c r="AFX19" i="10"/>
  <c r="AIZ19" i="10"/>
  <c r="AMB19" i="10"/>
  <c r="APT19" i="10"/>
  <c r="ASV19" i="10"/>
  <c r="AVX19" i="10"/>
  <c r="AZD19" i="10"/>
  <c r="BAR19" i="10"/>
  <c r="BCF19" i="10"/>
  <c r="BEB19" i="10"/>
  <c r="BFL19" i="10"/>
  <c r="BGL19" i="10"/>
  <c r="BHR19" i="10"/>
  <c r="BIS19" i="10"/>
  <c r="BJT19" i="10"/>
  <c r="BKZ19" i="10"/>
  <c r="BLZ19" i="10"/>
  <c r="BNA19" i="10"/>
  <c r="BOG19" i="10"/>
  <c r="BPH19" i="10"/>
  <c r="BQH19" i="10"/>
  <c r="BRN19" i="10"/>
  <c r="BSO19" i="10"/>
  <c r="BTP19" i="10"/>
  <c r="BUV19" i="10"/>
  <c r="BVV19" i="10"/>
  <c r="BWW19" i="10"/>
  <c r="BYC19" i="10"/>
  <c r="BZD19" i="10"/>
  <c r="CAD19" i="10"/>
  <c r="CBJ19" i="10"/>
  <c r="CCK19" i="10"/>
  <c r="CDL19" i="10"/>
  <c r="CER19" i="10"/>
  <c r="CFR19" i="10"/>
  <c r="CGS19" i="10"/>
  <c r="CHY19" i="10"/>
  <c r="CIZ19" i="10"/>
  <c r="CJZ19" i="10"/>
  <c r="CLF19" i="10"/>
  <c r="CMG19" i="10"/>
  <c r="CNH19" i="10"/>
  <c r="CON19" i="10"/>
  <c r="CPN19" i="10"/>
  <c r="CQO19" i="10"/>
  <c r="CRU19" i="10"/>
  <c r="CSV19" i="10"/>
  <c r="CTV19" i="10"/>
  <c r="CVB19" i="10"/>
  <c r="CWC19" i="10"/>
  <c r="CXD19" i="10"/>
  <c r="CYJ19" i="10"/>
  <c r="CZJ19" i="10"/>
  <c r="DAK19" i="10"/>
  <c r="DBQ19" i="10"/>
  <c r="DCR19" i="10"/>
  <c r="DDR19" i="10"/>
  <c r="DEX19" i="10"/>
  <c r="DFY19" i="10"/>
  <c r="DGZ19" i="10"/>
  <c r="DIF19" i="10"/>
  <c r="DJF19" i="10"/>
  <c r="DKG19" i="10"/>
  <c r="DLM19" i="10"/>
  <c r="DMN19" i="10"/>
  <c r="DNM19" i="10"/>
  <c r="DOK19" i="10"/>
  <c r="DPE19" i="10"/>
  <c r="DPY19" i="10"/>
  <c r="DQW19" i="10"/>
  <c r="DRQ19" i="10"/>
  <c r="DSK19" i="10"/>
  <c r="DTI19" i="10"/>
  <c r="DUC19" i="10"/>
  <c r="DUW19" i="10"/>
  <c r="DVU19" i="10"/>
  <c r="DWO19" i="10"/>
  <c r="DXI19" i="10"/>
  <c r="DYG19" i="10"/>
  <c r="DZA19" i="10"/>
  <c r="DZU19" i="10"/>
  <c r="EAS19" i="10"/>
  <c r="EBM19" i="10"/>
  <c r="ECG19" i="10"/>
  <c r="EDE19" i="10"/>
  <c r="EDY19" i="10"/>
  <c r="EES19" i="10"/>
  <c r="EFQ19" i="10"/>
  <c r="EGK19" i="10"/>
  <c r="EHE19" i="10"/>
  <c r="EIC19" i="10"/>
  <c r="EIW19" i="10"/>
  <c r="EJQ19" i="10"/>
  <c r="EKO19" i="10"/>
  <c r="ELI19" i="10"/>
  <c r="EMC19" i="10"/>
  <c r="ENA19" i="10"/>
  <c r="ENU19" i="10"/>
  <c r="EOO19" i="10"/>
  <c r="EPM19" i="10"/>
  <c r="EQG19" i="10"/>
  <c r="ERA19" i="10"/>
  <c r="ERY19" i="10"/>
  <c r="ESS19" i="10"/>
  <c r="ETM19" i="10"/>
  <c r="EUK19" i="10"/>
  <c r="EVE19" i="10"/>
  <c r="EVY19" i="10"/>
  <c r="EWW19" i="10"/>
  <c r="EXQ19" i="10"/>
  <c r="EYK19" i="10"/>
  <c r="EZI19" i="10"/>
  <c r="FAC19" i="10"/>
  <c r="FAW19" i="10"/>
  <c r="FBU19" i="10"/>
  <c r="FCO19" i="10"/>
  <c r="FDI19" i="10"/>
  <c r="FEG19" i="10"/>
  <c r="FFA19" i="10"/>
  <c r="FFU19" i="10"/>
  <c r="FGS19" i="10"/>
  <c r="FHM19" i="10"/>
  <c r="FIG19" i="10"/>
  <c r="FJE19" i="10"/>
  <c r="FJY19" i="10"/>
  <c r="FKS19" i="10"/>
  <c r="FLQ19" i="10"/>
  <c r="FMK19" i="10"/>
  <c r="FNE19" i="10"/>
  <c r="FOC19" i="10"/>
  <c r="FOW19" i="10"/>
  <c r="FPQ19" i="10"/>
  <c r="FQO19" i="10"/>
  <c r="FRI19" i="10"/>
  <c r="FSC19" i="10"/>
  <c r="FTA19" i="10"/>
  <c r="FTU19" i="10"/>
  <c r="FUO19" i="10"/>
  <c r="FVM19" i="10"/>
  <c r="FWG19" i="10"/>
  <c r="FXA19" i="10"/>
  <c r="FXY19" i="10"/>
  <c r="FYS19" i="10"/>
  <c r="FZM19" i="10"/>
  <c r="GAK19" i="10"/>
  <c r="GBE19" i="10"/>
  <c r="GBY19" i="10"/>
  <c r="GCW19" i="10"/>
  <c r="GDQ19" i="10"/>
  <c r="GEK19" i="10"/>
  <c r="GFI19" i="10"/>
  <c r="GGC19" i="10"/>
  <c r="GGW19" i="10"/>
  <c r="GHU19" i="10"/>
  <c r="GIO19" i="10"/>
  <c r="GJI19" i="10"/>
  <c r="GKG19" i="10"/>
  <c r="GLA19" i="10"/>
  <c r="GLU19" i="10"/>
  <c r="GMS19" i="10"/>
  <c r="GNM19" i="10"/>
  <c r="GOG19" i="10"/>
  <c r="GPE19" i="10"/>
  <c r="GPY19" i="10"/>
  <c r="GQS19" i="10"/>
  <c r="GRQ19" i="10"/>
  <c r="GSK19" i="10"/>
  <c r="GTE19" i="10"/>
  <c r="GUC19" i="10"/>
  <c r="GUW19" i="10"/>
  <c r="GVQ19" i="10"/>
  <c r="GWO19" i="10"/>
  <c r="GXI19" i="10"/>
  <c r="GYC19" i="10"/>
  <c r="GZA19" i="10"/>
  <c r="GZU19" i="10"/>
  <c r="HAO19" i="10"/>
  <c r="HBM19" i="10"/>
  <c r="HCG19" i="10"/>
  <c r="HDA19" i="10"/>
  <c r="HDY19" i="10"/>
  <c r="HFI19" i="10"/>
  <c r="HGI19" i="10"/>
  <c r="HHO19" i="10"/>
  <c r="HIP19" i="10"/>
  <c r="HJQ19" i="10"/>
  <c r="HKW19" i="10"/>
  <c r="HLW19" i="10"/>
  <c r="HMX19" i="10"/>
  <c r="HNY19" i="10"/>
  <c r="HOT19" i="10"/>
  <c r="HPO19" i="10"/>
  <c r="HQK19" i="10"/>
  <c r="HRF19" i="10"/>
  <c r="HSA19" i="10"/>
  <c r="HSW19" i="10"/>
  <c r="HTR19" i="10"/>
  <c r="HUM19" i="10"/>
  <c r="HVI19" i="10"/>
  <c r="HWD19" i="10"/>
  <c r="HWY19" i="10"/>
  <c r="HXU19" i="10"/>
  <c r="HYP19" i="10"/>
  <c r="HZK19" i="10"/>
  <c r="IAG19" i="10"/>
  <c r="IBB19" i="10"/>
  <c r="IBW19" i="10"/>
  <c r="ICS19" i="10"/>
  <c r="IDN19" i="10"/>
  <c r="IEI19" i="10"/>
  <c r="IFE19" i="10"/>
  <c r="IFZ19" i="10"/>
  <c r="IGU19" i="10"/>
  <c r="IHQ19" i="10"/>
  <c r="IIL19" i="10"/>
  <c r="IJG19" i="10"/>
  <c r="IKC19" i="10"/>
  <c r="IKX19" i="10"/>
  <c r="ILS19" i="10"/>
  <c r="IMO19" i="10"/>
  <c r="INJ19" i="10"/>
  <c r="IOE19" i="10"/>
  <c r="IPA19" i="10"/>
  <c r="IPV19" i="10"/>
  <c r="IQQ19" i="10"/>
  <c r="IRM19" i="10"/>
  <c r="ISH19" i="10"/>
  <c r="ITC19" i="10"/>
  <c r="ITY19" i="10"/>
  <c r="IUT19" i="10"/>
  <c r="IVO19" i="10"/>
  <c r="IWK19" i="10"/>
  <c r="IXF19" i="10"/>
  <c r="IYA19" i="10"/>
  <c r="IYW19" i="10"/>
  <c r="IZR19" i="10"/>
  <c r="JAM19" i="10"/>
  <c r="JBI19" i="10"/>
  <c r="JCD19" i="10"/>
  <c r="JCY19" i="10"/>
  <c r="JDU19" i="10"/>
  <c r="JEP19" i="10"/>
  <c r="JFK19" i="10"/>
  <c r="JGG19" i="10"/>
  <c r="JHB19" i="10"/>
  <c r="JHW19" i="10"/>
  <c r="JIS19" i="10"/>
  <c r="JJN19" i="10"/>
  <c r="JKI19" i="10"/>
  <c r="JLE19" i="10"/>
  <c r="JLZ19" i="10"/>
  <c r="JMU19" i="10"/>
  <c r="JNQ19" i="10"/>
  <c r="JOI19" i="10"/>
  <c r="JOY19" i="10"/>
  <c r="JPO19" i="10"/>
  <c r="JQE19" i="10"/>
  <c r="JQU19" i="10"/>
  <c r="JRK19" i="10"/>
  <c r="JSA19" i="10"/>
  <c r="JSQ19" i="10"/>
  <c r="JTG19" i="10"/>
  <c r="JTW19" i="10"/>
  <c r="JUM19" i="10"/>
  <c r="JVC19" i="10"/>
  <c r="JVS19" i="10"/>
  <c r="JWI19" i="10"/>
  <c r="JWY19" i="10"/>
  <c r="JXO19" i="10"/>
  <c r="JYE19" i="10"/>
  <c r="JYU19" i="10"/>
  <c r="JZK19" i="10"/>
  <c r="KAA19" i="10"/>
  <c r="KAQ19" i="10"/>
  <c r="KBG19" i="10"/>
  <c r="KBW19" i="10"/>
  <c r="KCM19" i="10"/>
  <c r="KDC19" i="10"/>
  <c r="KDS19" i="10"/>
  <c r="KEI19" i="10"/>
  <c r="KEY19" i="10"/>
  <c r="KFO19" i="10"/>
  <c r="KGE19" i="10"/>
  <c r="KGU19" i="10"/>
  <c r="KHK19" i="10"/>
  <c r="KIA19" i="10"/>
  <c r="KIQ19" i="10"/>
  <c r="KJG19" i="10"/>
  <c r="KJW19" i="10"/>
  <c r="KKM19" i="10"/>
  <c r="KLC19" i="10"/>
  <c r="KLS19" i="10"/>
  <c r="KMI19" i="10"/>
  <c r="KMY19" i="10"/>
  <c r="KNO19" i="10"/>
  <c r="KOE19" i="10"/>
  <c r="KOU19" i="10"/>
  <c r="KPK19" i="10"/>
  <c r="KQA19" i="10"/>
  <c r="KQQ19" i="10"/>
  <c r="KRG19" i="10"/>
  <c r="KRW19" i="10"/>
  <c r="KSM19" i="10"/>
  <c r="KTC19" i="10"/>
  <c r="KTS19" i="10"/>
  <c r="KUI19" i="10"/>
  <c r="KUY19" i="10"/>
  <c r="KVO19" i="10"/>
  <c r="KWE19" i="10"/>
  <c r="KWU19" i="10"/>
  <c r="KXK19" i="10"/>
  <c r="KYA19" i="10"/>
  <c r="KYQ19" i="10"/>
  <c r="KZG19" i="10"/>
  <c r="KZW19" i="10"/>
  <c r="LAM19" i="10"/>
  <c r="LBC19" i="10"/>
  <c r="LBS19" i="10"/>
  <c r="LCI19" i="10"/>
  <c r="LCY19" i="10"/>
  <c r="LDO19" i="10"/>
  <c r="LEE19" i="10"/>
  <c r="LEU19" i="10"/>
  <c r="LFK19" i="10"/>
  <c r="LGA19" i="10"/>
  <c r="LGQ19" i="10"/>
  <c r="LHG19" i="10"/>
  <c r="LHW19" i="10"/>
  <c r="LIM19" i="10"/>
  <c r="LJC19" i="10"/>
  <c r="LJS19" i="10"/>
  <c r="LKI19" i="10"/>
  <c r="LKY19" i="10"/>
  <c r="LLO19" i="10"/>
  <c r="LME19" i="10"/>
  <c r="LMU19" i="10"/>
  <c r="LNK19" i="10"/>
  <c r="LOA19" i="10"/>
  <c r="LOQ19" i="10"/>
  <c r="LPG19" i="10"/>
  <c r="LPW19" i="10"/>
  <c r="LQM19" i="10"/>
  <c r="LRC19" i="10"/>
  <c r="LRS19" i="10"/>
  <c r="LSI19" i="10"/>
  <c r="LSY19" i="10"/>
  <c r="LTO19" i="10"/>
  <c r="LUE19" i="10"/>
  <c r="LUU19" i="10"/>
  <c r="LVK19" i="10"/>
  <c r="LWA19" i="10"/>
  <c r="LWQ19" i="10"/>
  <c r="LXG19" i="10"/>
  <c r="LXW19" i="10"/>
  <c r="LYM19" i="10"/>
  <c r="LZC19" i="10"/>
  <c r="LZS19" i="10"/>
  <c r="MAI19" i="10"/>
  <c r="MAY19" i="10"/>
  <c r="MBO19" i="10"/>
  <c r="MCE19" i="10"/>
  <c r="MCU19" i="10"/>
  <c r="MDK19" i="10"/>
  <c r="MEA19" i="10"/>
  <c r="MEQ19" i="10"/>
  <c r="MFG19" i="10"/>
  <c r="MFW19" i="10"/>
  <c r="MGM19" i="10"/>
  <c r="MHC19" i="10"/>
  <c r="MHS19" i="10"/>
  <c r="MII19" i="10"/>
  <c r="MIY19" i="10"/>
  <c r="MJO19" i="10"/>
  <c r="MKE19" i="10"/>
  <c r="MKU19" i="10"/>
  <c r="MLK19" i="10"/>
  <c r="MMA19" i="10"/>
  <c r="MMQ19" i="10"/>
  <c r="MNG19" i="10"/>
  <c r="MNW19" i="10"/>
  <c r="MOM19" i="10"/>
  <c r="MPC19" i="10"/>
  <c r="MPS19" i="10"/>
  <c r="MQI19" i="10"/>
  <c r="MQY19" i="10"/>
  <c r="MRO19" i="10"/>
  <c r="MSE19" i="10"/>
  <c r="MSU19" i="10"/>
  <c r="MTK19" i="10"/>
  <c r="MUA19" i="10"/>
  <c r="MUQ19" i="10"/>
  <c r="MVG19" i="10"/>
  <c r="MVW19" i="10"/>
  <c r="MWM19" i="10"/>
  <c r="MXC19" i="10"/>
  <c r="MXS19" i="10"/>
  <c r="MYI19" i="10"/>
  <c r="MYY19" i="10"/>
  <c r="MZO19" i="10"/>
  <c r="NAE19" i="10"/>
  <c r="NAU19" i="10"/>
  <c r="NBK19" i="10"/>
  <c r="NCA19" i="10"/>
  <c r="NCQ19" i="10"/>
  <c r="NDG19" i="10"/>
  <c r="NDW19" i="10"/>
  <c r="NEM19" i="10"/>
  <c r="NFC19" i="10"/>
  <c r="NFS19" i="10"/>
  <c r="NGI19" i="10"/>
  <c r="NGY19" i="10"/>
  <c r="NHO19" i="10"/>
  <c r="NIE19" i="10"/>
  <c r="NIU19" i="10"/>
  <c r="NJK19" i="10"/>
  <c r="NKA19" i="10"/>
  <c r="NKQ19" i="10"/>
  <c r="NLG19" i="10"/>
  <c r="NLW19" i="10"/>
  <c r="NMM19" i="10"/>
  <c r="NNC19" i="10"/>
  <c r="NNS19" i="10"/>
  <c r="NOI19" i="10"/>
  <c r="NOY19" i="10"/>
  <c r="NPO19" i="10"/>
  <c r="NQE19" i="10"/>
  <c r="NQU19" i="10"/>
  <c r="NRK19" i="10"/>
  <c r="NSA19" i="10"/>
  <c r="NSQ19" i="10"/>
  <c r="NTG19" i="10"/>
  <c r="NTW19" i="10"/>
  <c r="NUM19" i="10"/>
  <c r="NVC19" i="10"/>
  <c r="NVS19" i="10"/>
  <c r="NWI19" i="10"/>
  <c r="NWY19" i="10"/>
  <c r="NXO19" i="10"/>
  <c r="NYE19" i="10"/>
  <c r="NYU19" i="10"/>
  <c r="NZK19" i="10"/>
  <c r="OAA19" i="10"/>
  <c r="OAQ19" i="10"/>
  <c r="OBG19" i="10"/>
  <c r="OBW19" i="10"/>
  <c r="OCM19" i="10"/>
  <c r="ODC19" i="10"/>
  <c r="ODS19" i="10"/>
  <c r="OEI19" i="10"/>
  <c r="OEY19" i="10"/>
  <c r="OFO19" i="10"/>
  <c r="OGE19" i="10"/>
  <c r="OGU19" i="10"/>
  <c r="OHK19" i="10"/>
  <c r="OIA19" i="10"/>
  <c r="OIQ19" i="10"/>
  <c r="OJG19" i="10"/>
  <c r="OJW19" i="10"/>
  <c r="OKM19" i="10"/>
  <c r="OLC19" i="10"/>
  <c r="OLS19" i="10"/>
  <c r="OMI19" i="10"/>
  <c r="OMY19" i="10"/>
  <c r="ONO19" i="10"/>
  <c r="OOE19" i="10"/>
  <c r="OOU19" i="10"/>
  <c r="OPK19" i="10"/>
  <c r="OQA19" i="10"/>
  <c r="OQQ19" i="10"/>
  <c r="ORG19" i="10"/>
  <c r="ORW19" i="10"/>
  <c r="OSM19" i="10"/>
  <c r="OTC19" i="10"/>
  <c r="OTS19" i="10"/>
  <c r="OUI19" i="10"/>
  <c r="OUY19" i="10"/>
  <c r="OVO19" i="10"/>
  <c r="OWE19" i="10"/>
  <c r="OWU19" i="10"/>
  <c r="OXK19" i="10"/>
  <c r="OYA19" i="10"/>
  <c r="OYQ19" i="10"/>
  <c r="OZG19" i="10"/>
  <c r="OZW19" i="10"/>
  <c r="PAM19" i="10"/>
  <c r="PBC19" i="10"/>
  <c r="PBS19" i="10"/>
  <c r="PCI19" i="10"/>
  <c r="PCY19" i="10"/>
  <c r="PDO19" i="10"/>
  <c r="HFJ19" i="10"/>
  <c r="HGE19" i="10"/>
  <c r="HHA19" i="10"/>
  <c r="HHV19" i="10"/>
  <c r="HIQ19" i="10"/>
  <c r="HJM19" i="10"/>
  <c r="HKH19" i="10"/>
  <c r="HLC19" i="10"/>
  <c r="HLY19" i="10"/>
  <c r="HMT19" i="10"/>
  <c r="HNO19" i="10"/>
  <c r="HOK19" i="10"/>
  <c r="HPF19" i="10"/>
  <c r="HQA19" i="10"/>
  <c r="HQW19" i="10"/>
  <c r="HRR19" i="10"/>
  <c r="HSM19" i="10"/>
  <c r="HTI19" i="10"/>
  <c r="HUD19" i="10"/>
  <c r="HUY19" i="10"/>
  <c r="HVU19" i="10"/>
  <c r="HWP19" i="10"/>
  <c r="HXK19" i="10"/>
  <c r="HYG19" i="10"/>
  <c r="HZB19" i="10"/>
  <c r="HZW19" i="10"/>
  <c r="IAS19" i="10"/>
  <c r="IBN19" i="10"/>
  <c r="ICI19" i="10"/>
  <c r="IDE19" i="10"/>
  <c r="IDZ19" i="10"/>
  <c r="IEU19" i="10"/>
  <c r="IFQ19" i="10"/>
  <c r="IGL19" i="10"/>
  <c r="IHG19" i="10"/>
  <c r="IIC19" i="10"/>
  <c r="IIX19" i="10"/>
  <c r="IJS19" i="10"/>
  <c r="IKO19" i="10"/>
  <c r="ILJ19" i="10"/>
  <c r="IME19" i="10"/>
  <c r="INA19" i="10"/>
  <c r="INV19" i="10"/>
  <c r="IOQ19" i="10"/>
  <c r="IPM19" i="10"/>
  <c r="IQH19" i="10"/>
  <c r="IRC19" i="10"/>
  <c r="IRY19" i="10"/>
  <c r="IST19" i="10"/>
  <c r="ITO19" i="10"/>
  <c r="IUK19" i="10"/>
  <c r="IVF19" i="10"/>
  <c r="IWA19" i="10"/>
  <c r="IWW19" i="10"/>
  <c r="IXR19" i="10"/>
  <c r="IYM19" i="10"/>
  <c r="IZI19" i="10"/>
  <c r="JAD19" i="10"/>
  <c r="JAY19" i="10"/>
  <c r="JBU19" i="10"/>
  <c r="JCP19" i="10"/>
  <c r="JDK19" i="10"/>
  <c r="JEG19" i="10"/>
  <c r="JFB19" i="10"/>
  <c r="JFW19" i="10"/>
  <c r="JGS19" i="10"/>
  <c r="JHN19" i="10"/>
  <c r="JII19" i="10"/>
  <c r="JJE19" i="10"/>
  <c r="JJZ19" i="10"/>
  <c r="JKU19" i="10"/>
  <c r="JLQ19" i="10"/>
  <c r="JML19" i="10"/>
  <c r="JNG19" i="10"/>
  <c r="JOB19" i="10"/>
  <c r="JOR19" i="10"/>
  <c r="JPH19" i="10"/>
  <c r="JPX19" i="10"/>
  <c r="JQN19" i="10"/>
  <c r="JRD19" i="10"/>
  <c r="JRT19" i="10"/>
  <c r="JSJ19" i="10"/>
  <c r="JSZ19" i="10"/>
  <c r="JTP19" i="10"/>
  <c r="JUF19" i="10"/>
  <c r="JUV19" i="10"/>
  <c r="JVL19" i="10"/>
  <c r="JWB19" i="10"/>
  <c r="JWR19" i="10"/>
  <c r="JXH19" i="10"/>
  <c r="JXX19" i="10"/>
  <c r="JYN19" i="10"/>
  <c r="JZD19" i="10"/>
  <c r="JZT19" i="10"/>
  <c r="KAJ19" i="10"/>
  <c r="KAZ19" i="10"/>
  <c r="KBP19" i="10"/>
  <c r="KCF19" i="10"/>
  <c r="KCV19" i="10"/>
  <c r="KDL19" i="10"/>
  <c r="KEB19" i="10"/>
  <c r="KER19" i="10"/>
  <c r="KFH19" i="10"/>
  <c r="KFX19" i="10"/>
  <c r="KGN19" i="10"/>
  <c r="KHD19" i="10"/>
  <c r="KHT19" i="10"/>
  <c r="KIJ19" i="10"/>
  <c r="KIZ19" i="10"/>
  <c r="KJP19" i="10"/>
  <c r="KKF19" i="10"/>
  <c r="KKV19" i="10"/>
  <c r="KLL19" i="10"/>
  <c r="KMB19" i="10"/>
  <c r="KMR19" i="10"/>
  <c r="KNH19" i="10"/>
  <c r="KNX19" i="10"/>
  <c r="KON19" i="10"/>
  <c r="KPD19" i="10"/>
  <c r="KPT19" i="10"/>
  <c r="KQJ19" i="10"/>
  <c r="KQZ19" i="10"/>
  <c r="KRP19" i="10"/>
  <c r="KSF19" i="10"/>
  <c r="KSV19" i="10"/>
  <c r="KTL19" i="10"/>
  <c r="KUB19" i="10"/>
  <c r="KUR19" i="10"/>
  <c r="KVH19" i="10"/>
  <c r="KVX19" i="10"/>
  <c r="KWN19" i="10"/>
  <c r="KXD19" i="10"/>
  <c r="KXT19" i="10"/>
  <c r="KYJ19" i="10"/>
  <c r="KYZ19" i="10"/>
  <c r="KZP19" i="10"/>
  <c r="LAF19" i="10"/>
  <c r="LAV19" i="10"/>
  <c r="LBL19" i="10"/>
  <c r="LCB19" i="10"/>
  <c r="LCR19" i="10"/>
  <c r="LDH19" i="10"/>
  <c r="LDX19" i="10"/>
  <c r="LEN19" i="10"/>
  <c r="LFD19" i="10"/>
  <c r="LFT19" i="10"/>
  <c r="LGJ19" i="10"/>
  <c r="LGZ19" i="10"/>
  <c r="LHP19" i="10"/>
  <c r="LIF19" i="10"/>
  <c r="LIV19" i="10"/>
  <c r="LJL19" i="10"/>
  <c r="LKB19" i="10"/>
  <c r="LKR19" i="10"/>
  <c r="LLH19" i="10"/>
  <c r="LLX19" i="10"/>
  <c r="LMN19" i="10"/>
  <c r="LND19" i="10"/>
  <c r="LNT19" i="10"/>
  <c r="LOJ19" i="10"/>
  <c r="LOZ19" i="10"/>
  <c r="LPP19" i="10"/>
  <c r="LQF19" i="10"/>
  <c r="LQV19" i="10"/>
  <c r="LRL19" i="10"/>
  <c r="LSB19" i="10"/>
  <c r="LSR19" i="10"/>
  <c r="LTH19" i="10"/>
  <c r="LTX19" i="10"/>
  <c r="LUN19" i="10"/>
  <c r="LVD19" i="10"/>
  <c r="LVT19" i="10"/>
  <c r="LWJ19" i="10"/>
  <c r="LWZ19" i="10"/>
  <c r="LXP19" i="10"/>
  <c r="LYF19" i="10"/>
  <c r="LYV19" i="10"/>
  <c r="LZL19" i="10"/>
  <c r="MAB19" i="10"/>
  <c r="MAR19" i="10"/>
  <c r="MBH19" i="10"/>
  <c r="MBX19" i="10"/>
  <c r="MCN19" i="10"/>
  <c r="MDD19" i="10"/>
  <c r="MDT19" i="10"/>
  <c r="MEJ19" i="10"/>
  <c r="MEZ19" i="10"/>
  <c r="MFP19" i="10"/>
  <c r="MGF19" i="10"/>
  <c r="MGV19" i="10"/>
  <c r="MHL19" i="10"/>
  <c r="MIB19" i="10"/>
  <c r="MIR19" i="10"/>
  <c r="MJH19" i="10"/>
  <c r="MJX19" i="10"/>
  <c r="MKN19" i="10"/>
  <c r="MLD19" i="10"/>
  <c r="MLT19" i="10"/>
  <c r="MMJ19" i="10"/>
  <c r="MMZ19" i="10"/>
  <c r="MNP19" i="10"/>
  <c r="MOF19" i="10"/>
  <c r="MOV19" i="10"/>
  <c r="MPL19" i="10"/>
  <c r="MQB19" i="10"/>
  <c r="MQR19" i="10"/>
  <c r="MRH19" i="10"/>
  <c r="MRX19" i="10"/>
  <c r="MSN19" i="10"/>
  <c r="MTD19" i="10"/>
  <c r="MTT19" i="10"/>
  <c r="MUJ19" i="10"/>
  <c r="MUZ19" i="10"/>
  <c r="MVP19" i="10"/>
  <c r="MWF19" i="10"/>
  <c r="MWV19" i="10"/>
  <c r="MXL19" i="10"/>
  <c r="MYB19" i="10"/>
  <c r="MYR19" i="10"/>
  <c r="MZH19" i="10"/>
  <c r="MZX19" i="10"/>
  <c r="NAN19" i="10"/>
  <c r="NBD19" i="10"/>
  <c r="NBT19" i="10"/>
  <c r="NCJ19" i="10"/>
  <c r="NCZ19" i="10"/>
  <c r="NDP19" i="10"/>
  <c r="NEF19" i="10"/>
  <c r="NEV19" i="10"/>
  <c r="NFL19" i="10"/>
  <c r="NGB19" i="10"/>
  <c r="NGR19" i="10"/>
  <c r="NHH19" i="10"/>
  <c r="NHX19" i="10"/>
  <c r="NIN19" i="10"/>
  <c r="NJD19" i="10"/>
  <c r="NJT19" i="10"/>
  <c r="NKJ19" i="10"/>
  <c r="NKZ19" i="10"/>
  <c r="NLP19" i="10"/>
  <c r="NMF19" i="10"/>
  <c r="NMV19" i="10"/>
  <c r="NNL19" i="10"/>
  <c r="NOB19" i="10"/>
  <c r="NOR19" i="10"/>
  <c r="NPH19" i="10"/>
  <c r="NPX19" i="10"/>
  <c r="NQN19" i="10"/>
  <c r="NRD19" i="10"/>
  <c r="NRT19" i="10"/>
  <c r="NSJ19" i="10"/>
  <c r="NSZ19" i="10"/>
  <c r="NTP19" i="10"/>
  <c r="NUF19" i="10"/>
  <c r="NUV19" i="10"/>
  <c r="NVL19" i="10"/>
  <c r="NWB19" i="10"/>
  <c r="NWR19" i="10"/>
  <c r="NXH19" i="10"/>
  <c r="NXX19" i="10"/>
  <c r="NYN19" i="10"/>
  <c r="NZD19" i="10"/>
  <c r="NZT19" i="10"/>
  <c r="OAJ19" i="10"/>
  <c r="OAZ19" i="10"/>
  <c r="OBP19" i="10"/>
  <c r="OCF19" i="10"/>
  <c r="OCV19" i="10"/>
  <c r="ODL19" i="10"/>
  <c r="OEB19" i="10"/>
  <c r="OER19" i="10"/>
  <c r="OFH19" i="10"/>
  <c r="OFX19" i="10"/>
  <c r="OGN19" i="10"/>
  <c r="OHD19" i="10"/>
  <c r="OHT19" i="10"/>
  <c r="OIJ19" i="10"/>
  <c r="OIZ19" i="10"/>
  <c r="OJP19" i="10"/>
  <c r="OKF19" i="10"/>
  <c r="OKV19" i="10"/>
  <c r="OLL19" i="10"/>
  <c r="OMB19" i="10"/>
  <c r="OMR19" i="10"/>
  <c r="ONH19" i="10"/>
  <c r="ONX19" i="10"/>
  <c r="OON19" i="10"/>
  <c r="OPD19" i="10"/>
  <c r="OPT19" i="10"/>
  <c r="OQJ19" i="10"/>
  <c r="OQZ19" i="10"/>
  <c r="ORP19" i="10"/>
  <c r="OSF19" i="10"/>
  <c r="OSV19" i="10"/>
  <c r="OTL19" i="10"/>
  <c r="OUB19" i="10"/>
  <c r="OUR19" i="10"/>
  <c r="OVH19" i="10"/>
  <c r="OVX19" i="10"/>
  <c r="OWN19" i="10"/>
  <c r="OXD19" i="10"/>
  <c r="OXT19" i="10"/>
  <c r="OYJ19" i="10"/>
  <c r="OYZ19" i="10"/>
  <c r="OZP19" i="10"/>
  <c r="PAF19" i="10"/>
  <c r="PAV19" i="10"/>
  <c r="PBL19" i="10"/>
  <c r="PCB19" i="10"/>
  <c r="PCR19" i="10"/>
  <c r="PDH19" i="10"/>
  <c r="PDX19" i="10"/>
  <c r="PEN19" i="10"/>
  <c r="PFD19" i="10"/>
  <c r="PFT19" i="10"/>
  <c r="PGJ19" i="10"/>
  <c r="PGZ19" i="10"/>
  <c r="PHP19" i="10"/>
  <c r="PIF19" i="10"/>
  <c r="PIV19" i="10"/>
  <c r="PJL19" i="10"/>
  <c r="PKB19" i="10"/>
  <c r="PKR19" i="10"/>
  <c r="PLH19" i="10"/>
  <c r="PLX19" i="10"/>
  <c r="PMN19" i="10"/>
  <c r="PND19" i="10"/>
  <c r="PNT19" i="10"/>
  <c r="POJ19" i="10"/>
  <c r="POZ19" i="10"/>
  <c r="PPP19" i="10"/>
  <c r="PQF19" i="10"/>
  <c r="PQV19" i="10"/>
  <c r="PRL19" i="10"/>
  <c r="PSB19" i="10"/>
  <c r="PSR19" i="10"/>
  <c r="PTH19" i="10"/>
  <c r="PTX19" i="10"/>
  <c r="PUN19" i="10"/>
  <c r="PVD19" i="10"/>
  <c r="PVT19" i="10"/>
  <c r="HFF19" i="10"/>
  <c r="HGA19" i="10"/>
  <c r="HGW19" i="10"/>
  <c r="HHR19" i="10"/>
  <c r="HIM19" i="10"/>
  <c r="HJI19" i="10"/>
  <c r="HKD19" i="10"/>
  <c r="HKY19" i="10"/>
  <c r="HLU19" i="10"/>
  <c r="HMP19" i="10"/>
  <c r="HNK19" i="10"/>
  <c r="HOG19" i="10"/>
  <c r="HPB19" i="10"/>
  <c r="HPW19" i="10"/>
  <c r="HQS19" i="10"/>
  <c r="HRN19" i="10"/>
  <c r="HSI19" i="10"/>
  <c r="HTE19" i="10"/>
  <c r="HTZ19" i="10"/>
  <c r="HUU19" i="10"/>
  <c r="HVQ19" i="10"/>
  <c r="HWL19" i="10"/>
  <c r="HXG19" i="10"/>
  <c r="HYC19" i="10"/>
  <c r="HYX19" i="10"/>
  <c r="HZS19" i="10"/>
  <c r="IAO19" i="10"/>
  <c r="IBJ19" i="10"/>
  <c r="ICE19" i="10"/>
  <c r="IDA19" i="10"/>
  <c r="IDV19" i="10"/>
  <c r="IEQ19" i="10"/>
  <c r="IFM19" i="10"/>
  <c r="IGH19" i="10"/>
  <c r="IHC19" i="10"/>
  <c r="IHY19" i="10"/>
  <c r="IIT19" i="10"/>
  <c r="IJO19" i="10"/>
  <c r="IKK19" i="10"/>
  <c r="ILF19" i="10"/>
  <c r="IMA19" i="10"/>
  <c r="IMW19" i="10"/>
  <c r="INR19" i="10"/>
  <c r="IOM19" i="10"/>
  <c r="IPI19" i="10"/>
  <c r="IQD19" i="10"/>
  <c r="IQY19" i="10"/>
  <c r="IRU19" i="10"/>
  <c r="ISP19" i="10"/>
  <c r="ITK19" i="10"/>
  <c r="IUG19" i="10"/>
  <c r="IVB19" i="10"/>
  <c r="IVW19" i="10"/>
  <c r="IWS19" i="10"/>
  <c r="IXN19" i="10"/>
  <c r="IYI19" i="10"/>
  <c r="IZE19" i="10"/>
  <c r="IZZ19" i="10"/>
  <c r="JAU19" i="10"/>
  <c r="JBQ19" i="10"/>
  <c r="JCL19" i="10"/>
  <c r="JDG19" i="10"/>
  <c r="JEC19" i="10"/>
  <c r="JEX19" i="10"/>
  <c r="JFS19" i="10"/>
  <c r="JGO19" i="10"/>
  <c r="JHJ19" i="10"/>
  <c r="JIE19" i="10"/>
  <c r="JJA19" i="10"/>
  <c r="JJV19" i="10"/>
  <c r="JKQ19" i="10"/>
  <c r="JLM19" i="10"/>
  <c r="JMH19" i="10"/>
  <c r="JNC19" i="10"/>
  <c r="JNY19" i="10"/>
  <c r="JOO19" i="10"/>
  <c r="JPE19" i="10"/>
  <c r="JPU19" i="10"/>
  <c r="JQK19" i="10"/>
  <c r="JRA19" i="10"/>
  <c r="JRQ19" i="10"/>
  <c r="JSG19" i="10"/>
  <c r="JSW19" i="10"/>
  <c r="JTM19" i="10"/>
  <c r="JUC19" i="10"/>
  <c r="JUS19" i="10"/>
  <c r="JVI19" i="10"/>
  <c r="JVY19" i="10"/>
  <c r="JWO19" i="10"/>
  <c r="JXE19" i="10"/>
  <c r="JXU19" i="10"/>
  <c r="JYK19" i="10"/>
  <c r="JZA19" i="10"/>
  <c r="JZQ19" i="10"/>
  <c r="KAG19" i="10"/>
  <c r="KAW19" i="10"/>
  <c r="KBM19" i="10"/>
  <c r="KCC19" i="10"/>
  <c r="KCS19" i="10"/>
  <c r="KDI19" i="10"/>
  <c r="KDY19" i="10"/>
  <c r="KEO19" i="10"/>
  <c r="KFE19" i="10"/>
  <c r="KFU19" i="10"/>
  <c r="KGK19" i="10"/>
  <c r="KHA19" i="10"/>
  <c r="KHQ19" i="10"/>
  <c r="KIG19" i="10"/>
  <c r="KIW19" i="10"/>
  <c r="KJM19" i="10"/>
  <c r="KKC19" i="10"/>
  <c r="KKS19" i="10"/>
  <c r="KLI19" i="10"/>
  <c r="KLY19" i="10"/>
  <c r="KMO19" i="10"/>
  <c r="KNE19" i="10"/>
  <c r="KNU19" i="10"/>
  <c r="KOK19" i="10"/>
  <c r="KPA19" i="10"/>
  <c r="KPQ19" i="10"/>
  <c r="KQG19" i="10"/>
  <c r="KQW19" i="10"/>
  <c r="KRM19" i="10"/>
  <c r="KSC19" i="10"/>
  <c r="KSS19" i="10"/>
  <c r="KTI19" i="10"/>
  <c r="KTY19" i="10"/>
  <c r="KUO19" i="10"/>
  <c r="KVE19" i="10"/>
  <c r="KVU19" i="10"/>
  <c r="KWK19" i="10"/>
  <c r="KXA19" i="10"/>
  <c r="KXQ19" i="10"/>
  <c r="KYG19" i="10"/>
  <c r="KYW19" i="10"/>
  <c r="KZM19" i="10"/>
  <c r="LAC19" i="10"/>
  <c r="LAS19" i="10"/>
  <c r="LBI19" i="10"/>
  <c r="LBY19" i="10"/>
  <c r="LCO19" i="10"/>
  <c r="LDE19" i="10"/>
  <c r="LDU19" i="10"/>
  <c r="LEK19" i="10"/>
  <c r="LFA19" i="10"/>
  <c r="LFQ19" i="10"/>
  <c r="LGG19" i="10"/>
  <c r="LGW19" i="10"/>
  <c r="LHM19" i="10"/>
  <c r="LIC19" i="10"/>
  <c r="LIS19" i="10"/>
  <c r="LJI19" i="10"/>
  <c r="LJY19" i="10"/>
  <c r="LKO19" i="10"/>
  <c r="LLE19" i="10"/>
  <c r="LLU19" i="10"/>
  <c r="LMK19" i="10"/>
  <c r="LNA19" i="10"/>
  <c r="LNQ19" i="10"/>
  <c r="LOG19" i="10"/>
  <c r="LOW19" i="10"/>
  <c r="LPM19" i="10"/>
  <c r="LQC19" i="10"/>
  <c r="LQS19" i="10"/>
  <c r="LRI19" i="10"/>
  <c r="LRY19" i="10"/>
  <c r="LSO19" i="10"/>
  <c r="LTE19" i="10"/>
  <c r="LTU19" i="10"/>
  <c r="LUK19" i="10"/>
  <c r="LVA19" i="10"/>
  <c r="LVQ19" i="10"/>
  <c r="LWG19" i="10"/>
  <c r="LWW19" i="10"/>
  <c r="LXM19" i="10"/>
  <c r="LYC19" i="10"/>
  <c r="LYS19" i="10"/>
  <c r="LZI19" i="10"/>
  <c r="LZY19" i="10"/>
  <c r="MAO19" i="10"/>
  <c r="MBE19" i="10"/>
  <c r="MBU19" i="10"/>
  <c r="MCK19" i="10"/>
  <c r="MDA19" i="10"/>
  <c r="MDQ19" i="10"/>
  <c r="MEG19" i="10"/>
  <c r="MEW19" i="10"/>
  <c r="MFM19" i="10"/>
  <c r="MGC19" i="10"/>
  <c r="MGS19" i="10"/>
  <c r="MHI19" i="10"/>
  <c r="MHY19" i="10"/>
  <c r="MIO19" i="10"/>
  <c r="MJE19" i="10"/>
  <c r="MJU19" i="10"/>
  <c r="MKK19" i="10"/>
  <c r="MLA19" i="10"/>
  <c r="MLQ19" i="10"/>
  <c r="MMG19" i="10"/>
  <c r="MMW19" i="10"/>
  <c r="MNM19" i="10"/>
  <c r="MOC19" i="10"/>
  <c r="MOS19" i="10"/>
  <c r="MPI19" i="10"/>
  <c r="MPY19" i="10"/>
  <c r="MQO19" i="10"/>
  <c r="MRE19" i="10"/>
  <c r="MRU19" i="10"/>
  <c r="MSK19" i="10"/>
  <c r="MTA19" i="10"/>
  <c r="MTQ19" i="10"/>
  <c r="MUG19" i="10"/>
  <c r="MUW19" i="10"/>
  <c r="MVM19" i="10"/>
  <c r="MWC19" i="10"/>
  <c r="MWS19" i="10"/>
  <c r="MXI19" i="10"/>
  <c r="MXY19" i="10"/>
  <c r="MYO19" i="10"/>
  <c r="MZE19" i="10"/>
  <c r="MZU19" i="10"/>
  <c r="NAK19" i="10"/>
  <c r="NBA19" i="10"/>
  <c r="NBQ19" i="10"/>
  <c r="NCG19" i="10"/>
  <c r="NCW19" i="10"/>
  <c r="NDM19" i="10"/>
  <c r="NEC19" i="10"/>
  <c r="NES19" i="10"/>
  <c r="NFI19" i="10"/>
  <c r="NFY19" i="10"/>
  <c r="NGO19" i="10"/>
  <c r="NHE19" i="10"/>
  <c r="NHU19" i="10"/>
  <c r="NIK19" i="10"/>
  <c r="NJA19" i="10"/>
  <c r="NJQ19" i="10"/>
  <c r="NKG19" i="10"/>
  <c r="NKW19" i="10"/>
  <c r="NLM19" i="10"/>
  <c r="NMC19" i="10"/>
  <c r="NMS19" i="10"/>
  <c r="NNI19" i="10"/>
  <c r="NNY19" i="10"/>
  <c r="NOO19" i="10"/>
  <c r="NPE19" i="10"/>
  <c r="NPU19" i="10"/>
  <c r="NQK19" i="10"/>
  <c r="NRA19" i="10"/>
  <c r="NRQ19" i="10"/>
  <c r="NSG19" i="10"/>
  <c r="NSW19" i="10"/>
  <c r="NTM19" i="10"/>
  <c r="NUC19" i="10"/>
  <c r="NUS19" i="10"/>
  <c r="NVI19" i="10"/>
  <c r="NVY19" i="10"/>
  <c r="NWO19" i="10"/>
  <c r="NXE19" i="10"/>
  <c r="NXU19" i="10"/>
  <c r="NYK19" i="10"/>
  <c r="NZA19" i="10"/>
  <c r="NZQ19" i="10"/>
  <c r="OAG19" i="10"/>
  <c r="OAW19" i="10"/>
  <c r="OBM19" i="10"/>
  <c r="OCC19" i="10"/>
  <c r="OCS19" i="10"/>
  <c r="ODI19" i="10"/>
  <c r="ODY19" i="10"/>
  <c r="OEO19" i="10"/>
  <c r="OFE19" i="10"/>
  <c r="OFU19" i="10"/>
  <c r="OGK19" i="10"/>
  <c r="OHA19" i="10"/>
  <c r="OHQ19" i="10"/>
  <c r="OIG19" i="10"/>
  <c r="OIW19" i="10"/>
  <c r="OJM19" i="10"/>
  <c r="OKC19" i="10"/>
  <c r="OKS19" i="10"/>
  <c r="OLI19" i="10"/>
  <c r="OLY19" i="10"/>
  <c r="OMO19" i="10"/>
  <c r="ONE19" i="10"/>
  <c r="ONU19" i="10"/>
  <c r="OOK19" i="10"/>
  <c r="OPA19" i="10"/>
  <c r="OPQ19" i="10"/>
  <c r="OQG19" i="10"/>
  <c r="OQW19" i="10"/>
  <c r="ORM19" i="10"/>
  <c r="OSC19" i="10"/>
  <c r="OSS19" i="10"/>
  <c r="OTI19" i="10"/>
  <c r="OTY19" i="10"/>
  <c r="OUO19" i="10"/>
  <c r="OVE19" i="10"/>
  <c r="OVU19" i="10"/>
  <c r="OWK19" i="10"/>
  <c r="OXA19" i="10"/>
  <c r="OXQ19" i="10"/>
  <c r="OYG19" i="10"/>
  <c r="OYW19" i="10"/>
  <c r="OZM19" i="10"/>
  <c r="PAC19" i="10"/>
  <c r="PAS19" i="10"/>
  <c r="PBI19" i="10"/>
  <c r="PBY19" i="10"/>
  <c r="PCO19" i="10"/>
  <c r="PDE19" i="10"/>
  <c r="PDU19" i="10"/>
  <c r="PEK19" i="10"/>
  <c r="PFA19" i="10"/>
  <c r="PFQ19" i="10"/>
  <c r="PGG19" i="10"/>
  <c r="PGW19" i="10"/>
  <c r="PHM19" i="10"/>
  <c r="PIC19" i="10"/>
  <c r="PIS19" i="10"/>
  <c r="PJI19" i="10"/>
  <c r="PJY19" i="10"/>
  <c r="PKO19" i="10"/>
  <c r="PLE19" i="10"/>
  <c r="PLU19" i="10"/>
  <c r="PMK19" i="10"/>
  <c r="PNA19" i="10"/>
  <c r="PNQ19" i="10"/>
  <c r="POG19" i="10"/>
  <c r="POW19" i="10"/>
  <c r="PPM19" i="10"/>
  <c r="PQC19" i="10"/>
  <c r="PQS19" i="10"/>
  <c r="PRI19" i="10"/>
  <c r="PRY19" i="10"/>
  <c r="PSO19" i="10"/>
  <c r="PTE19" i="10"/>
  <c r="PTU19" i="10"/>
  <c r="PUK19" i="10"/>
  <c r="PVA19" i="10"/>
  <c r="PVQ19" i="10"/>
  <c r="PWG19" i="10"/>
  <c r="PWW19" i="10"/>
  <c r="PXM19" i="10"/>
  <c r="PYC19" i="10"/>
  <c r="PYS19" i="10"/>
  <c r="PZI19" i="10"/>
  <c r="PZY19" i="10"/>
  <c r="QAO19" i="10"/>
  <c r="QBE19" i="10"/>
  <c r="QBU19" i="10"/>
  <c r="QCK19" i="10"/>
  <c r="QDA19" i="10"/>
  <c r="QDQ19" i="10"/>
  <c r="QEG19" i="10"/>
  <c r="QEW19" i="10"/>
  <c r="QFM19" i="10"/>
  <c r="QGC19" i="10"/>
  <c r="QGS19" i="10"/>
  <c r="QHI19" i="10"/>
  <c r="QHY19" i="10"/>
  <c r="QIO19" i="10"/>
  <c r="QJE19" i="10"/>
  <c r="QJU19" i="10"/>
  <c r="QKK19" i="10"/>
  <c r="QLA19" i="10"/>
  <c r="QLQ19" i="10"/>
  <c r="QMG19" i="10"/>
  <c r="QMW19" i="10"/>
  <c r="QNM19" i="10"/>
  <c r="QOC19" i="10"/>
  <c r="QOS19" i="10"/>
  <c r="QPI19" i="10"/>
  <c r="QPY19" i="10"/>
  <c r="QQO19" i="10"/>
  <c r="QRE19" i="10"/>
  <c r="QRU19" i="10"/>
  <c r="QSK19" i="10"/>
  <c r="QTA19" i="10"/>
  <c r="QTQ19" i="10"/>
  <c r="QUG19" i="10"/>
  <c r="QUW19" i="10"/>
  <c r="QVM19" i="10"/>
  <c r="QWC19" i="10"/>
  <c r="QWS19" i="10"/>
  <c r="QXI19" i="10"/>
  <c r="QXY19" i="10"/>
  <c r="QYO19" i="10"/>
  <c r="QZE19" i="10"/>
  <c r="QZU19" i="10"/>
  <c r="RAK19" i="10"/>
  <c r="RBA19" i="10"/>
  <c r="RBQ19" i="10"/>
  <c r="RCG19" i="10"/>
  <c r="RCW19" i="10"/>
  <c r="RDM19" i="10"/>
  <c r="REC19" i="10"/>
  <c r="RES19" i="10"/>
  <c r="RFI19" i="10"/>
  <c r="RFY19" i="10"/>
  <c r="RGO19" i="10"/>
  <c r="RHE19" i="10"/>
  <c r="RHU19" i="10"/>
  <c r="RIK19" i="10"/>
  <c r="RJA19" i="10"/>
  <c r="RJQ19" i="10"/>
  <c r="RKG19" i="10"/>
  <c r="RKW19" i="10"/>
  <c r="RLM19" i="10"/>
  <c r="RMC19" i="10"/>
  <c r="RMS19" i="10"/>
  <c r="RNI19" i="10"/>
  <c r="RNY19" i="10"/>
  <c r="ROO19" i="10"/>
  <c r="RPE19" i="10"/>
  <c r="RPU19" i="10"/>
  <c r="RQK19" i="10"/>
  <c r="RRA19" i="10"/>
  <c r="RRQ19" i="10"/>
  <c r="RSG19" i="10"/>
  <c r="RSW19" i="10"/>
  <c r="RTM19" i="10"/>
  <c r="RUC19" i="10"/>
  <c r="RUS19" i="10"/>
  <c r="RVI19" i="10"/>
  <c r="RVY19" i="10"/>
  <c r="RWO19" i="10"/>
  <c r="RXE19" i="10"/>
  <c r="RXU19" i="10"/>
  <c r="RYK19" i="10"/>
  <c r="RZA19" i="10"/>
  <c r="RZQ19" i="10"/>
  <c r="SAG19" i="10"/>
  <c r="SAW19" i="10"/>
  <c r="SBM19" i="10"/>
  <c r="SCC19" i="10"/>
  <c r="SCS19" i="10"/>
  <c r="SDI19" i="10"/>
  <c r="SDY19" i="10"/>
  <c r="SEO19" i="10"/>
  <c r="SFE19" i="10"/>
  <c r="SFU19" i="10"/>
  <c r="SGK19" i="10"/>
  <c r="SHA19" i="10"/>
  <c r="SHQ19" i="10"/>
  <c r="SIG19" i="10"/>
  <c r="SIW19" i="10"/>
  <c r="SJM19" i="10"/>
  <c r="SKC19" i="10"/>
  <c r="SKS19" i="10"/>
  <c r="SLI19" i="10"/>
  <c r="SLY19" i="10"/>
  <c r="SMO19" i="10"/>
  <c r="SNE19" i="10"/>
  <c r="SNU19" i="10"/>
  <c r="SOK19" i="10"/>
  <c r="SPA19" i="10"/>
  <c r="SPQ19" i="10"/>
  <c r="SQG19" i="10"/>
  <c r="SQW19" i="10"/>
  <c r="SRM19" i="10"/>
  <c r="SSC19" i="10"/>
  <c r="SSS19" i="10"/>
  <c r="STI19" i="10"/>
  <c r="STY19" i="10"/>
  <c r="SUO19" i="10"/>
  <c r="SVE19" i="10"/>
  <c r="SVU19" i="10"/>
  <c r="SWK19" i="10"/>
  <c r="SXA19" i="10"/>
  <c r="SXQ19" i="10"/>
  <c r="SYG19" i="10"/>
  <c r="SYW19" i="10"/>
  <c r="SZM19" i="10"/>
  <c r="TAC19" i="10"/>
  <c r="TAS19" i="10"/>
  <c r="TBI19" i="10"/>
  <c r="TBY19" i="10"/>
  <c r="HFG19" i="10"/>
  <c r="HGC19" i="10"/>
  <c r="HGX19" i="10"/>
  <c r="HHS19" i="10"/>
  <c r="HIO19" i="10"/>
  <c r="HJJ19" i="10"/>
  <c r="HKE19" i="10"/>
  <c r="HLA19" i="10"/>
  <c r="HLV19" i="10"/>
  <c r="HMQ19" i="10"/>
  <c r="HNM19" i="10"/>
  <c r="HOH19" i="10"/>
  <c r="HPC19" i="10"/>
  <c r="HPY19" i="10"/>
  <c r="HQT19" i="10"/>
  <c r="HRO19" i="10"/>
  <c r="HSK19" i="10"/>
  <c r="HTF19" i="10"/>
  <c r="HUA19" i="10"/>
  <c r="HUW19" i="10"/>
  <c r="HVR19" i="10"/>
  <c r="HWM19" i="10"/>
  <c r="HXI19" i="10"/>
  <c r="HYD19" i="10"/>
  <c r="HYY19" i="10"/>
  <c r="HZU19" i="10"/>
  <c r="IAP19" i="10"/>
  <c r="IBK19" i="10"/>
  <c r="ICG19" i="10"/>
  <c r="IDB19" i="10"/>
  <c r="IDW19" i="10"/>
  <c r="IES19" i="10"/>
  <c r="IFN19" i="10"/>
  <c r="IGI19" i="10"/>
  <c r="IHE19" i="10"/>
  <c r="IHZ19" i="10"/>
  <c r="IIU19" i="10"/>
  <c r="IJQ19" i="10"/>
  <c r="IKL19" i="10"/>
  <c r="ILG19" i="10"/>
  <c r="IMC19" i="10"/>
  <c r="IMX19" i="10"/>
  <c r="INS19" i="10"/>
  <c r="IOO19" i="10"/>
  <c r="IPJ19" i="10"/>
  <c r="IQE19" i="10"/>
  <c r="IRA19" i="10"/>
  <c r="IRV19" i="10"/>
  <c r="ISQ19" i="10"/>
  <c r="ITM19" i="10"/>
  <c r="IUH19" i="10"/>
  <c r="IVC19" i="10"/>
  <c r="IVY19" i="10"/>
  <c r="IWT19" i="10"/>
  <c r="IXO19" i="10"/>
  <c r="IYK19" i="10"/>
  <c r="IZF19" i="10"/>
  <c r="JAA19" i="10"/>
  <c r="JAW19" i="10"/>
  <c r="JBR19" i="10"/>
  <c r="JCM19" i="10"/>
  <c r="JDI19" i="10"/>
  <c r="JED19" i="10"/>
  <c r="JEY19" i="10"/>
  <c r="JFU19" i="10"/>
  <c r="JGP19" i="10"/>
  <c r="JHK19" i="10"/>
  <c r="JIG19" i="10"/>
  <c r="JJB19" i="10"/>
  <c r="JJW19" i="10"/>
  <c r="JKS19" i="10"/>
  <c r="JLN19" i="10"/>
  <c r="JMI19" i="10"/>
  <c r="JNE19" i="10"/>
  <c r="JNZ19" i="10"/>
  <c r="JOP19" i="10"/>
  <c r="JPF19" i="10"/>
  <c r="JPV19" i="10"/>
  <c r="JQL19" i="10"/>
  <c r="JRB19" i="10"/>
  <c r="JRR19" i="10"/>
  <c r="JSH19" i="10"/>
  <c r="JSX19" i="10"/>
  <c r="JTN19" i="10"/>
  <c r="JUD19" i="10"/>
  <c r="JUT19" i="10"/>
  <c r="JVJ19" i="10"/>
  <c r="JVZ19" i="10"/>
  <c r="JWP19" i="10"/>
  <c r="JXF19" i="10"/>
  <c r="JXV19" i="10"/>
  <c r="JYL19" i="10"/>
  <c r="JZB19" i="10"/>
  <c r="JZR19" i="10"/>
  <c r="KAH19" i="10"/>
  <c r="KAX19" i="10"/>
  <c r="KBN19" i="10"/>
  <c r="KCD19" i="10"/>
  <c r="KCT19" i="10"/>
  <c r="KDJ19" i="10"/>
  <c r="KDZ19" i="10"/>
  <c r="KEP19" i="10"/>
  <c r="KFF19" i="10"/>
  <c r="KFV19" i="10"/>
  <c r="KGL19" i="10"/>
  <c r="KHB19" i="10"/>
  <c r="KHR19" i="10"/>
  <c r="KIH19" i="10"/>
  <c r="KIX19" i="10"/>
  <c r="KJN19" i="10"/>
  <c r="KKD19" i="10"/>
  <c r="KKT19" i="10"/>
  <c r="KLJ19" i="10"/>
  <c r="KLZ19" i="10"/>
  <c r="KMP19" i="10"/>
  <c r="KNF19" i="10"/>
  <c r="KNV19" i="10"/>
  <c r="KOL19" i="10"/>
  <c r="KPB19" i="10"/>
  <c r="KPR19" i="10"/>
  <c r="KQH19" i="10"/>
  <c r="KQX19" i="10"/>
  <c r="KRN19" i="10"/>
  <c r="KSD19" i="10"/>
  <c r="KST19" i="10"/>
  <c r="KTJ19" i="10"/>
  <c r="KTZ19" i="10"/>
  <c r="KUP19" i="10"/>
  <c r="KVF19" i="10"/>
  <c r="KVV19" i="10"/>
  <c r="KWL19" i="10"/>
  <c r="KXB19" i="10"/>
  <c r="KXR19" i="10"/>
  <c r="KYH19" i="10"/>
  <c r="KYX19" i="10"/>
  <c r="KZN19" i="10"/>
  <c r="LAD19" i="10"/>
  <c r="LAT19" i="10"/>
  <c r="LBJ19" i="10"/>
  <c r="LBZ19" i="10"/>
  <c r="LCP19" i="10"/>
  <c r="LDF19" i="10"/>
  <c r="LDV19" i="10"/>
  <c r="LEL19" i="10"/>
  <c r="LFB19" i="10"/>
  <c r="LFR19" i="10"/>
  <c r="LGH19" i="10"/>
  <c r="LGX19" i="10"/>
  <c r="LHN19" i="10"/>
  <c r="LID19" i="10"/>
  <c r="LIT19" i="10"/>
  <c r="LJJ19" i="10"/>
  <c r="LJZ19" i="10"/>
  <c r="LKP19" i="10"/>
  <c r="LLF19" i="10"/>
  <c r="LLV19" i="10"/>
  <c r="LML19" i="10"/>
  <c r="LNB19" i="10"/>
  <c r="LNR19" i="10"/>
  <c r="LOH19" i="10"/>
  <c r="LOX19" i="10"/>
  <c r="LPN19" i="10"/>
  <c r="LQD19" i="10"/>
  <c r="LQT19" i="10"/>
  <c r="LRJ19" i="10"/>
  <c r="LRZ19" i="10"/>
  <c r="LSP19" i="10"/>
  <c r="LTF19" i="10"/>
  <c r="LTV19" i="10"/>
  <c r="LUL19" i="10"/>
  <c r="LVB19" i="10"/>
  <c r="LVR19" i="10"/>
  <c r="LWH19" i="10"/>
  <c r="LWX19" i="10"/>
  <c r="LXN19" i="10"/>
  <c r="LYD19" i="10"/>
  <c r="LYT19" i="10"/>
  <c r="LZJ19" i="10"/>
  <c r="LZZ19" i="10"/>
  <c r="MAP19" i="10"/>
  <c r="MBF19" i="10"/>
  <c r="MBV19" i="10"/>
  <c r="MCL19" i="10"/>
  <c r="MDB19" i="10"/>
  <c r="MDR19" i="10"/>
  <c r="MEH19" i="10"/>
  <c r="MEX19" i="10"/>
  <c r="MFN19" i="10"/>
  <c r="MGD19" i="10"/>
  <c r="MGT19" i="10"/>
  <c r="MHJ19" i="10"/>
  <c r="MHZ19" i="10"/>
  <c r="MIP19" i="10"/>
  <c r="MJF19" i="10"/>
  <c r="MJV19" i="10"/>
  <c r="MKL19" i="10"/>
  <c r="MLB19" i="10"/>
  <c r="MLR19" i="10"/>
  <c r="MMH19" i="10"/>
  <c r="MMX19" i="10"/>
  <c r="MNN19" i="10"/>
  <c r="MOD19" i="10"/>
  <c r="MOT19" i="10"/>
  <c r="MPJ19" i="10"/>
  <c r="MPZ19" i="10"/>
  <c r="MQP19" i="10"/>
  <c r="MRF19" i="10"/>
  <c r="MRV19" i="10"/>
  <c r="MSL19" i="10"/>
  <c r="MTB19" i="10"/>
  <c r="MTR19" i="10"/>
  <c r="MUH19" i="10"/>
  <c r="MUX19" i="10"/>
  <c r="MVN19" i="10"/>
  <c r="MWD19" i="10"/>
  <c r="MWT19" i="10"/>
  <c r="MXJ19" i="10"/>
  <c r="MXZ19" i="10"/>
  <c r="MYP19" i="10"/>
  <c r="MZF19" i="10"/>
  <c r="MZV19" i="10"/>
  <c r="NAL19" i="10"/>
  <c r="NBB19" i="10"/>
  <c r="NBR19" i="10"/>
  <c r="NCH19" i="10"/>
  <c r="NCX19" i="10"/>
  <c r="NDN19" i="10"/>
  <c r="NED19" i="10"/>
  <c r="NET19" i="10"/>
  <c r="NFJ19" i="10"/>
  <c r="NFZ19" i="10"/>
  <c r="NGP19" i="10"/>
  <c r="NHF19" i="10"/>
  <c r="NHV19" i="10"/>
  <c r="NIL19" i="10"/>
  <c r="NJB19" i="10"/>
  <c r="NJR19" i="10"/>
  <c r="NKH19" i="10"/>
  <c r="NKX19" i="10"/>
  <c r="NLN19" i="10"/>
  <c r="NMD19" i="10"/>
  <c r="NMT19" i="10"/>
  <c r="NNJ19" i="10"/>
  <c r="NNZ19" i="10"/>
  <c r="NOP19" i="10"/>
  <c r="NPF19" i="10"/>
  <c r="NPV19" i="10"/>
  <c r="NQL19" i="10"/>
  <c r="NRB19" i="10"/>
  <c r="NRR19" i="10"/>
  <c r="NSH19" i="10"/>
  <c r="NSX19" i="10"/>
  <c r="NTN19" i="10"/>
  <c r="NUD19" i="10"/>
  <c r="NUT19" i="10"/>
  <c r="NVJ19" i="10"/>
  <c r="NVZ19" i="10"/>
  <c r="NWP19" i="10"/>
  <c r="NXF19" i="10"/>
  <c r="NXV19" i="10"/>
  <c r="NYL19" i="10"/>
  <c r="NZB19" i="10"/>
  <c r="NZR19" i="10"/>
  <c r="OAH19" i="10"/>
  <c r="OAX19" i="10"/>
  <c r="OBN19" i="10"/>
  <c r="OCD19" i="10"/>
  <c r="OCT19" i="10"/>
  <c r="ODJ19" i="10"/>
  <c r="ODZ19" i="10"/>
  <c r="OEP19" i="10"/>
  <c r="OFF19" i="10"/>
  <c r="OFV19" i="10"/>
  <c r="OGL19" i="10"/>
  <c r="OHB19" i="10"/>
  <c r="OHR19" i="10"/>
  <c r="OIH19" i="10"/>
  <c r="OIX19" i="10"/>
  <c r="OJN19" i="10"/>
  <c r="OKD19" i="10"/>
  <c r="OKT19" i="10"/>
  <c r="OLJ19" i="10"/>
  <c r="OLZ19" i="10"/>
  <c r="OMP19" i="10"/>
  <c r="ONF19" i="10"/>
  <c r="ONV19" i="10"/>
  <c r="OOL19" i="10"/>
  <c r="OPB19" i="10"/>
  <c r="OPR19" i="10"/>
  <c r="OQH19" i="10"/>
  <c r="OQX19" i="10"/>
  <c r="ORN19" i="10"/>
  <c r="OSD19" i="10"/>
  <c r="OST19" i="10"/>
  <c r="OTJ19" i="10"/>
  <c r="OTZ19" i="10"/>
  <c r="OUP19" i="10"/>
  <c r="OVF19" i="10"/>
  <c r="OVV19" i="10"/>
  <c r="OWL19" i="10"/>
  <c r="OXB19" i="10"/>
  <c r="OXR19" i="10"/>
  <c r="OYH19" i="10"/>
  <c r="OYX19" i="10"/>
  <c r="OZN19" i="10"/>
  <c r="PAD19" i="10"/>
  <c r="PAT19" i="10"/>
  <c r="PBJ19" i="10"/>
  <c r="PBZ19" i="10"/>
  <c r="PCP19" i="10"/>
  <c r="PDF19" i="10"/>
  <c r="PDV19" i="10"/>
  <c r="PEL19" i="10"/>
  <c r="PFB19" i="10"/>
  <c r="PFR19" i="10"/>
  <c r="PGH19" i="10"/>
  <c r="PGX19" i="10"/>
  <c r="PHN19" i="10"/>
  <c r="PID19" i="10"/>
  <c r="PIT19" i="10"/>
  <c r="PJJ19" i="10"/>
  <c r="PJZ19" i="10"/>
  <c r="PKP19" i="10"/>
  <c r="PLF19" i="10"/>
  <c r="PLV19" i="10"/>
  <c r="PML19" i="10"/>
  <c r="PNB19" i="10"/>
  <c r="PNR19" i="10"/>
  <c r="POH19" i="10"/>
  <c r="POX19" i="10"/>
  <c r="PPN19" i="10"/>
  <c r="PQD19" i="10"/>
  <c r="PQT19" i="10"/>
  <c r="PRJ19" i="10"/>
  <c r="PRZ19" i="10"/>
  <c r="PSP19" i="10"/>
  <c r="PTF19" i="10"/>
  <c r="PTV19" i="10"/>
  <c r="PUL19" i="10"/>
  <c r="PVB19" i="10"/>
  <c r="PVR19" i="10"/>
  <c r="PFO19" i="10"/>
  <c r="PIA19" i="10"/>
  <c r="PKM19" i="10"/>
  <c r="PMY19" i="10"/>
  <c r="PPK19" i="10"/>
  <c r="PRW19" i="10"/>
  <c r="PUI19" i="10"/>
  <c r="PWH19" i="10"/>
  <c r="PXC19" i="10"/>
  <c r="PXX19" i="10"/>
  <c r="PYT19" i="10"/>
  <c r="PZO19" i="10"/>
  <c r="QAJ19" i="10"/>
  <c r="QBF19" i="10"/>
  <c r="QCA19" i="10"/>
  <c r="QCV19" i="10"/>
  <c r="QDR19" i="10"/>
  <c r="QEM19" i="10"/>
  <c r="QFH19" i="10"/>
  <c r="QGD19" i="10"/>
  <c r="QGY19" i="10"/>
  <c r="QHT19" i="10"/>
  <c r="QIP19" i="10"/>
  <c r="QJK19" i="10"/>
  <c r="QKF19" i="10"/>
  <c r="QLB19" i="10"/>
  <c r="QLW19" i="10"/>
  <c r="QMR19" i="10"/>
  <c r="QNN19" i="10"/>
  <c r="QOI19" i="10"/>
  <c r="QPD19" i="10"/>
  <c r="QPZ19" i="10"/>
  <c r="QQU19" i="10"/>
  <c r="QRP19" i="10"/>
  <c r="QSL19" i="10"/>
  <c r="QTG19" i="10"/>
  <c r="QUB19" i="10"/>
  <c r="QUX19" i="10"/>
  <c r="QVS19" i="10"/>
  <c r="QWN19" i="10"/>
  <c r="QXJ19" i="10"/>
  <c r="QYE19" i="10"/>
  <c r="QYZ19" i="10"/>
  <c r="QZV19" i="10"/>
  <c r="RAQ19" i="10"/>
  <c r="RBL19" i="10"/>
  <c r="RCH19" i="10"/>
  <c r="RDC19" i="10"/>
  <c r="RDX19" i="10"/>
  <c r="RET19" i="10"/>
  <c r="RFO19" i="10"/>
  <c r="RGJ19" i="10"/>
  <c r="RHF19" i="10"/>
  <c r="RIA19" i="10"/>
  <c r="RIV19" i="10"/>
  <c r="RJR19" i="10"/>
  <c r="RKM19" i="10"/>
  <c r="RLH19" i="10"/>
  <c r="RMD19" i="10"/>
  <c r="RMY19" i="10"/>
  <c r="RNT19" i="10"/>
  <c r="ROP19" i="10"/>
  <c r="RPK19" i="10"/>
  <c r="RQF19" i="10"/>
  <c r="RRB19" i="10"/>
  <c r="RRW19" i="10"/>
  <c r="RSR19" i="10"/>
  <c r="RTN19" i="10"/>
  <c r="RUI19" i="10"/>
  <c r="RVD19" i="10"/>
  <c r="RVZ19" i="10"/>
  <c r="RWU19" i="10"/>
  <c r="RXP19" i="10"/>
  <c r="RYL19" i="10"/>
  <c r="RZG19" i="10"/>
  <c r="SAB19" i="10"/>
  <c r="SAX19" i="10"/>
  <c r="SBS19" i="10"/>
  <c r="SCN19" i="10"/>
  <c r="SDJ19" i="10"/>
  <c r="SEE19" i="10"/>
  <c r="SEZ19" i="10"/>
  <c r="SFV19" i="10"/>
  <c r="SGQ19" i="10"/>
  <c r="SHL19" i="10"/>
  <c r="SIH19" i="10"/>
  <c r="SJC19" i="10"/>
  <c r="SJX19" i="10"/>
  <c r="SKT19" i="10"/>
  <c r="SLO19" i="10"/>
  <c r="SMJ19" i="10"/>
  <c r="SNF19" i="10"/>
  <c r="SOA19" i="10"/>
  <c r="SOV19" i="10"/>
  <c r="SPR19" i="10"/>
  <c r="SQM19" i="10"/>
  <c r="SRH19" i="10"/>
  <c r="SSD19" i="10"/>
  <c r="SSY19" i="10"/>
  <c r="STT19" i="10"/>
  <c r="SUP19" i="10"/>
  <c r="SVK19" i="10"/>
  <c r="SWF19" i="10"/>
  <c r="SXB19" i="10"/>
  <c r="SXW19" i="10"/>
  <c r="SYR19" i="10"/>
  <c r="SZN19" i="10"/>
  <c r="TAI19" i="10"/>
  <c r="TBD19" i="10"/>
  <c r="TBZ19" i="10"/>
  <c r="TCR19" i="10"/>
  <c r="TDH19" i="10"/>
  <c r="TDX19" i="10"/>
  <c r="TEN19" i="10"/>
  <c r="TFD19" i="10"/>
  <c r="TFT19" i="10"/>
  <c r="TGJ19" i="10"/>
  <c r="TGZ19" i="10"/>
  <c r="THP19" i="10"/>
  <c r="TIF19" i="10"/>
  <c r="TIV19" i="10"/>
  <c r="TJL19" i="10"/>
  <c r="TKB19" i="10"/>
  <c r="TKR19" i="10"/>
  <c r="TLH19" i="10"/>
  <c r="TLX19" i="10"/>
  <c r="TMN19" i="10"/>
  <c r="TND19" i="10"/>
  <c r="TNT19" i="10"/>
  <c r="TOJ19" i="10"/>
  <c r="TOZ19" i="10"/>
  <c r="TPP19" i="10"/>
  <c r="TQF19" i="10"/>
  <c r="TQV19" i="10"/>
  <c r="TRL19" i="10"/>
  <c r="TSB19" i="10"/>
  <c r="TSR19" i="10"/>
  <c r="TTH19" i="10"/>
  <c r="TTX19" i="10"/>
  <c r="TUN19" i="10"/>
  <c r="TVD19" i="10"/>
  <c r="TVT19" i="10"/>
  <c r="TWJ19" i="10"/>
  <c r="TWZ19" i="10"/>
  <c r="TXP19" i="10"/>
  <c r="TYF19" i="10"/>
  <c r="TYV19" i="10"/>
  <c r="TZL19" i="10"/>
  <c r="UAB19" i="10"/>
  <c r="UAR19" i="10"/>
  <c r="UBH19" i="10"/>
  <c r="UBX19" i="10"/>
  <c r="UCN19" i="10"/>
  <c r="UDD19" i="10"/>
  <c r="UDT19" i="10"/>
  <c r="UEJ19" i="10"/>
  <c r="UEZ19" i="10"/>
  <c r="UFP19" i="10"/>
  <c r="UGF19" i="10"/>
  <c r="UGV19" i="10"/>
  <c r="UHL19" i="10"/>
  <c r="UIB19" i="10"/>
  <c r="UIR19" i="10"/>
  <c r="UJH19" i="10"/>
  <c r="UJX19" i="10"/>
  <c r="UKN19" i="10"/>
  <c r="ULD19" i="10"/>
  <c r="ULT19" i="10"/>
  <c r="UMJ19" i="10"/>
  <c r="UMZ19" i="10"/>
  <c r="UNP19" i="10"/>
  <c r="UOF19" i="10"/>
  <c r="UOV19" i="10"/>
  <c r="UPL19" i="10"/>
  <c r="UQB19" i="10"/>
  <c r="UQR19" i="10"/>
  <c r="URH19" i="10"/>
  <c r="URX19" i="10"/>
  <c r="USN19" i="10"/>
  <c r="UTD19" i="10"/>
  <c r="UTT19" i="10"/>
  <c r="UUJ19" i="10"/>
  <c r="UUZ19" i="10"/>
  <c r="UVP19" i="10"/>
  <c r="UWF19" i="10"/>
  <c r="UWV19" i="10"/>
  <c r="UXL19" i="10"/>
  <c r="UYB19" i="10"/>
  <c r="UYR19" i="10"/>
  <c r="UZH19" i="10"/>
  <c r="UZX19" i="10"/>
  <c r="VAN19" i="10"/>
  <c r="VBD19" i="10"/>
  <c r="VBT19" i="10"/>
  <c r="VCJ19" i="10"/>
  <c r="VCZ19" i="10"/>
  <c r="VDP19" i="10"/>
  <c r="VEF19" i="10"/>
  <c r="VEV19" i="10"/>
  <c r="VFL19" i="10"/>
  <c r="VGB19" i="10"/>
  <c r="VGR19" i="10"/>
  <c r="VHH19" i="10"/>
  <c r="VHX19" i="10"/>
  <c r="VIN19" i="10"/>
  <c r="VJD19" i="10"/>
  <c r="VJT19" i="10"/>
  <c r="VKJ19" i="10"/>
  <c r="VKZ19" i="10"/>
  <c r="VLP19" i="10"/>
  <c r="VMF19" i="10"/>
  <c r="VMV19" i="10"/>
  <c r="VNL19" i="10"/>
  <c r="VOB19" i="10"/>
  <c r="VOR19" i="10"/>
  <c r="VPH19" i="10"/>
  <c r="VPX19" i="10"/>
  <c r="VQN19" i="10"/>
  <c r="VRD19" i="10"/>
  <c r="VRT19" i="10"/>
  <c r="VSJ19" i="10"/>
  <c r="VSZ19" i="10"/>
  <c r="VTP19" i="10"/>
  <c r="VUF19" i="10"/>
  <c r="VUV19" i="10"/>
  <c r="VVL19" i="10"/>
  <c r="VWB19" i="10"/>
  <c r="VWR19" i="10"/>
  <c r="VXH19" i="10"/>
  <c r="VXX19" i="10"/>
  <c r="VYN19" i="10"/>
  <c r="VZD19" i="10"/>
  <c r="VZT19" i="10"/>
  <c r="WAJ19" i="10"/>
  <c r="WAZ19" i="10"/>
  <c r="WBP19" i="10"/>
  <c r="WCF19" i="10"/>
  <c r="WCV19" i="10"/>
  <c r="WDL19" i="10"/>
  <c r="WEB19" i="10"/>
  <c r="WER19" i="10"/>
  <c r="WFP19" i="10"/>
  <c r="WHP19" i="10"/>
  <c r="WJT19" i="10"/>
  <c r="WLX19" i="10"/>
  <c r="WNX19" i="10"/>
  <c r="WPX19" i="10"/>
  <c r="WSB19" i="10"/>
  <c r="WUF19" i="10"/>
  <c r="WWJ19" i="10"/>
  <c r="WYN19" i="10"/>
  <c r="XAN19" i="10"/>
  <c r="XCR19" i="10"/>
  <c r="XER19" i="10"/>
  <c r="WRA19" i="10"/>
  <c r="WTM19" i="10"/>
  <c r="WWG19" i="10"/>
  <c r="WZA19" i="10"/>
  <c r="XBQ19" i="10"/>
  <c r="XEK19" i="10"/>
  <c r="PFC19" i="10"/>
  <c r="PHO19" i="10"/>
  <c r="PKA19" i="10"/>
  <c r="PMM19" i="10"/>
  <c r="POY19" i="10"/>
  <c r="PRK19" i="10"/>
  <c r="PTW19" i="10"/>
  <c r="PWD19" i="10"/>
  <c r="PWY19" i="10"/>
  <c r="PXT19" i="10"/>
  <c r="PYP19" i="10"/>
  <c r="PZK19" i="10"/>
  <c r="QAF19" i="10"/>
  <c r="QBB19" i="10"/>
  <c r="QBW19" i="10"/>
  <c r="QCR19" i="10"/>
  <c r="QDN19" i="10"/>
  <c r="QEI19" i="10"/>
  <c r="QFD19" i="10"/>
  <c r="QFZ19" i="10"/>
  <c r="QGU19" i="10"/>
  <c r="QHP19" i="10"/>
  <c r="QIL19" i="10"/>
  <c r="QJG19" i="10"/>
  <c r="QKB19" i="10"/>
  <c r="QKX19" i="10"/>
  <c r="QLS19" i="10"/>
  <c r="QMN19" i="10"/>
  <c r="QNJ19" i="10"/>
  <c r="QOE19" i="10"/>
  <c r="QOZ19" i="10"/>
  <c r="QPV19" i="10"/>
  <c r="QQQ19" i="10"/>
  <c r="QRL19" i="10"/>
  <c r="QSH19" i="10"/>
  <c r="QTC19" i="10"/>
  <c r="QTX19" i="10"/>
  <c r="QUT19" i="10"/>
  <c r="QVO19" i="10"/>
  <c r="QWJ19" i="10"/>
  <c r="QXF19" i="10"/>
  <c r="QYA19" i="10"/>
  <c r="QYV19" i="10"/>
  <c r="QZR19" i="10"/>
  <c r="RAM19" i="10"/>
  <c r="RBH19" i="10"/>
  <c r="RCD19" i="10"/>
  <c r="RCY19" i="10"/>
  <c r="RDT19" i="10"/>
  <c r="REP19" i="10"/>
  <c r="RFK19" i="10"/>
  <c r="RGF19" i="10"/>
  <c r="RHB19" i="10"/>
  <c r="RHW19" i="10"/>
  <c r="RIR19" i="10"/>
  <c r="RJN19" i="10"/>
  <c r="RKI19" i="10"/>
  <c r="RLD19" i="10"/>
  <c r="RLZ19" i="10"/>
  <c r="RMU19" i="10"/>
  <c r="RNP19" i="10"/>
  <c r="ROL19" i="10"/>
  <c r="RPG19" i="10"/>
  <c r="RQB19" i="10"/>
  <c r="RQX19" i="10"/>
  <c r="RRS19" i="10"/>
  <c r="RSN19" i="10"/>
  <c r="RTJ19" i="10"/>
  <c r="RUE19" i="10"/>
  <c r="RUZ19" i="10"/>
  <c r="RVV19" i="10"/>
  <c r="RWQ19" i="10"/>
  <c r="RXL19" i="10"/>
  <c r="RYH19" i="10"/>
  <c r="RZC19" i="10"/>
  <c r="RZX19" i="10"/>
  <c r="SAT19" i="10"/>
  <c r="SBO19" i="10"/>
  <c r="SCJ19" i="10"/>
  <c r="SDF19" i="10"/>
  <c r="SEA19" i="10"/>
  <c r="SEV19" i="10"/>
  <c r="SFR19" i="10"/>
  <c r="SGM19" i="10"/>
  <c r="SHH19" i="10"/>
  <c r="SID19" i="10"/>
  <c r="SIY19" i="10"/>
  <c r="SJT19" i="10"/>
  <c r="SKP19" i="10"/>
  <c r="SLK19" i="10"/>
  <c r="SMF19" i="10"/>
  <c r="SNB19" i="10"/>
  <c r="SNW19" i="10"/>
  <c r="SOR19" i="10"/>
  <c r="SPN19" i="10"/>
  <c r="SQI19" i="10"/>
  <c r="SRD19" i="10"/>
  <c r="SRZ19" i="10"/>
  <c r="SSU19" i="10"/>
  <c r="STP19" i="10"/>
  <c r="SUL19" i="10"/>
  <c r="SVG19" i="10"/>
  <c r="SWB19" i="10"/>
  <c r="SWX19" i="10"/>
  <c r="SXS19" i="10"/>
  <c r="SYN19" i="10"/>
  <c r="SZJ19" i="10"/>
  <c r="TAE19" i="10"/>
  <c r="TAZ19" i="10"/>
  <c r="TBV19" i="10"/>
  <c r="TCO19" i="10"/>
  <c r="TDE19" i="10"/>
  <c r="TDU19" i="10"/>
  <c r="TEK19" i="10"/>
  <c r="TFA19" i="10"/>
  <c r="TFQ19" i="10"/>
  <c r="TGG19" i="10"/>
  <c r="TGW19" i="10"/>
  <c r="THM19" i="10"/>
  <c r="TIC19" i="10"/>
  <c r="TIS19" i="10"/>
  <c r="TJI19" i="10"/>
  <c r="TJY19" i="10"/>
  <c r="TKO19" i="10"/>
  <c r="TLE19" i="10"/>
  <c r="TLU19" i="10"/>
  <c r="TMK19" i="10"/>
  <c r="TNA19" i="10"/>
  <c r="TNQ19" i="10"/>
  <c r="TOG19" i="10"/>
  <c r="TOW19" i="10"/>
  <c r="TPM19" i="10"/>
  <c r="TQC19" i="10"/>
  <c r="TQS19" i="10"/>
  <c r="TRI19" i="10"/>
  <c r="TRY19" i="10"/>
  <c r="TSO19" i="10"/>
  <c r="TTE19" i="10"/>
  <c r="TTU19" i="10"/>
  <c r="TUK19" i="10"/>
  <c r="TVA19" i="10"/>
  <c r="TVQ19" i="10"/>
  <c r="TWG19" i="10"/>
  <c r="TWW19" i="10"/>
  <c r="TXM19" i="10"/>
  <c r="TYC19" i="10"/>
  <c r="TYS19" i="10"/>
  <c r="TZI19" i="10"/>
  <c r="TZY19" i="10"/>
  <c r="UAO19" i="10"/>
  <c r="UBE19" i="10"/>
  <c r="UBU19" i="10"/>
  <c r="UCK19" i="10"/>
  <c r="UDA19" i="10"/>
  <c r="UDQ19" i="10"/>
  <c r="UEG19" i="10"/>
  <c r="UEW19" i="10"/>
  <c r="UFM19" i="10"/>
  <c r="UGC19" i="10"/>
  <c r="UGS19" i="10"/>
  <c r="UHI19" i="10"/>
  <c r="UHY19" i="10"/>
  <c r="UIO19" i="10"/>
  <c r="UJE19" i="10"/>
  <c r="UJU19" i="10"/>
  <c r="UKK19" i="10"/>
  <c r="ULA19" i="10"/>
  <c r="ULQ19" i="10"/>
  <c r="UMG19" i="10"/>
  <c r="UMW19" i="10"/>
  <c r="UNM19" i="10"/>
  <c r="UOC19" i="10"/>
  <c r="UOS19" i="10"/>
  <c r="UPI19" i="10"/>
  <c r="UPY19" i="10"/>
  <c r="UQO19" i="10"/>
  <c r="URE19" i="10"/>
  <c r="URU19" i="10"/>
  <c r="USK19" i="10"/>
  <c r="UTA19" i="10"/>
  <c r="UTQ19" i="10"/>
  <c r="UUG19" i="10"/>
  <c r="UUW19" i="10"/>
  <c r="UVM19" i="10"/>
  <c r="UWC19" i="10"/>
  <c r="UWS19" i="10"/>
  <c r="UXI19" i="10"/>
  <c r="UXY19" i="10"/>
  <c r="UYO19" i="10"/>
  <c r="UZE19" i="10"/>
  <c r="UZU19" i="10"/>
  <c r="VAK19" i="10"/>
  <c r="VBA19" i="10"/>
  <c r="VBQ19" i="10"/>
  <c r="VCG19" i="10"/>
  <c r="VCW19" i="10"/>
  <c r="VDM19" i="10"/>
  <c r="VEC19" i="10"/>
  <c r="VES19" i="10"/>
  <c r="VFI19" i="10"/>
  <c r="VFY19" i="10"/>
  <c r="VGO19" i="10"/>
  <c r="VHE19" i="10"/>
  <c r="VHU19" i="10"/>
  <c r="VIK19" i="10"/>
  <c r="VJA19" i="10"/>
  <c r="VJQ19" i="10"/>
  <c r="VKG19" i="10"/>
  <c r="VKW19" i="10"/>
  <c r="VLM19" i="10"/>
  <c r="VMC19" i="10"/>
  <c r="VMS19" i="10"/>
  <c r="VNI19" i="10"/>
  <c r="VNY19" i="10"/>
  <c r="VOO19" i="10"/>
  <c r="VPE19" i="10"/>
  <c r="VPU19" i="10"/>
  <c r="VQK19" i="10"/>
  <c r="VRA19" i="10"/>
  <c r="VRQ19" i="10"/>
  <c r="VSG19" i="10"/>
  <c r="VSW19" i="10"/>
  <c r="VTM19" i="10"/>
  <c r="VUC19" i="10"/>
  <c r="VUS19" i="10"/>
  <c r="VVI19" i="10"/>
  <c r="VVY19" i="10"/>
  <c r="VWO19" i="10"/>
  <c r="VXE19" i="10"/>
  <c r="VXU19" i="10"/>
  <c r="VYK19" i="10"/>
  <c r="VZA19" i="10"/>
  <c r="VZQ19" i="10"/>
  <c r="WAG19" i="10"/>
  <c r="WAW19" i="10"/>
  <c r="WBM19" i="10"/>
  <c r="WCC19" i="10"/>
  <c r="WCS19" i="10"/>
  <c r="WDI19" i="10"/>
  <c r="WDY19" i="10"/>
  <c r="WEO19" i="10"/>
  <c r="WFE19" i="10"/>
  <c r="WFU19" i="10"/>
  <c r="WGK19" i="10"/>
  <c r="WHA19" i="10"/>
  <c r="WHQ19" i="10"/>
  <c r="WIG19" i="10"/>
  <c r="WIW19" i="10"/>
  <c r="WJM19" i="10"/>
  <c r="WKC19" i="10"/>
  <c r="WKS19" i="10"/>
  <c r="WLI19" i="10"/>
  <c r="WLY19" i="10"/>
  <c r="WMO19" i="10"/>
  <c r="WNE19" i="10"/>
  <c r="WNU19" i="10"/>
  <c r="WOS19" i="10"/>
  <c r="WRE19" i="10"/>
  <c r="WTY19" i="10"/>
  <c r="WWS19" i="10"/>
  <c r="WZI19" i="10"/>
  <c r="XCC19" i="10"/>
  <c r="XES19" i="10"/>
  <c r="PFW19" i="10"/>
  <c r="PII19" i="10"/>
  <c r="PKU19" i="10"/>
  <c r="PNG19" i="10"/>
  <c r="PPS19" i="10"/>
  <c r="PSE19" i="10"/>
  <c r="PUQ19" i="10"/>
  <c r="PWJ19" i="10"/>
  <c r="PXF19" i="10"/>
  <c r="PYA19" i="10"/>
  <c r="PYV19" i="10"/>
  <c r="PZR19" i="10"/>
  <c r="QAM19" i="10"/>
  <c r="QBH19" i="10"/>
  <c r="QCD19" i="10"/>
  <c r="QCY19" i="10"/>
  <c r="QDT19" i="10"/>
  <c r="QEP19" i="10"/>
  <c r="QFK19" i="10"/>
  <c r="QGF19" i="10"/>
  <c r="QHB19" i="10"/>
  <c r="QHW19" i="10"/>
  <c r="QIR19" i="10"/>
  <c r="QJN19" i="10"/>
  <c r="QKI19" i="10"/>
  <c r="QLD19" i="10"/>
  <c r="QLZ19" i="10"/>
  <c r="QMU19" i="10"/>
  <c r="QNP19" i="10"/>
  <c r="QOL19" i="10"/>
  <c r="QPG19" i="10"/>
  <c r="QQB19" i="10"/>
  <c r="QQX19" i="10"/>
  <c r="QRS19" i="10"/>
  <c r="QSN19" i="10"/>
  <c r="QTJ19" i="10"/>
  <c r="QUE19" i="10"/>
  <c r="QUZ19" i="10"/>
  <c r="QVV19" i="10"/>
  <c r="QWQ19" i="10"/>
  <c r="QXL19" i="10"/>
  <c r="QYH19" i="10"/>
  <c r="QZC19" i="10"/>
  <c r="QZX19" i="10"/>
  <c r="RAT19" i="10"/>
  <c r="RBO19" i="10"/>
  <c r="RCJ19" i="10"/>
  <c r="RDF19" i="10"/>
  <c r="REA19" i="10"/>
  <c r="REV19" i="10"/>
  <c r="RFR19" i="10"/>
  <c r="RGM19" i="10"/>
  <c r="RHH19" i="10"/>
  <c r="RID19" i="10"/>
  <c r="RIY19" i="10"/>
  <c r="RJT19" i="10"/>
  <c r="RKP19" i="10"/>
  <c r="RLK19" i="10"/>
  <c r="RMF19" i="10"/>
  <c r="RNB19" i="10"/>
  <c r="RNW19" i="10"/>
  <c r="ROR19" i="10"/>
  <c r="RPN19" i="10"/>
  <c r="RQI19" i="10"/>
  <c r="RRD19" i="10"/>
  <c r="RRZ19" i="10"/>
  <c r="RSU19" i="10"/>
  <c r="RTP19" i="10"/>
  <c r="RUL19" i="10"/>
  <c r="RVG19" i="10"/>
  <c r="RWB19" i="10"/>
  <c r="RWX19" i="10"/>
  <c r="RXS19" i="10"/>
  <c r="RYN19" i="10"/>
  <c r="RZJ19" i="10"/>
  <c r="SAE19" i="10"/>
  <c r="SAZ19" i="10"/>
  <c r="SBV19" i="10"/>
  <c r="SCQ19" i="10"/>
  <c r="SDL19" i="10"/>
  <c r="SEH19" i="10"/>
  <c r="SFC19" i="10"/>
  <c r="SFX19" i="10"/>
  <c r="SGT19" i="10"/>
  <c r="SHO19" i="10"/>
  <c r="SIJ19" i="10"/>
  <c r="SJF19" i="10"/>
  <c r="SKA19" i="10"/>
  <c r="SKV19" i="10"/>
  <c r="SLR19" i="10"/>
  <c r="SMM19" i="10"/>
  <c r="SNH19" i="10"/>
  <c r="SOD19" i="10"/>
  <c r="SOY19" i="10"/>
  <c r="SPT19" i="10"/>
  <c r="SQP19" i="10"/>
  <c r="SRK19" i="10"/>
  <c r="SSF19" i="10"/>
  <c r="STB19" i="10"/>
  <c r="STW19" i="10"/>
  <c r="SUR19" i="10"/>
  <c r="SVN19" i="10"/>
  <c r="SWI19" i="10"/>
  <c r="SXD19" i="10"/>
  <c r="SXZ19" i="10"/>
  <c r="SYU19" i="10"/>
  <c r="SZP19" i="10"/>
  <c r="TAL19" i="10"/>
  <c r="TBG19" i="10"/>
  <c r="TCB19" i="10"/>
  <c r="TCT19" i="10"/>
  <c r="TDJ19" i="10"/>
  <c r="TDZ19" i="10"/>
  <c r="TEP19" i="10"/>
  <c r="TFF19" i="10"/>
  <c r="TFV19" i="10"/>
  <c r="TGL19" i="10"/>
  <c r="THB19" i="10"/>
  <c r="THR19" i="10"/>
  <c r="TIH19" i="10"/>
  <c r="TIX19" i="10"/>
  <c r="TJN19" i="10"/>
  <c r="TKD19" i="10"/>
  <c r="TKT19" i="10"/>
  <c r="TLJ19" i="10"/>
  <c r="TLZ19" i="10"/>
  <c r="TMP19" i="10"/>
  <c r="TNF19" i="10"/>
  <c r="TNV19" i="10"/>
  <c r="TOL19" i="10"/>
  <c r="TPB19" i="10"/>
  <c r="TPR19" i="10"/>
  <c r="TQH19" i="10"/>
  <c r="TQX19" i="10"/>
  <c r="TRN19" i="10"/>
  <c r="TSD19" i="10"/>
  <c r="TST19" i="10"/>
  <c r="TTJ19" i="10"/>
  <c r="TTZ19" i="10"/>
  <c r="TUP19" i="10"/>
  <c r="TVF19" i="10"/>
  <c r="TVV19" i="10"/>
  <c r="TWL19" i="10"/>
  <c r="TXB19" i="10"/>
  <c r="TXR19" i="10"/>
  <c r="TYH19" i="10"/>
  <c r="TYX19" i="10"/>
  <c r="TZN19" i="10"/>
  <c r="UAD19" i="10"/>
  <c r="UAT19" i="10"/>
  <c r="UBJ19" i="10"/>
  <c r="UBZ19" i="10"/>
  <c r="UCP19" i="10"/>
  <c r="UDF19" i="10"/>
  <c r="UDV19" i="10"/>
  <c r="UEL19" i="10"/>
  <c r="UFB19" i="10"/>
  <c r="UFR19" i="10"/>
  <c r="UGH19" i="10"/>
  <c r="UGX19" i="10"/>
  <c r="UHN19" i="10"/>
  <c r="UID19" i="10"/>
  <c r="UIT19" i="10"/>
  <c r="UJJ19" i="10"/>
  <c r="UJZ19" i="10"/>
  <c r="UKP19" i="10"/>
  <c r="ULF19" i="10"/>
  <c r="ULV19" i="10"/>
  <c r="UML19" i="10"/>
  <c r="UNB19" i="10"/>
  <c r="UNR19" i="10"/>
  <c r="UOH19" i="10"/>
  <c r="UOX19" i="10"/>
  <c r="UPN19" i="10"/>
  <c r="UQD19" i="10"/>
  <c r="UQT19" i="10"/>
  <c r="URJ19" i="10"/>
  <c r="URZ19" i="10"/>
  <c r="USP19" i="10"/>
  <c r="UTF19" i="10"/>
  <c r="UTV19" i="10"/>
  <c r="UUL19" i="10"/>
  <c r="UVB19" i="10"/>
  <c r="UVR19" i="10"/>
  <c r="DLJ19" i="10"/>
  <c r="DNA19" i="10"/>
  <c r="DOI19" i="10"/>
  <c r="DPO19" i="10"/>
  <c r="DQU19" i="10"/>
  <c r="DRO19" i="10"/>
  <c r="DSM19" i="10"/>
  <c r="DTG19" i="10"/>
  <c r="DUA19" i="10"/>
  <c r="DUY19" i="10"/>
  <c r="DVS19" i="10"/>
  <c r="DWM19" i="10"/>
  <c r="DXK19" i="10"/>
  <c r="DYE19" i="10"/>
  <c r="DYY19" i="10"/>
  <c r="DZW19" i="10"/>
  <c r="EAQ19" i="10"/>
  <c r="EBK19" i="10"/>
  <c r="ECI19" i="10"/>
  <c r="EDC19" i="10"/>
  <c r="EDW19" i="10"/>
  <c r="EEU19" i="10"/>
  <c r="EFO19" i="10"/>
  <c r="EGI19" i="10"/>
  <c r="EHG19" i="10"/>
  <c r="EIA19" i="10"/>
  <c r="EIU19" i="10"/>
  <c r="EJS19" i="10"/>
  <c r="EKM19" i="10"/>
  <c r="ELG19" i="10"/>
  <c r="EME19" i="10"/>
  <c r="EMY19" i="10"/>
  <c r="ENS19" i="10"/>
  <c r="EOQ19" i="10"/>
  <c r="EPK19" i="10"/>
  <c r="EQE19" i="10"/>
  <c r="ERC19" i="10"/>
  <c r="ERW19" i="10"/>
  <c r="ESQ19" i="10"/>
  <c r="ETO19" i="10"/>
  <c r="EUI19" i="10"/>
  <c r="EVC19" i="10"/>
  <c r="EWA19" i="10"/>
  <c r="EWU19" i="10"/>
  <c r="EXO19" i="10"/>
  <c r="EYM19" i="10"/>
  <c r="EZG19" i="10"/>
  <c r="FAA19" i="10"/>
  <c r="FAY19" i="10"/>
  <c r="FBS19" i="10"/>
  <c r="FCM19" i="10"/>
  <c r="FDK19" i="10"/>
  <c r="FEE19" i="10"/>
  <c r="FEY19" i="10"/>
  <c r="FFW19" i="10"/>
  <c r="FGQ19" i="10"/>
  <c r="FHK19" i="10"/>
  <c r="FII19" i="10"/>
  <c r="FJC19" i="10"/>
  <c r="FJW19" i="10"/>
  <c r="FKU19" i="10"/>
  <c r="FLO19" i="10"/>
  <c r="FMI19" i="10"/>
  <c r="FNG19" i="10"/>
  <c r="FOA19" i="10"/>
  <c r="FOU19" i="10"/>
  <c r="FPS19" i="10"/>
  <c r="FQM19" i="10"/>
  <c r="FRG19" i="10"/>
  <c r="FSE19" i="10"/>
  <c r="FSY19" i="10"/>
  <c r="FTS19" i="10"/>
  <c r="FUQ19" i="10"/>
  <c r="FVK19" i="10"/>
  <c r="FWE19" i="10"/>
  <c r="FXC19" i="10"/>
  <c r="FXW19" i="10"/>
  <c r="FYQ19" i="10"/>
  <c r="FZO19" i="10"/>
  <c r="GAI19" i="10"/>
  <c r="GBC19" i="10"/>
  <c r="GCA19" i="10"/>
  <c r="GCU19" i="10"/>
  <c r="GDO19" i="10"/>
  <c r="GEM19" i="10"/>
  <c r="GFG19" i="10"/>
  <c r="GGA19" i="10"/>
  <c r="GGY19" i="10"/>
  <c r="GHS19" i="10"/>
  <c r="GIM19" i="10"/>
  <c r="GJK19" i="10"/>
  <c r="GKE19" i="10"/>
  <c r="GKY19" i="10"/>
  <c r="GLW19" i="10"/>
  <c r="GMQ19" i="10"/>
  <c r="GNK19" i="10"/>
  <c r="GOI19" i="10"/>
  <c r="GPC19" i="10"/>
  <c r="GPW19" i="10"/>
  <c r="GQU19" i="10"/>
  <c r="GRO19" i="10"/>
  <c r="GSI19" i="10"/>
  <c r="GTG19" i="10"/>
  <c r="GUA19" i="10"/>
  <c r="GUU19" i="10"/>
  <c r="GVS19" i="10"/>
  <c r="GWM19" i="10"/>
  <c r="GXG19" i="10"/>
  <c r="GYE19" i="10"/>
  <c r="GYY19" i="10"/>
  <c r="GZS19" i="10"/>
  <c r="HAQ19" i="10"/>
  <c r="HBK19" i="10"/>
  <c r="HCE19" i="10"/>
  <c r="HDC19" i="10"/>
  <c r="HDW19" i="10"/>
  <c r="HEQ19" i="10"/>
  <c r="AGJ19" i="10"/>
  <c r="AJL19" i="10"/>
  <c r="AMN19" i="10"/>
  <c r="AQF19" i="10"/>
  <c r="ATH19" i="10"/>
  <c r="AWJ19" i="10"/>
  <c r="AZI19" i="10"/>
  <c r="BAW19" i="10"/>
  <c r="BCK19" i="10"/>
  <c r="BEG19" i="10"/>
  <c r="BFP19" i="10"/>
  <c r="BGP19" i="10"/>
  <c r="BHV19" i="10"/>
  <c r="BIW19" i="10"/>
  <c r="BJX19" i="10"/>
  <c r="BLD19" i="10"/>
  <c r="BMD19" i="10"/>
  <c r="BNE19" i="10"/>
  <c r="BOK19" i="10"/>
  <c r="BPL19" i="10"/>
  <c r="BQL19" i="10"/>
  <c r="BRR19" i="10"/>
  <c r="BSS19" i="10"/>
  <c r="BTT19" i="10"/>
  <c r="BUZ19" i="10"/>
  <c r="BVZ19" i="10"/>
  <c r="BXA19" i="10"/>
  <c r="BYG19" i="10"/>
  <c r="BZH19" i="10"/>
  <c r="CAH19" i="10"/>
  <c r="CBN19" i="10"/>
  <c r="CCO19" i="10"/>
  <c r="CDP19" i="10"/>
  <c r="CEV19" i="10"/>
  <c r="CFV19" i="10"/>
  <c r="CGW19" i="10"/>
  <c r="CIC19" i="10"/>
  <c r="CJD19" i="10"/>
  <c r="CKD19" i="10"/>
  <c r="CLJ19" i="10"/>
  <c r="CMK19" i="10"/>
  <c r="CNL19" i="10"/>
  <c r="COR19" i="10"/>
  <c r="CPR19" i="10"/>
  <c r="CQS19" i="10"/>
  <c r="CRY19" i="10"/>
  <c r="CSZ19" i="10"/>
  <c r="CTZ19" i="10"/>
  <c r="CVF19" i="10"/>
  <c r="CWG19" i="10"/>
  <c r="CXH19" i="10"/>
  <c r="CYN19" i="10"/>
  <c r="CZN19" i="10"/>
  <c r="DAO19" i="10"/>
  <c r="DBU19" i="10"/>
  <c r="DCV19" i="10"/>
  <c r="DDV19" i="10"/>
  <c r="DFB19" i="10"/>
  <c r="DGC19" i="10"/>
  <c r="DHD19" i="10"/>
  <c r="DIJ19" i="10"/>
  <c r="DJJ19" i="10"/>
  <c r="DKK19" i="10"/>
  <c r="DLQ19" i="10"/>
  <c r="DMR19" i="10"/>
  <c r="DNP19" i="10"/>
  <c r="DON19" i="10"/>
  <c r="DPH19" i="10"/>
  <c r="DQB19" i="10"/>
  <c r="DQZ19" i="10"/>
  <c r="DRT19" i="10"/>
  <c r="DSN19" i="10"/>
  <c r="DTL19" i="10"/>
  <c r="DUF19" i="10"/>
  <c r="DUZ19" i="10"/>
  <c r="DVX19" i="10"/>
  <c r="DWR19" i="10"/>
  <c r="DXL19" i="10"/>
  <c r="DYJ19" i="10"/>
  <c r="DZD19" i="10"/>
  <c r="DZX19" i="10"/>
  <c r="EAV19" i="10"/>
  <c r="EBP19" i="10"/>
  <c r="ECJ19" i="10"/>
  <c r="EDH19" i="10"/>
  <c r="EEB19" i="10"/>
  <c r="EEV19" i="10"/>
  <c r="EFT19" i="10"/>
  <c r="EGN19" i="10"/>
  <c r="EHH19" i="10"/>
  <c r="EIF19" i="10"/>
  <c r="EIZ19" i="10"/>
  <c r="EJT19" i="10"/>
  <c r="EKR19" i="10"/>
  <c r="ELL19" i="10"/>
  <c r="EMF19" i="10"/>
  <c r="END19" i="10"/>
  <c r="ENX19" i="10"/>
  <c r="EOR19" i="10"/>
  <c r="EPP19" i="10"/>
  <c r="EQJ19" i="10"/>
  <c r="ERD19" i="10"/>
  <c r="ESB19" i="10"/>
  <c r="ESV19" i="10"/>
  <c r="ETP19" i="10"/>
  <c r="EUN19" i="10"/>
  <c r="EVH19" i="10"/>
  <c r="EWB19" i="10"/>
  <c r="EWZ19" i="10"/>
  <c r="EXT19" i="10"/>
  <c r="EYN19" i="10"/>
  <c r="EZL19" i="10"/>
  <c r="FAF19" i="10"/>
  <c r="FAZ19" i="10"/>
  <c r="FBX19" i="10"/>
  <c r="FCR19" i="10"/>
  <c r="FDL19" i="10"/>
  <c r="FEJ19" i="10"/>
  <c r="FFD19" i="10"/>
  <c r="FFX19" i="10"/>
  <c r="FGV19" i="10"/>
  <c r="FHP19" i="10"/>
  <c r="FIJ19" i="10"/>
  <c r="FJH19" i="10"/>
  <c r="FKB19" i="10"/>
  <c r="FKV19" i="10"/>
  <c r="FLT19" i="10"/>
  <c r="FMN19" i="10"/>
  <c r="FNH19" i="10"/>
  <c r="FOF19" i="10"/>
  <c r="FOZ19" i="10"/>
  <c r="FPT19" i="10"/>
  <c r="FQR19" i="10"/>
  <c r="FRL19" i="10"/>
  <c r="FSF19" i="10"/>
  <c r="FTD19" i="10"/>
  <c r="FTX19" i="10"/>
  <c r="FUR19" i="10"/>
  <c r="FVP19" i="10"/>
  <c r="FWJ19" i="10"/>
  <c r="FXD19" i="10"/>
  <c r="FYB19" i="10"/>
  <c r="FYV19" i="10"/>
  <c r="FZP19" i="10"/>
  <c r="GAN19" i="10"/>
  <c r="GBH19" i="10"/>
  <c r="GCB19" i="10"/>
  <c r="GCZ19" i="10"/>
  <c r="GDT19" i="10"/>
  <c r="GEN19" i="10"/>
  <c r="GFL19" i="10"/>
  <c r="GGF19" i="10"/>
  <c r="GGZ19" i="10"/>
  <c r="GHX19" i="10"/>
  <c r="GIR19" i="10"/>
  <c r="GJL19" i="10"/>
  <c r="GKJ19" i="10"/>
  <c r="GLD19" i="10"/>
  <c r="GLX19" i="10"/>
  <c r="GMV19" i="10"/>
  <c r="GNP19" i="10"/>
  <c r="GOJ19" i="10"/>
  <c r="GPH19" i="10"/>
  <c r="GQB19" i="10"/>
  <c r="GQV19" i="10"/>
  <c r="GRT19" i="10"/>
  <c r="GSN19" i="10"/>
  <c r="GTH19" i="10"/>
  <c r="GUF19" i="10"/>
  <c r="GUZ19" i="10"/>
  <c r="GVT19" i="10"/>
  <c r="GWR19" i="10"/>
  <c r="GXL19" i="10"/>
  <c r="GYF19" i="10"/>
  <c r="GZD19" i="10"/>
  <c r="GZX19" i="10"/>
  <c r="HAR19" i="10"/>
  <c r="HBP19" i="10"/>
  <c r="HCJ19" i="10"/>
  <c r="HDD19" i="10"/>
  <c r="HEB19" i="10"/>
  <c r="HEV19" i="10"/>
  <c r="HFP19" i="10"/>
  <c r="HGN19" i="10"/>
  <c r="HHH19" i="10"/>
  <c r="HIB19" i="10"/>
  <c r="HIZ19" i="10"/>
  <c r="HJT19" i="10"/>
  <c r="HKN19" i="10"/>
  <c r="HLL19" i="10"/>
  <c r="HMF19" i="10"/>
  <c r="HMZ19" i="10"/>
  <c r="HNX19" i="10"/>
  <c r="HOR19" i="10"/>
  <c r="HPL19" i="10"/>
  <c r="HQJ19" i="10"/>
  <c r="HRD19" i="10"/>
  <c r="HRX19" i="10"/>
  <c r="HSV19" i="10"/>
  <c r="HTP19" i="10"/>
  <c r="HUJ19" i="10"/>
  <c r="HVH19" i="10"/>
  <c r="HWB19" i="10"/>
  <c r="HWV19" i="10"/>
  <c r="HXT19" i="10"/>
  <c r="HYN19" i="10"/>
  <c r="HZH19" i="10"/>
  <c r="IAF19" i="10"/>
  <c r="IAZ19" i="10"/>
  <c r="IBT19" i="10"/>
  <c r="ICR19" i="10"/>
  <c r="IDL19" i="10"/>
  <c r="IEF19" i="10"/>
  <c r="IFD19" i="10"/>
  <c r="IFX19" i="10"/>
  <c r="IGR19" i="10"/>
  <c r="IHP19" i="10"/>
  <c r="IIJ19" i="10"/>
  <c r="IJD19" i="10"/>
  <c r="IKB19" i="10"/>
  <c r="IKV19" i="10"/>
  <c r="ILP19" i="10"/>
  <c r="IMN19" i="10"/>
  <c r="INH19" i="10"/>
  <c r="IOB19" i="10"/>
  <c r="IOZ19" i="10"/>
  <c r="IPT19" i="10"/>
  <c r="IQN19" i="10"/>
  <c r="IRL19" i="10"/>
  <c r="ISF19" i="10"/>
  <c r="ISZ19" i="10"/>
  <c r="ITX19" i="10"/>
  <c r="IUR19" i="10"/>
  <c r="IVL19" i="10"/>
  <c r="IWJ19" i="10"/>
  <c r="IXD19" i="10"/>
  <c r="IXX19" i="10"/>
  <c r="IYV19" i="10"/>
  <c r="IZP19" i="10"/>
  <c r="JAJ19" i="10"/>
  <c r="JBH19" i="10"/>
  <c r="JCB19" i="10"/>
  <c r="JCV19" i="10"/>
  <c r="JDT19" i="10"/>
  <c r="JEN19" i="10"/>
  <c r="JFH19" i="10"/>
  <c r="JGF19" i="10"/>
  <c r="JGZ19" i="10"/>
  <c r="JHT19" i="10"/>
  <c r="JIR19" i="10"/>
  <c r="JJL19" i="10"/>
  <c r="JKF19" i="10"/>
  <c r="JLD19" i="10"/>
  <c r="JLX19" i="10"/>
  <c r="JMR19" i="10"/>
  <c r="JNP19" i="10"/>
  <c r="AGN19" i="10"/>
  <c r="AJP19" i="10"/>
  <c r="ANH19" i="10"/>
  <c r="AQJ19" i="10"/>
  <c r="ATL19" i="10"/>
  <c r="AXD19" i="10"/>
  <c r="AZL19" i="10"/>
  <c r="BAZ19" i="10"/>
  <c r="BCV19" i="10"/>
  <c r="BEJ19" i="10"/>
  <c r="BFQ19" i="10"/>
  <c r="BGW19" i="10"/>
  <c r="BHX19" i="10"/>
  <c r="BIX19" i="10"/>
  <c r="BKD19" i="10"/>
  <c r="BLE19" i="10"/>
  <c r="BMF19" i="10"/>
  <c r="BNL19" i="10"/>
  <c r="BOL19" i="10"/>
  <c r="BPM19" i="10"/>
  <c r="BQS19" i="10"/>
  <c r="BRT19" i="10"/>
  <c r="BST19" i="10"/>
  <c r="BTZ19" i="10"/>
  <c r="BVA19" i="10"/>
  <c r="BWB19" i="10"/>
  <c r="BXH19" i="10"/>
  <c r="BYH19" i="10"/>
  <c r="BZI19" i="10"/>
  <c r="CAO19" i="10"/>
  <c r="CBP19" i="10"/>
  <c r="CCP19" i="10"/>
  <c r="CDV19" i="10"/>
  <c r="CEW19" i="10"/>
  <c r="CFX19" i="10"/>
  <c r="CHD19" i="10"/>
  <c r="CID19" i="10"/>
  <c r="CJE19" i="10"/>
  <c r="CKK19" i="10"/>
  <c r="CLL19" i="10"/>
  <c r="CML19" i="10"/>
  <c r="CNR19" i="10"/>
  <c r="COS19" i="10"/>
  <c r="CPT19" i="10"/>
  <c r="CQZ19" i="10"/>
  <c r="CRZ19" i="10"/>
  <c r="CTA19" i="10"/>
  <c r="CUG19" i="10"/>
  <c r="CVH19" i="10"/>
  <c r="CWH19" i="10"/>
  <c r="CXN19" i="10"/>
  <c r="CYO19" i="10"/>
  <c r="CZP19" i="10"/>
  <c r="DAV19" i="10"/>
  <c r="DBV19" i="10"/>
  <c r="DCW19" i="10"/>
  <c r="DEC19" i="10"/>
  <c r="DFD19" i="10"/>
  <c r="DGD19" i="10"/>
  <c r="DHJ19" i="10"/>
  <c r="DIK19" i="10"/>
  <c r="DJL19" i="10"/>
  <c r="DKR19" i="10"/>
  <c r="DLR19" i="10"/>
  <c r="DMS19" i="10"/>
  <c r="DNU19" i="10"/>
  <c r="DOO19" i="10"/>
  <c r="DPI19" i="10"/>
  <c r="DQG19" i="10"/>
  <c r="DRA19" i="10"/>
  <c r="DRU19" i="10"/>
  <c r="DSS19" i="10"/>
  <c r="DTM19" i="10"/>
  <c r="DUG19" i="10"/>
  <c r="DVE19" i="10"/>
  <c r="DVY19" i="10"/>
  <c r="DWS19" i="10"/>
  <c r="DXQ19" i="10"/>
  <c r="DYK19" i="10"/>
  <c r="DZE19" i="10"/>
  <c r="EAC19" i="10"/>
  <c r="EAW19" i="10"/>
  <c r="EBQ19" i="10"/>
  <c r="ECO19" i="10"/>
  <c r="EDI19" i="10"/>
  <c r="EEC19" i="10"/>
  <c r="EFA19" i="10"/>
  <c r="EFU19" i="10"/>
  <c r="EGO19" i="10"/>
  <c r="EHM19" i="10"/>
  <c r="EIG19" i="10"/>
  <c r="EJA19" i="10"/>
  <c r="EJY19" i="10"/>
  <c r="EKS19" i="10"/>
  <c r="ELM19" i="10"/>
  <c r="EMK19" i="10"/>
  <c r="ENE19" i="10"/>
  <c r="ENY19" i="10"/>
  <c r="EOW19" i="10"/>
  <c r="EPQ19" i="10"/>
  <c r="EQK19" i="10"/>
  <c r="ERI19" i="10"/>
  <c r="ESC19" i="10"/>
  <c r="ESW19" i="10"/>
  <c r="ETU19" i="10"/>
  <c r="EUO19" i="10"/>
  <c r="EVI19" i="10"/>
  <c r="EWG19" i="10"/>
  <c r="EXA19" i="10"/>
  <c r="EXU19" i="10"/>
  <c r="EYS19" i="10"/>
  <c r="EZM19" i="10"/>
  <c r="FAG19" i="10"/>
  <c r="FBE19" i="10"/>
  <c r="FBY19" i="10"/>
  <c r="FCS19" i="10"/>
  <c r="FDQ19" i="10"/>
  <c r="FEK19" i="10"/>
  <c r="FFE19" i="10"/>
  <c r="FGC19" i="10"/>
  <c r="FGW19" i="10"/>
  <c r="FHQ19" i="10"/>
  <c r="FIO19" i="10"/>
  <c r="FJI19" i="10"/>
  <c r="FKC19" i="10"/>
  <c r="FLA19" i="10"/>
  <c r="FLU19" i="10"/>
  <c r="FMO19" i="10"/>
  <c r="FNM19" i="10"/>
  <c r="FOG19" i="10"/>
  <c r="FPA19" i="10"/>
  <c r="FPY19" i="10"/>
  <c r="FQS19" i="10"/>
  <c r="FRM19" i="10"/>
  <c r="FSK19" i="10"/>
  <c r="FTE19" i="10"/>
  <c r="FTY19" i="10"/>
  <c r="FUW19" i="10"/>
  <c r="FVQ19" i="10"/>
  <c r="FWK19" i="10"/>
  <c r="FXI19" i="10"/>
  <c r="FYC19" i="10"/>
  <c r="FYW19" i="10"/>
  <c r="FZU19" i="10"/>
  <c r="GAO19" i="10"/>
  <c r="GBI19" i="10"/>
  <c r="GCG19" i="10"/>
  <c r="GDA19" i="10"/>
  <c r="GDU19" i="10"/>
  <c r="GES19" i="10"/>
  <c r="GFM19" i="10"/>
  <c r="GGG19" i="10"/>
  <c r="GHE19" i="10"/>
  <c r="GHY19" i="10"/>
  <c r="GIS19" i="10"/>
  <c r="GJQ19" i="10"/>
  <c r="GKK19" i="10"/>
  <c r="GLE19" i="10"/>
  <c r="GMC19" i="10"/>
  <c r="GMW19" i="10"/>
  <c r="GNQ19" i="10"/>
  <c r="GOO19" i="10"/>
  <c r="GPI19" i="10"/>
  <c r="GQC19" i="10"/>
  <c r="GRA19" i="10"/>
  <c r="GRU19" i="10"/>
  <c r="GSO19" i="10"/>
  <c r="GTM19" i="10"/>
  <c r="GUG19" i="10"/>
  <c r="GVA19" i="10"/>
  <c r="GVY19" i="10"/>
  <c r="GWS19" i="10"/>
  <c r="GXM19" i="10"/>
  <c r="GYK19" i="10"/>
  <c r="GZE19" i="10"/>
  <c r="GZY19" i="10"/>
  <c r="HAW19" i="10"/>
  <c r="HBQ19" i="10"/>
  <c r="HCK19" i="10"/>
  <c r="HDI19" i="10"/>
  <c r="HEC19" i="10"/>
  <c r="HFN19" i="10"/>
  <c r="HGT19" i="10"/>
  <c r="HHU19" i="10"/>
  <c r="HIU19" i="10"/>
  <c r="HKA19" i="10"/>
  <c r="HLB19" i="10"/>
  <c r="HMC19" i="10"/>
  <c r="HNI19" i="10"/>
  <c r="HOD19" i="10"/>
  <c r="HOY19" i="10"/>
  <c r="HPU19" i="10"/>
  <c r="HQP19" i="10"/>
  <c r="HRK19" i="10"/>
  <c r="HSG19" i="10"/>
  <c r="HTB19" i="10"/>
  <c r="HTW19" i="10"/>
  <c r="HUS19" i="10"/>
  <c r="HVN19" i="10"/>
  <c r="HWI19" i="10"/>
  <c r="HXE19" i="10"/>
  <c r="HXZ19" i="10"/>
  <c r="HYU19" i="10"/>
  <c r="HZQ19" i="10"/>
  <c r="IAL19" i="10"/>
  <c r="IBG19" i="10"/>
  <c r="ICC19" i="10"/>
  <c r="ICX19" i="10"/>
  <c r="IDS19" i="10"/>
  <c r="IEO19" i="10"/>
  <c r="IFJ19" i="10"/>
  <c r="IGE19" i="10"/>
  <c r="IHA19" i="10"/>
  <c r="IHV19" i="10"/>
  <c r="IIQ19" i="10"/>
  <c r="IJM19" i="10"/>
  <c r="IKH19" i="10"/>
  <c r="ILC19" i="10"/>
  <c r="ILY19" i="10"/>
  <c r="IMT19" i="10"/>
  <c r="INO19" i="10"/>
  <c r="IOK19" i="10"/>
  <c r="IPF19" i="10"/>
  <c r="IQA19" i="10"/>
  <c r="IQW19" i="10"/>
  <c r="IRR19" i="10"/>
  <c r="ISM19" i="10"/>
  <c r="ITI19" i="10"/>
  <c r="IUD19" i="10"/>
  <c r="IUY19" i="10"/>
  <c r="IVU19" i="10"/>
  <c r="IWP19" i="10"/>
  <c r="IXK19" i="10"/>
  <c r="IYG19" i="10"/>
  <c r="IZB19" i="10"/>
  <c r="IZW19" i="10"/>
  <c r="JAS19" i="10"/>
  <c r="JBN19" i="10"/>
  <c r="JCI19" i="10"/>
  <c r="JDE19" i="10"/>
  <c r="JDZ19" i="10"/>
  <c r="JEU19" i="10"/>
  <c r="JFQ19" i="10"/>
  <c r="JGL19" i="10"/>
  <c r="JHG19" i="10"/>
  <c r="JIC19" i="10"/>
  <c r="JIX19" i="10"/>
  <c r="JJS19" i="10"/>
  <c r="JKO19" i="10"/>
  <c r="JLJ19" i="10"/>
  <c r="JME19" i="10"/>
  <c r="JNA19" i="10"/>
  <c r="JNV19" i="10"/>
  <c r="JOM19" i="10"/>
  <c r="JPC19" i="10"/>
  <c r="JPS19" i="10"/>
  <c r="JQI19" i="10"/>
  <c r="JQY19" i="10"/>
  <c r="JRO19" i="10"/>
  <c r="JSE19" i="10"/>
  <c r="JSU19" i="10"/>
  <c r="JTK19" i="10"/>
  <c r="JUA19" i="10"/>
  <c r="JUQ19" i="10"/>
  <c r="JVG19" i="10"/>
  <c r="JVW19" i="10"/>
  <c r="JWM19" i="10"/>
  <c r="JXC19" i="10"/>
  <c r="JXS19" i="10"/>
  <c r="JYI19" i="10"/>
  <c r="JYY19" i="10"/>
  <c r="JZO19" i="10"/>
  <c r="KAE19" i="10"/>
  <c r="KAU19" i="10"/>
  <c r="KBK19" i="10"/>
  <c r="KCA19" i="10"/>
  <c r="KCQ19" i="10"/>
  <c r="KDG19" i="10"/>
  <c r="KDW19" i="10"/>
  <c r="KEM19" i="10"/>
  <c r="KFC19" i="10"/>
  <c r="KFS19" i="10"/>
  <c r="KGI19" i="10"/>
  <c r="KGY19" i="10"/>
  <c r="KHO19" i="10"/>
  <c r="KIE19" i="10"/>
  <c r="KIU19" i="10"/>
  <c r="KJK19" i="10"/>
  <c r="KKA19" i="10"/>
  <c r="KKQ19" i="10"/>
  <c r="KLG19" i="10"/>
  <c r="KLW19" i="10"/>
  <c r="KMM19" i="10"/>
  <c r="KNC19" i="10"/>
  <c r="KNS19" i="10"/>
  <c r="KOI19" i="10"/>
  <c r="KOY19" i="10"/>
  <c r="KPO19" i="10"/>
  <c r="KQE19" i="10"/>
  <c r="KQU19" i="10"/>
  <c r="KRK19" i="10"/>
  <c r="KSA19" i="10"/>
  <c r="KSQ19" i="10"/>
  <c r="KTG19" i="10"/>
  <c r="KTW19" i="10"/>
  <c r="KUM19" i="10"/>
  <c r="KVC19" i="10"/>
  <c r="KVS19" i="10"/>
  <c r="KWI19" i="10"/>
  <c r="KWY19" i="10"/>
  <c r="KXO19" i="10"/>
  <c r="KYE19" i="10"/>
  <c r="KYU19" i="10"/>
  <c r="KZK19" i="10"/>
  <c r="LAA19" i="10"/>
  <c r="LAQ19" i="10"/>
  <c r="LBG19" i="10"/>
  <c r="LBW19" i="10"/>
  <c r="LCM19" i="10"/>
  <c r="LDC19" i="10"/>
  <c r="LDS19" i="10"/>
  <c r="LEI19" i="10"/>
  <c r="LEY19" i="10"/>
  <c r="LFO19" i="10"/>
  <c r="LGE19" i="10"/>
  <c r="LGU19" i="10"/>
  <c r="LHK19" i="10"/>
  <c r="LIA19" i="10"/>
  <c r="LIQ19" i="10"/>
  <c r="LJG19" i="10"/>
  <c r="LJW19" i="10"/>
  <c r="LKM19" i="10"/>
  <c r="LLC19" i="10"/>
  <c r="LLS19" i="10"/>
  <c r="LMI19" i="10"/>
  <c r="LMY19" i="10"/>
  <c r="LNO19" i="10"/>
  <c r="LOE19" i="10"/>
  <c r="LOU19" i="10"/>
  <c r="LPK19" i="10"/>
  <c r="LQA19" i="10"/>
  <c r="LQQ19" i="10"/>
  <c r="LRG19" i="10"/>
  <c r="LRW19" i="10"/>
  <c r="LSM19" i="10"/>
  <c r="LTC19" i="10"/>
  <c r="LTS19" i="10"/>
  <c r="LUI19" i="10"/>
  <c r="LUY19" i="10"/>
  <c r="LVO19" i="10"/>
  <c r="LWE19" i="10"/>
  <c r="LWU19" i="10"/>
  <c r="LXK19" i="10"/>
  <c r="LYA19" i="10"/>
  <c r="LYQ19" i="10"/>
  <c r="LZG19" i="10"/>
  <c r="LZW19" i="10"/>
  <c r="MAM19" i="10"/>
  <c r="MBC19" i="10"/>
  <c r="MBS19" i="10"/>
  <c r="MCI19" i="10"/>
  <c r="MCY19" i="10"/>
  <c r="MDO19" i="10"/>
  <c r="MEE19" i="10"/>
  <c r="MEU19" i="10"/>
  <c r="MFK19" i="10"/>
  <c r="MGA19" i="10"/>
  <c r="MGQ19" i="10"/>
  <c r="MHG19" i="10"/>
  <c r="MHW19" i="10"/>
  <c r="MIM19" i="10"/>
  <c r="MJC19" i="10"/>
  <c r="MJS19" i="10"/>
  <c r="MKI19" i="10"/>
  <c r="MKY19" i="10"/>
  <c r="MLO19" i="10"/>
  <c r="MME19" i="10"/>
  <c r="MMU19" i="10"/>
  <c r="MNK19" i="10"/>
  <c r="MOA19" i="10"/>
  <c r="MOQ19" i="10"/>
  <c r="MPG19" i="10"/>
  <c r="MPW19" i="10"/>
  <c r="MQM19" i="10"/>
  <c r="MRC19" i="10"/>
  <c r="MRS19" i="10"/>
  <c r="MSI19" i="10"/>
  <c r="MSY19" i="10"/>
  <c r="MTO19" i="10"/>
  <c r="MUE19" i="10"/>
  <c r="MUU19" i="10"/>
  <c r="MVK19" i="10"/>
  <c r="MWA19" i="10"/>
  <c r="MWQ19" i="10"/>
  <c r="MXG19" i="10"/>
  <c r="MXW19" i="10"/>
  <c r="MYM19" i="10"/>
  <c r="MZC19" i="10"/>
  <c r="MZS19" i="10"/>
  <c r="NAI19" i="10"/>
  <c r="NAY19" i="10"/>
  <c r="NBO19" i="10"/>
  <c r="NCE19" i="10"/>
  <c r="NCU19" i="10"/>
  <c r="NDK19" i="10"/>
  <c r="NEA19" i="10"/>
  <c r="NEQ19" i="10"/>
  <c r="NFG19" i="10"/>
  <c r="NFW19" i="10"/>
  <c r="NGM19" i="10"/>
  <c r="NHC19" i="10"/>
  <c r="NHS19" i="10"/>
  <c r="NII19" i="10"/>
  <c r="NIY19" i="10"/>
  <c r="NJO19" i="10"/>
  <c r="NKE19" i="10"/>
  <c r="NKU19" i="10"/>
  <c r="NLK19" i="10"/>
  <c r="NMA19" i="10"/>
  <c r="NMQ19" i="10"/>
  <c r="NNG19" i="10"/>
  <c r="NNW19" i="10"/>
  <c r="NOM19" i="10"/>
  <c r="NPC19" i="10"/>
  <c r="NPS19" i="10"/>
  <c r="NQI19" i="10"/>
  <c r="NQY19" i="10"/>
  <c r="NRO19" i="10"/>
  <c r="NSE19" i="10"/>
  <c r="NSU19" i="10"/>
  <c r="NTK19" i="10"/>
  <c r="NUA19" i="10"/>
  <c r="NUQ19" i="10"/>
  <c r="NVG19" i="10"/>
  <c r="NVW19" i="10"/>
  <c r="NWM19" i="10"/>
  <c r="NXC19" i="10"/>
  <c r="NXS19" i="10"/>
  <c r="NYI19" i="10"/>
  <c r="NYY19" i="10"/>
  <c r="NZO19" i="10"/>
  <c r="OAE19" i="10"/>
  <c r="OAU19" i="10"/>
  <c r="OBK19" i="10"/>
  <c r="OCA19" i="10"/>
  <c r="OCQ19" i="10"/>
  <c r="ODG19" i="10"/>
  <c r="ODW19" i="10"/>
  <c r="OEM19" i="10"/>
  <c r="OFC19" i="10"/>
  <c r="OFS19" i="10"/>
  <c r="OGI19" i="10"/>
  <c r="OGY19" i="10"/>
  <c r="OHO19" i="10"/>
  <c r="OIE19" i="10"/>
  <c r="OIU19" i="10"/>
  <c r="OJK19" i="10"/>
  <c r="OKA19" i="10"/>
  <c r="OKQ19" i="10"/>
  <c r="OLG19" i="10"/>
  <c r="OLW19" i="10"/>
  <c r="OMM19" i="10"/>
  <c r="ONC19" i="10"/>
  <c r="ONS19" i="10"/>
  <c r="OOI19" i="10"/>
  <c r="OOY19" i="10"/>
  <c r="OPO19" i="10"/>
  <c r="OQE19" i="10"/>
  <c r="OQU19" i="10"/>
  <c r="ORK19" i="10"/>
  <c r="OSA19" i="10"/>
  <c r="OSQ19" i="10"/>
  <c r="OTG19" i="10"/>
  <c r="OTW19" i="10"/>
  <c r="OUM19" i="10"/>
  <c r="OVC19" i="10"/>
  <c r="OVS19" i="10"/>
  <c r="OWI19" i="10"/>
  <c r="OWY19" i="10"/>
  <c r="OXO19" i="10"/>
  <c r="OYE19" i="10"/>
  <c r="OYU19" i="10"/>
  <c r="OZK19" i="10"/>
  <c r="PAA19" i="10"/>
  <c r="PAQ19" i="10"/>
  <c r="PBG19" i="10"/>
  <c r="PBW19" i="10"/>
  <c r="PCM19" i="10"/>
  <c r="PDC19" i="10"/>
  <c r="PDS19" i="10"/>
  <c r="HFO19" i="10"/>
  <c r="HGK19" i="10"/>
  <c r="HHF19" i="10"/>
  <c r="HIA19" i="10"/>
  <c r="HIW19" i="10"/>
  <c r="HJR19" i="10"/>
  <c r="HKM19" i="10"/>
  <c r="HLI19" i="10"/>
  <c r="HMD19" i="10"/>
  <c r="HMY19" i="10"/>
  <c r="HNU19" i="10"/>
  <c r="HOP19" i="10"/>
  <c r="HPK19" i="10"/>
  <c r="HQG19" i="10"/>
  <c r="HRB19" i="10"/>
  <c r="HRW19" i="10"/>
  <c r="HSS19" i="10"/>
  <c r="HTN19" i="10"/>
  <c r="HUI19" i="10"/>
  <c r="HVE19" i="10"/>
  <c r="HVZ19" i="10"/>
  <c r="HWU19" i="10"/>
  <c r="HXQ19" i="10"/>
  <c r="HYL19" i="10"/>
  <c r="HZG19" i="10"/>
  <c r="IAC19" i="10"/>
  <c r="IAX19" i="10"/>
  <c r="IBS19" i="10"/>
  <c r="ICO19" i="10"/>
  <c r="IDJ19" i="10"/>
  <c r="IEE19" i="10"/>
  <c r="IFA19" i="10"/>
  <c r="IFV19" i="10"/>
  <c r="IGQ19" i="10"/>
  <c r="IHM19" i="10"/>
  <c r="IIH19" i="10"/>
  <c r="IJC19" i="10"/>
  <c r="IJY19" i="10"/>
  <c r="IKT19" i="10"/>
  <c r="ILO19" i="10"/>
  <c r="IMK19" i="10"/>
  <c r="INF19" i="10"/>
  <c r="IOA19" i="10"/>
  <c r="IOW19" i="10"/>
  <c r="IPR19" i="10"/>
  <c r="IQM19" i="10"/>
  <c r="IRI19" i="10"/>
  <c r="ISD19" i="10"/>
  <c r="ISY19" i="10"/>
  <c r="ITU19" i="10"/>
  <c r="IUP19" i="10"/>
  <c r="IVK19" i="10"/>
  <c r="IWG19" i="10"/>
  <c r="IXB19" i="10"/>
  <c r="IXW19" i="10"/>
  <c r="IYS19" i="10"/>
  <c r="IZN19" i="10"/>
  <c r="JAI19" i="10"/>
  <c r="JBE19" i="10"/>
  <c r="JBZ19" i="10"/>
  <c r="JCU19" i="10"/>
  <c r="JDQ19" i="10"/>
  <c r="JEL19" i="10"/>
  <c r="JFG19" i="10"/>
  <c r="JGC19" i="10"/>
  <c r="JGX19" i="10"/>
  <c r="JHS19" i="10"/>
  <c r="JIO19" i="10"/>
  <c r="JJJ19" i="10"/>
  <c r="JKE19" i="10"/>
  <c r="JLA19" i="10"/>
  <c r="JLV19" i="10"/>
  <c r="JMQ19" i="10"/>
  <c r="JNM19" i="10"/>
  <c r="JOF19" i="10"/>
  <c r="JOV19" i="10"/>
  <c r="JPL19" i="10"/>
  <c r="JQB19" i="10"/>
  <c r="JQR19" i="10"/>
  <c r="JRH19" i="10"/>
  <c r="JRX19" i="10"/>
  <c r="JSN19" i="10"/>
  <c r="JTD19" i="10"/>
  <c r="JTT19" i="10"/>
  <c r="JUJ19" i="10"/>
  <c r="JUZ19" i="10"/>
  <c r="JVP19" i="10"/>
  <c r="JWF19" i="10"/>
  <c r="JWV19" i="10"/>
  <c r="JXL19" i="10"/>
  <c r="JYB19" i="10"/>
  <c r="JYR19" i="10"/>
  <c r="JZH19" i="10"/>
  <c r="JZX19" i="10"/>
  <c r="KAN19" i="10"/>
  <c r="KBD19" i="10"/>
  <c r="KBT19" i="10"/>
  <c r="KCJ19" i="10"/>
  <c r="KCZ19" i="10"/>
  <c r="KDP19" i="10"/>
  <c r="KEF19" i="10"/>
  <c r="KEV19" i="10"/>
  <c r="KFL19" i="10"/>
  <c r="KGB19" i="10"/>
  <c r="KGR19" i="10"/>
  <c r="KHH19" i="10"/>
  <c r="KHX19" i="10"/>
  <c r="KIN19" i="10"/>
  <c r="KJD19" i="10"/>
  <c r="KJT19" i="10"/>
  <c r="KKJ19" i="10"/>
  <c r="KKZ19" i="10"/>
  <c r="KLP19" i="10"/>
  <c r="KMF19" i="10"/>
  <c r="KMV19" i="10"/>
  <c r="KNL19" i="10"/>
  <c r="KOB19" i="10"/>
  <c r="KOR19" i="10"/>
  <c r="KPH19" i="10"/>
  <c r="KPX19" i="10"/>
  <c r="KQN19" i="10"/>
  <c r="KRD19" i="10"/>
  <c r="KRT19" i="10"/>
  <c r="KSJ19" i="10"/>
  <c r="KSZ19" i="10"/>
  <c r="KTP19" i="10"/>
  <c r="KUF19" i="10"/>
  <c r="KUV19" i="10"/>
  <c r="KVL19" i="10"/>
  <c r="KWB19" i="10"/>
  <c r="KWR19" i="10"/>
  <c r="KXH19" i="10"/>
  <c r="KXX19" i="10"/>
  <c r="KYN19" i="10"/>
  <c r="KZD19" i="10"/>
  <c r="KZT19" i="10"/>
  <c r="LAJ19" i="10"/>
  <c r="LAZ19" i="10"/>
  <c r="LBP19" i="10"/>
  <c r="LCF19" i="10"/>
  <c r="LCV19" i="10"/>
  <c r="LDL19" i="10"/>
  <c r="LEB19" i="10"/>
  <c r="LER19" i="10"/>
  <c r="LFH19" i="10"/>
  <c r="LFX19" i="10"/>
  <c r="LGN19" i="10"/>
  <c r="LHD19" i="10"/>
  <c r="LHT19" i="10"/>
  <c r="LIJ19" i="10"/>
  <c r="LIZ19" i="10"/>
  <c r="LJP19" i="10"/>
  <c r="LKF19" i="10"/>
  <c r="LKV19" i="10"/>
  <c r="LLL19" i="10"/>
  <c r="LMB19" i="10"/>
  <c r="LMR19" i="10"/>
  <c r="LNH19" i="10"/>
  <c r="LNX19" i="10"/>
  <c r="LON19" i="10"/>
  <c r="LPD19" i="10"/>
  <c r="LPT19" i="10"/>
  <c r="LQJ19" i="10"/>
  <c r="LQZ19" i="10"/>
  <c r="LRP19" i="10"/>
  <c r="LSF19" i="10"/>
  <c r="LSV19" i="10"/>
  <c r="LTL19" i="10"/>
  <c r="LUB19" i="10"/>
  <c r="LUR19" i="10"/>
  <c r="LVH19" i="10"/>
  <c r="LVX19" i="10"/>
  <c r="LWN19" i="10"/>
  <c r="LXD19" i="10"/>
  <c r="LXT19" i="10"/>
  <c r="LYJ19" i="10"/>
  <c r="LYZ19" i="10"/>
  <c r="LZP19" i="10"/>
  <c r="MAF19" i="10"/>
  <c r="MAV19" i="10"/>
  <c r="MBL19" i="10"/>
  <c r="MCB19" i="10"/>
  <c r="MCR19" i="10"/>
  <c r="MDH19" i="10"/>
  <c r="MDX19" i="10"/>
  <c r="MEN19" i="10"/>
  <c r="MFD19" i="10"/>
  <c r="MFT19" i="10"/>
  <c r="MGJ19" i="10"/>
  <c r="MGZ19" i="10"/>
  <c r="MHP19" i="10"/>
  <c r="MIF19" i="10"/>
  <c r="MIV19" i="10"/>
  <c r="MJL19" i="10"/>
  <c r="MKB19" i="10"/>
  <c r="MKR19" i="10"/>
  <c r="MLH19" i="10"/>
  <c r="MLX19" i="10"/>
  <c r="MMN19" i="10"/>
  <c r="MND19" i="10"/>
  <c r="MNT19" i="10"/>
  <c r="MOJ19" i="10"/>
  <c r="MOZ19" i="10"/>
  <c r="MPP19" i="10"/>
  <c r="MQF19" i="10"/>
  <c r="MQV19" i="10"/>
  <c r="MRL19" i="10"/>
  <c r="MSB19" i="10"/>
  <c r="MSR19" i="10"/>
  <c r="MTH19" i="10"/>
  <c r="MTX19" i="10"/>
  <c r="MUN19" i="10"/>
  <c r="MVD19" i="10"/>
  <c r="MVT19" i="10"/>
  <c r="MWJ19" i="10"/>
  <c r="MWZ19" i="10"/>
  <c r="MXP19" i="10"/>
  <c r="MYF19" i="10"/>
  <c r="MYV19" i="10"/>
  <c r="MZL19" i="10"/>
  <c r="NAB19" i="10"/>
  <c r="NAR19" i="10"/>
  <c r="NBH19" i="10"/>
  <c r="NBX19" i="10"/>
  <c r="NCN19" i="10"/>
  <c r="NDD19" i="10"/>
  <c r="NDT19" i="10"/>
  <c r="NEJ19" i="10"/>
  <c r="NEZ19" i="10"/>
  <c r="NFP19" i="10"/>
  <c r="NGF19" i="10"/>
  <c r="NGV19" i="10"/>
  <c r="NHL19" i="10"/>
  <c r="NIB19" i="10"/>
  <c r="NIR19" i="10"/>
  <c r="NJH19" i="10"/>
  <c r="NJX19" i="10"/>
  <c r="NKN19" i="10"/>
  <c r="NLD19" i="10"/>
  <c r="NLT19" i="10"/>
  <c r="NMJ19" i="10"/>
  <c r="NMZ19" i="10"/>
  <c r="NNP19" i="10"/>
  <c r="NOF19" i="10"/>
  <c r="NOV19" i="10"/>
  <c r="NPL19" i="10"/>
  <c r="NQB19" i="10"/>
  <c r="NQR19" i="10"/>
  <c r="NRH19" i="10"/>
  <c r="NRX19" i="10"/>
  <c r="NSN19" i="10"/>
  <c r="NTD19" i="10"/>
  <c r="NTT19" i="10"/>
  <c r="NUJ19" i="10"/>
  <c r="NUZ19" i="10"/>
  <c r="NVP19" i="10"/>
  <c r="NWF19" i="10"/>
  <c r="NWV19" i="10"/>
  <c r="NXL19" i="10"/>
  <c r="NYB19" i="10"/>
  <c r="NYR19" i="10"/>
  <c r="NZH19" i="10"/>
  <c r="NZX19" i="10"/>
  <c r="OAN19" i="10"/>
  <c r="OBD19" i="10"/>
  <c r="OBT19" i="10"/>
  <c r="OCJ19" i="10"/>
  <c r="OCZ19" i="10"/>
  <c r="ODP19" i="10"/>
  <c r="OEF19" i="10"/>
  <c r="OEV19" i="10"/>
  <c r="OFL19" i="10"/>
  <c r="OGB19" i="10"/>
  <c r="OGR19" i="10"/>
  <c r="OHH19" i="10"/>
  <c r="OHX19" i="10"/>
  <c r="OIN19" i="10"/>
  <c r="OJD19" i="10"/>
  <c r="OJT19" i="10"/>
  <c r="OKJ19" i="10"/>
  <c r="OKZ19" i="10"/>
  <c r="OLP19" i="10"/>
  <c r="OMF19" i="10"/>
  <c r="OMV19" i="10"/>
  <c r="ONL19" i="10"/>
  <c r="OOB19" i="10"/>
  <c r="OOR19" i="10"/>
  <c r="OPH19" i="10"/>
  <c r="OPX19" i="10"/>
  <c r="OQN19" i="10"/>
  <c r="ORD19" i="10"/>
  <c r="ORT19" i="10"/>
  <c r="OSJ19" i="10"/>
  <c r="OSZ19" i="10"/>
  <c r="OTP19" i="10"/>
  <c r="OUF19" i="10"/>
  <c r="OUV19" i="10"/>
  <c r="OVL19" i="10"/>
  <c r="OWB19" i="10"/>
  <c r="OWR19" i="10"/>
  <c r="OXH19" i="10"/>
  <c r="OXX19" i="10"/>
  <c r="OYN19" i="10"/>
  <c r="OZD19" i="10"/>
  <c r="OZT19" i="10"/>
  <c r="PAJ19" i="10"/>
  <c r="PAZ19" i="10"/>
  <c r="PBP19" i="10"/>
  <c r="PCF19" i="10"/>
  <c r="PCV19" i="10"/>
  <c r="PDL19" i="10"/>
  <c r="PEB19" i="10"/>
  <c r="PER19" i="10"/>
  <c r="PFH19" i="10"/>
  <c r="PFX19" i="10"/>
  <c r="PGN19" i="10"/>
  <c r="PHD19" i="10"/>
  <c r="PHT19" i="10"/>
  <c r="PIJ19" i="10"/>
  <c r="PIZ19" i="10"/>
  <c r="PJP19" i="10"/>
  <c r="PKF19" i="10"/>
  <c r="PKV19" i="10"/>
  <c r="PLL19" i="10"/>
  <c r="PMB19" i="10"/>
  <c r="PMR19" i="10"/>
  <c r="PNH19" i="10"/>
  <c r="PNX19" i="10"/>
  <c r="PON19" i="10"/>
  <c r="PPD19" i="10"/>
  <c r="PPT19" i="10"/>
  <c r="PQJ19" i="10"/>
  <c r="PQZ19" i="10"/>
  <c r="PRP19" i="10"/>
  <c r="PSF19" i="10"/>
  <c r="PSV19" i="10"/>
  <c r="PTL19" i="10"/>
  <c r="PUB19" i="10"/>
  <c r="PUR19" i="10"/>
  <c r="PVH19" i="10"/>
  <c r="PVX19" i="10"/>
  <c r="HFK19" i="10"/>
  <c r="HGG19" i="10"/>
  <c r="HHB19" i="10"/>
  <c r="HHW19" i="10"/>
  <c r="HIS19" i="10"/>
  <c r="HJN19" i="10"/>
  <c r="HKI19" i="10"/>
  <c r="HLE19" i="10"/>
  <c r="HLZ19" i="10"/>
  <c r="HMU19" i="10"/>
  <c r="HNQ19" i="10"/>
  <c r="HOL19" i="10"/>
  <c r="HPG19" i="10"/>
  <c r="HQC19" i="10"/>
  <c r="HQX19" i="10"/>
  <c r="HRS19" i="10"/>
  <c r="HSO19" i="10"/>
  <c r="HTJ19" i="10"/>
  <c r="HUE19" i="10"/>
  <c r="HVA19" i="10"/>
  <c r="HVV19" i="10"/>
  <c r="HWQ19" i="10"/>
  <c r="HXM19" i="10"/>
  <c r="HYH19" i="10"/>
  <c r="HZC19" i="10"/>
  <c r="HZY19" i="10"/>
  <c r="IAT19" i="10"/>
  <c r="IBO19" i="10"/>
  <c r="ICK19" i="10"/>
  <c r="IDF19" i="10"/>
  <c r="IEA19" i="10"/>
  <c r="IEW19" i="10"/>
  <c r="IFR19" i="10"/>
  <c r="IGM19" i="10"/>
  <c r="IHI19" i="10"/>
  <c r="IID19" i="10"/>
  <c r="IIY19" i="10"/>
  <c r="IJU19" i="10"/>
  <c r="IKP19" i="10"/>
  <c r="ILK19" i="10"/>
  <c r="IMG19" i="10"/>
  <c r="INB19" i="10"/>
  <c r="INW19" i="10"/>
  <c r="IOS19" i="10"/>
  <c r="IPN19" i="10"/>
  <c r="IQI19" i="10"/>
  <c r="IRE19" i="10"/>
  <c r="IRZ19" i="10"/>
  <c r="ISU19" i="10"/>
  <c r="ITQ19" i="10"/>
  <c r="IUL19" i="10"/>
  <c r="IVG19" i="10"/>
  <c r="IWC19" i="10"/>
  <c r="IWX19" i="10"/>
  <c r="IXS19" i="10"/>
  <c r="IYO19" i="10"/>
  <c r="IZJ19" i="10"/>
  <c r="JAE19" i="10"/>
  <c r="JBA19" i="10"/>
  <c r="JBV19" i="10"/>
  <c r="JCQ19" i="10"/>
  <c r="JDM19" i="10"/>
  <c r="JEH19" i="10"/>
  <c r="JFC19" i="10"/>
  <c r="JFY19" i="10"/>
  <c r="JGT19" i="10"/>
  <c r="JHO19" i="10"/>
  <c r="JIK19" i="10"/>
  <c r="JJF19" i="10"/>
  <c r="JKA19" i="10"/>
  <c r="JKW19" i="10"/>
  <c r="JLR19" i="10"/>
  <c r="JMM19" i="10"/>
  <c r="JNI19" i="10"/>
  <c r="JOC19" i="10"/>
  <c r="JOS19" i="10"/>
  <c r="JPI19" i="10"/>
  <c r="JPY19" i="10"/>
  <c r="JQO19" i="10"/>
  <c r="JRE19" i="10"/>
  <c r="JRU19" i="10"/>
  <c r="JSK19" i="10"/>
  <c r="JTA19" i="10"/>
  <c r="JTQ19" i="10"/>
  <c r="JUG19" i="10"/>
  <c r="JUW19" i="10"/>
  <c r="JVM19" i="10"/>
  <c r="JWC19" i="10"/>
  <c r="JWS19" i="10"/>
  <c r="JXI19" i="10"/>
  <c r="JXY19" i="10"/>
  <c r="JYO19" i="10"/>
  <c r="JZE19" i="10"/>
  <c r="JZU19" i="10"/>
  <c r="KAK19" i="10"/>
  <c r="KBA19" i="10"/>
  <c r="KBQ19" i="10"/>
  <c r="KCG19" i="10"/>
  <c r="KCW19" i="10"/>
  <c r="KDM19" i="10"/>
  <c r="KEC19" i="10"/>
  <c r="KES19" i="10"/>
  <c r="KFI19" i="10"/>
  <c r="KFY19" i="10"/>
  <c r="KGO19" i="10"/>
  <c r="KHE19" i="10"/>
  <c r="KHU19" i="10"/>
  <c r="KIK19" i="10"/>
  <c r="KJA19" i="10"/>
  <c r="KJQ19" i="10"/>
  <c r="KKG19" i="10"/>
  <c r="KKW19" i="10"/>
  <c r="KLM19" i="10"/>
  <c r="KMC19" i="10"/>
  <c r="KMS19" i="10"/>
  <c r="KNI19" i="10"/>
  <c r="KNY19" i="10"/>
  <c r="KOO19" i="10"/>
  <c r="KPE19" i="10"/>
  <c r="KPU19" i="10"/>
  <c r="KQK19" i="10"/>
  <c r="KRA19" i="10"/>
  <c r="KRQ19" i="10"/>
  <c r="KSG19" i="10"/>
  <c r="KSW19" i="10"/>
  <c r="KTM19" i="10"/>
  <c r="KUC19" i="10"/>
  <c r="KUS19" i="10"/>
  <c r="KVI19" i="10"/>
  <c r="KVY19" i="10"/>
  <c r="KWO19" i="10"/>
  <c r="KXE19" i="10"/>
  <c r="KXU19" i="10"/>
  <c r="KYK19" i="10"/>
  <c r="KZA19" i="10"/>
  <c r="KZQ19" i="10"/>
  <c r="LAG19" i="10"/>
  <c r="LAW19" i="10"/>
  <c r="LBM19" i="10"/>
  <c r="LCC19" i="10"/>
  <c r="LCS19" i="10"/>
  <c r="LDI19" i="10"/>
  <c r="LDY19" i="10"/>
  <c r="LEO19" i="10"/>
  <c r="LFE19" i="10"/>
  <c r="LFU19" i="10"/>
  <c r="LGK19" i="10"/>
  <c r="LHA19" i="10"/>
  <c r="LHQ19" i="10"/>
  <c r="LIG19" i="10"/>
  <c r="LIW19" i="10"/>
  <c r="LJM19" i="10"/>
  <c r="LKC19" i="10"/>
  <c r="LKS19" i="10"/>
  <c r="LLI19" i="10"/>
  <c r="LLY19" i="10"/>
  <c r="LMO19" i="10"/>
  <c r="LNE19" i="10"/>
  <c r="LNU19" i="10"/>
  <c r="LOK19" i="10"/>
  <c r="LPA19" i="10"/>
  <c r="LPQ19" i="10"/>
  <c r="LQG19" i="10"/>
  <c r="LQW19" i="10"/>
  <c r="LRM19" i="10"/>
  <c r="LSC19" i="10"/>
  <c r="LSS19" i="10"/>
  <c r="LTI19" i="10"/>
  <c r="LTY19" i="10"/>
  <c r="LUO19" i="10"/>
  <c r="LVE19" i="10"/>
  <c r="LVU19" i="10"/>
  <c r="LWK19" i="10"/>
  <c r="LXA19" i="10"/>
  <c r="LXQ19" i="10"/>
  <c r="LYG19" i="10"/>
  <c r="LYW19" i="10"/>
  <c r="LZM19" i="10"/>
  <c r="MAC19" i="10"/>
  <c r="MAS19" i="10"/>
  <c r="MBI19" i="10"/>
  <c r="MBY19" i="10"/>
  <c r="MCO19" i="10"/>
  <c r="MDE19" i="10"/>
  <c r="MDU19" i="10"/>
  <c r="MEK19" i="10"/>
  <c r="MFA19" i="10"/>
  <c r="MFQ19" i="10"/>
  <c r="MGG19" i="10"/>
  <c r="MGW19" i="10"/>
  <c r="MHM19" i="10"/>
  <c r="MIC19" i="10"/>
  <c r="MIS19" i="10"/>
  <c r="MJI19" i="10"/>
  <c r="MJY19" i="10"/>
  <c r="MKO19" i="10"/>
  <c r="MLE19" i="10"/>
  <c r="MLU19" i="10"/>
  <c r="MMK19" i="10"/>
  <c r="MNA19" i="10"/>
  <c r="MNQ19" i="10"/>
  <c r="MOG19" i="10"/>
  <c r="MOW19" i="10"/>
  <c r="MPM19" i="10"/>
  <c r="MQC19" i="10"/>
  <c r="MQS19" i="10"/>
  <c r="MRI19" i="10"/>
  <c r="MRY19" i="10"/>
  <c r="MSO19" i="10"/>
  <c r="MTE19" i="10"/>
  <c r="MTU19" i="10"/>
  <c r="MUK19" i="10"/>
  <c r="MVA19" i="10"/>
  <c r="MVQ19" i="10"/>
  <c r="MWG19" i="10"/>
  <c r="MWW19" i="10"/>
  <c r="MXM19" i="10"/>
  <c r="MYC19" i="10"/>
  <c r="MYS19" i="10"/>
  <c r="MZI19" i="10"/>
  <c r="MZY19" i="10"/>
  <c r="NAO19" i="10"/>
  <c r="NBE19" i="10"/>
  <c r="NBU19" i="10"/>
  <c r="NCK19" i="10"/>
  <c r="NDA19" i="10"/>
  <c r="NDQ19" i="10"/>
  <c r="NEG19" i="10"/>
  <c r="NEW19" i="10"/>
  <c r="NFM19" i="10"/>
  <c r="NGC19" i="10"/>
  <c r="NGS19" i="10"/>
  <c r="NHI19" i="10"/>
  <c r="NHY19" i="10"/>
  <c r="NIO19" i="10"/>
  <c r="NJE19" i="10"/>
  <c r="NJU19" i="10"/>
  <c r="NKK19" i="10"/>
  <c r="NLA19" i="10"/>
  <c r="NLQ19" i="10"/>
  <c r="NMG19" i="10"/>
  <c r="NMW19" i="10"/>
  <c r="NNM19" i="10"/>
  <c r="NOC19" i="10"/>
  <c r="NOS19" i="10"/>
  <c r="NPI19" i="10"/>
  <c r="NPY19" i="10"/>
  <c r="NQO19" i="10"/>
  <c r="NRE19" i="10"/>
  <c r="NRU19" i="10"/>
  <c r="NSK19" i="10"/>
  <c r="NTA19" i="10"/>
  <c r="NTQ19" i="10"/>
  <c r="NUG19" i="10"/>
  <c r="NUW19" i="10"/>
  <c r="NVM19" i="10"/>
  <c r="NWC19" i="10"/>
  <c r="NWS19" i="10"/>
  <c r="NXI19" i="10"/>
  <c r="NXY19" i="10"/>
  <c r="NYO19" i="10"/>
  <c r="NZE19" i="10"/>
  <c r="NZU19" i="10"/>
  <c r="OAK19" i="10"/>
  <c r="OBA19" i="10"/>
  <c r="OBQ19" i="10"/>
  <c r="OCG19" i="10"/>
  <c r="OCW19" i="10"/>
  <c r="ODM19" i="10"/>
  <c r="OEC19" i="10"/>
  <c r="OES19" i="10"/>
  <c r="OFI19" i="10"/>
  <c r="OFY19" i="10"/>
  <c r="OGO19" i="10"/>
  <c r="OHE19" i="10"/>
  <c r="OHU19" i="10"/>
  <c r="OIK19" i="10"/>
  <c r="OJA19" i="10"/>
  <c r="OJQ19" i="10"/>
  <c r="OKG19" i="10"/>
  <c r="OKW19" i="10"/>
  <c r="OLM19" i="10"/>
  <c r="OMC19" i="10"/>
  <c r="OMS19" i="10"/>
  <c r="ONI19" i="10"/>
  <c r="ONY19" i="10"/>
  <c r="OOO19" i="10"/>
  <c r="OPE19" i="10"/>
  <c r="OPU19" i="10"/>
  <c r="OQK19" i="10"/>
  <c r="ORA19" i="10"/>
  <c r="ORQ19" i="10"/>
  <c r="OSG19" i="10"/>
  <c r="OSW19" i="10"/>
  <c r="OTM19" i="10"/>
  <c r="OUC19" i="10"/>
  <c r="OUS19" i="10"/>
  <c r="OVI19" i="10"/>
  <c r="OVY19" i="10"/>
  <c r="OWO19" i="10"/>
  <c r="OXE19" i="10"/>
  <c r="OXU19" i="10"/>
  <c r="OYK19" i="10"/>
  <c r="OZA19" i="10"/>
  <c r="OZQ19" i="10"/>
  <c r="PAG19" i="10"/>
  <c r="PAW19" i="10"/>
  <c r="PBM19" i="10"/>
  <c r="PCC19" i="10"/>
  <c r="PCS19" i="10"/>
  <c r="PDI19" i="10"/>
  <c r="PDY19" i="10"/>
  <c r="PEO19" i="10"/>
  <c r="PFE19" i="10"/>
  <c r="PFU19" i="10"/>
  <c r="PGK19" i="10"/>
  <c r="PHA19" i="10"/>
  <c r="PHQ19" i="10"/>
  <c r="PIG19" i="10"/>
  <c r="PIW19" i="10"/>
  <c r="PJM19" i="10"/>
  <c r="PKC19" i="10"/>
  <c r="PKS19" i="10"/>
  <c r="PLI19" i="10"/>
  <c r="PLY19" i="10"/>
  <c r="PMO19" i="10"/>
  <c r="PNE19" i="10"/>
  <c r="PNU19" i="10"/>
  <c r="POK19" i="10"/>
  <c r="PPA19" i="10"/>
  <c r="PPQ19" i="10"/>
  <c r="PQG19" i="10"/>
  <c r="PQW19" i="10"/>
  <c r="PRM19" i="10"/>
  <c r="PSC19" i="10"/>
  <c r="PSS19" i="10"/>
  <c r="PTI19" i="10"/>
  <c r="PTY19" i="10"/>
  <c r="PUO19" i="10"/>
  <c r="PVE19" i="10"/>
  <c r="PVU19" i="10"/>
  <c r="PWK19" i="10"/>
  <c r="PXA19" i="10"/>
  <c r="PXQ19" i="10"/>
  <c r="PYG19" i="10"/>
  <c r="PYW19" i="10"/>
  <c r="PZM19" i="10"/>
  <c r="QAC19" i="10"/>
  <c r="QAS19" i="10"/>
  <c r="QBI19" i="10"/>
  <c r="QBY19" i="10"/>
  <c r="QCO19" i="10"/>
  <c r="QDE19" i="10"/>
  <c r="QDU19" i="10"/>
  <c r="QEK19" i="10"/>
  <c r="QFA19" i="10"/>
  <c r="QFQ19" i="10"/>
  <c r="QGG19" i="10"/>
  <c r="QGW19" i="10"/>
  <c r="QHM19" i="10"/>
  <c r="QIC19" i="10"/>
  <c r="QIS19" i="10"/>
  <c r="QJI19" i="10"/>
  <c r="QJY19" i="10"/>
  <c r="QKO19" i="10"/>
  <c r="QLE19" i="10"/>
  <c r="QLU19" i="10"/>
  <c r="QMK19" i="10"/>
  <c r="QNA19" i="10"/>
  <c r="QNQ19" i="10"/>
  <c r="QOG19" i="10"/>
  <c r="QOW19" i="10"/>
  <c r="QPM19" i="10"/>
  <c r="QQC19" i="10"/>
  <c r="QQS19" i="10"/>
  <c r="QRI19" i="10"/>
  <c r="QRY19" i="10"/>
  <c r="QSO19" i="10"/>
  <c r="QTE19" i="10"/>
  <c r="QTU19" i="10"/>
  <c r="QUK19" i="10"/>
  <c r="QVA19" i="10"/>
  <c r="QVQ19" i="10"/>
  <c r="QWG19" i="10"/>
  <c r="QWW19" i="10"/>
  <c r="QXM19" i="10"/>
  <c r="QYC19" i="10"/>
  <c r="QYS19" i="10"/>
  <c r="QZI19" i="10"/>
  <c r="QZY19" i="10"/>
  <c r="RAO19" i="10"/>
  <c r="RBE19" i="10"/>
  <c r="RBU19" i="10"/>
  <c r="RCK19" i="10"/>
  <c r="RDA19" i="10"/>
  <c r="RDQ19" i="10"/>
  <c r="REG19" i="10"/>
  <c r="REW19" i="10"/>
  <c r="RFM19" i="10"/>
  <c r="RGC19" i="10"/>
  <c r="RGS19" i="10"/>
  <c r="RHI19" i="10"/>
  <c r="RHY19" i="10"/>
  <c r="RIO19" i="10"/>
  <c r="RJE19" i="10"/>
  <c r="RJU19" i="10"/>
  <c r="RKK19" i="10"/>
  <c r="RLA19" i="10"/>
  <c r="RLQ19" i="10"/>
  <c r="RMG19" i="10"/>
  <c r="RMW19" i="10"/>
  <c r="RNM19" i="10"/>
  <c r="ROC19" i="10"/>
  <c r="ROS19" i="10"/>
  <c r="RPI19" i="10"/>
  <c r="RPY19" i="10"/>
  <c r="RQO19" i="10"/>
  <c r="RRE19" i="10"/>
  <c r="RRU19" i="10"/>
  <c r="RSK19" i="10"/>
  <c r="RTA19" i="10"/>
  <c r="RTQ19" i="10"/>
  <c r="RUG19" i="10"/>
  <c r="RUW19" i="10"/>
  <c r="RVM19" i="10"/>
  <c r="RWC19" i="10"/>
  <c r="RWS19" i="10"/>
  <c r="RXI19" i="10"/>
  <c r="RXY19" i="10"/>
  <c r="RYO19" i="10"/>
  <c r="RZE19" i="10"/>
  <c r="RZU19" i="10"/>
  <c r="SAK19" i="10"/>
  <c r="SBA19" i="10"/>
  <c r="SBQ19" i="10"/>
  <c r="SCG19" i="10"/>
  <c r="SCW19" i="10"/>
  <c r="SDM19" i="10"/>
  <c r="SEC19" i="10"/>
  <c r="SES19" i="10"/>
  <c r="SFI19" i="10"/>
  <c r="SFY19" i="10"/>
  <c r="SGO19" i="10"/>
  <c r="SHE19" i="10"/>
  <c r="SHU19" i="10"/>
  <c r="SIK19" i="10"/>
  <c r="SJA19" i="10"/>
  <c r="SJQ19" i="10"/>
  <c r="SKG19" i="10"/>
  <c r="SKW19" i="10"/>
  <c r="SLM19" i="10"/>
  <c r="SMC19" i="10"/>
  <c r="SMS19" i="10"/>
  <c r="SNI19" i="10"/>
  <c r="SNY19" i="10"/>
  <c r="SOO19" i="10"/>
  <c r="SPE19" i="10"/>
  <c r="SPU19" i="10"/>
  <c r="SQK19" i="10"/>
  <c r="SRA19" i="10"/>
  <c r="SRQ19" i="10"/>
  <c r="SSG19" i="10"/>
  <c r="SSW19" i="10"/>
  <c r="STM19" i="10"/>
  <c r="SUC19" i="10"/>
  <c r="SUS19" i="10"/>
  <c r="SVI19" i="10"/>
  <c r="SVY19" i="10"/>
  <c r="SWO19" i="10"/>
  <c r="SXE19" i="10"/>
  <c r="SXU19" i="10"/>
  <c r="SYK19" i="10"/>
  <c r="SZA19" i="10"/>
  <c r="SZQ19" i="10"/>
  <c r="TAG19" i="10"/>
  <c r="TAW19" i="10"/>
  <c r="TBM19" i="10"/>
  <c r="TCC19" i="10"/>
  <c r="HFM19" i="10"/>
  <c r="HGH19" i="10"/>
  <c r="HHC19" i="10"/>
  <c r="HHY19" i="10"/>
  <c r="HIT19" i="10"/>
  <c r="HJO19" i="10"/>
  <c r="HKK19" i="10"/>
  <c r="HLF19" i="10"/>
  <c r="HMA19" i="10"/>
  <c r="HMW19" i="10"/>
  <c r="HNR19" i="10"/>
  <c r="HOM19" i="10"/>
  <c r="HPI19" i="10"/>
  <c r="HQD19" i="10"/>
  <c r="HQY19" i="10"/>
  <c r="HRU19" i="10"/>
  <c r="HSP19" i="10"/>
  <c r="HTK19" i="10"/>
  <c r="HUG19" i="10"/>
  <c r="HVB19" i="10"/>
  <c r="HVW19" i="10"/>
  <c r="HWS19" i="10"/>
  <c r="HXN19" i="10"/>
  <c r="HYI19" i="10"/>
  <c r="HZE19" i="10"/>
  <c r="HZZ19" i="10"/>
  <c r="IAU19" i="10"/>
  <c r="IBQ19" i="10"/>
  <c r="ICL19" i="10"/>
  <c r="IDG19" i="10"/>
  <c r="IEC19" i="10"/>
  <c r="IEX19" i="10"/>
  <c r="IFS19" i="10"/>
  <c r="IGO19" i="10"/>
  <c r="IHJ19" i="10"/>
  <c r="IIE19" i="10"/>
  <c r="IJA19" i="10"/>
  <c r="IJV19" i="10"/>
  <c r="IKQ19" i="10"/>
  <c r="ILM19" i="10"/>
  <c r="IMH19" i="10"/>
  <c r="INC19" i="10"/>
  <c r="INY19" i="10"/>
  <c r="IOT19" i="10"/>
  <c r="IPO19" i="10"/>
  <c r="IQK19" i="10"/>
  <c r="IRF19" i="10"/>
  <c r="ISA19" i="10"/>
  <c r="ISW19" i="10"/>
  <c r="ITR19" i="10"/>
  <c r="IUM19" i="10"/>
  <c r="IVI19" i="10"/>
  <c r="IWD19" i="10"/>
  <c r="IWY19" i="10"/>
  <c r="IXU19" i="10"/>
  <c r="IYP19" i="10"/>
  <c r="IZK19" i="10"/>
  <c r="JAG19" i="10"/>
  <c r="JBB19" i="10"/>
  <c r="JBW19" i="10"/>
  <c r="JCS19" i="10"/>
  <c r="JDN19" i="10"/>
  <c r="JEI19" i="10"/>
  <c r="JFE19" i="10"/>
  <c r="JFZ19" i="10"/>
  <c r="JGU19" i="10"/>
  <c r="JHQ19" i="10"/>
  <c r="JIL19" i="10"/>
  <c r="JJG19" i="10"/>
  <c r="JKC19" i="10"/>
  <c r="JKX19" i="10"/>
  <c r="JLS19" i="10"/>
  <c r="JMO19" i="10"/>
  <c r="JNJ19" i="10"/>
  <c r="JOD19" i="10"/>
  <c r="JOT19" i="10"/>
  <c r="JPJ19" i="10"/>
  <c r="JPZ19" i="10"/>
  <c r="JQP19" i="10"/>
  <c r="JRF19" i="10"/>
  <c r="JRV19" i="10"/>
  <c r="JSL19" i="10"/>
  <c r="JTB19" i="10"/>
  <c r="JTR19" i="10"/>
  <c r="JUH19" i="10"/>
  <c r="JUX19" i="10"/>
  <c r="JVN19" i="10"/>
  <c r="JWD19" i="10"/>
  <c r="JWT19" i="10"/>
  <c r="JXJ19" i="10"/>
  <c r="JXZ19" i="10"/>
  <c r="JYP19" i="10"/>
  <c r="JZF19" i="10"/>
  <c r="JZV19" i="10"/>
  <c r="KAL19" i="10"/>
  <c r="KBB19" i="10"/>
  <c r="KBR19" i="10"/>
  <c r="KCH19" i="10"/>
  <c r="KCX19" i="10"/>
  <c r="KDN19" i="10"/>
  <c r="KED19" i="10"/>
  <c r="KET19" i="10"/>
  <c r="KFJ19" i="10"/>
  <c r="KFZ19" i="10"/>
  <c r="KGP19" i="10"/>
  <c r="KHF19" i="10"/>
  <c r="KHV19" i="10"/>
  <c r="KIL19" i="10"/>
  <c r="KJB19" i="10"/>
  <c r="KJR19" i="10"/>
  <c r="KKH19" i="10"/>
  <c r="KKX19" i="10"/>
  <c r="KLN19" i="10"/>
  <c r="KMD19" i="10"/>
  <c r="KMT19" i="10"/>
  <c r="KNJ19" i="10"/>
  <c r="KNZ19" i="10"/>
  <c r="KOP19" i="10"/>
  <c r="KPF19" i="10"/>
  <c r="KPV19" i="10"/>
  <c r="KQL19" i="10"/>
  <c r="KRB19" i="10"/>
  <c r="KRR19" i="10"/>
  <c r="KSH19" i="10"/>
  <c r="KSX19" i="10"/>
  <c r="KTN19" i="10"/>
  <c r="KUD19" i="10"/>
  <c r="KUT19" i="10"/>
  <c r="KVJ19" i="10"/>
  <c r="KVZ19" i="10"/>
  <c r="KWP19" i="10"/>
  <c r="KXF19" i="10"/>
  <c r="KXV19" i="10"/>
  <c r="KYL19" i="10"/>
  <c r="KZB19" i="10"/>
  <c r="KZR19" i="10"/>
  <c r="LAH19" i="10"/>
  <c r="LAX19" i="10"/>
  <c r="LBN19" i="10"/>
  <c r="LCD19" i="10"/>
  <c r="LCT19" i="10"/>
  <c r="LDJ19" i="10"/>
  <c r="LDZ19" i="10"/>
  <c r="LEP19" i="10"/>
  <c r="LFF19" i="10"/>
  <c r="LFV19" i="10"/>
  <c r="LGL19" i="10"/>
  <c r="LHB19" i="10"/>
  <c r="LHR19" i="10"/>
  <c r="LIH19" i="10"/>
  <c r="LIX19" i="10"/>
  <c r="LJN19" i="10"/>
  <c r="LKD19" i="10"/>
  <c r="LKT19" i="10"/>
  <c r="LLJ19" i="10"/>
  <c r="LLZ19" i="10"/>
  <c r="LMP19" i="10"/>
  <c r="LNF19" i="10"/>
  <c r="LNV19" i="10"/>
  <c r="LOL19" i="10"/>
  <c r="LPB19" i="10"/>
  <c r="LPR19" i="10"/>
  <c r="LQH19" i="10"/>
  <c r="LQX19" i="10"/>
  <c r="LRN19" i="10"/>
  <c r="LSD19" i="10"/>
  <c r="LST19" i="10"/>
  <c r="LTJ19" i="10"/>
  <c r="LTZ19" i="10"/>
  <c r="LUP19" i="10"/>
  <c r="LVF19" i="10"/>
  <c r="LVV19" i="10"/>
  <c r="LWL19" i="10"/>
  <c r="LXB19" i="10"/>
  <c r="LXR19" i="10"/>
  <c r="LYH19" i="10"/>
  <c r="LYX19" i="10"/>
  <c r="LZN19" i="10"/>
  <c r="MAD19" i="10"/>
  <c r="MAT19" i="10"/>
  <c r="MBJ19" i="10"/>
  <c r="MBZ19" i="10"/>
  <c r="MCP19" i="10"/>
  <c r="MDF19" i="10"/>
  <c r="MDV19" i="10"/>
  <c r="MEL19" i="10"/>
  <c r="MFB19" i="10"/>
  <c r="MFR19" i="10"/>
  <c r="MGH19" i="10"/>
  <c r="MGX19" i="10"/>
  <c r="MHN19" i="10"/>
  <c r="MID19" i="10"/>
  <c r="MIT19" i="10"/>
  <c r="MJJ19" i="10"/>
  <c r="MJZ19" i="10"/>
  <c r="MKP19" i="10"/>
  <c r="MLF19" i="10"/>
  <c r="MLV19" i="10"/>
  <c r="MML19" i="10"/>
  <c r="MNB19" i="10"/>
  <c r="MNR19" i="10"/>
  <c r="MOH19" i="10"/>
  <c r="MOX19" i="10"/>
  <c r="MPN19" i="10"/>
  <c r="MQD19" i="10"/>
  <c r="MQT19" i="10"/>
  <c r="MRJ19" i="10"/>
  <c r="MRZ19" i="10"/>
  <c r="MSP19" i="10"/>
  <c r="MTF19" i="10"/>
  <c r="MTV19" i="10"/>
  <c r="MUL19" i="10"/>
  <c r="MVB19" i="10"/>
  <c r="MVR19" i="10"/>
  <c r="MWH19" i="10"/>
  <c r="MWX19" i="10"/>
  <c r="MXN19" i="10"/>
  <c r="MYD19" i="10"/>
  <c r="MYT19" i="10"/>
  <c r="MZJ19" i="10"/>
  <c r="MZZ19" i="10"/>
  <c r="NAP19" i="10"/>
  <c r="NBF19" i="10"/>
  <c r="NBV19" i="10"/>
  <c r="NCL19" i="10"/>
  <c r="NDB19" i="10"/>
  <c r="NDR19" i="10"/>
  <c r="NEH19" i="10"/>
  <c r="NEX19" i="10"/>
  <c r="NFN19" i="10"/>
  <c r="NGD19" i="10"/>
  <c r="NGT19" i="10"/>
  <c r="NHJ19" i="10"/>
  <c r="NHZ19" i="10"/>
  <c r="NIP19" i="10"/>
  <c r="NJF19" i="10"/>
  <c r="NJV19" i="10"/>
  <c r="NKL19" i="10"/>
  <c r="NLB19" i="10"/>
  <c r="NLR19" i="10"/>
  <c r="NMH19" i="10"/>
  <c r="NMX19" i="10"/>
  <c r="NNN19" i="10"/>
  <c r="NOD19" i="10"/>
  <c r="NOT19" i="10"/>
  <c r="NPJ19" i="10"/>
  <c r="NPZ19" i="10"/>
  <c r="NQP19" i="10"/>
  <c r="NRF19" i="10"/>
  <c r="NRV19" i="10"/>
  <c r="NSL19" i="10"/>
  <c r="NTB19" i="10"/>
  <c r="NTR19" i="10"/>
  <c r="NUH19" i="10"/>
  <c r="NUX19" i="10"/>
  <c r="NVN19" i="10"/>
  <c r="NWD19" i="10"/>
  <c r="NWT19" i="10"/>
  <c r="NXJ19" i="10"/>
  <c r="NXZ19" i="10"/>
  <c r="NYP19" i="10"/>
  <c r="NZF19" i="10"/>
  <c r="NZV19" i="10"/>
  <c r="OAL19" i="10"/>
  <c r="OBB19" i="10"/>
  <c r="OBR19" i="10"/>
  <c r="OCH19" i="10"/>
  <c r="OCX19" i="10"/>
  <c r="ODN19" i="10"/>
  <c r="OED19" i="10"/>
  <c r="OET19" i="10"/>
  <c r="OFJ19" i="10"/>
  <c r="OFZ19" i="10"/>
  <c r="OGP19" i="10"/>
  <c r="OHF19" i="10"/>
  <c r="OHV19" i="10"/>
  <c r="OIL19" i="10"/>
  <c r="OJB19" i="10"/>
  <c r="OJR19" i="10"/>
  <c r="OKH19" i="10"/>
  <c r="OKX19" i="10"/>
  <c r="OLN19" i="10"/>
  <c r="OMD19" i="10"/>
  <c r="OMT19" i="10"/>
  <c r="ONJ19" i="10"/>
  <c r="ONZ19" i="10"/>
  <c r="OOP19" i="10"/>
  <c r="OPF19" i="10"/>
  <c r="OPV19" i="10"/>
  <c r="OQL19" i="10"/>
  <c r="ORB19" i="10"/>
  <c r="ORR19" i="10"/>
  <c r="OSH19" i="10"/>
  <c r="OSX19" i="10"/>
  <c r="OTN19" i="10"/>
  <c r="OUD19" i="10"/>
  <c r="OUT19" i="10"/>
  <c r="OVJ19" i="10"/>
  <c r="OVZ19" i="10"/>
  <c r="OWP19" i="10"/>
  <c r="OXF19" i="10"/>
  <c r="OXV19" i="10"/>
  <c r="OYL19" i="10"/>
  <c r="OZB19" i="10"/>
  <c r="OZR19" i="10"/>
  <c r="PAH19" i="10"/>
  <c r="PAX19" i="10"/>
  <c r="PBN19" i="10"/>
  <c r="PCD19" i="10"/>
  <c r="PCT19" i="10"/>
  <c r="PDJ19" i="10"/>
  <c r="PDZ19" i="10"/>
  <c r="PEP19" i="10"/>
  <c r="PFF19" i="10"/>
  <c r="PFV19" i="10"/>
  <c r="PGL19" i="10"/>
  <c r="PHB19" i="10"/>
  <c r="PHR19" i="10"/>
  <c r="PIH19" i="10"/>
  <c r="PIX19" i="10"/>
  <c r="PJN19" i="10"/>
  <c r="PKD19" i="10"/>
  <c r="PKT19" i="10"/>
  <c r="PLJ19" i="10"/>
  <c r="PLZ19" i="10"/>
  <c r="PMP19" i="10"/>
  <c r="PNF19" i="10"/>
  <c r="PNV19" i="10"/>
  <c r="POL19" i="10"/>
  <c r="PPB19" i="10"/>
  <c r="PPR19" i="10"/>
  <c r="PQH19" i="10"/>
  <c r="PQX19" i="10"/>
  <c r="PRN19" i="10"/>
  <c r="PSD19" i="10"/>
  <c r="PST19" i="10"/>
  <c r="PTJ19" i="10"/>
  <c r="PTZ19" i="10"/>
  <c r="PUP19" i="10"/>
  <c r="PVF19" i="10"/>
  <c r="PVV19" i="10"/>
  <c r="PGE19" i="10"/>
  <c r="PIQ19" i="10"/>
  <c r="PLC19" i="10"/>
  <c r="PNO19" i="10"/>
  <c r="PQA19" i="10"/>
  <c r="PSM19" i="10"/>
  <c r="PUY19" i="10"/>
  <c r="PWM19" i="10"/>
  <c r="PXH19" i="10"/>
  <c r="PYD19" i="10"/>
  <c r="PYY19" i="10"/>
  <c r="PZT19" i="10"/>
  <c r="QAP19" i="10"/>
  <c r="QBK19" i="10"/>
  <c r="QCF19" i="10"/>
  <c r="QDB19" i="10"/>
  <c r="QDW19" i="10"/>
  <c r="QER19" i="10"/>
  <c r="QFN19" i="10"/>
  <c r="QGI19" i="10"/>
  <c r="QHD19" i="10"/>
  <c r="QHZ19" i="10"/>
  <c r="QIU19" i="10"/>
  <c r="QJP19" i="10"/>
  <c r="QKL19" i="10"/>
  <c r="QLG19" i="10"/>
  <c r="QMB19" i="10"/>
  <c r="QMX19" i="10"/>
  <c r="QNS19" i="10"/>
  <c r="QON19" i="10"/>
  <c r="QPJ19" i="10"/>
  <c r="QQE19" i="10"/>
  <c r="QQZ19" i="10"/>
  <c r="QRV19" i="10"/>
  <c r="QSQ19" i="10"/>
  <c r="QTL19" i="10"/>
  <c r="QUH19" i="10"/>
  <c r="QVC19" i="10"/>
  <c r="QVX19" i="10"/>
  <c r="QWT19" i="10"/>
  <c r="QXO19" i="10"/>
  <c r="QYJ19" i="10"/>
  <c r="QZF19" i="10"/>
  <c r="RAA19" i="10"/>
  <c r="RAV19" i="10"/>
  <c r="RBR19" i="10"/>
  <c r="RCM19" i="10"/>
  <c r="RDH19" i="10"/>
  <c r="RED19" i="10"/>
  <c r="REY19" i="10"/>
  <c r="RFT19" i="10"/>
  <c r="RGP19" i="10"/>
  <c r="RHK19" i="10"/>
  <c r="RIF19" i="10"/>
  <c r="RJB19" i="10"/>
  <c r="RJW19" i="10"/>
  <c r="RKR19" i="10"/>
  <c r="RLN19" i="10"/>
  <c r="RMI19" i="10"/>
  <c r="RND19" i="10"/>
  <c r="RNZ19" i="10"/>
  <c r="ROU19" i="10"/>
  <c r="RPP19" i="10"/>
  <c r="RQL19" i="10"/>
  <c r="RRG19" i="10"/>
  <c r="RSB19" i="10"/>
  <c r="RSX19" i="10"/>
  <c r="RTS19" i="10"/>
  <c r="RUN19" i="10"/>
  <c r="RVJ19" i="10"/>
  <c r="RWE19" i="10"/>
  <c r="RWZ19" i="10"/>
  <c r="RXV19" i="10"/>
  <c r="RYQ19" i="10"/>
  <c r="RZL19" i="10"/>
  <c r="SAH19" i="10"/>
  <c r="SBC19" i="10"/>
  <c r="SBX19" i="10"/>
  <c r="SCT19" i="10"/>
  <c r="SDO19" i="10"/>
  <c r="SEJ19" i="10"/>
  <c r="SFF19" i="10"/>
  <c r="SGA19" i="10"/>
  <c r="SGV19" i="10"/>
  <c r="SHR19" i="10"/>
  <c r="SIM19" i="10"/>
  <c r="SJH19" i="10"/>
  <c r="SKD19" i="10"/>
  <c r="SKY19" i="10"/>
  <c r="SLT19" i="10"/>
  <c r="SMP19" i="10"/>
  <c r="SNK19" i="10"/>
  <c r="SOF19" i="10"/>
  <c r="SPB19" i="10"/>
  <c r="SPW19" i="10"/>
  <c r="SQR19" i="10"/>
  <c r="SRN19" i="10"/>
  <c r="SSI19" i="10"/>
  <c r="STD19" i="10"/>
  <c r="STZ19" i="10"/>
  <c r="SUU19" i="10"/>
  <c r="SVP19" i="10"/>
  <c r="SWL19" i="10"/>
  <c r="SXG19" i="10"/>
  <c r="SYB19" i="10"/>
  <c r="SYX19" i="10"/>
  <c r="SZS19" i="10"/>
  <c r="TAN19" i="10"/>
  <c r="TBJ19" i="10"/>
  <c r="TCE19" i="10"/>
  <c r="TCV19" i="10"/>
  <c r="TDL19" i="10"/>
  <c r="TEB19" i="10"/>
  <c r="TER19" i="10"/>
  <c r="TFH19" i="10"/>
  <c r="TFX19" i="10"/>
  <c r="TGN19" i="10"/>
  <c r="THD19" i="10"/>
  <c r="THT19" i="10"/>
  <c r="TIJ19" i="10"/>
  <c r="TIZ19" i="10"/>
  <c r="TJP19" i="10"/>
  <c r="TKF19" i="10"/>
  <c r="TKV19" i="10"/>
  <c r="TLL19" i="10"/>
  <c r="TMB19" i="10"/>
  <c r="TMR19" i="10"/>
  <c r="TNH19" i="10"/>
  <c r="TNX19" i="10"/>
  <c r="TON19" i="10"/>
  <c r="TPD19" i="10"/>
  <c r="TPT19" i="10"/>
  <c r="TQJ19" i="10"/>
  <c r="TQZ19" i="10"/>
  <c r="TRP19" i="10"/>
  <c r="TSF19" i="10"/>
  <c r="TSV19" i="10"/>
  <c r="TTL19" i="10"/>
  <c r="TUB19" i="10"/>
  <c r="TUR19" i="10"/>
  <c r="TVH19" i="10"/>
  <c r="TVX19" i="10"/>
  <c r="TWN19" i="10"/>
  <c r="TXD19" i="10"/>
  <c r="TXT19" i="10"/>
  <c r="TYJ19" i="10"/>
  <c r="TYZ19" i="10"/>
  <c r="TZP19" i="10"/>
  <c r="UAF19" i="10"/>
  <c r="UAV19" i="10"/>
  <c r="UBL19" i="10"/>
  <c r="UCB19" i="10"/>
  <c r="UCR19" i="10"/>
  <c r="UDH19" i="10"/>
  <c r="UDX19" i="10"/>
  <c r="UEN19" i="10"/>
  <c r="UFD19" i="10"/>
  <c r="UFT19" i="10"/>
  <c r="UGJ19" i="10"/>
  <c r="UGZ19" i="10"/>
  <c r="UHP19" i="10"/>
  <c r="UIF19" i="10"/>
  <c r="UIV19" i="10"/>
  <c r="UJL19" i="10"/>
  <c r="UKB19" i="10"/>
  <c r="UKR19" i="10"/>
  <c r="ULH19" i="10"/>
  <c r="ULX19" i="10"/>
  <c r="UMN19" i="10"/>
  <c r="UND19" i="10"/>
  <c r="UNT19" i="10"/>
  <c r="UOJ19" i="10"/>
  <c r="UOZ19" i="10"/>
  <c r="UPP19" i="10"/>
  <c r="UQF19" i="10"/>
  <c r="UQV19" i="10"/>
  <c r="URL19" i="10"/>
  <c r="USB19" i="10"/>
  <c r="USR19" i="10"/>
  <c r="UTH19" i="10"/>
  <c r="UTX19" i="10"/>
  <c r="UUN19" i="10"/>
  <c r="UVD19" i="10"/>
  <c r="UVT19" i="10"/>
  <c r="UWJ19" i="10"/>
  <c r="UWZ19" i="10"/>
  <c r="UXP19" i="10"/>
  <c r="UYF19" i="10"/>
  <c r="UYV19" i="10"/>
  <c r="UZL19" i="10"/>
  <c r="VAB19" i="10"/>
  <c r="VAR19" i="10"/>
  <c r="VBH19" i="10"/>
  <c r="VBX19" i="10"/>
  <c r="VCN19" i="10"/>
  <c r="VDD19" i="10"/>
  <c r="VDT19" i="10"/>
  <c r="VEJ19" i="10"/>
  <c r="VEZ19" i="10"/>
  <c r="VFP19" i="10"/>
  <c r="VGF19" i="10"/>
  <c r="VGV19" i="10"/>
  <c r="VHL19" i="10"/>
  <c r="VIB19" i="10"/>
  <c r="VIR19" i="10"/>
  <c r="VJH19" i="10"/>
  <c r="VJX19" i="10"/>
  <c r="VKN19" i="10"/>
  <c r="VLD19" i="10"/>
  <c r="VLT19" i="10"/>
  <c r="VMJ19" i="10"/>
  <c r="VMZ19" i="10"/>
  <c r="VNP19" i="10"/>
  <c r="VOF19" i="10"/>
  <c r="VOV19" i="10"/>
  <c r="VPL19" i="10"/>
  <c r="VQB19" i="10"/>
  <c r="VQR19" i="10"/>
  <c r="VRH19" i="10"/>
  <c r="VRX19" i="10"/>
  <c r="VSN19" i="10"/>
  <c r="VTD19" i="10"/>
  <c r="VTT19" i="10"/>
  <c r="VUJ19" i="10"/>
  <c r="VUZ19" i="10"/>
  <c r="VVP19" i="10"/>
  <c r="VWF19" i="10"/>
  <c r="VWV19" i="10"/>
  <c r="VXL19" i="10"/>
  <c r="VYB19" i="10"/>
  <c r="VYR19" i="10"/>
  <c r="VZH19" i="10"/>
  <c r="VZX19" i="10"/>
  <c r="WAN19" i="10"/>
  <c r="WBD19" i="10"/>
  <c r="WBT19" i="10"/>
  <c r="WCJ19" i="10"/>
  <c r="WCZ19" i="10"/>
  <c r="WDP19" i="10"/>
  <c r="WEF19" i="10"/>
  <c r="WEV19" i="10"/>
  <c r="WGB19" i="10"/>
  <c r="WIB19" i="10"/>
  <c r="WKF19" i="10"/>
  <c r="WMJ19" i="10"/>
  <c r="WON19" i="10"/>
  <c r="WQN19" i="10"/>
  <c r="WSR19" i="10"/>
  <c r="WUV19" i="10"/>
  <c r="WWZ19" i="10"/>
  <c r="WYZ19" i="10"/>
  <c r="XAZ19" i="10"/>
  <c r="XDD19" i="10"/>
  <c r="WOO19" i="10"/>
  <c r="WRM19" i="10"/>
  <c r="WUG19" i="10"/>
  <c r="WWW19" i="10"/>
  <c r="WZQ19" i="10"/>
  <c r="XCK19" i="10"/>
  <c r="XFA19" i="10"/>
  <c r="PFS19" i="10"/>
  <c r="PIE19" i="10"/>
  <c r="PKQ19" i="10"/>
  <c r="PNC19" i="10"/>
  <c r="PPO19" i="10"/>
  <c r="PSA19" i="10"/>
  <c r="PUM19" i="10"/>
  <c r="PWI19" i="10"/>
  <c r="PXD19" i="10"/>
  <c r="PXZ19" i="10"/>
  <c r="PYU19" i="10"/>
  <c r="PZP19" i="10"/>
  <c r="QAL19" i="10"/>
  <c r="QBG19" i="10"/>
  <c r="QCB19" i="10"/>
  <c r="QCX19" i="10"/>
  <c r="QDS19" i="10"/>
  <c r="QEN19" i="10"/>
  <c r="QFJ19" i="10"/>
  <c r="QGE19" i="10"/>
  <c r="QGZ19" i="10"/>
  <c r="QHV19" i="10"/>
  <c r="QIQ19" i="10"/>
  <c r="QJL19" i="10"/>
  <c r="QKH19" i="10"/>
  <c r="QLC19" i="10"/>
  <c r="QLX19" i="10"/>
  <c r="QMT19" i="10"/>
  <c r="QNO19" i="10"/>
  <c r="QOJ19" i="10"/>
  <c r="QPF19" i="10"/>
  <c r="QQA19" i="10"/>
  <c r="QQV19" i="10"/>
  <c r="QRR19" i="10"/>
  <c r="QSM19" i="10"/>
  <c r="QTH19" i="10"/>
  <c r="QUD19" i="10"/>
  <c r="QUY19" i="10"/>
  <c r="QVT19" i="10"/>
  <c r="QWP19" i="10"/>
  <c r="QXK19" i="10"/>
  <c r="QYF19" i="10"/>
  <c r="QZB19" i="10"/>
  <c r="QZW19" i="10"/>
  <c r="RAR19" i="10"/>
  <c r="RBN19" i="10"/>
  <c r="RCI19" i="10"/>
  <c r="RDD19" i="10"/>
  <c r="RDZ19" i="10"/>
  <c r="REU19" i="10"/>
  <c r="RFP19" i="10"/>
  <c r="RGL19" i="10"/>
  <c r="RHG19" i="10"/>
  <c r="RIB19" i="10"/>
  <c r="RIX19" i="10"/>
  <c r="RJS19" i="10"/>
  <c r="RKN19" i="10"/>
  <c r="RLJ19" i="10"/>
  <c r="RME19" i="10"/>
  <c r="RMZ19" i="10"/>
  <c r="RNV19" i="10"/>
  <c r="ROQ19" i="10"/>
  <c r="RPL19" i="10"/>
  <c r="RQH19" i="10"/>
  <c r="RRC19" i="10"/>
  <c r="RRX19" i="10"/>
  <c r="RST19" i="10"/>
  <c r="RTO19" i="10"/>
  <c r="RUJ19" i="10"/>
  <c r="RVF19" i="10"/>
  <c r="RWA19" i="10"/>
  <c r="RWV19" i="10"/>
  <c r="RXR19" i="10"/>
  <c r="RYM19" i="10"/>
  <c r="RZH19" i="10"/>
  <c r="SAD19" i="10"/>
  <c r="SAY19" i="10"/>
  <c r="SBT19" i="10"/>
  <c r="SCP19" i="10"/>
  <c r="SDK19" i="10"/>
  <c r="SEF19" i="10"/>
  <c r="SFB19" i="10"/>
  <c r="SFW19" i="10"/>
  <c r="SGR19" i="10"/>
  <c r="SHN19" i="10"/>
  <c r="SII19" i="10"/>
  <c r="SJD19" i="10"/>
  <c r="SJZ19" i="10"/>
  <c r="SKU19" i="10"/>
  <c r="SLP19" i="10"/>
  <c r="SML19" i="10"/>
  <c r="SNG19" i="10"/>
  <c r="SOB19" i="10"/>
  <c r="SOX19" i="10"/>
  <c r="SPS19" i="10"/>
  <c r="SQN19" i="10"/>
  <c r="SRJ19" i="10"/>
  <c r="SSE19" i="10"/>
  <c r="SSZ19" i="10"/>
  <c r="STV19" i="10"/>
  <c r="SUQ19" i="10"/>
  <c r="SVL19" i="10"/>
  <c r="SWH19" i="10"/>
  <c r="SXC19" i="10"/>
  <c r="SXX19" i="10"/>
  <c r="SYT19" i="10"/>
  <c r="SZO19" i="10"/>
  <c r="TAJ19" i="10"/>
  <c r="TBF19" i="10"/>
  <c r="TCA19" i="10"/>
  <c r="TCS19" i="10"/>
  <c r="TDI19" i="10"/>
  <c r="TDY19" i="10"/>
  <c r="TEO19" i="10"/>
  <c r="TFE19" i="10"/>
  <c r="TFU19" i="10"/>
  <c r="TGK19" i="10"/>
  <c r="THA19" i="10"/>
  <c r="THQ19" i="10"/>
  <c r="TIG19" i="10"/>
  <c r="TIW19" i="10"/>
  <c r="TJM19" i="10"/>
  <c r="TKC19" i="10"/>
  <c r="TKS19" i="10"/>
  <c r="TLI19" i="10"/>
  <c r="TLY19" i="10"/>
  <c r="TMO19" i="10"/>
  <c r="TNE19" i="10"/>
  <c r="TNU19" i="10"/>
  <c r="TOK19" i="10"/>
  <c r="TPA19" i="10"/>
  <c r="TPQ19" i="10"/>
  <c r="TQG19" i="10"/>
  <c r="TQW19" i="10"/>
  <c r="TRM19" i="10"/>
  <c r="TSC19" i="10"/>
  <c r="TSS19" i="10"/>
  <c r="TTI19" i="10"/>
  <c r="TTY19" i="10"/>
  <c r="TUO19" i="10"/>
  <c r="TVE19" i="10"/>
  <c r="TVU19" i="10"/>
  <c r="TWK19" i="10"/>
  <c r="TXA19" i="10"/>
  <c r="TXQ19" i="10"/>
  <c r="TYG19" i="10"/>
  <c r="TYW19" i="10"/>
  <c r="TZM19" i="10"/>
  <c r="UAC19" i="10"/>
  <c r="UAS19" i="10"/>
  <c r="UBI19" i="10"/>
  <c r="UBY19" i="10"/>
  <c r="UCO19" i="10"/>
  <c r="UDE19" i="10"/>
  <c r="UDU19" i="10"/>
  <c r="UEK19" i="10"/>
  <c r="UFA19" i="10"/>
  <c r="UFQ19" i="10"/>
  <c r="UGG19" i="10"/>
  <c r="UGW19" i="10"/>
  <c r="UHM19" i="10"/>
  <c r="UIC19" i="10"/>
  <c r="UIS19" i="10"/>
  <c r="UJI19" i="10"/>
  <c r="UJY19" i="10"/>
  <c r="UKO19" i="10"/>
  <c r="ULE19" i="10"/>
  <c r="ULU19" i="10"/>
  <c r="UMK19" i="10"/>
  <c r="UNA19" i="10"/>
  <c r="UNQ19" i="10"/>
  <c r="UOG19" i="10"/>
  <c r="UOW19" i="10"/>
  <c r="UPM19" i="10"/>
  <c r="UQC19" i="10"/>
  <c r="UQS19" i="10"/>
  <c r="URI19" i="10"/>
  <c r="URY19" i="10"/>
  <c r="USO19" i="10"/>
  <c r="UTE19" i="10"/>
  <c r="UTU19" i="10"/>
  <c r="UUK19" i="10"/>
  <c r="UVA19" i="10"/>
  <c r="UVQ19" i="10"/>
  <c r="UWG19" i="10"/>
  <c r="UWW19" i="10"/>
  <c r="UXM19" i="10"/>
  <c r="UYC19" i="10"/>
  <c r="UYS19" i="10"/>
  <c r="UZI19" i="10"/>
  <c r="UZY19" i="10"/>
  <c r="VAO19" i="10"/>
  <c r="VBE19" i="10"/>
  <c r="VBU19" i="10"/>
  <c r="VCK19" i="10"/>
  <c r="VDA19" i="10"/>
  <c r="VDQ19" i="10"/>
  <c r="VEG19" i="10"/>
  <c r="VEW19" i="10"/>
  <c r="VFM19" i="10"/>
  <c r="VGC19" i="10"/>
  <c r="VGS19" i="10"/>
  <c r="VHI19" i="10"/>
  <c r="VHY19" i="10"/>
  <c r="VIO19" i="10"/>
  <c r="VJE19" i="10"/>
  <c r="VJU19" i="10"/>
  <c r="VKK19" i="10"/>
  <c r="VLA19" i="10"/>
  <c r="VLQ19" i="10"/>
  <c r="VMG19" i="10"/>
  <c r="VMW19" i="10"/>
  <c r="VNM19" i="10"/>
  <c r="VOC19" i="10"/>
  <c r="VOS19" i="10"/>
  <c r="VPI19" i="10"/>
  <c r="VPY19" i="10"/>
  <c r="VQO19" i="10"/>
  <c r="VRE19" i="10"/>
  <c r="VRU19" i="10"/>
  <c r="VSK19" i="10"/>
  <c r="VTA19" i="10"/>
  <c r="VTQ19" i="10"/>
  <c r="VUG19" i="10"/>
  <c r="VUW19" i="10"/>
  <c r="VVM19" i="10"/>
  <c r="VWC19" i="10"/>
  <c r="VWS19" i="10"/>
  <c r="VXI19" i="10"/>
  <c r="VXY19" i="10"/>
  <c r="VYO19" i="10"/>
  <c r="VZE19" i="10"/>
  <c r="VZU19" i="10"/>
  <c r="WAK19" i="10"/>
  <c r="WBA19" i="10"/>
  <c r="WBQ19" i="10"/>
  <c r="WCG19" i="10"/>
  <c r="WCW19" i="10"/>
  <c r="WDM19" i="10"/>
  <c r="WEC19" i="10"/>
  <c r="WES19" i="10"/>
  <c r="WFI19" i="10"/>
  <c r="WFY19" i="10"/>
  <c r="WGO19" i="10"/>
  <c r="WHE19" i="10"/>
  <c r="WHU19" i="10"/>
  <c r="WIK19" i="10"/>
  <c r="WJA19" i="10"/>
  <c r="WJQ19" i="10"/>
  <c r="WKG19" i="10"/>
  <c r="WKW19" i="10"/>
  <c r="WLM19" i="10"/>
  <c r="WMC19" i="10"/>
  <c r="WMS19" i="10"/>
  <c r="WNI19" i="10"/>
  <c r="WNY19" i="10"/>
  <c r="WPE19" i="10"/>
  <c r="WRY19" i="10"/>
  <c r="WUO19" i="10"/>
  <c r="WXI19" i="10"/>
  <c r="XAC19" i="10"/>
  <c r="XCW19" i="10"/>
  <c r="PEA19" i="10"/>
  <c r="PGM19" i="10"/>
  <c r="PIY19" i="10"/>
  <c r="PLK19" i="10"/>
  <c r="PNW19" i="10"/>
  <c r="PQI19" i="10"/>
  <c r="PSU19" i="10"/>
  <c r="PVG19" i="10"/>
  <c r="PWP19" i="10"/>
  <c r="PXK19" i="10"/>
  <c r="PYF19" i="10"/>
  <c r="PZB19" i="10"/>
  <c r="PZW19" i="10"/>
  <c r="QAR19" i="10"/>
  <c r="QBN19" i="10"/>
  <c r="QCI19" i="10"/>
  <c r="QDD19" i="10"/>
  <c r="QDZ19" i="10"/>
  <c r="QEU19" i="10"/>
  <c r="QFP19" i="10"/>
  <c r="QGL19" i="10"/>
  <c r="QHG19" i="10"/>
  <c r="QIB19" i="10"/>
  <c r="QIX19" i="10"/>
  <c r="QJS19" i="10"/>
  <c r="QKN19" i="10"/>
  <c r="QLJ19" i="10"/>
  <c r="QME19" i="10"/>
  <c r="QMZ19" i="10"/>
  <c r="QNV19" i="10"/>
  <c r="QOQ19" i="10"/>
  <c r="QPL19" i="10"/>
  <c r="QQH19" i="10"/>
  <c r="QRC19" i="10"/>
  <c r="QRX19" i="10"/>
  <c r="QST19" i="10"/>
  <c r="QTO19" i="10"/>
  <c r="QUJ19" i="10"/>
  <c r="QVF19" i="10"/>
  <c r="QWA19" i="10"/>
  <c r="QWV19" i="10"/>
  <c r="QXR19" i="10"/>
  <c r="QYM19" i="10"/>
  <c r="QZH19" i="10"/>
  <c r="RAD19" i="10"/>
  <c r="RAY19" i="10"/>
  <c r="RBT19" i="10"/>
  <c r="RCP19" i="10"/>
  <c r="RDK19" i="10"/>
  <c r="REF19" i="10"/>
  <c r="RFB19" i="10"/>
  <c r="RFW19" i="10"/>
  <c r="RGR19" i="10"/>
  <c r="RHN19" i="10"/>
  <c r="RII19" i="10"/>
  <c r="RJD19" i="10"/>
  <c r="RJZ19" i="10"/>
  <c r="RKU19" i="10"/>
  <c r="RLP19" i="10"/>
  <c r="RML19" i="10"/>
  <c r="RNG19" i="10"/>
  <c r="ROB19" i="10"/>
  <c r="ROX19" i="10"/>
  <c r="RPS19" i="10"/>
  <c r="RQN19" i="10"/>
  <c r="RRJ19" i="10"/>
  <c r="RSE19" i="10"/>
  <c r="RSZ19" i="10"/>
  <c r="RTV19" i="10"/>
  <c r="RUQ19" i="10"/>
  <c r="RVL19" i="10"/>
  <c r="RWH19" i="10"/>
  <c r="RXC19" i="10"/>
  <c r="RXX19" i="10"/>
  <c r="RYT19" i="10"/>
  <c r="RZO19" i="10"/>
  <c r="SAJ19" i="10"/>
  <c r="SBF19" i="10"/>
  <c r="SCA19" i="10"/>
  <c r="SCV19" i="10"/>
  <c r="SDR19" i="10"/>
  <c r="SEM19" i="10"/>
  <c r="SFH19" i="10"/>
  <c r="SGD19" i="10"/>
  <c r="SGY19" i="10"/>
  <c r="SHT19" i="10"/>
  <c r="SIP19" i="10"/>
  <c r="SJK19" i="10"/>
  <c r="SKF19" i="10"/>
  <c r="SLB19" i="10"/>
  <c r="SLW19" i="10"/>
  <c r="SMR19" i="10"/>
  <c r="SNN19" i="10"/>
  <c r="SOI19" i="10"/>
  <c r="SPD19" i="10"/>
  <c r="SPZ19" i="10"/>
  <c r="SQU19" i="10"/>
  <c r="SRP19" i="10"/>
  <c r="SSL19" i="10"/>
  <c r="STG19" i="10"/>
  <c r="SUB19" i="10"/>
  <c r="SUX19" i="10"/>
  <c r="SVS19" i="10"/>
  <c r="SWN19" i="10"/>
  <c r="SXJ19" i="10"/>
  <c r="SYE19" i="10"/>
  <c r="SYZ19" i="10"/>
  <c r="SZV19" i="10"/>
  <c r="TAQ19" i="10"/>
  <c r="TBL19" i="10"/>
  <c r="TCH19" i="10"/>
  <c r="TCX19" i="10"/>
  <c r="TDN19" i="10"/>
  <c r="TED19" i="10"/>
  <c r="TET19" i="10"/>
  <c r="TFJ19" i="10"/>
  <c r="TFZ19" i="10"/>
  <c r="TGP19" i="10"/>
  <c r="THF19" i="10"/>
  <c r="THV19" i="10"/>
  <c r="TIL19" i="10"/>
  <c r="TJB19" i="10"/>
  <c r="TJR19" i="10"/>
  <c r="TKH19" i="10"/>
  <c r="TKX19" i="10"/>
  <c r="TLN19" i="10"/>
  <c r="TMD19" i="10"/>
  <c r="TMT19" i="10"/>
  <c r="TNJ19" i="10"/>
  <c r="TNZ19" i="10"/>
  <c r="TOP19" i="10"/>
  <c r="TPF19" i="10"/>
  <c r="TPV19" i="10"/>
  <c r="TQL19" i="10"/>
  <c r="TRB19" i="10"/>
  <c r="TRR19" i="10"/>
  <c r="TSH19" i="10"/>
  <c r="TSX19" i="10"/>
  <c r="TTN19" i="10"/>
  <c r="TUD19" i="10"/>
  <c r="TUT19" i="10"/>
  <c r="TVJ19" i="10"/>
  <c r="TVZ19" i="10"/>
  <c r="TWP19" i="10"/>
  <c r="TXF19" i="10"/>
  <c r="TXV19" i="10"/>
  <c r="TYL19" i="10"/>
  <c r="TZB19" i="10"/>
  <c r="TZR19" i="10"/>
  <c r="UAH19" i="10"/>
  <c r="UAX19" i="10"/>
  <c r="UBN19" i="10"/>
  <c r="UCD19" i="10"/>
  <c r="UCT19" i="10"/>
  <c r="UDJ19" i="10"/>
  <c r="UDZ19" i="10"/>
  <c r="UEP19" i="10"/>
  <c r="UFF19" i="10"/>
  <c r="UFV19" i="10"/>
  <c r="UGL19" i="10"/>
  <c r="UHB19" i="10"/>
  <c r="UHR19" i="10"/>
  <c r="UIH19" i="10"/>
  <c r="UIX19" i="10"/>
  <c r="UJN19" i="10"/>
  <c r="UKD19" i="10"/>
  <c r="UKT19" i="10"/>
  <c r="ULJ19" i="10"/>
  <c r="ULZ19" i="10"/>
  <c r="UMP19" i="10"/>
  <c r="UNF19" i="10"/>
  <c r="UNV19" i="10"/>
  <c r="UOL19" i="10"/>
  <c r="UPB19" i="10"/>
  <c r="UPR19" i="10"/>
  <c r="UQH19" i="10"/>
  <c r="UQX19" i="10"/>
  <c r="URN19" i="10"/>
  <c r="USD19" i="10"/>
  <c r="UST19" i="10"/>
  <c r="UTJ19" i="10"/>
  <c r="UTZ19" i="10"/>
  <c r="UUP19" i="10"/>
  <c r="UVF19" i="10"/>
  <c r="UVV19" i="10"/>
  <c r="UWL19" i="10"/>
  <c r="UXB19" i="10"/>
  <c r="UXR19" i="10"/>
  <c r="UYH19" i="10"/>
  <c r="UYX19" i="10"/>
  <c r="UZN19" i="10"/>
  <c r="VAD19" i="10"/>
  <c r="VAT19" i="10"/>
  <c r="VBJ19" i="10"/>
  <c r="VBZ19" i="10"/>
  <c r="VCP19" i="10"/>
  <c r="VDF19" i="10"/>
  <c r="VDV19" i="10"/>
  <c r="VEL19" i="10"/>
  <c r="VFB19" i="10"/>
  <c r="VFR19" i="10"/>
  <c r="VGH19" i="10"/>
  <c r="VGX19" i="10"/>
  <c r="VHN19" i="10"/>
  <c r="VID19" i="10"/>
  <c r="VIT19" i="10"/>
  <c r="VJJ19" i="10"/>
  <c r="VJZ19" i="10"/>
  <c r="VKP19" i="10"/>
  <c r="VLF19" i="10"/>
  <c r="VLV19" i="10"/>
  <c r="VML19" i="10"/>
  <c r="VNB19" i="10"/>
  <c r="VNR19" i="10"/>
  <c r="VOH19" i="10"/>
  <c r="VOX19" i="10"/>
  <c r="VPN19" i="10"/>
  <c r="VQD19" i="10"/>
  <c r="VQT19" i="10"/>
  <c r="VRJ19" i="10"/>
  <c r="VRZ19" i="10"/>
  <c r="VSP19" i="10"/>
  <c r="VTF19" i="10"/>
  <c r="VTV19" i="10"/>
  <c r="VUL19" i="10"/>
  <c r="VVB19" i="10"/>
  <c r="VVR19" i="10"/>
  <c r="VWH19" i="10"/>
  <c r="VWX19" i="10"/>
  <c r="VXN19" i="10"/>
  <c r="VYD19" i="10"/>
  <c r="VYT19" i="10"/>
  <c r="VZJ19" i="10"/>
  <c r="VZZ19" i="10"/>
  <c r="WAP19" i="10"/>
  <c r="WBF19" i="10"/>
  <c r="WBV19" i="10"/>
  <c r="WCL19" i="10"/>
  <c r="WDB19" i="10"/>
  <c r="WDR19" i="10"/>
  <c r="WEH19" i="10"/>
  <c r="WEX19" i="10"/>
  <c r="WFN19" i="10"/>
  <c r="WGD19" i="10"/>
  <c r="WGT19" i="10"/>
  <c r="WHJ19" i="10"/>
  <c r="WHZ19" i="10"/>
  <c r="WIP19" i="10"/>
  <c r="WJF19" i="10"/>
  <c r="WJV19" i="10"/>
  <c r="WKL19" i="10"/>
  <c r="WLB19" i="10"/>
  <c r="WLR19" i="10"/>
  <c r="WMH19" i="10"/>
  <c r="WMX19" i="10"/>
  <c r="WNN19" i="10"/>
  <c r="WOD19" i="10"/>
  <c r="WOT19" i="10"/>
  <c r="WPJ19" i="10"/>
  <c r="WPZ19" i="10"/>
  <c r="WQP19" i="10"/>
  <c r="WRF19" i="10"/>
  <c r="WRV19" i="10"/>
  <c r="WSL19" i="10"/>
  <c r="WTB19" i="10"/>
  <c r="WTR19" i="10"/>
  <c r="WUH19" i="10"/>
  <c r="WUX19" i="10"/>
  <c r="WVN19" i="10"/>
  <c r="WWD19" i="10"/>
  <c r="WWT19" i="10"/>
  <c r="WXJ19" i="10"/>
  <c r="WXZ19" i="10"/>
  <c r="WYP19" i="10"/>
  <c r="WZF19" i="10"/>
  <c r="WZV19" i="10"/>
  <c r="XAL19" i="10"/>
  <c r="XBB19" i="10"/>
  <c r="XBR19" i="10"/>
  <c r="XCH19" i="10"/>
  <c r="XCX19" i="10"/>
  <c r="XDN19" i="10"/>
  <c r="XED19" i="10"/>
  <c r="XET19" i="10"/>
  <c r="VHC19" i="10"/>
  <c r="VIA19" i="10"/>
  <c r="VJC19" i="10"/>
  <c r="VKA19" i="10"/>
  <c r="VLC19" i="10"/>
  <c r="VME19" i="10"/>
  <c r="VNG19" i="10"/>
  <c r="VOI19" i="10"/>
  <c r="VPK19" i="10"/>
  <c r="VQI19" i="10"/>
  <c r="VRK19" i="10"/>
  <c r="VSM19" i="10"/>
  <c r="VTO19" i="10"/>
  <c r="VUM19" i="10"/>
  <c r="VVO19" i="10"/>
  <c r="VWQ19" i="10"/>
  <c r="VXS19" i="10"/>
  <c r="VYU19" i="10"/>
  <c r="VZS19" i="10"/>
  <c r="WAU19" i="10"/>
  <c r="WBW19" i="10"/>
  <c r="WCY19" i="10"/>
  <c r="WEA19" i="10"/>
  <c r="WEY19" i="10"/>
  <c r="WGA19" i="10"/>
  <c r="WHC19" i="10"/>
  <c r="WIA19" i="10"/>
  <c r="WJC19" i="10"/>
  <c r="WKE19" i="10"/>
  <c r="WLC19" i="10"/>
  <c r="WME19" i="10"/>
  <c r="WNG19" i="10"/>
  <c r="WOI19" i="10"/>
  <c r="WPG19" i="10"/>
  <c r="WQI19" i="10"/>
  <c r="WRK19" i="10"/>
  <c r="WSM19" i="10"/>
  <c r="WTK19" i="10"/>
  <c r="WUM19" i="10"/>
  <c r="WVO19" i="10"/>
  <c r="WWQ19" i="10"/>
  <c r="WXO19" i="10"/>
  <c r="WYQ19" i="10"/>
  <c r="WZS19" i="10"/>
  <c r="XAQ19" i="10"/>
  <c r="XBS19" i="10"/>
  <c r="XCU19" i="10"/>
  <c r="XDS19" i="10"/>
  <c r="XEU19" i="10"/>
  <c r="WFX19" i="10"/>
  <c r="WHL19" i="10"/>
  <c r="WIV19" i="10"/>
  <c r="WKJ19" i="10"/>
  <c r="WLT19" i="10"/>
  <c r="WND19" i="10"/>
  <c r="WOR19" i="10"/>
  <c r="WQF19" i="10"/>
  <c r="WRL19" i="10"/>
  <c r="WSZ19" i="10"/>
  <c r="WUJ19" i="10"/>
  <c r="WVT19" i="10"/>
  <c r="WXH19" i="10"/>
  <c r="WYR19" i="10"/>
  <c r="XAF19" i="10"/>
  <c r="XBL19" i="10"/>
  <c r="XCZ19" i="10"/>
  <c r="XEN19" i="10"/>
  <c r="WPQ19" i="10"/>
  <c r="WRI19" i="10"/>
  <c r="WTE19" i="10"/>
  <c r="WVE19" i="10"/>
  <c r="WXA19" i="10"/>
  <c r="WYW19" i="10"/>
  <c r="XAW19" i="10"/>
  <c r="XCS19" i="10"/>
  <c r="XEO19" i="10"/>
  <c r="PGA19" i="10"/>
  <c r="PIM19" i="10"/>
  <c r="PKY19" i="10"/>
  <c r="PNK19" i="10"/>
  <c r="PPW19" i="10"/>
  <c r="PSI19" i="10"/>
  <c r="PUU19" i="10"/>
  <c r="PWL19" i="10"/>
  <c r="PXG19" i="10"/>
  <c r="PYB19" i="10"/>
  <c r="PYX19" i="10"/>
  <c r="PZS19" i="10"/>
  <c r="QAN19" i="10"/>
  <c r="QBJ19" i="10"/>
  <c r="QCE19" i="10"/>
  <c r="QCZ19" i="10"/>
  <c r="QDV19" i="10"/>
  <c r="QEQ19" i="10"/>
  <c r="QFL19" i="10"/>
  <c r="QGH19" i="10"/>
  <c r="QHC19" i="10"/>
  <c r="QHX19" i="10"/>
  <c r="QIT19" i="10"/>
  <c r="QJO19" i="10"/>
  <c r="QKJ19" i="10"/>
  <c r="QLF19" i="10"/>
  <c r="QMA19" i="10"/>
  <c r="QMV19" i="10"/>
  <c r="QNR19" i="10"/>
  <c r="QOM19" i="10"/>
  <c r="QPH19" i="10"/>
  <c r="QQD19" i="10"/>
  <c r="QQY19" i="10"/>
  <c r="QRT19" i="10"/>
  <c r="QSP19" i="10"/>
  <c r="QTK19" i="10"/>
  <c r="QUF19" i="10"/>
  <c r="QVB19" i="10"/>
  <c r="QVW19" i="10"/>
  <c r="QWR19" i="10"/>
  <c r="QXN19" i="10"/>
  <c r="QYI19" i="10"/>
  <c r="QZD19" i="10"/>
  <c r="QZZ19" i="10"/>
  <c r="RAU19" i="10"/>
  <c r="RBP19" i="10"/>
  <c r="RCL19" i="10"/>
  <c r="RDG19" i="10"/>
  <c r="REB19" i="10"/>
  <c r="REX19" i="10"/>
  <c r="RFS19" i="10"/>
  <c r="RGN19" i="10"/>
  <c r="RHJ19" i="10"/>
  <c r="RIE19" i="10"/>
  <c r="RIZ19" i="10"/>
  <c r="RJV19" i="10"/>
  <c r="RKQ19" i="10"/>
  <c r="RLL19" i="10"/>
  <c r="RMH19" i="10"/>
  <c r="RNC19" i="10"/>
  <c r="RNX19" i="10"/>
  <c r="ROT19" i="10"/>
  <c r="RPO19" i="10"/>
  <c r="RQJ19" i="10"/>
  <c r="RRF19" i="10"/>
  <c r="RSA19" i="10"/>
  <c r="RSV19" i="10"/>
  <c r="RTR19" i="10"/>
  <c r="RUM19" i="10"/>
  <c r="RVH19" i="10"/>
  <c r="RWD19" i="10"/>
  <c r="RWY19" i="10"/>
  <c r="RXT19" i="10"/>
  <c r="RYP19" i="10"/>
  <c r="RZK19" i="10"/>
  <c r="SAF19" i="10"/>
  <c r="SBB19" i="10"/>
  <c r="SBW19" i="10"/>
  <c r="SCR19" i="10"/>
  <c r="SDN19" i="10"/>
  <c r="SEI19" i="10"/>
  <c r="SFD19" i="10"/>
  <c r="SFZ19" i="10"/>
  <c r="SGU19" i="10"/>
  <c r="SHP19" i="10"/>
  <c r="SIL19" i="10"/>
  <c r="SJG19" i="10"/>
  <c r="SKB19" i="10"/>
  <c r="SKX19" i="10"/>
  <c r="SLS19" i="10"/>
  <c r="SMN19" i="10"/>
  <c r="SNJ19" i="10"/>
  <c r="SOE19" i="10"/>
  <c r="SOZ19" i="10"/>
  <c r="SPV19" i="10"/>
  <c r="SQQ19" i="10"/>
  <c r="SRL19" i="10"/>
  <c r="SSH19" i="10"/>
  <c r="STC19" i="10"/>
  <c r="STX19" i="10"/>
  <c r="SUT19" i="10"/>
  <c r="SVO19" i="10"/>
  <c r="SWJ19" i="10"/>
  <c r="SXF19" i="10"/>
  <c r="SYA19" i="10"/>
  <c r="SYV19" i="10"/>
  <c r="SZR19" i="10"/>
  <c r="TAM19" i="10"/>
  <c r="TBH19" i="10"/>
  <c r="TCD19" i="10"/>
  <c r="TCU19" i="10"/>
  <c r="TDK19" i="10"/>
  <c r="TEA19" i="10"/>
  <c r="TEQ19" i="10"/>
  <c r="TFG19" i="10"/>
  <c r="TFW19" i="10"/>
  <c r="TGM19" i="10"/>
  <c r="THC19" i="10"/>
  <c r="THS19" i="10"/>
  <c r="TII19" i="10"/>
  <c r="TIY19" i="10"/>
  <c r="TJO19" i="10"/>
  <c r="TKE19" i="10"/>
  <c r="TKU19" i="10"/>
  <c r="TLK19" i="10"/>
  <c r="TMA19" i="10"/>
  <c r="TMQ19" i="10"/>
  <c r="TNG19" i="10"/>
  <c r="TNW19" i="10"/>
  <c r="TOM19" i="10"/>
  <c r="TPC19" i="10"/>
  <c r="TPS19" i="10"/>
  <c r="TQI19" i="10"/>
  <c r="TQY19" i="10"/>
  <c r="TRO19" i="10"/>
  <c r="TSE19" i="10"/>
  <c r="TSU19" i="10"/>
  <c r="TTK19" i="10"/>
  <c r="TUA19" i="10"/>
  <c r="TUQ19" i="10"/>
  <c r="TVG19" i="10"/>
  <c r="TVW19" i="10"/>
  <c r="TWM19" i="10"/>
  <c r="TXC19" i="10"/>
  <c r="TXS19" i="10"/>
  <c r="TYI19" i="10"/>
  <c r="TYY19" i="10"/>
  <c r="TZO19" i="10"/>
  <c r="UAE19" i="10"/>
  <c r="UAU19" i="10"/>
  <c r="UBK19" i="10"/>
  <c r="UCA19" i="10"/>
  <c r="UCQ19" i="10"/>
  <c r="UDG19" i="10"/>
  <c r="UDW19" i="10"/>
  <c r="UEM19" i="10"/>
  <c r="UFC19" i="10"/>
  <c r="UFS19" i="10"/>
  <c r="UGI19" i="10"/>
  <c r="UGY19" i="10"/>
  <c r="UHO19" i="10"/>
  <c r="UIE19" i="10"/>
  <c r="UIU19" i="10"/>
  <c r="UJK19" i="10"/>
  <c r="UKA19" i="10"/>
  <c r="UKQ19" i="10"/>
  <c r="ULG19" i="10"/>
  <c r="ULW19" i="10"/>
  <c r="UMM19" i="10"/>
  <c r="UNC19" i="10"/>
  <c r="UNS19" i="10"/>
  <c r="UOI19" i="10"/>
  <c r="UOY19" i="10"/>
  <c r="UPO19" i="10"/>
  <c r="UQE19" i="10"/>
  <c r="UQU19" i="10"/>
  <c r="URK19" i="10"/>
  <c r="USA19" i="10"/>
  <c r="USQ19" i="10"/>
  <c r="UTG19" i="10"/>
  <c r="UTW19" i="10"/>
  <c r="UUM19" i="10"/>
  <c r="UVC19" i="10"/>
  <c r="UVS19" i="10"/>
  <c r="UWI19" i="10"/>
  <c r="UWY19" i="10"/>
  <c r="UXO19" i="10"/>
  <c r="UYE19" i="10"/>
  <c r="UYU19" i="10"/>
  <c r="UZK19" i="10"/>
  <c r="VAA19" i="10"/>
  <c r="VAQ19" i="10"/>
  <c r="VBG19" i="10"/>
  <c r="VBW19" i="10"/>
  <c r="VCM19" i="10"/>
  <c r="VDC19" i="10"/>
  <c r="VDS19" i="10"/>
  <c r="VEI19" i="10"/>
  <c r="VEY19" i="10"/>
  <c r="VFO19" i="10"/>
  <c r="VGE19" i="10"/>
  <c r="VGY19" i="10"/>
  <c r="VIQ19" i="10"/>
  <c r="VKE19" i="10"/>
  <c r="VLO19" i="10"/>
  <c r="VNC19" i="10"/>
  <c r="VOQ19" i="10"/>
  <c r="VQA19" i="10"/>
  <c r="VRO19" i="10"/>
  <c r="VTC19" i="10"/>
  <c r="VUQ19" i="10"/>
  <c r="VWA19" i="10"/>
  <c r="VXO19" i="10"/>
  <c r="VZC19" i="10"/>
  <c r="WAM19" i="10"/>
  <c r="WCA19" i="10"/>
  <c r="WDO19" i="10"/>
  <c r="WFC19" i="10"/>
  <c r="WGQ19" i="10"/>
  <c r="WIE19" i="10"/>
  <c r="WJS19" i="10"/>
  <c r="WLG19" i="10"/>
  <c r="WMU19" i="10"/>
  <c r="WOE19" i="10"/>
  <c r="WPS19" i="10"/>
  <c r="WRG19" i="10"/>
  <c r="WSU19" i="10"/>
  <c r="WUI19" i="10"/>
  <c r="WVS19" i="10"/>
  <c r="WXG19" i="10"/>
  <c r="WYU19" i="10"/>
  <c r="XAI19" i="10"/>
  <c r="XCA19" i="10"/>
  <c r="XDK19" i="10"/>
  <c r="XEY19" i="10"/>
  <c r="WHH19" i="10"/>
  <c r="WJP19" i="10"/>
  <c r="WLP19" i="10"/>
  <c r="WNT19" i="10"/>
  <c r="WQB19" i="10"/>
  <c r="WSJ19" i="10"/>
  <c r="WUN19" i="10"/>
  <c r="WWR19" i="10"/>
  <c r="WYV19" i="10"/>
  <c r="XBD19" i="10"/>
  <c r="XDH19" i="10"/>
  <c r="WOG19" i="10"/>
  <c r="WQS19" i="10"/>
  <c r="WTQ19" i="10"/>
  <c r="WWK19" i="10"/>
  <c r="WZE19" i="10"/>
  <c r="XBY19" i="10"/>
  <c r="XEW19" i="10"/>
  <c r="M19" i="10"/>
  <c r="I19" i="10"/>
  <c r="D19" i="10"/>
  <c r="TRA19" i="10"/>
  <c r="TXE19" i="10"/>
  <c r="TYK19" i="10"/>
  <c r="TZQ19" i="10"/>
  <c r="UAW19" i="10"/>
  <c r="UBM19" i="10"/>
  <c r="UCS19" i="10"/>
  <c r="UDY19" i="10"/>
  <c r="UEO19" i="10"/>
  <c r="UFU19" i="10"/>
  <c r="UHA19" i="10"/>
  <c r="UHQ19" i="10"/>
  <c r="UIW19" i="10"/>
  <c r="UKC19" i="10"/>
  <c r="UKS19" i="10"/>
  <c r="ULY19" i="10"/>
  <c r="UNE19" i="10"/>
  <c r="UNU19" i="10"/>
  <c r="UPA19" i="10"/>
  <c r="UQG19" i="10"/>
  <c r="URM19" i="10"/>
  <c r="USC19" i="10"/>
  <c r="UTI19" i="10"/>
  <c r="UUO19" i="10"/>
  <c r="UVE19" i="10"/>
  <c r="UWK19" i="10"/>
  <c r="UXQ19" i="10"/>
  <c r="UYW19" i="10"/>
  <c r="UZM19" i="10"/>
  <c r="VAS19" i="10"/>
  <c r="VBY19" i="10"/>
  <c r="VCO19" i="10"/>
  <c r="VDU19" i="10"/>
  <c r="VFA19" i="10"/>
  <c r="VGG19" i="10"/>
  <c r="VGW19" i="10"/>
  <c r="VIC19" i="10"/>
  <c r="VJI19" i="10"/>
  <c r="VJY19" i="10"/>
  <c r="VLE19" i="10"/>
  <c r="VMK19" i="10"/>
  <c r="VNQ19" i="10"/>
  <c r="VOG19" i="10"/>
  <c r="VPM19" i="10"/>
  <c r="VQS19" i="10"/>
  <c r="VRI19" i="10"/>
  <c r="VSO19" i="10"/>
  <c r="VTU19" i="10"/>
  <c r="VUK19" i="10"/>
  <c r="VVQ19" i="10"/>
  <c r="VWW19" i="10"/>
  <c r="VYC19" i="10"/>
  <c r="VYS19" i="10"/>
  <c r="VZY19" i="10"/>
  <c r="WBE19" i="10"/>
  <c r="WBU19" i="10"/>
  <c r="WDA19" i="10"/>
  <c r="WEG19" i="10"/>
  <c r="WEW19" i="10"/>
  <c r="WGC19" i="10"/>
  <c r="WHI19" i="10"/>
  <c r="WHY19" i="10"/>
  <c r="WJE19" i="10"/>
  <c r="WKK19" i="10"/>
  <c r="WLA19" i="10"/>
  <c r="WMG19" i="10"/>
  <c r="WNM19" i="10"/>
  <c r="WOC19" i="10"/>
  <c r="WSO19" i="10"/>
  <c r="WYC19" i="10"/>
  <c r="XAS19" i="10"/>
  <c r="PEQ19" i="10"/>
  <c r="PJO19" i="10"/>
  <c r="PMA19" i="10"/>
  <c r="PQY19" i="10"/>
  <c r="PVW19" i="10"/>
  <c r="PWU19" i="10"/>
  <c r="PYL19" i="10"/>
  <c r="QAB19" i="10"/>
  <c r="QAX19" i="10"/>
  <c r="QCN19" i="10"/>
  <c r="QEE19" i="10"/>
  <c r="QEZ19" i="10"/>
  <c r="QGQ19" i="10"/>
  <c r="QIH19" i="10"/>
  <c r="QJC19" i="10"/>
  <c r="QKT19" i="10"/>
  <c r="QLO19" i="10"/>
  <c r="QNF19" i="10"/>
  <c r="QOV19" i="10"/>
  <c r="QPR19" i="10"/>
  <c r="QRH19" i="10"/>
  <c r="QSY19" i="10"/>
  <c r="QTT19" i="10"/>
  <c r="QVK19" i="10"/>
  <c r="QXB19" i="10"/>
  <c r="QXW19" i="10"/>
  <c r="QZN19" i="10"/>
  <c r="RBD19" i="10"/>
  <c r="RCU19" i="10"/>
  <c r="RDP19" i="10"/>
  <c r="RFG19" i="10"/>
  <c r="RGX19" i="10"/>
  <c r="RHS19" i="10"/>
  <c r="RJJ19" i="10"/>
  <c r="RKZ19" i="10"/>
  <c r="RMQ19" i="10"/>
  <c r="RNL19" i="10"/>
  <c r="RPC19" i="10"/>
  <c r="RQT19" i="10"/>
  <c r="RRO19" i="10"/>
  <c r="RTF19" i="10"/>
  <c r="RUA19" i="10"/>
  <c r="RVR19" i="10"/>
  <c r="RXH19" i="10"/>
  <c r="RYY19" i="10"/>
  <c r="RZT19" i="10"/>
  <c r="SBK19" i="10"/>
  <c r="SDB19" i="10"/>
  <c r="SDW19" i="10"/>
  <c r="SFN19" i="10"/>
  <c r="SHD19" i="10"/>
  <c r="SHZ19" i="10"/>
  <c r="SJP19" i="10"/>
  <c r="SLG19" i="10"/>
  <c r="SMB19" i="10"/>
  <c r="SNS19" i="10"/>
  <c r="SPJ19" i="10"/>
  <c r="SQZ19" i="10"/>
  <c r="SRV19" i="10"/>
  <c r="STL19" i="10"/>
  <c r="SVC19" i="10"/>
  <c r="SVX19" i="10"/>
  <c r="SXO19" i="10"/>
  <c r="SYJ19" i="10"/>
  <c r="TAA19" i="10"/>
  <c r="TBR19" i="10"/>
  <c r="TCL19" i="10"/>
  <c r="TDR19" i="10"/>
  <c r="TEX19" i="10"/>
  <c r="TFN19" i="10"/>
  <c r="TGT19" i="10"/>
  <c r="THZ19" i="10"/>
  <c r="TJF19" i="10"/>
  <c r="TJV19" i="10"/>
  <c r="TLB19" i="10"/>
  <c r="TMH19" i="10"/>
  <c r="TMX19" i="10"/>
  <c r="TOD19" i="10"/>
  <c r="TPJ19" i="10"/>
  <c r="TPZ19" i="10"/>
  <c r="TRF19" i="10"/>
  <c r="TSL19" i="10"/>
  <c r="TTB19" i="10"/>
  <c r="TUH19" i="10"/>
  <c r="TVN19" i="10"/>
  <c r="TWD19" i="10"/>
  <c r="TXJ19" i="10"/>
  <c r="TYP19" i="10"/>
  <c r="TZV19" i="10"/>
  <c r="UAL19" i="10"/>
  <c r="UBR19" i="10"/>
  <c r="UCX19" i="10"/>
  <c r="UDN19" i="10"/>
  <c r="UET19" i="10"/>
  <c r="UFZ19" i="10"/>
  <c r="UGP19" i="10"/>
  <c r="UHV19" i="10"/>
  <c r="UJB19" i="10"/>
  <c r="UJR19" i="10"/>
  <c r="UKX19" i="10"/>
  <c r="UMD19" i="10"/>
  <c r="UNJ19" i="10"/>
  <c r="UNZ19" i="10"/>
  <c r="UPF19" i="10"/>
  <c r="UQL19" i="10"/>
  <c r="URB19" i="10"/>
  <c r="USH19" i="10"/>
  <c r="UTN19" i="10"/>
  <c r="UUD19" i="10"/>
  <c r="UVJ19" i="10"/>
  <c r="UWP19" i="10"/>
  <c r="UXF19" i="10"/>
  <c r="UYL19" i="10"/>
  <c r="UZR19" i="10"/>
  <c r="VAX19" i="10"/>
  <c r="VBN19" i="10"/>
  <c r="VCT19" i="10"/>
  <c r="VDZ19" i="10"/>
  <c r="VFF19" i="10"/>
  <c r="VFV19" i="10"/>
  <c r="VHB19" i="10"/>
  <c r="VIH19" i="10"/>
  <c r="VIX19" i="10"/>
  <c r="VKD19" i="10"/>
  <c r="VLJ19" i="10"/>
  <c r="VMP19" i="10"/>
  <c r="VNF19" i="10"/>
  <c r="VOL19" i="10"/>
  <c r="VPR19" i="10"/>
  <c r="VQH19" i="10"/>
  <c r="VRN19" i="10"/>
  <c r="VST19" i="10"/>
  <c r="VTZ19" i="10"/>
  <c r="VUP19" i="10"/>
  <c r="VVV19" i="10"/>
  <c r="VXB19" i="10"/>
  <c r="VXR19" i="10"/>
  <c r="VYX19" i="10"/>
  <c r="WAD19" i="10"/>
  <c r="WBJ19" i="10"/>
  <c r="WBZ19" i="10"/>
  <c r="WDF19" i="10"/>
  <c r="WEL19" i="10"/>
  <c r="WFR19" i="10"/>
  <c r="WGH19" i="10"/>
  <c r="WHN19" i="10"/>
  <c r="WIT19" i="10"/>
  <c r="WJJ19" i="10"/>
  <c r="WKP19" i="10"/>
  <c r="WLV19" i="10"/>
  <c r="WML19" i="10"/>
  <c r="WNR19" i="10"/>
  <c r="WOX19" i="10"/>
  <c r="WQD19" i="10"/>
  <c r="WQT19" i="10"/>
  <c r="WRZ19" i="10"/>
  <c r="WTF19" i="10"/>
  <c r="WTV19" i="10"/>
  <c r="WVB19" i="10"/>
  <c r="WWH19" i="10"/>
  <c r="WXN19" i="10"/>
  <c r="WYD19" i="10"/>
  <c r="WZJ19" i="10"/>
  <c r="XAP19" i="10"/>
  <c r="XBF19" i="10"/>
  <c r="XCL19" i="10"/>
  <c r="XDR19" i="10"/>
  <c r="XEX19" i="10"/>
  <c r="VHG19" i="10"/>
  <c r="VJG19" i="10"/>
  <c r="VLK19" i="10"/>
  <c r="VMM19" i="10"/>
  <c r="VOM19" i="10"/>
  <c r="VQQ19" i="10"/>
  <c r="VRS19" i="10"/>
  <c r="VTS19" i="10"/>
  <c r="VVW19" i="10"/>
  <c r="VWY19" i="10"/>
  <c r="VYY19" i="10"/>
  <c r="WBC19" i="10"/>
  <c r="WCE19" i="10"/>
  <c r="WEE19" i="10"/>
  <c r="WGI19" i="10"/>
  <c r="WHG19" i="10"/>
  <c r="WJK19" i="10"/>
  <c r="WLK19" i="10"/>
  <c r="WMM19" i="10"/>
  <c r="WOM19" i="10"/>
  <c r="WPO19" i="10"/>
  <c r="WRS19" i="10"/>
  <c r="WTS19" i="10"/>
  <c r="WVW19" i="10"/>
  <c r="WWU19" i="10"/>
  <c r="WYY19" i="10"/>
  <c r="WZW19" i="10"/>
  <c r="XBW19" i="10"/>
  <c r="XEA19" i="10"/>
  <c r="XFC19" i="10"/>
  <c r="WHT19" i="10"/>
  <c r="WKR19" i="10"/>
  <c r="WNP19" i="10"/>
  <c r="WPD19" i="10"/>
  <c r="WRX19" i="10"/>
  <c r="WTH19" i="10"/>
  <c r="WWF19" i="10"/>
  <c r="WZD19" i="10"/>
  <c r="XAJ19" i="10"/>
  <c r="XDL19" i="10"/>
  <c r="WPU19" i="10"/>
  <c r="WRU19" i="10"/>
  <c r="WVM19" i="10"/>
  <c r="WZM19" i="10"/>
  <c r="XBE19" i="10"/>
  <c r="PEE19" i="10"/>
  <c r="PJC19" i="10"/>
  <c r="PLO19" i="10"/>
  <c r="PQM19" i="10"/>
  <c r="PVK19" i="10"/>
  <c r="PWQ19" i="10"/>
  <c r="PYH19" i="10"/>
  <c r="PZX19" i="10"/>
  <c r="QAT19" i="10"/>
  <c r="QCJ19" i="10"/>
  <c r="QEA19" i="10"/>
  <c r="QEV19" i="10"/>
  <c r="QGM19" i="10"/>
  <c r="QHH19" i="10"/>
  <c r="QIY19" i="10"/>
  <c r="QKP19" i="10"/>
  <c r="QLK19" i="10"/>
  <c r="QNB19" i="10"/>
  <c r="QOR19" i="10"/>
  <c r="QQI19" i="10"/>
  <c r="QRD19" i="10"/>
  <c r="QSU19" i="10"/>
  <c r="QUL19" i="10"/>
  <c r="QVG19" i="10"/>
  <c r="QWX19" i="10"/>
  <c r="QYN19" i="10"/>
  <c r="QZJ19" i="10"/>
  <c r="RAZ19" i="10"/>
  <c r="RCQ19" i="10"/>
  <c r="RDL19" i="10"/>
  <c r="RFC19" i="10"/>
  <c r="RGT19" i="10"/>
  <c r="RHO19" i="10"/>
  <c r="RJF19" i="10"/>
  <c r="RKV19" i="10"/>
  <c r="RLR19" i="10"/>
  <c r="RNH19" i="10"/>
  <c r="ROY19" i="10"/>
  <c r="RQP19" i="10"/>
  <c r="RRK19" i="10"/>
  <c r="RTB19" i="10"/>
  <c r="RUR19" i="10"/>
  <c r="RVN19" i="10"/>
  <c r="RXD19" i="10"/>
  <c r="RYU19" i="10"/>
  <c r="RZP19" i="10"/>
  <c r="SBG19" i="10"/>
  <c r="SCX19" i="10"/>
  <c r="SDS19" i="10"/>
  <c r="SFJ19" i="10"/>
  <c r="SGZ19" i="10"/>
  <c r="SHV19" i="10"/>
  <c r="SJL19" i="10"/>
  <c r="SLC19" i="10"/>
  <c r="SLX19" i="10"/>
  <c r="SNO19" i="10"/>
  <c r="SPF19" i="10"/>
  <c r="SQA19" i="10"/>
  <c r="SRR19" i="10"/>
  <c r="STH19" i="10"/>
  <c r="SUD19" i="10"/>
  <c r="SVT19" i="10"/>
  <c r="SXK19" i="10"/>
  <c r="SYF19" i="10"/>
  <c r="SZW19" i="10"/>
  <c r="TBN19" i="10"/>
  <c r="TCI19" i="10"/>
  <c r="TDO19" i="10"/>
  <c r="TEU19" i="10"/>
  <c r="TFK19" i="10"/>
  <c r="TGQ19" i="10"/>
  <c r="THW19" i="10"/>
  <c r="TIM19" i="10"/>
  <c r="TJS19" i="10"/>
  <c r="TKY19" i="10"/>
  <c r="TME19" i="10"/>
  <c r="TMU19" i="10"/>
  <c r="TOA19" i="10"/>
  <c r="TPG19" i="10"/>
  <c r="TPW19" i="10"/>
  <c r="TRC19" i="10"/>
  <c r="TSI19" i="10"/>
  <c r="TTO19" i="10"/>
  <c r="TUE19" i="10"/>
  <c r="TVK19" i="10"/>
  <c r="TWQ19" i="10"/>
  <c r="TXG19" i="10"/>
  <c r="TYM19" i="10"/>
  <c r="TZS19" i="10"/>
  <c r="UAI19" i="10"/>
  <c r="UBO19" i="10"/>
  <c r="UCU19" i="10"/>
  <c r="UEA19" i="10"/>
  <c r="UEQ19" i="10"/>
  <c r="UFW19" i="10"/>
  <c r="UHC19" i="10"/>
  <c r="UHS19" i="10"/>
  <c r="UIY19" i="10"/>
  <c r="UKE19" i="10"/>
  <c r="UKU19" i="10"/>
  <c r="UMA19" i="10"/>
  <c r="UNG19" i="10"/>
  <c r="UOM19" i="10"/>
  <c r="UPC19" i="10"/>
  <c r="UQI19" i="10"/>
  <c r="URO19" i="10"/>
  <c r="USE19" i="10"/>
  <c r="UTK19" i="10"/>
  <c r="UUQ19" i="10"/>
  <c r="UVW19" i="10"/>
  <c r="UWM19" i="10"/>
  <c r="UXS19" i="10"/>
  <c r="UYY19" i="10"/>
  <c r="UZO19" i="10"/>
  <c r="VAU19" i="10"/>
  <c r="VCA19" i="10"/>
  <c r="VCQ19" i="10"/>
  <c r="VDW19" i="10"/>
  <c r="VFC19" i="10"/>
  <c r="VGI19" i="10"/>
  <c r="VHK19" i="10"/>
  <c r="VKM19" i="10"/>
  <c r="VNK19" i="10"/>
  <c r="VOY19" i="10"/>
  <c r="VRW19" i="10"/>
  <c r="VUY19" i="10"/>
  <c r="VWM19" i="10"/>
  <c r="VZK19" i="10"/>
  <c r="WCM19" i="10"/>
  <c r="WDW19" i="10"/>
  <c r="WGY19" i="10"/>
  <c r="WKA19" i="10"/>
  <c r="WNC19" i="10"/>
  <c r="WOQ19" i="10"/>
  <c r="WRO19" i="10"/>
  <c r="WUQ19" i="10"/>
  <c r="WWE19" i="10"/>
  <c r="WZG19" i="10"/>
  <c r="XCI19" i="10"/>
  <c r="WFH19" i="10"/>
  <c r="WHX19" i="10"/>
  <c r="WMF19" i="10"/>
  <c r="WQR19" i="10"/>
  <c r="WSV19" i="10"/>
  <c r="WXD19" i="10"/>
  <c r="XBT19" i="10"/>
  <c r="DLZ19" i="10"/>
  <c r="DNO19" i="10"/>
  <c r="DOU19" i="10"/>
  <c r="DQA19" i="10"/>
  <c r="DQY19" i="10"/>
  <c r="DRW19" i="10"/>
  <c r="DSQ19" i="10"/>
  <c r="DTK19" i="10"/>
  <c r="DUI19" i="10"/>
  <c r="DVC19" i="10"/>
  <c r="DVW19" i="10"/>
  <c r="DWU19" i="10"/>
  <c r="DXO19" i="10"/>
  <c r="DYI19" i="10"/>
  <c r="DZG19" i="10"/>
  <c r="EAA19" i="10"/>
  <c r="EAU19" i="10"/>
  <c r="EBS19" i="10"/>
  <c r="ECM19" i="10"/>
  <c r="EDG19" i="10"/>
  <c r="EEE19" i="10"/>
  <c r="EEY19" i="10"/>
  <c r="EFS19" i="10"/>
  <c r="EGQ19" i="10"/>
  <c r="EHK19" i="10"/>
  <c r="EIE19" i="10"/>
  <c r="EJC19" i="10"/>
  <c r="EJW19" i="10"/>
  <c r="EKQ19" i="10"/>
  <c r="ELO19" i="10"/>
  <c r="EMI19" i="10"/>
  <c r="ENC19" i="10"/>
  <c r="EOA19" i="10"/>
  <c r="EOU19" i="10"/>
  <c r="EPO19" i="10"/>
  <c r="EQM19" i="10"/>
  <c r="ERG19" i="10"/>
  <c r="ESA19" i="10"/>
  <c r="ESY19" i="10"/>
  <c r="ETS19" i="10"/>
  <c r="EUM19" i="10"/>
  <c r="EVK19" i="10"/>
  <c r="EWE19" i="10"/>
  <c r="EWY19" i="10"/>
  <c r="EXW19" i="10"/>
  <c r="EYQ19" i="10"/>
  <c r="EZK19" i="10"/>
  <c r="FAI19" i="10"/>
  <c r="FBC19" i="10"/>
  <c r="FBW19" i="10"/>
  <c r="FCU19" i="10"/>
  <c r="FDO19" i="10"/>
  <c r="FEI19" i="10"/>
  <c r="FFG19" i="10"/>
  <c r="FGA19" i="10"/>
  <c r="FGU19" i="10"/>
  <c r="FHS19" i="10"/>
  <c r="FIM19" i="10"/>
  <c r="FJG19" i="10"/>
  <c r="FKE19" i="10"/>
  <c r="FKY19" i="10"/>
  <c r="FLS19" i="10"/>
  <c r="FMQ19" i="10"/>
  <c r="FNK19" i="10"/>
  <c r="FOE19" i="10"/>
  <c r="FPC19" i="10"/>
  <c r="FPW19" i="10"/>
  <c r="FQQ19" i="10"/>
  <c r="FRO19" i="10"/>
  <c r="FSI19" i="10"/>
  <c r="FTC19" i="10"/>
  <c r="FUA19" i="10"/>
  <c r="FUU19" i="10"/>
  <c r="FVO19" i="10"/>
  <c r="FWM19" i="10"/>
  <c r="FXG19" i="10"/>
  <c r="FYA19" i="10"/>
  <c r="FYY19" i="10"/>
  <c r="FZS19" i="10"/>
  <c r="GAM19" i="10"/>
  <c r="GBK19" i="10"/>
  <c r="GCE19" i="10"/>
  <c r="GCY19" i="10"/>
  <c r="GDW19" i="10"/>
  <c r="GEQ19" i="10"/>
  <c r="GFK19" i="10"/>
  <c r="GGI19" i="10"/>
  <c r="GHC19" i="10"/>
  <c r="GHW19" i="10"/>
  <c r="GIU19" i="10"/>
  <c r="GJO19" i="10"/>
  <c r="GKI19" i="10"/>
  <c r="GLG19" i="10"/>
  <c r="GMA19" i="10"/>
  <c r="GMU19" i="10"/>
  <c r="GNS19" i="10"/>
  <c r="GOM19" i="10"/>
  <c r="GPG19" i="10"/>
  <c r="GQE19" i="10"/>
  <c r="GQY19" i="10"/>
  <c r="GRS19" i="10"/>
  <c r="GSQ19" i="10"/>
  <c r="GTK19" i="10"/>
  <c r="GUE19" i="10"/>
  <c r="GVC19" i="10"/>
  <c r="GVW19" i="10"/>
  <c r="GWQ19" i="10"/>
  <c r="GXO19" i="10"/>
  <c r="GYI19" i="10"/>
  <c r="GZC19" i="10"/>
  <c r="HAA19" i="10"/>
  <c r="HAU19" i="10"/>
  <c r="HBO19" i="10"/>
  <c r="HCM19" i="10"/>
  <c r="HDG19" i="10"/>
  <c r="HEA19" i="10"/>
  <c r="HEY19" i="10"/>
  <c r="AGZ19" i="10"/>
  <c r="AKB19" i="10"/>
  <c r="ANT19" i="10"/>
  <c r="AQV19" i="10"/>
  <c r="ATX19" i="10"/>
  <c r="AXP19" i="10"/>
  <c r="AZQ19" i="10"/>
  <c r="BBE19" i="10"/>
  <c r="BDA19" i="10"/>
  <c r="BEO19" i="10"/>
  <c r="BFU19" i="10"/>
  <c r="BHA19" i="10"/>
  <c r="BIB19" i="10"/>
  <c r="BJB19" i="10"/>
  <c r="BKH19" i="10"/>
  <c r="BLI19" i="10"/>
  <c r="BMJ19" i="10"/>
  <c r="BNP19" i="10"/>
  <c r="BOP19" i="10"/>
  <c r="BPQ19" i="10"/>
  <c r="BQW19" i="10"/>
  <c r="BRX19" i="10"/>
  <c r="BSX19" i="10"/>
  <c r="BUD19" i="10"/>
  <c r="BVE19" i="10"/>
  <c r="BWF19" i="10"/>
  <c r="BXL19" i="10"/>
  <c r="BYL19" i="10"/>
  <c r="BZM19" i="10"/>
  <c r="CAS19" i="10"/>
  <c r="CBT19" i="10"/>
  <c r="CCT19" i="10"/>
  <c r="CDZ19" i="10"/>
  <c r="CFA19" i="10"/>
  <c r="CGB19" i="10"/>
  <c r="CHH19" i="10"/>
  <c r="CIH19" i="10"/>
  <c r="CJI19" i="10"/>
  <c r="CKO19" i="10"/>
  <c r="CLP19" i="10"/>
  <c r="CMP19" i="10"/>
  <c r="CNV19" i="10"/>
  <c r="COW19" i="10"/>
  <c r="CPX19" i="10"/>
  <c r="CRD19" i="10"/>
  <c r="CSD19" i="10"/>
  <c r="CTE19" i="10"/>
  <c r="CUK19" i="10"/>
  <c r="CVL19" i="10"/>
  <c r="CWL19" i="10"/>
  <c r="CXR19" i="10"/>
  <c r="CYS19" i="10"/>
  <c r="CZT19" i="10"/>
  <c r="DAZ19" i="10"/>
  <c r="DBZ19" i="10"/>
  <c r="DDA19" i="10"/>
  <c r="DEG19" i="10"/>
  <c r="DFH19" i="10"/>
  <c r="DGH19" i="10"/>
  <c r="DHN19" i="10"/>
  <c r="DIO19" i="10"/>
  <c r="DJP19" i="10"/>
  <c r="DKV19" i="10"/>
  <c r="DLV19" i="10"/>
  <c r="DMW19" i="10"/>
  <c r="DNX19" i="10"/>
  <c r="DOR19" i="10"/>
  <c r="DPL19" i="10"/>
  <c r="DQJ19" i="10"/>
  <c r="DRD19" i="10"/>
  <c r="DRX19" i="10"/>
  <c r="DSV19" i="10"/>
  <c r="DTP19" i="10"/>
  <c r="DUJ19" i="10"/>
  <c r="DVH19" i="10"/>
  <c r="DWB19" i="10"/>
  <c r="DWV19" i="10"/>
  <c r="DXT19" i="10"/>
  <c r="DYN19" i="10"/>
  <c r="DZH19" i="10"/>
  <c r="EAF19" i="10"/>
  <c r="EAZ19" i="10"/>
  <c r="EBT19" i="10"/>
  <c r="ECR19" i="10"/>
  <c r="EDL19" i="10"/>
  <c r="EEF19" i="10"/>
  <c r="EFD19" i="10"/>
  <c r="EFX19" i="10"/>
  <c r="EGR19" i="10"/>
  <c r="EHP19" i="10"/>
  <c r="EIJ19" i="10"/>
  <c r="EJD19" i="10"/>
  <c r="EKB19" i="10"/>
  <c r="EKV19" i="10"/>
  <c r="ELP19" i="10"/>
  <c r="EMN19" i="10"/>
  <c r="ENH19" i="10"/>
  <c r="EOB19" i="10"/>
  <c r="EOZ19" i="10"/>
  <c r="EPT19" i="10"/>
  <c r="EQN19" i="10"/>
  <c r="ERL19" i="10"/>
  <c r="ESF19" i="10"/>
  <c r="ESZ19" i="10"/>
  <c r="ETX19" i="10"/>
  <c r="EUR19" i="10"/>
  <c r="EVL19" i="10"/>
  <c r="EWJ19" i="10"/>
  <c r="EXD19" i="10"/>
  <c r="EXX19" i="10"/>
  <c r="EYV19" i="10"/>
  <c r="EZP19" i="10"/>
  <c r="FAJ19" i="10"/>
  <c r="FBH19" i="10"/>
  <c r="FCB19" i="10"/>
  <c r="FCV19" i="10"/>
  <c r="FDT19" i="10"/>
  <c r="FEN19" i="10"/>
  <c r="FFH19" i="10"/>
  <c r="FGF19" i="10"/>
  <c r="FGZ19" i="10"/>
  <c r="FHT19" i="10"/>
  <c r="FIR19" i="10"/>
  <c r="FJL19" i="10"/>
  <c r="FKF19" i="10"/>
  <c r="FLD19" i="10"/>
  <c r="FLX19" i="10"/>
  <c r="FMR19" i="10"/>
  <c r="FNP19" i="10"/>
  <c r="FOJ19" i="10"/>
  <c r="FPD19" i="10"/>
  <c r="FQB19" i="10"/>
  <c r="FQV19" i="10"/>
  <c r="FRP19" i="10"/>
  <c r="FSN19" i="10"/>
  <c r="FTH19" i="10"/>
  <c r="FUB19" i="10"/>
  <c r="FUZ19" i="10"/>
  <c r="FVT19" i="10"/>
  <c r="FWN19" i="10"/>
  <c r="FXL19" i="10"/>
  <c r="FYF19" i="10"/>
  <c r="FYZ19" i="10"/>
  <c r="FZX19" i="10"/>
  <c r="GAR19" i="10"/>
  <c r="GBL19" i="10"/>
  <c r="GCJ19" i="10"/>
  <c r="GDD19" i="10"/>
  <c r="GDX19" i="10"/>
  <c r="GEV19" i="10"/>
  <c r="GFP19" i="10"/>
  <c r="GGJ19" i="10"/>
  <c r="GHH19" i="10"/>
  <c r="GIB19" i="10"/>
  <c r="GIV19" i="10"/>
  <c r="GJT19" i="10"/>
  <c r="GKN19" i="10"/>
  <c r="GLH19" i="10"/>
  <c r="GMF19" i="10"/>
  <c r="GMZ19" i="10"/>
  <c r="GNT19" i="10"/>
  <c r="GOR19" i="10"/>
  <c r="GPL19" i="10"/>
  <c r="GQF19" i="10"/>
  <c r="GRD19" i="10"/>
  <c r="GRX19" i="10"/>
  <c r="GSR19" i="10"/>
  <c r="GTP19" i="10"/>
  <c r="GUJ19" i="10"/>
  <c r="GVD19" i="10"/>
  <c r="GWB19" i="10"/>
  <c r="GWV19" i="10"/>
  <c r="GXP19" i="10"/>
  <c r="GYN19" i="10"/>
  <c r="GZH19" i="10"/>
  <c r="HAB19" i="10"/>
  <c r="HAZ19" i="10"/>
  <c r="HBT19" i="10"/>
  <c r="HCN19" i="10"/>
  <c r="HDL19" i="10"/>
  <c r="HEF19" i="10"/>
  <c r="HEZ19" i="10"/>
  <c r="HFX19" i="10"/>
  <c r="HGR19" i="10"/>
  <c r="HHL19" i="10"/>
  <c r="HIJ19" i="10"/>
  <c r="HJD19" i="10"/>
  <c r="HJX19" i="10"/>
  <c r="HKV19" i="10"/>
  <c r="HLP19" i="10"/>
  <c r="HMJ19" i="10"/>
  <c r="HNH19" i="10"/>
  <c r="HOB19" i="10"/>
  <c r="HOV19" i="10"/>
  <c r="HPT19" i="10"/>
  <c r="HQN19" i="10"/>
  <c r="HRH19" i="10"/>
  <c r="HSF19" i="10"/>
  <c r="HSZ19" i="10"/>
  <c r="HTT19" i="10"/>
  <c r="HUR19" i="10"/>
  <c r="HVL19" i="10"/>
  <c r="HWF19" i="10"/>
  <c r="HXD19" i="10"/>
  <c r="HXX19" i="10"/>
  <c r="HYR19" i="10"/>
  <c r="HZP19" i="10"/>
  <c r="IAJ19" i="10"/>
  <c r="IBD19" i="10"/>
  <c r="ICB19" i="10"/>
  <c r="ICV19" i="10"/>
  <c r="IDP19" i="10"/>
  <c r="IEN19" i="10"/>
  <c r="IFH19" i="10"/>
  <c r="IGB19" i="10"/>
  <c r="IGZ19" i="10"/>
  <c r="IHT19" i="10"/>
  <c r="IIN19" i="10"/>
  <c r="IJL19" i="10"/>
  <c r="IKF19" i="10"/>
  <c r="IKZ19" i="10"/>
  <c r="ILX19" i="10"/>
  <c r="IMR19" i="10"/>
  <c r="INL19" i="10"/>
  <c r="IOJ19" i="10"/>
  <c r="IPD19" i="10"/>
  <c r="IPX19" i="10"/>
  <c r="IQV19" i="10"/>
  <c r="IRP19" i="10"/>
  <c r="ISJ19" i="10"/>
  <c r="ITH19" i="10"/>
  <c r="IUB19" i="10"/>
  <c r="IUV19" i="10"/>
  <c r="IVT19" i="10"/>
  <c r="IWN19" i="10"/>
  <c r="IXH19" i="10"/>
  <c r="IYF19" i="10"/>
  <c r="IYZ19" i="10"/>
  <c r="IZT19" i="10"/>
  <c r="JAR19" i="10"/>
  <c r="JBL19" i="10"/>
  <c r="JCF19" i="10"/>
  <c r="JDD19" i="10"/>
  <c r="JDX19" i="10"/>
  <c r="JER19" i="10"/>
  <c r="JFP19" i="10"/>
  <c r="JGJ19" i="10"/>
  <c r="JHD19" i="10"/>
  <c r="JIB19" i="10"/>
  <c r="JIV19" i="10"/>
  <c r="JJP19" i="10"/>
  <c r="JKN19" i="10"/>
  <c r="JLH19" i="10"/>
  <c r="JMB19" i="10"/>
  <c r="JMZ19" i="10"/>
  <c r="JNT19" i="10"/>
  <c r="AHD19" i="10"/>
  <c r="AKV19" i="10"/>
  <c r="ANX19" i="10"/>
  <c r="AQZ19" i="10"/>
  <c r="AUR19" i="10"/>
  <c r="AXT19" i="10"/>
  <c r="AZT19" i="10"/>
  <c r="BBP19" i="10"/>
  <c r="BDD19" i="10"/>
  <c r="BER19" i="10"/>
  <c r="BGB19" i="10"/>
  <c r="BHB19" i="10"/>
  <c r="BIC19" i="10"/>
  <c r="BJI19" i="10"/>
  <c r="BKJ19" i="10"/>
  <c r="BLJ19" i="10"/>
  <c r="BMP19" i="10"/>
  <c r="BNQ19" i="10"/>
  <c r="BOR19" i="10"/>
  <c r="BPX19" i="10"/>
  <c r="BQX19" i="10"/>
  <c r="BRY19" i="10"/>
  <c r="BTE19" i="10"/>
  <c r="BUF19" i="10"/>
  <c r="BVF19" i="10"/>
  <c r="BWL19" i="10"/>
  <c r="BXM19" i="10"/>
  <c r="BYN19" i="10"/>
  <c r="BZT19" i="10"/>
  <c r="CAT19" i="10"/>
  <c r="CBU19" i="10"/>
  <c r="CDA19" i="10"/>
  <c r="CEB19" i="10"/>
  <c r="CFB19" i="10"/>
  <c r="CGH19" i="10"/>
  <c r="CHI19" i="10"/>
  <c r="CIJ19" i="10"/>
  <c r="CJP19" i="10"/>
  <c r="CKP19" i="10"/>
  <c r="CLQ19" i="10"/>
  <c r="CMW19" i="10"/>
  <c r="CNX19" i="10"/>
  <c r="COX19" i="10"/>
  <c r="CQD19" i="10"/>
  <c r="CRE19" i="10"/>
  <c r="CSF19" i="10"/>
  <c r="CTL19" i="10"/>
  <c r="CUL19" i="10"/>
  <c r="CVM19" i="10"/>
  <c r="CWS19" i="10"/>
  <c r="CXT19" i="10"/>
  <c r="CYT19" i="10"/>
  <c r="CZZ19" i="10"/>
  <c r="DBA19" i="10"/>
  <c r="DCB19" i="10"/>
  <c r="DDH19" i="10"/>
  <c r="DEH19" i="10"/>
  <c r="DFI19" i="10"/>
  <c r="DGO19" i="10"/>
  <c r="DHP19" i="10"/>
  <c r="DIP19" i="10"/>
  <c r="DJV19" i="10"/>
  <c r="DKW19" i="10"/>
  <c r="DLX19" i="10"/>
  <c r="DND19" i="10"/>
  <c r="DNY19" i="10"/>
  <c r="DOS19" i="10"/>
  <c r="DPQ19" i="10"/>
  <c r="DQK19" i="10"/>
  <c r="DRE19" i="10"/>
  <c r="DSC19" i="10"/>
  <c r="DSW19" i="10"/>
  <c r="DTQ19" i="10"/>
  <c r="DUO19" i="10"/>
  <c r="DVI19" i="10"/>
  <c r="DWC19" i="10"/>
  <c r="DXA19" i="10"/>
  <c r="DXU19" i="10"/>
  <c r="DYO19" i="10"/>
  <c r="DZM19" i="10"/>
  <c r="EAG19" i="10"/>
  <c r="EBA19" i="10"/>
  <c r="EBY19" i="10"/>
  <c r="ECS19" i="10"/>
  <c r="EDM19" i="10"/>
  <c r="EEK19" i="10"/>
  <c r="EFE19" i="10"/>
  <c r="EFY19" i="10"/>
  <c r="EGW19" i="10"/>
  <c r="EHQ19" i="10"/>
  <c r="EIK19" i="10"/>
  <c r="EJI19" i="10"/>
  <c r="EKC19" i="10"/>
  <c r="EKW19" i="10"/>
  <c r="ELU19" i="10"/>
  <c r="EMO19" i="10"/>
  <c r="ENI19" i="10"/>
  <c r="EOG19" i="10"/>
  <c r="EPA19" i="10"/>
  <c r="EPU19" i="10"/>
  <c r="EQS19" i="10"/>
  <c r="ERM19" i="10"/>
  <c r="ESG19" i="10"/>
  <c r="ETE19" i="10"/>
  <c r="ETY19" i="10"/>
  <c r="EUS19" i="10"/>
  <c r="EVQ19" i="10"/>
  <c r="EWK19" i="10"/>
  <c r="EXE19" i="10"/>
  <c r="EYC19" i="10"/>
  <c r="EYW19" i="10"/>
  <c r="EZQ19" i="10"/>
  <c r="FAO19" i="10"/>
  <c r="FBI19" i="10"/>
  <c r="FCC19" i="10"/>
  <c r="FDA19" i="10"/>
  <c r="FDU19" i="10"/>
  <c r="FEO19" i="10"/>
  <c r="FFM19" i="10"/>
  <c r="FGG19" i="10"/>
  <c r="FHA19" i="10"/>
  <c r="FHY19" i="10"/>
  <c r="FIS19" i="10"/>
  <c r="FJM19" i="10"/>
  <c r="FKK19" i="10"/>
  <c r="FLE19" i="10"/>
  <c r="FLY19" i="10"/>
  <c r="FMW19" i="10"/>
  <c r="FNQ19" i="10"/>
  <c r="FOK19" i="10"/>
  <c r="FPI19" i="10"/>
  <c r="FQC19" i="10"/>
  <c r="FQW19" i="10"/>
  <c r="FRU19" i="10"/>
  <c r="FSO19" i="10"/>
  <c r="FTI19" i="10"/>
  <c r="FUG19" i="10"/>
  <c r="FVA19" i="10"/>
  <c r="FVU19" i="10"/>
  <c r="FWS19" i="10"/>
  <c r="FXM19" i="10"/>
  <c r="FYG19" i="10"/>
  <c r="FZE19" i="10"/>
  <c r="FZY19" i="10"/>
  <c r="GAS19" i="10"/>
  <c r="GBQ19" i="10"/>
  <c r="GCK19" i="10"/>
  <c r="GDE19" i="10"/>
  <c r="GEC19" i="10"/>
  <c r="GEW19" i="10"/>
  <c r="GFQ19" i="10"/>
  <c r="GGO19" i="10"/>
  <c r="GHI19" i="10"/>
  <c r="GIC19" i="10"/>
  <c r="GJA19" i="10"/>
  <c r="GJU19" i="10"/>
  <c r="GKO19" i="10"/>
  <c r="GLM19" i="10"/>
  <c r="GMG19" i="10"/>
  <c r="GNA19" i="10"/>
  <c r="GNY19" i="10"/>
  <c r="GOS19" i="10"/>
  <c r="GPM19" i="10"/>
  <c r="GQK19" i="10"/>
  <c r="GRE19" i="10"/>
  <c r="GRY19" i="10"/>
  <c r="GSW19" i="10"/>
  <c r="GTQ19" i="10"/>
  <c r="GUK19" i="10"/>
  <c r="GVI19" i="10"/>
  <c r="GWC19" i="10"/>
  <c r="GWW19" i="10"/>
  <c r="GXU19" i="10"/>
  <c r="GYO19" i="10"/>
  <c r="GZI19" i="10"/>
  <c r="HAG19" i="10"/>
  <c r="HBA19" i="10"/>
  <c r="HBU19" i="10"/>
  <c r="HCS19" i="10"/>
  <c r="HDM19" i="10"/>
  <c r="HEG19" i="10"/>
  <c r="HFY19" i="10"/>
  <c r="HGY19" i="10"/>
  <c r="HHZ19" i="10"/>
  <c r="HJF19" i="10"/>
  <c r="HKG19" i="10"/>
  <c r="HLG19" i="10"/>
  <c r="HMM19" i="10"/>
  <c r="HNN19" i="10"/>
  <c r="HOI19" i="10"/>
  <c r="HPE19" i="10"/>
  <c r="HPZ19" i="10"/>
  <c r="HQU19" i="10"/>
  <c r="HRQ19" i="10"/>
  <c r="HSL19" i="10"/>
  <c r="HTG19" i="10"/>
  <c r="HUC19" i="10"/>
  <c r="HUX19" i="10"/>
  <c r="HVS19" i="10"/>
  <c r="HWO19" i="10"/>
  <c r="HXJ19" i="10"/>
  <c r="HYE19" i="10"/>
  <c r="HZA19" i="10"/>
  <c r="HZV19" i="10"/>
  <c r="IAQ19" i="10"/>
  <c r="IBM19" i="10"/>
  <c r="ICH19" i="10"/>
  <c r="IDC19" i="10"/>
  <c r="IDY19" i="10"/>
  <c r="IET19" i="10"/>
  <c r="IFO19" i="10"/>
  <c r="IGK19" i="10"/>
  <c r="IHF19" i="10"/>
  <c r="IIA19" i="10"/>
  <c r="IIW19" i="10"/>
  <c r="IJR19" i="10"/>
  <c r="IKM19" i="10"/>
  <c r="ILI19" i="10"/>
  <c r="IMD19" i="10"/>
  <c r="IMY19" i="10"/>
  <c r="INU19" i="10"/>
  <c r="IOP19" i="10"/>
  <c r="IPK19" i="10"/>
  <c r="IQG19" i="10"/>
  <c r="IRB19" i="10"/>
  <c r="IRW19" i="10"/>
  <c r="ISS19" i="10"/>
  <c r="ITN19" i="10"/>
  <c r="IUI19" i="10"/>
  <c r="IVE19" i="10"/>
  <c r="IVZ19" i="10"/>
  <c r="IWU19" i="10"/>
  <c r="IXQ19" i="10"/>
  <c r="IYL19" i="10"/>
  <c r="IZG19" i="10"/>
  <c r="JAC19" i="10"/>
  <c r="JAX19" i="10"/>
  <c r="JBS19" i="10"/>
  <c r="JCO19" i="10"/>
  <c r="JDJ19" i="10"/>
  <c r="JEE19" i="10"/>
  <c r="JFA19" i="10"/>
  <c r="JFV19" i="10"/>
  <c r="JGQ19" i="10"/>
  <c r="JHM19" i="10"/>
  <c r="JIH19" i="10"/>
  <c r="JJC19" i="10"/>
  <c r="JJY19" i="10"/>
  <c r="JKT19" i="10"/>
  <c r="JLO19" i="10"/>
  <c r="JMK19" i="10"/>
  <c r="JNF19" i="10"/>
  <c r="JOA19" i="10"/>
  <c r="JOQ19" i="10"/>
  <c r="JPG19" i="10"/>
  <c r="JPW19" i="10"/>
  <c r="JQM19" i="10"/>
  <c r="JRC19" i="10"/>
  <c r="JRS19" i="10"/>
  <c r="JSI19" i="10"/>
  <c r="JSY19" i="10"/>
  <c r="JTO19" i="10"/>
  <c r="JUE19" i="10"/>
  <c r="JUU19" i="10"/>
  <c r="JVK19" i="10"/>
  <c r="JWA19" i="10"/>
  <c r="JWQ19" i="10"/>
  <c r="JXG19" i="10"/>
  <c r="JXW19" i="10"/>
  <c r="JYM19" i="10"/>
  <c r="JZC19" i="10"/>
  <c r="JZS19" i="10"/>
  <c r="KAI19" i="10"/>
  <c r="KAY19" i="10"/>
  <c r="KBO19" i="10"/>
  <c r="KCE19" i="10"/>
  <c r="KCU19" i="10"/>
  <c r="KDK19" i="10"/>
  <c r="KEA19" i="10"/>
  <c r="KEQ19" i="10"/>
  <c r="KFG19" i="10"/>
  <c r="KFW19" i="10"/>
  <c r="KGM19" i="10"/>
  <c r="KHC19" i="10"/>
  <c r="KHS19" i="10"/>
  <c r="KII19" i="10"/>
  <c r="KIY19" i="10"/>
  <c r="KJO19" i="10"/>
  <c r="KKE19" i="10"/>
  <c r="KKU19" i="10"/>
  <c r="KLK19" i="10"/>
  <c r="KMA19" i="10"/>
  <c r="KMQ19" i="10"/>
  <c r="KNG19" i="10"/>
  <c r="KNW19" i="10"/>
  <c r="KOM19" i="10"/>
  <c r="KPC19" i="10"/>
  <c r="KPS19" i="10"/>
  <c r="KQI19" i="10"/>
  <c r="KQY19" i="10"/>
  <c r="KRO19" i="10"/>
  <c r="KSE19" i="10"/>
  <c r="KSU19" i="10"/>
  <c r="KTK19" i="10"/>
  <c r="KUA19" i="10"/>
  <c r="KUQ19" i="10"/>
  <c r="KVG19" i="10"/>
  <c r="KVW19" i="10"/>
  <c r="KWM19" i="10"/>
  <c r="KXC19" i="10"/>
  <c r="KXS19" i="10"/>
  <c r="KYI19" i="10"/>
  <c r="KYY19" i="10"/>
  <c r="KZO19" i="10"/>
  <c r="LAE19" i="10"/>
  <c r="LAU19" i="10"/>
  <c r="LBK19" i="10"/>
  <c r="LCA19" i="10"/>
  <c r="LCQ19" i="10"/>
  <c r="LDG19" i="10"/>
  <c r="LDW19" i="10"/>
  <c r="LEM19" i="10"/>
  <c r="LFC19" i="10"/>
  <c r="LFS19" i="10"/>
  <c r="LGI19" i="10"/>
  <c r="LGY19" i="10"/>
  <c r="LHO19" i="10"/>
  <c r="LIE19" i="10"/>
  <c r="LIU19" i="10"/>
  <c r="LJK19" i="10"/>
  <c r="LKA19" i="10"/>
  <c r="LKQ19" i="10"/>
  <c r="LLG19" i="10"/>
  <c r="LLW19" i="10"/>
  <c r="LMM19" i="10"/>
  <c r="LNC19" i="10"/>
  <c r="LNS19" i="10"/>
  <c r="LOI19" i="10"/>
  <c r="LOY19" i="10"/>
  <c r="LPO19" i="10"/>
  <c r="LQE19" i="10"/>
  <c r="LQU19" i="10"/>
  <c r="LRK19" i="10"/>
  <c r="LSA19" i="10"/>
  <c r="LSQ19" i="10"/>
  <c r="LTG19" i="10"/>
  <c r="LTW19" i="10"/>
  <c r="LUM19" i="10"/>
  <c r="LVC19" i="10"/>
  <c r="LVS19" i="10"/>
  <c r="LWI19" i="10"/>
  <c r="LWY19" i="10"/>
  <c r="LXO19" i="10"/>
  <c r="LYE19" i="10"/>
  <c r="LYU19" i="10"/>
  <c r="LZK19" i="10"/>
  <c r="MAA19" i="10"/>
  <c r="MAQ19" i="10"/>
  <c r="MBG19" i="10"/>
  <c r="MBW19" i="10"/>
  <c r="MCM19" i="10"/>
  <c r="MDC19" i="10"/>
  <c r="MDS19" i="10"/>
  <c r="MEI19" i="10"/>
  <c r="MEY19" i="10"/>
  <c r="MFO19" i="10"/>
  <c r="MGE19" i="10"/>
  <c r="MGU19" i="10"/>
  <c r="MHK19" i="10"/>
  <c r="MIA19" i="10"/>
  <c r="MIQ19" i="10"/>
  <c r="MJG19" i="10"/>
  <c r="MJW19" i="10"/>
  <c r="MKM19" i="10"/>
  <c r="MLC19" i="10"/>
  <c r="MLS19" i="10"/>
  <c r="MMI19" i="10"/>
  <c r="MMY19" i="10"/>
  <c r="MNO19" i="10"/>
  <c r="MOE19" i="10"/>
  <c r="MOU19" i="10"/>
  <c r="MPK19" i="10"/>
  <c r="MQA19" i="10"/>
  <c r="MQQ19" i="10"/>
  <c r="MRG19" i="10"/>
  <c r="MRW19" i="10"/>
  <c r="MSM19" i="10"/>
  <c r="MTC19" i="10"/>
  <c r="MTS19" i="10"/>
  <c r="MUI19" i="10"/>
  <c r="MUY19" i="10"/>
  <c r="MVO19" i="10"/>
  <c r="MWE19" i="10"/>
  <c r="MWU19" i="10"/>
  <c r="MXK19" i="10"/>
  <c r="MYA19" i="10"/>
  <c r="MYQ19" i="10"/>
  <c r="MZG19" i="10"/>
  <c r="MZW19" i="10"/>
  <c r="NAM19" i="10"/>
  <c r="NBC19" i="10"/>
  <c r="NBS19" i="10"/>
  <c r="NCI19" i="10"/>
  <c r="NCY19" i="10"/>
  <c r="NDO19" i="10"/>
  <c r="NEE19" i="10"/>
  <c r="NEU19" i="10"/>
  <c r="NFK19" i="10"/>
  <c r="NGA19" i="10"/>
  <c r="NGQ19" i="10"/>
  <c r="NHG19" i="10"/>
  <c r="NHW19" i="10"/>
  <c r="NIM19" i="10"/>
  <c r="NJC19" i="10"/>
  <c r="NJS19" i="10"/>
  <c r="NKI19" i="10"/>
  <c r="NKY19" i="10"/>
  <c r="NLO19" i="10"/>
  <c r="NME19" i="10"/>
  <c r="NMU19" i="10"/>
  <c r="NNK19" i="10"/>
  <c r="NOA19" i="10"/>
  <c r="NOQ19" i="10"/>
  <c r="NPG19" i="10"/>
  <c r="NPW19" i="10"/>
  <c r="NQM19" i="10"/>
  <c r="NRC19" i="10"/>
  <c r="NRS19" i="10"/>
  <c r="NSI19" i="10"/>
  <c r="NSY19" i="10"/>
  <c r="NTO19" i="10"/>
  <c r="NUE19" i="10"/>
  <c r="NUU19" i="10"/>
  <c r="NVK19" i="10"/>
  <c r="NWA19" i="10"/>
  <c r="NWQ19" i="10"/>
  <c r="NXG19" i="10"/>
  <c r="NXW19" i="10"/>
  <c r="NYM19" i="10"/>
  <c r="NZC19" i="10"/>
  <c r="NZS19" i="10"/>
  <c r="OAI19" i="10"/>
  <c r="OAY19" i="10"/>
  <c r="OBO19" i="10"/>
  <c r="OCE19" i="10"/>
  <c r="OCU19" i="10"/>
  <c r="ODK19" i="10"/>
  <c r="OEA19" i="10"/>
  <c r="OEQ19" i="10"/>
  <c r="OFG19" i="10"/>
  <c r="OFW19" i="10"/>
  <c r="OGM19" i="10"/>
  <c r="OHC19" i="10"/>
  <c r="OHS19" i="10"/>
  <c r="OII19" i="10"/>
  <c r="OIY19" i="10"/>
  <c r="OJO19" i="10"/>
  <c r="OKE19" i="10"/>
  <c r="OKU19" i="10"/>
  <c r="OLK19" i="10"/>
  <c r="OMA19" i="10"/>
  <c r="OMQ19" i="10"/>
  <c r="ONG19" i="10"/>
  <c r="ONW19" i="10"/>
  <c r="OOM19" i="10"/>
  <c r="OPC19" i="10"/>
  <c r="OPS19" i="10"/>
  <c r="OQI19" i="10"/>
  <c r="OQY19" i="10"/>
  <c r="ORO19" i="10"/>
  <c r="OSE19" i="10"/>
  <c r="OSU19" i="10"/>
  <c r="OTK19" i="10"/>
  <c r="OUA19" i="10"/>
  <c r="OUQ19" i="10"/>
  <c r="OVG19" i="10"/>
  <c r="OVW19" i="10"/>
  <c r="OWM19" i="10"/>
  <c r="OXC19" i="10"/>
  <c r="OXS19" i="10"/>
  <c r="OYI19" i="10"/>
  <c r="OYY19" i="10"/>
  <c r="OZO19" i="10"/>
  <c r="PAE19" i="10"/>
  <c r="PAU19" i="10"/>
  <c r="PBK19" i="10"/>
  <c r="PCA19" i="10"/>
  <c r="PCQ19" i="10"/>
  <c r="PDG19" i="10"/>
  <c r="HEO19" i="10"/>
  <c r="HFU19" i="10"/>
  <c r="HGP19" i="10"/>
  <c r="HHK19" i="10"/>
  <c r="HIG19" i="10"/>
  <c r="HJB19" i="10"/>
  <c r="HJW19" i="10"/>
  <c r="HKS19" i="10"/>
  <c r="HLN19" i="10"/>
  <c r="HMI19" i="10"/>
  <c r="HNE19" i="10"/>
  <c r="HNZ19" i="10"/>
  <c r="HOU19" i="10"/>
  <c r="HPQ19" i="10"/>
  <c r="HQL19" i="10"/>
  <c r="HRG19" i="10"/>
  <c r="HSC19" i="10"/>
  <c r="HSX19" i="10"/>
  <c r="HTS19" i="10"/>
  <c r="HUO19" i="10"/>
  <c r="HVJ19" i="10"/>
  <c r="HWE19" i="10"/>
  <c r="HXA19" i="10"/>
  <c r="HXV19" i="10"/>
  <c r="HYQ19" i="10"/>
  <c r="HZM19" i="10"/>
  <c r="IAH19" i="10"/>
  <c r="IBC19" i="10"/>
  <c r="IBY19" i="10"/>
  <c r="ICT19" i="10"/>
  <c r="IDO19" i="10"/>
  <c r="IEK19" i="10"/>
  <c r="IFF19" i="10"/>
  <c r="IGA19" i="10"/>
  <c r="IGW19" i="10"/>
  <c r="IHR19" i="10"/>
  <c r="IIM19" i="10"/>
  <c r="IJI19" i="10"/>
  <c r="IKD19" i="10"/>
  <c r="IKY19" i="10"/>
  <c r="ILU19" i="10"/>
  <c r="IMP19" i="10"/>
  <c r="INK19" i="10"/>
  <c r="IOG19" i="10"/>
  <c r="IPB19" i="10"/>
  <c r="IPW19" i="10"/>
  <c r="IQS19" i="10"/>
  <c r="IRN19" i="10"/>
  <c r="ISI19" i="10"/>
  <c r="ITE19" i="10"/>
  <c r="ITZ19" i="10"/>
  <c r="IUU19" i="10"/>
  <c r="IVQ19" i="10"/>
  <c r="IWL19" i="10"/>
  <c r="IXG19" i="10"/>
  <c r="IYC19" i="10"/>
  <c r="IYX19" i="10"/>
  <c r="IZS19" i="10"/>
  <c r="JAO19" i="10"/>
  <c r="JBJ19" i="10"/>
  <c r="JCE19" i="10"/>
  <c r="JDA19" i="10"/>
  <c r="JDV19" i="10"/>
  <c r="JEQ19" i="10"/>
  <c r="JFM19" i="10"/>
  <c r="JGH19" i="10"/>
  <c r="JHC19" i="10"/>
  <c r="JHY19" i="10"/>
  <c r="JIT19" i="10"/>
  <c r="JJO19" i="10"/>
  <c r="JKK19" i="10"/>
  <c r="JLF19" i="10"/>
  <c r="JMA19" i="10"/>
  <c r="JMW19" i="10"/>
  <c r="JNR19" i="10"/>
  <c r="JOJ19" i="10"/>
  <c r="JOZ19" i="10"/>
  <c r="JPP19" i="10"/>
  <c r="JQF19" i="10"/>
  <c r="JQV19" i="10"/>
  <c r="JRL19" i="10"/>
  <c r="JSB19" i="10"/>
  <c r="JSR19" i="10"/>
  <c r="JTH19" i="10"/>
  <c r="JTX19" i="10"/>
  <c r="JUN19" i="10"/>
  <c r="JVD19" i="10"/>
  <c r="JVT19" i="10"/>
  <c r="JWJ19" i="10"/>
  <c r="JWZ19" i="10"/>
  <c r="JXP19" i="10"/>
  <c r="JYF19" i="10"/>
  <c r="JYV19" i="10"/>
  <c r="JZL19" i="10"/>
  <c r="KAB19" i="10"/>
  <c r="KAR19" i="10"/>
  <c r="KBH19" i="10"/>
  <c r="KBX19" i="10"/>
  <c r="KCN19" i="10"/>
  <c r="KDD19" i="10"/>
  <c r="KDT19" i="10"/>
  <c r="KEJ19" i="10"/>
  <c r="KEZ19" i="10"/>
  <c r="KFP19" i="10"/>
  <c r="KGF19" i="10"/>
  <c r="KGV19" i="10"/>
  <c r="KHL19" i="10"/>
  <c r="KIB19" i="10"/>
  <c r="KIR19" i="10"/>
  <c r="KJH19" i="10"/>
  <c r="KJX19" i="10"/>
  <c r="KKN19" i="10"/>
  <c r="KLD19" i="10"/>
  <c r="KLT19" i="10"/>
  <c r="KMJ19" i="10"/>
  <c r="KMZ19" i="10"/>
  <c r="KNP19" i="10"/>
  <c r="KOF19" i="10"/>
  <c r="KOV19" i="10"/>
  <c r="KPL19" i="10"/>
  <c r="KQB19" i="10"/>
  <c r="KQR19" i="10"/>
  <c r="KRH19" i="10"/>
  <c r="KRX19" i="10"/>
  <c r="KSN19" i="10"/>
  <c r="KTD19" i="10"/>
  <c r="KTT19" i="10"/>
  <c r="KUJ19" i="10"/>
  <c r="KUZ19" i="10"/>
  <c r="KVP19" i="10"/>
  <c r="KWF19" i="10"/>
  <c r="KWV19" i="10"/>
  <c r="KXL19" i="10"/>
  <c r="KYB19" i="10"/>
  <c r="KYR19" i="10"/>
  <c r="KZH19" i="10"/>
  <c r="KZX19" i="10"/>
  <c r="LAN19" i="10"/>
  <c r="LBD19" i="10"/>
  <c r="LBT19" i="10"/>
  <c r="LCJ19" i="10"/>
  <c r="LCZ19" i="10"/>
  <c r="LDP19" i="10"/>
  <c r="LEF19" i="10"/>
  <c r="LEV19" i="10"/>
  <c r="LFL19" i="10"/>
  <c r="LGB19" i="10"/>
  <c r="LGR19" i="10"/>
  <c r="LHH19" i="10"/>
  <c r="LHX19" i="10"/>
  <c r="LIN19" i="10"/>
  <c r="LJD19" i="10"/>
  <c r="LJT19" i="10"/>
  <c r="LKJ19" i="10"/>
  <c r="LKZ19" i="10"/>
  <c r="LLP19" i="10"/>
  <c r="LMF19" i="10"/>
  <c r="LMV19" i="10"/>
  <c r="LNL19" i="10"/>
  <c r="LOB19" i="10"/>
  <c r="LOR19" i="10"/>
  <c r="LPH19" i="10"/>
  <c r="LPX19" i="10"/>
  <c r="LQN19" i="10"/>
  <c r="LRD19" i="10"/>
  <c r="LRT19" i="10"/>
  <c r="LSJ19" i="10"/>
  <c r="LSZ19" i="10"/>
  <c r="LTP19" i="10"/>
  <c r="LUF19" i="10"/>
  <c r="LUV19" i="10"/>
  <c r="LVL19" i="10"/>
  <c r="LWB19" i="10"/>
  <c r="LWR19" i="10"/>
  <c r="LXH19" i="10"/>
  <c r="LXX19" i="10"/>
  <c r="LYN19" i="10"/>
  <c r="LZD19" i="10"/>
  <c r="LZT19" i="10"/>
  <c r="MAJ19" i="10"/>
  <c r="MAZ19" i="10"/>
  <c r="MBP19" i="10"/>
  <c r="MCF19" i="10"/>
  <c r="MCV19" i="10"/>
  <c r="MDL19" i="10"/>
  <c r="MEB19" i="10"/>
  <c r="MER19" i="10"/>
  <c r="MFH19" i="10"/>
  <c r="MFX19" i="10"/>
  <c r="MGN19" i="10"/>
  <c r="MHD19" i="10"/>
  <c r="MHT19" i="10"/>
  <c r="MIJ19" i="10"/>
  <c r="MIZ19" i="10"/>
  <c r="MJP19" i="10"/>
  <c r="MKF19" i="10"/>
  <c r="MKV19" i="10"/>
  <c r="MLL19" i="10"/>
  <c r="MMB19" i="10"/>
  <c r="MMR19" i="10"/>
  <c r="MNH19" i="10"/>
  <c r="MNX19" i="10"/>
  <c r="MON19" i="10"/>
  <c r="MPD19" i="10"/>
  <c r="MPT19" i="10"/>
  <c r="MQJ19" i="10"/>
  <c r="MQZ19" i="10"/>
  <c r="MRP19" i="10"/>
  <c r="MSF19" i="10"/>
  <c r="MSV19" i="10"/>
  <c r="MTL19" i="10"/>
  <c r="MUB19" i="10"/>
  <c r="MUR19" i="10"/>
  <c r="MVH19" i="10"/>
  <c r="MVX19" i="10"/>
  <c r="MWN19" i="10"/>
  <c r="MXD19" i="10"/>
  <c r="MXT19" i="10"/>
  <c r="MYJ19" i="10"/>
  <c r="MYZ19" i="10"/>
  <c r="MZP19" i="10"/>
  <c r="NAF19" i="10"/>
  <c r="NAV19" i="10"/>
  <c r="NBL19" i="10"/>
  <c r="NCB19" i="10"/>
  <c r="NCR19" i="10"/>
  <c r="NDH19" i="10"/>
  <c r="NDX19" i="10"/>
  <c r="NEN19" i="10"/>
  <c r="NFD19" i="10"/>
  <c r="NFT19" i="10"/>
  <c r="NGJ19" i="10"/>
  <c r="NGZ19" i="10"/>
  <c r="NHP19" i="10"/>
  <c r="NIF19" i="10"/>
  <c r="NIV19" i="10"/>
  <c r="NJL19" i="10"/>
  <c r="NKB19" i="10"/>
  <c r="NKR19" i="10"/>
  <c r="NLH19" i="10"/>
  <c r="NLX19" i="10"/>
  <c r="NMN19" i="10"/>
  <c r="NND19" i="10"/>
  <c r="NNT19" i="10"/>
  <c r="NOJ19" i="10"/>
  <c r="NOZ19" i="10"/>
  <c r="NPP19" i="10"/>
  <c r="NQF19" i="10"/>
  <c r="NQV19" i="10"/>
  <c r="NRL19" i="10"/>
  <c r="NSB19" i="10"/>
  <c r="NSR19" i="10"/>
  <c r="NTH19" i="10"/>
  <c r="NTX19" i="10"/>
  <c r="NUN19" i="10"/>
  <c r="NVD19" i="10"/>
  <c r="NVT19" i="10"/>
  <c r="NWJ19" i="10"/>
  <c r="NWZ19" i="10"/>
  <c r="NXP19" i="10"/>
  <c r="NYF19" i="10"/>
  <c r="NYV19" i="10"/>
  <c r="NZL19" i="10"/>
  <c r="OAB19" i="10"/>
  <c r="OAR19" i="10"/>
  <c r="OBH19" i="10"/>
  <c r="OBX19" i="10"/>
  <c r="OCN19" i="10"/>
  <c r="ODD19" i="10"/>
  <c r="ODT19" i="10"/>
  <c r="OEJ19" i="10"/>
  <c r="OEZ19" i="10"/>
  <c r="OFP19" i="10"/>
  <c r="OGF19" i="10"/>
  <c r="OGV19" i="10"/>
  <c r="OHL19" i="10"/>
  <c r="OIB19" i="10"/>
  <c r="OIR19" i="10"/>
  <c r="OJH19" i="10"/>
  <c r="OJX19" i="10"/>
  <c r="OKN19" i="10"/>
  <c r="OLD19" i="10"/>
  <c r="OLT19" i="10"/>
  <c r="OMJ19" i="10"/>
  <c r="OMZ19" i="10"/>
  <c r="ONP19" i="10"/>
  <c r="OOF19" i="10"/>
  <c r="OOV19" i="10"/>
  <c r="OPL19" i="10"/>
  <c r="OQB19" i="10"/>
  <c r="OQR19" i="10"/>
  <c r="ORH19" i="10"/>
  <c r="ORX19" i="10"/>
  <c r="OSN19" i="10"/>
  <c r="OTD19" i="10"/>
  <c r="OTT19" i="10"/>
  <c r="OUJ19" i="10"/>
  <c r="OUZ19" i="10"/>
  <c r="OVP19" i="10"/>
  <c r="OWF19" i="10"/>
  <c r="OWV19" i="10"/>
  <c r="OXL19" i="10"/>
  <c r="OYB19" i="10"/>
  <c r="OYR19" i="10"/>
  <c r="OZH19" i="10"/>
  <c r="OZX19" i="10"/>
  <c r="PAN19" i="10"/>
  <c r="PBD19" i="10"/>
  <c r="PBT19" i="10"/>
  <c r="PCJ19" i="10"/>
  <c r="PCZ19" i="10"/>
  <c r="PDP19" i="10"/>
  <c r="PEF19" i="10"/>
  <c r="PEV19" i="10"/>
  <c r="PFL19" i="10"/>
  <c r="PGB19" i="10"/>
  <c r="PGR19" i="10"/>
  <c r="PHH19" i="10"/>
  <c r="PHX19" i="10"/>
  <c r="PIN19" i="10"/>
  <c r="PJD19" i="10"/>
  <c r="PJT19" i="10"/>
  <c r="PKJ19" i="10"/>
  <c r="PKZ19" i="10"/>
  <c r="PLP19" i="10"/>
  <c r="PMF19" i="10"/>
  <c r="PMV19" i="10"/>
  <c r="PNL19" i="10"/>
  <c r="POB19" i="10"/>
  <c r="POR19" i="10"/>
  <c r="PPH19" i="10"/>
  <c r="PPX19" i="10"/>
  <c r="PQN19" i="10"/>
  <c r="PRD19" i="10"/>
  <c r="PRT19" i="10"/>
  <c r="PSJ19" i="10"/>
  <c r="PSZ19" i="10"/>
  <c r="PTP19" i="10"/>
  <c r="PUF19" i="10"/>
  <c r="PUV19" i="10"/>
  <c r="PVL19" i="10"/>
  <c r="PWB19" i="10"/>
  <c r="HFQ19" i="10"/>
  <c r="HGL19" i="10"/>
  <c r="HHG19" i="10"/>
  <c r="HIC19" i="10"/>
  <c r="HIX19" i="10"/>
  <c r="HJS19" i="10"/>
  <c r="HKO19" i="10"/>
  <c r="HLJ19" i="10"/>
  <c r="HME19" i="10"/>
  <c r="HNA19" i="10"/>
  <c r="HNV19" i="10"/>
  <c r="HOQ19" i="10"/>
  <c r="HPM19" i="10"/>
  <c r="HQH19" i="10"/>
  <c r="HRC19" i="10"/>
  <c r="HRY19" i="10"/>
  <c r="HST19" i="10"/>
  <c r="HTO19" i="10"/>
  <c r="HUK19" i="10"/>
  <c r="HVF19" i="10"/>
  <c r="HWA19" i="10"/>
  <c r="HWW19" i="10"/>
  <c r="HXR19" i="10"/>
  <c r="HYM19" i="10"/>
  <c r="HZI19" i="10"/>
  <c r="IAD19" i="10"/>
  <c r="IAY19" i="10"/>
  <c r="IBU19" i="10"/>
  <c r="ICP19" i="10"/>
  <c r="IDK19" i="10"/>
  <c r="IEG19" i="10"/>
  <c r="IFB19" i="10"/>
  <c r="IFW19" i="10"/>
  <c r="IGS19" i="10"/>
  <c r="IHN19" i="10"/>
  <c r="III19" i="10"/>
  <c r="IJE19" i="10"/>
  <c r="IJZ19" i="10"/>
  <c r="IKU19" i="10"/>
  <c r="ILQ19" i="10"/>
  <c r="IML19" i="10"/>
  <c r="ING19" i="10"/>
  <c r="IOC19" i="10"/>
  <c r="IOX19" i="10"/>
  <c r="IPS19" i="10"/>
  <c r="IQO19" i="10"/>
  <c r="IRJ19" i="10"/>
  <c r="ISE19" i="10"/>
  <c r="ITA19" i="10"/>
  <c r="ITV19" i="10"/>
  <c r="IUQ19" i="10"/>
  <c r="IVM19" i="10"/>
  <c r="IWH19" i="10"/>
  <c r="IXC19" i="10"/>
  <c r="IXY19" i="10"/>
  <c r="IYT19" i="10"/>
  <c r="IZO19" i="10"/>
  <c r="JAK19" i="10"/>
  <c r="JBF19" i="10"/>
  <c r="JCA19" i="10"/>
  <c r="JCW19" i="10"/>
  <c r="JDR19" i="10"/>
  <c r="JEM19" i="10"/>
  <c r="JFI19" i="10"/>
  <c r="JGD19" i="10"/>
  <c r="JGY19" i="10"/>
  <c r="JHU19" i="10"/>
  <c r="JIP19" i="10"/>
  <c r="JJK19" i="10"/>
  <c r="JKG19" i="10"/>
  <c r="JLB19" i="10"/>
  <c r="JLW19" i="10"/>
  <c r="JMS19" i="10"/>
  <c r="JNN19" i="10"/>
  <c r="JOG19" i="10"/>
  <c r="JOW19" i="10"/>
  <c r="JPM19" i="10"/>
  <c r="JQC19" i="10"/>
  <c r="JQS19" i="10"/>
  <c r="JRI19" i="10"/>
  <c r="JRY19" i="10"/>
  <c r="JSO19" i="10"/>
  <c r="JTE19" i="10"/>
  <c r="JTU19" i="10"/>
  <c r="JUK19" i="10"/>
  <c r="JVA19" i="10"/>
  <c r="JVQ19" i="10"/>
  <c r="JWG19" i="10"/>
  <c r="JWW19" i="10"/>
  <c r="JXM19" i="10"/>
  <c r="JYC19" i="10"/>
  <c r="JYS19" i="10"/>
  <c r="JZI19" i="10"/>
  <c r="JZY19" i="10"/>
  <c r="KAO19" i="10"/>
  <c r="KBE19" i="10"/>
  <c r="KBU19" i="10"/>
  <c r="KCK19" i="10"/>
  <c r="KDA19" i="10"/>
  <c r="KDQ19" i="10"/>
  <c r="KEG19" i="10"/>
  <c r="KEW19" i="10"/>
  <c r="KFM19" i="10"/>
  <c r="KGC19" i="10"/>
  <c r="KGS19" i="10"/>
  <c r="KHI19" i="10"/>
  <c r="KHY19" i="10"/>
  <c r="KIO19" i="10"/>
  <c r="KJE19" i="10"/>
  <c r="KJU19" i="10"/>
  <c r="KKK19" i="10"/>
  <c r="KLA19" i="10"/>
  <c r="KLQ19" i="10"/>
  <c r="KMG19" i="10"/>
  <c r="KMW19" i="10"/>
  <c r="KNM19" i="10"/>
  <c r="KOC19" i="10"/>
  <c r="KOS19" i="10"/>
  <c r="KPI19" i="10"/>
  <c r="KPY19" i="10"/>
  <c r="KQO19" i="10"/>
  <c r="KRE19" i="10"/>
  <c r="KRU19" i="10"/>
  <c r="KSK19" i="10"/>
  <c r="KTA19" i="10"/>
  <c r="KTQ19" i="10"/>
  <c r="KUG19" i="10"/>
  <c r="KUW19" i="10"/>
  <c r="KVM19" i="10"/>
  <c r="KWC19" i="10"/>
  <c r="KWS19" i="10"/>
  <c r="KXI19" i="10"/>
  <c r="KXY19" i="10"/>
  <c r="KYO19" i="10"/>
  <c r="KZE19" i="10"/>
  <c r="KZU19" i="10"/>
  <c r="LAK19" i="10"/>
  <c r="LBA19" i="10"/>
  <c r="LBQ19" i="10"/>
  <c r="LCG19" i="10"/>
  <c r="LCW19" i="10"/>
  <c r="LDM19" i="10"/>
  <c r="LEC19" i="10"/>
  <c r="LES19" i="10"/>
  <c r="LFI19" i="10"/>
  <c r="LFY19" i="10"/>
  <c r="LGO19" i="10"/>
  <c r="LHE19" i="10"/>
  <c r="LHU19" i="10"/>
  <c r="LIK19" i="10"/>
  <c r="LJA19" i="10"/>
  <c r="LJQ19" i="10"/>
  <c r="LKG19" i="10"/>
  <c r="LKW19" i="10"/>
  <c r="LLM19" i="10"/>
  <c r="LMC19" i="10"/>
  <c r="LMS19" i="10"/>
  <c r="LNI19" i="10"/>
  <c r="LNY19" i="10"/>
  <c r="LOO19" i="10"/>
  <c r="LPE19" i="10"/>
  <c r="LPU19" i="10"/>
  <c r="LQK19" i="10"/>
  <c r="LRA19" i="10"/>
  <c r="LRQ19" i="10"/>
  <c r="LSG19" i="10"/>
  <c r="LSW19" i="10"/>
  <c r="LTM19" i="10"/>
  <c r="LUC19" i="10"/>
  <c r="LUS19" i="10"/>
  <c r="LVI19" i="10"/>
  <c r="LVY19" i="10"/>
  <c r="LWO19" i="10"/>
  <c r="LXE19" i="10"/>
  <c r="LXU19" i="10"/>
  <c r="LYK19" i="10"/>
  <c r="LZA19" i="10"/>
  <c r="LZQ19" i="10"/>
  <c r="MAG19" i="10"/>
  <c r="MAW19" i="10"/>
  <c r="MBM19" i="10"/>
  <c r="MCC19" i="10"/>
  <c r="MCS19" i="10"/>
  <c r="MDI19" i="10"/>
  <c r="MDY19" i="10"/>
  <c r="MEO19" i="10"/>
  <c r="MFE19" i="10"/>
  <c r="MFU19" i="10"/>
  <c r="MGK19" i="10"/>
  <c r="MHA19" i="10"/>
  <c r="MHQ19" i="10"/>
  <c r="MIG19" i="10"/>
  <c r="MIW19" i="10"/>
  <c r="MJM19" i="10"/>
  <c r="MKC19" i="10"/>
  <c r="MKS19" i="10"/>
  <c r="MLI19" i="10"/>
  <c r="MLY19" i="10"/>
  <c r="MMO19" i="10"/>
  <c r="MNE19" i="10"/>
  <c r="MNU19" i="10"/>
  <c r="MOK19" i="10"/>
  <c r="MPA19" i="10"/>
  <c r="MPQ19" i="10"/>
  <c r="MQG19" i="10"/>
  <c r="MQW19" i="10"/>
  <c r="MRM19" i="10"/>
  <c r="MSC19" i="10"/>
  <c r="MSS19" i="10"/>
  <c r="MTI19" i="10"/>
  <c r="MTY19" i="10"/>
  <c r="MUO19" i="10"/>
  <c r="MVE19" i="10"/>
  <c r="MVU19" i="10"/>
  <c r="MWK19" i="10"/>
  <c r="MXA19" i="10"/>
  <c r="MXQ19" i="10"/>
  <c r="MYG19" i="10"/>
  <c r="MYW19" i="10"/>
  <c r="MZM19" i="10"/>
  <c r="NAC19" i="10"/>
  <c r="NAS19" i="10"/>
  <c r="NBI19" i="10"/>
  <c r="NBY19" i="10"/>
  <c r="NCO19" i="10"/>
  <c r="NDE19" i="10"/>
  <c r="NDU19" i="10"/>
  <c r="NEK19" i="10"/>
  <c r="NFA19" i="10"/>
  <c r="NFQ19" i="10"/>
  <c r="NGG19" i="10"/>
  <c r="NGW19" i="10"/>
  <c r="NHM19" i="10"/>
  <c r="NIC19" i="10"/>
  <c r="NIS19" i="10"/>
  <c r="NJI19" i="10"/>
  <c r="NJY19" i="10"/>
  <c r="NKO19" i="10"/>
  <c r="NLE19" i="10"/>
  <c r="NLU19" i="10"/>
  <c r="NMK19" i="10"/>
  <c r="NNA19" i="10"/>
  <c r="NNQ19" i="10"/>
  <c r="NOG19" i="10"/>
  <c r="NOW19" i="10"/>
  <c r="NPM19" i="10"/>
  <c r="NQC19" i="10"/>
  <c r="NQS19" i="10"/>
  <c r="NRI19" i="10"/>
  <c r="NRY19" i="10"/>
  <c r="NSO19" i="10"/>
  <c r="NTE19" i="10"/>
  <c r="NTU19" i="10"/>
  <c r="NUK19" i="10"/>
  <c r="NVA19" i="10"/>
  <c r="NVQ19" i="10"/>
  <c r="NWG19" i="10"/>
  <c r="NWW19" i="10"/>
  <c r="NXM19" i="10"/>
  <c r="NYC19" i="10"/>
  <c r="NYS19" i="10"/>
  <c r="NZI19" i="10"/>
  <c r="NZY19" i="10"/>
  <c r="OAO19" i="10"/>
  <c r="OBE19" i="10"/>
  <c r="OBU19" i="10"/>
  <c r="OCK19" i="10"/>
  <c r="ODA19" i="10"/>
  <c r="ODQ19" i="10"/>
  <c r="OEG19" i="10"/>
  <c r="OEW19" i="10"/>
  <c r="OFM19" i="10"/>
  <c r="OGC19" i="10"/>
  <c r="OGS19" i="10"/>
  <c r="OHI19" i="10"/>
  <c r="OHY19" i="10"/>
  <c r="OIO19" i="10"/>
  <c r="OJE19" i="10"/>
  <c r="OJU19" i="10"/>
  <c r="OKK19" i="10"/>
  <c r="OLA19" i="10"/>
  <c r="OLQ19" i="10"/>
  <c r="OMG19" i="10"/>
  <c r="OMW19" i="10"/>
  <c r="ONM19" i="10"/>
  <c r="OOC19" i="10"/>
  <c r="OOS19" i="10"/>
  <c r="OPI19" i="10"/>
  <c r="OPY19" i="10"/>
  <c r="OQO19" i="10"/>
  <c r="ORE19" i="10"/>
  <c r="ORU19" i="10"/>
  <c r="OSK19" i="10"/>
  <c r="OTA19" i="10"/>
  <c r="OTQ19" i="10"/>
  <c r="OUG19" i="10"/>
  <c r="OUW19" i="10"/>
  <c r="OVM19" i="10"/>
  <c r="OWC19" i="10"/>
  <c r="OWS19" i="10"/>
  <c r="OXI19" i="10"/>
  <c r="OXY19" i="10"/>
  <c r="OYO19" i="10"/>
  <c r="OZE19" i="10"/>
  <c r="OZU19" i="10"/>
  <c r="PAK19" i="10"/>
  <c r="PBA19" i="10"/>
  <c r="PBQ19" i="10"/>
  <c r="PCG19" i="10"/>
  <c r="PCW19" i="10"/>
  <c r="PDM19" i="10"/>
  <c r="PEC19" i="10"/>
  <c r="PES19" i="10"/>
  <c r="PFI19" i="10"/>
  <c r="PFY19" i="10"/>
  <c r="PGO19" i="10"/>
  <c r="PHE19" i="10"/>
  <c r="PHU19" i="10"/>
  <c r="PIK19" i="10"/>
  <c r="PJA19" i="10"/>
  <c r="PJQ19" i="10"/>
  <c r="PKG19" i="10"/>
  <c r="PKW19" i="10"/>
  <c r="PLM19" i="10"/>
  <c r="PMC19" i="10"/>
  <c r="PMS19" i="10"/>
  <c r="PNI19" i="10"/>
  <c r="PNY19" i="10"/>
  <c r="POO19" i="10"/>
  <c r="PPE19" i="10"/>
  <c r="PPU19" i="10"/>
  <c r="PQK19" i="10"/>
  <c r="PRA19" i="10"/>
  <c r="PRQ19" i="10"/>
  <c r="PSG19" i="10"/>
  <c r="PSW19" i="10"/>
  <c r="PTM19" i="10"/>
  <c r="PUC19" i="10"/>
  <c r="PUS19" i="10"/>
  <c r="PVI19" i="10"/>
  <c r="PVY19" i="10"/>
  <c r="PWO19" i="10"/>
  <c r="PXE19" i="10"/>
  <c r="PXU19" i="10"/>
  <c r="PYK19" i="10"/>
  <c r="PZA19" i="10"/>
  <c r="PZQ19" i="10"/>
  <c r="QAG19" i="10"/>
  <c r="QAW19" i="10"/>
  <c r="QBM19" i="10"/>
  <c r="QCC19" i="10"/>
  <c r="QCS19" i="10"/>
  <c r="QDI19" i="10"/>
  <c r="QDY19" i="10"/>
  <c r="QEO19" i="10"/>
  <c r="QFE19" i="10"/>
  <c r="QFU19" i="10"/>
  <c r="QGK19" i="10"/>
  <c r="QHA19" i="10"/>
  <c r="QHQ19" i="10"/>
  <c r="QIG19" i="10"/>
  <c r="QIW19" i="10"/>
  <c r="QJM19" i="10"/>
  <c r="QKC19" i="10"/>
  <c r="QKS19" i="10"/>
  <c r="QLI19" i="10"/>
  <c r="QLY19" i="10"/>
  <c r="QMO19" i="10"/>
  <c r="QNE19" i="10"/>
  <c r="QNU19" i="10"/>
  <c r="QOK19" i="10"/>
  <c r="QPA19" i="10"/>
  <c r="QPQ19" i="10"/>
  <c r="QQG19" i="10"/>
  <c r="QQW19" i="10"/>
  <c r="QRM19" i="10"/>
  <c r="QSC19" i="10"/>
  <c r="QSS19" i="10"/>
  <c r="QTI19" i="10"/>
  <c r="QTY19" i="10"/>
  <c r="QUO19" i="10"/>
  <c r="QVE19" i="10"/>
  <c r="QVU19" i="10"/>
  <c r="QWK19" i="10"/>
  <c r="QXA19" i="10"/>
  <c r="QXQ19" i="10"/>
  <c r="QYG19" i="10"/>
  <c r="QYW19" i="10"/>
  <c r="QZM19" i="10"/>
  <c r="RAC19" i="10"/>
  <c r="RAS19" i="10"/>
  <c r="RBI19" i="10"/>
  <c r="RBY19" i="10"/>
  <c r="RCO19" i="10"/>
  <c r="RDE19" i="10"/>
  <c r="RDU19" i="10"/>
  <c r="REK19" i="10"/>
  <c r="RFA19" i="10"/>
  <c r="RFQ19" i="10"/>
  <c r="RGG19" i="10"/>
  <c r="RGW19" i="10"/>
  <c r="RHM19" i="10"/>
  <c r="RIC19" i="10"/>
  <c r="RIS19" i="10"/>
  <c r="RJI19" i="10"/>
  <c r="RJY19" i="10"/>
  <c r="RKO19" i="10"/>
  <c r="RLE19" i="10"/>
  <c r="RLU19" i="10"/>
  <c r="RMK19" i="10"/>
  <c r="RNA19" i="10"/>
  <c r="RNQ19" i="10"/>
  <c r="ROG19" i="10"/>
  <c r="ROW19" i="10"/>
  <c r="RPM19" i="10"/>
  <c r="RQC19" i="10"/>
  <c r="RQS19" i="10"/>
  <c r="RRI19" i="10"/>
  <c r="RRY19" i="10"/>
  <c r="RSO19" i="10"/>
  <c r="RTE19" i="10"/>
  <c r="RTU19" i="10"/>
  <c r="RUK19" i="10"/>
  <c r="RVA19" i="10"/>
  <c r="RVQ19" i="10"/>
  <c r="RWG19" i="10"/>
  <c r="RWW19" i="10"/>
  <c r="RXM19" i="10"/>
  <c r="RYC19" i="10"/>
  <c r="RYS19" i="10"/>
  <c r="RZI19" i="10"/>
  <c r="RZY19" i="10"/>
  <c r="SAO19" i="10"/>
  <c r="SBE19" i="10"/>
  <c r="SBU19" i="10"/>
  <c r="SCK19" i="10"/>
  <c r="SDA19" i="10"/>
  <c r="SDQ19" i="10"/>
  <c r="SEG19" i="10"/>
  <c r="SEW19" i="10"/>
  <c r="SFM19" i="10"/>
  <c r="SGC19" i="10"/>
  <c r="SGS19" i="10"/>
  <c r="SHI19" i="10"/>
  <c r="SHY19" i="10"/>
  <c r="SIO19" i="10"/>
  <c r="SJE19" i="10"/>
  <c r="SJU19" i="10"/>
  <c r="SKK19" i="10"/>
  <c r="SLA19" i="10"/>
  <c r="SLQ19" i="10"/>
  <c r="SMG19" i="10"/>
  <c r="SMW19" i="10"/>
  <c r="SNM19" i="10"/>
  <c r="SOC19" i="10"/>
  <c r="SOS19" i="10"/>
  <c r="SPI19" i="10"/>
  <c r="SPY19" i="10"/>
  <c r="SQO19" i="10"/>
  <c r="SRE19" i="10"/>
  <c r="SRU19" i="10"/>
  <c r="SSK19" i="10"/>
  <c r="STA19" i="10"/>
  <c r="STQ19" i="10"/>
  <c r="SUG19" i="10"/>
  <c r="SUW19" i="10"/>
  <c r="SVM19" i="10"/>
  <c r="SWC19" i="10"/>
  <c r="SWS19" i="10"/>
  <c r="SXI19" i="10"/>
  <c r="SXY19" i="10"/>
  <c r="SYO19" i="10"/>
  <c r="SZE19" i="10"/>
  <c r="SZU19" i="10"/>
  <c r="TAK19" i="10"/>
  <c r="TBA19" i="10"/>
  <c r="TBQ19" i="10"/>
  <c r="TCG19" i="10"/>
  <c r="HFR19" i="10"/>
  <c r="HGM19" i="10"/>
  <c r="HHI19" i="10"/>
  <c r="HID19" i="10"/>
  <c r="HIY19" i="10"/>
  <c r="HJU19" i="10"/>
  <c r="HKP19" i="10"/>
  <c r="HLK19" i="10"/>
  <c r="HMG19" i="10"/>
  <c r="HNB19" i="10"/>
  <c r="HNW19" i="10"/>
  <c r="HOS19" i="10"/>
  <c r="HPN19" i="10"/>
  <c r="HQI19" i="10"/>
  <c r="HRE19" i="10"/>
  <c r="HRZ19" i="10"/>
  <c r="HSU19" i="10"/>
  <c r="HTQ19" i="10"/>
  <c r="HUL19" i="10"/>
  <c r="HVG19" i="10"/>
  <c r="HWC19" i="10"/>
  <c r="HWX19" i="10"/>
  <c r="HXS19" i="10"/>
  <c r="HYO19" i="10"/>
  <c r="HZJ19" i="10"/>
  <c r="IAE19" i="10"/>
  <c r="IBA19" i="10"/>
  <c r="IBV19" i="10"/>
  <c r="ICQ19" i="10"/>
  <c r="IDM19" i="10"/>
  <c r="IEH19" i="10"/>
  <c r="IFC19" i="10"/>
  <c r="IFY19" i="10"/>
  <c r="IGT19" i="10"/>
  <c r="IHO19" i="10"/>
  <c r="IIK19" i="10"/>
  <c r="IJF19" i="10"/>
  <c r="IKA19" i="10"/>
  <c r="IKW19" i="10"/>
  <c r="ILR19" i="10"/>
  <c r="IMM19" i="10"/>
  <c r="INI19" i="10"/>
  <c r="IOD19" i="10"/>
  <c r="IOY19" i="10"/>
  <c r="IPU19" i="10"/>
  <c r="IQP19" i="10"/>
  <c r="IRK19" i="10"/>
  <c r="ISG19" i="10"/>
  <c r="ITB19" i="10"/>
  <c r="ITW19" i="10"/>
  <c r="IUS19" i="10"/>
  <c r="IVN19" i="10"/>
  <c r="IWI19" i="10"/>
  <c r="IXE19" i="10"/>
  <c r="IXZ19" i="10"/>
  <c r="IYU19" i="10"/>
  <c r="IZQ19" i="10"/>
  <c r="JAL19" i="10"/>
  <c r="JBG19" i="10"/>
  <c r="JCC19" i="10"/>
  <c r="JCX19" i="10"/>
  <c r="JDS19" i="10"/>
  <c r="JEO19" i="10"/>
  <c r="JFJ19" i="10"/>
  <c r="JGE19" i="10"/>
  <c r="JHA19" i="10"/>
  <c r="JHV19" i="10"/>
  <c r="JIQ19" i="10"/>
  <c r="JJM19" i="10"/>
  <c r="JKH19" i="10"/>
  <c r="JLC19" i="10"/>
  <c r="JLY19" i="10"/>
  <c r="JMT19" i="10"/>
  <c r="JNO19" i="10"/>
  <c r="JOH19" i="10"/>
  <c r="JOX19" i="10"/>
  <c r="JPN19" i="10"/>
  <c r="JQD19" i="10"/>
  <c r="JQT19" i="10"/>
  <c r="JRJ19" i="10"/>
  <c r="JRZ19" i="10"/>
  <c r="JSP19" i="10"/>
  <c r="JTF19" i="10"/>
  <c r="JTV19" i="10"/>
  <c r="JUL19" i="10"/>
  <c r="JVB19" i="10"/>
  <c r="JVR19" i="10"/>
  <c r="JWH19" i="10"/>
  <c r="JWX19" i="10"/>
  <c r="JXN19" i="10"/>
  <c r="JYD19" i="10"/>
  <c r="JYT19" i="10"/>
  <c r="JZJ19" i="10"/>
  <c r="JZZ19" i="10"/>
  <c r="KAP19" i="10"/>
  <c r="KBF19" i="10"/>
  <c r="KBV19" i="10"/>
  <c r="KCL19" i="10"/>
  <c r="KDB19" i="10"/>
  <c r="KDR19" i="10"/>
  <c r="KEH19" i="10"/>
  <c r="KEX19" i="10"/>
  <c r="KFN19" i="10"/>
  <c r="KGD19" i="10"/>
  <c r="KGT19" i="10"/>
  <c r="KHJ19" i="10"/>
  <c r="KHZ19" i="10"/>
  <c r="KIP19" i="10"/>
  <c r="KJF19" i="10"/>
  <c r="KJV19" i="10"/>
  <c r="KKL19" i="10"/>
  <c r="KLB19" i="10"/>
  <c r="KLR19" i="10"/>
  <c r="KMH19" i="10"/>
  <c r="KMX19" i="10"/>
  <c r="KNN19" i="10"/>
  <c r="KOD19" i="10"/>
  <c r="KOT19" i="10"/>
  <c r="KPJ19" i="10"/>
  <c r="KPZ19" i="10"/>
  <c r="KQP19" i="10"/>
  <c r="KRF19" i="10"/>
  <c r="KRV19" i="10"/>
  <c r="KSL19" i="10"/>
  <c r="KTB19" i="10"/>
  <c r="KTR19" i="10"/>
  <c r="KUH19" i="10"/>
  <c r="KUX19" i="10"/>
  <c r="KVN19" i="10"/>
  <c r="KWD19" i="10"/>
  <c r="KWT19" i="10"/>
  <c r="KXJ19" i="10"/>
  <c r="KXZ19" i="10"/>
  <c r="KYP19" i="10"/>
  <c r="KZF19" i="10"/>
  <c r="KZV19" i="10"/>
  <c r="LAL19" i="10"/>
  <c r="LBB19" i="10"/>
  <c r="LBR19" i="10"/>
  <c r="LCH19" i="10"/>
  <c r="LCX19" i="10"/>
  <c r="LDN19" i="10"/>
  <c r="LED19" i="10"/>
  <c r="LET19" i="10"/>
  <c r="LFJ19" i="10"/>
  <c r="LFZ19" i="10"/>
  <c r="LGP19" i="10"/>
  <c r="LHF19" i="10"/>
  <c r="LHV19" i="10"/>
  <c r="LIL19" i="10"/>
  <c r="LJB19" i="10"/>
  <c r="LJR19" i="10"/>
  <c r="LKH19" i="10"/>
  <c r="LKX19" i="10"/>
  <c r="LLN19" i="10"/>
  <c r="LMD19" i="10"/>
  <c r="LMT19" i="10"/>
  <c r="LNJ19" i="10"/>
  <c r="LNZ19" i="10"/>
  <c r="LOP19" i="10"/>
  <c r="LPF19" i="10"/>
  <c r="LPV19" i="10"/>
  <c r="LQL19" i="10"/>
  <c r="LRB19" i="10"/>
  <c r="LRR19" i="10"/>
  <c r="LSH19" i="10"/>
  <c r="LSX19" i="10"/>
  <c r="LTN19" i="10"/>
  <c r="LUD19" i="10"/>
  <c r="LUT19" i="10"/>
  <c r="LVJ19" i="10"/>
  <c r="LVZ19" i="10"/>
  <c r="LWP19" i="10"/>
  <c r="LXF19" i="10"/>
  <c r="LXV19" i="10"/>
  <c r="LYL19" i="10"/>
  <c r="LZB19" i="10"/>
  <c r="LZR19" i="10"/>
  <c r="MAH19" i="10"/>
  <c r="MAX19" i="10"/>
  <c r="MBN19" i="10"/>
  <c r="MCD19" i="10"/>
  <c r="MCT19" i="10"/>
  <c r="MDJ19" i="10"/>
  <c r="MDZ19" i="10"/>
  <c r="MEP19" i="10"/>
  <c r="MFF19" i="10"/>
  <c r="MFV19" i="10"/>
  <c r="MGL19" i="10"/>
  <c r="MHB19" i="10"/>
  <c r="MHR19" i="10"/>
  <c r="MIH19" i="10"/>
  <c r="MIX19" i="10"/>
  <c r="MJN19" i="10"/>
  <c r="MKD19" i="10"/>
  <c r="MKT19" i="10"/>
  <c r="MLJ19" i="10"/>
  <c r="MLZ19" i="10"/>
  <c r="MMP19" i="10"/>
  <c r="MNF19" i="10"/>
  <c r="MNV19" i="10"/>
  <c r="MOL19" i="10"/>
  <c r="MPB19" i="10"/>
  <c r="MPR19" i="10"/>
  <c r="MQH19" i="10"/>
  <c r="MQX19" i="10"/>
  <c r="MRN19" i="10"/>
  <c r="MSD19" i="10"/>
  <c r="MST19" i="10"/>
  <c r="MTJ19" i="10"/>
  <c r="MTZ19" i="10"/>
  <c r="MUP19" i="10"/>
  <c r="MVF19" i="10"/>
  <c r="MVV19" i="10"/>
  <c r="MWL19" i="10"/>
  <c r="MXB19" i="10"/>
  <c r="MXR19" i="10"/>
  <c r="MYH19" i="10"/>
  <c r="MYX19" i="10"/>
  <c r="MZN19" i="10"/>
  <c r="NAD19" i="10"/>
  <c r="NAT19" i="10"/>
  <c r="NBJ19" i="10"/>
  <c r="NBZ19" i="10"/>
  <c r="NCP19" i="10"/>
  <c r="NDF19" i="10"/>
  <c r="NDV19" i="10"/>
  <c r="NEL19" i="10"/>
  <c r="NFB19" i="10"/>
  <c r="NFR19" i="10"/>
  <c r="NGH19" i="10"/>
  <c r="NGX19" i="10"/>
  <c r="NHN19" i="10"/>
  <c r="NID19" i="10"/>
  <c r="NIT19" i="10"/>
  <c r="NJJ19" i="10"/>
  <c r="NJZ19" i="10"/>
  <c r="NKP19" i="10"/>
  <c r="NLF19" i="10"/>
  <c r="NLV19" i="10"/>
  <c r="NML19" i="10"/>
  <c r="NNB19" i="10"/>
  <c r="NNR19" i="10"/>
  <c r="NOH19" i="10"/>
  <c r="NOX19" i="10"/>
  <c r="NPN19" i="10"/>
  <c r="NQD19" i="10"/>
  <c r="NQT19" i="10"/>
  <c r="NRJ19" i="10"/>
  <c r="NRZ19" i="10"/>
  <c r="NSP19" i="10"/>
  <c r="NTF19" i="10"/>
  <c r="NTV19" i="10"/>
  <c r="NUL19" i="10"/>
  <c r="NVB19" i="10"/>
  <c r="NVR19" i="10"/>
  <c r="NWH19" i="10"/>
  <c r="NWX19" i="10"/>
  <c r="NXN19" i="10"/>
  <c r="NYD19" i="10"/>
  <c r="NYT19" i="10"/>
  <c r="NZJ19" i="10"/>
  <c r="NZZ19" i="10"/>
  <c r="OAP19" i="10"/>
  <c r="OBF19" i="10"/>
  <c r="OBV19" i="10"/>
  <c r="OCL19" i="10"/>
  <c r="ODB19" i="10"/>
  <c r="ODR19" i="10"/>
  <c r="OEH19" i="10"/>
  <c r="OEX19" i="10"/>
  <c r="OFN19" i="10"/>
  <c r="OGD19" i="10"/>
  <c r="OGT19" i="10"/>
  <c r="OHJ19" i="10"/>
  <c r="OHZ19" i="10"/>
  <c r="OIP19" i="10"/>
  <c r="OJF19" i="10"/>
  <c r="OJV19" i="10"/>
  <c r="OKL19" i="10"/>
  <c r="OLB19" i="10"/>
  <c r="OLR19" i="10"/>
  <c r="OMH19" i="10"/>
  <c r="OMX19" i="10"/>
  <c r="ONN19" i="10"/>
  <c r="OOD19" i="10"/>
  <c r="OOT19" i="10"/>
  <c r="OPJ19" i="10"/>
  <c r="OPZ19" i="10"/>
  <c r="OQP19" i="10"/>
  <c r="ORF19" i="10"/>
  <c r="ORV19" i="10"/>
  <c r="OSL19" i="10"/>
  <c r="OTB19" i="10"/>
  <c r="OTR19" i="10"/>
  <c r="OUH19" i="10"/>
  <c r="OUX19" i="10"/>
  <c r="OVN19" i="10"/>
  <c r="OWD19" i="10"/>
  <c r="OWT19" i="10"/>
  <c r="OXJ19" i="10"/>
  <c r="OXZ19" i="10"/>
  <c r="OYP19" i="10"/>
  <c r="OZF19" i="10"/>
  <c r="OZV19" i="10"/>
  <c r="PAL19" i="10"/>
  <c r="PBB19" i="10"/>
  <c r="PBR19" i="10"/>
  <c r="PCH19" i="10"/>
  <c r="PCX19" i="10"/>
  <c r="PDN19" i="10"/>
  <c r="PED19" i="10"/>
  <c r="PET19" i="10"/>
  <c r="PFJ19" i="10"/>
  <c r="PFZ19" i="10"/>
  <c r="PGP19" i="10"/>
  <c r="PHF19" i="10"/>
  <c r="PHV19" i="10"/>
  <c r="PIL19" i="10"/>
  <c r="PJB19" i="10"/>
  <c r="PJR19" i="10"/>
  <c r="PKH19" i="10"/>
  <c r="PKX19" i="10"/>
  <c r="PLN19" i="10"/>
  <c r="PMD19" i="10"/>
  <c r="PMT19" i="10"/>
  <c r="PNJ19" i="10"/>
  <c r="PNZ19" i="10"/>
  <c r="POP19" i="10"/>
  <c r="PPF19" i="10"/>
  <c r="PPV19" i="10"/>
  <c r="PQL19" i="10"/>
  <c r="PRB19" i="10"/>
  <c r="PRR19" i="10"/>
  <c r="PSH19" i="10"/>
  <c r="PSX19" i="10"/>
  <c r="PTN19" i="10"/>
  <c r="PUD19" i="10"/>
  <c r="PUT19" i="10"/>
  <c r="PVJ19" i="10"/>
  <c r="PEI19" i="10"/>
  <c r="PGU19" i="10"/>
  <c r="PJG19" i="10"/>
  <c r="PLS19" i="10"/>
  <c r="POE19" i="10"/>
  <c r="PQQ19" i="10"/>
  <c r="PTC19" i="10"/>
  <c r="PVO19" i="10"/>
  <c r="PWR19" i="10"/>
  <c r="PXN19" i="10"/>
  <c r="PYI19" i="10"/>
  <c r="PZD19" i="10"/>
  <c r="PZZ19" i="10"/>
  <c r="QAU19" i="10"/>
  <c r="QBP19" i="10"/>
  <c r="QCL19" i="10"/>
  <c r="QDG19" i="10"/>
  <c r="QEB19" i="10"/>
  <c r="QEX19" i="10"/>
  <c r="QFS19" i="10"/>
  <c r="QGN19" i="10"/>
  <c r="QHJ19" i="10"/>
  <c r="QIE19" i="10"/>
  <c r="QIZ19" i="10"/>
  <c r="QJV19" i="10"/>
  <c r="QKQ19" i="10"/>
  <c r="QLL19" i="10"/>
  <c r="QMH19" i="10"/>
  <c r="QNC19" i="10"/>
  <c r="QNX19" i="10"/>
  <c r="QOT19" i="10"/>
  <c r="QPO19" i="10"/>
  <c r="QQJ19" i="10"/>
  <c r="QRF19" i="10"/>
  <c r="QSA19" i="10"/>
  <c r="QSV19" i="10"/>
  <c r="QTR19" i="10"/>
  <c r="QUM19" i="10"/>
  <c r="QVH19" i="10"/>
  <c r="QWD19" i="10"/>
  <c r="QWY19" i="10"/>
  <c r="QXT19" i="10"/>
  <c r="QYP19" i="10"/>
  <c r="QZK19" i="10"/>
  <c r="RAF19" i="10"/>
  <c r="RBB19" i="10"/>
  <c r="RBW19" i="10"/>
  <c r="RCR19" i="10"/>
  <c r="RDN19" i="10"/>
  <c r="REI19" i="10"/>
  <c r="RFD19" i="10"/>
  <c r="RFZ19" i="10"/>
  <c r="RGU19" i="10"/>
  <c r="RHP19" i="10"/>
  <c r="RIL19" i="10"/>
  <c r="RJG19" i="10"/>
  <c r="RKB19" i="10"/>
  <c r="RKX19" i="10"/>
  <c r="RLS19" i="10"/>
  <c r="RMN19" i="10"/>
  <c r="RNJ19" i="10"/>
  <c r="ROE19" i="10"/>
  <c r="ROZ19" i="10"/>
  <c r="RPV19" i="10"/>
  <c r="RQQ19" i="10"/>
  <c r="RRL19" i="10"/>
  <c r="RSH19" i="10"/>
  <c r="RTC19" i="10"/>
  <c r="RTX19" i="10"/>
  <c r="RUT19" i="10"/>
  <c r="RVO19" i="10"/>
  <c r="RWJ19" i="10"/>
  <c r="RXF19" i="10"/>
  <c r="RYA19" i="10"/>
  <c r="RYV19" i="10"/>
  <c r="RZR19" i="10"/>
  <c r="SAM19" i="10"/>
  <c r="SBH19" i="10"/>
  <c r="SCD19" i="10"/>
  <c r="SCY19" i="10"/>
  <c r="SDT19" i="10"/>
  <c r="SEP19" i="10"/>
  <c r="SFK19" i="10"/>
  <c r="SGF19" i="10"/>
  <c r="SHB19" i="10"/>
  <c r="SHW19" i="10"/>
  <c r="SIR19" i="10"/>
  <c r="SJN19" i="10"/>
  <c r="SKI19" i="10"/>
  <c r="SLD19" i="10"/>
  <c r="SLZ19" i="10"/>
  <c r="SMU19" i="10"/>
  <c r="SNP19" i="10"/>
  <c r="SOL19" i="10"/>
  <c r="SPG19" i="10"/>
  <c r="SQB19" i="10"/>
  <c r="SQX19" i="10"/>
  <c r="SRS19" i="10"/>
  <c r="SSN19" i="10"/>
  <c r="STJ19" i="10"/>
  <c r="SUE19" i="10"/>
  <c r="SUZ19" i="10"/>
  <c r="SVV19" i="10"/>
  <c r="SWQ19" i="10"/>
  <c r="SXL19" i="10"/>
  <c r="SYH19" i="10"/>
  <c r="SZC19" i="10"/>
  <c r="SZX19" i="10"/>
  <c r="TAT19" i="10"/>
  <c r="TBO19" i="10"/>
  <c r="TCJ19" i="10"/>
  <c r="TCZ19" i="10"/>
  <c r="TDP19" i="10"/>
  <c r="TEF19" i="10"/>
  <c r="TEV19" i="10"/>
  <c r="TFL19" i="10"/>
  <c r="TGB19" i="10"/>
  <c r="TGR19" i="10"/>
  <c r="THH19" i="10"/>
  <c r="THX19" i="10"/>
  <c r="TIN19" i="10"/>
  <c r="TJD19" i="10"/>
  <c r="TJT19" i="10"/>
  <c r="TKJ19" i="10"/>
  <c r="TKZ19" i="10"/>
  <c r="TLP19" i="10"/>
  <c r="TMF19" i="10"/>
  <c r="TMV19" i="10"/>
  <c r="TNL19" i="10"/>
  <c r="TOB19" i="10"/>
  <c r="TOR19" i="10"/>
  <c r="TPH19" i="10"/>
  <c r="TPX19" i="10"/>
  <c r="TQN19" i="10"/>
  <c r="TRD19" i="10"/>
  <c r="TRT19" i="10"/>
  <c r="TSJ19" i="10"/>
  <c r="TSZ19" i="10"/>
  <c r="TTP19" i="10"/>
  <c r="TUF19" i="10"/>
  <c r="TUV19" i="10"/>
  <c r="TVL19" i="10"/>
  <c r="TWB19" i="10"/>
  <c r="TWR19" i="10"/>
  <c r="TXH19" i="10"/>
  <c r="TXX19" i="10"/>
  <c r="TYN19" i="10"/>
  <c r="TZD19" i="10"/>
  <c r="TZT19" i="10"/>
  <c r="UAJ19" i="10"/>
  <c r="UAZ19" i="10"/>
  <c r="UBP19" i="10"/>
  <c r="UCF19" i="10"/>
  <c r="UCV19" i="10"/>
  <c r="UDL19" i="10"/>
  <c r="UEB19" i="10"/>
  <c r="UER19" i="10"/>
  <c r="UFH19" i="10"/>
  <c r="UFX19" i="10"/>
  <c r="UGN19" i="10"/>
  <c r="UHD19" i="10"/>
  <c r="UHT19" i="10"/>
  <c r="UIJ19" i="10"/>
  <c r="UIZ19" i="10"/>
  <c r="UJP19" i="10"/>
  <c r="UKF19" i="10"/>
  <c r="UKV19" i="10"/>
  <c r="ULL19" i="10"/>
  <c r="UMB19" i="10"/>
  <c r="UMR19" i="10"/>
  <c r="UNH19" i="10"/>
  <c r="UNX19" i="10"/>
  <c r="UON19" i="10"/>
  <c r="UPD19" i="10"/>
  <c r="UPT19" i="10"/>
  <c r="UQJ19" i="10"/>
  <c r="UQZ19" i="10"/>
  <c r="URP19" i="10"/>
  <c r="USF19" i="10"/>
  <c r="USV19" i="10"/>
  <c r="UTL19" i="10"/>
  <c r="UUB19" i="10"/>
  <c r="UUR19" i="10"/>
  <c r="UVH19" i="10"/>
  <c r="UVX19" i="10"/>
  <c r="UWN19" i="10"/>
  <c r="UXD19" i="10"/>
  <c r="UXT19" i="10"/>
  <c r="UYJ19" i="10"/>
  <c r="UYZ19" i="10"/>
  <c r="UZP19" i="10"/>
  <c r="VAF19" i="10"/>
  <c r="VAV19" i="10"/>
  <c r="VBL19" i="10"/>
  <c r="VCB19" i="10"/>
  <c r="VCR19" i="10"/>
  <c r="VDH19" i="10"/>
  <c r="VDX19" i="10"/>
  <c r="VEN19" i="10"/>
  <c r="VFD19" i="10"/>
  <c r="VFT19" i="10"/>
  <c r="VGJ19" i="10"/>
  <c r="VGZ19" i="10"/>
  <c r="VHP19" i="10"/>
  <c r="VIF19" i="10"/>
  <c r="VIV19" i="10"/>
  <c r="VJL19" i="10"/>
  <c r="VKB19" i="10"/>
  <c r="VKR19" i="10"/>
  <c r="VLH19" i="10"/>
  <c r="VLX19" i="10"/>
  <c r="VMN19" i="10"/>
  <c r="VND19" i="10"/>
  <c r="VNT19" i="10"/>
  <c r="VOJ19" i="10"/>
  <c r="VOZ19" i="10"/>
  <c r="VPP19" i="10"/>
  <c r="VQF19" i="10"/>
  <c r="VQV19" i="10"/>
  <c r="VRL19" i="10"/>
  <c r="VSB19" i="10"/>
  <c r="VSR19" i="10"/>
  <c r="VTH19" i="10"/>
  <c r="VTX19" i="10"/>
  <c r="VUN19" i="10"/>
  <c r="VVD19" i="10"/>
  <c r="VVT19" i="10"/>
  <c r="VWJ19" i="10"/>
  <c r="VWZ19" i="10"/>
  <c r="VXP19" i="10"/>
  <c r="VYF19" i="10"/>
  <c r="VYV19" i="10"/>
  <c r="VZL19" i="10"/>
  <c r="WAB19" i="10"/>
  <c r="WAR19" i="10"/>
  <c r="WBH19" i="10"/>
  <c r="WBX19" i="10"/>
  <c r="WCN19" i="10"/>
  <c r="WDD19" i="10"/>
  <c r="WDT19" i="10"/>
  <c r="WEJ19" i="10"/>
  <c r="WEZ19" i="10"/>
  <c r="WGN19" i="10"/>
  <c r="WIR19" i="10"/>
  <c r="WKV19" i="10"/>
  <c r="WMZ19" i="10"/>
  <c r="WOZ19" i="10"/>
  <c r="WQZ19" i="10"/>
  <c r="WTD19" i="10"/>
  <c r="WVH19" i="10"/>
  <c r="WXL19" i="10"/>
  <c r="WZP19" i="10"/>
  <c r="XBP19" i="10"/>
  <c r="XDP19" i="10"/>
  <c r="WPI19" i="10"/>
  <c r="WSC19" i="10"/>
  <c r="WUW19" i="10"/>
  <c r="WXQ19" i="10"/>
  <c r="XAK19" i="10"/>
  <c r="XDA19" i="10"/>
  <c r="PDW19" i="10"/>
  <c r="PGI19" i="10"/>
  <c r="PIU19" i="10"/>
  <c r="PLG19" i="10"/>
  <c r="PNS19" i="10"/>
  <c r="PQE19" i="10"/>
  <c r="PSQ19" i="10"/>
  <c r="PVC19" i="10"/>
  <c r="PWN19" i="10"/>
  <c r="PXJ19" i="10"/>
  <c r="PYE19" i="10"/>
  <c r="PYZ19" i="10"/>
  <c r="PZV19" i="10"/>
  <c r="QAQ19" i="10"/>
  <c r="QBL19" i="10"/>
  <c r="QCH19" i="10"/>
  <c r="QDC19" i="10"/>
  <c r="QDX19" i="10"/>
  <c r="QET19" i="10"/>
  <c r="QFO19" i="10"/>
  <c r="QGJ19" i="10"/>
  <c r="QHF19" i="10"/>
  <c r="QIA19" i="10"/>
  <c r="QIV19" i="10"/>
  <c r="QJR19" i="10"/>
  <c r="QKM19" i="10"/>
  <c r="QLH19" i="10"/>
  <c r="QMD19" i="10"/>
  <c r="QMY19" i="10"/>
  <c r="QNT19" i="10"/>
  <c r="QOP19" i="10"/>
  <c r="QPK19" i="10"/>
  <c r="QQF19" i="10"/>
  <c r="QRB19" i="10"/>
  <c r="QRW19" i="10"/>
  <c r="QSR19" i="10"/>
  <c r="QTN19" i="10"/>
  <c r="QUI19" i="10"/>
  <c r="QVD19" i="10"/>
  <c r="QVZ19" i="10"/>
  <c r="QWU19" i="10"/>
  <c r="QXP19" i="10"/>
  <c r="QYL19" i="10"/>
  <c r="QZG19" i="10"/>
  <c r="RAB19" i="10"/>
  <c r="RAX19" i="10"/>
  <c r="RBS19" i="10"/>
  <c r="RCN19" i="10"/>
  <c r="RDJ19" i="10"/>
  <c r="REE19" i="10"/>
  <c r="REZ19" i="10"/>
  <c r="RFV19" i="10"/>
  <c r="RGQ19" i="10"/>
  <c r="RHL19" i="10"/>
  <c r="RIH19" i="10"/>
  <c r="RJC19" i="10"/>
  <c r="RJX19" i="10"/>
  <c r="RKT19" i="10"/>
  <c r="RLO19" i="10"/>
  <c r="RMJ19" i="10"/>
  <c r="RNF19" i="10"/>
  <c r="ROA19" i="10"/>
  <c r="ROV19" i="10"/>
  <c r="RPR19" i="10"/>
  <c r="RQM19" i="10"/>
  <c r="RRH19" i="10"/>
  <c r="RSD19" i="10"/>
  <c r="RSY19" i="10"/>
  <c r="RTT19" i="10"/>
  <c r="RUP19" i="10"/>
  <c r="RVK19" i="10"/>
  <c r="RWF19" i="10"/>
  <c r="RXB19" i="10"/>
  <c r="RXW19" i="10"/>
  <c r="RYR19" i="10"/>
  <c r="RZN19" i="10"/>
  <c r="SAI19" i="10"/>
  <c r="SBD19" i="10"/>
  <c r="SBZ19" i="10"/>
  <c r="SCU19" i="10"/>
  <c r="SDP19" i="10"/>
  <c r="SEL19" i="10"/>
  <c r="SFG19" i="10"/>
  <c r="SGB19" i="10"/>
  <c r="SGX19" i="10"/>
  <c r="SHS19" i="10"/>
  <c r="SIN19" i="10"/>
  <c r="SJJ19" i="10"/>
  <c r="SKE19" i="10"/>
  <c r="SKZ19" i="10"/>
  <c r="SLV19" i="10"/>
  <c r="SMQ19" i="10"/>
  <c r="SNL19" i="10"/>
  <c r="SOH19" i="10"/>
  <c r="SPC19" i="10"/>
  <c r="SPX19" i="10"/>
  <c r="SQT19" i="10"/>
  <c r="SRO19" i="10"/>
  <c r="SSJ19" i="10"/>
  <c r="STF19" i="10"/>
  <c r="SUA19" i="10"/>
  <c r="SUV19" i="10"/>
  <c r="SVR19" i="10"/>
  <c r="SWM19" i="10"/>
  <c r="SXH19" i="10"/>
  <c r="SYD19" i="10"/>
  <c r="SYY19" i="10"/>
  <c r="SZT19" i="10"/>
  <c r="TAP19" i="10"/>
  <c r="TBK19" i="10"/>
  <c r="TCF19" i="10"/>
  <c r="TCW19" i="10"/>
  <c r="TDM19" i="10"/>
  <c r="TEC19" i="10"/>
  <c r="TES19" i="10"/>
  <c r="TFI19" i="10"/>
  <c r="TFY19" i="10"/>
  <c r="TGO19" i="10"/>
  <c r="THE19" i="10"/>
  <c r="THU19" i="10"/>
  <c r="TIK19" i="10"/>
  <c r="TJA19" i="10"/>
  <c r="TJQ19" i="10"/>
  <c r="TKG19" i="10"/>
  <c r="TKW19" i="10"/>
  <c r="TLM19" i="10"/>
  <c r="TMC19" i="10"/>
  <c r="TMS19" i="10"/>
  <c r="TNI19" i="10"/>
  <c r="TNY19" i="10"/>
  <c r="TOO19" i="10"/>
  <c r="TPE19" i="10"/>
  <c r="TPU19" i="10"/>
  <c r="TQK19" i="10"/>
  <c r="TRQ19" i="10"/>
  <c r="TSG19" i="10"/>
  <c r="TSW19" i="10"/>
  <c r="TTM19" i="10"/>
  <c r="TUC19" i="10"/>
  <c r="TUS19" i="10"/>
  <c r="TVI19" i="10"/>
  <c r="TVY19" i="10"/>
  <c r="TWO19" i="10"/>
  <c r="TXU19" i="10"/>
  <c r="TZA19" i="10"/>
  <c r="UAG19" i="10"/>
  <c r="UCC19" i="10"/>
  <c r="UDI19" i="10"/>
  <c r="UFE19" i="10"/>
  <c r="UGK19" i="10"/>
  <c r="UIG19" i="10"/>
  <c r="UJM19" i="10"/>
  <c r="ULI19" i="10"/>
  <c r="UMO19" i="10"/>
  <c r="UOK19" i="10"/>
  <c r="UPQ19" i="10"/>
  <c r="UQW19" i="10"/>
  <c r="USS19" i="10"/>
  <c r="UTY19" i="10"/>
  <c r="UVU19" i="10"/>
  <c r="UXA19" i="10"/>
  <c r="UYG19" i="10"/>
  <c r="VAC19" i="10"/>
  <c r="VBI19" i="10"/>
  <c r="VDE19" i="10"/>
  <c r="VEK19" i="10"/>
  <c r="VFQ19" i="10"/>
  <c r="VHM19" i="10"/>
  <c r="VIS19" i="10"/>
  <c r="VKO19" i="10"/>
  <c r="VLU19" i="10"/>
  <c r="VNA19" i="10"/>
  <c r="VOW19" i="10"/>
  <c r="VQC19" i="10"/>
  <c r="VRY19" i="10"/>
  <c r="VTE19" i="10"/>
  <c r="VVA19" i="10"/>
  <c r="VWG19" i="10"/>
  <c r="VXM19" i="10"/>
  <c r="VZI19" i="10"/>
  <c r="WAO19" i="10"/>
  <c r="WCK19" i="10"/>
  <c r="WDQ19" i="10"/>
  <c r="WFM19" i="10"/>
  <c r="WGS19" i="10"/>
  <c r="WIO19" i="10"/>
  <c r="WJU19" i="10"/>
  <c r="WLQ19" i="10"/>
  <c r="WMW19" i="10"/>
  <c r="WPY19" i="10"/>
  <c r="WVI19" i="10"/>
  <c r="XDM19" i="10"/>
  <c r="PHC19" i="10"/>
  <c r="POM19" i="10"/>
  <c r="PTK19" i="10"/>
  <c r="PXP19" i="10"/>
  <c r="PZG19" i="10"/>
  <c r="QBS19" i="10"/>
  <c r="QDJ19" i="10"/>
  <c r="QFV19" i="10"/>
  <c r="QHL19" i="10"/>
  <c r="QJX19" i="10"/>
  <c r="QMJ19" i="10"/>
  <c r="QOA19" i="10"/>
  <c r="QQM19" i="10"/>
  <c r="QSD19" i="10"/>
  <c r="QUP19" i="10"/>
  <c r="QWF19" i="10"/>
  <c r="QYR19" i="10"/>
  <c r="RAI19" i="10"/>
  <c r="RBZ19" i="10"/>
  <c r="REL19" i="10"/>
  <c r="RGB19" i="10"/>
  <c r="RIN19" i="10"/>
  <c r="RKE19" i="10"/>
  <c r="RLV19" i="10"/>
  <c r="ROH19" i="10"/>
  <c r="RPX19" i="10"/>
  <c r="RSJ19" i="10"/>
  <c r="RUV19" i="10"/>
  <c r="RWM19" i="10"/>
  <c r="RYD19" i="10"/>
  <c r="SAP19" i="10"/>
  <c r="SCF19" i="10"/>
  <c r="SER19" i="10"/>
  <c r="SGI19" i="10"/>
  <c r="SIU19" i="10"/>
  <c r="SKL19" i="10"/>
  <c r="SMX19" i="10"/>
  <c r="SON19" i="10"/>
  <c r="SQE19" i="10"/>
  <c r="SSQ19" i="10"/>
  <c r="SUH19" i="10"/>
  <c r="SWT19" i="10"/>
  <c r="SZF19" i="10"/>
  <c r="TAV19" i="10"/>
  <c r="TDB19" i="10"/>
  <c r="TEH19" i="10"/>
  <c r="TGD19" i="10"/>
  <c r="THJ19" i="10"/>
  <c r="TIP19" i="10"/>
  <c r="TKL19" i="10"/>
  <c r="TLR19" i="10"/>
  <c r="TNN19" i="10"/>
  <c r="TOT19" i="10"/>
  <c r="TQP19" i="10"/>
  <c r="TRV19" i="10"/>
  <c r="TTR19" i="10"/>
  <c r="TUX19" i="10"/>
  <c r="TWT19" i="10"/>
  <c r="TXZ19" i="10"/>
  <c r="TZF19" i="10"/>
  <c r="UBB19" i="10"/>
  <c r="UCH19" i="10"/>
  <c r="UED19" i="10"/>
  <c r="UFJ19" i="10"/>
  <c r="UHF19" i="10"/>
  <c r="UIL19" i="10"/>
  <c r="UKH19" i="10"/>
  <c r="ULN19" i="10"/>
  <c r="UMT19" i="10"/>
  <c r="UOP19" i="10"/>
  <c r="UPV19" i="10"/>
  <c r="URR19" i="10"/>
  <c r="USX19" i="10"/>
  <c r="UUT19" i="10"/>
  <c r="UVZ19" i="10"/>
  <c r="UXV19" i="10"/>
  <c r="UZB19" i="10"/>
  <c r="VAH19" i="10"/>
  <c r="VCD19" i="10"/>
  <c r="VDJ19" i="10"/>
  <c r="VEP19" i="10"/>
  <c r="VGL19" i="10"/>
  <c r="VHR19" i="10"/>
  <c r="VJN19" i="10"/>
  <c r="VKT19" i="10"/>
  <c r="VLZ19" i="10"/>
  <c r="VNV19" i="10"/>
  <c r="VPB19" i="10"/>
  <c r="VQX19" i="10"/>
  <c r="VSD19" i="10"/>
  <c r="VTJ19" i="10"/>
  <c r="VVF19" i="10"/>
  <c r="VWL19" i="10"/>
  <c r="VYH19" i="10"/>
  <c r="VZN19" i="10"/>
  <c r="WAT19" i="10"/>
  <c r="WCP19" i="10"/>
  <c r="WDV19" i="10"/>
  <c r="WFB19" i="10"/>
  <c r="WGX19" i="10"/>
  <c r="WID19" i="10"/>
  <c r="WJZ19" i="10"/>
  <c r="WLF19" i="10"/>
  <c r="WNB19" i="10"/>
  <c r="WOH19" i="10"/>
  <c r="WPN19" i="10"/>
  <c r="WRJ19" i="10"/>
  <c r="WSP19" i="10"/>
  <c r="WUL19" i="10"/>
  <c r="WVR19" i="10"/>
  <c r="WWX19" i="10"/>
  <c r="WYT19" i="10"/>
  <c r="WZZ19" i="10"/>
  <c r="XBV19" i="10"/>
  <c r="XDB19" i="10"/>
  <c r="XEH19" i="10"/>
  <c r="VII19" i="10"/>
  <c r="VKI19" i="10"/>
  <c r="VNO19" i="10"/>
  <c r="VPO19" i="10"/>
  <c r="VSU19" i="10"/>
  <c r="VUU19" i="10"/>
  <c r="VXW19" i="10"/>
  <c r="WAA19" i="10"/>
  <c r="WDG19" i="10"/>
  <c r="WFG19" i="10"/>
  <c r="WII19" i="10"/>
  <c r="WKI19" i="10"/>
  <c r="WNK19" i="10"/>
  <c r="WQQ19" i="10"/>
  <c r="WSQ19" i="10"/>
  <c r="WUU19" i="10"/>
  <c r="WXW19" i="10"/>
  <c r="XAY19" i="10"/>
  <c r="XCY19" i="10"/>
  <c r="WGJ19" i="10"/>
  <c r="WJH19" i="10"/>
  <c r="WMB19" i="10"/>
  <c r="WQJ19" i="10"/>
  <c r="WUR19" i="10"/>
  <c r="WXP19" i="10"/>
  <c r="XBX19" i="10"/>
  <c r="XEV19" i="10"/>
  <c r="WTU19" i="10"/>
  <c r="WXM19" i="10"/>
  <c r="XDE19" i="10"/>
  <c r="PGQ19" i="10"/>
  <c r="POA19" i="10"/>
  <c r="PSY19" i="10"/>
  <c r="PXL19" i="10"/>
  <c r="PZC19" i="10"/>
  <c r="QBO19" i="10"/>
  <c r="QDF19" i="10"/>
  <c r="QFR19" i="10"/>
  <c r="QID19" i="10"/>
  <c r="QJT19" i="10"/>
  <c r="QMF19" i="10"/>
  <c r="QNW19" i="10"/>
  <c r="QPN19" i="10"/>
  <c r="QRZ19" i="10"/>
  <c r="QTP19" i="10"/>
  <c r="QWB19" i="10"/>
  <c r="QXS19" i="10"/>
  <c r="RAE19" i="10"/>
  <c r="RBV19" i="10"/>
  <c r="REH19" i="10"/>
  <c r="RFX19" i="10"/>
  <c r="RIJ19" i="10"/>
  <c r="RKA19" i="10"/>
  <c r="RMM19" i="10"/>
  <c r="ROD19" i="10"/>
  <c r="RPT19" i="10"/>
  <c r="RSF19" i="10"/>
  <c r="RTW19" i="10"/>
  <c r="RWI19" i="10"/>
  <c r="RXZ19" i="10"/>
  <c r="SAL19" i="10"/>
  <c r="SCB19" i="10"/>
  <c r="SEN19" i="10"/>
  <c r="SGE19" i="10"/>
  <c r="SIQ19" i="10"/>
  <c r="SKH19" i="10"/>
  <c r="SMT19" i="10"/>
  <c r="SOJ19" i="10"/>
  <c r="SQV19" i="10"/>
  <c r="SSM19" i="10"/>
  <c r="SUY19" i="10"/>
  <c r="SWP19" i="10"/>
  <c r="SZB19" i="10"/>
  <c r="TAR19" i="10"/>
  <c r="TCY19" i="10"/>
  <c r="TEE19" i="10"/>
  <c r="TGA19" i="10"/>
  <c r="THG19" i="10"/>
  <c r="TJC19" i="10"/>
  <c r="TKI19" i="10"/>
  <c r="TLO19" i="10"/>
  <c r="TNK19" i="10"/>
  <c r="TOQ19" i="10"/>
  <c r="TQM19" i="10"/>
  <c r="TRS19" i="10"/>
  <c r="TSY19" i="10"/>
  <c r="TUU19" i="10"/>
  <c r="TWA19" i="10"/>
  <c r="TXW19" i="10"/>
  <c r="TZC19" i="10"/>
  <c r="UAY19" i="10"/>
  <c r="UCE19" i="10"/>
  <c r="UDK19" i="10"/>
  <c r="UFG19" i="10"/>
  <c r="UGM19" i="10"/>
  <c r="UII19" i="10"/>
  <c r="UJO19" i="10"/>
  <c r="ULK19" i="10"/>
  <c r="UMQ19" i="10"/>
  <c r="UNW19" i="10"/>
  <c r="UPS19" i="10"/>
  <c r="UQY19" i="10"/>
  <c r="USU19" i="10"/>
  <c r="UUA19" i="10"/>
  <c r="UVG19" i="10"/>
  <c r="UXC19" i="10"/>
  <c r="UYI19" i="10"/>
  <c r="VAE19" i="10"/>
  <c r="VBK19" i="10"/>
  <c r="VDG19" i="10"/>
  <c r="VEM19" i="10"/>
  <c r="VFS19" i="10"/>
  <c r="VIY19" i="10"/>
  <c r="VLW19" i="10"/>
  <c r="VQM19" i="10"/>
  <c r="VTK19" i="10"/>
  <c r="VYA19" i="10"/>
  <c r="WAY19" i="10"/>
  <c r="WFK19" i="10"/>
  <c r="WIM19" i="10"/>
  <c r="WLO19" i="10"/>
  <c r="WQA19" i="10"/>
  <c r="WTC19" i="10"/>
  <c r="WXS19" i="10"/>
  <c r="XAU19" i="10"/>
  <c r="XDW19" i="10"/>
  <c r="WKB19" i="10"/>
  <c r="WOJ19" i="10"/>
  <c r="WUZ19" i="10"/>
  <c r="WZL19" i="10"/>
  <c r="P19" i="10"/>
  <c r="XDI19" i="10"/>
  <c r="WSG19" i="10"/>
  <c r="XCV19" i="10"/>
  <c r="WPP19" i="10"/>
  <c r="WGV19" i="10"/>
  <c r="WWY19" i="10"/>
  <c r="WNW19" i="10"/>
  <c r="WHS19" i="10"/>
  <c r="VYQ19" i="10"/>
  <c r="VSQ19" i="10"/>
  <c r="VJS19" i="10"/>
  <c r="VFK19" i="10"/>
  <c r="VBS19" i="10"/>
  <c r="UYA19" i="10"/>
  <c r="UVO19" i="10"/>
  <c r="UTC19" i="10"/>
  <c r="UPK19" i="10"/>
  <c r="UMY19" i="10"/>
  <c r="UJG19" i="10"/>
  <c r="UFO19" i="10"/>
  <c r="UDC19" i="10"/>
  <c r="UAQ19" i="10"/>
  <c r="TYE19" i="10"/>
  <c r="TVS19" i="10"/>
  <c r="TUM19" i="10"/>
  <c r="TTG19" i="10"/>
  <c r="TSA19" i="10"/>
  <c r="TQU19" i="10"/>
  <c r="TPO19" i="10"/>
  <c r="TOI19" i="10"/>
  <c r="TNC19" i="10"/>
  <c r="TLW19" i="10"/>
  <c r="TKQ19" i="10"/>
  <c r="TJK19" i="10"/>
  <c r="TIE19" i="10"/>
  <c r="TGY19" i="10"/>
  <c r="TFS19" i="10"/>
  <c r="TEM19" i="10"/>
  <c r="TDG19" i="10"/>
  <c r="TBX19" i="10"/>
  <c r="TAH19" i="10"/>
  <c r="SYQ19" i="10"/>
  <c r="SWZ19" i="10"/>
  <c r="SVJ19" i="10"/>
  <c r="STS19" i="10"/>
  <c r="SSB19" i="10"/>
  <c r="SQL19" i="10"/>
  <c r="SOU19" i="10"/>
  <c r="SND19" i="10"/>
  <c r="SLN19" i="10"/>
  <c r="SJW19" i="10"/>
  <c r="SIF19" i="10"/>
  <c r="SGP19" i="10"/>
  <c r="SEY19" i="10"/>
  <c r="SDH19" i="10"/>
  <c r="SBR19" i="10"/>
  <c r="SAA19" i="10"/>
  <c r="RYJ19" i="10"/>
  <c r="RWT19" i="10"/>
  <c r="RVC19" i="10"/>
  <c r="RTL19" i="10"/>
  <c r="RRV19" i="10"/>
  <c r="RQE19" i="10"/>
  <c r="RON19" i="10"/>
  <c r="RMX19" i="10"/>
  <c r="RLG19" i="10"/>
  <c r="RJP19" i="10"/>
  <c r="RHZ19" i="10"/>
  <c r="RGI19" i="10"/>
  <c r="RER19" i="10"/>
  <c r="RDB19" i="10"/>
  <c r="RBK19" i="10"/>
  <c r="QZT19" i="10"/>
  <c r="QYD19" i="10"/>
  <c r="QWM19" i="10"/>
  <c r="QUV19" i="10"/>
  <c r="QTF19" i="10"/>
  <c r="QRO19" i="10"/>
  <c r="QPX19" i="10"/>
  <c r="QOH19" i="10"/>
  <c r="QMQ19" i="10"/>
  <c r="QKZ19" i="10"/>
  <c r="QJJ19" i="10"/>
  <c r="QHS19" i="10"/>
  <c r="QGB19" i="10"/>
  <c r="QEL19" i="10"/>
  <c r="QCU19" i="10"/>
  <c r="QBD19" i="10"/>
  <c r="PZN19" i="10"/>
  <c r="PXW19" i="10"/>
  <c r="PWF19" i="10"/>
  <c r="PRS19" i="10"/>
  <c r="PMU19" i="10"/>
  <c r="PHW19" i="10"/>
  <c r="XEG19" i="10"/>
  <c r="XAG19" i="10"/>
  <c r="WWO19" i="10"/>
  <c r="WSS19" i="10"/>
  <c r="WOW19" i="10"/>
  <c r="XCN19" i="10"/>
  <c r="WZT19" i="10"/>
  <c r="WWV19" i="10"/>
  <c r="WUB19" i="10"/>
  <c r="WRD19" i="10"/>
  <c r="WOF19" i="10"/>
  <c r="WLL19" i="10"/>
  <c r="WIN19" i="10"/>
  <c r="WFT19" i="10"/>
  <c r="XDO19" i="10"/>
  <c r="XBK19" i="10"/>
  <c r="WZK19" i="10"/>
  <c r="WXK19" i="10"/>
  <c r="WVG19" i="10"/>
  <c r="WTG19" i="10"/>
  <c r="WRC19" i="10"/>
  <c r="WPC19" i="10"/>
  <c r="WMY19" i="10"/>
  <c r="WKY19" i="10"/>
  <c r="WIU19" i="10"/>
  <c r="WGU19" i="10"/>
  <c r="WEQ19" i="10"/>
  <c r="WCQ19" i="10"/>
  <c r="WAQ19" i="10"/>
  <c r="VYM19" i="10"/>
  <c r="VWI19" i="10"/>
  <c r="VUI19" i="10"/>
  <c r="VSE19" i="10"/>
  <c r="VQE19" i="10"/>
  <c r="VOA19" i="10"/>
  <c r="VMA19" i="10"/>
  <c r="VJW19" i="10"/>
  <c r="VHW19" i="10"/>
  <c r="XEP19" i="10"/>
  <c r="XDJ19" i="10"/>
  <c r="XCD19" i="10"/>
  <c r="XAX19" i="10"/>
  <c r="WZR19" i="10"/>
  <c r="WYL19" i="10"/>
  <c r="WXF19" i="10"/>
  <c r="WVZ19" i="10"/>
  <c r="WUT19" i="10"/>
  <c r="WTN19" i="10"/>
  <c r="WSH19" i="10"/>
  <c r="WRB19" i="10"/>
  <c r="WPV19" i="10"/>
  <c r="WOP19" i="10"/>
  <c r="WNJ19" i="10"/>
  <c r="WMD19" i="10"/>
  <c r="WKX19" i="10"/>
  <c r="WJR19" i="10"/>
  <c r="WIL19" i="10"/>
  <c r="WHF19" i="10"/>
  <c r="WFZ19" i="10"/>
  <c r="WET19" i="10"/>
  <c r="WDN19" i="10"/>
  <c r="WCH19" i="10"/>
  <c r="WBB19" i="10"/>
  <c r="VZV19" i="10"/>
  <c r="VYP19" i="10"/>
  <c r="VXJ19" i="10"/>
  <c r="VWD19" i="10"/>
  <c r="VUX19" i="10"/>
  <c r="VTR19" i="10"/>
  <c r="VSL19" i="10"/>
  <c r="VRF19" i="10"/>
  <c r="VPZ19" i="10"/>
  <c r="VOT19" i="10"/>
  <c r="VNN19" i="10"/>
  <c r="VMH19" i="10"/>
  <c r="VLB19" i="10"/>
  <c r="VJV19" i="10"/>
  <c r="VIP19" i="10"/>
  <c r="VHJ19" i="10"/>
  <c r="VGD19" i="10"/>
  <c r="VEX19" i="10"/>
  <c r="VDR19" i="10"/>
  <c r="VCL19" i="10"/>
  <c r="VBF19" i="10"/>
  <c r="UZZ19" i="10"/>
  <c r="UYT19" i="10"/>
  <c r="UXN19" i="10"/>
  <c r="UWH19" i="10"/>
  <c r="UUH19" i="10"/>
  <c r="URV19" i="10"/>
  <c r="F19" i="10"/>
  <c r="L19" i="10"/>
  <c r="XDY19" i="10"/>
  <c r="XAO19" i="10"/>
  <c r="WTA19" i="10"/>
  <c r="XDX19" i="10"/>
  <c r="WVP19" i="10"/>
  <c r="WRH19" i="10"/>
  <c r="WIJ19" i="10"/>
  <c r="XBG19" i="10"/>
  <c r="WYA19" i="10"/>
  <c r="WSA19" i="10"/>
  <c r="WMA19" i="10"/>
  <c r="WIY19" i="10"/>
  <c r="WCU19" i="10"/>
  <c r="VWU19" i="10"/>
  <c r="VTW19" i="10"/>
  <c r="VNW19" i="10"/>
  <c r="VHS19" i="10"/>
  <c r="VFW19" i="10"/>
  <c r="VDK19" i="10"/>
  <c r="VAY19" i="10"/>
  <c r="UZS19" i="10"/>
  <c r="UXG19" i="10"/>
  <c r="UUU19" i="10"/>
  <c r="UTO19" i="10"/>
  <c r="URC19" i="10"/>
  <c r="UOQ19" i="10"/>
  <c r="UNK19" i="10"/>
  <c r="UKY19" i="10"/>
  <c r="UJS19" i="10"/>
  <c r="UHG19" i="10"/>
  <c r="UEU19" i="10"/>
  <c r="UDO19" i="10"/>
  <c r="UCI19" i="10"/>
  <c r="TZW19" i="10"/>
  <c r="J19" i="10"/>
  <c r="B19" i="10"/>
  <c r="WZY19" i="10"/>
  <c r="WVU19" i="10"/>
  <c r="WPA19" i="10"/>
  <c r="WYJ19" i="10"/>
  <c r="WTX19" i="10"/>
  <c r="WLD19" i="10"/>
  <c r="XDC19" i="10"/>
  <c r="XAA19" i="10"/>
  <c r="WTW19" i="10"/>
  <c r="WQU19" i="10"/>
  <c r="WKU19" i="10"/>
  <c r="WEU19" i="10"/>
  <c r="WBS19" i="10"/>
  <c r="VVS19" i="10"/>
  <c r="VPS19" i="10"/>
  <c r="VMQ19" i="10"/>
  <c r="VGU19" i="10"/>
  <c r="VEE19" i="10"/>
  <c r="VCY19" i="10"/>
  <c r="VAM19" i="10"/>
  <c r="UZG19" i="10"/>
  <c r="UWU19" i="10"/>
  <c r="UUI19" i="10"/>
  <c r="URW19" i="10"/>
  <c r="UQQ19" i="10"/>
  <c r="UOE19" i="10"/>
  <c r="ULS19" i="10"/>
  <c r="UKM19" i="10"/>
  <c r="UIA19" i="10"/>
  <c r="UGU19" i="10"/>
  <c r="UEI19" i="10"/>
  <c r="UBW19" i="10"/>
  <c r="TZK19" i="10"/>
  <c r="TWY19" i="10"/>
  <c r="N19" i="10"/>
  <c r="O19" i="10"/>
  <c r="K19" i="10"/>
  <c r="XCO19" i="10"/>
  <c r="WYO19" i="10"/>
  <c r="WVA19" i="10"/>
  <c r="WRQ19" i="10"/>
  <c r="XEZ19" i="10"/>
  <c r="XCF19" i="10"/>
  <c r="WXT19" i="10"/>
  <c r="WTL19" i="10"/>
  <c r="WOV19" i="10"/>
  <c r="WKN19" i="10"/>
  <c r="WGF19" i="10"/>
  <c r="XCQ19" i="10"/>
  <c r="WZO19" i="10"/>
  <c r="WWM19" i="10"/>
  <c r="WTO19" i="10"/>
  <c r="WQM19" i="10"/>
  <c r="WNO19" i="10"/>
  <c r="WKM19" i="10"/>
  <c r="WHK19" i="10"/>
  <c r="WEI19" i="10"/>
  <c r="WBG19" i="10"/>
  <c r="VYI19" i="10"/>
  <c r="VVK19" i="10"/>
  <c r="VSI19" i="10"/>
  <c r="VPG19" i="10"/>
  <c r="VMI19" i="10"/>
  <c r="VJK19" i="10"/>
  <c r="VGQ19" i="10"/>
  <c r="VFG19" i="10"/>
  <c r="VEA19" i="10"/>
  <c r="VCU19" i="10"/>
  <c r="VBO19" i="10"/>
  <c r="VAI19" i="10"/>
  <c r="UZC19" i="10"/>
  <c r="UXW19" i="10"/>
  <c r="UWQ19" i="10"/>
  <c r="UVK19" i="10"/>
  <c r="UUE19" i="10"/>
  <c r="USY19" i="10"/>
  <c r="URS19" i="10"/>
  <c r="UQM19" i="10"/>
  <c r="UPG19" i="10"/>
  <c r="UOA19" i="10"/>
  <c r="UMU19" i="10"/>
  <c r="ULO19" i="10"/>
  <c r="UKI19" i="10"/>
  <c r="UJC19" i="10"/>
  <c r="UHW19" i="10"/>
  <c r="UGQ19" i="10"/>
  <c r="UFK19" i="10"/>
  <c r="UEE19" i="10"/>
  <c r="UCY19" i="10"/>
  <c r="UBS19" i="10"/>
  <c r="UAM19" i="10"/>
  <c r="TZG19" i="10"/>
  <c r="TYA19" i="10"/>
  <c r="TWU19" i="10"/>
  <c r="TVO19" i="10"/>
  <c r="TUI19" i="10"/>
  <c r="TTC19" i="10"/>
  <c r="TRW19" i="10"/>
  <c r="TQQ19" i="10"/>
  <c r="TPK19" i="10"/>
  <c r="TOE19" i="10"/>
  <c r="TMY19" i="10"/>
  <c r="TLS19" i="10"/>
  <c r="TKM19" i="10"/>
  <c r="TJG19" i="10"/>
  <c r="TIA19" i="10"/>
  <c r="TGU19" i="10"/>
  <c r="TFO19" i="10"/>
  <c r="TEI19" i="10"/>
  <c r="TDC19" i="10"/>
  <c r="TBS19" i="10"/>
  <c r="TAB19" i="10"/>
  <c r="SYL19" i="10"/>
  <c r="SWU19" i="10"/>
  <c r="SVD19" i="10"/>
  <c r="STN19" i="10"/>
  <c r="SRW19" i="10"/>
  <c r="SQF19" i="10"/>
  <c r="SOP19" i="10"/>
  <c r="SMY19" i="10"/>
  <c r="SLH19" i="10"/>
  <c r="SJR19" i="10"/>
  <c r="SIA19" i="10"/>
  <c r="SGJ19" i="10"/>
  <c r="SET19" i="10"/>
  <c r="SDC19" i="10"/>
  <c r="SBL19" i="10"/>
  <c r="RZV19" i="10"/>
  <c r="RYE19" i="10"/>
  <c r="RWN19" i="10"/>
  <c r="RUX19" i="10"/>
  <c r="RTG19" i="10"/>
  <c r="RRP19" i="10"/>
  <c r="RPZ19" i="10"/>
  <c r="ROI19" i="10"/>
  <c r="RMR19" i="10"/>
  <c r="RLB19" i="10"/>
  <c r="RJK19" i="10"/>
  <c r="RHT19" i="10"/>
  <c r="RGD19" i="10"/>
  <c r="REM19" i="10"/>
  <c r="RCV19" i="10"/>
  <c r="RBF19" i="10"/>
  <c r="QZO19" i="10"/>
  <c r="QXX19" i="10"/>
  <c r="QWH19" i="10"/>
  <c r="QUQ19" i="10"/>
  <c r="QSZ19" i="10"/>
  <c r="QRJ19" i="10"/>
  <c r="QPS19" i="10"/>
  <c r="QOB19" i="10"/>
  <c r="QML19" i="10"/>
  <c r="QKU19" i="10"/>
  <c r="QJD19" i="10"/>
  <c r="QHN19" i="10"/>
  <c r="QFW19" i="10"/>
  <c r="QEF19" i="10"/>
  <c r="QCP19" i="10"/>
  <c r="QAY19" i="10"/>
  <c r="PZH19" i="10"/>
  <c r="PXR19" i="10"/>
  <c r="PVZ19" i="10"/>
  <c r="PRC19" i="10"/>
  <c r="PME19" i="10"/>
  <c r="PHG19" i="10"/>
  <c r="XDU19" i="10"/>
  <c r="WZU19" i="10"/>
  <c r="WWC19" i="10"/>
  <c r="WSK19" i="10"/>
  <c r="XFD19" i="10"/>
  <c r="XCJ19" i="10"/>
  <c r="WZH19" i="10"/>
  <c r="WWN19" i="10"/>
  <c r="WTT19" i="10"/>
  <c r="WQV19" i="10"/>
  <c r="WOB19" i="10"/>
  <c r="WKZ19" i="10"/>
  <c r="WIF19" i="10"/>
  <c r="WFD19" i="10"/>
  <c r="XDG19" i="10"/>
  <c r="XBC19" i="10"/>
  <c r="WZC19" i="10"/>
  <c r="WXC19" i="10"/>
  <c r="WVC19" i="10"/>
  <c r="WSY19" i="10"/>
  <c r="WQY19" i="10"/>
  <c r="WOU19" i="10"/>
  <c r="WMQ19" i="10"/>
  <c r="WKQ19" i="10"/>
  <c r="WIQ19" i="10"/>
  <c r="WGM19" i="10"/>
  <c r="WEM19" i="10"/>
  <c r="WCI19" i="10"/>
  <c r="WAI19" i="10"/>
  <c r="VYE19" i="10"/>
  <c r="VWE19" i="10"/>
  <c r="VUA19" i="10"/>
  <c r="VSA19" i="10"/>
  <c r="VPW19" i="10"/>
  <c r="VNS19" i="10"/>
  <c r="VLS19" i="10"/>
  <c r="VJO19" i="10"/>
  <c r="VHO19" i="10"/>
  <c r="XEL19" i="10"/>
  <c r="XDF19" i="10"/>
  <c r="XBZ19" i="10"/>
  <c r="XAT19" i="10"/>
  <c r="WZN19" i="10"/>
  <c r="WYH19" i="10"/>
  <c r="WXB19" i="10"/>
  <c r="WVV19" i="10"/>
  <c r="WUP19" i="10"/>
  <c r="WTJ19" i="10"/>
  <c r="WSD19" i="10"/>
  <c r="WQX19" i="10"/>
  <c r="WPR19" i="10"/>
  <c r="WOL19" i="10"/>
  <c r="WNF19" i="10"/>
  <c r="WLZ19" i="10"/>
  <c r="WKT19" i="10"/>
  <c r="WJN19" i="10"/>
  <c r="WIH19" i="10"/>
  <c r="WHB19" i="10"/>
  <c r="WFV19" i="10"/>
  <c r="WEP19" i="10"/>
  <c r="WDJ19" i="10"/>
  <c r="WCD19" i="10"/>
  <c r="WAX19" i="10"/>
  <c r="VZR19" i="10"/>
  <c r="VYL19" i="10"/>
  <c r="VXF19" i="10"/>
  <c r="VVZ19" i="10"/>
  <c r="VUT19" i="10"/>
  <c r="VTN19" i="10"/>
  <c r="VSH19" i="10"/>
  <c r="VRB19" i="10"/>
  <c r="VPV19" i="10"/>
  <c r="VOP19" i="10"/>
  <c r="VNJ19" i="10"/>
  <c r="VMD19" i="10"/>
  <c r="VKX19" i="10"/>
  <c r="VJR19" i="10"/>
  <c r="VIL19" i="10"/>
  <c r="VHF19" i="10"/>
  <c r="VFZ19" i="10"/>
  <c r="VET19" i="10"/>
  <c r="VDN19" i="10"/>
  <c r="VCH19" i="10"/>
  <c r="VBB19" i="10"/>
  <c r="UZV19" i="10"/>
  <c r="UYP19" i="10"/>
  <c r="UXJ19" i="10"/>
  <c r="UWD19" i="10"/>
  <c r="UTR19" i="10"/>
  <c r="URF19" i="10"/>
  <c r="WQC19" i="10"/>
  <c r="XEJ19" i="10"/>
  <c r="XAR19" i="10"/>
  <c r="WWB19" i="10"/>
  <c r="WRT19" i="10"/>
  <c r="WNH19" i="10"/>
  <c r="WIZ19" i="10"/>
  <c r="XEQ19" i="10"/>
  <c r="XBO19" i="10"/>
  <c r="WYM19" i="10"/>
  <c r="WVK19" i="10"/>
  <c r="WSI19" i="10"/>
  <c r="WPK19" i="10"/>
  <c r="WMI19" i="10"/>
  <c r="WJG19" i="10"/>
  <c r="WGE19" i="10"/>
  <c r="WDC19" i="10"/>
  <c r="WAE19" i="10"/>
  <c r="VXG19" i="10"/>
  <c r="VUE19" i="10"/>
  <c r="VRG19" i="10"/>
  <c r="VOE19" i="10"/>
  <c r="VLG19" i="10"/>
  <c r="VIE19" i="10"/>
  <c r="VEU19" i="10"/>
  <c r="VDO19" i="10"/>
  <c r="VCI19" i="10"/>
  <c r="VBC19" i="10"/>
  <c r="UZW19" i="10"/>
  <c r="UYQ19" i="10"/>
  <c r="UXK19" i="10"/>
  <c r="UWE19" i="10"/>
  <c r="UUY19" i="10"/>
  <c r="UTS19" i="10"/>
  <c r="USM19" i="10"/>
  <c r="URG19" i="10"/>
  <c r="UQA19" i="10"/>
  <c r="UOU19" i="10"/>
  <c r="UNO19" i="10"/>
  <c r="UMI19" i="10"/>
  <c r="ULC19" i="10"/>
  <c r="UJW19" i="10"/>
  <c r="UIQ19" i="10"/>
  <c r="UHK19" i="10"/>
  <c r="UGE19" i="10"/>
  <c r="UEY19" i="10"/>
  <c r="UDS19" i="10"/>
  <c r="UCM19" i="10"/>
  <c r="UBG19" i="10"/>
  <c r="UAA19" i="10"/>
  <c r="TYU19" i="10"/>
  <c r="TXO19" i="10"/>
  <c r="TWI19" i="10"/>
  <c r="TVC19" i="10"/>
  <c r="TTW19" i="10"/>
  <c r="TSQ19" i="10"/>
  <c r="TRK19" i="10"/>
  <c r="TQE19" i="10"/>
  <c r="TOY19" i="10"/>
  <c r="TNS19" i="10"/>
  <c r="TMM19" i="10"/>
  <c r="TLG19" i="10"/>
  <c r="TKA19" i="10"/>
  <c r="TIU19" i="10"/>
  <c r="THO19" i="10"/>
  <c r="TGI19" i="10"/>
  <c r="TFC19" i="10"/>
  <c r="TDW19" i="10"/>
  <c r="TCQ19" i="10"/>
  <c r="TBC19" i="10"/>
  <c r="SZL19" i="10"/>
  <c r="SXV19" i="10"/>
  <c r="SWE19" i="10"/>
  <c r="SUN19" i="10"/>
  <c r="SSX19" i="10"/>
  <c r="SRG19" i="10"/>
  <c r="SPP19" i="10"/>
  <c r="SNZ19" i="10"/>
  <c r="SMI19" i="10"/>
  <c r="SKR19" i="10"/>
  <c r="SJB19" i="10"/>
  <c r="SHK19" i="10"/>
  <c r="SFT19" i="10"/>
  <c r="SED19" i="10"/>
  <c r="SCM19" i="10"/>
  <c r="SAV19" i="10"/>
  <c r="RZF19" i="10"/>
  <c r="RXO19" i="10"/>
  <c r="RVX19" i="10"/>
  <c r="RUH19" i="10"/>
  <c r="RSQ19" i="10"/>
  <c r="RQZ19" i="10"/>
  <c r="RPJ19" i="10"/>
  <c r="RNS19" i="10"/>
  <c r="RMB19" i="10"/>
  <c r="RKL19" i="10"/>
  <c r="RIU19" i="10"/>
  <c r="RHD19" i="10"/>
  <c r="RFN19" i="10"/>
  <c r="RDW19" i="10"/>
  <c r="RCF19" i="10"/>
  <c r="RAP19" i="10"/>
  <c r="QYY19" i="10"/>
  <c r="QXH19" i="10"/>
  <c r="QVR19" i="10"/>
  <c r="QUA19" i="10"/>
  <c r="QSJ19" i="10"/>
  <c r="QQT19" i="10"/>
  <c r="QPC19" i="10"/>
  <c r="QNL19" i="10"/>
  <c r="QLV19" i="10"/>
  <c r="QKE19" i="10"/>
  <c r="QIN19" i="10"/>
  <c r="QGX19" i="10"/>
  <c r="QFG19" i="10"/>
  <c r="QDP19" i="10"/>
  <c r="QBZ19" i="10"/>
  <c r="QAI19" i="10"/>
  <c r="PYR19" i="10"/>
  <c r="PXB19" i="10"/>
  <c r="PUE19" i="10"/>
  <c r="PPG19" i="10"/>
  <c r="PKI19" i="10"/>
  <c r="PFK19" i="10"/>
  <c r="XCG19" i="10"/>
  <c r="WYK19" i="10"/>
  <c r="WUS19" i="10"/>
  <c r="WQW19" i="10"/>
  <c r="XEB19" i="10"/>
  <c r="XBH19" i="10"/>
  <c r="WYF19" i="10"/>
  <c r="WVL19" i="10"/>
  <c r="WSN19" i="10"/>
  <c r="WPT19" i="10"/>
  <c r="WMV19" i="10"/>
  <c r="WJX19" i="10"/>
  <c r="WHD19" i="10"/>
  <c r="XEM19" i="10"/>
  <c r="XCM19" i="10"/>
  <c r="XAM19" i="10"/>
  <c r="WYI19" i="10"/>
  <c r="WWI19" i="10"/>
  <c r="WUE19" i="10"/>
  <c r="WSE19" i="10"/>
  <c r="WQE19" i="10"/>
  <c r="WOA19" i="10"/>
  <c r="WLW19" i="10"/>
  <c r="WJW19" i="10"/>
  <c r="WHW19" i="10"/>
  <c r="WFS19" i="10"/>
  <c r="WDS19" i="10"/>
  <c r="WBO19" i="10"/>
  <c r="VZO19" i="10"/>
  <c r="VXK19" i="10"/>
  <c r="VVG19" i="10"/>
  <c r="VTG19" i="10"/>
  <c r="VRC19" i="10"/>
  <c r="VPC19" i="10"/>
  <c r="VMY19" i="10"/>
  <c r="VKY19" i="10"/>
  <c r="VIU19" i="10"/>
  <c r="VGM19" i="10"/>
  <c r="XDZ19" i="10"/>
  <c r="XCT19" i="10"/>
  <c r="XBN19" i="10"/>
  <c r="XAH19" i="10"/>
  <c r="WZB19" i="10"/>
  <c r="WXV19" i="10"/>
  <c r="WWP19" i="10"/>
  <c r="WVJ19" i="10"/>
  <c r="WUD19" i="10"/>
  <c r="WSX19" i="10"/>
  <c r="WRR19" i="10"/>
  <c r="WQL19" i="10"/>
  <c r="WPF19" i="10"/>
  <c r="WNZ19" i="10"/>
  <c r="WMT19" i="10"/>
  <c r="WLN19" i="10"/>
  <c r="WKH19" i="10"/>
  <c r="WJB19" i="10"/>
  <c r="WHV19" i="10"/>
  <c r="WGP19" i="10"/>
  <c r="WFJ19" i="10"/>
  <c r="WED19" i="10"/>
  <c r="WCX19" i="10"/>
  <c r="WBR19" i="10"/>
  <c r="WAL19" i="10"/>
  <c r="VZF19" i="10"/>
  <c r="VXZ19" i="10"/>
  <c r="VWT19" i="10"/>
  <c r="VVN19" i="10"/>
  <c r="VUH19" i="10"/>
  <c r="VTB19" i="10"/>
  <c r="VRV19" i="10"/>
  <c r="VQP19" i="10"/>
  <c r="VPJ19" i="10"/>
  <c r="VOD19" i="10"/>
  <c r="VMX19" i="10"/>
  <c r="VLR19" i="10"/>
  <c r="VKL19" i="10"/>
  <c r="VJF19" i="10"/>
  <c r="VHZ19" i="10"/>
  <c r="VGT19" i="10"/>
  <c r="VFN19" i="10"/>
  <c r="VEH19" i="10"/>
  <c r="VDB19" i="10"/>
  <c r="VBV19" i="10"/>
  <c r="VAP19" i="10"/>
  <c r="UZJ19" i="10"/>
  <c r="UYD19" i="10"/>
  <c r="UWX19" i="10"/>
  <c r="UVN19" i="10"/>
  <c r="UTB19" i="10"/>
  <c r="UQP19" i="10"/>
  <c r="TXK19" i="10"/>
  <c r="TWE19" i="10"/>
  <c r="TUY19" i="10"/>
  <c r="TTS19" i="10"/>
  <c r="TSM19" i="10"/>
  <c r="TRG19" i="10"/>
  <c r="TQA19" i="10"/>
  <c r="TOU19" i="10"/>
  <c r="TNO19" i="10"/>
  <c r="TMI19" i="10"/>
  <c r="TLC19" i="10"/>
  <c r="TJW19" i="10"/>
  <c r="TIQ19" i="10"/>
  <c r="THK19" i="10"/>
  <c r="TGE19" i="10"/>
  <c r="TEY19" i="10"/>
  <c r="TDS19" i="10"/>
  <c r="TCM19" i="10"/>
  <c r="TAX19" i="10"/>
  <c r="SZG19" i="10"/>
  <c r="SXP19" i="10"/>
  <c r="SVZ19" i="10"/>
  <c r="SUI19" i="10"/>
  <c r="SSR19" i="10"/>
  <c r="SRB19" i="10"/>
  <c r="SPK19" i="10"/>
  <c r="SNT19" i="10"/>
  <c r="SMD19" i="10"/>
  <c r="SKM19" i="10"/>
  <c r="SIV19" i="10"/>
  <c r="SHF19" i="10"/>
  <c r="SFO19" i="10"/>
  <c r="SDX19" i="10"/>
  <c r="SCH19" i="10"/>
  <c r="SAQ19" i="10"/>
  <c r="RYZ19" i="10"/>
  <c r="RXJ19" i="10"/>
  <c r="RVS19" i="10"/>
  <c r="RUB19" i="10"/>
  <c r="RSL19" i="10"/>
  <c r="RQU19" i="10"/>
  <c r="RPD19" i="10"/>
  <c r="RNN19" i="10"/>
  <c r="RLW19" i="10"/>
  <c r="RKF19" i="10"/>
  <c r="RIP19" i="10"/>
  <c r="RGY19" i="10"/>
  <c r="RFH19" i="10"/>
  <c r="RDR19" i="10"/>
  <c r="RCA19" i="10"/>
  <c r="RAJ19" i="10"/>
  <c r="QYT19" i="10"/>
  <c r="QXC19" i="10"/>
  <c r="QVL19" i="10"/>
  <c r="QTV19" i="10"/>
  <c r="QSE19" i="10"/>
  <c r="QQN19" i="10"/>
  <c r="QOX19" i="10"/>
  <c r="QNG19" i="10"/>
  <c r="QLP19" i="10"/>
  <c r="QJZ19" i="10"/>
  <c r="QII19" i="10"/>
  <c r="QGR19" i="10"/>
  <c r="QFB19" i="10"/>
  <c r="QDK19" i="10"/>
  <c r="QBT19" i="10"/>
  <c r="QAD19" i="10"/>
  <c r="PYM19" i="10"/>
  <c r="PWV19" i="10"/>
  <c r="PTO19" i="10"/>
  <c r="POQ19" i="10"/>
  <c r="PJS19" i="10"/>
  <c r="PEU19" i="10"/>
  <c r="XBU19" i="10"/>
  <c r="WXY19" i="10"/>
  <c r="WUC19" i="10"/>
  <c r="WQK19" i="10"/>
  <c r="XDT19" i="10"/>
  <c r="XAV19" i="10"/>
  <c r="WYB19" i="10"/>
  <c r="WVD19" i="10"/>
  <c r="WSF19" i="10"/>
  <c r="WPH19" i="10"/>
  <c r="WMN19" i="10"/>
  <c r="WJL19" i="10"/>
  <c r="WGR19" i="10"/>
  <c r="XEI19" i="10"/>
  <c r="XCE19" i="10"/>
  <c r="XAE19" i="10"/>
  <c r="WYE19" i="10"/>
  <c r="WWA19" i="10"/>
  <c r="WUA19" i="10"/>
  <c r="WRW19" i="10"/>
  <c r="WPW19" i="10"/>
  <c r="WNS19" i="10"/>
  <c r="WLS19" i="10"/>
  <c r="WJO19" i="10"/>
  <c r="WHO19" i="10"/>
  <c r="WFO19" i="10"/>
  <c r="WDK19" i="10"/>
  <c r="WBK19" i="10"/>
  <c r="VZG19" i="10"/>
  <c r="VXC19" i="10"/>
  <c r="VVC19" i="10"/>
  <c r="VSY19" i="10"/>
  <c r="VQY19" i="10"/>
  <c r="VOU19" i="10"/>
  <c r="VMU19" i="10"/>
  <c r="VKQ19" i="10"/>
  <c r="VIM19" i="10"/>
  <c r="XFB19" i="10"/>
  <c r="XDV19" i="10"/>
  <c r="XCP19" i="10"/>
  <c r="XBJ19" i="10"/>
  <c r="XAD19" i="10"/>
  <c r="WYX19" i="10"/>
  <c r="WXR19" i="10"/>
  <c r="WWL19" i="10"/>
  <c r="WVF19" i="10"/>
  <c r="WTZ19" i="10"/>
  <c r="WST19" i="10"/>
  <c r="WRN19" i="10"/>
  <c r="WQH19" i="10"/>
  <c r="WPB19" i="10"/>
  <c r="WNV19" i="10"/>
  <c r="WMP19" i="10"/>
  <c r="WLJ19" i="10"/>
  <c r="WKD19" i="10"/>
  <c r="WIX19" i="10"/>
  <c r="WHR19" i="10"/>
  <c r="WGL19" i="10"/>
  <c r="WFF19" i="10"/>
  <c r="WDZ19" i="10"/>
  <c r="WCT19" i="10"/>
  <c r="WBN19" i="10"/>
  <c r="WAH19" i="10"/>
  <c r="VZB19" i="10"/>
  <c r="VXV19" i="10"/>
  <c r="VWP19" i="10"/>
  <c r="VVJ19" i="10"/>
  <c r="VUD19" i="10"/>
  <c r="VSX19" i="10"/>
  <c r="VRR19" i="10"/>
  <c r="VQL19" i="10"/>
  <c r="VPF19" i="10"/>
  <c r="VNZ19" i="10"/>
  <c r="VMT19" i="10"/>
  <c r="VLN19" i="10"/>
  <c r="VKH19" i="10"/>
  <c r="VJB19" i="10"/>
  <c r="VHV19" i="10"/>
  <c r="VGP19" i="10"/>
  <c r="VFJ19" i="10"/>
  <c r="VED19" i="10"/>
  <c r="VCX19" i="10"/>
  <c r="VBR19" i="10"/>
  <c r="VAL19" i="10"/>
  <c r="UZF19" i="10"/>
  <c r="UXZ19" i="10"/>
  <c r="UWT19" i="10"/>
  <c r="UUX19" i="10"/>
  <c r="USL19" i="10"/>
  <c r="UPZ19" i="10"/>
  <c r="O15" i="10"/>
  <c r="F16" i="10"/>
  <c r="K10" i="10"/>
  <c r="N15" i="10"/>
  <c r="H16" i="10"/>
  <c r="E10" i="10"/>
  <c r="X15" i="10"/>
  <c r="I16" i="10"/>
  <c r="N10" i="10"/>
  <c r="R12" i="10"/>
  <c r="M15" i="10"/>
  <c r="W16" i="10"/>
  <c r="W10" i="10"/>
  <c r="F12" i="10"/>
  <c r="P15" i="10"/>
  <c r="AD15" i="10"/>
  <c r="Y16" i="10"/>
  <c r="X16" i="10"/>
  <c r="X10" i="10"/>
  <c r="U10" i="10"/>
  <c r="AA9" i="10"/>
  <c r="N9" i="10"/>
  <c r="Z9" i="10"/>
  <c r="AB9" i="10"/>
  <c r="O7" i="10"/>
  <c r="P7" i="10"/>
  <c r="F7" i="10"/>
  <c r="AB7" i="10"/>
  <c r="Y7" i="10"/>
  <c r="D7" i="10"/>
  <c r="O9" i="10"/>
  <c r="AE9" i="10"/>
  <c r="T9" i="10"/>
  <c r="J9" i="10"/>
  <c r="AF9" i="10"/>
  <c r="R9" i="10"/>
  <c r="M9" i="10"/>
  <c r="C7" i="10"/>
  <c r="S7" i="10"/>
  <c r="B7" i="10"/>
  <c r="U7" i="10"/>
  <c r="L7" i="10"/>
  <c r="M7" i="10"/>
  <c r="H7" i="10"/>
  <c r="T7" i="10"/>
  <c r="K9" i="10"/>
  <c r="E9" i="10"/>
  <c r="B9" i="10"/>
  <c r="X9" i="10"/>
  <c r="AE7" i="10"/>
  <c r="G9" i="10"/>
  <c r="V7" i="10"/>
  <c r="K7" i="10"/>
  <c r="U9" i="10"/>
  <c r="R7" i="10"/>
  <c r="E7" i="10"/>
  <c r="F9" i="10"/>
  <c r="D9" i="10"/>
  <c r="J13" i="10"/>
  <c r="Z13" i="10"/>
  <c r="K13" i="10"/>
  <c r="AA13" i="10"/>
  <c r="X13" i="10"/>
  <c r="Q13" i="10"/>
  <c r="M13" i="10"/>
  <c r="E13" i="10"/>
  <c r="L14" i="10"/>
  <c r="AB14" i="10"/>
  <c r="E14" i="10"/>
  <c r="U14" i="10"/>
  <c r="C14" i="10"/>
  <c r="B14" i="10"/>
  <c r="G14" i="10"/>
  <c r="AE14" i="10"/>
  <c r="Q8" i="10"/>
  <c r="G8" i="10"/>
  <c r="AB8" i="10"/>
  <c r="S8" i="10"/>
  <c r="D8" i="10"/>
  <c r="F8" i="10"/>
  <c r="Z8" i="10"/>
  <c r="D12" i="10"/>
  <c r="T12" i="10"/>
  <c r="E12" i="10"/>
  <c r="U12" i="10"/>
  <c r="N12" i="10"/>
  <c r="O12" i="10"/>
  <c r="Z12" i="10"/>
  <c r="AA12" i="10"/>
  <c r="I10" i="10"/>
  <c r="Y10" i="10"/>
  <c r="P10" i="10"/>
  <c r="G10" i="10"/>
  <c r="AB10" i="10"/>
  <c r="D10" i="10"/>
  <c r="AD10" i="10"/>
  <c r="O10" i="10"/>
  <c r="L16" i="10"/>
  <c r="AB16" i="10"/>
  <c r="K16" i="10"/>
  <c r="G16" i="10"/>
  <c r="AC16" i="10"/>
  <c r="E16" i="10"/>
  <c r="S16" i="10"/>
  <c r="U16" i="10"/>
  <c r="R15" i="10"/>
  <c r="C15" i="10"/>
  <c r="S15" i="10"/>
  <c r="Y15" i="10"/>
  <c r="U15" i="10"/>
  <c r="W15" i="10"/>
  <c r="H15" i="10"/>
  <c r="AA7" i="10"/>
  <c r="Z7" i="10"/>
  <c r="F13" i="10"/>
  <c r="W13" i="10"/>
  <c r="T13" i="10"/>
  <c r="X14" i="10"/>
  <c r="Z14" i="10"/>
  <c r="O14" i="10"/>
  <c r="W8" i="10"/>
  <c r="AE8" i="10"/>
  <c r="P12" i="10"/>
  <c r="AD7" i="10"/>
  <c r="AF7" i="10"/>
  <c r="H9" i="10"/>
  <c r="AD9" i="10"/>
  <c r="X7" i="10"/>
  <c r="W7" i="10"/>
  <c r="L9" i="10"/>
  <c r="S9" i="10"/>
  <c r="N13" i="10"/>
  <c r="AD13" i="10"/>
  <c r="O13" i="10"/>
  <c r="AE13" i="10"/>
  <c r="AF13" i="10"/>
  <c r="Y13" i="10"/>
  <c r="AC13" i="10"/>
  <c r="U13" i="10"/>
  <c r="P14" i="10"/>
  <c r="AF14" i="10"/>
  <c r="I14" i="10"/>
  <c r="J14" i="10"/>
  <c r="K14" i="10"/>
  <c r="F14" i="10"/>
  <c r="W14" i="10"/>
  <c r="E8" i="10"/>
  <c r="U8" i="10"/>
  <c r="L8" i="10"/>
  <c r="C8" i="10"/>
  <c r="X8" i="10"/>
  <c r="O8" i="10"/>
  <c r="V8" i="10"/>
  <c r="K8" i="10"/>
  <c r="H12" i="10"/>
  <c r="X12" i="10"/>
  <c r="I12" i="10"/>
  <c r="Y12" i="10"/>
  <c r="V12" i="10"/>
  <c r="W12" i="10"/>
  <c r="C12" i="10"/>
  <c r="B12" i="10"/>
  <c r="M10" i="10"/>
  <c r="AC10" i="10"/>
  <c r="V10" i="10"/>
  <c r="L10" i="10"/>
  <c r="C10" i="10"/>
  <c r="J10" i="10"/>
  <c r="T10" i="10"/>
  <c r="AE10" i="10"/>
  <c r="P16" i="10"/>
  <c r="AF16" i="10"/>
  <c r="Q16" i="10"/>
  <c r="M16" i="10"/>
  <c r="C16" i="10"/>
  <c r="O16" i="10"/>
  <c r="AD16" i="10"/>
  <c r="F15" i="10"/>
  <c r="V15" i="10"/>
  <c r="G15" i="10"/>
  <c r="D15" i="10"/>
  <c r="AE15" i="10"/>
  <c r="AA15" i="10"/>
  <c r="B15" i="10"/>
  <c r="AB15" i="10"/>
  <c r="I7" i="10"/>
  <c r="V9" i="10"/>
  <c r="W9" i="10"/>
  <c r="N7" i="10"/>
  <c r="Y9" i="10"/>
  <c r="G13" i="10"/>
  <c r="I13" i="10"/>
  <c r="H14" i="10"/>
  <c r="Q14" i="10"/>
  <c r="AD14" i="10"/>
  <c r="AC8" i="10"/>
  <c r="B8" i="10"/>
  <c r="P8" i="10"/>
  <c r="AC7" i="10"/>
  <c r="J7" i="10"/>
  <c r="Q9" i="10"/>
  <c r="I9" i="10"/>
  <c r="Q7" i="10"/>
  <c r="G7" i="10"/>
  <c r="P9" i="10"/>
  <c r="C9" i="10"/>
  <c r="R13" i="10"/>
  <c r="C13" i="10"/>
  <c r="S13" i="10"/>
  <c r="H13" i="10"/>
  <c r="B13" i="10"/>
  <c r="D13" i="10"/>
  <c r="L13" i="10"/>
  <c r="D14" i="10"/>
  <c r="T14" i="10"/>
  <c r="Y14" i="10"/>
  <c r="M14" i="10"/>
  <c r="R14" i="10"/>
  <c r="S14" i="10"/>
  <c r="N14" i="10"/>
  <c r="V14" i="10"/>
  <c r="I8" i="10"/>
  <c r="Y8" i="10"/>
  <c r="R8" i="10"/>
  <c r="H8" i="10"/>
  <c r="AD8" i="10"/>
  <c r="T8" i="10"/>
  <c r="AF8" i="10"/>
  <c r="AA8" i="10"/>
  <c r="L12" i="10"/>
  <c r="AB12" i="10"/>
  <c r="M12" i="10"/>
  <c r="AC12" i="10"/>
  <c r="AD12" i="10"/>
  <c r="AE12" i="10"/>
  <c r="K12" i="10"/>
  <c r="J12" i="10"/>
  <c r="Q10" i="10"/>
  <c r="F10" i="10"/>
  <c r="AA10" i="10"/>
  <c r="R10" i="10"/>
  <c r="H10" i="10"/>
  <c r="Z10" i="10"/>
  <c r="B10" i="10"/>
  <c r="D16" i="10"/>
  <c r="T16" i="10"/>
  <c r="B16" i="10"/>
  <c r="V16" i="10"/>
  <c r="R16" i="10"/>
  <c r="N16" i="10"/>
  <c r="Z16" i="10"/>
  <c r="J16" i="10"/>
  <c r="J15" i="10"/>
  <c r="Z15" i="10"/>
  <c r="K15" i="10"/>
  <c r="L15" i="10"/>
  <c r="E15" i="10"/>
  <c r="AF15" i="10"/>
  <c r="I15" i="10"/>
  <c r="Q15" i="10"/>
  <c r="AC9" i="10"/>
  <c r="V13" i="10"/>
  <c r="P13" i="10"/>
  <c r="AB13" i="10"/>
  <c r="AC14" i="10"/>
  <c r="AA14" i="10"/>
  <c r="M8" i="10"/>
  <c r="N8" i="10"/>
  <c r="J8" i="10"/>
  <c r="AF12" i="10"/>
  <c r="AC15" i="10"/>
  <c r="T15" i="10"/>
  <c r="AE16" i="10"/>
  <c r="AA16" i="10"/>
  <c r="S10" i="10"/>
  <c r="AF10" i="10"/>
  <c r="S12" i="10"/>
  <c r="Q12" i="10"/>
  <c r="E6" i="10"/>
  <c r="I6" i="10"/>
  <c r="M6" i="10"/>
  <c r="Q6" i="10"/>
  <c r="U6" i="10"/>
  <c r="Y6" i="10"/>
  <c r="AC6" i="10"/>
  <c r="B6" i="10"/>
  <c r="C6" i="10"/>
  <c r="H6" i="10"/>
  <c r="N6" i="10"/>
  <c r="S6" i="10"/>
  <c r="X6" i="10"/>
  <c r="AD6" i="10"/>
  <c r="D6" i="10"/>
  <c r="J6" i="10"/>
  <c r="O6" i="10"/>
  <c r="T6" i="10"/>
  <c r="Z6" i="10"/>
  <c r="AE6" i="10"/>
  <c r="F6" i="10"/>
  <c r="P6" i="10"/>
  <c r="AA6" i="10"/>
  <c r="AF6" i="10"/>
  <c r="L6" i="10"/>
  <c r="AB6" i="10"/>
  <c r="K6" i="10"/>
  <c r="V6" i="10"/>
  <c r="G6" i="10"/>
  <c r="R6" i="10"/>
  <c r="W6" i="10"/>
  <c r="AG6" i="10"/>
  <c r="AK6" i="10"/>
  <c r="AO6" i="10"/>
  <c r="AS6" i="10"/>
  <c r="AW6" i="10"/>
  <c r="BA6" i="10"/>
  <c r="BE6" i="10"/>
  <c r="BI6" i="10"/>
  <c r="BM6" i="10"/>
  <c r="BQ6" i="10"/>
  <c r="BU6" i="10"/>
  <c r="BY6" i="10"/>
  <c r="CC6" i="10"/>
  <c r="CG6" i="10"/>
  <c r="CK6" i="10"/>
  <c r="CO6" i="10"/>
  <c r="AL6" i="10"/>
  <c r="AQ6" i="10"/>
  <c r="AV6" i="10"/>
  <c r="BB6" i="10"/>
  <c r="BG6" i="10"/>
  <c r="BL6" i="10"/>
  <c r="BR6" i="10"/>
  <c r="BW6" i="10"/>
  <c r="CB6" i="10"/>
  <c r="CH6" i="10"/>
  <c r="CM6" i="10"/>
  <c r="CR6" i="10"/>
  <c r="CV6" i="10"/>
  <c r="CZ6" i="10"/>
  <c r="DD6" i="10"/>
  <c r="DH6" i="10"/>
  <c r="DL6" i="10"/>
  <c r="DP6" i="10"/>
  <c r="DT6" i="10"/>
  <c r="DX6" i="10"/>
  <c r="EB6" i="10"/>
  <c r="EF6" i="10"/>
  <c r="EJ6" i="10"/>
  <c r="EN6" i="10"/>
  <c r="ER6" i="10"/>
  <c r="EV6" i="10"/>
  <c r="EZ6" i="10"/>
  <c r="FD6" i="10"/>
  <c r="FH6" i="10"/>
  <c r="FL6" i="10"/>
  <c r="FP6" i="10"/>
  <c r="FT6" i="10"/>
  <c r="FX6" i="10"/>
  <c r="GB6" i="10"/>
  <c r="GF6" i="10"/>
  <c r="GJ6" i="10"/>
  <c r="AH6" i="10"/>
  <c r="AM6" i="10"/>
  <c r="AR6" i="10"/>
  <c r="AX6" i="10"/>
  <c r="BC6" i="10"/>
  <c r="BH6" i="10"/>
  <c r="BN6" i="10"/>
  <c r="BS6" i="10"/>
  <c r="BX6" i="10"/>
  <c r="CD6" i="10"/>
  <c r="CI6" i="10"/>
  <c r="CN6" i="10"/>
  <c r="CS6" i="10"/>
  <c r="CW6" i="10"/>
  <c r="DA6" i="10"/>
  <c r="DE6" i="10"/>
  <c r="DI6" i="10"/>
  <c r="DM6" i="10"/>
  <c r="DQ6" i="10"/>
  <c r="DU6" i="10"/>
  <c r="DY6" i="10"/>
  <c r="EC6" i="10"/>
  <c r="EG6" i="10"/>
  <c r="EK6" i="10"/>
  <c r="EO6" i="10"/>
  <c r="ES6" i="10"/>
  <c r="EW6" i="10"/>
  <c r="FA6" i="10"/>
  <c r="FE6" i="10"/>
  <c r="FI6" i="10"/>
  <c r="FM6" i="10"/>
  <c r="FQ6" i="10"/>
  <c r="FU6" i="10"/>
  <c r="FY6" i="10"/>
  <c r="GC6" i="10"/>
  <c r="GG6" i="10"/>
  <c r="GK6" i="10"/>
  <c r="AI6" i="10"/>
  <c r="AT6" i="10"/>
  <c r="BD6" i="10"/>
  <c r="BO6" i="10"/>
  <c r="BZ6" i="10"/>
  <c r="CJ6" i="10"/>
  <c r="CT6" i="10"/>
  <c r="DB6" i="10"/>
  <c r="DJ6" i="10"/>
  <c r="DR6" i="10"/>
  <c r="DZ6" i="10"/>
  <c r="EH6" i="10"/>
  <c r="EP6" i="10"/>
  <c r="EX6" i="10"/>
  <c r="FF6" i="10"/>
  <c r="FN6" i="10"/>
  <c r="FV6" i="10"/>
  <c r="GD6" i="10"/>
  <c r="GL6" i="10"/>
  <c r="GP6" i="10"/>
  <c r="GT6" i="10"/>
  <c r="GX6" i="10"/>
  <c r="HB6" i="10"/>
  <c r="HF6" i="10"/>
  <c r="HJ6" i="10"/>
  <c r="HN6" i="10"/>
  <c r="HR6" i="10"/>
  <c r="HV6" i="10"/>
  <c r="HZ6" i="10"/>
  <c r="ID6" i="10"/>
  <c r="IH6" i="10"/>
  <c r="IL6" i="10"/>
  <c r="IP6" i="10"/>
  <c r="IT6" i="10"/>
  <c r="IX6" i="10"/>
  <c r="JB6" i="10"/>
  <c r="JF6" i="10"/>
  <c r="JJ6" i="10"/>
  <c r="JN6" i="10"/>
  <c r="JR6" i="10"/>
  <c r="JV6" i="10"/>
  <c r="JZ6" i="10"/>
  <c r="KD6" i="10"/>
  <c r="KH6" i="10"/>
  <c r="KL6" i="10"/>
  <c r="KP6" i="10"/>
  <c r="KT6" i="10"/>
  <c r="KX6" i="10"/>
  <c r="LB6" i="10"/>
  <c r="LF6" i="10"/>
  <c r="LJ6" i="10"/>
  <c r="LN6" i="10"/>
  <c r="LR6" i="10"/>
  <c r="LV6" i="10"/>
  <c r="LZ6" i="10"/>
  <c r="MD6" i="10"/>
  <c r="MH6" i="10"/>
  <c r="ML6" i="10"/>
  <c r="MP6" i="10"/>
  <c r="MT6" i="10"/>
  <c r="MX6" i="10"/>
  <c r="NB6" i="10"/>
  <c r="NF6" i="10"/>
  <c r="AJ6" i="10"/>
  <c r="AU6" i="10"/>
  <c r="BF6" i="10"/>
  <c r="BP6" i="10"/>
  <c r="CA6" i="10"/>
  <c r="CL6" i="10"/>
  <c r="CU6" i="10"/>
  <c r="DC6" i="10"/>
  <c r="DK6" i="10"/>
  <c r="DS6" i="10"/>
  <c r="EA6" i="10"/>
  <c r="EI6" i="10"/>
  <c r="EQ6" i="10"/>
  <c r="EY6" i="10"/>
  <c r="FG6" i="10"/>
  <c r="FO6" i="10"/>
  <c r="FW6" i="10"/>
  <c r="GE6" i="10"/>
  <c r="GM6" i="10"/>
  <c r="GQ6" i="10"/>
  <c r="GU6" i="10"/>
  <c r="GY6" i="10"/>
  <c r="HC6" i="10"/>
  <c r="HG6" i="10"/>
  <c r="HK6" i="10"/>
  <c r="HO6" i="10"/>
  <c r="HS6" i="10"/>
  <c r="HW6" i="10"/>
  <c r="IA6" i="10"/>
  <c r="IE6" i="10"/>
  <c r="II6" i="10"/>
  <c r="IM6" i="10"/>
  <c r="IQ6" i="10"/>
  <c r="IU6" i="10"/>
  <c r="IY6" i="10"/>
  <c r="JC6" i="10"/>
  <c r="JG6" i="10"/>
  <c r="JK6" i="10"/>
  <c r="JO6" i="10"/>
  <c r="JS6" i="10"/>
  <c r="JW6" i="10"/>
  <c r="KA6" i="10"/>
  <c r="KE6" i="10"/>
  <c r="KI6" i="10"/>
  <c r="KM6" i="10"/>
  <c r="KQ6" i="10"/>
  <c r="KU6" i="10"/>
  <c r="KY6" i="10"/>
  <c r="LC6" i="10"/>
  <c r="LG6" i="10"/>
  <c r="LK6" i="10"/>
  <c r="LO6" i="10"/>
  <c r="LS6" i="10"/>
  <c r="LW6" i="10"/>
  <c r="MA6" i="10"/>
  <c r="ME6" i="10"/>
  <c r="MI6" i="10"/>
  <c r="MM6" i="10"/>
  <c r="MQ6" i="10"/>
  <c r="MU6" i="10"/>
  <c r="MY6" i="10"/>
  <c r="NC6" i="10"/>
  <c r="NG6" i="10"/>
  <c r="NK6" i="10"/>
  <c r="NO6" i="10"/>
  <c r="NS6" i="10"/>
  <c r="NW6" i="10"/>
  <c r="OA6" i="10"/>
  <c r="OE6" i="10"/>
  <c r="OI6" i="10"/>
  <c r="OM6" i="10"/>
  <c r="OQ6" i="10"/>
  <c r="OU6" i="10"/>
  <c r="OY6" i="10"/>
  <c r="PC6" i="10"/>
  <c r="PG6" i="10"/>
  <c r="PK6" i="10"/>
  <c r="PO6" i="10"/>
  <c r="PS6" i="10"/>
  <c r="PW6" i="10"/>
  <c r="QA6" i="10"/>
  <c r="QE6" i="10"/>
  <c r="QI6" i="10"/>
  <c r="QM6" i="10"/>
  <c r="QQ6" i="10"/>
  <c r="QU6" i="10"/>
  <c r="QY6" i="10"/>
  <c r="RC6" i="10"/>
  <c r="RG6" i="10"/>
  <c r="RK6" i="10"/>
  <c r="RO6" i="10"/>
  <c r="RS6" i="10"/>
  <c r="RW6" i="10"/>
  <c r="SA6" i="10"/>
  <c r="SE6" i="10"/>
  <c r="SI6" i="10"/>
  <c r="SM6" i="10"/>
  <c r="SQ6" i="10"/>
  <c r="SU6" i="10"/>
  <c r="SY6" i="10"/>
  <c r="TC6" i="10"/>
  <c r="TG6" i="10"/>
  <c r="TK6" i="10"/>
  <c r="TO6" i="10"/>
  <c r="TS6" i="10"/>
  <c r="TW6" i="10"/>
  <c r="UA6" i="10"/>
  <c r="UE6" i="10"/>
  <c r="UI6" i="10"/>
  <c r="UM6" i="10"/>
  <c r="UQ6" i="10"/>
  <c r="AN6" i="10"/>
  <c r="BJ6" i="10"/>
  <c r="CE6" i="10"/>
  <c r="CX6" i="10"/>
  <c r="DN6" i="10"/>
  <c r="ED6" i="10"/>
  <c r="ET6" i="10"/>
  <c r="FJ6" i="10"/>
  <c r="FZ6" i="10"/>
  <c r="GN6" i="10"/>
  <c r="GV6" i="10"/>
  <c r="HD6" i="10"/>
  <c r="HL6" i="10"/>
  <c r="HT6" i="10"/>
  <c r="IB6" i="10"/>
  <c r="IJ6" i="10"/>
  <c r="IR6" i="10"/>
  <c r="IZ6" i="10"/>
  <c r="JH6" i="10"/>
  <c r="JP6" i="10"/>
  <c r="JX6" i="10"/>
  <c r="KF6" i="10"/>
  <c r="KN6" i="10"/>
  <c r="KV6" i="10"/>
  <c r="LD6" i="10"/>
  <c r="LL6" i="10"/>
  <c r="LT6" i="10"/>
  <c r="MB6" i="10"/>
  <c r="MJ6" i="10"/>
  <c r="MR6" i="10"/>
  <c r="MZ6" i="10"/>
  <c r="NH6" i="10"/>
  <c r="NM6" i="10"/>
  <c r="NR6" i="10"/>
  <c r="NX6" i="10"/>
  <c r="OC6" i="10"/>
  <c r="OH6" i="10"/>
  <c r="ON6" i="10"/>
  <c r="OS6" i="10"/>
  <c r="OX6" i="10"/>
  <c r="PD6" i="10"/>
  <c r="PI6" i="10"/>
  <c r="PN6" i="10"/>
  <c r="PT6" i="10"/>
  <c r="PY6" i="10"/>
  <c r="QD6" i="10"/>
  <c r="QJ6" i="10"/>
  <c r="QO6" i="10"/>
  <c r="QT6" i="10"/>
  <c r="QZ6" i="10"/>
  <c r="RE6" i="10"/>
  <c r="RJ6" i="10"/>
  <c r="RP6" i="10"/>
  <c r="RU6" i="10"/>
  <c r="RZ6" i="10"/>
  <c r="SF6" i="10"/>
  <c r="SK6" i="10"/>
  <c r="SP6" i="10"/>
  <c r="SV6" i="10"/>
  <c r="TA6" i="10"/>
  <c r="TF6" i="10"/>
  <c r="TL6" i="10"/>
  <c r="TQ6" i="10"/>
  <c r="TV6" i="10"/>
  <c r="UB6" i="10"/>
  <c r="UG6" i="10"/>
  <c r="UL6" i="10"/>
  <c r="UR6" i="10"/>
  <c r="UV6" i="10"/>
  <c r="UZ6" i="10"/>
  <c r="VD6" i="10"/>
  <c r="VH6" i="10"/>
  <c r="VL6" i="10"/>
  <c r="VP6" i="10"/>
  <c r="VT6" i="10"/>
  <c r="VX6" i="10"/>
  <c r="WB6" i="10"/>
  <c r="WF6" i="10"/>
  <c r="WJ6" i="10"/>
  <c r="WN6" i="10"/>
  <c r="WR6" i="10"/>
  <c r="WV6" i="10"/>
  <c r="WZ6" i="10"/>
  <c r="XD6" i="10"/>
  <c r="XH6" i="10"/>
  <c r="XL6" i="10"/>
  <c r="XP6" i="10"/>
  <c r="XT6" i="10"/>
  <c r="XX6" i="10"/>
  <c r="YB6" i="10"/>
  <c r="YF6" i="10"/>
  <c r="YJ6" i="10"/>
  <c r="YN6" i="10"/>
  <c r="YR6" i="10"/>
  <c r="YV6" i="10"/>
  <c r="YZ6" i="10"/>
  <c r="ZD6" i="10"/>
  <c r="ZH6" i="10"/>
  <c r="ZL6" i="10"/>
  <c r="ZP6" i="10"/>
  <c r="ZT6" i="10"/>
  <c r="ZX6" i="10"/>
  <c r="AAB6" i="10"/>
  <c r="AAF6" i="10"/>
  <c r="AAJ6" i="10"/>
  <c r="AAN6" i="10"/>
  <c r="AAR6" i="10"/>
  <c r="AAV6" i="10"/>
  <c r="AAZ6" i="10"/>
  <c r="ABD6" i="10"/>
  <c r="ABH6" i="10"/>
  <c r="ABL6" i="10"/>
  <c r="ABP6" i="10"/>
  <c r="ABT6" i="10"/>
  <c r="ABX6" i="10"/>
  <c r="ACB6" i="10"/>
  <c r="ACF6" i="10"/>
  <c r="ACJ6" i="10"/>
  <c r="ACN6" i="10"/>
  <c r="ACR6" i="10"/>
  <c r="ACV6" i="10"/>
  <c r="ACZ6" i="10"/>
  <c r="ADD6" i="10"/>
  <c r="ADH6" i="10"/>
  <c r="ADL6" i="10"/>
  <c r="ADP6" i="10"/>
  <c r="ADT6" i="10"/>
  <c r="ADX6" i="10"/>
  <c r="AEB6" i="10"/>
  <c r="AEF6" i="10"/>
  <c r="AEJ6" i="10"/>
  <c r="AEN6" i="10"/>
  <c r="AER6" i="10"/>
  <c r="AEV6" i="10"/>
  <c r="AEZ6" i="10"/>
  <c r="AFD6" i="10"/>
  <c r="AFH6" i="10"/>
  <c r="AFL6" i="10"/>
  <c r="AFP6" i="10"/>
  <c r="AFT6" i="10"/>
  <c r="AFX6" i="10"/>
  <c r="AGB6" i="10"/>
  <c r="AGF6" i="10"/>
  <c r="AGJ6" i="10"/>
  <c r="AGN6" i="10"/>
  <c r="AGR6" i="10"/>
  <c r="AGV6" i="10"/>
  <c r="AGZ6" i="10"/>
  <c r="AHD6" i="10"/>
  <c r="AHH6" i="10"/>
  <c r="AHL6" i="10"/>
  <c r="AHP6" i="10"/>
  <c r="AHT6" i="10"/>
  <c r="AHX6" i="10"/>
  <c r="AIB6" i="10"/>
  <c r="AIF6" i="10"/>
  <c r="AIJ6" i="10"/>
  <c r="AIN6" i="10"/>
  <c r="AIR6" i="10"/>
  <c r="AP6" i="10"/>
  <c r="BT6" i="10"/>
  <c r="CQ6" i="10"/>
  <c r="DO6" i="10"/>
  <c r="EL6" i="10"/>
  <c r="FC6" i="10"/>
  <c r="GA6" i="10"/>
  <c r="GR6" i="10"/>
  <c r="HA6" i="10"/>
  <c r="HM6" i="10"/>
  <c r="HX6" i="10"/>
  <c r="IG6" i="10"/>
  <c r="IS6" i="10"/>
  <c r="JD6" i="10"/>
  <c r="JM6" i="10"/>
  <c r="JY6" i="10"/>
  <c r="KJ6" i="10"/>
  <c r="KS6" i="10"/>
  <c r="LE6" i="10"/>
  <c r="LP6" i="10"/>
  <c r="LY6" i="10"/>
  <c r="MK6" i="10"/>
  <c r="MV6" i="10"/>
  <c r="NE6" i="10"/>
  <c r="NN6" i="10"/>
  <c r="NU6" i="10"/>
  <c r="OB6" i="10"/>
  <c r="OJ6" i="10"/>
  <c r="OP6" i="10"/>
  <c r="OW6" i="10"/>
  <c r="PE6" i="10"/>
  <c r="PL6" i="10"/>
  <c r="PR6" i="10"/>
  <c r="PZ6" i="10"/>
  <c r="QG6" i="10"/>
  <c r="QN6" i="10"/>
  <c r="QV6" i="10"/>
  <c r="RB6" i="10"/>
  <c r="RI6" i="10"/>
  <c r="RQ6" i="10"/>
  <c r="RX6" i="10"/>
  <c r="SD6" i="10"/>
  <c r="SL6" i="10"/>
  <c r="SS6" i="10"/>
  <c r="SZ6" i="10"/>
  <c r="TH6" i="10"/>
  <c r="TN6" i="10"/>
  <c r="TU6" i="10"/>
  <c r="UC6" i="10"/>
  <c r="UJ6" i="10"/>
  <c r="UP6" i="10"/>
  <c r="UW6" i="10"/>
  <c r="VB6" i="10"/>
  <c r="VG6" i="10"/>
  <c r="VM6" i="10"/>
  <c r="VR6" i="10"/>
  <c r="VW6" i="10"/>
  <c r="WC6" i="10"/>
  <c r="WH6" i="10"/>
  <c r="WM6" i="10"/>
  <c r="WS6" i="10"/>
  <c r="WX6" i="10"/>
  <c r="XC6" i="10"/>
  <c r="XI6" i="10"/>
  <c r="XN6" i="10"/>
  <c r="XS6" i="10"/>
  <c r="XY6" i="10"/>
  <c r="YD6" i="10"/>
  <c r="YI6" i="10"/>
  <c r="YO6" i="10"/>
  <c r="YT6" i="10"/>
  <c r="YY6" i="10"/>
  <c r="ZE6" i="10"/>
  <c r="ZJ6" i="10"/>
  <c r="ZO6" i="10"/>
  <c r="ZU6" i="10"/>
  <c r="ZZ6" i="10"/>
  <c r="AAE6" i="10"/>
  <c r="AAK6" i="10"/>
  <c r="AAP6" i="10"/>
  <c r="AAU6" i="10"/>
  <c r="ABA6" i="10"/>
  <c r="ABF6" i="10"/>
  <c r="ABK6" i="10"/>
  <c r="ABQ6" i="10"/>
  <c r="ABV6" i="10"/>
  <c r="ACA6" i="10"/>
  <c r="ACG6" i="10"/>
  <c r="ACL6" i="10"/>
  <c r="ACQ6" i="10"/>
  <c r="ACW6" i="10"/>
  <c r="ADB6" i="10"/>
  <c r="ADG6" i="10"/>
  <c r="ADM6" i="10"/>
  <c r="ADR6" i="10"/>
  <c r="ADW6" i="10"/>
  <c r="AEC6" i="10"/>
  <c r="AEH6" i="10"/>
  <c r="AEM6" i="10"/>
  <c r="AES6" i="10"/>
  <c r="AEX6" i="10"/>
  <c r="AFC6" i="10"/>
  <c r="AFI6" i="10"/>
  <c r="AFN6" i="10"/>
  <c r="AFS6" i="10"/>
  <c r="AFY6" i="10"/>
  <c r="AGD6" i="10"/>
  <c r="AGI6" i="10"/>
  <c r="AGO6" i="10"/>
  <c r="AGT6" i="10"/>
  <c r="AGY6" i="10"/>
  <c r="AHE6" i="10"/>
  <c r="AHJ6" i="10"/>
  <c r="AHO6" i="10"/>
  <c r="AHU6" i="10"/>
  <c r="AHZ6" i="10"/>
  <c r="AIE6" i="10"/>
  <c r="AIK6" i="10"/>
  <c r="AIP6" i="10"/>
  <c r="AIU6" i="10"/>
  <c r="AIY6" i="10"/>
  <c r="AJC6" i="10"/>
  <c r="AJG6" i="10"/>
  <c r="AJK6" i="10"/>
  <c r="AJO6" i="10"/>
  <c r="AJS6" i="10"/>
  <c r="AJW6" i="10"/>
  <c r="AKA6" i="10"/>
  <c r="AKE6" i="10"/>
  <c r="AKI6" i="10"/>
  <c r="AKM6" i="10"/>
  <c r="AKQ6" i="10"/>
  <c r="AKU6" i="10"/>
  <c r="AKY6" i="10"/>
  <c r="ALC6" i="10"/>
  <c r="ALG6" i="10"/>
  <c r="ALK6" i="10"/>
  <c r="ALO6" i="10"/>
  <c r="ALS6" i="10"/>
  <c r="ALW6" i="10"/>
  <c r="AMA6" i="10"/>
  <c r="AME6" i="10"/>
  <c r="AMI6" i="10"/>
  <c r="AMM6" i="10"/>
  <c r="AMQ6" i="10"/>
  <c r="AMU6" i="10"/>
  <c r="AMY6" i="10"/>
  <c r="ANC6" i="10"/>
  <c r="ANG6" i="10"/>
  <c r="ANK6" i="10"/>
  <c r="ANO6" i="10"/>
  <c r="ANS6" i="10"/>
  <c r="ANW6" i="10"/>
  <c r="AOA6" i="10"/>
  <c r="AOE6" i="10"/>
  <c r="AOI6" i="10"/>
  <c r="AOM6" i="10"/>
  <c r="AOQ6" i="10"/>
  <c r="AOU6" i="10"/>
  <c r="AOY6" i="10"/>
  <c r="APC6" i="10"/>
  <c r="APG6" i="10"/>
  <c r="APK6" i="10"/>
  <c r="APO6" i="10"/>
  <c r="APS6" i="10"/>
  <c r="APW6" i="10"/>
  <c r="AQA6" i="10"/>
  <c r="AQE6" i="10"/>
  <c r="AQI6" i="10"/>
  <c r="AQM6" i="10"/>
  <c r="AQQ6" i="10"/>
  <c r="AQU6" i="10"/>
  <c r="AQY6" i="10"/>
  <c r="ARC6" i="10"/>
  <c r="ARG6" i="10"/>
  <c r="ARK6" i="10"/>
  <c r="ARO6" i="10"/>
  <c r="ARS6" i="10"/>
  <c r="ARW6" i="10"/>
  <c r="ASA6" i="10"/>
  <c r="ASE6" i="10"/>
  <c r="ASI6" i="10"/>
  <c r="ASM6" i="10"/>
  <c r="ASQ6" i="10"/>
  <c r="ASU6" i="10"/>
  <c r="ASY6" i="10"/>
  <c r="ATC6" i="10"/>
  <c r="ATG6" i="10"/>
  <c r="ATK6" i="10"/>
  <c r="ATO6" i="10"/>
  <c r="ATS6" i="10"/>
  <c r="ATW6" i="10"/>
  <c r="AUA6" i="10"/>
  <c r="AUE6" i="10"/>
  <c r="AUI6" i="10"/>
  <c r="AUM6" i="10"/>
  <c r="AUQ6" i="10"/>
  <c r="AUU6" i="10"/>
  <c r="AUY6" i="10"/>
  <c r="AVC6" i="10"/>
  <c r="AVG6" i="10"/>
  <c r="AVK6" i="10"/>
  <c r="AVO6" i="10"/>
  <c r="AVS6" i="10"/>
  <c r="AVW6" i="10"/>
  <c r="AWA6" i="10"/>
  <c r="AWE6" i="10"/>
  <c r="AWI6" i="10"/>
  <c r="AWM6" i="10"/>
  <c r="AWQ6" i="10"/>
  <c r="AWU6" i="10"/>
  <c r="AWY6" i="10"/>
  <c r="AXC6" i="10"/>
  <c r="AXG6" i="10"/>
  <c r="AXK6" i="10"/>
  <c r="AXO6" i="10"/>
  <c r="AXS6" i="10"/>
  <c r="AXW6" i="10"/>
  <c r="AYA6" i="10"/>
  <c r="AYE6" i="10"/>
  <c r="AYI6" i="10"/>
  <c r="AYM6" i="10"/>
  <c r="AYQ6" i="10"/>
  <c r="AYU6" i="10"/>
  <c r="AYY6" i="10"/>
  <c r="AZC6" i="10"/>
  <c r="AZG6" i="10"/>
  <c r="AZK6" i="10"/>
  <c r="AZO6" i="10"/>
  <c r="AZS6" i="10"/>
  <c r="AZW6" i="10"/>
  <c r="BAA6" i="10"/>
  <c r="BAE6" i="10"/>
  <c r="BAI6" i="10"/>
  <c r="BAM6" i="10"/>
  <c r="BAQ6" i="10"/>
  <c r="BAU6" i="10"/>
  <c r="BAY6" i="10"/>
  <c r="BBC6" i="10"/>
  <c r="BBG6" i="10"/>
  <c r="BBK6" i="10"/>
  <c r="BBO6" i="10"/>
  <c r="BBS6" i="10"/>
  <c r="BBW6" i="10"/>
  <c r="BCA6" i="10"/>
  <c r="BCE6" i="10"/>
  <c r="BCI6" i="10"/>
  <c r="BCM6" i="10"/>
  <c r="BCQ6" i="10"/>
  <c r="BCU6" i="10"/>
  <c r="BCY6" i="10"/>
  <c r="BDC6" i="10"/>
  <c r="BDG6" i="10"/>
  <c r="BDK6" i="10"/>
  <c r="BDO6" i="10"/>
  <c r="BDS6" i="10"/>
  <c r="BDW6" i="10"/>
  <c r="BEA6" i="10"/>
  <c r="BEE6" i="10"/>
  <c r="BEI6" i="10"/>
  <c r="BEM6" i="10"/>
  <c r="BEQ6" i="10"/>
  <c r="BEU6" i="10"/>
  <c r="BEY6" i="10"/>
  <c r="BFC6" i="10"/>
  <c r="BFG6" i="10"/>
  <c r="BFK6" i="10"/>
  <c r="BFO6" i="10"/>
  <c r="BFS6" i="10"/>
  <c r="BFW6" i="10"/>
  <c r="BGA6" i="10"/>
  <c r="BGE6" i="10"/>
  <c r="BGI6" i="10"/>
  <c r="BGM6" i="10"/>
  <c r="BGQ6" i="10"/>
  <c r="BGU6" i="10"/>
  <c r="BGY6" i="10"/>
  <c r="BHC6" i="10"/>
  <c r="BHG6" i="10"/>
  <c r="BHK6" i="10"/>
  <c r="BHO6" i="10"/>
  <c r="BHS6" i="10"/>
  <c r="BHW6" i="10"/>
  <c r="BIA6" i="10"/>
  <c r="BIE6" i="10"/>
  <c r="BII6" i="10"/>
  <c r="BIM6" i="10"/>
  <c r="BIQ6" i="10"/>
  <c r="BIU6" i="10"/>
  <c r="BIY6" i="10"/>
  <c r="BJC6" i="10"/>
  <c r="BJG6" i="10"/>
  <c r="BJK6" i="10"/>
  <c r="BJO6" i="10"/>
  <c r="BJS6" i="10"/>
  <c r="BJW6" i="10"/>
  <c r="BKA6" i="10"/>
  <c r="BKE6" i="10"/>
  <c r="BKI6" i="10"/>
  <c r="BKM6" i="10"/>
  <c r="BKQ6" i="10"/>
  <c r="BKU6" i="10"/>
  <c r="BKY6" i="10"/>
  <c r="BLC6" i="10"/>
  <c r="BLG6" i="10"/>
  <c r="BLK6" i="10"/>
  <c r="BLO6" i="10"/>
  <c r="BLS6" i="10"/>
  <c r="BLW6" i="10"/>
  <c r="BMA6" i="10"/>
  <c r="BME6" i="10"/>
  <c r="BMI6" i="10"/>
  <c r="BMM6" i="10"/>
  <c r="BMQ6" i="10"/>
  <c r="BMU6" i="10"/>
  <c r="BMY6" i="10"/>
  <c r="BNC6" i="10"/>
  <c r="BNG6" i="10"/>
  <c r="BNK6" i="10"/>
  <c r="BNO6" i="10"/>
  <c r="BNS6" i="10"/>
  <c r="BNW6" i="10"/>
  <c r="BOA6" i="10"/>
  <c r="BOE6" i="10"/>
  <c r="BOI6" i="10"/>
  <c r="BOM6" i="10"/>
  <c r="BOQ6" i="10"/>
  <c r="BOU6" i="10"/>
  <c r="BOY6" i="10"/>
  <c r="BPC6" i="10"/>
  <c r="BPG6" i="10"/>
  <c r="BPK6" i="10"/>
  <c r="BPO6" i="10"/>
  <c r="AY6" i="10"/>
  <c r="BV6" i="10"/>
  <c r="CY6" i="10"/>
  <c r="DV6" i="10"/>
  <c r="EM6" i="10"/>
  <c r="AZ6" i="10"/>
  <c r="DF6" i="10"/>
  <c r="EU6" i="10"/>
  <c r="FS6" i="10"/>
  <c r="GS6" i="10"/>
  <c r="HH6" i="10"/>
  <c r="HU6" i="10"/>
  <c r="IK6" i="10"/>
  <c r="IW6" i="10"/>
  <c r="JL6" i="10"/>
  <c r="KB6" i="10"/>
  <c r="KO6" i="10"/>
  <c r="LA6" i="10"/>
  <c r="LQ6" i="10"/>
  <c r="MF6" i="10"/>
  <c r="MS6" i="10"/>
  <c r="NI6" i="10"/>
  <c r="NQ6" i="10"/>
  <c r="NZ6" i="10"/>
  <c r="OK6" i="10"/>
  <c r="OT6" i="10"/>
  <c r="PB6" i="10"/>
  <c r="PM6" i="10"/>
  <c r="PV6" i="10"/>
  <c r="QF6" i="10"/>
  <c r="QP6" i="10"/>
  <c r="QX6" i="10"/>
  <c r="RH6" i="10"/>
  <c r="RR6" i="10"/>
  <c r="SB6" i="10"/>
  <c r="SJ6" i="10"/>
  <c r="ST6" i="10"/>
  <c r="TD6" i="10"/>
  <c r="TM6" i="10"/>
  <c r="TX6" i="10"/>
  <c r="UF6" i="10"/>
  <c r="UO6" i="10"/>
  <c r="UX6" i="10"/>
  <c r="VE6" i="10"/>
  <c r="VK6" i="10"/>
  <c r="VS6" i="10"/>
  <c r="VZ6" i="10"/>
  <c r="WG6" i="10"/>
  <c r="WO6" i="10"/>
  <c r="WU6" i="10"/>
  <c r="XB6" i="10"/>
  <c r="XJ6" i="10"/>
  <c r="XQ6" i="10"/>
  <c r="XW6" i="10"/>
  <c r="YE6" i="10"/>
  <c r="YL6" i="10"/>
  <c r="YS6" i="10"/>
  <c r="ZA6" i="10"/>
  <c r="ZG6" i="10"/>
  <c r="ZN6" i="10"/>
  <c r="ZV6" i="10"/>
  <c r="AAC6" i="10"/>
  <c r="AAI6" i="10"/>
  <c r="AAQ6" i="10"/>
  <c r="AAX6" i="10"/>
  <c r="ABE6" i="10"/>
  <c r="ABM6" i="10"/>
  <c r="ABS6" i="10"/>
  <c r="ABZ6" i="10"/>
  <c r="ACH6" i="10"/>
  <c r="ACO6" i="10"/>
  <c r="ACU6" i="10"/>
  <c r="ADC6" i="10"/>
  <c r="ADJ6" i="10"/>
  <c r="ADQ6" i="10"/>
  <c r="ADY6" i="10"/>
  <c r="AEE6" i="10"/>
  <c r="AEL6" i="10"/>
  <c r="AET6" i="10"/>
  <c r="AFA6" i="10"/>
  <c r="AFG6" i="10"/>
  <c r="AFO6" i="10"/>
  <c r="AFV6" i="10"/>
  <c r="AGC6" i="10"/>
  <c r="AGK6" i="10"/>
  <c r="AGQ6" i="10"/>
  <c r="AGX6" i="10"/>
  <c r="AHF6" i="10"/>
  <c r="AHM6" i="10"/>
  <c r="AHS6" i="10"/>
  <c r="AIA6" i="10"/>
  <c r="AIH6" i="10"/>
  <c r="AIO6" i="10"/>
  <c r="AIV6" i="10"/>
  <c r="AJA6" i="10"/>
  <c r="AJF6" i="10"/>
  <c r="AJL6" i="10"/>
  <c r="AJQ6" i="10"/>
  <c r="AJV6" i="10"/>
  <c r="AKB6" i="10"/>
  <c r="AKG6" i="10"/>
  <c r="AKL6" i="10"/>
  <c r="AKR6" i="10"/>
  <c r="AKW6" i="10"/>
  <c r="ALB6" i="10"/>
  <c r="ALH6" i="10"/>
  <c r="ALM6" i="10"/>
  <c r="ALR6" i="10"/>
  <c r="ALX6" i="10"/>
  <c r="AMC6" i="10"/>
  <c r="AMH6" i="10"/>
  <c r="AMN6" i="10"/>
  <c r="AMS6" i="10"/>
  <c r="AMX6" i="10"/>
  <c r="AND6" i="10"/>
  <c r="ANI6" i="10"/>
  <c r="ANN6" i="10"/>
  <c r="ANT6" i="10"/>
  <c r="ANY6" i="10"/>
  <c r="AOD6" i="10"/>
  <c r="AOJ6" i="10"/>
  <c r="AOO6" i="10"/>
  <c r="AOT6" i="10"/>
  <c r="AOZ6" i="10"/>
  <c r="APE6" i="10"/>
  <c r="APJ6" i="10"/>
  <c r="APP6" i="10"/>
  <c r="APU6" i="10"/>
  <c r="APZ6" i="10"/>
  <c r="AQF6" i="10"/>
  <c r="AQK6" i="10"/>
  <c r="AQP6" i="10"/>
  <c r="AQV6" i="10"/>
  <c r="ARA6" i="10"/>
  <c r="ARF6" i="10"/>
  <c r="ARL6" i="10"/>
  <c r="ARQ6" i="10"/>
  <c r="ARV6" i="10"/>
  <c r="ASB6" i="10"/>
  <c r="ASG6" i="10"/>
  <c r="ASL6" i="10"/>
  <c r="ASR6" i="10"/>
  <c r="ASW6" i="10"/>
  <c r="ATB6" i="10"/>
  <c r="ATH6" i="10"/>
  <c r="ATM6" i="10"/>
  <c r="ATR6" i="10"/>
  <c r="ATX6" i="10"/>
  <c r="AUC6" i="10"/>
  <c r="AUH6" i="10"/>
  <c r="AUN6" i="10"/>
  <c r="AUS6" i="10"/>
  <c r="AUX6" i="10"/>
  <c r="AVD6" i="10"/>
  <c r="AVI6" i="10"/>
  <c r="AVN6" i="10"/>
  <c r="AVT6" i="10"/>
  <c r="AVY6" i="10"/>
  <c r="AWD6" i="10"/>
  <c r="AWJ6" i="10"/>
  <c r="AWO6" i="10"/>
  <c r="AWT6" i="10"/>
  <c r="AWZ6" i="10"/>
  <c r="AXE6" i="10"/>
  <c r="AXJ6" i="10"/>
  <c r="AXP6" i="10"/>
  <c r="AXU6" i="10"/>
  <c r="AXZ6" i="10"/>
  <c r="AYF6" i="10"/>
  <c r="AYK6" i="10"/>
  <c r="AYP6" i="10"/>
  <c r="AYV6" i="10"/>
  <c r="AZA6" i="10"/>
  <c r="AZF6" i="10"/>
  <c r="AZL6" i="10"/>
  <c r="AZQ6" i="10"/>
  <c r="AZV6" i="10"/>
  <c r="BAB6" i="10"/>
  <c r="BAG6" i="10"/>
  <c r="BAL6" i="10"/>
  <c r="BAR6" i="10"/>
  <c r="BAW6" i="10"/>
  <c r="BBB6" i="10"/>
  <c r="BK6" i="10"/>
  <c r="DG6" i="10"/>
  <c r="FB6" i="10"/>
  <c r="GH6" i="10"/>
  <c r="GW6" i="10"/>
  <c r="HI6" i="10"/>
  <c r="HY6" i="10"/>
  <c r="IN6" i="10"/>
  <c r="JA6" i="10"/>
  <c r="JQ6" i="10"/>
  <c r="KC6" i="10"/>
  <c r="KR6" i="10"/>
  <c r="LH6" i="10"/>
  <c r="LU6" i="10"/>
  <c r="MG6" i="10"/>
  <c r="MW6" i="10"/>
  <c r="NJ6" i="10"/>
  <c r="NT6" i="10"/>
  <c r="OD6" i="10"/>
  <c r="OL6" i="10"/>
  <c r="OV6" i="10"/>
  <c r="PF6" i="10"/>
  <c r="PP6" i="10"/>
  <c r="PX6" i="10"/>
  <c r="QH6" i="10"/>
  <c r="QR6" i="10"/>
  <c r="RA6" i="10"/>
  <c r="RL6" i="10"/>
  <c r="RT6" i="10"/>
  <c r="SC6" i="10"/>
  <c r="SN6" i="10"/>
  <c r="SW6" i="10"/>
  <c r="TE6" i="10"/>
  <c r="TP6" i="10"/>
  <c r="TY6" i="10"/>
  <c r="UH6" i="10"/>
  <c r="US6" i="10"/>
  <c r="UY6" i="10"/>
  <c r="VF6" i="10"/>
  <c r="VN6" i="10"/>
  <c r="VU6" i="10"/>
  <c r="WA6" i="10"/>
  <c r="WI6" i="10"/>
  <c r="WP6" i="10"/>
  <c r="WW6" i="10"/>
  <c r="XE6" i="10"/>
  <c r="XK6" i="10"/>
  <c r="XR6" i="10"/>
  <c r="XZ6" i="10"/>
  <c r="YG6" i="10"/>
  <c r="YM6" i="10"/>
  <c r="YU6" i="10"/>
  <c r="ZB6" i="10"/>
  <c r="ZI6" i="10"/>
  <c r="ZQ6" i="10"/>
  <c r="ZW6" i="10"/>
  <c r="AAD6" i="10"/>
  <c r="AAL6" i="10"/>
  <c r="AAS6" i="10"/>
  <c r="AAY6" i="10"/>
  <c r="ABG6" i="10"/>
  <c r="ABN6" i="10"/>
  <c r="ABU6" i="10"/>
  <c r="ACC6" i="10"/>
  <c r="ACI6" i="10"/>
  <c r="ACP6" i="10"/>
  <c r="ACX6" i="10"/>
  <c r="ADE6" i="10"/>
  <c r="ADK6" i="10"/>
  <c r="ADS6" i="10"/>
  <c r="ADZ6" i="10"/>
  <c r="AEG6" i="10"/>
  <c r="AEO6" i="10"/>
  <c r="AEU6" i="10"/>
  <c r="AFB6" i="10"/>
  <c r="AFJ6" i="10"/>
  <c r="AFQ6" i="10"/>
  <c r="AFW6" i="10"/>
  <c r="AGE6" i="10"/>
  <c r="AGL6" i="10"/>
  <c r="AGS6" i="10"/>
  <c r="AHA6" i="10"/>
  <c r="AHG6" i="10"/>
  <c r="AHN6" i="10"/>
  <c r="AHV6" i="10"/>
  <c r="AIC6" i="10"/>
  <c r="AII6" i="10"/>
  <c r="AIQ6" i="10"/>
  <c r="AIW6" i="10"/>
  <c r="AJB6" i="10"/>
  <c r="AJH6" i="10"/>
  <c r="AJM6" i="10"/>
  <c r="AJR6" i="10"/>
  <c r="AJX6" i="10"/>
  <c r="AKC6" i="10"/>
  <c r="AKH6" i="10"/>
  <c r="AKN6" i="10"/>
  <c r="AKS6" i="10"/>
  <c r="AKX6" i="10"/>
  <c r="ALD6" i="10"/>
  <c r="ALI6" i="10"/>
  <c r="ALN6" i="10"/>
  <c r="ALT6" i="10"/>
  <c r="ALY6" i="10"/>
  <c r="AMD6" i="10"/>
  <c r="AMJ6" i="10"/>
  <c r="AMO6" i="10"/>
  <c r="AMT6" i="10"/>
  <c r="AMZ6" i="10"/>
  <c r="ANE6" i="10"/>
  <c r="ANJ6" i="10"/>
  <c r="ANP6" i="10"/>
  <c r="ANU6" i="10"/>
  <c r="ANZ6" i="10"/>
  <c r="AOF6" i="10"/>
  <c r="AOK6" i="10"/>
  <c r="AOP6" i="10"/>
  <c r="AOV6" i="10"/>
  <c r="APA6" i="10"/>
  <c r="APF6" i="10"/>
  <c r="APL6" i="10"/>
  <c r="APQ6" i="10"/>
  <c r="APV6" i="10"/>
  <c r="AQB6" i="10"/>
  <c r="AQG6" i="10"/>
  <c r="AQL6" i="10"/>
  <c r="AQR6" i="10"/>
  <c r="AQW6" i="10"/>
  <c r="ARB6" i="10"/>
  <c r="ARH6" i="10"/>
  <c r="ARM6" i="10"/>
  <c r="ARR6" i="10"/>
  <c r="ARX6" i="10"/>
  <c r="ASC6" i="10"/>
  <c r="ASH6" i="10"/>
  <c r="ASN6" i="10"/>
  <c r="ASS6" i="10"/>
  <c r="ASX6" i="10"/>
  <c r="ATD6" i="10"/>
  <c r="ATI6" i="10"/>
  <c r="ATN6" i="10"/>
  <c r="ATT6" i="10"/>
  <c r="ATY6" i="10"/>
  <c r="AUD6" i="10"/>
  <c r="AUJ6" i="10"/>
  <c r="AUO6" i="10"/>
  <c r="AUT6" i="10"/>
  <c r="AUZ6" i="10"/>
  <c r="AVE6" i="10"/>
  <c r="AVJ6" i="10"/>
  <c r="AVP6" i="10"/>
  <c r="AVU6" i="10"/>
  <c r="AVZ6" i="10"/>
  <c r="AWF6" i="10"/>
  <c r="AWK6" i="10"/>
  <c r="AWP6" i="10"/>
  <c r="AWV6" i="10"/>
  <c r="AXA6" i="10"/>
  <c r="AXF6" i="10"/>
  <c r="AXL6" i="10"/>
  <c r="AXQ6" i="10"/>
  <c r="AXV6" i="10"/>
  <c r="AYB6" i="10"/>
  <c r="AYG6" i="10"/>
  <c r="AYL6" i="10"/>
  <c r="AYR6" i="10"/>
  <c r="CF6" i="10"/>
  <c r="DW6" i="10"/>
  <c r="FK6" i="10"/>
  <c r="GI6" i="10"/>
  <c r="GZ6" i="10"/>
  <c r="HP6" i="10"/>
  <c r="IC6" i="10"/>
  <c r="IO6" i="10"/>
  <c r="CP6" i="10"/>
  <c r="HE6" i="10"/>
  <c r="JE6" i="10"/>
  <c r="KG6" i="10"/>
  <c r="LI6" i="10"/>
  <c r="MN6" i="10"/>
  <c r="NL6" i="10"/>
  <c r="OF6" i="10"/>
  <c r="OZ6" i="10"/>
  <c r="PQ6" i="10"/>
  <c r="QK6" i="10"/>
  <c r="RD6" i="10"/>
  <c r="RV6" i="10"/>
  <c r="SO6" i="10"/>
  <c r="TI6" i="10"/>
  <c r="TZ6" i="10"/>
  <c r="UT6" i="10"/>
  <c r="VI6" i="10"/>
  <c r="VV6" i="10"/>
  <c r="WK6" i="10"/>
  <c r="WY6" i="10"/>
  <c r="XM6" i="10"/>
  <c r="YA6" i="10"/>
  <c r="YP6" i="10"/>
  <c r="ZC6" i="10"/>
  <c r="ZR6" i="10"/>
  <c r="AAG6" i="10"/>
  <c r="AAT6" i="10"/>
  <c r="ABI6" i="10"/>
  <c r="ABW6" i="10"/>
  <c r="ACK6" i="10"/>
  <c r="ACY6" i="10"/>
  <c r="ADN6" i="10"/>
  <c r="AEA6" i="10"/>
  <c r="AEP6" i="10"/>
  <c r="AFE6" i="10"/>
  <c r="AFR6" i="10"/>
  <c r="AGG6" i="10"/>
  <c r="AGU6" i="10"/>
  <c r="AHI6" i="10"/>
  <c r="AHW6" i="10"/>
  <c r="AIL6" i="10"/>
  <c r="AIX6" i="10"/>
  <c r="AJI6" i="10"/>
  <c r="AJT6" i="10"/>
  <c r="AKD6" i="10"/>
  <c r="AKO6" i="10"/>
  <c r="AKZ6" i="10"/>
  <c r="ALJ6" i="10"/>
  <c r="ALU6" i="10"/>
  <c r="AMF6" i="10"/>
  <c r="AMP6" i="10"/>
  <c r="ANA6" i="10"/>
  <c r="ANL6" i="10"/>
  <c r="ANV6" i="10"/>
  <c r="AOG6" i="10"/>
  <c r="AOR6" i="10"/>
  <c r="APB6" i="10"/>
  <c r="APM6" i="10"/>
  <c r="APX6" i="10"/>
  <c r="AQH6" i="10"/>
  <c r="AQS6" i="10"/>
  <c r="ARD6" i="10"/>
  <c r="ARN6" i="10"/>
  <c r="ARY6" i="10"/>
  <c r="ASJ6" i="10"/>
  <c r="AST6" i="10"/>
  <c r="ATE6" i="10"/>
  <c r="ATP6" i="10"/>
  <c r="ATZ6" i="10"/>
  <c r="AUK6" i="10"/>
  <c r="AUV6" i="10"/>
  <c r="AVF6" i="10"/>
  <c r="AVQ6" i="10"/>
  <c r="AWB6" i="10"/>
  <c r="AWL6" i="10"/>
  <c r="AWW6" i="10"/>
  <c r="AXH6" i="10"/>
  <c r="AXR6" i="10"/>
  <c r="AYC6" i="10"/>
  <c r="AYN6" i="10"/>
  <c r="AYW6" i="10"/>
  <c r="AZD6" i="10"/>
  <c r="AZJ6" i="10"/>
  <c r="AZR6" i="10"/>
  <c r="AZY6" i="10"/>
  <c r="BAF6" i="10"/>
  <c r="BAN6" i="10"/>
  <c r="BAT6" i="10"/>
  <c r="BBA6" i="10"/>
  <c r="BBH6" i="10"/>
  <c r="BBM6" i="10"/>
  <c r="BBR6" i="10"/>
  <c r="BBX6" i="10"/>
  <c r="BCC6" i="10"/>
  <c r="BCH6" i="10"/>
  <c r="BCN6" i="10"/>
  <c r="BCS6" i="10"/>
  <c r="BCX6" i="10"/>
  <c r="BDD6" i="10"/>
  <c r="BDI6" i="10"/>
  <c r="BDN6" i="10"/>
  <c r="BDT6" i="10"/>
  <c r="BDY6" i="10"/>
  <c r="BED6" i="10"/>
  <c r="BEJ6" i="10"/>
  <c r="BEO6" i="10"/>
  <c r="BET6" i="10"/>
  <c r="BEZ6" i="10"/>
  <c r="BFE6" i="10"/>
  <c r="BFJ6" i="10"/>
  <c r="BFP6" i="10"/>
  <c r="BFU6" i="10"/>
  <c r="BFZ6" i="10"/>
  <c r="BGF6" i="10"/>
  <c r="BGK6" i="10"/>
  <c r="BGP6" i="10"/>
  <c r="BGV6" i="10"/>
  <c r="BHA6" i="10"/>
  <c r="BHF6" i="10"/>
  <c r="BHL6" i="10"/>
  <c r="BHQ6" i="10"/>
  <c r="BHV6" i="10"/>
  <c r="BIB6" i="10"/>
  <c r="BIG6" i="10"/>
  <c r="BIL6" i="10"/>
  <c r="BIR6" i="10"/>
  <c r="BIW6" i="10"/>
  <c r="BJB6" i="10"/>
  <c r="BJH6" i="10"/>
  <c r="BJM6" i="10"/>
  <c r="BJR6" i="10"/>
  <c r="BJX6" i="10"/>
  <c r="BKC6" i="10"/>
  <c r="BKH6" i="10"/>
  <c r="BKN6" i="10"/>
  <c r="BKS6" i="10"/>
  <c r="BKX6" i="10"/>
  <c r="BLD6" i="10"/>
  <c r="BLI6" i="10"/>
  <c r="BLN6" i="10"/>
  <c r="BLT6" i="10"/>
  <c r="BLY6" i="10"/>
  <c r="BMD6" i="10"/>
  <c r="BMJ6" i="10"/>
  <c r="BMO6" i="10"/>
  <c r="BMT6" i="10"/>
  <c r="BMZ6" i="10"/>
  <c r="BNE6" i="10"/>
  <c r="BNJ6" i="10"/>
  <c r="BNP6" i="10"/>
  <c r="BNU6" i="10"/>
  <c r="BNZ6" i="10"/>
  <c r="BOF6" i="10"/>
  <c r="BOK6" i="10"/>
  <c r="BOP6" i="10"/>
  <c r="BOV6" i="10"/>
  <c r="BPA6" i="10"/>
  <c r="BPF6" i="10"/>
  <c r="BPL6" i="10"/>
  <c r="BPQ6" i="10"/>
  <c r="BPU6" i="10"/>
  <c r="BPY6" i="10"/>
  <c r="BQC6" i="10"/>
  <c r="BQG6" i="10"/>
  <c r="BQK6" i="10"/>
  <c r="BQO6" i="10"/>
  <c r="BQS6" i="10"/>
  <c r="BQW6" i="10"/>
  <c r="BRA6" i="10"/>
  <c r="BRE6" i="10"/>
  <c r="BRI6" i="10"/>
  <c r="BRM6" i="10"/>
  <c r="BRQ6" i="10"/>
  <c r="BRU6" i="10"/>
  <c r="BRY6" i="10"/>
  <c r="BSC6" i="10"/>
  <c r="BSG6" i="10"/>
  <c r="BSK6" i="10"/>
  <c r="BSO6" i="10"/>
  <c r="BSS6" i="10"/>
  <c r="BSW6" i="10"/>
  <c r="BTA6" i="10"/>
  <c r="BTE6" i="10"/>
  <c r="BTI6" i="10"/>
  <c r="BTM6" i="10"/>
  <c r="BTQ6" i="10"/>
  <c r="BTU6" i="10"/>
  <c r="BTY6" i="10"/>
  <c r="BUC6" i="10"/>
  <c r="BUG6" i="10"/>
  <c r="BUK6" i="10"/>
  <c r="BUO6" i="10"/>
  <c r="BUS6" i="10"/>
  <c r="BUW6" i="10"/>
  <c r="BVA6" i="10"/>
  <c r="BVE6" i="10"/>
  <c r="BVI6" i="10"/>
  <c r="BVM6" i="10"/>
  <c r="BVQ6" i="10"/>
  <c r="BVU6" i="10"/>
  <c r="BVY6" i="10"/>
  <c r="BWC6" i="10"/>
  <c r="BWG6" i="10"/>
  <c r="BWK6" i="10"/>
  <c r="BWO6" i="10"/>
  <c r="BWS6" i="10"/>
  <c r="BWW6" i="10"/>
  <c r="BXA6" i="10"/>
  <c r="BXE6" i="10"/>
  <c r="BXI6" i="10"/>
  <c r="BXM6" i="10"/>
  <c r="BXQ6" i="10"/>
  <c r="BXU6" i="10"/>
  <c r="BXY6" i="10"/>
  <c r="BYC6" i="10"/>
  <c r="BYG6" i="10"/>
  <c r="BYK6" i="10"/>
  <c r="BYO6" i="10"/>
  <c r="BYS6" i="10"/>
  <c r="BYW6" i="10"/>
  <c r="BZA6" i="10"/>
  <c r="BZE6" i="10"/>
  <c r="BZI6" i="10"/>
  <c r="BZM6" i="10"/>
  <c r="BZQ6" i="10"/>
  <c r="BZU6" i="10"/>
  <c r="BZY6" i="10"/>
  <c r="CAC6" i="10"/>
  <c r="CAG6" i="10"/>
  <c r="CAK6" i="10"/>
  <c r="CAO6" i="10"/>
  <c r="CAS6" i="10"/>
  <c r="CAW6" i="10"/>
  <c r="CBA6" i="10"/>
  <c r="CBE6" i="10"/>
  <c r="CBI6" i="10"/>
  <c r="CBM6" i="10"/>
  <c r="CBQ6" i="10"/>
  <c r="CBU6" i="10"/>
  <c r="CBY6" i="10"/>
  <c r="CCC6" i="10"/>
  <c r="CCG6" i="10"/>
  <c r="CCK6" i="10"/>
  <c r="CCO6" i="10"/>
  <c r="CCS6" i="10"/>
  <c r="CCW6" i="10"/>
  <c r="CDA6" i="10"/>
  <c r="CDE6" i="10"/>
  <c r="CDI6" i="10"/>
  <c r="CDM6" i="10"/>
  <c r="CDQ6" i="10"/>
  <c r="CDU6" i="10"/>
  <c r="CDY6" i="10"/>
  <c r="EE6" i="10"/>
  <c r="HQ6" i="10"/>
  <c r="JI6" i="10"/>
  <c r="KK6" i="10"/>
  <c r="LM6" i="10"/>
  <c r="MO6" i="10"/>
  <c r="NP6" i="10"/>
  <c r="OG6" i="10"/>
  <c r="PA6" i="10"/>
  <c r="PU6" i="10"/>
  <c r="QL6" i="10"/>
  <c r="RF6" i="10"/>
  <c r="RY6" i="10"/>
  <c r="SR6" i="10"/>
  <c r="TJ6" i="10"/>
  <c r="UD6" i="10"/>
  <c r="UU6" i="10"/>
  <c r="VJ6" i="10"/>
  <c r="VY6" i="10"/>
  <c r="WL6" i="10"/>
  <c r="XA6" i="10"/>
  <c r="XO6" i="10"/>
  <c r="YC6" i="10"/>
  <c r="YQ6" i="10"/>
  <c r="ZF6" i="10"/>
  <c r="ZS6" i="10"/>
  <c r="AAH6" i="10"/>
  <c r="AAW6" i="10"/>
  <c r="ABJ6" i="10"/>
  <c r="ABY6" i="10"/>
  <c r="ACM6" i="10"/>
  <c r="ADA6" i="10"/>
  <c r="ADO6" i="10"/>
  <c r="AED6" i="10"/>
  <c r="AEQ6" i="10"/>
  <c r="AFF6" i="10"/>
  <c r="AFU6" i="10"/>
  <c r="AGH6" i="10"/>
  <c r="AGW6" i="10"/>
  <c r="AHK6" i="10"/>
  <c r="AHY6" i="10"/>
  <c r="AIM6" i="10"/>
  <c r="AIZ6" i="10"/>
  <c r="AJJ6" i="10"/>
  <c r="AJU6" i="10"/>
  <c r="AKF6" i="10"/>
  <c r="AKP6" i="10"/>
  <c r="ALA6" i="10"/>
  <c r="ALL6" i="10"/>
  <c r="ALV6" i="10"/>
  <c r="AMG6" i="10"/>
  <c r="AMR6" i="10"/>
  <c r="ANB6" i="10"/>
  <c r="ANM6" i="10"/>
  <c r="ANX6" i="10"/>
  <c r="AOH6" i="10"/>
  <c r="AOS6" i="10"/>
  <c r="APD6" i="10"/>
  <c r="APN6" i="10"/>
  <c r="APY6" i="10"/>
  <c r="AQJ6" i="10"/>
  <c r="AQT6" i="10"/>
  <c r="ARE6" i="10"/>
  <c r="ARP6" i="10"/>
  <c r="ARZ6" i="10"/>
  <c r="ASK6" i="10"/>
  <c r="ASV6" i="10"/>
  <c r="ATF6" i="10"/>
  <c r="ATQ6" i="10"/>
  <c r="AUB6" i="10"/>
  <c r="AUL6" i="10"/>
  <c r="AUW6" i="10"/>
  <c r="AVH6" i="10"/>
  <c r="AVR6" i="10"/>
  <c r="AWC6" i="10"/>
  <c r="AWN6" i="10"/>
  <c r="AWX6" i="10"/>
  <c r="AXI6" i="10"/>
  <c r="AXT6" i="10"/>
  <c r="AYD6" i="10"/>
  <c r="AYO6" i="10"/>
  <c r="AYX6" i="10"/>
  <c r="AZE6" i="10"/>
  <c r="AZM6" i="10"/>
  <c r="AZT6" i="10"/>
  <c r="AZZ6" i="10"/>
  <c r="BAH6" i="10"/>
  <c r="BAO6" i="10"/>
  <c r="BAV6" i="10"/>
  <c r="BBD6" i="10"/>
  <c r="BBI6" i="10"/>
  <c r="BBN6" i="10"/>
  <c r="BBT6" i="10"/>
  <c r="BBY6" i="10"/>
  <c r="BCD6" i="10"/>
  <c r="BCJ6" i="10"/>
  <c r="BCO6" i="10"/>
  <c r="BCT6" i="10"/>
  <c r="BCZ6" i="10"/>
  <c r="BDE6" i="10"/>
  <c r="BDJ6" i="10"/>
  <c r="BDP6" i="10"/>
  <c r="BDU6" i="10"/>
  <c r="BDZ6" i="10"/>
  <c r="BEF6" i="10"/>
  <c r="BEK6" i="10"/>
  <c r="BEP6" i="10"/>
  <c r="BEV6" i="10"/>
  <c r="BFA6" i="10"/>
  <c r="BFF6" i="10"/>
  <c r="BFL6" i="10"/>
  <c r="BFQ6" i="10"/>
  <c r="BFV6" i="10"/>
  <c r="BGB6" i="10"/>
  <c r="BGG6" i="10"/>
  <c r="BGL6" i="10"/>
  <c r="BGR6" i="10"/>
  <c r="BGW6" i="10"/>
  <c r="BHB6" i="10"/>
  <c r="BHH6" i="10"/>
  <c r="BHM6" i="10"/>
  <c r="BHR6" i="10"/>
  <c r="BHX6" i="10"/>
  <c r="BIC6" i="10"/>
  <c r="BIH6" i="10"/>
  <c r="BIN6" i="10"/>
  <c r="BIS6" i="10"/>
  <c r="BIX6" i="10"/>
  <c r="BJD6" i="10"/>
  <c r="BJI6" i="10"/>
  <c r="BJN6" i="10"/>
  <c r="BJT6" i="10"/>
  <c r="BJY6" i="10"/>
  <c r="BKD6" i="10"/>
  <c r="BKJ6" i="10"/>
  <c r="BKO6" i="10"/>
  <c r="BKT6" i="10"/>
  <c r="BKZ6" i="10"/>
  <c r="BLE6" i="10"/>
  <c r="BLJ6" i="10"/>
  <c r="BLP6" i="10"/>
  <c r="BLU6" i="10"/>
  <c r="BLZ6" i="10"/>
  <c r="BMF6" i="10"/>
  <c r="BMK6" i="10"/>
  <c r="BMP6" i="10"/>
  <c r="BMV6" i="10"/>
  <c r="BNA6" i="10"/>
  <c r="BNF6" i="10"/>
  <c r="BNL6" i="10"/>
  <c r="BNQ6" i="10"/>
  <c r="BNV6" i="10"/>
  <c r="BOB6" i="10"/>
  <c r="BOG6" i="10"/>
  <c r="BOL6" i="10"/>
  <c r="BOR6" i="10"/>
  <c r="BOW6" i="10"/>
  <c r="BPB6" i="10"/>
  <c r="BPH6" i="10"/>
  <c r="BPM6" i="10"/>
  <c r="BPR6" i="10"/>
  <c r="BPV6" i="10"/>
  <c r="BPZ6" i="10"/>
  <c r="BQD6" i="10"/>
  <c r="BQH6" i="10"/>
  <c r="BQL6" i="10"/>
  <c r="BQP6" i="10"/>
  <c r="BQT6" i="10"/>
  <c r="BQX6" i="10"/>
  <c r="BRB6" i="10"/>
  <c r="BRF6" i="10"/>
  <c r="BRJ6" i="10"/>
  <c r="BRN6" i="10"/>
  <c r="BRR6" i="10"/>
  <c r="BRV6" i="10"/>
  <c r="BRZ6" i="10"/>
  <c r="BSD6" i="10"/>
  <c r="BSH6" i="10"/>
  <c r="BSL6" i="10"/>
  <c r="BSP6" i="10"/>
  <c r="BST6" i="10"/>
  <c r="BSX6" i="10"/>
  <c r="BTB6" i="10"/>
  <c r="BTF6" i="10"/>
  <c r="BTJ6" i="10"/>
  <c r="BTN6" i="10"/>
  <c r="BTR6" i="10"/>
  <c r="BTV6" i="10"/>
  <c r="BTZ6" i="10"/>
  <c r="BUD6" i="10"/>
  <c r="BUH6" i="10"/>
  <c r="BUL6" i="10"/>
  <c r="BUP6" i="10"/>
  <c r="BUT6" i="10"/>
  <c r="BUX6" i="10"/>
  <c r="BVB6" i="10"/>
  <c r="BVF6" i="10"/>
  <c r="BVJ6" i="10"/>
  <c r="BVN6" i="10"/>
  <c r="BVR6" i="10"/>
  <c r="BVV6" i="10"/>
  <c r="BVZ6" i="10"/>
  <c r="BWD6" i="10"/>
  <c r="BWH6" i="10"/>
  <c r="BWL6" i="10"/>
  <c r="BWP6" i="10"/>
  <c r="BWT6" i="10"/>
  <c r="BWX6" i="10"/>
  <c r="BXB6" i="10"/>
  <c r="BXF6" i="10"/>
  <c r="BXJ6" i="10"/>
  <c r="BXN6" i="10"/>
  <c r="BXR6" i="10"/>
  <c r="BXV6" i="10"/>
  <c r="BXZ6" i="10"/>
  <c r="BYD6" i="10"/>
  <c r="BYH6" i="10"/>
  <c r="BYL6" i="10"/>
  <c r="BYP6" i="10"/>
  <c r="BYT6" i="10"/>
  <c r="BYX6" i="10"/>
  <c r="BZB6" i="10"/>
  <c r="BZF6" i="10"/>
  <c r="BZJ6" i="10"/>
  <c r="BZN6" i="10"/>
  <c r="BZR6" i="10"/>
  <c r="BZV6" i="10"/>
  <c r="BZZ6" i="10"/>
  <c r="CAD6" i="10"/>
  <c r="CAH6" i="10"/>
  <c r="CAL6" i="10"/>
  <c r="CAP6" i="10"/>
  <c r="CAT6" i="10"/>
  <c r="CAX6" i="10"/>
  <c r="CBB6" i="10"/>
  <c r="CBF6" i="10"/>
  <c r="CBJ6" i="10"/>
  <c r="CBN6" i="10"/>
  <c r="CBR6" i="10"/>
  <c r="CBV6" i="10"/>
  <c r="CBZ6" i="10"/>
  <c r="CCD6" i="10"/>
  <c r="CCH6" i="10"/>
  <c r="CCL6" i="10"/>
  <c r="CCP6" i="10"/>
  <c r="CCT6" i="10"/>
  <c r="CCX6" i="10"/>
  <c r="CDB6" i="10"/>
  <c r="CDF6" i="10"/>
  <c r="CDJ6" i="10"/>
  <c r="CDN6" i="10"/>
  <c r="CDR6" i="10"/>
  <c r="CDV6" i="10"/>
  <c r="CDZ6" i="10"/>
  <c r="CED6" i="10"/>
  <c r="CEH6" i="10"/>
  <c r="CEL6" i="10"/>
  <c r="CEP6" i="10"/>
  <c r="CET6" i="10"/>
  <c r="CEX6" i="10"/>
  <c r="CFB6" i="10"/>
  <c r="CFF6" i="10"/>
  <c r="CFJ6" i="10"/>
  <c r="CFN6" i="10"/>
  <c r="CFR6" i="10"/>
  <c r="CFV6" i="10"/>
  <c r="CFZ6" i="10"/>
  <c r="CGD6" i="10"/>
  <c r="CGH6" i="10"/>
  <c r="CGL6" i="10"/>
  <c r="CGP6" i="10"/>
  <c r="CGT6" i="10"/>
  <c r="CGX6" i="10"/>
  <c r="CHB6" i="10"/>
  <c r="CHF6" i="10"/>
  <c r="CHJ6" i="10"/>
  <c r="CHN6" i="10"/>
  <c r="CHR6" i="10"/>
  <c r="CHV6" i="10"/>
  <c r="CHZ6" i="10"/>
  <c r="CID6" i="10"/>
  <c r="CIH6" i="10"/>
  <c r="CIL6" i="10"/>
  <c r="CIP6" i="10"/>
  <c r="CIT6" i="10"/>
  <c r="CIX6" i="10"/>
  <c r="CJB6" i="10"/>
  <c r="CJF6" i="10"/>
  <c r="CJJ6" i="10"/>
  <c r="CJN6" i="10"/>
  <c r="CJR6" i="10"/>
  <c r="CJV6" i="10"/>
  <c r="CJZ6" i="10"/>
  <c r="CKD6" i="10"/>
  <c r="CKH6" i="10"/>
  <c r="CKL6" i="10"/>
  <c r="CKP6" i="10"/>
  <c r="CKT6" i="10"/>
  <c r="CKX6" i="10"/>
  <c r="CLB6" i="10"/>
  <c r="CLF6" i="10"/>
  <c r="CLJ6" i="10"/>
  <c r="CLN6" i="10"/>
  <c r="CLR6" i="10"/>
  <c r="CLV6" i="10"/>
  <c r="CLZ6" i="10"/>
  <c r="CMD6" i="10"/>
  <c r="CMH6" i="10"/>
  <c r="CML6" i="10"/>
  <c r="CMP6" i="10"/>
  <c r="CMT6" i="10"/>
  <c r="CMX6" i="10"/>
  <c r="CNB6" i="10"/>
  <c r="CNF6" i="10"/>
  <c r="CNJ6" i="10"/>
  <c r="CNN6" i="10"/>
  <c r="CNR6" i="10"/>
  <c r="CNV6" i="10"/>
  <c r="CNZ6" i="10"/>
  <c r="COD6" i="10"/>
  <c r="COH6" i="10"/>
  <c r="COL6" i="10"/>
  <c r="COP6" i="10"/>
  <c r="COT6" i="10"/>
  <c r="COX6" i="10"/>
  <c r="CPB6" i="10"/>
  <c r="CPF6" i="10"/>
  <c r="CPJ6" i="10"/>
  <c r="CPN6" i="10"/>
  <c r="CPR6" i="10"/>
  <c r="CPV6" i="10"/>
  <c r="CPZ6" i="10"/>
  <c r="CQD6" i="10"/>
  <c r="CQH6" i="10"/>
  <c r="CQL6" i="10"/>
  <c r="CQP6" i="10"/>
  <c r="CQT6" i="10"/>
  <c r="CQX6" i="10"/>
  <c r="CRB6" i="10"/>
  <c r="CRF6" i="10"/>
  <c r="FR6" i="10"/>
  <c r="IF6" i="10"/>
  <c r="JT6" i="10"/>
  <c r="KW6" i="10"/>
  <c r="LX6" i="10"/>
  <c r="NA6" i="10"/>
  <c r="NV6" i="10"/>
  <c r="OO6" i="10"/>
  <c r="PH6" i="10"/>
  <c r="QB6" i="10"/>
  <c r="QS6" i="10"/>
  <c r="RM6" i="10"/>
  <c r="SG6" i="10"/>
  <c r="SX6" i="10"/>
  <c r="TR6" i="10"/>
  <c r="UK6" i="10"/>
  <c r="VA6" i="10"/>
  <c r="VO6" i="10"/>
  <c r="WD6" i="10"/>
  <c r="WQ6" i="10"/>
  <c r="XF6" i="10"/>
  <c r="XU6" i="10"/>
  <c r="YH6" i="10"/>
  <c r="YW6" i="10"/>
  <c r="ZK6" i="10"/>
  <c r="ZY6" i="10"/>
  <c r="AAM6" i="10"/>
  <c r="ABB6" i="10"/>
  <c r="ABO6" i="10"/>
  <c r="ACD6" i="10"/>
  <c r="ACS6" i="10"/>
  <c r="ADF6" i="10"/>
  <c r="ADU6" i="10"/>
  <c r="AEI6" i="10"/>
  <c r="AEW6" i="10"/>
  <c r="AFK6" i="10"/>
  <c r="AFZ6" i="10"/>
  <c r="AGM6" i="10"/>
  <c r="AHB6" i="10"/>
  <c r="AHQ6" i="10"/>
  <c r="AID6" i="10"/>
  <c r="AIS6" i="10"/>
  <c r="AJD6" i="10"/>
  <c r="AJN6" i="10"/>
  <c r="AJY6" i="10"/>
  <c r="KZ6" i="10"/>
  <c r="OR6" i="10"/>
  <c r="RN6" i="10"/>
  <c r="UN6" i="10"/>
  <c r="WT6" i="10"/>
  <c r="YX6" i="10"/>
  <c r="ABC6" i="10"/>
  <c r="ADI6" i="10"/>
  <c r="AFM6" i="10"/>
  <c r="AHR6" i="10"/>
  <c r="AJP6" i="10"/>
  <c r="AKT6" i="10"/>
  <c r="ALP6" i="10"/>
  <c r="AMK6" i="10"/>
  <c r="ANF6" i="10"/>
  <c r="AOB6" i="10"/>
  <c r="AOW6" i="10"/>
  <c r="APR6" i="10"/>
  <c r="AQN6" i="10"/>
  <c r="ARI6" i="10"/>
  <c r="ASD6" i="10"/>
  <c r="ASZ6" i="10"/>
  <c r="ATU6" i="10"/>
  <c r="AUP6" i="10"/>
  <c r="AVL6" i="10"/>
  <c r="AWG6" i="10"/>
  <c r="AXB6" i="10"/>
  <c r="AXX6" i="10"/>
  <c r="AYS6" i="10"/>
  <c r="AZH6" i="10"/>
  <c r="AZU6" i="10"/>
  <c r="BAJ6" i="10"/>
  <c r="BAX6" i="10"/>
  <c r="BBJ6" i="10"/>
  <c r="BBU6" i="10"/>
  <c r="BCF6" i="10"/>
  <c r="BCP6" i="10"/>
  <c r="BDA6" i="10"/>
  <c r="BDL6" i="10"/>
  <c r="BDV6" i="10"/>
  <c r="BEG6" i="10"/>
  <c r="BER6" i="10"/>
  <c r="BFB6" i="10"/>
  <c r="BFM6" i="10"/>
  <c r="BFX6" i="10"/>
  <c r="BGH6" i="10"/>
  <c r="BGS6" i="10"/>
  <c r="BHD6" i="10"/>
  <c r="BHN6" i="10"/>
  <c r="BHY6" i="10"/>
  <c r="BIJ6" i="10"/>
  <c r="BIT6" i="10"/>
  <c r="BJE6" i="10"/>
  <c r="BJP6" i="10"/>
  <c r="BJZ6" i="10"/>
  <c r="BKK6" i="10"/>
  <c r="BKV6" i="10"/>
  <c r="BLF6" i="10"/>
  <c r="BLQ6" i="10"/>
  <c r="BMB6" i="10"/>
  <c r="BML6" i="10"/>
  <c r="BMW6" i="10"/>
  <c r="BNH6" i="10"/>
  <c r="BNR6" i="10"/>
  <c r="BOC6" i="10"/>
  <c r="BON6" i="10"/>
  <c r="BOX6" i="10"/>
  <c r="BPI6" i="10"/>
  <c r="BPS6" i="10"/>
  <c r="BQA6" i="10"/>
  <c r="BQI6" i="10"/>
  <c r="BQQ6" i="10"/>
  <c r="BQY6" i="10"/>
  <c r="BRG6" i="10"/>
  <c r="BRO6" i="10"/>
  <c r="BRW6" i="10"/>
  <c r="BSE6" i="10"/>
  <c r="BSM6" i="10"/>
  <c r="BSU6" i="10"/>
  <c r="BTC6" i="10"/>
  <c r="BTK6" i="10"/>
  <c r="BTS6" i="10"/>
  <c r="BUA6" i="10"/>
  <c r="BUI6" i="10"/>
  <c r="BUQ6" i="10"/>
  <c r="BUY6" i="10"/>
  <c r="BVG6" i="10"/>
  <c r="BVO6" i="10"/>
  <c r="BVW6" i="10"/>
  <c r="BWE6" i="10"/>
  <c r="BWM6" i="10"/>
  <c r="BWU6" i="10"/>
  <c r="BXC6" i="10"/>
  <c r="BXK6" i="10"/>
  <c r="BXS6" i="10"/>
  <c r="BYA6" i="10"/>
  <c r="BYI6" i="10"/>
  <c r="BYQ6" i="10"/>
  <c r="BYY6" i="10"/>
  <c r="BZG6" i="10"/>
  <c r="BZO6" i="10"/>
  <c r="BZW6" i="10"/>
  <c r="CAE6" i="10"/>
  <c r="CAM6" i="10"/>
  <c r="CAU6" i="10"/>
  <c r="CBC6" i="10"/>
  <c r="CBK6" i="10"/>
  <c r="CBS6" i="10"/>
  <c r="CCA6" i="10"/>
  <c r="CCI6" i="10"/>
  <c r="CCQ6" i="10"/>
  <c r="CCY6" i="10"/>
  <c r="CDG6" i="10"/>
  <c r="CDO6" i="10"/>
  <c r="CDW6" i="10"/>
  <c r="CEC6" i="10"/>
  <c r="CEI6" i="10"/>
  <c r="CEN6" i="10"/>
  <c r="CES6" i="10"/>
  <c r="CEY6" i="10"/>
  <c r="CFD6" i="10"/>
  <c r="CFI6" i="10"/>
  <c r="CFO6" i="10"/>
  <c r="CFT6" i="10"/>
  <c r="CFY6" i="10"/>
  <c r="CGE6" i="10"/>
  <c r="CGJ6" i="10"/>
  <c r="CGO6" i="10"/>
  <c r="CGU6" i="10"/>
  <c r="CGZ6" i="10"/>
  <c r="CHE6" i="10"/>
  <c r="CHK6" i="10"/>
  <c r="CHP6" i="10"/>
  <c r="CHU6" i="10"/>
  <c r="CIA6" i="10"/>
  <c r="CIF6" i="10"/>
  <c r="CIK6" i="10"/>
  <c r="CIQ6" i="10"/>
  <c r="CIV6" i="10"/>
  <c r="CJA6" i="10"/>
  <c r="CJG6" i="10"/>
  <c r="CJL6" i="10"/>
  <c r="CJQ6" i="10"/>
  <c r="CJW6" i="10"/>
  <c r="CKB6" i="10"/>
  <c r="CKG6" i="10"/>
  <c r="CKM6" i="10"/>
  <c r="CKR6" i="10"/>
  <c r="CKW6" i="10"/>
  <c r="CLC6" i="10"/>
  <c r="CLH6" i="10"/>
  <c r="CLM6" i="10"/>
  <c r="CLS6" i="10"/>
  <c r="CLX6" i="10"/>
  <c r="CMC6" i="10"/>
  <c r="CMI6" i="10"/>
  <c r="CMN6" i="10"/>
  <c r="CMS6" i="10"/>
  <c r="CMY6" i="10"/>
  <c r="CND6" i="10"/>
  <c r="CNI6" i="10"/>
  <c r="CNO6" i="10"/>
  <c r="CNT6" i="10"/>
  <c r="CNY6" i="10"/>
  <c r="COE6" i="10"/>
  <c r="COJ6" i="10"/>
  <c r="COO6" i="10"/>
  <c r="COU6" i="10"/>
  <c r="COZ6" i="10"/>
  <c r="CPE6" i="10"/>
  <c r="CPK6" i="10"/>
  <c r="CPP6" i="10"/>
  <c r="CPU6" i="10"/>
  <c r="CQA6" i="10"/>
  <c r="CQF6" i="10"/>
  <c r="CQK6" i="10"/>
  <c r="CQQ6" i="10"/>
  <c r="CQV6" i="10"/>
  <c r="CRA6" i="10"/>
  <c r="CRG6" i="10"/>
  <c r="CRK6" i="10"/>
  <c r="CRO6" i="10"/>
  <c r="CRS6" i="10"/>
  <c r="CRW6" i="10"/>
  <c r="CSA6" i="10"/>
  <c r="CSE6" i="10"/>
  <c r="CSI6" i="10"/>
  <c r="CSM6" i="10"/>
  <c r="CSQ6" i="10"/>
  <c r="CSU6" i="10"/>
  <c r="CSY6" i="10"/>
  <c r="CTC6" i="10"/>
  <c r="CTG6" i="10"/>
  <c r="CTK6" i="10"/>
  <c r="CTO6" i="10"/>
  <c r="CTS6" i="10"/>
  <c r="CTW6" i="10"/>
  <c r="CUA6" i="10"/>
  <c r="CUE6" i="10"/>
  <c r="CUI6" i="10"/>
  <c r="CUM6" i="10"/>
  <c r="CUQ6" i="10"/>
  <c r="CUU6" i="10"/>
  <c r="CUY6" i="10"/>
  <c r="CVC6" i="10"/>
  <c r="CVG6" i="10"/>
  <c r="CVK6" i="10"/>
  <c r="CVO6" i="10"/>
  <c r="CVS6" i="10"/>
  <c r="CVW6" i="10"/>
  <c r="CWA6" i="10"/>
  <c r="CWE6" i="10"/>
  <c r="CWI6" i="10"/>
  <c r="CWM6" i="10"/>
  <c r="CWQ6" i="10"/>
  <c r="CWU6" i="10"/>
  <c r="CWY6" i="10"/>
  <c r="CXC6" i="10"/>
  <c r="CXG6" i="10"/>
  <c r="CXK6" i="10"/>
  <c r="CXO6" i="10"/>
  <c r="CXS6" i="10"/>
  <c r="CXW6" i="10"/>
  <c r="CYA6" i="10"/>
  <c r="CYE6" i="10"/>
  <c r="CYI6" i="10"/>
  <c r="CYM6" i="10"/>
  <c r="CYQ6" i="10"/>
  <c r="CYU6" i="10"/>
  <c r="CYY6" i="10"/>
  <c r="CZC6" i="10"/>
  <c r="CZG6" i="10"/>
  <c r="CZK6" i="10"/>
  <c r="CZO6" i="10"/>
  <c r="CZS6" i="10"/>
  <c r="CZW6" i="10"/>
  <c r="DAA6" i="10"/>
  <c r="DAE6" i="10"/>
  <c r="DAI6" i="10"/>
  <c r="DAM6" i="10"/>
  <c r="DAQ6" i="10"/>
  <c r="DAU6" i="10"/>
  <c r="DAY6" i="10"/>
  <c r="DBC6" i="10"/>
  <c r="DBG6" i="10"/>
  <c r="DBK6" i="10"/>
  <c r="DBO6" i="10"/>
  <c r="DBS6" i="10"/>
  <c r="DBW6" i="10"/>
  <c r="DCA6" i="10"/>
  <c r="DCE6" i="10"/>
  <c r="DCI6" i="10"/>
  <c r="DCM6" i="10"/>
  <c r="DCQ6" i="10"/>
  <c r="DCU6" i="10"/>
  <c r="DCY6" i="10"/>
  <c r="DDC6" i="10"/>
  <c r="DDG6" i="10"/>
  <c r="DDK6" i="10"/>
  <c r="DDO6" i="10"/>
  <c r="DDS6" i="10"/>
  <c r="DDW6" i="10"/>
  <c r="DEA6" i="10"/>
  <c r="DEE6" i="10"/>
  <c r="DEI6" i="10"/>
  <c r="DEM6" i="10"/>
  <c r="DEQ6" i="10"/>
  <c r="DEU6" i="10"/>
  <c r="DEY6" i="10"/>
  <c r="DFC6" i="10"/>
  <c r="DFG6" i="10"/>
  <c r="DFK6" i="10"/>
  <c r="DFO6" i="10"/>
  <c r="DFS6" i="10"/>
  <c r="DFW6" i="10"/>
  <c r="DGA6" i="10"/>
  <c r="DGE6" i="10"/>
  <c r="DGI6" i="10"/>
  <c r="DGM6" i="10"/>
  <c r="DGQ6" i="10"/>
  <c r="DGU6" i="10"/>
  <c r="DGY6" i="10"/>
  <c r="DHC6" i="10"/>
  <c r="DHG6" i="10"/>
  <c r="DHK6" i="10"/>
  <c r="DHO6" i="10"/>
  <c r="DHS6" i="10"/>
  <c r="DHW6" i="10"/>
  <c r="DIA6" i="10"/>
  <c r="DIE6" i="10"/>
  <c r="DII6" i="10"/>
  <c r="DIM6" i="10"/>
  <c r="DIQ6" i="10"/>
  <c r="DIU6" i="10"/>
  <c r="DIY6" i="10"/>
  <c r="DJC6" i="10"/>
  <c r="DJG6" i="10"/>
  <c r="DJK6" i="10"/>
  <c r="DJO6" i="10"/>
  <c r="DJS6" i="10"/>
  <c r="DJW6" i="10"/>
  <c r="DKA6" i="10"/>
  <c r="DKE6" i="10"/>
  <c r="DKI6" i="10"/>
  <c r="DKM6" i="10"/>
  <c r="DKQ6" i="10"/>
  <c r="DKU6" i="10"/>
  <c r="DKY6" i="10"/>
  <c r="DLC6" i="10"/>
  <c r="DLG6" i="10"/>
  <c r="DLK6" i="10"/>
  <c r="DLO6" i="10"/>
  <c r="DLS6" i="10"/>
  <c r="DLW6" i="10"/>
  <c r="DMA6" i="10"/>
  <c r="GO6" i="10"/>
  <c r="MC6" i="10"/>
  <c r="PJ6" i="10"/>
  <c r="SH6" i="10"/>
  <c r="VC6" i="10"/>
  <c r="XG6" i="10"/>
  <c r="ZM6" i="10"/>
  <c r="ABR6" i="10"/>
  <c r="ADV6" i="10"/>
  <c r="AGA6" i="10"/>
  <c r="AIG6" i="10"/>
  <c r="AJZ6" i="10"/>
  <c r="AKV6" i="10"/>
  <c r="ALQ6" i="10"/>
  <c r="AML6" i="10"/>
  <c r="ANH6" i="10"/>
  <c r="AOC6" i="10"/>
  <c r="AOX6" i="10"/>
  <c r="APT6" i="10"/>
  <c r="AQO6" i="10"/>
  <c r="ARJ6" i="10"/>
  <c r="ASF6" i="10"/>
  <c r="ATA6" i="10"/>
  <c r="ATV6" i="10"/>
  <c r="AUR6" i="10"/>
  <c r="AVM6" i="10"/>
  <c r="AWH6" i="10"/>
  <c r="AXD6" i="10"/>
  <c r="AXY6" i="10"/>
  <c r="AYT6" i="10"/>
  <c r="AZI6" i="10"/>
  <c r="AZX6" i="10"/>
  <c r="BAK6" i="10"/>
  <c r="BAZ6" i="10"/>
  <c r="BBL6" i="10"/>
  <c r="BBV6" i="10"/>
  <c r="BCG6" i="10"/>
  <c r="BCR6" i="10"/>
  <c r="BDB6" i="10"/>
  <c r="BDM6" i="10"/>
  <c r="BDX6" i="10"/>
  <c r="BEH6" i="10"/>
  <c r="BES6" i="10"/>
  <c r="BFD6" i="10"/>
  <c r="BFN6" i="10"/>
  <c r="BFY6" i="10"/>
  <c r="BGJ6" i="10"/>
  <c r="BGT6" i="10"/>
  <c r="BHE6" i="10"/>
  <c r="BHP6" i="10"/>
  <c r="BHZ6" i="10"/>
  <c r="BIK6" i="10"/>
  <c r="BIV6" i="10"/>
  <c r="BJF6" i="10"/>
  <c r="BJQ6" i="10"/>
  <c r="BKB6" i="10"/>
  <c r="BKL6" i="10"/>
  <c r="BKW6" i="10"/>
  <c r="BLH6" i="10"/>
  <c r="BLR6" i="10"/>
  <c r="BMC6" i="10"/>
  <c r="BMN6" i="10"/>
  <c r="BMX6" i="10"/>
  <c r="BNI6" i="10"/>
  <c r="BNT6" i="10"/>
  <c r="BOD6" i="10"/>
  <c r="BOO6" i="10"/>
  <c r="BOZ6" i="10"/>
  <c r="BPJ6" i="10"/>
  <c r="BPT6" i="10"/>
  <c r="BQB6" i="10"/>
  <c r="BQJ6" i="10"/>
  <c r="BQR6" i="10"/>
  <c r="BQZ6" i="10"/>
  <c r="BRH6" i="10"/>
  <c r="BRP6" i="10"/>
  <c r="BRX6" i="10"/>
  <c r="BSF6" i="10"/>
  <c r="BSN6" i="10"/>
  <c r="BSV6" i="10"/>
  <c r="BTD6" i="10"/>
  <c r="BTL6" i="10"/>
  <c r="BTT6" i="10"/>
  <c r="BUB6" i="10"/>
  <c r="BUJ6" i="10"/>
  <c r="BUR6" i="10"/>
  <c r="BUZ6" i="10"/>
  <c r="BVH6" i="10"/>
  <c r="BVP6" i="10"/>
  <c r="BVX6" i="10"/>
  <c r="BWF6" i="10"/>
  <c r="BWN6" i="10"/>
  <c r="BWV6" i="10"/>
  <c r="BXD6" i="10"/>
  <c r="BXL6" i="10"/>
  <c r="BXT6" i="10"/>
  <c r="BYB6" i="10"/>
  <c r="BYJ6" i="10"/>
  <c r="BYR6" i="10"/>
  <c r="BYZ6" i="10"/>
  <c r="BZH6" i="10"/>
  <c r="BZP6" i="10"/>
  <c r="BZX6" i="10"/>
  <c r="CAF6" i="10"/>
  <c r="CAN6" i="10"/>
  <c r="CAV6" i="10"/>
  <c r="CBD6" i="10"/>
  <c r="CBL6" i="10"/>
  <c r="CBT6" i="10"/>
  <c r="CCB6" i="10"/>
  <c r="CCJ6" i="10"/>
  <c r="CCR6" i="10"/>
  <c r="CCZ6" i="10"/>
  <c r="CDH6" i="10"/>
  <c r="CDP6" i="10"/>
  <c r="CDX6" i="10"/>
  <c r="CEE6" i="10"/>
  <c r="CEJ6" i="10"/>
  <c r="CEO6" i="10"/>
  <c r="CEU6" i="10"/>
  <c r="CEZ6" i="10"/>
  <c r="CFE6" i="10"/>
  <c r="CFK6" i="10"/>
  <c r="CFP6" i="10"/>
  <c r="CFU6" i="10"/>
  <c r="CGA6" i="10"/>
  <c r="CGF6" i="10"/>
  <c r="CGK6" i="10"/>
  <c r="CGQ6" i="10"/>
  <c r="CGV6" i="10"/>
  <c r="CHA6" i="10"/>
  <c r="CHG6" i="10"/>
  <c r="CHL6" i="10"/>
  <c r="CHQ6" i="10"/>
  <c r="CHW6" i="10"/>
  <c r="CIB6" i="10"/>
  <c r="CIG6" i="10"/>
  <c r="CIM6" i="10"/>
  <c r="CIR6" i="10"/>
  <c r="CIW6" i="10"/>
  <c r="CJC6" i="10"/>
  <c r="CJH6" i="10"/>
  <c r="CJM6" i="10"/>
  <c r="CJS6" i="10"/>
  <c r="CJX6" i="10"/>
  <c r="CKC6" i="10"/>
  <c r="CKI6" i="10"/>
  <c r="CKN6" i="10"/>
  <c r="CKS6" i="10"/>
  <c r="CKY6" i="10"/>
  <c r="CLD6" i="10"/>
  <c r="CLI6" i="10"/>
  <c r="CLO6" i="10"/>
  <c r="CLT6" i="10"/>
  <c r="CLY6" i="10"/>
  <c r="CME6" i="10"/>
  <c r="CMJ6" i="10"/>
  <c r="CMO6" i="10"/>
  <c r="CMU6" i="10"/>
  <c r="CMZ6" i="10"/>
  <c r="CNE6" i="10"/>
  <c r="CNK6" i="10"/>
  <c r="CNP6" i="10"/>
  <c r="CNU6" i="10"/>
  <c r="COA6" i="10"/>
  <c r="COF6" i="10"/>
  <c r="COK6" i="10"/>
  <c r="COQ6" i="10"/>
  <c r="COV6" i="10"/>
  <c r="CPA6" i="10"/>
  <c r="CPG6" i="10"/>
  <c r="CPL6" i="10"/>
  <c r="CPQ6" i="10"/>
  <c r="CPW6" i="10"/>
  <c r="CQB6" i="10"/>
  <c r="CQG6" i="10"/>
  <c r="CQM6" i="10"/>
  <c r="CQR6" i="10"/>
  <c r="CQW6" i="10"/>
  <c r="CRC6" i="10"/>
  <c r="CRH6" i="10"/>
  <c r="CRL6" i="10"/>
  <c r="CRP6" i="10"/>
  <c r="CRT6" i="10"/>
  <c r="CRX6" i="10"/>
  <c r="CSB6" i="10"/>
  <c r="CSF6" i="10"/>
  <c r="CSJ6" i="10"/>
  <c r="CSN6" i="10"/>
  <c r="CSR6" i="10"/>
  <c r="CSV6" i="10"/>
  <c r="CSZ6" i="10"/>
  <c r="CTD6" i="10"/>
  <c r="CTH6" i="10"/>
  <c r="CTL6" i="10"/>
  <c r="CTP6" i="10"/>
  <c r="CTT6" i="10"/>
  <c r="CTX6" i="10"/>
  <c r="CUB6" i="10"/>
  <c r="CUF6" i="10"/>
  <c r="CUJ6" i="10"/>
  <c r="CUN6" i="10"/>
  <c r="CUR6" i="10"/>
  <c r="CUV6" i="10"/>
  <c r="IV6" i="10"/>
  <c r="ND6" i="10"/>
  <c r="QC6" i="10"/>
  <c r="TB6" i="10"/>
  <c r="VQ6" i="10"/>
  <c r="XV6" i="10"/>
  <c r="AAA6" i="10"/>
  <c r="ACE6" i="10"/>
  <c r="AEK6" i="10"/>
  <c r="AGP6" i="10"/>
  <c r="AIT6" i="10"/>
  <c r="AKJ6" i="10"/>
  <c r="ALE6" i="10"/>
  <c r="ALZ6" i="10"/>
  <c r="AMV6" i="10"/>
  <c r="ANQ6" i="10"/>
  <c r="AOL6" i="10"/>
  <c r="APH6" i="10"/>
  <c r="AQC6" i="10"/>
  <c r="AQX6" i="10"/>
  <c r="ART6" i="10"/>
  <c r="ASO6" i="10"/>
  <c r="ATJ6" i="10"/>
  <c r="AUF6" i="10"/>
  <c r="AVA6" i="10"/>
  <c r="AVV6" i="10"/>
  <c r="AWR6" i="10"/>
  <c r="AXM6" i="10"/>
  <c r="AYH6" i="10"/>
  <c r="AYZ6" i="10"/>
  <c r="AZN6" i="10"/>
  <c r="BAC6" i="10"/>
  <c r="BAP6" i="10"/>
  <c r="BBE6" i="10"/>
  <c r="BBP6" i="10"/>
  <c r="BBZ6" i="10"/>
  <c r="BCK6" i="10"/>
  <c r="BCV6" i="10"/>
  <c r="BDF6" i="10"/>
  <c r="BDQ6" i="10"/>
  <c r="BEB6" i="10"/>
  <c r="BEL6" i="10"/>
  <c r="BEW6" i="10"/>
  <c r="BFH6" i="10"/>
  <c r="BFR6" i="10"/>
  <c r="BGC6" i="10"/>
  <c r="BGN6" i="10"/>
  <c r="BGX6" i="10"/>
  <c r="BHI6" i="10"/>
  <c r="BHT6" i="10"/>
  <c r="BID6" i="10"/>
  <c r="BIO6" i="10"/>
  <c r="BIZ6" i="10"/>
  <c r="BJJ6" i="10"/>
  <c r="BJU6" i="10"/>
  <c r="BKF6" i="10"/>
  <c r="BKP6" i="10"/>
  <c r="BLA6" i="10"/>
  <c r="BLL6" i="10"/>
  <c r="BLV6" i="10"/>
  <c r="BMG6" i="10"/>
  <c r="BMR6" i="10"/>
  <c r="BNB6" i="10"/>
  <c r="BNM6" i="10"/>
  <c r="BNX6" i="10"/>
  <c r="BOH6" i="10"/>
  <c r="BOS6" i="10"/>
  <c r="BPD6" i="10"/>
  <c r="BPN6" i="10"/>
  <c r="BPW6" i="10"/>
  <c r="BQE6" i="10"/>
  <c r="BQM6" i="10"/>
  <c r="BQU6" i="10"/>
  <c r="BRC6" i="10"/>
  <c r="BRK6" i="10"/>
  <c r="BRS6" i="10"/>
  <c r="BSA6" i="10"/>
  <c r="BSI6" i="10"/>
  <c r="BSQ6" i="10"/>
  <c r="BSY6" i="10"/>
  <c r="BTG6" i="10"/>
  <c r="BTO6" i="10"/>
  <c r="BTW6" i="10"/>
  <c r="BUE6" i="10"/>
  <c r="BUM6" i="10"/>
  <c r="JU6" i="10"/>
  <c r="WE6" i="10"/>
  <c r="AEY6" i="10"/>
  <c r="ALF6" i="10"/>
  <c r="AON6" i="10"/>
  <c r="ARU6" i="10"/>
  <c r="AVB6" i="10"/>
  <c r="AYJ6" i="10"/>
  <c r="BAS6" i="10"/>
  <c r="BCL6" i="10"/>
  <c r="BEC6" i="10"/>
  <c r="BFT6" i="10"/>
  <c r="BHJ6" i="10"/>
  <c r="BJA6" i="10"/>
  <c r="BKR6" i="10"/>
  <c r="BMH6" i="10"/>
  <c r="BNY6" i="10"/>
  <c r="BPP6" i="10"/>
  <c r="BQV6" i="10"/>
  <c r="BSB6" i="10"/>
  <c r="BTH6" i="10"/>
  <c r="BUN6" i="10"/>
  <c r="BVD6" i="10"/>
  <c r="BVT6" i="10"/>
  <c r="BWJ6" i="10"/>
  <c r="BWZ6" i="10"/>
  <c r="BXP6" i="10"/>
  <c r="BYF6" i="10"/>
  <c r="BYV6" i="10"/>
  <c r="BZL6" i="10"/>
  <c r="CAB6" i="10"/>
  <c r="CAR6" i="10"/>
  <c r="CBH6" i="10"/>
  <c r="CBX6" i="10"/>
  <c r="CCN6" i="10"/>
  <c r="CDD6" i="10"/>
  <c r="CDT6" i="10"/>
  <c r="CEG6" i="10"/>
  <c r="CER6" i="10"/>
  <c r="CFC6" i="10"/>
  <c r="CFM6" i="10"/>
  <c r="CFX6" i="10"/>
  <c r="CGI6" i="10"/>
  <c r="CGS6" i="10"/>
  <c r="CHD6" i="10"/>
  <c r="CHO6" i="10"/>
  <c r="CHY6" i="10"/>
  <c r="CIJ6" i="10"/>
  <c r="CIU6" i="10"/>
  <c r="CJE6" i="10"/>
  <c r="CJP6" i="10"/>
  <c r="CKA6" i="10"/>
  <c r="CKK6" i="10"/>
  <c r="CKV6" i="10"/>
  <c r="CLG6" i="10"/>
  <c r="CLQ6" i="10"/>
  <c r="CMB6" i="10"/>
  <c r="CMM6" i="10"/>
  <c r="CMW6" i="10"/>
  <c r="CNH6" i="10"/>
  <c r="CNS6" i="10"/>
  <c r="COC6" i="10"/>
  <c r="CON6" i="10"/>
  <c r="COY6" i="10"/>
  <c r="CPI6" i="10"/>
  <c r="CPT6" i="10"/>
  <c r="CQE6" i="10"/>
  <c r="CQO6" i="10"/>
  <c r="CQZ6" i="10"/>
  <c r="CRJ6" i="10"/>
  <c r="CRR6" i="10"/>
  <c r="CRZ6" i="10"/>
  <c r="CSH6" i="10"/>
  <c r="CSP6" i="10"/>
  <c r="CSX6" i="10"/>
  <c r="CTF6" i="10"/>
  <c r="CTN6" i="10"/>
  <c r="CTV6" i="10"/>
  <c r="CUD6" i="10"/>
  <c r="CUL6" i="10"/>
  <c r="CUT6" i="10"/>
  <c r="CVA6" i="10"/>
  <c r="CVF6" i="10"/>
  <c r="CVL6" i="10"/>
  <c r="CVQ6" i="10"/>
  <c r="CVV6" i="10"/>
  <c r="CWB6" i="10"/>
  <c r="CWG6" i="10"/>
  <c r="CWL6" i="10"/>
  <c r="CWR6" i="10"/>
  <c r="CWW6" i="10"/>
  <c r="CXB6" i="10"/>
  <c r="CXH6" i="10"/>
  <c r="CXM6" i="10"/>
  <c r="CXR6" i="10"/>
  <c r="CXX6" i="10"/>
  <c r="CYC6" i="10"/>
  <c r="CYH6" i="10"/>
  <c r="CYN6" i="10"/>
  <c r="CYS6" i="10"/>
  <c r="CYX6" i="10"/>
  <c r="CZD6" i="10"/>
  <c r="CZI6" i="10"/>
  <c r="CZN6" i="10"/>
  <c r="CZT6" i="10"/>
  <c r="CZY6" i="10"/>
  <c r="DAD6" i="10"/>
  <c r="DAJ6" i="10"/>
  <c r="DAO6" i="10"/>
  <c r="DAT6" i="10"/>
  <c r="DAZ6" i="10"/>
  <c r="DBE6" i="10"/>
  <c r="DBJ6" i="10"/>
  <c r="DBP6" i="10"/>
  <c r="DBU6" i="10"/>
  <c r="DBZ6" i="10"/>
  <c r="DCF6" i="10"/>
  <c r="DCK6" i="10"/>
  <c r="DCP6" i="10"/>
  <c r="DCV6" i="10"/>
  <c r="DDA6" i="10"/>
  <c r="DDF6" i="10"/>
  <c r="DDL6" i="10"/>
  <c r="DDQ6" i="10"/>
  <c r="DDV6" i="10"/>
  <c r="DEB6" i="10"/>
  <c r="DEG6" i="10"/>
  <c r="DEL6" i="10"/>
  <c r="DER6" i="10"/>
  <c r="DEW6" i="10"/>
  <c r="DFB6" i="10"/>
  <c r="DFH6" i="10"/>
  <c r="DFM6" i="10"/>
  <c r="DFR6" i="10"/>
  <c r="DFX6" i="10"/>
  <c r="DGC6" i="10"/>
  <c r="DGH6" i="10"/>
  <c r="DGN6" i="10"/>
  <c r="DGS6" i="10"/>
  <c r="DGX6" i="10"/>
  <c r="DHD6" i="10"/>
  <c r="DHI6" i="10"/>
  <c r="DHN6" i="10"/>
  <c r="DHT6" i="10"/>
  <c r="DHY6" i="10"/>
  <c r="DID6" i="10"/>
  <c r="DIJ6" i="10"/>
  <c r="DIO6" i="10"/>
  <c r="DIT6" i="10"/>
  <c r="DIZ6" i="10"/>
  <c r="DJE6" i="10"/>
  <c r="DJJ6" i="10"/>
  <c r="DJP6" i="10"/>
  <c r="DJU6" i="10"/>
  <c r="DJZ6" i="10"/>
  <c r="DKF6" i="10"/>
  <c r="DKK6" i="10"/>
  <c r="DKP6" i="10"/>
  <c r="DKV6" i="10"/>
  <c r="DLA6" i="10"/>
  <c r="DLF6" i="10"/>
  <c r="DLL6" i="10"/>
  <c r="DLQ6" i="10"/>
  <c r="DLV6" i="10"/>
  <c r="DMB6" i="10"/>
  <c r="DMF6" i="10"/>
  <c r="DMJ6" i="10"/>
  <c r="DMN6" i="10"/>
  <c r="DMR6" i="10"/>
  <c r="DMV6" i="10"/>
  <c r="DMZ6" i="10"/>
  <c r="DND6" i="10"/>
  <c r="DNH6" i="10"/>
  <c r="DNL6" i="10"/>
  <c r="DNP6" i="10"/>
  <c r="DNT6" i="10"/>
  <c r="NY6" i="10"/>
  <c r="YK6" i="10"/>
  <c r="AHC6" i="10"/>
  <c r="AMB6" i="10"/>
  <c r="API6" i="10"/>
  <c r="ASP6" i="10"/>
  <c r="AVX6" i="10"/>
  <c r="AZB6" i="10"/>
  <c r="BBF6" i="10"/>
  <c r="BCW6" i="10"/>
  <c r="BEN6" i="10"/>
  <c r="BGD6" i="10"/>
  <c r="BHU6" i="10"/>
  <c r="BJL6" i="10"/>
  <c r="BLB6" i="10"/>
  <c r="BMS6" i="10"/>
  <c r="BOJ6" i="10"/>
  <c r="BPX6" i="10"/>
  <c r="BRD6" i="10"/>
  <c r="BSJ6" i="10"/>
  <c r="BTP6" i="10"/>
  <c r="BUU6" i="10"/>
  <c r="BVK6" i="10"/>
  <c r="BWA6" i="10"/>
  <c r="BWQ6" i="10"/>
  <c r="BXG6" i="10"/>
  <c r="BXW6" i="10"/>
  <c r="BYM6" i="10"/>
  <c r="BZC6" i="10"/>
  <c r="BZS6" i="10"/>
  <c r="CAI6" i="10"/>
  <c r="CAY6" i="10"/>
  <c r="CBO6" i="10"/>
  <c r="CCE6" i="10"/>
  <c r="CCU6" i="10"/>
  <c r="CDK6" i="10"/>
  <c r="CEA6" i="10"/>
  <c r="CEK6" i="10"/>
  <c r="CEV6" i="10"/>
  <c r="CFG6" i="10"/>
  <c r="CFQ6" i="10"/>
  <c r="CGB6" i="10"/>
  <c r="CGM6" i="10"/>
  <c r="CGW6" i="10"/>
  <c r="CHH6" i="10"/>
  <c r="CHS6" i="10"/>
  <c r="CIC6" i="10"/>
  <c r="CIN6" i="10"/>
  <c r="CIY6" i="10"/>
  <c r="CJI6" i="10"/>
  <c r="CJT6" i="10"/>
  <c r="CKE6" i="10"/>
  <c r="CKO6" i="10"/>
  <c r="CKZ6" i="10"/>
  <c r="CLK6" i="10"/>
  <c r="CLU6" i="10"/>
  <c r="CMF6" i="10"/>
  <c r="CMQ6" i="10"/>
  <c r="CNA6" i="10"/>
  <c r="CNL6" i="10"/>
  <c r="CNW6" i="10"/>
  <c r="COG6" i="10"/>
  <c r="COR6" i="10"/>
  <c r="CPC6" i="10"/>
  <c r="CPM6" i="10"/>
  <c r="CPX6" i="10"/>
  <c r="CQI6" i="10"/>
  <c r="CQS6" i="10"/>
  <c r="CRD6" i="10"/>
  <c r="CRM6" i="10"/>
  <c r="CRU6" i="10"/>
  <c r="CSC6" i="10"/>
  <c r="CSK6" i="10"/>
  <c r="CSS6" i="10"/>
  <c r="CTA6" i="10"/>
  <c r="CTI6" i="10"/>
  <c r="CTQ6" i="10"/>
  <c r="CTY6" i="10"/>
  <c r="CUG6" i="10"/>
  <c r="CUO6" i="10"/>
  <c r="CUW6" i="10"/>
  <c r="CVB6" i="10"/>
  <c r="CVH6" i="10"/>
  <c r="CVM6" i="10"/>
  <c r="CVR6" i="10"/>
  <c r="CVX6" i="10"/>
  <c r="CWC6" i="10"/>
  <c r="CWH6" i="10"/>
  <c r="CWN6" i="10"/>
  <c r="CWS6" i="10"/>
  <c r="CWX6" i="10"/>
  <c r="CXD6" i="10"/>
  <c r="CXI6" i="10"/>
  <c r="CXN6" i="10"/>
  <c r="CXT6" i="10"/>
  <c r="CXY6" i="10"/>
  <c r="CYD6" i="10"/>
  <c r="CYJ6" i="10"/>
  <c r="CYO6" i="10"/>
  <c r="CYT6" i="10"/>
  <c r="CYZ6" i="10"/>
  <c r="CZE6" i="10"/>
  <c r="CZJ6" i="10"/>
  <c r="CZP6" i="10"/>
  <c r="CZU6" i="10"/>
  <c r="CZZ6" i="10"/>
  <c r="DAF6" i="10"/>
  <c r="DAK6" i="10"/>
  <c r="DAP6" i="10"/>
  <c r="DAV6" i="10"/>
  <c r="DBA6" i="10"/>
  <c r="DBF6" i="10"/>
  <c r="DBL6" i="10"/>
  <c r="DBQ6" i="10"/>
  <c r="DBV6" i="10"/>
  <c r="DCB6" i="10"/>
  <c r="DCG6" i="10"/>
  <c r="DCL6" i="10"/>
  <c r="DCR6" i="10"/>
  <c r="DCW6" i="10"/>
  <c r="DDB6" i="10"/>
  <c r="DDH6" i="10"/>
  <c r="DDM6" i="10"/>
  <c r="DDR6" i="10"/>
  <c r="DDX6" i="10"/>
  <c r="DEC6" i="10"/>
  <c r="DEH6" i="10"/>
  <c r="DEN6" i="10"/>
  <c r="DES6" i="10"/>
  <c r="DEX6" i="10"/>
  <c r="DFD6" i="10"/>
  <c r="DFI6" i="10"/>
  <c r="DFN6" i="10"/>
  <c r="DFT6" i="10"/>
  <c r="DFY6" i="10"/>
  <c r="DGD6" i="10"/>
  <c r="DGJ6" i="10"/>
  <c r="DGO6" i="10"/>
  <c r="DGT6" i="10"/>
  <c r="DGZ6" i="10"/>
  <c r="DHE6" i="10"/>
  <c r="DHJ6" i="10"/>
  <c r="DHP6" i="10"/>
  <c r="DHU6" i="10"/>
  <c r="DHZ6" i="10"/>
  <c r="DIF6" i="10"/>
  <c r="DIK6" i="10"/>
  <c r="DIP6" i="10"/>
  <c r="DIV6" i="10"/>
  <c r="DJA6" i="10"/>
  <c r="DJF6" i="10"/>
  <c r="DJL6" i="10"/>
  <c r="DJQ6" i="10"/>
  <c r="DJV6" i="10"/>
  <c r="DKB6" i="10"/>
  <c r="DKG6" i="10"/>
  <c r="DKL6" i="10"/>
  <c r="DKR6" i="10"/>
  <c r="DKW6" i="10"/>
  <c r="DLB6" i="10"/>
  <c r="DLH6" i="10"/>
  <c r="DLM6" i="10"/>
  <c r="DLR6" i="10"/>
  <c r="DLX6" i="10"/>
  <c r="DMC6" i="10"/>
  <c r="DMG6" i="10"/>
  <c r="DMK6" i="10"/>
  <c r="DMO6" i="10"/>
  <c r="DMS6" i="10"/>
  <c r="DMW6" i="10"/>
  <c r="DNA6" i="10"/>
  <c r="DNE6" i="10"/>
  <c r="DNI6" i="10"/>
  <c r="QW6" i="10"/>
  <c r="AAO6" i="10"/>
  <c r="AJE6" i="10"/>
  <c r="AMW6" i="10"/>
  <c r="AQD6" i="10"/>
  <c r="ATL6" i="10"/>
  <c r="AWS6" i="10"/>
  <c r="AZP6" i="10"/>
  <c r="BBQ6" i="10"/>
  <c r="BDH6" i="10"/>
  <c r="BEX6" i="10"/>
  <c r="BGO6" i="10"/>
  <c r="BIF6" i="10"/>
  <c r="BJV6" i="10"/>
  <c r="BLM6" i="10"/>
  <c r="BND6" i="10"/>
  <c r="BOT6" i="10"/>
  <c r="BQF6" i="10"/>
  <c r="BRL6" i="10"/>
  <c r="BSR6" i="10"/>
  <c r="BTX6" i="10"/>
  <c r="BUV6" i="10"/>
  <c r="BVL6" i="10"/>
  <c r="BWB6" i="10"/>
  <c r="BWR6" i="10"/>
  <c r="BXH6" i="10"/>
  <c r="BXX6" i="10"/>
  <c r="BYN6" i="10"/>
  <c r="BZD6" i="10"/>
  <c r="BZT6" i="10"/>
  <c r="CAJ6" i="10"/>
  <c r="CAZ6" i="10"/>
  <c r="CBP6" i="10"/>
  <c r="CCF6" i="10"/>
  <c r="CCV6" i="10"/>
  <c r="CDL6" i="10"/>
  <c r="CEB6" i="10"/>
  <c r="CEM6" i="10"/>
  <c r="CEW6" i="10"/>
  <c r="CFH6" i="10"/>
  <c r="CFS6" i="10"/>
  <c r="CGC6" i="10"/>
  <c r="CGN6" i="10"/>
  <c r="CGY6" i="10"/>
  <c r="CHI6" i="10"/>
  <c r="CHT6" i="10"/>
  <c r="CIE6" i="10"/>
  <c r="CIO6" i="10"/>
  <c r="CIZ6" i="10"/>
  <c r="CJK6" i="10"/>
  <c r="CJU6" i="10"/>
  <c r="CKF6" i="10"/>
  <c r="CKQ6" i="10"/>
  <c r="CLA6" i="10"/>
  <c r="CLL6" i="10"/>
  <c r="CLW6" i="10"/>
  <c r="CMG6" i="10"/>
  <c r="CMR6" i="10"/>
  <c r="CNC6" i="10"/>
  <c r="CNM6" i="10"/>
  <c r="CNX6" i="10"/>
  <c r="COI6" i="10"/>
  <c r="COS6" i="10"/>
  <c r="CPD6" i="10"/>
  <c r="CPO6" i="10"/>
  <c r="CPY6" i="10"/>
  <c r="CQJ6" i="10"/>
  <c r="CQU6" i="10"/>
  <c r="CRE6" i="10"/>
  <c r="CRN6" i="10"/>
  <c r="CRV6" i="10"/>
  <c r="CSD6" i="10"/>
  <c r="CSL6" i="10"/>
  <c r="CST6" i="10"/>
  <c r="CTB6" i="10"/>
  <c r="CTJ6" i="10"/>
  <c r="CTR6" i="10"/>
  <c r="CTZ6" i="10"/>
  <c r="CUH6" i="10"/>
  <c r="CUP6" i="10"/>
  <c r="CUX6" i="10"/>
  <c r="CVD6" i="10"/>
  <c r="CVI6" i="10"/>
  <c r="CVN6" i="10"/>
  <c r="CVT6" i="10"/>
  <c r="CVY6" i="10"/>
  <c r="CWD6" i="10"/>
  <c r="CWJ6" i="10"/>
  <c r="CWO6" i="10"/>
  <c r="CWT6" i="10"/>
  <c r="CWZ6" i="10"/>
  <c r="CXE6" i="10"/>
  <c r="CXJ6" i="10"/>
  <c r="CXP6" i="10"/>
  <c r="CXU6" i="10"/>
  <c r="CXZ6" i="10"/>
  <c r="CYF6" i="10"/>
  <c r="CYK6" i="10"/>
  <c r="CYP6" i="10"/>
  <c r="CYV6" i="10"/>
  <c r="CZA6" i="10"/>
  <c r="CZF6" i="10"/>
  <c r="CZL6" i="10"/>
  <c r="CZQ6" i="10"/>
  <c r="CZV6" i="10"/>
  <c r="DAB6" i="10"/>
  <c r="DAG6" i="10"/>
  <c r="DAL6" i="10"/>
  <c r="DAR6" i="10"/>
  <c r="DAW6" i="10"/>
  <c r="DBB6" i="10"/>
  <c r="DBH6" i="10"/>
  <c r="DBM6" i="10"/>
  <c r="DBR6" i="10"/>
  <c r="DBX6" i="10"/>
  <c r="DCC6" i="10"/>
  <c r="DCH6" i="10"/>
  <c r="DCN6" i="10"/>
  <c r="DCS6" i="10"/>
  <c r="DCX6" i="10"/>
  <c r="DDD6" i="10"/>
  <c r="DDI6" i="10"/>
  <c r="DDN6" i="10"/>
  <c r="DDT6" i="10"/>
  <c r="DDY6" i="10"/>
  <c r="DED6" i="10"/>
  <c r="DEJ6" i="10"/>
  <c r="DEO6" i="10"/>
  <c r="DET6" i="10"/>
  <c r="DEZ6" i="10"/>
  <c r="DFE6" i="10"/>
  <c r="DFJ6" i="10"/>
  <c r="DFP6" i="10"/>
  <c r="DFU6" i="10"/>
  <c r="DFZ6" i="10"/>
  <c r="DGF6" i="10"/>
  <c r="DGK6" i="10"/>
  <c r="DGP6" i="10"/>
  <c r="DGV6" i="10"/>
  <c r="DHA6" i="10"/>
  <c r="DHF6" i="10"/>
  <c r="DHL6" i="10"/>
  <c r="DHQ6" i="10"/>
  <c r="DHV6" i="10"/>
  <c r="DIB6" i="10"/>
  <c r="DIG6" i="10"/>
  <c r="DIL6" i="10"/>
  <c r="DIR6" i="10"/>
  <c r="DIW6" i="10"/>
  <c r="DJB6" i="10"/>
  <c r="DJH6" i="10"/>
  <c r="DJM6" i="10"/>
  <c r="DJR6" i="10"/>
  <c r="DJX6" i="10"/>
  <c r="DKC6" i="10"/>
  <c r="DKH6" i="10"/>
  <c r="DKN6" i="10"/>
  <c r="DKS6" i="10"/>
  <c r="DKX6" i="10"/>
  <c r="DLD6" i="10"/>
  <c r="DLI6" i="10"/>
  <c r="DLN6" i="10"/>
  <c r="DLT6" i="10"/>
  <c r="DLY6" i="10"/>
  <c r="DMD6" i="10"/>
  <c r="DMH6" i="10"/>
  <c r="DML6" i="10"/>
  <c r="DMP6" i="10"/>
  <c r="DMT6" i="10"/>
  <c r="DMX6" i="10"/>
  <c r="TT6" i="10"/>
  <c r="AQZ6" i="10"/>
  <c r="BCB6" i="10"/>
  <c r="BIP6" i="10"/>
  <c r="BPE6" i="10"/>
  <c r="BUF6" i="10"/>
  <c r="BWY6" i="10"/>
  <c r="BZK6" i="10"/>
  <c r="CBW6" i="10"/>
  <c r="CEF6" i="10"/>
  <c r="CFW6" i="10"/>
  <c r="CHM6" i="10"/>
  <c r="CJD6" i="10"/>
  <c r="CKU6" i="10"/>
  <c r="CMK6" i="10"/>
  <c r="COB6" i="10"/>
  <c r="CPS6" i="10"/>
  <c r="CRI6" i="10"/>
  <c r="CSO6" i="10"/>
  <c r="CTU6" i="10"/>
  <c r="CUZ6" i="10"/>
  <c r="CVU6" i="10"/>
  <c r="CWP6" i="10"/>
  <c r="CXL6" i="10"/>
  <c r="CYG6" i="10"/>
  <c r="CZB6" i="10"/>
  <c r="CZX6" i="10"/>
  <c r="DAS6" i="10"/>
  <c r="DBN6" i="10"/>
  <c r="DCJ6" i="10"/>
  <c r="DDE6" i="10"/>
  <c r="DDZ6" i="10"/>
  <c r="DEV6" i="10"/>
  <c r="DFQ6" i="10"/>
  <c r="DGL6" i="10"/>
  <c r="DHH6" i="10"/>
  <c r="DIC6" i="10"/>
  <c r="DIX6" i="10"/>
  <c r="DJT6" i="10"/>
  <c r="DKO6" i="10"/>
  <c r="DLJ6" i="10"/>
  <c r="DME6" i="10"/>
  <c r="DMU6" i="10"/>
  <c r="DNF6" i="10"/>
  <c r="DNM6" i="10"/>
  <c r="DNR6" i="10"/>
  <c r="DNW6" i="10"/>
  <c r="DOA6" i="10"/>
  <c r="DOE6" i="10"/>
  <c r="DOI6" i="10"/>
  <c r="DOM6" i="10"/>
  <c r="DOQ6" i="10"/>
  <c r="DOU6" i="10"/>
  <c r="DOY6" i="10"/>
  <c r="DPC6" i="10"/>
  <c r="DPG6" i="10"/>
  <c r="DPK6" i="10"/>
  <c r="DPO6" i="10"/>
  <c r="DPS6" i="10"/>
  <c r="DPW6" i="10"/>
  <c r="DQA6" i="10"/>
  <c r="DQE6" i="10"/>
  <c r="DQI6" i="10"/>
  <c r="DQM6" i="10"/>
  <c r="DQQ6" i="10"/>
  <c r="DQU6" i="10"/>
  <c r="DQY6" i="10"/>
  <c r="DRC6" i="10"/>
  <c r="DRG6" i="10"/>
  <c r="DRK6" i="10"/>
  <c r="DRO6" i="10"/>
  <c r="DRS6" i="10"/>
  <c r="DRW6" i="10"/>
  <c r="DSA6" i="10"/>
  <c r="DSE6" i="10"/>
  <c r="DSI6" i="10"/>
  <c r="DSM6" i="10"/>
  <c r="DSQ6" i="10"/>
  <c r="DSU6" i="10"/>
  <c r="DSY6" i="10"/>
  <c r="DTC6" i="10"/>
  <c r="DTG6" i="10"/>
  <c r="DTK6" i="10"/>
  <c r="DTO6" i="10"/>
  <c r="DTS6" i="10"/>
  <c r="DTW6" i="10"/>
  <c r="DUA6" i="10"/>
  <c r="DUE6" i="10"/>
  <c r="DUI6" i="10"/>
  <c r="DUM6" i="10"/>
  <c r="DUQ6" i="10"/>
  <c r="DUU6" i="10"/>
  <c r="DUY6" i="10"/>
  <c r="DVC6" i="10"/>
  <c r="DVG6" i="10"/>
  <c r="DVK6" i="10"/>
  <c r="DVO6" i="10"/>
  <c r="DVS6" i="10"/>
  <c r="DVW6" i="10"/>
  <c r="DWA6" i="10"/>
  <c r="DWE6" i="10"/>
  <c r="DWI6" i="10"/>
  <c r="DWM6" i="10"/>
  <c r="DWQ6" i="10"/>
  <c r="DWU6" i="10"/>
  <c r="DWY6" i="10"/>
  <c r="DXC6" i="10"/>
  <c r="DXG6" i="10"/>
  <c r="DXK6" i="10"/>
  <c r="DXO6" i="10"/>
  <c r="DXS6" i="10"/>
  <c r="DXW6" i="10"/>
  <c r="DYA6" i="10"/>
  <c r="DYE6" i="10"/>
  <c r="DYI6" i="10"/>
  <c r="DYM6" i="10"/>
  <c r="DYQ6" i="10"/>
  <c r="DYU6" i="10"/>
  <c r="DYY6" i="10"/>
  <c r="DZC6" i="10"/>
  <c r="DZG6" i="10"/>
  <c r="DZK6" i="10"/>
  <c r="DZO6" i="10"/>
  <c r="DZS6" i="10"/>
  <c r="DZW6" i="10"/>
  <c r="EAA6" i="10"/>
  <c r="EAE6" i="10"/>
  <c r="EAI6" i="10"/>
  <c r="EAM6" i="10"/>
  <c r="EAQ6" i="10"/>
  <c r="EAU6" i="10"/>
  <c r="EAY6" i="10"/>
  <c r="EBC6" i="10"/>
  <c r="EBG6" i="10"/>
  <c r="EBK6" i="10"/>
  <c r="EBO6" i="10"/>
  <c r="EBS6" i="10"/>
  <c r="EBW6" i="10"/>
  <c r="ECA6" i="10"/>
  <c r="ECE6" i="10"/>
  <c r="ECI6" i="10"/>
  <c r="ECM6" i="10"/>
  <c r="ECQ6" i="10"/>
  <c r="ECU6" i="10"/>
  <c r="ECY6" i="10"/>
  <c r="EDC6" i="10"/>
  <c r="EDG6" i="10"/>
  <c r="EDK6" i="10"/>
  <c r="EDO6" i="10"/>
  <c r="EDS6" i="10"/>
  <c r="EDW6" i="10"/>
  <c r="EEA6" i="10"/>
  <c r="EEE6" i="10"/>
  <c r="EEI6" i="10"/>
  <c r="EEM6" i="10"/>
  <c r="EEQ6" i="10"/>
  <c r="EEU6" i="10"/>
  <c r="EEY6" i="10"/>
  <c r="EFC6" i="10"/>
  <c r="EFG6" i="10"/>
  <c r="EFK6" i="10"/>
  <c r="EFO6" i="10"/>
  <c r="EFS6" i="10"/>
  <c r="EFW6" i="10"/>
  <c r="EGA6" i="10"/>
  <c r="EGE6" i="10"/>
  <c r="EGI6" i="10"/>
  <c r="EGM6" i="10"/>
  <c r="EGQ6" i="10"/>
  <c r="EGU6" i="10"/>
  <c r="EGY6" i="10"/>
  <c r="EHC6" i="10"/>
  <c r="EHG6" i="10"/>
  <c r="EHK6" i="10"/>
  <c r="EHO6" i="10"/>
  <c r="EHS6" i="10"/>
  <c r="EHW6" i="10"/>
  <c r="EIA6" i="10"/>
  <c r="EIE6" i="10"/>
  <c r="EII6" i="10"/>
  <c r="EIM6" i="10"/>
  <c r="EIQ6" i="10"/>
  <c r="EIU6" i="10"/>
  <c r="EIY6" i="10"/>
  <c r="EJC6" i="10"/>
  <c r="EJG6" i="10"/>
  <c r="EJK6" i="10"/>
  <c r="EJO6" i="10"/>
  <c r="EJS6" i="10"/>
  <c r="EJW6" i="10"/>
  <c r="EKA6" i="10"/>
  <c r="EKE6" i="10"/>
  <c r="EKI6" i="10"/>
  <c r="EKM6" i="10"/>
  <c r="EKQ6" i="10"/>
  <c r="EKU6" i="10"/>
  <c r="EKY6" i="10"/>
  <c r="ELC6" i="10"/>
  <c r="ELG6" i="10"/>
  <c r="ELK6" i="10"/>
  <c r="ELO6" i="10"/>
  <c r="ELS6" i="10"/>
  <c r="ELW6" i="10"/>
  <c r="EMA6" i="10"/>
  <c r="EME6" i="10"/>
  <c r="EMI6" i="10"/>
  <c r="EMM6" i="10"/>
  <c r="EMQ6" i="10"/>
  <c r="EMU6" i="10"/>
  <c r="EMY6" i="10"/>
  <c r="ENC6" i="10"/>
  <c r="ENG6" i="10"/>
  <c r="ENK6" i="10"/>
  <c r="ENO6" i="10"/>
  <c r="ENS6" i="10"/>
  <c r="ENW6" i="10"/>
  <c r="EOA6" i="10"/>
  <c r="EOE6" i="10"/>
  <c r="EOI6" i="10"/>
  <c r="EOM6" i="10"/>
  <c r="EOQ6" i="10"/>
  <c r="EOU6" i="10"/>
  <c r="EOY6" i="10"/>
  <c r="EPC6" i="10"/>
  <c r="EPG6" i="10"/>
  <c r="EPK6" i="10"/>
  <c r="EPO6" i="10"/>
  <c r="EPS6" i="10"/>
  <c r="EPW6" i="10"/>
  <c r="EQA6" i="10"/>
  <c r="EQE6" i="10"/>
  <c r="EQI6" i="10"/>
  <c r="EQM6" i="10"/>
  <c r="EQQ6" i="10"/>
  <c r="EQU6" i="10"/>
  <c r="EQY6" i="10"/>
  <c r="ERC6" i="10"/>
  <c r="ERG6" i="10"/>
  <c r="ERK6" i="10"/>
  <c r="ERO6" i="10"/>
  <c r="ERS6" i="10"/>
  <c r="ERW6" i="10"/>
  <c r="ESA6" i="10"/>
  <c r="ESE6" i="10"/>
  <c r="ESI6" i="10"/>
  <c r="ESM6" i="10"/>
  <c r="ESQ6" i="10"/>
  <c r="ESU6" i="10"/>
  <c r="ESY6" i="10"/>
  <c r="ETC6" i="10"/>
  <c r="ETG6" i="10"/>
  <c r="ETK6" i="10"/>
  <c r="ETO6" i="10"/>
  <c r="ETS6" i="10"/>
  <c r="ETW6" i="10"/>
  <c r="EUA6" i="10"/>
  <c r="EUE6" i="10"/>
  <c r="EUI6" i="10"/>
  <c r="EUM6" i="10"/>
  <c r="EUQ6" i="10"/>
  <c r="EUU6" i="10"/>
  <c r="EUY6" i="10"/>
  <c r="EVC6" i="10"/>
  <c r="EVG6" i="10"/>
  <c r="EVK6" i="10"/>
  <c r="EVO6" i="10"/>
  <c r="EVS6" i="10"/>
  <c r="EVW6" i="10"/>
  <c r="EWA6" i="10"/>
  <c r="EWE6" i="10"/>
  <c r="EWI6" i="10"/>
  <c r="EWM6" i="10"/>
  <c r="EWQ6" i="10"/>
  <c r="EWU6" i="10"/>
  <c r="EWY6" i="10"/>
  <c r="EXC6" i="10"/>
  <c r="EXG6" i="10"/>
  <c r="EXK6" i="10"/>
  <c r="EXO6" i="10"/>
  <c r="EXS6" i="10"/>
  <c r="EXW6" i="10"/>
  <c r="EYA6" i="10"/>
  <c r="EYE6" i="10"/>
  <c r="EYI6" i="10"/>
  <c r="EYM6" i="10"/>
  <c r="EYQ6" i="10"/>
  <c r="EYU6" i="10"/>
  <c r="EYY6" i="10"/>
  <c r="EZC6" i="10"/>
  <c r="EZG6" i="10"/>
  <c r="EZK6" i="10"/>
  <c r="EZO6" i="10"/>
  <c r="EZS6" i="10"/>
  <c r="EZW6" i="10"/>
  <c r="FAA6" i="10"/>
  <c r="FAE6" i="10"/>
  <c r="FAI6" i="10"/>
  <c r="FAM6" i="10"/>
  <c r="FAQ6" i="10"/>
  <c r="FAU6" i="10"/>
  <c r="FAY6" i="10"/>
  <c r="FBC6" i="10"/>
  <c r="FBG6" i="10"/>
  <c r="FBK6" i="10"/>
  <c r="FBO6" i="10"/>
  <c r="FBS6" i="10"/>
  <c r="FBW6" i="10"/>
  <c r="FCA6" i="10"/>
  <c r="FCE6" i="10"/>
  <c r="FCI6" i="10"/>
  <c r="FCM6" i="10"/>
  <c r="FCQ6" i="10"/>
  <c r="FCU6" i="10"/>
  <c r="FCY6" i="10"/>
  <c r="FDC6" i="10"/>
  <c r="FDG6" i="10"/>
  <c r="FDK6" i="10"/>
  <c r="FDO6" i="10"/>
  <c r="FDS6" i="10"/>
  <c r="FDW6" i="10"/>
  <c r="FEA6" i="10"/>
  <c r="FEE6" i="10"/>
  <c r="FEI6" i="10"/>
  <c r="FEM6" i="10"/>
  <c r="FEQ6" i="10"/>
  <c r="FEU6" i="10"/>
  <c r="FEY6" i="10"/>
  <c r="FFC6" i="10"/>
  <c r="FFG6" i="10"/>
  <c r="FFK6" i="10"/>
  <c r="FFO6" i="10"/>
  <c r="FFS6" i="10"/>
  <c r="FFW6" i="10"/>
  <c r="FGA6" i="10"/>
  <c r="FGE6" i="10"/>
  <c r="FGI6" i="10"/>
  <c r="FGM6" i="10"/>
  <c r="FGQ6" i="10"/>
  <c r="FGU6" i="10"/>
  <c r="ACT6" i="10"/>
  <c r="AUG6" i="10"/>
  <c r="BDR6" i="10"/>
  <c r="BKG6" i="10"/>
  <c r="BQN6" i="10"/>
  <c r="BVC6" i="10"/>
  <c r="BXO6" i="10"/>
  <c r="CAA6" i="10"/>
  <c r="CCM6" i="10"/>
  <c r="CEQ6" i="10"/>
  <c r="CGG6" i="10"/>
  <c r="CHX6" i="10"/>
  <c r="CJO6" i="10"/>
  <c r="CLE6" i="10"/>
  <c r="CMV6" i="10"/>
  <c r="COM6" i="10"/>
  <c r="CQC6" i="10"/>
  <c r="CRQ6" i="10"/>
  <c r="CSW6" i="10"/>
  <c r="CUC6" i="10"/>
  <c r="CVE6" i="10"/>
  <c r="CVZ6" i="10"/>
  <c r="CWV6" i="10"/>
  <c r="CXQ6" i="10"/>
  <c r="CYL6" i="10"/>
  <c r="CZH6" i="10"/>
  <c r="DAC6" i="10"/>
  <c r="DAX6" i="10"/>
  <c r="DBT6" i="10"/>
  <c r="DCO6" i="10"/>
  <c r="DDJ6" i="10"/>
  <c r="DEF6" i="10"/>
  <c r="DFA6" i="10"/>
  <c r="DFV6" i="10"/>
  <c r="DGR6" i="10"/>
  <c r="DHM6" i="10"/>
  <c r="DIH6" i="10"/>
  <c r="DJD6" i="10"/>
  <c r="DJY6" i="10"/>
  <c r="DKT6" i="10"/>
  <c r="DLP6" i="10"/>
  <c r="DMI6" i="10"/>
  <c r="DMY6" i="10"/>
  <c r="DNG6" i="10"/>
  <c r="DNN6" i="10"/>
  <c r="DNS6" i="10"/>
  <c r="DNX6" i="10"/>
  <c r="DOB6" i="10"/>
  <c r="DOF6" i="10"/>
  <c r="DOJ6" i="10"/>
  <c r="DON6" i="10"/>
  <c r="DOR6" i="10"/>
  <c r="DOV6" i="10"/>
  <c r="DOZ6" i="10"/>
  <c r="DPD6" i="10"/>
  <c r="DPH6" i="10"/>
  <c r="DPL6" i="10"/>
  <c r="DPP6" i="10"/>
  <c r="DPT6" i="10"/>
  <c r="DPX6" i="10"/>
  <c r="DQB6" i="10"/>
  <c r="DQF6" i="10"/>
  <c r="DQJ6" i="10"/>
  <c r="DQN6" i="10"/>
  <c r="DQR6" i="10"/>
  <c r="DQV6" i="10"/>
  <c r="DQZ6" i="10"/>
  <c r="DRD6" i="10"/>
  <c r="DRH6" i="10"/>
  <c r="DRL6" i="10"/>
  <c r="DRP6" i="10"/>
  <c r="DRT6" i="10"/>
  <c r="DRX6" i="10"/>
  <c r="DSB6" i="10"/>
  <c r="DSF6" i="10"/>
  <c r="DSJ6" i="10"/>
  <c r="DSN6" i="10"/>
  <c r="DSR6" i="10"/>
  <c r="DSV6" i="10"/>
  <c r="DSZ6" i="10"/>
  <c r="DTD6" i="10"/>
  <c r="DTH6" i="10"/>
  <c r="DTL6" i="10"/>
  <c r="DTP6" i="10"/>
  <c r="DTT6" i="10"/>
  <c r="DTX6" i="10"/>
  <c r="DUB6" i="10"/>
  <c r="DUF6" i="10"/>
  <c r="DUJ6" i="10"/>
  <c r="DUN6" i="10"/>
  <c r="DUR6" i="10"/>
  <c r="DUV6" i="10"/>
  <c r="DUZ6" i="10"/>
  <c r="DVD6" i="10"/>
  <c r="DVH6" i="10"/>
  <c r="DVL6" i="10"/>
  <c r="DVP6" i="10"/>
  <c r="DVT6" i="10"/>
  <c r="DVX6" i="10"/>
  <c r="DWB6" i="10"/>
  <c r="DWF6" i="10"/>
  <c r="DWJ6" i="10"/>
  <c r="DWN6" i="10"/>
  <c r="DWR6" i="10"/>
  <c r="DWV6" i="10"/>
  <c r="DWZ6" i="10"/>
  <c r="DXD6" i="10"/>
  <c r="DXH6" i="10"/>
  <c r="DXL6" i="10"/>
  <c r="DXP6" i="10"/>
  <c r="DXT6" i="10"/>
  <c r="DXX6" i="10"/>
  <c r="DYB6" i="10"/>
  <c r="DYF6" i="10"/>
  <c r="DYJ6" i="10"/>
  <c r="DYN6" i="10"/>
  <c r="DYR6" i="10"/>
  <c r="DYV6" i="10"/>
  <c r="DYZ6" i="10"/>
  <c r="DZD6" i="10"/>
  <c r="DZH6" i="10"/>
  <c r="DZL6" i="10"/>
  <c r="DZP6" i="10"/>
  <c r="DZT6" i="10"/>
  <c r="DZX6" i="10"/>
  <c r="EAB6" i="10"/>
  <c r="EAF6" i="10"/>
  <c r="EAJ6" i="10"/>
  <c r="EAN6" i="10"/>
  <c r="EAR6" i="10"/>
  <c r="EAV6" i="10"/>
  <c r="EAZ6" i="10"/>
  <c r="EBD6" i="10"/>
  <c r="EBH6" i="10"/>
  <c r="EBL6" i="10"/>
  <c r="EBP6" i="10"/>
  <c r="EBT6" i="10"/>
  <c r="EBX6" i="10"/>
  <c r="ECB6" i="10"/>
  <c r="ECF6" i="10"/>
  <c r="ECJ6" i="10"/>
  <c r="ECN6" i="10"/>
  <c r="ECR6" i="10"/>
  <c r="ECV6" i="10"/>
  <c r="ECZ6" i="10"/>
  <c r="EDD6" i="10"/>
  <c r="EDH6" i="10"/>
  <c r="EDL6" i="10"/>
  <c r="EDP6" i="10"/>
  <c r="EDT6" i="10"/>
  <c r="EDX6" i="10"/>
  <c r="EEB6" i="10"/>
  <c r="EEF6" i="10"/>
  <c r="EEJ6" i="10"/>
  <c r="EEN6" i="10"/>
  <c r="EER6" i="10"/>
  <c r="EEV6" i="10"/>
  <c r="EEZ6" i="10"/>
  <c r="EFD6" i="10"/>
  <c r="EFH6" i="10"/>
  <c r="EFL6" i="10"/>
  <c r="EFP6" i="10"/>
  <c r="EFT6" i="10"/>
  <c r="EFX6" i="10"/>
  <c r="EGB6" i="10"/>
  <c r="EGF6" i="10"/>
  <c r="EGJ6" i="10"/>
  <c r="EGN6" i="10"/>
  <c r="EGR6" i="10"/>
  <c r="EGV6" i="10"/>
  <c r="EGZ6" i="10"/>
  <c r="EHD6" i="10"/>
  <c r="EHH6" i="10"/>
  <c r="EHL6" i="10"/>
  <c r="EHP6" i="10"/>
  <c r="EHT6" i="10"/>
  <c r="EHX6" i="10"/>
  <c r="EIB6" i="10"/>
  <c r="EIF6" i="10"/>
  <c r="EIJ6" i="10"/>
  <c r="EIN6" i="10"/>
  <c r="EIR6" i="10"/>
  <c r="EIV6" i="10"/>
  <c r="EIZ6" i="10"/>
  <c r="EJD6" i="10"/>
  <c r="EJH6" i="10"/>
  <c r="EJL6" i="10"/>
  <c r="EJP6" i="10"/>
  <c r="EJT6" i="10"/>
  <c r="EJX6" i="10"/>
  <c r="EKB6" i="10"/>
  <c r="EKF6" i="10"/>
  <c r="EKJ6" i="10"/>
  <c r="EKN6" i="10"/>
  <c r="EKR6" i="10"/>
  <c r="EKV6" i="10"/>
  <c r="EKZ6" i="10"/>
  <c r="ELD6" i="10"/>
  <c r="ELH6" i="10"/>
  <c r="ELL6" i="10"/>
  <c r="ELP6" i="10"/>
  <c r="ELT6" i="10"/>
  <c r="ELX6" i="10"/>
  <c r="EMB6" i="10"/>
  <c r="EMF6" i="10"/>
  <c r="EMJ6" i="10"/>
  <c r="EMN6" i="10"/>
  <c r="EMR6" i="10"/>
  <c r="EMV6" i="10"/>
  <c r="EMZ6" i="10"/>
  <c r="END6" i="10"/>
  <c r="ENH6" i="10"/>
  <c r="ENL6" i="10"/>
  <c r="ENP6" i="10"/>
  <c r="ENT6" i="10"/>
  <c r="ENX6" i="10"/>
  <c r="EOB6" i="10"/>
  <c r="EOF6" i="10"/>
  <c r="EOJ6" i="10"/>
  <c r="EON6" i="10"/>
  <c r="EOR6" i="10"/>
  <c r="EOV6" i="10"/>
  <c r="EOZ6" i="10"/>
  <c r="EPD6" i="10"/>
  <c r="EPH6" i="10"/>
  <c r="EPL6" i="10"/>
  <c r="EPP6" i="10"/>
  <c r="EPT6" i="10"/>
  <c r="EPX6" i="10"/>
  <c r="EQB6" i="10"/>
  <c r="EQF6" i="10"/>
  <c r="EQJ6" i="10"/>
  <c r="EQN6" i="10"/>
  <c r="EQR6" i="10"/>
  <c r="EQV6" i="10"/>
  <c r="EQZ6" i="10"/>
  <c r="ERD6" i="10"/>
  <c r="ERH6" i="10"/>
  <c r="ERL6" i="10"/>
  <c r="ERP6" i="10"/>
  <c r="ERT6" i="10"/>
  <c r="ERX6" i="10"/>
  <c r="ESB6" i="10"/>
  <c r="ESF6" i="10"/>
  <c r="ESJ6" i="10"/>
  <c r="ESN6" i="10"/>
  <c r="ESR6" i="10"/>
  <c r="ESV6" i="10"/>
  <c r="ESZ6" i="10"/>
  <c r="ETD6" i="10"/>
  <c r="ETH6" i="10"/>
  <c r="ETL6" i="10"/>
  <c r="ETP6" i="10"/>
  <c r="ETT6" i="10"/>
  <c r="ETX6" i="10"/>
  <c r="EUB6" i="10"/>
  <c r="EUF6" i="10"/>
  <c r="EUJ6" i="10"/>
  <c r="EUN6" i="10"/>
  <c r="EUR6" i="10"/>
  <c r="EUV6" i="10"/>
  <c r="EUZ6" i="10"/>
  <c r="EVD6" i="10"/>
  <c r="EVH6" i="10"/>
  <c r="EVL6" i="10"/>
  <c r="EVP6" i="10"/>
  <c r="EVT6" i="10"/>
  <c r="EVX6" i="10"/>
  <c r="EWB6" i="10"/>
  <c r="EWF6" i="10"/>
  <c r="EWJ6" i="10"/>
  <c r="EWN6" i="10"/>
  <c r="EWR6" i="10"/>
  <c r="EWV6" i="10"/>
  <c r="EWZ6" i="10"/>
  <c r="EXD6" i="10"/>
  <c r="EXH6" i="10"/>
  <c r="EXL6" i="10"/>
  <c r="EXP6" i="10"/>
  <c r="EXT6" i="10"/>
  <c r="EXX6" i="10"/>
  <c r="EYB6" i="10"/>
  <c r="EYF6" i="10"/>
  <c r="EYJ6" i="10"/>
  <c r="EYN6" i="10"/>
  <c r="EYR6" i="10"/>
  <c r="EYV6" i="10"/>
  <c r="EYZ6" i="10"/>
  <c r="EZD6" i="10"/>
  <c r="EZH6" i="10"/>
  <c r="EZL6" i="10"/>
  <c r="EZP6" i="10"/>
  <c r="EZT6" i="10"/>
  <c r="EZX6" i="10"/>
  <c r="FAB6" i="10"/>
  <c r="FAF6" i="10"/>
  <c r="FAJ6" i="10"/>
  <c r="FAN6" i="10"/>
  <c r="FAR6" i="10"/>
  <c r="FAV6" i="10"/>
  <c r="FAZ6" i="10"/>
  <c r="FBD6" i="10"/>
  <c r="FBH6" i="10"/>
  <c r="FBL6" i="10"/>
  <c r="FBP6" i="10"/>
  <c r="FBT6" i="10"/>
  <c r="FBX6" i="10"/>
  <c r="FCB6" i="10"/>
  <c r="FCF6" i="10"/>
  <c r="FCJ6" i="10"/>
  <c r="FCN6" i="10"/>
  <c r="FCR6" i="10"/>
  <c r="FCV6" i="10"/>
  <c r="FCZ6" i="10"/>
  <c r="FDD6" i="10"/>
  <c r="FDH6" i="10"/>
  <c r="FDL6" i="10"/>
  <c r="FDP6" i="10"/>
  <c r="FDT6" i="10"/>
  <c r="FDX6" i="10"/>
  <c r="FEB6" i="10"/>
  <c r="FEF6" i="10"/>
  <c r="FEJ6" i="10"/>
  <c r="FEN6" i="10"/>
  <c r="FER6" i="10"/>
  <c r="FEV6" i="10"/>
  <c r="FEZ6" i="10"/>
  <c r="FFD6" i="10"/>
  <c r="FFH6" i="10"/>
  <c r="FFL6" i="10"/>
  <c r="FFP6" i="10"/>
  <c r="FFT6" i="10"/>
  <c r="FFX6" i="10"/>
  <c r="FGB6" i="10"/>
  <c r="FGF6" i="10"/>
  <c r="FGJ6" i="10"/>
  <c r="FGN6" i="10"/>
  <c r="FGR6" i="10"/>
  <c r="FGV6" i="10"/>
  <c r="FGZ6" i="10"/>
  <c r="FHD6" i="10"/>
  <c r="FHH6" i="10"/>
  <c r="FHL6" i="10"/>
  <c r="FHP6" i="10"/>
  <c r="FHT6" i="10"/>
  <c r="FHX6" i="10"/>
  <c r="AKK6" i="10"/>
  <c r="AXN6" i="10"/>
  <c r="BFI6" i="10"/>
  <c r="BLX6" i="10"/>
  <c r="BRT6" i="10"/>
  <c r="BVS6" i="10"/>
  <c r="BYE6" i="10"/>
  <c r="CAQ6" i="10"/>
  <c r="CDC6" i="10"/>
  <c r="CFA6" i="10"/>
  <c r="CGR6" i="10"/>
  <c r="CII6" i="10"/>
  <c r="CJY6" i="10"/>
  <c r="CLP6" i="10"/>
  <c r="CNG6" i="10"/>
  <c r="COW6" i="10"/>
  <c r="CQN6" i="10"/>
  <c r="CRY6" i="10"/>
  <c r="CTE6" i="10"/>
  <c r="CUK6" i="10"/>
  <c r="CVJ6" i="10"/>
  <c r="CWF6" i="10"/>
  <c r="CXA6" i="10"/>
  <c r="CXV6" i="10"/>
  <c r="CYR6" i="10"/>
  <c r="CZM6" i="10"/>
  <c r="DAH6" i="10"/>
  <c r="DBD6" i="10"/>
  <c r="DBY6" i="10"/>
  <c r="DCT6" i="10"/>
  <c r="DDP6" i="10"/>
  <c r="DEK6" i="10"/>
  <c r="DFF6" i="10"/>
  <c r="DGB6" i="10"/>
  <c r="DGW6" i="10"/>
  <c r="DHR6" i="10"/>
  <c r="DIN6" i="10"/>
  <c r="DJI6" i="10"/>
  <c r="DKD6" i="10"/>
  <c r="DKZ6" i="10"/>
  <c r="DLU6" i="10"/>
  <c r="DMM6" i="10"/>
  <c r="DNB6" i="10"/>
  <c r="DNJ6" i="10"/>
  <c r="DNO6" i="10"/>
  <c r="DNU6" i="10"/>
  <c r="DNY6" i="10"/>
  <c r="DOC6" i="10"/>
  <c r="DOG6" i="10"/>
  <c r="DOK6" i="10"/>
  <c r="DOO6" i="10"/>
  <c r="DOS6" i="10"/>
  <c r="DOW6" i="10"/>
  <c r="DPA6" i="10"/>
  <c r="DPE6" i="10"/>
  <c r="DPI6" i="10"/>
  <c r="DPM6" i="10"/>
  <c r="DPQ6" i="10"/>
  <c r="DPU6" i="10"/>
  <c r="DPY6" i="10"/>
  <c r="DQC6" i="10"/>
  <c r="DQG6" i="10"/>
  <c r="DQK6" i="10"/>
  <c r="DQO6" i="10"/>
  <c r="DQS6" i="10"/>
  <c r="DQW6" i="10"/>
  <c r="DRA6" i="10"/>
  <c r="DRE6" i="10"/>
  <c r="DRI6" i="10"/>
  <c r="DRM6" i="10"/>
  <c r="DRQ6" i="10"/>
  <c r="DRU6" i="10"/>
  <c r="DRY6" i="10"/>
  <c r="DSC6" i="10"/>
  <c r="DSG6" i="10"/>
  <c r="DSK6" i="10"/>
  <c r="DSO6" i="10"/>
  <c r="DSS6" i="10"/>
  <c r="DSW6" i="10"/>
  <c r="DTA6" i="10"/>
  <c r="DTE6" i="10"/>
  <c r="DTI6" i="10"/>
  <c r="DTM6" i="10"/>
  <c r="DTQ6" i="10"/>
  <c r="DTU6" i="10"/>
  <c r="DTY6" i="10"/>
  <c r="DUC6" i="10"/>
  <c r="DUG6" i="10"/>
  <c r="DUK6" i="10"/>
  <c r="DUO6" i="10"/>
  <c r="DUS6" i="10"/>
  <c r="DUW6" i="10"/>
  <c r="DVA6" i="10"/>
  <c r="DVE6" i="10"/>
  <c r="DVI6" i="10"/>
  <c r="DVM6" i="10"/>
  <c r="DVQ6" i="10"/>
  <c r="DVU6" i="10"/>
  <c r="DVY6" i="10"/>
  <c r="DWC6" i="10"/>
  <c r="DWG6" i="10"/>
  <c r="DWK6" i="10"/>
  <c r="DWO6" i="10"/>
  <c r="DWS6" i="10"/>
  <c r="DWW6" i="10"/>
  <c r="DXA6" i="10"/>
  <c r="DXE6" i="10"/>
  <c r="DXI6" i="10"/>
  <c r="DXM6" i="10"/>
  <c r="DXQ6" i="10"/>
  <c r="DXU6" i="10"/>
  <c r="DXY6" i="10"/>
  <c r="DYC6" i="10"/>
  <c r="DYG6" i="10"/>
  <c r="DYK6" i="10"/>
  <c r="DYO6" i="10"/>
  <c r="DYS6" i="10"/>
  <c r="DYW6" i="10"/>
  <c r="DZA6" i="10"/>
  <c r="DZE6" i="10"/>
  <c r="DZI6" i="10"/>
  <c r="DZM6" i="10"/>
  <c r="DZQ6" i="10"/>
  <c r="DZU6" i="10"/>
  <c r="DZY6" i="10"/>
  <c r="EAC6" i="10"/>
  <c r="EAG6" i="10"/>
  <c r="EAK6" i="10"/>
  <c r="EAO6" i="10"/>
  <c r="EAS6" i="10"/>
  <c r="EAW6" i="10"/>
  <c r="EBA6" i="10"/>
  <c r="EBE6" i="10"/>
  <c r="EBI6" i="10"/>
  <c r="EBM6" i="10"/>
  <c r="EBQ6" i="10"/>
  <c r="EBU6" i="10"/>
  <c r="EBY6" i="10"/>
  <c r="ECC6" i="10"/>
  <c r="ECG6" i="10"/>
  <c r="ECK6" i="10"/>
  <c r="ECO6" i="10"/>
  <c r="ECS6" i="10"/>
  <c r="ECW6" i="10"/>
  <c r="EDA6" i="10"/>
  <c r="EDE6" i="10"/>
  <c r="EDI6" i="10"/>
  <c r="EDM6" i="10"/>
  <c r="EDQ6" i="10"/>
  <c r="EDU6" i="10"/>
  <c r="EDY6" i="10"/>
  <c r="EEC6" i="10"/>
  <c r="EEG6" i="10"/>
  <c r="EEK6" i="10"/>
  <c r="EEO6" i="10"/>
  <c r="EES6" i="10"/>
  <c r="EEW6" i="10"/>
  <c r="EFA6" i="10"/>
  <c r="EFE6" i="10"/>
  <c r="EFI6" i="10"/>
  <c r="EFM6" i="10"/>
  <c r="EFQ6" i="10"/>
  <c r="EFU6" i="10"/>
  <c r="EFY6" i="10"/>
  <c r="EGC6" i="10"/>
  <c r="EGG6" i="10"/>
  <c r="EGK6" i="10"/>
  <c r="EGO6" i="10"/>
  <c r="EGS6" i="10"/>
  <c r="EGW6" i="10"/>
  <c r="EHA6" i="10"/>
  <c r="EHE6" i="10"/>
  <c r="EHI6" i="10"/>
  <c r="EHM6" i="10"/>
  <c r="EHQ6" i="10"/>
  <c r="EHU6" i="10"/>
  <c r="EHY6" i="10"/>
  <c r="EIC6" i="10"/>
  <c r="EIG6" i="10"/>
  <c r="EIK6" i="10"/>
  <c r="EIO6" i="10"/>
  <c r="EIS6" i="10"/>
  <c r="EIW6" i="10"/>
  <c r="EJA6" i="10"/>
  <c r="EJE6" i="10"/>
  <c r="EJI6" i="10"/>
  <c r="EJM6" i="10"/>
  <c r="EJQ6" i="10"/>
  <c r="EJU6" i="10"/>
  <c r="EJY6" i="10"/>
  <c r="EKC6" i="10"/>
  <c r="EKG6" i="10"/>
  <c r="EKK6" i="10"/>
  <c r="EKO6" i="10"/>
  <c r="EKS6" i="10"/>
  <c r="EKW6" i="10"/>
  <c r="ELA6" i="10"/>
  <c r="ELE6" i="10"/>
  <c r="ELI6" i="10"/>
  <c r="ELM6" i="10"/>
  <c r="ELQ6" i="10"/>
  <c r="ELU6" i="10"/>
  <c r="ELY6" i="10"/>
  <c r="EMC6" i="10"/>
  <c r="EMG6" i="10"/>
  <c r="EMK6" i="10"/>
  <c r="EMO6" i="10"/>
  <c r="EMS6" i="10"/>
  <c r="EMW6" i="10"/>
  <c r="ENA6" i="10"/>
  <c r="ENE6" i="10"/>
  <c r="ENI6" i="10"/>
  <c r="ENM6" i="10"/>
  <c r="ENQ6" i="10"/>
  <c r="ENU6" i="10"/>
  <c r="ENY6" i="10"/>
  <c r="EOC6" i="10"/>
  <c r="EOG6" i="10"/>
  <c r="EOK6" i="10"/>
  <c r="EOO6" i="10"/>
  <c r="EOS6" i="10"/>
  <c r="EOW6" i="10"/>
  <c r="EPA6" i="10"/>
  <c r="EPE6" i="10"/>
  <c r="EPI6" i="10"/>
  <c r="EPM6" i="10"/>
  <c r="EPQ6" i="10"/>
  <c r="EPU6" i="10"/>
  <c r="EPY6" i="10"/>
  <c r="EQC6" i="10"/>
  <c r="EQG6" i="10"/>
  <c r="EQK6" i="10"/>
  <c r="EQO6" i="10"/>
  <c r="EQS6" i="10"/>
  <c r="EQW6" i="10"/>
  <c r="ERA6" i="10"/>
  <c r="ERE6" i="10"/>
  <c r="ERI6" i="10"/>
  <c r="ERM6" i="10"/>
  <c r="ERQ6" i="10"/>
  <c r="ERU6" i="10"/>
  <c r="ERY6" i="10"/>
  <c r="ESC6" i="10"/>
  <c r="ESG6" i="10"/>
  <c r="ESK6" i="10"/>
  <c r="ESO6" i="10"/>
  <c r="ESS6" i="10"/>
  <c r="ESW6" i="10"/>
  <c r="ETA6" i="10"/>
  <c r="ETE6" i="10"/>
  <c r="ETI6" i="10"/>
  <c r="ETM6" i="10"/>
  <c r="ETQ6" i="10"/>
  <c r="ETU6" i="10"/>
  <c r="ETY6" i="10"/>
  <c r="EUC6" i="10"/>
  <c r="EUG6" i="10"/>
  <c r="EUK6" i="10"/>
  <c r="EUO6" i="10"/>
  <c r="EUS6" i="10"/>
  <c r="EUW6" i="10"/>
  <c r="EVA6" i="10"/>
  <c r="EVE6" i="10"/>
  <c r="EVI6" i="10"/>
  <c r="EVM6" i="10"/>
  <c r="EVQ6" i="10"/>
  <c r="EVU6" i="10"/>
  <c r="EVY6" i="10"/>
  <c r="EWC6" i="10"/>
  <c r="EWG6" i="10"/>
  <c r="EWK6" i="10"/>
  <c r="EWO6" i="10"/>
  <c r="EWS6" i="10"/>
  <c r="EWW6" i="10"/>
  <c r="EXA6" i="10"/>
  <c r="EXE6" i="10"/>
  <c r="EXI6" i="10"/>
  <c r="EXM6" i="10"/>
  <c r="EXQ6" i="10"/>
  <c r="EXU6" i="10"/>
  <c r="EXY6" i="10"/>
  <c r="EYC6" i="10"/>
  <c r="EYG6" i="10"/>
  <c r="EYK6" i="10"/>
  <c r="EYO6" i="10"/>
  <c r="EYS6" i="10"/>
  <c r="EYW6" i="10"/>
  <c r="EZA6" i="10"/>
  <c r="EZE6" i="10"/>
  <c r="EZI6" i="10"/>
  <c r="EZM6" i="10"/>
  <c r="EZQ6" i="10"/>
  <c r="EZU6" i="10"/>
  <c r="EZY6" i="10"/>
  <c r="FAC6" i="10"/>
  <c r="FAG6" i="10"/>
  <c r="FAK6" i="10"/>
  <c r="FAO6" i="10"/>
  <c r="FAS6" i="10"/>
  <c r="FAW6" i="10"/>
  <c r="FBA6" i="10"/>
  <c r="FBE6" i="10"/>
  <c r="FBI6" i="10"/>
  <c r="FBM6" i="10"/>
  <c r="FBQ6" i="10"/>
  <c r="FBU6" i="10"/>
  <c r="FBY6" i="10"/>
  <c r="FCC6" i="10"/>
  <c r="FCG6" i="10"/>
  <c r="FCK6" i="10"/>
  <c r="FCO6" i="10"/>
  <c r="FCS6" i="10"/>
  <c r="FCW6" i="10"/>
  <c r="FDA6" i="10"/>
  <c r="FDE6" i="10"/>
  <c r="FDI6" i="10"/>
  <c r="FDM6" i="10"/>
  <c r="FDQ6" i="10"/>
  <c r="FDU6" i="10"/>
  <c r="FDY6" i="10"/>
  <c r="FEC6" i="10"/>
  <c r="FEG6" i="10"/>
  <c r="FEK6" i="10"/>
  <c r="FEO6" i="10"/>
  <c r="FES6" i="10"/>
  <c r="FEW6" i="10"/>
  <c r="FFA6" i="10"/>
  <c r="FFE6" i="10"/>
  <c r="FFI6" i="10"/>
  <c r="FFM6" i="10"/>
  <c r="FFQ6" i="10"/>
  <c r="FFU6" i="10"/>
  <c r="FFY6" i="10"/>
  <c r="FGC6" i="10"/>
  <c r="FGG6" i="10"/>
  <c r="FGK6" i="10"/>
  <c r="FGO6" i="10"/>
  <c r="FGS6" i="10"/>
  <c r="FGW6" i="10"/>
  <c r="FHA6" i="10"/>
  <c r="FHE6" i="10"/>
  <c r="ANR6" i="10"/>
  <c r="BSZ6" i="10"/>
  <c r="CDS6" i="10"/>
  <c r="CKJ6" i="10"/>
  <c r="CQY6" i="10"/>
  <c r="CVP6" i="10"/>
  <c r="CYW6" i="10"/>
  <c r="DCD6" i="10"/>
  <c r="DFL6" i="10"/>
  <c r="DIS6" i="10"/>
  <c r="DLZ6" i="10"/>
  <c r="DNQ6" i="10"/>
  <c r="DOH6" i="10"/>
  <c r="DOX6" i="10"/>
  <c r="DPN6" i="10"/>
  <c r="DQD6" i="10"/>
  <c r="DQT6" i="10"/>
  <c r="DRJ6" i="10"/>
  <c r="DRZ6" i="10"/>
  <c r="DSP6" i="10"/>
  <c r="DTF6" i="10"/>
  <c r="DTV6" i="10"/>
  <c r="DUL6" i="10"/>
  <c r="DVB6" i="10"/>
  <c r="DVR6" i="10"/>
  <c r="DWH6" i="10"/>
  <c r="DWX6" i="10"/>
  <c r="DXN6" i="10"/>
  <c r="DYD6" i="10"/>
  <c r="DYT6" i="10"/>
  <c r="DZJ6" i="10"/>
  <c r="DZZ6" i="10"/>
  <c r="EAP6" i="10"/>
  <c r="EBF6" i="10"/>
  <c r="EBV6" i="10"/>
  <c r="ECL6" i="10"/>
  <c r="EDB6" i="10"/>
  <c r="EDR6" i="10"/>
  <c r="EEH6" i="10"/>
  <c r="EEX6" i="10"/>
  <c r="EFN6" i="10"/>
  <c r="EGD6" i="10"/>
  <c r="EGT6" i="10"/>
  <c r="EHJ6" i="10"/>
  <c r="EHZ6" i="10"/>
  <c r="EIP6" i="10"/>
  <c r="EJF6" i="10"/>
  <c r="EJV6" i="10"/>
  <c r="EKL6" i="10"/>
  <c r="ELB6" i="10"/>
  <c r="ELR6" i="10"/>
  <c r="EMH6" i="10"/>
  <c r="EMX6" i="10"/>
  <c r="ENN6" i="10"/>
  <c r="EOD6" i="10"/>
  <c r="EOT6" i="10"/>
  <c r="EPJ6" i="10"/>
  <c r="EPZ6" i="10"/>
  <c r="EQP6" i="10"/>
  <c r="ERF6" i="10"/>
  <c r="ERV6" i="10"/>
  <c r="ESL6" i="10"/>
  <c r="ETB6" i="10"/>
  <c r="ETR6" i="10"/>
  <c r="EUH6" i="10"/>
  <c r="EUX6" i="10"/>
  <c r="EVN6" i="10"/>
  <c r="EWD6" i="10"/>
  <c r="EWT6" i="10"/>
  <c r="EXJ6" i="10"/>
  <c r="EXZ6" i="10"/>
  <c r="EYP6" i="10"/>
  <c r="EZF6" i="10"/>
  <c r="EZV6" i="10"/>
  <c r="FAL6" i="10"/>
  <c r="FBB6" i="10"/>
  <c r="FBR6" i="10"/>
  <c r="FCH6" i="10"/>
  <c r="FCX6" i="10"/>
  <c r="FDN6" i="10"/>
  <c r="FED6" i="10"/>
  <c r="FET6" i="10"/>
  <c r="FFJ6" i="10"/>
  <c r="FFZ6" i="10"/>
  <c r="FGP6" i="10"/>
  <c r="FHB6" i="10"/>
  <c r="FHI6" i="10"/>
  <c r="FHN6" i="10"/>
  <c r="FHS6" i="10"/>
  <c r="FHY6" i="10"/>
  <c r="FIC6" i="10"/>
  <c r="FIG6" i="10"/>
  <c r="FIK6" i="10"/>
  <c r="FIO6" i="10"/>
  <c r="FIS6" i="10"/>
  <c r="FIW6" i="10"/>
  <c r="FJA6" i="10"/>
  <c r="FJE6" i="10"/>
  <c r="FJI6" i="10"/>
  <c r="FJM6" i="10"/>
  <c r="FJQ6" i="10"/>
  <c r="FJU6" i="10"/>
  <c r="FJY6" i="10"/>
  <c r="FKC6" i="10"/>
  <c r="FKG6" i="10"/>
  <c r="FKK6" i="10"/>
  <c r="FKO6" i="10"/>
  <c r="FKS6" i="10"/>
  <c r="FKW6" i="10"/>
  <c r="FLA6" i="10"/>
  <c r="FLE6" i="10"/>
  <c r="FLI6" i="10"/>
  <c r="FLM6" i="10"/>
  <c r="FLQ6" i="10"/>
  <c r="FLU6" i="10"/>
  <c r="FLY6" i="10"/>
  <c r="FMC6" i="10"/>
  <c r="FMG6" i="10"/>
  <c r="FMK6" i="10"/>
  <c r="FMO6" i="10"/>
  <c r="FMS6" i="10"/>
  <c r="FMW6" i="10"/>
  <c r="FNA6" i="10"/>
  <c r="FNE6" i="10"/>
  <c r="FNI6" i="10"/>
  <c r="FNM6" i="10"/>
  <c r="FNQ6" i="10"/>
  <c r="FNU6" i="10"/>
  <c r="FNY6" i="10"/>
  <c r="FOC6" i="10"/>
  <c r="FOG6" i="10"/>
  <c r="FOK6" i="10"/>
  <c r="FOO6" i="10"/>
  <c r="FOS6" i="10"/>
  <c r="FOW6" i="10"/>
  <c r="FPA6" i="10"/>
  <c r="FPE6" i="10"/>
  <c r="FPI6" i="10"/>
  <c r="FPM6" i="10"/>
  <c r="FPQ6" i="10"/>
  <c r="FPU6" i="10"/>
  <c r="FPY6" i="10"/>
  <c r="FQC6" i="10"/>
  <c r="FQG6" i="10"/>
  <c r="FQK6" i="10"/>
  <c r="FQO6" i="10"/>
  <c r="FQS6" i="10"/>
  <c r="FQW6" i="10"/>
  <c r="FRA6" i="10"/>
  <c r="FRE6" i="10"/>
  <c r="FRI6" i="10"/>
  <c r="FRM6" i="10"/>
  <c r="FRQ6" i="10"/>
  <c r="FRU6" i="10"/>
  <c r="FRY6" i="10"/>
  <c r="FSC6" i="10"/>
  <c r="FSG6" i="10"/>
  <c r="FSK6" i="10"/>
  <c r="FSO6" i="10"/>
  <c r="FSS6" i="10"/>
  <c r="FSW6" i="10"/>
  <c r="FTA6" i="10"/>
  <c r="FTE6" i="10"/>
  <c r="FTI6" i="10"/>
  <c r="FTM6" i="10"/>
  <c r="FTQ6" i="10"/>
  <c r="FTU6" i="10"/>
  <c r="FTY6" i="10"/>
  <c r="FUC6" i="10"/>
  <c r="FUG6" i="10"/>
  <c r="FUK6" i="10"/>
  <c r="FUO6" i="10"/>
  <c r="FUS6" i="10"/>
  <c r="FUW6" i="10"/>
  <c r="FVA6" i="10"/>
  <c r="FVE6" i="10"/>
  <c r="FVI6" i="10"/>
  <c r="FVM6" i="10"/>
  <c r="FVQ6" i="10"/>
  <c r="FVU6" i="10"/>
  <c r="FVY6" i="10"/>
  <c r="FWC6" i="10"/>
  <c r="FWG6" i="10"/>
  <c r="FWK6" i="10"/>
  <c r="FWO6" i="10"/>
  <c r="FWS6" i="10"/>
  <c r="FWW6" i="10"/>
  <c r="FXA6" i="10"/>
  <c r="FXE6" i="10"/>
  <c r="FXI6" i="10"/>
  <c r="FXM6" i="10"/>
  <c r="FXQ6" i="10"/>
  <c r="FXU6" i="10"/>
  <c r="FXY6" i="10"/>
  <c r="FYC6" i="10"/>
  <c r="FYG6" i="10"/>
  <c r="FYK6" i="10"/>
  <c r="FYO6" i="10"/>
  <c r="FYS6" i="10"/>
  <c r="FYW6" i="10"/>
  <c r="FZA6" i="10"/>
  <c r="FZE6" i="10"/>
  <c r="FZI6" i="10"/>
  <c r="FZM6" i="10"/>
  <c r="FZQ6" i="10"/>
  <c r="FZU6" i="10"/>
  <c r="FZY6" i="10"/>
  <c r="GAC6" i="10"/>
  <c r="GAG6" i="10"/>
  <c r="GAK6" i="10"/>
  <c r="GAO6" i="10"/>
  <c r="GAS6" i="10"/>
  <c r="GAW6" i="10"/>
  <c r="GBA6" i="10"/>
  <c r="GBE6" i="10"/>
  <c r="GBI6" i="10"/>
  <c r="GBM6" i="10"/>
  <c r="GBQ6" i="10"/>
  <c r="GBU6" i="10"/>
  <c r="GBY6" i="10"/>
  <c r="GCC6" i="10"/>
  <c r="GCG6" i="10"/>
  <c r="GCK6" i="10"/>
  <c r="GCO6" i="10"/>
  <c r="GCS6" i="10"/>
  <c r="GCW6" i="10"/>
  <c r="GDA6" i="10"/>
  <c r="GDE6" i="10"/>
  <c r="GDI6" i="10"/>
  <c r="GDM6" i="10"/>
  <c r="GDQ6" i="10"/>
  <c r="GDU6" i="10"/>
  <c r="GDY6" i="10"/>
  <c r="GEC6" i="10"/>
  <c r="GEG6" i="10"/>
  <c r="GEK6" i="10"/>
  <c r="GEO6" i="10"/>
  <c r="GES6" i="10"/>
  <c r="GEW6" i="10"/>
  <c r="GFA6" i="10"/>
  <c r="GFE6" i="10"/>
  <c r="GFI6" i="10"/>
  <c r="GFM6" i="10"/>
  <c r="GFQ6" i="10"/>
  <c r="GFU6" i="10"/>
  <c r="GFY6" i="10"/>
  <c r="GGC6" i="10"/>
  <c r="GGG6" i="10"/>
  <c r="GGK6" i="10"/>
  <c r="GGO6" i="10"/>
  <c r="GGS6" i="10"/>
  <c r="GGW6" i="10"/>
  <c r="GHA6" i="10"/>
  <c r="GHE6" i="10"/>
  <c r="GHI6" i="10"/>
  <c r="GHM6" i="10"/>
  <c r="GHQ6" i="10"/>
  <c r="GHU6" i="10"/>
  <c r="GHY6" i="10"/>
  <c r="GIC6" i="10"/>
  <c r="GIG6" i="10"/>
  <c r="GIK6" i="10"/>
  <c r="GIO6" i="10"/>
  <c r="GIS6" i="10"/>
  <c r="GIW6" i="10"/>
  <c r="GJA6" i="10"/>
  <c r="GJE6" i="10"/>
  <c r="GJI6" i="10"/>
  <c r="GJM6" i="10"/>
  <c r="GJQ6" i="10"/>
  <c r="GJU6" i="10"/>
  <c r="GJY6" i="10"/>
  <c r="GKC6" i="10"/>
  <c r="GKG6" i="10"/>
  <c r="GKK6" i="10"/>
  <c r="GKO6" i="10"/>
  <c r="GKS6" i="10"/>
  <c r="GKW6" i="10"/>
  <c r="GLA6" i="10"/>
  <c r="GLE6" i="10"/>
  <c r="GLI6" i="10"/>
  <c r="GLM6" i="10"/>
  <c r="GLQ6" i="10"/>
  <c r="GLU6" i="10"/>
  <c r="GLY6" i="10"/>
  <c r="GMC6" i="10"/>
  <c r="GMG6" i="10"/>
  <c r="GMK6" i="10"/>
  <c r="GMO6" i="10"/>
  <c r="GMS6" i="10"/>
  <c r="GMW6" i="10"/>
  <c r="GNA6" i="10"/>
  <c r="GNE6" i="10"/>
  <c r="GNI6" i="10"/>
  <c r="GNM6" i="10"/>
  <c r="GNQ6" i="10"/>
  <c r="GNU6" i="10"/>
  <c r="GNY6" i="10"/>
  <c r="GOC6" i="10"/>
  <c r="GOG6" i="10"/>
  <c r="GOK6" i="10"/>
  <c r="GOO6" i="10"/>
  <c r="GOS6" i="10"/>
  <c r="GOW6" i="10"/>
  <c r="GPA6" i="10"/>
  <c r="GPE6" i="10"/>
  <c r="GPI6" i="10"/>
  <c r="GPM6" i="10"/>
  <c r="GPQ6" i="10"/>
  <c r="GPU6" i="10"/>
  <c r="GPY6" i="10"/>
  <c r="GQC6" i="10"/>
  <c r="GQG6" i="10"/>
  <c r="GQK6" i="10"/>
  <c r="GQO6" i="10"/>
  <c r="GQS6" i="10"/>
  <c r="GQW6" i="10"/>
  <c r="GRA6" i="10"/>
  <c r="GRE6" i="10"/>
  <c r="GRI6" i="10"/>
  <c r="GRM6" i="10"/>
  <c r="GRQ6" i="10"/>
  <c r="GRU6" i="10"/>
  <c r="GRY6" i="10"/>
  <c r="GSC6" i="10"/>
  <c r="GSG6" i="10"/>
  <c r="GSK6" i="10"/>
  <c r="GSO6" i="10"/>
  <c r="GSS6" i="10"/>
  <c r="GSW6" i="10"/>
  <c r="GTA6" i="10"/>
  <c r="GTE6" i="10"/>
  <c r="GTI6" i="10"/>
  <c r="GTM6" i="10"/>
  <c r="GTQ6" i="10"/>
  <c r="GTU6" i="10"/>
  <c r="GTY6" i="10"/>
  <c r="GUC6" i="10"/>
  <c r="GUG6" i="10"/>
  <c r="GUK6" i="10"/>
  <c r="GUO6" i="10"/>
  <c r="GUS6" i="10"/>
  <c r="GUW6" i="10"/>
  <c r="GVA6" i="10"/>
  <c r="GVE6" i="10"/>
  <c r="GVI6" i="10"/>
  <c r="GVM6" i="10"/>
  <c r="GVQ6" i="10"/>
  <c r="GVU6" i="10"/>
  <c r="GVY6" i="10"/>
  <c r="GWC6" i="10"/>
  <c r="GWG6" i="10"/>
  <c r="GWK6" i="10"/>
  <c r="GWO6" i="10"/>
  <c r="GWS6" i="10"/>
  <c r="GWW6" i="10"/>
  <c r="GXA6" i="10"/>
  <c r="GXE6" i="10"/>
  <c r="GXI6" i="10"/>
  <c r="GXM6" i="10"/>
  <c r="GXQ6" i="10"/>
  <c r="GXU6" i="10"/>
  <c r="GXY6" i="10"/>
  <c r="GYC6" i="10"/>
  <c r="GYG6" i="10"/>
  <c r="GYK6" i="10"/>
  <c r="GYO6" i="10"/>
  <c r="GYS6" i="10"/>
  <c r="GYW6" i="10"/>
  <c r="GZA6" i="10"/>
  <c r="GZE6" i="10"/>
  <c r="GZI6" i="10"/>
  <c r="GZM6" i="10"/>
  <c r="GZQ6" i="10"/>
  <c r="GZU6" i="10"/>
  <c r="GZY6" i="10"/>
  <c r="HAC6" i="10"/>
  <c r="HAG6" i="10"/>
  <c r="HAK6" i="10"/>
  <c r="HAO6" i="10"/>
  <c r="HAS6" i="10"/>
  <c r="HAW6" i="10"/>
  <c r="HBA6" i="10"/>
  <c r="HBE6" i="10"/>
  <c r="HBI6" i="10"/>
  <c r="HBM6" i="10"/>
  <c r="HBQ6" i="10"/>
  <c r="HBU6" i="10"/>
  <c r="HBY6" i="10"/>
  <c r="HCC6" i="10"/>
  <c r="HCG6" i="10"/>
  <c r="HCK6" i="10"/>
  <c r="HCO6" i="10"/>
  <c r="HCS6" i="10"/>
  <c r="HCW6" i="10"/>
  <c r="HDA6" i="10"/>
  <c r="HDE6" i="10"/>
  <c r="HDI6" i="10"/>
  <c r="HDM6" i="10"/>
  <c r="HDQ6" i="10"/>
  <c r="HDU6" i="10"/>
  <c r="HDY6" i="10"/>
  <c r="HEC6" i="10"/>
  <c r="HEG6" i="10"/>
  <c r="HEK6" i="10"/>
  <c r="HEO6" i="10"/>
  <c r="HES6" i="10"/>
  <c r="HEW6" i="10"/>
  <c r="HFA6" i="10"/>
  <c r="HFE6" i="10"/>
  <c r="HFI6" i="10"/>
  <c r="HFM6" i="10"/>
  <c r="HFQ6" i="10"/>
  <c r="HFU6" i="10"/>
  <c r="HFY6" i="10"/>
  <c r="HGC6" i="10"/>
  <c r="HGG6" i="10"/>
  <c r="HGK6" i="10"/>
  <c r="HGO6" i="10"/>
  <c r="HGS6" i="10"/>
  <c r="HGW6" i="10"/>
  <c r="HHA6" i="10"/>
  <c r="HHE6" i="10"/>
  <c r="HHI6" i="10"/>
  <c r="HHM6" i="10"/>
  <c r="HHQ6" i="10"/>
  <c r="HHU6" i="10"/>
  <c r="HHY6" i="10"/>
  <c r="HIC6" i="10"/>
  <c r="HIG6" i="10"/>
  <c r="HIK6" i="10"/>
  <c r="HIO6" i="10"/>
  <c r="HIS6" i="10"/>
  <c r="HIW6" i="10"/>
  <c r="HJA6" i="10"/>
  <c r="HJE6" i="10"/>
  <c r="HJI6" i="10"/>
  <c r="HJM6" i="10"/>
  <c r="HJQ6" i="10"/>
  <c r="HJU6" i="10"/>
  <c r="HJY6" i="10"/>
  <c r="HKC6" i="10"/>
  <c r="HKG6" i="10"/>
  <c r="HKK6" i="10"/>
  <c r="HKO6" i="10"/>
  <c r="HKS6" i="10"/>
  <c r="HKW6" i="10"/>
  <c r="HLA6" i="10"/>
  <c r="HLE6" i="10"/>
  <c r="HLI6" i="10"/>
  <c r="HLM6" i="10"/>
  <c r="HLQ6" i="10"/>
  <c r="HLU6" i="10"/>
  <c r="HLY6" i="10"/>
  <c r="HMC6" i="10"/>
  <c r="HMG6" i="10"/>
  <c r="HMK6" i="10"/>
  <c r="HMO6" i="10"/>
  <c r="HMS6" i="10"/>
  <c r="HMW6" i="10"/>
  <c r="HNA6" i="10"/>
  <c r="HNE6" i="10"/>
  <c r="HNI6" i="10"/>
  <c r="HNM6" i="10"/>
  <c r="HNQ6" i="10"/>
  <c r="HNU6" i="10"/>
  <c r="HNY6" i="10"/>
  <c r="HOC6" i="10"/>
  <c r="HOG6" i="10"/>
  <c r="HOK6" i="10"/>
  <c r="HOO6" i="10"/>
  <c r="HOS6" i="10"/>
  <c r="HOW6" i="10"/>
  <c r="HPA6" i="10"/>
  <c r="HPE6" i="10"/>
  <c r="HPI6" i="10"/>
  <c r="HPM6" i="10"/>
  <c r="HPQ6" i="10"/>
  <c r="HPU6" i="10"/>
  <c r="HPY6" i="10"/>
  <c r="HQC6" i="10"/>
  <c r="HQG6" i="10"/>
  <c r="HQK6" i="10"/>
  <c r="HQO6" i="10"/>
  <c r="HQS6" i="10"/>
  <c r="HQW6" i="10"/>
  <c r="HRA6" i="10"/>
  <c r="HRE6" i="10"/>
  <c r="HRI6" i="10"/>
  <c r="HRM6" i="10"/>
  <c r="HRQ6" i="10"/>
  <c r="HRU6" i="10"/>
  <c r="HRY6" i="10"/>
  <c r="HSC6" i="10"/>
  <c r="HSG6" i="10"/>
  <c r="HSK6" i="10"/>
  <c r="HSO6" i="10"/>
  <c r="HSS6" i="10"/>
  <c r="HSW6" i="10"/>
  <c r="HTA6" i="10"/>
  <c r="HTE6" i="10"/>
  <c r="HTI6" i="10"/>
  <c r="HTM6" i="10"/>
  <c r="HTQ6" i="10"/>
  <c r="HTU6" i="10"/>
  <c r="HTY6" i="10"/>
  <c r="HUC6" i="10"/>
  <c r="HUG6" i="10"/>
  <c r="HUK6" i="10"/>
  <c r="HUO6" i="10"/>
  <c r="HUS6" i="10"/>
  <c r="HUW6" i="10"/>
  <c r="HVA6" i="10"/>
  <c r="HVE6" i="10"/>
  <c r="HVI6" i="10"/>
  <c r="HVM6" i="10"/>
  <c r="HVQ6" i="10"/>
  <c r="HVU6" i="10"/>
  <c r="HVY6" i="10"/>
  <c r="HWC6" i="10"/>
  <c r="HWG6" i="10"/>
  <c r="HWK6" i="10"/>
  <c r="HWO6" i="10"/>
  <c r="HWS6" i="10"/>
  <c r="HWW6" i="10"/>
  <c r="HXA6" i="10"/>
  <c r="HXE6" i="10"/>
  <c r="HXI6" i="10"/>
  <c r="HXM6" i="10"/>
  <c r="HXQ6" i="10"/>
  <c r="HXU6" i="10"/>
  <c r="HXY6" i="10"/>
  <c r="HYC6" i="10"/>
  <c r="HYG6" i="10"/>
  <c r="HYK6" i="10"/>
  <c r="HYO6" i="10"/>
  <c r="HYS6" i="10"/>
  <c r="HYW6" i="10"/>
  <c r="HZA6" i="10"/>
  <c r="HZE6" i="10"/>
  <c r="HZI6" i="10"/>
  <c r="HZM6" i="10"/>
  <c r="HZQ6" i="10"/>
  <c r="HZU6" i="10"/>
  <c r="HZY6" i="10"/>
  <c r="IAC6" i="10"/>
  <c r="IAG6" i="10"/>
  <c r="IAK6" i="10"/>
  <c r="IAO6" i="10"/>
  <c r="IAS6" i="10"/>
  <c r="IAW6" i="10"/>
  <c r="IBA6" i="10"/>
  <c r="IBE6" i="10"/>
  <c r="IBI6" i="10"/>
  <c r="IBM6" i="10"/>
  <c r="IBQ6" i="10"/>
  <c r="IBU6" i="10"/>
  <c r="IBY6" i="10"/>
  <c r="ICC6" i="10"/>
  <c r="ICG6" i="10"/>
  <c r="ICK6" i="10"/>
  <c r="ICO6" i="10"/>
  <c r="ICS6" i="10"/>
  <c r="ICW6" i="10"/>
  <c r="IDA6" i="10"/>
  <c r="IDE6" i="10"/>
  <c r="IDI6" i="10"/>
  <c r="IDM6" i="10"/>
  <c r="IDQ6" i="10"/>
  <c r="IDU6" i="10"/>
  <c r="IDY6" i="10"/>
  <c r="IEC6" i="10"/>
  <c r="IEG6" i="10"/>
  <c r="IEK6" i="10"/>
  <c r="IEO6" i="10"/>
  <c r="IES6" i="10"/>
  <c r="IEW6" i="10"/>
  <c r="IFA6" i="10"/>
  <c r="IFE6" i="10"/>
  <c r="IFI6" i="10"/>
  <c r="IFM6" i="10"/>
  <c r="IFQ6" i="10"/>
  <c r="IFU6" i="10"/>
  <c r="IFY6" i="10"/>
  <c r="IGC6" i="10"/>
  <c r="IGG6" i="10"/>
  <c r="IGK6" i="10"/>
  <c r="IGO6" i="10"/>
  <c r="IGS6" i="10"/>
  <c r="IGW6" i="10"/>
  <c r="IHA6" i="10"/>
  <c r="IHE6" i="10"/>
  <c r="IHI6" i="10"/>
  <c r="IHM6" i="10"/>
  <c r="IHQ6" i="10"/>
  <c r="IHU6" i="10"/>
  <c r="IHY6" i="10"/>
  <c r="IIC6" i="10"/>
  <c r="IIG6" i="10"/>
  <c r="IIK6" i="10"/>
  <c r="IIO6" i="10"/>
  <c r="IIS6" i="10"/>
  <c r="IIW6" i="10"/>
  <c r="IJA6" i="10"/>
  <c r="IJE6" i="10"/>
  <c r="IJI6" i="10"/>
  <c r="IJM6" i="10"/>
  <c r="IJQ6" i="10"/>
  <c r="IJU6" i="10"/>
  <c r="IJY6" i="10"/>
  <c r="IKC6" i="10"/>
  <c r="IKG6" i="10"/>
  <c r="IKK6" i="10"/>
  <c r="IKO6" i="10"/>
  <c r="IKS6" i="10"/>
  <c r="IKW6" i="10"/>
  <c r="ILA6" i="10"/>
  <c r="ILE6" i="10"/>
  <c r="ILI6" i="10"/>
  <c r="ILM6" i="10"/>
  <c r="ILQ6" i="10"/>
  <c r="ILU6" i="10"/>
  <c r="ILY6" i="10"/>
  <c r="IMC6" i="10"/>
  <c r="IMG6" i="10"/>
  <c r="IMK6" i="10"/>
  <c r="IMO6" i="10"/>
  <c r="IMS6" i="10"/>
  <c r="IMW6" i="10"/>
  <c r="INA6" i="10"/>
  <c r="INE6" i="10"/>
  <c r="INI6" i="10"/>
  <c r="INM6" i="10"/>
  <c r="INQ6" i="10"/>
  <c r="INU6" i="10"/>
  <c r="INY6" i="10"/>
  <c r="IOC6" i="10"/>
  <c r="IOG6" i="10"/>
  <c r="IOK6" i="10"/>
  <c r="IOO6" i="10"/>
  <c r="IOS6" i="10"/>
  <c r="IOW6" i="10"/>
  <c r="IPA6" i="10"/>
  <c r="IPE6" i="10"/>
  <c r="IPI6" i="10"/>
  <c r="IPM6" i="10"/>
  <c r="IPQ6" i="10"/>
  <c r="IPU6" i="10"/>
  <c r="IPY6" i="10"/>
  <c r="IQC6" i="10"/>
  <c r="IQG6" i="10"/>
  <c r="IQK6" i="10"/>
  <c r="IQO6" i="10"/>
  <c r="IQS6" i="10"/>
  <c r="IQW6" i="10"/>
  <c r="IRA6" i="10"/>
  <c r="IRE6" i="10"/>
  <c r="IRI6" i="10"/>
  <c r="IRM6" i="10"/>
  <c r="IRQ6" i="10"/>
  <c r="IRU6" i="10"/>
  <c r="IRY6" i="10"/>
  <c r="ISC6" i="10"/>
  <c r="ISG6" i="10"/>
  <c r="ISK6" i="10"/>
  <c r="ISO6" i="10"/>
  <c r="ISS6" i="10"/>
  <c r="ISW6" i="10"/>
  <c r="ITA6" i="10"/>
  <c r="ITE6" i="10"/>
  <c r="ITI6" i="10"/>
  <c r="ITM6" i="10"/>
  <c r="ITQ6" i="10"/>
  <c r="ITU6" i="10"/>
  <c r="ITY6" i="10"/>
  <c r="IUC6" i="10"/>
  <c r="IUG6" i="10"/>
  <c r="IUK6" i="10"/>
  <c r="IUO6" i="10"/>
  <c r="IUS6" i="10"/>
  <c r="IUW6" i="10"/>
  <c r="IVA6" i="10"/>
  <c r="BAD6" i="10"/>
  <c r="BWI6" i="10"/>
  <c r="CFL6" i="10"/>
  <c r="CMA6" i="10"/>
  <c r="CSG6" i="10"/>
  <c r="CWK6" i="10"/>
  <c r="CZR6" i="10"/>
  <c r="DCZ6" i="10"/>
  <c r="DGG6" i="10"/>
  <c r="DJN6" i="10"/>
  <c r="DMQ6" i="10"/>
  <c r="DNV6" i="10"/>
  <c r="DOL6" i="10"/>
  <c r="DPB6" i="10"/>
  <c r="DPR6" i="10"/>
  <c r="DQH6" i="10"/>
  <c r="DQX6" i="10"/>
  <c r="DRN6" i="10"/>
  <c r="DSD6" i="10"/>
  <c r="DST6" i="10"/>
  <c r="DTJ6" i="10"/>
  <c r="DTZ6" i="10"/>
  <c r="DUP6" i="10"/>
  <c r="DVF6" i="10"/>
  <c r="DVV6" i="10"/>
  <c r="DWL6" i="10"/>
  <c r="DXB6" i="10"/>
  <c r="DXR6" i="10"/>
  <c r="DYH6" i="10"/>
  <c r="DYX6" i="10"/>
  <c r="DZN6" i="10"/>
  <c r="EAD6" i="10"/>
  <c r="EAT6" i="10"/>
  <c r="EBJ6" i="10"/>
  <c r="EBZ6" i="10"/>
  <c r="ECP6" i="10"/>
  <c r="EDF6" i="10"/>
  <c r="EDV6" i="10"/>
  <c r="EEL6" i="10"/>
  <c r="EFB6" i="10"/>
  <c r="EFR6" i="10"/>
  <c r="EGH6" i="10"/>
  <c r="EGX6" i="10"/>
  <c r="EHN6" i="10"/>
  <c r="EID6" i="10"/>
  <c r="EIT6" i="10"/>
  <c r="EJJ6" i="10"/>
  <c r="EJZ6" i="10"/>
  <c r="EKP6" i="10"/>
  <c r="ELF6" i="10"/>
  <c r="ELV6" i="10"/>
  <c r="EML6" i="10"/>
  <c r="ENB6" i="10"/>
  <c r="ENR6" i="10"/>
  <c r="EOH6" i="10"/>
  <c r="EOX6" i="10"/>
  <c r="EPN6" i="10"/>
  <c r="EQD6" i="10"/>
  <c r="EQT6" i="10"/>
  <c r="ERJ6" i="10"/>
  <c r="ERZ6" i="10"/>
  <c r="ESP6" i="10"/>
  <c r="ETF6" i="10"/>
  <c r="ETV6" i="10"/>
  <c r="EUL6" i="10"/>
  <c r="EVB6" i="10"/>
  <c r="EVR6" i="10"/>
  <c r="EWH6" i="10"/>
  <c r="EWX6" i="10"/>
  <c r="EXN6" i="10"/>
  <c r="EYD6" i="10"/>
  <c r="EYT6" i="10"/>
  <c r="EZJ6" i="10"/>
  <c r="EZZ6" i="10"/>
  <c r="FAP6" i="10"/>
  <c r="FBF6" i="10"/>
  <c r="FBV6" i="10"/>
  <c r="FCL6" i="10"/>
  <c r="FDB6" i="10"/>
  <c r="FDR6" i="10"/>
  <c r="FEH6" i="10"/>
  <c r="FEX6" i="10"/>
  <c r="FFN6" i="10"/>
  <c r="FGD6" i="10"/>
  <c r="FGT6" i="10"/>
  <c r="FHC6" i="10"/>
  <c r="FHJ6" i="10"/>
  <c r="FHO6" i="10"/>
  <c r="FHU6" i="10"/>
  <c r="FHZ6" i="10"/>
  <c r="FID6" i="10"/>
  <c r="FIH6" i="10"/>
  <c r="FIL6" i="10"/>
  <c r="FIP6" i="10"/>
  <c r="FIT6" i="10"/>
  <c r="FIX6" i="10"/>
  <c r="FJB6" i="10"/>
  <c r="FJF6" i="10"/>
  <c r="FJJ6" i="10"/>
  <c r="FJN6" i="10"/>
  <c r="FJR6" i="10"/>
  <c r="FJV6" i="10"/>
  <c r="FJZ6" i="10"/>
  <c r="FKD6" i="10"/>
  <c r="FKH6" i="10"/>
  <c r="FKL6" i="10"/>
  <c r="FKP6" i="10"/>
  <c r="FKT6" i="10"/>
  <c r="FKX6" i="10"/>
  <c r="FLB6" i="10"/>
  <c r="FLF6" i="10"/>
  <c r="FLJ6" i="10"/>
  <c r="FLN6" i="10"/>
  <c r="FLR6" i="10"/>
  <c r="FLV6" i="10"/>
  <c r="FLZ6" i="10"/>
  <c r="FMD6" i="10"/>
  <c r="FMH6" i="10"/>
  <c r="FML6" i="10"/>
  <c r="FMP6" i="10"/>
  <c r="FMT6" i="10"/>
  <c r="FMX6" i="10"/>
  <c r="FNB6" i="10"/>
  <c r="FNF6" i="10"/>
  <c r="FNJ6" i="10"/>
  <c r="FNN6" i="10"/>
  <c r="FNR6" i="10"/>
  <c r="FNV6" i="10"/>
  <c r="FNZ6" i="10"/>
  <c r="FOD6" i="10"/>
  <c r="FOH6" i="10"/>
  <c r="FOL6" i="10"/>
  <c r="FOP6" i="10"/>
  <c r="FOT6" i="10"/>
  <c r="FOX6" i="10"/>
  <c r="FPB6" i="10"/>
  <c r="FPF6" i="10"/>
  <c r="FPJ6" i="10"/>
  <c r="FPN6" i="10"/>
  <c r="FPR6" i="10"/>
  <c r="FPV6" i="10"/>
  <c r="FPZ6" i="10"/>
  <c r="FQD6" i="10"/>
  <c r="FQH6" i="10"/>
  <c r="FQL6" i="10"/>
  <c r="FQP6" i="10"/>
  <c r="FQT6" i="10"/>
  <c r="FQX6" i="10"/>
  <c r="FRB6" i="10"/>
  <c r="FRF6" i="10"/>
  <c r="FRJ6" i="10"/>
  <c r="FRN6" i="10"/>
  <c r="FRR6" i="10"/>
  <c r="FRV6" i="10"/>
  <c r="FRZ6" i="10"/>
  <c r="FSD6" i="10"/>
  <c r="FSH6" i="10"/>
  <c r="FSL6" i="10"/>
  <c r="FSP6" i="10"/>
  <c r="FST6" i="10"/>
  <c r="FSX6" i="10"/>
  <c r="FTB6" i="10"/>
  <c r="FTF6" i="10"/>
  <c r="FTJ6" i="10"/>
  <c r="FTN6" i="10"/>
  <c r="FTR6" i="10"/>
  <c r="FTV6" i="10"/>
  <c r="FTZ6" i="10"/>
  <c r="FUD6" i="10"/>
  <c r="FUH6" i="10"/>
  <c r="FUL6" i="10"/>
  <c r="FUP6" i="10"/>
  <c r="FUT6" i="10"/>
  <c r="FUX6" i="10"/>
  <c r="FVB6" i="10"/>
  <c r="FVF6" i="10"/>
  <c r="FVJ6" i="10"/>
  <c r="FVN6" i="10"/>
  <c r="FVR6" i="10"/>
  <c r="FVV6" i="10"/>
  <c r="FVZ6" i="10"/>
  <c r="FWD6" i="10"/>
  <c r="FWH6" i="10"/>
  <c r="FWL6" i="10"/>
  <c r="FWP6" i="10"/>
  <c r="FWT6" i="10"/>
  <c r="FWX6" i="10"/>
  <c r="FXB6" i="10"/>
  <c r="FXF6" i="10"/>
  <c r="FXJ6" i="10"/>
  <c r="FXN6" i="10"/>
  <c r="FXR6" i="10"/>
  <c r="FXV6" i="10"/>
  <c r="FXZ6" i="10"/>
  <c r="FYD6" i="10"/>
  <c r="FYH6" i="10"/>
  <c r="FYL6" i="10"/>
  <c r="FYP6" i="10"/>
  <c r="FYT6" i="10"/>
  <c r="FYX6" i="10"/>
  <c r="FZB6" i="10"/>
  <c r="FZF6" i="10"/>
  <c r="FZJ6" i="10"/>
  <c r="FZN6" i="10"/>
  <c r="FZR6" i="10"/>
  <c r="FZV6" i="10"/>
  <c r="FZZ6" i="10"/>
  <c r="GAD6" i="10"/>
  <c r="GAH6" i="10"/>
  <c r="GAL6" i="10"/>
  <c r="GAP6" i="10"/>
  <c r="GAT6" i="10"/>
  <c r="GAX6" i="10"/>
  <c r="GBB6" i="10"/>
  <c r="GBF6" i="10"/>
  <c r="GBJ6" i="10"/>
  <c r="GBN6" i="10"/>
  <c r="GBR6" i="10"/>
  <c r="GBV6" i="10"/>
  <c r="GBZ6" i="10"/>
  <c r="GCD6" i="10"/>
  <c r="GCH6" i="10"/>
  <c r="GCL6" i="10"/>
  <c r="GCP6" i="10"/>
  <c r="GCT6" i="10"/>
  <c r="GCX6" i="10"/>
  <c r="GDB6" i="10"/>
  <c r="GDF6" i="10"/>
  <c r="GDJ6" i="10"/>
  <c r="GDN6" i="10"/>
  <c r="GDR6" i="10"/>
  <c r="GDV6" i="10"/>
  <c r="GDZ6" i="10"/>
  <c r="GED6" i="10"/>
  <c r="GEH6" i="10"/>
  <c r="GEL6" i="10"/>
  <c r="GEP6" i="10"/>
  <c r="GET6" i="10"/>
  <c r="GEX6" i="10"/>
  <c r="GFB6" i="10"/>
  <c r="GFF6" i="10"/>
  <c r="GFJ6" i="10"/>
  <c r="GFN6" i="10"/>
  <c r="GFR6" i="10"/>
  <c r="GFV6" i="10"/>
  <c r="GFZ6" i="10"/>
  <c r="GGD6" i="10"/>
  <c r="GGH6" i="10"/>
  <c r="GGL6" i="10"/>
  <c r="GGP6" i="10"/>
  <c r="GGT6" i="10"/>
  <c r="GGX6" i="10"/>
  <c r="GHB6" i="10"/>
  <c r="GHF6" i="10"/>
  <c r="GHJ6" i="10"/>
  <c r="GHN6" i="10"/>
  <c r="GHR6" i="10"/>
  <c r="GHV6" i="10"/>
  <c r="GHZ6" i="10"/>
  <c r="GID6" i="10"/>
  <c r="GIH6" i="10"/>
  <c r="GIL6" i="10"/>
  <c r="GIP6" i="10"/>
  <c r="GIT6" i="10"/>
  <c r="GIX6" i="10"/>
  <c r="GJB6" i="10"/>
  <c r="GJF6" i="10"/>
  <c r="GJJ6" i="10"/>
  <c r="GJN6" i="10"/>
  <c r="GJR6" i="10"/>
  <c r="GJV6" i="10"/>
  <c r="GJZ6" i="10"/>
  <c r="GKD6" i="10"/>
  <c r="GKH6" i="10"/>
  <c r="GKL6" i="10"/>
  <c r="GKP6" i="10"/>
  <c r="GKT6" i="10"/>
  <c r="GKX6" i="10"/>
  <c r="GLB6" i="10"/>
  <c r="GLF6" i="10"/>
  <c r="GLJ6" i="10"/>
  <c r="GLN6" i="10"/>
  <c r="GLR6" i="10"/>
  <c r="GLV6" i="10"/>
  <c r="GLZ6" i="10"/>
  <c r="GMD6" i="10"/>
  <c r="GMH6" i="10"/>
  <c r="GML6" i="10"/>
  <c r="GMP6" i="10"/>
  <c r="GMT6" i="10"/>
  <c r="GMX6" i="10"/>
  <c r="GNB6" i="10"/>
  <c r="GNF6" i="10"/>
  <c r="GNJ6" i="10"/>
  <c r="GNN6" i="10"/>
  <c r="GNR6" i="10"/>
  <c r="GNV6" i="10"/>
  <c r="GNZ6" i="10"/>
  <c r="GOD6" i="10"/>
  <c r="GOH6" i="10"/>
  <c r="GOL6" i="10"/>
  <c r="GOP6" i="10"/>
  <c r="GOT6" i="10"/>
  <c r="GOX6" i="10"/>
  <c r="GPB6" i="10"/>
  <c r="GPF6" i="10"/>
  <c r="GPJ6" i="10"/>
  <c r="GPN6" i="10"/>
  <c r="GPR6" i="10"/>
  <c r="GPV6" i="10"/>
  <c r="GPZ6" i="10"/>
  <c r="GQD6" i="10"/>
  <c r="GQH6" i="10"/>
  <c r="GQL6" i="10"/>
  <c r="GQP6" i="10"/>
  <c r="GQT6" i="10"/>
  <c r="GQX6" i="10"/>
  <c r="GRB6" i="10"/>
  <c r="GRF6" i="10"/>
  <c r="GRJ6" i="10"/>
  <c r="GRN6" i="10"/>
  <c r="GRR6" i="10"/>
  <c r="GRV6" i="10"/>
  <c r="GRZ6" i="10"/>
  <c r="GSD6" i="10"/>
  <c r="GSH6" i="10"/>
  <c r="GSL6" i="10"/>
  <c r="GSP6" i="10"/>
  <c r="GST6" i="10"/>
  <c r="GSX6" i="10"/>
  <c r="GTB6" i="10"/>
  <c r="GTF6" i="10"/>
  <c r="GTJ6" i="10"/>
  <c r="GTN6" i="10"/>
  <c r="GTR6" i="10"/>
  <c r="GTV6" i="10"/>
  <c r="GTZ6" i="10"/>
  <c r="GUD6" i="10"/>
  <c r="GUH6" i="10"/>
  <c r="GUL6" i="10"/>
  <c r="GUP6" i="10"/>
  <c r="GUT6" i="10"/>
  <c r="GUX6" i="10"/>
  <c r="GVB6" i="10"/>
  <c r="GVF6" i="10"/>
  <c r="GVJ6" i="10"/>
  <c r="GVN6" i="10"/>
  <c r="GVR6" i="10"/>
  <c r="GVV6" i="10"/>
  <c r="GVZ6" i="10"/>
  <c r="GWD6" i="10"/>
  <c r="GWH6" i="10"/>
  <c r="GWL6" i="10"/>
  <c r="GWP6" i="10"/>
  <c r="GWT6" i="10"/>
  <c r="GWX6" i="10"/>
  <c r="GXB6" i="10"/>
  <c r="GXF6" i="10"/>
  <c r="GXJ6" i="10"/>
  <c r="GXN6" i="10"/>
  <c r="GXR6" i="10"/>
  <c r="GXV6" i="10"/>
  <c r="GXZ6" i="10"/>
  <c r="GYD6" i="10"/>
  <c r="GYH6" i="10"/>
  <c r="GYL6" i="10"/>
  <c r="GYP6" i="10"/>
  <c r="GYT6" i="10"/>
  <c r="GYX6" i="10"/>
  <c r="GZB6" i="10"/>
  <c r="GZF6" i="10"/>
  <c r="GZJ6" i="10"/>
  <c r="GZN6" i="10"/>
  <c r="GZR6" i="10"/>
  <c r="GZV6" i="10"/>
  <c r="GZZ6" i="10"/>
  <c r="HAD6" i="10"/>
  <c r="HAH6" i="10"/>
  <c r="HAL6" i="10"/>
  <c r="HAP6" i="10"/>
  <c r="HAT6" i="10"/>
  <c r="HAX6" i="10"/>
  <c r="HBB6" i="10"/>
  <c r="HBF6" i="10"/>
  <c r="HBJ6" i="10"/>
  <c r="HBN6" i="10"/>
  <c r="HBR6" i="10"/>
  <c r="HBV6" i="10"/>
  <c r="HBZ6" i="10"/>
  <c r="HCD6" i="10"/>
  <c r="HCH6" i="10"/>
  <c r="HCL6" i="10"/>
  <c r="HCP6" i="10"/>
  <c r="HCT6" i="10"/>
  <c r="HCX6" i="10"/>
  <c r="HDB6" i="10"/>
  <c r="HDF6" i="10"/>
  <c r="HDJ6" i="10"/>
  <c r="HDN6" i="10"/>
  <c r="HDR6" i="10"/>
  <c r="HDV6" i="10"/>
  <c r="HDZ6" i="10"/>
  <c r="HED6" i="10"/>
  <c r="HEH6" i="10"/>
  <c r="HEL6" i="10"/>
  <c r="HEP6" i="10"/>
  <c r="HET6" i="10"/>
  <c r="HEX6" i="10"/>
  <c r="HFB6" i="10"/>
  <c r="HFF6" i="10"/>
  <c r="HFJ6" i="10"/>
  <c r="HFN6" i="10"/>
  <c r="HFR6" i="10"/>
  <c r="HFV6" i="10"/>
  <c r="HFZ6" i="10"/>
  <c r="HGD6" i="10"/>
  <c r="HGH6" i="10"/>
  <c r="HGL6" i="10"/>
  <c r="HGP6" i="10"/>
  <c r="HGT6" i="10"/>
  <c r="HGX6" i="10"/>
  <c r="HHB6" i="10"/>
  <c r="HHF6" i="10"/>
  <c r="HHJ6" i="10"/>
  <c r="HHN6" i="10"/>
  <c r="HHR6" i="10"/>
  <c r="HHV6" i="10"/>
  <c r="HHZ6" i="10"/>
  <c r="HID6" i="10"/>
  <c r="HIH6" i="10"/>
  <c r="HIL6" i="10"/>
  <c r="HIP6" i="10"/>
  <c r="HIT6" i="10"/>
  <c r="HIX6" i="10"/>
  <c r="HJB6" i="10"/>
  <c r="HJF6" i="10"/>
  <c r="HJJ6" i="10"/>
  <c r="HJN6" i="10"/>
  <c r="HJR6" i="10"/>
  <c r="HJV6" i="10"/>
  <c r="HJZ6" i="10"/>
  <c r="HKD6" i="10"/>
  <c r="HKH6" i="10"/>
  <c r="HKL6" i="10"/>
  <c r="HKP6" i="10"/>
  <c r="HKT6" i="10"/>
  <c r="HKX6" i="10"/>
  <c r="HLB6" i="10"/>
  <c r="HLF6" i="10"/>
  <c r="HLJ6" i="10"/>
  <c r="HLN6" i="10"/>
  <c r="HLR6" i="10"/>
  <c r="HLV6" i="10"/>
  <c r="HLZ6" i="10"/>
  <c r="HMD6" i="10"/>
  <c r="HMH6" i="10"/>
  <c r="HML6" i="10"/>
  <c r="HMP6" i="10"/>
  <c r="HMT6" i="10"/>
  <c r="HMX6" i="10"/>
  <c r="HNB6" i="10"/>
  <c r="HNF6" i="10"/>
  <c r="HNJ6" i="10"/>
  <c r="HNN6" i="10"/>
  <c r="HNR6" i="10"/>
  <c r="HNV6" i="10"/>
  <c r="HNZ6" i="10"/>
  <c r="HOD6" i="10"/>
  <c r="HOH6" i="10"/>
  <c r="HOL6" i="10"/>
  <c r="HOP6" i="10"/>
  <c r="HOT6" i="10"/>
  <c r="HOX6" i="10"/>
  <c r="HPB6" i="10"/>
  <c r="HPF6" i="10"/>
  <c r="HPJ6" i="10"/>
  <c r="HPN6" i="10"/>
  <c r="HPR6" i="10"/>
  <c r="HPV6" i="10"/>
  <c r="HPZ6" i="10"/>
  <c r="HQD6" i="10"/>
  <c r="HQH6" i="10"/>
  <c r="HQL6" i="10"/>
  <c r="HQP6" i="10"/>
  <c r="HQT6" i="10"/>
  <c r="HQX6" i="10"/>
  <c r="HRB6" i="10"/>
  <c r="HRF6" i="10"/>
  <c r="HRJ6" i="10"/>
  <c r="HRN6" i="10"/>
  <c r="HRR6" i="10"/>
  <c r="HRV6" i="10"/>
  <c r="HRZ6" i="10"/>
  <c r="HSD6" i="10"/>
  <c r="HSH6" i="10"/>
  <c r="HSL6" i="10"/>
  <c r="HSP6" i="10"/>
  <c r="HST6" i="10"/>
  <c r="HSX6" i="10"/>
  <c r="HTB6" i="10"/>
  <c r="HTF6" i="10"/>
  <c r="HTJ6" i="10"/>
  <c r="HTN6" i="10"/>
  <c r="HTR6" i="10"/>
  <c r="HTV6" i="10"/>
  <c r="HTZ6" i="10"/>
  <c r="HUD6" i="10"/>
  <c r="HUH6" i="10"/>
  <c r="HUL6" i="10"/>
  <c r="HUP6" i="10"/>
  <c r="HUT6" i="10"/>
  <c r="HUX6" i="10"/>
  <c r="HVB6" i="10"/>
  <c r="HVF6" i="10"/>
  <c r="HVJ6" i="10"/>
  <c r="HVN6" i="10"/>
  <c r="HVR6" i="10"/>
  <c r="HVV6" i="10"/>
  <c r="HVZ6" i="10"/>
  <c r="HWD6" i="10"/>
  <c r="HWH6" i="10"/>
  <c r="HWL6" i="10"/>
  <c r="HWP6" i="10"/>
  <c r="HWT6" i="10"/>
  <c r="HWX6" i="10"/>
  <c r="HXB6" i="10"/>
  <c r="HXF6" i="10"/>
  <c r="HXJ6" i="10"/>
  <c r="HXN6" i="10"/>
  <c r="HXR6" i="10"/>
  <c r="HXV6" i="10"/>
  <c r="HXZ6" i="10"/>
  <c r="HYD6" i="10"/>
  <c r="HYH6" i="10"/>
  <c r="HYL6" i="10"/>
  <c r="HYP6" i="10"/>
  <c r="HYT6" i="10"/>
  <c r="HYX6" i="10"/>
  <c r="HZB6" i="10"/>
  <c r="HZF6" i="10"/>
  <c r="HZJ6" i="10"/>
  <c r="HZN6" i="10"/>
  <c r="HZR6" i="10"/>
  <c r="HZV6" i="10"/>
  <c r="HZZ6" i="10"/>
  <c r="IAD6" i="10"/>
  <c r="IAH6" i="10"/>
  <c r="IAL6" i="10"/>
  <c r="IAP6" i="10"/>
  <c r="IAT6" i="10"/>
  <c r="IAX6" i="10"/>
  <c r="IBB6" i="10"/>
  <c r="IBF6" i="10"/>
  <c r="IBJ6" i="10"/>
  <c r="IBN6" i="10"/>
  <c r="IBR6" i="10"/>
  <c r="IBV6" i="10"/>
  <c r="IBZ6" i="10"/>
  <c r="ICD6" i="10"/>
  <c r="ICH6" i="10"/>
  <c r="ICL6" i="10"/>
  <c r="ICP6" i="10"/>
  <c r="ICT6" i="10"/>
  <c r="ICX6" i="10"/>
  <c r="IDB6" i="10"/>
  <c r="IDF6" i="10"/>
  <c r="IDJ6" i="10"/>
  <c r="IDN6" i="10"/>
  <c r="IDR6" i="10"/>
  <c r="IDV6" i="10"/>
  <c r="IDZ6" i="10"/>
  <c r="IED6" i="10"/>
  <c r="IEH6" i="10"/>
  <c r="IEL6" i="10"/>
  <c r="IEP6" i="10"/>
  <c r="IET6" i="10"/>
  <c r="IEX6" i="10"/>
  <c r="IFB6" i="10"/>
  <c r="IFF6" i="10"/>
  <c r="IFJ6" i="10"/>
  <c r="IFN6" i="10"/>
  <c r="IFR6" i="10"/>
  <c r="IFV6" i="10"/>
  <c r="IFZ6" i="10"/>
  <c r="IGD6" i="10"/>
  <c r="IGH6" i="10"/>
  <c r="IGL6" i="10"/>
  <c r="IGP6" i="10"/>
  <c r="IGT6" i="10"/>
  <c r="IGX6" i="10"/>
  <c r="IHB6" i="10"/>
  <c r="IHF6" i="10"/>
  <c r="IHJ6" i="10"/>
  <c r="IHN6" i="10"/>
  <c r="IHR6" i="10"/>
  <c r="IHV6" i="10"/>
  <c r="IHZ6" i="10"/>
  <c r="IID6" i="10"/>
  <c r="IIH6" i="10"/>
  <c r="IIL6" i="10"/>
  <c r="IIP6" i="10"/>
  <c r="IIT6" i="10"/>
  <c r="IIX6" i="10"/>
  <c r="IJB6" i="10"/>
  <c r="IJF6" i="10"/>
  <c r="IJJ6" i="10"/>
  <c r="IJN6" i="10"/>
  <c r="IJR6" i="10"/>
  <c r="IJV6" i="10"/>
  <c r="IJZ6" i="10"/>
  <c r="IKD6" i="10"/>
  <c r="IKH6" i="10"/>
  <c r="IKL6" i="10"/>
  <c r="IKP6" i="10"/>
  <c r="IKT6" i="10"/>
  <c r="IKX6" i="10"/>
  <c r="ILB6" i="10"/>
  <c r="ILF6" i="10"/>
  <c r="ILJ6" i="10"/>
  <c r="ILN6" i="10"/>
  <c r="ILR6" i="10"/>
  <c r="ILV6" i="10"/>
  <c r="ILZ6" i="10"/>
  <c r="IMD6" i="10"/>
  <c r="IMH6" i="10"/>
  <c r="IML6" i="10"/>
  <c r="IMP6" i="10"/>
  <c r="IMT6" i="10"/>
  <c r="IMX6" i="10"/>
  <c r="INB6" i="10"/>
  <c r="INF6" i="10"/>
  <c r="INJ6" i="10"/>
  <c r="INN6" i="10"/>
  <c r="INR6" i="10"/>
  <c r="INV6" i="10"/>
  <c r="INZ6" i="10"/>
  <c r="IOD6" i="10"/>
  <c r="IOH6" i="10"/>
  <c r="IOL6" i="10"/>
  <c r="IOP6" i="10"/>
  <c r="IOT6" i="10"/>
  <c r="IOX6" i="10"/>
  <c r="IPB6" i="10"/>
  <c r="IPF6" i="10"/>
  <c r="IPJ6" i="10"/>
  <c r="IPN6" i="10"/>
  <c r="IPR6" i="10"/>
  <c r="IPV6" i="10"/>
  <c r="IPZ6" i="10"/>
  <c r="IQD6" i="10"/>
  <c r="IQH6" i="10"/>
  <c r="IQL6" i="10"/>
  <c r="IQP6" i="10"/>
  <c r="IQT6" i="10"/>
  <c r="IQX6" i="10"/>
  <c r="IRB6" i="10"/>
  <c r="IRF6" i="10"/>
  <c r="IRJ6" i="10"/>
  <c r="IRN6" i="10"/>
  <c r="IRR6" i="10"/>
  <c r="IRV6" i="10"/>
  <c r="IRZ6" i="10"/>
  <c r="ISD6" i="10"/>
  <c r="ISH6" i="10"/>
  <c r="ISL6" i="10"/>
  <c r="ISP6" i="10"/>
  <c r="IST6" i="10"/>
  <c r="ISX6" i="10"/>
  <c r="ITB6" i="10"/>
  <c r="ITF6" i="10"/>
  <c r="ITJ6" i="10"/>
  <c r="ITN6" i="10"/>
  <c r="ITR6" i="10"/>
  <c r="ITV6" i="10"/>
  <c r="ITZ6" i="10"/>
  <c r="IUD6" i="10"/>
  <c r="IUH6" i="10"/>
  <c r="IUL6" i="10"/>
  <c r="IUP6" i="10"/>
  <c r="IUT6" i="10"/>
  <c r="IUX6" i="10"/>
  <c r="IVB6" i="10"/>
  <c r="BGZ6" i="10"/>
  <c r="BYU6" i="10"/>
  <c r="CHC6" i="10"/>
  <c r="CNQ6" i="10"/>
  <c r="CTM6" i="10"/>
  <c r="CXF6" i="10"/>
  <c r="DAN6" i="10"/>
  <c r="DDU6" i="10"/>
  <c r="DHB6" i="10"/>
  <c r="DKJ6" i="10"/>
  <c r="DNC6" i="10"/>
  <c r="DNZ6" i="10"/>
  <c r="DOP6" i="10"/>
  <c r="DPF6" i="10"/>
  <c r="DPV6" i="10"/>
  <c r="DQL6" i="10"/>
  <c r="DRB6" i="10"/>
  <c r="DRR6" i="10"/>
  <c r="DSH6" i="10"/>
  <c r="DSX6" i="10"/>
  <c r="DTN6" i="10"/>
  <c r="DUD6" i="10"/>
  <c r="DUT6" i="10"/>
  <c r="DVJ6" i="10"/>
  <c r="DVZ6" i="10"/>
  <c r="DWP6" i="10"/>
  <c r="DXF6" i="10"/>
  <c r="DXV6" i="10"/>
  <c r="DYL6" i="10"/>
  <c r="DZB6" i="10"/>
  <c r="DZR6" i="10"/>
  <c r="EAH6" i="10"/>
  <c r="EAX6" i="10"/>
  <c r="EBN6" i="10"/>
  <c r="ECD6" i="10"/>
  <c r="ECT6" i="10"/>
  <c r="EDJ6" i="10"/>
  <c r="EDZ6" i="10"/>
  <c r="EEP6" i="10"/>
  <c r="EFF6" i="10"/>
  <c r="EFV6" i="10"/>
  <c r="EGL6" i="10"/>
  <c r="EHB6" i="10"/>
  <c r="EHR6" i="10"/>
  <c r="EIH6" i="10"/>
  <c r="EIX6" i="10"/>
  <c r="EJN6" i="10"/>
  <c r="EKD6" i="10"/>
  <c r="EKT6" i="10"/>
  <c r="ELJ6" i="10"/>
  <c r="ELZ6" i="10"/>
  <c r="EMP6" i="10"/>
  <c r="ENF6" i="10"/>
  <c r="ENV6" i="10"/>
  <c r="EOL6" i="10"/>
  <c r="EPB6" i="10"/>
  <c r="EPR6" i="10"/>
  <c r="EQH6" i="10"/>
  <c r="EQX6" i="10"/>
  <c r="ERN6" i="10"/>
  <c r="ESD6" i="10"/>
  <c r="EST6" i="10"/>
  <c r="ETJ6" i="10"/>
  <c r="ETZ6" i="10"/>
  <c r="EUP6" i="10"/>
  <c r="EVF6" i="10"/>
  <c r="EVV6" i="10"/>
  <c r="EWL6" i="10"/>
  <c r="EXB6" i="10"/>
  <c r="EXR6" i="10"/>
  <c r="EYH6" i="10"/>
  <c r="EYX6" i="10"/>
  <c r="EZN6" i="10"/>
  <c r="FAD6" i="10"/>
  <c r="FAT6" i="10"/>
  <c r="FBJ6" i="10"/>
  <c r="FBZ6" i="10"/>
  <c r="FCP6" i="10"/>
  <c r="FDF6" i="10"/>
  <c r="FDV6" i="10"/>
  <c r="FEL6" i="10"/>
  <c r="FFB6" i="10"/>
  <c r="FFR6" i="10"/>
  <c r="FGH6" i="10"/>
  <c r="FGX6" i="10"/>
  <c r="FHF6" i="10"/>
  <c r="FHK6" i="10"/>
  <c r="FHQ6" i="10"/>
  <c r="FHV6" i="10"/>
  <c r="FIA6" i="10"/>
  <c r="FIE6" i="10"/>
  <c r="FII6" i="10"/>
  <c r="FIM6" i="10"/>
  <c r="FIQ6" i="10"/>
  <c r="FIU6" i="10"/>
  <c r="FIY6" i="10"/>
  <c r="FJC6" i="10"/>
  <c r="FJG6" i="10"/>
  <c r="FJK6" i="10"/>
  <c r="FJO6" i="10"/>
  <c r="FJS6" i="10"/>
  <c r="FJW6" i="10"/>
  <c r="FKA6" i="10"/>
  <c r="FKE6" i="10"/>
  <c r="FKI6" i="10"/>
  <c r="FKM6" i="10"/>
  <c r="FKQ6" i="10"/>
  <c r="FKU6" i="10"/>
  <c r="FKY6" i="10"/>
  <c r="FLC6" i="10"/>
  <c r="FLG6" i="10"/>
  <c r="FLK6" i="10"/>
  <c r="FLO6" i="10"/>
  <c r="FLS6" i="10"/>
  <c r="FLW6" i="10"/>
  <c r="FMA6" i="10"/>
  <c r="FME6" i="10"/>
  <c r="FMI6" i="10"/>
  <c r="FMM6" i="10"/>
  <c r="FMQ6" i="10"/>
  <c r="FMU6" i="10"/>
  <c r="FMY6" i="10"/>
  <c r="FNC6" i="10"/>
  <c r="FNG6" i="10"/>
  <c r="FNK6" i="10"/>
  <c r="FNO6" i="10"/>
  <c r="FNS6" i="10"/>
  <c r="FNW6" i="10"/>
  <c r="FOA6" i="10"/>
  <c r="FOE6" i="10"/>
  <c r="FOI6" i="10"/>
  <c r="FOM6" i="10"/>
  <c r="FOQ6" i="10"/>
  <c r="FOU6" i="10"/>
  <c r="FOY6" i="10"/>
  <c r="FPC6" i="10"/>
  <c r="FPG6" i="10"/>
  <c r="FPK6" i="10"/>
  <c r="FPO6" i="10"/>
  <c r="FPS6" i="10"/>
  <c r="FPW6" i="10"/>
  <c r="FQA6" i="10"/>
  <c r="FQE6" i="10"/>
  <c r="FQI6" i="10"/>
  <c r="FQM6" i="10"/>
  <c r="FQQ6" i="10"/>
  <c r="FQU6" i="10"/>
  <c r="FQY6" i="10"/>
  <c r="FRC6" i="10"/>
  <c r="FRG6" i="10"/>
  <c r="FRK6" i="10"/>
  <c r="FRO6" i="10"/>
  <c r="FRS6" i="10"/>
  <c r="FRW6" i="10"/>
  <c r="FSA6" i="10"/>
  <c r="FSE6" i="10"/>
  <c r="FSI6" i="10"/>
  <c r="FSM6" i="10"/>
  <c r="FSQ6" i="10"/>
  <c r="FSU6" i="10"/>
  <c r="FSY6" i="10"/>
  <c r="FTC6" i="10"/>
  <c r="FTG6" i="10"/>
  <c r="FTK6" i="10"/>
  <c r="FTO6" i="10"/>
  <c r="FTS6" i="10"/>
  <c r="FTW6" i="10"/>
  <c r="FUA6" i="10"/>
  <c r="FUE6" i="10"/>
  <c r="FUI6" i="10"/>
  <c r="FUM6" i="10"/>
  <c r="FUQ6" i="10"/>
  <c r="FUU6" i="10"/>
  <c r="FUY6" i="10"/>
  <c r="FVC6" i="10"/>
  <c r="FVG6" i="10"/>
  <c r="FVK6" i="10"/>
  <c r="FVO6" i="10"/>
  <c r="FVS6" i="10"/>
  <c r="FVW6" i="10"/>
  <c r="FWA6" i="10"/>
  <c r="FWE6" i="10"/>
  <c r="FWI6" i="10"/>
  <c r="FWM6" i="10"/>
  <c r="FWQ6" i="10"/>
  <c r="FWU6" i="10"/>
  <c r="FWY6" i="10"/>
  <c r="FXC6" i="10"/>
  <c r="FXG6" i="10"/>
  <c r="FXK6" i="10"/>
  <c r="FXO6" i="10"/>
  <c r="FXS6" i="10"/>
  <c r="FXW6" i="10"/>
  <c r="FYA6" i="10"/>
  <c r="FYE6" i="10"/>
  <c r="FYI6" i="10"/>
  <c r="FYM6" i="10"/>
  <c r="FYQ6" i="10"/>
  <c r="FYU6" i="10"/>
  <c r="FYY6" i="10"/>
  <c r="FZC6" i="10"/>
  <c r="FZG6" i="10"/>
  <c r="FZK6" i="10"/>
  <c r="FZO6" i="10"/>
  <c r="FZS6" i="10"/>
  <c r="FZW6" i="10"/>
  <c r="GAA6" i="10"/>
  <c r="GAE6" i="10"/>
  <c r="GAI6" i="10"/>
  <c r="GAM6" i="10"/>
  <c r="GAQ6" i="10"/>
  <c r="GAU6" i="10"/>
  <c r="GAY6" i="10"/>
  <c r="GBC6" i="10"/>
  <c r="GBG6" i="10"/>
  <c r="GBK6" i="10"/>
  <c r="GBO6" i="10"/>
  <c r="GBS6" i="10"/>
  <c r="GBW6" i="10"/>
  <c r="GCA6" i="10"/>
  <c r="GCE6" i="10"/>
  <c r="GCI6" i="10"/>
  <c r="GCM6" i="10"/>
  <c r="GCQ6" i="10"/>
  <c r="GCU6" i="10"/>
  <c r="GCY6" i="10"/>
  <c r="GDC6" i="10"/>
  <c r="GDG6" i="10"/>
  <c r="GDK6" i="10"/>
  <c r="GDO6" i="10"/>
  <c r="GDS6" i="10"/>
  <c r="GDW6" i="10"/>
  <c r="GEA6" i="10"/>
  <c r="GEE6" i="10"/>
  <c r="GEI6" i="10"/>
  <c r="GEM6" i="10"/>
  <c r="GEQ6" i="10"/>
  <c r="GEU6" i="10"/>
  <c r="GEY6" i="10"/>
  <c r="GFC6" i="10"/>
  <c r="GFG6" i="10"/>
  <c r="GFK6" i="10"/>
  <c r="GFO6" i="10"/>
  <c r="GFS6" i="10"/>
  <c r="GFW6" i="10"/>
  <c r="GGA6" i="10"/>
  <c r="GGE6" i="10"/>
  <c r="GGI6" i="10"/>
  <c r="GGM6" i="10"/>
  <c r="GGQ6" i="10"/>
  <c r="GGU6" i="10"/>
  <c r="GGY6" i="10"/>
  <c r="GHC6" i="10"/>
  <c r="GHG6" i="10"/>
  <c r="GHK6" i="10"/>
  <c r="GHO6" i="10"/>
  <c r="GHS6" i="10"/>
  <c r="GHW6" i="10"/>
  <c r="GIA6" i="10"/>
  <c r="GIE6" i="10"/>
  <c r="GII6" i="10"/>
  <c r="GIM6" i="10"/>
  <c r="GIQ6" i="10"/>
  <c r="GIU6" i="10"/>
  <c r="GIY6" i="10"/>
  <c r="GJC6" i="10"/>
  <c r="GJG6" i="10"/>
  <c r="GJK6" i="10"/>
  <c r="GJO6" i="10"/>
  <c r="GJS6" i="10"/>
  <c r="GJW6" i="10"/>
  <c r="GKA6" i="10"/>
  <c r="GKE6" i="10"/>
  <c r="GKI6" i="10"/>
  <c r="GKM6" i="10"/>
  <c r="GKQ6" i="10"/>
  <c r="GKU6" i="10"/>
  <c r="GKY6" i="10"/>
  <c r="GLC6" i="10"/>
  <c r="GLG6" i="10"/>
  <c r="GLK6" i="10"/>
  <c r="GLO6" i="10"/>
  <c r="GLS6" i="10"/>
  <c r="GLW6" i="10"/>
  <c r="GMA6" i="10"/>
  <c r="GME6" i="10"/>
  <c r="GMI6" i="10"/>
  <c r="GMM6" i="10"/>
  <c r="GMQ6" i="10"/>
  <c r="GMU6" i="10"/>
  <c r="GMY6" i="10"/>
  <c r="GNC6" i="10"/>
  <c r="GNG6" i="10"/>
  <c r="GNK6" i="10"/>
  <c r="GNO6" i="10"/>
  <c r="GNS6" i="10"/>
  <c r="GNW6" i="10"/>
  <c r="GOA6" i="10"/>
  <c r="GOE6" i="10"/>
  <c r="GOI6" i="10"/>
  <c r="GOM6" i="10"/>
  <c r="GOQ6" i="10"/>
  <c r="GOU6" i="10"/>
  <c r="GOY6" i="10"/>
  <c r="GPC6" i="10"/>
  <c r="GPG6" i="10"/>
  <c r="GPK6" i="10"/>
  <c r="GPO6" i="10"/>
  <c r="GPS6" i="10"/>
  <c r="GPW6" i="10"/>
  <c r="GQA6" i="10"/>
  <c r="GQE6" i="10"/>
  <c r="GQI6" i="10"/>
  <c r="GQM6" i="10"/>
  <c r="GQQ6" i="10"/>
  <c r="GQU6" i="10"/>
  <c r="GQY6" i="10"/>
  <c r="GRC6" i="10"/>
  <c r="GRG6" i="10"/>
  <c r="GRK6" i="10"/>
  <c r="GRO6" i="10"/>
  <c r="GRS6" i="10"/>
  <c r="GRW6" i="10"/>
  <c r="GSA6" i="10"/>
  <c r="GSE6" i="10"/>
  <c r="GSI6" i="10"/>
  <c r="GSM6" i="10"/>
  <c r="GSQ6" i="10"/>
  <c r="GSU6" i="10"/>
  <c r="GSY6" i="10"/>
  <c r="GTC6" i="10"/>
  <c r="GTG6" i="10"/>
  <c r="GTK6" i="10"/>
  <c r="GTO6" i="10"/>
  <c r="GTS6" i="10"/>
  <c r="GTW6" i="10"/>
  <c r="GUA6" i="10"/>
  <c r="GUE6" i="10"/>
  <c r="GUI6" i="10"/>
  <c r="GUM6" i="10"/>
  <c r="GUQ6" i="10"/>
  <c r="GUU6" i="10"/>
  <c r="GUY6" i="10"/>
  <c r="GVC6" i="10"/>
  <c r="GVG6" i="10"/>
  <c r="GVK6" i="10"/>
  <c r="GVO6" i="10"/>
  <c r="GVS6" i="10"/>
  <c r="GVW6" i="10"/>
  <c r="GWA6" i="10"/>
  <c r="GWE6" i="10"/>
  <c r="GWI6" i="10"/>
  <c r="GWM6" i="10"/>
  <c r="GWQ6" i="10"/>
  <c r="GWU6" i="10"/>
  <c r="GWY6" i="10"/>
  <c r="GXC6" i="10"/>
  <c r="GXG6" i="10"/>
  <c r="GXK6" i="10"/>
  <c r="GXO6" i="10"/>
  <c r="GXS6" i="10"/>
  <c r="GXW6" i="10"/>
  <c r="GYA6" i="10"/>
  <c r="GYE6" i="10"/>
  <c r="GYI6" i="10"/>
  <c r="GYM6" i="10"/>
  <c r="GYQ6" i="10"/>
  <c r="GYU6" i="10"/>
  <c r="GYY6" i="10"/>
  <c r="GZC6" i="10"/>
  <c r="GZG6" i="10"/>
  <c r="GZK6" i="10"/>
  <c r="GZO6" i="10"/>
  <c r="GZS6" i="10"/>
  <c r="GZW6" i="10"/>
  <c r="HAA6" i="10"/>
  <c r="HAE6" i="10"/>
  <c r="HAI6" i="10"/>
  <c r="HAM6" i="10"/>
  <c r="HAQ6" i="10"/>
  <c r="HAU6" i="10"/>
  <c r="HAY6" i="10"/>
  <c r="HBC6" i="10"/>
  <c r="HBG6" i="10"/>
  <c r="HBK6" i="10"/>
  <c r="HBO6" i="10"/>
  <c r="HBS6" i="10"/>
  <c r="HBW6" i="10"/>
  <c r="HCA6" i="10"/>
  <c r="HCE6" i="10"/>
  <c r="HCI6" i="10"/>
  <c r="HCM6" i="10"/>
  <c r="HCQ6" i="10"/>
  <c r="HCU6" i="10"/>
  <c r="HCY6" i="10"/>
  <c r="HDC6" i="10"/>
  <c r="HDG6" i="10"/>
  <c r="HDK6" i="10"/>
  <c r="HDO6" i="10"/>
  <c r="HDS6" i="10"/>
  <c r="HDW6" i="10"/>
  <c r="HEA6" i="10"/>
  <c r="HEE6" i="10"/>
  <c r="HEI6" i="10"/>
  <c r="HEM6" i="10"/>
  <c r="HEQ6" i="10"/>
  <c r="HEU6" i="10"/>
  <c r="HEY6" i="10"/>
  <c r="HFC6" i="10"/>
  <c r="HFG6" i="10"/>
  <c r="HFK6" i="10"/>
  <c r="HFO6" i="10"/>
  <c r="HFS6" i="10"/>
  <c r="HFW6" i="10"/>
  <c r="HGA6" i="10"/>
  <c r="HGE6" i="10"/>
  <c r="HGI6" i="10"/>
  <c r="HGM6" i="10"/>
  <c r="HGQ6" i="10"/>
  <c r="HGU6" i="10"/>
  <c r="HGY6" i="10"/>
  <c r="HHC6" i="10"/>
  <c r="HHG6" i="10"/>
  <c r="HHK6" i="10"/>
  <c r="HHO6" i="10"/>
  <c r="HHS6" i="10"/>
  <c r="HHW6" i="10"/>
  <c r="HIA6" i="10"/>
  <c r="HIE6" i="10"/>
  <c r="HII6" i="10"/>
  <c r="HIM6" i="10"/>
  <c r="HIQ6" i="10"/>
  <c r="HIU6" i="10"/>
  <c r="HIY6" i="10"/>
  <c r="HJC6" i="10"/>
  <c r="HJG6" i="10"/>
  <c r="HJK6" i="10"/>
  <c r="HJO6" i="10"/>
  <c r="HJS6" i="10"/>
  <c r="HJW6" i="10"/>
  <c r="HKA6" i="10"/>
  <c r="HKE6" i="10"/>
  <c r="HKI6" i="10"/>
  <c r="HKM6" i="10"/>
  <c r="HKQ6" i="10"/>
  <c r="HKU6" i="10"/>
  <c r="HKY6" i="10"/>
  <c r="HLC6" i="10"/>
  <c r="HLG6" i="10"/>
  <c r="HLK6" i="10"/>
  <c r="HLO6" i="10"/>
  <c r="HLS6" i="10"/>
  <c r="HLW6" i="10"/>
  <c r="HMA6" i="10"/>
  <c r="HME6" i="10"/>
  <c r="HMI6" i="10"/>
  <c r="HMM6" i="10"/>
  <c r="HMQ6" i="10"/>
  <c r="HMU6" i="10"/>
  <c r="HMY6" i="10"/>
  <c r="HNC6" i="10"/>
  <c r="HNG6" i="10"/>
  <c r="HNK6" i="10"/>
  <c r="HNO6" i="10"/>
  <c r="HNS6" i="10"/>
  <c r="HNW6" i="10"/>
  <c r="HOA6" i="10"/>
  <c r="HOE6" i="10"/>
  <c r="HOI6" i="10"/>
  <c r="HOM6" i="10"/>
  <c r="HOQ6" i="10"/>
  <c r="HOU6" i="10"/>
  <c r="HOY6" i="10"/>
  <c r="HPC6" i="10"/>
  <c r="HPG6" i="10"/>
  <c r="HPK6" i="10"/>
  <c r="HPO6" i="10"/>
  <c r="HPS6" i="10"/>
  <c r="HPW6" i="10"/>
  <c r="HQA6" i="10"/>
  <c r="HQE6" i="10"/>
  <c r="HQI6" i="10"/>
  <c r="HQM6" i="10"/>
  <c r="HQQ6" i="10"/>
  <c r="HQU6" i="10"/>
  <c r="HQY6" i="10"/>
  <c r="HRC6" i="10"/>
  <c r="HRG6" i="10"/>
  <c r="HRK6" i="10"/>
  <c r="HRO6" i="10"/>
  <c r="HRS6" i="10"/>
  <c r="HRW6" i="10"/>
  <c r="HSA6" i="10"/>
  <c r="HSE6" i="10"/>
  <c r="HSI6" i="10"/>
  <c r="HSM6" i="10"/>
  <c r="HSQ6" i="10"/>
  <c r="HSU6" i="10"/>
  <c r="HSY6" i="10"/>
  <c r="HTC6" i="10"/>
  <c r="HTG6" i="10"/>
  <c r="HTK6" i="10"/>
  <c r="HTO6" i="10"/>
  <c r="HTS6" i="10"/>
  <c r="HTW6" i="10"/>
  <c r="HUA6" i="10"/>
  <c r="BNN6" i="10"/>
  <c r="CUS6" i="10"/>
  <c r="DHX6" i="10"/>
  <c r="DOT6" i="10"/>
  <c r="DRF6" i="10"/>
  <c r="DTR6" i="10"/>
  <c r="DWD6" i="10"/>
  <c r="DYP6" i="10"/>
  <c r="EBB6" i="10"/>
  <c r="EDN6" i="10"/>
  <c r="EFZ6" i="10"/>
  <c r="EIL6" i="10"/>
  <c r="EKX6" i="10"/>
  <c r="ENJ6" i="10"/>
  <c r="EPV6" i="10"/>
  <c r="ESH6" i="10"/>
  <c r="EUT6" i="10"/>
  <c r="EXF6" i="10"/>
  <c r="EZR6" i="10"/>
  <c r="FCD6" i="10"/>
  <c r="FEP6" i="10"/>
  <c r="FGY6" i="10"/>
  <c r="FHW6" i="10"/>
  <c r="FIN6" i="10"/>
  <c r="FJD6" i="10"/>
  <c r="FJT6" i="10"/>
  <c r="FKJ6" i="10"/>
  <c r="FKZ6" i="10"/>
  <c r="FLP6" i="10"/>
  <c r="FMF6" i="10"/>
  <c r="FMV6" i="10"/>
  <c r="FNL6" i="10"/>
  <c r="FOB6" i="10"/>
  <c r="FOR6" i="10"/>
  <c r="FPH6" i="10"/>
  <c r="FPX6" i="10"/>
  <c r="FQN6" i="10"/>
  <c r="FRD6" i="10"/>
  <c r="FRT6" i="10"/>
  <c r="FSJ6" i="10"/>
  <c r="FSZ6" i="10"/>
  <c r="FTP6" i="10"/>
  <c r="FUF6" i="10"/>
  <c r="FUV6" i="10"/>
  <c r="FVL6" i="10"/>
  <c r="FWB6" i="10"/>
  <c r="FWR6" i="10"/>
  <c r="FXH6" i="10"/>
  <c r="FXX6" i="10"/>
  <c r="FYN6" i="10"/>
  <c r="FZD6" i="10"/>
  <c r="FZT6" i="10"/>
  <c r="GAJ6" i="10"/>
  <c r="GAZ6" i="10"/>
  <c r="GBP6" i="10"/>
  <c r="GCF6" i="10"/>
  <c r="GCV6" i="10"/>
  <c r="GDL6" i="10"/>
  <c r="GEB6" i="10"/>
  <c r="GER6" i="10"/>
  <c r="GFH6" i="10"/>
  <c r="GFX6" i="10"/>
  <c r="GGN6" i="10"/>
  <c r="GHD6" i="10"/>
  <c r="GHT6" i="10"/>
  <c r="GIJ6" i="10"/>
  <c r="GIZ6" i="10"/>
  <c r="GJP6" i="10"/>
  <c r="GKF6" i="10"/>
  <c r="GKV6" i="10"/>
  <c r="GLL6" i="10"/>
  <c r="GMB6" i="10"/>
  <c r="GMR6" i="10"/>
  <c r="GNH6" i="10"/>
  <c r="GNX6" i="10"/>
  <c r="GON6" i="10"/>
  <c r="GPD6" i="10"/>
  <c r="GPT6" i="10"/>
  <c r="GQJ6" i="10"/>
  <c r="GQZ6" i="10"/>
  <c r="GRP6" i="10"/>
  <c r="GSF6" i="10"/>
  <c r="GSV6" i="10"/>
  <c r="GTL6" i="10"/>
  <c r="GUB6" i="10"/>
  <c r="GUR6" i="10"/>
  <c r="GVH6" i="10"/>
  <c r="GVX6" i="10"/>
  <c r="GWN6" i="10"/>
  <c r="GXD6" i="10"/>
  <c r="GXT6" i="10"/>
  <c r="GYJ6" i="10"/>
  <c r="GYZ6" i="10"/>
  <c r="GZP6" i="10"/>
  <c r="HAF6" i="10"/>
  <c r="HAV6" i="10"/>
  <c r="HBL6" i="10"/>
  <c r="HCB6" i="10"/>
  <c r="HCR6" i="10"/>
  <c r="HDH6" i="10"/>
  <c r="HDX6" i="10"/>
  <c r="HEN6" i="10"/>
  <c r="HFD6" i="10"/>
  <c r="HFT6" i="10"/>
  <c r="HGJ6" i="10"/>
  <c r="HGZ6" i="10"/>
  <c r="HHP6" i="10"/>
  <c r="HIF6" i="10"/>
  <c r="HIV6" i="10"/>
  <c r="HJL6" i="10"/>
  <c r="HKB6" i="10"/>
  <c r="HKR6" i="10"/>
  <c r="HLH6" i="10"/>
  <c r="HLX6" i="10"/>
  <c r="HMN6" i="10"/>
  <c r="HND6" i="10"/>
  <c r="HNT6" i="10"/>
  <c r="HOJ6" i="10"/>
  <c r="HOZ6" i="10"/>
  <c r="HPP6" i="10"/>
  <c r="HQF6" i="10"/>
  <c r="HQV6" i="10"/>
  <c r="HRL6" i="10"/>
  <c r="HSB6" i="10"/>
  <c r="HSR6" i="10"/>
  <c r="HTH6" i="10"/>
  <c r="HTX6" i="10"/>
  <c r="HUI6" i="10"/>
  <c r="HUQ6" i="10"/>
  <c r="HUY6" i="10"/>
  <c r="HVG6" i="10"/>
  <c r="HVO6" i="10"/>
  <c r="HVW6" i="10"/>
  <c r="HWE6" i="10"/>
  <c r="HWM6" i="10"/>
  <c r="HWU6" i="10"/>
  <c r="HXC6" i="10"/>
  <c r="HXK6" i="10"/>
  <c r="HXS6" i="10"/>
  <c r="HYA6" i="10"/>
  <c r="HYI6" i="10"/>
  <c r="HYQ6" i="10"/>
  <c r="HYY6" i="10"/>
  <c r="HZG6" i="10"/>
  <c r="HZO6" i="10"/>
  <c r="HZW6" i="10"/>
  <c r="IAE6" i="10"/>
  <c r="IAM6" i="10"/>
  <c r="IAU6" i="10"/>
  <c r="IBC6" i="10"/>
  <c r="IBK6" i="10"/>
  <c r="IBS6" i="10"/>
  <c r="ICA6" i="10"/>
  <c r="ICI6" i="10"/>
  <c r="ICQ6" i="10"/>
  <c r="ICY6" i="10"/>
  <c r="IDG6" i="10"/>
  <c r="IDO6" i="10"/>
  <c r="IDW6" i="10"/>
  <c r="IEE6" i="10"/>
  <c r="IEM6" i="10"/>
  <c r="IEU6" i="10"/>
  <c r="IFC6" i="10"/>
  <c r="IFK6" i="10"/>
  <c r="IFS6" i="10"/>
  <c r="IGA6" i="10"/>
  <c r="IGI6" i="10"/>
  <c r="IGQ6" i="10"/>
  <c r="IGY6" i="10"/>
  <c r="IHG6" i="10"/>
  <c r="IHO6" i="10"/>
  <c r="IHW6" i="10"/>
  <c r="IIE6" i="10"/>
  <c r="IIM6" i="10"/>
  <c r="IIU6" i="10"/>
  <c r="IJC6" i="10"/>
  <c r="IJK6" i="10"/>
  <c r="IJS6" i="10"/>
  <c r="IKA6" i="10"/>
  <c r="IKI6" i="10"/>
  <c r="IKQ6" i="10"/>
  <c r="IKY6" i="10"/>
  <c r="ILG6" i="10"/>
  <c r="ILO6" i="10"/>
  <c r="ILW6" i="10"/>
  <c r="IME6" i="10"/>
  <c r="IMM6" i="10"/>
  <c r="IMU6" i="10"/>
  <c r="INC6" i="10"/>
  <c r="INK6" i="10"/>
  <c r="INS6" i="10"/>
  <c r="IOA6" i="10"/>
  <c r="IOI6" i="10"/>
  <c r="IOQ6" i="10"/>
  <c r="IOY6" i="10"/>
  <c r="IPG6" i="10"/>
  <c r="IPO6" i="10"/>
  <c r="IPW6" i="10"/>
  <c r="IQE6" i="10"/>
  <c r="IQM6" i="10"/>
  <c r="IQU6" i="10"/>
  <c r="IRC6" i="10"/>
  <c r="IRK6" i="10"/>
  <c r="IRS6" i="10"/>
  <c r="ISA6" i="10"/>
  <c r="ISI6" i="10"/>
  <c r="ISQ6" i="10"/>
  <c r="ISY6" i="10"/>
  <c r="ITG6" i="10"/>
  <c r="ITO6" i="10"/>
  <c r="ITW6" i="10"/>
  <c r="IUE6" i="10"/>
  <c r="IUM6" i="10"/>
  <c r="IUU6" i="10"/>
  <c r="IVC6" i="10"/>
  <c r="IVG6" i="10"/>
  <c r="IVK6" i="10"/>
  <c r="IVO6" i="10"/>
  <c r="IVS6" i="10"/>
  <c r="IVW6" i="10"/>
  <c r="IWA6" i="10"/>
  <c r="IWE6" i="10"/>
  <c r="IWI6" i="10"/>
  <c r="IWM6" i="10"/>
  <c r="IWQ6" i="10"/>
  <c r="IWU6" i="10"/>
  <c r="IWY6" i="10"/>
  <c r="IXC6" i="10"/>
  <c r="IXG6" i="10"/>
  <c r="IXK6" i="10"/>
  <c r="IXO6" i="10"/>
  <c r="IXS6" i="10"/>
  <c r="IXW6" i="10"/>
  <c r="IYA6" i="10"/>
  <c r="IYE6" i="10"/>
  <c r="IYI6" i="10"/>
  <c r="IYM6" i="10"/>
  <c r="IYQ6" i="10"/>
  <c r="IYU6" i="10"/>
  <c r="IYY6" i="10"/>
  <c r="IZC6" i="10"/>
  <c r="IZG6" i="10"/>
  <c r="IZK6" i="10"/>
  <c r="IZO6" i="10"/>
  <c r="IZS6" i="10"/>
  <c r="IZW6" i="10"/>
  <c r="JAA6" i="10"/>
  <c r="JAE6" i="10"/>
  <c r="JAI6" i="10"/>
  <c r="JAM6" i="10"/>
  <c r="JAQ6" i="10"/>
  <c r="JAU6" i="10"/>
  <c r="JAY6" i="10"/>
  <c r="JBC6" i="10"/>
  <c r="JBG6" i="10"/>
  <c r="JBK6" i="10"/>
  <c r="JBO6" i="10"/>
  <c r="JBS6" i="10"/>
  <c r="JBW6" i="10"/>
  <c r="JCA6" i="10"/>
  <c r="JCE6" i="10"/>
  <c r="JCI6" i="10"/>
  <c r="JCM6" i="10"/>
  <c r="JCQ6" i="10"/>
  <c r="JCU6" i="10"/>
  <c r="JCY6" i="10"/>
  <c r="JDC6" i="10"/>
  <c r="JDG6" i="10"/>
  <c r="JDK6" i="10"/>
  <c r="JDO6" i="10"/>
  <c r="JDS6" i="10"/>
  <c r="JDW6" i="10"/>
  <c r="JEA6" i="10"/>
  <c r="JEE6" i="10"/>
  <c r="JEI6" i="10"/>
  <c r="JEM6" i="10"/>
  <c r="JEQ6" i="10"/>
  <c r="JEU6" i="10"/>
  <c r="JEY6" i="10"/>
  <c r="JFC6" i="10"/>
  <c r="JFG6" i="10"/>
  <c r="JFK6" i="10"/>
  <c r="JFO6" i="10"/>
  <c r="JFS6" i="10"/>
  <c r="JFW6" i="10"/>
  <c r="JGA6" i="10"/>
  <c r="JGE6" i="10"/>
  <c r="JGI6" i="10"/>
  <c r="JGM6" i="10"/>
  <c r="JGQ6" i="10"/>
  <c r="JGU6" i="10"/>
  <c r="JGY6" i="10"/>
  <c r="JHC6" i="10"/>
  <c r="JHG6" i="10"/>
  <c r="JHK6" i="10"/>
  <c r="JHO6" i="10"/>
  <c r="JHS6" i="10"/>
  <c r="JHW6" i="10"/>
  <c r="JIA6" i="10"/>
  <c r="JIE6" i="10"/>
  <c r="JII6" i="10"/>
  <c r="JIM6" i="10"/>
  <c r="JIQ6" i="10"/>
  <c r="JIU6" i="10"/>
  <c r="JIY6" i="10"/>
  <c r="JJC6" i="10"/>
  <c r="JJG6" i="10"/>
  <c r="JJK6" i="10"/>
  <c r="JJO6" i="10"/>
  <c r="JJS6" i="10"/>
  <c r="JJW6" i="10"/>
  <c r="JKA6" i="10"/>
  <c r="JKE6" i="10"/>
  <c r="JKI6" i="10"/>
  <c r="JKM6" i="10"/>
  <c r="JKQ6" i="10"/>
  <c r="JKU6" i="10"/>
  <c r="JKY6" i="10"/>
  <c r="JLC6" i="10"/>
  <c r="JLG6" i="10"/>
  <c r="JLK6" i="10"/>
  <c r="JLO6" i="10"/>
  <c r="JLS6" i="10"/>
  <c r="JLW6" i="10"/>
  <c r="JMA6" i="10"/>
  <c r="JME6" i="10"/>
  <c r="JMI6" i="10"/>
  <c r="JMM6" i="10"/>
  <c r="JMQ6" i="10"/>
  <c r="JMU6" i="10"/>
  <c r="JMY6" i="10"/>
  <c r="JNC6" i="10"/>
  <c r="JNG6" i="10"/>
  <c r="JNK6" i="10"/>
  <c r="JNO6" i="10"/>
  <c r="JNS6" i="10"/>
  <c r="JNW6" i="10"/>
  <c r="JOA6" i="10"/>
  <c r="JOE6" i="10"/>
  <c r="JOI6" i="10"/>
  <c r="JOM6" i="10"/>
  <c r="JOQ6" i="10"/>
  <c r="JOU6" i="10"/>
  <c r="JOY6" i="10"/>
  <c r="JPC6" i="10"/>
  <c r="JPG6" i="10"/>
  <c r="JPK6" i="10"/>
  <c r="JPO6" i="10"/>
  <c r="JPS6" i="10"/>
  <c r="JPW6" i="10"/>
  <c r="JQA6" i="10"/>
  <c r="JQE6" i="10"/>
  <c r="JQI6" i="10"/>
  <c r="JQM6" i="10"/>
  <c r="JQQ6" i="10"/>
  <c r="JQU6" i="10"/>
  <c r="JQY6" i="10"/>
  <c r="JRC6" i="10"/>
  <c r="JRG6" i="10"/>
  <c r="JRK6" i="10"/>
  <c r="JRO6" i="10"/>
  <c r="JRS6" i="10"/>
  <c r="JRW6" i="10"/>
  <c r="JSA6" i="10"/>
  <c r="JSE6" i="10"/>
  <c r="JSI6" i="10"/>
  <c r="JSM6" i="10"/>
  <c r="JSQ6" i="10"/>
  <c r="JSU6" i="10"/>
  <c r="JSY6" i="10"/>
  <c r="JTC6" i="10"/>
  <c r="JTG6" i="10"/>
  <c r="JTK6" i="10"/>
  <c r="JTO6" i="10"/>
  <c r="JTS6" i="10"/>
  <c r="JTW6" i="10"/>
  <c r="JUA6" i="10"/>
  <c r="JUE6" i="10"/>
  <c r="JUI6" i="10"/>
  <c r="JUM6" i="10"/>
  <c r="JUQ6" i="10"/>
  <c r="JUU6" i="10"/>
  <c r="JUY6" i="10"/>
  <c r="JVC6" i="10"/>
  <c r="JVG6" i="10"/>
  <c r="JVK6" i="10"/>
  <c r="JVO6" i="10"/>
  <c r="JVS6" i="10"/>
  <c r="JVW6" i="10"/>
  <c r="JWA6" i="10"/>
  <c r="JWE6" i="10"/>
  <c r="JWI6" i="10"/>
  <c r="JWM6" i="10"/>
  <c r="JWQ6" i="10"/>
  <c r="JWU6" i="10"/>
  <c r="JWY6" i="10"/>
  <c r="JXC6" i="10"/>
  <c r="JXG6" i="10"/>
  <c r="JXK6" i="10"/>
  <c r="JXO6" i="10"/>
  <c r="JXS6" i="10"/>
  <c r="JXW6" i="10"/>
  <c r="JYA6" i="10"/>
  <c r="JYE6" i="10"/>
  <c r="JYI6" i="10"/>
  <c r="JYM6" i="10"/>
  <c r="JYQ6" i="10"/>
  <c r="JYU6" i="10"/>
  <c r="JYY6" i="10"/>
  <c r="JZC6" i="10"/>
  <c r="JZG6" i="10"/>
  <c r="JZK6" i="10"/>
  <c r="JZO6" i="10"/>
  <c r="JZS6" i="10"/>
  <c r="JZW6" i="10"/>
  <c r="KAA6" i="10"/>
  <c r="KAE6" i="10"/>
  <c r="KAI6" i="10"/>
  <c r="KAM6" i="10"/>
  <c r="KAQ6" i="10"/>
  <c r="KAU6" i="10"/>
  <c r="KAY6" i="10"/>
  <c r="KBC6" i="10"/>
  <c r="KBG6" i="10"/>
  <c r="KBK6" i="10"/>
  <c r="KBO6" i="10"/>
  <c r="KBS6" i="10"/>
  <c r="KBW6" i="10"/>
  <c r="KCA6" i="10"/>
  <c r="KCE6" i="10"/>
  <c r="KCI6" i="10"/>
  <c r="KCM6" i="10"/>
  <c r="KCQ6" i="10"/>
  <c r="KCU6" i="10"/>
  <c r="KCY6" i="10"/>
  <c r="KDC6" i="10"/>
  <c r="KDG6" i="10"/>
  <c r="KDK6" i="10"/>
  <c r="KDO6" i="10"/>
  <c r="KDS6" i="10"/>
  <c r="KDW6" i="10"/>
  <c r="KEA6" i="10"/>
  <c r="KEE6" i="10"/>
  <c r="KEI6" i="10"/>
  <c r="KEM6" i="10"/>
  <c r="KEQ6" i="10"/>
  <c r="KEU6" i="10"/>
  <c r="KEY6" i="10"/>
  <c r="KFC6" i="10"/>
  <c r="KFG6" i="10"/>
  <c r="KFK6" i="10"/>
  <c r="KFO6" i="10"/>
  <c r="KFS6" i="10"/>
  <c r="KFW6" i="10"/>
  <c r="KGA6" i="10"/>
  <c r="KGE6" i="10"/>
  <c r="KGI6" i="10"/>
  <c r="KGM6" i="10"/>
  <c r="KGQ6" i="10"/>
  <c r="KGU6" i="10"/>
  <c r="KGY6" i="10"/>
  <c r="KHC6" i="10"/>
  <c r="KHG6" i="10"/>
  <c r="KHK6" i="10"/>
  <c r="KHO6" i="10"/>
  <c r="KHS6" i="10"/>
  <c r="KHW6" i="10"/>
  <c r="KIA6" i="10"/>
  <c r="KIE6" i="10"/>
  <c r="KII6" i="10"/>
  <c r="KIM6" i="10"/>
  <c r="KIQ6" i="10"/>
  <c r="KIU6" i="10"/>
  <c r="KIY6" i="10"/>
  <c r="KJC6" i="10"/>
  <c r="KJG6" i="10"/>
  <c r="KJK6" i="10"/>
  <c r="KJO6" i="10"/>
  <c r="KJS6" i="10"/>
  <c r="KJW6" i="10"/>
  <c r="KKA6" i="10"/>
  <c r="KKE6" i="10"/>
  <c r="KKI6" i="10"/>
  <c r="KKM6" i="10"/>
  <c r="KKQ6" i="10"/>
  <c r="KKU6" i="10"/>
  <c r="KKY6" i="10"/>
  <c r="KLC6" i="10"/>
  <c r="KLG6" i="10"/>
  <c r="KLK6" i="10"/>
  <c r="KLO6" i="10"/>
  <c r="KLS6" i="10"/>
  <c r="KLW6" i="10"/>
  <c r="KMA6" i="10"/>
  <c r="KME6" i="10"/>
  <c r="KMI6" i="10"/>
  <c r="KMM6" i="10"/>
  <c r="KMQ6" i="10"/>
  <c r="KMU6" i="10"/>
  <c r="KMY6" i="10"/>
  <c r="KNC6" i="10"/>
  <c r="KNG6" i="10"/>
  <c r="KNK6" i="10"/>
  <c r="KNO6" i="10"/>
  <c r="KNS6" i="10"/>
  <c r="KNW6" i="10"/>
  <c r="KOA6" i="10"/>
  <c r="KOE6" i="10"/>
  <c r="KOI6" i="10"/>
  <c r="KOM6" i="10"/>
  <c r="KOQ6" i="10"/>
  <c r="KOU6" i="10"/>
  <c r="KOY6" i="10"/>
  <c r="KPC6" i="10"/>
  <c r="KPG6" i="10"/>
  <c r="KPK6" i="10"/>
  <c r="KPO6" i="10"/>
  <c r="KPS6" i="10"/>
  <c r="KPW6" i="10"/>
  <c r="KQA6" i="10"/>
  <c r="KQE6" i="10"/>
  <c r="KQI6" i="10"/>
  <c r="KQM6" i="10"/>
  <c r="KQQ6" i="10"/>
  <c r="KQU6" i="10"/>
  <c r="KQY6" i="10"/>
  <c r="KRC6" i="10"/>
  <c r="KRG6" i="10"/>
  <c r="KRK6" i="10"/>
  <c r="KRO6" i="10"/>
  <c r="KRS6" i="10"/>
  <c r="KRW6" i="10"/>
  <c r="KSA6" i="10"/>
  <c r="KSE6" i="10"/>
  <c r="KSI6" i="10"/>
  <c r="KSM6" i="10"/>
  <c r="KSQ6" i="10"/>
  <c r="KSU6" i="10"/>
  <c r="KSY6" i="10"/>
  <c r="KTC6" i="10"/>
  <c r="KTG6" i="10"/>
  <c r="KTK6" i="10"/>
  <c r="KTO6" i="10"/>
  <c r="KTS6" i="10"/>
  <c r="KTW6" i="10"/>
  <c r="KUA6" i="10"/>
  <c r="KUE6" i="10"/>
  <c r="KUI6" i="10"/>
  <c r="KUM6" i="10"/>
  <c r="KUQ6" i="10"/>
  <c r="KUU6" i="10"/>
  <c r="KUY6" i="10"/>
  <c r="KVC6" i="10"/>
  <c r="KVG6" i="10"/>
  <c r="KVK6" i="10"/>
  <c r="KVO6" i="10"/>
  <c r="KVS6" i="10"/>
  <c r="KVW6" i="10"/>
  <c r="KWA6" i="10"/>
  <c r="KWE6" i="10"/>
  <c r="KWI6" i="10"/>
  <c r="KWM6" i="10"/>
  <c r="KWQ6" i="10"/>
  <c r="KWU6" i="10"/>
  <c r="KWY6" i="10"/>
  <c r="KXC6" i="10"/>
  <c r="KXG6" i="10"/>
  <c r="KXK6" i="10"/>
  <c r="KXO6" i="10"/>
  <c r="KXS6" i="10"/>
  <c r="KXW6" i="10"/>
  <c r="KYA6" i="10"/>
  <c r="KYE6" i="10"/>
  <c r="KYI6" i="10"/>
  <c r="KYM6" i="10"/>
  <c r="KYQ6" i="10"/>
  <c r="KYU6" i="10"/>
  <c r="KYY6" i="10"/>
  <c r="KZC6" i="10"/>
  <c r="KZG6" i="10"/>
  <c r="KZK6" i="10"/>
  <c r="KZO6" i="10"/>
  <c r="KZS6" i="10"/>
  <c r="KZW6" i="10"/>
  <c r="LAA6" i="10"/>
  <c r="LAE6" i="10"/>
  <c r="LAI6" i="10"/>
  <c r="LAM6" i="10"/>
  <c r="LAQ6" i="10"/>
  <c r="LAU6" i="10"/>
  <c r="LAY6" i="10"/>
  <c r="LBC6" i="10"/>
  <c r="LBG6" i="10"/>
  <c r="LBK6" i="10"/>
  <c r="LBO6" i="10"/>
  <c r="LBS6" i="10"/>
  <c r="LBW6" i="10"/>
  <c r="LCA6" i="10"/>
  <c r="LCE6" i="10"/>
  <c r="LCI6" i="10"/>
  <c r="LCM6" i="10"/>
  <c r="LCQ6" i="10"/>
  <c r="LCU6" i="10"/>
  <c r="LCY6" i="10"/>
  <c r="LDC6" i="10"/>
  <c r="LDG6" i="10"/>
  <c r="LDK6" i="10"/>
  <c r="LDO6" i="10"/>
  <c r="LDS6" i="10"/>
  <c r="LDW6" i="10"/>
  <c r="LEA6" i="10"/>
  <c r="LEE6" i="10"/>
  <c r="LEI6" i="10"/>
  <c r="LEM6" i="10"/>
  <c r="LEQ6" i="10"/>
  <c r="LEU6" i="10"/>
  <c r="LEY6" i="10"/>
  <c r="LFC6" i="10"/>
  <c r="LFG6" i="10"/>
  <c r="LFK6" i="10"/>
  <c r="LFO6" i="10"/>
  <c r="LFS6" i="10"/>
  <c r="LFW6" i="10"/>
  <c r="LGA6" i="10"/>
  <c r="LGE6" i="10"/>
  <c r="LGI6" i="10"/>
  <c r="LGM6" i="10"/>
  <c r="LGQ6" i="10"/>
  <c r="LGU6" i="10"/>
  <c r="LGY6" i="10"/>
  <c r="LHC6" i="10"/>
  <c r="LHG6" i="10"/>
  <c r="LHK6" i="10"/>
  <c r="LHO6" i="10"/>
  <c r="LHS6" i="10"/>
  <c r="LHW6" i="10"/>
  <c r="LIA6" i="10"/>
  <c r="LIE6" i="10"/>
  <c r="LII6" i="10"/>
  <c r="LIM6" i="10"/>
  <c r="LIQ6" i="10"/>
  <c r="LIU6" i="10"/>
  <c r="LIY6" i="10"/>
  <c r="LJC6" i="10"/>
  <c r="LJG6" i="10"/>
  <c r="LJK6" i="10"/>
  <c r="LJO6" i="10"/>
  <c r="LJS6" i="10"/>
  <c r="LJW6" i="10"/>
  <c r="LKA6" i="10"/>
  <c r="LKE6" i="10"/>
  <c r="LKI6" i="10"/>
  <c r="LKM6" i="10"/>
  <c r="LKQ6" i="10"/>
  <c r="LKU6" i="10"/>
  <c r="LKY6" i="10"/>
  <c r="LLC6" i="10"/>
  <c r="LLG6" i="10"/>
  <c r="LLK6" i="10"/>
  <c r="LLO6" i="10"/>
  <c r="LLS6" i="10"/>
  <c r="LLW6" i="10"/>
  <c r="LMA6" i="10"/>
  <c r="LME6" i="10"/>
  <c r="LMI6" i="10"/>
  <c r="LMM6" i="10"/>
  <c r="LMQ6" i="10"/>
  <c r="LMU6" i="10"/>
  <c r="LMY6" i="10"/>
  <c r="LNC6" i="10"/>
  <c r="LNG6" i="10"/>
  <c r="LNK6" i="10"/>
  <c r="LNO6" i="10"/>
  <c r="LNS6" i="10"/>
  <c r="LNW6" i="10"/>
  <c r="LOA6" i="10"/>
  <c r="LOE6" i="10"/>
  <c r="LOI6" i="10"/>
  <c r="LOM6" i="10"/>
  <c r="LOQ6" i="10"/>
  <c r="LOU6" i="10"/>
  <c r="LOY6" i="10"/>
  <c r="LPC6" i="10"/>
  <c r="LPG6" i="10"/>
  <c r="LPK6" i="10"/>
  <c r="LPO6" i="10"/>
  <c r="LPS6" i="10"/>
  <c r="LPW6" i="10"/>
  <c r="LQA6" i="10"/>
  <c r="LQE6" i="10"/>
  <c r="LQI6" i="10"/>
  <c r="LQM6" i="10"/>
  <c r="LQQ6" i="10"/>
  <c r="LQU6" i="10"/>
  <c r="LQY6" i="10"/>
  <c r="LRC6" i="10"/>
  <c r="LRG6" i="10"/>
  <c r="LRK6" i="10"/>
  <c r="LRO6" i="10"/>
  <c r="LRS6" i="10"/>
  <c r="LRW6" i="10"/>
  <c r="LSA6" i="10"/>
  <c r="LSE6" i="10"/>
  <c r="LSI6" i="10"/>
  <c r="LSM6" i="10"/>
  <c r="LSQ6" i="10"/>
  <c r="LSU6" i="10"/>
  <c r="LSY6" i="10"/>
  <c r="LTC6" i="10"/>
  <c r="LTG6" i="10"/>
  <c r="LTK6" i="10"/>
  <c r="LTO6" i="10"/>
  <c r="LTS6" i="10"/>
  <c r="LTW6" i="10"/>
  <c r="LUA6" i="10"/>
  <c r="LUE6" i="10"/>
  <c r="LUI6" i="10"/>
  <c r="LUM6" i="10"/>
  <c r="LUQ6" i="10"/>
  <c r="LUU6" i="10"/>
  <c r="LUY6" i="10"/>
  <c r="LVC6" i="10"/>
  <c r="LVG6" i="10"/>
  <c r="LVK6" i="10"/>
  <c r="LVO6" i="10"/>
  <c r="LVS6" i="10"/>
  <c r="LVW6" i="10"/>
  <c r="LWA6" i="10"/>
  <c r="LWE6" i="10"/>
  <c r="LWI6" i="10"/>
  <c r="LWM6" i="10"/>
  <c r="LWQ6" i="10"/>
  <c r="LWU6" i="10"/>
  <c r="LWY6" i="10"/>
  <c r="LXC6" i="10"/>
  <c r="LXG6" i="10"/>
  <c r="LXK6" i="10"/>
  <c r="LXO6" i="10"/>
  <c r="LXS6" i="10"/>
  <c r="LXW6" i="10"/>
  <c r="LYA6" i="10"/>
  <c r="LYE6" i="10"/>
  <c r="LYI6" i="10"/>
  <c r="LYM6" i="10"/>
  <c r="LYQ6" i="10"/>
  <c r="LYU6" i="10"/>
  <c r="LYY6" i="10"/>
  <c r="LZC6" i="10"/>
  <c r="LZG6" i="10"/>
  <c r="LZK6" i="10"/>
  <c r="LZO6" i="10"/>
  <c r="LZS6" i="10"/>
  <c r="LZW6" i="10"/>
  <c r="MAA6" i="10"/>
  <c r="MAE6" i="10"/>
  <c r="MAI6" i="10"/>
  <c r="MAM6" i="10"/>
  <c r="MAQ6" i="10"/>
  <c r="MAU6" i="10"/>
  <c r="MAY6" i="10"/>
  <c r="MBC6" i="10"/>
  <c r="MBG6" i="10"/>
  <c r="MBK6" i="10"/>
  <c r="MBO6" i="10"/>
  <c r="MBS6" i="10"/>
  <c r="MBW6" i="10"/>
  <c r="MCA6" i="10"/>
  <c r="MCE6" i="10"/>
  <c r="MCI6" i="10"/>
  <c r="MCM6" i="10"/>
  <c r="MCQ6" i="10"/>
  <c r="MCU6" i="10"/>
  <c r="MCY6" i="10"/>
  <c r="MDC6" i="10"/>
  <c r="MDG6" i="10"/>
  <c r="MDK6" i="10"/>
  <c r="MDO6" i="10"/>
  <c r="MDS6" i="10"/>
  <c r="MDW6" i="10"/>
  <c r="MEA6" i="10"/>
  <c r="MEE6" i="10"/>
  <c r="MEI6" i="10"/>
  <c r="MEM6" i="10"/>
  <c r="MEQ6" i="10"/>
  <c r="MEU6" i="10"/>
  <c r="MEY6" i="10"/>
  <c r="MFC6" i="10"/>
  <c r="MFG6" i="10"/>
  <c r="MFK6" i="10"/>
  <c r="MFO6" i="10"/>
  <c r="MFS6" i="10"/>
  <c r="MFW6" i="10"/>
  <c r="MGA6" i="10"/>
  <c r="MGE6" i="10"/>
  <c r="MGI6" i="10"/>
  <c r="MGM6" i="10"/>
  <c r="MGQ6" i="10"/>
  <c r="MGU6" i="10"/>
  <c r="MGY6" i="10"/>
  <c r="MHC6" i="10"/>
  <c r="MHG6" i="10"/>
  <c r="MHK6" i="10"/>
  <c r="MHO6" i="10"/>
  <c r="MHS6" i="10"/>
  <c r="MHW6" i="10"/>
  <c r="MIA6" i="10"/>
  <c r="MIE6" i="10"/>
  <c r="MII6" i="10"/>
  <c r="MIM6" i="10"/>
  <c r="MIQ6" i="10"/>
  <c r="MIU6" i="10"/>
  <c r="MIY6" i="10"/>
  <c r="MJC6" i="10"/>
  <c r="MJG6" i="10"/>
  <c r="MJK6" i="10"/>
  <c r="MJO6" i="10"/>
  <c r="MJS6" i="10"/>
  <c r="MJW6" i="10"/>
  <c r="MKA6" i="10"/>
  <c r="MKE6" i="10"/>
  <c r="MKI6" i="10"/>
  <c r="MKM6" i="10"/>
  <c r="MKQ6" i="10"/>
  <c r="MKU6" i="10"/>
  <c r="MKY6" i="10"/>
  <c r="MLC6" i="10"/>
  <c r="MLG6" i="10"/>
  <c r="MLK6" i="10"/>
  <c r="MLO6" i="10"/>
  <c r="MLS6" i="10"/>
  <c r="MLW6" i="10"/>
  <c r="MMA6" i="10"/>
  <c r="MME6" i="10"/>
  <c r="MMI6" i="10"/>
  <c r="MMM6" i="10"/>
  <c r="MMQ6" i="10"/>
  <c r="MMU6" i="10"/>
  <c r="MMY6" i="10"/>
  <c r="MNC6" i="10"/>
  <c r="MNG6" i="10"/>
  <c r="MNK6" i="10"/>
  <c r="MNO6" i="10"/>
  <c r="MNS6" i="10"/>
  <c r="MNW6" i="10"/>
  <c r="MOA6" i="10"/>
  <c r="MOE6" i="10"/>
  <c r="MOI6" i="10"/>
  <c r="MOM6" i="10"/>
  <c r="MOQ6" i="10"/>
  <c r="MOU6" i="10"/>
  <c r="MOY6" i="10"/>
  <c r="MPC6" i="10"/>
  <c r="MPG6" i="10"/>
  <c r="MPK6" i="10"/>
  <c r="MPO6" i="10"/>
  <c r="MPS6" i="10"/>
  <c r="MPW6" i="10"/>
  <c r="MQA6" i="10"/>
  <c r="MQE6" i="10"/>
  <c r="MQI6" i="10"/>
  <c r="MQM6" i="10"/>
  <c r="MQQ6" i="10"/>
  <c r="MQU6" i="10"/>
  <c r="MQY6" i="10"/>
  <c r="MRC6" i="10"/>
  <c r="MRG6" i="10"/>
  <c r="MRK6" i="10"/>
  <c r="MRO6" i="10"/>
  <c r="MRS6" i="10"/>
  <c r="MRW6" i="10"/>
  <c r="MSA6" i="10"/>
  <c r="MSE6" i="10"/>
  <c r="MSI6" i="10"/>
  <c r="MSM6" i="10"/>
  <c r="MSQ6" i="10"/>
  <c r="MSU6" i="10"/>
  <c r="MSY6" i="10"/>
  <c r="MTC6" i="10"/>
  <c r="MTG6" i="10"/>
  <c r="MTK6" i="10"/>
  <c r="MTO6" i="10"/>
  <c r="MTS6" i="10"/>
  <c r="MTW6" i="10"/>
  <c r="MUA6" i="10"/>
  <c r="MUE6" i="10"/>
  <c r="MUI6" i="10"/>
  <c r="MUM6" i="10"/>
  <c r="MUQ6" i="10"/>
  <c r="MUU6" i="10"/>
  <c r="MUY6" i="10"/>
  <c r="MVC6" i="10"/>
  <c r="MVG6" i="10"/>
  <c r="MVK6" i="10"/>
  <c r="MVO6" i="10"/>
  <c r="MVS6" i="10"/>
  <c r="MVW6" i="10"/>
  <c r="MWA6" i="10"/>
  <c r="MWE6" i="10"/>
  <c r="MWI6" i="10"/>
  <c r="MWM6" i="10"/>
  <c r="MWQ6" i="10"/>
  <c r="MWU6" i="10"/>
  <c r="MWY6" i="10"/>
  <c r="MXC6" i="10"/>
  <c r="MXG6" i="10"/>
  <c r="MXK6" i="10"/>
  <c r="MXO6" i="10"/>
  <c r="MXS6" i="10"/>
  <c r="MXW6" i="10"/>
  <c r="MYA6" i="10"/>
  <c r="MYE6" i="10"/>
  <c r="MYI6" i="10"/>
  <c r="MYM6" i="10"/>
  <c r="MYQ6" i="10"/>
  <c r="MYU6" i="10"/>
  <c r="MYY6" i="10"/>
  <c r="MZC6" i="10"/>
  <c r="MZG6" i="10"/>
  <c r="MZK6" i="10"/>
  <c r="MZO6" i="10"/>
  <c r="MZS6" i="10"/>
  <c r="MZW6" i="10"/>
  <c r="NAA6" i="10"/>
  <c r="NAE6" i="10"/>
  <c r="NAI6" i="10"/>
  <c r="NAM6" i="10"/>
  <c r="NAQ6" i="10"/>
  <c r="NAU6" i="10"/>
  <c r="NAY6" i="10"/>
  <c r="NBC6" i="10"/>
  <c r="NBG6" i="10"/>
  <c r="NBK6" i="10"/>
  <c r="NBO6" i="10"/>
  <c r="NBS6" i="10"/>
  <c r="NBW6" i="10"/>
  <c r="NCA6" i="10"/>
  <c r="NCE6" i="10"/>
  <c r="NCI6" i="10"/>
  <c r="NCM6" i="10"/>
  <c r="NCQ6" i="10"/>
  <c r="NCU6" i="10"/>
  <c r="NCY6" i="10"/>
  <c r="NDC6" i="10"/>
  <c r="NDG6" i="10"/>
  <c r="NDK6" i="10"/>
  <c r="NDO6" i="10"/>
  <c r="NDS6" i="10"/>
  <c r="NDW6" i="10"/>
  <c r="NEA6" i="10"/>
  <c r="NEE6" i="10"/>
  <c r="NEI6" i="10"/>
  <c r="NEM6" i="10"/>
  <c r="NEQ6" i="10"/>
  <c r="NEU6" i="10"/>
  <c r="NEY6" i="10"/>
  <c r="NFC6" i="10"/>
  <c r="NFG6" i="10"/>
  <c r="CBG6" i="10"/>
  <c r="CYB6" i="10"/>
  <c r="DLE6" i="10"/>
  <c r="DPJ6" i="10"/>
  <c r="DRV6" i="10"/>
  <c r="DUH6" i="10"/>
  <c r="DWT6" i="10"/>
  <c r="DZF6" i="10"/>
  <c r="EBR6" i="10"/>
  <c r="EED6" i="10"/>
  <c r="EGP6" i="10"/>
  <c r="EJB6" i="10"/>
  <c r="ELN6" i="10"/>
  <c r="ENZ6" i="10"/>
  <c r="EQL6" i="10"/>
  <c r="ESX6" i="10"/>
  <c r="EVJ6" i="10"/>
  <c r="EXV6" i="10"/>
  <c r="FAH6" i="10"/>
  <c r="FCT6" i="10"/>
  <c r="FFF6" i="10"/>
  <c r="FHG6" i="10"/>
  <c r="FIB6" i="10"/>
  <c r="FIR6" i="10"/>
  <c r="FJH6" i="10"/>
  <c r="FJX6" i="10"/>
  <c r="FKN6" i="10"/>
  <c r="FLD6" i="10"/>
  <c r="FLT6" i="10"/>
  <c r="FMJ6" i="10"/>
  <c r="FMZ6" i="10"/>
  <c r="FNP6" i="10"/>
  <c r="FOF6" i="10"/>
  <c r="FOV6" i="10"/>
  <c r="FPL6" i="10"/>
  <c r="FQB6" i="10"/>
  <c r="FQR6" i="10"/>
  <c r="FRH6" i="10"/>
  <c r="FRX6" i="10"/>
  <c r="FSN6" i="10"/>
  <c r="FTD6" i="10"/>
  <c r="FTT6" i="10"/>
  <c r="FUJ6" i="10"/>
  <c r="FUZ6" i="10"/>
  <c r="FVP6" i="10"/>
  <c r="FWF6" i="10"/>
  <c r="FWV6" i="10"/>
  <c r="FXL6" i="10"/>
  <c r="FYB6" i="10"/>
  <c r="FYR6" i="10"/>
  <c r="FZH6" i="10"/>
  <c r="FZX6" i="10"/>
  <c r="GAN6" i="10"/>
  <c r="GBD6" i="10"/>
  <c r="GBT6" i="10"/>
  <c r="GCJ6" i="10"/>
  <c r="GCZ6" i="10"/>
  <c r="GDP6" i="10"/>
  <c r="GEF6" i="10"/>
  <c r="GEV6" i="10"/>
  <c r="GFL6" i="10"/>
  <c r="GGB6" i="10"/>
  <c r="GGR6" i="10"/>
  <c r="GHH6" i="10"/>
  <c r="GHX6" i="10"/>
  <c r="GIN6" i="10"/>
  <c r="GJD6" i="10"/>
  <c r="GJT6" i="10"/>
  <c r="GKJ6" i="10"/>
  <c r="GKZ6" i="10"/>
  <c r="GLP6" i="10"/>
  <c r="GMF6" i="10"/>
  <c r="GMV6" i="10"/>
  <c r="GNL6" i="10"/>
  <c r="GOB6" i="10"/>
  <c r="GOR6" i="10"/>
  <c r="GPH6" i="10"/>
  <c r="GPX6" i="10"/>
  <c r="GQN6" i="10"/>
  <c r="GRD6" i="10"/>
  <c r="GRT6" i="10"/>
  <c r="GSJ6" i="10"/>
  <c r="GSZ6" i="10"/>
  <c r="GTP6" i="10"/>
  <c r="GUF6" i="10"/>
  <c r="GUV6" i="10"/>
  <c r="GVL6" i="10"/>
  <c r="GWB6" i="10"/>
  <c r="GWR6" i="10"/>
  <c r="GXH6" i="10"/>
  <c r="GXX6" i="10"/>
  <c r="GYN6" i="10"/>
  <c r="GZD6" i="10"/>
  <c r="GZT6" i="10"/>
  <c r="HAJ6" i="10"/>
  <c r="HAZ6" i="10"/>
  <c r="HBP6" i="10"/>
  <c r="HCF6" i="10"/>
  <c r="HCV6" i="10"/>
  <c r="HDL6" i="10"/>
  <c r="HEB6" i="10"/>
  <c r="HER6" i="10"/>
  <c r="HFH6" i="10"/>
  <c r="HFX6" i="10"/>
  <c r="HGN6" i="10"/>
  <c r="HHD6" i="10"/>
  <c r="HHT6" i="10"/>
  <c r="HIJ6" i="10"/>
  <c r="HIZ6" i="10"/>
  <c r="HJP6" i="10"/>
  <c r="HKF6" i="10"/>
  <c r="HKV6" i="10"/>
  <c r="HLL6" i="10"/>
  <c r="HMB6" i="10"/>
  <c r="HMR6" i="10"/>
  <c r="HNH6" i="10"/>
  <c r="HNX6" i="10"/>
  <c r="HON6" i="10"/>
  <c r="HPD6" i="10"/>
  <c r="HPT6" i="10"/>
  <c r="HQJ6" i="10"/>
  <c r="HQZ6" i="10"/>
  <c r="HRP6" i="10"/>
  <c r="HSF6" i="10"/>
  <c r="HSV6" i="10"/>
  <c r="HTL6" i="10"/>
  <c r="HUB6" i="10"/>
  <c r="HUJ6" i="10"/>
  <c r="HUR6" i="10"/>
  <c r="HUZ6" i="10"/>
  <c r="HVH6" i="10"/>
  <c r="HVP6" i="10"/>
  <c r="HVX6" i="10"/>
  <c r="HWF6" i="10"/>
  <c r="HWN6" i="10"/>
  <c r="HWV6" i="10"/>
  <c r="HXD6" i="10"/>
  <c r="HXL6" i="10"/>
  <c r="HXT6" i="10"/>
  <c r="HYB6" i="10"/>
  <c r="HYJ6" i="10"/>
  <c r="HYR6" i="10"/>
  <c r="HYZ6" i="10"/>
  <c r="HZH6" i="10"/>
  <c r="HZP6" i="10"/>
  <c r="HZX6" i="10"/>
  <c r="IAF6" i="10"/>
  <c r="IAN6" i="10"/>
  <c r="IAV6" i="10"/>
  <c r="IBD6" i="10"/>
  <c r="IBL6" i="10"/>
  <c r="IBT6" i="10"/>
  <c r="ICB6" i="10"/>
  <c r="ICJ6" i="10"/>
  <c r="ICR6" i="10"/>
  <c r="ICZ6" i="10"/>
  <c r="IDH6" i="10"/>
  <c r="IDP6" i="10"/>
  <c r="IDX6" i="10"/>
  <c r="IEF6" i="10"/>
  <c r="IEN6" i="10"/>
  <c r="IEV6" i="10"/>
  <c r="IFD6" i="10"/>
  <c r="IFL6" i="10"/>
  <c r="IFT6" i="10"/>
  <c r="IGB6" i="10"/>
  <c r="IGJ6" i="10"/>
  <c r="IGR6" i="10"/>
  <c r="IGZ6" i="10"/>
  <c r="IHH6" i="10"/>
  <c r="IHP6" i="10"/>
  <c r="IHX6" i="10"/>
  <c r="IIF6" i="10"/>
  <c r="IIN6" i="10"/>
  <c r="IIV6" i="10"/>
  <c r="IJD6" i="10"/>
  <c r="IJL6" i="10"/>
  <c r="IJT6" i="10"/>
  <c r="IKB6" i="10"/>
  <c r="IKJ6" i="10"/>
  <c r="IKR6" i="10"/>
  <c r="IKZ6" i="10"/>
  <c r="ILH6" i="10"/>
  <c r="ILP6" i="10"/>
  <c r="ILX6" i="10"/>
  <c r="IMF6" i="10"/>
  <c r="IMN6" i="10"/>
  <c r="IMV6" i="10"/>
  <c r="IND6" i="10"/>
  <c r="INL6" i="10"/>
  <c r="INT6" i="10"/>
  <c r="IOB6" i="10"/>
  <c r="IOJ6" i="10"/>
  <c r="IOR6" i="10"/>
  <c r="IOZ6" i="10"/>
  <c r="IPH6" i="10"/>
  <c r="IPP6" i="10"/>
  <c r="IPX6" i="10"/>
  <c r="IQF6" i="10"/>
  <c r="IQN6" i="10"/>
  <c r="IQV6" i="10"/>
  <c r="IRD6" i="10"/>
  <c r="IRL6" i="10"/>
  <c r="IRT6" i="10"/>
  <c r="ISB6" i="10"/>
  <c r="ISJ6" i="10"/>
  <c r="ISR6" i="10"/>
  <c r="ISZ6" i="10"/>
  <c r="ITH6" i="10"/>
  <c r="ITP6" i="10"/>
  <c r="ITX6" i="10"/>
  <c r="IUF6" i="10"/>
  <c r="IUN6" i="10"/>
  <c r="IUV6" i="10"/>
  <c r="IVD6" i="10"/>
  <c r="IVH6" i="10"/>
  <c r="IVL6" i="10"/>
  <c r="IVP6" i="10"/>
  <c r="IVT6" i="10"/>
  <c r="IVX6" i="10"/>
  <c r="IWB6" i="10"/>
  <c r="IWF6" i="10"/>
  <c r="IWJ6" i="10"/>
  <c r="IWN6" i="10"/>
  <c r="IWR6" i="10"/>
  <c r="IWV6" i="10"/>
  <c r="IWZ6" i="10"/>
  <c r="IXD6" i="10"/>
  <c r="IXH6" i="10"/>
  <c r="IXL6" i="10"/>
  <c r="IXP6" i="10"/>
  <c r="IXT6" i="10"/>
  <c r="IXX6" i="10"/>
  <c r="IYB6" i="10"/>
  <c r="IYF6" i="10"/>
  <c r="IYJ6" i="10"/>
  <c r="IYN6" i="10"/>
  <c r="IYR6" i="10"/>
  <c r="IYV6" i="10"/>
  <c r="IYZ6" i="10"/>
  <c r="IZD6" i="10"/>
  <c r="IZH6" i="10"/>
  <c r="IZL6" i="10"/>
  <c r="IZP6" i="10"/>
  <c r="IZT6" i="10"/>
  <c r="IZX6" i="10"/>
  <c r="JAB6" i="10"/>
  <c r="JAF6" i="10"/>
  <c r="JAJ6" i="10"/>
  <c r="JAN6" i="10"/>
  <c r="JAR6" i="10"/>
  <c r="JAV6" i="10"/>
  <c r="JAZ6" i="10"/>
  <c r="JBD6" i="10"/>
  <c r="JBH6" i="10"/>
  <c r="JBL6" i="10"/>
  <c r="JBP6" i="10"/>
  <c r="JBT6" i="10"/>
  <c r="JBX6" i="10"/>
  <c r="JCB6" i="10"/>
  <c r="JCF6" i="10"/>
  <c r="JCJ6" i="10"/>
  <c r="JCN6" i="10"/>
  <c r="JCR6" i="10"/>
  <c r="JCV6" i="10"/>
  <c r="JCZ6" i="10"/>
  <c r="JDD6" i="10"/>
  <c r="JDH6" i="10"/>
  <c r="JDL6" i="10"/>
  <c r="JDP6" i="10"/>
  <c r="JDT6" i="10"/>
  <c r="JDX6" i="10"/>
  <c r="JEB6" i="10"/>
  <c r="JEF6" i="10"/>
  <c r="JEJ6" i="10"/>
  <c r="JEN6" i="10"/>
  <c r="JER6" i="10"/>
  <c r="JEV6" i="10"/>
  <c r="JEZ6" i="10"/>
  <c r="JFD6" i="10"/>
  <c r="JFH6" i="10"/>
  <c r="JFL6" i="10"/>
  <c r="JFP6" i="10"/>
  <c r="JFT6" i="10"/>
  <c r="JFX6" i="10"/>
  <c r="JGB6" i="10"/>
  <c r="JGF6" i="10"/>
  <c r="JGJ6" i="10"/>
  <c r="JGN6" i="10"/>
  <c r="JGR6" i="10"/>
  <c r="JGV6" i="10"/>
  <c r="JGZ6" i="10"/>
  <c r="JHD6" i="10"/>
  <c r="JHH6" i="10"/>
  <c r="JHL6" i="10"/>
  <c r="JHP6" i="10"/>
  <c r="JHT6" i="10"/>
  <c r="JHX6" i="10"/>
  <c r="JIB6" i="10"/>
  <c r="JIF6" i="10"/>
  <c r="JIJ6" i="10"/>
  <c r="JIN6" i="10"/>
  <c r="JIR6" i="10"/>
  <c r="JIV6" i="10"/>
  <c r="JIZ6" i="10"/>
  <c r="JJD6" i="10"/>
  <c r="JJH6" i="10"/>
  <c r="JJL6" i="10"/>
  <c r="JJP6" i="10"/>
  <c r="JJT6" i="10"/>
  <c r="JJX6" i="10"/>
  <c r="JKB6" i="10"/>
  <c r="JKF6" i="10"/>
  <c r="JKJ6" i="10"/>
  <c r="JKN6" i="10"/>
  <c r="JKR6" i="10"/>
  <c r="JKV6" i="10"/>
  <c r="JKZ6" i="10"/>
  <c r="JLD6" i="10"/>
  <c r="JLH6" i="10"/>
  <c r="JLL6" i="10"/>
  <c r="JLP6" i="10"/>
  <c r="JLT6" i="10"/>
  <c r="JLX6" i="10"/>
  <c r="JMB6" i="10"/>
  <c r="JMF6" i="10"/>
  <c r="JMJ6" i="10"/>
  <c r="JMN6" i="10"/>
  <c r="JMR6" i="10"/>
  <c r="JMV6" i="10"/>
  <c r="JMZ6" i="10"/>
  <c r="JND6" i="10"/>
  <c r="JNH6" i="10"/>
  <c r="JNL6" i="10"/>
  <c r="JNP6" i="10"/>
  <c r="JNT6" i="10"/>
  <c r="JNX6" i="10"/>
  <c r="JOB6" i="10"/>
  <c r="JOF6" i="10"/>
  <c r="JOJ6" i="10"/>
  <c r="JON6" i="10"/>
  <c r="JOR6" i="10"/>
  <c r="JOV6" i="10"/>
  <c r="JOZ6" i="10"/>
  <c r="JPD6" i="10"/>
  <c r="JPH6" i="10"/>
  <c r="JPL6" i="10"/>
  <c r="JPP6" i="10"/>
  <c r="JPT6" i="10"/>
  <c r="JPX6" i="10"/>
  <c r="JQB6" i="10"/>
  <c r="JQF6" i="10"/>
  <c r="JQJ6" i="10"/>
  <c r="JQN6" i="10"/>
  <c r="JQR6" i="10"/>
  <c r="JQV6" i="10"/>
  <c r="JQZ6" i="10"/>
  <c r="JRD6" i="10"/>
  <c r="JRH6" i="10"/>
  <c r="JRL6" i="10"/>
  <c r="JRP6" i="10"/>
  <c r="JRT6" i="10"/>
  <c r="JRX6" i="10"/>
  <c r="JSB6" i="10"/>
  <c r="JSF6" i="10"/>
  <c r="JSJ6" i="10"/>
  <c r="JSN6" i="10"/>
  <c r="JSR6" i="10"/>
  <c r="JSV6" i="10"/>
  <c r="JSZ6" i="10"/>
  <c r="JTD6" i="10"/>
  <c r="JTH6" i="10"/>
  <c r="JTL6" i="10"/>
  <c r="JTP6" i="10"/>
  <c r="JTT6" i="10"/>
  <c r="JTX6" i="10"/>
  <c r="JUB6" i="10"/>
  <c r="JUF6" i="10"/>
  <c r="JUJ6" i="10"/>
  <c r="JUN6" i="10"/>
  <c r="JUR6" i="10"/>
  <c r="JUV6" i="10"/>
  <c r="JUZ6" i="10"/>
  <c r="JVD6" i="10"/>
  <c r="JVH6" i="10"/>
  <c r="JVL6" i="10"/>
  <c r="JVP6" i="10"/>
  <c r="JVT6" i="10"/>
  <c r="JVX6" i="10"/>
  <c r="JWB6" i="10"/>
  <c r="JWF6" i="10"/>
  <c r="JWJ6" i="10"/>
  <c r="JWN6" i="10"/>
  <c r="JWR6" i="10"/>
  <c r="JWV6" i="10"/>
  <c r="JWZ6" i="10"/>
  <c r="JXD6" i="10"/>
  <c r="JXH6" i="10"/>
  <c r="JXL6" i="10"/>
  <c r="JXP6" i="10"/>
  <c r="JXT6" i="10"/>
  <c r="JXX6" i="10"/>
  <c r="JYB6" i="10"/>
  <c r="JYF6" i="10"/>
  <c r="JYJ6" i="10"/>
  <c r="JYN6" i="10"/>
  <c r="JYR6" i="10"/>
  <c r="JYV6" i="10"/>
  <c r="JYZ6" i="10"/>
  <c r="JZD6" i="10"/>
  <c r="JZH6" i="10"/>
  <c r="JZL6" i="10"/>
  <c r="JZP6" i="10"/>
  <c r="JZT6" i="10"/>
  <c r="JZX6" i="10"/>
  <c r="KAB6" i="10"/>
  <c r="KAF6" i="10"/>
  <c r="KAJ6" i="10"/>
  <c r="KAN6" i="10"/>
  <c r="KAR6" i="10"/>
  <c r="KAV6" i="10"/>
  <c r="KAZ6" i="10"/>
  <c r="KBD6" i="10"/>
  <c r="KBH6" i="10"/>
  <c r="KBL6" i="10"/>
  <c r="KBP6" i="10"/>
  <c r="KBT6" i="10"/>
  <c r="KBX6" i="10"/>
  <c r="KCB6" i="10"/>
  <c r="KCF6" i="10"/>
  <c r="KCJ6" i="10"/>
  <c r="KCN6" i="10"/>
  <c r="KCR6" i="10"/>
  <c r="KCV6" i="10"/>
  <c r="KCZ6" i="10"/>
  <c r="KDD6" i="10"/>
  <c r="KDH6" i="10"/>
  <c r="KDL6" i="10"/>
  <c r="KDP6" i="10"/>
  <c r="KDT6" i="10"/>
  <c r="KDX6" i="10"/>
  <c r="KEB6" i="10"/>
  <c r="KEF6" i="10"/>
  <c r="KEJ6" i="10"/>
  <c r="KEN6" i="10"/>
  <c r="KER6" i="10"/>
  <c r="KEV6" i="10"/>
  <c r="KEZ6" i="10"/>
  <c r="KFD6" i="10"/>
  <c r="KFH6" i="10"/>
  <c r="KFL6" i="10"/>
  <c r="KFP6" i="10"/>
  <c r="KFT6" i="10"/>
  <c r="KFX6" i="10"/>
  <c r="KGB6" i="10"/>
  <c r="KGF6" i="10"/>
  <c r="KGJ6" i="10"/>
  <c r="KGN6" i="10"/>
  <c r="KGR6" i="10"/>
  <c r="KGV6" i="10"/>
  <c r="KGZ6" i="10"/>
  <c r="KHD6" i="10"/>
  <c r="KHH6" i="10"/>
  <c r="KHL6" i="10"/>
  <c r="KHP6" i="10"/>
  <c r="KHT6" i="10"/>
  <c r="KHX6" i="10"/>
  <c r="KIB6" i="10"/>
  <c r="KIF6" i="10"/>
  <c r="KIJ6" i="10"/>
  <c r="KIN6" i="10"/>
  <c r="KIR6" i="10"/>
  <c r="KIV6" i="10"/>
  <c r="KIZ6" i="10"/>
  <c r="KJD6" i="10"/>
  <c r="KJH6" i="10"/>
  <c r="KJL6" i="10"/>
  <c r="KJP6" i="10"/>
  <c r="KJT6" i="10"/>
  <c r="KJX6" i="10"/>
  <c r="KKB6" i="10"/>
  <c r="KKF6" i="10"/>
  <c r="KKJ6" i="10"/>
  <c r="KKN6" i="10"/>
  <c r="KKR6" i="10"/>
  <c r="KKV6" i="10"/>
  <c r="KKZ6" i="10"/>
  <c r="KLD6" i="10"/>
  <c r="KLH6" i="10"/>
  <c r="KLL6" i="10"/>
  <c r="KLP6" i="10"/>
  <c r="KLT6" i="10"/>
  <c r="KLX6" i="10"/>
  <c r="KMB6" i="10"/>
  <c r="KMF6" i="10"/>
  <c r="KMJ6" i="10"/>
  <c r="KMN6" i="10"/>
  <c r="KMR6" i="10"/>
  <c r="KMV6" i="10"/>
  <c r="KMZ6" i="10"/>
  <c r="KND6" i="10"/>
  <c r="KNH6" i="10"/>
  <c r="KNL6" i="10"/>
  <c r="KNP6" i="10"/>
  <c r="KNT6" i="10"/>
  <c r="KNX6" i="10"/>
  <c r="KOB6" i="10"/>
  <c r="KOF6" i="10"/>
  <c r="KOJ6" i="10"/>
  <c r="KON6" i="10"/>
  <c r="KOR6" i="10"/>
  <c r="KOV6" i="10"/>
  <c r="KOZ6" i="10"/>
  <c r="KPD6" i="10"/>
  <c r="KPH6" i="10"/>
  <c r="KPL6" i="10"/>
  <c r="KPP6" i="10"/>
  <c r="KPT6" i="10"/>
  <c r="KPX6" i="10"/>
  <c r="KQB6" i="10"/>
  <c r="KQF6" i="10"/>
  <c r="KQJ6" i="10"/>
  <c r="KQN6" i="10"/>
  <c r="KQR6" i="10"/>
  <c r="KQV6" i="10"/>
  <c r="KQZ6" i="10"/>
  <c r="KRD6" i="10"/>
  <c r="KRH6" i="10"/>
  <c r="KRL6" i="10"/>
  <c r="KRP6" i="10"/>
  <c r="KRT6" i="10"/>
  <c r="KRX6" i="10"/>
  <c r="KSB6" i="10"/>
  <c r="KSF6" i="10"/>
  <c r="KSJ6" i="10"/>
  <c r="KSN6" i="10"/>
  <c r="KSR6" i="10"/>
  <c r="KSV6" i="10"/>
  <c r="KSZ6" i="10"/>
  <c r="KTD6" i="10"/>
  <c r="KTH6" i="10"/>
  <c r="KTL6" i="10"/>
  <c r="KTP6" i="10"/>
  <c r="KTT6" i="10"/>
  <c r="KTX6" i="10"/>
  <c r="KUB6" i="10"/>
  <c r="KUF6" i="10"/>
  <c r="KUJ6" i="10"/>
  <c r="KUN6" i="10"/>
  <c r="KUR6" i="10"/>
  <c r="KUV6" i="10"/>
  <c r="KUZ6" i="10"/>
  <c r="KVD6" i="10"/>
  <c r="KVH6" i="10"/>
  <c r="KVL6" i="10"/>
  <c r="KVP6" i="10"/>
  <c r="KVT6" i="10"/>
  <c r="KVX6" i="10"/>
  <c r="KWB6" i="10"/>
  <c r="KWF6" i="10"/>
  <c r="KWJ6" i="10"/>
  <c r="KWN6" i="10"/>
  <c r="KWR6" i="10"/>
  <c r="KWV6" i="10"/>
  <c r="KWZ6" i="10"/>
  <c r="KXD6" i="10"/>
  <c r="KXH6" i="10"/>
  <c r="KXL6" i="10"/>
  <c r="KXP6" i="10"/>
  <c r="KXT6" i="10"/>
  <c r="KXX6" i="10"/>
  <c r="KYB6" i="10"/>
  <c r="KYF6" i="10"/>
  <c r="KYJ6" i="10"/>
  <c r="KYN6" i="10"/>
  <c r="KYR6" i="10"/>
  <c r="KYV6" i="10"/>
  <c r="KYZ6" i="10"/>
  <c r="KZD6" i="10"/>
  <c r="KZH6" i="10"/>
  <c r="KZL6" i="10"/>
  <c r="KZP6" i="10"/>
  <c r="KZT6" i="10"/>
  <c r="KZX6" i="10"/>
  <c r="LAB6" i="10"/>
  <c r="LAF6" i="10"/>
  <c r="LAJ6" i="10"/>
  <c r="LAN6" i="10"/>
  <c r="LAR6" i="10"/>
  <c r="LAV6" i="10"/>
  <c r="LAZ6" i="10"/>
  <c r="LBD6" i="10"/>
  <c r="LBH6" i="10"/>
  <c r="LBL6" i="10"/>
  <c r="LBP6" i="10"/>
  <c r="LBT6" i="10"/>
  <c r="LBX6" i="10"/>
  <c r="LCB6" i="10"/>
  <c r="LCF6" i="10"/>
  <c r="LCJ6" i="10"/>
  <c r="LCN6" i="10"/>
  <c r="LCR6" i="10"/>
  <c r="LCV6" i="10"/>
  <c r="LCZ6" i="10"/>
  <c r="LDD6" i="10"/>
  <c r="LDH6" i="10"/>
  <c r="LDL6" i="10"/>
  <c r="LDP6" i="10"/>
  <c r="LDT6" i="10"/>
  <c r="LDX6" i="10"/>
  <c r="LEB6" i="10"/>
  <c r="LEF6" i="10"/>
  <c r="LEJ6" i="10"/>
  <c r="LEN6" i="10"/>
  <c r="LER6" i="10"/>
  <c r="LEV6" i="10"/>
  <c r="LEZ6" i="10"/>
  <c r="LFD6" i="10"/>
  <c r="LFH6" i="10"/>
  <c r="LFL6" i="10"/>
  <c r="LFP6" i="10"/>
  <c r="LFT6" i="10"/>
  <c r="LFX6" i="10"/>
  <c r="LGB6" i="10"/>
  <c r="LGF6" i="10"/>
  <c r="LGJ6" i="10"/>
  <c r="LGN6" i="10"/>
  <c r="LGR6" i="10"/>
  <c r="LGV6" i="10"/>
  <c r="LGZ6" i="10"/>
  <c r="LHD6" i="10"/>
  <c r="LHH6" i="10"/>
  <c r="LHL6" i="10"/>
  <c r="LHP6" i="10"/>
  <c r="LHT6" i="10"/>
  <c r="LHX6" i="10"/>
  <c r="LIB6" i="10"/>
  <c r="LIF6" i="10"/>
  <c r="LIJ6" i="10"/>
  <c r="LIN6" i="10"/>
  <c r="LIR6" i="10"/>
  <c r="LIV6" i="10"/>
  <c r="LIZ6" i="10"/>
  <c r="LJD6" i="10"/>
  <c r="LJH6" i="10"/>
  <c r="LJL6" i="10"/>
  <c r="LJP6" i="10"/>
  <c r="LJT6" i="10"/>
  <c r="LJX6" i="10"/>
  <c r="LKB6" i="10"/>
  <c r="LKF6" i="10"/>
  <c r="LKJ6" i="10"/>
  <c r="LKN6" i="10"/>
  <c r="LKR6" i="10"/>
  <c r="LKV6" i="10"/>
  <c r="LKZ6" i="10"/>
  <c r="LLD6" i="10"/>
  <c r="LLH6" i="10"/>
  <c r="LLL6" i="10"/>
  <c r="LLP6" i="10"/>
  <c r="LLT6" i="10"/>
  <c r="LLX6" i="10"/>
  <c r="LMB6" i="10"/>
  <c r="LMF6" i="10"/>
  <c r="LMJ6" i="10"/>
  <c r="LMN6" i="10"/>
  <c r="LMR6" i="10"/>
  <c r="LMV6" i="10"/>
  <c r="LMZ6" i="10"/>
  <c r="LND6" i="10"/>
  <c r="LNH6" i="10"/>
  <c r="LNL6" i="10"/>
  <c r="LNP6" i="10"/>
  <c r="LNT6" i="10"/>
  <c r="LNX6" i="10"/>
  <c r="LOB6" i="10"/>
  <c r="LOF6" i="10"/>
  <c r="LOJ6" i="10"/>
  <c r="LON6" i="10"/>
  <c r="LOR6" i="10"/>
  <c r="LOV6" i="10"/>
  <c r="LOZ6" i="10"/>
  <c r="LPD6" i="10"/>
  <c r="LPH6" i="10"/>
  <c r="LPL6" i="10"/>
  <c r="LPP6" i="10"/>
  <c r="LPT6" i="10"/>
  <c r="LPX6" i="10"/>
  <c r="LQB6" i="10"/>
  <c r="LQF6" i="10"/>
  <c r="LQJ6" i="10"/>
  <c r="LQN6" i="10"/>
  <c r="LQR6" i="10"/>
  <c r="LQV6" i="10"/>
  <c r="LQZ6" i="10"/>
  <c r="LRD6" i="10"/>
  <c r="LRH6" i="10"/>
  <c r="LRL6" i="10"/>
  <c r="LRP6" i="10"/>
  <c r="LRT6" i="10"/>
  <c r="LRX6" i="10"/>
  <c r="LSB6" i="10"/>
  <c r="LSF6" i="10"/>
  <c r="LSJ6" i="10"/>
  <c r="LSN6" i="10"/>
  <c r="LSR6" i="10"/>
  <c r="LSV6" i="10"/>
  <c r="LSZ6" i="10"/>
  <c r="LTD6" i="10"/>
  <c r="LTH6" i="10"/>
  <c r="LTL6" i="10"/>
  <c r="LTP6" i="10"/>
  <c r="LTT6" i="10"/>
  <c r="LTX6" i="10"/>
  <c r="LUB6" i="10"/>
  <c r="LUF6" i="10"/>
  <c r="LUJ6" i="10"/>
  <c r="LUN6" i="10"/>
  <c r="LUR6" i="10"/>
  <c r="LUV6" i="10"/>
  <c r="LUZ6" i="10"/>
  <c r="LVD6" i="10"/>
  <c r="LVH6" i="10"/>
  <c r="LVL6" i="10"/>
  <c r="LVP6" i="10"/>
  <c r="LVT6" i="10"/>
  <c r="LVX6" i="10"/>
  <c r="LWB6" i="10"/>
  <c r="LWF6" i="10"/>
  <c r="LWJ6" i="10"/>
  <c r="LWN6" i="10"/>
  <c r="LWR6" i="10"/>
  <c r="LWV6" i="10"/>
  <c r="LWZ6" i="10"/>
  <c r="LXD6" i="10"/>
  <c r="LXH6" i="10"/>
  <c r="LXL6" i="10"/>
  <c r="LXP6" i="10"/>
  <c r="LXT6" i="10"/>
  <c r="LXX6" i="10"/>
  <c r="LYB6" i="10"/>
  <c r="LYF6" i="10"/>
  <c r="LYJ6" i="10"/>
  <c r="LYN6" i="10"/>
  <c r="LYR6" i="10"/>
  <c r="LYV6" i="10"/>
  <c r="LYZ6" i="10"/>
  <c r="LZD6" i="10"/>
  <c r="LZH6" i="10"/>
  <c r="LZL6" i="10"/>
  <c r="LZP6" i="10"/>
  <c r="LZT6" i="10"/>
  <c r="LZX6" i="10"/>
  <c r="MAB6" i="10"/>
  <c r="MAF6" i="10"/>
  <c r="MAJ6" i="10"/>
  <c r="MAN6" i="10"/>
  <c r="MAR6" i="10"/>
  <c r="MAV6" i="10"/>
  <c r="MAZ6" i="10"/>
  <c r="MBD6" i="10"/>
  <c r="MBH6" i="10"/>
  <c r="MBL6" i="10"/>
  <c r="MBP6" i="10"/>
  <c r="MBT6" i="10"/>
  <c r="MBX6" i="10"/>
  <c r="MCB6" i="10"/>
  <c r="MCF6" i="10"/>
  <c r="MCJ6" i="10"/>
  <c r="MCN6" i="10"/>
  <c r="MCR6" i="10"/>
  <c r="MCV6" i="10"/>
  <c r="MCZ6" i="10"/>
  <c r="MDD6" i="10"/>
  <c r="MDH6" i="10"/>
  <c r="MDL6" i="10"/>
  <c r="MDP6" i="10"/>
  <c r="MDT6" i="10"/>
  <c r="MDX6" i="10"/>
  <c r="MEB6" i="10"/>
  <c r="MEF6" i="10"/>
  <c r="MEJ6" i="10"/>
  <c r="MEN6" i="10"/>
  <c r="MER6" i="10"/>
  <c r="MEV6" i="10"/>
  <c r="MEZ6" i="10"/>
  <c r="MFD6" i="10"/>
  <c r="MFH6" i="10"/>
  <c r="MFL6" i="10"/>
  <c r="MFP6" i="10"/>
  <c r="MFT6" i="10"/>
  <c r="MFX6" i="10"/>
  <c r="MGB6" i="10"/>
  <c r="MGF6" i="10"/>
  <c r="MGJ6" i="10"/>
  <c r="MGN6" i="10"/>
  <c r="MGR6" i="10"/>
  <c r="MGV6" i="10"/>
  <c r="MGZ6" i="10"/>
  <c r="MHD6" i="10"/>
  <c r="MHH6" i="10"/>
  <c r="MHL6" i="10"/>
  <c r="MHP6" i="10"/>
  <c r="MHT6" i="10"/>
  <c r="MHX6" i="10"/>
  <c r="MIB6" i="10"/>
  <c r="MIF6" i="10"/>
  <c r="MIJ6" i="10"/>
  <c r="MIN6" i="10"/>
  <c r="MIR6" i="10"/>
  <c r="MIV6" i="10"/>
  <c r="MIZ6" i="10"/>
  <c r="MJD6" i="10"/>
  <c r="MJH6" i="10"/>
  <c r="MJL6" i="10"/>
  <c r="MJP6" i="10"/>
  <c r="MJT6" i="10"/>
  <c r="MJX6" i="10"/>
  <c r="MKB6" i="10"/>
  <c r="MKF6" i="10"/>
  <c r="MKJ6" i="10"/>
  <c r="MKN6" i="10"/>
  <c r="MKR6" i="10"/>
  <c r="MKV6" i="10"/>
  <c r="MKZ6" i="10"/>
  <c r="MLD6" i="10"/>
  <c r="MLH6" i="10"/>
  <c r="MLL6" i="10"/>
  <c r="MLP6" i="10"/>
  <c r="MLT6" i="10"/>
  <c r="MLX6" i="10"/>
  <c r="MMB6" i="10"/>
  <c r="MMF6" i="10"/>
  <c r="MMJ6" i="10"/>
  <c r="MMN6" i="10"/>
  <c r="MMR6" i="10"/>
  <c r="MMV6" i="10"/>
  <c r="MMZ6" i="10"/>
  <c r="MND6" i="10"/>
  <c r="MNH6" i="10"/>
  <c r="MNL6" i="10"/>
  <c r="MNP6" i="10"/>
  <c r="MNT6" i="10"/>
  <c r="MNX6" i="10"/>
  <c r="MOB6" i="10"/>
  <c r="MOF6" i="10"/>
  <c r="MOJ6" i="10"/>
  <c r="MON6" i="10"/>
  <c r="MOR6" i="10"/>
  <c r="MOV6" i="10"/>
  <c r="MOZ6" i="10"/>
  <c r="MPD6" i="10"/>
  <c r="MPH6" i="10"/>
  <c r="MPL6" i="10"/>
  <c r="MPP6" i="10"/>
  <c r="MPT6" i="10"/>
  <c r="MPX6" i="10"/>
  <c r="MQB6" i="10"/>
  <c r="MQF6" i="10"/>
  <c r="MQJ6" i="10"/>
  <c r="MQN6" i="10"/>
  <c r="MQR6" i="10"/>
  <c r="MQV6" i="10"/>
  <c r="MQZ6" i="10"/>
  <c r="MRD6" i="10"/>
  <c r="MRH6" i="10"/>
  <c r="MRL6" i="10"/>
  <c r="MRP6" i="10"/>
  <c r="MRT6" i="10"/>
  <c r="MRX6" i="10"/>
  <c r="MSB6" i="10"/>
  <c r="MSF6" i="10"/>
  <c r="MSJ6" i="10"/>
  <c r="MSN6" i="10"/>
  <c r="MSR6" i="10"/>
  <c r="MSV6" i="10"/>
  <c r="MSZ6" i="10"/>
  <c r="MTD6" i="10"/>
  <c r="MTH6" i="10"/>
  <c r="MTL6" i="10"/>
  <c r="MTP6" i="10"/>
  <c r="MTT6" i="10"/>
  <c r="MTX6" i="10"/>
  <c r="MUB6" i="10"/>
  <c r="MUF6" i="10"/>
  <c r="MUJ6" i="10"/>
  <c r="MUN6" i="10"/>
  <c r="MUR6" i="10"/>
  <c r="MUV6" i="10"/>
  <c r="MUZ6" i="10"/>
  <c r="MVD6" i="10"/>
  <c r="MVH6" i="10"/>
  <c r="MVL6" i="10"/>
  <c r="MVP6" i="10"/>
  <c r="MVT6" i="10"/>
  <c r="MVX6" i="10"/>
  <c r="MWB6" i="10"/>
  <c r="MWF6" i="10"/>
  <c r="MWJ6" i="10"/>
  <c r="MWN6" i="10"/>
  <c r="MWR6" i="10"/>
  <c r="MWV6" i="10"/>
  <c r="MWZ6" i="10"/>
  <c r="MXD6" i="10"/>
  <c r="MXH6" i="10"/>
  <c r="MXL6" i="10"/>
  <c r="MXP6" i="10"/>
  <c r="MXT6" i="10"/>
  <c r="MXX6" i="10"/>
  <c r="MYB6" i="10"/>
  <c r="MYF6" i="10"/>
  <c r="MYJ6" i="10"/>
  <c r="MYN6" i="10"/>
  <c r="MYR6" i="10"/>
  <c r="MYV6" i="10"/>
  <c r="MYZ6" i="10"/>
  <c r="MZD6" i="10"/>
  <c r="MZH6" i="10"/>
  <c r="MZL6" i="10"/>
  <c r="MZP6" i="10"/>
  <c r="MZT6" i="10"/>
  <c r="MZX6" i="10"/>
  <c r="NAB6" i="10"/>
  <c r="NAF6" i="10"/>
  <c r="NAJ6" i="10"/>
  <c r="NAN6" i="10"/>
  <c r="NAR6" i="10"/>
  <c r="NAV6" i="10"/>
  <c r="NAZ6" i="10"/>
  <c r="NBD6" i="10"/>
  <c r="NBH6" i="10"/>
  <c r="NBL6" i="10"/>
  <c r="NBP6" i="10"/>
  <c r="NBT6" i="10"/>
  <c r="NBX6" i="10"/>
  <c r="NCB6" i="10"/>
  <c r="NCF6" i="10"/>
  <c r="NCJ6" i="10"/>
  <c r="NCN6" i="10"/>
  <c r="NCR6" i="10"/>
  <c r="NCV6" i="10"/>
  <c r="NCZ6" i="10"/>
  <c r="NDD6" i="10"/>
  <c r="NDH6" i="10"/>
  <c r="NDL6" i="10"/>
  <c r="NDP6" i="10"/>
  <c r="NDT6" i="10"/>
  <c r="NDX6" i="10"/>
  <c r="NEB6" i="10"/>
  <c r="NEF6" i="10"/>
  <c r="NEJ6" i="10"/>
  <c r="NEN6" i="10"/>
  <c r="NER6" i="10"/>
  <c r="NEV6" i="10"/>
  <c r="NEZ6" i="10"/>
  <c r="NFD6" i="10"/>
  <c r="CIS6" i="10"/>
  <c r="DBI6" i="10"/>
  <c r="DNK6" i="10"/>
  <c r="DPZ6" i="10"/>
  <c r="DSL6" i="10"/>
  <c r="DUX6" i="10"/>
  <c r="DXJ6" i="10"/>
  <c r="DZV6" i="10"/>
  <c r="ECH6" i="10"/>
  <c r="EET6" i="10"/>
  <c r="EHF6" i="10"/>
  <c r="EJR6" i="10"/>
  <c r="EMD6" i="10"/>
  <c r="EOP6" i="10"/>
  <c r="ERB6" i="10"/>
  <c r="ETN6" i="10"/>
  <c r="EVZ6" i="10"/>
  <c r="EYL6" i="10"/>
  <c r="FAX6" i="10"/>
  <c r="FDJ6" i="10"/>
  <c r="FFV6" i="10"/>
  <c r="FHM6" i="10"/>
  <c r="FIF6" i="10"/>
  <c r="FIV6" i="10"/>
  <c r="FJL6" i="10"/>
  <c r="FKB6" i="10"/>
  <c r="FKR6" i="10"/>
  <c r="FLH6" i="10"/>
  <c r="FLX6" i="10"/>
  <c r="FMN6" i="10"/>
  <c r="FND6" i="10"/>
  <c r="FNT6" i="10"/>
  <c r="FOJ6" i="10"/>
  <c r="FOZ6" i="10"/>
  <c r="FPP6" i="10"/>
  <c r="FQF6" i="10"/>
  <c r="FQV6" i="10"/>
  <c r="FRL6" i="10"/>
  <c r="FSB6" i="10"/>
  <c r="FSR6" i="10"/>
  <c r="FTH6" i="10"/>
  <c r="FTX6" i="10"/>
  <c r="FUN6" i="10"/>
  <c r="FVD6" i="10"/>
  <c r="FVT6" i="10"/>
  <c r="FWJ6" i="10"/>
  <c r="FWZ6" i="10"/>
  <c r="FXP6" i="10"/>
  <c r="FYF6" i="10"/>
  <c r="FYV6" i="10"/>
  <c r="FZL6" i="10"/>
  <c r="GAB6" i="10"/>
  <c r="GAR6" i="10"/>
  <c r="GBH6" i="10"/>
  <c r="GBX6" i="10"/>
  <c r="GCN6" i="10"/>
  <c r="GDD6" i="10"/>
  <c r="GDT6" i="10"/>
  <c r="GEJ6" i="10"/>
  <c r="GEZ6" i="10"/>
  <c r="GFP6" i="10"/>
  <c r="GGF6" i="10"/>
  <c r="GGV6" i="10"/>
  <c r="GHL6" i="10"/>
  <c r="GIB6" i="10"/>
  <c r="GIR6" i="10"/>
  <c r="GJH6" i="10"/>
  <c r="GJX6" i="10"/>
  <c r="GKN6" i="10"/>
  <c r="GLD6" i="10"/>
  <c r="GLT6" i="10"/>
  <c r="GMJ6" i="10"/>
  <c r="GMZ6" i="10"/>
  <c r="GNP6" i="10"/>
  <c r="GOF6" i="10"/>
  <c r="GOV6" i="10"/>
  <c r="GPL6" i="10"/>
  <c r="GQB6" i="10"/>
  <c r="GQR6" i="10"/>
  <c r="GRH6" i="10"/>
  <c r="GRX6" i="10"/>
  <c r="GSN6" i="10"/>
  <c r="GTD6" i="10"/>
  <c r="GTT6" i="10"/>
  <c r="GUJ6" i="10"/>
  <c r="GUZ6" i="10"/>
  <c r="GVP6" i="10"/>
  <c r="GWF6" i="10"/>
  <c r="GWV6" i="10"/>
  <c r="GXL6" i="10"/>
  <c r="GYB6" i="10"/>
  <c r="GYR6" i="10"/>
  <c r="GZH6" i="10"/>
  <c r="GZX6" i="10"/>
  <c r="HAN6" i="10"/>
  <c r="HBD6" i="10"/>
  <c r="HBT6" i="10"/>
  <c r="HCJ6" i="10"/>
  <c r="HCZ6" i="10"/>
  <c r="HDP6" i="10"/>
  <c r="HEF6" i="10"/>
  <c r="HEV6" i="10"/>
  <c r="HFL6" i="10"/>
  <c r="HGB6" i="10"/>
  <c r="HGR6" i="10"/>
  <c r="HHH6" i="10"/>
  <c r="HHX6" i="10"/>
  <c r="HIN6" i="10"/>
  <c r="HJD6" i="10"/>
  <c r="HJT6" i="10"/>
  <c r="HKJ6" i="10"/>
  <c r="HKZ6" i="10"/>
  <c r="HLP6" i="10"/>
  <c r="HMF6" i="10"/>
  <c r="HMV6" i="10"/>
  <c r="HNL6" i="10"/>
  <c r="HOB6" i="10"/>
  <c r="HOR6" i="10"/>
  <c r="HPH6" i="10"/>
  <c r="HPX6" i="10"/>
  <c r="HQN6" i="10"/>
  <c r="HRD6" i="10"/>
  <c r="HRT6" i="10"/>
  <c r="HSJ6" i="10"/>
  <c r="HSZ6" i="10"/>
  <c r="HTP6" i="10"/>
  <c r="HUE6" i="10"/>
  <c r="HUM6" i="10"/>
  <c r="HUU6" i="10"/>
  <c r="HVC6" i="10"/>
  <c r="HVK6" i="10"/>
  <c r="HVS6" i="10"/>
  <c r="HWA6" i="10"/>
  <c r="HWI6" i="10"/>
  <c r="HWQ6" i="10"/>
  <c r="HWY6" i="10"/>
  <c r="HXG6" i="10"/>
  <c r="HXO6" i="10"/>
  <c r="HXW6" i="10"/>
  <c r="HYE6" i="10"/>
  <c r="HYM6" i="10"/>
  <c r="HYU6" i="10"/>
  <c r="HZC6" i="10"/>
  <c r="HZK6" i="10"/>
  <c r="HZS6" i="10"/>
  <c r="IAA6" i="10"/>
  <c r="IAI6" i="10"/>
  <c r="IAQ6" i="10"/>
  <c r="IAY6" i="10"/>
  <c r="IBG6" i="10"/>
  <c r="IBO6" i="10"/>
  <c r="IBW6" i="10"/>
  <c r="ICE6" i="10"/>
  <c r="ICM6" i="10"/>
  <c r="ICU6" i="10"/>
  <c r="IDC6" i="10"/>
  <c r="IDK6" i="10"/>
  <c r="IDS6" i="10"/>
  <c r="IEA6" i="10"/>
  <c r="IEI6" i="10"/>
  <c r="IEQ6" i="10"/>
  <c r="IEY6" i="10"/>
  <c r="IFG6" i="10"/>
  <c r="IFO6" i="10"/>
  <c r="IFW6" i="10"/>
  <c r="IGE6" i="10"/>
  <c r="IGM6" i="10"/>
  <c r="IGU6" i="10"/>
  <c r="IHC6" i="10"/>
  <c r="IHK6" i="10"/>
  <c r="IHS6" i="10"/>
  <c r="IIA6" i="10"/>
  <c r="III6" i="10"/>
  <c r="IIQ6" i="10"/>
  <c r="IIY6" i="10"/>
  <c r="IJG6" i="10"/>
  <c r="IJO6" i="10"/>
  <c r="IJW6" i="10"/>
  <c r="IKE6" i="10"/>
  <c r="IKM6" i="10"/>
  <c r="IKU6" i="10"/>
  <c r="ILC6" i="10"/>
  <c r="ILK6" i="10"/>
  <c r="ILS6" i="10"/>
  <c r="IMA6" i="10"/>
  <c r="IMI6" i="10"/>
  <c r="IMQ6" i="10"/>
  <c r="IMY6" i="10"/>
  <c r="ING6" i="10"/>
  <c r="INO6" i="10"/>
  <c r="INW6" i="10"/>
  <c r="IOE6" i="10"/>
  <c r="IOM6" i="10"/>
  <c r="IOU6" i="10"/>
  <c r="IPC6" i="10"/>
  <c r="IPK6" i="10"/>
  <c r="IPS6" i="10"/>
  <c r="IQA6" i="10"/>
  <c r="IQI6" i="10"/>
  <c r="IQQ6" i="10"/>
  <c r="IQY6" i="10"/>
  <c r="IRG6" i="10"/>
  <c r="IRO6" i="10"/>
  <c r="IRW6" i="10"/>
  <c r="ISE6" i="10"/>
  <c r="ISM6" i="10"/>
  <c r="ISU6" i="10"/>
  <c r="ITC6" i="10"/>
  <c r="ITK6" i="10"/>
  <c r="ITS6" i="10"/>
  <c r="IUA6" i="10"/>
  <c r="IUI6" i="10"/>
  <c r="IUQ6" i="10"/>
  <c r="IUY6" i="10"/>
  <c r="IVE6" i="10"/>
  <c r="IVI6" i="10"/>
  <c r="IVM6" i="10"/>
  <c r="IVQ6" i="10"/>
  <c r="IVU6" i="10"/>
  <c r="IVY6" i="10"/>
  <c r="IWC6" i="10"/>
  <c r="IWG6" i="10"/>
  <c r="IWK6" i="10"/>
  <c r="IWO6" i="10"/>
  <c r="IWS6" i="10"/>
  <c r="IWW6" i="10"/>
  <c r="IXA6" i="10"/>
  <c r="IXE6" i="10"/>
  <c r="IXI6" i="10"/>
  <c r="IXM6" i="10"/>
  <c r="IXQ6" i="10"/>
  <c r="IXU6" i="10"/>
  <c r="IXY6" i="10"/>
  <c r="IYC6" i="10"/>
  <c r="IYG6" i="10"/>
  <c r="IYK6" i="10"/>
  <c r="IYO6" i="10"/>
  <c r="IYS6" i="10"/>
  <c r="IYW6" i="10"/>
  <c r="IZA6" i="10"/>
  <c r="IZE6" i="10"/>
  <c r="IZI6" i="10"/>
  <c r="IZM6" i="10"/>
  <c r="IZQ6" i="10"/>
  <c r="IZU6" i="10"/>
  <c r="IZY6" i="10"/>
  <c r="JAC6" i="10"/>
  <c r="JAG6" i="10"/>
  <c r="JAK6" i="10"/>
  <c r="JAO6" i="10"/>
  <c r="JAS6" i="10"/>
  <c r="JAW6" i="10"/>
  <c r="JBA6" i="10"/>
  <c r="JBE6" i="10"/>
  <c r="JBI6" i="10"/>
  <c r="JBM6" i="10"/>
  <c r="JBQ6" i="10"/>
  <c r="JBU6" i="10"/>
  <c r="JBY6" i="10"/>
  <c r="JCC6" i="10"/>
  <c r="JCG6" i="10"/>
  <c r="JCK6" i="10"/>
  <c r="JCO6" i="10"/>
  <c r="JCS6" i="10"/>
  <c r="JCW6" i="10"/>
  <c r="JDA6" i="10"/>
  <c r="JDE6" i="10"/>
  <c r="JDI6" i="10"/>
  <c r="JDM6" i="10"/>
  <c r="JDQ6" i="10"/>
  <c r="JDU6" i="10"/>
  <c r="JDY6" i="10"/>
  <c r="JEC6" i="10"/>
  <c r="JEG6" i="10"/>
  <c r="JEK6" i="10"/>
  <c r="JEO6" i="10"/>
  <c r="JES6" i="10"/>
  <c r="JEW6" i="10"/>
  <c r="JFA6" i="10"/>
  <c r="JFE6" i="10"/>
  <c r="JFI6" i="10"/>
  <c r="JFM6" i="10"/>
  <c r="JFQ6" i="10"/>
  <c r="JFU6" i="10"/>
  <c r="JFY6" i="10"/>
  <c r="JGC6" i="10"/>
  <c r="JGG6" i="10"/>
  <c r="JGK6" i="10"/>
  <c r="JGO6" i="10"/>
  <c r="JGS6" i="10"/>
  <c r="JGW6" i="10"/>
  <c r="JHA6" i="10"/>
  <c r="JHE6" i="10"/>
  <c r="JHI6" i="10"/>
  <c r="JHM6" i="10"/>
  <c r="JHQ6" i="10"/>
  <c r="JHU6" i="10"/>
  <c r="JHY6" i="10"/>
  <c r="JIC6" i="10"/>
  <c r="JIG6" i="10"/>
  <c r="JIK6" i="10"/>
  <c r="JIO6" i="10"/>
  <c r="JIS6" i="10"/>
  <c r="JIW6" i="10"/>
  <c r="JJA6" i="10"/>
  <c r="JJE6" i="10"/>
  <c r="JJI6" i="10"/>
  <c r="JJM6" i="10"/>
  <c r="JJQ6" i="10"/>
  <c r="JJU6" i="10"/>
  <c r="JJY6" i="10"/>
  <c r="JKC6" i="10"/>
  <c r="JKG6" i="10"/>
  <c r="JKK6" i="10"/>
  <c r="JKO6" i="10"/>
  <c r="JKS6" i="10"/>
  <c r="JKW6" i="10"/>
  <c r="JLA6" i="10"/>
  <c r="JLE6" i="10"/>
  <c r="JLI6" i="10"/>
  <c r="JLM6" i="10"/>
  <c r="JLQ6" i="10"/>
  <c r="JLU6" i="10"/>
  <c r="JLY6" i="10"/>
  <c r="JMC6" i="10"/>
  <c r="JMG6" i="10"/>
  <c r="JMK6" i="10"/>
  <c r="JMO6" i="10"/>
  <c r="JMS6" i="10"/>
  <c r="JMW6" i="10"/>
  <c r="JNA6" i="10"/>
  <c r="JNE6" i="10"/>
  <c r="JNI6" i="10"/>
  <c r="JNM6" i="10"/>
  <c r="JNQ6" i="10"/>
  <c r="JNU6" i="10"/>
  <c r="JNY6" i="10"/>
  <c r="JOC6" i="10"/>
  <c r="JOG6" i="10"/>
  <c r="JOK6" i="10"/>
  <c r="JOO6" i="10"/>
  <c r="JOS6" i="10"/>
  <c r="JOW6" i="10"/>
  <c r="JPA6" i="10"/>
  <c r="JPE6" i="10"/>
  <c r="JPI6" i="10"/>
  <c r="JPM6" i="10"/>
  <c r="JPQ6" i="10"/>
  <c r="JPU6" i="10"/>
  <c r="JPY6" i="10"/>
  <c r="JQC6" i="10"/>
  <c r="JQG6" i="10"/>
  <c r="JQK6" i="10"/>
  <c r="JQO6" i="10"/>
  <c r="JQS6" i="10"/>
  <c r="JQW6" i="10"/>
  <c r="JRA6" i="10"/>
  <c r="JRE6" i="10"/>
  <c r="JRI6" i="10"/>
  <c r="JRM6" i="10"/>
  <c r="JRQ6" i="10"/>
  <c r="JRU6" i="10"/>
  <c r="JRY6" i="10"/>
  <c r="JSC6" i="10"/>
  <c r="JSG6" i="10"/>
  <c r="JSK6" i="10"/>
  <c r="JSO6" i="10"/>
  <c r="JSS6" i="10"/>
  <c r="JSW6" i="10"/>
  <c r="JTA6" i="10"/>
  <c r="JTE6" i="10"/>
  <c r="JTI6" i="10"/>
  <c r="JTM6" i="10"/>
  <c r="JTQ6" i="10"/>
  <c r="JTU6" i="10"/>
  <c r="JTY6" i="10"/>
  <c r="JUC6" i="10"/>
  <c r="JUG6" i="10"/>
  <c r="JUK6" i="10"/>
  <c r="JUO6" i="10"/>
  <c r="JUS6" i="10"/>
  <c r="JUW6" i="10"/>
  <c r="JVA6" i="10"/>
  <c r="JVE6" i="10"/>
  <c r="JVI6" i="10"/>
  <c r="JVM6" i="10"/>
  <c r="JVQ6" i="10"/>
  <c r="JVU6" i="10"/>
  <c r="JVY6" i="10"/>
  <c r="JWC6" i="10"/>
  <c r="JWG6" i="10"/>
  <c r="JWK6" i="10"/>
  <c r="JWO6" i="10"/>
  <c r="JWS6" i="10"/>
  <c r="JWW6" i="10"/>
  <c r="JXA6" i="10"/>
  <c r="JXE6" i="10"/>
  <c r="JXI6" i="10"/>
  <c r="JXM6" i="10"/>
  <c r="JXQ6" i="10"/>
  <c r="JXU6" i="10"/>
  <c r="JXY6" i="10"/>
  <c r="JYC6" i="10"/>
  <c r="JYG6" i="10"/>
  <c r="JYK6" i="10"/>
  <c r="JYO6" i="10"/>
  <c r="JYS6" i="10"/>
  <c r="JYW6" i="10"/>
  <c r="JZA6" i="10"/>
  <c r="JZE6" i="10"/>
  <c r="JZI6" i="10"/>
  <c r="JZM6" i="10"/>
  <c r="JZQ6" i="10"/>
  <c r="JZU6" i="10"/>
  <c r="JZY6" i="10"/>
  <c r="KAC6" i="10"/>
  <c r="KAG6" i="10"/>
  <c r="KAK6" i="10"/>
  <c r="KAO6" i="10"/>
  <c r="KAS6" i="10"/>
  <c r="KAW6" i="10"/>
  <c r="KBA6" i="10"/>
  <c r="KBE6" i="10"/>
  <c r="KBI6" i="10"/>
  <c r="KBM6" i="10"/>
  <c r="KBQ6" i="10"/>
  <c r="KBU6" i="10"/>
  <c r="KBY6" i="10"/>
  <c r="KCC6" i="10"/>
  <c r="KCG6" i="10"/>
  <c r="KCK6" i="10"/>
  <c r="KCO6" i="10"/>
  <c r="KCS6" i="10"/>
  <c r="KCW6" i="10"/>
  <c r="KDA6" i="10"/>
  <c r="KDE6" i="10"/>
  <c r="KDI6" i="10"/>
  <c r="KDM6" i="10"/>
  <c r="KDQ6" i="10"/>
  <c r="KDU6" i="10"/>
  <c r="KDY6" i="10"/>
  <c r="KEC6" i="10"/>
  <c r="KEG6" i="10"/>
  <c r="KEK6" i="10"/>
  <c r="KEO6" i="10"/>
  <c r="KES6" i="10"/>
  <c r="KEW6" i="10"/>
  <c r="KFA6" i="10"/>
  <c r="KFE6" i="10"/>
  <c r="KFI6" i="10"/>
  <c r="KFM6" i="10"/>
  <c r="KFQ6" i="10"/>
  <c r="KFU6" i="10"/>
  <c r="KFY6" i="10"/>
  <c r="KGC6" i="10"/>
  <c r="KGG6" i="10"/>
  <c r="KGK6" i="10"/>
  <c r="KGO6" i="10"/>
  <c r="KGS6" i="10"/>
  <c r="KGW6" i="10"/>
  <c r="KHA6" i="10"/>
  <c r="KHE6" i="10"/>
  <c r="KHI6" i="10"/>
  <c r="KHM6" i="10"/>
  <c r="KHQ6" i="10"/>
  <c r="KHU6" i="10"/>
  <c r="KHY6" i="10"/>
  <c r="KIC6" i="10"/>
  <c r="KIG6" i="10"/>
  <c r="KIK6" i="10"/>
  <c r="KIO6" i="10"/>
  <c r="KIS6" i="10"/>
  <c r="KIW6" i="10"/>
  <c r="KJA6" i="10"/>
  <c r="KJE6" i="10"/>
  <c r="KJI6" i="10"/>
  <c r="KJM6" i="10"/>
  <c r="KJQ6" i="10"/>
  <c r="KJU6" i="10"/>
  <c r="KJY6" i="10"/>
  <c r="KKC6" i="10"/>
  <c r="KKG6" i="10"/>
  <c r="KKK6" i="10"/>
  <c r="KKO6" i="10"/>
  <c r="KKS6" i="10"/>
  <c r="KKW6" i="10"/>
  <c r="KLA6" i="10"/>
  <c r="KLE6" i="10"/>
  <c r="KLI6" i="10"/>
  <c r="KLM6" i="10"/>
  <c r="KLQ6" i="10"/>
  <c r="KLU6" i="10"/>
  <c r="KLY6" i="10"/>
  <c r="KMC6" i="10"/>
  <c r="KMG6" i="10"/>
  <c r="KMK6" i="10"/>
  <c r="KMO6" i="10"/>
  <c r="KMS6" i="10"/>
  <c r="KMW6" i="10"/>
  <c r="KNA6" i="10"/>
  <c r="KNE6" i="10"/>
  <c r="KNI6" i="10"/>
  <c r="KNM6" i="10"/>
  <c r="KNQ6" i="10"/>
  <c r="KNU6" i="10"/>
  <c r="KNY6" i="10"/>
  <c r="KOC6" i="10"/>
  <c r="KOG6" i="10"/>
  <c r="KOK6" i="10"/>
  <c r="KOO6" i="10"/>
  <c r="KOS6" i="10"/>
  <c r="KOW6" i="10"/>
  <c r="KPA6" i="10"/>
  <c r="KPE6" i="10"/>
  <c r="KPI6" i="10"/>
  <c r="KPM6" i="10"/>
  <c r="KPQ6" i="10"/>
  <c r="KPU6" i="10"/>
  <c r="KPY6" i="10"/>
  <c r="KQC6" i="10"/>
  <c r="KQG6" i="10"/>
  <c r="KQK6" i="10"/>
  <c r="KQO6" i="10"/>
  <c r="KQS6" i="10"/>
  <c r="KQW6" i="10"/>
  <c r="KRA6" i="10"/>
  <c r="KRE6" i="10"/>
  <c r="KRI6" i="10"/>
  <c r="KRM6" i="10"/>
  <c r="KRQ6" i="10"/>
  <c r="KRU6" i="10"/>
  <c r="KRY6" i="10"/>
  <c r="KSC6" i="10"/>
  <c r="KSG6" i="10"/>
  <c r="KSK6" i="10"/>
  <c r="KSO6" i="10"/>
  <c r="KSS6" i="10"/>
  <c r="KSW6" i="10"/>
  <c r="KTA6" i="10"/>
  <c r="KTE6" i="10"/>
  <c r="KTI6" i="10"/>
  <c r="KTM6" i="10"/>
  <c r="KTQ6" i="10"/>
  <c r="KTU6" i="10"/>
  <c r="KTY6" i="10"/>
  <c r="KUC6" i="10"/>
  <c r="KUG6" i="10"/>
  <c r="KUK6" i="10"/>
  <c r="KUO6" i="10"/>
  <c r="KUS6" i="10"/>
  <c r="KUW6" i="10"/>
  <c r="KVA6" i="10"/>
  <c r="KVE6" i="10"/>
  <c r="KVI6" i="10"/>
  <c r="KVM6" i="10"/>
  <c r="KVQ6" i="10"/>
  <c r="KVU6" i="10"/>
  <c r="KVY6" i="10"/>
  <c r="KWC6" i="10"/>
  <c r="KWG6" i="10"/>
  <c r="KWK6" i="10"/>
  <c r="KWO6" i="10"/>
  <c r="KWS6" i="10"/>
  <c r="KWW6" i="10"/>
  <c r="KXA6" i="10"/>
  <c r="KXE6" i="10"/>
  <c r="KXI6" i="10"/>
  <c r="KXM6" i="10"/>
  <c r="KXQ6" i="10"/>
  <c r="KXU6" i="10"/>
  <c r="KXY6" i="10"/>
  <c r="KYC6" i="10"/>
  <c r="KYG6" i="10"/>
  <c r="KYK6" i="10"/>
  <c r="KYO6" i="10"/>
  <c r="KYS6" i="10"/>
  <c r="KYW6" i="10"/>
  <c r="KZA6" i="10"/>
  <c r="KZE6" i="10"/>
  <c r="KZI6" i="10"/>
  <c r="KZM6" i="10"/>
  <c r="KZQ6" i="10"/>
  <c r="KZU6" i="10"/>
  <c r="KZY6" i="10"/>
  <c r="LAC6" i="10"/>
  <c r="LAG6" i="10"/>
  <c r="LAK6" i="10"/>
  <c r="LAO6" i="10"/>
  <c r="LAS6" i="10"/>
  <c r="LAW6" i="10"/>
  <c r="LBA6" i="10"/>
  <c r="LBE6" i="10"/>
  <c r="LBI6" i="10"/>
  <c r="LBM6" i="10"/>
  <c r="LBQ6" i="10"/>
  <c r="LBU6" i="10"/>
  <c r="LBY6" i="10"/>
  <c r="LCC6" i="10"/>
  <c r="LCG6" i="10"/>
  <c r="LCK6" i="10"/>
  <c r="LCO6" i="10"/>
  <c r="LCS6" i="10"/>
  <c r="LCW6" i="10"/>
  <c r="LDA6" i="10"/>
  <c r="LDE6" i="10"/>
  <c r="LDI6" i="10"/>
  <c r="LDM6" i="10"/>
  <c r="LDQ6" i="10"/>
  <c r="LDU6" i="10"/>
  <c r="LDY6" i="10"/>
  <c r="LEC6" i="10"/>
  <c r="LEG6" i="10"/>
  <c r="LEK6" i="10"/>
  <c r="LEO6" i="10"/>
  <c r="LES6" i="10"/>
  <c r="LEW6" i="10"/>
  <c r="LFA6" i="10"/>
  <c r="LFE6" i="10"/>
  <c r="LFI6" i="10"/>
  <c r="LFM6" i="10"/>
  <c r="LFQ6" i="10"/>
  <c r="LFU6" i="10"/>
  <c r="LFY6" i="10"/>
  <c r="LGC6" i="10"/>
  <c r="LGG6" i="10"/>
  <c r="LGK6" i="10"/>
  <c r="LGO6" i="10"/>
  <c r="LGS6" i="10"/>
  <c r="LGW6" i="10"/>
  <c r="LHA6" i="10"/>
  <c r="LHE6" i="10"/>
  <c r="LHI6" i="10"/>
  <c r="LHM6" i="10"/>
  <c r="LHQ6" i="10"/>
  <c r="LHU6" i="10"/>
  <c r="LHY6" i="10"/>
  <c r="LIC6" i="10"/>
  <c r="LIG6" i="10"/>
  <c r="LIK6" i="10"/>
  <c r="LIO6" i="10"/>
  <c r="LIS6" i="10"/>
  <c r="LIW6" i="10"/>
  <c r="LJA6" i="10"/>
  <c r="LJE6" i="10"/>
  <c r="LJI6" i="10"/>
  <c r="LJM6" i="10"/>
  <c r="LJQ6" i="10"/>
  <c r="LJU6" i="10"/>
  <c r="LJY6" i="10"/>
  <c r="LKC6" i="10"/>
  <c r="LKG6" i="10"/>
  <c r="LKK6" i="10"/>
  <c r="LKO6" i="10"/>
  <c r="LKS6" i="10"/>
  <c r="LKW6" i="10"/>
  <c r="LLA6" i="10"/>
  <c r="LLE6" i="10"/>
  <c r="LLI6" i="10"/>
  <c r="LLM6" i="10"/>
  <c r="LLQ6" i="10"/>
  <c r="LLU6" i="10"/>
  <c r="LLY6" i="10"/>
  <c r="LMC6" i="10"/>
  <c r="LMG6" i="10"/>
  <c r="LMK6" i="10"/>
  <c r="LMO6" i="10"/>
  <c r="LMS6" i="10"/>
  <c r="LMW6" i="10"/>
  <c r="LNA6" i="10"/>
  <c r="LNE6" i="10"/>
  <c r="LNI6" i="10"/>
  <c r="LNM6" i="10"/>
  <c r="LNQ6" i="10"/>
  <c r="LNU6" i="10"/>
  <c r="LNY6" i="10"/>
  <c r="LOC6" i="10"/>
  <c r="LOG6" i="10"/>
  <c r="LOK6" i="10"/>
  <c r="LOO6" i="10"/>
  <c r="LOS6" i="10"/>
  <c r="LOW6" i="10"/>
  <c r="LPA6" i="10"/>
  <c r="CPH6" i="10"/>
  <c r="DTB6" i="10"/>
  <c r="ECX6" i="10"/>
  <c r="EMT6" i="10"/>
  <c r="EWP6" i="10"/>
  <c r="FGL6" i="10"/>
  <c r="FJP6" i="10"/>
  <c r="FMB6" i="10"/>
  <c r="FON6" i="10"/>
  <c r="FQZ6" i="10"/>
  <c r="FTL6" i="10"/>
  <c r="FVX6" i="10"/>
  <c r="FYJ6" i="10"/>
  <c r="GAV6" i="10"/>
  <c r="GDH6" i="10"/>
  <c r="GFT6" i="10"/>
  <c r="GIF6" i="10"/>
  <c r="GKR6" i="10"/>
  <c r="GND6" i="10"/>
  <c r="GPP6" i="10"/>
  <c r="GSB6" i="10"/>
  <c r="GUN6" i="10"/>
  <c r="GWZ6" i="10"/>
  <c r="GZL6" i="10"/>
  <c r="HBX6" i="10"/>
  <c r="HEJ6" i="10"/>
  <c r="HGV6" i="10"/>
  <c r="HJH6" i="10"/>
  <c r="HLT6" i="10"/>
  <c r="HOF6" i="10"/>
  <c r="HQR6" i="10"/>
  <c r="HTD6" i="10"/>
  <c r="HUV6" i="10"/>
  <c r="HWB6" i="10"/>
  <c r="HXH6" i="10"/>
  <c r="HYN6" i="10"/>
  <c r="HZT6" i="10"/>
  <c r="IAZ6" i="10"/>
  <c r="ICF6" i="10"/>
  <c r="IDL6" i="10"/>
  <c r="IER6" i="10"/>
  <c r="IFX6" i="10"/>
  <c r="IHD6" i="10"/>
  <c r="IIJ6" i="10"/>
  <c r="IJP6" i="10"/>
  <c r="IKV6" i="10"/>
  <c r="IMB6" i="10"/>
  <c r="INH6" i="10"/>
  <c r="ION6" i="10"/>
  <c r="IPT6" i="10"/>
  <c r="IQZ6" i="10"/>
  <c r="ISF6" i="10"/>
  <c r="ITL6" i="10"/>
  <c r="IUR6" i="10"/>
  <c r="IVN6" i="10"/>
  <c r="IWD6" i="10"/>
  <c r="IWT6" i="10"/>
  <c r="IXJ6" i="10"/>
  <c r="IXZ6" i="10"/>
  <c r="IYP6" i="10"/>
  <c r="IZF6" i="10"/>
  <c r="IZV6" i="10"/>
  <c r="JAL6" i="10"/>
  <c r="JBB6" i="10"/>
  <c r="JBR6" i="10"/>
  <c r="JCH6" i="10"/>
  <c r="JCX6" i="10"/>
  <c r="JDN6" i="10"/>
  <c r="JED6" i="10"/>
  <c r="JET6" i="10"/>
  <c r="JFJ6" i="10"/>
  <c r="JFZ6" i="10"/>
  <c r="JGP6" i="10"/>
  <c r="JHF6" i="10"/>
  <c r="JHV6" i="10"/>
  <c r="JIL6" i="10"/>
  <c r="JJB6" i="10"/>
  <c r="JJR6" i="10"/>
  <c r="JKH6" i="10"/>
  <c r="JKX6" i="10"/>
  <c r="JLN6" i="10"/>
  <c r="JMD6" i="10"/>
  <c r="JMT6" i="10"/>
  <c r="JNJ6" i="10"/>
  <c r="JNZ6" i="10"/>
  <c r="JOP6" i="10"/>
  <c r="JPF6" i="10"/>
  <c r="JPV6" i="10"/>
  <c r="JQL6" i="10"/>
  <c r="JRB6" i="10"/>
  <c r="JRR6" i="10"/>
  <c r="JSH6" i="10"/>
  <c r="JSX6" i="10"/>
  <c r="JTN6" i="10"/>
  <c r="JUD6" i="10"/>
  <c r="JUT6" i="10"/>
  <c r="JVJ6" i="10"/>
  <c r="JVZ6" i="10"/>
  <c r="JWP6" i="10"/>
  <c r="JXF6" i="10"/>
  <c r="JXV6" i="10"/>
  <c r="JYL6" i="10"/>
  <c r="JZB6" i="10"/>
  <c r="JZR6" i="10"/>
  <c r="KAH6" i="10"/>
  <c r="KAX6" i="10"/>
  <c r="KBN6" i="10"/>
  <c r="KCD6" i="10"/>
  <c r="KCT6" i="10"/>
  <c r="KDJ6" i="10"/>
  <c r="KDZ6" i="10"/>
  <c r="KEP6" i="10"/>
  <c r="KFF6" i="10"/>
  <c r="KFV6" i="10"/>
  <c r="KGL6" i="10"/>
  <c r="KHB6" i="10"/>
  <c r="KHR6" i="10"/>
  <c r="KIH6" i="10"/>
  <c r="KIX6" i="10"/>
  <c r="KJN6" i="10"/>
  <c r="KKD6" i="10"/>
  <c r="KKT6" i="10"/>
  <c r="KLJ6" i="10"/>
  <c r="KLZ6" i="10"/>
  <c r="KMP6" i="10"/>
  <c r="KNF6" i="10"/>
  <c r="KNV6" i="10"/>
  <c r="KOL6" i="10"/>
  <c r="KPB6" i="10"/>
  <c r="KPR6" i="10"/>
  <c r="KQH6" i="10"/>
  <c r="KQX6" i="10"/>
  <c r="KRN6" i="10"/>
  <c r="KSD6" i="10"/>
  <c r="KST6" i="10"/>
  <c r="KTJ6" i="10"/>
  <c r="KTZ6" i="10"/>
  <c r="KUP6" i="10"/>
  <c r="KVF6" i="10"/>
  <c r="KVV6" i="10"/>
  <c r="KWL6" i="10"/>
  <c r="KXB6" i="10"/>
  <c r="KXR6" i="10"/>
  <c r="KYH6" i="10"/>
  <c r="KYX6" i="10"/>
  <c r="KZN6" i="10"/>
  <c r="LAD6" i="10"/>
  <c r="LAT6" i="10"/>
  <c r="LBJ6" i="10"/>
  <c r="LBZ6" i="10"/>
  <c r="LCP6" i="10"/>
  <c r="LDF6" i="10"/>
  <c r="LDV6" i="10"/>
  <c r="LEL6" i="10"/>
  <c r="LFB6" i="10"/>
  <c r="LFR6" i="10"/>
  <c r="LGH6" i="10"/>
  <c r="LGX6" i="10"/>
  <c r="LHN6" i="10"/>
  <c r="LID6" i="10"/>
  <c r="LIT6" i="10"/>
  <c r="LJJ6" i="10"/>
  <c r="LJZ6" i="10"/>
  <c r="LKP6" i="10"/>
  <c r="LLF6" i="10"/>
  <c r="LLV6" i="10"/>
  <c r="LML6" i="10"/>
  <c r="LNB6" i="10"/>
  <c r="LNR6" i="10"/>
  <c r="LOH6" i="10"/>
  <c r="LOX6" i="10"/>
  <c r="LPI6" i="10"/>
  <c r="LPQ6" i="10"/>
  <c r="LPY6" i="10"/>
  <c r="LQG6" i="10"/>
  <c r="LQO6" i="10"/>
  <c r="LQW6" i="10"/>
  <c r="LRE6" i="10"/>
  <c r="LRM6" i="10"/>
  <c r="LRU6" i="10"/>
  <c r="LSC6" i="10"/>
  <c r="LSK6" i="10"/>
  <c r="LSS6" i="10"/>
  <c r="LTA6" i="10"/>
  <c r="LTI6" i="10"/>
  <c r="LTQ6" i="10"/>
  <c r="LTY6" i="10"/>
  <c r="LUG6" i="10"/>
  <c r="LUO6" i="10"/>
  <c r="LUW6" i="10"/>
  <c r="LVE6" i="10"/>
  <c r="LVM6" i="10"/>
  <c r="LVU6" i="10"/>
  <c r="LWC6" i="10"/>
  <c r="LWK6" i="10"/>
  <c r="LWS6" i="10"/>
  <c r="LXA6" i="10"/>
  <c r="LXI6" i="10"/>
  <c r="LXQ6" i="10"/>
  <c r="LXY6" i="10"/>
  <c r="LYG6" i="10"/>
  <c r="LYO6" i="10"/>
  <c r="LYW6" i="10"/>
  <c r="LZE6" i="10"/>
  <c r="LZM6" i="10"/>
  <c r="LZU6" i="10"/>
  <c r="MAC6" i="10"/>
  <c r="MAK6" i="10"/>
  <c r="MAS6" i="10"/>
  <c r="MBA6" i="10"/>
  <c r="MBI6" i="10"/>
  <c r="MBQ6" i="10"/>
  <c r="MBY6" i="10"/>
  <c r="MCG6" i="10"/>
  <c r="MCO6" i="10"/>
  <c r="MCW6" i="10"/>
  <c r="MDE6" i="10"/>
  <c r="MDM6" i="10"/>
  <c r="MDU6" i="10"/>
  <c r="MEC6" i="10"/>
  <c r="MEK6" i="10"/>
  <c r="MES6" i="10"/>
  <c r="MFA6" i="10"/>
  <c r="MFI6" i="10"/>
  <c r="MFQ6" i="10"/>
  <c r="MFY6" i="10"/>
  <c r="MGG6" i="10"/>
  <c r="MGO6" i="10"/>
  <c r="MGW6" i="10"/>
  <c r="MHE6" i="10"/>
  <c r="MHM6" i="10"/>
  <c r="MHU6" i="10"/>
  <c r="MIC6" i="10"/>
  <c r="MIK6" i="10"/>
  <c r="MIS6" i="10"/>
  <c r="MJA6" i="10"/>
  <c r="MJI6" i="10"/>
  <c r="MJQ6" i="10"/>
  <c r="MJY6" i="10"/>
  <c r="MKG6" i="10"/>
  <c r="MKO6" i="10"/>
  <c r="MKW6" i="10"/>
  <c r="MLE6" i="10"/>
  <c r="MLM6" i="10"/>
  <c r="MLU6" i="10"/>
  <c r="MMC6" i="10"/>
  <c r="MMK6" i="10"/>
  <c r="MMS6" i="10"/>
  <c r="MNA6" i="10"/>
  <c r="MNI6" i="10"/>
  <c r="MNQ6" i="10"/>
  <c r="MNY6" i="10"/>
  <c r="MOG6" i="10"/>
  <c r="MOO6" i="10"/>
  <c r="MOW6" i="10"/>
  <c r="MPE6" i="10"/>
  <c r="MPM6" i="10"/>
  <c r="MPU6" i="10"/>
  <c r="MQC6" i="10"/>
  <c r="MQK6" i="10"/>
  <c r="MQS6" i="10"/>
  <c r="MRA6" i="10"/>
  <c r="MRI6" i="10"/>
  <c r="MRQ6" i="10"/>
  <c r="MRY6" i="10"/>
  <c r="MSG6" i="10"/>
  <c r="MSO6" i="10"/>
  <c r="MSW6" i="10"/>
  <c r="MTE6" i="10"/>
  <c r="MTM6" i="10"/>
  <c r="MTU6" i="10"/>
  <c r="MUC6" i="10"/>
  <c r="MUK6" i="10"/>
  <c r="MUS6" i="10"/>
  <c r="MVA6" i="10"/>
  <c r="MVI6" i="10"/>
  <c r="MVQ6" i="10"/>
  <c r="MVY6" i="10"/>
  <c r="MWG6" i="10"/>
  <c r="MWO6" i="10"/>
  <c r="MWW6" i="10"/>
  <c r="MXE6" i="10"/>
  <c r="MXM6" i="10"/>
  <c r="MXU6" i="10"/>
  <c r="MYC6" i="10"/>
  <c r="MYK6" i="10"/>
  <c r="MYS6" i="10"/>
  <c r="MZA6" i="10"/>
  <c r="MZI6" i="10"/>
  <c r="MZQ6" i="10"/>
  <c r="MZY6" i="10"/>
  <c r="NAG6" i="10"/>
  <c r="NAO6" i="10"/>
  <c r="NAW6" i="10"/>
  <c r="NBE6" i="10"/>
  <c r="NBM6" i="10"/>
  <c r="NBU6" i="10"/>
  <c r="NCC6" i="10"/>
  <c r="NCK6" i="10"/>
  <c r="NCS6" i="10"/>
  <c r="NDA6" i="10"/>
  <c r="NDI6" i="10"/>
  <c r="NDQ6" i="10"/>
  <c r="NDY6" i="10"/>
  <c r="NEG6" i="10"/>
  <c r="NEO6" i="10"/>
  <c r="NEW6" i="10"/>
  <c r="NFE6" i="10"/>
  <c r="NFJ6" i="10"/>
  <c r="NFN6" i="10"/>
  <c r="NFR6" i="10"/>
  <c r="NFV6" i="10"/>
  <c r="NFZ6" i="10"/>
  <c r="NGD6" i="10"/>
  <c r="NGH6" i="10"/>
  <c r="NGL6" i="10"/>
  <c r="NGP6" i="10"/>
  <c r="NGT6" i="10"/>
  <c r="NGX6" i="10"/>
  <c r="NHB6" i="10"/>
  <c r="NHF6" i="10"/>
  <c r="NHJ6" i="10"/>
  <c r="NHN6" i="10"/>
  <c r="NHR6" i="10"/>
  <c r="NHV6" i="10"/>
  <c r="NHZ6" i="10"/>
  <c r="NID6" i="10"/>
  <c r="NIH6" i="10"/>
  <c r="NIL6" i="10"/>
  <c r="NIP6" i="10"/>
  <c r="NIT6" i="10"/>
  <c r="NIX6" i="10"/>
  <c r="NJB6" i="10"/>
  <c r="NJF6" i="10"/>
  <c r="NJJ6" i="10"/>
  <c r="NJN6" i="10"/>
  <c r="NJR6" i="10"/>
  <c r="NJV6" i="10"/>
  <c r="NJZ6" i="10"/>
  <c r="NKD6" i="10"/>
  <c r="NKH6" i="10"/>
  <c r="NKL6" i="10"/>
  <c r="NKP6" i="10"/>
  <c r="NKT6" i="10"/>
  <c r="NKX6" i="10"/>
  <c r="NLB6" i="10"/>
  <c r="NLF6" i="10"/>
  <c r="NLJ6" i="10"/>
  <c r="NLN6" i="10"/>
  <c r="NLR6" i="10"/>
  <c r="NLV6" i="10"/>
  <c r="NLZ6" i="10"/>
  <c r="NMD6" i="10"/>
  <c r="NMH6" i="10"/>
  <c r="NML6" i="10"/>
  <c r="NMP6" i="10"/>
  <c r="NMT6" i="10"/>
  <c r="NMX6" i="10"/>
  <c r="NNB6" i="10"/>
  <c r="NNF6" i="10"/>
  <c r="NNJ6" i="10"/>
  <c r="NNN6" i="10"/>
  <c r="NNR6" i="10"/>
  <c r="NNV6" i="10"/>
  <c r="NNZ6" i="10"/>
  <c r="NOD6" i="10"/>
  <c r="NOH6" i="10"/>
  <c r="NOL6" i="10"/>
  <c r="NOP6" i="10"/>
  <c r="NOT6" i="10"/>
  <c r="NOX6" i="10"/>
  <c r="NPB6" i="10"/>
  <c r="NPF6" i="10"/>
  <c r="NPJ6" i="10"/>
  <c r="NPN6" i="10"/>
  <c r="NPR6" i="10"/>
  <c r="NPV6" i="10"/>
  <c r="NPZ6" i="10"/>
  <c r="NQD6" i="10"/>
  <c r="NQH6" i="10"/>
  <c r="NQL6" i="10"/>
  <c r="NQP6" i="10"/>
  <c r="NQT6" i="10"/>
  <c r="NQX6" i="10"/>
  <c r="NRB6" i="10"/>
  <c r="NRF6" i="10"/>
  <c r="NRJ6" i="10"/>
  <c r="NRN6" i="10"/>
  <c r="NRR6" i="10"/>
  <c r="NRV6" i="10"/>
  <c r="NRZ6" i="10"/>
  <c r="NSD6" i="10"/>
  <c r="NSH6" i="10"/>
  <c r="NSL6" i="10"/>
  <c r="NSP6" i="10"/>
  <c r="NST6" i="10"/>
  <c r="NSX6" i="10"/>
  <c r="NTB6" i="10"/>
  <c r="NTF6" i="10"/>
  <c r="NTJ6" i="10"/>
  <c r="NTN6" i="10"/>
  <c r="NTR6" i="10"/>
  <c r="NTV6" i="10"/>
  <c r="NTZ6" i="10"/>
  <c r="NUD6" i="10"/>
  <c r="NUH6" i="10"/>
  <c r="NUL6" i="10"/>
  <c r="NUP6" i="10"/>
  <c r="NUT6" i="10"/>
  <c r="NUX6" i="10"/>
  <c r="NVB6" i="10"/>
  <c r="NVF6" i="10"/>
  <c r="NVJ6" i="10"/>
  <c r="NVN6" i="10"/>
  <c r="NVR6" i="10"/>
  <c r="NVV6" i="10"/>
  <c r="NVZ6" i="10"/>
  <c r="NWD6" i="10"/>
  <c r="NWH6" i="10"/>
  <c r="NWL6" i="10"/>
  <c r="NWP6" i="10"/>
  <c r="NWT6" i="10"/>
  <c r="NWX6" i="10"/>
  <c r="NXB6" i="10"/>
  <c r="NXF6" i="10"/>
  <c r="NXJ6" i="10"/>
  <c r="NXN6" i="10"/>
  <c r="NXR6" i="10"/>
  <c r="NXV6" i="10"/>
  <c r="NXZ6" i="10"/>
  <c r="NYD6" i="10"/>
  <c r="NYH6" i="10"/>
  <c r="NYL6" i="10"/>
  <c r="NYP6" i="10"/>
  <c r="NYT6" i="10"/>
  <c r="NYX6" i="10"/>
  <c r="NZB6" i="10"/>
  <c r="NZF6" i="10"/>
  <c r="NZJ6" i="10"/>
  <c r="NZN6" i="10"/>
  <c r="NZR6" i="10"/>
  <c r="NZV6" i="10"/>
  <c r="NZZ6" i="10"/>
  <c r="OAD6" i="10"/>
  <c r="OAH6" i="10"/>
  <c r="OAL6" i="10"/>
  <c r="OAP6" i="10"/>
  <c r="OAT6" i="10"/>
  <c r="OAX6" i="10"/>
  <c r="OBB6" i="10"/>
  <c r="OBF6" i="10"/>
  <c r="OBJ6" i="10"/>
  <c r="OBN6" i="10"/>
  <c r="OBR6" i="10"/>
  <c r="OBV6" i="10"/>
  <c r="OBZ6" i="10"/>
  <c r="OCD6" i="10"/>
  <c r="OCH6" i="10"/>
  <c r="OCL6" i="10"/>
  <c r="OCP6" i="10"/>
  <c r="OCT6" i="10"/>
  <c r="OCX6" i="10"/>
  <c r="ODB6" i="10"/>
  <c r="ODF6" i="10"/>
  <c r="ODJ6" i="10"/>
  <c r="ODN6" i="10"/>
  <c r="ODR6" i="10"/>
  <c r="ODV6" i="10"/>
  <c r="ODZ6" i="10"/>
  <c r="OED6" i="10"/>
  <c r="OEH6" i="10"/>
  <c r="OEL6" i="10"/>
  <c r="OEP6" i="10"/>
  <c r="OET6" i="10"/>
  <c r="OEX6" i="10"/>
  <c r="OFB6" i="10"/>
  <c r="OFF6" i="10"/>
  <c r="OFJ6" i="10"/>
  <c r="OFN6" i="10"/>
  <c r="OFR6" i="10"/>
  <c r="OFV6" i="10"/>
  <c r="OFZ6" i="10"/>
  <c r="OGD6" i="10"/>
  <c r="OGH6" i="10"/>
  <c r="OGL6" i="10"/>
  <c r="OGP6" i="10"/>
  <c r="OGT6" i="10"/>
  <c r="OGX6" i="10"/>
  <c r="OHB6" i="10"/>
  <c r="OHF6" i="10"/>
  <c r="OHJ6" i="10"/>
  <c r="OHN6" i="10"/>
  <c r="OHR6" i="10"/>
  <c r="OHV6" i="10"/>
  <c r="OHZ6" i="10"/>
  <c r="OID6" i="10"/>
  <c r="OIH6" i="10"/>
  <c r="OIL6" i="10"/>
  <c r="OIP6" i="10"/>
  <c r="OIT6" i="10"/>
  <c r="OIX6" i="10"/>
  <c r="OJB6" i="10"/>
  <c r="OJF6" i="10"/>
  <c r="OJJ6" i="10"/>
  <c r="OJN6" i="10"/>
  <c r="OJR6" i="10"/>
  <c r="OJV6" i="10"/>
  <c r="OJZ6" i="10"/>
  <c r="OKD6" i="10"/>
  <c r="OKH6" i="10"/>
  <c r="OKL6" i="10"/>
  <c r="OKP6" i="10"/>
  <c r="OKT6" i="10"/>
  <c r="OKX6" i="10"/>
  <c r="OLB6" i="10"/>
  <c r="OLF6" i="10"/>
  <c r="OLJ6" i="10"/>
  <c r="OLN6" i="10"/>
  <c r="OLR6" i="10"/>
  <c r="OLV6" i="10"/>
  <c r="OLZ6" i="10"/>
  <c r="OMD6" i="10"/>
  <c r="OMH6" i="10"/>
  <c r="OML6" i="10"/>
  <c r="OMP6" i="10"/>
  <c r="OMT6" i="10"/>
  <c r="OMX6" i="10"/>
  <c r="ONB6" i="10"/>
  <c r="ONF6" i="10"/>
  <c r="ONJ6" i="10"/>
  <c r="ONN6" i="10"/>
  <c r="ONR6" i="10"/>
  <c r="ONV6" i="10"/>
  <c r="ONZ6" i="10"/>
  <c r="OOD6" i="10"/>
  <c r="OOH6" i="10"/>
  <c r="OOL6" i="10"/>
  <c r="OOP6" i="10"/>
  <c r="OOT6" i="10"/>
  <c r="OOX6" i="10"/>
  <c r="OPB6" i="10"/>
  <c r="OPF6" i="10"/>
  <c r="OPJ6" i="10"/>
  <c r="OPN6" i="10"/>
  <c r="OPR6" i="10"/>
  <c r="OPV6" i="10"/>
  <c r="OPZ6" i="10"/>
  <c r="OQD6" i="10"/>
  <c r="OQH6" i="10"/>
  <c r="OQL6" i="10"/>
  <c r="OQP6" i="10"/>
  <c r="OQT6" i="10"/>
  <c r="OQX6" i="10"/>
  <c r="ORB6" i="10"/>
  <c r="ORF6" i="10"/>
  <c r="ORJ6" i="10"/>
  <c r="ORN6" i="10"/>
  <c r="ORR6" i="10"/>
  <c r="ORV6" i="10"/>
  <c r="ORZ6" i="10"/>
  <c r="OSD6" i="10"/>
  <c r="OSH6" i="10"/>
  <c r="OSL6" i="10"/>
  <c r="OSP6" i="10"/>
  <c r="OST6" i="10"/>
  <c r="OSX6" i="10"/>
  <c r="OTB6" i="10"/>
  <c r="OTF6" i="10"/>
  <c r="OTJ6" i="10"/>
  <c r="OTN6" i="10"/>
  <c r="OTR6" i="10"/>
  <c r="OTV6" i="10"/>
  <c r="OTZ6" i="10"/>
  <c r="OUD6" i="10"/>
  <c r="OUH6" i="10"/>
  <c r="OUL6" i="10"/>
  <c r="OUP6" i="10"/>
  <c r="OUT6" i="10"/>
  <c r="OUX6" i="10"/>
  <c r="OVB6" i="10"/>
  <c r="OVF6" i="10"/>
  <c r="OVJ6" i="10"/>
  <c r="OVN6" i="10"/>
  <c r="OVR6" i="10"/>
  <c r="OVV6" i="10"/>
  <c r="OVZ6" i="10"/>
  <c r="OWD6" i="10"/>
  <c r="OWH6" i="10"/>
  <c r="OWL6" i="10"/>
  <c r="OWP6" i="10"/>
  <c r="OWT6" i="10"/>
  <c r="OWX6" i="10"/>
  <c r="OXB6" i="10"/>
  <c r="OXF6" i="10"/>
  <c r="OXJ6" i="10"/>
  <c r="OXN6" i="10"/>
  <c r="OXR6" i="10"/>
  <c r="OXV6" i="10"/>
  <c r="OXZ6" i="10"/>
  <c r="OYD6" i="10"/>
  <c r="OYH6" i="10"/>
  <c r="OYL6" i="10"/>
  <c r="OYP6" i="10"/>
  <c r="OYT6" i="10"/>
  <c r="OYX6" i="10"/>
  <c r="OZB6" i="10"/>
  <c r="OZF6" i="10"/>
  <c r="OZJ6" i="10"/>
  <c r="OZN6" i="10"/>
  <c r="OZR6" i="10"/>
  <c r="OZV6" i="10"/>
  <c r="OZZ6" i="10"/>
  <c r="PAD6" i="10"/>
  <c r="PAH6" i="10"/>
  <c r="PAL6" i="10"/>
  <c r="PAP6" i="10"/>
  <c r="PAT6" i="10"/>
  <c r="PAX6" i="10"/>
  <c r="PBB6" i="10"/>
  <c r="PBF6" i="10"/>
  <c r="PBJ6" i="10"/>
  <c r="PBN6" i="10"/>
  <c r="PBR6" i="10"/>
  <c r="PBV6" i="10"/>
  <c r="PBZ6" i="10"/>
  <c r="PCD6" i="10"/>
  <c r="PCH6" i="10"/>
  <c r="PCL6" i="10"/>
  <c r="PCP6" i="10"/>
  <c r="PCT6" i="10"/>
  <c r="PCX6" i="10"/>
  <c r="PDB6" i="10"/>
  <c r="PDF6" i="10"/>
  <c r="PDJ6" i="10"/>
  <c r="PDN6" i="10"/>
  <c r="PDR6" i="10"/>
  <c r="PDV6" i="10"/>
  <c r="PDZ6" i="10"/>
  <c r="PED6" i="10"/>
  <c r="PEH6" i="10"/>
  <c r="PEL6" i="10"/>
  <c r="PEP6" i="10"/>
  <c r="PET6" i="10"/>
  <c r="PEX6" i="10"/>
  <c r="PFB6" i="10"/>
  <c r="PFF6" i="10"/>
  <c r="PFJ6" i="10"/>
  <c r="PFN6" i="10"/>
  <c r="PFR6" i="10"/>
  <c r="PFV6" i="10"/>
  <c r="PFZ6" i="10"/>
  <c r="PGD6" i="10"/>
  <c r="PGH6" i="10"/>
  <c r="PGL6" i="10"/>
  <c r="PGP6" i="10"/>
  <c r="PGT6" i="10"/>
  <c r="PGX6" i="10"/>
  <c r="PHB6" i="10"/>
  <c r="PHF6" i="10"/>
  <c r="PHJ6" i="10"/>
  <c r="PHN6" i="10"/>
  <c r="PHR6" i="10"/>
  <c r="PHV6" i="10"/>
  <c r="PHZ6" i="10"/>
  <c r="PID6" i="10"/>
  <c r="PIH6" i="10"/>
  <c r="PIL6" i="10"/>
  <c r="PIP6" i="10"/>
  <c r="PIT6" i="10"/>
  <c r="PIX6" i="10"/>
  <c r="PJB6" i="10"/>
  <c r="PJF6" i="10"/>
  <c r="PJJ6" i="10"/>
  <c r="PJN6" i="10"/>
  <c r="PJR6" i="10"/>
  <c r="PJV6" i="10"/>
  <c r="PJZ6" i="10"/>
  <c r="PKD6" i="10"/>
  <c r="PKH6" i="10"/>
  <c r="PKL6" i="10"/>
  <c r="PKP6" i="10"/>
  <c r="PKT6" i="10"/>
  <c r="PKX6" i="10"/>
  <c r="PLB6" i="10"/>
  <c r="PLF6" i="10"/>
  <c r="PLJ6" i="10"/>
  <c r="PLN6" i="10"/>
  <c r="PLR6" i="10"/>
  <c r="PLV6" i="10"/>
  <c r="PLZ6" i="10"/>
  <c r="PMD6" i="10"/>
  <c r="PMH6" i="10"/>
  <c r="PML6" i="10"/>
  <c r="PMP6" i="10"/>
  <c r="PMT6" i="10"/>
  <c r="PMX6" i="10"/>
  <c r="PNB6" i="10"/>
  <c r="PNF6" i="10"/>
  <c r="PNJ6" i="10"/>
  <c r="PNN6" i="10"/>
  <c r="PNR6" i="10"/>
  <c r="PNV6" i="10"/>
  <c r="PNZ6" i="10"/>
  <c r="POD6" i="10"/>
  <c r="POH6" i="10"/>
  <c r="POL6" i="10"/>
  <c r="POP6" i="10"/>
  <c r="POT6" i="10"/>
  <c r="POX6" i="10"/>
  <c r="PPB6" i="10"/>
  <c r="PPF6" i="10"/>
  <c r="PPJ6" i="10"/>
  <c r="PPN6" i="10"/>
  <c r="PPR6" i="10"/>
  <c r="PPV6" i="10"/>
  <c r="PPZ6" i="10"/>
  <c r="PQD6" i="10"/>
  <c r="PQH6" i="10"/>
  <c r="PQL6" i="10"/>
  <c r="PQP6" i="10"/>
  <c r="PQT6" i="10"/>
  <c r="PQX6" i="10"/>
  <c r="PRB6" i="10"/>
  <c r="PRF6" i="10"/>
  <c r="PRJ6" i="10"/>
  <c r="PRN6" i="10"/>
  <c r="PRR6" i="10"/>
  <c r="PRV6" i="10"/>
  <c r="PRZ6" i="10"/>
  <c r="PSD6" i="10"/>
  <c r="PSH6" i="10"/>
  <c r="PSL6" i="10"/>
  <c r="PSP6" i="10"/>
  <c r="PST6" i="10"/>
  <c r="PSX6" i="10"/>
  <c r="PTB6" i="10"/>
  <c r="PTF6" i="10"/>
  <c r="PTJ6" i="10"/>
  <c r="PTN6" i="10"/>
  <c r="PTR6" i="10"/>
  <c r="PTV6" i="10"/>
  <c r="PTZ6" i="10"/>
  <c r="PUD6" i="10"/>
  <c r="PUH6" i="10"/>
  <c r="PUL6" i="10"/>
  <c r="PUP6" i="10"/>
  <c r="PUT6" i="10"/>
  <c r="PUX6" i="10"/>
  <c r="PVB6" i="10"/>
  <c r="PVF6" i="10"/>
  <c r="PVJ6" i="10"/>
  <c r="PVN6" i="10"/>
  <c r="PVR6" i="10"/>
  <c r="PVV6" i="10"/>
  <c r="PVZ6" i="10"/>
  <c r="PWD6" i="10"/>
  <c r="PWH6" i="10"/>
  <c r="PWL6" i="10"/>
  <c r="PWP6" i="10"/>
  <c r="PWT6" i="10"/>
  <c r="PWX6" i="10"/>
  <c r="PXB6" i="10"/>
  <c r="PXF6" i="10"/>
  <c r="PXJ6" i="10"/>
  <c r="PXN6" i="10"/>
  <c r="PXR6" i="10"/>
  <c r="PXV6" i="10"/>
  <c r="PXZ6" i="10"/>
  <c r="PYD6" i="10"/>
  <c r="PYH6" i="10"/>
  <c r="PYL6" i="10"/>
  <c r="PYP6" i="10"/>
  <c r="PYT6" i="10"/>
  <c r="PYX6" i="10"/>
  <c r="PZB6" i="10"/>
  <c r="PZF6" i="10"/>
  <c r="PZJ6" i="10"/>
  <c r="PZN6" i="10"/>
  <c r="PZR6" i="10"/>
  <c r="PZV6" i="10"/>
  <c r="PZZ6" i="10"/>
  <c r="QAD6" i="10"/>
  <c r="QAH6" i="10"/>
  <c r="QAL6" i="10"/>
  <c r="QAP6" i="10"/>
  <c r="QAT6" i="10"/>
  <c r="QAX6" i="10"/>
  <c r="QBB6" i="10"/>
  <c r="QBF6" i="10"/>
  <c r="QBJ6" i="10"/>
  <c r="QBN6" i="10"/>
  <c r="QBR6" i="10"/>
  <c r="QBV6" i="10"/>
  <c r="QBZ6" i="10"/>
  <c r="QCD6" i="10"/>
  <c r="QCH6" i="10"/>
  <c r="QCL6" i="10"/>
  <c r="QCP6" i="10"/>
  <c r="QCT6" i="10"/>
  <c r="QCX6" i="10"/>
  <c r="QDB6" i="10"/>
  <c r="QDF6" i="10"/>
  <c r="QDJ6" i="10"/>
  <c r="QDN6" i="10"/>
  <c r="QDR6" i="10"/>
  <c r="QDV6" i="10"/>
  <c r="QDZ6" i="10"/>
  <c r="QED6" i="10"/>
  <c r="QEH6" i="10"/>
  <c r="QEL6" i="10"/>
  <c r="QEP6" i="10"/>
  <c r="QET6" i="10"/>
  <c r="QEX6" i="10"/>
  <c r="QFB6" i="10"/>
  <c r="QFF6" i="10"/>
  <c r="QFJ6" i="10"/>
  <c r="QFN6" i="10"/>
  <c r="QFR6" i="10"/>
  <c r="QFV6" i="10"/>
  <c r="QFZ6" i="10"/>
  <c r="QGD6" i="10"/>
  <c r="QGH6" i="10"/>
  <c r="QGL6" i="10"/>
  <c r="QGP6" i="10"/>
  <c r="QGT6" i="10"/>
  <c r="QGX6" i="10"/>
  <c r="QHB6" i="10"/>
  <c r="QHF6" i="10"/>
  <c r="QHJ6" i="10"/>
  <c r="QHN6" i="10"/>
  <c r="QHR6" i="10"/>
  <c r="QHV6" i="10"/>
  <c r="QHZ6" i="10"/>
  <c r="QID6" i="10"/>
  <c r="QIH6" i="10"/>
  <c r="QIL6" i="10"/>
  <c r="QIP6" i="10"/>
  <c r="QIT6" i="10"/>
  <c r="QIX6" i="10"/>
  <c r="QJB6" i="10"/>
  <c r="QJF6" i="10"/>
  <c r="QJJ6" i="10"/>
  <c r="QJN6" i="10"/>
  <c r="QJR6" i="10"/>
  <c r="QJV6" i="10"/>
  <c r="QJZ6" i="10"/>
  <c r="QKD6" i="10"/>
  <c r="QKH6" i="10"/>
  <c r="QKL6" i="10"/>
  <c r="QKP6" i="10"/>
  <c r="QKT6" i="10"/>
  <c r="QKX6" i="10"/>
  <c r="QLB6" i="10"/>
  <c r="QLF6" i="10"/>
  <c r="QLJ6" i="10"/>
  <c r="QLN6" i="10"/>
  <c r="QLR6" i="10"/>
  <c r="QLV6" i="10"/>
  <c r="QLZ6" i="10"/>
  <c r="QMD6" i="10"/>
  <c r="QMH6" i="10"/>
  <c r="QML6" i="10"/>
  <c r="QMP6" i="10"/>
  <c r="QMT6" i="10"/>
  <c r="QMX6" i="10"/>
  <c r="QNB6" i="10"/>
  <c r="QNF6" i="10"/>
  <c r="QNJ6" i="10"/>
  <c r="QNN6" i="10"/>
  <c r="QNR6" i="10"/>
  <c r="QNV6" i="10"/>
  <c r="QNZ6" i="10"/>
  <c r="QOD6" i="10"/>
  <c r="QOH6" i="10"/>
  <c r="QOL6" i="10"/>
  <c r="QOP6" i="10"/>
  <c r="QOT6" i="10"/>
  <c r="QOX6" i="10"/>
  <c r="QPB6" i="10"/>
  <c r="QPF6" i="10"/>
  <c r="QPJ6" i="10"/>
  <c r="QPN6" i="10"/>
  <c r="QPR6" i="10"/>
  <c r="QPV6" i="10"/>
  <c r="QPZ6" i="10"/>
  <c r="QQD6" i="10"/>
  <c r="QQH6" i="10"/>
  <c r="QQL6" i="10"/>
  <c r="QQP6" i="10"/>
  <c r="QQT6" i="10"/>
  <c r="QQX6" i="10"/>
  <c r="QRB6" i="10"/>
  <c r="QRF6" i="10"/>
  <c r="QRJ6" i="10"/>
  <c r="QRN6" i="10"/>
  <c r="QRR6" i="10"/>
  <c r="QRV6" i="10"/>
  <c r="QRZ6" i="10"/>
  <c r="QSD6" i="10"/>
  <c r="QSH6" i="10"/>
  <c r="QSL6" i="10"/>
  <c r="QSP6" i="10"/>
  <c r="QST6" i="10"/>
  <c r="QSX6" i="10"/>
  <c r="QTB6" i="10"/>
  <c r="QTF6" i="10"/>
  <c r="QTJ6" i="10"/>
  <c r="QTN6" i="10"/>
  <c r="QTR6" i="10"/>
  <c r="QTV6" i="10"/>
  <c r="QTZ6" i="10"/>
  <c r="QUD6" i="10"/>
  <c r="QUH6" i="10"/>
  <c r="QUL6" i="10"/>
  <c r="QUP6" i="10"/>
  <c r="QUT6" i="10"/>
  <c r="QUX6" i="10"/>
  <c r="QVB6" i="10"/>
  <c r="QVF6" i="10"/>
  <c r="QVJ6" i="10"/>
  <c r="QVN6" i="10"/>
  <c r="QVR6" i="10"/>
  <c r="QVV6" i="10"/>
  <c r="QVZ6" i="10"/>
  <c r="QWD6" i="10"/>
  <c r="QWH6" i="10"/>
  <c r="QWL6" i="10"/>
  <c r="QWP6" i="10"/>
  <c r="QWT6" i="10"/>
  <c r="QWX6" i="10"/>
  <c r="QXB6" i="10"/>
  <c r="QXF6" i="10"/>
  <c r="QXJ6" i="10"/>
  <c r="QXN6" i="10"/>
  <c r="QXR6" i="10"/>
  <c r="QXV6" i="10"/>
  <c r="QXZ6" i="10"/>
  <c r="QYD6" i="10"/>
  <c r="QYH6" i="10"/>
  <c r="QYL6" i="10"/>
  <c r="QYP6" i="10"/>
  <c r="QYT6" i="10"/>
  <c r="QYX6" i="10"/>
  <c r="QZB6" i="10"/>
  <c r="QZF6" i="10"/>
  <c r="QZJ6" i="10"/>
  <c r="QZN6" i="10"/>
  <c r="QZR6" i="10"/>
  <c r="QZV6" i="10"/>
  <c r="QZZ6" i="10"/>
  <c r="RAD6" i="10"/>
  <c r="RAH6" i="10"/>
  <c r="RAL6" i="10"/>
  <c r="RAP6" i="10"/>
  <c r="RAT6" i="10"/>
  <c r="RAX6" i="10"/>
  <c r="RBB6" i="10"/>
  <c r="RBF6" i="10"/>
  <c r="RBJ6" i="10"/>
  <c r="RBN6" i="10"/>
  <c r="RBR6" i="10"/>
  <c r="RBV6" i="10"/>
  <c r="RBZ6" i="10"/>
  <c r="RCD6" i="10"/>
  <c r="RCH6" i="10"/>
  <c r="RCL6" i="10"/>
  <c r="RCP6" i="10"/>
  <c r="RCT6" i="10"/>
  <c r="RCX6" i="10"/>
  <c r="RDB6" i="10"/>
  <c r="RDF6" i="10"/>
  <c r="RDJ6" i="10"/>
  <c r="RDN6" i="10"/>
  <c r="RDR6" i="10"/>
  <c r="RDV6" i="10"/>
  <c r="RDZ6" i="10"/>
  <c r="RED6" i="10"/>
  <c r="REH6" i="10"/>
  <c r="REL6" i="10"/>
  <c r="REP6" i="10"/>
  <c r="RET6" i="10"/>
  <c r="REX6" i="10"/>
  <c r="RFB6" i="10"/>
  <c r="RFF6" i="10"/>
  <c r="RFJ6" i="10"/>
  <c r="RFN6" i="10"/>
  <c r="RFR6" i="10"/>
  <c r="RFV6" i="10"/>
  <c r="RFZ6" i="10"/>
  <c r="RGD6" i="10"/>
  <c r="RGH6" i="10"/>
  <c r="RGL6" i="10"/>
  <c r="RGP6" i="10"/>
  <c r="RGT6" i="10"/>
  <c r="RGX6" i="10"/>
  <c r="RHB6" i="10"/>
  <c r="RHF6" i="10"/>
  <c r="RHJ6" i="10"/>
  <c r="RHN6" i="10"/>
  <c r="RHR6" i="10"/>
  <c r="RHV6" i="10"/>
  <c r="RHZ6" i="10"/>
  <c r="RID6" i="10"/>
  <c r="RIH6" i="10"/>
  <c r="RIL6" i="10"/>
  <c r="RIP6" i="10"/>
  <c r="RIT6" i="10"/>
  <c r="RIX6" i="10"/>
  <c r="RJB6" i="10"/>
  <c r="RJF6" i="10"/>
  <c r="RJJ6" i="10"/>
  <c r="RJN6" i="10"/>
  <c r="RJR6" i="10"/>
  <c r="RJV6" i="10"/>
  <c r="RJZ6" i="10"/>
  <c r="RKD6" i="10"/>
  <c r="RKH6" i="10"/>
  <c r="RKL6" i="10"/>
  <c r="RKP6" i="10"/>
  <c r="RKT6" i="10"/>
  <c r="RKX6" i="10"/>
  <c r="RLB6" i="10"/>
  <c r="RLF6" i="10"/>
  <c r="RLJ6" i="10"/>
  <c r="RLN6" i="10"/>
  <c r="RLR6" i="10"/>
  <c r="RLV6" i="10"/>
  <c r="RLZ6" i="10"/>
  <c r="RMD6" i="10"/>
  <c r="RMH6" i="10"/>
  <c r="RML6" i="10"/>
  <c r="RMP6" i="10"/>
  <c r="RMT6" i="10"/>
  <c r="RMX6" i="10"/>
  <c r="RNB6" i="10"/>
  <c r="RNF6" i="10"/>
  <c r="RNJ6" i="10"/>
  <c r="RNN6" i="10"/>
  <c r="RNR6" i="10"/>
  <c r="RNV6" i="10"/>
  <c r="RNZ6" i="10"/>
  <c r="ROD6" i="10"/>
  <c r="ROH6" i="10"/>
  <c r="ROL6" i="10"/>
  <c r="ROP6" i="10"/>
  <c r="ROT6" i="10"/>
  <c r="ROX6" i="10"/>
  <c r="RPB6" i="10"/>
  <c r="RPF6" i="10"/>
  <c r="RPJ6" i="10"/>
  <c r="RPN6" i="10"/>
  <c r="RPR6" i="10"/>
  <c r="RPV6" i="10"/>
  <c r="RPZ6" i="10"/>
  <c r="RQD6" i="10"/>
  <c r="RQH6" i="10"/>
  <c r="RQL6" i="10"/>
  <c r="RQP6" i="10"/>
  <c r="RQT6" i="10"/>
  <c r="RQX6" i="10"/>
  <c r="RRB6" i="10"/>
  <c r="RRF6" i="10"/>
  <c r="RRJ6" i="10"/>
  <c r="RRN6" i="10"/>
  <c r="RRR6" i="10"/>
  <c r="RRV6" i="10"/>
  <c r="RRZ6" i="10"/>
  <c r="RSD6" i="10"/>
  <c r="RSH6" i="10"/>
  <c r="RSL6" i="10"/>
  <c r="RSP6" i="10"/>
  <c r="RST6" i="10"/>
  <c r="RSX6" i="10"/>
  <c r="RTB6" i="10"/>
  <c r="RTF6" i="10"/>
  <c r="RTJ6" i="10"/>
  <c r="RTN6" i="10"/>
  <c r="RTR6" i="10"/>
  <c r="RTV6" i="10"/>
  <c r="RTZ6" i="10"/>
  <c r="RUD6" i="10"/>
  <c r="RUH6" i="10"/>
  <c r="RUL6" i="10"/>
  <c r="RUP6" i="10"/>
  <c r="RUT6" i="10"/>
  <c r="RUX6" i="10"/>
  <c r="RVB6" i="10"/>
  <c r="RVF6" i="10"/>
  <c r="RVJ6" i="10"/>
  <c r="RVN6" i="10"/>
  <c r="RVR6" i="10"/>
  <c r="RVV6" i="10"/>
  <c r="RVZ6" i="10"/>
  <c r="RWD6" i="10"/>
  <c r="RWH6" i="10"/>
  <c r="RWL6" i="10"/>
  <c r="RWP6" i="10"/>
  <c r="RWT6" i="10"/>
  <c r="RWX6" i="10"/>
  <c r="RXB6" i="10"/>
  <c r="RXF6" i="10"/>
  <c r="RXJ6" i="10"/>
  <c r="RXN6" i="10"/>
  <c r="RXR6" i="10"/>
  <c r="RXV6" i="10"/>
  <c r="RXZ6" i="10"/>
  <c r="RYD6" i="10"/>
  <c r="RYH6" i="10"/>
  <c r="RYL6" i="10"/>
  <c r="RYP6" i="10"/>
  <c r="RYT6" i="10"/>
  <c r="RYX6" i="10"/>
  <c r="RZB6" i="10"/>
  <c r="RZF6" i="10"/>
  <c r="RZJ6" i="10"/>
  <c r="RZN6" i="10"/>
  <c r="RZR6" i="10"/>
  <c r="RZV6" i="10"/>
  <c r="RZZ6" i="10"/>
  <c r="SAD6" i="10"/>
  <c r="SAH6" i="10"/>
  <c r="SAL6" i="10"/>
  <c r="SAP6" i="10"/>
  <c r="SAT6" i="10"/>
  <c r="SAX6" i="10"/>
  <c r="SBB6" i="10"/>
  <c r="SBF6" i="10"/>
  <c r="SBJ6" i="10"/>
  <c r="SBN6" i="10"/>
  <c r="SBR6" i="10"/>
  <c r="SBV6" i="10"/>
  <c r="SBZ6" i="10"/>
  <c r="SCD6" i="10"/>
  <c r="SCH6" i="10"/>
  <c r="SCL6" i="10"/>
  <c r="SCP6" i="10"/>
  <c r="SCT6" i="10"/>
  <c r="SCX6" i="10"/>
  <c r="SDB6" i="10"/>
  <c r="SDF6" i="10"/>
  <c r="SDJ6" i="10"/>
  <c r="SDN6" i="10"/>
  <c r="SDR6" i="10"/>
  <c r="SDV6" i="10"/>
  <c r="SDZ6" i="10"/>
  <c r="SED6" i="10"/>
  <c r="SEH6" i="10"/>
  <c r="SEL6" i="10"/>
  <c r="SEP6" i="10"/>
  <c r="SET6" i="10"/>
  <c r="SEX6" i="10"/>
  <c r="SFB6" i="10"/>
  <c r="SFF6" i="10"/>
  <c r="SFJ6" i="10"/>
  <c r="SFN6" i="10"/>
  <c r="SFR6" i="10"/>
  <c r="SFV6" i="10"/>
  <c r="SFZ6" i="10"/>
  <c r="SGD6" i="10"/>
  <c r="SGH6" i="10"/>
  <c r="SGL6" i="10"/>
  <c r="SGP6" i="10"/>
  <c r="SGT6" i="10"/>
  <c r="SGX6" i="10"/>
  <c r="SHB6" i="10"/>
  <c r="SHF6" i="10"/>
  <c r="SHJ6" i="10"/>
  <c r="SHN6" i="10"/>
  <c r="SHR6" i="10"/>
  <c r="SHV6" i="10"/>
  <c r="SHZ6" i="10"/>
  <c r="SID6" i="10"/>
  <c r="SIH6" i="10"/>
  <c r="SIL6" i="10"/>
  <c r="SIP6" i="10"/>
  <c r="SIT6" i="10"/>
  <c r="SIX6" i="10"/>
  <c r="SJB6" i="10"/>
  <c r="SJF6" i="10"/>
  <c r="SJJ6" i="10"/>
  <c r="SJN6" i="10"/>
  <c r="SJR6" i="10"/>
  <c r="SJV6" i="10"/>
  <c r="SJZ6" i="10"/>
  <c r="SKD6" i="10"/>
  <c r="SKH6" i="10"/>
  <c r="SKL6" i="10"/>
  <c r="SKP6" i="10"/>
  <c r="SKT6" i="10"/>
  <c r="SKX6" i="10"/>
  <c r="SLB6" i="10"/>
  <c r="SLF6" i="10"/>
  <c r="SLJ6" i="10"/>
  <c r="SLN6" i="10"/>
  <c r="SLR6" i="10"/>
  <c r="SLV6" i="10"/>
  <c r="SLZ6" i="10"/>
  <c r="SMD6" i="10"/>
  <c r="SMH6" i="10"/>
  <c r="SML6" i="10"/>
  <c r="SMP6" i="10"/>
  <c r="SMT6" i="10"/>
  <c r="SMX6" i="10"/>
  <c r="SNB6" i="10"/>
  <c r="SNF6" i="10"/>
  <c r="SNJ6" i="10"/>
  <c r="SNN6" i="10"/>
  <c r="SNR6" i="10"/>
  <c r="SNV6" i="10"/>
  <c r="SNZ6" i="10"/>
  <c r="SOD6" i="10"/>
  <c r="SOH6" i="10"/>
  <c r="SOL6" i="10"/>
  <c r="SOP6" i="10"/>
  <c r="SOT6" i="10"/>
  <c r="SOX6" i="10"/>
  <c r="SPB6" i="10"/>
  <c r="SPF6" i="10"/>
  <c r="SPJ6" i="10"/>
  <c r="SPN6" i="10"/>
  <c r="SPR6" i="10"/>
  <c r="SPV6" i="10"/>
  <c r="SPZ6" i="10"/>
  <c r="SQD6" i="10"/>
  <c r="SQH6" i="10"/>
  <c r="SQL6" i="10"/>
  <c r="SQP6" i="10"/>
  <c r="SQT6" i="10"/>
  <c r="SQX6" i="10"/>
  <c r="SRB6" i="10"/>
  <c r="SRF6" i="10"/>
  <c r="SRJ6" i="10"/>
  <c r="SRN6" i="10"/>
  <c r="SRR6" i="10"/>
  <c r="SRV6" i="10"/>
  <c r="SRZ6" i="10"/>
  <c r="SSD6" i="10"/>
  <c r="SSH6" i="10"/>
  <c r="SSL6" i="10"/>
  <c r="SSP6" i="10"/>
  <c r="SST6" i="10"/>
  <c r="SSX6" i="10"/>
  <c r="STB6" i="10"/>
  <c r="STF6" i="10"/>
  <c r="STJ6" i="10"/>
  <c r="STN6" i="10"/>
  <c r="STR6" i="10"/>
  <c r="STV6" i="10"/>
  <c r="STZ6" i="10"/>
  <c r="SUD6" i="10"/>
  <c r="SUH6" i="10"/>
  <c r="SUL6" i="10"/>
  <c r="SUP6" i="10"/>
  <c r="SUT6" i="10"/>
  <c r="SUX6" i="10"/>
  <c r="SVB6" i="10"/>
  <c r="SVF6" i="10"/>
  <c r="SVJ6" i="10"/>
  <c r="SVN6" i="10"/>
  <c r="SVR6" i="10"/>
  <c r="SVV6" i="10"/>
  <c r="SVZ6" i="10"/>
  <c r="SWD6" i="10"/>
  <c r="SWH6" i="10"/>
  <c r="SWL6" i="10"/>
  <c r="SWP6" i="10"/>
  <c r="SWT6" i="10"/>
  <c r="SWX6" i="10"/>
  <c r="SXB6" i="10"/>
  <c r="SXF6" i="10"/>
  <c r="SXJ6" i="10"/>
  <c r="SXN6" i="10"/>
  <c r="SXR6" i="10"/>
  <c r="SXV6" i="10"/>
  <c r="SXZ6" i="10"/>
  <c r="SYD6" i="10"/>
  <c r="SYH6" i="10"/>
  <c r="SYL6" i="10"/>
  <c r="SYP6" i="10"/>
  <c r="SYT6" i="10"/>
  <c r="SYX6" i="10"/>
  <c r="SZB6" i="10"/>
  <c r="SZF6" i="10"/>
  <c r="SZJ6" i="10"/>
  <c r="SZN6" i="10"/>
  <c r="SZR6" i="10"/>
  <c r="SZV6" i="10"/>
  <c r="SZZ6" i="10"/>
  <c r="TAD6" i="10"/>
  <c r="TAH6" i="10"/>
  <c r="TAL6" i="10"/>
  <c r="TAP6" i="10"/>
  <c r="TAT6" i="10"/>
  <c r="TAX6" i="10"/>
  <c r="TBB6" i="10"/>
  <c r="TBF6" i="10"/>
  <c r="TBJ6" i="10"/>
  <c r="TBN6" i="10"/>
  <c r="TBR6" i="10"/>
  <c r="TBV6" i="10"/>
  <c r="TBZ6" i="10"/>
  <c r="TCD6" i="10"/>
  <c r="TCH6" i="10"/>
  <c r="TCL6" i="10"/>
  <c r="TCP6" i="10"/>
  <c r="TCT6" i="10"/>
  <c r="TCX6" i="10"/>
  <c r="TDB6" i="10"/>
  <c r="TDF6" i="10"/>
  <c r="TDJ6" i="10"/>
  <c r="TDN6" i="10"/>
  <c r="TDR6" i="10"/>
  <c r="TDV6" i="10"/>
  <c r="TDZ6" i="10"/>
  <c r="TED6" i="10"/>
  <c r="TEH6" i="10"/>
  <c r="TEL6" i="10"/>
  <c r="TEP6" i="10"/>
  <c r="TET6" i="10"/>
  <c r="TEX6" i="10"/>
  <c r="TFB6" i="10"/>
  <c r="TFF6" i="10"/>
  <c r="TFJ6" i="10"/>
  <c r="TFN6" i="10"/>
  <c r="TFR6" i="10"/>
  <c r="TFV6" i="10"/>
  <c r="TFZ6" i="10"/>
  <c r="TGD6" i="10"/>
  <c r="TGH6" i="10"/>
  <c r="TGL6" i="10"/>
  <c r="TGP6" i="10"/>
  <c r="TGT6" i="10"/>
  <c r="TGX6" i="10"/>
  <c r="THB6" i="10"/>
  <c r="THF6" i="10"/>
  <c r="THJ6" i="10"/>
  <c r="THN6" i="10"/>
  <c r="THR6" i="10"/>
  <c r="THV6" i="10"/>
  <c r="THZ6" i="10"/>
  <c r="TID6" i="10"/>
  <c r="TIH6" i="10"/>
  <c r="TIL6" i="10"/>
  <c r="TIP6" i="10"/>
  <c r="TIT6" i="10"/>
  <c r="TIX6" i="10"/>
  <c r="DEP6" i="10"/>
  <c r="DVN6" i="10"/>
  <c r="EFJ6" i="10"/>
  <c r="EPF6" i="10"/>
  <c r="EZB6" i="10"/>
  <c r="FHR6" i="10"/>
  <c r="FKF6" i="10"/>
  <c r="FMR6" i="10"/>
  <c r="FPD6" i="10"/>
  <c r="FRP6" i="10"/>
  <c r="FUB6" i="10"/>
  <c r="FWN6" i="10"/>
  <c r="FYZ6" i="10"/>
  <c r="GBL6" i="10"/>
  <c r="GDX6" i="10"/>
  <c r="GGJ6" i="10"/>
  <c r="GIV6" i="10"/>
  <c r="GLH6" i="10"/>
  <c r="GNT6" i="10"/>
  <c r="GQF6" i="10"/>
  <c r="GSR6" i="10"/>
  <c r="GVD6" i="10"/>
  <c r="GXP6" i="10"/>
  <c r="HAB6" i="10"/>
  <c r="HCN6" i="10"/>
  <c r="HEZ6" i="10"/>
  <c r="HHL6" i="10"/>
  <c r="HJX6" i="10"/>
  <c r="HMJ6" i="10"/>
  <c r="HOV6" i="10"/>
  <c r="HRH6" i="10"/>
  <c r="HTT6" i="10"/>
  <c r="HVD6" i="10"/>
  <c r="HWJ6" i="10"/>
  <c r="HXP6" i="10"/>
  <c r="HYV6" i="10"/>
  <c r="IAB6" i="10"/>
  <c r="IBH6" i="10"/>
  <c r="ICN6" i="10"/>
  <c r="IDT6" i="10"/>
  <c r="IEZ6" i="10"/>
  <c r="IGF6" i="10"/>
  <c r="IHL6" i="10"/>
  <c r="IIR6" i="10"/>
  <c r="IJX6" i="10"/>
  <c r="ILD6" i="10"/>
  <c r="IMJ6" i="10"/>
  <c r="INP6" i="10"/>
  <c r="IOV6" i="10"/>
  <c r="IQB6" i="10"/>
  <c r="IRH6" i="10"/>
  <c r="ISN6" i="10"/>
  <c r="ITT6" i="10"/>
  <c r="IUZ6" i="10"/>
  <c r="IVR6" i="10"/>
  <c r="IWH6" i="10"/>
  <c r="IWX6" i="10"/>
  <c r="IXN6" i="10"/>
  <c r="IYD6" i="10"/>
  <c r="IYT6" i="10"/>
  <c r="IZJ6" i="10"/>
  <c r="IZZ6" i="10"/>
  <c r="JAP6" i="10"/>
  <c r="JBF6" i="10"/>
  <c r="JBV6" i="10"/>
  <c r="JCL6" i="10"/>
  <c r="JDB6" i="10"/>
  <c r="JDR6" i="10"/>
  <c r="JEH6" i="10"/>
  <c r="JEX6" i="10"/>
  <c r="JFN6" i="10"/>
  <c r="JGD6" i="10"/>
  <c r="JGT6" i="10"/>
  <c r="JHJ6" i="10"/>
  <c r="JHZ6" i="10"/>
  <c r="JIP6" i="10"/>
  <c r="JJF6" i="10"/>
  <c r="JJV6" i="10"/>
  <c r="JKL6" i="10"/>
  <c r="JLB6" i="10"/>
  <c r="JLR6" i="10"/>
  <c r="JMH6" i="10"/>
  <c r="JMX6" i="10"/>
  <c r="JNN6" i="10"/>
  <c r="JOD6" i="10"/>
  <c r="JOT6" i="10"/>
  <c r="JPJ6" i="10"/>
  <c r="JPZ6" i="10"/>
  <c r="JQP6" i="10"/>
  <c r="JRF6" i="10"/>
  <c r="JRV6" i="10"/>
  <c r="JSL6" i="10"/>
  <c r="JTB6" i="10"/>
  <c r="JTR6" i="10"/>
  <c r="JUH6" i="10"/>
  <c r="JUX6" i="10"/>
  <c r="JVN6" i="10"/>
  <c r="JWD6" i="10"/>
  <c r="JWT6" i="10"/>
  <c r="JXJ6" i="10"/>
  <c r="JXZ6" i="10"/>
  <c r="JYP6" i="10"/>
  <c r="JZF6" i="10"/>
  <c r="JZV6" i="10"/>
  <c r="KAL6" i="10"/>
  <c r="KBB6" i="10"/>
  <c r="KBR6" i="10"/>
  <c r="KCH6" i="10"/>
  <c r="KCX6" i="10"/>
  <c r="KDN6" i="10"/>
  <c r="KED6" i="10"/>
  <c r="KET6" i="10"/>
  <c r="KFJ6" i="10"/>
  <c r="KFZ6" i="10"/>
  <c r="KGP6" i="10"/>
  <c r="KHF6" i="10"/>
  <c r="KHV6" i="10"/>
  <c r="KIL6" i="10"/>
  <c r="KJB6" i="10"/>
  <c r="KJR6" i="10"/>
  <c r="KKH6" i="10"/>
  <c r="KKX6" i="10"/>
  <c r="KLN6" i="10"/>
  <c r="KMD6" i="10"/>
  <c r="KMT6" i="10"/>
  <c r="KNJ6" i="10"/>
  <c r="KNZ6" i="10"/>
  <c r="KOP6" i="10"/>
  <c r="KPF6" i="10"/>
  <c r="KPV6" i="10"/>
  <c r="KQL6" i="10"/>
  <c r="KRB6" i="10"/>
  <c r="KRR6" i="10"/>
  <c r="KSH6" i="10"/>
  <c r="KSX6" i="10"/>
  <c r="KTN6" i="10"/>
  <c r="KUD6" i="10"/>
  <c r="KUT6" i="10"/>
  <c r="KVJ6" i="10"/>
  <c r="KVZ6" i="10"/>
  <c r="KWP6" i="10"/>
  <c r="KXF6" i="10"/>
  <c r="KXV6" i="10"/>
  <c r="KYL6" i="10"/>
  <c r="KZB6" i="10"/>
  <c r="KZR6" i="10"/>
  <c r="LAH6" i="10"/>
  <c r="LAX6" i="10"/>
  <c r="LBN6" i="10"/>
  <c r="LCD6" i="10"/>
  <c r="LCT6" i="10"/>
  <c r="LDJ6" i="10"/>
  <c r="LDZ6" i="10"/>
  <c r="LEP6" i="10"/>
  <c r="LFF6" i="10"/>
  <c r="LFV6" i="10"/>
  <c r="LGL6" i="10"/>
  <c r="LHB6" i="10"/>
  <c r="LHR6" i="10"/>
  <c r="LIH6" i="10"/>
  <c r="LIX6" i="10"/>
  <c r="LJN6" i="10"/>
  <c r="LKD6" i="10"/>
  <c r="LKT6" i="10"/>
  <c r="LLJ6" i="10"/>
  <c r="LLZ6" i="10"/>
  <c r="LMP6" i="10"/>
  <c r="LNF6" i="10"/>
  <c r="LNV6" i="10"/>
  <c r="LOL6" i="10"/>
  <c r="LPB6" i="10"/>
  <c r="LPJ6" i="10"/>
  <c r="LPR6" i="10"/>
  <c r="LPZ6" i="10"/>
  <c r="LQH6" i="10"/>
  <c r="LQP6" i="10"/>
  <c r="LQX6" i="10"/>
  <c r="LRF6" i="10"/>
  <c r="LRN6" i="10"/>
  <c r="LRV6" i="10"/>
  <c r="LSD6" i="10"/>
  <c r="LSL6" i="10"/>
  <c r="LST6" i="10"/>
  <c r="LTB6" i="10"/>
  <c r="LTJ6" i="10"/>
  <c r="LTR6" i="10"/>
  <c r="LTZ6" i="10"/>
  <c r="LUH6" i="10"/>
  <c r="LUP6" i="10"/>
  <c r="LUX6" i="10"/>
  <c r="LVF6" i="10"/>
  <c r="LVN6" i="10"/>
  <c r="LVV6" i="10"/>
  <c r="LWD6" i="10"/>
  <c r="LWL6" i="10"/>
  <c r="LWT6" i="10"/>
  <c r="LXB6" i="10"/>
  <c r="LXJ6" i="10"/>
  <c r="LXR6" i="10"/>
  <c r="LXZ6" i="10"/>
  <c r="LYH6" i="10"/>
  <c r="LYP6" i="10"/>
  <c r="LYX6" i="10"/>
  <c r="LZF6" i="10"/>
  <c r="LZN6" i="10"/>
  <c r="LZV6" i="10"/>
  <c r="MAD6" i="10"/>
  <c r="MAL6" i="10"/>
  <c r="MAT6" i="10"/>
  <c r="MBB6" i="10"/>
  <c r="MBJ6" i="10"/>
  <c r="MBR6" i="10"/>
  <c r="MBZ6" i="10"/>
  <c r="MCH6" i="10"/>
  <c r="MCP6" i="10"/>
  <c r="MCX6" i="10"/>
  <c r="MDF6" i="10"/>
  <c r="MDN6" i="10"/>
  <c r="MDV6" i="10"/>
  <c r="MED6" i="10"/>
  <c r="MEL6" i="10"/>
  <c r="MET6" i="10"/>
  <c r="MFB6" i="10"/>
  <c r="MFJ6" i="10"/>
  <c r="MFR6" i="10"/>
  <c r="MFZ6" i="10"/>
  <c r="MGH6" i="10"/>
  <c r="MGP6" i="10"/>
  <c r="MGX6" i="10"/>
  <c r="MHF6" i="10"/>
  <c r="MHN6" i="10"/>
  <c r="MHV6" i="10"/>
  <c r="MID6" i="10"/>
  <c r="MIL6" i="10"/>
  <c r="MIT6" i="10"/>
  <c r="MJB6" i="10"/>
  <c r="MJJ6" i="10"/>
  <c r="MJR6" i="10"/>
  <c r="MJZ6" i="10"/>
  <c r="MKH6" i="10"/>
  <c r="MKP6" i="10"/>
  <c r="MKX6" i="10"/>
  <c r="MLF6" i="10"/>
  <c r="MLN6" i="10"/>
  <c r="MLV6" i="10"/>
  <c r="MMD6" i="10"/>
  <c r="MML6" i="10"/>
  <c r="MMT6" i="10"/>
  <c r="MNB6" i="10"/>
  <c r="MNJ6" i="10"/>
  <c r="MNR6" i="10"/>
  <c r="MNZ6" i="10"/>
  <c r="MOH6" i="10"/>
  <c r="MOP6" i="10"/>
  <c r="MOX6" i="10"/>
  <c r="MPF6" i="10"/>
  <c r="MPN6" i="10"/>
  <c r="MPV6" i="10"/>
  <c r="MQD6" i="10"/>
  <c r="MQL6" i="10"/>
  <c r="MQT6" i="10"/>
  <c r="MRB6" i="10"/>
  <c r="MRJ6" i="10"/>
  <c r="MRR6" i="10"/>
  <c r="MRZ6" i="10"/>
  <c r="MSH6" i="10"/>
  <c r="MSP6" i="10"/>
  <c r="MSX6" i="10"/>
  <c r="MTF6" i="10"/>
  <c r="MTN6" i="10"/>
  <c r="MTV6" i="10"/>
  <c r="MUD6" i="10"/>
  <c r="MUL6" i="10"/>
  <c r="MUT6" i="10"/>
  <c r="MVB6" i="10"/>
  <c r="MVJ6" i="10"/>
  <c r="MVR6" i="10"/>
  <c r="MVZ6" i="10"/>
  <c r="MWH6" i="10"/>
  <c r="MWP6" i="10"/>
  <c r="MWX6" i="10"/>
  <c r="MXF6" i="10"/>
  <c r="MXN6" i="10"/>
  <c r="MXV6" i="10"/>
  <c r="MYD6" i="10"/>
  <c r="MYL6" i="10"/>
  <c r="MYT6" i="10"/>
  <c r="MZB6" i="10"/>
  <c r="MZJ6" i="10"/>
  <c r="MZR6" i="10"/>
  <c r="MZZ6" i="10"/>
  <c r="NAH6" i="10"/>
  <c r="NAP6" i="10"/>
  <c r="NAX6" i="10"/>
  <c r="NBF6" i="10"/>
  <c r="NBN6" i="10"/>
  <c r="NBV6" i="10"/>
  <c r="NCD6" i="10"/>
  <c r="NCL6" i="10"/>
  <c r="NCT6" i="10"/>
  <c r="NDB6" i="10"/>
  <c r="NDJ6" i="10"/>
  <c r="NDR6" i="10"/>
  <c r="NDZ6" i="10"/>
  <c r="NEH6" i="10"/>
  <c r="NEP6" i="10"/>
  <c r="NEX6" i="10"/>
  <c r="NFF6" i="10"/>
  <c r="NFK6" i="10"/>
  <c r="NFO6" i="10"/>
  <c r="NFS6" i="10"/>
  <c r="NFW6" i="10"/>
  <c r="NGA6" i="10"/>
  <c r="NGE6" i="10"/>
  <c r="NGI6" i="10"/>
  <c r="NGM6" i="10"/>
  <c r="NGQ6" i="10"/>
  <c r="NGU6" i="10"/>
  <c r="NGY6" i="10"/>
  <c r="NHC6" i="10"/>
  <c r="NHG6" i="10"/>
  <c r="NHK6" i="10"/>
  <c r="NHO6" i="10"/>
  <c r="NHS6" i="10"/>
  <c r="NHW6" i="10"/>
  <c r="NIA6" i="10"/>
  <c r="NIE6" i="10"/>
  <c r="NII6" i="10"/>
  <c r="NIM6" i="10"/>
  <c r="NIQ6" i="10"/>
  <c r="NIU6" i="10"/>
  <c r="NIY6" i="10"/>
  <c r="NJC6" i="10"/>
  <c r="NJG6" i="10"/>
  <c r="NJK6" i="10"/>
  <c r="NJO6" i="10"/>
  <c r="NJS6" i="10"/>
  <c r="NJW6" i="10"/>
  <c r="NKA6" i="10"/>
  <c r="NKE6" i="10"/>
  <c r="NKI6" i="10"/>
  <c r="NKM6" i="10"/>
  <c r="NKQ6" i="10"/>
  <c r="NKU6" i="10"/>
  <c r="NKY6" i="10"/>
  <c r="NLC6" i="10"/>
  <c r="NLG6" i="10"/>
  <c r="NLK6" i="10"/>
  <c r="NLO6" i="10"/>
  <c r="NLS6" i="10"/>
  <c r="NLW6" i="10"/>
  <c r="NMA6" i="10"/>
  <c r="NME6" i="10"/>
  <c r="NMI6" i="10"/>
  <c r="NMM6" i="10"/>
  <c r="NMQ6" i="10"/>
  <c r="NMU6" i="10"/>
  <c r="NMY6" i="10"/>
  <c r="NNC6" i="10"/>
  <c r="NNG6" i="10"/>
  <c r="NNK6" i="10"/>
  <c r="NNO6" i="10"/>
  <c r="NNS6" i="10"/>
  <c r="NNW6" i="10"/>
  <c r="NOA6" i="10"/>
  <c r="NOE6" i="10"/>
  <c r="NOI6" i="10"/>
  <c r="NOM6" i="10"/>
  <c r="NOQ6" i="10"/>
  <c r="NOU6" i="10"/>
  <c r="NOY6" i="10"/>
  <c r="NPC6" i="10"/>
  <c r="NPG6" i="10"/>
  <c r="NPK6" i="10"/>
  <c r="NPO6" i="10"/>
  <c r="NPS6" i="10"/>
  <c r="NPW6" i="10"/>
  <c r="NQA6" i="10"/>
  <c r="NQE6" i="10"/>
  <c r="NQI6" i="10"/>
  <c r="NQM6" i="10"/>
  <c r="NQQ6" i="10"/>
  <c r="NQU6" i="10"/>
  <c r="NQY6" i="10"/>
  <c r="NRC6" i="10"/>
  <c r="NRG6" i="10"/>
  <c r="NRK6" i="10"/>
  <c r="NRO6" i="10"/>
  <c r="NRS6" i="10"/>
  <c r="NRW6" i="10"/>
  <c r="NSA6" i="10"/>
  <c r="NSE6" i="10"/>
  <c r="NSI6" i="10"/>
  <c r="NSM6" i="10"/>
  <c r="NSQ6" i="10"/>
  <c r="NSU6" i="10"/>
  <c r="NSY6" i="10"/>
  <c r="NTC6" i="10"/>
  <c r="NTG6" i="10"/>
  <c r="NTK6" i="10"/>
  <c r="NTO6" i="10"/>
  <c r="NTS6" i="10"/>
  <c r="NTW6" i="10"/>
  <c r="NUA6" i="10"/>
  <c r="NUE6" i="10"/>
  <c r="NUI6" i="10"/>
  <c r="NUM6" i="10"/>
  <c r="NUQ6" i="10"/>
  <c r="NUU6" i="10"/>
  <c r="NUY6" i="10"/>
  <c r="NVC6" i="10"/>
  <c r="NVG6" i="10"/>
  <c r="NVK6" i="10"/>
  <c r="NVO6" i="10"/>
  <c r="NVS6" i="10"/>
  <c r="NVW6" i="10"/>
  <c r="NWA6" i="10"/>
  <c r="NWE6" i="10"/>
  <c r="NWI6" i="10"/>
  <c r="NWM6" i="10"/>
  <c r="NWQ6" i="10"/>
  <c r="NWU6" i="10"/>
  <c r="NWY6" i="10"/>
  <c r="NXC6" i="10"/>
  <c r="NXG6" i="10"/>
  <c r="NXK6" i="10"/>
  <c r="NXO6" i="10"/>
  <c r="NXS6" i="10"/>
  <c r="NXW6" i="10"/>
  <c r="NYA6" i="10"/>
  <c r="NYE6" i="10"/>
  <c r="NYI6" i="10"/>
  <c r="NYM6" i="10"/>
  <c r="NYQ6" i="10"/>
  <c r="NYU6" i="10"/>
  <c r="NYY6" i="10"/>
  <c r="NZC6" i="10"/>
  <c r="NZG6" i="10"/>
  <c r="NZK6" i="10"/>
  <c r="NZO6" i="10"/>
  <c r="NZS6" i="10"/>
  <c r="NZW6" i="10"/>
  <c r="OAA6" i="10"/>
  <c r="OAE6" i="10"/>
  <c r="OAI6" i="10"/>
  <c r="OAM6" i="10"/>
  <c r="OAQ6" i="10"/>
  <c r="OAU6" i="10"/>
  <c r="OAY6" i="10"/>
  <c r="OBC6" i="10"/>
  <c r="OBG6" i="10"/>
  <c r="OBK6" i="10"/>
  <c r="OBO6" i="10"/>
  <c r="OBS6" i="10"/>
  <c r="OBW6" i="10"/>
  <c r="OCA6" i="10"/>
  <c r="OCE6" i="10"/>
  <c r="OCI6" i="10"/>
  <c r="OCM6" i="10"/>
  <c r="OCQ6" i="10"/>
  <c r="OCU6" i="10"/>
  <c r="OCY6" i="10"/>
  <c r="ODC6" i="10"/>
  <c r="ODG6" i="10"/>
  <c r="ODK6" i="10"/>
  <c r="ODO6" i="10"/>
  <c r="ODS6" i="10"/>
  <c r="ODW6" i="10"/>
  <c r="OEA6" i="10"/>
  <c r="OEE6" i="10"/>
  <c r="OEI6" i="10"/>
  <c r="OEM6" i="10"/>
  <c r="OEQ6" i="10"/>
  <c r="OEU6" i="10"/>
  <c r="OEY6" i="10"/>
  <c r="OFC6" i="10"/>
  <c r="OFG6" i="10"/>
  <c r="OFK6" i="10"/>
  <c r="OFO6" i="10"/>
  <c r="OFS6" i="10"/>
  <c r="OFW6" i="10"/>
  <c r="OGA6" i="10"/>
  <c r="OGE6" i="10"/>
  <c r="OGI6" i="10"/>
  <c r="OGM6" i="10"/>
  <c r="OGQ6" i="10"/>
  <c r="OGU6" i="10"/>
  <c r="OGY6" i="10"/>
  <c r="OHC6" i="10"/>
  <c r="OHG6" i="10"/>
  <c r="OHK6" i="10"/>
  <c r="OHO6" i="10"/>
  <c r="OHS6" i="10"/>
  <c r="OHW6" i="10"/>
  <c r="OIA6" i="10"/>
  <c r="OIE6" i="10"/>
  <c r="OII6" i="10"/>
  <c r="OIM6" i="10"/>
  <c r="OIQ6" i="10"/>
  <c r="OIU6" i="10"/>
  <c r="OIY6" i="10"/>
  <c r="OJC6" i="10"/>
  <c r="OJG6" i="10"/>
  <c r="OJK6" i="10"/>
  <c r="OJO6" i="10"/>
  <c r="OJS6" i="10"/>
  <c r="OJW6" i="10"/>
  <c r="OKA6" i="10"/>
  <c r="OKE6" i="10"/>
  <c r="OKI6" i="10"/>
  <c r="OKM6" i="10"/>
  <c r="OKQ6" i="10"/>
  <c r="OKU6" i="10"/>
  <c r="OKY6" i="10"/>
  <c r="OLC6" i="10"/>
  <c r="OLG6" i="10"/>
  <c r="OLK6" i="10"/>
  <c r="OLO6" i="10"/>
  <c r="OLS6" i="10"/>
  <c r="OLW6" i="10"/>
  <c r="OMA6" i="10"/>
  <c r="OME6" i="10"/>
  <c r="OMI6" i="10"/>
  <c r="OMM6" i="10"/>
  <c r="OMQ6" i="10"/>
  <c r="OMU6" i="10"/>
  <c r="OMY6" i="10"/>
  <c r="ONC6" i="10"/>
  <c r="ONG6" i="10"/>
  <c r="ONK6" i="10"/>
  <c r="ONO6" i="10"/>
  <c r="ONS6" i="10"/>
  <c r="ONW6" i="10"/>
  <c r="OOA6" i="10"/>
  <c r="OOE6" i="10"/>
  <c r="OOI6" i="10"/>
  <c r="OOM6" i="10"/>
  <c r="OOQ6" i="10"/>
  <c r="OOU6" i="10"/>
  <c r="OOY6" i="10"/>
  <c r="OPC6" i="10"/>
  <c r="OPG6" i="10"/>
  <c r="OPK6" i="10"/>
  <c r="OPO6" i="10"/>
  <c r="OPS6" i="10"/>
  <c r="OPW6" i="10"/>
  <c r="OQA6" i="10"/>
  <c r="OQE6" i="10"/>
  <c r="OQI6" i="10"/>
  <c r="OQM6" i="10"/>
  <c r="OQQ6" i="10"/>
  <c r="OQU6" i="10"/>
  <c r="OQY6" i="10"/>
  <c r="ORC6" i="10"/>
  <c r="ORG6" i="10"/>
  <c r="ORK6" i="10"/>
  <c r="ORO6" i="10"/>
  <c r="ORS6" i="10"/>
  <c r="ORW6" i="10"/>
  <c r="OSA6" i="10"/>
  <c r="OSE6" i="10"/>
  <c r="OSI6" i="10"/>
  <c r="OSM6" i="10"/>
  <c r="OSQ6" i="10"/>
  <c r="OSU6" i="10"/>
  <c r="OSY6" i="10"/>
  <c r="OTC6" i="10"/>
  <c r="OTG6" i="10"/>
  <c r="OTK6" i="10"/>
  <c r="OTO6" i="10"/>
  <c r="OTS6" i="10"/>
  <c r="OTW6" i="10"/>
  <c r="OUA6" i="10"/>
  <c r="OUE6" i="10"/>
  <c r="OUI6" i="10"/>
  <c r="OUM6" i="10"/>
  <c r="OUQ6" i="10"/>
  <c r="OUU6" i="10"/>
  <c r="OUY6" i="10"/>
  <c r="OVC6" i="10"/>
  <c r="OVG6" i="10"/>
  <c r="OVK6" i="10"/>
  <c r="OVO6" i="10"/>
  <c r="OVS6" i="10"/>
  <c r="OVW6" i="10"/>
  <c r="OWA6" i="10"/>
  <c r="OWE6" i="10"/>
  <c r="OWI6" i="10"/>
  <c r="OWM6" i="10"/>
  <c r="OWQ6" i="10"/>
  <c r="OWU6" i="10"/>
  <c r="OWY6" i="10"/>
  <c r="OXC6" i="10"/>
  <c r="OXG6" i="10"/>
  <c r="OXK6" i="10"/>
  <c r="OXO6" i="10"/>
  <c r="OXS6" i="10"/>
  <c r="OXW6" i="10"/>
  <c r="OYA6" i="10"/>
  <c r="OYE6" i="10"/>
  <c r="OYI6" i="10"/>
  <c r="OYM6" i="10"/>
  <c r="OYQ6" i="10"/>
  <c r="OYU6" i="10"/>
  <c r="OYY6" i="10"/>
  <c r="OZC6" i="10"/>
  <c r="OZG6" i="10"/>
  <c r="OZK6" i="10"/>
  <c r="OZO6" i="10"/>
  <c r="OZS6" i="10"/>
  <c r="OZW6" i="10"/>
  <c r="PAA6" i="10"/>
  <c r="PAE6" i="10"/>
  <c r="PAI6" i="10"/>
  <c r="PAM6" i="10"/>
  <c r="PAQ6" i="10"/>
  <c r="PAU6" i="10"/>
  <c r="PAY6" i="10"/>
  <c r="PBC6" i="10"/>
  <c r="PBG6" i="10"/>
  <c r="PBK6" i="10"/>
  <c r="PBO6" i="10"/>
  <c r="PBS6" i="10"/>
  <c r="PBW6" i="10"/>
  <c r="PCA6" i="10"/>
  <c r="PCE6" i="10"/>
  <c r="PCI6" i="10"/>
  <c r="PCM6" i="10"/>
  <c r="PCQ6" i="10"/>
  <c r="PCU6" i="10"/>
  <c r="PCY6" i="10"/>
  <c r="PDC6" i="10"/>
  <c r="PDG6" i="10"/>
  <c r="PDK6" i="10"/>
  <c r="PDO6" i="10"/>
  <c r="PDS6" i="10"/>
  <c r="PDW6" i="10"/>
  <c r="PEA6" i="10"/>
  <c r="PEE6" i="10"/>
  <c r="PEI6" i="10"/>
  <c r="PEM6" i="10"/>
  <c r="PEQ6" i="10"/>
  <c r="PEU6" i="10"/>
  <c r="PEY6" i="10"/>
  <c r="PFC6" i="10"/>
  <c r="PFG6" i="10"/>
  <c r="PFK6" i="10"/>
  <c r="PFO6" i="10"/>
  <c r="PFS6" i="10"/>
  <c r="PFW6" i="10"/>
  <c r="PGA6" i="10"/>
  <c r="PGE6" i="10"/>
  <c r="PGI6" i="10"/>
  <c r="PGM6" i="10"/>
  <c r="PGQ6" i="10"/>
  <c r="PGU6" i="10"/>
  <c r="PGY6" i="10"/>
  <c r="PHC6" i="10"/>
  <c r="PHG6" i="10"/>
  <c r="PHK6" i="10"/>
  <c r="PHO6" i="10"/>
  <c r="PHS6" i="10"/>
  <c r="PHW6" i="10"/>
  <c r="PIA6" i="10"/>
  <c r="PIE6" i="10"/>
  <c r="PII6" i="10"/>
  <c r="PIM6" i="10"/>
  <c r="PIQ6" i="10"/>
  <c r="PIU6" i="10"/>
  <c r="PIY6" i="10"/>
  <c r="PJC6" i="10"/>
  <c r="PJG6" i="10"/>
  <c r="PJK6" i="10"/>
  <c r="PJO6" i="10"/>
  <c r="PJS6" i="10"/>
  <c r="PJW6" i="10"/>
  <c r="PKA6" i="10"/>
  <c r="PKE6" i="10"/>
  <c r="PKI6" i="10"/>
  <c r="PKM6" i="10"/>
  <c r="PKQ6" i="10"/>
  <c r="PKU6" i="10"/>
  <c r="PKY6" i="10"/>
  <c r="PLC6" i="10"/>
  <c r="PLG6" i="10"/>
  <c r="PLK6" i="10"/>
  <c r="PLO6" i="10"/>
  <c r="PLS6" i="10"/>
  <c r="PLW6" i="10"/>
  <c r="PMA6" i="10"/>
  <c r="PME6" i="10"/>
  <c r="PMI6" i="10"/>
  <c r="PMM6" i="10"/>
  <c r="PMQ6" i="10"/>
  <c r="PMU6" i="10"/>
  <c r="PMY6" i="10"/>
  <c r="PNC6" i="10"/>
  <c r="PNG6" i="10"/>
  <c r="PNK6" i="10"/>
  <c r="PNO6" i="10"/>
  <c r="PNS6" i="10"/>
  <c r="PNW6" i="10"/>
  <c r="POA6" i="10"/>
  <c r="POE6" i="10"/>
  <c r="POI6" i="10"/>
  <c r="POM6" i="10"/>
  <c r="POQ6" i="10"/>
  <c r="POU6" i="10"/>
  <c r="POY6" i="10"/>
  <c r="PPC6" i="10"/>
  <c r="PPG6" i="10"/>
  <c r="PPK6" i="10"/>
  <c r="PPO6" i="10"/>
  <c r="PPS6" i="10"/>
  <c r="PPW6" i="10"/>
  <c r="PQA6" i="10"/>
  <c r="PQE6" i="10"/>
  <c r="PQI6" i="10"/>
  <c r="PQM6" i="10"/>
  <c r="PQQ6" i="10"/>
  <c r="PQU6" i="10"/>
  <c r="PQY6" i="10"/>
  <c r="PRC6" i="10"/>
  <c r="PRG6" i="10"/>
  <c r="PRK6" i="10"/>
  <c r="PRO6" i="10"/>
  <c r="PRS6" i="10"/>
  <c r="PRW6" i="10"/>
  <c r="PSA6" i="10"/>
  <c r="PSE6" i="10"/>
  <c r="PSI6" i="10"/>
  <c r="PSM6" i="10"/>
  <c r="PSQ6" i="10"/>
  <c r="PSU6" i="10"/>
  <c r="PSY6" i="10"/>
  <c r="PTC6" i="10"/>
  <c r="PTG6" i="10"/>
  <c r="PTK6" i="10"/>
  <c r="PTO6" i="10"/>
  <c r="PTS6" i="10"/>
  <c r="PTW6" i="10"/>
  <c r="PUA6" i="10"/>
  <c r="PUE6" i="10"/>
  <c r="PUI6" i="10"/>
  <c r="PUM6" i="10"/>
  <c r="PUQ6" i="10"/>
  <c r="PUU6" i="10"/>
  <c r="PUY6" i="10"/>
  <c r="PVC6" i="10"/>
  <c r="PVG6" i="10"/>
  <c r="PVK6" i="10"/>
  <c r="PVO6" i="10"/>
  <c r="PVS6" i="10"/>
  <c r="PVW6" i="10"/>
  <c r="PWA6" i="10"/>
  <c r="PWE6" i="10"/>
  <c r="PWI6" i="10"/>
  <c r="PWM6" i="10"/>
  <c r="PWQ6" i="10"/>
  <c r="PWU6" i="10"/>
  <c r="PWY6" i="10"/>
  <c r="PXC6" i="10"/>
  <c r="PXG6" i="10"/>
  <c r="PXK6" i="10"/>
  <c r="PXO6" i="10"/>
  <c r="PXS6" i="10"/>
  <c r="PXW6" i="10"/>
  <c r="PYA6" i="10"/>
  <c r="PYE6" i="10"/>
  <c r="PYI6" i="10"/>
  <c r="PYM6" i="10"/>
  <c r="PYQ6" i="10"/>
  <c r="PYU6" i="10"/>
  <c r="PYY6" i="10"/>
  <c r="PZC6" i="10"/>
  <c r="PZG6" i="10"/>
  <c r="PZK6" i="10"/>
  <c r="PZO6" i="10"/>
  <c r="PZS6" i="10"/>
  <c r="PZW6" i="10"/>
  <c r="QAA6" i="10"/>
  <c r="QAE6" i="10"/>
  <c r="QAI6" i="10"/>
  <c r="QAM6" i="10"/>
  <c r="QAQ6" i="10"/>
  <c r="QAU6" i="10"/>
  <c r="QAY6" i="10"/>
  <c r="QBC6" i="10"/>
  <c r="QBG6" i="10"/>
  <c r="QBK6" i="10"/>
  <c r="QBO6" i="10"/>
  <c r="QBS6" i="10"/>
  <c r="QBW6" i="10"/>
  <c r="QCA6" i="10"/>
  <c r="QCE6" i="10"/>
  <c r="QCI6" i="10"/>
  <c r="QCM6" i="10"/>
  <c r="QCQ6" i="10"/>
  <c r="QCU6" i="10"/>
  <c r="QCY6" i="10"/>
  <c r="QDC6" i="10"/>
  <c r="QDG6" i="10"/>
  <c r="QDK6" i="10"/>
  <c r="QDO6" i="10"/>
  <c r="QDS6" i="10"/>
  <c r="QDW6" i="10"/>
  <c r="QEA6" i="10"/>
  <c r="QEE6" i="10"/>
  <c r="QEI6" i="10"/>
  <c r="QEM6" i="10"/>
  <c r="QEQ6" i="10"/>
  <c r="QEU6" i="10"/>
  <c r="QEY6" i="10"/>
  <c r="QFC6" i="10"/>
  <c r="QFG6" i="10"/>
  <c r="QFK6" i="10"/>
  <c r="QFO6" i="10"/>
  <c r="QFS6" i="10"/>
  <c r="QFW6" i="10"/>
  <c r="QGA6" i="10"/>
  <c r="QGE6" i="10"/>
  <c r="QGI6" i="10"/>
  <c r="QGM6" i="10"/>
  <c r="QGQ6" i="10"/>
  <c r="QGU6" i="10"/>
  <c r="QGY6" i="10"/>
  <c r="QHC6" i="10"/>
  <c r="QHG6" i="10"/>
  <c r="QHK6" i="10"/>
  <c r="QHO6" i="10"/>
  <c r="QHS6" i="10"/>
  <c r="QHW6" i="10"/>
  <c r="QIA6" i="10"/>
  <c r="QIE6" i="10"/>
  <c r="QII6" i="10"/>
  <c r="QIM6" i="10"/>
  <c r="QIQ6" i="10"/>
  <c r="QIU6" i="10"/>
  <c r="QIY6" i="10"/>
  <c r="QJC6" i="10"/>
  <c r="QJG6" i="10"/>
  <c r="QJK6" i="10"/>
  <c r="QJO6" i="10"/>
  <c r="QJS6" i="10"/>
  <c r="QJW6" i="10"/>
  <c r="QKA6" i="10"/>
  <c r="QKE6" i="10"/>
  <c r="QKI6" i="10"/>
  <c r="QKM6" i="10"/>
  <c r="QKQ6" i="10"/>
  <c r="QKU6" i="10"/>
  <c r="QKY6" i="10"/>
  <c r="QLC6" i="10"/>
  <c r="QLG6" i="10"/>
  <c r="QLK6" i="10"/>
  <c r="QLO6" i="10"/>
  <c r="QLS6" i="10"/>
  <c r="QLW6" i="10"/>
  <c r="QMA6" i="10"/>
  <c r="QME6" i="10"/>
  <c r="QMI6" i="10"/>
  <c r="QMM6" i="10"/>
  <c r="QMQ6" i="10"/>
  <c r="QMU6" i="10"/>
  <c r="QMY6" i="10"/>
  <c r="QNC6" i="10"/>
  <c r="QNG6" i="10"/>
  <c r="QNK6" i="10"/>
  <c r="QNO6" i="10"/>
  <c r="QNS6" i="10"/>
  <c r="QNW6" i="10"/>
  <c r="QOA6" i="10"/>
  <c r="QOE6" i="10"/>
  <c r="QOI6" i="10"/>
  <c r="QOM6" i="10"/>
  <c r="QOQ6" i="10"/>
  <c r="QOU6" i="10"/>
  <c r="QOY6" i="10"/>
  <c r="QPC6" i="10"/>
  <c r="QPG6" i="10"/>
  <c r="QPK6" i="10"/>
  <c r="QPO6" i="10"/>
  <c r="QPS6" i="10"/>
  <c r="QPW6" i="10"/>
  <c r="QQA6" i="10"/>
  <c r="QQE6" i="10"/>
  <c r="QQI6" i="10"/>
  <c r="QQM6" i="10"/>
  <c r="QQQ6" i="10"/>
  <c r="QQU6" i="10"/>
  <c r="QQY6" i="10"/>
  <c r="QRC6" i="10"/>
  <c r="QRG6" i="10"/>
  <c r="QRK6" i="10"/>
  <c r="QRO6" i="10"/>
  <c r="QRS6" i="10"/>
  <c r="QRW6" i="10"/>
  <c r="QSA6" i="10"/>
  <c r="QSE6" i="10"/>
  <c r="QSI6" i="10"/>
  <c r="QSM6" i="10"/>
  <c r="QSQ6" i="10"/>
  <c r="QSU6" i="10"/>
  <c r="QSY6" i="10"/>
  <c r="QTC6" i="10"/>
  <c r="QTG6" i="10"/>
  <c r="QTK6" i="10"/>
  <c r="QTO6" i="10"/>
  <c r="QTS6" i="10"/>
  <c r="QTW6" i="10"/>
  <c r="QUA6" i="10"/>
  <c r="QUE6" i="10"/>
  <c r="QUI6" i="10"/>
  <c r="QUM6" i="10"/>
  <c r="QUQ6" i="10"/>
  <c r="QUU6" i="10"/>
  <c r="QUY6" i="10"/>
  <c r="QVC6" i="10"/>
  <c r="QVG6" i="10"/>
  <c r="QVK6" i="10"/>
  <c r="QVO6" i="10"/>
  <c r="QVS6" i="10"/>
  <c r="QVW6" i="10"/>
  <c r="QWA6" i="10"/>
  <c r="QWE6" i="10"/>
  <c r="QWI6" i="10"/>
  <c r="QWM6" i="10"/>
  <c r="QWQ6" i="10"/>
  <c r="QWU6" i="10"/>
  <c r="QWY6" i="10"/>
  <c r="QXC6" i="10"/>
  <c r="QXG6" i="10"/>
  <c r="QXK6" i="10"/>
  <c r="QXO6" i="10"/>
  <c r="QXS6" i="10"/>
  <c r="QXW6" i="10"/>
  <c r="QYA6" i="10"/>
  <c r="QYE6" i="10"/>
  <c r="QYI6" i="10"/>
  <c r="QYM6" i="10"/>
  <c r="QYQ6" i="10"/>
  <c r="QYU6" i="10"/>
  <c r="QYY6" i="10"/>
  <c r="QZC6" i="10"/>
  <c r="QZG6" i="10"/>
  <c r="QZK6" i="10"/>
  <c r="QZO6" i="10"/>
  <c r="QZS6" i="10"/>
  <c r="QZW6" i="10"/>
  <c r="RAA6" i="10"/>
  <c r="RAE6" i="10"/>
  <c r="RAI6" i="10"/>
  <c r="RAM6" i="10"/>
  <c r="RAQ6" i="10"/>
  <c r="RAU6" i="10"/>
  <c r="RAY6" i="10"/>
  <c r="RBC6" i="10"/>
  <c r="RBG6" i="10"/>
  <c r="RBK6" i="10"/>
  <c r="RBO6" i="10"/>
  <c r="RBS6" i="10"/>
  <c r="RBW6" i="10"/>
  <c r="RCA6" i="10"/>
  <c r="RCE6" i="10"/>
  <c r="RCI6" i="10"/>
  <c r="RCM6" i="10"/>
  <c r="RCQ6" i="10"/>
  <c r="RCU6" i="10"/>
  <c r="RCY6" i="10"/>
  <c r="RDC6" i="10"/>
  <c r="RDG6" i="10"/>
  <c r="RDK6" i="10"/>
  <c r="RDO6" i="10"/>
  <c r="RDS6" i="10"/>
  <c r="RDW6" i="10"/>
  <c r="REA6" i="10"/>
  <c r="REE6" i="10"/>
  <c r="REI6" i="10"/>
  <c r="REM6" i="10"/>
  <c r="REQ6" i="10"/>
  <c r="REU6" i="10"/>
  <c r="REY6" i="10"/>
  <c r="RFC6" i="10"/>
  <c r="RFG6" i="10"/>
  <c r="RFK6" i="10"/>
  <c r="RFO6" i="10"/>
  <c r="RFS6" i="10"/>
  <c r="RFW6" i="10"/>
  <c r="RGA6" i="10"/>
  <c r="RGE6" i="10"/>
  <c r="RGI6" i="10"/>
  <c r="RGM6" i="10"/>
  <c r="RGQ6" i="10"/>
  <c r="RGU6" i="10"/>
  <c r="RGY6" i="10"/>
  <c r="RHC6" i="10"/>
  <c r="RHG6" i="10"/>
  <c r="RHK6" i="10"/>
  <c r="RHO6" i="10"/>
  <c r="RHS6" i="10"/>
  <c r="RHW6" i="10"/>
  <c r="RIA6" i="10"/>
  <c r="RIE6" i="10"/>
  <c r="RII6" i="10"/>
  <c r="RIM6" i="10"/>
  <c r="RIQ6" i="10"/>
  <c r="RIU6" i="10"/>
  <c r="RIY6" i="10"/>
  <c r="RJC6" i="10"/>
  <c r="RJG6" i="10"/>
  <c r="RJK6" i="10"/>
  <c r="RJO6" i="10"/>
  <c r="RJS6" i="10"/>
  <c r="RJW6" i="10"/>
  <c r="RKA6" i="10"/>
  <c r="RKE6" i="10"/>
  <c r="RKI6" i="10"/>
  <c r="RKM6" i="10"/>
  <c r="RKQ6" i="10"/>
  <c r="RKU6" i="10"/>
  <c r="RKY6" i="10"/>
  <c r="RLC6" i="10"/>
  <c r="RLG6" i="10"/>
  <c r="RLK6" i="10"/>
  <c r="RLO6" i="10"/>
  <c r="RLS6" i="10"/>
  <c r="RLW6" i="10"/>
  <c r="RMA6" i="10"/>
  <c r="RME6" i="10"/>
  <c r="RMI6" i="10"/>
  <c r="RMM6" i="10"/>
  <c r="RMQ6" i="10"/>
  <c r="RMU6" i="10"/>
  <c r="RMY6" i="10"/>
  <c r="RNC6" i="10"/>
  <c r="RNG6" i="10"/>
  <c r="RNK6" i="10"/>
  <c r="RNO6" i="10"/>
  <c r="RNS6" i="10"/>
  <c r="RNW6" i="10"/>
  <c r="ROA6" i="10"/>
  <c r="ROE6" i="10"/>
  <c r="ROI6" i="10"/>
  <c r="ROM6" i="10"/>
  <c r="ROQ6" i="10"/>
  <c r="ROU6" i="10"/>
  <c r="ROY6" i="10"/>
  <c r="RPC6" i="10"/>
  <c r="RPG6" i="10"/>
  <c r="RPK6" i="10"/>
  <c r="RPO6" i="10"/>
  <c r="RPS6" i="10"/>
  <c r="RPW6" i="10"/>
  <c r="RQA6" i="10"/>
  <c r="RQE6" i="10"/>
  <c r="RQI6" i="10"/>
  <c r="RQM6" i="10"/>
  <c r="RQQ6" i="10"/>
  <c r="RQU6" i="10"/>
  <c r="RQY6" i="10"/>
  <c r="RRC6" i="10"/>
  <c r="RRG6" i="10"/>
  <c r="RRK6" i="10"/>
  <c r="RRO6" i="10"/>
  <c r="RRS6" i="10"/>
  <c r="RRW6" i="10"/>
  <c r="RSA6" i="10"/>
  <c r="RSE6" i="10"/>
  <c r="RSI6" i="10"/>
  <c r="RSM6" i="10"/>
  <c r="RSQ6" i="10"/>
  <c r="RSU6" i="10"/>
  <c r="RSY6" i="10"/>
  <c r="RTC6" i="10"/>
  <c r="RTG6" i="10"/>
  <c r="RTK6" i="10"/>
  <c r="RTO6" i="10"/>
  <c r="RTS6" i="10"/>
  <c r="RTW6" i="10"/>
  <c r="RUA6" i="10"/>
  <c r="RUE6" i="10"/>
  <c r="RUI6" i="10"/>
  <c r="RUM6" i="10"/>
  <c r="RUQ6" i="10"/>
  <c r="RUU6" i="10"/>
  <c r="RUY6" i="10"/>
  <c r="RVC6" i="10"/>
  <c r="RVG6" i="10"/>
  <c r="RVK6" i="10"/>
  <c r="RVO6" i="10"/>
  <c r="RVS6" i="10"/>
  <c r="RVW6" i="10"/>
  <c r="RWA6" i="10"/>
  <c r="RWE6" i="10"/>
  <c r="RWI6" i="10"/>
  <c r="RWM6" i="10"/>
  <c r="RWQ6" i="10"/>
  <c r="RWU6" i="10"/>
  <c r="RWY6" i="10"/>
  <c r="RXC6" i="10"/>
  <c r="RXG6" i="10"/>
  <c r="RXK6" i="10"/>
  <c r="RXO6" i="10"/>
  <c r="RXS6" i="10"/>
  <c r="RXW6" i="10"/>
  <c r="RYA6" i="10"/>
  <c r="RYE6" i="10"/>
  <c r="RYI6" i="10"/>
  <c r="RYM6" i="10"/>
  <c r="RYQ6" i="10"/>
  <c r="RYU6" i="10"/>
  <c r="RYY6" i="10"/>
  <c r="RZC6" i="10"/>
  <c r="RZG6" i="10"/>
  <c r="RZK6" i="10"/>
  <c r="RZO6" i="10"/>
  <c r="RZS6" i="10"/>
  <c r="RZW6" i="10"/>
  <c r="SAA6" i="10"/>
  <c r="SAE6" i="10"/>
  <c r="SAI6" i="10"/>
  <c r="SAM6" i="10"/>
  <c r="SAQ6" i="10"/>
  <c r="SAU6" i="10"/>
  <c r="SAY6" i="10"/>
  <c r="SBC6" i="10"/>
  <c r="SBG6" i="10"/>
  <c r="SBK6" i="10"/>
  <c r="SBO6" i="10"/>
  <c r="SBS6" i="10"/>
  <c r="SBW6" i="10"/>
  <c r="SCA6" i="10"/>
  <c r="SCE6" i="10"/>
  <c r="SCI6" i="10"/>
  <c r="SCM6" i="10"/>
  <c r="SCQ6" i="10"/>
  <c r="SCU6" i="10"/>
  <c r="SCY6" i="10"/>
  <c r="SDC6" i="10"/>
  <c r="SDG6" i="10"/>
  <c r="SDK6" i="10"/>
  <c r="SDO6" i="10"/>
  <c r="SDS6" i="10"/>
  <c r="SDW6" i="10"/>
  <c r="SEA6" i="10"/>
  <c r="SEE6" i="10"/>
  <c r="SEI6" i="10"/>
  <c r="SEM6" i="10"/>
  <c r="SEQ6" i="10"/>
  <c r="SEU6" i="10"/>
  <c r="SEY6" i="10"/>
  <c r="SFC6" i="10"/>
  <c r="SFG6" i="10"/>
  <c r="SFK6" i="10"/>
  <c r="SFO6" i="10"/>
  <c r="SFS6" i="10"/>
  <c r="SFW6" i="10"/>
  <c r="SGA6" i="10"/>
  <c r="SGE6" i="10"/>
  <c r="SGI6" i="10"/>
  <c r="SGM6" i="10"/>
  <c r="SGQ6" i="10"/>
  <c r="SGU6" i="10"/>
  <c r="SGY6" i="10"/>
  <c r="SHC6" i="10"/>
  <c r="SHG6" i="10"/>
  <c r="SHK6" i="10"/>
  <c r="SHO6" i="10"/>
  <c r="SHS6" i="10"/>
  <c r="SHW6" i="10"/>
  <c r="SIA6" i="10"/>
  <c r="SIE6" i="10"/>
  <c r="SII6" i="10"/>
  <c r="SIM6" i="10"/>
  <c r="SIQ6" i="10"/>
  <c r="SIU6" i="10"/>
  <c r="SIY6" i="10"/>
  <c r="SJC6" i="10"/>
  <c r="SJG6" i="10"/>
  <c r="SJK6" i="10"/>
  <c r="SJO6" i="10"/>
  <c r="SJS6" i="10"/>
  <c r="SJW6" i="10"/>
  <c r="SKA6" i="10"/>
  <c r="SKE6" i="10"/>
  <c r="SKI6" i="10"/>
  <c r="SKM6" i="10"/>
  <c r="SKQ6" i="10"/>
  <c r="SKU6" i="10"/>
  <c r="SKY6" i="10"/>
  <c r="SLC6" i="10"/>
  <c r="SLG6" i="10"/>
  <c r="SLK6" i="10"/>
  <c r="SLO6" i="10"/>
  <c r="SLS6" i="10"/>
  <c r="SLW6" i="10"/>
  <c r="SMA6" i="10"/>
  <c r="SME6" i="10"/>
  <c r="SMI6" i="10"/>
  <c r="SMM6" i="10"/>
  <c r="SMQ6" i="10"/>
  <c r="SMU6" i="10"/>
  <c r="SMY6" i="10"/>
  <c r="SNC6" i="10"/>
  <c r="SNG6" i="10"/>
  <c r="SNK6" i="10"/>
  <c r="SNO6" i="10"/>
  <c r="SNS6" i="10"/>
  <c r="SNW6" i="10"/>
  <c r="SOA6" i="10"/>
  <c r="SOE6" i="10"/>
  <c r="SOI6" i="10"/>
  <c r="SOM6" i="10"/>
  <c r="SOQ6" i="10"/>
  <c r="SOU6" i="10"/>
  <c r="SOY6" i="10"/>
  <c r="SPC6" i="10"/>
  <c r="SPG6" i="10"/>
  <c r="SPK6" i="10"/>
  <c r="SPO6" i="10"/>
  <c r="SPS6" i="10"/>
  <c r="SPW6" i="10"/>
  <c r="SQA6" i="10"/>
  <c r="SQE6" i="10"/>
  <c r="SQI6" i="10"/>
  <c r="SQM6" i="10"/>
  <c r="SQQ6" i="10"/>
  <c r="SQU6" i="10"/>
  <c r="SQY6" i="10"/>
  <c r="SRC6" i="10"/>
  <c r="SRG6" i="10"/>
  <c r="SRK6" i="10"/>
  <c r="SRO6" i="10"/>
  <c r="SRS6" i="10"/>
  <c r="SRW6" i="10"/>
  <c r="SSA6" i="10"/>
  <c r="SSE6" i="10"/>
  <c r="SSI6" i="10"/>
  <c r="SSM6" i="10"/>
  <c r="SSQ6" i="10"/>
  <c r="SSU6" i="10"/>
  <c r="SSY6" i="10"/>
  <c r="STC6" i="10"/>
  <c r="STG6" i="10"/>
  <c r="STK6" i="10"/>
  <c r="STO6" i="10"/>
  <c r="STS6" i="10"/>
  <c r="STW6" i="10"/>
  <c r="SUA6" i="10"/>
  <c r="SUE6" i="10"/>
  <c r="SUI6" i="10"/>
  <c r="SUM6" i="10"/>
  <c r="SUQ6" i="10"/>
  <c r="SUU6" i="10"/>
  <c r="SUY6" i="10"/>
  <c r="SVC6" i="10"/>
  <c r="SVG6" i="10"/>
  <c r="SVK6" i="10"/>
  <c r="SVO6" i="10"/>
  <c r="SVS6" i="10"/>
  <c r="SVW6" i="10"/>
  <c r="SWA6" i="10"/>
  <c r="SWE6" i="10"/>
  <c r="SWI6" i="10"/>
  <c r="SWM6" i="10"/>
  <c r="SWQ6" i="10"/>
  <c r="SWU6" i="10"/>
  <c r="SWY6" i="10"/>
  <c r="SXC6" i="10"/>
  <c r="SXG6" i="10"/>
  <c r="SXK6" i="10"/>
  <c r="SXO6" i="10"/>
  <c r="SXS6" i="10"/>
  <c r="SXW6" i="10"/>
  <c r="SYA6" i="10"/>
  <c r="SYE6" i="10"/>
  <c r="SYI6" i="10"/>
  <c r="SYM6" i="10"/>
  <c r="SYQ6" i="10"/>
  <c r="SYU6" i="10"/>
  <c r="SYY6" i="10"/>
  <c r="SZC6" i="10"/>
  <c r="SZG6" i="10"/>
  <c r="SZK6" i="10"/>
  <c r="SZO6" i="10"/>
  <c r="SZS6" i="10"/>
  <c r="SZW6" i="10"/>
  <c r="TAA6" i="10"/>
  <c r="TAE6" i="10"/>
  <c r="TAI6" i="10"/>
  <c r="TAM6" i="10"/>
  <c r="TAQ6" i="10"/>
  <c r="TAU6" i="10"/>
  <c r="TAY6" i="10"/>
  <c r="TBC6" i="10"/>
  <c r="TBG6" i="10"/>
  <c r="TBK6" i="10"/>
  <c r="TBO6" i="10"/>
  <c r="TBS6" i="10"/>
  <c r="TBW6" i="10"/>
  <c r="TCA6" i="10"/>
  <c r="TCE6" i="10"/>
  <c r="TCI6" i="10"/>
  <c r="TCM6" i="10"/>
  <c r="TCQ6" i="10"/>
  <c r="TCU6" i="10"/>
  <c r="TCY6" i="10"/>
  <c r="TDC6" i="10"/>
  <c r="TDG6" i="10"/>
  <c r="TDK6" i="10"/>
  <c r="TDO6" i="10"/>
  <c r="TDS6" i="10"/>
  <c r="TDW6" i="10"/>
  <c r="TEA6" i="10"/>
  <c r="TEE6" i="10"/>
  <c r="TEI6" i="10"/>
  <c r="TEM6" i="10"/>
  <c r="TEQ6" i="10"/>
  <c r="TEU6" i="10"/>
  <c r="TEY6" i="10"/>
  <c r="TFC6" i="10"/>
  <c r="TFG6" i="10"/>
  <c r="TFK6" i="10"/>
  <c r="TFO6" i="10"/>
  <c r="TFS6" i="10"/>
  <c r="TFW6" i="10"/>
  <c r="TGA6" i="10"/>
  <c r="TGE6" i="10"/>
  <c r="TGI6" i="10"/>
  <c r="TGM6" i="10"/>
  <c r="TGQ6" i="10"/>
  <c r="TGU6" i="10"/>
  <c r="TGY6" i="10"/>
  <c r="THC6" i="10"/>
  <c r="THG6" i="10"/>
  <c r="THK6" i="10"/>
  <c r="THO6" i="10"/>
  <c r="THS6" i="10"/>
  <c r="THW6" i="10"/>
  <c r="TIA6" i="10"/>
  <c r="TIE6" i="10"/>
  <c r="TII6" i="10"/>
  <c r="TIM6" i="10"/>
  <c r="TIQ6" i="10"/>
  <c r="TIU6" i="10"/>
  <c r="TIY6" i="10"/>
  <c r="TJC6" i="10"/>
  <c r="TJG6" i="10"/>
  <c r="TJK6" i="10"/>
  <c r="TJO6" i="10"/>
  <c r="TJS6" i="10"/>
  <c r="TJW6" i="10"/>
  <c r="TKA6" i="10"/>
  <c r="TKE6" i="10"/>
  <c r="TKI6" i="10"/>
  <c r="TKM6" i="10"/>
  <c r="TKQ6" i="10"/>
  <c r="TKU6" i="10"/>
  <c r="TKY6" i="10"/>
  <c r="TLC6" i="10"/>
  <c r="TLG6" i="10"/>
  <c r="TLK6" i="10"/>
  <c r="TLO6" i="10"/>
  <c r="TLS6" i="10"/>
  <c r="TLW6" i="10"/>
  <c r="DOD6" i="10"/>
  <c r="DXZ6" i="10"/>
  <c r="EHV6" i="10"/>
  <c r="ERR6" i="10"/>
  <c r="FBN6" i="10"/>
  <c r="FIJ6" i="10"/>
  <c r="FKV6" i="10"/>
  <c r="FNH6" i="10"/>
  <c r="FPT6" i="10"/>
  <c r="FSF6" i="10"/>
  <c r="FUR6" i="10"/>
  <c r="FXD6" i="10"/>
  <c r="FZP6" i="10"/>
  <c r="GCB6" i="10"/>
  <c r="GEN6" i="10"/>
  <c r="GGZ6" i="10"/>
  <c r="GJL6" i="10"/>
  <c r="GLX6" i="10"/>
  <c r="GOJ6" i="10"/>
  <c r="GQV6" i="10"/>
  <c r="GTH6" i="10"/>
  <c r="GVT6" i="10"/>
  <c r="GYF6" i="10"/>
  <c r="HAR6" i="10"/>
  <c r="HDD6" i="10"/>
  <c r="HFP6" i="10"/>
  <c r="HIB6" i="10"/>
  <c r="HKN6" i="10"/>
  <c r="HMZ6" i="10"/>
  <c r="HPL6" i="10"/>
  <c r="HRX6" i="10"/>
  <c r="HUF6" i="10"/>
  <c r="HVL6" i="10"/>
  <c r="HWR6" i="10"/>
  <c r="HXX6" i="10"/>
  <c r="HZD6" i="10"/>
  <c r="IAJ6" i="10"/>
  <c r="IBP6" i="10"/>
  <c r="ICV6" i="10"/>
  <c r="IEB6" i="10"/>
  <c r="IFH6" i="10"/>
  <c r="IGN6" i="10"/>
  <c r="IHT6" i="10"/>
  <c r="IIZ6" i="10"/>
  <c r="IKF6" i="10"/>
  <c r="ILL6" i="10"/>
  <c r="IMR6" i="10"/>
  <c r="INX6" i="10"/>
  <c r="IPD6" i="10"/>
  <c r="IQJ6" i="10"/>
  <c r="IRP6" i="10"/>
  <c r="ISV6" i="10"/>
  <c r="IUB6" i="10"/>
  <c r="IVF6" i="10"/>
  <c r="IVV6" i="10"/>
  <c r="IWL6" i="10"/>
  <c r="IXB6" i="10"/>
  <c r="IXR6" i="10"/>
  <c r="IYH6" i="10"/>
  <c r="IYX6" i="10"/>
  <c r="IZN6" i="10"/>
  <c r="JAD6" i="10"/>
  <c r="JAT6" i="10"/>
  <c r="JBJ6" i="10"/>
  <c r="JBZ6" i="10"/>
  <c r="JCP6" i="10"/>
  <c r="JDF6" i="10"/>
  <c r="JDV6" i="10"/>
  <c r="JEL6" i="10"/>
  <c r="JFB6" i="10"/>
  <c r="JFR6" i="10"/>
  <c r="JGH6" i="10"/>
  <c r="JGX6" i="10"/>
  <c r="JHN6" i="10"/>
  <c r="JID6" i="10"/>
  <c r="JIT6" i="10"/>
  <c r="JJJ6" i="10"/>
  <c r="JJZ6" i="10"/>
  <c r="JKP6" i="10"/>
  <c r="JLF6" i="10"/>
  <c r="JLV6" i="10"/>
  <c r="JML6" i="10"/>
  <c r="JNB6" i="10"/>
  <c r="JNR6" i="10"/>
  <c r="JOH6" i="10"/>
  <c r="JOX6" i="10"/>
  <c r="JPN6" i="10"/>
  <c r="JQD6" i="10"/>
  <c r="JQT6" i="10"/>
  <c r="JRJ6" i="10"/>
  <c r="JRZ6" i="10"/>
  <c r="JSP6" i="10"/>
  <c r="JTF6" i="10"/>
  <c r="JTV6" i="10"/>
  <c r="JUL6" i="10"/>
  <c r="JVB6" i="10"/>
  <c r="JVR6" i="10"/>
  <c r="JWH6" i="10"/>
  <c r="JWX6" i="10"/>
  <c r="JXN6" i="10"/>
  <c r="JYD6" i="10"/>
  <c r="JYT6" i="10"/>
  <c r="JZJ6" i="10"/>
  <c r="JZZ6" i="10"/>
  <c r="KAP6" i="10"/>
  <c r="KBF6" i="10"/>
  <c r="KBV6" i="10"/>
  <c r="KCL6" i="10"/>
  <c r="KDB6" i="10"/>
  <c r="KDR6" i="10"/>
  <c r="KEH6" i="10"/>
  <c r="KEX6" i="10"/>
  <c r="KFN6" i="10"/>
  <c r="KGD6" i="10"/>
  <c r="KGT6" i="10"/>
  <c r="KHJ6" i="10"/>
  <c r="KHZ6" i="10"/>
  <c r="KIP6" i="10"/>
  <c r="KJF6" i="10"/>
  <c r="KJV6" i="10"/>
  <c r="KKL6" i="10"/>
  <c r="KLB6" i="10"/>
  <c r="KLR6" i="10"/>
  <c r="KMH6" i="10"/>
  <c r="KMX6" i="10"/>
  <c r="KNN6" i="10"/>
  <c r="KOD6" i="10"/>
  <c r="KOT6" i="10"/>
  <c r="KPJ6" i="10"/>
  <c r="KPZ6" i="10"/>
  <c r="KQP6" i="10"/>
  <c r="KRF6" i="10"/>
  <c r="KRV6" i="10"/>
  <c r="KSL6" i="10"/>
  <c r="KTB6" i="10"/>
  <c r="KTR6" i="10"/>
  <c r="KUH6" i="10"/>
  <c r="KUX6" i="10"/>
  <c r="KVN6" i="10"/>
  <c r="KWD6" i="10"/>
  <c r="KWT6" i="10"/>
  <c r="KXJ6" i="10"/>
  <c r="KXZ6" i="10"/>
  <c r="KYP6" i="10"/>
  <c r="KZF6" i="10"/>
  <c r="KZV6" i="10"/>
  <c r="LAL6" i="10"/>
  <c r="LBB6" i="10"/>
  <c r="LBR6" i="10"/>
  <c r="LCH6" i="10"/>
  <c r="LCX6" i="10"/>
  <c r="LDN6" i="10"/>
  <c r="LED6" i="10"/>
  <c r="LET6" i="10"/>
  <c r="LFJ6" i="10"/>
  <c r="LFZ6" i="10"/>
  <c r="LGP6" i="10"/>
  <c r="LHF6" i="10"/>
  <c r="LHV6" i="10"/>
  <c r="LIL6" i="10"/>
  <c r="LJB6" i="10"/>
  <c r="LJR6" i="10"/>
  <c r="LKH6" i="10"/>
  <c r="LKX6" i="10"/>
  <c r="LLN6" i="10"/>
  <c r="LMD6" i="10"/>
  <c r="LMT6" i="10"/>
  <c r="LNJ6" i="10"/>
  <c r="LNZ6" i="10"/>
  <c r="LOP6" i="10"/>
  <c r="LPE6" i="10"/>
  <c r="LPM6" i="10"/>
  <c r="LPU6" i="10"/>
  <c r="LQC6" i="10"/>
  <c r="LQK6" i="10"/>
  <c r="LQS6" i="10"/>
  <c r="LRA6" i="10"/>
  <c r="LRI6" i="10"/>
  <c r="LRQ6" i="10"/>
  <c r="LRY6" i="10"/>
  <c r="LSG6" i="10"/>
  <c r="LSO6" i="10"/>
  <c r="LSW6" i="10"/>
  <c r="LTE6" i="10"/>
  <c r="LTM6" i="10"/>
  <c r="LTU6" i="10"/>
  <c r="LUC6" i="10"/>
  <c r="LUK6" i="10"/>
  <c r="LUS6" i="10"/>
  <c r="LVA6" i="10"/>
  <c r="LVI6" i="10"/>
  <c r="LVQ6" i="10"/>
  <c r="LVY6" i="10"/>
  <c r="LWG6" i="10"/>
  <c r="LWO6" i="10"/>
  <c r="LWW6" i="10"/>
  <c r="LXE6" i="10"/>
  <c r="LXM6" i="10"/>
  <c r="LXU6" i="10"/>
  <c r="LYC6" i="10"/>
  <c r="LYK6" i="10"/>
  <c r="LYS6" i="10"/>
  <c r="LZA6" i="10"/>
  <c r="LZI6" i="10"/>
  <c r="LZQ6" i="10"/>
  <c r="LZY6" i="10"/>
  <c r="MAG6" i="10"/>
  <c r="MAO6" i="10"/>
  <c r="MAW6" i="10"/>
  <c r="MBE6" i="10"/>
  <c r="MBM6" i="10"/>
  <c r="MBU6" i="10"/>
  <c r="MCC6" i="10"/>
  <c r="MCK6" i="10"/>
  <c r="MCS6" i="10"/>
  <c r="MDA6" i="10"/>
  <c r="MDI6" i="10"/>
  <c r="MDQ6" i="10"/>
  <c r="MDY6" i="10"/>
  <c r="MEG6" i="10"/>
  <c r="MEO6" i="10"/>
  <c r="MEW6" i="10"/>
  <c r="MFE6" i="10"/>
  <c r="MFM6" i="10"/>
  <c r="MFU6" i="10"/>
  <c r="MGC6" i="10"/>
  <c r="MGK6" i="10"/>
  <c r="MGS6" i="10"/>
  <c r="MHA6" i="10"/>
  <c r="MHI6" i="10"/>
  <c r="MHQ6" i="10"/>
  <c r="MHY6" i="10"/>
  <c r="MIG6" i="10"/>
  <c r="MIO6" i="10"/>
  <c r="MIW6" i="10"/>
  <c r="MJE6" i="10"/>
  <c r="MJM6" i="10"/>
  <c r="MJU6" i="10"/>
  <c r="MKC6" i="10"/>
  <c r="MKK6" i="10"/>
  <c r="MKS6" i="10"/>
  <c r="MLA6" i="10"/>
  <c r="MLI6" i="10"/>
  <c r="MLQ6" i="10"/>
  <c r="MLY6" i="10"/>
  <c r="MMG6" i="10"/>
  <c r="MMO6" i="10"/>
  <c r="MMW6" i="10"/>
  <c r="MNE6" i="10"/>
  <c r="MNM6" i="10"/>
  <c r="MNU6" i="10"/>
  <c r="MOC6" i="10"/>
  <c r="MOK6" i="10"/>
  <c r="MOS6" i="10"/>
  <c r="MPA6" i="10"/>
  <c r="MPI6" i="10"/>
  <c r="MPQ6" i="10"/>
  <c r="MPY6" i="10"/>
  <c r="MQG6" i="10"/>
  <c r="MQO6" i="10"/>
  <c r="MQW6" i="10"/>
  <c r="MRE6" i="10"/>
  <c r="MRM6" i="10"/>
  <c r="MRU6" i="10"/>
  <c r="MSC6" i="10"/>
  <c r="MSK6" i="10"/>
  <c r="MSS6" i="10"/>
  <c r="MTA6" i="10"/>
  <c r="MTI6" i="10"/>
  <c r="MTQ6" i="10"/>
  <c r="MTY6" i="10"/>
  <c r="MUG6" i="10"/>
  <c r="MUO6" i="10"/>
  <c r="MUW6" i="10"/>
  <c r="MVE6" i="10"/>
  <c r="MVM6" i="10"/>
  <c r="MVU6" i="10"/>
  <c r="MWC6" i="10"/>
  <c r="MWK6" i="10"/>
  <c r="MWS6" i="10"/>
  <c r="MXA6" i="10"/>
  <c r="MXI6" i="10"/>
  <c r="MXQ6" i="10"/>
  <c r="MXY6" i="10"/>
  <c r="MYG6" i="10"/>
  <c r="MYO6" i="10"/>
  <c r="MYW6" i="10"/>
  <c r="MZE6" i="10"/>
  <c r="MZM6" i="10"/>
  <c r="MZU6" i="10"/>
  <c r="NAC6" i="10"/>
  <c r="NAK6" i="10"/>
  <c r="NAS6" i="10"/>
  <c r="NBA6" i="10"/>
  <c r="NBI6" i="10"/>
  <c r="NBQ6" i="10"/>
  <c r="NBY6" i="10"/>
  <c r="NCG6" i="10"/>
  <c r="NCO6" i="10"/>
  <c r="NCW6" i="10"/>
  <c r="NDE6" i="10"/>
  <c r="NDM6" i="10"/>
  <c r="NDU6" i="10"/>
  <c r="NEC6" i="10"/>
  <c r="NEK6" i="10"/>
  <c r="NES6" i="10"/>
  <c r="NFA6" i="10"/>
  <c r="NFH6" i="10"/>
  <c r="NFL6" i="10"/>
  <c r="NFP6" i="10"/>
  <c r="NFT6" i="10"/>
  <c r="NFX6" i="10"/>
  <c r="NGB6" i="10"/>
  <c r="NGF6" i="10"/>
  <c r="NGJ6" i="10"/>
  <c r="NGN6" i="10"/>
  <c r="NGR6" i="10"/>
  <c r="NGV6" i="10"/>
  <c r="NGZ6" i="10"/>
  <c r="NHD6" i="10"/>
  <c r="NHH6" i="10"/>
  <c r="NHL6" i="10"/>
  <c r="NHP6" i="10"/>
  <c r="NHT6" i="10"/>
  <c r="NHX6" i="10"/>
  <c r="NIB6" i="10"/>
  <c r="NIF6" i="10"/>
  <c r="NIJ6" i="10"/>
  <c r="NIN6" i="10"/>
  <c r="NIR6" i="10"/>
  <c r="NIV6" i="10"/>
  <c r="NIZ6" i="10"/>
  <c r="NJD6" i="10"/>
  <c r="NJH6" i="10"/>
  <c r="NJL6" i="10"/>
  <c r="NJP6" i="10"/>
  <c r="NJT6" i="10"/>
  <c r="NJX6" i="10"/>
  <c r="NKB6" i="10"/>
  <c r="NKF6" i="10"/>
  <c r="NKJ6" i="10"/>
  <c r="NKN6" i="10"/>
  <c r="NKR6" i="10"/>
  <c r="NKV6" i="10"/>
  <c r="NKZ6" i="10"/>
  <c r="NLD6" i="10"/>
  <c r="NLH6" i="10"/>
  <c r="NLL6" i="10"/>
  <c r="NLP6" i="10"/>
  <c r="NLT6" i="10"/>
  <c r="NLX6" i="10"/>
  <c r="NMB6" i="10"/>
  <c r="NMF6" i="10"/>
  <c r="NMJ6" i="10"/>
  <c r="NMN6" i="10"/>
  <c r="NMR6" i="10"/>
  <c r="NMV6" i="10"/>
  <c r="NMZ6" i="10"/>
  <c r="NND6" i="10"/>
  <c r="NNH6" i="10"/>
  <c r="NNL6" i="10"/>
  <c r="NNP6" i="10"/>
  <c r="NNT6" i="10"/>
  <c r="NNX6" i="10"/>
  <c r="NOB6" i="10"/>
  <c r="NOF6" i="10"/>
  <c r="NOJ6" i="10"/>
  <c r="NON6" i="10"/>
  <c r="NOR6" i="10"/>
  <c r="NOV6" i="10"/>
  <c r="NOZ6" i="10"/>
  <c r="NPD6" i="10"/>
  <c r="NPH6" i="10"/>
  <c r="NPL6" i="10"/>
  <c r="NPP6" i="10"/>
  <c r="NPT6" i="10"/>
  <c r="NPX6" i="10"/>
  <c r="NQB6" i="10"/>
  <c r="NQF6" i="10"/>
  <c r="NQJ6" i="10"/>
  <c r="NQN6" i="10"/>
  <c r="NQR6" i="10"/>
  <c r="NQV6" i="10"/>
  <c r="NQZ6" i="10"/>
  <c r="NRD6" i="10"/>
  <c r="NRH6" i="10"/>
  <c r="NRL6" i="10"/>
  <c r="NRP6" i="10"/>
  <c r="NRT6" i="10"/>
  <c r="NRX6" i="10"/>
  <c r="NSB6" i="10"/>
  <c r="NSF6" i="10"/>
  <c r="NSJ6" i="10"/>
  <c r="NSN6" i="10"/>
  <c r="NSR6" i="10"/>
  <c r="NSV6" i="10"/>
  <c r="NSZ6" i="10"/>
  <c r="NTD6" i="10"/>
  <c r="NTH6" i="10"/>
  <c r="NTL6" i="10"/>
  <c r="NTP6" i="10"/>
  <c r="NTT6" i="10"/>
  <c r="NTX6" i="10"/>
  <c r="NUB6" i="10"/>
  <c r="NUF6" i="10"/>
  <c r="NUJ6" i="10"/>
  <c r="NUN6" i="10"/>
  <c r="NUR6" i="10"/>
  <c r="NUV6" i="10"/>
  <c r="NUZ6" i="10"/>
  <c r="NVD6" i="10"/>
  <c r="NVH6" i="10"/>
  <c r="NVL6" i="10"/>
  <c r="NVP6" i="10"/>
  <c r="NVT6" i="10"/>
  <c r="NVX6" i="10"/>
  <c r="NWB6" i="10"/>
  <c r="NWF6" i="10"/>
  <c r="NWJ6" i="10"/>
  <c r="NWN6" i="10"/>
  <c r="NWR6" i="10"/>
  <c r="NWV6" i="10"/>
  <c r="NWZ6" i="10"/>
  <c r="NXD6" i="10"/>
  <c r="NXH6" i="10"/>
  <c r="NXL6" i="10"/>
  <c r="NXP6" i="10"/>
  <c r="NXT6" i="10"/>
  <c r="NXX6" i="10"/>
  <c r="NYB6" i="10"/>
  <c r="NYF6" i="10"/>
  <c r="NYJ6" i="10"/>
  <c r="NYN6" i="10"/>
  <c r="NYR6" i="10"/>
  <c r="NYV6" i="10"/>
  <c r="NYZ6" i="10"/>
  <c r="NZD6" i="10"/>
  <c r="NZH6" i="10"/>
  <c r="NZL6" i="10"/>
  <c r="NZP6" i="10"/>
  <c r="NZT6" i="10"/>
  <c r="NZX6" i="10"/>
  <c r="OAB6" i="10"/>
  <c r="OAF6" i="10"/>
  <c r="OAJ6" i="10"/>
  <c r="OAN6" i="10"/>
  <c r="OAR6" i="10"/>
  <c r="OAV6" i="10"/>
  <c r="OAZ6" i="10"/>
  <c r="OBD6" i="10"/>
  <c r="OBH6" i="10"/>
  <c r="OBL6" i="10"/>
  <c r="OBP6" i="10"/>
  <c r="OBT6" i="10"/>
  <c r="OBX6" i="10"/>
  <c r="OCB6" i="10"/>
  <c r="OCF6" i="10"/>
  <c r="OCJ6" i="10"/>
  <c r="OCN6" i="10"/>
  <c r="OCR6" i="10"/>
  <c r="OCV6" i="10"/>
  <c r="OCZ6" i="10"/>
  <c r="ODD6" i="10"/>
  <c r="ODH6" i="10"/>
  <c r="ODL6" i="10"/>
  <c r="ODP6" i="10"/>
  <c r="ODT6" i="10"/>
  <c r="ODX6" i="10"/>
  <c r="OEB6" i="10"/>
  <c r="OEF6" i="10"/>
  <c r="OEJ6" i="10"/>
  <c r="OEN6" i="10"/>
  <c r="OER6" i="10"/>
  <c r="OEV6" i="10"/>
  <c r="OEZ6" i="10"/>
  <c r="OFD6" i="10"/>
  <c r="OFH6" i="10"/>
  <c r="OFL6" i="10"/>
  <c r="OFP6" i="10"/>
  <c r="OFT6" i="10"/>
  <c r="OFX6" i="10"/>
  <c r="OGB6" i="10"/>
  <c r="OGF6" i="10"/>
  <c r="OGJ6" i="10"/>
  <c r="OGN6" i="10"/>
  <c r="OGR6" i="10"/>
  <c r="OGV6" i="10"/>
  <c r="OGZ6" i="10"/>
  <c r="OHD6" i="10"/>
  <c r="OHH6" i="10"/>
  <c r="OHL6" i="10"/>
  <c r="OHP6" i="10"/>
  <c r="OHT6" i="10"/>
  <c r="OHX6" i="10"/>
  <c r="OIB6" i="10"/>
  <c r="OIF6" i="10"/>
  <c r="OIJ6" i="10"/>
  <c r="OIN6" i="10"/>
  <c r="OIR6" i="10"/>
  <c r="OIV6" i="10"/>
  <c r="OIZ6" i="10"/>
  <c r="OJD6" i="10"/>
  <c r="OJH6" i="10"/>
  <c r="OJL6" i="10"/>
  <c r="OJP6" i="10"/>
  <c r="OJT6" i="10"/>
  <c r="OJX6" i="10"/>
  <c r="OKB6" i="10"/>
  <c r="OKF6" i="10"/>
  <c r="OKJ6" i="10"/>
  <c r="OKN6" i="10"/>
  <c r="OKR6" i="10"/>
  <c r="OKV6" i="10"/>
  <c r="OKZ6" i="10"/>
  <c r="OLD6" i="10"/>
  <c r="OLH6" i="10"/>
  <c r="OLL6" i="10"/>
  <c r="OLP6" i="10"/>
  <c r="OLT6" i="10"/>
  <c r="OLX6" i="10"/>
  <c r="OMB6" i="10"/>
  <c r="OMF6" i="10"/>
  <c r="OMJ6" i="10"/>
  <c r="OMN6" i="10"/>
  <c r="OMR6" i="10"/>
  <c r="OMV6" i="10"/>
  <c r="OMZ6" i="10"/>
  <c r="OND6" i="10"/>
  <c r="ONH6" i="10"/>
  <c r="ONL6" i="10"/>
  <c r="ONP6" i="10"/>
  <c r="ONT6" i="10"/>
  <c r="ONX6" i="10"/>
  <c r="OOB6" i="10"/>
  <c r="OOF6" i="10"/>
  <c r="OOJ6" i="10"/>
  <c r="OON6" i="10"/>
  <c r="OOR6" i="10"/>
  <c r="OOV6" i="10"/>
  <c r="OOZ6" i="10"/>
  <c r="OPD6" i="10"/>
  <c r="OPH6" i="10"/>
  <c r="OPL6" i="10"/>
  <c r="OPP6" i="10"/>
  <c r="OPT6" i="10"/>
  <c r="OPX6" i="10"/>
  <c r="OQB6" i="10"/>
  <c r="OQF6" i="10"/>
  <c r="OQJ6" i="10"/>
  <c r="OQN6" i="10"/>
  <c r="OQR6" i="10"/>
  <c r="OQV6" i="10"/>
  <c r="OQZ6" i="10"/>
  <c r="ORD6" i="10"/>
  <c r="ORH6" i="10"/>
  <c r="ORL6" i="10"/>
  <c r="ORP6" i="10"/>
  <c r="ORT6" i="10"/>
  <c r="ORX6" i="10"/>
  <c r="OSB6" i="10"/>
  <c r="OSF6" i="10"/>
  <c r="OSJ6" i="10"/>
  <c r="OSN6" i="10"/>
  <c r="OSR6" i="10"/>
  <c r="OSV6" i="10"/>
  <c r="OSZ6" i="10"/>
  <c r="OTD6" i="10"/>
  <c r="OTH6" i="10"/>
  <c r="OTL6" i="10"/>
  <c r="OTP6" i="10"/>
  <c r="OTT6" i="10"/>
  <c r="OTX6" i="10"/>
  <c r="OUB6" i="10"/>
  <c r="OUF6" i="10"/>
  <c r="OUJ6" i="10"/>
  <c r="OUN6" i="10"/>
  <c r="OUR6" i="10"/>
  <c r="OUV6" i="10"/>
  <c r="OUZ6" i="10"/>
  <c r="OVD6" i="10"/>
  <c r="OVH6" i="10"/>
  <c r="OVL6" i="10"/>
  <c r="OVP6" i="10"/>
  <c r="OVT6" i="10"/>
  <c r="OVX6" i="10"/>
  <c r="OWB6" i="10"/>
  <c r="OWF6" i="10"/>
  <c r="OWJ6" i="10"/>
  <c r="OWN6" i="10"/>
  <c r="OWR6" i="10"/>
  <c r="OWV6" i="10"/>
  <c r="OWZ6" i="10"/>
  <c r="OXD6" i="10"/>
  <c r="OXH6" i="10"/>
  <c r="OXL6" i="10"/>
  <c r="OXP6" i="10"/>
  <c r="OXT6" i="10"/>
  <c r="OXX6" i="10"/>
  <c r="OYB6" i="10"/>
  <c r="OYF6" i="10"/>
  <c r="OYJ6" i="10"/>
  <c r="OYN6" i="10"/>
  <c r="OYR6" i="10"/>
  <c r="OYV6" i="10"/>
  <c r="OYZ6" i="10"/>
  <c r="OZD6" i="10"/>
  <c r="OZH6" i="10"/>
  <c r="OZL6" i="10"/>
  <c r="OZP6" i="10"/>
  <c r="OZT6" i="10"/>
  <c r="OZX6" i="10"/>
  <c r="PAB6" i="10"/>
  <c r="PAF6" i="10"/>
  <c r="PAJ6" i="10"/>
  <c r="PAN6" i="10"/>
  <c r="PAR6" i="10"/>
  <c r="PAV6" i="10"/>
  <c r="PAZ6" i="10"/>
  <c r="PBD6" i="10"/>
  <c r="PBH6" i="10"/>
  <c r="PBL6" i="10"/>
  <c r="PBP6" i="10"/>
  <c r="PBT6" i="10"/>
  <c r="PBX6" i="10"/>
  <c r="PCB6" i="10"/>
  <c r="PCF6" i="10"/>
  <c r="PCJ6" i="10"/>
  <c r="PCN6" i="10"/>
  <c r="PCR6" i="10"/>
  <c r="PCV6" i="10"/>
  <c r="PCZ6" i="10"/>
  <c r="PDD6" i="10"/>
  <c r="PDH6" i="10"/>
  <c r="PDL6" i="10"/>
  <c r="PDP6" i="10"/>
  <c r="PDT6" i="10"/>
  <c r="PDX6" i="10"/>
  <c r="PEB6" i="10"/>
  <c r="PEF6" i="10"/>
  <c r="PEJ6" i="10"/>
  <c r="PEN6" i="10"/>
  <c r="PER6" i="10"/>
  <c r="PEV6" i="10"/>
  <c r="PEZ6" i="10"/>
  <c r="PFD6" i="10"/>
  <c r="PFH6" i="10"/>
  <c r="PFL6" i="10"/>
  <c r="PFP6" i="10"/>
  <c r="PFT6" i="10"/>
  <c r="PFX6" i="10"/>
  <c r="PGB6" i="10"/>
  <c r="PGF6" i="10"/>
  <c r="PGJ6" i="10"/>
  <c r="PGN6" i="10"/>
  <c r="PGR6" i="10"/>
  <c r="PGV6" i="10"/>
  <c r="PGZ6" i="10"/>
  <c r="PHD6" i="10"/>
  <c r="PHH6" i="10"/>
  <c r="PHL6" i="10"/>
  <c r="PHP6" i="10"/>
  <c r="PHT6" i="10"/>
  <c r="PHX6" i="10"/>
  <c r="PIB6" i="10"/>
  <c r="PIF6" i="10"/>
  <c r="PIJ6" i="10"/>
  <c r="PIN6" i="10"/>
  <c r="PIR6" i="10"/>
  <c r="PIV6" i="10"/>
  <c r="PIZ6" i="10"/>
  <c r="PJD6" i="10"/>
  <c r="PJH6" i="10"/>
  <c r="PJL6" i="10"/>
  <c r="PJP6" i="10"/>
  <c r="PJT6" i="10"/>
  <c r="PJX6" i="10"/>
  <c r="PKB6" i="10"/>
  <c r="PKF6" i="10"/>
  <c r="PKJ6" i="10"/>
  <c r="PKN6" i="10"/>
  <c r="PKR6" i="10"/>
  <c r="PKV6" i="10"/>
  <c r="PKZ6" i="10"/>
  <c r="PLD6" i="10"/>
  <c r="PLH6" i="10"/>
  <c r="PLL6" i="10"/>
  <c r="PLP6" i="10"/>
  <c r="PLT6" i="10"/>
  <c r="PLX6" i="10"/>
  <c r="PMB6" i="10"/>
  <c r="PMF6" i="10"/>
  <c r="PMJ6" i="10"/>
  <c r="PMN6" i="10"/>
  <c r="PMR6" i="10"/>
  <c r="PMV6" i="10"/>
  <c r="PMZ6" i="10"/>
  <c r="PND6" i="10"/>
  <c r="PNH6" i="10"/>
  <c r="PNL6" i="10"/>
  <c r="PNP6" i="10"/>
  <c r="PNT6" i="10"/>
  <c r="PNX6" i="10"/>
  <c r="POB6" i="10"/>
  <c r="POF6" i="10"/>
  <c r="POJ6" i="10"/>
  <c r="PON6" i="10"/>
  <c r="POR6" i="10"/>
  <c r="POV6" i="10"/>
  <c r="POZ6" i="10"/>
  <c r="PPD6" i="10"/>
  <c r="PPH6" i="10"/>
  <c r="PPL6" i="10"/>
  <c r="PPP6" i="10"/>
  <c r="PPT6" i="10"/>
  <c r="PPX6" i="10"/>
  <c r="PQB6" i="10"/>
  <c r="PQF6" i="10"/>
  <c r="PQJ6" i="10"/>
  <c r="PQN6" i="10"/>
  <c r="PQR6" i="10"/>
  <c r="PQV6" i="10"/>
  <c r="PQZ6" i="10"/>
  <c r="PRD6" i="10"/>
  <c r="PRH6" i="10"/>
  <c r="PRL6" i="10"/>
  <c r="PRP6" i="10"/>
  <c r="PRT6" i="10"/>
  <c r="PRX6" i="10"/>
  <c r="PSB6" i="10"/>
  <c r="PSF6" i="10"/>
  <c r="PSJ6" i="10"/>
  <c r="PSN6" i="10"/>
  <c r="PSR6" i="10"/>
  <c r="PSV6" i="10"/>
  <c r="PSZ6" i="10"/>
  <c r="PTD6" i="10"/>
  <c r="PTH6" i="10"/>
  <c r="PTL6" i="10"/>
  <c r="PTP6" i="10"/>
  <c r="PTT6" i="10"/>
  <c r="PTX6" i="10"/>
  <c r="PUB6" i="10"/>
  <c r="PUF6" i="10"/>
  <c r="PUJ6" i="10"/>
  <c r="PUN6" i="10"/>
  <c r="PUR6" i="10"/>
  <c r="PUV6" i="10"/>
  <c r="PUZ6" i="10"/>
  <c r="PVD6" i="10"/>
  <c r="PVH6" i="10"/>
  <c r="PVL6" i="10"/>
  <c r="PVP6" i="10"/>
  <c r="PVT6" i="10"/>
  <c r="PVX6" i="10"/>
  <c r="PWB6" i="10"/>
  <c r="PWF6" i="10"/>
  <c r="PWJ6" i="10"/>
  <c r="PWN6" i="10"/>
  <c r="PWR6" i="10"/>
  <c r="PWV6" i="10"/>
  <c r="PWZ6" i="10"/>
  <c r="PXD6" i="10"/>
  <c r="PXH6" i="10"/>
  <c r="PXL6" i="10"/>
  <c r="PXP6" i="10"/>
  <c r="PXT6" i="10"/>
  <c r="PXX6" i="10"/>
  <c r="PYB6" i="10"/>
  <c r="PYF6" i="10"/>
  <c r="PYJ6" i="10"/>
  <c r="PYN6" i="10"/>
  <c r="PYR6" i="10"/>
  <c r="PYV6" i="10"/>
  <c r="PYZ6" i="10"/>
  <c r="PZD6" i="10"/>
  <c r="PZH6" i="10"/>
  <c r="PZL6" i="10"/>
  <c r="PZP6" i="10"/>
  <c r="PZT6" i="10"/>
  <c r="PZX6" i="10"/>
  <c r="QAB6" i="10"/>
  <c r="QAF6" i="10"/>
  <c r="QAJ6" i="10"/>
  <c r="QAN6" i="10"/>
  <c r="QAR6" i="10"/>
  <c r="QAV6" i="10"/>
  <c r="QAZ6" i="10"/>
  <c r="QBD6" i="10"/>
  <c r="QBH6" i="10"/>
  <c r="QBL6" i="10"/>
  <c r="QBP6" i="10"/>
  <c r="QBT6" i="10"/>
  <c r="QBX6" i="10"/>
  <c r="QCB6" i="10"/>
  <c r="QCF6" i="10"/>
  <c r="QCJ6" i="10"/>
  <c r="QCN6" i="10"/>
  <c r="QCR6" i="10"/>
  <c r="QCV6" i="10"/>
  <c r="QCZ6" i="10"/>
  <c r="QDD6" i="10"/>
  <c r="QDH6" i="10"/>
  <c r="QDL6" i="10"/>
  <c r="QDP6" i="10"/>
  <c r="QDT6" i="10"/>
  <c r="QDX6" i="10"/>
  <c r="QEB6" i="10"/>
  <c r="QEF6" i="10"/>
  <c r="QEJ6" i="10"/>
  <c r="QEN6" i="10"/>
  <c r="QER6" i="10"/>
  <c r="QEV6" i="10"/>
  <c r="QEZ6" i="10"/>
  <c r="QFD6" i="10"/>
  <c r="QFH6" i="10"/>
  <c r="QFL6" i="10"/>
  <c r="QFP6" i="10"/>
  <c r="QFT6" i="10"/>
  <c r="QFX6" i="10"/>
  <c r="QGB6" i="10"/>
  <c r="QGF6" i="10"/>
  <c r="QGJ6" i="10"/>
  <c r="QGN6" i="10"/>
  <c r="QGR6" i="10"/>
  <c r="QGV6" i="10"/>
  <c r="QGZ6" i="10"/>
  <c r="QHD6" i="10"/>
  <c r="QHH6" i="10"/>
  <c r="QHL6" i="10"/>
  <c r="QHP6" i="10"/>
  <c r="QHT6" i="10"/>
  <c r="QHX6" i="10"/>
  <c r="QIB6" i="10"/>
  <c r="QIF6" i="10"/>
  <c r="QIJ6" i="10"/>
  <c r="QIN6" i="10"/>
  <c r="QIR6" i="10"/>
  <c r="QIV6" i="10"/>
  <c r="QIZ6" i="10"/>
  <c r="QJD6" i="10"/>
  <c r="QJH6" i="10"/>
  <c r="QJL6" i="10"/>
  <c r="QJP6" i="10"/>
  <c r="QJT6" i="10"/>
  <c r="QJX6" i="10"/>
  <c r="QKB6" i="10"/>
  <c r="QKF6" i="10"/>
  <c r="QKJ6" i="10"/>
  <c r="QKN6" i="10"/>
  <c r="QKR6" i="10"/>
  <c r="QKV6" i="10"/>
  <c r="QKZ6" i="10"/>
  <c r="QLD6" i="10"/>
  <c r="QLH6" i="10"/>
  <c r="QLL6" i="10"/>
  <c r="QLP6" i="10"/>
  <c r="QLT6" i="10"/>
  <c r="QLX6" i="10"/>
  <c r="QMB6" i="10"/>
  <c r="QMF6" i="10"/>
  <c r="QMJ6" i="10"/>
  <c r="QMN6" i="10"/>
  <c r="QMR6" i="10"/>
  <c r="QMV6" i="10"/>
  <c r="QMZ6" i="10"/>
  <c r="QND6" i="10"/>
  <c r="QNH6" i="10"/>
  <c r="QNL6" i="10"/>
  <c r="QNP6" i="10"/>
  <c r="QNT6" i="10"/>
  <c r="QNX6" i="10"/>
  <c r="QOB6" i="10"/>
  <c r="QOF6" i="10"/>
  <c r="QOJ6" i="10"/>
  <c r="QON6" i="10"/>
  <c r="QOR6" i="10"/>
  <c r="QOV6" i="10"/>
  <c r="QOZ6" i="10"/>
  <c r="QPD6" i="10"/>
  <c r="QPH6" i="10"/>
  <c r="QPL6" i="10"/>
  <c r="QPP6" i="10"/>
  <c r="QPT6" i="10"/>
  <c r="QPX6" i="10"/>
  <c r="QQB6" i="10"/>
  <c r="QQF6" i="10"/>
  <c r="QQJ6" i="10"/>
  <c r="QQN6" i="10"/>
  <c r="QQR6" i="10"/>
  <c r="QQV6" i="10"/>
  <c r="QQZ6" i="10"/>
  <c r="QRD6" i="10"/>
  <c r="QRH6" i="10"/>
  <c r="QRL6" i="10"/>
  <c r="QRP6" i="10"/>
  <c r="QRT6" i="10"/>
  <c r="QRX6" i="10"/>
  <c r="QSB6" i="10"/>
  <c r="QSF6" i="10"/>
  <c r="QSJ6" i="10"/>
  <c r="QSN6" i="10"/>
  <c r="QSR6" i="10"/>
  <c r="QSV6" i="10"/>
  <c r="QSZ6" i="10"/>
  <c r="QTD6" i="10"/>
  <c r="QTH6" i="10"/>
  <c r="QTL6" i="10"/>
  <c r="QTP6" i="10"/>
  <c r="QTT6" i="10"/>
  <c r="QTX6" i="10"/>
  <c r="QUB6" i="10"/>
  <c r="QUF6" i="10"/>
  <c r="QUJ6" i="10"/>
  <c r="QUN6" i="10"/>
  <c r="QUR6" i="10"/>
  <c r="QUV6" i="10"/>
  <c r="QUZ6" i="10"/>
  <c r="QVD6" i="10"/>
  <c r="QVH6" i="10"/>
  <c r="QVL6" i="10"/>
  <c r="QVP6" i="10"/>
  <c r="QVT6" i="10"/>
  <c r="QVX6" i="10"/>
  <c r="QWB6" i="10"/>
  <c r="QWF6" i="10"/>
  <c r="QWJ6" i="10"/>
  <c r="QWN6" i="10"/>
  <c r="QWR6" i="10"/>
  <c r="QWV6" i="10"/>
  <c r="QWZ6" i="10"/>
  <c r="QXD6" i="10"/>
  <c r="QXH6" i="10"/>
  <c r="QXL6" i="10"/>
  <c r="QXP6" i="10"/>
  <c r="QXT6" i="10"/>
  <c r="QXX6" i="10"/>
  <c r="QYB6" i="10"/>
  <c r="QYF6" i="10"/>
  <c r="QYJ6" i="10"/>
  <c r="QYN6" i="10"/>
  <c r="QYR6" i="10"/>
  <c r="QYV6" i="10"/>
  <c r="QYZ6" i="10"/>
  <c r="QZD6" i="10"/>
  <c r="QZH6" i="10"/>
  <c r="QZL6" i="10"/>
  <c r="QZP6" i="10"/>
  <c r="QZT6" i="10"/>
  <c r="QZX6" i="10"/>
  <c r="RAB6" i="10"/>
  <c r="RAF6" i="10"/>
  <c r="RAJ6" i="10"/>
  <c r="RAN6" i="10"/>
  <c r="RAR6" i="10"/>
  <c r="RAV6" i="10"/>
  <c r="RAZ6" i="10"/>
  <c r="RBD6" i="10"/>
  <c r="RBH6" i="10"/>
  <c r="RBL6" i="10"/>
  <c r="RBP6" i="10"/>
  <c r="RBT6" i="10"/>
  <c r="RBX6" i="10"/>
  <c r="RCB6" i="10"/>
  <c r="RCF6" i="10"/>
  <c r="RCJ6" i="10"/>
  <c r="RCN6" i="10"/>
  <c r="RCR6" i="10"/>
  <c r="DQP6" i="10"/>
  <c r="FDZ6" i="10"/>
  <c r="FQJ6" i="10"/>
  <c r="GAF6" i="10"/>
  <c r="GKB6" i="10"/>
  <c r="GTX6" i="10"/>
  <c r="HDT6" i="10"/>
  <c r="HNP6" i="10"/>
  <c r="HVT6" i="10"/>
  <c r="IAR6" i="10"/>
  <c r="IFP6" i="10"/>
  <c r="IKN6" i="10"/>
  <c r="IPL6" i="10"/>
  <c r="IUJ6" i="10"/>
  <c r="IXF6" i="10"/>
  <c r="IZR6" i="10"/>
  <c r="JCD6" i="10"/>
  <c r="JEP6" i="10"/>
  <c r="JHB6" i="10"/>
  <c r="JJN6" i="10"/>
  <c r="JLZ6" i="10"/>
  <c r="JOL6" i="10"/>
  <c r="JQX6" i="10"/>
  <c r="JTJ6" i="10"/>
  <c r="JVV6" i="10"/>
  <c r="JYH6" i="10"/>
  <c r="KAT6" i="10"/>
  <c r="KDF6" i="10"/>
  <c r="KFR6" i="10"/>
  <c r="KID6" i="10"/>
  <c r="KKP6" i="10"/>
  <c r="KNB6" i="10"/>
  <c r="KPN6" i="10"/>
  <c r="KRZ6" i="10"/>
  <c r="KUL6" i="10"/>
  <c r="KWX6" i="10"/>
  <c r="KZJ6" i="10"/>
  <c r="LBV6" i="10"/>
  <c r="LEH6" i="10"/>
  <c r="LGT6" i="10"/>
  <c r="LJF6" i="10"/>
  <c r="LLR6" i="10"/>
  <c r="LOD6" i="10"/>
  <c r="LPV6" i="10"/>
  <c r="LRB6" i="10"/>
  <c r="LSH6" i="10"/>
  <c r="LTN6" i="10"/>
  <c r="LUT6" i="10"/>
  <c r="LVZ6" i="10"/>
  <c r="LXF6" i="10"/>
  <c r="LYL6" i="10"/>
  <c r="LZR6" i="10"/>
  <c r="MAX6" i="10"/>
  <c r="MCD6" i="10"/>
  <c r="MDJ6" i="10"/>
  <c r="MEP6" i="10"/>
  <c r="MFV6" i="10"/>
  <c r="MHB6" i="10"/>
  <c r="MIH6" i="10"/>
  <c r="MJN6" i="10"/>
  <c r="MKT6" i="10"/>
  <c r="MLZ6" i="10"/>
  <c r="MNF6" i="10"/>
  <c r="MOL6" i="10"/>
  <c r="MPR6" i="10"/>
  <c r="MQX6" i="10"/>
  <c r="MSD6" i="10"/>
  <c r="MTJ6" i="10"/>
  <c r="MUP6" i="10"/>
  <c r="MVV6" i="10"/>
  <c r="MXB6" i="10"/>
  <c r="MYH6" i="10"/>
  <c r="MZN6" i="10"/>
  <c r="NAT6" i="10"/>
  <c r="NBZ6" i="10"/>
  <c r="NDF6" i="10"/>
  <c r="NEL6" i="10"/>
  <c r="NFM6" i="10"/>
  <c r="NGC6" i="10"/>
  <c r="NGS6" i="10"/>
  <c r="NHI6" i="10"/>
  <c r="NHY6" i="10"/>
  <c r="NIO6" i="10"/>
  <c r="NJE6" i="10"/>
  <c r="NJU6" i="10"/>
  <c r="NKK6" i="10"/>
  <c r="NLA6" i="10"/>
  <c r="NLQ6" i="10"/>
  <c r="NMG6" i="10"/>
  <c r="NMW6" i="10"/>
  <c r="NNM6" i="10"/>
  <c r="NOC6" i="10"/>
  <c r="NOS6" i="10"/>
  <c r="NPI6" i="10"/>
  <c r="NPY6" i="10"/>
  <c r="NQO6" i="10"/>
  <c r="NRE6" i="10"/>
  <c r="NRU6" i="10"/>
  <c r="NSK6" i="10"/>
  <c r="NTA6" i="10"/>
  <c r="NTQ6" i="10"/>
  <c r="NUG6" i="10"/>
  <c r="NUW6" i="10"/>
  <c r="NVM6" i="10"/>
  <c r="NWC6" i="10"/>
  <c r="NWS6" i="10"/>
  <c r="NXI6" i="10"/>
  <c r="NXY6" i="10"/>
  <c r="NYO6" i="10"/>
  <c r="NZE6" i="10"/>
  <c r="NZU6" i="10"/>
  <c r="OAK6" i="10"/>
  <c r="OBA6" i="10"/>
  <c r="OBQ6" i="10"/>
  <c r="OCG6" i="10"/>
  <c r="OCW6" i="10"/>
  <c r="ODM6" i="10"/>
  <c r="OEC6" i="10"/>
  <c r="OES6" i="10"/>
  <c r="OFI6" i="10"/>
  <c r="OFY6" i="10"/>
  <c r="OGO6" i="10"/>
  <c r="OHE6" i="10"/>
  <c r="OHU6" i="10"/>
  <c r="OIK6" i="10"/>
  <c r="OJA6" i="10"/>
  <c r="OJQ6" i="10"/>
  <c r="OKG6" i="10"/>
  <c r="OKW6" i="10"/>
  <c r="OLM6" i="10"/>
  <c r="OMC6" i="10"/>
  <c r="OMS6" i="10"/>
  <c r="ONI6" i="10"/>
  <c r="ONY6" i="10"/>
  <c r="OOO6" i="10"/>
  <c r="OPE6" i="10"/>
  <c r="OPU6" i="10"/>
  <c r="OQK6" i="10"/>
  <c r="ORA6" i="10"/>
  <c r="ORQ6" i="10"/>
  <c r="OSG6" i="10"/>
  <c r="OSW6" i="10"/>
  <c r="OTM6" i="10"/>
  <c r="OUC6" i="10"/>
  <c r="OUS6" i="10"/>
  <c r="OVI6" i="10"/>
  <c r="OVY6" i="10"/>
  <c r="OWO6" i="10"/>
  <c r="OXE6" i="10"/>
  <c r="OXU6" i="10"/>
  <c r="OYK6" i="10"/>
  <c r="OZA6" i="10"/>
  <c r="OZQ6" i="10"/>
  <c r="PAG6" i="10"/>
  <c r="PAW6" i="10"/>
  <c r="PBM6" i="10"/>
  <c r="PCC6" i="10"/>
  <c r="PCS6" i="10"/>
  <c r="PDI6" i="10"/>
  <c r="PDY6" i="10"/>
  <c r="PEO6" i="10"/>
  <c r="PFE6" i="10"/>
  <c r="PFU6" i="10"/>
  <c r="PGK6" i="10"/>
  <c r="PHA6" i="10"/>
  <c r="PHQ6" i="10"/>
  <c r="PIG6" i="10"/>
  <c r="PIW6" i="10"/>
  <c r="PJM6" i="10"/>
  <c r="PKC6" i="10"/>
  <c r="PKS6" i="10"/>
  <c r="PLI6" i="10"/>
  <c r="PLY6" i="10"/>
  <c r="PMO6" i="10"/>
  <c r="PNE6" i="10"/>
  <c r="PNU6" i="10"/>
  <c r="POK6" i="10"/>
  <c r="PPA6" i="10"/>
  <c r="PPQ6" i="10"/>
  <c r="PQG6" i="10"/>
  <c r="PQW6" i="10"/>
  <c r="PRM6" i="10"/>
  <c r="PSC6" i="10"/>
  <c r="PSS6" i="10"/>
  <c r="PTI6" i="10"/>
  <c r="PTY6" i="10"/>
  <c r="PUO6" i="10"/>
  <c r="PVE6" i="10"/>
  <c r="PVU6" i="10"/>
  <c r="PWK6" i="10"/>
  <c r="PXA6" i="10"/>
  <c r="PXQ6" i="10"/>
  <c r="PYG6" i="10"/>
  <c r="PYW6" i="10"/>
  <c r="PZM6" i="10"/>
  <c r="QAC6" i="10"/>
  <c r="QAS6" i="10"/>
  <c r="QBI6" i="10"/>
  <c r="QBY6" i="10"/>
  <c r="QCO6" i="10"/>
  <c r="QDE6" i="10"/>
  <c r="QDU6" i="10"/>
  <c r="QEK6" i="10"/>
  <c r="QFA6" i="10"/>
  <c r="QFQ6" i="10"/>
  <c r="QGG6" i="10"/>
  <c r="QGW6" i="10"/>
  <c r="QHM6" i="10"/>
  <c r="QIC6" i="10"/>
  <c r="QIS6" i="10"/>
  <c r="QJI6" i="10"/>
  <c r="QJY6" i="10"/>
  <c r="QKO6" i="10"/>
  <c r="QLE6" i="10"/>
  <c r="QLU6" i="10"/>
  <c r="QMK6" i="10"/>
  <c r="QNA6" i="10"/>
  <c r="QNQ6" i="10"/>
  <c r="QOG6" i="10"/>
  <c r="QOW6" i="10"/>
  <c r="QPM6" i="10"/>
  <c r="QQC6" i="10"/>
  <c r="QQS6" i="10"/>
  <c r="QRI6" i="10"/>
  <c r="QRY6" i="10"/>
  <c r="QSO6" i="10"/>
  <c r="QTE6" i="10"/>
  <c r="QTU6" i="10"/>
  <c r="QUK6" i="10"/>
  <c r="QVA6" i="10"/>
  <c r="QVQ6" i="10"/>
  <c r="QWG6" i="10"/>
  <c r="QWW6" i="10"/>
  <c r="QXM6" i="10"/>
  <c r="QYC6" i="10"/>
  <c r="QYS6" i="10"/>
  <c r="QZI6" i="10"/>
  <c r="QZY6" i="10"/>
  <c r="RAO6" i="10"/>
  <c r="RBE6" i="10"/>
  <c r="RBU6" i="10"/>
  <c r="RCK6" i="10"/>
  <c r="RCW6" i="10"/>
  <c r="RDE6" i="10"/>
  <c r="RDM6" i="10"/>
  <c r="RDU6" i="10"/>
  <c r="REC6" i="10"/>
  <c r="REK6" i="10"/>
  <c r="RES6" i="10"/>
  <c r="RFA6" i="10"/>
  <c r="RFI6" i="10"/>
  <c r="RFQ6" i="10"/>
  <c r="RFY6" i="10"/>
  <c r="RGG6" i="10"/>
  <c r="RGO6" i="10"/>
  <c r="RGW6" i="10"/>
  <c r="RHE6" i="10"/>
  <c r="RHM6" i="10"/>
  <c r="RHU6" i="10"/>
  <c r="RIC6" i="10"/>
  <c r="RIK6" i="10"/>
  <c r="RIS6" i="10"/>
  <c r="RJA6" i="10"/>
  <c r="RJI6" i="10"/>
  <c r="RJQ6" i="10"/>
  <c r="RJY6" i="10"/>
  <c r="RKG6" i="10"/>
  <c r="RKO6" i="10"/>
  <c r="RKW6" i="10"/>
  <c r="RLE6" i="10"/>
  <c r="RLM6" i="10"/>
  <c r="RLU6" i="10"/>
  <c r="RMC6" i="10"/>
  <c r="RMK6" i="10"/>
  <c r="RMS6" i="10"/>
  <c r="RNA6" i="10"/>
  <c r="RNI6" i="10"/>
  <c r="RNQ6" i="10"/>
  <c r="RNY6" i="10"/>
  <c r="ROG6" i="10"/>
  <c r="ROO6" i="10"/>
  <c r="ROW6" i="10"/>
  <c r="RPE6" i="10"/>
  <c r="RPM6" i="10"/>
  <c r="RPU6" i="10"/>
  <c r="RQC6" i="10"/>
  <c r="RQK6" i="10"/>
  <c r="RQS6" i="10"/>
  <c r="RRA6" i="10"/>
  <c r="RRI6" i="10"/>
  <c r="RRQ6" i="10"/>
  <c r="RRY6" i="10"/>
  <c r="RSG6" i="10"/>
  <c r="RSO6" i="10"/>
  <c r="RSW6" i="10"/>
  <c r="RTE6" i="10"/>
  <c r="RTM6" i="10"/>
  <c r="RTU6" i="10"/>
  <c r="RUC6" i="10"/>
  <c r="RUK6" i="10"/>
  <c r="RUS6" i="10"/>
  <c r="RVA6" i="10"/>
  <c r="RVI6" i="10"/>
  <c r="RVQ6" i="10"/>
  <c r="RVY6" i="10"/>
  <c r="RWG6" i="10"/>
  <c r="RWO6" i="10"/>
  <c r="RWW6" i="10"/>
  <c r="RXE6" i="10"/>
  <c r="RXM6" i="10"/>
  <c r="RXU6" i="10"/>
  <c r="RYC6" i="10"/>
  <c r="RYK6" i="10"/>
  <c r="RYS6" i="10"/>
  <c r="RZA6" i="10"/>
  <c r="RZI6" i="10"/>
  <c r="RZQ6" i="10"/>
  <c r="RZY6" i="10"/>
  <c r="SAG6" i="10"/>
  <c r="SAO6" i="10"/>
  <c r="SAW6" i="10"/>
  <c r="SBE6" i="10"/>
  <c r="SBM6" i="10"/>
  <c r="SBU6" i="10"/>
  <c r="SCC6" i="10"/>
  <c r="SCK6" i="10"/>
  <c r="SCS6" i="10"/>
  <c r="SDA6" i="10"/>
  <c r="SDI6" i="10"/>
  <c r="SDQ6" i="10"/>
  <c r="SDY6" i="10"/>
  <c r="SEG6" i="10"/>
  <c r="SEO6" i="10"/>
  <c r="SEW6" i="10"/>
  <c r="SFE6" i="10"/>
  <c r="SFM6" i="10"/>
  <c r="SFU6" i="10"/>
  <c r="SGC6" i="10"/>
  <c r="SGK6" i="10"/>
  <c r="SGS6" i="10"/>
  <c r="SHA6" i="10"/>
  <c r="SHI6" i="10"/>
  <c r="SHQ6" i="10"/>
  <c r="SHY6" i="10"/>
  <c r="SIG6" i="10"/>
  <c r="SIO6" i="10"/>
  <c r="SIW6" i="10"/>
  <c r="SJE6" i="10"/>
  <c r="SJM6" i="10"/>
  <c r="SJU6" i="10"/>
  <c r="SKC6" i="10"/>
  <c r="SKK6" i="10"/>
  <c r="SKS6" i="10"/>
  <c r="SLA6" i="10"/>
  <c r="SLI6" i="10"/>
  <c r="SLQ6" i="10"/>
  <c r="SLY6" i="10"/>
  <c r="SMG6" i="10"/>
  <c r="SMO6" i="10"/>
  <c r="SMW6" i="10"/>
  <c r="SNE6" i="10"/>
  <c r="SNM6" i="10"/>
  <c r="SNU6" i="10"/>
  <c r="SOC6" i="10"/>
  <c r="SOK6" i="10"/>
  <c r="SOS6" i="10"/>
  <c r="SPA6" i="10"/>
  <c r="SPI6" i="10"/>
  <c r="SPQ6" i="10"/>
  <c r="SPY6" i="10"/>
  <c r="SQG6" i="10"/>
  <c r="SQO6" i="10"/>
  <c r="SQW6" i="10"/>
  <c r="SRE6" i="10"/>
  <c r="SRM6" i="10"/>
  <c r="SRU6" i="10"/>
  <c r="SSC6" i="10"/>
  <c r="SSK6" i="10"/>
  <c r="SSS6" i="10"/>
  <c r="STA6" i="10"/>
  <c r="STI6" i="10"/>
  <c r="STQ6" i="10"/>
  <c r="STY6" i="10"/>
  <c r="SUG6" i="10"/>
  <c r="SUO6" i="10"/>
  <c r="SUW6" i="10"/>
  <c r="SVE6" i="10"/>
  <c r="SVM6" i="10"/>
  <c r="SVU6" i="10"/>
  <c r="SWC6" i="10"/>
  <c r="SWK6" i="10"/>
  <c r="SWS6" i="10"/>
  <c r="SXA6" i="10"/>
  <c r="SXI6" i="10"/>
  <c r="SXQ6" i="10"/>
  <c r="SXY6" i="10"/>
  <c r="SYG6" i="10"/>
  <c r="SYO6" i="10"/>
  <c r="SYW6" i="10"/>
  <c r="SZE6" i="10"/>
  <c r="SZM6" i="10"/>
  <c r="SZU6" i="10"/>
  <c r="TAC6" i="10"/>
  <c r="TAK6" i="10"/>
  <c r="TAS6" i="10"/>
  <c r="TBA6" i="10"/>
  <c r="TBI6" i="10"/>
  <c r="TBQ6" i="10"/>
  <c r="TBY6" i="10"/>
  <c r="TCG6" i="10"/>
  <c r="TCO6" i="10"/>
  <c r="TCW6" i="10"/>
  <c r="TDE6" i="10"/>
  <c r="TDM6" i="10"/>
  <c r="TDU6" i="10"/>
  <c r="TEC6" i="10"/>
  <c r="TEK6" i="10"/>
  <c r="TES6" i="10"/>
  <c r="TFA6" i="10"/>
  <c r="TFI6" i="10"/>
  <c r="TFQ6" i="10"/>
  <c r="TFY6" i="10"/>
  <c r="TGG6" i="10"/>
  <c r="TGO6" i="10"/>
  <c r="TGW6" i="10"/>
  <c r="THE6" i="10"/>
  <c r="THM6" i="10"/>
  <c r="THU6" i="10"/>
  <c r="TIC6" i="10"/>
  <c r="TIK6" i="10"/>
  <c r="TIS6" i="10"/>
  <c r="TJA6" i="10"/>
  <c r="TJF6" i="10"/>
  <c r="TJL6" i="10"/>
  <c r="TJQ6" i="10"/>
  <c r="TJV6" i="10"/>
  <c r="TKB6" i="10"/>
  <c r="TKG6" i="10"/>
  <c r="TKL6" i="10"/>
  <c r="TKR6" i="10"/>
  <c r="TKW6" i="10"/>
  <c r="TLB6" i="10"/>
  <c r="TLH6" i="10"/>
  <c r="TLM6" i="10"/>
  <c r="TLR6" i="10"/>
  <c r="TLX6" i="10"/>
  <c r="TMB6" i="10"/>
  <c r="TMF6" i="10"/>
  <c r="TMJ6" i="10"/>
  <c r="TMN6" i="10"/>
  <c r="TMR6" i="10"/>
  <c r="TMV6" i="10"/>
  <c r="TMZ6" i="10"/>
  <c r="TND6" i="10"/>
  <c r="TNH6" i="10"/>
  <c r="TNL6" i="10"/>
  <c r="TNP6" i="10"/>
  <c r="TNT6" i="10"/>
  <c r="TNX6" i="10"/>
  <c r="TOB6" i="10"/>
  <c r="TOF6" i="10"/>
  <c r="TOJ6" i="10"/>
  <c r="TON6" i="10"/>
  <c r="TOR6" i="10"/>
  <c r="TOV6" i="10"/>
  <c r="TOZ6" i="10"/>
  <c r="TPD6" i="10"/>
  <c r="TPH6" i="10"/>
  <c r="TPL6" i="10"/>
  <c r="TPP6" i="10"/>
  <c r="TPT6" i="10"/>
  <c r="TPX6" i="10"/>
  <c r="TQB6" i="10"/>
  <c r="TQF6" i="10"/>
  <c r="TQJ6" i="10"/>
  <c r="TQN6" i="10"/>
  <c r="TQR6" i="10"/>
  <c r="TQV6" i="10"/>
  <c r="TQZ6" i="10"/>
  <c r="TRD6" i="10"/>
  <c r="TRH6" i="10"/>
  <c r="TRL6" i="10"/>
  <c r="TRP6" i="10"/>
  <c r="TRT6" i="10"/>
  <c r="TRX6" i="10"/>
  <c r="TSB6" i="10"/>
  <c r="TSF6" i="10"/>
  <c r="TSJ6" i="10"/>
  <c r="TSN6" i="10"/>
  <c r="TSR6" i="10"/>
  <c r="TSV6" i="10"/>
  <c r="TSZ6" i="10"/>
  <c r="TTD6" i="10"/>
  <c r="TTH6" i="10"/>
  <c r="TTL6" i="10"/>
  <c r="TTP6" i="10"/>
  <c r="TTT6" i="10"/>
  <c r="TTX6" i="10"/>
  <c r="TUB6" i="10"/>
  <c r="TUF6" i="10"/>
  <c r="TUJ6" i="10"/>
  <c r="TUN6" i="10"/>
  <c r="TUR6" i="10"/>
  <c r="TUV6" i="10"/>
  <c r="TUZ6" i="10"/>
  <c r="TVD6" i="10"/>
  <c r="TVH6" i="10"/>
  <c r="TVL6" i="10"/>
  <c r="TVP6" i="10"/>
  <c r="TVT6" i="10"/>
  <c r="TVX6" i="10"/>
  <c r="TWB6" i="10"/>
  <c r="TWF6" i="10"/>
  <c r="TWJ6" i="10"/>
  <c r="TWN6" i="10"/>
  <c r="TWR6" i="10"/>
  <c r="TWV6" i="10"/>
  <c r="TWZ6" i="10"/>
  <c r="TXD6" i="10"/>
  <c r="TXH6" i="10"/>
  <c r="TXL6" i="10"/>
  <c r="TXP6" i="10"/>
  <c r="TXT6" i="10"/>
  <c r="TXX6" i="10"/>
  <c r="TYB6" i="10"/>
  <c r="TYF6" i="10"/>
  <c r="TYJ6" i="10"/>
  <c r="TYN6" i="10"/>
  <c r="TYR6" i="10"/>
  <c r="TYV6" i="10"/>
  <c r="TYZ6" i="10"/>
  <c r="TZD6" i="10"/>
  <c r="TZH6" i="10"/>
  <c r="TZL6" i="10"/>
  <c r="TZP6" i="10"/>
  <c r="TZT6" i="10"/>
  <c r="TZX6" i="10"/>
  <c r="UAB6" i="10"/>
  <c r="UAF6" i="10"/>
  <c r="UAJ6" i="10"/>
  <c r="UAN6" i="10"/>
  <c r="UAR6" i="10"/>
  <c r="UAV6" i="10"/>
  <c r="UAZ6" i="10"/>
  <c r="UBD6" i="10"/>
  <c r="UBH6" i="10"/>
  <c r="UBL6" i="10"/>
  <c r="UBP6" i="10"/>
  <c r="UBT6" i="10"/>
  <c r="UBX6" i="10"/>
  <c r="UCB6" i="10"/>
  <c r="UCF6" i="10"/>
  <c r="UCJ6" i="10"/>
  <c r="UCN6" i="10"/>
  <c r="UCR6" i="10"/>
  <c r="UCV6" i="10"/>
  <c r="UCZ6" i="10"/>
  <c r="UDD6" i="10"/>
  <c r="UDH6" i="10"/>
  <c r="UDL6" i="10"/>
  <c r="UDP6" i="10"/>
  <c r="UDT6" i="10"/>
  <c r="UDX6" i="10"/>
  <c r="UEB6" i="10"/>
  <c r="UEF6" i="10"/>
  <c r="UEJ6" i="10"/>
  <c r="UEN6" i="10"/>
  <c r="UER6" i="10"/>
  <c r="UEV6" i="10"/>
  <c r="UEZ6" i="10"/>
  <c r="UFD6" i="10"/>
  <c r="UFH6" i="10"/>
  <c r="UFL6" i="10"/>
  <c r="UFP6" i="10"/>
  <c r="UFT6" i="10"/>
  <c r="UFX6" i="10"/>
  <c r="UGB6" i="10"/>
  <c r="UGF6" i="10"/>
  <c r="UGJ6" i="10"/>
  <c r="UGN6" i="10"/>
  <c r="UGR6" i="10"/>
  <c r="UGV6" i="10"/>
  <c r="UGZ6" i="10"/>
  <c r="UHD6" i="10"/>
  <c r="UHH6" i="10"/>
  <c r="UHL6" i="10"/>
  <c r="UHP6" i="10"/>
  <c r="UHT6" i="10"/>
  <c r="UHX6" i="10"/>
  <c r="UIB6" i="10"/>
  <c r="UIF6" i="10"/>
  <c r="UIJ6" i="10"/>
  <c r="UIN6" i="10"/>
  <c r="UIR6" i="10"/>
  <c r="UIV6" i="10"/>
  <c r="UIZ6" i="10"/>
  <c r="UJD6" i="10"/>
  <c r="UJH6" i="10"/>
  <c r="UJL6" i="10"/>
  <c r="UJP6" i="10"/>
  <c r="UJT6" i="10"/>
  <c r="UJX6" i="10"/>
  <c r="UKB6" i="10"/>
  <c r="UKF6" i="10"/>
  <c r="UKJ6" i="10"/>
  <c r="UKN6" i="10"/>
  <c r="UKR6" i="10"/>
  <c r="UKV6" i="10"/>
  <c r="UKZ6" i="10"/>
  <c r="ULD6" i="10"/>
  <c r="ULH6" i="10"/>
  <c r="ULL6" i="10"/>
  <c r="ULP6" i="10"/>
  <c r="ULT6" i="10"/>
  <c r="ULX6" i="10"/>
  <c r="UMB6" i="10"/>
  <c r="UMF6" i="10"/>
  <c r="UMJ6" i="10"/>
  <c r="UMN6" i="10"/>
  <c r="UMR6" i="10"/>
  <c r="UMV6" i="10"/>
  <c r="UMZ6" i="10"/>
  <c r="UND6" i="10"/>
  <c r="UNH6" i="10"/>
  <c r="UNL6" i="10"/>
  <c r="UNP6" i="10"/>
  <c r="UNT6" i="10"/>
  <c r="UNX6" i="10"/>
  <c r="UOB6" i="10"/>
  <c r="UOF6" i="10"/>
  <c r="UOJ6" i="10"/>
  <c r="UON6" i="10"/>
  <c r="UOR6" i="10"/>
  <c r="UOV6" i="10"/>
  <c r="UOZ6" i="10"/>
  <c r="UPD6" i="10"/>
  <c r="UPH6" i="10"/>
  <c r="UPL6" i="10"/>
  <c r="UPP6" i="10"/>
  <c r="UPT6" i="10"/>
  <c r="UPX6" i="10"/>
  <c r="UQB6" i="10"/>
  <c r="UQF6" i="10"/>
  <c r="UQJ6" i="10"/>
  <c r="UQN6" i="10"/>
  <c r="UQR6" i="10"/>
  <c r="UQV6" i="10"/>
  <c r="UQZ6" i="10"/>
  <c r="URD6" i="10"/>
  <c r="URH6" i="10"/>
  <c r="URL6" i="10"/>
  <c r="URP6" i="10"/>
  <c r="URT6" i="10"/>
  <c r="URX6" i="10"/>
  <c r="USB6" i="10"/>
  <c r="USF6" i="10"/>
  <c r="USJ6" i="10"/>
  <c r="USN6" i="10"/>
  <c r="USR6" i="10"/>
  <c r="USV6" i="10"/>
  <c r="USZ6" i="10"/>
  <c r="UTD6" i="10"/>
  <c r="UTH6" i="10"/>
  <c r="UTL6" i="10"/>
  <c r="UTP6" i="10"/>
  <c r="UTT6" i="10"/>
  <c r="UTX6" i="10"/>
  <c r="UUB6" i="10"/>
  <c r="UUF6" i="10"/>
  <c r="UUJ6" i="10"/>
  <c r="UUN6" i="10"/>
  <c r="UUR6" i="10"/>
  <c r="UUV6" i="10"/>
  <c r="UUZ6" i="10"/>
  <c r="UVD6" i="10"/>
  <c r="UVH6" i="10"/>
  <c r="UVL6" i="10"/>
  <c r="UVP6" i="10"/>
  <c r="UVT6" i="10"/>
  <c r="UVX6" i="10"/>
  <c r="UWB6" i="10"/>
  <c r="UWF6" i="10"/>
  <c r="UWJ6" i="10"/>
  <c r="UWN6" i="10"/>
  <c r="UWR6" i="10"/>
  <c r="UWV6" i="10"/>
  <c r="UWZ6" i="10"/>
  <c r="UXD6" i="10"/>
  <c r="UXH6" i="10"/>
  <c r="UXL6" i="10"/>
  <c r="UXP6" i="10"/>
  <c r="UXT6" i="10"/>
  <c r="UXX6" i="10"/>
  <c r="UYB6" i="10"/>
  <c r="UYF6" i="10"/>
  <c r="UYJ6" i="10"/>
  <c r="UYN6" i="10"/>
  <c r="UYR6" i="10"/>
  <c r="UYV6" i="10"/>
  <c r="UYZ6" i="10"/>
  <c r="UZD6" i="10"/>
  <c r="UZH6" i="10"/>
  <c r="UZL6" i="10"/>
  <c r="UZP6" i="10"/>
  <c r="UZT6" i="10"/>
  <c r="UZX6" i="10"/>
  <c r="VAB6" i="10"/>
  <c r="VAF6" i="10"/>
  <c r="VAJ6" i="10"/>
  <c r="VAN6" i="10"/>
  <c r="VAR6" i="10"/>
  <c r="VAV6" i="10"/>
  <c r="VAZ6" i="10"/>
  <c r="VBD6" i="10"/>
  <c r="VBH6" i="10"/>
  <c r="VBL6" i="10"/>
  <c r="VBP6" i="10"/>
  <c r="VBT6" i="10"/>
  <c r="VBX6" i="10"/>
  <c r="VCB6" i="10"/>
  <c r="VCF6" i="10"/>
  <c r="VCJ6" i="10"/>
  <c r="VCN6" i="10"/>
  <c r="VCR6" i="10"/>
  <c r="VCV6" i="10"/>
  <c r="VCZ6" i="10"/>
  <c r="VDD6" i="10"/>
  <c r="VDH6" i="10"/>
  <c r="VDL6" i="10"/>
  <c r="VDP6" i="10"/>
  <c r="VDT6" i="10"/>
  <c r="VDX6" i="10"/>
  <c r="VEB6" i="10"/>
  <c r="VEF6" i="10"/>
  <c r="VEJ6" i="10"/>
  <c r="VEN6" i="10"/>
  <c r="VER6" i="10"/>
  <c r="VEV6" i="10"/>
  <c r="VEZ6" i="10"/>
  <c r="VFD6" i="10"/>
  <c r="VFH6" i="10"/>
  <c r="VFL6" i="10"/>
  <c r="VFP6" i="10"/>
  <c r="VFT6" i="10"/>
  <c r="VFX6" i="10"/>
  <c r="VGB6" i="10"/>
  <c r="VGF6" i="10"/>
  <c r="VGJ6" i="10"/>
  <c r="VGN6" i="10"/>
  <c r="VGR6" i="10"/>
  <c r="VGV6" i="10"/>
  <c r="VGZ6" i="10"/>
  <c r="VHD6" i="10"/>
  <c r="VHH6" i="10"/>
  <c r="VHL6" i="10"/>
  <c r="VHP6" i="10"/>
  <c r="VHT6" i="10"/>
  <c r="VHX6" i="10"/>
  <c r="VIB6" i="10"/>
  <c r="VIF6" i="10"/>
  <c r="VIJ6" i="10"/>
  <c r="VIN6" i="10"/>
  <c r="VIR6" i="10"/>
  <c r="VIV6" i="10"/>
  <c r="VIZ6" i="10"/>
  <c r="VJD6" i="10"/>
  <c r="VJH6" i="10"/>
  <c r="VJL6" i="10"/>
  <c r="VJP6" i="10"/>
  <c r="VJT6" i="10"/>
  <c r="VJX6" i="10"/>
  <c r="VKB6" i="10"/>
  <c r="VKF6" i="10"/>
  <c r="VKJ6" i="10"/>
  <c r="VKN6" i="10"/>
  <c r="VKR6" i="10"/>
  <c r="VKV6" i="10"/>
  <c r="VKZ6" i="10"/>
  <c r="VLD6" i="10"/>
  <c r="VLH6" i="10"/>
  <c r="VLL6" i="10"/>
  <c r="VLP6" i="10"/>
  <c r="VLT6" i="10"/>
  <c r="VLX6" i="10"/>
  <c r="VMB6" i="10"/>
  <c r="VMF6" i="10"/>
  <c r="VMJ6" i="10"/>
  <c r="VMN6" i="10"/>
  <c r="VMR6" i="10"/>
  <c r="VMV6" i="10"/>
  <c r="VMZ6" i="10"/>
  <c r="VND6" i="10"/>
  <c r="VNH6" i="10"/>
  <c r="VNL6" i="10"/>
  <c r="VNP6" i="10"/>
  <c r="VNT6" i="10"/>
  <c r="VNX6" i="10"/>
  <c r="VOB6" i="10"/>
  <c r="VOF6" i="10"/>
  <c r="VOJ6" i="10"/>
  <c r="VON6" i="10"/>
  <c r="VOR6" i="10"/>
  <c r="VOV6" i="10"/>
  <c r="VOZ6" i="10"/>
  <c r="VPD6" i="10"/>
  <c r="VPH6" i="10"/>
  <c r="VPL6" i="10"/>
  <c r="VPP6" i="10"/>
  <c r="VPT6" i="10"/>
  <c r="VPX6" i="10"/>
  <c r="VQB6" i="10"/>
  <c r="VQF6" i="10"/>
  <c r="VQJ6" i="10"/>
  <c r="VQN6" i="10"/>
  <c r="VQR6" i="10"/>
  <c r="VQV6" i="10"/>
  <c r="VQZ6" i="10"/>
  <c r="VRD6" i="10"/>
  <c r="VRH6" i="10"/>
  <c r="VRL6" i="10"/>
  <c r="VRP6" i="10"/>
  <c r="VRT6" i="10"/>
  <c r="VRX6" i="10"/>
  <c r="VSB6" i="10"/>
  <c r="VSF6" i="10"/>
  <c r="VSJ6" i="10"/>
  <c r="VSN6" i="10"/>
  <c r="VSR6" i="10"/>
  <c r="VSV6" i="10"/>
  <c r="VSZ6" i="10"/>
  <c r="VTD6" i="10"/>
  <c r="VTH6" i="10"/>
  <c r="VTL6" i="10"/>
  <c r="VTP6" i="10"/>
  <c r="VTT6" i="10"/>
  <c r="VTX6" i="10"/>
  <c r="VUB6" i="10"/>
  <c r="VUF6" i="10"/>
  <c r="VUJ6" i="10"/>
  <c r="VUN6" i="10"/>
  <c r="VUR6" i="10"/>
  <c r="VUV6" i="10"/>
  <c r="VUZ6" i="10"/>
  <c r="VVD6" i="10"/>
  <c r="VVH6" i="10"/>
  <c r="VVL6" i="10"/>
  <c r="VVP6" i="10"/>
  <c r="VVT6" i="10"/>
  <c r="VVX6" i="10"/>
  <c r="VWB6" i="10"/>
  <c r="VWF6" i="10"/>
  <c r="VWJ6" i="10"/>
  <c r="VWN6" i="10"/>
  <c r="VWR6" i="10"/>
  <c r="VWV6" i="10"/>
  <c r="VWZ6" i="10"/>
  <c r="VXD6" i="10"/>
  <c r="VXH6" i="10"/>
  <c r="VXL6" i="10"/>
  <c r="VXP6" i="10"/>
  <c r="VXT6" i="10"/>
  <c r="VXX6" i="10"/>
  <c r="VYB6" i="10"/>
  <c r="VYF6" i="10"/>
  <c r="VYJ6" i="10"/>
  <c r="VYN6" i="10"/>
  <c r="VYR6" i="10"/>
  <c r="VYV6" i="10"/>
  <c r="VYZ6" i="10"/>
  <c r="VZD6" i="10"/>
  <c r="VZH6" i="10"/>
  <c r="VZL6" i="10"/>
  <c r="VZP6" i="10"/>
  <c r="VZT6" i="10"/>
  <c r="VZX6" i="10"/>
  <c r="WAB6" i="10"/>
  <c r="WAF6" i="10"/>
  <c r="WAJ6" i="10"/>
  <c r="WAN6" i="10"/>
  <c r="WAR6" i="10"/>
  <c r="WAV6" i="10"/>
  <c r="WAZ6" i="10"/>
  <c r="WBD6" i="10"/>
  <c r="WBH6" i="10"/>
  <c r="WBL6" i="10"/>
  <c r="WBP6" i="10"/>
  <c r="WBT6" i="10"/>
  <c r="WBX6" i="10"/>
  <c r="WCB6" i="10"/>
  <c r="WCF6" i="10"/>
  <c r="WCJ6" i="10"/>
  <c r="WCN6" i="10"/>
  <c r="WCR6" i="10"/>
  <c r="WCV6" i="10"/>
  <c r="WCZ6" i="10"/>
  <c r="WDD6" i="10"/>
  <c r="WDH6" i="10"/>
  <c r="WDL6" i="10"/>
  <c r="WDP6" i="10"/>
  <c r="WDT6" i="10"/>
  <c r="WDX6" i="10"/>
  <c r="WEB6" i="10"/>
  <c r="WEF6" i="10"/>
  <c r="WEJ6" i="10"/>
  <c r="WEN6" i="10"/>
  <c r="WER6" i="10"/>
  <c r="WEV6" i="10"/>
  <c r="WEZ6" i="10"/>
  <c r="WFD6" i="10"/>
  <c r="WFH6" i="10"/>
  <c r="WFL6" i="10"/>
  <c r="WFP6" i="10"/>
  <c r="WFT6" i="10"/>
  <c r="WFX6" i="10"/>
  <c r="WGB6" i="10"/>
  <c r="WGF6" i="10"/>
  <c r="WGJ6" i="10"/>
  <c r="WGN6" i="10"/>
  <c r="WGR6" i="10"/>
  <c r="WGV6" i="10"/>
  <c r="WGZ6" i="10"/>
  <c r="WHD6" i="10"/>
  <c r="WHH6" i="10"/>
  <c r="WHL6" i="10"/>
  <c r="WHP6" i="10"/>
  <c r="WHT6" i="10"/>
  <c r="WHX6" i="10"/>
  <c r="WIB6" i="10"/>
  <c r="WIF6" i="10"/>
  <c r="WIJ6" i="10"/>
  <c r="WIN6" i="10"/>
  <c r="WIR6" i="10"/>
  <c r="WIV6" i="10"/>
  <c r="WIZ6" i="10"/>
  <c r="WJD6" i="10"/>
  <c r="WJH6" i="10"/>
  <c r="WJL6" i="10"/>
  <c r="WJP6" i="10"/>
  <c r="WJT6" i="10"/>
  <c r="WJX6" i="10"/>
  <c r="WKB6" i="10"/>
  <c r="WKF6" i="10"/>
  <c r="WKJ6" i="10"/>
  <c r="WKN6" i="10"/>
  <c r="WKR6" i="10"/>
  <c r="WKV6" i="10"/>
  <c r="WKZ6" i="10"/>
  <c r="WLD6" i="10"/>
  <c r="WLH6" i="10"/>
  <c r="WLL6" i="10"/>
  <c r="WLP6" i="10"/>
  <c r="WLT6" i="10"/>
  <c r="WLX6" i="10"/>
  <c r="WMB6" i="10"/>
  <c r="WMF6" i="10"/>
  <c r="WMJ6" i="10"/>
  <c r="WMN6" i="10"/>
  <c r="WMR6" i="10"/>
  <c r="WMV6" i="10"/>
  <c r="WMZ6" i="10"/>
  <c r="WND6" i="10"/>
  <c r="WNH6" i="10"/>
  <c r="WNL6" i="10"/>
  <c r="WNP6" i="10"/>
  <c r="WNT6" i="10"/>
  <c r="WNX6" i="10"/>
  <c r="WOB6" i="10"/>
  <c r="WOF6" i="10"/>
  <c r="WOJ6" i="10"/>
  <c r="WON6" i="10"/>
  <c r="WOR6" i="10"/>
  <c r="WOV6" i="10"/>
  <c r="WOZ6" i="10"/>
  <c r="WPD6" i="10"/>
  <c r="WPH6" i="10"/>
  <c r="WPL6" i="10"/>
  <c r="WPP6" i="10"/>
  <c r="WPT6" i="10"/>
  <c r="WPX6" i="10"/>
  <c r="WQB6" i="10"/>
  <c r="WQF6" i="10"/>
  <c r="WQJ6" i="10"/>
  <c r="WQN6" i="10"/>
  <c r="WQR6" i="10"/>
  <c r="WQV6" i="10"/>
  <c r="WQZ6" i="10"/>
  <c r="WRD6" i="10"/>
  <c r="WRH6" i="10"/>
  <c r="WRL6" i="10"/>
  <c r="WRP6" i="10"/>
  <c r="WRT6" i="10"/>
  <c r="WRX6" i="10"/>
  <c r="WSB6" i="10"/>
  <c r="WSF6" i="10"/>
  <c r="WSJ6" i="10"/>
  <c r="WSN6" i="10"/>
  <c r="WSR6" i="10"/>
  <c r="WSV6" i="10"/>
  <c r="WSZ6" i="10"/>
  <c r="WTD6" i="10"/>
  <c r="WTH6" i="10"/>
  <c r="WTL6" i="10"/>
  <c r="WTP6" i="10"/>
  <c r="WTT6" i="10"/>
  <c r="WTX6" i="10"/>
  <c r="WUB6" i="10"/>
  <c r="WUF6" i="10"/>
  <c r="WUJ6" i="10"/>
  <c r="WUN6" i="10"/>
  <c r="WUR6" i="10"/>
  <c r="WUV6" i="10"/>
  <c r="WUZ6" i="10"/>
  <c r="WVD6" i="10"/>
  <c r="WVH6" i="10"/>
  <c r="WVL6" i="10"/>
  <c r="WVP6" i="10"/>
  <c r="WVT6" i="10"/>
  <c r="WVX6" i="10"/>
  <c r="WWB6" i="10"/>
  <c r="WWF6" i="10"/>
  <c r="WWJ6" i="10"/>
  <c r="WWN6" i="10"/>
  <c r="WWR6" i="10"/>
  <c r="WWV6" i="10"/>
  <c r="WWZ6" i="10"/>
  <c r="WXD6" i="10"/>
  <c r="WXH6" i="10"/>
  <c r="WXL6" i="10"/>
  <c r="WXP6" i="10"/>
  <c r="WXT6" i="10"/>
  <c r="WXX6" i="10"/>
  <c r="WYB6" i="10"/>
  <c r="WYF6" i="10"/>
  <c r="WYJ6" i="10"/>
  <c r="WYN6" i="10"/>
  <c r="WYR6" i="10"/>
  <c r="WYV6" i="10"/>
  <c r="WYZ6" i="10"/>
  <c r="WZD6" i="10"/>
  <c r="WZH6" i="10"/>
  <c r="WZL6" i="10"/>
  <c r="WZP6" i="10"/>
  <c r="WZT6" i="10"/>
  <c r="WZX6" i="10"/>
  <c r="XAB6" i="10"/>
  <c r="XAF6" i="10"/>
  <c r="XAJ6" i="10"/>
  <c r="XAN6" i="10"/>
  <c r="XAR6" i="10"/>
  <c r="XAV6" i="10"/>
  <c r="XAZ6" i="10"/>
  <c r="XBD6" i="10"/>
  <c r="XBH6" i="10"/>
  <c r="XBL6" i="10"/>
  <c r="XBP6" i="10"/>
  <c r="XBT6" i="10"/>
  <c r="XBX6" i="10"/>
  <c r="XCB6" i="10"/>
  <c r="XCF6" i="10"/>
  <c r="XCJ6" i="10"/>
  <c r="XCN6" i="10"/>
  <c r="XCR6" i="10"/>
  <c r="XCV6" i="10"/>
  <c r="XCZ6" i="10"/>
  <c r="XDD6" i="10"/>
  <c r="XDH6" i="10"/>
  <c r="XDL6" i="10"/>
  <c r="XDP6" i="10"/>
  <c r="XDT6" i="10"/>
  <c r="XDX6" i="10"/>
  <c r="XEB6" i="10"/>
  <c r="XEF6" i="10"/>
  <c r="XEJ6" i="10"/>
  <c r="XEN6" i="10"/>
  <c r="XER6" i="10"/>
  <c r="XEV6" i="10"/>
  <c r="XEZ6" i="10"/>
  <c r="XFD6" i="10"/>
  <c r="GHP6" i="10"/>
  <c r="HBH6" i="10"/>
  <c r="HUN6" i="10"/>
  <c r="IJH6" i="10"/>
  <c r="IOF6" i="10"/>
  <c r="IZB6" i="10"/>
  <c r="JDZ6" i="10"/>
  <c r="JLJ6" i="10"/>
  <c r="JST6" i="10"/>
  <c r="KCP6" i="10"/>
  <c r="KJZ6" i="10"/>
  <c r="KRJ6" i="10"/>
  <c r="KYT6" i="10"/>
  <c r="LGD6" i="10"/>
  <c r="LLB6" i="10"/>
  <c r="LRZ6" i="10"/>
  <c r="LWX6" i="10"/>
  <c r="MAP6" i="10"/>
  <c r="MEH6" i="10"/>
  <c r="MHZ6" i="10"/>
  <c r="MLR6" i="10"/>
  <c r="MPJ6" i="10"/>
  <c r="MTB6" i="10"/>
  <c r="MWT6" i="10"/>
  <c r="NAL6" i="10"/>
  <c r="NED6" i="10"/>
  <c r="NFY6" i="10"/>
  <c r="NHU6" i="10"/>
  <c r="NJQ6" i="10"/>
  <c r="NLM6" i="10"/>
  <c r="NNY6" i="10"/>
  <c r="NPU6" i="10"/>
  <c r="NRQ6" i="10"/>
  <c r="NTM6" i="10"/>
  <c r="NVY6" i="10"/>
  <c r="NXU6" i="10"/>
  <c r="NZQ6" i="10"/>
  <c r="OBM6" i="10"/>
  <c r="ODI6" i="10"/>
  <c r="OFE6" i="10"/>
  <c r="OGK6" i="10"/>
  <c r="OIG6" i="10"/>
  <c r="OKC6" i="10"/>
  <c r="OLY6" i="10"/>
  <c r="ONU6" i="10"/>
  <c r="OPA6" i="10"/>
  <c r="ORM6" i="10"/>
  <c r="OTI6" i="10"/>
  <c r="OVE6" i="10"/>
  <c r="OXA6" i="10"/>
  <c r="OYW6" i="10"/>
  <c r="PAS6" i="10"/>
  <c r="PCO6" i="10"/>
  <c r="PEK6" i="10"/>
  <c r="PGG6" i="10"/>
  <c r="PHM6" i="10"/>
  <c r="PJY6" i="10"/>
  <c r="PLU6" i="10"/>
  <c r="PNQ6" i="10"/>
  <c r="PPM6" i="10"/>
  <c r="PRI6" i="10"/>
  <c r="PTE6" i="10"/>
  <c r="PVA6" i="10"/>
  <c r="PWW6" i="10"/>
  <c r="PYS6" i="10"/>
  <c r="QAO6" i="10"/>
  <c r="QCK6" i="10"/>
  <c r="QEG6" i="10"/>
  <c r="QGC6" i="10"/>
  <c r="QHI6" i="10"/>
  <c r="QJE6" i="10"/>
  <c r="QLA6" i="10"/>
  <c r="QMW6" i="10"/>
  <c r="QOS6" i="10"/>
  <c r="QQO6" i="10"/>
  <c r="QSK6" i="10"/>
  <c r="QTQ6" i="10"/>
  <c r="QVM6" i="10"/>
  <c r="QXI6" i="10"/>
  <c r="QZE6" i="10"/>
  <c r="RAK6" i="10"/>
  <c r="RCV6" i="10"/>
  <c r="RDT6" i="10"/>
  <c r="RER6" i="10"/>
  <c r="RFX6" i="10"/>
  <c r="RGV6" i="10"/>
  <c r="RHT6" i="10"/>
  <c r="RIR6" i="10"/>
  <c r="RJX6" i="10"/>
  <c r="RKV6" i="10"/>
  <c r="RLL6" i="10"/>
  <c r="RMJ6" i="10"/>
  <c r="RNH6" i="10"/>
  <c r="ROF6" i="10"/>
  <c r="RPD6" i="10"/>
  <c r="RQB6" i="10"/>
  <c r="RQZ6" i="10"/>
  <c r="RRX6" i="10"/>
  <c r="RSV6" i="10"/>
  <c r="RUB6" i="10"/>
  <c r="RUZ6" i="10"/>
  <c r="RVX6" i="10"/>
  <c r="RXL6" i="10"/>
  <c r="RYR6" i="10"/>
  <c r="RZP6" i="10"/>
  <c r="SAN6" i="10"/>
  <c r="SBL6" i="10"/>
  <c r="SCJ6" i="10"/>
  <c r="SDP6" i="10"/>
  <c r="SEF6" i="10"/>
  <c r="SFL6" i="10"/>
  <c r="SGJ6" i="10"/>
  <c r="SHH6" i="10"/>
  <c r="SIF6" i="10"/>
  <c r="SJD6" i="10"/>
  <c r="SKB6" i="10"/>
  <c r="SLH6" i="10"/>
  <c r="SMF6" i="10"/>
  <c r="SMV6" i="10"/>
  <c r="SNT6" i="10"/>
  <c r="SOR6" i="10"/>
  <c r="SPP6" i="10"/>
  <c r="SQN6" i="10"/>
  <c r="SRL6" i="10"/>
  <c r="SSR6" i="10"/>
  <c r="STH6" i="10"/>
  <c r="SUF6" i="10"/>
  <c r="SVD6" i="10"/>
  <c r="SWB6" i="10"/>
  <c r="SWR6" i="10"/>
  <c r="SXX6" i="10"/>
  <c r="SZD6" i="10"/>
  <c r="TAB6" i="10"/>
  <c r="TAZ6" i="10"/>
  <c r="TBX6" i="10"/>
  <c r="TCN6" i="10"/>
  <c r="TDD6" i="10"/>
  <c r="TEB6" i="10"/>
  <c r="TEZ6" i="10"/>
  <c r="TFX6" i="10"/>
  <c r="TGV6" i="10"/>
  <c r="THT6" i="10"/>
  <c r="TIR6" i="10"/>
  <c r="TJJ6" i="10"/>
  <c r="TJU6" i="10"/>
  <c r="TKK6" i="10"/>
  <c r="TLA6" i="10"/>
  <c r="TLQ6" i="10"/>
  <c r="TME6" i="10"/>
  <c r="TMQ6" i="10"/>
  <c r="TNC6" i="10"/>
  <c r="TNO6" i="10"/>
  <c r="TOA6" i="10"/>
  <c r="TOM6" i="10"/>
  <c r="TOY6" i="10"/>
  <c r="TPK6" i="10"/>
  <c r="TPW6" i="10"/>
  <c r="TQI6" i="10"/>
  <c r="TQU6" i="10"/>
  <c r="TRG6" i="10"/>
  <c r="TRS6" i="10"/>
  <c r="TSE6" i="10"/>
  <c r="TSQ6" i="10"/>
  <c r="TTC6" i="10"/>
  <c r="TTK6" i="10"/>
  <c r="TUA6" i="10"/>
  <c r="TUM6" i="10"/>
  <c r="TUU6" i="10"/>
  <c r="TVG6" i="10"/>
  <c r="TVO6" i="10"/>
  <c r="TWA6" i="10"/>
  <c r="TWM6" i="10"/>
  <c r="TWU6" i="10"/>
  <c r="TXG6" i="10"/>
  <c r="TXS6" i="10"/>
  <c r="TYE6" i="10"/>
  <c r="TYU6" i="10"/>
  <c r="TZG6" i="10"/>
  <c r="TZS6" i="10"/>
  <c r="UAI6" i="10"/>
  <c r="UAY6" i="10"/>
  <c r="UBK6" i="10"/>
  <c r="UBW6" i="10"/>
  <c r="UCI6" i="10"/>
  <c r="UCU6" i="10"/>
  <c r="UDG6" i="10"/>
  <c r="UDS6" i="10"/>
  <c r="UEE6" i="10"/>
  <c r="UEM6" i="10"/>
  <c r="UEY6" i="10"/>
  <c r="UFK6" i="10"/>
  <c r="UFS6" i="10"/>
  <c r="UGE6" i="10"/>
  <c r="UGQ6" i="10"/>
  <c r="UHC6" i="10"/>
  <c r="UHO6" i="10"/>
  <c r="UIE6" i="10"/>
  <c r="UIU6" i="10"/>
  <c r="UJG6" i="10"/>
  <c r="UJS6" i="10"/>
  <c r="UKE6" i="10"/>
  <c r="UKM6" i="10"/>
  <c r="UKY6" i="10"/>
  <c r="ULK6" i="10"/>
  <c r="ULW6" i="10"/>
  <c r="UME6" i="10"/>
  <c r="UMU6" i="10"/>
  <c r="UNC6" i="10"/>
  <c r="UNS6" i="10"/>
  <c r="UOE6" i="10"/>
  <c r="UOQ6" i="10"/>
  <c r="UPC6" i="10"/>
  <c r="UPO6" i="10"/>
  <c r="UQA6" i="10"/>
  <c r="UQM6" i="10"/>
  <c r="UQY6" i="10"/>
  <c r="URK6" i="10"/>
  <c r="URW6" i="10"/>
  <c r="USI6" i="10"/>
  <c r="USU6" i="10"/>
  <c r="UTG6" i="10"/>
  <c r="UTS6" i="10"/>
  <c r="UUE6" i="10"/>
  <c r="UUQ6" i="10"/>
  <c r="UVC6" i="10"/>
  <c r="UVK6" i="10"/>
  <c r="UVW6" i="10"/>
  <c r="UWI6" i="10"/>
  <c r="UWU6" i="10"/>
  <c r="UXG6" i="10"/>
  <c r="UXS6" i="10"/>
  <c r="UYE6" i="10"/>
  <c r="UYQ6" i="10"/>
  <c r="UZC6" i="10"/>
  <c r="UZO6" i="10"/>
  <c r="VAA6" i="10"/>
  <c r="VAM6" i="10"/>
  <c r="VAY6" i="10"/>
  <c r="VBO6" i="10"/>
  <c r="VCA6" i="10"/>
  <c r="VCM6" i="10"/>
  <c r="VDC6" i="10"/>
  <c r="VDO6" i="10"/>
  <c r="VEA6" i="10"/>
  <c r="VEM6" i="10"/>
  <c r="VEY6" i="10"/>
  <c r="VFK6" i="10"/>
  <c r="VFW6" i="10"/>
  <c r="VGE6" i="10"/>
  <c r="VGQ6" i="10"/>
  <c r="VHC6" i="10"/>
  <c r="VHO6" i="10"/>
  <c r="VIA6" i="10"/>
  <c r="VIM6" i="10"/>
  <c r="VIY6" i="10"/>
  <c r="VJK6" i="10"/>
  <c r="VJW6" i="10"/>
  <c r="VKI6" i="10"/>
  <c r="VKU6" i="10"/>
  <c r="VLG6" i="10"/>
  <c r="VLS6" i="10"/>
  <c r="VMI6" i="10"/>
  <c r="VMU6" i="10"/>
  <c r="VNG6" i="10"/>
  <c r="VNO6" i="10"/>
  <c r="VOA6" i="10"/>
  <c r="VOM6" i="10"/>
  <c r="VOY6" i="10"/>
  <c r="VPK6" i="10"/>
  <c r="VPW6" i="10"/>
  <c r="VQI6" i="10"/>
  <c r="VQU6" i="10"/>
  <c r="VRG6" i="10"/>
  <c r="VRO6" i="10"/>
  <c r="VSA6" i="10"/>
  <c r="VSM6" i="10"/>
  <c r="VSU6" i="10"/>
  <c r="VTG6" i="10"/>
  <c r="VTW6" i="10"/>
  <c r="VUI6" i="10"/>
  <c r="VUU6" i="10"/>
  <c r="VVK6" i="10"/>
  <c r="VVW6" i="10"/>
  <c r="VWI6" i="10"/>
  <c r="VWU6" i="10"/>
  <c r="EAL6" i="10"/>
  <c r="FIZ6" i="10"/>
  <c r="FSV6" i="10"/>
  <c r="GCR6" i="10"/>
  <c r="GMN6" i="10"/>
  <c r="GWJ6" i="10"/>
  <c r="HGF6" i="10"/>
  <c r="HQB6" i="10"/>
  <c r="HWZ6" i="10"/>
  <c r="IBX6" i="10"/>
  <c r="IGV6" i="10"/>
  <c r="ILT6" i="10"/>
  <c r="IQR6" i="10"/>
  <c r="IVJ6" i="10"/>
  <c r="IXV6" i="10"/>
  <c r="JAH6" i="10"/>
  <c r="JCT6" i="10"/>
  <c r="JFF6" i="10"/>
  <c r="JHR6" i="10"/>
  <c r="JKD6" i="10"/>
  <c r="JMP6" i="10"/>
  <c r="JPB6" i="10"/>
  <c r="JRN6" i="10"/>
  <c r="JTZ6" i="10"/>
  <c r="JWL6" i="10"/>
  <c r="JYX6" i="10"/>
  <c r="KBJ6" i="10"/>
  <c r="KDV6" i="10"/>
  <c r="KGH6" i="10"/>
  <c r="KIT6" i="10"/>
  <c r="KLF6" i="10"/>
  <c r="KNR6" i="10"/>
  <c r="KQD6" i="10"/>
  <c r="KSP6" i="10"/>
  <c r="KVB6" i="10"/>
  <c r="KXN6" i="10"/>
  <c r="KZZ6" i="10"/>
  <c r="LCL6" i="10"/>
  <c r="LEX6" i="10"/>
  <c r="LHJ6" i="10"/>
  <c r="LJV6" i="10"/>
  <c r="LMH6" i="10"/>
  <c r="LOT6" i="10"/>
  <c r="LQD6" i="10"/>
  <c r="LRJ6" i="10"/>
  <c r="LSP6" i="10"/>
  <c r="LTV6" i="10"/>
  <c r="LVB6" i="10"/>
  <c r="LWH6" i="10"/>
  <c r="LXN6" i="10"/>
  <c r="LYT6" i="10"/>
  <c r="LZZ6" i="10"/>
  <c r="MBF6" i="10"/>
  <c r="MCL6" i="10"/>
  <c r="MDR6" i="10"/>
  <c r="MEX6" i="10"/>
  <c r="MGD6" i="10"/>
  <c r="MHJ6" i="10"/>
  <c r="MIP6" i="10"/>
  <c r="MJV6" i="10"/>
  <c r="MLB6" i="10"/>
  <c r="MMH6" i="10"/>
  <c r="MNN6" i="10"/>
  <c r="MOT6" i="10"/>
  <c r="MPZ6" i="10"/>
  <c r="MRF6" i="10"/>
  <c r="MSL6" i="10"/>
  <c r="MTR6" i="10"/>
  <c r="MUX6" i="10"/>
  <c r="MWD6" i="10"/>
  <c r="MXJ6" i="10"/>
  <c r="MYP6" i="10"/>
  <c r="MZV6" i="10"/>
  <c r="NBB6" i="10"/>
  <c r="NCH6" i="10"/>
  <c r="NDN6" i="10"/>
  <c r="NET6" i="10"/>
  <c r="NFQ6" i="10"/>
  <c r="NGG6" i="10"/>
  <c r="NGW6" i="10"/>
  <c r="NHM6" i="10"/>
  <c r="NIC6" i="10"/>
  <c r="NIS6" i="10"/>
  <c r="NJI6" i="10"/>
  <c r="NJY6" i="10"/>
  <c r="NKO6" i="10"/>
  <c r="NLE6" i="10"/>
  <c r="NLU6" i="10"/>
  <c r="NMK6" i="10"/>
  <c r="NNA6" i="10"/>
  <c r="NNQ6" i="10"/>
  <c r="NOG6" i="10"/>
  <c r="NOW6" i="10"/>
  <c r="NPM6" i="10"/>
  <c r="NQC6" i="10"/>
  <c r="NQS6" i="10"/>
  <c r="NRI6" i="10"/>
  <c r="NRY6" i="10"/>
  <c r="NSO6" i="10"/>
  <c r="NTE6" i="10"/>
  <c r="NTU6" i="10"/>
  <c r="NUK6" i="10"/>
  <c r="NVA6" i="10"/>
  <c r="NVQ6" i="10"/>
  <c r="NWG6" i="10"/>
  <c r="NWW6" i="10"/>
  <c r="NXM6" i="10"/>
  <c r="NYC6" i="10"/>
  <c r="NYS6" i="10"/>
  <c r="NZI6" i="10"/>
  <c r="NZY6" i="10"/>
  <c r="OAO6" i="10"/>
  <c r="OBE6" i="10"/>
  <c r="OBU6" i="10"/>
  <c r="OCK6" i="10"/>
  <c r="ODA6" i="10"/>
  <c r="ODQ6" i="10"/>
  <c r="OEG6" i="10"/>
  <c r="OEW6" i="10"/>
  <c r="OFM6" i="10"/>
  <c r="OGC6" i="10"/>
  <c r="OGS6" i="10"/>
  <c r="OHI6" i="10"/>
  <c r="OHY6" i="10"/>
  <c r="OIO6" i="10"/>
  <c r="OJE6" i="10"/>
  <c r="OJU6" i="10"/>
  <c r="OKK6" i="10"/>
  <c r="OLA6" i="10"/>
  <c r="OLQ6" i="10"/>
  <c r="OMG6" i="10"/>
  <c r="OMW6" i="10"/>
  <c r="ONM6" i="10"/>
  <c r="OOC6" i="10"/>
  <c r="OOS6" i="10"/>
  <c r="OPI6" i="10"/>
  <c r="OPY6" i="10"/>
  <c r="OQO6" i="10"/>
  <c r="ORE6" i="10"/>
  <c r="ORU6" i="10"/>
  <c r="OSK6" i="10"/>
  <c r="OTA6" i="10"/>
  <c r="OTQ6" i="10"/>
  <c r="OUG6" i="10"/>
  <c r="OUW6" i="10"/>
  <c r="OVM6" i="10"/>
  <c r="OWC6" i="10"/>
  <c r="OWS6" i="10"/>
  <c r="OXI6" i="10"/>
  <c r="OXY6" i="10"/>
  <c r="OYO6" i="10"/>
  <c r="OZE6" i="10"/>
  <c r="OZU6" i="10"/>
  <c r="PAK6" i="10"/>
  <c r="PBA6" i="10"/>
  <c r="PBQ6" i="10"/>
  <c r="PCG6" i="10"/>
  <c r="PCW6" i="10"/>
  <c r="PDM6" i="10"/>
  <c r="PEC6" i="10"/>
  <c r="PES6" i="10"/>
  <c r="PFI6" i="10"/>
  <c r="PFY6" i="10"/>
  <c r="PGO6" i="10"/>
  <c r="PHE6" i="10"/>
  <c r="PHU6" i="10"/>
  <c r="PIK6" i="10"/>
  <c r="PJA6" i="10"/>
  <c r="PJQ6" i="10"/>
  <c r="PKG6" i="10"/>
  <c r="PKW6" i="10"/>
  <c r="PLM6" i="10"/>
  <c r="PMC6" i="10"/>
  <c r="PMS6" i="10"/>
  <c r="PNI6" i="10"/>
  <c r="PNY6" i="10"/>
  <c r="POO6" i="10"/>
  <c r="PPE6" i="10"/>
  <c r="PPU6" i="10"/>
  <c r="PQK6" i="10"/>
  <c r="PRA6" i="10"/>
  <c r="PRQ6" i="10"/>
  <c r="PSG6" i="10"/>
  <c r="PSW6" i="10"/>
  <c r="PTM6" i="10"/>
  <c r="PUC6" i="10"/>
  <c r="PUS6" i="10"/>
  <c r="PVI6" i="10"/>
  <c r="PVY6" i="10"/>
  <c r="PWO6" i="10"/>
  <c r="PXE6" i="10"/>
  <c r="PXU6" i="10"/>
  <c r="PYK6" i="10"/>
  <c r="PZA6" i="10"/>
  <c r="PZQ6" i="10"/>
  <c r="QAG6" i="10"/>
  <c r="QAW6" i="10"/>
  <c r="QBM6" i="10"/>
  <c r="QCC6" i="10"/>
  <c r="QCS6" i="10"/>
  <c r="QDI6" i="10"/>
  <c r="QDY6" i="10"/>
  <c r="QEO6" i="10"/>
  <c r="QFE6" i="10"/>
  <c r="QFU6" i="10"/>
  <c r="QGK6" i="10"/>
  <c r="QHA6" i="10"/>
  <c r="QHQ6" i="10"/>
  <c r="QIG6" i="10"/>
  <c r="QIW6" i="10"/>
  <c r="QJM6" i="10"/>
  <c r="QKC6" i="10"/>
  <c r="QKS6" i="10"/>
  <c r="QLI6" i="10"/>
  <c r="QLY6" i="10"/>
  <c r="QMO6" i="10"/>
  <c r="QNE6" i="10"/>
  <c r="QNU6" i="10"/>
  <c r="QOK6" i="10"/>
  <c r="QPA6" i="10"/>
  <c r="QPQ6" i="10"/>
  <c r="QQG6" i="10"/>
  <c r="QQW6" i="10"/>
  <c r="QRM6" i="10"/>
  <c r="QSC6" i="10"/>
  <c r="QSS6" i="10"/>
  <c r="QTI6" i="10"/>
  <c r="QTY6" i="10"/>
  <c r="QUO6" i="10"/>
  <c r="QVE6" i="10"/>
  <c r="QVU6" i="10"/>
  <c r="QWK6" i="10"/>
  <c r="QXA6" i="10"/>
  <c r="QXQ6" i="10"/>
  <c r="QYG6" i="10"/>
  <c r="QYW6" i="10"/>
  <c r="QZM6" i="10"/>
  <c r="RAC6" i="10"/>
  <c r="RAS6" i="10"/>
  <c r="RBI6" i="10"/>
  <c r="RBY6" i="10"/>
  <c r="RCO6" i="10"/>
  <c r="RCZ6" i="10"/>
  <c r="RDH6" i="10"/>
  <c r="RDP6" i="10"/>
  <c r="RDX6" i="10"/>
  <c r="REF6" i="10"/>
  <c r="REN6" i="10"/>
  <c r="REV6" i="10"/>
  <c r="RFD6" i="10"/>
  <c r="RFL6" i="10"/>
  <c r="RFT6" i="10"/>
  <c r="RGB6" i="10"/>
  <c r="RGJ6" i="10"/>
  <c r="RGR6" i="10"/>
  <c r="RGZ6" i="10"/>
  <c r="RHH6" i="10"/>
  <c r="RHP6" i="10"/>
  <c r="RHX6" i="10"/>
  <c r="RIF6" i="10"/>
  <c r="RIN6" i="10"/>
  <c r="RIV6" i="10"/>
  <c r="RJD6" i="10"/>
  <c r="RJL6" i="10"/>
  <c r="RJT6" i="10"/>
  <c r="RKB6" i="10"/>
  <c r="RKJ6" i="10"/>
  <c r="RKR6" i="10"/>
  <c r="RKZ6" i="10"/>
  <c r="RLH6" i="10"/>
  <c r="RLP6" i="10"/>
  <c r="RLX6" i="10"/>
  <c r="RMF6" i="10"/>
  <c r="RMN6" i="10"/>
  <c r="RMV6" i="10"/>
  <c r="RND6" i="10"/>
  <c r="RNL6" i="10"/>
  <c r="RNT6" i="10"/>
  <c r="ROB6" i="10"/>
  <c r="ROJ6" i="10"/>
  <c r="ROR6" i="10"/>
  <c r="ROZ6" i="10"/>
  <c r="RPH6" i="10"/>
  <c r="RPP6" i="10"/>
  <c r="RPX6" i="10"/>
  <c r="RQF6" i="10"/>
  <c r="RQN6" i="10"/>
  <c r="RQV6" i="10"/>
  <c r="RRD6" i="10"/>
  <c r="RRL6" i="10"/>
  <c r="RRT6" i="10"/>
  <c r="RSB6" i="10"/>
  <c r="RSJ6" i="10"/>
  <c r="RSR6" i="10"/>
  <c r="RSZ6" i="10"/>
  <c r="RTH6" i="10"/>
  <c r="RTP6" i="10"/>
  <c r="RTX6" i="10"/>
  <c r="RUF6" i="10"/>
  <c r="RUN6" i="10"/>
  <c r="RUV6" i="10"/>
  <c r="RVD6" i="10"/>
  <c r="RVL6" i="10"/>
  <c r="RVT6" i="10"/>
  <c r="RWB6" i="10"/>
  <c r="RWJ6" i="10"/>
  <c r="RWR6" i="10"/>
  <c r="RWZ6" i="10"/>
  <c r="RXH6" i="10"/>
  <c r="RXP6" i="10"/>
  <c r="RXX6" i="10"/>
  <c r="RYF6" i="10"/>
  <c r="RYN6" i="10"/>
  <c r="RYV6" i="10"/>
  <c r="RZD6" i="10"/>
  <c r="RZL6" i="10"/>
  <c r="RZT6" i="10"/>
  <c r="SAB6" i="10"/>
  <c r="SAJ6" i="10"/>
  <c r="SAR6" i="10"/>
  <c r="SAZ6" i="10"/>
  <c r="SBH6" i="10"/>
  <c r="SBP6" i="10"/>
  <c r="SBX6" i="10"/>
  <c r="SCF6" i="10"/>
  <c r="SCN6" i="10"/>
  <c r="SCV6" i="10"/>
  <c r="SDD6" i="10"/>
  <c r="SDL6" i="10"/>
  <c r="SDT6" i="10"/>
  <c r="SEB6" i="10"/>
  <c r="SEJ6" i="10"/>
  <c r="SER6" i="10"/>
  <c r="SEZ6" i="10"/>
  <c r="SFH6" i="10"/>
  <c r="SFP6" i="10"/>
  <c r="SFX6" i="10"/>
  <c r="SGF6" i="10"/>
  <c r="SGN6" i="10"/>
  <c r="SGV6" i="10"/>
  <c r="SHD6" i="10"/>
  <c r="SHL6" i="10"/>
  <c r="SHT6" i="10"/>
  <c r="SIB6" i="10"/>
  <c r="SIJ6" i="10"/>
  <c r="SIR6" i="10"/>
  <c r="SIZ6" i="10"/>
  <c r="SJH6" i="10"/>
  <c r="SJP6" i="10"/>
  <c r="SJX6" i="10"/>
  <c r="SKF6" i="10"/>
  <c r="SKN6" i="10"/>
  <c r="SKV6" i="10"/>
  <c r="SLD6" i="10"/>
  <c r="SLL6" i="10"/>
  <c r="SLT6" i="10"/>
  <c r="SMB6" i="10"/>
  <c r="SMJ6" i="10"/>
  <c r="SMR6" i="10"/>
  <c r="SMZ6" i="10"/>
  <c r="SNH6" i="10"/>
  <c r="SNP6" i="10"/>
  <c r="SNX6" i="10"/>
  <c r="SOF6" i="10"/>
  <c r="SON6" i="10"/>
  <c r="SOV6" i="10"/>
  <c r="SPD6" i="10"/>
  <c r="SPL6" i="10"/>
  <c r="SPT6" i="10"/>
  <c r="SQB6" i="10"/>
  <c r="SQJ6" i="10"/>
  <c r="SQR6" i="10"/>
  <c r="SQZ6" i="10"/>
  <c r="SRH6" i="10"/>
  <c r="SRP6" i="10"/>
  <c r="SRX6" i="10"/>
  <c r="SSF6" i="10"/>
  <c r="SSN6" i="10"/>
  <c r="SSV6" i="10"/>
  <c r="STD6" i="10"/>
  <c r="STL6" i="10"/>
  <c r="STT6" i="10"/>
  <c r="SUB6" i="10"/>
  <c r="SUJ6" i="10"/>
  <c r="SUR6" i="10"/>
  <c r="SUZ6" i="10"/>
  <c r="SVH6" i="10"/>
  <c r="SVP6" i="10"/>
  <c r="SVX6" i="10"/>
  <c r="SWF6" i="10"/>
  <c r="SWN6" i="10"/>
  <c r="SWV6" i="10"/>
  <c r="SXD6" i="10"/>
  <c r="SXL6" i="10"/>
  <c r="SXT6" i="10"/>
  <c r="SYB6" i="10"/>
  <c r="SYJ6" i="10"/>
  <c r="SYR6" i="10"/>
  <c r="SYZ6" i="10"/>
  <c r="SZH6" i="10"/>
  <c r="SZP6" i="10"/>
  <c r="SZX6" i="10"/>
  <c r="TAF6" i="10"/>
  <c r="TAN6" i="10"/>
  <c r="TAV6" i="10"/>
  <c r="TBD6" i="10"/>
  <c r="TBL6" i="10"/>
  <c r="TBT6" i="10"/>
  <c r="TCB6" i="10"/>
  <c r="TCJ6" i="10"/>
  <c r="TCR6" i="10"/>
  <c r="TCZ6" i="10"/>
  <c r="TDH6" i="10"/>
  <c r="TDP6" i="10"/>
  <c r="TDX6" i="10"/>
  <c r="TEF6" i="10"/>
  <c r="TEN6" i="10"/>
  <c r="TEV6" i="10"/>
  <c r="TFD6" i="10"/>
  <c r="TFL6" i="10"/>
  <c r="TFT6" i="10"/>
  <c r="TGB6" i="10"/>
  <c r="TGJ6" i="10"/>
  <c r="TGR6" i="10"/>
  <c r="TGZ6" i="10"/>
  <c r="THH6" i="10"/>
  <c r="THP6" i="10"/>
  <c r="THX6" i="10"/>
  <c r="TIF6" i="10"/>
  <c r="TIN6" i="10"/>
  <c r="TIV6" i="10"/>
  <c r="TJB6" i="10"/>
  <c r="TJH6" i="10"/>
  <c r="TJM6" i="10"/>
  <c r="TJR6" i="10"/>
  <c r="TJX6" i="10"/>
  <c r="TKC6" i="10"/>
  <c r="TKH6" i="10"/>
  <c r="TKN6" i="10"/>
  <c r="TKS6" i="10"/>
  <c r="TKX6" i="10"/>
  <c r="TLD6" i="10"/>
  <c r="TLI6" i="10"/>
  <c r="TLN6" i="10"/>
  <c r="TLT6" i="10"/>
  <c r="TLY6" i="10"/>
  <c r="TMC6" i="10"/>
  <c r="TMG6" i="10"/>
  <c r="TMK6" i="10"/>
  <c r="TMO6" i="10"/>
  <c r="TMS6" i="10"/>
  <c r="TMW6" i="10"/>
  <c r="TNA6" i="10"/>
  <c r="TNE6" i="10"/>
  <c r="TNI6" i="10"/>
  <c r="TNM6" i="10"/>
  <c r="TNQ6" i="10"/>
  <c r="TNU6" i="10"/>
  <c r="TNY6" i="10"/>
  <c r="TOC6" i="10"/>
  <c r="TOG6" i="10"/>
  <c r="TOK6" i="10"/>
  <c r="TOO6" i="10"/>
  <c r="TOS6" i="10"/>
  <c r="TOW6" i="10"/>
  <c r="TPA6" i="10"/>
  <c r="TPE6" i="10"/>
  <c r="TPI6" i="10"/>
  <c r="TPM6" i="10"/>
  <c r="TPQ6" i="10"/>
  <c r="TPU6" i="10"/>
  <c r="TPY6" i="10"/>
  <c r="TQC6" i="10"/>
  <c r="TQG6" i="10"/>
  <c r="TQK6" i="10"/>
  <c r="TQO6" i="10"/>
  <c r="TQS6" i="10"/>
  <c r="TQW6" i="10"/>
  <c r="TRA6" i="10"/>
  <c r="TRE6" i="10"/>
  <c r="TRI6" i="10"/>
  <c r="TRM6" i="10"/>
  <c r="TRQ6" i="10"/>
  <c r="TRU6" i="10"/>
  <c r="TRY6" i="10"/>
  <c r="TSC6" i="10"/>
  <c r="TSG6" i="10"/>
  <c r="TSK6" i="10"/>
  <c r="TSO6" i="10"/>
  <c r="TSS6" i="10"/>
  <c r="TSW6" i="10"/>
  <c r="TTA6" i="10"/>
  <c r="TTE6" i="10"/>
  <c r="TTI6" i="10"/>
  <c r="TTM6" i="10"/>
  <c r="TTQ6" i="10"/>
  <c r="TTU6" i="10"/>
  <c r="TTY6" i="10"/>
  <c r="TUC6" i="10"/>
  <c r="TUG6" i="10"/>
  <c r="TUK6" i="10"/>
  <c r="TUO6" i="10"/>
  <c r="TUS6" i="10"/>
  <c r="TUW6" i="10"/>
  <c r="TVA6" i="10"/>
  <c r="TVE6" i="10"/>
  <c r="TVI6" i="10"/>
  <c r="TVM6" i="10"/>
  <c r="TVQ6" i="10"/>
  <c r="TVU6" i="10"/>
  <c r="TVY6" i="10"/>
  <c r="TWC6" i="10"/>
  <c r="TWG6" i="10"/>
  <c r="TWK6" i="10"/>
  <c r="TWO6" i="10"/>
  <c r="TWS6" i="10"/>
  <c r="TWW6" i="10"/>
  <c r="TXA6" i="10"/>
  <c r="TXE6" i="10"/>
  <c r="TXI6" i="10"/>
  <c r="TXM6" i="10"/>
  <c r="TXQ6" i="10"/>
  <c r="TXU6" i="10"/>
  <c r="TXY6" i="10"/>
  <c r="TYC6" i="10"/>
  <c r="TYG6" i="10"/>
  <c r="TYK6" i="10"/>
  <c r="TYO6" i="10"/>
  <c r="TYS6" i="10"/>
  <c r="TYW6" i="10"/>
  <c r="TZA6" i="10"/>
  <c r="TZE6" i="10"/>
  <c r="TZI6" i="10"/>
  <c r="TZM6" i="10"/>
  <c r="TZQ6" i="10"/>
  <c r="TZU6" i="10"/>
  <c r="TZY6" i="10"/>
  <c r="UAC6" i="10"/>
  <c r="UAG6" i="10"/>
  <c r="UAK6" i="10"/>
  <c r="UAO6" i="10"/>
  <c r="UAS6" i="10"/>
  <c r="UAW6" i="10"/>
  <c r="UBA6" i="10"/>
  <c r="UBE6" i="10"/>
  <c r="UBI6" i="10"/>
  <c r="UBM6" i="10"/>
  <c r="UBQ6" i="10"/>
  <c r="UBU6" i="10"/>
  <c r="UBY6" i="10"/>
  <c r="UCC6" i="10"/>
  <c r="UCG6" i="10"/>
  <c r="UCK6" i="10"/>
  <c r="UCO6" i="10"/>
  <c r="UCS6" i="10"/>
  <c r="UCW6" i="10"/>
  <c r="UDA6" i="10"/>
  <c r="UDE6" i="10"/>
  <c r="UDI6" i="10"/>
  <c r="UDM6" i="10"/>
  <c r="UDQ6" i="10"/>
  <c r="UDU6" i="10"/>
  <c r="UDY6" i="10"/>
  <c r="UEC6" i="10"/>
  <c r="UEG6" i="10"/>
  <c r="UEK6" i="10"/>
  <c r="UEO6" i="10"/>
  <c r="UES6" i="10"/>
  <c r="UEW6" i="10"/>
  <c r="UFA6" i="10"/>
  <c r="UFE6" i="10"/>
  <c r="UFI6" i="10"/>
  <c r="UFM6" i="10"/>
  <c r="UFQ6" i="10"/>
  <c r="UFU6" i="10"/>
  <c r="UFY6" i="10"/>
  <c r="UGC6" i="10"/>
  <c r="UGG6" i="10"/>
  <c r="UGK6" i="10"/>
  <c r="UGO6" i="10"/>
  <c r="UGS6" i="10"/>
  <c r="UGW6" i="10"/>
  <c r="UHA6" i="10"/>
  <c r="UHE6" i="10"/>
  <c r="UHI6" i="10"/>
  <c r="UHM6" i="10"/>
  <c r="UHQ6" i="10"/>
  <c r="UHU6" i="10"/>
  <c r="UHY6" i="10"/>
  <c r="UIC6" i="10"/>
  <c r="UIG6" i="10"/>
  <c r="UIK6" i="10"/>
  <c r="UIO6" i="10"/>
  <c r="UIS6" i="10"/>
  <c r="UIW6" i="10"/>
  <c r="UJA6" i="10"/>
  <c r="UJE6" i="10"/>
  <c r="UJI6" i="10"/>
  <c r="UJM6" i="10"/>
  <c r="UJQ6" i="10"/>
  <c r="UJU6" i="10"/>
  <c r="UJY6" i="10"/>
  <c r="UKC6" i="10"/>
  <c r="UKG6" i="10"/>
  <c r="UKK6" i="10"/>
  <c r="UKO6" i="10"/>
  <c r="UKS6" i="10"/>
  <c r="UKW6" i="10"/>
  <c r="ULA6" i="10"/>
  <c r="ULE6" i="10"/>
  <c r="ULI6" i="10"/>
  <c r="ULM6" i="10"/>
  <c r="ULQ6" i="10"/>
  <c r="ULU6" i="10"/>
  <c r="ULY6" i="10"/>
  <c r="UMC6" i="10"/>
  <c r="UMG6" i="10"/>
  <c r="UMK6" i="10"/>
  <c r="UMO6" i="10"/>
  <c r="UMS6" i="10"/>
  <c r="UMW6" i="10"/>
  <c r="UNA6" i="10"/>
  <c r="UNE6" i="10"/>
  <c r="UNI6" i="10"/>
  <c r="UNM6" i="10"/>
  <c r="UNQ6" i="10"/>
  <c r="UNU6" i="10"/>
  <c r="UNY6" i="10"/>
  <c r="UOC6" i="10"/>
  <c r="UOG6" i="10"/>
  <c r="UOK6" i="10"/>
  <c r="UOO6" i="10"/>
  <c r="UOS6" i="10"/>
  <c r="UOW6" i="10"/>
  <c r="UPA6" i="10"/>
  <c r="UPE6" i="10"/>
  <c r="UPI6" i="10"/>
  <c r="UPM6" i="10"/>
  <c r="UPQ6" i="10"/>
  <c r="UPU6" i="10"/>
  <c r="UPY6" i="10"/>
  <c r="UQC6" i="10"/>
  <c r="UQG6" i="10"/>
  <c r="UQK6" i="10"/>
  <c r="UQO6" i="10"/>
  <c r="UQS6" i="10"/>
  <c r="UQW6" i="10"/>
  <c r="URA6" i="10"/>
  <c r="URE6" i="10"/>
  <c r="URI6" i="10"/>
  <c r="URM6" i="10"/>
  <c r="URQ6" i="10"/>
  <c r="URU6" i="10"/>
  <c r="URY6" i="10"/>
  <c r="USC6" i="10"/>
  <c r="USG6" i="10"/>
  <c r="USK6" i="10"/>
  <c r="USO6" i="10"/>
  <c r="USS6" i="10"/>
  <c r="USW6" i="10"/>
  <c r="UTA6" i="10"/>
  <c r="UTE6" i="10"/>
  <c r="UTI6" i="10"/>
  <c r="UTM6" i="10"/>
  <c r="UTQ6" i="10"/>
  <c r="UTU6" i="10"/>
  <c r="UTY6" i="10"/>
  <c r="UUC6" i="10"/>
  <c r="UUG6" i="10"/>
  <c r="UUK6" i="10"/>
  <c r="UUO6" i="10"/>
  <c r="UUS6" i="10"/>
  <c r="UUW6" i="10"/>
  <c r="UVA6" i="10"/>
  <c r="UVE6" i="10"/>
  <c r="UVI6" i="10"/>
  <c r="UVM6" i="10"/>
  <c r="UVQ6" i="10"/>
  <c r="UVU6" i="10"/>
  <c r="UVY6" i="10"/>
  <c r="UWC6" i="10"/>
  <c r="UWG6" i="10"/>
  <c r="UWK6" i="10"/>
  <c r="UWO6" i="10"/>
  <c r="UWS6" i="10"/>
  <c r="UWW6" i="10"/>
  <c r="UXA6" i="10"/>
  <c r="UXE6" i="10"/>
  <c r="UXI6" i="10"/>
  <c r="UXM6" i="10"/>
  <c r="UXQ6" i="10"/>
  <c r="UXU6" i="10"/>
  <c r="UXY6" i="10"/>
  <c r="UYC6" i="10"/>
  <c r="UYG6" i="10"/>
  <c r="UYK6" i="10"/>
  <c r="UYO6" i="10"/>
  <c r="UYS6" i="10"/>
  <c r="UYW6" i="10"/>
  <c r="UZA6" i="10"/>
  <c r="UZE6" i="10"/>
  <c r="UZI6" i="10"/>
  <c r="UZM6" i="10"/>
  <c r="UZQ6" i="10"/>
  <c r="UZU6" i="10"/>
  <c r="UZY6" i="10"/>
  <c r="VAC6" i="10"/>
  <c r="VAG6" i="10"/>
  <c r="VAK6" i="10"/>
  <c r="VAO6" i="10"/>
  <c r="VAS6" i="10"/>
  <c r="VAW6" i="10"/>
  <c r="VBA6" i="10"/>
  <c r="VBE6" i="10"/>
  <c r="VBI6" i="10"/>
  <c r="VBM6" i="10"/>
  <c r="VBQ6" i="10"/>
  <c r="VBU6" i="10"/>
  <c r="VBY6" i="10"/>
  <c r="VCC6" i="10"/>
  <c r="VCG6" i="10"/>
  <c r="VCK6" i="10"/>
  <c r="VCO6" i="10"/>
  <c r="VCS6" i="10"/>
  <c r="VCW6" i="10"/>
  <c r="VDA6" i="10"/>
  <c r="VDE6" i="10"/>
  <c r="VDI6" i="10"/>
  <c r="VDM6" i="10"/>
  <c r="VDQ6" i="10"/>
  <c r="VDU6" i="10"/>
  <c r="VDY6" i="10"/>
  <c r="VEC6" i="10"/>
  <c r="VEG6" i="10"/>
  <c r="VEK6" i="10"/>
  <c r="VEO6" i="10"/>
  <c r="VES6" i="10"/>
  <c r="VEW6" i="10"/>
  <c r="VFA6" i="10"/>
  <c r="VFE6" i="10"/>
  <c r="VFI6" i="10"/>
  <c r="VFM6" i="10"/>
  <c r="VFQ6" i="10"/>
  <c r="VFU6" i="10"/>
  <c r="VFY6" i="10"/>
  <c r="VGC6" i="10"/>
  <c r="VGG6" i="10"/>
  <c r="VGK6" i="10"/>
  <c r="VGO6" i="10"/>
  <c r="VGS6" i="10"/>
  <c r="VGW6" i="10"/>
  <c r="VHA6" i="10"/>
  <c r="VHE6" i="10"/>
  <c r="VHI6" i="10"/>
  <c r="VHM6" i="10"/>
  <c r="VHQ6" i="10"/>
  <c r="VHU6" i="10"/>
  <c r="VHY6" i="10"/>
  <c r="VIC6" i="10"/>
  <c r="VIG6" i="10"/>
  <c r="VIK6" i="10"/>
  <c r="VIO6" i="10"/>
  <c r="VIS6" i="10"/>
  <c r="VIW6" i="10"/>
  <c r="VJA6" i="10"/>
  <c r="VJE6" i="10"/>
  <c r="VJI6" i="10"/>
  <c r="VJM6" i="10"/>
  <c r="VJQ6" i="10"/>
  <c r="VJU6" i="10"/>
  <c r="VJY6" i="10"/>
  <c r="VKC6" i="10"/>
  <c r="VKG6" i="10"/>
  <c r="VKK6" i="10"/>
  <c r="VKO6" i="10"/>
  <c r="VKS6" i="10"/>
  <c r="VKW6" i="10"/>
  <c r="VLA6" i="10"/>
  <c r="VLE6" i="10"/>
  <c r="VLI6" i="10"/>
  <c r="VLM6" i="10"/>
  <c r="VLQ6" i="10"/>
  <c r="VLU6" i="10"/>
  <c r="VLY6" i="10"/>
  <c r="VMC6" i="10"/>
  <c r="VMG6" i="10"/>
  <c r="VMK6" i="10"/>
  <c r="VMO6" i="10"/>
  <c r="VMS6" i="10"/>
  <c r="VMW6" i="10"/>
  <c r="VNA6" i="10"/>
  <c r="VNE6" i="10"/>
  <c r="VNI6" i="10"/>
  <c r="VNM6" i="10"/>
  <c r="VNQ6" i="10"/>
  <c r="VNU6" i="10"/>
  <c r="VNY6" i="10"/>
  <c r="VOC6" i="10"/>
  <c r="VOG6" i="10"/>
  <c r="VOK6" i="10"/>
  <c r="VOO6" i="10"/>
  <c r="VOS6" i="10"/>
  <c r="VOW6" i="10"/>
  <c r="VPA6" i="10"/>
  <c r="VPE6" i="10"/>
  <c r="VPI6" i="10"/>
  <c r="VPM6" i="10"/>
  <c r="VPQ6" i="10"/>
  <c r="VPU6" i="10"/>
  <c r="VPY6" i="10"/>
  <c r="VQC6" i="10"/>
  <c r="VQG6" i="10"/>
  <c r="VQK6" i="10"/>
  <c r="VQO6" i="10"/>
  <c r="VQS6" i="10"/>
  <c r="VQW6" i="10"/>
  <c r="VRA6" i="10"/>
  <c r="VRE6" i="10"/>
  <c r="VRI6" i="10"/>
  <c r="VRM6" i="10"/>
  <c r="VRQ6" i="10"/>
  <c r="VRU6" i="10"/>
  <c r="VRY6" i="10"/>
  <c r="VSC6" i="10"/>
  <c r="VSG6" i="10"/>
  <c r="VSK6" i="10"/>
  <c r="VSO6" i="10"/>
  <c r="VSS6" i="10"/>
  <c r="VSW6" i="10"/>
  <c r="VTA6" i="10"/>
  <c r="VTE6" i="10"/>
  <c r="VTI6" i="10"/>
  <c r="VTM6" i="10"/>
  <c r="VTQ6" i="10"/>
  <c r="VTU6" i="10"/>
  <c r="VTY6" i="10"/>
  <c r="VUC6" i="10"/>
  <c r="VUG6" i="10"/>
  <c r="VUK6" i="10"/>
  <c r="VUO6" i="10"/>
  <c r="VUS6" i="10"/>
  <c r="VUW6" i="10"/>
  <c r="VVA6" i="10"/>
  <c r="VVE6" i="10"/>
  <c r="VVI6" i="10"/>
  <c r="VVM6" i="10"/>
  <c r="VVQ6" i="10"/>
  <c r="VVU6" i="10"/>
  <c r="VVY6" i="10"/>
  <c r="VWC6" i="10"/>
  <c r="VWG6" i="10"/>
  <c r="VWK6" i="10"/>
  <c r="VWO6" i="10"/>
  <c r="VWS6" i="10"/>
  <c r="VWW6" i="10"/>
  <c r="VXA6" i="10"/>
  <c r="VXE6" i="10"/>
  <c r="VXI6" i="10"/>
  <c r="VXM6" i="10"/>
  <c r="VXQ6" i="10"/>
  <c r="VXU6" i="10"/>
  <c r="VXY6" i="10"/>
  <c r="VYC6" i="10"/>
  <c r="VYG6" i="10"/>
  <c r="VYK6" i="10"/>
  <c r="VYO6" i="10"/>
  <c r="VYS6" i="10"/>
  <c r="VYW6" i="10"/>
  <c r="VZA6" i="10"/>
  <c r="VZE6" i="10"/>
  <c r="VZI6" i="10"/>
  <c r="VZM6" i="10"/>
  <c r="VZQ6" i="10"/>
  <c r="VZU6" i="10"/>
  <c r="VZY6" i="10"/>
  <c r="WAC6" i="10"/>
  <c r="WAG6" i="10"/>
  <c r="WAK6" i="10"/>
  <c r="WAO6" i="10"/>
  <c r="WAS6" i="10"/>
  <c r="WAW6" i="10"/>
  <c r="WBA6" i="10"/>
  <c r="WBE6" i="10"/>
  <c r="WBI6" i="10"/>
  <c r="WBM6" i="10"/>
  <c r="WBQ6" i="10"/>
  <c r="WBU6" i="10"/>
  <c r="WBY6" i="10"/>
  <c r="WCC6" i="10"/>
  <c r="WCG6" i="10"/>
  <c r="WCK6" i="10"/>
  <c r="WCO6" i="10"/>
  <c r="WCS6" i="10"/>
  <c r="WCW6" i="10"/>
  <c r="WDA6" i="10"/>
  <c r="WDE6" i="10"/>
  <c r="WDI6" i="10"/>
  <c r="WDM6" i="10"/>
  <c r="WDQ6" i="10"/>
  <c r="WDU6" i="10"/>
  <c r="WDY6" i="10"/>
  <c r="WEC6" i="10"/>
  <c r="WEG6" i="10"/>
  <c r="WEK6" i="10"/>
  <c r="WEO6" i="10"/>
  <c r="WES6" i="10"/>
  <c r="WEW6" i="10"/>
  <c r="WFA6" i="10"/>
  <c r="WFE6" i="10"/>
  <c r="WFI6" i="10"/>
  <c r="WFM6" i="10"/>
  <c r="WFQ6" i="10"/>
  <c r="WFU6" i="10"/>
  <c r="WFY6" i="10"/>
  <c r="WGC6" i="10"/>
  <c r="WGG6" i="10"/>
  <c r="WGK6" i="10"/>
  <c r="WGO6" i="10"/>
  <c r="WGS6" i="10"/>
  <c r="WGW6" i="10"/>
  <c r="WHA6" i="10"/>
  <c r="WHE6" i="10"/>
  <c r="WHI6" i="10"/>
  <c r="WHM6" i="10"/>
  <c r="WHQ6" i="10"/>
  <c r="WHU6" i="10"/>
  <c r="WHY6" i="10"/>
  <c r="WIC6" i="10"/>
  <c r="WIG6" i="10"/>
  <c r="WIK6" i="10"/>
  <c r="WIO6" i="10"/>
  <c r="WIS6" i="10"/>
  <c r="WIW6" i="10"/>
  <c r="WJA6" i="10"/>
  <c r="WJE6" i="10"/>
  <c r="WJI6" i="10"/>
  <c r="WJM6" i="10"/>
  <c r="WJQ6" i="10"/>
  <c r="WJU6" i="10"/>
  <c r="WJY6" i="10"/>
  <c r="WKC6" i="10"/>
  <c r="WKG6" i="10"/>
  <c r="WKK6" i="10"/>
  <c r="WKO6" i="10"/>
  <c r="WKS6" i="10"/>
  <c r="WKW6" i="10"/>
  <c r="WLA6" i="10"/>
  <c r="WLE6" i="10"/>
  <c r="WLI6" i="10"/>
  <c r="WLM6" i="10"/>
  <c r="WLQ6" i="10"/>
  <c r="WLU6" i="10"/>
  <c r="WLY6" i="10"/>
  <c r="WMC6" i="10"/>
  <c r="WMG6" i="10"/>
  <c r="WMK6" i="10"/>
  <c r="WMO6" i="10"/>
  <c r="WMS6" i="10"/>
  <c r="WMW6" i="10"/>
  <c r="WNA6" i="10"/>
  <c r="WNE6" i="10"/>
  <c r="WNI6" i="10"/>
  <c r="WNM6" i="10"/>
  <c r="WNQ6" i="10"/>
  <c r="WNU6" i="10"/>
  <c r="WNY6" i="10"/>
  <c r="WOC6" i="10"/>
  <c r="WOG6" i="10"/>
  <c r="WOK6" i="10"/>
  <c r="WOO6" i="10"/>
  <c r="WOS6" i="10"/>
  <c r="WOW6" i="10"/>
  <c r="WPA6" i="10"/>
  <c r="WPE6" i="10"/>
  <c r="WPI6" i="10"/>
  <c r="WPM6" i="10"/>
  <c r="WPQ6" i="10"/>
  <c r="WPU6" i="10"/>
  <c r="WPY6" i="10"/>
  <c r="WQC6" i="10"/>
  <c r="WQG6" i="10"/>
  <c r="WQK6" i="10"/>
  <c r="WQO6" i="10"/>
  <c r="WQS6" i="10"/>
  <c r="WQW6" i="10"/>
  <c r="WRA6" i="10"/>
  <c r="WRE6" i="10"/>
  <c r="WRI6" i="10"/>
  <c r="WRM6" i="10"/>
  <c r="WRQ6" i="10"/>
  <c r="WRU6" i="10"/>
  <c r="WRY6" i="10"/>
  <c r="WSC6" i="10"/>
  <c r="WSG6" i="10"/>
  <c r="WSK6" i="10"/>
  <c r="WSO6" i="10"/>
  <c r="WSS6" i="10"/>
  <c r="WSW6" i="10"/>
  <c r="WTA6" i="10"/>
  <c r="WTE6" i="10"/>
  <c r="WTI6" i="10"/>
  <c r="WTM6" i="10"/>
  <c r="WTQ6" i="10"/>
  <c r="WTU6" i="10"/>
  <c r="WTY6" i="10"/>
  <c r="WUC6" i="10"/>
  <c r="WUG6" i="10"/>
  <c r="WUK6" i="10"/>
  <c r="WUO6" i="10"/>
  <c r="WUS6" i="10"/>
  <c r="WUW6" i="10"/>
  <c r="WVA6" i="10"/>
  <c r="WVE6" i="10"/>
  <c r="WVI6" i="10"/>
  <c r="WVM6" i="10"/>
  <c r="WVQ6" i="10"/>
  <c r="WVU6" i="10"/>
  <c r="WVY6" i="10"/>
  <c r="WWC6" i="10"/>
  <c r="WWG6" i="10"/>
  <c r="WWK6" i="10"/>
  <c r="WWO6" i="10"/>
  <c r="WWS6" i="10"/>
  <c r="WWW6" i="10"/>
  <c r="WXA6" i="10"/>
  <c r="WXE6" i="10"/>
  <c r="WXI6" i="10"/>
  <c r="WXM6" i="10"/>
  <c r="WXQ6" i="10"/>
  <c r="WXU6" i="10"/>
  <c r="WXY6" i="10"/>
  <c r="WYC6" i="10"/>
  <c r="WYG6" i="10"/>
  <c r="WYK6" i="10"/>
  <c r="WYO6" i="10"/>
  <c r="WYS6" i="10"/>
  <c r="WYW6" i="10"/>
  <c r="WZA6" i="10"/>
  <c r="WZE6" i="10"/>
  <c r="WZI6" i="10"/>
  <c r="WZM6" i="10"/>
  <c r="WZQ6" i="10"/>
  <c r="WZU6" i="10"/>
  <c r="WZY6" i="10"/>
  <c r="XAC6" i="10"/>
  <c r="XAG6" i="10"/>
  <c r="XAK6" i="10"/>
  <c r="XAO6" i="10"/>
  <c r="XAS6" i="10"/>
  <c r="XAW6" i="10"/>
  <c r="XBA6" i="10"/>
  <c r="XBE6" i="10"/>
  <c r="XBI6" i="10"/>
  <c r="XBM6" i="10"/>
  <c r="XBQ6" i="10"/>
  <c r="XBU6" i="10"/>
  <c r="XBY6" i="10"/>
  <c r="XCC6" i="10"/>
  <c r="XCG6" i="10"/>
  <c r="XCK6" i="10"/>
  <c r="XCO6" i="10"/>
  <c r="XCS6" i="10"/>
  <c r="XCW6" i="10"/>
  <c r="XDA6" i="10"/>
  <c r="XDE6" i="10"/>
  <c r="XDI6" i="10"/>
  <c r="XDM6" i="10"/>
  <c r="XDQ6" i="10"/>
  <c r="XDU6" i="10"/>
  <c r="XDY6" i="10"/>
  <c r="XEC6" i="10"/>
  <c r="XEG6" i="10"/>
  <c r="XEK6" i="10"/>
  <c r="XEO6" i="10"/>
  <c r="XES6" i="10"/>
  <c r="XEW6" i="10"/>
  <c r="XFA6" i="10"/>
  <c r="EUD6" i="10"/>
  <c r="FNX6" i="10"/>
  <c r="FXT6" i="10"/>
  <c r="GRL6" i="10"/>
  <c r="HLD6" i="10"/>
  <c r="IEJ6" i="10"/>
  <c r="ITD6" i="10"/>
  <c r="JBN6" i="10"/>
  <c r="JGL6" i="10"/>
  <c r="JNV6" i="10"/>
  <c r="JVF6" i="10"/>
  <c r="KAD6" i="10"/>
  <c r="KHN6" i="10"/>
  <c r="KOX6" i="10"/>
  <c r="LBF6" i="10"/>
  <c r="LIP6" i="10"/>
  <c r="LPN6" i="10"/>
  <c r="LTF6" i="10"/>
  <c r="LVR6" i="10"/>
  <c r="LZJ6" i="10"/>
  <c r="MDB6" i="10"/>
  <c r="MGT6" i="10"/>
  <c r="MKL6" i="10"/>
  <c r="MMX6" i="10"/>
  <c r="MQP6" i="10"/>
  <c r="MUH6" i="10"/>
  <c r="MXZ6" i="10"/>
  <c r="NBR6" i="10"/>
  <c r="NFI6" i="10"/>
  <c r="NHE6" i="10"/>
  <c r="NKG6" i="10"/>
  <c r="NMC6" i="10"/>
  <c r="NNI6" i="10"/>
  <c r="NPE6" i="10"/>
  <c r="NRA6" i="10"/>
  <c r="NSW6" i="10"/>
  <c r="NUS6" i="10"/>
  <c r="NWO6" i="10"/>
  <c r="NYK6" i="10"/>
  <c r="OAG6" i="10"/>
  <c r="OCS6" i="10"/>
  <c r="OEO6" i="10"/>
  <c r="OHA6" i="10"/>
  <c r="OIW6" i="10"/>
  <c r="OLI6" i="10"/>
  <c r="ONE6" i="10"/>
  <c r="OPQ6" i="10"/>
  <c r="OQW6" i="10"/>
  <c r="OSS6" i="10"/>
  <c r="OUO6" i="10"/>
  <c r="OWK6" i="10"/>
  <c r="OYG6" i="10"/>
  <c r="PAC6" i="10"/>
  <c r="PBY6" i="10"/>
  <c r="PDU6" i="10"/>
  <c r="PFQ6" i="10"/>
  <c r="PGW6" i="10"/>
  <c r="PJI6" i="10"/>
  <c r="PLE6" i="10"/>
  <c r="PNA6" i="10"/>
  <c r="POW6" i="10"/>
  <c r="PQS6" i="10"/>
  <c r="PSO6" i="10"/>
  <c r="PUK6" i="10"/>
  <c r="PWG6" i="10"/>
  <c r="PYC6" i="10"/>
  <c r="PZY6" i="10"/>
  <c r="QBU6" i="10"/>
  <c r="QDQ6" i="10"/>
  <c r="QEW6" i="10"/>
  <c r="QGS6" i="10"/>
  <c r="QIO6" i="10"/>
  <c r="QKK6" i="10"/>
  <c r="QMG6" i="10"/>
  <c r="QOC6" i="10"/>
  <c r="QPY6" i="10"/>
  <c r="QRU6" i="10"/>
  <c r="QUW6" i="10"/>
  <c r="QWS6" i="10"/>
  <c r="QYO6" i="10"/>
  <c r="QZU6" i="10"/>
  <c r="RBQ6" i="10"/>
  <c r="RCG6" i="10"/>
  <c r="RDL6" i="10"/>
  <c r="REJ6" i="10"/>
  <c r="REZ6" i="10"/>
  <c r="RFP6" i="10"/>
  <c r="RGN6" i="10"/>
  <c r="RHL6" i="10"/>
  <c r="RIJ6" i="10"/>
  <c r="RJH6" i="10"/>
  <c r="RKF6" i="10"/>
  <c r="RLD6" i="10"/>
  <c r="RMB6" i="10"/>
  <c r="RMZ6" i="10"/>
  <c r="RNX6" i="10"/>
  <c r="ROV6" i="10"/>
  <c r="RPT6" i="10"/>
  <c r="RQR6" i="10"/>
  <c r="RRP6" i="10"/>
  <c r="RSN6" i="10"/>
  <c r="RTL6" i="10"/>
  <c r="RUJ6" i="10"/>
  <c r="RVH6" i="10"/>
  <c r="RWF6" i="10"/>
  <c r="RWV6" i="10"/>
  <c r="RXT6" i="10"/>
  <c r="RYJ6" i="10"/>
  <c r="RZH6" i="10"/>
  <c r="SAF6" i="10"/>
  <c r="SBD6" i="10"/>
  <c r="SCB6" i="10"/>
  <c r="SCZ6" i="10"/>
  <c r="SDH6" i="10"/>
  <c r="SEN6" i="10"/>
  <c r="SFD6" i="10"/>
  <c r="SGB6" i="10"/>
  <c r="SGR6" i="10"/>
  <c r="SHP6" i="10"/>
  <c r="SIV6" i="10"/>
  <c r="SJT6" i="10"/>
  <c r="SKR6" i="10"/>
  <c r="SLP6" i="10"/>
  <c r="SMN6" i="10"/>
  <c r="SNL6" i="10"/>
  <c r="SOB6" i="10"/>
  <c r="SOZ6" i="10"/>
  <c r="SPX6" i="10"/>
  <c r="SQV6" i="10"/>
  <c r="SRT6" i="10"/>
  <c r="SSJ6" i="10"/>
  <c r="STP6" i="10"/>
  <c r="SUN6" i="10"/>
  <c r="SVL6" i="10"/>
  <c r="SWJ6" i="10"/>
  <c r="SXH6" i="10"/>
  <c r="SXP6" i="10"/>
  <c r="SYN6" i="10"/>
  <c r="SZT6" i="10"/>
  <c r="TAR6" i="10"/>
  <c r="TBH6" i="10"/>
  <c r="TCF6" i="10"/>
  <c r="TDT6" i="10"/>
  <c r="TER6" i="10"/>
  <c r="TFP6" i="10"/>
  <c r="TGN6" i="10"/>
  <c r="THL6" i="10"/>
  <c r="TIJ6" i="10"/>
  <c r="TJE6" i="10"/>
  <c r="TJZ6" i="10"/>
  <c r="TKP6" i="10"/>
  <c r="TLL6" i="10"/>
  <c r="TMA6" i="10"/>
  <c r="TMM6" i="10"/>
  <c r="TMY6" i="10"/>
  <c r="TNK6" i="10"/>
  <c r="TNW6" i="10"/>
  <c r="TOI6" i="10"/>
  <c r="TOU6" i="10"/>
  <c r="TPG6" i="10"/>
  <c r="TPS6" i="10"/>
  <c r="TQE6" i="10"/>
  <c r="TQQ6" i="10"/>
  <c r="TRC6" i="10"/>
  <c r="TRO6" i="10"/>
  <c r="TSA6" i="10"/>
  <c r="TSM6" i="10"/>
  <c r="TSY6" i="10"/>
  <c r="TTO6" i="10"/>
  <c r="TTW6" i="10"/>
  <c r="TUQ6" i="10"/>
  <c r="TVC6" i="10"/>
  <c r="TVS6" i="10"/>
  <c r="TWE6" i="10"/>
  <c r="TWQ6" i="10"/>
  <c r="TXC6" i="10"/>
  <c r="TXO6" i="10"/>
  <c r="TYA6" i="10"/>
  <c r="TYI6" i="10"/>
  <c r="TYQ6" i="10"/>
  <c r="TZC6" i="10"/>
  <c r="TZO6" i="10"/>
  <c r="UAA6" i="10"/>
  <c r="UAM6" i="10"/>
  <c r="UAU6" i="10"/>
  <c r="UBG6" i="10"/>
  <c r="UBS6" i="10"/>
  <c r="UCE6" i="10"/>
  <c r="UCQ6" i="10"/>
  <c r="UDC6" i="10"/>
  <c r="UDO6" i="10"/>
  <c r="UEA6" i="10"/>
  <c r="UEQ6" i="10"/>
  <c r="UFC6" i="10"/>
  <c r="UFO6" i="10"/>
  <c r="UGA6" i="10"/>
  <c r="UGM6" i="10"/>
  <c r="UGY6" i="10"/>
  <c r="UHG6" i="10"/>
  <c r="UHS6" i="10"/>
  <c r="UIA6" i="10"/>
  <c r="UIM6" i="10"/>
  <c r="UIY6" i="10"/>
  <c r="UJK6" i="10"/>
  <c r="UJW6" i="10"/>
  <c r="UKI6" i="10"/>
  <c r="UKQ6" i="10"/>
  <c r="ULC6" i="10"/>
  <c r="ULO6" i="10"/>
  <c r="UMA6" i="10"/>
  <c r="UMI6" i="10"/>
  <c r="UMQ6" i="10"/>
  <c r="UNG6" i="10"/>
  <c r="UNO6" i="10"/>
  <c r="UOA6" i="10"/>
  <c r="UOM6" i="10"/>
  <c r="UOY6" i="10"/>
  <c r="UPK6" i="10"/>
  <c r="UPW6" i="10"/>
  <c r="UQI6" i="10"/>
  <c r="UQU6" i="10"/>
  <c r="URG6" i="10"/>
  <c r="URS6" i="10"/>
  <c r="USE6" i="10"/>
  <c r="USQ6" i="10"/>
  <c r="UTK6" i="10"/>
  <c r="UTW6" i="10"/>
  <c r="UUI6" i="10"/>
  <c r="UUU6" i="10"/>
  <c r="UVO6" i="10"/>
  <c r="UWA6" i="10"/>
  <c r="UWM6" i="10"/>
  <c r="UWY6" i="10"/>
  <c r="UXK6" i="10"/>
  <c r="UXW6" i="10"/>
  <c r="UYI6" i="10"/>
  <c r="UYU6" i="10"/>
  <c r="UZG6" i="10"/>
  <c r="UZS6" i="10"/>
  <c r="VAE6" i="10"/>
  <c r="VAQ6" i="10"/>
  <c r="VBC6" i="10"/>
  <c r="VBK6" i="10"/>
  <c r="VBW6" i="10"/>
  <c r="VCI6" i="10"/>
  <c r="VCU6" i="10"/>
  <c r="VDG6" i="10"/>
  <c r="VDS6" i="10"/>
  <c r="VEE6" i="10"/>
  <c r="VEQ6" i="10"/>
  <c r="VFC6" i="10"/>
  <c r="VFO6" i="10"/>
  <c r="VGA6" i="10"/>
  <c r="VGM6" i="10"/>
  <c r="VGU6" i="10"/>
  <c r="VHK6" i="10"/>
  <c r="VHW6" i="10"/>
  <c r="VII6" i="10"/>
  <c r="VIU6" i="10"/>
  <c r="VJG6" i="10"/>
  <c r="VJO6" i="10"/>
  <c r="VKA6" i="10"/>
  <c r="VKM6" i="10"/>
  <c r="VLC6" i="10"/>
  <c r="VLO6" i="10"/>
  <c r="VMA6" i="10"/>
  <c r="VMM6" i="10"/>
  <c r="VMY6" i="10"/>
  <c r="VNK6" i="10"/>
  <c r="VNW6" i="10"/>
  <c r="VOI6" i="10"/>
  <c r="VOU6" i="10"/>
  <c r="VPG6" i="10"/>
  <c r="VPS6" i="10"/>
  <c r="VQE6" i="10"/>
  <c r="VQQ6" i="10"/>
  <c r="VRC6" i="10"/>
  <c r="VRS6" i="10"/>
  <c r="VSE6" i="10"/>
  <c r="VSQ6" i="10"/>
  <c r="VTC6" i="10"/>
  <c r="VTK6" i="10"/>
  <c r="VUA6" i="10"/>
  <c r="VUM6" i="10"/>
  <c r="VUY6" i="10"/>
  <c r="VVG6" i="10"/>
  <c r="VVS6" i="10"/>
  <c r="VWE6" i="10"/>
  <c r="VWQ6" i="10"/>
  <c r="VXC6" i="10"/>
  <c r="EKH6" i="10"/>
  <c r="FLL6" i="10"/>
  <c r="FVH6" i="10"/>
  <c r="GFD6" i="10"/>
  <c r="GOZ6" i="10"/>
  <c r="GYV6" i="10"/>
  <c r="HIR6" i="10"/>
  <c r="HSN6" i="10"/>
  <c r="HYF6" i="10"/>
  <c r="IDD6" i="10"/>
  <c r="IIB6" i="10"/>
  <c r="IMZ6" i="10"/>
  <c r="IRX6" i="10"/>
  <c r="IVZ6" i="10"/>
  <c r="IYL6" i="10"/>
  <c r="JAX6" i="10"/>
  <c r="JDJ6" i="10"/>
  <c r="JFV6" i="10"/>
  <c r="JIH6" i="10"/>
  <c r="JKT6" i="10"/>
  <c r="JNF6" i="10"/>
  <c r="JPR6" i="10"/>
  <c r="JSD6" i="10"/>
  <c r="JUP6" i="10"/>
  <c r="JXB6" i="10"/>
  <c r="JZN6" i="10"/>
  <c r="KBZ6" i="10"/>
  <c r="KEL6" i="10"/>
  <c r="KGX6" i="10"/>
  <c r="KJJ6" i="10"/>
  <c r="KLV6" i="10"/>
  <c r="KOH6" i="10"/>
  <c r="KQT6" i="10"/>
  <c r="KTF6" i="10"/>
  <c r="KVR6" i="10"/>
  <c r="KYD6" i="10"/>
  <c r="LAP6" i="10"/>
  <c r="LDB6" i="10"/>
  <c r="LFN6" i="10"/>
  <c r="LHZ6" i="10"/>
  <c r="LKL6" i="10"/>
  <c r="LMX6" i="10"/>
  <c r="LPF6" i="10"/>
  <c r="LQL6" i="10"/>
  <c r="LRR6" i="10"/>
  <c r="LSX6" i="10"/>
  <c r="LUD6" i="10"/>
  <c r="LVJ6" i="10"/>
  <c r="LWP6" i="10"/>
  <c r="LXV6" i="10"/>
  <c r="LZB6" i="10"/>
  <c r="MAH6" i="10"/>
  <c r="MBN6" i="10"/>
  <c r="MCT6" i="10"/>
  <c r="MDZ6" i="10"/>
  <c r="MFF6" i="10"/>
  <c r="MGL6" i="10"/>
  <c r="MHR6" i="10"/>
  <c r="MIX6" i="10"/>
  <c r="MKD6" i="10"/>
  <c r="MLJ6" i="10"/>
  <c r="MMP6" i="10"/>
  <c r="MNV6" i="10"/>
  <c r="MPB6" i="10"/>
  <c r="MQH6" i="10"/>
  <c r="MRN6" i="10"/>
  <c r="MST6" i="10"/>
  <c r="MTZ6" i="10"/>
  <c r="MVF6" i="10"/>
  <c r="MWL6" i="10"/>
  <c r="MXR6" i="10"/>
  <c r="MYX6" i="10"/>
  <c r="NAD6" i="10"/>
  <c r="NBJ6" i="10"/>
  <c r="NCP6" i="10"/>
  <c r="NDV6" i="10"/>
  <c r="NFB6" i="10"/>
  <c r="NFU6" i="10"/>
  <c r="NGK6" i="10"/>
  <c r="NHA6" i="10"/>
  <c r="NHQ6" i="10"/>
  <c r="NIG6" i="10"/>
  <c r="NIW6" i="10"/>
  <c r="NJM6" i="10"/>
  <c r="NKC6" i="10"/>
  <c r="NKS6" i="10"/>
  <c r="NLI6" i="10"/>
  <c r="NLY6" i="10"/>
  <c r="NMO6" i="10"/>
  <c r="NNE6" i="10"/>
  <c r="NNU6" i="10"/>
  <c r="NOK6" i="10"/>
  <c r="NPA6" i="10"/>
  <c r="NPQ6" i="10"/>
  <c r="NQG6" i="10"/>
  <c r="NQW6" i="10"/>
  <c r="NRM6" i="10"/>
  <c r="NSC6" i="10"/>
  <c r="NSS6" i="10"/>
  <c r="NTI6" i="10"/>
  <c r="NTY6" i="10"/>
  <c r="NUO6" i="10"/>
  <c r="NVE6" i="10"/>
  <c r="NVU6" i="10"/>
  <c r="NWK6" i="10"/>
  <c r="NXA6" i="10"/>
  <c r="NXQ6" i="10"/>
  <c r="NYG6" i="10"/>
  <c r="NYW6" i="10"/>
  <c r="NZM6" i="10"/>
  <c r="OAC6" i="10"/>
  <c r="OAS6" i="10"/>
  <c r="OBI6" i="10"/>
  <c r="OBY6" i="10"/>
  <c r="OCO6" i="10"/>
  <c r="ODE6" i="10"/>
  <c r="ODU6" i="10"/>
  <c r="OEK6" i="10"/>
  <c r="OFA6" i="10"/>
  <c r="OFQ6" i="10"/>
  <c r="OGG6" i="10"/>
  <c r="OGW6" i="10"/>
  <c r="OHM6" i="10"/>
  <c r="OIC6" i="10"/>
  <c r="OIS6" i="10"/>
  <c r="OJI6" i="10"/>
  <c r="OJY6" i="10"/>
  <c r="OKO6" i="10"/>
  <c r="OLE6" i="10"/>
  <c r="OLU6" i="10"/>
  <c r="OMK6" i="10"/>
  <c r="ONA6" i="10"/>
  <c r="ONQ6" i="10"/>
  <c r="OOG6" i="10"/>
  <c r="OOW6" i="10"/>
  <c r="OPM6" i="10"/>
  <c r="OQC6" i="10"/>
  <c r="OQS6" i="10"/>
  <c r="ORI6" i="10"/>
  <c r="ORY6" i="10"/>
  <c r="OSO6" i="10"/>
  <c r="OTE6" i="10"/>
  <c r="OTU6" i="10"/>
  <c r="OUK6" i="10"/>
  <c r="OVA6" i="10"/>
  <c r="OVQ6" i="10"/>
  <c r="OWG6" i="10"/>
  <c r="OWW6" i="10"/>
  <c r="OXM6" i="10"/>
  <c r="OYC6" i="10"/>
  <c r="OYS6" i="10"/>
  <c r="OZI6" i="10"/>
  <c r="OZY6" i="10"/>
  <c r="PAO6" i="10"/>
  <c r="PBE6" i="10"/>
  <c r="PBU6" i="10"/>
  <c r="PCK6" i="10"/>
  <c r="PDA6" i="10"/>
  <c r="PDQ6" i="10"/>
  <c r="PEG6" i="10"/>
  <c r="PEW6" i="10"/>
  <c r="PFM6" i="10"/>
  <c r="PGC6" i="10"/>
  <c r="PGS6" i="10"/>
  <c r="PHI6" i="10"/>
  <c r="PHY6" i="10"/>
  <c r="PIO6" i="10"/>
  <c r="PJE6" i="10"/>
  <c r="PJU6" i="10"/>
  <c r="PKK6" i="10"/>
  <c r="PLA6" i="10"/>
  <c r="PLQ6" i="10"/>
  <c r="PMG6" i="10"/>
  <c r="PMW6" i="10"/>
  <c r="PNM6" i="10"/>
  <c r="POC6" i="10"/>
  <c r="POS6" i="10"/>
  <c r="PPI6" i="10"/>
  <c r="PPY6" i="10"/>
  <c r="PQO6" i="10"/>
  <c r="PRE6" i="10"/>
  <c r="PRU6" i="10"/>
  <c r="PSK6" i="10"/>
  <c r="PTA6" i="10"/>
  <c r="PTQ6" i="10"/>
  <c r="PUG6" i="10"/>
  <c r="PUW6" i="10"/>
  <c r="PVM6" i="10"/>
  <c r="PWC6" i="10"/>
  <c r="PWS6" i="10"/>
  <c r="PXI6" i="10"/>
  <c r="PXY6" i="10"/>
  <c r="PYO6" i="10"/>
  <c r="PZE6" i="10"/>
  <c r="PZU6" i="10"/>
  <c r="QAK6" i="10"/>
  <c r="QBA6" i="10"/>
  <c r="QBQ6" i="10"/>
  <c r="QCG6" i="10"/>
  <c r="QCW6" i="10"/>
  <c r="QDM6" i="10"/>
  <c r="QEC6" i="10"/>
  <c r="QES6" i="10"/>
  <c r="QFI6" i="10"/>
  <c r="QFY6" i="10"/>
  <c r="QGO6" i="10"/>
  <c r="QHE6" i="10"/>
  <c r="QHU6" i="10"/>
  <c r="QIK6" i="10"/>
  <c r="QJA6" i="10"/>
  <c r="QJQ6" i="10"/>
  <c r="QKG6" i="10"/>
  <c r="QKW6" i="10"/>
  <c r="QLM6" i="10"/>
  <c r="QMC6" i="10"/>
  <c r="QMS6" i="10"/>
  <c r="QNI6" i="10"/>
  <c r="QNY6" i="10"/>
  <c r="QOO6" i="10"/>
  <c r="QPE6" i="10"/>
  <c r="QPU6" i="10"/>
  <c r="QQK6" i="10"/>
  <c r="QRA6" i="10"/>
  <c r="QRQ6" i="10"/>
  <c r="QSG6" i="10"/>
  <c r="QSW6" i="10"/>
  <c r="QTM6" i="10"/>
  <c r="QUC6" i="10"/>
  <c r="QUS6" i="10"/>
  <c r="QVI6" i="10"/>
  <c r="QVY6" i="10"/>
  <c r="QWO6" i="10"/>
  <c r="QXE6" i="10"/>
  <c r="QXU6" i="10"/>
  <c r="QYK6" i="10"/>
  <c r="QZA6" i="10"/>
  <c r="QZQ6" i="10"/>
  <c r="RAG6" i="10"/>
  <c r="RAW6" i="10"/>
  <c r="RBM6" i="10"/>
  <c r="RCC6" i="10"/>
  <c r="RCS6" i="10"/>
  <c r="RDA6" i="10"/>
  <c r="RDI6" i="10"/>
  <c r="RDQ6" i="10"/>
  <c r="RDY6" i="10"/>
  <c r="REG6" i="10"/>
  <c r="REO6" i="10"/>
  <c r="REW6" i="10"/>
  <c r="RFE6" i="10"/>
  <c r="RFM6" i="10"/>
  <c r="RFU6" i="10"/>
  <c r="RGC6" i="10"/>
  <c r="RGK6" i="10"/>
  <c r="RGS6" i="10"/>
  <c r="RHA6" i="10"/>
  <c r="RHI6" i="10"/>
  <c r="RHQ6" i="10"/>
  <c r="RHY6" i="10"/>
  <c r="RIG6" i="10"/>
  <c r="RIO6" i="10"/>
  <c r="RIW6" i="10"/>
  <c r="RJE6" i="10"/>
  <c r="RJM6" i="10"/>
  <c r="RJU6" i="10"/>
  <c r="RKC6" i="10"/>
  <c r="RKK6" i="10"/>
  <c r="RKS6" i="10"/>
  <c r="RLA6" i="10"/>
  <c r="RLI6" i="10"/>
  <c r="RLQ6" i="10"/>
  <c r="RLY6" i="10"/>
  <c r="RMG6" i="10"/>
  <c r="RMO6" i="10"/>
  <c r="RMW6" i="10"/>
  <c r="RNE6" i="10"/>
  <c r="RNM6" i="10"/>
  <c r="RNU6" i="10"/>
  <c r="ROC6" i="10"/>
  <c r="ROK6" i="10"/>
  <c r="ROS6" i="10"/>
  <c r="RPA6" i="10"/>
  <c r="RPI6" i="10"/>
  <c r="RPQ6" i="10"/>
  <c r="RPY6" i="10"/>
  <c r="RQG6" i="10"/>
  <c r="RQO6" i="10"/>
  <c r="RQW6" i="10"/>
  <c r="RRE6" i="10"/>
  <c r="RRM6" i="10"/>
  <c r="RRU6" i="10"/>
  <c r="RSC6" i="10"/>
  <c r="RSK6" i="10"/>
  <c r="RSS6" i="10"/>
  <c r="RTA6" i="10"/>
  <c r="RTI6" i="10"/>
  <c r="RTQ6" i="10"/>
  <c r="RTY6" i="10"/>
  <c r="RUG6" i="10"/>
  <c r="RUO6" i="10"/>
  <c r="RUW6" i="10"/>
  <c r="RVE6" i="10"/>
  <c r="RVM6" i="10"/>
  <c r="RVU6" i="10"/>
  <c r="RWC6" i="10"/>
  <c r="RWK6" i="10"/>
  <c r="RWS6" i="10"/>
  <c r="RXA6" i="10"/>
  <c r="RXI6" i="10"/>
  <c r="RXQ6" i="10"/>
  <c r="RXY6" i="10"/>
  <c r="RYG6" i="10"/>
  <c r="RYO6" i="10"/>
  <c r="RYW6" i="10"/>
  <c r="RZE6" i="10"/>
  <c r="RZM6" i="10"/>
  <c r="RZU6" i="10"/>
  <c r="SAC6" i="10"/>
  <c r="SAK6" i="10"/>
  <c r="SAS6" i="10"/>
  <c r="SBA6" i="10"/>
  <c r="SBI6" i="10"/>
  <c r="SBQ6" i="10"/>
  <c r="SBY6" i="10"/>
  <c r="SCG6" i="10"/>
  <c r="SCO6" i="10"/>
  <c r="SCW6" i="10"/>
  <c r="SDE6" i="10"/>
  <c r="SDM6" i="10"/>
  <c r="SDU6" i="10"/>
  <c r="SEC6" i="10"/>
  <c r="SEK6" i="10"/>
  <c r="SES6" i="10"/>
  <c r="SFA6" i="10"/>
  <c r="SFI6" i="10"/>
  <c r="SFQ6" i="10"/>
  <c r="SFY6" i="10"/>
  <c r="SGG6" i="10"/>
  <c r="SGO6" i="10"/>
  <c r="SGW6" i="10"/>
  <c r="SHE6" i="10"/>
  <c r="SHM6" i="10"/>
  <c r="SHU6" i="10"/>
  <c r="SIC6" i="10"/>
  <c r="SIK6" i="10"/>
  <c r="SIS6" i="10"/>
  <c r="SJA6" i="10"/>
  <c r="SJI6" i="10"/>
  <c r="SJQ6" i="10"/>
  <c r="SJY6" i="10"/>
  <c r="SKG6" i="10"/>
  <c r="SKO6" i="10"/>
  <c r="SKW6" i="10"/>
  <c r="SLE6" i="10"/>
  <c r="SLM6" i="10"/>
  <c r="SLU6" i="10"/>
  <c r="SMC6" i="10"/>
  <c r="SMK6" i="10"/>
  <c r="SMS6" i="10"/>
  <c r="SNA6" i="10"/>
  <c r="SNI6" i="10"/>
  <c r="SNQ6" i="10"/>
  <c r="SNY6" i="10"/>
  <c r="SOG6" i="10"/>
  <c r="SOO6" i="10"/>
  <c r="SOW6" i="10"/>
  <c r="SPE6" i="10"/>
  <c r="SPM6" i="10"/>
  <c r="SPU6" i="10"/>
  <c r="SQC6" i="10"/>
  <c r="SQK6" i="10"/>
  <c r="SQS6" i="10"/>
  <c r="SRA6" i="10"/>
  <c r="SRI6" i="10"/>
  <c r="SRQ6" i="10"/>
  <c r="SRY6" i="10"/>
  <c r="SSG6" i="10"/>
  <c r="SSO6" i="10"/>
  <c r="SSW6" i="10"/>
  <c r="STE6" i="10"/>
  <c r="STM6" i="10"/>
  <c r="STU6" i="10"/>
  <c r="SUC6" i="10"/>
  <c r="SUK6" i="10"/>
  <c r="SUS6" i="10"/>
  <c r="SVA6" i="10"/>
  <c r="SVI6" i="10"/>
  <c r="SVQ6" i="10"/>
  <c r="SVY6" i="10"/>
  <c r="SWG6" i="10"/>
  <c r="SWO6" i="10"/>
  <c r="SWW6" i="10"/>
  <c r="SXE6" i="10"/>
  <c r="SXM6" i="10"/>
  <c r="SXU6" i="10"/>
  <c r="SYC6" i="10"/>
  <c r="SYK6" i="10"/>
  <c r="SYS6" i="10"/>
  <c r="SZA6" i="10"/>
  <c r="SZI6" i="10"/>
  <c r="SZQ6" i="10"/>
  <c r="SZY6" i="10"/>
  <c r="TAG6" i="10"/>
  <c r="TAO6" i="10"/>
  <c r="TAW6" i="10"/>
  <c r="TBE6" i="10"/>
  <c r="TBM6" i="10"/>
  <c r="TBU6" i="10"/>
  <c r="TCC6" i="10"/>
  <c r="TCK6" i="10"/>
  <c r="TCS6" i="10"/>
  <c r="TDA6" i="10"/>
  <c r="TDI6" i="10"/>
  <c r="TDQ6" i="10"/>
  <c r="TDY6" i="10"/>
  <c r="TEG6" i="10"/>
  <c r="TEO6" i="10"/>
  <c r="TEW6" i="10"/>
  <c r="TFE6" i="10"/>
  <c r="TFM6" i="10"/>
  <c r="TFU6" i="10"/>
  <c r="TGC6" i="10"/>
  <c r="TGK6" i="10"/>
  <c r="TGS6" i="10"/>
  <c r="THA6" i="10"/>
  <c r="THI6" i="10"/>
  <c r="THQ6" i="10"/>
  <c r="THY6" i="10"/>
  <c r="TIG6" i="10"/>
  <c r="TIO6" i="10"/>
  <c r="TIW6" i="10"/>
  <c r="TJD6" i="10"/>
  <c r="TJI6" i="10"/>
  <c r="TJN6" i="10"/>
  <c r="TJT6" i="10"/>
  <c r="TJY6" i="10"/>
  <c r="TKD6" i="10"/>
  <c r="TKJ6" i="10"/>
  <c r="TKO6" i="10"/>
  <c r="TKT6" i="10"/>
  <c r="TKZ6" i="10"/>
  <c r="TLE6" i="10"/>
  <c r="TLJ6" i="10"/>
  <c r="TLP6" i="10"/>
  <c r="TLU6" i="10"/>
  <c r="TLZ6" i="10"/>
  <c r="TMD6" i="10"/>
  <c r="TMH6" i="10"/>
  <c r="TML6" i="10"/>
  <c r="TMP6" i="10"/>
  <c r="TMT6" i="10"/>
  <c r="TMX6" i="10"/>
  <c r="TNB6" i="10"/>
  <c r="TNF6" i="10"/>
  <c r="TNJ6" i="10"/>
  <c r="TNN6" i="10"/>
  <c r="TNR6" i="10"/>
  <c r="TNV6" i="10"/>
  <c r="TNZ6" i="10"/>
  <c r="TOD6" i="10"/>
  <c r="TOH6" i="10"/>
  <c r="TOL6" i="10"/>
  <c r="TOP6" i="10"/>
  <c r="TOT6" i="10"/>
  <c r="TOX6" i="10"/>
  <c r="TPB6" i="10"/>
  <c r="TPF6" i="10"/>
  <c r="TPJ6" i="10"/>
  <c r="TPN6" i="10"/>
  <c r="TPR6" i="10"/>
  <c r="TPV6" i="10"/>
  <c r="TPZ6" i="10"/>
  <c r="TQD6" i="10"/>
  <c r="TQH6" i="10"/>
  <c r="TQL6" i="10"/>
  <c r="TQP6" i="10"/>
  <c r="TQT6" i="10"/>
  <c r="TQX6" i="10"/>
  <c r="TRB6" i="10"/>
  <c r="TRF6" i="10"/>
  <c r="TRJ6" i="10"/>
  <c r="TRN6" i="10"/>
  <c r="TRR6" i="10"/>
  <c r="TRV6" i="10"/>
  <c r="TRZ6" i="10"/>
  <c r="TSD6" i="10"/>
  <c r="TSH6" i="10"/>
  <c r="TSL6" i="10"/>
  <c r="TSP6" i="10"/>
  <c r="TST6" i="10"/>
  <c r="TSX6" i="10"/>
  <c r="TTB6" i="10"/>
  <c r="TTF6" i="10"/>
  <c r="TTJ6" i="10"/>
  <c r="TTN6" i="10"/>
  <c r="TTR6" i="10"/>
  <c r="TTV6" i="10"/>
  <c r="TTZ6" i="10"/>
  <c r="TUD6" i="10"/>
  <c r="TUH6" i="10"/>
  <c r="TUL6" i="10"/>
  <c r="TUP6" i="10"/>
  <c r="TUT6" i="10"/>
  <c r="TUX6" i="10"/>
  <c r="TVB6" i="10"/>
  <c r="TVF6" i="10"/>
  <c r="TVJ6" i="10"/>
  <c r="TVN6" i="10"/>
  <c r="TVR6" i="10"/>
  <c r="TVV6" i="10"/>
  <c r="TVZ6" i="10"/>
  <c r="TWD6" i="10"/>
  <c r="TWH6" i="10"/>
  <c r="TWL6" i="10"/>
  <c r="TWP6" i="10"/>
  <c r="TWT6" i="10"/>
  <c r="TWX6" i="10"/>
  <c r="TXB6" i="10"/>
  <c r="TXF6" i="10"/>
  <c r="TXJ6" i="10"/>
  <c r="TXN6" i="10"/>
  <c r="TXR6" i="10"/>
  <c r="TXV6" i="10"/>
  <c r="TXZ6" i="10"/>
  <c r="TYD6" i="10"/>
  <c r="TYH6" i="10"/>
  <c r="TYL6" i="10"/>
  <c r="TYP6" i="10"/>
  <c r="TYT6" i="10"/>
  <c r="TYX6" i="10"/>
  <c r="TZB6" i="10"/>
  <c r="TZF6" i="10"/>
  <c r="TZJ6" i="10"/>
  <c r="TZN6" i="10"/>
  <c r="TZR6" i="10"/>
  <c r="TZV6" i="10"/>
  <c r="TZZ6" i="10"/>
  <c r="UAD6" i="10"/>
  <c r="UAH6" i="10"/>
  <c r="UAL6" i="10"/>
  <c r="UAP6" i="10"/>
  <c r="UAT6" i="10"/>
  <c r="UAX6" i="10"/>
  <c r="UBB6" i="10"/>
  <c r="UBF6" i="10"/>
  <c r="UBJ6" i="10"/>
  <c r="UBN6" i="10"/>
  <c r="UBR6" i="10"/>
  <c r="UBV6" i="10"/>
  <c r="UBZ6" i="10"/>
  <c r="UCD6" i="10"/>
  <c r="UCH6" i="10"/>
  <c r="UCL6" i="10"/>
  <c r="UCP6" i="10"/>
  <c r="UCT6" i="10"/>
  <c r="UCX6" i="10"/>
  <c r="UDB6" i="10"/>
  <c r="UDF6" i="10"/>
  <c r="UDJ6" i="10"/>
  <c r="UDN6" i="10"/>
  <c r="UDR6" i="10"/>
  <c r="UDV6" i="10"/>
  <c r="UDZ6" i="10"/>
  <c r="UED6" i="10"/>
  <c r="UEH6" i="10"/>
  <c r="UEL6" i="10"/>
  <c r="UEP6" i="10"/>
  <c r="UET6" i="10"/>
  <c r="UEX6" i="10"/>
  <c r="UFB6" i="10"/>
  <c r="UFF6" i="10"/>
  <c r="UFJ6" i="10"/>
  <c r="UFN6" i="10"/>
  <c r="UFR6" i="10"/>
  <c r="UFV6" i="10"/>
  <c r="UFZ6" i="10"/>
  <c r="UGD6" i="10"/>
  <c r="UGH6" i="10"/>
  <c r="UGL6" i="10"/>
  <c r="UGP6" i="10"/>
  <c r="UGT6" i="10"/>
  <c r="UGX6" i="10"/>
  <c r="UHB6" i="10"/>
  <c r="UHF6" i="10"/>
  <c r="UHJ6" i="10"/>
  <c r="UHN6" i="10"/>
  <c r="UHR6" i="10"/>
  <c r="UHV6" i="10"/>
  <c r="UHZ6" i="10"/>
  <c r="UID6" i="10"/>
  <c r="UIH6" i="10"/>
  <c r="UIL6" i="10"/>
  <c r="UIP6" i="10"/>
  <c r="UIT6" i="10"/>
  <c r="UIX6" i="10"/>
  <c r="UJB6" i="10"/>
  <c r="UJF6" i="10"/>
  <c r="UJJ6" i="10"/>
  <c r="UJN6" i="10"/>
  <c r="UJR6" i="10"/>
  <c r="UJV6" i="10"/>
  <c r="UJZ6" i="10"/>
  <c r="UKD6" i="10"/>
  <c r="UKH6" i="10"/>
  <c r="UKL6" i="10"/>
  <c r="UKP6" i="10"/>
  <c r="UKT6" i="10"/>
  <c r="UKX6" i="10"/>
  <c r="ULB6" i="10"/>
  <c r="ULF6" i="10"/>
  <c r="ULJ6" i="10"/>
  <c r="ULN6" i="10"/>
  <c r="ULR6" i="10"/>
  <c r="ULV6" i="10"/>
  <c r="ULZ6" i="10"/>
  <c r="UMD6" i="10"/>
  <c r="UMH6" i="10"/>
  <c r="UML6" i="10"/>
  <c r="UMP6" i="10"/>
  <c r="UMT6" i="10"/>
  <c r="UMX6" i="10"/>
  <c r="UNB6" i="10"/>
  <c r="UNF6" i="10"/>
  <c r="UNJ6" i="10"/>
  <c r="UNN6" i="10"/>
  <c r="UNR6" i="10"/>
  <c r="UNV6" i="10"/>
  <c r="UNZ6" i="10"/>
  <c r="UOD6" i="10"/>
  <c r="UOH6" i="10"/>
  <c r="UOL6" i="10"/>
  <c r="UOP6" i="10"/>
  <c r="UOT6" i="10"/>
  <c r="UOX6" i="10"/>
  <c r="UPB6" i="10"/>
  <c r="UPF6" i="10"/>
  <c r="UPJ6" i="10"/>
  <c r="UPN6" i="10"/>
  <c r="UPR6" i="10"/>
  <c r="UPV6" i="10"/>
  <c r="UPZ6" i="10"/>
  <c r="UQD6" i="10"/>
  <c r="UQH6" i="10"/>
  <c r="UQL6" i="10"/>
  <c r="UQP6" i="10"/>
  <c r="UQT6" i="10"/>
  <c r="UQX6" i="10"/>
  <c r="URB6" i="10"/>
  <c r="URF6" i="10"/>
  <c r="URJ6" i="10"/>
  <c r="URN6" i="10"/>
  <c r="URR6" i="10"/>
  <c r="URV6" i="10"/>
  <c r="URZ6" i="10"/>
  <c r="USD6" i="10"/>
  <c r="USH6" i="10"/>
  <c r="USL6" i="10"/>
  <c r="USP6" i="10"/>
  <c r="UST6" i="10"/>
  <c r="USX6" i="10"/>
  <c r="UTB6" i="10"/>
  <c r="UTF6" i="10"/>
  <c r="UTJ6" i="10"/>
  <c r="UTN6" i="10"/>
  <c r="UTR6" i="10"/>
  <c r="UTV6" i="10"/>
  <c r="UTZ6" i="10"/>
  <c r="UUD6" i="10"/>
  <c r="UUH6" i="10"/>
  <c r="UUL6" i="10"/>
  <c r="UUP6" i="10"/>
  <c r="UUT6" i="10"/>
  <c r="UUX6" i="10"/>
  <c r="UVB6" i="10"/>
  <c r="UVF6" i="10"/>
  <c r="UVJ6" i="10"/>
  <c r="UVN6" i="10"/>
  <c r="UVR6" i="10"/>
  <c r="UVV6" i="10"/>
  <c r="UVZ6" i="10"/>
  <c r="UWD6" i="10"/>
  <c r="UWH6" i="10"/>
  <c r="UWL6" i="10"/>
  <c r="UWP6" i="10"/>
  <c r="UWT6" i="10"/>
  <c r="UWX6" i="10"/>
  <c r="UXB6" i="10"/>
  <c r="UXF6" i="10"/>
  <c r="UXJ6" i="10"/>
  <c r="UXN6" i="10"/>
  <c r="UXR6" i="10"/>
  <c r="UXV6" i="10"/>
  <c r="UXZ6" i="10"/>
  <c r="UYD6" i="10"/>
  <c r="UYH6" i="10"/>
  <c r="UYL6" i="10"/>
  <c r="UYP6" i="10"/>
  <c r="UYT6" i="10"/>
  <c r="UYX6" i="10"/>
  <c r="UZB6" i="10"/>
  <c r="UZF6" i="10"/>
  <c r="UZJ6" i="10"/>
  <c r="UZN6" i="10"/>
  <c r="UZR6" i="10"/>
  <c r="UZV6" i="10"/>
  <c r="UZZ6" i="10"/>
  <c r="VAD6" i="10"/>
  <c r="VAH6" i="10"/>
  <c r="VAL6" i="10"/>
  <c r="VAP6" i="10"/>
  <c r="VAT6" i="10"/>
  <c r="VAX6" i="10"/>
  <c r="VBB6" i="10"/>
  <c r="VBF6" i="10"/>
  <c r="VBJ6" i="10"/>
  <c r="VBN6" i="10"/>
  <c r="VBR6" i="10"/>
  <c r="VBV6" i="10"/>
  <c r="VBZ6" i="10"/>
  <c r="VCD6" i="10"/>
  <c r="VCH6" i="10"/>
  <c r="VCL6" i="10"/>
  <c r="VCP6" i="10"/>
  <c r="VCT6" i="10"/>
  <c r="VCX6" i="10"/>
  <c r="VDB6" i="10"/>
  <c r="VDF6" i="10"/>
  <c r="VDJ6" i="10"/>
  <c r="VDN6" i="10"/>
  <c r="VDR6" i="10"/>
  <c r="VDV6" i="10"/>
  <c r="VDZ6" i="10"/>
  <c r="VED6" i="10"/>
  <c r="VEH6" i="10"/>
  <c r="VEL6" i="10"/>
  <c r="VEP6" i="10"/>
  <c r="VET6" i="10"/>
  <c r="VEX6" i="10"/>
  <c r="VFB6" i="10"/>
  <c r="VFF6" i="10"/>
  <c r="VFJ6" i="10"/>
  <c r="VFN6" i="10"/>
  <c r="VFR6" i="10"/>
  <c r="VFV6" i="10"/>
  <c r="VFZ6" i="10"/>
  <c r="VGD6" i="10"/>
  <c r="VGH6" i="10"/>
  <c r="VGL6" i="10"/>
  <c r="VGP6" i="10"/>
  <c r="VGT6" i="10"/>
  <c r="VGX6" i="10"/>
  <c r="VHB6" i="10"/>
  <c r="VHF6" i="10"/>
  <c r="VHJ6" i="10"/>
  <c r="VHN6" i="10"/>
  <c r="VHR6" i="10"/>
  <c r="VHV6" i="10"/>
  <c r="VHZ6" i="10"/>
  <c r="VID6" i="10"/>
  <c r="VIH6" i="10"/>
  <c r="VIL6" i="10"/>
  <c r="VIP6" i="10"/>
  <c r="VIT6" i="10"/>
  <c r="VIX6" i="10"/>
  <c r="VJB6" i="10"/>
  <c r="VJF6" i="10"/>
  <c r="VJJ6" i="10"/>
  <c r="VJN6" i="10"/>
  <c r="VJR6" i="10"/>
  <c r="VJV6" i="10"/>
  <c r="VJZ6" i="10"/>
  <c r="VKD6" i="10"/>
  <c r="VKH6" i="10"/>
  <c r="VKL6" i="10"/>
  <c r="VKP6" i="10"/>
  <c r="VKT6" i="10"/>
  <c r="VKX6" i="10"/>
  <c r="VLB6" i="10"/>
  <c r="VLF6" i="10"/>
  <c r="VLJ6" i="10"/>
  <c r="VLN6" i="10"/>
  <c r="VLR6" i="10"/>
  <c r="VLV6" i="10"/>
  <c r="VLZ6" i="10"/>
  <c r="VMD6" i="10"/>
  <c r="VMH6" i="10"/>
  <c r="VML6" i="10"/>
  <c r="VMP6" i="10"/>
  <c r="VMT6" i="10"/>
  <c r="VMX6" i="10"/>
  <c r="VNB6" i="10"/>
  <c r="VNF6" i="10"/>
  <c r="VNJ6" i="10"/>
  <c r="VNN6" i="10"/>
  <c r="VNR6" i="10"/>
  <c r="VNV6" i="10"/>
  <c r="VNZ6" i="10"/>
  <c r="VOD6" i="10"/>
  <c r="VOH6" i="10"/>
  <c r="VOL6" i="10"/>
  <c r="VOP6" i="10"/>
  <c r="VOT6" i="10"/>
  <c r="VOX6" i="10"/>
  <c r="VPB6" i="10"/>
  <c r="VPF6" i="10"/>
  <c r="VPJ6" i="10"/>
  <c r="VPN6" i="10"/>
  <c r="VPR6" i="10"/>
  <c r="VPV6" i="10"/>
  <c r="VPZ6" i="10"/>
  <c r="VQD6" i="10"/>
  <c r="VQH6" i="10"/>
  <c r="VQL6" i="10"/>
  <c r="VQP6" i="10"/>
  <c r="VQT6" i="10"/>
  <c r="VQX6" i="10"/>
  <c r="VRB6" i="10"/>
  <c r="VRF6" i="10"/>
  <c r="VRJ6" i="10"/>
  <c r="VRN6" i="10"/>
  <c r="VRR6" i="10"/>
  <c r="VRV6" i="10"/>
  <c r="VRZ6" i="10"/>
  <c r="VSD6" i="10"/>
  <c r="VSH6" i="10"/>
  <c r="VSL6" i="10"/>
  <c r="VSP6" i="10"/>
  <c r="VST6" i="10"/>
  <c r="VSX6" i="10"/>
  <c r="VTB6" i="10"/>
  <c r="VTF6" i="10"/>
  <c r="VTJ6" i="10"/>
  <c r="VTN6" i="10"/>
  <c r="VTR6" i="10"/>
  <c r="VTV6" i="10"/>
  <c r="VTZ6" i="10"/>
  <c r="VUD6" i="10"/>
  <c r="VUH6" i="10"/>
  <c r="VUL6" i="10"/>
  <c r="VUP6" i="10"/>
  <c r="VUT6" i="10"/>
  <c r="VUX6" i="10"/>
  <c r="VVB6" i="10"/>
  <c r="VVF6" i="10"/>
  <c r="VVJ6" i="10"/>
  <c r="VVN6" i="10"/>
  <c r="VVR6" i="10"/>
  <c r="VVV6" i="10"/>
  <c r="VVZ6" i="10"/>
  <c r="VWD6" i="10"/>
  <c r="VWH6" i="10"/>
  <c r="VWL6" i="10"/>
  <c r="VWP6" i="10"/>
  <c r="VWT6" i="10"/>
  <c r="VWX6" i="10"/>
  <c r="VXB6" i="10"/>
  <c r="VXF6" i="10"/>
  <c r="VXJ6" i="10"/>
  <c r="VXN6" i="10"/>
  <c r="VXR6" i="10"/>
  <c r="VXV6" i="10"/>
  <c r="VXZ6" i="10"/>
  <c r="VYD6" i="10"/>
  <c r="VYH6" i="10"/>
  <c r="VYL6" i="10"/>
  <c r="VYP6" i="10"/>
  <c r="VYT6" i="10"/>
  <c r="VYX6" i="10"/>
  <c r="VZB6" i="10"/>
  <c r="VZF6" i="10"/>
  <c r="VZJ6" i="10"/>
  <c r="VZN6" i="10"/>
  <c r="VZR6" i="10"/>
  <c r="VZV6" i="10"/>
  <c r="VZZ6" i="10"/>
  <c r="WAD6" i="10"/>
  <c r="WAH6" i="10"/>
  <c r="WAL6" i="10"/>
  <c r="WAP6" i="10"/>
  <c r="WAT6" i="10"/>
  <c r="WAX6" i="10"/>
  <c r="WBB6" i="10"/>
  <c r="WBF6" i="10"/>
  <c r="WBJ6" i="10"/>
  <c r="WBN6" i="10"/>
  <c r="WBR6" i="10"/>
  <c r="WBV6" i="10"/>
  <c r="WBZ6" i="10"/>
  <c r="WCD6" i="10"/>
  <c r="WCH6" i="10"/>
  <c r="WCL6" i="10"/>
  <c r="WCP6" i="10"/>
  <c r="WCT6" i="10"/>
  <c r="WCX6" i="10"/>
  <c r="WDB6" i="10"/>
  <c r="WDF6" i="10"/>
  <c r="WDJ6" i="10"/>
  <c r="WDN6" i="10"/>
  <c r="WDR6" i="10"/>
  <c r="WDV6" i="10"/>
  <c r="WDZ6" i="10"/>
  <c r="WED6" i="10"/>
  <c r="WEH6" i="10"/>
  <c r="WEL6" i="10"/>
  <c r="WEP6" i="10"/>
  <c r="WET6" i="10"/>
  <c r="WEX6" i="10"/>
  <c r="WFB6" i="10"/>
  <c r="WFF6" i="10"/>
  <c r="WFJ6" i="10"/>
  <c r="WFN6" i="10"/>
  <c r="WFR6" i="10"/>
  <c r="WFV6" i="10"/>
  <c r="WFZ6" i="10"/>
  <c r="WGD6" i="10"/>
  <c r="WGH6" i="10"/>
  <c r="WGL6" i="10"/>
  <c r="WGP6" i="10"/>
  <c r="WGT6" i="10"/>
  <c r="WGX6" i="10"/>
  <c r="WHB6" i="10"/>
  <c r="WHF6" i="10"/>
  <c r="WHJ6" i="10"/>
  <c r="WHN6" i="10"/>
  <c r="WHR6" i="10"/>
  <c r="WHV6" i="10"/>
  <c r="WHZ6" i="10"/>
  <c r="WID6" i="10"/>
  <c r="WIH6" i="10"/>
  <c r="WIL6" i="10"/>
  <c r="WIP6" i="10"/>
  <c r="WIT6" i="10"/>
  <c r="WIX6" i="10"/>
  <c r="WJB6" i="10"/>
  <c r="WJF6" i="10"/>
  <c r="WJJ6" i="10"/>
  <c r="WJN6" i="10"/>
  <c r="WJR6" i="10"/>
  <c r="WJV6" i="10"/>
  <c r="WJZ6" i="10"/>
  <c r="WKD6" i="10"/>
  <c r="WKH6" i="10"/>
  <c r="WKL6" i="10"/>
  <c r="WKP6" i="10"/>
  <c r="WKT6" i="10"/>
  <c r="WKX6" i="10"/>
  <c r="WLB6" i="10"/>
  <c r="WLF6" i="10"/>
  <c r="WLJ6" i="10"/>
  <c r="WLN6" i="10"/>
  <c r="WLR6" i="10"/>
  <c r="WLV6" i="10"/>
  <c r="WLZ6" i="10"/>
  <c r="WMD6" i="10"/>
  <c r="WMH6" i="10"/>
  <c r="WML6" i="10"/>
  <c r="WMP6" i="10"/>
  <c r="WMT6" i="10"/>
  <c r="WMX6" i="10"/>
  <c r="WNB6" i="10"/>
  <c r="WNF6" i="10"/>
  <c r="WNJ6" i="10"/>
  <c r="WNN6" i="10"/>
  <c r="WNR6" i="10"/>
  <c r="WNV6" i="10"/>
  <c r="WNZ6" i="10"/>
  <c r="WOD6" i="10"/>
  <c r="WOH6" i="10"/>
  <c r="WOL6" i="10"/>
  <c r="WOP6" i="10"/>
  <c r="WOT6" i="10"/>
  <c r="WOX6" i="10"/>
  <c r="WPB6" i="10"/>
  <c r="WPF6" i="10"/>
  <c r="WPJ6" i="10"/>
  <c r="WPN6" i="10"/>
  <c r="WPR6" i="10"/>
  <c r="WPV6" i="10"/>
  <c r="WPZ6" i="10"/>
  <c r="WQD6" i="10"/>
  <c r="WQH6" i="10"/>
  <c r="WQL6" i="10"/>
  <c r="WQP6" i="10"/>
  <c r="WQT6" i="10"/>
  <c r="WQX6" i="10"/>
  <c r="WRB6" i="10"/>
  <c r="WRF6" i="10"/>
  <c r="WRJ6" i="10"/>
  <c r="WRN6" i="10"/>
  <c r="WRR6" i="10"/>
  <c r="WRV6" i="10"/>
  <c r="WRZ6" i="10"/>
  <c r="WSD6" i="10"/>
  <c r="WSH6" i="10"/>
  <c r="WSL6" i="10"/>
  <c r="WSP6" i="10"/>
  <c r="WST6" i="10"/>
  <c r="WSX6" i="10"/>
  <c r="WTB6" i="10"/>
  <c r="WTF6" i="10"/>
  <c r="WTJ6" i="10"/>
  <c r="WTN6" i="10"/>
  <c r="WTR6" i="10"/>
  <c r="WTV6" i="10"/>
  <c r="WTZ6" i="10"/>
  <c r="WUD6" i="10"/>
  <c r="WUH6" i="10"/>
  <c r="WUL6" i="10"/>
  <c r="WUP6" i="10"/>
  <c r="WUT6" i="10"/>
  <c r="WUX6" i="10"/>
  <c r="WVB6" i="10"/>
  <c r="WVF6" i="10"/>
  <c r="WVJ6" i="10"/>
  <c r="WVN6" i="10"/>
  <c r="WVR6" i="10"/>
  <c r="WVV6" i="10"/>
  <c r="WVZ6" i="10"/>
  <c r="WWD6" i="10"/>
  <c r="WWH6" i="10"/>
  <c r="WWL6" i="10"/>
  <c r="WWP6" i="10"/>
  <c r="WWT6" i="10"/>
  <c r="WWX6" i="10"/>
  <c r="WXB6" i="10"/>
  <c r="WXF6" i="10"/>
  <c r="WXJ6" i="10"/>
  <c r="WXN6" i="10"/>
  <c r="WXR6" i="10"/>
  <c r="WXV6" i="10"/>
  <c r="WXZ6" i="10"/>
  <c r="WYD6" i="10"/>
  <c r="WYH6" i="10"/>
  <c r="WYL6" i="10"/>
  <c r="WYP6" i="10"/>
  <c r="WYT6" i="10"/>
  <c r="WYX6" i="10"/>
  <c r="WZB6" i="10"/>
  <c r="WZF6" i="10"/>
  <c r="WZJ6" i="10"/>
  <c r="WZN6" i="10"/>
  <c r="WZR6" i="10"/>
  <c r="WZV6" i="10"/>
  <c r="WZZ6" i="10"/>
  <c r="XAD6" i="10"/>
  <c r="XAH6" i="10"/>
  <c r="XAL6" i="10"/>
  <c r="XAP6" i="10"/>
  <c r="XAT6" i="10"/>
  <c r="XAX6" i="10"/>
  <c r="XBB6" i="10"/>
  <c r="XBF6" i="10"/>
  <c r="XBJ6" i="10"/>
  <c r="XBN6" i="10"/>
  <c r="XBR6" i="10"/>
  <c r="XBV6" i="10"/>
  <c r="XBZ6" i="10"/>
  <c r="XCD6" i="10"/>
  <c r="XCH6" i="10"/>
  <c r="XCL6" i="10"/>
  <c r="XCP6" i="10"/>
  <c r="XCT6" i="10"/>
  <c r="XCX6" i="10"/>
  <c r="XDB6" i="10"/>
  <c r="XDF6" i="10"/>
  <c r="XDJ6" i="10"/>
  <c r="XDN6" i="10"/>
  <c r="XDR6" i="10"/>
  <c r="XDV6" i="10"/>
  <c r="XDZ6" i="10"/>
  <c r="XED6" i="10"/>
  <c r="XEH6" i="10"/>
  <c r="XEL6" i="10"/>
  <c r="XEP6" i="10"/>
  <c r="XET6" i="10"/>
  <c r="XEX6" i="10"/>
  <c r="XFB6" i="10"/>
  <c r="HZL6" i="10"/>
  <c r="IWP6" i="10"/>
  <c r="JIX6" i="10"/>
  <c r="JQH6" i="10"/>
  <c r="JXR6" i="10"/>
  <c r="KFB6" i="10"/>
  <c r="KML6" i="10"/>
  <c r="KTV6" i="10"/>
  <c r="KWH6" i="10"/>
  <c r="LDR6" i="10"/>
  <c r="LNN6" i="10"/>
  <c r="LQT6" i="10"/>
  <c r="LUL6" i="10"/>
  <c r="LYD6" i="10"/>
  <c r="MBV6" i="10"/>
  <c r="MFN6" i="10"/>
  <c r="MJF6" i="10"/>
  <c r="MOD6" i="10"/>
  <c r="MRV6" i="10"/>
  <c r="MVN6" i="10"/>
  <c r="MZF6" i="10"/>
  <c r="NCX6" i="10"/>
  <c r="NGO6" i="10"/>
  <c r="NIK6" i="10"/>
  <c r="NJA6" i="10"/>
  <c r="NKW6" i="10"/>
  <c r="NMS6" i="10"/>
  <c r="NOO6" i="10"/>
  <c r="NQK6" i="10"/>
  <c r="NSG6" i="10"/>
  <c r="NUC6" i="10"/>
  <c r="NVI6" i="10"/>
  <c r="NXE6" i="10"/>
  <c r="NZA6" i="10"/>
  <c r="OAW6" i="10"/>
  <c r="OCC6" i="10"/>
  <c r="ODY6" i="10"/>
  <c r="OFU6" i="10"/>
  <c r="OHQ6" i="10"/>
  <c r="OJM6" i="10"/>
  <c r="OKS6" i="10"/>
  <c r="OMO6" i="10"/>
  <c r="OOK6" i="10"/>
  <c r="OQG6" i="10"/>
  <c r="OSC6" i="10"/>
  <c r="OTY6" i="10"/>
  <c r="OVU6" i="10"/>
  <c r="OXQ6" i="10"/>
  <c r="OZM6" i="10"/>
  <c r="PBI6" i="10"/>
  <c r="PDE6" i="10"/>
  <c r="PFA6" i="10"/>
  <c r="PIC6" i="10"/>
  <c r="PIS6" i="10"/>
  <c r="PKO6" i="10"/>
  <c r="PMK6" i="10"/>
  <c r="POG6" i="10"/>
  <c r="PQC6" i="10"/>
  <c r="PRY6" i="10"/>
  <c r="PTU6" i="10"/>
  <c r="PVQ6" i="10"/>
  <c r="PXM6" i="10"/>
  <c r="PZI6" i="10"/>
  <c r="QBE6" i="10"/>
  <c r="QDA6" i="10"/>
  <c r="QFM6" i="10"/>
  <c r="QHY6" i="10"/>
  <c r="QJU6" i="10"/>
  <c r="QLQ6" i="10"/>
  <c r="QNM6" i="10"/>
  <c r="QPI6" i="10"/>
  <c r="QRE6" i="10"/>
  <c r="QTA6" i="10"/>
  <c r="QUG6" i="10"/>
  <c r="QWC6" i="10"/>
  <c r="QXY6" i="10"/>
  <c r="RBA6" i="10"/>
  <c r="RDD6" i="10"/>
  <c r="REB6" i="10"/>
  <c r="RFH6" i="10"/>
  <c r="RGF6" i="10"/>
  <c r="RHD6" i="10"/>
  <c r="RIB6" i="10"/>
  <c r="RIZ6" i="10"/>
  <c r="RJP6" i="10"/>
  <c r="RKN6" i="10"/>
  <c r="RLT6" i="10"/>
  <c r="RMR6" i="10"/>
  <c r="RNP6" i="10"/>
  <c r="RON6" i="10"/>
  <c r="RPL6" i="10"/>
  <c r="RQJ6" i="10"/>
  <c r="RRH6" i="10"/>
  <c r="RSF6" i="10"/>
  <c r="RTD6" i="10"/>
  <c r="RTT6" i="10"/>
  <c r="RUR6" i="10"/>
  <c r="RVP6" i="10"/>
  <c r="RWN6" i="10"/>
  <c r="RXD6" i="10"/>
  <c r="RYB6" i="10"/>
  <c r="RYZ6" i="10"/>
  <c r="RZX6" i="10"/>
  <c r="SAV6" i="10"/>
  <c r="SBT6" i="10"/>
  <c r="SCR6" i="10"/>
  <c r="SDX6" i="10"/>
  <c r="SEV6" i="10"/>
  <c r="SFT6" i="10"/>
  <c r="SGZ6" i="10"/>
  <c r="SHX6" i="10"/>
  <c r="SIN6" i="10"/>
  <c r="SJL6" i="10"/>
  <c r="SKJ6" i="10"/>
  <c r="SKZ6" i="10"/>
  <c r="SLX6" i="10"/>
  <c r="SND6" i="10"/>
  <c r="SOJ6" i="10"/>
  <c r="SPH6" i="10"/>
  <c r="SQF6" i="10"/>
  <c r="SRD6" i="10"/>
  <c r="SSB6" i="10"/>
  <c r="SSZ6" i="10"/>
  <c r="STX6" i="10"/>
  <c r="SUV6" i="10"/>
  <c r="SVT6" i="10"/>
  <c r="SWZ6" i="10"/>
  <c r="SYF6" i="10"/>
  <c r="SYV6" i="10"/>
  <c r="SZL6" i="10"/>
  <c r="TAJ6" i="10"/>
  <c r="TBP6" i="10"/>
  <c r="TCV6" i="10"/>
  <c r="TDL6" i="10"/>
  <c r="TEJ6" i="10"/>
  <c r="TFH6" i="10"/>
  <c r="TGF6" i="10"/>
  <c r="THD6" i="10"/>
  <c r="TIB6" i="10"/>
  <c r="TIZ6" i="10"/>
  <c r="TJP6" i="10"/>
  <c r="TKF6" i="10"/>
  <c r="TKV6" i="10"/>
  <c r="TLF6" i="10"/>
  <c r="TLV6" i="10"/>
  <c r="TMI6" i="10"/>
  <c r="TMU6" i="10"/>
  <c r="TNG6" i="10"/>
  <c r="TNS6" i="10"/>
  <c r="TOE6" i="10"/>
  <c r="TOQ6" i="10"/>
  <c r="TPC6" i="10"/>
  <c r="TPO6" i="10"/>
  <c r="TQA6" i="10"/>
  <c r="TQM6" i="10"/>
  <c r="TQY6" i="10"/>
  <c r="TRK6" i="10"/>
  <c r="TRW6" i="10"/>
  <c r="TSI6" i="10"/>
  <c r="TSU6" i="10"/>
  <c r="TTG6" i="10"/>
  <c r="TTS6" i="10"/>
  <c r="TUE6" i="10"/>
  <c r="TUI6" i="10"/>
  <c r="TUY6" i="10"/>
  <c r="TVK6" i="10"/>
  <c r="TVW6" i="10"/>
  <c r="TWI6" i="10"/>
  <c r="TWY6" i="10"/>
  <c r="TXK6" i="10"/>
  <c r="TXW6" i="10"/>
  <c r="TYM6" i="10"/>
  <c r="TYY6" i="10"/>
  <c r="TZK6" i="10"/>
  <c r="TZW6" i="10"/>
  <c r="UAE6" i="10"/>
  <c r="UAQ6" i="10"/>
  <c r="UBC6" i="10"/>
  <c r="UBO6" i="10"/>
  <c r="UCA6" i="10"/>
  <c r="UCM6" i="10"/>
  <c r="UCY6" i="10"/>
  <c r="UDK6" i="10"/>
  <c r="UDW6" i="10"/>
  <c r="UEI6" i="10"/>
  <c r="UEU6" i="10"/>
  <c r="UFG6" i="10"/>
  <c r="UFW6" i="10"/>
  <c r="UGI6" i="10"/>
  <c r="UGU6" i="10"/>
  <c r="UHK6" i="10"/>
  <c r="UHW6" i="10"/>
  <c r="UII6" i="10"/>
  <c r="UIQ6" i="10"/>
  <c r="UJC6" i="10"/>
  <c r="UJO6" i="10"/>
  <c r="UKA6" i="10"/>
  <c r="UKU6" i="10"/>
  <c r="ULG6" i="10"/>
  <c r="ULS6" i="10"/>
  <c r="UMM6" i="10"/>
  <c r="UMY6" i="10"/>
  <c r="UNK6" i="10"/>
  <c r="UNW6" i="10"/>
  <c r="UOI6" i="10"/>
  <c r="UOU6" i="10"/>
  <c r="UPG6" i="10"/>
  <c r="UPS6" i="10"/>
  <c r="UQE6" i="10"/>
  <c r="UQQ6" i="10"/>
  <c r="URC6" i="10"/>
  <c r="URO6" i="10"/>
  <c r="USA6" i="10"/>
  <c r="USM6" i="10"/>
  <c r="USY6" i="10"/>
  <c r="UTC6" i="10"/>
  <c r="UTO6" i="10"/>
  <c r="UUA6" i="10"/>
  <c r="UUM6" i="10"/>
  <c r="UUY6" i="10"/>
  <c r="UVG6" i="10"/>
  <c r="UVS6" i="10"/>
  <c r="UWE6" i="10"/>
  <c r="UWQ6" i="10"/>
  <c r="UXC6" i="10"/>
  <c r="UXO6" i="10"/>
  <c r="UYA6" i="10"/>
  <c r="UYM6" i="10"/>
  <c r="UYY6" i="10"/>
  <c r="UZK6" i="10"/>
  <c r="UZW6" i="10"/>
  <c r="VAI6" i="10"/>
  <c r="VAU6" i="10"/>
  <c r="VBG6" i="10"/>
  <c r="VBS6" i="10"/>
  <c r="VCE6" i="10"/>
  <c r="VCQ6" i="10"/>
  <c r="VCY6" i="10"/>
  <c r="VDK6" i="10"/>
  <c r="VDW6" i="10"/>
  <c r="VEI6" i="10"/>
  <c r="VEU6" i="10"/>
  <c r="VFG6" i="10"/>
  <c r="VFS6" i="10"/>
  <c r="VGI6" i="10"/>
  <c r="VGY6" i="10"/>
  <c r="VHG6" i="10"/>
  <c r="VHS6" i="10"/>
  <c r="VIE6" i="10"/>
  <c r="VIQ6" i="10"/>
  <c r="VJC6" i="10"/>
  <c r="VJS6" i="10"/>
  <c r="VKE6" i="10"/>
  <c r="VKQ6" i="10"/>
  <c r="VKY6" i="10"/>
  <c r="VLK6" i="10"/>
  <c r="VLW6" i="10"/>
  <c r="VME6" i="10"/>
  <c r="VMQ6" i="10"/>
  <c r="VNC6" i="10"/>
  <c r="VNS6" i="10"/>
  <c r="VOE6" i="10"/>
  <c r="VOQ6" i="10"/>
  <c r="VPC6" i="10"/>
  <c r="VPO6" i="10"/>
  <c r="VQA6" i="10"/>
  <c r="VQM6" i="10"/>
  <c r="VQY6" i="10"/>
  <c r="VRK6" i="10"/>
  <c r="VRW6" i="10"/>
  <c r="VSI6" i="10"/>
  <c r="VSY6" i="10"/>
  <c r="VTO6" i="10"/>
  <c r="VTS6" i="10"/>
  <c r="VUE6" i="10"/>
  <c r="VUQ6" i="10"/>
  <c r="VVC6" i="10"/>
  <c r="VVO6" i="10"/>
  <c r="VWA6" i="10"/>
  <c r="VWM6" i="10"/>
  <c r="VWY6" i="10"/>
  <c r="VXG6" i="10"/>
  <c r="VXW6" i="10"/>
  <c r="VYM6" i="10"/>
  <c r="VZC6" i="10"/>
  <c r="VZS6" i="10"/>
  <c r="WAI6" i="10"/>
  <c r="WAY6" i="10"/>
  <c r="WBO6" i="10"/>
  <c r="WCE6" i="10"/>
  <c r="WCU6" i="10"/>
  <c r="WDK6" i="10"/>
  <c r="WEA6" i="10"/>
  <c r="WEQ6" i="10"/>
  <c r="WFG6" i="10"/>
  <c r="WFW6" i="10"/>
  <c r="WGM6" i="10"/>
  <c r="WHC6" i="10"/>
  <c r="WHS6" i="10"/>
  <c r="WII6" i="10"/>
  <c r="WIY6" i="10"/>
  <c r="WJO6" i="10"/>
  <c r="WKE6" i="10"/>
  <c r="WKU6" i="10"/>
  <c r="WLK6" i="10"/>
  <c r="WMA6" i="10"/>
  <c r="WMQ6" i="10"/>
  <c r="WNG6" i="10"/>
  <c r="WNW6" i="10"/>
  <c r="WOM6" i="10"/>
  <c r="WPC6" i="10"/>
  <c r="WPS6" i="10"/>
  <c r="WQI6" i="10"/>
  <c r="WQY6" i="10"/>
  <c r="WRO6" i="10"/>
  <c r="WSE6" i="10"/>
  <c r="WSU6" i="10"/>
  <c r="WTK6" i="10"/>
  <c r="WUA6" i="10"/>
  <c r="WUQ6" i="10"/>
  <c r="WVG6" i="10"/>
  <c r="WVW6" i="10"/>
  <c r="WWM6" i="10"/>
  <c r="WXC6" i="10"/>
  <c r="WXS6" i="10"/>
  <c r="WYI6" i="10"/>
  <c r="WYY6" i="10"/>
  <c r="WZO6" i="10"/>
  <c r="XAE6" i="10"/>
  <c r="XAU6" i="10"/>
  <c r="XBK6" i="10"/>
  <c r="XCA6" i="10"/>
  <c r="XCQ6" i="10"/>
  <c r="XDG6" i="10"/>
  <c r="XDW6" i="10"/>
  <c r="XEM6" i="10"/>
  <c r="XFC6" i="10"/>
  <c r="VXK6" i="10"/>
  <c r="VYA6" i="10"/>
  <c r="VYQ6" i="10"/>
  <c r="VZG6" i="10"/>
  <c r="VZW6" i="10"/>
  <c r="WAM6" i="10"/>
  <c r="WBC6" i="10"/>
  <c r="WBS6" i="10"/>
  <c r="WCI6" i="10"/>
  <c r="WCY6" i="10"/>
  <c r="WDO6" i="10"/>
  <c r="WEE6" i="10"/>
  <c r="WEU6" i="10"/>
  <c r="WFK6" i="10"/>
  <c r="WGA6" i="10"/>
  <c r="WGQ6" i="10"/>
  <c r="WHG6" i="10"/>
  <c r="WHW6" i="10"/>
  <c r="WIM6" i="10"/>
  <c r="WJC6" i="10"/>
  <c r="WJS6" i="10"/>
  <c r="WKI6" i="10"/>
  <c r="WKY6" i="10"/>
  <c r="WLO6" i="10"/>
  <c r="WME6" i="10"/>
  <c r="WMU6" i="10"/>
  <c r="WNK6" i="10"/>
  <c r="WOA6" i="10"/>
  <c r="WOQ6" i="10"/>
  <c r="WPG6" i="10"/>
  <c r="WPW6" i="10"/>
  <c r="WQM6" i="10"/>
  <c r="WRC6" i="10"/>
  <c r="WRS6" i="10"/>
  <c r="WSI6" i="10"/>
  <c r="WSY6" i="10"/>
  <c r="WTO6" i="10"/>
  <c r="WUE6" i="10"/>
  <c r="WUU6" i="10"/>
  <c r="WVK6" i="10"/>
  <c r="WWA6" i="10"/>
  <c r="WWQ6" i="10"/>
  <c r="WXG6" i="10"/>
  <c r="WXW6" i="10"/>
  <c r="WYM6" i="10"/>
  <c r="WZC6" i="10"/>
  <c r="WZS6" i="10"/>
  <c r="XAI6" i="10"/>
  <c r="XAY6" i="10"/>
  <c r="XBO6" i="10"/>
  <c r="XCE6" i="10"/>
  <c r="XCU6" i="10"/>
  <c r="XDK6" i="10"/>
  <c r="XEA6" i="10"/>
  <c r="XEQ6" i="10"/>
  <c r="VXO6" i="10"/>
  <c r="VYE6" i="10"/>
  <c r="VYU6" i="10"/>
  <c r="VZK6" i="10"/>
  <c r="WAA6" i="10"/>
  <c r="WAQ6" i="10"/>
  <c r="WBG6" i="10"/>
  <c r="WBW6" i="10"/>
  <c r="WCM6" i="10"/>
  <c r="WDC6" i="10"/>
  <c r="WDS6" i="10"/>
  <c r="WEI6" i="10"/>
  <c r="WEY6" i="10"/>
  <c r="WFO6" i="10"/>
  <c r="WGE6" i="10"/>
  <c r="WGU6" i="10"/>
  <c r="WHK6" i="10"/>
  <c r="WIA6" i="10"/>
  <c r="WIQ6" i="10"/>
  <c r="WJG6" i="10"/>
  <c r="WJW6" i="10"/>
  <c r="WKM6" i="10"/>
  <c r="WLC6" i="10"/>
  <c r="WLS6" i="10"/>
  <c r="WMI6" i="10"/>
  <c r="WMY6" i="10"/>
  <c r="WNO6" i="10"/>
  <c r="WOE6" i="10"/>
  <c r="WOU6" i="10"/>
  <c r="WPK6" i="10"/>
  <c r="WQA6" i="10"/>
  <c r="WQQ6" i="10"/>
  <c r="WRG6" i="10"/>
  <c r="WRW6" i="10"/>
  <c r="WSM6" i="10"/>
  <c r="WTC6" i="10"/>
  <c r="WTS6" i="10"/>
  <c r="WUI6" i="10"/>
  <c r="WUY6" i="10"/>
  <c r="WVO6" i="10"/>
  <c r="WWE6" i="10"/>
  <c r="WWU6" i="10"/>
  <c r="WXK6" i="10"/>
  <c r="WYA6" i="10"/>
  <c r="WYQ6" i="10"/>
  <c r="WZG6" i="10"/>
  <c r="WZW6" i="10"/>
  <c r="XAM6" i="10"/>
  <c r="XBC6" i="10"/>
  <c r="XBS6" i="10"/>
  <c r="XCI6" i="10"/>
  <c r="XCY6" i="10"/>
  <c r="XDO6" i="10"/>
  <c r="XEE6" i="10"/>
  <c r="XEU6" i="10"/>
  <c r="VXS6" i="10"/>
  <c r="VYI6" i="10"/>
  <c r="VYY6" i="10"/>
  <c r="VZO6" i="10"/>
  <c r="WAE6" i="10"/>
  <c r="WAU6" i="10"/>
  <c r="WBK6" i="10"/>
  <c r="WCA6" i="10"/>
  <c r="WCQ6" i="10"/>
  <c r="WDG6" i="10"/>
  <c r="WDW6" i="10"/>
  <c r="WEM6" i="10"/>
  <c r="WFC6" i="10"/>
  <c r="WFS6" i="10"/>
  <c r="WGI6" i="10"/>
  <c r="WGY6" i="10"/>
  <c r="WHO6" i="10"/>
  <c r="WIE6" i="10"/>
  <c r="WIU6" i="10"/>
  <c r="WJK6" i="10"/>
  <c r="WKA6" i="10"/>
  <c r="WKQ6" i="10"/>
  <c r="WLG6" i="10"/>
  <c r="WLW6" i="10"/>
  <c r="WMM6" i="10"/>
  <c r="WNC6" i="10"/>
  <c r="WNS6" i="10"/>
  <c r="WOI6" i="10"/>
  <c r="WOY6" i="10"/>
  <c r="WPO6" i="10"/>
  <c r="WQE6" i="10"/>
  <c r="WQU6" i="10"/>
  <c r="WRK6" i="10"/>
  <c r="WSA6" i="10"/>
  <c r="WSQ6" i="10"/>
  <c r="WTG6" i="10"/>
  <c r="WTW6" i="10"/>
  <c r="WUM6" i="10"/>
  <c r="WVC6" i="10"/>
  <c r="WVS6" i="10"/>
  <c r="WWI6" i="10"/>
  <c r="WWY6" i="10"/>
  <c r="WXO6" i="10"/>
  <c r="WYE6" i="10"/>
  <c r="WYU6" i="10"/>
  <c r="WZK6" i="10"/>
  <c r="XAA6" i="10"/>
  <c r="XAQ6" i="10"/>
  <c r="XBG6" i="10"/>
  <c r="XBW6" i="10"/>
  <c r="XCM6" i="10"/>
  <c r="XDC6" i="10"/>
  <c r="XDS6" i="10"/>
  <c r="XEI6" i="10"/>
  <c r="XEY6" i="10"/>
  <c r="I38" i="11" l="1"/>
  <c r="F38" i="11"/>
  <c r="A39" i="11"/>
  <c r="I41" i="11" l="1"/>
  <c r="A42" i="11"/>
  <c r="F41" i="11"/>
  <c r="A45" i="11" l="1"/>
  <c r="I44" i="11"/>
  <c r="F44" i="11"/>
  <c r="I47" i="11" l="1"/>
  <c r="A48" i="11"/>
  <c r="F47" i="11"/>
  <c r="I50" i="11" l="1"/>
  <c r="A51" i="11"/>
  <c r="F50" i="11"/>
  <c r="A53" i="11"/>
  <c r="I53" i="11" l="1"/>
  <c r="A56" i="11"/>
  <c r="A54" i="11"/>
  <c r="F53" i="11"/>
  <c r="I56" i="11" l="1"/>
  <c r="A57" i="11"/>
  <c r="F56" i="11"/>
  <c r="A59" i="11"/>
  <c r="A62" i="11" l="1"/>
  <c r="I59" i="11"/>
  <c r="F59" i="11"/>
  <c r="A60" i="11"/>
  <c r="I62" i="11" l="1"/>
  <c r="A63" i="11"/>
  <c r="F62" i="11"/>
  <c r="A65" i="11"/>
  <c r="I65" i="11" l="1"/>
  <c r="A66" i="11"/>
  <c r="F65" i="11"/>
  <c r="A68" i="11"/>
  <c r="I68" i="11" l="1"/>
  <c r="A69" i="11"/>
  <c r="A71" i="11"/>
  <c r="F68" i="11"/>
  <c r="I71" i="11" l="1"/>
  <c r="A72" i="11"/>
  <c r="F71" i="11"/>
  <c r="A74" i="11"/>
  <c r="I74" i="11" l="1"/>
  <c r="A75" i="11"/>
  <c r="F74" i="11"/>
  <c r="A77" i="11"/>
  <c r="I77" i="11" l="1"/>
  <c r="A80" i="11"/>
  <c r="F77" i="11"/>
  <c r="A78" i="11"/>
  <c r="I80" i="11" l="1"/>
  <c r="A81" i="11"/>
  <c r="A83" i="11"/>
  <c r="F80" i="11"/>
  <c r="I83" i="11" l="1"/>
  <c r="A84" i="11"/>
  <c r="F83" i="11"/>
  <c r="A86" i="11"/>
  <c r="I86" i="11" l="1"/>
  <c r="A87" i="11"/>
  <c r="A89" i="11"/>
  <c r="F86" i="11"/>
  <c r="I89" i="11" l="1"/>
  <c r="A90" i="11"/>
  <c r="F89" i="11"/>
  <c r="A92" i="11"/>
  <c r="I92" i="11" l="1"/>
  <c r="A93" i="11"/>
  <c r="A95" i="11"/>
  <c r="F92" i="11"/>
  <c r="I95" i="11" l="1"/>
  <c r="A96" i="11"/>
  <c r="F95" i="11"/>
  <c r="I8" i="16"/>
  <c r="I5" i="16"/>
  <c r="F5" i="16"/>
  <c r="A6" i="16"/>
  <c r="A12" i="16" l="1"/>
  <c r="F11" i="16"/>
  <c r="I11" i="16"/>
  <c r="F8" i="16"/>
  <c r="A9" i="16"/>
  <c r="F14" i="16" l="1"/>
  <c r="A15" i="16"/>
  <c r="I14" i="16"/>
  <c r="A18" i="16" l="1"/>
  <c r="F17" i="16"/>
  <c r="I17" i="16"/>
</calcChain>
</file>

<file path=xl/sharedStrings.xml><?xml version="1.0" encoding="utf-8"?>
<sst xmlns="http://schemas.openxmlformats.org/spreadsheetml/2006/main" count="293" uniqueCount="103">
  <si>
    <t>What are the good things? Did you "______" Today?</t>
  </si>
  <si>
    <t>What are the bad things? Did you "______" Today?</t>
  </si>
  <si>
    <t>The Thing</t>
  </si>
  <si>
    <t>Setup Your profile</t>
  </si>
  <si>
    <t>Date:</t>
  </si>
  <si>
    <t>Express all your thoughts here. This is your journal that only you will read. Reflect deep, and The Thing will help you analyze your days, bringing statistics into your complicated life to look at the numbers objectively, without your emotional bias</t>
  </si>
  <si>
    <t>How hard was it to start?</t>
  </si>
  <si>
    <t>How bad did it feel to skip it?</t>
  </si>
  <si>
    <t>How hard was it to avoid?</t>
  </si>
  <si>
    <t>Yes</t>
  </si>
  <si>
    <t>Getting started</t>
  </si>
  <si>
    <t>Good luck, and happy tracking!</t>
  </si>
  <si>
    <r>
      <rPr>
        <b/>
        <sz val="11"/>
        <color theme="1"/>
        <rFont val="Leelawadee UI Semilight"/>
        <family val="2"/>
      </rPr>
      <t xml:space="preserve">General Info: </t>
    </r>
    <r>
      <rPr>
        <sz val="11"/>
        <color theme="1"/>
        <rFont val="Leelawadee UI Semilight"/>
        <family val="2"/>
      </rPr>
      <t xml:space="preserve">The orange cells are for your input. All ratings equate to 1 being worst/easiest, 10 being best/hardest. </t>
    </r>
    <r>
      <rPr>
        <u/>
        <sz val="11"/>
        <color theme="1"/>
        <rFont val="Leelawadee UI Semilight"/>
        <family val="2"/>
      </rPr>
      <t>For the sheets to work correctly you must allow Macros in the workbook.</t>
    </r>
  </si>
  <si>
    <r>
      <t xml:space="preserve">The </t>
    </r>
    <r>
      <rPr>
        <b/>
        <sz val="11"/>
        <color theme="1"/>
        <rFont val="Leelawadee UI Semilight"/>
        <family val="2"/>
      </rPr>
      <t xml:space="preserve">Journals </t>
    </r>
    <r>
      <rPr>
        <sz val="11"/>
        <color theme="1"/>
        <rFont val="Leelawadee UI Semilight"/>
        <family val="2"/>
      </rPr>
      <t>tab will pull together everything you've written, sorted by day</t>
    </r>
  </si>
  <si>
    <r>
      <t xml:space="preserve">The </t>
    </r>
    <r>
      <rPr>
        <b/>
        <sz val="11"/>
        <color theme="1"/>
        <rFont val="Leelawadee UI Semilight"/>
        <family val="2"/>
      </rPr>
      <t xml:space="preserve">Calendar </t>
    </r>
    <r>
      <rPr>
        <sz val="11"/>
        <color theme="1"/>
        <rFont val="Leelawadee UI Semilight"/>
        <family val="2"/>
      </rPr>
      <t>tab will compile all of your input data to show your longterm progress. This is very useful for reviewing your progress at a glance</t>
    </r>
  </si>
  <si>
    <r>
      <rPr>
        <b/>
        <sz val="11"/>
        <color theme="1"/>
        <rFont val="Leelawadee UI Semilight"/>
        <family val="2"/>
      </rPr>
      <t>Your</t>
    </r>
    <r>
      <rPr>
        <sz val="11"/>
        <color theme="1"/>
        <rFont val="Leelawadee UI Semilight"/>
        <family val="2"/>
      </rPr>
      <t xml:space="preserve"> </t>
    </r>
    <r>
      <rPr>
        <b/>
        <sz val="11"/>
        <color theme="1"/>
        <rFont val="Leelawadee UI Semilight"/>
        <family val="2"/>
      </rPr>
      <t xml:space="preserve">Day </t>
    </r>
    <r>
      <rPr>
        <sz val="11"/>
        <color theme="1"/>
        <rFont val="Leelawadee UI Semilight"/>
        <family val="2"/>
      </rPr>
      <t>Tabs will highlight your top 5 best or worst days depending on your criteria, for your own discretionary review.</t>
    </r>
  </si>
  <si>
    <t>Date of Entry</t>
  </si>
  <si>
    <t>Date of input</t>
  </si>
  <si>
    <t>Tell me about your day today, or a prior day</t>
  </si>
  <si>
    <r>
      <t xml:space="preserve">The </t>
    </r>
    <r>
      <rPr>
        <b/>
        <sz val="11"/>
        <color theme="1"/>
        <rFont val="Leelawadee UI Semilight"/>
        <family val="2"/>
      </rPr>
      <t>Records</t>
    </r>
    <r>
      <rPr>
        <sz val="11"/>
        <color theme="1"/>
        <rFont val="Leelawadee UI Semilight"/>
        <family val="2"/>
      </rPr>
      <t xml:space="preserve"> tab allows you to pull up old reports to see or edit what you've written</t>
    </r>
  </si>
  <si>
    <r>
      <t xml:space="preserve">The </t>
    </r>
    <r>
      <rPr>
        <b/>
        <sz val="11"/>
        <color theme="1"/>
        <rFont val="Leelawadee UI Semilight"/>
        <family val="2"/>
      </rPr>
      <t xml:space="preserve">Input </t>
    </r>
    <r>
      <rPr>
        <sz val="11"/>
        <color theme="1"/>
        <rFont val="Leelawadee UI Semilight"/>
        <family val="2"/>
      </rPr>
      <t xml:space="preserve">tab will let you record your daily thoughts and track your habits. It will ask you to rate your experiences, to help you compile a list of your best and worst days and see visual ratings. An 11 means better/worse than your previous best/worst rating, and will be input as a 10. All previous 10's will be dropped to 9's. </t>
    </r>
    <r>
      <rPr>
        <u/>
        <sz val="11"/>
        <color theme="1"/>
        <rFont val="Leelawadee UI Semilight"/>
        <family val="2"/>
      </rPr>
      <t>Make sure to alwasy hit submit when you're done!</t>
    </r>
  </si>
  <si>
    <t>Write any additional thoughts below</t>
  </si>
  <si>
    <t>Ratings (1-10)</t>
  </si>
  <si>
    <t>Overall</t>
  </si>
  <si>
    <t>Rate your day Overall</t>
  </si>
  <si>
    <t>Tell me about the rest of your day</t>
  </si>
  <si>
    <t>How high were the highs?</t>
  </si>
  <si>
    <t>How low were the lows?</t>
  </si>
  <si>
    <t>Highs</t>
  </si>
  <si>
    <t>Lows</t>
  </si>
  <si>
    <t>No</t>
  </si>
  <si>
    <t>Good 1</t>
  </si>
  <si>
    <t>Good 2</t>
  </si>
  <si>
    <t>Good 3</t>
  </si>
  <si>
    <t>Good 4</t>
  </si>
  <si>
    <t>Good 5</t>
  </si>
  <si>
    <t>Bad 1</t>
  </si>
  <si>
    <t>Bad 2</t>
  </si>
  <si>
    <t>Bad 3</t>
  </si>
  <si>
    <t>Bad 4</t>
  </si>
  <si>
    <t>Bad 5</t>
  </si>
  <si>
    <t>Good 1 start</t>
  </si>
  <si>
    <t>Good 1 rating</t>
  </si>
  <si>
    <t>Good 1 notes</t>
  </si>
  <si>
    <t>Good 2 start</t>
  </si>
  <si>
    <t>Good 2 rating</t>
  </si>
  <si>
    <t>Good 2 notes</t>
  </si>
  <si>
    <t>Good 3 start</t>
  </si>
  <si>
    <t>Good 3 rating</t>
  </si>
  <si>
    <t>Good 3 notes</t>
  </si>
  <si>
    <t>Good 4 start</t>
  </si>
  <si>
    <t>Good 4 rating</t>
  </si>
  <si>
    <t>Good 4 notes</t>
  </si>
  <si>
    <t>Good 5 start</t>
  </si>
  <si>
    <t>Good 5 rating</t>
  </si>
  <si>
    <t>Good 5 notes</t>
  </si>
  <si>
    <t>Bad 1 start</t>
  </si>
  <si>
    <t>Bad 1 rating</t>
  </si>
  <si>
    <t>Bad 1 notes</t>
  </si>
  <si>
    <t>Bad 2 start</t>
  </si>
  <si>
    <t>Bad 2 rating</t>
  </si>
  <si>
    <t>Bad 2 notes</t>
  </si>
  <si>
    <t>Bad 3 start</t>
  </si>
  <si>
    <t>Bad 3 rating</t>
  </si>
  <si>
    <t>Bad 3 notes</t>
  </si>
  <si>
    <t>Bad 4 start</t>
  </si>
  <si>
    <t>Bad 4 rating</t>
  </si>
  <si>
    <t>Bad 4 notes</t>
  </si>
  <si>
    <t>Bad 5 start</t>
  </si>
  <si>
    <t>Bad 5 rating</t>
  </si>
  <si>
    <t>Bad 5 notes</t>
  </si>
  <si>
    <t>Overall notes</t>
  </si>
  <si>
    <t>Month</t>
  </si>
  <si>
    <t>Rating</t>
  </si>
  <si>
    <t>Difficulty to start</t>
  </si>
  <si>
    <t>Habit</t>
  </si>
  <si>
    <r>
      <t xml:space="preserve">The Thing - </t>
    </r>
    <r>
      <rPr>
        <b/>
        <u/>
        <sz val="24"/>
        <color theme="0"/>
        <rFont val="Algerian"/>
        <family val="5"/>
      </rPr>
      <t>Records</t>
    </r>
  </si>
  <si>
    <r>
      <t xml:space="preserve">The Thing - </t>
    </r>
    <r>
      <rPr>
        <b/>
        <u/>
        <sz val="24"/>
        <color theme="0"/>
        <rFont val="Algerian"/>
        <family val="5"/>
      </rPr>
      <t>Input</t>
    </r>
  </si>
  <si>
    <r>
      <t xml:space="preserve">The Thing - </t>
    </r>
    <r>
      <rPr>
        <b/>
        <u/>
        <sz val="24"/>
        <color theme="0"/>
        <rFont val="Algerian"/>
        <family val="5"/>
      </rPr>
      <t>Setup</t>
    </r>
  </si>
  <si>
    <r>
      <t xml:space="preserve">The Thing - </t>
    </r>
    <r>
      <rPr>
        <b/>
        <u/>
        <sz val="24"/>
        <color theme="0"/>
        <rFont val="Algerian"/>
        <family val="5"/>
      </rPr>
      <t>Journals</t>
    </r>
  </si>
  <si>
    <t>Habits</t>
  </si>
  <si>
    <t>HabitsNoBlanks</t>
  </si>
  <si>
    <r>
      <t xml:space="preserve">The Thing - </t>
    </r>
    <r>
      <rPr>
        <b/>
        <u/>
        <sz val="24"/>
        <color theme="0"/>
        <rFont val="Algerian"/>
        <family val="5"/>
      </rPr>
      <t>Calendar</t>
    </r>
  </si>
  <si>
    <t>Year</t>
  </si>
  <si>
    <t>Ratings</t>
  </si>
  <si>
    <t>Day</t>
  </si>
  <si>
    <t>Good Habits</t>
  </si>
  <si>
    <t>Bad Habits</t>
  </si>
  <si>
    <t>Hi! So you want to keep track of "The Thing", or maybe Multiple "Things". Maybe you just want to get some thoughts out of your head. Well the thing is, I'm here to help. Let's get started! List the habits you'd like to track, then click setup when you're ready. If you ever want to add any, type them here then click setup again.</t>
  </si>
  <si>
    <t>#</t>
  </si>
  <si>
    <t>Weekdays</t>
  </si>
  <si>
    <t>Sun</t>
  </si>
  <si>
    <t>Mon</t>
  </si>
  <si>
    <t>Tue</t>
  </si>
  <si>
    <t>Wed</t>
  </si>
  <si>
    <t>Thu</t>
  </si>
  <si>
    <t>Fri</t>
  </si>
  <si>
    <t>Sat</t>
  </si>
  <si>
    <t>Calc Overall</t>
  </si>
  <si>
    <t>Calc Highs</t>
  </si>
  <si>
    <t>Calc Lows</t>
  </si>
  <si>
    <t>Calc'd Overall</t>
  </si>
  <si>
    <t>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</si>
</sst>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font>
      <sz val="11"/>
      <color theme="1"/>
      <name val="Calibri"/>
      <family val="2"/>
      <scheme val="minor"/>
    </font>
    <font>
      <b/>
      <sz val="24"/>
      <color theme="0"/>
      <name val="Algerian"/>
      <family val="5"/>
    </font>
    <font>
      <b/>
      <sz val="9"/>
      <color theme="0"/>
      <name val="Algerian"/>
      <family val="5"/>
    </font>
    <font>
      <sz val="11"/>
      <color theme="1"/>
      <name val="Leelawadee UI Semilight"/>
      <family val="2"/>
    </font>
    <font>
      <sz val="11"/>
      <color theme="1"/>
      <name val="Leelawadee UI"/>
      <family val="2"/>
    </font>
    <font>
      <b/>
      <sz val="11"/>
      <color theme="1"/>
      <name val="Leelawadee UI Semilight"/>
      <family val="2"/>
    </font>
    <font>
      <u/>
      <sz val="11"/>
      <color theme="1"/>
      <name val="Leelawadee UI Semilight"/>
      <family val="2"/>
    </font>
    <font>
      <b/>
      <sz val="10"/>
      <color theme="0"/>
      <name val="Algerian"/>
      <family val="5"/>
    </font>
    <font>
      <i/>
      <u/>
      <sz val="11"/>
      <color theme="0"/>
      <name val="Leelawadee UI"/>
      <family val="2"/>
    </font>
    <font>
      <b/>
      <sz val="11"/>
      <color theme="1"/>
      <name val="Calibri"/>
      <family val="2"/>
      <scheme val="minor"/>
    </font>
    <font>
      <sz val="11"/>
      <color theme="0"/>
      <name val="Leelawadee UI"/>
      <family val="2"/>
    </font>
    <font>
      <b/>
      <sz val="14"/>
      <color theme="0"/>
      <name val="Leelawadee UI"/>
      <family val="2"/>
    </font>
    <font>
      <sz val="11"/>
      <name val="Calibri"/>
      <family val="2"/>
      <scheme val="minor"/>
    </font>
    <font>
      <b/>
      <u/>
      <sz val="24"/>
      <color theme="0"/>
      <name val="Algerian"/>
      <family val="5"/>
    </font>
    <font>
      <b/>
      <sz val="9"/>
      <color theme="0"/>
      <name val="Leelawadee UI"/>
      <family val="2"/>
    </font>
    <font>
      <sz val="10"/>
      <color theme="1"/>
      <name val="Leelawadee UI"/>
      <family val="2"/>
    </font>
    <font>
      <sz val="11"/>
      <color rgb="FF222222"/>
      <name val="Courier New"/>
      <family val="3"/>
    </font>
    <font>
      <sz val="12"/>
      <color rgb="FF0A0101"/>
      <name val="&amp;quot"/>
    </font>
    <font>
      <sz val="12"/>
      <color rgb="FF0A0101"/>
      <name val="Calibri"/>
      <family val="2"/>
      <scheme val="minor"/>
    </font>
    <font>
      <sz val="10"/>
      <name val="Leelawadee UI"/>
      <family val="2"/>
    </font>
    <font>
      <sz val="11"/>
      <color theme="4" tint="0.79998168889431442"/>
      <name val="Leelawadee UI"/>
      <family val="2"/>
    </font>
    <font>
      <sz val="8"/>
      <name val="Calibri"/>
      <family val="2"/>
      <scheme val="minor"/>
    </font>
    <font>
      <sz val="20"/>
      <color theme="0"/>
      <name val="Algerian"/>
      <family val="5"/>
    </font>
    <font>
      <sz val="12"/>
      <color theme="0"/>
      <name val="Algerian"/>
      <family val="5"/>
    </font>
  </fonts>
  <fills count="11">
    <fill>
      <patternFill patternType="none"/>
    </fill>
    <fill>
      <patternFill patternType="gray125"/>
    </fill>
    <fill>
      <patternFill patternType="solid">
        <fgColor theme="5" tint="0.59999389629810485"/>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theme="0"/>
        <bgColor indexed="64"/>
      </patternFill>
    </fill>
    <fill>
      <patternFill patternType="solid">
        <fgColor theme="5" tint="-0.499984740745262"/>
        <bgColor indexed="64"/>
      </patternFill>
    </fill>
    <fill>
      <patternFill patternType="solid">
        <fgColor rgb="FF00B050"/>
        <bgColor indexed="64"/>
      </patternFill>
    </fill>
    <fill>
      <patternFill patternType="solid">
        <fgColor rgb="FFFF0000"/>
        <bgColor indexed="64"/>
      </patternFill>
    </fill>
    <fill>
      <patternFill patternType="solid">
        <fgColor theme="5"/>
        <bgColor indexed="64"/>
      </patternFill>
    </fill>
    <fill>
      <patternFill patternType="solid">
        <fgColor theme="8"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s>
  <cellStyleXfs count="1">
    <xf numFmtId="0" fontId="0" fillId="0" borderId="0"/>
  </cellStyleXfs>
  <cellXfs count="99">
    <xf numFmtId="0" fontId="0" fillId="0" borderId="0" xfId="0"/>
    <xf numFmtId="0" fontId="0" fillId="3" borderId="0" xfId="0" applyFill="1"/>
    <xf numFmtId="0" fontId="0" fillId="0" borderId="0" xfId="0" applyAlignment="1">
      <alignment wrapText="1"/>
    </xf>
    <xf numFmtId="0" fontId="0" fillId="0" borderId="0" xfId="0" applyAlignment="1">
      <alignment horizontal="left" vertical="top"/>
    </xf>
    <xf numFmtId="0" fontId="4" fillId="2" borderId="1" xfId="0" applyFont="1" applyFill="1" applyBorder="1" applyAlignment="1">
      <alignment horizontal="center"/>
    </xf>
    <xf numFmtId="0" fontId="4" fillId="3" borderId="0" xfId="0" applyFont="1" applyFill="1"/>
    <xf numFmtId="0" fontId="3" fillId="3" borderId="0" xfId="0" applyFont="1" applyFill="1"/>
    <xf numFmtId="0" fontId="3" fillId="5" borderId="0" xfId="0" applyFont="1" applyFill="1" applyAlignment="1">
      <alignment horizontal="center"/>
    </xf>
    <xf numFmtId="0" fontId="3" fillId="3" borderId="0" xfId="0" applyFont="1" applyFill="1" applyAlignment="1">
      <alignment horizontal="center"/>
    </xf>
    <xf numFmtId="0" fontId="7" fillId="6" borderId="0" xfId="0" applyFont="1" applyFill="1" applyAlignment="1">
      <alignment horizontal="right" vertical="center"/>
    </xf>
    <xf numFmtId="0" fontId="4" fillId="2" borderId="1" xfId="0" applyFont="1" applyFill="1" applyBorder="1" applyAlignment="1">
      <alignment horizontal="center"/>
    </xf>
    <xf numFmtId="14" fontId="0" fillId="0" borderId="0" xfId="0" applyNumberFormat="1"/>
    <xf numFmtId="0" fontId="0" fillId="0" borderId="0" xfId="0" applyProtection="1"/>
    <xf numFmtId="0" fontId="7" fillId="6" borderId="0" xfId="0" applyFont="1" applyFill="1" applyAlignment="1" applyProtection="1">
      <alignment horizontal="right" vertical="center"/>
    </xf>
    <xf numFmtId="0" fontId="0" fillId="3" borderId="0" xfId="0" applyFill="1" applyProtection="1"/>
    <xf numFmtId="0" fontId="4" fillId="3" borderId="0" xfId="0" applyFont="1" applyFill="1" applyProtection="1"/>
    <xf numFmtId="0" fontId="4" fillId="2" borderId="1" xfId="0" applyFont="1" applyFill="1" applyBorder="1" applyAlignment="1" applyProtection="1">
      <alignment horizontal="center"/>
      <protection locked="0"/>
    </xf>
    <xf numFmtId="14" fontId="10" fillId="4" borderId="1" xfId="0" applyNumberFormat="1" applyFont="1" applyFill="1" applyBorder="1" applyAlignment="1" applyProtection="1">
      <alignment horizontal="right" vertical="center" shrinkToFit="1"/>
      <protection locked="0"/>
    </xf>
    <xf numFmtId="14" fontId="11" fillId="4" borderId="1" xfId="0" applyNumberFormat="1" applyFont="1" applyFill="1" applyBorder="1" applyAlignment="1" applyProtection="1">
      <alignment vertical="top" shrinkToFit="1"/>
      <protection locked="0"/>
    </xf>
    <xf numFmtId="0" fontId="0" fillId="0" borderId="0" xfId="0" applyFont="1"/>
    <xf numFmtId="0" fontId="0" fillId="0" borderId="1" xfId="0" applyBorder="1"/>
    <xf numFmtId="0" fontId="1" fillId="4" borderId="0" xfId="0" applyFont="1" applyFill="1" applyAlignment="1" applyProtection="1"/>
    <xf numFmtId="0" fontId="9" fillId="0" borderId="0" xfId="0" applyFont="1"/>
    <xf numFmtId="0" fontId="16" fillId="0" borderId="0" xfId="0" applyFont="1"/>
    <xf numFmtId="0" fontId="17" fillId="0" borderId="0" xfId="0" applyFont="1"/>
    <xf numFmtId="0" fontId="18" fillId="0" borderId="0" xfId="0" applyFont="1"/>
    <xf numFmtId="0" fontId="19" fillId="0" borderId="1" xfId="0" applyFont="1" applyBorder="1"/>
    <xf numFmtId="0" fontId="19" fillId="0" borderId="1" xfId="0" quotePrefix="1" applyFont="1" applyBorder="1"/>
    <xf numFmtId="0" fontId="19" fillId="0" borderId="1" xfId="0" quotePrefix="1" applyFont="1" applyBorder="1" applyAlignment="1">
      <alignment horizontal="center" vertical="center"/>
    </xf>
    <xf numFmtId="0" fontId="0" fillId="7" borderId="0" xfId="0" applyFill="1"/>
    <xf numFmtId="0" fontId="14" fillId="4" borderId="0" xfId="0" applyFont="1" applyFill="1" applyBorder="1" applyAlignment="1">
      <alignment horizontal="right" vertical="center"/>
    </xf>
    <xf numFmtId="14" fontId="0" fillId="3" borderId="0" xfId="0" applyNumberFormat="1" applyFill="1" applyAlignment="1">
      <alignment horizontal="center" vertical="center"/>
    </xf>
    <xf numFmtId="0" fontId="0" fillId="9" borderId="0" xfId="0" applyFill="1"/>
    <xf numFmtId="0" fontId="0" fillId="8" borderId="0" xfId="0" applyFill="1"/>
    <xf numFmtId="0" fontId="0" fillId="10" borderId="0" xfId="0" applyFill="1"/>
    <xf numFmtId="0" fontId="0" fillId="3" borderId="0" xfId="0" applyFill="1" applyBorder="1"/>
    <xf numFmtId="14" fontId="0" fillId="3" borderId="0" xfId="0" applyNumberFormat="1" applyFill="1" applyBorder="1" applyAlignment="1">
      <alignment vertical="center"/>
    </xf>
    <xf numFmtId="14" fontId="0" fillId="0" borderId="0" xfId="0" applyNumberFormat="1" applyProtection="1"/>
    <xf numFmtId="0" fontId="4" fillId="3" borderId="1" xfId="0" applyFont="1" applyFill="1" applyBorder="1" applyProtection="1"/>
    <xf numFmtId="0" fontId="4" fillId="3" borderId="1" xfId="0" applyFont="1" applyFill="1" applyBorder="1"/>
    <xf numFmtId="14" fontId="20" fillId="3" borderId="0" xfId="0" applyNumberFormat="1" applyFont="1" applyFill="1" applyProtection="1"/>
    <xf numFmtId="14" fontId="10" fillId="4" borderId="1" xfId="0" applyNumberFormat="1" applyFont="1" applyFill="1" applyBorder="1" applyAlignment="1" applyProtection="1">
      <alignment horizontal="right" vertical="center" shrinkToFit="1"/>
      <protection locked="0"/>
    </xf>
    <xf numFmtId="0" fontId="22" fillId="6" borderId="1" xfId="0" applyFont="1" applyFill="1" applyBorder="1" applyAlignment="1">
      <alignment horizontal="center" vertical="center"/>
    </xf>
    <xf numFmtId="0" fontId="23" fillId="6" borderId="1" xfId="0" applyFont="1" applyFill="1" applyBorder="1" applyAlignment="1">
      <alignment horizontal="center" vertical="center"/>
    </xf>
    <xf numFmtId="0" fontId="1" fillId="4" borderId="0" xfId="0" applyFont="1" applyFill="1" applyAlignment="1">
      <alignment horizontal="left"/>
    </xf>
    <xf numFmtId="0" fontId="2" fillId="6" borderId="0" xfId="0" applyFont="1" applyFill="1" applyAlignment="1">
      <alignment horizontal="left" vertical="center"/>
    </xf>
    <xf numFmtId="0" fontId="3" fillId="0" borderId="0" xfId="0" applyFont="1" applyAlignment="1">
      <alignment horizontal="left"/>
    </xf>
    <xf numFmtId="0" fontId="3" fillId="0" borderId="0" xfId="0" applyFont="1" applyAlignment="1">
      <alignment horizontal="left" vertical="center" wrapText="1"/>
    </xf>
    <xf numFmtId="0" fontId="3" fillId="2" borderId="2" xfId="0" applyFont="1" applyFill="1" applyBorder="1" applyAlignment="1">
      <alignment horizontal="left"/>
    </xf>
    <xf numFmtId="0" fontId="3" fillId="2" borderId="3" xfId="0" applyFont="1" applyFill="1" applyBorder="1" applyAlignment="1">
      <alignment horizontal="left"/>
    </xf>
    <xf numFmtId="0" fontId="3" fillId="2" borderId="4" xfId="0" applyFont="1" applyFill="1" applyBorder="1" applyAlignment="1">
      <alignment horizontal="left"/>
    </xf>
    <xf numFmtId="0" fontId="3" fillId="0" borderId="0" xfId="0" applyFont="1" applyAlignment="1">
      <alignment horizontal="center" vertical="center" wrapText="1"/>
    </xf>
    <xf numFmtId="0" fontId="3" fillId="0" borderId="0" xfId="0" applyFont="1" applyAlignment="1">
      <alignment horizontal="left" wrapText="1"/>
    </xf>
    <xf numFmtId="0" fontId="3" fillId="0" borderId="0" xfId="0" applyFont="1" applyAlignment="1">
      <alignment horizontal="left" vertical="top"/>
    </xf>
    <xf numFmtId="0" fontId="1" fillId="4" borderId="0" xfId="0" applyFont="1" applyFill="1" applyAlignment="1">
      <alignment horizontal="center"/>
    </xf>
    <xf numFmtId="0" fontId="4" fillId="2" borderId="2" xfId="0" applyFont="1" applyFill="1" applyBorder="1" applyAlignment="1" applyProtection="1">
      <alignment horizontal="left" vertical="top" wrapText="1" shrinkToFit="1"/>
      <protection locked="0"/>
    </xf>
    <xf numFmtId="0" fontId="4" fillId="2" borderId="3" xfId="0" applyFont="1" applyFill="1" applyBorder="1" applyAlignment="1" applyProtection="1">
      <alignment horizontal="left" vertical="top" wrapText="1" shrinkToFit="1"/>
      <protection locked="0"/>
    </xf>
    <xf numFmtId="0" fontId="4" fillId="2" borderId="4" xfId="0" applyFont="1" applyFill="1" applyBorder="1" applyAlignment="1" applyProtection="1">
      <alignment horizontal="left" vertical="top" wrapText="1" shrinkToFit="1"/>
      <protection locked="0"/>
    </xf>
    <xf numFmtId="0" fontId="1" fillId="4" borderId="0" xfId="0" applyFont="1" applyFill="1" applyAlignment="1" applyProtection="1">
      <alignment horizontal="left"/>
    </xf>
    <xf numFmtId="0" fontId="4" fillId="0" borderId="7" xfId="0" applyFont="1" applyBorder="1" applyAlignment="1" applyProtection="1">
      <alignment horizontal="left"/>
    </xf>
    <xf numFmtId="0" fontId="4" fillId="0" borderId="0" xfId="0" applyFont="1" applyAlignment="1" applyProtection="1">
      <alignment horizontal="left"/>
    </xf>
    <xf numFmtId="0" fontId="4" fillId="0" borderId="6" xfId="0" applyFont="1" applyBorder="1" applyAlignment="1" applyProtection="1">
      <alignment horizontal="left"/>
    </xf>
    <xf numFmtId="0" fontId="8" fillId="4" borderId="0" xfId="0" applyFont="1" applyFill="1" applyAlignment="1" applyProtection="1">
      <alignment horizontal="right"/>
    </xf>
    <xf numFmtId="0" fontId="7" fillId="6" borderId="0" xfId="0" applyFont="1" applyFill="1" applyAlignment="1" applyProtection="1">
      <alignment horizontal="left" vertical="center"/>
    </xf>
    <xf numFmtId="14" fontId="4" fillId="2" borderId="2" xfId="0" applyNumberFormat="1" applyFont="1" applyFill="1" applyBorder="1" applyAlignment="1" applyProtection="1">
      <alignment horizontal="left"/>
      <protection locked="0"/>
    </xf>
    <xf numFmtId="14" fontId="4" fillId="2" borderId="4" xfId="0" applyNumberFormat="1" applyFont="1" applyFill="1" applyBorder="1" applyAlignment="1" applyProtection="1">
      <alignment horizontal="left"/>
      <protection locked="0"/>
    </xf>
    <xf numFmtId="0" fontId="4" fillId="0" borderId="0" xfId="0" applyFont="1" applyAlignment="1" applyProtection="1">
      <alignment horizontal="center" vertical="center" wrapText="1"/>
    </xf>
    <xf numFmtId="0" fontId="4" fillId="2" borderId="1" xfId="0" applyFont="1" applyFill="1" applyBorder="1" applyAlignment="1" applyProtection="1">
      <alignment horizontal="left" vertical="top" wrapText="1" shrinkToFit="1"/>
      <protection locked="0"/>
    </xf>
    <xf numFmtId="0" fontId="4" fillId="0" borderId="5" xfId="0" applyFont="1" applyBorder="1" applyAlignment="1" applyProtection="1">
      <alignment horizontal="left"/>
    </xf>
    <xf numFmtId="0" fontId="7" fillId="6" borderId="0" xfId="0" applyFont="1" applyFill="1" applyAlignment="1">
      <alignment horizontal="left" vertical="center"/>
    </xf>
    <xf numFmtId="0" fontId="4" fillId="0" borderId="0" xfId="0" applyFont="1" applyAlignment="1">
      <alignment horizontal="center" vertical="center" wrapText="1"/>
    </xf>
    <xf numFmtId="0" fontId="8" fillId="4" borderId="0" xfId="0" applyFont="1" applyFill="1" applyAlignment="1">
      <alignment horizontal="right"/>
    </xf>
    <xf numFmtId="0" fontId="4" fillId="0" borderId="0" xfId="0" applyFont="1" applyAlignment="1">
      <alignment horizontal="left"/>
    </xf>
    <xf numFmtId="0" fontId="4" fillId="0" borderId="6" xfId="0" applyFont="1" applyBorder="1" applyAlignment="1">
      <alignment horizontal="left"/>
    </xf>
    <xf numFmtId="0" fontId="4" fillId="0" borderId="7" xfId="0" applyFont="1" applyBorder="1" applyAlignment="1">
      <alignment horizontal="left"/>
    </xf>
    <xf numFmtId="0" fontId="4" fillId="2" borderId="1" xfId="0" applyFont="1" applyFill="1" applyBorder="1" applyAlignment="1">
      <alignment horizontal="left" vertical="top" wrapText="1"/>
    </xf>
    <xf numFmtId="0" fontId="4" fillId="0" borderId="5" xfId="0" applyFont="1" applyBorder="1" applyAlignment="1">
      <alignment horizontal="left"/>
    </xf>
    <xf numFmtId="0" fontId="15" fillId="2" borderId="4" xfId="0" applyFont="1" applyFill="1" applyBorder="1" applyAlignment="1" applyProtection="1">
      <alignment horizontal="center" vertical="center" shrinkToFit="1"/>
      <protection locked="0"/>
    </xf>
    <xf numFmtId="0" fontId="15" fillId="2" borderId="1" xfId="0" applyFont="1" applyFill="1" applyBorder="1" applyAlignment="1" applyProtection="1">
      <alignment horizontal="center" vertical="center" shrinkToFit="1"/>
      <protection locked="0"/>
    </xf>
    <xf numFmtId="0" fontId="0" fillId="3" borderId="0" xfId="0" applyFill="1" applyBorder="1" applyAlignment="1">
      <alignment horizontal="right" vertical="center"/>
    </xf>
    <xf numFmtId="0" fontId="4" fillId="5" borderId="1" xfId="0" applyFont="1" applyFill="1" applyBorder="1" applyAlignment="1" applyProtection="1">
      <alignment horizontal="left" vertical="top" shrinkToFit="1"/>
      <protection locked="0"/>
    </xf>
    <xf numFmtId="14" fontId="10" fillId="4" borderId="1" xfId="0" applyNumberFormat="1" applyFont="1" applyFill="1" applyBorder="1" applyAlignment="1" applyProtection="1">
      <alignment horizontal="right" vertical="center" shrinkToFit="1"/>
      <protection locked="0"/>
    </xf>
    <xf numFmtId="0" fontId="0" fillId="5" borderId="2" xfId="0" applyFill="1" applyBorder="1" applyAlignment="1">
      <alignment horizontal="center"/>
    </xf>
    <xf numFmtId="0" fontId="0" fillId="5" borderId="4" xfId="0" applyFill="1" applyBorder="1" applyAlignment="1">
      <alignment horizontal="center"/>
    </xf>
    <xf numFmtId="0" fontId="0" fillId="6" borderId="2" xfId="0" applyFill="1" applyBorder="1" applyAlignment="1">
      <alignment horizontal="center"/>
    </xf>
    <xf numFmtId="0" fontId="0" fillId="6" borderId="3" xfId="0" applyFill="1" applyBorder="1" applyAlignment="1">
      <alignment horizontal="center"/>
    </xf>
    <xf numFmtId="0" fontId="0" fillId="6" borderId="4" xfId="0" applyFill="1" applyBorder="1" applyAlignment="1">
      <alignment horizontal="center"/>
    </xf>
    <xf numFmtId="0" fontId="4" fillId="2" borderId="2" xfId="0" applyNumberFormat="1" applyFont="1" applyFill="1" applyBorder="1" applyAlignment="1">
      <alignment horizontal="left"/>
    </xf>
    <xf numFmtId="0" fontId="4" fillId="2" borderId="4" xfId="0" applyNumberFormat="1" applyFont="1" applyFill="1" applyBorder="1" applyAlignment="1">
      <alignment horizontal="left"/>
    </xf>
    <xf numFmtId="0" fontId="4" fillId="2" borderId="1" xfId="0" applyFont="1" applyFill="1" applyBorder="1" applyAlignment="1">
      <alignment horizontal="center"/>
    </xf>
    <xf numFmtId="0" fontId="4" fillId="0" borderId="0" xfId="0" applyFont="1" applyAlignment="1">
      <alignment horizontal="center"/>
    </xf>
    <xf numFmtId="0" fontId="12" fillId="3" borderId="1" xfId="0" applyFont="1" applyFill="1" applyBorder="1" applyAlignment="1">
      <alignment horizontal="center" vertical="center"/>
    </xf>
    <xf numFmtId="0" fontId="1" fillId="4" borderId="0" xfId="0" applyFont="1" applyFill="1" applyBorder="1" applyAlignment="1" applyProtection="1">
      <alignment horizontal="left"/>
    </xf>
    <xf numFmtId="0" fontId="0" fillId="6" borderId="1" xfId="0" applyFill="1" applyBorder="1" applyAlignment="1">
      <alignment horizontal="center"/>
    </xf>
    <xf numFmtId="0" fontId="4" fillId="5" borderId="1" xfId="0" applyFont="1" applyFill="1" applyBorder="1" applyAlignment="1" applyProtection="1">
      <alignment horizontal="left" vertical="top" wrapText="1" shrinkToFit="1"/>
      <protection locked="0"/>
    </xf>
    <xf numFmtId="0" fontId="15" fillId="2" borderId="3" xfId="0" applyNumberFormat="1" applyFont="1" applyFill="1" applyBorder="1" applyAlignment="1" applyProtection="1">
      <alignment horizontal="center" vertical="center" shrinkToFit="1"/>
      <protection locked="0"/>
    </xf>
    <xf numFmtId="0" fontId="15" fillId="2" borderId="4" xfId="0" applyNumberFormat="1" applyFont="1" applyFill="1" applyBorder="1" applyAlignment="1" applyProtection="1">
      <alignment horizontal="center" vertical="center" shrinkToFit="1"/>
      <protection locked="0"/>
    </xf>
    <xf numFmtId="0" fontId="15" fillId="2" borderId="9" xfId="0" applyFont="1" applyFill="1" applyBorder="1" applyAlignment="1" applyProtection="1">
      <alignment horizontal="center" vertical="center" shrinkToFit="1"/>
      <protection locked="0"/>
    </xf>
    <xf numFmtId="0" fontId="15" fillId="2" borderId="8" xfId="0" applyFont="1" applyFill="1" applyBorder="1" applyAlignment="1" applyProtection="1">
      <alignment horizontal="center" vertical="center" shrinkToFit="1"/>
      <protection locked="0"/>
    </xf>
  </cellXfs>
  <cellStyles count="1">
    <cellStyle name="Normal" xfId="0" builtinId="0"/>
  </cellStyles>
  <dxfs count="11">
    <dxf>
      <font>
        <color rgb="FF00B050"/>
      </font>
      <fill>
        <patternFill>
          <bgColor rgb="FF00B050"/>
        </patternFill>
      </fill>
    </dxf>
    <dxf>
      <font>
        <color rgb="FFFF0000"/>
      </font>
      <fill>
        <patternFill>
          <bgColor rgb="FFFF0000"/>
        </patternFill>
      </fill>
    </dxf>
    <dxf>
      <font>
        <color rgb="FFFF0000"/>
      </font>
      <fill>
        <patternFill>
          <bgColor rgb="FFFF0000"/>
        </patternFill>
      </fill>
    </dxf>
    <dxf>
      <font>
        <color rgb="FF0070C0"/>
      </font>
      <fill>
        <patternFill>
          <bgColor rgb="FF0070C0"/>
        </patternFill>
      </fill>
    </dxf>
    <dxf>
      <font>
        <color theme="4"/>
      </font>
      <fill>
        <patternFill>
          <bgColor theme="4"/>
        </patternFill>
      </fill>
    </dxf>
    <dxf>
      <font>
        <color rgb="FF00B050"/>
      </font>
      <fill>
        <patternFill>
          <bgColor rgb="FF00B050"/>
        </patternFill>
      </fill>
    </dxf>
    <dxf>
      <font>
        <color theme="5"/>
      </font>
      <fill>
        <patternFill>
          <bgColor theme="5"/>
        </patternFill>
      </fill>
    </dxf>
    <dxf>
      <font>
        <color theme="5"/>
      </font>
      <fill>
        <patternFill>
          <bgColor theme="5"/>
        </patternFill>
      </fill>
    </dxf>
    <dxf>
      <numFmt numFmtId="0" formatCode="General"/>
    </dxf>
    <dxf>
      <numFmt numFmtId="19" formatCode="m/d/yyyy"/>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495300</xdr:colOff>
          <xdr:row>0</xdr:row>
          <xdr:rowOff>85725</xdr:rowOff>
        </xdr:from>
        <xdr:to>
          <xdr:col>9</xdr:col>
          <xdr:colOff>447675</xdr:colOff>
          <xdr:row>0</xdr:row>
          <xdr:rowOff>361950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210553</xdr:colOff>
      <xdr:row>7</xdr:row>
      <xdr:rowOff>40106</xdr:rowOff>
    </xdr:from>
    <xdr:to>
      <xdr:col>4</xdr:col>
      <xdr:colOff>414131</xdr:colOff>
      <xdr:row>7</xdr:row>
      <xdr:rowOff>173936</xdr:rowOff>
    </xdr:to>
    <xdr:sp macro="" textlink="">
      <xdr:nvSpPr>
        <xdr:cNvPr id="2" name="Arrow: Down 1">
          <a:extLst>
            <a:ext uri="{FF2B5EF4-FFF2-40B4-BE49-F238E27FC236}">
              <a16:creationId xmlns:a16="http://schemas.microsoft.com/office/drawing/2014/main" id="{00000000-0008-0000-0100-000002000000}"/>
            </a:ext>
          </a:extLst>
        </xdr:cNvPr>
        <xdr:cNvSpPr/>
      </xdr:nvSpPr>
      <xdr:spPr>
        <a:xfrm>
          <a:off x="2656974" y="2135606"/>
          <a:ext cx="203578" cy="13383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210553</xdr:colOff>
      <xdr:row>17</xdr:row>
      <xdr:rowOff>40106</xdr:rowOff>
    </xdr:from>
    <xdr:to>
      <xdr:col>4</xdr:col>
      <xdr:colOff>414131</xdr:colOff>
      <xdr:row>17</xdr:row>
      <xdr:rowOff>173936</xdr:rowOff>
    </xdr:to>
    <xdr:sp macro="" textlink="">
      <xdr:nvSpPr>
        <xdr:cNvPr id="7" name="Arrow: Down 6">
          <a:extLst>
            <a:ext uri="{FF2B5EF4-FFF2-40B4-BE49-F238E27FC236}">
              <a16:creationId xmlns:a16="http://schemas.microsoft.com/office/drawing/2014/main" id="{00000000-0008-0000-0100-000007000000}"/>
            </a:ext>
          </a:extLst>
        </xdr:cNvPr>
        <xdr:cNvSpPr/>
      </xdr:nvSpPr>
      <xdr:spPr>
        <a:xfrm>
          <a:off x="2643091" y="2150260"/>
          <a:ext cx="203578" cy="13383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210553</xdr:colOff>
      <xdr:row>12</xdr:row>
      <xdr:rowOff>40106</xdr:rowOff>
    </xdr:from>
    <xdr:to>
      <xdr:col>4</xdr:col>
      <xdr:colOff>414131</xdr:colOff>
      <xdr:row>12</xdr:row>
      <xdr:rowOff>173936</xdr:rowOff>
    </xdr:to>
    <xdr:sp macro="" textlink="">
      <xdr:nvSpPr>
        <xdr:cNvPr id="8" name="Arrow: Down 7">
          <a:extLst>
            <a:ext uri="{FF2B5EF4-FFF2-40B4-BE49-F238E27FC236}">
              <a16:creationId xmlns:a16="http://schemas.microsoft.com/office/drawing/2014/main" id="{00000000-0008-0000-0100-000008000000}"/>
            </a:ext>
          </a:extLst>
        </xdr:cNvPr>
        <xdr:cNvSpPr/>
      </xdr:nvSpPr>
      <xdr:spPr>
        <a:xfrm>
          <a:off x="2643091" y="2150260"/>
          <a:ext cx="203578" cy="13383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210553</xdr:colOff>
      <xdr:row>22</xdr:row>
      <xdr:rowOff>40106</xdr:rowOff>
    </xdr:from>
    <xdr:to>
      <xdr:col>4</xdr:col>
      <xdr:colOff>414131</xdr:colOff>
      <xdr:row>22</xdr:row>
      <xdr:rowOff>173936</xdr:rowOff>
    </xdr:to>
    <xdr:sp macro="" textlink="">
      <xdr:nvSpPr>
        <xdr:cNvPr id="9" name="Arrow: Down 8">
          <a:extLst>
            <a:ext uri="{FF2B5EF4-FFF2-40B4-BE49-F238E27FC236}">
              <a16:creationId xmlns:a16="http://schemas.microsoft.com/office/drawing/2014/main" id="{00000000-0008-0000-0100-000009000000}"/>
            </a:ext>
          </a:extLst>
        </xdr:cNvPr>
        <xdr:cNvSpPr/>
      </xdr:nvSpPr>
      <xdr:spPr>
        <a:xfrm>
          <a:off x="2643091" y="2150260"/>
          <a:ext cx="203578" cy="13383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210553</xdr:colOff>
      <xdr:row>27</xdr:row>
      <xdr:rowOff>40106</xdr:rowOff>
    </xdr:from>
    <xdr:to>
      <xdr:col>4</xdr:col>
      <xdr:colOff>414131</xdr:colOff>
      <xdr:row>27</xdr:row>
      <xdr:rowOff>173936</xdr:rowOff>
    </xdr:to>
    <xdr:sp macro="" textlink="">
      <xdr:nvSpPr>
        <xdr:cNvPr id="10" name="Arrow: Down 9">
          <a:extLst>
            <a:ext uri="{FF2B5EF4-FFF2-40B4-BE49-F238E27FC236}">
              <a16:creationId xmlns:a16="http://schemas.microsoft.com/office/drawing/2014/main" id="{00000000-0008-0000-0100-00000A000000}"/>
            </a:ext>
          </a:extLst>
        </xdr:cNvPr>
        <xdr:cNvSpPr/>
      </xdr:nvSpPr>
      <xdr:spPr>
        <a:xfrm>
          <a:off x="2643091" y="2150260"/>
          <a:ext cx="203578" cy="13383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210553</xdr:colOff>
      <xdr:row>32</xdr:row>
      <xdr:rowOff>40106</xdr:rowOff>
    </xdr:from>
    <xdr:to>
      <xdr:col>4</xdr:col>
      <xdr:colOff>414131</xdr:colOff>
      <xdr:row>32</xdr:row>
      <xdr:rowOff>173936</xdr:rowOff>
    </xdr:to>
    <xdr:sp macro="" textlink="">
      <xdr:nvSpPr>
        <xdr:cNvPr id="11" name="Arrow: Down 10">
          <a:extLst>
            <a:ext uri="{FF2B5EF4-FFF2-40B4-BE49-F238E27FC236}">
              <a16:creationId xmlns:a16="http://schemas.microsoft.com/office/drawing/2014/main" id="{00000000-0008-0000-0100-00000B000000}"/>
            </a:ext>
          </a:extLst>
        </xdr:cNvPr>
        <xdr:cNvSpPr/>
      </xdr:nvSpPr>
      <xdr:spPr>
        <a:xfrm>
          <a:off x="2643091" y="2150260"/>
          <a:ext cx="203578" cy="13383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210553</xdr:colOff>
      <xdr:row>37</xdr:row>
      <xdr:rowOff>40106</xdr:rowOff>
    </xdr:from>
    <xdr:to>
      <xdr:col>4</xdr:col>
      <xdr:colOff>414131</xdr:colOff>
      <xdr:row>37</xdr:row>
      <xdr:rowOff>173936</xdr:rowOff>
    </xdr:to>
    <xdr:sp macro="" textlink="">
      <xdr:nvSpPr>
        <xdr:cNvPr id="12" name="Arrow: Down 11">
          <a:extLst>
            <a:ext uri="{FF2B5EF4-FFF2-40B4-BE49-F238E27FC236}">
              <a16:creationId xmlns:a16="http://schemas.microsoft.com/office/drawing/2014/main" id="{00000000-0008-0000-0100-00000C000000}"/>
            </a:ext>
          </a:extLst>
        </xdr:cNvPr>
        <xdr:cNvSpPr/>
      </xdr:nvSpPr>
      <xdr:spPr>
        <a:xfrm>
          <a:off x="2643091" y="2150260"/>
          <a:ext cx="203578" cy="13383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210553</xdr:colOff>
      <xdr:row>42</xdr:row>
      <xdr:rowOff>40106</xdr:rowOff>
    </xdr:from>
    <xdr:to>
      <xdr:col>4</xdr:col>
      <xdr:colOff>414131</xdr:colOff>
      <xdr:row>42</xdr:row>
      <xdr:rowOff>173936</xdr:rowOff>
    </xdr:to>
    <xdr:sp macro="" textlink="">
      <xdr:nvSpPr>
        <xdr:cNvPr id="13" name="Arrow: Down 12">
          <a:extLst>
            <a:ext uri="{FF2B5EF4-FFF2-40B4-BE49-F238E27FC236}">
              <a16:creationId xmlns:a16="http://schemas.microsoft.com/office/drawing/2014/main" id="{00000000-0008-0000-0100-00000D000000}"/>
            </a:ext>
          </a:extLst>
        </xdr:cNvPr>
        <xdr:cNvSpPr/>
      </xdr:nvSpPr>
      <xdr:spPr>
        <a:xfrm>
          <a:off x="2643091" y="2150260"/>
          <a:ext cx="203578" cy="13383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210553</xdr:colOff>
      <xdr:row>47</xdr:row>
      <xdr:rowOff>40106</xdr:rowOff>
    </xdr:from>
    <xdr:to>
      <xdr:col>4</xdr:col>
      <xdr:colOff>414131</xdr:colOff>
      <xdr:row>47</xdr:row>
      <xdr:rowOff>173936</xdr:rowOff>
    </xdr:to>
    <xdr:sp macro="" textlink="">
      <xdr:nvSpPr>
        <xdr:cNvPr id="14" name="Arrow: Down 13">
          <a:extLst>
            <a:ext uri="{FF2B5EF4-FFF2-40B4-BE49-F238E27FC236}">
              <a16:creationId xmlns:a16="http://schemas.microsoft.com/office/drawing/2014/main" id="{00000000-0008-0000-0100-00000E000000}"/>
            </a:ext>
          </a:extLst>
        </xdr:cNvPr>
        <xdr:cNvSpPr/>
      </xdr:nvSpPr>
      <xdr:spPr>
        <a:xfrm>
          <a:off x="2643091" y="2150260"/>
          <a:ext cx="203578" cy="13383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210553</xdr:colOff>
      <xdr:row>52</xdr:row>
      <xdr:rowOff>40106</xdr:rowOff>
    </xdr:from>
    <xdr:to>
      <xdr:col>4</xdr:col>
      <xdr:colOff>414131</xdr:colOff>
      <xdr:row>52</xdr:row>
      <xdr:rowOff>173936</xdr:rowOff>
    </xdr:to>
    <xdr:sp macro="" textlink="">
      <xdr:nvSpPr>
        <xdr:cNvPr id="15" name="Arrow: Down 14">
          <a:extLst>
            <a:ext uri="{FF2B5EF4-FFF2-40B4-BE49-F238E27FC236}">
              <a16:creationId xmlns:a16="http://schemas.microsoft.com/office/drawing/2014/main" id="{00000000-0008-0000-0100-00000F000000}"/>
            </a:ext>
          </a:extLst>
        </xdr:cNvPr>
        <xdr:cNvSpPr/>
      </xdr:nvSpPr>
      <xdr:spPr>
        <a:xfrm>
          <a:off x="2643091" y="2150260"/>
          <a:ext cx="203578" cy="13383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210553</xdr:colOff>
      <xdr:row>57</xdr:row>
      <xdr:rowOff>40106</xdr:rowOff>
    </xdr:from>
    <xdr:to>
      <xdr:col>4</xdr:col>
      <xdr:colOff>414131</xdr:colOff>
      <xdr:row>57</xdr:row>
      <xdr:rowOff>173936</xdr:rowOff>
    </xdr:to>
    <xdr:sp macro="" textlink="">
      <xdr:nvSpPr>
        <xdr:cNvPr id="16" name="Arrow: Down 15">
          <a:extLst>
            <a:ext uri="{FF2B5EF4-FFF2-40B4-BE49-F238E27FC236}">
              <a16:creationId xmlns:a16="http://schemas.microsoft.com/office/drawing/2014/main" id="{00000000-0008-0000-0100-000010000000}"/>
            </a:ext>
          </a:extLst>
        </xdr:cNvPr>
        <xdr:cNvSpPr/>
      </xdr:nvSpPr>
      <xdr:spPr>
        <a:xfrm>
          <a:off x="2643091" y="2150260"/>
          <a:ext cx="203578" cy="13383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523875</xdr:colOff>
          <xdr:row>0</xdr:row>
          <xdr:rowOff>76200</xdr:rowOff>
        </xdr:from>
        <xdr:to>
          <xdr:col>8</xdr:col>
          <xdr:colOff>514350</xdr:colOff>
          <xdr:row>0</xdr:row>
          <xdr:rowOff>352425</xdr:rowOff>
        </xdr:to>
        <xdr:sp macro="" textlink="">
          <xdr:nvSpPr>
            <xdr:cNvPr id="3078" name="SubmitButton"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0</xdr:row>
          <xdr:rowOff>85725</xdr:rowOff>
        </xdr:from>
        <xdr:to>
          <xdr:col>7</xdr:col>
          <xdr:colOff>333375</xdr:colOff>
          <xdr:row>0</xdr:row>
          <xdr:rowOff>361950</xdr:rowOff>
        </xdr:to>
        <xdr:sp macro="" textlink="">
          <xdr:nvSpPr>
            <xdr:cNvPr id="3079" name="ResetButton"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210553</xdr:colOff>
      <xdr:row>7</xdr:row>
      <xdr:rowOff>40106</xdr:rowOff>
    </xdr:from>
    <xdr:to>
      <xdr:col>4</xdr:col>
      <xdr:colOff>414131</xdr:colOff>
      <xdr:row>7</xdr:row>
      <xdr:rowOff>173936</xdr:rowOff>
    </xdr:to>
    <xdr:sp macro="" textlink="">
      <xdr:nvSpPr>
        <xdr:cNvPr id="4" name="Arrow: Down 3">
          <a:extLst>
            <a:ext uri="{FF2B5EF4-FFF2-40B4-BE49-F238E27FC236}">
              <a16:creationId xmlns:a16="http://schemas.microsoft.com/office/drawing/2014/main" id="{00000000-0008-0000-0200-000004000000}"/>
            </a:ext>
          </a:extLst>
        </xdr:cNvPr>
        <xdr:cNvSpPr/>
      </xdr:nvSpPr>
      <xdr:spPr>
        <a:xfrm>
          <a:off x="2648953" y="2135606"/>
          <a:ext cx="203578" cy="13383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210553</xdr:colOff>
      <xdr:row>17</xdr:row>
      <xdr:rowOff>40106</xdr:rowOff>
    </xdr:from>
    <xdr:to>
      <xdr:col>4</xdr:col>
      <xdr:colOff>414131</xdr:colOff>
      <xdr:row>17</xdr:row>
      <xdr:rowOff>173936</xdr:rowOff>
    </xdr:to>
    <xdr:sp macro="" textlink="">
      <xdr:nvSpPr>
        <xdr:cNvPr id="5" name="Arrow: Down 4">
          <a:extLst>
            <a:ext uri="{FF2B5EF4-FFF2-40B4-BE49-F238E27FC236}">
              <a16:creationId xmlns:a16="http://schemas.microsoft.com/office/drawing/2014/main" id="{00000000-0008-0000-0200-000005000000}"/>
            </a:ext>
          </a:extLst>
        </xdr:cNvPr>
        <xdr:cNvSpPr/>
      </xdr:nvSpPr>
      <xdr:spPr>
        <a:xfrm>
          <a:off x="2648953" y="5029200"/>
          <a:ext cx="203578" cy="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210553</xdr:colOff>
      <xdr:row>12</xdr:row>
      <xdr:rowOff>40106</xdr:rowOff>
    </xdr:from>
    <xdr:to>
      <xdr:col>4</xdr:col>
      <xdr:colOff>414131</xdr:colOff>
      <xdr:row>12</xdr:row>
      <xdr:rowOff>173936</xdr:rowOff>
    </xdr:to>
    <xdr:sp macro="" textlink="">
      <xdr:nvSpPr>
        <xdr:cNvPr id="6" name="Arrow: Down 5">
          <a:extLst>
            <a:ext uri="{FF2B5EF4-FFF2-40B4-BE49-F238E27FC236}">
              <a16:creationId xmlns:a16="http://schemas.microsoft.com/office/drawing/2014/main" id="{00000000-0008-0000-0200-000006000000}"/>
            </a:ext>
          </a:extLst>
        </xdr:cNvPr>
        <xdr:cNvSpPr/>
      </xdr:nvSpPr>
      <xdr:spPr>
        <a:xfrm>
          <a:off x="2648953" y="3812006"/>
          <a:ext cx="203578" cy="13383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210553</xdr:colOff>
      <xdr:row>22</xdr:row>
      <xdr:rowOff>40106</xdr:rowOff>
    </xdr:from>
    <xdr:to>
      <xdr:col>4</xdr:col>
      <xdr:colOff>414131</xdr:colOff>
      <xdr:row>22</xdr:row>
      <xdr:rowOff>173936</xdr:rowOff>
    </xdr:to>
    <xdr:sp macro="" textlink="">
      <xdr:nvSpPr>
        <xdr:cNvPr id="7" name="Arrow: Down 6">
          <a:extLst>
            <a:ext uri="{FF2B5EF4-FFF2-40B4-BE49-F238E27FC236}">
              <a16:creationId xmlns:a16="http://schemas.microsoft.com/office/drawing/2014/main" id="{00000000-0008-0000-0200-000007000000}"/>
            </a:ext>
          </a:extLst>
        </xdr:cNvPr>
        <xdr:cNvSpPr/>
      </xdr:nvSpPr>
      <xdr:spPr>
        <a:xfrm>
          <a:off x="2648953" y="5029200"/>
          <a:ext cx="203578" cy="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210553</xdr:colOff>
      <xdr:row>27</xdr:row>
      <xdr:rowOff>40106</xdr:rowOff>
    </xdr:from>
    <xdr:to>
      <xdr:col>4</xdr:col>
      <xdr:colOff>414131</xdr:colOff>
      <xdr:row>27</xdr:row>
      <xdr:rowOff>173936</xdr:rowOff>
    </xdr:to>
    <xdr:sp macro="" textlink="">
      <xdr:nvSpPr>
        <xdr:cNvPr id="8" name="Arrow: Down 7">
          <a:extLst>
            <a:ext uri="{FF2B5EF4-FFF2-40B4-BE49-F238E27FC236}">
              <a16:creationId xmlns:a16="http://schemas.microsoft.com/office/drawing/2014/main" id="{00000000-0008-0000-0200-000008000000}"/>
            </a:ext>
          </a:extLst>
        </xdr:cNvPr>
        <xdr:cNvSpPr/>
      </xdr:nvSpPr>
      <xdr:spPr>
        <a:xfrm>
          <a:off x="2648953" y="5029200"/>
          <a:ext cx="203578" cy="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210553</xdr:colOff>
      <xdr:row>32</xdr:row>
      <xdr:rowOff>40106</xdr:rowOff>
    </xdr:from>
    <xdr:to>
      <xdr:col>4</xdr:col>
      <xdr:colOff>414131</xdr:colOff>
      <xdr:row>32</xdr:row>
      <xdr:rowOff>173936</xdr:rowOff>
    </xdr:to>
    <xdr:sp macro="" textlink="">
      <xdr:nvSpPr>
        <xdr:cNvPr id="9" name="Arrow: Down 8">
          <a:extLst>
            <a:ext uri="{FF2B5EF4-FFF2-40B4-BE49-F238E27FC236}">
              <a16:creationId xmlns:a16="http://schemas.microsoft.com/office/drawing/2014/main" id="{00000000-0008-0000-0200-000009000000}"/>
            </a:ext>
          </a:extLst>
        </xdr:cNvPr>
        <xdr:cNvSpPr/>
      </xdr:nvSpPr>
      <xdr:spPr>
        <a:xfrm>
          <a:off x="2648953" y="5488406"/>
          <a:ext cx="203578" cy="13383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210553</xdr:colOff>
      <xdr:row>37</xdr:row>
      <xdr:rowOff>40106</xdr:rowOff>
    </xdr:from>
    <xdr:to>
      <xdr:col>4</xdr:col>
      <xdr:colOff>414131</xdr:colOff>
      <xdr:row>37</xdr:row>
      <xdr:rowOff>173936</xdr:rowOff>
    </xdr:to>
    <xdr:sp macro="" textlink="">
      <xdr:nvSpPr>
        <xdr:cNvPr id="10" name="Arrow: Down 9">
          <a:extLst>
            <a:ext uri="{FF2B5EF4-FFF2-40B4-BE49-F238E27FC236}">
              <a16:creationId xmlns:a16="http://schemas.microsoft.com/office/drawing/2014/main" id="{00000000-0008-0000-0200-00000A000000}"/>
            </a:ext>
          </a:extLst>
        </xdr:cNvPr>
        <xdr:cNvSpPr/>
      </xdr:nvSpPr>
      <xdr:spPr>
        <a:xfrm>
          <a:off x="2648953" y="7164806"/>
          <a:ext cx="203578" cy="13383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210553</xdr:colOff>
      <xdr:row>42</xdr:row>
      <xdr:rowOff>40106</xdr:rowOff>
    </xdr:from>
    <xdr:to>
      <xdr:col>4</xdr:col>
      <xdr:colOff>414131</xdr:colOff>
      <xdr:row>42</xdr:row>
      <xdr:rowOff>173936</xdr:rowOff>
    </xdr:to>
    <xdr:sp macro="" textlink="">
      <xdr:nvSpPr>
        <xdr:cNvPr id="11" name="Arrow: Down 10">
          <a:extLst>
            <a:ext uri="{FF2B5EF4-FFF2-40B4-BE49-F238E27FC236}">
              <a16:creationId xmlns:a16="http://schemas.microsoft.com/office/drawing/2014/main" id="{00000000-0008-0000-0200-00000B000000}"/>
            </a:ext>
          </a:extLst>
        </xdr:cNvPr>
        <xdr:cNvSpPr/>
      </xdr:nvSpPr>
      <xdr:spPr>
        <a:xfrm>
          <a:off x="2648953" y="8841206"/>
          <a:ext cx="203578" cy="13383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210553</xdr:colOff>
      <xdr:row>47</xdr:row>
      <xdr:rowOff>40106</xdr:rowOff>
    </xdr:from>
    <xdr:to>
      <xdr:col>4</xdr:col>
      <xdr:colOff>414131</xdr:colOff>
      <xdr:row>47</xdr:row>
      <xdr:rowOff>173936</xdr:rowOff>
    </xdr:to>
    <xdr:sp macro="" textlink="">
      <xdr:nvSpPr>
        <xdr:cNvPr id="12" name="Arrow: Down 11">
          <a:extLst>
            <a:ext uri="{FF2B5EF4-FFF2-40B4-BE49-F238E27FC236}">
              <a16:creationId xmlns:a16="http://schemas.microsoft.com/office/drawing/2014/main" id="{00000000-0008-0000-0200-00000C000000}"/>
            </a:ext>
          </a:extLst>
        </xdr:cNvPr>
        <xdr:cNvSpPr/>
      </xdr:nvSpPr>
      <xdr:spPr>
        <a:xfrm>
          <a:off x="2648953" y="10058400"/>
          <a:ext cx="203578" cy="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210553</xdr:colOff>
      <xdr:row>52</xdr:row>
      <xdr:rowOff>40106</xdr:rowOff>
    </xdr:from>
    <xdr:to>
      <xdr:col>4</xdr:col>
      <xdr:colOff>414131</xdr:colOff>
      <xdr:row>52</xdr:row>
      <xdr:rowOff>173936</xdr:rowOff>
    </xdr:to>
    <xdr:sp macro="" textlink="">
      <xdr:nvSpPr>
        <xdr:cNvPr id="13" name="Arrow: Down 12">
          <a:extLst>
            <a:ext uri="{FF2B5EF4-FFF2-40B4-BE49-F238E27FC236}">
              <a16:creationId xmlns:a16="http://schemas.microsoft.com/office/drawing/2014/main" id="{00000000-0008-0000-0200-00000D000000}"/>
            </a:ext>
          </a:extLst>
        </xdr:cNvPr>
        <xdr:cNvSpPr/>
      </xdr:nvSpPr>
      <xdr:spPr>
        <a:xfrm>
          <a:off x="2648953" y="10058400"/>
          <a:ext cx="203578" cy="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210553</xdr:colOff>
      <xdr:row>57</xdr:row>
      <xdr:rowOff>40106</xdr:rowOff>
    </xdr:from>
    <xdr:to>
      <xdr:col>4</xdr:col>
      <xdr:colOff>414131</xdr:colOff>
      <xdr:row>57</xdr:row>
      <xdr:rowOff>173936</xdr:rowOff>
    </xdr:to>
    <xdr:sp macro="" textlink="">
      <xdr:nvSpPr>
        <xdr:cNvPr id="14" name="Arrow: Down 13">
          <a:extLst>
            <a:ext uri="{FF2B5EF4-FFF2-40B4-BE49-F238E27FC236}">
              <a16:creationId xmlns:a16="http://schemas.microsoft.com/office/drawing/2014/main" id="{00000000-0008-0000-0200-00000E000000}"/>
            </a:ext>
          </a:extLst>
        </xdr:cNvPr>
        <xdr:cNvSpPr/>
      </xdr:nvSpPr>
      <xdr:spPr>
        <a:xfrm>
          <a:off x="2648953" y="10517606"/>
          <a:ext cx="203578" cy="13383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80596</xdr:colOff>
          <xdr:row>0</xdr:row>
          <xdr:rowOff>87923</xdr:rowOff>
        </xdr:from>
        <xdr:to>
          <xdr:col>8</xdr:col>
          <xdr:colOff>524608</xdr:colOff>
          <xdr:row>0</xdr:row>
          <xdr:rowOff>364148</xdr:rowOff>
        </xdr:to>
        <xdr:sp macro="" textlink="">
          <xdr:nvSpPr>
            <xdr:cNvPr id="4100" name="CommandButton1" hidden="1">
              <a:extLst>
                <a:ext uri="{63B3BB69-23CF-44E3-9099-C40C66FF867C}">
                  <a14:compatExt spid="_x0000_s4100"/>
                </a:ext>
                <a:ext uri="{FF2B5EF4-FFF2-40B4-BE49-F238E27FC236}">
                  <a16:creationId xmlns:a16="http://schemas.microsoft.com/office/drawing/2014/main" id="{5082FA17-DE4A-453C-9B7F-3B582CF8725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74002</xdr:colOff>
          <xdr:row>0</xdr:row>
          <xdr:rowOff>93052</xdr:rowOff>
        </xdr:from>
        <xdr:to>
          <xdr:col>6</xdr:col>
          <xdr:colOff>634511</xdr:colOff>
          <xdr:row>2</xdr:row>
          <xdr:rowOff>83527</xdr:rowOff>
        </xdr:to>
        <xdr:sp macro="" textlink="">
          <xdr:nvSpPr>
            <xdr:cNvPr id="17411" name="CommandButton2" hidden="1">
              <a:extLst>
                <a:ext uri="{63B3BB69-23CF-44E3-9099-C40C66FF867C}">
                  <a14:compatExt spid="_x0000_s17411"/>
                </a:ext>
                <a:ext uri="{FF2B5EF4-FFF2-40B4-BE49-F238E27FC236}">
                  <a16:creationId xmlns:a16="http://schemas.microsoft.com/office/drawing/2014/main" id="{E82E9F78-4B0A-4362-BAF1-222C7C4105D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333375</xdr:colOff>
          <xdr:row>18</xdr:row>
          <xdr:rowOff>0</xdr:rowOff>
        </xdr:from>
        <xdr:to>
          <xdr:col>6</xdr:col>
          <xdr:colOff>866775</xdr:colOff>
          <xdr:row>18</xdr:row>
          <xdr:rowOff>0</xdr:rowOff>
        </xdr:to>
        <xdr:sp macro="" textlink="">
          <xdr:nvSpPr>
            <xdr:cNvPr id="10244" name="CommandButton1" hidden="1">
              <a:extLst>
                <a:ext uri="{63B3BB69-23CF-44E3-9099-C40C66FF867C}">
                  <a14:compatExt spid="_x0000_s10244"/>
                </a:ext>
                <a:ext uri="{FF2B5EF4-FFF2-40B4-BE49-F238E27FC236}">
                  <a16:creationId xmlns:a16="http://schemas.microsoft.com/office/drawing/2014/main" id="{00000000-0008-0000-04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10258</xdr:colOff>
          <xdr:row>0</xdr:row>
          <xdr:rowOff>95250</xdr:rowOff>
        </xdr:from>
        <xdr:to>
          <xdr:col>6</xdr:col>
          <xdr:colOff>572233</xdr:colOff>
          <xdr:row>2</xdr:row>
          <xdr:rowOff>85725</xdr:rowOff>
        </xdr:to>
        <xdr:sp macro="" textlink="">
          <xdr:nvSpPr>
            <xdr:cNvPr id="10246" name="CommandButton2" hidden="1">
              <a:extLst>
                <a:ext uri="{63B3BB69-23CF-44E3-9099-C40C66FF867C}">
                  <a14:compatExt spid="_x0000_s10246"/>
                </a:ext>
                <a:ext uri="{FF2B5EF4-FFF2-40B4-BE49-F238E27FC236}">
                  <a16:creationId xmlns:a16="http://schemas.microsoft.com/office/drawing/2014/main" id="{8746B749-0746-4B9D-95E4-7FFA44883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6C4427D-583A-4AF2-B34B-A4DB60939326}" name="Table1" displayName="Table1" ref="A2:AW3" insertRow="1" totalsRowShown="0" headerRowDxfId="10">
  <autoFilter ref="A2:AW3" xr:uid="{6A258B65-E48A-4454-822B-D7EB0B74DB50}"/>
  <sortState xmlns:xlrd2="http://schemas.microsoft.com/office/spreadsheetml/2017/richdata2" ref="A3:AW3">
    <sortCondition ref="A3"/>
  </sortState>
  <tableColumns count="49">
    <tableColumn id="3" xr3:uid="{7A654316-E98C-4EA8-BA1E-486DA40F675F}" name="Date of Entry" dataDxfId="9"/>
    <tableColumn id="4" xr3:uid="{8CF37D5C-9A12-462B-A11E-CE2C72F3FCEE}" name="Good 1"/>
    <tableColumn id="5" xr3:uid="{599D1677-EA29-4CCD-AE3F-2A7AC778F7C8}" name="Good 1 start"/>
    <tableColumn id="6" xr3:uid="{7903D749-6951-4ADB-ABAC-E511DD997FC2}" name="Good 1 rating"/>
    <tableColumn id="7" xr3:uid="{398AD1E6-43A1-425B-9831-0104D95234C2}" name="Good 1 notes"/>
    <tableColumn id="8" xr3:uid="{F34DBB0E-B764-46D9-9059-C45954D14B26}" name="Good 2"/>
    <tableColumn id="9" xr3:uid="{5690FB1D-6170-4D65-AEFB-1F040DE6F127}" name="Good 2 start"/>
    <tableColumn id="10" xr3:uid="{41727BC2-2082-4B78-942C-EDFC5A865D67}" name="Good 2 rating"/>
    <tableColumn id="11" xr3:uid="{05C77F85-8CC2-4114-9B53-8E74FAC614A8}" name="Good 2 notes"/>
    <tableColumn id="12" xr3:uid="{0BB8B6FA-1BB8-426B-852E-18B791F66F38}" name="Good 3"/>
    <tableColumn id="13" xr3:uid="{6D4EDC8F-20FD-43CE-AD4A-F114E3E63549}" name="Good 3 start"/>
    <tableColumn id="14" xr3:uid="{4FA397E8-1CF5-4629-910A-A305157F1202}" name="Good 3 rating"/>
    <tableColumn id="15" xr3:uid="{1B322CB2-0507-4161-B242-92D8F974E590}" name="Good 3 notes"/>
    <tableColumn id="16" xr3:uid="{B99D5F72-1576-47D3-861A-BFCCA06F1099}" name="Good 4"/>
    <tableColumn id="17" xr3:uid="{786C7755-5486-4F99-8A29-B59D1386119A}" name="Good 4 start"/>
    <tableColumn id="18" xr3:uid="{05BED7C4-DC1C-4ED8-AB7A-352E09A51F28}" name="Good 4 rating"/>
    <tableColumn id="19" xr3:uid="{BE43890D-8E3E-40EB-AF2B-89808D8D4525}" name="Good 4 notes"/>
    <tableColumn id="20" xr3:uid="{29D00F68-A265-47C3-8F62-ADA0C3A43519}" name="Good 5"/>
    <tableColumn id="21" xr3:uid="{798C4A5A-9FC1-4BE0-9466-AC5EEBF99FAB}" name="Good 5 start"/>
    <tableColumn id="22" xr3:uid="{86AB2B7C-267E-4450-B2FD-FE6CE05081D5}" name="Good 5 rating"/>
    <tableColumn id="23" xr3:uid="{649BB937-97C4-439C-A6F2-12AD2E51A0C7}" name="Good 5 notes"/>
    <tableColumn id="24" xr3:uid="{271DD69F-48D9-475C-9A1A-20702BDBEDF4}" name="Bad 1"/>
    <tableColumn id="25" xr3:uid="{5F7BD1DF-9390-4B30-A256-F960C68A0931}" name="Bad 1 start"/>
    <tableColumn id="26" xr3:uid="{D914F98A-0740-41DE-A601-D0C96516912C}" name="Bad 1 rating"/>
    <tableColumn id="27" xr3:uid="{55AD381F-4045-40DE-89E1-65444CAE32EF}" name="Bad 1 notes"/>
    <tableColumn id="28" xr3:uid="{450AE663-8F8A-4B8C-B1FC-0F7F45B42B82}" name="Bad 2"/>
    <tableColumn id="29" xr3:uid="{AD387294-417F-424F-B77A-9207A75191DC}" name="Bad 2 start"/>
    <tableColumn id="30" xr3:uid="{31AA41A2-716C-4649-918B-E0DCFF2C23AA}" name="Bad 2 rating"/>
    <tableColumn id="31" xr3:uid="{975D53B0-8BDF-41C0-A152-3529BE9BDF0C}" name="Bad 2 notes"/>
    <tableColumn id="32" xr3:uid="{BB7D9A62-833B-49E8-925B-855B81BA8510}" name="Bad 3"/>
    <tableColumn id="33" xr3:uid="{A9253952-517C-4644-8CCE-FD8AC84F1A6C}" name="Bad 3 start"/>
    <tableColumn id="34" xr3:uid="{B7908C07-4017-4558-809B-0AF0E64EF3F8}" name="Bad 3 rating"/>
    <tableColumn id="35" xr3:uid="{FD66E9AE-4F8F-4451-ABD7-091F59EA0727}" name="Bad 3 notes"/>
    <tableColumn id="36" xr3:uid="{326EF4FD-16F6-45D3-A0E7-36008C85859C}" name="Bad 4"/>
    <tableColumn id="37" xr3:uid="{1BCA3CCB-C986-4B19-A4FD-6AFA85615080}" name="Bad 4 start"/>
    <tableColumn id="38" xr3:uid="{BBE01201-99FD-4E4E-AB4A-FDFF7D2A0D5D}" name="Bad 4 rating"/>
    <tableColumn id="39" xr3:uid="{53816D9A-BE8C-4691-A35F-09C0E6E3CCFD}" name="Bad 4 notes"/>
    <tableColumn id="40" xr3:uid="{B0F6F2C8-D036-44C8-897D-ADBEF1C10953}" name="Bad 5"/>
    <tableColumn id="41" xr3:uid="{C70085D1-B19B-4059-8968-4B0C06D22B98}" name="Bad 5 start"/>
    <tableColumn id="42" xr3:uid="{26C0BFEB-025E-42AA-B2B9-F79341968DB6}" name="Bad 5 rating"/>
    <tableColumn id="43" xr3:uid="{558FE178-C005-415B-A584-87D62A5A18AA}" name="Bad 5 notes"/>
    <tableColumn id="44" xr3:uid="{8BA1A4BB-CF50-429F-8504-8D462A38BE75}" name="Overall"/>
    <tableColumn id="45" xr3:uid="{F49CCF95-904D-439E-9E24-59D078E52733}" name="Highs"/>
    <tableColumn id="46" xr3:uid="{202FB079-105B-4D3B-942A-52ABB6810686}" name="Lows"/>
    <tableColumn id="47" xr3:uid="{AC773C45-2AB1-4C5A-9B62-23DED2C9829B}" name="Overall notes"/>
    <tableColumn id="2" xr3:uid="{56D5EBDD-A8D9-4C4C-AEBF-C48BA41F27E4}" name="Date of input"/>
    <tableColumn id="1" xr3:uid="{68A1E320-5E9A-4EC2-B999-5C93622492CA}" name="Calc Overall" dataDxfId="8">
      <calculatedColumnFormula>IFERROR(IFERROR((AVERAGE(Table1[[#This Row],[Calc Highs]],(10-Table1[[#This Row],[Calc Lows]]))),Table1[[#This Row],[Calc Highs]]),(10-Table1[[#This Row],[Calc Lows]]))</calculatedColumnFormula>
    </tableColumn>
    <tableColumn id="48" xr3:uid="{1EFB5AB6-7D6A-418C-9842-BF6C2A715194}" name="Calc Highs">
      <calculatedColumnFormula>AVERAGE(Table1[[#This Row],[Good 1 rating]],Table1[[#This Row],[Good 2 rating]],Table1[[#This Row],[Good 3 rating]],Table1[[#This Row],[Good 4 rating]],Table1[[#This Row],[Good 5 rating]])</calculatedColumnFormula>
    </tableColumn>
    <tableColumn id="49" xr3:uid="{6B312E40-0D4A-4CA7-AC71-980D4E4EFC13}" name="Calc Lows">
      <calculatedColumnFormula>AVERAGE(Table1[[#This Row],[Bad 1 rating]],Table1[[#This Row],[Bad 2 rating]],Table1[[#This Row],[Bad 3 rating]],Table1[[#This Row],[Bad 4 rating]],Table1[[#This Row],[Bad 5 rating]])</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4.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7.emf"/><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51950-7144-4CBF-AAA2-DD80233A63B3}">
  <sheetPr codeName="Sheet1">
    <tabColor theme="5"/>
  </sheetPr>
  <dimension ref="A1:J44"/>
  <sheetViews>
    <sheetView tabSelected="1" zoomScale="130" zoomScaleNormal="130" zoomScaleSheetLayoutView="145" workbookViewId="0">
      <pane ySplit="1" topLeftCell="A2" activePane="bottomLeft" state="frozen"/>
      <selection pane="bottomLeft" activeCell="C18" sqref="C18:I18"/>
    </sheetView>
  </sheetViews>
  <sheetFormatPr defaultColWidth="0" defaultRowHeight="15" zeroHeight="1"/>
  <cols>
    <col min="1" max="1" width="9.140625" customWidth="1"/>
    <col min="2" max="2" width="4.85546875" customWidth="1"/>
    <col min="3" max="5" width="9.140625" customWidth="1"/>
    <col min="6" max="6" width="10.5703125" customWidth="1"/>
    <col min="7" max="7" width="6.140625" customWidth="1"/>
    <col min="8" max="8" width="11.85546875" customWidth="1"/>
    <col min="9" max="10" width="9.140625" customWidth="1"/>
    <col min="11" max="16384" width="9.140625" hidden="1"/>
  </cols>
  <sheetData>
    <row r="1" spans="1:10" ht="34.5">
      <c r="A1" s="44" t="s">
        <v>78</v>
      </c>
      <c r="B1" s="44"/>
      <c r="C1" s="44"/>
      <c r="D1" s="44"/>
      <c r="E1" s="44"/>
      <c r="F1" s="44"/>
      <c r="G1" s="44"/>
      <c r="H1" s="44"/>
      <c r="I1" s="44"/>
      <c r="J1" s="44"/>
    </row>
    <row r="2" spans="1:10">
      <c r="A2" s="45" t="s">
        <v>3</v>
      </c>
      <c r="B2" s="45"/>
      <c r="C2" s="45"/>
      <c r="D2" s="45"/>
      <c r="E2" s="45"/>
      <c r="F2" s="45"/>
      <c r="G2" s="45"/>
      <c r="H2" s="45"/>
      <c r="I2" s="45"/>
      <c r="J2" s="45"/>
    </row>
    <row r="3" spans="1:10">
      <c r="A3" s="1"/>
      <c r="B3" s="1"/>
      <c r="C3" s="1"/>
      <c r="D3" s="1"/>
      <c r="E3" s="1"/>
      <c r="F3" s="1"/>
      <c r="G3" s="1"/>
      <c r="H3" s="1"/>
      <c r="I3" s="1"/>
      <c r="J3" s="1"/>
    </row>
    <row r="4" spans="1:10" ht="66" customHeight="1">
      <c r="A4" s="51" t="s">
        <v>88</v>
      </c>
      <c r="B4" s="51"/>
      <c r="C4" s="51"/>
      <c r="D4" s="51"/>
      <c r="E4" s="51"/>
      <c r="F4" s="51"/>
      <c r="G4" s="51"/>
      <c r="H4" s="51"/>
      <c r="I4" s="51"/>
      <c r="J4" s="51"/>
    </row>
    <row r="5" spans="1:10">
      <c r="A5" s="1"/>
      <c r="B5" s="1"/>
      <c r="C5" s="1"/>
      <c r="D5" s="1"/>
      <c r="E5" s="1"/>
      <c r="F5" s="1"/>
      <c r="G5" s="1"/>
      <c r="H5" s="1"/>
      <c r="I5" s="1"/>
      <c r="J5" s="1"/>
    </row>
    <row r="6" spans="1:10" ht="16.5">
      <c r="A6" s="47" t="s">
        <v>0</v>
      </c>
      <c r="B6" s="47"/>
      <c r="C6" s="47"/>
      <c r="D6" s="47"/>
      <c r="E6" s="47"/>
      <c r="F6" s="47"/>
      <c r="G6" s="6"/>
      <c r="H6" s="6"/>
      <c r="I6" s="6"/>
      <c r="J6" s="6"/>
    </row>
    <row r="7" spans="1:10" ht="16.5">
      <c r="A7" s="6"/>
      <c r="B7" s="7">
        <v>1</v>
      </c>
      <c r="C7" s="48"/>
      <c r="D7" s="49"/>
      <c r="E7" s="49"/>
      <c r="F7" s="49"/>
      <c r="G7" s="49"/>
      <c r="H7" s="49"/>
      <c r="I7" s="50"/>
      <c r="J7" s="6"/>
    </row>
    <row r="8" spans="1:10" ht="16.5">
      <c r="A8" s="6"/>
      <c r="B8" s="7">
        <v>2</v>
      </c>
      <c r="C8" s="48"/>
      <c r="D8" s="49"/>
      <c r="E8" s="49"/>
      <c r="F8" s="49"/>
      <c r="G8" s="49"/>
      <c r="H8" s="49"/>
      <c r="I8" s="50"/>
      <c r="J8" s="6"/>
    </row>
    <row r="9" spans="1:10" ht="16.5">
      <c r="A9" s="6"/>
      <c r="B9" s="7">
        <v>3</v>
      </c>
      <c r="C9" s="48"/>
      <c r="D9" s="49"/>
      <c r="E9" s="49"/>
      <c r="F9" s="49"/>
      <c r="G9" s="49"/>
      <c r="H9" s="49"/>
      <c r="I9" s="50"/>
      <c r="J9" s="6"/>
    </row>
    <row r="10" spans="1:10" ht="16.5">
      <c r="A10" s="6"/>
      <c r="B10" s="7">
        <v>4</v>
      </c>
      <c r="C10" s="48"/>
      <c r="D10" s="49"/>
      <c r="E10" s="49"/>
      <c r="F10" s="49"/>
      <c r="G10" s="49"/>
      <c r="H10" s="49"/>
      <c r="I10" s="50"/>
      <c r="J10" s="6"/>
    </row>
    <row r="11" spans="1:10" ht="16.5">
      <c r="A11" s="6"/>
      <c r="B11" s="7">
        <v>5</v>
      </c>
      <c r="C11" s="48"/>
      <c r="D11" s="49"/>
      <c r="E11" s="49"/>
      <c r="F11" s="49"/>
      <c r="G11" s="49"/>
      <c r="H11" s="49"/>
      <c r="I11" s="50"/>
      <c r="J11" s="6"/>
    </row>
    <row r="12" spans="1:10" ht="16.5">
      <c r="A12" s="6"/>
      <c r="B12" s="8"/>
      <c r="C12" s="6"/>
      <c r="D12" s="6"/>
      <c r="E12" s="6"/>
      <c r="F12" s="6"/>
      <c r="G12" s="6"/>
      <c r="H12" s="6"/>
      <c r="I12" s="6"/>
      <c r="J12" s="6"/>
    </row>
    <row r="13" spans="1:10" ht="16.5">
      <c r="A13" s="46" t="s">
        <v>1</v>
      </c>
      <c r="B13" s="46"/>
      <c r="C13" s="46"/>
      <c r="D13" s="46"/>
      <c r="E13" s="46"/>
      <c r="F13" s="46"/>
      <c r="G13" s="6"/>
      <c r="H13" s="6"/>
      <c r="I13" s="6"/>
      <c r="J13" s="6"/>
    </row>
    <row r="14" spans="1:10" ht="16.5">
      <c r="A14" s="6"/>
      <c r="B14" s="7">
        <v>1</v>
      </c>
      <c r="C14" s="48"/>
      <c r="D14" s="49"/>
      <c r="E14" s="49"/>
      <c r="F14" s="49"/>
      <c r="G14" s="49"/>
      <c r="H14" s="49"/>
      <c r="I14" s="50"/>
      <c r="J14" s="6"/>
    </row>
    <row r="15" spans="1:10" ht="16.5">
      <c r="A15" s="6"/>
      <c r="B15" s="7">
        <v>2</v>
      </c>
      <c r="C15" s="48"/>
      <c r="D15" s="49"/>
      <c r="E15" s="49"/>
      <c r="F15" s="49"/>
      <c r="G15" s="49"/>
      <c r="H15" s="49"/>
      <c r="I15" s="50"/>
      <c r="J15" s="6"/>
    </row>
    <row r="16" spans="1:10" ht="16.5">
      <c r="A16" s="6"/>
      <c r="B16" s="7">
        <v>3</v>
      </c>
      <c r="C16" s="48"/>
      <c r="D16" s="49"/>
      <c r="E16" s="49"/>
      <c r="F16" s="49"/>
      <c r="G16" s="49"/>
      <c r="H16" s="49"/>
      <c r="I16" s="50"/>
      <c r="J16" s="6"/>
    </row>
    <row r="17" spans="1:10" ht="16.5">
      <c r="A17" s="6"/>
      <c r="B17" s="7">
        <v>4</v>
      </c>
      <c r="C17" s="48"/>
      <c r="D17" s="49"/>
      <c r="E17" s="49"/>
      <c r="F17" s="49"/>
      <c r="G17" s="49"/>
      <c r="H17" s="49"/>
      <c r="I17" s="50"/>
      <c r="J17" s="6"/>
    </row>
    <row r="18" spans="1:10" ht="16.5">
      <c r="A18" s="6"/>
      <c r="B18" s="7">
        <v>5</v>
      </c>
      <c r="C18" s="48"/>
      <c r="D18" s="49"/>
      <c r="E18" s="49"/>
      <c r="F18" s="49"/>
      <c r="G18" s="49"/>
      <c r="H18" s="49"/>
      <c r="I18" s="50"/>
      <c r="J18" s="6"/>
    </row>
    <row r="19" spans="1:10" ht="16.5">
      <c r="A19" s="6"/>
      <c r="B19" s="6"/>
      <c r="C19" s="6"/>
      <c r="D19" s="6"/>
      <c r="E19" s="6"/>
      <c r="F19" s="6"/>
      <c r="G19" s="6"/>
      <c r="H19" s="6"/>
      <c r="I19" s="6"/>
      <c r="J19" s="6"/>
    </row>
    <row r="20" spans="1:10" s="1" customFormat="1">
      <c r="A20" s="45" t="s">
        <v>10</v>
      </c>
      <c r="B20" s="45"/>
      <c r="C20" s="45"/>
      <c r="D20" s="45"/>
      <c r="E20" s="45"/>
      <c r="F20" s="45"/>
      <c r="G20" s="45"/>
      <c r="H20" s="45"/>
      <c r="I20" s="45"/>
      <c r="J20" s="45"/>
    </row>
    <row r="21" spans="1:10" s="1" customFormat="1" ht="16.5">
      <c r="A21" s="6"/>
      <c r="B21" s="6"/>
      <c r="C21" s="6"/>
      <c r="D21" s="6"/>
      <c r="E21" s="6"/>
      <c r="F21" s="6"/>
      <c r="G21" s="6"/>
      <c r="H21" s="6"/>
      <c r="I21" s="6"/>
      <c r="J21" s="6"/>
    </row>
    <row r="22" spans="1:10" s="2" customFormat="1" ht="33" customHeight="1">
      <c r="A22" s="52" t="s">
        <v>12</v>
      </c>
      <c r="B22" s="52"/>
      <c r="C22" s="52"/>
      <c r="D22" s="52"/>
      <c r="E22" s="52"/>
      <c r="F22" s="52"/>
      <c r="G22" s="52"/>
      <c r="H22" s="52"/>
      <c r="I22" s="52"/>
      <c r="J22" s="52"/>
    </row>
    <row r="23" spans="1:10" ht="16.5">
      <c r="A23" s="6"/>
      <c r="B23" s="6"/>
      <c r="C23" s="6"/>
      <c r="D23" s="6"/>
      <c r="E23" s="6"/>
      <c r="F23" s="6"/>
      <c r="G23" s="6"/>
      <c r="H23" s="6"/>
      <c r="I23" s="6"/>
      <c r="J23" s="6"/>
    </row>
    <row r="24" spans="1:10" s="2" customFormat="1" ht="66" customHeight="1">
      <c r="A24" s="52" t="s">
        <v>20</v>
      </c>
      <c r="B24" s="52"/>
      <c r="C24" s="52"/>
      <c r="D24" s="52"/>
      <c r="E24" s="52"/>
      <c r="F24" s="52"/>
      <c r="G24" s="52"/>
      <c r="H24" s="52"/>
      <c r="I24" s="52"/>
      <c r="J24" s="52"/>
    </row>
    <row r="25" spans="1:10" ht="16.5">
      <c r="A25" s="6"/>
      <c r="B25" s="6"/>
      <c r="C25" s="6"/>
      <c r="D25" s="6"/>
      <c r="E25" s="6"/>
      <c r="F25" s="6"/>
      <c r="G25" s="6"/>
      <c r="H25" s="6"/>
      <c r="I25" s="6"/>
      <c r="J25" s="6"/>
    </row>
    <row r="26" spans="1:10" s="3" customFormat="1" ht="16.5">
      <c r="A26" s="53" t="s">
        <v>19</v>
      </c>
      <c r="B26" s="53"/>
      <c r="C26" s="53"/>
      <c r="D26" s="53"/>
      <c r="E26" s="53"/>
      <c r="F26" s="53"/>
      <c r="G26" s="53"/>
      <c r="H26" s="53"/>
      <c r="I26" s="53"/>
      <c r="J26" s="53"/>
    </row>
    <row r="27" spans="1:10" ht="16.5">
      <c r="A27" s="6"/>
      <c r="B27" s="6"/>
      <c r="C27" s="6"/>
      <c r="D27" s="6"/>
      <c r="E27" s="6"/>
      <c r="F27" s="6"/>
      <c r="G27" s="6"/>
      <c r="H27" s="6"/>
      <c r="I27" s="6"/>
      <c r="J27" s="6"/>
    </row>
    <row r="28" spans="1:10" ht="16.5">
      <c r="A28" s="46" t="s">
        <v>13</v>
      </c>
      <c r="B28" s="46"/>
      <c r="C28" s="46"/>
      <c r="D28" s="46"/>
      <c r="E28" s="46"/>
      <c r="F28" s="46"/>
      <c r="G28" s="46"/>
      <c r="H28" s="46"/>
      <c r="I28" s="46"/>
      <c r="J28" s="46"/>
    </row>
    <row r="29" spans="1:10" ht="16.5">
      <c r="A29" s="6"/>
      <c r="B29" s="6"/>
      <c r="C29" s="6"/>
      <c r="D29" s="6"/>
      <c r="E29" s="6"/>
      <c r="F29" s="6"/>
      <c r="G29" s="6"/>
      <c r="H29" s="6"/>
      <c r="I29" s="6"/>
      <c r="J29" s="6"/>
    </row>
    <row r="30" spans="1:10" s="2" customFormat="1" ht="33" customHeight="1">
      <c r="A30" s="52" t="s">
        <v>14</v>
      </c>
      <c r="B30" s="52"/>
      <c r="C30" s="52"/>
      <c r="D30" s="52"/>
      <c r="E30" s="52"/>
      <c r="F30" s="52"/>
      <c r="G30" s="52"/>
      <c r="H30" s="52"/>
      <c r="I30" s="52"/>
      <c r="J30" s="52"/>
    </row>
    <row r="31" spans="1:10" ht="16.5">
      <c r="A31" s="6"/>
      <c r="B31" s="6"/>
      <c r="C31" s="6"/>
      <c r="D31" s="6"/>
      <c r="E31" s="6"/>
      <c r="F31" s="6"/>
      <c r="G31" s="6"/>
      <c r="H31" s="6"/>
      <c r="I31" s="6"/>
      <c r="J31" s="6"/>
    </row>
    <row r="32" spans="1:10" s="2" customFormat="1" ht="33" customHeight="1">
      <c r="A32" s="52" t="s">
        <v>15</v>
      </c>
      <c r="B32" s="52"/>
      <c r="C32" s="52"/>
      <c r="D32" s="52"/>
      <c r="E32" s="52"/>
      <c r="F32" s="52"/>
      <c r="G32" s="52"/>
      <c r="H32" s="52"/>
      <c r="I32" s="52"/>
      <c r="J32" s="52"/>
    </row>
    <row r="33" spans="1:10" ht="34.5">
      <c r="A33" s="54" t="s">
        <v>11</v>
      </c>
      <c r="B33" s="54"/>
      <c r="C33" s="54"/>
      <c r="D33" s="54"/>
      <c r="E33" s="54"/>
      <c r="F33" s="54"/>
      <c r="G33" s="54"/>
      <c r="H33" s="54"/>
      <c r="I33" s="54"/>
      <c r="J33" s="54"/>
    </row>
    <row r="34" spans="1:10" hidden="1"/>
    <row r="35" spans="1:10" hidden="1"/>
    <row r="36" spans="1:10" hidden="1"/>
    <row r="37" spans="1:10" hidden="1"/>
    <row r="38" spans="1:10" hidden="1"/>
    <row r="39" spans="1:10" hidden="1"/>
    <row r="40" spans="1:10" hidden="1"/>
    <row r="41" spans="1:10" hidden="1"/>
    <row r="42" spans="1:10" hidden="1"/>
    <row r="43" spans="1:10" hidden="1"/>
    <row r="44" spans="1:10" hidden="1"/>
  </sheetData>
  <mergeCells count="23">
    <mergeCell ref="A30:J30"/>
    <mergeCell ref="A28:J28"/>
    <mergeCell ref="A26:J26"/>
    <mergeCell ref="A22:J22"/>
    <mergeCell ref="A33:J33"/>
    <mergeCell ref="A32:J32"/>
    <mergeCell ref="A24:J24"/>
    <mergeCell ref="A1:J1"/>
    <mergeCell ref="A2:J2"/>
    <mergeCell ref="A13:F13"/>
    <mergeCell ref="A6:F6"/>
    <mergeCell ref="A20:J20"/>
    <mergeCell ref="C16:I16"/>
    <mergeCell ref="C17:I17"/>
    <mergeCell ref="C18:I18"/>
    <mergeCell ref="C9:I9"/>
    <mergeCell ref="C10:I10"/>
    <mergeCell ref="C11:I11"/>
    <mergeCell ref="C14:I14"/>
    <mergeCell ref="C15:I15"/>
    <mergeCell ref="C7:I7"/>
    <mergeCell ref="C8:I8"/>
    <mergeCell ref="A4:J4"/>
  </mergeCells>
  <pageMargins left="0.7" right="0.7" top="0.75" bottom="0.75" header="0.3" footer="0.3"/>
  <pageSetup scale="99" orientation="portrait" r:id="rId1"/>
  <drawing r:id="rId2"/>
  <legacyDrawing r:id="rId3"/>
  <controls>
    <mc:AlternateContent xmlns:mc="http://schemas.openxmlformats.org/markup-compatibility/2006">
      <mc:Choice Requires="x14">
        <control shapeId="1025" r:id="rId4" name="CommandButton1">
          <controlPr defaultSize="0" autoLine="0" autoPict="0" r:id="rId5">
            <anchor moveWithCells="1">
              <from>
                <xdr:col>8</xdr:col>
                <xdr:colOff>495300</xdr:colOff>
                <xdr:row>0</xdr:row>
                <xdr:rowOff>85725</xdr:rowOff>
              </from>
              <to>
                <xdr:col>9</xdr:col>
                <xdr:colOff>447675</xdr:colOff>
                <xdr:row>0</xdr:row>
                <xdr:rowOff>361950</xdr:rowOff>
              </to>
            </anchor>
          </controlPr>
        </control>
      </mc:Choice>
      <mc:Fallback>
        <control shapeId="1025"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C9BF0-A75E-4FCF-A5E2-38C04BD68BE6}">
  <sheetPr codeName="Sheet2">
    <tabColor theme="9"/>
  </sheetPr>
  <dimension ref="A1:I61"/>
  <sheetViews>
    <sheetView zoomScale="130" zoomScaleNormal="130" workbookViewId="0">
      <pane ySplit="2" topLeftCell="A3" activePane="bottomLeft" state="frozen"/>
      <selection pane="bottomLeft" activeCell="A19" sqref="A19:I19"/>
    </sheetView>
  </sheetViews>
  <sheetFormatPr defaultColWidth="0" defaultRowHeight="15" zeroHeight="1"/>
  <cols>
    <col min="1" max="9" width="9.140625" style="12" customWidth="1"/>
    <col min="10" max="16384" width="9.140625" style="12" hidden="1"/>
  </cols>
  <sheetData>
    <row r="1" spans="1:9" ht="34.5">
      <c r="A1" s="58" t="s">
        <v>77</v>
      </c>
      <c r="B1" s="58"/>
      <c r="C1" s="58"/>
      <c r="D1" s="58"/>
      <c r="E1" s="58"/>
      <c r="F1" s="58"/>
      <c r="G1" s="58"/>
      <c r="H1" s="58"/>
      <c r="I1" s="58"/>
    </row>
    <row r="2" spans="1:9" ht="16.5">
      <c r="A2" s="63" t="s">
        <v>18</v>
      </c>
      <c r="B2" s="63"/>
      <c r="C2" s="63"/>
      <c r="D2" s="63"/>
      <c r="E2" s="63"/>
      <c r="F2" s="63"/>
      <c r="G2" s="13" t="s">
        <v>4</v>
      </c>
      <c r="H2" s="64">
        <f ca="1">TODAY()</f>
        <v>43906</v>
      </c>
      <c r="I2" s="65"/>
    </row>
    <row r="3" spans="1:9" ht="15" customHeight="1">
      <c r="A3" s="14"/>
      <c r="B3" s="14"/>
      <c r="C3" s="14"/>
      <c r="D3" s="14"/>
      <c r="E3" s="14"/>
      <c r="F3" s="14"/>
      <c r="G3" s="14"/>
      <c r="H3" s="14"/>
      <c r="I3" s="14"/>
    </row>
    <row r="4" spans="1:9" ht="49.5" customHeight="1">
      <c r="A4" s="66" t="s">
        <v>5</v>
      </c>
      <c r="B4" s="66"/>
      <c r="C4" s="66"/>
      <c r="D4" s="66"/>
      <c r="E4" s="66"/>
      <c r="F4" s="66"/>
      <c r="G4" s="66"/>
      <c r="H4" s="66"/>
      <c r="I4" s="66"/>
    </row>
    <row r="5" spans="1:9" ht="16.5">
      <c r="A5" s="15"/>
      <c r="B5" s="15"/>
      <c r="C5" s="15"/>
      <c r="D5" s="15"/>
      <c r="E5" s="15"/>
      <c r="F5" s="15"/>
      <c r="G5" s="15"/>
      <c r="H5" s="15"/>
      <c r="I5" s="15"/>
    </row>
    <row r="6" spans="1:9" ht="16.5">
      <c r="A6" s="63">
        <f>DB!B1</f>
        <v>0</v>
      </c>
      <c r="B6" s="63"/>
      <c r="C6" s="63"/>
      <c r="D6" s="63"/>
      <c r="E6" s="63"/>
      <c r="F6" s="63"/>
      <c r="G6" s="63"/>
      <c r="H6" s="62" t="s">
        <v>22</v>
      </c>
      <c r="I6" s="62"/>
    </row>
    <row r="7" spans="1:9" ht="16.5">
      <c r="A7" s="60" t="str">
        <f>_xlfn.CONCAT("Did you ",A6, " today?")</f>
        <v>Did you 0 today?</v>
      </c>
      <c r="B7" s="60"/>
      <c r="C7" s="60"/>
      <c r="D7" s="61"/>
      <c r="E7" s="16"/>
      <c r="F7" s="60" t="s">
        <v>6</v>
      </c>
      <c r="G7" s="60"/>
      <c r="H7" s="60"/>
      <c r="I7" s="16"/>
    </row>
    <row r="8" spans="1:9" ht="16.5">
      <c r="A8" s="59" t="s">
        <v>21</v>
      </c>
      <c r="B8" s="59"/>
      <c r="C8" s="59"/>
      <c r="D8" s="59"/>
      <c r="E8" s="38"/>
      <c r="F8" s="60" t="str">
        <f>IF(E7="Yes","How well did you do it?","")</f>
        <v/>
      </c>
      <c r="G8" s="60"/>
      <c r="H8" s="60"/>
      <c r="I8" s="16"/>
    </row>
    <row r="9" spans="1:9" ht="66" customHeight="1">
      <c r="A9" s="55"/>
      <c r="B9" s="56"/>
      <c r="C9" s="56"/>
      <c r="D9" s="56"/>
      <c r="E9" s="56"/>
      <c r="F9" s="56"/>
      <c r="G9" s="56"/>
      <c r="H9" s="56"/>
      <c r="I9" s="57"/>
    </row>
    <row r="10" spans="1:9" ht="16.5">
      <c r="A10" s="15"/>
      <c r="B10" s="15"/>
      <c r="C10" s="15"/>
      <c r="D10" s="15"/>
      <c r="E10" s="15"/>
      <c r="F10" s="15"/>
      <c r="G10" s="15"/>
      <c r="H10" s="15"/>
      <c r="I10" s="15"/>
    </row>
    <row r="11" spans="1:9" ht="16.5">
      <c r="A11" s="63">
        <f>DB!F1</f>
        <v>0</v>
      </c>
      <c r="B11" s="63"/>
      <c r="C11" s="63"/>
      <c r="D11" s="63"/>
      <c r="E11" s="63"/>
      <c r="F11" s="63"/>
      <c r="G11" s="63"/>
      <c r="H11" s="62" t="s">
        <v>22</v>
      </c>
      <c r="I11" s="62"/>
    </row>
    <row r="12" spans="1:9" ht="16.5">
      <c r="A12" s="60" t="str">
        <f>_xlfn.CONCAT("Did you ",A11, " today?")</f>
        <v>Did you 0 today?</v>
      </c>
      <c r="B12" s="60"/>
      <c r="C12" s="60"/>
      <c r="D12" s="61"/>
      <c r="E12" s="16"/>
      <c r="F12" s="60" t="s">
        <v>6</v>
      </c>
      <c r="G12" s="60"/>
      <c r="H12" s="60"/>
      <c r="I12" s="16"/>
    </row>
    <row r="13" spans="1:9" ht="16.5">
      <c r="A13" s="59" t="s">
        <v>21</v>
      </c>
      <c r="B13" s="59"/>
      <c r="C13" s="59"/>
      <c r="D13" s="59"/>
      <c r="E13" s="38"/>
      <c r="F13" s="60" t="str">
        <f>IF(E12="Yes","How well did you do it?","")</f>
        <v/>
      </c>
      <c r="G13" s="60"/>
      <c r="H13" s="60"/>
      <c r="I13" s="16"/>
    </row>
    <row r="14" spans="1:9" ht="66" customHeight="1">
      <c r="A14" s="55"/>
      <c r="B14" s="56"/>
      <c r="C14" s="56"/>
      <c r="D14" s="56"/>
      <c r="E14" s="56"/>
      <c r="F14" s="56"/>
      <c r="G14" s="56"/>
      <c r="H14" s="56"/>
      <c r="I14" s="57"/>
    </row>
    <row r="15" spans="1:9" ht="16.5">
      <c r="A15" s="15"/>
      <c r="B15" s="15"/>
      <c r="C15" s="15"/>
      <c r="D15" s="15"/>
      <c r="E15" s="15"/>
      <c r="F15" s="15"/>
      <c r="G15" s="15"/>
      <c r="H15" s="15"/>
      <c r="I15" s="15"/>
    </row>
    <row r="16" spans="1:9" ht="16.5" hidden="1">
      <c r="A16" s="63">
        <f>DB!J1</f>
        <v>0</v>
      </c>
      <c r="B16" s="63"/>
      <c r="C16" s="63"/>
      <c r="D16" s="63"/>
      <c r="E16" s="63"/>
      <c r="F16" s="63"/>
      <c r="G16" s="63"/>
      <c r="H16" s="62" t="s">
        <v>22</v>
      </c>
      <c r="I16" s="62"/>
    </row>
    <row r="17" spans="1:9" ht="16.5" hidden="1">
      <c r="A17" s="60" t="str">
        <f>_xlfn.CONCAT("Did you ",A16, " today?")</f>
        <v>Did you 0 today?</v>
      </c>
      <c r="B17" s="60"/>
      <c r="C17" s="60"/>
      <c r="D17" s="61"/>
      <c r="E17" s="16"/>
      <c r="F17" s="60" t="s">
        <v>6</v>
      </c>
      <c r="G17" s="60"/>
      <c r="H17" s="60"/>
      <c r="I17" s="16"/>
    </row>
    <row r="18" spans="1:9" ht="16.5" hidden="1">
      <c r="A18" s="59" t="s">
        <v>21</v>
      </c>
      <c r="B18" s="59"/>
      <c r="C18" s="59"/>
      <c r="D18" s="59"/>
      <c r="E18" s="38"/>
      <c r="F18" s="60" t="str">
        <f>IF(E17="Yes","How well did you do it?","")</f>
        <v/>
      </c>
      <c r="G18" s="60"/>
      <c r="H18" s="60"/>
      <c r="I18" s="16"/>
    </row>
    <row r="19" spans="1:9" ht="66" hidden="1" customHeight="1">
      <c r="A19" s="55"/>
      <c r="B19" s="56"/>
      <c r="C19" s="56"/>
      <c r="D19" s="56"/>
      <c r="E19" s="56"/>
      <c r="F19" s="56"/>
      <c r="G19" s="56"/>
      <c r="H19" s="56"/>
      <c r="I19" s="57"/>
    </row>
    <row r="20" spans="1:9" ht="16.5" hidden="1">
      <c r="A20" s="15"/>
      <c r="B20" s="15"/>
      <c r="C20" s="15"/>
      <c r="D20" s="15"/>
      <c r="E20" s="15"/>
      <c r="F20" s="15"/>
      <c r="G20" s="15"/>
      <c r="H20" s="15"/>
      <c r="I20" s="15"/>
    </row>
    <row r="21" spans="1:9" ht="16.5" hidden="1">
      <c r="A21" s="63">
        <f>DB!N1</f>
        <v>0</v>
      </c>
      <c r="B21" s="63"/>
      <c r="C21" s="63"/>
      <c r="D21" s="63"/>
      <c r="E21" s="63"/>
      <c r="F21" s="63"/>
      <c r="G21" s="63"/>
      <c r="H21" s="62" t="s">
        <v>22</v>
      </c>
      <c r="I21" s="62"/>
    </row>
    <row r="22" spans="1:9" ht="16.5" hidden="1">
      <c r="A22" s="60" t="str">
        <f>_xlfn.CONCAT("Did you ",A21, " today?")</f>
        <v>Did you 0 today?</v>
      </c>
      <c r="B22" s="60"/>
      <c r="C22" s="60"/>
      <c r="D22" s="61"/>
      <c r="E22" s="16"/>
      <c r="F22" s="60" t="s">
        <v>6</v>
      </c>
      <c r="G22" s="60"/>
      <c r="H22" s="60"/>
      <c r="I22" s="16"/>
    </row>
    <row r="23" spans="1:9" ht="16.5" hidden="1">
      <c r="A23" s="59" t="s">
        <v>21</v>
      </c>
      <c r="B23" s="59"/>
      <c r="C23" s="59"/>
      <c r="D23" s="59"/>
      <c r="E23" s="38"/>
      <c r="F23" s="60" t="str">
        <f>IF(E22="Yes","How well did you do it?","")</f>
        <v/>
      </c>
      <c r="G23" s="60"/>
      <c r="H23" s="60"/>
      <c r="I23" s="16"/>
    </row>
    <row r="24" spans="1:9" ht="66" hidden="1" customHeight="1">
      <c r="A24" s="55"/>
      <c r="B24" s="56"/>
      <c r="C24" s="56"/>
      <c r="D24" s="56"/>
      <c r="E24" s="56"/>
      <c r="F24" s="56"/>
      <c r="G24" s="56"/>
      <c r="H24" s="56"/>
      <c r="I24" s="57"/>
    </row>
    <row r="25" spans="1:9" ht="16.5" hidden="1">
      <c r="A25" s="15"/>
      <c r="B25" s="15"/>
      <c r="C25" s="15"/>
      <c r="D25" s="15"/>
      <c r="E25" s="15"/>
      <c r="F25" s="15"/>
      <c r="G25" s="15"/>
      <c r="H25" s="15"/>
      <c r="I25" s="15"/>
    </row>
    <row r="26" spans="1:9" ht="16.5" hidden="1">
      <c r="A26" s="63">
        <f>DB!R1</f>
        <v>0</v>
      </c>
      <c r="B26" s="63"/>
      <c r="C26" s="63"/>
      <c r="D26" s="63"/>
      <c r="E26" s="63"/>
      <c r="F26" s="63"/>
      <c r="G26" s="63"/>
      <c r="H26" s="62" t="s">
        <v>22</v>
      </c>
      <c r="I26" s="62"/>
    </row>
    <row r="27" spans="1:9" ht="16.5" hidden="1">
      <c r="A27" s="60" t="str">
        <f>_xlfn.CONCAT("Did you ",A26, " today?")</f>
        <v>Did you 0 today?</v>
      </c>
      <c r="B27" s="60"/>
      <c r="C27" s="60"/>
      <c r="D27" s="61"/>
      <c r="E27" s="16"/>
      <c r="F27" s="60" t="s">
        <v>6</v>
      </c>
      <c r="G27" s="60"/>
      <c r="H27" s="60"/>
      <c r="I27" s="16"/>
    </row>
    <row r="28" spans="1:9" ht="16.5" hidden="1">
      <c r="A28" s="59" t="s">
        <v>21</v>
      </c>
      <c r="B28" s="59"/>
      <c r="C28" s="59"/>
      <c r="D28" s="59"/>
      <c r="E28" s="38"/>
      <c r="F28" s="60" t="str">
        <f>IF(E27="Yes","How well did you do it?","")</f>
        <v/>
      </c>
      <c r="G28" s="60"/>
      <c r="H28" s="60"/>
      <c r="I28" s="16"/>
    </row>
    <row r="29" spans="1:9" ht="66" hidden="1" customHeight="1">
      <c r="A29" s="55"/>
      <c r="B29" s="56"/>
      <c r="C29" s="56"/>
      <c r="D29" s="56"/>
      <c r="E29" s="56"/>
      <c r="F29" s="56"/>
      <c r="G29" s="56"/>
      <c r="H29" s="56"/>
      <c r="I29" s="57"/>
    </row>
    <row r="30" spans="1:9" ht="16.5" hidden="1">
      <c r="A30" s="15"/>
      <c r="B30" s="15"/>
      <c r="C30" s="15"/>
      <c r="D30" s="15"/>
      <c r="E30" s="15"/>
      <c r="F30" s="15"/>
      <c r="G30" s="15"/>
      <c r="H30" s="15"/>
      <c r="I30" s="15"/>
    </row>
    <row r="31" spans="1:9" ht="16.5">
      <c r="A31" s="63">
        <f>DB!V1</f>
        <v>0</v>
      </c>
      <c r="B31" s="63"/>
      <c r="C31" s="63"/>
      <c r="D31" s="63"/>
      <c r="E31" s="63"/>
      <c r="F31" s="63"/>
      <c r="G31" s="63"/>
      <c r="H31" s="62" t="s">
        <v>22</v>
      </c>
      <c r="I31" s="62"/>
    </row>
    <row r="32" spans="1:9" ht="16.5">
      <c r="A32" s="60" t="str">
        <f>_xlfn.CONCAT("Did you ",A31, " today?")</f>
        <v>Did you 0 today?</v>
      </c>
      <c r="B32" s="60"/>
      <c r="C32" s="60"/>
      <c r="D32" s="61"/>
      <c r="E32" s="16"/>
      <c r="F32" s="60" t="s">
        <v>8</v>
      </c>
      <c r="G32" s="60"/>
      <c r="H32" s="60"/>
      <c r="I32" s="16"/>
    </row>
    <row r="33" spans="1:9" ht="16.5">
      <c r="A33" s="59" t="s">
        <v>21</v>
      </c>
      <c r="B33" s="59"/>
      <c r="C33" s="59"/>
      <c r="D33" s="59"/>
      <c r="E33" s="38"/>
      <c r="F33" s="60" t="str">
        <f>IF(E32="Yes","How bad was it?","")</f>
        <v/>
      </c>
      <c r="G33" s="60"/>
      <c r="H33" s="60"/>
      <c r="I33" s="16"/>
    </row>
    <row r="34" spans="1:9" ht="66" customHeight="1">
      <c r="A34" s="55"/>
      <c r="B34" s="56"/>
      <c r="C34" s="56"/>
      <c r="D34" s="56"/>
      <c r="E34" s="56"/>
      <c r="F34" s="56"/>
      <c r="G34" s="56"/>
      <c r="H34" s="56"/>
      <c r="I34" s="57"/>
    </row>
    <row r="35" spans="1:9" ht="16.5">
      <c r="A35" s="15"/>
      <c r="B35" s="15"/>
      <c r="C35" s="15"/>
      <c r="D35" s="15"/>
      <c r="E35" s="15"/>
      <c r="F35" s="15"/>
      <c r="G35" s="15"/>
      <c r="H35" s="15"/>
      <c r="I35" s="15"/>
    </row>
    <row r="36" spans="1:9" ht="16.5">
      <c r="A36" s="63">
        <f>DB!Z1</f>
        <v>0</v>
      </c>
      <c r="B36" s="63"/>
      <c r="C36" s="63"/>
      <c r="D36" s="63"/>
      <c r="E36" s="63"/>
      <c r="F36" s="63"/>
      <c r="G36" s="63"/>
      <c r="H36" s="62" t="s">
        <v>22</v>
      </c>
      <c r="I36" s="62"/>
    </row>
    <row r="37" spans="1:9" ht="16.5">
      <c r="A37" s="60" t="str">
        <f>_xlfn.CONCAT("Did you ",A36, " today?")</f>
        <v>Did you 0 today?</v>
      </c>
      <c r="B37" s="60"/>
      <c r="C37" s="60"/>
      <c r="D37" s="61"/>
      <c r="E37" s="16"/>
      <c r="F37" s="60" t="s">
        <v>8</v>
      </c>
      <c r="G37" s="60"/>
      <c r="H37" s="60"/>
      <c r="I37" s="16"/>
    </row>
    <row r="38" spans="1:9" ht="16.5">
      <c r="A38" s="59" t="s">
        <v>21</v>
      </c>
      <c r="B38" s="59"/>
      <c r="C38" s="59"/>
      <c r="D38" s="59"/>
      <c r="E38" s="38"/>
      <c r="F38" s="60" t="str">
        <f>IF(E37="Yes","How bad was it?","")</f>
        <v/>
      </c>
      <c r="G38" s="60"/>
      <c r="H38" s="60"/>
      <c r="I38" s="16"/>
    </row>
    <row r="39" spans="1:9" ht="66" customHeight="1">
      <c r="A39" s="55"/>
      <c r="B39" s="56"/>
      <c r="C39" s="56"/>
      <c r="D39" s="56"/>
      <c r="E39" s="56"/>
      <c r="F39" s="56"/>
      <c r="G39" s="56"/>
      <c r="H39" s="56"/>
      <c r="I39" s="57"/>
    </row>
    <row r="40" spans="1:9" ht="16.5">
      <c r="A40" s="15"/>
      <c r="B40" s="15"/>
      <c r="C40" s="15"/>
      <c r="D40" s="15"/>
      <c r="E40" s="15"/>
      <c r="F40" s="15"/>
      <c r="G40" s="15"/>
      <c r="H40" s="15"/>
      <c r="I40" s="15"/>
    </row>
    <row r="41" spans="1:9" ht="16.5">
      <c r="A41" s="63">
        <f>DB!AD1</f>
        <v>0</v>
      </c>
      <c r="B41" s="63"/>
      <c r="C41" s="63"/>
      <c r="D41" s="63"/>
      <c r="E41" s="63"/>
      <c r="F41" s="63"/>
      <c r="G41" s="63"/>
      <c r="H41" s="62" t="s">
        <v>22</v>
      </c>
      <c r="I41" s="62"/>
    </row>
    <row r="42" spans="1:9" ht="16.5">
      <c r="A42" s="60" t="str">
        <f>_xlfn.CONCAT("Did you ",A41, " today?")</f>
        <v>Did you 0 today?</v>
      </c>
      <c r="B42" s="60"/>
      <c r="C42" s="60"/>
      <c r="D42" s="61"/>
      <c r="E42" s="16"/>
      <c r="F42" s="60" t="s">
        <v>8</v>
      </c>
      <c r="G42" s="60"/>
      <c r="H42" s="60"/>
      <c r="I42" s="16"/>
    </row>
    <row r="43" spans="1:9" ht="16.5">
      <c r="A43" s="59" t="s">
        <v>21</v>
      </c>
      <c r="B43" s="59"/>
      <c r="C43" s="59"/>
      <c r="D43" s="59"/>
      <c r="E43" s="38"/>
      <c r="F43" s="60" t="str">
        <f>IF(E42="Yes","How bad was it?","")</f>
        <v/>
      </c>
      <c r="G43" s="60"/>
      <c r="H43" s="60"/>
      <c r="I43" s="16"/>
    </row>
    <row r="44" spans="1:9" ht="66" customHeight="1">
      <c r="A44" s="55"/>
      <c r="B44" s="56"/>
      <c r="C44" s="56"/>
      <c r="D44" s="56"/>
      <c r="E44" s="56"/>
      <c r="F44" s="56"/>
      <c r="G44" s="56"/>
      <c r="H44" s="56"/>
      <c r="I44" s="57"/>
    </row>
    <row r="45" spans="1:9" ht="16.5">
      <c r="A45" s="15"/>
      <c r="B45" s="15"/>
      <c r="C45" s="15"/>
      <c r="D45" s="15"/>
      <c r="E45" s="15"/>
      <c r="F45" s="15"/>
      <c r="G45" s="15"/>
      <c r="H45" s="15"/>
      <c r="I45" s="15"/>
    </row>
    <row r="46" spans="1:9" ht="16.5" hidden="1">
      <c r="A46" s="63">
        <f>DB!AH1</f>
        <v>0</v>
      </c>
      <c r="B46" s="63"/>
      <c r="C46" s="63"/>
      <c r="D46" s="63"/>
      <c r="E46" s="63"/>
      <c r="F46" s="63"/>
      <c r="G46" s="63"/>
      <c r="H46" s="62" t="s">
        <v>22</v>
      </c>
      <c r="I46" s="62"/>
    </row>
    <row r="47" spans="1:9" ht="16.5" hidden="1">
      <c r="A47" s="60" t="str">
        <f>_xlfn.CONCAT("Did you ",A46, " today?")</f>
        <v>Did you 0 today?</v>
      </c>
      <c r="B47" s="60"/>
      <c r="C47" s="60"/>
      <c r="D47" s="61"/>
      <c r="E47" s="16"/>
      <c r="F47" s="60" t="s">
        <v>8</v>
      </c>
      <c r="G47" s="60"/>
      <c r="H47" s="60"/>
      <c r="I47" s="16"/>
    </row>
    <row r="48" spans="1:9" ht="16.5" hidden="1">
      <c r="A48" s="59" t="s">
        <v>21</v>
      </c>
      <c r="B48" s="59"/>
      <c r="C48" s="59"/>
      <c r="D48" s="59"/>
      <c r="E48" s="38"/>
      <c r="F48" s="60" t="str">
        <f>IF(E47="Yes","How bad was it?","")</f>
        <v/>
      </c>
      <c r="G48" s="60"/>
      <c r="H48" s="60"/>
      <c r="I48" s="16"/>
    </row>
    <row r="49" spans="1:9" ht="66" hidden="1" customHeight="1">
      <c r="A49" s="55"/>
      <c r="B49" s="56"/>
      <c r="C49" s="56"/>
      <c r="D49" s="56"/>
      <c r="E49" s="56"/>
      <c r="F49" s="56"/>
      <c r="G49" s="56"/>
      <c r="H49" s="56"/>
      <c r="I49" s="57"/>
    </row>
    <row r="50" spans="1:9" ht="16.5" hidden="1">
      <c r="A50" s="15"/>
      <c r="B50" s="15"/>
      <c r="C50" s="15"/>
      <c r="D50" s="15"/>
      <c r="E50" s="15"/>
      <c r="F50" s="15"/>
      <c r="G50" s="15"/>
      <c r="H50" s="15"/>
      <c r="I50" s="15"/>
    </row>
    <row r="51" spans="1:9" ht="16.5" hidden="1">
      <c r="A51" s="63">
        <f>DB!AL1</f>
        <v>0</v>
      </c>
      <c r="B51" s="63"/>
      <c r="C51" s="63"/>
      <c r="D51" s="63"/>
      <c r="E51" s="63"/>
      <c r="F51" s="63"/>
      <c r="G51" s="63"/>
      <c r="H51" s="62" t="s">
        <v>22</v>
      </c>
      <c r="I51" s="62"/>
    </row>
    <row r="52" spans="1:9" ht="16.5" hidden="1">
      <c r="A52" s="60" t="str">
        <f>_xlfn.CONCAT("Did you ",A51, " today?")</f>
        <v>Did you 0 today?</v>
      </c>
      <c r="B52" s="60"/>
      <c r="C52" s="60"/>
      <c r="D52" s="61"/>
      <c r="E52" s="16"/>
      <c r="F52" s="60" t="s">
        <v>8</v>
      </c>
      <c r="G52" s="60"/>
      <c r="H52" s="60"/>
      <c r="I52" s="16"/>
    </row>
    <row r="53" spans="1:9" ht="16.5" hidden="1">
      <c r="A53" s="59" t="s">
        <v>21</v>
      </c>
      <c r="B53" s="59"/>
      <c r="C53" s="59"/>
      <c r="D53" s="59"/>
      <c r="E53" s="38"/>
      <c r="F53" s="60" t="str">
        <f>IF(E52="Yes","How bad was it?","")</f>
        <v/>
      </c>
      <c r="G53" s="60"/>
      <c r="H53" s="60"/>
      <c r="I53" s="16"/>
    </row>
    <row r="54" spans="1:9" ht="66" hidden="1" customHeight="1">
      <c r="A54" s="55"/>
      <c r="B54" s="56"/>
      <c r="C54" s="56"/>
      <c r="D54" s="56"/>
      <c r="E54" s="56"/>
      <c r="F54" s="56"/>
      <c r="G54" s="56"/>
      <c r="H54" s="56"/>
      <c r="I54" s="57"/>
    </row>
    <row r="55" spans="1:9" ht="16.5" hidden="1">
      <c r="A55" s="15"/>
      <c r="B55" s="15"/>
      <c r="C55" s="15"/>
      <c r="D55" s="15"/>
      <c r="E55" s="15"/>
      <c r="F55" s="15"/>
      <c r="G55" s="15"/>
      <c r="H55" s="15"/>
      <c r="I55" s="40"/>
    </row>
    <row r="56" spans="1:9" ht="16.5">
      <c r="A56" s="63" t="s">
        <v>23</v>
      </c>
      <c r="B56" s="63"/>
      <c r="C56" s="63"/>
      <c r="D56" s="63"/>
      <c r="E56" s="63"/>
      <c r="F56" s="63"/>
      <c r="G56" s="63"/>
      <c r="H56" s="62" t="s">
        <v>22</v>
      </c>
      <c r="I56" s="62"/>
    </row>
    <row r="57" spans="1:9" ht="16.5">
      <c r="A57" s="60" t="s">
        <v>24</v>
      </c>
      <c r="B57" s="60"/>
      <c r="C57" s="60"/>
      <c r="D57" s="61"/>
      <c r="E57" s="16"/>
      <c r="F57" s="68" t="s">
        <v>26</v>
      </c>
      <c r="G57" s="60"/>
      <c r="H57" s="61"/>
      <c r="I57" s="16"/>
    </row>
    <row r="58" spans="1:9" ht="16.5">
      <c r="A58" s="59" t="s">
        <v>25</v>
      </c>
      <c r="B58" s="59"/>
      <c r="C58" s="59"/>
      <c r="D58" s="59"/>
      <c r="E58" s="38"/>
      <c r="F58" s="60" t="s">
        <v>27</v>
      </c>
      <c r="G58" s="60"/>
      <c r="H58" s="60"/>
      <c r="I58" s="16"/>
    </row>
    <row r="59" spans="1:9" ht="132" customHeight="1">
      <c r="A59" s="67"/>
      <c r="B59" s="67"/>
      <c r="C59" s="67"/>
      <c r="D59" s="67"/>
      <c r="E59" s="67"/>
      <c r="F59" s="67"/>
      <c r="G59" s="67"/>
      <c r="H59" s="67"/>
      <c r="I59" s="67"/>
    </row>
    <row r="60" spans="1:9" hidden="1"/>
    <row r="61" spans="1:9" hidden="1">
      <c r="A61" s="37"/>
    </row>
  </sheetData>
  <sheetProtection sheet="1" objects="1" scenarios="1" selectLockedCells="1"/>
  <mergeCells count="81">
    <mergeCell ref="A58:D58"/>
    <mergeCell ref="F58:H58"/>
    <mergeCell ref="A59:I59"/>
    <mergeCell ref="A2:F2"/>
    <mergeCell ref="A56:G56"/>
    <mergeCell ref="H56:I56"/>
    <mergeCell ref="A57:D57"/>
    <mergeCell ref="F57:H57"/>
    <mergeCell ref="A52:D52"/>
    <mergeCell ref="F52:H52"/>
    <mergeCell ref="A53:D53"/>
    <mergeCell ref="F53:H53"/>
    <mergeCell ref="A54:I54"/>
    <mergeCell ref="A48:D48"/>
    <mergeCell ref="F48:H48"/>
    <mergeCell ref="A49:I49"/>
    <mergeCell ref="A51:G51"/>
    <mergeCell ref="H51:I51"/>
    <mergeCell ref="A44:I44"/>
    <mergeCell ref="A46:G46"/>
    <mergeCell ref="H46:I46"/>
    <mergeCell ref="A47:D47"/>
    <mergeCell ref="F47:H47"/>
    <mergeCell ref="A41:G41"/>
    <mergeCell ref="H41:I41"/>
    <mergeCell ref="A42:D42"/>
    <mergeCell ref="F42:H42"/>
    <mergeCell ref="A43:D43"/>
    <mergeCell ref="F43:H43"/>
    <mergeCell ref="A37:D37"/>
    <mergeCell ref="F37:H37"/>
    <mergeCell ref="A38:D38"/>
    <mergeCell ref="F38:H38"/>
    <mergeCell ref="A39:I39"/>
    <mergeCell ref="A33:D33"/>
    <mergeCell ref="F33:H33"/>
    <mergeCell ref="A34:I34"/>
    <mergeCell ref="A36:G36"/>
    <mergeCell ref="H36:I36"/>
    <mergeCell ref="A29:I29"/>
    <mergeCell ref="A31:G31"/>
    <mergeCell ref="H31:I31"/>
    <mergeCell ref="A32:D32"/>
    <mergeCell ref="F32:H32"/>
    <mergeCell ref="A26:G26"/>
    <mergeCell ref="H26:I26"/>
    <mergeCell ref="A27:D27"/>
    <mergeCell ref="F27:H27"/>
    <mergeCell ref="A28:D28"/>
    <mergeCell ref="F28:H28"/>
    <mergeCell ref="A22:D22"/>
    <mergeCell ref="F22:H22"/>
    <mergeCell ref="A23:D23"/>
    <mergeCell ref="F23:H23"/>
    <mergeCell ref="A24:I24"/>
    <mergeCell ref="A18:D18"/>
    <mergeCell ref="F18:H18"/>
    <mergeCell ref="A19:I19"/>
    <mergeCell ref="A21:G21"/>
    <mergeCell ref="H21:I21"/>
    <mergeCell ref="A14:I14"/>
    <mergeCell ref="A16:G16"/>
    <mergeCell ref="H16:I16"/>
    <mergeCell ref="A17:D17"/>
    <mergeCell ref="F17:H17"/>
    <mergeCell ref="A11:G11"/>
    <mergeCell ref="H11:I11"/>
    <mergeCell ref="A12:D12"/>
    <mergeCell ref="F12:H12"/>
    <mergeCell ref="A13:D13"/>
    <mergeCell ref="F13:H13"/>
    <mergeCell ref="A9:I9"/>
    <mergeCell ref="A1:I1"/>
    <mergeCell ref="A8:D8"/>
    <mergeCell ref="A7:D7"/>
    <mergeCell ref="H6:I6"/>
    <mergeCell ref="A6:G6"/>
    <mergeCell ref="H2:I2"/>
    <mergeCell ref="A4:I4"/>
    <mergeCell ref="F7:H7"/>
    <mergeCell ref="F8:H8"/>
  </mergeCells>
  <dataValidations disablePrompts="1" count="2">
    <dataValidation type="list" allowBlank="1" showInputMessage="1" showErrorMessage="1" sqref="E7 E12 E17 E22 E27 E32 E37 E42 E47 E52" xr:uid="{1C396694-D326-46A5-BEC2-D0600E67D937}">
      <formula1>"Yes,No"</formula1>
    </dataValidation>
    <dataValidation type="whole" allowBlank="1" showInputMessage="1" showErrorMessage="1" sqref="E57 I58 I57 I53 I52 I48 I47 I43 I42 I38 I37 I33 I32 I28 I27 I23 I22 I18 I17 I13 I12 I8 I7" xr:uid="{D4A33D6C-D14F-4388-ADB5-CEC9B9B19CB5}">
      <formula1>1</formula1>
      <formula2>11</formula2>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3078" r:id="rId4" name="SubmitButton">
          <controlPr defaultSize="0" autoLine="0" r:id="rId5">
            <anchor moveWithCells="1">
              <from>
                <xdr:col>7</xdr:col>
                <xdr:colOff>523875</xdr:colOff>
                <xdr:row>0</xdr:row>
                <xdr:rowOff>76200</xdr:rowOff>
              </from>
              <to>
                <xdr:col>8</xdr:col>
                <xdr:colOff>514350</xdr:colOff>
                <xdr:row>0</xdr:row>
                <xdr:rowOff>352425</xdr:rowOff>
              </to>
            </anchor>
          </controlPr>
        </control>
      </mc:Choice>
      <mc:Fallback>
        <control shapeId="3078" r:id="rId4" name="SubmitButton"/>
      </mc:Fallback>
    </mc:AlternateContent>
    <mc:AlternateContent xmlns:mc="http://schemas.openxmlformats.org/markup-compatibility/2006">
      <mc:Choice Requires="x14">
        <control shapeId="3079" r:id="rId6" name="ResetButton">
          <controlPr defaultSize="0" autoLine="0" r:id="rId7">
            <anchor moveWithCells="1">
              <from>
                <xdr:col>6</xdr:col>
                <xdr:colOff>342900</xdr:colOff>
                <xdr:row>0</xdr:row>
                <xdr:rowOff>85725</xdr:rowOff>
              </from>
              <to>
                <xdr:col>7</xdr:col>
                <xdr:colOff>333375</xdr:colOff>
                <xdr:row>0</xdr:row>
                <xdr:rowOff>361950</xdr:rowOff>
              </to>
            </anchor>
          </controlPr>
        </control>
      </mc:Choice>
      <mc:Fallback>
        <control shapeId="3079" r:id="rId6" name="ResetButto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6E97B-4ED3-4ECB-8CFD-FD663E8362FB}">
  <sheetPr codeName="Sheet7">
    <tabColor theme="4"/>
  </sheetPr>
  <dimension ref="A1:I65"/>
  <sheetViews>
    <sheetView zoomScale="130" zoomScaleNormal="130" workbookViewId="0">
      <pane ySplit="2" topLeftCell="A3" activePane="bottomLeft" state="frozen"/>
      <selection activeCell="A19" sqref="A19:I19"/>
      <selection pane="bottomLeft" activeCell="A19" sqref="A19:I19"/>
    </sheetView>
  </sheetViews>
  <sheetFormatPr defaultColWidth="0" defaultRowHeight="15" customHeight="1" zeroHeight="1"/>
  <cols>
    <col min="1" max="9" width="9.140625" customWidth="1"/>
    <col min="10" max="16384" width="9.140625" hidden="1"/>
  </cols>
  <sheetData>
    <row r="1" spans="1:9" ht="34.5">
      <c r="A1" s="44" t="s">
        <v>76</v>
      </c>
      <c r="B1" s="44"/>
      <c r="C1" s="44"/>
      <c r="D1" s="44"/>
      <c r="E1" s="44"/>
      <c r="F1" s="44"/>
      <c r="G1" s="44"/>
      <c r="H1" s="44"/>
      <c r="I1" s="44"/>
    </row>
    <row r="2" spans="1:9" ht="16.5">
      <c r="A2" s="69" t="s">
        <v>18</v>
      </c>
      <c r="B2" s="69"/>
      <c r="C2" s="69"/>
      <c r="D2" s="69"/>
      <c r="E2" s="69"/>
      <c r="F2" s="69"/>
      <c r="G2" s="9" t="s">
        <v>4</v>
      </c>
      <c r="H2" s="64"/>
      <c r="I2" s="65"/>
    </row>
    <row r="3" spans="1:9" ht="15" customHeight="1">
      <c r="A3" s="1"/>
      <c r="B3" s="1"/>
      <c r="C3" s="1"/>
      <c r="D3" s="1"/>
      <c r="E3" s="1"/>
      <c r="F3" s="1"/>
      <c r="G3" s="1"/>
      <c r="H3" s="1"/>
      <c r="I3" s="1"/>
    </row>
    <row r="4" spans="1:9" ht="49.5" customHeight="1">
      <c r="A4" s="70" t="s">
        <v>5</v>
      </c>
      <c r="B4" s="70"/>
      <c r="C4" s="70"/>
      <c r="D4" s="70"/>
      <c r="E4" s="70"/>
      <c r="F4" s="70"/>
      <c r="G4" s="70"/>
      <c r="H4" s="70"/>
      <c r="I4" s="70"/>
    </row>
    <row r="5" spans="1:9" ht="16.5">
      <c r="A5" s="5"/>
      <c r="B5" s="5"/>
      <c r="C5" s="5"/>
      <c r="D5" s="5"/>
      <c r="E5" s="5"/>
      <c r="F5" s="5"/>
      <c r="G5" s="5"/>
      <c r="H5" s="5"/>
      <c r="I5" s="5"/>
    </row>
    <row r="6" spans="1:9" ht="16.5">
      <c r="A6" s="69">
        <f>DB!B1</f>
        <v>0</v>
      </c>
      <c r="B6" s="69"/>
      <c r="C6" s="69"/>
      <c r="D6" s="69"/>
      <c r="E6" s="69"/>
      <c r="F6" s="69"/>
      <c r="G6" s="69"/>
      <c r="H6" s="71" t="s">
        <v>22</v>
      </c>
      <c r="I6" s="71"/>
    </row>
    <row r="7" spans="1:9" ht="16.5">
      <c r="A7" s="72" t="str">
        <f>_xlfn.CONCAT("Did you ",A6, " today?")</f>
        <v>Did you 0 today?</v>
      </c>
      <c r="B7" s="72"/>
      <c r="C7" s="72"/>
      <c r="D7" s="73"/>
      <c r="E7" s="10" t="e">
        <f>IF(VLOOKUP($H$2,Table1[],Tab!E7,FALSE)=0,"",VLOOKUP($H$2,Table1[],Tab!E7,FALSE))</f>
        <v>#N/A</v>
      </c>
      <c r="F7" s="72" t="s">
        <v>6</v>
      </c>
      <c r="G7" s="72"/>
      <c r="H7" s="72"/>
      <c r="I7" s="10" t="e">
        <f>IF(VLOOKUP($H$2,Table1[],Tab!I7,FALSE)=0,"",VLOOKUP($H$2,Table1[],Tab!I7,FALSE))</f>
        <v>#N/A</v>
      </c>
    </row>
    <row r="8" spans="1:9" ht="16.5">
      <c r="A8" s="74" t="s">
        <v>21</v>
      </c>
      <c r="B8" s="74"/>
      <c r="C8" s="74"/>
      <c r="D8" s="74"/>
      <c r="E8" s="39"/>
      <c r="F8" s="72" t="e">
        <f>IF(E7="Yes","How well did you do it?","")</f>
        <v>#N/A</v>
      </c>
      <c r="G8" s="72"/>
      <c r="H8" s="72"/>
      <c r="I8" s="10" t="e">
        <f>IF(VLOOKUP($H$2,Table1[],Tab!I8,FALSE)=0,"",VLOOKUP($H$2,Table1[],Tab!I8,FALSE))</f>
        <v>#N/A</v>
      </c>
    </row>
    <row r="9" spans="1:9" ht="66" customHeight="1">
      <c r="A9" s="75" t="e">
        <f>IF(VLOOKUP($H$2,Table1[],Tab!A9,FALSE)=0,"",VLOOKUP($H$2,Table1[],Tab!A9,FALSE))</f>
        <v>#N/A</v>
      </c>
      <c r="B9" s="75" t="e">
        <f>IF(VLOOKUP($H$2,Table1[],Tab!B9,FALSE)=0,"",VLOOKUP($H$2,Table1[],Tab!B9,FALSE))</f>
        <v>#N/A</v>
      </c>
      <c r="C9" s="75" t="e">
        <f>IF(VLOOKUP($H$2,Table1[],Tab!C9,FALSE)=0,"",VLOOKUP($H$2,Table1[],Tab!C9,FALSE))</f>
        <v>#N/A</v>
      </c>
      <c r="D9" s="75" t="e">
        <f>IF(VLOOKUP($H$2,Table1[],Tab!D9,FALSE)=0,"",VLOOKUP($H$2,Table1[],Tab!D9,FALSE))</f>
        <v>#N/A</v>
      </c>
      <c r="E9" s="75" t="e">
        <f>IF(VLOOKUP($H$2,Table1[],Tab!E9,FALSE)=0,"",VLOOKUP($H$2,Table1[],Tab!E9,FALSE))</f>
        <v>#N/A</v>
      </c>
      <c r="F9" s="75" t="e">
        <f>IF(VLOOKUP($H$2,Table1[],Tab!F9,FALSE)=0,"",VLOOKUP($H$2,Table1[],Tab!F9,FALSE))</f>
        <v>#N/A</v>
      </c>
      <c r="G9" s="75" t="e">
        <f>IF(VLOOKUP($H$2,Table1[],Tab!G9,FALSE)=0,"",VLOOKUP($H$2,Table1[],Tab!G9,FALSE))</f>
        <v>#N/A</v>
      </c>
      <c r="H9" s="75" t="e">
        <f>IF(VLOOKUP($H$2,Table1[],Tab!H9,FALSE)=0,"",VLOOKUP($H$2,Table1[],Tab!H9,FALSE))</f>
        <v>#N/A</v>
      </c>
      <c r="I9" s="75" t="e">
        <f>IF(VLOOKUP($H$2,Table1[],Tab!I9,FALSE)=0,"",VLOOKUP($H$2,Table1[],Tab!I9,FALSE))</f>
        <v>#N/A</v>
      </c>
    </row>
    <row r="10" spans="1:9" ht="16.5">
      <c r="A10" s="5"/>
      <c r="B10" s="5"/>
      <c r="C10" s="5"/>
      <c r="D10" s="5"/>
      <c r="E10" s="5"/>
      <c r="F10" s="5"/>
      <c r="G10" s="5"/>
      <c r="H10" s="5"/>
      <c r="I10" s="5"/>
    </row>
    <row r="11" spans="1:9" ht="16.5">
      <c r="A11" s="69">
        <f>DB!F1</f>
        <v>0</v>
      </c>
      <c r="B11" s="69"/>
      <c r="C11" s="69"/>
      <c r="D11" s="69"/>
      <c r="E11" s="69"/>
      <c r="F11" s="69"/>
      <c r="G11" s="69"/>
      <c r="H11" s="71" t="s">
        <v>22</v>
      </c>
      <c r="I11" s="71"/>
    </row>
    <row r="12" spans="1:9" ht="16.5">
      <c r="A12" s="72" t="str">
        <f>_xlfn.CONCAT("Did you ",A11, " today?")</f>
        <v>Did you 0 today?</v>
      </c>
      <c r="B12" s="72"/>
      <c r="C12" s="72"/>
      <c r="D12" s="73"/>
      <c r="E12" s="10" t="e">
        <f>IF(VLOOKUP($H$2,Table1[],Tab!E12,FALSE)=0,"",VLOOKUP($H$2,Table1[],Tab!E12,FALSE))</f>
        <v>#N/A</v>
      </c>
      <c r="F12" s="72" t="s">
        <v>6</v>
      </c>
      <c r="G12" s="72"/>
      <c r="H12" s="72"/>
      <c r="I12" s="10" t="e">
        <f>IF(VLOOKUP($H$2,Table1[],Tab!I12,FALSE)=0,"",VLOOKUP($H$2,Table1[],Tab!I12,FALSE))</f>
        <v>#N/A</v>
      </c>
    </row>
    <row r="13" spans="1:9" ht="16.5">
      <c r="A13" s="74" t="s">
        <v>21</v>
      </c>
      <c r="B13" s="74"/>
      <c r="C13" s="74"/>
      <c r="D13" s="74"/>
      <c r="E13" s="39"/>
      <c r="F13" s="72" t="e">
        <f>IF(E12="Yes","How well did you do it?","")</f>
        <v>#N/A</v>
      </c>
      <c r="G13" s="72"/>
      <c r="H13" s="72"/>
      <c r="I13" s="10" t="e">
        <f>IF(VLOOKUP($H$2,Table1[],Tab!I13,FALSE)=0,"",VLOOKUP($H$2,Table1[],Tab!I13,FALSE))</f>
        <v>#N/A</v>
      </c>
    </row>
    <row r="14" spans="1:9" ht="66" customHeight="1">
      <c r="A14" s="75" t="e">
        <f>IF(VLOOKUP($H$2,Table1[],Tab!A14,FALSE)=0,"",VLOOKUP($H$2,Table1[],Tab!A14,FALSE))</f>
        <v>#N/A</v>
      </c>
      <c r="B14" s="75" t="e">
        <f>IF(VLOOKUP($H$2,Table1[],Tab!B14,FALSE)=0,"",VLOOKUP($H$2,Table1[],Tab!B14,FALSE))</f>
        <v>#N/A</v>
      </c>
      <c r="C14" s="75" t="e">
        <f>IF(VLOOKUP($H$2,Table1[],Tab!C14,FALSE)=0,"",VLOOKUP($H$2,Table1[],Tab!C14,FALSE))</f>
        <v>#N/A</v>
      </c>
      <c r="D14" s="75" t="e">
        <f>IF(VLOOKUP($H$2,Table1[],Tab!D14,FALSE)=0,"",VLOOKUP($H$2,Table1[],Tab!D14,FALSE))</f>
        <v>#N/A</v>
      </c>
      <c r="E14" s="75" t="e">
        <f>IF(VLOOKUP($H$2,Table1[],Tab!E14,FALSE)=0,"",VLOOKUP($H$2,Table1[],Tab!E14,FALSE))</f>
        <v>#N/A</v>
      </c>
      <c r="F14" s="75" t="e">
        <f>IF(VLOOKUP($H$2,Table1[],Tab!F14,FALSE)=0,"",VLOOKUP($H$2,Table1[],Tab!F14,FALSE))</f>
        <v>#N/A</v>
      </c>
      <c r="G14" s="75" t="e">
        <f>IF(VLOOKUP($H$2,Table1[],Tab!G14,FALSE)=0,"",VLOOKUP($H$2,Table1[],Tab!G14,FALSE))</f>
        <v>#N/A</v>
      </c>
      <c r="H14" s="75" t="e">
        <f>IF(VLOOKUP($H$2,Table1[],Tab!H14,FALSE)=0,"",VLOOKUP($H$2,Table1[],Tab!H14,FALSE))</f>
        <v>#N/A</v>
      </c>
      <c r="I14" s="75" t="e">
        <f>IF(VLOOKUP($H$2,Table1[],Tab!I14,FALSE)=0,"",VLOOKUP($H$2,Table1[],Tab!I14,FALSE))</f>
        <v>#N/A</v>
      </c>
    </row>
    <row r="15" spans="1:9" ht="16.5">
      <c r="A15" s="5"/>
      <c r="B15" s="5"/>
      <c r="C15" s="5"/>
      <c r="D15" s="5"/>
      <c r="E15" s="5"/>
      <c r="F15" s="5"/>
      <c r="G15" s="5"/>
      <c r="H15" s="5"/>
      <c r="I15" s="5"/>
    </row>
    <row r="16" spans="1:9" ht="16.5" hidden="1">
      <c r="A16" s="69">
        <f>DB!J1</f>
        <v>0</v>
      </c>
      <c r="B16" s="69"/>
      <c r="C16" s="69"/>
      <c r="D16" s="69"/>
      <c r="E16" s="69"/>
      <c r="F16" s="69"/>
      <c r="G16" s="69"/>
      <c r="H16" s="71" t="s">
        <v>22</v>
      </c>
      <c r="I16" s="71"/>
    </row>
    <row r="17" spans="1:9" ht="16.5" hidden="1">
      <c r="A17" s="72" t="str">
        <f>_xlfn.CONCAT("Did you ",A16, " today?")</f>
        <v>Did you 0 today?</v>
      </c>
      <c r="B17" s="72"/>
      <c r="C17" s="72"/>
      <c r="D17" s="73"/>
      <c r="E17" s="10" t="e">
        <f>IF(VLOOKUP($H$2,Table1[],Tab!E17,FALSE)=0,"",VLOOKUP($H$2,Table1[],Tab!E17,FALSE))</f>
        <v>#N/A</v>
      </c>
      <c r="F17" s="72" t="s">
        <v>6</v>
      </c>
      <c r="G17" s="72"/>
      <c r="H17" s="72"/>
      <c r="I17" s="10" t="e">
        <f>IF(VLOOKUP($H$2,Table1[],Tab!I17,FALSE)=0,"",VLOOKUP($H$2,Table1[],Tab!I17,FALSE))</f>
        <v>#N/A</v>
      </c>
    </row>
    <row r="18" spans="1:9" ht="16.5" hidden="1">
      <c r="A18" s="74" t="s">
        <v>21</v>
      </c>
      <c r="B18" s="74"/>
      <c r="C18" s="74"/>
      <c r="D18" s="74"/>
      <c r="E18" s="39"/>
      <c r="F18" s="72" t="e">
        <f>IF(E17="Yes","How well did you do it?","")</f>
        <v>#N/A</v>
      </c>
      <c r="G18" s="72"/>
      <c r="H18" s="72"/>
      <c r="I18" s="10" t="e">
        <f>IF(VLOOKUP($H$2,Table1[],Tab!I18,FALSE)=0,"",VLOOKUP($H$2,Table1[],Tab!I18,FALSE))</f>
        <v>#N/A</v>
      </c>
    </row>
    <row r="19" spans="1:9" ht="66" hidden="1" customHeight="1">
      <c r="A19" s="75" t="e">
        <f>IF(VLOOKUP($H$2,Table1[],Tab!A19,FALSE)=0,"",VLOOKUP($H$2,Table1[],Tab!A19,FALSE))</f>
        <v>#N/A</v>
      </c>
      <c r="B19" s="75" t="e">
        <f>IF(VLOOKUP($H$2,Table1[],Tab!B19,FALSE)=0,"",VLOOKUP($H$2,Table1[],Tab!B19,FALSE))</f>
        <v>#N/A</v>
      </c>
      <c r="C19" s="75" t="e">
        <f>IF(VLOOKUP($H$2,Table1[],Tab!C19,FALSE)=0,"",VLOOKUP($H$2,Table1[],Tab!C19,FALSE))</f>
        <v>#N/A</v>
      </c>
      <c r="D19" s="75" t="e">
        <f>IF(VLOOKUP($H$2,Table1[],Tab!D19,FALSE)=0,"",VLOOKUP($H$2,Table1[],Tab!D19,FALSE))</f>
        <v>#N/A</v>
      </c>
      <c r="E19" s="75" t="e">
        <f>IF(VLOOKUP($H$2,Table1[],Tab!E19,FALSE)=0,"",VLOOKUP($H$2,Table1[],Tab!E19,FALSE))</f>
        <v>#N/A</v>
      </c>
      <c r="F19" s="75" t="e">
        <f>IF(VLOOKUP($H$2,Table1[],Tab!F19,FALSE)=0,"",VLOOKUP($H$2,Table1[],Tab!F19,FALSE))</f>
        <v>#N/A</v>
      </c>
      <c r="G19" s="75" t="e">
        <f>IF(VLOOKUP($H$2,Table1[],Tab!G19,FALSE)=0,"",VLOOKUP($H$2,Table1[],Tab!G19,FALSE))</f>
        <v>#N/A</v>
      </c>
      <c r="H19" s="75" t="e">
        <f>IF(VLOOKUP($H$2,Table1[],Tab!H19,FALSE)=0,"",VLOOKUP($H$2,Table1[],Tab!H19,FALSE))</f>
        <v>#N/A</v>
      </c>
      <c r="I19" s="75" t="e">
        <f>IF(VLOOKUP($H$2,Table1[],Tab!I19,FALSE)=0,"",VLOOKUP($H$2,Table1[],Tab!I19,FALSE))</f>
        <v>#N/A</v>
      </c>
    </row>
    <row r="20" spans="1:9" ht="16.5" hidden="1">
      <c r="A20" s="5"/>
      <c r="B20" s="5"/>
      <c r="C20" s="5"/>
      <c r="D20" s="5"/>
      <c r="E20" s="5"/>
      <c r="F20" s="5"/>
      <c r="G20" s="5"/>
      <c r="H20" s="5"/>
      <c r="I20" s="5"/>
    </row>
    <row r="21" spans="1:9" ht="16.5" hidden="1">
      <c r="A21" s="69">
        <f>DB!N1</f>
        <v>0</v>
      </c>
      <c r="B21" s="69"/>
      <c r="C21" s="69"/>
      <c r="D21" s="69"/>
      <c r="E21" s="69"/>
      <c r="F21" s="69"/>
      <c r="G21" s="69"/>
      <c r="H21" s="71" t="s">
        <v>22</v>
      </c>
      <c r="I21" s="71"/>
    </row>
    <row r="22" spans="1:9" ht="16.5" hidden="1">
      <c r="A22" s="72" t="str">
        <f>_xlfn.CONCAT("Did you ",A21, " today?")</f>
        <v>Did you 0 today?</v>
      </c>
      <c r="B22" s="72"/>
      <c r="C22" s="72"/>
      <c r="D22" s="73"/>
      <c r="E22" s="10" t="e">
        <f>IF(VLOOKUP($H$2,Table1[],Tab!E22,FALSE)=0,"",VLOOKUP($H$2,Table1[],Tab!E22,FALSE))</f>
        <v>#N/A</v>
      </c>
      <c r="F22" s="72" t="s">
        <v>6</v>
      </c>
      <c r="G22" s="72"/>
      <c r="H22" s="72"/>
      <c r="I22" s="10" t="e">
        <f>IF(VLOOKUP($H$2,Table1[],Tab!I22,FALSE)=0,"",VLOOKUP($H$2,Table1[],Tab!I22,FALSE))</f>
        <v>#N/A</v>
      </c>
    </row>
    <row r="23" spans="1:9" ht="16.5" hidden="1">
      <c r="A23" s="74" t="s">
        <v>21</v>
      </c>
      <c r="B23" s="74"/>
      <c r="C23" s="74"/>
      <c r="D23" s="74"/>
      <c r="E23" s="39"/>
      <c r="F23" s="72" t="e">
        <f>IF(E22="Yes","How well did you do it?","")</f>
        <v>#N/A</v>
      </c>
      <c r="G23" s="72"/>
      <c r="H23" s="72"/>
      <c r="I23" s="10" t="e">
        <f>IF(VLOOKUP($H$2,Table1[],Tab!I23,FALSE)=0,"",VLOOKUP($H$2,Table1[],Tab!I23,FALSE))</f>
        <v>#N/A</v>
      </c>
    </row>
    <row r="24" spans="1:9" ht="66" hidden="1" customHeight="1">
      <c r="A24" s="75" t="e">
        <f>IF(VLOOKUP($H$2,Table1[],Tab!A24,FALSE)=0,"",VLOOKUP($H$2,Table1[],Tab!A24,FALSE))</f>
        <v>#N/A</v>
      </c>
      <c r="B24" s="75" t="e">
        <f>IF(VLOOKUP($H$2,Table1[],Tab!B24,FALSE)=0,"",VLOOKUP($H$2,Table1[],Tab!B24,FALSE))</f>
        <v>#N/A</v>
      </c>
      <c r="C24" s="75" t="e">
        <f>IF(VLOOKUP($H$2,Table1[],Tab!C24,FALSE)=0,"",VLOOKUP($H$2,Table1[],Tab!C24,FALSE))</f>
        <v>#N/A</v>
      </c>
      <c r="D24" s="75" t="e">
        <f>IF(VLOOKUP($H$2,Table1[],Tab!D24,FALSE)=0,"",VLOOKUP($H$2,Table1[],Tab!D24,FALSE))</f>
        <v>#N/A</v>
      </c>
      <c r="E24" s="75" t="e">
        <f>IF(VLOOKUP($H$2,Table1[],Tab!E24,FALSE)=0,"",VLOOKUP($H$2,Table1[],Tab!E24,FALSE))</f>
        <v>#N/A</v>
      </c>
      <c r="F24" s="75" t="e">
        <f>IF(VLOOKUP($H$2,Table1[],Tab!F24,FALSE)=0,"",VLOOKUP($H$2,Table1[],Tab!F24,FALSE))</f>
        <v>#N/A</v>
      </c>
      <c r="G24" s="75" t="e">
        <f>IF(VLOOKUP($H$2,Table1[],Tab!G24,FALSE)=0,"",VLOOKUP($H$2,Table1[],Tab!G24,FALSE))</f>
        <v>#N/A</v>
      </c>
      <c r="H24" s="75" t="e">
        <f>IF(VLOOKUP($H$2,Table1[],Tab!H24,FALSE)=0,"",VLOOKUP($H$2,Table1[],Tab!H24,FALSE))</f>
        <v>#N/A</v>
      </c>
      <c r="I24" s="75" t="e">
        <f>IF(VLOOKUP($H$2,Table1[],Tab!I24,FALSE)=0,"",VLOOKUP($H$2,Table1[],Tab!I24,FALSE))</f>
        <v>#N/A</v>
      </c>
    </row>
    <row r="25" spans="1:9" ht="16.5" hidden="1">
      <c r="A25" s="5"/>
      <c r="B25" s="5"/>
      <c r="C25" s="5"/>
      <c r="D25" s="5"/>
      <c r="E25" s="5"/>
      <c r="F25" s="5"/>
      <c r="G25" s="5"/>
      <c r="H25" s="5"/>
      <c r="I25" s="5"/>
    </row>
    <row r="26" spans="1:9" ht="16.5" hidden="1">
      <c r="A26" s="69">
        <f>DB!R1</f>
        <v>0</v>
      </c>
      <c r="B26" s="69"/>
      <c r="C26" s="69"/>
      <c r="D26" s="69"/>
      <c r="E26" s="69"/>
      <c r="F26" s="69"/>
      <c r="G26" s="69"/>
      <c r="H26" s="71" t="s">
        <v>22</v>
      </c>
      <c r="I26" s="71"/>
    </row>
    <row r="27" spans="1:9" ht="16.5" hidden="1">
      <c r="A27" s="72" t="str">
        <f>_xlfn.CONCAT("Did you ",A26, " today?")</f>
        <v>Did you 0 today?</v>
      </c>
      <c r="B27" s="72"/>
      <c r="C27" s="72"/>
      <c r="D27" s="73"/>
      <c r="E27" s="10" t="e">
        <f>IF(VLOOKUP($H$2,Table1[],Tab!E27,FALSE)=0,"",VLOOKUP($H$2,Table1[],Tab!E27,FALSE))</f>
        <v>#N/A</v>
      </c>
      <c r="F27" s="72" t="s">
        <v>6</v>
      </c>
      <c r="G27" s="72"/>
      <c r="H27" s="72"/>
      <c r="I27" s="10" t="e">
        <f>IF(VLOOKUP($H$2,Table1[],Tab!I27,FALSE)=0,"",VLOOKUP($H$2,Table1[],Tab!I27,FALSE))</f>
        <v>#N/A</v>
      </c>
    </row>
    <row r="28" spans="1:9" ht="16.5" hidden="1">
      <c r="A28" s="74" t="s">
        <v>21</v>
      </c>
      <c r="B28" s="74"/>
      <c r="C28" s="74"/>
      <c r="D28" s="74"/>
      <c r="E28" s="39"/>
      <c r="F28" s="72" t="e">
        <f>IF(E27="Yes","How well did you do it?","")</f>
        <v>#N/A</v>
      </c>
      <c r="G28" s="72"/>
      <c r="H28" s="72"/>
      <c r="I28" s="10" t="e">
        <f>IF(VLOOKUP($H$2,Table1[],Tab!I28,FALSE)=0,"",VLOOKUP($H$2,Table1[],Tab!I28,FALSE))</f>
        <v>#N/A</v>
      </c>
    </row>
    <row r="29" spans="1:9" ht="66" hidden="1" customHeight="1">
      <c r="A29" s="75" t="e">
        <f>IF(VLOOKUP($H$2,Table1[],Tab!A29,FALSE)=0,"",VLOOKUP($H$2,Table1[],Tab!A29,FALSE))</f>
        <v>#N/A</v>
      </c>
      <c r="B29" s="75" t="e">
        <f>IF(VLOOKUP($H$2,Table1[],Tab!B29,FALSE)=0,"",VLOOKUP($H$2,Table1[],Tab!B29,FALSE))</f>
        <v>#N/A</v>
      </c>
      <c r="C29" s="75" t="e">
        <f>IF(VLOOKUP($H$2,Table1[],Tab!C29,FALSE)=0,"",VLOOKUP($H$2,Table1[],Tab!C29,FALSE))</f>
        <v>#N/A</v>
      </c>
      <c r="D29" s="75" t="e">
        <f>IF(VLOOKUP($H$2,Table1[],Tab!D29,FALSE)=0,"",VLOOKUP($H$2,Table1[],Tab!D29,FALSE))</f>
        <v>#N/A</v>
      </c>
      <c r="E29" s="75" t="e">
        <f>IF(VLOOKUP($H$2,Table1[],Tab!E29,FALSE)=0,"",VLOOKUP($H$2,Table1[],Tab!E29,FALSE))</f>
        <v>#N/A</v>
      </c>
      <c r="F29" s="75" t="e">
        <f>IF(VLOOKUP($H$2,Table1[],Tab!F29,FALSE)=0,"",VLOOKUP($H$2,Table1[],Tab!F29,FALSE))</f>
        <v>#N/A</v>
      </c>
      <c r="G29" s="75" t="e">
        <f>IF(VLOOKUP($H$2,Table1[],Tab!G29,FALSE)=0,"",VLOOKUP($H$2,Table1[],Tab!G29,FALSE))</f>
        <v>#N/A</v>
      </c>
      <c r="H29" s="75" t="e">
        <f>IF(VLOOKUP($H$2,Table1[],Tab!H29,FALSE)=0,"",VLOOKUP($H$2,Table1[],Tab!H29,FALSE))</f>
        <v>#N/A</v>
      </c>
      <c r="I29" s="75" t="e">
        <f>IF(VLOOKUP($H$2,Table1[],Tab!I29,FALSE)=0,"",VLOOKUP($H$2,Table1[],Tab!I29,FALSE))</f>
        <v>#N/A</v>
      </c>
    </row>
    <row r="30" spans="1:9" ht="16.5" hidden="1">
      <c r="A30" s="5"/>
      <c r="B30" s="5"/>
      <c r="C30" s="5"/>
      <c r="D30" s="5"/>
      <c r="E30" s="5"/>
      <c r="F30" s="5"/>
      <c r="G30" s="5"/>
      <c r="H30" s="5"/>
      <c r="I30" s="5"/>
    </row>
    <row r="31" spans="1:9" ht="16.5">
      <c r="A31" s="69">
        <f>DB!V1</f>
        <v>0</v>
      </c>
      <c r="B31" s="69"/>
      <c r="C31" s="69"/>
      <c r="D31" s="69"/>
      <c r="E31" s="69"/>
      <c r="F31" s="69"/>
      <c r="G31" s="69"/>
      <c r="H31" s="71" t="s">
        <v>22</v>
      </c>
      <c r="I31" s="71"/>
    </row>
    <row r="32" spans="1:9" ht="16.5">
      <c r="A32" s="72" t="str">
        <f>_xlfn.CONCAT("Did you ",A31, " today?")</f>
        <v>Did you 0 today?</v>
      </c>
      <c r="B32" s="72"/>
      <c r="C32" s="72"/>
      <c r="D32" s="73"/>
      <c r="E32" s="10" t="e">
        <f>IF(VLOOKUP($H$2,Table1[],Tab!E32,FALSE)=0,"",VLOOKUP($H$2,Table1[],Tab!E32,FALSE))</f>
        <v>#N/A</v>
      </c>
      <c r="F32" s="72" t="s">
        <v>8</v>
      </c>
      <c r="G32" s="72"/>
      <c r="H32" s="72"/>
      <c r="I32" s="10" t="e">
        <f>IF(VLOOKUP($H$2,Table1[],Tab!I32,FALSE)=0,"",VLOOKUP($H$2,Table1[],Tab!I32,FALSE))</f>
        <v>#N/A</v>
      </c>
    </row>
    <row r="33" spans="1:9" ht="16.5">
      <c r="A33" s="74" t="s">
        <v>21</v>
      </c>
      <c r="B33" s="74"/>
      <c r="C33" s="74"/>
      <c r="D33" s="74"/>
      <c r="E33" s="39"/>
      <c r="F33" s="72" t="e">
        <f>IF(E32="Yes","How bad was it?","")</f>
        <v>#N/A</v>
      </c>
      <c r="G33" s="72"/>
      <c r="H33" s="72"/>
      <c r="I33" s="10" t="e">
        <f>IF(VLOOKUP($H$2,Table1[],Tab!I33,FALSE)=0,"",VLOOKUP($H$2,Table1[],Tab!I33,FALSE))</f>
        <v>#N/A</v>
      </c>
    </row>
    <row r="34" spans="1:9" ht="66" customHeight="1">
      <c r="A34" s="75" t="e">
        <f>IF(VLOOKUP($H$2,Table1[],Tab!A34,FALSE)=0,"",VLOOKUP($H$2,Table1[],Tab!A34,FALSE))</f>
        <v>#N/A</v>
      </c>
      <c r="B34" s="75" t="e">
        <f>IF(VLOOKUP($H$2,Table1[],Tab!B34,FALSE)=0,"",VLOOKUP($H$2,Table1[],Tab!B34,FALSE))</f>
        <v>#N/A</v>
      </c>
      <c r="C34" s="75" t="e">
        <f>IF(VLOOKUP($H$2,Table1[],Tab!C34,FALSE)=0,"",VLOOKUP($H$2,Table1[],Tab!C34,FALSE))</f>
        <v>#N/A</v>
      </c>
      <c r="D34" s="75" t="e">
        <f>IF(VLOOKUP($H$2,Table1[],Tab!D34,FALSE)=0,"",VLOOKUP($H$2,Table1[],Tab!D34,FALSE))</f>
        <v>#N/A</v>
      </c>
      <c r="E34" s="75" t="e">
        <f>IF(VLOOKUP($H$2,Table1[],Tab!E34,FALSE)=0,"",VLOOKUP($H$2,Table1[],Tab!E34,FALSE))</f>
        <v>#N/A</v>
      </c>
      <c r="F34" s="75" t="e">
        <f>IF(VLOOKUP($H$2,Table1[],Tab!F34,FALSE)=0,"",VLOOKUP($H$2,Table1[],Tab!F34,FALSE))</f>
        <v>#N/A</v>
      </c>
      <c r="G34" s="75" t="e">
        <f>IF(VLOOKUP($H$2,Table1[],Tab!G34,FALSE)=0,"",VLOOKUP($H$2,Table1[],Tab!G34,FALSE))</f>
        <v>#N/A</v>
      </c>
      <c r="H34" s="75" t="e">
        <f>IF(VLOOKUP($H$2,Table1[],Tab!H34,FALSE)=0,"",VLOOKUP($H$2,Table1[],Tab!H34,FALSE))</f>
        <v>#N/A</v>
      </c>
      <c r="I34" s="75" t="e">
        <f>IF(VLOOKUP($H$2,Table1[],Tab!I34,FALSE)=0,"",VLOOKUP($H$2,Table1[],Tab!I34,FALSE))</f>
        <v>#N/A</v>
      </c>
    </row>
    <row r="35" spans="1:9" ht="16.5">
      <c r="A35" s="5"/>
      <c r="B35" s="5"/>
      <c r="C35" s="5"/>
      <c r="D35" s="5"/>
      <c r="E35" s="5"/>
      <c r="F35" s="5"/>
      <c r="G35" s="5"/>
      <c r="H35" s="5"/>
      <c r="I35" s="5"/>
    </row>
    <row r="36" spans="1:9" ht="16.5">
      <c r="A36" s="69">
        <f>DB!Z1</f>
        <v>0</v>
      </c>
      <c r="B36" s="69"/>
      <c r="C36" s="69"/>
      <c r="D36" s="69"/>
      <c r="E36" s="69"/>
      <c r="F36" s="69"/>
      <c r="G36" s="69"/>
      <c r="H36" s="71" t="s">
        <v>22</v>
      </c>
      <c r="I36" s="71"/>
    </row>
    <row r="37" spans="1:9" ht="16.5">
      <c r="A37" s="72" t="str">
        <f>_xlfn.CONCAT("Did you ",A36, " today?")</f>
        <v>Did you 0 today?</v>
      </c>
      <c r="B37" s="72"/>
      <c r="C37" s="72"/>
      <c r="D37" s="73"/>
      <c r="E37" s="10" t="e">
        <f>IF(VLOOKUP($H$2,Table1[],Tab!E37,FALSE)=0,"",VLOOKUP($H$2,Table1[],Tab!E37,FALSE))</f>
        <v>#N/A</v>
      </c>
      <c r="F37" s="72" t="s">
        <v>8</v>
      </c>
      <c r="G37" s="72"/>
      <c r="H37" s="72"/>
      <c r="I37" s="10" t="e">
        <f>IF(VLOOKUP($H$2,Table1[],Tab!I37,FALSE)=0,"",VLOOKUP($H$2,Table1[],Tab!I37,FALSE))</f>
        <v>#N/A</v>
      </c>
    </row>
    <row r="38" spans="1:9" ht="16.5">
      <c r="A38" s="74" t="s">
        <v>21</v>
      </c>
      <c r="B38" s="74"/>
      <c r="C38" s="74"/>
      <c r="D38" s="74"/>
      <c r="E38" s="39"/>
      <c r="F38" s="72" t="e">
        <f>IF(E37="Yes","How bad was it?","")</f>
        <v>#N/A</v>
      </c>
      <c r="G38" s="72"/>
      <c r="H38" s="72"/>
      <c r="I38" s="10" t="e">
        <f>IF(VLOOKUP($H$2,Table1[],Tab!I38,FALSE)=0,"",VLOOKUP($H$2,Table1[],Tab!I38,FALSE))</f>
        <v>#N/A</v>
      </c>
    </row>
    <row r="39" spans="1:9" ht="66" customHeight="1">
      <c r="A39" s="75" t="e">
        <f>IF(VLOOKUP($H$2,Table1[],Tab!A39,FALSE)=0,"",VLOOKUP($H$2,Table1[],Tab!A39,FALSE))</f>
        <v>#N/A</v>
      </c>
      <c r="B39" s="75" t="e">
        <f>IF(VLOOKUP($H$2,Table1[],Tab!B39,FALSE)=0,"",VLOOKUP($H$2,Table1[],Tab!B39,FALSE))</f>
        <v>#N/A</v>
      </c>
      <c r="C39" s="75" t="e">
        <f>IF(VLOOKUP($H$2,Table1[],Tab!C39,FALSE)=0,"",VLOOKUP($H$2,Table1[],Tab!C39,FALSE))</f>
        <v>#N/A</v>
      </c>
      <c r="D39" s="75" t="e">
        <f>IF(VLOOKUP($H$2,Table1[],Tab!D39,FALSE)=0,"",VLOOKUP($H$2,Table1[],Tab!D39,FALSE))</f>
        <v>#N/A</v>
      </c>
      <c r="E39" s="75" t="e">
        <f>IF(VLOOKUP($H$2,Table1[],Tab!E39,FALSE)=0,"",VLOOKUP($H$2,Table1[],Tab!E39,FALSE))</f>
        <v>#N/A</v>
      </c>
      <c r="F39" s="75" t="e">
        <f>IF(VLOOKUP($H$2,Table1[],Tab!F39,FALSE)=0,"",VLOOKUP($H$2,Table1[],Tab!F39,FALSE))</f>
        <v>#N/A</v>
      </c>
      <c r="G39" s="75" t="e">
        <f>IF(VLOOKUP($H$2,Table1[],Tab!G39,FALSE)=0,"",VLOOKUP($H$2,Table1[],Tab!G39,FALSE))</f>
        <v>#N/A</v>
      </c>
      <c r="H39" s="75" t="e">
        <f>IF(VLOOKUP($H$2,Table1[],Tab!H39,FALSE)=0,"",VLOOKUP($H$2,Table1[],Tab!H39,FALSE))</f>
        <v>#N/A</v>
      </c>
      <c r="I39" s="75" t="e">
        <f>IF(VLOOKUP($H$2,Table1[],Tab!I39,FALSE)=0,"",VLOOKUP($H$2,Table1[],Tab!I39,FALSE))</f>
        <v>#N/A</v>
      </c>
    </row>
    <row r="40" spans="1:9" ht="16.5">
      <c r="A40" s="5"/>
      <c r="B40" s="5"/>
      <c r="C40" s="5"/>
      <c r="D40" s="5"/>
      <c r="E40" s="5"/>
      <c r="F40" s="5"/>
      <c r="G40" s="5"/>
      <c r="H40" s="5"/>
      <c r="I40" s="5"/>
    </row>
    <row r="41" spans="1:9" ht="16.5">
      <c r="A41" s="69">
        <f>DB!AD1</f>
        <v>0</v>
      </c>
      <c r="B41" s="69"/>
      <c r="C41" s="69"/>
      <c r="D41" s="69"/>
      <c r="E41" s="69"/>
      <c r="F41" s="69"/>
      <c r="G41" s="69"/>
      <c r="H41" s="71" t="s">
        <v>22</v>
      </c>
      <c r="I41" s="71"/>
    </row>
    <row r="42" spans="1:9" ht="16.5">
      <c r="A42" s="72" t="str">
        <f>_xlfn.CONCAT("Did you ",A41, " today?")</f>
        <v>Did you 0 today?</v>
      </c>
      <c r="B42" s="72"/>
      <c r="C42" s="72"/>
      <c r="D42" s="73"/>
      <c r="E42" s="10"/>
      <c r="F42" s="72" t="s">
        <v>8</v>
      </c>
      <c r="G42" s="72"/>
      <c r="H42" s="72"/>
      <c r="I42" s="10"/>
    </row>
    <row r="43" spans="1:9" ht="16.5">
      <c r="A43" s="74" t="s">
        <v>21</v>
      </c>
      <c r="B43" s="74"/>
      <c r="C43" s="74"/>
      <c r="D43" s="74"/>
      <c r="E43" s="39"/>
      <c r="F43" s="72" t="str">
        <f>IF(E42="Yes","How bad was it?","")</f>
        <v/>
      </c>
      <c r="G43" s="72"/>
      <c r="H43" s="72"/>
      <c r="I43" s="10"/>
    </row>
    <row r="44" spans="1:9" ht="66" customHeight="1">
      <c r="A44" s="75" t="e">
        <f>IF(VLOOKUP($H$2,Table1[],Tab!A44,FALSE)=0,"",VLOOKUP($H$2,Table1[],Tab!A44,FALSE))</f>
        <v>#N/A</v>
      </c>
      <c r="B44" s="75" t="e">
        <f>IF(VLOOKUP($H$2,Table1[],Tab!B44,FALSE)=0,"",VLOOKUP($H$2,Table1[],Tab!B44,FALSE))</f>
        <v>#N/A</v>
      </c>
      <c r="C44" s="75" t="e">
        <f>IF(VLOOKUP($H$2,Table1[],Tab!C44,FALSE)=0,"",VLOOKUP($H$2,Table1[],Tab!C44,FALSE))</f>
        <v>#N/A</v>
      </c>
      <c r="D44" s="75" t="e">
        <f>IF(VLOOKUP($H$2,Table1[],Tab!D44,FALSE)=0,"",VLOOKUP($H$2,Table1[],Tab!D44,FALSE))</f>
        <v>#N/A</v>
      </c>
      <c r="E44" s="75" t="e">
        <f>IF(VLOOKUP($H$2,Table1[],Tab!E44,FALSE)=0,"",VLOOKUP($H$2,Table1[],Tab!E44,FALSE))</f>
        <v>#N/A</v>
      </c>
      <c r="F44" s="75" t="e">
        <f>IF(VLOOKUP($H$2,Table1[],Tab!F44,FALSE)=0,"",VLOOKUP($H$2,Table1[],Tab!F44,FALSE))</f>
        <v>#N/A</v>
      </c>
      <c r="G44" s="75" t="e">
        <f>IF(VLOOKUP($H$2,Table1[],Tab!G44,FALSE)=0,"",VLOOKUP($H$2,Table1[],Tab!G44,FALSE))</f>
        <v>#N/A</v>
      </c>
      <c r="H44" s="75" t="e">
        <f>IF(VLOOKUP($H$2,Table1[],Tab!H44,FALSE)=0,"",VLOOKUP($H$2,Table1[],Tab!H44,FALSE))</f>
        <v>#N/A</v>
      </c>
      <c r="I44" s="75" t="e">
        <f>IF(VLOOKUP($H$2,Table1[],Tab!I44,FALSE)=0,"",VLOOKUP($H$2,Table1[],Tab!I44,FALSE))</f>
        <v>#N/A</v>
      </c>
    </row>
    <row r="45" spans="1:9" ht="16.5">
      <c r="A45" s="5"/>
      <c r="B45" s="5"/>
      <c r="C45" s="5"/>
      <c r="D45" s="5"/>
      <c r="E45" s="5"/>
      <c r="F45" s="5"/>
      <c r="G45" s="5"/>
      <c r="H45" s="5"/>
      <c r="I45" s="5"/>
    </row>
    <row r="46" spans="1:9" ht="16.5" hidden="1">
      <c r="A46" s="69">
        <f>DB!AH1</f>
        <v>0</v>
      </c>
      <c r="B46" s="69"/>
      <c r="C46" s="69"/>
      <c r="D46" s="69"/>
      <c r="E46" s="69"/>
      <c r="F46" s="69"/>
      <c r="G46" s="69"/>
      <c r="H46" s="71" t="s">
        <v>22</v>
      </c>
      <c r="I46" s="71"/>
    </row>
    <row r="47" spans="1:9" ht="16.5" hidden="1">
      <c r="A47" s="72" t="str">
        <f>_xlfn.CONCAT("Did you ",A46, " today?")</f>
        <v>Did you 0 today?</v>
      </c>
      <c r="B47" s="72"/>
      <c r="C47" s="72"/>
      <c r="D47" s="73"/>
      <c r="E47" s="10" t="e">
        <f>IF(VLOOKUP($H$2,Table1[],Tab!E47,FALSE)=0,"",VLOOKUP($H$2,Table1[],Tab!E47,FALSE))</f>
        <v>#N/A</v>
      </c>
      <c r="F47" s="72" t="s">
        <v>8</v>
      </c>
      <c r="G47" s="72"/>
      <c r="H47" s="72"/>
      <c r="I47" s="10" t="e">
        <f>IF(VLOOKUP($H$2,Table1[],Tab!I47,FALSE)=0,"",VLOOKUP($H$2,Table1[],Tab!I47,FALSE))</f>
        <v>#N/A</v>
      </c>
    </row>
    <row r="48" spans="1:9" ht="16.5" hidden="1">
      <c r="A48" s="74" t="s">
        <v>21</v>
      </c>
      <c r="B48" s="74"/>
      <c r="C48" s="74"/>
      <c r="D48" s="74"/>
      <c r="E48" s="39"/>
      <c r="F48" s="72" t="e">
        <f>IF(E47="Yes","How bad was it?","")</f>
        <v>#N/A</v>
      </c>
      <c r="G48" s="72"/>
      <c r="H48" s="72"/>
      <c r="I48" s="10" t="e">
        <f>IF(VLOOKUP($H$2,Table1[],Tab!I48,FALSE)=0,"",VLOOKUP($H$2,Table1[],Tab!I48,FALSE))</f>
        <v>#N/A</v>
      </c>
    </row>
    <row r="49" spans="1:9" ht="66" hidden="1" customHeight="1">
      <c r="A49" s="75" t="e">
        <f>IF(VLOOKUP($H$2,Table1[],Tab!A49,FALSE)=0,"",VLOOKUP($H$2,Table1[],Tab!A49,FALSE))</f>
        <v>#N/A</v>
      </c>
      <c r="B49" s="75" t="e">
        <f>IF(VLOOKUP($H$2,Table1[],Tab!B49,FALSE)=0,"",VLOOKUP($H$2,Table1[],Tab!B49,FALSE))</f>
        <v>#N/A</v>
      </c>
      <c r="C49" s="75" t="e">
        <f>IF(VLOOKUP($H$2,Table1[],Tab!C49,FALSE)=0,"",VLOOKUP($H$2,Table1[],Tab!C49,FALSE))</f>
        <v>#N/A</v>
      </c>
      <c r="D49" s="75" t="e">
        <f>IF(VLOOKUP($H$2,Table1[],Tab!D49,FALSE)=0,"",VLOOKUP($H$2,Table1[],Tab!D49,FALSE))</f>
        <v>#N/A</v>
      </c>
      <c r="E49" s="75" t="e">
        <f>IF(VLOOKUP($H$2,Table1[],Tab!E49,FALSE)=0,"",VLOOKUP($H$2,Table1[],Tab!E49,FALSE))</f>
        <v>#N/A</v>
      </c>
      <c r="F49" s="75" t="e">
        <f>IF(VLOOKUP($H$2,Table1[],Tab!F49,FALSE)=0,"",VLOOKUP($H$2,Table1[],Tab!F49,FALSE))</f>
        <v>#N/A</v>
      </c>
      <c r="G49" s="75" t="e">
        <f>IF(VLOOKUP($H$2,Table1[],Tab!G49,FALSE)=0,"",VLOOKUP($H$2,Table1[],Tab!G49,FALSE))</f>
        <v>#N/A</v>
      </c>
      <c r="H49" s="75" t="e">
        <f>IF(VLOOKUP($H$2,Table1[],Tab!H49,FALSE)=0,"",VLOOKUP($H$2,Table1[],Tab!H49,FALSE))</f>
        <v>#N/A</v>
      </c>
      <c r="I49" s="75" t="e">
        <f>IF(VLOOKUP($H$2,Table1[],Tab!I49,FALSE)=0,"",VLOOKUP($H$2,Table1[],Tab!I49,FALSE))</f>
        <v>#N/A</v>
      </c>
    </row>
    <row r="50" spans="1:9" ht="16.5" hidden="1">
      <c r="A50" s="5"/>
      <c r="B50" s="5"/>
      <c r="C50" s="5"/>
      <c r="D50" s="5"/>
      <c r="E50" s="5"/>
      <c r="F50" s="5"/>
      <c r="G50" s="5"/>
      <c r="H50" s="5"/>
      <c r="I50" s="5"/>
    </row>
    <row r="51" spans="1:9" ht="16.5" hidden="1">
      <c r="A51" s="69">
        <f>DB!AL1</f>
        <v>0</v>
      </c>
      <c r="B51" s="69"/>
      <c r="C51" s="69"/>
      <c r="D51" s="69"/>
      <c r="E51" s="69"/>
      <c r="F51" s="69"/>
      <c r="G51" s="69"/>
      <c r="H51" s="71" t="s">
        <v>22</v>
      </c>
      <c r="I51" s="71"/>
    </row>
    <row r="52" spans="1:9" ht="16.5" hidden="1">
      <c r="A52" s="72" t="str">
        <f>_xlfn.CONCAT("Did you ",A51, " today?")</f>
        <v>Did you 0 today?</v>
      </c>
      <c r="B52" s="72"/>
      <c r="C52" s="72"/>
      <c r="D52" s="73"/>
      <c r="E52" s="10" t="e">
        <f>IF(VLOOKUP($H$2,Table1[],Tab!E52,FALSE)=0,"",VLOOKUP($H$2,Table1[],Tab!E52,FALSE))</f>
        <v>#N/A</v>
      </c>
      <c r="F52" s="72" t="s">
        <v>8</v>
      </c>
      <c r="G52" s="72"/>
      <c r="H52" s="72"/>
      <c r="I52" s="10" t="e">
        <f>IF(VLOOKUP($H$2,Table1[],Tab!I52,FALSE)=0,"",VLOOKUP($H$2,Table1[],Tab!I52,FALSE))</f>
        <v>#N/A</v>
      </c>
    </row>
    <row r="53" spans="1:9" ht="16.5" hidden="1">
      <c r="A53" s="74" t="s">
        <v>21</v>
      </c>
      <c r="B53" s="74"/>
      <c r="C53" s="74"/>
      <c r="D53" s="74"/>
      <c r="E53" s="39"/>
      <c r="F53" s="72" t="e">
        <f>IF(E52="Yes","How bad was it?","")</f>
        <v>#N/A</v>
      </c>
      <c r="G53" s="72"/>
      <c r="H53" s="72"/>
      <c r="I53" s="10" t="e">
        <f>IF(VLOOKUP($H$2,Table1[],Tab!I53,FALSE)=0,"",VLOOKUP($H$2,Table1[],Tab!I53,FALSE))</f>
        <v>#N/A</v>
      </c>
    </row>
    <row r="54" spans="1:9" ht="66" hidden="1" customHeight="1">
      <c r="A54" s="75" t="e">
        <f>IF(VLOOKUP($H$2,Table1[],Tab!A54,FALSE)=0,"",VLOOKUP($H$2,Table1[],Tab!A54,FALSE))</f>
        <v>#N/A</v>
      </c>
      <c r="B54" s="75" t="e">
        <f>IF(VLOOKUP($H$2,Table1[],Tab!B54,FALSE)=0,"",VLOOKUP($H$2,Table1[],Tab!B54,FALSE))</f>
        <v>#N/A</v>
      </c>
      <c r="C54" s="75" t="e">
        <f>IF(VLOOKUP($H$2,Table1[],Tab!C54,FALSE)=0,"",VLOOKUP($H$2,Table1[],Tab!C54,FALSE))</f>
        <v>#N/A</v>
      </c>
      <c r="D54" s="75" t="e">
        <f>IF(VLOOKUP($H$2,Table1[],Tab!D54,FALSE)=0,"",VLOOKUP($H$2,Table1[],Tab!D54,FALSE))</f>
        <v>#N/A</v>
      </c>
      <c r="E54" s="75" t="e">
        <f>IF(VLOOKUP($H$2,Table1[],Tab!E54,FALSE)=0,"",VLOOKUP($H$2,Table1[],Tab!E54,FALSE))</f>
        <v>#N/A</v>
      </c>
      <c r="F54" s="75" t="e">
        <f>IF(VLOOKUP($H$2,Table1[],Tab!F54,FALSE)=0,"",VLOOKUP($H$2,Table1[],Tab!F54,FALSE))</f>
        <v>#N/A</v>
      </c>
      <c r="G54" s="75" t="e">
        <f>IF(VLOOKUP($H$2,Table1[],Tab!G54,FALSE)=0,"",VLOOKUP($H$2,Table1[],Tab!G54,FALSE))</f>
        <v>#N/A</v>
      </c>
      <c r="H54" s="75" t="e">
        <f>IF(VLOOKUP($H$2,Table1[],Tab!H54,FALSE)=0,"",VLOOKUP($H$2,Table1[],Tab!H54,FALSE))</f>
        <v>#N/A</v>
      </c>
      <c r="I54" s="75" t="e">
        <f>IF(VLOOKUP($H$2,Table1[],Tab!I54,FALSE)=0,"",VLOOKUP($H$2,Table1[],Tab!I54,FALSE))</f>
        <v>#N/A</v>
      </c>
    </row>
    <row r="55" spans="1:9" ht="16.5" hidden="1">
      <c r="A55" s="5"/>
      <c r="B55" s="5"/>
      <c r="C55" s="5"/>
      <c r="D55" s="5"/>
      <c r="E55" s="5"/>
      <c r="F55" s="5"/>
      <c r="G55" s="5"/>
      <c r="H55" s="5"/>
      <c r="I55" s="5"/>
    </row>
    <row r="56" spans="1:9" ht="16.5">
      <c r="A56" s="69" t="s">
        <v>23</v>
      </c>
      <c r="B56" s="69"/>
      <c r="C56" s="69"/>
      <c r="D56" s="69"/>
      <c r="E56" s="69"/>
      <c r="F56" s="69"/>
      <c r="G56" s="69"/>
      <c r="H56" s="71" t="s">
        <v>22</v>
      </c>
      <c r="I56" s="71"/>
    </row>
    <row r="57" spans="1:9" ht="16.5">
      <c r="A57" s="72" t="s">
        <v>24</v>
      </c>
      <c r="B57" s="72"/>
      <c r="C57" s="72"/>
      <c r="D57" s="73"/>
      <c r="E57" s="10" t="e">
        <f>IF(VLOOKUP($H$2,Table1[],Tab!E57,FALSE)=0,"",VLOOKUP($H$2,Table1[],Tab!E57,FALSE))</f>
        <v>#N/A</v>
      </c>
      <c r="F57" s="76" t="s">
        <v>26</v>
      </c>
      <c r="G57" s="72"/>
      <c r="H57" s="73"/>
      <c r="I57" s="10" t="e">
        <f>IF(VLOOKUP($H$2,Table1[],Tab!I57,FALSE)=0,"",VLOOKUP($H$2,Table1[],Tab!I57,FALSE))</f>
        <v>#N/A</v>
      </c>
    </row>
    <row r="58" spans="1:9" ht="16.5">
      <c r="A58" s="74" t="s">
        <v>25</v>
      </c>
      <c r="B58" s="74"/>
      <c r="C58" s="74"/>
      <c r="D58" s="74"/>
      <c r="E58" s="39"/>
      <c r="F58" s="72" t="s">
        <v>27</v>
      </c>
      <c r="G58" s="72"/>
      <c r="H58" s="72"/>
      <c r="I58" s="10" t="e">
        <f>IF(VLOOKUP($H$2,Table1[],Tab!I58,FALSE)=0,"",VLOOKUP($H$2,Table1[],Tab!I58,FALSE))</f>
        <v>#N/A</v>
      </c>
    </row>
    <row r="59" spans="1:9" ht="132" customHeight="1">
      <c r="A59" s="75" t="e">
        <f>IF(VLOOKUP($H$2,Table1[],Tab!A59,FALSE)=0,"",VLOOKUP($H$2,Table1[],Tab!A59,FALSE))</f>
        <v>#N/A</v>
      </c>
      <c r="B59" s="75" t="e">
        <f>IF(VLOOKUP($H$2,Table1[],Tab!B59,FALSE)=0,"",VLOOKUP($H$2,Table1[],Tab!B59,FALSE))</f>
        <v>#N/A</v>
      </c>
      <c r="C59" s="75" t="e">
        <f>IF(VLOOKUP($H$2,Table1[],Tab!C59,FALSE)=0,"",VLOOKUP($H$2,Table1[],Tab!C59,FALSE))</f>
        <v>#N/A</v>
      </c>
      <c r="D59" s="75" t="e">
        <f>IF(VLOOKUP($H$2,Table1[],Tab!D59,FALSE)=0,"",VLOOKUP($H$2,Table1[],Tab!D59,FALSE))</f>
        <v>#N/A</v>
      </c>
      <c r="E59" s="75" t="e">
        <f>IF(VLOOKUP($H$2,Table1[],Tab!E59,FALSE)=0,"",VLOOKUP($H$2,Table1[],Tab!E59,FALSE))</f>
        <v>#N/A</v>
      </c>
      <c r="F59" s="75" t="e">
        <f>IF(VLOOKUP($H$2,Table1[],Tab!F59,FALSE)=0,"",VLOOKUP($H$2,Table1[],Tab!F59,FALSE))</f>
        <v>#N/A</v>
      </c>
      <c r="G59" s="75" t="e">
        <f>IF(VLOOKUP($H$2,Table1[],Tab!G59,FALSE)=0,"",VLOOKUP($H$2,Table1[],Tab!G59,FALSE))</f>
        <v>#N/A</v>
      </c>
      <c r="H59" s="75" t="e">
        <f>IF(VLOOKUP($H$2,Table1[],Tab!H59,FALSE)=0,"",VLOOKUP($H$2,Table1[],Tab!H59,FALSE))</f>
        <v>#N/A</v>
      </c>
      <c r="I59" s="75" t="e">
        <f>IF(VLOOKUP($H$2,Table1[],Tab!I59,FALSE)=0,"",VLOOKUP($H$2,Table1[],Tab!I59,FALSE))</f>
        <v>#N/A</v>
      </c>
    </row>
    <row r="60" spans="1:9" hidden="1"/>
    <row r="61" spans="1:9" hidden="1"/>
    <row r="62" spans="1:9" hidden="1"/>
    <row r="63" spans="1:9" hidden="1"/>
    <row r="64" spans="1:9" hidden="1"/>
    <row r="65" hidden="1"/>
  </sheetData>
  <sheetProtection selectLockedCells="1"/>
  <mergeCells count="81">
    <mergeCell ref="A57:D57"/>
    <mergeCell ref="F57:H57"/>
    <mergeCell ref="A58:D58"/>
    <mergeCell ref="F58:H58"/>
    <mergeCell ref="A59:I59"/>
    <mergeCell ref="A56:G56"/>
    <mergeCell ref="H56:I56"/>
    <mergeCell ref="A47:D47"/>
    <mergeCell ref="F47:H47"/>
    <mergeCell ref="A48:D48"/>
    <mergeCell ref="F48:H48"/>
    <mergeCell ref="A49:I49"/>
    <mergeCell ref="A51:G51"/>
    <mergeCell ref="H51:I51"/>
    <mergeCell ref="A52:D52"/>
    <mergeCell ref="F52:H52"/>
    <mergeCell ref="A53:D53"/>
    <mergeCell ref="F53:H53"/>
    <mergeCell ref="A54:I54"/>
    <mergeCell ref="A46:G46"/>
    <mergeCell ref="H46:I46"/>
    <mergeCell ref="A37:D37"/>
    <mergeCell ref="F37:H37"/>
    <mergeCell ref="A38:D38"/>
    <mergeCell ref="F38:H38"/>
    <mergeCell ref="A39:I39"/>
    <mergeCell ref="A41:G41"/>
    <mergeCell ref="H41:I41"/>
    <mergeCell ref="A42:D42"/>
    <mergeCell ref="F42:H42"/>
    <mergeCell ref="A43:D43"/>
    <mergeCell ref="F43:H43"/>
    <mergeCell ref="A44:I44"/>
    <mergeCell ref="A36:G36"/>
    <mergeCell ref="H36:I36"/>
    <mergeCell ref="A27:D27"/>
    <mergeCell ref="F27:H27"/>
    <mergeCell ref="A28:D28"/>
    <mergeCell ref="F28:H28"/>
    <mergeCell ref="A29:I29"/>
    <mergeCell ref="A31:G31"/>
    <mergeCell ref="H31:I31"/>
    <mergeCell ref="A32:D32"/>
    <mergeCell ref="F32:H32"/>
    <mergeCell ref="A33:D33"/>
    <mergeCell ref="F33:H33"/>
    <mergeCell ref="A34:I34"/>
    <mergeCell ref="A26:G26"/>
    <mergeCell ref="H26:I26"/>
    <mergeCell ref="A17:D17"/>
    <mergeCell ref="F17:H17"/>
    <mergeCell ref="A18:D18"/>
    <mergeCell ref="F18:H18"/>
    <mergeCell ref="A19:I19"/>
    <mergeCell ref="A21:G21"/>
    <mergeCell ref="H21:I21"/>
    <mergeCell ref="A22:D22"/>
    <mergeCell ref="F22:H22"/>
    <mergeCell ref="A23:D23"/>
    <mergeCell ref="F23:H23"/>
    <mergeCell ref="A24:I24"/>
    <mergeCell ref="A16:G16"/>
    <mergeCell ref="H16:I16"/>
    <mergeCell ref="A7:D7"/>
    <mergeCell ref="F7:H7"/>
    <mergeCell ref="A8:D8"/>
    <mergeCell ref="F8:H8"/>
    <mergeCell ref="A9:I9"/>
    <mergeCell ref="A11:G11"/>
    <mergeCell ref="H11:I11"/>
    <mergeCell ref="A12:D12"/>
    <mergeCell ref="F12:H12"/>
    <mergeCell ref="A13:D13"/>
    <mergeCell ref="F13:H13"/>
    <mergeCell ref="A14:I14"/>
    <mergeCell ref="A1:I1"/>
    <mergeCell ref="A2:F2"/>
    <mergeCell ref="H2:I2"/>
    <mergeCell ref="A4:I4"/>
    <mergeCell ref="A6:G6"/>
    <mergeCell ref="H6:I6"/>
  </mergeCells>
  <dataValidations disablePrompts="1" count="1">
    <dataValidation type="list" allowBlank="1" showInputMessage="1" showErrorMessage="1" sqref="H2:I2" xr:uid="{BF05BEFC-B2C2-4DC8-83DE-C76B26A5DAB8}">
      <formula1>INDIRECT("Table1[Date of Entry]")</formula1>
    </dataValidation>
  </dataValidations>
  <pageMargins left="0.7" right="0.7" top="0.75" bottom="0.75" header="0.3" footer="0.3"/>
  <drawing r:id="rId1"/>
  <legacyDrawing r:id="rId2"/>
  <controls>
    <mc:AlternateContent xmlns:mc="http://schemas.openxmlformats.org/markup-compatibility/2006">
      <mc:Choice Requires="x14">
        <control shapeId="4100" r:id="rId3" name="CommandButton1">
          <controlPr defaultSize="0" autoLine="0" r:id="rId4">
            <anchor moveWithCells="1">
              <from>
                <xdr:col>7</xdr:col>
                <xdr:colOff>76200</xdr:colOff>
                <xdr:row>0</xdr:row>
                <xdr:rowOff>85725</xdr:rowOff>
              </from>
              <to>
                <xdr:col>8</xdr:col>
                <xdr:colOff>523875</xdr:colOff>
                <xdr:row>0</xdr:row>
                <xdr:rowOff>361950</xdr:rowOff>
              </to>
            </anchor>
          </controlPr>
        </control>
      </mc:Choice>
      <mc:Fallback>
        <control shapeId="4100" r:id="rId3"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D438FB-C510-4D62-B3A3-45F351D76E29}">
  <sheetPr codeName="Sheet9">
    <tabColor theme="4"/>
  </sheetPr>
  <dimension ref="A1:XFD104"/>
  <sheetViews>
    <sheetView zoomScale="130" zoomScaleNormal="130" workbookViewId="0">
      <selection activeCell="A19" sqref="A19:I19"/>
    </sheetView>
  </sheetViews>
  <sheetFormatPr defaultColWidth="0" defaultRowHeight="15" zeroHeight="1"/>
  <cols>
    <col min="1" max="1" width="14.5703125" customWidth="1"/>
    <col min="2" max="32" width="6" customWidth="1"/>
    <col min="33" max="16384" width="5.42578125" hidden="1"/>
  </cols>
  <sheetData>
    <row r="1" spans="1:16384" s="1" customFormat="1" ht="11.45" customHeight="1">
      <c r="A1" s="58" t="s">
        <v>82</v>
      </c>
      <c r="B1" s="58"/>
      <c r="C1" s="58"/>
      <c r="D1" s="58"/>
      <c r="E1" s="58"/>
      <c r="F1" s="58"/>
      <c r="G1" s="58"/>
      <c r="H1" s="58"/>
      <c r="I1" s="21"/>
      <c r="J1" s="30" t="s">
        <v>83</v>
      </c>
      <c r="K1" s="77">
        <v>2020</v>
      </c>
      <c r="L1" s="78"/>
      <c r="AC1" s="35"/>
      <c r="AD1" s="36"/>
      <c r="AE1" s="31" t="s">
        <v>9</v>
      </c>
      <c r="AF1" s="31" t="s">
        <v>30</v>
      </c>
    </row>
    <row r="2" spans="1:16384" s="1" customFormat="1" ht="11.45" customHeight="1">
      <c r="A2" s="58"/>
      <c r="B2" s="58"/>
      <c r="C2" s="58"/>
      <c r="D2" s="58"/>
      <c r="E2" s="58"/>
      <c r="F2" s="58"/>
      <c r="G2" s="58"/>
      <c r="H2" s="58"/>
      <c r="I2" s="21"/>
      <c r="J2" s="30" t="s">
        <v>72</v>
      </c>
      <c r="K2" s="77">
        <v>3</v>
      </c>
      <c r="L2" s="78"/>
      <c r="AC2" s="79" t="s">
        <v>86</v>
      </c>
      <c r="AD2" s="79"/>
      <c r="AE2" s="29"/>
      <c r="AF2" s="32"/>
    </row>
    <row r="3" spans="1:16384" s="1" customFormat="1" ht="11.45" customHeight="1">
      <c r="A3" s="58"/>
      <c r="B3" s="58"/>
      <c r="C3" s="58"/>
      <c r="D3" s="58"/>
      <c r="E3" s="58"/>
      <c r="F3" s="58"/>
      <c r="G3" s="58"/>
      <c r="H3" s="58"/>
      <c r="I3" s="21"/>
      <c r="J3" s="30" t="s">
        <v>84</v>
      </c>
      <c r="K3" s="77" t="s">
        <v>30</v>
      </c>
      <c r="L3" s="78"/>
      <c r="AC3" s="79" t="s">
        <v>87</v>
      </c>
      <c r="AD3" s="79"/>
      <c r="AE3" s="33"/>
      <c r="AF3" s="34"/>
    </row>
    <row r="4" spans="1:16384" ht="28.5">
      <c r="A4" s="42" t="s">
        <v>89</v>
      </c>
      <c r="B4" s="42">
        <v>1</v>
      </c>
      <c r="C4" s="42">
        <v>2</v>
      </c>
      <c r="D4" s="42">
        <v>3</v>
      </c>
      <c r="E4" s="42">
        <v>4</v>
      </c>
      <c r="F4" s="42">
        <v>5</v>
      </c>
      <c r="G4" s="42">
        <v>6</v>
      </c>
      <c r="H4" s="42">
        <v>7</v>
      </c>
      <c r="I4" s="42">
        <v>8</v>
      </c>
      <c r="J4" s="42">
        <v>9</v>
      </c>
      <c r="K4" s="42">
        <v>10</v>
      </c>
      <c r="L4" s="42">
        <v>11</v>
      </c>
      <c r="M4" s="42">
        <v>12</v>
      </c>
      <c r="N4" s="42">
        <v>13</v>
      </c>
      <c r="O4" s="42">
        <v>14</v>
      </c>
      <c r="P4" s="42">
        <v>15</v>
      </c>
      <c r="Q4" s="42">
        <v>16</v>
      </c>
      <c r="R4" s="42">
        <v>17</v>
      </c>
      <c r="S4" s="42">
        <v>18</v>
      </c>
      <c r="T4" s="42">
        <v>19</v>
      </c>
      <c r="U4" s="42">
        <v>20</v>
      </c>
      <c r="V4" s="42">
        <v>21</v>
      </c>
      <c r="W4" s="42">
        <v>22</v>
      </c>
      <c r="X4" s="42">
        <v>23</v>
      </c>
      <c r="Y4" s="42">
        <v>24</v>
      </c>
      <c r="Z4" s="42">
        <v>25</v>
      </c>
      <c r="AA4" s="42">
        <v>26</v>
      </c>
      <c r="AB4" s="42">
        <v>27</v>
      </c>
      <c r="AC4" s="42">
        <v>28</v>
      </c>
      <c r="AD4" s="42">
        <v>29</v>
      </c>
      <c r="AE4" s="42">
        <v>30</v>
      </c>
      <c r="AF4" s="42">
        <v>31</v>
      </c>
    </row>
    <row r="5" spans="1:16384" ht="17.25" customHeight="1">
      <c r="A5" s="43" t="s">
        <v>85</v>
      </c>
      <c r="B5" s="43" t="str">
        <f t="shared" ref="B5:AF5" si="0">VLOOKUP(WEEKDAY(DATE($K$1,$K$2,B4)),weekdays,2,FALSE)</f>
        <v>Sun</v>
      </c>
      <c r="C5" s="43" t="str">
        <f t="shared" si="0"/>
        <v>Mon</v>
      </c>
      <c r="D5" s="43" t="str">
        <f t="shared" si="0"/>
        <v>Tue</v>
      </c>
      <c r="E5" s="43" t="str">
        <f t="shared" si="0"/>
        <v>Wed</v>
      </c>
      <c r="F5" s="43" t="str">
        <f t="shared" si="0"/>
        <v>Thu</v>
      </c>
      <c r="G5" s="43" t="str">
        <f t="shared" si="0"/>
        <v>Fri</v>
      </c>
      <c r="H5" s="43" t="str">
        <f t="shared" si="0"/>
        <v>Sat</v>
      </c>
      <c r="I5" s="43" t="str">
        <f t="shared" si="0"/>
        <v>Sun</v>
      </c>
      <c r="J5" s="43" t="str">
        <f t="shared" si="0"/>
        <v>Mon</v>
      </c>
      <c r="K5" s="43" t="str">
        <f t="shared" si="0"/>
        <v>Tue</v>
      </c>
      <c r="L5" s="43" t="str">
        <f t="shared" si="0"/>
        <v>Wed</v>
      </c>
      <c r="M5" s="43" t="str">
        <f t="shared" si="0"/>
        <v>Thu</v>
      </c>
      <c r="N5" s="43" t="str">
        <f t="shared" si="0"/>
        <v>Fri</v>
      </c>
      <c r="O5" s="43" t="str">
        <f t="shared" si="0"/>
        <v>Sat</v>
      </c>
      <c r="P5" s="43" t="str">
        <f t="shared" si="0"/>
        <v>Sun</v>
      </c>
      <c r="Q5" s="43" t="str">
        <f t="shared" si="0"/>
        <v>Mon</v>
      </c>
      <c r="R5" s="43" t="str">
        <f t="shared" si="0"/>
        <v>Tue</v>
      </c>
      <c r="S5" s="43" t="str">
        <f t="shared" si="0"/>
        <v>Wed</v>
      </c>
      <c r="T5" s="43" t="str">
        <f t="shared" si="0"/>
        <v>Thu</v>
      </c>
      <c r="U5" s="43" t="str">
        <f t="shared" si="0"/>
        <v>Fri</v>
      </c>
      <c r="V5" s="43" t="str">
        <f t="shared" si="0"/>
        <v>Sat</v>
      </c>
      <c r="W5" s="43" t="str">
        <f t="shared" si="0"/>
        <v>Sun</v>
      </c>
      <c r="X5" s="43" t="str">
        <f t="shared" si="0"/>
        <v>Mon</v>
      </c>
      <c r="Y5" s="43" t="str">
        <f t="shared" si="0"/>
        <v>Tue</v>
      </c>
      <c r="Z5" s="43" t="str">
        <f t="shared" si="0"/>
        <v>Wed</v>
      </c>
      <c r="AA5" s="43" t="str">
        <f t="shared" si="0"/>
        <v>Thu</v>
      </c>
      <c r="AB5" s="43" t="str">
        <f t="shared" si="0"/>
        <v>Fri</v>
      </c>
      <c r="AC5" s="43" t="str">
        <f t="shared" si="0"/>
        <v>Sat</v>
      </c>
      <c r="AD5" s="43" t="str">
        <f t="shared" si="0"/>
        <v>Sun</v>
      </c>
      <c r="AE5" s="43" t="str">
        <f t="shared" si="0"/>
        <v>Mon</v>
      </c>
      <c r="AF5" s="43" t="str">
        <f t="shared" si="0"/>
        <v>Tue</v>
      </c>
    </row>
    <row r="6" spans="1:16384">
      <c r="A6" s="26">
        <f>DB!B1</f>
        <v>0</v>
      </c>
      <c r="B6" s="28" t="str">
        <f>IFERROR(IF($K$3="Yes",VLOOKUP(DATE($K$1,$K$2,B$4),Table1[],(MATCH(Calendar!$A6,DB!$1:$1,0)+2),FALSE),VLOOKUP(DATE($K$1,$K$2,B$4),Table1[],(MATCH(Calendar!$A6,DB!$1:$1,0)),FALSE)),"")</f>
        <v/>
      </c>
      <c r="C6" s="28" t="str">
        <f>IFERROR(IF($K$3="Yes",VLOOKUP(DATE($K$1,$K$2,C$4),Table1[],(MATCH(Calendar!$A6,DB!$1:$1,0)+2),FALSE),VLOOKUP(DATE($K$1,$K$2,C$4),Table1[],(MATCH(Calendar!$A6,DB!$1:$1,0)),FALSE)),"")</f>
        <v/>
      </c>
      <c r="D6" s="28" t="str">
        <f>IFERROR(IF($K$3="Yes",VLOOKUP(DATE($K$1,$K$2,D$4),Table1[],(MATCH(Calendar!$A6,DB!$1:$1,0)+2),FALSE),VLOOKUP(DATE($K$1,$K$2,D$4),Table1[],(MATCH(Calendar!$A6,DB!$1:$1,0)),FALSE)),"")</f>
        <v/>
      </c>
      <c r="E6" s="28" t="str">
        <f>IFERROR(IF($K$3="Yes",VLOOKUP(DATE($K$1,$K$2,E$4),Table1[],(MATCH(Calendar!$A6,DB!$1:$1,0)+2),FALSE),VLOOKUP(DATE($K$1,$K$2,E$4),Table1[],(MATCH(Calendar!$A6,DB!$1:$1,0)),FALSE)),"")</f>
        <v/>
      </c>
      <c r="F6" s="28" t="str">
        <f>IFERROR(IF($K$3="Yes",VLOOKUP(DATE($K$1,$K$2,F$4),Table1[],(MATCH(Calendar!$A6,DB!$1:$1,0)+2),FALSE),VLOOKUP(DATE($K$1,$K$2,F$4),Table1[],(MATCH(Calendar!$A6,DB!$1:$1,0)),FALSE)),"")</f>
        <v/>
      </c>
      <c r="G6" s="28" t="str">
        <f>IFERROR(IF($K$3="Yes",VLOOKUP(DATE($K$1,$K$2,G$4),Table1[],(MATCH(Calendar!$A6,DB!$1:$1,0)+2),FALSE),VLOOKUP(DATE($K$1,$K$2,G$4),Table1[],(MATCH(Calendar!$A6,DB!$1:$1,0)),FALSE)),"")</f>
        <v/>
      </c>
      <c r="H6" s="28" t="str">
        <f>IFERROR(IF($K$3="Yes",VLOOKUP(DATE($K$1,$K$2,H$4),Table1[],(MATCH(Calendar!$A6,DB!$1:$1,0)+2),FALSE),VLOOKUP(DATE($K$1,$K$2,H$4),Table1[],(MATCH(Calendar!$A6,DB!$1:$1,0)),FALSE)),"")</f>
        <v/>
      </c>
      <c r="I6" s="28" t="str">
        <f>IFERROR(IF($K$3="Yes",VLOOKUP(DATE($K$1,$K$2,I$4),Table1[],(MATCH(Calendar!$A6,DB!$1:$1,0)+2),FALSE),VLOOKUP(DATE($K$1,$K$2,I$4),Table1[],(MATCH(Calendar!$A6,DB!$1:$1,0)),FALSE)),"")</f>
        <v/>
      </c>
      <c r="J6" s="28" t="str">
        <f>IFERROR(IF($K$3="Yes",VLOOKUP(DATE($K$1,$K$2,J$4),Table1[],(MATCH(Calendar!$A6,DB!$1:$1,0)+2),FALSE),VLOOKUP(DATE($K$1,$K$2,J$4),Table1[],(MATCH(Calendar!$A6,DB!$1:$1,0)),FALSE)),"")</f>
        <v/>
      </c>
      <c r="K6" s="28" t="str">
        <f>IFERROR(IF($K$3="Yes",VLOOKUP(DATE($K$1,$K$2,K$4),Table1[],(MATCH(Calendar!$A6,DB!$1:$1,0)+2),FALSE),VLOOKUP(DATE($K$1,$K$2,K$4),Table1[],(MATCH(Calendar!$A6,DB!$1:$1,0)),FALSE)),"")</f>
        <v/>
      </c>
      <c r="L6" s="28" t="str">
        <f>IFERROR(IF($K$3="Yes",VLOOKUP(DATE($K$1,$K$2,L$4),Table1[],(MATCH(Calendar!$A6,DB!$1:$1,0)+2),FALSE),VLOOKUP(DATE($K$1,$K$2,L$4),Table1[],(MATCH(Calendar!$A6,DB!$1:$1,0)),FALSE)),"")</f>
        <v/>
      </c>
      <c r="M6" s="28" t="str">
        <f>IFERROR(IF($K$3="Yes",VLOOKUP(DATE($K$1,$K$2,M$4),Table1[],(MATCH(Calendar!$A6,DB!$1:$1,0)+2),FALSE),VLOOKUP(DATE($K$1,$K$2,M$4),Table1[],(MATCH(Calendar!$A6,DB!$1:$1,0)),FALSE)),"")</f>
        <v/>
      </c>
      <c r="N6" s="28" t="str">
        <f>IFERROR(IF($K$3="Yes",VLOOKUP(DATE($K$1,$K$2,N$4),Table1[],(MATCH(Calendar!$A6,DB!$1:$1,0)+2),FALSE),VLOOKUP(DATE($K$1,$K$2,N$4),Table1[],(MATCH(Calendar!$A6,DB!$1:$1,0)),FALSE)),"")</f>
        <v/>
      </c>
      <c r="O6" s="28" t="str">
        <f>IFERROR(IF($K$3="Yes",VLOOKUP(DATE($K$1,$K$2,O$4),Table1[],(MATCH(Calendar!$A6,DB!$1:$1,0)+2),FALSE),VLOOKUP(DATE($K$1,$K$2,O$4),Table1[],(MATCH(Calendar!$A6,DB!$1:$1,0)),FALSE)),"")</f>
        <v/>
      </c>
      <c r="P6" s="28" t="str">
        <f>IFERROR(IF($K$3="Yes",VLOOKUP(DATE($K$1,$K$2,P$4),Table1[],(MATCH(Calendar!$A6,DB!$1:$1,0)+2),FALSE),VLOOKUP(DATE($K$1,$K$2,P$4),Table1[],(MATCH(Calendar!$A6,DB!$1:$1,0)),FALSE)),"")</f>
        <v/>
      </c>
      <c r="Q6" s="28" t="str">
        <f>IFERROR(IF($K$3="Yes",VLOOKUP(DATE($K$1,$K$2,Q$4),Table1[],(MATCH(Calendar!$A6,DB!$1:$1,0)+2),FALSE),VLOOKUP(DATE($K$1,$K$2,Q$4),Table1[],(MATCH(Calendar!$A6,DB!$1:$1,0)),FALSE)),"")</f>
        <v/>
      </c>
      <c r="R6" s="28" t="str">
        <f>IFERROR(IF($K$3="Yes",VLOOKUP(DATE($K$1,$K$2,R$4),Table1[],(MATCH(Calendar!$A6,DB!$1:$1,0)+2),FALSE),VLOOKUP(DATE($K$1,$K$2,R$4),Table1[],(MATCH(Calendar!$A6,DB!$1:$1,0)),FALSE)),"")</f>
        <v/>
      </c>
      <c r="S6" s="28" t="str">
        <f>IFERROR(IF($K$3="Yes",VLOOKUP(DATE($K$1,$K$2,S$4),Table1[],(MATCH(Calendar!$A6,DB!$1:$1,0)+2),FALSE),VLOOKUP(DATE($K$1,$K$2,S$4),Table1[],(MATCH(Calendar!$A6,DB!$1:$1,0)),FALSE)),"")</f>
        <v/>
      </c>
      <c r="T6" s="28" t="str">
        <f>IFERROR(IF($K$3="Yes",VLOOKUP(DATE($K$1,$K$2,T$4),Table1[],(MATCH(Calendar!$A6,DB!$1:$1,0)+2),FALSE),VLOOKUP(DATE($K$1,$K$2,T$4),Table1[],(MATCH(Calendar!$A6,DB!$1:$1,0)),FALSE)),"")</f>
        <v/>
      </c>
      <c r="U6" s="28" t="str">
        <f>IFERROR(IF($K$3="Yes",VLOOKUP(DATE($K$1,$K$2,U$4),Table1[],(MATCH(Calendar!$A6,DB!$1:$1,0)+2),FALSE),VLOOKUP(DATE($K$1,$K$2,U$4),Table1[],(MATCH(Calendar!$A6,DB!$1:$1,0)),FALSE)),"")</f>
        <v/>
      </c>
      <c r="V6" s="28" t="str">
        <f>IFERROR(IF($K$3="Yes",VLOOKUP(DATE($K$1,$K$2,V$4),Table1[],(MATCH(Calendar!$A6,DB!$1:$1,0)+2),FALSE),VLOOKUP(DATE($K$1,$K$2,V$4),Table1[],(MATCH(Calendar!$A6,DB!$1:$1,0)),FALSE)),"")</f>
        <v/>
      </c>
      <c r="W6" s="28" t="str">
        <f>IFERROR(IF($K$3="Yes",VLOOKUP(DATE($K$1,$K$2,W$4),Table1[],(MATCH(Calendar!$A6,DB!$1:$1,0)+2),FALSE),VLOOKUP(DATE($K$1,$K$2,W$4),Table1[],(MATCH(Calendar!$A6,DB!$1:$1,0)),FALSE)),"")</f>
        <v/>
      </c>
      <c r="X6" s="28" t="str">
        <f>IFERROR(IF($K$3="Yes",VLOOKUP(DATE($K$1,$K$2,X$4),Table1[],(MATCH(Calendar!$A6,DB!$1:$1,0)+2),FALSE),VLOOKUP(DATE($K$1,$K$2,X$4),Table1[],(MATCH(Calendar!$A6,DB!$1:$1,0)),FALSE)),"")</f>
        <v/>
      </c>
      <c r="Y6" s="28" t="str">
        <f>IFERROR(IF($K$3="Yes",VLOOKUP(DATE($K$1,$K$2,Y$4),Table1[],(MATCH(Calendar!$A6,DB!$1:$1,0)+2),FALSE),VLOOKUP(DATE($K$1,$K$2,Y$4),Table1[],(MATCH(Calendar!$A6,DB!$1:$1,0)),FALSE)),"")</f>
        <v/>
      </c>
      <c r="Z6" s="28" t="str">
        <f>IFERROR(IF($K$3="Yes",VLOOKUP(DATE($K$1,$K$2,Z$4),Table1[],(MATCH(Calendar!$A6,DB!$1:$1,0)+2),FALSE),VLOOKUP(DATE($K$1,$K$2,Z$4),Table1[],(MATCH(Calendar!$A6,DB!$1:$1,0)),FALSE)),"")</f>
        <v/>
      </c>
      <c r="AA6" s="28" t="str">
        <f>IFERROR(IF($K$3="Yes",VLOOKUP(DATE($K$1,$K$2,AA$4),Table1[],(MATCH(Calendar!$A6,DB!$1:$1,0)+2),FALSE),VLOOKUP(DATE($K$1,$K$2,AA$4),Table1[],(MATCH(Calendar!$A6,DB!$1:$1,0)),FALSE)),"")</f>
        <v/>
      </c>
      <c r="AB6" s="28" t="str">
        <f>IFERROR(IF($K$3="Yes",VLOOKUP(DATE($K$1,$K$2,AB$4),Table1[],(MATCH(Calendar!$A6,DB!$1:$1,0)+2),FALSE),VLOOKUP(DATE($K$1,$K$2,AB$4),Table1[],(MATCH(Calendar!$A6,DB!$1:$1,0)),FALSE)),"")</f>
        <v/>
      </c>
      <c r="AC6" s="28" t="str">
        <f>IFERROR(IF($K$3="Yes",VLOOKUP(DATE($K$1,$K$2,AC$4),Table1[],(MATCH(Calendar!$A6,DB!$1:$1,0)+2),FALSE),VLOOKUP(DATE($K$1,$K$2,AC$4),Table1[],(MATCH(Calendar!$A6,DB!$1:$1,0)),FALSE)),"")</f>
        <v/>
      </c>
      <c r="AD6" s="28" t="str">
        <f>IFERROR(IF($K$3="Yes",VLOOKUP(DATE($K$1,$K$2,AD$4),Table1[],(MATCH(Calendar!$A6,DB!$1:$1,0)+2),FALSE),VLOOKUP(DATE($K$1,$K$2,AD$4),Table1[],(MATCH(Calendar!$A6,DB!$1:$1,0)),FALSE)),"")</f>
        <v/>
      </c>
      <c r="AE6" s="28" t="str">
        <f>IFERROR(IF($K$3="Yes",VLOOKUP(DATE($K$1,$K$2,AE$4),Table1[],(MATCH(Calendar!$A6,DB!$1:$1,0)+2),FALSE),VLOOKUP(DATE($K$1,$K$2,AE$4),Table1[],(MATCH(Calendar!$A6,DB!$1:$1,0)),FALSE)),"")</f>
        <v/>
      </c>
      <c r="AF6" s="28" t="str">
        <f>IFERROR(IF($K$3="Yes",VLOOKUP(DATE($K$1,$K$2,AF$4),Table1[],(MATCH(Calendar!$A6,DB!$1:$1,0)+2),FALSE),VLOOKUP(DATE($K$1,$K$2,AF$4),Table1[],(MATCH(Calendar!$A6,DB!$1:$1,0)),FALSE)),"")</f>
        <v/>
      </c>
      <c r="AG6" s="27" t="str">
        <f>IFERROR(VLOOKUP(DATE($K$1,$K$2,AG$4),Table1[],(MATCH(Calendar!$A6,DB!1:1,0)+2),FALSE),"")</f>
        <v/>
      </c>
      <c r="AH6" s="27" t="str">
        <f>IFERROR(VLOOKUP(DATE($K$1,$K$2,AH$4),Table1[],(MATCH(Calendar!$A6,DB!1:1,0)+2),FALSE),"")</f>
        <v/>
      </c>
      <c r="AI6" s="27" t="str">
        <f>IFERROR(VLOOKUP(DATE($K$1,$K$2,AI$4),Table1[],(MATCH(Calendar!$A6,DB!1:1,0)+2),FALSE),"")</f>
        <v/>
      </c>
      <c r="AJ6" s="27" t="str">
        <f>IFERROR(VLOOKUP(DATE($K$1,$K$2,AJ$4),Table1[],(MATCH(Calendar!$A6,DB!1:1,0)+2),FALSE),"")</f>
        <v/>
      </c>
      <c r="AK6" s="27" t="str">
        <f>IFERROR(VLOOKUP(DATE($K$1,$K$2,AK$4),Table1[],(MATCH(Calendar!$A6,DB!1:1,0)+2),FALSE),"")</f>
        <v/>
      </c>
      <c r="AL6" s="27" t="str">
        <f>IFERROR(VLOOKUP(DATE($K$1,$K$2,AL$4),Table1[],(MATCH(Calendar!$A6,DB!1:1,0)+2),FALSE),"")</f>
        <v/>
      </c>
      <c r="AM6" s="27" t="str">
        <f>IFERROR(VLOOKUP(DATE($K$1,$K$2,AM$4),Table1[],(MATCH(Calendar!$A6,DB!1:1,0)+2),FALSE),"")</f>
        <v/>
      </c>
      <c r="AN6" s="27" t="str">
        <f>IFERROR(VLOOKUP(DATE($K$1,$K$2,AN$4),Table1[],(MATCH(Calendar!$A6,DB!1:1,0)+2),FALSE),"")</f>
        <v/>
      </c>
      <c r="AO6" s="27" t="str">
        <f>IFERROR(VLOOKUP(DATE($K$1,$K$2,AO$4),Table1[],(MATCH(Calendar!$A6,DB!1:1,0)+2),FALSE),"")</f>
        <v/>
      </c>
      <c r="AP6" s="27" t="str">
        <f>IFERROR(VLOOKUP(DATE($K$1,$K$2,AP$4),Table1[],(MATCH(Calendar!$A6,DB!1:1,0)+2),FALSE),"")</f>
        <v/>
      </c>
      <c r="AQ6" s="27" t="str">
        <f>IFERROR(VLOOKUP(DATE($K$1,$K$2,AQ$4),Table1[],(MATCH(Calendar!$A6,DB!1:1,0)+2),FALSE),"")</f>
        <v/>
      </c>
      <c r="AR6" s="27" t="str">
        <f>IFERROR(VLOOKUP(DATE($K$1,$K$2,AR$4),Table1[],(MATCH(Calendar!$A6,DB!1:1,0)+2),FALSE),"")</f>
        <v/>
      </c>
      <c r="AS6" s="27" t="str">
        <f>IFERROR(VLOOKUP(DATE($K$1,$K$2,AS$4),Table1[],(MATCH(Calendar!$A6,DB!1:1,0)+2),FALSE),"")</f>
        <v/>
      </c>
      <c r="AT6" s="27" t="str">
        <f>IFERROR(VLOOKUP(DATE($K$1,$K$2,AT$4),Table1[],(MATCH(Calendar!$A6,DB!1:1,0)+2),FALSE),"")</f>
        <v/>
      </c>
      <c r="AU6" s="27" t="str">
        <f>IFERROR(VLOOKUP(DATE($K$1,$K$2,AU$4),Table1[],(MATCH(Calendar!$A6,DB!1:1,0)+2),FALSE),"")</f>
        <v/>
      </c>
      <c r="AV6" s="27" t="str">
        <f>IFERROR(VLOOKUP(DATE($K$1,$K$2,AV$4),Table1[],(MATCH(Calendar!$A6,DB!1:1,0)+2),FALSE),"")</f>
        <v/>
      </c>
      <c r="AW6" s="27" t="str">
        <f>IFERROR(VLOOKUP(DATE($K$1,$K$2,AW$4),Table1[],(MATCH(Calendar!$A6,DB!1:1,0)+2),FALSE),"")</f>
        <v/>
      </c>
      <c r="AX6" s="27" t="str">
        <f>IFERROR(VLOOKUP(DATE($K$1,$K$2,AX$4),Table1[],(MATCH(Calendar!$A6,DB!1:1,0)+2),FALSE),"")</f>
        <v/>
      </c>
      <c r="AY6" s="27" t="str">
        <f>IFERROR(VLOOKUP(DATE($K$1,$K$2,AY$4),Table1[],(MATCH(Calendar!$A6,DB!1:1,0)+2),FALSE),"")</f>
        <v/>
      </c>
      <c r="AZ6" s="27" t="str">
        <f>IFERROR(VLOOKUP(DATE($K$1,$K$2,AZ$4),Table1[],(MATCH(Calendar!$A6,DB!1:1,0)+2),FALSE),"")</f>
        <v/>
      </c>
      <c r="BA6" s="27" t="str">
        <f>IFERROR(VLOOKUP(DATE($K$1,$K$2,BA$4),Table1[],(MATCH(Calendar!$A6,DB!1:1,0)+2),FALSE),"")</f>
        <v/>
      </c>
      <c r="BB6" s="27" t="str">
        <f>IFERROR(VLOOKUP(DATE($K$1,$K$2,BB$4),Table1[],(MATCH(Calendar!$A6,DB!1:1,0)+2),FALSE),"")</f>
        <v/>
      </c>
      <c r="BC6" s="27" t="str">
        <f>IFERROR(VLOOKUP(DATE($K$1,$K$2,BC$4),Table1[],(MATCH(Calendar!$A6,DB!1:1,0)+2),FALSE),"")</f>
        <v/>
      </c>
      <c r="BD6" s="27" t="str">
        <f>IFERROR(VLOOKUP(DATE($K$1,$K$2,BD$4),Table1[],(MATCH(Calendar!$A6,DB!1:1,0)+2),FALSE),"")</f>
        <v/>
      </c>
      <c r="BE6" s="27" t="str">
        <f>IFERROR(VLOOKUP(DATE($K$1,$K$2,BE$4),Table1[],(MATCH(Calendar!$A6,DB!1:1,0)+2),FALSE),"")</f>
        <v/>
      </c>
      <c r="BF6" s="27" t="str">
        <f>IFERROR(VLOOKUP(DATE($K$1,$K$2,BF$4),Table1[],(MATCH(Calendar!$A6,DB!1:1,0)+2),FALSE),"")</f>
        <v/>
      </c>
      <c r="BG6" s="27" t="str">
        <f>IFERROR(VLOOKUP(DATE($K$1,$K$2,BG$4),Table1[],(MATCH(Calendar!$A6,DB!1:1,0)+2),FALSE),"")</f>
        <v/>
      </c>
      <c r="BH6" s="27" t="str">
        <f>IFERROR(VLOOKUP(DATE($K$1,$K$2,BH$4),Table1[],(MATCH(Calendar!$A6,DB!1:1,0)+2),FALSE),"")</f>
        <v/>
      </c>
      <c r="BI6" s="27" t="str">
        <f>IFERROR(VLOOKUP(DATE($K$1,$K$2,BI$4),Table1[],(MATCH(Calendar!$A6,DB!1:1,0)+2),FALSE),"")</f>
        <v/>
      </c>
      <c r="BJ6" s="27" t="str">
        <f>IFERROR(VLOOKUP(DATE($K$1,$K$2,BJ$4),Table1[],(MATCH(Calendar!$A6,DB!1:1,0)+2),FALSE),"")</f>
        <v/>
      </c>
      <c r="BK6" s="27" t="str">
        <f>IFERROR(VLOOKUP(DATE($K$1,$K$2,BK$4),Table1[],(MATCH(Calendar!$A6,DB!1:1,0)+2),FALSE),"")</f>
        <v/>
      </c>
      <c r="BL6" s="27" t="str">
        <f>IFERROR(VLOOKUP(DATE($K$1,$K$2,BL$4),Table1[],(MATCH(Calendar!$A6,DB!1:1,0)+2),FALSE),"")</f>
        <v/>
      </c>
      <c r="BM6" s="27" t="str">
        <f>IFERROR(VLOOKUP(DATE($K$1,$K$2,BM$4),Table1[],(MATCH(Calendar!$A6,DB!1:1,0)+2),FALSE),"")</f>
        <v/>
      </c>
      <c r="BN6" s="27" t="str">
        <f>IFERROR(VLOOKUP(DATE($K$1,$K$2,BN$4),Table1[],(MATCH(Calendar!$A6,DB!1:1,0)+2),FALSE),"")</f>
        <v/>
      </c>
      <c r="BO6" s="27" t="str">
        <f>IFERROR(VLOOKUP(DATE($K$1,$K$2,BO$4),Table1[],(MATCH(Calendar!$A6,DB!1:1,0)+2),FALSE),"")</f>
        <v/>
      </c>
      <c r="BP6" s="27" t="str">
        <f>IFERROR(VLOOKUP(DATE($K$1,$K$2,BP$4),Table1[],(MATCH(Calendar!$A6,DB!1:1,0)+2),FALSE),"")</f>
        <v/>
      </c>
      <c r="BQ6" s="27" t="str">
        <f>IFERROR(VLOOKUP(DATE($K$1,$K$2,BQ$4),Table1[],(MATCH(Calendar!$A6,DB!1:1,0)+2),FALSE),"")</f>
        <v/>
      </c>
      <c r="BR6" s="27" t="str">
        <f>IFERROR(VLOOKUP(DATE($K$1,$K$2,BR$4),Table1[],(MATCH(Calendar!$A6,DB!1:1,0)+2),FALSE),"")</f>
        <v/>
      </c>
      <c r="BS6" s="27" t="str">
        <f>IFERROR(VLOOKUP(DATE($K$1,$K$2,BS$4),Table1[],(MATCH(Calendar!$A6,DB!1:1,0)+2),FALSE),"")</f>
        <v/>
      </c>
      <c r="BT6" s="27" t="str">
        <f>IFERROR(VLOOKUP(DATE($K$1,$K$2,BT$4),Table1[],(MATCH(Calendar!$A6,DB!1:1,0)+2),FALSE),"")</f>
        <v/>
      </c>
      <c r="BU6" s="27" t="str">
        <f>IFERROR(VLOOKUP(DATE($K$1,$K$2,BU$4),Table1[],(MATCH(Calendar!$A6,DB!1:1,0)+2),FALSE),"")</f>
        <v/>
      </c>
      <c r="BV6" s="27" t="str">
        <f>IFERROR(VLOOKUP(DATE($K$1,$K$2,BV$4),Table1[],(MATCH(Calendar!$A6,DB!1:1,0)+2),FALSE),"")</f>
        <v/>
      </c>
      <c r="BW6" s="27" t="str">
        <f>IFERROR(VLOOKUP(DATE($K$1,$K$2,BW$4),Table1[],(MATCH(Calendar!$A6,DB!1:1,0)+2),FALSE),"")</f>
        <v/>
      </c>
      <c r="BX6" s="27" t="str">
        <f>IFERROR(VLOOKUP(DATE($K$1,$K$2,BX$4),Table1[],(MATCH(Calendar!$A6,DB!1:1,0)+2),FALSE),"")</f>
        <v/>
      </c>
      <c r="BY6" s="27" t="str">
        <f>IFERROR(VLOOKUP(DATE($K$1,$K$2,BY$4),Table1[],(MATCH(Calendar!$A6,DB!1:1,0)+2),FALSE),"")</f>
        <v/>
      </c>
      <c r="BZ6" s="27" t="str">
        <f>IFERROR(VLOOKUP(DATE($K$1,$K$2,BZ$4),Table1[],(MATCH(Calendar!$A6,DB!1:1,0)+2),FALSE),"")</f>
        <v/>
      </c>
      <c r="CA6" s="27" t="str">
        <f>IFERROR(VLOOKUP(DATE($K$1,$K$2,CA$4),Table1[],(MATCH(Calendar!$A6,DB!1:1,0)+2),FALSE),"")</f>
        <v/>
      </c>
      <c r="CB6" s="27" t="str">
        <f>IFERROR(VLOOKUP(DATE($K$1,$K$2,CB$4),Table1[],(MATCH(Calendar!$A6,DB!1:1,0)+2),FALSE),"")</f>
        <v/>
      </c>
      <c r="CC6" s="27" t="str">
        <f>IFERROR(VLOOKUP(DATE($K$1,$K$2,CC$4),Table1[],(MATCH(Calendar!$A6,DB!1:1,0)+2),FALSE),"")</f>
        <v/>
      </c>
      <c r="CD6" s="27" t="str">
        <f>IFERROR(VLOOKUP(DATE($K$1,$K$2,CD$4),Table1[],(MATCH(Calendar!$A6,DB!1:1,0)+2),FALSE),"")</f>
        <v/>
      </c>
      <c r="CE6" s="27" t="str">
        <f>IFERROR(VLOOKUP(DATE($K$1,$K$2,CE$4),Table1[],(MATCH(Calendar!$A6,DB!1:1,0)+2),FALSE),"")</f>
        <v/>
      </c>
      <c r="CF6" s="27" t="str">
        <f>IFERROR(VLOOKUP(DATE($K$1,$K$2,CF$4),Table1[],(MATCH(Calendar!$A6,DB!1:1,0)+2),FALSE),"")</f>
        <v/>
      </c>
      <c r="CG6" s="27" t="str">
        <f>IFERROR(VLOOKUP(DATE($K$1,$K$2,CG$4),Table1[],(MATCH(Calendar!$A6,DB!1:1,0)+2),FALSE),"")</f>
        <v/>
      </c>
      <c r="CH6" s="27" t="str">
        <f>IFERROR(VLOOKUP(DATE($K$1,$K$2,CH$4),Table1[],(MATCH(Calendar!$A6,DB!1:1,0)+2),FALSE),"")</f>
        <v/>
      </c>
      <c r="CI6" s="27" t="str">
        <f>IFERROR(VLOOKUP(DATE($K$1,$K$2,CI$4),Table1[],(MATCH(Calendar!$A6,DB!1:1,0)+2),FALSE),"")</f>
        <v/>
      </c>
      <c r="CJ6" s="27" t="str">
        <f>IFERROR(VLOOKUP(DATE($K$1,$K$2,CJ$4),Table1[],(MATCH(Calendar!$A6,DB!1:1,0)+2),FALSE),"")</f>
        <v/>
      </c>
      <c r="CK6" s="27" t="str">
        <f>IFERROR(VLOOKUP(DATE($K$1,$K$2,CK$4),Table1[],(MATCH(Calendar!$A6,DB!1:1,0)+2),FALSE),"")</f>
        <v/>
      </c>
      <c r="CL6" s="27" t="str">
        <f>IFERROR(VLOOKUP(DATE($K$1,$K$2,CL$4),Table1[],(MATCH(Calendar!$A6,DB!1:1,0)+2),FALSE),"")</f>
        <v/>
      </c>
      <c r="CM6" s="27" t="str">
        <f>IFERROR(VLOOKUP(DATE($K$1,$K$2,CM$4),Table1[],(MATCH(Calendar!$A6,DB!1:1,0)+2),FALSE),"")</f>
        <v/>
      </c>
      <c r="CN6" s="27" t="str">
        <f>IFERROR(VLOOKUP(DATE($K$1,$K$2,CN$4),Table1[],(MATCH(Calendar!$A6,DB!1:1,0)+2),FALSE),"")</f>
        <v/>
      </c>
      <c r="CO6" s="27" t="str">
        <f>IFERROR(VLOOKUP(DATE($K$1,$K$2,CO$4),Table1[],(MATCH(Calendar!$A6,DB!1:1,0)+2),FALSE),"")</f>
        <v/>
      </c>
      <c r="CP6" s="27" t="str">
        <f>IFERROR(VLOOKUP(DATE($K$1,$K$2,CP$4),Table1[],(MATCH(Calendar!$A6,DB!1:1,0)+2),FALSE),"")</f>
        <v/>
      </c>
      <c r="CQ6" s="27" t="str">
        <f>IFERROR(VLOOKUP(DATE($K$1,$K$2,CQ$4),Table1[],(MATCH(Calendar!$A6,DB!1:1,0)+2),FALSE),"")</f>
        <v/>
      </c>
      <c r="CR6" s="27" t="str">
        <f>IFERROR(VLOOKUP(DATE($K$1,$K$2,CR$4),Table1[],(MATCH(Calendar!$A6,DB!1:1,0)+2),FALSE),"")</f>
        <v/>
      </c>
      <c r="CS6" s="27" t="str">
        <f>IFERROR(VLOOKUP(DATE($K$1,$K$2,CS$4),Table1[],(MATCH(Calendar!$A6,DB!1:1,0)+2),FALSE),"")</f>
        <v/>
      </c>
      <c r="CT6" s="27" t="str">
        <f>IFERROR(VLOOKUP(DATE($K$1,$K$2,CT$4),Table1[],(MATCH(Calendar!$A6,DB!1:1,0)+2),FALSE),"")</f>
        <v/>
      </c>
      <c r="CU6" s="27" t="str">
        <f>IFERROR(VLOOKUP(DATE($K$1,$K$2,CU$4),Table1[],(MATCH(Calendar!$A6,DB!1:1,0)+2),FALSE),"")</f>
        <v/>
      </c>
      <c r="CV6" s="27" t="str">
        <f>IFERROR(VLOOKUP(DATE($K$1,$K$2,CV$4),Table1[],(MATCH(Calendar!$A6,DB!1:1,0)+2),FALSE),"")</f>
        <v/>
      </c>
      <c r="CW6" s="27" t="str">
        <f>IFERROR(VLOOKUP(DATE($K$1,$K$2,CW$4),Table1[],(MATCH(Calendar!$A6,DB!1:1,0)+2),FALSE),"")</f>
        <v/>
      </c>
      <c r="CX6" s="27" t="str">
        <f>IFERROR(VLOOKUP(DATE($K$1,$K$2,CX$4),Table1[],(MATCH(Calendar!$A6,DB!1:1,0)+2),FALSE),"")</f>
        <v/>
      </c>
      <c r="CY6" s="27" t="str">
        <f>IFERROR(VLOOKUP(DATE($K$1,$K$2,CY$4),Table1[],(MATCH(Calendar!$A6,DB!1:1,0)+2),FALSE),"")</f>
        <v/>
      </c>
      <c r="CZ6" s="27" t="str">
        <f>IFERROR(VLOOKUP(DATE($K$1,$K$2,CZ$4),Table1[],(MATCH(Calendar!$A6,DB!1:1,0)+2),FALSE),"")</f>
        <v/>
      </c>
      <c r="DA6" s="27" t="str">
        <f>IFERROR(VLOOKUP(DATE($K$1,$K$2,DA$4),Table1[],(MATCH(Calendar!$A6,DB!1:1,0)+2),FALSE),"")</f>
        <v/>
      </c>
      <c r="DB6" s="27" t="str">
        <f>IFERROR(VLOOKUP(DATE($K$1,$K$2,DB$4),Table1[],(MATCH(Calendar!$A6,DB!1:1,0)+2),FALSE),"")</f>
        <v/>
      </c>
      <c r="DC6" s="27" t="str">
        <f>IFERROR(VLOOKUP(DATE($K$1,$K$2,DC$4),Table1[],(MATCH(Calendar!$A6,DB!1:1,0)+2),FALSE),"")</f>
        <v/>
      </c>
      <c r="DD6" s="27" t="str">
        <f>IFERROR(VLOOKUP(DATE($K$1,$K$2,DD$4),Table1[],(MATCH(Calendar!$A6,DB!1:1,0)+2),FALSE),"")</f>
        <v/>
      </c>
      <c r="DE6" s="27" t="str">
        <f>IFERROR(VLOOKUP(DATE($K$1,$K$2,DE$4),Table1[],(MATCH(Calendar!$A6,DB!1:1,0)+2),FALSE),"")</f>
        <v/>
      </c>
      <c r="DF6" s="27" t="str">
        <f>IFERROR(VLOOKUP(DATE($K$1,$K$2,DF$4),Table1[],(MATCH(Calendar!$A6,DB!1:1,0)+2),FALSE),"")</f>
        <v/>
      </c>
      <c r="DG6" s="27" t="str">
        <f>IFERROR(VLOOKUP(DATE($K$1,$K$2,DG$4),Table1[],(MATCH(Calendar!$A6,DB!1:1,0)+2),FALSE),"")</f>
        <v/>
      </c>
      <c r="DH6" s="27" t="str">
        <f>IFERROR(VLOOKUP(DATE($K$1,$K$2,DH$4),Table1[],(MATCH(Calendar!$A6,DB!1:1,0)+2),FALSE),"")</f>
        <v/>
      </c>
      <c r="DI6" s="27" t="str">
        <f>IFERROR(VLOOKUP(DATE($K$1,$K$2,DI$4),Table1[],(MATCH(Calendar!$A6,DB!1:1,0)+2),FALSE),"")</f>
        <v/>
      </c>
      <c r="DJ6" s="27" t="str">
        <f>IFERROR(VLOOKUP(DATE($K$1,$K$2,DJ$4),Table1[],(MATCH(Calendar!$A6,DB!1:1,0)+2),FALSE),"")</f>
        <v/>
      </c>
      <c r="DK6" s="27" t="str">
        <f>IFERROR(VLOOKUP(DATE($K$1,$K$2,DK$4),Table1[],(MATCH(Calendar!$A6,DB!1:1,0)+2),FALSE),"")</f>
        <v/>
      </c>
      <c r="DL6" s="27" t="str">
        <f>IFERROR(VLOOKUP(DATE($K$1,$K$2,DL$4),Table1[],(MATCH(Calendar!$A6,DB!1:1,0)+2),FALSE),"")</f>
        <v/>
      </c>
      <c r="DM6" s="27" t="str">
        <f>IFERROR(VLOOKUP(DATE($K$1,$K$2,DM$4),Table1[],(MATCH(Calendar!$A6,DB!1:1,0)+2),FALSE),"")</f>
        <v/>
      </c>
      <c r="DN6" s="27" t="str">
        <f>IFERROR(VLOOKUP(DATE($K$1,$K$2,DN$4),Table1[],(MATCH(Calendar!$A6,DB!1:1,0)+2),FALSE),"")</f>
        <v/>
      </c>
      <c r="DO6" s="27" t="str">
        <f>IFERROR(VLOOKUP(DATE($K$1,$K$2,DO$4),Table1[],(MATCH(Calendar!$A6,DB!1:1,0)+2),FALSE),"")</f>
        <v/>
      </c>
      <c r="DP6" s="27" t="str">
        <f>IFERROR(VLOOKUP(DATE($K$1,$K$2,DP$4),Table1[],(MATCH(Calendar!$A6,DB!1:1,0)+2),FALSE),"")</f>
        <v/>
      </c>
      <c r="DQ6" s="27" t="str">
        <f>IFERROR(VLOOKUP(DATE($K$1,$K$2,DQ$4),Table1[],(MATCH(Calendar!$A6,DB!1:1,0)+2),FALSE),"")</f>
        <v/>
      </c>
      <c r="DR6" s="27" t="str">
        <f>IFERROR(VLOOKUP(DATE($K$1,$K$2,DR$4),Table1[],(MATCH(Calendar!$A6,DB!1:1,0)+2),FALSE),"")</f>
        <v/>
      </c>
      <c r="DS6" s="27" t="str">
        <f>IFERROR(VLOOKUP(DATE($K$1,$K$2,DS$4),Table1[],(MATCH(Calendar!$A6,DB!1:1,0)+2),FALSE),"")</f>
        <v/>
      </c>
      <c r="DT6" s="27" t="str">
        <f>IFERROR(VLOOKUP(DATE($K$1,$K$2,DT$4),Table1[],(MATCH(Calendar!$A6,DB!1:1,0)+2),FALSE),"")</f>
        <v/>
      </c>
      <c r="DU6" s="27" t="str">
        <f>IFERROR(VLOOKUP(DATE($K$1,$K$2,DU$4),Table1[],(MATCH(Calendar!$A6,DB!1:1,0)+2),FALSE),"")</f>
        <v/>
      </c>
      <c r="DV6" s="27" t="str">
        <f>IFERROR(VLOOKUP(DATE($K$1,$K$2,DV$4),Table1[],(MATCH(Calendar!$A6,DB!1:1,0)+2),FALSE),"")</f>
        <v/>
      </c>
      <c r="DW6" s="27" t="str">
        <f>IFERROR(VLOOKUP(DATE($K$1,$K$2,DW$4),Table1[],(MATCH(Calendar!$A6,DB!1:1,0)+2),FALSE),"")</f>
        <v/>
      </c>
      <c r="DX6" s="27" t="str">
        <f>IFERROR(VLOOKUP(DATE($K$1,$K$2,DX$4),Table1[],(MATCH(Calendar!$A6,DB!1:1,0)+2),FALSE),"")</f>
        <v/>
      </c>
      <c r="DY6" s="27" t="str">
        <f>IFERROR(VLOOKUP(DATE($K$1,$K$2,DY$4),Table1[],(MATCH(Calendar!$A6,DB!1:1,0)+2),FALSE),"")</f>
        <v/>
      </c>
      <c r="DZ6" s="27" t="str">
        <f>IFERROR(VLOOKUP(DATE($K$1,$K$2,DZ$4),Table1[],(MATCH(Calendar!$A6,DB!1:1,0)+2),FALSE),"")</f>
        <v/>
      </c>
      <c r="EA6" s="27" t="str">
        <f>IFERROR(VLOOKUP(DATE($K$1,$K$2,EA$4),Table1[],(MATCH(Calendar!$A6,DB!1:1,0)+2),FALSE),"")</f>
        <v/>
      </c>
      <c r="EB6" s="27" t="str">
        <f>IFERROR(VLOOKUP(DATE($K$1,$K$2,EB$4),Table1[],(MATCH(Calendar!$A6,DB!1:1,0)+2),FALSE),"")</f>
        <v/>
      </c>
      <c r="EC6" s="27" t="str">
        <f>IFERROR(VLOOKUP(DATE($K$1,$K$2,EC$4),Table1[],(MATCH(Calendar!$A6,DB!1:1,0)+2),FALSE),"")</f>
        <v/>
      </c>
      <c r="ED6" s="27" t="str">
        <f>IFERROR(VLOOKUP(DATE($K$1,$K$2,ED$4),Table1[],(MATCH(Calendar!$A6,DB!1:1,0)+2),FALSE),"")</f>
        <v/>
      </c>
      <c r="EE6" s="27" t="str">
        <f>IFERROR(VLOOKUP(DATE($K$1,$K$2,EE$4),Table1[],(MATCH(Calendar!$A6,DB!1:1,0)+2),FALSE),"")</f>
        <v/>
      </c>
      <c r="EF6" s="27" t="str">
        <f>IFERROR(VLOOKUP(DATE($K$1,$K$2,EF$4),Table1[],(MATCH(Calendar!$A6,DB!1:1,0)+2),FALSE),"")</f>
        <v/>
      </c>
      <c r="EG6" s="27" t="str">
        <f>IFERROR(VLOOKUP(DATE($K$1,$K$2,EG$4),Table1[],(MATCH(Calendar!$A6,DB!1:1,0)+2),FALSE),"")</f>
        <v/>
      </c>
      <c r="EH6" s="27" t="str">
        <f>IFERROR(VLOOKUP(DATE($K$1,$K$2,EH$4),Table1[],(MATCH(Calendar!$A6,DB!1:1,0)+2),FALSE),"")</f>
        <v/>
      </c>
      <c r="EI6" s="27" t="str">
        <f>IFERROR(VLOOKUP(DATE($K$1,$K$2,EI$4),Table1[],(MATCH(Calendar!$A6,DB!1:1,0)+2),FALSE),"")</f>
        <v/>
      </c>
      <c r="EJ6" s="27" t="str">
        <f>IFERROR(VLOOKUP(DATE($K$1,$K$2,EJ$4),Table1[],(MATCH(Calendar!$A6,DB!1:1,0)+2),FALSE),"")</f>
        <v/>
      </c>
      <c r="EK6" s="27" t="str">
        <f>IFERROR(VLOOKUP(DATE($K$1,$K$2,EK$4),Table1[],(MATCH(Calendar!$A6,DB!1:1,0)+2),FALSE),"")</f>
        <v/>
      </c>
      <c r="EL6" s="27" t="str">
        <f>IFERROR(VLOOKUP(DATE($K$1,$K$2,EL$4),Table1[],(MATCH(Calendar!$A6,DB!1:1,0)+2),FALSE),"")</f>
        <v/>
      </c>
      <c r="EM6" s="27" t="str">
        <f>IFERROR(VLOOKUP(DATE($K$1,$K$2,EM$4),Table1[],(MATCH(Calendar!$A6,DB!1:1,0)+2),FALSE),"")</f>
        <v/>
      </c>
      <c r="EN6" s="27" t="str">
        <f>IFERROR(VLOOKUP(DATE($K$1,$K$2,EN$4),Table1[],(MATCH(Calendar!$A6,DB!1:1,0)+2),FALSE),"")</f>
        <v/>
      </c>
      <c r="EO6" s="27" t="str">
        <f>IFERROR(VLOOKUP(DATE($K$1,$K$2,EO$4),Table1[],(MATCH(Calendar!$A6,DB!1:1,0)+2),FALSE),"")</f>
        <v/>
      </c>
      <c r="EP6" s="27" t="str">
        <f>IFERROR(VLOOKUP(DATE($K$1,$K$2,EP$4),Table1[],(MATCH(Calendar!$A6,DB!1:1,0)+2),FALSE),"")</f>
        <v/>
      </c>
      <c r="EQ6" s="27" t="str">
        <f>IFERROR(VLOOKUP(DATE($K$1,$K$2,EQ$4),Table1[],(MATCH(Calendar!$A6,DB!1:1,0)+2),FALSE),"")</f>
        <v/>
      </c>
      <c r="ER6" s="27" t="str">
        <f>IFERROR(VLOOKUP(DATE($K$1,$K$2,ER$4),Table1[],(MATCH(Calendar!$A6,DB!1:1,0)+2),FALSE),"")</f>
        <v/>
      </c>
      <c r="ES6" s="27" t="str">
        <f>IFERROR(VLOOKUP(DATE($K$1,$K$2,ES$4),Table1[],(MATCH(Calendar!$A6,DB!1:1,0)+2),FALSE),"")</f>
        <v/>
      </c>
      <c r="ET6" s="27" t="str">
        <f>IFERROR(VLOOKUP(DATE($K$1,$K$2,ET$4),Table1[],(MATCH(Calendar!$A6,DB!1:1,0)+2),FALSE),"")</f>
        <v/>
      </c>
      <c r="EU6" s="27" t="str">
        <f>IFERROR(VLOOKUP(DATE($K$1,$K$2,EU$4),Table1[],(MATCH(Calendar!$A6,DB!1:1,0)+2),FALSE),"")</f>
        <v/>
      </c>
      <c r="EV6" s="27" t="str">
        <f>IFERROR(VLOOKUP(DATE($K$1,$K$2,EV$4),Table1[],(MATCH(Calendar!$A6,DB!1:1,0)+2),FALSE),"")</f>
        <v/>
      </c>
      <c r="EW6" s="27" t="str">
        <f>IFERROR(VLOOKUP(DATE($K$1,$K$2,EW$4),Table1[],(MATCH(Calendar!$A6,DB!1:1,0)+2),FALSE),"")</f>
        <v/>
      </c>
      <c r="EX6" s="27" t="str">
        <f>IFERROR(VLOOKUP(DATE($K$1,$K$2,EX$4),Table1[],(MATCH(Calendar!$A6,DB!1:1,0)+2),FALSE),"")</f>
        <v/>
      </c>
      <c r="EY6" s="27" t="str">
        <f>IFERROR(VLOOKUP(DATE($K$1,$K$2,EY$4),Table1[],(MATCH(Calendar!$A6,DB!1:1,0)+2),FALSE),"")</f>
        <v/>
      </c>
      <c r="EZ6" s="27" t="str">
        <f>IFERROR(VLOOKUP(DATE($K$1,$K$2,EZ$4),Table1[],(MATCH(Calendar!$A6,DB!1:1,0)+2),FALSE),"")</f>
        <v/>
      </c>
      <c r="FA6" s="27" t="str">
        <f>IFERROR(VLOOKUP(DATE($K$1,$K$2,FA$4),Table1[],(MATCH(Calendar!$A6,DB!1:1,0)+2),FALSE),"")</f>
        <v/>
      </c>
      <c r="FB6" s="27" t="str">
        <f>IFERROR(VLOOKUP(DATE($K$1,$K$2,FB$4),Table1[],(MATCH(Calendar!$A6,DB!1:1,0)+2),FALSE),"")</f>
        <v/>
      </c>
      <c r="FC6" s="27" t="str">
        <f>IFERROR(VLOOKUP(DATE($K$1,$K$2,FC$4),Table1[],(MATCH(Calendar!$A6,DB!1:1,0)+2),FALSE),"")</f>
        <v/>
      </c>
      <c r="FD6" s="27" t="str">
        <f>IFERROR(VLOOKUP(DATE($K$1,$K$2,FD$4),Table1[],(MATCH(Calendar!$A6,DB!1:1,0)+2),FALSE),"")</f>
        <v/>
      </c>
      <c r="FE6" s="27" t="str">
        <f>IFERROR(VLOOKUP(DATE($K$1,$K$2,FE$4),Table1[],(MATCH(Calendar!$A6,DB!1:1,0)+2),FALSE),"")</f>
        <v/>
      </c>
      <c r="FF6" s="27" t="str">
        <f>IFERROR(VLOOKUP(DATE($K$1,$K$2,FF$4),Table1[],(MATCH(Calendar!$A6,DB!1:1,0)+2),FALSE),"")</f>
        <v/>
      </c>
      <c r="FG6" s="27" t="str">
        <f>IFERROR(VLOOKUP(DATE($K$1,$K$2,FG$4),Table1[],(MATCH(Calendar!$A6,DB!1:1,0)+2),FALSE),"")</f>
        <v/>
      </c>
      <c r="FH6" s="27" t="str">
        <f>IFERROR(VLOOKUP(DATE($K$1,$K$2,FH$4),Table1[],(MATCH(Calendar!$A6,DB!1:1,0)+2),FALSE),"")</f>
        <v/>
      </c>
      <c r="FI6" s="27" t="str">
        <f>IFERROR(VLOOKUP(DATE($K$1,$K$2,FI$4),Table1[],(MATCH(Calendar!$A6,DB!1:1,0)+2),FALSE),"")</f>
        <v/>
      </c>
      <c r="FJ6" s="27" t="str">
        <f>IFERROR(VLOOKUP(DATE($K$1,$K$2,FJ$4),Table1[],(MATCH(Calendar!$A6,DB!1:1,0)+2),FALSE),"")</f>
        <v/>
      </c>
      <c r="FK6" s="27" t="str">
        <f>IFERROR(VLOOKUP(DATE($K$1,$K$2,FK$4),Table1[],(MATCH(Calendar!$A6,DB!1:1,0)+2),FALSE),"")</f>
        <v/>
      </c>
      <c r="FL6" s="27" t="str">
        <f>IFERROR(VLOOKUP(DATE($K$1,$K$2,FL$4),Table1[],(MATCH(Calendar!$A6,DB!1:1,0)+2),FALSE),"")</f>
        <v/>
      </c>
      <c r="FM6" s="27" t="str">
        <f>IFERROR(VLOOKUP(DATE($K$1,$K$2,FM$4),Table1[],(MATCH(Calendar!$A6,DB!1:1,0)+2),FALSE),"")</f>
        <v/>
      </c>
      <c r="FN6" s="27" t="str">
        <f>IFERROR(VLOOKUP(DATE($K$1,$K$2,FN$4),Table1[],(MATCH(Calendar!$A6,DB!1:1,0)+2),FALSE),"")</f>
        <v/>
      </c>
      <c r="FO6" s="27" t="str">
        <f>IFERROR(VLOOKUP(DATE($K$1,$K$2,FO$4),Table1[],(MATCH(Calendar!$A6,DB!1:1,0)+2),FALSE),"")</f>
        <v/>
      </c>
      <c r="FP6" s="27" t="str">
        <f>IFERROR(VLOOKUP(DATE($K$1,$K$2,FP$4),Table1[],(MATCH(Calendar!$A6,DB!1:1,0)+2),FALSE),"")</f>
        <v/>
      </c>
      <c r="FQ6" s="27" t="str">
        <f>IFERROR(VLOOKUP(DATE($K$1,$K$2,FQ$4),Table1[],(MATCH(Calendar!$A6,DB!1:1,0)+2),FALSE),"")</f>
        <v/>
      </c>
      <c r="FR6" s="27" t="str">
        <f>IFERROR(VLOOKUP(DATE($K$1,$K$2,FR$4),Table1[],(MATCH(Calendar!$A6,DB!1:1,0)+2),FALSE),"")</f>
        <v/>
      </c>
      <c r="FS6" s="27" t="str">
        <f>IFERROR(VLOOKUP(DATE($K$1,$K$2,FS$4),Table1[],(MATCH(Calendar!$A6,DB!1:1,0)+2),FALSE),"")</f>
        <v/>
      </c>
      <c r="FT6" s="27" t="str">
        <f>IFERROR(VLOOKUP(DATE($K$1,$K$2,FT$4),Table1[],(MATCH(Calendar!$A6,DB!1:1,0)+2),FALSE),"")</f>
        <v/>
      </c>
      <c r="FU6" s="27" t="str">
        <f>IFERROR(VLOOKUP(DATE($K$1,$K$2,FU$4),Table1[],(MATCH(Calendar!$A6,DB!1:1,0)+2),FALSE),"")</f>
        <v/>
      </c>
      <c r="FV6" s="27" t="str">
        <f>IFERROR(VLOOKUP(DATE($K$1,$K$2,FV$4),Table1[],(MATCH(Calendar!$A6,DB!1:1,0)+2),FALSE),"")</f>
        <v/>
      </c>
      <c r="FW6" s="27" t="str">
        <f>IFERROR(VLOOKUP(DATE($K$1,$K$2,FW$4),Table1[],(MATCH(Calendar!$A6,DB!1:1,0)+2),FALSE),"")</f>
        <v/>
      </c>
      <c r="FX6" s="27" t="str">
        <f>IFERROR(VLOOKUP(DATE($K$1,$K$2,FX$4),Table1[],(MATCH(Calendar!$A6,DB!1:1,0)+2),FALSE),"")</f>
        <v/>
      </c>
      <c r="FY6" s="27" t="str">
        <f>IFERROR(VLOOKUP(DATE($K$1,$K$2,FY$4),Table1[],(MATCH(Calendar!$A6,DB!1:1,0)+2),FALSE),"")</f>
        <v/>
      </c>
      <c r="FZ6" s="27" t="str">
        <f>IFERROR(VLOOKUP(DATE($K$1,$K$2,FZ$4),Table1[],(MATCH(Calendar!$A6,DB!1:1,0)+2),FALSE),"")</f>
        <v/>
      </c>
      <c r="GA6" s="27" t="str">
        <f>IFERROR(VLOOKUP(DATE($K$1,$K$2,GA$4),Table1[],(MATCH(Calendar!$A6,DB!1:1,0)+2),FALSE),"")</f>
        <v/>
      </c>
      <c r="GB6" s="27" t="str">
        <f>IFERROR(VLOOKUP(DATE($K$1,$K$2,GB$4),Table1[],(MATCH(Calendar!$A6,DB!1:1,0)+2),FALSE),"")</f>
        <v/>
      </c>
      <c r="GC6" s="27" t="str">
        <f>IFERROR(VLOOKUP(DATE($K$1,$K$2,GC$4),Table1[],(MATCH(Calendar!$A6,DB!1:1,0)+2),FALSE),"")</f>
        <v/>
      </c>
      <c r="GD6" s="27" t="str">
        <f>IFERROR(VLOOKUP(DATE($K$1,$K$2,GD$4),Table1[],(MATCH(Calendar!$A6,DB!1:1,0)+2),FALSE),"")</f>
        <v/>
      </c>
      <c r="GE6" s="27" t="str">
        <f>IFERROR(VLOOKUP(DATE($K$1,$K$2,GE$4),Table1[],(MATCH(Calendar!$A6,DB!1:1,0)+2),FALSE),"")</f>
        <v/>
      </c>
      <c r="GF6" s="27" t="str">
        <f>IFERROR(VLOOKUP(DATE($K$1,$K$2,GF$4),Table1[],(MATCH(Calendar!$A6,DB!1:1,0)+2),FALSE),"")</f>
        <v/>
      </c>
      <c r="GG6" s="27" t="str">
        <f>IFERROR(VLOOKUP(DATE($K$1,$K$2,GG$4),Table1[],(MATCH(Calendar!$A6,DB!1:1,0)+2),FALSE),"")</f>
        <v/>
      </c>
      <c r="GH6" s="27" t="str">
        <f>IFERROR(VLOOKUP(DATE($K$1,$K$2,GH$4),Table1[],(MATCH(Calendar!$A6,DB!1:1,0)+2),FALSE),"")</f>
        <v/>
      </c>
      <c r="GI6" s="27" t="str">
        <f>IFERROR(VLOOKUP(DATE($K$1,$K$2,GI$4),Table1[],(MATCH(Calendar!$A6,DB!1:1,0)+2),FALSE),"")</f>
        <v/>
      </c>
      <c r="GJ6" s="27" t="str">
        <f>IFERROR(VLOOKUP(DATE($K$1,$K$2,GJ$4),Table1[],(MATCH(Calendar!$A6,DB!1:1,0)+2),FALSE),"")</f>
        <v/>
      </c>
      <c r="GK6" s="27" t="str">
        <f>IFERROR(VLOOKUP(DATE($K$1,$K$2,GK$4),Table1[],(MATCH(Calendar!$A6,DB!1:1,0)+2),FALSE),"")</f>
        <v/>
      </c>
      <c r="GL6" s="27" t="str">
        <f>IFERROR(VLOOKUP(DATE($K$1,$K$2,GL$4),Table1[],(MATCH(Calendar!$A6,DB!1:1,0)+2),FALSE),"")</f>
        <v/>
      </c>
      <c r="GM6" s="27" t="str">
        <f>IFERROR(VLOOKUP(DATE($K$1,$K$2,GM$4),Table1[],(MATCH(Calendar!$A6,DB!1:1,0)+2),FALSE),"")</f>
        <v/>
      </c>
      <c r="GN6" s="27" t="str">
        <f>IFERROR(VLOOKUP(DATE($K$1,$K$2,GN$4),Table1[],(MATCH(Calendar!$A6,DB!1:1,0)+2),FALSE),"")</f>
        <v/>
      </c>
      <c r="GO6" s="27" t="str">
        <f>IFERROR(VLOOKUP(DATE($K$1,$K$2,GO$4),Table1[],(MATCH(Calendar!$A6,DB!1:1,0)+2),FALSE),"")</f>
        <v/>
      </c>
      <c r="GP6" s="27" t="str">
        <f>IFERROR(VLOOKUP(DATE($K$1,$K$2,GP$4),Table1[],(MATCH(Calendar!$A6,DB!1:1,0)+2),FALSE),"")</f>
        <v/>
      </c>
      <c r="GQ6" s="27" t="str">
        <f>IFERROR(VLOOKUP(DATE($K$1,$K$2,GQ$4),Table1[],(MATCH(Calendar!$A6,DB!1:1,0)+2),FALSE),"")</f>
        <v/>
      </c>
      <c r="GR6" s="27" t="str">
        <f>IFERROR(VLOOKUP(DATE($K$1,$K$2,GR$4),Table1[],(MATCH(Calendar!$A6,DB!1:1,0)+2),FALSE),"")</f>
        <v/>
      </c>
      <c r="GS6" s="27" t="str">
        <f>IFERROR(VLOOKUP(DATE($K$1,$K$2,GS$4),Table1[],(MATCH(Calendar!$A6,DB!1:1,0)+2),FALSE),"")</f>
        <v/>
      </c>
      <c r="GT6" s="27" t="str">
        <f>IFERROR(VLOOKUP(DATE($K$1,$K$2,GT$4),Table1[],(MATCH(Calendar!$A6,DB!1:1,0)+2),FALSE),"")</f>
        <v/>
      </c>
      <c r="GU6" s="27" t="str">
        <f>IFERROR(VLOOKUP(DATE($K$1,$K$2,GU$4),Table1[],(MATCH(Calendar!$A6,DB!1:1,0)+2),FALSE),"")</f>
        <v/>
      </c>
      <c r="GV6" s="27" t="str">
        <f>IFERROR(VLOOKUP(DATE($K$1,$K$2,GV$4),Table1[],(MATCH(Calendar!$A6,DB!1:1,0)+2),FALSE),"")</f>
        <v/>
      </c>
      <c r="GW6" s="27" t="str">
        <f>IFERROR(VLOOKUP(DATE($K$1,$K$2,GW$4),Table1[],(MATCH(Calendar!$A6,DB!1:1,0)+2),FALSE),"")</f>
        <v/>
      </c>
      <c r="GX6" s="27" t="str">
        <f>IFERROR(VLOOKUP(DATE($K$1,$K$2,GX$4),Table1[],(MATCH(Calendar!$A6,DB!1:1,0)+2),FALSE),"")</f>
        <v/>
      </c>
      <c r="GY6" s="27" t="str">
        <f>IFERROR(VLOOKUP(DATE($K$1,$K$2,GY$4),Table1[],(MATCH(Calendar!$A6,DB!1:1,0)+2),FALSE),"")</f>
        <v/>
      </c>
      <c r="GZ6" s="27" t="str">
        <f>IFERROR(VLOOKUP(DATE($K$1,$K$2,GZ$4),Table1[],(MATCH(Calendar!$A6,DB!1:1,0)+2),FALSE),"")</f>
        <v/>
      </c>
      <c r="HA6" s="27" t="str">
        <f>IFERROR(VLOOKUP(DATE($K$1,$K$2,HA$4),Table1[],(MATCH(Calendar!$A6,DB!1:1,0)+2),FALSE),"")</f>
        <v/>
      </c>
      <c r="HB6" s="27" t="str">
        <f>IFERROR(VLOOKUP(DATE($K$1,$K$2,HB$4),Table1[],(MATCH(Calendar!$A6,DB!1:1,0)+2),FALSE),"")</f>
        <v/>
      </c>
      <c r="HC6" s="27" t="str">
        <f>IFERROR(VLOOKUP(DATE($K$1,$K$2,HC$4),Table1[],(MATCH(Calendar!$A6,DB!1:1,0)+2),FALSE),"")</f>
        <v/>
      </c>
      <c r="HD6" s="27" t="str">
        <f>IFERROR(VLOOKUP(DATE($K$1,$K$2,HD$4),Table1[],(MATCH(Calendar!$A6,DB!1:1,0)+2),FALSE),"")</f>
        <v/>
      </c>
      <c r="HE6" s="27" t="str">
        <f>IFERROR(VLOOKUP(DATE($K$1,$K$2,HE$4),Table1[],(MATCH(Calendar!$A6,DB!1:1,0)+2),FALSE),"")</f>
        <v/>
      </c>
      <c r="HF6" s="27" t="str">
        <f>IFERROR(VLOOKUP(DATE($K$1,$K$2,HF$4),Table1[],(MATCH(Calendar!$A6,DB!1:1,0)+2),FALSE),"")</f>
        <v/>
      </c>
      <c r="HG6" s="27" t="str">
        <f>IFERROR(VLOOKUP(DATE($K$1,$K$2,HG$4),Table1[],(MATCH(Calendar!$A6,DB!1:1,0)+2),FALSE),"")</f>
        <v/>
      </c>
      <c r="HH6" s="27" t="str">
        <f>IFERROR(VLOOKUP(DATE($K$1,$K$2,HH$4),Table1[],(MATCH(Calendar!$A6,DB!1:1,0)+2),FALSE),"")</f>
        <v/>
      </c>
      <c r="HI6" s="27" t="str">
        <f>IFERROR(VLOOKUP(DATE($K$1,$K$2,HI$4),Table1[],(MATCH(Calendar!$A6,DB!1:1,0)+2),FALSE),"")</f>
        <v/>
      </c>
      <c r="HJ6" s="27" t="str">
        <f>IFERROR(VLOOKUP(DATE($K$1,$K$2,HJ$4),Table1[],(MATCH(Calendar!$A6,DB!1:1,0)+2),FALSE),"")</f>
        <v/>
      </c>
      <c r="HK6" s="27" t="str">
        <f>IFERROR(VLOOKUP(DATE($K$1,$K$2,HK$4),Table1[],(MATCH(Calendar!$A6,DB!1:1,0)+2),FALSE),"")</f>
        <v/>
      </c>
      <c r="HL6" s="27" t="str">
        <f>IFERROR(VLOOKUP(DATE($K$1,$K$2,HL$4),Table1[],(MATCH(Calendar!$A6,DB!1:1,0)+2),FALSE),"")</f>
        <v/>
      </c>
      <c r="HM6" s="27" t="str">
        <f>IFERROR(VLOOKUP(DATE($K$1,$K$2,HM$4),Table1[],(MATCH(Calendar!$A6,DB!1:1,0)+2),FALSE),"")</f>
        <v/>
      </c>
      <c r="HN6" s="27" t="str">
        <f>IFERROR(VLOOKUP(DATE($K$1,$K$2,HN$4),Table1[],(MATCH(Calendar!$A6,DB!1:1,0)+2),FALSE),"")</f>
        <v/>
      </c>
      <c r="HO6" s="27" t="str">
        <f>IFERROR(VLOOKUP(DATE($K$1,$K$2,HO$4),Table1[],(MATCH(Calendar!$A6,DB!1:1,0)+2),FALSE),"")</f>
        <v/>
      </c>
      <c r="HP6" s="27" t="str">
        <f>IFERROR(VLOOKUP(DATE($K$1,$K$2,HP$4),Table1[],(MATCH(Calendar!$A6,DB!1:1,0)+2),FALSE),"")</f>
        <v/>
      </c>
      <c r="HQ6" s="27" t="str">
        <f>IFERROR(VLOOKUP(DATE($K$1,$K$2,HQ$4),Table1[],(MATCH(Calendar!$A6,DB!1:1,0)+2),FALSE),"")</f>
        <v/>
      </c>
      <c r="HR6" s="27" t="str">
        <f>IFERROR(VLOOKUP(DATE($K$1,$K$2,HR$4),Table1[],(MATCH(Calendar!$A6,DB!1:1,0)+2),FALSE),"")</f>
        <v/>
      </c>
      <c r="HS6" s="27" t="str">
        <f>IFERROR(VLOOKUP(DATE($K$1,$K$2,HS$4),Table1[],(MATCH(Calendar!$A6,DB!1:1,0)+2),FALSE),"")</f>
        <v/>
      </c>
      <c r="HT6" s="27" t="str">
        <f>IFERROR(VLOOKUP(DATE($K$1,$K$2,HT$4),Table1[],(MATCH(Calendar!$A6,DB!1:1,0)+2),FALSE),"")</f>
        <v/>
      </c>
      <c r="HU6" s="27" t="str">
        <f>IFERROR(VLOOKUP(DATE($K$1,$K$2,HU$4),Table1[],(MATCH(Calendar!$A6,DB!1:1,0)+2),FALSE),"")</f>
        <v/>
      </c>
      <c r="HV6" s="27" t="str">
        <f>IFERROR(VLOOKUP(DATE($K$1,$K$2,HV$4),Table1[],(MATCH(Calendar!$A6,DB!1:1,0)+2),FALSE),"")</f>
        <v/>
      </c>
      <c r="HW6" s="27" t="str">
        <f>IFERROR(VLOOKUP(DATE($K$1,$K$2,HW$4),Table1[],(MATCH(Calendar!$A6,DB!1:1,0)+2),FALSE),"")</f>
        <v/>
      </c>
      <c r="HX6" s="27" t="str">
        <f>IFERROR(VLOOKUP(DATE($K$1,$K$2,HX$4),Table1[],(MATCH(Calendar!$A6,DB!1:1,0)+2),FALSE),"")</f>
        <v/>
      </c>
      <c r="HY6" s="27" t="str">
        <f>IFERROR(VLOOKUP(DATE($K$1,$K$2,HY$4),Table1[],(MATCH(Calendar!$A6,DB!1:1,0)+2),FALSE),"")</f>
        <v/>
      </c>
      <c r="HZ6" s="27" t="str">
        <f>IFERROR(VLOOKUP(DATE($K$1,$K$2,HZ$4),Table1[],(MATCH(Calendar!$A6,DB!1:1,0)+2),FALSE),"")</f>
        <v/>
      </c>
      <c r="IA6" s="27" t="str">
        <f>IFERROR(VLOOKUP(DATE($K$1,$K$2,IA$4),Table1[],(MATCH(Calendar!$A6,DB!1:1,0)+2),FALSE),"")</f>
        <v/>
      </c>
      <c r="IB6" s="27" t="str">
        <f>IFERROR(VLOOKUP(DATE($K$1,$K$2,IB$4),Table1[],(MATCH(Calendar!$A6,DB!1:1,0)+2),FALSE),"")</f>
        <v/>
      </c>
      <c r="IC6" s="27" t="str">
        <f>IFERROR(VLOOKUP(DATE($K$1,$K$2,IC$4),Table1[],(MATCH(Calendar!$A6,DB!1:1,0)+2),FALSE),"")</f>
        <v/>
      </c>
      <c r="ID6" s="27" t="str">
        <f>IFERROR(VLOOKUP(DATE($K$1,$K$2,ID$4),Table1[],(MATCH(Calendar!$A6,DB!1:1,0)+2),FALSE),"")</f>
        <v/>
      </c>
      <c r="IE6" s="27" t="str">
        <f>IFERROR(VLOOKUP(DATE($K$1,$K$2,IE$4),Table1[],(MATCH(Calendar!$A6,DB!1:1,0)+2),FALSE),"")</f>
        <v/>
      </c>
      <c r="IF6" s="27" t="str">
        <f>IFERROR(VLOOKUP(DATE($K$1,$K$2,IF$4),Table1[],(MATCH(Calendar!$A6,DB!1:1,0)+2),FALSE),"")</f>
        <v/>
      </c>
      <c r="IG6" s="27" t="str">
        <f>IFERROR(VLOOKUP(DATE($K$1,$K$2,IG$4),Table1[],(MATCH(Calendar!$A6,DB!1:1,0)+2),FALSE),"")</f>
        <v/>
      </c>
      <c r="IH6" s="27" t="str">
        <f>IFERROR(VLOOKUP(DATE($K$1,$K$2,IH$4),Table1[],(MATCH(Calendar!$A6,DB!1:1,0)+2),FALSE),"")</f>
        <v/>
      </c>
      <c r="II6" s="27" t="str">
        <f>IFERROR(VLOOKUP(DATE($K$1,$K$2,II$4),Table1[],(MATCH(Calendar!$A6,DB!1:1,0)+2),FALSE),"")</f>
        <v/>
      </c>
      <c r="IJ6" s="27" t="str">
        <f>IFERROR(VLOOKUP(DATE($K$1,$K$2,IJ$4),Table1[],(MATCH(Calendar!$A6,DB!1:1,0)+2),FALSE),"")</f>
        <v/>
      </c>
      <c r="IK6" s="27" t="str">
        <f>IFERROR(VLOOKUP(DATE($K$1,$K$2,IK$4),Table1[],(MATCH(Calendar!$A6,DB!1:1,0)+2),FALSE),"")</f>
        <v/>
      </c>
      <c r="IL6" s="27" t="str">
        <f>IFERROR(VLOOKUP(DATE($K$1,$K$2,IL$4),Table1[],(MATCH(Calendar!$A6,DB!1:1,0)+2),FALSE),"")</f>
        <v/>
      </c>
      <c r="IM6" s="27" t="str">
        <f>IFERROR(VLOOKUP(DATE($K$1,$K$2,IM$4),Table1[],(MATCH(Calendar!$A6,DB!1:1,0)+2),FALSE),"")</f>
        <v/>
      </c>
      <c r="IN6" s="27" t="str">
        <f>IFERROR(VLOOKUP(DATE($K$1,$K$2,IN$4),Table1[],(MATCH(Calendar!$A6,DB!1:1,0)+2),FALSE),"")</f>
        <v/>
      </c>
      <c r="IO6" s="27" t="str">
        <f>IFERROR(VLOOKUP(DATE($K$1,$K$2,IO$4),Table1[],(MATCH(Calendar!$A6,DB!1:1,0)+2),FALSE),"")</f>
        <v/>
      </c>
      <c r="IP6" s="27" t="str">
        <f>IFERROR(VLOOKUP(DATE($K$1,$K$2,IP$4),Table1[],(MATCH(Calendar!$A6,DB!1:1,0)+2),FALSE),"")</f>
        <v/>
      </c>
      <c r="IQ6" s="27" t="str">
        <f>IFERROR(VLOOKUP(DATE($K$1,$K$2,IQ$4),Table1[],(MATCH(Calendar!$A6,DB!1:1,0)+2),FALSE),"")</f>
        <v/>
      </c>
      <c r="IR6" s="27" t="str">
        <f>IFERROR(VLOOKUP(DATE($K$1,$K$2,IR$4),Table1[],(MATCH(Calendar!$A6,DB!1:1,0)+2),FALSE),"")</f>
        <v/>
      </c>
      <c r="IS6" s="27" t="str">
        <f>IFERROR(VLOOKUP(DATE($K$1,$K$2,IS$4),Table1[],(MATCH(Calendar!$A6,DB!1:1,0)+2),FALSE),"")</f>
        <v/>
      </c>
      <c r="IT6" s="27" t="str">
        <f>IFERROR(VLOOKUP(DATE($K$1,$K$2,IT$4),Table1[],(MATCH(Calendar!$A6,DB!1:1,0)+2),FALSE),"")</f>
        <v/>
      </c>
      <c r="IU6" s="27" t="str">
        <f>IFERROR(VLOOKUP(DATE($K$1,$K$2,IU$4),Table1[],(MATCH(Calendar!$A6,DB!1:1,0)+2),FALSE),"")</f>
        <v/>
      </c>
      <c r="IV6" s="27" t="str">
        <f>IFERROR(VLOOKUP(DATE($K$1,$K$2,IV$4),Table1[],(MATCH(Calendar!$A6,DB!1:1,0)+2),FALSE),"")</f>
        <v/>
      </c>
      <c r="IW6" s="27" t="str">
        <f>IFERROR(VLOOKUP(DATE($K$1,$K$2,IW$4),Table1[],(MATCH(Calendar!$A6,DB!1:1,0)+2),FALSE),"")</f>
        <v/>
      </c>
      <c r="IX6" s="27" t="str">
        <f>IFERROR(VLOOKUP(DATE($K$1,$K$2,IX$4),Table1[],(MATCH(Calendar!$A6,DB!1:1,0)+2),FALSE),"")</f>
        <v/>
      </c>
      <c r="IY6" s="27" t="str">
        <f>IFERROR(VLOOKUP(DATE($K$1,$K$2,IY$4),Table1[],(MATCH(Calendar!$A6,DB!1:1,0)+2),FALSE),"")</f>
        <v/>
      </c>
      <c r="IZ6" s="27" t="str">
        <f>IFERROR(VLOOKUP(DATE($K$1,$K$2,IZ$4),Table1[],(MATCH(Calendar!$A6,DB!1:1,0)+2),FALSE),"")</f>
        <v/>
      </c>
      <c r="JA6" s="27" t="str">
        <f>IFERROR(VLOOKUP(DATE($K$1,$K$2,JA$4),Table1[],(MATCH(Calendar!$A6,DB!1:1,0)+2),FALSE),"")</f>
        <v/>
      </c>
      <c r="JB6" s="27" t="str">
        <f>IFERROR(VLOOKUP(DATE($K$1,$K$2,JB$4),Table1[],(MATCH(Calendar!$A6,DB!1:1,0)+2),FALSE),"")</f>
        <v/>
      </c>
      <c r="JC6" s="27" t="str">
        <f>IFERROR(VLOOKUP(DATE($K$1,$K$2,JC$4),Table1[],(MATCH(Calendar!$A6,DB!1:1,0)+2),FALSE),"")</f>
        <v/>
      </c>
      <c r="JD6" s="27" t="str">
        <f>IFERROR(VLOOKUP(DATE($K$1,$K$2,JD$4),Table1[],(MATCH(Calendar!$A6,DB!1:1,0)+2),FALSE),"")</f>
        <v/>
      </c>
      <c r="JE6" s="27" t="str">
        <f>IFERROR(VLOOKUP(DATE($K$1,$K$2,JE$4),Table1[],(MATCH(Calendar!$A6,DB!1:1,0)+2),FALSE),"")</f>
        <v/>
      </c>
      <c r="JF6" s="27" t="str">
        <f>IFERROR(VLOOKUP(DATE($K$1,$K$2,JF$4),Table1[],(MATCH(Calendar!$A6,DB!1:1,0)+2),FALSE),"")</f>
        <v/>
      </c>
      <c r="JG6" s="27" t="str">
        <f>IFERROR(VLOOKUP(DATE($K$1,$K$2,JG$4),Table1[],(MATCH(Calendar!$A6,DB!1:1,0)+2),FALSE),"")</f>
        <v/>
      </c>
      <c r="JH6" s="27" t="str">
        <f>IFERROR(VLOOKUP(DATE($K$1,$K$2,JH$4),Table1[],(MATCH(Calendar!$A6,DB!1:1,0)+2),FALSE),"")</f>
        <v/>
      </c>
      <c r="JI6" s="27" t="str">
        <f>IFERROR(VLOOKUP(DATE($K$1,$K$2,JI$4),Table1[],(MATCH(Calendar!$A6,DB!1:1,0)+2),FALSE),"")</f>
        <v/>
      </c>
      <c r="JJ6" s="27" t="str">
        <f>IFERROR(VLOOKUP(DATE($K$1,$K$2,JJ$4),Table1[],(MATCH(Calendar!$A6,DB!1:1,0)+2),FALSE),"")</f>
        <v/>
      </c>
      <c r="JK6" s="27" t="str">
        <f>IFERROR(VLOOKUP(DATE($K$1,$K$2,JK$4),Table1[],(MATCH(Calendar!$A6,DB!1:1,0)+2),FALSE),"")</f>
        <v/>
      </c>
      <c r="JL6" s="27" t="str">
        <f>IFERROR(VLOOKUP(DATE($K$1,$K$2,JL$4),Table1[],(MATCH(Calendar!$A6,DB!1:1,0)+2),FALSE),"")</f>
        <v/>
      </c>
      <c r="JM6" s="27" t="str">
        <f>IFERROR(VLOOKUP(DATE($K$1,$K$2,JM$4),Table1[],(MATCH(Calendar!$A6,DB!1:1,0)+2),FALSE),"")</f>
        <v/>
      </c>
      <c r="JN6" s="27" t="str">
        <f>IFERROR(VLOOKUP(DATE($K$1,$K$2,JN$4),Table1[],(MATCH(Calendar!$A6,DB!1:1,0)+2),FALSE),"")</f>
        <v/>
      </c>
      <c r="JO6" s="27" t="str">
        <f>IFERROR(VLOOKUP(DATE($K$1,$K$2,JO$4),Table1[],(MATCH(Calendar!$A6,DB!1:1,0)+2),FALSE),"")</f>
        <v/>
      </c>
      <c r="JP6" s="27" t="str">
        <f>IFERROR(VLOOKUP(DATE($K$1,$K$2,JP$4),Table1[],(MATCH(Calendar!$A6,DB!1:1,0)+2),FALSE),"")</f>
        <v/>
      </c>
      <c r="JQ6" s="27" t="str">
        <f>IFERROR(VLOOKUP(DATE($K$1,$K$2,JQ$4),Table1[],(MATCH(Calendar!$A6,DB!1:1,0)+2),FALSE),"")</f>
        <v/>
      </c>
      <c r="JR6" s="27" t="str">
        <f>IFERROR(VLOOKUP(DATE($K$1,$K$2,JR$4),Table1[],(MATCH(Calendar!$A6,DB!1:1,0)+2),FALSE),"")</f>
        <v/>
      </c>
      <c r="JS6" s="27" t="str">
        <f>IFERROR(VLOOKUP(DATE($K$1,$K$2,JS$4),Table1[],(MATCH(Calendar!$A6,DB!1:1,0)+2),FALSE),"")</f>
        <v/>
      </c>
      <c r="JT6" s="27" t="str">
        <f>IFERROR(VLOOKUP(DATE($K$1,$K$2,JT$4),Table1[],(MATCH(Calendar!$A6,DB!1:1,0)+2),FALSE),"")</f>
        <v/>
      </c>
      <c r="JU6" s="27" t="str">
        <f>IFERROR(VLOOKUP(DATE($K$1,$K$2,JU$4),Table1[],(MATCH(Calendar!$A6,DB!1:1,0)+2),FALSE),"")</f>
        <v/>
      </c>
      <c r="JV6" s="27" t="str">
        <f>IFERROR(VLOOKUP(DATE($K$1,$K$2,JV$4),Table1[],(MATCH(Calendar!$A6,DB!1:1,0)+2),FALSE),"")</f>
        <v/>
      </c>
      <c r="JW6" s="27" t="str">
        <f>IFERROR(VLOOKUP(DATE($K$1,$K$2,JW$4),Table1[],(MATCH(Calendar!$A6,DB!1:1,0)+2),FALSE),"")</f>
        <v/>
      </c>
      <c r="JX6" s="27" t="str">
        <f>IFERROR(VLOOKUP(DATE($K$1,$K$2,JX$4),Table1[],(MATCH(Calendar!$A6,DB!1:1,0)+2),FALSE),"")</f>
        <v/>
      </c>
      <c r="JY6" s="27" t="str">
        <f>IFERROR(VLOOKUP(DATE($K$1,$K$2,JY$4),Table1[],(MATCH(Calendar!$A6,DB!1:1,0)+2),FALSE),"")</f>
        <v/>
      </c>
      <c r="JZ6" s="27" t="str">
        <f>IFERROR(VLOOKUP(DATE($K$1,$K$2,JZ$4),Table1[],(MATCH(Calendar!$A6,DB!1:1,0)+2),FALSE),"")</f>
        <v/>
      </c>
      <c r="KA6" s="27" t="str">
        <f>IFERROR(VLOOKUP(DATE($K$1,$K$2,KA$4),Table1[],(MATCH(Calendar!$A6,DB!1:1,0)+2),FALSE),"")</f>
        <v/>
      </c>
      <c r="KB6" s="27" t="str">
        <f>IFERROR(VLOOKUP(DATE($K$1,$K$2,KB$4),Table1[],(MATCH(Calendar!$A6,DB!1:1,0)+2),FALSE),"")</f>
        <v/>
      </c>
      <c r="KC6" s="27" t="str">
        <f>IFERROR(VLOOKUP(DATE($K$1,$K$2,KC$4),Table1[],(MATCH(Calendar!$A6,DB!1:1,0)+2),FALSE),"")</f>
        <v/>
      </c>
      <c r="KD6" s="27" t="str">
        <f>IFERROR(VLOOKUP(DATE($K$1,$K$2,KD$4),Table1[],(MATCH(Calendar!$A6,DB!1:1,0)+2),FALSE),"")</f>
        <v/>
      </c>
      <c r="KE6" s="27" t="str">
        <f>IFERROR(VLOOKUP(DATE($K$1,$K$2,KE$4),Table1[],(MATCH(Calendar!$A6,DB!1:1,0)+2),FALSE),"")</f>
        <v/>
      </c>
      <c r="KF6" s="27" t="str">
        <f>IFERROR(VLOOKUP(DATE($K$1,$K$2,KF$4),Table1[],(MATCH(Calendar!$A6,DB!1:1,0)+2),FALSE),"")</f>
        <v/>
      </c>
      <c r="KG6" s="27" t="str">
        <f>IFERROR(VLOOKUP(DATE($K$1,$K$2,KG$4),Table1[],(MATCH(Calendar!$A6,DB!1:1,0)+2),FALSE),"")</f>
        <v/>
      </c>
      <c r="KH6" s="27" t="str">
        <f>IFERROR(VLOOKUP(DATE($K$1,$K$2,KH$4),Table1[],(MATCH(Calendar!$A6,DB!1:1,0)+2),FALSE),"")</f>
        <v/>
      </c>
      <c r="KI6" s="27" t="str">
        <f>IFERROR(VLOOKUP(DATE($K$1,$K$2,KI$4),Table1[],(MATCH(Calendar!$A6,DB!1:1,0)+2),FALSE),"")</f>
        <v/>
      </c>
      <c r="KJ6" s="27" t="str">
        <f>IFERROR(VLOOKUP(DATE($K$1,$K$2,KJ$4),Table1[],(MATCH(Calendar!$A6,DB!1:1,0)+2),FALSE),"")</f>
        <v/>
      </c>
      <c r="KK6" s="27" t="str">
        <f>IFERROR(VLOOKUP(DATE($K$1,$K$2,KK$4),Table1[],(MATCH(Calendar!$A6,DB!1:1,0)+2),FALSE),"")</f>
        <v/>
      </c>
      <c r="KL6" s="27" t="str">
        <f>IFERROR(VLOOKUP(DATE($K$1,$K$2,KL$4),Table1[],(MATCH(Calendar!$A6,DB!1:1,0)+2),FALSE),"")</f>
        <v/>
      </c>
      <c r="KM6" s="27" t="str">
        <f>IFERROR(VLOOKUP(DATE($K$1,$K$2,KM$4),Table1[],(MATCH(Calendar!$A6,DB!1:1,0)+2),FALSE),"")</f>
        <v/>
      </c>
      <c r="KN6" s="27" t="str">
        <f>IFERROR(VLOOKUP(DATE($K$1,$K$2,KN$4),Table1[],(MATCH(Calendar!$A6,DB!1:1,0)+2),FALSE),"")</f>
        <v/>
      </c>
      <c r="KO6" s="27" t="str">
        <f>IFERROR(VLOOKUP(DATE($K$1,$K$2,KO$4),Table1[],(MATCH(Calendar!$A6,DB!1:1,0)+2),FALSE),"")</f>
        <v/>
      </c>
      <c r="KP6" s="27" t="str">
        <f>IFERROR(VLOOKUP(DATE($K$1,$K$2,KP$4),Table1[],(MATCH(Calendar!$A6,DB!1:1,0)+2),FALSE),"")</f>
        <v/>
      </c>
      <c r="KQ6" s="27" t="str">
        <f>IFERROR(VLOOKUP(DATE($K$1,$K$2,KQ$4),Table1[],(MATCH(Calendar!$A6,DB!1:1,0)+2),FALSE),"")</f>
        <v/>
      </c>
      <c r="KR6" s="27" t="str">
        <f>IFERROR(VLOOKUP(DATE($K$1,$K$2,KR$4),Table1[],(MATCH(Calendar!$A6,DB!1:1,0)+2),FALSE),"")</f>
        <v/>
      </c>
      <c r="KS6" s="27" t="str">
        <f>IFERROR(VLOOKUP(DATE($K$1,$K$2,KS$4),Table1[],(MATCH(Calendar!$A6,DB!1:1,0)+2),FALSE),"")</f>
        <v/>
      </c>
      <c r="KT6" s="27" t="str">
        <f>IFERROR(VLOOKUP(DATE($K$1,$K$2,KT$4),Table1[],(MATCH(Calendar!$A6,DB!1:1,0)+2),FALSE),"")</f>
        <v/>
      </c>
      <c r="KU6" s="27" t="str">
        <f>IFERROR(VLOOKUP(DATE($K$1,$K$2,KU$4),Table1[],(MATCH(Calendar!$A6,DB!1:1,0)+2),FALSE),"")</f>
        <v/>
      </c>
      <c r="KV6" s="27" t="str">
        <f>IFERROR(VLOOKUP(DATE($K$1,$K$2,KV$4),Table1[],(MATCH(Calendar!$A6,DB!1:1,0)+2),FALSE),"")</f>
        <v/>
      </c>
      <c r="KW6" s="27" t="str">
        <f>IFERROR(VLOOKUP(DATE($K$1,$K$2,KW$4),Table1[],(MATCH(Calendar!$A6,DB!1:1,0)+2),FALSE),"")</f>
        <v/>
      </c>
      <c r="KX6" s="27" t="str">
        <f>IFERROR(VLOOKUP(DATE($K$1,$K$2,KX$4),Table1[],(MATCH(Calendar!$A6,DB!1:1,0)+2),FALSE),"")</f>
        <v/>
      </c>
      <c r="KY6" s="27" t="str">
        <f>IFERROR(VLOOKUP(DATE($K$1,$K$2,KY$4),Table1[],(MATCH(Calendar!$A6,DB!1:1,0)+2),FALSE),"")</f>
        <v/>
      </c>
      <c r="KZ6" s="27" t="str">
        <f>IFERROR(VLOOKUP(DATE($K$1,$K$2,KZ$4),Table1[],(MATCH(Calendar!$A6,DB!1:1,0)+2),FALSE),"")</f>
        <v/>
      </c>
      <c r="LA6" s="27" t="str">
        <f>IFERROR(VLOOKUP(DATE($K$1,$K$2,LA$4),Table1[],(MATCH(Calendar!$A6,DB!1:1,0)+2),FALSE),"")</f>
        <v/>
      </c>
      <c r="LB6" s="27" t="str">
        <f>IFERROR(VLOOKUP(DATE($K$1,$K$2,LB$4),Table1[],(MATCH(Calendar!$A6,DB!1:1,0)+2),FALSE),"")</f>
        <v/>
      </c>
      <c r="LC6" s="27" t="str">
        <f>IFERROR(VLOOKUP(DATE($K$1,$K$2,LC$4),Table1[],(MATCH(Calendar!$A6,DB!1:1,0)+2),FALSE),"")</f>
        <v/>
      </c>
      <c r="LD6" s="27" t="str">
        <f>IFERROR(VLOOKUP(DATE($K$1,$K$2,LD$4),Table1[],(MATCH(Calendar!$A6,DB!1:1,0)+2),FALSE),"")</f>
        <v/>
      </c>
      <c r="LE6" s="27" t="str">
        <f>IFERROR(VLOOKUP(DATE($K$1,$K$2,LE$4),Table1[],(MATCH(Calendar!$A6,DB!1:1,0)+2),FALSE),"")</f>
        <v/>
      </c>
      <c r="LF6" s="27" t="str">
        <f>IFERROR(VLOOKUP(DATE($K$1,$K$2,LF$4),Table1[],(MATCH(Calendar!$A6,DB!1:1,0)+2),FALSE),"")</f>
        <v/>
      </c>
      <c r="LG6" s="27" t="str">
        <f>IFERROR(VLOOKUP(DATE($K$1,$K$2,LG$4),Table1[],(MATCH(Calendar!$A6,DB!1:1,0)+2),FALSE),"")</f>
        <v/>
      </c>
      <c r="LH6" s="27" t="str">
        <f>IFERROR(VLOOKUP(DATE($K$1,$K$2,LH$4),Table1[],(MATCH(Calendar!$A6,DB!1:1,0)+2),FALSE),"")</f>
        <v/>
      </c>
      <c r="LI6" s="27" t="str">
        <f>IFERROR(VLOOKUP(DATE($K$1,$K$2,LI$4),Table1[],(MATCH(Calendar!$A6,DB!1:1,0)+2),FALSE),"")</f>
        <v/>
      </c>
      <c r="LJ6" s="27" t="str">
        <f>IFERROR(VLOOKUP(DATE($K$1,$K$2,LJ$4),Table1[],(MATCH(Calendar!$A6,DB!1:1,0)+2),FALSE),"")</f>
        <v/>
      </c>
      <c r="LK6" s="27" t="str">
        <f>IFERROR(VLOOKUP(DATE($K$1,$K$2,LK$4),Table1[],(MATCH(Calendar!$A6,DB!1:1,0)+2),FALSE),"")</f>
        <v/>
      </c>
      <c r="LL6" s="27" t="str">
        <f>IFERROR(VLOOKUP(DATE($K$1,$K$2,LL$4),Table1[],(MATCH(Calendar!$A6,DB!1:1,0)+2),FALSE),"")</f>
        <v/>
      </c>
      <c r="LM6" s="27" t="str">
        <f>IFERROR(VLOOKUP(DATE($K$1,$K$2,LM$4),Table1[],(MATCH(Calendar!$A6,DB!1:1,0)+2),FALSE),"")</f>
        <v/>
      </c>
      <c r="LN6" s="27" t="str">
        <f>IFERROR(VLOOKUP(DATE($K$1,$K$2,LN$4),Table1[],(MATCH(Calendar!$A6,DB!1:1,0)+2),FALSE),"")</f>
        <v/>
      </c>
      <c r="LO6" s="27" t="str">
        <f>IFERROR(VLOOKUP(DATE($K$1,$K$2,LO$4),Table1[],(MATCH(Calendar!$A6,DB!1:1,0)+2),FALSE),"")</f>
        <v/>
      </c>
      <c r="LP6" s="27" t="str">
        <f>IFERROR(VLOOKUP(DATE($K$1,$K$2,LP$4),Table1[],(MATCH(Calendar!$A6,DB!1:1,0)+2),FALSE),"")</f>
        <v/>
      </c>
      <c r="LQ6" s="27" t="str">
        <f>IFERROR(VLOOKUP(DATE($K$1,$K$2,LQ$4),Table1[],(MATCH(Calendar!$A6,DB!1:1,0)+2),FALSE),"")</f>
        <v/>
      </c>
      <c r="LR6" s="27" t="str">
        <f>IFERROR(VLOOKUP(DATE($K$1,$K$2,LR$4),Table1[],(MATCH(Calendar!$A6,DB!1:1,0)+2),FALSE),"")</f>
        <v/>
      </c>
      <c r="LS6" s="27" t="str">
        <f>IFERROR(VLOOKUP(DATE($K$1,$K$2,LS$4),Table1[],(MATCH(Calendar!$A6,DB!1:1,0)+2),FALSE),"")</f>
        <v/>
      </c>
      <c r="LT6" s="27" t="str">
        <f>IFERROR(VLOOKUP(DATE($K$1,$K$2,LT$4),Table1[],(MATCH(Calendar!$A6,DB!1:1,0)+2),FALSE),"")</f>
        <v/>
      </c>
      <c r="LU6" s="27" t="str">
        <f>IFERROR(VLOOKUP(DATE($K$1,$K$2,LU$4),Table1[],(MATCH(Calendar!$A6,DB!1:1,0)+2),FALSE),"")</f>
        <v/>
      </c>
      <c r="LV6" s="27" t="str">
        <f>IFERROR(VLOOKUP(DATE($K$1,$K$2,LV$4),Table1[],(MATCH(Calendar!$A6,DB!1:1,0)+2),FALSE),"")</f>
        <v/>
      </c>
      <c r="LW6" s="27" t="str">
        <f>IFERROR(VLOOKUP(DATE($K$1,$K$2,LW$4),Table1[],(MATCH(Calendar!$A6,DB!1:1,0)+2),FALSE),"")</f>
        <v/>
      </c>
      <c r="LX6" s="27" t="str">
        <f>IFERROR(VLOOKUP(DATE($K$1,$K$2,LX$4),Table1[],(MATCH(Calendar!$A6,DB!1:1,0)+2),FALSE),"")</f>
        <v/>
      </c>
      <c r="LY6" s="27" t="str">
        <f>IFERROR(VLOOKUP(DATE($K$1,$K$2,LY$4),Table1[],(MATCH(Calendar!$A6,DB!1:1,0)+2),FALSE),"")</f>
        <v/>
      </c>
      <c r="LZ6" s="27" t="str">
        <f>IFERROR(VLOOKUP(DATE($K$1,$K$2,LZ$4),Table1[],(MATCH(Calendar!$A6,DB!1:1,0)+2),FALSE),"")</f>
        <v/>
      </c>
      <c r="MA6" s="27" t="str">
        <f>IFERROR(VLOOKUP(DATE($K$1,$K$2,MA$4),Table1[],(MATCH(Calendar!$A6,DB!1:1,0)+2),FALSE),"")</f>
        <v/>
      </c>
      <c r="MB6" s="27" t="str">
        <f>IFERROR(VLOOKUP(DATE($K$1,$K$2,MB$4),Table1[],(MATCH(Calendar!$A6,DB!1:1,0)+2),FALSE),"")</f>
        <v/>
      </c>
      <c r="MC6" s="27" t="str">
        <f>IFERROR(VLOOKUP(DATE($K$1,$K$2,MC$4),Table1[],(MATCH(Calendar!$A6,DB!1:1,0)+2),FALSE),"")</f>
        <v/>
      </c>
      <c r="MD6" s="27" t="str">
        <f>IFERROR(VLOOKUP(DATE($K$1,$K$2,MD$4),Table1[],(MATCH(Calendar!$A6,DB!1:1,0)+2),FALSE),"")</f>
        <v/>
      </c>
      <c r="ME6" s="27" t="str">
        <f>IFERROR(VLOOKUP(DATE($K$1,$K$2,ME$4),Table1[],(MATCH(Calendar!$A6,DB!1:1,0)+2),FALSE),"")</f>
        <v/>
      </c>
      <c r="MF6" s="27" t="str">
        <f>IFERROR(VLOOKUP(DATE($K$1,$K$2,MF$4),Table1[],(MATCH(Calendar!$A6,DB!1:1,0)+2),FALSE),"")</f>
        <v/>
      </c>
      <c r="MG6" s="27" t="str">
        <f>IFERROR(VLOOKUP(DATE($K$1,$K$2,MG$4),Table1[],(MATCH(Calendar!$A6,DB!1:1,0)+2),FALSE),"")</f>
        <v/>
      </c>
      <c r="MH6" s="27" t="str">
        <f>IFERROR(VLOOKUP(DATE($K$1,$K$2,MH$4),Table1[],(MATCH(Calendar!$A6,DB!1:1,0)+2),FALSE),"")</f>
        <v/>
      </c>
      <c r="MI6" s="27" t="str">
        <f>IFERROR(VLOOKUP(DATE($K$1,$K$2,MI$4),Table1[],(MATCH(Calendar!$A6,DB!1:1,0)+2),FALSE),"")</f>
        <v/>
      </c>
      <c r="MJ6" s="27" t="str">
        <f>IFERROR(VLOOKUP(DATE($K$1,$K$2,MJ$4),Table1[],(MATCH(Calendar!$A6,DB!1:1,0)+2),FALSE),"")</f>
        <v/>
      </c>
      <c r="MK6" s="27" t="str">
        <f>IFERROR(VLOOKUP(DATE($K$1,$K$2,MK$4),Table1[],(MATCH(Calendar!$A6,DB!1:1,0)+2),FALSE),"")</f>
        <v/>
      </c>
      <c r="ML6" s="27" t="str">
        <f>IFERROR(VLOOKUP(DATE($K$1,$K$2,ML$4),Table1[],(MATCH(Calendar!$A6,DB!1:1,0)+2),FALSE),"")</f>
        <v/>
      </c>
      <c r="MM6" s="27" t="str">
        <f>IFERROR(VLOOKUP(DATE($K$1,$K$2,MM$4),Table1[],(MATCH(Calendar!$A6,DB!1:1,0)+2),FALSE),"")</f>
        <v/>
      </c>
      <c r="MN6" s="27" t="str">
        <f>IFERROR(VLOOKUP(DATE($K$1,$K$2,MN$4),Table1[],(MATCH(Calendar!$A6,DB!1:1,0)+2),FALSE),"")</f>
        <v/>
      </c>
      <c r="MO6" s="27" t="str">
        <f>IFERROR(VLOOKUP(DATE($K$1,$K$2,MO$4),Table1[],(MATCH(Calendar!$A6,DB!1:1,0)+2),FALSE),"")</f>
        <v/>
      </c>
      <c r="MP6" s="27" t="str">
        <f>IFERROR(VLOOKUP(DATE($K$1,$K$2,MP$4),Table1[],(MATCH(Calendar!$A6,DB!1:1,0)+2),FALSE),"")</f>
        <v/>
      </c>
      <c r="MQ6" s="27" t="str">
        <f>IFERROR(VLOOKUP(DATE($K$1,$K$2,MQ$4),Table1[],(MATCH(Calendar!$A6,DB!1:1,0)+2),FALSE),"")</f>
        <v/>
      </c>
      <c r="MR6" s="27" t="str">
        <f>IFERROR(VLOOKUP(DATE($K$1,$K$2,MR$4),Table1[],(MATCH(Calendar!$A6,DB!1:1,0)+2),FALSE),"")</f>
        <v/>
      </c>
      <c r="MS6" s="27" t="str">
        <f>IFERROR(VLOOKUP(DATE($K$1,$K$2,MS$4),Table1[],(MATCH(Calendar!$A6,DB!1:1,0)+2),FALSE),"")</f>
        <v/>
      </c>
      <c r="MT6" s="27" t="str">
        <f>IFERROR(VLOOKUP(DATE($K$1,$K$2,MT$4),Table1[],(MATCH(Calendar!$A6,DB!1:1,0)+2),FALSE),"")</f>
        <v/>
      </c>
      <c r="MU6" s="27" t="str">
        <f>IFERROR(VLOOKUP(DATE($K$1,$K$2,MU$4),Table1[],(MATCH(Calendar!$A6,DB!1:1,0)+2),FALSE),"")</f>
        <v/>
      </c>
      <c r="MV6" s="27" t="str">
        <f>IFERROR(VLOOKUP(DATE($K$1,$K$2,MV$4),Table1[],(MATCH(Calendar!$A6,DB!1:1,0)+2),FALSE),"")</f>
        <v/>
      </c>
      <c r="MW6" s="27" t="str">
        <f>IFERROR(VLOOKUP(DATE($K$1,$K$2,MW$4),Table1[],(MATCH(Calendar!$A6,DB!1:1,0)+2),FALSE),"")</f>
        <v/>
      </c>
      <c r="MX6" s="27" t="str">
        <f>IFERROR(VLOOKUP(DATE($K$1,$K$2,MX$4),Table1[],(MATCH(Calendar!$A6,DB!1:1,0)+2),FALSE),"")</f>
        <v/>
      </c>
      <c r="MY6" s="27" t="str">
        <f>IFERROR(VLOOKUP(DATE($K$1,$K$2,MY$4),Table1[],(MATCH(Calendar!$A6,DB!1:1,0)+2),FALSE),"")</f>
        <v/>
      </c>
      <c r="MZ6" s="27" t="str">
        <f>IFERROR(VLOOKUP(DATE($K$1,$K$2,MZ$4),Table1[],(MATCH(Calendar!$A6,DB!1:1,0)+2),FALSE),"")</f>
        <v/>
      </c>
      <c r="NA6" s="27" t="str">
        <f>IFERROR(VLOOKUP(DATE($K$1,$K$2,NA$4),Table1[],(MATCH(Calendar!$A6,DB!1:1,0)+2),FALSE),"")</f>
        <v/>
      </c>
      <c r="NB6" s="27" t="str">
        <f>IFERROR(VLOOKUP(DATE($K$1,$K$2,NB$4),Table1[],(MATCH(Calendar!$A6,DB!1:1,0)+2),FALSE),"")</f>
        <v/>
      </c>
      <c r="NC6" s="27" t="str">
        <f>IFERROR(VLOOKUP(DATE($K$1,$K$2,NC$4),Table1[],(MATCH(Calendar!$A6,DB!1:1,0)+2),FALSE),"")</f>
        <v/>
      </c>
      <c r="ND6" s="27" t="str">
        <f>IFERROR(VLOOKUP(DATE($K$1,$K$2,ND$4),Table1[],(MATCH(Calendar!$A6,DB!1:1,0)+2),FALSE),"")</f>
        <v/>
      </c>
      <c r="NE6" s="27" t="str">
        <f>IFERROR(VLOOKUP(DATE($K$1,$K$2,NE$4),Table1[],(MATCH(Calendar!$A6,DB!1:1,0)+2),FALSE),"")</f>
        <v/>
      </c>
      <c r="NF6" s="27" t="str">
        <f>IFERROR(VLOOKUP(DATE($K$1,$K$2,NF$4),Table1[],(MATCH(Calendar!$A6,DB!1:1,0)+2),FALSE),"")</f>
        <v/>
      </c>
      <c r="NG6" s="27" t="str">
        <f>IFERROR(VLOOKUP(DATE($K$1,$K$2,NG$4),Table1[],(MATCH(Calendar!$A6,DB!1:1,0)+2),FALSE),"")</f>
        <v/>
      </c>
      <c r="NH6" s="27" t="str">
        <f>IFERROR(VLOOKUP(DATE($K$1,$K$2,NH$4),Table1[],(MATCH(Calendar!$A6,DB!1:1,0)+2),FALSE),"")</f>
        <v/>
      </c>
      <c r="NI6" s="27" t="str">
        <f>IFERROR(VLOOKUP(DATE($K$1,$K$2,NI$4),Table1[],(MATCH(Calendar!$A6,DB!1:1,0)+2),FALSE),"")</f>
        <v/>
      </c>
      <c r="NJ6" s="27" t="str">
        <f>IFERROR(VLOOKUP(DATE($K$1,$K$2,NJ$4),Table1[],(MATCH(Calendar!$A6,DB!1:1,0)+2),FALSE),"")</f>
        <v/>
      </c>
      <c r="NK6" s="27" t="str">
        <f>IFERROR(VLOOKUP(DATE($K$1,$K$2,NK$4),Table1[],(MATCH(Calendar!$A6,DB!1:1,0)+2),FALSE),"")</f>
        <v/>
      </c>
      <c r="NL6" s="27" t="str">
        <f>IFERROR(VLOOKUP(DATE($K$1,$K$2,NL$4),Table1[],(MATCH(Calendar!$A6,DB!1:1,0)+2),FALSE),"")</f>
        <v/>
      </c>
      <c r="NM6" s="27" t="str">
        <f>IFERROR(VLOOKUP(DATE($K$1,$K$2,NM$4),Table1[],(MATCH(Calendar!$A6,DB!1:1,0)+2),FALSE),"")</f>
        <v/>
      </c>
      <c r="NN6" s="27" t="str">
        <f>IFERROR(VLOOKUP(DATE($K$1,$K$2,NN$4),Table1[],(MATCH(Calendar!$A6,DB!1:1,0)+2),FALSE),"")</f>
        <v/>
      </c>
      <c r="NO6" s="27" t="str">
        <f>IFERROR(VLOOKUP(DATE($K$1,$K$2,NO$4),Table1[],(MATCH(Calendar!$A6,DB!1:1,0)+2),FALSE),"")</f>
        <v/>
      </c>
      <c r="NP6" s="27" t="str">
        <f>IFERROR(VLOOKUP(DATE($K$1,$K$2,NP$4),Table1[],(MATCH(Calendar!$A6,DB!1:1,0)+2),FALSE),"")</f>
        <v/>
      </c>
      <c r="NQ6" s="27" t="str">
        <f>IFERROR(VLOOKUP(DATE($K$1,$K$2,NQ$4),Table1[],(MATCH(Calendar!$A6,DB!1:1,0)+2),FALSE),"")</f>
        <v/>
      </c>
      <c r="NR6" s="27" t="str">
        <f>IFERROR(VLOOKUP(DATE($K$1,$K$2,NR$4),Table1[],(MATCH(Calendar!$A6,DB!1:1,0)+2),FALSE),"")</f>
        <v/>
      </c>
      <c r="NS6" s="27" t="str">
        <f>IFERROR(VLOOKUP(DATE($K$1,$K$2,NS$4),Table1[],(MATCH(Calendar!$A6,DB!1:1,0)+2),FALSE),"")</f>
        <v/>
      </c>
      <c r="NT6" s="27" t="str">
        <f>IFERROR(VLOOKUP(DATE($K$1,$K$2,NT$4),Table1[],(MATCH(Calendar!$A6,DB!1:1,0)+2),FALSE),"")</f>
        <v/>
      </c>
      <c r="NU6" s="27" t="str">
        <f>IFERROR(VLOOKUP(DATE($K$1,$K$2,NU$4),Table1[],(MATCH(Calendar!$A6,DB!1:1,0)+2),FALSE),"")</f>
        <v/>
      </c>
      <c r="NV6" s="27" t="str">
        <f>IFERROR(VLOOKUP(DATE($K$1,$K$2,NV$4),Table1[],(MATCH(Calendar!$A6,DB!1:1,0)+2),FALSE),"")</f>
        <v/>
      </c>
      <c r="NW6" s="27" t="str">
        <f>IFERROR(VLOOKUP(DATE($K$1,$K$2,NW$4),Table1[],(MATCH(Calendar!$A6,DB!1:1,0)+2),FALSE),"")</f>
        <v/>
      </c>
      <c r="NX6" s="27" t="str">
        <f>IFERROR(VLOOKUP(DATE($K$1,$K$2,NX$4),Table1[],(MATCH(Calendar!$A6,DB!1:1,0)+2),FALSE),"")</f>
        <v/>
      </c>
      <c r="NY6" s="27" t="str">
        <f>IFERROR(VLOOKUP(DATE($K$1,$K$2,NY$4),Table1[],(MATCH(Calendar!$A6,DB!1:1,0)+2),FALSE),"")</f>
        <v/>
      </c>
      <c r="NZ6" s="27" t="str">
        <f>IFERROR(VLOOKUP(DATE($K$1,$K$2,NZ$4),Table1[],(MATCH(Calendar!$A6,DB!1:1,0)+2),FALSE),"")</f>
        <v/>
      </c>
      <c r="OA6" s="27" t="str">
        <f>IFERROR(VLOOKUP(DATE($K$1,$K$2,OA$4),Table1[],(MATCH(Calendar!$A6,DB!1:1,0)+2),FALSE),"")</f>
        <v/>
      </c>
      <c r="OB6" s="27" t="str">
        <f>IFERROR(VLOOKUP(DATE($K$1,$K$2,OB$4),Table1[],(MATCH(Calendar!$A6,DB!1:1,0)+2),FALSE),"")</f>
        <v/>
      </c>
      <c r="OC6" s="27" t="str">
        <f>IFERROR(VLOOKUP(DATE($K$1,$K$2,OC$4),Table1[],(MATCH(Calendar!$A6,DB!1:1,0)+2),FALSE),"")</f>
        <v/>
      </c>
      <c r="OD6" s="27" t="str">
        <f>IFERROR(VLOOKUP(DATE($K$1,$K$2,OD$4),Table1[],(MATCH(Calendar!$A6,DB!1:1,0)+2),FALSE),"")</f>
        <v/>
      </c>
      <c r="OE6" s="27" t="str">
        <f>IFERROR(VLOOKUP(DATE($K$1,$K$2,OE$4),Table1[],(MATCH(Calendar!$A6,DB!1:1,0)+2),FALSE),"")</f>
        <v/>
      </c>
      <c r="OF6" s="27" t="str">
        <f>IFERROR(VLOOKUP(DATE($K$1,$K$2,OF$4),Table1[],(MATCH(Calendar!$A6,DB!1:1,0)+2),FALSE),"")</f>
        <v/>
      </c>
      <c r="OG6" s="27" t="str">
        <f>IFERROR(VLOOKUP(DATE($K$1,$K$2,OG$4),Table1[],(MATCH(Calendar!$A6,DB!1:1,0)+2),FALSE),"")</f>
        <v/>
      </c>
      <c r="OH6" s="27" t="str">
        <f>IFERROR(VLOOKUP(DATE($K$1,$K$2,OH$4),Table1[],(MATCH(Calendar!$A6,DB!1:1,0)+2),FALSE),"")</f>
        <v/>
      </c>
      <c r="OI6" s="27" t="str">
        <f>IFERROR(VLOOKUP(DATE($K$1,$K$2,OI$4),Table1[],(MATCH(Calendar!$A6,DB!1:1,0)+2),FALSE),"")</f>
        <v/>
      </c>
      <c r="OJ6" s="27" t="str">
        <f>IFERROR(VLOOKUP(DATE($K$1,$K$2,OJ$4),Table1[],(MATCH(Calendar!$A6,DB!1:1,0)+2),FALSE),"")</f>
        <v/>
      </c>
      <c r="OK6" s="27" t="str">
        <f>IFERROR(VLOOKUP(DATE($K$1,$K$2,OK$4),Table1[],(MATCH(Calendar!$A6,DB!1:1,0)+2),FALSE),"")</f>
        <v/>
      </c>
      <c r="OL6" s="27" t="str">
        <f>IFERROR(VLOOKUP(DATE($K$1,$K$2,OL$4),Table1[],(MATCH(Calendar!$A6,DB!1:1,0)+2),FALSE),"")</f>
        <v/>
      </c>
      <c r="OM6" s="27" t="str">
        <f>IFERROR(VLOOKUP(DATE($K$1,$K$2,OM$4),Table1[],(MATCH(Calendar!$A6,DB!1:1,0)+2),FALSE),"")</f>
        <v/>
      </c>
      <c r="ON6" s="27" t="str">
        <f>IFERROR(VLOOKUP(DATE($K$1,$K$2,ON$4),Table1[],(MATCH(Calendar!$A6,DB!1:1,0)+2),FALSE),"")</f>
        <v/>
      </c>
      <c r="OO6" s="27" t="str">
        <f>IFERROR(VLOOKUP(DATE($K$1,$K$2,OO$4),Table1[],(MATCH(Calendar!$A6,DB!1:1,0)+2),FALSE),"")</f>
        <v/>
      </c>
      <c r="OP6" s="27" t="str">
        <f>IFERROR(VLOOKUP(DATE($K$1,$K$2,OP$4),Table1[],(MATCH(Calendar!$A6,DB!1:1,0)+2),FALSE),"")</f>
        <v/>
      </c>
      <c r="OQ6" s="27" t="str">
        <f>IFERROR(VLOOKUP(DATE($K$1,$K$2,OQ$4),Table1[],(MATCH(Calendar!$A6,DB!1:1,0)+2),FALSE),"")</f>
        <v/>
      </c>
      <c r="OR6" s="27" t="str">
        <f>IFERROR(VLOOKUP(DATE($K$1,$K$2,OR$4),Table1[],(MATCH(Calendar!$A6,DB!1:1,0)+2),FALSE),"")</f>
        <v/>
      </c>
      <c r="OS6" s="27" t="str">
        <f>IFERROR(VLOOKUP(DATE($K$1,$K$2,OS$4),Table1[],(MATCH(Calendar!$A6,DB!1:1,0)+2),FALSE),"")</f>
        <v/>
      </c>
      <c r="OT6" s="27" t="str">
        <f>IFERROR(VLOOKUP(DATE($K$1,$K$2,OT$4),Table1[],(MATCH(Calendar!$A6,DB!1:1,0)+2),FALSE),"")</f>
        <v/>
      </c>
      <c r="OU6" s="27" t="str">
        <f>IFERROR(VLOOKUP(DATE($K$1,$K$2,OU$4),Table1[],(MATCH(Calendar!$A6,DB!1:1,0)+2),FALSE),"")</f>
        <v/>
      </c>
      <c r="OV6" s="27" t="str">
        <f>IFERROR(VLOOKUP(DATE($K$1,$K$2,OV$4),Table1[],(MATCH(Calendar!$A6,DB!1:1,0)+2),FALSE),"")</f>
        <v/>
      </c>
      <c r="OW6" s="27" t="str">
        <f>IFERROR(VLOOKUP(DATE($K$1,$K$2,OW$4),Table1[],(MATCH(Calendar!$A6,DB!1:1,0)+2),FALSE),"")</f>
        <v/>
      </c>
      <c r="OX6" s="27" t="str">
        <f>IFERROR(VLOOKUP(DATE($K$1,$K$2,OX$4),Table1[],(MATCH(Calendar!$A6,DB!1:1,0)+2),FALSE),"")</f>
        <v/>
      </c>
      <c r="OY6" s="27" t="str">
        <f>IFERROR(VLOOKUP(DATE($K$1,$K$2,OY$4),Table1[],(MATCH(Calendar!$A6,DB!1:1,0)+2),FALSE),"")</f>
        <v/>
      </c>
      <c r="OZ6" s="27" t="str">
        <f>IFERROR(VLOOKUP(DATE($K$1,$K$2,OZ$4),Table1[],(MATCH(Calendar!$A6,DB!1:1,0)+2),FALSE),"")</f>
        <v/>
      </c>
      <c r="PA6" s="27" t="str">
        <f>IFERROR(VLOOKUP(DATE($K$1,$K$2,PA$4),Table1[],(MATCH(Calendar!$A6,DB!1:1,0)+2),FALSE),"")</f>
        <v/>
      </c>
      <c r="PB6" s="27" t="str">
        <f>IFERROR(VLOOKUP(DATE($K$1,$K$2,PB$4),Table1[],(MATCH(Calendar!$A6,DB!1:1,0)+2),FALSE),"")</f>
        <v/>
      </c>
      <c r="PC6" s="27" t="str">
        <f>IFERROR(VLOOKUP(DATE($K$1,$K$2,PC$4),Table1[],(MATCH(Calendar!$A6,DB!1:1,0)+2),FALSE),"")</f>
        <v/>
      </c>
      <c r="PD6" s="27" t="str">
        <f>IFERROR(VLOOKUP(DATE($K$1,$K$2,PD$4),Table1[],(MATCH(Calendar!$A6,DB!1:1,0)+2),FALSE),"")</f>
        <v/>
      </c>
      <c r="PE6" s="27" t="str">
        <f>IFERROR(VLOOKUP(DATE($K$1,$K$2,PE$4),Table1[],(MATCH(Calendar!$A6,DB!1:1,0)+2),FALSE),"")</f>
        <v/>
      </c>
      <c r="PF6" s="27" t="str">
        <f>IFERROR(VLOOKUP(DATE($K$1,$K$2,PF$4),Table1[],(MATCH(Calendar!$A6,DB!1:1,0)+2),FALSE),"")</f>
        <v/>
      </c>
      <c r="PG6" s="27" t="str">
        <f>IFERROR(VLOOKUP(DATE($K$1,$K$2,PG$4),Table1[],(MATCH(Calendar!$A6,DB!1:1,0)+2),FALSE),"")</f>
        <v/>
      </c>
      <c r="PH6" s="27" t="str">
        <f>IFERROR(VLOOKUP(DATE($K$1,$K$2,PH$4),Table1[],(MATCH(Calendar!$A6,DB!1:1,0)+2),FALSE),"")</f>
        <v/>
      </c>
      <c r="PI6" s="27" t="str">
        <f>IFERROR(VLOOKUP(DATE($K$1,$K$2,PI$4),Table1[],(MATCH(Calendar!$A6,DB!1:1,0)+2),FALSE),"")</f>
        <v/>
      </c>
      <c r="PJ6" s="27" t="str">
        <f>IFERROR(VLOOKUP(DATE($K$1,$K$2,PJ$4),Table1[],(MATCH(Calendar!$A6,DB!1:1,0)+2),FALSE),"")</f>
        <v/>
      </c>
      <c r="PK6" s="27" t="str">
        <f>IFERROR(VLOOKUP(DATE($K$1,$K$2,PK$4),Table1[],(MATCH(Calendar!$A6,DB!1:1,0)+2),FALSE),"")</f>
        <v/>
      </c>
      <c r="PL6" s="27" t="str">
        <f>IFERROR(VLOOKUP(DATE($K$1,$K$2,PL$4),Table1[],(MATCH(Calendar!$A6,DB!1:1,0)+2),FALSE),"")</f>
        <v/>
      </c>
      <c r="PM6" s="27" t="str">
        <f>IFERROR(VLOOKUP(DATE($K$1,$K$2,PM$4),Table1[],(MATCH(Calendar!$A6,DB!1:1,0)+2),FALSE),"")</f>
        <v/>
      </c>
      <c r="PN6" s="27" t="str">
        <f>IFERROR(VLOOKUP(DATE($K$1,$K$2,PN$4),Table1[],(MATCH(Calendar!$A6,DB!1:1,0)+2),FALSE),"")</f>
        <v/>
      </c>
      <c r="PO6" s="27" t="str">
        <f>IFERROR(VLOOKUP(DATE($K$1,$K$2,PO$4),Table1[],(MATCH(Calendar!$A6,DB!1:1,0)+2),FALSE),"")</f>
        <v/>
      </c>
      <c r="PP6" s="27" t="str">
        <f>IFERROR(VLOOKUP(DATE($K$1,$K$2,PP$4),Table1[],(MATCH(Calendar!$A6,DB!1:1,0)+2),FALSE),"")</f>
        <v/>
      </c>
      <c r="PQ6" s="27" t="str">
        <f>IFERROR(VLOOKUP(DATE($K$1,$K$2,PQ$4),Table1[],(MATCH(Calendar!$A6,DB!1:1,0)+2),FALSE),"")</f>
        <v/>
      </c>
      <c r="PR6" s="27" t="str">
        <f>IFERROR(VLOOKUP(DATE($K$1,$K$2,PR$4),Table1[],(MATCH(Calendar!$A6,DB!1:1,0)+2),FALSE),"")</f>
        <v/>
      </c>
      <c r="PS6" s="27" t="str">
        <f>IFERROR(VLOOKUP(DATE($K$1,$K$2,PS$4),Table1[],(MATCH(Calendar!$A6,DB!1:1,0)+2),FALSE),"")</f>
        <v/>
      </c>
      <c r="PT6" s="27" t="str">
        <f>IFERROR(VLOOKUP(DATE($K$1,$K$2,PT$4),Table1[],(MATCH(Calendar!$A6,DB!1:1,0)+2),FALSE),"")</f>
        <v/>
      </c>
      <c r="PU6" s="27" t="str">
        <f>IFERROR(VLOOKUP(DATE($K$1,$K$2,PU$4),Table1[],(MATCH(Calendar!$A6,DB!1:1,0)+2),FALSE),"")</f>
        <v/>
      </c>
      <c r="PV6" s="27" t="str">
        <f>IFERROR(VLOOKUP(DATE($K$1,$K$2,PV$4),Table1[],(MATCH(Calendar!$A6,DB!1:1,0)+2),FALSE),"")</f>
        <v/>
      </c>
      <c r="PW6" s="27" t="str">
        <f>IFERROR(VLOOKUP(DATE($K$1,$K$2,PW$4),Table1[],(MATCH(Calendar!$A6,DB!1:1,0)+2),FALSE),"")</f>
        <v/>
      </c>
      <c r="PX6" s="27" t="str">
        <f>IFERROR(VLOOKUP(DATE($K$1,$K$2,PX$4),Table1[],(MATCH(Calendar!$A6,DB!1:1,0)+2),FALSE),"")</f>
        <v/>
      </c>
      <c r="PY6" s="27" t="str">
        <f>IFERROR(VLOOKUP(DATE($K$1,$K$2,PY$4),Table1[],(MATCH(Calendar!$A6,DB!1:1,0)+2),FALSE),"")</f>
        <v/>
      </c>
      <c r="PZ6" s="27" t="str">
        <f>IFERROR(VLOOKUP(DATE($K$1,$K$2,PZ$4),Table1[],(MATCH(Calendar!$A6,DB!1:1,0)+2),FALSE),"")</f>
        <v/>
      </c>
      <c r="QA6" s="27" t="str">
        <f>IFERROR(VLOOKUP(DATE($K$1,$K$2,QA$4),Table1[],(MATCH(Calendar!$A6,DB!1:1,0)+2),FALSE),"")</f>
        <v/>
      </c>
      <c r="QB6" s="27" t="str">
        <f>IFERROR(VLOOKUP(DATE($K$1,$K$2,QB$4),Table1[],(MATCH(Calendar!$A6,DB!1:1,0)+2),FALSE),"")</f>
        <v/>
      </c>
      <c r="QC6" s="27" t="str">
        <f>IFERROR(VLOOKUP(DATE($K$1,$K$2,QC$4),Table1[],(MATCH(Calendar!$A6,DB!1:1,0)+2),FALSE),"")</f>
        <v/>
      </c>
      <c r="QD6" s="27" t="str">
        <f>IFERROR(VLOOKUP(DATE($K$1,$K$2,QD$4),Table1[],(MATCH(Calendar!$A6,DB!1:1,0)+2),FALSE),"")</f>
        <v/>
      </c>
      <c r="QE6" s="27" t="str">
        <f>IFERROR(VLOOKUP(DATE($K$1,$K$2,QE$4),Table1[],(MATCH(Calendar!$A6,DB!1:1,0)+2),FALSE),"")</f>
        <v/>
      </c>
      <c r="QF6" s="27" t="str">
        <f>IFERROR(VLOOKUP(DATE($K$1,$K$2,QF$4),Table1[],(MATCH(Calendar!$A6,DB!1:1,0)+2),FALSE),"")</f>
        <v/>
      </c>
      <c r="QG6" s="27" t="str">
        <f>IFERROR(VLOOKUP(DATE($K$1,$K$2,QG$4),Table1[],(MATCH(Calendar!$A6,DB!1:1,0)+2),FALSE),"")</f>
        <v/>
      </c>
      <c r="QH6" s="27" t="str">
        <f>IFERROR(VLOOKUP(DATE($K$1,$K$2,QH$4),Table1[],(MATCH(Calendar!$A6,DB!1:1,0)+2),FALSE),"")</f>
        <v/>
      </c>
      <c r="QI6" s="27" t="str">
        <f>IFERROR(VLOOKUP(DATE($K$1,$K$2,QI$4),Table1[],(MATCH(Calendar!$A6,DB!1:1,0)+2),FALSE),"")</f>
        <v/>
      </c>
      <c r="QJ6" s="27" t="str">
        <f>IFERROR(VLOOKUP(DATE($K$1,$K$2,QJ$4),Table1[],(MATCH(Calendar!$A6,DB!1:1,0)+2),FALSE),"")</f>
        <v/>
      </c>
      <c r="QK6" s="27" t="str">
        <f>IFERROR(VLOOKUP(DATE($K$1,$K$2,QK$4),Table1[],(MATCH(Calendar!$A6,DB!1:1,0)+2),FALSE),"")</f>
        <v/>
      </c>
      <c r="QL6" s="27" t="str">
        <f>IFERROR(VLOOKUP(DATE($K$1,$K$2,QL$4),Table1[],(MATCH(Calendar!$A6,DB!1:1,0)+2),FALSE),"")</f>
        <v/>
      </c>
      <c r="QM6" s="27" t="str">
        <f>IFERROR(VLOOKUP(DATE($K$1,$K$2,QM$4),Table1[],(MATCH(Calendar!$A6,DB!1:1,0)+2),FALSE),"")</f>
        <v/>
      </c>
      <c r="QN6" s="27" t="str">
        <f>IFERROR(VLOOKUP(DATE($K$1,$K$2,QN$4),Table1[],(MATCH(Calendar!$A6,DB!1:1,0)+2),FALSE),"")</f>
        <v/>
      </c>
      <c r="QO6" s="27" t="str">
        <f>IFERROR(VLOOKUP(DATE($K$1,$K$2,QO$4),Table1[],(MATCH(Calendar!$A6,DB!1:1,0)+2),FALSE),"")</f>
        <v/>
      </c>
      <c r="QP6" s="27" t="str">
        <f>IFERROR(VLOOKUP(DATE($K$1,$K$2,QP$4),Table1[],(MATCH(Calendar!$A6,DB!1:1,0)+2),FALSE),"")</f>
        <v/>
      </c>
      <c r="QQ6" s="27" t="str">
        <f>IFERROR(VLOOKUP(DATE($K$1,$K$2,QQ$4),Table1[],(MATCH(Calendar!$A6,DB!1:1,0)+2),FALSE),"")</f>
        <v/>
      </c>
      <c r="QR6" s="27" t="str">
        <f>IFERROR(VLOOKUP(DATE($K$1,$K$2,QR$4),Table1[],(MATCH(Calendar!$A6,DB!1:1,0)+2),FALSE),"")</f>
        <v/>
      </c>
      <c r="QS6" s="27" t="str">
        <f>IFERROR(VLOOKUP(DATE($K$1,$K$2,QS$4),Table1[],(MATCH(Calendar!$A6,DB!1:1,0)+2),FALSE),"")</f>
        <v/>
      </c>
      <c r="QT6" s="27" t="str">
        <f>IFERROR(VLOOKUP(DATE($K$1,$K$2,QT$4),Table1[],(MATCH(Calendar!$A6,DB!1:1,0)+2),FALSE),"")</f>
        <v/>
      </c>
      <c r="QU6" s="27" t="str">
        <f>IFERROR(VLOOKUP(DATE($K$1,$K$2,QU$4),Table1[],(MATCH(Calendar!$A6,DB!1:1,0)+2),FALSE),"")</f>
        <v/>
      </c>
      <c r="QV6" s="27" t="str">
        <f>IFERROR(VLOOKUP(DATE($K$1,$K$2,QV$4),Table1[],(MATCH(Calendar!$A6,DB!1:1,0)+2),FALSE),"")</f>
        <v/>
      </c>
      <c r="QW6" s="27" t="str">
        <f>IFERROR(VLOOKUP(DATE($K$1,$K$2,QW$4),Table1[],(MATCH(Calendar!$A6,DB!1:1,0)+2),FALSE),"")</f>
        <v/>
      </c>
      <c r="QX6" s="27" t="str">
        <f>IFERROR(VLOOKUP(DATE($K$1,$K$2,QX$4),Table1[],(MATCH(Calendar!$A6,DB!1:1,0)+2),FALSE),"")</f>
        <v/>
      </c>
      <c r="QY6" s="27" t="str">
        <f>IFERROR(VLOOKUP(DATE($K$1,$K$2,QY$4),Table1[],(MATCH(Calendar!$A6,DB!1:1,0)+2),FALSE),"")</f>
        <v/>
      </c>
      <c r="QZ6" s="27" t="str">
        <f>IFERROR(VLOOKUP(DATE($K$1,$K$2,QZ$4),Table1[],(MATCH(Calendar!$A6,DB!1:1,0)+2),FALSE),"")</f>
        <v/>
      </c>
      <c r="RA6" s="27" t="str">
        <f>IFERROR(VLOOKUP(DATE($K$1,$K$2,RA$4),Table1[],(MATCH(Calendar!$A6,DB!1:1,0)+2),FALSE),"")</f>
        <v/>
      </c>
      <c r="RB6" s="27" t="str">
        <f>IFERROR(VLOOKUP(DATE($K$1,$K$2,RB$4),Table1[],(MATCH(Calendar!$A6,DB!1:1,0)+2),FALSE),"")</f>
        <v/>
      </c>
      <c r="RC6" s="27" t="str">
        <f>IFERROR(VLOOKUP(DATE($K$1,$K$2,RC$4),Table1[],(MATCH(Calendar!$A6,DB!1:1,0)+2),FALSE),"")</f>
        <v/>
      </c>
      <c r="RD6" s="27" t="str">
        <f>IFERROR(VLOOKUP(DATE($K$1,$K$2,RD$4),Table1[],(MATCH(Calendar!$A6,DB!1:1,0)+2),FALSE),"")</f>
        <v/>
      </c>
      <c r="RE6" s="27" t="str">
        <f>IFERROR(VLOOKUP(DATE($K$1,$K$2,RE$4),Table1[],(MATCH(Calendar!$A6,DB!1:1,0)+2),FALSE),"")</f>
        <v/>
      </c>
      <c r="RF6" s="27" t="str">
        <f>IFERROR(VLOOKUP(DATE($K$1,$K$2,RF$4),Table1[],(MATCH(Calendar!$A6,DB!1:1,0)+2),FALSE),"")</f>
        <v/>
      </c>
      <c r="RG6" s="27" t="str">
        <f>IFERROR(VLOOKUP(DATE($K$1,$K$2,RG$4),Table1[],(MATCH(Calendar!$A6,DB!1:1,0)+2),FALSE),"")</f>
        <v/>
      </c>
      <c r="RH6" s="27" t="str">
        <f>IFERROR(VLOOKUP(DATE($K$1,$K$2,RH$4),Table1[],(MATCH(Calendar!$A6,DB!1:1,0)+2),FALSE),"")</f>
        <v/>
      </c>
      <c r="RI6" s="27" t="str">
        <f>IFERROR(VLOOKUP(DATE($K$1,$K$2,RI$4),Table1[],(MATCH(Calendar!$A6,DB!1:1,0)+2),FALSE),"")</f>
        <v/>
      </c>
      <c r="RJ6" s="27" t="str">
        <f>IFERROR(VLOOKUP(DATE($K$1,$K$2,RJ$4),Table1[],(MATCH(Calendar!$A6,DB!1:1,0)+2),FALSE),"")</f>
        <v/>
      </c>
      <c r="RK6" s="27" t="str">
        <f>IFERROR(VLOOKUP(DATE($K$1,$K$2,RK$4),Table1[],(MATCH(Calendar!$A6,DB!1:1,0)+2),FALSE),"")</f>
        <v/>
      </c>
      <c r="RL6" s="27" t="str">
        <f>IFERROR(VLOOKUP(DATE($K$1,$K$2,RL$4),Table1[],(MATCH(Calendar!$A6,DB!1:1,0)+2),FALSE),"")</f>
        <v/>
      </c>
      <c r="RM6" s="27" t="str">
        <f>IFERROR(VLOOKUP(DATE($K$1,$K$2,RM$4),Table1[],(MATCH(Calendar!$A6,DB!1:1,0)+2),FALSE),"")</f>
        <v/>
      </c>
      <c r="RN6" s="27" t="str">
        <f>IFERROR(VLOOKUP(DATE($K$1,$K$2,RN$4),Table1[],(MATCH(Calendar!$A6,DB!1:1,0)+2),FALSE),"")</f>
        <v/>
      </c>
      <c r="RO6" s="27" t="str">
        <f>IFERROR(VLOOKUP(DATE($K$1,$K$2,RO$4),Table1[],(MATCH(Calendar!$A6,DB!1:1,0)+2),FALSE),"")</f>
        <v/>
      </c>
      <c r="RP6" s="27" t="str">
        <f>IFERROR(VLOOKUP(DATE($K$1,$K$2,RP$4),Table1[],(MATCH(Calendar!$A6,DB!1:1,0)+2),FALSE),"")</f>
        <v/>
      </c>
      <c r="RQ6" s="27" t="str">
        <f>IFERROR(VLOOKUP(DATE($K$1,$K$2,RQ$4),Table1[],(MATCH(Calendar!$A6,DB!1:1,0)+2),FALSE),"")</f>
        <v/>
      </c>
      <c r="RR6" s="27" t="str">
        <f>IFERROR(VLOOKUP(DATE($K$1,$K$2,RR$4),Table1[],(MATCH(Calendar!$A6,DB!1:1,0)+2),FALSE),"")</f>
        <v/>
      </c>
      <c r="RS6" s="27" t="str">
        <f>IFERROR(VLOOKUP(DATE($K$1,$K$2,RS$4),Table1[],(MATCH(Calendar!$A6,DB!1:1,0)+2),FALSE),"")</f>
        <v/>
      </c>
      <c r="RT6" s="27" t="str">
        <f>IFERROR(VLOOKUP(DATE($K$1,$K$2,RT$4),Table1[],(MATCH(Calendar!$A6,DB!1:1,0)+2),FALSE),"")</f>
        <v/>
      </c>
      <c r="RU6" s="27" t="str">
        <f>IFERROR(VLOOKUP(DATE($K$1,$K$2,RU$4),Table1[],(MATCH(Calendar!$A6,DB!1:1,0)+2),FALSE),"")</f>
        <v/>
      </c>
      <c r="RV6" s="27" t="str">
        <f>IFERROR(VLOOKUP(DATE($K$1,$K$2,RV$4),Table1[],(MATCH(Calendar!$A6,DB!1:1,0)+2),FALSE),"")</f>
        <v/>
      </c>
      <c r="RW6" s="27" t="str">
        <f>IFERROR(VLOOKUP(DATE($K$1,$K$2,RW$4),Table1[],(MATCH(Calendar!$A6,DB!1:1,0)+2),FALSE),"")</f>
        <v/>
      </c>
      <c r="RX6" s="27" t="str">
        <f>IFERROR(VLOOKUP(DATE($K$1,$K$2,RX$4),Table1[],(MATCH(Calendar!$A6,DB!1:1,0)+2),FALSE),"")</f>
        <v/>
      </c>
      <c r="RY6" s="27" t="str">
        <f>IFERROR(VLOOKUP(DATE($K$1,$K$2,RY$4),Table1[],(MATCH(Calendar!$A6,DB!1:1,0)+2),FALSE),"")</f>
        <v/>
      </c>
      <c r="RZ6" s="27" t="str">
        <f>IFERROR(VLOOKUP(DATE($K$1,$K$2,RZ$4),Table1[],(MATCH(Calendar!$A6,DB!1:1,0)+2),FALSE),"")</f>
        <v/>
      </c>
      <c r="SA6" s="27" t="str">
        <f>IFERROR(VLOOKUP(DATE($K$1,$K$2,SA$4),Table1[],(MATCH(Calendar!$A6,DB!1:1,0)+2),FALSE),"")</f>
        <v/>
      </c>
      <c r="SB6" s="27" t="str">
        <f>IFERROR(VLOOKUP(DATE($K$1,$K$2,SB$4),Table1[],(MATCH(Calendar!$A6,DB!1:1,0)+2),FALSE),"")</f>
        <v/>
      </c>
      <c r="SC6" s="27" t="str">
        <f>IFERROR(VLOOKUP(DATE($K$1,$K$2,SC$4),Table1[],(MATCH(Calendar!$A6,DB!1:1,0)+2),FALSE),"")</f>
        <v/>
      </c>
      <c r="SD6" s="27" t="str">
        <f>IFERROR(VLOOKUP(DATE($K$1,$K$2,SD$4),Table1[],(MATCH(Calendar!$A6,DB!1:1,0)+2),FALSE),"")</f>
        <v/>
      </c>
      <c r="SE6" s="27" t="str">
        <f>IFERROR(VLOOKUP(DATE($K$1,$K$2,SE$4),Table1[],(MATCH(Calendar!$A6,DB!1:1,0)+2),FALSE),"")</f>
        <v/>
      </c>
      <c r="SF6" s="27" t="str">
        <f>IFERROR(VLOOKUP(DATE($K$1,$K$2,SF$4),Table1[],(MATCH(Calendar!$A6,DB!1:1,0)+2),FALSE),"")</f>
        <v/>
      </c>
      <c r="SG6" s="27" t="str">
        <f>IFERROR(VLOOKUP(DATE($K$1,$K$2,SG$4),Table1[],(MATCH(Calendar!$A6,DB!1:1,0)+2),FALSE),"")</f>
        <v/>
      </c>
      <c r="SH6" s="27" t="str">
        <f>IFERROR(VLOOKUP(DATE($K$1,$K$2,SH$4),Table1[],(MATCH(Calendar!$A6,DB!1:1,0)+2),FALSE),"")</f>
        <v/>
      </c>
      <c r="SI6" s="27" t="str">
        <f>IFERROR(VLOOKUP(DATE($K$1,$K$2,SI$4),Table1[],(MATCH(Calendar!$A6,DB!1:1,0)+2),FALSE),"")</f>
        <v/>
      </c>
      <c r="SJ6" s="27" t="str">
        <f>IFERROR(VLOOKUP(DATE($K$1,$K$2,SJ$4),Table1[],(MATCH(Calendar!$A6,DB!1:1,0)+2),FALSE),"")</f>
        <v/>
      </c>
      <c r="SK6" s="27" t="str">
        <f>IFERROR(VLOOKUP(DATE($K$1,$K$2,SK$4),Table1[],(MATCH(Calendar!$A6,DB!1:1,0)+2),FALSE),"")</f>
        <v/>
      </c>
      <c r="SL6" s="27" t="str">
        <f>IFERROR(VLOOKUP(DATE($K$1,$K$2,SL$4),Table1[],(MATCH(Calendar!$A6,DB!1:1,0)+2),FALSE),"")</f>
        <v/>
      </c>
      <c r="SM6" s="27" t="str">
        <f>IFERROR(VLOOKUP(DATE($K$1,$K$2,SM$4),Table1[],(MATCH(Calendar!$A6,DB!1:1,0)+2),FALSE),"")</f>
        <v/>
      </c>
      <c r="SN6" s="27" t="str">
        <f>IFERROR(VLOOKUP(DATE($K$1,$K$2,SN$4),Table1[],(MATCH(Calendar!$A6,DB!1:1,0)+2),FALSE),"")</f>
        <v/>
      </c>
      <c r="SO6" s="27" t="str">
        <f>IFERROR(VLOOKUP(DATE($K$1,$K$2,SO$4),Table1[],(MATCH(Calendar!$A6,DB!1:1,0)+2),FALSE),"")</f>
        <v/>
      </c>
      <c r="SP6" s="27" t="str">
        <f>IFERROR(VLOOKUP(DATE($K$1,$K$2,SP$4),Table1[],(MATCH(Calendar!$A6,DB!1:1,0)+2),FALSE),"")</f>
        <v/>
      </c>
      <c r="SQ6" s="27" t="str">
        <f>IFERROR(VLOOKUP(DATE($K$1,$K$2,SQ$4),Table1[],(MATCH(Calendar!$A6,DB!1:1,0)+2),FALSE),"")</f>
        <v/>
      </c>
      <c r="SR6" s="27" t="str">
        <f>IFERROR(VLOOKUP(DATE($K$1,$K$2,SR$4),Table1[],(MATCH(Calendar!$A6,DB!1:1,0)+2),FALSE),"")</f>
        <v/>
      </c>
      <c r="SS6" s="27" t="str">
        <f>IFERROR(VLOOKUP(DATE($K$1,$K$2,SS$4),Table1[],(MATCH(Calendar!$A6,DB!1:1,0)+2),FALSE),"")</f>
        <v/>
      </c>
      <c r="ST6" s="27" t="str">
        <f>IFERROR(VLOOKUP(DATE($K$1,$K$2,ST$4),Table1[],(MATCH(Calendar!$A6,DB!1:1,0)+2),FALSE),"")</f>
        <v/>
      </c>
      <c r="SU6" s="27" t="str">
        <f>IFERROR(VLOOKUP(DATE($K$1,$K$2,SU$4),Table1[],(MATCH(Calendar!$A6,DB!1:1,0)+2),FALSE),"")</f>
        <v/>
      </c>
      <c r="SV6" s="27" t="str">
        <f>IFERROR(VLOOKUP(DATE($K$1,$K$2,SV$4),Table1[],(MATCH(Calendar!$A6,DB!1:1,0)+2),FALSE),"")</f>
        <v/>
      </c>
      <c r="SW6" s="27" t="str">
        <f>IFERROR(VLOOKUP(DATE($K$1,$K$2,SW$4),Table1[],(MATCH(Calendar!$A6,DB!1:1,0)+2),FALSE),"")</f>
        <v/>
      </c>
      <c r="SX6" s="27" t="str">
        <f>IFERROR(VLOOKUP(DATE($K$1,$K$2,SX$4),Table1[],(MATCH(Calendar!$A6,DB!1:1,0)+2),FALSE),"")</f>
        <v/>
      </c>
      <c r="SY6" s="27" t="str">
        <f>IFERROR(VLOOKUP(DATE($K$1,$K$2,SY$4),Table1[],(MATCH(Calendar!$A6,DB!1:1,0)+2),FALSE),"")</f>
        <v/>
      </c>
      <c r="SZ6" s="27" t="str">
        <f>IFERROR(VLOOKUP(DATE($K$1,$K$2,SZ$4),Table1[],(MATCH(Calendar!$A6,DB!1:1,0)+2),FALSE),"")</f>
        <v/>
      </c>
      <c r="TA6" s="27" t="str">
        <f>IFERROR(VLOOKUP(DATE($K$1,$K$2,TA$4),Table1[],(MATCH(Calendar!$A6,DB!1:1,0)+2),FALSE),"")</f>
        <v/>
      </c>
      <c r="TB6" s="27" t="str">
        <f>IFERROR(VLOOKUP(DATE($K$1,$K$2,TB$4),Table1[],(MATCH(Calendar!$A6,DB!1:1,0)+2),FALSE),"")</f>
        <v/>
      </c>
      <c r="TC6" s="27" t="str">
        <f>IFERROR(VLOOKUP(DATE($K$1,$K$2,TC$4),Table1[],(MATCH(Calendar!$A6,DB!1:1,0)+2),FALSE),"")</f>
        <v/>
      </c>
      <c r="TD6" s="27" t="str">
        <f>IFERROR(VLOOKUP(DATE($K$1,$K$2,TD$4),Table1[],(MATCH(Calendar!$A6,DB!1:1,0)+2),FALSE),"")</f>
        <v/>
      </c>
      <c r="TE6" s="27" t="str">
        <f>IFERROR(VLOOKUP(DATE($K$1,$K$2,TE$4),Table1[],(MATCH(Calendar!$A6,DB!1:1,0)+2),FALSE),"")</f>
        <v/>
      </c>
      <c r="TF6" s="27" t="str">
        <f>IFERROR(VLOOKUP(DATE($K$1,$K$2,TF$4),Table1[],(MATCH(Calendar!$A6,DB!1:1,0)+2),FALSE),"")</f>
        <v/>
      </c>
      <c r="TG6" s="27" t="str">
        <f>IFERROR(VLOOKUP(DATE($K$1,$K$2,TG$4),Table1[],(MATCH(Calendar!$A6,DB!1:1,0)+2),FALSE),"")</f>
        <v/>
      </c>
      <c r="TH6" s="27" t="str">
        <f>IFERROR(VLOOKUP(DATE($K$1,$K$2,TH$4),Table1[],(MATCH(Calendar!$A6,DB!1:1,0)+2),FALSE),"")</f>
        <v/>
      </c>
      <c r="TI6" s="27" t="str">
        <f>IFERROR(VLOOKUP(DATE($K$1,$K$2,TI$4),Table1[],(MATCH(Calendar!$A6,DB!1:1,0)+2),FALSE),"")</f>
        <v/>
      </c>
      <c r="TJ6" s="27" t="str">
        <f>IFERROR(VLOOKUP(DATE($K$1,$K$2,TJ$4),Table1[],(MATCH(Calendar!$A6,DB!1:1,0)+2),FALSE),"")</f>
        <v/>
      </c>
      <c r="TK6" s="27" t="str">
        <f>IFERROR(VLOOKUP(DATE($K$1,$K$2,TK$4),Table1[],(MATCH(Calendar!$A6,DB!1:1,0)+2),FALSE),"")</f>
        <v/>
      </c>
      <c r="TL6" s="27" t="str">
        <f>IFERROR(VLOOKUP(DATE($K$1,$K$2,TL$4),Table1[],(MATCH(Calendar!$A6,DB!1:1,0)+2),FALSE),"")</f>
        <v/>
      </c>
      <c r="TM6" s="27" t="str">
        <f>IFERROR(VLOOKUP(DATE($K$1,$K$2,TM$4),Table1[],(MATCH(Calendar!$A6,DB!1:1,0)+2),FALSE),"")</f>
        <v/>
      </c>
      <c r="TN6" s="27" t="str">
        <f>IFERROR(VLOOKUP(DATE($K$1,$K$2,TN$4),Table1[],(MATCH(Calendar!$A6,DB!1:1,0)+2),FALSE),"")</f>
        <v/>
      </c>
      <c r="TO6" s="27" t="str">
        <f>IFERROR(VLOOKUP(DATE($K$1,$K$2,TO$4),Table1[],(MATCH(Calendar!$A6,DB!1:1,0)+2),FALSE),"")</f>
        <v/>
      </c>
      <c r="TP6" s="27" t="str">
        <f>IFERROR(VLOOKUP(DATE($K$1,$K$2,TP$4),Table1[],(MATCH(Calendar!$A6,DB!1:1,0)+2),FALSE),"")</f>
        <v/>
      </c>
      <c r="TQ6" s="27" t="str">
        <f>IFERROR(VLOOKUP(DATE($K$1,$K$2,TQ$4),Table1[],(MATCH(Calendar!$A6,DB!1:1,0)+2),FALSE),"")</f>
        <v/>
      </c>
      <c r="TR6" s="27" t="str">
        <f>IFERROR(VLOOKUP(DATE($K$1,$K$2,TR$4),Table1[],(MATCH(Calendar!$A6,DB!1:1,0)+2),FALSE),"")</f>
        <v/>
      </c>
      <c r="TS6" s="27" t="str">
        <f>IFERROR(VLOOKUP(DATE($K$1,$K$2,TS$4),Table1[],(MATCH(Calendar!$A6,DB!1:1,0)+2),FALSE),"")</f>
        <v/>
      </c>
      <c r="TT6" s="27" t="str">
        <f>IFERROR(VLOOKUP(DATE($K$1,$K$2,TT$4),Table1[],(MATCH(Calendar!$A6,DB!1:1,0)+2),FALSE),"")</f>
        <v/>
      </c>
      <c r="TU6" s="27" t="str">
        <f>IFERROR(VLOOKUP(DATE($K$1,$K$2,TU$4),Table1[],(MATCH(Calendar!$A6,DB!1:1,0)+2),FALSE),"")</f>
        <v/>
      </c>
      <c r="TV6" s="27" t="str">
        <f>IFERROR(VLOOKUP(DATE($K$1,$K$2,TV$4),Table1[],(MATCH(Calendar!$A6,DB!1:1,0)+2),FALSE),"")</f>
        <v/>
      </c>
      <c r="TW6" s="27" t="str">
        <f>IFERROR(VLOOKUP(DATE($K$1,$K$2,TW$4),Table1[],(MATCH(Calendar!$A6,DB!1:1,0)+2),FALSE),"")</f>
        <v/>
      </c>
      <c r="TX6" s="27" t="str">
        <f>IFERROR(VLOOKUP(DATE($K$1,$K$2,TX$4),Table1[],(MATCH(Calendar!$A6,DB!1:1,0)+2),FALSE),"")</f>
        <v/>
      </c>
      <c r="TY6" s="27" t="str">
        <f>IFERROR(VLOOKUP(DATE($K$1,$K$2,TY$4),Table1[],(MATCH(Calendar!$A6,DB!1:1,0)+2),FALSE),"")</f>
        <v/>
      </c>
      <c r="TZ6" s="27" t="str">
        <f>IFERROR(VLOOKUP(DATE($K$1,$K$2,TZ$4),Table1[],(MATCH(Calendar!$A6,DB!1:1,0)+2),FALSE),"")</f>
        <v/>
      </c>
      <c r="UA6" s="27" t="str">
        <f>IFERROR(VLOOKUP(DATE($K$1,$K$2,UA$4),Table1[],(MATCH(Calendar!$A6,DB!1:1,0)+2),FALSE),"")</f>
        <v/>
      </c>
      <c r="UB6" s="27" t="str">
        <f>IFERROR(VLOOKUP(DATE($K$1,$K$2,UB$4),Table1[],(MATCH(Calendar!$A6,DB!1:1,0)+2),FALSE),"")</f>
        <v/>
      </c>
      <c r="UC6" s="27" t="str">
        <f>IFERROR(VLOOKUP(DATE($K$1,$K$2,UC$4),Table1[],(MATCH(Calendar!$A6,DB!1:1,0)+2),FALSE),"")</f>
        <v/>
      </c>
      <c r="UD6" s="27" t="str">
        <f>IFERROR(VLOOKUP(DATE($K$1,$K$2,UD$4),Table1[],(MATCH(Calendar!$A6,DB!1:1,0)+2),FALSE),"")</f>
        <v/>
      </c>
      <c r="UE6" s="27" t="str">
        <f>IFERROR(VLOOKUP(DATE($K$1,$K$2,UE$4),Table1[],(MATCH(Calendar!$A6,DB!1:1,0)+2),FALSE),"")</f>
        <v/>
      </c>
      <c r="UF6" s="27" t="str">
        <f>IFERROR(VLOOKUP(DATE($K$1,$K$2,UF$4),Table1[],(MATCH(Calendar!$A6,DB!1:1,0)+2),FALSE),"")</f>
        <v/>
      </c>
      <c r="UG6" s="27" t="str">
        <f>IFERROR(VLOOKUP(DATE($K$1,$K$2,UG$4),Table1[],(MATCH(Calendar!$A6,DB!1:1,0)+2),FALSE),"")</f>
        <v/>
      </c>
      <c r="UH6" s="27" t="str">
        <f>IFERROR(VLOOKUP(DATE($K$1,$K$2,UH$4),Table1[],(MATCH(Calendar!$A6,DB!1:1,0)+2),FALSE),"")</f>
        <v/>
      </c>
      <c r="UI6" s="27" t="str">
        <f>IFERROR(VLOOKUP(DATE($K$1,$K$2,UI$4),Table1[],(MATCH(Calendar!$A6,DB!1:1,0)+2),FALSE),"")</f>
        <v/>
      </c>
      <c r="UJ6" s="27" t="str">
        <f>IFERROR(VLOOKUP(DATE($K$1,$K$2,UJ$4),Table1[],(MATCH(Calendar!$A6,DB!1:1,0)+2),FALSE),"")</f>
        <v/>
      </c>
      <c r="UK6" s="27" t="str">
        <f>IFERROR(VLOOKUP(DATE($K$1,$K$2,UK$4),Table1[],(MATCH(Calendar!$A6,DB!1:1,0)+2),FALSE),"")</f>
        <v/>
      </c>
      <c r="UL6" s="27" t="str">
        <f>IFERROR(VLOOKUP(DATE($K$1,$K$2,UL$4),Table1[],(MATCH(Calendar!$A6,DB!1:1,0)+2),FALSE),"")</f>
        <v/>
      </c>
      <c r="UM6" s="27" t="str">
        <f>IFERROR(VLOOKUP(DATE($K$1,$K$2,UM$4),Table1[],(MATCH(Calendar!$A6,DB!1:1,0)+2),FALSE),"")</f>
        <v/>
      </c>
      <c r="UN6" s="27" t="str">
        <f>IFERROR(VLOOKUP(DATE($K$1,$K$2,UN$4),Table1[],(MATCH(Calendar!$A6,DB!1:1,0)+2),FALSE),"")</f>
        <v/>
      </c>
      <c r="UO6" s="27" t="str">
        <f>IFERROR(VLOOKUP(DATE($K$1,$K$2,UO$4),Table1[],(MATCH(Calendar!$A6,DB!1:1,0)+2),FALSE),"")</f>
        <v/>
      </c>
      <c r="UP6" s="27" t="str">
        <f>IFERROR(VLOOKUP(DATE($K$1,$K$2,UP$4),Table1[],(MATCH(Calendar!$A6,DB!1:1,0)+2),FALSE),"")</f>
        <v/>
      </c>
      <c r="UQ6" s="27" t="str">
        <f>IFERROR(VLOOKUP(DATE($K$1,$K$2,UQ$4),Table1[],(MATCH(Calendar!$A6,DB!1:1,0)+2),FALSE),"")</f>
        <v/>
      </c>
      <c r="UR6" s="27" t="str">
        <f>IFERROR(VLOOKUP(DATE($K$1,$K$2,UR$4),Table1[],(MATCH(Calendar!$A6,DB!1:1,0)+2),FALSE),"")</f>
        <v/>
      </c>
      <c r="US6" s="27" t="str">
        <f>IFERROR(VLOOKUP(DATE($K$1,$K$2,US$4),Table1[],(MATCH(Calendar!$A6,DB!1:1,0)+2),FALSE),"")</f>
        <v/>
      </c>
      <c r="UT6" s="27" t="str">
        <f>IFERROR(VLOOKUP(DATE($K$1,$K$2,UT$4),Table1[],(MATCH(Calendar!$A6,DB!1:1,0)+2),FALSE),"")</f>
        <v/>
      </c>
      <c r="UU6" s="27" t="str">
        <f>IFERROR(VLOOKUP(DATE($K$1,$K$2,UU$4),Table1[],(MATCH(Calendar!$A6,DB!1:1,0)+2),FALSE),"")</f>
        <v/>
      </c>
      <c r="UV6" s="27" t="str">
        <f>IFERROR(VLOOKUP(DATE($K$1,$K$2,UV$4),Table1[],(MATCH(Calendar!$A6,DB!1:1,0)+2),FALSE),"")</f>
        <v/>
      </c>
      <c r="UW6" s="27" t="str">
        <f>IFERROR(VLOOKUP(DATE($K$1,$K$2,UW$4),Table1[],(MATCH(Calendar!$A6,DB!1:1,0)+2),FALSE),"")</f>
        <v/>
      </c>
      <c r="UX6" s="27" t="str">
        <f>IFERROR(VLOOKUP(DATE($K$1,$K$2,UX$4),Table1[],(MATCH(Calendar!$A6,DB!1:1,0)+2),FALSE),"")</f>
        <v/>
      </c>
      <c r="UY6" s="27" t="str">
        <f>IFERROR(VLOOKUP(DATE($K$1,$K$2,UY$4),Table1[],(MATCH(Calendar!$A6,DB!1:1,0)+2),FALSE),"")</f>
        <v/>
      </c>
      <c r="UZ6" s="27" t="str">
        <f>IFERROR(VLOOKUP(DATE($K$1,$K$2,UZ$4),Table1[],(MATCH(Calendar!$A6,DB!1:1,0)+2),FALSE),"")</f>
        <v/>
      </c>
      <c r="VA6" s="27" t="str">
        <f>IFERROR(VLOOKUP(DATE($K$1,$K$2,VA$4),Table1[],(MATCH(Calendar!$A6,DB!1:1,0)+2),FALSE),"")</f>
        <v/>
      </c>
      <c r="VB6" s="27" t="str">
        <f>IFERROR(VLOOKUP(DATE($K$1,$K$2,VB$4),Table1[],(MATCH(Calendar!$A6,DB!1:1,0)+2),FALSE),"")</f>
        <v/>
      </c>
      <c r="VC6" s="27" t="str">
        <f>IFERROR(VLOOKUP(DATE($K$1,$K$2,VC$4),Table1[],(MATCH(Calendar!$A6,DB!1:1,0)+2),FALSE),"")</f>
        <v/>
      </c>
      <c r="VD6" s="27" t="str">
        <f>IFERROR(VLOOKUP(DATE($K$1,$K$2,VD$4),Table1[],(MATCH(Calendar!$A6,DB!1:1,0)+2),FALSE),"")</f>
        <v/>
      </c>
      <c r="VE6" s="27" t="str">
        <f>IFERROR(VLOOKUP(DATE($K$1,$K$2,VE$4),Table1[],(MATCH(Calendar!$A6,DB!1:1,0)+2),FALSE),"")</f>
        <v/>
      </c>
      <c r="VF6" s="27" t="str">
        <f>IFERROR(VLOOKUP(DATE($K$1,$K$2,VF$4),Table1[],(MATCH(Calendar!$A6,DB!1:1,0)+2),FALSE),"")</f>
        <v/>
      </c>
      <c r="VG6" s="27" t="str">
        <f>IFERROR(VLOOKUP(DATE($K$1,$K$2,VG$4),Table1[],(MATCH(Calendar!$A6,DB!1:1,0)+2),FALSE),"")</f>
        <v/>
      </c>
      <c r="VH6" s="27" t="str">
        <f>IFERROR(VLOOKUP(DATE($K$1,$K$2,VH$4),Table1[],(MATCH(Calendar!$A6,DB!1:1,0)+2),FALSE),"")</f>
        <v/>
      </c>
      <c r="VI6" s="27" t="str">
        <f>IFERROR(VLOOKUP(DATE($K$1,$K$2,VI$4),Table1[],(MATCH(Calendar!$A6,DB!1:1,0)+2),FALSE),"")</f>
        <v/>
      </c>
      <c r="VJ6" s="27" t="str">
        <f>IFERROR(VLOOKUP(DATE($K$1,$K$2,VJ$4),Table1[],(MATCH(Calendar!$A6,DB!1:1,0)+2),FALSE),"")</f>
        <v/>
      </c>
      <c r="VK6" s="27" t="str">
        <f>IFERROR(VLOOKUP(DATE($K$1,$K$2,VK$4),Table1[],(MATCH(Calendar!$A6,DB!1:1,0)+2),FALSE),"")</f>
        <v/>
      </c>
      <c r="VL6" s="27" t="str">
        <f>IFERROR(VLOOKUP(DATE($K$1,$K$2,VL$4),Table1[],(MATCH(Calendar!$A6,DB!1:1,0)+2),FALSE),"")</f>
        <v/>
      </c>
      <c r="VM6" s="27" t="str">
        <f>IFERROR(VLOOKUP(DATE($K$1,$K$2,VM$4),Table1[],(MATCH(Calendar!$A6,DB!1:1,0)+2),FALSE),"")</f>
        <v/>
      </c>
      <c r="VN6" s="27" t="str">
        <f>IFERROR(VLOOKUP(DATE($K$1,$K$2,VN$4),Table1[],(MATCH(Calendar!$A6,DB!1:1,0)+2),FALSE),"")</f>
        <v/>
      </c>
      <c r="VO6" s="27" t="str">
        <f>IFERROR(VLOOKUP(DATE($K$1,$K$2,VO$4),Table1[],(MATCH(Calendar!$A6,DB!1:1,0)+2),FALSE),"")</f>
        <v/>
      </c>
      <c r="VP6" s="27" t="str">
        <f>IFERROR(VLOOKUP(DATE($K$1,$K$2,VP$4),Table1[],(MATCH(Calendar!$A6,DB!1:1,0)+2),FALSE),"")</f>
        <v/>
      </c>
      <c r="VQ6" s="27" t="str">
        <f>IFERROR(VLOOKUP(DATE($K$1,$K$2,VQ$4),Table1[],(MATCH(Calendar!$A6,DB!1:1,0)+2),FALSE),"")</f>
        <v/>
      </c>
      <c r="VR6" s="27" t="str">
        <f>IFERROR(VLOOKUP(DATE($K$1,$K$2,VR$4),Table1[],(MATCH(Calendar!$A6,DB!1:1,0)+2),FALSE),"")</f>
        <v/>
      </c>
      <c r="VS6" s="27" t="str">
        <f>IFERROR(VLOOKUP(DATE($K$1,$K$2,VS$4),Table1[],(MATCH(Calendar!$A6,DB!1:1,0)+2),FALSE),"")</f>
        <v/>
      </c>
      <c r="VT6" s="27" t="str">
        <f>IFERROR(VLOOKUP(DATE($K$1,$K$2,VT$4),Table1[],(MATCH(Calendar!$A6,DB!1:1,0)+2),FALSE),"")</f>
        <v/>
      </c>
      <c r="VU6" s="27" t="str">
        <f>IFERROR(VLOOKUP(DATE($K$1,$K$2,VU$4),Table1[],(MATCH(Calendar!$A6,DB!1:1,0)+2),FALSE),"")</f>
        <v/>
      </c>
      <c r="VV6" s="27" t="str">
        <f>IFERROR(VLOOKUP(DATE($K$1,$K$2,VV$4),Table1[],(MATCH(Calendar!$A6,DB!1:1,0)+2),FALSE),"")</f>
        <v/>
      </c>
      <c r="VW6" s="27" t="str">
        <f>IFERROR(VLOOKUP(DATE($K$1,$K$2,VW$4),Table1[],(MATCH(Calendar!$A6,DB!1:1,0)+2),FALSE),"")</f>
        <v/>
      </c>
      <c r="VX6" s="27" t="str">
        <f>IFERROR(VLOOKUP(DATE($K$1,$K$2,VX$4),Table1[],(MATCH(Calendar!$A6,DB!1:1,0)+2),FALSE),"")</f>
        <v/>
      </c>
      <c r="VY6" s="27" t="str">
        <f>IFERROR(VLOOKUP(DATE($K$1,$K$2,VY$4),Table1[],(MATCH(Calendar!$A6,DB!1:1,0)+2),FALSE),"")</f>
        <v/>
      </c>
      <c r="VZ6" s="27" t="str">
        <f>IFERROR(VLOOKUP(DATE($K$1,$K$2,VZ$4),Table1[],(MATCH(Calendar!$A6,DB!1:1,0)+2),FALSE),"")</f>
        <v/>
      </c>
      <c r="WA6" s="27" t="str">
        <f>IFERROR(VLOOKUP(DATE($K$1,$K$2,WA$4),Table1[],(MATCH(Calendar!$A6,DB!1:1,0)+2),FALSE),"")</f>
        <v/>
      </c>
      <c r="WB6" s="27" t="str">
        <f>IFERROR(VLOOKUP(DATE($K$1,$K$2,WB$4),Table1[],(MATCH(Calendar!$A6,DB!1:1,0)+2),FALSE),"")</f>
        <v/>
      </c>
      <c r="WC6" s="27" t="str">
        <f>IFERROR(VLOOKUP(DATE($K$1,$K$2,WC$4),Table1[],(MATCH(Calendar!$A6,DB!1:1,0)+2),FALSE),"")</f>
        <v/>
      </c>
      <c r="WD6" s="27" t="str">
        <f>IFERROR(VLOOKUP(DATE($K$1,$K$2,WD$4),Table1[],(MATCH(Calendar!$A6,DB!1:1,0)+2),FALSE),"")</f>
        <v/>
      </c>
      <c r="WE6" s="27" t="str">
        <f>IFERROR(VLOOKUP(DATE($K$1,$K$2,WE$4),Table1[],(MATCH(Calendar!$A6,DB!1:1,0)+2),FALSE),"")</f>
        <v/>
      </c>
      <c r="WF6" s="27" t="str">
        <f>IFERROR(VLOOKUP(DATE($K$1,$K$2,WF$4),Table1[],(MATCH(Calendar!$A6,DB!1:1,0)+2),FALSE),"")</f>
        <v/>
      </c>
      <c r="WG6" s="27" t="str">
        <f>IFERROR(VLOOKUP(DATE($K$1,$K$2,WG$4),Table1[],(MATCH(Calendar!$A6,DB!1:1,0)+2),FALSE),"")</f>
        <v/>
      </c>
      <c r="WH6" s="27" t="str">
        <f>IFERROR(VLOOKUP(DATE($K$1,$K$2,WH$4),Table1[],(MATCH(Calendar!$A6,DB!1:1,0)+2),FALSE),"")</f>
        <v/>
      </c>
      <c r="WI6" s="27" t="str">
        <f>IFERROR(VLOOKUP(DATE($K$1,$K$2,WI$4),Table1[],(MATCH(Calendar!$A6,DB!1:1,0)+2),FALSE),"")</f>
        <v/>
      </c>
      <c r="WJ6" s="27" t="str">
        <f>IFERROR(VLOOKUP(DATE($K$1,$K$2,WJ$4),Table1[],(MATCH(Calendar!$A6,DB!1:1,0)+2),FALSE),"")</f>
        <v/>
      </c>
      <c r="WK6" s="27" t="str">
        <f>IFERROR(VLOOKUP(DATE($K$1,$K$2,WK$4),Table1[],(MATCH(Calendar!$A6,DB!1:1,0)+2),FALSE),"")</f>
        <v/>
      </c>
      <c r="WL6" s="27" t="str">
        <f>IFERROR(VLOOKUP(DATE($K$1,$K$2,WL$4),Table1[],(MATCH(Calendar!$A6,DB!1:1,0)+2),FALSE),"")</f>
        <v/>
      </c>
      <c r="WM6" s="27" t="str">
        <f>IFERROR(VLOOKUP(DATE($K$1,$K$2,WM$4),Table1[],(MATCH(Calendar!$A6,DB!1:1,0)+2),FALSE),"")</f>
        <v/>
      </c>
      <c r="WN6" s="27" t="str">
        <f>IFERROR(VLOOKUP(DATE($K$1,$K$2,WN$4),Table1[],(MATCH(Calendar!$A6,DB!1:1,0)+2),FALSE),"")</f>
        <v/>
      </c>
      <c r="WO6" s="27" t="str">
        <f>IFERROR(VLOOKUP(DATE($K$1,$K$2,WO$4),Table1[],(MATCH(Calendar!$A6,DB!1:1,0)+2),FALSE),"")</f>
        <v/>
      </c>
      <c r="WP6" s="27" t="str">
        <f>IFERROR(VLOOKUP(DATE($K$1,$K$2,WP$4),Table1[],(MATCH(Calendar!$A6,DB!1:1,0)+2),FALSE),"")</f>
        <v/>
      </c>
      <c r="WQ6" s="27" t="str">
        <f>IFERROR(VLOOKUP(DATE($K$1,$K$2,WQ$4),Table1[],(MATCH(Calendar!$A6,DB!1:1,0)+2),FALSE),"")</f>
        <v/>
      </c>
      <c r="WR6" s="27" t="str">
        <f>IFERROR(VLOOKUP(DATE($K$1,$K$2,WR$4),Table1[],(MATCH(Calendar!$A6,DB!1:1,0)+2),FALSE),"")</f>
        <v/>
      </c>
      <c r="WS6" s="27" t="str">
        <f>IFERROR(VLOOKUP(DATE($K$1,$K$2,WS$4),Table1[],(MATCH(Calendar!$A6,DB!1:1,0)+2),FALSE),"")</f>
        <v/>
      </c>
      <c r="WT6" s="27" t="str">
        <f>IFERROR(VLOOKUP(DATE($K$1,$K$2,WT$4),Table1[],(MATCH(Calendar!$A6,DB!1:1,0)+2),FALSE),"")</f>
        <v/>
      </c>
      <c r="WU6" s="27" t="str">
        <f>IFERROR(VLOOKUP(DATE($K$1,$K$2,WU$4),Table1[],(MATCH(Calendar!$A6,DB!1:1,0)+2),FALSE),"")</f>
        <v/>
      </c>
      <c r="WV6" s="27" t="str">
        <f>IFERROR(VLOOKUP(DATE($K$1,$K$2,WV$4),Table1[],(MATCH(Calendar!$A6,DB!1:1,0)+2),FALSE),"")</f>
        <v/>
      </c>
      <c r="WW6" s="27" t="str">
        <f>IFERROR(VLOOKUP(DATE($K$1,$K$2,WW$4),Table1[],(MATCH(Calendar!$A6,DB!1:1,0)+2),FALSE),"")</f>
        <v/>
      </c>
      <c r="WX6" s="27" t="str">
        <f>IFERROR(VLOOKUP(DATE($K$1,$K$2,WX$4),Table1[],(MATCH(Calendar!$A6,DB!1:1,0)+2),FALSE),"")</f>
        <v/>
      </c>
      <c r="WY6" s="27" t="str">
        <f>IFERROR(VLOOKUP(DATE($K$1,$K$2,WY$4),Table1[],(MATCH(Calendar!$A6,DB!1:1,0)+2),FALSE),"")</f>
        <v/>
      </c>
      <c r="WZ6" s="27" t="str">
        <f>IFERROR(VLOOKUP(DATE($K$1,$K$2,WZ$4),Table1[],(MATCH(Calendar!$A6,DB!1:1,0)+2),FALSE),"")</f>
        <v/>
      </c>
      <c r="XA6" s="27" t="str">
        <f>IFERROR(VLOOKUP(DATE($K$1,$K$2,XA$4),Table1[],(MATCH(Calendar!$A6,DB!1:1,0)+2),FALSE),"")</f>
        <v/>
      </c>
      <c r="XB6" s="27" t="str">
        <f>IFERROR(VLOOKUP(DATE($K$1,$K$2,XB$4),Table1[],(MATCH(Calendar!$A6,DB!1:1,0)+2),FALSE),"")</f>
        <v/>
      </c>
      <c r="XC6" s="27" t="str">
        <f>IFERROR(VLOOKUP(DATE($K$1,$K$2,XC$4),Table1[],(MATCH(Calendar!$A6,DB!1:1,0)+2),FALSE),"")</f>
        <v/>
      </c>
      <c r="XD6" s="27" t="str">
        <f>IFERROR(VLOOKUP(DATE($K$1,$K$2,XD$4),Table1[],(MATCH(Calendar!$A6,DB!1:1,0)+2),FALSE),"")</f>
        <v/>
      </c>
      <c r="XE6" s="27" t="str">
        <f>IFERROR(VLOOKUP(DATE($K$1,$K$2,XE$4),Table1[],(MATCH(Calendar!$A6,DB!1:1,0)+2),FALSE),"")</f>
        <v/>
      </c>
      <c r="XF6" s="27" t="str">
        <f>IFERROR(VLOOKUP(DATE($K$1,$K$2,XF$4),Table1[],(MATCH(Calendar!$A6,DB!1:1,0)+2),FALSE),"")</f>
        <v/>
      </c>
      <c r="XG6" s="27" t="str">
        <f>IFERROR(VLOOKUP(DATE($K$1,$K$2,XG$4),Table1[],(MATCH(Calendar!$A6,DB!1:1,0)+2),FALSE),"")</f>
        <v/>
      </c>
      <c r="XH6" s="27" t="str">
        <f>IFERROR(VLOOKUP(DATE($K$1,$K$2,XH$4),Table1[],(MATCH(Calendar!$A6,DB!1:1,0)+2),FALSE),"")</f>
        <v/>
      </c>
      <c r="XI6" s="27" t="str">
        <f>IFERROR(VLOOKUP(DATE($K$1,$K$2,XI$4),Table1[],(MATCH(Calendar!$A6,DB!1:1,0)+2),FALSE),"")</f>
        <v/>
      </c>
      <c r="XJ6" s="27" t="str">
        <f>IFERROR(VLOOKUP(DATE($K$1,$K$2,XJ$4),Table1[],(MATCH(Calendar!$A6,DB!1:1,0)+2),FALSE),"")</f>
        <v/>
      </c>
      <c r="XK6" s="27" t="str">
        <f>IFERROR(VLOOKUP(DATE($K$1,$K$2,XK$4),Table1[],(MATCH(Calendar!$A6,DB!1:1,0)+2),FALSE),"")</f>
        <v/>
      </c>
      <c r="XL6" s="27" t="str">
        <f>IFERROR(VLOOKUP(DATE($K$1,$K$2,XL$4),Table1[],(MATCH(Calendar!$A6,DB!1:1,0)+2),FALSE),"")</f>
        <v/>
      </c>
      <c r="XM6" s="27" t="str">
        <f>IFERROR(VLOOKUP(DATE($K$1,$K$2,XM$4),Table1[],(MATCH(Calendar!$A6,DB!1:1,0)+2),FALSE),"")</f>
        <v/>
      </c>
      <c r="XN6" s="27" t="str">
        <f>IFERROR(VLOOKUP(DATE($K$1,$K$2,XN$4),Table1[],(MATCH(Calendar!$A6,DB!1:1,0)+2),FALSE),"")</f>
        <v/>
      </c>
      <c r="XO6" s="27" t="str">
        <f>IFERROR(VLOOKUP(DATE($K$1,$K$2,XO$4),Table1[],(MATCH(Calendar!$A6,DB!1:1,0)+2),FALSE),"")</f>
        <v/>
      </c>
      <c r="XP6" s="27" t="str">
        <f>IFERROR(VLOOKUP(DATE($K$1,$K$2,XP$4),Table1[],(MATCH(Calendar!$A6,DB!1:1,0)+2),FALSE),"")</f>
        <v/>
      </c>
      <c r="XQ6" s="27" t="str">
        <f>IFERROR(VLOOKUP(DATE($K$1,$K$2,XQ$4),Table1[],(MATCH(Calendar!$A6,DB!1:1,0)+2),FALSE),"")</f>
        <v/>
      </c>
      <c r="XR6" s="27" t="str">
        <f>IFERROR(VLOOKUP(DATE($K$1,$K$2,XR$4),Table1[],(MATCH(Calendar!$A6,DB!1:1,0)+2),FALSE),"")</f>
        <v/>
      </c>
      <c r="XS6" s="27" t="str">
        <f>IFERROR(VLOOKUP(DATE($K$1,$K$2,XS$4),Table1[],(MATCH(Calendar!$A6,DB!1:1,0)+2),FALSE),"")</f>
        <v/>
      </c>
      <c r="XT6" s="27" t="str">
        <f>IFERROR(VLOOKUP(DATE($K$1,$K$2,XT$4),Table1[],(MATCH(Calendar!$A6,DB!1:1,0)+2),FALSE),"")</f>
        <v/>
      </c>
      <c r="XU6" s="27" t="str">
        <f>IFERROR(VLOOKUP(DATE($K$1,$K$2,XU$4),Table1[],(MATCH(Calendar!$A6,DB!1:1,0)+2),FALSE),"")</f>
        <v/>
      </c>
      <c r="XV6" s="27" t="str">
        <f>IFERROR(VLOOKUP(DATE($K$1,$K$2,XV$4),Table1[],(MATCH(Calendar!$A6,DB!1:1,0)+2),FALSE),"")</f>
        <v/>
      </c>
      <c r="XW6" s="27" t="str">
        <f>IFERROR(VLOOKUP(DATE($K$1,$K$2,XW$4),Table1[],(MATCH(Calendar!$A6,DB!1:1,0)+2),FALSE),"")</f>
        <v/>
      </c>
      <c r="XX6" s="27" t="str">
        <f>IFERROR(VLOOKUP(DATE($K$1,$K$2,XX$4),Table1[],(MATCH(Calendar!$A6,DB!1:1,0)+2),FALSE),"")</f>
        <v/>
      </c>
      <c r="XY6" s="27" t="str">
        <f>IFERROR(VLOOKUP(DATE($K$1,$K$2,XY$4),Table1[],(MATCH(Calendar!$A6,DB!1:1,0)+2),FALSE),"")</f>
        <v/>
      </c>
      <c r="XZ6" s="27" t="str">
        <f>IFERROR(VLOOKUP(DATE($K$1,$K$2,XZ$4),Table1[],(MATCH(Calendar!$A6,DB!1:1,0)+2),FALSE),"")</f>
        <v/>
      </c>
      <c r="YA6" s="27" t="str">
        <f>IFERROR(VLOOKUP(DATE($K$1,$K$2,YA$4),Table1[],(MATCH(Calendar!$A6,DB!1:1,0)+2),FALSE),"")</f>
        <v/>
      </c>
      <c r="YB6" s="27" t="str">
        <f>IFERROR(VLOOKUP(DATE($K$1,$K$2,YB$4),Table1[],(MATCH(Calendar!$A6,DB!1:1,0)+2),FALSE),"")</f>
        <v/>
      </c>
      <c r="YC6" s="27" t="str">
        <f>IFERROR(VLOOKUP(DATE($K$1,$K$2,YC$4),Table1[],(MATCH(Calendar!$A6,DB!1:1,0)+2),FALSE),"")</f>
        <v/>
      </c>
      <c r="YD6" s="27" t="str">
        <f>IFERROR(VLOOKUP(DATE($K$1,$K$2,YD$4),Table1[],(MATCH(Calendar!$A6,DB!1:1,0)+2),FALSE),"")</f>
        <v/>
      </c>
      <c r="YE6" s="27" t="str">
        <f>IFERROR(VLOOKUP(DATE($K$1,$K$2,YE$4),Table1[],(MATCH(Calendar!$A6,DB!1:1,0)+2),FALSE),"")</f>
        <v/>
      </c>
      <c r="YF6" s="27" t="str">
        <f>IFERROR(VLOOKUP(DATE($K$1,$K$2,YF$4),Table1[],(MATCH(Calendar!$A6,DB!1:1,0)+2),FALSE),"")</f>
        <v/>
      </c>
      <c r="YG6" s="27" t="str">
        <f>IFERROR(VLOOKUP(DATE($K$1,$K$2,YG$4),Table1[],(MATCH(Calendar!$A6,DB!1:1,0)+2),FALSE),"")</f>
        <v/>
      </c>
      <c r="YH6" s="27" t="str">
        <f>IFERROR(VLOOKUP(DATE($K$1,$K$2,YH$4),Table1[],(MATCH(Calendar!$A6,DB!1:1,0)+2),FALSE),"")</f>
        <v/>
      </c>
      <c r="YI6" s="27" t="str">
        <f>IFERROR(VLOOKUP(DATE($K$1,$K$2,YI$4),Table1[],(MATCH(Calendar!$A6,DB!1:1,0)+2),FALSE),"")</f>
        <v/>
      </c>
      <c r="YJ6" s="27" t="str">
        <f>IFERROR(VLOOKUP(DATE($K$1,$K$2,YJ$4),Table1[],(MATCH(Calendar!$A6,DB!1:1,0)+2),FALSE),"")</f>
        <v/>
      </c>
      <c r="YK6" s="27" t="str">
        <f>IFERROR(VLOOKUP(DATE($K$1,$K$2,YK$4),Table1[],(MATCH(Calendar!$A6,DB!1:1,0)+2),FALSE),"")</f>
        <v/>
      </c>
      <c r="YL6" s="27" t="str">
        <f>IFERROR(VLOOKUP(DATE($K$1,$K$2,YL$4),Table1[],(MATCH(Calendar!$A6,DB!1:1,0)+2),FALSE),"")</f>
        <v/>
      </c>
      <c r="YM6" s="27" t="str">
        <f>IFERROR(VLOOKUP(DATE($K$1,$K$2,YM$4),Table1[],(MATCH(Calendar!$A6,DB!1:1,0)+2),FALSE),"")</f>
        <v/>
      </c>
      <c r="YN6" s="27" t="str">
        <f>IFERROR(VLOOKUP(DATE($K$1,$K$2,YN$4),Table1[],(MATCH(Calendar!$A6,DB!1:1,0)+2),FALSE),"")</f>
        <v/>
      </c>
      <c r="YO6" s="27" t="str">
        <f>IFERROR(VLOOKUP(DATE($K$1,$K$2,YO$4),Table1[],(MATCH(Calendar!$A6,DB!1:1,0)+2),FALSE),"")</f>
        <v/>
      </c>
      <c r="YP6" s="27" t="str">
        <f>IFERROR(VLOOKUP(DATE($K$1,$K$2,YP$4),Table1[],(MATCH(Calendar!$A6,DB!1:1,0)+2),FALSE),"")</f>
        <v/>
      </c>
      <c r="YQ6" s="27" t="str">
        <f>IFERROR(VLOOKUP(DATE($K$1,$K$2,YQ$4),Table1[],(MATCH(Calendar!$A6,DB!1:1,0)+2),FALSE),"")</f>
        <v/>
      </c>
      <c r="YR6" s="27" t="str">
        <f>IFERROR(VLOOKUP(DATE($K$1,$K$2,YR$4),Table1[],(MATCH(Calendar!$A6,DB!1:1,0)+2),FALSE),"")</f>
        <v/>
      </c>
      <c r="YS6" s="27" t="str">
        <f>IFERROR(VLOOKUP(DATE($K$1,$K$2,YS$4),Table1[],(MATCH(Calendar!$A6,DB!1:1,0)+2),FALSE),"")</f>
        <v/>
      </c>
      <c r="YT6" s="27" t="str">
        <f>IFERROR(VLOOKUP(DATE($K$1,$K$2,YT$4),Table1[],(MATCH(Calendar!$A6,DB!1:1,0)+2),FALSE),"")</f>
        <v/>
      </c>
      <c r="YU6" s="27" t="str">
        <f>IFERROR(VLOOKUP(DATE($K$1,$K$2,YU$4),Table1[],(MATCH(Calendar!$A6,DB!1:1,0)+2),FALSE),"")</f>
        <v/>
      </c>
      <c r="YV6" s="27" t="str">
        <f>IFERROR(VLOOKUP(DATE($K$1,$K$2,YV$4),Table1[],(MATCH(Calendar!$A6,DB!1:1,0)+2),FALSE),"")</f>
        <v/>
      </c>
      <c r="YW6" s="27" t="str">
        <f>IFERROR(VLOOKUP(DATE($K$1,$K$2,YW$4),Table1[],(MATCH(Calendar!$A6,DB!1:1,0)+2),FALSE),"")</f>
        <v/>
      </c>
      <c r="YX6" s="27" t="str">
        <f>IFERROR(VLOOKUP(DATE($K$1,$K$2,YX$4),Table1[],(MATCH(Calendar!$A6,DB!1:1,0)+2),FALSE),"")</f>
        <v/>
      </c>
      <c r="YY6" s="27" t="str">
        <f>IFERROR(VLOOKUP(DATE($K$1,$K$2,YY$4),Table1[],(MATCH(Calendar!$A6,DB!1:1,0)+2),FALSE),"")</f>
        <v/>
      </c>
      <c r="YZ6" s="27" t="str">
        <f>IFERROR(VLOOKUP(DATE($K$1,$K$2,YZ$4),Table1[],(MATCH(Calendar!$A6,DB!1:1,0)+2),FALSE),"")</f>
        <v/>
      </c>
      <c r="ZA6" s="27" t="str">
        <f>IFERROR(VLOOKUP(DATE($K$1,$K$2,ZA$4),Table1[],(MATCH(Calendar!$A6,DB!1:1,0)+2),FALSE),"")</f>
        <v/>
      </c>
      <c r="ZB6" s="27" t="str">
        <f>IFERROR(VLOOKUP(DATE($K$1,$K$2,ZB$4),Table1[],(MATCH(Calendar!$A6,DB!1:1,0)+2),FALSE),"")</f>
        <v/>
      </c>
      <c r="ZC6" s="27" t="str">
        <f>IFERROR(VLOOKUP(DATE($K$1,$K$2,ZC$4),Table1[],(MATCH(Calendar!$A6,DB!1:1,0)+2),FALSE),"")</f>
        <v/>
      </c>
      <c r="ZD6" s="27" t="str">
        <f>IFERROR(VLOOKUP(DATE($K$1,$K$2,ZD$4),Table1[],(MATCH(Calendar!$A6,DB!1:1,0)+2),FALSE),"")</f>
        <v/>
      </c>
      <c r="ZE6" s="27" t="str">
        <f>IFERROR(VLOOKUP(DATE($K$1,$K$2,ZE$4),Table1[],(MATCH(Calendar!$A6,DB!1:1,0)+2),FALSE),"")</f>
        <v/>
      </c>
      <c r="ZF6" s="27" t="str">
        <f>IFERROR(VLOOKUP(DATE($K$1,$K$2,ZF$4),Table1[],(MATCH(Calendar!$A6,DB!1:1,0)+2),FALSE),"")</f>
        <v/>
      </c>
      <c r="ZG6" s="27" t="str">
        <f>IFERROR(VLOOKUP(DATE($K$1,$K$2,ZG$4),Table1[],(MATCH(Calendar!$A6,DB!1:1,0)+2),FALSE),"")</f>
        <v/>
      </c>
      <c r="ZH6" s="27" t="str">
        <f>IFERROR(VLOOKUP(DATE($K$1,$K$2,ZH$4),Table1[],(MATCH(Calendar!$A6,DB!1:1,0)+2),FALSE),"")</f>
        <v/>
      </c>
      <c r="ZI6" s="27" t="str">
        <f>IFERROR(VLOOKUP(DATE($K$1,$K$2,ZI$4),Table1[],(MATCH(Calendar!$A6,DB!1:1,0)+2),FALSE),"")</f>
        <v/>
      </c>
      <c r="ZJ6" s="27" t="str">
        <f>IFERROR(VLOOKUP(DATE($K$1,$K$2,ZJ$4),Table1[],(MATCH(Calendar!$A6,DB!1:1,0)+2),FALSE),"")</f>
        <v/>
      </c>
      <c r="ZK6" s="27" t="str">
        <f>IFERROR(VLOOKUP(DATE($K$1,$K$2,ZK$4),Table1[],(MATCH(Calendar!$A6,DB!1:1,0)+2),FALSE),"")</f>
        <v/>
      </c>
      <c r="ZL6" s="27" t="str">
        <f>IFERROR(VLOOKUP(DATE($K$1,$K$2,ZL$4),Table1[],(MATCH(Calendar!$A6,DB!1:1,0)+2),FALSE),"")</f>
        <v/>
      </c>
      <c r="ZM6" s="27" t="str">
        <f>IFERROR(VLOOKUP(DATE($K$1,$K$2,ZM$4),Table1[],(MATCH(Calendar!$A6,DB!1:1,0)+2),FALSE),"")</f>
        <v/>
      </c>
      <c r="ZN6" s="27" t="str">
        <f>IFERROR(VLOOKUP(DATE($K$1,$K$2,ZN$4),Table1[],(MATCH(Calendar!$A6,DB!1:1,0)+2),FALSE),"")</f>
        <v/>
      </c>
      <c r="ZO6" s="27" t="str">
        <f>IFERROR(VLOOKUP(DATE($K$1,$K$2,ZO$4),Table1[],(MATCH(Calendar!$A6,DB!1:1,0)+2),FALSE),"")</f>
        <v/>
      </c>
      <c r="ZP6" s="27" t="str">
        <f>IFERROR(VLOOKUP(DATE($K$1,$K$2,ZP$4),Table1[],(MATCH(Calendar!$A6,DB!1:1,0)+2),FALSE),"")</f>
        <v/>
      </c>
      <c r="ZQ6" s="27" t="str">
        <f>IFERROR(VLOOKUP(DATE($K$1,$K$2,ZQ$4),Table1[],(MATCH(Calendar!$A6,DB!1:1,0)+2),FALSE),"")</f>
        <v/>
      </c>
      <c r="ZR6" s="27" t="str">
        <f>IFERROR(VLOOKUP(DATE($K$1,$K$2,ZR$4),Table1[],(MATCH(Calendar!$A6,DB!1:1,0)+2),FALSE),"")</f>
        <v/>
      </c>
      <c r="ZS6" s="27" t="str">
        <f>IFERROR(VLOOKUP(DATE($K$1,$K$2,ZS$4),Table1[],(MATCH(Calendar!$A6,DB!1:1,0)+2),FALSE),"")</f>
        <v/>
      </c>
      <c r="ZT6" s="27" t="str">
        <f>IFERROR(VLOOKUP(DATE($K$1,$K$2,ZT$4),Table1[],(MATCH(Calendar!$A6,DB!1:1,0)+2),FALSE),"")</f>
        <v/>
      </c>
      <c r="ZU6" s="27" t="str">
        <f>IFERROR(VLOOKUP(DATE($K$1,$K$2,ZU$4),Table1[],(MATCH(Calendar!$A6,DB!1:1,0)+2),FALSE),"")</f>
        <v/>
      </c>
      <c r="ZV6" s="27" t="str">
        <f>IFERROR(VLOOKUP(DATE($K$1,$K$2,ZV$4),Table1[],(MATCH(Calendar!$A6,DB!1:1,0)+2),FALSE),"")</f>
        <v/>
      </c>
      <c r="ZW6" s="27" t="str">
        <f>IFERROR(VLOOKUP(DATE($K$1,$K$2,ZW$4),Table1[],(MATCH(Calendar!$A6,DB!1:1,0)+2),FALSE),"")</f>
        <v/>
      </c>
      <c r="ZX6" s="27" t="str">
        <f>IFERROR(VLOOKUP(DATE($K$1,$K$2,ZX$4),Table1[],(MATCH(Calendar!$A6,DB!1:1,0)+2),FALSE),"")</f>
        <v/>
      </c>
      <c r="ZY6" s="27" t="str">
        <f>IFERROR(VLOOKUP(DATE($K$1,$K$2,ZY$4),Table1[],(MATCH(Calendar!$A6,DB!1:1,0)+2),FALSE),"")</f>
        <v/>
      </c>
      <c r="ZZ6" s="27" t="str">
        <f>IFERROR(VLOOKUP(DATE($K$1,$K$2,ZZ$4),Table1[],(MATCH(Calendar!$A6,DB!1:1,0)+2),FALSE),"")</f>
        <v/>
      </c>
      <c r="AAA6" s="27" t="str">
        <f>IFERROR(VLOOKUP(DATE($K$1,$K$2,AAA$4),Table1[],(MATCH(Calendar!$A6,DB!1:1,0)+2),FALSE),"")</f>
        <v/>
      </c>
      <c r="AAB6" s="27" t="str">
        <f>IFERROR(VLOOKUP(DATE($K$1,$K$2,AAB$4),Table1[],(MATCH(Calendar!$A6,DB!1:1,0)+2),FALSE),"")</f>
        <v/>
      </c>
      <c r="AAC6" s="27" t="str">
        <f>IFERROR(VLOOKUP(DATE($K$1,$K$2,AAC$4),Table1[],(MATCH(Calendar!$A6,DB!1:1,0)+2),FALSE),"")</f>
        <v/>
      </c>
      <c r="AAD6" s="27" t="str">
        <f>IFERROR(VLOOKUP(DATE($K$1,$K$2,AAD$4),Table1[],(MATCH(Calendar!$A6,DB!1:1,0)+2),FALSE),"")</f>
        <v/>
      </c>
      <c r="AAE6" s="27" t="str">
        <f>IFERROR(VLOOKUP(DATE($K$1,$K$2,AAE$4),Table1[],(MATCH(Calendar!$A6,DB!1:1,0)+2),FALSE),"")</f>
        <v/>
      </c>
      <c r="AAF6" s="27" t="str">
        <f>IFERROR(VLOOKUP(DATE($K$1,$K$2,AAF$4),Table1[],(MATCH(Calendar!$A6,DB!1:1,0)+2),FALSE),"")</f>
        <v/>
      </c>
      <c r="AAG6" s="27" t="str">
        <f>IFERROR(VLOOKUP(DATE($K$1,$K$2,AAG$4),Table1[],(MATCH(Calendar!$A6,DB!1:1,0)+2),FALSE),"")</f>
        <v/>
      </c>
      <c r="AAH6" s="27" t="str">
        <f>IFERROR(VLOOKUP(DATE($K$1,$K$2,AAH$4),Table1[],(MATCH(Calendar!$A6,DB!1:1,0)+2),FALSE),"")</f>
        <v/>
      </c>
      <c r="AAI6" s="27" t="str">
        <f>IFERROR(VLOOKUP(DATE($K$1,$K$2,AAI$4),Table1[],(MATCH(Calendar!$A6,DB!1:1,0)+2),FALSE),"")</f>
        <v/>
      </c>
      <c r="AAJ6" s="27" t="str">
        <f>IFERROR(VLOOKUP(DATE($K$1,$K$2,AAJ$4),Table1[],(MATCH(Calendar!$A6,DB!1:1,0)+2),FALSE),"")</f>
        <v/>
      </c>
      <c r="AAK6" s="27" t="str">
        <f>IFERROR(VLOOKUP(DATE($K$1,$K$2,AAK$4),Table1[],(MATCH(Calendar!$A6,DB!1:1,0)+2),FALSE),"")</f>
        <v/>
      </c>
      <c r="AAL6" s="27" t="str">
        <f>IFERROR(VLOOKUP(DATE($K$1,$K$2,AAL$4),Table1[],(MATCH(Calendar!$A6,DB!1:1,0)+2),FALSE),"")</f>
        <v/>
      </c>
      <c r="AAM6" s="27" t="str">
        <f>IFERROR(VLOOKUP(DATE($K$1,$K$2,AAM$4),Table1[],(MATCH(Calendar!$A6,DB!1:1,0)+2),FALSE),"")</f>
        <v/>
      </c>
      <c r="AAN6" s="27" t="str">
        <f>IFERROR(VLOOKUP(DATE($K$1,$K$2,AAN$4),Table1[],(MATCH(Calendar!$A6,DB!1:1,0)+2),FALSE),"")</f>
        <v/>
      </c>
      <c r="AAO6" s="27" t="str">
        <f>IFERROR(VLOOKUP(DATE($K$1,$K$2,AAO$4),Table1[],(MATCH(Calendar!$A6,DB!1:1,0)+2),FALSE),"")</f>
        <v/>
      </c>
      <c r="AAP6" s="27" t="str">
        <f>IFERROR(VLOOKUP(DATE($K$1,$K$2,AAP$4),Table1[],(MATCH(Calendar!$A6,DB!1:1,0)+2),FALSE),"")</f>
        <v/>
      </c>
      <c r="AAQ6" s="27" t="str">
        <f>IFERROR(VLOOKUP(DATE($K$1,$K$2,AAQ$4),Table1[],(MATCH(Calendar!$A6,DB!1:1,0)+2),FALSE),"")</f>
        <v/>
      </c>
      <c r="AAR6" s="27" t="str">
        <f>IFERROR(VLOOKUP(DATE($K$1,$K$2,AAR$4),Table1[],(MATCH(Calendar!$A6,DB!1:1,0)+2),FALSE),"")</f>
        <v/>
      </c>
      <c r="AAS6" s="27" t="str">
        <f>IFERROR(VLOOKUP(DATE($K$1,$K$2,AAS$4),Table1[],(MATCH(Calendar!$A6,DB!1:1,0)+2),FALSE),"")</f>
        <v/>
      </c>
      <c r="AAT6" s="27" t="str">
        <f>IFERROR(VLOOKUP(DATE($K$1,$K$2,AAT$4),Table1[],(MATCH(Calendar!$A6,DB!1:1,0)+2),FALSE),"")</f>
        <v/>
      </c>
      <c r="AAU6" s="27" t="str">
        <f>IFERROR(VLOOKUP(DATE($K$1,$K$2,AAU$4),Table1[],(MATCH(Calendar!$A6,DB!1:1,0)+2),FALSE),"")</f>
        <v/>
      </c>
      <c r="AAV6" s="27" t="str">
        <f>IFERROR(VLOOKUP(DATE($K$1,$K$2,AAV$4),Table1[],(MATCH(Calendar!$A6,DB!1:1,0)+2),FALSE),"")</f>
        <v/>
      </c>
      <c r="AAW6" s="27" t="str">
        <f>IFERROR(VLOOKUP(DATE($K$1,$K$2,AAW$4),Table1[],(MATCH(Calendar!$A6,DB!1:1,0)+2),FALSE),"")</f>
        <v/>
      </c>
      <c r="AAX6" s="27" t="str">
        <f>IFERROR(VLOOKUP(DATE($K$1,$K$2,AAX$4),Table1[],(MATCH(Calendar!$A6,DB!1:1,0)+2),FALSE),"")</f>
        <v/>
      </c>
      <c r="AAY6" s="27" t="str">
        <f>IFERROR(VLOOKUP(DATE($K$1,$K$2,AAY$4),Table1[],(MATCH(Calendar!$A6,DB!1:1,0)+2),FALSE),"")</f>
        <v/>
      </c>
      <c r="AAZ6" s="27" t="str">
        <f>IFERROR(VLOOKUP(DATE($K$1,$K$2,AAZ$4),Table1[],(MATCH(Calendar!$A6,DB!1:1,0)+2),FALSE),"")</f>
        <v/>
      </c>
      <c r="ABA6" s="27" t="str">
        <f>IFERROR(VLOOKUP(DATE($K$1,$K$2,ABA$4),Table1[],(MATCH(Calendar!$A6,DB!1:1,0)+2),FALSE),"")</f>
        <v/>
      </c>
      <c r="ABB6" s="27" t="str">
        <f>IFERROR(VLOOKUP(DATE($K$1,$K$2,ABB$4),Table1[],(MATCH(Calendar!$A6,DB!1:1,0)+2),FALSE),"")</f>
        <v/>
      </c>
      <c r="ABC6" s="27" t="str">
        <f>IFERROR(VLOOKUP(DATE($K$1,$K$2,ABC$4),Table1[],(MATCH(Calendar!$A6,DB!1:1,0)+2),FALSE),"")</f>
        <v/>
      </c>
      <c r="ABD6" s="27" t="str">
        <f>IFERROR(VLOOKUP(DATE($K$1,$K$2,ABD$4),Table1[],(MATCH(Calendar!$A6,DB!1:1,0)+2),FALSE),"")</f>
        <v/>
      </c>
      <c r="ABE6" s="27" t="str">
        <f>IFERROR(VLOOKUP(DATE($K$1,$K$2,ABE$4),Table1[],(MATCH(Calendar!$A6,DB!1:1,0)+2),FALSE),"")</f>
        <v/>
      </c>
      <c r="ABF6" s="27" t="str">
        <f>IFERROR(VLOOKUP(DATE($K$1,$K$2,ABF$4),Table1[],(MATCH(Calendar!$A6,DB!1:1,0)+2),FALSE),"")</f>
        <v/>
      </c>
      <c r="ABG6" s="27" t="str">
        <f>IFERROR(VLOOKUP(DATE($K$1,$K$2,ABG$4),Table1[],(MATCH(Calendar!$A6,DB!1:1,0)+2),FALSE),"")</f>
        <v/>
      </c>
      <c r="ABH6" s="27" t="str">
        <f>IFERROR(VLOOKUP(DATE($K$1,$K$2,ABH$4),Table1[],(MATCH(Calendar!$A6,DB!1:1,0)+2),FALSE),"")</f>
        <v/>
      </c>
      <c r="ABI6" s="27" t="str">
        <f>IFERROR(VLOOKUP(DATE($K$1,$K$2,ABI$4),Table1[],(MATCH(Calendar!$A6,DB!1:1,0)+2),FALSE),"")</f>
        <v/>
      </c>
      <c r="ABJ6" s="27" t="str">
        <f>IFERROR(VLOOKUP(DATE($K$1,$K$2,ABJ$4),Table1[],(MATCH(Calendar!$A6,DB!1:1,0)+2),FALSE),"")</f>
        <v/>
      </c>
      <c r="ABK6" s="27" t="str">
        <f>IFERROR(VLOOKUP(DATE($K$1,$K$2,ABK$4),Table1[],(MATCH(Calendar!$A6,DB!1:1,0)+2),FALSE),"")</f>
        <v/>
      </c>
      <c r="ABL6" s="27" t="str">
        <f>IFERROR(VLOOKUP(DATE($K$1,$K$2,ABL$4),Table1[],(MATCH(Calendar!$A6,DB!1:1,0)+2),FALSE),"")</f>
        <v/>
      </c>
      <c r="ABM6" s="27" t="str">
        <f>IFERROR(VLOOKUP(DATE($K$1,$K$2,ABM$4),Table1[],(MATCH(Calendar!$A6,DB!1:1,0)+2),FALSE),"")</f>
        <v/>
      </c>
      <c r="ABN6" s="27" t="str">
        <f>IFERROR(VLOOKUP(DATE($K$1,$K$2,ABN$4),Table1[],(MATCH(Calendar!$A6,DB!1:1,0)+2),FALSE),"")</f>
        <v/>
      </c>
      <c r="ABO6" s="27" t="str">
        <f>IFERROR(VLOOKUP(DATE($K$1,$K$2,ABO$4),Table1[],(MATCH(Calendar!$A6,DB!1:1,0)+2),FALSE),"")</f>
        <v/>
      </c>
      <c r="ABP6" s="27" t="str">
        <f>IFERROR(VLOOKUP(DATE($K$1,$K$2,ABP$4),Table1[],(MATCH(Calendar!$A6,DB!1:1,0)+2),FALSE),"")</f>
        <v/>
      </c>
      <c r="ABQ6" s="27" t="str">
        <f>IFERROR(VLOOKUP(DATE($K$1,$K$2,ABQ$4),Table1[],(MATCH(Calendar!$A6,DB!1:1,0)+2),FALSE),"")</f>
        <v/>
      </c>
      <c r="ABR6" s="27" t="str">
        <f>IFERROR(VLOOKUP(DATE($K$1,$K$2,ABR$4),Table1[],(MATCH(Calendar!$A6,DB!1:1,0)+2),FALSE),"")</f>
        <v/>
      </c>
      <c r="ABS6" s="27" t="str">
        <f>IFERROR(VLOOKUP(DATE($K$1,$K$2,ABS$4),Table1[],(MATCH(Calendar!$A6,DB!1:1,0)+2),FALSE),"")</f>
        <v/>
      </c>
      <c r="ABT6" s="27" t="str">
        <f>IFERROR(VLOOKUP(DATE($K$1,$K$2,ABT$4),Table1[],(MATCH(Calendar!$A6,DB!1:1,0)+2),FALSE),"")</f>
        <v/>
      </c>
      <c r="ABU6" s="27" t="str">
        <f>IFERROR(VLOOKUP(DATE($K$1,$K$2,ABU$4),Table1[],(MATCH(Calendar!$A6,DB!1:1,0)+2),FALSE),"")</f>
        <v/>
      </c>
      <c r="ABV6" s="27" t="str">
        <f>IFERROR(VLOOKUP(DATE($K$1,$K$2,ABV$4),Table1[],(MATCH(Calendar!$A6,DB!1:1,0)+2),FALSE),"")</f>
        <v/>
      </c>
      <c r="ABW6" s="27" t="str">
        <f>IFERROR(VLOOKUP(DATE($K$1,$K$2,ABW$4),Table1[],(MATCH(Calendar!$A6,DB!1:1,0)+2),FALSE),"")</f>
        <v/>
      </c>
      <c r="ABX6" s="27" t="str">
        <f>IFERROR(VLOOKUP(DATE($K$1,$K$2,ABX$4),Table1[],(MATCH(Calendar!$A6,DB!1:1,0)+2),FALSE),"")</f>
        <v/>
      </c>
      <c r="ABY6" s="27" t="str">
        <f>IFERROR(VLOOKUP(DATE($K$1,$K$2,ABY$4),Table1[],(MATCH(Calendar!$A6,DB!1:1,0)+2),FALSE),"")</f>
        <v/>
      </c>
      <c r="ABZ6" s="27" t="str">
        <f>IFERROR(VLOOKUP(DATE($K$1,$K$2,ABZ$4),Table1[],(MATCH(Calendar!$A6,DB!1:1,0)+2),FALSE),"")</f>
        <v/>
      </c>
      <c r="ACA6" s="27" t="str">
        <f>IFERROR(VLOOKUP(DATE($K$1,$K$2,ACA$4),Table1[],(MATCH(Calendar!$A6,DB!1:1,0)+2),FALSE),"")</f>
        <v/>
      </c>
      <c r="ACB6" s="27" t="str">
        <f>IFERROR(VLOOKUP(DATE($K$1,$K$2,ACB$4),Table1[],(MATCH(Calendar!$A6,DB!1:1,0)+2),FALSE),"")</f>
        <v/>
      </c>
      <c r="ACC6" s="27" t="str">
        <f>IFERROR(VLOOKUP(DATE($K$1,$K$2,ACC$4),Table1[],(MATCH(Calendar!$A6,DB!1:1,0)+2),FALSE),"")</f>
        <v/>
      </c>
      <c r="ACD6" s="27" t="str">
        <f>IFERROR(VLOOKUP(DATE($K$1,$K$2,ACD$4),Table1[],(MATCH(Calendar!$A6,DB!1:1,0)+2),FALSE),"")</f>
        <v/>
      </c>
      <c r="ACE6" s="27" t="str">
        <f>IFERROR(VLOOKUP(DATE($K$1,$K$2,ACE$4),Table1[],(MATCH(Calendar!$A6,DB!1:1,0)+2),FALSE),"")</f>
        <v/>
      </c>
      <c r="ACF6" s="27" t="str">
        <f>IFERROR(VLOOKUP(DATE($K$1,$K$2,ACF$4),Table1[],(MATCH(Calendar!$A6,DB!1:1,0)+2),FALSE),"")</f>
        <v/>
      </c>
      <c r="ACG6" s="27" t="str">
        <f>IFERROR(VLOOKUP(DATE($K$1,$K$2,ACG$4),Table1[],(MATCH(Calendar!$A6,DB!1:1,0)+2),FALSE),"")</f>
        <v/>
      </c>
      <c r="ACH6" s="27" t="str">
        <f>IFERROR(VLOOKUP(DATE($K$1,$K$2,ACH$4),Table1[],(MATCH(Calendar!$A6,DB!1:1,0)+2),FALSE),"")</f>
        <v/>
      </c>
      <c r="ACI6" s="27" t="str">
        <f>IFERROR(VLOOKUP(DATE($K$1,$K$2,ACI$4),Table1[],(MATCH(Calendar!$A6,DB!1:1,0)+2),FALSE),"")</f>
        <v/>
      </c>
      <c r="ACJ6" s="27" t="str">
        <f>IFERROR(VLOOKUP(DATE($K$1,$K$2,ACJ$4),Table1[],(MATCH(Calendar!$A6,DB!1:1,0)+2),FALSE),"")</f>
        <v/>
      </c>
      <c r="ACK6" s="27" t="str">
        <f>IFERROR(VLOOKUP(DATE($K$1,$K$2,ACK$4),Table1[],(MATCH(Calendar!$A6,DB!1:1,0)+2),FALSE),"")</f>
        <v/>
      </c>
      <c r="ACL6" s="27" t="str">
        <f>IFERROR(VLOOKUP(DATE($K$1,$K$2,ACL$4),Table1[],(MATCH(Calendar!$A6,DB!1:1,0)+2),FALSE),"")</f>
        <v/>
      </c>
      <c r="ACM6" s="27" t="str">
        <f>IFERROR(VLOOKUP(DATE($K$1,$K$2,ACM$4),Table1[],(MATCH(Calendar!$A6,DB!1:1,0)+2),FALSE),"")</f>
        <v/>
      </c>
      <c r="ACN6" s="27" t="str">
        <f>IFERROR(VLOOKUP(DATE($K$1,$K$2,ACN$4),Table1[],(MATCH(Calendar!$A6,DB!1:1,0)+2),FALSE),"")</f>
        <v/>
      </c>
      <c r="ACO6" s="27" t="str">
        <f>IFERROR(VLOOKUP(DATE($K$1,$K$2,ACO$4),Table1[],(MATCH(Calendar!$A6,DB!1:1,0)+2),FALSE),"")</f>
        <v/>
      </c>
      <c r="ACP6" s="27" t="str">
        <f>IFERROR(VLOOKUP(DATE($K$1,$K$2,ACP$4),Table1[],(MATCH(Calendar!$A6,DB!1:1,0)+2),FALSE),"")</f>
        <v/>
      </c>
      <c r="ACQ6" s="27" t="str">
        <f>IFERROR(VLOOKUP(DATE($K$1,$K$2,ACQ$4),Table1[],(MATCH(Calendar!$A6,DB!1:1,0)+2),FALSE),"")</f>
        <v/>
      </c>
      <c r="ACR6" s="27" t="str">
        <f>IFERROR(VLOOKUP(DATE($K$1,$K$2,ACR$4),Table1[],(MATCH(Calendar!$A6,DB!1:1,0)+2),FALSE),"")</f>
        <v/>
      </c>
      <c r="ACS6" s="27" t="str">
        <f>IFERROR(VLOOKUP(DATE($K$1,$K$2,ACS$4),Table1[],(MATCH(Calendar!$A6,DB!1:1,0)+2),FALSE),"")</f>
        <v/>
      </c>
      <c r="ACT6" s="27" t="str">
        <f>IFERROR(VLOOKUP(DATE($K$1,$K$2,ACT$4),Table1[],(MATCH(Calendar!$A6,DB!1:1,0)+2),FALSE),"")</f>
        <v/>
      </c>
      <c r="ACU6" s="27" t="str">
        <f>IFERROR(VLOOKUP(DATE($K$1,$K$2,ACU$4),Table1[],(MATCH(Calendar!$A6,DB!1:1,0)+2),FALSE),"")</f>
        <v/>
      </c>
      <c r="ACV6" s="27" t="str">
        <f>IFERROR(VLOOKUP(DATE($K$1,$K$2,ACV$4),Table1[],(MATCH(Calendar!$A6,DB!1:1,0)+2),FALSE),"")</f>
        <v/>
      </c>
      <c r="ACW6" s="27" t="str">
        <f>IFERROR(VLOOKUP(DATE($K$1,$K$2,ACW$4),Table1[],(MATCH(Calendar!$A6,DB!1:1,0)+2),FALSE),"")</f>
        <v/>
      </c>
      <c r="ACX6" s="27" t="str">
        <f>IFERROR(VLOOKUP(DATE($K$1,$K$2,ACX$4),Table1[],(MATCH(Calendar!$A6,DB!1:1,0)+2),FALSE),"")</f>
        <v/>
      </c>
      <c r="ACY6" s="27" t="str">
        <f>IFERROR(VLOOKUP(DATE($K$1,$K$2,ACY$4),Table1[],(MATCH(Calendar!$A6,DB!1:1,0)+2),FALSE),"")</f>
        <v/>
      </c>
      <c r="ACZ6" s="27" t="str">
        <f>IFERROR(VLOOKUP(DATE($K$1,$K$2,ACZ$4),Table1[],(MATCH(Calendar!$A6,DB!1:1,0)+2),FALSE),"")</f>
        <v/>
      </c>
      <c r="ADA6" s="27" t="str">
        <f>IFERROR(VLOOKUP(DATE($K$1,$K$2,ADA$4),Table1[],(MATCH(Calendar!$A6,DB!1:1,0)+2),FALSE),"")</f>
        <v/>
      </c>
      <c r="ADB6" s="27" t="str">
        <f>IFERROR(VLOOKUP(DATE($K$1,$K$2,ADB$4),Table1[],(MATCH(Calendar!$A6,DB!1:1,0)+2),FALSE),"")</f>
        <v/>
      </c>
      <c r="ADC6" s="27" t="str">
        <f>IFERROR(VLOOKUP(DATE($K$1,$K$2,ADC$4),Table1[],(MATCH(Calendar!$A6,DB!1:1,0)+2),FALSE),"")</f>
        <v/>
      </c>
      <c r="ADD6" s="27" t="str">
        <f>IFERROR(VLOOKUP(DATE($K$1,$K$2,ADD$4),Table1[],(MATCH(Calendar!$A6,DB!1:1,0)+2),FALSE),"")</f>
        <v/>
      </c>
      <c r="ADE6" s="27" t="str">
        <f>IFERROR(VLOOKUP(DATE($K$1,$K$2,ADE$4),Table1[],(MATCH(Calendar!$A6,DB!1:1,0)+2),FALSE),"")</f>
        <v/>
      </c>
      <c r="ADF6" s="27" t="str">
        <f>IFERROR(VLOOKUP(DATE($K$1,$K$2,ADF$4),Table1[],(MATCH(Calendar!$A6,DB!1:1,0)+2),FALSE),"")</f>
        <v/>
      </c>
      <c r="ADG6" s="27" t="str">
        <f>IFERROR(VLOOKUP(DATE($K$1,$K$2,ADG$4),Table1[],(MATCH(Calendar!$A6,DB!1:1,0)+2),FALSE),"")</f>
        <v/>
      </c>
      <c r="ADH6" s="27" t="str">
        <f>IFERROR(VLOOKUP(DATE($K$1,$K$2,ADH$4),Table1[],(MATCH(Calendar!$A6,DB!1:1,0)+2),FALSE),"")</f>
        <v/>
      </c>
      <c r="ADI6" s="27" t="str">
        <f>IFERROR(VLOOKUP(DATE($K$1,$K$2,ADI$4),Table1[],(MATCH(Calendar!$A6,DB!1:1,0)+2),FALSE),"")</f>
        <v/>
      </c>
      <c r="ADJ6" s="27" t="str">
        <f>IFERROR(VLOOKUP(DATE($K$1,$K$2,ADJ$4),Table1[],(MATCH(Calendar!$A6,DB!1:1,0)+2),FALSE),"")</f>
        <v/>
      </c>
      <c r="ADK6" s="27" t="str">
        <f>IFERROR(VLOOKUP(DATE($K$1,$K$2,ADK$4),Table1[],(MATCH(Calendar!$A6,DB!1:1,0)+2),FALSE),"")</f>
        <v/>
      </c>
      <c r="ADL6" s="27" t="str">
        <f>IFERROR(VLOOKUP(DATE($K$1,$K$2,ADL$4),Table1[],(MATCH(Calendar!$A6,DB!1:1,0)+2),FALSE),"")</f>
        <v/>
      </c>
      <c r="ADM6" s="27" t="str">
        <f>IFERROR(VLOOKUP(DATE($K$1,$K$2,ADM$4),Table1[],(MATCH(Calendar!$A6,DB!1:1,0)+2),FALSE),"")</f>
        <v/>
      </c>
      <c r="ADN6" s="27" t="str">
        <f>IFERROR(VLOOKUP(DATE($K$1,$K$2,ADN$4),Table1[],(MATCH(Calendar!$A6,DB!1:1,0)+2),FALSE),"")</f>
        <v/>
      </c>
      <c r="ADO6" s="27" t="str">
        <f>IFERROR(VLOOKUP(DATE($K$1,$K$2,ADO$4),Table1[],(MATCH(Calendar!$A6,DB!1:1,0)+2),FALSE),"")</f>
        <v/>
      </c>
      <c r="ADP6" s="27" t="str">
        <f>IFERROR(VLOOKUP(DATE($K$1,$K$2,ADP$4),Table1[],(MATCH(Calendar!$A6,DB!1:1,0)+2),FALSE),"")</f>
        <v/>
      </c>
      <c r="ADQ6" s="27" t="str">
        <f>IFERROR(VLOOKUP(DATE($K$1,$K$2,ADQ$4),Table1[],(MATCH(Calendar!$A6,DB!1:1,0)+2),FALSE),"")</f>
        <v/>
      </c>
      <c r="ADR6" s="27" t="str">
        <f>IFERROR(VLOOKUP(DATE($K$1,$K$2,ADR$4),Table1[],(MATCH(Calendar!$A6,DB!1:1,0)+2),FALSE),"")</f>
        <v/>
      </c>
      <c r="ADS6" s="27" t="str">
        <f>IFERROR(VLOOKUP(DATE($K$1,$K$2,ADS$4),Table1[],(MATCH(Calendar!$A6,DB!1:1,0)+2),FALSE),"")</f>
        <v/>
      </c>
      <c r="ADT6" s="27" t="str">
        <f>IFERROR(VLOOKUP(DATE($K$1,$K$2,ADT$4),Table1[],(MATCH(Calendar!$A6,DB!1:1,0)+2),FALSE),"")</f>
        <v/>
      </c>
      <c r="ADU6" s="27" t="str">
        <f>IFERROR(VLOOKUP(DATE($K$1,$K$2,ADU$4),Table1[],(MATCH(Calendar!$A6,DB!1:1,0)+2),FALSE),"")</f>
        <v/>
      </c>
      <c r="ADV6" s="27" t="str">
        <f>IFERROR(VLOOKUP(DATE($K$1,$K$2,ADV$4),Table1[],(MATCH(Calendar!$A6,DB!1:1,0)+2),FALSE),"")</f>
        <v/>
      </c>
      <c r="ADW6" s="27" t="str">
        <f>IFERROR(VLOOKUP(DATE($K$1,$K$2,ADW$4),Table1[],(MATCH(Calendar!$A6,DB!1:1,0)+2),FALSE),"")</f>
        <v/>
      </c>
      <c r="ADX6" s="27" t="str">
        <f>IFERROR(VLOOKUP(DATE($K$1,$K$2,ADX$4),Table1[],(MATCH(Calendar!$A6,DB!1:1,0)+2),FALSE),"")</f>
        <v/>
      </c>
      <c r="ADY6" s="27" t="str">
        <f>IFERROR(VLOOKUP(DATE($K$1,$K$2,ADY$4),Table1[],(MATCH(Calendar!$A6,DB!1:1,0)+2),FALSE),"")</f>
        <v/>
      </c>
      <c r="ADZ6" s="27" t="str">
        <f>IFERROR(VLOOKUP(DATE($K$1,$K$2,ADZ$4),Table1[],(MATCH(Calendar!$A6,DB!1:1,0)+2),FALSE),"")</f>
        <v/>
      </c>
      <c r="AEA6" s="27" t="str">
        <f>IFERROR(VLOOKUP(DATE($K$1,$K$2,AEA$4),Table1[],(MATCH(Calendar!$A6,DB!1:1,0)+2),FALSE),"")</f>
        <v/>
      </c>
      <c r="AEB6" s="27" t="str">
        <f>IFERROR(VLOOKUP(DATE($K$1,$K$2,AEB$4),Table1[],(MATCH(Calendar!$A6,DB!1:1,0)+2),FALSE),"")</f>
        <v/>
      </c>
      <c r="AEC6" s="27" t="str">
        <f>IFERROR(VLOOKUP(DATE($K$1,$K$2,AEC$4),Table1[],(MATCH(Calendar!$A6,DB!1:1,0)+2),FALSE),"")</f>
        <v/>
      </c>
      <c r="AED6" s="27" t="str">
        <f>IFERROR(VLOOKUP(DATE($K$1,$K$2,AED$4),Table1[],(MATCH(Calendar!$A6,DB!1:1,0)+2),FALSE),"")</f>
        <v/>
      </c>
      <c r="AEE6" s="27" t="str">
        <f>IFERROR(VLOOKUP(DATE($K$1,$K$2,AEE$4),Table1[],(MATCH(Calendar!$A6,DB!1:1,0)+2),FALSE),"")</f>
        <v/>
      </c>
      <c r="AEF6" s="27" t="str">
        <f>IFERROR(VLOOKUP(DATE($K$1,$K$2,AEF$4),Table1[],(MATCH(Calendar!$A6,DB!1:1,0)+2),FALSE),"")</f>
        <v/>
      </c>
      <c r="AEG6" s="27" t="str">
        <f>IFERROR(VLOOKUP(DATE($K$1,$K$2,AEG$4),Table1[],(MATCH(Calendar!$A6,DB!1:1,0)+2),FALSE),"")</f>
        <v/>
      </c>
      <c r="AEH6" s="27" t="str">
        <f>IFERROR(VLOOKUP(DATE($K$1,$K$2,AEH$4),Table1[],(MATCH(Calendar!$A6,DB!1:1,0)+2),FALSE),"")</f>
        <v/>
      </c>
      <c r="AEI6" s="27" t="str">
        <f>IFERROR(VLOOKUP(DATE($K$1,$K$2,AEI$4),Table1[],(MATCH(Calendar!$A6,DB!1:1,0)+2),FALSE),"")</f>
        <v/>
      </c>
      <c r="AEJ6" s="27" t="str">
        <f>IFERROR(VLOOKUP(DATE($K$1,$K$2,AEJ$4),Table1[],(MATCH(Calendar!$A6,DB!1:1,0)+2),FALSE),"")</f>
        <v/>
      </c>
      <c r="AEK6" s="27" t="str">
        <f>IFERROR(VLOOKUP(DATE($K$1,$K$2,AEK$4),Table1[],(MATCH(Calendar!$A6,DB!1:1,0)+2),FALSE),"")</f>
        <v/>
      </c>
      <c r="AEL6" s="27" t="str">
        <f>IFERROR(VLOOKUP(DATE($K$1,$K$2,AEL$4),Table1[],(MATCH(Calendar!$A6,DB!1:1,0)+2),FALSE),"")</f>
        <v/>
      </c>
      <c r="AEM6" s="27" t="str">
        <f>IFERROR(VLOOKUP(DATE($K$1,$K$2,AEM$4),Table1[],(MATCH(Calendar!$A6,DB!1:1,0)+2),FALSE),"")</f>
        <v/>
      </c>
      <c r="AEN6" s="27" t="str">
        <f>IFERROR(VLOOKUP(DATE($K$1,$K$2,AEN$4),Table1[],(MATCH(Calendar!$A6,DB!1:1,0)+2),FALSE),"")</f>
        <v/>
      </c>
      <c r="AEO6" s="27" t="str">
        <f>IFERROR(VLOOKUP(DATE($K$1,$K$2,AEO$4),Table1[],(MATCH(Calendar!$A6,DB!1:1,0)+2),FALSE),"")</f>
        <v/>
      </c>
      <c r="AEP6" s="27" t="str">
        <f>IFERROR(VLOOKUP(DATE($K$1,$K$2,AEP$4),Table1[],(MATCH(Calendar!$A6,DB!1:1,0)+2),FALSE),"")</f>
        <v/>
      </c>
      <c r="AEQ6" s="27" t="str">
        <f>IFERROR(VLOOKUP(DATE($K$1,$K$2,AEQ$4),Table1[],(MATCH(Calendar!$A6,DB!1:1,0)+2),FALSE),"")</f>
        <v/>
      </c>
      <c r="AER6" s="27" t="str">
        <f>IFERROR(VLOOKUP(DATE($K$1,$K$2,AER$4),Table1[],(MATCH(Calendar!$A6,DB!1:1,0)+2),FALSE),"")</f>
        <v/>
      </c>
      <c r="AES6" s="27" t="str">
        <f>IFERROR(VLOOKUP(DATE($K$1,$K$2,AES$4),Table1[],(MATCH(Calendar!$A6,DB!1:1,0)+2),FALSE),"")</f>
        <v/>
      </c>
      <c r="AET6" s="27" t="str">
        <f>IFERROR(VLOOKUP(DATE($K$1,$K$2,AET$4),Table1[],(MATCH(Calendar!$A6,DB!1:1,0)+2),FALSE),"")</f>
        <v/>
      </c>
      <c r="AEU6" s="27" t="str">
        <f>IFERROR(VLOOKUP(DATE($K$1,$K$2,AEU$4),Table1[],(MATCH(Calendar!$A6,DB!1:1,0)+2),FALSE),"")</f>
        <v/>
      </c>
      <c r="AEV6" s="27" t="str">
        <f>IFERROR(VLOOKUP(DATE($K$1,$K$2,AEV$4),Table1[],(MATCH(Calendar!$A6,DB!1:1,0)+2),FALSE),"")</f>
        <v/>
      </c>
      <c r="AEW6" s="27" t="str">
        <f>IFERROR(VLOOKUP(DATE($K$1,$K$2,AEW$4),Table1[],(MATCH(Calendar!$A6,DB!1:1,0)+2),FALSE),"")</f>
        <v/>
      </c>
      <c r="AEX6" s="27" t="str">
        <f>IFERROR(VLOOKUP(DATE($K$1,$K$2,AEX$4),Table1[],(MATCH(Calendar!$A6,DB!1:1,0)+2),FALSE),"")</f>
        <v/>
      </c>
      <c r="AEY6" s="27" t="str">
        <f>IFERROR(VLOOKUP(DATE($K$1,$K$2,AEY$4),Table1[],(MATCH(Calendar!$A6,DB!1:1,0)+2),FALSE),"")</f>
        <v/>
      </c>
      <c r="AEZ6" s="27" t="str">
        <f>IFERROR(VLOOKUP(DATE($K$1,$K$2,AEZ$4),Table1[],(MATCH(Calendar!$A6,DB!1:1,0)+2),FALSE),"")</f>
        <v/>
      </c>
      <c r="AFA6" s="27" t="str">
        <f>IFERROR(VLOOKUP(DATE($K$1,$K$2,AFA$4),Table1[],(MATCH(Calendar!$A6,DB!1:1,0)+2),FALSE),"")</f>
        <v/>
      </c>
      <c r="AFB6" s="27" t="str">
        <f>IFERROR(VLOOKUP(DATE($K$1,$K$2,AFB$4),Table1[],(MATCH(Calendar!$A6,DB!1:1,0)+2),FALSE),"")</f>
        <v/>
      </c>
      <c r="AFC6" s="27" t="str">
        <f>IFERROR(VLOOKUP(DATE($K$1,$K$2,AFC$4),Table1[],(MATCH(Calendar!$A6,DB!1:1,0)+2),FALSE),"")</f>
        <v/>
      </c>
      <c r="AFD6" s="27" t="str">
        <f>IFERROR(VLOOKUP(DATE($K$1,$K$2,AFD$4),Table1[],(MATCH(Calendar!$A6,DB!1:1,0)+2),FALSE),"")</f>
        <v/>
      </c>
      <c r="AFE6" s="27" t="str">
        <f>IFERROR(VLOOKUP(DATE($K$1,$K$2,AFE$4),Table1[],(MATCH(Calendar!$A6,DB!1:1,0)+2),FALSE),"")</f>
        <v/>
      </c>
      <c r="AFF6" s="27" t="str">
        <f>IFERROR(VLOOKUP(DATE($K$1,$K$2,AFF$4),Table1[],(MATCH(Calendar!$A6,DB!1:1,0)+2),FALSE),"")</f>
        <v/>
      </c>
      <c r="AFG6" s="27" t="str">
        <f>IFERROR(VLOOKUP(DATE($K$1,$K$2,AFG$4),Table1[],(MATCH(Calendar!$A6,DB!1:1,0)+2),FALSE),"")</f>
        <v/>
      </c>
      <c r="AFH6" s="27" t="str">
        <f>IFERROR(VLOOKUP(DATE($K$1,$K$2,AFH$4),Table1[],(MATCH(Calendar!$A6,DB!1:1,0)+2),FALSE),"")</f>
        <v/>
      </c>
      <c r="AFI6" s="27" t="str">
        <f>IFERROR(VLOOKUP(DATE($K$1,$K$2,AFI$4),Table1[],(MATCH(Calendar!$A6,DB!1:1,0)+2),FALSE),"")</f>
        <v/>
      </c>
      <c r="AFJ6" s="27" t="str">
        <f>IFERROR(VLOOKUP(DATE($K$1,$K$2,AFJ$4),Table1[],(MATCH(Calendar!$A6,DB!1:1,0)+2),FALSE),"")</f>
        <v/>
      </c>
      <c r="AFK6" s="27" t="str">
        <f>IFERROR(VLOOKUP(DATE($K$1,$K$2,AFK$4),Table1[],(MATCH(Calendar!$A6,DB!1:1,0)+2),FALSE),"")</f>
        <v/>
      </c>
      <c r="AFL6" s="27" t="str">
        <f>IFERROR(VLOOKUP(DATE($K$1,$K$2,AFL$4),Table1[],(MATCH(Calendar!$A6,DB!1:1,0)+2),FALSE),"")</f>
        <v/>
      </c>
      <c r="AFM6" s="27" t="str">
        <f>IFERROR(VLOOKUP(DATE($K$1,$K$2,AFM$4),Table1[],(MATCH(Calendar!$A6,DB!1:1,0)+2),FALSE),"")</f>
        <v/>
      </c>
      <c r="AFN6" s="27" t="str">
        <f>IFERROR(VLOOKUP(DATE($K$1,$K$2,AFN$4),Table1[],(MATCH(Calendar!$A6,DB!1:1,0)+2),FALSE),"")</f>
        <v/>
      </c>
      <c r="AFO6" s="27" t="str">
        <f>IFERROR(VLOOKUP(DATE($K$1,$K$2,AFO$4),Table1[],(MATCH(Calendar!$A6,DB!1:1,0)+2),FALSE),"")</f>
        <v/>
      </c>
      <c r="AFP6" s="27" t="str">
        <f>IFERROR(VLOOKUP(DATE($K$1,$K$2,AFP$4),Table1[],(MATCH(Calendar!$A6,DB!1:1,0)+2),FALSE),"")</f>
        <v/>
      </c>
      <c r="AFQ6" s="27" t="str">
        <f>IFERROR(VLOOKUP(DATE($K$1,$K$2,AFQ$4),Table1[],(MATCH(Calendar!$A6,DB!1:1,0)+2),FALSE),"")</f>
        <v/>
      </c>
      <c r="AFR6" s="27" t="str">
        <f>IFERROR(VLOOKUP(DATE($K$1,$K$2,AFR$4),Table1[],(MATCH(Calendar!$A6,DB!1:1,0)+2),FALSE),"")</f>
        <v/>
      </c>
      <c r="AFS6" s="27" t="str">
        <f>IFERROR(VLOOKUP(DATE($K$1,$K$2,AFS$4),Table1[],(MATCH(Calendar!$A6,DB!1:1,0)+2),FALSE),"")</f>
        <v/>
      </c>
      <c r="AFT6" s="27" t="str">
        <f>IFERROR(VLOOKUP(DATE($K$1,$K$2,AFT$4),Table1[],(MATCH(Calendar!$A6,DB!1:1,0)+2),FALSE),"")</f>
        <v/>
      </c>
      <c r="AFU6" s="27" t="str">
        <f>IFERROR(VLOOKUP(DATE($K$1,$K$2,AFU$4),Table1[],(MATCH(Calendar!$A6,DB!1:1,0)+2),FALSE),"")</f>
        <v/>
      </c>
      <c r="AFV6" s="27" t="str">
        <f>IFERROR(VLOOKUP(DATE($K$1,$K$2,AFV$4),Table1[],(MATCH(Calendar!$A6,DB!1:1,0)+2),FALSE),"")</f>
        <v/>
      </c>
      <c r="AFW6" s="27" t="str">
        <f>IFERROR(VLOOKUP(DATE($K$1,$K$2,AFW$4),Table1[],(MATCH(Calendar!$A6,DB!1:1,0)+2),FALSE),"")</f>
        <v/>
      </c>
      <c r="AFX6" s="27" t="str">
        <f>IFERROR(VLOOKUP(DATE($K$1,$K$2,AFX$4),Table1[],(MATCH(Calendar!$A6,DB!1:1,0)+2),FALSE),"")</f>
        <v/>
      </c>
      <c r="AFY6" s="27" t="str">
        <f>IFERROR(VLOOKUP(DATE($K$1,$K$2,AFY$4),Table1[],(MATCH(Calendar!$A6,DB!1:1,0)+2),FALSE),"")</f>
        <v/>
      </c>
      <c r="AFZ6" s="27" t="str">
        <f>IFERROR(VLOOKUP(DATE($K$1,$K$2,AFZ$4),Table1[],(MATCH(Calendar!$A6,DB!1:1,0)+2),FALSE),"")</f>
        <v/>
      </c>
      <c r="AGA6" s="27" t="str">
        <f>IFERROR(VLOOKUP(DATE($K$1,$K$2,AGA$4),Table1[],(MATCH(Calendar!$A6,DB!1:1,0)+2),FALSE),"")</f>
        <v/>
      </c>
      <c r="AGB6" s="27" t="str">
        <f>IFERROR(VLOOKUP(DATE($K$1,$K$2,AGB$4),Table1[],(MATCH(Calendar!$A6,DB!1:1,0)+2),FALSE),"")</f>
        <v/>
      </c>
      <c r="AGC6" s="27" t="str">
        <f>IFERROR(VLOOKUP(DATE($K$1,$K$2,AGC$4),Table1[],(MATCH(Calendar!$A6,DB!1:1,0)+2),FALSE),"")</f>
        <v/>
      </c>
      <c r="AGD6" s="27" t="str">
        <f>IFERROR(VLOOKUP(DATE($K$1,$K$2,AGD$4),Table1[],(MATCH(Calendar!$A6,DB!1:1,0)+2),FALSE),"")</f>
        <v/>
      </c>
      <c r="AGE6" s="27" t="str">
        <f>IFERROR(VLOOKUP(DATE($K$1,$K$2,AGE$4),Table1[],(MATCH(Calendar!$A6,DB!1:1,0)+2),FALSE),"")</f>
        <v/>
      </c>
      <c r="AGF6" s="27" t="str">
        <f>IFERROR(VLOOKUP(DATE($K$1,$K$2,AGF$4),Table1[],(MATCH(Calendar!$A6,DB!1:1,0)+2),FALSE),"")</f>
        <v/>
      </c>
      <c r="AGG6" s="27" t="str">
        <f>IFERROR(VLOOKUP(DATE($K$1,$K$2,AGG$4),Table1[],(MATCH(Calendar!$A6,DB!1:1,0)+2),FALSE),"")</f>
        <v/>
      </c>
      <c r="AGH6" s="27" t="str">
        <f>IFERROR(VLOOKUP(DATE($K$1,$K$2,AGH$4),Table1[],(MATCH(Calendar!$A6,DB!1:1,0)+2),FALSE),"")</f>
        <v/>
      </c>
      <c r="AGI6" s="27" t="str">
        <f>IFERROR(VLOOKUP(DATE($K$1,$K$2,AGI$4),Table1[],(MATCH(Calendar!$A6,DB!1:1,0)+2),FALSE),"")</f>
        <v/>
      </c>
      <c r="AGJ6" s="27" t="str">
        <f>IFERROR(VLOOKUP(DATE($K$1,$K$2,AGJ$4),Table1[],(MATCH(Calendar!$A6,DB!1:1,0)+2),FALSE),"")</f>
        <v/>
      </c>
      <c r="AGK6" s="27" t="str">
        <f>IFERROR(VLOOKUP(DATE($K$1,$K$2,AGK$4),Table1[],(MATCH(Calendar!$A6,DB!1:1,0)+2),FALSE),"")</f>
        <v/>
      </c>
      <c r="AGL6" s="27" t="str">
        <f>IFERROR(VLOOKUP(DATE($K$1,$K$2,AGL$4),Table1[],(MATCH(Calendar!$A6,DB!1:1,0)+2),FALSE),"")</f>
        <v/>
      </c>
      <c r="AGM6" s="27" t="str">
        <f>IFERROR(VLOOKUP(DATE($K$1,$K$2,AGM$4),Table1[],(MATCH(Calendar!$A6,DB!1:1,0)+2),FALSE),"")</f>
        <v/>
      </c>
      <c r="AGN6" s="27" t="str">
        <f>IFERROR(VLOOKUP(DATE($K$1,$K$2,AGN$4),Table1[],(MATCH(Calendar!$A6,DB!1:1,0)+2),FALSE),"")</f>
        <v/>
      </c>
      <c r="AGO6" s="27" t="str">
        <f>IFERROR(VLOOKUP(DATE($K$1,$K$2,AGO$4),Table1[],(MATCH(Calendar!$A6,DB!1:1,0)+2),FALSE),"")</f>
        <v/>
      </c>
      <c r="AGP6" s="27" t="str">
        <f>IFERROR(VLOOKUP(DATE($K$1,$K$2,AGP$4),Table1[],(MATCH(Calendar!$A6,DB!1:1,0)+2),FALSE),"")</f>
        <v/>
      </c>
      <c r="AGQ6" s="27" t="str">
        <f>IFERROR(VLOOKUP(DATE($K$1,$K$2,AGQ$4),Table1[],(MATCH(Calendar!$A6,DB!1:1,0)+2),FALSE),"")</f>
        <v/>
      </c>
      <c r="AGR6" s="27" t="str">
        <f>IFERROR(VLOOKUP(DATE($K$1,$K$2,AGR$4),Table1[],(MATCH(Calendar!$A6,DB!1:1,0)+2),FALSE),"")</f>
        <v/>
      </c>
      <c r="AGS6" s="27" t="str">
        <f>IFERROR(VLOOKUP(DATE($K$1,$K$2,AGS$4),Table1[],(MATCH(Calendar!$A6,DB!1:1,0)+2),FALSE),"")</f>
        <v/>
      </c>
      <c r="AGT6" s="27" t="str">
        <f>IFERROR(VLOOKUP(DATE($K$1,$K$2,AGT$4),Table1[],(MATCH(Calendar!$A6,DB!1:1,0)+2),FALSE),"")</f>
        <v/>
      </c>
      <c r="AGU6" s="27" t="str">
        <f>IFERROR(VLOOKUP(DATE($K$1,$K$2,AGU$4),Table1[],(MATCH(Calendar!$A6,DB!1:1,0)+2),FALSE),"")</f>
        <v/>
      </c>
      <c r="AGV6" s="27" t="str">
        <f>IFERROR(VLOOKUP(DATE($K$1,$K$2,AGV$4),Table1[],(MATCH(Calendar!$A6,DB!1:1,0)+2),FALSE),"")</f>
        <v/>
      </c>
      <c r="AGW6" s="27" t="str">
        <f>IFERROR(VLOOKUP(DATE($K$1,$K$2,AGW$4),Table1[],(MATCH(Calendar!$A6,DB!1:1,0)+2),FALSE),"")</f>
        <v/>
      </c>
      <c r="AGX6" s="27" t="str">
        <f>IFERROR(VLOOKUP(DATE($K$1,$K$2,AGX$4),Table1[],(MATCH(Calendar!$A6,DB!1:1,0)+2),FALSE),"")</f>
        <v/>
      </c>
      <c r="AGY6" s="27" t="str">
        <f>IFERROR(VLOOKUP(DATE($K$1,$K$2,AGY$4),Table1[],(MATCH(Calendar!$A6,DB!1:1,0)+2),FALSE),"")</f>
        <v/>
      </c>
      <c r="AGZ6" s="27" t="str">
        <f>IFERROR(VLOOKUP(DATE($K$1,$K$2,AGZ$4),Table1[],(MATCH(Calendar!$A6,DB!1:1,0)+2),FALSE),"")</f>
        <v/>
      </c>
      <c r="AHA6" s="27" t="str">
        <f>IFERROR(VLOOKUP(DATE($K$1,$K$2,AHA$4),Table1[],(MATCH(Calendar!$A6,DB!1:1,0)+2),FALSE),"")</f>
        <v/>
      </c>
      <c r="AHB6" s="27" t="str">
        <f>IFERROR(VLOOKUP(DATE($K$1,$K$2,AHB$4),Table1[],(MATCH(Calendar!$A6,DB!1:1,0)+2),FALSE),"")</f>
        <v/>
      </c>
      <c r="AHC6" s="27" t="str">
        <f>IFERROR(VLOOKUP(DATE($K$1,$K$2,AHC$4),Table1[],(MATCH(Calendar!$A6,DB!1:1,0)+2),FALSE),"")</f>
        <v/>
      </c>
      <c r="AHD6" s="27" t="str">
        <f>IFERROR(VLOOKUP(DATE($K$1,$K$2,AHD$4),Table1[],(MATCH(Calendar!$A6,DB!1:1,0)+2),FALSE),"")</f>
        <v/>
      </c>
      <c r="AHE6" s="27" t="str">
        <f>IFERROR(VLOOKUP(DATE($K$1,$K$2,AHE$4),Table1[],(MATCH(Calendar!$A6,DB!1:1,0)+2),FALSE),"")</f>
        <v/>
      </c>
      <c r="AHF6" s="27" t="str">
        <f>IFERROR(VLOOKUP(DATE($K$1,$K$2,AHF$4),Table1[],(MATCH(Calendar!$A6,DB!1:1,0)+2),FALSE),"")</f>
        <v/>
      </c>
      <c r="AHG6" s="27" t="str">
        <f>IFERROR(VLOOKUP(DATE($K$1,$K$2,AHG$4),Table1[],(MATCH(Calendar!$A6,DB!1:1,0)+2),FALSE),"")</f>
        <v/>
      </c>
      <c r="AHH6" s="27" t="str">
        <f>IFERROR(VLOOKUP(DATE($K$1,$K$2,AHH$4),Table1[],(MATCH(Calendar!$A6,DB!1:1,0)+2),FALSE),"")</f>
        <v/>
      </c>
      <c r="AHI6" s="27" t="str">
        <f>IFERROR(VLOOKUP(DATE($K$1,$K$2,AHI$4),Table1[],(MATCH(Calendar!$A6,DB!1:1,0)+2),FALSE),"")</f>
        <v/>
      </c>
      <c r="AHJ6" s="27" t="str">
        <f>IFERROR(VLOOKUP(DATE($K$1,$K$2,AHJ$4),Table1[],(MATCH(Calendar!$A6,DB!1:1,0)+2),FALSE),"")</f>
        <v/>
      </c>
      <c r="AHK6" s="27" t="str">
        <f>IFERROR(VLOOKUP(DATE($K$1,$K$2,AHK$4),Table1[],(MATCH(Calendar!$A6,DB!1:1,0)+2),FALSE),"")</f>
        <v/>
      </c>
      <c r="AHL6" s="27" t="str">
        <f>IFERROR(VLOOKUP(DATE($K$1,$K$2,AHL$4),Table1[],(MATCH(Calendar!$A6,DB!1:1,0)+2),FALSE),"")</f>
        <v/>
      </c>
      <c r="AHM6" s="27" t="str">
        <f>IFERROR(VLOOKUP(DATE($K$1,$K$2,AHM$4),Table1[],(MATCH(Calendar!$A6,DB!1:1,0)+2),FALSE),"")</f>
        <v/>
      </c>
      <c r="AHN6" s="27" t="str">
        <f>IFERROR(VLOOKUP(DATE($K$1,$K$2,AHN$4),Table1[],(MATCH(Calendar!$A6,DB!1:1,0)+2),FALSE),"")</f>
        <v/>
      </c>
      <c r="AHO6" s="27" t="str">
        <f>IFERROR(VLOOKUP(DATE($K$1,$K$2,AHO$4),Table1[],(MATCH(Calendar!$A6,DB!1:1,0)+2),FALSE),"")</f>
        <v/>
      </c>
      <c r="AHP6" s="27" t="str">
        <f>IFERROR(VLOOKUP(DATE($K$1,$K$2,AHP$4),Table1[],(MATCH(Calendar!$A6,DB!1:1,0)+2),FALSE),"")</f>
        <v/>
      </c>
      <c r="AHQ6" s="27" t="str">
        <f>IFERROR(VLOOKUP(DATE($K$1,$K$2,AHQ$4),Table1[],(MATCH(Calendar!$A6,DB!1:1,0)+2),FALSE),"")</f>
        <v/>
      </c>
      <c r="AHR6" s="27" t="str">
        <f>IFERROR(VLOOKUP(DATE($K$1,$K$2,AHR$4),Table1[],(MATCH(Calendar!$A6,DB!1:1,0)+2),FALSE),"")</f>
        <v/>
      </c>
      <c r="AHS6" s="27" t="str">
        <f>IFERROR(VLOOKUP(DATE($K$1,$K$2,AHS$4),Table1[],(MATCH(Calendar!$A6,DB!1:1,0)+2),FALSE),"")</f>
        <v/>
      </c>
      <c r="AHT6" s="27" t="str">
        <f>IFERROR(VLOOKUP(DATE($K$1,$K$2,AHT$4),Table1[],(MATCH(Calendar!$A6,DB!1:1,0)+2),FALSE),"")</f>
        <v/>
      </c>
      <c r="AHU6" s="27" t="str">
        <f>IFERROR(VLOOKUP(DATE($K$1,$K$2,AHU$4),Table1[],(MATCH(Calendar!$A6,DB!1:1,0)+2),FALSE),"")</f>
        <v/>
      </c>
      <c r="AHV6" s="27" t="str">
        <f>IFERROR(VLOOKUP(DATE($K$1,$K$2,AHV$4),Table1[],(MATCH(Calendar!$A6,DB!1:1,0)+2),FALSE),"")</f>
        <v/>
      </c>
      <c r="AHW6" s="27" t="str">
        <f>IFERROR(VLOOKUP(DATE($K$1,$K$2,AHW$4),Table1[],(MATCH(Calendar!$A6,DB!1:1,0)+2),FALSE),"")</f>
        <v/>
      </c>
      <c r="AHX6" s="27" t="str">
        <f>IFERROR(VLOOKUP(DATE($K$1,$K$2,AHX$4),Table1[],(MATCH(Calendar!$A6,DB!1:1,0)+2),FALSE),"")</f>
        <v/>
      </c>
      <c r="AHY6" s="27" t="str">
        <f>IFERROR(VLOOKUP(DATE($K$1,$K$2,AHY$4),Table1[],(MATCH(Calendar!$A6,DB!1:1,0)+2),FALSE),"")</f>
        <v/>
      </c>
      <c r="AHZ6" s="27" t="str">
        <f>IFERROR(VLOOKUP(DATE($K$1,$K$2,AHZ$4),Table1[],(MATCH(Calendar!$A6,DB!1:1,0)+2),FALSE),"")</f>
        <v/>
      </c>
      <c r="AIA6" s="27" t="str">
        <f>IFERROR(VLOOKUP(DATE($K$1,$K$2,AIA$4),Table1[],(MATCH(Calendar!$A6,DB!1:1,0)+2),FALSE),"")</f>
        <v/>
      </c>
      <c r="AIB6" s="27" t="str">
        <f>IFERROR(VLOOKUP(DATE($K$1,$K$2,AIB$4),Table1[],(MATCH(Calendar!$A6,DB!1:1,0)+2),FALSE),"")</f>
        <v/>
      </c>
      <c r="AIC6" s="27" t="str">
        <f>IFERROR(VLOOKUP(DATE($K$1,$K$2,AIC$4),Table1[],(MATCH(Calendar!$A6,DB!1:1,0)+2),FALSE),"")</f>
        <v/>
      </c>
      <c r="AID6" s="27" t="str">
        <f>IFERROR(VLOOKUP(DATE($K$1,$K$2,AID$4),Table1[],(MATCH(Calendar!$A6,DB!1:1,0)+2),FALSE),"")</f>
        <v/>
      </c>
      <c r="AIE6" s="27" t="str">
        <f>IFERROR(VLOOKUP(DATE($K$1,$K$2,AIE$4),Table1[],(MATCH(Calendar!$A6,DB!1:1,0)+2),FALSE),"")</f>
        <v/>
      </c>
      <c r="AIF6" s="27" t="str">
        <f>IFERROR(VLOOKUP(DATE($K$1,$K$2,AIF$4),Table1[],(MATCH(Calendar!$A6,DB!1:1,0)+2),FALSE),"")</f>
        <v/>
      </c>
      <c r="AIG6" s="27" t="str">
        <f>IFERROR(VLOOKUP(DATE($K$1,$K$2,AIG$4),Table1[],(MATCH(Calendar!$A6,DB!1:1,0)+2),FALSE),"")</f>
        <v/>
      </c>
      <c r="AIH6" s="27" t="str">
        <f>IFERROR(VLOOKUP(DATE($K$1,$K$2,AIH$4),Table1[],(MATCH(Calendar!$A6,DB!1:1,0)+2),FALSE),"")</f>
        <v/>
      </c>
      <c r="AII6" s="27" t="str">
        <f>IFERROR(VLOOKUP(DATE($K$1,$K$2,AII$4),Table1[],(MATCH(Calendar!$A6,DB!1:1,0)+2),FALSE),"")</f>
        <v/>
      </c>
      <c r="AIJ6" s="27" t="str">
        <f>IFERROR(VLOOKUP(DATE($K$1,$K$2,AIJ$4),Table1[],(MATCH(Calendar!$A6,DB!1:1,0)+2),FALSE),"")</f>
        <v/>
      </c>
      <c r="AIK6" s="27" t="str">
        <f>IFERROR(VLOOKUP(DATE($K$1,$K$2,AIK$4),Table1[],(MATCH(Calendar!$A6,DB!1:1,0)+2),FALSE),"")</f>
        <v/>
      </c>
      <c r="AIL6" s="27" t="str">
        <f>IFERROR(VLOOKUP(DATE($K$1,$K$2,AIL$4),Table1[],(MATCH(Calendar!$A6,DB!1:1,0)+2),FALSE),"")</f>
        <v/>
      </c>
      <c r="AIM6" s="27" t="str">
        <f>IFERROR(VLOOKUP(DATE($K$1,$K$2,AIM$4),Table1[],(MATCH(Calendar!$A6,DB!1:1,0)+2),FALSE),"")</f>
        <v/>
      </c>
      <c r="AIN6" s="27" t="str">
        <f>IFERROR(VLOOKUP(DATE($K$1,$K$2,AIN$4),Table1[],(MATCH(Calendar!$A6,DB!1:1,0)+2),FALSE),"")</f>
        <v/>
      </c>
      <c r="AIO6" s="27" t="str">
        <f>IFERROR(VLOOKUP(DATE($K$1,$K$2,AIO$4),Table1[],(MATCH(Calendar!$A6,DB!1:1,0)+2),FALSE),"")</f>
        <v/>
      </c>
      <c r="AIP6" s="27" t="str">
        <f>IFERROR(VLOOKUP(DATE($K$1,$K$2,AIP$4),Table1[],(MATCH(Calendar!$A6,DB!1:1,0)+2),FALSE),"")</f>
        <v/>
      </c>
      <c r="AIQ6" s="27" t="str">
        <f>IFERROR(VLOOKUP(DATE($K$1,$K$2,AIQ$4),Table1[],(MATCH(Calendar!$A6,DB!1:1,0)+2),FALSE),"")</f>
        <v/>
      </c>
      <c r="AIR6" s="27" t="str">
        <f>IFERROR(VLOOKUP(DATE($K$1,$K$2,AIR$4),Table1[],(MATCH(Calendar!$A6,DB!1:1,0)+2),FALSE),"")</f>
        <v/>
      </c>
      <c r="AIS6" s="27" t="str">
        <f>IFERROR(VLOOKUP(DATE($K$1,$K$2,AIS$4),Table1[],(MATCH(Calendar!$A6,DB!1:1,0)+2),FALSE),"")</f>
        <v/>
      </c>
      <c r="AIT6" s="27" t="str">
        <f>IFERROR(VLOOKUP(DATE($K$1,$K$2,AIT$4),Table1[],(MATCH(Calendar!$A6,DB!1:1,0)+2),FALSE),"")</f>
        <v/>
      </c>
      <c r="AIU6" s="27" t="str">
        <f>IFERROR(VLOOKUP(DATE($K$1,$K$2,AIU$4),Table1[],(MATCH(Calendar!$A6,DB!1:1,0)+2),FALSE),"")</f>
        <v/>
      </c>
      <c r="AIV6" s="27" t="str">
        <f>IFERROR(VLOOKUP(DATE($K$1,$K$2,AIV$4),Table1[],(MATCH(Calendar!$A6,DB!1:1,0)+2),FALSE),"")</f>
        <v/>
      </c>
      <c r="AIW6" s="27" t="str">
        <f>IFERROR(VLOOKUP(DATE($K$1,$K$2,AIW$4),Table1[],(MATCH(Calendar!$A6,DB!1:1,0)+2),FALSE),"")</f>
        <v/>
      </c>
      <c r="AIX6" s="27" t="str">
        <f>IFERROR(VLOOKUP(DATE($K$1,$K$2,AIX$4),Table1[],(MATCH(Calendar!$A6,DB!1:1,0)+2),FALSE),"")</f>
        <v/>
      </c>
      <c r="AIY6" s="27" t="str">
        <f>IFERROR(VLOOKUP(DATE($K$1,$K$2,AIY$4),Table1[],(MATCH(Calendar!$A6,DB!1:1,0)+2),FALSE),"")</f>
        <v/>
      </c>
      <c r="AIZ6" s="27" t="str">
        <f>IFERROR(VLOOKUP(DATE($K$1,$K$2,AIZ$4),Table1[],(MATCH(Calendar!$A6,DB!1:1,0)+2),FALSE),"")</f>
        <v/>
      </c>
      <c r="AJA6" s="27" t="str">
        <f>IFERROR(VLOOKUP(DATE($K$1,$K$2,AJA$4),Table1[],(MATCH(Calendar!$A6,DB!1:1,0)+2),FALSE),"")</f>
        <v/>
      </c>
      <c r="AJB6" s="27" t="str">
        <f>IFERROR(VLOOKUP(DATE($K$1,$K$2,AJB$4),Table1[],(MATCH(Calendar!$A6,DB!1:1,0)+2),FALSE),"")</f>
        <v/>
      </c>
      <c r="AJC6" s="27" t="str">
        <f>IFERROR(VLOOKUP(DATE($K$1,$K$2,AJC$4),Table1[],(MATCH(Calendar!$A6,DB!1:1,0)+2),FALSE),"")</f>
        <v/>
      </c>
      <c r="AJD6" s="27" t="str">
        <f>IFERROR(VLOOKUP(DATE($K$1,$K$2,AJD$4),Table1[],(MATCH(Calendar!$A6,DB!1:1,0)+2),FALSE),"")</f>
        <v/>
      </c>
      <c r="AJE6" s="27" t="str">
        <f>IFERROR(VLOOKUP(DATE($K$1,$K$2,AJE$4),Table1[],(MATCH(Calendar!$A6,DB!1:1,0)+2),FALSE),"")</f>
        <v/>
      </c>
      <c r="AJF6" s="27" t="str">
        <f>IFERROR(VLOOKUP(DATE($K$1,$K$2,AJF$4),Table1[],(MATCH(Calendar!$A6,DB!1:1,0)+2),FALSE),"")</f>
        <v/>
      </c>
      <c r="AJG6" s="27" t="str">
        <f>IFERROR(VLOOKUP(DATE($K$1,$K$2,AJG$4),Table1[],(MATCH(Calendar!$A6,DB!1:1,0)+2),FALSE),"")</f>
        <v/>
      </c>
      <c r="AJH6" s="27" t="str">
        <f>IFERROR(VLOOKUP(DATE($K$1,$K$2,AJH$4),Table1[],(MATCH(Calendar!$A6,DB!1:1,0)+2),FALSE),"")</f>
        <v/>
      </c>
      <c r="AJI6" s="27" t="str">
        <f>IFERROR(VLOOKUP(DATE($K$1,$K$2,AJI$4),Table1[],(MATCH(Calendar!$A6,DB!1:1,0)+2),FALSE),"")</f>
        <v/>
      </c>
      <c r="AJJ6" s="27" t="str">
        <f>IFERROR(VLOOKUP(DATE($K$1,$K$2,AJJ$4),Table1[],(MATCH(Calendar!$A6,DB!1:1,0)+2),FALSE),"")</f>
        <v/>
      </c>
      <c r="AJK6" s="27" t="str">
        <f>IFERROR(VLOOKUP(DATE($K$1,$K$2,AJK$4),Table1[],(MATCH(Calendar!$A6,DB!1:1,0)+2),FALSE),"")</f>
        <v/>
      </c>
      <c r="AJL6" s="27" t="str">
        <f>IFERROR(VLOOKUP(DATE($K$1,$K$2,AJL$4),Table1[],(MATCH(Calendar!$A6,DB!1:1,0)+2),FALSE),"")</f>
        <v/>
      </c>
      <c r="AJM6" s="27" t="str">
        <f>IFERROR(VLOOKUP(DATE($K$1,$K$2,AJM$4),Table1[],(MATCH(Calendar!$A6,DB!1:1,0)+2),FALSE),"")</f>
        <v/>
      </c>
      <c r="AJN6" s="27" t="str">
        <f>IFERROR(VLOOKUP(DATE($K$1,$K$2,AJN$4),Table1[],(MATCH(Calendar!$A6,DB!1:1,0)+2),FALSE),"")</f>
        <v/>
      </c>
      <c r="AJO6" s="27" t="str">
        <f>IFERROR(VLOOKUP(DATE($K$1,$K$2,AJO$4),Table1[],(MATCH(Calendar!$A6,DB!1:1,0)+2),FALSE),"")</f>
        <v/>
      </c>
      <c r="AJP6" s="27" t="str">
        <f>IFERROR(VLOOKUP(DATE($K$1,$K$2,AJP$4),Table1[],(MATCH(Calendar!$A6,DB!1:1,0)+2),FALSE),"")</f>
        <v/>
      </c>
      <c r="AJQ6" s="27" t="str">
        <f>IFERROR(VLOOKUP(DATE($K$1,$K$2,AJQ$4),Table1[],(MATCH(Calendar!$A6,DB!1:1,0)+2),FALSE),"")</f>
        <v/>
      </c>
      <c r="AJR6" s="27" t="str">
        <f>IFERROR(VLOOKUP(DATE($K$1,$K$2,AJR$4),Table1[],(MATCH(Calendar!$A6,DB!1:1,0)+2),FALSE),"")</f>
        <v/>
      </c>
      <c r="AJS6" s="27" t="str">
        <f>IFERROR(VLOOKUP(DATE($K$1,$K$2,AJS$4),Table1[],(MATCH(Calendar!$A6,DB!1:1,0)+2),FALSE),"")</f>
        <v/>
      </c>
      <c r="AJT6" s="27" t="str">
        <f>IFERROR(VLOOKUP(DATE($K$1,$K$2,AJT$4),Table1[],(MATCH(Calendar!$A6,DB!1:1,0)+2),FALSE),"")</f>
        <v/>
      </c>
      <c r="AJU6" s="27" t="str">
        <f>IFERROR(VLOOKUP(DATE($K$1,$K$2,AJU$4),Table1[],(MATCH(Calendar!$A6,DB!1:1,0)+2),FALSE),"")</f>
        <v/>
      </c>
      <c r="AJV6" s="27" t="str">
        <f>IFERROR(VLOOKUP(DATE($K$1,$K$2,AJV$4),Table1[],(MATCH(Calendar!$A6,DB!1:1,0)+2),FALSE),"")</f>
        <v/>
      </c>
      <c r="AJW6" s="27" t="str">
        <f>IFERROR(VLOOKUP(DATE($K$1,$K$2,AJW$4),Table1[],(MATCH(Calendar!$A6,DB!1:1,0)+2),FALSE),"")</f>
        <v/>
      </c>
      <c r="AJX6" s="27" t="str">
        <f>IFERROR(VLOOKUP(DATE($K$1,$K$2,AJX$4),Table1[],(MATCH(Calendar!$A6,DB!1:1,0)+2),FALSE),"")</f>
        <v/>
      </c>
      <c r="AJY6" s="27" t="str">
        <f>IFERROR(VLOOKUP(DATE($K$1,$K$2,AJY$4),Table1[],(MATCH(Calendar!$A6,DB!1:1,0)+2),FALSE),"")</f>
        <v/>
      </c>
      <c r="AJZ6" s="27" t="str">
        <f>IFERROR(VLOOKUP(DATE($K$1,$K$2,AJZ$4),Table1[],(MATCH(Calendar!$A6,DB!1:1,0)+2),FALSE),"")</f>
        <v/>
      </c>
      <c r="AKA6" s="27" t="str">
        <f>IFERROR(VLOOKUP(DATE($K$1,$K$2,AKA$4),Table1[],(MATCH(Calendar!$A6,DB!1:1,0)+2),FALSE),"")</f>
        <v/>
      </c>
      <c r="AKB6" s="27" t="str">
        <f>IFERROR(VLOOKUP(DATE($K$1,$K$2,AKB$4),Table1[],(MATCH(Calendar!$A6,DB!1:1,0)+2),FALSE),"")</f>
        <v/>
      </c>
      <c r="AKC6" s="27" t="str">
        <f>IFERROR(VLOOKUP(DATE($K$1,$K$2,AKC$4),Table1[],(MATCH(Calendar!$A6,DB!1:1,0)+2),FALSE),"")</f>
        <v/>
      </c>
      <c r="AKD6" s="27" t="str">
        <f>IFERROR(VLOOKUP(DATE($K$1,$K$2,AKD$4),Table1[],(MATCH(Calendar!$A6,DB!1:1,0)+2),FALSE),"")</f>
        <v/>
      </c>
      <c r="AKE6" s="27" t="str">
        <f>IFERROR(VLOOKUP(DATE($K$1,$K$2,AKE$4),Table1[],(MATCH(Calendar!$A6,DB!1:1,0)+2),FALSE),"")</f>
        <v/>
      </c>
      <c r="AKF6" s="27" t="str">
        <f>IFERROR(VLOOKUP(DATE($K$1,$K$2,AKF$4),Table1[],(MATCH(Calendar!$A6,DB!1:1,0)+2),FALSE),"")</f>
        <v/>
      </c>
      <c r="AKG6" s="27" t="str">
        <f>IFERROR(VLOOKUP(DATE($K$1,$K$2,AKG$4),Table1[],(MATCH(Calendar!$A6,DB!1:1,0)+2),FALSE),"")</f>
        <v/>
      </c>
      <c r="AKH6" s="27" t="str">
        <f>IFERROR(VLOOKUP(DATE($K$1,$K$2,AKH$4),Table1[],(MATCH(Calendar!$A6,DB!1:1,0)+2),FALSE),"")</f>
        <v/>
      </c>
      <c r="AKI6" s="27" t="str">
        <f>IFERROR(VLOOKUP(DATE($K$1,$K$2,AKI$4),Table1[],(MATCH(Calendar!$A6,DB!1:1,0)+2),FALSE),"")</f>
        <v/>
      </c>
      <c r="AKJ6" s="27" t="str">
        <f>IFERROR(VLOOKUP(DATE($K$1,$K$2,AKJ$4),Table1[],(MATCH(Calendar!$A6,DB!1:1,0)+2),FALSE),"")</f>
        <v/>
      </c>
      <c r="AKK6" s="27" t="str">
        <f>IFERROR(VLOOKUP(DATE($K$1,$K$2,AKK$4),Table1[],(MATCH(Calendar!$A6,DB!1:1,0)+2),FALSE),"")</f>
        <v/>
      </c>
      <c r="AKL6" s="27" t="str">
        <f>IFERROR(VLOOKUP(DATE($K$1,$K$2,AKL$4),Table1[],(MATCH(Calendar!$A6,DB!1:1,0)+2),FALSE),"")</f>
        <v/>
      </c>
      <c r="AKM6" s="27" t="str">
        <f>IFERROR(VLOOKUP(DATE($K$1,$K$2,AKM$4),Table1[],(MATCH(Calendar!$A6,DB!1:1,0)+2),FALSE),"")</f>
        <v/>
      </c>
      <c r="AKN6" s="27" t="str">
        <f>IFERROR(VLOOKUP(DATE($K$1,$K$2,AKN$4),Table1[],(MATCH(Calendar!$A6,DB!1:1,0)+2),FALSE),"")</f>
        <v/>
      </c>
      <c r="AKO6" s="27" t="str">
        <f>IFERROR(VLOOKUP(DATE($K$1,$K$2,AKO$4),Table1[],(MATCH(Calendar!$A6,DB!1:1,0)+2),FALSE),"")</f>
        <v/>
      </c>
      <c r="AKP6" s="27" t="str">
        <f>IFERROR(VLOOKUP(DATE($K$1,$K$2,AKP$4),Table1[],(MATCH(Calendar!$A6,DB!1:1,0)+2),FALSE),"")</f>
        <v/>
      </c>
      <c r="AKQ6" s="27" t="str">
        <f>IFERROR(VLOOKUP(DATE($K$1,$K$2,AKQ$4),Table1[],(MATCH(Calendar!$A6,DB!1:1,0)+2),FALSE),"")</f>
        <v/>
      </c>
      <c r="AKR6" s="27" t="str">
        <f>IFERROR(VLOOKUP(DATE($K$1,$K$2,AKR$4),Table1[],(MATCH(Calendar!$A6,DB!1:1,0)+2),FALSE),"")</f>
        <v/>
      </c>
      <c r="AKS6" s="27" t="str">
        <f>IFERROR(VLOOKUP(DATE($K$1,$K$2,AKS$4),Table1[],(MATCH(Calendar!$A6,DB!1:1,0)+2),FALSE),"")</f>
        <v/>
      </c>
      <c r="AKT6" s="27" t="str">
        <f>IFERROR(VLOOKUP(DATE($K$1,$K$2,AKT$4),Table1[],(MATCH(Calendar!$A6,DB!1:1,0)+2),FALSE),"")</f>
        <v/>
      </c>
      <c r="AKU6" s="27" t="str">
        <f>IFERROR(VLOOKUP(DATE($K$1,$K$2,AKU$4),Table1[],(MATCH(Calendar!$A6,DB!1:1,0)+2),FALSE),"")</f>
        <v/>
      </c>
      <c r="AKV6" s="27" t="str">
        <f>IFERROR(VLOOKUP(DATE($K$1,$K$2,AKV$4),Table1[],(MATCH(Calendar!$A6,DB!1:1,0)+2),FALSE),"")</f>
        <v/>
      </c>
      <c r="AKW6" s="27" t="str">
        <f>IFERROR(VLOOKUP(DATE($K$1,$K$2,AKW$4),Table1[],(MATCH(Calendar!$A6,DB!1:1,0)+2),FALSE),"")</f>
        <v/>
      </c>
      <c r="AKX6" s="27" t="str">
        <f>IFERROR(VLOOKUP(DATE($K$1,$K$2,AKX$4),Table1[],(MATCH(Calendar!$A6,DB!1:1,0)+2),FALSE),"")</f>
        <v/>
      </c>
      <c r="AKY6" s="27" t="str">
        <f>IFERROR(VLOOKUP(DATE($K$1,$K$2,AKY$4),Table1[],(MATCH(Calendar!$A6,DB!1:1,0)+2),FALSE),"")</f>
        <v/>
      </c>
      <c r="AKZ6" s="27" t="str">
        <f>IFERROR(VLOOKUP(DATE($K$1,$K$2,AKZ$4),Table1[],(MATCH(Calendar!$A6,DB!1:1,0)+2),FALSE),"")</f>
        <v/>
      </c>
      <c r="ALA6" s="27" t="str">
        <f>IFERROR(VLOOKUP(DATE($K$1,$K$2,ALA$4),Table1[],(MATCH(Calendar!$A6,DB!1:1,0)+2),FALSE),"")</f>
        <v/>
      </c>
      <c r="ALB6" s="27" t="str">
        <f>IFERROR(VLOOKUP(DATE($K$1,$K$2,ALB$4),Table1[],(MATCH(Calendar!$A6,DB!1:1,0)+2),FALSE),"")</f>
        <v/>
      </c>
      <c r="ALC6" s="27" t="str">
        <f>IFERROR(VLOOKUP(DATE($K$1,$K$2,ALC$4),Table1[],(MATCH(Calendar!$A6,DB!1:1,0)+2),FALSE),"")</f>
        <v/>
      </c>
      <c r="ALD6" s="27" t="str">
        <f>IFERROR(VLOOKUP(DATE($K$1,$K$2,ALD$4),Table1[],(MATCH(Calendar!$A6,DB!1:1,0)+2),FALSE),"")</f>
        <v/>
      </c>
      <c r="ALE6" s="27" t="str">
        <f>IFERROR(VLOOKUP(DATE($K$1,$K$2,ALE$4),Table1[],(MATCH(Calendar!$A6,DB!1:1,0)+2),FALSE),"")</f>
        <v/>
      </c>
      <c r="ALF6" s="27" t="str">
        <f>IFERROR(VLOOKUP(DATE($K$1,$K$2,ALF$4),Table1[],(MATCH(Calendar!$A6,DB!1:1,0)+2),FALSE),"")</f>
        <v/>
      </c>
      <c r="ALG6" s="27" t="str">
        <f>IFERROR(VLOOKUP(DATE($K$1,$K$2,ALG$4),Table1[],(MATCH(Calendar!$A6,DB!1:1,0)+2),FALSE),"")</f>
        <v/>
      </c>
      <c r="ALH6" s="27" t="str">
        <f>IFERROR(VLOOKUP(DATE($K$1,$K$2,ALH$4),Table1[],(MATCH(Calendar!$A6,DB!1:1,0)+2),FALSE),"")</f>
        <v/>
      </c>
      <c r="ALI6" s="27" t="str">
        <f>IFERROR(VLOOKUP(DATE($K$1,$K$2,ALI$4),Table1[],(MATCH(Calendar!$A6,DB!1:1,0)+2),FALSE),"")</f>
        <v/>
      </c>
      <c r="ALJ6" s="27" t="str">
        <f>IFERROR(VLOOKUP(DATE($K$1,$K$2,ALJ$4),Table1[],(MATCH(Calendar!$A6,DB!1:1,0)+2),FALSE),"")</f>
        <v/>
      </c>
      <c r="ALK6" s="27" t="str">
        <f>IFERROR(VLOOKUP(DATE($K$1,$K$2,ALK$4),Table1[],(MATCH(Calendar!$A6,DB!1:1,0)+2),FALSE),"")</f>
        <v/>
      </c>
      <c r="ALL6" s="27" t="str">
        <f>IFERROR(VLOOKUP(DATE($K$1,$K$2,ALL$4),Table1[],(MATCH(Calendar!$A6,DB!1:1,0)+2),FALSE),"")</f>
        <v/>
      </c>
      <c r="ALM6" s="27" t="str">
        <f>IFERROR(VLOOKUP(DATE($K$1,$K$2,ALM$4),Table1[],(MATCH(Calendar!$A6,DB!1:1,0)+2),FALSE),"")</f>
        <v/>
      </c>
      <c r="ALN6" s="27" t="str">
        <f>IFERROR(VLOOKUP(DATE($K$1,$K$2,ALN$4),Table1[],(MATCH(Calendar!$A6,DB!1:1,0)+2),FALSE),"")</f>
        <v/>
      </c>
      <c r="ALO6" s="27" t="str">
        <f>IFERROR(VLOOKUP(DATE($K$1,$K$2,ALO$4),Table1[],(MATCH(Calendar!$A6,DB!1:1,0)+2),FALSE),"")</f>
        <v/>
      </c>
      <c r="ALP6" s="27" t="str">
        <f>IFERROR(VLOOKUP(DATE($K$1,$K$2,ALP$4),Table1[],(MATCH(Calendar!$A6,DB!1:1,0)+2),FALSE),"")</f>
        <v/>
      </c>
      <c r="ALQ6" s="27" t="str">
        <f>IFERROR(VLOOKUP(DATE($K$1,$K$2,ALQ$4),Table1[],(MATCH(Calendar!$A6,DB!1:1,0)+2),FALSE),"")</f>
        <v/>
      </c>
      <c r="ALR6" s="27" t="str">
        <f>IFERROR(VLOOKUP(DATE($K$1,$K$2,ALR$4),Table1[],(MATCH(Calendar!$A6,DB!1:1,0)+2),FALSE),"")</f>
        <v/>
      </c>
      <c r="ALS6" s="27" t="str">
        <f>IFERROR(VLOOKUP(DATE($K$1,$K$2,ALS$4),Table1[],(MATCH(Calendar!$A6,DB!1:1,0)+2),FALSE),"")</f>
        <v/>
      </c>
      <c r="ALT6" s="27" t="str">
        <f>IFERROR(VLOOKUP(DATE($K$1,$K$2,ALT$4),Table1[],(MATCH(Calendar!$A6,DB!1:1,0)+2),FALSE),"")</f>
        <v/>
      </c>
      <c r="ALU6" s="27" t="str">
        <f>IFERROR(VLOOKUP(DATE($K$1,$K$2,ALU$4),Table1[],(MATCH(Calendar!$A6,DB!1:1,0)+2),FALSE),"")</f>
        <v/>
      </c>
      <c r="ALV6" s="27" t="str">
        <f>IFERROR(VLOOKUP(DATE($K$1,$K$2,ALV$4),Table1[],(MATCH(Calendar!$A6,DB!1:1,0)+2),FALSE),"")</f>
        <v/>
      </c>
      <c r="ALW6" s="27" t="str">
        <f>IFERROR(VLOOKUP(DATE($K$1,$K$2,ALW$4),Table1[],(MATCH(Calendar!$A6,DB!1:1,0)+2),FALSE),"")</f>
        <v/>
      </c>
      <c r="ALX6" s="27" t="str">
        <f>IFERROR(VLOOKUP(DATE($K$1,$K$2,ALX$4),Table1[],(MATCH(Calendar!$A6,DB!1:1,0)+2),FALSE),"")</f>
        <v/>
      </c>
      <c r="ALY6" s="27" t="str">
        <f>IFERROR(VLOOKUP(DATE($K$1,$K$2,ALY$4),Table1[],(MATCH(Calendar!$A6,DB!1:1,0)+2),FALSE),"")</f>
        <v/>
      </c>
      <c r="ALZ6" s="27" t="str">
        <f>IFERROR(VLOOKUP(DATE($K$1,$K$2,ALZ$4),Table1[],(MATCH(Calendar!$A6,DB!1:1,0)+2),FALSE),"")</f>
        <v/>
      </c>
      <c r="AMA6" s="27" t="str">
        <f>IFERROR(VLOOKUP(DATE($K$1,$K$2,AMA$4),Table1[],(MATCH(Calendar!$A6,DB!1:1,0)+2),FALSE),"")</f>
        <v/>
      </c>
      <c r="AMB6" s="27" t="str">
        <f>IFERROR(VLOOKUP(DATE($K$1,$K$2,AMB$4),Table1[],(MATCH(Calendar!$A6,DB!1:1,0)+2),FALSE),"")</f>
        <v/>
      </c>
      <c r="AMC6" s="27" t="str">
        <f>IFERROR(VLOOKUP(DATE($K$1,$K$2,AMC$4),Table1[],(MATCH(Calendar!$A6,DB!1:1,0)+2),FALSE),"")</f>
        <v/>
      </c>
      <c r="AMD6" s="27" t="str">
        <f>IFERROR(VLOOKUP(DATE($K$1,$K$2,AMD$4),Table1[],(MATCH(Calendar!$A6,DB!1:1,0)+2),FALSE),"")</f>
        <v/>
      </c>
      <c r="AME6" s="27" t="str">
        <f>IFERROR(VLOOKUP(DATE($K$1,$K$2,AME$4),Table1[],(MATCH(Calendar!$A6,DB!1:1,0)+2),FALSE),"")</f>
        <v/>
      </c>
      <c r="AMF6" s="27" t="str">
        <f>IFERROR(VLOOKUP(DATE($K$1,$K$2,AMF$4),Table1[],(MATCH(Calendar!$A6,DB!1:1,0)+2),FALSE),"")</f>
        <v/>
      </c>
      <c r="AMG6" s="27" t="str">
        <f>IFERROR(VLOOKUP(DATE($K$1,$K$2,AMG$4),Table1[],(MATCH(Calendar!$A6,DB!1:1,0)+2),FALSE),"")</f>
        <v/>
      </c>
      <c r="AMH6" s="27" t="str">
        <f>IFERROR(VLOOKUP(DATE($K$1,$K$2,AMH$4),Table1[],(MATCH(Calendar!$A6,DB!1:1,0)+2),FALSE),"")</f>
        <v/>
      </c>
      <c r="AMI6" s="27" t="str">
        <f>IFERROR(VLOOKUP(DATE($K$1,$K$2,AMI$4),Table1[],(MATCH(Calendar!$A6,DB!1:1,0)+2),FALSE),"")</f>
        <v/>
      </c>
      <c r="AMJ6" s="27" t="str">
        <f>IFERROR(VLOOKUP(DATE($K$1,$K$2,AMJ$4),Table1[],(MATCH(Calendar!$A6,DB!1:1,0)+2),FALSE),"")</f>
        <v/>
      </c>
      <c r="AMK6" s="27" t="str">
        <f>IFERROR(VLOOKUP(DATE($K$1,$K$2,AMK$4),Table1[],(MATCH(Calendar!$A6,DB!1:1,0)+2),FALSE),"")</f>
        <v/>
      </c>
      <c r="AML6" s="27" t="str">
        <f>IFERROR(VLOOKUP(DATE($K$1,$K$2,AML$4),Table1[],(MATCH(Calendar!$A6,DB!1:1,0)+2),FALSE),"")</f>
        <v/>
      </c>
      <c r="AMM6" s="27" t="str">
        <f>IFERROR(VLOOKUP(DATE($K$1,$K$2,AMM$4),Table1[],(MATCH(Calendar!$A6,DB!1:1,0)+2),FALSE),"")</f>
        <v/>
      </c>
      <c r="AMN6" s="27" t="str">
        <f>IFERROR(VLOOKUP(DATE($K$1,$K$2,AMN$4),Table1[],(MATCH(Calendar!$A6,DB!1:1,0)+2),FALSE),"")</f>
        <v/>
      </c>
      <c r="AMO6" s="27" t="str">
        <f>IFERROR(VLOOKUP(DATE($K$1,$K$2,AMO$4),Table1[],(MATCH(Calendar!$A6,DB!1:1,0)+2),FALSE),"")</f>
        <v/>
      </c>
      <c r="AMP6" s="27" t="str">
        <f>IFERROR(VLOOKUP(DATE($K$1,$K$2,AMP$4),Table1[],(MATCH(Calendar!$A6,DB!1:1,0)+2),FALSE),"")</f>
        <v/>
      </c>
      <c r="AMQ6" s="27" t="str">
        <f>IFERROR(VLOOKUP(DATE($K$1,$K$2,AMQ$4),Table1[],(MATCH(Calendar!$A6,DB!1:1,0)+2),FALSE),"")</f>
        <v/>
      </c>
      <c r="AMR6" s="27" t="str">
        <f>IFERROR(VLOOKUP(DATE($K$1,$K$2,AMR$4),Table1[],(MATCH(Calendar!$A6,DB!1:1,0)+2),FALSE),"")</f>
        <v/>
      </c>
      <c r="AMS6" s="27" t="str">
        <f>IFERROR(VLOOKUP(DATE($K$1,$K$2,AMS$4),Table1[],(MATCH(Calendar!$A6,DB!1:1,0)+2),FALSE),"")</f>
        <v/>
      </c>
      <c r="AMT6" s="27" t="str">
        <f>IFERROR(VLOOKUP(DATE($K$1,$K$2,AMT$4),Table1[],(MATCH(Calendar!$A6,DB!1:1,0)+2),FALSE),"")</f>
        <v/>
      </c>
      <c r="AMU6" s="27" t="str">
        <f>IFERROR(VLOOKUP(DATE($K$1,$K$2,AMU$4),Table1[],(MATCH(Calendar!$A6,DB!1:1,0)+2),FALSE),"")</f>
        <v/>
      </c>
      <c r="AMV6" s="27" t="str">
        <f>IFERROR(VLOOKUP(DATE($K$1,$K$2,AMV$4),Table1[],(MATCH(Calendar!$A6,DB!1:1,0)+2),FALSE),"")</f>
        <v/>
      </c>
      <c r="AMW6" s="27" t="str">
        <f>IFERROR(VLOOKUP(DATE($K$1,$K$2,AMW$4),Table1[],(MATCH(Calendar!$A6,DB!1:1,0)+2),FALSE),"")</f>
        <v/>
      </c>
      <c r="AMX6" s="27" t="str">
        <f>IFERROR(VLOOKUP(DATE($K$1,$K$2,AMX$4),Table1[],(MATCH(Calendar!$A6,DB!1:1,0)+2),FALSE),"")</f>
        <v/>
      </c>
      <c r="AMY6" s="27" t="str">
        <f>IFERROR(VLOOKUP(DATE($K$1,$K$2,AMY$4),Table1[],(MATCH(Calendar!$A6,DB!1:1,0)+2),FALSE),"")</f>
        <v/>
      </c>
      <c r="AMZ6" s="27" t="str">
        <f>IFERROR(VLOOKUP(DATE($K$1,$K$2,AMZ$4),Table1[],(MATCH(Calendar!$A6,DB!1:1,0)+2),FALSE),"")</f>
        <v/>
      </c>
      <c r="ANA6" s="27" t="str">
        <f>IFERROR(VLOOKUP(DATE($K$1,$K$2,ANA$4),Table1[],(MATCH(Calendar!$A6,DB!1:1,0)+2),FALSE),"")</f>
        <v/>
      </c>
      <c r="ANB6" s="27" t="str">
        <f>IFERROR(VLOOKUP(DATE($K$1,$K$2,ANB$4),Table1[],(MATCH(Calendar!$A6,DB!1:1,0)+2),FALSE),"")</f>
        <v/>
      </c>
      <c r="ANC6" s="27" t="str">
        <f>IFERROR(VLOOKUP(DATE($K$1,$K$2,ANC$4),Table1[],(MATCH(Calendar!$A6,DB!1:1,0)+2),FALSE),"")</f>
        <v/>
      </c>
      <c r="AND6" s="27" t="str">
        <f>IFERROR(VLOOKUP(DATE($K$1,$K$2,AND$4),Table1[],(MATCH(Calendar!$A6,DB!1:1,0)+2),FALSE),"")</f>
        <v/>
      </c>
      <c r="ANE6" s="27" t="str">
        <f>IFERROR(VLOOKUP(DATE($K$1,$K$2,ANE$4),Table1[],(MATCH(Calendar!$A6,DB!1:1,0)+2),FALSE),"")</f>
        <v/>
      </c>
      <c r="ANF6" s="27" t="str">
        <f>IFERROR(VLOOKUP(DATE($K$1,$K$2,ANF$4),Table1[],(MATCH(Calendar!$A6,DB!1:1,0)+2),FALSE),"")</f>
        <v/>
      </c>
      <c r="ANG6" s="27" t="str">
        <f>IFERROR(VLOOKUP(DATE($K$1,$K$2,ANG$4),Table1[],(MATCH(Calendar!$A6,DB!1:1,0)+2),FALSE),"")</f>
        <v/>
      </c>
      <c r="ANH6" s="27" t="str">
        <f>IFERROR(VLOOKUP(DATE($K$1,$K$2,ANH$4),Table1[],(MATCH(Calendar!$A6,DB!1:1,0)+2),FALSE),"")</f>
        <v/>
      </c>
      <c r="ANI6" s="27" t="str">
        <f>IFERROR(VLOOKUP(DATE($K$1,$K$2,ANI$4),Table1[],(MATCH(Calendar!$A6,DB!1:1,0)+2),FALSE),"")</f>
        <v/>
      </c>
      <c r="ANJ6" s="27" t="str">
        <f>IFERROR(VLOOKUP(DATE($K$1,$K$2,ANJ$4),Table1[],(MATCH(Calendar!$A6,DB!1:1,0)+2),FALSE),"")</f>
        <v/>
      </c>
      <c r="ANK6" s="27" t="str">
        <f>IFERROR(VLOOKUP(DATE($K$1,$K$2,ANK$4),Table1[],(MATCH(Calendar!$A6,DB!1:1,0)+2),FALSE),"")</f>
        <v/>
      </c>
      <c r="ANL6" s="27" t="str">
        <f>IFERROR(VLOOKUP(DATE($K$1,$K$2,ANL$4),Table1[],(MATCH(Calendar!$A6,DB!1:1,0)+2),FALSE),"")</f>
        <v/>
      </c>
      <c r="ANM6" s="27" t="str">
        <f>IFERROR(VLOOKUP(DATE($K$1,$K$2,ANM$4),Table1[],(MATCH(Calendar!$A6,DB!1:1,0)+2),FALSE),"")</f>
        <v/>
      </c>
      <c r="ANN6" s="27" t="str">
        <f>IFERROR(VLOOKUP(DATE($K$1,$K$2,ANN$4),Table1[],(MATCH(Calendar!$A6,DB!1:1,0)+2),FALSE),"")</f>
        <v/>
      </c>
      <c r="ANO6" s="27" t="str">
        <f>IFERROR(VLOOKUP(DATE($K$1,$K$2,ANO$4),Table1[],(MATCH(Calendar!$A6,DB!1:1,0)+2),FALSE),"")</f>
        <v/>
      </c>
      <c r="ANP6" s="27" t="str">
        <f>IFERROR(VLOOKUP(DATE($K$1,$K$2,ANP$4),Table1[],(MATCH(Calendar!$A6,DB!1:1,0)+2),FALSE),"")</f>
        <v/>
      </c>
      <c r="ANQ6" s="27" t="str">
        <f>IFERROR(VLOOKUP(DATE($K$1,$K$2,ANQ$4),Table1[],(MATCH(Calendar!$A6,DB!1:1,0)+2),FALSE),"")</f>
        <v/>
      </c>
      <c r="ANR6" s="27" t="str">
        <f>IFERROR(VLOOKUP(DATE($K$1,$K$2,ANR$4),Table1[],(MATCH(Calendar!$A6,DB!1:1,0)+2),FALSE),"")</f>
        <v/>
      </c>
      <c r="ANS6" s="27" t="str">
        <f>IFERROR(VLOOKUP(DATE($K$1,$K$2,ANS$4),Table1[],(MATCH(Calendar!$A6,DB!1:1,0)+2),FALSE),"")</f>
        <v/>
      </c>
      <c r="ANT6" s="27" t="str">
        <f>IFERROR(VLOOKUP(DATE($K$1,$K$2,ANT$4),Table1[],(MATCH(Calendar!$A6,DB!1:1,0)+2),FALSE),"")</f>
        <v/>
      </c>
      <c r="ANU6" s="27" t="str">
        <f>IFERROR(VLOOKUP(DATE($K$1,$K$2,ANU$4),Table1[],(MATCH(Calendar!$A6,DB!1:1,0)+2),FALSE),"")</f>
        <v/>
      </c>
      <c r="ANV6" s="27" t="str">
        <f>IFERROR(VLOOKUP(DATE($K$1,$K$2,ANV$4),Table1[],(MATCH(Calendar!$A6,DB!1:1,0)+2),FALSE),"")</f>
        <v/>
      </c>
      <c r="ANW6" s="27" t="str">
        <f>IFERROR(VLOOKUP(DATE($K$1,$K$2,ANW$4),Table1[],(MATCH(Calendar!$A6,DB!1:1,0)+2),FALSE),"")</f>
        <v/>
      </c>
      <c r="ANX6" s="27" t="str">
        <f>IFERROR(VLOOKUP(DATE($K$1,$K$2,ANX$4),Table1[],(MATCH(Calendar!$A6,DB!1:1,0)+2),FALSE),"")</f>
        <v/>
      </c>
      <c r="ANY6" s="27" t="str">
        <f>IFERROR(VLOOKUP(DATE($K$1,$K$2,ANY$4),Table1[],(MATCH(Calendar!$A6,DB!1:1,0)+2),FALSE),"")</f>
        <v/>
      </c>
      <c r="ANZ6" s="27" t="str">
        <f>IFERROR(VLOOKUP(DATE($K$1,$K$2,ANZ$4),Table1[],(MATCH(Calendar!$A6,DB!1:1,0)+2),FALSE),"")</f>
        <v/>
      </c>
      <c r="AOA6" s="27" t="str">
        <f>IFERROR(VLOOKUP(DATE($K$1,$K$2,AOA$4),Table1[],(MATCH(Calendar!$A6,DB!1:1,0)+2),FALSE),"")</f>
        <v/>
      </c>
      <c r="AOB6" s="27" t="str">
        <f>IFERROR(VLOOKUP(DATE($K$1,$K$2,AOB$4),Table1[],(MATCH(Calendar!$A6,DB!1:1,0)+2),FALSE),"")</f>
        <v/>
      </c>
      <c r="AOC6" s="27" t="str">
        <f>IFERROR(VLOOKUP(DATE($K$1,$K$2,AOC$4),Table1[],(MATCH(Calendar!$A6,DB!1:1,0)+2),FALSE),"")</f>
        <v/>
      </c>
      <c r="AOD6" s="27" t="str">
        <f>IFERROR(VLOOKUP(DATE($K$1,$K$2,AOD$4),Table1[],(MATCH(Calendar!$A6,DB!1:1,0)+2),FALSE),"")</f>
        <v/>
      </c>
      <c r="AOE6" s="27" t="str">
        <f>IFERROR(VLOOKUP(DATE($K$1,$K$2,AOE$4),Table1[],(MATCH(Calendar!$A6,DB!1:1,0)+2),FALSE),"")</f>
        <v/>
      </c>
      <c r="AOF6" s="27" t="str">
        <f>IFERROR(VLOOKUP(DATE($K$1,$K$2,AOF$4),Table1[],(MATCH(Calendar!$A6,DB!1:1,0)+2),FALSE),"")</f>
        <v/>
      </c>
      <c r="AOG6" s="27" t="str">
        <f>IFERROR(VLOOKUP(DATE($K$1,$K$2,AOG$4),Table1[],(MATCH(Calendar!$A6,DB!1:1,0)+2),FALSE),"")</f>
        <v/>
      </c>
      <c r="AOH6" s="27" t="str">
        <f>IFERROR(VLOOKUP(DATE($K$1,$K$2,AOH$4),Table1[],(MATCH(Calendar!$A6,DB!1:1,0)+2),FALSE),"")</f>
        <v/>
      </c>
      <c r="AOI6" s="27" t="str">
        <f>IFERROR(VLOOKUP(DATE($K$1,$K$2,AOI$4),Table1[],(MATCH(Calendar!$A6,DB!1:1,0)+2),FALSE),"")</f>
        <v/>
      </c>
      <c r="AOJ6" s="27" t="str">
        <f>IFERROR(VLOOKUP(DATE($K$1,$K$2,AOJ$4),Table1[],(MATCH(Calendar!$A6,DB!1:1,0)+2),FALSE),"")</f>
        <v/>
      </c>
      <c r="AOK6" s="27" t="str">
        <f>IFERROR(VLOOKUP(DATE($K$1,$K$2,AOK$4),Table1[],(MATCH(Calendar!$A6,DB!1:1,0)+2),FALSE),"")</f>
        <v/>
      </c>
      <c r="AOL6" s="27" t="str">
        <f>IFERROR(VLOOKUP(DATE($K$1,$K$2,AOL$4),Table1[],(MATCH(Calendar!$A6,DB!1:1,0)+2),FALSE),"")</f>
        <v/>
      </c>
      <c r="AOM6" s="27" t="str">
        <f>IFERROR(VLOOKUP(DATE($K$1,$K$2,AOM$4),Table1[],(MATCH(Calendar!$A6,DB!1:1,0)+2),FALSE),"")</f>
        <v/>
      </c>
      <c r="AON6" s="27" t="str">
        <f>IFERROR(VLOOKUP(DATE($K$1,$K$2,AON$4),Table1[],(MATCH(Calendar!$A6,DB!1:1,0)+2),FALSE),"")</f>
        <v/>
      </c>
      <c r="AOO6" s="27" t="str">
        <f>IFERROR(VLOOKUP(DATE($K$1,$K$2,AOO$4),Table1[],(MATCH(Calendar!$A6,DB!1:1,0)+2),FALSE),"")</f>
        <v/>
      </c>
      <c r="AOP6" s="27" t="str">
        <f>IFERROR(VLOOKUP(DATE($K$1,$K$2,AOP$4),Table1[],(MATCH(Calendar!$A6,DB!1:1,0)+2),FALSE),"")</f>
        <v/>
      </c>
      <c r="AOQ6" s="27" t="str">
        <f>IFERROR(VLOOKUP(DATE($K$1,$K$2,AOQ$4),Table1[],(MATCH(Calendar!$A6,DB!1:1,0)+2),FALSE),"")</f>
        <v/>
      </c>
      <c r="AOR6" s="27" t="str">
        <f>IFERROR(VLOOKUP(DATE($K$1,$K$2,AOR$4),Table1[],(MATCH(Calendar!$A6,DB!1:1,0)+2),FALSE),"")</f>
        <v/>
      </c>
      <c r="AOS6" s="27" t="str">
        <f>IFERROR(VLOOKUP(DATE($K$1,$K$2,AOS$4),Table1[],(MATCH(Calendar!$A6,DB!1:1,0)+2),FALSE),"")</f>
        <v/>
      </c>
      <c r="AOT6" s="27" t="str">
        <f>IFERROR(VLOOKUP(DATE($K$1,$K$2,AOT$4),Table1[],(MATCH(Calendar!$A6,DB!1:1,0)+2),FALSE),"")</f>
        <v/>
      </c>
      <c r="AOU6" s="27" t="str">
        <f>IFERROR(VLOOKUP(DATE($K$1,$K$2,AOU$4),Table1[],(MATCH(Calendar!$A6,DB!1:1,0)+2),FALSE),"")</f>
        <v/>
      </c>
      <c r="AOV6" s="27" t="str">
        <f>IFERROR(VLOOKUP(DATE($K$1,$K$2,AOV$4),Table1[],(MATCH(Calendar!$A6,DB!1:1,0)+2),FALSE),"")</f>
        <v/>
      </c>
      <c r="AOW6" s="27" t="str">
        <f>IFERROR(VLOOKUP(DATE($K$1,$K$2,AOW$4),Table1[],(MATCH(Calendar!$A6,DB!1:1,0)+2),FALSE),"")</f>
        <v/>
      </c>
      <c r="AOX6" s="27" t="str">
        <f>IFERROR(VLOOKUP(DATE($K$1,$K$2,AOX$4),Table1[],(MATCH(Calendar!$A6,DB!1:1,0)+2),FALSE),"")</f>
        <v/>
      </c>
      <c r="AOY6" s="27" t="str">
        <f>IFERROR(VLOOKUP(DATE($K$1,$K$2,AOY$4),Table1[],(MATCH(Calendar!$A6,DB!1:1,0)+2),FALSE),"")</f>
        <v/>
      </c>
      <c r="AOZ6" s="27" t="str">
        <f>IFERROR(VLOOKUP(DATE($K$1,$K$2,AOZ$4),Table1[],(MATCH(Calendar!$A6,DB!1:1,0)+2),FALSE),"")</f>
        <v/>
      </c>
      <c r="APA6" s="27" t="str">
        <f>IFERROR(VLOOKUP(DATE($K$1,$K$2,APA$4),Table1[],(MATCH(Calendar!$A6,DB!1:1,0)+2),FALSE),"")</f>
        <v/>
      </c>
      <c r="APB6" s="27" t="str">
        <f>IFERROR(VLOOKUP(DATE($K$1,$K$2,APB$4),Table1[],(MATCH(Calendar!$A6,DB!1:1,0)+2),FALSE),"")</f>
        <v/>
      </c>
      <c r="APC6" s="27" t="str">
        <f>IFERROR(VLOOKUP(DATE($K$1,$K$2,APC$4),Table1[],(MATCH(Calendar!$A6,DB!1:1,0)+2),FALSE),"")</f>
        <v/>
      </c>
      <c r="APD6" s="27" t="str">
        <f>IFERROR(VLOOKUP(DATE($K$1,$K$2,APD$4),Table1[],(MATCH(Calendar!$A6,DB!1:1,0)+2),FALSE),"")</f>
        <v/>
      </c>
      <c r="APE6" s="27" t="str">
        <f>IFERROR(VLOOKUP(DATE($K$1,$K$2,APE$4),Table1[],(MATCH(Calendar!$A6,DB!1:1,0)+2),FALSE),"")</f>
        <v/>
      </c>
      <c r="APF6" s="27" t="str">
        <f>IFERROR(VLOOKUP(DATE($K$1,$K$2,APF$4),Table1[],(MATCH(Calendar!$A6,DB!1:1,0)+2),FALSE),"")</f>
        <v/>
      </c>
      <c r="APG6" s="27" t="str">
        <f>IFERROR(VLOOKUP(DATE($K$1,$K$2,APG$4),Table1[],(MATCH(Calendar!$A6,DB!1:1,0)+2),FALSE),"")</f>
        <v/>
      </c>
      <c r="APH6" s="27" t="str">
        <f>IFERROR(VLOOKUP(DATE($K$1,$K$2,APH$4),Table1[],(MATCH(Calendar!$A6,DB!1:1,0)+2),FALSE),"")</f>
        <v/>
      </c>
      <c r="API6" s="27" t="str">
        <f>IFERROR(VLOOKUP(DATE($K$1,$K$2,API$4),Table1[],(MATCH(Calendar!$A6,DB!1:1,0)+2),FALSE),"")</f>
        <v/>
      </c>
      <c r="APJ6" s="27" t="str">
        <f>IFERROR(VLOOKUP(DATE($K$1,$K$2,APJ$4),Table1[],(MATCH(Calendar!$A6,DB!1:1,0)+2),FALSE),"")</f>
        <v/>
      </c>
      <c r="APK6" s="27" t="str">
        <f>IFERROR(VLOOKUP(DATE($K$1,$K$2,APK$4),Table1[],(MATCH(Calendar!$A6,DB!1:1,0)+2),FALSE),"")</f>
        <v/>
      </c>
      <c r="APL6" s="27" t="str">
        <f>IFERROR(VLOOKUP(DATE($K$1,$K$2,APL$4),Table1[],(MATCH(Calendar!$A6,DB!1:1,0)+2),FALSE),"")</f>
        <v/>
      </c>
      <c r="APM6" s="27" t="str">
        <f>IFERROR(VLOOKUP(DATE($K$1,$K$2,APM$4),Table1[],(MATCH(Calendar!$A6,DB!1:1,0)+2),FALSE),"")</f>
        <v/>
      </c>
      <c r="APN6" s="27" t="str">
        <f>IFERROR(VLOOKUP(DATE($K$1,$K$2,APN$4),Table1[],(MATCH(Calendar!$A6,DB!1:1,0)+2),FALSE),"")</f>
        <v/>
      </c>
      <c r="APO6" s="27" t="str">
        <f>IFERROR(VLOOKUP(DATE($K$1,$K$2,APO$4),Table1[],(MATCH(Calendar!$A6,DB!1:1,0)+2),FALSE),"")</f>
        <v/>
      </c>
      <c r="APP6" s="27" t="str">
        <f>IFERROR(VLOOKUP(DATE($K$1,$K$2,APP$4),Table1[],(MATCH(Calendar!$A6,DB!1:1,0)+2),FALSE),"")</f>
        <v/>
      </c>
      <c r="APQ6" s="27" t="str">
        <f>IFERROR(VLOOKUP(DATE($K$1,$K$2,APQ$4),Table1[],(MATCH(Calendar!$A6,DB!1:1,0)+2),FALSE),"")</f>
        <v/>
      </c>
      <c r="APR6" s="27" t="str">
        <f>IFERROR(VLOOKUP(DATE($K$1,$K$2,APR$4),Table1[],(MATCH(Calendar!$A6,DB!1:1,0)+2),FALSE),"")</f>
        <v/>
      </c>
      <c r="APS6" s="27" t="str">
        <f>IFERROR(VLOOKUP(DATE($K$1,$K$2,APS$4),Table1[],(MATCH(Calendar!$A6,DB!1:1,0)+2),FALSE),"")</f>
        <v/>
      </c>
      <c r="APT6" s="27" t="str">
        <f>IFERROR(VLOOKUP(DATE($K$1,$K$2,APT$4),Table1[],(MATCH(Calendar!$A6,DB!1:1,0)+2),FALSE),"")</f>
        <v/>
      </c>
      <c r="APU6" s="27" t="str">
        <f>IFERROR(VLOOKUP(DATE($K$1,$K$2,APU$4),Table1[],(MATCH(Calendar!$A6,DB!1:1,0)+2),FALSE),"")</f>
        <v/>
      </c>
      <c r="APV6" s="27" t="str">
        <f>IFERROR(VLOOKUP(DATE($K$1,$K$2,APV$4),Table1[],(MATCH(Calendar!$A6,DB!1:1,0)+2),FALSE),"")</f>
        <v/>
      </c>
      <c r="APW6" s="27" t="str">
        <f>IFERROR(VLOOKUP(DATE($K$1,$K$2,APW$4),Table1[],(MATCH(Calendar!$A6,DB!1:1,0)+2),FALSE),"")</f>
        <v/>
      </c>
      <c r="APX6" s="27" t="str">
        <f>IFERROR(VLOOKUP(DATE($K$1,$K$2,APX$4),Table1[],(MATCH(Calendar!$A6,DB!1:1,0)+2),FALSE),"")</f>
        <v/>
      </c>
      <c r="APY6" s="27" t="str">
        <f>IFERROR(VLOOKUP(DATE($K$1,$K$2,APY$4),Table1[],(MATCH(Calendar!$A6,DB!1:1,0)+2),FALSE),"")</f>
        <v/>
      </c>
      <c r="APZ6" s="27" t="str">
        <f>IFERROR(VLOOKUP(DATE($K$1,$K$2,APZ$4),Table1[],(MATCH(Calendar!$A6,DB!1:1,0)+2),FALSE),"")</f>
        <v/>
      </c>
      <c r="AQA6" s="27" t="str">
        <f>IFERROR(VLOOKUP(DATE($K$1,$K$2,AQA$4),Table1[],(MATCH(Calendar!$A6,DB!1:1,0)+2),FALSE),"")</f>
        <v/>
      </c>
      <c r="AQB6" s="27" t="str">
        <f>IFERROR(VLOOKUP(DATE($K$1,$K$2,AQB$4),Table1[],(MATCH(Calendar!$A6,DB!1:1,0)+2),FALSE),"")</f>
        <v/>
      </c>
      <c r="AQC6" s="27" t="str">
        <f>IFERROR(VLOOKUP(DATE($K$1,$K$2,AQC$4),Table1[],(MATCH(Calendar!$A6,DB!1:1,0)+2),FALSE),"")</f>
        <v/>
      </c>
      <c r="AQD6" s="27" t="str">
        <f>IFERROR(VLOOKUP(DATE($K$1,$K$2,AQD$4),Table1[],(MATCH(Calendar!$A6,DB!1:1,0)+2),FALSE),"")</f>
        <v/>
      </c>
      <c r="AQE6" s="27" t="str">
        <f>IFERROR(VLOOKUP(DATE($K$1,$K$2,AQE$4),Table1[],(MATCH(Calendar!$A6,DB!1:1,0)+2),FALSE),"")</f>
        <v/>
      </c>
      <c r="AQF6" s="27" t="str">
        <f>IFERROR(VLOOKUP(DATE($K$1,$K$2,AQF$4),Table1[],(MATCH(Calendar!$A6,DB!1:1,0)+2),FALSE),"")</f>
        <v/>
      </c>
      <c r="AQG6" s="27" t="str">
        <f>IFERROR(VLOOKUP(DATE($K$1,$K$2,AQG$4),Table1[],(MATCH(Calendar!$A6,DB!1:1,0)+2),FALSE),"")</f>
        <v/>
      </c>
      <c r="AQH6" s="27" t="str">
        <f>IFERROR(VLOOKUP(DATE($K$1,$K$2,AQH$4),Table1[],(MATCH(Calendar!$A6,DB!1:1,0)+2),FALSE),"")</f>
        <v/>
      </c>
      <c r="AQI6" s="27" t="str">
        <f>IFERROR(VLOOKUP(DATE($K$1,$K$2,AQI$4),Table1[],(MATCH(Calendar!$A6,DB!1:1,0)+2),FALSE),"")</f>
        <v/>
      </c>
      <c r="AQJ6" s="27" t="str">
        <f>IFERROR(VLOOKUP(DATE($K$1,$K$2,AQJ$4),Table1[],(MATCH(Calendar!$A6,DB!1:1,0)+2),FALSE),"")</f>
        <v/>
      </c>
      <c r="AQK6" s="27" t="str">
        <f>IFERROR(VLOOKUP(DATE($K$1,$K$2,AQK$4),Table1[],(MATCH(Calendar!$A6,DB!1:1,0)+2),FALSE),"")</f>
        <v/>
      </c>
      <c r="AQL6" s="27" t="str">
        <f>IFERROR(VLOOKUP(DATE($K$1,$K$2,AQL$4),Table1[],(MATCH(Calendar!$A6,DB!1:1,0)+2),FALSE),"")</f>
        <v/>
      </c>
      <c r="AQM6" s="27" t="str">
        <f>IFERROR(VLOOKUP(DATE($K$1,$K$2,AQM$4),Table1[],(MATCH(Calendar!$A6,DB!1:1,0)+2),FALSE),"")</f>
        <v/>
      </c>
      <c r="AQN6" s="27" t="str">
        <f>IFERROR(VLOOKUP(DATE($K$1,$K$2,AQN$4),Table1[],(MATCH(Calendar!$A6,DB!1:1,0)+2),FALSE),"")</f>
        <v/>
      </c>
      <c r="AQO6" s="27" t="str">
        <f>IFERROR(VLOOKUP(DATE($K$1,$K$2,AQO$4),Table1[],(MATCH(Calendar!$A6,DB!1:1,0)+2),FALSE),"")</f>
        <v/>
      </c>
      <c r="AQP6" s="27" t="str">
        <f>IFERROR(VLOOKUP(DATE($K$1,$K$2,AQP$4),Table1[],(MATCH(Calendar!$A6,DB!1:1,0)+2),FALSE),"")</f>
        <v/>
      </c>
      <c r="AQQ6" s="27" t="str">
        <f>IFERROR(VLOOKUP(DATE($K$1,$K$2,AQQ$4),Table1[],(MATCH(Calendar!$A6,DB!1:1,0)+2),FALSE),"")</f>
        <v/>
      </c>
      <c r="AQR6" s="27" t="str">
        <f>IFERROR(VLOOKUP(DATE($K$1,$K$2,AQR$4),Table1[],(MATCH(Calendar!$A6,DB!1:1,0)+2),FALSE),"")</f>
        <v/>
      </c>
      <c r="AQS6" s="27" t="str">
        <f>IFERROR(VLOOKUP(DATE($K$1,$K$2,AQS$4),Table1[],(MATCH(Calendar!$A6,DB!1:1,0)+2),FALSE),"")</f>
        <v/>
      </c>
      <c r="AQT6" s="27" t="str">
        <f>IFERROR(VLOOKUP(DATE($K$1,$K$2,AQT$4),Table1[],(MATCH(Calendar!$A6,DB!1:1,0)+2),FALSE),"")</f>
        <v/>
      </c>
      <c r="AQU6" s="27" t="str">
        <f>IFERROR(VLOOKUP(DATE($K$1,$K$2,AQU$4),Table1[],(MATCH(Calendar!$A6,DB!1:1,0)+2),FALSE),"")</f>
        <v/>
      </c>
      <c r="AQV6" s="27" t="str">
        <f>IFERROR(VLOOKUP(DATE($K$1,$K$2,AQV$4),Table1[],(MATCH(Calendar!$A6,DB!1:1,0)+2),FALSE),"")</f>
        <v/>
      </c>
      <c r="AQW6" s="27" t="str">
        <f>IFERROR(VLOOKUP(DATE($K$1,$K$2,AQW$4),Table1[],(MATCH(Calendar!$A6,DB!1:1,0)+2),FALSE),"")</f>
        <v/>
      </c>
      <c r="AQX6" s="27" t="str">
        <f>IFERROR(VLOOKUP(DATE($K$1,$K$2,AQX$4),Table1[],(MATCH(Calendar!$A6,DB!1:1,0)+2),FALSE),"")</f>
        <v/>
      </c>
      <c r="AQY6" s="27" t="str">
        <f>IFERROR(VLOOKUP(DATE($K$1,$K$2,AQY$4),Table1[],(MATCH(Calendar!$A6,DB!1:1,0)+2),FALSE),"")</f>
        <v/>
      </c>
      <c r="AQZ6" s="27" t="str">
        <f>IFERROR(VLOOKUP(DATE($K$1,$K$2,AQZ$4),Table1[],(MATCH(Calendar!$A6,DB!1:1,0)+2),FALSE),"")</f>
        <v/>
      </c>
      <c r="ARA6" s="27" t="str">
        <f>IFERROR(VLOOKUP(DATE($K$1,$K$2,ARA$4),Table1[],(MATCH(Calendar!$A6,DB!1:1,0)+2),FALSE),"")</f>
        <v/>
      </c>
      <c r="ARB6" s="27" t="str">
        <f>IFERROR(VLOOKUP(DATE($K$1,$K$2,ARB$4),Table1[],(MATCH(Calendar!$A6,DB!1:1,0)+2),FALSE),"")</f>
        <v/>
      </c>
      <c r="ARC6" s="27" t="str">
        <f>IFERROR(VLOOKUP(DATE($K$1,$K$2,ARC$4),Table1[],(MATCH(Calendar!$A6,DB!1:1,0)+2),FALSE),"")</f>
        <v/>
      </c>
      <c r="ARD6" s="27" t="str">
        <f>IFERROR(VLOOKUP(DATE($K$1,$K$2,ARD$4),Table1[],(MATCH(Calendar!$A6,DB!1:1,0)+2),FALSE),"")</f>
        <v/>
      </c>
      <c r="ARE6" s="27" t="str">
        <f>IFERROR(VLOOKUP(DATE($K$1,$K$2,ARE$4),Table1[],(MATCH(Calendar!$A6,DB!1:1,0)+2),FALSE),"")</f>
        <v/>
      </c>
      <c r="ARF6" s="27" t="str">
        <f>IFERROR(VLOOKUP(DATE($K$1,$K$2,ARF$4),Table1[],(MATCH(Calendar!$A6,DB!1:1,0)+2),FALSE),"")</f>
        <v/>
      </c>
      <c r="ARG6" s="27" t="str">
        <f>IFERROR(VLOOKUP(DATE($K$1,$K$2,ARG$4),Table1[],(MATCH(Calendar!$A6,DB!1:1,0)+2),FALSE),"")</f>
        <v/>
      </c>
      <c r="ARH6" s="27" t="str">
        <f>IFERROR(VLOOKUP(DATE($K$1,$K$2,ARH$4),Table1[],(MATCH(Calendar!$A6,DB!1:1,0)+2),FALSE),"")</f>
        <v/>
      </c>
      <c r="ARI6" s="27" t="str">
        <f>IFERROR(VLOOKUP(DATE($K$1,$K$2,ARI$4),Table1[],(MATCH(Calendar!$A6,DB!1:1,0)+2),FALSE),"")</f>
        <v/>
      </c>
      <c r="ARJ6" s="27" t="str">
        <f>IFERROR(VLOOKUP(DATE($K$1,$K$2,ARJ$4),Table1[],(MATCH(Calendar!$A6,DB!1:1,0)+2),FALSE),"")</f>
        <v/>
      </c>
      <c r="ARK6" s="27" t="str">
        <f>IFERROR(VLOOKUP(DATE($K$1,$K$2,ARK$4),Table1[],(MATCH(Calendar!$A6,DB!1:1,0)+2),FALSE),"")</f>
        <v/>
      </c>
      <c r="ARL6" s="27" t="str">
        <f>IFERROR(VLOOKUP(DATE($K$1,$K$2,ARL$4),Table1[],(MATCH(Calendar!$A6,DB!1:1,0)+2),FALSE),"")</f>
        <v/>
      </c>
      <c r="ARM6" s="27" t="str">
        <f>IFERROR(VLOOKUP(DATE($K$1,$K$2,ARM$4),Table1[],(MATCH(Calendar!$A6,DB!1:1,0)+2),FALSE),"")</f>
        <v/>
      </c>
      <c r="ARN6" s="27" t="str">
        <f>IFERROR(VLOOKUP(DATE($K$1,$K$2,ARN$4),Table1[],(MATCH(Calendar!$A6,DB!1:1,0)+2),FALSE),"")</f>
        <v/>
      </c>
      <c r="ARO6" s="27" t="str">
        <f>IFERROR(VLOOKUP(DATE($K$1,$K$2,ARO$4),Table1[],(MATCH(Calendar!$A6,DB!1:1,0)+2),FALSE),"")</f>
        <v/>
      </c>
      <c r="ARP6" s="27" t="str">
        <f>IFERROR(VLOOKUP(DATE($K$1,$K$2,ARP$4),Table1[],(MATCH(Calendar!$A6,DB!1:1,0)+2),FALSE),"")</f>
        <v/>
      </c>
      <c r="ARQ6" s="27" t="str">
        <f>IFERROR(VLOOKUP(DATE($K$1,$K$2,ARQ$4),Table1[],(MATCH(Calendar!$A6,DB!1:1,0)+2),FALSE),"")</f>
        <v/>
      </c>
      <c r="ARR6" s="27" t="str">
        <f>IFERROR(VLOOKUP(DATE($K$1,$K$2,ARR$4),Table1[],(MATCH(Calendar!$A6,DB!1:1,0)+2),FALSE),"")</f>
        <v/>
      </c>
      <c r="ARS6" s="27" t="str">
        <f>IFERROR(VLOOKUP(DATE($K$1,$K$2,ARS$4),Table1[],(MATCH(Calendar!$A6,DB!1:1,0)+2),FALSE),"")</f>
        <v/>
      </c>
      <c r="ART6" s="27" t="str">
        <f>IFERROR(VLOOKUP(DATE($K$1,$K$2,ART$4),Table1[],(MATCH(Calendar!$A6,DB!1:1,0)+2),FALSE),"")</f>
        <v/>
      </c>
      <c r="ARU6" s="27" t="str">
        <f>IFERROR(VLOOKUP(DATE($K$1,$K$2,ARU$4),Table1[],(MATCH(Calendar!$A6,DB!1:1,0)+2),FALSE),"")</f>
        <v/>
      </c>
      <c r="ARV6" s="27" t="str">
        <f>IFERROR(VLOOKUP(DATE($K$1,$K$2,ARV$4),Table1[],(MATCH(Calendar!$A6,DB!1:1,0)+2),FALSE),"")</f>
        <v/>
      </c>
      <c r="ARW6" s="27" t="str">
        <f>IFERROR(VLOOKUP(DATE($K$1,$K$2,ARW$4),Table1[],(MATCH(Calendar!$A6,DB!1:1,0)+2),FALSE),"")</f>
        <v/>
      </c>
      <c r="ARX6" s="27" t="str">
        <f>IFERROR(VLOOKUP(DATE($K$1,$K$2,ARX$4),Table1[],(MATCH(Calendar!$A6,DB!1:1,0)+2),FALSE),"")</f>
        <v/>
      </c>
      <c r="ARY6" s="27" t="str">
        <f>IFERROR(VLOOKUP(DATE($K$1,$K$2,ARY$4),Table1[],(MATCH(Calendar!$A6,DB!1:1,0)+2),FALSE),"")</f>
        <v/>
      </c>
      <c r="ARZ6" s="27" t="str">
        <f>IFERROR(VLOOKUP(DATE($K$1,$K$2,ARZ$4),Table1[],(MATCH(Calendar!$A6,DB!1:1,0)+2),FALSE),"")</f>
        <v/>
      </c>
      <c r="ASA6" s="27" t="str">
        <f>IFERROR(VLOOKUP(DATE($K$1,$K$2,ASA$4),Table1[],(MATCH(Calendar!$A6,DB!1:1,0)+2),FALSE),"")</f>
        <v/>
      </c>
      <c r="ASB6" s="27" t="str">
        <f>IFERROR(VLOOKUP(DATE($K$1,$K$2,ASB$4),Table1[],(MATCH(Calendar!$A6,DB!1:1,0)+2),FALSE),"")</f>
        <v/>
      </c>
      <c r="ASC6" s="27" t="str">
        <f>IFERROR(VLOOKUP(DATE($K$1,$K$2,ASC$4),Table1[],(MATCH(Calendar!$A6,DB!1:1,0)+2),FALSE),"")</f>
        <v/>
      </c>
      <c r="ASD6" s="27" t="str">
        <f>IFERROR(VLOOKUP(DATE($K$1,$K$2,ASD$4),Table1[],(MATCH(Calendar!$A6,DB!1:1,0)+2),FALSE),"")</f>
        <v/>
      </c>
      <c r="ASE6" s="27" t="str">
        <f>IFERROR(VLOOKUP(DATE($K$1,$K$2,ASE$4),Table1[],(MATCH(Calendar!$A6,DB!1:1,0)+2),FALSE),"")</f>
        <v/>
      </c>
      <c r="ASF6" s="27" t="str">
        <f>IFERROR(VLOOKUP(DATE($K$1,$K$2,ASF$4),Table1[],(MATCH(Calendar!$A6,DB!1:1,0)+2),FALSE),"")</f>
        <v/>
      </c>
      <c r="ASG6" s="27" t="str">
        <f>IFERROR(VLOOKUP(DATE($K$1,$K$2,ASG$4),Table1[],(MATCH(Calendar!$A6,DB!1:1,0)+2),FALSE),"")</f>
        <v/>
      </c>
      <c r="ASH6" s="27" t="str">
        <f>IFERROR(VLOOKUP(DATE($K$1,$K$2,ASH$4),Table1[],(MATCH(Calendar!$A6,DB!1:1,0)+2),FALSE),"")</f>
        <v/>
      </c>
      <c r="ASI6" s="27" t="str">
        <f>IFERROR(VLOOKUP(DATE($K$1,$K$2,ASI$4),Table1[],(MATCH(Calendar!$A6,DB!1:1,0)+2),FALSE),"")</f>
        <v/>
      </c>
      <c r="ASJ6" s="27" t="str">
        <f>IFERROR(VLOOKUP(DATE($K$1,$K$2,ASJ$4),Table1[],(MATCH(Calendar!$A6,DB!1:1,0)+2),FALSE),"")</f>
        <v/>
      </c>
      <c r="ASK6" s="27" t="str">
        <f>IFERROR(VLOOKUP(DATE($K$1,$K$2,ASK$4),Table1[],(MATCH(Calendar!$A6,DB!1:1,0)+2),FALSE),"")</f>
        <v/>
      </c>
      <c r="ASL6" s="27" t="str">
        <f>IFERROR(VLOOKUP(DATE($K$1,$K$2,ASL$4),Table1[],(MATCH(Calendar!$A6,DB!1:1,0)+2),FALSE),"")</f>
        <v/>
      </c>
      <c r="ASM6" s="27" t="str">
        <f>IFERROR(VLOOKUP(DATE($K$1,$K$2,ASM$4),Table1[],(MATCH(Calendar!$A6,DB!1:1,0)+2),FALSE),"")</f>
        <v/>
      </c>
      <c r="ASN6" s="27" t="str">
        <f>IFERROR(VLOOKUP(DATE($K$1,$K$2,ASN$4),Table1[],(MATCH(Calendar!$A6,DB!1:1,0)+2),FALSE),"")</f>
        <v/>
      </c>
      <c r="ASO6" s="27" t="str">
        <f>IFERROR(VLOOKUP(DATE($K$1,$K$2,ASO$4),Table1[],(MATCH(Calendar!$A6,DB!1:1,0)+2),FALSE),"")</f>
        <v/>
      </c>
      <c r="ASP6" s="27" t="str">
        <f>IFERROR(VLOOKUP(DATE($K$1,$K$2,ASP$4),Table1[],(MATCH(Calendar!$A6,DB!1:1,0)+2),FALSE),"")</f>
        <v/>
      </c>
      <c r="ASQ6" s="27" t="str">
        <f>IFERROR(VLOOKUP(DATE($K$1,$K$2,ASQ$4),Table1[],(MATCH(Calendar!$A6,DB!1:1,0)+2),FALSE),"")</f>
        <v/>
      </c>
      <c r="ASR6" s="27" t="str">
        <f>IFERROR(VLOOKUP(DATE($K$1,$K$2,ASR$4),Table1[],(MATCH(Calendar!$A6,DB!1:1,0)+2),FALSE),"")</f>
        <v/>
      </c>
      <c r="ASS6" s="27" t="str">
        <f>IFERROR(VLOOKUP(DATE($K$1,$K$2,ASS$4),Table1[],(MATCH(Calendar!$A6,DB!1:1,0)+2),FALSE),"")</f>
        <v/>
      </c>
      <c r="AST6" s="27" t="str">
        <f>IFERROR(VLOOKUP(DATE($K$1,$K$2,AST$4),Table1[],(MATCH(Calendar!$A6,DB!1:1,0)+2),FALSE),"")</f>
        <v/>
      </c>
      <c r="ASU6" s="27" t="str">
        <f>IFERROR(VLOOKUP(DATE($K$1,$K$2,ASU$4),Table1[],(MATCH(Calendar!$A6,DB!1:1,0)+2),FALSE),"")</f>
        <v/>
      </c>
      <c r="ASV6" s="27" t="str">
        <f>IFERROR(VLOOKUP(DATE($K$1,$K$2,ASV$4),Table1[],(MATCH(Calendar!$A6,DB!1:1,0)+2),FALSE),"")</f>
        <v/>
      </c>
      <c r="ASW6" s="27" t="str">
        <f>IFERROR(VLOOKUP(DATE($K$1,$K$2,ASW$4),Table1[],(MATCH(Calendar!$A6,DB!1:1,0)+2),FALSE),"")</f>
        <v/>
      </c>
      <c r="ASX6" s="27" t="str">
        <f>IFERROR(VLOOKUP(DATE($K$1,$K$2,ASX$4),Table1[],(MATCH(Calendar!$A6,DB!1:1,0)+2),FALSE),"")</f>
        <v/>
      </c>
      <c r="ASY6" s="27" t="str">
        <f>IFERROR(VLOOKUP(DATE($K$1,$K$2,ASY$4),Table1[],(MATCH(Calendar!$A6,DB!1:1,0)+2),FALSE),"")</f>
        <v/>
      </c>
      <c r="ASZ6" s="27" t="str">
        <f>IFERROR(VLOOKUP(DATE($K$1,$K$2,ASZ$4),Table1[],(MATCH(Calendar!$A6,DB!1:1,0)+2),FALSE),"")</f>
        <v/>
      </c>
      <c r="ATA6" s="27" t="str">
        <f>IFERROR(VLOOKUP(DATE($K$1,$K$2,ATA$4),Table1[],(MATCH(Calendar!$A6,DB!1:1,0)+2),FALSE),"")</f>
        <v/>
      </c>
      <c r="ATB6" s="27" t="str">
        <f>IFERROR(VLOOKUP(DATE($K$1,$K$2,ATB$4),Table1[],(MATCH(Calendar!$A6,DB!1:1,0)+2),FALSE),"")</f>
        <v/>
      </c>
      <c r="ATC6" s="27" t="str">
        <f>IFERROR(VLOOKUP(DATE($K$1,$K$2,ATC$4),Table1[],(MATCH(Calendar!$A6,DB!1:1,0)+2),FALSE),"")</f>
        <v/>
      </c>
      <c r="ATD6" s="27" t="str">
        <f>IFERROR(VLOOKUP(DATE($K$1,$K$2,ATD$4),Table1[],(MATCH(Calendar!$A6,DB!1:1,0)+2),FALSE),"")</f>
        <v/>
      </c>
      <c r="ATE6" s="27" t="str">
        <f>IFERROR(VLOOKUP(DATE($K$1,$K$2,ATE$4),Table1[],(MATCH(Calendar!$A6,DB!1:1,0)+2),FALSE),"")</f>
        <v/>
      </c>
      <c r="ATF6" s="27" t="str">
        <f>IFERROR(VLOOKUP(DATE($K$1,$K$2,ATF$4),Table1[],(MATCH(Calendar!$A6,DB!1:1,0)+2),FALSE),"")</f>
        <v/>
      </c>
      <c r="ATG6" s="27" t="str">
        <f>IFERROR(VLOOKUP(DATE($K$1,$K$2,ATG$4),Table1[],(MATCH(Calendar!$A6,DB!1:1,0)+2),FALSE),"")</f>
        <v/>
      </c>
      <c r="ATH6" s="27" t="str">
        <f>IFERROR(VLOOKUP(DATE($K$1,$K$2,ATH$4),Table1[],(MATCH(Calendar!$A6,DB!1:1,0)+2),FALSE),"")</f>
        <v/>
      </c>
      <c r="ATI6" s="27" t="str">
        <f>IFERROR(VLOOKUP(DATE($K$1,$K$2,ATI$4),Table1[],(MATCH(Calendar!$A6,DB!1:1,0)+2),FALSE),"")</f>
        <v/>
      </c>
      <c r="ATJ6" s="27" t="str">
        <f>IFERROR(VLOOKUP(DATE($K$1,$K$2,ATJ$4),Table1[],(MATCH(Calendar!$A6,DB!1:1,0)+2),FALSE),"")</f>
        <v/>
      </c>
      <c r="ATK6" s="27" t="str">
        <f>IFERROR(VLOOKUP(DATE($K$1,$K$2,ATK$4),Table1[],(MATCH(Calendar!$A6,DB!1:1,0)+2),FALSE),"")</f>
        <v/>
      </c>
      <c r="ATL6" s="27" t="str">
        <f>IFERROR(VLOOKUP(DATE($K$1,$K$2,ATL$4),Table1[],(MATCH(Calendar!$A6,DB!1:1,0)+2),FALSE),"")</f>
        <v/>
      </c>
      <c r="ATM6" s="27" t="str">
        <f>IFERROR(VLOOKUP(DATE($K$1,$K$2,ATM$4),Table1[],(MATCH(Calendar!$A6,DB!1:1,0)+2),FALSE),"")</f>
        <v/>
      </c>
      <c r="ATN6" s="27" t="str">
        <f>IFERROR(VLOOKUP(DATE($K$1,$K$2,ATN$4),Table1[],(MATCH(Calendar!$A6,DB!1:1,0)+2),FALSE),"")</f>
        <v/>
      </c>
      <c r="ATO6" s="27" t="str">
        <f>IFERROR(VLOOKUP(DATE($K$1,$K$2,ATO$4),Table1[],(MATCH(Calendar!$A6,DB!1:1,0)+2),FALSE),"")</f>
        <v/>
      </c>
      <c r="ATP6" s="27" t="str">
        <f>IFERROR(VLOOKUP(DATE($K$1,$K$2,ATP$4),Table1[],(MATCH(Calendar!$A6,DB!1:1,0)+2),FALSE),"")</f>
        <v/>
      </c>
      <c r="ATQ6" s="27" t="str">
        <f>IFERROR(VLOOKUP(DATE($K$1,$K$2,ATQ$4),Table1[],(MATCH(Calendar!$A6,DB!1:1,0)+2),FALSE),"")</f>
        <v/>
      </c>
      <c r="ATR6" s="27" t="str">
        <f>IFERROR(VLOOKUP(DATE($K$1,$K$2,ATR$4),Table1[],(MATCH(Calendar!$A6,DB!1:1,0)+2),FALSE),"")</f>
        <v/>
      </c>
      <c r="ATS6" s="27" t="str">
        <f>IFERROR(VLOOKUP(DATE($K$1,$K$2,ATS$4),Table1[],(MATCH(Calendar!$A6,DB!1:1,0)+2),FALSE),"")</f>
        <v/>
      </c>
      <c r="ATT6" s="27" t="str">
        <f>IFERROR(VLOOKUP(DATE($K$1,$K$2,ATT$4),Table1[],(MATCH(Calendar!$A6,DB!1:1,0)+2),FALSE),"")</f>
        <v/>
      </c>
      <c r="ATU6" s="27" t="str">
        <f>IFERROR(VLOOKUP(DATE($K$1,$K$2,ATU$4),Table1[],(MATCH(Calendar!$A6,DB!1:1,0)+2),FALSE),"")</f>
        <v/>
      </c>
      <c r="ATV6" s="27" t="str">
        <f>IFERROR(VLOOKUP(DATE($K$1,$K$2,ATV$4),Table1[],(MATCH(Calendar!$A6,DB!1:1,0)+2),FALSE),"")</f>
        <v/>
      </c>
      <c r="ATW6" s="27" t="str">
        <f>IFERROR(VLOOKUP(DATE($K$1,$K$2,ATW$4),Table1[],(MATCH(Calendar!$A6,DB!1:1,0)+2),FALSE),"")</f>
        <v/>
      </c>
      <c r="ATX6" s="27" t="str">
        <f>IFERROR(VLOOKUP(DATE($K$1,$K$2,ATX$4),Table1[],(MATCH(Calendar!$A6,DB!1:1,0)+2),FALSE),"")</f>
        <v/>
      </c>
      <c r="ATY6" s="27" t="str">
        <f>IFERROR(VLOOKUP(DATE($K$1,$K$2,ATY$4),Table1[],(MATCH(Calendar!$A6,DB!1:1,0)+2),FALSE),"")</f>
        <v/>
      </c>
      <c r="ATZ6" s="27" t="str">
        <f>IFERROR(VLOOKUP(DATE($K$1,$K$2,ATZ$4),Table1[],(MATCH(Calendar!$A6,DB!1:1,0)+2),FALSE),"")</f>
        <v/>
      </c>
      <c r="AUA6" s="27" t="str">
        <f>IFERROR(VLOOKUP(DATE($K$1,$K$2,AUA$4),Table1[],(MATCH(Calendar!$A6,DB!1:1,0)+2),FALSE),"")</f>
        <v/>
      </c>
      <c r="AUB6" s="27" t="str">
        <f>IFERROR(VLOOKUP(DATE($K$1,$K$2,AUB$4),Table1[],(MATCH(Calendar!$A6,DB!1:1,0)+2),FALSE),"")</f>
        <v/>
      </c>
      <c r="AUC6" s="27" t="str">
        <f>IFERROR(VLOOKUP(DATE($K$1,$K$2,AUC$4),Table1[],(MATCH(Calendar!$A6,DB!1:1,0)+2),FALSE),"")</f>
        <v/>
      </c>
      <c r="AUD6" s="27" t="str">
        <f>IFERROR(VLOOKUP(DATE($K$1,$K$2,AUD$4),Table1[],(MATCH(Calendar!$A6,DB!1:1,0)+2),FALSE),"")</f>
        <v/>
      </c>
      <c r="AUE6" s="27" t="str">
        <f>IFERROR(VLOOKUP(DATE($K$1,$K$2,AUE$4),Table1[],(MATCH(Calendar!$A6,DB!1:1,0)+2),FALSE),"")</f>
        <v/>
      </c>
      <c r="AUF6" s="27" t="str">
        <f>IFERROR(VLOOKUP(DATE($K$1,$K$2,AUF$4),Table1[],(MATCH(Calendar!$A6,DB!1:1,0)+2),FALSE),"")</f>
        <v/>
      </c>
      <c r="AUG6" s="27" t="str">
        <f>IFERROR(VLOOKUP(DATE($K$1,$K$2,AUG$4),Table1[],(MATCH(Calendar!$A6,DB!1:1,0)+2),FALSE),"")</f>
        <v/>
      </c>
      <c r="AUH6" s="27" t="str">
        <f>IFERROR(VLOOKUP(DATE($K$1,$K$2,AUH$4),Table1[],(MATCH(Calendar!$A6,DB!1:1,0)+2),FALSE),"")</f>
        <v/>
      </c>
      <c r="AUI6" s="27" t="str">
        <f>IFERROR(VLOOKUP(DATE($K$1,$K$2,AUI$4),Table1[],(MATCH(Calendar!$A6,DB!1:1,0)+2),FALSE),"")</f>
        <v/>
      </c>
      <c r="AUJ6" s="27" t="str">
        <f>IFERROR(VLOOKUP(DATE($K$1,$K$2,AUJ$4),Table1[],(MATCH(Calendar!$A6,DB!1:1,0)+2),FALSE),"")</f>
        <v/>
      </c>
      <c r="AUK6" s="27" t="str">
        <f>IFERROR(VLOOKUP(DATE($K$1,$K$2,AUK$4),Table1[],(MATCH(Calendar!$A6,DB!1:1,0)+2),FALSE),"")</f>
        <v/>
      </c>
      <c r="AUL6" s="27" t="str">
        <f>IFERROR(VLOOKUP(DATE($K$1,$K$2,AUL$4),Table1[],(MATCH(Calendar!$A6,DB!1:1,0)+2),FALSE),"")</f>
        <v/>
      </c>
      <c r="AUM6" s="27" t="str">
        <f>IFERROR(VLOOKUP(DATE($K$1,$K$2,AUM$4),Table1[],(MATCH(Calendar!$A6,DB!1:1,0)+2),FALSE),"")</f>
        <v/>
      </c>
      <c r="AUN6" s="27" t="str">
        <f>IFERROR(VLOOKUP(DATE($K$1,$K$2,AUN$4),Table1[],(MATCH(Calendar!$A6,DB!1:1,0)+2),FALSE),"")</f>
        <v/>
      </c>
      <c r="AUO6" s="27" t="str">
        <f>IFERROR(VLOOKUP(DATE($K$1,$K$2,AUO$4),Table1[],(MATCH(Calendar!$A6,DB!1:1,0)+2),FALSE),"")</f>
        <v/>
      </c>
      <c r="AUP6" s="27" t="str">
        <f>IFERROR(VLOOKUP(DATE($K$1,$K$2,AUP$4),Table1[],(MATCH(Calendar!$A6,DB!1:1,0)+2),FALSE),"")</f>
        <v/>
      </c>
      <c r="AUQ6" s="27" t="str">
        <f>IFERROR(VLOOKUP(DATE($K$1,$K$2,AUQ$4),Table1[],(MATCH(Calendar!$A6,DB!1:1,0)+2),FALSE),"")</f>
        <v/>
      </c>
      <c r="AUR6" s="27" t="str">
        <f>IFERROR(VLOOKUP(DATE($K$1,$K$2,AUR$4),Table1[],(MATCH(Calendar!$A6,DB!1:1,0)+2),FALSE),"")</f>
        <v/>
      </c>
      <c r="AUS6" s="27" t="str">
        <f>IFERROR(VLOOKUP(DATE($K$1,$K$2,AUS$4),Table1[],(MATCH(Calendar!$A6,DB!1:1,0)+2),FALSE),"")</f>
        <v/>
      </c>
      <c r="AUT6" s="27" t="str">
        <f>IFERROR(VLOOKUP(DATE($K$1,$K$2,AUT$4),Table1[],(MATCH(Calendar!$A6,DB!1:1,0)+2),FALSE),"")</f>
        <v/>
      </c>
      <c r="AUU6" s="27" t="str">
        <f>IFERROR(VLOOKUP(DATE($K$1,$K$2,AUU$4),Table1[],(MATCH(Calendar!$A6,DB!1:1,0)+2),FALSE),"")</f>
        <v/>
      </c>
      <c r="AUV6" s="27" t="str">
        <f>IFERROR(VLOOKUP(DATE($K$1,$K$2,AUV$4),Table1[],(MATCH(Calendar!$A6,DB!1:1,0)+2),FALSE),"")</f>
        <v/>
      </c>
      <c r="AUW6" s="27" t="str">
        <f>IFERROR(VLOOKUP(DATE($K$1,$K$2,AUW$4),Table1[],(MATCH(Calendar!$A6,DB!1:1,0)+2),FALSE),"")</f>
        <v/>
      </c>
      <c r="AUX6" s="27" t="str">
        <f>IFERROR(VLOOKUP(DATE($K$1,$K$2,AUX$4),Table1[],(MATCH(Calendar!$A6,DB!1:1,0)+2),FALSE),"")</f>
        <v/>
      </c>
      <c r="AUY6" s="27" t="str">
        <f>IFERROR(VLOOKUP(DATE($K$1,$K$2,AUY$4),Table1[],(MATCH(Calendar!$A6,DB!1:1,0)+2),FALSE),"")</f>
        <v/>
      </c>
      <c r="AUZ6" s="27" t="str">
        <f>IFERROR(VLOOKUP(DATE($K$1,$K$2,AUZ$4),Table1[],(MATCH(Calendar!$A6,DB!1:1,0)+2),FALSE),"")</f>
        <v/>
      </c>
      <c r="AVA6" s="27" t="str">
        <f>IFERROR(VLOOKUP(DATE($K$1,$K$2,AVA$4),Table1[],(MATCH(Calendar!$A6,DB!1:1,0)+2),FALSE),"")</f>
        <v/>
      </c>
      <c r="AVB6" s="27" t="str">
        <f>IFERROR(VLOOKUP(DATE($K$1,$K$2,AVB$4),Table1[],(MATCH(Calendar!$A6,DB!1:1,0)+2),FALSE),"")</f>
        <v/>
      </c>
      <c r="AVC6" s="27" t="str">
        <f>IFERROR(VLOOKUP(DATE($K$1,$K$2,AVC$4),Table1[],(MATCH(Calendar!$A6,DB!1:1,0)+2),FALSE),"")</f>
        <v/>
      </c>
      <c r="AVD6" s="27" t="str">
        <f>IFERROR(VLOOKUP(DATE($K$1,$K$2,AVD$4),Table1[],(MATCH(Calendar!$A6,DB!1:1,0)+2),FALSE),"")</f>
        <v/>
      </c>
      <c r="AVE6" s="27" t="str">
        <f>IFERROR(VLOOKUP(DATE($K$1,$K$2,AVE$4),Table1[],(MATCH(Calendar!$A6,DB!1:1,0)+2),FALSE),"")</f>
        <v/>
      </c>
      <c r="AVF6" s="27" t="str">
        <f>IFERROR(VLOOKUP(DATE($K$1,$K$2,AVF$4),Table1[],(MATCH(Calendar!$A6,DB!1:1,0)+2),FALSE),"")</f>
        <v/>
      </c>
      <c r="AVG6" s="27" t="str">
        <f>IFERROR(VLOOKUP(DATE($K$1,$K$2,AVG$4),Table1[],(MATCH(Calendar!$A6,DB!1:1,0)+2),FALSE),"")</f>
        <v/>
      </c>
      <c r="AVH6" s="27" t="str">
        <f>IFERROR(VLOOKUP(DATE($K$1,$K$2,AVH$4),Table1[],(MATCH(Calendar!$A6,DB!1:1,0)+2),FALSE),"")</f>
        <v/>
      </c>
      <c r="AVI6" s="27" t="str">
        <f>IFERROR(VLOOKUP(DATE($K$1,$K$2,AVI$4),Table1[],(MATCH(Calendar!$A6,DB!1:1,0)+2),FALSE),"")</f>
        <v/>
      </c>
      <c r="AVJ6" s="27" t="str">
        <f>IFERROR(VLOOKUP(DATE($K$1,$K$2,AVJ$4),Table1[],(MATCH(Calendar!$A6,DB!1:1,0)+2),FALSE),"")</f>
        <v/>
      </c>
      <c r="AVK6" s="27" t="str">
        <f>IFERROR(VLOOKUP(DATE($K$1,$K$2,AVK$4),Table1[],(MATCH(Calendar!$A6,DB!1:1,0)+2),FALSE),"")</f>
        <v/>
      </c>
      <c r="AVL6" s="27" t="str">
        <f>IFERROR(VLOOKUP(DATE($K$1,$K$2,AVL$4),Table1[],(MATCH(Calendar!$A6,DB!1:1,0)+2),FALSE),"")</f>
        <v/>
      </c>
      <c r="AVM6" s="27" t="str">
        <f>IFERROR(VLOOKUP(DATE($K$1,$K$2,AVM$4),Table1[],(MATCH(Calendar!$A6,DB!1:1,0)+2),FALSE),"")</f>
        <v/>
      </c>
      <c r="AVN6" s="27" t="str">
        <f>IFERROR(VLOOKUP(DATE($K$1,$K$2,AVN$4),Table1[],(MATCH(Calendar!$A6,DB!1:1,0)+2),FALSE),"")</f>
        <v/>
      </c>
      <c r="AVO6" s="27" t="str">
        <f>IFERROR(VLOOKUP(DATE($K$1,$K$2,AVO$4),Table1[],(MATCH(Calendar!$A6,DB!1:1,0)+2),FALSE),"")</f>
        <v/>
      </c>
      <c r="AVP6" s="27" t="str">
        <f>IFERROR(VLOOKUP(DATE($K$1,$K$2,AVP$4),Table1[],(MATCH(Calendar!$A6,DB!1:1,0)+2),FALSE),"")</f>
        <v/>
      </c>
      <c r="AVQ6" s="27" t="str">
        <f>IFERROR(VLOOKUP(DATE($K$1,$K$2,AVQ$4),Table1[],(MATCH(Calendar!$A6,DB!1:1,0)+2),FALSE),"")</f>
        <v/>
      </c>
      <c r="AVR6" s="27" t="str">
        <f>IFERROR(VLOOKUP(DATE($K$1,$K$2,AVR$4),Table1[],(MATCH(Calendar!$A6,DB!1:1,0)+2),FALSE),"")</f>
        <v/>
      </c>
      <c r="AVS6" s="27" t="str">
        <f>IFERROR(VLOOKUP(DATE($K$1,$K$2,AVS$4),Table1[],(MATCH(Calendar!$A6,DB!1:1,0)+2),FALSE),"")</f>
        <v/>
      </c>
      <c r="AVT6" s="27" t="str">
        <f>IFERROR(VLOOKUP(DATE($K$1,$K$2,AVT$4),Table1[],(MATCH(Calendar!$A6,DB!1:1,0)+2),FALSE),"")</f>
        <v/>
      </c>
      <c r="AVU6" s="27" t="str">
        <f>IFERROR(VLOOKUP(DATE($K$1,$K$2,AVU$4),Table1[],(MATCH(Calendar!$A6,DB!1:1,0)+2),FALSE),"")</f>
        <v/>
      </c>
      <c r="AVV6" s="27" t="str">
        <f>IFERROR(VLOOKUP(DATE($K$1,$K$2,AVV$4),Table1[],(MATCH(Calendar!$A6,DB!1:1,0)+2),FALSE),"")</f>
        <v/>
      </c>
      <c r="AVW6" s="27" t="str">
        <f>IFERROR(VLOOKUP(DATE($K$1,$K$2,AVW$4),Table1[],(MATCH(Calendar!$A6,DB!1:1,0)+2),FALSE),"")</f>
        <v/>
      </c>
      <c r="AVX6" s="27" t="str">
        <f>IFERROR(VLOOKUP(DATE($K$1,$K$2,AVX$4),Table1[],(MATCH(Calendar!$A6,DB!1:1,0)+2),FALSE),"")</f>
        <v/>
      </c>
      <c r="AVY6" s="27" t="str">
        <f>IFERROR(VLOOKUP(DATE($K$1,$K$2,AVY$4),Table1[],(MATCH(Calendar!$A6,DB!1:1,0)+2),FALSE),"")</f>
        <v/>
      </c>
      <c r="AVZ6" s="27" t="str">
        <f>IFERROR(VLOOKUP(DATE($K$1,$K$2,AVZ$4),Table1[],(MATCH(Calendar!$A6,DB!1:1,0)+2),FALSE),"")</f>
        <v/>
      </c>
      <c r="AWA6" s="27" t="str">
        <f>IFERROR(VLOOKUP(DATE($K$1,$K$2,AWA$4),Table1[],(MATCH(Calendar!$A6,DB!1:1,0)+2),FALSE),"")</f>
        <v/>
      </c>
      <c r="AWB6" s="27" t="str">
        <f>IFERROR(VLOOKUP(DATE($K$1,$K$2,AWB$4),Table1[],(MATCH(Calendar!$A6,DB!1:1,0)+2),FALSE),"")</f>
        <v/>
      </c>
      <c r="AWC6" s="27" t="str">
        <f>IFERROR(VLOOKUP(DATE($K$1,$K$2,AWC$4),Table1[],(MATCH(Calendar!$A6,DB!1:1,0)+2),FALSE),"")</f>
        <v/>
      </c>
      <c r="AWD6" s="27" t="str">
        <f>IFERROR(VLOOKUP(DATE($K$1,$K$2,AWD$4),Table1[],(MATCH(Calendar!$A6,DB!1:1,0)+2),FALSE),"")</f>
        <v/>
      </c>
      <c r="AWE6" s="27" t="str">
        <f>IFERROR(VLOOKUP(DATE($K$1,$K$2,AWE$4),Table1[],(MATCH(Calendar!$A6,DB!1:1,0)+2),FALSE),"")</f>
        <v/>
      </c>
      <c r="AWF6" s="27" t="str">
        <f>IFERROR(VLOOKUP(DATE($K$1,$K$2,AWF$4),Table1[],(MATCH(Calendar!$A6,DB!1:1,0)+2),FALSE),"")</f>
        <v/>
      </c>
      <c r="AWG6" s="27" t="str">
        <f>IFERROR(VLOOKUP(DATE($K$1,$K$2,AWG$4),Table1[],(MATCH(Calendar!$A6,DB!1:1,0)+2),FALSE),"")</f>
        <v/>
      </c>
      <c r="AWH6" s="27" t="str">
        <f>IFERROR(VLOOKUP(DATE($K$1,$K$2,AWH$4),Table1[],(MATCH(Calendar!$A6,DB!1:1,0)+2),FALSE),"")</f>
        <v/>
      </c>
      <c r="AWI6" s="27" t="str">
        <f>IFERROR(VLOOKUP(DATE($K$1,$K$2,AWI$4),Table1[],(MATCH(Calendar!$A6,DB!1:1,0)+2),FALSE),"")</f>
        <v/>
      </c>
      <c r="AWJ6" s="27" t="str">
        <f>IFERROR(VLOOKUP(DATE($K$1,$K$2,AWJ$4),Table1[],(MATCH(Calendar!$A6,DB!1:1,0)+2),FALSE),"")</f>
        <v/>
      </c>
      <c r="AWK6" s="27" t="str">
        <f>IFERROR(VLOOKUP(DATE($K$1,$K$2,AWK$4),Table1[],(MATCH(Calendar!$A6,DB!1:1,0)+2),FALSE),"")</f>
        <v/>
      </c>
      <c r="AWL6" s="27" t="str">
        <f>IFERROR(VLOOKUP(DATE($K$1,$K$2,AWL$4),Table1[],(MATCH(Calendar!$A6,DB!1:1,0)+2),FALSE),"")</f>
        <v/>
      </c>
      <c r="AWM6" s="27" t="str">
        <f>IFERROR(VLOOKUP(DATE($K$1,$K$2,AWM$4),Table1[],(MATCH(Calendar!$A6,DB!1:1,0)+2),FALSE),"")</f>
        <v/>
      </c>
      <c r="AWN6" s="27" t="str">
        <f>IFERROR(VLOOKUP(DATE($K$1,$K$2,AWN$4),Table1[],(MATCH(Calendar!$A6,DB!1:1,0)+2),FALSE),"")</f>
        <v/>
      </c>
      <c r="AWO6" s="27" t="str">
        <f>IFERROR(VLOOKUP(DATE($K$1,$K$2,AWO$4),Table1[],(MATCH(Calendar!$A6,DB!1:1,0)+2),FALSE),"")</f>
        <v/>
      </c>
      <c r="AWP6" s="27" t="str">
        <f>IFERROR(VLOOKUP(DATE($K$1,$K$2,AWP$4),Table1[],(MATCH(Calendar!$A6,DB!1:1,0)+2),FALSE),"")</f>
        <v/>
      </c>
      <c r="AWQ6" s="27" t="str">
        <f>IFERROR(VLOOKUP(DATE($K$1,$K$2,AWQ$4),Table1[],(MATCH(Calendar!$A6,DB!1:1,0)+2),FALSE),"")</f>
        <v/>
      </c>
      <c r="AWR6" s="27" t="str">
        <f>IFERROR(VLOOKUP(DATE($K$1,$K$2,AWR$4),Table1[],(MATCH(Calendar!$A6,DB!1:1,0)+2),FALSE),"")</f>
        <v/>
      </c>
      <c r="AWS6" s="27" t="str">
        <f>IFERROR(VLOOKUP(DATE($K$1,$K$2,AWS$4),Table1[],(MATCH(Calendar!$A6,DB!1:1,0)+2),FALSE),"")</f>
        <v/>
      </c>
      <c r="AWT6" s="27" t="str">
        <f>IFERROR(VLOOKUP(DATE($K$1,$K$2,AWT$4),Table1[],(MATCH(Calendar!$A6,DB!1:1,0)+2),FALSE),"")</f>
        <v/>
      </c>
      <c r="AWU6" s="27" t="str">
        <f>IFERROR(VLOOKUP(DATE($K$1,$K$2,AWU$4),Table1[],(MATCH(Calendar!$A6,DB!1:1,0)+2),FALSE),"")</f>
        <v/>
      </c>
      <c r="AWV6" s="27" t="str">
        <f>IFERROR(VLOOKUP(DATE($K$1,$K$2,AWV$4),Table1[],(MATCH(Calendar!$A6,DB!1:1,0)+2),FALSE),"")</f>
        <v/>
      </c>
      <c r="AWW6" s="27" t="str">
        <f>IFERROR(VLOOKUP(DATE($K$1,$K$2,AWW$4),Table1[],(MATCH(Calendar!$A6,DB!1:1,0)+2),FALSE),"")</f>
        <v/>
      </c>
      <c r="AWX6" s="27" t="str">
        <f>IFERROR(VLOOKUP(DATE($K$1,$K$2,AWX$4),Table1[],(MATCH(Calendar!$A6,DB!1:1,0)+2),FALSE),"")</f>
        <v/>
      </c>
      <c r="AWY6" s="27" t="str">
        <f>IFERROR(VLOOKUP(DATE($K$1,$K$2,AWY$4),Table1[],(MATCH(Calendar!$A6,DB!1:1,0)+2),FALSE),"")</f>
        <v/>
      </c>
      <c r="AWZ6" s="27" t="str">
        <f>IFERROR(VLOOKUP(DATE($K$1,$K$2,AWZ$4),Table1[],(MATCH(Calendar!$A6,DB!1:1,0)+2),FALSE),"")</f>
        <v/>
      </c>
      <c r="AXA6" s="27" t="str">
        <f>IFERROR(VLOOKUP(DATE($K$1,$K$2,AXA$4),Table1[],(MATCH(Calendar!$A6,DB!1:1,0)+2),FALSE),"")</f>
        <v/>
      </c>
      <c r="AXB6" s="27" t="str">
        <f>IFERROR(VLOOKUP(DATE($K$1,$K$2,AXB$4),Table1[],(MATCH(Calendar!$A6,DB!1:1,0)+2),FALSE),"")</f>
        <v/>
      </c>
      <c r="AXC6" s="27" t="str">
        <f>IFERROR(VLOOKUP(DATE($K$1,$K$2,AXC$4),Table1[],(MATCH(Calendar!$A6,DB!1:1,0)+2),FALSE),"")</f>
        <v/>
      </c>
      <c r="AXD6" s="27" t="str">
        <f>IFERROR(VLOOKUP(DATE($K$1,$K$2,AXD$4),Table1[],(MATCH(Calendar!$A6,DB!1:1,0)+2),FALSE),"")</f>
        <v/>
      </c>
      <c r="AXE6" s="27" t="str">
        <f>IFERROR(VLOOKUP(DATE($K$1,$K$2,AXE$4),Table1[],(MATCH(Calendar!$A6,DB!1:1,0)+2),FALSE),"")</f>
        <v/>
      </c>
      <c r="AXF6" s="27" t="str">
        <f>IFERROR(VLOOKUP(DATE($K$1,$K$2,AXF$4),Table1[],(MATCH(Calendar!$A6,DB!1:1,0)+2),FALSE),"")</f>
        <v/>
      </c>
      <c r="AXG6" s="27" t="str">
        <f>IFERROR(VLOOKUP(DATE($K$1,$K$2,AXG$4),Table1[],(MATCH(Calendar!$A6,DB!1:1,0)+2),FALSE),"")</f>
        <v/>
      </c>
      <c r="AXH6" s="27" t="str">
        <f>IFERROR(VLOOKUP(DATE($K$1,$K$2,AXH$4),Table1[],(MATCH(Calendar!$A6,DB!1:1,0)+2),FALSE),"")</f>
        <v/>
      </c>
      <c r="AXI6" s="27" t="str">
        <f>IFERROR(VLOOKUP(DATE($K$1,$K$2,AXI$4),Table1[],(MATCH(Calendar!$A6,DB!1:1,0)+2),FALSE),"")</f>
        <v/>
      </c>
      <c r="AXJ6" s="27" t="str">
        <f>IFERROR(VLOOKUP(DATE($K$1,$K$2,AXJ$4),Table1[],(MATCH(Calendar!$A6,DB!1:1,0)+2),FALSE),"")</f>
        <v/>
      </c>
      <c r="AXK6" s="27" t="str">
        <f>IFERROR(VLOOKUP(DATE($K$1,$K$2,AXK$4),Table1[],(MATCH(Calendar!$A6,DB!1:1,0)+2),FALSE),"")</f>
        <v/>
      </c>
      <c r="AXL6" s="27" t="str">
        <f>IFERROR(VLOOKUP(DATE($K$1,$K$2,AXL$4),Table1[],(MATCH(Calendar!$A6,DB!1:1,0)+2),FALSE),"")</f>
        <v/>
      </c>
      <c r="AXM6" s="27" t="str">
        <f>IFERROR(VLOOKUP(DATE($K$1,$K$2,AXM$4),Table1[],(MATCH(Calendar!$A6,DB!1:1,0)+2),FALSE),"")</f>
        <v/>
      </c>
      <c r="AXN6" s="27" t="str">
        <f>IFERROR(VLOOKUP(DATE($K$1,$K$2,AXN$4),Table1[],(MATCH(Calendar!$A6,DB!1:1,0)+2),FALSE),"")</f>
        <v/>
      </c>
      <c r="AXO6" s="27" t="str">
        <f>IFERROR(VLOOKUP(DATE($K$1,$K$2,AXO$4),Table1[],(MATCH(Calendar!$A6,DB!1:1,0)+2),FALSE),"")</f>
        <v/>
      </c>
      <c r="AXP6" s="27" t="str">
        <f>IFERROR(VLOOKUP(DATE($K$1,$K$2,AXP$4),Table1[],(MATCH(Calendar!$A6,DB!1:1,0)+2),FALSE),"")</f>
        <v/>
      </c>
      <c r="AXQ6" s="27" t="str">
        <f>IFERROR(VLOOKUP(DATE($K$1,$K$2,AXQ$4),Table1[],(MATCH(Calendar!$A6,DB!1:1,0)+2),FALSE),"")</f>
        <v/>
      </c>
      <c r="AXR6" s="27" t="str">
        <f>IFERROR(VLOOKUP(DATE($K$1,$K$2,AXR$4),Table1[],(MATCH(Calendar!$A6,DB!1:1,0)+2),FALSE),"")</f>
        <v/>
      </c>
      <c r="AXS6" s="27" t="str">
        <f>IFERROR(VLOOKUP(DATE($K$1,$K$2,AXS$4),Table1[],(MATCH(Calendar!$A6,DB!1:1,0)+2),FALSE),"")</f>
        <v/>
      </c>
      <c r="AXT6" s="27" t="str">
        <f>IFERROR(VLOOKUP(DATE($K$1,$K$2,AXT$4),Table1[],(MATCH(Calendar!$A6,DB!1:1,0)+2),FALSE),"")</f>
        <v/>
      </c>
      <c r="AXU6" s="27" t="str">
        <f>IFERROR(VLOOKUP(DATE($K$1,$K$2,AXU$4),Table1[],(MATCH(Calendar!$A6,DB!1:1,0)+2),FALSE),"")</f>
        <v/>
      </c>
      <c r="AXV6" s="27" t="str">
        <f>IFERROR(VLOOKUP(DATE($K$1,$K$2,AXV$4),Table1[],(MATCH(Calendar!$A6,DB!1:1,0)+2),FALSE),"")</f>
        <v/>
      </c>
      <c r="AXW6" s="27" t="str">
        <f>IFERROR(VLOOKUP(DATE($K$1,$K$2,AXW$4),Table1[],(MATCH(Calendar!$A6,DB!1:1,0)+2),FALSE),"")</f>
        <v/>
      </c>
      <c r="AXX6" s="27" t="str">
        <f>IFERROR(VLOOKUP(DATE($K$1,$K$2,AXX$4),Table1[],(MATCH(Calendar!$A6,DB!1:1,0)+2),FALSE),"")</f>
        <v/>
      </c>
      <c r="AXY6" s="27" t="str">
        <f>IFERROR(VLOOKUP(DATE($K$1,$K$2,AXY$4),Table1[],(MATCH(Calendar!$A6,DB!1:1,0)+2),FALSE),"")</f>
        <v/>
      </c>
      <c r="AXZ6" s="27" t="str">
        <f>IFERROR(VLOOKUP(DATE($K$1,$K$2,AXZ$4),Table1[],(MATCH(Calendar!$A6,DB!1:1,0)+2),FALSE),"")</f>
        <v/>
      </c>
      <c r="AYA6" s="27" t="str">
        <f>IFERROR(VLOOKUP(DATE($K$1,$K$2,AYA$4),Table1[],(MATCH(Calendar!$A6,DB!1:1,0)+2),FALSE),"")</f>
        <v/>
      </c>
      <c r="AYB6" s="27" t="str">
        <f>IFERROR(VLOOKUP(DATE($K$1,$K$2,AYB$4),Table1[],(MATCH(Calendar!$A6,DB!1:1,0)+2),FALSE),"")</f>
        <v/>
      </c>
      <c r="AYC6" s="27" t="str">
        <f>IFERROR(VLOOKUP(DATE($K$1,$K$2,AYC$4),Table1[],(MATCH(Calendar!$A6,DB!1:1,0)+2),FALSE),"")</f>
        <v/>
      </c>
      <c r="AYD6" s="27" t="str">
        <f>IFERROR(VLOOKUP(DATE($K$1,$K$2,AYD$4),Table1[],(MATCH(Calendar!$A6,DB!1:1,0)+2),FALSE),"")</f>
        <v/>
      </c>
      <c r="AYE6" s="27" t="str">
        <f>IFERROR(VLOOKUP(DATE($K$1,$K$2,AYE$4),Table1[],(MATCH(Calendar!$A6,DB!1:1,0)+2),FALSE),"")</f>
        <v/>
      </c>
      <c r="AYF6" s="27" t="str">
        <f>IFERROR(VLOOKUP(DATE($K$1,$K$2,AYF$4),Table1[],(MATCH(Calendar!$A6,DB!1:1,0)+2),FALSE),"")</f>
        <v/>
      </c>
      <c r="AYG6" s="27" t="str">
        <f>IFERROR(VLOOKUP(DATE($K$1,$K$2,AYG$4),Table1[],(MATCH(Calendar!$A6,DB!1:1,0)+2),FALSE),"")</f>
        <v/>
      </c>
      <c r="AYH6" s="27" t="str">
        <f>IFERROR(VLOOKUP(DATE($K$1,$K$2,AYH$4),Table1[],(MATCH(Calendar!$A6,DB!1:1,0)+2),FALSE),"")</f>
        <v/>
      </c>
      <c r="AYI6" s="27" t="str">
        <f>IFERROR(VLOOKUP(DATE($K$1,$K$2,AYI$4),Table1[],(MATCH(Calendar!$A6,DB!1:1,0)+2),FALSE),"")</f>
        <v/>
      </c>
      <c r="AYJ6" s="27" t="str">
        <f>IFERROR(VLOOKUP(DATE($K$1,$K$2,AYJ$4),Table1[],(MATCH(Calendar!$A6,DB!1:1,0)+2),FALSE),"")</f>
        <v/>
      </c>
      <c r="AYK6" s="27" t="str">
        <f>IFERROR(VLOOKUP(DATE($K$1,$K$2,AYK$4),Table1[],(MATCH(Calendar!$A6,DB!1:1,0)+2),FALSE),"")</f>
        <v/>
      </c>
      <c r="AYL6" s="27" t="str">
        <f>IFERROR(VLOOKUP(DATE($K$1,$K$2,AYL$4),Table1[],(MATCH(Calendar!$A6,DB!1:1,0)+2),FALSE),"")</f>
        <v/>
      </c>
      <c r="AYM6" s="27" t="str">
        <f>IFERROR(VLOOKUP(DATE($K$1,$K$2,AYM$4),Table1[],(MATCH(Calendar!$A6,DB!1:1,0)+2),FALSE),"")</f>
        <v/>
      </c>
      <c r="AYN6" s="27" t="str">
        <f>IFERROR(VLOOKUP(DATE($K$1,$K$2,AYN$4),Table1[],(MATCH(Calendar!$A6,DB!1:1,0)+2),FALSE),"")</f>
        <v/>
      </c>
      <c r="AYO6" s="27" t="str">
        <f>IFERROR(VLOOKUP(DATE($K$1,$K$2,AYO$4),Table1[],(MATCH(Calendar!$A6,DB!1:1,0)+2),FALSE),"")</f>
        <v/>
      </c>
      <c r="AYP6" s="27" t="str">
        <f>IFERROR(VLOOKUP(DATE($K$1,$K$2,AYP$4),Table1[],(MATCH(Calendar!$A6,DB!1:1,0)+2),FALSE),"")</f>
        <v/>
      </c>
      <c r="AYQ6" s="27" t="str">
        <f>IFERROR(VLOOKUP(DATE($K$1,$K$2,AYQ$4),Table1[],(MATCH(Calendar!$A6,DB!1:1,0)+2),FALSE),"")</f>
        <v/>
      </c>
      <c r="AYR6" s="27" t="str">
        <f>IFERROR(VLOOKUP(DATE($K$1,$K$2,AYR$4),Table1[],(MATCH(Calendar!$A6,DB!1:1,0)+2),FALSE),"")</f>
        <v/>
      </c>
      <c r="AYS6" s="27" t="str">
        <f>IFERROR(VLOOKUP(DATE($K$1,$K$2,AYS$4),Table1[],(MATCH(Calendar!$A6,DB!1:1,0)+2),FALSE),"")</f>
        <v/>
      </c>
      <c r="AYT6" s="27" t="str">
        <f>IFERROR(VLOOKUP(DATE($K$1,$K$2,AYT$4),Table1[],(MATCH(Calendar!$A6,DB!1:1,0)+2),FALSE),"")</f>
        <v/>
      </c>
      <c r="AYU6" s="27" t="str">
        <f>IFERROR(VLOOKUP(DATE($K$1,$K$2,AYU$4),Table1[],(MATCH(Calendar!$A6,DB!1:1,0)+2),FALSE),"")</f>
        <v/>
      </c>
      <c r="AYV6" s="27" t="str">
        <f>IFERROR(VLOOKUP(DATE($K$1,$K$2,AYV$4),Table1[],(MATCH(Calendar!$A6,DB!1:1,0)+2),FALSE),"")</f>
        <v/>
      </c>
      <c r="AYW6" s="27" t="str">
        <f>IFERROR(VLOOKUP(DATE($K$1,$K$2,AYW$4),Table1[],(MATCH(Calendar!$A6,DB!1:1,0)+2),FALSE),"")</f>
        <v/>
      </c>
      <c r="AYX6" s="27" t="str">
        <f>IFERROR(VLOOKUP(DATE($K$1,$K$2,AYX$4),Table1[],(MATCH(Calendar!$A6,DB!1:1,0)+2),FALSE),"")</f>
        <v/>
      </c>
      <c r="AYY6" s="27" t="str">
        <f>IFERROR(VLOOKUP(DATE($K$1,$K$2,AYY$4),Table1[],(MATCH(Calendar!$A6,DB!1:1,0)+2),FALSE),"")</f>
        <v/>
      </c>
      <c r="AYZ6" s="27" t="str">
        <f>IFERROR(VLOOKUP(DATE($K$1,$K$2,AYZ$4),Table1[],(MATCH(Calendar!$A6,DB!1:1,0)+2),FALSE),"")</f>
        <v/>
      </c>
      <c r="AZA6" s="27" t="str">
        <f>IFERROR(VLOOKUP(DATE($K$1,$K$2,AZA$4),Table1[],(MATCH(Calendar!$A6,DB!1:1,0)+2),FALSE),"")</f>
        <v/>
      </c>
      <c r="AZB6" s="27" t="str">
        <f>IFERROR(VLOOKUP(DATE($K$1,$K$2,AZB$4),Table1[],(MATCH(Calendar!$A6,DB!1:1,0)+2),FALSE),"")</f>
        <v/>
      </c>
      <c r="AZC6" s="27" t="str">
        <f>IFERROR(VLOOKUP(DATE($K$1,$K$2,AZC$4),Table1[],(MATCH(Calendar!$A6,DB!1:1,0)+2),FALSE),"")</f>
        <v/>
      </c>
      <c r="AZD6" s="27" t="str">
        <f>IFERROR(VLOOKUP(DATE($K$1,$K$2,AZD$4),Table1[],(MATCH(Calendar!$A6,DB!1:1,0)+2),FALSE),"")</f>
        <v/>
      </c>
      <c r="AZE6" s="27" t="str">
        <f>IFERROR(VLOOKUP(DATE($K$1,$K$2,AZE$4),Table1[],(MATCH(Calendar!$A6,DB!1:1,0)+2),FALSE),"")</f>
        <v/>
      </c>
      <c r="AZF6" s="27" t="str">
        <f>IFERROR(VLOOKUP(DATE($K$1,$K$2,AZF$4),Table1[],(MATCH(Calendar!$A6,DB!1:1,0)+2),FALSE),"")</f>
        <v/>
      </c>
      <c r="AZG6" s="27" t="str">
        <f>IFERROR(VLOOKUP(DATE($K$1,$K$2,AZG$4),Table1[],(MATCH(Calendar!$A6,DB!1:1,0)+2),FALSE),"")</f>
        <v/>
      </c>
      <c r="AZH6" s="27" t="str">
        <f>IFERROR(VLOOKUP(DATE($K$1,$K$2,AZH$4),Table1[],(MATCH(Calendar!$A6,DB!1:1,0)+2),FALSE),"")</f>
        <v/>
      </c>
      <c r="AZI6" s="27" t="str">
        <f>IFERROR(VLOOKUP(DATE($K$1,$K$2,AZI$4),Table1[],(MATCH(Calendar!$A6,DB!1:1,0)+2),FALSE),"")</f>
        <v/>
      </c>
      <c r="AZJ6" s="27" t="str">
        <f>IFERROR(VLOOKUP(DATE($K$1,$K$2,AZJ$4),Table1[],(MATCH(Calendar!$A6,DB!1:1,0)+2),FALSE),"")</f>
        <v/>
      </c>
      <c r="AZK6" s="27" t="str">
        <f>IFERROR(VLOOKUP(DATE($K$1,$K$2,AZK$4),Table1[],(MATCH(Calendar!$A6,DB!1:1,0)+2),FALSE),"")</f>
        <v/>
      </c>
      <c r="AZL6" s="27" t="str">
        <f>IFERROR(VLOOKUP(DATE($K$1,$K$2,AZL$4),Table1[],(MATCH(Calendar!$A6,DB!1:1,0)+2),FALSE),"")</f>
        <v/>
      </c>
      <c r="AZM6" s="27" t="str">
        <f>IFERROR(VLOOKUP(DATE($K$1,$K$2,AZM$4),Table1[],(MATCH(Calendar!$A6,DB!1:1,0)+2),FALSE),"")</f>
        <v/>
      </c>
      <c r="AZN6" s="27" t="str">
        <f>IFERROR(VLOOKUP(DATE($K$1,$K$2,AZN$4),Table1[],(MATCH(Calendar!$A6,DB!1:1,0)+2),FALSE),"")</f>
        <v/>
      </c>
      <c r="AZO6" s="27" t="str">
        <f>IFERROR(VLOOKUP(DATE($K$1,$K$2,AZO$4),Table1[],(MATCH(Calendar!$A6,DB!1:1,0)+2),FALSE),"")</f>
        <v/>
      </c>
      <c r="AZP6" s="27" t="str">
        <f>IFERROR(VLOOKUP(DATE($K$1,$K$2,AZP$4),Table1[],(MATCH(Calendar!$A6,DB!1:1,0)+2),FALSE),"")</f>
        <v/>
      </c>
      <c r="AZQ6" s="27" t="str">
        <f>IFERROR(VLOOKUP(DATE($K$1,$K$2,AZQ$4),Table1[],(MATCH(Calendar!$A6,DB!1:1,0)+2),FALSE),"")</f>
        <v/>
      </c>
      <c r="AZR6" s="27" t="str">
        <f>IFERROR(VLOOKUP(DATE($K$1,$K$2,AZR$4),Table1[],(MATCH(Calendar!$A6,DB!1:1,0)+2),FALSE),"")</f>
        <v/>
      </c>
      <c r="AZS6" s="27" t="str">
        <f>IFERROR(VLOOKUP(DATE($K$1,$K$2,AZS$4),Table1[],(MATCH(Calendar!$A6,DB!1:1,0)+2),FALSE),"")</f>
        <v/>
      </c>
      <c r="AZT6" s="27" t="str">
        <f>IFERROR(VLOOKUP(DATE($K$1,$K$2,AZT$4),Table1[],(MATCH(Calendar!$A6,DB!1:1,0)+2),FALSE),"")</f>
        <v/>
      </c>
      <c r="AZU6" s="27" t="str">
        <f>IFERROR(VLOOKUP(DATE($K$1,$K$2,AZU$4),Table1[],(MATCH(Calendar!$A6,DB!1:1,0)+2),FALSE),"")</f>
        <v/>
      </c>
      <c r="AZV6" s="27" t="str">
        <f>IFERROR(VLOOKUP(DATE($K$1,$K$2,AZV$4),Table1[],(MATCH(Calendar!$A6,DB!1:1,0)+2),FALSE),"")</f>
        <v/>
      </c>
      <c r="AZW6" s="27" t="str">
        <f>IFERROR(VLOOKUP(DATE($K$1,$K$2,AZW$4),Table1[],(MATCH(Calendar!$A6,DB!1:1,0)+2),FALSE),"")</f>
        <v/>
      </c>
      <c r="AZX6" s="27" t="str">
        <f>IFERROR(VLOOKUP(DATE($K$1,$K$2,AZX$4),Table1[],(MATCH(Calendar!$A6,DB!1:1,0)+2),FALSE),"")</f>
        <v/>
      </c>
      <c r="AZY6" s="27" t="str">
        <f>IFERROR(VLOOKUP(DATE($K$1,$K$2,AZY$4),Table1[],(MATCH(Calendar!$A6,DB!1:1,0)+2),FALSE),"")</f>
        <v/>
      </c>
      <c r="AZZ6" s="27" t="str">
        <f>IFERROR(VLOOKUP(DATE($K$1,$K$2,AZZ$4),Table1[],(MATCH(Calendar!$A6,DB!1:1,0)+2),FALSE),"")</f>
        <v/>
      </c>
      <c r="BAA6" s="27" t="str">
        <f>IFERROR(VLOOKUP(DATE($K$1,$K$2,BAA$4),Table1[],(MATCH(Calendar!$A6,DB!1:1,0)+2),FALSE),"")</f>
        <v/>
      </c>
      <c r="BAB6" s="27" t="str">
        <f>IFERROR(VLOOKUP(DATE($K$1,$K$2,BAB$4),Table1[],(MATCH(Calendar!$A6,DB!1:1,0)+2),FALSE),"")</f>
        <v/>
      </c>
      <c r="BAC6" s="27" t="str">
        <f>IFERROR(VLOOKUP(DATE($K$1,$K$2,BAC$4),Table1[],(MATCH(Calendar!$A6,DB!1:1,0)+2),FALSE),"")</f>
        <v/>
      </c>
      <c r="BAD6" s="27" t="str">
        <f>IFERROR(VLOOKUP(DATE($K$1,$K$2,BAD$4),Table1[],(MATCH(Calendar!$A6,DB!1:1,0)+2),FALSE),"")</f>
        <v/>
      </c>
      <c r="BAE6" s="27" t="str">
        <f>IFERROR(VLOOKUP(DATE($K$1,$K$2,BAE$4),Table1[],(MATCH(Calendar!$A6,DB!1:1,0)+2),FALSE),"")</f>
        <v/>
      </c>
      <c r="BAF6" s="27" t="str">
        <f>IFERROR(VLOOKUP(DATE($K$1,$K$2,BAF$4),Table1[],(MATCH(Calendar!$A6,DB!1:1,0)+2),FALSE),"")</f>
        <v/>
      </c>
      <c r="BAG6" s="27" t="str">
        <f>IFERROR(VLOOKUP(DATE($K$1,$K$2,BAG$4),Table1[],(MATCH(Calendar!$A6,DB!1:1,0)+2),FALSE),"")</f>
        <v/>
      </c>
      <c r="BAH6" s="27" t="str">
        <f>IFERROR(VLOOKUP(DATE($K$1,$K$2,BAH$4),Table1[],(MATCH(Calendar!$A6,DB!1:1,0)+2),FALSE),"")</f>
        <v/>
      </c>
      <c r="BAI6" s="27" t="str">
        <f>IFERROR(VLOOKUP(DATE($K$1,$K$2,BAI$4),Table1[],(MATCH(Calendar!$A6,DB!1:1,0)+2),FALSE),"")</f>
        <v/>
      </c>
      <c r="BAJ6" s="27" t="str">
        <f>IFERROR(VLOOKUP(DATE($K$1,$K$2,BAJ$4),Table1[],(MATCH(Calendar!$A6,DB!1:1,0)+2),FALSE),"")</f>
        <v/>
      </c>
      <c r="BAK6" s="27" t="str">
        <f>IFERROR(VLOOKUP(DATE($K$1,$K$2,BAK$4),Table1[],(MATCH(Calendar!$A6,DB!1:1,0)+2),FALSE),"")</f>
        <v/>
      </c>
      <c r="BAL6" s="27" t="str">
        <f>IFERROR(VLOOKUP(DATE($K$1,$K$2,BAL$4),Table1[],(MATCH(Calendar!$A6,DB!1:1,0)+2),FALSE),"")</f>
        <v/>
      </c>
      <c r="BAM6" s="27" t="str">
        <f>IFERROR(VLOOKUP(DATE($K$1,$K$2,BAM$4),Table1[],(MATCH(Calendar!$A6,DB!1:1,0)+2),FALSE),"")</f>
        <v/>
      </c>
      <c r="BAN6" s="27" t="str">
        <f>IFERROR(VLOOKUP(DATE($K$1,$K$2,BAN$4),Table1[],(MATCH(Calendar!$A6,DB!1:1,0)+2),FALSE),"")</f>
        <v/>
      </c>
      <c r="BAO6" s="27" t="str">
        <f>IFERROR(VLOOKUP(DATE($K$1,$K$2,BAO$4),Table1[],(MATCH(Calendar!$A6,DB!1:1,0)+2),FALSE),"")</f>
        <v/>
      </c>
      <c r="BAP6" s="27" t="str">
        <f>IFERROR(VLOOKUP(DATE($K$1,$K$2,BAP$4),Table1[],(MATCH(Calendar!$A6,DB!1:1,0)+2),FALSE),"")</f>
        <v/>
      </c>
      <c r="BAQ6" s="27" t="str">
        <f>IFERROR(VLOOKUP(DATE($K$1,$K$2,BAQ$4),Table1[],(MATCH(Calendar!$A6,DB!1:1,0)+2),FALSE),"")</f>
        <v/>
      </c>
      <c r="BAR6" s="27" t="str">
        <f>IFERROR(VLOOKUP(DATE($K$1,$K$2,BAR$4),Table1[],(MATCH(Calendar!$A6,DB!1:1,0)+2),FALSE),"")</f>
        <v/>
      </c>
      <c r="BAS6" s="27" t="str">
        <f>IFERROR(VLOOKUP(DATE($K$1,$K$2,BAS$4),Table1[],(MATCH(Calendar!$A6,DB!1:1,0)+2),FALSE),"")</f>
        <v/>
      </c>
      <c r="BAT6" s="27" t="str">
        <f>IFERROR(VLOOKUP(DATE($K$1,$K$2,BAT$4),Table1[],(MATCH(Calendar!$A6,DB!1:1,0)+2),FALSE),"")</f>
        <v/>
      </c>
      <c r="BAU6" s="27" t="str">
        <f>IFERROR(VLOOKUP(DATE($K$1,$K$2,BAU$4),Table1[],(MATCH(Calendar!$A6,DB!1:1,0)+2),FALSE),"")</f>
        <v/>
      </c>
      <c r="BAV6" s="27" t="str">
        <f>IFERROR(VLOOKUP(DATE($K$1,$K$2,BAV$4),Table1[],(MATCH(Calendar!$A6,DB!1:1,0)+2),FALSE),"")</f>
        <v/>
      </c>
      <c r="BAW6" s="27" t="str">
        <f>IFERROR(VLOOKUP(DATE($K$1,$K$2,BAW$4),Table1[],(MATCH(Calendar!$A6,DB!1:1,0)+2),FALSE),"")</f>
        <v/>
      </c>
      <c r="BAX6" s="27" t="str">
        <f>IFERROR(VLOOKUP(DATE($K$1,$K$2,BAX$4),Table1[],(MATCH(Calendar!$A6,DB!1:1,0)+2),FALSE),"")</f>
        <v/>
      </c>
      <c r="BAY6" s="27" t="str">
        <f>IFERROR(VLOOKUP(DATE($K$1,$K$2,BAY$4),Table1[],(MATCH(Calendar!$A6,DB!1:1,0)+2),FALSE),"")</f>
        <v/>
      </c>
      <c r="BAZ6" s="27" t="str">
        <f>IFERROR(VLOOKUP(DATE($K$1,$K$2,BAZ$4),Table1[],(MATCH(Calendar!$A6,DB!1:1,0)+2),FALSE),"")</f>
        <v/>
      </c>
      <c r="BBA6" s="27" t="str">
        <f>IFERROR(VLOOKUP(DATE($K$1,$K$2,BBA$4),Table1[],(MATCH(Calendar!$A6,DB!1:1,0)+2),FALSE),"")</f>
        <v/>
      </c>
      <c r="BBB6" s="27" t="str">
        <f>IFERROR(VLOOKUP(DATE($K$1,$K$2,BBB$4),Table1[],(MATCH(Calendar!$A6,DB!1:1,0)+2),FALSE),"")</f>
        <v/>
      </c>
      <c r="BBC6" s="27" t="str">
        <f>IFERROR(VLOOKUP(DATE($K$1,$K$2,BBC$4),Table1[],(MATCH(Calendar!$A6,DB!1:1,0)+2),FALSE),"")</f>
        <v/>
      </c>
      <c r="BBD6" s="27" t="str">
        <f>IFERROR(VLOOKUP(DATE($K$1,$K$2,BBD$4),Table1[],(MATCH(Calendar!$A6,DB!1:1,0)+2),FALSE),"")</f>
        <v/>
      </c>
      <c r="BBE6" s="27" t="str">
        <f>IFERROR(VLOOKUP(DATE($K$1,$K$2,BBE$4),Table1[],(MATCH(Calendar!$A6,DB!1:1,0)+2),FALSE),"")</f>
        <v/>
      </c>
      <c r="BBF6" s="27" t="str">
        <f>IFERROR(VLOOKUP(DATE($K$1,$K$2,BBF$4),Table1[],(MATCH(Calendar!$A6,DB!1:1,0)+2),FALSE),"")</f>
        <v/>
      </c>
      <c r="BBG6" s="27" t="str">
        <f>IFERROR(VLOOKUP(DATE($K$1,$K$2,BBG$4),Table1[],(MATCH(Calendar!$A6,DB!1:1,0)+2),FALSE),"")</f>
        <v/>
      </c>
      <c r="BBH6" s="27" t="str">
        <f>IFERROR(VLOOKUP(DATE($K$1,$K$2,BBH$4),Table1[],(MATCH(Calendar!$A6,DB!1:1,0)+2),FALSE),"")</f>
        <v/>
      </c>
      <c r="BBI6" s="27" t="str">
        <f>IFERROR(VLOOKUP(DATE($K$1,$K$2,BBI$4),Table1[],(MATCH(Calendar!$A6,DB!1:1,0)+2),FALSE),"")</f>
        <v/>
      </c>
      <c r="BBJ6" s="27" t="str">
        <f>IFERROR(VLOOKUP(DATE($K$1,$K$2,BBJ$4),Table1[],(MATCH(Calendar!$A6,DB!1:1,0)+2),FALSE),"")</f>
        <v/>
      </c>
      <c r="BBK6" s="27" t="str">
        <f>IFERROR(VLOOKUP(DATE($K$1,$K$2,BBK$4),Table1[],(MATCH(Calendar!$A6,DB!1:1,0)+2),FALSE),"")</f>
        <v/>
      </c>
      <c r="BBL6" s="27" t="str">
        <f>IFERROR(VLOOKUP(DATE($K$1,$K$2,BBL$4),Table1[],(MATCH(Calendar!$A6,DB!1:1,0)+2),FALSE),"")</f>
        <v/>
      </c>
      <c r="BBM6" s="27" t="str">
        <f>IFERROR(VLOOKUP(DATE($K$1,$K$2,BBM$4),Table1[],(MATCH(Calendar!$A6,DB!1:1,0)+2),FALSE),"")</f>
        <v/>
      </c>
      <c r="BBN6" s="27" t="str">
        <f>IFERROR(VLOOKUP(DATE($K$1,$K$2,BBN$4),Table1[],(MATCH(Calendar!$A6,DB!1:1,0)+2),FALSE),"")</f>
        <v/>
      </c>
      <c r="BBO6" s="27" t="str">
        <f>IFERROR(VLOOKUP(DATE($K$1,$K$2,BBO$4),Table1[],(MATCH(Calendar!$A6,DB!1:1,0)+2),FALSE),"")</f>
        <v/>
      </c>
      <c r="BBP6" s="27" t="str">
        <f>IFERROR(VLOOKUP(DATE($K$1,$K$2,BBP$4),Table1[],(MATCH(Calendar!$A6,DB!1:1,0)+2),FALSE),"")</f>
        <v/>
      </c>
      <c r="BBQ6" s="27" t="str">
        <f>IFERROR(VLOOKUP(DATE($K$1,$K$2,BBQ$4),Table1[],(MATCH(Calendar!$A6,DB!1:1,0)+2),FALSE),"")</f>
        <v/>
      </c>
      <c r="BBR6" s="27" t="str">
        <f>IFERROR(VLOOKUP(DATE($K$1,$K$2,BBR$4),Table1[],(MATCH(Calendar!$A6,DB!1:1,0)+2),FALSE),"")</f>
        <v/>
      </c>
      <c r="BBS6" s="27" t="str">
        <f>IFERROR(VLOOKUP(DATE($K$1,$K$2,BBS$4),Table1[],(MATCH(Calendar!$A6,DB!1:1,0)+2),FALSE),"")</f>
        <v/>
      </c>
      <c r="BBT6" s="27" t="str">
        <f>IFERROR(VLOOKUP(DATE($K$1,$K$2,BBT$4),Table1[],(MATCH(Calendar!$A6,DB!1:1,0)+2),FALSE),"")</f>
        <v/>
      </c>
      <c r="BBU6" s="27" t="str">
        <f>IFERROR(VLOOKUP(DATE($K$1,$K$2,BBU$4),Table1[],(MATCH(Calendar!$A6,DB!1:1,0)+2),FALSE),"")</f>
        <v/>
      </c>
      <c r="BBV6" s="27" t="str">
        <f>IFERROR(VLOOKUP(DATE($K$1,$K$2,BBV$4),Table1[],(MATCH(Calendar!$A6,DB!1:1,0)+2),FALSE),"")</f>
        <v/>
      </c>
      <c r="BBW6" s="27" t="str">
        <f>IFERROR(VLOOKUP(DATE($K$1,$K$2,BBW$4),Table1[],(MATCH(Calendar!$A6,DB!1:1,0)+2),FALSE),"")</f>
        <v/>
      </c>
      <c r="BBX6" s="27" t="str">
        <f>IFERROR(VLOOKUP(DATE($K$1,$K$2,BBX$4),Table1[],(MATCH(Calendar!$A6,DB!1:1,0)+2),FALSE),"")</f>
        <v/>
      </c>
      <c r="BBY6" s="27" t="str">
        <f>IFERROR(VLOOKUP(DATE($K$1,$K$2,BBY$4),Table1[],(MATCH(Calendar!$A6,DB!1:1,0)+2),FALSE),"")</f>
        <v/>
      </c>
      <c r="BBZ6" s="27" t="str">
        <f>IFERROR(VLOOKUP(DATE($K$1,$K$2,BBZ$4),Table1[],(MATCH(Calendar!$A6,DB!1:1,0)+2),FALSE),"")</f>
        <v/>
      </c>
      <c r="BCA6" s="27" t="str">
        <f>IFERROR(VLOOKUP(DATE($K$1,$K$2,BCA$4),Table1[],(MATCH(Calendar!$A6,DB!1:1,0)+2),FALSE),"")</f>
        <v/>
      </c>
      <c r="BCB6" s="27" t="str">
        <f>IFERROR(VLOOKUP(DATE($K$1,$K$2,BCB$4),Table1[],(MATCH(Calendar!$A6,DB!1:1,0)+2),FALSE),"")</f>
        <v/>
      </c>
      <c r="BCC6" s="27" t="str">
        <f>IFERROR(VLOOKUP(DATE($K$1,$K$2,BCC$4),Table1[],(MATCH(Calendar!$A6,DB!1:1,0)+2),FALSE),"")</f>
        <v/>
      </c>
      <c r="BCD6" s="27" t="str">
        <f>IFERROR(VLOOKUP(DATE($K$1,$K$2,BCD$4),Table1[],(MATCH(Calendar!$A6,DB!1:1,0)+2),FALSE),"")</f>
        <v/>
      </c>
      <c r="BCE6" s="27" t="str">
        <f>IFERROR(VLOOKUP(DATE($K$1,$K$2,BCE$4),Table1[],(MATCH(Calendar!$A6,DB!1:1,0)+2),FALSE),"")</f>
        <v/>
      </c>
      <c r="BCF6" s="27" t="str">
        <f>IFERROR(VLOOKUP(DATE($K$1,$K$2,BCF$4),Table1[],(MATCH(Calendar!$A6,DB!1:1,0)+2),FALSE),"")</f>
        <v/>
      </c>
      <c r="BCG6" s="27" t="str">
        <f>IFERROR(VLOOKUP(DATE($K$1,$K$2,BCG$4),Table1[],(MATCH(Calendar!$A6,DB!1:1,0)+2),FALSE),"")</f>
        <v/>
      </c>
      <c r="BCH6" s="27" t="str">
        <f>IFERROR(VLOOKUP(DATE($K$1,$K$2,BCH$4),Table1[],(MATCH(Calendar!$A6,DB!1:1,0)+2),FALSE),"")</f>
        <v/>
      </c>
      <c r="BCI6" s="27" t="str">
        <f>IFERROR(VLOOKUP(DATE($K$1,$K$2,BCI$4),Table1[],(MATCH(Calendar!$A6,DB!1:1,0)+2),FALSE),"")</f>
        <v/>
      </c>
      <c r="BCJ6" s="27" t="str">
        <f>IFERROR(VLOOKUP(DATE($K$1,$K$2,BCJ$4),Table1[],(MATCH(Calendar!$A6,DB!1:1,0)+2),FALSE),"")</f>
        <v/>
      </c>
      <c r="BCK6" s="27" t="str">
        <f>IFERROR(VLOOKUP(DATE($K$1,$K$2,BCK$4),Table1[],(MATCH(Calendar!$A6,DB!1:1,0)+2),FALSE),"")</f>
        <v/>
      </c>
      <c r="BCL6" s="27" t="str">
        <f>IFERROR(VLOOKUP(DATE($K$1,$K$2,BCL$4),Table1[],(MATCH(Calendar!$A6,DB!1:1,0)+2),FALSE),"")</f>
        <v/>
      </c>
      <c r="BCM6" s="27" t="str">
        <f>IFERROR(VLOOKUP(DATE($K$1,$K$2,BCM$4),Table1[],(MATCH(Calendar!$A6,DB!1:1,0)+2),FALSE),"")</f>
        <v/>
      </c>
      <c r="BCN6" s="27" t="str">
        <f>IFERROR(VLOOKUP(DATE($K$1,$K$2,BCN$4),Table1[],(MATCH(Calendar!$A6,DB!1:1,0)+2),FALSE),"")</f>
        <v/>
      </c>
      <c r="BCO6" s="27" t="str">
        <f>IFERROR(VLOOKUP(DATE($K$1,$K$2,BCO$4),Table1[],(MATCH(Calendar!$A6,DB!1:1,0)+2),FALSE),"")</f>
        <v/>
      </c>
      <c r="BCP6" s="27" t="str">
        <f>IFERROR(VLOOKUP(DATE($K$1,$K$2,BCP$4),Table1[],(MATCH(Calendar!$A6,DB!1:1,0)+2),FALSE),"")</f>
        <v/>
      </c>
      <c r="BCQ6" s="27" t="str">
        <f>IFERROR(VLOOKUP(DATE($K$1,$K$2,BCQ$4),Table1[],(MATCH(Calendar!$A6,DB!1:1,0)+2),FALSE),"")</f>
        <v/>
      </c>
      <c r="BCR6" s="27" t="str">
        <f>IFERROR(VLOOKUP(DATE($K$1,$K$2,BCR$4),Table1[],(MATCH(Calendar!$A6,DB!1:1,0)+2),FALSE),"")</f>
        <v/>
      </c>
      <c r="BCS6" s="27" t="str">
        <f>IFERROR(VLOOKUP(DATE($K$1,$K$2,BCS$4),Table1[],(MATCH(Calendar!$A6,DB!1:1,0)+2),FALSE),"")</f>
        <v/>
      </c>
      <c r="BCT6" s="27" t="str">
        <f>IFERROR(VLOOKUP(DATE($K$1,$K$2,BCT$4),Table1[],(MATCH(Calendar!$A6,DB!1:1,0)+2),FALSE),"")</f>
        <v/>
      </c>
      <c r="BCU6" s="27" t="str">
        <f>IFERROR(VLOOKUP(DATE($K$1,$K$2,BCU$4),Table1[],(MATCH(Calendar!$A6,DB!1:1,0)+2),FALSE),"")</f>
        <v/>
      </c>
      <c r="BCV6" s="27" t="str">
        <f>IFERROR(VLOOKUP(DATE($K$1,$K$2,BCV$4),Table1[],(MATCH(Calendar!$A6,DB!1:1,0)+2),FALSE),"")</f>
        <v/>
      </c>
      <c r="BCW6" s="27" t="str">
        <f>IFERROR(VLOOKUP(DATE($K$1,$K$2,BCW$4),Table1[],(MATCH(Calendar!$A6,DB!1:1,0)+2),FALSE),"")</f>
        <v/>
      </c>
      <c r="BCX6" s="27" t="str">
        <f>IFERROR(VLOOKUP(DATE($K$1,$K$2,BCX$4),Table1[],(MATCH(Calendar!$A6,DB!1:1,0)+2),FALSE),"")</f>
        <v/>
      </c>
      <c r="BCY6" s="27" t="str">
        <f>IFERROR(VLOOKUP(DATE($K$1,$K$2,BCY$4),Table1[],(MATCH(Calendar!$A6,DB!1:1,0)+2),FALSE),"")</f>
        <v/>
      </c>
      <c r="BCZ6" s="27" t="str">
        <f>IFERROR(VLOOKUP(DATE($K$1,$K$2,BCZ$4),Table1[],(MATCH(Calendar!$A6,DB!1:1,0)+2),FALSE),"")</f>
        <v/>
      </c>
      <c r="BDA6" s="27" t="str">
        <f>IFERROR(VLOOKUP(DATE($K$1,$K$2,BDA$4),Table1[],(MATCH(Calendar!$A6,DB!1:1,0)+2),FALSE),"")</f>
        <v/>
      </c>
      <c r="BDB6" s="27" t="str">
        <f>IFERROR(VLOOKUP(DATE($K$1,$K$2,BDB$4),Table1[],(MATCH(Calendar!$A6,DB!1:1,0)+2),FALSE),"")</f>
        <v/>
      </c>
      <c r="BDC6" s="27" t="str">
        <f>IFERROR(VLOOKUP(DATE($K$1,$K$2,BDC$4),Table1[],(MATCH(Calendar!$A6,DB!1:1,0)+2),FALSE),"")</f>
        <v/>
      </c>
      <c r="BDD6" s="27" t="str">
        <f>IFERROR(VLOOKUP(DATE($K$1,$K$2,BDD$4),Table1[],(MATCH(Calendar!$A6,DB!1:1,0)+2),FALSE),"")</f>
        <v/>
      </c>
      <c r="BDE6" s="27" t="str">
        <f>IFERROR(VLOOKUP(DATE($K$1,$K$2,BDE$4),Table1[],(MATCH(Calendar!$A6,DB!1:1,0)+2),FALSE),"")</f>
        <v/>
      </c>
      <c r="BDF6" s="27" t="str">
        <f>IFERROR(VLOOKUP(DATE($K$1,$K$2,BDF$4),Table1[],(MATCH(Calendar!$A6,DB!1:1,0)+2),FALSE),"")</f>
        <v/>
      </c>
      <c r="BDG6" s="27" t="str">
        <f>IFERROR(VLOOKUP(DATE($K$1,$K$2,BDG$4),Table1[],(MATCH(Calendar!$A6,DB!1:1,0)+2),FALSE),"")</f>
        <v/>
      </c>
      <c r="BDH6" s="27" t="str">
        <f>IFERROR(VLOOKUP(DATE($K$1,$K$2,BDH$4),Table1[],(MATCH(Calendar!$A6,DB!1:1,0)+2),FALSE),"")</f>
        <v/>
      </c>
      <c r="BDI6" s="27" t="str">
        <f>IFERROR(VLOOKUP(DATE($K$1,$K$2,BDI$4),Table1[],(MATCH(Calendar!$A6,DB!1:1,0)+2),FALSE),"")</f>
        <v/>
      </c>
      <c r="BDJ6" s="27" t="str">
        <f>IFERROR(VLOOKUP(DATE($K$1,$K$2,BDJ$4),Table1[],(MATCH(Calendar!$A6,DB!1:1,0)+2),FALSE),"")</f>
        <v/>
      </c>
      <c r="BDK6" s="27" t="str">
        <f>IFERROR(VLOOKUP(DATE($K$1,$K$2,BDK$4),Table1[],(MATCH(Calendar!$A6,DB!1:1,0)+2),FALSE),"")</f>
        <v/>
      </c>
      <c r="BDL6" s="27" t="str">
        <f>IFERROR(VLOOKUP(DATE($K$1,$K$2,BDL$4),Table1[],(MATCH(Calendar!$A6,DB!1:1,0)+2),FALSE),"")</f>
        <v/>
      </c>
      <c r="BDM6" s="27" t="str">
        <f>IFERROR(VLOOKUP(DATE($K$1,$K$2,BDM$4),Table1[],(MATCH(Calendar!$A6,DB!1:1,0)+2),FALSE),"")</f>
        <v/>
      </c>
      <c r="BDN6" s="27" t="str">
        <f>IFERROR(VLOOKUP(DATE($K$1,$K$2,BDN$4),Table1[],(MATCH(Calendar!$A6,DB!1:1,0)+2),FALSE),"")</f>
        <v/>
      </c>
      <c r="BDO6" s="27" t="str">
        <f>IFERROR(VLOOKUP(DATE($K$1,$K$2,BDO$4),Table1[],(MATCH(Calendar!$A6,DB!1:1,0)+2),FALSE),"")</f>
        <v/>
      </c>
      <c r="BDP6" s="27" t="str">
        <f>IFERROR(VLOOKUP(DATE($K$1,$K$2,BDP$4),Table1[],(MATCH(Calendar!$A6,DB!1:1,0)+2),FALSE),"")</f>
        <v/>
      </c>
      <c r="BDQ6" s="27" t="str">
        <f>IFERROR(VLOOKUP(DATE($K$1,$K$2,BDQ$4),Table1[],(MATCH(Calendar!$A6,DB!1:1,0)+2),FALSE),"")</f>
        <v/>
      </c>
      <c r="BDR6" s="27" t="str">
        <f>IFERROR(VLOOKUP(DATE($K$1,$K$2,BDR$4),Table1[],(MATCH(Calendar!$A6,DB!1:1,0)+2),FALSE),"")</f>
        <v/>
      </c>
      <c r="BDS6" s="27" t="str">
        <f>IFERROR(VLOOKUP(DATE($K$1,$K$2,BDS$4),Table1[],(MATCH(Calendar!$A6,DB!1:1,0)+2),FALSE),"")</f>
        <v/>
      </c>
      <c r="BDT6" s="27" t="str">
        <f>IFERROR(VLOOKUP(DATE($K$1,$K$2,BDT$4),Table1[],(MATCH(Calendar!$A6,DB!1:1,0)+2),FALSE),"")</f>
        <v/>
      </c>
      <c r="BDU6" s="27" t="str">
        <f>IFERROR(VLOOKUP(DATE($K$1,$K$2,BDU$4),Table1[],(MATCH(Calendar!$A6,DB!1:1,0)+2),FALSE),"")</f>
        <v/>
      </c>
      <c r="BDV6" s="27" t="str">
        <f>IFERROR(VLOOKUP(DATE($K$1,$K$2,BDV$4),Table1[],(MATCH(Calendar!$A6,DB!1:1,0)+2),FALSE),"")</f>
        <v/>
      </c>
      <c r="BDW6" s="27" t="str">
        <f>IFERROR(VLOOKUP(DATE($K$1,$K$2,BDW$4),Table1[],(MATCH(Calendar!$A6,DB!1:1,0)+2),FALSE),"")</f>
        <v/>
      </c>
      <c r="BDX6" s="27" t="str">
        <f>IFERROR(VLOOKUP(DATE($K$1,$K$2,BDX$4),Table1[],(MATCH(Calendar!$A6,DB!1:1,0)+2),FALSE),"")</f>
        <v/>
      </c>
      <c r="BDY6" s="27" t="str">
        <f>IFERROR(VLOOKUP(DATE($K$1,$K$2,BDY$4),Table1[],(MATCH(Calendar!$A6,DB!1:1,0)+2),FALSE),"")</f>
        <v/>
      </c>
      <c r="BDZ6" s="27" t="str">
        <f>IFERROR(VLOOKUP(DATE($K$1,$K$2,BDZ$4),Table1[],(MATCH(Calendar!$A6,DB!1:1,0)+2),FALSE),"")</f>
        <v/>
      </c>
      <c r="BEA6" s="27" t="str">
        <f>IFERROR(VLOOKUP(DATE($K$1,$K$2,BEA$4),Table1[],(MATCH(Calendar!$A6,DB!1:1,0)+2),FALSE),"")</f>
        <v/>
      </c>
      <c r="BEB6" s="27" t="str">
        <f>IFERROR(VLOOKUP(DATE($K$1,$K$2,BEB$4),Table1[],(MATCH(Calendar!$A6,DB!1:1,0)+2),FALSE),"")</f>
        <v/>
      </c>
      <c r="BEC6" s="27" t="str">
        <f>IFERROR(VLOOKUP(DATE($K$1,$K$2,BEC$4),Table1[],(MATCH(Calendar!$A6,DB!1:1,0)+2),FALSE),"")</f>
        <v/>
      </c>
      <c r="BED6" s="27" t="str">
        <f>IFERROR(VLOOKUP(DATE($K$1,$K$2,BED$4),Table1[],(MATCH(Calendar!$A6,DB!1:1,0)+2),FALSE),"")</f>
        <v/>
      </c>
      <c r="BEE6" s="27" t="str">
        <f>IFERROR(VLOOKUP(DATE($K$1,$K$2,BEE$4),Table1[],(MATCH(Calendar!$A6,DB!1:1,0)+2),FALSE),"")</f>
        <v/>
      </c>
      <c r="BEF6" s="27" t="str">
        <f>IFERROR(VLOOKUP(DATE($K$1,$K$2,BEF$4),Table1[],(MATCH(Calendar!$A6,DB!1:1,0)+2),FALSE),"")</f>
        <v/>
      </c>
      <c r="BEG6" s="27" t="str">
        <f>IFERROR(VLOOKUP(DATE($K$1,$K$2,BEG$4),Table1[],(MATCH(Calendar!$A6,DB!1:1,0)+2),FALSE),"")</f>
        <v/>
      </c>
      <c r="BEH6" s="27" t="str">
        <f>IFERROR(VLOOKUP(DATE($K$1,$K$2,BEH$4),Table1[],(MATCH(Calendar!$A6,DB!1:1,0)+2),FALSE),"")</f>
        <v/>
      </c>
      <c r="BEI6" s="27" t="str">
        <f>IFERROR(VLOOKUP(DATE($K$1,$K$2,BEI$4),Table1[],(MATCH(Calendar!$A6,DB!1:1,0)+2),FALSE),"")</f>
        <v/>
      </c>
      <c r="BEJ6" s="27" t="str">
        <f>IFERROR(VLOOKUP(DATE($K$1,$K$2,BEJ$4),Table1[],(MATCH(Calendar!$A6,DB!1:1,0)+2),FALSE),"")</f>
        <v/>
      </c>
      <c r="BEK6" s="27" t="str">
        <f>IFERROR(VLOOKUP(DATE($K$1,$K$2,BEK$4),Table1[],(MATCH(Calendar!$A6,DB!1:1,0)+2),FALSE),"")</f>
        <v/>
      </c>
      <c r="BEL6" s="27" t="str">
        <f>IFERROR(VLOOKUP(DATE($K$1,$K$2,BEL$4),Table1[],(MATCH(Calendar!$A6,DB!1:1,0)+2),FALSE),"")</f>
        <v/>
      </c>
      <c r="BEM6" s="27" t="str">
        <f>IFERROR(VLOOKUP(DATE($K$1,$K$2,BEM$4),Table1[],(MATCH(Calendar!$A6,DB!1:1,0)+2),FALSE),"")</f>
        <v/>
      </c>
      <c r="BEN6" s="27" t="str">
        <f>IFERROR(VLOOKUP(DATE($K$1,$K$2,BEN$4),Table1[],(MATCH(Calendar!$A6,DB!1:1,0)+2),FALSE),"")</f>
        <v/>
      </c>
      <c r="BEO6" s="27" t="str">
        <f>IFERROR(VLOOKUP(DATE($K$1,$K$2,BEO$4),Table1[],(MATCH(Calendar!$A6,DB!1:1,0)+2),FALSE),"")</f>
        <v/>
      </c>
      <c r="BEP6" s="27" t="str">
        <f>IFERROR(VLOOKUP(DATE($K$1,$K$2,BEP$4),Table1[],(MATCH(Calendar!$A6,DB!1:1,0)+2),FALSE),"")</f>
        <v/>
      </c>
      <c r="BEQ6" s="27" t="str">
        <f>IFERROR(VLOOKUP(DATE($K$1,$K$2,BEQ$4),Table1[],(MATCH(Calendar!$A6,DB!1:1,0)+2),FALSE),"")</f>
        <v/>
      </c>
      <c r="BER6" s="27" t="str">
        <f>IFERROR(VLOOKUP(DATE($K$1,$K$2,BER$4),Table1[],(MATCH(Calendar!$A6,DB!1:1,0)+2),FALSE),"")</f>
        <v/>
      </c>
      <c r="BES6" s="27" t="str">
        <f>IFERROR(VLOOKUP(DATE($K$1,$K$2,BES$4),Table1[],(MATCH(Calendar!$A6,DB!1:1,0)+2),FALSE),"")</f>
        <v/>
      </c>
      <c r="BET6" s="27" t="str">
        <f>IFERROR(VLOOKUP(DATE($K$1,$K$2,BET$4),Table1[],(MATCH(Calendar!$A6,DB!1:1,0)+2),FALSE),"")</f>
        <v/>
      </c>
      <c r="BEU6" s="27" t="str">
        <f>IFERROR(VLOOKUP(DATE($K$1,$K$2,BEU$4),Table1[],(MATCH(Calendar!$A6,DB!1:1,0)+2),FALSE),"")</f>
        <v/>
      </c>
      <c r="BEV6" s="27" t="str">
        <f>IFERROR(VLOOKUP(DATE($K$1,$K$2,BEV$4),Table1[],(MATCH(Calendar!$A6,DB!1:1,0)+2),FALSE),"")</f>
        <v/>
      </c>
      <c r="BEW6" s="27" t="str">
        <f>IFERROR(VLOOKUP(DATE($K$1,$K$2,BEW$4),Table1[],(MATCH(Calendar!$A6,DB!1:1,0)+2),FALSE),"")</f>
        <v/>
      </c>
      <c r="BEX6" s="27" t="str">
        <f>IFERROR(VLOOKUP(DATE($K$1,$K$2,BEX$4),Table1[],(MATCH(Calendar!$A6,DB!1:1,0)+2),FALSE),"")</f>
        <v/>
      </c>
      <c r="BEY6" s="27" t="str">
        <f>IFERROR(VLOOKUP(DATE($K$1,$K$2,BEY$4),Table1[],(MATCH(Calendar!$A6,DB!1:1,0)+2),FALSE),"")</f>
        <v/>
      </c>
      <c r="BEZ6" s="27" t="str">
        <f>IFERROR(VLOOKUP(DATE($K$1,$K$2,BEZ$4),Table1[],(MATCH(Calendar!$A6,DB!1:1,0)+2),FALSE),"")</f>
        <v/>
      </c>
      <c r="BFA6" s="27" t="str">
        <f>IFERROR(VLOOKUP(DATE($K$1,$K$2,BFA$4),Table1[],(MATCH(Calendar!$A6,DB!1:1,0)+2),FALSE),"")</f>
        <v/>
      </c>
      <c r="BFB6" s="27" t="str">
        <f>IFERROR(VLOOKUP(DATE($K$1,$K$2,BFB$4),Table1[],(MATCH(Calendar!$A6,DB!1:1,0)+2),FALSE),"")</f>
        <v/>
      </c>
      <c r="BFC6" s="27" t="str">
        <f>IFERROR(VLOOKUP(DATE($K$1,$K$2,BFC$4),Table1[],(MATCH(Calendar!$A6,DB!1:1,0)+2),FALSE),"")</f>
        <v/>
      </c>
      <c r="BFD6" s="27" t="str">
        <f>IFERROR(VLOOKUP(DATE($K$1,$K$2,BFD$4),Table1[],(MATCH(Calendar!$A6,DB!1:1,0)+2),FALSE),"")</f>
        <v/>
      </c>
      <c r="BFE6" s="27" t="str">
        <f>IFERROR(VLOOKUP(DATE($K$1,$K$2,BFE$4),Table1[],(MATCH(Calendar!$A6,DB!1:1,0)+2),FALSE),"")</f>
        <v/>
      </c>
      <c r="BFF6" s="27" t="str">
        <f>IFERROR(VLOOKUP(DATE($K$1,$K$2,BFF$4),Table1[],(MATCH(Calendar!$A6,DB!1:1,0)+2),FALSE),"")</f>
        <v/>
      </c>
      <c r="BFG6" s="27" t="str">
        <f>IFERROR(VLOOKUP(DATE($K$1,$K$2,BFG$4),Table1[],(MATCH(Calendar!$A6,DB!1:1,0)+2),FALSE),"")</f>
        <v/>
      </c>
      <c r="BFH6" s="27" t="str">
        <f>IFERROR(VLOOKUP(DATE($K$1,$K$2,BFH$4),Table1[],(MATCH(Calendar!$A6,DB!1:1,0)+2),FALSE),"")</f>
        <v/>
      </c>
      <c r="BFI6" s="27" t="str">
        <f>IFERROR(VLOOKUP(DATE($K$1,$K$2,BFI$4),Table1[],(MATCH(Calendar!$A6,DB!1:1,0)+2),FALSE),"")</f>
        <v/>
      </c>
      <c r="BFJ6" s="27" t="str">
        <f>IFERROR(VLOOKUP(DATE($K$1,$K$2,BFJ$4),Table1[],(MATCH(Calendar!$A6,DB!1:1,0)+2),FALSE),"")</f>
        <v/>
      </c>
      <c r="BFK6" s="27" t="str">
        <f>IFERROR(VLOOKUP(DATE($K$1,$K$2,BFK$4),Table1[],(MATCH(Calendar!$A6,DB!1:1,0)+2),FALSE),"")</f>
        <v/>
      </c>
      <c r="BFL6" s="27" t="str">
        <f>IFERROR(VLOOKUP(DATE($K$1,$K$2,BFL$4),Table1[],(MATCH(Calendar!$A6,DB!1:1,0)+2),FALSE),"")</f>
        <v/>
      </c>
      <c r="BFM6" s="27" t="str">
        <f>IFERROR(VLOOKUP(DATE($K$1,$K$2,BFM$4),Table1[],(MATCH(Calendar!$A6,DB!1:1,0)+2),FALSE),"")</f>
        <v/>
      </c>
      <c r="BFN6" s="27" t="str">
        <f>IFERROR(VLOOKUP(DATE($K$1,$K$2,BFN$4),Table1[],(MATCH(Calendar!$A6,DB!1:1,0)+2),FALSE),"")</f>
        <v/>
      </c>
      <c r="BFO6" s="27" t="str">
        <f>IFERROR(VLOOKUP(DATE($K$1,$K$2,BFO$4),Table1[],(MATCH(Calendar!$A6,DB!1:1,0)+2),FALSE),"")</f>
        <v/>
      </c>
      <c r="BFP6" s="27" t="str">
        <f>IFERROR(VLOOKUP(DATE($K$1,$K$2,BFP$4),Table1[],(MATCH(Calendar!$A6,DB!1:1,0)+2),FALSE),"")</f>
        <v/>
      </c>
      <c r="BFQ6" s="27" t="str">
        <f>IFERROR(VLOOKUP(DATE($K$1,$K$2,BFQ$4),Table1[],(MATCH(Calendar!$A6,DB!1:1,0)+2),FALSE),"")</f>
        <v/>
      </c>
      <c r="BFR6" s="27" t="str">
        <f>IFERROR(VLOOKUP(DATE($K$1,$K$2,BFR$4),Table1[],(MATCH(Calendar!$A6,DB!1:1,0)+2),FALSE),"")</f>
        <v/>
      </c>
      <c r="BFS6" s="27" t="str">
        <f>IFERROR(VLOOKUP(DATE($K$1,$K$2,BFS$4),Table1[],(MATCH(Calendar!$A6,DB!1:1,0)+2),FALSE),"")</f>
        <v/>
      </c>
      <c r="BFT6" s="27" t="str">
        <f>IFERROR(VLOOKUP(DATE($K$1,$K$2,BFT$4),Table1[],(MATCH(Calendar!$A6,DB!1:1,0)+2),FALSE),"")</f>
        <v/>
      </c>
      <c r="BFU6" s="27" t="str">
        <f>IFERROR(VLOOKUP(DATE($K$1,$K$2,BFU$4),Table1[],(MATCH(Calendar!$A6,DB!1:1,0)+2),FALSE),"")</f>
        <v/>
      </c>
      <c r="BFV6" s="27" t="str">
        <f>IFERROR(VLOOKUP(DATE($K$1,$K$2,BFV$4),Table1[],(MATCH(Calendar!$A6,DB!1:1,0)+2),FALSE),"")</f>
        <v/>
      </c>
      <c r="BFW6" s="27" t="str">
        <f>IFERROR(VLOOKUP(DATE($K$1,$K$2,BFW$4),Table1[],(MATCH(Calendar!$A6,DB!1:1,0)+2),FALSE),"")</f>
        <v/>
      </c>
      <c r="BFX6" s="27" t="str">
        <f>IFERROR(VLOOKUP(DATE($K$1,$K$2,BFX$4),Table1[],(MATCH(Calendar!$A6,DB!1:1,0)+2),FALSE),"")</f>
        <v/>
      </c>
      <c r="BFY6" s="27" t="str">
        <f>IFERROR(VLOOKUP(DATE($K$1,$K$2,BFY$4),Table1[],(MATCH(Calendar!$A6,DB!1:1,0)+2),FALSE),"")</f>
        <v/>
      </c>
      <c r="BFZ6" s="27" t="str">
        <f>IFERROR(VLOOKUP(DATE($K$1,$K$2,BFZ$4),Table1[],(MATCH(Calendar!$A6,DB!1:1,0)+2),FALSE),"")</f>
        <v/>
      </c>
      <c r="BGA6" s="27" t="str">
        <f>IFERROR(VLOOKUP(DATE($K$1,$K$2,BGA$4),Table1[],(MATCH(Calendar!$A6,DB!1:1,0)+2),FALSE),"")</f>
        <v/>
      </c>
      <c r="BGB6" s="27" t="str">
        <f>IFERROR(VLOOKUP(DATE($K$1,$K$2,BGB$4),Table1[],(MATCH(Calendar!$A6,DB!1:1,0)+2),FALSE),"")</f>
        <v/>
      </c>
      <c r="BGC6" s="27" t="str">
        <f>IFERROR(VLOOKUP(DATE($K$1,$K$2,BGC$4),Table1[],(MATCH(Calendar!$A6,DB!1:1,0)+2),FALSE),"")</f>
        <v/>
      </c>
      <c r="BGD6" s="27" t="str">
        <f>IFERROR(VLOOKUP(DATE($K$1,$K$2,BGD$4),Table1[],(MATCH(Calendar!$A6,DB!1:1,0)+2),FALSE),"")</f>
        <v/>
      </c>
      <c r="BGE6" s="27" t="str">
        <f>IFERROR(VLOOKUP(DATE($K$1,$K$2,BGE$4),Table1[],(MATCH(Calendar!$A6,DB!1:1,0)+2),FALSE),"")</f>
        <v/>
      </c>
      <c r="BGF6" s="27" t="str">
        <f>IFERROR(VLOOKUP(DATE($K$1,$K$2,BGF$4),Table1[],(MATCH(Calendar!$A6,DB!1:1,0)+2),FALSE),"")</f>
        <v/>
      </c>
      <c r="BGG6" s="27" t="str">
        <f>IFERROR(VLOOKUP(DATE($K$1,$K$2,BGG$4),Table1[],(MATCH(Calendar!$A6,DB!1:1,0)+2),FALSE),"")</f>
        <v/>
      </c>
      <c r="BGH6" s="27" t="str">
        <f>IFERROR(VLOOKUP(DATE($K$1,$K$2,BGH$4),Table1[],(MATCH(Calendar!$A6,DB!1:1,0)+2),FALSE),"")</f>
        <v/>
      </c>
      <c r="BGI6" s="27" t="str">
        <f>IFERROR(VLOOKUP(DATE($K$1,$K$2,BGI$4),Table1[],(MATCH(Calendar!$A6,DB!1:1,0)+2),FALSE),"")</f>
        <v/>
      </c>
      <c r="BGJ6" s="27" t="str">
        <f>IFERROR(VLOOKUP(DATE($K$1,$K$2,BGJ$4),Table1[],(MATCH(Calendar!$A6,DB!1:1,0)+2),FALSE),"")</f>
        <v/>
      </c>
      <c r="BGK6" s="27" t="str">
        <f>IFERROR(VLOOKUP(DATE($K$1,$K$2,BGK$4),Table1[],(MATCH(Calendar!$A6,DB!1:1,0)+2),FALSE),"")</f>
        <v/>
      </c>
      <c r="BGL6" s="27" t="str">
        <f>IFERROR(VLOOKUP(DATE($K$1,$K$2,BGL$4),Table1[],(MATCH(Calendar!$A6,DB!1:1,0)+2),FALSE),"")</f>
        <v/>
      </c>
      <c r="BGM6" s="27" t="str">
        <f>IFERROR(VLOOKUP(DATE($K$1,$K$2,BGM$4),Table1[],(MATCH(Calendar!$A6,DB!1:1,0)+2),FALSE),"")</f>
        <v/>
      </c>
      <c r="BGN6" s="27" t="str">
        <f>IFERROR(VLOOKUP(DATE($K$1,$K$2,BGN$4),Table1[],(MATCH(Calendar!$A6,DB!1:1,0)+2),FALSE),"")</f>
        <v/>
      </c>
      <c r="BGO6" s="27" t="str">
        <f>IFERROR(VLOOKUP(DATE($K$1,$K$2,BGO$4),Table1[],(MATCH(Calendar!$A6,DB!1:1,0)+2),FALSE),"")</f>
        <v/>
      </c>
      <c r="BGP6" s="27" t="str">
        <f>IFERROR(VLOOKUP(DATE($K$1,$K$2,BGP$4),Table1[],(MATCH(Calendar!$A6,DB!1:1,0)+2),FALSE),"")</f>
        <v/>
      </c>
      <c r="BGQ6" s="27" t="str">
        <f>IFERROR(VLOOKUP(DATE($K$1,$K$2,BGQ$4),Table1[],(MATCH(Calendar!$A6,DB!1:1,0)+2),FALSE),"")</f>
        <v/>
      </c>
      <c r="BGR6" s="27" t="str">
        <f>IFERROR(VLOOKUP(DATE($K$1,$K$2,BGR$4),Table1[],(MATCH(Calendar!$A6,DB!1:1,0)+2),FALSE),"")</f>
        <v/>
      </c>
      <c r="BGS6" s="27" t="str">
        <f>IFERROR(VLOOKUP(DATE($K$1,$K$2,BGS$4),Table1[],(MATCH(Calendar!$A6,DB!1:1,0)+2),FALSE),"")</f>
        <v/>
      </c>
      <c r="BGT6" s="27" t="str">
        <f>IFERROR(VLOOKUP(DATE($K$1,$K$2,BGT$4),Table1[],(MATCH(Calendar!$A6,DB!1:1,0)+2),FALSE),"")</f>
        <v/>
      </c>
      <c r="BGU6" s="27" t="str">
        <f>IFERROR(VLOOKUP(DATE($K$1,$K$2,BGU$4),Table1[],(MATCH(Calendar!$A6,DB!1:1,0)+2),FALSE),"")</f>
        <v/>
      </c>
      <c r="BGV6" s="27" t="str">
        <f>IFERROR(VLOOKUP(DATE($K$1,$K$2,BGV$4),Table1[],(MATCH(Calendar!$A6,DB!1:1,0)+2),FALSE),"")</f>
        <v/>
      </c>
      <c r="BGW6" s="27" t="str">
        <f>IFERROR(VLOOKUP(DATE($K$1,$K$2,BGW$4),Table1[],(MATCH(Calendar!$A6,DB!1:1,0)+2),FALSE),"")</f>
        <v/>
      </c>
      <c r="BGX6" s="27" t="str">
        <f>IFERROR(VLOOKUP(DATE($K$1,$K$2,BGX$4),Table1[],(MATCH(Calendar!$A6,DB!1:1,0)+2),FALSE),"")</f>
        <v/>
      </c>
      <c r="BGY6" s="27" t="str">
        <f>IFERROR(VLOOKUP(DATE($K$1,$K$2,BGY$4),Table1[],(MATCH(Calendar!$A6,DB!1:1,0)+2),FALSE),"")</f>
        <v/>
      </c>
      <c r="BGZ6" s="27" t="str">
        <f>IFERROR(VLOOKUP(DATE($K$1,$K$2,BGZ$4),Table1[],(MATCH(Calendar!$A6,DB!1:1,0)+2),FALSE),"")</f>
        <v/>
      </c>
      <c r="BHA6" s="27" t="str">
        <f>IFERROR(VLOOKUP(DATE($K$1,$K$2,BHA$4),Table1[],(MATCH(Calendar!$A6,DB!1:1,0)+2),FALSE),"")</f>
        <v/>
      </c>
      <c r="BHB6" s="27" t="str">
        <f>IFERROR(VLOOKUP(DATE($K$1,$K$2,BHB$4),Table1[],(MATCH(Calendar!$A6,DB!1:1,0)+2),FALSE),"")</f>
        <v/>
      </c>
      <c r="BHC6" s="27" t="str">
        <f>IFERROR(VLOOKUP(DATE($K$1,$K$2,BHC$4),Table1[],(MATCH(Calendar!$A6,DB!1:1,0)+2),FALSE),"")</f>
        <v/>
      </c>
      <c r="BHD6" s="27" t="str">
        <f>IFERROR(VLOOKUP(DATE($K$1,$K$2,BHD$4),Table1[],(MATCH(Calendar!$A6,DB!1:1,0)+2),FALSE),"")</f>
        <v/>
      </c>
      <c r="BHE6" s="27" t="str">
        <f>IFERROR(VLOOKUP(DATE($K$1,$K$2,BHE$4),Table1[],(MATCH(Calendar!$A6,DB!1:1,0)+2),FALSE),"")</f>
        <v/>
      </c>
      <c r="BHF6" s="27" t="str">
        <f>IFERROR(VLOOKUP(DATE($K$1,$K$2,BHF$4),Table1[],(MATCH(Calendar!$A6,DB!1:1,0)+2),FALSE),"")</f>
        <v/>
      </c>
      <c r="BHG6" s="27" t="str">
        <f>IFERROR(VLOOKUP(DATE($K$1,$K$2,BHG$4),Table1[],(MATCH(Calendar!$A6,DB!1:1,0)+2),FALSE),"")</f>
        <v/>
      </c>
      <c r="BHH6" s="27" t="str">
        <f>IFERROR(VLOOKUP(DATE($K$1,$K$2,BHH$4),Table1[],(MATCH(Calendar!$A6,DB!1:1,0)+2),FALSE),"")</f>
        <v/>
      </c>
      <c r="BHI6" s="27" t="str">
        <f>IFERROR(VLOOKUP(DATE($K$1,$K$2,BHI$4),Table1[],(MATCH(Calendar!$A6,DB!1:1,0)+2),FALSE),"")</f>
        <v/>
      </c>
      <c r="BHJ6" s="27" t="str">
        <f>IFERROR(VLOOKUP(DATE($K$1,$K$2,BHJ$4),Table1[],(MATCH(Calendar!$A6,DB!1:1,0)+2),FALSE),"")</f>
        <v/>
      </c>
      <c r="BHK6" s="27" t="str">
        <f>IFERROR(VLOOKUP(DATE($K$1,$K$2,BHK$4),Table1[],(MATCH(Calendar!$A6,DB!1:1,0)+2),FALSE),"")</f>
        <v/>
      </c>
      <c r="BHL6" s="27" t="str">
        <f>IFERROR(VLOOKUP(DATE($K$1,$K$2,BHL$4),Table1[],(MATCH(Calendar!$A6,DB!1:1,0)+2),FALSE),"")</f>
        <v/>
      </c>
      <c r="BHM6" s="27" t="str">
        <f>IFERROR(VLOOKUP(DATE($K$1,$K$2,BHM$4),Table1[],(MATCH(Calendar!$A6,DB!1:1,0)+2),FALSE),"")</f>
        <v/>
      </c>
      <c r="BHN6" s="27" t="str">
        <f>IFERROR(VLOOKUP(DATE($K$1,$K$2,BHN$4),Table1[],(MATCH(Calendar!$A6,DB!1:1,0)+2),FALSE),"")</f>
        <v/>
      </c>
      <c r="BHO6" s="27" t="str">
        <f>IFERROR(VLOOKUP(DATE($K$1,$K$2,BHO$4),Table1[],(MATCH(Calendar!$A6,DB!1:1,0)+2),FALSE),"")</f>
        <v/>
      </c>
      <c r="BHP6" s="27" t="str">
        <f>IFERROR(VLOOKUP(DATE($K$1,$K$2,BHP$4),Table1[],(MATCH(Calendar!$A6,DB!1:1,0)+2),FALSE),"")</f>
        <v/>
      </c>
      <c r="BHQ6" s="27" t="str">
        <f>IFERROR(VLOOKUP(DATE($K$1,$K$2,BHQ$4),Table1[],(MATCH(Calendar!$A6,DB!1:1,0)+2),FALSE),"")</f>
        <v/>
      </c>
      <c r="BHR6" s="27" t="str">
        <f>IFERROR(VLOOKUP(DATE($K$1,$K$2,BHR$4),Table1[],(MATCH(Calendar!$A6,DB!1:1,0)+2),FALSE),"")</f>
        <v/>
      </c>
      <c r="BHS6" s="27" t="str">
        <f>IFERROR(VLOOKUP(DATE($K$1,$K$2,BHS$4),Table1[],(MATCH(Calendar!$A6,DB!1:1,0)+2),FALSE),"")</f>
        <v/>
      </c>
      <c r="BHT6" s="27" t="str">
        <f>IFERROR(VLOOKUP(DATE($K$1,$K$2,BHT$4),Table1[],(MATCH(Calendar!$A6,DB!1:1,0)+2),FALSE),"")</f>
        <v/>
      </c>
      <c r="BHU6" s="27" t="str">
        <f>IFERROR(VLOOKUP(DATE($K$1,$K$2,BHU$4),Table1[],(MATCH(Calendar!$A6,DB!1:1,0)+2),FALSE),"")</f>
        <v/>
      </c>
      <c r="BHV6" s="27" t="str">
        <f>IFERROR(VLOOKUP(DATE($K$1,$K$2,BHV$4),Table1[],(MATCH(Calendar!$A6,DB!1:1,0)+2),FALSE),"")</f>
        <v/>
      </c>
      <c r="BHW6" s="27" t="str">
        <f>IFERROR(VLOOKUP(DATE($K$1,$K$2,BHW$4),Table1[],(MATCH(Calendar!$A6,DB!1:1,0)+2),FALSE),"")</f>
        <v/>
      </c>
      <c r="BHX6" s="27" t="str">
        <f>IFERROR(VLOOKUP(DATE($K$1,$K$2,BHX$4),Table1[],(MATCH(Calendar!$A6,DB!1:1,0)+2),FALSE),"")</f>
        <v/>
      </c>
      <c r="BHY6" s="27" t="str">
        <f>IFERROR(VLOOKUP(DATE($K$1,$K$2,BHY$4),Table1[],(MATCH(Calendar!$A6,DB!1:1,0)+2),FALSE),"")</f>
        <v/>
      </c>
      <c r="BHZ6" s="27" t="str">
        <f>IFERROR(VLOOKUP(DATE($K$1,$K$2,BHZ$4),Table1[],(MATCH(Calendar!$A6,DB!1:1,0)+2),FALSE),"")</f>
        <v/>
      </c>
      <c r="BIA6" s="27" t="str">
        <f>IFERROR(VLOOKUP(DATE($K$1,$K$2,BIA$4),Table1[],(MATCH(Calendar!$A6,DB!1:1,0)+2),FALSE),"")</f>
        <v/>
      </c>
      <c r="BIB6" s="27" t="str">
        <f>IFERROR(VLOOKUP(DATE($K$1,$K$2,BIB$4),Table1[],(MATCH(Calendar!$A6,DB!1:1,0)+2),FALSE),"")</f>
        <v/>
      </c>
      <c r="BIC6" s="27" t="str">
        <f>IFERROR(VLOOKUP(DATE($K$1,$K$2,BIC$4),Table1[],(MATCH(Calendar!$A6,DB!1:1,0)+2),FALSE),"")</f>
        <v/>
      </c>
      <c r="BID6" s="27" t="str">
        <f>IFERROR(VLOOKUP(DATE($K$1,$K$2,BID$4),Table1[],(MATCH(Calendar!$A6,DB!1:1,0)+2),FALSE),"")</f>
        <v/>
      </c>
      <c r="BIE6" s="27" t="str">
        <f>IFERROR(VLOOKUP(DATE($K$1,$K$2,BIE$4),Table1[],(MATCH(Calendar!$A6,DB!1:1,0)+2),FALSE),"")</f>
        <v/>
      </c>
      <c r="BIF6" s="27" t="str">
        <f>IFERROR(VLOOKUP(DATE($K$1,$K$2,BIF$4),Table1[],(MATCH(Calendar!$A6,DB!1:1,0)+2),FALSE),"")</f>
        <v/>
      </c>
      <c r="BIG6" s="27" t="str">
        <f>IFERROR(VLOOKUP(DATE($K$1,$K$2,BIG$4),Table1[],(MATCH(Calendar!$A6,DB!1:1,0)+2),FALSE),"")</f>
        <v/>
      </c>
      <c r="BIH6" s="27" t="str">
        <f>IFERROR(VLOOKUP(DATE($K$1,$K$2,BIH$4),Table1[],(MATCH(Calendar!$A6,DB!1:1,0)+2),FALSE),"")</f>
        <v/>
      </c>
      <c r="BII6" s="27" t="str">
        <f>IFERROR(VLOOKUP(DATE($K$1,$K$2,BII$4),Table1[],(MATCH(Calendar!$A6,DB!1:1,0)+2),FALSE),"")</f>
        <v/>
      </c>
      <c r="BIJ6" s="27" t="str">
        <f>IFERROR(VLOOKUP(DATE($K$1,$K$2,BIJ$4),Table1[],(MATCH(Calendar!$A6,DB!1:1,0)+2),FALSE),"")</f>
        <v/>
      </c>
      <c r="BIK6" s="27" t="str">
        <f>IFERROR(VLOOKUP(DATE($K$1,$K$2,BIK$4),Table1[],(MATCH(Calendar!$A6,DB!1:1,0)+2),FALSE),"")</f>
        <v/>
      </c>
      <c r="BIL6" s="27" t="str">
        <f>IFERROR(VLOOKUP(DATE($K$1,$K$2,BIL$4),Table1[],(MATCH(Calendar!$A6,DB!1:1,0)+2),FALSE),"")</f>
        <v/>
      </c>
      <c r="BIM6" s="27" t="str">
        <f>IFERROR(VLOOKUP(DATE($K$1,$K$2,BIM$4),Table1[],(MATCH(Calendar!$A6,DB!1:1,0)+2),FALSE),"")</f>
        <v/>
      </c>
      <c r="BIN6" s="27" t="str">
        <f>IFERROR(VLOOKUP(DATE($K$1,$K$2,BIN$4),Table1[],(MATCH(Calendar!$A6,DB!1:1,0)+2),FALSE),"")</f>
        <v/>
      </c>
      <c r="BIO6" s="27" t="str">
        <f>IFERROR(VLOOKUP(DATE($K$1,$K$2,BIO$4),Table1[],(MATCH(Calendar!$A6,DB!1:1,0)+2),FALSE),"")</f>
        <v/>
      </c>
      <c r="BIP6" s="27" t="str">
        <f>IFERROR(VLOOKUP(DATE($K$1,$K$2,BIP$4),Table1[],(MATCH(Calendar!$A6,DB!1:1,0)+2),FALSE),"")</f>
        <v/>
      </c>
      <c r="BIQ6" s="27" t="str">
        <f>IFERROR(VLOOKUP(DATE($K$1,$K$2,BIQ$4),Table1[],(MATCH(Calendar!$A6,DB!1:1,0)+2),FALSE),"")</f>
        <v/>
      </c>
      <c r="BIR6" s="27" t="str">
        <f>IFERROR(VLOOKUP(DATE($K$1,$K$2,BIR$4),Table1[],(MATCH(Calendar!$A6,DB!1:1,0)+2),FALSE),"")</f>
        <v/>
      </c>
      <c r="BIS6" s="27" t="str">
        <f>IFERROR(VLOOKUP(DATE($K$1,$K$2,BIS$4),Table1[],(MATCH(Calendar!$A6,DB!1:1,0)+2),FALSE),"")</f>
        <v/>
      </c>
      <c r="BIT6" s="27" t="str">
        <f>IFERROR(VLOOKUP(DATE($K$1,$K$2,BIT$4),Table1[],(MATCH(Calendar!$A6,DB!1:1,0)+2),FALSE),"")</f>
        <v/>
      </c>
      <c r="BIU6" s="27" t="str">
        <f>IFERROR(VLOOKUP(DATE($K$1,$K$2,BIU$4),Table1[],(MATCH(Calendar!$A6,DB!1:1,0)+2),FALSE),"")</f>
        <v/>
      </c>
      <c r="BIV6" s="27" t="str">
        <f>IFERROR(VLOOKUP(DATE($K$1,$K$2,BIV$4),Table1[],(MATCH(Calendar!$A6,DB!1:1,0)+2),FALSE),"")</f>
        <v/>
      </c>
      <c r="BIW6" s="27" t="str">
        <f>IFERROR(VLOOKUP(DATE($K$1,$K$2,BIW$4),Table1[],(MATCH(Calendar!$A6,DB!1:1,0)+2),FALSE),"")</f>
        <v/>
      </c>
      <c r="BIX6" s="27" t="str">
        <f>IFERROR(VLOOKUP(DATE($K$1,$K$2,BIX$4),Table1[],(MATCH(Calendar!$A6,DB!1:1,0)+2),FALSE),"")</f>
        <v/>
      </c>
      <c r="BIY6" s="27" t="str">
        <f>IFERROR(VLOOKUP(DATE($K$1,$K$2,BIY$4),Table1[],(MATCH(Calendar!$A6,DB!1:1,0)+2),FALSE),"")</f>
        <v/>
      </c>
      <c r="BIZ6" s="27" t="str">
        <f>IFERROR(VLOOKUP(DATE($K$1,$K$2,BIZ$4),Table1[],(MATCH(Calendar!$A6,DB!1:1,0)+2),FALSE),"")</f>
        <v/>
      </c>
      <c r="BJA6" s="27" t="str">
        <f>IFERROR(VLOOKUP(DATE($K$1,$K$2,BJA$4),Table1[],(MATCH(Calendar!$A6,DB!1:1,0)+2),FALSE),"")</f>
        <v/>
      </c>
      <c r="BJB6" s="27" t="str">
        <f>IFERROR(VLOOKUP(DATE($K$1,$K$2,BJB$4),Table1[],(MATCH(Calendar!$A6,DB!1:1,0)+2),FALSE),"")</f>
        <v/>
      </c>
      <c r="BJC6" s="27" t="str">
        <f>IFERROR(VLOOKUP(DATE($K$1,$K$2,BJC$4),Table1[],(MATCH(Calendar!$A6,DB!1:1,0)+2),FALSE),"")</f>
        <v/>
      </c>
      <c r="BJD6" s="27" t="str">
        <f>IFERROR(VLOOKUP(DATE($K$1,$K$2,BJD$4),Table1[],(MATCH(Calendar!$A6,DB!1:1,0)+2),FALSE),"")</f>
        <v/>
      </c>
      <c r="BJE6" s="27" t="str">
        <f>IFERROR(VLOOKUP(DATE($K$1,$K$2,BJE$4),Table1[],(MATCH(Calendar!$A6,DB!1:1,0)+2),FALSE),"")</f>
        <v/>
      </c>
      <c r="BJF6" s="27" t="str">
        <f>IFERROR(VLOOKUP(DATE($K$1,$K$2,BJF$4),Table1[],(MATCH(Calendar!$A6,DB!1:1,0)+2),FALSE),"")</f>
        <v/>
      </c>
      <c r="BJG6" s="27" t="str">
        <f>IFERROR(VLOOKUP(DATE($K$1,$K$2,BJG$4),Table1[],(MATCH(Calendar!$A6,DB!1:1,0)+2),FALSE),"")</f>
        <v/>
      </c>
      <c r="BJH6" s="27" t="str">
        <f>IFERROR(VLOOKUP(DATE($K$1,$K$2,BJH$4),Table1[],(MATCH(Calendar!$A6,DB!1:1,0)+2),FALSE),"")</f>
        <v/>
      </c>
      <c r="BJI6" s="27" t="str">
        <f>IFERROR(VLOOKUP(DATE($K$1,$K$2,BJI$4),Table1[],(MATCH(Calendar!$A6,DB!1:1,0)+2),FALSE),"")</f>
        <v/>
      </c>
      <c r="BJJ6" s="27" t="str">
        <f>IFERROR(VLOOKUP(DATE($K$1,$K$2,BJJ$4),Table1[],(MATCH(Calendar!$A6,DB!1:1,0)+2),FALSE),"")</f>
        <v/>
      </c>
      <c r="BJK6" s="27" t="str">
        <f>IFERROR(VLOOKUP(DATE($K$1,$K$2,BJK$4),Table1[],(MATCH(Calendar!$A6,DB!1:1,0)+2),FALSE),"")</f>
        <v/>
      </c>
      <c r="BJL6" s="27" t="str">
        <f>IFERROR(VLOOKUP(DATE($K$1,$K$2,BJL$4),Table1[],(MATCH(Calendar!$A6,DB!1:1,0)+2),FALSE),"")</f>
        <v/>
      </c>
      <c r="BJM6" s="27" t="str">
        <f>IFERROR(VLOOKUP(DATE($K$1,$K$2,BJM$4),Table1[],(MATCH(Calendar!$A6,DB!1:1,0)+2),FALSE),"")</f>
        <v/>
      </c>
      <c r="BJN6" s="27" t="str">
        <f>IFERROR(VLOOKUP(DATE($K$1,$K$2,BJN$4),Table1[],(MATCH(Calendar!$A6,DB!1:1,0)+2),FALSE),"")</f>
        <v/>
      </c>
      <c r="BJO6" s="27" t="str">
        <f>IFERROR(VLOOKUP(DATE($K$1,$K$2,BJO$4),Table1[],(MATCH(Calendar!$A6,DB!1:1,0)+2),FALSE),"")</f>
        <v/>
      </c>
      <c r="BJP6" s="27" t="str">
        <f>IFERROR(VLOOKUP(DATE($K$1,$K$2,BJP$4),Table1[],(MATCH(Calendar!$A6,DB!1:1,0)+2),FALSE),"")</f>
        <v/>
      </c>
      <c r="BJQ6" s="27" t="str">
        <f>IFERROR(VLOOKUP(DATE($K$1,$K$2,BJQ$4),Table1[],(MATCH(Calendar!$A6,DB!1:1,0)+2),FALSE),"")</f>
        <v/>
      </c>
      <c r="BJR6" s="27" t="str">
        <f>IFERROR(VLOOKUP(DATE($K$1,$K$2,BJR$4),Table1[],(MATCH(Calendar!$A6,DB!1:1,0)+2),FALSE),"")</f>
        <v/>
      </c>
      <c r="BJS6" s="27" t="str">
        <f>IFERROR(VLOOKUP(DATE($K$1,$K$2,BJS$4),Table1[],(MATCH(Calendar!$A6,DB!1:1,0)+2),FALSE),"")</f>
        <v/>
      </c>
      <c r="BJT6" s="27" t="str">
        <f>IFERROR(VLOOKUP(DATE($K$1,$K$2,BJT$4),Table1[],(MATCH(Calendar!$A6,DB!1:1,0)+2),FALSE),"")</f>
        <v/>
      </c>
      <c r="BJU6" s="27" t="str">
        <f>IFERROR(VLOOKUP(DATE($K$1,$K$2,BJU$4),Table1[],(MATCH(Calendar!$A6,DB!1:1,0)+2),FALSE),"")</f>
        <v/>
      </c>
      <c r="BJV6" s="27" t="str">
        <f>IFERROR(VLOOKUP(DATE($K$1,$K$2,BJV$4),Table1[],(MATCH(Calendar!$A6,DB!1:1,0)+2),FALSE),"")</f>
        <v/>
      </c>
      <c r="BJW6" s="27" t="str">
        <f>IFERROR(VLOOKUP(DATE($K$1,$K$2,BJW$4),Table1[],(MATCH(Calendar!$A6,DB!1:1,0)+2),FALSE),"")</f>
        <v/>
      </c>
      <c r="BJX6" s="27" t="str">
        <f>IFERROR(VLOOKUP(DATE($K$1,$K$2,BJX$4),Table1[],(MATCH(Calendar!$A6,DB!1:1,0)+2),FALSE),"")</f>
        <v/>
      </c>
      <c r="BJY6" s="27" t="str">
        <f>IFERROR(VLOOKUP(DATE($K$1,$K$2,BJY$4),Table1[],(MATCH(Calendar!$A6,DB!1:1,0)+2),FALSE),"")</f>
        <v/>
      </c>
      <c r="BJZ6" s="27" t="str">
        <f>IFERROR(VLOOKUP(DATE($K$1,$K$2,BJZ$4),Table1[],(MATCH(Calendar!$A6,DB!1:1,0)+2),FALSE),"")</f>
        <v/>
      </c>
      <c r="BKA6" s="27" t="str">
        <f>IFERROR(VLOOKUP(DATE($K$1,$K$2,BKA$4),Table1[],(MATCH(Calendar!$A6,DB!1:1,0)+2),FALSE),"")</f>
        <v/>
      </c>
      <c r="BKB6" s="27" t="str">
        <f>IFERROR(VLOOKUP(DATE($K$1,$K$2,BKB$4),Table1[],(MATCH(Calendar!$A6,DB!1:1,0)+2),FALSE),"")</f>
        <v/>
      </c>
      <c r="BKC6" s="27" t="str">
        <f>IFERROR(VLOOKUP(DATE($K$1,$K$2,BKC$4),Table1[],(MATCH(Calendar!$A6,DB!1:1,0)+2),FALSE),"")</f>
        <v/>
      </c>
      <c r="BKD6" s="27" t="str">
        <f>IFERROR(VLOOKUP(DATE($K$1,$K$2,BKD$4),Table1[],(MATCH(Calendar!$A6,DB!1:1,0)+2),FALSE),"")</f>
        <v/>
      </c>
      <c r="BKE6" s="27" t="str">
        <f>IFERROR(VLOOKUP(DATE($K$1,$K$2,BKE$4),Table1[],(MATCH(Calendar!$A6,DB!1:1,0)+2),FALSE),"")</f>
        <v/>
      </c>
      <c r="BKF6" s="27" t="str">
        <f>IFERROR(VLOOKUP(DATE($K$1,$K$2,BKF$4),Table1[],(MATCH(Calendar!$A6,DB!1:1,0)+2),FALSE),"")</f>
        <v/>
      </c>
      <c r="BKG6" s="27" t="str">
        <f>IFERROR(VLOOKUP(DATE($K$1,$K$2,BKG$4),Table1[],(MATCH(Calendar!$A6,DB!1:1,0)+2),FALSE),"")</f>
        <v/>
      </c>
      <c r="BKH6" s="27" t="str">
        <f>IFERROR(VLOOKUP(DATE($K$1,$K$2,BKH$4),Table1[],(MATCH(Calendar!$A6,DB!1:1,0)+2),FALSE),"")</f>
        <v/>
      </c>
      <c r="BKI6" s="27" t="str">
        <f>IFERROR(VLOOKUP(DATE($K$1,$K$2,BKI$4),Table1[],(MATCH(Calendar!$A6,DB!1:1,0)+2),FALSE),"")</f>
        <v/>
      </c>
      <c r="BKJ6" s="27" t="str">
        <f>IFERROR(VLOOKUP(DATE($K$1,$K$2,BKJ$4),Table1[],(MATCH(Calendar!$A6,DB!1:1,0)+2),FALSE),"")</f>
        <v/>
      </c>
      <c r="BKK6" s="27" t="str">
        <f>IFERROR(VLOOKUP(DATE($K$1,$K$2,BKK$4),Table1[],(MATCH(Calendar!$A6,DB!1:1,0)+2),FALSE),"")</f>
        <v/>
      </c>
      <c r="BKL6" s="27" t="str">
        <f>IFERROR(VLOOKUP(DATE($K$1,$K$2,BKL$4),Table1[],(MATCH(Calendar!$A6,DB!1:1,0)+2),FALSE),"")</f>
        <v/>
      </c>
      <c r="BKM6" s="27" t="str">
        <f>IFERROR(VLOOKUP(DATE($K$1,$K$2,BKM$4),Table1[],(MATCH(Calendar!$A6,DB!1:1,0)+2),FALSE),"")</f>
        <v/>
      </c>
      <c r="BKN6" s="27" t="str">
        <f>IFERROR(VLOOKUP(DATE($K$1,$K$2,BKN$4),Table1[],(MATCH(Calendar!$A6,DB!1:1,0)+2),FALSE),"")</f>
        <v/>
      </c>
      <c r="BKO6" s="27" t="str">
        <f>IFERROR(VLOOKUP(DATE($K$1,$K$2,BKO$4),Table1[],(MATCH(Calendar!$A6,DB!1:1,0)+2),FALSE),"")</f>
        <v/>
      </c>
      <c r="BKP6" s="27" t="str">
        <f>IFERROR(VLOOKUP(DATE($K$1,$K$2,BKP$4),Table1[],(MATCH(Calendar!$A6,DB!1:1,0)+2),FALSE),"")</f>
        <v/>
      </c>
      <c r="BKQ6" s="27" t="str">
        <f>IFERROR(VLOOKUP(DATE($K$1,$K$2,BKQ$4),Table1[],(MATCH(Calendar!$A6,DB!1:1,0)+2),FALSE),"")</f>
        <v/>
      </c>
      <c r="BKR6" s="27" t="str">
        <f>IFERROR(VLOOKUP(DATE($K$1,$K$2,BKR$4),Table1[],(MATCH(Calendar!$A6,DB!1:1,0)+2),FALSE),"")</f>
        <v/>
      </c>
      <c r="BKS6" s="27" t="str">
        <f>IFERROR(VLOOKUP(DATE($K$1,$K$2,BKS$4),Table1[],(MATCH(Calendar!$A6,DB!1:1,0)+2),FALSE),"")</f>
        <v/>
      </c>
      <c r="BKT6" s="27" t="str">
        <f>IFERROR(VLOOKUP(DATE($K$1,$K$2,BKT$4),Table1[],(MATCH(Calendar!$A6,DB!1:1,0)+2),FALSE),"")</f>
        <v/>
      </c>
      <c r="BKU6" s="27" t="str">
        <f>IFERROR(VLOOKUP(DATE($K$1,$K$2,BKU$4),Table1[],(MATCH(Calendar!$A6,DB!1:1,0)+2),FALSE),"")</f>
        <v/>
      </c>
      <c r="BKV6" s="27" t="str">
        <f>IFERROR(VLOOKUP(DATE($K$1,$K$2,BKV$4),Table1[],(MATCH(Calendar!$A6,DB!1:1,0)+2),FALSE),"")</f>
        <v/>
      </c>
      <c r="BKW6" s="27" t="str">
        <f>IFERROR(VLOOKUP(DATE($K$1,$K$2,BKW$4),Table1[],(MATCH(Calendar!$A6,DB!1:1,0)+2),FALSE),"")</f>
        <v/>
      </c>
      <c r="BKX6" s="27" t="str">
        <f>IFERROR(VLOOKUP(DATE($K$1,$K$2,BKX$4),Table1[],(MATCH(Calendar!$A6,DB!1:1,0)+2),FALSE),"")</f>
        <v/>
      </c>
      <c r="BKY6" s="27" t="str">
        <f>IFERROR(VLOOKUP(DATE($K$1,$K$2,BKY$4),Table1[],(MATCH(Calendar!$A6,DB!1:1,0)+2),FALSE),"")</f>
        <v/>
      </c>
      <c r="BKZ6" s="27" t="str">
        <f>IFERROR(VLOOKUP(DATE($K$1,$K$2,BKZ$4),Table1[],(MATCH(Calendar!$A6,DB!1:1,0)+2),FALSE),"")</f>
        <v/>
      </c>
      <c r="BLA6" s="27" t="str">
        <f>IFERROR(VLOOKUP(DATE($K$1,$K$2,BLA$4),Table1[],(MATCH(Calendar!$A6,DB!1:1,0)+2),FALSE),"")</f>
        <v/>
      </c>
      <c r="BLB6" s="27" t="str">
        <f>IFERROR(VLOOKUP(DATE($K$1,$K$2,BLB$4),Table1[],(MATCH(Calendar!$A6,DB!1:1,0)+2),FALSE),"")</f>
        <v/>
      </c>
      <c r="BLC6" s="27" t="str">
        <f>IFERROR(VLOOKUP(DATE($K$1,$K$2,BLC$4),Table1[],(MATCH(Calendar!$A6,DB!1:1,0)+2),FALSE),"")</f>
        <v/>
      </c>
      <c r="BLD6" s="27" t="str">
        <f>IFERROR(VLOOKUP(DATE($K$1,$K$2,BLD$4),Table1[],(MATCH(Calendar!$A6,DB!1:1,0)+2),FALSE),"")</f>
        <v/>
      </c>
      <c r="BLE6" s="27" t="str">
        <f>IFERROR(VLOOKUP(DATE($K$1,$K$2,BLE$4),Table1[],(MATCH(Calendar!$A6,DB!1:1,0)+2),FALSE),"")</f>
        <v/>
      </c>
      <c r="BLF6" s="27" t="str">
        <f>IFERROR(VLOOKUP(DATE($K$1,$K$2,BLF$4),Table1[],(MATCH(Calendar!$A6,DB!1:1,0)+2),FALSE),"")</f>
        <v/>
      </c>
      <c r="BLG6" s="27" t="str">
        <f>IFERROR(VLOOKUP(DATE($K$1,$K$2,BLG$4),Table1[],(MATCH(Calendar!$A6,DB!1:1,0)+2),FALSE),"")</f>
        <v/>
      </c>
      <c r="BLH6" s="27" t="str">
        <f>IFERROR(VLOOKUP(DATE($K$1,$K$2,BLH$4),Table1[],(MATCH(Calendar!$A6,DB!1:1,0)+2),FALSE),"")</f>
        <v/>
      </c>
      <c r="BLI6" s="27" t="str">
        <f>IFERROR(VLOOKUP(DATE($K$1,$K$2,BLI$4),Table1[],(MATCH(Calendar!$A6,DB!1:1,0)+2),FALSE),"")</f>
        <v/>
      </c>
      <c r="BLJ6" s="27" t="str">
        <f>IFERROR(VLOOKUP(DATE($K$1,$K$2,BLJ$4),Table1[],(MATCH(Calendar!$A6,DB!1:1,0)+2),FALSE),"")</f>
        <v/>
      </c>
      <c r="BLK6" s="27" t="str">
        <f>IFERROR(VLOOKUP(DATE($K$1,$K$2,BLK$4),Table1[],(MATCH(Calendar!$A6,DB!1:1,0)+2),FALSE),"")</f>
        <v/>
      </c>
      <c r="BLL6" s="27" t="str">
        <f>IFERROR(VLOOKUP(DATE($K$1,$K$2,BLL$4),Table1[],(MATCH(Calendar!$A6,DB!1:1,0)+2),FALSE),"")</f>
        <v/>
      </c>
      <c r="BLM6" s="27" t="str">
        <f>IFERROR(VLOOKUP(DATE($K$1,$K$2,BLM$4),Table1[],(MATCH(Calendar!$A6,DB!1:1,0)+2),FALSE),"")</f>
        <v/>
      </c>
      <c r="BLN6" s="27" t="str">
        <f>IFERROR(VLOOKUP(DATE($K$1,$K$2,BLN$4),Table1[],(MATCH(Calendar!$A6,DB!1:1,0)+2),FALSE),"")</f>
        <v/>
      </c>
      <c r="BLO6" s="27" t="str">
        <f>IFERROR(VLOOKUP(DATE($K$1,$K$2,BLO$4),Table1[],(MATCH(Calendar!$A6,DB!1:1,0)+2),FALSE),"")</f>
        <v/>
      </c>
      <c r="BLP6" s="27" t="str">
        <f>IFERROR(VLOOKUP(DATE($K$1,$K$2,BLP$4),Table1[],(MATCH(Calendar!$A6,DB!1:1,0)+2),FALSE),"")</f>
        <v/>
      </c>
      <c r="BLQ6" s="27" t="str">
        <f>IFERROR(VLOOKUP(DATE($K$1,$K$2,BLQ$4),Table1[],(MATCH(Calendar!$A6,DB!1:1,0)+2),FALSE),"")</f>
        <v/>
      </c>
      <c r="BLR6" s="27" t="str">
        <f>IFERROR(VLOOKUP(DATE($K$1,$K$2,BLR$4),Table1[],(MATCH(Calendar!$A6,DB!1:1,0)+2),FALSE),"")</f>
        <v/>
      </c>
      <c r="BLS6" s="27" t="str">
        <f>IFERROR(VLOOKUP(DATE($K$1,$K$2,BLS$4),Table1[],(MATCH(Calendar!$A6,DB!1:1,0)+2),FALSE),"")</f>
        <v/>
      </c>
      <c r="BLT6" s="27" t="str">
        <f>IFERROR(VLOOKUP(DATE($K$1,$K$2,BLT$4),Table1[],(MATCH(Calendar!$A6,DB!1:1,0)+2),FALSE),"")</f>
        <v/>
      </c>
      <c r="BLU6" s="27" t="str">
        <f>IFERROR(VLOOKUP(DATE($K$1,$K$2,BLU$4),Table1[],(MATCH(Calendar!$A6,DB!1:1,0)+2),FALSE),"")</f>
        <v/>
      </c>
      <c r="BLV6" s="27" t="str">
        <f>IFERROR(VLOOKUP(DATE($K$1,$K$2,BLV$4),Table1[],(MATCH(Calendar!$A6,DB!1:1,0)+2),FALSE),"")</f>
        <v/>
      </c>
      <c r="BLW6" s="27" t="str">
        <f>IFERROR(VLOOKUP(DATE($K$1,$K$2,BLW$4),Table1[],(MATCH(Calendar!$A6,DB!1:1,0)+2),FALSE),"")</f>
        <v/>
      </c>
      <c r="BLX6" s="27" t="str">
        <f>IFERROR(VLOOKUP(DATE($K$1,$K$2,BLX$4),Table1[],(MATCH(Calendar!$A6,DB!1:1,0)+2),FALSE),"")</f>
        <v/>
      </c>
      <c r="BLY6" s="27" t="str">
        <f>IFERROR(VLOOKUP(DATE($K$1,$K$2,BLY$4),Table1[],(MATCH(Calendar!$A6,DB!1:1,0)+2),FALSE),"")</f>
        <v/>
      </c>
      <c r="BLZ6" s="27" t="str">
        <f>IFERROR(VLOOKUP(DATE($K$1,$K$2,BLZ$4),Table1[],(MATCH(Calendar!$A6,DB!1:1,0)+2),FALSE),"")</f>
        <v/>
      </c>
      <c r="BMA6" s="27" t="str">
        <f>IFERROR(VLOOKUP(DATE($K$1,$K$2,BMA$4),Table1[],(MATCH(Calendar!$A6,DB!1:1,0)+2),FALSE),"")</f>
        <v/>
      </c>
      <c r="BMB6" s="27" t="str">
        <f>IFERROR(VLOOKUP(DATE($K$1,$K$2,BMB$4),Table1[],(MATCH(Calendar!$A6,DB!1:1,0)+2),FALSE),"")</f>
        <v/>
      </c>
      <c r="BMC6" s="27" t="str">
        <f>IFERROR(VLOOKUP(DATE($K$1,$K$2,BMC$4),Table1[],(MATCH(Calendar!$A6,DB!1:1,0)+2),FALSE),"")</f>
        <v/>
      </c>
      <c r="BMD6" s="27" t="str">
        <f>IFERROR(VLOOKUP(DATE($K$1,$K$2,BMD$4),Table1[],(MATCH(Calendar!$A6,DB!1:1,0)+2),FALSE),"")</f>
        <v/>
      </c>
      <c r="BME6" s="27" t="str">
        <f>IFERROR(VLOOKUP(DATE($K$1,$K$2,BME$4),Table1[],(MATCH(Calendar!$A6,DB!1:1,0)+2),FALSE),"")</f>
        <v/>
      </c>
      <c r="BMF6" s="27" t="str">
        <f>IFERROR(VLOOKUP(DATE($K$1,$K$2,BMF$4),Table1[],(MATCH(Calendar!$A6,DB!1:1,0)+2),FALSE),"")</f>
        <v/>
      </c>
      <c r="BMG6" s="27" t="str">
        <f>IFERROR(VLOOKUP(DATE($K$1,$K$2,BMG$4),Table1[],(MATCH(Calendar!$A6,DB!1:1,0)+2),FALSE),"")</f>
        <v/>
      </c>
      <c r="BMH6" s="27" t="str">
        <f>IFERROR(VLOOKUP(DATE($K$1,$K$2,BMH$4),Table1[],(MATCH(Calendar!$A6,DB!1:1,0)+2),FALSE),"")</f>
        <v/>
      </c>
      <c r="BMI6" s="27" t="str">
        <f>IFERROR(VLOOKUP(DATE($K$1,$K$2,BMI$4),Table1[],(MATCH(Calendar!$A6,DB!1:1,0)+2),FALSE),"")</f>
        <v/>
      </c>
      <c r="BMJ6" s="27" t="str">
        <f>IFERROR(VLOOKUP(DATE($K$1,$K$2,BMJ$4),Table1[],(MATCH(Calendar!$A6,DB!1:1,0)+2),FALSE),"")</f>
        <v/>
      </c>
      <c r="BMK6" s="27" t="str">
        <f>IFERROR(VLOOKUP(DATE($K$1,$K$2,BMK$4),Table1[],(MATCH(Calendar!$A6,DB!1:1,0)+2),FALSE),"")</f>
        <v/>
      </c>
      <c r="BML6" s="27" t="str">
        <f>IFERROR(VLOOKUP(DATE($K$1,$K$2,BML$4),Table1[],(MATCH(Calendar!$A6,DB!1:1,0)+2),FALSE),"")</f>
        <v/>
      </c>
      <c r="BMM6" s="27" t="str">
        <f>IFERROR(VLOOKUP(DATE($K$1,$K$2,BMM$4),Table1[],(MATCH(Calendar!$A6,DB!1:1,0)+2),FALSE),"")</f>
        <v/>
      </c>
      <c r="BMN6" s="27" t="str">
        <f>IFERROR(VLOOKUP(DATE($K$1,$K$2,BMN$4),Table1[],(MATCH(Calendar!$A6,DB!1:1,0)+2),FALSE),"")</f>
        <v/>
      </c>
      <c r="BMO6" s="27" t="str">
        <f>IFERROR(VLOOKUP(DATE($K$1,$K$2,BMO$4),Table1[],(MATCH(Calendar!$A6,DB!1:1,0)+2),FALSE),"")</f>
        <v/>
      </c>
      <c r="BMP6" s="27" t="str">
        <f>IFERROR(VLOOKUP(DATE($K$1,$K$2,BMP$4),Table1[],(MATCH(Calendar!$A6,DB!1:1,0)+2),FALSE),"")</f>
        <v/>
      </c>
      <c r="BMQ6" s="27" t="str">
        <f>IFERROR(VLOOKUP(DATE($K$1,$K$2,BMQ$4),Table1[],(MATCH(Calendar!$A6,DB!1:1,0)+2),FALSE),"")</f>
        <v/>
      </c>
      <c r="BMR6" s="27" t="str">
        <f>IFERROR(VLOOKUP(DATE($K$1,$K$2,BMR$4),Table1[],(MATCH(Calendar!$A6,DB!1:1,0)+2),FALSE),"")</f>
        <v/>
      </c>
      <c r="BMS6" s="27" t="str">
        <f>IFERROR(VLOOKUP(DATE($K$1,$K$2,BMS$4),Table1[],(MATCH(Calendar!$A6,DB!1:1,0)+2),FALSE),"")</f>
        <v/>
      </c>
      <c r="BMT6" s="27" t="str">
        <f>IFERROR(VLOOKUP(DATE($K$1,$K$2,BMT$4),Table1[],(MATCH(Calendar!$A6,DB!1:1,0)+2),FALSE),"")</f>
        <v/>
      </c>
      <c r="BMU6" s="27" t="str">
        <f>IFERROR(VLOOKUP(DATE($K$1,$K$2,BMU$4),Table1[],(MATCH(Calendar!$A6,DB!1:1,0)+2),FALSE),"")</f>
        <v/>
      </c>
      <c r="BMV6" s="27" t="str">
        <f>IFERROR(VLOOKUP(DATE($K$1,$K$2,BMV$4),Table1[],(MATCH(Calendar!$A6,DB!1:1,0)+2),FALSE),"")</f>
        <v/>
      </c>
      <c r="BMW6" s="27" t="str">
        <f>IFERROR(VLOOKUP(DATE($K$1,$K$2,BMW$4),Table1[],(MATCH(Calendar!$A6,DB!1:1,0)+2),FALSE),"")</f>
        <v/>
      </c>
      <c r="BMX6" s="27" t="str">
        <f>IFERROR(VLOOKUP(DATE($K$1,$K$2,BMX$4),Table1[],(MATCH(Calendar!$A6,DB!1:1,0)+2),FALSE),"")</f>
        <v/>
      </c>
      <c r="BMY6" s="27" t="str">
        <f>IFERROR(VLOOKUP(DATE($K$1,$K$2,BMY$4),Table1[],(MATCH(Calendar!$A6,DB!1:1,0)+2),FALSE),"")</f>
        <v/>
      </c>
      <c r="BMZ6" s="27" t="str">
        <f>IFERROR(VLOOKUP(DATE($K$1,$K$2,BMZ$4),Table1[],(MATCH(Calendar!$A6,DB!1:1,0)+2),FALSE),"")</f>
        <v/>
      </c>
      <c r="BNA6" s="27" t="str">
        <f>IFERROR(VLOOKUP(DATE($K$1,$K$2,BNA$4),Table1[],(MATCH(Calendar!$A6,DB!1:1,0)+2),FALSE),"")</f>
        <v/>
      </c>
      <c r="BNB6" s="27" t="str">
        <f>IFERROR(VLOOKUP(DATE($K$1,$K$2,BNB$4),Table1[],(MATCH(Calendar!$A6,DB!1:1,0)+2),FALSE),"")</f>
        <v/>
      </c>
      <c r="BNC6" s="27" t="str">
        <f>IFERROR(VLOOKUP(DATE($K$1,$K$2,BNC$4),Table1[],(MATCH(Calendar!$A6,DB!1:1,0)+2),FALSE),"")</f>
        <v/>
      </c>
      <c r="BND6" s="27" t="str">
        <f>IFERROR(VLOOKUP(DATE($K$1,$K$2,BND$4),Table1[],(MATCH(Calendar!$A6,DB!1:1,0)+2),FALSE),"")</f>
        <v/>
      </c>
      <c r="BNE6" s="27" t="str">
        <f>IFERROR(VLOOKUP(DATE($K$1,$K$2,BNE$4),Table1[],(MATCH(Calendar!$A6,DB!1:1,0)+2),FALSE),"")</f>
        <v/>
      </c>
      <c r="BNF6" s="27" t="str">
        <f>IFERROR(VLOOKUP(DATE($K$1,$K$2,BNF$4),Table1[],(MATCH(Calendar!$A6,DB!1:1,0)+2),FALSE),"")</f>
        <v/>
      </c>
      <c r="BNG6" s="27" t="str">
        <f>IFERROR(VLOOKUP(DATE($K$1,$K$2,BNG$4),Table1[],(MATCH(Calendar!$A6,DB!1:1,0)+2),FALSE),"")</f>
        <v/>
      </c>
      <c r="BNH6" s="27" t="str">
        <f>IFERROR(VLOOKUP(DATE($K$1,$K$2,BNH$4),Table1[],(MATCH(Calendar!$A6,DB!1:1,0)+2),FALSE),"")</f>
        <v/>
      </c>
      <c r="BNI6" s="27" t="str">
        <f>IFERROR(VLOOKUP(DATE($K$1,$K$2,BNI$4),Table1[],(MATCH(Calendar!$A6,DB!1:1,0)+2),FALSE),"")</f>
        <v/>
      </c>
      <c r="BNJ6" s="27" t="str">
        <f>IFERROR(VLOOKUP(DATE($K$1,$K$2,BNJ$4),Table1[],(MATCH(Calendar!$A6,DB!1:1,0)+2),FALSE),"")</f>
        <v/>
      </c>
      <c r="BNK6" s="27" t="str">
        <f>IFERROR(VLOOKUP(DATE($K$1,$K$2,BNK$4),Table1[],(MATCH(Calendar!$A6,DB!1:1,0)+2),FALSE),"")</f>
        <v/>
      </c>
      <c r="BNL6" s="27" t="str">
        <f>IFERROR(VLOOKUP(DATE($K$1,$K$2,BNL$4),Table1[],(MATCH(Calendar!$A6,DB!1:1,0)+2),FALSE),"")</f>
        <v/>
      </c>
      <c r="BNM6" s="27" t="str">
        <f>IFERROR(VLOOKUP(DATE($K$1,$K$2,BNM$4),Table1[],(MATCH(Calendar!$A6,DB!1:1,0)+2),FALSE),"")</f>
        <v/>
      </c>
      <c r="BNN6" s="27" t="str">
        <f>IFERROR(VLOOKUP(DATE($K$1,$K$2,BNN$4),Table1[],(MATCH(Calendar!$A6,DB!1:1,0)+2),FALSE),"")</f>
        <v/>
      </c>
      <c r="BNO6" s="27" t="str">
        <f>IFERROR(VLOOKUP(DATE($K$1,$K$2,BNO$4),Table1[],(MATCH(Calendar!$A6,DB!1:1,0)+2),FALSE),"")</f>
        <v/>
      </c>
      <c r="BNP6" s="27" t="str">
        <f>IFERROR(VLOOKUP(DATE($K$1,$K$2,BNP$4),Table1[],(MATCH(Calendar!$A6,DB!1:1,0)+2),FALSE),"")</f>
        <v/>
      </c>
      <c r="BNQ6" s="27" t="str">
        <f>IFERROR(VLOOKUP(DATE($K$1,$K$2,BNQ$4),Table1[],(MATCH(Calendar!$A6,DB!1:1,0)+2),FALSE),"")</f>
        <v/>
      </c>
      <c r="BNR6" s="27" t="str">
        <f>IFERROR(VLOOKUP(DATE($K$1,$K$2,BNR$4),Table1[],(MATCH(Calendar!$A6,DB!1:1,0)+2),FALSE),"")</f>
        <v/>
      </c>
      <c r="BNS6" s="27" t="str">
        <f>IFERROR(VLOOKUP(DATE($K$1,$K$2,BNS$4),Table1[],(MATCH(Calendar!$A6,DB!1:1,0)+2),FALSE),"")</f>
        <v/>
      </c>
      <c r="BNT6" s="27" t="str">
        <f>IFERROR(VLOOKUP(DATE($K$1,$K$2,BNT$4),Table1[],(MATCH(Calendar!$A6,DB!1:1,0)+2),FALSE),"")</f>
        <v/>
      </c>
      <c r="BNU6" s="27" t="str">
        <f>IFERROR(VLOOKUP(DATE($K$1,$K$2,BNU$4),Table1[],(MATCH(Calendar!$A6,DB!1:1,0)+2),FALSE),"")</f>
        <v/>
      </c>
      <c r="BNV6" s="27" t="str">
        <f>IFERROR(VLOOKUP(DATE($K$1,$K$2,BNV$4),Table1[],(MATCH(Calendar!$A6,DB!1:1,0)+2),FALSE),"")</f>
        <v/>
      </c>
      <c r="BNW6" s="27" t="str">
        <f>IFERROR(VLOOKUP(DATE($K$1,$K$2,BNW$4),Table1[],(MATCH(Calendar!$A6,DB!1:1,0)+2),FALSE),"")</f>
        <v/>
      </c>
      <c r="BNX6" s="27" t="str">
        <f>IFERROR(VLOOKUP(DATE($K$1,$K$2,BNX$4),Table1[],(MATCH(Calendar!$A6,DB!1:1,0)+2),FALSE),"")</f>
        <v/>
      </c>
      <c r="BNY6" s="27" t="str">
        <f>IFERROR(VLOOKUP(DATE($K$1,$K$2,BNY$4),Table1[],(MATCH(Calendar!$A6,DB!1:1,0)+2),FALSE),"")</f>
        <v/>
      </c>
      <c r="BNZ6" s="27" t="str">
        <f>IFERROR(VLOOKUP(DATE($K$1,$K$2,BNZ$4),Table1[],(MATCH(Calendar!$A6,DB!1:1,0)+2),FALSE),"")</f>
        <v/>
      </c>
      <c r="BOA6" s="27" t="str">
        <f>IFERROR(VLOOKUP(DATE($K$1,$K$2,BOA$4),Table1[],(MATCH(Calendar!$A6,DB!1:1,0)+2),FALSE),"")</f>
        <v/>
      </c>
      <c r="BOB6" s="27" t="str">
        <f>IFERROR(VLOOKUP(DATE($K$1,$K$2,BOB$4),Table1[],(MATCH(Calendar!$A6,DB!1:1,0)+2),FALSE),"")</f>
        <v/>
      </c>
      <c r="BOC6" s="27" t="str">
        <f>IFERROR(VLOOKUP(DATE($K$1,$K$2,BOC$4),Table1[],(MATCH(Calendar!$A6,DB!1:1,0)+2),FALSE),"")</f>
        <v/>
      </c>
      <c r="BOD6" s="27" t="str">
        <f>IFERROR(VLOOKUP(DATE($K$1,$K$2,BOD$4),Table1[],(MATCH(Calendar!$A6,DB!1:1,0)+2),FALSE),"")</f>
        <v/>
      </c>
      <c r="BOE6" s="27" t="str">
        <f>IFERROR(VLOOKUP(DATE($K$1,$K$2,BOE$4),Table1[],(MATCH(Calendar!$A6,DB!1:1,0)+2),FALSE),"")</f>
        <v/>
      </c>
      <c r="BOF6" s="27" t="str">
        <f>IFERROR(VLOOKUP(DATE($K$1,$K$2,BOF$4),Table1[],(MATCH(Calendar!$A6,DB!1:1,0)+2),FALSE),"")</f>
        <v/>
      </c>
      <c r="BOG6" s="27" t="str">
        <f>IFERROR(VLOOKUP(DATE($K$1,$K$2,BOG$4),Table1[],(MATCH(Calendar!$A6,DB!1:1,0)+2),FALSE),"")</f>
        <v/>
      </c>
      <c r="BOH6" s="27" t="str">
        <f>IFERROR(VLOOKUP(DATE($K$1,$K$2,BOH$4),Table1[],(MATCH(Calendar!$A6,DB!1:1,0)+2),FALSE),"")</f>
        <v/>
      </c>
      <c r="BOI6" s="27" t="str">
        <f>IFERROR(VLOOKUP(DATE($K$1,$K$2,BOI$4),Table1[],(MATCH(Calendar!$A6,DB!1:1,0)+2),FALSE),"")</f>
        <v/>
      </c>
      <c r="BOJ6" s="27" t="str">
        <f>IFERROR(VLOOKUP(DATE($K$1,$K$2,BOJ$4),Table1[],(MATCH(Calendar!$A6,DB!1:1,0)+2),FALSE),"")</f>
        <v/>
      </c>
      <c r="BOK6" s="27" t="str">
        <f>IFERROR(VLOOKUP(DATE($K$1,$K$2,BOK$4),Table1[],(MATCH(Calendar!$A6,DB!1:1,0)+2),FALSE),"")</f>
        <v/>
      </c>
      <c r="BOL6" s="27" t="str">
        <f>IFERROR(VLOOKUP(DATE($K$1,$K$2,BOL$4),Table1[],(MATCH(Calendar!$A6,DB!1:1,0)+2),FALSE),"")</f>
        <v/>
      </c>
      <c r="BOM6" s="27" t="str">
        <f>IFERROR(VLOOKUP(DATE($K$1,$K$2,BOM$4),Table1[],(MATCH(Calendar!$A6,DB!1:1,0)+2),FALSE),"")</f>
        <v/>
      </c>
      <c r="BON6" s="27" t="str">
        <f>IFERROR(VLOOKUP(DATE($K$1,$K$2,BON$4),Table1[],(MATCH(Calendar!$A6,DB!1:1,0)+2),FALSE),"")</f>
        <v/>
      </c>
      <c r="BOO6" s="27" t="str">
        <f>IFERROR(VLOOKUP(DATE($K$1,$K$2,BOO$4),Table1[],(MATCH(Calendar!$A6,DB!1:1,0)+2),FALSE),"")</f>
        <v/>
      </c>
      <c r="BOP6" s="27" t="str">
        <f>IFERROR(VLOOKUP(DATE($K$1,$K$2,BOP$4),Table1[],(MATCH(Calendar!$A6,DB!1:1,0)+2),FALSE),"")</f>
        <v/>
      </c>
      <c r="BOQ6" s="27" t="str">
        <f>IFERROR(VLOOKUP(DATE($K$1,$K$2,BOQ$4),Table1[],(MATCH(Calendar!$A6,DB!1:1,0)+2),FALSE),"")</f>
        <v/>
      </c>
      <c r="BOR6" s="27" t="str">
        <f>IFERROR(VLOOKUP(DATE($K$1,$K$2,BOR$4),Table1[],(MATCH(Calendar!$A6,DB!1:1,0)+2),FALSE),"")</f>
        <v/>
      </c>
      <c r="BOS6" s="27" t="str">
        <f>IFERROR(VLOOKUP(DATE($K$1,$K$2,BOS$4),Table1[],(MATCH(Calendar!$A6,DB!1:1,0)+2),FALSE),"")</f>
        <v/>
      </c>
      <c r="BOT6" s="27" t="str">
        <f>IFERROR(VLOOKUP(DATE($K$1,$K$2,BOT$4),Table1[],(MATCH(Calendar!$A6,DB!1:1,0)+2),FALSE),"")</f>
        <v/>
      </c>
      <c r="BOU6" s="27" t="str">
        <f>IFERROR(VLOOKUP(DATE($K$1,$K$2,BOU$4),Table1[],(MATCH(Calendar!$A6,DB!1:1,0)+2),FALSE),"")</f>
        <v/>
      </c>
      <c r="BOV6" s="27" t="str">
        <f>IFERROR(VLOOKUP(DATE($K$1,$K$2,BOV$4),Table1[],(MATCH(Calendar!$A6,DB!1:1,0)+2),FALSE),"")</f>
        <v/>
      </c>
      <c r="BOW6" s="27" t="str">
        <f>IFERROR(VLOOKUP(DATE($K$1,$K$2,BOW$4),Table1[],(MATCH(Calendar!$A6,DB!1:1,0)+2),FALSE),"")</f>
        <v/>
      </c>
      <c r="BOX6" s="27" t="str">
        <f>IFERROR(VLOOKUP(DATE($K$1,$K$2,BOX$4),Table1[],(MATCH(Calendar!$A6,DB!1:1,0)+2),FALSE),"")</f>
        <v/>
      </c>
      <c r="BOY6" s="27" t="str">
        <f>IFERROR(VLOOKUP(DATE($K$1,$K$2,BOY$4),Table1[],(MATCH(Calendar!$A6,DB!1:1,0)+2),FALSE),"")</f>
        <v/>
      </c>
      <c r="BOZ6" s="27" t="str">
        <f>IFERROR(VLOOKUP(DATE($K$1,$K$2,BOZ$4),Table1[],(MATCH(Calendar!$A6,DB!1:1,0)+2),FALSE),"")</f>
        <v/>
      </c>
      <c r="BPA6" s="27" t="str">
        <f>IFERROR(VLOOKUP(DATE($K$1,$K$2,BPA$4),Table1[],(MATCH(Calendar!$A6,DB!1:1,0)+2),FALSE),"")</f>
        <v/>
      </c>
      <c r="BPB6" s="27" t="str">
        <f>IFERROR(VLOOKUP(DATE($K$1,$K$2,BPB$4),Table1[],(MATCH(Calendar!$A6,DB!1:1,0)+2),FALSE),"")</f>
        <v/>
      </c>
      <c r="BPC6" s="27" t="str">
        <f>IFERROR(VLOOKUP(DATE($K$1,$K$2,BPC$4),Table1[],(MATCH(Calendar!$A6,DB!1:1,0)+2),FALSE),"")</f>
        <v/>
      </c>
      <c r="BPD6" s="27" t="str">
        <f>IFERROR(VLOOKUP(DATE($K$1,$K$2,BPD$4),Table1[],(MATCH(Calendar!$A6,DB!1:1,0)+2),FALSE),"")</f>
        <v/>
      </c>
      <c r="BPE6" s="27" t="str">
        <f>IFERROR(VLOOKUP(DATE($K$1,$K$2,BPE$4),Table1[],(MATCH(Calendar!$A6,DB!1:1,0)+2),FALSE),"")</f>
        <v/>
      </c>
      <c r="BPF6" s="27" t="str">
        <f>IFERROR(VLOOKUP(DATE($K$1,$K$2,BPF$4),Table1[],(MATCH(Calendar!$A6,DB!1:1,0)+2),FALSE),"")</f>
        <v/>
      </c>
      <c r="BPG6" s="27" t="str">
        <f>IFERROR(VLOOKUP(DATE($K$1,$K$2,BPG$4),Table1[],(MATCH(Calendar!$A6,DB!1:1,0)+2),FALSE),"")</f>
        <v/>
      </c>
      <c r="BPH6" s="27" t="str">
        <f>IFERROR(VLOOKUP(DATE($K$1,$K$2,BPH$4),Table1[],(MATCH(Calendar!$A6,DB!1:1,0)+2),FALSE),"")</f>
        <v/>
      </c>
      <c r="BPI6" s="27" t="str">
        <f>IFERROR(VLOOKUP(DATE($K$1,$K$2,BPI$4),Table1[],(MATCH(Calendar!$A6,DB!1:1,0)+2),FALSE),"")</f>
        <v/>
      </c>
      <c r="BPJ6" s="27" t="str">
        <f>IFERROR(VLOOKUP(DATE($K$1,$K$2,BPJ$4),Table1[],(MATCH(Calendar!$A6,DB!1:1,0)+2),FALSE),"")</f>
        <v/>
      </c>
      <c r="BPK6" s="27" t="str">
        <f>IFERROR(VLOOKUP(DATE($K$1,$K$2,BPK$4),Table1[],(MATCH(Calendar!$A6,DB!1:1,0)+2),FALSE),"")</f>
        <v/>
      </c>
      <c r="BPL6" s="27" t="str">
        <f>IFERROR(VLOOKUP(DATE($K$1,$K$2,BPL$4),Table1[],(MATCH(Calendar!$A6,DB!1:1,0)+2),FALSE),"")</f>
        <v/>
      </c>
      <c r="BPM6" s="27" t="str">
        <f>IFERROR(VLOOKUP(DATE($K$1,$K$2,BPM$4),Table1[],(MATCH(Calendar!$A6,DB!1:1,0)+2),FALSE),"")</f>
        <v/>
      </c>
      <c r="BPN6" s="27" t="str">
        <f>IFERROR(VLOOKUP(DATE($K$1,$K$2,BPN$4),Table1[],(MATCH(Calendar!$A6,DB!1:1,0)+2),FALSE),"")</f>
        <v/>
      </c>
      <c r="BPO6" s="27" t="str">
        <f>IFERROR(VLOOKUP(DATE($K$1,$K$2,BPO$4),Table1[],(MATCH(Calendar!$A6,DB!1:1,0)+2),FALSE),"")</f>
        <v/>
      </c>
      <c r="BPP6" s="27" t="str">
        <f>IFERROR(VLOOKUP(DATE($K$1,$K$2,BPP$4),Table1[],(MATCH(Calendar!$A6,DB!1:1,0)+2),FALSE),"")</f>
        <v/>
      </c>
      <c r="BPQ6" s="27" t="str">
        <f>IFERROR(VLOOKUP(DATE($K$1,$K$2,BPQ$4),Table1[],(MATCH(Calendar!$A6,DB!1:1,0)+2),FALSE),"")</f>
        <v/>
      </c>
      <c r="BPR6" s="27" t="str">
        <f>IFERROR(VLOOKUP(DATE($K$1,$K$2,BPR$4),Table1[],(MATCH(Calendar!$A6,DB!1:1,0)+2),FALSE),"")</f>
        <v/>
      </c>
      <c r="BPS6" s="27" t="str">
        <f>IFERROR(VLOOKUP(DATE($K$1,$K$2,BPS$4),Table1[],(MATCH(Calendar!$A6,DB!1:1,0)+2),FALSE),"")</f>
        <v/>
      </c>
      <c r="BPT6" s="27" t="str">
        <f>IFERROR(VLOOKUP(DATE($K$1,$K$2,BPT$4),Table1[],(MATCH(Calendar!$A6,DB!1:1,0)+2),FALSE),"")</f>
        <v/>
      </c>
      <c r="BPU6" s="27" t="str">
        <f>IFERROR(VLOOKUP(DATE($K$1,$K$2,BPU$4),Table1[],(MATCH(Calendar!$A6,DB!1:1,0)+2),FALSE),"")</f>
        <v/>
      </c>
      <c r="BPV6" s="27" t="str">
        <f>IFERROR(VLOOKUP(DATE($K$1,$K$2,BPV$4),Table1[],(MATCH(Calendar!$A6,DB!1:1,0)+2),FALSE),"")</f>
        <v/>
      </c>
      <c r="BPW6" s="27" t="str">
        <f>IFERROR(VLOOKUP(DATE($K$1,$K$2,BPW$4),Table1[],(MATCH(Calendar!$A6,DB!1:1,0)+2),FALSE),"")</f>
        <v/>
      </c>
      <c r="BPX6" s="27" t="str">
        <f>IFERROR(VLOOKUP(DATE($K$1,$K$2,BPX$4),Table1[],(MATCH(Calendar!$A6,DB!1:1,0)+2),FALSE),"")</f>
        <v/>
      </c>
      <c r="BPY6" s="27" t="str">
        <f>IFERROR(VLOOKUP(DATE($K$1,$K$2,BPY$4),Table1[],(MATCH(Calendar!$A6,DB!1:1,0)+2),FALSE),"")</f>
        <v/>
      </c>
      <c r="BPZ6" s="27" t="str">
        <f>IFERROR(VLOOKUP(DATE($K$1,$K$2,BPZ$4),Table1[],(MATCH(Calendar!$A6,DB!1:1,0)+2),FALSE),"")</f>
        <v/>
      </c>
      <c r="BQA6" s="27" t="str">
        <f>IFERROR(VLOOKUP(DATE($K$1,$K$2,BQA$4),Table1[],(MATCH(Calendar!$A6,DB!1:1,0)+2),FALSE),"")</f>
        <v/>
      </c>
      <c r="BQB6" s="27" t="str">
        <f>IFERROR(VLOOKUP(DATE($K$1,$K$2,BQB$4),Table1[],(MATCH(Calendar!$A6,DB!1:1,0)+2),FALSE),"")</f>
        <v/>
      </c>
      <c r="BQC6" s="27" t="str">
        <f>IFERROR(VLOOKUP(DATE($K$1,$K$2,BQC$4),Table1[],(MATCH(Calendar!$A6,DB!1:1,0)+2),FALSE),"")</f>
        <v/>
      </c>
      <c r="BQD6" s="27" t="str">
        <f>IFERROR(VLOOKUP(DATE($K$1,$K$2,BQD$4),Table1[],(MATCH(Calendar!$A6,DB!1:1,0)+2),FALSE),"")</f>
        <v/>
      </c>
      <c r="BQE6" s="27" t="str">
        <f>IFERROR(VLOOKUP(DATE($K$1,$K$2,BQE$4),Table1[],(MATCH(Calendar!$A6,DB!1:1,0)+2),FALSE),"")</f>
        <v/>
      </c>
      <c r="BQF6" s="27" t="str">
        <f>IFERROR(VLOOKUP(DATE($K$1,$K$2,BQF$4),Table1[],(MATCH(Calendar!$A6,DB!1:1,0)+2),FALSE),"")</f>
        <v/>
      </c>
      <c r="BQG6" s="27" t="str">
        <f>IFERROR(VLOOKUP(DATE($K$1,$K$2,BQG$4),Table1[],(MATCH(Calendar!$A6,DB!1:1,0)+2),FALSE),"")</f>
        <v/>
      </c>
      <c r="BQH6" s="27" t="str">
        <f>IFERROR(VLOOKUP(DATE($K$1,$K$2,BQH$4),Table1[],(MATCH(Calendar!$A6,DB!1:1,0)+2),FALSE),"")</f>
        <v/>
      </c>
      <c r="BQI6" s="27" t="str">
        <f>IFERROR(VLOOKUP(DATE($K$1,$K$2,BQI$4),Table1[],(MATCH(Calendar!$A6,DB!1:1,0)+2),FALSE),"")</f>
        <v/>
      </c>
      <c r="BQJ6" s="27" t="str">
        <f>IFERROR(VLOOKUP(DATE($K$1,$K$2,BQJ$4),Table1[],(MATCH(Calendar!$A6,DB!1:1,0)+2),FALSE),"")</f>
        <v/>
      </c>
      <c r="BQK6" s="27" t="str">
        <f>IFERROR(VLOOKUP(DATE($K$1,$K$2,BQK$4),Table1[],(MATCH(Calendar!$A6,DB!1:1,0)+2),FALSE),"")</f>
        <v/>
      </c>
      <c r="BQL6" s="27" t="str">
        <f>IFERROR(VLOOKUP(DATE($K$1,$K$2,BQL$4),Table1[],(MATCH(Calendar!$A6,DB!1:1,0)+2),FALSE),"")</f>
        <v/>
      </c>
      <c r="BQM6" s="27" t="str">
        <f>IFERROR(VLOOKUP(DATE($K$1,$K$2,BQM$4),Table1[],(MATCH(Calendar!$A6,DB!1:1,0)+2),FALSE),"")</f>
        <v/>
      </c>
      <c r="BQN6" s="27" t="str">
        <f>IFERROR(VLOOKUP(DATE($K$1,$K$2,BQN$4),Table1[],(MATCH(Calendar!$A6,DB!1:1,0)+2),FALSE),"")</f>
        <v/>
      </c>
      <c r="BQO6" s="27" t="str">
        <f>IFERROR(VLOOKUP(DATE($K$1,$K$2,BQO$4),Table1[],(MATCH(Calendar!$A6,DB!1:1,0)+2),FALSE),"")</f>
        <v/>
      </c>
      <c r="BQP6" s="27" t="str">
        <f>IFERROR(VLOOKUP(DATE($K$1,$K$2,BQP$4),Table1[],(MATCH(Calendar!$A6,DB!1:1,0)+2),FALSE),"")</f>
        <v/>
      </c>
      <c r="BQQ6" s="27" t="str">
        <f>IFERROR(VLOOKUP(DATE($K$1,$K$2,BQQ$4),Table1[],(MATCH(Calendar!$A6,DB!1:1,0)+2),FALSE),"")</f>
        <v/>
      </c>
      <c r="BQR6" s="27" t="str">
        <f>IFERROR(VLOOKUP(DATE($K$1,$K$2,BQR$4),Table1[],(MATCH(Calendar!$A6,DB!1:1,0)+2),FALSE),"")</f>
        <v/>
      </c>
      <c r="BQS6" s="27" t="str">
        <f>IFERROR(VLOOKUP(DATE($K$1,$K$2,BQS$4),Table1[],(MATCH(Calendar!$A6,DB!1:1,0)+2),FALSE),"")</f>
        <v/>
      </c>
      <c r="BQT6" s="27" t="str">
        <f>IFERROR(VLOOKUP(DATE($K$1,$K$2,BQT$4),Table1[],(MATCH(Calendar!$A6,DB!1:1,0)+2),FALSE),"")</f>
        <v/>
      </c>
      <c r="BQU6" s="27" t="str">
        <f>IFERROR(VLOOKUP(DATE($K$1,$K$2,BQU$4),Table1[],(MATCH(Calendar!$A6,DB!1:1,0)+2),FALSE),"")</f>
        <v/>
      </c>
      <c r="BQV6" s="27" t="str">
        <f>IFERROR(VLOOKUP(DATE($K$1,$K$2,BQV$4),Table1[],(MATCH(Calendar!$A6,DB!1:1,0)+2),FALSE),"")</f>
        <v/>
      </c>
      <c r="BQW6" s="27" t="str">
        <f>IFERROR(VLOOKUP(DATE($K$1,$K$2,BQW$4),Table1[],(MATCH(Calendar!$A6,DB!1:1,0)+2),FALSE),"")</f>
        <v/>
      </c>
      <c r="BQX6" s="27" t="str">
        <f>IFERROR(VLOOKUP(DATE($K$1,$K$2,BQX$4),Table1[],(MATCH(Calendar!$A6,DB!1:1,0)+2),FALSE),"")</f>
        <v/>
      </c>
      <c r="BQY6" s="27" t="str">
        <f>IFERROR(VLOOKUP(DATE($K$1,$K$2,BQY$4),Table1[],(MATCH(Calendar!$A6,DB!1:1,0)+2),FALSE),"")</f>
        <v/>
      </c>
      <c r="BQZ6" s="27" t="str">
        <f>IFERROR(VLOOKUP(DATE($K$1,$K$2,BQZ$4),Table1[],(MATCH(Calendar!$A6,DB!1:1,0)+2),FALSE),"")</f>
        <v/>
      </c>
      <c r="BRA6" s="27" t="str">
        <f>IFERROR(VLOOKUP(DATE($K$1,$K$2,BRA$4),Table1[],(MATCH(Calendar!$A6,DB!1:1,0)+2),FALSE),"")</f>
        <v/>
      </c>
      <c r="BRB6" s="27" t="str">
        <f>IFERROR(VLOOKUP(DATE($K$1,$K$2,BRB$4),Table1[],(MATCH(Calendar!$A6,DB!1:1,0)+2),FALSE),"")</f>
        <v/>
      </c>
      <c r="BRC6" s="27" t="str">
        <f>IFERROR(VLOOKUP(DATE($K$1,$K$2,BRC$4),Table1[],(MATCH(Calendar!$A6,DB!1:1,0)+2),FALSE),"")</f>
        <v/>
      </c>
      <c r="BRD6" s="27" t="str">
        <f>IFERROR(VLOOKUP(DATE($K$1,$K$2,BRD$4),Table1[],(MATCH(Calendar!$A6,DB!1:1,0)+2),FALSE),"")</f>
        <v/>
      </c>
      <c r="BRE6" s="27" t="str">
        <f>IFERROR(VLOOKUP(DATE($K$1,$K$2,BRE$4),Table1[],(MATCH(Calendar!$A6,DB!1:1,0)+2),FALSE),"")</f>
        <v/>
      </c>
      <c r="BRF6" s="27" t="str">
        <f>IFERROR(VLOOKUP(DATE($K$1,$K$2,BRF$4),Table1[],(MATCH(Calendar!$A6,DB!1:1,0)+2),FALSE),"")</f>
        <v/>
      </c>
      <c r="BRG6" s="27" t="str">
        <f>IFERROR(VLOOKUP(DATE($K$1,$K$2,BRG$4),Table1[],(MATCH(Calendar!$A6,DB!1:1,0)+2),FALSE),"")</f>
        <v/>
      </c>
      <c r="BRH6" s="27" t="str">
        <f>IFERROR(VLOOKUP(DATE($K$1,$K$2,BRH$4),Table1[],(MATCH(Calendar!$A6,DB!1:1,0)+2),FALSE),"")</f>
        <v/>
      </c>
      <c r="BRI6" s="27" t="str">
        <f>IFERROR(VLOOKUP(DATE($K$1,$K$2,BRI$4),Table1[],(MATCH(Calendar!$A6,DB!1:1,0)+2),FALSE),"")</f>
        <v/>
      </c>
      <c r="BRJ6" s="27" t="str">
        <f>IFERROR(VLOOKUP(DATE($K$1,$K$2,BRJ$4),Table1[],(MATCH(Calendar!$A6,DB!1:1,0)+2),FALSE),"")</f>
        <v/>
      </c>
      <c r="BRK6" s="27" t="str">
        <f>IFERROR(VLOOKUP(DATE($K$1,$K$2,BRK$4),Table1[],(MATCH(Calendar!$A6,DB!1:1,0)+2),FALSE),"")</f>
        <v/>
      </c>
      <c r="BRL6" s="27" t="str">
        <f>IFERROR(VLOOKUP(DATE($K$1,$K$2,BRL$4),Table1[],(MATCH(Calendar!$A6,DB!1:1,0)+2),FALSE),"")</f>
        <v/>
      </c>
      <c r="BRM6" s="27" t="str">
        <f>IFERROR(VLOOKUP(DATE($K$1,$K$2,BRM$4),Table1[],(MATCH(Calendar!$A6,DB!1:1,0)+2),FALSE),"")</f>
        <v/>
      </c>
      <c r="BRN6" s="27" t="str">
        <f>IFERROR(VLOOKUP(DATE($K$1,$K$2,BRN$4),Table1[],(MATCH(Calendar!$A6,DB!1:1,0)+2),FALSE),"")</f>
        <v/>
      </c>
      <c r="BRO6" s="27" t="str">
        <f>IFERROR(VLOOKUP(DATE($K$1,$K$2,BRO$4),Table1[],(MATCH(Calendar!$A6,DB!1:1,0)+2),FALSE),"")</f>
        <v/>
      </c>
      <c r="BRP6" s="27" t="str">
        <f>IFERROR(VLOOKUP(DATE($K$1,$K$2,BRP$4),Table1[],(MATCH(Calendar!$A6,DB!1:1,0)+2),FALSE),"")</f>
        <v/>
      </c>
      <c r="BRQ6" s="27" t="str">
        <f>IFERROR(VLOOKUP(DATE($K$1,$K$2,BRQ$4),Table1[],(MATCH(Calendar!$A6,DB!1:1,0)+2),FALSE),"")</f>
        <v/>
      </c>
      <c r="BRR6" s="27" t="str">
        <f>IFERROR(VLOOKUP(DATE($K$1,$K$2,BRR$4),Table1[],(MATCH(Calendar!$A6,DB!1:1,0)+2),FALSE),"")</f>
        <v/>
      </c>
      <c r="BRS6" s="27" t="str">
        <f>IFERROR(VLOOKUP(DATE($K$1,$K$2,BRS$4),Table1[],(MATCH(Calendar!$A6,DB!1:1,0)+2),FALSE),"")</f>
        <v/>
      </c>
      <c r="BRT6" s="27" t="str">
        <f>IFERROR(VLOOKUP(DATE($K$1,$K$2,BRT$4),Table1[],(MATCH(Calendar!$A6,DB!1:1,0)+2),FALSE),"")</f>
        <v/>
      </c>
      <c r="BRU6" s="27" t="str">
        <f>IFERROR(VLOOKUP(DATE($K$1,$K$2,BRU$4),Table1[],(MATCH(Calendar!$A6,DB!1:1,0)+2),FALSE),"")</f>
        <v/>
      </c>
      <c r="BRV6" s="27" t="str">
        <f>IFERROR(VLOOKUP(DATE($K$1,$K$2,BRV$4),Table1[],(MATCH(Calendar!$A6,DB!1:1,0)+2),FALSE),"")</f>
        <v/>
      </c>
      <c r="BRW6" s="27" t="str">
        <f>IFERROR(VLOOKUP(DATE($K$1,$K$2,BRW$4),Table1[],(MATCH(Calendar!$A6,DB!1:1,0)+2),FALSE),"")</f>
        <v/>
      </c>
      <c r="BRX6" s="27" t="str">
        <f>IFERROR(VLOOKUP(DATE($K$1,$K$2,BRX$4),Table1[],(MATCH(Calendar!$A6,DB!1:1,0)+2),FALSE),"")</f>
        <v/>
      </c>
      <c r="BRY6" s="27" t="str">
        <f>IFERROR(VLOOKUP(DATE($K$1,$K$2,BRY$4),Table1[],(MATCH(Calendar!$A6,DB!1:1,0)+2),FALSE),"")</f>
        <v/>
      </c>
      <c r="BRZ6" s="27" t="str">
        <f>IFERROR(VLOOKUP(DATE($K$1,$K$2,BRZ$4),Table1[],(MATCH(Calendar!$A6,DB!1:1,0)+2),FALSE),"")</f>
        <v/>
      </c>
      <c r="BSA6" s="27" t="str">
        <f>IFERROR(VLOOKUP(DATE($K$1,$K$2,BSA$4),Table1[],(MATCH(Calendar!$A6,DB!1:1,0)+2),FALSE),"")</f>
        <v/>
      </c>
      <c r="BSB6" s="27" t="str">
        <f>IFERROR(VLOOKUP(DATE($K$1,$K$2,BSB$4),Table1[],(MATCH(Calendar!$A6,DB!1:1,0)+2),FALSE),"")</f>
        <v/>
      </c>
      <c r="BSC6" s="27" t="str">
        <f>IFERROR(VLOOKUP(DATE($K$1,$K$2,BSC$4),Table1[],(MATCH(Calendar!$A6,DB!1:1,0)+2),FALSE),"")</f>
        <v/>
      </c>
      <c r="BSD6" s="27" t="str">
        <f>IFERROR(VLOOKUP(DATE($K$1,$K$2,BSD$4),Table1[],(MATCH(Calendar!$A6,DB!1:1,0)+2),FALSE),"")</f>
        <v/>
      </c>
      <c r="BSE6" s="27" t="str">
        <f>IFERROR(VLOOKUP(DATE($K$1,$K$2,BSE$4),Table1[],(MATCH(Calendar!$A6,DB!1:1,0)+2),FALSE),"")</f>
        <v/>
      </c>
      <c r="BSF6" s="27" t="str">
        <f>IFERROR(VLOOKUP(DATE($K$1,$K$2,BSF$4),Table1[],(MATCH(Calendar!$A6,DB!1:1,0)+2),FALSE),"")</f>
        <v/>
      </c>
      <c r="BSG6" s="27" t="str">
        <f>IFERROR(VLOOKUP(DATE($K$1,$K$2,BSG$4),Table1[],(MATCH(Calendar!$A6,DB!1:1,0)+2),FALSE),"")</f>
        <v/>
      </c>
      <c r="BSH6" s="27" t="str">
        <f>IFERROR(VLOOKUP(DATE($K$1,$K$2,BSH$4),Table1[],(MATCH(Calendar!$A6,DB!1:1,0)+2),FALSE),"")</f>
        <v/>
      </c>
      <c r="BSI6" s="27" t="str">
        <f>IFERROR(VLOOKUP(DATE($K$1,$K$2,BSI$4),Table1[],(MATCH(Calendar!$A6,DB!1:1,0)+2),FALSE),"")</f>
        <v/>
      </c>
      <c r="BSJ6" s="27" t="str">
        <f>IFERROR(VLOOKUP(DATE($K$1,$K$2,BSJ$4),Table1[],(MATCH(Calendar!$A6,DB!1:1,0)+2),FALSE),"")</f>
        <v/>
      </c>
      <c r="BSK6" s="27" t="str">
        <f>IFERROR(VLOOKUP(DATE($K$1,$K$2,BSK$4),Table1[],(MATCH(Calendar!$A6,DB!1:1,0)+2),FALSE),"")</f>
        <v/>
      </c>
      <c r="BSL6" s="27" t="str">
        <f>IFERROR(VLOOKUP(DATE($K$1,$K$2,BSL$4),Table1[],(MATCH(Calendar!$A6,DB!1:1,0)+2),FALSE),"")</f>
        <v/>
      </c>
      <c r="BSM6" s="27" t="str">
        <f>IFERROR(VLOOKUP(DATE($K$1,$K$2,BSM$4),Table1[],(MATCH(Calendar!$A6,DB!1:1,0)+2),FALSE),"")</f>
        <v/>
      </c>
      <c r="BSN6" s="27" t="str">
        <f>IFERROR(VLOOKUP(DATE($K$1,$K$2,BSN$4),Table1[],(MATCH(Calendar!$A6,DB!1:1,0)+2),FALSE),"")</f>
        <v/>
      </c>
      <c r="BSO6" s="27" t="str">
        <f>IFERROR(VLOOKUP(DATE($K$1,$K$2,BSO$4),Table1[],(MATCH(Calendar!$A6,DB!1:1,0)+2),FALSE),"")</f>
        <v/>
      </c>
      <c r="BSP6" s="27" t="str">
        <f>IFERROR(VLOOKUP(DATE($K$1,$K$2,BSP$4),Table1[],(MATCH(Calendar!$A6,DB!1:1,0)+2),FALSE),"")</f>
        <v/>
      </c>
      <c r="BSQ6" s="27" t="str">
        <f>IFERROR(VLOOKUP(DATE($K$1,$K$2,BSQ$4),Table1[],(MATCH(Calendar!$A6,DB!1:1,0)+2),FALSE),"")</f>
        <v/>
      </c>
      <c r="BSR6" s="27" t="str">
        <f>IFERROR(VLOOKUP(DATE($K$1,$K$2,BSR$4),Table1[],(MATCH(Calendar!$A6,DB!1:1,0)+2),FALSE),"")</f>
        <v/>
      </c>
      <c r="BSS6" s="27" t="str">
        <f>IFERROR(VLOOKUP(DATE($K$1,$K$2,BSS$4),Table1[],(MATCH(Calendar!$A6,DB!1:1,0)+2),FALSE),"")</f>
        <v/>
      </c>
      <c r="BST6" s="27" t="str">
        <f>IFERROR(VLOOKUP(DATE($K$1,$K$2,BST$4),Table1[],(MATCH(Calendar!$A6,DB!1:1,0)+2),FALSE),"")</f>
        <v/>
      </c>
      <c r="BSU6" s="27" t="str">
        <f>IFERROR(VLOOKUP(DATE($K$1,$K$2,BSU$4),Table1[],(MATCH(Calendar!$A6,DB!1:1,0)+2),FALSE),"")</f>
        <v/>
      </c>
      <c r="BSV6" s="27" t="str">
        <f>IFERROR(VLOOKUP(DATE($K$1,$K$2,BSV$4),Table1[],(MATCH(Calendar!$A6,DB!1:1,0)+2),FALSE),"")</f>
        <v/>
      </c>
      <c r="BSW6" s="27" t="str">
        <f>IFERROR(VLOOKUP(DATE($K$1,$K$2,BSW$4),Table1[],(MATCH(Calendar!$A6,DB!1:1,0)+2),FALSE),"")</f>
        <v/>
      </c>
      <c r="BSX6" s="27" t="str">
        <f>IFERROR(VLOOKUP(DATE($K$1,$K$2,BSX$4),Table1[],(MATCH(Calendar!$A6,DB!1:1,0)+2),FALSE),"")</f>
        <v/>
      </c>
      <c r="BSY6" s="27" t="str">
        <f>IFERROR(VLOOKUP(DATE($K$1,$K$2,BSY$4),Table1[],(MATCH(Calendar!$A6,DB!1:1,0)+2),FALSE),"")</f>
        <v/>
      </c>
      <c r="BSZ6" s="27" t="str">
        <f>IFERROR(VLOOKUP(DATE($K$1,$K$2,BSZ$4),Table1[],(MATCH(Calendar!$A6,DB!1:1,0)+2),FALSE),"")</f>
        <v/>
      </c>
      <c r="BTA6" s="27" t="str">
        <f>IFERROR(VLOOKUP(DATE($K$1,$K$2,BTA$4),Table1[],(MATCH(Calendar!$A6,DB!1:1,0)+2),FALSE),"")</f>
        <v/>
      </c>
      <c r="BTB6" s="27" t="str">
        <f>IFERROR(VLOOKUP(DATE($K$1,$K$2,BTB$4),Table1[],(MATCH(Calendar!$A6,DB!1:1,0)+2),FALSE),"")</f>
        <v/>
      </c>
      <c r="BTC6" s="27" t="str">
        <f>IFERROR(VLOOKUP(DATE($K$1,$K$2,BTC$4),Table1[],(MATCH(Calendar!$A6,DB!1:1,0)+2),FALSE),"")</f>
        <v/>
      </c>
      <c r="BTD6" s="27" t="str">
        <f>IFERROR(VLOOKUP(DATE($K$1,$K$2,BTD$4),Table1[],(MATCH(Calendar!$A6,DB!1:1,0)+2),FALSE),"")</f>
        <v/>
      </c>
      <c r="BTE6" s="27" t="str">
        <f>IFERROR(VLOOKUP(DATE($K$1,$K$2,BTE$4),Table1[],(MATCH(Calendar!$A6,DB!1:1,0)+2),FALSE),"")</f>
        <v/>
      </c>
      <c r="BTF6" s="27" t="str">
        <f>IFERROR(VLOOKUP(DATE($K$1,$K$2,BTF$4),Table1[],(MATCH(Calendar!$A6,DB!1:1,0)+2),FALSE),"")</f>
        <v/>
      </c>
      <c r="BTG6" s="27" t="str">
        <f>IFERROR(VLOOKUP(DATE($K$1,$K$2,BTG$4),Table1[],(MATCH(Calendar!$A6,DB!1:1,0)+2),FALSE),"")</f>
        <v/>
      </c>
      <c r="BTH6" s="27" t="str">
        <f>IFERROR(VLOOKUP(DATE($K$1,$K$2,BTH$4),Table1[],(MATCH(Calendar!$A6,DB!1:1,0)+2),FALSE),"")</f>
        <v/>
      </c>
      <c r="BTI6" s="27" t="str">
        <f>IFERROR(VLOOKUP(DATE($K$1,$K$2,BTI$4),Table1[],(MATCH(Calendar!$A6,DB!1:1,0)+2),FALSE),"")</f>
        <v/>
      </c>
      <c r="BTJ6" s="27" t="str">
        <f>IFERROR(VLOOKUP(DATE($K$1,$K$2,BTJ$4),Table1[],(MATCH(Calendar!$A6,DB!1:1,0)+2),FALSE),"")</f>
        <v/>
      </c>
      <c r="BTK6" s="27" t="str">
        <f>IFERROR(VLOOKUP(DATE($K$1,$K$2,BTK$4),Table1[],(MATCH(Calendar!$A6,DB!1:1,0)+2),FALSE),"")</f>
        <v/>
      </c>
      <c r="BTL6" s="27" t="str">
        <f>IFERROR(VLOOKUP(DATE($K$1,$K$2,BTL$4),Table1[],(MATCH(Calendar!$A6,DB!1:1,0)+2),FALSE),"")</f>
        <v/>
      </c>
      <c r="BTM6" s="27" t="str">
        <f>IFERROR(VLOOKUP(DATE($K$1,$K$2,BTM$4),Table1[],(MATCH(Calendar!$A6,DB!1:1,0)+2),FALSE),"")</f>
        <v/>
      </c>
      <c r="BTN6" s="27" t="str">
        <f>IFERROR(VLOOKUP(DATE($K$1,$K$2,BTN$4),Table1[],(MATCH(Calendar!$A6,DB!1:1,0)+2),FALSE),"")</f>
        <v/>
      </c>
      <c r="BTO6" s="27" t="str">
        <f>IFERROR(VLOOKUP(DATE($K$1,$K$2,BTO$4),Table1[],(MATCH(Calendar!$A6,DB!1:1,0)+2),FALSE),"")</f>
        <v/>
      </c>
      <c r="BTP6" s="27" t="str">
        <f>IFERROR(VLOOKUP(DATE($K$1,$K$2,BTP$4),Table1[],(MATCH(Calendar!$A6,DB!1:1,0)+2),FALSE),"")</f>
        <v/>
      </c>
      <c r="BTQ6" s="27" t="str">
        <f>IFERROR(VLOOKUP(DATE($K$1,$K$2,BTQ$4),Table1[],(MATCH(Calendar!$A6,DB!1:1,0)+2),FALSE),"")</f>
        <v/>
      </c>
      <c r="BTR6" s="27" t="str">
        <f>IFERROR(VLOOKUP(DATE($K$1,$K$2,BTR$4),Table1[],(MATCH(Calendar!$A6,DB!1:1,0)+2),FALSE),"")</f>
        <v/>
      </c>
      <c r="BTS6" s="27" t="str">
        <f>IFERROR(VLOOKUP(DATE($K$1,$K$2,BTS$4),Table1[],(MATCH(Calendar!$A6,DB!1:1,0)+2),FALSE),"")</f>
        <v/>
      </c>
      <c r="BTT6" s="27" t="str">
        <f>IFERROR(VLOOKUP(DATE($K$1,$K$2,BTT$4),Table1[],(MATCH(Calendar!$A6,DB!1:1,0)+2),FALSE),"")</f>
        <v/>
      </c>
      <c r="BTU6" s="27" t="str">
        <f>IFERROR(VLOOKUP(DATE($K$1,$K$2,BTU$4),Table1[],(MATCH(Calendar!$A6,DB!1:1,0)+2),FALSE),"")</f>
        <v/>
      </c>
      <c r="BTV6" s="27" t="str">
        <f>IFERROR(VLOOKUP(DATE($K$1,$K$2,BTV$4),Table1[],(MATCH(Calendar!$A6,DB!1:1,0)+2),FALSE),"")</f>
        <v/>
      </c>
      <c r="BTW6" s="27" t="str">
        <f>IFERROR(VLOOKUP(DATE($K$1,$K$2,BTW$4),Table1[],(MATCH(Calendar!$A6,DB!1:1,0)+2),FALSE),"")</f>
        <v/>
      </c>
      <c r="BTX6" s="27" t="str">
        <f>IFERROR(VLOOKUP(DATE($K$1,$K$2,BTX$4),Table1[],(MATCH(Calendar!$A6,DB!1:1,0)+2),FALSE),"")</f>
        <v/>
      </c>
      <c r="BTY6" s="27" t="str">
        <f>IFERROR(VLOOKUP(DATE($K$1,$K$2,BTY$4),Table1[],(MATCH(Calendar!$A6,DB!1:1,0)+2),FALSE),"")</f>
        <v/>
      </c>
      <c r="BTZ6" s="27" t="str">
        <f>IFERROR(VLOOKUP(DATE($K$1,$K$2,BTZ$4),Table1[],(MATCH(Calendar!$A6,DB!1:1,0)+2),FALSE),"")</f>
        <v/>
      </c>
      <c r="BUA6" s="27" t="str">
        <f>IFERROR(VLOOKUP(DATE($K$1,$K$2,BUA$4),Table1[],(MATCH(Calendar!$A6,DB!1:1,0)+2),FALSE),"")</f>
        <v/>
      </c>
      <c r="BUB6" s="27" t="str">
        <f>IFERROR(VLOOKUP(DATE($K$1,$K$2,BUB$4),Table1[],(MATCH(Calendar!$A6,DB!1:1,0)+2),FALSE),"")</f>
        <v/>
      </c>
      <c r="BUC6" s="27" t="str">
        <f>IFERROR(VLOOKUP(DATE($K$1,$K$2,BUC$4),Table1[],(MATCH(Calendar!$A6,DB!1:1,0)+2),FALSE),"")</f>
        <v/>
      </c>
      <c r="BUD6" s="27" t="str">
        <f>IFERROR(VLOOKUP(DATE($K$1,$K$2,BUD$4),Table1[],(MATCH(Calendar!$A6,DB!1:1,0)+2),FALSE),"")</f>
        <v/>
      </c>
      <c r="BUE6" s="27" t="str">
        <f>IFERROR(VLOOKUP(DATE($K$1,$K$2,BUE$4),Table1[],(MATCH(Calendar!$A6,DB!1:1,0)+2),FALSE),"")</f>
        <v/>
      </c>
      <c r="BUF6" s="27" t="str">
        <f>IFERROR(VLOOKUP(DATE($K$1,$K$2,BUF$4),Table1[],(MATCH(Calendar!$A6,DB!1:1,0)+2),FALSE),"")</f>
        <v/>
      </c>
      <c r="BUG6" s="27" t="str">
        <f>IFERROR(VLOOKUP(DATE($K$1,$K$2,BUG$4),Table1[],(MATCH(Calendar!$A6,DB!1:1,0)+2),FALSE),"")</f>
        <v/>
      </c>
      <c r="BUH6" s="27" t="str">
        <f>IFERROR(VLOOKUP(DATE($K$1,$K$2,BUH$4),Table1[],(MATCH(Calendar!$A6,DB!1:1,0)+2),FALSE),"")</f>
        <v/>
      </c>
      <c r="BUI6" s="27" t="str">
        <f>IFERROR(VLOOKUP(DATE($K$1,$K$2,BUI$4),Table1[],(MATCH(Calendar!$A6,DB!1:1,0)+2),FALSE),"")</f>
        <v/>
      </c>
      <c r="BUJ6" s="27" t="str">
        <f>IFERROR(VLOOKUP(DATE($K$1,$K$2,BUJ$4),Table1[],(MATCH(Calendar!$A6,DB!1:1,0)+2),FALSE),"")</f>
        <v/>
      </c>
      <c r="BUK6" s="27" t="str">
        <f>IFERROR(VLOOKUP(DATE($K$1,$K$2,BUK$4),Table1[],(MATCH(Calendar!$A6,DB!1:1,0)+2),FALSE),"")</f>
        <v/>
      </c>
      <c r="BUL6" s="27" t="str">
        <f>IFERROR(VLOOKUP(DATE($K$1,$K$2,BUL$4),Table1[],(MATCH(Calendar!$A6,DB!1:1,0)+2),FALSE),"")</f>
        <v/>
      </c>
      <c r="BUM6" s="27" t="str">
        <f>IFERROR(VLOOKUP(DATE($K$1,$K$2,BUM$4),Table1[],(MATCH(Calendar!$A6,DB!1:1,0)+2),FALSE),"")</f>
        <v/>
      </c>
      <c r="BUN6" s="27" t="str">
        <f>IFERROR(VLOOKUP(DATE($K$1,$K$2,BUN$4),Table1[],(MATCH(Calendar!$A6,DB!1:1,0)+2),FALSE),"")</f>
        <v/>
      </c>
      <c r="BUO6" s="27" t="str">
        <f>IFERROR(VLOOKUP(DATE($K$1,$K$2,BUO$4),Table1[],(MATCH(Calendar!$A6,DB!1:1,0)+2),FALSE),"")</f>
        <v/>
      </c>
      <c r="BUP6" s="27" t="str">
        <f>IFERROR(VLOOKUP(DATE($K$1,$K$2,BUP$4),Table1[],(MATCH(Calendar!$A6,DB!1:1,0)+2),FALSE),"")</f>
        <v/>
      </c>
      <c r="BUQ6" s="27" t="str">
        <f>IFERROR(VLOOKUP(DATE($K$1,$K$2,BUQ$4),Table1[],(MATCH(Calendar!$A6,DB!1:1,0)+2),FALSE),"")</f>
        <v/>
      </c>
      <c r="BUR6" s="27" t="str">
        <f>IFERROR(VLOOKUP(DATE($K$1,$K$2,BUR$4),Table1[],(MATCH(Calendar!$A6,DB!1:1,0)+2),FALSE),"")</f>
        <v/>
      </c>
      <c r="BUS6" s="27" t="str">
        <f>IFERROR(VLOOKUP(DATE($K$1,$K$2,BUS$4),Table1[],(MATCH(Calendar!$A6,DB!1:1,0)+2),FALSE),"")</f>
        <v/>
      </c>
      <c r="BUT6" s="27" t="str">
        <f>IFERROR(VLOOKUP(DATE($K$1,$K$2,BUT$4),Table1[],(MATCH(Calendar!$A6,DB!1:1,0)+2),FALSE),"")</f>
        <v/>
      </c>
      <c r="BUU6" s="27" t="str">
        <f>IFERROR(VLOOKUP(DATE($K$1,$K$2,BUU$4),Table1[],(MATCH(Calendar!$A6,DB!1:1,0)+2),FALSE),"")</f>
        <v/>
      </c>
      <c r="BUV6" s="27" t="str">
        <f>IFERROR(VLOOKUP(DATE($K$1,$K$2,BUV$4),Table1[],(MATCH(Calendar!$A6,DB!1:1,0)+2),FALSE),"")</f>
        <v/>
      </c>
      <c r="BUW6" s="27" t="str">
        <f>IFERROR(VLOOKUP(DATE($K$1,$K$2,BUW$4),Table1[],(MATCH(Calendar!$A6,DB!1:1,0)+2),FALSE),"")</f>
        <v/>
      </c>
      <c r="BUX6" s="27" t="str">
        <f>IFERROR(VLOOKUP(DATE($K$1,$K$2,BUX$4),Table1[],(MATCH(Calendar!$A6,DB!1:1,0)+2),FALSE),"")</f>
        <v/>
      </c>
      <c r="BUY6" s="27" t="str">
        <f>IFERROR(VLOOKUP(DATE($K$1,$K$2,BUY$4),Table1[],(MATCH(Calendar!$A6,DB!1:1,0)+2),FALSE),"")</f>
        <v/>
      </c>
      <c r="BUZ6" s="27" t="str">
        <f>IFERROR(VLOOKUP(DATE($K$1,$K$2,BUZ$4),Table1[],(MATCH(Calendar!$A6,DB!1:1,0)+2),FALSE),"")</f>
        <v/>
      </c>
      <c r="BVA6" s="27" t="str">
        <f>IFERROR(VLOOKUP(DATE($K$1,$K$2,BVA$4),Table1[],(MATCH(Calendar!$A6,DB!1:1,0)+2),FALSE),"")</f>
        <v/>
      </c>
      <c r="BVB6" s="27" t="str">
        <f>IFERROR(VLOOKUP(DATE($K$1,$K$2,BVB$4),Table1[],(MATCH(Calendar!$A6,DB!1:1,0)+2),FALSE),"")</f>
        <v/>
      </c>
      <c r="BVC6" s="27" t="str">
        <f>IFERROR(VLOOKUP(DATE($K$1,$K$2,BVC$4),Table1[],(MATCH(Calendar!$A6,DB!1:1,0)+2),FALSE),"")</f>
        <v/>
      </c>
      <c r="BVD6" s="27" t="str">
        <f>IFERROR(VLOOKUP(DATE($K$1,$K$2,BVD$4),Table1[],(MATCH(Calendar!$A6,DB!1:1,0)+2),FALSE),"")</f>
        <v/>
      </c>
      <c r="BVE6" s="27" t="str">
        <f>IFERROR(VLOOKUP(DATE($K$1,$K$2,BVE$4),Table1[],(MATCH(Calendar!$A6,DB!1:1,0)+2),FALSE),"")</f>
        <v/>
      </c>
      <c r="BVF6" s="27" t="str">
        <f>IFERROR(VLOOKUP(DATE($K$1,$K$2,BVF$4),Table1[],(MATCH(Calendar!$A6,DB!1:1,0)+2),FALSE),"")</f>
        <v/>
      </c>
      <c r="BVG6" s="27" t="str">
        <f>IFERROR(VLOOKUP(DATE($K$1,$K$2,BVG$4),Table1[],(MATCH(Calendar!$A6,DB!1:1,0)+2),FALSE),"")</f>
        <v/>
      </c>
      <c r="BVH6" s="27" t="str">
        <f>IFERROR(VLOOKUP(DATE($K$1,$K$2,BVH$4),Table1[],(MATCH(Calendar!$A6,DB!1:1,0)+2),FALSE),"")</f>
        <v/>
      </c>
      <c r="BVI6" s="27" t="str">
        <f>IFERROR(VLOOKUP(DATE($K$1,$K$2,BVI$4),Table1[],(MATCH(Calendar!$A6,DB!1:1,0)+2),FALSE),"")</f>
        <v/>
      </c>
      <c r="BVJ6" s="27" t="str">
        <f>IFERROR(VLOOKUP(DATE($K$1,$K$2,BVJ$4),Table1[],(MATCH(Calendar!$A6,DB!1:1,0)+2),FALSE),"")</f>
        <v/>
      </c>
      <c r="BVK6" s="27" t="str">
        <f>IFERROR(VLOOKUP(DATE($K$1,$K$2,BVK$4),Table1[],(MATCH(Calendar!$A6,DB!1:1,0)+2),FALSE),"")</f>
        <v/>
      </c>
      <c r="BVL6" s="27" t="str">
        <f>IFERROR(VLOOKUP(DATE($K$1,$K$2,BVL$4),Table1[],(MATCH(Calendar!$A6,DB!1:1,0)+2),FALSE),"")</f>
        <v/>
      </c>
      <c r="BVM6" s="27" t="str">
        <f>IFERROR(VLOOKUP(DATE($K$1,$K$2,BVM$4),Table1[],(MATCH(Calendar!$A6,DB!1:1,0)+2),FALSE),"")</f>
        <v/>
      </c>
      <c r="BVN6" s="27" t="str">
        <f>IFERROR(VLOOKUP(DATE($K$1,$K$2,BVN$4),Table1[],(MATCH(Calendar!$A6,DB!1:1,0)+2),FALSE),"")</f>
        <v/>
      </c>
      <c r="BVO6" s="27" t="str">
        <f>IFERROR(VLOOKUP(DATE($K$1,$K$2,BVO$4),Table1[],(MATCH(Calendar!$A6,DB!1:1,0)+2),FALSE),"")</f>
        <v/>
      </c>
      <c r="BVP6" s="27" t="str">
        <f>IFERROR(VLOOKUP(DATE($K$1,$K$2,BVP$4),Table1[],(MATCH(Calendar!$A6,DB!1:1,0)+2),FALSE),"")</f>
        <v/>
      </c>
      <c r="BVQ6" s="27" t="str">
        <f>IFERROR(VLOOKUP(DATE($K$1,$K$2,BVQ$4),Table1[],(MATCH(Calendar!$A6,DB!1:1,0)+2),FALSE),"")</f>
        <v/>
      </c>
      <c r="BVR6" s="27" t="str">
        <f>IFERROR(VLOOKUP(DATE($K$1,$K$2,BVR$4),Table1[],(MATCH(Calendar!$A6,DB!1:1,0)+2),FALSE),"")</f>
        <v/>
      </c>
      <c r="BVS6" s="27" t="str">
        <f>IFERROR(VLOOKUP(DATE($K$1,$K$2,BVS$4),Table1[],(MATCH(Calendar!$A6,DB!1:1,0)+2),FALSE),"")</f>
        <v/>
      </c>
      <c r="BVT6" s="27" t="str">
        <f>IFERROR(VLOOKUP(DATE($K$1,$K$2,BVT$4),Table1[],(MATCH(Calendar!$A6,DB!1:1,0)+2),FALSE),"")</f>
        <v/>
      </c>
      <c r="BVU6" s="27" t="str">
        <f>IFERROR(VLOOKUP(DATE($K$1,$K$2,BVU$4),Table1[],(MATCH(Calendar!$A6,DB!1:1,0)+2),FALSE),"")</f>
        <v/>
      </c>
      <c r="BVV6" s="27" t="str">
        <f>IFERROR(VLOOKUP(DATE($K$1,$K$2,BVV$4),Table1[],(MATCH(Calendar!$A6,DB!1:1,0)+2),FALSE),"")</f>
        <v/>
      </c>
      <c r="BVW6" s="27" t="str">
        <f>IFERROR(VLOOKUP(DATE($K$1,$K$2,BVW$4),Table1[],(MATCH(Calendar!$A6,DB!1:1,0)+2),FALSE),"")</f>
        <v/>
      </c>
      <c r="BVX6" s="27" t="str">
        <f>IFERROR(VLOOKUP(DATE($K$1,$K$2,BVX$4),Table1[],(MATCH(Calendar!$A6,DB!1:1,0)+2),FALSE),"")</f>
        <v/>
      </c>
      <c r="BVY6" s="27" t="str">
        <f>IFERROR(VLOOKUP(DATE($K$1,$K$2,BVY$4),Table1[],(MATCH(Calendar!$A6,DB!1:1,0)+2),FALSE),"")</f>
        <v/>
      </c>
      <c r="BVZ6" s="27" t="str">
        <f>IFERROR(VLOOKUP(DATE($K$1,$K$2,BVZ$4),Table1[],(MATCH(Calendar!$A6,DB!1:1,0)+2),FALSE),"")</f>
        <v/>
      </c>
      <c r="BWA6" s="27" t="str">
        <f>IFERROR(VLOOKUP(DATE($K$1,$K$2,BWA$4),Table1[],(MATCH(Calendar!$A6,DB!1:1,0)+2),FALSE),"")</f>
        <v/>
      </c>
      <c r="BWB6" s="27" t="str">
        <f>IFERROR(VLOOKUP(DATE($K$1,$K$2,BWB$4),Table1[],(MATCH(Calendar!$A6,DB!1:1,0)+2),FALSE),"")</f>
        <v/>
      </c>
      <c r="BWC6" s="27" t="str">
        <f>IFERROR(VLOOKUP(DATE($K$1,$K$2,BWC$4),Table1[],(MATCH(Calendar!$A6,DB!1:1,0)+2),FALSE),"")</f>
        <v/>
      </c>
      <c r="BWD6" s="27" t="str">
        <f>IFERROR(VLOOKUP(DATE($K$1,$K$2,BWD$4),Table1[],(MATCH(Calendar!$A6,DB!1:1,0)+2),FALSE),"")</f>
        <v/>
      </c>
      <c r="BWE6" s="27" t="str">
        <f>IFERROR(VLOOKUP(DATE($K$1,$K$2,BWE$4),Table1[],(MATCH(Calendar!$A6,DB!1:1,0)+2),FALSE),"")</f>
        <v/>
      </c>
      <c r="BWF6" s="27" t="str">
        <f>IFERROR(VLOOKUP(DATE($K$1,$K$2,BWF$4),Table1[],(MATCH(Calendar!$A6,DB!1:1,0)+2),FALSE),"")</f>
        <v/>
      </c>
      <c r="BWG6" s="27" t="str">
        <f>IFERROR(VLOOKUP(DATE($K$1,$K$2,BWG$4),Table1[],(MATCH(Calendar!$A6,DB!1:1,0)+2),FALSE),"")</f>
        <v/>
      </c>
      <c r="BWH6" s="27" t="str">
        <f>IFERROR(VLOOKUP(DATE($K$1,$K$2,BWH$4),Table1[],(MATCH(Calendar!$A6,DB!1:1,0)+2),FALSE),"")</f>
        <v/>
      </c>
      <c r="BWI6" s="27" t="str">
        <f>IFERROR(VLOOKUP(DATE($K$1,$K$2,BWI$4),Table1[],(MATCH(Calendar!$A6,DB!1:1,0)+2),FALSE),"")</f>
        <v/>
      </c>
      <c r="BWJ6" s="27" t="str">
        <f>IFERROR(VLOOKUP(DATE($K$1,$K$2,BWJ$4),Table1[],(MATCH(Calendar!$A6,DB!1:1,0)+2),FALSE),"")</f>
        <v/>
      </c>
      <c r="BWK6" s="27" t="str">
        <f>IFERROR(VLOOKUP(DATE($K$1,$K$2,BWK$4),Table1[],(MATCH(Calendar!$A6,DB!1:1,0)+2),FALSE),"")</f>
        <v/>
      </c>
      <c r="BWL6" s="27" t="str">
        <f>IFERROR(VLOOKUP(DATE($K$1,$K$2,BWL$4),Table1[],(MATCH(Calendar!$A6,DB!1:1,0)+2),FALSE),"")</f>
        <v/>
      </c>
      <c r="BWM6" s="27" t="str">
        <f>IFERROR(VLOOKUP(DATE($K$1,$K$2,BWM$4),Table1[],(MATCH(Calendar!$A6,DB!1:1,0)+2),FALSE),"")</f>
        <v/>
      </c>
      <c r="BWN6" s="27" t="str">
        <f>IFERROR(VLOOKUP(DATE($K$1,$K$2,BWN$4),Table1[],(MATCH(Calendar!$A6,DB!1:1,0)+2),FALSE),"")</f>
        <v/>
      </c>
      <c r="BWO6" s="27" t="str">
        <f>IFERROR(VLOOKUP(DATE($K$1,$K$2,BWO$4),Table1[],(MATCH(Calendar!$A6,DB!1:1,0)+2),FALSE),"")</f>
        <v/>
      </c>
      <c r="BWP6" s="27" t="str">
        <f>IFERROR(VLOOKUP(DATE($K$1,$K$2,BWP$4),Table1[],(MATCH(Calendar!$A6,DB!1:1,0)+2),FALSE),"")</f>
        <v/>
      </c>
      <c r="BWQ6" s="27" t="str">
        <f>IFERROR(VLOOKUP(DATE($K$1,$K$2,BWQ$4),Table1[],(MATCH(Calendar!$A6,DB!1:1,0)+2),FALSE),"")</f>
        <v/>
      </c>
      <c r="BWR6" s="27" t="str">
        <f>IFERROR(VLOOKUP(DATE($K$1,$K$2,BWR$4),Table1[],(MATCH(Calendar!$A6,DB!1:1,0)+2),FALSE),"")</f>
        <v/>
      </c>
      <c r="BWS6" s="27" t="str">
        <f>IFERROR(VLOOKUP(DATE($K$1,$K$2,BWS$4),Table1[],(MATCH(Calendar!$A6,DB!1:1,0)+2),FALSE),"")</f>
        <v/>
      </c>
      <c r="BWT6" s="27" t="str">
        <f>IFERROR(VLOOKUP(DATE($K$1,$K$2,BWT$4),Table1[],(MATCH(Calendar!$A6,DB!1:1,0)+2),FALSE),"")</f>
        <v/>
      </c>
      <c r="BWU6" s="27" t="str">
        <f>IFERROR(VLOOKUP(DATE($K$1,$K$2,BWU$4),Table1[],(MATCH(Calendar!$A6,DB!1:1,0)+2),FALSE),"")</f>
        <v/>
      </c>
      <c r="BWV6" s="27" t="str">
        <f>IFERROR(VLOOKUP(DATE($K$1,$K$2,BWV$4),Table1[],(MATCH(Calendar!$A6,DB!1:1,0)+2),FALSE),"")</f>
        <v/>
      </c>
      <c r="BWW6" s="27" t="str">
        <f>IFERROR(VLOOKUP(DATE($K$1,$K$2,BWW$4),Table1[],(MATCH(Calendar!$A6,DB!1:1,0)+2),FALSE),"")</f>
        <v/>
      </c>
      <c r="BWX6" s="27" t="str">
        <f>IFERROR(VLOOKUP(DATE($K$1,$K$2,BWX$4),Table1[],(MATCH(Calendar!$A6,DB!1:1,0)+2),FALSE),"")</f>
        <v/>
      </c>
      <c r="BWY6" s="27" t="str">
        <f>IFERROR(VLOOKUP(DATE($K$1,$K$2,BWY$4),Table1[],(MATCH(Calendar!$A6,DB!1:1,0)+2),FALSE),"")</f>
        <v/>
      </c>
      <c r="BWZ6" s="27" t="str">
        <f>IFERROR(VLOOKUP(DATE($K$1,$K$2,BWZ$4),Table1[],(MATCH(Calendar!$A6,DB!1:1,0)+2),FALSE),"")</f>
        <v/>
      </c>
      <c r="BXA6" s="27" t="str">
        <f>IFERROR(VLOOKUP(DATE($K$1,$K$2,BXA$4),Table1[],(MATCH(Calendar!$A6,DB!1:1,0)+2),FALSE),"")</f>
        <v/>
      </c>
      <c r="BXB6" s="27" t="str">
        <f>IFERROR(VLOOKUP(DATE($K$1,$K$2,BXB$4),Table1[],(MATCH(Calendar!$A6,DB!1:1,0)+2),FALSE),"")</f>
        <v/>
      </c>
      <c r="BXC6" s="27" t="str">
        <f>IFERROR(VLOOKUP(DATE($K$1,$K$2,BXC$4),Table1[],(MATCH(Calendar!$A6,DB!1:1,0)+2),FALSE),"")</f>
        <v/>
      </c>
      <c r="BXD6" s="27" t="str">
        <f>IFERROR(VLOOKUP(DATE($K$1,$K$2,BXD$4),Table1[],(MATCH(Calendar!$A6,DB!1:1,0)+2),FALSE),"")</f>
        <v/>
      </c>
      <c r="BXE6" s="27" t="str">
        <f>IFERROR(VLOOKUP(DATE($K$1,$K$2,BXE$4),Table1[],(MATCH(Calendar!$A6,DB!1:1,0)+2),FALSE),"")</f>
        <v/>
      </c>
      <c r="BXF6" s="27" t="str">
        <f>IFERROR(VLOOKUP(DATE($K$1,$K$2,BXF$4),Table1[],(MATCH(Calendar!$A6,DB!1:1,0)+2),FALSE),"")</f>
        <v/>
      </c>
      <c r="BXG6" s="27" t="str">
        <f>IFERROR(VLOOKUP(DATE($K$1,$K$2,BXG$4),Table1[],(MATCH(Calendar!$A6,DB!1:1,0)+2),FALSE),"")</f>
        <v/>
      </c>
      <c r="BXH6" s="27" t="str">
        <f>IFERROR(VLOOKUP(DATE($K$1,$K$2,BXH$4),Table1[],(MATCH(Calendar!$A6,DB!1:1,0)+2),FALSE),"")</f>
        <v/>
      </c>
      <c r="BXI6" s="27" t="str">
        <f>IFERROR(VLOOKUP(DATE($K$1,$K$2,BXI$4),Table1[],(MATCH(Calendar!$A6,DB!1:1,0)+2),FALSE),"")</f>
        <v/>
      </c>
      <c r="BXJ6" s="27" t="str">
        <f>IFERROR(VLOOKUP(DATE($K$1,$K$2,BXJ$4),Table1[],(MATCH(Calendar!$A6,DB!1:1,0)+2),FALSE),"")</f>
        <v/>
      </c>
      <c r="BXK6" s="27" t="str">
        <f>IFERROR(VLOOKUP(DATE($K$1,$K$2,BXK$4),Table1[],(MATCH(Calendar!$A6,DB!1:1,0)+2),FALSE),"")</f>
        <v/>
      </c>
      <c r="BXL6" s="27" t="str">
        <f>IFERROR(VLOOKUP(DATE($K$1,$K$2,BXL$4),Table1[],(MATCH(Calendar!$A6,DB!1:1,0)+2),FALSE),"")</f>
        <v/>
      </c>
      <c r="BXM6" s="27" t="str">
        <f>IFERROR(VLOOKUP(DATE($K$1,$K$2,BXM$4),Table1[],(MATCH(Calendar!$A6,DB!1:1,0)+2),FALSE),"")</f>
        <v/>
      </c>
      <c r="BXN6" s="27" t="str">
        <f>IFERROR(VLOOKUP(DATE($K$1,$K$2,BXN$4),Table1[],(MATCH(Calendar!$A6,DB!1:1,0)+2),FALSE),"")</f>
        <v/>
      </c>
      <c r="BXO6" s="27" t="str">
        <f>IFERROR(VLOOKUP(DATE($K$1,$K$2,BXO$4),Table1[],(MATCH(Calendar!$A6,DB!1:1,0)+2),FALSE),"")</f>
        <v/>
      </c>
      <c r="BXP6" s="27" t="str">
        <f>IFERROR(VLOOKUP(DATE($K$1,$K$2,BXP$4),Table1[],(MATCH(Calendar!$A6,DB!1:1,0)+2),FALSE),"")</f>
        <v/>
      </c>
      <c r="BXQ6" s="27" t="str">
        <f>IFERROR(VLOOKUP(DATE($K$1,$K$2,BXQ$4),Table1[],(MATCH(Calendar!$A6,DB!1:1,0)+2),FALSE),"")</f>
        <v/>
      </c>
      <c r="BXR6" s="27" t="str">
        <f>IFERROR(VLOOKUP(DATE($K$1,$K$2,BXR$4),Table1[],(MATCH(Calendar!$A6,DB!1:1,0)+2),FALSE),"")</f>
        <v/>
      </c>
      <c r="BXS6" s="27" t="str">
        <f>IFERROR(VLOOKUP(DATE($K$1,$K$2,BXS$4),Table1[],(MATCH(Calendar!$A6,DB!1:1,0)+2),FALSE),"")</f>
        <v/>
      </c>
      <c r="BXT6" s="27" t="str">
        <f>IFERROR(VLOOKUP(DATE($K$1,$K$2,BXT$4),Table1[],(MATCH(Calendar!$A6,DB!1:1,0)+2),FALSE),"")</f>
        <v/>
      </c>
      <c r="BXU6" s="27" t="str">
        <f>IFERROR(VLOOKUP(DATE($K$1,$K$2,BXU$4),Table1[],(MATCH(Calendar!$A6,DB!1:1,0)+2),FALSE),"")</f>
        <v/>
      </c>
      <c r="BXV6" s="27" t="str">
        <f>IFERROR(VLOOKUP(DATE($K$1,$K$2,BXV$4),Table1[],(MATCH(Calendar!$A6,DB!1:1,0)+2),FALSE),"")</f>
        <v/>
      </c>
      <c r="BXW6" s="27" t="str">
        <f>IFERROR(VLOOKUP(DATE($K$1,$K$2,BXW$4),Table1[],(MATCH(Calendar!$A6,DB!1:1,0)+2),FALSE),"")</f>
        <v/>
      </c>
      <c r="BXX6" s="27" t="str">
        <f>IFERROR(VLOOKUP(DATE($K$1,$K$2,BXX$4),Table1[],(MATCH(Calendar!$A6,DB!1:1,0)+2),FALSE),"")</f>
        <v/>
      </c>
      <c r="BXY6" s="27" t="str">
        <f>IFERROR(VLOOKUP(DATE($K$1,$K$2,BXY$4),Table1[],(MATCH(Calendar!$A6,DB!1:1,0)+2),FALSE),"")</f>
        <v/>
      </c>
      <c r="BXZ6" s="27" t="str">
        <f>IFERROR(VLOOKUP(DATE($K$1,$K$2,BXZ$4),Table1[],(MATCH(Calendar!$A6,DB!1:1,0)+2),FALSE),"")</f>
        <v/>
      </c>
      <c r="BYA6" s="27" t="str">
        <f>IFERROR(VLOOKUP(DATE($K$1,$K$2,BYA$4),Table1[],(MATCH(Calendar!$A6,DB!1:1,0)+2),FALSE),"")</f>
        <v/>
      </c>
      <c r="BYB6" s="27" t="str">
        <f>IFERROR(VLOOKUP(DATE($K$1,$K$2,BYB$4),Table1[],(MATCH(Calendar!$A6,DB!1:1,0)+2),FALSE),"")</f>
        <v/>
      </c>
      <c r="BYC6" s="27" t="str">
        <f>IFERROR(VLOOKUP(DATE($K$1,$K$2,BYC$4),Table1[],(MATCH(Calendar!$A6,DB!1:1,0)+2),FALSE),"")</f>
        <v/>
      </c>
      <c r="BYD6" s="27" t="str">
        <f>IFERROR(VLOOKUP(DATE($K$1,$K$2,BYD$4),Table1[],(MATCH(Calendar!$A6,DB!1:1,0)+2),FALSE),"")</f>
        <v/>
      </c>
      <c r="BYE6" s="27" t="str">
        <f>IFERROR(VLOOKUP(DATE($K$1,$K$2,BYE$4),Table1[],(MATCH(Calendar!$A6,DB!1:1,0)+2),FALSE),"")</f>
        <v/>
      </c>
      <c r="BYF6" s="27" t="str">
        <f>IFERROR(VLOOKUP(DATE($K$1,$K$2,BYF$4),Table1[],(MATCH(Calendar!$A6,DB!1:1,0)+2),FALSE),"")</f>
        <v/>
      </c>
      <c r="BYG6" s="27" t="str">
        <f>IFERROR(VLOOKUP(DATE($K$1,$K$2,BYG$4),Table1[],(MATCH(Calendar!$A6,DB!1:1,0)+2),FALSE),"")</f>
        <v/>
      </c>
      <c r="BYH6" s="27" t="str">
        <f>IFERROR(VLOOKUP(DATE($K$1,$K$2,BYH$4),Table1[],(MATCH(Calendar!$A6,DB!1:1,0)+2),FALSE),"")</f>
        <v/>
      </c>
      <c r="BYI6" s="27" t="str">
        <f>IFERROR(VLOOKUP(DATE($K$1,$K$2,BYI$4),Table1[],(MATCH(Calendar!$A6,DB!1:1,0)+2),FALSE),"")</f>
        <v/>
      </c>
      <c r="BYJ6" s="27" t="str">
        <f>IFERROR(VLOOKUP(DATE($K$1,$K$2,BYJ$4),Table1[],(MATCH(Calendar!$A6,DB!1:1,0)+2),FALSE),"")</f>
        <v/>
      </c>
      <c r="BYK6" s="27" t="str">
        <f>IFERROR(VLOOKUP(DATE($K$1,$K$2,BYK$4),Table1[],(MATCH(Calendar!$A6,DB!1:1,0)+2),FALSE),"")</f>
        <v/>
      </c>
      <c r="BYL6" s="27" t="str">
        <f>IFERROR(VLOOKUP(DATE($K$1,$K$2,BYL$4),Table1[],(MATCH(Calendar!$A6,DB!1:1,0)+2),FALSE),"")</f>
        <v/>
      </c>
      <c r="BYM6" s="27" t="str">
        <f>IFERROR(VLOOKUP(DATE($K$1,$K$2,BYM$4),Table1[],(MATCH(Calendar!$A6,DB!1:1,0)+2),FALSE),"")</f>
        <v/>
      </c>
      <c r="BYN6" s="27" t="str">
        <f>IFERROR(VLOOKUP(DATE($K$1,$K$2,BYN$4),Table1[],(MATCH(Calendar!$A6,DB!1:1,0)+2),FALSE),"")</f>
        <v/>
      </c>
      <c r="BYO6" s="27" t="str">
        <f>IFERROR(VLOOKUP(DATE($K$1,$K$2,BYO$4),Table1[],(MATCH(Calendar!$A6,DB!1:1,0)+2),FALSE),"")</f>
        <v/>
      </c>
      <c r="BYP6" s="27" t="str">
        <f>IFERROR(VLOOKUP(DATE($K$1,$K$2,BYP$4),Table1[],(MATCH(Calendar!$A6,DB!1:1,0)+2),FALSE),"")</f>
        <v/>
      </c>
      <c r="BYQ6" s="27" t="str">
        <f>IFERROR(VLOOKUP(DATE($K$1,$K$2,BYQ$4),Table1[],(MATCH(Calendar!$A6,DB!1:1,0)+2),FALSE),"")</f>
        <v/>
      </c>
      <c r="BYR6" s="27" t="str">
        <f>IFERROR(VLOOKUP(DATE($K$1,$K$2,BYR$4),Table1[],(MATCH(Calendar!$A6,DB!1:1,0)+2),FALSE),"")</f>
        <v/>
      </c>
      <c r="BYS6" s="27" t="str">
        <f>IFERROR(VLOOKUP(DATE($K$1,$K$2,BYS$4),Table1[],(MATCH(Calendar!$A6,DB!1:1,0)+2),FALSE),"")</f>
        <v/>
      </c>
      <c r="BYT6" s="27" t="str">
        <f>IFERROR(VLOOKUP(DATE($K$1,$K$2,BYT$4),Table1[],(MATCH(Calendar!$A6,DB!1:1,0)+2),FALSE),"")</f>
        <v/>
      </c>
      <c r="BYU6" s="27" t="str">
        <f>IFERROR(VLOOKUP(DATE($K$1,$K$2,BYU$4),Table1[],(MATCH(Calendar!$A6,DB!1:1,0)+2),FALSE),"")</f>
        <v/>
      </c>
      <c r="BYV6" s="27" t="str">
        <f>IFERROR(VLOOKUP(DATE($K$1,$K$2,BYV$4),Table1[],(MATCH(Calendar!$A6,DB!1:1,0)+2),FALSE),"")</f>
        <v/>
      </c>
      <c r="BYW6" s="27" t="str">
        <f>IFERROR(VLOOKUP(DATE($K$1,$K$2,BYW$4),Table1[],(MATCH(Calendar!$A6,DB!1:1,0)+2),FALSE),"")</f>
        <v/>
      </c>
      <c r="BYX6" s="27" t="str">
        <f>IFERROR(VLOOKUP(DATE($K$1,$K$2,BYX$4),Table1[],(MATCH(Calendar!$A6,DB!1:1,0)+2),FALSE),"")</f>
        <v/>
      </c>
      <c r="BYY6" s="27" t="str">
        <f>IFERROR(VLOOKUP(DATE($K$1,$K$2,BYY$4),Table1[],(MATCH(Calendar!$A6,DB!1:1,0)+2),FALSE),"")</f>
        <v/>
      </c>
      <c r="BYZ6" s="27" t="str">
        <f>IFERROR(VLOOKUP(DATE($K$1,$K$2,BYZ$4),Table1[],(MATCH(Calendar!$A6,DB!1:1,0)+2),FALSE),"")</f>
        <v/>
      </c>
      <c r="BZA6" s="27" t="str">
        <f>IFERROR(VLOOKUP(DATE($K$1,$K$2,BZA$4),Table1[],(MATCH(Calendar!$A6,DB!1:1,0)+2),FALSE),"")</f>
        <v/>
      </c>
      <c r="BZB6" s="27" t="str">
        <f>IFERROR(VLOOKUP(DATE($K$1,$K$2,BZB$4),Table1[],(MATCH(Calendar!$A6,DB!1:1,0)+2),FALSE),"")</f>
        <v/>
      </c>
      <c r="BZC6" s="27" t="str">
        <f>IFERROR(VLOOKUP(DATE($K$1,$K$2,BZC$4),Table1[],(MATCH(Calendar!$A6,DB!1:1,0)+2),FALSE),"")</f>
        <v/>
      </c>
      <c r="BZD6" s="27" t="str">
        <f>IFERROR(VLOOKUP(DATE($K$1,$K$2,BZD$4),Table1[],(MATCH(Calendar!$A6,DB!1:1,0)+2),FALSE),"")</f>
        <v/>
      </c>
      <c r="BZE6" s="27" t="str">
        <f>IFERROR(VLOOKUP(DATE($K$1,$K$2,BZE$4),Table1[],(MATCH(Calendar!$A6,DB!1:1,0)+2),FALSE),"")</f>
        <v/>
      </c>
      <c r="BZF6" s="27" t="str">
        <f>IFERROR(VLOOKUP(DATE($K$1,$K$2,BZF$4),Table1[],(MATCH(Calendar!$A6,DB!1:1,0)+2),FALSE),"")</f>
        <v/>
      </c>
      <c r="BZG6" s="27" t="str">
        <f>IFERROR(VLOOKUP(DATE($K$1,$K$2,BZG$4),Table1[],(MATCH(Calendar!$A6,DB!1:1,0)+2),FALSE),"")</f>
        <v/>
      </c>
      <c r="BZH6" s="27" t="str">
        <f>IFERROR(VLOOKUP(DATE($K$1,$K$2,BZH$4),Table1[],(MATCH(Calendar!$A6,DB!1:1,0)+2),FALSE),"")</f>
        <v/>
      </c>
      <c r="BZI6" s="27" t="str">
        <f>IFERROR(VLOOKUP(DATE($K$1,$K$2,BZI$4),Table1[],(MATCH(Calendar!$A6,DB!1:1,0)+2),FALSE),"")</f>
        <v/>
      </c>
      <c r="BZJ6" s="27" t="str">
        <f>IFERROR(VLOOKUP(DATE($K$1,$K$2,BZJ$4),Table1[],(MATCH(Calendar!$A6,DB!1:1,0)+2),FALSE),"")</f>
        <v/>
      </c>
      <c r="BZK6" s="27" t="str">
        <f>IFERROR(VLOOKUP(DATE($K$1,$K$2,BZK$4),Table1[],(MATCH(Calendar!$A6,DB!1:1,0)+2),FALSE),"")</f>
        <v/>
      </c>
      <c r="BZL6" s="27" t="str">
        <f>IFERROR(VLOOKUP(DATE($K$1,$K$2,BZL$4),Table1[],(MATCH(Calendar!$A6,DB!1:1,0)+2),FALSE),"")</f>
        <v/>
      </c>
      <c r="BZM6" s="27" t="str">
        <f>IFERROR(VLOOKUP(DATE($K$1,$K$2,BZM$4),Table1[],(MATCH(Calendar!$A6,DB!1:1,0)+2),FALSE),"")</f>
        <v/>
      </c>
      <c r="BZN6" s="27" t="str">
        <f>IFERROR(VLOOKUP(DATE($K$1,$K$2,BZN$4),Table1[],(MATCH(Calendar!$A6,DB!1:1,0)+2),FALSE),"")</f>
        <v/>
      </c>
      <c r="BZO6" s="27" t="str">
        <f>IFERROR(VLOOKUP(DATE($K$1,$K$2,BZO$4),Table1[],(MATCH(Calendar!$A6,DB!1:1,0)+2),FALSE),"")</f>
        <v/>
      </c>
      <c r="BZP6" s="27" t="str">
        <f>IFERROR(VLOOKUP(DATE($K$1,$K$2,BZP$4),Table1[],(MATCH(Calendar!$A6,DB!1:1,0)+2),FALSE),"")</f>
        <v/>
      </c>
      <c r="BZQ6" s="27" t="str">
        <f>IFERROR(VLOOKUP(DATE($K$1,$K$2,BZQ$4),Table1[],(MATCH(Calendar!$A6,DB!1:1,0)+2),FALSE),"")</f>
        <v/>
      </c>
      <c r="BZR6" s="27" t="str">
        <f>IFERROR(VLOOKUP(DATE($K$1,$K$2,BZR$4),Table1[],(MATCH(Calendar!$A6,DB!1:1,0)+2),FALSE),"")</f>
        <v/>
      </c>
      <c r="BZS6" s="27" t="str">
        <f>IFERROR(VLOOKUP(DATE($K$1,$K$2,BZS$4),Table1[],(MATCH(Calendar!$A6,DB!1:1,0)+2),FALSE),"")</f>
        <v/>
      </c>
      <c r="BZT6" s="27" t="str">
        <f>IFERROR(VLOOKUP(DATE($K$1,$K$2,BZT$4),Table1[],(MATCH(Calendar!$A6,DB!1:1,0)+2),FALSE),"")</f>
        <v/>
      </c>
      <c r="BZU6" s="27" t="str">
        <f>IFERROR(VLOOKUP(DATE($K$1,$K$2,BZU$4),Table1[],(MATCH(Calendar!$A6,DB!1:1,0)+2),FALSE),"")</f>
        <v/>
      </c>
      <c r="BZV6" s="27" t="str">
        <f>IFERROR(VLOOKUP(DATE($K$1,$K$2,BZV$4),Table1[],(MATCH(Calendar!$A6,DB!1:1,0)+2),FALSE),"")</f>
        <v/>
      </c>
      <c r="BZW6" s="27" t="str">
        <f>IFERROR(VLOOKUP(DATE($K$1,$K$2,BZW$4),Table1[],(MATCH(Calendar!$A6,DB!1:1,0)+2),FALSE),"")</f>
        <v/>
      </c>
      <c r="BZX6" s="27" t="str">
        <f>IFERROR(VLOOKUP(DATE($K$1,$K$2,BZX$4),Table1[],(MATCH(Calendar!$A6,DB!1:1,0)+2),FALSE),"")</f>
        <v/>
      </c>
      <c r="BZY6" s="27" t="str">
        <f>IFERROR(VLOOKUP(DATE($K$1,$K$2,BZY$4),Table1[],(MATCH(Calendar!$A6,DB!1:1,0)+2),FALSE),"")</f>
        <v/>
      </c>
      <c r="BZZ6" s="27" t="str">
        <f>IFERROR(VLOOKUP(DATE($K$1,$K$2,BZZ$4),Table1[],(MATCH(Calendar!$A6,DB!1:1,0)+2),FALSE),"")</f>
        <v/>
      </c>
      <c r="CAA6" s="27" t="str">
        <f>IFERROR(VLOOKUP(DATE($K$1,$K$2,CAA$4),Table1[],(MATCH(Calendar!$A6,DB!1:1,0)+2),FALSE),"")</f>
        <v/>
      </c>
      <c r="CAB6" s="27" t="str">
        <f>IFERROR(VLOOKUP(DATE($K$1,$K$2,CAB$4),Table1[],(MATCH(Calendar!$A6,DB!1:1,0)+2),FALSE),"")</f>
        <v/>
      </c>
      <c r="CAC6" s="27" t="str">
        <f>IFERROR(VLOOKUP(DATE($K$1,$K$2,CAC$4),Table1[],(MATCH(Calendar!$A6,DB!1:1,0)+2),FALSE),"")</f>
        <v/>
      </c>
      <c r="CAD6" s="27" t="str">
        <f>IFERROR(VLOOKUP(DATE($K$1,$K$2,CAD$4),Table1[],(MATCH(Calendar!$A6,DB!1:1,0)+2),FALSE),"")</f>
        <v/>
      </c>
      <c r="CAE6" s="27" t="str">
        <f>IFERROR(VLOOKUP(DATE($K$1,$K$2,CAE$4),Table1[],(MATCH(Calendar!$A6,DB!1:1,0)+2),FALSE),"")</f>
        <v/>
      </c>
      <c r="CAF6" s="27" t="str">
        <f>IFERROR(VLOOKUP(DATE($K$1,$K$2,CAF$4),Table1[],(MATCH(Calendar!$A6,DB!1:1,0)+2),FALSE),"")</f>
        <v/>
      </c>
      <c r="CAG6" s="27" t="str">
        <f>IFERROR(VLOOKUP(DATE($K$1,$K$2,CAG$4),Table1[],(MATCH(Calendar!$A6,DB!1:1,0)+2),FALSE),"")</f>
        <v/>
      </c>
      <c r="CAH6" s="27" t="str">
        <f>IFERROR(VLOOKUP(DATE($K$1,$K$2,CAH$4),Table1[],(MATCH(Calendar!$A6,DB!1:1,0)+2),FALSE),"")</f>
        <v/>
      </c>
      <c r="CAI6" s="27" t="str">
        <f>IFERROR(VLOOKUP(DATE($K$1,$K$2,CAI$4),Table1[],(MATCH(Calendar!$A6,DB!1:1,0)+2),FALSE),"")</f>
        <v/>
      </c>
      <c r="CAJ6" s="27" t="str">
        <f>IFERROR(VLOOKUP(DATE($K$1,$K$2,CAJ$4),Table1[],(MATCH(Calendar!$A6,DB!1:1,0)+2),FALSE),"")</f>
        <v/>
      </c>
      <c r="CAK6" s="27" t="str">
        <f>IFERROR(VLOOKUP(DATE($K$1,$K$2,CAK$4),Table1[],(MATCH(Calendar!$A6,DB!1:1,0)+2),FALSE),"")</f>
        <v/>
      </c>
      <c r="CAL6" s="27" t="str">
        <f>IFERROR(VLOOKUP(DATE($K$1,$K$2,CAL$4),Table1[],(MATCH(Calendar!$A6,DB!1:1,0)+2),FALSE),"")</f>
        <v/>
      </c>
      <c r="CAM6" s="27" t="str">
        <f>IFERROR(VLOOKUP(DATE($K$1,$K$2,CAM$4),Table1[],(MATCH(Calendar!$A6,DB!1:1,0)+2),FALSE),"")</f>
        <v/>
      </c>
      <c r="CAN6" s="27" t="str">
        <f>IFERROR(VLOOKUP(DATE($K$1,$K$2,CAN$4),Table1[],(MATCH(Calendar!$A6,DB!1:1,0)+2),FALSE),"")</f>
        <v/>
      </c>
      <c r="CAO6" s="27" t="str">
        <f>IFERROR(VLOOKUP(DATE($K$1,$K$2,CAO$4),Table1[],(MATCH(Calendar!$A6,DB!1:1,0)+2),FALSE),"")</f>
        <v/>
      </c>
      <c r="CAP6" s="27" t="str">
        <f>IFERROR(VLOOKUP(DATE($K$1,$K$2,CAP$4),Table1[],(MATCH(Calendar!$A6,DB!1:1,0)+2),FALSE),"")</f>
        <v/>
      </c>
      <c r="CAQ6" s="27" t="str">
        <f>IFERROR(VLOOKUP(DATE($K$1,$K$2,CAQ$4),Table1[],(MATCH(Calendar!$A6,DB!1:1,0)+2),FALSE),"")</f>
        <v/>
      </c>
      <c r="CAR6" s="27" t="str">
        <f>IFERROR(VLOOKUP(DATE($K$1,$K$2,CAR$4),Table1[],(MATCH(Calendar!$A6,DB!1:1,0)+2),FALSE),"")</f>
        <v/>
      </c>
      <c r="CAS6" s="27" t="str">
        <f>IFERROR(VLOOKUP(DATE($K$1,$K$2,CAS$4),Table1[],(MATCH(Calendar!$A6,DB!1:1,0)+2),FALSE),"")</f>
        <v/>
      </c>
      <c r="CAT6" s="27" t="str">
        <f>IFERROR(VLOOKUP(DATE($K$1,$K$2,CAT$4),Table1[],(MATCH(Calendar!$A6,DB!1:1,0)+2),FALSE),"")</f>
        <v/>
      </c>
      <c r="CAU6" s="27" t="str">
        <f>IFERROR(VLOOKUP(DATE($K$1,$K$2,CAU$4),Table1[],(MATCH(Calendar!$A6,DB!1:1,0)+2),FALSE),"")</f>
        <v/>
      </c>
      <c r="CAV6" s="27" t="str">
        <f>IFERROR(VLOOKUP(DATE($K$1,$K$2,CAV$4),Table1[],(MATCH(Calendar!$A6,DB!1:1,0)+2),FALSE),"")</f>
        <v/>
      </c>
      <c r="CAW6" s="27" t="str">
        <f>IFERROR(VLOOKUP(DATE($K$1,$K$2,CAW$4),Table1[],(MATCH(Calendar!$A6,DB!1:1,0)+2),FALSE),"")</f>
        <v/>
      </c>
      <c r="CAX6" s="27" t="str">
        <f>IFERROR(VLOOKUP(DATE($K$1,$K$2,CAX$4),Table1[],(MATCH(Calendar!$A6,DB!1:1,0)+2),FALSE),"")</f>
        <v/>
      </c>
      <c r="CAY6" s="27" t="str">
        <f>IFERROR(VLOOKUP(DATE($K$1,$K$2,CAY$4),Table1[],(MATCH(Calendar!$A6,DB!1:1,0)+2),FALSE),"")</f>
        <v/>
      </c>
      <c r="CAZ6" s="27" t="str">
        <f>IFERROR(VLOOKUP(DATE($K$1,$K$2,CAZ$4),Table1[],(MATCH(Calendar!$A6,DB!1:1,0)+2),FALSE),"")</f>
        <v/>
      </c>
      <c r="CBA6" s="27" t="str">
        <f>IFERROR(VLOOKUP(DATE($K$1,$K$2,CBA$4),Table1[],(MATCH(Calendar!$A6,DB!1:1,0)+2),FALSE),"")</f>
        <v/>
      </c>
      <c r="CBB6" s="27" t="str">
        <f>IFERROR(VLOOKUP(DATE($K$1,$K$2,CBB$4),Table1[],(MATCH(Calendar!$A6,DB!1:1,0)+2),FALSE),"")</f>
        <v/>
      </c>
      <c r="CBC6" s="27" t="str">
        <f>IFERROR(VLOOKUP(DATE($K$1,$K$2,CBC$4),Table1[],(MATCH(Calendar!$A6,DB!1:1,0)+2),FALSE),"")</f>
        <v/>
      </c>
      <c r="CBD6" s="27" t="str">
        <f>IFERROR(VLOOKUP(DATE($K$1,$K$2,CBD$4),Table1[],(MATCH(Calendar!$A6,DB!1:1,0)+2),FALSE),"")</f>
        <v/>
      </c>
      <c r="CBE6" s="27" t="str">
        <f>IFERROR(VLOOKUP(DATE($K$1,$K$2,CBE$4),Table1[],(MATCH(Calendar!$A6,DB!1:1,0)+2),FALSE),"")</f>
        <v/>
      </c>
      <c r="CBF6" s="27" t="str">
        <f>IFERROR(VLOOKUP(DATE($K$1,$K$2,CBF$4),Table1[],(MATCH(Calendar!$A6,DB!1:1,0)+2),FALSE),"")</f>
        <v/>
      </c>
      <c r="CBG6" s="27" t="str">
        <f>IFERROR(VLOOKUP(DATE($K$1,$K$2,CBG$4),Table1[],(MATCH(Calendar!$A6,DB!1:1,0)+2),FALSE),"")</f>
        <v/>
      </c>
      <c r="CBH6" s="27" t="str">
        <f>IFERROR(VLOOKUP(DATE($K$1,$K$2,CBH$4),Table1[],(MATCH(Calendar!$A6,DB!1:1,0)+2),FALSE),"")</f>
        <v/>
      </c>
      <c r="CBI6" s="27" t="str">
        <f>IFERROR(VLOOKUP(DATE($K$1,$K$2,CBI$4),Table1[],(MATCH(Calendar!$A6,DB!1:1,0)+2),FALSE),"")</f>
        <v/>
      </c>
      <c r="CBJ6" s="27" t="str">
        <f>IFERROR(VLOOKUP(DATE($K$1,$K$2,CBJ$4),Table1[],(MATCH(Calendar!$A6,DB!1:1,0)+2),FALSE),"")</f>
        <v/>
      </c>
      <c r="CBK6" s="27" t="str">
        <f>IFERROR(VLOOKUP(DATE($K$1,$K$2,CBK$4),Table1[],(MATCH(Calendar!$A6,DB!1:1,0)+2),FALSE),"")</f>
        <v/>
      </c>
      <c r="CBL6" s="27" t="str">
        <f>IFERROR(VLOOKUP(DATE($K$1,$K$2,CBL$4),Table1[],(MATCH(Calendar!$A6,DB!1:1,0)+2),FALSE),"")</f>
        <v/>
      </c>
      <c r="CBM6" s="27" t="str">
        <f>IFERROR(VLOOKUP(DATE($K$1,$K$2,CBM$4),Table1[],(MATCH(Calendar!$A6,DB!1:1,0)+2),FALSE),"")</f>
        <v/>
      </c>
      <c r="CBN6" s="27" t="str">
        <f>IFERROR(VLOOKUP(DATE($K$1,$K$2,CBN$4),Table1[],(MATCH(Calendar!$A6,DB!1:1,0)+2),FALSE),"")</f>
        <v/>
      </c>
      <c r="CBO6" s="27" t="str">
        <f>IFERROR(VLOOKUP(DATE($K$1,$K$2,CBO$4),Table1[],(MATCH(Calendar!$A6,DB!1:1,0)+2),FALSE),"")</f>
        <v/>
      </c>
      <c r="CBP6" s="27" t="str">
        <f>IFERROR(VLOOKUP(DATE($K$1,$K$2,CBP$4),Table1[],(MATCH(Calendar!$A6,DB!1:1,0)+2),FALSE),"")</f>
        <v/>
      </c>
      <c r="CBQ6" s="27" t="str">
        <f>IFERROR(VLOOKUP(DATE($K$1,$K$2,CBQ$4),Table1[],(MATCH(Calendar!$A6,DB!1:1,0)+2),FALSE),"")</f>
        <v/>
      </c>
      <c r="CBR6" s="27" t="str">
        <f>IFERROR(VLOOKUP(DATE($K$1,$K$2,CBR$4),Table1[],(MATCH(Calendar!$A6,DB!1:1,0)+2),FALSE),"")</f>
        <v/>
      </c>
      <c r="CBS6" s="27" t="str">
        <f>IFERROR(VLOOKUP(DATE($K$1,$K$2,CBS$4),Table1[],(MATCH(Calendar!$A6,DB!1:1,0)+2),FALSE),"")</f>
        <v/>
      </c>
      <c r="CBT6" s="27" t="str">
        <f>IFERROR(VLOOKUP(DATE($K$1,$K$2,CBT$4),Table1[],(MATCH(Calendar!$A6,DB!1:1,0)+2),FALSE),"")</f>
        <v/>
      </c>
      <c r="CBU6" s="27" t="str">
        <f>IFERROR(VLOOKUP(DATE($K$1,$K$2,CBU$4),Table1[],(MATCH(Calendar!$A6,DB!1:1,0)+2),FALSE),"")</f>
        <v/>
      </c>
      <c r="CBV6" s="27" t="str">
        <f>IFERROR(VLOOKUP(DATE($K$1,$K$2,CBV$4),Table1[],(MATCH(Calendar!$A6,DB!1:1,0)+2),FALSE),"")</f>
        <v/>
      </c>
      <c r="CBW6" s="27" t="str">
        <f>IFERROR(VLOOKUP(DATE($K$1,$K$2,CBW$4),Table1[],(MATCH(Calendar!$A6,DB!1:1,0)+2),FALSE),"")</f>
        <v/>
      </c>
      <c r="CBX6" s="27" t="str">
        <f>IFERROR(VLOOKUP(DATE($K$1,$K$2,CBX$4),Table1[],(MATCH(Calendar!$A6,DB!1:1,0)+2),FALSE),"")</f>
        <v/>
      </c>
      <c r="CBY6" s="27" t="str">
        <f>IFERROR(VLOOKUP(DATE($K$1,$K$2,CBY$4),Table1[],(MATCH(Calendar!$A6,DB!1:1,0)+2),FALSE),"")</f>
        <v/>
      </c>
      <c r="CBZ6" s="27" t="str">
        <f>IFERROR(VLOOKUP(DATE($K$1,$K$2,CBZ$4),Table1[],(MATCH(Calendar!$A6,DB!1:1,0)+2),FALSE),"")</f>
        <v/>
      </c>
      <c r="CCA6" s="27" t="str">
        <f>IFERROR(VLOOKUP(DATE($K$1,$K$2,CCA$4),Table1[],(MATCH(Calendar!$A6,DB!1:1,0)+2),FALSE),"")</f>
        <v/>
      </c>
      <c r="CCB6" s="27" t="str">
        <f>IFERROR(VLOOKUP(DATE($K$1,$K$2,CCB$4),Table1[],(MATCH(Calendar!$A6,DB!1:1,0)+2),FALSE),"")</f>
        <v/>
      </c>
      <c r="CCC6" s="27" t="str">
        <f>IFERROR(VLOOKUP(DATE($K$1,$K$2,CCC$4),Table1[],(MATCH(Calendar!$A6,DB!1:1,0)+2),FALSE),"")</f>
        <v/>
      </c>
      <c r="CCD6" s="27" t="str">
        <f>IFERROR(VLOOKUP(DATE($K$1,$K$2,CCD$4),Table1[],(MATCH(Calendar!$A6,DB!1:1,0)+2),FALSE),"")</f>
        <v/>
      </c>
      <c r="CCE6" s="27" t="str">
        <f>IFERROR(VLOOKUP(DATE($K$1,$K$2,CCE$4),Table1[],(MATCH(Calendar!$A6,DB!1:1,0)+2),FALSE),"")</f>
        <v/>
      </c>
      <c r="CCF6" s="27" t="str">
        <f>IFERROR(VLOOKUP(DATE($K$1,$K$2,CCF$4),Table1[],(MATCH(Calendar!$A6,DB!1:1,0)+2),FALSE),"")</f>
        <v/>
      </c>
      <c r="CCG6" s="27" t="str">
        <f>IFERROR(VLOOKUP(DATE($K$1,$K$2,CCG$4),Table1[],(MATCH(Calendar!$A6,DB!1:1,0)+2),FALSE),"")</f>
        <v/>
      </c>
      <c r="CCH6" s="27" t="str">
        <f>IFERROR(VLOOKUP(DATE($K$1,$K$2,CCH$4),Table1[],(MATCH(Calendar!$A6,DB!1:1,0)+2),FALSE),"")</f>
        <v/>
      </c>
      <c r="CCI6" s="27" t="str">
        <f>IFERROR(VLOOKUP(DATE($K$1,$K$2,CCI$4),Table1[],(MATCH(Calendar!$A6,DB!1:1,0)+2),FALSE),"")</f>
        <v/>
      </c>
      <c r="CCJ6" s="27" t="str">
        <f>IFERROR(VLOOKUP(DATE($K$1,$K$2,CCJ$4),Table1[],(MATCH(Calendar!$A6,DB!1:1,0)+2),FALSE),"")</f>
        <v/>
      </c>
      <c r="CCK6" s="27" t="str">
        <f>IFERROR(VLOOKUP(DATE($K$1,$K$2,CCK$4),Table1[],(MATCH(Calendar!$A6,DB!1:1,0)+2),FALSE),"")</f>
        <v/>
      </c>
      <c r="CCL6" s="27" t="str">
        <f>IFERROR(VLOOKUP(DATE($K$1,$K$2,CCL$4),Table1[],(MATCH(Calendar!$A6,DB!1:1,0)+2),FALSE),"")</f>
        <v/>
      </c>
      <c r="CCM6" s="27" t="str">
        <f>IFERROR(VLOOKUP(DATE($K$1,$K$2,CCM$4),Table1[],(MATCH(Calendar!$A6,DB!1:1,0)+2),FALSE),"")</f>
        <v/>
      </c>
      <c r="CCN6" s="27" t="str">
        <f>IFERROR(VLOOKUP(DATE($K$1,$K$2,CCN$4),Table1[],(MATCH(Calendar!$A6,DB!1:1,0)+2),FALSE),"")</f>
        <v/>
      </c>
      <c r="CCO6" s="27" t="str">
        <f>IFERROR(VLOOKUP(DATE($K$1,$K$2,CCO$4),Table1[],(MATCH(Calendar!$A6,DB!1:1,0)+2),FALSE),"")</f>
        <v/>
      </c>
      <c r="CCP6" s="27" t="str">
        <f>IFERROR(VLOOKUP(DATE($K$1,$K$2,CCP$4),Table1[],(MATCH(Calendar!$A6,DB!1:1,0)+2),FALSE),"")</f>
        <v/>
      </c>
      <c r="CCQ6" s="27" t="str">
        <f>IFERROR(VLOOKUP(DATE($K$1,$K$2,CCQ$4),Table1[],(MATCH(Calendar!$A6,DB!1:1,0)+2),FALSE),"")</f>
        <v/>
      </c>
      <c r="CCR6" s="27" t="str">
        <f>IFERROR(VLOOKUP(DATE($K$1,$K$2,CCR$4),Table1[],(MATCH(Calendar!$A6,DB!1:1,0)+2),FALSE),"")</f>
        <v/>
      </c>
      <c r="CCS6" s="27" t="str">
        <f>IFERROR(VLOOKUP(DATE($K$1,$K$2,CCS$4),Table1[],(MATCH(Calendar!$A6,DB!1:1,0)+2),FALSE),"")</f>
        <v/>
      </c>
      <c r="CCT6" s="27" t="str">
        <f>IFERROR(VLOOKUP(DATE($K$1,$K$2,CCT$4),Table1[],(MATCH(Calendar!$A6,DB!1:1,0)+2),FALSE),"")</f>
        <v/>
      </c>
      <c r="CCU6" s="27" t="str">
        <f>IFERROR(VLOOKUP(DATE($K$1,$K$2,CCU$4),Table1[],(MATCH(Calendar!$A6,DB!1:1,0)+2),FALSE),"")</f>
        <v/>
      </c>
      <c r="CCV6" s="27" t="str">
        <f>IFERROR(VLOOKUP(DATE($K$1,$K$2,CCV$4),Table1[],(MATCH(Calendar!$A6,DB!1:1,0)+2),FALSE),"")</f>
        <v/>
      </c>
      <c r="CCW6" s="27" t="str">
        <f>IFERROR(VLOOKUP(DATE($K$1,$K$2,CCW$4),Table1[],(MATCH(Calendar!$A6,DB!1:1,0)+2),FALSE),"")</f>
        <v/>
      </c>
      <c r="CCX6" s="27" t="str">
        <f>IFERROR(VLOOKUP(DATE($K$1,$K$2,CCX$4),Table1[],(MATCH(Calendar!$A6,DB!1:1,0)+2),FALSE),"")</f>
        <v/>
      </c>
      <c r="CCY6" s="27" t="str">
        <f>IFERROR(VLOOKUP(DATE($K$1,$K$2,CCY$4),Table1[],(MATCH(Calendar!$A6,DB!1:1,0)+2),FALSE),"")</f>
        <v/>
      </c>
      <c r="CCZ6" s="27" t="str">
        <f>IFERROR(VLOOKUP(DATE($K$1,$K$2,CCZ$4),Table1[],(MATCH(Calendar!$A6,DB!1:1,0)+2),FALSE),"")</f>
        <v/>
      </c>
      <c r="CDA6" s="27" t="str">
        <f>IFERROR(VLOOKUP(DATE($K$1,$K$2,CDA$4),Table1[],(MATCH(Calendar!$A6,DB!1:1,0)+2),FALSE),"")</f>
        <v/>
      </c>
      <c r="CDB6" s="27" t="str">
        <f>IFERROR(VLOOKUP(DATE($K$1,$K$2,CDB$4),Table1[],(MATCH(Calendar!$A6,DB!1:1,0)+2),FALSE),"")</f>
        <v/>
      </c>
      <c r="CDC6" s="27" t="str">
        <f>IFERROR(VLOOKUP(DATE($K$1,$K$2,CDC$4),Table1[],(MATCH(Calendar!$A6,DB!1:1,0)+2),FALSE),"")</f>
        <v/>
      </c>
      <c r="CDD6" s="27" t="str">
        <f>IFERROR(VLOOKUP(DATE($K$1,$K$2,CDD$4),Table1[],(MATCH(Calendar!$A6,DB!1:1,0)+2),FALSE),"")</f>
        <v/>
      </c>
      <c r="CDE6" s="27" t="str">
        <f>IFERROR(VLOOKUP(DATE($K$1,$K$2,CDE$4),Table1[],(MATCH(Calendar!$A6,DB!1:1,0)+2),FALSE),"")</f>
        <v/>
      </c>
      <c r="CDF6" s="27" t="str">
        <f>IFERROR(VLOOKUP(DATE($K$1,$K$2,CDF$4),Table1[],(MATCH(Calendar!$A6,DB!1:1,0)+2),FALSE),"")</f>
        <v/>
      </c>
      <c r="CDG6" s="27" t="str">
        <f>IFERROR(VLOOKUP(DATE($K$1,$K$2,CDG$4),Table1[],(MATCH(Calendar!$A6,DB!1:1,0)+2),FALSE),"")</f>
        <v/>
      </c>
      <c r="CDH6" s="27" t="str">
        <f>IFERROR(VLOOKUP(DATE($K$1,$K$2,CDH$4),Table1[],(MATCH(Calendar!$A6,DB!1:1,0)+2),FALSE),"")</f>
        <v/>
      </c>
      <c r="CDI6" s="27" t="str">
        <f>IFERROR(VLOOKUP(DATE($K$1,$K$2,CDI$4),Table1[],(MATCH(Calendar!$A6,DB!1:1,0)+2),FALSE),"")</f>
        <v/>
      </c>
      <c r="CDJ6" s="27" t="str">
        <f>IFERROR(VLOOKUP(DATE($K$1,$K$2,CDJ$4),Table1[],(MATCH(Calendar!$A6,DB!1:1,0)+2),FALSE),"")</f>
        <v/>
      </c>
      <c r="CDK6" s="27" t="str">
        <f>IFERROR(VLOOKUP(DATE($K$1,$K$2,CDK$4),Table1[],(MATCH(Calendar!$A6,DB!1:1,0)+2),FALSE),"")</f>
        <v/>
      </c>
      <c r="CDL6" s="27" t="str">
        <f>IFERROR(VLOOKUP(DATE($K$1,$K$2,CDL$4),Table1[],(MATCH(Calendar!$A6,DB!1:1,0)+2),FALSE),"")</f>
        <v/>
      </c>
      <c r="CDM6" s="27" t="str">
        <f>IFERROR(VLOOKUP(DATE($K$1,$K$2,CDM$4),Table1[],(MATCH(Calendar!$A6,DB!1:1,0)+2),FALSE),"")</f>
        <v/>
      </c>
      <c r="CDN6" s="27" t="str">
        <f>IFERROR(VLOOKUP(DATE($K$1,$K$2,CDN$4),Table1[],(MATCH(Calendar!$A6,DB!1:1,0)+2),FALSE),"")</f>
        <v/>
      </c>
      <c r="CDO6" s="27" t="str">
        <f>IFERROR(VLOOKUP(DATE($K$1,$K$2,CDO$4),Table1[],(MATCH(Calendar!$A6,DB!1:1,0)+2),FALSE),"")</f>
        <v/>
      </c>
      <c r="CDP6" s="27" t="str">
        <f>IFERROR(VLOOKUP(DATE($K$1,$K$2,CDP$4),Table1[],(MATCH(Calendar!$A6,DB!1:1,0)+2),FALSE),"")</f>
        <v/>
      </c>
      <c r="CDQ6" s="27" t="str">
        <f>IFERROR(VLOOKUP(DATE($K$1,$K$2,CDQ$4),Table1[],(MATCH(Calendar!$A6,DB!1:1,0)+2),FALSE),"")</f>
        <v/>
      </c>
      <c r="CDR6" s="27" t="str">
        <f>IFERROR(VLOOKUP(DATE($K$1,$K$2,CDR$4),Table1[],(MATCH(Calendar!$A6,DB!1:1,0)+2),FALSE),"")</f>
        <v/>
      </c>
      <c r="CDS6" s="27" t="str">
        <f>IFERROR(VLOOKUP(DATE($K$1,$K$2,CDS$4),Table1[],(MATCH(Calendar!$A6,DB!1:1,0)+2),FALSE),"")</f>
        <v/>
      </c>
      <c r="CDT6" s="27" t="str">
        <f>IFERROR(VLOOKUP(DATE($K$1,$K$2,CDT$4),Table1[],(MATCH(Calendar!$A6,DB!1:1,0)+2),FALSE),"")</f>
        <v/>
      </c>
      <c r="CDU6" s="27" t="str">
        <f>IFERROR(VLOOKUP(DATE($K$1,$K$2,CDU$4),Table1[],(MATCH(Calendar!$A6,DB!1:1,0)+2),FALSE),"")</f>
        <v/>
      </c>
      <c r="CDV6" s="27" t="str">
        <f>IFERROR(VLOOKUP(DATE($K$1,$K$2,CDV$4),Table1[],(MATCH(Calendar!$A6,DB!1:1,0)+2),FALSE),"")</f>
        <v/>
      </c>
      <c r="CDW6" s="27" t="str">
        <f>IFERROR(VLOOKUP(DATE($K$1,$K$2,CDW$4),Table1[],(MATCH(Calendar!$A6,DB!1:1,0)+2),FALSE),"")</f>
        <v/>
      </c>
      <c r="CDX6" s="27" t="str">
        <f>IFERROR(VLOOKUP(DATE($K$1,$K$2,CDX$4),Table1[],(MATCH(Calendar!$A6,DB!1:1,0)+2),FALSE),"")</f>
        <v/>
      </c>
      <c r="CDY6" s="27" t="str">
        <f>IFERROR(VLOOKUP(DATE($K$1,$K$2,CDY$4),Table1[],(MATCH(Calendar!$A6,DB!1:1,0)+2),FALSE),"")</f>
        <v/>
      </c>
      <c r="CDZ6" s="27" t="str">
        <f>IFERROR(VLOOKUP(DATE($K$1,$K$2,CDZ$4),Table1[],(MATCH(Calendar!$A6,DB!1:1,0)+2),FALSE),"")</f>
        <v/>
      </c>
      <c r="CEA6" s="27" t="str">
        <f>IFERROR(VLOOKUP(DATE($K$1,$K$2,CEA$4),Table1[],(MATCH(Calendar!$A6,DB!1:1,0)+2),FALSE),"")</f>
        <v/>
      </c>
      <c r="CEB6" s="27" t="str">
        <f>IFERROR(VLOOKUP(DATE($K$1,$K$2,CEB$4),Table1[],(MATCH(Calendar!$A6,DB!1:1,0)+2),FALSE),"")</f>
        <v/>
      </c>
      <c r="CEC6" s="27" t="str">
        <f>IFERROR(VLOOKUP(DATE($K$1,$K$2,CEC$4),Table1[],(MATCH(Calendar!$A6,DB!1:1,0)+2),FALSE),"")</f>
        <v/>
      </c>
      <c r="CED6" s="27" t="str">
        <f>IFERROR(VLOOKUP(DATE($K$1,$K$2,CED$4),Table1[],(MATCH(Calendar!$A6,DB!1:1,0)+2),FALSE),"")</f>
        <v/>
      </c>
      <c r="CEE6" s="27" t="str">
        <f>IFERROR(VLOOKUP(DATE($K$1,$K$2,CEE$4),Table1[],(MATCH(Calendar!$A6,DB!1:1,0)+2),FALSE),"")</f>
        <v/>
      </c>
      <c r="CEF6" s="27" t="str">
        <f>IFERROR(VLOOKUP(DATE($K$1,$K$2,CEF$4),Table1[],(MATCH(Calendar!$A6,DB!1:1,0)+2),FALSE),"")</f>
        <v/>
      </c>
      <c r="CEG6" s="27" t="str">
        <f>IFERROR(VLOOKUP(DATE($K$1,$K$2,CEG$4),Table1[],(MATCH(Calendar!$A6,DB!1:1,0)+2),FALSE),"")</f>
        <v/>
      </c>
      <c r="CEH6" s="27" t="str">
        <f>IFERROR(VLOOKUP(DATE($K$1,$K$2,CEH$4),Table1[],(MATCH(Calendar!$A6,DB!1:1,0)+2),FALSE),"")</f>
        <v/>
      </c>
      <c r="CEI6" s="27" t="str">
        <f>IFERROR(VLOOKUP(DATE($K$1,$K$2,CEI$4),Table1[],(MATCH(Calendar!$A6,DB!1:1,0)+2),FALSE),"")</f>
        <v/>
      </c>
      <c r="CEJ6" s="27" t="str">
        <f>IFERROR(VLOOKUP(DATE($K$1,$K$2,CEJ$4),Table1[],(MATCH(Calendar!$A6,DB!1:1,0)+2),FALSE),"")</f>
        <v/>
      </c>
      <c r="CEK6" s="27" t="str">
        <f>IFERROR(VLOOKUP(DATE($K$1,$K$2,CEK$4),Table1[],(MATCH(Calendar!$A6,DB!1:1,0)+2),FALSE),"")</f>
        <v/>
      </c>
      <c r="CEL6" s="27" t="str">
        <f>IFERROR(VLOOKUP(DATE($K$1,$K$2,CEL$4),Table1[],(MATCH(Calendar!$A6,DB!1:1,0)+2),FALSE),"")</f>
        <v/>
      </c>
      <c r="CEM6" s="27" t="str">
        <f>IFERROR(VLOOKUP(DATE($K$1,$K$2,CEM$4),Table1[],(MATCH(Calendar!$A6,DB!1:1,0)+2),FALSE),"")</f>
        <v/>
      </c>
      <c r="CEN6" s="27" t="str">
        <f>IFERROR(VLOOKUP(DATE($K$1,$K$2,CEN$4),Table1[],(MATCH(Calendar!$A6,DB!1:1,0)+2),FALSE),"")</f>
        <v/>
      </c>
      <c r="CEO6" s="27" t="str">
        <f>IFERROR(VLOOKUP(DATE($K$1,$K$2,CEO$4),Table1[],(MATCH(Calendar!$A6,DB!1:1,0)+2),FALSE),"")</f>
        <v/>
      </c>
      <c r="CEP6" s="27" t="str">
        <f>IFERROR(VLOOKUP(DATE($K$1,$K$2,CEP$4),Table1[],(MATCH(Calendar!$A6,DB!1:1,0)+2),FALSE),"")</f>
        <v/>
      </c>
      <c r="CEQ6" s="27" t="str">
        <f>IFERROR(VLOOKUP(DATE($K$1,$K$2,CEQ$4),Table1[],(MATCH(Calendar!$A6,DB!1:1,0)+2),FALSE),"")</f>
        <v/>
      </c>
      <c r="CER6" s="27" t="str">
        <f>IFERROR(VLOOKUP(DATE($K$1,$K$2,CER$4),Table1[],(MATCH(Calendar!$A6,DB!1:1,0)+2),FALSE),"")</f>
        <v/>
      </c>
      <c r="CES6" s="27" t="str">
        <f>IFERROR(VLOOKUP(DATE($K$1,$K$2,CES$4),Table1[],(MATCH(Calendar!$A6,DB!1:1,0)+2),FALSE),"")</f>
        <v/>
      </c>
      <c r="CET6" s="27" t="str">
        <f>IFERROR(VLOOKUP(DATE($K$1,$K$2,CET$4),Table1[],(MATCH(Calendar!$A6,DB!1:1,0)+2),FALSE),"")</f>
        <v/>
      </c>
      <c r="CEU6" s="27" t="str">
        <f>IFERROR(VLOOKUP(DATE($K$1,$K$2,CEU$4),Table1[],(MATCH(Calendar!$A6,DB!1:1,0)+2),FALSE),"")</f>
        <v/>
      </c>
      <c r="CEV6" s="27" t="str">
        <f>IFERROR(VLOOKUP(DATE($K$1,$K$2,CEV$4),Table1[],(MATCH(Calendar!$A6,DB!1:1,0)+2),FALSE),"")</f>
        <v/>
      </c>
      <c r="CEW6" s="27" t="str">
        <f>IFERROR(VLOOKUP(DATE($K$1,$K$2,CEW$4),Table1[],(MATCH(Calendar!$A6,DB!1:1,0)+2),FALSE),"")</f>
        <v/>
      </c>
      <c r="CEX6" s="27" t="str">
        <f>IFERROR(VLOOKUP(DATE($K$1,$K$2,CEX$4),Table1[],(MATCH(Calendar!$A6,DB!1:1,0)+2),FALSE),"")</f>
        <v/>
      </c>
      <c r="CEY6" s="27" t="str">
        <f>IFERROR(VLOOKUP(DATE($K$1,$K$2,CEY$4),Table1[],(MATCH(Calendar!$A6,DB!1:1,0)+2),FALSE),"")</f>
        <v/>
      </c>
      <c r="CEZ6" s="27" t="str">
        <f>IFERROR(VLOOKUP(DATE($K$1,$K$2,CEZ$4),Table1[],(MATCH(Calendar!$A6,DB!1:1,0)+2),FALSE),"")</f>
        <v/>
      </c>
      <c r="CFA6" s="27" t="str">
        <f>IFERROR(VLOOKUP(DATE($K$1,$K$2,CFA$4),Table1[],(MATCH(Calendar!$A6,DB!1:1,0)+2),FALSE),"")</f>
        <v/>
      </c>
      <c r="CFB6" s="27" t="str">
        <f>IFERROR(VLOOKUP(DATE($K$1,$K$2,CFB$4),Table1[],(MATCH(Calendar!$A6,DB!1:1,0)+2),FALSE),"")</f>
        <v/>
      </c>
      <c r="CFC6" s="27" t="str">
        <f>IFERROR(VLOOKUP(DATE($K$1,$K$2,CFC$4),Table1[],(MATCH(Calendar!$A6,DB!1:1,0)+2),FALSE),"")</f>
        <v/>
      </c>
      <c r="CFD6" s="27" t="str">
        <f>IFERROR(VLOOKUP(DATE($K$1,$K$2,CFD$4),Table1[],(MATCH(Calendar!$A6,DB!1:1,0)+2),FALSE),"")</f>
        <v/>
      </c>
      <c r="CFE6" s="27" t="str">
        <f>IFERROR(VLOOKUP(DATE($K$1,$K$2,CFE$4),Table1[],(MATCH(Calendar!$A6,DB!1:1,0)+2),FALSE),"")</f>
        <v/>
      </c>
      <c r="CFF6" s="27" t="str">
        <f>IFERROR(VLOOKUP(DATE($K$1,$K$2,CFF$4),Table1[],(MATCH(Calendar!$A6,DB!1:1,0)+2),FALSE),"")</f>
        <v/>
      </c>
      <c r="CFG6" s="27" t="str">
        <f>IFERROR(VLOOKUP(DATE($K$1,$K$2,CFG$4),Table1[],(MATCH(Calendar!$A6,DB!1:1,0)+2),FALSE),"")</f>
        <v/>
      </c>
      <c r="CFH6" s="27" t="str">
        <f>IFERROR(VLOOKUP(DATE($K$1,$K$2,CFH$4),Table1[],(MATCH(Calendar!$A6,DB!1:1,0)+2),FALSE),"")</f>
        <v/>
      </c>
      <c r="CFI6" s="27" t="str">
        <f>IFERROR(VLOOKUP(DATE($K$1,$K$2,CFI$4),Table1[],(MATCH(Calendar!$A6,DB!1:1,0)+2),FALSE),"")</f>
        <v/>
      </c>
      <c r="CFJ6" s="27" t="str">
        <f>IFERROR(VLOOKUP(DATE($K$1,$K$2,CFJ$4),Table1[],(MATCH(Calendar!$A6,DB!1:1,0)+2),FALSE),"")</f>
        <v/>
      </c>
      <c r="CFK6" s="27" t="str">
        <f>IFERROR(VLOOKUP(DATE($K$1,$K$2,CFK$4),Table1[],(MATCH(Calendar!$A6,DB!1:1,0)+2),FALSE),"")</f>
        <v/>
      </c>
      <c r="CFL6" s="27" t="str">
        <f>IFERROR(VLOOKUP(DATE($K$1,$K$2,CFL$4),Table1[],(MATCH(Calendar!$A6,DB!1:1,0)+2),FALSE),"")</f>
        <v/>
      </c>
      <c r="CFM6" s="27" t="str">
        <f>IFERROR(VLOOKUP(DATE($K$1,$K$2,CFM$4),Table1[],(MATCH(Calendar!$A6,DB!1:1,0)+2),FALSE),"")</f>
        <v/>
      </c>
      <c r="CFN6" s="27" t="str">
        <f>IFERROR(VLOOKUP(DATE($K$1,$K$2,CFN$4),Table1[],(MATCH(Calendar!$A6,DB!1:1,0)+2),FALSE),"")</f>
        <v/>
      </c>
      <c r="CFO6" s="27" t="str">
        <f>IFERROR(VLOOKUP(DATE($K$1,$K$2,CFO$4),Table1[],(MATCH(Calendar!$A6,DB!1:1,0)+2),FALSE),"")</f>
        <v/>
      </c>
      <c r="CFP6" s="27" t="str">
        <f>IFERROR(VLOOKUP(DATE($K$1,$K$2,CFP$4),Table1[],(MATCH(Calendar!$A6,DB!1:1,0)+2),FALSE),"")</f>
        <v/>
      </c>
      <c r="CFQ6" s="27" t="str">
        <f>IFERROR(VLOOKUP(DATE($K$1,$K$2,CFQ$4),Table1[],(MATCH(Calendar!$A6,DB!1:1,0)+2),FALSE),"")</f>
        <v/>
      </c>
      <c r="CFR6" s="27" t="str">
        <f>IFERROR(VLOOKUP(DATE($K$1,$K$2,CFR$4),Table1[],(MATCH(Calendar!$A6,DB!1:1,0)+2),FALSE),"")</f>
        <v/>
      </c>
      <c r="CFS6" s="27" t="str">
        <f>IFERROR(VLOOKUP(DATE($K$1,$K$2,CFS$4),Table1[],(MATCH(Calendar!$A6,DB!1:1,0)+2),FALSE),"")</f>
        <v/>
      </c>
      <c r="CFT6" s="27" t="str">
        <f>IFERROR(VLOOKUP(DATE($K$1,$K$2,CFT$4),Table1[],(MATCH(Calendar!$A6,DB!1:1,0)+2),FALSE),"")</f>
        <v/>
      </c>
      <c r="CFU6" s="27" t="str">
        <f>IFERROR(VLOOKUP(DATE($K$1,$K$2,CFU$4),Table1[],(MATCH(Calendar!$A6,DB!1:1,0)+2),FALSE),"")</f>
        <v/>
      </c>
      <c r="CFV6" s="27" t="str">
        <f>IFERROR(VLOOKUP(DATE($K$1,$K$2,CFV$4),Table1[],(MATCH(Calendar!$A6,DB!1:1,0)+2),FALSE),"")</f>
        <v/>
      </c>
      <c r="CFW6" s="27" t="str">
        <f>IFERROR(VLOOKUP(DATE($K$1,$K$2,CFW$4),Table1[],(MATCH(Calendar!$A6,DB!1:1,0)+2),FALSE),"")</f>
        <v/>
      </c>
      <c r="CFX6" s="27" t="str">
        <f>IFERROR(VLOOKUP(DATE($K$1,$K$2,CFX$4),Table1[],(MATCH(Calendar!$A6,DB!1:1,0)+2),FALSE),"")</f>
        <v/>
      </c>
      <c r="CFY6" s="27" t="str">
        <f>IFERROR(VLOOKUP(DATE($K$1,$K$2,CFY$4),Table1[],(MATCH(Calendar!$A6,DB!1:1,0)+2),FALSE),"")</f>
        <v/>
      </c>
      <c r="CFZ6" s="27" t="str">
        <f>IFERROR(VLOOKUP(DATE($K$1,$K$2,CFZ$4),Table1[],(MATCH(Calendar!$A6,DB!1:1,0)+2),FALSE),"")</f>
        <v/>
      </c>
      <c r="CGA6" s="27" t="str">
        <f>IFERROR(VLOOKUP(DATE($K$1,$K$2,CGA$4),Table1[],(MATCH(Calendar!$A6,DB!1:1,0)+2),FALSE),"")</f>
        <v/>
      </c>
      <c r="CGB6" s="27" t="str">
        <f>IFERROR(VLOOKUP(DATE($K$1,$K$2,CGB$4),Table1[],(MATCH(Calendar!$A6,DB!1:1,0)+2),FALSE),"")</f>
        <v/>
      </c>
      <c r="CGC6" s="27" t="str">
        <f>IFERROR(VLOOKUP(DATE($K$1,$K$2,CGC$4),Table1[],(MATCH(Calendar!$A6,DB!1:1,0)+2),FALSE),"")</f>
        <v/>
      </c>
      <c r="CGD6" s="27" t="str">
        <f>IFERROR(VLOOKUP(DATE($K$1,$K$2,CGD$4),Table1[],(MATCH(Calendar!$A6,DB!1:1,0)+2),FALSE),"")</f>
        <v/>
      </c>
      <c r="CGE6" s="27" t="str">
        <f>IFERROR(VLOOKUP(DATE($K$1,$K$2,CGE$4),Table1[],(MATCH(Calendar!$A6,DB!1:1,0)+2),FALSE),"")</f>
        <v/>
      </c>
      <c r="CGF6" s="27" t="str">
        <f>IFERROR(VLOOKUP(DATE($K$1,$K$2,CGF$4),Table1[],(MATCH(Calendar!$A6,DB!1:1,0)+2),FALSE),"")</f>
        <v/>
      </c>
      <c r="CGG6" s="27" t="str">
        <f>IFERROR(VLOOKUP(DATE($K$1,$K$2,CGG$4),Table1[],(MATCH(Calendar!$A6,DB!1:1,0)+2),FALSE),"")</f>
        <v/>
      </c>
      <c r="CGH6" s="27" t="str">
        <f>IFERROR(VLOOKUP(DATE($K$1,$K$2,CGH$4),Table1[],(MATCH(Calendar!$A6,DB!1:1,0)+2),FALSE),"")</f>
        <v/>
      </c>
      <c r="CGI6" s="27" t="str">
        <f>IFERROR(VLOOKUP(DATE($K$1,$K$2,CGI$4),Table1[],(MATCH(Calendar!$A6,DB!1:1,0)+2),FALSE),"")</f>
        <v/>
      </c>
      <c r="CGJ6" s="27" t="str">
        <f>IFERROR(VLOOKUP(DATE($K$1,$K$2,CGJ$4),Table1[],(MATCH(Calendar!$A6,DB!1:1,0)+2),FALSE),"")</f>
        <v/>
      </c>
      <c r="CGK6" s="27" t="str">
        <f>IFERROR(VLOOKUP(DATE($K$1,$K$2,CGK$4),Table1[],(MATCH(Calendar!$A6,DB!1:1,0)+2),FALSE),"")</f>
        <v/>
      </c>
      <c r="CGL6" s="27" t="str">
        <f>IFERROR(VLOOKUP(DATE($K$1,$K$2,CGL$4),Table1[],(MATCH(Calendar!$A6,DB!1:1,0)+2),FALSE),"")</f>
        <v/>
      </c>
      <c r="CGM6" s="27" t="str">
        <f>IFERROR(VLOOKUP(DATE($K$1,$K$2,CGM$4),Table1[],(MATCH(Calendar!$A6,DB!1:1,0)+2),FALSE),"")</f>
        <v/>
      </c>
      <c r="CGN6" s="27" t="str">
        <f>IFERROR(VLOOKUP(DATE($K$1,$K$2,CGN$4),Table1[],(MATCH(Calendar!$A6,DB!1:1,0)+2),FALSE),"")</f>
        <v/>
      </c>
      <c r="CGO6" s="27" t="str">
        <f>IFERROR(VLOOKUP(DATE($K$1,$K$2,CGO$4),Table1[],(MATCH(Calendar!$A6,DB!1:1,0)+2),FALSE),"")</f>
        <v/>
      </c>
      <c r="CGP6" s="27" t="str">
        <f>IFERROR(VLOOKUP(DATE($K$1,$K$2,CGP$4),Table1[],(MATCH(Calendar!$A6,DB!1:1,0)+2),FALSE),"")</f>
        <v/>
      </c>
      <c r="CGQ6" s="27" t="str">
        <f>IFERROR(VLOOKUP(DATE($K$1,$K$2,CGQ$4),Table1[],(MATCH(Calendar!$A6,DB!1:1,0)+2),FALSE),"")</f>
        <v/>
      </c>
      <c r="CGR6" s="27" t="str">
        <f>IFERROR(VLOOKUP(DATE($K$1,$K$2,CGR$4),Table1[],(MATCH(Calendar!$A6,DB!1:1,0)+2),FALSE),"")</f>
        <v/>
      </c>
      <c r="CGS6" s="27" t="str">
        <f>IFERROR(VLOOKUP(DATE($K$1,$K$2,CGS$4),Table1[],(MATCH(Calendar!$A6,DB!1:1,0)+2),FALSE),"")</f>
        <v/>
      </c>
      <c r="CGT6" s="27" t="str">
        <f>IFERROR(VLOOKUP(DATE($K$1,$K$2,CGT$4),Table1[],(MATCH(Calendar!$A6,DB!1:1,0)+2),FALSE),"")</f>
        <v/>
      </c>
      <c r="CGU6" s="27" t="str">
        <f>IFERROR(VLOOKUP(DATE($K$1,$K$2,CGU$4),Table1[],(MATCH(Calendar!$A6,DB!1:1,0)+2),FALSE),"")</f>
        <v/>
      </c>
      <c r="CGV6" s="27" t="str">
        <f>IFERROR(VLOOKUP(DATE($K$1,$K$2,CGV$4),Table1[],(MATCH(Calendar!$A6,DB!1:1,0)+2),FALSE),"")</f>
        <v/>
      </c>
      <c r="CGW6" s="27" t="str">
        <f>IFERROR(VLOOKUP(DATE($K$1,$K$2,CGW$4),Table1[],(MATCH(Calendar!$A6,DB!1:1,0)+2),FALSE),"")</f>
        <v/>
      </c>
      <c r="CGX6" s="27" t="str">
        <f>IFERROR(VLOOKUP(DATE($K$1,$K$2,CGX$4),Table1[],(MATCH(Calendar!$A6,DB!1:1,0)+2),FALSE),"")</f>
        <v/>
      </c>
      <c r="CGY6" s="27" t="str">
        <f>IFERROR(VLOOKUP(DATE($K$1,$K$2,CGY$4),Table1[],(MATCH(Calendar!$A6,DB!1:1,0)+2),FALSE),"")</f>
        <v/>
      </c>
      <c r="CGZ6" s="27" t="str">
        <f>IFERROR(VLOOKUP(DATE($K$1,$K$2,CGZ$4),Table1[],(MATCH(Calendar!$A6,DB!1:1,0)+2),FALSE),"")</f>
        <v/>
      </c>
      <c r="CHA6" s="27" t="str">
        <f>IFERROR(VLOOKUP(DATE($K$1,$K$2,CHA$4),Table1[],(MATCH(Calendar!$A6,DB!1:1,0)+2),FALSE),"")</f>
        <v/>
      </c>
      <c r="CHB6" s="27" t="str">
        <f>IFERROR(VLOOKUP(DATE($K$1,$K$2,CHB$4),Table1[],(MATCH(Calendar!$A6,DB!1:1,0)+2),FALSE),"")</f>
        <v/>
      </c>
      <c r="CHC6" s="27" t="str">
        <f>IFERROR(VLOOKUP(DATE($K$1,$K$2,CHC$4),Table1[],(MATCH(Calendar!$A6,DB!1:1,0)+2),FALSE),"")</f>
        <v/>
      </c>
      <c r="CHD6" s="27" t="str">
        <f>IFERROR(VLOOKUP(DATE($K$1,$K$2,CHD$4),Table1[],(MATCH(Calendar!$A6,DB!1:1,0)+2),FALSE),"")</f>
        <v/>
      </c>
      <c r="CHE6" s="27" t="str">
        <f>IFERROR(VLOOKUP(DATE($K$1,$K$2,CHE$4),Table1[],(MATCH(Calendar!$A6,DB!1:1,0)+2),FALSE),"")</f>
        <v/>
      </c>
      <c r="CHF6" s="27" t="str">
        <f>IFERROR(VLOOKUP(DATE($K$1,$K$2,CHF$4),Table1[],(MATCH(Calendar!$A6,DB!1:1,0)+2),FALSE),"")</f>
        <v/>
      </c>
      <c r="CHG6" s="27" t="str">
        <f>IFERROR(VLOOKUP(DATE($K$1,$K$2,CHG$4),Table1[],(MATCH(Calendar!$A6,DB!1:1,0)+2),FALSE),"")</f>
        <v/>
      </c>
      <c r="CHH6" s="27" t="str">
        <f>IFERROR(VLOOKUP(DATE($K$1,$K$2,CHH$4),Table1[],(MATCH(Calendar!$A6,DB!1:1,0)+2),FALSE),"")</f>
        <v/>
      </c>
      <c r="CHI6" s="27" t="str">
        <f>IFERROR(VLOOKUP(DATE($K$1,$K$2,CHI$4),Table1[],(MATCH(Calendar!$A6,DB!1:1,0)+2),FALSE),"")</f>
        <v/>
      </c>
      <c r="CHJ6" s="27" t="str">
        <f>IFERROR(VLOOKUP(DATE($K$1,$K$2,CHJ$4),Table1[],(MATCH(Calendar!$A6,DB!1:1,0)+2),FALSE),"")</f>
        <v/>
      </c>
      <c r="CHK6" s="27" t="str">
        <f>IFERROR(VLOOKUP(DATE($K$1,$K$2,CHK$4),Table1[],(MATCH(Calendar!$A6,DB!1:1,0)+2),FALSE),"")</f>
        <v/>
      </c>
      <c r="CHL6" s="27" t="str">
        <f>IFERROR(VLOOKUP(DATE($K$1,$K$2,CHL$4),Table1[],(MATCH(Calendar!$A6,DB!1:1,0)+2),FALSE),"")</f>
        <v/>
      </c>
      <c r="CHM6" s="27" t="str">
        <f>IFERROR(VLOOKUP(DATE($K$1,$K$2,CHM$4),Table1[],(MATCH(Calendar!$A6,DB!1:1,0)+2),FALSE),"")</f>
        <v/>
      </c>
      <c r="CHN6" s="27" t="str">
        <f>IFERROR(VLOOKUP(DATE($K$1,$K$2,CHN$4),Table1[],(MATCH(Calendar!$A6,DB!1:1,0)+2),FALSE),"")</f>
        <v/>
      </c>
      <c r="CHO6" s="27" t="str">
        <f>IFERROR(VLOOKUP(DATE($K$1,$K$2,CHO$4),Table1[],(MATCH(Calendar!$A6,DB!1:1,0)+2),FALSE),"")</f>
        <v/>
      </c>
      <c r="CHP6" s="27" t="str">
        <f>IFERROR(VLOOKUP(DATE($K$1,$K$2,CHP$4),Table1[],(MATCH(Calendar!$A6,DB!1:1,0)+2),FALSE),"")</f>
        <v/>
      </c>
      <c r="CHQ6" s="27" t="str">
        <f>IFERROR(VLOOKUP(DATE($K$1,$K$2,CHQ$4),Table1[],(MATCH(Calendar!$A6,DB!1:1,0)+2),FALSE),"")</f>
        <v/>
      </c>
      <c r="CHR6" s="27" t="str">
        <f>IFERROR(VLOOKUP(DATE($K$1,$K$2,CHR$4),Table1[],(MATCH(Calendar!$A6,DB!1:1,0)+2),FALSE),"")</f>
        <v/>
      </c>
      <c r="CHS6" s="27" t="str">
        <f>IFERROR(VLOOKUP(DATE($K$1,$K$2,CHS$4),Table1[],(MATCH(Calendar!$A6,DB!1:1,0)+2),FALSE),"")</f>
        <v/>
      </c>
      <c r="CHT6" s="27" t="str">
        <f>IFERROR(VLOOKUP(DATE($K$1,$K$2,CHT$4),Table1[],(MATCH(Calendar!$A6,DB!1:1,0)+2),FALSE),"")</f>
        <v/>
      </c>
      <c r="CHU6" s="27" t="str">
        <f>IFERROR(VLOOKUP(DATE($K$1,$K$2,CHU$4),Table1[],(MATCH(Calendar!$A6,DB!1:1,0)+2),FALSE),"")</f>
        <v/>
      </c>
      <c r="CHV6" s="27" t="str">
        <f>IFERROR(VLOOKUP(DATE($K$1,$K$2,CHV$4),Table1[],(MATCH(Calendar!$A6,DB!1:1,0)+2),FALSE),"")</f>
        <v/>
      </c>
      <c r="CHW6" s="27" t="str">
        <f>IFERROR(VLOOKUP(DATE($K$1,$K$2,CHW$4),Table1[],(MATCH(Calendar!$A6,DB!1:1,0)+2),FALSE),"")</f>
        <v/>
      </c>
      <c r="CHX6" s="27" t="str">
        <f>IFERROR(VLOOKUP(DATE($K$1,$K$2,CHX$4),Table1[],(MATCH(Calendar!$A6,DB!1:1,0)+2),FALSE),"")</f>
        <v/>
      </c>
      <c r="CHY6" s="27" t="str">
        <f>IFERROR(VLOOKUP(DATE($K$1,$K$2,CHY$4),Table1[],(MATCH(Calendar!$A6,DB!1:1,0)+2),FALSE),"")</f>
        <v/>
      </c>
      <c r="CHZ6" s="27" t="str">
        <f>IFERROR(VLOOKUP(DATE($K$1,$K$2,CHZ$4),Table1[],(MATCH(Calendar!$A6,DB!1:1,0)+2),FALSE),"")</f>
        <v/>
      </c>
      <c r="CIA6" s="27" t="str">
        <f>IFERROR(VLOOKUP(DATE($K$1,$K$2,CIA$4),Table1[],(MATCH(Calendar!$A6,DB!1:1,0)+2),FALSE),"")</f>
        <v/>
      </c>
      <c r="CIB6" s="27" t="str">
        <f>IFERROR(VLOOKUP(DATE($K$1,$K$2,CIB$4),Table1[],(MATCH(Calendar!$A6,DB!1:1,0)+2),FALSE),"")</f>
        <v/>
      </c>
      <c r="CIC6" s="27" t="str">
        <f>IFERROR(VLOOKUP(DATE($K$1,$K$2,CIC$4),Table1[],(MATCH(Calendar!$A6,DB!1:1,0)+2),FALSE),"")</f>
        <v/>
      </c>
      <c r="CID6" s="27" t="str">
        <f>IFERROR(VLOOKUP(DATE($K$1,$K$2,CID$4),Table1[],(MATCH(Calendar!$A6,DB!1:1,0)+2),FALSE),"")</f>
        <v/>
      </c>
      <c r="CIE6" s="27" t="str">
        <f>IFERROR(VLOOKUP(DATE($K$1,$K$2,CIE$4),Table1[],(MATCH(Calendar!$A6,DB!1:1,0)+2),FALSE),"")</f>
        <v/>
      </c>
      <c r="CIF6" s="27" t="str">
        <f>IFERROR(VLOOKUP(DATE($K$1,$K$2,CIF$4),Table1[],(MATCH(Calendar!$A6,DB!1:1,0)+2),FALSE),"")</f>
        <v/>
      </c>
      <c r="CIG6" s="27" t="str">
        <f>IFERROR(VLOOKUP(DATE($K$1,$K$2,CIG$4),Table1[],(MATCH(Calendar!$A6,DB!1:1,0)+2),FALSE),"")</f>
        <v/>
      </c>
      <c r="CIH6" s="27" t="str">
        <f>IFERROR(VLOOKUP(DATE($K$1,$K$2,CIH$4),Table1[],(MATCH(Calendar!$A6,DB!1:1,0)+2),FALSE),"")</f>
        <v/>
      </c>
      <c r="CII6" s="27" t="str">
        <f>IFERROR(VLOOKUP(DATE($K$1,$K$2,CII$4),Table1[],(MATCH(Calendar!$A6,DB!1:1,0)+2),FALSE),"")</f>
        <v/>
      </c>
      <c r="CIJ6" s="27" t="str">
        <f>IFERROR(VLOOKUP(DATE($K$1,$K$2,CIJ$4),Table1[],(MATCH(Calendar!$A6,DB!1:1,0)+2),FALSE),"")</f>
        <v/>
      </c>
      <c r="CIK6" s="27" t="str">
        <f>IFERROR(VLOOKUP(DATE($K$1,$K$2,CIK$4),Table1[],(MATCH(Calendar!$A6,DB!1:1,0)+2),FALSE),"")</f>
        <v/>
      </c>
      <c r="CIL6" s="27" t="str">
        <f>IFERROR(VLOOKUP(DATE($K$1,$K$2,CIL$4),Table1[],(MATCH(Calendar!$A6,DB!1:1,0)+2),FALSE),"")</f>
        <v/>
      </c>
      <c r="CIM6" s="27" t="str">
        <f>IFERROR(VLOOKUP(DATE($K$1,$K$2,CIM$4),Table1[],(MATCH(Calendar!$A6,DB!1:1,0)+2),FALSE),"")</f>
        <v/>
      </c>
      <c r="CIN6" s="27" t="str">
        <f>IFERROR(VLOOKUP(DATE($K$1,$K$2,CIN$4),Table1[],(MATCH(Calendar!$A6,DB!1:1,0)+2),FALSE),"")</f>
        <v/>
      </c>
      <c r="CIO6" s="27" t="str">
        <f>IFERROR(VLOOKUP(DATE($K$1,$K$2,CIO$4),Table1[],(MATCH(Calendar!$A6,DB!1:1,0)+2),FALSE),"")</f>
        <v/>
      </c>
      <c r="CIP6" s="27" t="str">
        <f>IFERROR(VLOOKUP(DATE($K$1,$K$2,CIP$4),Table1[],(MATCH(Calendar!$A6,DB!1:1,0)+2),FALSE),"")</f>
        <v/>
      </c>
      <c r="CIQ6" s="27" t="str">
        <f>IFERROR(VLOOKUP(DATE($K$1,$K$2,CIQ$4),Table1[],(MATCH(Calendar!$A6,DB!1:1,0)+2),FALSE),"")</f>
        <v/>
      </c>
      <c r="CIR6" s="27" t="str">
        <f>IFERROR(VLOOKUP(DATE($K$1,$K$2,CIR$4),Table1[],(MATCH(Calendar!$A6,DB!1:1,0)+2),FALSE),"")</f>
        <v/>
      </c>
      <c r="CIS6" s="27" t="str">
        <f>IFERROR(VLOOKUP(DATE($K$1,$K$2,CIS$4),Table1[],(MATCH(Calendar!$A6,DB!1:1,0)+2),FALSE),"")</f>
        <v/>
      </c>
      <c r="CIT6" s="27" t="str">
        <f>IFERROR(VLOOKUP(DATE($K$1,$K$2,CIT$4),Table1[],(MATCH(Calendar!$A6,DB!1:1,0)+2),FALSE),"")</f>
        <v/>
      </c>
      <c r="CIU6" s="27" t="str">
        <f>IFERROR(VLOOKUP(DATE($K$1,$K$2,CIU$4),Table1[],(MATCH(Calendar!$A6,DB!1:1,0)+2),FALSE),"")</f>
        <v/>
      </c>
      <c r="CIV6" s="27" t="str">
        <f>IFERROR(VLOOKUP(DATE($K$1,$K$2,CIV$4),Table1[],(MATCH(Calendar!$A6,DB!1:1,0)+2),FALSE),"")</f>
        <v/>
      </c>
      <c r="CIW6" s="27" t="str">
        <f>IFERROR(VLOOKUP(DATE($K$1,$K$2,CIW$4),Table1[],(MATCH(Calendar!$A6,DB!1:1,0)+2),FALSE),"")</f>
        <v/>
      </c>
      <c r="CIX6" s="27" t="str">
        <f>IFERROR(VLOOKUP(DATE($K$1,$K$2,CIX$4),Table1[],(MATCH(Calendar!$A6,DB!1:1,0)+2),FALSE),"")</f>
        <v/>
      </c>
      <c r="CIY6" s="27" t="str">
        <f>IFERROR(VLOOKUP(DATE($K$1,$K$2,CIY$4),Table1[],(MATCH(Calendar!$A6,DB!1:1,0)+2),FALSE),"")</f>
        <v/>
      </c>
      <c r="CIZ6" s="27" t="str">
        <f>IFERROR(VLOOKUP(DATE($K$1,$K$2,CIZ$4),Table1[],(MATCH(Calendar!$A6,DB!1:1,0)+2),FALSE),"")</f>
        <v/>
      </c>
      <c r="CJA6" s="27" t="str">
        <f>IFERROR(VLOOKUP(DATE($K$1,$K$2,CJA$4),Table1[],(MATCH(Calendar!$A6,DB!1:1,0)+2),FALSE),"")</f>
        <v/>
      </c>
      <c r="CJB6" s="27" t="str">
        <f>IFERROR(VLOOKUP(DATE($K$1,$K$2,CJB$4),Table1[],(MATCH(Calendar!$A6,DB!1:1,0)+2),FALSE),"")</f>
        <v/>
      </c>
      <c r="CJC6" s="27" t="str">
        <f>IFERROR(VLOOKUP(DATE($K$1,$K$2,CJC$4),Table1[],(MATCH(Calendar!$A6,DB!1:1,0)+2),FALSE),"")</f>
        <v/>
      </c>
      <c r="CJD6" s="27" t="str">
        <f>IFERROR(VLOOKUP(DATE($K$1,$K$2,CJD$4),Table1[],(MATCH(Calendar!$A6,DB!1:1,0)+2),FALSE),"")</f>
        <v/>
      </c>
      <c r="CJE6" s="27" t="str">
        <f>IFERROR(VLOOKUP(DATE($K$1,$K$2,CJE$4),Table1[],(MATCH(Calendar!$A6,DB!1:1,0)+2),FALSE),"")</f>
        <v/>
      </c>
      <c r="CJF6" s="27" t="str">
        <f>IFERROR(VLOOKUP(DATE($K$1,$K$2,CJF$4),Table1[],(MATCH(Calendar!$A6,DB!1:1,0)+2),FALSE),"")</f>
        <v/>
      </c>
      <c r="CJG6" s="27" t="str">
        <f>IFERROR(VLOOKUP(DATE($K$1,$K$2,CJG$4),Table1[],(MATCH(Calendar!$A6,DB!1:1,0)+2),FALSE),"")</f>
        <v/>
      </c>
      <c r="CJH6" s="27" t="str">
        <f>IFERROR(VLOOKUP(DATE($K$1,$K$2,CJH$4),Table1[],(MATCH(Calendar!$A6,DB!1:1,0)+2),FALSE),"")</f>
        <v/>
      </c>
      <c r="CJI6" s="27" t="str">
        <f>IFERROR(VLOOKUP(DATE($K$1,$K$2,CJI$4),Table1[],(MATCH(Calendar!$A6,DB!1:1,0)+2),FALSE),"")</f>
        <v/>
      </c>
      <c r="CJJ6" s="27" t="str">
        <f>IFERROR(VLOOKUP(DATE($K$1,$K$2,CJJ$4),Table1[],(MATCH(Calendar!$A6,DB!1:1,0)+2),FALSE),"")</f>
        <v/>
      </c>
      <c r="CJK6" s="27" t="str">
        <f>IFERROR(VLOOKUP(DATE($K$1,$K$2,CJK$4),Table1[],(MATCH(Calendar!$A6,DB!1:1,0)+2),FALSE),"")</f>
        <v/>
      </c>
      <c r="CJL6" s="27" t="str">
        <f>IFERROR(VLOOKUP(DATE($K$1,$K$2,CJL$4),Table1[],(MATCH(Calendar!$A6,DB!1:1,0)+2),FALSE),"")</f>
        <v/>
      </c>
      <c r="CJM6" s="27" t="str">
        <f>IFERROR(VLOOKUP(DATE($K$1,$K$2,CJM$4),Table1[],(MATCH(Calendar!$A6,DB!1:1,0)+2),FALSE),"")</f>
        <v/>
      </c>
      <c r="CJN6" s="27" t="str">
        <f>IFERROR(VLOOKUP(DATE($K$1,$K$2,CJN$4),Table1[],(MATCH(Calendar!$A6,DB!1:1,0)+2),FALSE),"")</f>
        <v/>
      </c>
      <c r="CJO6" s="27" t="str">
        <f>IFERROR(VLOOKUP(DATE($K$1,$K$2,CJO$4),Table1[],(MATCH(Calendar!$A6,DB!1:1,0)+2),FALSE),"")</f>
        <v/>
      </c>
      <c r="CJP6" s="27" t="str">
        <f>IFERROR(VLOOKUP(DATE($K$1,$K$2,CJP$4),Table1[],(MATCH(Calendar!$A6,DB!1:1,0)+2),FALSE),"")</f>
        <v/>
      </c>
      <c r="CJQ6" s="27" t="str">
        <f>IFERROR(VLOOKUP(DATE($K$1,$K$2,CJQ$4),Table1[],(MATCH(Calendar!$A6,DB!1:1,0)+2),FALSE),"")</f>
        <v/>
      </c>
      <c r="CJR6" s="27" t="str">
        <f>IFERROR(VLOOKUP(DATE($K$1,$K$2,CJR$4),Table1[],(MATCH(Calendar!$A6,DB!1:1,0)+2),FALSE),"")</f>
        <v/>
      </c>
      <c r="CJS6" s="27" t="str">
        <f>IFERROR(VLOOKUP(DATE($K$1,$K$2,CJS$4),Table1[],(MATCH(Calendar!$A6,DB!1:1,0)+2),FALSE),"")</f>
        <v/>
      </c>
      <c r="CJT6" s="27" t="str">
        <f>IFERROR(VLOOKUP(DATE($K$1,$K$2,CJT$4),Table1[],(MATCH(Calendar!$A6,DB!1:1,0)+2),FALSE),"")</f>
        <v/>
      </c>
      <c r="CJU6" s="27" t="str">
        <f>IFERROR(VLOOKUP(DATE($K$1,$K$2,CJU$4),Table1[],(MATCH(Calendar!$A6,DB!1:1,0)+2),FALSE),"")</f>
        <v/>
      </c>
      <c r="CJV6" s="27" t="str">
        <f>IFERROR(VLOOKUP(DATE($K$1,$K$2,CJV$4),Table1[],(MATCH(Calendar!$A6,DB!1:1,0)+2),FALSE),"")</f>
        <v/>
      </c>
      <c r="CJW6" s="27" t="str">
        <f>IFERROR(VLOOKUP(DATE($K$1,$K$2,CJW$4),Table1[],(MATCH(Calendar!$A6,DB!1:1,0)+2),FALSE),"")</f>
        <v/>
      </c>
      <c r="CJX6" s="27" t="str">
        <f>IFERROR(VLOOKUP(DATE($K$1,$K$2,CJX$4),Table1[],(MATCH(Calendar!$A6,DB!1:1,0)+2),FALSE),"")</f>
        <v/>
      </c>
      <c r="CJY6" s="27" t="str">
        <f>IFERROR(VLOOKUP(DATE($K$1,$K$2,CJY$4),Table1[],(MATCH(Calendar!$A6,DB!1:1,0)+2),FALSE),"")</f>
        <v/>
      </c>
      <c r="CJZ6" s="27" t="str">
        <f>IFERROR(VLOOKUP(DATE($K$1,$K$2,CJZ$4),Table1[],(MATCH(Calendar!$A6,DB!1:1,0)+2),FALSE),"")</f>
        <v/>
      </c>
      <c r="CKA6" s="27" t="str">
        <f>IFERROR(VLOOKUP(DATE($K$1,$K$2,CKA$4),Table1[],(MATCH(Calendar!$A6,DB!1:1,0)+2),FALSE),"")</f>
        <v/>
      </c>
      <c r="CKB6" s="27" t="str">
        <f>IFERROR(VLOOKUP(DATE($K$1,$K$2,CKB$4),Table1[],(MATCH(Calendar!$A6,DB!1:1,0)+2),FALSE),"")</f>
        <v/>
      </c>
      <c r="CKC6" s="27" t="str">
        <f>IFERROR(VLOOKUP(DATE($K$1,$K$2,CKC$4),Table1[],(MATCH(Calendar!$A6,DB!1:1,0)+2),FALSE),"")</f>
        <v/>
      </c>
      <c r="CKD6" s="27" t="str">
        <f>IFERROR(VLOOKUP(DATE($K$1,$K$2,CKD$4),Table1[],(MATCH(Calendar!$A6,DB!1:1,0)+2),FALSE),"")</f>
        <v/>
      </c>
      <c r="CKE6" s="27" t="str">
        <f>IFERROR(VLOOKUP(DATE($K$1,$K$2,CKE$4),Table1[],(MATCH(Calendar!$A6,DB!1:1,0)+2),FALSE),"")</f>
        <v/>
      </c>
      <c r="CKF6" s="27" t="str">
        <f>IFERROR(VLOOKUP(DATE($K$1,$K$2,CKF$4),Table1[],(MATCH(Calendar!$A6,DB!1:1,0)+2),FALSE),"")</f>
        <v/>
      </c>
      <c r="CKG6" s="27" t="str">
        <f>IFERROR(VLOOKUP(DATE($K$1,$K$2,CKG$4),Table1[],(MATCH(Calendar!$A6,DB!1:1,0)+2),FALSE),"")</f>
        <v/>
      </c>
      <c r="CKH6" s="27" t="str">
        <f>IFERROR(VLOOKUP(DATE($K$1,$K$2,CKH$4),Table1[],(MATCH(Calendar!$A6,DB!1:1,0)+2),FALSE),"")</f>
        <v/>
      </c>
      <c r="CKI6" s="27" t="str">
        <f>IFERROR(VLOOKUP(DATE($K$1,$K$2,CKI$4),Table1[],(MATCH(Calendar!$A6,DB!1:1,0)+2),FALSE),"")</f>
        <v/>
      </c>
      <c r="CKJ6" s="27" t="str">
        <f>IFERROR(VLOOKUP(DATE($K$1,$K$2,CKJ$4),Table1[],(MATCH(Calendar!$A6,DB!1:1,0)+2),FALSE),"")</f>
        <v/>
      </c>
      <c r="CKK6" s="27" t="str">
        <f>IFERROR(VLOOKUP(DATE($K$1,$K$2,CKK$4),Table1[],(MATCH(Calendar!$A6,DB!1:1,0)+2),FALSE),"")</f>
        <v/>
      </c>
      <c r="CKL6" s="27" t="str">
        <f>IFERROR(VLOOKUP(DATE($K$1,$K$2,CKL$4),Table1[],(MATCH(Calendar!$A6,DB!1:1,0)+2),FALSE),"")</f>
        <v/>
      </c>
      <c r="CKM6" s="27" t="str">
        <f>IFERROR(VLOOKUP(DATE($K$1,$K$2,CKM$4),Table1[],(MATCH(Calendar!$A6,DB!1:1,0)+2),FALSE),"")</f>
        <v/>
      </c>
      <c r="CKN6" s="27" t="str">
        <f>IFERROR(VLOOKUP(DATE($K$1,$K$2,CKN$4),Table1[],(MATCH(Calendar!$A6,DB!1:1,0)+2),FALSE),"")</f>
        <v/>
      </c>
      <c r="CKO6" s="27" t="str">
        <f>IFERROR(VLOOKUP(DATE($K$1,$K$2,CKO$4),Table1[],(MATCH(Calendar!$A6,DB!1:1,0)+2),FALSE),"")</f>
        <v/>
      </c>
      <c r="CKP6" s="27" t="str">
        <f>IFERROR(VLOOKUP(DATE($K$1,$K$2,CKP$4),Table1[],(MATCH(Calendar!$A6,DB!1:1,0)+2),FALSE),"")</f>
        <v/>
      </c>
      <c r="CKQ6" s="27" t="str">
        <f>IFERROR(VLOOKUP(DATE($K$1,$K$2,CKQ$4),Table1[],(MATCH(Calendar!$A6,DB!1:1,0)+2),FALSE),"")</f>
        <v/>
      </c>
      <c r="CKR6" s="27" t="str">
        <f>IFERROR(VLOOKUP(DATE($K$1,$K$2,CKR$4),Table1[],(MATCH(Calendar!$A6,DB!1:1,0)+2),FALSE),"")</f>
        <v/>
      </c>
      <c r="CKS6" s="27" t="str">
        <f>IFERROR(VLOOKUP(DATE($K$1,$K$2,CKS$4),Table1[],(MATCH(Calendar!$A6,DB!1:1,0)+2),FALSE),"")</f>
        <v/>
      </c>
      <c r="CKT6" s="27" t="str">
        <f>IFERROR(VLOOKUP(DATE($K$1,$K$2,CKT$4),Table1[],(MATCH(Calendar!$A6,DB!1:1,0)+2),FALSE),"")</f>
        <v/>
      </c>
      <c r="CKU6" s="27" t="str">
        <f>IFERROR(VLOOKUP(DATE($K$1,$K$2,CKU$4),Table1[],(MATCH(Calendar!$A6,DB!1:1,0)+2),FALSE),"")</f>
        <v/>
      </c>
      <c r="CKV6" s="27" t="str">
        <f>IFERROR(VLOOKUP(DATE($K$1,$K$2,CKV$4),Table1[],(MATCH(Calendar!$A6,DB!1:1,0)+2),FALSE),"")</f>
        <v/>
      </c>
      <c r="CKW6" s="27" t="str">
        <f>IFERROR(VLOOKUP(DATE($K$1,$K$2,CKW$4),Table1[],(MATCH(Calendar!$A6,DB!1:1,0)+2),FALSE),"")</f>
        <v/>
      </c>
      <c r="CKX6" s="27" t="str">
        <f>IFERROR(VLOOKUP(DATE($K$1,$K$2,CKX$4),Table1[],(MATCH(Calendar!$A6,DB!1:1,0)+2),FALSE),"")</f>
        <v/>
      </c>
      <c r="CKY6" s="27" t="str">
        <f>IFERROR(VLOOKUP(DATE($K$1,$K$2,CKY$4),Table1[],(MATCH(Calendar!$A6,DB!1:1,0)+2),FALSE),"")</f>
        <v/>
      </c>
      <c r="CKZ6" s="27" t="str">
        <f>IFERROR(VLOOKUP(DATE($K$1,$K$2,CKZ$4),Table1[],(MATCH(Calendar!$A6,DB!1:1,0)+2),FALSE),"")</f>
        <v/>
      </c>
      <c r="CLA6" s="27" t="str">
        <f>IFERROR(VLOOKUP(DATE($K$1,$K$2,CLA$4),Table1[],(MATCH(Calendar!$A6,DB!1:1,0)+2),FALSE),"")</f>
        <v/>
      </c>
      <c r="CLB6" s="27" t="str">
        <f>IFERROR(VLOOKUP(DATE($K$1,$K$2,CLB$4),Table1[],(MATCH(Calendar!$A6,DB!1:1,0)+2),FALSE),"")</f>
        <v/>
      </c>
      <c r="CLC6" s="27" t="str">
        <f>IFERROR(VLOOKUP(DATE($K$1,$K$2,CLC$4),Table1[],(MATCH(Calendar!$A6,DB!1:1,0)+2),FALSE),"")</f>
        <v/>
      </c>
      <c r="CLD6" s="27" t="str">
        <f>IFERROR(VLOOKUP(DATE($K$1,$K$2,CLD$4),Table1[],(MATCH(Calendar!$A6,DB!1:1,0)+2),FALSE),"")</f>
        <v/>
      </c>
      <c r="CLE6" s="27" t="str">
        <f>IFERROR(VLOOKUP(DATE($K$1,$K$2,CLE$4),Table1[],(MATCH(Calendar!$A6,DB!1:1,0)+2),FALSE),"")</f>
        <v/>
      </c>
      <c r="CLF6" s="27" t="str">
        <f>IFERROR(VLOOKUP(DATE($K$1,$K$2,CLF$4),Table1[],(MATCH(Calendar!$A6,DB!1:1,0)+2),FALSE),"")</f>
        <v/>
      </c>
      <c r="CLG6" s="27" t="str">
        <f>IFERROR(VLOOKUP(DATE($K$1,$K$2,CLG$4),Table1[],(MATCH(Calendar!$A6,DB!1:1,0)+2),FALSE),"")</f>
        <v/>
      </c>
      <c r="CLH6" s="27" t="str">
        <f>IFERROR(VLOOKUP(DATE($K$1,$K$2,CLH$4),Table1[],(MATCH(Calendar!$A6,DB!1:1,0)+2),FALSE),"")</f>
        <v/>
      </c>
      <c r="CLI6" s="27" t="str">
        <f>IFERROR(VLOOKUP(DATE($K$1,$K$2,CLI$4),Table1[],(MATCH(Calendar!$A6,DB!1:1,0)+2),FALSE),"")</f>
        <v/>
      </c>
      <c r="CLJ6" s="27" t="str">
        <f>IFERROR(VLOOKUP(DATE($K$1,$K$2,CLJ$4),Table1[],(MATCH(Calendar!$A6,DB!1:1,0)+2),FALSE),"")</f>
        <v/>
      </c>
      <c r="CLK6" s="27" t="str">
        <f>IFERROR(VLOOKUP(DATE($K$1,$K$2,CLK$4),Table1[],(MATCH(Calendar!$A6,DB!1:1,0)+2),FALSE),"")</f>
        <v/>
      </c>
      <c r="CLL6" s="27" t="str">
        <f>IFERROR(VLOOKUP(DATE($K$1,$K$2,CLL$4),Table1[],(MATCH(Calendar!$A6,DB!1:1,0)+2),FALSE),"")</f>
        <v/>
      </c>
      <c r="CLM6" s="27" t="str">
        <f>IFERROR(VLOOKUP(DATE($K$1,$K$2,CLM$4),Table1[],(MATCH(Calendar!$A6,DB!1:1,0)+2),FALSE),"")</f>
        <v/>
      </c>
      <c r="CLN6" s="27" t="str">
        <f>IFERROR(VLOOKUP(DATE($K$1,$K$2,CLN$4),Table1[],(MATCH(Calendar!$A6,DB!1:1,0)+2),FALSE),"")</f>
        <v/>
      </c>
      <c r="CLO6" s="27" t="str">
        <f>IFERROR(VLOOKUP(DATE($K$1,$K$2,CLO$4),Table1[],(MATCH(Calendar!$A6,DB!1:1,0)+2),FALSE),"")</f>
        <v/>
      </c>
      <c r="CLP6" s="27" t="str">
        <f>IFERROR(VLOOKUP(DATE($K$1,$K$2,CLP$4),Table1[],(MATCH(Calendar!$A6,DB!1:1,0)+2),FALSE),"")</f>
        <v/>
      </c>
      <c r="CLQ6" s="27" t="str">
        <f>IFERROR(VLOOKUP(DATE($K$1,$K$2,CLQ$4),Table1[],(MATCH(Calendar!$A6,DB!1:1,0)+2),FALSE),"")</f>
        <v/>
      </c>
      <c r="CLR6" s="27" t="str">
        <f>IFERROR(VLOOKUP(DATE($K$1,$K$2,CLR$4),Table1[],(MATCH(Calendar!$A6,DB!1:1,0)+2),FALSE),"")</f>
        <v/>
      </c>
      <c r="CLS6" s="27" t="str">
        <f>IFERROR(VLOOKUP(DATE($K$1,$K$2,CLS$4),Table1[],(MATCH(Calendar!$A6,DB!1:1,0)+2),FALSE),"")</f>
        <v/>
      </c>
      <c r="CLT6" s="27" t="str">
        <f>IFERROR(VLOOKUP(DATE($K$1,$K$2,CLT$4),Table1[],(MATCH(Calendar!$A6,DB!1:1,0)+2),FALSE),"")</f>
        <v/>
      </c>
      <c r="CLU6" s="27" t="str">
        <f>IFERROR(VLOOKUP(DATE($K$1,$K$2,CLU$4),Table1[],(MATCH(Calendar!$A6,DB!1:1,0)+2),FALSE),"")</f>
        <v/>
      </c>
      <c r="CLV6" s="27" t="str">
        <f>IFERROR(VLOOKUP(DATE($K$1,$K$2,CLV$4),Table1[],(MATCH(Calendar!$A6,DB!1:1,0)+2),FALSE),"")</f>
        <v/>
      </c>
      <c r="CLW6" s="27" t="str">
        <f>IFERROR(VLOOKUP(DATE($K$1,$K$2,CLW$4),Table1[],(MATCH(Calendar!$A6,DB!1:1,0)+2),FALSE),"")</f>
        <v/>
      </c>
      <c r="CLX6" s="27" t="str">
        <f>IFERROR(VLOOKUP(DATE($K$1,$K$2,CLX$4),Table1[],(MATCH(Calendar!$A6,DB!1:1,0)+2),FALSE),"")</f>
        <v/>
      </c>
      <c r="CLY6" s="27" t="str">
        <f>IFERROR(VLOOKUP(DATE($K$1,$K$2,CLY$4),Table1[],(MATCH(Calendar!$A6,DB!1:1,0)+2),FALSE),"")</f>
        <v/>
      </c>
      <c r="CLZ6" s="27" t="str">
        <f>IFERROR(VLOOKUP(DATE($K$1,$K$2,CLZ$4),Table1[],(MATCH(Calendar!$A6,DB!1:1,0)+2),FALSE),"")</f>
        <v/>
      </c>
      <c r="CMA6" s="27" t="str">
        <f>IFERROR(VLOOKUP(DATE($K$1,$K$2,CMA$4),Table1[],(MATCH(Calendar!$A6,DB!1:1,0)+2),FALSE),"")</f>
        <v/>
      </c>
      <c r="CMB6" s="27" t="str">
        <f>IFERROR(VLOOKUP(DATE($K$1,$K$2,CMB$4),Table1[],(MATCH(Calendar!$A6,DB!1:1,0)+2),FALSE),"")</f>
        <v/>
      </c>
      <c r="CMC6" s="27" t="str">
        <f>IFERROR(VLOOKUP(DATE($K$1,$K$2,CMC$4),Table1[],(MATCH(Calendar!$A6,DB!1:1,0)+2),FALSE),"")</f>
        <v/>
      </c>
      <c r="CMD6" s="27" t="str">
        <f>IFERROR(VLOOKUP(DATE($K$1,$K$2,CMD$4),Table1[],(MATCH(Calendar!$A6,DB!1:1,0)+2),FALSE),"")</f>
        <v/>
      </c>
      <c r="CME6" s="27" t="str">
        <f>IFERROR(VLOOKUP(DATE($K$1,$K$2,CME$4),Table1[],(MATCH(Calendar!$A6,DB!1:1,0)+2),FALSE),"")</f>
        <v/>
      </c>
      <c r="CMF6" s="27" t="str">
        <f>IFERROR(VLOOKUP(DATE($K$1,$K$2,CMF$4),Table1[],(MATCH(Calendar!$A6,DB!1:1,0)+2),FALSE),"")</f>
        <v/>
      </c>
      <c r="CMG6" s="27" t="str">
        <f>IFERROR(VLOOKUP(DATE($K$1,$K$2,CMG$4),Table1[],(MATCH(Calendar!$A6,DB!1:1,0)+2),FALSE),"")</f>
        <v/>
      </c>
      <c r="CMH6" s="27" t="str">
        <f>IFERROR(VLOOKUP(DATE($K$1,$K$2,CMH$4),Table1[],(MATCH(Calendar!$A6,DB!1:1,0)+2),FALSE),"")</f>
        <v/>
      </c>
      <c r="CMI6" s="27" t="str">
        <f>IFERROR(VLOOKUP(DATE($K$1,$K$2,CMI$4),Table1[],(MATCH(Calendar!$A6,DB!1:1,0)+2),FALSE),"")</f>
        <v/>
      </c>
      <c r="CMJ6" s="27" t="str">
        <f>IFERROR(VLOOKUP(DATE($K$1,$K$2,CMJ$4),Table1[],(MATCH(Calendar!$A6,DB!1:1,0)+2),FALSE),"")</f>
        <v/>
      </c>
      <c r="CMK6" s="27" t="str">
        <f>IFERROR(VLOOKUP(DATE($K$1,$K$2,CMK$4),Table1[],(MATCH(Calendar!$A6,DB!1:1,0)+2),FALSE),"")</f>
        <v/>
      </c>
      <c r="CML6" s="27" t="str">
        <f>IFERROR(VLOOKUP(DATE($K$1,$K$2,CML$4),Table1[],(MATCH(Calendar!$A6,DB!1:1,0)+2),FALSE),"")</f>
        <v/>
      </c>
      <c r="CMM6" s="27" t="str">
        <f>IFERROR(VLOOKUP(DATE($K$1,$K$2,CMM$4),Table1[],(MATCH(Calendar!$A6,DB!1:1,0)+2),FALSE),"")</f>
        <v/>
      </c>
      <c r="CMN6" s="27" t="str">
        <f>IFERROR(VLOOKUP(DATE($K$1,$K$2,CMN$4),Table1[],(MATCH(Calendar!$A6,DB!1:1,0)+2),FALSE),"")</f>
        <v/>
      </c>
      <c r="CMO6" s="27" t="str">
        <f>IFERROR(VLOOKUP(DATE($K$1,$K$2,CMO$4),Table1[],(MATCH(Calendar!$A6,DB!1:1,0)+2),FALSE),"")</f>
        <v/>
      </c>
      <c r="CMP6" s="27" t="str">
        <f>IFERROR(VLOOKUP(DATE($K$1,$K$2,CMP$4),Table1[],(MATCH(Calendar!$A6,DB!1:1,0)+2),FALSE),"")</f>
        <v/>
      </c>
      <c r="CMQ6" s="27" t="str">
        <f>IFERROR(VLOOKUP(DATE($K$1,$K$2,CMQ$4),Table1[],(MATCH(Calendar!$A6,DB!1:1,0)+2),FALSE),"")</f>
        <v/>
      </c>
      <c r="CMR6" s="27" t="str">
        <f>IFERROR(VLOOKUP(DATE($K$1,$K$2,CMR$4),Table1[],(MATCH(Calendar!$A6,DB!1:1,0)+2),FALSE),"")</f>
        <v/>
      </c>
      <c r="CMS6" s="27" t="str">
        <f>IFERROR(VLOOKUP(DATE($K$1,$K$2,CMS$4),Table1[],(MATCH(Calendar!$A6,DB!1:1,0)+2),FALSE),"")</f>
        <v/>
      </c>
      <c r="CMT6" s="27" t="str">
        <f>IFERROR(VLOOKUP(DATE($K$1,$K$2,CMT$4),Table1[],(MATCH(Calendar!$A6,DB!1:1,0)+2),FALSE),"")</f>
        <v/>
      </c>
      <c r="CMU6" s="27" t="str">
        <f>IFERROR(VLOOKUP(DATE($K$1,$K$2,CMU$4),Table1[],(MATCH(Calendar!$A6,DB!1:1,0)+2),FALSE),"")</f>
        <v/>
      </c>
      <c r="CMV6" s="27" t="str">
        <f>IFERROR(VLOOKUP(DATE($K$1,$K$2,CMV$4),Table1[],(MATCH(Calendar!$A6,DB!1:1,0)+2),FALSE),"")</f>
        <v/>
      </c>
      <c r="CMW6" s="27" t="str">
        <f>IFERROR(VLOOKUP(DATE($K$1,$K$2,CMW$4),Table1[],(MATCH(Calendar!$A6,DB!1:1,0)+2),FALSE),"")</f>
        <v/>
      </c>
      <c r="CMX6" s="27" t="str">
        <f>IFERROR(VLOOKUP(DATE($K$1,$K$2,CMX$4),Table1[],(MATCH(Calendar!$A6,DB!1:1,0)+2),FALSE),"")</f>
        <v/>
      </c>
      <c r="CMY6" s="27" t="str">
        <f>IFERROR(VLOOKUP(DATE($K$1,$K$2,CMY$4),Table1[],(MATCH(Calendar!$A6,DB!1:1,0)+2),FALSE),"")</f>
        <v/>
      </c>
      <c r="CMZ6" s="27" t="str">
        <f>IFERROR(VLOOKUP(DATE($K$1,$K$2,CMZ$4),Table1[],(MATCH(Calendar!$A6,DB!1:1,0)+2),FALSE),"")</f>
        <v/>
      </c>
      <c r="CNA6" s="27" t="str">
        <f>IFERROR(VLOOKUP(DATE($K$1,$K$2,CNA$4),Table1[],(MATCH(Calendar!$A6,DB!1:1,0)+2),FALSE),"")</f>
        <v/>
      </c>
      <c r="CNB6" s="27" t="str">
        <f>IFERROR(VLOOKUP(DATE($K$1,$K$2,CNB$4),Table1[],(MATCH(Calendar!$A6,DB!1:1,0)+2),FALSE),"")</f>
        <v/>
      </c>
      <c r="CNC6" s="27" t="str">
        <f>IFERROR(VLOOKUP(DATE($K$1,$K$2,CNC$4),Table1[],(MATCH(Calendar!$A6,DB!1:1,0)+2),FALSE),"")</f>
        <v/>
      </c>
      <c r="CND6" s="27" t="str">
        <f>IFERROR(VLOOKUP(DATE($K$1,$K$2,CND$4),Table1[],(MATCH(Calendar!$A6,DB!1:1,0)+2),FALSE),"")</f>
        <v/>
      </c>
      <c r="CNE6" s="27" t="str">
        <f>IFERROR(VLOOKUP(DATE($K$1,$K$2,CNE$4),Table1[],(MATCH(Calendar!$A6,DB!1:1,0)+2),FALSE),"")</f>
        <v/>
      </c>
      <c r="CNF6" s="27" t="str">
        <f>IFERROR(VLOOKUP(DATE($K$1,$K$2,CNF$4),Table1[],(MATCH(Calendar!$A6,DB!1:1,0)+2),FALSE),"")</f>
        <v/>
      </c>
      <c r="CNG6" s="27" t="str">
        <f>IFERROR(VLOOKUP(DATE($K$1,$K$2,CNG$4),Table1[],(MATCH(Calendar!$A6,DB!1:1,0)+2),FALSE),"")</f>
        <v/>
      </c>
      <c r="CNH6" s="27" t="str">
        <f>IFERROR(VLOOKUP(DATE($K$1,$K$2,CNH$4),Table1[],(MATCH(Calendar!$A6,DB!1:1,0)+2),FALSE),"")</f>
        <v/>
      </c>
      <c r="CNI6" s="27" t="str">
        <f>IFERROR(VLOOKUP(DATE($K$1,$K$2,CNI$4),Table1[],(MATCH(Calendar!$A6,DB!1:1,0)+2),FALSE),"")</f>
        <v/>
      </c>
      <c r="CNJ6" s="27" t="str">
        <f>IFERROR(VLOOKUP(DATE($K$1,$K$2,CNJ$4),Table1[],(MATCH(Calendar!$A6,DB!1:1,0)+2),FALSE),"")</f>
        <v/>
      </c>
      <c r="CNK6" s="27" t="str">
        <f>IFERROR(VLOOKUP(DATE($K$1,$K$2,CNK$4),Table1[],(MATCH(Calendar!$A6,DB!1:1,0)+2),FALSE),"")</f>
        <v/>
      </c>
      <c r="CNL6" s="27" t="str">
        <f>IFERROR(VLOOKUP(DATE($K$1,$K$2,CNL$4),Table1[],(MATCH(Calendar!$A6,DB!1:1,0)+2),FALSE),"")</f>
        <v/>
      </c>
      <c r="CNM6" s="27" t="str">
        <f>IFERROR(VLOOKUP(DATE($K$1,$K$2,CNM$4),Table1[],(MATCH(Calendar!$A6,DB!1:1,0)+2),FALSE),"")</f>
        <v/>
      </c>
      <c r="CNN6" s="27" t="str">
        <f>IFERROR(VLOOKUP(DATE($K$1,$K$2,CNN$4),Table1[],(MATCH(Calendar!$A6,DB!1:1,0)+2),FALSE),"")</f>
        <v/>
      </c>
      <c r="CNO6" s="27" t="str">
        <f>IFERROR(VLOOKUP(DATE($K$1,$K$2,CNO$4),Table1[],(MATCH(Calendar!$A6,DB!1:1,0)+2),FALSE),"")</f>
        <v/>
      </c>
      <c r="CNP6" s="27" t="str">
        <f>IFERROR(VLOOKUP(DATE($K$1,$K$2,CNP$4),Table1[],(MATCH(Calendar!$A6,DB!1:1,0)+2),FALSE),"")</f>
        <v/>
      </c>
      <c r="CNQ6" s="27" t="str">
        <f>IFERROR(VLOOKUP(DATE($K$1,$K$2,CNQ$4),Table1[],(MATCH(Calendar!$A6,DB!1:1,0)+2),FALSE),"")</f>
        <v/>
      </c>
      <c r="CNR6" s="27" t="str">
        <f>IFERROR(VLOOKUP(DATE($K$1,$K$2,CNR$4),Table1[],(MATCH(Calendar!$A6,DB!1:1,0)+2),FALSE),"")</f>
        <v/>
      </c>
      <c r="CNS6" s="27" t="str">
        <f>IFERROR(VLOOKUP(DATE($K$1,$K$2,CNS$4),Table1[],(MATCH(Calendar!$A6,DB!1:1,0)+2),FALSE),"")</f>
        <v/>
      </c>
      <c r="CNT6" s="27" t="str">
        <f>IFERROR(VLOOKUP(DATE($K$1,$K$2,CNT$4),Table1[],(MATCH(Calendar!$A6,DB!1:1,0)+2),FALSE),"")</f>
        <v/>
      </c>
      <c r="CNU6" s="27" t="str">
        <f>IFERROR(VLOOKUP(DATE($K$1,$K$2,CNU$4),Table1[],(MATCH(Calendar!$A6,DB!1:1,0)+2),FALSE),"")</f>
        <v/>
      </c>
      <c r="CNV6" s="27" t="str">
        <f>IFERROR(VLOOKUP(DATE($K$1,$K$2,CNV$4),Table1[],(MATCH(Calendar!$A6,DB!1:1,0)+2),FALSE),"")</f>
        <v/>
      </c>
      <c r="CNW6" s="27" t="str">
        <f>IFERROR(VLOOKUP(DATE($K$1,$K$2,CNW$4),Table1[],(MATCH(Calendar!$A6,DB!1:1,0)+2),FALSE),"")</f>
        <v/>
      </c>
      <c r="CNX6" s="27" t="str">
        <f>IFERROR(VLOOKUP(DATE($K$1,$K$2,CNX$4),Table1[],(MATCH(Calendar!$A6,DB!1:1,0)+2),FALSE),"")</f>
        <v/>
      </c>
      <c r="CNY6" s="27" t="str">
        <f>IFERROR(VLOOKUP(DATE($K$1,$K$2,CNY$4),Table1[],(MATCH(Calendar!$A6,DB!1:1,0)+2),FALSE),"")</f>
        <v/>
      </c>
      <c r="CNZ6" s="27" t="str">
        <f>IFERROR(VLOOKUP(DATE($K$1,$K$2,CNZ$4),Table1[],(MATCH(Calendar!$A6,DB!1:1,0)+2),FALSE),"")</f>
        <v/>
      </c>
      <c r="COA6" s="27" t="str">
        <f>IFERROR(VLOOKUP(DATE($K$1,$K$2,COA$4),Table1[],(MATCH(Calendar!$A6,DB!1:1,0)+2),FALSE),"")</f>
        <v/>
      </c>
      <c r="COB6" s="27" t="str">
        <f>IFERROR(VLOOKUP(DATE($K$1,$K$2,COB$4),Table1[],(MATCH(Calendar!$A6,DB!1:1,0)+2),FALSE),"")</f>
        <v/>
      </c>
      <c r="COC6" s="27" t="str">
        <f>IFERROR(VLOOKUP(DATE($K$1,$K$2,COC$4),Table1[],(MATCH(Calendar!$A6,DB!1:1,0)+2),FALSE),"")</f>
        <v/>
      </c>
      <c r="COD6" s="27" t="str">
        <f>IFERROR(VLOOKUP(DATE($K$1,$K$2,COD$4),Table1[],(MATCH(Calendar!$A6,DB!1:1,0)+2),FALSE),"")</f>
        <v/>
      </c>
      <c r="COE6" s="27" t="str">
        <f>IFERROR(VLOOKUP(DATE($K$1,$K$2,COE$4),Table1[],(MATCH(Calendar!$A6,DB!1:1,0)+2),FALSE),"")</f>
        <v/>
      </c>
      <c r="COF6" s="27" t="str">
        <f>IFERROR(VLOOKUP(DATE($K$1,$K$2,COF$4),Table1[],(MATCH(Calendar!$A6,DB!1:1,0)+2),FALSE),"")</f>
        <v/>
      </c>
      <c r="COG6" s="27" t="str">
        <f>IFERROR(VLOOKUP(DATE($K$1,$K$2,COG$4),Table1[],(MATCH(Calendar!$A6,DB!1:1,0)+2),FALSE),"")</f>
        <v/>
      </c>
      <c r="COH6" s="27" t="str">
        <f>IFERROR(VLOOKUP(DATE($K$1,$K$2,COH$4),Table1[],(MATCH(Calendar!$A6,DB!1:1,0)+2),FALSE),"")</f>
        <v/>
      </c>
      <c r="COI6" s="27" t="str">
        <f>IFERROR(VLOOKUP(DATE($K$1,$K$2,COI$4),Table1[],(MATCH(Calendar!$A6,DB!1:1,0)+2),FALSE),"")</f>
        <v/>
      </c>
      <c r="COJ6" s="27" t="str">
        <f>IFERROR(VLOOKUP(DATE($K$1,$K$2,COJ$4),Table1[],(MATCH(Calendar!$A6,DB!1:1,0)+2),FALSE),"")</f>
        <v/>
      </c>
      <c r="COK6" s="27" t="str">
        <f>IFERROR(VLOOKUP(DATE($K$1,$K$2,COK$4),Table1[],(MATCH(Calendar!$A6,DB!1:1,0)+2),FALSE),"")</f>
        <v/>
      </c>
      <c r="COL6" s="27" t="str">
        <f>IFERROR(VLOOKUP(DATE($K$1,$K$2,COL$4),Table1[],(MATCH(Calendar!$A6,DB!1:1,0)+2),FALSE),"")</f>
        <v/>
      </c>
      <c r="COM6" s="27" t="str">
        <f>IFERROR(VLOOKUP(DATE($K$1,$K$2,COM$4),Table1[],(MATCH(Calendar!$A6,DB!1:1,0)+2),FALSE),"")</f>
        <v/>
      </c>
      <c r="CON6" s="27" t="str">
        <f>IFERROR(VLOOKUP(DATE($K$1,$K$2,CON$4),Table1[],(MATCH(Calendar!$A6,DB!1:1,0)+2),FALSE),"")</f>
        <v/>
      </c>
      <c r="COO6" s="27" t="str">
        <f>IFERROR(VLOOKUP(DATE($K$1,$K$2,COO$4),Table1[],(MATCH(Calendar!$A6,DB!1:1,0)+2),FALSE),"")</f>
        <v/>
      </c>
      <c r="COP6" s="27" t="str">
        <f>IFERROR(VLOOKUP(DATE($K$1,$K$2,COP$4),Table1[],(MATCH(Calendar!$A6,DB!1:1,0)+2),FALSE),"")</f>
        <v/>
      </c>
      <c r="COQ6" s="27" t="str">
        <f>IFERROR(VLOOKUP(DATE($K$1,$K$2,COQ$4),Table1[],(MATCH(Calendar!$A6,DB!1:1,0)+2),FALSE),"")</f>
        <v/>
      </c>
      <c r="COR6" s="27" t="str">
        <f>IFERROR(VLOOKUP(DATE($K$1,$K$2,COR$4),Table1[],(MATCH(Calendar!$A6,DB!1:1,0)+2),FALSE),"")</f>
        <v/>
      </c>
      <c r="COS6" s="27" t="str">
        <f>IFERROR(VLOOKUP(DATE($K$1,$K$2,COS$4),Table1[],(MATCH(Calendar!$A6,DB!1:1,0)+2),FALSE),"")</f>
        <v/>
      </c>
      <c r="COT6" s="27" t="str">
        <f>IFERROR(VLOOKUP(DATE($K$1,$K$2,COT$4),Table1[],(MATCH(Calendar!$A6,DB!1:1,0)+2),FALSE),"")</f>
        <v/>
      </c>
      <c r="COU6" s="27" t="str">
        <f>IFERROR(VLOOKUP(DATE($K$1,$K$2,COU$4),Table1[],(MATCH(Calendar!$A6,DB!1:1,0)+2),FALSE),"")</f>
        <v/>
      </c>
      <c r="COV6" s="27" t="str">
        <f>IFERROR(VLOOKUP(DATE($K$1,$K$2,COV$4),Table1[],(MATCH(Calendar!$A6,DB!1:1,0)+2),FALSE),"")</f>
        <v/>
      </c>
      <c r="COW6" s="27" t="str">
        <f>IFERROR(VLOOKUP(DATE($K$1,$K$2,COW$4),Table1[],(MATCH(Calendar!$A6,DB!1:1,0)+2),FALSE),"")</f>
        <v/>
      </c>
      <c r="COX6" s="27" t="str">
        <f>IFERROR(VLOOKUP(DATE($K$1,$K$2,COX$4),Table1[],(MATCH(Calendar!$A6,DB!1:1,0)+2),FALSE),"")</f>
        <v/>
      </c>
      <c r="COY6" s="27" t="str">
        <f>IFERROR(VLOOKUP(DATE($K$1,$K$2,COY$4),Table1[],(MATCH(Calendar!$A6,DB!1:1,0)+2),FALSE),"")</f>
        <v/>
      </c>
      <c r="COZ6" s="27" t="str">
        <f>IFERROR(VLOOKUP(DATE($K$1,$K$2,COZ$4),Table1[],(MATCH(Calendar!$A6,DB!1:1,0)+2),FALSE),"")</f>
        <v/>
      </c>
      <c r="CPA6" s="27" t="str">
        <f>IFERROR(VLOOKUP(DATE($K$1,$K$2,CPA$4),Table1[],(MATCH(Calendar!$A6,DB!1:1,0)+2),FALSE),"")</f>
        <v/>
      </c>
      <c r="CPB6" s="27" t="str">
        <f>IFERROR(VLOOKUP(DATE($K$1,$K$2,CPB$4),Table1[],(MATCH(Calendar!$A6,DB!1:1,0)+2),FALSE),"")</f>
        <v/>
      </c>
      <c r="CPC6" s="27" t="str">
        <f>IFERROR(VLOOKUP(DATE($K$1,$K$2,CPC$4),Table1[],(MATCH(Calendar!$A6,DB!1:1,0)+2),FALSE),"")</f>
        <v/>
      </c>
      <c r="CPD6" s="27" t="str">
        <f>IFERROR(VLOOKUP(DATE($K$1,$K$2,CPD$4),Table1[],(MATCH(Calendar!$A6,DB!1:1,0)+2),FALSE),"")</f>
        <v/>
      </c>
      <c r="CPE6" s="27" t="str">
        <f>IFERROR(VLOOKUP(DATE($K$1,$K$2,CPE$4),Table1[],(MATCH(Calendar!$A6,DB!1:1,0)+2),FALSE),"")</f>
        <v/>
      </c>
      <c r="CPF6" s="27" t="str">
        <f>IFERROR(VLOOKUP(DATE($K$1,$K$2,CPF$4),Table1[],(MATCH(Calendar!$A6,DB!1:1,0)+2),FALSE),"")</f>
        <v/>
      </c>
      <c r="CPG6" s="27" t="str">
        <f>IFERROR(VLOOKUP(DATE($K$1,$K$2,CPG$4),Table1[],(MATCH(Calendar!$A6,DB!1:1,0)+2),FALSE),"")</f>
        <v/>
      </c>
      <c r="CPH6" s="27" t="str">
        <f>IFERROR(VLOOKUP(DATE($K$1,$K$2,CPH$4),Table1[],(MATCH(Calendar!$A6,DB!1:1,0)+2),FALSE),"")</f>
        <v/>
      </c>
      <c r="CPI6" s="27" t="str">
        <f>IFERROR(VLOOKUP(DATE($K$1,$K$2,CPI$4),Table1[],(MATCH(Calendar!$A6,DB!1:1,0)+2),FALSE),"")</f>
        <v/>
      </c>
      <c r="CPJ6" s="27" t="str">
        <f>IFERROR(VLOOKUP(DATE($K$1,$K$2,CPJ$4),Table1[],(MATCH(Calendar!$A6,DB!1:1,0)+2),FALSE),"")</f>
        <v/>
      </c>
      <c r="CPK6" s="27" t="str">
        <f>IFERROR(VLOOKUP(DATE($K$1,$K$2,CPK$4),Table1[],(MATCH(Calendar!$A6,DB!1:1,0)+2),FALSE),"")</f>
        <v/>
      </c>
      <c r="CPL6" s="27" t="str">
        <f>IFERROR(VLOOKUP(DATE($K$1,$K$2,CPL$4),Table1[],(MATCH(Calendar!$A6,DB!1:1,0)+2),FALSE),"")</f>
        <v/>
      </c>
      <c r="CPM6" s="27" t="str">
        <f>IFERROR(VLOOKUP(DATE($K$1,$K$2,CPM$4),Table1[],(MATCH(Calendar!$A6,DB!1:1,0)+2),FALSE),"")</f>
        <v/>
      </c>
      <c r="CPN6" s="27" t="str">
        <f>IFERROR(VLOOKUP(DATE($K$1,$K$2,CPN$4),Table1[],(MATCH(Calendar!$A6,DB!1:1,0)+2),FALSE),"")</f>
        <v/>
      </c>
      <c r="CPO6" s="27" t="str">
        <f>IFERROR(VLOOKUP(DATE($K$1,$K$2,CPO$4),Table1[],(MATCH(Calendar!$A6,DB!1:1,0)+2),FALSE),"")</f>
        <v/>
      </c>
      <c r="CPP6" s="27" t="str">
        <f>IFERROR(VLOOKUP(DATE($K$1,$K$2,CPP$4),Table1[],(MATCH(Calendar!$A6,DB!1:1,0)+2),FALSE),"")</f>
        <v/>
      </c>
      <c r="CPQ6" s="27" t="str">
        <f>IFERROR(VLOOKUP(DATE($K$1,$K$2,CPQ$4),Table1[],(MATCH(Calendar!$A6,DB!1:1,0)+2),FALSE),"")</f>
        <v/>
      </c>
      <c r="CPR6" s="27" t="str">
        <f>IFERROR(VLOOKUP(DATE($K$1,$K$2,CPR$4),Table1[],(MATCH(Calendar!$A6,DB!1:1,0)+2),FALSE),"")</f>
        <v/>
      </c>
      <c r="CPS6" s="27" t="str">
        <f>IFERROR(VLOOKUP(DATE($K$1,$K$2,CPS$4),Table1[],(MATCH(Calendar!$A6,DB!1:1,0)+2),FALSE),"")</f>
        <v/>
      </c>
      <c r="CPT6" s="27" t="str">
        <f>IFERROR(VLOOKUP(DATE($K$1,$K$2,CPT$4),Table1[],(MATCH(Calendar!$A6,DB!1:1,0)+2),FALSE),"")</f>
        <v/>
      </c>
      <c r="CPU6" s="27" t="str">
        <f>IFERROR(VLOOKUP(DATE($K$1,$K$2,CPU$4),Table1[],(MATCH(Calendar!$A6,DB!1:1,0)+2),FALSE),"")</f>
        <v/>
      </c>
      <c r="CPV6" s="27" t="str">
        <f>IFERROR(VLOOKUP(DATE($K$1,$K$2,CPV$4),Table1[],(MATCH(Calendar!$A6,DB!1:1,0)+2),FALSE),"")</f>
        <v/>
      </c>
      <c r="CPW6" s="27" t="str">
        <f>IFERROR(VLOOKUP(DATE($K$1,$K$2,CPW$4),Table1[],(MATCH(Calendar!$A6,DB!1:1,0)+2),FALSE),"")</f>
        <v/>
      </c>
      <c r="CPX6" s="27" t="str">
        <f>IFERROR(VLOOKUP(DATE($K$1,$K$2,CPX$4),Table1[],(MATCH(Calendar!$A6,DB!1:1,0)+2),FALSE),"")</f>
        <v/>
      </c>
      <c r="CPY6" s="27" t="str">
        <f>IFERROR(VLOOKUP(DATE($K$1,$K$2,CPY$4),Table1[],(MATCH(Calendar!$A6,DB!1:1,0)+2),FALSE),"")</f>
        <v/>
      </c>
      <c r="CPZ6" s="27" t="str">
        <f>IFERROR(VLOOKUP(DATE($K$1,$K$2,CPZ$4),Table1[],(MATCH(Calendar!$A6,DB!1:1,0)+2),FALSE),"")</f>
        <v/>
      </c>
      <c r="CQA6" s="27" t="str">
        <f>IFERROR(VLOOKUP(DATE($K$1,$K$2,CQA$4),Table1[],(MATCH(Calendar!$A6,DB!1:1,0)+2),FALSE),"")</f>
        <v/>
      </c>
      <c r="CQB6" s="27" t="str">
        <f>IFERROR(VLOOKUP(DATE($K$1,$K$2,CQB$4),Table1[],(MATCH(Calendar!$A6,DB!1:1,0)+2),FALSE),"")</f>
        <v/>
      </c>
      <c r="CQC6" s="27" t="str">
        <f>IFERROR(VLOOKUP(DATE($K$1,$K$2,CQC$4),Table1[],(MATCH(Calendar!$A6,DB!1:1,0)+2),FALSE),"")</f>
        <v/>
      </c>
      <c r="CQD6" s="27" t="str">
        <f>IFERROR(VLOOKUP(DATE($K$1,$K$2,CQD$4),Table1[],(MATCH(Calendar!$A6,DB!1:1,0)+2),FALSE),"")</f>
        <v/>
      </c>
      <c r="CQE6" s="27" t="str">
        <f>IFERROR(VLOOKUP(DATE($K$1,$K$2,CQE$4),Table1[],(MATCH(Calendar!$A6,DB!1:1,0)+2),FALSE),"")</f>
        <v/>
      </c>
      <c r="CQF6" s="27" t="str">
        <f>IFERROR(VLOOKUP(DATE($K$1,$K$2,CQF$4),Table1[],(MATCH(Calendar!$A6,DB!1:1,0)+2),FALSE),"")</f>
        <v/>
      </c>
      <c r="CQG6" s="27" t="str">
        <f>IFERROR(VLOOKUP(DATE($K$1,$K$2,CQG$4),Table1[],(MATCH(Calendar!$A6,DB!1:1,0)+2),FALSE),"")</f>
        <v/>
      </c>
      <c r="CQH6" s="27" t="str">
        <f>IFERROR(VLOOKUP(DATE($K$1,$K$2,CQH$4),Table1[],(MATCH(Calendar!$A6,DB!1:1,0)+2),FALSE),"")</f>
        <v/>
      </c>
      <c r="CQI6" s="27" t="str">
        <f>IFERROR(VLOOKUP(DATE($K$1,$K$2,CQI$4),Table1[],(MATCH(Calendar!$A6,DB!1:1,0)+2),FALSE),"")</f>
        <v/>
      </c>
      <c r="CQJ6" s="27" t="str">
        <f>IFERROR(VLOOKUP(DATE($K$1,$K$2,CQJ$4),Table1[],(MATCH(Calendar!$A6,DB!1:1,0)+2),FALSE),"")</f>
        <v/>
      </c>
      <c r="CQK6" s="27" t="str">
        <f>IFERROR(VLOOKUP(DATE($K$1,$K$2,CQK$4),Table1[],(MATCH(Calendar!$A6,DB!1:1,0)+2),FALSE),"")</f>
        <v/>
      </c>
      <c r="CQL6" s="27" t="str">
        <f>IFERROR(VLOOKUP(DATE($K$1,$K$2,CQL$4),Table1[],(MATCH(Calendar!$A6,DB!1:1,0)+2),FALSE),"")</f>
        <v/>
      </c>
      <c r="CQM6" s="27" t="str">
        <f>IFERROR(VLOOKUP(DATE($K$1,$K$2,CQM$4),Table1[],(MATCH(Calendar!$A6,DB!1:1,0)+2),FALSE),"")</f>
        <v/>
      </c>
      <c r="CQN6" s="27" t="str">
        <f>IFERROR(VLOOKUP(DATE($K$1,$K$2,CQN$4),Table1[],(MATCH(Calendar!$A6,DB!1:1,0)+2),FALSE),"")</f>
        <v/>
      </c>
      <c r="CQO6" s="27" t="str">
        <f>IFERROR(VLOOKUP(DATE($K$1,$K$2,CQO$4),Table1[],(MATCH(Calendar!$A6,DB!1:1,0)+2),FALSE),"")</f>
        <v/>
      </c>
      <c r="CQP6" s="27" t="str">
        <f>IFERROR(VLOOKUP(DATE($K$1,$K$2,CQP$4),Table1[],(MATCH(Calendar!$A6,DB!1:1,0)+2),FALSE),"")</f>
        <v/>
      </c>
      <c r="CQQ6" s="27" t="str">
        <f>IFERROR(VLOOKUP(DATE($K$1,$K$2,CQQ$4),Table1[],(MATCH(Calendar!$A6,DB!1:1,0)+2),FALSE),"")</f>
        <v/>
      </c>
      <c r="CQR6" s="27" t="str">
        <f>IFERROR(VLOOKUP(DATE($K$1,$K$2,CQR$4),Table1[],(MATCH(Calendar!$A6,DB!1:1,0)+2),FALSE),"")</f>
        <v/>
      </c>
      <c r="CQS6" s="27" t="str">
        <f>IFERROR(VLOOKUP(DATE($K$1,$K$2,CQS$4),Table1[],(MATCH(Calendar!$A6,DB!1:1,0)+2),FALSE),"")</f>
        <v/>
      </c>
      <c r="CQT6" s="27" t="str">
        <f>IFERROR(VLOOKUP(DATE($K$1,$K$2,CQT$4),Table1[],(MATCH(Calendar!$A6,DB!1:1,0)+2),FALSE),"")</f>
        <v/>
      </c>
      <c r="CQU6" s="27" t="str">
        <f>IFERROR(VLOOKUP(DATE($K$1,$K$2,CQU$4),Table1[],(MATCH(Calendar!$A6,DB!1:1,0)+2),FALSE),"")</f>
        <v/>
      </c>
      <c r="CQV6" s="27" t="str">
        <f>IFERROR(VLOOKUP(DATE($K$1,$K$2,CQV$4),Table1[],(MATCH(Calendar!$A6,DB!1:1,0)+2),FALSE),"")</f>
        <v/>
      </c>
      <c r="CQW6" s="27" t="str">
        <f>IFERROR(VLOOKUP(DATE($K$1,$K$2,CQW$4),Table1[],(MATCH(Calendar!$A6,DB!1:1,0)+2),FALSE),"")</f>
        <v/>
      </c>
      <c r="CQX6" s="27" t="str">
        <f>IFERROR(VLOOKUP(DATE($K$1,$K$2,CQX$4),Table1[],(MATCH(Calendar!$A6,DB!1:1,0)+2),FALSE),"")</f>
        <v/>
      </c>
      <c r="CQY6" s="27" t="str">
        <f>IFERROR(VLOOKUP(DATE($K$1,$K$2,CQY$4),Table1[],(MATCH(Calendar!$A6,DB!1:1,0)+2),FALSE),"")</f>
        <v/>
      </c>
      <c r="CQZ6" s="27" t="str">
        <f>IFERROR(VLOOKUP(DATE($K$1,$K$2,CQZ$4),Table1[],(MATCH(Calendar!$A6,DB!1:1,0)+2),FALSE),"")</f>
        <v/>
      </c>
      <c r="CRA6" s="27" t="str">
        <f>IFERROR(VLOOKUP(DATE($K$1,$K$2,CRA$4),Table1[],(MATCH(Calendar!$A6,DB!1:1,0)+2),FALSE),"")</f>
        <v/>
      </c>
      <c r="CRB6" s="27" t="str">
        <f>IFERROR(VLOOKUP(DATE($K$1,$K$2,CRB$4),Table1[],(MATCH(Calendar!$A6,DB!1:1,0)+2),FALSE),"")</f>
        <v/>
      </c>
      <c r="CRC6" s="27" t="str">
        <f>IFERROR(VLOOKUP(DATE($K$1,$K$2,CRC$4),Table1[],(MATCH(Calendar!$A6,DB!1:1,0)+2),FALSE),"")</f>
        <v/>
      </c>
      <c r="CRD6" s="27" t="str">
        <f>IFERROR(VLOOKUP(DATE($K$1,$K$2,CRD$4),Table1[],(MATCH(Calendar!$A6,DB!1:1,0)+2),FALSE),"")</f>
        <v/>
      </c>
      <c r="CRE6" s="27" t="str">
        <f>IFERROR(VLOOKUP(DATE($K$1,$K$2,CRE$4),Table1[],(MATCH(Calendar!$A6,DB!1:1,0)+2),FALSE),"")</f>
        <v/>
      </c>
      <c r="CRF6" s="27" t="str">
        <f>IFERROR(VLOOKUP(DATE($K$1,$K$2,CRF$4),Table1[],(MATCH(Calendar!$A6,DB!1:1,0)+2),FALSE),"")</f>
        <v/>
      </c>
      <c r="CRG6" s="27" t="str">
        <f>IFERROR(VLOOKUP(DATE($K$1,$K$2,CRG$4),Table1[],(MATCH(Calendar!$A6,DB!1:1,0)+2),FALSE),"")</f>
        <v/>
      </c>
      <c r="CRH6" s="27" t="str">
        <f>IFERROR(VLOOKUP(DATE($K$1,$K$2,CRH$4),Table1[],(MATCH(Calendar!$A6,DB!1:1,0)+2),FALSE),"")</f>
        <v/>
      </c>
      <c r="CRI6" s="27" t="str">
        <f>IFERROR(VLOOKUP(DATE($K$1,$K$2,CRI$4),Table1[],(MATCH(Calendar!$A6,DB!1:1,0)+2),FALSE),"")</f>
        <v/>
      </c>
      <c r="CRJ6" s="27" t="str">
        <f>IFERROR(VLOOKUP(DATE($K$1,$K$2,CRJ$4),Table1[],(MATCH(Calendar!$A6,DB!1:1,0)+2),FALSE),"")</f>
        <v/>
      </c>
      <c r="CRK6" s="27" t="str">
        <f>IFERROR(VLOOKUP(DATE($K$1,$K$2,CRK$4),Table1[],(MATCH(Calendar!$A6,DB!1:1,0)+2),FALSE),"")</f>
        <v/>
      </c>
      <c r="CRL6" s="27" t="str">
        <f>IFERROR(VLOOKUP(DATE($K$1,$K$2,CRL$4),Table1[],(MATCH(Calendar!$A6,DB!1:1,0)+2),FALSE),"")</f>
        <v/>
      </c>
      <c r="CRM6" s="27" t="str">
        <f>IFERROR(VLOOKUP(DATE($K$1,$K$2,CRM$4),Table1[],(MATCH(Calendar!$A6,DB!1:1,0)+2),FALSE),"")</f>
        <v/>
      </c>
      <c r="CRN6" s="27" t="str">
        <f>IFERROR(VLOOKUP(DATE($K$1,$K$2,CRN$4),Table1[],(MATCH(Calendar!$A6,DB!1:1,0)+2),FALSE),"")</f>
        <v/>
      </c>
      <c r="CRO6" s="27" t="str">
        <f>IFERROR(VLOOKUP(DATE($K$1,$K$2,CRO$4),Table1[],(MATCH(Calendar!$A6,DB!1:1,0)+2),FALSE),"")</f>
        <v/>
      </c>
      <c r="CRP6" s="27" t="str">
        <f>IFERROR(VLOOKUP(DATE($K$1,$K$2,CRP$4),Table1[],(MATCH(Calendar!$A6,DB!1:1,0)+2),FALSE),"")</f>
        <v/>
      </c>
      <c r="CRQ6" s="27" t="str">
        <f>IFERROR(VLOOKUP(DATE($K$1,$K$2,CRQ$4),Table1[],(MATCH(Calendar!$A6,DB!1:1,0)+2),FALSE),"")</f>
        <v/>
      </c>
      <c r="CRR6" s="27" t="str">
        <f>IFERROR(VLOOKUP(DATE($K$1,$K$2,CRR$4),Table1[],(MATCH(Calendar!$A6,DB!1:1,0)+2),FALSE),"")</f>
        <v/>
      </c>
      <c r="CRS6" s="27" t="str">
        <f>IFERROR(VLOOKUP(DATE($K$1,$K$2,CRS$4),Table1[],(MATCH(Calendar!$A6,DB!1:1,0)+2),FALSE),"")</f>
        <v/>
      </c>
      <c r="CRT6" s="27" t="str">
        <f>IFERROR(VLOOKUP(DATE($K$1,$K$2,CRT$4),Table1[],(MATCH(Calendar!$A6,DB!1:1,0)+2),FALSE),"")</f>
        <v/>
      </c>
      <c r="CRU6" s="27" t="str">
        <f>IFERROR(VLOOKUP(DATE($K$1,$K$2,CRU$4),Table1[],(MATCH(Calendar!$A6,DB!1:1,0)+2),FALSE),"")</f>
        <v/>
      </c>
      <c r="CRV6" s="27" t="str">
        <f>IFERROR(VLOOKUP(DATE($K$1,$K$2,CRV$4),Table1[],(MATCH(Calendar!$A6,DB!1:1,0)+2),FALSE),"")</f>
        <v/>
      </c>
      <c r="CRW6" s="27" t="str">
        <f>IFERROR(VLOOKUP(DATE($K$1,$K$2,CRW$4),Table1[],(MATCH(Calendar!$A6,DB!1:1,0)+2),FALSE),"")</f>
        <v/>
      </c>
      <c r="CRX6" s="27" t="str">
        <f>IFERROR(VLOOKUP(DATE($K$1,$K$2,CRX$4),Table1[],(MATCH(Calendar!$A6,DB!1:1,0)+2),FALSE),"")</f>
        <v/>
      </c>
      <c r="CRY6" s="27" t="str">
        <f>IFERROR(VLOOKUP(DATE($K$1,$K$2,CRY$4),Table1[],(MATCH(Calendar!$A6,DB!1:1,0)+2),FALSE),"")</f>
        <v/>
      </c>
      <c r="CRZ6" s="27" t="str">
        <f>IFERROR(VLOOKUP(DATE($K$1,$K$2,CRZ$4),Table1[],(MATCH(Calendar!$A6,DB!1:1,0)+2),FALSE),"")</f>
        <v/>
      </c>
      <c r="CSA6" s="27" t="str">
        <f>IFERROR(VLOOKUP(DATE($K$1,$K$2,CSA$4),Table1[],(MATCH(Calendar!$A6,DB!1:1,0)+2),FALSE),"")</f>
        <v/>
      </c>
      <c r="CSB6" s="27" t="str">
        <f>IFERROR(VLOOKUP(DATE($K$1,$K$2,CSB$4),Table1[],(MATCH(Calendar!$A6,DB!1:1,0)+2),FALSE),"")</f>
        <v/>
      </c>
      <c r="CSC6" s="27" t="str">
        <f>IFERROR(VLOOKUP(DATE($K$1,$K$2,CSC$4),Table1[],(MATCH(Calendar!$A6,DB!1:1,0)+2),FALSE),"")</f>
        <v/>
      </c>
      <c r="CSD6" s="27" t="str">
        <f>IFERROR(VLOOKUP(DATE($K$1,$K$2,CSD$4),Table1[],(MATCH(Calendar!$A6,DB!1:1,0)+2),FALSE),"")</f>
        <v/>
      </c>
      <c r="CSE6" s="27" t="str">
        <f>IFERROR(VLOOKUP(DATE($K$1,$K$2,CSE$4),Table1[],(MATCH(Calendar!$A6,DB!1:1,0)+2),FALSE),"")</f>
        <v/>
      </c>
      <c r="CSF6" s="27" t="str">
        <f>IFERROR(VLOOKUP(DATE($K$1,$K$2,CSF$4),Table1[],(MATCH(Calendar!$A6,DB!1:1,0)+2),FALSE),"")</f>
        <v/>
      </c>
      <c r="CSG6" s="27" t="str">
        <f>IFERROR(VLOOKUP(DATE($K$1,$K$2,CSG$4),Table1[],(MATCH(Calendar!$A6,DB!1:1,0)+2),FALSE),"")</f>
        <v/>
      </c>
      <c r="CSH6" s="27" t="str">
        <f>IFERROR(VLOOKUP(DATE($K$1,$K$2,CSH$4),Table1[],(MATCH(Calendar!$A6,DB!1:1,0)+2),FALSE),"")</f>
        <v/>
      </c>
      <c r="CSI6" s="27" t="str">
        <f>IFERROR(VLOOKUP(DATE($K$1,$K$2,CSI$4),Table1[],(MATCH(Calendar!$A6,DB!1:1,0)+2),FALSE),"")</f>
        <v/>
      </c>
      <c r="CSJ6" s="27" t="str">
        <f>IFERROR(VLOOKUP(DATE($K$1,$K$2,CSJ$4),Table1[],(MATCH(Calendar!$A6,DB!1:1,0)+2),FALSE),"")</f>
        <v/>
      </c>
      <c r="CSK6" s="27" t="str">
        <f>IFERROR(VLOOKUP(DATE($K$1,$K$2,CSK$4),Table1[],(MATCH(Calendar!$A6,DB!1:1,0)+2),FALSE),"")</f>
        <v/>
      </c>
      <c r="CSL6" s="27" t="str">
        <f>IFERROR(VLOOKUP(DATE($K$1,$K$2,CSL$4),Table1[],(MATCH(Calendar!$A6,DB!1:1,0)+2),FALSE),"")</f>
        <v/>
      </c>
      <c r="CSM6" s="27" t="str">
        <f>IFERROR(VLOOKUP(DATE($K$1,$K$2,CSM$4),Table1[],(MATCH(Calendar!$A6,DB!1:1,0)+2),FALSE),"")</f>
        <v/>
      </c>
      <c r="CSN6" s="27" t="str">
        <f>IFERROR(VLOOKUP(DATE($K$1,$K$2,CSN$4),Table1[],(MATCH(Calendar!$A6,DB!1:1,0)+2),FALSE),"")</f>
        <v/>
      </c>
      <c r="CSO6" s="27" t="str">
        <f>IFERROR(VLOOKUP(DATE($K$1,$K$2,CSO$4),Table1[],(MATCH(Calendar!$A6,DB!1:1,0)+2),FALSE),"")</f>
        <v/>
      </c>
      <c r="CSP6" s="27" t="str">
        <f>IFERROR(VLOOKUP(DATE($K$1,$K$2,CSP$4),Table1[],(MATCH(Calendar!$A6,DB!1:1,0)+2),FALSE),"")</f>
        <v/>
      </c>
      <c r="CSQ6" s="27" t="str">
        <f>IFERROR(VLOOKUP(DATE($K$1,$K$2,CSQ$4),Table1[],(MATCH(Calendar!$A6,DB!1:1,0)+2),FALSE),"")</f>
        <v/>
      </c>
      <c r="CSR6" s="27" t="str">
        <f>IFERROR(VLOOKUP(DATE($K$1,$K$2,CSR$4),Table1[],(MATCH(Calendar!$A6,DB!1:1,0)+2),FALSE),"")</f>
        <v/>
      </c>
      <c r="CSS6" s="27" t="str">
        <f>IFERROR(VLOOKUP(DATE($K$1,$K$2,CSS$4),Table1[],(MATCH(Calendar!$A6,DB!1:1,0)+2),FALSE),"")</f>
        <v/>
      </c>
      <c r="CST6" s="27" t="str">
        <f>IFERROR(VLOOKUP(DATE($K$1,$K$2,CST$4),Table1[],(MATCH(Calendar!$A6,DB!1:1,0)+2),FALSE),"")</f>
        <v/>
      </c>
      <c r="CSU6" s="27" t="str">
        <f>IFERROR(VLOOKUP(DATE($K$1,$K$2,CSU$4),Table1[],(MATCH(Calendar!$A6,DB!1:1,0)+2),FALSE),"")</f>
        <v/>
      </c>
      <c r="CSV6" s="27" t="str">
        <f>IFERROR(VLOOKUP(DATE($K$1,$K$2,CSV$4),Table1[],(MATCH(Calendar!$A6,DB!1:1,0)+2),FALSE),"")</f>
        <v/>
      </c>
      <c r="CSW6" s="27" t="str">
        <f>IFERROR(VLOOKUP(DATE($K$1,$K$2,CSW$4),Table1[],(MATCH(Calendar!$A6,DB!1:1,0)+2),FALSE),"")</f>
        <v/>
      </c>
      <c r="CSX6" s="27" t="str">
        <f>IFERROR(VLOOKUP(DATE($K$1,$K$2,CSX$4),Table1[],(MATCH(Calendar!$A6,DB!1:1,0)+2),FALSE),"")</f>
        <v/>
      </c>
      <c r="CSY6" s="27" t="str">
        <f>IFERROR(VLOOKUP(DATE($K$1,$K$2,CSY$4),Table1[],(MATCH(Calendar!$A6,DB!1:1,0)+2),FALSE),"")</f>
        <v/>
      </c>
      <c r="CSZ6" s="27" t="str">
        <f>IFERROR(VLOOKUP(DATE($K$1,$K$2,CSZ$4),Table1[],(MATCH(Calendar!$A6,DB!1:1,0)+2),FALSE),"")</f>
        <v/>
      </c>
      <c r="CTA6" s="27" t="str">
        <f>IFERROR(VLOOKUP(DATE($K$1,$K$2,CTA$4),Table1[],(MATCH(Calendar!$A6,DB!1:1,0)+2),FALSE),"")</f>
        <v/>
      </c>
      <c r="CTB6" s="27" t="str">
        <f>IFERROR(VLOOKUP(DATE($K$1,$K$2,CTB$4),Table1[],(MATCH(Calendar!$A6,DB!1:1,0)+2),FALSE),"")</f>
        <v/>
      </c>
      <c r="CTC6" s="27" t="str">
        <f>IFERROR(VLOOKUP(DATE($K$1,$K$2,CTC$4),Table1[],(MATCH(Calendar!$A6,DB!1:1,0)+2),FALSE),"")</f>
        <v/>
      </c>
      <c r="CTD6" s="27" t="str">
        <f>IFERROR(VLOOKUP(DATE($K$1,$K$2,CTD$4),Table1[],(MATCH(Calendar!$A6,DB!1:1,0)+2),FALSE),"")</f>
        <v/>
      </c>
      <c r="CTE6" s="27" t="str">
        <f>IFERROR(VLOOKUP(DATE($K$1,$K$2,CTE$4),Table1[],(MATCH(Calendar!$A6,DB!1:1,0)+2),FALSE),"")</f>
        <v/>
      </c>
      <c r="CTF6" s="27" t="str">
        <f>IFERROR(VLOOKUP(DATE($K$1,$K$2,CTF$4),Table1[],(MATCH(Calendar!$A6,DB!1:1,0)+2),FALSE),"")</f>
        <v/>
      </c>
      <c r="CTG6" s="27" t="str">
        <f>IFERROR(VLOOKUP(DATE($K$1,$K$2,CTG$4),Table1[],(MATCH(Calendar!$A6,DB!1:1,0)+2),FALSE),"")</f>
        <v/>
      </c>
      <c r="CTH6" s="27" t="str">
        <f>IFERROR(VLOOKUP(DATE($K$1,$K$2,CTH$4),Table1[],(MATCH(Calendar!$A6,DB!1:1,0)+2),FALSE),"")</f>
        <v/>
      </c>
      <c r="CTI6" s="27" t="str">
        <f>IFERROR(VLOOKUP(DATE($K$1,$K$2,CTI$4),Table1[],(MATCH(Calendar!$A6,DB!1:1,0)+2),FALSE),"")</f>
        <v/>
      </c>
      <c r="CTJ6" s="27" t="str">
        <f>IFERROR(VLOOKUP(DATE($K$1,$K$2,CTJ$4),Table1[],(MATCH(Calendar!$A6,DB!1:1,0)+2),FALSE),"")</f>
        <v/>
      </c>
      <c r="CTK6" s="27" t="str">
        <f>IFERROR(VLOOKUP(DATE($K$1,$K$2,CTK$4),Table1[],(MATCH(Calendar!$A6,DB!1:1,0)+2),FALSE),"")</f>
        <v/>
      </c>
      <c r="CTL6" s="27" t="str">
        <f>IFERROR(VLOOKUP(DATE($K$1,$K$2,CTL$4),Table1[],(MATCH(Calendar!$A6,DB!1:1,0)+2),FALSE),"")</f>
        <v/>
      </c>
      <c r="CTM6" s="27" t="str">
        <f>IFERROR(VLOOKUP(DATE($K$1,$K$2,CTM$4),Table1[],(MATCH(Calendar!$A6,DB!1:1,0)+2),FALSE),"")</f>
        <v/>
      </c>
      <c r="CTN6" s="27" t="str">
        <f>IFERROR(VLOOKUP(DATE($K$1,$K$2,CTN$4),Table1[],(MATCH(Calendar!$A6,DB!1:1,0)+2),FALSE),"")</f>
        <v/>
      </c>
      <c r="CTO6" s="27" t="str">
        <f>IFERROR(VLOOKUP(DATE($K$1,$K$2,CTO$4),Table1[],(MATCH(Calendar!$A6,DB!1:1,0)+2),FALSE),"")</f>
        <v/>
      </c>
      <c r="CTP6" s="27" t="str">
        <f>IFERROR(VLOOKUP(DATE($K$1,$K$2,CTP$4),Table1[],(MATCH(Calendar!$A6,DB!1:1,0)+2),FALSE),"")</f>
        <v/>
      </c>
      <c r="CTQ6" s="27" t="str">
        <f>IFERROR(VLOOKUP(DATE($K$1,$K$2,CTQ$4),Table1[],(MATCH(Calendar!$A6,DB!1:1,0)+2),FALSE),"")</f>
        <v/>
      </c>
      <c r="CTR6" s="27" t="str">
        <f>IFERROR(VLOOKUP(DATE($K$1,$K$2,CTR$4),Table1[],(MATCH(Calendar!$A6,DB!1:1,0)+2),FALSE),"")</f>
        <v/>
      </c>
      <c r="CTS6" s="27" t="str">
        <f>IFERROR(VLOOKUP(DATE($K$1,$K$2,CTS$4),Table1[],(MATCH(Calendar!$A6,DB!1:1,0)+2),FALSE),"")</f>
        <v/>
      </c>
      <c r="CTT6" s="27" t="str">
        <f>IFERROR(VLOOKUP(DATE($K$1,$K$2,CTT$4),Table1[],(MATCH(Calendar!$A6,DB!1:1,0)+2),FALSE),"")</f>
        <v/>
      </c>
      <c r="CTU6" s="27" t="str">
        <f>IFERROR(VLOOKUP(DATE($K$1,$K$2,CTU$4),Table1[],(MATCH(Calendar!$A6,DB!1:1,0)+2),FALSE),"")</f>
        <v/>
      </c>
      <c r="CTV6" s="27" t="str">
        <f>IFERROR(VLOOKUP(DATE($K$1,$K$2,CTV$4),Table1[],(MATCH(Calendar!$A6,DB!1:1,0)+2),FALSE),"")</f>
        <v/>
      </c>
      <c r="CTW6" s="27" t="str">
        <f>IFERROR(VLOOKUP(DATE($K$1,$K$2,CTW$4),Table1[],(MATCH(Calendar!$A6,DB!1:1,0)+2),FALSE),"")</f>
        <v/>
      </c>
      <c r="CTX6" s="27" t="str">
        <f>IFERROR(VLOOKUP(DATE($K$1,$K$2,CTX$4),Table1[],(MATCH(Calendar!$A6,DB!1:1,0)+2),FALSE),"")</f>
        <v/>
      </c>
      <c r="CTY6" s="27" t="str">
        <f>IFERROR(VLOOKUP(DATE($K$1,$K$2,CTY$4),Table1[],(MATCH(Calendar!$A6,DB!1:1,0)+2),FALSE),"")</f>
        <v/>
      </c>
      <c r="CTZ6" s="27" t="str">
        <f>IFERROR(VLOOKUP(DATE($K$1,$K$2,CTZ$4),Table1[],(MATCH(Calendar!$A6,DB!1:1,0)+2),FALSE),"")</f>
        <v/>
      </c>
      <c r="CUA6" s="27" t="str">
        <f>IFERROR(VLOOKUP(DATE($K$1,$K$2,CUA$4),Table1[],(MATCH(Calendar!$A6,DB!1:1,0)+2),FALSE),"")</f>
        <v/>
      </c>
      <c r="CUB6" s="27" t="str">
        <f>IFERROR(VLOOKUP(DATE($K$1,$K$2,CUB$4),Table1[],(MATCH(Calendar!$A6,DB!1:1,0)+2),FALSE),"")</f>
        <v/>
      </c>
      <c r="CUC6" s="27" t="str">
        <f>IFERROR(VLOOKUP(DATE($K$1,$K$2,CUC$4),Table1[],(MATCH(Calendar!$A6,DB!1:1,0)+2),FALSE),"")</f>
        <v/>
      </c>
      <c r="CUD6" s="27" t="str">
        <f>IFERROR(VLOOKUP(DATE($K$1,$K$2,CUD$4),Table1[],(MATCH(Calendar!$A6,DB!1:1,0)+2),FALSE),"")</f>
        <v/>
      </c>
      <c r="CUE6" s="27" t="str">
        <f>IFERROR(VLOOKUP(DATE($K$1,$K$2,CUE$4),Table1[],(MATCH(Calendar!$A6,DB!1:1,0)+2),FALSE),"")</f>
        <v/>
      </c>
      <c r="CUF6" s="27" t="str">
        <f>IFERROR(VLOOKUP(DATE($K$1,$K$2,CUF$4),Table1[],(MATCH(Calendar!$A6,DB!1:1,0)+2),FALSE),"")</f>
        <v/>
      </c>
      <c r="CUG6" s="27" t="str">
        <f>IFERROR(VLOOKUP(DATE($K$1,$K$2,CUG$4),Table1[],(MATCH(Calendar!$A6,DB!1:1,0)+2),FALSE),"")</f>
        <v/>
      </c>
      <c r="CUH6" s="27" t="str">
        <f>IFERROR(VLOOKUP(DATE($K$1,$K$2,CUH$4),Table1[],(MATCH(Calendar!$A6,DB!1:1,0)+2),FALSE),"")</f>
        <v/>
      </c>
      <c r="CUI6" s="27" t="str">
        <f>IFERROR(VLOOKUP(DATE($K$1,$K$2,CUI$4),Table1[],(MATCH(Calendar!$A6,DB!1:1,0)+2),FALSE),"")</f>
        <v/>
      </c>
      <c r="CUJ6" s="27" t="str">
        <f>IFERROR(VLOOKUP(DATE($K$1,$K$2,CUJ$4),Table1[],(MATCH(Calendar!$A6,DB!1:1,0)+2),FALSE),"")</f>
        <v/>
      </c>
      <c r="CUK6" s="27" t="str">
        <f>IFERROR(VLOOKUP(DATE($K$1,$K$2,CUK$4),Table1[],(MATCH(Calendar!$A6,DB!1:1,0)+2),FALSE),"")</f>
        <v/>
      </c>
      <c r="CUL6" s="27" t="str">
        <f>IFERROR(VLOOKUP(DATE($K$1,$K$2,CUL$4),Table1[],(MATCH(Calendar!$A6,DB!1:1,0)+2),FALSE),"")</f>
        <v/>
      </c>
      <c r="CUM6" s="27" t="str">
        <f>IFERROR(VLOOKUP(DATE($K$1,$K$2,CUM$4),Table1[],(MATCH(Calendar!$A6,DB!1:1,0)+2),FALSE),"")</f>
        <v/>
      </c>
      <c r="CUN6" s="27" t="str">
        <f>IFERROR(VLOOKUP(DATE($K$1,$K$2,CUN$4),Table1[],(MATCH(Calendar!$A6,DB!1:1,0)+2),FALSE),"")</f>
        <v/>
      </c>
      <c r="CUO6" s="27" t="str">
        <f>IFERROR(VLOOKUP(DATE($K$1,$K$2,CUO$4),Table1[],(MATCH(Calendar!$A6,DB!1:1,0)+2),FALSE),"")</f>
        <v/>
      </c>
      <c r="CUP6" s="27" t="str">
        <f>IFERROR(VLOOKUP(DATE($K$1,$K$2,CUP$4),Table1[],(MATCH(Calendar!$A6,DB!1:1,0)+2),FALSE),"")</f>
        <v/>
      </c>
      <c r="CUQ6" s="27" t="str">
        <f>IFERROR(VLOOKUP(DATE($K$1,$K$2,CUQ$4),Table1[],(MATCH(Calendar!$A6,DB!1:1,0)+2),FALSE),"")</f>
        <v/>
      </c>
      <c r="CUR6" s="27" t="str">
        <f>IFERROR(VLOOKUP(DATE($K$1,$K$2,CUR$4),Table1[],(MATCH(Calendar!$A6,DB!1:1,0)+2),FALSE),"")</f>
        <v/>
      </c>
      <c r="CUS6" s="27" t="str">
        <f>IFERROR(VLOOKUP(DATE($K$1,$K$2,CUS$4),Table1[],(MATCH(Calendar!$A6,DB!1:1,0)+2),FALSE),"")</f>
        <v/>
      </c>
      <c r="CUT6" s="27" t="str">
        <f>IFERROR(VLOOKUP(DATE($K$1,$K$2,CUT$4),Table1[],(MATCH(Calendar!$A6,DB!1:1,0)+2),FALSE),"")</f>
        <v/>
      </c>
      <c r="CUU6" s="27" t="str">
        <f>IFERROR(VLOOKUP(DATE($K$1,$K$2,CUU$4),Table1[],(MATCH(Calendar!$A6,DB!1:1,0)+2),FALSE),"")</f>
        <v/>
      </c>
      <c r="CUV6" s="27" t="str">
        <f>IFERROR(VLOOKUP(DATE($K$1,$K$2,CUV$4),Table1[],(MATCH(Calendar!$A6,DB!1:1,0)+2),FALSE),"")</f>
        <v/>
      </c>
      <c r="CUW6" s="27" t="str">
        <f>IFERROR(VLOOKUP(DATE($K$1,$K$2,CUW$4),Table1[],(MATCH(Calendar!$A6,DB!1:1,0)+2),FALSE),"")</f>
        <v/>
      </c>
      <c r="CUX6" s="27" t="str">
        <f>IFERROR(VLOOKUP(DATE($K$1,$K$2,CUX$4),Table1[],(MATCH(Calendar!$A6,DB!1:1,0)+2),FALSE),"")</f>
        <v/>
      </c>
      <c r="CUY6" s="27" t="str">
        <f>IFERROR(VLOOKUP(DATE($K$1,$K$2,CUY$4),Table1[],(MATCH(Calendar!$A6,DB!1:1,0)+2),FALSE),"")</f>
        <v/>
      </c>
      <c r="CUZ6" s="27" t="str">
        <f>IFERROR(VLOOKUP(DATE($K$1,$K$2,CUZ$4),Table1[],(MATCH(Calendar!$A6,DB!1:1,0)+2),FALSE),"")</f>
        <v/>
      </c>
      <c r="CVA6" s="27" t="str">
        <f>IFERROR(VLOOKUP(DATE($K$1,$K$2,CVA$4),Table1[],(MATCH(Calendar!$A6,DB!1:1,0)+2),FALSE),"")</f>
        <v/>
      </c>
      <c r="CVB6" s="27" t="str">
        <f>IFERROR(VLOOKUP(DATE($K$1,$K$2,CVB$4),Table1[],(MATCH(Calendar!$A6,DB!1:1,0)+2),FALSE),"")</f>
        <v/>
      </c>
      <c r="CVC6" s="27" t="str">
        <f>IFERROR(VLOOKUP(DATE($K$1,$K$2,CVC$4),Table1[],(MATCH(Calendar!$A6,DB!1:1,0)+2),FALSE),"")</f>
        <v/>
      </c>
      <c r="CVD6" s="27" t="str">
        <f>IFERROR(VLOOKUP(DATE($K$1,$K$2,CVD$4),Table1[],(MATCH(Calendar!$A6,DB!1:1,0)+2),FALSE),"")</f>
        <v/>
      </c>
      <c r="CVE6" s="27" t="str">
        <f>IFERROR(VLOOKUP(DATE($K$1,$K$2,CVE$4),Table1[],(MATCH(Calendar!$A6,DB!1:1,0)+2),FALSE),"")</f>
        <v/>
      </c>
      <c r="CVF6" s="27" t="str">
        <f>IFERROR(VLOOKUP(DATE($K$1,$K$2,CVF$4),Table1[],(MATCH(Calendar!$A6,DB!1:1,0)+2),FALSE),"")</f>
        <v/>
      </c>
      <c r="CVG6" s="27" t="str">
        <f>IFERROR(VLOOKUP(DATE($K$1,$K$2,CVG$4),Table1[],(MATCH(Calendar!$A6,DB!1:1,0)+2),FALSE),"")</f>
        <v/>
      </c>
      <c r="CVH6" s="27" t="str">
        <f>IFERROR(VLOOKUP(DATE($K$1,$K$2,CVH$4),Table1[],(MATCH(Calendar!$A6,DB!1:1,0)+2),FALSE),"")</f>
        <v/>
      </c>
      <c r="CVI6" s="27" t="str">
        <f>IFERROR(VLOOKUP(DATE($K$1,$K$2,CVI$4),Table1[],(MATCH(Calendar!$A6,DB!1:1,0)+2),FALSE),"")</f>
        <v/>
      </c>
      <c r="CVJ6" s="27" t="str">
        <f>IFERROR(VLOOKUP(DATE($K$1,$K$2,CVJ$4),Table1[],(MATCH(Calendar!$A6,DB!1:1,0)+2),FALSE),"")</f>
        <v/>
      </c>
      <c r="CVK6" s="27" t="str">
        <f>IFERROR(VLOOKUP(DATE($K$1,$K$2,CVK$4),Table1[],(MATCH(Calendar!$A6,DB!1:1,0)+2),FALSE),"")</f>
        <v/>
      </c>
      <c r="CVL6" s="27" t="str">
        <f>IFERROR(VLOOKUP(DATE($K$1,$K$2,CVL$4),Table1[],(MATCH(Calendar!$A6,DB!1:1,0)+2),FALSE),"")</f>
        <v/>
      </c>
      <c r="CVM6" s="27" t="str">
        <f>IFERROR(VLOOKUP(DATE($K$1,$K$2,CVM$4),Table1[],(MATCH(Calendar!$A6,DB!1:1,0)+2),FALSE),"")</f>
        <v/>
      </c>
      <c r="CVN6" s="27" t="str">
        <f>IFERROR(VLOOKUP(DATE($K$1,$K$2,CVN$4),Table1[],(MATCH(Calendar!$A6,DB!1:1,0)+2),FALSE),"")</f>
        <v/>
      </c>
      <c r="CVO6" s="27" t="str">
        <f>IFERROR(VLOOKUP(DATE($K$1,$K$2,CVO$4),Table1[],(MATCH(Calendar!$A6,DB!1:1,0)+2),FALSE),"")</f>
        <v/>
      </c>
      <c r="CVP6" s="27" t="str">
        <f>IFERROR(VLOOKUP(DATE($K$1,$K$2,CVP$4),Table1[],(MATCH(Calendar!$A6,DB!1:1,0)+2),FALSE),"")</f>
        <v/>
      </c>
      <c r="CVQ6" s="27" t="str">
        <f>IFERROR(VLOOKUP(DATE($K$1,$K$2,CVQ$4),Table1[],(MATCH(Calendar!$A6,DB!1:1,0)+2),FALSE),"")</f>
        <v/>
      </c>
      <c r="CVR6" s="27" t="str">
        <f>IFERROR(VLOOKUP(DATE($K$1,$K$2,CVR$4),Table1[],(MATCH(Calendar!$A6,DB!1:1,0)+2),FALSE),"")</f>
        <v/>
      </c>
      <c r="CVS6" s="27" t="str">
        <f>IFERROR(VLOOKUP(DATE($K$1,$K$2,CVS$4),Table1[],(MATCH(Calendar!$A6,DB!1:1,0)+2),FALSE),"")</f>
        <v/>
      </c>
      <c r="CVT6" s="27" t="str">
        <f>IFERROR(VLOOKUP(DATE($K$1,$K$2,CVT$4),Table1[],(MATCH(Calendar!$A6,DB!1:1,0)+2),FALSE),"")</f>
        <v/>
      </c>
      <c r="CVU6" s="27" t="str">
        <f>IFERROR(VLOOKUP(DATE($K$1,$K$2,CVU$4),Table1[],(MATCH(Calendar!$A6,DB!1:1,0)+2),FALSE),"")</f>
        <v/>
      </c>
      <c r="CVV6" s="27" t="str">
        <f>IFERROR(VLOOKUP(DATE($K$1,$K$2,CVV$4),Table1[],(MATCH(Calendar!$A6,DB!1:1,0)+2),FALSE),"")</f>
        <v/>
      </c>
      <c r="CVW6" s="27" t="str">
        <f>IFERROR(VLOOKUP(DATE($K$1,$K$2,CVW$4),Table1[],(MATCH(Calendar!$A6,DB!1:1,0)+2),FALSE),"")</f>
        <v/>
      </c>
      <c r="CVX6" s="27" t="str">
        <f>IFERROR(VLOOKUP(DATE($K$1,$K$2,CVX$4),Table1[],(MATCH(Calendar!$A6,DB!1:1,0)+2),FALSE),"")</f>
        <v/>
      </c>
      <c r="CVY6" s="27" t="str">
        <f>IFERROR(VLOOKUP(DATE($K$1,$K$2,CVY$4),Table1[],(MATCH(Calendar!$A6,DB!1:1,0)+2),FALSE),"")</f>
        <v/>
      </c>
      <c r="CVZ6" s="27" t="str">
        <f>IFERROR(VLOOKUP(DATE($K$1,$K$2,CVZ$4),Table1[],(MATCH(Calendar!$A6,DB!1:1,0)+2),FALSE),"")</f>
        <v/>
      </c>
      <c r="CWA6" s="27" t="str">
        <f>IFERROR(VLOOKUP(DATE($K$1,$K$2,CWA$4),Table1[],(MATCH(Calendar!$A6,DB!1:1,0)+2),FALSE),"")</f>
        <v/>
      </c>
      <c r="CWB6" s="27" t="str">
        <f>IFERROR(VLOOKUP(DATE($K$1,$K$2,CWB$4),Table1[],(MATCH(Calendar!$A6,DB!1:1,0)+2),FALSE),"")</f>
        <v/>
      </c>
      <c r="CWC6" s="27" t="str">
        <f>IFERROR(VLOOKUP(DATE($K$1,$K$2,CWC$4),Table1[],(MATCH(Calendar!$A6,DB!1:1,0)+2),FALSE),"")</f>
        <v/>
      </c>
      <c r="CWD6" s="27" t="str">
        <f>IFERROR(VLOOKUP(DATE($K$1,$K$2,CWD$4),Table1[],(MATCH(Calendar!$A6,DB!1:1,0)+2),FALSE),"")</f>
        <v/>
      </c>
      <c r="CWE6" s="27" t="str">
        <f>IFERROR(VLOOKUP(DATE($K$1,$K$2,CWE$4),Table1[],(MATCH(Calendar!$A6,DB!1:1,0)+2),FALSE),"")</f>
        <v/>
      </c>
      <c r="CWF6" s="27" t="str">
        <f>IFERROR(VLOOKUP(DATE($K$1,$K$2,CWF$4),Table1[],(MATCH(Calendar!$A6,DB!1:1,0)+2),FALSE),"")</f>
        <v/>
      </c>
      <c r="CWG6" s="27" t="str">
        <f>IFERROR(VLOOKUP(DATE($K$1,$K$2,CWG$4),Table1[],(MATCH(Calendar!$A6,DB!1:1,0)+2),FALSE),"")</f>
        <v/>
      </c>
      <c r="CWH6" s="27" t="str">
        <f>IFERROR(VLOOKUP(DATE($K$1,$K$2,CWH$4),Table1[],(MATCH(Calendar!$A6,DB!1:1,0)+2),FALSE),"")</f>
        <v/>
      </c>
      <c r="CWI6" s="27" t="str">
        <f>IFERROR(VLOOKUP(DATE($K$1,$K$2,CWI$4),Table1[],(MATCH(Calendar!$A6,DB!1:1,0)+2),FALSE),"")</f>
        <v/>
      </c>
      <c r="CWJ6" s="27" t="str">
        <f>IFERROR(VLOOKUP(DATE($K$1,$K$2,CWJ$4),Table1[],(MATCH(Calendar!$A6,DB!1:1,0)+2),FALSE),"")</f>
        <v/>
      </c>
      <c r="CWK6" s="27" t="str">
        <f>IFERROR(VLOOKUP(DATE($K$1,$K$2,CWK$4),Table1[],(MATCH(Calendar!$A6,DB!1:1,0)+2),FALSE),"")</f>
        <v/>
      </c>
      <c r="CWL6" s="27" t="str">
        <f>IFERROR(VLOOKUP(DATE($K$1,$K$2,CWL$4),Table1[],(MATCH(Calendar!$A6,DB!1:1,0)+2),FALSE),"")</f>
        <v/>
      </c>
      <c r="CWM6" s="27" t="str">
        <f>IFERROR(VLOOKUP(DATE($K$1,$K$2,CWM$4),Table1[],(MATCH(Calendar!$A6,DB!1:1,0)+2),FALSE),"")</f>
        <v/>
      </c>
      <c r="CWN6" s="27" t="str">
        <f>IFERROR(VLOOKUP(DATE($K$1,$K$2,CWN$4),Table1[],(MATCH(Calendar!$A6,DB!1:1,0)+2),FALSE),"")</f>
        <v/>
      </c>
      <c r="CWO6" s="27" t="str">
        <f>IFERROR(VLOOKUP(DATE($K$1,$K$2,CWO$4),Table1[],(MATCH(Calendar!$A6,DB!1:1,0)+2),FALSE),"")</f>
        <v/>
      </c>
      <c r="CWP6" s="27" t="str">
        <f>IFERROR(VLOOKUP(DATE($K$1,$K$2,CWP$4),Table1[],(MATCH(Calendar!$A6,DB!1:1,0)+2),FALSE),"")</f>
        <v/>
      </c>
      <c r="CWQ6" s="27" t="str">
        <f>IFERROR(VLOOKUP(DATE($K$1,$K$2,CWQ$4),Table1[],(MATCH(Calendar!$A6,DB!1:1,0)+2),FALSE),"")</f>
        <v/>
      </c>
      <c r="CWR6" s="27" t="str">
        <f>IFERROR(VLOOKUP(DATE($K$1,$K$2,CWR$4),Table1[],(MATCH(Calendar!$A6,DB!1:1,0)+2),FALSE),"")</f>
        <v/>
      </c>
      <c r="CWS6" s="27" t="str">
        <f>IFERROR(VLOOKUP(DATE($K$1,$K$2,CWS$4),Table1[],(MATCH(Calendar!$A6,DB!1:1,0)+2),FALSE),"")</f>
        <v/>
      </c>
      <c r="CWT6" s="27" t="str">
        <f>IFERROR(VLOOKUP(DATE($K$1,$K$2,CWT$4),Table1[],(MATCH(Calendar!$A6,DB!1:1,0)+2),FALSE),"")</f>
        <v/>
      </c>
      <c r="CWU6" s="27" t="str">
        <f>IFERROR(VLOOKUP(DATE($K$1,$K$2,CWU$4),Table1[],(MATCH(Calendar!$A6,DB!1:1,0)+2),FALSE),"")</f>
        <v/>
      </c>
      <c r="CWV6" s="27" t="str">
        <f>IFERROR(VLOOKUP(DATE($K$1,$K$2,CWV$4),Table1[],(MATCH(Calendar!$A6,DB!1:1,0)+2),FALSE),"")</f>
        <v/>
      </c>
      <c r="CWW6" s="27" t="str">
        <f>IFERROR(VLOOKUP(DATE($K$1,$K$2,CWW$4),Table1[],(MATCH(Calendar!$A6,DB!1:1,0)+2),FALSE),"")</f>
        <v/>
      </c>
      <c r="CWX6" s="27" t="str">
        <f>IFERROR(VLOOKUP(DATE($K$1,$K$2,CWX$4),Table1[],(MATCH(Calendar!$A6,DB!1:1,0)+2),FALSE),"")</f>
        <v/>
      </c>
      <c r="CWY6" s="27" t="str">
        <f>IFERROR(VLOOKUP(DATE($K$1,$K$2,CWY$4),Table1[],(MATCH(Calendar!$A6,DB!1:1,0)+2),FALSE),"")</f>
        <v/>
      </c>
      <c r="CWZ6" s="27" t="str">
        <f>IFERROR(VLOOKUP(DATE($K$1,$K$2,CWZ$4),Table1[],(MATCH(Calendar!$A6,DB!1:1,0)+2),FALSE),"")</f>
        <v/>
      </c>
      <c r="CXA6" s="27" t="str">
        <f>IFERROR(VLOOKUP(DATE($K$1,$K$2,CXA$4),Table1[],(MATCH(Calendar!$A6,DB!1:1,0)+2),FALSE),"")</f>
        <v/>
      </c>
      <c r="CXB6" s="27" t="str">
        <f>IFERROR(VLOOKUP(DATE($K$1,$K$2,CXB$4),Table1[],(MATCH(Calendar!$A6,DB!1:1,0)+2),FALSE),"")</f>
        <v/>
      </c>
      <c r="CXC6" s="27" t="str">
        <f>IFERROR(VLOOKUP(DATE($K$1,$K$2,CXC$4),Table1[],(MATCH(Calendar!$A6,DB!1:1,0)+2),FALSE),"")</f>
        <v/>
      </c>
      <c r="CXD6" s="27" t="str">
        <f>IFERROR(VLOOKUP(DATE($K$1,$K$2,CXD$4),Table1[],(MATCH(Calendar!$A6,DB!1:1,0)+2),FALSE),"")</f>
        <v/>
      </c>
      <c r="CXE6" s="27" t="str">
        <f>IFERROR(VLOOKUP(DATE($K$1,$K$2,CXE$4),Table1[],(MATCH(Calendar!$A6,DB!1:1,0)+2),FALSE),"")</f>
        <v/>
      </c>
      <c r="CXF6" s="27" t="str">
        <f>IFERROR(VLOOKUP(DATE($K$1,$K$2,CXF$4),Table1[],(MATCH(Calendar!$A6,DB!1:1,0)+2),FALSE),"")</f>
        <v/>
      </c>
      <c r="CXG6" s="27" t="str">
        <f>IFERROR(VLOOKUP(DATE($K$1,$K$2,CXG$4),Table1[],(MATCH(Calendar!$A6,DB!1:1,0)+2),FALSE),"")</f>
        <v/>
      </c>
      <c r="CXH6" s="27" t="str">
        <f>IFERROR(VLOOKUP(DATE($K$1,$K$2,CXH$4),Table1[],(MATCH(Calendar!$A6,DB!1:1,0)+2),FALSE),"")</f>
        <v/>
      </c>
      <c r="CXI6" s="27" t="str">
        <f>IFERROR(VLOOKUP(DATE($K$1,$K$2,CXI$4),Table1[],(MATCH(Calendar!$A6,DB!1:1,0)+2),FALSE),"")</f>
        <v/>
      </c>
      <c r="CXJ6" s="27" t="str">
        <f>IFERROR(VLOOKUP(DATE($K$1,$K$2,CXJ$4),Table1[],(MATCH(Calendar!$A6,DB!1:1,0)+2),FALSE),"")</f>
        <v/>
      </c>
      <c r="CXK6" s="27" t="str">
        <f>IFERROR(VLOOKUP(DATE($K$1,$K$2,CXK$4),Table1[],(MATCH(Calendar!$A6,DB!1:1,0)+2),FALSE),"")</f>
        <v/>
      </c>
      <c r="CXL6" s="27" t="str">
        <f>IFERROR(VLOOKUP(DATE($K$1,$K$2,CXL$4),Table1[],(MATCH(Calendar!$A6,DB!1:1,0)+2),FALSE),"")</f>
        <v/>
      </c>
      <c r="CXM6" s="27" t="str">
        <f>IFERROR(VLOOKUP(DATE($K$1,$K$2,CXM$4),Table1[],(MATCH(Calendar!$A6,DB!1:1,0)+2),FALSE),"")</f>
        <v/>
      </c>
      <c r="CXN6" s="27" t="str">
        <f>IFERROR(VLOOKUP(DATE($K$1,$K$2,CXN$4),Table1[],(MATCH(Calendar!$A6,DB!1:1,0)+2),FALSE),"")</f>
        <v/>
      </c>
      <c r="CXO6" s="27" t="str">
        <f>IFERROR(VLOOKUP(DATE($K$1,$K$2,CXO$4),Table1[],(MATCH(Calendar!$A6,DB!1:1,0)+2),FALSE),"")</f>
        <v/>
      </c>
      <c r="CXP6" s="27" t="str">
        <f>IFERROR(VLOOKUP(DATE($K$1,$K$2,CXP$4),Table1[],(MATCH(Calendar!$A6,DB!1:1,0)+2),FALSE),"")</f>
        <v/>
      </c>
      <c r="CXQ6" s="27" t="str">
        <f>IFERROR(VLOOKUP(DATE($K$1,$K$2,CXQ$4),Table1[],(MATCH(Calendar!$A6,DB!1:1,0)+2),FALSE),"")</f>
        <v/>
      </c>
      <c r="CXR6" s="27" t="str">
        <f>IFERROR(VLOOKUP(DATE($K$1,$K$2,CXR$4),Table1[],(MATCH(Calendar!$A6,DB!1:1,0)+2),FALSE),"")</f>
        <v/>
      </c>
      <c r="CXS6" s="27" t="str">
        <f>IFERROR(VLOOKUP(DATE($K$1,$K$2,CXS$4),Table1[],(MATCH(Calendar!$A6,DB!1:1,0)+2),FALSE),"")</f>
        <v/>
      </c>
      <c r="CXT6" s="27" t="str">
        <f>IFERROR(VLOOKUP(DATE($K$1,$K$2,CXT$4),Table1[],(MATCH(Calendar!$A6,DB!1:1,0)+2),FALSE),"")</f>
        <v/>
      </c>
      <c r="CXU6" s="27" t="str">
        <f>IFERROR(VLOOKUP(DATE($K$1,$K$2,CXU$4),Table1[],(MATCH(Calendar!$A6,DB!1:1,0)+2),FALSE),"")</f>
        <v/>
      </c>
      <c r="CXV6" s="27" t="str">
        <f>IFERROR(VLOOKUP(DATE($K$1,$K$2,CXV$4),Table1[],(MATCH(Calendar!$A6,DB!1:1,0)+2),FALSE),"")</f>
        <v/>
      </c>
      <c r="CXW6" s="27" t="str">
        <f>IFERROR(VLOOKUP(DATE($K$1,$K$2,CXW$4),Table1[],(MATCH(Calendar!$A6,DB!1:1,0)+2),FALSE),"")</f>
        <v/>
      </c>
      <c r="CXX6" s="27" t="str">
        <f>IFERROR(VLOOKUP(DATE($K$1,$K$2,CXX$4),Table1[],(MATCH(Calendar!$A6,DB!1:1,0)+2),FALSE),"")</f>
        <v/>
      </c>
      <c r="CXY6" s="27" t="str">
        <f>IFERROR(VLOOKUP(DATE($K$1,$K$2,CXY$4),Table1[],(MATCH(Calendar!$A6,DB!1:1,0)+2),FALSE),"")</f>
        <v/>
      </c>
      <c r="CXZ6" s="27" t="str">
        <f>IFERROR(VLOOKUP(DATE($K$1,$K$2,CXZ$4),Table1[],(MATCH(Calendar!$A6,DB!1:1,0)+2),FALSE),"")</f>
        <v/>
      </c>
      <c r="CYA6" s="27" t="str">
        <f>IFERROR(VLOOKUP(DATE($K$1,$K$2,CYA$4),Table1[],(MATCH(Calendar!$A6,DB!1:1,0)+2),FALSE),"")</f>
        <v/>
      </c>
      <c r="CYB6" s="27" t="str">
        <f>IFERROR(VLOOKUP(DATE($K$1,$K$2,CYB$4),Table1[],(MATCH(Calendar!$A6,DB!1:1,0)+2),FALSE),"")</f>
        <v/>
      </c>
      <c r="CYC6" s="27" t="str">
        <f>IFERROR(VLOOKUP(DATE($K$1,$K$2,CYC$4),Table1[],(MATCH(Calendar!$A6,DB!1:1,0)+2),FALSE),"")</f>
        <v/>
      </c>
      <c r="CYD6" s="27" t="str">
        <f>IFERROR(VLOOKUP(DATE($K$1,$K$2,CYD$4),Table1[],(MATCH(Calendar!$A6,DB!1:1,0)+2),FALSE),"")</f>
        <v/>
      </c>
      <c r="CYE6" s="27" t="str">
        <f>IFERROR(VLOOKUP(DATE($K$1,$K$2,CYE$4),Table1[],(MATCH(Calendar!$A6,DB!1:1,0)+2),FALSE),"")</f>
        <v/>
      </c>
      <c r="CYF6" s="27" t="str">
        <f>IFERROR(VLOOKUP(DATE($K$1,$K$2,CYF$4),Table1[],(MATCH(Calendar!$A6,DB!1:1,0)+2),FALSE),"")</f>
        <v/>
      </c>
      <c r="CYG6" s="27" t="str">
        <f>IFERROR(VLOOKUP(DATE($K$1,$K$2,CYG$4),Table1[],(MATCH(Calendar!$A6,DB!1:1,0)+2),FALSE),"")</f>
        <v/>
      </c>
      <c r="CYH6" s="27" t="str">
        <f>IFERROR(VLOOKUP(DATE($K$1,$K$2,CYH$4),Table1[],(MATCH(Calendar!$A6,DB!1:1,0)+2),FALSE),"")</f>
        <v/>
      </c>
      <c r="CYI6" s="27" t="str">
        <f>IFERROR(VLOOKUP(DATE($K$1,$K$2,CYI$4),Table1[],(MATCH(Calendar!$A6,DB!1:1,0)+2),FALSE),"")</f>
        <v/>
      </c>
      <c r="CYJ6" s="27" t="str">
        <f>IFERROR(VLOOKUP(DATE($K$1,$K$2,CYJ$4),Table1[],(MATCH(Calendar!$A6,DB!1:1,0)+2),FALSE),"")</f>
        <v/>
      </c>
      <c r="CYK6" s="27" t="str">
        <f>IFERROR(VLOOKUP(DATE($K$1,$K$2,CYK$4),Table1[],(MATCH(Calendar!$A6,DB!1:1,0)+2),FALSE),"")</f>
        <v/>
      </c>
      <c r="CYL6" s="27" t="str">
        <f>IFERROR(VLOOKUP(DATE($K$1,$K$2,CYL$4),Table1[],(MATCH(Calendar!$A6,DB!1:1,0)+2),FALSE),"")</f>
        <v/>
      </c>
      <c r="CYM6" s="27" t="str">
        <f>IFERROR(VLOOKUP(DATE($K$1,$K$2,CYM$4),Table1[],(MATCH(Calendar!$A6,DB!1:1,0)+2),FALSE),"")</f>
        <v/>
      </c>
      <c r="CYN6" s="27" t="str">
        <f>IFERROR(VLOOKUP(DATE($K$1,$K$2,CYN$4),Table1[],(MATCH(Calendar!$A6,DB!1:1,0)+2),FALSE),"")</f>
        <v/>
      </c>
      <c r="CYO6" s="27" t="str">
        <f>IFERROR(VLOOKUP(DATE($K$1,$K$2,CYO$4),Table1[],(MATCH(Calendar!$A6,DB!1:1,0)+2),FALSE),"")</f>
        <v/>
      </c>
      <c r="CYP6" s="27" t="str">
        <f>IFERROR(VLOOKUP(DATE($K$1,$K$2,CYP$4),Table1[],(MATCH(Calendar!$A6,DB!1:1,0)+2),FALSE),"")</f>
        <v/>
      </c>
      <c r="CYQ6" s="27" t="str">
        <f>IFERROR(VLOOKUP(DATE($K$1,$K$2,CYQ$4),Table1[],(MATCH(Calendar!$A6,DB!1:1,0)+2),FALSE),"")</f>
        <v/>
      </c>
      <c r="CYR6" s="27" t="str">
        <f>IFERROR(VLOOKUP(DATE($K$1,$K$2,CYR$4),Table1[],(MATCH(Calendar!$A6,DB!1:1,0)+2),FALSE),"")</f>
        <v/>
      </c>
      <c r="CYS6" s="27" t="str">
        <f>IFERROR(VLOOKUP(DATE($K$1,$K$2,CYS$4),Table1[],(MATCH(Calendar!$A6,DB!1:1,0)+2),FALSE),"")</f>
        <v/>
      </c>
      <c r="CYT6" s="27" t="str">
        <f>IFERROR(VLOOKUP(DATE($K$1,$K$2,CYT$4),Table1[],(MATCH(Calendar!$A6,DB!1:1,0)+2),FALSE),"")</f>
        <v/>
      </c>
      <c r="CYU6" s="27" t="str">
        <f>IFERROR(VLOOKUP(DATE($K$1,$K$2,CYU$4),Table1[],(MATCH(Calendar!$A6,DB!1:1,0)+2),FALSE),"")</f>
        <v/>
      </c>
      <c r="CYV6" s="27" t="str">
        <f>IFERROR(VLOOKUP(DATE($K$1,$K$2,CYV$4),Table1[],(MATCH(Calendar!$A6,DB!1:1,0)+2),FALSE),"")</f>
        <v/>
      </c>
      <c r="CYW6" s="27" t="str">
        <f>IFERROR(VLOOKUP(DATE($K$1,$K$2,CYW$4),Table1[],(MATCH(Calendar!$A6,DB!1:1,0)+2),FALSE),"")</f>
        <v/>
      </c>
      <c r="CYX6" s="27" t="str">
        <f>IFERROR(VLOOKUP(DATE($K$1,$K$2,CYX$4),Table1[],(MATCH(Calendar!$A6,DB!1:1,0)+2),FALSE),"")</f>
        <v/>
      </c>
      <c r="CYY6" s="27" t="str">
        <f>IFERROR(VLOOKUP(DATE($K$1,$K$2,CYY$4),Table1[],(MATCH(Calendar!$A6,DB!1:1,0)+2),FALSE),"")</f>
        <v/>
      </c>
      <c r="CYZ6" s="27" t="str">
        <f>IFERROR(VLOOKUP(DATE($K$1,$K$2,CYZ$4),Table1[],(MATCH(Calendar!$A6,DB!1:1,0)+2),FALSE),"")</f>
        <v/>
      </c>
      <c r="CZA6" s="27" t="str">
        <f>IFERROR(VLOOKUP(DATE($K$1,$K$2,CZA$4),Table1[],(MATCH(Calendar!$A6,DB!1:1,0)+2),FALSE),"")</f>
        <v/>
      </c>
      <c r="CZB6" s="27" t="str">
        <f>IFERROR(VLOOKUP(DATE($K$1,$K$2,CZB$4),Table1[],(MATCH(Calendar!$A6,DB!1:1,0)+2),FALSE),"")</f>
        <v/>
      </c>
      <c r="CZC6" s="27" t="str">
        <f>IFERROR(VLOOKUP(DATE($K$1,$K$2,CZC$4),Table1[],(MATCH(Calendar!$A6,DB!1:1,0)+2),FALSE),"")</f>
        <v/>
      </c>
      <c r="CZD6" s="27" t="str">
        <f>IFERROR(VLOOKUP(DATE($K$1,$K$2,CZD$4),Table1[],(MATCH(Calendar!$A6,DB!1:1,0)+2),FALSE),"")</f>
        <v/>
      </c>
      <c r="CZE6" s="27" t="str">
        <f>IFERROR(VLOOKUP(DATE($K$1,$K$2,CZE$4),Table1[],(MATCH(Calendar!$A6,DB!1:1,0)+2),FALSE),"")</f>
        <v/>
      </c>
      <c r="CZF6" s="27" t="str">
        <f>IFERROR(VLOOKUP(DATE($K$1,$K$2,CZF$4),Table1[],(MATCH(Calendar!$A6,DB!1:1,0)+2),FALSE),"")</f>
        <v/>
      </c>
      <c r="CZG6" s="27" t="str">
        <f>IFERROR(VLOOKUP(DATE($K$1,$K$2,CZG$4),Table1[],(MATCH(Calendar!$A6,DB!1:1,0)+2),FALSE),"")</f>
        <v/>
      </c>
      <c r="CZH6" s="27" t="str">
        <f>IFERROR(VLOOKUP(DATE($K$1,$K$2,CZH$4),Table1[],(MATCH(Calendar!$A6,DB!1:1,0)+2),FALSE),"")</f>
        <v/>
      </c>
      <c r="CZI6" s="27" t="str">
        <f>IFERROR(VLOOKUP(DATE($K$1,$K$2,CZI$4),Table1[],(MATCH(Calendar!$A6,DB!1:1,0)+2),FALSE),"")</f>
        <v/>
      </c>
      <c r="CZJ6" s="27" t="str">
        <f>IFERROR(VLOOKUP(DATE($K$1,$K$2,CZJ$4),Table1[],(MATCH(Calendar!$A6,DB!1:1,0)+2),FALSE),"")</f>
        <v/>
      </c>
      <c r="CZK6" s="27" t="str">
        <f>IFERROR(VLOOKUP(DATE($K$1,$K$2,CZK$4),Table1[],(MATCH(Calendar!$A6,DB!1:1,0)+2),FALSE),"")</f>
        <v/>
      </c>
      <c r="CZL6" s="27" t="str">
        <f>IFERROR(VLOOKUP(DATE($K$1,$K$2,CZL$4),Table1[],(MATCH(Calendar!$A6,DB!1:1,0)+2),FALSE),"")</f>
        <v/>
      </c>
      <c r="CZM6" s="27" t="str">
        <f>IFERROR(VLOOKUP(DATE($K$1,$K$2,CZM$4),Table1[],(MATCH(Calendar!$A6,DB!1:1,0)+2),FALSE),"")</f>
        <v/>
      </c>
      <c r="CZN6" s="27" t="str">
        <f>IFERROR(VLOOKUP(DATE($K$1,$K$2,CZN$4),Table1[],(MATCH(Calendar!$A6,DB!1:1,0)+2),FALSE),"")</f>
        <v/>
      </c>
      <c r="CZO6" s="27" t="str">
        <f>IFERROR(VLOOKUP(DATE($K$1,$K$2,CZO$4),Table1[],(MATCH(Calendar!$A6,DB!1:1,0)+2),FALSE),"")</f>
        <v/>
      </c>
      <c r="CZP6" s="27" t="str">
        <f>IFERROR(VLOOKUP(DATE($K$1,$K$2,CZP$4),Table1[],(MATCH(Calendar!$A6,DB!1:1,0)+2),FALSE),"")</f>
        <v/>
      </c>
      <c r="CZQ6" s="27" t="str">
        <f>IFERROR(VLOOKUP(DATE($K$1,$K$2,CZQ$4),Table1[],(MATCH(Calendar!$A6,DB!1:1,0)+2),FALSE),"")</f>
        <v/>
      </c>
      <c r="CZR6" s="27" t="str">
        <f>IFERROR(VLOOKUP(DATE($K$1,$K$2,CZR$4),Table1[],(MATCH(Calendar!$A6,DB!1:1,0)+2),FALSE),"")</f>
        <v/>
      </c>
      <c r="CZS6" s="27" t="str">
        <f>IFERROR(VLOOKUP(DATE($K$1,$K$2,CZS$4),Table1[],(MATCH(Calendar!$A6,DB!1:1,0)+2),FALSE),"")</f>
        <v/>
      </c>
      <c r="CZT6" s="27" t="str">
        <f>IFERROR(VLOOKUP(DATE($K$1,$K$2,CZT$4),Table1[],(MATCH(Calendar!$A6,DB!1:1,0)+2),FALSE),"")</f>
        <v/>
      </c>
      <c r="CZU6" s="27" t="str">
        <f>IFERROR(VLOOKUP(DATE($K$1,$K$2,CZU$4),Table1[],(MATCH(Calendar!$A6,DB!1:1,0)+2),FALSE),"")</f>
        <v/>
      </c>
      <c r="CZV6" s="27" t="str">
        <f>IFERROR(VLOOKUP(DATE($K$1,$K$2,CZV$4),Table1[],(MATCH(Calendar!$A6,DB!1:1,0)+2),FALSE),"")</f>
        <v/>
      </c>
      <c r="CZW6" s="27" t="str">
        <f>IFERROR(VLOOKUP(DATE($K$1,$K$2,CZW$4),Table1[],(MATCH(Calendar!$A6,DB!1:1,0)+2),FALSE),"")</f>
        <v/>
      </c>
      <c r="CZX6" s="27" t="str">
        <f>IFERROR(VLOOKUP(DATE($K$1,$K$2,CZX$4),Table1[],(MATCH(Calendar!$A6,DB!1:1,0)+2),FALSE),"")</f>
        <v/>
      </c>
      <c r="CZY6" s="27" t="str">
        <f>IFERROR(VLOOKUP(DATE($K$1,$K$2,CZY$4),Table1[],(MATCH(Calendar!$A6,DB!1:1,0)+2),FALSE),"")</f>
        <v/>
      </c>
      <c r="CZZ6" s="27" t="str">
        <f>IFERROR(VLOOKUP(DATE($K$1,$K$2,CZZ$4),Table1[],(MATCH(Calendar!$A6,DB!1:1,0)+2),FALSE),"")</f>
        <v/>
      </c>
      <c r="DAA6" s="27" t="str">
        <f>IFERROR(VLOOKUP(DATE($K$1,$K$2,DAA$4),Table1[],(MATCH(Calendar!$A6,DB!1:1,0)+2),FALSE),"")</f>
        <v/>
      </c>
      <c r="DAB6" s="27" t="str">
        <f>IFERROR(VLOOKUP(DATE($K$1,$K$2,DAB$4),Table1[],(MATCH(Calendar!$A6,DB!1:1,0)+2),FALSE),"")</f>
        <v/>
      </c>
      <c r="DAC6" s="27" t="str">
        <f>IFERROR(VLOOKUP(DATE($K$1,$K$2,DAC$4),Table1[],(MATCH(Calendar!$A6,DB!1:1,0)+2),FALSE),"")</f>
        <v/>
      </c>
      <c r="DAD6" s="27" t="str">
        <f>IFERROR(VLOOKUP(DATE($K$1,$K$2,DAD$4),Table1[],(MATCH(Calendar!$A6,DB!1:1,0)+2),FALSE),"")</f>
        <v/>
      </c>
      <c r="DAE6" s="27" t="str">
        <f>IFERROR(VLOOKUP(DATE($K$1,$K$2,DAE$4),Table1[],(MATCH(Calendar!$A6,DB!1:1,0)+2),FALSE),"")</f>
        <v/>
      </c>
      <c r="DAF6" s="27" t="str">
        <f>IFERROR(VLOOKUP(DATE($K$1,$K$2,DAF$4),Table1[],(MATCH(Calendar!$A6,DB!1:1,0)+2),FALSE),"")</f>
        <v/>
      </c>
      <c r="DAG6" s="27" t="str">
        <f>IFERROR(VLOOKUP(DATE($K$1,$K$2,DAG$4),Table1[],(MATCH(Calendar!$A6,DB!1:1,0)+2),FALSE),"")</f>
        <v/>
      </c>
      <c r="DAH6" s="27" t="str">
        <f>IFERROR(VLOOKUP(DATE($K$1,$K$2,DAH$4),Table1[],(MATCH(Calendar!$A6,DB!1:1,0)+2),FALSE),"")</f>
        <v/>
      </c>
      <c r="DAI6" s="27" t="str">
        <f>IFERROR(VLOOKUP(DATE($K$1,$K$2,DAI$4),Table1[],(MATCH(Calendar!$A6,DB!1:1,0)+2),FALSE),"")</f>
        <v/>
      </c>
      <c r="DAJ6" s="27" t="str">
        <f>IFERROR(VLOOKUP(DATE($K$1,$K$2,DAJ$4),Table1[],(MATCH(Calendar!$A6,DB!1:1,0)+2),FALSE),"")</f>
        <v/>
      </c>
      <c r="DAK6" s="27" t="str">
        <f>IFERROR(VLOOKUP(DATE($K$1,$K$2,DAK$4),Table1[],(MATCH(Calendar!$A6,DB!1:1,0)+2),FALSE),"")</f>
        <v/>
      </c>
      <c r="DAL6" s="27" t="str">
        <f>IFERROR(VLOOKUP(DATE($K$1,$K$2,DAL$4),Table1[],(MATCH(Calendar!$A6,DB!1:1,0)+2),FALSE),"")</f>
        <v/>
      </c>
      <c r="DAM6" s="27" t="str">
        <f>IFERROR(VLOOKUP(DATE($K$1,$K$2,DAM$4),Table1[],(MATCH(Calendar!$A6,DB!1:1,0)+2),FALSE),"")</f>
        <v/>
      </c>
      <c r="DAN6" s="27" t="str">
        <f>IFERROR(VLOOKUP(DATE($K$1,$K$2,DAN$4),Table1[],(MATCH(Calendar!$A6,DB!1:1,0)+2),FALSE),"")</f>
        <v/>
      </c>
      <c r="DAO6" s="27" t="str">
        <f>IFERROR(VLOOKUP(DATE($K$1,$K$2,DAO$4),Table1[],(MATCH(Calendar!$A6,DB!1:1,0)+2),FALSE),"")</f>
        <v/>
      </c>
      <c r="DAP6" s="27" t="str">
        <f>IFERROR(VLOOKUP(DATE($K$1,$K$2,DAP$4),Table1[],(MATCH(Calendar!$A6,DB!1:1,0)+2),FALSE),"")</f>
        <v/>
      </c>
      <c r="DAQ6" s="27" t="str">
        <f>IFERROR(VLOOKUP(DATE($K$1,$K$2,DAQ$4),Table1[],(MATCH(Calendar!$A6,DB!1:1,0)+2),FALSE),"")</f>
        <v/>
      </c>
      <c r="DAR6" s="27" t="str">
        <f>IFERROR(VLOOKUP(DATE($K$1,$K$2,DAR$4),Table1[],(MATCH(Calendar!$A6,DB!1:1,0)+2),FALSE),"")</f>
        <v/>
      </c>
      <c r="DAS6" s="27" t="str">
        <f>IFERROR(VLOOKUP(DATE($K$1,$K$2,DAS$4),Table1[],(MATCH(Calendar!$A6,DB!1:1,0)+2),FALSE),"")</f>
        <v/>
      </c>
      <c r="DAT6" s="27" t="str">
        <f>IFERROR(VLOOKUP(DATE($K$1,$K$2,DAT$4),Table1[],(MATCH(Calendar!$A6,DB!1:1,0)+2),FALSE),"")</f>
        <v/>
      </c>
      <c r="DAU6" s="27" t="str">
        <f>IFERROR(VLOOKUP(DATE($K$1,$K$2,DAU$4),Table1[],(MATCH(Calendar!$A6,DB!1:1,0)+2),FALSE),"")</f>
        <v/>
      </c>
      <c r="DAV6" s="27" t="str">
        <f>IFERROR(VLOOKUP(DATE($K$1,$K$2,DAV$4),Table1[],(MATCH(Calendar!$A6,DB!1:1,0)+2),FALSE),"")</f>
        <v/>
      </c>
      <c r="DAW6" s="27" t="str">
        <f>IFERROR(VLOOKUP(DATE($K$1,$K$2,DAW$4),Table1[],(MATCH(Calendar!$A6,DB!1:1,0)+2),FALSE),"")</f>
        <v/>
      </c>
      <c r="DAX6" s="27" t="str">
        <f>IFERROR(VLOOKUP(DATE($K$1,$K$2,DAX$4),Table1[],(MATCH(Calendar!$A6,DB!1:1,0)+2),FALSE),"")</f>
        <v/>
      </c>
      <c r="DAY6" s="27" t="str">
        <f>IFERROR(VLOOKUP(DATE($K$1,$K$2,DAY$4),Table1[],(MATCH(Calendar!$A6,DB!1:1,0)+2),FALSE),"")</f>
        <v/>
      </c>
      <c r="DAZ6" s="27" t="str">
        <f>IFERROR(VLOOKUP(DATE($K$1,$K$2,DAZ$4),Table1[],(MATCH(Calendar!$A6,DB!1:1,0)+2),FALSE),"")</f>
        <v/>
      </c>
      <c r="DBA6" s="27" t="str">
        <f>IFERROR(VLOOKUP(DATE($K$1,$K$2,DBA$4),Table1[],(MATCH(Calendar!$A6,DB!1:1,0)+2),FALSE),"")</f>
        <v/>
      </c>
      <c r="DBB6" s="27" t="str">
        <f>IFERROR(VLOOKUP(DATE($K$1,$K$2,DBB$4),Table1[],(MATCH(Calendar!$A6,DB!1:1,0)+2),FALSE),"")</f>
        <v/>
      </c>
      <c r="DBC6" s="27" t="str">
        <f>IFERROR(VLOOKUP(DATE($K$1,$K$2,DBC$4),Table1[],(MATCH(Calendar!$A6,DB!1:1,0)+2),FALSE),"")</f>
        <v/>
      </c>
      <c r="DBD6" s="27" t="str">
        <f>IFERROR(VLOOKUP(DATE($K$1,$K$2,DBD$4),Table1[],(MATCH(Calendar!$A6,DB!1:1,0)+2),FALSE),"")</f>
        <v/>
      </c>
      <c r="DBE6" s="27" t="str">
        <f>IFERROR(VLOOKUP(DATE($K$1,$K$2,DBE$4),Table1[],(MATCH(Calendar!$A6,DB!1:1,0)+2),FALSE),"")</f>
        <v/>
      </c>
      <c r="DBF6" s="27" t="str">
        <f>IFERROR(VLOOKUP(DATE($K$1,$K$2,DBF$4),Table1[],(MATCH(Calendar!$A6,DB!1:1,0)+2),FALSE),"")</f>
        <v/>
      </c>
      <c r="DBG6" s="27" t="str">
        <f>IFERROR(VLOOKUP(DATE($K$1,$K$2,DBG$4),Table1[],(MATCH(Calendar!$A6,DB!1:1,0)+2),FALSE),"")</f>
        <v/>
      </c>
      <c r="DBH6" s="27" t="str">
        <f>IFERROR(VLOOKUP(DATE($K$1,$K$2,DBH$4),Table1[],(MATCH(Calendar!$A6,DB!1:1,0)+2),FALSE),"")</f>
        <v/>
      </c>
      <c r="DBI6" s="27" t="str">
        <f>IFERROR(VLOOKUP(DATE($K$1,$K$2,DBI$4),Table1[],(MATCH(Calendar!$A6,DB!1:1,0)+2),FALSE),"")</f>
        <v/>
      </c>
      <c r="DBJ6" s="27" t="str">
        <f>IFERROR(VLOOKUP(DATE($K$1,$K$2,DBJ$4),Table1[],(MATCH(Calendar!$A6,DB!1:1,0)+2),FALSE),"")</f>
        <v/>
      </c>
      <c r="DBK6" s="27" t="str">
        <f>IFERROR(VLOOKUP(DATE($K$1,$K$2,DBK$4),Table1[],(MATCH(Calendar!$A6,DB!1:1,0)+2),FALSE),"")</f>
        <v/>
      </c>
      <c r="DBL6" s="27" t="str">
        <f>IFERROR(VLOOKUP(DATE($K$1,$K$2,DBL$4),Table1[],(MATCH(Calendar!$A6,DB!1:1,0)+2),FALSE),"")</f>
        <v/>
      </c>
      <c r="DBM6" s="27" t="str">
        <f>IFERROR(VLOOKUP(DATE($K$1,$K$2,DBM$4),Table1[],(MATCH(Calendar!$A6,DB!1:1,0)+2),FALSE),"")</f>
        <v/>
      </c>
      <c r="DBN6" s="27" t="str">
        <f>IFERROR(VLOOKUP(DATE($K$1,$K$2,DBN$4),Table1[],(MATCH(Calendar!$A6,DB!1:1,0)+2),FALSE),"")</f>
        <v/>
      </c>
      <c r="DBO6" s="27" t="str">
        <f>IFERROR(VLOOKUP(DATE($K$1,$K$2,DBO$4),Table1[],(MATCH(Calendar!$A6,DB!1:1,0)+2),FALSE),"")</f>
        <v/>
      </c>
      <c r="DBP6" s="27" t="str">
        <f>IFERROR(VLOOKUP(DATE($K$1,$K$2,DBP$4),Table1[],(MATCH(Calendar!$A6,DB!1:1,0)+2),FALSE),"")</f>
        <v/>
      </c>
      <c r="DBQ6" s="27" t="str">
        <f>IFERROR(VLOOKUP(DATE($K$1,$K$2,DBQ$4),Table1[],(MATCH(Calendar!$A6,DB!1:1,0)+2),FALSE),"")</f>
        <v/>
      </c>
      <c r="DBR6" s="27" t="str">
        <f>IFERROR(VLOOKUP(DATE($K$1,$K$2,DBR$4),Table1[],(MATCH(Calendar!$A6,DB!1:1,0)+2),FALSE),"")</f>
        <v/>
      </c>
      <c r="DBS6" s="27" t="str">
        <f>IFERROR(VLOOKUP(DATE($K$1,$K$2,DBS$4),Table1[],(MATCH(Calendar!$A6,DB!1:1,0)+2),FALSE),"")</f>
        <v/>
      </c>
      <c r="DBT6" s="27" t="str">
        <f>IFERROR(VLOOKUP(DATE($K$1,$K$2,DBT$4),Table1[],(MATCH(Calendar!$A6,DB!1:1,0)+2),FALSE),"")</f>
        <v/>
      </c>
      <c r="DBU6" s="27" t="str">
        <f>IFERROR(VLOOKUP(DATE($K$1,$K$2,DBU$4),Table1[],(MATCH(Calendar!$A6,DB!1:1,0)+2),FALSE),"")</f>
        <v/>
      </c>
      <c r="DBV6" s="27" t="str">
        <f>IFERROR(VLOOKUP(DATE($K$1,$K$2,DBV$4),Table1[],(MATCH(Calendar!$A6,DB!1:1,0)+2),FALSE),"")</f>
        <v/>
      </c>
      <c r="DBW6" s="27" t="str">
        <f>IFERROR(VLOOKUP(DATE($K$1,$K$2,DBW$4),Table1[],(MATCH(Calendar!$A6,DB!1:1,0)+2),FALSE),"")</f>
        <v/>
      </c>
      <c r="DBX6" s="27" t="str">
        <f>IFERROR(VLOOKUP(DATE($K$1,$K$2,DBX$4),Table1[],(MATCH(Calendar!$A6,DB!1:1,0)+2),FALSE),"")</f>
        <v/>
      </c>
      <c r="DBY6" s="27" t="str">
        <f>IFERROR(VLOOKUP(DATE($K$1,$K$2,DBY$4),Table1[],(MATCH(Calendar!$A6,DB!1:1,0)+2),FALSE),"")</f>
        <v/>
      </c>
      <c r="DBZ6" s="27" t="str">
        <f>IFERROR(VLOOKUP(DATE($K$1,$K$2,DBZ$4),Table1[],(MATCH(Calendar!$A6,DB!1:1,0)+2),FALSE),"")</f>
        <v/>
      </c>
      <c r="DCA6" s="27" t="str">
        <f>IFERROR(VLOOKUP(DATE($K$1,$K$2,DCA$4),Table1[],(MATCH(Calendar!$A6,DB!1:1,0)+2),FALSE),"")</f>
        <v/>
      </c>
      <c r="DCB6" s="27" t="str">
        <f>IFERROR(VLOOKUP(DATE($K$1,$K$2,DCB$4),Table1[],(MATCH(Calendar!$A6,DB!1:1,0)+2),FALSE),"")</f>
        <v/>
      </c>
      <c r="DCC6" s="27" t="str">
        <f>IFERROR(VLOOKUP(DATE($K$1,$K$2,DCC$4),Table1[],(MATCH(Calendar!$A6,DB!1:1,0)+2),FALSE),"")</f>
        <v/>
      </c>
      <c r="DCD6" s="27" t="str">
        <f>IFERROR(VLOOKUP(DATE($K$1,$K$2,DCD$4),Table1[],(MATCH(Calendar!$A6,DB!1:1,0)+2),FALSE),"")</f>
        <v/>
      </c>
      <c r="DCE6" s="27" t="str">
        <f>IFERROR(VLOOKUP(DATE($K$1,$K$2,DCE$4),Table1[],(MATCH(Calendar!$A6,DB!1:1,0)+2),FALSE),"")</f>
        <v/>
      </c>
      <c r="DCF6" s="27" t="str">
        <f>IFERROR(VLOOKUP(DATE($K$1,$K$2,DCF$4),Table1[],(MATCH(Calendar!$A6,DB!1:1,0)+2),FALSE),"")</f>
        <v/>
      </c>
      <c r="DCG6" s="27" t="str">
        <f>IFERROR(VLOOKUP(DATE($K$1,$K$2,DCG$4),Table1[],(MATCH(Calendar!$A6,DB!1:1,0)+2),FALSE),"")</f>
        <v/>
      </c>
      <c r="DCH6" s="27" t="str">
        <f>IFERROR(VLOOKUP(DATE($K$1,$K$2,DCH$4),Table1[],(MATCH(Calendar!$A6,DB!1:1,0)+2),FALSE),"")</f>
        <v/>
      </c>
      <c r="DCI6" s="27" t="str">
        <f>IFERROR(VLOOKUP(DATE($K$1,$K$2,DCI$4),Table1[],(MATCH(Calendar!$A6,DB!1:1,0)+2),FALSE),"")</f>
        <v/>
      </c>
      <c r="DCJ6" s="27" t="str">
        <f>IFERROR(VLOOKUP(DATE($K$1,$K$2,DCJ$4),Table1[],(MATCH(Calendar!$A6,DB!1:1,0)+2),FALSE),"")</f>
        <v/>
      </c>
      <c r="DCK6" s="27" t="str">
        <f>IFERROR(VLOOKUP(DATE($K$1,$K$2,DCK$4),Table1[],(MATCH(Calendar!$A6,DB!1:1,0)+2),FALSE),"")</f>
        <v/>
      </c>
      <c r="DCL6" s="27" t="str">
        <f>IFERROR(VLOOKUP(DATE($K$1,$K$2,DCL$4),Table1[],(MATCH(Calendar!$A6,DB!1:1,0)+2),FALSE),"")</f>
        <v/>
      </c>
      <c r="DCM6" s="27" t="str">
        <f>IFERROR(VLOOKUP(DATE($K$1,$K$2,DCM$4),Table1[],(MATCH(Calendar!$A6,DB!1:1,0)+2),FALSE),"")</f>
        <v/>
      </c>
      <c r="DCN6" s="27" t="str">
        <f>IFERROR(VLOOKUP(DATE($K$1,$K$2,DCN$4),Table1[],(MATCH(Calendar!$A6,DB!1:1,0)+2),FALSE),"")</f>
        <v/>
      </c>
      <c r="DCO6" s="27" t="str">
        <f>IFERROR(VLOOKUP(DATE($K$1,$K$2,DCO$4),Table1[],(MATCH(Calendar!$A6,DB!1:1,0)+2),FALSE),"")</f>
        <v/>
      </c>
      <c r="DCP6" s="27" t="str">
        <f>IFERROR(VLOOKUP(DATE($K$1,$K$2,DCP$4),Table1[],(MATCH(Calendar!$A6,DB!1:1,0)+2),FALSE),"")</f>
        <v/>
      </c>
      <c r="DCQ6" s="27" t="str">
        <f>IFERROR(VLOOKUP(DATE($K$1,$K$2,DCQ$4),Table1[],(MATCH(Calendar!$A6,DB!1:1,0)+2),FALSE),"")</f>
        <v/>
      </c>
      <c r="DCR6" s="27" t="str">
        <f>IFERROR(VLOOKUP(DATE($K$1,$K$2,DCR$4),Table1[],(MATCH(Calendar!$A6,DB!1:1,0)+2),FALSE),"")</f>
        <v/>
      </c>
      <c r="DCS6" s="27" t="str">
        <f>IFERROR(VLOOKUP(DATE($K$1,$K$2,DCS$4),Table1[],(MATCH(Calendar!$A6,DB!1:1,0)+2),FALSE),"")</f>
        <v/>
      </c>
      <c r="DCT6" s="27" t="str">
        <f>IFERROR(VLOOKUP(DATE($K$1,$K$2,DCT$4),Table1[],(MATCH(Calendar!$A6,DB!1:1,0)+2),FALSE),"")</f>
        <v/>
      </c>
      <c r="DCU6" s="27" t="str">
        <f>IFERROR(VLOOKUP(DATE($K$1,$K$2,DCU$4),Table1[],(MATCH(Calendar!$A6,DB!1:1,0)+2),FALSE),"")</f>
        <v/>
      </c>
      <c r="DCV6" s="27" t="str">
        <f>IFERROR(VLOOKUP(DATE($K$1,$K$2,DCV$4),Table1[],(MATCH(Calendar!$A6,DB!1:1,0)+2),FALSE),"")</f>
        <v/>
      </c>
      <c r="DCW6" s="27" t="str">
        <f>IFERROR(VLOOKUP(DATE($K$1,$K$2,DCW$4),Table1[],(MATCH(Calendar!$A6,DB!1:1,0)+2),FALSE),"")</f>
        <v/>
      </c>
      <c r="DCX6" s="27" t="str">
        <f>IFERROR(VLOOKUP(DATE($K$1,$K$2,DCX$4),Table1[],(MATCH(Calendar!$A6,DB!1:1,0)+2),FALSE),"")</f>
        <v/>
      </c>
      <c r="DCY6" s="27" t="str">
        <f>IFERROR(VLOOKUP(DATE($K$1,$K$2,DCY$4),Table1[],(MATCH(Calendar!$A6,DB!1:1,0)+2),FALSE),"")</f>
        <v/>
      </c>
      <c r="DCZ6" s="27" t="str">
        <f>IFERROR(VLOOKUP(DATE($K$1,$K$2,DCZ$4),Table1[],(MATCH(Calendar!$A6,DB!1:1,0)+2),FALSE),"")</f>
        <v/>
      </c>
      <c r="DDA6" s="27" t="str">
        <f>IFERROR(VLOOKUP(DATE($K$1,$K$2,DDA$4),Table1[],(MATCH(Calendar!$A6,DB!1:1,0)+2),FALSE),"")</f>
        <v/>
      </c>
      <c r="DDB6" s="27" t="str">
        <f>IFERROR(VLOOKUP(DATE($K$1,$K$2,DDB$4),Table1[],(MATCH(Calendar!$A6,DB!1:1,0)+2),FALSE),"")</f>
        <v/>
      </c>
      <c r="DDC6" s="27" t="str">
        <f>IFERROR(VLOOKUP(DATE($K$1,$K$2,DDC$4),Table1[],(MATCH(Calendar!$A6,DB!1:1,0)+2),FALSE),"")</f>
        <v/>
      </c>
      <c r="DDD6" s="27" t="str">
        <f>IFERROR(VLOOKUP(DATE($K$1,$K$2,DDD$4),Table1[],(MATCH(Calendar!$A6,DB!1:1,0)+2),FALSE),"")</f>
        <v/>
      </c>
      <c r="DDE6" s="27" t="str">
        <f>IFERROR(VLOOKUP(DATE($K$1,$K$2,DDE$4),Table1[],(MATCH(Calendar!$A6,DB!1:1,0)+2),FALSE),"")</f>
        <v/>
      </c>
      <c r="DDF6" s="27" t="str">
        <f>IFERROR(VLOOKUP(DATE($K$1,$K$2,DDF$4),Table1[],(MATCH(Calendar!$A6,DB!1:1,0)+2),FALSE),"")</f>
        <v/>
      </c>
      <c r="DDG6" s="27" t="str">
        <f>IFERROR(VLOOKUP(DATE($K$1,$K$2,DDG$4),Table1[],(MATCH(Calendar!$A6,DB!1:1,0)+2),FALSE),"")</f>
        <v/>
      </c>
      <c r="DDH6" s="27" t="str">
        <f>IFERROR(VLOOKUP(DATE($K$1,$K$2,DDH$4),Table1[],(MATCH(Calendar!$A6,DB!1:1,0)+2),FALSE),"")</f>
        <v/>
      </c>
      <c r="DDI6" s="27" t="str">
        <f>IFERROR(VLOOKUP(DATE($K$1,$K$2,DDI$4),Table1[],(MATCH(Calendar!$A6,DB!1:1,0)+2),FALSE),"")</f>
        <v/>
      </c>
      <c r="DDJ6" s="27" t="str">
        <f>IFERROR(VLOOKUP(DATE($K$1,$K$2,DDJ$4),Table1[],(MATCH(Calendar!$A6,DB!1:1,0)+2),FALSE),"")</f>
        <v/>
      </c>
      <c r="DDK6" s="27" t="str">
        <f>IFERROR(VLOOKUP(DATE($K$1,$K$2,DDK$4),Table1[],(MATCH(Calendar!$A6,DB!1:1,0)+2),FALSE),"")</f>
        <v/>
      </c>
      <c r="DDL6" s="27" t="str">
        <f>IFERROR(VLOOKUP(DATE($K$1,$K$2,DDL$4),Table1[],(MATCH(Calendar!$A6,DB!1:1,0)+2),FALSE),"")</f>
        <v/>
      </c>
      <c r="DDM6" s="27" t="str">
        <f>IFERROR(VLOOKUP(DATE($K$1,$K$2,DDM$4),Table1[],(MATCH(Calendar!$A6,DB!1:1,0)+2),FALSE),"")</f>
        <v/>
      </c>
      <c r="DDN6" s="27" t="str">
        <f>IFERROR(VLOOKUP(DATE($K$1,$K$2,DDN$4),Table1[],(MATCH(Calendar!$A6,DB!1:1,0)+2),FALSE),"")</f>
        <v/>
      </c>
      <c r="DDO6" s="27" t="str">
        <f>IFERROR(VLOOKUP(DATE($K$1,$K$2,DDO$4),Table1[],(MATCH(Calendar!$A6,DB!1:1,0)+2),FALSE),"")</f>
        <v/>
      </c>
      <c r="DDP6" s="27" t="str">
        <f>IFERROR(VLOOKUP(DATE($K$1,$K$2,DDP$4),Table1[],(MATCH(Calendar!$A6,DB!1:1,0)+2),FALSE),"")</f>
        <v/>
      </c>
      <c r="DDQ6" s="27" t="str">
        <f>IFERROR(VLOOKUP(DATE($K$1,$K$2,DDQ$4),Table1[],(MATCH(Calendar!$A6,DB!1:1,0)+2),FALSE),"")</f>
        <v/>
      </c>
      <c r="DDR6" s="27" t="str">
        <f>IFERROR(VLOOKUP(DATE($K$1,$K$2,DDR$4),Table1[],(MATCH(Calendar!$A6,DB!1:1,0)+2),FALSE),"")</f>
        <v/>
      </c>
      <c r="DDS6" s="27" t="str">
        <f>IFERROR(VLOOKUP(DATE($K$1,$K$2,DDS$4),Table1[],(MATCH(Calendar!$A6,DB!1:1,0)+2),FALSE),"")</f>
        <v/>
      </c>
      <c r="DDT6" s="27" t="str">
        <f>IFERROR(VLOOKUP(DATE($K$1,$K$2,DDT$4),Table1[],(MATCH(Calendar!$A6,DB!1:1,0)+2),FALSE),"")</f>
        <v/>
      </c>
      <c r="DDU6" s="27" t="str">
        <f>IFERROR(VLOOKUP(DATE($K$1,$K$2,DDU$4),Table1[],(MATCH(Calendar!$A6,DB!1:1,0)+2),FALSE),"")</f>
        <v/>
      </c>
      <c r="DDV6" s="27" t="str">
        <f>IFERROR(VLOOKUP(DATE($K$1,$K$2,DDV$4),Table1[],(MATCH(Calendar!$A6,DB!1:1,0)+2),FALSE),"")</f>
        <v/>
      </c>
      <c r="DDW6" s="27" t="str">
        <f>IFERROR(VLOOKUP(DATE($K$1,$K$2,DDW$4),Table1[],(MATCH(Calendar!$A6,DB!1:1,0)+2),FALSE),"")</f>
        <v/>
      </c>
      <c r="DDX6" s="27" t="str">
        <f>IFERROR(VLOOKUP(DATE($K$1,$K$2,DDX$4),Table1[],(MATCH(Calendar!$A6,DB!1:1,0)+2),FALSE),"")</f>
        <v/>
      </c>
      <c r="DDY6" s="27" t="str">
        <f>IFERROR(VLOOKUP(DATE($K$1,$K$2,DDY$4),Table1[],(MATCH(Calendar!$A6,DB!1:1,0)+2),FALSE),"")</f>
        <v/>
      </c>
      <c r="DDZ6" s="27" t="str">
        <f>IFERROR(VLOOKUP(DATE($K$1,$K$2,DDZ$4),Table1[],(MATCH(Calendar!$A6,DB!1:1,0)+2),FALSE),"")</f>
        <v/>
      </c>
      <c r="DEA6" s="27" t="str">
        <f>IFERROR(VLOOKUP(DATE($K$1,$K$2,DEA$4),Table1[],(MATCH(Calendar!$A6,DB!1:1,0)+2),FALSE),"")</f>
        <v/>
      </c>
      <c r="DEB6" s="27" t="str">
        <f>IFERROR(VLOOKUP(DATE($K$1,$K$2,DEB$4),Table1[],(MATCH(Calendar!$A6,DB!1:1,0)+2),FALSE),"")</f>
        <v/>
      </c>
      <c r="DEC6" s="27" t="str">
        <f>IFERROR(VLOOKUP(DATE($K$1,$K$2,DEC$4),Table1[],(MATCH(Calendar!$A6,DB!1:1,0)+2),FALSE),"")</f>
        <v/>
      </c>
      <c r="DED6" s="27" t="str">
        <f>IFERROR(VLOOKUP(DATE($K$1,$K$2,DED$4),Table1[],(MATCH(Calendar!$A6,DB!1:1,0)+2),FALSE),"")</f>
        <v/>
      </c>
      <c r="DEE6" s="27" t="str">
        <f>IFERROR(VLOOKUP(DATE($K$1,$K$2,DEE$4),Table1[],(MATCH(Calendar!$A6,DB!1:1,0)+2),FALSE),"")</f>
        <v/>
      </c>
      <c r="DEF6" s="27" t="str">
        <f>IFERROR(VLOOKUP(DATE($K$1,$K$2,DEF$4),Table1[],(MATCH(Calendar!$A6,DB!1:1,0)+2),FALSE),"")</f>
        <v/>
      </c>
      <c r="DEG6" s="27" t="str">
        <f>IFERROR(VLOOKUP(DATE($K$1,$K$2,DEG$4),Table1[],(MATCH(Calendar!$A6,DB!1:1,0)+2),FALSE),"")</f>
        <v/>
      </c>
      <c r="DEH6" s="27" t="str">
        <f>IFERROR(VLOOKUP(DATE($K$1,$K$2,DEH$4),Table1[],(MATCH(Calendar!$A6,DB!1:1,0)+2),FALSE),"")</f>
        <v/>
      </c>
      <c r="DEI6" s="27" t="str">
        <f>IFERROR(VLOOKUP(DATE($K$1,$K$2,DEI$4),Table1[],(MATCH(Calendar!$A6,DB!1:1,0)+2),FALSE),"")</f>
        <v/>
      </c>
      <c r="DEJ6" s="27" t="str">
        <f>IFERROR(VLOOKUP(DATE($K$1,$K$2,DEJ$4),Table1[],(MATCH(Calendar!$A6,DB!1:1,0)+2),FALSE),"")</f>
        <v/>
      </c>
      <c r="DEK6" s="27" t="str">
        <f>IFERROR(VLOOKUP(DATE($K$1,$K$2,DEK$4),Table1[],(MATCH(Calendar!$A6,DB!1:1,0)+2),FALSE),"")</f>
        <v/>
      </c>
      <c r="DEL6" s="27" t="str">
        <f>IFERROR(VLOOKUP(DATE($K$1,$K$2,DEL$4),Table1[],(MATCH(Calendar!$A6,DB!1:1,0)+2),FALSE),"")</f>
        <v/>
      </c>
      <c r="DEM6" s="27" t="str">
        <f>IFERROR(VLOOKUP(DATE($K$1,$K$2,DEM$4),Table1[],(MATCH(Calendar!$A6,DB!1:1,0)+2),FALSE),"")</f>
        <v/>
      </c>
      <c r="DEN6" s="27" t="str">
        <f>IFERROR(VLOOKUP(DATE($K$1,$K$2,DEN$4),Table1[],(MATCH(Calendar!$A6,DB!1:1,0)+2),FALSE),"")</f>
        <v/>
      </c>
      <c r="DEO6" s="27" t="str">
        <f>IFERROR(VLOOKUP(DATE($K$1,$K$2,DEO$4),Table1[],(MATCH(Calendar!$A6,DB!1:1,0)+2),FALSE),"")</f>
        <v/>
      </c>
      <c r="DEP6" s="27" t="str">
        <f>IFERROR(VLOOKUP(DATE($K$1,$K$2,DEP$4),Table1[],(MATCH(Calendar!$A6,DB!1:1,0)+2),FALSE),"")</f>
        <v/>
      </c>
      <c r="DEQ6" s="27" t="str">
        <f>IFERROR(VLOOKUP(DATE($K$1,$K$2,DEQ$4),Table1[],(MATCH(Calendar!$A6,DB!1:1,0)+2),FALSE),"")</f>
        <v/>
      </c>
      <c r="DER6" s="27" t="str">
        <f>IFERROR(VLOOKUP(DATE($K$1,$K$2,DER$4),Table1[],(MATCH(Calendar!$A6,DB!1:1,0)+2),FALSE),"")</f>
        <v/>
      </c>
      <c r="DES6" s="27" t="str">
        <f>IFERROR(VLOOKUP(DATE($K$1,$K$2,DES$4),Table1[],(MATCH(Calendar!$A6,DB!1:1,0)+2),FALSE),"")</f>
        <v/>
      </c>
      <c r="DET6" s="27" t="str">
        <f>IFERROR(VLOOKUP(DATE($K$1,$K$2,DET$4),Table1[],(MATCH(Calendar!$A6,DB!1:1,0)+2),FALSE),"")</f>
        <v/>
      </c>
      <c r="DEU6" s="27" t="str">
        <f>IFERROR(VLOOKUP(DATE($K$1,$K$2,DEU$4),Table1[],(MATCH(Calendar!$A6,DB!1:1,0)+2),FALSE),"")</f>
        <v/>
      </c>
      <c r="DEV6" s="27" t="str">
        <f>IFERROR(VLOOKUP(DATE($K$1,$K$2,DEV$4),Table1[],(MATCH(Calendar!$A6,DB!1:1,0)+2),FALSE),"")</f>
        <v/>
      </c>
      <c r="DEW6" s="27" t="str">
        <f>IFERROR(VLOOKUP(DATE($K$1,$K$2,DEW$4),Table1[],(MATCH(Calendar!$A6,DB!1:1,0)+2),FALSE),"")</f>
        <v/>
      </c>
      <c r="DEX6" s="27" t="str">
        <f>IFERROR(VLOOKUP(DATE($K$1,$K$2,DEX$4),Table1[],(MATCH(Calendar!$A6,DB!1:1,0)+2),FALSE),"")</f>
        <v/>
      </c>
      <c r="DEY6" s="27" t="str">
        <f>IFERROR(VLOOKUP(DATE($K$1,$K$2,DEY$4),Table1[],(MATCH(Calendar!$A6,DB!1:1,0)+2),FALSE),"")</f>
        <v/>
      </c>
      <c r="DEZ6" s="27" t="str">
        <f>IFERROR(VLOOKUP(DATE($K$1,$K$2,DEZ$4),Table1[],(MATCH(Calendar!$A6,DB!1:1,0)+2),FALSE),"")</f>
        <v/>
      </c>
      <c r="DFA6" s="27" t="str">
        <f>IFERROR(VLOOKUP(DATE($K$1,$K$2,DFA$4),Table1[],(MATCH(Calendar!$A6,DB!1:1,0)+2),FALSE),"")</f>
        <v/>
      </c>
      <c r="DFB6" s="27" t="str">
        <f>IFERROR(VLOOKUP(DATE($K$1,$K$2,DFB$4),Table1[],(MATCH(Calendar!$A6,DB!1:1,0)+2),FALSE),"")</f>
        <v/>
      </c>
      <c r="DFC6" s="27" t="str">
        <f>IFERROR(VLOOKUP(DATE($K$1,$K$2,DFC$4),Table1[],(MATCH(Calendar!$A6,DB!1:1,0)+2),FALSE),"")</f>
        <v/>
      </c>
      <c r="DFD6" s="27" t="str">
        <f>IFERROR(VLOOKUP(DATE($K$1,$K$2,DFD$4),Table1[],(MATCH(Calendar!$A6,DB!1:1,0)+2),FALSE),"")</f>
        <v/>
      </c>
      <c r="DFE6" s="27" t="str">
        <f>IFERROR(VLOOKUP(DATE($K$1,$K$2,DFE$4),Table1[],(MATCH(Calendar!$A6,DB!1:1,0)+2),FALSE),"")</f>
        <v/>
      </c>
      <c r="DFF6" s="27" t="str">
        <f>IFERROR(VLOOKUP(DATE($K$1,$K$2,DFF$4),Table1[],(MATCH(Calendar!$A6,DB!1:1,0)+2),FALSE),"")</f>
        <v/>
      </c>
      <c r="DFG6" s="27" t="str">
        <f>IFERROR(VLOOKUP(DATE($K$1,$K$2,DFG$4),Table1[],(MATCH(Calendar!$A6,DB!1:1,0)+2),FALSE),"")</f>
        <v/>
      </c>
      <c r="DFH6" s="27" t="str">
        <f>IFERROR(VLOOKUP(DATE($K$1,$K$2,DFH$4),Table1[],(MATCH(Calendar!$A6,DB!1:1,0)+2),FALSE),"")</f>
        <v/>
      </c>
      <c r="DFI6" s="27" t="str">
        <f>IFERROR(VLOOKUP(DATE($K$1,$K$2,DFI$4),Table1[],(MATCH(Calendar!$A6,DB!1:1,0)+2),FALSE),"")</f>
        <v/>
      </c>
      <c r="DFJ6" s="27" t="str">
        <f>IFERROR(VLOOKUP(DATE($K$1,$K$2,DFJ$4),Table1[],(MATCH(Calendar!$A6,DB!1:1,0)+2),FALSE),"")</f>
        <v/>
      </c>
      <c r="DFK6" s="27" t="str">
        <f>IFERROR(VLOOKUP(DATE($K$1,$K$2,DFK$4),Table1[],(MATCH(Calendar!$A6,DB!1:1,0)+2),FALSE),"")</f>
        <v/>
      </c>
      <c r="DFL6" s="27" t="str">
        <f>IFERROR(VLOOKUP(DATE($K$1,$K$2,DFL$4),Table1[],(MATCH(Calendar!$A6,DB!1:1,0)+2),FALSE),"")</f>
        <v/>
      </c>
      <c r="DFM6" s="27" t="str">
        <f>IFERROR(VLOOKUP(DATE($K$1,$K$2,DFM$4),Table1[],(MATCH(Calendar!$A6,DB!1:1,0)+2),FALSE),"")</f>
        <v/>
      </c>
      <c r="DFN6" s="27" t="str">
        <f>IFERROR(VLOOKUP(DATE($K$1,$K$2,DFN$4),Table1[],(MATCH(Calendar!$A6,DB!1:1,0)+2),FALSE),"")</f>
        <v/>
      </c>
      <c r="DFO6" s="27" t="str">
        <f>IFERROR(VLOOKUP(DATE($K$1,$K$2,DFO$4),Table1[],(MATCH(Calendar!$A6,DB!1:1,0)+2),FALSE),"")</f>
        <v/>
      </c>
      <c r="DFP6" s="27" t="str">
        <f>IFERROR(VLOOKUP(DATE($K$1,$K$2,DFP$4),Table1[],(MATCH(Calendar!$A6,DB!1:1,0)+2),FALSE),"")</f>
        <v/>
      </c>
      <c r="DFQ6" s="27" t="str">
        <f>IFERROR(VLOOKUP(DATE($K$1,$K$2,DFQ$4),Table1[],(MATCH(Calendar!$A6,DB!1:1,0)+2),FALSE),"")</f>
        <v/>
      </c>
      <c r="DFR6" s="27" t="str">
        <f>IFERROR(VLOOKUP(DATE($K$1,$K$2,DFR$4),Table1[],(MATCH(Calendar!$A6,DB!1:1,0)+2),FALSE),"")</f>
        <v/>
      </c>
      <c r="DFS6" s="27" t="str">
        <f>IFERROR(VLOOKUP(DATE($K$1,$K$2,DFS$4),Table1[],(MATCH(Calendar!$A6,DB!1:1,0)+2),FALSE),"")</f>
        <v/>
      </c>
      <c r="DFT6" s="27" t="str">
        <f>IFERROR(VLOOKUP(DATE($K$1,$K$2,DFT$4),Table1[],(MATCH(Calendar!$A6,DB!1:1,0)+2),FALSE),"")</f>
        <v/>
      </c>
      <c r="DFU6" s="27" t="str">
        <f>IFERROR(VLOOKUP(DATE($K$1,$K$2,DFU$4),Table1[],(MATCH(Calendar!$A6,DB!1:1,0)+2),FALSE),"")</f>
        <v/>
      </c>
      <c r="DFV6" s="27" t="str">
        <f>IFERROR(VLOOKUP(DATE($K$1,$K$2,DFV$4),Table1[],(MATCH(Calendar!$A6,DB!1:1,0)+2),FALSE),"")</f>
        <v/>
      </c>
      <c r="DFW6" s="27" t="str">
        <f>IFERROR(VLOOKUP(DATE($K$1,$K$2,DFW$4),Table1[],(MATCH(Calendar!$A6,DB!1:1,0)+2),FALSE),"")</f>
        <v/>
      </c>
      <c r="DFX6" s="27" t="str">
        <f>IFERROR(VLOOKUP(DATE($K$1,$K$2,DFX$4),Table1[],(MATCH(Calendar!$A6,DB!1:1,0)+2),FALSE),"")</f>
        <v/>
      </c>
      <c r="DFY6" s="27" t="str">
        <f>IFERROR(VLOOKUP(DATE($K$1,$K$2,DFY$4),Table1[],(MATCH(Calendar!$A6,DB!1:1,0)+2),FALSE),"")</f>
        <v/>
      </c>
      <c r="DFZ6" s="27" t="str">
        <f>IFERROR(VLOOKUP(DATE($K$1,$K$2,DFZ$4),Table1[],(MATCH(Calendar!$A6,DB!1:1,0)+2),FALSE),"")</f>
        <v/>
      </c>
      <c r="DGA6" s="27" t="str">
        <f>IFERROR(VLOOKUP(DATE($K$1,$K$2,DGA$4),Table1[],(MATCH(Calendar!$A6,DB!1:1,0)+2),FALSE),"")</f>
        <v/>
      </c>
      <c r="DGB6" s="27" t="str">
        <f>IFERROR(VLOOKUP(DATE($K$1,$K$2,DGB$4),Table1[],(MATCH(Calendar!$A6,DB!1:1,0)+2),FALSE),"")</f>
        <v/>
      </c>
      <c r="DGC6" s="27" t="str">
        <f>IFERROR(VLOOKUP(DATE($K$1,$K$2,DGC$4),Table1[],(MATCH(Calendar!$A6,DB!1:1,0)+2),FALSE),"")</f>
        <v/>
      </c>
      <c r="DGD6" s="27" t="str">
        <f>IFERROR(VLOOKUP(DATE($K$1,$K$2,DGD$4),Table1[],(MATCH(Calendar!$A6,DB!1:1,0)+2),FALSE),"")</f>
        <v/>
      </c>
      <c r="DGE6" s="27" t="str">
        <f>IFERROR(VLOOKUP(DATE($K$1,$K$2,DGE$4),Table1[],(MATCH(Calendar!$A6,DB!1:1,0)+2),FALSE),"")</f>
        <v/>
      </c>
      <c r="DGF6" s="27" t="str">
        <f>IFERROR(VLOOKUP(DATE($K$1,$K$2,DGF$4),Table1[],(MATCH(Calendar!$A6,DB!1:1,0)+2),FALSE),"")</f>
        <v/>
      </c>
      <c r="DGG6" s="27" t="str">
        <f>IFERROR(VLOOKUP(DATE($K$1,$K$2,DGG$4),Table1[],(MATCH(Calendar!$A6,DB!1:1,0)+2),FALSE),"")</f>
        <v/>
      </c>
      <c r="DGH6" s="27" t="str">
        <f>IFERROR(VLOOKUP(DATE($K$1,$K$2,DGH$4),Table1[],(MATCH(Calendar!$A6,DB!1:1,0)+2),FALSE),"")</f>
        <v/>
      </c>
      <c r="DGI6" s="27" t="str">
        <f>IFERROR(VLOOKUP(DATE($K$1,$K$2,DGI$4),Table1[],(MATCH(Calendar!$A6,DB!1:1,0)+2),FALSE),"")</f>
        <v/>
      </c>
      <c r="DGJ6" s="27" t="str">
        <f>IFERROR(VLOOKUP(DATE($K$1,$K$2,DGJ$4),Table1[],(MATCH(Calendar!$A6,DB!1:1,0)+2),FALSE),"")</f>
        <v/>
      </c>
      <c r="DGK6" s="27" t="str">
        <f>IFERROR(VLOOKUP(DATE($K$1,$K$2,DGK$4),Table1[],(MATCH(Calendar!$A6,DB!1:1,0)+2),FALSE),"")</f>
        <v/>
      </c>
      <c r="DGL6" s="27" t="str">
        <f>IFERROR(VLOOKUP(DATE($K$1,$K$2,DGL$4),Table1[],(MATCH(Calendar!$A6,DB!1:1,0)+2),FALSE),"")</f>
        <v/>
      </c>
      <c r="DGM6" s="27" t="str">
        <f>IFERROR(VLOOKUP(DATE($K$1,$K$2,DGM$4),Table1[],(MATCH(Calendar!$A6,DB!1:1,0)+2),FALSE),"")</f>
        <v/>
      </c>
      <c r="DGN6" s="27" t="str">
        <f>IFERROR(VLOOKUP(DATE($K$1,$K$2,DGN$4),Table1[],(MATCH(Calendar!$A6,DB!1:1,0)+2),FALSE),"")</f>
        <v/>
      </c>
      <c r="DGO6" s="27" t="str">
        <f>IFERROR(VLOOKUP(DATE($K$1,$K$2,DGO$4),Table1[],(MATCH(Calendar!$A6,DB!1:1,0)+2),FALSE),"")</f>
        <v/>
      </c>
      <c r="DGP6" s="27" t="str">
        <f>IFERROR(VLOOKUP(DATE($K$1,$K$2,DGP$4),Table1[],(MATCH(Calendar!$A6,DB!1:1,0)+2),FALSE),"")</f>
        <v/>
      </c>
      <c r="DGQ6" s="27" t="str">
        <f>IFERROR(VLOOKUP(DATE($K$1,$K$2,DGQ$4),Table1[],(MATCH(Calendar!$A6,DB!1:1,0)+2),FALSE),"")</f>
        <v/>
      </c>
      <c r="DGR6" s="27" t="str">
        <f>IFERROR(VLOOKUP(DATE($K$1,$K$2,DGR$4),Table1[],(MATCH(Calendar!$A6,DB!1:1,0)+2),FALSE),"")</f>
        <v/>
      </c>
      <c r="DGS6" s="27" t="str">
        <f>IFERROR(VLOOKUP(DATE($K$1,$K$2,DGS$4),Table1[],(MATCH(Calendar!$A6,DB!1:1,0)+2),FALSE),"")</f>
        <v/>
      </c>
      <c r="DGT6" s="27" t="str">
        <f>IFERROR(VLOOKUP(DATE($K$1,$K$2,DGT$4),Table1[],(MATCH(Calendar!$A6,DB!1:1,0)+2),FALSE),"")</f>
        <v/>
      </c>
      <c r="DGU6" s="27" t="str">
        <f>IFERROR(VLOOKUP(DATE($K$1,$K$2,DGU$4),Table1[],(MATCH(Calendar!$A6,DB!1:1,0)+2),FALSE),"")</f>
        <v/>
      </c>
      <c r="DGV6" s="27" t="str">
        <f>IFERROR(VLOOKUP(DATE($K$1,$K$2,DGV$4),Table1[],(MATCH(Calendar!$A6,DB!1:1,0)+2),FALSE),"")</f>
        <v/>
      </c>
      <c r="DGW6" s="27" t="str">
        <f>IFERROR(VLOOKUP(DATE($K$1,$K$2,DGW$4),Table1[],(MATCH(Calendar!$A6,DB!1:1,0)+2),FALSE),"")</f>
        <v/>
      </c>
      <c r="DGX6" s="27" t="str">
        <f>IFERROR(VLOOKUP(DATE($K$1,$K$2,DGX$4),Table1[],(MATCH(Calendar!$A6,DB!1:1,0)+2),FALSE),"")</f>
        <v/>
      </c>
      <c r="DGY6" s="27" t="str">
        <f>IFERROR(VLOOKUP(DATE($K$1,$K$2,DGY$4),Table1[],(MATCH(Calendar!$A6,DB!1:1,0)+2),FALSE),"")</f>
        <v/>
      </c>
      <c r="DGZ6" s="27" t="str">
        <f>IFERROR(VLOOKUP(DATE($K$1,$K$2,DGZ$4),Table1[],(MATCH(Calendar!$A6,DB!1:1,0)+2),FALSE),"")</f>
        <v/>
      </c>
      <c r="DHA6" s="27" t="str">
        <f>IFERROR(VLOOKUP(DATE($K$1,$K$2,DHA$4),Table1[],(MATCH(Calendar!$A6,DB!1:1,0)+2),FALSE),"")</f>
        <v/>
      </c>
      <c r="DHB6" s="27" t="str">
        <f>IFERROR(VLOOKUP(DATE($K$1,$K$2,DHB$4),Table1[],(MATCH(Calendar!$A6,DB!1:1,0)+2),FALSE),"")</f>
        <v/>
      </c>
      <c r="DHC6" s="27" t="str">
        <f>IFERROR(VLOOKUP(DATE($K$1,$K$2,DHC$4),Table1[],(MATCH(Calendar!$A6,DB!1:1,0)+2),FALSE),"")</f>
        <v/>
      </c>
      <c r="DHD6" s="27" t="str">
        <f>IFERROR(VLOOKUP(DATE($K$1,$K$2,DHD$4),Table1[],(MATCH(Calendar!$A6,DB!1:1,0)+2),FALSE),"")</f>
        <v/>
      </c>
      <c r="DHE6" s="27" t="str">
        <f>IFERROR(VLOOKUP(DATE($K$1,$K$2,DHE$4),Table1[],(MATCH(Calendar!$A6,DB!1:1,0)+2),FALSE),"")</f>
        <v/>
      </c>
      <c r="DHF6" s="27" t="str">
        <f>IFERROR(VLOOKUP(DATE($K$1,$K$2,DHF$4),Table1[],(MATCH(Calendar!$A6,DB!1:1,0)+2),FALSE),"")</f>
        <v/>
      </c>
      <c r="DHG6" s="27" t="str">
        <f>IFERROR(VLOOKUP(DATE($K$1,$K$2,DHG$4),Table1[],(MATCH(Calendar!$A6,DB!1:1,0)+2),FALSE),"")</f>
        <v/>
      </c>
      <c r="DHH6" s="27" t="str">
        <f>IFERROR(VLOOKUP(DATE($K$1,$K$2,DHH$4),Table1[],(MATCH(Calendar!$A6,DB!1:1,0)+2),FALSE),"")</f>
        <v/>
      </c>
      <c r="DHI6" s="27" t="str">
        <f>IFERROR(VLOOKUP(DATE($K$1,$K$2,DHI$4),Table1[],(MATCH(Calendar!$A6,DB!1:1,0)+2),FALSE),"")</f>
        <v/>
      </c>
      <c r="DHJ6" s="27" t="str">
        <f>IFERROR(VLOOKUP(DATE($K$1,$K$2,DHJ$4),Table1[],(MATCH(Calendar!$A6,DB!1:1,0)+2),FALSE),"")</f>
        <v/>
      </c>
      <c r="DHK6" s="27" t="str">
        <f>IFERROR(VLOOKUP(DATE($K$1,$K$2,DHK$4),Table1[],(MATCH(Calendar!$A6,DB!1:1,0)+2),FALSE),"")</f>
        <v/>
      </c>
      <c r="DHL6" s="27" t="str">
        <f>IFERROR(VLOOKUP(DATE($K$1,$K$2,DHL$4),Table1[],(MATCH(Calendar!$A6,DB!1:1,0)+2),FALSE),"")</f>
        <v/>
      </c>
      <c r="DHM6" s="27" t="str">
        <f>IFERROR(VLOOKUP(DATE($K$1,$K$2,DHM$4),Table1[],(MATCH(Calendar!$A6,DB!1:1,0)+2),FALSE),"")</f>
        <v/>
      </c>
      <c r="DHN6" s="27" t="str">
        <f>IFERROR(VLOOKUP(DATE($K$1,$K$2,DHN$4),Table1[],(MATCH(Calendar!$A6,DB!1:1,0)+2),FALSE),"")</f>
        <v/>
      </c>
      <c r="DHO6" s="27" t="str">
        <f>IFERROR(VLOOKUP(DATE($K$1,$K$2,DHO$4),Table1[],(MATCH(Calendar!$A6,DB!1:1,0)+2),FALSE),"")</f>
        <v/>
      </c>
      <c r="DHP6" s="27" t="str">
        <f>IFERROR(VLOOKUP(DATE($K$1,$K$2,DHP$4),Table1[],(MATCH(Calendar!$A6,DB!1:1,0)+2),FALSE),"")</f>
        <v/>
      </c>
      <c r="DHQ6" s="27" t="str">
        <f>IFERROR(VLOOKUP(DATE($K$1,$K$2,DHQ$4),Table1[],(MATCH(Calendar!$A6,DB!1:1,0)+2),FALSE),"")</f>
        <v/>
      </c>
      <c r="DHR6" s="27" t="str">
        <f>IFERROR(VLOOKUP(DATE($K$1,$K$2,DHR$4),Table1[],(MATCH(Calendar!$A6,DB!1:1,0)+2),FALSE),"")</f>
        <v/>
      </c>
      <c r="DHS6" s="27" t="str">
        <f>IFERROR(VLOOKUP(DATE($K$1,$K$2,DHS$4),Table1[],(MATCH(Calendar!$A6,DB!1:1,0)+2),FALSE),"")</f>
        <v/>
      </c>
      <c r="DHT6" s="27" t="str">
        <f>IFERROR(VLOOKUP(DATE($K$1,$K$2,DHT$4),Table1[],(MATCH(Calendar!$A6,DB!1:1,0)+2),FALSE),"")</f>
        <v/>
      </c>
      <c r="DHU6" s="27" t="str">
        <f>IFERROR(VLOOKUP(DATE($K$1,$K$2,DHU$4),Table1[],(MATCH(Calendar!$A6,DB!1:1,0)+2),FALSE),"")</f>
        <v/>
      </c>
      <c r="DHV6" s="27" t="str">
        <f>IFERROR(VLOOKUP(DATE($K$1,$K$2,DHV$4),Table1[],(MATCH(Calendar!$A6,DB!1:1,0)+2),FALSE),"")</f>
        <v/>
      </c>
      <c r="DHW6" s="27" t="str">
        <f>IFERROR(VLOOKUP(DATE($K$1,$K$2,DHW$4),Table1[],(MATCH(Calendar!$A6,DB!1:1,0)+2),FALSE),"")</f>
        <v/>
      </c>
      <c r="DHX6" s="27" t="str">
        <f>IFERROR(VLOOKUP(DATE($K$1,$K$2,DHX$4),Table1[],(MATCH(Calendar!$A6,DB!1:1,0)+2),FALSE),"")</f>
        <v/>
      </c>
      <c r="DHY6" s="27" t="str">
        <f>IFERROR(VLOOKUP(DATE($K$1,$K$2,DHY$4),Table1[],(MATCH(Calendar!$A6,DB!1:1,0)+2),FALSE),"")</f>
        <v/>
      </c>
      <c r="DHZ6" s="27" t="str">
        <f>IFERROR(VLOOKUP(DATE($K$1,$K$2,DHZ$4),Table1[],(MATCH(Calendar!$A6,DB!1:1,0)+2),FALSE),"")</f>
        <v/>
      </c>
      <c r="DIA6" s="27" t="str">
        <f>IFERROR(VLOOKUP(DATE($K$1,$K$2,DIA$4),Table1[],(MATCH(Calendar!$A6,DB!1:1,0)+2),FALSE),"")</f>
        <v/>
      </c>
      <c r="DIB6" s="27" t="str">
        <f>IFERROR(VLOOKUP(DATE($K$1,$K$2,DIB$4),Table1[],(MATCH(Calendar!$A6,DB!1:1,0)+2),FALSE),"")</f>
        <v/>
      </c>
      <c r="DIC6" s="27" t="str">
        <f>IFERROR(VLOOKUP(DATE($K$1,$K$2,DIC$4),Table1[],(MATCH(Calendar!$A6,DB!1:1,0)+2),FALSE),"")</f>
        <v/>
      </c>
      <c r="DID6" s="27" t="str">
        <f>IFERROR(VLOOKUP(DATE($K$1,$K$2,DID$4),Table1[],(MATCH(Calendar!$A6,DB!1:1,0)+2),FALSE),"")</f>
        <v/>
      </c>
      <c r="DIE6" s="27" t="str">
        <f>IFERROR(VLOOKUP(DATE($K$1,$K$2,DIE$4),Table1[],(MATCH(Calendar!$A6,DB!1:1,0)+2),FALSE),"")</f>
        <v/>
      </c>
      <c r="DIF6" s="27" t="str">
        <f>IFERROR(VLOOKUP(DATE($K$1,$K$2,DIF$4),Table1[],(MATCH(Calendar!$A6,DB!1:1,0)+2),FALSE),"")</f>
        <v/>
      </c>
      <c r="DIG6" s="27" t="str">
        <f>IFERROR(VLOOKUP(DATE($K$1,$K$2,DIG$4),Table1[],(MATCH(Calendar!$A6,DB!1:1,0)+2),FALSE),"")</f>
        <v/>
      </c>
      <c r="DIH6" s="27" t="str">
        <f>IFERROR(VLOOKUP(DATE($K$1,$K$2,DIH$4),Table1[],(MATCH(Calendar!$A6,DB!1:1,0)+2),FALSE),"")</f>
        <v/>
      </c>
      <c r="DII6" s="27" t="str">
        <f>IFERROR(VLOOKUP(DATE($K$1,$K$2,DII$4),Table1[],(MATCH(Calendar!$A6,DB!1:1,0)+2),FALSE),"")</f>
        <v/>
      </c>
      <c r="DIJ6" s="27" t="str">
        <f>IFERROR(VLOOKUP(DATE($K$1,$K$2,DIJ$4),Table1[],(MATCH(Calendar!$A6,DB!1:1,0)+2),FALSE),"")</f>
        <v/>
      </c>
      <c r="DIK6" s="27" t="str">
        <f>IFERROR(VLOOKUP(DATE($K$1,$K$2,DIK$4),Table1[],(MATCH(Calendar!$A6,DB!1:1,0)+2),FALSE),"")</f>
        <v/>
      </c>
      <c r="DIL6" s="27" t="str">
        <f>IFERROR(VLOOKUP(DATE($K$1,$K$2,DIL$4),Table1[],(MATCH(Calendar!$A6,DB!1:1,0)+2),FALSE),"")</f>
        <v/>
      </c>
      <c r="DIM6" s="27" t="str">
        <f>IFERROR(VLOOKUP(DATE($K$1,$K$2,DIM$4),Table1[],(MATCH(Calendar!$A6,DB!1:1,0)+2),FALSE),"")</f>
        <v/>
      </c>
      <c r="DIN6" s="27" t="str">
        <f>IFERROR(VLOOKUP(DATE($K$1,$K$2,DIN$4),Table1[],(MATCH(Calendar!$A6,DB!1:1,0)+2),FALSE),"")</f>
        <v/>
      </c>
      <c r="DIO6" s="27" t="str">
        <f>IFERROR(VLOOKUP(DATE($K$1,$K$2,DIO$4),Table1[],(MATCH(Calendar!$A6,DB!1:1,0)+2),FALSE),"")</f>
        <v/>
      </c>
      <c r="DIP6" s="27" t="str">
        <f>IFERROR(VLOOKUP(DATE($K$1,$K$2,DIP$4),Table1[],(MATCH(Calendar!$A6,DB!1:1,0)+2),FALSE),"")</f>
        <v/>
      </c>
      <c r="DIQ6" s="27" t="str">
        <f>IFERROR(VLOOKUP(DATE($K$1,$K$2,DIQ$4),Table1[],(MATCH(Calendar!$A6,DB!1:1,0)+2),FALSE),"")</f>
        <v/>
      </c>
      <c r="DIR6" s="27" t="str">
        <f>IFERROR(VLOOKUP(DATE($K$1,$K$2,DIR$4),Table1[],(MATCH(Calendar!$A6,DB!1:1,0)+2),FALSE),"")</f>
        <v/>
      </c>
      <c r="DIS6" s="27" t="str">
        <f>IFERROR(VLOOKUP(DATE($K$1,$K$2,DIS$4),Table1[],(MATCH(Calendar!$A6,DB!1:1,0)+2),FALSE),"")</f>
        <v/>
      </c>
      <c r="DIT6" s="27" t="str">
        <f>IFERROR(VLOOKUP(DATE($K$1,$K$2,DIT$4),Table1[],(MATCH(Calendar!$A6,DB!1:1,0)+2),FALSE),"")</f>
        <v/>
      </c>
      <c r="DIU6" s="27" t="str">
        <f>IFERROR(VLOOKUP(DATE($K$1,$K$2,DIU$4),Table1[],(MATCH(Calendar!$A6,DB!1:1,0)+2),FALSE),"")</f>
        <v/>
      </c>
      <c r="DIV6" s="27" t="str">
        <f>IFERROR(VLOOKUP(DATE($K$1,$K$2,DIV$4),Table1[],(MATCH(Calendar!$A6,DB!1:1,0)+2),FALSE),"")</f>
        <v/>
      </c>
      <c r="DIW6" s="27" t="str">
        <f>IFERROR(VLOOKUP(DATE($K$1,$K$2,DIW$4),Table1[],(MATCH(Calendar!$A6,DB!1:1,0)+2),FALSE),"")</f>
        <v/>
      </c>
      <c r="DIX6" s="27" t="str">
        <f>IFERROR(VLOOKUP(DATE($K$1,$K$2,DIX$4),Table1[],(MATCH(Calendar!$A6,DB!1:1,0)+2),FALSE),"")</f>
        <v/>
      </c>
      <c r="DIY6" s="27" t="str">
        <f>IFERROR(VLOOKUP(DATE($K$1,$K$2,DIY$4),Table1[],(MATCH(Calendar!$A6,DB!1:1,0)+2),FALSE),"")</f>
        <v/>
      </c>
      <c r="DIZ6" s="27" t="str">
        <f>IFERROR(VLOOKUP(DATE($K$1,$K$2,DIZ$4),Table1[],(MATCH(Calendar!$A6,DB!1:1,0)+2),FALSE),"")</f>
        <v/>
      </c>
      <c r="DJA6" s="27" t="str">
        <f>IFERROR(VLOOKUP(DATE($K$1,$K$2,DJA$4),Table1[],(MATCH(Calendar!$A6,DB!1:1,0)+2),FALSE),"")</f>
        <v/>
      </c>
      <c r="DJB6" s="27" t="str">
        <f>IFERROR(VLOOKUP(DATE($K$1,$K$2,DJB$4),Table1[],(MATCH(Calendar!$A6,DB!1:1,0)+2),FALSE),"")</f>
        <v/>
      </c>
      <c r="DJC6" s="27" t="str">
        <f>IFERROR(VLOOKUP(DATE($K$1,$K$2,DJC$4),Table1[],(MATCH(Calendar!$A6,DB!1:1,0)+2),FALSE),"")</f>
        <v/>
      </c>
      <c r="DJD6" s="27" t="str">
        <f>IFERROR(VLOOKUP(DATE($K$1,$K$2,DJD$4),Table1[],(MATCH(Calendar!$A6,DB!1:1,0)+2),FALSE),"")</f>
        <v/>
      </c>
      <c r="DJE6" s="27" t="str">
        <f>IFERROR(VLOOKUP(DATE($K$1,$K$2,DJE$4),Table1[],(MATCH(Calendar!$A6,DB!1:1,0)+2),FALSE),"")</f>
        <v/>
      </c>
      <c r="DJF6" s="27" t="str">
        <f>IFERROR(VLOOKUP(DATE($K$1,$K$2,DJF$4),Table1[],(MATCH(Calendar!$A6,DB!1:1,0)+2),FALSE),"")</f>
        <v/>
      </c>
      <c r="DJG6" s="27" t="str">
        <f>IFERROR(VLOOKUP(DATE($K$1,$K$2,DJG$4),Table1[],(MATCH(Calendar!$A6,DB!1:1,0)+2),FALSE),"")</f>
        <v/>
      </c>
      <c r="DJH6" s="27" t="str">
        <f>IFERROR(VLOOKUP(DATE($K$1,$K$2,DJH$4),Table1[],(MATCH(Calendar!$A6,DB!1:1,0)+2),FALSE),"")</f>
        <v/>
      </c>
      <c r="DJI6" s="27" t="str">
        <f>IFERROR(VLOOKUP(DATE($K$1,$K$2,DJI$4),Table1[],(MATCH(Calendar!$A6,DB!1:1,0)+2),FALSE),"")</f>
        <v/>
      </c>
      <c r="DJJ6" s="27" t="str">
        <f>IFERROR(VLOOKUP(DATE($K$1,$K$2,DJJ$4),Table1[],(MATCH(Calendar!$A6,DB!1:1,0)+2),FALSE),"")</f>
        <v/>
      </c>
      <c r="DJK6" s="27" t="str">
        <f>IFERROR(VLOOKUP(DATE($K$1,$K$2,DJK$4),Table1[],(MATCH(Calendar!$A6,DB!1:1,0)+2),FALSE),"")</f>
        <v/>
      </c>
      <c r="DJL6" s="27" t="str">
        <f>IFERROR(VLOOKUP(DATE($K$1,$K$2,DJL$4),Table1[],(MATCH(Calendar!$A6,DB!1:1,0)+2),FALSE),"")</f>
        <v/>
      </c>
      <c r="DJM6" s="27" t="str">
        <f>IFERROR(VLOOKUP(DATE($K$1,$K$2,DJM$4),Table1[],(MATCH(Calendar!$A6,DB!1:1,0)+2),FALSE),"")</f>
        <v/>
      </c>
      <c r="DJN6" s="27" t="str">
        <f>IFERROR(VLOOKUP(DATE($K$1,$K$2,DJN$4),Table1[],(MATCH(Calendar!$A6,DB!1:1,0)+2),FALSE),"")</f>
        <v/>
      </c>
      <c r="DJO6" s="27" t="str">
        <f>IFERROR(VLOOKUP(DATE($K$1,$K$2,DJO$4),Table1[],(MATCH(Calendar!$A6,DB!1:1,0)+2),FALSE),"")</f>
        <v/>
      </c>
      <c r="DJP6" s="27" t="str">
        <f>IFERROR(VLOOKUP(DATE($K$1,$K$2,DJP$4),Table1[],(MATCH(Calendar!$A6,DB!1:1,0)+2),FALSE),"")</f>
        <v/>
      </c>
      <c r="DJQ6" s="27" t="str">
        <f>IFERROR(VLOOKUP(DATE($K$1,$K$2,DJQ$4),Table1[],(MATCH(Calendar!$A6,DB!1:1,0)+2),FALSE),"")</f>
        <v/>
      </c>
      <c r="DJR6" s="27" t="str">
        <f>IFERROR(VLOOKUP(DATE($K$1,$K$2,DJR$4),Table1[],(MATCH(Calendar!$A6,DB!1:1,0)+2),FALSE),"")</f>
        <v/>
      </c>
      <c r="DJS6" s="27" t="str">
        <f>IFERROR(VLOOKUP(DATE($K$1,$K$2,DJS$4),Table1[],(MATCH(Calendar!$A6,DB!1:1,0)+2),FALSE),"")</f>
        <v/>
      </c>
      <c r="DJT6" s="27" t="str">
        <f>IFERROR(VLOOKUP(DATE($K$1,$K$2,DJT$4),Table1[],(MATCH(Calendar!$A6,DB!1:1,0)+2),FALSE),"")</f>
        <v/>
      </c>
      <c r="DJU6" s="27" t="str">
        <f>IFERROR(VLOOKUP(DATE($K$1,$K$2,DJU$4),Table1[],(MATCH(Calendar!$A6,DB!1:1,0)+2),FALSE),"")</f>
        <v/>
      </c>
      <c r="DJV6" s="27" t="str">
        <f>IFERROR(VLOOKUP(DATE($K$1,$K$2,DJV$4),Table1[],(MATCH(Calendar!$A6,DB!1:1,0)+2),FALSE),"")</f>
        <v/>
      </c>
      <c r="DJW6" s="27" t="str">
        <f>IFERROR(VLOOKUP(DATE($K$1,$K$2,DJW$4),Table1[],(MATCH(Calendar!$A6,DB!1:1,0)+2),FALSE),"")</f>
        <v/>
      </c>
      <c r="DJX6" s="27" t="str">
        <f>IFERROR(VLOOKUP(DATE($K$1,$K$2,DJX$4),Table1[],(MATCH(Calendar!$A6,DB!1:1,0)+2),FALSE),"")</f>
        <v/>
      </c>
      <c r="DJY6" s="27" t="str">
        <f>IFERROR(VLOOKUP(DATE($K$1,$K$2,DJY$4),Table1[],(MATCH(Calendar!$A6,DB!1:1,0)+2),FALSE),"")</f>
        <v/>
      </c>
      <c r="DJZ6" s="27" t="str">
        <f>IFERROR(VLOOKUP(DATE($K$1,$K$2,DJZ$4),Table1[],(MATCH(Calendar!$A6,DB!1:1,0)+2),FALSE),"")</f>
        <v/>
      </c>
      <c r="DKA6" s="27" t="str">
        <f>IFERROR(VLOOKUP(DATE($K$1,$K$2,DKA$4),Table1[],(MATCH(Calendar!$A6,DB!1:1,0)+2),FALSE),"")</f>
        <v/>
      </c>
      <c r="DKB6" s="27" t="str">
        <f>IFERROR(VLOOKUP(DATE($K$1,$K$2,DKB$4),Table1[],(MATCH(Calendar!$A6,DB!1:1,0)+2),FALSE),"")</f>
        <v/>
      </c>
      <c r="DKC6" s="27" t="str">
        <f>IFERROR(VLOOKUP(DATE($K$1,$K$2,DKC$4),Table1[],(MATCH(Calendar!$A6,DB!1:1,0)+2),FALSE),"")</f>
        <v/>
      </c>
      <c r="DKD6" s="27" t="str">
        <f>IFERROR(VLOOKUP(DATE($K$1,$K$2,DKD$4),Table1[],(MATCH(Calendar!$A6,DB!1:1,0)+2),FALSE),"")</f>
        <v/>
      </c>
      <c r="DKE6" s="27" t="str">
        <f>IFERROR(VLOOKUP(DATE($K$1,$K$2,DKE$4),Table1[],(MATCH(Calendar!$A6,DB!1:1,0)+2),FALSE),"")</f>
        <v/>
      </c>
      <c r="DKF6" s="27" t="str">
        <f>IFERROR(VLOOKUP(DATE($K$1,$K$2,DKF$4),Table1[],(MATCH(Calendar!$A6,DB!1:1,0)+2),FALSE),"")</f>
        <v/>
      </c>
      <c r="DKG6" s="27" t="str">
        <f>IFERROR(VLOOKUP(DATE($K$1,$K$2,DKG$4),Table1[],(MATCH(Calendar!$A6,DB!1:1,0)+2),FALSE),"")</f>
        <v/>
      </c>
      <c r="DKH6" s="27" t="str">
        <f>IFERROR(VLOOKUP(DATE($K$1,$K$2,DKH$4),Table1[],(MATCH(Calendar!$A6,DB!1:1,0)+2),FALSE),"")</f>
        <v/>
      </c>
      <c r="DKI6" s="27" t="str">
        <f>IFERROR(VLOOKUP(DATE($K$1,$K$2,DKI$4),Table1[],(MATCH(Calendar!$A6,DB!1:1,0)+2),FALSE),"")</f>
        <v/>
      </c>
      <c r="DKJ6" s="27" t="str">
        <f>IFERROR(VLOOKUP(DATE($K$1,$K$2,DKJ$4),Table1[],(MATCH(Calendar!$A6,DB!1:1,0)+2),FALSE),"")</f>
        <v/>
      </c>
      <c r="DKK6" s="27" t="str">
        <f>IFERROR(VLOOKUP(DATE($K$1,$K$2,DKK$4),Table1[],(MATCH(Calendar!$A6,DB!1:1,0)+2),FALSE),"")</f>
        <v/>
      </c>
      <c r="DKL6" s="27" t="str">
        <f>IFERROR(VLOOKUP(DATE($K$1,$K$2,DKL$4),Table1[],(MATCH(Calendar!$A6,DB!1:1,0)+2),FALSE),"")</f>
        <v/>
      </c>
      <c r="DKM6" s="27" t="str">
        <f>IFERROR(VLOOKUP(DATE($K$1,$K$2,DKM$4),Table1[],(MATCH(Calendar!$A6,DB!1:1,0)+2),FALSE),"")</f>
        <v/>
      </c>
      <c r="DKN6" s="27" t="str">
        <f>IFERROR(VLOOKUP(DATE($K$1,$K$2,DKN$4),Table1[],(MATCH(Calendar!$A6,DB!1:1,0)+2),FALSE),"")</f>
        <v/>
      </c>
      <c r="DKO6" s="27" t="str">
        <f>IFERROR(VLOOKUP(DATE($K$1,$K$2,DKO$4),Table1[],(MATCH(Calendar!$A6,DB!1:1,0)+2),FALSE),"")</f>
        <v/>
      </c>
      <c r="DKP6" s="27" t="str">
        <f>IFERROR(VLOOKUP(DATE($K$1,$K$2,DKP$4),Table1[],(MATCH(Calendar!$A6,DB!1:1,0)+2),FALSE),"")</f>
        <v/>
      </c>
      <c r="DKQ6" s="27" t="str">
        <f>IFERROR(VLOOKUP(DATE($K$1,$K$2,DKQ$4),Table1[],(MATCH(Calendar!$A6,DB!1:1,0)+2),FALSE),"")</f>
        <v/>
      </c>
      <c r="DKR6" s="27" t="str">
        <f>IFERROR(VLOOKUP(DATE($K$1,$K$2,DKR$4),Table1[],(MATCH(Calendar!$A6,DB!1:1,0)+2),FALSE),"")</f>
        <v/>
      </c>
      <c r="DKS6" s="27" t="str">
        <f>IFERROR(VLOOKUP(DATE($K$1,$K$2,DKS$4),Table1[],(MATCH(Calendar!$A6,DB!1:1,0)+2),FALSE),"")</f>
        <v/>
      </c>
      <c r="DKT6" s="27" t="str">
        <f>IFERROR(VLOOKUP(DATE($K$1,$K$2,DKT$4),Table1[],(MATCH(Calendar!$A6,DB!1:1,0)+2),FALSE),"")</f>
        <v/>
      </c>
      <c r="DKU6" s="27" t="str">
        <f>IFERROR(VLOOKUP(DATE($K$1,$K$2,DKU$4),Table1[],(MATCH(Calendar!$A6,DB!1:1,0)+2),FALSE),"")</f>
        <v/>
      </c>
      <c r="DKV6" s="27" t="str">
        <f>IFERROR(VLOOKUP(DATE($K$1,$K$2,DKV$4),Table1[],(MATCH(Calendar!$A6,DB!1:1,0)+2),FALSE),"")</f>
        <v/>
      </c>
      <c r="DKW6" s="27" t="str">
        <f>IFERROR(VLOOKUP(DATE($K$1,$K$2,DKW$4),Table1[],(MATCH(Calendar!$A6,DB!1:1,0)+2),FALSE),"")</f>
        <v/>
      </c>
      <c r="DKX6" s="27" t="str">
        <f>IFERROR(VLOOKUP(DATE($K$1,$K$2,DKX$4),Table1[],(MATCH(Calendar!$A6,DB!1:1,0)+2),FALSE),"")</f>
        <v/>
      </c>
      <c r="DKY6" s="27" t="str">
        <f>IFERROR(VLOOKUP(DATE($K$1,$K$2,DKY$4),Table1[],(MATCH(Calendar!$A6,DB!1:1,0)+2),FALSE),"")</f>
        <v/>
      </c>
      <c r="DKZ6" s="27" t="str">
        <f>IFERROR(VLOOKUP(DATE($K$1,$K$2,DKZ$4),Table1[],(MATCH(Calendar!$A6,DB!1:1,0)+2),FALSE),"")</f>
        <v/>
      </c>
      <c r="DLA6" s="27" t="str">
        <f>IFERROR(VLOOKUP(DATE($K$1,$K$2,DLA$4),Table1[],(MATCH(Calendar!$A6,DB!1:1,0)+2),FALSE),"")</f>
        <v/>
      </c>
      <c r="DLB6" s="27" t="str">
        <f>IFERROR(VLOOKUP(DATE($K$1,$K$2,DLB$4),Table1[],(MATCH(Calendar!$A6,DB!1:1,0)+2),FALSE),"")</f>
        <v/>
      </c>
      <c r="DLC6" s="27" t="str">
        <f>IFERROR(VLOOKUP(DATE($K$1,$K$2,DLC$4),Table1[],(MATCH(Calendar!$A6,DB!1:1,0)+2),FALSE),"")</f>
        <v/>
      </c>
      <c r="DLD6" s="27" t="str">
        <f>IFERROR(VLOOKUP(DATE($K$1,$K$2,DLD$4),Table1[],(MATCH(Calendar!$A6,DB!1:1,0)+2),FALSE),"")</f>
        <v/>
      </c>
      <c r="DLE6" s="27" t="str">
        <f>IFERROR(VLOOKUP(DATE($K$1,$K$2,DLE$4),Table1[],(MATCH(Calendar!$A6,DB!1:1,0)+2),FALSE),"")</f>
        <v/>
      </c>
      <c r="DLF6" s="27" t="str">
        <f>IFERROR(VLOOKUP(DATE($K$1,$K$2,DLF$4),Table1[],(MATCH(Calendar!$A6,DB!1:1,0)+2),FALSE),"")</f>
        <v/>
      </c>
      <c r="DLG6" s="27" t="str">
        <f>IFERROR(VLOOKUP(DATE($K$1,$K$2,DLG$4),Table1[],(MATCH(Calendar!$A6,DB!1:1,0)+2),FALSE),"")</f>
        <v/>
      </c>
      <c r="DLH6" s="27" t="str">
        <f>IFERROR(VLOOKUP(DATE($K$1,$K$2,DLH$4),Table1[],(MATCH(Calendar!$A6,DB!1:1,0)+2),FALSE),"")</f>
        <v/>
      </c>
      <c r="DLI6" s="27" t="str">
        <f>IFERROR(VLOOKUP(DATE($K$1,$K$2,DLI$4),Table1[],(MATCH(Calendar!$A6,DB!1:1,0)+2),FALSE),"")</f>
        <v/>
      </c>
      <c r="DLJ6" s="27" t="str">
        <f>IFERROR(VLOOKUP(DATE($K$1,$K$2,DLJ$4),Table1[],(MATCH(Calendar!$A6,DB!1:1,0)+2),FALSE),"")</f>
        <v/>
      </c>
      <c r="DLK6" s="27" t="str">
        <f>IFERROR(VLOOKUP(DATE($K$1,$K$2,DLK$4),Table1[],(MATCH(Calendar!$A6,DB!1:1,0)+2),FALSE),"")</f>
        <v/>
      </c>
      <c r="DLL6" s="27" t="str">
        <f>IFERROR(VLOOKUP(DATE($K$1,$K$2,DLL$4),Table1[],(MATCH(Calendar!$A6,DB!1:1,0)+2),FALSE),"")</f>
        <v/>
      </c>
      <c r="DLM6" s="27" t="str">
        <f>IFERROR(VLOOKUP(DATE($K$1,$K$2,DLM$4),Table1[],(MATCH(Calendar!$A6,DB!1:1,0)+2),FALSE),"")</f>
        <v/>
      </c>
      <c r="DLN6" s="27" t="str">
        <f>IFERROR(VLOOKUP(DATE($K$1,$K$2,DLN$4),Table1[],(MATCH(Calendar!$A6,DB!1:1,0)+2),FALSE),"")</f>
        <v/>
      </c>
      <c r="DLO6" s="27" t="str">
        <f>IFERROR(VLOOKUP(DATE($K$1,$K$2,DLO$4),Table1[],(MATCH(Calendar!$A6,DB!1:1,0)+2),FALSE),"")</f>
        <v/>
      </c>
      <c r="DLP6" s="27" t="str">
        <f>IFERROR(VLOOKUP(DATE($K$1,$K$2,DLP$4),Table1[],(MATCH(Calendar!$A6,DB!1:1,0)+2),FALSE),"")</f>
        <v/>
      </c>
      <c r="DLQ6" s="27" t="str">
        <f>IFERROR(VLOOKUP(DATE($K$1,$K$2,DLQ$4),Table1[],(MATCH(Calendar!$A6,DB!1:1,0)+2),FALSE),"")</f>
        <v/>
      </c>
      <c r="DLR6" s="27" t="str">
        <f>IFERROR(VLOOKUP(DATE($K$1,$K$2,DLR$4),Table1[],(MATCH(Calendar!$A6,DB!1:1,0)+2),FALSE),"")</f>
        <v/>
      </c>
      <c r="DLS6" s="27" t="str">
        <f>IFERROR(VLOOKUP(DATE($K$1,$K$2,DLS$4),Table1[],(MATCH(Calendar!$A6,DB!1:1,0)+2),FALSE),"")</f>
        <v/>
      </c>
      <c r="DLT6" s="27" t="str">
        <f>IFERROR(VLOOKUP(DATE($K$1,$K$2,DLT$4),Table1[],(MATCH(Calendar!$A6,DB!1:1,0)+2),FALSE),"")</f>
        <v/>
      </c>
      <c r="DLU6" s="27" t="str">
        <f>IFERROR(VLOOKUP(DATE($K$1,$K$2,DLU$4),Table1[],(MATCH(Calendar!$A6,DB!1:1,0)+2),FALSE),"")</f>
        <v/>
      </c>
      <c r="DLV6" s="27" t="str">
        <f>IFERROR(VLOOKUP(DATE($K$1,$K$2,DLV$4),Table1[],(MATCH(Calendar!$A6,DB!1:1,0)+2),FALSE),"")</f>
        <v/>
      </c>
      <c r="DLW6" s="27" t="str">
        <f>IFERROR(VLOOKUP(DATE($K$1,$K$2,DLW$4),Table1[],(MATCH(Calendar!$A6,DB!1:1,0)+2),FALSE),"")</f>
        <v/>
      </c>
      <c r="DLX6" s="27" t="str">
        <f>IFERROR(VLOOKUP(DATE($K$1,$K$2,DLX$4),Table1[],(MATCH(Calendar!$A6,DB!1:1,0)+2),FALSE),"")</f>
        <v/>
      </c>
      <c r="DLY6" s="27" t="str">
        <f>IFERROR(VLOOKUP(DATE($K$1,$K$2,DLY$4),Table1[],(MATCH(Calendar!$A6,DB!1:1,0)+2),FALSE),"")</f>
        <v/>
      </c>
      <c r="DLZ6" s="27" t="str">
        <f>IFERROR(VLOOKUP(DATE($K$1,$K$2,DLZ$4),Table1[],(MATCH(Calendar!$A6,DB!1:1,0)+2),FALSE),"")</f>
        <v/>
      </c>
      <c r="DMA6" s="27" t="str">
        <f>IFERROR(VLOOKUP(DATE($K$1,$K$2,DMA$4),Table1[],(MATCH(Calendar!$A6,DB!1:1,0)+2),FALSE),"")</f>
        <v/>
      </c>
      <c r="DMB6" s="27" t="str">
        <f>IFERROR(VLOOKUP(DATE($K$1,$K$2,DMB$4),Table1[],(MATCH(Calendar!$A6,DB!1:1,0)+2),FALSE),"")</f>
        <v/>
      </c>
      <c r="DMC6" s="27" t="str">
        <f>IFERROR(VLOOKUP(DATE($K$1,$K$2,DMC$4),Table1[],(MATCH(Calendar!$A6,DB!1:1,0)+2),FALSE),"")</f>
        <v/>
      </c>
      <c r="DMD6" s="27" t="str">
        <f>IFERROR(VLOOKUP(DATE($K$1,$K$2,DMD$4),Table1[],(MATCH(Calendar!$A6,DB!1:1,0)+2),FALSE),"")</f>
        <v/>
      </c>
      <c r="DME6" s="27" t="str">
        <f>IFERROR(VLOOKUP(DATE($K$1,$K$2,DME$4),Table1[],(MATCH(Calendar!$A6,DB!1:1,0)+2),FALSE),"")</f>
        <v/>
      </c>
      <c r="DMF6" s="27" t="str">
        <f>IFERROR(VLOOKUP(DATE($K$1,$K$2,DMF$4),Table1[],(MATCH(Calendar!$A6,DB!1:1,0)+2),FALSE),"")</f>
        <v/>
      </c>
      <c r="DMG6" s="27" t="str">
        <f>IFERROR(VLOOKUP(DATE($K$1,$K$2,DMG$4),Table1[],(MATCH(Calendar!$A6,DB!1:1,0)+2),FALSE),"")</f>
        <v/>
      </c>
      <c r="DMH6" s="27" t="str">
        <f>IFERROR(VLOOKUP(DATE($K$1,$K$2,DMH$4),Table1[],(MATCH(Calendar!$A6,DB!1:1,0)+2),FALSE),"")</f>
        <v/>
      </c>
      <c r="DMI6" s="27" t="str">
        <f>IFERROR(VLOOKUP(DATE($K$1,$K$2,DMI$4),Table1[],(MATCH(Calendar!$A6,DB!1:1,0)+2),FALSE),"")</f>
        <v/>
      </c>
      <c r="DMJ6" s="27" t="str">
        <f>IFERROR(VLOOKUP(DATE($K$1,$K$2,DMJ$4),Table1[],(MATCH(Calendar!$A6,DB!1:1,0)+2),FALSE),"")</f>
        <v/>
      </c>
      <c r="DMK6" s="27" t="str">
        <f>IFERROR(VLOOKUP(DATE($K$1,$K$2,DMK$4),Table1[],(MATCH(Calendar!$A6,DB!1:1,0)+2),FALSE),"")</f>
        <v/>
      </c>
      <c r="DML6" s="27" t="str">
        <f>IFERROR(VLOOKUP(DATE($K$1,$K$2,DML$4),Table1[],(MATCH(Calendar!$A6,DB!1:1,0)+2),FALSE),"")</f>
        <v/>
      </c>
      <c r="DMM6" s="27" t="str">
        <f>IFERROR(VLOOKUP(DATE($K$1,$K$2,DMM$4),Table1[],(MATCH(Calendar!$A6,DB!1:1,0)+2),FALSE),"")</f>
        <v/>
      </c>
      <c r="DMN6" s="27" t="str">
        <f>IFERROR(VLOOKUP(DATE($K$1,$K$2,DMN$4),Table1[],(MATCH(Calendar!$A6,DB!1:1,0)+2),FALSE),"")</f>
        <v/>
      </c>
      <c r="DMO6" s="27" t="str">
        <f>IFERROR(VLOOKUP(DATE($K$1,$K$2,DMO$4),Table1[],(MATCH(Calendar!$A6,DB!1:1,0)+2),FALSE),"")</f>
        <v/>
      </c>
      <c r="DMP6" s="27" t="str">
        <f>IFERROR(VLOOKUP(DATE($K$1,$K$2,DMP$4),Table1[],(MATCH(Calendar!$A6,DB!1:1,0)+2),FALSE),"")</f>
        <v/>
      </c>
      <c r="DMQ6" s="27" t="str">
        <f>IFERROR(VLOOKUP(DATE($K$1,$K$2,DMQ$4),Table1[],(MATCH(Calendar!$A6,DB!1:1,0)+2),FALSE),"")</f>
        <v/>
      </c>
      <c r="DMR6" s="27" t="str">
        <f>IFERROR(VLOOKUP(DATE($K$1,$K$2,DMR$4),Table1[],(MATCH(Calendar!$A6,DB!1:1,0)+2),FALSE),"")</f>
        <v/>
      </c>
      <c r="DMS6" s="27" t="str">
        <f>IFERROR(VLOOKUP(DATE($K$1,$K$2,DMS$4),Table1[],(MATCH(Calendar!$A6,DB!1:1,0)+2),FALSE),"")</f>
        <v/>
      </c>
      <c r="DMT6" s="27" t="str">
        <f>IFERROR(VLOOKUP(DATE($K$1,$K$2,DMT$4),Table1[],(MATCH(Calendar!$A6,DB!1:1,0)+2),FALSE),"")</f>
        <v/>
      </c>
      <c r="DMU6" s="27" t="str">
        <f>IFERROR(VLOOKUP(DATE($K$1,$K$2,DMU$4),Table1[],(MATCH(Calendar!$A6,DB!1:1,0)+2),FALSE),"")</f>
        <v/>
      </c>
      <c r="DMV6" s="27" t="str">
        <f>IFERROR(VLOOKUP(DATE($K$1,$K$2,DMV$4),Table1[],(MATCH(Calendar!$A6,DB!1:1,0)+2),FALSE),"")</f>
        <v/>
      </c>
      <c r="DMW6" s="27" t="str">
        <f>IFERROR(VLOOKUP(DATE($K$1,$K$2,DMW$4),Table1[],(MATCH(Calendar!$A6,DB!1:1,0)+2),FALSE),"")</f>
        <v/>
      </c>
      <c r="DMX6" s="27" t="str">
        <f>IFERROR(VLOOKUP(DATE($K$1,$K$2,DMX$4),Table1[],(MATCH(Calendar!$A6,DB!1:1,0)+2),FALSE),"")</f>
        <v/>
      </c>
      <c r="DMY6" s="27" t="str">
        <f>IFERROR(VLOOKUP(DATE($K$1,$K$2,DMY$4),Table1[],(MATCH(Calendar!$A6,DB!1:1,0)+2),FALSE),"")</f>
        <v/>
      </c>
      <c r="DMZ6" s="27" t="str">
        <f>IFERROR(VLOOKUP(DATE($K$1,$K$2,DMZ$4),Table1[],(MATCH(Calendar!$A6,DB!1:1,0)+2),FALSE),"")</f>
        <v/>
      </c>
      <c r="DNA6" s="27" t="str">
        <f>IFERROR(VLOOKUP(DATE($K$1,$K$2,DNA$4),Table1[],(MATCH(Calendar!$A6,DB!1:1,0)+2),FALSE),"")</f>
        <v/>
      </c>
      <c r="DNB6" s="27" t="str">
        <f>IFERROR(VLOOKUP(DATE($K$1,$K$2,DNB$4),Table1[],(MATCH(Calendar!$A6,DB!1:1,0)+2),FALSE),"")</f>
        <v/>
      </c>
      <c r="DNC6" s="27" t="str">
        <f>IFERROR(VLOOKUP(DATE($K$1,$K$2,DNC$4),Table1[],(MATCH(Calendar!$A6,DB!1:1,0)+2),FALSE),"")</f>
        <v/>
      </c>
      <c r="DND6" s="27" t="str">
        <f>IFERROR(VLOOKUP(DATE($K$1,$K$2,DND$4),Table1[],(MATCH(Calendar!$A6,DB!1:1,0)+2),FALSE),"")</f>
        <v/>
      </c>
      <c r="DNE6" s="27" t="str">
        <f>IFERROR(VLOOKUP(DATE($K$1,$K$2,DNE$4),Table1[],(MATCH(Calendar!$A6,DB!1:1,0)+2),FALSE),"")</f>
        <v/>
      </c>
      <c r="DNF6" s="27" t="str">
        <f>IFERROR(VLOOKUP(DATE($K$1,$K$2,DNF$4),Table1[],(MATCH(Calendar!$A6,DB!1:1,0)+2),FALSE),"")</f>
        <v/>
      </c>
      <c r="DNG6" s="27" t="str">
        <f>IFERROR(VLOOKUP(DATE($K$1,$K$2,DNG$4),Table1[],(MATCH(Calendar!$A6,DB!1:1,0)+2),FALSE),"")</f>
        <v/>
      </c>
      <c r="DNH6" s="27" t="str">
        <f>IFERROR(VLOOKUP(DATE($K$1,$K$2,DNH$4),Table1[],(MATCH(Calendar!$A6,DB!1:1,0)+2),FALSE),"")</f>
        <v/>
      </c>
      <c r="DNI6" s="27" t="str">
        <f>IFERROR(VLOOKUP(DATE($K$1,$K$2,DNI$4),Table1[],(MATCH(Calendar!$A6,DB!1:1,0)+2),FALSE),"")</f>
        <v/>
      </c>
      <c r="DNJ6" s="27" t="str">
        <f>IFERROR(VLOOKUP(DATE($K$1,$K$2,DNJ$4),Table1[],(MATCH(Calendar!$A6,DB!1:1,0)+2),FALSE),"")</f>
        <v/>
      </c>
      <c r="DNK6" s="27" t="str">
        <f>IFERROR(VLOOKUP(DATE($K$1,$K$2,DNK$4),Table1[],(MATCH(Calendar!$A6,DB!1:1,0)+2),FALSE),"")</f>
        <v/>
      </c>
      <c r="DNL6" s="27" t="str">
        <f>IFERROR(VLOOKUP(DATE($K$1,$K$2,DNL$4),Table1[],(MATCH(Calendar!$A6,DB!1:1,0)+2),FALSE),"")</f>
        <v/>
      </c>
      <c r="DNM6" s="27" t="str">
        <f>IFERROR(VLOOKUP(DATE($K$1,$K$2,DNM$4),Table1[],(MATCH(Calendar!$A6,DB!1:1,0)+2),FALSE),"")</f>
        <v/>
      </c>
      <c r="DNN6" s="27" t="str">
        <f>IFERROR(VLOOKUP(DATE($K$1,$K$2,DNN$4),Table1[],(MATCH(Calendar!$A6,DB!1:1,0)+2),FALSE),"")</f>
        <v/>
      </c>
      <c r="DNO6" s="27" t="str">
        <f>IFERROR(VLOOKUP(DATE($K$1,$K$2,DNO$4),Table1[],(MATCH(Calendar!$A6,DB!1:1,0)+2),FALSE),"")</f>
        <v/>
      </c>
      <c r="DNP6" s="27" t="str">
        <f>IFERROR(VLOOKUP(DATE($K$1,$K$2,DNP$4),Table1[],(MATCH(Calendar!$A6,DB!1:1,0)+2),FALSE),"")</f>
        <v/>
      </c>
      <c r="DNQ6" s="27" t="str">
        <f>IFERROR(VLOOKUP(DATE($K$1,$K$2,DNQ$4),Table1[],(MATCH(Calendar!$A6,DB!1:1,0)+2),FALSE),"")</f>
        <v/>
      </c>
      <c r="DNR6" s="27" t="str">
        <f>IFERROR(VLOOKUP(DATE($K$1,$K$2,DNR$4),Table1[],(MATCH(Calendar!$A6,DB!1:1,0)+2),FALSE),"")</f>
        <v/>
      </c>
      <c r="DNS6" s="27" t="str">
        <f>IFERROR(VLOOKUP(DATE($K$1,$K$2,DNS$4),Table1[],(MATCH(Calendar!$A6,DB!1:1,0)+2),FALSE),"")</f>
        <v/>
      </c>
      <c r="DNT6" s="27" t="str">
        <f>IFERROR(VLOOKUP(DATE($K$1,$K$2,DNT$4),Table1[],(MATCH(Calendar!$A6,DB!1:1,0)+2),FALSE),"")</f>
        <v/>
      </c>
      <c r="DNU6" s="27" t="str">
        <f>IFERROR(VLOOKUP(DATE($K$1,$K$2,DNU$4),Table1[],(MATCH(Calendar!$A6,DB!1:1,0)+2),FALSE),"")</f>
        <v/>
      </c>
      <c r="DNV6" s="27" t="str">
        <f>IFERROR(VLOOKUP(DATE($K$1,$K$2,DNV$4),Table1[],(MATCH(Calendar!$A6,DB!1:1,0)+2),FALSE),"")</f>
        <v/>
      </c>
      <c r="DNW6" s="27" t="str">
        <f>IFERROR(VLOOKUP(DATE($K$1,$K$2,DNW$4),Table1[],(MATCH(Calendar!$A6,DB!1:1,0)+2),FALSE),"")</f>
        <v/>
      </c>
      <c r="DNX6" s="27" t="str">
        <f>IFERROR(VLOOKUP(DATE($K$1,$K$2,DNX$4),Table1[],(MATCH(Calendar!$A6,DB!1:1,0)+2),FALSE),"")</f>
        <v/>
      </c>
      <c r="DNY6" s="27" t="str">
        <f>IFERROR(VLOOKUP(DATE($K$1,$K$2,DNY$4),Table1[],(MATCH(Calendar!$A6,DB!1:1,0)+2),FALSE),"")</f>
        <v/>
      </c>
      <c r="DNZ6" s="27" t="str">
        <f>IFERROR(VLOOKUP(DATE($K$1,$K$2,DNZ$4),Table1[],(MATCH(Calendar!$A6,DB!1:1,0)+2),FALSE),"")</f>
        <v/>
      </c>
      <c r="DOA6" s="27" t="str">
        <f>IFERROR(VLOOKUP(DATE($K$1,$K$2,DOA$4),Table1[],(MATCH(Calendar!$A6,DB!1:1,0)+2),FALSE),"")</f>
        <v/>
      </c>
      <c r="DOB6" s="27" t="str">
        <f>IFERROR(VLOOKUP(DATE($K$1,$K$2,DOB$4),Table1[],(MATCH(Calendar!$A6,DB!1:1,0)+2),FALSE),"")</f>
        <v/>
      </c>
      <c r="DOC6" s="27" t="str">
        <f>IFERROR(VLOOKUP(DATE($K$1,$K$2,DOC$4),Table1[],(MATCH(Calendar!$A6,DB!1:1,0)+2),FALSE),"")</f>
        <v/>
      </c>
      <c r="DOD6" s="27" t="str">
        <f>IFERROR(VLOOKUP(DATE($K$1,$K$2,DOD$4),Table1[],(MATCH(Calendar!$A6,DB!1:1,0)+2),FALSE),"")</f>
        <v/>
      </c>
      <c r="DOE6" s="27" t="str">
        <f>IFERROR(VLOOKUP(DATE($K$1,$K$2,DOE$4),Table1[],(MATCH(Calendar!$A6,DB!1:1,0)+2),FALSE),"")</f>
        <v/>
      </c>
      <c r="DOF6" s="27" t="str">
        <f>IFERROR(VLOOKUP(DATE($K$1,$K$2,DOF$4),Table1[],(MATCH(Calendar!$A6,DB!1:1,0)+2),FALSE),"")</f>
        <v/>
      </c>
      <c r="DOG6" s="27" t="str">
        <f>IFERROR(VLOOKUP(DATE($K$1,$K$2,DOG$4),Table1[],(MATCH(Calendar!$A6,DB!1:1,0)+2),FALSE),"")</f>
        <v/>
      </c>
      <c r="DOH6" s="27" t="str">
        <f>IFERROR(VLOOKUP(DATE($K$1,$K$2,DOH$4),Table1[],(MATCH(Calendar!$A6,DB!1:1,0)+2),FALSE),"")</f>
        <v/>
      </c>
      <c r="DOI6" s="27" t="str">
        <f>IFERROR(VLOOKUP(DATE($K$1,$K$2,DOI$4),Table1[],(MATCH(Calendar!$A6,DB!1:1,0)+2),FALSE),"")</f>
        <v/>
      </c>
      <c r="DOJ6" s="27" t="str">
        <f>IFERROR(VLOOKUP(DATE($K$1,$K$2,DOJ$4),Table1[],(MATCH(Calendar!$A6,DB!1:1,0)+2),FALSE),"")</f>
        <v/>
      </c>
      <c r="DOK6" s="27" t="str">
        <f>IFERROR(VLOOKUP(DATE($K$1,$K$2,DOK$4),Table1[],(MATCH(Calendar!$A6,DB!1:1,0)+2),FALSE),"")</f>
        <v/>
      </c>
      <c r="DOL6" s="27" t="str">
        <f>IFERROR(VLOOKUP(DATE($K$1,$K$2,DOL$4),Table1[],(MATCH(Calendar!$A6,DB!1:1,0)+2),FALSE),"")</f>
        <v/>
      </c>
      <c r="DOM6" s="27" t="str">
        <f>IFERROR(VLOOKUP(DATE($K$1,$K$2,DOM$4),Table1[],(MATCH(Calendar!$A6,DB!1:1,0)+2),FALSE),"")</f>
        <v/>
      </c>
      <c r="DON6" s="27" t="str">
        <f>IFERROR(VLOOKUP(DATE($K$1,$K$2,DON$4),Table1[],(MATCH(Calendar!$A6,DB!1:1,0)+2),FALSE),"")</f>
        <v/>
      </c>
      <c r="DOO6" s="27" t="str">
        <f>IFERROR(VLOOKUP(DATE($K$1,$K$2,DOO$4),Table1[],(MATCH(Calendar!$A6,DB!1:1,0)+2),FALSE),"")</f>
        <v/>
      </c>
      <c r="DOP6" s="27" t="str">
        <f>IFERROR(VLOOKUP(DATE($K$1,$K$2,DOP$4),Table1[],(MATCH(Calendar!$A6,DB!1:1,0)+2),FALSE),"")</f>
        <v/>
      </c>
      <c r="DOQ6" s="27" t="str">
        <f>IFERROR(VLOOKUP(DATE($K$1,$K$2,DOQ$4),Table1[],(MATCH(Calendar!$A6,DB!1:1,0)+2),FALSE),"")</f>
        <v/>
      </c>
      <c r="DOR6" s="27" t="str">
        <f>IFERROR(VLOOKUP(DATE($K$1,$K$2,DOR$4),Table1[],(MATCH(Calendar!$A6,DB!1:1,0)+2),FALSE),"")</f>
        <v/>
      </c>
      <c r="DOS6" s="27" t="str">
        <f>IFERROR(VLOOKUP(DATE($K$1,$K$2,DOS$4),Table1[],(MATCH(Calendar!$A6,DB!1:1,0)+2),FALSE),"")</f>
        <v/>
      </c>
      <c r="DOT6" s="27" t="str">
        <f>IFERROR(VLOOKUP(DATE($K$1,$K$2,DOT$4),Table1[],(MATCH(Calendar!$A6,DB!1:1,0)+2),FALSE),"")</f>
        <v/>
      </c>
      <c r="DOU6" s="27" t="str">
        <f>IFERROR(VLOOKUP(DATE($K$1,$K$2,DOU$4),Table1[],(MATCH(Calendar!$A6,DB!1:1,0)+2),FALSE),"")</f>
        <v/>
      </c>
      <c r="DOV6" s="27" t="str">
        <f>IFERROR(VLOOKUP(DATE($K$1,$K$2,DOV$4),Table1[],(MATCH(Calendar!$A6,DB!1:1,0)+2),FALSE),"")</f>
        <v/>
      </c>
      <c r="DOW6" s="27" t="str">
        <f>IFERROR(VLOOKUP(DATE($K$1,$K$2,DOW$4),Table1[],(MATCH(Calendar!$A6,DB!1:1,0)+2),FALSE),"")</f>
        <v/>
      </c>
      <c r="DOX6" s="27" t="str">
        <f>IFERROR(VLOOKUP(DATE($K$1,$K$2,DOX$4),Table1[],(MATCH(Calendar!$A6,DB!1:1,0)+2),FALSE),"")</f>
        <v/>
      </c>
      <c r="DOY6" s="27" t="str">
        <f>IFERROR(VLOOKUP(DATE($K$1,$K$2,DOY$4),Table1[],(MATCH(Calendar!$A6,DB!1:1,0)+2),FALSE),"")</f>
        <v/>
      </c>
      <c r="DOZ6" s="27" t="str">
        <f>IFERROR(VLOOKUP(DATE($K$1,$K$2,DOZ$4),Table1[],(MATCH(Calendar!$A6,DB!1:1,0)+2),FALSE),"")</f>
        <v/>
      </c>
      <c r="DPA6" s="27" t="str">
        <f>IFERROR(VLOOKUP(DATE($K$1,$K$2,DPA$4),Table1[],(MATCH(Calendar!$A6,DB!1:1,0)+2),FALSE),"")</f>
        <v/>
      </c>
      <c r="DPB6" s="27" t="str">
        <f>IFERROR(VLOOKUP(DATE($K$1,$K$2,DPB$4),Table1[],(MATCH(Calendar!$A6,DB!1:1,0)+2),FALSE),"")</f>
        <v/>
      </c>
      <c r="DPC6" s="27" t="str">
        <f>IFERROR(VLOOKUP(DATE($K$1,$K$2,DPC$4),Table1[],(MATCH(Calendar!$A6,DB!1:1,0)+2),FALSE),"")</f>
        <v/>
      </c>
      <c r="DPD6" s="27" t="str">
        <f>IFERROR(VLOOKUP(DATE($K$1,$K$2,DPD$4),Table1[],(MATCH(Calendar!$A6,DB!1:1,0)+2),FALSE),"")</f>
        <v/>
      </c>
      <c r="DPE6" s="27" t="str">
        <f>IFERROR(VLOOKUP(DATE($K$1,$K$2,DPE$4),Table1[],(MATCH(Calendar!$A6,DB!1:1,0)+2),FALSE),"")</f>
        <v/>
      </c>
      <c r="DPF6" s="27" t="str">
        <f>IFERROR(VLOOKUP(DATE($K$1,$K$2,DPF$4),Table1[],(MATCH(Calendar!$A6,DB!1:1,0)+2),FALSE),"")</f>
        <v/>
      </c>
      <c r="DPG6" s="27" t="str">
        <f>IFERROR(VLOOKUP(DATE($K$1,$K$2,DPG$4),Table1[],(MATCH(Calendar!$A6,DB!1:1,0)+2),FALSE),"")</f>
        <v/>
      </c>
      <c r="DPH6" s="27" t="str">
        <f>IFERROR(VLOOKUP(DATE($K$1,$K$2,DPH$4),Table1[],(MATCH(Calendar!$A6,DB!1:1,0)+2),FALSE),"")</f>
        <v/>
      </c>
      <c r="DPI6" s="27" t="str">
        <f>IFERROR(VLOOKUP(DATE($K$1,$K$2,DPI$4),Table1[],(MATCH(Calendar!$A6,DB!1:1,0)+2),FALSE),"")</f>
        <v/>
      </c>
      <c r="DPJ6" s="27" t="str">
        <f>IFERROR(VLOOKUP(DATE($K$1,$K$2,DPJ$4),Table1[],(MATCH(Calendar!$A6,DB!1:1,0)+2),FALSE),"")</f>
        <v/>
      </c>
      <c r="DPK6" s="27" t="str">
        <f>IFERROR(VLOOKUP(DATE($K$1,$K$2,DPK$4),Table1[],(MATCH(Calendar!$A6,DB!1:1,0)+2),FALSE),"")</f>
        <v/>
      </c>
      <c r="DPL6" s="27" t="str">
        <f>IFERROR(VLOOKUP(DATE($K$1,$K$2,DPL$4),Table1[],(MATCH(Calendar!$A6,DB!1:1,0)+2),FALSE),"")</f>
        <v/>
      </c>
      <c r="DPM6" s="27" t="str">
        <f>IFERROR(VLOOKUP(DATE($K$1,$K$2,DPM$4),Table1[],(MATCH(Calendar!$A6,DB!1:1,0)+2),FALSE),"")</f>
        <v/>
      </c>
      <c r="DPN6" s="27" t="str">
        <f>IFERROR(VLOOKUP(DATE($K$1,$K$2,DPN$4),Table1[],(MATCH(Calendar!$A6,DB!1:1,0)+2),FALSE),"")</f>
        <v/>
      </c>
      <c r="DPO6" s="27" t="str">
        <f>IFERROR(VLOOKUP(DATE($K$1,$K$2,DPO$4),Table1[],(MATCH(Calendar!$A6,DB!1:1,0)+2),FALSE),"")</f>
        <v/>
      </c>
      <c r="DPP6" s="27" t="str">
        <f>IFERROR(VLOOKUP(DATE($K$1,$K$2,DPP$4),Table1[],(MATCH(Calendar!$A6,DB!1:1,0)+2),FALSE),"")</f>
        <v/>
      </c>
      <c r="DPQ6" s="27" t="str">
        <f>IFERROR(VLOOKUP(DATE($K$1,$K$2,DPQ$4),Table1[],(MATCH(Calendar!$A6,DB!1:1,0)+2),FALSE),"")</f>
        <v/>
      </c>
      <c r="DPR6" s="27" t="str">
        <f>IFERROR(VLOOKUP(DATE($K$1,$K$2,DPR$4),Table1[],(MATCH(Calendar!$A6,DB!1:1,0)+2),FALSE),"")</f>
        <v/>
      </c>
      <c r="DPS6" s="27" t="str">
        <f>IFERROR(VLOOKUP(DATE($K$1,$K$2,DPS$4),Table1[],(MATCH(Calendar!$A6,DB!1:1,0)+2),FALSE),"")</f>
        <v/>
      </c>
      <c r="DPT6" s="27" t="str">
        <f>IFERROR(VLOOKUP(DATE($K$1,$K$2,DPT$4),Table1[],(MATCH(Calendar!$A6,DB!1:1,0)+2),FALSE),"")</f>
        <v/>
      </c>
      <c r="DPU6" s="27" t="str">
        <f>IFERROR(VLOOKUP(DATE($K$1,$K$2,DPU$4),Table1[],(MATCH(Calendar!$A6,DB!1:1,0)+2),FALSE),"")</f>
        <v/>
      </c>
      <c r="DPV6" s="27" t="str">
        <f>IFERROR(VLOOKUP(DATE($K$1,$K$2,DPV$4),Table1[],(MATCH(Calendar!$A6,DB!1:1,0)+2),FALSE),"")</f>
        <v/>
      </c>
      <c r="DPW6" s="27" t="str">
        <f>IFERROR(VLOOKUP(DATE($K$1,$K$2,DPW$4),Table1[],(MATCH(Calendar!$A6,DB!1:1,0)+2),FALSE),"")</f>
        <v/>
      </c>
      <c r="DPX6" s="27" t="str">
        <f>IFERROR(VLOOKUP(DATE($K$1,$K$2,DPX$4),Table1[],(MATCH(Calendar!$A6,DB!1:1,0)+2),FALSE),"")</f>
        <v/>
      </c>
      <c r="DPY6" s="27" t="str">
        <f>IFERROR(VLOOKUP(DATE($K$1,$K$2,DPY$4),Table1[],(MATCH(Calendar!$A6,DB!1:1,0)+2),FALSE),"")</f>
        <v/>
      </c>
      <c r="DPZ6" s="27" t="str">
        <f>IFERROR(VLOOKUP(DATE($K$1,$K$2,DPZ$4),Table1[],(MATCH(Calendar!$A6,DB!1:1,0)+2),FALSE),"")</f>
        <v/>
      </c>
      <c r="DQA6" s="27" t="str">
        <f>IFERROR(VLOOKUP(DATE($K$1,$K$2,DQA$4),Table1[],(MATCH(Calendar!$A6,DB!1:1,0)+2),FALSE),"")</f>
        <v/>
      </c>
      <c r="DQB6" s="27" t="str">
        <f>IFERROR(VLOOKUP(DATE($K$1,$K$2,DQB$4),Table1[],(MATCH(Calendar!$A6,DB!1:1,0)+2),FALSE),"")</f>
        <v/>
      </c>
      <c r="DQC6" s="27" t="str">
        <f>IFERROR(VLOOKUP(DATE($K$1,$K$2,DQC$4),Table1[],(MATCH(Calendar!$A6,DB!1:1,0)+2),FALSE),"")</f>
        <v/>
      </c>
      <c r="DQD6" s="27" t="str">
        <f>IFERROR(VLOOKUP(DATE($K$1,$K$2,DQD$4),Table1[],(MATCH(Calendar!$A6,DB!1:1,0)+2),FALSE),"")</f>
        <v/>
      </c>
      <c r="DQE6" s="27" t="str">
        <f>IFERROR(VLOOKUP(DATE($K$1,$K$2,DQE$4),Table1[],(MATCH(Calendar!$A6,DB!1:1,0)+2),FALSE),"")</f>
        <v/>
      </c>
      <c r="DQF6" s="27" t="str">
        <f>IFERROR(VLOOKUP(DATE($K$1,$K$2,DQF$4),Table1[],(MATCH(Calendar!$A6,DB!1:1,0)+2),FALSE),"")</f>
        <v/>
      </c>
      <c r="DQG6" s="27" t="str">
        <f>IFERROR(VLOOKUP(DATE($K$1,$K$2,DQG$4),Table1[],(MATCH(Calendar!$A6,DB!1:1,0)+2),FALSE),"")</f>
        <v/>
      </c>
      <c r="DQH6" s="27" t="str">
        <f>IFERROR(VLOOKUP(DATE($K$1,$K$2,DQH$4),Table1[],(MATCH(Calendar!$A6,DB!1:1,0)+2),FALSE),"")</f>
        <v/>
      </c>
      <c r="DQI6" s="27" t="str">
        <f>IFERROR(VLOOKUP(DATE($K$1,$K$2,DQI$4),Table1[],(MATCH(Calendar!$A6,DB!1:1,0)+2),FALSE),"")</f>
        <v/>
      </c>
      <c r="DQJ6" s="27" t="str">
        <f>IFERROR(VLOOKUP(DATE($K$1,$K$2,DQJ$4),Table1[],(MATCH(Calendar!$A6,DB!1:1,0)+2),FALSE),"")</f>
        <v/>
      </c>
      <c r="DQK6" s="27" t="str">
        <f>IFERROR(VLOOKUP(DATE($K$1,$K$2,DQK$4),Table1[],(MATCH(Calendar!$A6,DB!1:1,0)+2),FALSE),"")</f>
        <v/>
      </c>
      <c r="DQL6" s="27" t="str">
        <f>IFERROR(VLOOKUP(DATE($K$1,$K$2,DQL$4),Table1[],(MATCH(Calendar!$A6,DB!1:1,0)+2),FALSE),"")</f>
        <v/>
      </c>
      <c r="DQM6" s="27" t="str">
        <f>IFERROR(VLOOKUP(DATE($K$1,$K$2,DQM$4),Table1[],(MATCH(Calendar!$A6,DB!1:1,0)+2),FALSE),"")</f>
        <v/>
      </c>
      <c r="DQN6" s="27" t="str">
        <f>IFERROR(VLOOKUP(DATE($K$1,$K$2,DQN$4),Table1[],(MATCH(Calendar!$A6,DB!1:1,0)+2),FALSE),"")</f>
        <v/>
      </c>
      <c r="DQO6" s="27" t="str">
        <f>IFERROR(VLOOKUP(DATE($K$1,$K$2,DQO$4),Table1[],(MATCH(Calendar!$A6,DB!1:1,0)+2),FALSE),"")</f>
        <v/>
      </c>
      <c r="DQP6" s="27" t="str">
        <f>IFERROR(VLOOKUP(DATE($K$1,$K$2,DQP$4),Table1[],(MATCH(Calendar!$A6,DB!1:1,0)+2),FALSE),"")</f>
        <v/>
      </c>
      <c r="DQQ6" s="27" t="str">
        <f>IFERROR(VLOOKUP(DATE($K$1,$K$2,DQQ$4),Table1[],(MATCH(Calendar!$A6,DB!1:1,0)+2),FALSE),"")</f>
        <v/>
      </c>
      <c r="DQR6" s="27" t="str">
        <f>IFERROR(VLOOKUP(DATE($K$1,$K$2,DQR$4),Table1[],(MATCH(Calendar!$A6,DB!1:1,0)+2),FALSE),"")</f>
        <v/>
      </c>
      <c r="DQS6" s="27" t="str">
        <f>IFERROR(VLOOKUP(DATE($K$1,$K$2,DQS$4),Table1[],(MATCH(Calendar!$A6,DB!1:1,0)+2),FALSE),"")</f>
        <v/>
      </c>
      <c r="DQT6" s="27" t="str">
        <f>IFERROR(VLOOKUP(DATE($K$1,$K$2,DQT$4),Table1[],(MATCH(Calendar!$A6,DB!1:1,0)+2),FALSE),"")</f>
        <v/>
      </c>
      <c r="DQU6" s="27" t="str">
        <f>IFERROR(VLOOKUP(DATE($K$1,$K$2,DQU$4),Table1[],(MATCH(Calendar!$A6,DB!1:1,0)+2),FALSE),"")</f>
        <v/>
      </c>
      <c r="DQV6" s="27" t="str">
        <f>IFERROR(VLOOKUP(DATE($K$1,$K$2,DQV$4),Table1[],(MATCH(Calendar!$A6,DB!1:1,0)+2),FALSE),"")</f>
        <v/>
      </c>
      <c r="DQW6" s="27" t="str">
        <f>IFERROR(VLOOKUP(DATE($K$1,$K$2,DQW$4),Table1[],(MATCH(Calendar!$A6,DB!1:1,0)+2),FALSE),"")</f>
        <v/>
      </c>
      <c r="DQX6" s="27" t="str">
        <f>IFERROR(VLOOKUP(DATE($K$1,$K$2,DQX$4),Table1[],(MATCH(Calendar!$A6,DB!1:1,0)+2),FALSE),"")</f>
        <v/>
      </c>
      <c r="DQY6" s="27" t="str">
        <f>IFERROR(VLOOKUP(DATE($K$1,$K$2,DQY$4),Table1[],(MATCH(Calendar!$A6,DB!1:1,0)+2),FALSE),"")</f>
        <v/>
      </c>
      <c r="DQZ6" s="27" t="str">
        <f>IFERROR(VLOOKUP(DATE($K$1,$K$2,DQZ$4),Table1[],(MATCH(Calendar!$A6,DB!1:1,0)+2),FALSE),"")</f>
        <v/>
      </c>
      <c r="DRA6" s="27" t="str">
        <f>IFERROR(VLOOKUP(DATE($K$1,$K$2,DRA$4),Table1[],(MATCH(Calendar!$A6,DB!1:1,0)+2),FALSE),"")</f>
        <v/>
      </c>
      <c r="DRB6" s="27" t="str">
        <f>IFERROR(VLOOKUP(DATE($K$1,$K$2,DRB$4),Table1[],(MATCH(Calendar!$A6,DB!1:1,0)+2),FALSE),"")</f>
        <v/>
      </c>
      <c r="DRC6" s="27" t="str">
        <f>IFERROR(VLOOKUP(DATE($K$1,$K$2,DRC$4),Table1[],(MATCH(Calendar!$A6,DB!1:1,0)+2),FALSE),"")</f>
        <v/>
      </c>
      <c r="DRD6" s="27" t="str">
        <f>IFERROR(VLOOKUP(DATE($K$1,$K$2,DRD$4),Table1[],(MATCH(Calendar!$A6,DB!1:1,0)+2),FALSE),"")</f>
        <v/>
      </c>
      <c r="DRE6" s="27" t="str">
        <f>IFERROR(VLOOKUP(DATE($K$1,$K$2,DRE$4),Table1[],(MATCH(Calendar!$A6,DB!1:1,0)+2),FALSE),"")</f>
        <v/>
      </c>
      <c r="DRF6" s="27" t="str">
        <f>IFERROR(VLOOKUP(DATE($K$1,$K$2,DRF$4),Table1[],(MATCH(Calendar!$A6,DB!1:1,0)+2),FALSE),"")</f>
        <v/>
      </c>
      <c r="DRG6" s="27" t="str">
        <f>IFERROR(VLOOKUP(DATE($K$1,$K$2,DRG$4),Table1[],(MATCH(Calendar!$A6,DB!1:1,0)+2),FALSE),"")</f>
        <v/>
      </c>
      <c r="DRH6" s="27" t="str">
        <f>IFERROR(VLOOKUP(DATE($K$1,$K$2,DRH$4),Table1[],(MATCH(Calendar!$A6,DB!1:1,0)+2),FALSE),"")</f>
        <v/>
      </c>
      <c r="DRI6" s="27" t="str">
        <f>IFERROR(VLOOKUP(DATE($K$1,$K$2,DRI$4),Table1[],(MATCH(Calendar!$A6,DB!1:1,0)+2),FALSE),"")</f>
        <v/>
      </c>
      <c r="DRJ6" s="27" t="str">
        <f>IFERROR(VLOOKUP(DATE($K$1,$K$2,DRJ$4),Table1[],(MATCH(Calendar!$A6,DB!1:1,0)+2),FALSE),"")</f>
        <v/>
      </c>
      <c r="DRK6" s="27" t="str">
        <f>IFERROR(VLOOKUP(DATE($K$1,$K$2,DRK$4),Table1[],(MATCH(Calendar!$A6,DB!1:1,0)+2),FALSE),"")</f>
        <v/>
      </c>
      <c r="DRL6" s="27" t="str">
        <f>IFERROR(VLOOKUP(DATE($K$1,$K$2,DRL$4),Table1[],(MATCH(Calendar!$A6,DB!1:1,0)+2),FALSE),"")</f>
        <v/>
      </c>
      <c r="DRM6" s="27" t="str">
        <f>IFERROR(VLOOKUP(DATE($K$1,$K$2,DRM$4),Table1[],(MATCH(Calendar!$A6,DB!1:1,0)+2),FALSE),"")</f>
        <v/>
      </c>
      <c r="DRN6" s="27" t="str">
        <f>IFERROR(VLOOKUP(DATE($K$1,$K$2,DRN$4),Table1[],(MATCH(Calendar!$A6,DB!1:1,0)+2),FALSE),"")</f>
        <v/>
      </c>
      <c r="DRO6" s="27" t="str">
        <f>IFERROR(VLOOKUP(DATE($K$1,$K$2,DRO$4),Table1[],(MATCH(Calendar!$A6,DB!1:1,0)+2),FALSE),"")</f>
        <v/>
      </c>
      <c r="DRP6" s="27" t="str">
        <f>IFERROR(VLOOKUP(DATE($K$1,$K$2,DRP$4),Table1[],(MATCH(Calendar!$A6,DB!1:1,0)+2),FALSE),"")</f>
        <v/>
      </c>
      <c r="DRQ6" s="27" t="str">
        <f>IFERROR(VLOOKUP(DATE($K$1,$K$2,DRQ$4),Table1[],(MATCH(Calendar!$A6,DB!1:1,0)+2),FALSE),"")</f>
        <v/>
      </c>
      <c r="DRR6" s="27" t="str">
        <f>IFERROR(VLOOKUP(DATE($K$1,$K$2,DRR$4),Table1[],(MATCH(Calendar!$A6,DB!1:1,0)+2),FALSE),"")</f>
        <v/>
      </c>
      <c r="DRS6" s="27" t="str">
        <f>IFERROR(VLOOKUP(DATE($K$1,$K$2,DRS$4),Table1[],(MATCH(Calendar!$A6,DB!1:1,0)+2),FALSE),"")</f>
        <v/>
      </c>
      <c r="DRT6" s="27" t="str">
        <f>IFERROR(VLOOKUP(DATE($K$1,$K$2,DRT$4),Table1[],(MATCH(Calendar!$A6,DB!1:1,0)+2),FALSE),"")</f>
        <v/>
      </c>
      <c r="DRU6" s="27" t="str">
        <f>IFERROR(VLOOKUP(DATE($K$1,$K$2,DRU$4),Table1[],(MATCH(Calendar!$A6,DB!1:1,0)+2),FALSE),"")</f>
        <v/>
      </c>
      <c r="DRV6" s="27" t="str">
        <f>IFERROR(VLOOKUP(DATE($K$1,$K$2,DRV$4),Table1[],(MATCH(Calendar!$A6,DB!1:1,0)+2),FALSE),"")</f>
        <v/>
      </c>
      <c r="DRW6" s="27" t="str">
        <f>IFERROR(VLOOKUP(DATE($K$1,$K$2,DRW$4),Table1[],(MATCH(Calendar!$A6,DB!1:1,0)+2),FALSE),"")</f>
        <v/>
      </c>
      <c r="DRX6" s="27" t="str">
        <f>IFERROR(VLOOKUP(DATE($K$1,$K$2,DRX$4),Table1[],(MATCH(Calendar!$A6,DB!1:1,0)+2),FALSE),"")</f>
        <v/>
      </c>
      <c r="DRY6" s="27" t="str">
        <f>IFERROR(VLOOKUP(DATE($K$1,$K$2,DRY$4),Table1[],(MATCH(Calendar!$A6,DB!1:1,0)+2),FALSE),"")</f>
        <v/>
      </c>
      <c r="DRZ6" s="27" t="str">
        <f>IFERROR(VLOOKUP(DATE($K$1,$K$2,DRZ$4),Table1[],(MATCH(Calendar!$A6,DB!1:1,0)+2),FALSE),"")</f>
        <v/>
      </c>
      <c r="DSA6" s="27" t="str">
        <f>IFERROR(VLOOKUP(DATE($K$1,$K$2,DSA$4),Table1[],(MATCH(Calendar!$A6,DB!1:1,0)+2),FALSE),"")</f>
        <v/>
      </c>
      <c r="DSB6" s="27" t="str">
        <f>IFERROR(VLOOKUP(DATE($K$1,$K$2,DSB$4),Table1[],(MATCH(Calendar!$A6,DB!1:1,0)+2),FALSE),"")</f>
        <v/>
      </c>
      <c r="DSC6" s="27" t="str">
        <f>IFERROR(VLOOKUP(DATE($K$1,$K$2,DSC$4),Table1[],(MATCH(Calendar!$A6,DB!1:1,0)+2),FALSE),"")</f>
        <v/>
      </c>
      <c r="DSD6" s="27" t="str">
        <f>IFERROR(VLOOKUP(DATE($K$1,$K$2,DSD$4),Table1[],(MATCH(Calendar!$A6,DB!1:1,0)+2),FALSE),"")</f>
        <v/>
      </c>
      <c r="DSE6" s="27" t="str">
        <f>IFERROR(VLOOKUP(DATE($K$1,$K$2,DSE$4),Table1[],(MATCH(Calendar!$A6,DB!1:1,0)+2),FALSE),"")</f>
        <v/>
      </c>
      <c r="DSF6" s="27" t="str">
        <f>IFERROR(VLOOKUP(DATE($K$1,$K$2,DSF$4),Table1[],(MATCH(Calendar!$A6,DB!1:1,0)+2),FALSE),"")</f>
        <v/>
      </c>
      <c r="DSG6" s="27" t="str">
        <f>IFERROR(VLOOKUP(DATE($K$1,$K$2,DSG$4),Table1[],(MATCH(Calendar!$A6,DB!1:1,0)+2),FALSE),"")</f>
        <v/>
      </c>
      <c r="DSH6" s="27" t="str">
        <f>IFERROR(VLOOKUP(DATE($K$1,$K$2,DSH$4),Table1[],(MATCH(Calendar!$A6,DB!1:1,0)+2),FALSE),"")</f>
        <v/>
      </c>
      <c r="DSI6" s="27" t="str">
        <f>IFERROR(VLOOKUP(DATE($K$1,$K$2,DSI$4),Table1[],(MATCH(Calendar!$A6,DB!1:1,0)+2),FALSE),"")</f>
        <v/>
      </c>
      <c r="DSJ6" s="27" t="str">
        <f>IFERROR(VLOOKUP(DATE($K$1,$K$2,DSJ$4),Table1[],(MATCH(Calendar!$A6,DB!1:1,0)+2),FALSE),"")</f>
        <v/>
      </c>
      <c r="DSK6" s="27" t="str">
        <f>IFERROR(VLOOKUP(DATE($K$1,$K$2,DSK$4),Table1[],(MATCH(Calendar!$A6,DB!1:1,0)+2),FALSE),"")</f>
        <v/>
      </c>
      <c r="DSL6" s="27" t="str">
        <f>IFERROR(VLOOKUP(DATE($K$1,$K$2,DSL$4),Table1[],(MATCH(Calendar!$A6,DB!1:1,0)+2),FALSE),"")</f>
        <v/>
      </c>
      <c r="DSM6" s="27" t="str">
        <f>IFERROR(VLOOKUP(DATE($K$1,$K$2,DSM$4),Table1[],(MATCH(Calendar!$A6,DB!1:1,0)+2),FALSE),"")</f>
        <v/>
      </c>
      <c r="DSN6" s="27" t="str">
        <f>IFERROR(VLOOKUP(DATE($K$1,$K$2,DSN$4),Table1[],(MATCH(Calendar!$A6,DB!1:1,0)+2),FALSE),"")</f>
        <v/>
      </c>
      <c r="DSO6" s="27" t="str">
        <f>IFERROR(VLOOKUP(DATE($K$1,$K$2,DSO$4),Table1[],(MATCH(Calendar!$A6,DB!1:1,0)+2),FALSE),"")</f>
        <v/>
      </c>
      <c r="DSP6" s="27" t="str">
        <f>IFERROR(VLOOKUP(DATE($K$1,$K$2,DSP$4),Table1[],(MATCH(Calendar!$A6,DB!1:1,0)+2),FALSE),"")</f>
        <v/>
      </c>
      <c r="DSQ6" s="27" t="str">
        <f>IFERROR(VLOOKUP(DATE($K$1,$K$2,DSQ$4),Table1[],(MATCH(Calendar!$A6,DB!1:1,0)+2),FALSE),"")</f>
        <v/>
      </c>
      <c r="DSR6" s="27" t="str">
        <f>IFERROR(VLOOKUP(DATE($K$1,$K$2,DSR$4),Table1[],(MATCH(Calendar!$A6,DB!1:1,0)+2),FALSE),"")</f>
        <v/>
      </c>
      <c r="DSS6" s="27" t="str">
        <f>IFERROR(VLOOKUP(DATE($K$1,$K$2,DSS$4),Table1[],(MATCH(Calendar!$A6,DB!1:1,0)+2),FALSE),"")</f>
        <v/>
      </c>
      <c r="DST6" s="27" t="str">
        <f>IFERROR(VLOOKUP(DATE($K$1,$K$2,DST$4),Table1[],(MATCH(Calendar!$A6,DB!1:1,0)+2),FALSE),"")</f>
        <v/>
      </c>
      <c r="DSU6" s="27" t="str">
        <f>IFERROR(VLOOKUP(DATE($K$1,$K$2,DSU$4),Table1[],(MATCH(Calendar!$A6,DB!1:1,0)+2),FALSE),"")</f>
        <v/>
      </c>
      <c r="DSV6" s="27" t="str">
        <f>IFERROR(VLOOKUP(DATE($K$1,$K$2,DSV$4),Table1[],(MATCH(Calendar!$A6,DB!1:1,0)+2),FALSE),"")</f>
        <v/>
      </c>
      <c r="DSW6" s="27" t="str">
        <f>IFERROR(VLOOKUP(DATE($K$1,$K$2,DSW$4),Table1[],(MATCH(Calendar!$A6,DB!1:1,0)+2),FALSE),"")</f>
        <v/>
      </c>
      <c r="DSX6" s="27" t="str">
        <f>IFERROR(VLOOKUP(DATE($K$1,$K$2,DSX$4),Table1[],(MATCH(Calendar!$A6,DB!1:1,0)+2),FALSE),"")</f>
        <v/>
      </c>
      <c r="DSY6" s="27" t="str">
        <f>IFERROR(VLOOKUP(DATE($K$1,$K$2,DSY$4),Table1[],(MATCH(Calendar!$A6,DB!1:1,0)+2),FALSE),"")</f>
        <v/>
      </c>
      <c r="DSZ6" s="27" t="str">
        <f>IFERROR(VLOOKUP(DATE($K$1,$K$2,DSZ$4),Table1[],(MATCH(Calendar!$A6,DB!1:1,0)+2),FALSE),"")</f>
        <v/>
      </c>
      <c r="DTA6" s="27" t="str">
        <f>IFERROR(VLOOKUP(DATE($K$1,$K$2,DTA$4),Table1[],(MATCH(Calendar!$A6,DB!1:1,0)+2),FALSE),"")</f>
        <v/>
      </c>
      <c r="DTB6" s="27" t="str">
        <f>IFERROR(VLOOKUP(DATE($K$1,$K$2,DTB$4),Table1[],(MATCH(Calendar!$A6,DB!1:1,0)+2),FALSE),"")</f>
        <v/>
      </c>
      <c r="DTC6" s="27" t="str">
        <f>IFERROR(VLOOKUP(DATE($K$1,$K$2,DTC$4),Table1[],(MATCH(Calendar!$A6,DB!1:1,0)+2),FALSE),"")</f>
        <v/>
      </c>
      <c r="DTD6" s="27" t="str">
        <f>IFERROR(VLOOKUP(DATE($K$1,$K$2,DTD$4),Table1[],(MATCH(Calendar!$A6,DB!1:1,0)+2),FALSE),"")</f>
        <v/>
      </c>
      <c r="DTE6" s="27" t="str">
        <f>IFERROR(VLOOKUP(DATE($K$1,$K$2,DTE$4),Table1[],(MATCH(Calendar!$A6,DB!1:1,0)+2),FALSE),"")</f>
        <v/>
      </c>
      <c r="DTF6" s="27" t="str">
        <f>IFERROR(VLOOKUP(DATE($K$1,$K$2,DTF$4),Table1[],(MATCH(Calendar!$A6,DB!1:1,0)+2),FALSE),"")</f>
        <v/>
      </c>
      <c r="DTG6" s="27" t="str">
        <f>IFERROR(VLOOKUP(DATE($K$1,$K$2,DTG$4),Table1[],(MATCH(Calendar!$A6,DB!1:1,0)+2),FALSE),"")</f>
        <v/>
      </c>
      <c r="DTH6" s="27" t="str">
        <f>IFERROR(VLOOKUP(DATE($K$1,$K$2,DTH$4),Table1[],(MATCH(Calendar!$A6,DB!1:1,0)+2),FALSE),"")</f>
        <v/>
      </c>
      <c r="DTI6" s="27" t="str">
        <f>IFERROR(VLOOKUP(DATE($K$1,$K$2,DTI$4),Table1[],(MATCH(Calendar!$A6,DB!1:1,0)+2),FALSE),"")</f>
        <v/>
      </c>
      <c r="DTJ6" s="27" t="str">
        <f>IFERROR(VLOOKUP(DATE($K$1,$K$2,DTJ$4),Table1[],(MATCH(Calendar!$A6,DB!1:1,0)+2),FALSE),"")</f>
        <v/>
      </c>
      <c r="DTK6" s="27" t="str">
        <f>IFERROR(VLOOKUP(DATE($K$1,$K$2,DTK$4),Table1[],(MATCH(Calendar!$A6,DB!1:1,0)+2),FALSE),"")</f>
        <v/>
      </c>
      <c r="DTL6" s="27" t="str">
        <f>IFERROR(VLOOKUP(DATE($K$1,$K$2,DTL$4),Table1[],(MATCH(Calendar!$A6,DB!1:1,0)+2),FALSE),"")</f>
        <v/>
      </c>
      <c r="DTM6" s="27" t="str">
        <f>IFERROR(VLOOKUP(DATE($K$1,$K$2,DTM$4),Table1[],(MATCH(Calendar!$A6,DB!1:1,0)+2),FALSE),"")</f>
        <v/>
      </c>
      <c r="DTN6" s="27" t="str">
        <f>IFERROR(VLOOKUP(DATE($K$1,$K$2,DTN$4),Table1[],(MATCH(Calendar!$A6,DB!1:1,0)+2),FALSE),"")</f>
        <v/>
      </c>
      <c r="DTO6" s="27" t="str">
        <f>IFERROR(VLOOKUP(DATE($K$1,$K$2,DTO$4),Table1[],(MATCH(Calendar!$A6,DB!1:1,0)+2),FALSE),"")</f>
        <v/>
      </c>
      <c r="DTP6" s="27" t="str">
        <f>IFERROR(VLOOKUP(DATE($K$1,$K$2,DTP$4),Table1[],(MATCH(Calendar!$A6,DB!1:1,0)+2),FALSE),"")</f>
        <v/>
      </c>
      <c r="DTQ6" s="27" t="str">
        <f>IFERROR(VLOOKUP(DATE($K$1,$K$2,DTQ$4),Table1[],(MATCH(Calendar!$A6,DB!1:1,0)+2),FALSE),"")</f>
        <v/>
      </c>
      <c r="DTR6" s="27" t="str">
        <f>IFERROR(VLOOKUP(DATE($K$1,$K$2,DTR$4),Table1[],(MATCH(Calendar!$A6,DB!1:1,0)+2),FALSE),"")</f>
        <v/>
      </c>
      <c r="DTS6" s="27" t="str">
        <f>IFERROR(VLOOKUP(DATE($K$1,$K$2,DTS$4),Table1[],(MATCH(Calendar!$A6,DB!1:1,0)+2),FALSE),"")</f>
        <v/>
      </c>
      <c r="DTT6" s="27" t="str">
        <f>IFERROR(VLOOKUP(DATE($K$1,$K$2,DTT$4),Table1[],(MATCH(Calendar!$A6,DB!1:1,0)+2),FALSE),"")</f>
        <v/>
      </c>
      <c r="DTU6" s="27" t="str">
        <f>IFERROR(VLOOKUP(DATE($K$1,$K$2,DTU$4),Table1[],(MATCH(Calendar!$A6,DB!1:1,0)+2),FALSE),"")</f>
        <v/>
      </c>
      <c r="DTV6" s="27" t="str">
        <f>IFERROR(VLOOKUP(DATE($K$1,$K$2,DTV$4),Table1[],(MATCH(Calendar!$A6,DB!1:1,0)+2),FALSE),"")</f>
        <v/>
      </c>
      <c r="DTW6" s="27" t="str">
        <f>IFERROR(VLOOKUP(DATE($K$1,$K$2,DTW$4),Table1[],(MATCH(Calendar!$A6,DB!1:1,0)+2),FALSE),"")</f>
        <v/>
      </c>
      <c r="DTX6" s="27" t="str">
        <f>IFERROR(VLOOKUP(DATE($K$1,$K$2,DTX$4),Table1[],(MATCH(Calendar!$A6,DB!1:1,0)+2),FALSE),"")</f>
        <v/>
      </c>
      <c r="DTY6" s="27" t="str">
        <f>IFERROR(VLOOKUP(DATE($K$1,$K$2,DTY$4),Table1[],(MATCH(Calendar!$A6,DB!1:1,0)+2),FALSE),"")</f>
        <v/>
      </c>
      <c r="DTZ6" s="27" t="str">
        <f>IFERROR(VLOOKUP(DATE($K$1,$K$2,DTZ$4),Table1[],(MATCH(Calendar!$A6,DB!1:1,0)+2),FALSE),"")</f>
        <v/>
      </c>
      <c r="DUA6" s="27" t="str">
        <f>IFERROR(VLOOKUP(DATE($K$1,$K$2,DUA$4),Table1[],(MATCH(Calendar!$A6,DB!1:1,0)+2),FALSE),"")</f>
        <v/>
      </c>
      <c r="DUB6" s="27" t="str">
        <f>IFERROR(VLOOKUP(DATE($K$1,$K$2,DUB$4),Table1[],(MATCH(Calendar!$A6,DB!1:1,0)+2),FALSE),"")</f>
        <v/>
      </c>
      <c r="DUC6" s="27" t="str">
        <f>IFERROR(VLOOKUP(DATE($K$1,$K$2,DUC$4),Table1[],(MATCH(Calendar!$A6,DB!1:1,0)+2),FALSE),"")</f>
        <v/>
      </c>
      <c r="DUD6" s="27" t="str">
        <f>IFERROR(VLOOKUP(DATE($K$1,$K$2,DUD$4),Table1[],(MATCH(Calendar!$A6,DB!1:1,0)+2),FALSE),"")</f>
        <v/>
      </c>
      <c r="DUE6" s="27" t="str">
        <f>IFERROR(VLOOKUP(DATE($K$1,$K$2,DUE$4),Table1[],(MATCH(Calendar!$A6,DB!1:1,0)+2),FALSE),"")</f>
        <v/>
      </c>
      <c r="DUF6" s="27" t="str">
        <f>IFERROR(VLOOKUP(DATE($K$1,$K$2,DUF$4),Table1[],(MATCH(Calendar!$A6,DB!1:1,0)+2),FALSE),"")</f>
        <v/>
      </c>
      <c r="DUG6" s="27" t="str">
        <f>IFERROR(VLOOKUP(DATE($K$1,$K$2,DUG$4),Table1[],(MATCH(Calendar!$A6,DB!1:1,0)+2),FALSE),"")</f>
        <v/>
      </c>
      <c r="DUH6" s="27" t="str">
        <f>IFERROR(VLOOKUP(DATE($K$1,$K$2,DUH$4),Table1[],(MATCH(Calendar!$A6,DB!1:1,0)+2),FALSE),"")</f>
        <v/>
      </c>
      <c r="DUI6" s="27" t="str">
        <f>IFERROR(VLOOKUP(DATE($K$1,$K$2,DUI$4),Table1[],(MATCH(Calendar!$A6,DB!1:1,0)+2),FALSE),"")</f>
        <v/>
      </c>
      <c r="DUJ6" s="27" t="str">
        <f>IFERROR(VLOOKUP(DATE($K$1,$K$2,DUJ$4),Table1[],(MATCH(Calendar!$A6,DB!1:1,0)+2),FALSE),"")</f>
        <v/>
      </c>
      <c r="DUK6" s="27" t="str">
        <f>IFERROR(VLOOKUP(DATE($K$1,$K$2,DUK$4),Table1[],(MATCH(Calendar!$A6,DB!1:1,0)+2),FALSE),"")</f>
        <v/>
      </c>
      <c r="DUL6" s="27" t="str">
        <f>IFERROR(VLOOKUP(DATE($K$1,$K$2,DUL$4),Table1[],(MATCH(Calendar!$A6,DB!1:1,0)+2),FALSE),"")</f>
        <v/>
      </c>
      <c r="DUM6" s="27" t="str">
        <f>IFERROR(VLOOKUP(DATE($K$1,$K$2,DUM$4),Table1[],(MATCH(Calendar!$A6,DB!1:1,0)+2),FALSE),"")</f>
        <v/>
      </c>
      <c r="DUN6" s="27" t="str">
        <f>IFERROR(VLOOKUP(DATE($K$1,$K$2,DUN$4),Table1[],(MATCH(Calendar!$A6,DB!1:1,0)+2),FALSE),"")</f>
        <v/>
      </c>
      <c r="DUO6" s="27" t="str">
        <f>IFERROR(VLOOKUP(DATE($K$1,$K$2,DUO$4),Table1[],(MATCH(Calendar!$A6,DB!1:1,0)+2),FALSE),"")</f>
        <v/>
      </c>
      <c r="DUP6" s="27" t="str">
        <f>IFERROR(VLOOKUP(DATE($K$1,$K$2,DUP$4),Table1[],(MATCH(Calendar!$A6,DB!1:1,0)+2),FALSE),"")</f>
        <v/>
      </c>
      <c r="DUQ6" s="27" t="str">
        <f>IFERROR(VLOOKUP(DATE($K$1,$K$2,DUQ$4),Table1[],(MATCH(Calendar!$A6,DB!1:1,0)+2),FALSE),"")</f>
        <v/>
      </c>
      <c r="DUR6" s="27" t="str">
        <f>IFERROR(VLOOKUP(DATE($K$1,$K$2,DUR$4),Table1[],(MATCH(Calendar!$A6,DB!1:1,0)+2),FALSE),"")</f>
        <v/>
      </c>
      <c r="DUS6" s="27" t="str">
        <f>IFERROR(VLOOKUP(DATE($K$1,$K$2,DUS$4),Table1[],(MATCH(Calendar!$A6,DB!1:1,0)+2),FALSE),"")</f>
        <v/>
      </c>
      <c r="DUT6" s="27" t="str">
        <f>IFERROR(VLOOKUP(DATE($K$1,$K$2,DUT$4),Table1[],(MATCH(Calendar!$A6,DB!1:1,0)+2),FALSE),"")</f>
        <v/>
      </c>
      <c r="DUU6" s="27" t="str">
        <f>IFERROR(VLOOKUP(DATE($K$1,$K$2,DUU$4),Table1[],(MATCH(Calendar!$A6,DB!1:1,0)+2),FALSE),"")</f>
        <v/>
      </c>
      <c r="DUV6" s="27" t="str">
        <f>IFERROR(VLOOKUP(DATE($K$1,$K$2,DUV$4),Table1[],(MATCH(Calendar!$A6,DB!1:1,0)+2),FALSE),"")</f>
        <v/>
      </c>
      <c r="DUW6" s="27" t="str">
        <f>IFERROR(VLOOKUP(DATE($K$1,$K$2,DUW$4),Table1[],(MATCH(Calendar!$A6,DB!1:1,0)+2),FALSE),"")</f>
        <v/>
      </c>
      <c r="DUX6" s="27" t="str">
        <f>IFERROR(VLOOKUP(DATE($K$1,$K$2,DUX$4),Table1[],(MATCH(Calendar!$A6,DB!1:1,0)+2),FALSE),"")</f>
        <v/>
      </c>
      <c r="DUY6" s="27" t="str">
        <f>IFERROR(VLOOKUP(DATE($K$1,$K$2,DUY$4),Table1[],(MATCH(Calendar!$A6,DB!1:1,0)+2),FALSE),"")</f>
        <v/>
      </c>
      <c r="DUZ6" s="27" t="str">
        <f>IFERROR(VLOOKUP(DATE($K$1,$K$2,DUZ$4),Table1[],(MATCH(Calendar!$A6,DB!1:1,0)+2),FALSE),"")</f>
        <v/>
      </c>
      <c r="DVA6" s="27" t="str">
        <f>IFERROR(VLOOKUP(DATE($K$1,$K$2,DVA$4),Table1[],(MATCH(Calendar!$A6,DB!1:1,0)+2),FALSE),"")</f>
        <v/>
      </c>
      <c r="DVB6" s="27" t="str">
        <f>IFERROR(VLOOKUP(DATE($K$1,$K$2,DVB$4),Table1[],(MATCH(Calendar!$A6,DB!1:1,0)+2),FALSE),"")</f>
        <v/>
      </c>
      <c r="DVC6" s="27" t="str">
        <f>IFERROR(VLOOKUP(DATE($K$1,$K$2,DVC$4),Table1[],(MATCH(Calendar!$A6,DB!1:1,0)+2),FALSE),"")</f>
        <v/>
      </c>
      <c r="DVD6" s="27" t="str">
        <f>IFERROR(VLOOKUP(DATE($K$1,$K$2,DVD$4),Table1[],(MATCH(Calendar!$A6,DB!1:1,0)+2),FALSE),"")</f>
        <v/>
      </c>
      <c r="DVE6" s="27" t="str">
        <f>IFERROR(VLOOKUP(DATE($K$1,$K$2,DVE$4),Table1[],(MATCH(Calendar!$A6,DB!1:1,0)+2),FALSE),"")</f>
        <v/>
      </c>
      <c r="DVF6" s="27" t="str">
        <f>IFERROR(VLOOKUP(DATE($K$1,$K$2,DVF$4),Table1[],(MATCH(Calendar!$A6,DB!1:1,0)+2),FALSE),"")</f>
        <v/>
      </c>
      <c r="DVG6" s="27" t="str">
        <f>IFERROR(VLOOKUP(DATE($K$1,$K$2,DVG$4),Table1[],(MATCH(Calendar!$A6,DB!1:1,0)+2),FALSE),"")</f>
        <v/>
      </c>
      <c r="DVH6" s="27" t="str">
        <f>IFERROR(VLOOKUP(DATE($K$1,$K$2,DVH$4),Table1[],(MATCH(Calendar!$A6,DB!1:1,0)+2),FALSE),"")</f>
        <v/>
      </c>
      <c r="DVI6" s="27" t="str">
        <f>IFERROR(VLOOKUP(DATE($K$1,$K$2,DVI$4),Table1[],(MATCH(Calendar!$A6,DB!1:1,0)+2),FALSE),"")</f>
        <v/>
      </c>
      <c r="DVJ6" s="27" t="str">
        <f>IFERROR(VLOOKUP(DATE($K$1,$K$2,DVJ$4),Table1[],(MATCH(Calendar!$A6,DB!1:1,0)+2),FALSE),"")</f>
        <v/>
      </c>
      <c r="DVK6" s="27" t="str">
        <f>IFERROR(VLOOKUP(DATE($K$1,$K$2,DVK$4),Table1[],(MATCH(Calendar!$A6,DB!1:1,0)+2),FALSE),"")</f>
        <v/>
      </c>
      <c r="DVL6" s="27" t="str">
        <f>IFERROR(VLOOKUP(DATE($K$1,$K$2,DVL$4),Table1[],(MATCH(Calendar!$A6,DB!1:1,0)+2),FALSE),"")</f>
        <v/>
      </c>
      <c r="DVM6" s="27" t="str">
        <f>IFERROR(VLOOKUP(DATE($K$1,$K$2,DVM$4),Table1[],(MATCH(Calendar!$A6,DB!1:1,0)+2),FALSE),"")</f>
        <v/>
      </c>
      <c r="DVN6" s="27" t="str">
        <f>IFERROR(VLOOKUP(DATE($K$1,$K$2,DVN$4),Table1[],(MATCH(Calendar!$A6,DB!1:1,0)+2),FALSE),"")</f>
        <v/>
      </c>
      <c r="DVO6" s="27" t="str">
        <f>IFERROR(VLOOKUP(DATE($K$1,$K$2,DVO$4),Table1[],(MATCH(Calendar!$A6,DB!1:1,0)+2),FALSE),"")</f>
        <v/>
      </c>
      <c r="DVP6" s="27" t="str">
        <f>IFERROR(VLOOKUP(DATE($K$1,$K$2,DVP$4),Table1[],(MATCH(Calendar!$A6,DB!1:1,0)+2),FALSE),"")</f>
        <v/>
      </c>
      <c r="DVQ6" s="27" t="str">
        <f>IFERROR(VLOOKUP(DATE($K$1,$K$2,DVQ$4),Table1[],(MATCH(Calendar!$A6,DB!1:1,0)+2),FALSE),"")</f>
        <v/>
      </c>
      <c r="DVR6" s="27" t="str">
        <f>IFERROR(VLOOKUP(DATE($K$1,$K$2,DVR$4),Table1[],(MATCH(Calendar!$A6,DB!1:1,0)+2),FALSE),"")</f>
        <v/>
      </c>
      <c r="DVS6" s="27" t="str">
        <f>IFERROR(VLOOKUP(DATE($K$1,$K$2,DVS$4),Table1[],(MATCH(Calendar!$A6,DB!1:1,0)+2),FALSE),"")</f>
        <v/>
      </c>
      <c r="DVT6" s="27" t="str">
        <f>IFERROR(VLOOKUP(DATE($K$1,$K$2,DVT$4),Table1[],(MATCH(Calendar!$A6,DB!1:1,0)+2),FALSE),"")</f>
        <v/>
      </c>
      <c r="DVU6" s="27" t="str">
        <f>IFERROR(VLOOKUP(DATE($K$1,$K$2,DVU$4),Table1[],(MATCH(Calendar!$A6,DB!1:1,0)+2),FALSE),"")</f>
        <v/>
      </c>
      <c r="DVV6" s="27" t="str">
        <f>IFERROR(VLOOKUP(DATE($K$1,$K$2,DVV$4),Table1[],(MATCH(Calendar!$A6,DB!1:1,0)+2),FALSE),"")</f>
        <v/>
      </c>
      <c r="DVW6" s="27" t="str">
        <f>IFERROR(VLOOKUP(DATE($K$1,$K$2,DVW$4),Table1[],(MATCH(Calendar!$A6,DB!1:1,0)+2),FALSE),"")</f>
        <v/>
      </c>
      <c r="DVX6" s="27" t="str">
        <f>IFERROR(VLOOKUP(DATE($K$1,$K$2,DVX$4),Table1[],(MATCH(Calendar!$A6,DB!1:1,0)+2),FALSE),"")</f>
        <v/>
      </c>
      <c r="DVY6" s="27" t="str">
        <f>IFERROR(VLOOKUP(DATE($K$1,$K$2,DVY$4),Table1[],(MATCH(Calendar!$A6,DB!1:1,0)+2),FALSE),"")</f>
        <v/>
      </c>
      <c r="DVZ6" s="27" t="str">
        <f>IFERROR(VLOOKUP(DATE($K$1,$K$2,DVZ$4),Table1[],(MATCH(Calendar!$A6,DB!1:1,0)+2),FALSE),"")</f>
        <v/>
      </c>
      <c r="DWA6" s="27" t="str">
        <f>IFERROR(VLOOKUP(DATE($K$1,$K$2,DWA$4),Table1[],(MATCH(Calendar!$A6,DB!1:1,0)+2),FALSE),"")</f>
        <v/>
      </c>
      <c r="DWB6" s="27" t="str">
        <f>IFERROR(VLOOKUP(DATE($K$1,$K$2,DWB$4),Table1[],(MATCH(Calendar!$A6,DB!1:1,0)+2),FALSE),"")</f>
        <v/>
      </c>
      <c r="DWC6" s="27" t="str">
        <f>IFERROR(VLOOKUP(DATE($K$1,$K$2,DWC$4),Table1[],(MATCH(Calendar!$A6,DB!1:1,0)+2),FALSE),"")</f>
        <v/>
      </c>
      <c r="DWD6" s="27" t="str">
        <f>IFERROR(VLOOKUP(DATE($K$1,$K$2,DWD$4),Table1[],(MATCH(Calendar!$A6,DB!1:1,0)+2),FALSE),"")</f>
        <v/>
      </c>
      <c r="DWE6" s="27" t="str">
        <f>IFERROR(VLOOKUP(DATE($K$1,$K$2,DWE$4),Table1[],(MATCH(Calendar!$A6,DB!1:1,0)+2),FALSE),"")</f>
        <v/>
      </c>
      <c r="DWF6" s="27" t="str">
        <f>IFERROR(VLOOKUP(DATE($K$1,$K$2,DWF$4),Table1[],(MATCH(Calendar!$A6,DB!1:1,0)+2),FALSE),"")</f>
        <v/>
      </c>
      <c r="DWG6" s="27" t="str">
        <f>IFERROR(VLOOKUP(DATE($K$1,$K$2,DWG$4),Table1[],(MATCH(Calendar!$A6,DB!1:1,0)+2),FALSE),"")</f>
        <v/>
      </c>
      <c r="DWH6" s="27" t="str">
        <f>IFERROR(VLOOKUP(DATE($K$1,$K$2,DWH$4),Table1[],(MATCH(Calendar!$A6,DB!1:1,0)+2),FALSE),"")</f>
        <v/>
      </c>
      <c r="DWI6" s="27" t="str">
        <f>IFERROR(VLOOKUP(DATE($K$1,$K$2,DWI$4),Table1[],(MATCH(Calendar!$A6,DB!1:1,0)+2),FALSE),"")</f>
        <v/>
      </c>
      <c r="DWJ6" s="27" t="str">
        <f>IFERROR(VLOOKUP(DATE($K$1,$K$2,DWJ$4),Table1[],(MATCH(Calendar!$A6,DB!1:1,0)+2),FALSE),"")</f>
        <v/>
      </c>
      <c r="DWK6" s="27" t="str">
        <f>IFERROR(VLOOKUP(DATE($K$1,$K$2,DWK$4),Table1[],(MATCH(Calendar!$A6,DB!1:1,0)+2),FALSE),"")</f>
        <v/>
      </c>
      <c r="DWL6" s="27" t="str">
        <f>IFERROR(VLOOKUP(DATE($K$1,$K$2,DWL$4),Table1[],(MATCH(Calendar!$A6,DB!1:1,0)+2),FALSE),"")</f>
        <v/>
      </c>
      <c r="DWM6" s="27" t="str">
        <f>IFERROR(VLOOKUP(DATE($K$1,$K$2,DWM$4),Table1[],(MATCH(Calendar!$A6,DB!1:1,0)+2),FALSE),"")</f>
        <v/>
      </c>
      <c r="DWN6" s="27" t="str">
        <f>IFERROR(VLOOKUP(DATE($K$1,$K$2,DWN$4),Table1[],(MATCH(Calendar!$A6,DB!1:1,0)+2),FALSE),"")</f>
        <v/>
      </c>
      <c r="DWO6" s="27" t="str">
        <f>IFERROR(VLOOKUP(DATE($K$1,$K$2,DWO$4),Table1[],(MATCH(Calendar!$A6,DB!1:1,0)+2),FALSE),"")</f>
        <v/>
      </c>
      <c r="DWP6" s="27" t="str">
        <f>IFERROR(VLOOKUP(DATE($K$1,$K$2,DWP$4),Table1[],(MATCH(Calendar!$A6,DB!1:1,0)+2),FALSE),"")</f>
        <v/>
      </c>
      <c r="DWQ6" s="27" t="str">
        <f>IFERROR(VLOOKUP(DATE($K$1,$K$2,DWQ$4),Table1[],(MATCH(Calendar!$A6,DB!1:1,0)+2),FALSE),"")</f>
        <v/>
      </c>
      <c r="DWR6" s="27" t="str">
        <f>IFERROR(VLOOKUP(DATE($K$1,$K$2,DWR$4),Table1[],(MATCH(Calendar!$A6,DB!1:1,0)+2),FALSE),"")</f>
        <v/>
      </c>
      <c r="DWS6" s="27" t="str">
        <f>IFERROR(VLOOKUP(DATE($K$1,$K$2,DWS$4),Table1[],(MATCH(Calendar!$A6,DB!1:1,0)+2),FALSE),"")</f>
        <v/>
      </c>
      <c r="DWT6" s="27" t="str">
        <f>IFERROR(VLOOKUP(DATE($K$1,$K$2,DWT$4),Table1[],(MATCH(Calendar!$A6,DB!1:1,0)+2),FALSE),"")</f>
        <v/>
      </c>
      <c r="DWU6" s="27" t="str">
        <f>IFERROR(VLOOKUP(DATE($K$1,$K$2,DWU$4),Table1[],(MATCH(Calendar!$A6,DB!1:1,0)+2),FALSE),"")</f>
        <v/>
      </c>
      <c r="DWV6" s="27" t="str">
        <f>IFERROR(VLOOKUP(DATE($K$1,$K$2,DWV$4),Table1[],(MATCH(Calendar!$A6,DB!1:1,0)+2),FALSE),"")</f>
        <v/>
      </c>
      <c r="DWW6" s="27" t="str">
        <f>IFERROR(VLOOKUP(DATE($K$1,$K$2,DWW$4),Table1[],(MATCH(Calendar!$A6,DB!1:1,0)+2),FALSE),"")</f>
        <v/>
      </c>
      <c r="DWX6" s="27" t="str">
        <f>IFERROR(VLOOKUP(DATE($K$1,$K$2,DWX$4),Table1[],(MATCH(Calendar!$A6,DB!1:1,0)+2),FALSE),"")</f>
        <v/>
      </c>
      <c r="DWY6" s="27" t="str">
        <f>IFERROR(VLOOKUP(DATE($K$1,$K$2,DWY$4),Table1[],(MATCH(Calendar!$A6,DB!1:1,0)+2),FALSE),"")</f>
        <v/>
      </c>
      <c r="DWZ6" s="27" t="str">
        <f>IFERROR(VLOOKUP(DATE($K$1,$K$2,DWZ$4),Table1[],(MATCH(Calendar!$A6,DB!1:1,0)+2),FALSE),"")</f>
        <v/>
      </c>
      <c r="DXA6" s="27" t="str">
        <f>IFERROR(VLOOKUP(DATE($K$1,$K$2,DXA$4),Table1[],(MATCH(Calendar!$A6,DB!1:1,0)+2),FALSE),"")</f>
        <v/>
      </c>
      <c r="DXB6" s="27" t="str">
        <f>IFERROR(VLOOKUP(DATE($K$1,$K$2,DXB$4),Table1[],(MATCH(Calendar!$A6,DB!1:1,0)+2),FALSE),"")</f>
        <v/>
      </c>
      <c r="DXC6" s="27" t="str">
        <f>IFERROR(VLOOKUP(DATE($K$1,$K$2,DXC$4),Table1[],(MATCH(Calendar!$A6,DB!1:1,0)+2),FALSE),"")</f>
        <v/>
      </c>
      <c r="DXD6" s="27" t="str">
        <f>IFERROR(VLOOKUP(DATE($K$1,$K$2,DXD$4),Table1[],(MATCH(Calendar!$A6,DB!1:1,0)+2),FALSE),"")</f>
        <v/>
      </c>
      <c r="DXE6" s="27" t="str">
        <f>IFERROR(VLOOKUP(DATE($K$1,$K$2,DXE$4),Table1[],(MATCH(Calendar!$A6,DB!1:1,0)+2),FALSE),"")</f>
        <v/>
      </c>
      <c r="DXF6" s="27" t="str">
        <f>IFERROR(VLOOKUP(DATE($K$1,$K$2,DXF$4),Table1[],(MATCH(Calendar!$A6,DB!1:1,0)+2),FALSE),"")</f>
        <v/>
      </c>
      <c r="DXG6" s="27" t="str">
        <f>IFERROR(VLOOKUP(DATE($K$1,$K$2,DXG$4),Table1[],(MATCH(Calendar!$A6,DB!1:1,0)+2),FALSE),"")</f>
        <v/>
      </c>
      <c r="DXH6" s="27" t="str">
        <f>IFERROR(VLOOKUP(DATE($K$1,$K$2,DXH$4),Table1[],(MATCH(Calendar!$A6,DB!1:1,0)+2),FALSE),"")</f>
        <v/>
      </c>
      <c r="DXI6" s="27" t="str">
        <f>IFERROR(VLOOKUP(DATE($K$1,$K$2,DXI$4),Table1[],(MATCH(Calendar!$A6,DB!1:1,0)+2),FALSE),"")</f>
        <v/>
      </c>
      <c r="DXJ6" s="27" t="str">
        <f>IFERROR(VLOOKUP(DATE($K$1,$K$2,DXJ$4),Table1[],(MATCH(Calendar!$A6,DB!1:1,0)+2),FALSE),"")</f>
        <v/>
      </c>
      <c r="DXK6" s="27" t="str">
        <f>IFERROR(VLOOKUP(DATE($K$1,$K$2,DXK$4),Table1[],(MATCH(Calendar!$A6,DB!1:1,0)+2),FALSE),"")</f>
        <v/>
      </c>
      <c r="DXL6" s="27" t="str">
        <f>IFERROR(VLOOKUP(DATE($K$1,$K$2,DXL$4),Table1[],(MATCH(Calendar!$A6,DB!1:1,0)+2),FALSE),"")</f>
        <v/>
      </c>
      <c r="DXM6" s="27" t="str">
        <f>IFERROR(VLOOKUP(DATE($K$1,$K$2,DXM$4),Table1[],(MATCH(Calendar!$A6,DB!1:1,0)+2),FALSE),"")</f>
        <v/>
      </c>
      <c r="DXN6" s="27" t="str">
        <f>IFERROR(VLOOKUP(DATE($K$1,$K$2,DXN$4),Table1[],(MATCH(Calendar!$A6,DB!1:1,0)+2),FALSE),"")</f>
        <v/>
      </c>
      <c r="DXO6" s="27" t="str">
        <f>IFERROR(VLOOKUP(DATE($K$1,$K$2,DXO$4),Table1[],(MATCH(Calendar!$A6,DB!1:1,0)+2),FALSE),"")</f>
        <v/>
      </c>
      <c r="DXP6" s="27" t="str">
        <f>IFERROR(VLOOKUP(DATE($K$1,$K$2,DXP$4),Table1[],(MATCH(Calendar!$A6,DB!1:1,0)+2),FALSE),"")</f>
        <v/>
      </c>
      <c r="DXQ6" s="27" t="str">
        <f>IFERROR(VLOOKUP(DATE($K$1,$K$2,DXQ$4),Table1[],(MATCH(Calendar!$A6,DB!1:1,0)+2),FALSE),"")</f>
        <v/>
      </c>
      <c r="DXR6" s="27" t="str">
        <f>IFERROR(VLOOKUP(DATE($K$1,$K$2,DXR$4),Table1[],(MATCH(Calendar!$A6,DB!1:1,0)+2),FALSE),"")</f>
        <v/>
      </c>
      <c r="DXS6" s="27" t="str">
        <f>IFERROR(VLOOKUP(DATE($K$1,$K$2,DXS$4),Table1[],(MATCH(Calendar!$A6,DB!1:1,0)+2),FALSE),"")</f>
        <v/>
      </c>
      <c r="DXT6" s="27" t="str">
        <f>IFERROR(VLOOKUP(DATE($K$1,$K$2,DXT$4),Table1[],(MATCH(Calendar!$A6,DB!1:1,0)+2),FALSE),"")</f>
        <v/>
      </c>
      <c r="DXU6" s="27" t="str">
        <f>IFERROR(VLOOKUP(DATE($K$1,$K$2,DXU$4),Table1[],(MATCH(Calendar!$A6,DB!1:1,0)+2),FALSE),"")</f>
        <v/>
      </c>
      <c r="DXV6" s="27" t="str">
        <f>IFERROR(VLOOKUP(DATE($K$1,$K$2,DXV$4),Table1[],(MATCH(Calendar!$A6,DB!1:1,0)+2),FALSE),"")</f>
        <v/>
      </c>
      <c r="DXW6" s="27" t="str">
        <f>IFERROR(VLOOKUP(DATE($K$1,$K$2,DXW$4),Table1[],(MATCH(Calendar!$A6,DB!1:1,0)+2),FALSE),"")</f>
        <v/>
      </c>
      <c r="DXX6" s="27" t="str">
        <f>IFERROR(VLOOKUP(DATE($K$1,$K$2,DXX$4),Table1[],(MATCH(Calendar!$A6,DB!1:1,0)+2),FALSE),"")</f>
        <v/>
      </c>
      <c r="DXY6" s="27" t="str">
        <f>IFERROR(VLOOKUP(DATE($K$1,$K$2,DXY$4),Table1[],(MATCH(Calendar!$A6,DB!1:1,0)+2),FALSE),"")</f>
        <v/>
      </c>
      <c r="DXZ6" s="27" t="str">
        <f>IFERROR(VLOOKUP(DATE($K$1,$K$2,DXZ$4),Table1[],(MATCH(Calendar!$A6,DB!1:1,0)+2),FALSE),"")</f>
        <v/>
      </c>
      <c r="DYA6" s="27" t="str">
        <f>IFERROR(VLOOKUP(DATE($K$1,$K$2,DYA$4),Table1[],(MATCH(Calendar!$A6,DB!1:1,0)+2),FALSE),"")</f>
        <v/>
      </c>
      <c r="DYB6" s="27" t="str">
        <f>IFERROR(VLOOKUP(DATE($K$1,$K$2,DYB$4),Table1[],(MATCH(Calendar!$A6,DB!1:1,0)+2),FALSE),"")</f>
        <v/>
      </c>
      <c r="DYC6" s="27" t="str">
        <f>IFERROR(VLOOKUP(DATE($K$1,$K$2,DYC$4),Table1[],(MATCH(Calendar!$A6,DB!1:1,0)+2),FALSE),"")</f>
        <v/>
      </c>
      <c r="DYD6" s="27" t="str">
        <f>IFERROR(VLOOKUP(DATE($K$1,$K$2,DYD$4),Table1[],(MATCH(Calendar!$A6,DB!1:1,0)+2),FALSE),"")</f>
        <v/>
      </c>
      <c r="DYE6" s="27" t="str">
        <f>IFERROR(VLOOKUP(DATE($K$1,$K$2,DYE$4),Table1[],(MATCH(Calendar!$A6,DB!1:1,0)+2),FALSE),"")</f>
        <v/>
      </c>
      <c r="DYF6" s="27" t="str">
        <f>IFERROR(VLOOKUP(DATE($K$1,$K$2,DYF$4),Table1[],(MATCH(Calendar!$A6,DB!1:1,0)+2),FALSE),"")</f>
        <v/>
      </c>
      <c r="DYG6" s="27" t="str">
        <f>IFERROR(VLOOKUP(DATE($K$1,$K$2,DYG$4),Table1[],(MATCH(Calendar!$A6,DB!1:1,0)+2),FALSE),"")</f>
        <v/>
      </c>
      <c r="DYH6" s="27" t="str">
        <f>IFERROR(VLOOKUP(DATE($K$1,$K$2,DYH$4),Table1[],(MATCH(Calendar!$A6,DB!1:1,0)+2),FALSE),"")</f>
        <v/>
      </c>
      <c r="DYI6" s="27" t="str">
        <f>IFERROR(VLOOKUP(DATE($K$1,$K$2,DYI$4),Table1[],(MATCH(Calendar!$A6,DB!1:1,0)+2),FALSE),"")</f>
        <v/>
      </c>
      <c r="DYJ6" s="27" t="str">
        <f>IFERROR(VLOOKUP(DATE($K$1,$K$2,DYJ$4),Table1[],(MATCH(Calendar!$A6,DB!1:1,0)+2),FALSE),"")</f>
        <v/>
      </c>
      <c r="DYK6" s="27" t="str">
        <f>IFERROR(VLOOKUP(DATE($K$1,$K$2,DYK$4),Table1[],(MATCH(Calendar!$A6,DB!1:1,0)+2),FALSE),"")</f>
        <v/>
      </c>
      <c r="DYL6" s="27" t="str">
        <f>IFERROR(VLOOKUP(DATE($K$1,$K$2,DYL$4),Table1[],(MATCH(Calendar!$A6,DB!1:1,0)+2),FALSE),"")</f>
        <v/>
      </c>
      <c r="DYM6" s="27" t="str">
        <f>IFERROR(VLOOKUP(DATE($K$1,$K$2,DYM$4),Table1[],(MATCH(Calendar!$A6,DB!1:1,0)+2),FALSE),"")</f>
        <v/>
      </c>
      <c r="DYN6" s="27" t="str">
        <f>IFERROR(VLOOKUP(DATE($K$1,$K$2,DYN$4),Table1[],(MATCH(Calendar!$A6,DB!1:1,0)+2),FALSE),"")</f>
        <v/>
      </c>
      <c r="DYO6" s="27" t="str">
        <f>IFERROR(VLOOKUP(DATE($K$1,$K$2,DYO$4),Table1[],(MATCH(Calendar!$A6,DB!1:1,0)+2),FALSE),"")</f>
        <v/>
      </c>
      <c r="DYP6" s="27" t="str">
        <f>IFERROR(VLOOKUP(DATE($K$1,$K$2,DYP$4),Table1[],(MATCH(Calendar!$A6,DB!1:1,0)+2),FALSE),"")</f>
        <v/>
      </c>
      <c r="DYQ6" s="27" t="str">
        <f>IFERROR(VLOOKUP(DATE($K$1,$K$2,DYQ$4),Table1[],(MATCH(Calendar!$A6,DB!1:1,0)+2),FALSE),"")</f>
        <v/>
      </c>
      <c r="DYR6" s="27" t="str">
        <f>IFERROR(VLOOKUP(DATE($K$1,$K$2,DYR$4),Table1[],(MATCH(Calendar!$A6,DB!1:1,0)+2),FALSE),"")</f>
        <v/>
      </c>
      <c r="DYS6" s="27" t="str">
        <f>IFERROR(VLOOKUP(DATE($K$1,$K$2,DYS$4),Table1[],(MATCH(Calendar!$A6,DB!1:1,0)+2),FALSE),"")</f>
        <v/>
      </c>
      <c r="DYT6" s="27" t="str">
        <f>IFERROR(VLOOKUP(DATE($K$1,$K$2,DYT$4),Table1[],(MATCH(Calendar!$A6,DB!1:1,0)+2),FALSE),"")</f>
        <v/>
      </c>
      <c r="DYU6" s="27" t="str">
        <f>IFERROR(VLOOKUP(DATE($K$1,$K$2,DYU$4),Table1[],(MATCH(Calendar!$A6,DB!1:1,0)+2),FALSE),"")</f>
        <v/>
      </c>
      <c r="DYV6" s="27" t="str">
        <f>IFERROR(VLOOKUP(DATE($K$1,$K$2,DYV$4),Table1[],(MATCH(Calendar!$A6,DB!1:1,0)+2),FALSE),"")</f>
        <v/>
      </c>
      <c r="DYW6" s="27" t="str">
        <f>IFERROR(VLOOKUP(DATE($K$1,$K$2,DYW$4),Table1[],(MATCH(Calendar!$A6,DB!1:1,0)+2),FALSE),"")</f>
        <v/>
      </c>
      <c r="DYX6" s="27" t="str">
        <f>IFERROR(VLOOKUP(DATE($K$1,$K$2,DYX$4),Table1[],(MATCH(Calendar!$A6,DB!1:1,0)+2),FALSE),"")</f>
        <v/>
      </c>
      <c r="DYY6" s="27" t="str">
        <f>IFERROR(VLOOKUP(DATE($K$1,$K$2,DYY$4),Table1[],(MATCH(Calendar!$A6,DB!1:1,0)+2),FALSE),"")</f>
        <v/>
      </c>
      <c r="DYZ6" s="27" t="str">
        <f>IFERROR(VLOOKUP(DATE($K$1,$K$2,DYZ$4),Table1[],(MATCH(Calendar!$A6,DB!1:1,0)+2),FALSE),"")</f>
        <v/>
      </c>
      <c r="DZA6" s="27" t="str">
        <f>IFERROR(VLOOKUP(DATE($K$1,$K$2,DZA$4),Table1[],(MATCH(Calendar!$A6,DB!1:1,0)+2),FALSE),"")</f>
        <v/>
      </c>
      <c r="DZB6" s="27" t="str">
        <f>IFERROR(VLOOKUP(DATE($K$1,$K$2,DZB$4),Table1[],(MATCH(Calendar!$A6,DB!1:1,0)+2),FALSE),"")</f>
        <v/>
      </c>
      <c r="DZC6" s="27" t="str">
        <f>IFERROR(VLOOKUP(DATE($K$1,$K$2,DZC$4),Table1[],(MATCH(Calendar!$A6,DB!1:1,0)+2),FALSE),"")</f>
        <v/>
      </c>
      <c r="DZD6" s="27" t="str">
        <f>IFERROR(VLOOKUP(DATE($K$1,$K$2,DZD$4),Table1[],(MATCH(Calendar!$A6,DB!1:1,0)+2),FALSE),"")</f>
        <v/>
      </c>
      <c r="DZE6" s="27" t="str">
        <f>IFERROR(VLOOKUP(DATE($K$1,$K$2,DZE$4),Table1[],(MATCH(Calendar!$A6,DB!1:1,0)+2),FALSE),"")</f>
        <v/>
      </c>
      <c r="DZF6" s="27" t="str">
        <f>IFERROR(VLOOKUP(DATE($K$1,$K$2,DZF$4),Table1[],(MATCH(Calendar!$A6,DB!1:1,0)+2),FALSE),"")</f>
        <v/>
      </c>
      <c r="DZG6" s="27" t="str">
        <f>IFERROR(VLOOKUP(DATE($K$1,$K$2,DZG$4),Table1[],(MATCH(Calendar!$A6,DB!1:1,0)+2),FALSE),"")</f>
        <v/>
      </c>
      <c r="DZH6" s="27" t="str">
        <f>IFERROR(VLOOKUP(DATE($K$1,$K$2,DZH$4),Table1[],(MATCH(Calendar!$A6,DB!1:1,0)+2),FALSE),"")</f>
        <v/>
      </c>
      <c r="DZI6" s="27" t="str">
        <f>IFERROR(VLOOKUP(DATE($K$1,$K$2,DZI$4),Table1[],(MATCH(Calendar!$A6,DB!1:1,0)+2),FALSE),"")</f>
        <v/>
      </c>
      <c r="DZJ6" s="27" t="str">
        <f>IFERROR(VLOOKUP(DATE($K$1,$K$2,DZJ$4),Table1[],(MATCH(Calendar!$A6,DB!1:1,0)+2),FALSE),"")</f>
        <v/>
      </c>
      <c r="DZK6" s="27" t="str">
        <f>IFERROR(VLOOKUP(DATE($K$1,$K$2,DZK$4),Table1[],(MATCH(Calendar!$A6,DB!1:1,0)+2),FALSE),"")</f>
        <v/>
      </c>
      <c r="DZL6" s="27" t="str">
        <f>IFERROR(VLOOKUP(DATE($K$1,$K$2,DZL$4),Table1[],(MATCH(Calendar!$A6,DB!1:1,0)+2),FALSE),"")</f>
        <v/>
      </c>
      <c r="DZM6" s="27" t="str">
        <f>IFERROR(VLOOKUP(DATE($K$1,$K$2,DZM$4),Table1[],(MATCH(Calendar!$A6,DB!1:1,0)+2),FALSE),"")</f>
        <v/>
      </c>
      <c r="DZN6" s="27" t="str">
        <f>IFERROR(VLOOKUP(DATE($K$1,$K$2,DZN$4),Table1[],(MATCH(Calendar!$A6,DB!1:1,0)+2),FALSE),"")</f>
        <v/>
      </c>
      <c r="DZO6" s="27" t="str">
        <f>IFERROR(VLOOKUP(DATE($K$1,$K$2,DZO$4),Table1[],(MATCH(Calendar!$A6,DB!1:1,0)+2),FALSE),"")</f>
        <v/>
      </c>
      <c r="DZP6" s="27" t="str">
        <f>IFERROR(VLOOKUP(DATE($K$1,$K$2,DZP$4),Table1[],(MATCH(Calendar!$A6,DB!1:1,0)+2),FALSE),"")</f>
        <v/>
      </c>
      <c r="DZQ6" s="27" t="str">
        <f>IFERROR(VLOOKUP(DATE($K$1,$K$2,DZQ$4),Table1[],(MATCH(Calendar!$A6,DB!1:1,0)+2),FALSE),"")</f>
        <v/>
      </c>
      <c r="DZR6" s="27" t="str">
        <f>IFERROR(VLOOKUP(DATE($K$1,$K$2,DZR$4),Table1[],(MATCH(Calendar!$A6,DB!1:1,0)+2),FALSE),"")</f>
        <v/>
      </c>
      <c r="DZS6" s="27" t="str">
        <f>IFERROR(VLOOKUP(DATE($K$1,$K$2,DZS$4),Table1[],(MATCH(Calendar!$A6,DB!1:1,0)+2),FALSE),"")</f>
        <v/>
      </c>
      <c r="DZT6" s="27" t="str">
        <f>IFERROR(VLOOKUP(DATE($K$1,$K$2,DZT$4),Table1[],(MATCH(Calendar!$A6,DB!1:1,0)+2),FALSE),"")</f>
        <v/>
      </c>
      <c r="DZU6" s="27" t="str">
        <f>IFERROR(VLOOKUP(DATE($K$1,$K$2,DZU$4),Table1[],(MATCH(Calendar!$A6,DB!1:1,0)+2),FALSE),"")</f>
        <v/>
      </c>
      <c r="DZV6" s="27" t="str">
        <f>IFERROR(VLOOKUP(DATE($K$1,$K$2,DZV$4),Table1[],(MATCH(Calendar!$A6,DB!1:1,0)+2),FALSE),"")</f>
        <v/>
      </c>
      <c r="DZW6" s="27" t="str">
        <f>IFERROR(VLOOKUP(DATE($K$1,$K$2,DZW$4),Table1[],(MATCH(Calendar!$A6,DB!1:1,0)+2),FALSE),"")</f>
        <v/>
      </c>
      <c r="DZX6" s="27" t="str">
        <f>IFERROR(VLOOKUP(DATE($K$1,$K$2,DZX$4),Table1[],(MATCH(Calendar!$A6,DB!1:1,0)+2),FALSE),"")</f>
        <v/>
      </c>
      <c r="DZY6" s="27" t="str">
        <f>IFERROR(VLOOKUP(DATE($K$1,$K$2,DZY$4),Table1[],(MATCH(Calendar!$A6,DB!1:1,0)+2),FALSE),"")</f>
        <v/>
      </c>
      <c r="DZZ6" s="27" t="str">
        <f>IFERROR(VLOOKUP(DATE($K$1,$K$2,DZZ$4),Table1[],(MATCH(Calendar!$A6,DB!1:1,0)+2),FALSE),"")</f>
        <v/>
      </c>
      <c r="EAA6" s="27" t="str">
        <f>IFERROR(VLOOKUP(DATE($K$1,$K$2,EAA$4),Table1[],(MATCH(Calendar!$A6,DB!1:1,0)+2),FALSE),"")</f>
        <v/>
      </c>
      <c r="EAB6" s="27" t="str">
        <f>IFERROR(VLOOKUP(DATE($K$1,$K$2,EAB$4),Table1[],(MATCH(Calendar!$A6,DB!1:1,0)+2),FALSE),"")</f>
        <v/>
      </c>
      <c r="EAC6" s="27" t="str">
        <f>IFERROR(VLOOKUP(DATE($K$1,$K$2,EAC$4),Table1[],(MATCH(Calendar!$A6,DB!1:1,0)+2),FALSE),"")</f>
        <v/>
      </c>
      <c r="EAD6" s="27" t="str">
        <f>IFERROR(VLOOKUP(DATE($K$1,$K$2,EAD$4),Table1[],(MATCH(Calendar!$A6,DB!1:1,0)+2),FALSE),"")</f>
        <v/>
      </c>
      <c r="EAE6" s="27" t="str">
        <f>IFERROR(VLOOKUP(DATE($K$1,$K$2,EAE$4),Table1[],(MATCH(Calendar!$A6,DB!1:1,0)+2),FALSE),"")</f>
        <v/>
      </c>
      <c r="EAF6" s="27" t="str">
        <f>IFERROR(VLOOKUP(DATE($K$1,$K$2,EAF$4),Table1[],(MATCH(Calendar!$A6,DB!1:1,0)+2),FALSE),"")</f>
        <v/>
      </c>
      <c r="EAG6" s="27" t="str">
        <f>IFERROR(VLOOKUP(DATE($K$1,$K$2,EAG$4),Table1[],(MATCH(Calendar!$A6,DB!1:1,0)+2),FALSE),"")</f>
        <v/>
      </c>
      <c r="EAH6" s="27" t="str">
        <f>IFERROR(VLOOKUP(DATE($K$1,$K$2,EAH$4),Table1[],(MATCH(Calendar!$A6,DB!1:1,0)+2),FALSE),"")</f>
        <v/>
      </c>
      <c r="EAI6" s="27" t="str">
        <f>IFERROR(VLOOKUP(DATE($K$1,$K$2,EAI$4),Table1[],(MATCH(Calendar!$A6,DB!1:1,0)+2),FALSE),"")</f>
        <v/>
      </c>
      <c r="EAJ6" s="27" t="str">
        <f>IFERROR(VLOOKUP(DATE($K$1,$K$2,EAJ$4),Table1[],(MATCH(Calendar!$A6,DB!1:1,0)+2),FALSE),"")</f>
        <v/>
      </c>
      <c r="EAK6" s="27" t="str">
        <f>IFERROR(VLOOKUP(DATE($K$1,$K$2,EAK$4),Table1[],(MATCH(Calendar!$A6,DB!1:1,0)+2),FALSE),"")</f>
        <v/>
      </c>
      <c r="EAL6" s="27" t="str">
        <f>IFERROR(VLOOKUP(DATE($K$1,$K$2,EAL$4),Table1[],(MATCH(Calendar!$A6,DB!1:1,0)+2),FALSE),"")</f>
        <v/>
      </c>
      <c r="EAM6" s="27" t="str">
        <f>IFERROR(VLOOKUP(DATE($K$1,$K$2,EAM$4),Table1[],(MATCH(Calendar!$A6,DB!1:1,0)+2),FALSE),"")</f>
        <v/>
      </c>
      <c r="EAN6" s="27" t="str">
        <f>IFERROR(VLOOKUP(DATE($K$1,$K$2,EAN$4),Table1[],(MATCH(Calendar!$A6,DB!1:1,0)+2),FALSE),"")</f>
        <v/>
      </c>
      <c r="EAO6" s="27" t="str">
        <f>IFERROR(VLOOKUP(DATE($K$1,$K$2,EAO$4),Table1[],(MATCH(Calendar!$A6,DB!1:1,0)+2),FALSE),"")</f>
        <v/>
      </c>
      <c r="EAP6" s="27" t="str">
        <f>IFERROR(VLOOKUP(DATE($K$1,$K$2,EAP$4),Table1[],(MATCH(Calendar!$A6,DB!1:1,0)+2),FALSE),"")</f>
        <v/>
      </c>
      <c r="EAQ6" s="27" t="str">
        <f>IFERROR(VLOOKUP(DATE($K$1,$K$2,EAQ$4),Table1[],(MATCH(Calendar!$A6,DB!1:1,0)+2),FALSE),"")</f>
        <v/>
      </c>
      <c r="EAR6" s="27" t="str">
        <f>IFERROR(VLOOKUP(DATE($K$1,$K$2,EAR$4),Table1[],(MATCH(Calendar!$A6,DB!1:1,0)+2),FALSE),"")</f>
        <v/>
      </c>
      <c r="EAS6" s="27" t="str">
        <f>IFERROR(VLOOKUP(DATE($K$1,$K$2,EAS$4),Table1[],(MATCH(Calendar!$A6,DB!1:1,0)+2),FALSE),"")</f>
        <v/>
      </c>
      <c r="EAT6" s="27" t="str">
        <f>IFERROR(VLOOKUP(DATE($K$1,$K$2,EAT$4),Table1[],(MATCH(Calendar!$A6,DB!1:1,0)+2),FALSE),"")</f>
        <v/>
      </c>
      <c r="EAU6" s="27" t="str">
        <f>IFERROR(VLOOKUP(DATE($K$1,$K$2,EAU$4),Table1[],(MATCH(Calendar!$A6,DB!1:1,0)+2),FALSE),"")</f>
        <v/>
      </c>
      <c r="EAV6" s="27" t="str">
        <f>IFERROR(VLOOKUP(DATE($K$1,$K$2,EAV$4),Table1[],(MATCH(Calendar!$A6,DB!1:1,0)+2),FALSE),"")</f>
        <v/>
      </c>
      <c r="EAW6" s="27" t="str">
        <f>IFERROR(VLOOKUP(DATE($K$1,$K$2,EAW$4),Table1[],(MATCH(Calendar!$A6,DB!1:1,0)+2),FALSE),"")</f>
        <v/>
      </c>
      <c r="EAX6" s="27" t="str">
        <f>IFERROR(VLOOKUP(DATE($K$1,$K$2,EAX$4),Table1[],(MATCH(Calendar!$A6,DB!1:1,0)+2),FALSE),"")</f>
        <v/>
      </c>
      <c r="EAY6" s="27" t="str">
        <f>IFERROR(VLOOKUP(DATE($K$1,$K$2,EAY$4),Table1[],(MATCH(Calendar!$A6,DB!1:1,0)+2),FALSE),"")</f>
        <v/>
      </c>
      <c r="EAZ6" s="27" t="str">
        <f>IFERROR(VLOOKUP(DATE($K$1,$K$2,EAZ$4),Table1[],(MATCH(Calendar!$A6,DB!1:1,0)+2),FALSE),"")</f>
        <v/>
      </c>
      <c r="EBA6" s="27" t="str">
        <f>IFERROR(VLOOKUP(DATE($K$1,$K$2,EBA$4),Table1[],(MATCH(Calendar!$A6,DB!1:1,0)+2),FALSE),"")</f>
        <v/>
      </c>
      <c r="EBB6" s="27" t="str">
        <f>IFERROR(VLOOKUP(DATE($K$1,$K$2,EBB$4),Table1[],(MATCH(Calendar!$A6,DB!1:1,0)+2),FALSE),"")</f>
        <v/>
      </c>
      <c r="EBC6" s="27" t="str">
        <f>IFERROR(VLOOKUP(DATE($K$1,$K$2,EBC$4),Table1[],(MATCH(Calendar!$A6,DB!1:1,0)+2),FALSE),"")</f>
        <v/>
      </c>
      <c r="EBD6" s="27" t="str">
        <f>IFERROR(VLOOKUP(DATE($K$1,$K$2,EBD$4),Table1[],(MATCH(Calendar!$A6,DB!1:1,0)+2),FALSE),"")</f>
        <v/>
      </c>
      <c r="EBE6" s="27" t="str">
        <f>IFERROR(VLOOKUP(DATE($K$1,$K$2,EBE$4),Table1[],(MATCH(Calendar!$A6,DB!1:1,0)+2),FALSE),"")</f>
        <v/>
      </c>
      <c r="EBF6" s="27" t="str">
        <f>IFERROR(VLOOKUP(DATE($K$1,$K$2,EBF$4),Table1[],(MATCH(Calendar!$A6,DB!1:1,0)+2),FALSE),"")</f>
        <v/>
      </c>
      <c r="EBG6" s="27" t="str">
        <f>IFERROR(VLOOKUP(DATE($K$1,$K$2,EBG$4),Table1[],(MATCH(Calendar!$A6,DB!1:1,0)+2),FALSE),"")</f>
        <v/>
      </c>
      <c r="EBH6" s="27" t="str">
        <f>IFERROR(VLOOKUP(DATE($K$1,$K$2,EBH$4),Table1[],(MATCH(Calendar!$A6,DB!1:1,0)+2),FALSE),"")</f>
        <v/>
      </c>
      <c r="EBI6" s="27" t="str">
        <f>IFERROR(VLOOKUP(DATE($K$1,$K$2,EBI$4),Table1[],(MATCH(Calendar!$A6,DB!1:1,0)+2),FALSE),"")</f>
        <v/>
      </c>
      <c r="EBJ6" s="27" t="str">
        <f>IFERROR(VLOOKUP(DATE($K$1,$K$2,EBJ$4),Table1[],(MATCH(Calendar!$A6,DB!1:1,0)+2),FALSE),"")</f>
        <v/>
      </c>
      <c r="EBK6" s="27" t="str">
        <f>IFERROR(VLOOKUP(DATE($K$1,$K$2,EBK$4),Table1[],(MATCH(Calendar!$A6,DB!1:1,0)+2),FALSE),"")</f>
        <v/>
      </c>
      <c r="EBL6" s="27" t="str">
        <f>IFERROR(VLOOKUP(DATE($K$1,$K$2,EBL$4),Table1[],(MATCH(Calendar!$A6,DB!1:1,0)+2),FALSE),"")</f>
        <v/>
      </c>
      <c r="EBM6" s="27" t="str">
        <f>IFERROR(VLOOKUP(DATE($K$1,$K$2,EBM$4),Table1[],(MATCH(Calendar!$A6,DB!1:1,0)+2),FALSE),"")</f>
        <v/>
      </c>
      <c r="EBN6" s="27" t="str">
        <f>IFERROR(VLOOKUP(DATE($K$1,$K$2,EBN$4),Table1[],(MATCH(Calendar!$A6,DB!1:1,0)+2),FALSE),"")</f>
        <v/>
      </c>
      <c r="EBO6" s="27" t="str">
        <f>IFERROR(VLOOKUP(DATE($K$1,$K$2,EBO$4),Table1[],(MATCH(Calendar!$A6,DB!1:1,0)+2),FALSE),"")</f>
        <v/>
      </c>
      <c r="EBP6" s="27" t="str">
        <f>IFERROR(VLOOKUP(DATE($K$1,$K$2,EBP$4),Table1[],(MATCH(Calendar!$A6,DB!1:1,0)+2),FALSE),"")</f>
        <v/>
      </c>
      <c r="EBQ6" s="27" t="str">
        <f>IFERROR(VLOOKUP(DATE($K$1,$K$2,EBQ$4),Table1[],(MATCH(Calendar!$A6,DB!1:1,0)+2),FALSE),"")</f>
        <v/>
      </c>
      <c r="EBR6" s="27" t="str">
        <f>IFERROR(VLOOKUP(DATE($K$1,$K$2,EBR$4),Table1[],(MATCH(Calendar!$A6,DB!1:1,0)+2),FALSE),"")</f>
        <v/>
      </c>
      <c r="EBS6" s="27" t="str">
        <f>IFERROR(VLOOKUP(DATE($K$1,$K$2,EBS$4),Table1[],(MATCH(Calendar!$A6,DB!1:1,0)+2),FALSE),"")</f>
        <v/>
      </c>
      <c r="EBT6" s="27" t="str">
        <f>IFERROR(VLOOKUP(DATE($K$1,$K$2,EBT$4),Table1[],(MATCH(Calendar!$A6,DB!1:1,0)+2),FALSE),"")</f>
        <v/>
      </c>
      <c r="EBU6" s="27" t="str">
        <f>IFERROR(VLOOKUP(DATE($K$1,$K$2,EBU$4),Table1[],(MATCH(Calendar!$A6,DB!1:1,0)+2),FALSE),"")</f>
        <v/>
      </c>
      <c r="EBV6" s="27" t="str">
        <f>IFERROR(VLOOKUP(DATE($K$1,$K$2,EBV$4),Table1[],(MATCH(Calendar!$A6,DB!1:1,0)+2),FALSE),"")</f>
        <v/>
      </c>
      <c r="EBW6" s="27" t="str">
        <f>IFERROR(VLOOKUP(DATE($K$1,$K$2,EBW$4),Table1[],(MATCH(Calendar!$A6,DB!1:1,0)+2),FALSE),"")</f>
        <v/>
      </c>
      <c r="EBX6" s="27" t="str">
        <f>IFERROR(VLOOKUP(DATE($K$1,$K$2,EBX$4),Table1[],(MATCH(Calendar!$A6,DB!1:1,0)+2),FALSE),"")</f>
        <v/>
      </c>
      <c r="EBY6" s="27" t="str">
        <f>IFERROR(VLOOKUP(DATE($K$1,$K$2,EBY$4),Table1[],(MATCH(Calendar!$A6,DB!1:1,0)+2),FALSE),"")</f>
        <v/>
      </c>
      <c r="EBZ6" s="27" t="str">
        <f>IFERROR(VLOOKUP(DATE($K$1,$K$2,EBZ$4),Table1[],(MATCH(Calendar!$A6,DB!1:1,0)+2),FALSE),"")</f>
        <v/>
      </c>
      <c r="ECA6" s="27" t="str">
        <f>IFERROR(VLOOKUP(DATE($K$1,$K$2,ECA$4),Table1[],(MATCH(Calendar!$A6,DB!1:1,0)+2),FALSE),"")</f>
        <v/>
      </c>
      <c r="ECB6" s="27" t="str">
        <f>IFERROR(VLOOKUP(DATE($K$1,$K$2,ECB$4),Table1[],(MATCH(Calendar!$A6,DB!1:1,0)+2),FALSE),"")</f>
        <v/>
      </c>
      <c r="ECC6" s="27" t="str">
        <f>IFERROR(VLOOKUP(DATE($K$1,$K$2,ECC$4),Table1[],(MATCH(Calendar!$A6,DB!1:1,0)+2),FALSE),"")</f>
        <v/>
      </c>
      <c r="ECD6" s="27" t="str">
        <f>IFERROR(VLOOKUP(DATE($K$1,$K$2,ECD$4),Table1[],(MATCH(Calendar!$A6,DB!1:1,0)+2),FALSE),"")</f>
        <v/>
      </c>
      <c r="ECE6" s="27" t="str">
        <f>IFERROR(VLOOKUP(DATE($K$1,$K$2,ECE$4),Table1[],(MATCH(Calendar!$A6,DB!1:1,0)+2),FALSE),"")</f>
        <v/>
      </c>
      <c r="ECF6" s="27" t="str">
        <f>IFERROR(VLOOKUP(DATE($K$1,$K$2,ECF$4),Table1[],(MATCH(Calendar!$A6,DB!1:1,0)+2),FALSE),"")</f>
        <v/>
      </c>
      <c r="ECG6" s="27" t="str">
        <f>IFERROR(VLOOKUP(DATE($K$1,$K$2,ECG$4),Table1[],(MATCH(Calendar!$A6,DB!1:1,0)+2),FALSE),"")</f>
        <v/>
      </c>
      <c r="ECH6" s="27" t="str">
        <f>IFERROR(VLOOKUP(DATE($K$1,$K$2,ECH$4),Table1[],(MATCH(Calendar!$A6,DB!1:1,0)+2),FALSE),"")</f>
        <v/>
      </c>
      <c r="ECI6" s="27" t="str">
        <f>IFERROR(VLOOKUP(DATE($K$1,$K$2,ECI$4),Table1[],(MATCH(Calendar!$A6,DB!1:1,0)+2),FALSE),"")</f>
        <v/>
      </c>
      <c r="ECJ6" s="27" t="str">
        <f>IFERROR(VLOOKUP(DATE($K$1,$K$2,ECJ$4),Table1[],(MATCH(Calendar!$A6,DB!1:1,0)+2),FALSE),"")</f>
        <v/>
      </c>
      <c r="ECK6" s="27" t="str">
        <f>IFERROR(VLOOKUP(DATE($K$1,$K$2,ECK$4),Table1[],(MATCH(Calendar!$A6,DB!1:1,0)+2),FALSE),"")</f>
        <v/>
      </c>
      <c r="ECL6" s="27" t="str">
        <f>IFERROR(VLOOKUP(DATE($K$1,$K$2,ECL$4),Table1[],(MATCH(Calendar!$A6,DB!1:1,0)+2),FALSE),"")</f>
        <v/>
      </c>
      <c r="ECM6" s="27" t="str">
        <f>IFERROR(VLOOKUP(DATE($K$1,$K$2,ECM$4),Table1[],(MATCH(Calendar!$A6,DB!1:1,0)+2),FALSE),"")</f>
        <v/>
      </c>
      <c r="ECN6" s="27" t="str">
        <f>IFERROR(VLOOKUP(DATE($K$1,$K$2,ECN$4),Table1[],(MATCH(Calendar!$A6,DB!1:1,0)+2),FALSE),"")</f>
        <v/>
      </c>
      <c r="ECO6" s="27" t="str">
        <f>IFERROR(VLOOKUP(DATE($K$1,$K$2,ECO$4),Table1[],(MATCH(Calendar!$A6,DB!1:1,0)+2),FALSE),"")</f>
        <v/>
      </c>
      <c r="ECP6" s="27" t="str">
        <f>IFERROR(VLOOKUP(DATE($K$1,$K$2,ECP$4),Table1[],(MATCH(Calendar!$A6,DB!1:1,0)+2),FALSE),"")</f>
        <v/>
      </c>
      <c r="ECQ6" s="27" t="str">
        <f>IFERROR(VLOOKUP(DATE($K$1,$K$2,ECQ$4),Table1[],(MATCH(Calendar!$A6,DB!1:1,0)+2),FALSE),"")</f>
        <v/>
      </c>
      <c r="ECR6" s="27" t="str">
        <f>IFERROR(VLOOKUP(DATE($K$1,$K$2,ECR$4),Table1[],(MATCH(Calendar!$A6,DB!1:1,0)+2),FALSE),"")</f>
        <v/>
      </c>
      <c r="ECS6" s="27" t="str">
        <f>IFERROR(VLOOKUP(DATE($K$1,$K$2,ECS$4),Table1[],(MATCH(Calendar!$A6,DB!1:1,0)+2),FALSE),"")</f>
        <v/>
      </c>
      <c r="ECT6" s="27" t="str">
        <f>IFERROR(VLOOKUP(DATE($K$1,$K$2,ECT$4),Table1[],(MATCH(Calendar!$A6,DB!1:1,0)+2),FALSE),"")</f>
        <v/>
      </c>
      <c r="ECU6" s="27" t="str">
        <f>IFERROR(VLOOKUP(DATE($K$1,$K$2,ECU$4),Table1[],(MATCH(Calendar!$A6,DB!1:1,0)+2),FALSE),"")</f>
        <v/>
      </c>
      <c r="ECV6" s="27" t="str">
        <f>IFERROR(VLOOKUP(DATE($K$1,$K$2,ECV$4),Table1[],(MATCH(Calendar!$A6,DB!1:1,0)+2),FALSE),"")</f>
        <v/>
      </c>
      <c r="ECW6" s="27" t="str">
        <f>IFERROR(VLOOKUP(DATE($K$1,$K$2,ECW$4),Table1[],(MATCH(Calendar!$A6,DB!1:1,0)+2),FALSE),"")</f>
        <v/>
      </c>
      <c r="ECX6" s="27" t="str">
        <f>IFERROR(VLOOKUP(DATE($K$1,$K$2,ECX$4),Table1[],(MATCH(Calendar!$A6,DB!1:1,0)+2),FALSE),"")</f>
        <v/>
      </c>
      <c r="ECY6" s="27" t="str">
        <f>IFERROR(VLOOKUP(DATE($K$1,$K$2,ECY$4),Table1[],(MATCH(Calendar!$A6,DB!1:1,0)+2),FALSE),"")</f>
        <v/>
      </c>
      <c r="ECZ6" s="27" t="str">
        <f>IFERROR(VLOOKUP(DATE($K$1,$K$2,ECZ$4),Table1[],(MATCH(Calendar!$A6,DB!1:1,0)+2),FALSE),"")</f>
        <v/>
      </c>
      <c r="EDA6" s="27" t="str">
        <f>IFERROR(VLOOKUP(DATE($K$1,$K$2,EDA$4),Table1[],(MATCH(Calendar!$A6,DB!1:1,0)+2),FALSE),"")</f>
        <v/>
      </c>
      <c r="EDB6" s="27" t="str">
        <f>IFERROR(VLOOKUP(DATE($K$1,$K$2,EDB$4),Table1[],(MATCH(Calendar!$A6,DB!1:1,0)+2),FALSE),"")</f>
        <v/>
      </c>
      <c r="EDC6" s="27" t="str">
        <f>IFERROR(VLOOKUP(DATE($K$1,$K$2,EDC$4),Table1[],(MATCH(Calendar!$A6,DB!1:1,0)+2),FALSE),"")</f>
        <v/>
      </c>
      <c r="EDD6" s="27" t="str">
        <f>IFERROR(VLOOKUP(DATE($K$1,$K$2,EDD$4),Table1[],(MATCH(Calendar!$A6,DB!1:1,0)+2),FALSE),"")</f>
        <v/>
      </c>
      <c r="EDE6" s="27" t="str">
        <f>IFERROR(VLOOKUP(DATE($K$1,$K$2,EDE$4),Table1[],(MATCH(Calendar!$A6,DB!1:1,0)+2),FALSE),"")</f>
        <v/>
      </c>
      <c r="EDF6" s="27" t="str">
        <f>IFERROR(VLOOKUP(DATE($K$1,$K$2,EDF$4),Table1[],(MATCH(Calendar!$A6,DB!1:1,0)+2),FALSE),"")</f>
        <v/>
      </c>
      <c r="EDG6" s="27" t="str">
        <f>IFERROR(VLOOKUP(DATE($K$1,$K$2,EDG$4),Table1[],(MATCH(Calendar!$A6,DB!1:1,0)+2),FALSE),"")</f>
        <v/>
      </c>
      <c r="EDH6" s="27" t="str">
        <f>IFERROR(VLOOKUP(DATE($K$1,$K$2,EDH$4),Table1[],(MATCH(Calendar!$A6,DB!1:1,0)+2),FALSE),"")</f>
        <v/>
      </c>
      <c r="EDI6" s="27" t="str">
        <f>IFERROR(VLOOKUP(DATE($K$1,$K$2,EDI$4),Table1[],(MATCH(Calendar!$A6,DB!1:1,0)+2),FALSE),"")</f>
        <v/>
      </c>
      <c r="EDJ6" s="27" t="str">
        <f>IFERROR(VLOOKUP(DATE($K$1,$K$2,EDJ$4),Table1[],(MATCH(Calendar!$A6,DB!1:1,0)+2),FALSE),"")</f>
        <v/>
      </c>
      <c r="EDK6" s="27" t="str">
        <f>IFERROR(VLOOKUP(DATE($K$1,$K$2,EDK$4),Table1[],(MATCH(Calendar!$A6,DB!1:1,0)+2),FALSE),"")</f>
        <v/>
      </c>
      <c r="EDL6" s="27" t="str">
        <f>IFERROR(VLOOKUP(DATE($K$1,$K$2,EDL$4),Table1[],(MATCH(Calendar!$A6,DB!1:1,0)+2),FALSE),"")</f>
        <v/>
      </c>
      <c r="EDM6" s="27" t="str">
        <f>IFERROR(VLOOKUP(DATE($K$1,$K$2,EDM$4),Table1[],(MATCH(Calendar!$A6,DB!1:1,0)+2),FALSE),"")</f>
        <v/>
      </c>
      <c r="EDN6" s="27" t="str">
        <f>IFERROR(VLOOKUP(DATE($K$1,$K$2,EDN$4),Table1[],(MATCH(Calendar!$A6,DB!1:1,0)+2),FALSE),"")</f>
        <v/>
      </c>
      <c r="EDO6" s="27" t="str">
        <f>IFERROR(VLOOKUP(DATE($K$1,$K$2,EDO$4),Table1[],(MATCH(Calendar!$A6,DB!1:1,0)+2),FALSE),"")</f>
        <v/>
      </c>
      <c r="EDP6" s="27" t="str">
        <f>IFERROR(VLOOKUP(DATE($K$1,$K$2,EDP$4),Table1[],(MATCH(Calendar!$A6,DB!1:1,0)+2),FALSE),"")</f>
        <v/>
      </c>
      <c r="EDQ6" s="27" t="str">
        <f>IFERROR(VLOOKUP(DATE($K$1,$K$2,EDQ$4),Table1[],(MATCH(Calendar!$A6,DB!1:1,0)+2),FALSE),"")</f>
        <v/>
      </c>
      <c r="EDR6" s="27" t="str">
        <f>IFERROR(VLOOKUP(DATE($K$1,$K$2,EDR$4),Table1[],(MATCH(Calendar!$A6,DB!1:1,0)+2),FALSE),"")</f>
        <v/>
      </c>
      <c r="EDS6" s="27" t="str">
        <f>IFERROR(VLOOKUP(DATE($K$1,$K$2,EDS$4),Table1[],(MATCH(Calendar!$A6,DB!1:1,0)+2),FALSE),"")</f>
        <v/>
      </c>
      <c r="EDT6" s="27" t="str">
        <f>IFERROR(VLOOKUP(DATE($K$1,$K$2,EDT$4),Table1[],(MATCH(Calendar!$A6,DB!1:1,0)+2),FALSE),"")</f>
        <v/>
      </c>
      <c r="EDU6" s="27" t="str">
        <f>IFERROR(VLOOKUP(DATE($K$1,$K$2,EDU$4),Table1[],(MATCH(Calendar!$A6,DB!1:1,0)+2),FALSE),"")</f>
        <v/>
      </c>
      <c r="EDV6" s="27" t="str">
        <f>IFERROR(VLOOKUP(DATE($K$1,$K$2,EDV$4),Table1[],(MATCH(Calendar!$A6,DB!1:1,0)+2),FALSE),"")</f>
        <v/>
      </c>
      <c r="EDW6" s="27" t="str">
        <f>IFERROR(VLOOKUP(DATE($K$1,$K$2,EDW$4),Table1[],(MATCH(Calendar!$A6,DB!1:1,0)+2),FALSE),"")</f>
        <v/>
      </c>
      <c r="EDX6" s="27" t="str">
        <f>IFERROR(VLOOKUP(DATE($K$1,$K$2,EDX$4),Table1[],(MATCH(Calendar!$A6,DB!1:1,0)+2),FALSE),"")</f>
        <v/>
      </c>
      <c r="EDY6" s="27" t="str">
        <f>IFERROR(VLOOKUP(DATE($K$1,$K$2,EDY$4),Table1[],(MATCH(Calendar!$A6,DB!1:1,0)+2),FALSE),"")</f>
        <v/>
      </c>
      <c r="EDZ6" s="27" t="str">
        <f>IFERROR(VLOOKUP(DATE($K$1,$K$2,EDZ$4),Table1[],(MATCH(Calendar!$A6,DB!1:1,0)+2),FALSE),"")</f>
        <v/>
      </c>
      <c r="EEA6" s="27" t="str">
        <f>IFERROR(VLOOKUP(DATE($K$1,$K$2,EEA$4),Table1[],(MATCH(Calendar!$A6,DB!1:1,0)+2),FALSE),"")</f>
        <v/>
      </c>
      <c r="EEB6" s="27" t="str">
        <f>IFERROR(VLOOKUP(DATE($K$1,$K$2,EEB$4),Table1[],(MATCH(Calendar!$A6,DB!1:1,0)+2),FALSE),"")</f>
        <v/>
      </c>
      <c r="EEC6" s="27" t="str">
        <f>IFERROR(VLOOKUP(DATE($K$1,$K$2,EEC$4),Table1[],(MATCH(Calendar!$A6,DB!1:1,0)+2),FALSE),"")</f>
        <v/>
      </c>
      <c r="EED6" s="27" t="str">
        <f>IFERROR(VLOOKUP(DATE($K$1,$K$2,EED$4),Table1[],(MATCH(Calendar!$A6,DB!1:1,0)+2),FALSE),"")</f>
        <v/>
      </c>
      <c r="EEE6" s="27" t="str">
        <f>IFERROR(VLOOKUP(DATE($K$1,$K$2,EEE$4),Table1[],(MATCH(Calendar!$A6,DB!1:1,0)+2),FALSE),"")</f>
        <v/>
      </c>
      <c r="EEF6" s="27" t="str">
        <f>IFERROR(VLOOKUP(DATE($K$1,$K$2,EEF$4),Table1[],(MATCH(Calendar!$A6,DB!1:1,0)+2),FALSE),"")</f>
        <v/>
      </c>
      <c r="EEG6" s="27" t="str">
        <f>IFERROR(VLOOKUP(DATE($K$1,$K$2,EEG$4),Table1[],(MATCH(Calendar!$A6,DB!1:1,0)+2),FALSE),"")</f>
        <v/>
      </c>
      <c r="EEH6" s="27" t="str">
        <f>IFERROR(VLOOKUP(DATE($K$1,$K$2,EEH$4),Table1[],(MATCH(Calendar!$A6,DB!1:1,0)+2),FALSE),"")</f>
        <v/>
      </c>
      <c r="EEI6" s="27" t="str">
        <f>IFERROR(VLOOKUP(DATE($K$1,$K$2,EEI$4),Table1[],(MATCH(Calendar!$A6,DB!1:1,0)+2),FALSE),"")</f>
        <v/>
      </c>
      <c r="EEJ6" s="27" t="str">
        <f>IFERROR(VLOOKUP(DATE($K$1,$K$2,EEJ$4),Table1[],(MATCH(Calendar!$A6,DB!1:1,0)+2),FALSE),"")</f>
        <v/>
      </c>
      <c r="EEK6" s="27" t="str">
        <f>IFERROR(VLOOKUP(DATE($K$1,$K$2,EEK$4),Table1[],(MATCH(Calendar!$A6,DB!1:1,0)+2),FALSE),"")</f>
        <v/>
      </c>
      <c r="EEL6" s="27" t="str">
        <f>IFERROR(VLOOKUP(DATE($K$1,$K$2,EEL$4),Table1[],(MATCH(Calendar!$A6,DB!1:1,0)+2),FALSE),"")</f>
        <v/>
      </c>
      <c r="EEM6" s="27" t="str">
        <f>IFERROR(VLOOKUP(DATE($K$1,$K$2,EEM$4),Table1[],(MATCH(Calendar!$A6,DB!1:1,0)+2),FALSE),"")</f>
        <v/>
      </c>
      <c r="EEN6" s="27" t="str">
        <f>IFERROR(VLOOKUP(DATE($K$1,$K$2,EEN$4),Table1[],(MATCH(Calendar!$A6,DB!1:1,0)+2),FALSE),"")</f>
        <v/>
      </c>
      <c r="EEO6" s="27" t="str">
        <f>IFERROR(VLOOKUP(DATE($K$1,$K$2,EEO$4),Table1[],(MATCH(Calendar!$A6,DB!1:1,0)+2),FALSE),"")</f>
        <v/>
      </c>
      <c r="EEP6" s="27" t="str">
        <f>IFERROR(VLOOKUP(DATE($K$1,$K$2,EEP$4),Table1[],(MATCH(Calendar!$A6,DB!1:1,0)+2),FALSE),"")</f>
        <v/>
      </c>
      <c r="EEQ6" s="27" t="str">
        <f>IFERROR(VLOOKUP(DATE($K$1,$K$2,EEQ$4),Table1[],(MATCH(Calendar!$A6,DB!1:1,0)+2),FALSE),"")</f>
        <v/>
      </c>
      <c r="EER6" s="27" t="str">
        <f>IFERROR(VLOOKUP(DATE($K$1,$K$2,EER$4),Table1[],(MATCH(Calendar!$A6,DB!1:1,0)+2),FALSE),"")</f>
        <v/>
      </c>
      <c r="EES6" s="27" t="str">
        <f>IFERROR(VLOOKUP(DATE($K$1,$K$2,EES$4),Table1[],(MATCH(Calendar!$A6,DB!1:1,0)+2),FALSE),"")</f>
        <v/>
      </c>
      <c r="EET6" s="27" t="str">
        <f>IFERROR(VLOOKUP(DATE($K$1,$K$2,EET$4),Table1[],(MATCH(Calendar!$A6,DB!1:1,0)+2),FALSE),"")</f>
        <v/>
      </c>
      <c r="EEU6" s="27" t="str">
        <f>IFERROR(VLOOKUP(DATE($K$1,$K$2,EEU$4),Table1[],(MATCH(Calendar!$A6,DB!1:1,0)+2),FALSE),"")</f>
        <v/>
      </c>
      <c r="EEV6" s="27" t="str">
        <f>IFERROR(VLOOKUP(DATE($K$1,$K$2,EEV$4),Table1[],(MATCH(Calendar!$A6,DB!1:1,0)+2),FALSE),"")</f>
        <v/>
      </c>
      <c r="EEW6" s="27" t="str">
        <f>IFERROR(VLOOKUP(DATE($K$1,$K$2,EEW$4),Table1[],(MATCH(Calendar!$A6,DB!1:1,0)+2),FALSE),"")</f>
        <v/>
      </c>
      <c r="EEX6" s="27" t="str">
        <f>IFERROR(VLOOKUP(DATE($K$1,$K$2,EEX$4),Table1[],(MATCH(Calendar!$A6,DB!1:1,0)+2),FALSE),"")</f>
        <v/>
      </c>
      <c r="EEY6" s="27" t="str">
        <f>IFERROR(VLOOKUP(DATE($K$1,$K$2,EEY$4),Table1[],(MATCH(Calendar!$A6,DB!1:1,0)+2),FALSE),"")</f>
        <v/>
      </c>
      <c r="EEZ6" s="27" t="str">
        <f>IFERROR(VLOOKUP(DATE($K$1,$K$2,EEZ$4),Table1[],(MATCH(Calendar!$A6,DB!1:1,0)+2),FALSE),"")</f>
        <v/>
      </c>
      <c r="EFA6" s="27" t="str">
        <f>IFERROR(VLOOKUP(DATE($K$1,$K$2,EFA$4),Table1[],(MATCH(Calendar!$A6,DB!1:1,0)+2),FALSE),"")</f>
        <v/>
      </c>
      <c r="EFB6" s="27" t="str">
        <f>IFERROR(VLOOKUP(DATE($K$1,$K$2,EFB$4),Table1[],(MATCH(Calendar!$A6,DB!1:1,0)+2),FALSE),"")</f>
        <v/>
      </c>
      <c r="EFC6" s="27" t="str">
        <f>IFERROR(VLOOKUP(DATE($K$1,$K$2,EFC$4),Table1[],(MATCH(Calendar!$A6,DB!1:1,0)+2),FALSE),"")</f>
        <v/>
      </c>
      <c r="EFD6" s="27" t="str">
        <f>IFERROR(VLOOKUP(DATE($K$1,$K$2,EFD$4),Table1[],(MATCH(Calendar!$A6,DB!1:1,0)+2),FALSE),"")</f>
        <v/>
      </c>
      <c r="EFE6" s="27" t="str">
        <f>IFERROR(VLOOKUP(DATE($K$1,$K$2,EFE$4),Table1[],(MATCH(Calendar!$A6,DB!1:1,0)+2),FALSE),"")</f>
        <v/>
      </c>
      <c r="EFF6" s="27" t="str">
        <f>IFERROR(VLOOKUP(DATE($K$1,$K$2,EFF$4),Table1[],(MATCH(Calendar!$A6,DB!1:1,0)+2),FALSE),"")</f>
        <v/>
      </c>
      <c r="EFG6" s="27" t="str">
        <f>IFERROR(VLOOKUP(DATE($K$1,$K$2,EFG$4),Table1[],(MATCH(Calendar!$A6,DB!1:1,0)+2),FALSE),"")</f>
        <v/>
      </c>
      <c r="EFH6" s="27" t="str">
        <f>IFERROR(VLOOKUP(DATE($K$1,$K$2,EFH$4),Table1[],(MATCH(Calendar!$A6,DB!1:1,0)+2),FALSE),"")</f>
        <v/>
      </c>
      <c r="EFI6" s="27" t="str">
        <f>IFERROR(VLOOKUP(DATE($K$1,$K$2,EFI$4),Table1[],(MATCH(Calendar!$A6,DB!1:1,0)+2),FALSE),"")</f>
        <v/>
      </c>
      <c r="EFJ6" s="27" t="str">
        <f>IFERROR(VLOOKUP(DATE($K$1,$K$2,EFJ$4),Table1[],(MATCH(Calendar!$A6,DB!1:1,0)+2),FALSE),"")</f>
        <v/>
      </c>
      <c r="EFK6" s="27" t="str">
        <f>IFERROR(VLOOKUP(DATE($K$1,$K$2,EFK$4),Table1[],(MATCH(Calendar!$A6,DB!1:1,0)+2),FALSE),"")</f>
        <v/>
      </c>
      <c r="EFL6" s="27" t="str">
        <f>IFERROR(VLOOKUP(DATE($K$1,$K$2,EFL$4),Table1[],(MATCH(Calendar!$A6,DB!1:1,0)+2),FALSE),"")</f>
        <v/>
      </c>
      <c r="EFM6" s="27" t="str">
        <f>IFERROR(VLOOKUP(DATE($K$1,$K$2,EFM$4),Table1[],(MATCH(Calendar!$A6,DB!1:1,0)+2),FALSE),"")</f>
        <v/>
      </c>
      <c r="EFN6" s="27" t="str">
        <f>IFERROR(VLOOKUP(DATE($K$1,$K$2,EFN$4),Table1[],(MATCH(Calendar!$A6,DB!1:1,0)+2),FALSE),"")</f>
        <v/>
      </c>
      <c r="EFO6" s="27" t="str">
        <f>IFERROR(VLOOKUP(DATE($K$1,$K$2,EFO$4),Table1[],(MATCH(Calendar!$A6,DB!1:1,0)+2),FALSE),"")</f>
        <v/>
      </c>
      <c r="EFP6" s="27" t="str">
        <f>IFERROR(VLOOKUP(DATE($K$1,$K$2,EFP$4),Table1[],(MATCH(Calendar!$A6,DB!1:1,0)+2),FALSE),"")</f>
        <v/>
      </c>
      <c r="EFQ6" s="27" t="str">
        <f>IFERROR(VLOOKUP(DATE($K$1,$K$2,EFQ$4),Table1[],(MATCH(Calendar!$A6,DB!1:1,0)+2),FALSE),"")</f>
        <v/>
      </c>
      <c r="EFR6" s="27" t="str">
        <f>IFERROR(VLOOKUP(DATE($K$1,$K$2,EFR$4),Table1[],(MATCH(Calendar!$A6,DB!1:1,0)+2),FALSE),"")</f>
        <v/>
      </c>
      <c r="EFS6" s="27" t="str">
        <f>IFERROR(VLOOKUP(DATE($K$1,$K$2,EFS$4),Table1[],(MATCH(Calendar!$A6,DB!1:1,0)+2),FALSE),"")</f>
        <v/>
      </c>
      <c r="EFT6" s="27" t="str">
        <f>IFERROR(VLOOKUP(DATE($K$1,$K$2,EFT$4),Table1[],(MATCH(Calendar!$A6,DB!1:1,0)+2),FALSE),"")</f>
        <v/>
      </c>
      <c r="EFU6" s="27" t="str">
        <f>IFERROR(VLOOKUP(DATE($K$1,$K$2,EFU$4),Table1[],(MATCH(Calendar!$A6,DB!1:1,0)+2),FALSE),"")</f>
        <v/>
      </c>
      <c r="EFV6" s="27" t="str">
        <f>IFERROR(VLOOKUP(DATE($K$1,$K$2,EFV$4),Table1[],(MATCH(Calendar!$A6,DB!1:1,0)+2),FALSE),"")</f>
        <v/>
      </c>
      <c r="EFW6" s="27" t="str">
        <f>IFERROR(VLOOKUP(DATE($K$1,$K$2,EFW$4),Table1[],(MATCH(Calendar!$A6,DB!1:1,0)+2),FALSE),"")</f>
        <v/>
      </c>
      <c r="EFX6" s="27" t="str">
        <f>IFERROR(VLOOKUP(DATE($K$1,$K$2,EFX$4),Table1[],(MATCH(Calendar!$A6,DB!1:1,0)+2),FALSE),"")</f>
        <v/>
      </c>
      <c r="EFY6" s="27" t="str">
        <f>IFERROR(VLOOKUP(DATE($K$1,$K$2,EFY$4),Table1[],(MATCH(Calendar!$A6,DB!1:1,0)+2),FALSE),"")</f>
        <v/>
      </c>
      <c r="EFZ6" s="27" t="str">
        <f>IFERROR(VLOOKUP(DATE($K$1,$K$2,EFZ$4),Table1[],(MATCH(Calendar!$A6,DB!1:1,0)+2),FALSE),"")</f>
        <v/>
      </c>
      <c r="EGA6" s="27" t="str">
        <f>IFERROR(VLOOKUP(DATE($K$1,$K$2,EGA$4),Table1[],(MATCH(Calendar!$A6,DB!1:1,0)+2),FALSE),"")</f>
        <v/>
      </c>
      <c r="EGB6" s="27" t="str">
        <f>IFERROR(VLOOKUP(DATE($K$1,$K$2,EGB$4),Table1[],(MATCH(Calendar!$A6,DB!1:1,0)+2),FALSE),"")</f>
        <v/>
      </c>
      <c r="EGC6" s="27" t="str">
        <f>IFERROR(VLOOKUP(DATE($K$1,$K$2,EGC$4),Table1[],(MATCH(Calendar!$A6,DB!1:1,0)+2),FALSE),"")</f>
        <v/>
      </c>
      <c r="EGD6" s="27" t="str">
        <f>IFERROR(VLOOKUP(DATE($K$1,$K$2,EGD$4),Table1[],(MATCH(Calendar!$A6,DB!1:1,0)+2),FALSE),"")</f>
        <v/>
      </c>
      <c r="EGE6" s="27" t="str">
        <f>IFERROR(VLOOKUP(DATE($K$1,$K$2,EGE$4),Table1[],(MATCH(Calendar!$A6,DB!1:1,0)+2),FALSE),"")</f>
        <v/>
      </c>
      <c r="EGF6" s="27" t="str">
        <f>IFERROR(VLOOKUP(DATE($K$1,$K$2,EGF$4),Table1[],(MATCH(Calendar!$A6,DB!1:1,0)+2),FALSE),"")</f>
        <v/>
      </c>
      <c r="EGG6" s="27" t="str">
        <f>IFERROR(VLOOKUP(DATE($K$1,$K$2,EGG$4),Table1[],(MATCH(Calendar!$A6,DB!1:1,0)+2),FALSE),"")</f>
        <v/>
      </c>
      <c r="EGH6" s="27" t="str">
        <f>IFERROR(VLOOKUP(DATE($K$1,$K$2,EGH$4),Table1[],(MATCH(Calendar!$A6,DB!1:1,0)+2),FALSE),"")</f>
        <v/>
      </c>
      <c r="EGI6" s="27" t="str">
        <f>IFERROR(VLOOKUP(DATE($K$1,$K$2,EGI$4),Table1[],(MATCH(Calendar!$A6,DB!1:1,0)+2),FALSE),"")</f>
        <v/>
      </c>
      <c r="EGJ6" s="27" t="str">
        <f>IFERROR(VLOOKUP(DATE($K$1,$K$2,EGJ$4),Table1[],(MATCH(Calendar!$A6,DB!1:1,0)+2),FALSE),"")</f>
        <v/>
      </c>
      <c r="EGK6" s="27" t="str">
        <f>IFERROR(VLOOKUP(DATE($K$1,$K$2,EGK$4),Table1[],(MATCH(Calendar!$A6,DB!1:1,0)+2),FALSE),"")</f>
        <v/>
      </c>
      <c r="EGL6" s="27" t="str">
        <f>IFERROR(VLOOKUP(DATE($K$1,$K$2,EGL$4),Table1[],(MATCH(Calendar!$A6,DB!1:1,0)+2),FALSE),"")</f>
        <v/>
      </c>
      <c r="EGM6" s="27" t="str">
        <f>IFERROR(VLOOKUP(DATE($K$1,$K$2,EGM$4),Table1[],(MATCH(Calendar!$A6,DB!1:1,0)+2),FALSE),"")</f>
        <v/>
      </c>
      <c r="EGN6" s="27" t="str">
        <f>IFERROR(VLOOKUP(DATE($K$1,$K$2,EGN$4),Table1[],(MATCH(Calendar!$A6,DB!1:1,0)+2),FALSE),"")</f>
        <v/>
      </c>
      <c r="EGO6" s="27" t="str">
        <f>IFERROR(VLOOKUP(DATE($K$1,$K$2,EGO$4),Table1[],(MATCH(Calendar!$A6,DB!1:1,0)+2),FALSE),"")</f>
        <v/>
      </c>
      <c r="EGP6" s="27" t="str">
        <f>IFERROR(VLOOKUP(DATE($K$1,$K$2,EGP$4),Table1[],(MATCH(Calendar!$A6,DB!1:1,0)+2),FALSE),"")</f>
        <v/>
      </c>
      <c r="EGQ6" s="27" t="str">
        <f>IFERROR(VLOOKUP(DATE($K$1,$K$2,EGQ$4),Table1[],(MATCH(Calendar!$A6,DB!1:1,0)+2),FALSE),"")</f>
        <v/>
      </c>
      <c r="EGR6" s="27" t="str">
        <f>IFERROR(VLOOKUP(DATE($K$1,$K$2,EGR$4),Table1[],(MATCH(Calendar!$A6,DB!1:1,0)+2),FALSE),"")</f>
        <v/>
      </c>
      <c r="EGS6" s="27" t="str">
        <f>IFERROR(VLOOKUP(DATE($K$1,$K$2,EGS$4),Table1[],(MATCH(Calendar!$A6,DB!1:1,0)+2),FALSE),"")</f>
        <v/>
      </c>
      <c r="EGT6" s="27" t="str">
        <f>IFERROR(VLOOKUP(DATE($K$1,$K$2,EGT$4),Table1[],(MATCH(Calendar!$A6,DB!1:1,0)+2),FALSE),"")</f>
        <v/>
      </c>
      <c r="EGU6" s="27" t="str">
        <f>IFERROR(VLOOKUP(DATE($K$1,$K$2,EGU$4),Table1[],(MATCH(Calendar!$A6,DB!1:1,0)+2),FALSE),"")</f>
        <v/>
      </c>
      <c r="EGV6" s="27" t="str">
        <f>IFERROR(VLOOKUP(DATE($K$1,$K$2,EGV$4),Table1[],(MATCH(Calendar!$A6,DB!1:1,0)+2),FALSE),"")</f>
        <v/>
      </c>
      <c r="EGW6" s="27" t="str">
        <f>IFERROR(VLOOKUP(DATE($K$1,$K$2,EGW$4),Table1[],(MATCH(Calendar!$A6,DB!1:1,0)+2),FALSE),"")</f>
        <v/>
      </c>
      <c r="EGX6" s="27" t="str">
        <f>IFERROR(VLOOKUP(DATE($K$1,$K$2,EGX$4),Table1[],(MATCH(Calendar!$A6,DB!1:1,0)+2),FALSE),"")</f>
        <v/>
      </c>
      <c r="EGY6" s="27" t="str">
        <f>IFERROR(VLOOKUP(DATE($K$1,$K$2,EGY$4),Table1[],(MATCH(Calendar!$A6,DB!1:1,0)+2),FALSE),"")</f>
        <v/>
      </c>
      <c r="EGZ6" s="27" t="str">
        <f>IFERROR(VLOOKUP(DATE($K$1,$K$2,EGZ$4),Table1[],(MATCH(Calendar!$A6,DB!1:1,0)+2),FALSE),"")</f>
        <v/>
      </c>
      <c r="EHA6" s="27" t="str">
        <f>IFERROR(VLOOKUP(DATE($K$1,$K$2,EHA$4),Table1[],(MATCH(Calendar!$A6,DB!1:1,0)+2),FALSE),"")</f>
        <v/>
      </c>
      <c r="EHB6" s="27" t="str">
        <f>IFERROR(VLOOKUP(DATE($K$1,$K$2,EHB$4),Table1[],(MATCH(Calendar!$A6,DB!1:1,0)+2),FALSE),"")</f>
        <v/>
      </c>
      <c r="EHC6" s="27" t="str">
        <f>IFERROR(VLOOKUP(DATE($K$1,$K$2,EHC$4),Table1[],(MATCH(Calendar!$A6,DB!1:1,0)+2),FALSE),"")</f>
        <v/>
      </c>
      <c r="EHD6" s="27" t="str">
        <f>IFERROR(VLOOKUP(DATE($K$1,$K$2,EHD$4),Table1[],(MATCH(Calendar!$A6,DB!1:1,0)+2),FALSE),"")</f>
        <v/>
      </c>
      <c r="EHE6" s="27" t="str">
        <f>IFERROR(VLOOKUP(DATE($K$1,$K$2,EHE$4),Table1[],(MATCH(Calendar!$A6,DB!1:1,0)+2),FALSE),"")</f>
        <v/>
      </c>
      <c r="EHF6" s="27" t="str">
        <f>IFERROR(VLOOKUP(DATE($K$1,$K$2,EHF$4),Table1[],(MATCH(Calendar!$A6,DB!1:1,0)+2),FALSE),"")</f>
        <v/>
      </c>
      <c r="EHG6" s="27" t="str">
        <f>IFERROR(VLOOKUP(DATE($K$1,$K$2,EHG$4),Table1[],(MATCH(Calendar!$A6,DB!1:1,0)+2),FALSE),"")</f>
        <v/>
      </c>
      <c r="EHH6" s="27" t="str">
        <f>IFERROR(VLOOKUP(DATE($K$1,$K$2,EHH$4),Table1[],(MATCH(Calendar!$A6,DB!1:1,0)+2),FALSE),"")</f>
        <v/>
      </c>
      <c r="EHI6" s="27" t="str">
        <f>IFERROR(VLOOKUP(DATE($K$1,$K$2,EHI$4),Table1[],(MATCH(Calendar!$A6,DB!1:1,0)+2),FALSE),"")</f>
        <v/>
      </c>
      <c r="EHJ6" s="27" t="str">
        <f>IFERROR(VLOOKUP(DATE($K$1,$K$2,EHJ$4),Table1[],(MATCH(Calendar!$A6,DB!1:1,0)+2),FALSE),"")</f>
        <v/>
      </c>
      <c r="EHK6" s="27" t="str">
        <f>IFERROR(VLOOKUP(DATE($K$1,$K$2,EHK$4),Table1[],(MATCH(Calendar!$A6,DB!1:1,0)+2),FALSE),"")</f>
        <v/>
      </c>
      <c r="EHL6" s="27" t="str">
        <f>IFERROR(VLOOKUP(DATE($K$1,$K$2,EHL$4),Table1[],(MATCH(Calendar!$A6,DB!1:1,0)+2),FALSE),"")</f>
        <v/>
      </c>
      <c r="EHM6" s="27" t="str">
        <f>IFERROR(VLOOKUP(DATE($K$1,$K$2,EHM$4),Table1[],(MATCH(Calendar!$A6,DB!1:1,0)+2),FALSE),"")</f>
        <v/>
      </c>
      <c r="EHN6" s="27" t="str">
        <f>IFERROR(VLOOKUP(DATE($K$1,$K$2,EHN$4),Table1[],(MATCH(Calendar!$A6,DB!1:1,0)+2),FALSE),"")</f>
        <v/>
      </c>
      <c r="EHO6" s="27" t="str">
        <f>IFERROR(VLOOKUP(DATE($K$1,$K$2,EHO$4),Table1[],(MATCH(Calendar!$A6,DB!1:1,0)+2),FALSE),"")</f>
        <v/>
      </c>
      <c r="EHP6" s="27" t="str">
        <f>IFERROR(VLOOKUP(DATE($K$1,$K$2,EHP$4),Table1[],(MATCH(Calendar!$A6,DB!1:1,0)+2),FALSE),"")</f>
        <v/>
      </c>
      <c r="EHQ6" s="27" t="str">
        <f>IFERROR(VLOOKUP(DATE($K$1,$K$2,EHQ$4),Table1[],(MATCH(Calendar!$A6,DB!1:1,0)+2),FALSE),"")</f>
        <v/>
      </c>
      <c r="EHR6" s="27" t="str">
        <f>IFERROR(VLOOKUP(DATE($K$1,$K$2,EHR$4),Table1[],(MATCH(Calendar!$A6,DB!1:1,0)+2),FALSE),"")</f>
        <v/>
      </c>
      <c r="EHS6" s="27" t="str">
        <f>IFERROR(VLOOKUP(DATE($K$1,$K$2,EHS$4),Table1[],(MATCH(Calendar!$A6,DB!1:1,0)+2),FALSE),"")</f>
        <v/>
      </c>
      <c r="EHT6" s="27" t="str">
        <f>IFERROR(VLOOKUP(DATE($K$1,$K$2,EHT$4),Table1[],(MATCH(Calendar!$A6,DB!1:1,0)+2),FALSE),"")</f>
        <v/>
      </c>
      <c r="EHU6" s="27" t="str">
        <f>IFERROR(VLOOKUP(DATE($K$1,$K$2,EHU$4),Table1[],(MATCH(Calendar!$A6,DB!1:1,0)+2),FALSE),"")</f>
        <v/>
      </c>
      <c r="EHV6" s="27" t="str">
        <f>IFERROR(VLOOKUP(DATE($K$1,$K$2,EHV$4),Table1[],(MATCH(Calendar!$A6,DB!1:1,0)+2),FALSE),"")</f>
        <v/>
      </c>
      <c r="EHW6" s="27" t="str">
        <f>IFERROR(VLOOKUP(DATE($K$1,$K$2,EHW$4),Table1[],(MATCH(Calendar!$A6,DB!1:1,0)+2),FALSE),"")</f>
        <v/>
      </c>
      <c r="EHX6" s="27" t="str">
        <f>IFERROR(VLOOKUP(DATE($K$1,$K$2,EHX$4),Table1[],(MATCH(Calendar!$A6,DB!1:1,0)+2),FALSE),"")</f>
        <v/>
      </c>
      <c r="EHY6" s="27" t="str">
        <f>IFERROR(VLOOKUP(DATE($K$1,$K$2,EHY$4),Table1[],(MATCH(Calendar!$A6,DB!1:1,0)+2),FALSE),"")</f>
        <v/>
      </c>
      <c r="EHZ6" s="27" t="str">
        <f>IFERROR(VLOOKUP(DATE($K$1,$K$2,EHZ$4),Table1[],(MATCH(Calendar!$A6,DB!1:1,0)+2),FALSE),"")</f>
        <v/>
      </c>
      <c r="EIA6" s="27" t="str">
        <f>IFERROR(VLOOKUP(DATE($K$1,$K$2,EIA$4),Table1[],(MATCH(Calendar!$A6,DB!1:1,0)+2),FALSE),"")</f>
        <v/>
      </c>
      <c r="EIB6" s="27" t="str">
        <f>IFERROR(VLOOKUP(DATE($K$1,$K$2,EIB$4),Table1[],(MATCH(Calendar!$A6,DB!1:1,0)+2),FALSE),"")</f>
        <v/>
      </c>
      <c r="EIC6" s="27" t="str">
        <f>IFERROR(VLOOKUP(DATE($K$1,$K$2,EIC$4),Table1[],(MATCH(Calendar!$A6,DB!1:1,0)+2),FALSE),"")</f>
        <v/>
      </c>
      <c r="EID6" s="27" t="str">
        <f>IFERROR(VLOOKUP(DATE($K$1,$K$2,EID$4),Table1[],(MATCH(Calendar!$A6,DB!1:1,0)+2),FALSE),"")</f>
        <v/>
      </c>
      <c r="EIE6" s="27" t="str">
        <f>IFERROR(VLOOKUP(DATE($K$1,$K$2,EIE$4),Table1[],(MATCH(Calendar!$A6,DB!1:1,0)+2),FALSE),"")</f>
        <v/>
      </c>
      <c r="EIF6" s="27" t="str">
        <f>IFERROR(VLOOKUP(DATE($K$1,$K$2,EIF$4),Table1[],(MATCH(Calendar!$A6,DB!1:1,0)+2),FALSE),"")</f>
        <v/>
      </c>
      <c r="EIG6" s="27" t="str">
        <f>IFERROR(VLOOKUP(DATE($K$1,$K$2,EIG$4),Table1[],(MATCH(Calendar!$A6,DB!1:1,0)+2),FALSE),"")</f>
        <v/>
      </c>
      <c r="EIH6" s="27" t="str">
        <f>IFERROR(VLOOKUP(DATE($K$1,$K$2,EIH$4),Table1[],(MATCH(Calendar!$A6,DB!1:1,0)+2),FALSE),"")</f>
        <v/>
      </c>
      <c r="EII6" s="27" t="str">
        <f>IFERROR(VLOOKUP(DATE($K$1,$K$2,EII$4),Table1[],(MATCH(Calendar!$A6,DB!1:1,0)+2),FALSE),"")</f>
        <v/>
      </c>
      <c r="EIJ6" s="27" t="str">
        <f>IFERROR(VLOOKUP(DATE($K$1,$K$2,EIJ$4),Table1[],(MATCH(Calendar!$A6,DB!1:1,0)+2),FALSE),"")</f>
        <v/>
      </c>
      <c r="EIK6" s="27" t="str">
        <f>IFERROR(VLOOKUP(DATE($K$1,$K$2,EIK$4),Table1[],(MATCH(Calendar!$A6,DB!1:1,0)+2),FALSE),"")</f>
        <v/>
      </c>
      <c r="EIL6" s="27" t="str">
        <f>IFERROR(VLOOKUP(DATE($K$1,$K$2,EIL$4),Table1[],(MATCH(Calendar!$A6,DB!1:1,0)+2),FALSE),"")</f>
        <v/>
      </c>
      <c r="EIM6" s="27" t="str">
        <f>IFERROR(VLOOKUP(DATE($K$1,$K$2,EIM$4),Table1[],(MATCH(Calendar!$A6,DB!1:1,0)+2),FALSE),"")</f>
        <v/>
      </c>
      <c r="EIN6" s="27" t="str">
        <f>IFERROR(VLOOKUP(DATE($K$1,$K$2,EIN$4),Table1[],(MATCH(Calendar!$A6,DB!1:1,0)+2),FALSE),"")</f>
        <v/>
      </c>
      <c r="EIO6" s="27" t="str">
        <f>IFERROR(VLOOKUP(DATE($K$1,$K$2,EIO$4),Table1[],(MATCH(Calendar!$A6,DB!1:1,0)+2),FALSE),"")</f>
        <v/>
      </c>
      <c r="EIP6" s="27" t="str">
        <f>IFERROR(VLOOKUP(DATE($K$1,$K$2,EIP$4),Table1[],(MATCH(Calendar!$A6,DB!1:1,0)+2),FALSE),"")</f>
        <v/>
      </c>
      <c r="EIQ6" s="27" t="str">
        <f>IFERROR(VLOOKUP(DATE($K$1,$K$2,EIQ$4),Table1[],(MATCH(Calendar!$A6,DB!1:1,0)+2),FALSE),"")</f>
        <v/>
      </c>
      <c r="EIR6" s="27" t="str">
        <f>IFERROR(VLOOKUP(DATE($K$1,$K$2,EIR$4),Table1[],(MATCH(Calendar!$A6,DB!1:1,0)+2),FALSE),"")</f>
        <v/>
      </c>
      <c r="EIS6" s="27" t="str">
        <f>IFERROR(VLOOKUP(DATE($K$1,$K$2,EIS$4),Table1[],(MATCH(Calendar!$A6,DB!1:1,0)+2),FALSE),"")</f>
        <v/>
      </c>
      <c r="EIT6" s="27" t="str">
        <f>IFERROR(VLOOKUP(DATE($K$1,$K$2,EIT$4),Table1[],(MATCH(Calendar!$A6,DB!1:1,0)+2),FALSE),"")</f>
        <v/>
      </c>
      <c r="EIU6" s="27" t="str">
        <f>IFERROR(VLOOKUP(DATE($K$1,$K$2,EIU$4),Table1[],(MATCH(Calendar!$A6,DB!1:1,0)+2),FALSE),"")</f>
        <v/>
      </c>
      <c r="EIV6" s="27" t="str">
        <f>IFERROR(VLOOKUP(DATE($K$1,$K$2,EIV$4),Table1[],(MATCH(Calendar!$A6,DB!1:1,0)+2),FALSE),"")</f>
        <v/>
      </c>
      <c r="EIW6" s="27" t="str">
        <f>IFERROR(VLOOKUP(DATE($K$1,$K$2,EIW$4),Table1[],(MATCH(Calendar!$A6,DB!1:1,0)+2),FALSE),"")</f>
        <v/>
      </c>
      <c r="EIX6" s="27" t="str">
        <f>IFERROR(VLOOKUP(DATE($K$1,$K$2,EIX$4),Table1[],(MATCH(Calendar!$A6,DB!1:1,0)+2),FALSE),"")</f>
        <v/>
      </c>
      <c r="EIY6" s="27" t="str">
        <f>IFERROR(VLOOKUP(DATE($K$1,$K$2,EIY$4),Table1[],(MATCH(Calendar!$A6,DB!1:1,0)+2),FALSE),"")</f>
        <v/>
      </c>
      <c r="EIZ6" s="27" t="str">
        <f>IFERROR(VLOOKUP(DATE($K$1,$K$2,EIZ$4),Table1[],(MATCH(Calendar!$A6,DB!1:1,0)+2),FALSE),"")</f>
        <v/>
      </c>
      <c r="EJA6" s="27" t="str">
        <f>IFERROR(VLOOKUP(DATE($K$1,$K$2,EJA$4),Table1[],(MATCH(Calendar!$A6,DB!1:1,0)+2),FALSE),"")</f>
        <v/>
      </c>
      <c r="EJB6" s="27" t="str">
        <f>IFERROR(VLOOKUP(DATE($K$1,$K$2,EJB$4),Table1[],(MATCH(Calendar!$A6,DB!1:1,0)+2),FALSE),"")</f>
        <v/>
      </c>
      <c r="EJC6" s="27" t="str">
        <f>IFERROR(VLOOKUP(DATE($K$1,$K$2,EJC$4),Table1[],(MATCH(Calendar!$A6,DB!1:1,0)+2),FALSE),"")</f>
        <v/>
      </c>
      <c r="EJD6" s="27" t="str">
        <f>IFERROR(VLOOKUP(DATE($K$1,$K$2,EJD$4),Table1[],(MATCH(Calendar!$A6,DB!1:1,0)+2),FALSE),"")</f>
        <v/>
      </c>
      <c r="EJE6" s="27" t="str">
        <f>IFERROR(VLOOKUP(DATE($K$1,$K$2,EJE$4),Table1[],(MATCH(Calendar!$A6,DB!1:1,0)+2),FALSE),"")</f>
        <v/>
      </c>
      <c r="EJF6" s="27" t="str">
        <f>IFERROR(VLOOKUP(DATE($K$1,$K$2,EJF$4),Table1[],(MATCH(Calendar!$A6,DB!1:1,0)+2),FALSE),"")</f>
        <v/>
      </c>
      <c r="EJG6" s="27" t="str">
        <f>IFERROR(VLOOKUP(DATE($K$1,$K$2,EJG$4),Table1[],(MATCH(Calendar!$A6,DB!1:1,0)+2),FALSE),"")</f>
        <v/>
      </c>
      <c r="EJH6" s="27" t="str">
        <f>IFERROR(VLOOKUP(DATE($K$1,$K$2,EJH$4),Table1[],(MATCH(Calendar!$A6,DB!1:1,0)+2),FALSE),"")</f>
        <v/>
      </c>
      <c r="EJI6" s="27" t="str">
        <f>IFERROR(VLOOKUP(DATE($K$1,$K$2,EJI$4),Table1[],(MATCH(Calendar!$A6,DB!1:1,0)+2),FALSE),"")</f>
        <v/>
      </c>
      <c r="EJJ6" s="27" t="str">
        <f>IFERROR(VLOOKUP(DATE($K$1,$K$2,EJJ$4),Table1[],(MATCH(Calendar!$A6,DB!1:1,0)+2),FALSE),"")</f>
        <v/>
      </c>
      <c r="EJK6" s="27" t="str">
        <f>IFERROR(VLOOKUP(DATE($K$1,$K$2,EJK$4),Table1[],(MATCH(Calendar!$A6,DB!1:1,0)+2),FALSE),"")</f>
        <v/>
      </c>
      <c r="EJL6" s="27" t="str">
        <f>IFERROR(VLOOKUP(DATE($K$1,$K$2,EJL$4),Table1[],(MATCH(Calendar!$A6,DB!1:1,0)+2),FALSE),"")</f>
        <v/>
      </c>
      <c r="EJM6" s="27" t="str">
        <f>IFERROR(VLOOKUP(DATE($K$1,$K$2,EJM$4),Table1[],(MATCH(Calendar!$A6,DB!1:1,0)+2),FALSE),"")</f>
        <v/>
      </c>
      <c r="EJN6" s="27" t="str">
        <f>IFERROR(VLOOKUP(DATE($K$1,$K$2,EJN$4),Table1[],(MATCH(Calendar!$A6,DB!1:1,0)+2),FALSE),"")</f>
        <v/>
      </c>
      <c r="EJO6" s="27" t="str">
        <f>IFERROR(VLOOKUP(DATE($K$1,$K$2,EJO$4),Table1[],(MATCH(Calendar!$A6,DB!1:1,0)+2),FALSE),"")</f>
        <v/>
      </c>
      <c r="EJP6" s="27" t="str">
        <f>IFERROR(VLOOKUP(DATE($K$1,$K$2,EJP$4),Table1[],(MATCH(Calendar!$A6,DB!1:1,0)+2),FALSE),"")</f>
        <v/>
      </c>
      <c r="EJQ6" s="27" t="str">
        <f>IFERROR(VLOOKUP(DATE($K$1,$K$2,EJQ$4),Table1[],(MATCH(Calendar!$A6,DB!1:1,0)+2),FALSE),"")</f>
        <v/>
      </c>
      <c r="EJR6" s="27" t="str">
        <f>IFERROR(VLOOKUP(DATE($K$1,$K$2,EJR$4),Table1[],(MATCH(Calendar!$A6,DB!1:1,0)+2),FALSE),"")</f>
        <v/>
      </c>
      <c r="EJS6" s="27" t="str">
        <f>IFERROR(VLOOKUP(DATE($K$1,$K$2,EJS$4),Table1[],(MATCH(Calendar!$A6,DB!1:1,0)+2),FALSE),"")</f>
        <v/>
      </c>
      <c r="EJT6" s="27" t="str">
        <f>IFERROR(VLOOKUP(DATE($K$1,$K$2,EJT$4),Table1[],(MATCH(Calendar!$A6,DB!1:1,0)+2),FALSE),"")</f>
        <v/>
      </c>
      <c r="EJU6" s="27" t="str">
        <f>IFERROR(VLOOKUP(DATE($K$1,$K$2,EJU$4),Table1[],(MATCH(Calendar!$A6,DB!1:1,0)+2),FALSE),"")</f>
        <v/>
      </c>
      <c r="EJV6" s="27" t="str">
        <f>IFERROR(VLOOKUP(DATE($K$1,$K$2,EJV$4),Table1[],(MATCH(Calendar!$A6,DB!1:1,0)+2),FALSE),"")</f>
        <v/>
      </c>
      <c r="EJW6" s="27" t="str">
        <f>IFERROR(VLOOKUP(DATE($K$1,$K$2,EJW$4),Table1[],(MATCH(Calendar!$A6,DB!1:1,0)+2),FALSE),"")</f>
        <v/>
      </c>
      <c r="EJX6" s="27" t="str">
        <f>IFERROR(VLOOKUP(DATE($K$1,$K$2,EJX$4),Table1[],(MATCH(Calendar!$A6,DB!1:1,0)+2),FALSE),"")</f>
        <v/>
      </c>
      <c r="EJY6" s="27" t="str">
        <f>IFERROR(VLOOKUP(DATE($K$1,$K$2,EJY$4),Table1[],(MATCH(Calendar!$A6,DB!1:1,0)+2),FALSE),"")</f>
        <v/>
      </c>
      <c r="EJZ6" s="27" t="str">
        <f>IFERROR(VLOOKUP(DATE($K$1,$K$2,EJZ$4),Table1[],(MATCH(Calendar!$A6,DB!1:1,0)+2),FALSE),"")</f>
        <v/>
      </c>
      <c r="EKA6" s="27" t="str">
        <f>IFERROR(VLOOKUP(DATE($K$1,$K$2,EKA$4),Table1[],(MATCH(Calendar!$A6,DB!1:1,0)+2),FALSE),"")</f>
        <v/>
      </c>
      <c r="EKB6" s="27" t="str">
        <f>IFERROR(VLOOKUP(DATE($K$1,$K$2,EKB$4),Table1[],(MATCH(Calendar!$A6,DB!1:1,0)+2),FALSE),"")</f>
        <v/>
      </c>
      <c r="EKC6" s="27" t="str">
        <f>IFERROR(VLOOKUP(DATE($K$1,$K$2,EKC$4),Table1[],(MATCH(Calendar!$A6,DB!1:1,0)+2),FALSE),"")</f>
        <v/>
      </c>
      <c r="EKD6" s="27" t="str">
        <f>IFERROR(VLOOKUP(DATE($K$1,$K$2,EKD$4),Table1[],(MATCH(Calendar!$A6,DB!1:1,0)+2),FALSE),"")</f>
        <v/>
      </c>
      <c r="EKE6" s="27" t="str">
        <f>IFERROR(VLOOKUP(DATE($K$1,$K$2,EKE$4),Table1[],(MATCH(Calendar!$A6,DB!1:1,0)+2),FALSE),"")</f>
        <v/>
      </c>
      <c r="EKF6" s="27" t="str">
        <f>IFERROR(VLOOKUP(DATE($K$1,$K$2,EKF$4),Table1[],(MATCH(Calendar!$A6,DB!1:1,0)+2),FALSE),"")</f>
        <v/>
      </c>
      <c r="EKG6" s="27" t="str">
        <f>IFERROR(VLOOKUP(DATE($K$1,$K$2,EKG$4),Table1[],(MATCH(Calendar!$A6,DB!1:1,0)+2),FALSE),"")</f>
        <v/>
      </c>
      <c r="EKH6" s="27" t="str">
        <f>IFERROR(VLOOKUP(DATE($K$1,$K$2,EKH$4),Table1[],(MATCH(Calendar!$A6,DB!1:1,0)+2),FALSE),"")</f>
        <v/>
      </c>
      <c r="EKI6" s="27" t="str">
        <f>IFERROR(VLOOKUP(DATE($K$1,$K$2,EKI$4),Table1[],(MATCH(Calendar!$A6,DB!1:1,0)+2),FALSE),"")</f>
        <v/>
      </c>
      <c r="EKJ6" s="27" t="str">
        <f>IFERROR(VLOOKUP(DATE($K$1,$K$2,EKJ$4),Table1[],(MATCH(Calendar!$A6,DB!1:1,0)+2),FALSE),"")</f>
        <v/>
      </c>
      <c r="EKK6" s="27" t="str">
        <f>IFERROR(VLOOKUP(DATE($K$1,$K$2,EKK$4),Table1[],(MATCH(Calendar!$A6,DB!1:1,0)+2),FALSE),"")</f>
        <v/>
      </c>
      <c r="EKL6" s="27" t="str">
        <f>IFERROR(VLOOKUP(DATE($K$1,$K$2,EKL$4),Table1[],(MATCH(Calendar!$A6,DB!1:1,0)+2),FALSE),"")</f>
        <v/>
      </c>
      <c r="EKM6" s="27" t="str">
        <f>IFERROR(VLOOKUP(DATE($K$1,$K$2,EKM$4),Table1[],(MATCH(Calendar!$A6,DB!1:1,0)+2),FALSE),"")</f>
        <v/>
      </c>
      <c r="EKN6" s="27" t="str">
        <f>IFERROR(VLOOKUP(DATE($K$1,$K$2,EKN$4),Table1[],(MATCH(Calendar!$A6,DB!1:1,0)+2),FALSE),"")</f>
        <v/>
      </c>
      <c r="EKO6" s="27" t="str">
        <f>IFERROR(VLOOKUP(DATE($K$1,$K$2,EKO$4),Table1[],(MATCH(Calendar!$A6,DB!1:1,0)+2),FALSE),"")</f>
        <v/>
      </c>
      <c r="EKP6" s="27" t="str">
        <f>IFERROR(VLOOKUP(DATE($K$1,$K$2,EKP$4),Table1[],(MATCH(Calendar!$A6,DB!1:1,0)+2),FALSE),"")</f>
        <v/>
      </c>
      <c r="EKQ6" s="27" t="str">
        <f>IFERROR(VLOOKUP(DATE($K$1,$K$2,EKQ$4),Table1[],(MATCH(Calendar!$A6,DB!1:1,0)+2),FALSE),"")</f>
        <v/>
      </c>
      <c r="EKR6" s="27" t="str">
        <f>IFERROR(VLOOKUP(DATE($K$1,$K$2,EKR$4),Table1[],(MATCH(Calendar!$A6,DB!1:1,0)+2),FALSE),"")</f>
        <v/>
      </c>
      <c r="EKS6" s="27" t="str">
        <f>IFERROR(VLOOKUP(DATE($K$1,$K$2,EKS$4),Table1[],(MATCH(Calendar!$A6,DB!1:1,0)+2),FALSE),"")</f>
        <v/>
      </c>
      <c r="EKT6" s="27" t="str">
        <f>IFERROR(VLOOKUP(DATE($K$1,$K$2,EKT$4),Table1[],(MATCH(Calendar!$A6,DB!1:1,0)+2),FALSE),"")</f>
        <v/>
      </c>
      <c r="EKU6" s="27" t="str">
        <f>IFERROR(VLOOKUP(DATE($K$1,$K$2,EKU$4),Table1[],(MATCH(Calendar!$A6,DB!1:1,0)+2),FALSE),"")</f>
        <v/>
      </c>
      <c r="EKV6" s="27" t="str">
        <f>IFERROR(VLOOKUP(DATE($K$1,$K$2,EKV$4),Table1[],(MATCH(Calendar!$A6,DB!1:1,0)+2),FALSE),"")</f>
        <v/>
      </c>
      <c r="EKW6" s="27" t="str">
        <f>IFERROR(VLOOKUP(DATE($K$1,$K$2,EKW$4),Table1[],(MATCH(Calendar!$A6,DB!1:1,0)+2),FALSE),"")</f>
        <v/>
      </c>
      <c r="EKX6" s="27" t="str">
        <f>IFERROR(VLOOKUP(DATE($K$1,$K$2,EKX$4),Table1[],(MATCH(Calendar!$A6,DB!1:1,0)+2),FALSE),"")</f>
        <v/>
      </c>
      <c r="EKY6" s="27" t="str">
        <f>IFERROR(VLOOKUP(DATE($K$1,$K$2,EKY$4),Table1[],(MATCH(Calendar!$A6,DB!1:1,0)+2),FALSE),"")</f>
        <v/>
      </c>
      <c r="EKZ6" s="27" t="str">
        <f>IFERROR(VLOOKUP(DATE($K$1,$K$2,EKZ$4),Table1[],(MATCH(Calendar!$A6,DB!1:1,0)+2),FALSE),"")</f>
        <v/>
      </c>
      <c r="ELA6" s="27" t="str">
        <f>IFERROR(VLOOKUP(DATE($K$1,$K$2,ELA$4),Table1[],(MATCH(Calendar!$A6,DB!1:1,0)+2),FALSE),"")</f>
        <v/>
      </c>
      <c r="ELB6" s="27" t="str">
        <f>IFERROR(VLOOKUP(DATE($K$1,$K$2,ELB$4),Table1[],(MATCH(Calendar!$A6,DB!1:1,0)+2),FALSE),"")</f>
        <v/>
      </c>
      <c r="ELC6" s="27" t="str">
        <f>IFERROR(VLOOKUP(DATE($K$1,$K$2,ELC$4),Table1[],(MATCH(Calendar!$A6,DB!1:1,0)+2),FALSE),"")</f>
        <v/>
      </c>
      <c r="ELD6" s="27" t="str">
        <f>IFERROR(VLOOKUP(DATE($K$1,$K$2,ELD$4),Table1[],(MATCH(Calendar!$A6,DB!1:1,0)+2),FALSE),"")</f>
        <v/>
      </c>
      <c r="ELE6" s="27" t="str">
        <f>IFERROR(VLOOKUP(DATE($K$1,$K$2,ELE$4),Table1[],(MATCH(Calendar!$A6,DB!1:1,0)+2),FALSE),"")</f>
        <v/>
      </c>
      <c r="ELF6" s="27" t="str">
        <f>IFERROR(VLOOKUP(DATE($K$1,$K$2,ELF$4),Table1[],(MATCH(Calendar!$A6,DB!1:1,0)+2),FALSE),"")</f>
        <v/>
      </c>
      <c r="ELG6" s="27" t="str">
        <f>IFERROR(VLOOKUP(DATE($K$1,$K$2,ELG$4),Table1[],(MATCH(Calendar!$A6,DB!1:1,0)+2),FALSE),"")</f>
        <v/>
      </c>
      <c r="ELH6" s="27" t="str">
        <f>IFERROR(VLOOKUP(DATE($K$1,$K$2,ELH$4),Table1[],(MATCH(Calendar!$A6,DB!1:1,0)+2),FALSE),"")</f>
        <v/>
      </c>
      <c r="ELI6" s="27" t="str">
        <f>IFERROR(VLOOKUP(DATE($K$1,$K$2,ELI$4),Table1[],(MATCH(Calendar!$A6,DB!1:1,0)+2),FALSE),"")</f>
        <v/>
      </c>
      <c r="ELJ6" s="27" t="str">
        <f>IFERROR(VLOOKUP(DATE($K$1,$K$2,ELJ$4),Table1[],(MATCH(Calendar!$A6,DB!1:1,0)+2),FALSE),"")</f>
        <v/>
      </c>
      <c r="ELK6" s="27" t="str">
        <f>IFERROR(VLOOKUP(DATE($K$1,$K$2,ELK$4),Table1[],(MATCH(Calendar!$A6,DB!1:1,0)+2),FALSE),"")</f>
        <v/>
      </c>
      <c r="ELL6" s="27" t="str">
        <f>IFERROR(VLOOKUP(DATE($K$1,$K$2,ELL$4),Table1[],(MATCH(Calendar!$A6,DB!1:1,0)+2),FALSE),"")</f>
        <v/>
      </c>
      <c r="ELM6" s="27" t="str">
        <f>IFERROR(VLOOKUP(DATE($K$1,$K$2,ELM$4),Table1[],(MATCH(Calendar!$A6,DB!1:1,0)+2),FALSE),"")</f>
        <v/>
      </c>
      <c r="ELN6" s="27" t="str">
        <f>IFERROR(VLOOKUP(DATE($K$1,$K$2,ELN$4),Table1[],(MATCH(Calendar!$A6,DB!1:1,0)+2),FALSE),"")</f>
        <v/>
      </c>
      <c r="ELO6" s="27" t="str">
        <f>IFERROR(VLOOKUP(DATE($K$1,$K$2,ELO$4),Table1[],(MATCH(Calendar!$A6,DB!1:1,0)+2),FALSE),"")</f>
        <v/>
      </c>
      <c r="ELP6" s="27" t="str">
        <f>IFERROR(VLOOKUP(DATE($K$1,$K$2,ELP$4),Table1[],(MATCH(Calendar!$A6,DB!1:1,0)+2),FALSE),"")</f>
        <v/>
      </c>
      <c r="ELQ6" s="27" t="str">
        <f>IFERROR(VLOOKUP(DATE($K$1,$K$2,ELQ$4),Table1[],(MATCH(Calendar!$A6,DB!1:1,0)+2),FALSE),"")</f>
        <v/>
      </c>
      <c r="ELR6" s="27" t="str">
        <f>IFERROR(VLOOKUP(DATE($K$1,$K$2,ELR$4),Table1[],(MATCH(Calendar!$A6,DB!1:1,0)+2),FALSE),"")</f>
        <v/>
      </c>
      <c r="ELS6" s="27" t="str">
        <f>IFERROR(VLOOKUP(DATE($K$1,$K$2,ELS$4),Table1[],(MATCH(Calendar!$A6,DB!1:1,0)+2),FALSE),"")</f>
        <v/>
      </c>
      <c r="ELT6" s="27" t="str">
        <f>IFERROR(VLOOKUP(DATE($K$1,$K$2,ELT$4),Table1[],(MATCH(Calendar!$A6,DB!1:1,0)+2),FALSE),"")</f>
        <v/>
      </c>
      <c r="ELU6" s="27" t="str">
        <f>IFERROR(VLOOKUP(DATE($K$1,$K$2,ELU$4),Table1[],(MATCH(Calendar!$A6,DB!1:1,0)+2),FALSE),"")</f>
        <v/>
      </c>
      <c r="ELV6" s="27" t="str">
        <f>IFERROR(VLOOKUP(DATE($K$1,$K$2,ELV$4),Table1[],(MATCH(Calendar!$A6,DB!1:1,0)+2),FALSE),"")</f>
        <v/>
      </c>
      <c r="ELW6" s="27" t="str">
        <f>IFERROR(VLOOKUP(DATE($K$1,$K$2,ELW$4),Table1[],(MATCH(Calendar!$A6,DB!1:1,0)+2),FALSE),"")</f>
        <v/>
      </c>
      <c r="ELX6" s="27" t="str">
        <f>IFERROR(VLOOKUP(DATE($K$1,$K$2,ELX$4),Table1[],(MATCH(Calendar!$A6,DB!1:1,0)+2),FALSE),"")</f>
        <v/>
      </c>
      <c r="ELY6" s="27" t="str">
        <f>IFERROR(VLOOKUP(DATE($K$1,$K$2,ELY$4),Table1[],(MATCH(Calendar!$A6,DB!1:1,0)+2),FALSE),"")</f>
        <v/>
      </c>
      <c r="ELZ6" s="27" t="str">
        <f>IFERROR(VLOOKUP(DATE($K$1,$K$2,ELZ$4),Table1[],(MATCH(Calendar!$A6,DB!1:1,0)+2),FALSE),"")</f>
        <v/>
      </c>
      <c r="EMA6" s="27" t="str">
        <f>IFERROR(VLOOKUP(DATE($K$1,$K$2,EMA$4),Table1[],(MATCH(Calendar!$A6,DB!1:1,0)+2),FALSE),"")</f>
        <v/>
      </c>
      <c r="EMB6" s="27" t="str">
        <f>IFERROR(VLOOKUP(DATE($K$1,$K$2,EMB$4),Table1[],(MATCH(Calendar!$A6,DB!1:1,0)+2),FALSE),"")</f>
        <v/>
      </c>
      <c r="EMC6" s="27" t="str">
        <f>IFERROR(VLOOKUP(DATE($K$1,$K$2,EMC$4),Table1[],(MATCH(Calendar!$A6,DB!1:1,0)+2),FALSE),"")</f>
        <v/>
      </c>
      <c r="EMD6" s="27" t="str">
        <f>IFERROR(VLOOKUP(DATE($K$1,$K$2,EMD$4),Table1[],(MATCH(Calendar!$A6,DB!1:1,0)+2),FALSE),"")</f>
        <v/>
      </c>
      <c r="EME6" s="27" t="str">
        <f>IFERROR(VLOOKUP(DATE($K$1,$K$2,EME$4),Table1[],(MATCH(Calendar!$A6,DB!1:1,0)+2),FALSE),"")</f>
        <v/>
      </c>
      <c r="EMF6" s="27" t="str">
        <f>IFERROR(VLOOKUP(DATE($K$1,$K$2,EMF$4),Table1[],(MATCH(Calendar!$A6,DB!1:1,0)+2),FALSE),"")</f>
        <v/>
      </c>
      <c r="EMG6" s="27" t="str">
        <f>IFERROR(VLOOKUP(DATE($K$1,$K$2,EMG$4),Table1[],(MATCH(Calendar!$A6,DB!1:1,0)+2),FALSE),"")</f>
        <v/>
      </c>
      <c r="EMH6" s="27" t="str">
        <f>IFERROR(VLOOKUP(DATE($K$1,$K$2,EMH$4),Table1[],(MATCH(Calendar!$A6,DB!1:1,0)+2),FALSE),"")</f>
        <v/>
      </c>
      <c r="EMI6" s="27" t="str">
        <f>IFERROR(VLOOKUP(DATE($K$1,$K$2,EMI$4),Table1[],(MATCH(Calendar!$A6,DB!1:1,0)+2),FALSE),"")</f>
        <v/>
      </c>
      <c r="EMJ6" s="27" t="str">
        <f>IFERROR(VLOOKUP(DATE($K$1,$K$2,EMJ$4),Table1[],(MATCH(Calendar!$A6,DB!1:1,0)+2),FALSE),"")</f>
        <v/>
      </c>
      <c r="EMK6" s="27" t="str">
        <f>IFERROR(VLOOKUP(DATE($K$1,$K$2,EMK$4),Table1[],(MATCH(Calendar!$A6,DB!1:1,0)+2),FALSE),"")</f>
        <v/>
      </c>
      <c r="EML6" s="27" t="str">
        <f>IFERROR(VLOOKUP(DATE($K$1,$K$2,EML$4),Table1[],(MATCH(Calendar!$A6,DB!1:1,0)+2),FALSE),"")</f>
        <v/>
      </c>
      <c r="EMM6" s="27" t="str">
        <f>IFERROR(VLOOKUP(DATE($K$1,$K$2,EMM$4),Table1[],(MATCH(Calendar!$A6,DB!1:1,0)+2),FALSE),"")</f>
        <v/>
      </c>
      <c r="EMN6" s="27" t="str">
        <f>IFERROR(VLOOKUP(DATE($K$1,$K$2,EMN$4),Table1[],(MATCH(Calendar!$A6,DB!1:1,0)+2),FALSE),"")</f>
        <v/>
      </c>
      <c r="EMO6" s="27" t="str">
        <f>IFERROR(VLOOKUP(DATE($K$1,$K$2,EMO$4),Table1[],(MATCH(Calendar!$A6,DB!1:1,0)+2),FALSE),"")</f>
        <v/>
      </c>
      <c r="EMP6" s="27" t="str">
        <f>IFERROR(VLOOKUP(DATE($K$1,$K$2,EMP$4),Table1[],(MATCH(Calendar!$A6,DB!1:1,0)+2),FALSE),"")</f>
        <v/>
      </c>
      <c r="EMQ6" s="27" t="str">
        <f>IFERROR(VLOOKUP(DATE($K$1,$K$2,EMQ$4),Table1[],(MATCH(Calendar!$A6,DB!1:1,0)+2),FALSE),"")</f>
        <v/>
      </c>
      <c r="EMR6" s="27" t="str">
        <f>IFERROR(VLOOKUP(DATE($K$1,$K$2,EMR$4),Table1[],(MATCH(Calendar!$A6,DB!1:1,0)+2),FALSE),"")</f>
        <v/>
      </c>
      <c r="EMS6" s="27" t="str">
        <f>IFERROR(VLOOKUP(DATE($K$1,$K$2,EMS$4),Table1[],(MATCH(Calendar!$A6,DB!1:1,0)+2),FALSE),"")</f>
        <v/>
      </c>
      <c r="EMT6" s="27" t="str">
        <f>IFERROR(VLOOKUP(DATE($K$1,$K$2,EMT$4),Table1[],(MATCH(Calendar!$A6,DB!1:1,0)+2),FALSE),"")</f>
        <v/>
      </c>
      <c r="EMU6" s="27" t="str">
        <f>IFERROR(VLOOKUP(DATE($K$1,$K$2,EMU$4),Table1[],(MATCH(Calendar!$A6,DB!1:1,0)+2),FALSE),"")</f>
        <v/>
      </c>
      <c r="EMV6" s="27" t="str">
        <f>IFERROR(VLOOKUP(DATE($K$1,$K$2,EMV$4),Table1[],(MATCH(Calendar!$A6,DB!1:1,0)+2),FALSE),"")</f>
        <v/>
      </c>
      <c r="EMW6" s="27" t="str">
        <f>IFERROR(VLOOKUP(DATE($K$1,$K$2,EMW$4),Table1[],(MATCH(Calendar!$A6,DB!1:1,0)+2),FALSE),"")</f>
        <v/>
      </c>
      <c r="EMX6" s="27" t="str">
        <f>IFERROR(VLOOKUP(DATE($K$1,$K$2,EMX$4),Table1[],(MATCH(Calendar!$A6,DB!1:1,0)+2),FALSE),"")</f>
        <v/>
      </c>
      <c r="EMY6" s="27" t="str">
        <f>IFERROR(VLOOKUP(DATE($K$1,$K$2,EMY$4),Table1[],(MATCH(Calendar!$A6,DB!1:1,0)+2),FALSE),"")</f>
        <v/>
      </c>
      <c r="EMZ6" s="27" t="str">
        <f>IFERROR(VLOOKUP(DATE($K$1,$K$2,EMZ$4),Table1[],(MATCH(Calendar!$A6,DB!1:1,0)+2),FALSE),"")</f>
        <v/>
      </c>
      <c r="ENA6" s="27" t="str">
        <f>IFERROR(VLOOKUP(DATE($K$1,$K$2,ENA$4),Table1[],(MATCH(Calendar!$A6,DB!1:1,0)+2),FALSE),"")</f>
        <v/>
      </c>
      <c r="ENB6" s="27" t="str">
        <f>IFERROR(VLOOKUP(DATE($K$1,$K$2,ENB$4),Table1[],(MATCH(Calendar!$A6,DB!1:1,0)+2),FALSE),"")</f>
        <v/>
      </c>
      <c r="ENC6" s="27" t="str">
        <f>IFERROR(VLOOKUP(DATE($K$1,$K$2,ENC$4),Table1[],(MATCH(Calendar!$A6,DB!1:1,0)+2),FALSE),"")</f>
        <v/>
      </c>
      <c r="END6" s="27" t="str">
        <f>IFERROR(VLOOKUP(DATE($K$1,$K$2,END$4),Table1[],(MATCH(Calendar!$A6,DB!1:1,0)+2),FALSE),"")</f>
        <v/>
      </c>
      <c r="ENE6" s="27" t="str">
        <f>IFERROR(VLOOKUP(DATE($K$1,$K$2,ENE$4),Table1[],(MATCH(Calendar!$A6,DB!1:1,0)+2),FALSE),"")</f>
        <v/>
      </c>
      <c r="ENF6" s="27" t="str">
        <f>IFERROR(VLOOKUP(DATE($K$1,$K$2,ENF$4),Table1[],(MATCH(Calendar!$A6,DB!1:1,0)+2),FALSE),"")</f>
        <v/>
      </c>
      <c r="ENG6" s="27" t="str">
        <f>IFERROR(VLOOKUP(DATE($K$1,$K$2,ENG$4),Table1[],(MATCH(Calendar!$A6,DB!1:1,0)+2),FALSE),"")</f>
        <v/>
      </c>
      <c r="ENH6" s="27" t="str">
        <f>IFERROR(VLOOKUP(DATE($K$1,$K$2,ENH$4),Table1[],(MATCH(Calendar!$A6,DB!1:1,0)+2),FALSE),"")</f>
        <v/>
      </c>
      <c r="ENI6" s="27" t="str">
        <f>IFERROR(VLOOKUP(DATE($K$1,$K$2,ENI$4),Table1[],(MATCH(Calendar!$A6,DB!1:1,0)+2),FALSE),"")</f>
        <v/>
      </c>
      <c r="ENJ6" s="27" t="str">
        <f>IFERROR(VLOOKUP(DATE($K$1,$K$2,ENJ$4),Table1[],(MATCH(Calendar!$A6,DB!1:1,0)+2),FALSE),"")</f>
        <v/>
      </c>
      <c r="ENK6" s="27" t="str">
        <f>IFERROR(VLOOKUP(DATE($K$1,$K$2,ENK$4),Table1[],(MATCH(Calendar!$A6,DB!1:1,0)+2),FALSE),"")</f>
        <v/>
      </c>
      <c r="ENL6" s="27" t="str">
        <f>IFERROR(VLOOKUP(DATE($K$1,$K$2,ENL$4),Table1[],(MATCH(Calendar!$A6,DB!1:1,0)+2),FALSE),"")</f>
        <v/>
      </c>
      <c r="ENM6" s="27" t="str">
        <f>IFERROR(VLOOKUP(DATE($K$1,$K$2,ENM$4),Table1[],(MATCH(Calendar!$A6,DB!1:1,0)+2),FALSE),"")</f>
        <v/>
      </c>
      <c r="ENN6" s="27" t="str">
        <f>IFERROR(VLOOKUP(DATE($K$1,$K$2,ENN$4),Table1[],(MATCH(Calendar!$A6,DB!1:1,0)+2),FALSE),"")</f>
        <v/>
      </c>
      <c r="ENO6" s="27" t="str">
        <f>IFERROR(VLOOKUP(DATE($K$1,$K$2,ENO$4),Table1[],(MATCH(Calendar!$A6,DB!1:1,0)+2),FALSE),"")</f>
        <v/>
      </c>
      <c r="ENP6" s="27" t="str">
        <f>IFERROR(VLOOKUP(DATE($K$1,$K$2,ENP$4),Table1[],(MATCH(Calendar!$A6,DB!1:1,0)+2),FALSE),"")</f>
        <v/>
      </c>
      <c r="ENQ6" s="27" t="str">
        <f>IFERROR(VLOOKUP(DATE($K$1,$K$2,ENQ$4),Table1[],(MATCH(Calendar!$A6,DB!1:1,0)+2),FALSE),"")</f>
        <v/>
      </c>
      <c r="ENR6" s="27" t="str">
        <f>IFERROR(VLOOKUP(DATE($K$1,$K$2,ENR$4),Table1[],(MATCH(Calendar!$A6,DB!1:1,0)+2),FALSE),"")</f>
        <v/>
      </c>
      <c r="ENS6" s="27" t="str">
        <f>IFERROR(VLOOKUP(DATE($K$1,$K$2,ENS$4),Table1[],(MATCH(Calendar!$A6,DB!1:1,0)+2),FALSE),"")</f>
        <v/>
      </c>
      <c r="ENT6" s="27" t="str">
        <f>IFERROR(VLOOKUP(DATE($K$1,$K$2,ENT$4),Table1[],(MATCH(Calendar!$A6,DB!1:1,0)+2),FALSE),"")</f>
        <v/>
      </c>
      <c r="ENU6" s="27" t="str">
        <f>IFERROR(VLOOKUP(DATE($K$1,$K$2,ENU$4),Table1[],(MATCH(Calendar!$A6,DB!1:1,0)+2),FALSE),"")</f>
        <v/>
      </c>
      <c r="ENV6" s="27" t="str">
        <f>IFERROR(VLOOKUP(DATE($K$1,$K$2,ENV$4),Table1[],(MATCH(Calendar!$A6,DB!1:1,0)+2),FALSE),"")</f>
        <v/>
      </c>
      <c r="ENW6" s="27" t="str">
        <f>IFERROR(VLOOKUP(DATE($K$1,$K$2,ENW$4),Table1[],(MATCH(Calendar!$A6,DB!1:1,0)+2),FALSE),"")</f>
        <v/>
      </c>
      <c r="ENX6" s="27" t="str">
        <f>IFERROR(VLOOKUP(DATE($K$1,$K$2,ENX$4),Table1[],(MATCH(Calendar!$A6,DB!1:1,0)+2),FALSE),"")</f>
        <v/>
      </c>
      <c r="ENY6" s="27" t="str">
        <f>IFERROR(VLOOKUP(DATE($K$1,$K$2,ENY$4),Table1[],(MATCH(Calendar!$A6,DB!1:1,0)+2),FALSE),"")</f>
        <v/>
      </c>
      <c r="ENZ6" s="27" t="str">
        <f>IFERROR(VLOOKUP(DATE($K$1,$K$2,ENZ$4),Table1[],(MATCH(Calendar!$A6,DB!1:1,0)+2),FALSE),"")</f>
        <v/>
      </c>
      <c r="EOA6" s="27" t="str">
        <f>IFERROR(VLOOKUP(DATE($K$1,$K$2,EOA$4),Table1[],(MATCH(Calendar!$A6,DB!1:1,0)+2),FALSE),"")</f>
        <v/>
      </c>
      <c r="EOB6" s="27" t="str">
        <f>IFERROR(VLOOKUP(DATE($K$1,$K$2,EOB$4),Table1[],(MATCH(Calendar!$A6,DB!1:1,0)+2),FALSE),"")</f>
        <v/>
      </c>
      <c r="EOC6" s="27" t="str">
        <f>IFERROR(VLOOKUP(DATE($K$1,$K$2,EOC$4),Table1[],(MATCH(Calendar!$A6,DB!1:1,0)+2),FALSE),"")</f>
        <v/>
      </c>
      <c r="EOD6" s="27" t="str">
        <f>IFERROR(VLOOKUP(DATE($K$1,$K$2,EOD$4),Table1[],(MATCH(Calendar!$A6,DB!1:1,0)+2),FALSE),"")</f>
        <v/>
      </c>
      <c r="EOE6" s="27" t="str">
        <f>IFERROR(VLOOKUP(DATE($K$1,$K$2,EOE$4),Table1[],(MATCH(Calendar!$A6,DB!1:1,0)+2),FALSE),"")</f>
        <v/>
      </c>
      <c r="EOF6" s="27" t="str">
        <f>IFERROR(VLOOKUP(DATE($K$1,$K$2,EOF$4),Table1[],(MATCH(Calendar!$A6,DB!1:1,0)+2),FALSE),"")</f>
        <v/>
      </c>
      <c r="EOG6" s="27" t="str">
        <f>IFERROR(VLOOKUP(DATE($K$1,$K$2,EOG$4),Table1[],(MATCH(Calendar!$A6,DB!1:1,0)+2),FALSE),"")</f>
        <v/>
      </c>
      <c r="EOH6" s="27" t="str">
        <f>IFERROR(VLOOKUP(DATE($K$1,$K$2,EOH$4),Table1[],(MATCH(Calendar!$A6,DB!1:1,0)+2),FALSE),"")</f>
        <v/>
      </c>
      <c r="EOI6" s="27" t="str">
        <f>IFERROR(VLOOKUP(DATE($K$1,$K$2,EOI$4),Table1[],(MATCH(Calendar!$A6,DB!1:1,0)+2),FALSE),"")</f>
        <v/>
      </c>
      <c r="EOJ6" s="27" t="str">
        <f>IFERROR(VLOOKUP(DATE($K$1,$K$2,EOJ$4),Table1[],(MATCH(Calendar!$A6,DB!1:1,0)+2),FALSE),"")</f>
        <v/>
      </c>
      <c r="EOK6" s="27" t="str">
        <f>IFERROR(VLOOKUP(DATE($K$1,$K$2,EOK$4),Table1[],(MATCH(Calendar!$A6,DB!1:1,0)+2),FALSE),"")</f>
        <v/>
      </c>
      <c r="EOL6" s="27" t="str">
        <f>IFERROR(VLOOKUP(DATE($K$1,$K$2,EOL$4),Table1[],(MATCH(Calendar!$A6,DB!1:1,0)+2),FALSE),"")</f>
        <v/>
      </c>
      <c r="EOM6" s="27" t="str">
        <f>IFERROR(VLOOKUP(DATE($K$1,$K$2,EOM$4),Table1[],(MATCH(Calendar!$A6,DB!1:1,0)+2),FALSE),"")</f>
        <v/>
      </c>
      <c r="EON6" s="27" t="str">
        <f>IFERROR(VLOOKUP(DATE($K$1,$K$2,EON$4),Table1[],(MATCH(Calendar!$A6,DB!1:1,0)+2),FALSE),"")</f>
        <v/>
      </c>
      <c r="EOO6" s="27" t="str">
        <f>IFERROR(VLOOKUP(DATE($K$1,$K$2,EOO$4),Table1[],(MATCH(Calendar!$A6,DB!1:1,0)+2),FALSE),"")</f>
        <v/>
      </c>
      <c r="EOP6" s="27" t="str">
        <f>IFERROR(VLOOKUP(DATE($K$1,$K$2,EOP$4),Table1[],(MATCH(Calendar!$A6,DB!1:1,0)+2),FALSE),"")</f>
        <v/>
      </c>
      <c r="EOQ6" s="27" t="str">
        <f>IFERROR(VLOOKUP(DATE($K$1,$K$2,EOQ$4),Table1[],(MATCH(Calendar!$A6,DB!1:1,0)+2),FALSE),"")</f>
        <v/>
      </c>
      <c r="EOR6" s="27" t="str">
        <f>IFERROR(VLOOKUP(DATE($K$1,$K$2,EOR$4),Table1[],(MATCH(Calendar!$A6,DB!1:1,0)+2),FALSE),"")</f>
        <v/>
      </c>
      <c r="EOS6" s="27" t="str">
        <f>IFERROR(VLOOKUP(DATE($K$1,$K$2,EOS$4),Table1[],(MATCH(Calendar!$A6,DB!1:1,0)+2),FALSE),"")</f>
        <v/>
      </c>
      <c r="EOT6" s="27" t="str">
        <f>IFERROR(VLOOKUP(DATE($K$1,$K$2,EOT$4),Table1[],(MATCH(Calendar!$A6,DB!1:1,0)+2),FALSE),"")</f>
        <v/>
      </c>
      <c r="EOU6" s="27" t="str">
        <f>IFERROR(VLOOKUP(DATE($K$1,$K$2,EOU$4),Table1[],(MATCH(Calendar!$A6,DB!1:1,0)+2),FALSE),"")</f>
        <v/>
      </c>
      <c r="EOV6" s="27" t="str">
        <f>IFERROR(VLOOKUP(DATE($K$1,$K$2,EOV$4),Table1[],(MATCH(Calendar!$A6,DB!1:1,0)+2),FALSE),"")</f>
        <v/>
      </c>
      <c r="EOW6" s="27" t="str">
        <f>IFERROR(VLOOKUP(DATE($K$1,$K$2,EOW$4),Table1[],(MATCH(Calendar!$A6,DB!1:1,0)+2),FALSE),"")</f>
        <v/>
      </c>
      <c r="EOX6" s="27" t="str">
        <f>IFERROR(VLOOKUP(DATE($K$1,$K$2,EOX$4),Table1[],(MATCH(Calendar!$A6,DB!1:1,0)+2),FALSE),"")</f>
        <v/>
      </c>
      <c r="EOY6" s="27" t="str">
        <f>IFERROR(VLOOKUP(DATE($K$1,$K$2,EOY$4),Table1[],(MATCH(Calendar!$A6,DB!1:1,0)+2),FALSE),"")</f>
        <v/>
      </c>
      <c r="EOZ6" s="27" t="str">
        <f>IFERROR(VLOOKUP(DATE($K$1,$K$2,EOZ$4),Table1[],(MATCH(Calendar!$A6,DB!1:1,0)+2),FALSE),"")</f>
        <v/>
      </c>
      <c r="EPA6" s="27" t="str">
        <f>IFERROR(VLOOKUP(DATE($K$1,$K$2,EPA$4),Table1[],(MATCH(Calendar!$A6,DB!1:1,0)+2),FALSE),"")</f>
        <v/>
      </c>
      <c r="EPB6" s="27" t="str">
        <f>IFERROR(VLOOKUP(DATE($K$1,$K$2,EPB$4),Table1[],(MATCH(Calendar!$A6,DB!1:1,0)+2),FALSE),"")</f>
        <v/>
      </c>
      <c r="EPC6" s="27" t="str">
        <f>IFERROR(VLOOKUP(DATE($K$1,$K$2,EPC$4),Table1[],(MATCH(Calendar!$A6,DB!1:1,0)+2),FALSE),"")</f>
        <v/>
      </c>
      <c r="EPD6" s="27" t="str">
        <f>IFERROR(VLOOKUP(DATE($K$1,$K$2,EPD$4),Table1[],(MATCH(Calendar!$A6,DB!1:1,0)+2),FALSE),"")</f>
        <v/>
      </c>
      <c r="EPE6" s="27" t="str">
        <f>IFERROR(VLOOKUP(DATE($K$1,$K$2,EPE$4),Table1[],(MATCH(Calendar!$A6,DB!1:1,0)+2),FALSE),"")</f>
        <v/>
      </c>
      <c r="EPF6" s="27" t="str">
        <f>IFERROR(VLOOKUP(DATE($K$1,$K$2,EPF$4),Table1[],(MATCH(Calendar!$A6,DB!1:1,0)+2),FALSE),"")</f>
        <v/>
      </c>
      <c r="EPG6" s="27" t="str">
        <f>IFERROR(VLOOKUP(DATE($K$1,$K$2,EPG$4),Table1[],(MATCH(Calendar!$A6,DB!1:1,0)+2),FALSE),"")</f>
        <v/>
      </c>
      <c r="EPH6" s="27" t="str">
        <f>IFERROR(VLOOKUP(DATE($K$1,$K$2,EPH$4),Table1[],(MATCH(Calendar!$A6,DB!1:1,0)+2),FALSE),"")</f>
        <v/>
      </c>
      <c r="EPI6" s="27" t="str">
        <f>IFERROR(VLOOKUP(DATE($K$1,$K$2,EPI$4),Table1[],(MATCH(Calendar!$A6,DB!1:1,0)+2),FALSE),"")</f>
        <v/>
      </c>
      <c r="EPJ6" s="27" t="str">
        <f>IFERROR(VLOOKUP(DATE($K$1,$K$2,EPJ$4),Table1[],(MATCH(Calendar!$A6,DB!1:1,0)+2),FALSE),"")</f>
        <v/>
      </c>
      <c r="EPK6" s="27" t="str">
        <f>IFERROR(VLOOKUP(DATE($K$1,$K$2,EPK$4),Table1[],(MATCH(Calendar!$A6,DB!1:1,0)+2),FALSE),"")</f>
        <v/>
      </c>
      <c r="EPL6" s="27" t="str">
        <f>IFERROR(VLOOKUP(DATE($K$1,$K$2,EPL$4),Table1[],(MATCH(Calendar!$A6,DB!1:1,0)+2),FALSE),"")</f>
        <v/>
      </c>
      <c r="EPM6" s="27" t="str">
        <f>IFERROR(VLOOKUP(DATE($K$1,$K$2,EPM$4),Table1[],(MATCH(Calendar!$A6,DB!1:1,0)+2),FALSE),"")</f>
        <v/>
      </c>
      <c r="EPN6" s="27" t="str">
        <f>IFERROR(VLOOKUP(DATE($K$1,$K$2,EPN$4),Table1[],(MATCH(Calendar!$A6,DB!1:1,0)+2),FALSE),"")</f>
        <v/>
      </c>
      <c r="EPO6" s="27" t="str">
        <f>IFERROR(VLOOKUP(DATE($K$1,$K$2,EPO$4),Table1[],(MATCH(Calendar!$A6,DB!1:1,0)+2),FALSE),"")</f>
        <v/>
      </c>
      <c r="EPP6" s="27" t="str">
        <f>IFERROR(VLOOKUP(DATE($K$1,$K$2,EPP$4),Table1[],(MATCH(Calendar!$A6,DB!1:1,0)+2),FALSE),"")</f>
        <v/>
      </c>
      <c r="EPQ6" s="27" t="str">
        <f>IFERROR(VLOOKUP(DATE($K$1,$K$2,EPQ$4),Table1[],(MATCH(Calendar!$A6,DB!1:1,0)+2),FALSE),"")</f>
        <v/>
      </c>
      <c r="EPR6" s="27" t="str">
        <f>IFERROR(VLOOKUP(DATE($K$1,$K$2,EPR$4),Table1[],(MATCH(Calendar!$A6,DB!1:1,0)+2),FALSE),"")</f>
        <v/>
      </c>
      <c r="EPS6" s="27" t="str">
        <f>IFERROR(VLOOKUP(DATE($K$1,$K$2,EPS$4),Table1[],(MATCH(Calendar!$A6,DB!1:1,0)+2),FALSE),"")</f>
        <v/>
      </c>
      <c r="EPT6" s="27" t="str">
        <f>IFERROR(VLOOKUP(DATE($K$1,$K$2,EPT$4),Table1[],(MATCH(Calendar!$A6,DB!1:1,0)+2),FALSE),"")</f>
        <v/>
      </c>
      <c r="EPU6" s="27" t="str">
        <f>IFERROR(VLOOKUP(DATE($K$1,$K$2,EPU$4),Table1[],(MATCH(Calendar!$A6,DB!1:1,0)+2),FALSE),"")</f>
        <v/>
      </c>
      <c r="EPV6" s="27" t="str">
        <f>IFERROR(VLOOKUP(DATE($K$1,$K$2,EPV$4),Table1[],(MATCH(Calendar!$A6,DB!1:1,0)+2),FALSE),"")</f>
        <v/>
      </c>
      <c r="EPW6" s="27" t="str">
        <f>IFERROR(VLOOKUP(DATE($K$1,$K$2,EPW$4),Table1[],(MATCH(Calendar!$A6,DB!1:1,0)+2),FALSE),"")</f>
        <v/>
      </c>
      <c r="EPX6" s="27" t="str">
        <f>IFERROR(VLOOKUP(DATE($K$1,$K$2,EPX$4),Table1[],(MATCH(Calendar!$A6,DB!1:1,0)+2),FALSE),"")</f>
        <v/>
      </c>
      <c r="EPY6" s="27" t="str">
        <f>IFERROR(VLOOKUP(DATE($K$1,$K$2,EPY$4),Table1[],(MATCH(Calendar!$A6,DB!1:1,0)+2),FALSE),"")</f>
        <v/>
      </c>
      <c r="EPZ6" s="27" t="str">
        <f>IFERROR(VLOOKUP(DATE($K$1,$K$2,EPZ$4),Table1[],(MATCH(Calendar!$A6,DB!1:1,0)+2),FALSE),"")</f>
        <v/>
      </c>
      <c r="EQA6" s="27" t="str">
        <f>IFERROR(VLOOKUP(DATE($K$1,$K$2,EQA$4),Table1[],(MATCH(Calendar!$A6,DB!1:1,0)+2),FALSE),"")</f>
        <v/>
      </c>
      <c r="EQB6" s="27" t="str">
        <f>IFERROR(VLOOKUP(DATE($K$1,$K$2,EQB$4),Table1[],(MATCH(Calendar!$A6,DB!1:1,0)+2),FALSE),"")</f>
        <v/>
      </c>
      <c r="EQC6" s="27" t="str">
        <f>IFERROR(VLOOKUP(DATE($K$1,$K$2,EQC$4),Table1[],(MATCH(Calendar!$A6,DB!1:1,0)+2),FALSE),"")</f>
        <v/>
      </c>
      <c r="EQD6" s="27" t="str">
        <f>IFERROR(VLOOKUP(DATE($K$1,$K$2,EQD$4),Table1[],(MATCH(Calendar!$A6,DB!1:1,0)+2),FALSE),"")</f>
        <v/>
      </c>
      <c r="EQE6" s="27" t="str">
        <f>IFERROR(VLOOKUP(DATE($K$1,$K$2,EQE$4),Table1[],(MATCH(Calendar!$A6,DB!1:1,0)+2),FALSE),"")</f>
        <v/>
      </c>
      <c r="EQF6" s="27" t="str">
        <f>IFERROR(VLOOKUP(DATE($K$1,$K$2,EQF$4),Table1[],(MATCH(Calendar!$A6,DB!1:1,0)+2),FALSE),"")</f>
        <v/>
      </c>
      <c r="EQG6" s="27" t="str">
        <f>IFERROR(VLOOKUP(DATE($K$1,$K$2,EQG$4),Table1[],(MATCH(Calendar!$A6,DB!1:1,0)+2),FALSE),"")</f>
        <v/>
      </c>
      <c r="EQH6" s="27" t="str">
        <f>IFERROR(VLOOKUP(DATE($K$1,$K$2,EQH$4),Table1[],(MATCH(Calendar!$A6,DB!1:1,0)+2),FALSE),"")</f>
        <v/>
      </c>
      <c r="EQI6" s="27" t="str">
        <f>IFERROR(VLOOKUP(DATE($K$1,$K$2,EQI$4),Table1[],(MATCH(Calendar!$A6,DB!1:1,0)+2),FALSE),"")</f>
        <v/>
      </c>
      <c r="EQJ6" s="27" t="str">
        <f>IFERROR(VLOOKUP(DATE($K$1,$K$2,EQJ$4),Table1[],(MATCH(Calendar!$A6,DB!1:1,0)+2),FALSE),"")</f>
        <v/>
      </c>
      <c r="EQK6" s="27" t="str">
        <f>IFERROR(VLOOKUP(DATE($K$1,$K$2,EQK$4),Table1[],(MATCH(Calendar!$A6,DB!1:1,0)+2),FALSE),"")</f>
        <v/>
      </c>
      <c r="EQL6" s="27" t="str">
        <f>IFERROR(VLOOKUP(DATE($K$1,$K$2,EQL$4),Table1[],(MATCH(Calendar!$A6,DB!1:1,0)+2),FALSE),"")</f>
        <v/>
      </c>
      <c r="EQM6" s="27" t="str">
        <f>IFERROR(VLOOKUP(DATE($K$1,$K$2,EQM$4),Table1[],(MATCH(Calendar!$A6,DB!1:1,0)+2),FALSE),"")</f>
        <v/>
      </c>
      <c r="EQN6" s="27" t="str">
        <f>IFERROR(VLOOKUP(DATE($K$1,$K$2,EQN$4),Table1[],(MATCH(Calendar!$A6,DB!1:1,0)+2),FALSE),"")</f>
        <v/>
      </c>
      <c r="EQO6" s="27" t="str">
        <f>IFERROR(VLOOKUP(DATE($K$1,$K$2,EQO$4),Table1[],(MATCH(Calendar!$A6,DB!1:1,0)+2),FALSE),"")</f>
        <v/>
      </c>
      <c r="EQP6" s="27" t="str">
        <f>IFERROR(VLOOKUP(DATE($K$1,$K$2,EQP$4),Table1[],(MATCH(Calendar!$A6,DB!1:1,0)+2),FALSE),"")</f>
        <v/>
      </c>
      <c r="EQQ6" s="27" t="str">
        <f>IFERROR(VLOOKUP(DATE($K$1,$K$2,EQQ$4),Table1[],(MATCH(Calendar!$A6,DB!1:1,0)+2),FALSE),"")</f>
        <v/>
      </c>
      <c r="EQR6" s="27" t="str">
        <f>IFERROR(VLOOKUP(DATE($K$1,$K$2,EQR$4),Table1[],(MATCH(Calendar!$A6,DB!1:1,0)+2),FALSE),"")</f>
        <v/>
      </c>
      <c r="EQS6" s="27" t="str">
        <f>IFERROR(VLOOKUP(DATE($K$1,$K$2,EQS$4),Table1[],(MATCH(Calendar!$A6,DB!1:1,0)+2),FALSE),"")</f>
        <v/>
      </c>
      <c r="EQT6" s="27" t="str">
        <f>IFERROR(VLOOKUP(DATE($K$1,$K$2,EQT$4),Table1[],(MATCH(Calendar!$A6,DB!1:1,0)+2),FALSE),"")</f>
        <v/>
      </c>
      <c r="EQU6" s="27" t="str">
        <f>IFERROR(VLOOKUP(DATE($K$1,$K$2,EQU$4),Table1[],(MATCH(Calendar!$A6,DB!1:1,0)+2),FALSE),"")</f>
        <v/>
      </c>
      <c r="EQV6" s="27" t="str">
        <f>IFERROR(VLOOKUP(DATE($K$1,$K$2,EQV$4),Table1[],(MATCH(Calendar!$A6,DB!1:1,0)+2),FALSE),"")</f>
        <v/>
      </c>
      <c r="EQW6" s="27" t="str">
        <f>IFERROR(VLOOKUP(DATE($K$1,$K$2,EQW$4),Table1[],(MATCH(Calendar!$A6,DB!1:1,0)+2),FALSE),"")</f>
        <v/>
      </c>
      <c r="EQX6" s="27" t="str">
        <f>IFERROR(VLOOKUP(DATE($K$1,$K$2,EQX$4),Table1[],(MATCH(Calendar!$A6,DB!1:1,0)+2),FALSE),"")</f>
        <v/>
      </c>
      <c r="EQY6" s="27" t="str">
        <f>IFERROR(VLOOKUP(DATE($K$1,$K$2,EQY$4),Table1[],(MATCH(Calendar!$A6,DB!1:1,0)+2),FALSE),"")</f>
        <v/>
      </c>
      <c r="EQZ6" s="27" t="str">
        <f>IFERROR(VLOOKUP(DATE($K$1,$K$2,EQZ$4),Table1[],(MATCH(Calendar!$A6,DB!1:1,0)+2),FALSE),"")</f>
        <v/>
      </c>
      <c r="ERA6" s="27" t="str">
        <f>IFERROR(VLOOKUP(DATE($K$1,$K$2,ERA$4),Table1[],(MATCH(Calendar!$A6,DB!1:1,0)+2),FALSE),"")</f>
        <v/>
      </c>
      <c r="ERB6" s="27" t="str">
        <f>IFERROR(VLOOKUP(DATE($K$1,$K$2,ERB$4),Table1[],(MATCH(Calendar!$A6,DB!1:1,0)+2),FALSE),"")</f>
        <v/>
      </c>
      <c r="ERC6" s="27" t="str">
        <f>IFERROR(VLOOKUP(DATE($K$1,$K$2,ERC$4),Table1[],(MATCH(Calendar!$A6,DB!1:1,0)+2),FALSE),"")</f>
        <v/>
      </c>
      <c r="ERD6" s="27" t="str">
        <f>IFERROR(VLOOKUP(DATE($K$1,$K$2,ERD$4),Table1[],(MATCH(Calendar!$A6,DB!1:1,0)+2),FALSE),"")</f>
        <v/>
      </c>
      <c r="ERE6" s="27" t="str">
        <f>IFERROR(VLOOKUP(DATE($K$1,$K$2,ERE$4),Table1[],(MATCH(Calendar!$A6,DB!1:1,0)+2),FALSE),"")</f>
        <v/>
      </c>
      <c r="ERF6" s="27" t="str">
        <f>IFERROR(VLOOKUP(DATE($K$1,$K$2,ERF$4),Table1[],(MATCH(Calendar!$A6,DB!1:1,0)+2),FALSE),"")</f>
        <v/>
      </c>
      <c r="ERG6" s="27" t="str">
        <f>IFERROR(VLOOKUP(DATE($K$1,$K$2,ERG$4),Table1[],(MATCH(Calendar!$A6,DB!1:1,0)+2),FALSE),"")</f>
        <v/>
      </c>
      <c r="ERH6" s="27" t="str">
        <f>IFERROR(VLOOKUP(DATE($K$1,$K$2,ERH$4),Table1[],(MATCH(Calendar!$A6,DB!1:1,0)+2),FALSE),"")</f>
        <v/>
      </c>
      <c r="ERI6" s="27" t="str">
        <f>IFERROR(VLOOKUP(DATE($K$1,$K$2,ERI$4),Table1[],(MATCH(Calendar!$A6,DB!1:1,0)+2),FALSE),"")</f>
        <v/>
      </c>
      <c r="ERJ6" s="27" t="str">
        <f>IFERROR(VLOOKUP(DATE($K$1,$K$2,ERJ$4),Table1[],(MATCH(Calendar!$A6,DB!1:1,0)+2),FALSE),"")</f>
        <v/>
      </c>
      <c r="ERK6" s="27" t="str">
        <f>IFERROR(VLOOKUP(DATE($K$1,$K$2,ERK$4),Table1[],(MATCH(Calendar!$A6,DB!1:1,0)+2),FALSE),"")</f>
        <v/>
      </c>
      <c r="ERL6" s="27" t="str">
        <f>IFERROR(VLOOKUP(DATE($K$1,$K$2,ERL$4),Table1[],(MATCH(Calendar!$A6,DB!1:1,0)+2),FALSE),"")</f>
        <v/>
      </c>
      <c r="ERM6" s="27" t="str">
        <f>IFERROR(VLOOKUP(DATE($K$1,$K$2,ERM$4),Table1[],(MATCH(Calendar!$A6,DB!1:1,0)+2),FALSE),"")</f>
        <v/>
      </c>
      <c r="ERN6" s="27" t="str">
        <f>IFERROR(VLOOKUP(DATE($K$1,$K$2,ERN$4),Table1[],(MATCH(Calendar!$A6,DB!1:1,0)+2),FALSE),"")</f>
        <v/>
      </c>
      <c r="ERO6" s="27" t="str">
        <f>IFERROR(VLOOKUP(DATE($K$1,$K$2,ERO$4),Table1[],(MATCH(Calendar!$A6,DB!1:1,0)+2),FALSE),"")</f>
        <v/>
      </c>
      <c r="ERP6" s="27" t="str">
        <f>IFERROR(VLOOKUP(DATE($K$1,$K$2,ERP$4),Table1[],(MATCH(Calendar!$A6,DB!1:1,0)+2),FALSE),"")</f>
        <v/>
      </c>
      <c r="ERQ6" s="27" t="str">
        <f>IFERROR(VLOOKUP(DATE($K$1,$K$2,ERQ$4),Table1[],(MATCH(Calendar!$A6,DB!1:1,0)+2),FALSE),"")</f>
        <v/>
      </c>
      <c r="ERR6" s="27" t="str">
        <f>IFERROR(VLOOKUP(DATE($K$1,$K$2,ERR$4),Table1[],(MATCH(Calendar!$A6,DB!1:1,0)+2),FALSE),"")</f>
        <v/>
      </c>
      <c r="ERS6" s="27" t="str">
        <f>IFERROR(VLOOKUP(DATE($K$1,$K$2,ERS$4),Table1[],(MATCH(Calendar!$A6,DB!1:1,0)+2),FALSE),"")</f>
        <v/>
      </c>
      <c r="ERT6" s="27" t="str">
        <f>IFERROR(VLOOKUP(DATE($K$1,$K$2,ERT$4),Table1[],(MATCH(Calendar!$A6,DB!1:1,0)+2),FALSE),"")</f>
        <v/>
      </c>
      <c r="ERU6" s="27" t="str">
        <f>IFERROR(VLOOKUP(DATE($K$1,$K$2,ERU$4),Table1[],(MATCH(Calendar!$A6,DB!1:1,0)+2),FALSE),"")</f>
        <v/>
      </c>
      <c r="ERV6" s="27" t="str">
        <f>IFERROR(VLOOKUP(DATE($K$1,$K$2,ERV$4),Table1[],(MATCH(Calendar!$A6,DB!1:1,0)+2),FALSE),"")</f>
        <v/>
      </c>
      <c r="ERW6" s="27" t="str">
        <f>IFERROR(VLOOKUP(DATE($K$1,$K$2,ERW$4),Table1[],(MATCH(Calendar!$A6,DB!1:1,0)+2),FALSE),"")</f>
        <v/>
      </c>
      <c r="ERX6" s="27" t="str">
        <f>IFERROR(VLOOKUP(DATE($K$1,$K$2,ERX$4),Table1[],(MATCH(Calendar!$A6,DB!1:1,0)+2),FALSE),"")</f>
        <v/>
      </c>
      <c r="ERY6" s="27" t="str">
        <f>IFERROR(VLOOKUP(DATE($K$1,$K$2,ERY$4),Table1[],(MATCH(Calendar!$A6,DB!1:1,0)+2),FALSE),"")</f>
        <v/>
      </c>
      <c r="ERZ6" s="27" t="str">
        <f>IFERROR(VLOOKUP(DATE($K$1,$K$2,ERZ$4),Table1[],(MATCH(Calendar!$A6,DB!1:1,0)+2),FALSE),"")</f>
        <v/>
      </c>
      <c r="ESA6" s="27" t="str">
        <f>IFERROR(VLOOKUP(DATE($K$1,$K$2,ESA$4),Table1[],(MATCH(Calendar!$A6,DB!1:1,0)+2),FALSE),"")</f>
        <v/>
      </c>
      <c r="ESB6" s="27" t="str">
        <f>IFERROR(VLOOKUP(DATE($K$1,$K$2,ESB$4),Table1[],(MATCH(Calendar!$A6,DB!1:1,0)+2),FALSE),"")</f>
        <v/>
      </c>
      <c r="ESC6" s="27" t="str">
        <f>IFERROR(VLOOKUP(DATE($K$1,$K$2,ESC$4),Table1[],(MATCH(Calendar!$A6,DB!1:1,0)+2),FALSE),"")</f>
        <v/>
      </c>
      <c r="ESD6" s="27" t="str">
        <f>IFERROR(VLOOKUP(DATE($K$1,$K$2,ESD$4),Table1[],(MATCH(Calendar!$A6,DB!1:1,0)+2),FALSE),"")</f>
        <v/>
      </c>
      <c r="ESE6" s="27" t="str">
        <f>IFERROR(VLOOKUP(DATE($K$1,$K$2,ESE$4),Table1[],(MATCH(Calendar!$A6,DB!1:1,0)+2),FALSE),"")</f>
        <v/>
      </c>
      <c r="ESF6" s="27" t="str">
        <f>IFERROR(VLOOKUP(DATE($K$1,$K$2,ESF$4),Table1[],(MATCH(Calendar!$A6,DB!1:1,0)+2),FALSE),"")</f>
        <v/>
      </c>
      <c r="ESG6" s="27" t="str">
        <f>IFERROR(VLOOKUP(DATE($K$1,$K$2,ESG$4),Table1[],(MATCH(Calendar!$A6,DB!1:1,0)+2),FALSE),"")</f>
        <v/>
      </c>
      <c r="ESH6" s="27" t="str">
        <f>IFERROR(VLOOKUP(DATE($K$1,$K$2,ESH$4),Table1[],(MATCH(Calendar!$A6,DB!1:1,0)+2),FALSE),"")</f>
        <v/>
      </c>
      <c r="ESI6" s="27" t="str">
        <f>IFERROR(VLOOKUP(DATE($K$1,$K$2,ESI$4),Table1[],(MATCH(Calendar!$A6,DB!1:1,0)+2),FALSE),"")</f>
        <v/>
      </c>
      <c r="ESJ6" s="27" t="str">
        <f>IFERROR(VLOOKUP(DATE($K$1,$K$2,ESJ$4),Table1[],(MATCH(Calendar!$A6,DB!1:1,0)+2),FALSE),"")</f>
        <v/>
      </c>
      <c r="ESK6" s="27" t="str">
        <f>IFERROR(VLOOKUP(DATE($K$1,$K$2,ESK$4),Table1[],(MATCH(Calendar!$A6,DB!1:1,0)+2),FALSE),"")</f>
        <v/>
      </c>
      <c r="ESL6" s="27" t="str">
        <f>IFERROR(VLOOKUP(DATE($K$1,$K$2,ESL$4),Table1[],(MATCH(Calendar!$A6,DB!1:1,0)+2),FALSE),"")</f>
        <v/>
      </c>
      <c r="ESM6" s="27" t="str">
        <f>IFERROR(VLOOKUP(DATE($K$1,$K$2,ESM$4),Table1[],(MATCH(Calendar!$A6,DB!1:1,0)+2),FALSE),"")</f>
        <v/>
      </c>
      <c r="ESN6" s="27" t="str">
        <f>IFERROR(VLOOKUP(DATE($K$1,$K$2,ESN$4),Table1[],(MATCH(Calendar!$A6,DB!1:1,0)+2),FALSE),"")</f>
        <v/>
      </c>
      <c r="ESO6" s="27" t="str">
        <f>IFERROR(VLOOKUP(DATE($K$1,$K$2,ESO$4),Table1[],(MATCH(Calendar!$A6,DB!1:1,0)+2),FALSE),"")</f>
        <v/>
      </c>
      <c r="ESP6" s="27" t="str">
        <f>IFERROR(VLOOKUP(DATE($K$1,$K$2,ESP$4),Table1[],(MATCH(Calendar!$A6,DB!1:1,0)+2),FALSE),"")</f>
        <v/>
      </c>
      <c r="ESQ6" s="27" t="str">
        <f>IFERROR(VLOOKUP(DATE($K$1,$K$2,ESQ$4),Table1[],(MATCH(Calendar!$A6,DB!1:1,0)+2),FALSE),"")</f>
        <v/>
      </c>
      <c r="ESR6" s="27" t="str">
        <f>IFERROR(VLOOKUP(DATE($K$1,$K$2,ESR$4),Table1[],(MATCH(Calendar!$A6,DB!1:1,0)+2),FALSE),"")</f>
        <v/>
      </c>
      <c r="ESS6" s="27" t="str">
        <f>IFERROR(VLOOKUP(DATE($K$1,$K$2,ESS$4),Table1[],(MATCH(Calendar!$A6,DB!1:1,0)+2),FALSE),"")</f>
        <v/>
      </c>
      <c r="EST6" s="27" t="str">
        <f>IFERROR(VLOOKUP(DATE($K$1,$K$2,EST$4),Table1[],(MATCH(Calendar!$A6,DB!1:1,0)+2),FALSE),"")</f>
        <v/>
      </c>
      <c r="ESU6" s="27" t="str">
        <f>IFERROR(VLOOKUP(DATE($K$1,$K$2,ESU$4),Table1[],(MATCH(Calendar!$A6,DB!1:1,0)+2),FALSE),"")</f>
        <v/>
      </c>
      <c r="ESV6" s="27" t="str">
        <f>IFERROR(VLOOKUP(DATE($K$1,$K$2,ESV$4),Table1[],(MATCH(Calendar!$A6,DB!1:1,0)+2),FALSE),"")</f>
        <v/>
      </c>
      <c r="ESW6" s="27" t="str">
        <f>IFERROR(VLOOKUP(DATE($K$1,$K$2,ESW$4),Table1[],(MATCH(Calendar!$A6,DB!1:1,0)+2),FALSE),"")</f>
        <v/>
      </c>
      <c r="ESX6" s="27" t="str">
        <f>IFERROR(VLOOKUP(DATE($K$1,$K$2,ESX$4),Table1[],(MATCH(Calendar!$A6,DB!1:1,0)+2),FALSE),"")</f>
        <v/>
      </c>
      <c r="ESY6" s="27" t="str">
        <f>IFERROR(VLOOKUP(DATE($K$1,$K$2,ESY$4),Table1[],(MATCH(Calendar!$A6,DB!1:1,0)+2),FALSE),"")</f>
        <v/>
      </c>
      <c r="ESZ6" s="27" t="str">
        <f>IFERROR(VLOOKUP(DATE($K$1,$K$2,ESZ$4),Table1[],(MATCH(Calendar!$A6,DB!1:1,0)+2),FALSE),"")</f>
        <v/>
      </c>
      <c r="ETA6" s="27" t="str">
        <f>IFERROR(VLOOKUP(DATE($K$1,$K$2,ETA$4),Table1[],(MATCH(Calendar!$A6,DB!1:1,0)+2),FALSE),"")</f>
        <v/>
      </c>
      <c r="ETB6" s="27" t="str">
        <f>IFERROR(VLOOKUP(DATE($K$1,$K$2,ETB$4),Table1[],(MATCH(Calendar!$A6,DB!1:1,0)+2),FALSE),"")</f>
        <v/>
      </c>
      <c r="ETC6" s="27" t="str">
        <f>IFERROR(VLOOKUP(DATE($K$1,$K$2,ETC$4),Table1[],(MATCH(Calendar!$A6,DB!1:1,0)+2),FALSE),"")</f>
        <v/>
      </c>
      <c r="ETD6" s="27" t="str">
        <f>IFERROR(VLOOKUP(DATE($K$1,$K$2,ETD$4),Table1[],(MATCH(Calendar!$A6,DB!1:1,0)+2),FALSE),"")</f>
        <v/>
      </c>
      <c r="ETE6" s="27" t="str">
        <f>IFERROR(VLOOKUP(DATE($K$1,$K$2,ETE$4),Table1[],(MATCH(Calendar!$A6,DB!1:1,0)+2),FALSE),"")</f>
        <v/>
      </c>
      <c r="ETF6" s="27" t="str">
        <f>IFERROR(VLOOKUP(DATE($K$1,$K$2,ETF$4),Table1[],(MATCH(Calendar!$A6,DB!1:1,0)+2),FALSE),"")</f>
        <v/>
      </c>
      <c r="ETG6" s="27" t="str">
        <f>IFERROR(VLOOKUP(DATE($K$1,$K$2,ETG$4),Table1[],(MATCH(Calendar!$A6,DB!1:1,0)+2),FALSE),"")</f>
        <v/>
      </c>
      <c r="ETH6" s="27" t="str">
        <f>IFERROR(VLOOKUP(DATE($K$1,$K$2,ETH$4),Table1[],(MATCH(Calendar!$A6,DB!1:1,0)+2),FALSE),"")</f>
        <v/>
      </c>
      <c r="ETI6" s="27" t="str">
        <f>IFERROR(VLOOKUP(DATE($K$1,$K$2,ETI$4),Table1[],(MATCH(Calendar!$A6,DB!1:1,0)+2),FALSE),"")</f>
        <v/>
      </c>
      <c r="ETJ6" s="27" t="str">
        <f>IFERROR(VLOOKUP(DATE($K$1,$K$2,ETJ$4),Table1[],(MATCH(Calendar!$A6,DB!1:1,0)+2),FALSE),"")</f>
        <v/>
      </c>
      <c r="ETK6" s="27" t="str">
        <f>IFERROR(VLOOKUP(DATE($K$1,$K$2,ETK$4),Table1[],(MATCH(Calendar!$A6,DB!1:1,0)+2),FALSE),"")</f>
        <v/>
      </c>
      <c r="ETL6" s="27" t="str">
        <f>IFERROR(VLOOKUP(DATE($K$1,$K$2,ETL$4),Table1[],(MATCH(Calendar!$A6,DB!1:1,0)+2),FALSE),"")</f>
        <v/>
      </c>
      <c r="ETM6" s="27" t="str">
        <f>IFERROR(VLOOKUP(DATE($K$1,$K$2,ETM$4),Table1[],(MATCH(Calendar!$A6,DB!1:1,0)+2),FALSE),"")</f>
        <v/>
      </c>
      <c r="ETN6" s="27" t="str">
        <f>IFERROR(VLOOKUP(DATE($K$1,$K$2,ETN$4),Table1[],(MATCH(Calendar!$A6,DB!1:1,0)+2),FALSE),"")</f>
        <v/>
      </c>
      <c r="ETO6" s="27" t="str">
        <f>IFERROR(VLOOKUP(DATE($K$1,$K$2,ETO$4),Table1[],(MATCH(Calendar!$A6,DB!1:1,0)+2),FALSE),"")</f>
        <v/>
      </c>
      <c r="ETP6" s="27" t="str">
        <f>IFERROR(VLOOKUP(DATE($K$1,$K$2,ETP$4),Table1[],(MATCH(Calendar!$A6,DB!1:1,0)+2),FALSE),"")</f>
        <v/>
      </c>
      <c r="ETQ6" s="27" t="str">
        <f>IFERROR(VLOOKUP(DATE($K$1,$K$2,ETQ$4),Table1[],(MATCH(Calendar!$A6,DB!1:1,0)+2),FALSE),"")</f>
        <v/>
      </c>
      <c r="ETR6" s="27" t="str">
        <f>IFERROR(VLOOKUP(DATE($K$1,$K$2,ETR$4),Table1[],(MATCH(Calendar!$A6,DB!1:1,0)+2),FALSE),"")</f>
        <v/>
      </c>
      <c r="ETS6" s="27" t="str">
        <f>IFERROR(VLOOKUP(DATE($K$1,$K$2,ETS$4),Table1[],(MATCH(Calendar!$A6,DB!1:1,0)+2),FALSE),"")</f>
        <v/>
      </c>
      <c r="ETT6" s="27" t="str">
        <f>IFERROR(VLOOKUP(DATE($K$1,$K$2,ETT$4),Table1[],(MATCH(Calendar!$A6,DB!1:1,0)+2),FALSE),"")</f>
        <v/>
      </c>
      <c r="ETU6" s="27" t="str">
        <f>IFERROR(VLOOKUP(DATE($K$1,$K$2,ETU$4),Table1[],(MATCH(Calendar!$A6,DB!1:1,0)+2),FALSE),"")</f>
        <v/>
      </c>
      <c r="ETV6" s="27" t="str">
        <f>IFERROR(VLOOKUP(DATE($K$1,$K$2,ETV$4),Table1[],(MATCH(Calendar!$A6,DB!1:1,0)+2),FALSE),"")</f>
        <v/>
      </c>
      <c r="ETW6" s="27" t="str">
        <f>IFERROR(VLOOKUP(DATE($K$1,$K$2,ETW$4),Table1[],(MATCH(Calendar!$A6,DB!1:1,0)+2),FALSE),"")</f>
        <v/>
      </c>
      <c r="ETX6" s="27" t="str">
        <f>IFERROR(VLOOKUP(DATE($K$1,$K$2,ETX$4),Table1[],(MATCH(Calendar!$A6,DB!1:1,0)+2),FALSE),"")</f>
        <v/>
      </c>
      <c r="ETY6" s="27" t="str">
        <f>IFERROR(VLOOKUP(DATE($K$1,$K$2,ETY$4),Table1[],(MATCH(Calendar!$A6,DB!1:1,0)+2),FALSE),"")</f>
        <v/>
      </c>
      <c r="ETZ6" s="27" t="str">
        <f>IFERROR(VLOOKUP(DATE($K$1,$K$2,ETZ$4),Table1[],(MATCH(Calendar!$A6,DB!1:1,0)+2),FALSE),"")</f>
        <v/>
      </c>
      <c r="EUA6" s="27" t="str">
        <f>IFERROR(VLOOKUP(DATE($K$1,$K$2,EUA$4),Table1[],(MATCH(Calendar!$A6,DB!1:1,0)+2),FALSE),"")</f>
        <v/>
      </c>
      <c r="EUB6" s="27" t="str">
        <f>IFERROR(VLOOKUP(DATE($K$1,$K$2,EUB$4),Table1[],(MATCH(Calendar!$A6,DB!1:1,0)+2),FALSE),"")</f>
        <v/>
      </c>
      <c r="EUC6" s="27" t="str">
        <f>IFERROR(VLOOKUP(DATE($K$1,$K$2,EUC$4),Table1[],(MATCH(Calendar!$A6,DB!1:1,0)+2),FALSE),"")</f>
        <v/>
      </c>
      <c r="EUD6" s="27" t="str">
        <f>IFERROR(VLOOKUP(DATE($K$1,$K$2,EUD$4),Table1[],(MATCH(Calendar!$A6,DB!1:1,0)+2),FALSE),"")</f>
        <v/>
      </c>
      <c r="EUE6" s="27" t="str">
        <f>IFERROR(VLOOKUP(DATE($K$1,$K$2,EUE$4),Table1[],(MATCH(Calendar!$A6,DB!1:1,0)+2),FALSE),"")</f>
        <v/>
      </c>
      <c r="EUF6" s="27" t="str">
        <f>IFERROR(VLOOKUP(DATE($K$1,$K$2,EUF$4),Table1[],(MATCH(Calendar!$A6,DB!1:1,0)+2),FALSE),"")</f>
        <v/>
      </c>
      <c r="EUG6" s="27" t="str">
        <f>IFERROR(VLOOKUP(DATE($K$1,$K$2,EUG$4),Table1[],(MATCH(Calendar!$A6,DB!1:1,0)+2),FALSE),"")</f>
        <v/>
      </c>
      <c r="EUH6" s="27" t="str">
        <f>IFERROR(VLOOKUP(DATE($K$1,$K$2,EUH$4),Table1[],(MATCH(Calendar!$A6,DB!1:1,0)+2),FALSE),"")</f>
        <v/>
      </c>
      <c r="EUI6" s="27" t="str">
        <f>IFERROR(VLOOKUP(DATE($K$1,$K$2,EUI$4),Table1[],(MATCH(Calendar!$A6,DB!1:1,0)+2),FALSE),"")</f>
        <v/>
      </c>
      <c r="EUJ6" s="27" t="str">
        <f>IFERROR(VLOOKUP(DATE($K$1,$K$2,EUJ$4),Table1[],(MATCH(Calendar!$A6,DB!1:1,0)+2),FALSE),"")</f>
        <v/>
      </c>
      <c r="EUK6" s="27" t="str">
        <f>IFERROR(VLOOKUP(DATE($K$1,$K$2,EUK$4),Table1[],(MATCH(Calendar!$A6,DB!1:1,0)+2),FALSE),"")</f>
        <v/>
      </c>
      <c r="EUL6" s="27" t="str">
        <f>IFERROR(VLOOKUP(DATE($K$1,$K$2,EUL$4),Table1[],(MATCH(Calendar!$A6,DB!1:1,0)+2),FALSE),"")</f>
        <v/>
      </c>
      <c r="EUM6" s="27" t="str">
        <f>IFERROR(VLOOKUP(DATE($K$1,$K$2,EUM$4),Table1[],(MATCH(Calendar!$A6,DB!1:1,0)+2),FALSE),"")</f>
        <v/>
      </c>
      <c r="EUN6" s="27" t="str">
        <f>IFERROR(VLOOKUP(DATE($K$1,$K$2,EUN$4),Table1[],(MATCH(Calendar!$A6,DB!1:1,0)+2),FALSE),"")</f>
        <v/>
      </c>
      <c r="EUO6" s="27" t="str">
        <f>IFERROR(VLOOKUP(DATE($K$1,$K$2,EUO$4),Table1[],(MATCH(Calendar!$A6,DB!1:1,0)+2),FALSE),"")</f>
        <v/>
      </c>
      <c r="EUP6" s="27" t="str">
        <f>IFERROR(VLOOKUP(DATE($K$1,$K$2,EUP$4),Table1[],(MATCH(Calendar!$A6,DB!1:1,0)+2),FALSE),"")</f>
        <v/>
      </c>
      <c r="EUQ6" s="27" t="str">
        <f>IFERROR(VLOOKUP(DATE($K$1,$K$2,EUQ$4),Table1[],(MATCH(Calendar!$A6,DB!1:1,0)+2),FALSE),"")</f>
        <v/>
      </c>
      <c r="EUR6" s="27" t="str">
        <f>IFERROR(VLOOKUP(DATE($K$1,$K$2,EUR$4),Table1[],(MATCH(Calendar!$A6,DB!1:1,0)+2),FALSE),"")</f>
        <v/>
      </c>
      <c r="EUS6" s="27" t="str">
        <f>IFERROR(VLOOKUP(DATE($K$1,$K$2,EUS$4),Table1[],(MATCH(Calendar!$A6,DB!1:1,0)+2),FALSE),"")</f>
        <v/>
      </c>
      <c r="EUT6" s="27" t="str">
        <f>IFERROR(VLOOKUP(DATE($K$1,$K$2,EUT$4),Table1[],(MATCH(Calendar!$A6,DB!1:1,0)+2),FALSE),"")</f>
        <v/>
      </c>
      <c r="EUU6" s="27" t="str">
        <f>IFERROR(VLOOKUP(DATE($K$1,$K$2,EUU$4),Table1[],(MATCH(Calendar!$A6,DB!1:1,0)+2),FALSE),"")</f>
        <v/>
      </c>
      <c r="EUV6" s="27" t="str">
        <f>IFERROR(VLOOKUP(DATE($K$1,$K$2,EUV$4),Table1[],(MATCH(Calendar!$A6,DB!1:1,0)+2),FALSE),"")</f>
        <v/>
      </c>
      <c r="EUW6" s="27" t="str">
        <f>IFERROR(VLOOKUP(DATE($K$1,$K$2,EUW$4),Table1[],(MATCH(Calendar!$A6,DB!1:1,0)+2),FALSE),"")</f>
        <v/>
      </c>
      <c r="EUX6" s="27" t="str">
        <f>IFERROR(VLOOKUP(DATE($K$1,$K$2,EUX$4),Table1[],(MATCH(Calendar!$A6,DB!1:1,0)+2),FALSE),"")</f>
        <v/>
      </c>
      <c r="EUY6" s="27" t="str">
        <f>IFERROR(VLOOKUP(DATE($K$1,$K$2,EUY$4),Table1[],(MATCH(Calendar!$A6,DB!1:1,0)+2),FALSE),"")</f>
        <v/>
      </c>
      <c r="EUZ6" s="27" t="str">
        <f>IFERROR(VLOOKUP(DATE($K$1,$K$2,EUZ$4),Table1[],(MATCH(Calendar!$A6,DB!1:1,0)+2),FALSE),"")</f>
        <v/>
      </c>
      <c r="EVA6" s="27" t="str">
        <f>IFERROR(VLOOKUP(DATE($K$1,$K$2,EVA$4),Table1[],(MATCH(Calendar!$A6,DB!1:1,0)+2),FALSE),"")</f>
        <v/>
      </c>
      <c r="EVB6" s="27" t="str">
        <f>IFERROR(VLOOKUP(DATE($K$1,$K$2,EVB$4),Table1[],(MATCH(Calendar!$A6,DB!1:1,0)+2),FALSE),"")</f>
        <v/>
      </c>
      <c r="EVC6" s="27" t="str">
        <f>IFERROR(VLOOKUP(DATE($K$1,$K$2,EVC$4),Table1[],(MATCH(Calendar!$A6,DB!1:1,0)+2),FALSE),"")</f>
        <v/>
      </c>
      <c r="EVD6" s="27" t="str">
        <f>IFERROR(VLOOKUP(DATE($K$1,$K$2,EVD$4),Table1[],(MATCH(Calendar!$A6,DB!1:1,0)+2),FALSE),"")</f>
        <v/>
      </c>
      <c r="EVE6" s="27" t="str">
        <f>IFERROR(VLOOKUP(DATE($K$1,$K$2,EVE$4),Table1[],(MATCH(Calendar!$A6,DB!1:1,0)+2),FALSE),"")</f>
        <v/>
      </c>
      <c r="EVF6" s="27" t="str">
        <f>IFERROR(VLOOKUP(DATE($K$1,$K$2,EVF$4),Table1[],(MATCH(Calendar!$A6,DB!1:1,0)+2),FALSE),"")</f>
        <v/>
      </c>
      <c r="EVG6" s="27" t="str">
        <f>IFERROR(VLOOKUP(DATE($K$1,$K$2,EVG$4),Table1[],(MATCH(Calendar!$A6,DB!1:1,0)+2),FALSE),"")</f>
        <v/>
      </c>
      <c r="EVH6" s="27" t="str">
        <f>IFERROR(VLOOKUP(DATE($K$1,$K$2,EVH$4),Table1[],(MATCH(Calendar!$A6,DB!1:1,0)+2),FALSE),"")</f>
        <v/>
      </c>
      <c r="EVI6" s="27" t="str">
        <f>IFERROR(VLOOKUP(DATE($K$1,$K$2,EVI$4),Table1[],(MATCH(Calendar!$A6,DB!1:1,0)+2),FALSE),"")</f>
        <v/>
      </c>
      <c r="EVJ6" s="27" t="str">
        <f>IFERROR(VLOOKUP(DATE($K$1,$K$2,EVJ$4),Table1[],(MATCH(Calendar!$A6,DB!1:1,0)+2),FALSE),"")</f>
        <v/>
      </c>
      <c r="EVK6" s="27" t="str">
        <f>IFERROR(VLOOKUP(DATE($K$1,$K$2,EVK$4),Table1[],(MATCH(Calendar!$A6,DB!1:1,0)+2),FALSE),"")</f>
        <v/>
      </c>
      <c r="EVL6" s="27" t="str">
        <f>IFERROR(VLOOKUP(DATE($K$1,$K$2,EVL$4),Table1[],(MATCH(Calendar!$A6,DB!1:1,0)+2),FALSE),"")</f>
        <v/>
      </c>
      <c r="EVM6" s="27" t="str">
        <f>IFERROR(VLOOKUP(DATE($K$1,$K$2,EVM$4),Table1[],(MATCH(Calendar!$A6,DB!1:1,0)+2),FALSE),"")</f>
        <v/>
      </c>
      <c r="EVN6" s="27" t="str">
        <f>IFERROR(VLOOKUP(DATE($K$1,$K$2,EVN$4),Table1[],(MATCH(Calendar!$A6,DB!1:1,0)+2),FALSE),"")</f>
        <v/>
      </c>
      <c r="EVO6" s="27" t="str">
        <f>IFERROR(VLOOKUP(DATE($K$1,$K$2,EVO$4),Table1[],(MATCH(Calendar!$A6,DB!1:1,0)+2),FALSE),"")</f>
        <v/>
      </c>
      <c r="EVP6" s="27" t="str">
        <f>IFERROR(VLOOKUP(DATE($K$1,$K$2,EVP$4),Table1[],(MATCH(Calendar!$A6,DB!1:1,0)+2),FALSE),"")</f>
        <v/>
      </c>
      <c r="EVQ6" s="27" t="str">
        <f>IFERROR(VLOOKUP(DATE($K$1,$K$2,EVQ$4),Table1[],(MATCH(Calendar!$A6,DB!1:1,0)+2),FALSE),"")</f>
        <v/>
      </c>
      <c r="EVR6" s="27" t="str">
        <f>IFERROR(VLOOKUP(DATE($K$1,$K$2,EVR$4),Table1[],(MATCH(Calendar!$A6,DB!1:1,0)+2),FALSE),"")</f>
        <v/>
      </c>
      <c r="EVS6" s="27" t="str">
        <f>IFERROR(VLOOKUP(DATE($K$1,$K$2,EVS$4),Table1[],(MATCH(Calendar!$A6,DB!1:1,0)+2),FALSE),"")</f>
        <v/>
      </c>
      <c r="EVT6" s="27" t="str">
        <f>IFERROR(VLOOKUP(DATE($K$1,$K$2,EVT$4),Table1[],(MATCH(Calendar!$A6,DB!1:1,0)+2),FALSE),"")</f>
        <v/>
      </c>
      <c r="EVU6" s="27" t="str">
        <f>IFERROR(VLOOKUP(DATE($K$1,$K$2,EVU$4),Table1[],(MATCH(Calendar!$A6,DB!1:1,0)+2),FALSE),"")</f>
        <v/>
      </c>
      <c r="EVV6" s="27" t="str">
        <f>IFERROR(VLOOKUP(DATE($K$1,$K$2,EVV$4),Table1[],(MATCH(Calendar!$A6,DB!1:1,0)+2),FALSE),"")</f>
        <v/>
      </c>
      <c r="EVW6" s="27" t="str">
        <f>IFERROR(VLOOKUP(DATE($K$1,$K$2,EVW$4),Table1[],(MATCH(Calendar!$A6,DB!1:1,0)+2),FALSE),"")</f>
        <v/>
      </c>
      <c r="EVX6" s="27" t="str">
        <f>IFERROR(VLOOKUP(DATE($K$1,$K$2,EVX$4),Table1[],(MATCH(Calendar!$A6,DB!1:1,0)+2),FALSE),"")</f>
        <v/>
      </c>
      <c r="EVY6" s="27" t="str">
        <f>IFERROR(VLOOKUP(DATE($K$1,$K$2,EVY$4),Table1[],(MATCH(Calendar!$A6,DB!1:1,0)+2),FALSE),"")</f>
        <v/>
      </c>
      <c r="EVZ6" s="27" t="str">
        <f>IFERROR(VLOOKUP(DATE($K$1,$K$2,EVZ$4),Table1[],(MATCH(Calendar!$A6,DB!1:1,0)+2),FALSE),"")</f>
        <v/>
      </c>
      <c r="EWA6" s="27" t="str">
        <f>IFERROR(VLOOKUP(DATE($K$1,$K$2,EWA$4),Table1[],(MATCH(Calendar!$A6,DB!1:1,0)+2),FALSE),"")</f>
        <v/>
      </c>
      <c r="EWB6" s="27" t="str">
        <f>IFERROR(VLOOKUP(DATE($K$1,$K$2,EWB$4),Table1[],(MATCH(Calendar!$A6,DB!1:1,0)+2),FALSE),"")</f>
        <v/>
      </c>
      <c r="EWC6" s="27" t="str">
        <f>IFERROR(VLOOKUP(DATE($K$1,$K$2,EWC$4),Table1[],(MATCH(Calendar!$A6,DB!1:1,0)+2),FALSE),"")</f>
        <v/>
      </c>
      <c r="EWD6" s="27" t="str">
        <f>IFERROR(VLOOKUP(DATE($K$1,$K$2,EWD$4),Table1[],(MATCH(Calendar!$A6,DB!1:1,0)+2),FALSE),"")</f>
        <v/>
      </c>
      <c r="EWE6" s="27" t="str">
        <f>IFERROR(VLOOKUP(DATE($K$1,$K$2,EWE$4),Table1[],(MATCH(Calendar!$A6,DB!1:1,0)+2),FALSE),"")</f>
        <v/>
      </c>
      <c r="EWF6" s="27" t="str">
        <f>IFERROR(VLOOKUP(DATE($K$1,$K$2,EWF$4),Table1[],(MATCH(Calendar!$A6,DB!1:1,0)+2),FALSE),"")</f>
        <v/>
      </c>
      <c r="EWG6" s="27" t="str">
        <f>IFERROR(VLOOKUP(DATE($K$1,$K$2,EWG$4),Table1[],(MATCH(Calendar!$A6,DB!1:1,0)+2),FALSE),"")</f>
        <v/>
      </c>
      <c r="EWH6" s="27" t="str">
        <f>IFERROR(VLOOKUP(DATE($K$1,$K$2,EWH$4),Table1[],(MATCH(Calendar!$A6,DB!1:1,0)+2),FALSE),"")</f>
        <v/>
      </c>
      <c r="EWI6" s="27" t="str">
        <f>IFERROR(VLOOKUP(DATE($K$1,$K$2,EWI$4),Table1[],(MATCH(Calendar!$A6,DB!1:1,0)+2),FALSE),"")</f>
        <v/>
      </c>
      <c r="EWJ6" s="27" t="str">
        <f>IFERROR(VLOOKUP(DATE($K$1,$K$2,EWJ$4),Table1[],(MATCH(Calendar!$A6,DB!1:1,0)+2),FALSE),"")</f>
        <v/>
      </c>
      <c r="EWK6" s="27" t="str">
        <f>IFERROR(VLOOKUP(DATE($K$1,$K$2,EWK$4),Table1[],(MATCH(Calendar!$A6,DB!1:1,0)+2),FALSE),"")</f>
        <v/>
      </c>
      <c r="EWL6" s="27" t="str">
        <f>IFERROR(VLOOKUP(DATE($K$1,$K$2,EWL$4),Table1[],(MATCH(Calendar!$A6,DB!1:1,0)+2),FALSE),"")</f>
        <v/>
      </c>
      <c r="EWM6" s="27" t="str">
        <f>IFERROR(VLOOKUP(DATE($K$1,$K$2,EWM$4),Table1[],(MATCH(Calendar!$A6,DB!1:1,0)+2),FALSE),"")</f>
        <v/>
      </c>
      <c r="EWN6" s="27" t="str">
        <f>IFERROR(VLOOKUP(DATE($K$1,$K$2,EWN$4),Table1[],(MATCH(Calendar!$A6,DB!1:1,0)+2),FALSE),"")</f>
        <v/>
      </c>
      <c r="EWO6" s="27" t="str">
        <f>IFERROR(VLOOKUP(DATE($K$1,$K$2,EWO$4),Table1[],(MATCH(Calendar!$A6,DB!1:1,0)+2),FALSE),"")</f>
        <v/>
      </c>
      <c r="EWP6" s="27" t="str">
        <f>IFERROR(VLOOKUP(DATE($K$1,$K$2,EWP$4),Table1[],(MATCH(Calendar!$A6,DB!1:1,0)+2),FALSE),"")</f>
        <v/>
      </c>
      <c r="EWQ6" s="27" t="str">
        <f>IFERROR(VLOOKUP(DATE($K$1,$K$2,EWQ$4),Table1[],(MATCH(Calendar!$A6,DB!1:1,0)+2),FALSE),"")</f>
        <v/>
      </c>
      <c r="EWR6" s="27" t="str">
        <f>IFERROR(VLOOKUP(DATE($K$1,$K$2,EWR$4),Table1[],(MATCH(Calendar!$A6,DB!1:1,0)+2),FALSE),"")</f>
        <v/>
      </c>
      <c r="EWS6" s="27" t="str">
        <f>IFERROR(VLOOKUP(DATE($K$1,$K$2,EWS$4),Table1[],(MATCH(Calendar!$A6,DB!1:1,0)+2),FALSE),"")</f>
        <v/>
      </c>
      <c r="EWT6" s="27" t="str">
        <f>IFERROR(VLOOKUP(DATE($K$1,$K$2,EWT$4),Table1[],(MATCH(Calendar!$A6,DB!1:1,0)+2),FALSE),"")</f>
        <v/>
      </c>
      <c r="EWU6" s="27" t="str">
        <f>IFERROR(VLOOKUP(DATE($K$1,$K$2,EWU$4),Table1[],(MATCH(Calendar!$A6,DB!1:1,0)+2),FALSE),"")</f>
        <v/>
      </c>
      <c r="EWV6" s="27" t="str">
        <f>IFERROR(VLOOKUP(DATE($K$1,$K$2,EWV$4),Table1[],(MATCH(Calendar!$A6,DB!1:1,0)+2),FALSE),"")</f>
        <v/>
      </c>
      <c r="EWW6" s="27" t="str">
        <f>IFERROR(VLOOKUP(DATE($K$1,$K$2,EWW$4),Table1[],(MATCH(Calendar!$A6,DB!1:1,0)+2),FALSE),"")</f>
        <v/>
      </c>
      <c r="EWX6" s="27" t="str">
        <f>IFERROR(VLOOKUP(DATE($K$1,$K$2,EWX$4),Table1[],(MATCH(Calendar!$A6,DB!1:1,0)+2),FALSE),"")</f>
        <v/>
      </c>
      <c r="EWY6" s="27" t="str">
        <f>IFERROR(VLOOKUP(DATE($K$1,$K$2,EWY$4),Table1[],(MATCH(Calendar!$A6,DB!1:1,0)+2),FALSE),"")</f>
        <v/>
      </c>
      <c r="EWZ6" s="27" t="str">
        <f>IFERROR(VLOOKUP(DATE($K$1,$K$2,EWZ$4),Table1[],(MATCH(Calendar!$A6,DB!1:1,0)+2),FALSE),"")</f>
        <v/>
      </c>
      <c r="EXA6" s="27" t="str">
        <f>IFERROR(VLOOKUP(DATE($K$1,$K$2,EXA$4),Table1[],(MATCH(Calendar!$A6,DB!1:1,0)+2),FALSE),"")</f>
        <v/>
      </c>
      <c r="EXB6" s="27" t="str">
        <f>IFERROR(VLOOKUP(DATE($K$1,$K$2,EXB$4),Table1[],(MATCH(Calendar!$A6,DB!1:1,0)+2),FALSE),"")</f>
        <v/>
      </c>
      <c r="EXC6" s="27" t="str">
        <f>IFERROR(VLOOKUP(DATE($K$1,$K$2,EXC$4),Table1[],(MATCH(Calendar!$A6,DB!1:1,0)+2),FALSE),"")</f>
        <v/>
      </c>
      <c r="EXD6" s="27" t="str">
        <f>IFERROR(VLOOKUP(DATE($K$1,$K$2,EXD$4),Table1[],(MATCH(Calendar!$A6,DB!1:1,0)+2),FALSE),"")</f>
        <v/>
      </c>
      <c r="EXE6" s="27" t="str">
        <f>IFERROR(VLOOKUP(DATE($K$1,$K$2,EXE$4),Table1[],(MATCH(Calendar!$A6,DB!1:1,0)+2),FALSE),"")</f>
        <v/>
      </c>
      <c r="EXF6" s="27" t="str">
        <f>IFERROR(VLOOKUP(DATE($K$1,$K$2,EXF$4),Table1[],(MATCH(Calendar!$A6,DB!1:1,0)+2),FALSE),"")</f>
        <v/>
      </c>
      <c r="EXG6" s="27" t="str">
        <f>IFERROR(VLOOKUP(DATE($K$1,$K$2,EXG$4),Table1[],(MATCH(Calendar!$A6,DB!1:1,0)+2),FALSE),"")</f>
        <v/>
      </c>
      <c r="EXH6" s="27" t="str">
        <f>IFERROR(VLOOKUP(DATE($K$1,$K$2,EXH$4),Table1[],(MATCH(Calendar!$A6,DB!1:1,0)+2),FALSE),"")</f>
        <v/>
      </c>
      <c r="EXI6" s="27" t="str">
        <f>IFERROR(VLOOKUP(DATE($K$1,$K$2,EXI$4),Table1[],(MATCH(Calendar!$A6,DB!1:1,0)+2),FALSE),"")</f>
        <v/>
      </c>
      <c r="EXJ6" s="27" t="str">
        <f>IFERROR(VLOOKUP(DATE($K$1,$K$2,EXJ$4),Table1[],(MATCH(Calendar!$A6,DB!1:1,0)+2),FALSE),"")</f>
        <v/>
      </c>
      <c r="EXK6" s="27" t="str">
        <f>IFERROR(VLOOKUP(DATE($K$1,$K$2,EXK$4),Table1[],(MATCH(Calendar!$A6,DB!1:1,0)+2),FALSE),"")</f>
        <v/>
      </c>
      <c r="EXL6" s="27" t="str">
        <f>IFERROR(VLOOKUP(DATE($K$1,$K$2,EXL$4),Table1[],(MATCH(Calendar!$A6,DB!1:1,0)+2),FALSE),"")</f>
        <v/>
      </c>
      <c r="EXM6" s="27" t="str">
        <f>IFERROR(VLOOKUP(DATE($K$1,$K$2,EXM$4),Table1[],(MATCH(Calendar!$A6,DB!1:1,0)+2),FALSE),"")</f>
        <v/>
      </c>
      <c r="EXN6" s="27" t="str">
        <f>IFERROR(VLOOKUP(DATE($K$1,$K$2,EXN$4),Table1[],(MATCH(Calendar!$A6,DB!1:1,0)+2),FALSE),"")</f>
        <v/>
      </c>
      <c r="EXO6" s="27" t="str">
        <f>IFERROR(VLOOKUP(DATE($K$1,$K$2,EXO$4),Table1[],(MATCH(Calendar!$A6,DB!1:1,0)+2),FALSE),"")</f>
        <v/>
      </c>
      <c r="EXP6" s="27" t="str">
        <f>IFERROR(VLOOKUP(DATE($K$1,$K$2,EXP$4),Table1[],(MATCH(Calendar!$A6,DB!1:1,0)+2),FALSE),"")</f>
        <v/>
      </c>
      <c r="EXQ6" s="27" t="str">
        <f>IFERROR(VLOOKUP(DATE($K$1,$K$2,EXQ$4),Table1[],(MATCH(Calendar!$A6,DB!1:1,0)+2),FALSE),"")</f>
        <v/>
      </c>
      <c r="EXR6" s="27" t="str">
        <f>IFERROR(VLOOKUP(DATE($K$1,$K$2,EXR$4),Table1[],(MATCH(Calendar!$A6,DB!1:1,0)+2),FALSE),"")</f>
        <v/>
      </c>
      <c r="EXS6" s="27" t="str">
        <f>IFERROR(VLOOKUP(DATE($K$1,$K$2,EXS$4),Table1[],(MATCH(Calendar!$A6,DB!1:1,0)+2),FALSE),"")</f>
        <v/>
      </c>
      <c r="EXT6" s="27" t="str">
        <f>IFERROR(VLOOKUP(DATE($K$1,$K$2,EXT$4),Table1[],(MATCH(Calendar!$A6,DB!1:1,0)+2),FALSE),"")</f>
        <v/>
      </c>
      <c r="EXU6" s="27" t="str">
        <f>IFERROR(VLOOKUP(DATE($K$1,$K$2,EXU$4),Table1[],(MATCH(Calendar!$A6,DB!1:1,0)+2),FALSE),"")</f>
        <v/>
      </c>
      <c r="EXV6" s="27" t="str">
        <f>IFERROR(VLOOKUP(DATE($K$1,$K$2,EXV$4),Table1[],(MATCH(Calendar!$A6,DB!1:1,0)+2),FALSE),"")</f>
        <v/>
      </c>
      <c r="EXW6" s="27" t="str">
        <f>IFERROR(VLOOKUP(DATE($K$1,$K$2,EXW$4),Table1[],(MATCH(Calendar!$A6,DB!1:1,0)+2),FALSE),"")</f>
        <v/>
      </c>
      <c r="EXX6" s="27" t="str">
        <f>IFERROR(VLOOKUP(DATE($K$1,$K$2,EXX$4),Table1[],(MATCH(Calendar!$A6,DB!1:1,0)+2),FALSE),"")</f>
        <v/>
      </c>
      <c r="EXY6" s="27" t="str">
        <f>IFERROR(VLOOKUP(DATE($K$1,$K$2,EXY$4),Table1[],(MATCH(Calendar!$A6,DB!1:1,0)+2),FALSE),"")</f>
        <v/>
      </c>
      <c r="EXZ6" s="27" t="str">
        <f>IFERROR(VLOOKUP(DATE($K$1,$K$2,EXZ$4),Table1[],(MATCH(Calendar!$A6,DB!1:1,0)+2),FALSE),"")</f>
        <v/>
      </c>
      <c r="EYA6" s="27" t="str">
        <f>IFERROR(VLOOKUP(DATE($K$1,$K$2,EYA$4),Table1[],(MATCH(Calendar!$A6,DB!1:1,0)+2),FALSE),"")</f>
        <v/>
      </c>
      <c r="EYB6" s="27" t="str">
        <f>IFERROR(VLOOKUP(DATE($K$1,$K$2,EYB$4),Table1[],(MATCH(Calendar!$A6,DB!1:1,0)+2),FALSE),"")</f>
        <v/>
      </c>
      <c r="EYC6" s="27" t="str">
        <f>IFERROR(VLOOKUP(DATE($K$1,$K$2,EYC$4),Table1[],(MATCH(Calendar!$A6,DB!1:1,0)+2),FALSE),"")</f>
        <v/>
      </c>
      <c r="EYD6" s="27" t="str">
        <f>IFERROR(VLOOKUP(DATE($K$1,$K$2,EYD$4),Table1[],(MATCH(Calendar!$A6,DB!1:1,0)+2),FALSE),"")</f>
        <v/>
      </c>
      <c r="EYE6" s="27" t="str">
        <f>IFERROR(VLOOKUP(DATE($K$1,$K$2,EYE$4),Table1[],(MATCH(Calendar!$A6,DB!1:1,0)+2),FALSE),"")</f>
        <v/>
      </c>
      <c r="EYF6" s="27" t="str">
        <f>IFERROR(VLOOKUP(DATE($K$1,$K$2,EYF$4),Table1[],(MATCH(Calendar!$A6,DB!1:1,0)+2),FALSE),"")</f>
        <v/>
      </c>
      <c r="EYG6" s="27" t="str">
        <f>IFERROR(VLOOKUP(DATE($K$1,$K$2,EYG$4),Table1[],(MATCH(Calendar!$A6,DB!1:1,0)+2),FALSE),"")</f>
        <v/>
      </c>
      <c r="EYH6" s="27" t="str">
        <f>IFERROR(VLOOKUP(DATE($K$1,$K$2,EYH$4),Table1[],(MATCH(Calendar!$A6,DB!1:1,0)+2),FALSE),"")</f>
        <v/>
      </c>
      <c r="EYI6" s="27" t="str">
        <f>IFERROR(VLOOKUP(DATE($K$1,$K$2,EYI$4),Table1[],(MATCH(Calendar!$A6,DB!1:1,0)+2),FALSE),"")</f>
        <v/>
      </c>
      <c r="EYJ6" s="27" t="str">
        <f>IFERROR(VLOOKUP(DATE($K$1,$K$2,EYJ$4),Table1[],(MATCH(Calendar!$A6,DB!1:1,0)+2),FALSE),"")</f>
        <v/>
      </c>
      <c r="EYK6" s="27" t="str">
        <f>IFERROR(VLOOKUP(DATE($K$1,$K$2,EYK$4),Table1[],(MATCH(Calendar!$A6,DB!1:1,0)+2),FALSE),"")</f>
        <v/>
      </c>
      <c r="EYL6" s="27" t="str">
        <f>IFERROR(VLOOKUP(DATE($K$1,$K$2,EYL$4),Table1[],(MATCH(Calendar!$A6,DB!1:1,0)+2),FALSE),"")</f>
        <v/>
      </c>
      <c r="EYM6" s="27" t="str">
        <f>IFERROR(VLOOKUP(DATE($K$1,$K$2,EYM$4),Table1[],(MATCH(Calendar!$A6,DB!1:1,0)+2),FALSE),"")</f>
        <v/>
      </c>
      <c r="EYN6" s="27" t="str">
        <f>IFERROR(VLOOKUP(DATE($K$1,$K$2,EYN$4),Table1[],(MATCH(Calendar!$A6,DB!1:1,0)+2),FALSE),"")</f>
        <v/>
      </c>
      <c r="EYO6" s="27" t="str">
        <f>IFERROR(VLOOKUP(DATE($K$1,$K$2,EYO$4),Table1[],(MATCH(Calendar!$A6,DB!1:1,0)+2),FALSE),"")</f>
        <v/>
      </c>
      <c r="EYP6" s="27" t="str">
        <f>IFERROR(VLOOKUP(DATE($K$1,$K$2,EYP$4),Table1[],(MATCH(Calendar!$A6,DB!1:1,0)+2),FALSE),"")</f>
        <v/>
      </c>
      <c r="EYQ6" s="27" t="str">
        <f>IFERROR(VLOOKUP(DATE($K$1,$K$2,EYQ$4),Table1[],(MATCH(Calendar!$A6,DB!1:1,0)+2),FALSE),"")</f>
        <v/>
      </c>
      <c r="EYR6" s="27" t="str">
        <f>IFERROR(VLOOKUP(DATE($K$1,$K$2,EYR$4),Table1[],(MATCH(Calendar!$A6,DB!1:1,0)+2),FALSE),"")</f>
        <v/>
      </c>
      <c r="EYS6" s="27" t="str">
        <f>IFERROR(VLOOKUP(DATE($K$1,$K$2,EYS$4),Table1[],(MATCH(Calendar!$A6,DB!1:1,0)+2),FALSE),"")</f>
        <v/>
      </c>
      <c r="EYT6" s="27" t="str">
        <f>IFERROR(VLOOKUP(DATE($K$1,$K$2,EYT$4),Table1[],(MATCH(Calendar!$A6,DB!1:1,0)+2),FALSE),"")</f>
        <v/>
      </c>
      <c r="EYU6" s="27" t="str">
        <f>IFERROR(VLOOKUP(DATE($K$1,$K$2,EYU$4),Table1[],(MATCH(Calendar!$A6,DB!1:1,0)+2),FALSE),"")</f>
        <v/>
      </c>
      <c r="EYV6" s="27" t="str">
        <f>IFERROR(VLOOKUP(DATE($K$1,$K$2,EYV$4),Table1[],(MATCH(Calendar!$A6,DB!1:1,0)+2),FALSE),"")</f>
        <v/>
      </c>
      <c r="EYW6" s="27" t="str">
        <f>IFERROR(VLOOKUP(DATE($K$1,$K$2,EYW$4),Table1[],(MATCH(Calendar!$A6,DB!1:1,0)+2),FALSE),"")</f>
        <v/>
      </c>
      <c r="EYX6" s="27" t="str">
        <f>IFERROR(VLOOKUP(DATE($K$1,$K$2,EYX$4),Table1[],(MATCH(Calendar!$A6,DB!1:1,0)+2),FALSE),"")</f>
        <v/>
      </c>
      <c r="EYY6" s="27" t="str">
        <f>IFERROR(VLOOKUP(DATE($K$1,$K$2,EYY$4),Table1[],(MATCH(Calendar!$A6,DB!1:1,0)+2),FALSE),"")</f>
        <v/>
      </c>
      <c r="EYZ6" s="27" t="str">
        <f>IFERROR(VLOOKUP(DATE($K$1,$K$2,EYZ$4),Table1[],(MATCH(Calendar!$A6,DB!1:1,0)+2),FALSE),"")</f>
        <v/>
      </c>
      <c r="EZA6" s="27" t="str">
        <f>IFERROR(VLOOKUP(DATE($K$1,$K$2,EZA$4),Table1[],(MATCH(Calendar!$A6,DB!1:1,0)+2),FALSE),"")</f>
        <v/>
      </c>
      <c r="EZB6" s="27" t="str">
        <f>IFERROR(VLOOKUP(DATE($K$1,$K$2,EZB$4),Table1[],(MATCH(Calendar!$A6,DB!1:1,0)+2),FALSE),"")</f>
        <v/>
      </c>
      <c r="EZC6" s="27" t="str">
        <f>IFERROR(VLOOKUP(DATE($K$1,$K$2,EZC$4),Table1[],(MATCH(Calendar!$A6,DB!1:1,0)+2),FALSE),"")</f>
        <v/>
      </c>
      <c r="EZD6" s="27" t="str">
        <f>IFERROR(VLOOKUP(DATE($K$1,$K$2,EZD$4),Table1[],(MATCH(Calendar!$A6,DB!1:1,0)+2),FALSE),"")</f>
        <v/>
      </c>
      <c r="EZE6" s="27" t="str">
        <f>IFERROR(VLOOKUP(DATE($K$1,$K$2,EZE$4),Table1[],(MATCH(Calendar!$A6,DB!1:1,0)+2),FALSE),"")</f>
        <v/>
      </c>
      <c r="EZF6" s="27" t="str">
        <f>IFERROR(VLOOKUP(DATE($K$1,$K$2,EZF$4),Table1[],(MATCH(Calendar!$A6,DB!1:1,0)+2),FALSE),"")</f>
        <v/>
      </c>
      <c r="EZG6" s="27" t="str">
        <f>IFERROR(VLOOKUP(DATE($K$1,$K$2,EZG$4),Table1[],(MATCH(Calendar!$A6,DB!1:1,0)+2),FALSE),"")</f>
        <v/>
      </c>
      <c r="EZH6" s="27" t="str">
        <f>IFERROR(VLOOKUP(DATE($K$1,$K$2,EZH$4),Table1[],(MATCH(Calendar!$A6,DB!1:1,0)+2),FALSE),"")</f>
        <v/>
      </c>
      <c r="EZI6" s="27" t="str">
        <f>IFERROR(VLOOKUP(DATE($K$1,$K$2,EZI$4),Table1[],(MATCH(Calendar!$A6,DB!1:1,0)+2),FALSE),"")</f>
        <v/>
      </c>
      <c r="EZJ6" s="27" t="str">
        <f>IFERROR(VLOOKUP(DATE($K$1,$K$2,EZJ$4),Table1[],(MATCH(Calendar!$A6,DB!1:1,0)+2),FALSE),"")</f>
        <v/>
      </c>
      <c r="EZK6" s="27" t="str">
        <f>IFERROR(VLOOKUP(DATE($K$1,$K$2,EZK$4),Table1[],(MATCH(Calendar!$A6,DB!1:1,0)+2),FALSE),"")</f>
        <v/>
      </c>
      <c r="EZL6" s="27" t="str">
        <f>IFERROR(VLOOKUP(DATE($K$1,$K$2,EZL$4),Table1[],(MATCH(Calendar!$A6,DB!1:1,0)+2),FALSE),"")</f>
        <v/>
      </c>
      <c r="EZM6" s="27" t="str">
        <f>IFERROR(VLOOKUP(DATE($K$1,$K$2,EZM$4),Table1[],(MATCH(Calendar!$A6,DB!1:1,0)+2),FALSE),"")</f>
        <v/>
      </c>
      <c r="EZN6" s="27" t="str">
        <f>IFERROR(VLOOKUP(DATE($K$1,$K$2,EZN$4),Table1[],(MATCH(Calendar!$A6,DB!1:1,0)+2),FALSE),"")</f>
        <v/>
      </c>
      <c r="EZO6" s="27" t="str">
        <f>IFERROR(VLOOKUP(DATE($K$1,$K$2,EZO$4),Table1[],(MATCH(Calendar!$A6,DB!1:1,0)+2),FALSE),"")</f>
        <v/>
      </c>
      <c r="EZP6" s="27" t="str">
        <f>IFERROR(VLOOKUP(DATE($K$1,$K$2,EZP$4),Table1[],(MATCH(Calendar!$A6,DB!1:1,0)+2),FALSE),"")</f>
        <v/>
      </c>
      <c r="EZQ6" s="27" t="str">
        <f>IFERROR(VLOOKUP(DATE($K$1,$K$2,EZQ$4),Table1[],(MATCH(Calendar!$A6,DB!1:1,0)+2),FALSE),"")</f>
        <v/>
      </c>
      <c r="EZR6" s="27" t="str">
        <f>IFERROR(VLOOKUP(DATE($K$1,$K$2,EZR$4),Table1[],(MATCH(Calendar!$A6,DB!1:1,0)+2),FALSE),"")</f>
        <v/>
      </c>
      <c r="EZS6" s="27" t="str">
        <f>IFERROR(VLOOKUP(DATE($K$1,$K$2,EZS$4),Table1[],(MATCH(Calendar!$A6,DB!1:1,0)+2),FALSE),"")</f>
        <v/>
      </c>
      <c r="EZT6" s="27" t="str">
        <f>IFERROR(VLOOKUP(DATE($K$1,$K$2,EZT$4),Table1[],(MATCH(Calendar!$A6,DB!1:1,0)+2),FALSE),"")</f>
        <v/>
      </c>
      <c r="EZU6" s="27" t="str">
        <f>IFERROR(VLOOKUP(DATE($K$1,$K$2,EZU$4),Table1[],(MATCH(Calendar!$A6,DB!1:1,0)+2),FALSE),"")</f>
        <v/>
      </c>
      <c r="EZV6" s="27" t="str">
        <f>IFERROR(VLOOKUP(DATE($K$1,$K$2,EZV$4),Table1[],(MATCH(Calendar!$A6,DB!1:1,0)+2),FALSE),"")</f>
        <v/>
      </c>
      <c r="EZW6" s="27" t="str">
        <f>IFERROR(VLOOKUP(DATE($K$1,$K$2,EZW$4),Table1[],(MATCH(Calendar!$A6,DB!1:1,0)+2),FALSE),"")</f>
        <v/>
      </c>
      <c r="EZX6" s="27" t="str">
        <f>IFERROR(VLOOKUP(DATE($K$1,$K$2,EZX$4),Table1[],(MATCH(Calendar!$A6,DB!1:1,0)+2),FALSE),"")</f>
        <v/>
      </c>
      <c r="EZY6" s="27" t="str">
        <f>IFERROR(VLOOKUP(DATE($K$1,$K$2,EZY$4),Table1[],(MATCH(Calendar!$A6,DB!1:1,0)+2),FALSE),"")</f>
        <v/>
      </c>
      <c r="EZZ6" s="27" t="str">
        <f>IFERROR(VLOOKUP(DATE($K$1,$K$2,EZZ$4),Table1[],(MATCH(Calendar!$A6,DB!1:1,0)+2),FALSE),"")</f>
        <v/>
      </c>
      <c r="FAA6" s="27" t="str">
        <f>IFERROR(VLOOKUP(DATE($K$1,$K$2,FAA$4),Table1[],(MATCH(Calendar!$A6,DB!1:1,0)+2),FALSE),"")</f>
        <v/>
      </c>
      <c r="FAB6" s="27" t="str">
        <f>IFERROR(VLOOKUP(DATE($K$1,$K$2,FAB$4),Table1[],(MATCH(Calendar!$A6,DB!1:1,0)+2),FALSE),"")</f>
        <v/>
      </c>
      <c r="FAC6" s="27" t="str">
        <f>IFERROR(VLOOKUP(DATE($K$1,$K$2,FAC$4),Table1[],(MATCH(Calendar!$A6,DB!1:1,0)+2),FALSE),"")</f>
        <v/>
      </c>
      <c r="FAD6" s="27" t="str">
        <f>IFERROR(VLOOKUP(DATE($K$1,$K$2,FAD$4),Table1[],(MATCH(Calendar!$A6,DB!1:1,0)+2),FALSE),"")</f>
        <v/>
      </c>
      <c r="FAE6" s="27" t="str">
        <f>IFERROR(VLOOKUP(DATE($K$1,$K$2,FAE$4),Table1[],(MATCH(Calendar!$A6,DB!1:1,0)+2),FALSE),"")</f>
        <v/>
      </c>
      <c r="FAF6" s="27" t="str">
        <f>IFERROR(VLOOKUP(DATE($K$1,$K$2,FAF$4),Table1[],(MATCH(Calendar!$A6,DB!1:1,0)+2),FALSE),"")</f>
        <v/>
      </c>
      <c r="FAG6" s="27" t="str">
        <f>IFERROR(VLOOKUP(DATE($K$1,$K$2,FAG$4),Table1[],(MATCH(Calendar!$A6,DB!1:1,0)+2),FALSE),"")</f>
        <v/>
      </c>
      <c r="FAH6" s="27" t="str">
        <f>IFERROR(VLOOKUP(DATE($K$1,$K$2,FAH$4),Table1[],(MATCH(Calendar!$A6,DB!1:1,0)+2),FALSE),"")</f>
        <v/>
      </c>
      <c r="FAI6" s="27" t="str">
        <f>IFERROR(VLOOKUP(DATE($K$1,$K$2,FAI$4),Table1[],(MATCH(Calendar!$A6,DB!1:1,0)+2),FALSE),"")</f>
        <v/>
      </c>
      <c r="FAJ6" s="27" t="str">
        <f>IFERROR(VLOOKUP(DATE($K$1,$K$2,FAJ$4),Table1[],(MATCH(Calendar!$A6,DB!1:1,0)+2),FALSE),"")</f>
        <v/>
      </c>
      <c r="FAK6" s="27" t="str">
        <f>IFERROR(VLOOKUP(DATE($K$1,$K$2,FAK$4),Table1[],(MATCH(Calendar!$A6,DB!1:1,0)+2),FALSE),"")</f>
        <v/>
      </c>
      <c r="FAL6" s="27" t="str">
        <f>IFERROR(VLOOKUP(DATE($K$1,$K$2,FAL$4),Table1[],(MATCH(Calendar!$A6,DB!1:1,0)+2),FALSE),"")</f>
        <v/>
      </c>
      <c r="FAM6" s="27" t="str">
        <f>IFERROR(VLOOKUP(DATE($K$1,$K$2,FAM$4),Table1[],(MATCH(Calendar!$A6,DB!1:1,0)+2),FALSE),"")</f>
        <v/>
      </c>
      <c r="FAN6" s="27" t="str">
        <f>IFERROR(VLOOKUP(DATE($K$1,$K$2,FAN$4),Table1[],(MATCH(Calendar!$A6,DB!1:1,0)+2),FALSE),"")</f>
        <v/>
      </c>
      <c r="FAO6" s="27" t="str">
        <f>IFERROR(VLOOKUP(DATE($K$1,$K$2,FAO$4),Table1[],(MATCH(Calendar!$A6,DB!1:1,0)+2),FALSE),"")</f>
        <v/>
      </c>
      <c r="FAP6" s="27" t="str">
        <f>IFERROR(VLOOKUP(DATE($K$1,$K$2,FAP$4),Table1[],(MATCH(Calendar!$A6,DB!1:1,0)+2),FALSE),"")</f>
        <v/>
      </c>
      <c r="FAQ6" s="27" t="str">
        <f>IFERROR(VLOOKUP(DATE($K$1,$K$2,FAQ$4),Table1[],(MATCH(Calendar!$A6,DB!1:1,0)+2),FALSE),"")</f>
        <v/>
      </c>
      <c r="FAR6" s="27" t="str">
        <f>IFERROR(VLOOKUP(DATE($K$1,$K$2,FAR$4),Table1[],(MATCH(Calendar!$A6,DB!1:1,0)+2),FALSE),"")</f>
        <v/>
      </c>
      <c r="FAS6" s="27" t="str">
        <f>IFERROR(VLOOKUP(DATE($K$1,$K$2,FAS$4),Table1[],(MATCH(Calendar!$A6,DB!1:1,0)+2),FALSE),"")</f>
        <v/>
      </c>
      <c r="FAT6" s="27" t="str">
        <f>IFERROR(VLOOKUP(DATE($K$1,$K$2,FAT$4),Table1[],(MATCH(Calendar!$A6,DB!1:1,0)+2),FALSE),"")</f>
        <v/>
      </c>
      <c r="FAU6" s="27" t="str">
        <f>IFERROR(VLOOKUP(DATE($K$1,$K$2,FAU$4),Table1[],(MATCH(Calendar!$A6,DB!1:1,0)+2),FALSE),"")</f>
        <v/>
      </c>
      <c r="FAV6" s="27" t="str">
        <f>IFERROR(VLOOKUP(DATE($K$1,$K$2,FAV$4),Table1[],(MATCH(Calendar!$A6,DB!1:1,0)+2),FALSE),"")</f>
        <v/>
      </c>
      <c r="FAW6" s="27" t="str">
        <f>IFERROR(VLOOKUP(DATE($K$1,$K$2,FAW$4),Table1[],(MATCH(Calendar!$A6,DB!1:1,0)+2),FALSE),"")</f>
        <v/>
      </c>
      <c r="FAX6" s="27" t="str">
        <f>IFERROR(VLOOKUP(DATE($K$1,$K$2,FAX$4),Table1[],(MATCH(Calendar!$A6,DB!1:1,0)+2),FALSE),"")</f>
        <v/>
      </c>
      <c r="FAY6" s="27" t="str">
        <f>IFERROR(VLOOKUP(DATE($K$1,$K$2,FAY$4),Table1[],(MATCH(Calendar!$A6,DB!1:1,0)+2),FALSE),"")</f>
        <v/>
      </c>
      <c r="FAZ6" s="27" t="str">
        <f>IFERROR(VLOOKUP(DATE($K$1,$K$2,FAZ$4),Table1[],(MATCH(Calendar!$A6,DB!1:1,0)+2),FALSE),"")</f>
        <v/>
      </c>
      <c r="FBA6" s="27" t="str">
        <f>IFERROR(VLOOKUP(DATE($K$1,$K$2,FBA$4),Table1[],(MATCH(Calendar!$A6,DB!1:1,0)+2),FALSE),"")</f>
        <v/>
      </c>
      <c r="FBB6" s="27" t="str">
        <f>IFERROR(VLOOKUP(DATE($K$1,$K$2,FBB$4),Table1[],(MATCH(Calendar!$A6,DB!1:1,0)+2),FALSE),"")</f>
        <v/>
      </c>
      <c r="FBC6" s="27" t="str">
        <f>IFERROR(VLOOKUP(DATE($K$1,$K$2,FBC$4),Table1[],(MATCH(Calendar!$A6,DB!1:1,0)+2),FALSE),"")</f>
        <v/>
      </c>
      <c r="FBD6" s="27" t="str">
        <f>IFERROR(VLOOKUP(DATE($K$1,$K$2,FBD$4),Table1[],(MATCH(Calendar!$A6,DB!1:1,0)+2),FALSE),"")</f>
        <v/>
      </c>
      <c r="FBE6" s="27" t="str">
        <f>IFERROR(VLOOKUP(DATE($K$1,$K$2,FBE$4),Table1[],(MATCH(Calendar!$A6,DB!1:1,0)+2),FALSE),"")</f>
        <v/>
      </c>
      <c r="FBF6" s="27" t="str">
        <f>IFERROR(VLOOKUP(DATE($K$1,$K$2,FBF$4),Table1[],(MATCH(Calendar!$A6,DB!1:1,0)+2),FALSE),"")</f>
        <v/>
      </c>
      <c r="FBG6" s="27" t="str">
        <f>IFERROR(VLOOKUP(DATE($K$1,$K$2,FBG$4),Table1[],(MATCH(Calendar!$A6,DB!1:1,0)+2),FALSE),"")</f>
        <v/>
      </c>
      <c r="FBH6" s="27" t="str">
        <f>IFERROR(VLOOKUP(DATE($K$1,$K$2,FBH$4),Table1[],(MATCH(Calendar!$A6,DB!1:1,0)+2),FALSE),"")</f>
        <v/>
      </c>
      <c r="FBI6" s="27" t="str">
        <f>IFERROR(VLOOKUP(DATE($K$1,$K$2,FBI$4),Table1[],(MATCH(Calendar!$A6,DB!1:1,0)+2),FALSE),"")</f>
        <v/>
      </c>
      <c r="FBJ6" s="27" t="str">
        <f>IFERROR(VLOOKUP(DATE($K$1,$K$2,FBJ$4),Table1[],(MATCH(Calendar!$A6,DB!1:1,0)+2),FALSE),"")</f>
        <v/>
      </c>
      <c r="FBK6" s="27" t="str">
        <f>IFERROR(VLOOKUP(DATE($K$1,$K$2,FBK$4),Table1[],(MATCH(Calendar!$A6,DB!1:1,0)+2),FALSE),"")</f>
        <v/>
      </c>
      <c r="FBL6" s="27" t="str">
        <f>IFERROR(VLOOKUP(DATE($K$1,$K$2,FBL$4),Table1[],(MATCH(Calendar!$A6,DB!1:1,0)+2),FALSE),"")</f>
        <v/>
      </c>
      <c r="FBM6" s="27" t="str">
        <f>IFERROR(VLOOKUP(DATE($K$1,$K$2,FBM$4),Table1[],(MATCH(Calendar!$A6,DB!1:1,0)+2),FALSE),"")</f>
        <v/>
      </c>
      <c r="FBN6" s="27" t="str">
        <f>IFERROR(VLOOKUP(DATE($K$1,$K$2,FBN$4),Table1[],(MATCH(Calendar!$A6,DB!1:1,0)+2),FALSE),"")</f>
        <v/>
      </c>
      <c r="FBO6" s="27" t="str">
        <f>IFERROR(VLOOKUP(DATE($K$1,$K$2,FBO$4),Table1[],(MATCH(Calendar!$A6,DB!1:1,0)+2),FALSE),"")</f>
        <v/>
      </c>
      <c r="FBP6" s="27" t="str">
        <f>IFERROR(VLOOKUP(DATE($K$1,$K$2,FBP$4),Table1[],(MATCH(Calendar!$A6,DB!1:1,0)+2),FALSE),"")</f>
        <v/>
      </c>
      <c r="FBQ6" s="27" t="str">
        <f>IFERROR(VLOOKUP(DATE($K$1,$K$2,FBQ$4),Table1[],(MATCH(Calendar!$A6,DB!1:1,0)+2),FALSE),"")</f>
        <v/>
      </c>
      <c r="FBR6" s="27" t="str">
        <f>IFERROR(VLOOKUP(DATE($K$1,$K$2,FBR$4),Table1[],(MATCH(Calendar!$A6,DB!1:1,0)+2),FALSE),"")</f>
        <v/>
      </c>
      <c r="FBS6" s="27" t="str">
        <f>IFERROR(VLOOKUP(DATE($K$1,$K$2,FBS$4),Table1[],(MATCH(Calendar!$A6,DB!1:1,0)+2),FALSE),"")</f>
        <v/>
      </c>
      <c r="FBT6" s="27" t="str">
        <f>IFERROR(VLOOKUP(DATE($K$1,$K$2,FBT$4),Table1[],(MATCH(Calendar!$A6,DB!1:1,0)+2),FALSE),"")</f>
        <v/>
      </c>
      <c r="FBU6" s="27" t="str">
        <f>IFERROR(VLOOKUP(DATE($K$1,$K$2,FBU$4),Table1[],(MATCH(Calendar!$A6,DB!1:1,0)+2),FALSE),"")</f>
        <v/>
      </c>
      <c r="FBV6" s="27" t="str">
        <f>IFERROR(VLOOKUP(DATE($K$1,$K$2,FBV$4),Table1[],(MATCH(Calendar!$A6,DB!1:1,0)+2),FALSE),"")</f>
        <v/>
      </c>
      <c r="FBW6" s="27" t="str">
        <f>IFERROR(VLOOKUP(DATE($K$1,$K$2,FBW$4),Table1[],(MATCH(Calendar!$A6,DB!1:1,0)+2),FALSE),"")</f>
        <v/>
      </c>
      <c r="FBX6" s="27" t="str">
        <f>IFERROR(VLOOKUP(DATE($K$1,$K$2,FBX$4),Table1[],(MATCH(Calendar!$A6,DB!1:1,0)+2),FALSE),"")</f>
        <v/>
      </c>
      <c r="FBY6" s="27" t="str">
        <f>IFERROR(VLOOKUP(DATE($K$1,$K$2,FBY$4),Table1[],(MATCH(Calendar!$A6,DB!1:1,0)+2),FALSE),"")</f>
        <v/>
      </c>
      <c r="FBZ6" s="27" t="str">
        <f>IFERROR(VLOOKUP(DATE($K$1,$K$2,FBZ$4),Table1[],(MATCH(Calendar!$A6,DB!1:1,0)+2),FALSE),"")</f>
        <v/>
      </c>
      <c r="FCA6" s="27" t="str">
        <f>IFERROR(VLOOKUP(DATE($K$1,$K$2,FCA$4),Table1[],(MATCH(Calendar!$A6,DB!1:1,0)+2),FALSE),"")</f>
        <v/>
      </c>
      <c r="FCB6" s="27" t="str">
        <f>IFERROR(VLOOKUP(DATE($K$1,$K$2,FCB$4),Table1[],(MATCH(Calendar!$A6,DB!1:1,0)+2),FALSE),"")</f>
        <v/>
      </c>
      <c r="FCC6" s="27" t="str">
        <f>IFERROR(VLOOKUP(DATE($K$1,$K$2,FCC$4),Table1[],(MATCH(Calendar!$A6,DB!1:1,0)+2),FALSE),"")</f>
        <v/>
      </c>
      <c r="FCD6" s="27" t="str">
        <f>IFERROR(VLOOKUP(DATE($K$1,$K$2,FCD$4),Table1[],(MATCH(Calendar!$A6,DB!1:1,0)+2),FALSE),"")</f>
        <v/>
      </c>
      <c r="FCE6" s="27" t="str">
        <f>IFERROR(VLOOKUP(DATE($K$1,$K$2,FCE$4),Table1[],(MATCH(Calendar!$A6,DB!1:1,0)+2),FALSE),"")</f>
        <v/>
      </c>
      <c r="FCF6" s="27" t="str">
        <f>IFERROR(VLOOKUP(DATE($K$1,$K$2,FCF$4),Table1[],(MATCH(Calendar!$A6,DB!1:1,0)+2),FALSE),"")</f>
        <v/>
      </c>
      <c r="FCG6" s="27" t="str">
        <f>IFERROR(VLOOKUP(DATE($K$1,$K$2,FCG$4),Table1[],(MATCH(Calendar!$A6,DB!1:1,0)+2),FALSE),"")</f>
        <v/>
      </c>
      <c r="FCH6" s="27" t="str">
        <f>IFERROR(VLOOKUP(DATE($K$1,$K$2,FCH$4),Table1[],(MATCH(Calendar!$A6,DB!1:1,0)+2),FALSE),"")</f>
        <v/>
      </c>
      <c r="FCI6" s="27" t="str">
        <f>IFERROR(VLOOKUP(DATE($K$1,$K$2,FCI$4),Table1[],(MATCH(Calendar!$A6,DB!1:1,0)+2),FALSE),"")</f>
        <v/>
      </c>
      <c r="FCJ6" s="27" t="str">
        <f>IFERROR(VLOOKUP(DATE($K$1,$K$2,FCJ$4),Table1[],(MATCH(Calendar!$A6,DB!1:1,0)+2),FALSE),"")</f>
        <v/>
      </c>
      <c r="FCK6" s="27" t="str">
        <f>IFERROR(VLOOKUP(DATE($K$1,$K$2,FCK$4),Table1[],(MATCH(Calendar!$A6,DB!1:1,0)+2),FALSE),"")</f>
        <v/>
      </c>
      <c r="FCL6" s="27" t="str">
        <f>IFERROR(VLOOKUP(DATE($K$1,$K$2,FCL$4),Table1[],(MATCH(Calendar!$A6,DB!1:1,0)+2),FALSE),"")</f>
        <v/>
      </c>
      <c r="FCM6" s="27" t="str">
        <f>IFERROR(VLOOKUP(DATE($K$1,$K$2,FCM$4),Table1[],(MATCH(Calendar!$A6,DB!1:1,0)+2),FALSE),"")</f>
        <v/>
      </c>
      <c r="FCN6" s="27" t="str">
        <f>IFERROR(VLOOKUP(DATE($K$1,$K$2,FCN$4),Table1[],(MATCH(Calendar!$A6,DB!1:1,0)+2),FALSE),"")</f>
        <v/>
      </c>
      <c r="FCO6" s="27" t="str">
        <f>IFERROR(VLOOKUP(DATE($K$1,$K$2,FCO$4),Table1[],(MATCH(Calendar!$A6,DB!1:1,0)+2),FALSE),"")</f>
        <v/>
      </c>
      <c r="FCP6" s="27" t="str">
        <f>IFERROR(VLOOKUP(DATE($K$1,$K$2,FCP$4),Table1[],(MATCH(Calendar!$A6,DB!1:1,0)+2),FALSE),"")</f>
        <v/>
      </c>
      <c r="FCQ6" s="27" t="str">
        <f>IFERROR(VLOOKUP(DATE($K$1,$K$2,FCQ$4),Table1[],(MATCH(Calendar!$A6,DB!1:1,0)+2),FALSE),"")</f>
        <v/>
      </c>
      <c r="FCR6" s="27" t="str">
        <f>IFERROR(VLOOKUP(DATE($K$1,$K$2,FCR$4),Table1[],(MATCH(Calendar!$A6,DB!1:1,0)+2),FALSE),"")</f>
        <v/>
      </c>
      <c r="FCS6" s="27" t="str">
        <f>IFERROR(VLOOKUP(DATE($K$1,$K$2,FCS$4),Table1[],(MATCH(Calendar!$A6,DB!1:1,0)+2),FALSE),"")</f>
        <v/>
      </c>
      <c r="FCT6" s="27" t="str">
        <f>IFERROR(VLOOKUP(DATE($K$1,$K$2,FCT$4),Table1[],(MATCH(Calendar!$A6,DB!1:1,0)+2),FALSE),"")</f>
        <v/>
      </c>
      <c r="FCU6" s="27" t="str">
        <f>IFERROR(VLOOKUP(DATE($K$1,$K$2,FCU$4),Table1[],(MATCH(Calendar!$A6,DB!1:1,0)+2),FALSE),"")</f>
        <v/>
      </c>
      <c r="FCV6" s="27" t="str">
        <f>IFERROR(VLOOKUP(DATE($K$1,$K$2,FCV$4),Table1[],(MATCH(Calendar!$A6,DB!1:1,0)+2),FALSE),"")</f>
        <v/>
      </c>
      <c r="FCW6" s="27" t="str">
        <f>IFERROR(VLOOKUP(DATE($K$1,$K$2,FCW$4),Table1[],(MATCH(Calendar!$A6,DB!1:1,0)+2),FALSE),"")</f>
        <v/>
      </c>
      <c r="FCX6" s="27" t="str">
        <f>IFERROR(VLOOKUP(DATE($K$1,$K$2,FCX$4),Table1[],(MATCH(Calendar!$A6,DB!1:1,0)+2),FALSE),"")</f>
        <v/>
      </c>
      <c r="FCY6" s="27" t="str">
        <f>IFERROR(VLOOKUP(DATE($K$1,$K$2,FCY$4),Table1[],(MATCH(Calendar!$A6,DB!1:1,0)+2),FALSE),"")</f>
        <v/>
      </c>
      <c r="FCZ6" s="27" t="str">
        <f>IFERROR(VLOOKUP(DATE($K$1,$K$2,FCZ$4),Table1[],(MATCH(Calendar!$A6,DB!1:1,0)+2),FALSE),"")</f>
        <v/>
      </c>
      <c r="FDA6" s="27" t="str">
        <f>IFERROR(VLOOKUP(DATE($K$1,$K$2,FDA$4),Table1[],(MATCH(Calendar!$A6,DB!1:1,0)+2),FALSE),"")</f>
        <v/>
      </c>
      <c r="FDB6" s="27" t="str">
        <f>IFERROR(VLOOKUP(DATE($K$1,$K$2,FDB$4),Table1[],(MATCH(Calendar!$A6,DB!1:1,0)+2),FALSE),"")</f>
        <v/>
      </c>
      <c r="FDC6" s="27" t="str">
        <f>IFERROR(VLOOKUP(DATE($K$1,$K$2,FDC$4),Table1[],(MATCH(Calendar!$A6,DB!1:1,0)+2),FALSE),"")</f>
        <v/>
      </c>
      <c r="FDD6" s="27" t="str">
        <f>IFERROR(VLOOKUP(DATE($K$1,$K$2,FDD$4),Table1[],(MATCH(Calendar!$A6,DB!1:1,0)+2),FALSE),"")</f>
        <v/>
      </c>
      <c r="FDE6" s="27" t="str">
        <f>IFERROR(VLOOKUP(DATE($K$1,$K$2,FDE$4),Table1[],(MATCH(Calendar!$A6,DB!1:1,0)+2),FALSE),"")</f>
        <v/>
      </c>
      <c r="FDF6" s="27" t="str">
        <f>IFERROR(VLOOKUP(DATE($K$1,$K$2,FDF$4),Table1[],(MATCH(Calendar!$A6,DB!1:1,0)+2),FALSE),"")</f>
        <v/>
      </c>
      <c r="FDG6" s="27" t="str">
        <f>IFERROR(VLOOKUP(DATE($K$1,$K$2,FDG$4),Table1[],(MATCH(Calendar!$A6,DB!1:1,0)+2),FALSE),"")</f>
        <v/>
      </c>
      <c r="FDH6" s="27" t="str">
        <f>IFERROR(VLOOKUP(DATE($K$1,$K$2,FDH$4),Table1[],(MATCH(Calendar!$A6,DB!1:1,0)+2),FALSE),"")</f>
        <v/>
      </c>
      <c r="FDI6" s="27" t="str">
        <f>IFERROR(VLOOKUP(DATE($K$1,$K$2,FDI$4),Table1[],(MATCH(Calendar!$A6,DB!1:1,0)+2),FALSE),"")</f>
        <v/>
      </c>
      <c r="FDJ6" s="27" t="str">
        <f>IFERROR(VLOOKUP(DATE($K$1,$K$2,FDJ$4),Table1[],(MATCH(Calendar!$A6,DB!1:1,0)+2),FALSE),"")</f>
        <v/>
      </c>
      <c r="FDK6" s="27" t="str">
        <f>IFERROR(VLOOKUP(DATE($K$1,$K$2,FDK$4),Table1[],(MATCH(Calendar!$A6,DB!1:1,0)+2),FALSE),"")</f>
        <v/>
      </c>
      <c r="FDL6" s="27" t="str">
        <f>IFERROR(VLOOKUP(DATE($K$1,$K$2,FDL$4),Table1[],(MATCH(Calendar!$A6,DB!1:1,0)+2),FALSE),"")</f>
        <v/>
      </c>
      <c r="FDM6" s="27" t="str">
        <f>IFERROR(VLOOKUP(DATE($K$1,$K$2,FDM$4),Table1[],(MATCH(Calendar!$A6,DB!1:1,0)+2),FALSE),"")</f>
        <v/>
      </c>
      <c r="FDN6" s="27" t="str">
        <f>IFERROR(VLOOKUP(DATE($K$1,$K$2,FDN$4),Table1[],(MATCH(Calendar!$A6,DB!1:1,0)+2),FALSE),"")</f>
        <v/>
      </c>
      <c r="FDO6" s="27" t="str">
        <f>IFERROR(VLOOKUP(DATE($K$1,$K$2,FDO$4),Table1[],(MATCH(Calendar!$A6,DB!1:1,0)+2),FALSE),"")</f>
        <v/>
      </c>
      <c r="FDP6" s="27" t="str">
        <f>IFERROR(VLOOKUP(DATE($K$1,$K$2,FDP$4),Table1[],(MATCH(Calendar!$A6,DB!1:1,0)+2),FALSE),"")</f>
        <v/>
      </c>
      <c r="FDQ6" s="27" t="str">
        <f>IFERROR(VLOOKUP(DATE($K$1,$K$2,FDQ$4),Table1[],(MATCH(Calendar!$A6,DB!1:1,0)+2),FALSE),"")</f>
        <v/>
      </c>
      <c r="FDR6" s="27" t="str">
        <f>IFERROR(VLOOKUP(DATE($K$1,$K$2,FDR$4),Table1[],(MATCH(Calendar!$A6,DB!1:1,0)+2),FALSE),"")</f>
        <v/>
      </c>
      <c r="FDS6" s="27" t="str">
        <f>IFERROR(VLOOKUP(DATE($K$1,$K$2,FDS$4),Table1[],(MATCH(Calendar!$A6,DB!1:1,0)+2),FALSE),"")</f>
        <v/>
      </c>
      <c r="FDT6" s="27" t="str">
        <f>IFERROR(VLOOKUP(DATE($K$1,$K$2,FDT$4),Table1[],(MATCH(Calendar!$A6,DB!1:1,0)+2),FALSE),"")</f>
        <v/>
      </c>
      <c r="FDU6" s="27" t="str">
        <f>IFERROR(VLOOKUP(DATE($K$1,$K$2,FDU$4),Table1[],(MATCH(Calendar!$A6,DB!1:1,0)+2),FALSE),"")</f>
        <v/>
      </c>
      <c r="FDV6" s="27" t="str">
        <f>IFERROR(VLOOKUP(DATE($K$1,$K$2,FDV$4),Table1[],(MATCH(Calendar!$A6,DB!1:1,0)+2),FALSE),"")</f>
        <v/>
      </c>
      <c r="FDW6" s="27" t="str">
        <f>IFERROR(VLOOKUP(DATE($K$1,$K$2,FDW$4),Table1[],(MATCH(Calendar!$A6,DB!1:1,0)+2),FALSE),"")</f>
        <v/>
      </c>
      <c r="FDX6" s="27" t="str">
        <f>IFERROR(VLOOKUP(DATE($K$1,$K$2,FDX$4),Table1[],(MATCH(Calendar!$A6,DB!1:1,0)+2),FALSE),"")</f>
        <v/>
      </c>
      <c r="FDY6" s="27" t="str">
        <f>IFERROR(VLOOKUP(DATE($K$1,$K$2,FDY$4),Table1[],(MATCH(Calendar!$A6,DB!1:1,0)+2),FALSE),"")</f>
        <v/>
      </c>
      <c r="FDZ6" s="27" t="str">
        <f>IFERROR(VLOOKUP(DATE($K$1,$K$2,FDZ$4),Table1[],(MATCH(Calendar!$A6,DB!1:1,0)+2),FALSE),"")</f>
        <v/>
      </c>
      <c r="FEA6" s="27" t="str">
        <f>IFERROR(VLOOKUP(DATE($K$1,$K$2,FEA$4),Table1[],(MATCH(Calendar!$A6,DB!1:1,0)+2),FALSE),"")</f>
        <v/>
      </c>
      <c r="FEB6" s="27" t="str">
        <f>IFERROR(VLOOKUP(DATE($K$1,$K$2,FEB$4),Table1[],(MATCH(Calendar!$A6,DB!1:1,0)+2),FALSE),"")</f>
        <v/>
      </c>
      <c r="FEC6" s="27" t="str">
        <f>IFERROR(VLOOKUP(DATE($K$1,$K$2,FEC$4),Table1[],(MATCH(Calendar!$A6,DB!1:1,0)+2),FALSE),"")</f>
        <v/>
      </c>
      <c r="FED6" s="27" t="str">
        <f>IFERROR(VLOOKUP(DATE($K$1,$K$2,FED$4),Table1[],(MATCH(Calendar!$A6,DB!1:1,0)+2),FALSE),"")</f>
        <v/>
      </c>
      <c r="FEE6" s="27" t="str">
        <f>IFERROR(VLOOKUP(DATE($K$1,$K$2,FEE$4),Table1[],(MATCH(Calendar!$A6,DB!1:1,0)+2),FALSE),"")</f>
        <v/>
      </c>
      <c r="FEF6" s="27" t="str">
        <f>IFERROR(VLOOKUP(DATE($K$1,$K$2,FEF$4),Table1[],(MATCH(Calendar!$A6,DB!1:1,0)+2),FALSE),"")</f>
        <v/>
      </c>
      <c r="FEG6" s="27" t="str">
        <f>IFERROR(VLOOKUP(DATE($K$1,$K$2,FEG$4),Table1[],(MATCH(Calendar!$A6,DB!1:1,0)+2),FALSE),"")</f>
        <v/>
      </c>
      <c r="FEH6" s="27" t="str">
        <f>IFERROR(VLOOKUP(DATE($K$1,$K$2,FEH$4),Table1[],(MATCH(Calendar!$A6,DB!1:1,0)+2),FALSE),"")</f>
        <v/>
      </c>
      <c r="FEI6" s="27" t="str">
        <f>IFERROR(VLOOKUP(DATE($K$1,$K$2,FEI$4),Table1[],(MATCH(Calendar!$A6,DB!1:1,0)+2),FALSE),"")</f>
        <v/>
      </c>
      <c r="FEJ6" s="27" t="str">
        <f>IFERROR(VLOOKUP(DATE($K$1,$K$2,FEJ$4),Table1[],(MATCH(Calendar!$A6,DB!1:1,0)+2),FALSE),"")</f>
        <v/>
      </c>
      <c r="FEK6" s="27" t="str">
        <f>IFERROR(VLOOKUP(DATE($K$1,$K$2,FEK$4),Table1[],(MATCH(Calendar!$A6,DB!1:1,0)+2),FALSE),"")</f>
        <v/>
      </c>
      <c r="FEL6" s="27" t="str">
        <f>IFERROR(VLOOKUP(DATE($K$1,$K$2,FEL$4),Table1[],(MATCH(Calendar!$A6,DB!1:1,0)+2),FALSE),"")</f>
        <v/>
      </c>
      <c r="FEM6" s="27" t="str">
        <f>IFERROR(VLOOKUP(DATE($K$1,$K$2,FEM$4),Table1[],(MATCH(Calendar!$A6,DB!1:1,0)+2),FALSE),"")</f>
        <v/>
      </c>
      <c r="FEN6" s="27" t="str">
        <f>IFERROR(VLOOKUP(DATE($K$1,$K$2,FEN$4),Table1[],(MATCH(Calendar!$A6,DB!1:1,0)+2),FALSE),"")</f>
        <v/>
      </c>
      <c r="FEO6" s="27" t="str">
        <f>IFERROR(VLOOKUP(DATE($K$1,$K$2,FEO$4),Table1[],(MATCH(Calendar!$A6,DB!1:1,0)+2),FALSE),"")</f>
        <v/>
      </c>
      <c r="FEP6" s="27" t="str">
        <f>IFERROR(VLOOKUP(DATE($K$1,$K$2,FEP$4),Table1[],(MATCH(Calendar!$A6,DB!1:1,0)+2),FALSE),"")</f>
        <v/>
      </c>
      <c r="FEQ6" s="27" t="str">
        <f>IFERROR(VLOOKUP(DATE($K$1,$K$2,FEQ$4),Table1[],(MATCH(Calendar!$A6,DB!1:1,0)+2),FALSE),"")</f>
        <v/>
      </c>
      <c r="FER6" s="27" t="str">
        <f>IFERROR(VLOOKUP(DATE($K$1,$K$2,FER$4),Table1[],(MATCH(Calendar!$A6,DB!1:1,0)+2),FALSE),"")</f>
        <v/>
      </c>
      <c r="FES6" s="27" t="str">
        <f>IFERROR(VLOOKUP(DATE($K$1,$K$2,FES$4),Table1[],(MATCH(Calendar!$A6,DB!1:1,0)+2),FALSE),"")</f>
        <v/>
      </c>
      <c r="FET6" s="27" t="str">
        <f>IFERROR(VLOOKUP(DATE($K$1,$K$2,FET$4),Table1[],(MATCH(Calendar!$A6,DB!1:1,0)+2),FALSE),"")</f>
        <v/>
      </c>
      <c r="FEU6" s="27" t="str">
        <f>IFERROR(VLOOKUP(DATE($K$1,$K$2,FEU$4),Table1[],(MATCH(Calendar!$A6,DB!1:1,0)+2),FALSE),"")</f>
        <v/>
      </c>
      <c r="FEV6" s="27" t="str">
        <f>IFERROR(VLOOKUP(DATE($K$1,$K$2,FEV$4),Table1[],(MATCH(Calendar!$A6,DB!1:1,0)+2),FALSE),"")</f>
        <v/>
      </c>
      <c r="FEW6" s="27" t="str">
        <f>IFERROR(VLOOKUP(DATE($K$1,$K$2,FEW$4),Table1[],(MATCH(Calendar!$A6,DB!1:1,0)+2),FALSE),"")</f>
        <v/>
      </c>
      <c r="FEX6" s="27" t="str">
        <f>IFERROR(VLOOKUP(DATE($K$1,$K$2,FEX$4),Table1[],(MATCH(Calendar!$A6,DB!1:1,0)+2),FALSE),"")</f>
        <v/>
      </c>
      <c r="FEY6" s="27" t="str">
        <f>IFERROR(VLOOKUP(DATE($K$1,$K$2,FEY$4),Table1[],(MATCH(Calendar!$A6,DB!1:1,0)+2),FALSE),"")</f>
        <v/>
      </c>
      <c r="FEZ6" s="27" t="str">
        <f>IFERROR(VLOOKUP(DATE($K$1,$K$2,FEZ$4),Table1[],(MATCH(Calendar!$A6,DB!1:1,0)+2),FALSE),"")</f>
        <v/>
      </c>
      <c r="FFA6" s="27" t="str">
        <f>IFERROR(VLOOKUP(DATE($K$1,$K$2,FFA$4),Table1[],(MATCH(Calendar!$A6,DB!1:1,0)+2),FALSE),"")</f>
        <v/>
      </c>
      <c r="FFB6" s="27" t="str">
        <f>IFERROR(VLOOKUP(DATE($K$1,$K$2,FFB$4),Table1[],(MATCH(Calendar!$A6,DB!1:1,0)+2),FALSE),"")</f>
        <v/>
      </c>
      <c r="FFC6" s="27" t="str">
        <f>IFERROR(VLOOKUP(DATE($K$1,$K$2,FFC$4),Table1[],(MATCH(Calendar!$A6,DB!1:1,0)+2),FALSE),"")</f>
        <v/>
      </c>
      <c r="FFD6" s="27" t="str">
        <f>IFERROR(VLOOKUP(DATE($K$1,$K$2,FFD$4),Table1[],(MATCH(Calendar!$A6,DB!1:1,0)+2),FALSE),"")</f>
        <v/>
      </c>
      <c r="FFE6" s="27" t="str">
        <f>IFERROR(VLOOKUP(DATE($K$1,$K$2,FFE$4),Table1[],(MATCH(Calendar!$A6,DB!1:1,0)+2),FALSE),"")</f>
        <v/>
      </c>
      <c r="FFF6" s="27" t="str">
        <f>IFERROR(VLOOKUP(DATE($K$1,$K$2,FFF$4),Table1[],(MATCH(Calendar!$A6,DB!1:1,0)+2),FALSE),"")</f>
        <v/>
      </c>
      <c r="FFG6" s="27" t="str">
        <f>IFERROR(VLOOKUP(DATE($K$1,$K$2,FFG$4),Table1[],(MATCH(Calendar!$A6,DB!1:1,0)+2),FALSE),"")</f>
        <v/>
      </c>
      <c r="FFH6" s="27" t="str">
        <f>IFERROR(VLOOKUP(DATE($K$1,$K$2,FFH$4),Table1[],(MATCH(Calendar!$A6,DB!1:1,0)+2),FALSE),"")</f>
        <v/>
      </c>
      <c r="FFI6" s="27" t="str">
        <f>IFERROR(VLOOKUP(DATE($K$1,$K$2,FFI$4),Table1[],(MATCH(Calendar!$A6,DB!1:1,0)+2),FALSE),"")</f>
        <v/>
      </c>
      <c r="FFJ6" s="27" t="str">
        <f>IFERROR(VLOOKUP(DATE($K$1,$K$2,FFJ$4),Table1[],(MATCH(Calendar!$A6,DB!1:1,0)+2),FALSE),"")</f>
        <v/>
      </c>
      <c r="FFK6" s="27" t="str">
        <f>IFERROR(VLOOKUP(DATE($K$1,$K$2,FFK$4),Table1[],(MATCH(Calendar!$A6,DB!1:1,0)+2),FALSE),"")</f>
        <v/>
      </c>
      <c r="FFL6" s="27" t="str">
        <f>IFERROR(VLOOKUP(DATE($K$1,$K$2,FFL$4),Table1[],(MATCH(Calendar!$A6,DB!1:1,0)+2),FALSE),"")</f>
        <v/>
      </c>
      <c r="FFM6" s="27" t="str">
        <f>IFERROR(VLOOKUP(DATE($K$1,$K$2,FFM$4),Table1[],(MATCH(Calendar!$A6,DB!1:1,0)+2),FALSE),"")</f>
        <v/>
      </c>
      <c r="FFN6" s="27" t="str">
        <f>IFERROR(VLOOKUP(DATE($K$1,$K$2,FFN$4),Table1[],(MATCH(Calendar!$A6,DB!1:1,0)+2),FALSE),"")</f>
        <v/>
      </c>
      <c r="FFO6" s="27" t="str">
        <f>IFERROR(VLOOKUP(DATE($K$1,$K$2,FFO$4),Table1[],(MATCH(Calendar!$A6,DB!1:1,0)+2),FALSE),"")</f>
        <v/>
      </c>
      <c r="FFP6" s="27" t="str">
        <f>IFERROR(VLOOKUP(DATE($K$1,$K$2,FFP$4),Table1[],(MATCH(Calendar!$A6,DB!1:1,0)+2),FALSE),"")</f>
        <v/>
      </c>
      <c r="FFQ6" s="27" t="str">
        <f>IFERROR(VLOOKUP(DATE($K$1,$K$2,FFQ$4),Table1[],(MATCH(Calendar!$A6,DB!1:1,0)+2),FALSE),"")</f>
        <v/>
      </c>
      <c r="FFR6" s="27" t="str">
        <f>IFERROR(VLOOKUP(DATE($K$1,$K$2,FFR$4),Table1[],(MATCH(Calendar!$A6,DB!1:1,0)+2),FALSE),"")</f>
        <v/>
      </c>
      <c r="FFS6" s="27" t="str">
        <f>IFERROR(VLOOKUP(DATE($K$1,$K$2,FFS$4),Table1[],(MATCH(Calendar!$A6,DB!1:1,0)+2),FALSE),"")</f>
        <v/>
      </c>
      <c r="FFT6" s="27" t="str">
        <f>IFERROR(VLOOKUP(DATE($K$1,$K$2,FFT$4),Table1[],(MATCH(Calendar!$A6,DB!1:1,0)+2),FALSE),"")</f>
        <v/>
      </c>
      <c r="FFU6" s="27" t="str">
        <f>IFERROR(VLOOKUP(DATE($K$1,$K$2,FFU$4),Table1[],(MATCH(Calendar!$A6,DB!1:1,0)+2),FALSE),"")</f>
        <v/>
      </c>
      <c r="FFV6" s="27" t="str">
        <f>IFERROR(VLOOKUP(DATE($K$1,$K$2,FFV$4),Table1[],(MATCH(Calendar!$A6,DB!1:1,0)+2),FALSE),"")</f>
        <v/>
      </c>
      <c r="FFW6" s="27" t="str">
        <f>IFERROR(VLOOKUP(DATE($K$1,$K$2,FFW$4),Table1[],(MATCH(Calendar!$A6,DB!1:1,0)+2),FALSE),"")</f>
        <v/>
      </c>
      <c r="FFX6" s="27" t="str">
        <f>IFERROR(VLOOKUP(DATE($K$1,$K$2,FFX$4),Table1[],(MATCH(Calendar!$A6,DB!1:1,0)+2),FALSE),"")</f>
        <v/>
      </c>
      <c r="FFY6" s="27" t="str">
        <f>IFERROR(VLOOKUP(DATE($K$1,$K$2,FFY$4),Table1[],(MATCH(Calendar!$A6,DB!1:1,0)+2),FALSE),"")</f>
        <v/>
      </c>
      <c r="FFZ6" s="27" t="str">
        <f>IFERROR(VLOOKUP(DATE($K$1,$K$2,FFZ$4),Table1[],(MATCH(Calendar!$A6,DB!1:1,0)+2),FALSE),"")</f>
        <v/>
      </c>
      <c r="FGA6" s="27" t="str">
        <f>IFERROR(VLOOKUP(DATE($K$1,$K$2,FGA$4),Table1[],(MATCH(Calendar!$A6,DB!1:1,0)+2),FALSE),"")</f>
        <v/>
      </c>
      <c r="FGB6" s="27" t="str">
        <f>IFERROR(VLOOKUP(DATE($K$1,$K$2,FGB$4),Table1[],(MATCH(Calendar!$A6,DB!1:1,0)+2),FALSE),"")</f>
        <v/>
      </c>
      <c r="FGC6" s="27" t="str">
        <f>IFERROR(VLOOKUP(DATE($K$1,$K$2,FGC$4),Table1[],(MATCH(Calendar!$A6,DB!1:1,0)+2),FALSE),"")</f>
        <v/>
      </c>
      <c r="FGD6" s="27" t="str">
        <f>IFERROR(VLOOKUP(DATE($K$1,$K$2,FGD$4),Table1[],(MATCH(Calendar!$A6,DB!1:1,0)+2),FALSE),"")</f>
        <v/>
      </c>
      <c r="FGE6" s="27" t="str">
        <f>IFERROR(VLOOKUP(DATE($K$1,$K$2,FGE$4),Table1[],(MATCH(Calendar!$A6,DB!1:1,0)+2),FALSE),"")</f>
        <v/>
      </c>
      <c r="FGF6" s="27" t="str">
        <f>IFERROR(VLOOKUP(DATE($K$1,$K$2,FGF$4),Table1[],(MATCH(Calendar!$A6,DB!1:1,0)+2),FALSE),"")</f>
        <v/>
      </c>
      <c r="FGG6" s="27" t="str">
        <f>IFERROR(VLOOKUP(DATE($K$1,$K$2,FGG$4),Table1[],(MATCH(Calendar!$A6,DB!1:1,0)+2),FALSE),"")</f>
        <v/>
      </c>
      <c r="FGH6" s="27" t="str">
        <f>IFERROR(VLOOKUP(DATE($K$1,$K$2,FGH$4),Table1[],(MATCH(Calendar!$A6,DB!1:1,0)+2),FALSE),"")</f>
        <v/>
      </c>
      <c r="FGI6" s="27" t="str">
        <f>IFERROR(VLOOKUP(DATE($K$1,$K$2,FGI$4),Table1[],(MATCH(Calendar!$A6,DB!1:1,0)+2),FALSE),"")</f>
        <v/>
      </c>
      <c r="FGJ6" s="27" t="str">
        <f>IFERROR(VLOOKUP(DATE($K$1,$K$2,FGJ$4),Table1[],(MATCH(Calendar!$A6,DB!1:1,0)+2),FALSE),"")</f>
        <v/>
      </c>
      <c r="FGK6" s="27" t="str">
        <f>IFERROR(VLOOKUP(DATE($K$1,$K$2,FGK$4),Table1[],(MATCH(Calendar!$A6,DB!1:1,0)+2),FALSE),"")</f>
        <v/>
      </c>
      <c r="FGL6" s="27" t="str">
        <f>IFERROR(VLOOKUP(DATE($K$1,$K$2,FGL$4),Table1[],(MATCH(Calendar!$A6,DB!1:1,0)+2),FALSE),"")</f>
        <v/>
      </c>
      <c r="FGM6" s="27" t="str">
        <f>IFERROR(VLOOKUP(DATE($K$1,$K$2,FGM$4),Table1[],(MATCH(Calendar!$A6,DB!1:1,0)+2),FALSE),"")</f>
        <v/>
      </c>
      <c r="FGN6" s="27" t="str">
        <f>IFERROR(VLOOKUP(DATE($K$1,$K$2,FGN$4),Table1[],(MATCH(Calendar!$A6,DB!1:1,0)+2),FALSE),"")</f>
        <v/>
      </c>
      <c r="FGO6" s="27" t="str">
        <f>IFERROR(VLOOKUP(DATE($K$1,$K$2,FGO$4),Table1[],(MATCH(Calendar!$A6,DB!1:1,0)+2),FALSE),"")</f>
        <v/>
      </c>
      <c r="FGP6" s="27" t="str">
        <f>IFERROR(VLOOKUP(DATE($K$1,$K$2,FGP$4),Table1[],(MATCH(Calendar!$A6,DB!1:1,0)+2),FALSE),"")</f>
        <v/>
      </c>
      <c r="FGQ6" s="27" t="str">
        <f>IFERROR(VLOOKUP(DATE($K$1,$K$2,FGQ$4),Table1[],(MATCH(Calendar!$A6,DB!1:1,0)+2),FALSE),"")</f>
        <v/>
      </c>
      <c r="FGR6" s="27" t="str">
        <f>IFERROR(VLOOKUP(DATE($K$1,$K$2,FGR$4),Table1[],(MATCH(Calendar!$A6,DB!1:1,0)+2),FALSE),"")</f>
        <v/>
      </c>
      <c r="FGS6" s="27" t="str">
        <f>IFERROR(VLOOKUP(DATE($K$1,$K$2,FGS$4),Table1[],(MATCH(Calendar!$A6,DB!1:1,0)+2),FALSE),"")</f>
        <v/>
      </c>
      <c r="FGT6" s="27" t="str">
        <f>IFERROR(VLOOKUP(DATE($K$1,$K$2,FGT$4),Table1[],(MATCH(Calendar!$A6,DB!1:1,0)+2),FALSE),"")</f>
        <v/>
      </c>
      <c r="FGU6" s="27" t="str">
        <f>IFERROR(VLOOKUP(DATE($K$1,$K$2,FGU$4),Table1[],(MATCH(Calendar!$A6,DB!1:1,0)+2),FALSE),"")</f>
        <v/>
      </c>
      <c r="FGV6" s="27" t="str">
        <f>IFERROR(VLOOKUP(DATE($K$1,$K$2,FGV$4),Table1[],(MATCH(Calendar!$A6,DB!1:1,0)+2),FALSE),"")</f>
        <v/>
      </c>
      <c r="FGW6" s="27" t="str">
        <f>IFERROR(VLOOKUP(DATE($K$1,$K$2,FGW$4),Table1[],(MATCH(Calendar!$A6,DB!1:1,0)+2),FALSE),"")</f>
        <v/>
      </c>
      <c r="FGX6" s="27" t="str">
        <f>IFERROR(VLOOKUP(DATE($K$1,$K$2,FGX$4),Table1[],(MATCH(Calendar!$A6,DB!1:1,0)+2),FALSE),"")</f>
        <v/>
      </c>
      <c r="FGY6" s="27" t="str">
        <f>IFERROR(VLOOKUP(DATE($K$1,$K$2,FGY$4),Table1[],(MATCH(Calendar!$A6,DB!1:1,0)+2),FALSE),"")</f>
        <v/>
      </c>
      <c r="FGZ6" s="27" t="str">
        <f>IFERROR(VLOOKUP(DATE($K$1,$K$2,FGZ$4),Table1[],(MATCH(Calendar!$A6,DB!1:1,0)+2),FALSE),"")</f>
        <v/>
      </c>
      <c r="FHA6" s="27" t="str">
        <f>IFERROR(VLOOKUP(DATE($K$1,$K$2,FHA$4),Table1[],(MATCH(Calendar!$A6,DB!1:1,0)+2),FALSE),"")</f>
        <v/>
      </c>
      <c r="FHB6" s="27" t="str">
        <f>IFERROR(VLOOKUP(DATE($K$1,$K$2,FHB$4),Table1[],(MATCH(Calendar!$A6,DB!1:1,0)+2),FALSE),"")</f>
        <v/>
      </c>
      <c r="FHC6" s="27" t="str">
        <f>IFERROR(VLOOKUP(DATE($K$1,$K$2,FHC$4),Table1[],(MATCH(Calendar!$A6,DB!1:1,0)+2),FALSE),"")</f>
        <v/>
      </c>
      <c r="FHD6" s="27" t="str">
        <f>IFERROR(VLOOKUP(DATE($K$1,$K$2,FHD$4),Table1[],(MATCH(Calendar!$A6,DB!1:1,0)+2),FALSE),"")</f>
        <v/>
      </c>
      <c r="FHE6" s="27" t="str">
        <f>IFERROR(VLOOKUP(DATE($K$1,$K$2,FHE$4),Table1[],(MATCH(Calendar!$A6,DB!1:1,0)+2),FALSE),"")</f>
        <v/>
      </c>
      <c r="FHF6" s="27" t="str">
        <f>IFERROR(VLOOKUP(DATE($K$1,$K$2,FHF$4),Table1[],(MATCH(Calendar!$A6,DB!1:1,0)+2),FALSE),"")</f>
        <v/>
      </c>
      <c r="FHG6" s="27" t="str">
        <f>IFERROR(VLOOKUP(DATE($K$1,$K$2,FHG$4),Table1[],(MATCH(Calendar!$A6,DB!1:1,0)+2),FALSE),"")</f>
        <v/>
      </c>
      <c r="FHH6" s="27" t="str">
        <f>IFERROR(VLOOKUP(DATE($K$1,$K$2,FHH$4),Table1[],(MATCH(Calendar!$A6,DB!1:1,0)+2),FALSE),"")</f>
        <v/>
      </c>
      <c r="FHI6" s="27" t="str">
        <f>IFERROR(VLOOKUP(DATE($K$1,$K$2,FHI$4),Table1[],(MATCH(Calendar!$A6,DB!1:1,0)+2),FALSE),"")</f>
        <v/>
      </c>
      <c r="FHJ6" s="27" t="str">
        <f>IFERROR(VLOOKUP(DATE($K$1,$K$2,FHJ$4),Table1[],(MATCH(Calendar!$A6,DB!1:1,0)+2),FALSE),"")</f>
        <v/>
      </c>
      <c r="FHK6" s="27" t="str">
        <f>IFERROR(VLOOKUP(DATE($K$1,$K$2,FHK$4),Table1[],(MATCH(Calendar!$A6,DB!1:1,0)+2),FALSE),"")</f>
        <v/>
      </c>
      <c r="FHL6" s="27" t="str">
        <f>IFERROR(VLOOKUP(DATE($K$1,$K$2,FHL$4),Table1[],(MATCH(Calendar!$A6,DB!1:1,0)+2),FALSE),"")</f>
        <v/>
      </c>
      <c r="FHM6" s="27" t="str">
        <f>IFERROR(VLOOKUP(DATE($K$1,$K$2,FHM$4),Table1[],(MATCH(Calendar!$A6,DB!1:1,0)+2),FALSE),"")</f>
        <v/>
      </c>
      <c r="FHN6" s="27" t="str">
        <f>IFERROR(VLOOKUP(DATE($K$1,$K$2,FHN$4),Table1[],(MATCH(Calendar!$A6,DB!1:1,0)+2),FALSE),"")</f>
        <v/>
      </c>
      <c r="FHO6" s="27" t="str">
        <f>IFERROR(VLOOKUP(DATE($K$1,$K$2,FHO$4),Table1[],(MATCH(Calendar!$A6,DB!1:1,0)+2),FALSE),"")</f>
        <v/>
      </c>
      <c r="FHP6" s="27" t="str">
        <f>IFERROR(VLOOKUP(DATE($K$1,$K$2,FHP$4),Table1[],(MATCH(Calendar!$A6,DB!1:1,0)+2),FALSE),"")</f>
        <v/>
      </c>
      <c r="FHQ6" s="27" t="str">
        <f>IFERROR(VLOOKUP(DATE($K$1,$K$2,FHQ$4),Table1[],(MATCH(Calendar!$A6,DB!1:1,0)+2),FALSE),"")</f>
        <v/>
      </c>
      <c r="FHR6" s="27" t="str">
        <f>IFERROR(VLOOKUP(DATE($K$1,$K$2,FHR$4),Table1[],(MATCH(Calendar!$A6,DB!1:1,0)+2),FALSE),"")</f>
        <v/>
      </c>
      <c r="FHS6" s="27" t="str">
        <f>IFERROR(VLOOKUP(DATE($K$1,$K$2,FHS$4),Table1[],(MATCH(Calendar!$A6,DB!1:1,0)+2),FALSE),"")</f>
        <v/>
      </c>
      <c r="FHT6" s="27" t="str">
        <f>IFERROR(VLOOKUP(DATE($K$1,$K$2,FHT$4),Table1[],(MATCH(Calendar!$A6,DB!1:1,0)+2),FALSE),"")</f>
        <v/>
      </c>
      <c r="FHU6" s="27" t="str">
        <f>IFERROR(VLOOKUP(DATE($K$1,$K$2,FHU$4),Table1[],(MATCH(Calendar!$A6,DB!1:1,0)+2),FALSE),"")</f>
        <v/>
      </c>
      <c r="FHV6" s="27" t="str">
        <f>IFERROR(VLOOKUP(DATE($K$1,$K$2,FHV$4),Table1[],(MATCH(Calendar!$A6,DB!1:1,0)+2),FALSE),"")</f>
        <v/>
      </c>
      <c r="FHW6" s="27" t="str">
        <f>IFERROR(VLOOKUP(DATE($K$1,$K$2,FHW$4),Table1[],(MATCH(Calendar!$A6,DB!1:1,0)+2),FALSE),"")</f>
        <v/>
      </c>
      <c r="FHX6" s="27" t="str">
        <f>IFERROR(VLOOKUP(DATE($K$1,$K$2,FHX$4),Table1[],(MATCH(Calendar!$A6,DB!1:1,0)+2),FALSE),"")</f>
        <v/>
      </c>
      <c r="FHY6" s="27" t="str">
        <f>IFERROR(VLOOKUP(DATE($K$1,$K$2,FHY$4),Table1[],(MATCH(Calendar!$A6,DB!1:1,0)+2),FALSE),"")</f>
        <v/>
      </c>
      <c r="FHZ6" s="27" t="str">
        <f>IFERROR(VLOOKUP(DATE($K$1,$K$2,FHZ$4),Table1[],(MATCH(Calendar!$A6,DB!1:1,0)+2),FALSE),"")</f>
        <v/>
      </c>
      <c r="FIA6" s="27" t="str">
        <f>IFERROR(VLOOKUP(DATE($K$1,$K$2,FIA$4),Table1[],(MATCH(Calendar!$A6,DB!1:1,0)+2),FALSE),"")</f>
        <v/>
      </c>
      <c r="FIB6" s="27" t="str">
        <f>IFERROR(VLOOKUP(DATE($K$1,$K$2,FIB$4),Table1[],(MATCH(Calendar!$A6,DB!1:1,0)+2),FALSE),"")</f>
        <v/>
      </c>
      <c r="FIC6" s="27" t="str">
        <f>IFERROR(VLOOKUP(DATE($K$1,$K$2,FIC$4),Table1[],(MATCH(Calendar!$A6,DB!1:1,0)+2),FALSE),"")</f>
        <v/>
      </c>
      <c r="FID6" s="27" t="str">
        <f>IFERROR(VLOOKUP(DATE($K$1,$K$2,FID$4),Table1[],(MATCH(Calendar!$A6,DB!1:1,0)+2),FALSE),"")</f>
        <v/>
      </c>
      <c r="FIE6" s="27" t="str">
        <f>IFERROR(VLOOKUP(DATE($K$1,$K$2,FIE$4),Table1[],(MATCH(Calendar!$A6,DB!1:1,0)+2),FALSE),"")</f>
        <v/>
      </c>
      <c r="FIF6" s="27" t="str">
        <f>IFERROR(VLOOKUP(DATE($K$1,$K$2,FIF$4),Table1[],(MATCH(Calendar!$A6,DB!1:1,0)+2),FALSE),"")</f>
        <v/>
      </c>
      <c r="FIG6" s="27" t="str">
        <f>IFERROR(VLOOKUP(DATE($K$1,$K$2,FIG$4),Table1[],(MATCH(Calendar!$A6,DB!1:1,0)+2),FALSE),"")</f>
        <v/>
      </c>
      <c r="FIH6" s="27" t="str">
        <f>IFERROR(VLOOKUP(DATE($K$1,$K$2,FIH$4),Table1[],(MATCH(Calendar!$A6,DB!1:1,0)+2),FALSE),"")</f>
        <v/>
      </c>
      <c r="FII6" s="27" t="str">
        <f>IFERROR(VLOOKUP(DATE($K$1,$K$2,FII$4),Table1[],(MATCH(Calendar!$A6,DB!1:1,0)+2),FALSE),"")</f>
        <v/>
      </c>
      <c r="FIJ6" s="27" t="str">
        <f>IFERROR(VLOOKUP(DATE($K$1,$K$2,FIJ$4),Table1[],(MATCH(Calendar!$A6,DB!1:1,0)+2),FALSE),"")</f>
        <v/>
      </c>
      <c r="FIK6" s="27" t="str">
        <f>IFERROR(VLOOKUP(DATE($K$1,$K$2,FIK$4),Table1[],(MATCH(Calendar!$A6,DB!1:1,0)+2),FALSE),"")</f>
        <v/>
      </c>
      <c r="FIL6" s="27" t="str">
        <f>IFERROR(VLOOKUP(DATE($K$1,$K$2,FIL$4),Table1[],(MATCH(Calendar!$A6,DB!1:1,0)+2),FALSE),"")</f>
        <v/>
      </c>
      <c r="FIM6" s="27" t="str">
        <f>IFERROR(VLOOKUP(DATE($K$1,$K$2,FIM$4),Table1[],(MATCH(Calendar!$A6,DB!1:1,0)+2),FALSE),"")</f>
        <v/>
      </c>
      <c r="FIN6" s="27" t="str">
        <f>IFERROR(VLOOKUP(DATE($K$1,$K$2,FIN$4),Table1[],(MATCH(Calendar!$A6,DB!1:1,0)+2),FALSE),"")</f>
        <v/>
      </c>
      <c r="FIO6" s="27" t="str">
        <f>IFERROR(VLOOKUP(DATE($K$1,$K$2,FIO$4),Table1[],(MATCH(Calendar!$A6,DB!1:1,0)+2),FALSE),"")</f>
        <v/>
      </c>
      <c r="FIP6" s="27" t="str">
        <f>IFERROR(VLOOKUP(DATE($K$1,$K$2,FIP$4),Table1[],(MATCH(Calendar!$A6,DB!1:1,0)+2),FALSE),"")</f>
        <v/>
      </c>
      <c r="FIQ6" s="27" t="str">
        <f>IFERROR(VLOOKUP(DATE($K$1,$K$2,FIQ$4),Table1[],(MATCH(Calendar!$A6,DB!1:1,0)+2),FALSE),"")</f>
        <v/>
      </c>
      <c r="FIR6" s="27" t="str">
        <f>IFERROR(VLOOKUP(DATE($K$1,$K$2,FIR$4),Table1[],(MATCH(Calendar!$A6,DB!1:1,0)+2),FALSE),"")</f>
        <v/>
      </c>
      <c r="FIS6" s="27" t="str">
        <f>IFERROR(VLOOKUP(DATE($K$1,$K$2,FIS$4),Table1[],(MATCH(Calendar!$A6,DB!1:1,0)+2),FALSE),"")</f>
        <v/>
      </c>
      <c r="FIT6" s="27" t="str">
        <f>IFERROR(VLOOKUP(DATE($K$1,$K$2,FIT$4),Table1[],(MATCH(Calendar!$A6,DB!1:1,0)+2),FALSE),"")</f>
        <v/>
      </c>
      <c r="FIU6" s="27" t="str">
        <f>IFERROR(VLOOKUP(DATE($K$1,$K$2,FIU$4),Table1[],(MATCH(Calendar!$A6,DB!1:1,0)+2),FALSE),"")</f>
        <v/>
      </c>
      <c r="FIV6" s="27" t="str">
        <f>IFERROR(VLOOKUP(DATE($K$1,$K$2,FIV$4),Table1[],(MATCH(Calendar!$A6,DB!1:1,0)+2),FALSE),"")</f>
        <v/>
      </c>
      <c r="FIW6" s="27" t="str">
        <f>IFERROR(VLOOKUP(DATE($K$1,$K$2,FIW$4),Table1[],(MATCH(Calendar!$A6,DB!1:1,0)+2),FALSE),"")</f>
        <v/>
      </c>
      <c r="FIX6" s="27" t="str">
        <f>IFERROR(VLOOKUP(DATE($K$1,$K$2,FIX$4),Table1[],(MATCH(Calendar!$A6,DB!1:1,0)+2),FALSE),"")</f>
        <v/>
      </c>
      <c r="FIY6" s="27" t="str">
        <f>IFERROR(VLOOKUP(DATE($K$1,$K$2,FIY$4),Table1[],(MATCH(Calendar!$A6,DB!1:1,0)+2),FALSE),"")</f>
        <v/>
      </c>
      <c r="FIZ6" s="27" t="str">
        <f>IFERROR(VLOOKUP(DATE($K$1,$K$2,FIZ$4),Table1[],(MATCH(Calendar!$A6,DB!1:1,0)+2),FALSE),"")</f>
        <v/>
      </c>
      <c r="FJA6" s="27" t="str">
        <f>IFERROR(VLOOKUP(DATE($K$1,$K$2,FJA$4),Table1[],(MATCH(Calendar!$A6,DB!1:1,0)+2),FALSE),"")</f>
        <v/>
      </c>
      <c r="FJB6" s="27" t="str">
        <f>IFERROR(VLOOKUP(DATE($K$1,$K$2,FJB$4),Table1[],(MATCH(Calendar!$A6,DB!1:1,0)+2),FALSE),"")</f>
        <v/>
      </c>
      <c r="FJC6" s="27" t="str">
        <f>IFERROR(VLOOKUP(DATE($K$1,$K$2,FJC$4),Table1[],(MATCH(Calendar!$A6,DB!1:1,0)+2),FALSE),"")</f>
        <v/>
      </c>
      <c r="FJD6" s="27" t="str">
        <f>IFERROR(VLOOKUP(DATE($K$1,$K$2,FJD$4),Table1[],(MATCH(Calendar!$A6,DB!1:1,0)+2),FALSE),"")</f>
        <v/>
      </c>
      <c r="FJE6" s="27" t="str">
        <f>IFERROR(VLOOKUP(DATE($K$1,$K$2,FJE$4),Table1[],(MATCH(Calendar!$A6,DB!1:1,0)+2),FALSE),"")</f>
        <v/>
      </c>
      <c r="FJF6" s="27" t="str">
        <f>IFERROR(VLOOKUP(DATE($K$1,$K$2,FJF$4),Table1[],(MATCH(Calendar!$A6,DB!1:1,0)+2),FALSE),"")</f>
        <v/>
      </c>
      <c r="FJG6" s="27" t="str">
        <f>IFERROR(VLOOKUP(DATE($K$1,$K$2,FJG$4),Table1[],(MATCH(Calendar!$A6,DB!1:1,0)+2),FALSE),"")</f>
        <v/>
      </c>
      <c r="FJH6" s="27" t="str">
        <f>IFERROR(VLOOKUP(DATE($K$1,$K$2,FJH$4),Table1[],(MATCH(Calendar!$A6,DB!1:1,0)+2),FALSE),"")</f>
        <v/>
      </c>
      <c r="FJI6" s="27" t="str">
        <f>IFERROR(VLOOKUP(DATE($K$1,$K$2,FJI$4),Table1[],(MATCH(Calendar!$A6,DB!1:1,0)+2),FALSE),"")</f>
        <v/>
      </c>
      <c r="FJJ6" s="27" t="str">
        <f>IFERROR(VLOOKUP(DATE($K$1,$K$2,FJJ$4),Table1[],(MATCH(Calendar!$A6,DB!1:1,0)+2),FALSE),"")</f>
        <v/>
      </c>
      <c r="FJK6" s="27" t="str">
        <f>IFERROR(VLOOKUP(DATE($K$1,$K$2,FJK$4),Table1[],(MATCH(Calendar!$A6,DB!1:1,0)+2),FALSE),"")</f>
        <v/>
      </c>
      <c r="FJL6" s="27" t="str">
        <f>IFERROR(VLOOKUP(DATE($K$1,$K$2,FJL$4),Table1[],(MATCH(Calendar!$A6,DB!1:1,0)+2),FALSE),"")</f>
        <v/>
      </c>
      <c r="FJM6" s="27" t="str">
        <f>IFERROR(VLOOKUP(DATE($K$1,$K$2,FJM$4),Table1[],(MATCH(Calendar!$A6,DB!1:1,0)+2),FALSE),"")</f>
        <v/>
      </c>
      <c r="FJN6" s="27" t="str">
        <f>IFERROR(VLOOKUP(DATE($K$1,$K$2,FJN$4),Table1[],(MATCH(Calendar!$A6,DB!1:1,0)+2),FALSE),"")</f>
        <v/>
      </c>
      <c r="FJO6" s="27" t="str">
        <f>IFERROR(VLOOKUP(DATE($K$1,$K$2,FJO$4),Table1[],(MATCH(Calendar!$A6,DB!1:1,0)+2),FALSE),"")</f>
        <v/>
      </c>
      <c r="FJP6" s="27" t="str">
        <f>IFERROR(VLOOKUP(DATE($K$1,$K$2,FJP$4),Table1[],(MATCH(Calendar!$A6,DB!1:1,0)+2),FALSE),"")</f>
        <v/>
      </c>
      <c r="FJQ6" s="27" t="str">
        <f>IFERROR(VLOOKUP(DATE($K$1,$K$2,FJQ$4),Table1[],(MATCH(Calendar!$A6,DB!1:1,0)+2),FALSE),"")</f>
        <v/>
      </c>
      <c r="FJR6" s="27" t="str">
        <f>IFERROR(VLOOKUP(DATE($K$1,$K$2,FJR$4),Table1[],(MATCH(Calendar!$A6,DB!1:1,0)+2),FALSE),"")</f>
        <v/>
      </c>
      <c r="FJS6" s="27" t="str">
        <f>IFERROR(VLOOKUP(DATE($K$1,$K$2,FJS$4),Table1[],(MATCH(Calendar!$A6,DB!1:1,0)+2),FALSE),"")</f>
        <v/>
      </c>
      <c r="FJT6" s="27" t="str">
        <f>IFERROR(VLOOKUP(DATE($K$1,$K$2,FJT$4),Table1[],(MATCH(Calendar!$A6,DB!1:1,0)+2),FALSE),"")</f>
        <v/>
      </c>
      <c r="FJU6" s="27" t="str">
        <f>IFERROR(VLOOKUP(DATE($K$1,$K$2,FJU$4),Table1[],(MATCH(Calendar!$A6,DB!1:1,0)+2),FALSE),"")</f>
        <v/>
      </c>
      <c r="FJV6" s="27" t="str">
        <f>IFERROR(VLOOKUP(DATE($K$1,$K$2,FJV$4),Table1[],(MATCH(Calendar!$A6,DB!1:1,0)+2),FALSE),"")</f>
        <v/>
      </c>
      <c r="FJW6" s="27" t="str">
        <f>IFERROR(VLOOKUP(DATE($K$1,$K$2,FJW$4),Table1[],(MATCH(Calendar!$A6,DB!1:1,0)+2),FALSE),"")</f>
        <v/>
      </c>
      <c r="FJX6" s="27" t="str">
        <f>IFERROR(VLOOKUP(DATE($K$1,$K$2,FJX$4),Table1[],(MATCH(Calendar!$A6,DB!1:1,0)+2),FALSE),"")</f>
        <v/>
      </c>
      <c r="FJY6" s="27" t="str">
        <f>IFERROR(VLOOKUP(DATE($K$1,$K$2,FJY$4),Table1[],(MATCH(Calendar!$A6,DB!1:1,0)+2),FALSE),"")</f>
        <v/>
      </c>
      <c r="FJZ6" s="27" t="str">
        <f>IFERROR(VLOOKUP(DATE($K$1,$K$2,FJZ$4),Table1[],(MATCH(Calendar!$A6,DB!1:1,0)+2),FALSE),"")</f>
        <v/>
      </c>
      <c r="FKA6" s="27" t="str">
        <f>IFERROR(VLOOKUP(DATE($K$1,$K$2,FKA$4),Table1[],(MATCH(Calendar!$A6,DB!1:1,0)+2),FALSE),"")</f>
        <v/>
      </c>
      <c r="FKB6" s="27" t="str">
        <f>IFERROR(VLOOKUP(DATE($K$1,$K$2,FKB$4),Table1[],(MATCH(Calendar!$A6,DB!1:1,0)+2),FALSE),"")</f>
        <v/>
      </c>
      <c r="FKC6" s="27" t="str">
        <f>IFERROR(VLOOKUP(DATE($K$1,$K$2,FKC$4),Table1[],(MATCH(Calendar!$A6,DB!1:1,0)+2),FALSE),"")</f>
        <v/>
      </c>
      <c r="FKD6" s="27" t="str">
        <f>IFERROR(VLOOKUP(DATE($K$1,$K$2,FKD$4),Table1[],(MATCH(Calendar!$A6,DB!1:1,0)+2),FALSE),"")</f>
        <v/>
      </c>
      <c r="FKE6" s="27" t="str">
        <f>IFERROR(VLOOKUP(DATE($K$1,$K$2,FKE$4),Table1[],(MATCH(Calendar!$A6,DB!1:1,0)+2),FALSE),"")</f>
        <v/>
      </c>
      <c r="FKF6" s="27" t="str">
        <f>IFERROR(VLOOKUP(DATE($K$1,$K$2,FKF$4),Table1[],(MATCH(Calendar!$A6,DB!1:1,0)+2),FALSE),"")</f>
        <v/>
      </c>
      <c r="FKG6" s="27" t="str">
        <f>IFERROR(VLOOKUP(DATE($K$1,$K$2,FKG$4),Table1[],(MATCH(Calendar!$A6,DB!1:1,0)+2),FALSE),"")</f>
        <v/>
      </c>
      <c r="FKH6" s="27" t="str">
        <f>IFERROR(VLOOKUP(DATE($K$1,$K$2,FKH$4),Table1[],(MATCH(Calendar!$A6,DB!1:1,0)+2),FALSE),"")</f>
        <v/>
      </c>
      <c r="FKI6" s="27" t="str">
        <f>IFERROR(VLOOKUP(DATE($K$1,$K$2,FKI$4),Table1[],(MATCH(Calendar!$A6,DB!1:1,0)+2),FALSE),"")</f>
        <v/>
      </c>
      <c r="FKJ6" s="27" t="str">
        <f>IFERROR(VLOOKUP(DATE($K$1,$K$2,FKJ$4),Table1[],(MATCH(Calendar!$A6,DB!1:1,0)+2),FALSE),"")</f>
        <v/>
      </c>
      <c r="FKK6" s="27" t="str">
        <f>IFERROR(VLOOKUP(DATE($K$1,$K$2,FKK$4),Table1[],(MATCH(Calendar!$A6,DB!1:1,0)+2),FALSE),"")</f>
        <v/>
      </c>
      <c r="FKL6" s="27" t="str">
        <f>IFERROR(VLOOKUP(DATE($K$1,$K$2,FKL$4),Table1[],(MATCH(Calendar!$A6,DB!1:1,0)+2),FALSE),"")</f>
        <v/>
      </c>
      <c r="FKM6" s="27" t="str">
        <f>IFERROR(VLOOKUP(DATE($K$1,$K$2,FKM$4),Table1[],(MATCH(Calendar!$A6,DB!1:1,0)+2),FALSE),"")</f>
        <v/>
      </c>
      <c r="FKN6" s="27" t="str">
        <f>IFERROR(VLOOKUP(DATE($K$1,$K$2,FKN$4),Table1[],(MATCH(Calendar!$A6,DB!1:1,0)+2),FALSE),"")</f>
        <v/>
      </c>
      <c r="FKO6" s="27" t="str">
        <f>IFERROR(VLOOKUP(DATE($K$1,$K$2,FKO$4),Table1[],(MATCH(Calendar!$A6,DB!1:1,0)+2),FALSE),"")</f>
        <v/>
      </c>
      <c r="FKP6" s="27" t="str">
        <f>IFERROR(VLOOKUP(DATE($K$1,$K$2,FKP$4),Table1[],(MATCH(Calendar!$A6,DB!1:1,0)+2),FALSE),"")</f>
        <v/>
      </c>
      <c r="FKQ6" s="27" t="str">
        <f>IFERROR(VLOOKUP(DATE($K$1,$K$2,FKQ$4),Table1[],(MATCH(Calendar!$A6,DB!1:1,0)+2),FALSE),"")</f>
        <v/>
      </c>
      <c r="FKR6" s="27" t="str">
        <f>IFERROR(VLOOKUP(DATE($K$1,$K$2,FKR$4),Table1[],(MATCH(Calendar!$A6,DB!1:1,0)+2),FALSE),"")</f>
        <v/>
      </c>
      <c r="FKS6" s="27" t="str">
        <f>IFERROR(VLOOKUP(DATE($K$1,$K$2,FKS$4),Table1[],(MATCH(Calendar!$A6,DB!1:1,0)+2),FALSE),"")</f>
        <v/>
      </c>
      <c r="FKT6" s="27" t="str">
        <f>IFERROR(VLOOKUP(DATE($K$1,$K$2,FKT$4),Table1[],(MATCH(Calendar!$A6,DB!1:1,0)+2),FALSE),"")</f>
        <v/>
      </c>
      <c r="FKU6" s="27" t="str">
        <f>IFERROR(VLOOKUP(DATE($K$1,$K$2,FKU$4),Table1[],(MATCH(Calendar!$A6,DB!1:1,0)+2),FALSE),"")</f>
        <v/>
      </c>
      <c r="FKV6" s="27" t="str">
        <f>IFERROR(VLOOKUP(DATE($K$1,$K$2,FKV$4),Table1[],(MATCH(Calendar!$A6,DB!1:1,0)+2),FALSE),"")</f>
        <v/>
      </c>
      <c r="FKW6" s="27" t="str">
        <f>IFERROR(VLOOKUP(DATE($K$1,$K$2,FKW$4),Table1[],(MATCH(Calendar!$A6,DB!1:1,0)+2),FALSE),"")</f>
        <v/>
      </c>
      <c r="FKX6" s="27" t="str">
        <f>IFERROR(VLOOKUP(DATE($K$1,$K$2,FKX$4),Table1[],(MATCH(Calendar!$A6,DB!1:1,0)+2),FALSE),"")</f>
        <v/>
      </c>
      <c r="FKY6" s="27" t="str">
        <f>IFERROR(VLOOKUP(DATE($K$1,$K$2,FKY$4),Table1[],(MATCH(Calendar!$A6,DB!1:1,0)+2),FALSE),"")</f>
        <v/>
      </c>
      <c r="FKZ6" s="27" t="str">
        <f>IFERROR(VLOOKUP(DATE($K$1,$K$2,FKZ$4),Table1[],(MATCH(Calendar!$A6,DB!1:1,0)+2),FALSE),"")</f>
        <v/>
      </c>
      <c r="FLA6" s="27" t="str">
        <f>IFERROR(VLOOKUP(DATE($K$1,$K$2,FLA$4),Table1[],(MATCH(Calendar!$A6,DB!1:1,0)+2),FALSE),"")</f>
        <v/>
      </c>
      <c r="FLB6" s="27" t="str">
        <f>IFERROR(VLOOKUP(DATE($K$1,$K$2,FLB$4),Table1[],(MATCH(Calendar!$A6,DB!1:1,0)+2),FALSE),"")</f>
        <v/>
      </c>
      <c r="FLC6" s="27" t="str">
        <f>IFERROR(VLOOKUP(DATE($K$1,$K$2,FLC$4),Table1[],(MATCH(Calendar!$A6,DB!1:1,0)+2),FALSE),"")</f>
        <v/>
      </c>
      <c r="FLD6" s="27" t="str">
        <f>IFERROR(VLOOKUP(DATE($K$1,$K$2,FLD$4),Table1[],(MATCH(Calendar!$A6,DB!1:1,0)+2),FALSE),"")</f>
        <v/>
      </c>
      <c r="FLE6" s="27" t="str">
        <f>IFERROR(VLOOKUP(DATE($K$1,$K$2,FLE$4),Table1[],(MATCH(Calendar!$A6,DB!1:1,0)+2),FALSE),"")</f>
        <v/>
      </c>
      <c r="FLF6" s="27" t="str">
        <f>IFERROR(VLOOKUP(DATE($K$1,$K$2,FLF$4),Table1[],(MATCH(Calendar!$A6,DB!1:1,0)+2),FALSE),"")</f>
        <v/>
      </c>
      <c r="FLG6" s="27" t="str">
        <f>IFERROR(VLOOKUP(DATE($K$1,$K$2,FLG$4),Table1[],(MATCH(Calendar!$A6,DB!1:1,0)+2),FALSE),"")</f>
        <v/>
      </c>
      <c r="FLH6" s="27" t="str">
        <f>IFERROR(VLOOKUP(DATE($K$1,$K$2,FLH$4),Table1[],(MATCH(Calendar!$A6,DB!1:1,0)+2),FALSE),"")</f>
        <v/>
      </c>
      <c r="FLI6" s="27" t="str">
        <f>IFERROR(VLOOKUP(DATE($K$1,$K$2,FLI$4),Table1[],(MATCH(Calendar!$A6,DB!1:1,0)+2),FALSE),"")</f>
        <v/>
      </c>
      <c r="FLJ6" s="27" t="str">
        <f>IFERROR(VLOOKUP(DATE($K$1,$K$2,FLJ$4),Table1[],(MATCH(Calendar!$A6,DB!1:1,0)+2),FALSE),"")</f>
        <v/>
      </c>
      <c r="FLK6" s="27" t="str">
        <f>IFERROR(VLOOKUP(DATE($K$1,$K$2,FLK$4),Table1[],(MATCH(Calendar!$A6,DB!1:1,0)+2),FALSE),"")</f>
        <v/>
      </c>
      <c r="FLL6" s="27" t="str">
        <f>IFERROR(VLOOKUP(DATE($K$1,$K$2,FLL$4),Table1[],(MATCH(Calendar!$A6,DB!1:1,0)+2),FALSE),"")</f>
        <v/>
      </c>
      <c r="FLM6" s="27" t="str">
        <f>IFERROR(VLOOKUP(DATE($K$1,$K$2,FLM$4),Table1[],(MATCH(Calendar!$A6,DB!1:1,0)+2),FALSE),"")</f>
        <v/>
      </c>
      <c r="FLN6" s="27" t="str">
        <f>IFERROR(VLOOKUP(DATE($K$1,$K$2,FLN$4),Table1[],(MATCH(Calendar!$A6,DB!1:1,0)+2),FALSE),"")</f>
        <v/>
      </c>
      <c r="FLO6" s="27" t="str">
        <f>IFERROR(VLOOKUP(DATE($K$1,$K$2,FLO$4),Table1[],(MATCH(Calendar!$A6,DB!1:1,0)+2),FALSE),"")</f>
        <v/>
      </c>
      <c r="FLP6" s="27" t="str">
        <f>IFERROR(VLOOKUP(DATE($K$1,$K$2,FLP$4),Table1[],(MATCH(Calendar!$A6,DB!1:1,0)+2),FALSE),"")</f>
        <v/>
      </c>
      <c r="FLQ6" s="27" t="str">
        <f>IFERROR(VLOOKUP(DATE($K$1,$K$2,FLQ$4),Table1[],(MATCH(Calendar!$A6,DB!1:1,0)+2),FALSE),"")</f>
        <v/>
      </c>
      <c r="FLR6" s="27" t="str">
        <f>IFERROR(VLOOKUP(DATE($K$1,$K$2,FLR$4),Table1[],(MATCH(Calendar!$A6,DB!1:1,0)+2),FALSE),"")</f>
        <v/>
      </c>
      <c r="FLS6" s="27" t="str">
        <f>IFERROR(VLOOKUP(DATE($K$1,$K$2,FLS$4),Table1[],(MATCH(Calendar!$A6,DB!1:1,0)+2),FALSE),"")</f>
        <v/>
      </c>
      <c r="FLT6" s="27" t="str">
        <f>IFERROR(VLOOKUP(DATE($K$1,$K$2,FLT$4),Table1[],(MATCH(Calendar!$A6,DB!1:1,0)+2),FALSE),"")</f>
        <v/>
      </c>
      <c r="FLU6" s="27" t="str">
        <f>IFERROR(VLOOKUP(DATE($K$1,$K$2,FLU$4),Table1[],(MATCH(Calendar!$A6,DB!1:1,0)+2),FALSE),"")</f>
        <v/>
      </c>
      <c r="FLV6" s="27" t="str">
        <f>IFERROR(VLOOKUP(DATE($K$1,$K$2,FLV$4),Table1[],(MATCH(Calendar!$A6,DB!1:1,0)+2),FALSE),"")</f>
        <v/>
      </c>
      <c r="FLW6" s="27" t="str">
        <f>IFERROR(VLOOKUP(DATE($K$1,$K$2,FLW$4),Table1[],(MATCH(Calendar!$A6,DB!1:1,0)+2),FALSE),"")</f>
        <v/>
      </c>
      <c r="FLX6" s="27" t="str">
        <f>IFERROR(VLOOKUP(DATE($K$1,$K$2,FLX$4),Table1[],(MATCH(Calendar!$A6,DB!1:1,0)+2),FALSE),"")</f>
        <v/>
      </c>
      <c r="FLY6" s="27" t="str">
        <f>IFERROR(VLOOKUP(DATE($K$1,$K$2,FLY$4),Table1[],(MATCH(Calendar!$A6,DB!1:1,0)+2),FALSE),"")</f>
        <v/>
      </c>
      <c r="FLZ6" s="27" t="str">
        <f>IFERROR(VLOOKUP(DATE($K$1,$K$2,FLZ$4),Table1[],(MATCH(Calendar!$A6,DB!1:1,0)+2),FALSE),"")</f>
        <v/>
      </c>
      <c r="FMA6" s="27" t="str">
        <f>IFERROR(VLOOKUP(DATE($K$1,$K$2,FMA$4),Table1[],(MATCH(Calendar!$A6,DB!1:1,0)+2),FALSE),"")</f>
        <v/>
      </c>
      <c r="FMB6" s="27" t="str">
        <f>IFERROR(VLOOKUP(DATE($K$1,$K$2,FMB$4),Table1[],(MATCH(Calendar!$A6,DB!1:1,0)+2),FALSE),"")</f>
        <v/>
      </c>
      <c r="FMC6" s="27" t="str">
        <f>IFERROR(VLOOKUP(DATE($K$1,$K$2,FMC$4),Table1[],(MATCH(Calendar!$A6,DB!1:1,0)+2),FALSE),"")</f>
        <v/>
      </c>
      <c r="FMD6" s="27" t="str">
        <f>IFERROR(VLOOKUP(DATE($K$1,$K$2,FMD$4),Table1[],(MATCH(Calendar!$A6,DB!1:1,0)+2),FALSE),"")</f>
        <v/>
      </c>
      <c r="FME6" s="27" t="str">
        <f>IFERROR(VLOOKUP(DATE($K$1,$K$2,FME$4),Table1[],(MATCH(Calendar!$A6,DB!1:1,0)+2),FALSE),"")</f>
        <v/>
      </c>
      <c r="FMF6" s="27" t="str">
        <f>IFERROR(VLOOKUP(DATE($K$1,$K$2,FMF$4),Table1[],(MATCH(Calendar!$A6,DB!1:1,0)+2),FALSE),"")</f>
        <v/>
      </c>
      <c r="FMG6" s="27" t="str">
        <f>IFERROR(VLOOKUP(DATE($K$1,$K$2,FMG$4),Table1[],(MATCH(Calendar!$A6,DB!1:1,0)+2),FALSE),"")</f>
        <v/>
      </c>
      <c r="FMH6" s="27" t="str">
        <f>IFERROR(VLOOKUP(DATE($K$1,$K$2,FMH$4),Table1[],(MATCH(Calendar!$A6,DB!1:1,0)+2),FALSE),"")</f>
        <v/>
      </c>
      <c r="FMI6" s="27" t="str">
        <f>IFERROR(VLOOKUP(DATE($K$1,$K$2,FMI$4),Table1[],(MATCH(Calendar!$A6,DB!1:1,0)+2),FALSE),"")</f>
        <v/>
      </c>
      <c r="FMJ6" s="27" t="str">
        <f>IFERROR(VLOOKUP(DATE($K$1,$K$2,FMJ$4),Table1[],(MATCH(Calendar!$A6,DB!1:1,0)+2),FALSE),"")</f>
        <v/>
      </c>
      <c r="FMK6" s="27" t="str">
        <f>IFERROR(VLOOKUP(DATE($K$1,$K$2,FMK$4),Table1[],(MATCH(Calendar!$A6,DB!1:1,0)+2),FALSE),"")</f>
        <v/>
      </c>
      <c r="FML6" s="27" t="str">
        <f>IFERROR(VLOOKUP(DATE($K$1,$K$2,FML$4),Table1[],(MATCH(Calendar!$A6,DB!1:1,0)+2),FALSE),"")</f>
        <v/>
      </c>
      <c r="FMM6" s="27" t="str">
        <f>IFERROR(VLOOKUP(DATE($K$1,$K$2,FMM$4),Table1[],(MATCH(Calendar!$A6,DB!1:1,0)+2),FALSE),"")</f>
        <v/>
      </c>
      <c r="FMN6" s="27" t="str">
        <f>IFERROR(VLOOKUP(DATE($K$1,$K$2,FMN$4),Table1[],(MATCH(Calendar!$A6,DB!1:1,0)+2),FALSE),"")</f>
        <v/>
      </c>
      <c r="FMO6" s="27" t="str">
        <f>IFERROR(VLOOKUP(DATE($K$1,$K$2,FMO$4),Table1[],(MATCH(Calendar!$A6,DB!1:1,0)+2),FALSE),"")</f>
        <v/>
      </c>
      <c r="FMP6" s="27" t="str">
        <f>IFERROR(VLOOKUP(DATE($K$1,$K$2,FMP$4),Table1[],(MATCH(Calendar!$A6,DB!1:1,0)+2),FALSE),"")</f>
        <v/>
      </c>
      <c r="FMQ6" s="27" t="str">
        <f>IFERROR(VLOOKUP(DATE($K$1,$K$2,FMQ$4),Table1[],(MATCH(Calendar!$A6,DB!1:1,0)+2),FALSE),"")</f>
        <v/>
      </c>
      <c r="FMR6" s="27" t="str">
        <f>IFERROR(VLOOKUP(DATE($K$1,$K$2,FMR$4),Table1[],(MATCH(Calendar!$A6,DB!1:1,0)+2),FALSE),"")</f>
        <v/>
      </c>
      <c r="FMS6" s="27" t="str">
        <f>IFERROR(VLOOKUP(DATE($K$1,$K$2,FMS$4),Table1[],(MATCH(Calendar!$A6,DB!1:1,0)+2),FALSE),"")</f>
        <v/>
      </c>
      <c r="FMT6" s="27" t="str">
        <f>IFERROR(VLOOKUP(DATE($K$1,$K$2,FMT$4),Table1[],(MATCH(Calendar!$A6,DB!1:1,0)+2),FALSE),"")</f>
        <v/>
      </c>
      <c r="FMU6" s="27" t="str">
        <f>IFERROR(VLOOKUP(DATE($K$1,$K$2,FMU$4),Table1[],(MATCH(Calendar!$A6,DB!1:1,0)+2),FALSE),"")</f>
        <v/>
      </c>
      <c r="FMV6" s="27" t="str">
        <f>IFERROR(VLOOKUP(DATE($K$1,$K$2,FMV$4),Table1[],(MATCH(Calendar!$A6,DB!1:1,0)+2),FALSE),"")</f>
        <v/>
      </c>
      <c r="FMW6" s="27" t="str">
        <f>IFERROR(VLOOKUP(DATE($K$1,$K$2,FMW$4),Table1[],(MATCH(Calendar!$A6,DB!1:1,0)+2),FALSE),"")</f>
        <v/>
      </c>
      <c r="FMX6" s="27" t="str">
        <f>IFERROR(VLOOKUP(DATE($K$1,$K$2,FMX$4),Table1[],(MATCH(Calendar!$A6,DB!1:1,0)+2),FALSE),"")</f>
        <v/>
      </c>
      <c r="FMY6" s="27" t="str">
        <f>IFERROR(VLOOKUP(DATE($K$1,$K$2,FMY$4),Table1[],(MATCH(Calendar!$A6,DB!1:1,0)+2),FALSE),"")</f>
        <v/>
      </c>
      <c r="FMZ6" s="27" t="str">
        <f>IFERROR(VLOOKUP(DATE($K$1,$K$2,FMZ$4),Table1[],(MATCH(Calendar!$A6,DB!1:1,0)+2),FALSE),"")</f>
        <v/>
      </c>
      <c r="FNA6" s="27" t="str">
        <f>IFERROR(VLOOKUP(DATE($K$1,$K$2,FNA$4),Table1[],(MATCH(Calendar!$A6,DB!1:1,0)+2),FALSE),"")</f>
        <v/>
      </c>
      <c r="FNB6" s="27" t="str">
        <f>IFERROR(VLOOKUP(DATE($K$1,$K$2,FNB$4),Table1[],(MATCH(Calendar!$A6,DB!1:1,0)+2),FALSE),"")</f>
        <v/>
      </c>
      <c r="FNC6" s="27" t="str">
        <f>IFERROR(VLOOKUP(DATE($K$1,$K$2,FNC$4),Table1[],(MATCH(Calendar!$A6,DB!1:1,0)+2),FALSE),"")</f>
        <v/>
      </c>
      <c r="FND6" s="27" t="str">
        <f>IFERROR(VLOOKUP(DATE($K$1,$K$2,FND$4),Table1[],(MATCH(Calendar!$A6,DB!1:1,0)+2),FALSE),"")</f>
        <v/>
      </c>
      <c r="FNE6" s="27" t="str">
        <f>IFERROR(VLOOKUP(DATE($K$1,$K$2,FNE$4),Table1[],(MATCH(Calendar!$A6,DB!1:1,0)+2),FALSE),"")</f>
        <v/>
      </c>
      <c r="FNF6" s="27" t="str">
        <f>IFERROR(VLOOKUP(DATE($K$1,$K$2,FNF$4),Table1[],(MATCH(Calendar!$A6,DB!1:1,0)+2),FALSE),"")</f>
        <v/>
      </c>
      <c r="FNG6" s="27" t="str">
        <f>IFERROR(VLOOKUP(DATE($K$1,$K$2,FNG$4),Table1[],(MATCH(Calendar!$A6,DB!1:1,0)+2),FALSE),"")</f>
        <v/>
      </c>
      <c r="FNH6" s="27" t="str">
        <f>IFERROR(VLOOKUP(DATE($K$1,$K$2,FNH$4),Table1[],(MATCH(Calendar!$A6,DB!1:1,0)+2),FALSE),"")</f>
        <v/>
      </c>
      <c r="FNI6" s="27" t="str">
        <f>IFERROR(VLOOKUP(DATE($K$1,$K$2,FNI$4),Table1[],(MATCH(Calendar!$A6,DB!1:1,0)+2),FALSE),"")</f>
        <v/>
      </c>
      <c r="FNJ6" s="27" t="str">
        <f>IFERROR(VLOOKUP(DATE($K$1,$K$2,FNJ$4),Table1[],(MATCH(Calendar!$A6,DB!1:1,0)+2),FALSE),"")</f>
        <v/>
      </c>
      <c r="FNK6" s="27" t="str">
        <f>IFERROR(VLOOKUP(DATE($K$1,$K$2,FNK$4),Table1[],(MATCH(Calendar!$A6,DB!1:1,0)+2),FALSE),"")</f>
        <v/>
      </c>
      <c r="FNL6" s="27" t="str">
        <f>IFERROR(VLOOKUP(DATE($K$1,$K$2,FNL$4),Table1[],(MATCH(Calendar!$A6,DB!1:1,0)+2),FALSE),"")</f>
        <v/>
      </c>
      <c r="FNM6" s="27" t="str">
        <f>IFERROR(VLOOKUP(DATE($K$1,$K$2,FNM$4),Table1[],(MATCH(Calendar!$A6,DB!1:1,0)+2),FALSE),"")</f>
        <v/>
      </c>
      <c r="FNN6" s="27" t="str">
        <f>IFERROR(VLOOKUP(DATE($K$1,$K$2,FNN$4),Table1[],(MATCH(Calendar!$A6,DB!1:1,0)+2),FALSE),"")</f>
        <v/>
      </c>
      <c r="FNO6" s="27" t="str">
        <f>IFERROR(VLOOKUP(DATE($K$1,$K$2,FNO$4),Table1[],(MATCH(Calendar!$A6,DB!1:1,0)+2),FALSE),"")</f>
        <v/>
      </c>
      <c r="FNP6" s="27" t="str">
        <f>IFERROR(VLOOKUP(DATE($K$1,$K$2,FNP$4),Table1[],(MATCH(Calendar!$A6,DB!1:1,0)+2),FALSE),"")</f>
        <v/>
      </c>
      <c r="FNQ6" s="27" t="str">
        <f>IFERROR(VLOOKUP(DATE($K$1,$K$2,FNQ$4),Table1[],(MATCH(Calendar!$A6,DB!1:1,0)+2),FALSE),"")</f>
        <v/>
      </c>
      <c r="FNR6" s="27" t="str">
        <f>IFERROR(VLOOKUP(DATE($K$1,$K$2,FNR$4),Table1[],(MATCH(Calendar!$A6,DB!1:1,0)+2),FALSE),"")</f>
        <v/>
      </c>
      <c r="FNS6" s="27" t="str">
        <f>IFERROR(VLOOKUP(DATE($K$1,$K$2,FNS$4),Table1[],(MATCH(Calendar!$A6,DB!1:1,0)+2),FALSE),"")</f>
        <v/>
      </c>
      <c r="FNT6" s="27" t="str">
        <f>IFERROR(VLOOKUP(DATE($K$1,$K$2,FNT$4),Table1[],(MATCH(Calendar!$A6,DB!1:1,0)+2),FALSE),"")</f>
        <v/>
      </c>
      <c r="FNU6" s="27" t="str">
        <f>IFERROR(VLOOKUP(DATE($K$1,$K$2,FNU$4),Table1[],(MATCH(Calendar!$A6,DB!1:1,0)+2),FALSE),"")</f>
        <v/>
      </c>
      <c r="FNV6" s="27" t="str">
        <f>IFERROR(VLOOKUP(DATE($K$1,$K$2,FNV$4),Table1[],(MATCH(Calendar!$A6,DB!1:1,0)+2),FALSE),"")</f>
        <v/>
      </c>
      <c r="FNW6" s="27" t="str">
        <f>IFERROR(VLOOKUP(DATE($K$1,$K$2,FNW$4),Table1[],(MATCH(Calendar!$A6,DB!1:1,0)+2),FALSE),"")</f>
        <v/>
      </c>
      <c r="FNX6" s="27" t="str">
        <f>IFERROR(VLOOKUP(DATE($K$1,$K$2,FNX$4),Table1[],(MATCH(Calendar!$A6,DB!1:1,0)+2),FALSE),"")</f>
        <v/>
      </c>
      <c r="FNY6" s="27" t="str">
        <f>IFERROR(VLOOKUP(DATE($K$1,$K$2,FNY$4),Table1[],(MATCH(Calendar!$A6,DB!1:1,0)+2),FALSE),"")</f>
        <v/>
      </c>
      <c r="FNZ6" s="27" t="str">
        <f>IFERROR(VLOOKUP(DATE($K$1,$K$2,FNZ$4),Table1[],(MATCH(Calendar!$A6,DB!1:1,0)+2),FALSE),"")</f>
        <v/>
      </c>
      <c r="FOA6" s="27" t="str">
        <f>IFERROR(VLOOKUP(DATE($K$1,$K$2,FOA$4),Table1[],(MATCH(Calendar!$A6,DB!1:1,0)+2),FALSE),"")</f>
        <v/>
      </c>
      <c r="FOB6" s="27" t="str">
        <f>IFERROR(VLOOKUP(DATE($K$1,$K$2,FOB$4),Table1[],(MATCH(Calendar!$A6,DB!1:1,0)+2),FALSE),"")</f>
        <v/>
      </c>
      <c r="FOC6" s="27" t="str">
        <f>IFERROR(VLOOKUP(DATE($K$1,$K$2,FOC$4),Table1[],(MATCH(Calendar!$A6,DB!1:1,0)+2),FALSE),"")</f>
        <v/>
      </c>
      <c r="FOD6" s="27" t="str">
        <f>IFERROR(VLOOKUP(DATE($K$1,$K$2,FOD$4),Table1[],(MATCH(Calendar!$A6,DB!1:1,0)+2),FALSE),"")</f>
        <v/>
      </c>
      <c r="FOE6" s="27" t="str">
        <f>IFERROR(VLOOKUP(DATE($K$1,$K$2,FOE$4),Table1[],(MATCH(Calendar!$A6,DB!1:1,0)+2),FALSE),"")</f>
        <v/>
      </c>
      <c r="FOF6" s="27" t="str">
        <f>IFERROR(VLOOKUP(DATE($K$1,$K$2,FOF$4),Table1[],(MATCH(Calendar!$A6,DB!1:1,0)+2),FALSE),"")</f>
        <v/>
      </c>
      <c r="FOG6" s="27" t="str">
        <f>IFERROR(VLOOKUP(DATE($K$1,$K$2,FOG$4),Table1[],(MATCH(Calendar!$A6,DB!1:1,0)+2),FALSE),"")</f>
        <v/>
      </c>
      <c r="FOH6" s="27" t="str">
        <f>IFERROR(VLOOKUP(DATE($K$1,$K$2,FOH$4),Table1[],(MATCH(Calendar!$A6,DB!1:1,0)+2),FALSE),"")</f>
        <v/>
      </c>
      <c r="FOI6" s="27" t="str">
        <f>IFERROR(VLOOKUP(DATE($K$1,$K$2,FOI$4),Table1[],(MATCH(Calendar!$A6,DB!1:1,0)+2),FALSE),"")</f>
        <v/>
      </c>
      <c r="FOJ6" s="27" t="str">
        <f>IFERROR(VLOOKUP(DATE($K$1,$K$2,FOJ$4),Table1[],(MATCH(Calendar!$A6,DB!1:1,0)+2),FALSE),"")</f>
        <v/>
      </c>
      <c r="FOK6" s="27" t="str">
        <f>IFERROR(VLOOKUP(DATE($K$1,$K$2,FOK$4),Table1[],(MATCH(Calendar!$A6,DB!1:1,0)+2),FALSE),"")</f>
        <v/>
      </c>
      <c r="FOL6" s="27" t="str">
        <f>IFERROR(VLOOKUP(DATE($K$1,$K$2,FOL$4),Table1[],(MATCH(Calendar!$A6,DB!1:1,0)+2),FALSE),"")</f>
        <v/>
      </c>
      <c r="FOM6" s="27" t="str">
        <f>IFERROR(VLOOKUP(DATE($K$1,$K$2,FOM$4),Table1[],(MATCH(Calendar!$A6,DB!1:1,0)+2),FALSE),"")</f>
        <v/>
      </c>
      <c r="FON6" s="27" t="str">
        <f>IFERROR(VLOOKUP(DATE($K$1,$K$2,FON$4),Table1[],(MATCH(Calendar!$A6,DB!1:1,0)+2),FALSE),"")</f>
        <v/>
      </c>
      <c r="FOO6" s="27" t="str">
        <f>IFERROR(VLOOKUP(DATE($K$1,$K$2,FOO$4),Table1[],(MATCH(Calendar!$A6,DB!1:1,0)+2),FALSE),"")</f>
        <v/>
      </c>
      <c r="FOP6" s="27" t="str">
        <f>IFERROR(VLOOKUP(DATE($K$1,$K$2,FOP$4),Table1[],(MATCH(Calendar!$A6,DB!1:1,0)+2),FALSE),"")</f>
        <v/>
      </c>
      <c r="FOQ6" s="27" t="str">
        <f>IFERROR(VLOOKUP(DATE($K$1,$K$2,FOQ$4),Table1[],(MATCH(Calendar!$A6,DB!1:1,0)+2),FALSE),"")</f>
        <v/>
      </c>
      <c r="FOR6" s="27" t="str">
        <f>IFERROR(VLOOKUP(DATE($K$1,$K$2,FOR$4),Table1[],(MATCH(Calendar!$A6,DB!1:1,0)+2),FALSE),"")</f>
        <v/>
      </c>
      <c r="FOS6" s="27" t="str">
        <f>IFERROR(VLOOKUP(DATE($K$1,$K$2,FOS$4),Table1[],(MATCH(Calendar!$A6,DB!1:1,0)+2),FALSE),"")</f>
        <v/>
      </c>
      <c r="FOT6" s="27" t="str">
        <f>IFERROR(VLOOKUP(DATE($K$1,$K$2,FOT$4),Table1[],(MATCH(Calendar!$A6,DB!1:1,0)+2),FALSE),"")</f>
        <v/>
      </c>
      <c r="FOU6" s="27" t="str">
        <f>IFERROR(VLOOKUP(DATE($K$1,$K$2,FOU$4),Table1[],(MATCH(Calendar!$A6,DB!1:1,0)+2),FALSE),"")</f>
        <v/>
      </c>
      <c r="FOV6" s="27" t="str">
        <f>IFERROR(VLOOKUP(DATE($K$1,$K$2,FOV$4),Table1[],(MATCH(Calendar!$A6,DB!1:1,0)+2),FALSE),"")</f>
        <v/>
      </c>
      <c r="FOW6" s="27" t="str">
        <f>IFERROR(VLOOKUP(DATE($K$1,$K$2,FOW$4),Table1[],(MATCH(Calendar!$A6,DB!1:1,0)+2),FALSE),"")</f>
        <v/>
      </c>
      <c r="FOX6" s="27" t="str">
        <f>IFERROR(VLOOKUP(DATE($K$1,$K$2,FOX$4),Table1[],(MATCH(Calendar!$A6,DB!1:1,0)+2),FALSE),"")</f>
        <v/>
      </c>
      <c r="FOY6" s="27" t="str">
        <f>IFERROR(VLOOKUP(DATE($K$1,$K$2,FOY$4),Table1[],(MATCH(Calendar!$A6,DB!1:1,0)+2),FALSE),"")</f>
        <v/>
      </c>
      <c r="FOZ6" s="27" t="str">
        <f>IFERROR(VLOOKUP(DATE($K$1,$K$2,FOZ$4),Table1[],(MATCH(Calendar!$A6,DB!1:1,0)+2),FALSE),"")</f>
        <v/>
      </c>
      <c r="FPA6" s="27" t="str">
        <f>IFERROR(VLOOKUP(DATE($K$1,$K$2,FPA$4),Table1[],(MATCH(Calendar!$A6,DB!1:1,0)+2),FALSE),"")</f>
        <v/>
      </c>
      <c r="FPB6" s="27" t="str">
        <f>IFERROR(VLOOKUP(DATE($K$1,$K$2,FPB$4),Table1[],(MATCH(Calendar!$A6,DB!1:1,0)+2),FALSE),"")</f>
        <v/>
      </c>
      <c r="FPC6" s="27" t="str">
        <f>IFERROR(VLOOKUP(DATE($K$1,$K$2,FPC$4),Table1[],(MATCH(Calendar!$A6,DB!1:1,0)+2),FALSE),"")</f>
        <v/>
      </c>
      <c r="FPD6" s="27" t="str">
        <f>IFERROR(VLOOKUP(DATE($K$1,$K$2,FPD$4),Table1[],(MATCH(Calendar!$A6,DB!1:1,0)+2),FALSE),"")</f>
        <v/>
      </c>
      <c r="FPE6" s="27" t="str">
        <f>IFERROR(VLOOKUP(DATE($K$1,$K$2,FPE$4),Table1[],(MATCH(Calendar!$A6,DB!1:1,0)+2),FALSE),"")</f>
        <v/>
      </c>
      <c r="FPF6" s="27" t="str">
        <f>IFERROR(VLOOKUP(DATE($K$1,$K$2,FPF$4),Table1[],(MATCH(Calendar!$A6,DB!1:1,0)+2),FALSE),"")</f>
        <v/>
      </c>
      <c r="FPG6" s="27" t="str">
        <f>IFERROR(VLOOKUP(DATE($K$1,$K$2,FPG$4),Table1[],(MATCH(Calendar!$A6,DB!1:1,0)+2),FALSE),"")</f>
        <v/>
      </c>
      <c r="FPH6" s="27" t="str">
        <f>IFERROR(VLOOKUP(DATE($K$1,$K$2,FPH$4),Table1[],(MATCH(Calendar!$A6,DB!1:1,0)+2),FALSE),"")</f>
        <v/>
      </c>
      <c r="FPI6" s="27" t="str">
        <f>IFERROR(VLOOKUP(DATE($K$1,$K$2,FPI$4),Table1[],(MATCH(Calendar!$A6,DB!1:1,0)+2),FALSE),"")</f>
        <v/>
      </c>
      <c r="FPJ6" s="27" t="str">
        <f>IFERROR(VLOOKUP(DATE($K$1,$K$2,FPJ$4),Table1[],(MATCH(Calendar!$A6,DB!1:1,0)+2),FALSE),"")</f>
        <v/>
      </c>
      <c r="FPK6" s="27" t="str">
        <f>IFERROR(VLOOKUP(DATE($K$1,$K$2,FPK$4),Table1[],(MATCH(Calendar!$A6,DB!1:1,0)+2),FALSE),"")</f>
        <v/>
      </c>
      <c r="FPL6" s="27" t="str">
        <f>IFERROR(VLOOKUP(DATE($K$1,$K$2,FPL$4),Table1[],(MATCH(Calendar!$A6,DB!1:1,0)+2),FALSE),"")</f>
        <v/>
      </c>
      <c r="FPM6" s="27" t="str">
        <f>IFERROR(VLOOKUP(DATE($K$1,$K$2,FPM$4),Table1[],(MATCH(Calendar!$A6,DB!1:1,0)+2),FALSE),"")</f>
        <v/>
      </c>
      <c r="FPN6" s="27" t="str">
        <f>IFERROR(VLOOKUP(DATE($K$1,$K$2,FPN$4),Table1[],(MATCH(Calendar!$A6,DB!1:1,0)+2),FALSE),"")</f>
        <v/>
      </c>
      <c r="FPO6" s="27" t="str">
        <f>IFERROR(VLOOKUP(DATE($K$1,$K$2,FPO$4),Table1[],(MATCH(Calendar!$A6,DB!1:1,0)+2),FALSE),"")</f>
        <v/>
      </c>
      <c r="FPP6" s="27" t="str">
        <f>IFERROR(VLOOKUP(DATE($K$1,$K$2,FPP$4),Table1[],(MATCH(Calendar!$A6,DB!1:1,0)+2),FALSE),"")</f>
        <v/>
      </c>
      <c r="FPQ6" s="27" t="str">
        <f>IFERROR(VLOOKUP(DATE($K$1,$K$2,FPQ$4),Table1[],(MATCH(Calendar!$A6,DB!1:1,0)+2),FALSE),"")</f>
        <v/>
      </c>
      <c r="FPR6" s="27" t="str">
        <f>IFERROR(VLOOKUP(DATE($K$1,$K$2,FPR$4),Table1[],(MATCH(Calendar!$A6,DB!1:1,0)+2),FALSE),"")</f>
        <v/>
      </c>
      <c r="FPS6" s="27" t="str">
        <f>IFERROR(VLOOKUP(DATE($K$1,$K$2,FPS$4),Table1[],(MATCH(Calendar!$A6,DB!1:1,0)+2),FALSE),"")</f>
        <v/>
      </c>
      <c r="FPT6" s="27" t="str">
        <f>IFERROR(VLOOKUP(DATE($K$1,$K$2,FPT$4),Table1[],(MATCH(Calendar!$A6,DB!1:1,0)+2),FALSE),"")</f>
        <v/>
      </c>
      <c r="FPU6" s="27" t="str">
        <f>IFERROR(VLOOKUP(DATE($K$1,$K$2,FPU$4),Table1[],(MATCH(Calendar!$A6,DB!1:1,0)+2),FALSE),"")</f>
        <v/>
      </c>
      <c r="FPV6" s="27" t="str">
        <f>IFERROR(VLOOKUP(DATE($K$1,$K$2,FPV$4),Table1[],(MATCH(Calendar!$A6,DB!1:1,0)+2),FALSE),"")</f>
        <v/>
      </c>
      <c r="FPW6" s="27" t="str">
        <f>IFERROR(VLOOKUP(DATE($K$1,$K$2,FPW$4),Table1[],(MATCH(Calendar!$A6,DB!1:1,0)+2),FALSE),"")</f>
        <v/>
      </c>
      <c r="FPX6" s="27" t="str">
        <f>IFERROR(VLOOKUP(DATE($K$1,$K$2,FPX$4),Table1[],(MATCH(Calendar!$A6,DB!1:1,0)+2),FALSE),"")</f>
        <v/>
      </c>
      <c r="FPY6" s="27" t="str">
        <f>IFERROR(VLOOKUP(DATE($K$1,$K$2,FPY$4),Table1[],(MATCH(Calendar!$A6,DB!1:1,0)+2),FALSE),"")</f>
        <v/>
      </c>
      <c r="FPZ6" s="27" t="str">
        <f>IFERROR(VLOOKUP(DATE($K$1,$K$2,FPZ$4),Table1[],(MATCH(Calendar!$A6,DB!1:1,0)+2),FALSE),"")</f>
        <v/>
      </c>
      <c r="FQA6" s="27" t="str">
        <f>IFERROR(VLOOKUP(DATE($K$1,$K$2,FQA$4),Table1[],(MATCH(Calendar!$A6,DB!1:1,0)+2),FALSE),"")</f>
        <v/>
      </c>
      <c r="FQB6" s="27" t="str">
        <f>IFERROR(VLOOKUP(DATE($K$1,$K$2,FQB$4),Table1[],(MATCH(Calendar!$A6,DB!1:1,0)+2),FALSE),"")</f>
        <v/>
      </c>
      <c r="FQC6" s="27" t="str">
        <f>IFERROR(VLOOKUP(DATE($K$1,$K$2,FQC$4),Table1[],(MATCH(Calendar!$A6,DB!1:1,0)+2),FALSE),"")</f>
        <v/>
      </c>
      <c r="FQD6" s="27" t="str">
        <f>IFERROR(VLOOKUP(DATE($K$1,$K$2,FQD$4),Table1[],(MATCH(Calendar!$A6,DB!1:1,0)+2),FALSE),"")</f>
        <v/>
      </c>
      <c r="FQE6" s="27" t="str">
        <f>IFERROR(VLOOKUP(DATE($K$1,$K$2,FQE$4),Table1[],(MATCH(Calendar!$A6,DB!1:1,0)+2),FALSE),"")</f>
        <v/>
      </c>
      <c r="FQF6" s="27" t="str">
        <f>IFERROR(VLOOKUP(DATE($K$1,$K$2,FQF$4),Table1[],(MATCH(Calendar!$A6,DB!1:1,0)+2),FALSE),"")</f>
        <v/>
      </c>
      <c r="FQG6" s="27" t="str">
        <f>IFERROR(VLOOKUP(DATE($K$1,$K$2,FQG$4),Table1[],(MATCH(Calendar!$A6,DB!1:1,0)+2),FALSE),"")</f>
        <v/>
      </c>
      <c r="FQH6" s="27" t="str">
        <f>IFERROR(VLOOKUP(DATE($K$1,$K$2,FQH$4),Table1[],(MATCH(Calendar!$A6,DB!1:1,0)+2),FALSE),"")</f>
        <v/>
      </c>
      <c r="FQI6" s="27" t="str">
        <f>IFERROR(VLOOKUP(DATE($K$1,$K$2,FQI$4),Table1[],(MATCH(Calendar!$A6,DB!1:1,0)+2),FALSE),"")</f>
        <v/>
      </c>
      <c r="FQJ6" s="27" t="str">
        <f>IFERROR(VLOOKUP(DATE($K$1,$K$2,FQJ$4),Table1[],(MATCH(Calendar!$A6,DB!1:1,0)+2),FALSE),"")</f>
        <v/>
      </c>
      <c r="FQK6" s="27" t="str">
        <f>IFERROR(VLOOKUP(DATE($K$1,$K$2,FQK$4),Table1[],(MATCH(Calendar!$A6,DB!1:1,0)+2),FALSE),"")</f>
        <v/>
      </c>
      <c r="FQL6" s="27" t="str">
        <f>IFERROR(VLOOKUP(DATE($K$1,$K$2,FQL$4),Table1[],(MATCH(Calendar!$A6,DB!1:1,0)+2),FALSE),"")</f>
        <v/>
      </c>
      <c r="FQM6" s="27" t="str">
        <f>IFERROR(VLOOKUP(DATE($K$1,$K$2,FQM$4),Table1[],(MATCH(Calendar!$A6,DB!1:1,0)+2),FALSE),"")</f>
        <v/>
      </c>
      <c r="FQN6" s="27" t="str">
        <f>IFERROR(VLOOKUP(DATE($K$1,$K$2,FQN$4),Table1[],(MATCH(Calendar!$A6,DB!1:1,0)+2),FALSE),"")</f>
        <v/>
      </c>
      <c r="FQO6" s="27" t="str">
        <f>IFERROR(VLOOKUP(DATE($K$1,$K$2,FQO$4),Table1[],(MATCH(Calendar!$A6,DB!1:1,0)+2),FALSE),"")</f>
        <v/>
      </c>
      <c r="FQP6" s="27" t="str">
        <f>IFERROR(VLOOKUP(DATE($K$1,$K$2,FQP$4),Table1[],(MATCH(Calendar!$A6,DB!1:1,0)+2),FALSE),"")</f>
        <v/>
      </c>
      <c r="FQQ6" s="27" t="str">
        <f>IFERROR(VLOOKUP(DATE($K$1,$K$2,FQQ$4),Table1[],(MATCH(Calendar!$A6,DB!1:1,0)+2),FALSE),"")</f>
        <v/>
      </c>
      <c r="FQR6" s="27" t="str">
        <f>IFERROR(VLOOKUP(DATE($K$1,$K$2,FQR$4),Table1[],(MATCH(Calendar!$A6,DB!1:1,0)+2),FALSE),"")</f>
        <v/>
      </c>
      <c r="FQS6" s="27" t="str">
        <f>IFERROR(VLOOKUP(DATE($K$1,$K$2,FQS$4),Table1[],(MATCH(Calendar!$A6,DB!1:1,0)+2),FALSE),"")</f>
        <v/>
      </c>
      <c r="FQT6" s="27" t="str">
        <f>IFERROR(VLOOKUP(DATE($K$1,$K$2,FQT$4),Table1[],(MATCH(Calendar!$A6,DB!1:1,0)+2),FALSE),"")</f>
        <v/>
      </c>
      <c r="FQU6" s="27" t="str">
        <f>IFERROR(VLOOKUP(DATE($K$1,$K$2,FQU$4),Table1[],(MATCH(Calendar!$A6,DB!1:1,0)+2),FALSE),"")</f>
        <v/>
      </c>
      <c r="FQV6" s="27" t="str">
        <f>IFERROR(VLOOKUP(DATE($K$1,$K$2,FQV$4),Table1[],(MATCH(Calendar!$A6,DB!1:1,0)+2),FALSE),"")</f>
        <v/>
      </c>
      <c r="FQW6" s="27" t="str">
        <f>IFERROR(VLOOKUP(DATE($K$1,$K$2,FQW$4),Table1[],(MATCH(Calendar!$A6,DB!1:1,0)+2),FALSE),"")</f>
        <v/>
      </c>
      <c r="FQX6" s="27" t="str">
        <f>IFERROR(VLOOKUP(DATE($K$1,$K$2,FQX$4),Table1[],(MATCH(Calendar!$A6,DB!1:1,0)+2),FALSE),"")</f>
        <v/>
      </c>
      <c r="FQY6" s="27" t="str">
        <f>IFERROR(VLOOKUP(DATE($K$1,$K$2,FQY$4),Table1[],(MATCH(Calendar!$A6,DB!1:1,0)+2),FALSE),"")</f>
        <v/>
      </c>
      <c r="FQZ6" s="27" t="str">
        <f>IFERROR(VLOOKUP(DATE($K$1,$K$2,FQZ$4),Table1[],(MATCH(Calendar!$A6,DB!1:1,0)+2),FALSE),"")</f>
        <v/>
      </c>
      <c r="FRA6" s="27" t="str">
        <f>IFERROR(VLOOKUP(DATE($K$1,$K$2,FRA$4),Table1[],(MATCH(Calendar!$A6,DB!1:1,0)+2),FALSE),"")</f>
        <v/>
      </c>
      <c r="FRB6" s="27" t="str">
        <f>IFERROR(VLOOKUP(DATE($K$1,$K$2,FRB$4),Table1[],(MATCH(Calendar!$A6,DB!1:1,0)+2),FALSE),"")</f>
        <v/>
      </c>
      <c r="FRC6" s="27" t="str">
        <f>IFERROR(VLOOKUP(DATE($K$1,$K$2,FRC$4),Table1[],(MATCH(Calendar!$A6,DB!1:1,0)+2),FALSE),"")</f>
        <v/>
      </c>
      <c r="FRD6" s="27" t="str">
        <f>IFERROR(VLOOKUP(DATE($K$1,$K$2,FRD$4),Table1[],(MATCH(Calendar!$A6,DB!1:1,0)+2),FALSE),"")</f>
        <v/>
      </c>
      <c r="FRE6" s="27" t="str">
        <f>IFERROR(VLOOKUP(DATE($K$1,$K$2,FRE$4),Table1[],(MATCH(Calendar!$A6,DB!1:1,0)+2),FALSE),"")</f>
        <v/>
      </c>
      <c r="FRF6" s="27" t="str">
        <f>IFERROR(VLOOKUP(DATE($K$1,$K$2,FRF$4),Table1[],(MATCH(Calendar!$A6,DB!1:1,0)+2),FALSE),"")</f>
        <v/>
      </c>
      <c r="FRG6" s="27" t="str">
        <f>IFERROR(VLOOKUP(DATE($K$1,$K$2,FRG$4),Table1[],(MATCH(Calendar!$A6,DB!1:1,0)+2),FALSE),"")</f>
        <v/>
      </c>
      <c r="FRH6" s="27" t="str">
        <f>IFERROR(VLOOKUP(DATE($K$1,$K$2,FRH$4),Table1[],(MATCH(Calendar!$A6,DB!1:1,0)+2),FALSE),"")</f>
        <v/>
      </c>
      <c r="FRI6" s="27" t="str">
        <f>IFERROR(VLOOKUP(DATE($K$1,$K$2,FRI$4),Table1[],(MATCH(Calendar!$A6,DB!1:1,0)+2),FALSE),"")</f>
        <v/>
      </c>
      <c r="FRJ6" s="27" t="str">
        <f>IFERROR(VLOOKUP(DATE($K$1,$K$2,FRJ$4),Table1[],(MATCH(Calendar!$A6,DB!1:1,0)+2),FALSE),"")</f>
        <v/>
      </c>
      <c r="FRK6" s="27" t="str">
        <f>IFERROR(VLOOKUP(DATE($K$1,$K$2,FRK$4),Table1[],(MATCH(Calendar!$A6,DB!1:1,0)+2),FALSE),"")</f>
        <v/>
      </c>
      <c r="FRL6" s="27" t="str">
        <f>IFERROR(VLOOKUP(DATE($K$1,$K$2,FRL$4),Table1[],(MATCH(Calendar!$A6,DB!1:1,0)+2),FALSE),"")</f>
        <v/>
      </c>
      <c r="FRM6" s="27" t="str">
        <f>IFERROR(VLOOKUP(DATE($K$1,$K$2,FRM$4),Table1[],(MATCH(Calendar!$A6,DB!1:1,0)+2),FALSE),"")</f>
        <v/>
      </c>
      <c r="FRN6" s="27" t="str">
        <f>IFERROR(VLOOKUP(DATE($K$1,$K$2,FRN$4),Table1[],(MATCH(Calendar!$A6,DB!1:1,0)+2),FALSE),"")</f>
        <v/>
      </c>
      <c r="FRO6" s="27" t="str">
        <f>IFERROR(VLOOKUP(DATE($K$1,$K$2,FRO$4),Table1[],(MATCH(Calendar!$A6,DB!1:1,0)+2),FALSE),"")</f>
        <v/>
      </c>
      <c r="FRP6" s="27" t="str">
        <f>IFERROR(VLOOKUP(DATE($K$1,$K$2,FRP$4),Table1[],(MATCH(Calendar!$A6,DB!1:1,0)+2),FALSE),"")</f>
        <v/>
      </c>
      <c r="FRQ6" s="27" t="str">
        <f>IFERROR(VLOOKUP(DATE($K$1,$K$2,FRQ$4),Table1[],(MATCH(Calendar!$A6,DB!1:1,0)+2),FALSE),"")</f>
        <v/>
      </c>
      <c r="FRR6" s="27" t="str">
        <f>IFERROR(VLOOKUP(DATE($K$1,$K$2,FRR$4),Table1[],(MATCH(Calendar!$A6,DB!1:1,0)+2),FALSE),"")</f>
        <v/>
      </c>
      <c r="FRS6" s="27" t="str">
        <f>IFERROR(VLOOKUP(DATE($K$1,$K$2,FRS$4),Table1[],(MATCH(Calendar!$A6,DB!1:1,0)+2),FALSE),"")</f>
        <v/>
      </c>
      <c r="FRT6" s="27" t="str">
        <f>IFERROR(VLOOKUP(DATE($K$1,$K$2,FRT$4),Table1[],(MATCH(Calendar!$A6,DB!1:1,0)+2),FALSE),"")</f>
        <v/>
      </c>
      <c r="FRU6" s="27" t="str">
        <f>IFERROR(VLOOKUP(DATE($K$1,$K$2,FRU$4),Table1[],(MATCH(Calendar!$A6,DB!1:1,0)+2),FALSE),"")</f>
        <v/>
      </c>
      <c r="FRV6" s="27" t="str">
        <f>IFERROR(VLOOKUP(DATE($K$1,$K$2,FRV$4),Table1[],(MATCH(Calendar!$A6,DB!1:1,0)+2),FALSE),"")</f>
        <v/>
      </c>
      <c r="FRW6" s="27" t="str">
        <f>IFERROR(VLOOKUP(DATE($K$1,$K$2,FRW$4),Table1[],(MATCH(Calendar!$A6,DB!1:1,0)+2),FALSE),"")</f>
        <v/>
      </c>
      <c r="FRX6" s="27" t="str">
        <f>IFERROR(VLOOKUP(DATE($K$1,$K$2,FRX$4),Table1[],(MATCH(Calendar!$A6,DB!1:1,0)+2),FALSE),"")</f>
        <v/>
      </c>
      <c r="FRY6" s="27" t="str">
        <f>IFERROR(VLOOKUP(DATE($K$1,$K$2,FRY$4),Table1[],(MATCH(Calendar!$A6,DB!1:1,0)+2),FALSE),"")</f>
        <v/>
      </c>
      <c r="FRZ6" s="27" t="str">
        <f>IFERROR(VLOOKUP(DATE($K$1,$K$2,FRZ$4),Table1[],(MATCH(Calendar!$A6,DB!1:1,0)+2),FALSE),"")</f>
        <v/>
      </c>
      <c r="FSA6" s="27" t="str">
        <f>IFERROR(VLOOKUP(DATE($K$1,$K$2,FSA$4),Table1[],(MATCH(Calendar!$A6,DB!1:1,0)+2),FALSE),"")</f>
        <v/>
      </c>
      <c r="FSB6" s="27" t="str">
        <f>IFERROR(VLOOKUP(DATE($K$1,$K$2,FSB$4),Table1[],(MATCH(Calendar!$A6,DB!1:1,0)+2),FALSE),"")</f>
        <v/>
      </c>
      <c r="FSC6" s="27" t="str">
        <f>IFERROR(VLOOKUP(DATE($K$1,$K$2,FSC$4),Table1[],(MATCH(Calendar!$A6,DB!1:1,0)+2),FALSE),"")</f>
        <v/>
      </c>
      <c r="FSD6" s="27" t="str">
        <f>IFERROR(VLOOKUP(DATE($K$1,$K$2,FSD$4),Table1[],(MATCH(Calendar!$A6,DB!1:1,0)+2),FALSE),"")</f>
        <v/>
      </c>
      <c r="FSE6" s="27" t="str">
        <f>IFERROR(VLOOKUP(DATE($K$1,$K$2,FSE$4),Table1[],(MATCH(Calendar!$A6,DB!1:1,0)+2),FALSE),"")</f>
        <v/>
      </c>
      <c r="FSF6" s="27" t="str">
        <f>IFERROR(VLOOKUP(DATE($K$1,$K$2,FSF$4),Table1[],(MATCH(Calendar!$A6,DB!1:1,0)+2),FALSE),"")</f>
        <v/>
      </c>
      <c r="FSG6" s="27" t="str">
        <f>IFERROR(VLOOKUP(DATE($K$1,$K$2,FSG$4),Table1[],(MATCH(Calendar!$A6,DB!1:1,0)+2),FALSE),"")</f>
        <v/>
      </c>
      <c r="FSH6" s="27" t="str">
        <f>IFERROR(VLOOKUP(DATE($K$1,$K$2,FSH$4),Table1[],(MATCH(Calendar!$A6,DB!1:1,0)+2),FALSE),"")</f>
        <v/>
      </c>
      <c r="FSI6" s="27" t="str">
        <f>IFERROR(VLOOKUP(DATE($K$1,$K$2,FSI$4),Table1[],(MATCH(Calendar!$A6,DB!1:1,0)+2),FALSE),"")</f>
        <v/>
      </c>
      <c r="FSJ6" s="27" t="str">
        <f>IFERROR(VLOOKUP(DATE($K$1,$K$2,FSJ$4),Table1[],(MATCH(Calendar!$A6,DB!1:1,0)+2),FALSE),"")</f>
        <v/>
      </c>
      <c r="FSK6" s="27" t="str">
        <f>IFERROR(VLOOKUP(DATE($K$1,$K$2,FSK$4),Table1[],(MATCH(Calendar!$A6,DB!1:1,0)+2),FALSE),"")</f>
        <v/>
      </c>
      <c r="FSL6" s="27" t="str">
        <f>IFERROR(VLOOKUP(DATE($K$1,$K$2,FSL$4),Table1[],(MATCH(Calendar!$A6,DB!1:1,0)+2),FALSE),"")</f>
        <v/>
      </c>
      <c r="FSM6" s="27" t="str">
        <f>IFERROR(VLOOKUP(DATE($K$1,$K$2,FSM$4),Table1[],(MATCH(Calendar!$A6,DB!1:1,0)+2),FALSE),"")</f>
        <v/>
      </c>
      <c r="FSN6" s="27" t="str">
        <f>IFERROR(VLOOKUP(DATE($K$1,$K$2,FSN$4),Table1[],(MATCH(Calendar!$A6,DB!1:1,0)+2),FALSE),"")</f>
        <v/>
      </c>
      <c r="FSO6" s="27" t="str">
        <f>IFERROR(VLOOKUP(DATE($K$1,$K$2,FSO$4),Table1[],(MATCH(Calendar!$A6,DB!1:1,0)+2),FALSE),"")</f>
        <v/>
      </c>
      <c r="FSP6" s="27" t="str">
        <f>IFERROR(VLOOKUP(DATE($K$1,$K$2,FSP$4),Table1[],(MATCH(Calendar!$A6,DB!1:1,0)+2),FALSE),"")</f>
        <v/>
      </c>
      <c r="FSQ6" s="27" t="str">
        <f>IFERROR(VLOOKUP(DATE($K$1,$K$2,FSQ$4),Table1[],(MATCH(Calendar!$A6,DB!1:1,0)+2),FALSE),"")</f>
        <v/>
      </c>
      <c r="FSR6" s="27" t="str">
        <f>IFERROR(VLOOKUP(DATE($K$1,$K$2,FSR$4),Table1[],(MATCH(Calendar!$A6,DB!1:1,0)+2),FALSE),"")</f>
        <v/>
      </c>
      <c r="FSS6" s="27" t="str">
        <f>IFERROR(VLOOKUP(DATE($K$1,$K$2,FSS$4),Table1[],(MATCH(Calendar!$A6,DB!1:1,0)+2),FALSE),"")</f>
        <v/>
      </c>
      <c r="FST6" s="27" t="str">
        <f>IFERROR(VLOOKUP(DATE($K$1,$K$2,FST$4),Table1[],(MATCH(Calendar!$A6,DB!1:1,0)+2),FALSE),"")</f>
        <v/>
      </c>
      <c r="FSU6" s="27" t="str">
        <f>IFERROR(VLOOKUP(DATE($K$1,$K$2,FSU$4),Table1[],(MATCH(Calendar!$A6,DB!1:1,0)+2),FALSE),"")</f>
        <v/>
      </c>
      <c r="FSV6" s="27" t="str">
        <f>IFERROR(VLOOKUP(DATE($K$1,$K$2,FSV$4),Table1[],(MATCH(Calendar!$A6,DB!1:1,0)+2),FALSE),"")</f>
        <v/>
      </c>
      <c r="FSW6" s="27" t="str">
        <f>IFERROR(VLOOKUP(DATE($K$1,$K$2,FSW$4),Table1[],(MATCH(Calendar!$A6,DB!1:1,0)+2),FALSE),"")</f>
        <v/>
      </c>
      <c r="FSX6" s="27" t="str">
        <f>IFERROR(VLOOKUP(DATE($K$1,$K$2,FSX$4),Table1[],(MATCH(Calendar!$A6,DB!1:1,0)+2),FALSE),"")</f>
        <v/>
      </c>
      <c r="FSY6" s="27" t="str">
        <f>IFERROR(VLOOKUP(DATE($K$1,$K$2,FSY$4),Table1[],(MATCH(Calendar!$A6,DB!1:1,0)+2),FALSE),"")</f>
        <v/>
      </c>
      <c r="FSZ6" s="27" t="str">
        <f>IFERROR(VLOOKUP(DATE($K$1,$K$2,FSZ$4),Table1[],(MATCH(Calendar!$A6,DB!1:1,0)+2),FALSE),"")</f>
        <v/>
      </c>
      <c r="FTA6" s="27" t="str">
        <f>IFERROR(VLOOKUP(DATE($K$1,$K$2,FTA$4),Table1[],(MATCH(Calendar!$A6,DB!1:1,0)+2),FALSE),"")</f>
        <v/>
      </c>
      <c r="FTB6" s="27" t="str">
        <f>IFERROR(VLOOKUP(DATE($K$1,$K$2,FTB$4),Table1[],(MATCH(Calendar!$A6,DB!1:1,0)+2),FALSE),"")</f>
        <v/>
      </c>
      <c r="FTC6" s="27" t="str">
        <f>IFERROR(VLOOKUP(DATE($K$1,$K$2,FTC$4),Table1[],(MATCH(Calendar!$A6,DB!1:1,0)+2),FALSE),"")</f>
        <v/>
      </c>
      <c r="FTD6" s="27" t="str">
        <f>IFERROR(VLOOKUP(DATE($K$1,$K$2,FTD$4),Table1[],(MATCH(Calendar!$A6,DB!1:1,0)+2),FALSE),"")</f>
        <v/>
      </c>
      <c r="FTE6" s="27" t="str">
        <f>IFERROR(VLOOKUP(DATE($K$1,$K$2,FTE$4),Table1[],(MATCH(Calendar!$A6,DB!1:1,0)+2),FALSE),"")</f>
        <v/>
      </c>
      <c r="FTF6" s="27" t="str">
        <f>IFERROR(VLOOKUP(DATE($K$1,$K$2,FTF$4),Table1[],(MATCH(Calendar!$A6,DB!1:1,0)+2),FALSE),"")</f>
        <v/>
      </c>
      <c r="FTG6" s="27" t="str">
        <f>IFERROR(VLOOKUP(DATE($K$1,$K$2,FTG$4),Table1[],(MATCH(Calendar!$A6,DB!1:1,0)+2),FALSE),"")</f>
        <v/>
      </c>
      <c r="FTH6" s="27" t="str">
        <f>IFERROR(VLOOKUP(DATE($K$1,$K$2,FTH$4),Table1[],(MATCH(Calendar!$A6,DB!1:1,0)+2),FALSE),"")</f>
        <v/>
      </c>
      <c r="FTI6" s="27" t="str">
        <f>IFERROR(VLOOKUP(DATE($K$1,$K$2,FTI$4),Table1[],(MATCH(Calendar!$A6,DB!1:1,0)+2),FALSE),"")</f>
        <v/>
      </c>
      <c r="FTJ6" s="27" t="str">
        <f>IFERROR(VLOOKUP(DATE($K$1,$K$2,FTJ$4),Table1[],(MATCH(Calendar!$A6,DB!1:1,0)+2),FALSE),"")</f>
        <v/>
      </c>
      <c r="FTK6" s="27" t="str">
        <f>IFERROR(VLOOKUP(DATE($K$1,$K$2,FTK$4),Table1[],(MATCH(Calendar!$A6,DB!1:1,0)+2),FALSE),"")</f>
        <v/>
      </c>
      <c r="FTL6" s="27" t="str">
        <f>IFERROR(VLOOKUP(DATE($K$1,$K$2,FTL$4),Table1[],(MATCH(Calendar!$A6,DB!1:1,0)+2),FALSE),"")</f>
        <v/>
      </c>
      <c r="FTM6" s="27" t="str">
        <f>IFERROR(VLOOKUP(DATE($K$1,$K$2,FTM$4),Table1[],(MATCH(Calendar!$A6,DB!1:1,0)+2),FALSE),"")</f>
        <v/>
      </c>
      <c r="FTN6" s="27" t="str">
        <f>IFERROR(VLOOKUP(DATE($K$1,$K$2,FTN$4),Table1[],(MATCH(Calendar!$A6,DB!1:1,0)+2),FALSE),"")</f>
        <v/>
      </c>
      <c r="FTO6" s="27" t="str">
        <f>IFERROR(VLOOKUP(DATE($K$1,$K$2,FTO$4),Table1[],(MATCH(Calendar!$A6,DB!1:1,0)+2),FALSE),"")</f>
        <v/>
      </c>
      <c r="FTP6" s="27" t="str">
        <f>IFERROR(VLOOKUP(DATE($K$1,$K$2,FTP$4),Table1[],(MATCH(Calendar!$A6,DB!1:1,0)+2),FALSE),"")</f>
        <v/>
      </c>
      <c r="FTQ6" s="27" t="str">
        <f>IFERROR(VLOOKUP(DATE($K$1,$K$2,FTQ$4),Table1[],(MATCH(Calendar!$A6,DB!1:1,0)+2),FALSE),"")</f>
        <v/>
      </c>
      <c r="FTR6" s="27" t="str">
        <f>IFERROR(VLOOKUP(DATE($K$1,$K$2,FTR$4),Table1[],(MATCH(Calendar!$A6,DB!1:1,0)+2),FALSE),"")</f>
        <v/>
      </c>
      <c r="FTS6" s="27" t="str">
        <f>IFERROR(VLOOKUP(DATE($K$1,$K$2,FTS$4),Table1[],(MATCH(Calendar!$A6,DB!1:1,0)+2),FALSE),"")</f>
        <v/>
      </c>
      <c r="FTT6" s="27" t="str">
        <f>IFERROR(VLOOKUP(DATE($K$1,$K$2,FTT$4),Table1[],(MATCH(Calendar!$A6,DB!1:1,0)+2),FALSE),"")</f>
        <v/>
      </c>
      <c r="FTU6" s="27" t="str">
        <f>IFERROR(VLOOKUP(DATE($K$1,$K$2,FTU$4),Table1[],(MATCH(Calendar!$A6,DB!1:1,0)+2),FALSE),"")</f>
        <v/>
      </c>
      <c r="FTV6" s="27" t="str">
        <f>IFERROR(VLOOKUP(DATE($K$1,$K$2,FTV$4),Table1[],(MATCH(Calendar!$A6,DB!1:1,0)+2),FALSE),"")</f>
        <v/>
      </c>
      <c r="FTW6" s="27" t="str">
        <f>IFERROR(VLOOKUP(DATE($K$1,$K$2,FTW$4),Table1[],(MATCH(Calendar!$A6,DB!1:1,0)+2),FALSE),"")</f>
        <v/>
      </c>
      <c r="FTX6" s="27" t="str">
        <f>IFERROR(VLOOKUP(DATE($K$1,$K$2,FTX$4),Table1[],(MATCH(Calendar!$A6,DB!1:1,0)+2),FALSE),"")</f>
        <v/>
      </c>
      <c r="FTY6" s="27" t="str">
        <f>IFERROR(VLOOKUP(DATE($K$1,$K$2,FTY$4),Table1[],(MATCH(Calendar!$A6,DB!1:1,0)+2),FALSE),"")</f>
        <v/>
      </c>
      <c r="FTZ6" s="27" t="str">
        <f>IFERROR(VLOOKUP(DATE($K$1,$K$2,FTZ$4),Table1[],(MATCH(Calendar!$A6,DB!1:1,0)+2),FALSE),"")</f>
        <v/>
      </c>
      <c r="FUA6" s="27" t="str">
        <f>IFERROR(VLOOKUP(DATE($K$1,$K$2,FUA$4),Table1[],(MATCH(Calendar!$A6,DB!1:1,0)+2),FALSE),"")</f>
        <v/>
      </c>
      <c r="FUB6" s="27" t="str">
        <f>IFERROR(VLOOKUP(DATE($K$1,$K$2,FUB$4),Table1[],(MATCH(Calendar!$A6,DB!1:1,0)+2),FALSE),"")</f>
        <v/>
      </c>
      <c r="FUC6" s="27" t="str">
        <f>IFERROR(VLOOKUP(DATE($K$1,$K$2,FUC$4),Table1[],(MATCH(Calendar!$A6,DB!1:1,0)+2),FALSE),"")</f>
        <v/>
      </c>
      <c r="FUD6" s="27" t="str">
        <f>IFERROR(VLOOKUP(DATE($K$1,$K$2,FUD$4),Table1[],(MATCH(Calendar!$A6,DB!1:1,0)+2),FALSE),"")</f>
        <v/>
      </c>
      <c r="FUE6" s="27" t="str">
        <f>IFERROR(VLOOKUP(DATE($K$1,$K$2,FUE$4),Table1[],(MATCH(Calendar!$A6,DB!1:1,0)+2),FALSE),"")</f>
        <v/>
      </c>
      <c r="FUF6" s="27" t="str">
        <f>IFERROR(VLOOKUP(DATE($K$1,$K$2,FUF$4),Table1[],(MATCH(Calendar!$A6,DB!1:1,0)+2),FALSE),"")</f>
        <v/>
      </c>
      <c r="FUG6" s="27" t="str">
        <f>IFERROR(VLOOKUP(DATE($K$1,$K$2,FUG$4),Table1[],(MATCH(Calendar!$A6,DB!1:1,0)+2),FALSE),"")</f>
        <v/>
      </c>
      <c r="FUH6" s="27" t="str">
        <f>IFERROR(VLOOKUP(DATE($K$1,$K$2,FUH$4),Table1[],(MATCH(Calendar!$A6,DB!1:1,0)+2),FALSE),"")</f>
        <v/>
      </c>
      <c r="FUI6" s="27" t="str">
        <f>IFERROR(VLOOKUP(DATE($K$1,$K$2,FUI$4),Table1[],(MATCH(Calendar!$A6,DB!1:1,0)+2),FALSE),"")</f>
        <v/>
      </c>
      <c r="FUJ6" s="27" t="str">
        <f>IFERROR(VLOOKUP(DATE($K$1,$K$2,FUJ$4),Table1[],(MATCH(Calendar!$A6,DB!1:1,0)+2),FALSE),"")</f>
        <v/>
      </c>
      <c r="FUK6" s="27" t="str">
        <f>IFERROR(VLOOKUP(DATE($K$1,$K$2,FUK$4),Table1[],(MATCH(Calendar!$A6,DB!1:1,0)+2),FALSE),"")</f>
        <v/>
      </c>
      <c r="FUL6" s="27" t="str">
        <f>IFERROR(VLOOKUP(DATE($K$1,$K$2,FUL$4),Table1[],(MATCH(Calendar!$A6,DB!1:1,0)+2),FALSE),"")</f>
        <v/>
      </c>
      <c r="FUM6" s="27" t="str">
        <f>IFERROR(VLOOKUP(DATE($K$1,$K$2,FUM$4),Table1[],(MATCH(Calendar!$A6,DB!1:1,0)+2),FALSE),"")</f>
        <v/>
      </c>
      <c r="FUN6" s="27" t="str">
        <f>IFERROR(VLOOKUP(DATE($K$1,$K$2,FUN$4),Table1[],(MATCH(Calendar!$A6,DB!1:1,0)+2),FALSE),"")</f>
        <v/>
      </c>
      <c r="FUO6" s="27" t="str">
        <f>IFERROR(VLOOKUP(DATE($K$1,$K$2,FUO$4),Table1[],(MATCH(Calendar!$A6,DB!1:1,0)+2),FALSE),"")</f>
        <v/>
      </c>
      <c r="FUP6" s="27" t="str">
        <f>IFERROR(VLOOKUP(DATE($K$1,$K$2,FUP$4),Table1[],(MATCH(Calendar!$A6,DB!1:1,0)+2),FALSE),"")</f>
        <v/>
      </c>
      <c r="FUQ6" s="27" t="str">
        <f>IFERROR(VLOOKUP(DATE($K$1,$K$2,FUQ$4),Table1[],(MATCH(Calendar!$A6,DB!1:1,0)+2),FALSE),"")</f>
        <v/>
      </c>
      <c r="FUR6" s="27" t="str">
        <f>IFERROR(VLOOKUP(DATE($K$1,$K$2,FUR$4),Table1[],(MATCH(Calendar!$A6,DB!1:1,0)+2),FALSE),"")</f>
        <v/>
      </c>
      <c r="FUS6" s="27" t="str">
        <f>IFERROR(VLOOKUP(DATE($K$1,$K$2,FUS$4),Table1[],(MATCH(Calendar!$A6,DB!1:1,0)+2),FALSE),"")</f>
        <v/>
      </c>
      <c r="FUT6" s="27" t="str">
        <f>IFERROR(VLOOKUP(DATE($K$1,$K$2,FUT$4),Table1[],(MATCH(Calendar!$A6,DB!1:1,0)+2),FALSE),"")</f>
        <v/>
      </c>
      <c r="FUU6" s="27" t="str">
        <f>IFERROR(VLOOKUP(DATE($K$1,$K$2,FUU$4),Table1[],(MATCH(Calendar!$A6,DB!1:1,0)+2),FALSE),"")</f>
        <v/>
      </c>
      <c r="FUV6" s="27" t="str">
        <f>IFERROR(VLOOKUP(DATE($K$1,$K$2,FUV$4),Table1[],(MATCH(Calendar!$A6,DB!1:1,0)+2),FALSE),"")</f>
        <v/>
      </c>
      <c r="FUW6" s="27" t="str">
        <f>IFERROR(VLOOKUP(DATE($K$1,$K$2,FUW$4),Table1[],(MATCH(Calendar!$A6,DB!1:1,0)+2),FALSE),"")</f>
        <v/>
      </c>
      <c r="FUX6" s="27" t="str">
        <f>IFERROR(VLOOKUP(DATE($K$1,$K$2,FUX$4),Table1[],(MATCH(Calendar!$A6,DB!1:1,0)+2),FALSE),"")</f>
        <v/>
      </c>
      <c r="FUY6" s="27" t="str">
        <f>IFERROR(VLOOKUP(DATE($K$1,$K$2,FUY$4),Table1[],(MATCH(Calendar!$A6,DB!1:1,0)+2),FALSE),"")</f>
        <v/>
      </c>
      <c r="FUZ6" s="27" t="str">
        <f>IFERROR(VLOOKUP(DATE($K$1,$K$2,FUZ$4),Table1[],(MATCH(Calendar!$A6,DB!1:1,0)+2),FALSE),"")</f>
        <v/>
      </c>
      <c r="FVA6" s="27" t="str">
        <f>IFERROR(VLOOKUP(DATE($K$1,$K$2,FVA$4),Table1[],(MATCH(Calendar!$A6,DB!1:1,0)+2),FALSE),"")</f>
        <v/>
      </c>
      <c r="FVB6" s="27" t="str">
        <f>IFERROR(VLOOKUP(DATE($K$1,$K$2,FVB$4),Table1[],(MATCH(Calendar!$A6,DB!1:1,0)+2),FALSE),"")</f>
        <v/>
      </c>
      <c r="FVC6" s="27" t="str">
        <f>IFERROR(VLOOKUP(DATE($K$1,$K$2,FVC$4),Table1[],(MATCH(Calendar!$A6,DB!1:1,0)+2),FALSE),"")</f>
        <v/>
      </c>
      <c r="FVD6" s="27" t="str">
        <f>IFERROR(VLOOKUP(DATE($K$1,$K$2,FVD$4),Table1[],(MATCH(Calendar!$A6,DB!1:1,0)+2),FALSE),"")</f>
        <v/>
      </c>
      <c r="FVE6" s="27" t="str">
        <f>IFERROR(VLOOKUP(DATE($K$1,$K$2,FVE$4),Table1[],(MATCH(Calendar!$A6,DB!1:1,0)+2),FALSE),"")</f>
        <v/>
      </c>
      <c r="FVF6" s="27" t="str">
        <f>IFERROR(VLOOKUP(DATE($K$1,$K$2,FVF$4),Table1[],(MATCH(Calendar!$A6,DB!1:1,0)+2),FALSE),"")</f>
        <v/>
      </c>
      <c r="FVG6" s="27" t="str">
        <f>IFERROR(VLOOKUP(DATE($K$1,$K$2,FVG$4),Table1[],(MATCH(Calendar!$A6,DB!1:1,0)+2),FALSE),"")</f>
        <v/>
      </c>
      <c r="FVH6" s="27" t="str">
        <f>IFERROR(VLOOKUP(DATE($K$1,$K$2,FVH$4),Table1[],(MATCH(Calendar!$A6,DB!1:1,0)+2),FALSE),"")</f>
        <v/>
      </c>
      <c r="FVI6" s="27" t="str">
        <f>IFERROR(VLOOKUP(DATE($K$1,$K$2,FVI$4),Table1[],(MATCH(Calendar!$A6,DB!1:1,0)+2),FALSE),"")</f>
        <v/>
      </c>
      <c r="FVJ6" s="27" t="str">
        <f>IFERROR(VLOOKUP(DATE($K$1,$K$2,FVJ$4),Table1[],(MATCH(Calendar!$A6,DB!1:1,0)+2),FALSE),"")</f>
        <v/>
      </c>
      <c r="FVK6" s="27" t="str">
        <f>IFERROR(VLOOKUP(DATE($K$1,$K$2,FVK$4),Table1[],(MATCH(Calendar!$A6,DB!1:1,0)+2),FALSE),"")</f>
        <v/>
      </c>
      <c r="FVL6" s="27" t="str">
        <f>IFERROR(VLOOKUP(DATE($K$1,$K$2,FVL$4),Table1[],(MATCH(Calendar!$A6,DB!1:1,0)+2),FALSE),"")</f>
        <v/>
      </c>
      <c r="FVM6" s="27" t="str">
        <f>IFERROR(VLOOKUP(DATE($K$1,$K$2,FVM$4),Table1[],(MATCH(Calendar!$A6,DB!1:1,0)+2),FALSE),"")</f>
        <v/>
      </c>
      <c r="FVN6" s="27" t="str">
        <f>IFERROR(VLOOKUP(DATE($K$1,$K$2,FVN$4),Table1[],(MATCH(Calendar!$A6,DB!1:1,0)+2),FALSE),"")</f>
        <v/>
      </c>
      <c r="FVO6" s="27" t="str">
        <f>IFERROR(VLOOKUP(DATE($K$1,$K$2,FVO$4),Table1[],(MATCH(Calendar!$A6,DB!1:1,0)+2),FALSE),"")</f>
        <v/>
      </c>
      <c r="FVP6" s="27" t="str">
        <f>IFERROR(VLOOKUP(DATE($K$1,$K$2,FVP$4),Table1[],(MATCH(Calendar!$A6,DB!1:1,0)+2),FALSE),"")</f>
        <v/>
      </c>
      <c r="FVQ6" s="27" t="str">
        <f>IFERROR(VLOOKUP(DATE($K$1,$K$2,FVQ$4),Table1[],(MATCH(Calendar!$A6,DB!1:1,0)+2),FALSE),"")</f>
        <v/>
      </c>
      <c r="FVR6" s="27" t="str">
        <f>IFERROR(VLOOKUP(DATE($K$1,$K$2,FVR$4),Table1[],(MATCH(Calendar!$A6,DB!1:1,0)+2),FALSE),"")</f>
        <v/>
      </c>
      <c r="FVS6" s="27" t="str">
        <f>IFERROR(VLOOKUP(DATE($K$1,$K$2,FVS$4),Table1[],(MATCH(Calendar!$A6,DB!1:1,0)+2),FALSE),"")</f>
        <v/>
      </c>
      <c r="FVT6" s="27" t="str">
        <f>IFERROR(VLOOKUP(DATE($K$1,$K$2,FVT$4),Table1[],(MATCH(Calendar!$A6,DB!1:1,0)+2),FALSE),"")</f>
        <v/>
      </c>
      <c r="FVU6" s="27" t="str">
        <f>IFERROR(VLOOKUP(DATE($K$1,$K$2,FVU$4),Table1[],(MATCH(Calendar!$A6,DB!1:1,0)+2),FALSE),"")</f>
        <v/>
      </c>
      <c r="FVV6" s="27" t="str">
        <f>IFERROR(VLOOKUP(DATE($K$1,$K$2,FVV$4),Table1[],(MATCH(Calendar!$A6,DB!1:1,0)+2),FALSE),"")</f>
        <v/>
      </c>
      <c r="FVW6" s="27" t="str">
        <f>IFERROR(VLOOKUP(DATE($K$1,$K$2,FVW$4),Table1[],(MATCH(Calendar!$A6,DB!1:1,0)+2),FALSE),"")</f>
        <v/>
      </c>
      <c r="FVX6" s="27" t="str">
        <f>IFERROR(VLOOKUP(DATE($K$1,$K$2,FVX$4),Table1[],(MATCH(Calendar!$A6,DB!1:1,0)+2),FALSE),"")</f>
        <v/>
      </c>
      <c r="FVY6" s="27" t="str">
        <f>IFERROR(VLOOKUP(DATE($K$1,$K$2,FVY$4),Table1[],(MATCH(Calendar!$A6,DB!1:1,0)+2),FALSE),"")</f>
        <v/>
      </c>
      <c r="FVZ6" s="27" t="str">
        <f>IFERROR(VLOOKUP(DATE($K$1,$K$2,FVZ$4),Table1[],(MATCH(Calendar!$A6,DB!1:1,0)+2),FALSE),"")</f>
        <v/>
      </c>
      <c r="FWA6" s="27" t="str">
        <f>IFERROR(VLOOKUP(DATE($K$1,$K$2,FWA$4),Table1[],(MATCH(Calendar!$A6,DB!1:1,0)+2),FALSE),"")</f>
        <v/>
      </c>
      <c r="FWB6" s="27" t="str">
        <f>IFERROR(VLOOKUP(DATE($K$1,$K$2,FWB$4),Table1[],(MATCH(Calendar!$A6,DB!1:1,0)+2),FALSE),"")</f>
        <v/>
      </c>
      <c r="FWC6" s="27" t="str">
        <f>IFERROR(VLOOKUP(DATE($K$1,$K$2,FWC$4),Table1[],(MATCH(Calendar!$A6,DB!1:1,0)+2),FALSE),"")</f>
        <v/>
      </c>
      <c r="FWD6" s="27" t="str">
        <f>IFERROR(VLOOKUP(DATE($K$1,$K$2,FWD$4),Table1[],(MATCH(Calendar!$A6,DB!1:1,0)+2),FALSE),"")</f>
        <v/>
      </c>
      <c r="FWE6" s="27" t="str">
        <f>IFERROR(VLOOKUP(DATE($K$1,$K$2,FWE$4),Table1[],(MATCH(Calendar!$A6,DB!1:1,0)+2),FALSE),"")</f>
        <v/>
      </c>
      <c r="FWF6" s="27" t="str">
        <f>IFERROR(VLOOKUP(DATE($K$1,$K$2,FWF$4),Table1[],(MATCH(Calendar!$A6,DB!1:1,0)+2),FALSE),"")</f>
        <v/>
      </c>
      <c r="FWG6" s="27" t="str">
        <f>IFERROR(VLOOKUP(DATE($K$1,$K$2,FWG$4),Table1[],(MATCH(Calendar!$A6,DB!1:1,0)+2),FALSE),"")</f>
        <v/>
      </c>
      <c r="FWH6" s="27" t="str">
        <f>IFERROR(VLOOKUP(DATE($K$1,$K$2,FWH$4),Table1[],(MATCH(Calendar!$A6,DB!1:1,0)+2),FALSE),"")</f>
        <v/>
      </c>
      <c r="FWI6" s="27" t="str">
        <f>IFERROR(VLOOKUP(DATE($K$1,$K$2,FWI$4),Table1[],(MATCH(Calendar!$A6,DB!1:1,0)+2),FALSE),"")</f>
        <v/>
      </c>
      <c r="FWJ6" s="27" t="str">
        <f>IFERROR(VLOOKUP(DATE($K$1,$K$2,FWJ$4),Table1[],(MATCH(Calendar!$A6,DB!1:1,0)+2),FALSE),"")</f>
        <v/>
      </c>
      <c r="FWK6" s="27" t="str">
        <f>IFERROR(VLOOKUP(DATE($K$1,$K$2,FWK$4),Table1[],(MATCH(Calendar!$A6,DB!1:1,0)+2),FALSE),"")</f>
        <v/>
      </c>
      <c r="FWL6" s="27" t="str">
        <f>IFERROR(VLOOKUP(DATE($K$1,$K$2,FWL$4),Table1[],(MATCH(Calendar!$A6,DB!1:1,0)+2),FALSE),"")</f>
        <v/>
      </c>
      <c r="FWM6" s="27" t="str">
        <f>IFERROR(VLOOKUP(DATE($K$1,$K$2,FWM$4),Table1[],(MATCH(Calendar!$A6,DB!1:1,0)+2),FALSE),"")</f>
        <v/>
      </c>
      <c r="FWN6" s="27" t="str">
        <f>IFERROR(VLOOKUP(DATE($K$1,$K$2,FWN$4),Table1[],(MATCH(Calendar!$A6,DB!1:1,0)+2),FALSE),"")</f>
        <v/>
      </c>
      <c r="FWO6" s="27" t="str">
        <f>IFERROR(VLOOKUP(DATE($K$1,$K$2,FWO$4),Table1[],(MATCH(Calendar!$A6,DB!1:1,0)+2),FALSE),"")</f>
        <v/>
      </c>
      <c r="FWP6" s="27" t="str">
        <f>IFERROR(VLOOKUP(DATE($K$1,$K$2,FWP$4),Table1[],(MATCH(Calendar!$A6,DB!1:1,0)+2),FALSE),"")</f>
        <v/>
      </c>
      <c r="FWQ6" s="27" t="str">
        <f>IFERROR(VLOOKUP(DATE($K$1,$K$2,FWQ$4),Table1[],(MATCH(Calendar!$A6,DB!1:1,0)+2),FALSE),"")</f>
        <v/>
      </c>
      <c r="FWR6" s="27" t="str">
        <f>IFERROR(VLOOKUP(DATE($K$1,$K$2,FWR$4),Table1[],(MATCH(Calendar!$A6,DB!1:1,0)+2),FALSE),"")</f>
        <v/>
      </c>
      <c r="FWS6" s="27" t="str">
        <f>IFERROR(VLOOKUP(DATE($K$1,$K$2,FWS$4),Table1[],(MATCH(Calendar!$A6,DB!1:1,0)+2),FALSE),"")</f>
        <v/>
      </c>
      <c r="FWT6" s="27" t="str">
        <f>IFERROR(VLOOKUP(DATE($K$1,$K$2,FWT$4),Table1[],(MATCH(Calendar!$A6,DB!1:1,0)+2),FALSE),"")</f>
        <v/>
      </c>
      <c r="FWU6" s="27" t="str">
        <f>IFERROR(VLOOKUP(DATE($K$1,$K$2,FWU$4),Table1[],(MATCH(Calendar!$A6,DB!1:1,0)+2),FALSE),"")</f>
        <v/>
      </c>
      <c r="FWV6" s="27" t="str">
        <f>IFERROR(VLOOKUP(DATE($K$1,$K$2,FWV$4),Table1[],(MATCH(Calendar!$A6,DB!1:1,0)+2),FALSE),"")</f>
        <v/>
      </c>
      <c r="FWW6" s="27" t="str">
        <f>IFERROR(VLOOKUP(DATE($K$1,$K$2,FWW$4),Table1[],(MATCH(Calendar!$A6,DB!1:1,0)+2),FALSE),"")</f>
        <v/>
      </c>
      <c r="FWX6" s="27" t="str">
        <f>IFERROR(VLOOKUP(DATE($K$1,$K$2,FWX$4),Table1[],(MATCH(Calendar!$A6,DB!1:1,0)+2),FALSE),"")</f>
        <v/>
      </c>
      <c r="FWY6" s="27" t="str">
        <f>IFERROR(VLOOKUP(DATE($K$1,$K$2,FWY$4),Table1[],(MATCH(Calendar!$A6,DB!1:1,0)+2),FALSE),"")</f>
        <v/>
      </c>
      <c r="FWZ6" s="27" t="str">
        <f>IFERROR(VLOOKUP(DATE($K$1,$K$2,FWZ$4),Table1[],(MATCH(Calendar!$A6,DB!1:1,0)+2),FALSE),"")</f>
        <v/>
      </c>
      <c r="FXA6" s="27" t="str">
        <f>IFERROR(VLOOKUP(DATE($K$1,$K$2,FXA$4),Table1[],(MATCH(Calendar!$A6,DB!1:1,0)+2),FALSE),"")</f>
        <v/>
      </c>
      <c r="FXB6" s="27" t="str">
        <f>IFERROR(VLOOKUP(DATE($K$1,$K$2,FXB$4),Table1[],(MATCH(Calendar!$A6,DB!1:1,0)+2),FALSE),"")</f>
        <v/>
      </c>
      <c r="FXC6" s="27" t="str">
        <f>IFERROR(VLOOKUP(DATE($K$1,$K$2,FXC$4),Table1[],(MATCH(Calendar!$A6,DB!1:1,0)+2),FALSE),"")</f>
        <v/>
      </c>
      <c r="FXD6" s="27" t="str">
        <f>IFERROR(VLOOKUP(DATE($K$1,$K$2,FXD$4),Table1[],(MATCH(Calendar!$A6,DB!1:1,0)+2),FALSE),"")</f>
        <v/>
      </c>
      <c r="FXE6" s="27" t="str">
        <f>IFERROR(VLOOKUP(DATE($K$1,$K$2,FXE$4),Table1[],(MATCH(Calendar!$A6,DB!1:1,0)+2),FALSE),"")</f>
        <v/>
      </c>
      <c r="FXF6" s="27" t="str">
        <f>IFERROR(VLOOKUP(DATE($K$1,$K$2,FXF$4),Table1[],(MATCH(Calendar!$A6,DB!1:1,0)+2),FALSE),"")</f>
        <v/>
      </c>
      <c r="FXG6" s="27" t="str">
        <f>IFERROR(VLOOKUP(DATE($K$1,$K$2,FXG$4),Table1[],(MATCH(Calendar!$A6,DB!1:1,0)+2),FALSE),"")</f>
        <v/>
      </c>
      <c r="FXH6" s="27" t="str">
        <f>IFERROR(VLOOKUP(DATE($K$1,$K$2,FXH$4),Table1[],(MATCH(Calendar!$A6,DB!1:1,0)+2),FALSE),"")</f>
        <v/>
      </c>
      <c r="FXI6" s="27" t="str">
        <f>IFERROR(VLOOKUP(DATE($K$1,$K$2,FXI$4),Table1[],(MATCH(Calendar!$A6,DB!1:1,0)+2),FALSE),"")</f>
        <v/>
      </c>
      <c r="FXJ6" s="27" t="str">
        <f>IFERROR(VLOOKUP(DATE($K$1,$K$2,FXJ$4),Table1[],(MATCH(Calendar!$A6,DB!1:1,0)+2),FALSE),"")</f>
        <v/>
      </c>
      <c r="FXK6" s="27" t="str">
        <f>IFERROR(VLOOKUP(DATE($K$1,$K$2,FXK$4),Table1[],(MATCH(Calendar!$A6,DB!1:1,0)+2),FALSE),"")</f>
        <v/>
      </c>
      <c r="FXL6" s="27" t="str">
        <f>IFERROR(VLOOKUP(DATE($K$1,$K$2,FXL$4),Table1[],(MATCH(Calendar!$A6,DB!1:1,0)+2),FALSE),"")</f>
        <v/>
      </c>
      <c r="FXM6" s="27" t="str">
        <f>IFERROR(VLOOKUP(DATE($K$1,$K$2,FXM$4),Table1[],(MATCH(Calendar!$A6,DB!1:1,0)+2),FALSE),"")</f>
        <v/>
      </c>
      <c r="FXN6" s="27" t="str">
        <f>IFERROR(VLOOKUP(DATE($K$1,$K$2,FXN$4),Table1[],(MATCH(Calendar!$A6,DB!1:1,0)+2),FALSE),"")</f>
        <v/>
      </c>
      <c r="FXO6" s="27" t="str">
        <f>IFERROR(VLOOKUP(DATE($K$1,$K$2,FXO$4),Table1[],(MATCH(Calendar!$A6,DB!1:1,0)+2),FALSE),"")</f>
        <v/>
      </c>
      <c r="FXP6" s="27" t="str">
        <f>IFERROR(VLOOKUP(DATE($K$1,$K$2,FXP$4),Table1[],(MATCH(Calendar!$A6,DB!1:1,0)+2),FALSE),"")</f>
        <v/>
      </c>
      <c r="FXQ6" s="27" t="str">
        <f>IFERROR(VLOOKUP(DATE($K$1,$K$2,FXQ$4),Table1[],(MATCH(Calendar!$A6,DB!1:1,0)+2),FALSE),"")</f>
        <v/>
      </c>
      <c r="FXR6" s="27" t="str">
        <f>IFERROR(VLOOKUP(DATE($K$1,$K$2,FXR$4),Table1[],(MATCH(Calendar!$A6,DB!1:1,0)+2),FALSE),"")</f>
        <v/>
      </c>
      <c r="FXS6" s="27" t="str">
        <f>IFERROR(VLOOKUP(DATE($K$1,$K$2,FXS$4),Table1[],(MATCH(Calendar!$A6,DB!1:1,0)+2),FALSE),"")</f>
        <v/>
      </c>
      <c r="FXT6" s="27" t="str">
        <f>IFERROR(VLOOKUP(DATE($K$1,$K$2,FXT$4),Table1[],(MATCH(Calendar!$A6,DB!1:1,0)+2),FALSE),"")</f>
        <v/>
      </c>
      <c r="FXU6" s="27" t="str">
        <f>IFERROR(VLOOKUP(DATE($K$1,$K$2,FXU$4),Table1[],(MATCH(Calendar!$A6,DB!1:1,0)+2),FALSE),"")</f>
        <v/>
      </c>
      <c r="FXV6" s="27" t="str">
        <f>IFERROR(VLOOKUP(DATE($K$1,$K$2,FXV$4),Table1[],(MATCH(Calendar!$A6,DB!1:1,0)+2),FALSE),"")</f>
        <v/>
      </c>
      <c r="FXW6" s="27" t="str">
        <f>IFERROR(VLOOKUP(DATE($K$1,$K$2,FXW$4),Table1[],(MATCH(Calendar!$A6,DB!1:1,0)+2),FALSE),"")</f>
        <v/>
      </c>
      <c r="FXX6" s="27" t="str">
        <f>IFERROR(VLOOKUP(DATE($K$1,$K$2,FXX$4),Table1[],(MATCH(Calendar!$A6,DB!1:1,0)+2),FALSE),"")</f>
        <v/>
      </c>
      <c r="FXY6" s="27" t="str">
        <f>IFERROR(VLOOKUP(DATE($K$1,$K$2,FXY$4),Table1[],(MATCH(Calendar!$A6,DB!1:1,0)+2),FALSE),"")</f>
        <v/>
      </c>
      <c r="FXZ6" s="27" t="str">
        <f>IFERROR(VLOOKUP(DATE($K$1,$K$2,FXZ$4),Table1[],(MATCH(Calendar!$A6,DB!1:1,0)+2),FALSE),"")</f>
        <v/>
      </c>
      <c r="FYA6" s="27" t="str">
        <f>IFERROR(VLOOKUP(DATE($K$1,$K$2,FYA$4),Table1[],(MATCH(Calendar!$A6,DB!1:1,0)+2),FALSE),"")</f>
        <v/>
      </c>
      <c r="FYB6" s="27" t="str">
        <f>IFERROR(VLOOKUP(DATE($K$1,$K$2,FYB$4),Table1[],(MATCH(Calendar!$A6,DB!1:1,0)+2),FALSE),"")</f>
        <v/>
      </c>
      <c r="FYC6" s="27" t="str">
        <f>IFERROR(VLOOKUP(DATE($K$1,$K$2,FYC$4),Table1[],(MATCH(Calendar!$A6,DB!1:1,0)+2),FALSE),"")</f>
        <v/>
      </c>
      <c r="FYD6" s="27" t="str">
        <f>IFERROR(VLOOKUP(DATE($K$1,$K$2,FYD$4),Table1[],(MATCH(Calendar!$A6,DB!1:1,0)+2),FALSE),"")</f>
        <v/>
      </c>
      <c r="FYE6" s="27" t="str">
        <f>IFERROR(VLOOKUP(DATE($K$1,$K$2,FYE$4),Table1[],(MATCH(Calendar!$A6,DB!1:1,0)+2),FALSE),"")</f>
        <v/>
      </c>
      <c r="FYF6" s="27" t="str">
        <f>IFERROR(VLOOKUP(DATE($K$1,$K$2,FYF$4),Table1[],(MATCH(Calendar!$A6,DB!1:1,0)+2),FALSE),"")</f>
        <v/>
      </c>
      <c r="FYG6" s="27" t="str">
        <f>IFERROR(VLOOKUP(DATE($K$1,$K$2,FYG$4),Table1[],(MATCH(Calendar!$A6,DB!1:1,0)+2),FALSE),"")</f>
        <v/>
      </c>
      <c r="FYH6" s="27" t="str">
        <f>IFERROR(VLOOKUP(DATE($K$1,$K$2,FYH$4),Table1[],(MATCH(Calendar!$A6,DB!1:1,0)+2),FALSE),"")</f>
        <v/>
      </c>
      <c r="FYI6" s="27" t="str">
        <f>IFERROR(VLOOKUP(DATE($K$1,$K$2,FYI$4),Table1[],(MATCH(Calendar!$A6,DB!1:1,0)+2),FALSE),"")</f>
        <v/>
      </c>
      <c r="FYJ6" s="27" t="str">
        <f>IFERROR(VLOOKUP(DATE($K$1,$K$2,FYJ$4),Table1[],(MATCH(Calendar!$A6,DB!1:1,0)+2),FALSE),"")</f>
        <v/>
      </c>
      <c r="FYK6" s="27" t="str">
        <f>IFERROR(VLOOKUP(DATE($K$1,$K$2,FYK$4),Table1[],(MATCH(Calendar!$A6,DB!1:1,0)+2),FALSE),"")</f>
        <v/>
      </c>
      <c r="FYL6" s="27" t="str">
        <f>IFERROR(VLOOKUP(DATE($K$1,$K$2,FYL$4),Table1[],(MATCH(Calendar!$A6,DB!1:1,0)+2),FALSE),"")</f>
        <v/>
      </c>
      <c r="FYM6" s="27" t="str">
        <f>IFERROR(VLOOKUP(DATE($K$1,$K$2,FYM$4),Table1[],(MATCH(Calendar!$A6,DB!1:1,0)+2),FALSE),"")</f>
        <v/>
      </c>
      <c r="FYN6" s="27" t="str">
        <f>IFERROR(VLOOKUP(DATE($K$1,$K$2,FYN$4),Table1[],(MATCH(Calendar!$A6,DB!1:1,0)+2),FALSE),"")</f>
        <v/>
      </c>
      <c r="FYO6" s="27" t="str">
        <f>IFERROR(VLOOKUP(DATE($K$1,$K$2,FYO$4),Table1[],(MATCH(Calendar!$A6,DB!1:1,0)+2),FALSE),"")</f>
        <v/>
      </c>
      <c r="FYP6" s="27" t="str">
        <f>IFERROR(VLOOKUP(DATE($K$1,$K$2,FYP$4),Table1[],(MATCH(Calendar!$A6,DB!1:1,0)+2),FALSE),"")</f>
        <v/>
      </c>
      <c r="FYQ6" s="27" t="str">
        <f>IFERROR(VLOOKUP(DATE($K$1,$K$2,FYQ$4),Table1[],(MATCH(Calendar!$A6,DB!1:1,0)+2),FALSE),"")</f>
        <v/>
      </c>
      <c r="FYR6" s="27" t="str">
        <f>IFERROR(VLOOKUP(DATE($K$1,$K$2,FYR$4),Table1[],(MATCH(Calendar!$A6,DB!1:1,0)+2),FALSE),"")</f>
        <v/>
      </c>
      <c r="FYS6" s="27" t="str">
        <f>IFERROR(VLOOKUP(DATE($K$1,$K$2,FYS$4),Table1[],(MATCH(Calendar!$A6,DB!1:1,0)+2),FALSE),"")</f>
        <v/>
      </c>
      <c r="FYT6" s="27" t="str">
        <f>IFERROR(VLOOKUP(DATE($K$1,$K$2,FYT$4),Table1[],(MATCH(Calendar!$A6,DB!1:1,0)+2),FALSE),"")</f>
        <v/>
      </c>
      <c r="FYU6" s="27" t="str">
        <f>IFERROR(VLOOKUP(DATE($K$1,$K$2,FYU$4),Table1[],(MATCH(Calendar!$A6,DB!1:1,0)+2),FALSE),"")</f>
        <v/>
      </c>
      <c r="FYV6" s="27" t="str">
        <f>IFERROR(VLOOKUP(DATE($K$1,$K$2,FYV$4),Table1[],(MATCH(Calendar!$A6,DB!1:1,0)+2),FALSE),"")</f>
        <v/>
      </c>
      <c r="FYW6" s="27" t="str">
        <f>IFERROR(VLOOKUP(DATE($K$1,$K$2,FYW$4),Table1[],(MATCH(Calendar!$A6,DB!1:1,0)+2),FALSE),"")</f>
        <v/>
      </c>
      <c r="FYX6" s="27" t="str">
        <f>IFERROR(VLOOKUP(DATE($K$1,$K$2,FYX$4),Table1[],(MATCH(Calendar!$A6,DB!1:1,0)+2),FALSE),"")</f>
        <v/>
      </c>
      <c r="FYY6" s="27" t="str">
        <f>IFERROR(VLOOKUP(DATE($K$1,$K$2,FYY$4),Table1[],(MATCH(Calendar!$A6,DB!1:1,0)+2),FALSE),"")</f>
        <v/>
      </c>
      <c r="FYZ6" s="27" t="str">
        <f>IFERROR(VLOOKUP(DATE($K$1,$K$2,FYZ$4),Table1[],(MATCH(Calendar!$A6,DB!1:1,0)+2),FALSE),"")</f>
        <v/>
      </c>
      <c r="FZA6" s="27" t="str">
        <f>IFERROR(VLOOKUP(DATE($K$1,$K$2,FZA$4),Table1[],(MATCH(Calendar!$A6,DB!1:1,0)+2),FALSE),"")</f>
        <v/>
      </c>
      <c r="FZB6" s="27" t="str">
        <f>IFERROR(VLOOKUP(DATE($K$1,$K$2,FZB$4),Table1[],(MATCH(Calendar!$A6,DB!1:1,0)+2),FALSE),"")</f>
        <v/>
      </c>
      <c r="FZC6" s="27" t="str">
        <f>IFERROR(VLOOKUP(DATE($K$1,$K$2,FZC$4),Table1[],(MATCH(Calendar!$A6,DB!1:1,0)+2),FALSE),"")</f>
        <v/>
      </c>
      <c r="FZD6" s="27" t="str">
        <f>IFERROR(VLOOKUP(DATE($K$1,$K$2,FZD$4),Table1[],(MATCH(Calendar!$A6,DB!1:1,0)+2),FALSE),"")</f>
        <v/>
      </c>
      <c r="FZE6" s="27" t="str">
        <f>IFERROR(VLOOKUP(DATE($K$1,$K$2,FZE$4),Table1[],(MATCH(Calendar!$A6,DB!1:1,0)+2),FALSE),"")</f>
        <v/>
      </c>
      <c r="FZF6" s="27" t="str">
        <f>IFERROR(VLOOKUP(DATE($K$1,$K$2,FZF$4),Table1[],(MATCH(Calendar!$A6,DB!1:1,0)+2),FALSE),"")</f>
        <v/>
      </c>
      <c r="FZG6" s="27" t="str">
        <f>IFERROR(VLOOKUP(DATE($K$1,$K$2,FZG$4),Table1[],(MATCH(Calendar!$A6,DB!1:1,0)+2),FALSE),"")</f>
        <v/>
      </c>
      <c r="FZH6" s="27" t="str">
        <f>IFERROR(VLOOKUP(DATE($K$1,$K$2,FZH$4),Table1[],(MATCH(Calendar!$A6,DB!1:1,0)+2),FALSE),"")</f>
        <v/>
      </c>
      <c r="FZI6" s="27" t="str">
        <f>IFERROR(VLOOKUP(DATE($K$1,$K$2,FZI$4),Table1[],(MATCH(Calendar!$A6,DB!1:1,0)+2),FALSE),"")</f>
        <v/>
      </c>
      <c r="FZJ6" s="27" t="str">
        <f>IFERROR(VLOOKUP(DATE($K$1,$K$2,FZJ$4),Table1[],(MATCH(Calendar!$A6,DB!1:1,0)+2),FALSE),"")</f>
        <v/>
      </c>
      <c r="FZK6" s="27" t="str">
        <f>IFERROR(VLOOKUP(DATE($K$1,$K$2,FZK$4),Table1[],(MATCH(Calendar!$A6,DB!1:1,0)+2),FALSE),"")</f>
        <v/>
      </c>
      <c r="FZL6" s="27" t="str">
        <f>IFERROR(VLOOKUP(DATE($K$1,$K$2,FZL$4),Table1[],(MATCH(Calendar!$A6,DB!1:1,0)+2),FALSE),"")</f>
        <v/>
      </c>
      <c r="FZM6" s="27" t="str">
        <f>IFERROR(VLOOKUP(DATE($K$1,$K$2,FZM$4),Table1[],(MATCH(Calendar!$A6,DB!1:1,0)+2),FALSE),"")</f>
        <v/>
      </c>
      <c r="FZN6" s="27" t="str">
        <f>IFERROR(VLOOKUP(DATE($K$1,$K$2,FZN$4),Table1[],(MATCH(Calendar!$A6,DB!1:1,0)+2),FALSE),"")</f>
        <v/>
      </c>
      <c r="FZO6" s="27" t="str">
        <f>IFERROR(VLOOKUP(DATE($K$1,$K$2,FZO$4),Table1[],(MATCH(Calendar!$A6,DB!1:1,0)+2),FALSE),"")</f>
        <v/>
      </c>
      <c r="FZP6" s="27" t="str">
        <f>IFERROR(VLOOKUP(DATE($K$1,$K$2,FZP$4),Table1[],(MATCH(Calendar!$A6,DB!1:1,0)+2),FALSE),"")</f>
        <v/>
      </c>
      <c r="FZQ6" s="27" t="str">
        <f>IFERROR(VLOOKUP(DATE($K$1,$K$2,FZQ$4),Table1[],(MATCH(Calendar!$A6,DB!1:1,0)+2),FALSE),"")</f>
        <v/>
      </c>
      <c r="FZR6" s="27" t="str">
        <f>IFERROR(VLOOKUP(DATE($K$1,$K$2,FZR$4),Table1[],(MATCH(Calendar!$A6,DB!1:1,0)+2),FALSE),"")</f>
        <v/>
      </c>
      <c r="FZS6" s="27" t="str">
        <f>IFERROR(VLOOKUP(DATE($K$1,$K$2,FZS$4),Table1[],(MATCH(Calendar!$A6,DB!1:1,0)+2),FALSE),"")</f>
        <v/>
      </c>
      <c r="FZT6" s="27" t="str">
        <f>IFERROR(VLOOKUP(DATE($K$1,$K$2,FZT$4),Table1[],(MATCH(Calendar!$A6,DB!1:1,0)+2),FALSE),"")</f>
        <v/>
      </c>
      <c r="FZU6" s="27" t="str">
        <f>IFERROR(VLOOKUP(DATE($K$1,$K$2,FZU$4),Table1[],(MATCH(Calendar!$A6,DB!1:1,0)+2),FALSE),"")</f>
        <v/>
      </c>
      <c r="FZV6" s="27" t="str">
        <f>IFERROR(VLOOKUP(DATE($K$1,$K$2,FZV$4),Table1[],(MATCH(Calendar!$A6,DB!1:1,0)+2),FALSE),"")</f>
        <v/>
      </c>
      <c r="FZW6" s="27" t="str">
        <f>IFERROR(VLOOKUP(DATE($K$1,$K$2,FZW$4),Table1[],(MATCH(Calendar!$A6,DB!1:1,0)+2),FALSE),"")</f>
        <v/>
      </c>
      <c r="FZX6" s="27" t="str">
        <f>IFERROR(VLOOKUP(DATE($K$1,$K$2,FZX$4),Table1[],(MATCH(Calendar!$A6,DB!1:1,0)+2),FALSE),"")</f>
        <v/>
      </c>
      <c r="FZY6" s="27" t="str">
        <f>IFERROR(VLOOKUP(DATE($K$1,$K$2,FZY$4),Table1[],(MATCH(Calendar!$A6,DB!1:1,0)+2),FALSE),"")</f>
        <v/>
      </c>
      <c r="FZZ6" s="27" t="str">
        <f>IFERROR(VLOOKUP(DATE($K$1,$K$2,FZZ$4),Table1[],(MATCH(Calendar!$A6,DB!1:1,0)+2),FALSE),"")</f>
        <v/>
      </c>
      <c r="GAA6" s="27" t="str">
        <f>IFERROR(VLOOKUP(DATE($K$1,$K$2,GAA$4),Table1[],(MATCH(Calendar!$A6,DB!1:1,0)+2),FALSE),"")</f>
        <v/>
      </c>
      <c r="GAB6" s="27" t="str">
        <f>IFERROR(VLOOKUP(DATE($K$1,$K$2,GAB$4),Table1[],(MATCH(Calendar!$A6,DB!1:1,0)+2),FALSE),"")</f>
        <v/>
      </c>
      <c r="GAC6" s="27" t="str">
        <f>IFERROR(VLOOKUP(DATE($K$1,$K$2,GAC$4),Table1[],(MATCH(Calendar!$A6,DB!1:1,0)+2),FALSE),"")</f>
        <v/>
      </c>
      <c r="GAD6" s="27" t="str">
        <f>IFERROR(VLOOKUP(DATE($K$1,$K$2,GAD$4),Table1[],(MATCH(Calendar!$A6,DB!1:1,0)+2),FALSE),"")</f>
        <v/>
      </c>
      <c r="GAE6" s="27" t="str">
        <f>IFERROR(VLOOKUP(DATE($K$1,$K$2,GAE$4),Table1[],(MATCH(Calendar!$A6,DB!1:1,0)+2),FALSE),"")</f>
        <v/>
      </c>
      <c r="GAF6" s="27" t="str">
        <f>IFERROR(VLOOKUP(DATE($K$1,$K$2,GAF$4),Table1[],(MATCH(Calendar!$A6,DB!1:1,0)+2),FALSE),"")</f>
        <v/>
      </c>
      <c r="GAG6" s="27" t="str">
        <f>IFERROR(VLOOKUP(DATE($K$1,$K$2,GAG$4),Table1[],(MATCH(Calendar!$A6,DB!1:1,0)+2),FALSE),"")</f>
        <v/>
      </c>
      <c r="GAH6" s="27" t="str">
        <f>IFERROR(VLOOKUP(DATE($K$1,$K$2,GAH$4),Table1[],(MATCH(Calendar!$A6,DB!1:1,0)+2),FALSE),"")</f>
        <v/>
      </c>
      <c r="GAI6" s="27" t="str">
        <f>IFERROR(VLOOKUP(DATE($K$1,$K$2,GAI$4),Table1[],(MATCH(Calendar!$A6,DB!1:1,0)+2),FALSE),"")</f>
        <v/>
      </c>
      <c r="GAJ6" s="27" t="str">
        <f>IFERROR(VLOOKUP(DATE($K$1,$K$2,GAJ$4),Table1[],(MATCH(Calendar!$A6,DB!1:1,0)+2),FALSE),"")</f>
        <v/>
      </c>
      <c r="GAK6" s="27" t="str">
        <f>IFERROR(VLOOKUP(DATE($K$1,$K$2,GAK$4),Table1[],(MATCH(Calendar!$A6,DB!1:1,0)+2),FALSE),"")</f>
        <v/>
      </c>
      <c r="GAL6" s="27" t="str">
        <f>IFERROR(VLOOKUP(DATE($K$1,$K$2,GAL$4),Table1[],(MATCH(Calendar!$A6,DB!1:1,0)+2),FALSE),"")</f>
        <v/>
      </c>
      <c r="GAM6" s="27" t="str">
        <f>IFERROR(VLOOKUP(DATE($K$1,$K$2,GAM$4),Table1[],(MATCH(Calendar!$A6,DB!1:1,0)+2),FALSE),"")</f>
        <v/>
      </c>
      <c r="GAN6" s="27" t="str">
        <f>IFERROR(VLOOKUP(DATE($K$1,$K$2,GAN$4),Table1[],(MATCH(Calendar!$A6,DB!1:1,0)+2),FALSE),"")</f>
        <v/>
      </c>
      <c r="GAO6" s="27" t="str">
        <f>IFERROR(VLOOKUP(DATE($K$1,$K$2,GAO$4),Table1[],(MATCH(Calendar!$A6,DB!1:1,0)+2),FALSE),"")</f>
        <v/>
      </c>
      <c r="GAP6" s="27" t="str">
        <f>IFERROR(VLOOKUP(DATE($K$1,$K$2,GAP$4),Table1[],(MATCH(Calendar!$A6,DB!1:1,0)+2),FALSE),"")</f>
        <v/>
      </c>
      <c r="GAQ6" s="27" t="str">
        <f>IFERROR(VLOOKUP(DATE($K$1,$K$2,GAQ$4),Table1[],(MATCH(Calendar!$A6,DB!1:1,0)+2),FALSE),"")</f>
        <v/>
      </c>
      <c r="GAR6" s="27" t="str">
        <f>IFERROR(VLOOKUP(DATE($K$1,$K$2,GAR$4),Table1[],(MATCH(Calendar!$A6,DB!1:1,0)+2),FALSE),"")</f>
        <v/>
      </c>
      <c r="GAS6" s="27" t="str">
        <f>IFERROR(VLOOKUP(DATE($K$1,$K$2,GAS$4),Table1[],(MATCH(Calendar!$A6,DB!1:1,0)+2),FALSE),"")</f>
        <v/>
      </c>
      <c r="GAT6" s="27" t="str">
        <f>IFERROR(VLOOKUP(DATE($K$1,$K$2,GAT$4),Table1[],(MATCH(Calendar!$A6,DB!1:1,0)+2),FALSE),"")</f>
        <v/>
      </c>
      <c r="GAU6" s="27" t="str">
        <f>IFERROR(VLOOKUP(DATE($K$1,$K$2,GAU$4),Table1[],(MATCH(Calendar!$A6,DB!1:1,0)+2),FALSE),"")</f>
        <v/>
      </c>
      <c r="GAV6" s="27" t="str">
        <f>IFERROR(VLOOKUP(DATE($K$1,$K$2,GAV$4),Table1[],(MATCH(Calendar!$A6,DB!1:1,0)+2),FALSE),"")</f>
        <v/>
      </c>
      <c r="GAW6" s="27" t="str">
        <f>IFERROR(VLOOKUP(DATE($K$1,$K$2,GAW$4),Table1[],(MATCH(Calendar!$A6,DB!1:1,0)+2),FALSE),"")</f>
        <v/>
      </c>
      <c r="GAX6" s="27" t="str">
        <f>IFERROR(VLOOKUP(DATE($K$1,$K$2,GAX$4),Table1[],(MATCH(Calendar!$A6,DB!1:1,0)+2),FALSE),"")</f>
        <v/>
      </c>
      <c r="GAY6" s="27" t="str">
        <f>IFERROR(VLOOKUP(DATE($K$1,$K$2,GAY$4),Table1[],(MATCH(Calendar!$A6,DB!1:1,0)+2),FALSE),"")</f>
        <v/>
      </c>
      <c r="GAZ6" s="27" t="str">
        <f>IFERROR(VLOOKUP(DATE($K$1,$K$2,GAZ$4),Table1[],(MATCH(Calendar!$A6,DB!1:1,0)+2),FALSE),"")</f>
        <v/>
      </c>
      <c r="GBA6" s="27" t="str">
        <f>IFERROR(VLOOKUP(DATE($K$1,$K$2,GBA$4),Table1[],(MATCH(Calendar!$A6,DB!1:1,0)+2),FALSE),"")</f>
        <v/>
      </c>
      <c r="GBB6" s="27" t="str">
        <f>IFERROR(VLOOKUP(DATE($K$1,$K$2,GBB$4),Table1[],(MATCH(Calendar!$A6,DB!1:1,0)+2),FALSE),"")</f>
        <v/>
      </c>
      <c r="GBC6" s="27" t="str">
        <f>IFERROR(VLOOKUP(DATE($K$1,$K$2,GBC$4),Table1[],(MATCH(Calendar!$A6,DB!1:1,0)+2),FALSE),"")</f>
        <v/>
      </c>
      <c r="GBD6" s="27" t="str">
        <f>IFERROR(VLOOKUP(DATE($K$1,$K$2,GBD$4),Table1[],(MATCH(Calendar!$A6,DB!1:1,0)+2),FALSE),"")</f>
        <v/>
      </c>
      <c r="GBE6" s="27" t="str">
        <f>IFERROR(VLOOKUP(DATE($K$1,$K$2,GBE$4),Table1[],(MATCH(Calendar!$A6,DB!1:1,0)+2),FALSE),"")</f>
        <v/>
      </c>
      <c r="GBF6" s="27" t="str">
        <f>IFERROR(VLOOKUP(DATE($K$1,$K$2,GBF$4),Table1[],(MATCH(Calendar!$A6,DB!1:1,0)+2),FALSE),"")</f>
        <v/>
      </c>
      <c r="GBG6" s="27" t="str">
        <f>IFERROR(VLOOKUP(DATE($K$1,$K$2,GBG$4),Table1[],(MATCH(Calendar!$A6,DB!1:1,0)+2),FALSE),"")</f>
        <v/>
      </c>
      <c r="GBH6" s="27" t="str">
        <f>IFERROR(VLOOKUP(DATE($K$1,$K$2,GBH$4),Table1[],(MATCH(Calendar!$A6,DB!1:1,0)+2),FALSE),"")</f>
        <v/>
      </c>
      <c r="GBI6" s="27" t="str">
        <f>IFERROR(VLOOKUP(DATE($K$1,$K$2,GBI$4),Table1[],(MATCH(Calendar!$A6,DB!1:1,0)+2),FALSE),"")</f>
        <v/>
      </c>
      <c r="GBJ6" s="27" t="str">
        <f>IFERROR(VLOOKUP(DATE($K$1,$K$2,GBJ$4),Table1[],(MATCH(Calendar!$A6,DB!1:1,0)+2),FALSE),"")</f>
        <v/>
      </c>
      <c r="GBK6" s="27" t="str">
        <f>IFERROR(VLOOKUP(DATE($K$1,$K$2,GBK$4),Table1[],(MATCH(Calendar!$A6,DB!1:1,0)+2),FALSE),"")</f>
        <v/>
      </c>
      <c r="GBL6" s="27" t="str">
        <f>IFERROR(VLOOKUP(DATE($K$1,$K$2,GBL$4),Table1[],(MATCH(Calendar!$A6,DB!1:1,0)+2),FALSE),"")</f>
        <v/>
      </c>
      <c r="GBM6" s="27" t="str">
        <f>IFERROR(VLOOKUP(DATE($K$1,$K$2,GBM$4),Table1[],(MATCH(Calendar!$A6,DB!1:1,0)+2),FALSE),"")</f>
        <v/>
      </c>
      <c r="GBN6" s="27" t="str">
        <f>IFERROR(VLOOKUP(DATE($K$1,$K$2,GBN$4),Table1[],(MATCH(Calendar!$A6,DB!1:1,0)+2),FALSE),"")</f>
        <v/>
      </c>
      <c r="GBO6" s="27" t="str">
        <f>IFERROR(VLOOKUP(DATE($K$1,$K$2,GBO$4),Table1[],(MATCH(Calendar!$A6,DB!1:1,0)+2),FALSE),"")</f>
        <v/>
      </c>
      <c r="GBP6" s="27" t="str">
        <f>IFERROR(VLOOKUP(DATE($K$1,$K$2,GBP$4),Table1[],(MATCH(Calendar!$A6,DB!1:1,0)+2),FALSE),"")</f>
        <v/>
      </c>
      <c r="GBQ6" s="27" t="str">
        <f>IFERROR(VLOOKUP(DATE($K$1,$K$2,GBQ$4),Table1[],(MATCH(Calendar!$A6,DB!1:1,0)+2),FALSE),"")</f>
        <v/>
      </c>
      <c r="GBR6" s="27" t="str">
        <f>IFERROR(VLOOKUP(DATE($K$1,$K$2,GBR$4),Table1[],(MATCH(Calendar!$A6,DB!1:1,0)+2),FALSE),"")</f>
        <v/>
      </c>
      <c r="GBS6" s="27" t="str">
        <f>IFERROR(VLOOKUP(DATE($K$1,$K$2,GBS$4),Table1[],(MATCH(Calendar!$A6,DB!1:1,0)+2),FALSE),"")</f>
        <v/>
      </c>
      <c r="GBT6" s="27" t="str">
        <f>IFERROR(VLOOKUP(DATE($K$1,$K$2,GBT$4),Table1[],(MATCH(Calendar!$A6,DB!1:1,0)+2),FALSE),"")</f>
        <v/>
      </c>
      <c r="GBU6" s="27" t="str">
        <f>IFERROR(VLOOKUP(DATE($K$1,$K$2,GBU$4),Table1[],(MATCH(Calendar!$A6,DB!1:1,0)+2),FALSE),"")</f>
        <v/>
      </c>
      <c r="GBV6" s="27" t="str">
        <f>IFERROR(VLOOKUP(DATE($K$1,$K$2,GBV$4),Table1[],(MATCH(Calendar!$A6,DB!1:1,0)+2),FALSE),"")</f>
        <v/>
      </c>
      <c r="GBW6" s="27" t="str">
        <f>IFERROR(VLOOKUP(DATE($K$1,$K$2,GBW$4),Table1[],(MATCH(Calendar!$A6,DB!1:1,0)+2),FALSE),"")</f>
        <v/>
      </c>
      <c r="GBX6" s="27" t="str">
        <f>IFERROR(VLOOKUP(DATE($K$1,$K$2,GBX$4),Table1[],(MATCH(Calendar!$A6,DB!1:1,0)+2),FALSE),"")</f>
        <v/>
      </c>
      <c r="GBY6" s="27" t="str">
        <f>IFERROR(VLOOKUP(DATE($K$1,$K$2,GBY$4),Table1[],(MATCH(Calendar!$A6,DB!1:1,0)+2),FALSE),"")</f>
        <v/>
      </c>
      <c r="GBZ6" s="27" t="str">
        <f>IFERROR(VLOOKUP(DATE($K$1,$K$2,GBZ$4),Table1[],(MATCH(Calendar!$A6,DB!1:1,0)+2),FALSE),"")</f>
        <v/>
      </c>
      <c r="GCA6" s="27" t="str">
        <f>IFERROR(VLOOKUP(DATE($K$1,$K$2,GCA$4),Table1[],(MATCH(Calendar!$A6,DB!1:1,0)+2),FALSE),"")</f>
        <v/>
      </c>
      <c r="GCB6" s="27" t="str">
        <f>IFERROR(VLOOKUP(DATE($K$1,$K$2,GCB$4),Table1[],(MATCH(Calendar!$A6,DB!1:1,0)+2),FALSE),"")</f>
        <v/>
      </c>
      <c r="GCC6" s="27" t="str">
        <f>IFERROR(VLOOKUP(DATE($K$1,$K$2,GCC$4),Table1[],(MATCH(Calendar!$A6,DB!1:1,0)+2),FALSE),"")</f>
        <v/>
      </c>
      <c r="GCD6" s="27" t="str">
        <f>IFERROR(VLOOKUP(DATE($K$1,$K$2,GCD$4),Table1[],(MATCH(Calendar!$A6,DB!1:1,0)+2),FALSE),"")</f>
        <v/>
      </c>
      <c r="GCE6" s="27" t="str">
        <f>IFERROR(VLOOKUP(DATE($K$1,$K$2,GCE$4),Table1[],(MATCH(Calendar!$A6,DB!1:1,0)+2),FALSE),"")</f>
        <v/>
      </c>
      <c r="GCF6" s="27" t="str">
        <f>IFERROR(VLOOKUP(DATE($K$1,$K$2,GCF$4),Table1[],(MATCH(Calendar!$A6,DB!1:1,0)+2),FALSE),"")</f>
        <v/>
      </c>
      <c r="GCG6" s="27" t="str">
        <f>IFERROR(VLOOKUP(DATE($K$1,$K$2,GCG$4),Table1[],(MATCH(Calendar!$A6,DB!1:1,0)+2),FALSE),"")</f>
        <v/>
      </c>
      <c r="GCH6" s="27" t="str">
        <f>IFERROR(VLOOKUP(DATE($K$1,$K$2,GCH$4),Table1[],(MATCH(Calendar!$A6,DB!1:1,0)+2),FALSE),"")</f>
        <v/>
      </c>
      <c r="GCI6" s="27" t="str">
        <f>IFERROR(VLOOKUP(DATE($K$1,$K$2,GCI$4),Table1[],(MATCH(Calendar!$A6,DB!1:1,0)+2),FALSE),"")</f>
        <v/>
      </c>
      <c r="GCJ6" s="27" t="str">
        <f>IFERROR(VLOOKUP(DATE($K$1,$K$2,GCJ$4),Table1[],(MATCH(Calendar!$A6,DB!1:1,0)+2),FALSE),"")</f>
        <v/>
      </c>
      <c r="GCK6" s="27" t="str">
        <f>IFERROR(VLOOKUP(DATE($K$1,$K$2,GCK$4),Table1[],(MATCH(Calendar!$A6,DB!1:1,0)+2),FALSE),"")</f>
        <v/>
      </c>
      <c r="GCL6" s="27" t="str">
        <f>IFERROR(VLOOKUP(DATE($K$1,$K$2,GCL$4),Table1[],(MATCH(Calendar!$A6,DB!1:1,0)+2),FALSE),"")</f>
        <v/>
      </c>
      <c r="GCM6" s="27" t="str">
        <f>IFERROR(VLOOKUP(DATE($K$1,$K$2,GCM$4),Table1[],(MATCH(Calendar!$A6,DB!1:1,0)+2),FALSE),"")</f>
        <v/>
      </c>
      <c r="GCN6" s="27" t="str">
        <f>IFERROR(VLOOKUP(DATE($K$1,$K$2,GCN$4),Table1[],(MATCH(Calendar!$A6,DB!1:1,0)+2),FALSE),"")</f>
        <v/>
      </c>
      <c r="GCO6" s="27" t="str">
        <f>IFERROR(VLOOKUP(DATE($K$1,$K$2,GCO$4),Table1[],(MATCH(Calendar!$A6,DB!1:1,0)+2),FALSE),"")</f>
        <v/>
      </c>
      <c r="GCP6" s="27" t="str">
        <f>IFERROR(VLOOKUP(DATE($K$1,$K$2,GCP$4),Table1[],(MATCH(Calendar!$A6,DB!1:1,0)+2),FALSE),"")</f>
        <v/>
      </c>
      <c r="GCQ6" s="27" t="str">
        <f>IFERROR(VLOOKUP(DATE($K$1,$K$2,GCQ$4),Table1[],(MATCH(Calendar!$A6,DB!1:1,0)+2),FALSE),"")</f>
        <v/>
      </c>
      <c r="GCR6" s="27" t="str">
        <f>IFERROR(VLOOKUP(DATE($K$1,$K$2,GCR$4),Table1[],(MATCH(Calendar!$A6,DB!1:1,0)+2),FALSE),"")</f>
        <v/>
      </c>
      <c r="GCS6" s="27" t="str">
        <f>IFERROR(VLOOKUP(DATE($K$1,$K$2,GCS$4),Table1[],(MATCH(Calendar!$A6,DB!1:1,0)+2),FALSE),"")</f>
        <v/>
      </c>
      <c r="GCT6" s="27" t="str">
        <f>IFERROR(VLOOKUP(DATE($K$1,$K$2,GCT$4),Table1[],(MATCH(Calendar!$A6,DB!1:1,0)+2),FALSE),"")</f>
        <v/>
      </c>
      <c r="GCU6" s="27" t="str">
        <f>IFERROR(VLOOKUP(DATE($K$1,$K$2,GCU$4),Table1[],(MATCH(Calendar!$A6,DB!1:1,0)+2),FALSE),"")</f>
        <v/>
      </c>
      <c r="GCV6" s="27" t="str">
        <f>IFERROR(VLOOKUP(DATE($K$1,$K$2,GCV$4),Table1[],(MATCH(Calendar!$A6,DB!1:1,0)+2),FALSE),"")</f>
        <v/>
      </c>
      <c r="GCW6" s="27" t="str">
        <f>IFERROR(VLOOKUP(DATE($K$1,$K$2,GCW$4),Table1[],(MATCH(Calendar!$A6,DB!1:1,0)+2),FALSE),"")</f>
        <v/>
      </c>
      <c r="GCX6" s="27" t="str">
        <f>IFERROR(VLOOKUP(DATE($K$1,$K$2,GCX$4),Table1[],(MATCH(Calendar!$A6,DB!1:1,0)+2),FALSE),"")</f>
        <v/>
      </c>
      <c r="GCY6" s="27" t="str">
        <f>IFERROR(VLOOKUP(DATE($K$1,$K$2,GCY$4),Table1[],(MATCH(Calendar!$A6,DB!1:1,0)+2),FALSE),"")</f>
        <v/>
      </c>
      <c r="GCZ6" s="27" t="str">
        <f>IFERROR(VLOOKUP(DATE($K$1,$K$2,GCZ$4),Table1[],(MATCH(Calendar!$A6,DB!1:1,0)+2),FALSE),"")</f>
        <v/>
      </c>
      <c r="GDA6" s="27" t="str">
        <f>IFERROR(VLOOKUP(DATE($K$1,$K$2,GDA$4),Table1[],(MATCH(Calendar!$A6,DB!1:1,0)+2),FALSE),"")</f>
        <v/>
      </c>
      <c r="GDB6" s="27" t="str">
        <f>IFERROR(VLOOKUP(DATE($K$1,$K$2,GDB$4),Table1[],(MATCH(Calendar!$A6,DB!1:1,0)+2),FALSE),"")</f>
        <v/>
      </c>
      <c r="GDC6" s="27" t="str">
        <f>IFERROR(VLOOKUP(DATE($K$1,$K$2,GDC$4),Table1[],(MATCH(Calendar!$A6,DB!1:1,0)+2),FALSE),"")</f>
        <v/>
      </c>
      <c r="GDD6" s="27" t="str">
        <f>IFERROR(VLOOKUP(DATE($K$1,$K$2,GDD$4),Table1[],(MATCH(Calendar!$A6,DB!1:1,0)+2),FALSE),"")</f>
        <v/>
      </c>
      <c r="GDE6" s="27" t="str">
        <f>IFERROR(VLOOKUP(DATE($K$1,$K$2,GDE$4),Table1[],(MATCH(Calendar!$A6,DB!1:1,0)+2),FALSE),"")</f>
        <v/>
      </c>
      <c r="GDF6" s="27" t="str">
        <f>IFERROR(VLOOKUP(DATE($K$1,$K$2,GDF$4),Table1[],(MATCH(Calendar!$A6,DB!1:1,0)+2),FALSE),"")</f>
        <v/>
      </c>
      <c r="GDG6" s="27" t="str">
        <f>IFERROR(VLOOKUP(DATE($K$1,$K$2,GDG$4),Table1[],(MATCH(Calendar!$A6,DB!1:1,0)+2),FALSE),"")</f>
        <v/>
      </c>
      <c r="GDH6" s="27" t="str">
        <f>IFERROR(VLOOKUP(DATE($K$1,$K$2,GDH$4),Table1[],(MATCH(Calendar!$A6,DB!1:1,0)+2),FALSE),"")</f>
        <v/>
      </c>
      <c r="GDI6" s="27" t="str">
        <f>IFERROR(VLOOKUP(DATE($K$1,$K$2,GDI$4),Table1[],(MATCH(Calendar!$A6,DB!1:1,0)+2),FALSE),"")</f>
        <v/>
      </c>
      <c r="GDJ6" s="27" t="str">
        <f>IFERROR(VLOOKUP(DATE($K$1,$K$2,GDJ$4),Table1[],(MATCH(Calendar!$A6,DB!1:1,0)+2),FALSE),"")</f>
        <v/>
      </c>
      <c r="GDK6" s="27" t="str">
        <f>IFERROR(VLOOKUP(DATE($K$1,$K$2,GDK$4),Table1[],(MATCH(Calendar!$A6,DB!1:1,0)+2),FALSE),"")</f>
        <v/>
      </c>
      <c r="GDL6" s="27" t="str">
        <f>IFERROR(VLOOKUP(DATE($K$1,$K$2,GDL$4),Table1[],(MATCH(Calendar!$A6,DB!1:1,0)+2),FALSE),"")</f>
        <v/>
      </c>
      <c r="GDM6" s="27" t="str">
        <f>IFERROR(VLOOKUP(DATE($K$1,$K$2,GDM$4),Table1[],(MATCH(Calendar!$A6,DB!1:1,0)+2),FALSE),"")</f>
        <v/>
      </c>
      <c r="GDN6" s="27" t="str">
        <f>IFERROR(VLOOKUP(DATE($K$1,$K$2,GDN$4),Table1[],(MATCH(Calendar!$A6,DB!1:1,0)+2),FALSE),"")</f>
        <v/>
      </c>
      <c r="GDO6" s="27" t="str">
        <f>IFERROR(VLOOKUP(DATE($K$1,$K$2,GDO$4),Table1[],(MATCH(Calendar!$A6,DB!1:1,0)+2),FALSE),"")</f>
        <v/>
      </c>
      <c r="GDP6" s="27" t="str">
        <f>IFERROR(VLOOKUP(DATE($K$1,$K$2,GDP$4),Table1[],(MATCH(Calendar!$A6,DB!1:1,0)+2),FALSE),"")</f>
        <v/>
      </c>
      <c r="GDQ6" s="27" t="str">
        <f>IFERROR(VLOOKUP(DATE($K$1,$K$2,GDQ$4),Table1[],(MATCH(Calendar!$A6,DB!1:1,0)+2),FALSE),"")</f>
        <v/>
      </c>
      <c r="GDR6" s="27" t="str">
        <f>IFERROR(VLOOKUP(DATE($K$1,$K$2,GDR$4),Table1[],(MATCH(Calendar!$A6,DB!1:1,0)+2),FALSE),"")</f>
        <v/>
      </c>
      <c r="GDS6" s="27" t="str">
        <f>IFERROR(VLOOKUP(DATE($K$1,$K$2,GDS$4),Table1[],(MATCH(Calendar!$A6,DB!1:1,0)+2),FALSE),"")</f>
        <v/>
      </c>
      <c r="GDT6" s="27" t="str">
        <f>IFERROR(VLOOKUP(DATE($K$1,$K$2,GDT$4),Table1[],(MATCH(Calendar!$A6,DB!1:1,0)+2),FALSE),"")</f>
        <v/>
      </c>
      <c r="GDU6" s="27" t="str">
        <f>IFERROR(VLOOKUP(DATE($K$1,$K$2,GDU$4),Table1[],(MATCH(Calendar!$A6,DB!1:1,0)+2),FALSE),"")</f>
        <v/>
      </c>
      <c r="GDV6" s="27" t="str">
        <f>IFERROR(VLOOKUP(DATE($K$1,$K$2,GDV$4),Table1[],(MATCH(Calendar!$A6,DB!1:1,0)+2),FALSE),"")</f>
        <v/>
      </c>
      <c r="GDW6" s="27" t="str">
        <f>IFERROR(VLOOKUP(DATE($K$1,$K$2,GDW$4),Table1[],(MATCH(Calendar!$A6,DB!1:1,0)+2),FALSE),"")</f>
        <v/>
      </c>
      <c r="GDX6" s="27" t="str">
        <f>IFERROR(VLOOKUP(DATE($K$1,$K$2,GDX$4),Table1[],(MATCH(Calendar!$A6,DB!1:1,0)+2),FALSE),"")</f>
        <v/>
      </c>
      <c r="GDY6" s="27" t="str">
        <f>IFERROR(VLOOKUP(DATE($K$1,$K$2,GDY$4),Table1[],(MATCH(Calendar!$A6,DB!1:1,0)+2),FALSE),"")</f>
        <v/>
      </c>
      <c r="GDZ6" s="27" t="str">
        <f>IFERROR(VLOOKUP(DATE($K$1,$K$2,GDZ$4),Table1[],(MATCH(Calendar!$A6,DB!1:1,0)+2),FALSE),"")</f>
        <v/>
      </c>
      <c r="GEA6" s="27" t="str">
        <f>IFERROR(VLOOKUP(DATE($K$1,$K$2,GEA$4),Table1[],(MATCH(Calendar!$A6,DB!1:1,0)+2),FALSE),"")</f>
        <v/>
      </c>
      <c r="GEB6" s="27" t="str">
        <f>IFERROR(VLOOKUP(DATE($K$1,$K$2,GEB$4),Table1[],(MATCH(Calendar!$A6,DB!1:1,0)+2),FALSE),"")</f>
        <v/>
      </c>
      <c r="GEC6" s="27" t="str">
        <f>IFERROR(VLOOKUP(DATE($K$1,$K$2,GEC$4),Table1[],(MATCH(Calendar!$A6,DB!1:1,0)+2),FALSE),"")</f>
        <v/>
      </c>
      <c r="GED6" s="27" t="str">
        <f>IFERROR(VLOOKUP(DATE($K$1,$K$2,GED$4),Table1[],(MATCH(Calendar!$A6,DB!1:1,0)+2),FALSE),"")</f>
        <v/>
      </c>
      <c r="GEE6" s="27" t="str">
        <f>IFERROR(VLOOKUP(DATE($K$1,$K$2,GEE$4),Table1[],(MATCH(Calendar!$A6,DB!1:1,0)+2),FALSE),"")</f>
        <v/>
      </c>
      <c r="GEF6" s="27" t="str">
        <f>IFERROR(VLOOKUP(DATE($K$1,$K$2,GEF$4),Table1[],(MATCH(Calendar!$A6,DB!1:1,0)+2),FALSE),"")</f>
        <v/>
      </c>
      <c r="GEG6" s="27" t="str">
        <f>IFERROR(VLOOKUP(DATE($K$1,$K$2,GEG$4),Table1[],(MATCH(Calendar!$A6,DB!1:1,0)+2),FALSE),"")</f>
        <v/>
      </c>
      <c r="GEH6" s="27" t="str">
        <f>IFERROR(VLOOKUP(DATE($K$1,$K$2,GEH$4),Table1[],(MATCH(Calendar!$A6,DB!1:1,0)+2),FALSE),"")</f>
        <v/>
      </c>
      <c r="GEI6" s="27" t="str">
        <f>IFERROR(VLOOKUP(DATE($K$1,$K$2,GEI$4),Table1[],(MATCH(Calendar!$A6,DB!1:1,0)+2),FALSE),"")</f>
        <v/>
      </c>
      <c r="GEJ6" s="27" t="str">
        <f>IFERROR(VLOOKUP(DATE($K$1,$K$2,GEJ$4),Table1[],(MATCH(Calendar!$A6,DB!1:1,0)+2),FALSE),"")</f>
        <v/>
      </c>
      <c r="GEK6" s="27" t="str">
        <f>IFERROR(VLOOKUP(DATE($K$1,$K$2,GEK$4),Table1[],(MATCH(Calendar!$A6,DB!1:1,0)+2),FALSE),"")</f>
        <v/>
      </c>
      <c r="GEL6" s="27" t="str">
        <f>IFERROR(VLOOKUP(DATE($K$1,$K$2,GEL$4),Table1[],(MATCH(Calendar!$A6,DB!1:1,0)+2),FALSE),"")</f>
        <v/>
      </c>
      <c r="GEM6" s="27" t="str">
        <f>IFERROR(VLOOKUP(DATE($K$1,$K$2,GEM$4),Table1[],(MATCH(Calendar!$A6,DB!1:1,0)+2),FALSE),"")</f>
        <v/>
      </c>
      <c r="GEN6" s="27" t="str">
        <f>IFERROR(VLOOKUP(DATE($K$1,$K$2,GEN$4),Table1[],(MATCH(Calendar!$A6,DB!1:1,0)+2),FALSE),"")</f>
        <v/>
      </c>
      <c r="GEO6" s="27" t="str">
        <f>IFERROR(VLOOKUP(DATE($K$1,$K$2,GEO$4),Table1[],(MATCH(Calendar!$A6,DB!1:1,0)+2),FALSE),"")</f>
        <v/>
      </c>
      <c r="GEP6" s="27" t="str">
        <f>IFERROR(VLOOKUP(DATE($K$1,$K$2,GEP$4),Table1[],(MATCH(Calendar!$A6,DB!1:1,0)+2),FALSE),"")</f>
        <v/>
      </c>
      <c r="GEQ6" s="27" t="str">
        <f>IFERROR(VLOOKUP(DATE($K$1,$K$2,GEQ$4),Table1[],(MATCH(Calendar!$A6,DB!1:1,0)+2),FALSE),"")</f>
        <v/>
      </c>
      <c r="GER6" s="27" t="str">
        <f>IFERROR(VLOOKUP(DATE($K$1,$K$2,GER$4),Table1[],(MATCH(Calendar!$A6,DB!1:1,0)+2),FALSE),"")</f>
        <v/>
      </c>
      <c r="GES6" s="27" t="str">
        <f>IFERROR(VLOOKUP(DATE($K$1,$K$2,GES$4),Table1[],(MATCH(Calendar!$A6,DB!1:1,0)+2),FALSE),"")</f>
        <v/>
      </c>
      <c r="GET6" s="27" t="str">
        <f>IFERROR(VLOOKUP(DATE($K$1,$K$2,GET$4),Table1[],(MATCH(Calendar!$A6,DB!1:1,0)+2),FALSE),"")</f>
        <v/>
      </c>
      <c r="GEU6" s="27" t="str">
        <f>IFERROR(VLOOKUP(DATE($K$1,$K$2,GEU$4),Table1[],(MATCH(Calendar!$A6,DB!1:1,0)+2),FALSE),"")</f>
        <v/>
      </c>
      <c r="GEV6" s="27" t="str">
        <f>IFERROR(VLOOKUP(DATE($K$1,$K$2,GEV$4),Table1[],(MATCH(Calendar!$A6,DB!1:1,0)+2),FALSE),"")</f>
        <v/>
      </c>
      <c r="GEW6" s="27" t="str">
        <f>IFERROR(VLOOKUP(DATE($K$1,$K$2,GEW$4),Table1[],(MATCH(Calendar!$A6,DB!1:1,0)+2),FALSE),"")</f>
        <v/>
      </c>
      <c r="GEX6" s="27" t="str">
        <f>IFERROR(VLOOKUP(DATE($K$1,$K$2,GEX$4),Table1[],(MATCH(Calendar!$A6,DB!1:1,0)+2),FALSE),"")</f>
        <v/>
      </c>
      <c r="GEY6" s="27" t="str">
        <f>IFERROR(VLOOKUP(DATE($K$1,$K$2,GEY$4),Table1[],(MATCH(Calendar!$A6,DB!1:1,0)+2),FALSE),"")</f>
        <v/>
      </c>
      <c r="GEZ6" s="27" t="str">
        <f>IFERROR(VLOOKUP(DATE($K$1,$K$2,GEZ$4),Table1[],(MATCH(Calendar!$A6,DB!1:1,0)+2),FALSE),"")</f>
        <v/>
      </c>
      <c r="GFA6" s="27" t="str">
        <f>IFERROR(VLOOKUP(DATE($K$1,$K$2,GFA$4),Table1[],(MATCH(Calendar!$A6,DB!1:1,0)+2),FALSE),"")</f>
        <v/>
      </c>
      <c r="GFB6" s="27" t="str">
        <f>IFERROR(VLOOKUP(DATE($K$1,$K$2,GFB$4),Table1[],(MATCH(Calendar!$A6,DB!1:1,0)+2),FALSE),"")</f>
        <v/>
      </c>
      <c r="GFC6" s="27" t="str">
        <f>IFERROR(VLOOKUP(DATE($K$1,$K$2,GFC$4),Table1[],(MATCH(Calendar!$A6,DB!1:1,0)+2),FALSE),"")</f>
        <v/>
      </c>
      <c r="GFD6" s="27" t="str">
        <f>IFERROR(VLOOKUP(DATE($K$1,$K$2,GFD$4),Table1[],(MATCH(Calendar!$A6,DB!1:1,0)+2),FALSE),"")</f>
        <v/>
      </c>
      <c r="GFE6" s="27" t="str">
        <f>IFERROR(VLOOKUP(DATE($K$1,$K$2,GFE$4),Table1[],(MATCH(Calendar!$A6,DB!1:1,0)+2),FALSE),"")</f>
        <v/>
      </c>
      <c r="GFF6" s="27" t="str">
        <f>IFERROR(VLOOKUP(DATE($K$1,$K$2,GFF$4),Table1[],(MATCH(Calendar!$A6,DB!1:1,0)+2),FALSE),"")</f>
        <v/>
      </c>
      <c r="GFG6" s="27" t="str">
        <f>IFERROR(VLOOKUP(DATE($K$1,$K$2,GFG$4),Table1[],(MATCH(Calendar!$A6,DB!1:1,0)+2),FALSE),"")</f>
        <v/>
      </c>
      <c r="GFH6" s="27" t="str">
        <f>IFERROR(VLOOKUP(DATE($K$1,$K$2,GFH$4),Table1[],(MATCH(Calendar!$A6,DB!1:1,0)+2),FALSE),"")</f>
        <v/>
      </c>
      <c r="GFI6" s="27" t="str">
        <f>IFERROR(VLOOKUP(DATE($K$1,$K$2,GFI$4),Table1[],(MATCH(Calendar!$A6,DB!1:1,0)+2),FALSE),"")</f>
        <v/>
      </c>
      <c r="GFJ6" s="27" t="str">
        <f>IFERROR(VLOOKUP(DATE($K$1,$K$2,GFJ$4),Table1[],(MATCH(Calendar!$A6,DB!1:1,0)+2),FALSE),"")</f>
        <v/>
      </c>
      <c r="GFK6" s="27" t="str">
        <f>IFERROR(VLOOKUP(DATE($K$1,$K$2,GFK$4),Table1[],(MATCH(Calendar!$A6,DB!1:1,0)+2),FALSE),"")</f>
        <v/>
      </c>
      <c r="GFL6" s="27" t="str">
        <f>IFERROR(VLOOKUP(DATE($K$1,$K$2,GFL$4),Table1[],(MATCH(Calendar!$A6,DB!1:1,0)+2),FALSE),"")</f>
        <v/>
      </c>
      <c r="GFM6" s="27" t="str">
        <f>IFERROR(VLOOKUP(DATE($K$1,$K$2,GFM$4),Table1[],(MATCH(Calendar!$A6,DB!1:1,0)+2),FALSE),"")</f>
        <v/>
      </c>
      <c r="GFN6" s="27" t="str">
        <f>IFERROR(VLOOKUP(DATE($K$1,$K$2,GFN$4),Table1[],(MATCH(Calendar!$A6,DB!1:1,0)+2),FALSE),"")</f>
        <v/>
      </c>
      <c r="GFO6" s="27" t="str">
        <f>IFERROR(VLOOKUP(DATE($K$1,$K$2,GFO$4),Table1[],(MATCH(Calendar!$A6,DB!1:1,0)+2),FALSE),"")</f>
        <v/>
      </c>
      <c r="GFP6" s="27" t="str">
        <f>IFERROR(VLOOKUP(DATE($K$1,$K$2,GFP$4),Table1[],(MATCH(Calendar!$A6,DB!1:1,0)+2),FALSE),"")</f>
        <v/>
      </c>
      <c r="GFQ6" s="27" t="str">
        <f>IFERROR(VLOOKUP(DATE($K$1,$K$2,GFQ$4),Table1[],(MATCH(Calendar!$A6,DB!1:1,0)+2),FALSE),"")</f>
        <v/>
      </c>
      <c r="GFR6" s="27" t="str">
        <f>IFERROR(VLOOKUP(DATE($K$1,$K$2,GFR$4),Table1[],(MATCH(Calendar!$A6,DB!1:1,0)+2),FALSE),"")</f>
        <v/>
      </c>
      <c r="GFS6" s="27" t="str">
        <f>IFERROR(VLOOKUP(DATE($K$1,$K$2,GFS$4),Table1[],(MATCH(Calendar!$A6,DB!1:1,0)+2),FALSE),"")</f>
        <v/>
      </c>
      <c r="GFT6" s="27" t="str">
        <f>IFERROR(VLOOKUP(DATE($K$1,$K$2,GFT$4),Table1[],(MATCH(Calendar!$A6,DB!1:1,0)+2),FALSE),"")</f>
        <v/>
      </c>
      <c r="GFU6" s="27" t="str">
        <f>IFERROR(VLOOKUP(DATE($K$1,$K$2,GFU$4),Table1[],(MATCH(Calendar!$A6,DB!1:1,0)+2),FALSE),"")</f>
        <v/>
      </c>
      <c r="GFV6" s="27" t="str">
        <f>IFERROR(VLOOKUP(DATE($K$1,$K$2,GFV$4),Table1[],(MATCH(Calendar!$A6,DB!1:1,0)+2),FALSE),"")</f>
        <v/>
      </c>
      <c r="GFW6" s="27" t="str">
        <f>IFERROR(VLOOKUP(DATE($K$1,$K$2,GFW$4),Table1[],(MATCH(Calendar!$A6,DB!1:1,0)+2),FALSE),"")</f>
        <v/>
      </c>
      <c r="GFX6" s="27" t="str">
        <f>IFERROR(VLOOKUP(DATE($K$1,$K$2,GFX$4),Table1[],(MATCH(Calendar!$A6,DB!1:1,0)+2),FALSE),"")</f>
        <v/>
      </c>
      <c r="GFY6" s="27" t="str">
        <f>IFERROR(VLOOKUP(DATE($K$1,$K$2,GFY$4),Table1[],(MATCH(Calendar!$A6,DB!1:1,0)+2),FALSE),"")</f>
        <v/>
      </c>
      <c r="GFZ6" s="27" t="str">
        <f>IFERROR(VLOOKUP(DATE($K$1,$K$2,GFZ$4),Table1[],(MATCH(Calendar!$A6,DB!1:1,0)+2),FALSE),"")</f>
        <v/>
      </c>
      <c r="GGA6" s="27" t="str">
        <f>IFERROR(VLOOKUP(DATE($K$1,$K$2,GGA$4),Table1[],(MATCH(Calendar!$A6,DB!1:1,0)+2),FALSE),"")</f>
        <v/>
      </c>
      <c r="GGB6" s="27" t="str">
        <f>IFERROR(VLOOKUP(DATE($K$1,$K$2,GGB$4),Table1[],(MATCH(Calendar!$A6,DB!1:1,0)+2),FALSE),"")</f>
        <v/>
      </c>
      <c r="GGC6" s="27" t="str">
        <f>IFERROR(VLOOKUP(DATE($K$1,$K$2,GGC$4),Table1[],(MATCH(Calendar!$A6,DB!1:1,0)+2),FALSE),"")</f>
        <v/>
      </c>
      <c r="GGD6" s="27" t="str">
        <f>IFERROR(VLOOKUP(DATE($K$1,$K$2,GGD$4),Table1[],(MATCH(Calendar!$A6,DB!1:1,0)+2),FALSE),"")</f>
        <v/>
      </c>
      <c r="GGE6" s="27" t="str">
        <f>IFERROR(VLOOKUP(DATE($K$1,$K$2,GGE$4),Table1[],(MATCH(Calendar!$A6,DB!1:1,0)+2),FALSE),"")</f>
        <v/>
      </c>
      <c r="GGF6" s="27" t="str">
        <f>IFERROR(VLOOKUP(DATE($K$1,$K$2,GGF$4),Table1[],(MATCH(Calendar!$A6,DB!1:1,0)+2),FALSE),"")</f>
        <v/>
      </c>
      <c r="GGG6" s="27" t="str">
        <f>IFERROR(VLOOKUP(DATE($K$1,$K$2,GGG$4),Table1[],(MATCH(Calendar!$A6,DB!1:1,0)+2),FALSE),"")</f>
        <v/>
      </c>
      <c r="GGH6" s="27" t="str">
        <f>IFERROR(VLOOKUP(DATE($K$1,$K$2,GGH$4),Table1[],(MATCH(Calendar!$A6,DB!1:1,0)+2),FALSE),"")</f>
        <v/>
      </c>
      <c r="GGI6" s="27" t="str">
        <f>IFERROR(VLOOKUP(DATE($K$1,$K$2,GGI$4),Table1[],(MATCH(Calendar!$A6,DB!1:1,0)+2),FALSE),"")</f>
        <v/>
      </c>
      <c r="GGJ6" s="27" t="str">
        <f>IFERROR(VLOOKUP(DATE($K$1,$K$2,GGJ$4),Table1[],(MATCH(Calendar!$A6,DB!1:1,0)+2),FALSE),"")</f>
        <v/>
      </c>
      <c r="GGK6" s="27" t="str">
        <f>IFERROR(VLOOKUP(DATE($K$1,$K$2,GGK$4),Table1[],(MATCH(Calendar!$A6,DB!1:1,0)+2),FALSE),"")</f>
        <v/>
      </c>
      <c r="GGL6" s="27" t="str">
        <f>IFERROR(VLOOKUP(DATE($K$1,$K$2,GGL$4),Table1[],(MATCH(Calendar!$A6,DB!1:1,0)+2),FALSE),"")</f>
        <v/>
      </c>
      <c r="GGM6" s="27" t="str">
        <f>IFERROR(VLOOKUP(DATE($K$1,$K$2,GGM$4),Table1[],(MATCH(Calendar!$A6,DB!1:1,0)+2),FALSE),"")</f>
        <v/>
      </c>
      <c r="GGN6" s="27" t="str">
        <f>IFERROR(VLOOKUP(DATE($K$1,$K$2,GGN$4),Table1[],(MATCH(Calendar!$A6,DB!1:1,0)+2),FALSE),"")</f>
        <v/>
      </c>
      <c r="GGO6" s="27" t="str">
        <f>IFERROR(VLOOKUP(DATE($K$1,$K$2,GGO$4),Table1[],(MATCH(Calendar!$A6,DB!1:1,0)+2),FALSE),"")</f>
        <v/>
      </c>
      <c r="GGP6" s="27" t="str">
        <f>IFERROR(VLOOKUP(DATE($K$1,$K$2,GGP$4),Table1[],(MATCH(Calendar!$A6,DB!1:1,0)+2),FALSE),"")</f>
        <v/>
      </c>
      <c r="GGQ6" s="27" t="str">
        <f>IFERROR(VLOOKUP(DATE($K$1,$K$2,GGQ$4),Table1[],(MATCH(Calendar!$A6,DB!1:1,0)+2),FALSE),"")</f>
        <v/>
      </c>
      <c r="GGR6" s="27" t="str">
        <f>IFERROR(VLOOKUP(DATE($K$1,$K$2,GGR$4),Table1[],(MATCH(Calendar!$A6,DB!1:1,0)+2),FALSE),"")</f>
        <v/>
      </c>
      <c r="GGS6" s="27" t="str">
        <f>IFERROR(VLOOKUP(DATE($K$1,$K$2,GGS$4),Table1[],(MATCH(Calendar!$A6,DB!1:1,0)+2),FALSE),"")</f>
        <v/>
      </c>
      <c r="GGT6" s="27" t="str">
        <f>IFERROR(VLOOKUP(DATE($K$1,$K$2,GGT$4),Table1[],(MATCH(Calendar!$A6,DB!1:1,0)+2),FALSE),"")</f>
        <v/>
      </c>
      <c r="GGU6" s="27" t="str">
        <f>IFERROR(VLOOKUP(DATE($K$1,$K$2,GGU$4),Table1[],(MATCH(Calendar!$A6,DB!1:1,0)+2),FALSE),"")</f>
        <v/>
      </c>
      <c r="GGV6" s="27" t="str">
        <f>IFERROR(VLOOKUP(DATE($K$1,$K$2,GGV$4),Table1[],(MATCH(Calendar!$A6,DB!1:1,0)+2),FALSE),"")</f>
        <v/>
      </c>
      <c r="GGW6" s="27" t="str">
        <f>IFERROR(VLOOKUP(DATE($K$1,$K$2,GGW$4),Table1[],(MATCH(Calendar!$A6,DB!1:1,0)+2),FALSE),"")</f>
        <v/>
      </c>
      <c r="GGX6" s="27" t="str">
        <f>IFERROR(VLOOKUP(DATE($K$1,$K$2,GGX$4),Table1[],(MATCH(Calendar!$A6,DB!1:1,0)+2),FALSE),"")</f>
        <v/>
      </c>
      <c r="GGY6" s="27" t="str">
        <f>IFERROR(VLOOKUP(DATE($K$1,$K$2,GGY$4),Table1[],(MATCH(Calendar!$A6,DB!1:1,0)+2),FALSE),"")</f>
        <v/>
      </c>
      <c r="GGZ6" s="27" t="str">
        <f>IFERROR(VLOOKUP(DATE($K$1,$K$2,GGZ$4),Table1[],(MATCH(Calendar!$A6,DB!1:1,0)+2),FALSE),"")</f>
        <v/>
      </c>
      <c r="GHA6" s="27" t="str">
        <f>IFERROR(VLOOKUP(DATE($K$1,$K$2,GHA$4),Table1[],(MATCH(Calendar!$A6,DB!1:1,0)+2),FALSE),"")</f>
        <v/>
      </c>
      <c r="GHB6" s="27" t="str">
        <f>IFERROR(VLOOKUP(DATE($K$1,$K$2,GHB$4),Table1[],(MATCH(Calendar!$A6,DB!1:1,0)+2),FALSE),"")</f>
        <v/>
      </c>
      <c r="GHC6" s="27" t="str">
        <f>IFERROR(VLOOKUP(DATE($K$1,$K$2,GHC$4),Table1[],(MATCH(Calendar!$A6,DB!1:1,0)+2),FALSE),"")</f>
        <v/>
      </c>
      <c r="GHD6" s="27" t="str">
        <f>IFERROR(VLOOKUP(DATE($K$1,$K$2,GHD$4),Table1[],(MATCH(Calendar!$A6,DB!1:1,0)+2),FALSE),"")</f>
        <v/>
      </c>
      <c r="GHE6" s="27" t="str">
        <f>IFERROR(VLOOKUP(DATE($K$1,$K$2,GHE$4),Table1[],(MATCH(Calendar!$A6,DB!1:1,0)+2),FALSE),"")</f>
        <v/>
      </c>
      <c r="GHF6" s="27" t="str">
        <f>IFERROR(VLOOKUP(DATE($K$1,$K$2,GHF$4),Table1[],(MATCH(Calendar!$A6,DB!1:1,0)+2),FALSE),"")</f>
        <v/>
      </c>
      <c r="GHG6" s="27" t="str">
        <f>IFERROR(VLOOKUP(DATE($K$1,$K$2,GHG$4),Table1[],(MATCH(Calendar!$A6,DB!1:1,0)+2),FALSE),"")</f>
        <v/>
      </c>
      <c r="GHH6" s="27" t="str">
        <f>IFERROR(VLOOKUP(DATE($K$1,$K$2,GHH$4),Table1[],(MATCH(Calendar!$A6,DB!1:1,0)+2),FALSE),"")</f>
        <v/>
      </c>
      <c r="GHI6" s="27" t="str">
        <f>IFERROR(VLOOKUP(DATE($K$1,$K$2,GHI$4),Table1[],(MATCH(Calendar!$A6,DB!1:1,0)+2),FALSE),"")</f>
        <v/>
      </c>
      <c r="GHJ6" s="27" t="str">
        <f>IFERROR(VLOOKUP(DATE($K$1,$K$2,GHJ$4),Table1[],(MATCH(Calendar!$A6,DB!1:1,0)+2),FALSE),"")</f>
        <v/>
      </c>
      <c r="GHK6" s="27" t="str">
        <f>IFERROR(VLOOKUP(DATE($K$1,$K$2,GHK$4),Table1[],(MATCH(Calendar!$A6,DB!1:1,0)+2),FALSE),"")</f>
        <v/>
      </c>
      <c r="GHL6" s="27" t="str">
        <f>IFERROR(VLOOKUP(DATE($K$1,$K$2,GHL$4),Table1[],(MATCH(Calendar!$A6,DB!1:1,0)+2),FALSE),"")</f>
        <v/>
      </c>
      <c r="GHM6" s="27" t="str">
        <f>IFERROR(VLOOKUP(DATE($K$1,$K$2,GHM$4),Table1[],(MATCH(Calendar!$A6,DB!1:1,0)+2),FALSE),"")</f>
        <v/>
      </c>
      <c r="GHN6" s="27" t="str">
        <f>IFERROR(VLOOKUP(DATE($K$1,$K$2,GHN$4),Table1[],(MATCH(Calendar!$A6,DB!1:1,0)+2),FALSE),"")</f>
        <v/>
      </c>
      <c r="GHO6" s="27" t="str">
        <f>IFERROR(VLOOKUP(DATE($K$1,$K$2,GHO$4),Table1[],(MATCH(Calendar!$A6,DB!1:1,0)+2),FALSE),"")</f>
        <v/>
      </c>
      <c r="GHP6" s="27" t="str">
        <f>IFERROR(VLOOKUP(DATE($K$1,$K$2,GHP$4),Table1[],(MATCH(Calendar!$A6,DB!1:1,0)+2),FALSE),"")</f>
        <v/>
      </c>
      <c r="GHQ6" s="27" t="str">
        <f>IFERROR(VLOOKUP(DATE($K$1,$K$2,GHQ$4),Table1[],(MATCH(Calendar!$A6,DB!1:1,0)+2),FALSE),"")</f>
        <v/>
      </c>
      <c r="GHR6" s="27" t="str">
        <f>IFERROR(VLOOKUP(DATE($K$1,$K$2,GHR$4),Table1[],(MATCH(Calendar!$A6,DB!1:1,0)+2),FALSE),"")</f>
        <v/>
      </c>
      <c r="GHS6" s="27" t="str">
        <f>IFERROR(VLOOKUP(DATE($K$1,$K$2,GHS$4),Table1[],(MATCH(Calendar!$A6,DB!1:1,0)+2),FALSE),"")</f>
        <v/>
      </c>
      <c r="GHT6" s="27" t="str">
        <f>IFERROR(VLOOKUP(DATE($K$1,$K$2,GHT$4),Table1[],(MATCH(Calendar!$A6,DB!1:1,0)+2),FALSE),"")</f>
        <v/>
      </c>
      <c r="GHU6" s="27" t="str">
        <f>IFERROR(VLOOKUP(DATE($K$1,$K$2,GHU$4),Table1[],(MATCH(Calendar!$A6,DB!1:1,0)+2),FALSE),"")</f>
        <v/>
      </c>
      <c r="GHV6" s="27" t="str">
        <f>IFERROR(VLOOKUP(DATE($K$1,$K$2,GHV$4),Table1[],(MATCH(Calendar!$A6,DB!1:1,0)+2),FALSE),"")</f>
        <v/>
      </c>
      <c r="GHW6" s="27" t="str">
        <f>IFERROR(VLOOKUP(DATE($K$1,$K$2,GHW$4),Table1[],(MATCH(Calendar!$A6,DB!1:1,0)+2),FALSE),"")</f>
        <v/>
      </c>
      <c r="GHX6" s="27" t="str">
        <f>IFERROR(VLOOKUP(DATE($K$1,$K$2,GHX$4),Table1[],(MATCH(Calendar!$A6,DB!1:1,0)+2),FALSE),"")</f>
        <v/>
      </c>
      <c r="GHY6" s="27" t="str">
        <f>IFERROR(VLOOKUP(DATE($K$1,$K$2,GHY$4),Table1[],(MATCH(Calendar!$A6,DB!1:1,0)+2),FALSE),"")</f>
        <v/>
      </c>
      <c r="GHZ6" s="27" t="str">
        <f>IFERROR(VLOOKUP(DATE($K$1,$K$2,GHZ$4),Table1[],(MATCH(Calendar!$A6,DB!1:1,0)+2),FALSE),"")</f>
        <v/>
      </c>
      <c r="GIA6" s="27" t="str">
        <f>IFERROR(VLOOKUP(DATE($K$1,$K$2,GIA$4),Table1[],(MATCH(Calendar!$A6,DB!1:1,0)+2),FALSE),"")</f>
        <v/>
      </c>
      <c r="GIB6" s="27" t="str">
        <f>IFERROR(VLOOKUP(DATE($K$1,$K$2,GIB$4),Table1[],(MATCH(Calendar!$A6,DB!1:1,0)+2),FALSE),"")</f>
        <v/>
      </c>
      <c r="GIC6" s="27" t="str">
        <f>IFERROR(VLOOKUP(DATE($K$1,$K$2,GIC$4),Table1[],(MATCH(Calendar!$A6,DB!1:1,0)+2),FALSE),"")</f>
        <v/>
      </c>
      <c r="GID6" s="27" t="str">
        <f>IFERROR(VLOOKUP(DATE($K$1,$K$2,GID$4),Table1[],(MATCH(Calendar!$A6,DB!1:1,0)+2),FALSE),"")</f>
        <v/>
      </c>
      <c r="GIE6" s="27" t="str">
        <f>IFERROR(VLOOKUP(DATE($K$1,$K$2,GIE$4),Table1[],(MATCH(Calendar!$A6,DB!1:1,0)+2),FALSE),"")</f>
        <v/>
      </c>
      <c r="GIF6" s="27" t="str">
        <f>IFERROR(VLOOKUP(DATE($K$1,$K$2,GIF$4),Table1[],(MATCH(Calendar!$A6,DB!1:1,0)+2),FALSE),"")</f>
        <v/>
      </c>
      <c r="GIG6" s="27" t="str">
        <f>IFERROR(VLOOKUP(DATE($K$1,$K$2,GIG$4),Table1[],(MATCH(Calendar!$A6,DB!1:1,0)+2),FALSE),"")</f>
        <v/>
      </c>
      <c r="GIH6" s="27" t="str">
        <f>IFERROR(VLOOKUP(DATE($K$1,$K$2,GIH$4),Table1[],(MATCH(Calendar!$A6,DB!1:1,0)+2),FALSE),"")</f>
        <v/>
      </c>
      <c r="GII6" s="27" t="str">
        <f>IFERROR(VLOOKUP(DATE($K$1,$K$2,GII$4),Table1[],(MATCH(Calendar!$A6,DB!1:1,0)+2),FALSE),"")</f>
        <v/>
      </c>
      <c r="GIJ6" s="27" t="str">
        <f>IFERROR(VLOOKUP(DATE($K$1,$K$2,GIJ$4),Table1[],(MATCH(Calendar!$A6,DB!1:1,0)+2),FALSE),"")</f>
        <v/>
      </c>
      <c r="GIK6" s="27" t="str">
        <f>IFERROR(VLOOKUP(DATE($K$1,$K$2,GIK$4),Table1[],(MATCH(Calendar!$A6,DB!1:1,0)+2),FALSE),"")</f>
        <v/>
      </c>
      <c r="GIL6" s="27" t="str">
        <f>IFERROR(VLOOKUP(DATE($K$1,$K$2,GIL$4),Table1[],(MATCH(Calendar!$A6,DB!1:1,0)+2),FALSE),"")</f>
        <v/>
      </c>
      <c r="GIM6" s="27" t="str">
        <f>IFERROR(VLOOKUP(DATE($K$1,$K$2,GIM$4),Table1[],(MATCH(Calendar!$A6,DB!1:1,0)+2),FALSE),"")</f>
        <v/>
      </c>
      <c r="GIN6" s="27" t="str">
        <f>IFERROR(VLOOKUP(DATE($K$1,$K$2,GIN$4),Table1[],(MATCH(Calendar!$A6,DB!1:1,0)+2),FALSE),"")</f>
        <v/>
      </c>
      <c r="GIO6" s="27" t="str">
        <f>IFERROR(VLOOKUP(DATE($K$1,$K$2,GIO$4),Table1[],(MATCH(Calendar!$A6,DB!1:1,0)+2),FALSE),"")</f>
        <v/>
      </c>
      <c r="GIP6" s="27" t="str">
        <f>IFERROR(VLOOKUP(DATE($K$1,$K$2,GIP$4),Table1[],(MATCH(Calendar!$A6,DB!1:1,0)+2),FALSE),"")</f>
        <v/>
      </c>
      <c r="GIQ6" s="27" t="str">
        <f>IFERROR(VLOOKUP(DATE($K$1,$K$2,GIQ$4),Table1[],(MATCH(Calendar!$A6,DB!1:1,0)+2),FALSE),"")</f>
        <v/>
      </c>
      <c r="GIR6" s="27" t="str">
        <f>IFERROR(VLOOKUP(DATE($K$1,$K$2,GIR$4),Table1[],(MATCH(Calendar!$A6,DB!1:1,0)+2),FALSE),"")</f>
        <v/>
      </c>
      <c r="GIS6" s="27" t="str">
        <f>IFERROR(VLOOKUP(DATE($K$1,$K$2,GIS$4),Table1[],(MATCH(Calendar!$A6,DB!1:1,0)+2),FALSE),"")</f>
        <v/>
      </c>
      <c r="GIT6" s="27" t="str">
        <f>IFERROR(VLOOKUP(DATE($K$1,$K$2,GIT$4),Table1[],(MATCH(Calendar!$A6,DB!1:1,0)+2),FALSE),"")</f>
        <v/>
      </c>
      <c r="GIU6" s="27" t="str">
        <f>IFERROR(VLOOKUP(DATE($K$1,$K$2,GIU$4),Table1[],(MATCH(Calendar!$A6,DB!1:1,0)+2),FALSE),"")</f>
        <v/>
      </c>
      <c r="GIV6" s="27" t="str">
        <f>IFERROR(VLOOKUP(DATE($K$1,$K$2,GIV$4),Table1[],(MATCH(Calendar!$A6,DB!1:1,0)+2),FALSE),"")</f>
        <v/>
      </c>
      <c r="GIW6" s="27" t="str">
        <f>IFERROR(VLOOKUP(DATE($K$1,$K$2,GIW$4),Table1[],(MATCH(Calendar!$A6,DB!1:1,0)+2),FALSE),"")</f>
        <v/>
      </c>
      <c r="GIX6" s="27" t="str">
        <f>IFERROR(VLOOKUP(DATE($K$1,$K$2,GIX$4),Table1[],(MATCH(Calendar!$A6,DB!1:1,0)+2),FALSE),"")</f>
        <v/>
      </c>
      <c r="GIY6" s="27" t="str">
        <f>IFERROR(VLOOKUP(DATE($K$1,$K$2,GIY$4),Table1[],(MATCH(Calendar!$A6,DB!1:1,0)+2),FALSE),"")</f>
        <v/>
      </c>
      <c r="GIZ6" s="27" t="str">
        <f>IFERROR(VLOOKUP(DATE($K$1,$K$2,GIZ$4),Table1[],(MATCH(Calendar!$A6,DB!1:1,0)+2),FALSE),"")</f>
        <v/>
      </c>
      <c r="GJA6" s="27" t="str">
        <f>IFERROR(VLOOKUP(DATE($K$1,$K$2,GJA$4),Table1[],(MATCH(Calendar!$A6,DB!1:1,0)+2),FALSE),"")</f>
        <v/>
      </c>
      <c r="GJB6" s="27" t="str">
        <f>IFERROR(VLOOKUP(DATE($K$1,$K$2,GJB$4),Table1[],(MATCH(Calendar!$A6,DB!1:1,0)+2),FALSE),"")</f>
        <v/>
      </c>
      <c r="GJC6" s="27" t="str">
        <f>IFERROR(VLOOKUP(DATE($K$1,$K$2,GJC$4),Table1[],(MATCH(Calendar!$A6,DB!1:1,0)+2),FALSE),"")</f>
        <v/>
      </c>
      <c r="GJD6" s="27" t="str">
        <f>IFERROR(VLOOKUP(DATE($K$1,$K$2,GJD$4),Table1[],(MATCH(Calendar!$A6,DB!1:1,0)+2),FALSE),"")</f>
        <v/>
      </c>
      <c r="GJE6" s="27" t="str">
        <f>IFERROR(VLOOKUP(DATE($K$1,$K$2,GJE$4),Table1[],(MATCH(Calendar!$A6,DB!1:1,0)+2),FALSE),"")</f>
        <v/>
      </c>
      <c r="GJF6" s="27" t="str">
        <f>IFERROR(VLOOKUP(DATE($K$1,$K$2,GJF$4),Table1[],(MATCH(Calendar!$A6,DB!1:1,0)+2),FALSE),"")</f>
        <v/>
      </c>
      <c r="GJG6" s="27" t="str">
        <f>IFERROR(VLOOKUP(DATE($K$1,$K$2,GJG$4),Table1[],(MATCH(Calendar!$A6,DB!1:1,0)+2),FALSE),"")</f>
        <v/>
      </c>
      <c r="GJH6" s="27" t="str">
        <f>IFERROR(VLOOKUP(DATE($K$1,$K$2,GJH$4),Table1[],(MATCH(Calendar!$A6,DB!1:1,0)+2),FALSE),"")</f>
        <v/>
      </c>
      <c r="GJI6" s="27" t="str">
        <f>IFERROR(VLOOKUP(DATE($K$1,$K$2,GJI$4),Table1[],(MATCH(Calendar!$A6,DB!1:1,0)+2),FALSE),"")</f>
        <v/>
      </c>
      <c r="GJJ6" s="27" t="str">
        <f>IFERROR(VLOOKUP(DATE($K$1,$K$2,GJJ$4),Table1[],(MATCH(Calendar!$A6,DB!1:1,0)+2),FALSE),"")</f>
        <v/>
      </c>
      <c r="GJK6" s="27" t="str">
        <f>IFERROR(VLOOKUP(DATE($K$1,$K$2,GJK$4),Table1[],(MATCH(Calendar!$A6,DB!1:1,0)+2),FALSE),"")</f>
        <v/>
      </c>
      <c r="GJL6" s="27" t="str">
        <f>IFERROR(VLOOKUP(DATE($K$1,$K$2,GJL$4),Table1[],(MATCH(Calendar!$A6,DB!1:1,0)+2),FALSE),"")</f>
        <v/>
      </c>
      <c r="GJM6" s="27" t="str">
        <f>IFERROR(VLOOKUP(DATE($K$1,$K$2,GJM$4),Table1[],(MATCH(Calendar!$A6,DB!1:1,0)+2),FALSE),"")</f>
        <v/>
      </c>
      <c r="GJN6" s="27" t="str">
        <f>IFERROR(VLOOKUP(DATE($K$1,$K$2,GJN$4),Table1[],(MATCH(Calendar!$A6,DB!1:1,0)+2),FALSE),"")</f>
        <v/>
      </c>
      <c r="GJO6" s="27" t="str">
        <f>IFERROR(VLOOKUP(DATE($K$1,$K$2,GJO$4),Table1[],(MATCH(Calendar!$A6,DB!1:1,0)+2),FALSE),"")</f>
        <v/>
      </c>
      <c r="GJP6" s="27" t="str">
        <f>IFERROR(VLOOKUP(DATE($K$1,$K$2,GJP$4),Table1[],(MATCH(Calendar!$A6,DB!1:1,0)+2),FALSE),"")</f>
        <v/>
      </c>
      <c r="GJQ6" s="27" t="str">
        <f>IFERROR(VLOOKUP(DATE($K$1,$K$2,GJQ$4),Table1[],(MATCH(Calendar!$A6,DB!1:1,0)+2),FALSE),"")</f>
        <v/>
      </c>
      <c r="GJR6" s="27" t="str">
        <f>IFERROR(VLOOKUP(DATE($K$1,$K$2,GJR$4),Table1[],(MATCH(Calendar!$A6,DB!1:1,0)+2),FALSE),"")</f>
        <v/>
      </c>
      <c r="GJS6" s="27" t="str">
        <f>IFERROR(VLOOKUP(DATE($K$1,$K$2,GJS$4),Table1[],(MATCH(Calendar!$A6,DB!1:1,0)+2),FALSE),"")</f>
        <v/>
      </c>
      <c r="GJT6" s="27" t="str">
        <f>IFERROR(VLOOKUP(DATE($K$1,$K$2,GJT$4),Table1[],(MATCH(Calendar!$A6,DB!1:1,0)+2),FALSE),"")</f>
        <v/>
      </c>
      <c r="GJU6" s="27" t="str">
        <f>IFERROR(VLOOKUP(DATE($K$1,$K$2,GJU$4),Table1[],(MATCH(Calendar!$A6,DB!1:1,0)+2),FALSE),"")</f>
        <v/>
      </c>
      <c r="GJV6" s="27" t="str">
        <f>IFERROR(VLOOKUP(DATE($K$1,$K$2,GJV$4),Table1[],(MATCH(Calendar!$A6,DB!1:1,0)+2),FALSE),"")</f>
        <v/>
      </c>
      <c r="GJW6" s="27" t="str">
        <f>IFERROR(VLOOKUP(DATE($K$1,$K$2,GJW$4),Table1[],(MATCH(Calendar!$A6,DB!1:1,0)+2),FALSE),"")</f>
        <v/>
      </c>
      <c r="GJX6" s="27" t="str">
        <f>IFERROR(VLOOKUP(DATE($K$1,$K$2,GJX$4),Table1[],(MATCH(Calendar!$A6,DB!1:1,0)+2),FALSE),"")</f>
        <v/>
      </c>
      <c r="GJY6" s="27" t="str">
        <f>IFERROR(VLOOKUP(DATE($K$1,$K$2,GJY$4),Table1[],(MATCH(Calendar!$A6,DB!1:1,0)+2),FALSE),"")</f>
        <v/>
      </c>
      <c r="GJZ6" s="27" t="str">
        <f>IFERROR(VLOOKUP(DATE($K$1,$K$2,GJZ$4),Table1[],(MATCH(Calendar!$A6,DB!1:1,0)+2),FALSE),"")</f>
        <v/>
      </c>
      <c r="GKA6" s="27" t="str">
        <f>IFERROR(VLOOKUP(DATE($K$1,$K$2,GKA$4),Table1[],(MATCH(Calendar!$A6,DB!1:1,0)+2),FALSE),"")</f>
        <v/>
      </c>
      <c r="GKB6" s="27" t="str">
        <f>IFERROR(VLOOKUP(DATE($K$1,$K$2,GKB$4),Table1[],(MATCH(Calendar!$A6,DB!1:1,0)+2),FALSE),"")</f>
        <v/>
      </c>
      <c r="GKC6" s="27" t="str">
        <f>IFERROR(VLOOKUP(DATE($K$1,$K$2,GKC$4),Table1[],(MATCH(Calendar!$A6,DB!1:1,0)+2),FALSE),"")</f>
        <v/>
      </c>
      <c r="GKD6" s="27" t="str">
        <f>IFERROR(VLOOKUP(DATE($K$1,$K$2,GKD$4),Table1[],(MATCH(Calendar!$A6,DB!1:1,0)+2),FALSE),"")</f>
        <v/>
      </c>
      <c r="GKE6" s="27" t="str">
        <f>IFERROR(VLOOKUP(DATE($K$1,$K$2,GKE$4),Table1[],(MATCH(Calendar!$A6,DB!1:1,0)+2),FALSE),"")</f>
        <v/>
      </c>
      <c r="GKF6" s="27" t="str">
        <f>IFERROR(VLOOKUP(DATE($K$1,$K$2,GKF$4),Table1[],(MATCH(Calendar!$A6,DB!1:1,0)+2),FALSE),"")</f>
        <v/>
      </c>
      <c r="GKG6" s="27" t="str">
        <f>IFERROR(VLOOKUP(DATE($K$1,$K$2,GKG$4),Table1[],(MATCH(Calendar!$A6,DB!1:1,0)+2),FALSE),"")</f>
        <v/>
      </c>
      <c r="GKH6" s="27" t="str">
        <f>IFERROR(VLOOKUP(DATE($K$1,$K$2,GKH$4),Table1[],(MATCH(Calendar!$A6,DB!1:1,0)+2),FALSE),"")</f>
        <v/>
      </c>
      <c r="GKI6" s="27" t="str">
        <f>IFERROR(VLOOKUP(DATE($K$1,$K$2,GKI$4),Table1[],(MATCH(Calendar!$A6,DB!1:1,0)+2),FALSE),"")</f>
        <v/>
      </c>
      <c r="GKJ6" s="27" t="str">
        <f>IFERROR(VLOOKUP(DATE($K$1,$K$2,GKJ$4),Table1[],(MATCH(Calendar!$A6,DB!1:1,0)+2),FALSE),"")</f>
        <v/>
      </c>
      <c r="GKK6" s="27" t="str">
        <f>IFERROR(VLOOKUP(DATE($K$1,$K$2,GKK$4),Table1[],(MATCH(Calendar!$A6,DB!1:1,0)+2),FALSE),"")</f>
        <v/>
      </c>
      <c r="GKL6" s="27" t="str">
        <f>IFERROR(VLOOKUP(DATE($K$1,$K$2,GKL$4),Table1[],(MATCH(Calendar!$A6,DB!1:1,0)+2),FALSE),"")</f>
        <v/>
      </c>
      <c r="GKM6" s="27" t="str">
        <f>IFERROR(VLOOKUP(DATE($K$1,$K$2,GKM$4),Table1[],(MATCH(Calendar!$A6,DB!1:1,0)+2),FALSE),"")</f>
        <v/>
      </c>
      <c r="GKN6" s="27" t="str">
        <f>IFERROR(VLOOKUP(DATE($K$1,$K$2,GKN$4),Table1[],(MATCH(Calendar!$A6,DB!1:1,0)+2),FALSE),"")</f>
        <v/>
      </c>
      <c r="GKO6" s="27" t="str">
        <f>IFERROR(VLOOKUP(DATE($K$1,$K$2,GKO$4),Table1[],(MATCH(Calendar!$A6,DB!1:1,0)+2),FALSE),"")</f>
        <v/>
      </c>
      <c r="GKP6" s="27" t="str">
        <f>IFERROR(VLOOKUP(DATE($K$1,$K$2,GKP$4),Table1[],(MATCH(Calendar!$A6,DB!1:1,0)+2),FALSE),"")</f>
        <v/>
      </c>
      <c r="GKQ6" s="27" t="str">
        <f>IFERROR(VLOOKUP(DATE($K$1,$K$2,GKQ$4),Table1[],(MATCH(Calendar!$A6,DB!1:1,0)+2),FALSE),"")</f>
        <v/>
      </c>
      <c r="GKR6" s="27" t="str">
        <f>IFERROR(VLOOKUP(DATE($K$1,$K$2,GKR$4),Table1[],(MATCH(Calendar!$A6,DB!1:1,0)+2),FALSE),"")</f>
        <v/>
      </c>
      <c r="GKS6" s="27" t="str">
        <f>IFERROR(VLOOKUP(DATE($K$1,$K$2,GKS$4),Table1[],(MATCH(Calendar!$A6,DB!1:1,0)+2),FALSE),"")</f>
        <v/>
      </c>
      <c r="GKT6" s="27" t="str">
        <f>IFERROR(VLOOKUP(DATE($K$1,$K$2,GKT$4),Table1[],(MATCH(Calendar!$A6,DB!1:1,0)+2),FALSE),"")</f>
        <v/>
      </c>
      <c r="GKU6" s="27" t="str">
        <f>IFERROR(VLOOKUP(DATE($K$1,$K$2,GKU$4),Table1[],(MATCH(Calendar!$A6,DB!1:1,0)+2),FALSE),"")</f>
        <v/>
      </c>
      <c r="GKV6" s="27" t="str">
        <f>IFERROR(VLOOKUP(DATE($K$1,$K$2,GKV$4),Table1[],(MATCH(Calendar!$A6,DB!1:1,0)+2),FALSE),"")</f>
        <v/>
      </c>
      <c r="GKW6" s="27" t="str">
        <f>IFERROR(VLOOKUP(DATE($K$1,$K$2,GKW$4),Table1[],(MATCH(Calendar!$A6,DB!1:1,0)+2),FALSE),"")</f>
        <v/>
      </c>
      <c r="GKX6" s="27" t="str">
        <f>IFERROR(VLOOKUP(DATE($K$1,$K$2,GKX$4),Table1[],(MATCH(Calendar!$A6,DB!1:1,0)+2),FALSE),"")</f>
        <v/>
      </c>
      <c r="GKY6" s="27" t="str">
        <f>IFERROR(VLOOKUP(DATE($K$1,$K$2,GKY$4),Table1[],(MATCH(Calendar!$A6,DB!1:1,0)+2),FALSE),"")</f>
        <v/>
      </c>
      <c r="GKZ6" s="27" t="str">
        <f>IFERROR(VLOOKUP(DATE($K$1,$K$2,GKZ$4),Table1[],(MATCH(Calendar!$A6,DB!1:1,0)+2),FALSE),"")</f>
        <v/>
      </c>
      <c r="GLA6" s="27" t="str">
        <f>IFERROR(VLOOKUP(DATE($K$1,$K$2,GLA$4),Table1[],(MATCH(Calendar!$A6,DB!1:1,0)+2),FALSE),"")</f>
        <v/>
      </c>
      <c r="GLB6" s="27" t="str">
        <f>IFERROR(VLOOKUP(DATE($K$1,$K$2,GLB$4),Table1[],(MATCH(Calendar!$A6,DB!1:1,0)+2),FALSE),"")</f>
        <v/>
      </c>
      <c r="GLC6" s="27" t="str">
        <f>IFERROR(VLOOKUP(DATE($K$1,$K$2,GLC$4),Table1[],(MATCH(Calendar!$A6,DB!1:1,0)+2),FALSE),"")</f>
        <v/>
      </c>
      <c r="GLD6" s="27" t="str">
        <f>IFERROR(VLOOKUP(DATE($K$1,$K$2,GLD$4),Table1[],(MATCH(Calendar!$A6,DB!1:1,0)+2),FALSE),"")</f>
        <v/>
      </c>
      <c r="GLE6" s="27" t="str">
        <f>IFERROR(VLOOKUP(DATE($K$1,$K$2,GLE$4),Table1[],(MATCH(Calendar!$A6,DB!1:1,0)+2),FALSE),"")</f>
        <v/>
      </c>
      <c r="GLF6" s="27" t="str">
        <f>IFERROR(VLOOKUP(DATE($K$1,$K$2,GLF$4),Table1[],(MATCH(Calendar!$A6,DB!1:1,0)+2),FALSE),"")</f>
        <v/>
      </c>
      <c r="GLG6" s="27" t="str">
        <f>IFERROR(VLOOKUP(DATE($K$1,$K$2,GLG$4),Table1[],(MATCH(Calendar!$A6,DB!1:1,0)+2),FALSE),"")</f>
        <v/>
      </c>
      <c r="GLH6" s="27" t="str">
        <f>IFERROR(VLOOKUP(DATE($K$1,$K$2,GLH$4),Table1[],(MATCH(Calendar!$A6,DB!1:1,0)+2),FALSE),"")</f>
        <v/>
      </c>
      <c r="GLI6" s="27" t="str">
        <f>IFERROR(VLOOKUP(DATE($K$1,$K$2,GLI$4),Table1[],(MATCH(Calendar!$A6,DB!1:1,0)+2),FALSE),"")</f>
        <v/>
      </c>
      <c r="GLJ6" s="27" t="str">
        <f>IFERROR(VLOOKUP(DATE($K$1,$K$2,GLJ$4),Table1[],(MATCH(Calendar!$A6,DB!1:1,0)+2),FALSE),"")</f>
        <v/>
      </c>
      <c r="GLK6" s="27" t="str">
        <f>IFERROR(VLOOKUP(DATE($K$1,$K$2,GLK$4),Table1[],(MATCH(Calendar!$A6,DB!1:1,0)+2),FALSE),"")</f>
        <v/>
      </c>
      <c r="GLL6" s="27" t="str">
        <f>IFERROR(VLOOKUP(DATE($K$1,$K$2,GLL$4),Table1[],(MATCH(Calendar!$A6,DB!1:1,0)+2),FALSE),"")</f>
        <v/>
      </c>
      <c r="GLM6" s="27" t="str">
        <f>IFERROR(VLOOKUP(DATE($K$1,$K$2,GLM$4),Table1[],(MATCH(Calendar!$A6,DB!1:1,0)+2),FALSE),"")</f>
        <v/>
      </c>
      <c r="GLN6" s="27" t="str">
        <f>IFERROR(VLOOKUP(DATE($K$1,$K$2,GLN$4),Table1[],(MATCH(Calendar!$A6,DB!1:1,0)+2),FALSE),"")</f>
        <v/>
      </c>
      <c r="GLO6" s="27" t="str">
        <f>IFERROR(VLOOKUP(DATE($K$1,$K$2,GLO$4),Table1[],(MATCH(Calendar!$A6,DB!1:1,0)+2),FALSE),"")</f>
        <v/>
      </c>
      <c r="GLP6" s="27" t="str">
        <f>IFERROR(VLOOKUP(DATE($K$1,$K$2,GLP$4),Table1[],(MATCH(Calendar!$A6,DB!1:1,0)+2),FALSE),"")</f>
        <v/>
      </c>
      <c r="GLQ6" s="27" t="str">
        <f>IFERROR(VLOOKUP(DATE($K$1,$K$2,GLQ$4),Table1[],(MATCH(Calendar!$A6,DB!1:1,0)+2),FALSE),"")</f>
        <v/>
      </c>
      <c r="GLR6" s="27" t="str">
        <f>IFERROR(VLOOKUP(DATE($K$1,$K$2,GLR$4),Table1[],(MATCH(Calendar!$A6,DB!1:1,0)+2),FALSE),"")</f>
        <v/>
      </c>
      <c r="GLS6" s="27" t="str">
        <f>IFERROR(VLOOKUP(DATE($K$1,$K$2,GLS$4),Table1[],(MATCH(Calendar!$A6,DB!1:1,0)+2),FALSE),"")</f>
        <v/>
      </c>
      <c r="GLT6" s="27" t="str">
        <f>IFERROR(VLOOKUP(DATE($K$1,$K$2,GLT$4),Table1[],(MATCH(Calendar!$A6,DB!1:1,0)+2),FALSE),"")</f>
        <v/>
      </c>
      <c r="GLU6" s="27" t="str">
        <f>IFERROR(VLOOKUP(DATE($K$1,$K$2,GLU$4),Table1[],(MATCH(Calendar!$A6,DB!1:1,0)+2),FALSE),"")</f>
        <v/>
      </c>
      <c r="GLV6" s="27" t="str">
        <f>IFERROR(VLOOKUP(DATE($K$1,$K$2,GLV$4),Table1[],(MATCH(Calendar!$A6,DB!1:1,0)+2),FALSE),"")</f>
        <v/>
      </c>
      <c r="GLW6" s="27" t="str">
        <f>IFERROR(VLOOKUP(DATE($K$1,$K$2,GLW$4),Table1[],(MATCH(Calendar!$A6,DB!1:1,0)+2),FALSE),"")</f>
        <v/>
      </c>
      <c r="GLX6" s="27" t="str">
        <f>IFERROR(VLOOKUP(DATE($K$1,$K$2,GLX$4),Table1[],(MATCH(Calendar!$A6,DB!1:1,0)+2),FALSE),"")</f>
        <v/>
      </c>
      <c r="GLY6" s="27" t="str">
        <f>IFERROR(VLOOKUP(DATE($K$1,$K$2,GLY$4),Table1[],(MATCH(Calendar!$A6,DB!1:1,0)+2),FALSE),"")</f>
        <v/>
      </c>
      <c r="GLZ6" s="27" t="str">
        <f>IFERROR(VLOOKUP(DATE($K$1,$K$2,GLZ$4),Table1[],(MATCH(Calendar!$A6,DB!1:1,0)+2),FALSE),"")</f>
        <v/>
      </c>
      <c r="GMA6" s="27" t="str">
        <f>IFERROR(VLOOKUP(DATE($K$1,$K$2,GMA$4),Table1[],(MATCH(Calendar!$A6,DB!1:1,0)+2),FALSE),"")</f>
        <v/>
      </c>
      <c r="GMB6" s="27" t="str">
        <f>IFERROR(VLOOKUP(DATE($K$1,$K$2,GMB$4),Table1[],(MATCH(Calendar!$A6,DB!1:1,0)+2),FALSE),"")</f>
        <v/>
      </c>
      <c r="GMC6" s="27" t="str">
        <f>IFERROR(VLOOKUP(DATE($K$1,$K$2,GMC$4),Table1[],(MATCH(Calendar!$A6,DB!1:1,0)+2),FALSE),"")</f>
        <v/>
      </c>
      <c r="GMD6" s="27" t="str">
        <f>IFERROR(VLOOKUP(DATE($K$1,$K$2,GMD$4),Table1[],(MATCH(Calendar!$A6,DB!1:1,0)+2),FALSE),"")</f>
        <v/>
      </c>
      <c r="GME6" s="27" t="str">
        <f>IFERROR(VLOOKUP(DATE($K$1,$K$2,GME$4),Table1[],(MATCH(Calendar!$A6,DB!1:1,0)+2),FALSE),"")</f>
        <v/>
      </c>
      <c r="GMF6" s="27" t="str">
        <f>IFERROR(VLOOKUP(DATE($K$1,$K$2,GMF$4),Table1[],(MATCH(Calendar!$A6,DB!1:1,0)+2),FALSE),"")</f>
        <v/>
      </c>
      <c r="GMG6" s="27" t="str">
        <f>IFERROR(VLOOKUP(DATE($K$1,$K$2,GMG$4),Table1[],(MATCH(Calendar!$A6,DB!1:1,0)+2),FALSE),"")</f>
        <v/>
      </c>
      <c r="GMH6" s="27" t="str">
        <f>IFERROR(VLOOKUP(DATE($K$1,$K$2,GMH$4),Table1[],(MATCH(Calendar!$A6,DB!1:1,0)+2),FALSE),"")</f>
        <v/>
      </c>
      <c r="GMI6" s="27" t="str">
        <f>IFERROR(VLOOKUP(DATE($K$1,$K$2,GMI$4),Table1[],(MATCH(Calendar!$A6,DB!1:1,0)+2),FALSE),"")</f>
        <v/>
      </c>
      <c r="GMJ6" s="27" t="str">
        <f>IFERROR(VLOOKUP(DATE($K$1,$K$2,GMJ$4),Table1[],(MATCH(Calendar!$A6,DB!1:1,0)+2),FALSE),"")</f>
        <v/>
      </c>
      <c r="GMK6" s="27" t="str">
        <f>IFERROR(VLOOKUP(DATE($K$1,$K$2,GMK$4),Table1[],(MATCH(Calendar!$A6,DB!1:1,0)+2),FALSE),"")</f>
        <v/>
      </c>
      <c r="GML6" s="27" t="str">
        <f>IFERROR(VLOOKUP(DATE($K$1,$K$2,GML$4),Table1[],(MATCH(Calendar!$A6,DB!1:1,0)+2),FALSE),"")</f>
        <v/>
      </c>
      <c r="GMM6" s="27" t="str">
        <f>IFERROR(VLOOKUP(DATE($K$1,$K$2,GMM$4),Table1[],(MATCH(Calendar!$A6,DB!1:1,0)+2),FALSE),"")</f>
        <v/>
      </c>
      <c r="GMN6" s="27" t="str">
        <f>IFERROR(VLOOKUP(DATE($K$1,$K$2,GMN$4),Table1[],(MATCH(Calendar!$A6,DB!1:1,0)+2),FALSE),"")</f>
        <v/>
      </c>
      <c r="GMO6" s="27" t="str">
        <f>IFERROR(VLOOKUP(DATE($K$1,$K$2,GMO$4),Table1[],(MATCH(Calendar!$A6,DB!1:1,0)+2),FALSE),"")</f>
        <v/>
      </c>
      <c r="GMP6" s="27" t="str">
        <f>IFERROR(VLOOKUP(DATE($K$1,$K$2,GMP$4),Table1[],(MATCH(Calendar!$A6,DB!1:1,0)+2),FALSE),"")</f>
        <v/>
      </c>
      <c r="GMQ6" s="27" t="str">
        <f>IFERROR(VLOOKUP(DATE($K$1,$K$2,GMQ$4),Table1[],(MATCH(Calendar!$A6,DB!1:1,0)+2),FALSE),"")</f>
        <v/>
      </c>
      <c r="GMR6" s="27" t="str">
        <f>IFERROR(VLOOKUP(DATE($K$1,$K$2,GMR$4),Table1[],(MATCH(Calendar!$A6,DB!1:1,0)+2),FALSE),"")</f>
        <v/>
      </c>
      <c r="GMS6" s="27" t="str">
        <f>IFERROR(VLOOKUP(DATE($K$1,$K$2,GMS$4),Table1[],(MATCH(Calendar!$A6,DB!1:1,0)+2),FALSE),"")</f>
        <v/>
      </c>
      <c r="GMT6" s="27" t="str">
        <f>IFERROR(VLOOKUP(DATE($K$1,$K$2,GMT$4),Table1[],(MATCH(Calendar!$A6,DB!1:1,0)+2),FALSE),"")</f>
        <v/>
      </c>
      <c r="GMU6" s="27" t="str">
        <f>IFERROR(VLOOKUP(DATE($K$1,$K$2,GMU$4),Table1[],(MATCH(Calendar!$A6,DB!1:1,0)+2),FALSE),"")</f>
        <v/>
      </c>
      <c r="GMV6" s="27" t="str">
        <f>IFERROR(VLOOKUP(DATE($K$1,$K$2,GMV$4),Table1[],(MATCH(Calendar!$A6,DB!1:1,0)+2),FALSE),"")</f>
        <v/>
      </c>
      <c r="GMW6" s="27" t="str">
        <f>IFERROR(VLOOKUP(DATE($K$1,$K$2,GMW$4),Table1[],(MATCH(Calendar!$A6,DB!1:1,0)+2),FALSE),"")</f>
        <v/>
      </c>
      <c r="GMX6" s="27" t="str">
        <f>IFERROR(VLOOKUP(DATE($K$1,$K$2,GMX$4),Table1[],(MATCH(Calendar!$A6,DB!1:1,0)+2),FALSE),"")</f>
        <v/>
      </c>
      <c r="GMY6" s="27" t="str">
        <f>IFERROR(VLOOKUP(DATE($K$1,$K$2,GMY$4),Table1[],(MATCH(Calendar!$A6,DB!1:1,0)+2),FALSE),"")</f>
        <v/>
      </c>
      <c r="GMZ6" s="27" t="str">
        <f>IFERROR(VLOOKUP(DATE($K$1,$K$2,GMZ$4),Table1[],(MATCH(Calendar!$A6,DB!1:1,0)+2),FALSE),"")</f>
        <v/>
      </c>
      <c r="GNA6" s="27" t="str">
        <f>IFERROR(VLOOKUP(DATE($K$1,$K$2,GNA$4),Table1[],(MATCH(Calendar!$A6,DB!1:1,0)+2),FALSE),"")</f>
        <v/>
      </c>
      <c r="GNB6" s="27" t="str">
        <f>IFERROR(VLOOKUP(DATE($K$1,$K$2,GNB$4),Table1[],(MATCH(Calendar!$A6,DB!1:1,0)+2),FALSE),"")</f>
        <v/>
      </c>
      <c r="GNC6" s="27" t="str">
        <f>IFERROR(VLOOKUP(DATE($K$1,$K$2,GNC$4),Table1[],(MATCH(Calendar!$A6,DB!1:1,0)+2),FALSE),"")</f>
        <v/>
      </c>
      <c r="GND6" s="27" t="str">
        <f>IFERROR(VLOOKUP(DATE($K$1,$K$2,GND$4),Table1[],(MATCH(Calendar!$A6,DB!1:1,0)+2),FALSE),"")</f>
        <v/>
      </c>
      <c r="GNE6" s="27" t="str">
        <f>IFERROR(VLOOKUP(DATE($K$1,$K$2,GNE$4),Table1[],(MATCH(Calendar!$A6,DB!1:1,0)+2),FALSE),"")</f>
        <v/>
      </c>
      <c r="GNF6" s="27" t="str">
        <f>IFERROR(VLOOKUP(DATE($K$1,$K$2,GNF$4),Table1[],(MATCH(Calendar!$A6,DB!1:1,0)+2),FALSE),"")</f>
        <v/>
      </c>
      <c r="GNG6" s="27" t="str">
        <f>IFERROR(VLOOKUP(DATE($K$1,$K$2,GNG$4),Table1[],(MATCH(Calendar!$A6,DB!1:1,0)+2),FALSE),"")</f>
        <v/>
      </c>
      <c r="GNH6" s="27" t="str">
        <f>IFERROR(VLOOKUP(DATE($K$1,$K$2,GNH$4),Table1[],(MATCH(Calendar!$A6,DB!1:1,0)+2),FALSE),"")</f>
        <v/>
      </c>
      <c r="GNI6" s="27" t="str">
        <f>IFERROR(VLOOKUP(DATE($K$1,$K$2,GNI$4),Table1[],(MATCH(Calendar!$A6,DB!1:1,0)+2),FALSE),"")</f>
        <v/>
      </c>
      <c r="GNJ6" s="27" t="str">
        <f>IFERROR(VLOOKUP(DATE($K$1,$K$2,GNJ$4),Table1[],(MATCH(Calendar!$A6,DB!1:1,0)+2),FALSE),"")</f>
        <v/>
      </c>
      <c r="GNK6" s="27" t="str">
        <f>IFERROR(VLOOKUP(DATE($K$1,$K$2,GNK$4),Table1[],(MATCH(Calendar!$A6,DB!1:1,0)+2),FALSE),"")</f>
        <v/>
      </c>
      <c r="GNL6" s="27" t="str">
        <f>IFERROR(VLOOKUP(DATE($K$1,$K$2,GNL$4),Table1[],(MATCH(Calendar!$A6,DB!1:1,0)+2),FALSE),"")</f>
        <v/>
      </c>
      <c r="GNM6" s="27" t="str">
        <f>IFERROR(VLOOKUP(DATE($K$1,$K$2,GNM$4),Table1[],(MATCH(Calendar!$A6,DB!1:1,0)+2),FALSE),"")</f>
        <v/>
      </c>
      <c r="GNN6" s="27" t="str">
        <f>IFERROR(VLOOKUP(DATE($K$1,$K$2,GNN$4),Table1[],(MATCH(Calendar!$A6,DB!1:1,0)+2),FALSE),"")</f>
        <v/>
      </c>
      <c r="GNO6" s="27" t="str">
        <f>IFERROR(VLOOKUP(DATE($K$1,$K$2,GNO$4),Table1[],(MATCH(Calendar!$A6,DB!1:1,0)+2),FALSE),"")</f>
        <v/>
      </c>
      <c r="GNP6" s="27" t="str">
        <f>IFERROR(VLOOKUP(DATE($K$1,$K$2,GNP$4),Table1[],(MATCH(Calendar!$A6,DB!1:1,0)+2),FALSE),"")</f>
        <v/>
      </c>
      <c r="GNQ6" s="27" t="str">
        <f>IFERROR(VLOOKUP(DATE($K$1,$K$2,GNQ$4),Table1[],(MATCH(Calendar!$A6,DB!1:1,0)+2),FALSE),"")</f>
        <v/>
      </c>
      <c r="GNR6" s="27" t="str">
        <f>IFERROR(VLOOKUP(DATE($K$1,$K$2,GNR$4),Table1[],(MATCH(Calendar!$A6,DB!1:1,0)+2),FALSE),"")</f>
        <v/>
      </c>
      <c r="GNS6" s="27" t="str">
        <f>IFERROR(VLOOKUP(DATE($K$1,$K$2,GNS$4),Table1[],(MATCH(Calendar!$A6,DB!1:1,0)+2),FALSE),"")</f>
        <v/>
      </c>
      <c r="GNT6" s="27" t="str">
        <f>IFERROR(VLOOKUP(DATE($K$1,$K$2,GNT$4),Table1[],(MATCH(Calendar!$A6,DB!1:1,0)+2),FALSE),"")</f>
        <v/>
      </c>
      <c r="GNU6" s="27" t="str">
        <f>IFERROR(VLOOKUP(DATE($K$1,$K$2,GNU$4),Table1[],(MATCH(Calendar!$A6,DB!1:1,0)+2),FALSE),"")</f>
        <v/>
      </c>
      <c r="GNV6" s="27" t="str">
        <f>IFERROR(VLOOKUP(DATE($K$1,$K$2,GNV$4),Table1[],(MATCH(Calendar!$A6,DB!1:1,0)+2),FALSE),"")</f>
        <v/>
      </c>
      <c r="GNW6" s="27" t="str">
        <f>IFERROR(VLOOKUP(DATE($K$1,$K$2,GNW$4),Table1[],(MATCH(Calendar!$A6,DB!1:1,0)+2),FALSE),"")</f>
        <v/>
      </c>
      <c r="GNX6" s="27" t="str">
        <f>IFERROR(VLOOKUP(DATE($K$1,$K$2,GNX$4),Table1[],(MATCH(Calendar!$A6,DB!1:1,0)+2),FALSE),"")</f>
        <v/>
      </c>
      <c r="GNY6" s="27" t="str">
        <f>IFERROR(VLOOKUP(DATE($K$1,$K$2,GNY$4),Table1[],(MATCH(Calendar!$A6,DB!1:1,0)+2),FALSE),"")</f>
        <v/>
      </c>
      <c r="GNZ6" s="27" t="str">
        <f>IFERROR(VLOOKUP(DATE($K$1,$K$2,GNZ$4),Table1[],(MATCH(Calendar!$A6,DB!1:1,0)+2),FALSE),"")</f>
        <v/>
      </c>
      <c r="GOA6" s="27" t="str">
        <f>IFERROR(VLOOKUP(DATE($K$1,$K$2,GOA$4),Table1[],(MATCH(Calendar!$A6,DB!1:1,0)+2),FALSE),"")</f>
        <v/>
      </c>
      <c r="GOB6" s="27" t="str">
        <f>IFERROR(VLOOKUP(DATE($K$1,$K$2,GOB$4),Table1[],(MATCH(Calendar!$A6,DB!1:1,0)+2),FALSE),"")</f>
        <v/>
      </c>
      <c r="GOC6" s="27" t="str">
        <f>IFERROR(VLOOKUP(DATE($K$1,$K$2,GOC$4),Table1[],(MATCH(Calendar!$A6,DB!1:1,0)+2),FALSE),"")</f>
        <v/>
      </c>
      <c r="GOD6" s="27" t="str">
        <f>IFERROR(VLOOKUP(DATE($K$1,$K$2,GOD$4),Table1[],(MATCH(Calendar!$A6,DB!1:1,0)+2),FALSE),"")</f>
        <v/>
      </c>
      <c r="GOE6" s="27" t="str">
        <f>IFERROR(VLOOKUP(DATE($K$1,$K$2,GOE$4),Table1[],(MATCH(Calendar!$A6,DB!1:1,0)+2),FALSE),"")</f>
        <v/>
      </c>
      <c r="GOF6" s="27" t="str">
        <f>IFERROR(VLOOKUP(DATE($K$1,$K$2,GOF$4),Table1[],(MATCH(Calendar!$A6,DB!1:1,0)+2),FALSE),"")</f>
        <v/>
      </c>
      <c r="GOG6" s="27" t="str">
        <f>IFERROR(VLOOKUP(DATE($K$1,$K$2,GOG$4),Table1[],(MATCH(Calendar!$A6,DB!1:1,0)+2),FALSE),"")</f>
        <v/>
      </c>
      <c r="GOH6" s="27" t="str">
        <f>IFERROR(VLOOKUP(DATE($K$1,$K$2,GOH$4),Table1[],(MATCH(Calendar!$A6,DB!1:1,0)+2),FALSE),"")</f>
        <v/>
      </c>
      <c r="GOI6" s="27" t="str">
        <f>IFERROR(VLOOKUP(DATE($K$1,$K$2,GOI$4),Table1[],(MATCH(Calendar!$A6,DB!1:1,0)+2),FALSE),"")</f>
        <v/>
      </c>
      <c r="GOJ6" s="27" t="str">
        <f>IFERROR(VLOOKUP(DATE($K$1,$K$2,GOJ$4),Table1[],(MATCH(Calendar!$A6,DB!1:1,0)+2),FALSE),"")</f>
        <v/>
      </c>
      <c r="GOK6" s="27" t="str">
        <f>IFERROR(VLOOKUP(DATE($K$1,$K$2,GOK$4),Table1[],(MATCH(Calendar!$A6,DB!1:1,0)+2),FALSE),"")</f>
        <v/>
      </c>
      <c r="GOL6" s="27" t="str">
        <f>IFERROR(VLOOKUP(DATE($K$1,$K$2,GOL$4),Table1[],(MATCH(Calendar!$A6,DB!1:1,0)+2),FALSE),"")</f>
        <v/>
      </c>
      <c r="GOM6" s="27" t="str">
        <f>IFERROR(VLOOKUP(DATE($K$1,$K$2,GOM$4),Table1[],(MATCH(Calendar!$A6,DB!1:1,0)+2),FALSE),"")</f>
        <v/>
      </c>
      <c r="GON6" s="27" t="str">
        <f>IFERROR(VLOOKUP(DATE($K$1,$K$2,GON$4),Table1[],(MATCH(Calendar!$A6,DB!1:1,0)+2),FALSE),"")</f>
        <v/>
      </c>
      <c r="GOO6" s="27" t="str">
        <f>IFERROR(VLOOKUP(DATE($K$1,$K$2,GOO$4),Table1[],(MATCH(Calendar!$A6,DB!1:1,0)+2),FALSE),"")</f>
        <v/>
      </c>
      <c r="GOP6" s="27" t="str">
        <f>IFERROR(VLOOKUP(DATE($K$1,$K$2,GOP$4),Table1[],(MATCH(Calendar!$A6,DB!1:1,0)+2),FALSE),"")</f>
        <v/>
      </c>
      <c r="GOQ6" s="27" t="str">
        <f>IFERROR(VLOOKUP(DATE($K$1,$K$2,GOQ$4),Table1[],(MATCH(Calendar!$A6,DB!1:1,0)+2),FALSE),"")</f>
        <v/>
      </c>
      <c r="GOR6" s="27" t="str">
        <f>IFERROR(VLOOKUP(DATE($K$1,$K$2,GOR$4),Table1[],(MATCH(Calendar!$A6,DB!1:1,0)+2),FALSE),"")</f>
        <v/>
      </c>
      <c r="GOS6" s="27" t="str">
        <f>IFERROR(VLOOKUP(DATE($K$1,$K$2,GOS$4),Table1[],(MATCH(Calendar!$A6,DB!1:1,0)+2),FALSE),"")</f>
        <v/>
      </c>
      <c r="GOT6" s="27" t="str">
        <f>IFERROR(VLOOKUP(DATE($K$1,$K$2,GOT$4),Table1[],(MATCH(Calendar!$A6,DB!1:1,0)+2),FALSE),"")</f>
        <v/>
      </c>
      <c r="GOU6" s="27" t="str">
        <f>IFERROR(VLOOKUP(DATE($K$1,$K$2,GOU$4),Table1[],(MATCH(Calendar!$A6,DB!1:1,0)+2),FALSE),"")</f>
        <v/>
      </c>
      <c r="GOV6" s="27" t="str">
        <f>IFERROR(VLOOKUP(DATE($K$1,$K$2,GOV$4),Table1[],(MATCH(Calendar!$A6,DB!1:1,0)+2),FALSE),"")</f>
        <v/>
      </c>
      <c r="GOW6" s="27" t="str">
        <f>IFERROR(VLOOKUP(DATE($K$1,$K$2,GOW$4),Table1[],(MATCH(Calendar!$A6,DB!1:1,0)+2),FALSE),"")</f>
        <v/>
      </c>
      <c r="GOX6" s="27" t="str">
        <f>IFERROR(VLOOKUP(DATE($K$1,$K$2,GOX$4),Table1[],(MATCH(Calendar!$A6,DB!1:1,0)+2),FALSE),"")</f>
        <v/>
      </c>
      <c r="GOY6" s="27" t="str">
        <f>IFERROR(VLOOKUP(DATE($K$1,$K$2,GOY$4),Table1[],(MATCH(Calendar!$A6,DB!1:1,0)+2),FALSE),"")</f>
        <v/>
      </c>
      <c r="GOZ6" s="27" t="str">
        <f>IFERROR(VLOOKUP(DATE($K$1,$K$2,GOZ$4),Table1[],(MATCH(Calendar!$A6,DB!1:1,0)+2),FALSE),"")</f>
        <v/>
      </c>
      <c r="GPA6" s="27" t="str">
        <f>IFERROR(VLOOKUP(DATE($K$1,$K$2,GPA$4),Table1[],(MATCH(Calendar!$A6,DB!1:1,0)+2),FALSE),"")</f>
        <v/>
      </c>
      <c r="GPB6" s="27" t="str">
        <f>IFERROR(VLOOKUP(DATE($K$1,$K$2,GPB$4),Table1[],(MATCH(Calendar!$A6,DB!1:1,0)+2),FALSE),"")</f>
        <v/>
      </c>
      <c r="GPC6" s="27" t="str">
        <f>IFERROR(VLOOKUP(DATE($K$1,$K$2,GPC$4),Table1[],(MATCH(Calendar!$A6,DB!1:1,0)+2),FALSE),"")</f>
        <v/>
      </c>
      <c r="GPD6" s="27" t="str">
        <f>IFERROR(VLOOKUP(DATE($K$1,$K$2,GPD$4),Table1[],(MATCH(Calendar!$A6,DB!1:1,0)+2),FALSE),"")</f>
        <v/>
      </c>
      <c r="GPE6" s="27" t="str">
        <f>IFERROR(VLOOKUP(DATE($K$1,$K$2,GPE$4),Table1[],(MATCH(Calendar!$A6,DB!1:1,0)+2),FALSE),"")</f>
        <v/>
      </c>
      <c r="GPF6" s="27" t="str">
        <f>IFERROR(VLOOKUP(DATE($K$1,$K$2,GPF$4),Table1[],(MATCH(Calendar!$A6,DB!1:1,0)+2),FALSE),"")</f>
        <v/>
      </c>
      <c r="GPG6" s="27" t="str">
        <f>IFERROR(VLOOKUP(DATE($K$1,$K$2,GPG$4),Table1[],(MATCH(Calendar!$A6,DB!1:1,0)+2),FALSE),"")</f>
        <v/>
      </c>
      <c r="GPH6" s="27" t="str">
        <f>IFERROR(VLOOKUP(DATE($K$1,$K$2,GPH$4),Table1[],(MATCH(Calendar!$A6,DB!1:1,0)+2),FALSE),"")</f>
        <v/>
      </c>
      <c r="GPI6" s="27" t="str">
        <f>IFERROR(VLOOKUP(DATE($K$1,$K$2,GPI$4),Table1[],(MATCH(Calendar!$A6,DB!1:1,0)+2),FALSE),"")</f>
        <v/>
      </c>
      <c r="GPJ6" s="27" t="str">
        <f>IFERROR(VLOOKUP(DATE($K$1,$K$2,GPJ$4),Table1[],(MATCH(Calendar!$A6,DB!1:1,0)+2),FALSE),"")</f>
        <v/>
      </c>
      <c r="GPK6" s="27" t="str">
        <f>IFERROR(VLOOKUP(DATE($K$1,$K$2,GPK$4),Table1[],(MATCH(Calendar!$A6,DB!1:1,0)+2),FALSE),"")</f>
        <v/>
      </c>
      <c r="GPL6" s="27" t="str">
        <f>IFERROR(VLOOKUP(DATE($K$1,$K$2,GPL$4),Table1[],(MATCH(Calendar!$A6,DB!1:1,0)+2),FALSE),"")</f>
        <v/>
      </c>
      <c r="GPM6" s="27" t="str">
        <f>IFERROR(VLOOKUP(DATE($K$1,$K$2,GPM$4),Table1[],(MATCH(Calendar!$A6,DB!1:1,0)+2),FALSE),"")</f>
        <v/>
      </c>
      <c r="GPN6" s="27" t="str">
        <f>IFERROR(VLOOKUP(DATE($K$1,$K$2,GPN$4),Table1[],(MATCH(Calendar!$A6,DB!1:1,0)+2),FALSE),"")</f>
        <v/>
      </c>
      <c r="GPO6" s="27" t="str">
        <f>IFERROR(VLOOKUP(DATE($K$1,$K$2,GPO$4),Table1[],(MATCH(Calendar!$A6,DB!1:1,0)+2),FALSE),"")</f>
        <v/>
      </c>
      <c r="GPP6" s="27" t="str">
        <f>IFERROR(VLOOKUP(DATE($K$1,$K$2,GPP$4),Table1[],(MATCH(Calendar!$A6,DB!1:1,0)+2),FALSE),"")</f>
        <v/>
      </c>
      <c r="GPQ6" s="27" t="str">
        <f>IFERROR(VLOOKUP(DATE($K$1,$K$2,GPQ$4),Table1[],(MATCH(Calendar!$A6,DB!1:1,0)+2),FALSE),"")</f>
        <v/>
      </c>
      <c r="GPR6" s="27" t="str">
        <f>IFERROR(VLOOKUP(DATE($K$1,$K$2,GPR$4),Table1[],(MATCH(Calendar!$A6,DB!1:1,0)+2),FALSE),"")</f>
        <v/>
      </c>
      <c r="GPS6" s="27" t="str">
        <f>IFERROR(VLOOKUP(DATE($K$1,$K$2,GPS$4),Table1[],(MATCH(Calendar!$A6,DB!1:1,0)+2),FALSE),"")</f>
        <v/>
      </c>
      <c r="GPT6" s="27" t="str">
        <f>IFERROR(VLOOKUP(DATE($K$1,$K$2,GPT$4),Table1[],(MATCH(Calendar!$A6,DB!1:1,0)+2),FALSE),"")</f>
        <v/>
      </c>
      <c r="GPU6" s="27" t="str">
        <f>IFERROR(VLOOKUP(DATE($K$1,$K$2,GPU$4),Table1[],(MATCH(Calendar!$A6,DB!1:1,0)+2),FALSE),"")</f>
        <v/>
      </c>
      <c r="GPV6" s="27" t="str">
        <f>IFERROR(VLOOKUP(DATE($K$1,$K$2,GPV$4),Table1[],(MATCH(Calendar!$A6,DB!1:1,0)+2),FALSE),"")</f>
        <v/>
      </c>
      <c r="GPW6" s="27" t="str">
        <f>IFERROR(VLOOKUP(DATE($K$1,$K$2,GPW$4),Table1[],(MATCH(Calendar!$A6,DB!1:1,0)+2),FALSE),"")</f>
        <v/>
      </c>
      <c r="GPX6" s="27" t="str">
        <f>IFERROR(VLOOKUP(DATE($K$1,$K$2,GPX$4),Table1[],(MATCH(Calendar!$A6,DB!1:1,0)+2),FALSE),"")</f>
        <v/>
      </c>
      <c r="GPY6" s="27" t="str">
        <f>IFERROR(VLOOKUP(DATE($K$1,$K$2,GPY$4),Table1[],(MATCH(Calendar!$A6,DB!1:1,0)+2),FALSE),"")</f>
        <v/>
      </c>
      <c r="GPZ6" s="27" t="str">
        <f>IFERROR(VLOOKUP(DATE($K$1,$K$2,GPZ$4),Table1[],(MATCH(Calendar!$A6,DB!1:1,0)+2),FALSE),"")</f>
        <v/>
      </c>
      <c r="GQA6" s="27" t="str">
        <f>IFERROR(VLOOKUP(DATE($K$1,$K$2,GQA$4),Table1[],(MATCH(Calendar!$A6,DB!1:1,0)+2),FALSE),"")</f>
        <v/>
      </c>
      <c r="GQB6" s="27" t="str">
        <f>IFERROR(VLOOKUP(DATE($K$1,$K$2,GQB$4),Table1[],(MATCH(Calendar!$A6,DB!1:1,0)+2),FALSE),"")</f>
        <v/>
      </c>
      <c r="GQC6" s="27" t="str">
        <f>IFERROR(VLOOKUP(DATE($K$1,$K$2,GQC$4),Table1[],(MATCH(Calendar!$A6,DB!1:1,0)+2),FALSE),"")</f>
        <v/>
      </c>
      <c r="GQD6" s="27" t="str">
        <f>IFERROR(VLOOKUP(DATE($K$1,$K$2,GQD$4),Table1[],(MATCH(Calendar!$A6,DB!1:1,0)+2),FALSE),"")</f>
        <v/>
      </c>
      <c r="GQE6" s="27" t="str">
        <f>IFERROR(VLOOKUP(DATE($K$1,$K$2,GQE$4),Table1[],(MATCH(Calendar!$A6,DB!1:1,0)+2),FALSE),"")</f>
        <v/>
      </c>
      <c r="GQF6" s="27" t="str">
        <f>IFERROR(VLOOKUP(DATE($K$1,$K$2,GQF$4),Table1[],(MATCH(Calendar!$A6,DB!1:1,0)+2),FALSE),"")</f>
        <v/>
      </c>
      <c r="GQG6" s="27" t="str">
        <f>IFERROR(VLOOKUP(DATE($K$1,$K$2,GQG$4),Table1[],(MATCH(Calendar!$A6,DB!1:1,0)+2),FALSE),"")</f>
        <v/>
      </c>
      <c r="GQH6" s="27" t="str">
        <f>IFERROR(VLOOKUP(DATE($K$1,$K$2,GQH$4),Table1[],(MATCH(Calendar!$A6,DB!1:1,0)+2),FALSE),"")</f>
        <v/>
      </c>
      <c r="GQI6" s="27" t="str">
        <f>IFERROR(VLOOKUP(DATE($K$1,$K$2,GQI$4),Table1[],(MATCH(Calendar!$A6,DB!1:1,0)+2),FALSE),"")</f>
        <v/>
      </c>
      <c r="GQJ6" s="27" t="str">
        <f>IFERROR(VLOOKUP(DATE($K$1,$K$2,GQJ$4),Table1[],(MATCH(Calendar!$A6,DB!1:1,0)+2),FALSE),"")</f>
        <v/>
      </c>
      <c r="GQK6" s="27" t="str">
        <f>IFERROR(VLOOKUP(DATE($K$1,$K$2,GQK$4),Table1[],(MATCH(Calendar!$A6,DB!1:1,0)+2),FALSE),"")</f>
        <v/>
      </c>
      <c r="GQL6" s="27" t="str">
        <f>IFERROR(VLOOKUP(DATE($K$1,$K$2,GQL$4),Table1[],(MATCH(Calendar!$A6,DB!1:1,0)+2),FALSE),"")</f>
        <v/>
      </c>
      <c r="GQM6" s="27" t="str">
        <f>IFERROR(VLOOKUP(DATE($K$1,$K$2,GQM$4),Table1[],(MATCH(Calendar!$A6,DB!1:1,0)+2),FALSE),"")</f>
        <v/>
      </c>
      <c r="GQN6" s="27" t="str">
        <f>IFERROR(VLOOKUP(DATE($K$1,$K$2,GQN$4),Table1[],(MATCH(Calendar!$A6,DB!1:1,0)+2),FALSE),"")</f>
        <v/>
      </c>
      <c r="GQO6" s="27" t="str">
        <f>IFERROR(VLOOKUP(DATE($K$1,$K$2,GQO$4),Table1[],(MATCH(Calendar!$A6,DB!1:1,0)+2),FALSE),"")</f>
        <v/>
      </c>
      <c r="GQP6" s="27" t="str">
        <f>IFERROR(VLOOKUP(DATE($K$1,$K$2,GQP$4),Table1[],(MATCH(Calendar!$A6,DB!1:1,0)+2),FALSE),"")</f>
        <v/>
      </c>
      <c r="GQQ6" s="27" t="str">
        <f>IFERROR(VLOOKUP(DATE($K$1,$K$2,GQQ$4),Table1[],(MATCH(Calendar!$A6,DB!1:1,0)+2),FALSE),"")</f>
        <v/>
      </c>
      <c r="GQR6" s="27" t="str">
        <f>IFERROR(VLOOKUP(DATE($K$1,$K$2,GQR$4),Table1[],(MATCH(Calendar!$A6,DB!1:1,0)+2),FALSE),"")</f>
        <v/>
      </c>
      <c r="GQS6" s="27" t="str">
        <f>IFERROR(VLOOKUP(DATE($K$1,$K$2,GQS$4),Table1[],(MATCH(Calendar!$A6,DB!1:1,0)+2),FALSE),"")</f>
        <v/>
      </c>
      <c r="GQT6" s="27" t="str">
        <f>IFERROR(VLOOKUP(DATE($K$1,$K$2,GQT$4),Table1[],(MATCH(Calendar!$A6,DB!1:1,0)+2),FALSE),"")</f>
        <v/>
      </c>
      <c r="GQU6" s="27" t="str">
        <f>IFERROR(VLOOKUP(DATE($K$1,$K$2,GQU$4),Table1[],(MATCH(Calendar!$A6,DB!1:1,0)+2),FALSE),"")</f>
        <v/>
      </c>
      <c r="GQV6" s="27" t="str">
        <f>IFERROR(VLOOKUP(DATE($K$1,$K$2,GQV$4),Table1[],(MATCH(Calendar!$A6,DB!1:1,0)+2),FALSE),"")</f>
        <v/>
      </c>
      <c r="GQW6" s="27" t="str">
        <f>IFERROR(VLOOKUP(DATE($K$1,$K$2,GQW$4),Table1[],(MATCH(Calendar!$A6,DB!1:1,0)+2),FALSE),"")</f>
        <v/>
      </c>
      <c r="GQX6" s="27" t="str">
        <f>IFERROR(VLOOKUP(DATE($K$1,$K$2,GQX$4),Table1[],(MATCH(Calendar!$A6,DB!1:1,0)+2),FALSE),"")</f>
        <v/>
      </c>
      <c r="GQY6" s="27" t="str">
        <f>IFERROR(VLOOKUP(DATE($K$1,$K$2,GQY$4),Table1[],(MATCH(Calendar!$A6,DB!1:1,0)+2),FALSE),"")</f>
        <v/>
      </c>
      <c r="GQZ6" s="27" t="str">
        <f>IFERROR(VLOOKUP(DATE($K$1,$K$2,GQZ$4),Table1[],(MATCH(Calendar!$A6,DB!1:1,0)+2),FALSE),"")</f>
        <v/>
      </c>
      <c r="GRA6" s="27" t="str">
        <f>IFERROR(VLOOKUP(DATE($K$1,$K$2,GRA$4),Table1[],(MATCH(Calendar!$A6,DB!1:1,0)+2),FALSE),"")</f>
        <v/>
      </c>
      <c r="GRB6" s="27" t="str">
        <f>IFERROR(VLOOKUP(DATE($K$1,$K$2,GRB$4),Table1[],(MATCH(Calendar!$A6,DB!1:1,0)+2),FALSE),"")</f>
        <v/>
      </c>
      <c r="GRC6" s="27" t="str">
        <f>IFERROR(VLOOKUP(DATE($K$1,$K$2,GRC$4),Table1[],(MATCH(Calendar!$A6,DB!1:1,0)+2),FALSE),"")</f>
        <v/>
      </c>
      <c r="GRD6" s="27" t="str">
        <f>IFERROR(VLOOKUP(DATE($K$1,$K$2,GRD$4),Table1[],(MATCH(Calendar!$A6,DB!1:1,0)+2),FALSE),"")</f>
        <v/>
      </c>
      <c r="GRE6" s="27" t="str">
        <f>IFERROR(VLOOKUP(DATE($K$1,$K$2,GRE$4),Table1[],(MATCH(Calendar!$A6,DB!1:1,0)+2),FALSE),"")</f>
        <v/>
      </c>
      <c r="GRF6" s="27" t="str">
        <f>IFERROR(VLOOKUP(DATE($K$1,$K$2,GRF$4),Table1[],(MATCH(Calendar!$A6,DB!1:1,0)+2),FALSE),"")</f>
        <v/>
      </c>
      <c r="GRG6" s="27" t="str">
        <f>IFERROR(VLOOKUP(DATE($K$1,$K$2,GRG$4),Table1[],(MATCH(Calendar!$A6,DB!1:1,0)+2),FALSE),"")</f>
        <v/>
      </c>
      <c r="GRH6" s="27" t="str">
        <f>IFERROR(VLOOKUP(DATE($K$1,$K$2,GRH$4),Table1[],(MATCH(Calendar!$A6,DB!1:1,0)+2),FALSE),"")</f>
        <v/>
      </c>
      <c r="GRI6" s="27" t="str">
        <f>IFERROR(VLOOKUP(DATE($K$1,$K$2,GRI$4),Table1[],(MATCH(Calendar!$A6,DB!1:1,0)+2),FALSE),"")</f>
        <v/>
      </c>
      <c r="GRJ6" s="27" t="str">
        <f>IFERROR(VLOOKUP(DATE($K$1,$K$2,GRJ$4),Table1[],(MATCH(Calendar!$A6,DB!1:1,0)+2),FALSE),"")</f>
        <v/>
      </c>
      <c r="GRK6" s="27" t="str">
        <f>IFERROR(VLOOKUP(DATE($K$1,$K$2,GRK$4),Table1[],(MATCH(Calendar!$A6,DB!1:1,0)+2),FALSE),"")</f>
        <v/>
      </c>
      <c r="GRL6" s="27" t="str">
        <f>IFERROR(VLOOKUP(DATE($K$1,$K$2,GRL$4),Table1[],(MATCH(Calendar!$A6,DB!1:1,0)+2),FALSE),"")</f>
        <v/>
      </c>
      <c r="GRM6" s="27" t="str">
        <f>IFERROR(VLOOKUP(DATE($K$1,$K$2,GRM$4),Table1[],(MATCH(Calendar!$A6,DB!1:1,0)+2),FALSE),"")</f>
        <v/>
      </c>
      <c r="GRN6" s="27" t="str">
        <f>IFERROR(VLOOKUP(DATE($K$1,$K$2,GRN$4),Table1[],(MATCH(Calendar!$A6,DB!1:1,0)+2),FALSE),"")</f>
        <v/>
      </c>
      <c r="GRO6" s="27" t="str">
        <f>IFERROR(VLOOKUP(DATE($K$1,$K$2,GRO$4),Table1[],(MATCH(Calendar!$A6,DB!1:1,0)+2),FALSE),"")</f>
        <v/>
      </c>
      <c r="GRP6" s="27" t="str">
        <f>IFERROR(VLOOKUP(DATE($K$1,$K$2,GRP$4),Table1[],(MATCH(Calendar!$A6,DB!1:1,0)+2),FALSE),"")</f>
        <v/>
      </c>
      <c r="GRQ6" s="27" t="str">
        <f>IFERROR(VLOOKUP(DATE($K$1,$K$2,GRQ$4),Table1[],(MATCH(Calendar!$A6,DB!1:1,0)+2),FALSE),"")</f>
        <v/>
      </c>
      <c r="GRR6" s="27" t="str">
        <f>IFERROR(VLOOKUP(DATE($K$1,$K$2,GRR$4),Table1[],(MATCH(Calendar!$A6,DB!1:1,0)+2),FALSE),"")</f>
        <v/>
      </c>
      <c r="GRS6" s="27" t="str">
        <f>IFERROR(VLOOKUP(DATE($K$1,$K$2,GRS$4),Table1[],(MATCH(Calendar!$A6,DB!1:1,0)+2),FALSE),"")</f>
        <v/>
      </c>
      <c r="GRT6" s="27" t="str">
        <f>IFERROR(VLOOKUP(DATE($K$1,$K$2,GRT$4),Table1[],(MATCH(Calendar!$A6,DB!1:1,0)+2),FALSE),"")</f>
        <v/>
      </c>
      <c r="GRU6" s="27" t="str">
        <f>IFERROR(VLOOKUP(DATE($K$1,$K$2,GRU$4),Table1[],(MATCH(Calendar!$A6,DB!1:1,0)+2),FALSE),"")</f>
        <v/>
      </c>
      <c r="GRV6" s="27" t="str">
        <f>IFERROR(VLOOKUP(DATE($K$1,$K$2,GRV$4),Table1[],(MATCH(Calendar!$A6,DB!1:1,0)+2),FALSE),"")</f>
        <v/>
      </c>
      <c r="GRW6" s="27" t="str">
        <f>IFERROR(VLOOKUP(DATE($K$1,$K$2,GRW$4),Table1[],(MATCH(Calendar!$A6,DB!1:1,0)+2),FALSE),"")</f>
        <v/>
      </c>
      <c r="GRX6" s="27" t="str">
        <f>IFERROR(VLOOKUP(DATE($K$1,$K$2,GRX$4),Table1[],(MATCH(Calendar!$A6,DB!1:1,0)+2),FALSE),"")</f>
        <v/>
      </c>
      <c r="GRY6" s="27" t="str">
        <f>IFERROR(VLOOKUP(DATE($K$1,$K$2,GRY$4),Table1[],(MATCH(Calendar!$A6,DB!1:1,0)+2),FALSE),"")</f>
        <v/>
      </c>
      <c r="GRZ6" s="27" t="str">
        <f>IFERROR(VLOOKUP(DATE($K$1,$K$2,GRZ$4),Table1[],(MATCH(Calendar!$A6,DB!1:1,0)+2),FALSE),"")</f>
        <v/>
      </c>
      <c r="GSA6" s="27" t="str">
        <f>IFERROR(VLOOKUP(DATE($K$1,$K$2,GSA$4),Table1[],(MATCH(Calendar!$A6,DB!1:1,0)+2),FALSE),"")</f>
        <v/>
      </c>
      <c r="GSB6" s="27" t="str">
        <f>IFERROR(VLOOKUP(DATE($K$1,$K$2,GSB$4),Table1[],(MATCH(Calendar!$A6,DB!1:1,0)+2),FALSE),"")</f>
        <v/>
      </c>
      <c r="GSC6" s="27" t="str">
        <f>IFERROR(VLOOKUP(DATE($K$1,$K$2,GSC$4),Table1[],(MATCH(Calendar!$A6,DB!1:1,0)+2),FALSE),"")</f>
        <v/>
      </c>
      <c r="GSD6" s="27" t="str">
        <f>IFERROR(VLOOKUP(DATE($K$1,$K$2,GSD$4),Table1[],(MATCH(Calendar!$A6,DB!1:1,0)+2),FALSE),"")</f>
        <v/>
      </c>
      <c r="GSE6" s="27" t="str">
        <f>IFERROR(VLOOKUP(DATE($K$1,$K$2,GSE$4),Table1[],(MATCH(Calendar!$A6,DB!1:1,0)+2),FALSE),"")</f>
        <v/>
      </c>
      <c r="GSF6" s="27" t="str">
        <f>IFERROR(VLOOKUP(DATE($K$1,$K$2,GSF$4),Table1[],(MATCH(Calendar!$A6,DB!1:1,0)+2),FALSE),"")</f>
        <v/>
      </c>
      <c r="GSG6" s="27" t="str">
        <f>IFERROR(VLOOKUP(DATE($K$1,$K$2,GSG$4),Table1[],(MATCH(Calendar!$A6,DB!1:1,0)+2),FALSE),"")</f>
        <v/>
      </c>
      <c r="GSH6" s="27" t="str">
        <f>IFERROR(VLOOKUP(DATE($K$1,$K$2,GSH$4),Table1[],(MATCH(Calendar!$A6,DB!1:1,0)+2),FALSE),"")</f>
        <v/>
      </c>
      <c r="GSI6" s="27" t="str">
        <f>IFERROR(VLOOKUP(DATE($K$1,$K$2,GSI$4),Table1[],(MATCH(Calendar!$A6,DB!1:1,0)+2),FALSE),"")</f>
        <v/>
      </c>
      <c r="GSJ6" s="27" t="str">
        <f>IFERROR(VLOOKUP(DATE($K$1,$K$2,GSJ$4),Table1[],(MATCH(Calendar!$A6,DB!1:1,0)+2),FALSE),"")</f>
        <v/>
      </c>
      <c r="GSK6" s="27" t="str">
        <f>IFERROR(VLOOKUP(DATE($K$1,$K$2,GSK$4),Table1[],(MATCH(Calendar!$A6,DB!1:1,0)+2),FALSE),"")</f>
        <v/>
      </c>
      <c r="GSL6" s="27" t="str">
        <f>IFERROR(VLOOKUP(DATE($K$1,$K$2,GSL$4),Table1[],(MATCH(Calendar!$A6,DB!1:1,0)+2),FALSE),"")</f>
        <v/>
      </c>
      <c r="GSM6" s="27" t="str">
        <f>IFERROR(VLOOKUP(DATE($K$1,$K$2,GSM$4),Table1[],(MATCH(Calendar!$A6,DB!1:1,0)+2),FALSE),"")</f>
        <v/>
      </c>
      <c r="GSN6" s="27" t="str">
        <f>IFERROR(VLOOKUP(DATE($K$1,$K$2,GSN$4),Table1[],(MATCH(Calendar!$A6,DB!1:1,0)+2),FALSE),"")</f>
        <v/>
      </c>
      <c r="GSO6" s="27" t="str">
        <f>IFERROR(VLOOKUP(DATE($K$1,$K$2,GSO$4),Table1[],(MATCH(Calendar!$A6,DB!1:1,0)+2),FALSE),"")</f>
        <v/>
      </c>
      <c r="GSP6" s="27" t="str">
        <f>IFERROR(VLOOKUP(DATE($K$1,$K$2,GSP$4),Table1[],(MATCH(Calendar!$A6,DB!1:1,0)+2),FALSE),"")</f>
        <v/>
      </c>
      <c r="GSQ6" s="27" t="str">
        <f>IFERROR(VLOOKUP(DATE($K$1,$K$2,GSQ$4),Table1[],(MATCH(Calendar!$A6,DB!1:1,0)+2),FALSE),"")</f>
        <v/>
      </c>
      <c r="GSR6" s="27" t="str">
        <f>IFERROR(VLOOKUP(DATE($K$1,$K$2,GSR$4),Table1[],(MATCH(Calendar!$A6,DB!1:1,0)+2),FALSE),"")</f>
        <v/>
      </c>
      <c r="GSS6" s="27" t="str">
        <f>IFERROR(VLOOKUP(DATE($K$1,$K$2,GSS$4),Table1[],(MATCH(Calendar!$A6,DB!1:1,0)+2),FALSE),"")</f>
        <v/>
      </c>
      <c r="GST6" s="27" t="str">
        <f>IFERROR(VLOOKUP(DATE($K$1,$K$2,GST$4),Table1[],(MATCH(Calendar!$A6,DB!1:1,0)+2),FALSE),"")</f>
        <v/>
      </c>
      <c r="GSU6" s="27" t="str">
        <f>IFERROR(VLOOKUP(DATE($K$1,$K$2,GSU$4),Table1[],(MATCH(Calendar!$A6,DB!1:1,0)+2),FALSE),"")</f>
        <v/>
      </c>
      <c r="GSV6" s="27" t="str">
        <f>IFERROR(VLOOKUP(DATE($K$1,$K$2,GSV$4),Table1[],(MATCH(Calendar!$A6,DB!1:1,0)+2),FALSE),"")</f>
        <v/>
      </c>
      <c r="GSW6" s="27" t="str">
        <f>IFERROR(VLOOKUP(DATE($K$1,$K$2,GSW$4),Table1[],(MATCH(Calendar!$A6,DB!1:1,0)+2),FALSE),"")</f>
        <v/>
      </c>
      <c r="GSX6" s="27" t="str">
        <f>IFERROR(VLOOKUP(DATE($K$1,$K$2,GSX$4),Table1[],(MATCH(Calendar!$A6,DB!1:1,0)+2),FALSE),"")</f>
        <v/>
      </c>
      <c r="GSY6" s="27" t="str">
        <f>IFERROR(VLOOKUP(DATE($K$1,$K$2,GSY$4),Table1[],(MATCH(Calendar!$A6,DB!1:1,0)+2),FALSE),"")</f>
        <v/>
      </c>
      <c r="GSZ6" s="27" t="str">
        <f>IFERROR(VLOOKUP(DATE($K$1,$K$2,GSZ$4),Table1[],(MATCH(Calendar!$A6,DB!1:1,0)+2),FALSE),"")</f>
        <v/>
      </c>
      <c r="GTA6" s="27" t="str">
        <f>IFERROR(VLOOKUP(DATE($K$1,$K$2,GTA$4),Table1[],(MATCH(Calendar!$A6,DB!1:1,0)+2),FALSE),"")</f>
        <v/>
      </c>
      <c r="GTB6" s="27" t="str">
        <f>IFERROR(VLOOKUP(DATE($K$1,$K$2,GTB$4),Table1[],(MATCH(Calendar!$A6,DB!1:1,0)+2),FALSE),"")</f>
        <v/>
      </c>
      <c r="GTC6" s="27" t="str">
        <f>IFERROR(VLOOKUP(DATE($K$1,$K$2,GTC$4),Table1[],(MATCH(Calendar!$A6,DB!1:1,0)+2),FALSE),"")</f>
        <v/>
      </c>
      <c r="GTD6" s="27" t="str">
        <f>IFERROR(VLOOKUP(DATE($K$1,$K$2,GTD$4),Table1[],(MATCH(Calendar!$A6,DB!1:1,0)+2),FALSE),"")</f>
        <v/>
      </c>
      <c r="GTE6" s="27" t="str">
        <f>IFERROR(VLOOKUP(DATE($K$1,$K$2,GTE$4),Table1[],(MATCH(Calendar!$A6,DB!1:1,0)+2),FALSE),"")</f>
        <v/>
      </c>
      <c r="GTF6" s="27" t="str">
        <f>IFERROR(VLOOKUP(DATE($K$1,$K$2,GTF$4),Table1[],(MATCH(Calendar!$A6,DB!1:1,0)+2),FALSE),"")</f>
        <v/>
      </c>
      <c r="GTG6" s="27" t="str">
        <f>IFERROR(VLOOKUP(DATE($K$1,$K$2,GTG$4),Table1[],(MATCH(Calendar!$A6,DB!1:1,0)+2),FALSE),"")</f>
        <v/>
      </c>
      <c r="GTH6" s="27" t="str">
        <f>IFERROR(VLOOKUP(DATE($K$1,$K$2,GTH$4),Table1[],(MATCH(Calendar!$A6,DB!1:1,0)+2),FALSE),"")</f>
        <v/>
      </c>
      <c r="GTI6" s="27" t="str">
        <f>IFERROR(VLOOKUP(DATE($K$1,$K$2,GTI$4),Table1[],(MATCH(Calendar!$A6,DB!1:1,0)+2),FALSE),"")</f>
        <v/>
      </c>
      <c r="GTJ6" s="27" t="str">
        <f>IFERROR(VLOOKUP(DATE($K$1,$K$2,GTJ$4),Table1[],(MATCH(Calendar!$A6,DB!1:1,0)+2),FALSE),"")</f>
        <v/>
      </c>
      <c r="GTK6" s="27" t="str">
        <f>IFERROR(VLOOKUP(DATE($K$1,$K$2,GTK$4),Table1[],(MATCH(Calendar!$A6,DB!1:1,0)+2),FALSE),"")</f>
        <v/>
      </c>
      <c r="GTL6" s="27" t="str">
        <f>IFERROR(VLOOKUP(DATE($K$1,$K$2,GTL$4),Table1[],(MATCH(Calendar!$A6,DB!1:1,0)+2),FALSE),"")</f>
        <v/>
      </c>
      <c r="GTM6" s="27" t="str">
        <f>IFERROR(VLOOKUP(DATE($K$1,$K$2,GTM$4),Table1[],(MATCH(Calendar!$A6,DB!1:1,0)+2),FALSE),"")</f>
        <v/>
      </c>
      <c r="GTN6" s="27" t="str">
        <f>IFERROR(VLOOKUP(DATE($K$1,$K$2,GTN$4),Table1[],(MATCH(Calendar!$A6,DB!1:1,0)+2),FALSE),"")</f>
        <v/>
      </c>
      <c r="GTO6" s="27" t="str">
        <f>IFERROR(VLOOKUP(DATE($K$1,$K$2,GTO$4),Table1[],(MATCH(Calendar!$A6,DB!1:1,0)+2),FALSE),"")</f>
        <v/>
      </c>
      <c r="GTP6" s="27" t="str">
        <f>IFERROR(VLOOKUP(DATE($K$1,$K$2,GTP$4),Table1[],(MATCH(Calendar!$A6,DB!1:1,0)+2),FALSE),"")</f>
        <v/>
      </c>
      <c r="GTQ6" s="27" t="str">
        <f>IFERROR(VLOOKUP(DATE($K$1,$K$2,GTQ$4),Table1[],(MATCH(Calendar!$A6,DB!1:1,0)+2),FALSE),"")</f>
        <v/>
      </c>
      <c r="GTR6" s="27" t="str">
        <f>IFERROR(VLOOKUP(DATE($K$1,$K$2,GTR$4),Table1[],(MATCH(Calendar!$A6,DB!1:1,0)+2),FALSE),"")</f>
        <v/>
      </c>
      <c r="GTS6" s="27" t="str">
        <f>IFERROR(VLOOKUP(DATE($K$1,$K$2,GTS$4),Table1[],(MATCH(Calendar!$A6,DB!1:1,0)+2),FALSE),"")</f>
        <v/>
      </c>
      <c r="GTT6" s="27" t="str">
        <f>IFERROR(VLOOKUP(DATE($K$1,$K$2,GTT$4),Table1[],(MATCH(Calendar!$A6,DB!1:1,0)+2),FALSE),"")</f>
        <v/>
      </c>
      <c r="GTU6" s="27" t="str">
        <f>IFERROR(VLOOKUP(DATE($K$1,$K$2,GTU$4),Table1[],(MATCH(Calendar!$A6,DB!1:1,0)+2),FALSE),"")</f>
        <v/>
      </c>
      <c r="GTV6" s="27" t="str">
        <f>IFERROR(VLOOKUP(DATE($K$1,$K$2,GTV$4),Table1[],(MATCH(Calendar!$A6,DB!1:1,0)+2),FALSE),"")</f>
        <v/>
      </c>
      <c r="GTW6" s="27" t="str">
        <f>IFERROR(VLOOKUP(DATE($K$1,$K$2,GTW$4),Table1[],(MATCH(Calendar!$A6,DB!1:1,0)+2),FALSE),"")</f>
        <v/>
      </c>
      <c r="GTX6" s="27" t="str">
        <f>IFERROR(VLOOKUP(DATE($K$1,$K$2,GTX$4),Table1[],(MATCH(Calendar!$A6,DB!1:1,0)+2),FALSE),"")</f>
        <v/>
      </c>
      <c r="GTY6" s="27" t="str">
        <f>IFERROR(VLOOKUP(DATE($K$1,$K$2,GTY$4),Table1[],(MATCH(Calendar!$A6,DB!1:1,0)+2),FALSE),"")</f>
        <v/>
      </c>
      <c r="GTZ6" s="27" t="str">
        <f>IFERROR(VLOOKUP(DATE($K$1,$K$2,GTZ$4),Table1[],(MATCH(Calendar!$A6,DB!1:1,0)+2),FALSE),"")</f>
        <v/>
      </c>
      <c r="GUA6" s="27" t="str">
        <f>IFERROR(VLOOKUP(DATE($K$1,$K$2,GUA$4),Table1[],(MATCH(Calendar!$A6,DB!1:1,0)+2),FALSE),"")</f>
        <v/>
      </c>
      <c r="GUB6" s="27" t="str">
        <f>IFERROR(VLOOKUP(DATE($K$1,$K$2,GUB$4),Table1[],(MATCH(Calendar!$A6,DB!1:1,0)+2),FALSE),"")</f>
        <v/>
      </c>
      <c r="GUC6" s="27" t="str">
        <f>IFERROR(VLOOKUP(DATE($K$1,$K$2,GUC$4),Table1[],(MATCH(Calendar!$A6,DB!1:1,0)+2),FALSE),"")</f>
        <v/>
      </c>
      <c r="GUD6" s="27" t="str">
        <f>IFERROR(VLOOKUP(DATE($K$1,$K$2,GUD$4),Table1[],(MATCH(Calendar!$A6,DB!1:1,0)+2),FALSE),"")</f>
        <v/>
      </c>
      <c r="GUE6" s="27" t="str">
        <f>IFERROR(VLOOKUP(DATE($K$1,$K$2,GUE$4),Table1[],(MATCH(Calendar!$A6,DB!1:1,0)+2),FALSE),"")</f>
        <v/>
      </c>
      <c r="GUF6" s="27" t="str">
        <f>IFERROR(VLOOKUP(DATE($K$1,$K$2,GUF$4),Table1[],(MATCH(Calendar!$A6,DB!1:1,0)+2),FALSE),"")</f>
        <v/>
      </c>
      <c r="GUG6" s="27" t="str">
        <f>IFERROR(VLOOKUP(DATE($K$1,$K$2,GUG$4),Table1[],(MATCH(Calendar!$A6,DB!1:1,0)+2),FALSE),"")</f>
        <v/>
      </c>
      <c r="GUH6" s="27" t="str">
        <f>IFERROR(VLOOKUP(DATE($K$1,$K$2,GUH$4),Table1[],(MATCH(Calendar!$A6,DB!1:1,0)+2),FALSE),"")</f>
        <v/>
      </c>
      <c r="GUI6" s="27" t="str">
        <f>IFERROR(VLOOKUP(DATE($K$1,$K$2,GUI$4),Table1[],(MATCH(Calendar!$A6,DB!1:1,0)+2),FALSE),"")</f>
        <v/>
      </c>
      <c r="GUJ6" s="27" t="str">
        <f>IFERROR(VLOOKUP(DATE($K$1,$K$2,GUJ$4),Table1[],(MATCH(Calendar!$A6,DB!1:1,0)+2),FALSE),"")</f>
        <v/>
      </c>
      <c r="GUK6" s="27" t="str">
        <f>IFERROR(VLOOKUP(DATE($K$1,$K$2,GUK$4),Table1[],(MATCH(Calendar!$A6,DB!1:1,0)+2),FALSE),"")</f>
        <v/>
      </c>
      <c r="GUL6" s="27" t="str">
        <f>IFERROR(VLOOKUP(DATE($K$1,$K$2,GUL$4),Table1[],(MATCH(Calendar!$A6,DB!1:1,0)+2),FALSE),"")</f>
        <v/>
      </c>
      <c r="GUM6" s="27" t="str">
        <f>IFERROR(VLOOKUP(DATE($K$1,$K$2,GUM$4),Table1[],(MATCH(Calendar!$A6,DB!1:1,0)+2),FALSE),"")</f>
        <v/>
      </c>
      <c r="GUN6" s="27" t="str">
        <f>IFERROR(VLOOKUP(DATE($K$1,$K$2,GUN$4),Table1[],(MATCH(Calendar!$A6,DB!1:1,0)+2),FALSE),"")</f>
        <v/>
      </c>
      <c r="GUO6" s="27" t="str">
        <f>IFERROR(VLOOKUP(DATE($K$1,$K$2,GUO$4),Table1[],(MATCH(Calendar!$A6,DB!1:1,0)+2),FALSE),"")</f>
        <v/>
      </c>
      <c r="GUP6" s="27" t="str">
        <f>IFERROR(VLOOKUP(DATE($K$1,$K$2,GUP$4),Table1[],(MATCH(Calendar!$A6,DB!1:1,0)+2),FALSE),"")</f>
        <v/>
      </c>
      <c r="GUQ6" s="27" t="str">
        <f>IFERROR(VLOOKUP(DATE($K$1,$K$2,GUQ$4),Table1[],(MATCH(Calendar!$A6,DB!1:1,0)+2),FALSE),"")</f>
        <v/>
      </c>
      <c r="GUR6" s="27" t="str">
        <f>IFERROR(VLOOKUP(DATE($K$1,$K$2,GUR$4),Table1[],(MATCH(Calendar!$A6,DB!1:1,0)+2),FALSE),"")</f>
        <v/>
      </c>
      <c r="GUS6" s="27" t="str">
        <f>IFERROR(VLOOKUP(DATE($K$1,$K$2,GUS$4),Table1[],(MATCH(Calendar!$A6,DB!1:1,0)+2),FALSE),"")</f>
        <v/>
      </c>
      <c r="GUT6" s="27" t="str">
        <f>IFERROR(VLOOKUP(DATE($K$1,$K$2,GUT$4),Table1[],(MATCH(Calendar!$A6,DB!1:1,0)+2),FALSE),"")</f>
        <v/>
      </c>
      <c r="GUU6" s="27" t="str">
        <f>IFERROR(VLOOKUP(DATE($K$1,$K$2,GUU$4),Table1[],(MATCH(Calendar!$A6,DB!1:1,0)+2),FALSE),"")</f>
        <v/>
      </c>
      <c r="GUV6" s="27" t="str">
        <f>IFERROR(VLOOKUP(DATE($K$1,$K$2,GUV$4),Table1[],(MATCH(Calendar!$A6,DB!1:1,0)+2),FALSE),"")</f>
        <v/>
      </c>
      <c r="GUW6" s="27" t="str">
        <f>IFERROR(VLOOKUP(DATE($K$1,$K$2,GUW$4),Table1[],(MATCH(Calendar!$A6,DB!1:1,0)+2),FALSE),"")</f>
        <v/>
      </c>
      <c r="GUX6" s="27" t="str">
        <f>IFERROR(VLOOKUP(DATE($K$1,$K$2,GUX$4),Table1[],(MATCH(Calendar!$A6,DB!1:1,0)+2),FALSE),"")</f>
        <v/>
      </c>
      <c r="GUY6" s="27" t="str">
        <f>IFERROR(VLOOKUP(DATE($K$1,$K$2,GUY$4),Table1[],(MATCH(Calendar!$A6,DB!1:1,0)+2),FALSE),"")</f>
        <v/>
      </c>
      <c r="GUZ6" s="27" t="str">
        <f>IFERROR(VLOOKUP(DATE($K$1,$K$2,GUZ$4),Table1[],(MATCH(Calendar!$A6,DB!1:1,0)+2),FALSE),"")</f>
        <v/>
      </c>
      <c r="GVA6" s="27" t="str">
        <f>IFERROR(VLOOKUP(DATE($K$1,$K$2,GVA$4),Table1[],(MATCH(Calendar!$A6,DB!1:1,0)+2),FALSE),"")</f>
        <v/>
      </c>
      <c r="GVB6" s="27" t="str">
        <f>IFERROR(VLOOKUP(DATE($K$1,$K$2,GVB$4),Table1[],(MATCH(Calendar!$A6,DB!1:1,0)+2),FALSE),"")</f>
        <v/>
      </c>
      <c r="GVC6" s="27" t="str">
        <f>IFERROR(VLOOKUP(DATE($K$1,$K$2,GVC$4),Table1[],(MATCH(Calendar!$A6,DB!1:1,0)+2),FALSE),"")</f>
        <v/>
      </c>
      <c r="GVD6" s="27" t="str">
        <f>IFERROR(VLOOKUP(DATE($K$1,$K$2,GVD$4),Table1[],(MATCH(Calendar!$A6,DB!1:1,0)+2),FALSE),"")</f>
        <v/>
      </c>
      <c r="GVE6" s="27" t="str">
        <f>IFERROR(VLOOKUP(DATE($K$1,$K$2,GVE$4),Table1[],(MATCH(Calendar!$A6,DB!1:1,0)+2),FALSE),"")</f>
        <v/>
      </c>
      <c r="GVF6" s="27" t="str">
        <f>IFERROR(VLOOKUP(DATE($K$1,$K$2,GVF$4),Table1[],(MATCH(Calendar!$A6,DB!1:1,0)+2),FALSE),"")</f>
        <v/>
      </c>
      <c r="GVG6" s="27" t="str">
        <f>IFERROR(VLOOKUP(DATE($K$1,$K$2,GVG$4),Table1[],(MATCH(Calendar!$A6,DB!1:1,0)+2),FALSE),"")</f>
        <v/>
      </c>
      <c r="GVH6" s="27" t="str">
        <f>IFERROR(VLOOKUP(DATE($K$1,$K$2,GVH$4),Table1[],(MATCH(Calendar!$A6,DB!1:1,0)+2),FALSE),"")</f>
        <v/>
      </c>
      <c r="GVI6" s="27" t="str">
        <f>IFERROR(VLOOKUP(DATE($K$1,$K$2,GVI$4),Table1[],(MATCH(Calendar!$A6,DB!1:1,0)+2),FALSE),"")</f>
        <v/>
      </c>
      <c r="GVJ6" s="27" t="str">
        <f>IFERROR(VLOOKUP(DATE($K$1,$K$2,GVJ$4),Table1[],(MATCH(Calendar!$A6,DB!1:1,0)+2),FALSE),"")</f>
        <v/>
      </c>
      <c r="GVK6" s="27" t="str">
        <f>IFERROR(VLOOKUP(DATE($K$1,$K$2,GVK$4),Table1[],(MATCH(Calendar!$A6,DB!1:1,0)+2),FALSE),"")</f>
        <v/>
      </c>
      <c r="GVL6" s="27" t="str">
        <f>IFERROR(VLOOKUP(DATE($K$1,$K$2,GVL$4),Table1[],(MATCH(Calendar!$A6,DB!1:1,0)+2),FALSE),"")</f>
        <v/>
      </c>
      <c r="GVM6" s="27" t="str">
        <f>IFERROR(VLOOKUP(DATE($K$1,$K$2,GVM$4),Table1[],(MATCH(Calendar!$A6,DB!1:1,0)+2),FALSE),"")</f>
        <v/>
      </c>
      <c r="GVN6" s="27" t="str">
        <f>IFERROR(VLOOKUP(DATE($K$1,$K$2,GVN$4),Table1[],(MATCH(Calendar!$A6,DB!1:1,0)+2),FALSE),"")</f>
        <v/>
      </c>
      <c r="GVO6" s="27" t="str">
        <f>IFERROR(VLOOKUP(DATE($K$1,$K$2,GVO$4),Table1[],(MATCH(Calendar!$A6,DB!1:1,0)+2),FALSE),"")</f>
        <v/>
      </c>
      <c r="GVP6" s="27" t="str">
        <f>IFERROR(VLOOKUP(DATE($K$1,$K$2,GVP$4),Table1[],(MATCH(Calendar!$A6,DB!1:1,0)+2),FALSE),"")</f>
        <v/>
      </c>
      <c r="GVQ6" s="27" t="str">
        <f>IFERROR(VLOOKUP(DATE($K$1,$K$2,GVQ$4),Table1[],(MATCH(Calendar!$A6,DB!1:1,0)+2),FALSE),"")</f>
        <v/>
      </c>
      <c r="GVR6" s="27" t="str">
        <f>IFERROR(VLOOKUP(DATE($K$1,$K$2,GVR$4),Table1[],(MATCH(Calendar!$A6,DB!1:1,0)+2),FALSE),"")</f>
        <v/>
      </c>
      <c r="GVS6" s="27" t="str">
        <f>IFERROR(VLOOKUP(DATE($K$1,$K$2,GVS$4),Table1[],(MATCH(Calendar!$A6,DB!1:1,0)+2),FALSE),"")</f>
        <v/>
      </c>
      <c r="GVT6" s="27" t="str">
        <f>IFERROR(VLOOKUP(DATE($K$1,$K$2,GVT$4),Table1[],(MATCH(Calendar!$A6,DB!1:1,0)+2),FALSE),"")</f>
        <v/>
      </c>
      <c r="GVU6" s="27" t="str">
        <f>IFERROR(VLOOKUP(DATE($K$1,$K$2,GVU$4),Table1[],(MATCH(Calendar!$A6,DB!1:1,0)+2),FALSE),"")</f>
        <v/>
      </c>
      <c r="GVV6" s="27" t="str">
        <f>IFERROR(VLOOKUP(DATE($K$1,$K$2,GVV$4),Table1[],(MATCH(Calendar!$A6,DB!1:1,0)+2),FALSE),"")</f>
        <v/>
      </c>
      <c r="GVW6" s="27" t="str">
        <f>IFERROR(VLOOKUP(DATE($K$1,$K$2,GVW$4),Table1[],(MATCH(Calendar!$A6,DB!1:1,0)+2),FALSE),"")</f>
        <v/>
      </c>
      <c r="GVX6" s="27" t="str">
        <f>IFERROR(VLOOKUP(DATE($K$1,$K$2,GVX$4),Table1[],(MATCH(Calendar!$A6,DB!1:1,0)+2),FALSE),"")</f>
        <v/>
      </c>
      <c r="GVY6" s="27" t="str">
        <f>IFERROR(VLOOKUP(DATE($K$1,$K$2,GVY$4),Table1[],(MATCH(Calendar!$A6,DB!1:1,0)+2),FALSE),"")</f>
        <v/>
      </c>
      <c r="GVZ6" s="27" t="str">
        <f>IFERROR(VLOOKUP(DATE($K$1,$K$2,GVZ$4),Table1[],(MATCH(Calendar!$A6,DB!1:1,0)+2),FALSE),"")</f>
        <v/>
      </c>
      <c r="GWA6" s="27" t="str">
        <f>IFERROR(VLOOKUP(DATE($K$1,$K$2,GWA$4),Table1[],(MATCH(Calendar!$A6,DB!1:1,0)+2),FALSE),"")</f>
        <v/>
      </c>
      <c r="GWB6" s="27" t="str">
        <f>IFERROR(VLOOKUP(DATE($K$1,$K$2,GWB$4),Table1[],(MATCH(Calendar!$A6,DB!1:1,0)+2),FALSE),"")</f>
        <v/>
      </c>
      <c r="GWC6" s="27" t="str">
        <f>IFERROR(VLOOKUP(DATE($K$1,$K$2,GWC$4),Table1[],(MATCH(Calendar!$A6,DB!1:1,0)+2),FALSE),"")</f>
        <v/>
      </c>
      <c r="GWD6" s="27" t="str">
        <f>IFERROR(VLOOKUP(DATE($K$1,$K$2,GWD$4),Table1[],(MATCH(Calendar!$A6,DB!1:1,0)+2),FALSE),"")</f>
        <v/>
      </c>
      <c r="GWE6" s="27" t="str">
        <f>IFERROR(VLOOKUP(DATE($K$1,$K$2,GWE$4),Table1[],(MATCH(Calendar!$A6,DB!1:1,0)+2),FALSE),"")</f>
        <v/>
      </c>
      <c r="GWF6" s="27" t="str">
        <f>IFERROR(VLOOKUP(DATE($K$1,$K$2,GWF$4),Table1[],(MATCH(Calendar!$A6,DB!1:1,0)+2),FALSE),"")</f>
        <v/>
      </c>
      <c r="GWG6" s="27" t="str">
        <f>IFERROR(VLOOKUP(DATE($K$1,$K$2,GWG$4),Table1[],(MATCH(Calendar!$A6,DB!1:1,0)+2),FALSE),"")</f>
        <v/>
      </c>
      <c r="GWH6" s="27" t="str">
        <f>IFERROR(VLOOKUP(DATE($K$1,$K$2,GWH$4),Table1[],(MATCH(Calendar!$A6,DB!1:1,0)+2),FALSE),"")</f>
        <v/>
      </c>
      <c r="GWI6" s="27" t="str">
        <f>IFERROR(VLOOKUP(DATE($K$1,$K$2,GWI$4),Table1[],(MATCH(Calendar!$A6,DB!1:1,0)+2),FALSE),"")</f>
        <v/>
      </c>
      <c r="GWJ6" s="27" t="str">
        <f>IFERROR(VLOOKUP(DATE($K$1,$K$2,GWJ$4),Table1[],(MATCH(Calendar!$A6,DB!1:1,0)+2),FALSE),"")</f>
        <v/>
      </c>
      <c r="GWK6" s="27" t="str">
        <f>IFERROR(VLOOKUP(DATE($K$1,$K$2,GWK$4),Table1[],(MATCH(Calendar!$A6,DB!1:1,0)+2),FALSE),"")</f>
        <v/>
      </c>
      <c r="GWL6" s="27" t="str">
        <f>IFERROR(VLOOKUP(DATE($K$1,$K$2,GWL$4),Table1[],(MATCH(Calendar!$A6,DB!1:1,0)+2),FALSE),"")</f>
        <v/>
      </c>
      <c r="GWM6" s="27" t="str">
        <f>IFERROR(VLOOKUP(DATE($K$1,$K$2,GWM$4),Table1[],(MATCH(Calendar!$A6,DB!1:1,0)+2),FALSE),"")</f>
        <v/>
      </c>
      <c r="GWN6" s="27" t="str">
        <f>IFERROR(VLOOKUP(DATE($K$1,$K$2,GWN$4),Table1[],(MATCH(Calendar!$A6,DB!1:1,0)+2),FALSE),"")</f>
        <v/>
      </c>
      <c r="GWO6" s="27" t="str">
        <f>IFERROR(VLOOKUP(DATE($K$1,$K$2,GWO$4),Table1[],(MATCH(Calendar!$A6,DB!1:1,0)+2),FALSE),"")</f>
        <v/>
      </c>
      <c r="GWP6" s="27" t="str">
        <f>IFERROR(VLOOKUP(DATE($K$1,$K$2,GWP$4),Table1[],(MATCH(Calendar!$A6,DB!1:1,0)+2),FALSE),"")</f>
        <v/>
      </c>
      <c r="GWQ6" s="27" t="str">
        <f>IFERROR(VLOOKUP(DATE($K$1,$K$2,GWQ$4),Table1[],(MATCH(Calendar!$A6,DB!1:1,0)+2),FALSE),"")</f>
        <v/>
      </c>
      <c r="GWR6" s="27" t="str">
        <f>IFERROR(VLOOKUP(DATE($K$1,$K$2,GWR$4),Table1[],(MATCH(Calendar!$A6,DB!1:1,0)+2),FALSE),"")</f>
        <v/>
      </c>
      <c r="GWS6" s="27" t="str">
        <f>IFERROR(VLOOKUP(DATE($K$1,$K$2,GWS$4),Table1[],(MATCH(Calendar!$A6,DB!1:1,0)+2),FALSE),"")</f>
        <v/>
      </c>
      <c r="GWT6" s="27" t="str">
        <f>IFERROR(VLOOKUP(DATE($K$1,$K$2,GWT$4),Table1[],(MATCH(Calendar!$A6,DB!1:1,0)+2),FALSE),"")</f>
        <v/>
      </c>
      <c r="GWU6" s="27" t="str">
        <f>IFERROR(VLOOKUP(DATE($K$1,$K$2,GWU$4),Table1[],(MATCH(Calendar!$A6,DB!1:1,0)+2),FALSE),"")</f>
        <v/>
      </c>
      <c r="GWV6" s="27" t="str">
        <f>IFERROR(VLOOKUP(DATE($K$1,$K$2,GWV$4),Table1[],(MATCH(Calendar!$A6,DB!1:1,0)+2),FALSE),"")</f>
        <v/>
      </c>
      <c r="GWW6" s="27" t="str">
        <f>IFERROR(VLOOKUP(DATE($K$1,$K$2,GWW$4),Table1[],(MATCH(Calendar!$A6,DB!1:1,0)+2),FALSE),"")</f>
        <v/>
      </c>
      <c r="GWX6" s="27" t="str">
        <f>IFERROR(VLOOKUP(DATE($K$1,$K$2,GWX$4),Table1[],(MATCH(Calendar!$A6,DB!1:1,0)+2),FALSE),"")</f>
        <v/>
      </c>
      <c r="GWY6" s="27" t="str">
        <f>IFERROR(VLOOKUP(DATE($K$1,$K$2,GWY$4),Table1[],(MATCH(Calendar!$A6,DB!1:1,0)+2),FALSE),"")</f>
        <v/>
      </c>
      <c r="GWZ6" s="27" t="str">
        <f>IFERROR(VLOOKUP(DATE($K$1,$K$2,GWZ$4),Table1[],(MATCH(Calendar!$A6,DB!1:1,0)+2),FALSE),"")</f>
        <v/>
      </c>
      <c r="GXA6" s="27" t="str">
        <f>IFERROR(VLOOKUP(DATE($K$1,$K$2,GXA$4),Table1[],(MATCH(Calendar!$A6,DB!1:1,0)+2),FALSE),"")</f>
        <v/>
      </c>
      <c r="GXB6" s="27" t="str">
        <f>IFERROR(VLOOKUP(DATE($K$1,$K$2,GXB$4),Table1[],(MATCH(Calendar!$A6,DB!1:1,0)+2),FALSE),"")</f>
        <v/>
      </c>
      <c r="GXC6" s="27" t="str">
        <f>IFERROR(VLOOKUP(DATE($K$1,$K$2,GXC$4),Table1[],(MATCH(Calendar!$A6,DB!1:1,0)+2),FALSE),"")</f>
        <v/>
      </c>
      <c r="GXD6" s="27" t="str">
        <f>IFERROR(VLOOKUP(DATE($K$1,$K$2,GXD$4),Table1[],(MATCH(Calendar!$A6,DB!1:1,0)+2),FALSE),"")</f>
        <v/>
      </c>
      <c r="GXE6" s="27" t="str">
        <f>IFERROR(VLOOKUP(DATE($K$1,$K$2,GXE$4),Table1[],(MATCH(Calendar!$A6,DB!1:1,0)+2),FALSE),"")</f>
        <v/>
      </c>
      <c r="GXF6" s="27" t="str">
        <f>IFERROR(VLOOKUP(DATE($K$1,$K$2,GXF$4),Table1[],(MATCH(Calendar!$A6,DB!1:1,0)+2),FALSE),"")</f>
        <v/>
      </c>
      <c r="GXG6" s="27" t="str">
        <f>IFERROR(VLOOKUP(DATE($K$1,$K$2,GXG$4),Table1[],(MATCH(Calendar!$A6,DB!1:1,0)+2),FALSE),"")</f>
        <v/>
      </c>
      <c r="GXH6" s="27" t="str">
        <f>IFERROR(VLOOKUP(DATE($K$1,$K$2,GXH$4),Table1[],(MATCH(Calendar!$A6,DB!1:1,0)+2),FALSE),"")</f>
        <v/>
      </c>
      <c r="GXI6" s="27" t="str">
        <f>IFERROR(VLOOKUP(DATE($K$1,$K$2,GXI$4),Table1[],(MATCH(Calendar!$A6,DB!1:1,0)+2),FALSE),"")</f>
        <v/>
      </c>
      <c r="GXJ6" s="27" t="str">
        <f>IFERROR(VLOOKUP(DATE($K$1,$K$2,GXJ$4),Table1[],(MATCH(Calendar!$A6,DB!1:1,0)+2),FALSE),"")</f>
        <v/>
      </c>
      <c r="GXK6" s="27" t="str">
        <f>IFERROR(VLOOKUP(DATE($K$1,$K$2,GXK$4),Table1[],(MATCH(Calendar!$A6,DB!1:1,0)+2),FALSE),"")</f>
        <v/>
      </c>
      <c r="GXL6" s="27" t="str">
        <f>IFERROR(VLOOKUP(DATE($K$1,$K$2,GXL$4),Table1[],(MATCH(Calendar!$A6,DB!1:1,0)+2),FALSE),"")</f>
        <v/>
      </c>
      <c r="GXM6" s="27" t="str">
        <f>IFERROR(VLOOKUP(DATE($K$1,$K$2,GXM$4),Table1[],(MATCH(Calendar!$A6,DB!1:1,0)+2),FALSE),"")</f>
        <v/>
      </c>
      <c r="GXN6" s="27" t="str">
        <f>IFERROR(VLOOKUP(DATE($K$1,$K$2,GXN$4),Table1[],(MATCH(Calendar!$A6,DB!1:1,0)+2),FALSE),"")</f>
        <v/>
      </c>
      <c r="GXO6" s="27" t="str">
        <f>IFERROR(VLOOKUP(DATE($K$1,$K$2,GXO$4),Table1[],(MATCH(Calendar!$A6,DB!1:1,0)+2),FALSE),"")</f>
        <v/>
      </c>
      <c r="GXP6" s="27" t="str">
        <f>IFERROR(VLOOKUP(DATE($K$1,$K$2,GXP$4),Table1[],(MATCH(Calendar!$A6,DB!1:1,0)+2),FALSE),"")</f>
        <v/>
      </c>
      <c r="GXQ6" s="27" t="str">
        <f>IFERROR(VLOOKUP(DATE($K$1,$K$2,GXQ$4),Table1[],(MATCH(Calendar!$A6,DB!1:1,0)+2),FALSE),"")</f>
        <v/>
      </c>
      <c r="GXR6" s="27" t="str">
        <f>IFERROR(VLOOKUP(DATE($K$1,$K$2,GXR$4),Table1[],(MATCH(Calendar!$A6,DB!1:1,0)+2),FALSE),"")</f>
        <v/>
      </c>
      <c r="GXS6" s="27" t="str">
        <f>IFERROR(VLOOKUP(DATE($K$1,$K$2,GXS$4),Table1[],(MATCH(Calendar!$A6,DB!1:1,0)+2),FALSE),"")</f>
        <v/>
      </c>
      <c r="GXT6" s="27" t="str">
        <f>IFERROR(VLOOKUP(DATE($K$1,$K$2,GXT$4),Table1[],(MATCH(Calendar!$A6,DB!1:1,0)+2),FALSE),"")</f>
        <v/>
      </c>
      <c r="GXU6" s="27" t="str">
        <f>IFERROR(VLOOKUP(DATE($K$1,$K$2,GXU$4),Table1[],(MATCH(Calendar!$A6,DB!1:1,0)+2),FALSE),"")</f>
        <v/>
      </c>
      <c r="GXV6" s="27" t="str">
        <f>IFERROR(VLOOKUP(DATE($K$1,$K$2,GXV$4),Table1[],(MATCH(Calendar!$A6,DB!1:1,0)+2),FALSE),"")</f>
        <v/>
      </c>
      <c r="GXW6" s="27" t="str">
        <f>IFERROR(VLOOKUP(DATE($K$1,$K$2,GXW$4),Table1[],(MATCH(Calendar!$A6,DB!1:1,0)+2),FALSE),"")</f>
        <v/>
      </c>
      <c r="GXX6" s="27" t="str">
        <f>IFERROR(VLOOKUP(DATE($K$1,$K$2,GXX$4),Table1[],(MATCH(Calendar!$A6,DB!1:1,0)+2),FALSE),"")</f>
        <v/>
      </c>
      <c r="GXY6" s="27" t="str">
        <f>IFERROR(VLOOKUP(DATE($K$1,$K$2,GXY$4),Table1[],(MATCH(Calendar!$A6,DB!1:1,0)+2),FALSE),"")</f>
        <v/>
      </c>
      <c r="GXZ6" s="27" t="str">
        <f>IFERROR(VLOOKUP(DATE($K$1,$K$2,GXZ$4),Table1[],(MATCH(Calendar!$A6,DB!1:1,0)+2),FALSE),"")</f>
        <v/>
      </c>
      <c r="GYA6" s="27" t="str">
        <f>IFERROR(VLOOKUP(DATE($K$1,$K$2,GYA$4),Table1[],(MATCH(Calendar!$A6,DB!1:1,0)+2),FALSE),"")</f>
        <v/>
      </c>
      <c r="GYB6" s="27" t="str">
        <f>IFERROR(VLOOKUP(DATE($K$1,$K$2,GYB$4),Table1[],(MATCH(Calendar!$A6,DB!1:1,0)+2),FALSE),"")</f>
        <v/>
      </c>
      <c r="GYC6" s="27" t="str">
        <f>IFERROR(VLOOKUP(DATE($K$1,$K$2,GYC$4),Table1[],(MATCH(Calendar!$A6,DB!1:1,0)+2),FALSE),"")</f>
        <v/>
      </c>
      <c r="GYD6" s="27" t="str">
        <f>IFERROR(VLOOKUP(DATE($K$1,$K$2,GYD$4),Table1[],(MATCH(Calendar!$A6,DB!1:1,0)+2),FALSE),"")</f>
        <v/>
      </c>
      <c r="GYE6" s="27" t="str">
        <f>IFERROR(VLOOKUP(DATE($K$1,$K$2,GYE$4),Table1[],(MATCH(Calendar!$A6,DB!1:1,0)+2),FALSE),"")</f>
        <v/>
      </c>
      <c r="GYF6" s="27" t="str">
        <f>IFERROR(VLOOKUP(DATE($K$1,$K$2,GYF$4),Table1[],(MATCH(Calendar!$A6,DB!1:1,0)+2),FALSE),"")</f>
        <v/>
      </c>
      <c r="GYG6" s="27" t="str">
        <f>IFERROR(VLOOKUP(DATE($K$1,$K$2,GYG$4),Table1[],(MATCH(Calendar!$A6,DB!1:1,0)+2),FALSE),"")</f>
        <v/>
      </c>
      <c r="GYH6" s="27" t="str">
        <f>IFERROR(VLOOKUP(DATE($K$1,$K$2,GYH$4),Table1[],(MATCH(Calendar!$A6,DB!1:1,0)+2),FALSE),"")</f>
        <v/>
      </c>
      <c r="GYI6" s="27" t="str">
        <f>IFERROR(VLOOKUP(DATE($K$1,$K$2,GYI$4),Table1[],(MATCH(Calendar!$A6,DB!1:1,0)+2),FALSE),"")</f>
        <v/>
      </c>
      <c r="GYJ6" s="27" t="str">
        <f>IFERROR(VLOOKUP(DATE($K$1,$K$2,GYJ$4),Table1[],(MATCH(Calendar!$A6,DB!1:1,0)+2),FALSE),"")</f>
        <v/>
      </c>
      <c r="GYK6" s="27" t="str">
        <f>IFERROR(VLOOKUP(DATE($K$1,$K$2,GYK$4),Table1[],(MATCH(Calendar!$A6,DB!1:1,0)+2),FALSE),"")</f>
        <v/>
      </c>
      <c r="GYL6" s="27" t="str">
        <f>IFERROR(VLOOKUP(DATE($K$1,$K$2,GYL$4),Table1[],(MATCH(Calendar!$A6,DB!1:1,0)+2),FALSE),"")</f>
        <v/>
      </c>
      <c r="GYM6" s="27" t="str">
        <f>IFERROR(VLOOKUP(DATE($K$1,$K$2,GYM$4),Table1[],(MATCH(Calendar!$A6,DB!1:1,0)+2),FALSE),"")</f>
        <v/>
      </c>
      <c r="GYN6" s="27" t="str">
        <f>IFERROR(VLOOKUP(DATE($K$1,$K$2,GYN$4),Table1[],(MATCH(Calendar!$A6,DB!1:1,0)+2),FALSE),"")</f>
        <v/>
      </c>
      <c r="GYO6" s="27" t="str">
        <f>IFERROR(VLOOKUP(DATE($K$1,$K$2,GYO$4),Table1[],(MATCH(Calendar!$A6,DB!1:1,0)+2),FALSE),"")</f>
        <v/>
      </c>
      <c r="GYP6" s="27" t="str">
        <f>IFERROR(VLOOKUP(DATE($K$1,$K$2,GYP$4),Table1[],(MATCH(Calendar!$A6,DB!1:1,0)+2),FALSE),"")</f>
        <v/>
      </c>
      <c r="GYQ6" s="27" t="str">
        <f>IFERROR(VLOOKUP(DATE($K$1,$K$2,GYQ$4),Table1[],(MATCH(Calendar!$A6,DB!1:1,0)+2),FALSE),"")</f>
        <v/>
      </c>
      <c r="GYR6" s="27" t="str">
        <f>IFERROR(VLOOKUP(DATE($K$1,$K$2,GYR$4),Table1[],(MATCH(Calendar!$A6,DB!1:1,0)+2),FALSE),"")</f>
        <v/>
      </c>
      <c r="GYS6" s="27" t="str">
        <f>IFERROR(VLOOKUP(DATE($K$1,$K$2,GYS$4),Table1[],(MATCH(Calendar!$A6,DB!1:1,0)+2),FALSE),"")</f>
        <v/>
      </c>
      <c r="GYT6" s="27" t="str">
        <f>IFERROR(VLOOKUP(DATE($K$1,$K$2,GYT$4),Table1[],(MATCH(Calendar!$A6,DB!1:1,0)+2),FALSE),"")</f>
        <v/>
      </c>
      <c r="GYU6" s="27" t="str">
        <f>IFERROR(VLOOKUP(DATE($K$1,$K$2,GYU$4),Table1[],(MATCH(Calendar!$A6,DB!1:1,0)+2),FALSE),"")</f>
        <v/>
      </c>
      <c r="GYV6" s="27" t="str">
        <f>IFERROR(VLOOKUP(DATE($K$1,$K$2,GYV$4),Table1[],(MATCH(Calendar!$A6,DB!1:1,0)+2),FALSE),"")</f>
        <v/>
      </c>
      <c r="GYW6" s="27" t="str">
        <f>IFERROR(VLOOKUP(DATE($K$1,$K$2,GYW$4),Table1[],(MATCH(Calendar!$A6,DB!1:1,0)+2),FALSE),"")</f>
        <v/>
      </c>
      <c r="GYX6" s="27" t="str">
        <f>IFERROR(VLOOKUP(DATE($K$1,$K$2,GYX$4),Table1[],(MATCH(Calendar!$A6,DB!1:1,0)+2),FALSE),"")</f>
        <v/>
      </c>
      <c r="GYY6" s="27" t="str">
        <f>IFERROR(VLOOKUP(DATE($K$1,$K$2,GYY$4),Table1[],(MATCH(Calendar!$A6,DB!1:1,0)+2),FALSE),"")</f>
        <v/>
      </c>
      <c r="GYZ6" s="27" t="str">
        <f>IFERROR(VLOOKUP(DATE($K$1,$K$2,GYZ$4),Table1[],(MATCH(Calendar!$A6,DB!1:1,0)+2),FALSE),"")</f>
        <v/>
      </c>
      <c r="GZA6" s="27" t="str">
        <f>IFERROR(VLOOKUP(DATE($K$1,$K$2,GZA$4),Table1[],(MATCH(Calendar!$A6,DB!1:1,0)+2),FALSE),"")</f>
        <v/>
      </c>
      <c r="GZB6" s="27" t="str">
        <f>IFERROR(VLOOKUP(DATE($K$1,$K$2,GZB$4),Table1[],(MATCH(Calendar!$A6,DB!1:1,0)+2),FALSE),"")</f>
        <v/>
      </c>
      <c r="GZC6" s="27" t="str">
        <f>IFERROR(VLOOKUP(DATE($K$1,$K$2,GZC$4),Table1[],(MATCH(Calendar!$A6,DB!1:1,0)+2),FALSE),"")</f>
        <v/>
      </c>
      <c r="GZD6" s="27" t="str">
        <f>IFERROR(VLOOKUP(DATE($K$1,$K$2,GZD$4),Table1[],(MATCH(Calendar!$A6,DB!1:1,0)+2),FALSE),"")</f>
        <v/>
      </c>
      <c r="GZE6" s="27" t="str">
        <f>IFERROR(VLOOKUP(DATE($K$1,$K$2,GZE$4),Table1[],(MATCH(Calendar!$A6,DB!1:1,0)+2),FALSE),"")</f>
        <v/>
      </c>
      <c r="GZF6" s="27" t="str">
        <f>IFERROR(VLOOKUP(DATE($K$1,$K$2,GZF$4),Table1[],(MATCH(Calendar!$A6,DB!1:1,0)+2),FALSE),"")</f>
        <v/>
      </c>
      <c r="GZG6" s="27" t="str">
        <f>IFERROR(VLOOKUP(DATE($K$1,$K$2,GZG$4),Table1[],(MATCH(Calendar!$A6,DB!1:1,0)+2),FALSE),"")</f>
        <v/>
      </c>
      <c r="GZH6" s="27" t="str">
        <f>IFERROR(VLOOKUP(DATE($K$1,$K$2,GZH$4),Table1[],(MATCH(Calendar!$A6,DB!1:1,0)+2),FALSE),"")</f>
        <v/>
      </c>
      <c r="GZI6" s="27" t="str">
        <f>IFERROR(VLOOKUP(DATE($K$1,$K$2,GZI$4),Table1[],(MATCH(Calendar!$A6,DB!1:1,0)+2),FALSE),"")</f>
        <v/>
      </c>
      <c r="GZJ6" s="27" t="str">
        <f>IFERROR(VLOOKUP(DATE($K$1,$K$2,GZJ$4),Table1[],(MATCH(Calendar!$A6,DB!1:1,0)+2),FALSE),"")</f>
        <v/>
      </c>
      <c r="GZK6" s="27" t="str">
        <f>IFERROR(VLOOKUP(DATE($K$1,$K$2,GZK$4),Table1[],(MATCH(Calendar!$A6,DB!1:1,0)+2),FALSE),"")</f>
        <v/>
      </c>
      <c r="GZL6" s="27" t="str">
        <f>IFERROR(VLOOKUP(DATE($K$1,$K$2,GZL$4),Table1[],(MATCH(Calendar!$A6,DB!1:1,0)+2),FALSE),"")</f>
        <v/>
      </c>
      <c r="GZM6" s="27" t="str">
        <f>IFERROR(VLOOKUP(DATE($K$1,$K$2,GZM$4),Table1[],(MATCH(Calendar!$A6,DB!1:1,0)+2),FALSE),"")</f>
        <v/>
      </c>
      <c r="GZN6" s="27" t="str">
        <f>IFERROR(VLOOKUP(DATE($K$1,$K$2,GZN$4),Table1[],(MATCH(Calendar!$A6,DB!1:1,0)+2),FALSE),"")</f>
        <v/>
      </c>
      <c r="GZO6" s="27" t="str">
        <f>IFERROR(VLOOKUP(DATE($K$1,$K$2,GZO$4),Table1[],(MATCH(Calendar!$A6,DB!1:1,0)+2),FALSE),"")</f>
        <v/>
      </c>
      <c r="GZP6" s="27" t="str">
        <f>IFERROR(VLOOKUP(DATE($K$1,$K$2,GZP$4),Table1[],(MATCH(Calendar!$A6,DB!1:1,0)+2),FALSE),"")</f>
        <v/>
      </c>
      <c r="GZQ6" s="27" t="str">
        <f>IFERROR(VLOOKUP(DATE($K$1,$K$2,GZQ$4),Table1[],(MATCH(Calendar!$A6,DB!1:1,0)+2),FALSE),"")</f>
        <v/>
      </c>
      <c r="GZR6" s="27" t="str">
        <f>IFERROR(VLOOKUP(DATE($K$1,$K$2,GZR$4),Table1[],(MATCH(Calendar!$A6,DB!1:1,0)+2),FALSE),"")</f>
        <v/>
      </c>
      <c r="GZS6" s="27" t="str">
        <f>IFERROR(VLOOKUP(DATE($K$1,$K$2,GZS$4),Table1[],(MATCH(Calendar!$A6,DB!1:1,0)+2),FALSE),"")</f>
        <v/>
      </c>
      <c r="GZT6" s="27" t="str">
        <f>IFERROR(VLOOKUP(DATE($K$1,$K$2,GZT$4),Table1[],(MATCH(Calendar!$A6,DB!1:1,0)+2),FALSE),"")</f>
        <v/>
      </c>
      <c r="GZU6" s="27" t="str">
        <f>IFERROR(VLOOKUP(DATE($K$1,$K$2,GZU$4),Table1[],(MATCH(Calendar!$A6,DB!1:1,0)+2),FALSE),"")</f>
        <v/>
      </c>
      <c r="GZV6" s="27" t="str">
        <f>IFERROR(VLOOKUP(DATE($K$1,$K$2,GZV$4),Table1[],(MATCH(Calendar!$A6,DB!1:1,0)+2),FALSE),"")</f>
        <v/>
      </c>
      <c r="GZW6" s="27" t="str">
        <f>IFERROR(VLOOKUP(DATE($K$1,$K$2,GZW$4),Table1[],(MATCH(Calendar!$A6,DB!1:1,0)+2),FALSE),"")</f>
        <v/>
      </c>
      <c r="GZX6" s="27" t="str">
        <f>IFERROR(VLOOKUP(DATE($K$1,$K$2,GZX$4),Table1[],(MATCH(Calendar!$A6,DB!1:1,0)+2),FALSE),"")</f>
        <v/>
      </c>
      <c r="GZY6" s="27" t="str">
        <f>IFERROR(VLOOKUP(DATE($K$1,$K$2,GZY$4),Table1[],(MATCH(Calendar!$A6,DB!1:1,0)+2),FALSE),"")</f>
        <v/>
      </c>
      <c r="GZZ6" s="27" t="str">
        <f>IFERROR(VLOOKUP(DATE($K$1,$K$2,GZZ$4),Table1[],(MATCH(Calendar!$A6,DB!1:1,0)+2),FALSE),"")</f>
        <v/>
      </c>
      <c r="HAA6" s="27" t="str">
        <f>IFERROR(VLOOKUP(DATE($K$1,$K$2,HAA$4),Table1[],(MATCH(Calendar!$A6,DB!1:1,0)+2),FALSE),"")</f>
        <v/>
      </c>
      <c r="HAB6" s="27" t="str">
        <f>IFERROR(VLOOKUP(DATE($K$1,$K$2,HAB$4),Table1[],(MATCH(Calendar!$A6,DB!1:1,0)+2),FALSE),"")</f>
        <v/>
      </c>
      <c r="HAC6" s="27" t="str">
        <f>IFERROR(VLOOKUP(DATE($K$1,$K$2,HAC$4),Table1[],(MATCH(Calendar!$A6,DB!1:1,0)+2),FALSE),"")</f>
        <v/>
      </c>
      <c r="HAD6" s="27" t="str">
        <f>IFERROR(VLOOKUP(DATE($K$1,$K$2,HAD$4),Table1[],(MATCH(Calendar!$A6,DB!1:1,0)+2),FALSE),"")</f>
        <v/>
      </c>
      <c r="HAE6" s="27" t="str">
        <f>IFERROR(VLOOKUP(DATE($K$1,$K$2,HAE$4),Table1[],(MATCH(Calendar!$A6,DB!1:1,0)+2),FALSE),"")</f>
        <v/>
      </c>
      <c r="HAF6" s="27" t="str">
        <f>IFERROR(VLOOKUP(DATE($K$1,$K$2,HAF$4),Table1[],(MATCH(Calendar!$A6,DB!1:1,0)+2),FALSE),"")</f>
        <v/>
      </c>
      <c r="HAG6" s="27" t="str">
        <f>IFERROR(VLOOKUP(DATE($K$1,$K$2,HAG$4),Table1[],(MATCH(Calendar!$A6,DB!1:1,0)+2),FALSE),"")</f>
        <v/>
      </c>
      <c r="HAH6" s="27" t="str">
        <f>IFERROR(VLOOKUP(DATE($K$1,$K$2,HAH$4),Table1[],(MATCH(Calendar!$A6,DB!1:1,0)+2),FALSE),"")</f>
        <v/>
      </c>
      <c r="HAI6" s="27" t="str">
        <f>IFERROR(VLOOKUP(DATE($K$1,$K$2,HAI$4),Table1[],(MATCH(Calendar!$A6,DB!1:1,0)+2),FALSE),"")</f>
        <v/>
      </c>
      <c r="HAJ6" s="27" t="str">
        <f>IFERROR(VLOOKUP(DATE($K$1,$K$2,HAJ$4),Table1[],(MATCH(Calendar!$A6,DB!1:1,0)+2),FALSE),"")</f>
        <v/>
      </c>
      <c r="HAK6" s="27" t="str">
        <f>IFERROR(VLOOKUP(DATE($K$1,$K$2,HAK$4),Table1[],(MATCH(Calendar!$A6,DB!1:1,0)+2),FALSE),"")</f>
        <v/>
      </c>
      <c r="HAL6" s="27" t="str">
        <f>IFERROR(VLOOKUP(DATE($K$1,$K$2,HAL$4),Table1[],(MATCH(Calendar!$A6,DB!1:1,0)+2),FALSE),"")</f>
        <v/>
      </c>
      <c r="HAM6" s="27" t="str">
        <f>IFERROR(VLOOKUP(DATE($K$1,$K$2,HAM$4),Table1[],(MATCH(Calendar!$A6,DB!1:1,0)+2),FALSE),"")</f>
        <v/>
      </c>
      <c r="HAN6" s="27" t="str">
        <f>IFERROR(VLOOKUP(DATE($K$1,$K$2,HAN$4),Table1[],(MATCH(Calendar!$A6,DB!1:1,0)+2),FALSE),"")</f>
        <v/>
      </c>
      <c r="HAO6" s="27" t="str">
        <f>IFERROR(VLOOKUP(DATE($K$1,$K$2,HAO$4),Table1[],(MATCH(Calendar!$A6,DB!1:1,0)+2),FALSE),"")</f>
        <v/>
      </c>
      <c r="HAP6" s="27" t="str">
        <f>IFERROR(VLOOKUP(DATE($K$1,$K$2,HAP$4),Table1[],(MATCH(Calendar!$A6,DB!1:1,0)+2),FALSE),"")</f>
        <v/>
      </c>
      <c r="HAQ6" s="27" t="str">
        <f>IFERROR(VLOOKUP(DATE($K$1,$K$2,HAQ$4),Table1[],(MATCH(Calendar!$A6,DB!1:1,0)+2),FALSE),"")</f>
        <v/>
      </c>
      <c r="HAR6" s="27" t="str">
        <f>IFERROR(VLOOKUP(DATE($K$1,$K$2,HAR$4),Table1[],(MATCH(Calendar!$A6,DB!1:1,0)+2),FALSE),"")</f>
        <v/>
      </c>
      <c r="HAS6" s="27" t="str">
        <f>IFERROR(VLOOKUP(DATE($K$1,$K$2,HAS$4),Table1[],(MATCH(Calendar!$A6,DB!1:1,0)+2),FALSE),"")</f>
        <v/>
      </c>
      <c r="HAT6" s="27" t="str">
        <f>IFERROR(VLOOKUP(DATE($K$1,$K$2,HAT$4),Table1[],(MATCH(Calendar!$A6,DB!1:1,0)+2),FALSE),"")</f>
        <v/>
      </c>
      <c r="HAU6" s="27" t="str">
        <f>IFERROR(VLOOKUP(DATE($K$1,$K$2,HAU$4),Table1[],(MATCH(Calendar!$A6,DB!1:1,0)+2),FALSE),"")</f>
        <v/>
      </c>
      <c r="HAV6" s="27" t="str">
        <f>IFERROR(VLOOKUP(DATE($K$1,$K$2,HAV$4),Table1[],(MATCH(Calendar!$A6,DB!1:1,0)+2),FALSE),"")</f>
        <v/>
      </c>
      <c r="HAW6" s="27" t="str">
        <f>IFERROR(VLOOKUP(DATE($K$1,$K$2,HAW$4),Table1[],(MATCH(Calendar!$A6,DB!1:1,0)+2),FALSE),"")</f>
        <v/>
      </c>
      <c r="HAX6" s="27" t="str">
        <f>IFERROR(VLOOKUP(DATE($K$1,$K$2,HAX$4),Table1[],(MATCH(Calendar!$A6,DB!1:1,0)+2),FALSE),"")</f>
        <v/>
      </c>
      <c r="HAY6" s="27" t="str">
        <f>IFERROR(VLOOKUP(DATE($K$1,$K$2,HAY$4),Table1[],(MATCH(Calendar!$A6,DB!1:1,0)+2),FALSE),"")</f>
        <v/>
      </c>
      <c r="HAZ6" s="27" t="str">
        <f>IFERROR(VLOOKUP(DATE($K$1,$K$2,HAZ$4),Table1[],(MATCH(Calendar!$A6,DB!1:1,0)+2),FALSE),"")</f>
        <v/>
      </c>
      <c r="HBA6" s="27" t="str">
        <f>IFERROR(VLOOKUP(DATE($K$1,$K$2,HBA$4),Table1[],(MATCH(Calendar!$A6,DB!1:1,0)+2),FALSE),"")</f>
        <v/>
      </c>
      <c r="HBB6" s="27" t="str">
        <f>IFERROR(VLOOKUP(DATE($K$1,$K$2,HBB$4),Table1[],(MATCH(Calendar!$A6,DB!1:1,0)+2),FALSE),"")</f>
        <v/>
      </c>
      <c r="HBC6" s="27" t="str">
        <f>IFERROR(VLOOKUP(DATE($K$1,$K$2,HBC$4),Table1[],(MATCH(Calendar!$A6,DB!1:1,0)+2),FALSE),"")</f>
        <v/>
      </c>
      <c r="HBD6" s="27" t="str">
        <f>IFERROR(VLOOKUP(DATE($K$1,$K$2,HBD$4),Table1[],(MATCH(Calendar!$A6,DB!1:1,0)+2),FALSE),"")</f>
        <v/>
      </c>
      <c r="HBE6" s="27" t="str">
        <f>IFERROR(VLOOKUP(DATE($K$1,$K$2,HBE$4),Table1[],(MATCH(Calendar!$A6,DB!1:1,0)+2),FALSE),"")</f>
        <v/>
      </c>
      <c r="HBF6" s="27" t="str">
        <f>IFERROR(VLOOKUP(DATE($K$1,$K$2,HBF$4),Table1[],(MATCH(Calendar!$A6,DB!1:1,0)+2),FALSE),"")</f>
        <v/>
      </c>
      <c r="HBG6" s="27" t="str">
        <f>IFERROR(VLOOKUP(DATE($K$1,$K$2,HBG$4),Table1[],(MATCH(Calendar!$A6,DB!1:1,0)+2),FALSE),"")</f>
        <v/>
      </c>
      <c r="HBH6" s="27" t="str">
        <f>IFERROR(VLOOKUP(DATE($K$1,$K$2,HBH$4),Table1[],(MATCH(Calendar!$A6,DB!1:1,0)+2),FALSE),"")</f>
        <v/>
      </c>
      <c r="HBI6" s="27" t="str">
        <f>IFERROR(VLOOKUP(DATE($K$1,$K$2,HBI$4),Table1[],(MATCH(Calendar!$A6,DB!1:1,0)+2),FALSE),"")</f>
        <v/>
      </c>
      <c r="HBJ6" s="27" t="str">
        <f>IFERROR(VLOOKUP(DATE($K$1,$K$2,HBJ$4),Table1[],(MATCH(Calendar!$A6,DB!1:1,0)+2),FALSE),"")</f>
        <v/>
      </c>
      <c r="HBK6" s="27" t="str">
        <f>IFERROR(VLOOKUP(DATE($K$1,$K$2,HBK$4),Table1[],(MATCH(Calendar!$A6,DB!1:1,0)+2),FALSE),"")</f>
        <v/>
      </c>
      <c r="HBL6" s="27" t="str">
        <f>IFERROR(VLOOKUP(DATE($K$1,$K$2,HBL$4),Table1[],(MATCH(Calendar!$A6,DB!1:1,0)+2),FALSE),"")</f>
        <v/>
      </c>
      <c r="HBM6" s="27" t="str">
        <f>IFERROR(VLOOKUP(DATE($K$1,$K$2,HBM$4),Table1[],(MATCH(Calendar!$A6,DB!1:1,0)+2),FALSE),"")</f>
        <v/>
      </c>
      <c r="HBN6" s="27" t="str">
        <f>IFERROR(VLOOKUP(DATE($K$1,$K$2,HBN$4),Table1[],(MATCH(Calendar!$A6,DB!1:1,0)+2),FALSE),"")</f>
        <v/>
      </c>
      <c r="HBO6" s="27" t="str">
        <f>IFERROR(VLOOKUP(DATE($K$1,$K$2,HBO$4),Table1[],(MATCH(Calendar!$A6,DB!1:1,0)+2),FALSE),"")</f>
        <v/>
      </c>
      <c r="HBP6" s="27" t="str">
        <f>IFERROR(VLOOKUP(DATE($K$1,$K$2,HBP$4),Table1[],(MATCH(Calendar!$A6,DB!1:1,0)+2),FALSE),"")</f>
        <v/>
      </c>
      <c r="HBQ6" s="27" t="str">
        <f>IFERROR(VLOOKUP(DATE($K$1,$K$2,HBQ$4),Table1[],(MATCH(Calendar!$A6,DB!1:1,0)+2),FALSE),"")</f>
        <v/>
      </c>
      <c r="HBR6" s="27" t="str">
        <f>IFERROR(VLOOKUP(DATE($K$1,$K$2,HBR$4),Table1[],(MATCH(Calendar!$A6,DB!1:1,0)+2),FALSE),"")</f>
        <v/>
      </c>
      <c r="HBS6" s="27" t="str">
        <f>IFERROR(VLOOKUP(DATE($K$1,$K$2,HBS$4),Table1[],(MATCH(Calendar!$A6,DB!1:1,0)+2),FALSE),"")</f>
        <v/>
      </c>
      <c r="HBT6" s="27" t="str">
        <f>IFERROR(VLOOKUP(DATE($K$1,$K$2,HBT$4),Table1[],(MATCH(Calendar!$A6,DB!1:1,0)+2),FALSE),"")</f>
        <v/>
      </c>
      <c r="HBU6" s="27" t="str">
        <f>IFERROR(VLOOKUP(DATE($K$1,$K$2,HBU$4),Table1[],(MATCH(Calendar!$A6,DB!1:1,0)+2),FALSE),"")</f>
        <v/>
      </c>
      <c r="HBV6" s="27" t="str">
        <f>IFERROR(VLOOKUP(DATE($K$1,$K$2,HBV$4),Table1[],(MATCH(Calendar!$A6,DB!1:1,0)+2),FALSE),"")</f>
        <v/>
      </c>
      <c r="HBW6" s="27" t="str">
        <f>IFERROR(VLOOKUP(DATE($K$1,$K$2,HBW$4),Table1[],(MATCH(Calendar!$A6,DB!1:1,0)+2),FALSE),"")</f>
        <v/>
      </c>
      <c r="HBX6" s="27" t="str">
        <f>IFERROR(VLOOKUP(DATE($K$1,$K$2,HBX$4),Table1[],(MATCH(Calendar!$A6,DB!1:1,0)+2),FALSE),"")</f>
        <v/>
      </c>
      <c r="HBY6" s="27" t="str">
        <f>IFERROR(VLOOKUP(DATE($K$1,$K$2,HBY$4),Table1[],(MATCH(Calendar!$A6,DB!1:1,0)+2),FALSE),"")</f>
        <v/>
      </c>
      <c r="HBZ6" s="27" t="str">
        <f>IFERROR(VLOOKUP(DATE($K$1,$K$2,HBZ$4),Table1[],(MATCH(Calendar!$A6,DB!1:1,0)+2),FALSE),"")</f>
        <v/>
      </c>
      <c r="HCA6" s="27" t="str">
        <f>IFERROR(VLOOKUP(DATE($K$1,$K$2,HCA$4),Table1[],(MATCH(Calendar!$A6,DB!1:1,0)+2),FALSE),"")</f>
        <v/>
      </c>
      <c r="HCB6" s="27" t="str">
        <f>IFERROR(VLOOKUP(DATE($K$1,$K$2,HCB$4),Table1[],(MATCH(Calendar!$A6,DB!1:1,0)+2),FALSE),"")</f>
        <v/>
      </c>
      <c r="HCC6" s="27" t="str">
        <f>IFERROR(VLOOKUP(DATE($K$1,$K$2,HCC$4),Table1[],(MATCH(Calendar!$A6,DB!1:1,0)+2),FALSE),"")</f>
        <v/>
      </c>
      <c r="HCD6" s="27" t="str">
        <f>IFERROR(VLOOKUP(DATE($K$1,$K$2,HCD$4),Table1[],(MATCH(Calendar!$A6,DB!1:1,0)+2),FALSE),"")</f>
        <v/>
      </c>
      <c r="HCE6" s="27" t="str">
        <f>IFERROR(VLOOKUP(DATE($K$1,$K$2,HCE$4),Table1[],(MATCH(Calendar!$A6,DB!1:1,0)+2),FALSE),"")</f>
        <v/>
      </c>
      <c r="HCF6" s="27" t="str">
        <f>IFERROR(VLOOKUP(DATE($K$1,$K$2,HCF$4),Table1[],(MATCH(Calendar!$A6,DB!1:1,0)+2),FALSE),"")</f>
        <v/>
      </c>
      <c r="HCG6" s="27" t="str">
        <f>IFERROR(VLOOKUP(DATE($K$1,$K$2,HCG$4),Table1[],(MATCH(Calendar!$A6,DB!1:1,0)+2),FALSE),"")</f>
        <v/>
      </c>
      <c r="HCH6" s="27" t="str">
        <f>IFERROR(VLOOKUP(DATE($K$1,$K$2,HCH$4),Table1[],(MATCH(Calendar!$A6,DB!1:1,0)+2),FALSE),"")</f>
        <v/>
      </c>
      <c r="HCI6" s="27" t="str">
        <f>IFERROR(VLOOKUP(DATE($K$1,$K$2,HCI$4),Table1[],(MATCH(Calendar!$A6,DB!1:1,0)+2),FALSE),"")</f>
        <v/>
      </c>
      <c r="HCJ6" s="27" t="str">
        <f>IFERROR(VLOOKUP(DATE($K$1,$K$2,HCJ$4),Table1[],(MATCH(Calendar!$A6,DB!1:1,0)+2),FALSE),"")</f>
        <v/>
      </c>
      <c r="HCK6" s="27" t="str">
        <f>IFERROR(VLOOKUP(DATE($K$1,$K$2,HCK$4),Table1[],(MATCH(Calendar!$A6,DB!1:1,0)+2),FALSE),"")</f>
        <v/>
      </c>
      <c r="HCL6" s="27" t="str">
        <f>IFERROR(VLOOKUP(DATE($K$1,$K$2,HCL$4),Table1[],(MATCH(Calendar!$A6,DB!1:1,0)+2),FALSE),"")</f>
        <v/>
      </c>
      <c r="HCM6" s="27" t="str">
        <f>IFERROR(VLOOKUP(DATE($K$1,$K$2,HCM$4),Table1[],(MATCH(Calendar!$A6,DB!1:1,0)+2),FALSE),"")</f>
        <v/>
      </c>
      <c r="HCN6" s="27" t="str">
        <f>IFERROR(VLOOKUP(DATE($K$1,$K$2,HCN$4),Table1[],(MATCH(Calendar!$A6,DB!1:1,0)+2),FALSE),"")</f>
        <v/>
      </c>
      <c r="HCO6" s="27" t="str">
        <f>IFERROR(VLOOKUP(DATE($K$1,$K$2,HCO$4),Table1[],(MATCH(Calendar!$A6,DB!1:1,0)+2),FALSE),"")</f>
        <v/>
      </c>
      <c r="HCP6" s="27" t="str">
        <f>IFERROR(VLOOKUP(DATE($K$1,$K$2,HCP$4),Table1[],(MATCH(Calendar!$A6,DB!1:1,0)+2),FALSE),"")</f>
        <v/>
      </c>
      <c r="HCQ6" s="27" t="str">
        <f>IFERROR(VLOOKUP(DATE($K$1,$K$2,HCQ$4),Table1[],(MATCH(Calendar!$A6,DB!1:1,0)+2),FALSE),"")</f>
        <v/>
      </c>
      <c r="HCR6" s="27" t="str">
        <f>IFERROR(VLOOKUP(DATE($K$1,$K$2,HCR$4),Table1[],(MATCH(Calendar!$A6,DB!1:1,0)+2),FALSE),"")</f>
        <v/>
      </c>
      <c r="HCS6" s="27" t="str">
        <f>IFERROR(VLOOKUP(DATE($K$1,$K$2,HCS$4),Table1[],(MATCH(Calendar!$A6,DB!1:1,0)+2),FALSE),"")</f>
        <v/>
      </c>
      <c r="HCT6" s="27" t="str">
        <f>IFERROR(VLOOKUP(DATE($K$1,$K$2,HCT$4),Table1[],(MATCH(Calendar!$A6,DB!1:1,0)+2),FALSE),"")</f>
        <v/>
      </c>
      <c r="HCU6" s="27" t="str">
        <f>IFERROR(VLOOKUP(DATE($K$1,$K$2,HCU$4),Table1[],(MATCH(Calendar!$A6,DB!1:1,0)+2),FALSE),"")</f>
        <v/>
      </c>
      <c r="HCV6" s="27" t="str">
        <f>IFERROR(VLOOKUP(DATE($K$1,$K$2,HCV$4),Table1[],(MATCH(Calendar!$A6,DB!1:1,0)+2),FALSE),"")</f>
        <v/>
      </c>
      <c r="HCW6" s="27" t="str">
        <f>IFERROR(VLOOKUP(DATE($K$1,$K$2,HCW$4),Table1[],(MATCH(Calendar!$A6,DB!1:1,0)+2),FALSE),"")</f>
        <v/>
      </c>
      <c r="HCX6" s="27" t="str">
        <f>IFERROR(VLOOKUP(DATE($K$1,$K$2,HCX$4),Table1[],(MATCH(Calendar!$A6,DB!1:1,0)+2),FALSE),"")</f>
        <v/>
      </c>
      <c r="HCY6" s="27" t="str">
        <f>IFERROR(VLOOKUP(DATE($K$1,$K$2,HCY$4),Table1[],(MATCH(Calendar!$A6,DB!1:1,0)+2),FALSE),"")</f>
        <v/>
      </c>
      <c r="HCZ6" s="27" t="str">
        <f>IFERROR(VLOOKUP(DATE($K$1,$K$2,HCZ$4),Table1[],(MATCH(Calendar!$A6,DB!1:1,0)+2),FALSE),"")</f>
        <v/>
      </c>
      <c r="HDA6" s="27" t="str">
        <f>IFERROR(VLOOKUP(DATE($K$1,$K$2,HDA$4),Table1[],(MATCH(Calendar!$A6,DB!1:1,0)+2),FALSE),"")</f>
        <v/>
      </c>
      <c r="HDB6" s="27" t="str">
        <f>IFERROR(VLOOKUP(DATE($K$1,$K$2,HDB$4),Table1[],(MATCH(Calendar!$A6,DB!1:1,0)+2),FALSE),"")</f>
        <v/>
      </c>
      <c r="HDC6" s="27" t="str">
        <f>IFERROR(VLOOKUP(DATE($K$1,$K$2,HDC$4),Table1[],(MATCH(Calendar!$A6,DB!1:1,0)+2),FALSE),"")</f>
        <v/>
      </c>
      <c r="HDD6" s="27" t="str">
        <f>IFERROR(VLOOKUP(DATE($K$1,$K$2,HDD$4),Table1[],(MATCH(Calendar!$A6,DB!1:1,0)+2),FALSE),"")</f>
        <v/>
      </c>
      <c r="HDE6" s="27" t="str">
        <f>IFERROR(VLOOKUP(DATE($K$1,$K$2,HDE$4),Table1[],(MATCH(Calendar!$A6,DB!1:1,0)+2),FALSE),"")</f>
        <v/>
      </c>
      <c r="HDF6" s="27" t="str">
        <f>IFERROR(VLOOKUP(DATE($K$1,$K$2,HDF$4),Table1[],(MATCH(Calendar!$A6,DB!1:1,0)+2),FALSE),"")</f>
        <v/>
      </c>
      <c r="HDG6" s="27" t="str">
        <f>IFERROR(VLOOKUP(DATE($K$1,$K$2,HDG$4),Table1[],(MATCH(Calendar!$A6,DB!1:1,0)+2),FALSE),"")</f>
        <v/>
      </c>
      <c r="HDH6" s="27" t="str">
        <f>IFERROR(VLOOKUP(DATE($K$1,$K$2,HDH$4),Table1[],(MATCH(Calendar!$A6,DB!1:1,0)+2),FALSE),"")</f>
        <v/>
      </c>
      <c r="HDI6" s="27" t="str">
        <f>IFERROR(VLOOKUP(DATE($K$1,$K$2,HDI$4),Table1[],(MATCH(Calendar!$A6,DB!1:1,0)+2),FALSE),"")</f>
        <v/>
      </c>
      <c r="HDJ6" s="27" t="str">
        <f>IFERROR(VLOOKUP(DATE($K$1,$K$2,HDJ$4),Table1[],(MATCH(Calendar!$A6,DB!1:1,0)+2),FALSE),"")</f>
        <v/>
      </c>
      <c r="HDK6" s="27" t="str">
        <f>IFERROR(VLOOKUP(DATE($K$1,$K$2,HDK$4),Table1[],(MATCH(Calendar!$A6,DB!1:1,0)+2),FALSE),"")</f>
        <v/>
      </c>
      <c r="HDL6" s="27" t="str">
        <f>IFERROR(VLOOKUP(DATE($K$1,$K$2,HDL$4),Table1[],(MATCH(Calendar!$A6,DB!1:1,0)+2),FALSE),"")</f>
        <v/>
      </c>
      <c r="HDM6" s="27" t="str">
        <f>IFERROR(VLOOKUP(DATE($K$1,$K$2,HDM$4),Table1[],(MATCH(Calendar!$A6,DB!1:1,0)+2),FALSE),"")</f>
        <v/>
      </c>
      <c r="HDN6" s="27" t="str">
        <f>IFERROR(VLOOKUP(DATE($K$1,$K$2,HDN$4),Table1[],(MATCH(Calendar!$A6,DB!1:1,0)+2),FALSE),"")</f>
        <v/>
      </c>
      <c r="HDO6" s="27" t="str">
        <f>IFERROR(VLOOKUP(DATE($K$1,$K$2,HDO$4),Table1[],(MATCH(Calendar!$A6,DB!1:1,0)+2),FALSE),"")</f>
        <v/>
      </c>
      <c r="HDP6" s="27" t="str">
        <f>IFERROR(VLOOKUP(DATE($K$1,$K$2,HDP$4),Table1[],(MATCH(Calendar!$A6,DB!1:1,0)+2),FALSE),"")</f>
        <v/>
      </c>
      <c r="HDQ6" s="27" t="str">
        <f>IFERROR(VLOOKUP(DATE($K$1,$K$2,HDQ$4),Table1[],(MATCH(Calendar!$A6,DB!1:1,0)+2),FALSE),"")</f>
        <v/>
      </c>
      <c r="HDR6" s="27" t="str">
        <f>IFERROR(VLOOKUP(DATE($K$1,$K$2,HDR$4),Table1[],(MATCH(Calendar!$A6,DB!1:1,0)+2),FALSE),"")</f>
        <v/>
      </c>
      <c r="HDS6" s="27" t="str">
        <f>IFERROR(VLOOKUP(DATE($K$1,$K$2,HDS$4),Table1[],(MATCH(Calendar!$A6,DB!1:1,0)+2),FALSE),"")</f>
        <v/>
      </c>
      <c r="HDT6" s="27" t="str">
        <f>IFERROR(VLOOKUP(DATE($K$1,$K$2,HDT$4),Table1[],(MATCH(Calendar!$A6,DB!1:1,0)+2),FALSE),"")</f>
        <v/>
      </c>
      <c r="HDU6" s="27" t="str">
        <f>IFERROR(VLOOKUP(DATE($K$1,$K$2,HDU$4),Table1[],(MATCH(Calendar!$A6,DB!1:1,0)+2),FALSE),"")</f>
        <v/>
      </c>
      <c r="HDV6" s="27" t="str">
        <f>IFERROR(VLOOKUP(DATE($K$1,$K$2,HDV$4),Table1[],(MATCH(Calendar!$A6,DB!1:1,0)+2),FALSE),"")</f>
        <v/>
      </c>
      <c r="HDW6" s="27" t="str">
        <f>IFERROR(VLOOKUP(DATE($K$1,$K$2,HDW$4),Table1[],(MATCH(Calendar!$A6,DB!1:1,0)+2),FALSE),"")</f>
        <v/>
      </c>
      <c r="HDX6" s="27" t="str">
        <f>IFERROR(VLOOKUP(DATE($K$1,$K$2,HDX$4),Table1[],(MATCH(Calendar!$A6,DB!1:1,0)+2),FALSE),"")</f>
        <v/>
      </c>
      <c r="HDY6" s="27" t="str">
        <f>IFERROR(VLOOKUP(DATE($K$1,$K$2,HDY$4),Table1[],(MATCH(Calendar!$A6,DB!1:1,0)+2),FALSE),"")</f>
        <v/>
      </c>
      <c r="HDZ6" s="27" t="str">
        <f>IFERROR(VLOOKUP(DATE($K$1,$K$2,HDZ$4),Table1[],(MATCH(Calendar!$A6,DB!1:1,0)+2),FALSE),"")</f>
        <v/>
      </c>
      <c r="HEA6" s="27" t="str">
        <f>IFERROR(VLOOKUP(DATE($K$1,$K$2,HEA$4),Table1[],(MATCH(Calendar!$A6,DB!1:1,0)+2),FALSE),"")</f>
        <v/>
      </c>
      <c r="HEB6" s="27" t="str">
        <f>IFERROR(VLOOKUP(DATE($K$1,$K$2,HEB$4),Table1[],(MATCH(Calendar!$A6,DB!1:1,0)+2),FALSE),"")</f>
        <v/>
      </c>
      <c r="HEC6" s="27" t="str">
        <f>IFERROR(VLOOKUP(DATE($K$1,$K$2,HEC$4),Table1[],(MATCH(Calendar!$A6,DB!1:1,0)+2),FALSE),"")</f>
        <v/>
      </c>
      <c r="HED6" s="27" t="str">
        <f>IFERROR(VLOOKUP(DATE($K$1,$K$2,HED$4),Table1[],(MATCH(Calendar!$A6,DB!1:1,0)+2),FALSE),"")</f>
        <v/>
      </c>
      <c r="HEE6" s="27" t="str">
        <f>IFERROR(VLOOKUP(DATE($K$1,$K$2,HEE$4),Table1[],(MATCH(Calendar!$A6,DB!1:1,0)+2),FALSE),"")</f>
        <v/>
      </c>
      <c r="HEF6" s="27" t="str">
        <f>IFERROR(VLOOKUP(DATE($K$1,$K$2,HEF$4),Table1[],(MATCH(Calendar!$A6,DB!1:1,0)+2),FALSE),"")</f>
        <v/>
      </c>
      <c r="HEG6" s="27" t="str">
        <f>IFERROR(VLOOKUP(DATE($K$1,$K$2,HEG$4),Table1[],(MATCH(Calendar!$A6,DB!1:1,0)+2),FALSE),"")</f>
        <v/>
      </c>
      <c r="HEH6" s="27" t="str">
        <f>IFERROR(VLOOKUP(DATE($K$1,$K$2,HEH$4),Table1[],(MATCH(Calendar!$A6,DB!1:1,0)+2),FALSE),"")</f>
        <v/>
      </c>
      <c r="HEI6" s="27" t="str">
        <f>IFERROR(VLOOKUP(DATE($K$1,$K$2,HEI$4),Table1[],(MATCH(Calendar!$A6,DB!1:1,0)+2),FALSE),"")</f>
        <v/>
      </c>
      <c r="HEJ6" s="27" t="str">
        <f>IFERROR(VLOOKUP(DATE($K$1,$K$2,HEJ$4),Table1[],(MATCH(Calendar!$A6,DB!1:1,0)+2),FALSE),"")</f>
        <v/>
      </c>
      <c r="HEK6" s="27" t="str">
        <f>IFERROR(VLOOKUP(DATE($K$1,$K$2,HEK$4),Table1[],(MATCH(Calendar!$A6,DB!1:1,0)+2),FALSE),"")</f>
        <v/>
      </c>
      <c r="HEL6" s="27" t="str">
        <f>IFERROR(VLOOKUP(DATE($K$1,$K$2,HEL$4),Table1[],(MATCH(Calendar!$A6,DB!1:1,0)+2),FALSE),"")</f>
        <v/>
      </c>
      <c r="HEM6" s="27" t="str">
        <f>IFERROR(VLOOKUP(DATE($K$1,$K$2,HEM$4),Table1[],(MATCH(Calendar!$A6,DB!1:1,0)+2),FALSE),"")</f>
        <v/>
      </c>
      <c r="HEN6" s="27" t="str">
        <f>IFERROR(VLOOKUP(DATE($K$1,$K$2,HEN$4),Table1[],(MATCH(Calendar!$A6,DB!1:1,0)+2),FALSE),"")</f>
        <v/>
      </c>
      <c r="HEO6" s="27" t="str">
        <f>IFERROR(VLOOKUP(DATE($K$1,$K$2,HEO$4),Table1[],(MATCH(Calendar!$A6,DB!1:1,0)+2),FALSE),"")</f>
        <v/>
      </c>
      <c r="HEP6" s="27" t="str">
        <f>IFERROR(VLOOKUP(DATE($K$1,$K$2,HEP$4),Table1[],(MATCH(Calendar!$A6,DB!1:1,0)+2),FALSE),"")</f>
        <v/>
      </c>
      <c r="HEQ6" s="27" t="str">
        <f>IFERROR(VLOOKUP(DATE($K$1,$K$2,HEQ$4),Table1[],(MATCH(Calendar!$A6,DB!1:1,0)+2),FALSE),"")</f>
        <v/>
      </c>
      <c r="HER6" s="27" t="str">
        <f>IFERROR(VLOOKUP(DATE($K$1,$K$2,HER$4),Table1[],(MATCH(Calendar!$A6,DB!1:1,0)+2),FALSE),"")</f>
        <v/>
      </c>
      <c r="HES6" s="27" t="str">
        <f>IFERROR(VLOOKUP(DATE($K$1,$K$2,HES$4),Table1[],(MATCH(Calendar!$A6,DB!1:1,0)+2),FALSE),"")</f>
        <v/>
      </c>
      <c r="HET6" s="27" t="str">
        <f>IFERROR(VLOOKUP(DATE($K$1,$K$2,HET$4),Table1[],(MATCH(Calendar!$A6,DB!1:1,0)+2),FALSE),"")</f>
        <v/>
      </c>
      <c r="HEU6" s="27" t="str">
        <f>IFERROR(VLOOKUP(DATE($K$1,$K$2,HEU$4),Table1[],(MATCH(Calendar!$A6,DB!1:1,0)+2),FALSE),"")</f>
        <v/>
      </c>
      <c r="HEV6" s="27" t="str">
        <f>IFERROR(VLOOKUP(DATE($K$1,$K$2,HEV$4),Table1[],(MATCH(Calendar!$A6,DB!1:1,0)+2),FALSE),"")</f>
        <v/>
      </c>
      <c r="HEW6" s="27" t="str">
        <f>IFERROR(VLOOKUP(DATE($K$1,$K$2,HEW$4),Table1[],(MATCH(Calendar!$A6,DB!1:1,0)+2),FALSE),"")</f>
        <v/>
      </c>
      <c r="HEX6" s="27" t="str">
        <f>IFERROR(VLOOKUP(DATE($K$1,$K$2,HEX$4),Table1[],(MATCH(Calendar!$A6,DB!1:1,0)+2),FALSE),"")</f>
        <v/>
      </c>
      <c r="HEY6" s="27" t="str">
        <f>IFERROR(VLOOKUP(DATE($K$1,$K$2,HEY$4),Table1[],(MATCH(Calendar!$A6,DB!1:1,0)+2),FALSE),"")</f>
        <v/>
      </c>
      <c r="HEZ6" s="27" t="str">
        <f>IFERROR(VLOOKUP(DATE($K$1,$K$2,HEZ$4),Table1[],(MATCH(Calendar!$A6,DB!1:1,0)+2),FALSE),"")</f>
        <v/>
      </c>
      <c r="HFA6" s="27" t="str">
        <f>IFERROR(VLOOKUP(DATE($K$1,$K$2,HFA$4),Table1[],(MATCH(Calendar!$A6,DB!1:1,0)+2),FALSE),"")</f>
        <v/>
      </c>
      <c r="HFB6" s="27" t="str">
        <f>IFERROR(VLOOKUP(DATE($K$1,$K$2,HFB$4),Table1[],(MATCH(Calendar!$A6,DB!1:1,0)+2),FALSE),"")</f>
        <v/>
      </c>
      <c r="HFC6" s="27" t="str">
        <f>IFERROR(VLOOKUP(DATE($K$1,$K$2,HFC$4),Table1[],(MATCH(Calendar!$A6,DB!1:1,0)+2),FALSE),"")</f>
        <v/>
      </c>
      <c r="HFD6" s="27" t="str">
        <f>IFERROR(VLOOKUP(DATE($K$1,$K$2,HFD$4),Table1[],(MATCH(Calendar!$A6,DB!1:1,0)+2),FALSE),"")</f>
        <v/>
      </c>
      <c r="HFE6" s="27" t="str">
        <f>IFERROR(VLOOKUP(DATE($K$1,$K$2,HFE$4),Table1[],(MATCH(Calendar!$A6,DB!1:1,0)+2),FALSE),"")</f>
        <v/>
      </c>
      <c r="HFF6" s="27" t="str">
        <f>IFERROR(VLOOKUP(DATE($K$1,$K$2,HFF$4),Table1[],(MATCH(Calendar!$A6,DB!1:1,0)+2),FALSE),"")</f>
        <v/>
      </c>
      <c r="HFG6" s="27" t="str">
        <f>IFERROR(VLOOKUP(DATE($K$1,$K$2,HFG$4),Table1[],(MATCH(Calendar!$A6,DB!1:1,0)+2),FALSE),"")</f>
        <v/>
      </c>
      <c r="HFH6" s="27" t="str">
        <f>IFERROR(VLOOKUP(DATE($K$1,$K$2,HFH$4),Table1[],(MATCH(Calendar!$A6,DB!1:1,0)+2),FALSE),"")</f>
        <v/>
      </c>
      <c r="HFI6" s="27" t="str">
        <f>IFERROR(VLOOKUP(DATE($K$1,$K$2,HFI$4),Table1[],(MATCH(Calendar!$A6,DB!1:1,0)+2),FALSE),"")</f>
        <v/>
      </c>
      <c r="HFJ6" s="27" t="str">
        <f>IFERROR(VLOOKUP(DATE($K$1,$K$2,HFJ$4),Table1[],(MATCH(Calendar!$A6,DB!1:1,0)+2),FALSE),"")</f>
        <v/>
      </c>
      <c r="HFK6" s="27" t="str">
        <f>IFERROR(VLOOKUP(DATE($K$1,$K$2,HFK$4),Table1[],(MATCH(Calendar!$A6,DB!1:1,0)+2),FALSE),"")</f>
        <v/>
      </c>
      <c r="HFL6" s="27" t="str">
        <f>IFERROR(VLOOKUP(DATE($K$1,$K$2,HFL$4),Table1[],(MATCH(Calendar!$A6,DB!1:1,0)+2),FALSE),"")</f>
        <v/>
      </c>
      <c r="HFM6" s="27" t="str">
        <f>IFERROR(VLOOKUP(DATE($K$1,$K$2,HFM$4),Table1[],(MATCH(Calendar!$A6,DB!1:1,0)+2),FALSE),"")</f>
        <v/>
      </c>
      <c r="HFN6" s="27" t="str">
        <f>IFERROR(VLOOKUP(DATE($K$1,$K$2,HFN$4),Table1[],(MATCH(Calendar!$A6,DB!1:1,0)+2),FALSE),"")</f>
        <v/>
      </c>
      <c r="HFO6" s="27" t="str">
        <f>IFERROR(VLOOKUP(DATE($K$1,$K$2,HFO$4),Table1[],(MATCH(Calendar!$A6,DB!1:1,0)+2),FALSE),"")</f>
        <v/>
      </c>
      <c r="HFP6" s="27" t="str">
        <f>IFERROR(VLOOKUP(DATE($K$1,$K$2,HFP$4),Table1[],(MATCH(Calendar!$A6,DB!1:1,0)+2),FALSE),"")</f>
        <v/>
      </c>
      <c r="HFQ6" s="27" t="str">
        <f>IFERROR(VLOOKUP(DATE($K$1,$K$2,HFQ$4),Table1[],(MATCH(Calendar!$A6,DB!1:1,0)+2),FALSE),"")</f>
        <v/>
      </c>
      <c r="HFR6" s="27" t="str">
        <f>IFERROR(VLOOKUP(DATE($K$1,$K$2,HFR$4),Table1[],(MATCH(Calendar!$A6,DB!1:1,0)+2),FALSE),"")</f>
        <v/>
      </c>
      <c r="HFS6" s="27" t="str">
        <f>IFERROR(VLOOKUP(DATE($K$1,$K$2,HFS$4),Table1[],(MATCH(Calendar!$A6,DB!1:1,0)+2),FALSE),"")</f>
        <v/>
      </c>
      <c r="HFT6" s="27" t="str">
        <f>IFERROR(VLOOKUP(DATE($K$1,$K$2,HFT$4),Table1[],(MATCH(Calendar!$A6,DB!1:1,0)+2),FALSE),"")</f>
        <v/>
      </c>
      <c r="HFU6" s="27" t="str">
        <f>IFERROR(VLOOKUP(DATE($K$1,$K$2,HFU$4),Table1[],(MATCH(Calendar!$A6,DB!1:1,0)+2),FALSE),"")</f>
        <v/>
      </c>
      <c r="HFV6" s="27" t="str">
        <f>IFERROR(VLOOKUP(DATE($K$1,$K$2,HFV$4),Table1[],(MATCH(Calendar!$A6,DB!1:1,0)+2),FALSE),"")</f>
        <v/>
      </c>
      <c r="HFW6" s="27" t="str">
        <f>IFERROR(VLOOKUP(DATE($K$1,$K$2,HFW$4),Table1[],(MATCH(Calendar!$A6,DB!1:1,0)+2),FALSE),"")</f>
        <v/>
      </c>
      <c r="HFX6" s="27" t="str">
        <f>IFERROR(VLOOKUP(DATE($K$1,$K$2,HFX$4),Table1[],(MATCH(Calendar!$A6,DB!1:1,0)+2),FALSE),"")</f>
        <v/>
      </c>
      <c r="HFY6" s="27" t="str">
        <f>IFERROR(VLOOKUP(DATE($K$1,$K$2,HFY$4),Table1[],(MATCH(Calendar!$A6,DB!1:1,0)+2),FALSE),"")</f>
        <v/>
      </c>
      <c r="HFZ6" s="27" t="str">
        <f>IFERROR(VLOOKUP(DATE($K$1,$K$2,HFZ$4),Table1[],(MATCH(Calendar!$A6,DB!1:1,0)+2),FALSE),"")</f>
        <v/>
      </c>
      <c r="HGA6" s="27" t="str">
        <f>IFERROR(VLOOKUP(DATE($K$1,$K$2,HGA$4),Table1[],(MATCH(Calendar!$A6,DB!1:1,0)+2),FALSE),"")</f>
        <v/>
      </c>
      <c r="HGB6" s="27" t="str">
        <f>IFERROR(VLOOKUP(DATE($K$1,$K$2,HGB$4),Table1[],(MATCH(Calendar!$A6,DB!1:1,0)+2),FALSE),"")</f>
        <v/>
      </c>
      <c r="HGC6" s="27" t="str">
        <f>IFERROR(VLOOKUP(DATE($K$1,$K$2,HGC$4),Table1[],(MATCH(Calendar!$A6,DB!1:1,0)+2),FALSE),"")</f>
        <v/>
      </c>
      <c r="HGD6" s="27" t="str">
        <f>IFERROR(VLOOKUP(DATE($K$1,$K$2,HGD$4),Table1[],(MATCH(Calendar!$A6,DB!1:1,0)+2),FALSE),"")</f>
        <v/>
      </c>
      <c r="HGE6" s="27" t="str">
        <f>IFERROR(VLOOKUP(DATE($K$1,$K$2,HGE$4),Table1[],(MATCH(Calendar!$A6,DB!1:1,0)+2),FALSE),"")</f>
        <v/>
      </c>
      <c r="HGF6" s="27" t="str">
        <f>IFERROR(VLOOKUP(DATE($K$1,$K$2,HGF$4),Table1[],(MATCH(Calendar!$A6,DB!1:1,0)+2),FALSE),"")</f>
        <v/>
      </c>
      <c r="HGG6" s="27" t="str">
        <f>IFERROR(VLOOKUP(DATE($K$1,$K$2,HGG$4),Table1[],(MATCH(Calendar!$A6,DB!1:1,0)+2),FALSE),"")</f>
        <v/>
      </c>
      <c r="HGH6" s="27" t="str">
        <f>IFERROR(VLOOKUP(DATE($K$1,$K$2,HGH$4),Table1[],(MATCH(Calendar!$A6,DB!1:1,0)+2),FALSE),"")</f>
        <v/>
      </c>
      <c r="HGI6" s="27" t="str">
        <f>IFERROR(VLOOKUP(DATE($K$1,$K$2,HGI$4),Table1[],(MATCH(Calendar!$A6,DB!1:1,0)+2),FALSE),"")</f>
        <v/>
      </c>
      <c r="HGJ6" s="27" t="str">
        <f>IFERROR(VLOOKUP(DATE($K$1,$K$2,HGJ$4),Table1[],(MATCH(Calendar!$A6,DB!1:1,0)+2),FALSE),"")</f>
        <v/>
      </c>
      <c r="HGK6" s="27" t="str">
        <f>IFERROR(VLOOKUP(DATE($K$1,$K$2,HGK$4),Table1[],(MATCH(Calendar!$A6,DB!1:1,0)+2),FALSE),"")</f>
        <v/>
      </c>
      <c r="HGL6" s="27" t="str">
        <f>IFERROR(VLOOKUP(DATE($K$1,$K$2,HGL$4),Table1[],(MATCH(Calendar!$A6,DB!1:1,0)+2),FALSE),"")</f>
        <v/>
      </c>
      <c r="HGM6" s="27" t="str">
        <f>IFERROR(VLOOKUP(DATE($K$1,$K$2,HGM$4),Table1[],(MATCH(Calendar!$A6,DB!1:1,0)+2),FALSE),"")</f>
        <v/>
      </c>
      <c r="HGN6" s="27" t="str">
        <f>IFERROR(VLOOKUP(DATE($K$1,$K$2,HGN$4),Table1[],(MATCH(Calendar!$A6,DB!1:1,0)+2),FALSE),"")</f>
        <v/>
      </c>
      <c r="HGO6" s="27" t="str">
        <f>IFERROR(VLOOKUP(DATE($K$1,$K$2,HGO$4),Table1[],(MATCH(Calendar!$A6,DB!1:1,0)+2),FALSE),"")</f>
        <v/>
      </c>
      <c r="HGP6" s="27" t="str">
        <f>IFERROR(VLOOKUP(DATE($K$1,$K$2,HGP$4),Table1[],(MATCH(Calendar!$A6,DB!1:1,0)+2),FALSE),"")</f>
        <v/>
      </c>
      <c r="HGQ6" s="27" t="str">
        <f>IFERROR(VLOOKUP(DATE($K$1,$K$2,HGQ$4),Table1[],(MATCH(Calendar!$A6,DB!1:1,0)+2),FALSE),"")</f>
        <v/>
      </c>
      <c r="HGR6" s="27" t="str">
        <f>IFERROR(VLOOKUP(DATE($K$1,$K$2,HGR$4),Table1[],(MATCH(Calendar!$A6,DB!1:1,0)+2),FALSE),"")</f>
        <v/>
      </c>
      <c r="HGS6" s="27" t="str">
        <f>IFERROR(VLOOKUP(DATE($K$1,$K$2,HGS$4),Table1[],(MATCH(Calendar!$A6,DB!1:1,0)+2),FALSE),"")</f>
        <v/>
      </c>
      <c r="HGT6" s="27" t="str">
        <f>IFERROR(VLOOKUP(DATE($K$1,$K$2,HGT$4),Table1[],(MATCH(Calendar!$A6,DB!1:1,0)+2),FALSE),"")</f>
        <v/>
      </c>
      <c r="HGU6" s="27" t="str">
        <f>IFERROR(VLOOKUP(DATE($K$1,$K$2,HGU$4),Table1[],(MATCH(Calendar!$A6,DB!1:1,0)+2),FALSE),"")</f>
        <v/>
      </c>
      <c r="HGV6" s="27" t="str">
        <f>IFERROR(VLOOKUP(DATE($K$1,$K$2,HGV$4),Table1[],(MATCH(Calendar!$A6,DB!1:1,0)+2),FALSE),"")</f>
        <v/>
      </c>
      <c r="HGW6" s="27" t="str">
        <f>IFERROR(VLOOKUP(DATE($K$1,$K$2,HGW$4),Table1[],(MATCH(Calendar!$A6,DB!1:1,0)+2),FALSE),"")</f>
        <v/>
      </c>
      <c r="HGX6" s="27" t="str">
        <f>IFERROR(VLOOKUP(DATE($K$1,$K$2,HGX$4),Table1[],(MATCH(Calendar!$A6,DB!1:1,0)+2),FALSE),"")</f>
        <v/>
      </c>
      <c r="HGY6" s="27" t="str">
        <f>IFERROR(VLOOKUP(DATE($K$1,$K$2,HGY$4),Table1[],(MATCH(Calendar!$A6,DB!1:1,0)+2),FALSE),"")</f>
        <v/>
      </c>
      <c r="HGZ6" s="27" t="str">
        <f>IFERROR(VLOOKUP(DATE($K$1,$K$2,HGZ$4),Table1[],(MATCH(Calendar!$A6,DB!1:1,0)+2),FALSE),"")</f>
        <v/>
      </c>
      <c r="HHA6" s="27" t="str">
        <f>IFERROR(VLOOKUP(DATE($K$1,$K$2,HHA$4),Table1[],(MATCH(Calendar!$A6,DB!1:1,0)+2),FALSE),"")</f>
        <v/>
      </c>
      <c r="HHB6" s="27" t="str">
        <f>IFERROR(VLOOKUP(DATE($K$1,$K$2,HHB$4),Table1[],(MATCH(Calendar!$A6,DB!1:1,0)+2),FALSE),"")</f>
        <v/>
      </c>
      <c r="HHC6" s="27" t="str">
        <f>IFERROR(VLOOKUP(DATE($K$1,$K$2,HHC$4),Table1[],(MATCH(Calendar!$A6,DB!1:1,0)+2),FALSE),"")</f>
        <v/>
      </c>
      <c r="HHD6" s="27" t="str">
        <f>IFERROR(VLOOKUP(DATE($K$1,$K$2,HHD$4),Table1[],(MATCH(Calendar!$A6,DB!1:1,0)+2),FALSE),"")</f>
        <v/>
      </c>
      <c r="HHE6" s="27" t="str">
        <f>IFERROR(VLOOKUP(DATE($K$1,$K$2,HHE$4),Table1[],(MATCH(Calendar!$A6,DB!1:1,0)+2),FALSE),"")</f>
        <v/>
      </c>
      <c r="HHF6" s="27" t="str">
        <f>IFERROR(VLOOKUP(DATE($K$1,$K$2,HHF$4),Table1[],(MATCH(Calendar!$A6,DB!1:1,0)+2),FALSE),"")</f>
        <v/>
      </c>
      <c r="HHG6" s="27" t="str">
        <f>IFERROR(VLOOKUP(DATE($K$1,$K$2,HHG$4),Table1[],(MATCH(Calendar!$A6,DB!1:1,0)+2),FALSE),"")</f>
        <v/>
      </c>
      <c r="HHH6" s="27" t="str">
        <f>IFERROR(VLOOKUP(DATE($K$1,$K$2,HHH$4),Table1[],(MATCH(Calendar!$A6,DB!1:1,0)+2),FALSE),"")</f>
        <v/>
      </c>
      <c r="HHI6" s="27" t="str">
        <f>IFERROR(VLOOKUP(DATE($K$1,$K$2,HHI$4),Table1[],(MATCH(Calendar!$A6,DB!1:1,0)+2),FALSE),"")</f>
        <v/>
      </c>
      <c r="HHJ6" s="27" t="str">
        <f>IFERROR(VLOOKUP(DATE($K$1,$K$2,HHJ$4),Table1[],(MATCH(Calendar!$A6,DB!1:1,0)+2),FALSE),"")</f>
        <v/>
      </c>
      <c r="HHK6" s="27" t="str">
        <f>IFERROR(VLOOKUP(DATE($K$1,$K$2,HHK$4),Table1[],(MATCH(Calendar!$A6,DB!1:1,0)+2),FALSE),"")</f>
        <v/>
      </c>
      <c r="HHL6" s="27" t="str">
        <f>IFERROR(VLOOKUP(DATE($K$1,$K$2,HHL$4),Table1[],(MATCH(Calendar!$A6,DB!1:1,0)+2),FALSE),"")</f>
        <v/>
      </c>
      <c r="HHM6" s="27" t="str">
        <f>IFERROR(VLOOKUP(DATE($K$1,$K$2,HHM$4),Table1[],(MATCH(Calendar!$A6,DB!1:1,0)+2),FALSE),"")</f>
        <v/>
      </c>
      <c r="HHN6" s="27" t="str">
        <f>IFERROR(VLOOKUP(DATE($K$1,$K$2,HHN$4),Table1[],(MATCH(Calendar!$A6,DB!1:1,0)+2),FALSE),"")</f>
        <v/>
      </c>
      <c r="HHO6" s="27" t="str">
        <f>IFERROR(VLOOKUP(DATE($K$1,$K$2,HHO$4),Table1[],(MATCH(Calendar!$A6,DB!1:1,0)+2),FALSE),"")</f>
        <v/>
      </c>
      <c r="HHP6" s="27" t="str">
        <f>IFERROR(VLOOKUP(DATE($K$1,$K$2,HHP$4),Table1[],(MATCH(Calendar!$A6,DB!1:1,0)+2),FALSE),"")</f>
        <v/>
      </c>
      <c r="HHQ6" s="27" t="str">
        <f>IFERROR(VLOOKUP(DATE($K$1,$K$2,HHQ$4),Table1[],(MATCH(Calendar!$A6,DB!1:1,0)+2),FALSE),"")</f>
        <v/>
      </c>
      <c r="HHR6" s="27" t="str">
        <f>IFERROR(VLOOKUP(DATE($K$1,$K$2,HHR$4),Table1[],(MATCH(Calendar!$A6,DB!1:1,0)+2),FALSE),"")</f>
        <v/>
      </c>
      <c r="HHS6" s="27" t="str">
        <f>IFERROR(VLOOKUP(DATE($K$1,$K$2,HHS$4),Table1[],(MATCH(Calendar!$A6,DB!1:1,0)+2),FALSE),"")</f>
        <v/>
      </c>
      <c r="HHT6" s="27" t="str">
        <f>IFERROR(VLOOKUP(DATE($K$1,$K$2,HHT$4),Table1[],(MATCH(Calendar!$A6,DB!1:1,0)+2),FALSE),"")</f>
        <v/>
      </c>
      <c r="HHU6" s="27" t="str">
        <f>IFERROR(VLOOKUP(DATE($K$1,$K$2,HHU$4),Table1[],(MATCH(Calendar!$A6,DB!1:1,0)+2),FALSE),"")</f>
        <v/>
      </c>
      <c r="HHV6" s="27" t="str">
        <f>IFERROR(VLOOKUP(DATE($K$1,$K$2,HHV$4),Table1[],(MATCH(Calendar!$A6,DB!1:1,0)+2),FALSE),"")</f>
        <v/>
      </c>
      <c r="HHW6" s="27" t="str">
        <f>IFERROR(VLOOKUP(DATE($K$1,$K$2,HHW$4),Table1[],(MATCH(Calendar!$A6,DB!1:1,0)+2),FALSE),"")</f>
        <v/>
      </c>
      <c r="HHX6" s="27" t="str">
        <f>IFERROR(VLOOKUP(DATE($K$1,$K$2,HHX$4),Table1[],(MATCH(Calendar!$A6,DB!1:1,0)+2),FALSE),"")</f>
        <v/>
      </c>
      <c r="HHY6" s="27" t="str">
        <f>IFERROR(VLOOKUP(DATE($K$1,$K$2,HHY$4),Table1[],(MATCH(Calendar!$A6,DB!1:1,0)+2),FALSE),"")</f>
        <v/>
      </c>
      <c r="HHZ6" s="27" t="str">
        <f>IFERROR(VLOOKUP(DATE($K$1,$K$2,HHZ$4),Table1[],(MATCH(Calendar!$A6,DB!1:1,0)+2),FALSE),"")</f>
        <v/>
      </c>
      <c r="HIA6" s="27" t="str">
        <f>IFERROR(VLOOKUP(DATE($K$1,$K$2,HIA$4),Table1[],(MATCH(Calendar!$A6,DB!1:1,0)+2),FALSE),"")</f>
        <v/>
      </c>
      <c r="HIB6" s="27" t="str">
        <f>IFERROR(VLOOKUP(DATE($K$1,$K$2,HIB$4),Table1[],(MATCH(Calendar!$A6,DB!1:1,0)+2),FALSE),"")</f>
        <v/>
      </c>
      <c r="HIC6" s="27" t="str">
        <f>IFERROR(VLOOKUP(DATE($K$1,$K$2,HIC$4),Table1[],(MATCH(Calendar!$A6,DB!1:1,0)+2),FALSE),"")</f>
        <v/>
      </c>
      <c r="HID6" s="27" t="str">
        <f>IFERROR(VLOOKUP(DATE($K$1,$K$2,HID$4),Table1[],(MATCH(Calendar!$A6,DB!1:1,0)+2),FALSE),"")</f>
        <v/>
      </c>
      <c r="HIE6" s="27" t="str">
        <f>IFERROR(VLOOKUP(DATE($K$1,$K$2,HIE$4),Table1[],(MATCH(Calendar!$A6,DB!1:1,0)+2),FALSE),"")</f>
        <v/>
      </c>
      <c r="HIF6" s="27" t="str">
        <f>IFERROR(VLOOKUP(DATE($K$1,$K$2,HIF$4),Table1[],(MATCH(Calendar!$A6,DB!1:1,0)+2),FALSE),"")</f>
        <v/>
      </c>
      <c r="HIG6" s="27" t="str">
        <f>IFERROR(VLOOKUP(DATE($K$1,$K$2,HIG$4),Table1[],(MATCH(Calendar!$A6,DB!1:1,0)+2),FALSE),"")</f>
        <v/>
      </c>
      <c r="HIH6" s="27" t="str">
        <f>IFERROR(VLOOKUP(DATE($K$1,$K$2,HIH$4),Table1[],(MATCH(Calendar!$A6,DB!1:1,0)+2),FALSE),"")</f>
        <v/>
      </c>
      <c r="HII6" s="27" t="str">
        <f>IFERROR(VLOOKUP(DATE($K$1,$K$2,HII$4),Table1[],(MATCH(Calendar!$A6,DB!1:1,0)+2),FALSE),"")</f>
        <v/>
      </c>
      <c r="HIJ6" s="27" t="str">
        <f>IFERROR(VLOOKUP(DATE($K$1,$K$2,HIJ$4),Table1[],(MATCH(Calendar!$A6,DB!1:1,0)+2),FALSE),"")</f>
        <v/>
      </c>
      <c r="HIK6" s="27" t="str">
        <f>IFERROR(VLOOKUP(DATE($K$1,$K$2,HIK$4),Table1[],(MATCH(Calendar!$A6,DB!1:1,0)+2),FALSE),"")</f>
        <v/>
      </c>
      <c r="HIL6" s="27" t="str">
        <f>IFERROR(VLOOKUP(DATE($K$1,$K$2,HIL$4),Table1[],(MATCH(Calendar!$A6,DB!1:1,0)+2),FALSE),"")</f>
        <v/>
      </c>
      <c r="HIM6" s="27" t="str">
        <f>IFERROR(VLOOKUP(DATE($K$1,$K$2,HIM$4),Table1[],(MATCH(Calendar!$A6,DB!1:1,0)+2),FALSE),"")</f>
        <v/>
      </c>
      <c r="HIN6" s="27" t="str">
        <f>IFERROR(VLOOKUP(DATE($K$1,$K$2,HIN$4),Table1[],(MATCH(Calendar!$A6,DB!1:1,0)+2),FALSE),"")</f>
        <v/>
      </c>
      <c r="HIO6" s="27" t="str">
        <f>IFERROR(VLOOKUP(DATE($K$1,$K$2,HIO$4),Table1[],(MATCH(Calendar!$A6,DB!1:1,0)+2),FALSE),"")</f>
        <v/>
      </c>
      <c r="HIP6" s="27" t="str">
        <f>IFERROR(VLOOKUP(DATE($K$1,$K$2,HIP$4),Table1[],(MATCH(Calendar!$A6,DB!1:1,0)+2),FALSE),"")</f>
        <v/>
      </c>
      <c r="HIQ6" s="27" t="str">
        <f>IFERROR(VLOOKUP(DATE($K$1,$K$2,HIQ$4),Table1[],(MATCH(Calendar!$A6,DB!1:1,0)+2),FALSE),"")</f>
        <v/>
      </c>
      <c r="HIR6" s="27" t="str">
        <f>IFERROR(VLOOKUP(DATE($K$1,$K$2,HIR$4),Table1[],(MATCH(Calendar!$A6,DB!1:1,0)+2),FALSE),"")</f>
        <v/>
      </c>
      <c r="HIS6" s="27" t="str">
        <f>IFERROR(VLOOKUP(DATE($K$1,$K$2,HIS$4),Table1[],(MATCH(Calendar!$A6,DB!1:1,0)+2),FALSE),"")</f>
        <v/>
      </c>
      <c r="HIT6" s="27" t="str">
        <f>IFERROR(VLOOKUP(DATE($K$1,$K$2,HIT$4),Table1[],(MATCH(Calendar!$A6,DB!1:1,0)+2),FALSE),"")</f>
        <v/>
      </c>
      <c r="HIU6" s="27" t="str">
        <f>IFERROR(VLOOKUP(DATE($K$1,$K$2,HIU$4),Table1[],(MATCH(Calendar!$A6,DB!1:1,0)+2),FALSE),"")</f>
        <v/>
      </c>
      <c r="HIV6" s="27" t="str">
        <f>IFERROR(VLOOKUP(DATE($K$1,$K$2,HIV$4),Table1[],(MATCH(Calendar!$A6,DB!1:1,0)+2),FALSE),"")</f>
        <v/>
      </c>
      <c r="HIW6" s="27" t="str">
        <f>IFERROR(VLOOKUP(DATE($K$1,$K$2,HIW$4),Table1[],(MATCH(Calendar!$A6,DB!1:1,0)+2),FALSE),"")</f>
        <v/>
      </c>
      <c r="HIX6" s="27" t="str">
        <f>IFERROR(VLOOKUP(DATE($K$1,$K$2,HIX$4),Table1[],(MATCH(Calendar!$A6,DB!1:1,0)+2),FALSE),"")</f>
        <v/>
      </c>
      <c r="HIY6" s="27" t="str">
        <f>IFERROR(VLOOKUP(DATE($K$1,$K$2,HIY$4),Table1[],(MATCH(Calendar!$A6,DB!1:1,0)+2),FALSE),"")</f>
        <v/>
      </c>
      <c r="HIZ6" s="27" t="str">
        <f>IFERROR(VLOOKUP(DATE($K$1,$K$2,HIZ$4),Table1[],(MATCH(Calendar!$A6,DB!1:1,0)+2),FALSE),"")</f>
        <v/>
      </c>
      <c r="HJA6" s="27" t="str">
        <f>IFERROR(VLOOKUP(DATE($K$1,$K$2,HJA$4),Table1[],(MATCH(Calendar!$A6,DB!1:1,0)+2),FALSE),"")</f>
        <v/>
      </c>
      <c r="HJB6" s="27" t="str">
        <f>IFERROR(VLOOKUP(DATE($K$1,$K$2,HJB$4),Table1[],(MATCH(Calendar!$A6,DB!1:1,0)+2),FALSE),"")</f>
        <v/>
      </c>
      <c r="HJC6" s="27" t="str">
        <f>IFERROR(VLOOKUP(DATE($K$1,$K$2,HJC$4),Table1[],(MATCH(Calendar!$A6,DB!1:1,0)+2),FALSE),"")</f>
        <v/>
      </c>
      <c r="HJD6" s="27" t="str">
        <f>IFERROR(VLOOKUP(DATE($K$1,$K$2,HJD$4),Table1[],(MATCH(Calendar!$A6,DB!1:1,0)+2),FALSE),"")</f>
        <v/>
      </c>
      <c r="HJE6" s="27" t="str">
        <f>IFERROR(VLOOKUP(DATE($K$1,$K$2,HJE$4),Table1[],(MATCH(Calendar!$A6,DB!1:1,0)+2),FALSE),"")</f>
        <v/>
      </c>
      <c r="HJF6" s="27" t="str">
        <f>IFERROR(VLOOKUP(DATE($K$1,$K$2,HJF$4),Table1[],(MATCH(Calendar!$A6,DB!1:1,0)+2),FALSE),"")</f>
        <v/>
      </c>
      <c r="HJG6" s="27" t="str">
        <f>IFERROR(VLOOKUP(DATE($K$1,$K$2,HJG$4),Table1[],(MATCH(Calendar!$A6,DB!1:1,0)+2),FALSE),"")</f>
        <v/>
      </c>
      <c r="HJH6" s="27" t="str">
        <f>IFERROR(VLOOKUP(DATE($K$1,$K$2,HJH$4),Table1[],(MATCH(Calendar!$A6,DB!1:1,0)+2),FALSE),"")</f>
        <v/>
      </c>
      <c r="HJI6" s="27" t="str">
        <f>IFERROR(VLOOKUP(DATE($K$1,$K$2,HJI$4),Table1[],(MATCH(Calendar!$A6,DB!1:1,0)+2),FALSE),"")</f>
        <v/>
      </c>
      <c r="HJJ6" s="27" t="str">
        <f>IFERROR(VLOOKUP(DATE($K$1,$K$2,HJJ$4),Table1[],(MATCH(Calendar!$A6,DB!1:1,0)+2),FALSE),"")</f>
        <v/>
      </c>
      <c r="HJK6" s="27" t="str">
        <f>IFERROR(VLOOKUP(DATE($K$1,$K$2,HJK$4),Table1[],(MATCH(Calendar!$A6,DB!1:1,0)+2),FALSE),"")</f>
        <v/>
      </c>
      <c r="HJL6" s="27" t="str">
        <f>IFERROR(VLOOKUP(DATE($K$1,$K$2,HJL$4),Table1[],(MATCH(Calendar!$A6,DB!1:1,0)+2),FALSE),"")</f>
        <v/>
      </c>
      <c r="HJM6" s="27" t="str">
        <f>IFERROR(VLOOKUP(DATE($K$1,$K$2,HJM$4),Table1[],(MATCH(Calendar!$A6,DB!1:1,0)+2),FALSE),"")</f>
        <v/>
      </c>
      <c r="HJN6" s="27" t="str">
        <f>IFERROR(VLOOKUP(DATE($K$1,$K$2,HJN$4),Table1[],(MATCH(Calendar!$A6,DB!1:1,0)+2),FALSE),"")</f>
        <v/>
      </c>
      <c r="HJO6" s="27" t="str">
        <f>IFERROR(VLOOKUP(DATE($K$1,$K$2,HJO$4),Table1[],(MATCH(Calendar!$A6,DB!1:1,0)+2),FALSE),"")</f>
        <v/>
      </c>
      <c r="HJP6" s="27" t="str">
        <f>IFERROR(VLOOKUP(DATE($K$1,$K$2,HJP$4),Table1[],(MATCH(Calendar!$A6,DB!1:1,0)+2),FALSE),"")</f>
        <v/>
      </c>
      <c r="HJQ6" s="27" t="str">
        <f>IFERROR(VLOOKUP(DATE($K$1,$K$2,HJQ$4),Table1[],(MATCH(Calendar!$A6,DB!1:1,0)+2),FALSE),"")</f>
        <v/>
      </c>
      <c r="HJR6" s="27" t="str">
        <f>IFERROR(VLOOKUP(DATE($K$1,$K$2,HJR$4),Table1[],(MATCH(Calendar!$A6,DB!1:1,0)+2),FALSE),"")</f>
        <v/>
      </c>
      <c r="HJS6" s="27" t="str">
        <f>IFERROR(VLOOKUP(DATE($K$1,$K$2,HJS$4),Table1[],(MATCH(Calendar!$A6,DB!1:1,0)+2),FALSE),"")</f>
        <v/>
      </c>
      <c r="HJT6" s="27" t="str">
        <f>IFERROR(VLOOKUP(DATE($K$1,$K$2,HJT$4),Table1[],(MATCH(Calendar!$A6,DB!1:1,0)+2),FALSE),"")</f>
        <v/>
      </c>
      <c r="HJU6" s="27" t="str">
        <f>IFERROR(VLOOKUP(DATE($K$1,$K$2,HJU$4),Table1[],(MATCH(Calendar!$A6,DB!1:1,0)+2),FALSE),"")</f>
        <v/>
      </c>
      <c r="HJV6" s="27" t="str">
        <f>IFERROR(VLOOKUP(DATE($K$1,$K$2,HJV$4),Table1[],(MATCH(Calendar!$A6,DB!1:1,0)+2),FALSE),"")</f>
        <v/>
      </c>
      <c r="HJW6" s="27" t="str">
        <f>IFERROR(VLOOKUP(DATE($K$1,$K$2,HJW$4),Table1[],(MATCH(Calendar!$A6,DB!1:1,0)+2),FALSE),"")</f>
        <v/>
      </c>
      <c r="HJX6" s="27" t="str">
        <f>IFERROR(VLOOKUP(DATE($K$1,$K$2,HJX$4),Table1[],(MATCH(Calendar!$A6,DB!1:1,0)+2),FALSE),"")</f>
        <v/>
      </c>
      <c r="HJY6" s="27" t="str">
        <f>IFERROR(VLOOKUP(DATE($K$1,$K$2,HJY$4),Table1[],(MATCH(Calendar!$A6,DB!1:1,0)+2),FALSE),"")</f>
        <v/>
      </c>
      <c r="HJZ6" s="27" t="str">
        <f>IFERROR(VLOOKUP(DATE($K$1,$K$2,HJZ$4),Table1[],(MATCH(Calendar!$A6,DB!1:1,0)+2),FALSE),"")</f>
        <v/>
      </c>
      <c r="HKA6" s="27" t="str">
        <f>IFERROR(VLOOKUP(DATE($K$1,$K$2,HKA$4),Table1[],(MATCH(Calendar!$A6,DB!1:1,0)+2),FALSE),"")</f>
        <v/>
      </c>
      <c r="HKB6" s="27" t="str">
        <f>IFERROR(VLOOKUP(DATE($K$1,$K$2,HKB$4),Table1[],(MATCH(Calendar!$A6,DB!1:1,0)+2),FALSE),"")</f>
        <v/>
      </c>
      <c r="HKC6" s="27" t="str">
        <f>IFERROR(VLOOKUP(DATE($K$1,$K$2,HKC$4),Table1[],(MATCH(Calendar!$A6,DB!1:1,0)+2),FALSE),"")</f>
        <v/>
      </c>
      <c r="HKD6" s="27" t="str">
        <f>IFERROR(VLOOKUP(DATE($K$1,$K$2,HKD$4),Table1[],(MATCH(Calendar!$A6,DB!1:1,0)+2),FALSE),"")</f>
        <v/>
      </c>
      <c r="HKE6" s="27" t="str">
        <f>IFERROR(VLOOKUP(DATE($K$1,$K$2,HKE$4),Table1[],(MATCH(Calendar!$A6,DB!1:1,0)+2),FALSE),"")</f>
        <v/>
      </c>
      <c r="HKF6" s="27" t="str">
        <f>IFERROR(VLOOKUP(DATE($K$1,$K$2,HKF$4),Table1[],(MATCH(Calendar!$A6,DB!1:1,0)+2),FALSE),"")</f>
        <v/>
      </c>
      <c r="HKG6" s="27" t="str">
        <f>IFERROR(VLOOKUP(DATE($K$1,$K$2,HKG$4),Table1[],(MATCH(Calendar!$A6,DB!1:1,0)+2),FALSE),"")</f>
        <v/>
      </c>
      <c r="HKH6" s="27" t="str">
        <f>IFERROR(VLOOKUP(DATE($K$1,$K$2,HKH$4),Table1[],(MATCH(Calendar!$A6,DB!1:1,0)+2),FALSE),"")</f>
        <v/>
      </c>
      <c r="HKI6" s="27" t="str">
        <f>IFERROR(VLOOKUP(DATE($K$1,$K$2,HKI$4),Table1[],(MATCH(Calendar!$A6,DB!1:1,0)+2),FALSE),"")</f>
        <v/>
      </c>
      <c r="HKJ6" s="27" t="str">
        <f>IFERROR(VLOOKUP(DATE($K$1,$K$2,HKJ$4),Table1[],(MATCH(Calendar!$A6,DB!1:1,0)+2),FALSE),"")</f>
        <v/>
      </c>
      <c r="HKK6" s="27" t="str">
        <f>IFERROR(VLOOKUP(DATE($K$1,$K$2,HKK$4),Table1[],(MATCH(Calendar!$A6,DB!1:1,0)+2),FALSE),"")</f>
        <v/>
      </c>
      <c r="HKL6" s="27" t="str">
        <f>IFERROR(VLOOKUP(DATE($K$1,$K$2,HKL$4),Table1[],(MATCH(Calendar!$A6,DB!1:1,0)+2),FALSE),"")</f>
        <v/>
      </c>
      <c r="HKM6" s="27" t="str">
        <f>IFERROR(VLOOKUP(DATE($K$1,$K$2,HKM$4),Table1[],(MATCH(Calendar!$A6,DB!1:1,0)+2),FALSE),"")</f>
        <v/>
      </c>
      <c r="HKN6" s="27" t="str">
        <f>IFERROR(VLOOKUP(DATE($K$1,$K$2,HKN$4),Table1[],(MATCH(Calendar!$A6,DB!1:1,0)+2),FALSE),"")</f>
        <v/>
      </c>
      <c r="HKO6" s="27" t="str">
        <f>IFERROR(VLOOKUP(DATE($K$1,$K$2,HKO$4),Table1[],(MATCH(Calendar!$A6,DB!1:1,0)+2),FALSE),"")</f>
        <v/>
      </c>
      <c r="HKP6" s="27" t="str">
        <f>IFERROR(VLOOKUP(DATE($K$1,$K$2,HKP$4),Table1[],(MATCH(Calendar!$A6,DB!1:1,0)+2),FALSE),"")</f>
        <v/>
      </c>
      <c r="HKQ6" s="27" t="str">
        <f>IFERROR(VLOOKUP(DATE($K$1,$K$2,HKQ$4),Table1[],(MATCH(Calendar!$A6,DB!1:1,0)+2),FALSE),"")</f>
        <v/>
      </c>
      <c r="HKR6" s="27" t="str">
        <f>IFERROR(VLOOKUP(DATE($K$1,$K$2,HKR$4),Table1[],(MATCH(Calendar!$A6,DB!1:1,0)+2),FALSE),"")</f>
        <v/>
      </c>
      <c r="HKS6" s="27" t="str">
        <f>IFERROR(VLOOKUP(DATE($K$1,$K$2,HKS$4),Table1[],(MATCH(Calendar!$A6,DB!1:1,0)+2),FALSE),"")</f>
        <v/>
      </c>
      <c r="HKT6" s="27" t="str">
        <f>IFERROR(VLOOKUP(DATE($K$1,$K$2,HKT$4),Table1[],(MATCH(Calendar!$A6,DB!1:1,0)+2),FALSE),"")</f>
        <v/>
      </c>
      <c r="HKU6" s="27" t="str">
        <f>IFERROR(VLOOKUP(DATE($K$1,$K$2,HKU$4),Table1[],(MATCH(Calendar!$A6,DB!1:1,0)+2),FALSE),"")</f>
        <v/>
      </c>
      <c r="HKV6" s="27" t="str">
        <f>IFERROR(VLOOKUP(DATE($K$1,$K$2,HKV$4),Table1[],(MATCH(Calendar!$A6,DB!1:1,0)+2),FALSE),"")</f>
        <v/>
      </c>
      <c r="HKW6" s="27" t="str">
        <f>IFERROR(VLOOKUP(DATE($K$1,$K$2,HKW$4),Table1[],(MATCH(Calendar!$A6,DB!1:1,0)+2),FALSE),"")</f>
        <v/>
      </c>
      <c r="HKX6" s="27" t="str">
        <f>IFERROR(VLOOKUP(DATE($K$1,$K$2,HKX$4),Table1[],(MATCH(Calendar!$A6,DB!1:1,0)+2),FALSE),"")</f>
        <v/>
      </c>
      <c r="HKY6" s="27" t="str">
        <f>IFERROR(VLOOKUP(DATE($K$1,$K$2,HKY$4),Table1[],(MATCH(Calendar!$A6,DB!1:1,0)+2),FALSE),"")</f>
        <v/>
      </c>
      <c r="HKZ6" s="27" t="str">
        <f>IFERROR(VLOOKUP(DATE($K$1,$K$2,HKZ$4),Table1[],(MATCH(Calendar!$A6,DB!1:1,0)+2),FALSE),"")</f>
        <v/>
      </c>
      <c r="HLA6" s="27" t="str">
        <f>IFERROR(VLOOKUP(DATE($K$1,$K$2,HLA$4),Table1[],(MATCH(Calendar!$A6,DB!1:1,0)+2),FALSE),"")</f>
        <v/>
      </c>
      <c r="HLB6" s="27" t="str">
        <f>IFERROR(VLOOKUP(DATE($K$1,$K$2,HLB$4),Table1[],(MATCH(Calendar!$A6,DB!1:1,0)+2),FALSE),"")</f>
        <v/>
      </c>
      <c r="HLC6" s="27" t="str">
        <f>IFERROR(VLOOKUP(DATE($K$1,$K$2,HLC$4),Table1[],(MATCH(Calendar!$A6,DB!1:1,0)+2),FALSE),"")</f>
        <v/>
      </c>
      <c r="HLD6" s="27" t="str">
        <f>IFERROR(VLOOKUP(DATE($K$1,$K$2,HLD$4),Table1[],(MATCH(Calendar!$A6,DB!1:1,0)+2),FALSE),"")</f>
        <v/>
      </c>
      <c r="HLE6" s="27" t="str">
        <f>IFERROR(VLOOKUP(DATE($K$1,$K$2,HLE$4),Table1[],(MATCH(Calendar!$A6,DB!1:1,0)+2),FALSE),"")</f>
        <v/>
      </c>
      <c r="HLF6" s="27" t="str">
        <f>IFERROR(VLOOKUP(DATE($K$1,$K$2,HLF$4),Table1[],(MATCH(Calendar!$A6,DB!1:1,0)+2),FALSE),"")</f>
        <v/>
      </c>
      <c r="HLG6" s="27" t="str">
        <f>IFERROR(VLOOKUP(DATE($K$1,$K$2,HLG$4),Table1[],(MATCH(Calendar!$A6,DB!1:1,0)+2),FALSE),"")</f>
        <v/>
      </c>
      <c r="HLH6" s="27" t="str">
        <f>IFERROR(VLOOKUP(DATE($K$1,$K$2,HLH$4),Table1[],(MATCH(Calendar!$A6,DB!1:1,0)+2),FALSE),"")</f>
        <v/>
      </c>
      <c r="HLI6" s="27" t="str">
        <f>IFERROR(VLOOKUP(DATE($K$1,$K$2,HLI$4),Table1[],(MATCH(Calendar!$A6,DB!1:1,0)+2),FALSE),"")</f>
        <v/>
      </c>
      <c r="HLJ6" s="27" t="str">
        <f>IFERROR(VLOOKUP(DATE($K$1,$K$2,HLJ$4),Table1[],(MATCH(Calendar!$A6,DB!1:1,0)+2),FALSE),"")</f>
        <v/>
      </c>
      <c r="HLK6" s="27" t="str">
        <f>IFERROR(VLOOKUP(DATE($K$1,$K$2,HLK$4),Table1[],(MATCH(Calendar!$A6,DB!1:1,0)+2),FALSE),"")</f>
        <v/>
      </c>
      <c r="HLL6" s="27" t="str">
        <f>IFERROR(VLOOKUP(DATE($K$1,$K$2,HLL$4),Table1[],(MATCH(Calendar!$A6,DB!1:1,0)+2),FALSE),"")</f>
        <v/>
      </c>
      <c r="HLM6" s="27" t="str">
        <f>IFERROR(VLOOKUP(DATE($K$1,$K$2,HLM$4),Table1[],(MATCH(Calendar!$A6,DB!1:1,0)+2),FALSE),"")</f>
        <v/>
      </c>
      <c r="HLN6" s="27" t="str">
        <f>IFERROR(VLOOKUP(DATE($K$1,$K$2,HLN$4),Table1[],(MATCH(Calendar!$A6,DB!1:1,0)+2),FALSE),"")</f>
        <v/>
      </c>
      <c r="HLO6" s="27" t="str">
        <f>IFERROR(VLOOKUP(DATE($K$1,$K$2,HLO$4),Table1[],(MATCH(Calendar!$A6,DB!1:1,0)+2),FALSE),"")</f>
        <v/>
      </c>
      <c r="HLP6" s="27" t="str">
        <f>IFERROR(VLOOKUP(DATE($K$1,$K$2,HLP$4),Table1[],(MATCH(Calendar!$A6,DB!1:1,0)+2),FALSE),"")</f>
        <v/>
      </c>
      <c r="HLQ6" s="27" t="str">
        <f>IFERROR(VLOOKUP(DATE($K$1,$K$2,HLQ$4),Table1[],(MATCH(Calendar!$A6,DB!1:1,0)+2),FALSE),"")</f>
        <v/>
      </c>
      <c r="HLR6" s="27" t="str">
        <f>IFERROR(VLOOKUP(DATE($K$1,$K$2,HLR$4),Table1[],(MATCH(Calendar!$A6,DB!1:1,0)+2),FALSE),"")</f>
        <v/>
      </c>
      <c r="HLS6" s="27" t="str">
        <f>IFERROR(VLOOKUP(DATE($K$1,$K$2,HLS$4),Table1[],(MATCH(Calendar!$A6,DB!1:1,0)+2),FALSE),"")</f>
        <v/>
      </c>
      <c r="HLT6" s="27" t="str">
        <f>IFERROR(VLOOKUP(DATE($K$1,$K$2,HLT$4),Table1[],(MATCH(Calendar!$A6,DB!1:1,0)+2),FALSE),"")</f>
        <v/>
      </c>
      <c r="HLU6" s="27" t="str">
        <f>IFERROR(VLOOKUP(DATE($K$1,$K$2,HLU$4),Table1[],(MATCH(Calendar!$A6,DB!1:1,0)+2),FALSE),"")</f>
        <v/>
      </c>
      <c r="HLV6" s="27" t="str">
        <f>IFERROR(VLOOKUP(DATE($K$1,$K$2,HLV$4),Table1[],(MATCH(Calendar!$A6,DB!1:1,0)+2),FALSE),"")</f>
        <v/>
      </c>
      <c r="HLW6" s="27" t="str">
        <f>IFERROR(VLOOKUP(DATE($K$1,$K$2,HLW$4),Table1[],(MATCH(Calendar!$A6,DB!1:1,0)+2),FALSE),"")</f>
        <v/>
      </c>
      <c r="HLX6" s="27" t="str">
        <f>IFERROR(VLOOKUP(DATE($K$1,$K$2,HLX$4),Table1[],(MATCH(Calendar!$A6,DB!1:1,0)+2),FALSE),"")</f>
        <v/>
      </c>
      <c r="HLY6" s="27" t="str">
        <f>IFERROR(VLOOKUP(DATE($K$1,$K$2,HLY$4),Table1[],(MATCH(Calendar!$A6,DB!1:1,0)+2),FALSE),"")</f>
        <v/>
      </c>
      <c r="HLZ6" s="27" t="str">
        <f>IFERROR(VLOOKUP(DATE($K$1,$K$2,HLZ$4),Table1[],(MATCH(Calendar!$A6,DB!1:1,0)+2),FALSE),"")</f>
        <v/>
      </c>
      <c r="HMA6" s="27" t="str">
        <f>IFERROR(VLOOKUP(DATE($K$1,$K$2,HMA$4),Table1[],(MATCH(Calendar!$A6,DB!1:1,0)+2),FALSE),"")</f>
        <v/>
      </c>
      <c r="HMB6" s="27" t="str">
        <f>IFERROR(VLOOKUP(DATE($K$1,$K$2,HMB$4),Table1[],(MATCH(Calendar!$A6,DB!1:1,0)+2),FALSE),"")</f>
        <v/>
      </c>
      <c r="HMC6" s="27" t="str">
        <f>IFERROR(VLOOKUP(DATE($K$1,$K$2,HMC$4),Table1[],(MATCH(Calendar!$A6,DB!1:1,0)+2),FALSE),"")</f>
        <v/>
      </c>
      <c r="HMD6" s="27" t="str">
        <f>IFERROR(VLOOKUP(DATE($K$1,$K$2,HMD$4),Table1[],(MATCH(Calendar!$A6,DB!1:1,0)+2),FALSE),"")</f>
        <v/>
      </c>
      <c r="HME6" s="27" t="str">
        <f>IFERROR(VLOOKUP(DATE($K$1,$K$2,HME$4),Table1[],(MATCH(Calendar!$A6,DB!1:1,0)+2),FALSE),"")</f>
        <v/>
      </c>
      <c r="HMF6" s="27" t="str">
        <f>IFERROR(VLOOKUP(DATE($K$1,$K$2,HMF$4),Table1[],(MATCH(Calendar!$A6,DB!1:1,0)+2),FALSE),"")</f>
        <v/>
      </c>
      <c r="HMG6" s="27" t="str">
        <f>IFERROR(VLOOKUP(DATE($K$1,$K$2,HMG$4),Table1[],(MATCH(Calendar!$A6,DB!1:1,0)+2),FALSE),"")</f>
        <v/>
      </c>
      <c r="HMH6" s="27" t="str">
        <f>IFERROR(VLOOKUP(DATE($K$1,$K$2,HMH$4),Table1[],(MATCH(Calendar!$A6,DB!1:1,0)+2),FALSE),"")</f>
        <v/>
      </c>
      <c r="HMI6" s="27" t="str">
        <f>IFERROR(VLOOKUP(DATE($K$1,$K$2,HMI$4),Table1[],(MATCH(Calendar!$A6,DB!1:1,0)+2),FALSE),"")</f>
        <v/>
      </c>
      <c r="HMJ6" s="27" t="str">
        <f>IFERROR(VLOOKUP(DATE($K$1,$K$2,HMJ$4),Table1[],(MATCH(Calendar!$A6,DB!1:1,0)+2),FALSE),"")</f>
        <v/>
      </c>
      <c r="HMK6" s="27" t="str">
        <f>IFERROR(VLOOKUP(DATE($K$1,$K$2,HMK$4),Table1[],(MATCH(Calendar!$A6,DB!1:1,0)+2),FALSE),"")</f>
        <v/>
      </c>
      <c r="HML6" s="27" t="str">
        <f>IFERROR(VLOOKUP(DATE($K$1,$K$2,HML$4),Table1[],(MATCH(Calendar!$A6,DB!1:1,0)+2),FALSE),"")</f>
        <v/>
      </c>
      <c r="HMM6" s="27" t="str">
        <f>IFERROR(VLOOKUP(DATE($K$1,$K$2,HMM$4),Table1[],(MATCH(Calendar!$A6,DB!1:1,0)+2),FALSE),"")</f>
        <v/>
      </c>
      <c r="HMN6" s="27" t="str">
        <f>IFERROR(VLOOKUP(DATE($K$1,$K$2,HMN$4),Table1[],(MATCH(Calendar!$A6,DB!1:1,0)+2),FALSE),"")</f>
        <v/>
      </c>
      <c r="HMO6" s="27" t="str">
        <f>IFERROR(VLOOKUP(DATE($K$1,$K$2,HMO$4),Table1[],(MATCH(Calendar!$A6,DB!1:1,0)+2),FALSE),"")</f>
        <v/>
      </c>
      <c r="HMP6" s="27" t="str">
        <f>IFERROR(VLOOKUP(DATE($K$1,$K$2,HMP$4),Table1[],(MATCH(Calendar!$A6,DB!1:1,0)+2),FALSE),"")</f>
        <v/>
      </c>
      <c r="HMQ6" s="27" t="str">
        <f>IFERROR(VLOOKUP(DATE($K$1,$K$2,HMQ$4),Table1[],(MATCH(Calendar!$A6,DB!1:1,0)+2),FALSE),"")</f>
        <v/>
      </c>
      <c r="HMR6" s="27" t="str">
        <f>IFERROR(VLOOKUP(DATE($K$1,$K$2,HMR$4),Table1[],(MATCH(Calendar!$A6,DB!1:1,0)+2),FALSE),"")</f>
        <v/>
      </c>
      <c r="HMS6" s="27" t="str">
        <f>IFERROR(VLOOKUP(DATE($K$1,$K$2,HMS$4),Table1[],(MATCH(Calendar!$A6,DB!1:1,0)+2),FALSE),"")</f>
        <v/>
      </c>
      <c r="HMT6" s="27" t="str">
        <f>IFERROR(VLOOKUP(DATE($K$1,$K$2,HMT$4),Table1[],(MATCH(Calendar!$A6,DB!1:1,0)+2),FALSE),"")</f>
        <v/>
      </c>
      <c r="HMU6" s="27" t="str">
        <f>IFERROR(VLOOKUP(DATE($K$1,$K$2,HMU$4),Table1[],(MATCH(Calendar!$A6,DB!1:1,0)+2),FALSE),"")</f>
        <v/>
      </c>
      <c r="HMV6" s="27" t="str">
        <f>IFERROR(VLOOKUP(DATE($K$1,$K$2,HMV$4),Table1[],(MATCH(Calendar!$A6,DB!1:1,0)+2),FALSE),"")</f>
        <v/>
      </c>
      <c r="HMW6" s="27" t="str">
        <f>IFERROR(VLOOKUP(DATE($K$1,$K$2,HMW$4),Table1[],(MATCH(Calendar!$A6,DB!1:1,0)+2),FALSE),"")</f>
        <v/>
      </c>
      <c r="HMX6" s="27" t="str">
        <f>IFERROR(VLOOKUP(DATE($K$1,$K$2,HMX$4),Table1[],(MATCH(Calendar!$A6,DB!1:1,0)+2),FALSE),"")</f>
        <v/>
      </c>
      <c r="HMY6" s="27" t="str">
        <f>IFERROR(VLOOKUP(DATE($K$1,$K$2,HMY$4),Table1[],(MATCH(Calendar!$A6,DB!1:1,0)+2),FALSE),"")</f>
        <v/>
      </c>
      <c r="HMZ6" s="27" t="str">
        <f>IFERROR(VLOOKUP(DATE($K$1,$K$2,HMZ$4),Table1[],(MATCH(Calendar!$A6,DB!1:1,0)+2),FALSE),"")</f>
        <v/>
      </c>
      <c r="HNA6" s="27" t="str">
        <f>IFERROR(VLOOKUP(DATE($K$1,$K$2,HNA$4),Table1[],(MATCH(Calendar!$A6,DB!1:1,0)+2),FALSE),"")</f>
        <v/>
      </c>
      <c r="HNB6" s="27" t="str">
        <f>IFERROR(VLOOKUP(DATE($K$1,$K$2,HNB$4),Table1[],(MATCH(Calendar!$A6,DB!1:1,0)+2),FALSE),"")</f>
        <v/>
      </c>
      <c r="HNC6" s="27" t="str">
        <f>IFERROR(VLOOKUP(DATE($K$1,$K$2,HNC$4),Table1[],(MATCH(Calendar!$A6,DB!1:1,0)+2),FALSE),"")</f>
        <v/>
      </c>
      <c r="HND6" s="27" t="str">
        <f>IFERROR(VLOOKUP(DATE($K$1,$K$2,HND$4),Table1[],(MATCH(Calendar!$A6,DB!1:1,0)+2),FALSE),"")</f>
        <v/>
      </c>
      <c r="HNE6" s="27" t="str">
        <f>IFERROR(VLOOKUP(DATE($K$1,$K$2,HNE$4),Table1[],(MATCH(Calendar!$A6,DB!1:1,0)+2),FALSE),"")</f>
        <v/>
      </c>
      <c r="HNF6" s="27" t="str">
        <f>IFERROR(VLOOKUP(DATE($K$1,$K$2,HNF$4),Table1[],(MATCH(Calendar!$A6,DB!1:1,0)+2),FALSE),"")</f>
        <v/>
      </c>
      <c r="HNG6" s="27" t="str">
        <f>IFERROR(VLOOKUP(DATE($K$1,$K$2,HNG$4),Table1[],(MATCH(Calendar!$A6,DB!1:1,0)+2),FALSE),"")</f>
        <v/>
      </c>
      <c r="HNH6" s="27" t="str">
        <f>IFERROR(VLOOKUP(DATE($K$1,$K$2,HNH$4),Table1[],(MATCH(Calendar!$A6,DB!1:1,0)+2),FALSE),"")</f>
        <v/>
      </c>
      <c r="HNI6" s="27" t="str">
        <f>IFERROR(VLOOKUP(DATE($K$1,$K$2,HNI$4),Table1[],(MATCH(Calendar!$A6,DB!1:1,0)+2),FALSE),"")</f>
        <v/>
      </c>
      <c r="HNJ6" s="27" t="str">
        <f>IFERROR(VLOOKUP(DATE($K$1,$K$2,HNJ$4),Table1[],(MATCH(Calendar!$A6,DB!1:1,0)+2),FALSE),"")</f>
        <v/>
      </c>
      <c r="HNK6" s="27" t="str">
        <f>IFERROR(VLOOKUP(DATE($K$1,$K$2,HNK$4),Table1[],(MATCH(Calendar!$A6,DB!1:1,0)+2),FALSE),"")</f>
        <v/>
      </c>
      <c r="HNL6" s="27" t="str">
        <f>IFERROR(VLOOKUP(DATE($K$1,$K$2,HNL$4),Table1[],(MATCH(Calendar!$A6,DB!1:1,0)+2),FALSE),"")</f>
        <v/>
      </c>
      <c r="HNM6" s="27" t="str">
        <f>IFERROR(VLOOKUP(DATE($K$1,$K$2,HNM$4),Table1[],(MATCH(Calendar!$A6,DB!1:1,0)+2),FALSE),"")</f>
        <v/>
      </c>
      <c r="HNN6" s="27" t="str">
        <f>IFERROR(VLOOKUP(DATE($K$1,$K$2,HNN$4),Table1[],(MATCH(Calendar!$A6,DB!1:1,0)+2),FALSE),"")</f>
        <v/>
      </c>
      <c r="HNO6" s="27" t="str">
        <f>IFERROR(VLOOKUP(DATE($K$1,$K$2,HNO$4),Table1[],(MATCH(Calendar!$A6,DB!1:1,0)+2),FALSE),"")</f>
        <v/>
      </c>
      <c r="HNP6" s="27" t="str">
        <f>IFERROR(VLOOKUP(DATE($K$1,$K$2,HNP$4),Table1[],(MATCH(Calendar!$A6,DB!1:1,0)+2),FALSE),"")</f>
        <v/>
      </c>
      <c r="HNQ6" s="27" t="str">
        <f>IFERROR(VLOOKUP(DATE($K$1,$K$2,HNQ$4),Table1[],(MATCH(Calendar!$A6,DB!1:1,0)+2),FALSE),"")</f>
        <v/>
      </c>
      <c r="HNR6" s="27" t="str">
        <f>IFERROR(VLOOKUP(DATE($K$1,$K$2,HNR$4),Table1[],(MATCH(Calendar!$A6,DB!1:1,0)+2),FALSE),"")</f>
        <v/>
      </c>
      <c r="HNS6" s="27" t="str">
        <f>IFERROR(VLOOKUP(DATE($K$1,$K$2,HNS$4),Table1[],(MATCH(Calendar!$A6,DB!1:1,0)+2),FALSE),"")</f>
        <v/>
      </c>
      <c r="HNT6" s="27" t="str">
        <f>IFERROR(VLOOKUP(DATE($K$1,$K$2,HNT$4),Table1[],(MATCH(Calendar!$A6,DB!1:1,0)+2),FALSE),"")</f>
        <v/>
      </c>
      <c r="HNU6" s="27" t="str">
        <f>IFERROR(VLOOKUP(DATE($K$1,$K$2,HNU$4),Table1[],(MATCH(Calendar!$A6,DB!1:1,0)+2),FALSE),"")</f>
        <v/>
      </c>
      <c r="HNV6" s="27" t="str">
        <f>IFERROR(VLOOKUP(DATE($K$1,$K$2,HNV$4),Table1[],(MATCH(Calendar!$A6,DB!1:1,0)+2),FALSE),"")</f>
        <v/>
      </c>
      <c r="HNW6" s="27" t="str">
        <f>IFERROR(VLOOKUP(DATE($K$1,$K$2,HNW$4),Table1[],(MATCH(Calendar!$A6,DB!1:1,0)+2),FALSE),"")</f>
        <v/>
      </c>
      <c r="HNX6" s="27" t="str">
        <f>IFERROR(VLOOKUP(DATE($K$1,$K$2,HNX$4),Table1[],(MATCH(Calendar!$A6,DB!1:1,0)+2),FALSE),"")</f>
        <v/>
      </c>
      <c r="HNY6" s="27" t="str">
        <f>IFERROR(VLOOKUP(DATE($K$1,$K$2,HNY$4),Table1[],(MATCH(Calendar!$A6,DB!1:1,0)+2),FALSE),"")</f>
        <v/>
      </c>
      <c r="HNZ6" s="27" t="str">
        <f>IFERROR(VLOOKUP(DATE($K$1,$K$2,HNZ$4),Table1[],(MATCH(Calendar!$A6,DB!1:1,0)+2),FALSE),"")</f>
        <v/>
      </c>
      <c r="HOA6" s="27" t="str">
        <f>IFERROR(VLOOKUP(DATE($K$1,$K$2,HOA$4),Table1[],(MATCH(Calendar!$A6,DB!1:1,0)+2),FALSE),"")</f>
        <v/>
      </c>
      <c r="HOB6" s="27" t="str">
        <f>IFERROR(VLOOKUP(DATE($K$1,$K$2,HOB$4),Table1[],(MATCH(Calendar!$A6,DB!1:1,0)+2),FALSE),"")</f>
        <v/>
      </c>
      <c r="HOC6" s="27" t="str">
        <f>IFERROR(VLOOKUP(DATE($K$1,$K$2,HOC$4),Table1[],(MATCH(Calendar!$A6,DB!1:1,0)+2),FALSE),"")</f>
        <v/>
      </c>
      <c r="HOD6" s="27" t="str">
        <f>IFERROR(VLOOKUP(DATE($K$1,$K$2,HOD$4),Table1[],(MATCH(Calendar!$A6,DB!1:1,0)+2),FALSE),"")</f>
        <v/>
      </c>
      <c r="HOE6" s="27" t="str">
        <f>IFERROR(VLOOKUP(DATE($K$1,$K$2,HOE$4),Table1[],(MATCH(Calendar!$A6,DB!1:1,0)+2),FALSE),"")</f>
        <v/>
      </c>
      <c r="HOF6" s="27" t="str">
        <f>IFERROR(VLOOKUP(DATE($K$1,$K$2,HOF$4),Table1[],(MATCH(Calendar!$A6,DB!1:1,0)+2),FALSE),"")</f>
        <v/>
      </c>
      <c r="HOG6" s="27" t="str">
        <f>IFERROR(VLOOKUP(DATE($K$1,$K$2,HOG$4),Table1[],(MATCH(Calendar!$A6,DB!1:1,0)+2),FALSE),"")</f>
        <v/>
      </c>
      <c r="HOH6" s="27" t="str">
        <f>IFERROR(VLOOKUP(DATE($K$1,$K$2,HOH$4),Table1[],(MATCH(Calendar!$A6,DB!1:1,0)+2),FALSE),"")</f>
        <v/>
      </c>
      <c r="HOI6" s="27" t="str">
        <f>IFERROR(VLOOKUP(DATE($K$1,$K$2,HOI$4),Table1[],(MATCH(Calendar!$A6,DB!1:1,0)+2),FALSE),"")</f>
        <v/>
      </c>
      <c r="HOJ6" s="27" t="str">
        <f>IFERROR(VLOOKUP(DATE($K$1,$K$2,HOJ$4),Table1[],(MATCH(Calendar!$A6,DB!1:1,0)+2),FALSE),"")</f>
        <v/>
      </c>
      <c r="HOK6" s="27" t="str">
        <f>IFERROR(VLOOKUP(DATE($K$1,$K$2,HOK$4),Table1[],(MATCH(Calendar!$A6,DB!1:1,0)+2),FALSE),"")</f>
        <v/>
      </c>
      <c r="HOL6" s="27" t="str">
        <f>IFERROR(VLOOKUP(DATE($K$1,$K$2,HOL$4),Table1[],(MATCH(Calendar!$A6,DB!1:1,0)+2),FALSE),"")</f>
        <v/>
      </c>
      <c r="HOM6" s="27" t="str">
        <f>IFERROR(VLOOKUP(DATE($K$1,$K$2,HOM$4),Table1[],(MATCH(Calendar!$A6,DB!1:1,0)+2),FALSE),"")</f>
        <v/>
      </c>
      <c r="HON6" s="27" t="str">
        <f>IFERROR(VLOOKUP(DATE($K$1,$K$2,HON$4),Table1[],(MATCH(Calendar!$A6,DB!1:1,0)+2),FALSE),"")</f>
        <v/>
      </c>
      <c r="HOO6" s="27" t="str">
        <f>IFERROR(VLOOKUP(DATE($K$1,$K$2,HOO$4),Table1[],(MATCH(Calendar!$A6,DB!1:1,0)+2),FALSE),"")</f>
        <v/>
      </c>
      <c r="HOP6" s="27" t="str">
        <f>IFERROR(VLOOKUP(DATE($K$1,$K$2,HOP$4),Table1[],(MATCH(Calendar!$A6,DB!1:1,0)+2),FALSE),"")</f>
        <v/>
      </c>
      <c r="HOQ6" s="27" t="str">
        <f>IFERROR(VLOOKUP(DATE($K$1,$K$2,HOQ$4),Table1[],(MATCH(Calendar!$A6,DB!1:1,0)+2),FALSE),"")</f>
        <v/>
      </c>
      <c r="HOR6" s="27" t="str">
        <f>IFERROR(VLOOKUP(DATE($K$1,$K$2,HOR$4),Table1[],(MATCH(Calendar!$A6,DB!1:1,0)+2),FALSE),"")</f>
        <v/>
      </c>
      <c r="HOS6" s="27" t="str">
        <f>IFERROR(VLOOKUP(DATE($K$1,$K$2,HOS$4),Table1[],(MATCH(Calendar!$A6,DB!1:1,0)+2),FALSE),"")</f>
        <v/>
      </c>
      <c r="HOT6" s="27" t="str">
        <f>IFERROR(VLOOKUP(DATE($K$1,$K$2,HOT$4),Table1[],(MATCH(Calendar!$A6,DB!1:1,0)+2),FALSE),"")</f>
        <v/>
      </c>
      <c r="HOU6" s="27" t="str">
        <f>IFERROR(VLOOKUP(DATE($K$1,$K$2,HOU$4),Table1[],(MATCH(Calendar!$A6,DB!1:1,0)+2),FALSE),"")</f>
        <v/>
      </c>
      <c r="HOV6" s="27" t="str">
        <f>IFERROR(VLOOKUP(DATE($K$1,$K$2,HOV$4),Table1[],(MATCH(Calendar!$A6,DB!1:1,0)+2),FALSE),"")</f>
        <v/>
      </c>
      <c r="HOW6" s="27" t="str">
        <f>IFERROR(VLOOKUP(DATE($K$1,$K$2,HOW$4),Table1[],(MATCH(Calendar!$A6,DB!1:1,0)+2),FALSE),"")</f>
        <v/>
      </c>
      <c r="HOX6" s="27" t="str">
        <f>IFERROR(VLOOKUP(DATE($K$1,$K$2,HOX$4),Table1[],(MATCH(Calendar!$A6,DB!1:1,0)+2),FALSE),"")</f>
        <v/>
      </c>
      <c r="HOY6" s="27" t="str">
        <f>IFERROR(VLOOKUP(DATE($K$1,$K$2,HOY$4),Table1[],(MATCH(Calendar!$A6,DB!1:1,0)+2),FALSE),"")</f>
        <v/>
      </c>
      <c r="HOZ6" s="27" t="str">
        <f>IFERROR(VLOOKUP(DATE($K$1,$K$2,HOZ$4),Table1[],(MATCH(Calendar!$A6,DB!1:1,0)+2),FALSE),"")</f>
        <v/>
      </c>
      <c r="HPA6" s="27" t="str">
        <f>IFERROR(VLOOKUP(DATE($K$1,$K$2,HPA$4),Table1[],(MATCH(Calendar!$A6,DB!1:1,0)+2),FALSE),"")</f>
        <v/>
      </c>
      <c r="HPB6" s="27" t="str">
        <f>IFERROR(VLOOKUP(DATE($K$1,$K$2,HPB$4),Table1[],(MATCH(Calendar!$A6,DB!1:1,0)+2),FALSE),"")</f>
        <v/>
      </c>
      <c r="HPC6" s="27" t="str">
        <f>IFERROR(VLOOKUP(DATE($K$1,$K$2,HPC$4),Table1[],(MATCH(Calendar!$A6,DB!1:1,0)+2),FALSE),"")</f>
        <v/>
      </c>
      <c r="HPD6" s="27" t="str">
        <f>IFERROR(VLOOKUP(DATE($K$1,$K$2,HPD$4),Table1[],(MATCH(Calendar!$A6,DB!1:1,0)+2),FALSE),"")</f>
        <v/>
      </c>
      <c r="HPE6" s="27" t="str">
        <f>IFERROR(VLOOKUP(DATE($K$1,$K$2,HPE$4),Table1[],(MATCH(Calendar!$A6,DB!1:1,0)+2),FALSE),"")</f>
        <v/>
      </c>
      <c r="HPF6" s="27" t="str">
        <f>IFERROR(VLOOKUP(DATE($K$1,$K$2,HPF$4),Table1[],(MATCH(Calendar!$A6,DB!1:1,0)+2),FALSE),"")</f>
        <v/>
      </c>
      <c r="HPG6" s="27" t="str">
        <f>IFERROR(VLOOKUP(DATE($K$1,$K$2,HPG$4),Table1[],(MATCH(Calendar!$A6,DB!1:1,0)+2),FALSE),"")</f>
        <v/>
      </c>
      <c r="HPH6" s="27" t="str">
        <f>IFERROR(VLOOKUP(DATE($K$1,$K$2,HPH$4),Table1[],(MATCH(Calendar!$A6,DB!1:1,0)+2),FALSE),"")</f>
        <v/>
      </c>
      <c r="HPI6" s="27" t="str">
        <f>IFERROR(VLOOKUP(DATE($K$1,$K$2,HPI$4),Table1[],(MATCH(Calendar!$A6,DB!1:1,0)+2),FALSE),"")</f>
        <v/>
      </c>
      <c r="HPJ6" s="27" t="str">
        <f>IFERROR(VLOOKUP(DATE($K$1,$K$2,HPJ$4),Table1[],(MATCH(Calendar!$A6,DB!1:1,0)+2),FALSE),"")</f>
        <v/>
      </c>
      <c r="HPK6" s="27" t="str">
        <f>IFERROR(VLOOKUP(DATE($K$1,$K$2,HPK$4),Table1[],(MATCH(Calendar!$A6,DB!1:1,0)+2),FALSE),"")</f>
        <v/>
      </c>
      <c r="HPL6" s="27" t="str">
        <f>IFERROR(VLOOKUP(DATE($K$1,$K$2,HPL$4),Table1[],(MATCH(Calendar!$A6,DB!1:1,0)+2),FALSE),"")</f>
        <v/>
      </c>
      <c r="HPM6" s="27" t="str">
        <f>IFERROR(VLOOKUP(DATE($K$1,$K$2,HPM$4),Table1[],(MATCH(Calendar!$A6,DB!1:1,0)+2),FALSE),"")</f>
        <v/>
      </c>
      <c r="HPN6" s="27" t="str">
        <f>IFERROR(VLOOKUP(DATE($K$1,$K$2,HPN$4),Table1[],(MATCH(Calendar!$A6,DB!1:1,0)+2),FALSE),"")</f>
        <v/>
      </c>
      <c r="HPO6" s="27" t="str">
        <f>IFERROR(VLOOKUP(DATE($K$1,$K$2,HPO$4),Table1[],(MATCH(Calendar!$A6,DB!1:1,0)+2),FALSE),"")</f>
        <v/>
      </c>
      <c r="HPP6" s="27" t="str">
        <f>IFERROR(VLOOKUP(DATE($K$1,$K$2,HPP$4),Table1[],(MATCH(Calendar!$A6,DB!1:1,0)+2),FALSE),"")</f>
        <v/>
      </c>
      <c r="HPQ6" s="27" t="str">
        <f>IFERROR(VLOOKUP(DATE($K$1,$K$2,HPQ$4),Table1[],(MATCH(Calendar!$A6,DB!1:1,0)+2),FALSE),"")</f>
        <v/>
      </c>
      <c r="HPR6" s="27" t="str">
        <f>IFERROR(VLOOKUP(DATE($K$1,$K$2,HPR$4),Table1[],(MATCH(Calendar!$A6,DB!1:1,0)+2),FALSE),"")</f>
        <v/>
      </c>
      <c r="HPS6" s="27" t="str">
        <f>IFERROR(VLOOKUP(DATE($K$1,$K$2,HPS$4),Table1[],(MATCH(Calendar!$A6,DB!1:1,0)+2),FALSE),"")</f>
        <v/>
      </c>
      <c r="HPT6" s="27" t="str">
        <f>IFERROR(VLOOKUP(DATE($K$1,$K$2,HPT$4),Table1[],(MATCH(Calendar!$A6,DB!1:1,0)+2),FALSE),"")</f>
        <v/>
      </c>
      <c r="HPU6" s="27" t="str">
        <f>IFERROR(VLOOKUP(DATE($K$1,$K$2,HPU$4),Table1[],(MATCH(Calendar!$A6,DB!1:1,0)+2),FALSE),"")</f>
        <v/>
      </c>
      <c r="HPV6" s="27" t="str">
        <f>IFERROR(VLOOKUP(DATE($K$1,$K$2,HPV$4),Table1[],(MATCH(Calendar!$A6,DB!1:1,0)+2),FALSE),"")</f>
        <v/>
      </c>
      <c r="HPW6" s="27" t="str">
        <f>IFERROR(VLOOKUP(DATE($K$1,$K$2,HPW$4),Table1[],(MATCH(Calendar!$A6,DB!1:1,0)+2),FALSE),"")</f>
        <v/>
      </c>
      <c r="HPX6" s="27" t="str">
        <f>IFERROR(VLOOKUP(DATE($K$1,$K$2,HPX$4),Table1[],(MATCH(Calendar!$A6,DB!1:1,0)+2),FALSE),"")</f>
        <v/>
      </c>
      <c r="HPY6" s="27" t="str">
        <f>IFERROR(VLOOKUP(DATE($K$1,$K$2,HPY$4),Table1[],(MATCH(Calendar!$A6,DB!1:1,0)+2),FALSE),"")</f>
        <v/>
      </c>
      <c r="HPZ6" s="27" t="str">
        <f>IFERROR(VLOOKUP(DATE($K$1,$K$2,HPZ$4),Table1[],(MATCH(Calendar!$A6,DB!1:1,0)+2),FALSE),"")</f>
        <v/>
      </c>
      <c r="HQA6" s="27" t="str">
        <f>IFERROR(VLOOKUP(DATE($K$1,$K$2,HQA$4),Table1[],(MATCH(Calendar!$A6,DB!1:1,0)+2),FALSE),"")</f>
        <v/>
      </c>
      <c r="HQB6" s="27" t="str">
        <f>IFERROR(VLOOKUP(DATE($K$1,$K$2,HQB$4),Table1[],(MATCH(Calendar!$A6,DB!1:1,0)+2),FALSE),"")</f>
        <v/>
      </c>
      <c r="HQC6" s="27" t="str">
        <f>IFERROR(VLOOKUP(DATE($K$1,$K$2,HQC$4),Table1[],(MATCH(Calendar!$A6,DB!1:1,0)+2),FALSE),"")</f>
        <v/>
      </c>
      <c r="HQD6" s="27" t="str">
        <f>IFERROR(VLOOKUP(DATE($K$1,$K$2,HQD$4),Table1[],(MATCH(Calendar!$A6,DB!1:1,0)+2),FALSE),"")</f>
        <v/>
      </c>
      <c r="HQE6" s="27" t="str">
        <f>IFERROR(VLOOKUP(DATE($K$1,$K$2,HQE$4),Table1[],(MATCH(Calendar!$A6,DB!1:1,0)+2),FALSE),"")</f>
        <v/>
      </c>
      <c r="HQF6" s="27" t="str">
        <f>IFERROR(VLOOKUP(DATE($K$1,$K$2,HQF$4),Table1[],(MATCH(Calendar!$A6,DB!1:1,0)+2),FALSE),"")</f>
        <v/>
      </c>
      <c r="HQG6" s="27" t="str">
        <f>IFERROR(VLOOKUP(DATE($K$1,$K$2,HQG$4),Table1[],(MATCH(Calendar!$A6,DB!1:1,0)+2),FALSE),"")</f>
        <v/>
      </c>
      <c r="HQH6" s="27" t="str">
        <f>IFERROR(VLOOKUP(DATE($K$1,$K$2,HQH$4),Table1[],(MATCH(Calendar!$A6,DB!1:1,0)+2),FALSE),"")</f>
        <v/>
      </c>
      <c r="HQI6" s="27" t="str">
        <f>IFERROR(VLOOKUP(DATE($K$1,$K$2,HQI$4),Table1[],(MATCH(Calendar!$A6,DB!1:1,0)+2),FALSE),"")</f>
        <v/>
      </c>
      <c r="HQJ6" s="27" t="str">
        <f>IFERROR(VLOOKUP(DATE($K$1,$K$2,HQJ$4),Table1[],(MATCH(Calendar!$A6,DB!1:1,0)+2),FALSE),"")</f>
        <v/>
      </c>
      <c r="HQK6" s="27" t="str">
        <f>IFERROR(VLOOKUP(DATE($K$1,$K$2,HQK$4),Table1[],(MATCH(Calendar!$A6,DB!1:1,0)+2),FALSE),"")</f>
        <v/>
      </c>
      <c r="HQL6" s="27" t="str">
        <f>IFERROR(VLOOKUP(DATE($K$1,$K$2,HQL$4),Table1[],(MATCH(Calendar!$A6,DB!1:1,0)+2),FALSE),"")</f>
        <v/>
      </c>
      <c r="HQM6" s="27" t="str">
        <f>IFERROR(VLOOKUP(DATE($K$1,$K$2,HQM$4),Table1[],(MATCH(Calendar!$A6,DB!1:1,0)+2),FALSE),"")</f>
        <v/>
      </c>
      <c r="HQN6" s="27" t="str">
        <f>IFERROR(VLOOKUP(DATE($K$1,$K$2,HQN$4),Table1[],(MATCH(Calendar!$A6,DB!1:1,0)+2),FALSE),"")</f>
        <v/>
      </c>
      <c r="HQO6" s="27" t="str">
        <f>IFERROR(VLOOKUP(DATE($K$1,$K$2,HQO$4),Table1[],(MATCH(Calendar!$A6,DB!1:1,0)+2),FALSE),"")</f>
        <v/>
      </c>
      <c r="HQP6" s="27" t="str">
        <f>IFERROR(VLOOKUP(DATE($K$1,$K$2,HQP$4),Table1[],(MATCH(Calendar!$A6,DB!1:1,0)+2),FALSE),"")</f>
        <v/>
      </c>
      <c r="HQQ6" s="27" t="str">
        <f>IFERROR(VLOOKUP(DATE($K$1,$K$2,HQQ$4),Table1[],(MATCH(Calendar!$A6,DB!1:1,0)+2),FALSE),"")</f>
        <v/>
      </c>
      <c r="HQR6" s="27" t="str">
        <f>IFERROR(VLOOKUP(DATE($K$1,$K$2,HQR$4),Table1[],(MATCH(Calendar!$A6,DB!1:1,0)+2),FALSE),"")</f>
        <v/>
      </c>
      <c r="HQS6" s="27" t="str">
        <f>IFERROR(VLOOKUP(DATE($K$1,$K$2,HQS$4),Table1[],(MATCH(Calendar!$A6,DB!1:1,0)+2),FALSE),"")</f>
        <v/>
      </c>
      <c r="HQT6" s="27" t="str">
        <f>IFERROR(VLOOKUP(DATE($K$1,$K$2,HQT$4),Table1[],(MATCH(Calendar!$A6,DB!1:1,0)+2),FALSE),"")</f>
        <v/>
      </c>
      <c r="HQU6" s="27" t="str">
        <f>IFERROR(VLOOKUP(DATE($K$1,$K$2,HQU$4),Table1[],(MATCH(Calendar!$A6,DB!1:1,0)+2),FALSE),"")</f>
        <v/>
      </c>
      <c r="HQV6" s="27" t="str">
        <f>IFERROR(VLOOKUP(DATE($K$1,$K$2,HQV$4),Table1[],(MATCH(Calendar!$A6,DB!1:1,0)+2),FALSE),"")</f>
        <v/>
      </c>
      <c r="HQW6" s="27" t="str">
        <f>IFERROR(VLOOKUP(DATE($K$1,$K$2,HQW$4),Table1[],(MATCH(Calendar!$A6,DB!1:1,0)+2),FALSE),"")</f>
        <v/>
      </c>
      <c r="HQX6" s="27" t="str">
        <f>IFERROR(VLOOKUP(DATE($K$1,$K$2,HQX$4),Table1[],(MATCH(Calendar!$A6,DB!1:1,0)+2),FALSE),"")</f>
        <v/>
      </c>
      <c r="HQY6" s="27" t="str">
        <f>IFERROR(VLOOKUP(DATE($K$1,$K$2,HQY$4),Table1[],(MATCH(Calendar!$A6,DB!1:1,0)+2),FALSE),"")</f>
        <v/>
      </c>
      <c r="HQZ6" s="27" t="str">
        <f>IFERROR(VLOOKUP(DATE($K$1,$K$2,HQZ$4),Table1[],(MATCH(Calendar!$A6,DB!1:1,0)+2),FALSE),"")</f>
        <v/>
      </c>
      <c r="HRA6" s="27" t="str">
        <f>IFERROR(VLOOKUP(DATE($K$1,$K$2,HRA$4),Table1[],(MATCH(Calendar!$A6,DB!1:1,0)+2),FALSE),"")</f>
        <v/>
      </c>
      <c r="HRB6" s="27" t="str">
        <f>IFERROR(VLOOKUP(DATE($K$1,$K$2,HRB$4),Table1[],(MATCH(Calendar!$A6,DB!1:1,0)+2),FALSE),"")</f>
        <v/>
      </c>
      <c r="HRC6" s="27" t="str">
        <f>IFERROR(VLOOKUP(DATE($K$1,$K$2,HRC$4),Table1[],(MATCH(Calendar!$A6,DB!1:1,0)+2),FALSE),"")</f>
        <v/>
      </c>
      <c r="HRD6" s="27" t="str">
        <f>IFERROR(VLOOKUP(DATE($K$1,$K$2,HRD$4),Table1[],(MATCH(Calendar!$A6,DB!1:1,0)+2),FALSE),"")</f>
        <v/>
      </c>
      <c r="HRE6" s="27" t="str">
        <f>IFERROR(VLOOKUP(DATE($K$1,$K$2,HRE$4),Table1[],(MATCH(Calendar!$A6,DB!1:1,0)+2),FALSE),"")</f>
        <v/>
      </c>
      <c r="HRF6" s="27" t="str">
        <f>IFERROR(VLOOKUP(DATE($K$1,$K$2,HRF$4),Table1[],(MATCH(Calendar!$A6,DB!1:1,0)+2),FALSE),"")</f>
        <v/>
      </c>
      <c r="HRG6" s="27" t="str">
        <f>IFERROR(VLOOKUP(DATE($K$1,$K$2,HRG$4),Table1[],(MATCH(Calendar!$A6,DB!1:1,0)+2),FALSE),"")</f>
        <v/>
      </c>
      <c r="HRH6" s="27" t="str">
        <f>IFERROR(VLOOKUP(DATE($K$1,$K$2,HRH$4),Table1[],(MATCH(Calendar!$A6,DB!1:1,0)+2),FALSE),"")</f>
        <v/>
      </c>
      <c r="HRI6" s="27" t="str">
        <f>IFERROR(VLOOKUP(DATE($K$1,$K$2,HRI$4),Table1[],(MATCH(Calendar!$A6,DB!1:1,0)+2),FALSE),"")</f>
        <v/>
      </c>
      <c r="HRJ6" s="27" t="str">
        <f>IFERROR(VLOOKUP(DATE($K$1,$K$2,HRJ$4),Table1[],(MATCH(Calendar!$A6,DB!1:1,0)+2),FALSE),"")</f>
        <v/>
      </c>
      <c r="HRK6" s="27" t="str">
        <f>IFERROR(VLOOKUP(DATE($K$1,$K$2,HRK$4),Table1[],(MATCH(Calendar!$A6,DB!1:1,0)+2),FALSE),"")</f>
        <v/>
      </c>
      <c r="HRL6" s="27" t="str">
        <f>IFERROR(VLOOKUP(DATE($K$1,$K$2,HRL$4),Table1[],(MATCH(Calendar!$A6,DB!1:1,0)+2),FALSE),"")</f>
        <v/>
      </c>
      <c r="HRM6" s="27" t="str">
        <f>IFERROR(VLOOKUP(DATE($K$1,$K$2,HRM$4),Table1[],(MATCH(Calendar!$A6,DB!1:1,0)+2),FALSE),"")</f>
        <v/>
      </c>
      <c r="HRN6" s="27" t="str">
        <f>IFERROR(VLOOKUP(DATE($K$1,$K$2,HRN$4),Table1[],(MATCH(Calendar!$A6,DB!1:1,0)+2),FALSE),"")</f>
        <v/>
      </c>
      <c r="HRO6" s="27" t="str">
        <f>IFERROR(VLOOKUP(DATE($K$1,$K$2,HRO$4),Table1[],(MATCH(Calendar!$A6,DB!1:1,0)+2),FALSE),"")</f>
        <v/>
      </c>
      <c r="HRP6" s="27" t="str">
        <f>IFERROR(VLOOKUP(DATE($K$1,$K$2,HRP$4),Table1[],(MATCH(Calendar!$A6,DB!1:1,0)+2),FALSE),"")</f>
        <v/>
      </c>
      <c r="HRQ6" s="27" t="str">
        <f>IFERROR(VLOOKUP(DATE($K$1,$K$2,HRQ$4),Table1[],(MATCH(Calendar!$A6,DB!1:1,0)+2),FALSE),"")</f>
        <v/>
      </c>
      <c r="HRR6" s="27" t="str">
        <f>IFERROR(VLOOKUP(DATE($K$1,$K$2,HRR$4),Table1[],(MATCH(Calendar!$A6,DB!1:1,0)+2),FALSE),"")</f>
        <v/>
      </c>
      <c r="HRS6" s="27" t="str">
        <f>IFERROR(VLOOKUP(DATE($K$1,$K$2,HRS$4),Table1[],(MATCH(Calendar!$A6,DB!1:1,0)+2),FALSE),"")</f>
        <v/>
      </c>
      <c r="HRT6" s="27" t="str">
        <f>IFERROR(VLOOKUP(DATE($K$1,$K$2,HRT$4),Table1[],(MATCH(Calendar!$A6,DB!1:1,0)+2),FALSE),"")</f>
        <v/>
      </c>
      <c r="HRU6" s="27" t="str">
        <f>IFERROR(VLOOKUP(DATE($K$1,$K$2,HRU$4),Table1[],(MATCH(Calendar!$A6,DB!1:1,0)+2),FALSE),"")</f>
        <v/>
      </c>
      <c r="HRV6" s="27" t="str">
        <f>IFERROR(VLOOKUP(DATE($K$1,$K$2,HRV$4),Table1[],(MATCH(Calendar!$A6,DB!1:1,0)+2),FALSE),"")</f>
        <v/>
      </c>
      <c r="HRW6" s="27" t="str">
        <f>IFERROR(VLOOKUP(DATE($K$1,$K$2,HRW$4),Table1[],(MATCH(Calendar!$A6,DB!1:1,0)+2),FALSE),"")</f>
        <v/>
      </c>
      <c r="HRX6" s="27" t="str">
        <f>IFERROR(VLOOKUP(DATE($K$1,$K$2,HRX$4),Table1[],(MATCH(Calendar!$A6,DB!1:1,0)+2),FALSE),"")</f>
        <v/>
      </c>
      <c r="HRY6" s="27" t="str">
        <f>IFERROR(VLOOKUP(DATE($K$1,$K$2,HRY$4),Table1[],(MATCH(Calendar!$A6,DB!1:1,0)+2),FALSE),"")</f>
        <v/>
      </c>
      <c r="HRZ6" s="27" t="str">
        <f>IFERROR(VLOOKUP(DATE($K$1,$K$2,HRZ$4),Table1[],(MATCH(Calendar!$A6,DB!1:1,0)+2),FALSE),"")</f>
        <v/>
      </c>
      <c r="HSA6" s="27" t="str">
        <f>IFERROR(VLOOKUP(DATE($K$1,$K$2,HSA$4),Table1[],(MATCH(Calendar!$A6,DB!1:1,0)+2),FALSE),"")</f>
        <v/>
      </c>
      <c r="HSB6" s="27" t="str">
        <f>IFERROR(VLOOKUP(DATE($K$1,$K$2,HSB$4),Table1[],(MATCH(Calendar!$A6,DB!1:1,0)+2),FALSE),"")</f>
        <v/>
      </c>
      <c r="HSC6" s="27" t="str">
        <f>IFERROR(VLOOKUP(DATE($K$1,$K$2,HSC$4),Table1[],(MATCH(Calendar!$A6,DB!1:1,0)+2),FALSE),"")</f>
        <v/>
      </c>
      <c r="HSD6" s="27" t="str">
        <f>IFERROR(VLOOKUP(DATE($K$1,$K$2,HSD$4),Table1[],(MATCH(Calendar!$A6,DB!1:1,0)+2),FALSE),"")</f>
        <v/>
      </c>
      <c r="HSE6" s="27" t="str">
        <f>IFERROR(VLOOKUP(DATE($K$1,$K$2,HSE$4),Table1[],(MATCH(Calendar!$A6,DB!1:1,0)+2),FALSE),"")</f>
        <v/>
      </c>
      <c r="HSF6" s="27" t="str">
        <f>IFERROR(VLOOKUP(DATE($K$1,$K$2,HSF$4),Table1[],(MATCH(Calendar!$A6,DB!1:1,0)+2),FALSE),"")</f>
        <v/>
      </c>
      <c r="HSG6" s="27" t="str">
        <f>IFERROR(VLOOKUP(DATE($K$1,$K$2,HSG$4),Table1[],(MATCH(Calendar!$A6,DB!1:1,0)+2),FALSE),"")</f>
        <v/>
      </c>
      <c r="HSH6" s="27" t="str">
        <f>IFERROR(VLOOKUP(DATE($K$1,$K$2,HSH$4),Table1[],(MATCH(Calendar!$A6,DB!1:1,0)+2),FALSE),"")</f>
        <v/>
      </c>
      <c r="HSI6" s="27" t="str">
        <f>IFERROR(VLOOKUP(DATE($K$1,$K$2,HSI$4),Table1[],(MATCH(Calendar!$A6,DB!1:1,0)+2),FALSE),"")</f>
        <v/>
      </c>
      <c r="HSJ6" s="27" t="str">
        <f>IFERROR(VLOOKUP(DATE($K$1,$K$2,HSJ$4),Table1[],(MATCH(Calendar!$A6,DB!1:1,0)+2),FALSE),"")</f>
        <v/>
      </c>
      <c r="HSK6" s="27" t="str">
        <f>IFERROR(VLOOKUP(DATE($K$1,$K$2,HSK$4),Table1[],(MATCH(Calendar!$A6,DB!1:1,0)+2),FALSE),"")</f>
        <v/>
      </c>
      <c r="HSL6" s="27" t="str">
        <f>IFERROR(VLOOKUP(DATE($K$1,$K$2,HSL$4),Table1[],(MATCH(Calendar!$A6,DB!1:1,0)+2),FALSE),"")</f>
        <v/>
      </c>
      <c r="HSM6" s="27" t="str">
        <f>IFERROR(VLOOKUP(DATE($K$1,$K$2,HSM$4),Table1[],(MATCH(Calendar!$A6,DB!1:1,0)+2),FALSE),"")</f>
        <v/>
      </c>
      <c r="HSN6" s="27" t="str">
        <f>IFERROR(VLOOKUP(DATE($K$1,$K$2,HSN$4),Table1[],(MATCH(Calendar!$A6,DB!1:1,0)+2),FALSE),"")</f>
        <v/>
      </c>
      <c r="HSO6" s="27" t="str">
        <f>IFERROR(VLOOKUP(DATE($K$1,$K$2,HSO$4),Table1[],(MATCH(Calendar!$A6,DB!1:1,0)+2),FALSE),"")</f>
        <v/>
      </c>
      <c r="HSP6" s="27" t="str">
        <f>IFERROR(VLOOKUP(DATE($K$1,$K$2,HSP$4),Table1[],(MATCH(Calendar!$A6,DB!1:1,0)+2),FALSE),"")</f>
        <v/>
      </c>
      <c r="HSQ6" s="27" t="str">
        <f>IFERROR(VLOOKUP(DATE($K$1,$K$2,HSQ$4),Table1[],(MATCH(Calendar!$A6,DB!1:1,0)+2),FALSE),"")</f>
        <v/>
      </c>
      <c r="HSR6" s="27" t="str">
        <f>IFERROR(VLOOKUP(DATE($K$1,$K$2,HSR$4),Table1[],(MATCH(Calendar!$A6,DB!1:1,0)+2),FALSE),"")</f>
        <v/>
      </c>
      <c r="HSS6" s="27" t="str">
        <f>IFERROR(VLOOKUP(DATE($K$1,$K$2,HSS$4),Table1[],(MATCH(Calendar!$A6,DB!1:1,0)+2),FALSE),"")</f>
        <v/>
      </c>
      <c r="HST6" s="27" t="str">
        <f>IFERROR(VLOOKUP(DATE($K$1,$K$2,HST$4),Table1[],(MATCH(Calendar!$A6,DB!1:1,0)+2),FALSE),"")</f>
        <v/>
      </c>
      <c r="HSU6" s="27" t="str">
        <f>IFERROR(VLOOKUP(DATE($K$1,$K$2,HSU$4),Table1[],(MATCH(Calendar!$A6,DB!1:1,0)+2),FALSE),"")</f>
        <v/>
      </c>
      <c r="HSV6" s="27" t="str">
        <f>IFERROR(VLOOKUP(DATE($K$1,$K$2,HSV$4),Table1[],(MATCH(Calendar!$A6,DB!1:1,0)+2),FALSE),"")</f>
        <v/>
      </c>
      <c r="HSW6" s="27" t="str">
        <f>IFERROR(VLOOKUP(DATE($K$1,$K$2,HSW$4),Table1[],(MATCH(Calendar!$A6,DB!1:1,0)+2),FALSE),"")</f>
        <v/>
      </c>
      <c r="HSX6" s="27" t="str">
        <f>IFERROR(VLOOKUP(DATE($K$1,$K$2,HSX$4),Table1[],(MATCH(Calendar!$A6,DB!1:1,0)+2),FALSE),"")</f>
        <v/>
      </c>
      <c r="HSY6" s="27" t="str">
        <f>IFERROR(VLOOKUP(DATE($K$1,$K$2,HSY$4),Table1[],(MATCH(Calendar!$A6,DB!1:1,0)+2),FALSE),"")</f>
        <v/>
      </c>
      <c r="HSZ6" s="27" t="str">
        <f>IFERROR(VLOOKUP(DATE($K$1,$K$2,HSZ$4),Table1[],(MATCH(Calendar!$A6,DB!1:1,0)+2),FALSE),"")</f>
        <v/>
      </c>
      <c r="HTA6" s="27" t="str">
        <f>IFERROR(VLOOKUP(DATE($K$1,$K$2,HTA$4),Table1[],(MATCH(Calendar!$A6,DB!1:1,0)+2),FALSE),"")</f>
        <v/>
      </c>
      <c r="HTB6" s="27" t="str">
        <f>IFERROR(VLOOKUP(DATE($K$1,$K$2,HTB$4),Table1[],(MATCH(Calendar!$A6,DB!1:1,0)+2),FALSE),"")</f>
        <v/>
      </c>
      <c r="HTC6" s="27" t="str">
        <f>IFERROR(VLOOKUP(DATE($K$1,$K$2,HTC$4),Table1[],(MATCH(Calendar!$A6,DB!1:1,0)+2),FALSE),"")</f>
        <v/>
      </c>
      <c r="HTD6" s="27" t="str">
        <f>IFERROR(VLOOKUP(DATE($K$1,$K$2,HTD$4),Table1[],(MATCH(Calendar!$A6,DB!1:1,0)+2),FALSE),"")</f>
        <v/>
      </c>
      <c r="HTE6" s="27" t="str">
        <f>IFERROR(VLOOKUP(DATE($K$1,$K$2,HTE$4),Table1[],(MATCH(Calendar!$A6,DB!1:1,0)+2),FALSE),"")</f>
        <v/>
      </c>
      <c r="HTF6" s="27" t="str">
        <f>IFERROR(VLOOKUP(DATE($K$1,$K$2,HTF$4),Table1[],(MATCH(Calendar!$A6,DB!1:1,0)+2),FALSE),"")</f>
        <v/>
      </c>
      <c r="HTG6" s="27" t="str">
        <f>IFERROR(VLOOKUP(DATE($K$1,$K$2,HTG$4),Table1[],(MATCH(Calendar!$A6,DB!1:1,0)+2),FALSE),"")</f>
        <v/>
      </c>
      <c r="HTH6" s="27" t="str">
        <f>IFERROR(VLOOKUP(DATE($K$1,$K$2,HTH$4),Table1[],(MATCH(Calendar!$A6,DB!1:1,0)+2),FALSE),"")</f>
        <v/>
      </c>
      <c r="HTI6" s="27" t="str">
        <f>IFERROR(VLOOKUP(DATE($K$1,$K$2,HTI$4),Table1[],(MATCH(Calendar!$A6,DB!1:1,0)+2),FALSE),"")</f>
        <v/>
      </c>
      <c r="HTJ6" s="27" t="str">
        <f>IFERROR(VLOOKUP(DATE($K$1,$K$2,HTJ$4),Table1[],(MATCH(Calendar!$A6,DB!1:1,0)+2),FALSE),"")</f>
        <v/>
      </c>
      <c r="HTK6" s="27" t="str">
        <f>IFERROR(VLOOKUP(DATE($K$1,$K$2,HTK$4),Table1[],(MATCH(Calendar!$A6,DB!1:1,0)+2),FALSE),"")</f>
        <v/>
      </c>
      <c r="HTL6" s="27" t="str">
        <f>IFERROR(VLOOKUP(DATE($K$1,$K$2,HTL$4),Table1[],(MATCH(Calendar!$A6,DB!1:1,0)+2),FALSE),"")</f>
        <v/>
      </c>
      <c r="HTM6" s="27" t="str">
        <f>IFERROR(VLOOKUP(DATE($K$1,$K$2,HTM$4),Table1[],(MATCH(Calendar!$A6,DB!1:1,0)+2),FALSE),"")</f>
        <v/>
      </c>
      <c r="HTN6" s="27" t="str">
        <f>IFERROR(VLOOKUP(DATE($K$1,$K$2,HTN$4),Table1[],(MATCH(Calendar!$A6,DB!1:1,0)+2),FALSE),"")</f>
        <v/>
      </c>
      <c r="HTO6" s="27" t="str">
        <f>IFERROR(VLOOKUP(DATE($K$1,$K$2,HTO$4),Table1[],(MATCH(Calendar!$A6,DB!1:1,0)+2),FALSE),"")</f>
        <v/>
      </c>
      <c r="HTP6" s="27" t="str">
        <f>IFERROR(VLOOKUP(DATE($K$1,$K$2,HTP$4),Table1[],(MATCH(Calendar!$A6,DB!1:1,0)+2),FALSE),"")</f>
        <v/>
      </c>
      <c r="HTQ6" s="27" t="str">
        <f>IFERROR(VLOOKUP(DATE($K$1,$K$2,HTQ$4),Table1[],(MATCH(Calendar!$A6,DB!1:1,0)+2),FALSE),"")</f>
        <v/>
      </c>
      <c r="HTR6" s="27" t="str">
        <f>IFERROR(VLOOKUP(DATE($K$1,$K$2,HTR$4),Table1[],(MATCH(Calendar!$A6,DB!1:1,0)+2),FALSE),"")</f>
        <v/>
      </c>
      <c r="HTS6" s="27" t="str">
        <f>IFERROR(VLOOKUP(DATE($K$1,$K$2,HTS$4),Table1[],(MATCH(Calendar!$A6,DB!1:1,0)+2),FALSE),"")</f>
        <v/>
      </c>
      <c r="HTT6" s="27" t="str">
        <f>IFERROR(VLOOKUP(DATE($K$1,$K$2,HTT$4),Table1[],(MATCH(Calendar!$A6,DB!1:1,0)+2),FALSE),"")</f>
        <v/>
      </c>
      <c r="HTU6" s="27" t="str">
        <f>IFERROR(VLOOKUP(DATE($K$1,$K$2,HTU$4),Table1[],(MATCH(Calendar!$A6,DB!1:1,0)+2),FALSE),"")</f>
        <v/>
      </c>
      <c r="HTV6" s="27" t="str">
        <f>IFERROR(VLOOKUP(DATE($K$1,$K$2,HTV$4),Table1[],(MATCH(Calendar!$A6,DB!1:1,0)+2),FALSE),"")</f>
        <v/>
      </c>
      <c r="HTW6" s="27" t="str">
        <f>IFERROR(VLOOKUP(DATE($K$1,$K$2,HTW$4),Table1[],(MATCH(Calendar!$A6,DB!1:1,0)+2),FALSE),"")</f>
        <v/>
      </c>
      <c r="HTX6" s="27" t="str">
        <f>IFERROR(VLOOKUP(DATE($K$1,$K$2,HTX$4),Table1[],(MATCH(Calendar!$A6,DB!1:1,0)+2),FALSE),"")</f>
        <v/>
      </c>
      <c r="HTY6" s="27" t="str">
        <f>IFERROR(VLOOKUP(DATE($K$1,$K$2,HTY$4),Table1[],(MATCH(Calendar!$A6,DB!1:1,0)+2),FALSE),"")</f>
        <v/>
      </c>
      <c r="HTZ6" s="27" t="str">
        <f>IFERROR(VLOOKUP(DATE($K$1,$K$2,HTZ$4),Table1[],(MATCH(Calendar!$A6,DB!1:1,0)+2),FALSE),"")</f>
        <v/>
      </c>
      <c r="HUA6" s="27" t="str">
        <f>IFERROR(VLOOKUP(DATE($K$1,$K$2,HUA$4),Table1[],(MATCH(Calendar!$A6,DB!1:1,0)+2),FALSE),"")</f>
        <v/>
      </c>
      <c r="HUB6" s="27" t="str">
        <f>IFERROR(VLOOKUP(DATE($K$1,$K$2,HUB$4),Table1[],(MATCH(Calendar!$A6,DB!1:1,0)+2),FALSE),"")</f>
        <v/>
      </c>
      <c r="HUC6" s="27" t="str">
        <f>IFERROR(VLOOKUP(DATE($K$1,$K$2,HUC$4),Table1[],(MATCH(Calendar!$A6,DB!1:1,0)+2),FALSE),"")</f>
        <v/>
      </c>
      <c r="HUD6" s="27" t="str">
        <f>IFERROR(VLOOKUP(DATE($K$1,$K$2,HUD$4),Table1[],(MATCH(Calendar!$A6,DB!1:1,0)+2),FALSE),"")</f>
        <v/>
      </c>
      <c r="HUE6" s="27" t="str">
        <f>IFERROR(VLOOKUP(DATE($K$1,$K$2,HUE$4),Table1[],(MATCH(Calendar!$A6,DB!1:1,0)+2),FALSE),"")</f>
        <v/>
      </c>
      <c r="HUF6" s="27" t="str">
        <f>IFERROR(VLOOKUP(DATE($K$1,$K$2,HUF$4),Table1[],(MATCH(Calendar!$A6,DB!1:1,0)+2),FALSE),"")</f>
        <v/>
      </c>
      <c r="HUG6" s="27" t="str">
        <f>IFERROR(VLOOKUP(DATE($K$1,$K$2,HUG$4),Table1[],(MATCH(Calendar!$A6,DB!1:1,0)+2),FALSE),"")</f>
        <v/>
      </c>
      <c r="HUH6" s="27" t="str">
        <f>IFERROR(VLOOKUP(DATE($K$1,$K$2,HUH$4),Table1[],(MATCH(Calendar!$A6,DB!1:1,0)+2),FALSE),"")</f>
        <v/>
      </c>
      <c r="HUI6" s="27" t="str">
        <f>IFERROR(VLOOKUP(DATE($K$1,$K$2,HUI$4),Table1[],(MATCH(Calendar!$A6,DB!1:1,0)+2),FALSE),"")</f>
        <v/>
      </c>
      <c r="HUJ6" s="27" t="str">
        <f>IFERROR(VLOOKUP(DATE($K$1,$K$2,HUJ$4),Table1[],(MATCH(Calendar!$A6,DB!1:1,0)+2),FALSE),"")</f>
        <v/>
      </c>
      <c r="HUK6" s="27" t="str">
        <f>IFERROR(VLOOKUP(DATE($K$1,$K$2,HUK$4),Table1[],(MATCH(Calendar!$A6,DB!1:1,0)+2),FALSE),"")</f>
        <v/>
      </c>
      <c r="HUL6" s="27" t="str">
        <f>IFERROR(VLOOKUP(DATE($K$1,$K$2,HUL$4),Table1[],(MATCH(Calendar!$A6,DB!1:1,0)+2),FALSE),"")</f>
        <v/>
      </c>
      <c r="HUM6" s="27" t="str">
        <f>IFERROR(VLOOKUP(DATE($K$1,$K$2,HUM$4),Table1[],(MATCH(Calendar!$A6,DB!1:1,0)+2),FALSE),"")</f>
        <v/>
      </c>
      <c r="HUN6" s="27" t="str">
        <f>IFERROR(VLOOKUP(DATE($K$1,$K$2,HUN$4),Table1[],(MATCH(Calendar!$A6,DB!1:1,0)+2),FALSE),"")</f>
        <v/>
      </c>
      <c r="HUO6" s="27" t="str">
        <f>IFERROR(VLOOKUP(DATE($K$1,$K$2,HUO$4),Table1[],(MATCH(Calendar!$A6,DB!1:1,0)+2),FALSE),"")</f>
        <v/>
      </c>
      <c r="HUP6" s="27" t="str">
        <f>IFERROR(VLOOKUP(DATE($K$1,$K$2,HUP$4),Table1[],(MATCH(Calendar!$A6,DB!1:1,0)+2),FALSE),"")</f>
        <v/>
      </c>
      <c r="HUQ6" s="27" t="str">
        <f>IFERROR(VLOOKUP(DATE($K$1,$K$2,HUQ$4),Table1[],(MATCH(Calendar!$A6,DB!1:1,0)+2),FALSE),"")</f>
        <v/>
      </c>
      <c r="HUR6" s="27" t="str">
        <f>IFERROR(VLOOKUP(DATE($K$1,$K$2,HUR$4),Table1[],(MATCH(Calendar!$A6,DB!1:1,0)+2),FALSE),"")</f>
        <v/>
      </c>
      <c r="HUS6" s="27" t="str">
        <f>IFERROR(VLOOKUP(DATE($K$1,$K$2,HUS$4),Table1[],(MATCH(Calendar!$A6,DB!1:1,0)+2),FALSE),"")</f>
        <v/>
      </c>
      <c r="HUT6" s="27" t="str">
        <f>IFERROR(VLOOKUP(DATE($K$1,$K$2,HUT$4),Table1[],(MATCH(Calendar!$A6,DB!1:1,0)+2),FALSE),"")</f>
        <v/>
      </c>
      <c r="HUU6" s="27" t="str">
        <f>IFERROR(VLOOKUP(DATE($K$1,$K$2,HUU$4),Table1[],(MATCH(Calendar!$A6,DB!1:1,0)+2),FALSE),"")</f>
        <v/>
      </c>
      <c r="HUV6" s="27" t="str">
        <f>IFERROR(VLOOKUP(DATE($K$1,$K$2,HUV$4),Table1[],(MATCH(Calendar!$A6,DB!1:1,0)+2),FALSE),"")</f>
        <v/>
      </c>
      <c r="HUW6" s="27" t="str">
        <f>IFERROR(VLOOKUP(DATE($K$1,$K$2,HUW$4),Table1[],(MATCH(Calendar!$A6,DB!1:1,0)+2),FALSE),"")</f>
        <v/>
      </c>
      <c r="HUX6" s="27" t="str">
        <f>IFERROR(VLOOKUP(DATE($K$1,$K$2,HUX$4),Table1[],(MATCH(Calendar!$A6,DB!1:1,0)+2),FALSE),"")</f>
        <v/>
      </c>
      <c r="HUY6" s="27" t="str">
        <f>IFERROR(VLOOKUP(DATE($K$1,$K$2,HUY$4),Table1[],(MATCH(Calendar!$A6,DB!1:1,0)+2),FALSE),"")</f>
        <v/>
      </c>
      <c r="HUZ6" s="27" t="str">
        <f>IFERROR(VLOOKUP(DATE($K$1,$K$2,HUZ$4),Table1[],(MATCH(Calendar!$A6,DB!1:1,0)+2),FALSE),"")</f>
        <v/>
      </c>
      <c r="HVA6" s="27" t="str">
        <f>IFERROR(VLOOKUP(DATE($K$1,$K$2,HVA$4),Table1[],(MATCH(Calendar!$A6,DB!1:1,0)+2),FALSE),"")</f>
        <v/>
      </c>
      <c r="HVB6" s="27" t="str">
        <f>IFERROR(VLOOKUP(DATE($K$1,$K$2,HVB$4),Table1[],(MATCH(Calendar!$A6,DB!1:1,0)+2),FALSE),"")</f>
        <v/>
      </c>
      <c r="HVC6" s="27" t="str">
        <f>IFERROR(VLOOKUP(DATE($K$1,$K$2,HVC$4),Table1[],(MATCH(Calendar!$A6,DB!1:1,0)+2),FALSE),"")</f>
        <v/>
      </c>
      <c r="HVD6" s="27" t="str">
        <f>IFERROR(VLOOKUP(DATE($K$1,$K$2,HVD$4),Table1[],(MATCH(Calendar!$A6,DB!1:1,0)+2),FALSE),"")</f>
        <v/>
      </c>
      <c r="HVE6" s="27" t="str">
        <f>IFERROR(VLOOKUP(DATE($K$1,$K$2,HVE$4),Table1[],(MATCH(Calendar!$A6,DB!1:1,0)+2),FALSE),"")</f>
        <v/>
      </c>
      <c r="HVF6" s="27" t="str">
        <f>IFERROR(VLOOKUP(DATE($K$1,$K$2,HVF$4),Table1[],(MATCH(Calendar!$A6,DB!1:1,0)+2),FALSE),"")</f>
        <v/>
      </c>
      <c r="HVG6" s="27" t="str">
        <f>IFERROR(VLOOKUP(DATE($K$1,$K$2,HVG$4),Table1[],(MATCH(Calendar!$A6,DB!1:1,0)+2),FALSE),"")</f>
        <v/>
      </c>
      <c r="HVH6" s="27" t="str">
        <f>IFERROR(VLOOKUP(DATE($K$1,$K$2,HVH$4),Table1[],(MATCH(Calendar!$A6,DB!1:1,0)+2),FALSE),"")</f>
        <v/>
      </c>
      <c r="HVI6" s="27" t="str">
        <f>IFERROR(VLOOKUP(DATE($K$1,$K$2,HVI$4),Table1[],(MATCH(Calendar!$A6,DB!1:1,0)+2),FALSE),"")</f>
        <v/>
      </c>
      <c r="HVJ6" s="27" t="str">
        <f>IFERROR(VLOOKUP(DATE($K$1,$K$2,HVJ$4),Table1[],(MATCH(Calendar!$A6,DB!1:1,0)+2),FALSE),"")</f>
        <v/>
      </c>
      <c r="HVK6" s="27" t="str">
        <f>IFERROR(VLOOKUP(DATE($K$1,$K$2,HVK$4),Table1[],(MATCH(Calendar!$A6,DB!1:1,0)+2),FALSE),"")</f>
        <v/>
      </c>
      <c r="HVL6" s="27" t="str">
        <f>IFERROR(VLOOKUP(DATE($K$1,$K$2,HVL$4),Table1[],(MATCH(Calendar!$A6,DB!1:1,0)+2),FALSE),"")</f>
        <v/>
      </c>
      <c r="HVM6" s="27" t="str">
        <f>IFERROR(VLOOKUP(DATE($K$1,$K$2,HVM$4),Table1[],(MATCH(Calendar!$A6,DB!1:1,0)+2),FALSE),"")</f>
        <v/>
      </c>
      <c r="HVN6" s="27" t="str">
        <f>IFERROR(VLOOKUP(DATE($K$1,$K$2,HVN$4),Table1[],(MATCH(Calendar!$A6,DB!1:1,0)+2),FALSE),"")</f>
        <v/>
      </c>
      <c r="HVO6" s="27" t="str">
        <f>IFERROR(VLOOKUP(DATE($K$1,$K$2,HVO$4),Table1[],(MATCH(Calendar!$A6,DB!1:1,0)+2),FALSE),"")</f>
        <v/>
      </c>
      <c r="HVP6" s="27" t="str">
        <f>IFERROR(VLOOKUP(DATE($K$1,$K$2,HVP$4),Table1[],(MATCH(Calendar!$A6,DB!1:1,0)+2),FALSE),"")</f>
        <v/>
      </c>
      <c r="HVQ6" s="27" t="str">
        <f>IFERROR(VLOOKUP(DATE($K$1,$K$2,HVQ$4),Table1[],(MATCH(Calendar!$A6,DB!1:1,0)+2),FALSE),"")</f>
        <v/>
      </c>
      <c r="HVR6" s="27" t="str">
        <f>IFERROR(VLOOKUP(DATE($K$1,$K$2,HVR$4),Table1[],(MATCH(Calendar!$A6,DB!1:1,0)+2),FALSE),"")</f>
        <v/>
      </c>
      <c r="HVS6" s="27" t="str">
        <f>IFERROR(VLOOKUP(DATE($K$1,$K$2,HVS$4),Table1[],(MATCH(Calendar!$A6,DB!1:1,0)+2),FALSE),"")</f>
        <v/>
      </c>
      <c r="HVT6" s="27" t="str">
        <f>IFERROR(VLOOKUP(DATE($K$1,$K$2,HVT$4),Table1[],(MATCH(Calendar!$A6,DB!1:1,0)+2),FALSE),"")</f>
        <v/>
      </c>
      <c r="HVU6" s="27" t="str">
        <f>IFERROR(VLOOKUP(DATE($K$1,$K$2,HVU$4),Table1[],(MATCH(Calendar!$A6,DB!1:1,0)+2),FALSE),"")</f>
        <v/>
      </c>
      <c r="HVV6" s="27" t="str">
        <f>IFERROR(VLOOKUP(DATE($K$1,$K$2,HVV$4),Table1[],(MATCH(Calendar!$A6,DB!1:1,0)+2),FALSE),"")</f>
        <v/>
      </c>
      <c r="HVW6" s="27" t="str">
        <f>IFERROR(VLOOKUP(DATE($K$1,$K$2,HVW$4),Table1[],(MATCH(Calendar!$A6,DB!1:1,0)+2),FALSE),"")</f>
        <v/>
      </c>
      <c r="HVX6" s="27" t="str">
        <f>IFERROR(VLOOKUP(DATE($K$1,$K$2,HVX$4),Table1[],(MATCH(Calendar!$A6,DB!1:1,0)+2),FALSE),"")</f>
        <v/>
      </c>
      <c r="HVY6" s="27" t="str">
        <f>IFERROR(VLOOKUP(DATE($K$1,$K$2,HVY$4),Table1[],(MATCH(Calendar!$A6,DB!1:1,0)+2),FALSE),"")</f>
        <v/>
      </c>
      <c r="HVZ6" s="27" t="str">
        <f>IFERROR(VLOOKUP(DATE($K$1,$K$2,HVZ$4),Table1[],(MATCH(Calendar!$A6,DB!1:1,0)+2),FALSE),"")</f>
        <v/>
      </c>
      <c r="HWA6" s="27" t="str">
        <f>IFERROR(VLOOKUP(DATE($K$1,$K$2,HWA$4),Table1[],(MATCH(Calendar!$A6,DB!1:1,0)+2),FALSE),"")</f>
        <v/>
      </c>
      <c r="HWB6" s="27" t="str">
        <f>IFERROR(VLOOKUP(DATE($K$1,$K$2,HWB$4),Table1[],(MATCH(Calendar!$A6,DB!1:1,0)+2),FALSE),"")</f>
        <v/>
      </c>
      <c r="HWC6" s="27" t="str">
        <f>IFERROR(VLOOKUP(DATE($K$1,$K$2,HWC$4),Table1[],(MATCH(Calendar!$A6,DB!1:1,0)+2),FALSE),"")</f>
        <v/>
      </c>
      <c r="HWD6" s="27" t="str">
        <f>IFERROR(VLOOKUP(DATE($K$1,$K$2,HWD$4),Table1[],(MATCH(Calendar!$A6,DB!1:1,0)+2),FALSE),"")</f>
        <v/>
      </c>
      <c r="HWE6" s="27" t="str">
        <f>IFERROR(VLOOKUP(DATE($K$1,$K$2,HWE$4),Table1[],(MATCH(Calendar!$A6,DB!1:1,0)+2),FALSE),"")</f>
        <v/>
      </c>
      <c r="HWF6" s="27" t="str">
        <f>IFERROR(VLOOKUP(DATE($K$1,$K$2,HWF$4),Table1[],(MATCH(Calendar!$A6,DB!1:1,0)+2),FALSE),"")</f>
        <v/>
      </c>
      <c r="HWG6" s="27" t="str">
        <f>IFERROR(VLOOKUP(DATE($K$1,$K$2,HWG$4),Table1[],(MATCH(Calendar!$A6,DB!1:1,0)+2),FALSE),"")</f>
        <v/>
      </c>
      <c r="HWH6" s="27" t="str">
        <f>IFERROR(VLOOKUP(DATE($K$1,$K$2,HWH$4),Table1[],(MATCH(Calendar!$A6,DB!1:1,0)+2),FALSE),"")</f>
        <v/>
      </c>
      <c r="HWI6" s="27" t="str">
        <f>IFERROR(VLOOKUP(DATE($K$1,$K$2,HWI$4),Table1[],(MATCH(Calendar!$A6,DB!1:1,0)+2),FALSE),"")</f>
        <v/>
      </c>
      <c r="HWJ6" s="27" t="str">
        <f>IFERROR(VLOOKUP(DATE($K$1,$K$2,HWJ$4),Table1[],(MATCH(Calendar!$A6,DB!1:1,0)+2),FALSE),"")</f>
        <v/>
      </c>
      <c r="HWK6" s="27" t="str">
        <f>IFERROR(VLOOKUP(DATE($K$1,$K$2,HWK$4),Table1[],(MATCH(Calendar!$A6,DB!1:1,0)+2),FALSE),"")</f>
        <v/>
      </c>
      <c r="HWL6" s="27" t="str">
        <f>IFERROR(VLOOKUP(DATE($K$1,$K$2,HWL$4),Table1[],(MATCH(Calendar!$A6,DB!1:1,0)+2),FALSE),"")</f>
        <v/>
      </c>
      <c r="HWM6" s="27" t="str">
        <f>IFERROR(VLOOKUP(DATE($K$1,$K$2,HWM$4),Table1[],(MATCH(Calendar!$A6,DB!1:1,0)+2),FALSE),"")</f>
        <v/>
      </c>
      <c r="HWN6" s="27" t="str">
        <f>IFERROR(VLOOKUP(DATE($K$1,$K$2,HWN$4),Table1[],(MATCH(Calendar!$A6,DB!1:1,0)+2),FALSE),"")</f>
        <v/>
      </c>
      <c r="HWO6" s="27" t="str">
        <f>IFERROR(VLOOKUP(DATE($K$1,$K$2,HWO$4),Table1[],(MATCH(Calendar!$A6,DB!1:1,0)+2),FALSE),"")</f>
        <v/>
      </c>
      <c r="HWP6" s="27" t="str">
        <f>IFERROR(VLOOKUP(DATE($K$1,$K$2,HWP$4),Table1[],(MATCH(Calendar!$A6,DB!1:1,0)+2),FALSE),"")</f>
        <v/>
      </c>
      <c r="HWQ6" s="27" t="str">
        <f>IFERROR(VLOOKUP(DATE($K$1,$K$2,HWQ$4),Table1[],(MATCH(Calendar!$A6,DB!1:1,0)+2),FALSE),"")</f>
        <v/>
      </c>
      <c r="HWR6" s="27" t="str">
        <f>IFERROR(VLOOKUP(DATE($K$1,$K$2,HWR$4),Table1[],(MATCH(Calendar!$A6,DB!1:1,0)+2),FALSE),"")</f>
        <v/>
      </c>
      <c r="HWS6" s="27" t="str">
        <f>IFERROR(VLOOKUP(DATE($K$1,$K$2,HWS$4),Table1[],(MATCH(Calendar!$A6,DB!1:1,0)+2),FALSE),"")</f>
        <v/>
      </c>
      <c r="HWT6" s="27" t="str">
        <f>IFERROR(VLOOKUP(DATE($K$1,$K$2,HWT$4),Table1[],(MATCH(Calendar!$A6,DB!1:1,0)+2),FALSE),"")</f>
        <v/>
      </c>
      <c r="HWU6" s="27" t="str">
        <f>IFERROR(VLOOKUP(DATE($K$1,$K$2,HWU$4),Table1[],(MATCH(Calendar!$A6,DB!1:1,0)+2),FALSE),"")</f>
        <v/>
      </c>
      <c r="HWV6" s="27" t="str">
        <f>IFERROR(VLOOKUP(DATE($K$1,$K$2,HWV$4),Table1[],(MATCH(Calendar!$A6,DB!1:1,0)+2),FALSE),"")</f>
        <v/>
      </c>
      <c r="HWW6" s="27" t="str">
        <f>IFERROR(VLOOKUP(DATE($K$1,$K$2,HWW$4),Table1[],(MATCH(Calendar!$A6,DB!1:1,0)+2),FALSE),"")</f>
        <v/>
      </c>
      <c r="HWX6" s="27" t="str">
        <f>IFERROR(VLOOKUP(DATE($K$1,$K$2,HWX$4),Table1[],(MATCH(Calendar!$A6,DB!1:1,0)+2),FALSE),"")</f>
        <v/>
      </c>
      <c r="HWY6" s="27" t="str">
        <f>IFERROR(VLOOKUP(DATE($K$1,$K$2,HWY$4),Table1[],(MATCH(Calendar!$A6,DB!1:1,0)+2),FALSE),"")</f>
        <v/>
      </c>
      <c r="HWZ6" s="27" t="str">
        <f>IFERROR(VLOOKUP(DATE($K$1,$K$2,HWZ$4),Table1[],(MATCH(Calendar!$A6,DB!1:1,0)+2),FALSE),"")</f>
        <v/>
      </c>
      <c r="HXA6" s="27" t="str">
        <f>IFERROR(VLOOKUP(DATE($K$1,$K$2,HXA$4),Table1[],(MATCH(Calendar!$A6,DB!1:1,0)+2),FALSE),"")</f>
        <v/>
      </c>
      <c r="HXB6" s="27" t="str">
        <f>IFERROR(VLOOKUP(DATE($K$1,$K$2,HXB$4),Table1[],(MATCH(Calendar!$A6,DB!1:1,0)+2),FALSE),"")</f>
        <v/>
      </c>
      <c r="HXC6" s="27" t="str">
        <f>IFERROR(VLOOKUP(DATE($K$1,$K$2,HXC$4),Table1[],(MATCH(Calendar!$A6,DB!1:1,0)+2),FALSE),"")</f>
        <v/>
      </c>
      <c r="HXD6" s="27" t="str">
        <f>IFERROR(VLOOKUP(DATE($K$1,$K$2,HXD$4),Table1[],(MATCH(Calendar!$A6,DB!1:1,0)+2),FALSE),"")</f>
        <v/>
      </c>
      <c r="HXE6" s="27" t="str">
        <f>IFERROR(VLOOKUP(DATE($K$1,$K$2,HXE$4),Table1[],(MATCH(Calendar!$A6,DB!1:1,0)+2),FALSE),"")</f>
        <v/>
      </c>
      <c r="HXF6" s="27" t="str">
        <f>IFERROR(VLOOKUP(DATE($K$1,$K$2,HXF$4),Table1[],(MATCH(Calendar!$A6,DB!1:1,0)+2),FALSE),"")</f>
        <v/>
      </c>
      <c r="HXG6" s="27" t="str">
        <f>IFERROR(VLOOKUP(DATE($K$1,$K$2,HXG$4),Table1[],(MATCH(Calendar!$A6,DB!1:1,0)+2),FALSE),"")</f>
        <v/>
      </c>
      <c r="HXH6" s="27" t="str">
        <f>IFERROR(VLOOKUP(DATE($K$1,$K$2,HXH$4),Table1[],(MATCH(Calendar!$A6,DB!1:1,0)+2),FALSE),"")</f>
        <v/>
      </c>
      <c r="HXI6" s="27" t="str">
        <f>IFERROR(VLOOKUP(DATE($K$1,$K$2,HXI$4),Table1[],(MATCH(Calendar!$A6,DB!1:1,0)+2),FALSE),"")</f>
        <v/>
      </c>
      <c r="HXJ6" s="27" t="str">
        <f>IFERROR(VLOOKUP(DATE($K$1,$K$2,HXJ$4),Table1[],(MATCH(Calendar!$A6,DB!1:1,0)+2),FALSE),"")</f>
        <v/>
      </c>
      <c r="HXK6" s="27" t="str">
        <f>IFERROR(VLOOKUP(DATE($K$1,$K$2,HXK$4),Table1[],(MATCH(Calendar!$A6,DB!1:1,0)+2),FALSE),"")</f>
        <v/>
      </c>
      <c r="HXL6" s="27" t="str">
        <f>IFERROR(VLOOKUP(DATE($K$1,$K$2,HXL$4),Table1[],(MATCH(Calendar!$A6,DB!1:1,0)+2),FALSE),"")</f>
        <v/>
      </c>
      <c r="HXM6" s="27" t="str">
        <f>IFERROR(VLOOKUP(DATE($K$1,$K$2,HXM$4),Table1[],(MATCH(Calendar!$A6,DB!1:1,0)+2),FALSE),"")</f>
        <v/>
      </c>
      <c r="HXN6" s="27" t="str">
        <f>IFERROR(VLOOKUP(DATE($K$1,$K$2,HXN$4),Table1[],(MATCH(Calendar!$A6,DB!1:1,0)+2),FALSE),"")</f>
        <v/>
      </c>
      <c r="HXO6" s="27" t="str">
        <f>IFERROR(VLOOKUP(DATE($K$1,$K$2,HXO$4),Table1[],(MATCH(Calendar!$A6,DB!1:1,0)+2),FALSE),"")</f>
        <v/>
      </c>
      <c r="HXP6" s="27" t="str">
        <f>IFERROR(VLOOKUP(DATE($K$1,$K$2,HXP$4),Table1[],(MATCH(Calendar!$A6,DB!1:1,0)+2),FALSE),"")</f>
        <v/>
      </c>
      <c r="HXQ6" s="27" t="str">
        <f>IFERROR(VLOOKUP(DATE($K$1,$K$2,HXQ$4),Table1[],(MATCH(Calendar!$A6,DB!1:1,0)+2),FALSE),"")</f>
        <v/>
      </c>
      <c r="HXR6" s="27" t="str">
        <f>IFERROR(VLOOKUP(DATE($K$1,$K$2,HXR$4),Table1[],(MATCH(Calendar!$A6,DB!1:1,0)+2),FALSE),"")</f>
        <v/>
      </c>
      <c r="HXS6" s="27" t="str">
        <f>IFERROR(VLOOKUP(DATE($K$1,$K$2,HXS$4),Table1[],(MATCH(Calendar!$A6,DB!1:1,0)+2),FALSE),"")</f>
        <v/>
      </c>
      <c r="HXT6" s="27" t="str">
        <f>IFERROR(VLOOKUP(DATE($K$1,$K$2,HXT$4),Table1[],(MATCH(Calendar!$A6,DB!1:1,0)+2),FALSE),"")</f>
        <v/>
      </c>
      <c r="HXU6" s="27" t="str">
        <f>IFERROR(VLOOKUP(DATE($K$1,$K$2,HXU$4),Table1[],(MATCH(Calendar!$A6,DB!1:1,0)+2),FALSE),"")</f>
        <v/>
      </c>
      <c r="HXV6" s="27" t="str">
        <f>IFERROR(VLOOKUP(DATE($K$1,$K$2,HXV$4),Table1[],(MATCH(Calendar!$A6,DB!1:1,0)+2),FALSE),"")</f>
        <v/>
      </c>
      <c r="HXW6" s="27" t="str">
        <f>IFERROR(VLOOKUP(DATE($K$1,$K$2,HXW$4),Table1[],(MATCH(Calendar!$A6,DB!1:1,0)+2),FALSE),"")</f>
        <v/>
      </c>
      <c r="HXX6" s="27" t="str">
        <f>IFERROR(VLOOKUP(DATE($K$1,$K$2,HXX$4),Table1[],(MATCH(Calendar!$A6,DB!1:1,0)+2),FALSE),"")</f>
        <v/>
      </c>
      <c r="HXY6" s="27" t="str">
        <f>IFERROR(VLOOKUP(DATE($K$1,$K$2,HXY$4),Table1[],(MATCH(Calendar!$A6,DB!1:1,0)+2),FALSE),"")</f>
        <v/>
      </c>
      <c r="HXZ6" s="27" t="str">
        <f>IFERROR(VLOOKUP(DATE($K$1,$K$2,HXZ$4),Table1[],(MATCH(Calendar!$A6,DB!1:1,0)+2),FALSE),"")</f>
        <v/>
      </c>
      <c r="HYA6" s="27" t="str">
        <f>IFERROR(VLOOKUP(DATE($K$1,$K$2,HYA$4),Table1[],(MATCH(Calendar!$A6,DB!1:1,0)+2),FALSE),"")</f>
        <v/>
      </c>
      <c r="HYB6" s="27" t="str">
        <f>IFERROR(VLOOKUP(DATE($K$1,$K$2,HYB$4),Table1[],(MATCH(Calendar!$A6,DB!1:1,0)+2),FALSE),"")</f>
        <v/>
      </c>
      <c r="HYC6" s="27" t="str">
        <f>IFERROR(VLOOKUP(DATE($K$1,$K$2,HYC$4),Table1[],(MATCH(Calendar!$A6,DB!1:1,0)+2),FALSE),"")</f>
        <v/>
      </c>
      <c r="HYD6" s="27" t="str">
        <f>IFERROR(VLOOKUP(DATE($K$1,$K$2,HYD$4),Table1[],(MATCH(Calendar!$A6,DB!1:1,0)+2),FALSE),"")</f>
        <v/>
      </c>
      <c r="HYE6" s="27" t="str">
        <f>IFERROR(VLOOKUP(DATE($K$1,$K$2,HYE$4),Table1[],(MATCH(Calendar!$A6,DB!1:1,0)+2),FALSE),"")</f>
        <v/>
      </c>
      <c r="HYF6" s="27" t="str">
        <f>IFERROR(VLOOKUP(DATE($K$1,$K$2,HYF$4),Table1[],(MATCH(Calendar!$A6,DB!1:1,0)+2),FALSE),"")</f>
        <v/>
      </c>
      <c r="HYG6" s="27" t="str">
        <f>IFERROR(VLOOKUP(DATE($K$1,$K$2,HYG$4),Table1[],(MATCH(Calendar!$A6,DB!1:1,0)+2),FALSE),"")</f>
        <v/>
      </c>
      <c r="HYH6" s="27" t="str">
        <f>IFERROR(VLOOKUP(DATE($K$1,$K$2,HYH$4),Table1[],(MATCH(Calendar!$A6,DB!1:1,0)+2),FALSE),"")</f>
        <v/>
      </c>
      <c r="HYI6" s="27" t="str">
        <f>IFERROR(VLOOKUP(DATE($K$1,$K$2,HYI$4),Table1[],(MATCH(Calendar!$A6,DB!1:1,0)+2),FALSE),"")</f>
        <v/>
      </c>
      <c r="HYJ6" s="27" t="str">
        <f>IFERROR(VLOOKUP(DATE($K$1,$K$2,HYJ$4),Table1[],(MATCH(Calendar!$A6,DB!1:1,0)+2),FALSE),"")</f>
        <v/>
      </c>
      <c r="HYK6" s="27" t="str">
        <f>IFERROR(VLOOKUP(DATE($K$1,$K$2,HYK$4),Table1[],(MATCH(Calendar!$A6,DB!1:1,0)+2),FALSE),"")</f>
        <v/>
      </c>
      <c r="HYL6" s="27" t="str">
        <f>IFERROR(VLOOKUP(DATE($K$1,$K$2,HYL$4),Table1[],(MATCH(Calendar!$A6,DB!1:1,0)+2),FALSE),"")</f>
        <v/>
      </c>
      <c r="HYM6" s="27" t="str">
        <f>IFERROR(VLOOKUP(DATE($K$1,$K$2,HYM$4),Table1[],(MATCH(Calendar!$A6,DB!1:1,0)+2),FALSE),"")</f>
        <v/>
      </c>
      <c r="HYN6" s="27" t="str">
        <f>IFERROR(VLOOKUP(DATE($K$1,$K$2,HYN$4),Table1[],(MATCH(Calendar!$A6,DB!1:1,0)+2),FALSE),"")</f>
        <v/>
      </c>
      <c r="HYO6" s="27" t="str">
        <f>IFERROR(VLOOKUP(DATE($K$1,$K$2,HYO$4),Table1[],(MATCH(Calendar!$A6,DB!1:1,0)+2),FALSE),"")</f>
        <v/>
      </c>
      <c r="HYP6" s="27" t="str">
        <f>IFERROR(VLOOKUP(DATE($K$1,$K$2,HYP$4),Table1[],(MATCH(Calendar!$A6,DB!1:1,0)+2),FALSE),"")</f>
        <v/>
      </c>
      <c r="HYQ6" s="27" t="str">
        <f>IFERROR(VLOOKUP(DATE($K$1,$K$2,HYQ$4),Table1[],(MATCH(Calendar!$A6,DB!1:1,0)+2),FALSE),"")</f>
        <v/>
      </c>
      <c r="HYR6" s="27" t="str">
        <f>IFERROR(VLOOKUP(DATE($K$1,$K$2,HYR$4),Table1[],(MATCH(Calendar!$A6,DB!1:1,0)+2),FALSE),"")</f>
        <v/>
      </c>
      <c r="HYS6" s="27" t="str">
        <f>IFERROR(VLOOKUP(DATE($K$1,$K$2,HYS$4),Table1[],(MATCH(Calendar!$A6,DB!1:1,0)+2),FALSE),"")</f>
        <v/>
      </c>
      <c r="HYT6" s="27" t="str">
        <f>IFERROR(VLOOKUP(DATE($K$1,$K$2,HYT$4),Table1[],(MATCH(Calendar!$A6,DB!1:1,0)+2),FALSE),"")</f>
        <v/>
      </c>
      <c r="HYU6" s="27" t="str">
        <f>IFERROR(VLOOKUP(DATE($K$1,$K$2,HYU$4),Table1[],(MATCH(Calendar!$A6,DB!1:1,0)+2),FALSE),"")</f>
        <v/>
      </c>
      <c r="HYV6" s="27" t="str">
        <f>IFERROR(VLOOKUP(DATE($K$1,$K$2,HYV$4),Table1[],(MATCH(Calendar!$A6,DB!1:1,0)+2),FALSE),"")</f>
        <v/>
      </c>
      <c r="HYW6" s="27" t="str">
        <f>IFERROR(VLOOKUP(DATE($K$1,$K$2,HYW$4),Table1[],(MATCH(Calendar!$A6,DB!1:1,0)+2),FALSE),"")</f>
        <v/>
      </c>
      <c r="HYX6" s="27" t="str">
        <f>IFERROR(VLOOKUP(DATE($K$1,$K$2,HYX$4),Table1[],(MATCH(Calendar!$A6,DB!1:1,0)+2),FALSE),"")</f>
        <v/>
      </c>
      <c r="HYY6" s="27" t="str">
        <f>IFERROR(VLOOKUP(DATE($K$1,$K$2,HYY$4),Table1[],(MATCH(Calendar!$A6,DB!1:1,0)+2),FALSE),"")</f>
        <v/>
      </c>
      <c r="HYZ6" s="27" t="str">
        <f>IFERROR(VLOOKUP(DATE($K$1,$K$2,HYZ$4),Table1[],(MATCH(Calendar!$A6,DB!1:1,0)+2),FALSE),"")</f>
        <v/>
      </c>
      <c r="HZA6" s="27" t="str">
        <f>IFERROR(VLOOKUP(DATE($K$1,$K$2,HZA$4),Table1[],(MATCH(Calendar!$A6,DB!1:1,0)+2),FALSE),"")</f>
        <v/>
      </c>
      <c r="HZB6" s="27" t="str">
        <f>IFERROR(VLOOKUP(DATE($K$1,$K$2,HZB$4),Table1[],(MATCH(Calendar!$A6,DB!1:1,0)+2),FALSE),"")</f>
        <v/>
      </c>
      <c r="HZC6" s="27" t="str">
        <f>IFERROR(VLOOKUP(DATE($K$1,$K$2,HZC$4),Table1[],(MATCH(Calendar!$A6,DB!1:1,0)+2),FALSE),"")</f>
        <v/>
      </c>
      <c r="HZD6" s="27" t="str">
        <f>IFERROR(VLOOKUP(DATE($K$1,$K$2,HZD$4),Table1[],(MATCH(Calendar!$A6,DB!1:1,0)+2),FALSE),"")</f>
        <v/>
      </c>
      <c r="HZE6" s="27" t="str">
        <f>IFERROR(VLOOKUP(DATE($K$1,$K$2,HZE$4),Table1[],(MATCH(Calendar!$A6,DB!1:1,0)+2),FALSE),"")</f>
        <v/>
      </c>
      <c r="HZF6" s="27" t="str">
        <f>IFERROR(VLOOKUP(DATE($K$1,$K$2,HZF$4),Table1[],(MATCH(Calendar!$A6,DB!1:1,0)+2),FALSE),"")</f>
        <v/>
      </c>
      <c r="HZG6" s="27" t="str">
        <f>IFERROR(VLOOKUP(DATE($K$1,$K$2,HZG$4),Table1[],(MATCH(Calendar!$A6,DB!1:1,0)+2),FALSE),"")</f>
        <v/>
      </c>
      <c r="HZH6" s="27" t="str">
        <f>IFERROR(VLOOKUP(DATE($K$1,$K$2,HZH$4),Table1[],(MATCH(Calendar!$A6,DB!1:1,0)+2),FALSE),"")</f>
        <v/>
      </c>
      <c r="HZI6" s="27" t="str">
        <f>IFERROR(VLOOKUP(DATE($K$1,$K$2,HZI$4),Table1[],(MATCH(Calendar!$A6,DB!1:1,0)+2),FALSE),"")</f>
        <v/>
      </c>
      <c r="HZJ6" s="27" t="str">
        <f>IFERROR(VLOOKUP(DATE($K$1,$K$2,HZJ$4),Table1[],(MATCH(Calendar!$A6,DB!1:1,0)+2),FALSE),"")</f>
        <v/>
      </c>
      <c r="HZK6" s="27" t="str">
        <f>IFERROR(VLOOKUP(DATE($K$1,$K$2,HZK$4),Table1[],(MATCH(Calendar!$A6,DB!1:1,0)+2),FALSE),"")</f>
        <v/>
      </c>
      <c r="HZL6" s="27" t="str">
        <f>IFERROR(VLOOKUP(DATE($K$1,$K$2,HZL$4),Table1[],(MATCH(Calendar!$A6,DB!1:1,0)+2),FALSE),"")</f>
        <v/>
      </c>
      <c r="HZM6" s="27" t="str">
        <f>IFERROR(VLOOKUP(DATE($K$1,$K$2,HZM$4),Table1[],(MATCH(Calendar!$A6,DB!1:1,0)+2),FALSE),"")</f>
        <v/>
      </c>
      <c r="HZN6" s="27" t="str">
        <f>IFERROR(VLOOKUP(DATE($K$1,$K$2,HZN$4),Table1[],(MATCH(Calendar!$A6,DB!1:1,0)+2),FALSE),"")</f>
        <v/>
      </c>
      <c r="HZO6" s="27" t="str">
        <f>IFERROR(VLOOKUP(DATE($K$1,$K$2,HZO$4),Table1[],(MATCH(Calendar!$A6,DB!1:1,0)+2),FALSE),"")</f>
        <v/>
      </c>
      <c r="HZP6" s="27" t="str">
        <f>IFERROR(VLOOKUP(DATE($K$1,$K$2,HZP$4),Table1[],(MATCH(Calendar!$A6,DB!1:1,0)+2),FALSE),"")</f>
        <v/>
      </c>
      <c r="HZQ6" s="27" t="str">
        <f>IFERROR(VLOOKUP(DATE($K$1,$K$2,HZQ$4),Table1[],(MATCH(Calendar!$A6,DB!1:1,0)+2),FALSE),"")</f>
        <v/>
      </c>
      <c r="HZR6" s="27" t="str">
        <f>IFERROR(VLOOKUP(DATE($K$1,$K$2,HZR$4),Table1[],(MATCH(Calendar!$A6,DB!1:1,0)+2),FALSE),"")</f>
        <v/>
      </c>
      <c r="HZS6" s="27" t="str">
        <f>IFERROR(VLOOKUP(DATE($K$1,$K$2,HZS$4),Table1[],(MATCH(Calendar!$A6,DB!1:1,0)+2),FALSE),"")</f>
        <v/>
      </c>
      <c r="HZT6" s="27" t="str">
        <f>IFERROR(VLOOKUP(DATE($K$1,$K$2,HZT$4),Table1[],(MATCH(Calendar!$A6,DB!1:1,0)+2),FALSE),"")</f>
        <v/>
      </c>
      <c r="HZU6" s="27" t="str">
        <f>IFERROR(VLOOKUP(DATE($K$1,$K$2,HZU$4),Table1[],(MATCH(Calendar!$A6,DB!1:1,0)+2),FALSE),"")</f>
        <v/>
      </c>
      <c r="HZV6" s="27" t="str">
        <f>IFERROR(VLOOKUP(DATE($K$1,$K$2,HZV$4),Table1[],(MATCH(Calendar!$A6,DB!1:1,0)+2),FALSE),"")</f>
        <v/>
      </c>
      <c r="HZW6" s="27" t="str">
        <f>IFERROR(VLOOKUP(DATE($K$1,$K$2,HZW$4),Table1[],(MATCH(Calendar!$A6,DB!1:1,0)+2),FALSE),"")</f>
        <v/>
      </c>
      <c r="HZX6" s="27" t="str">
        <f>IFERROR(VLOOKUP(DATE($K$1,$K$2,HZX$4),Table1[],(MATCH(Calendar!$A6,DB!1:1,0)+2),FALSE),"")</f>
        <v/>
      </c>
      <c r="HZY6" s="27" t="str">
        <f>IFERROR(VLOOKUP(DATE($K$1,$K$2,HZY$4),Table1[],(MATCH(Calendar!$A6,DB!1:1,0)+2),FALSE),"")</f>
        <v/>
      </c>
      <c r="HZZ6" s="27" t="str">
        <f>IFERROR(VLOOKUP(DATE($K$1,$K$2,HZZ$4),Table1[],(MATCH(Calendar!$A6,DB!1:1,0)+2),FALSE),"")</f>
        <v/>
      </c>
      <c r="IAA6" s="27" t="str">
        <f>IFERROR(VLOOKUP(DATE($K$1,$K$2,IAA$4),Table1[],(MATCH(Calendar!$A6,DB!1:1,0)+2),FALSE),"")</f>
        <v/>
      </c>
      <c r="IAB6" s="27" t="str">
        <f>IFERROR(VLOOKUP(DATE($K$1,$K$2,IAB$4),Table1[],(MATCH(Calendar!$A6,DB!1:1,0)+2),FALSE),"")</f>
        <v/>
      </c>
      <c r="IAC6" s="27" t="str">
        <f>IFERROR(VLOOKUP(DATE($K$1,$K$2,IAC$4),Table1[],(MATCH(Calendar!$A6,DB!1:1,0)+2),FALSE),"")</f>
        <v/>
      </c>
      <c r="IAD6" s="27" t="str">
        <f>IFERROR(VLOOKUP(DATE($K$1,$K$2,IAD$4),Table1[],(MATCH(Calendar!$A6,DB!1:1,0)+2),FALSE),"")</f>
        <v/>
      </c>
      <c r="IAE6" s="27" t="str">
        <f>IFERROR(VLOOKUP(DATE($K$1,$K$2,IAE$4),Table1[],(MATCH(Calendar!$A6,DB!1:1,0)+2),FALSE),"")</f>
        <v/>
      </c>
      <c r="IAF6" s="27" t="str">
        <f>IFERROR(VLOOKUP(DATE($K$1,$K$2,IAF$4),Table1[],(MATCH(Calendar!$A6,DB!1:1,0)+2),FALSE),"")</f>
        <v/>
      </c>
      <c r="IAG6" s="27" t="str">
        <f>IFERROR(VLOOKUP(DATE($K$1,$K$2,IAG$4),Table1[],(MATCH(Calendar!$A6,DB!1:1,0)+2),FALSE),"")</f>
        <v/>
      </c>
      <c r="IAH6" s="27" t="str">
        <f>IFERROR(VLOOKUP(DATE($K$1,$K$2,IAH$4),Table1[],(MATCH(Calendar!$A6,DB!1:1,0)+2),FALSE),"")</f>
        <v/>
      </c>
      <c r="IAI6" s="27" t="str">
        <f>IFERROR(VLOOKUP(DATE($K$1,$K$2,IAI$4),Table1[],(MATCH(Calendar!$A6,DB!1:1,0)+2),FALSE),"")</f>
        <v/>
      </c>
      <c r="IAJ6" s="27" t="str">
        <f>IFERROR(VLOOKUP(DATE($K$1,$K$2,IAJ$4),Table1[],(MATCH(Calendar!$A6,DB!1:1,0)+2),FALSE),"")</f>
        <v/>
      </c>
      <c r="IAK6" s="27" t="str">
        <f>IFERROR(VLOOKUP(DATE($K$1,$K$2,IAK$4),Table1[],(MATCH(Calendar!$A6,DB!1:1,0)+2),FALSE),"")</f>
        <v/>
      </c>
      <c r="IAL6" s="27" t="str">
        <f>IFERROR(VLOOKUP(DATE($K$1,$K$2,IAL$4),Table1[],(MATCH(Calendar!$A6,DB!1:1,0)+2),FALSE),"")</f>
        <v/>
      </c>
      <c r="IAM6" s="27" t="str">
        <f>IFERROR(VLOOKUP(DATE($K$1,$K$2,IAM$4),Table1[],(MATCH(Calendar!$A6,DB!1:1,0)+2),FALSE),"")</f>
        <v/>
      </c>
      <c r="IAN6" s="27" t="str">
        <f>IFERROR(VLOOKUP(DATE($K$1,$K$2,IAN$4),Table1[],(MATCH(Calendar!$A6,DB!1:1,0)+2),FALSE),"")</f>
        <v/>
      </c>
      <c r="IAO6" s="27" t="str">
        <f>IFERROR(VLOOKUP(DATE($K$1,$K$2,IAO$4),Table1[],(MATCH(Calendar!$A6,DB!1:1,0)+2),FALSE),"")</f>
        <v/>
      </c>
      <c r="IAP6" s="27" t="str">
        <f>IFERROR(VLOOKUP(DATE($K$1,$K$2,IAP$4),Table1[],(MATCH(Calendar!$A6,DB!1:1,0)+2),FALSE),"")</f>
        <v/>
      </c>
      <c r="IAQ6" s="27" t="str">
        <f>IFERROR(VLOOKUP(DATE($K$1,$K$2,IAQ$4),Table1[],(MATCH(Calendar!$A6,DB!1:1,0)+2),FALSE),"")</f>
        <v/>
      </c>
      <c r="IAR6" s="27" t="str">
        <f>IFERROR(VLOOKUP(DATE($K$1,$K$2,IAR$4),Table1[],(MATCH(Calendar!$A6,DB!1:1,0)+2),FALSE),"")</f>
        <v/>
      </c>
      <c r="IAS6" s="27" t="str">
        <f>IFERROR(VLOOKUP(DATE($K$1,$K$2,IAS$4),Table1[],(MATCH(Calendar!$A6,DB!1:1,0)+2),FALSE),"")</f>
        <v/>
      </c>
      <c r="IAT6" s="27" t="str">
        <f>IFERROR(VLOOKUP(DATE($K$1,$K$2,IAT$4),Table1[],(MATCH(Calendar!$A6,DB!1:1,0)+2),FALSE),"")</f>
        <v/>
      </c>
      <c r="IAU6" s="27" t="str">
        <f>IFERROR(VLOOKUP(DATE($K$1,$K$2,IAU$4),Table1[],(MATCH(Calendar!$A6,DB!1:1,0)+2),FALSE),"")</f>
        <v/>
      </c>
      <c r="IAV6" s="27" t="str">
        <f>IFERROR(VLOOKUP(DATE($K$1,$K$2,IAV$4),Table1[],(MATCH(Calendar!$A6,DB!1:1,0)+2),FALSE),"")</f>
        <v/>
      </c>
      <c r="IAW6" s="27" t="str">
        <f>IFERROR(VLOOKUP(DATE($K$1,$K$2,IAW$4),Table1[],(MATCH(Calendar!$A6,DB!1:1,0)+2),FALSE),"")</f>
        <v/>
      </c>
      <c r="IAX6" s="27" t="str">
        <f>IFERROR(VLOOKUP(DATE($K$1,$K$2,IAX$4),Table1[],(MATCH(Calendar!$A6,DB!1:1,0)+2),FALSE),"")</f>
        <v/>
      </c>
      <c r="IAY6" s="27" t="str">
        <f>IFERROR(VLOOKUP(DATE($K$1,$K$2,IAY$4),Table1[],(MATCH(Calendar!$A6,DB!1:1,0)+2),FALSE),"")</f>
        <v/>
      </c>
      <c r="IAZ6" s="27" t="str">
        <f>IFERROR(VLOOKUP(DATE($K$1,$K$2,IAZ$4),Table1[],(MATCH(Calendar!$A6,DB!1:1,0)+2),FALSE),"")</f>
        <v/>
      </c>
      <c r="IBA6" s="27" t="str">
        <f>IFERROR(VLOOKUP(DATE($K$1,$K$2,IBA$4),Table1[],(MATCH(Calendar!$A6,DB!1:1,0)+2),FALSE),"")</f>
        <v/>
      </c>
      <c r="IBB6" s="27" t="str">
        <f>IFERROR(VLOOKUP(DATE($K$1,$K$2,IBB$4),Table1[],(MATCH(Calendar!$A6,DB!1:1,0)+2),FALSE),"")</f>
        <v/>
      </c>
      <c r="IBC6" s="27" t="str">
        <f>IFERROR(VLOOKUP(DATE($K$1,$K$2,IBC$4),Table1[],(MATCH(Calendar!$A6,DB!1:1,0)+2),FALSE),"")</f>
        <v/>
      </c>
      <c r="IBD6" s="27" t="str">
        <f>IFERROR(VLOOKUP(DATE($K$1,$K$2,IBD$4),Table1[],(MATCH(Calendar!$A6,DB!1:1,0)+2),FALSE),"")</f>
        <v/>
      </c>
      <c r="IBE6" s="27" t="str">
        <f>IFERROR(VLOOKUP(DATE($K$1,$K$2,IBE$4),Table1[],(MATCH(Calendar!$A6,DB!1:1,0)+2),FALSE),"")</f>
        <v/>
      </c>
      <c r="IBF6" s="27" t="str">
        <f>IFERROR(VLOOKUP(DATE($K$1,$K$2,IBF$4),Table1[],(MATCH(Calendar!$A6,DB!1:1,0)+2),FALSE),"")</f>
        <v/>
      </c>
      <c r="IBG6" s="27" t="str">
        <f>IFERROR(VLOOKUP(DATE($K$1,$K$2,IBG$4),Table1[],(MATCH(Calendar!$A6,DB!1:1,0)+2),FALSE),"")</f>
        <v/>
      </c>
      <c r="IBH6" s="27" t="str">
        <f>IFERROR(VLOOKUP(DATE($K$1,$K$2,IBH$4),Table1[],(MATCH(Calendar!$A6,DB!1:1,0)+2),FALSE),"")</f>
        <v/>
      </c>
      <c r="IBI6" s="27" t="str">
        <f>IFERROR(VLOOKUP(DATE($K$1,$K$2,IBI$4),Table1[],(MATCH(Calendar!$A6,DB!1:1,0)+2),FALSE),"")</f>
        <v/>
      </c>
      <c r="IBJ6" s="27" t="str">
        <f>IFERROR(VLOOKUP(DATE($K$1,$K$2,IBJ$4),Table1[],(MATCH(Calendar!$A6,DB!1:1,0)+2),FALSE),"")</f>
        <v/>
      </c>
      <c r="IBK6" s="27" t="str">
        <f>IFERROR(VLOOKUP(DATE($K$1,$K$2,IBK$4),Table1[],(MATCH(Calendar!$A6,DB!1:1,0)+2),FALSE),"")</f>
        <v/>
      </c>
      <c r="IBL6" s="27" t="str">
        <f>IFERROR(VLOOKUP(DATE($K$1,$K$2,IBL$4),Table1[],(MATCH(Calendar!$A6,DB!1:1,0)+2),FALSE),"")</f>
        <v/>
      </c>
      <c r="IBM6" s="27" t="str">
        <f>IFERROR(VLOOKUP(DATE($K$1,$K$2,IBM$4),Table1[],(MATCH(Calendar!$A6,DB!1:1,0)+2),FALSE),"")</f>
        <v/>
      </c>
      <c r="IBN6" s="27" t="str">
        <f>IFERROR(VLOOKUP(DATE($K$1,$K$2,IBN$4),Table1[],(MATCH(Calendar!$A6,DB!1:1,0)+2),FALSE),"")</f>
        <v/>
      </c>
      <c r="IBO6" s="27" t="str">
        <f>IFERROR(VLOOKUP(DATE($K$1,$K$2,IBO$4),Table1[],(MATCH(Calendar!$A6,DB!1:1,0)+2),FALSE),"")</f>
        <v/>
      </c>
      <c r="IBP6" s="27" t="str">
        <f>IFERROR(VLOOKUP(DATE($K$1,$K$2,IBP$4),Table1[],(MATCH(Calendar!$A6,DB!1:1,0)+2),FALSE),"")</f>
        <v/>
      </c>
      <c r="IBQ6" s="27" t="str">
        <f>IFERROR(VLOOKUP(DATE($K$1,$K$2,IBQ$4),Table1[],(MATCH(Calendar!$A6,DB!1:1,0)+2),FALSE),"")</f>
        <v/>
      </c>
      <c r="IBR6" s="27" t="str">
        <f>IFERROR(VLOOKUP(DATE($K$1,$K$2,IBR$4),Table1[],(MATCH(Calendar!$A6,DB!1:1,0)+2),FALSE),"")</f>
        <v/>
      </c>
      <c r="IBS6" s="27" t="str">
        <f>IFERROR(VLOOKUP(DATE($K$1,$K$2,IBS$4),Table1[],(MATCH(Calendar!$A6,DB!1:1,0)+2),FALSE),"")</f>
        <v/>
      </c>
      <c r="IBT6" s="27" t="str">
        <f>IFERROR(VLOOKUP(DATE($K$1,$K$2,IBT$4),Table1[],(MATCH(Calendar!$A6,DB!1:1,0)+2),FALSE),"")</f>
        <v/>
      </c>
      <c r="IBU6" s="27" t="str">
        <f>IFERROR(VLOOKUP(DATE($K$1,$K$2,IBU$4),Table1[],(MATCH(Calendar!$A6,DB!1:1,0)+2),FALSE),"")</f>
        <v/>
      </c>
      <c r="IBV6" s="27" t="str">
        <f>IFERROR(VLOOKUP(DATE($K$1,$K$2,IBV$4),Table1[],(MATCH(Calendar!$A6,DB!1:1,0)+2),FALSE),"")</f>
        <v/>
      </c>
      <c r="IBW6" s="27" t="str">
        <f>IFERROR(VLOOKUP(DATE($K$1,$K$2,IBW$4),Table1[],(MATCH(Calendar!$A6,DB!1:1,0)+2),FALSE),"")</f>
        <v/>
      </c>
      <c r="IBX6" s="27" t="str">
        <f>IFERROR(VLOOKUP(DATE($K$1,$K$2,IBX$4),Table1[],(MATCH(Calendar!$A6,DB!1:1,0)+2),FALSE),"")</f>
        <v/>
      </c>
      <c r="IBY6" s="27" t="str">
        <f>IFERROR(VLOOKUP(DATE($K$1,$K$2,IBY$4),Table1[],(MATCH(Calendar!$A6,DB!1:1,0)+2),FALSE),"")</f>
        <v/>
      </c>
      <c r="IBZ6" s="27" t="str">
        <f>IFERROR(VLOOKUP(DATE($K$1,$K$2,IBZ$4),Table1[],(MATCH(Calendar!$A6,DB!1:1,0)+2),FALSE),"")</f>
        <v/>
      </c>
      <c r="ICA6" s="27" t="str">
        <f>IFERROR(VLOOKUP(DATE($K$1,$K$2,ICA$4),Table1[],(MATCH(Calendar!$A6,DB!1:1,0)+2),FALSE),"")</f>
        <v/>
      </c>
      <c r="ICB6" s="27" t="str">
        <f>IFERROR(VLOOKUP(DATE($K$1,$K$2,ICB$4),Table1[],(MATCH(Calendar!$A6,DB!1:1,0)+2),FALSE),"")</f>
        <v/>
      </c>
      <c r="ICC6" s="27" t="str">
        <f>IFERROR(VLOOKUP(DATE($K$1,$K$2,ICC$4),Table1[],(MATCH(Calendar!$A6,DB!1:1,0)+2),FALSE),"")</f>
        <v/>
      </c>
      <c r="ICD6" s="27" t="str">
        <f>IFERROR(VLOOKUP(DATE($K$1,$K$2,ICD$4),Table1[],(MATCH(Calendar!$A6,DB!1:1,0)+2),FALSE),"")</f>
        <v/>
      </c>
      <c r="ICE6" s="27" t="str">
        <f>IFERROR(VLOOKUP(DATE($K$1,$K$2,ICE$4),Table1[],(MATCH(Calendar!$A6,DB!1:1,0)+2),FALSE),"")</f>
        <v/>
      </c>
      <c r="ICF6" s="27" t="str">
        <f>IFERROR(VLOOKUP(DATE($K$1,$K$2,ICF$4),Table1[],(MATCH(Calendar!$A6,DB!1:1,0)+2),FALSE),"")</f>
        <v/>
      </c>
      <c r="ICG6" s="27" t="str">
        <f>IFERROR(VLOOKUP(DATE($K$1,$K$2,ICG$4),Table1[],(MATCH(Calendar!$A6,DB!1:1,0)+2),FALSE),"")</f>
        <v/>
      </c>
      <c r="ICH6" s="27" t="str">
        <f>IFERROR(VLOOKUP(DATE($K$1,$K$2,ICH$4),Table1[],(MATCH(Calendar!$A6,DB!1:1,0)+2),FALSE),"")</f>
        <v/>
      </c>
      <c r="ICI6" s="27" t="str">
        <f>IFERROR(VLOOKUP(DATE($K$1,$K$2,ICI$4),Table1[],(MATCH(Calendar!$A6,DB!1:1,0)+2),FALSE),"")</f>
        <v/>
      </c>
      <c r="ICJ6" s="27" t="str">
        <f>IFERROR(VLOOKUP(DATE($K$1,$K$2,ICJ$4),Table1[],(MATCH(Calendar!$A6,DB!1:1,0)+2),FALSE),"")</f>
        <v/>
      </c>
      <c r="ICK6" s="27" t="str">
        <f>IFERROR(VLOOKUP(DATE($K$1,$K$2,ICK$4),Table1[],(MATCH(Calendar!$A6,DB!1:1,0)+2),FALSE),"")</f>
        <v/>
      </c>
      <c r="ICL6" s="27" t="str">
        <f>IFERROR(VLOOKUP(DATE($K$1,$K$2,ICL$4),Table1[],(MATCH(Calendar!$A6,DB!1:1,0)+2),FALSE),"")</f>
        <v/>
      </c>
      <c r="ICM6" s="27" t="str">
        <f>IFERROR(VLOOKUP(DATE($K$1,$K$2,ICM$4),Table1[],(MATCH(Calendar!$A6,DB!1:1,0)+2),FALSE),"")</f>
        <v/>
      </c>
      <c r="ICN6" s="27" t="str">
        <f>IFERROR(VLOOKUP(DATE($K$1,$K$2,ICN$4),Table1[],(MATCH(Calendar!$A6,DB!1:1,0)+2),FALSE),"")</f>
        <v/>
      </c>
      <c r="ICO6" s="27" t="str">
        <f>IFERROR(VLOOKUP(DATE($K$1,$K$2,ICO$4),Table1[],(MATCH(Calendar!$A6,DB!1:1,0)+2),FALSE),"")</f>
        <v/>
      </c>
      <c r="ICP6" s="27" t="str">
        <f>IFERROR(VLOOKUP(DATE($K$1,$K$2,ICP$4),Table1[],(MATCH(Calendar!$A6,DB!1:1,0)+2),FALSE),"")</f>
        <v/>
      </c>
      <c r="ICQ6" s="27" t="str">
        <f>IFERROR(VLOOKUP(DATE($K$1,$K$2,ICQ$4),Table1[],(MATCH(Calendar!$A6,DB!1:1,0)+2),FALSE),"")</f>
        <v/>
      </c>
      <c r="ICR6" s="27" t="str">
        <f>IFERROR(VLOOKUP(DATE($K$1,$K$2,ICR$4),Table1[],(MATCH(Calendar!$A6,DB!1:1,0)+2),FALSE),"")</f>
        <v/>
      </c>
      <c r="ICS6" s="27" t="str">
        <f>IFERROR(VLOOKUP(DATE($K$1,$K$2,ICS$4),Table1[],(MATCH(Calendar!$A6,DB!1:1,0)+2),FALSE),"")</f>
        <v/>
      </c>
      <c r="ICT6" s="27" t="str">
        <f>IFERROR(VLOOKUP(DATE($K$1,$K$2,ICT$4),Table1[],(MATCH(Calendar!$A6,DB!1:1,0)+2),FALSE),"")</f>
        <v/>
      </c>
      <c r="ICU6" s="27" t="str">
        <f>IFERROR(VLOOKUP(DATE($K$1,$K$2,ICU$4),Table1[],(MATCH(Calendar!$A6,DB!1:1,0)+2),FALSE),"")</f>
        <v/>
      </c>
      <c r="ICV6" s="27" t="str">
        <f>IFERROR(VLOOKUP(DATE($K$1,$K$2,ICV$4),Table1[],(MATCH(Calendar!$A6,DB!1:1,0)+2),FALSE),"")</f>
        <v/>
      </c>
      <c r="ICW6" s="27" t="str">
        <f>IFERROR(VLOOKUP(DATE($K$1,$K$2,ICW$4),Table1[],(MATCH(Calendar!$A6,DB!1:1,0)+2),FALSE),"")</f>
        <v/>
      </c>
      <c r="ICX6" s="27" t="str">
        <f>IFERROR(VLOOKUP(DATE($K$1,$K$2,ICX$4),Table1[],(MATCH(Calendar!$A6,DB!1:1,0)+2),FALSE),"")</f>
        <v/>
      </c>
      <c r="ICY6" s="27" t="str">
        <f>IFERROR(VLOOKUP(DATE($K$1,$K$2,ICY$4),Table1[],(MATCH(Calendar!$A6,DB!1:1,0)+2),FALSE),"")</f>
        <v/>
      </c>
      <c r="ICZ6" s="27" t="str">
        <f>IFERROR(VLOOKUP(DATE($K$1,$K$2,ICZ$4),Table1[],(MATCH(Calendar!$A6,DB!1:1,0)+2),FALSE),"")</f>
        <v/>
      </c>
      <c r="IDA6" s="27" t="str">
        <f>IFERROR(VLOOKUP(DATE($K$1,$K$2,IDA$4),Table1[],(MATCH(Calendar!$A6,DB!1:1,0)+2),FALSE),"")</f>
        <v/>
      </c>
      <c r="IDB6" s="27" t="str">
        <f>IFERROR(VLOOKUP(DATE($K$1,$K$2,IDB$4),Table1[],(MATCH(Calendar!$A6,DB!1:1,0)+2),FALSE),"")</f>
        <v/>
      </c>
      <c r="IDC6" s="27" t="str">
        <f>IFERROR(VLOOKUP(DATE($K$1,$K$2,IDC$4),Table1[],(MATCH(Calendar!$A6,DB!1:1,0)+2),FALSE),"")</f>
        <v/>
      </c>
      <c r="IDD6" s="27" t="str">
        <f>IFERROR(VLOOKUP(DATE($K$1,$K$2,IDD$4),Table1[],(MATCH(Calendar!$A6,DB!1:1,0)+2),FALSE),"")</f>
        <v/>
      </c>
      <c r="IDE6" s="27" t="str">
        <f>IFERROR(VLOOKUP(DATE($K$1,$K$2,IDE$4),Table1[],(MATCH(Calendar!$A6,DB!1:1,0)+2),FALSE),"")</f>
        <v/>
      </c>
      <c r="IDF6" s="27" t="str">
        <f>IFERROR(VLOOKUP(DATE($K$1,$K$2,IDF$4),Table1[],(MATCH(Calendar!$A6,DB!1:1,0)+2),FALSE),"")</f>
        <v/>
      </c>
      <c r="IDG6" s="27" t="str">
        <f>IFERROR(VLOOKUP(DATE($K$1,$K$2,IDG$4),Table1[],(MATCH(Calendar!$A6,DB!1:1,0)+2),FALSE),"")</f>
        <v/>
      </c>
      <c r="IDH6" s="27" t="str">
        <f>IFERROR(VLOOKUP(DATE($K$1,$K$2,IDH$4),Table1[],(MATCH(Calendar!$A6,DB!1:1,0)+2),FALSE),"")</f>
        <v/>
      </c>
      <c r="IDI6" s="27" t="str">
        <f>IFERROR(VLOOKUP(DATE($K$1,$K$2,IDI$4),Table1[],(MATCH(Calendar!$A6,DB!1:1,0)+2),FALSE),"")</f>
        <v/>
      </c>
      <c r="IDJ6" s="27" t="str">
        <f>IFERROR(VLOOKUP(DATE($K$1,$K$2,IDJ$4),Table1[],(MATCH(Calendar!$A6,DB!1:1,0)+2),FALSE),"")</f>
        <v/>
      </c>
      <c r="IDK6" s="27" t="str">
        <f>IFERROR(VLOOKUP(DATE($K$1,$K$2,IDK$4),Table1[],(MATCH(Calendar!$A6,DB!1:1,0)+2),FALSE),"")</f>
        <v/>
      </c>
      <c r="IDL6" s="27" t="str">
        <f>IFERROR(VLOOKUP(DATE($K$1,$K$2,IDL$4),Table1[],(MATCH(Calendar!$A6,DB!1:1,0)+2),FALSE),"")</f>
        <v/>
      </c>
      <c r="IDM6" s="27" t="str">
        <f>IFERROR(VLOOKUP(DATE($K$1,$K$2,IDM$4),Table1[],(MATCH(Calendar!$A6,DB!1:1,0)+2),FALSE),"")</f>
        <v/>
      </c>
      <c r="IDN6" s="27" t="str">
        <f>IFERROR(VLOOKUP(DATE($K$1,$K$2,IDN$4),Table1[],(MATCH(Calendar!$A6,DB!1:1,0)+2),FALSE),"")</f>
        <v/>
      </c>
      <c r="IDO6" s="27" t="str">
        <f>IFERROR(VLOOKUP(DATE($K$1,$K$2,IDO$4),Table1[],(MATCH(Calendar!$A6,DB!1:1,0)+2),FALSE),"")</f>
        <v/>
      </c>
      <c r="IDP6" s="27" t="str">
        <f>IFERROR(VLOOKUP(DATE($K$1,$K$2,IDP$4),Table1[],(MATCH(Calendar!$A6,DB!1:1,0)+2),FALSE),"")</f>
        <v/>
      </c>
      <c r="IDQ6" s="27" t="str">
        <f>IFERROR(VLOOKUP(DATE($K$1,$K$2,IDQ$4),Table1[],(MATCH(Calendar!$A6,DB!1:1,0)+2),FALSE),"")</f>
        <v/>
      </c>
      <c r="IDR6" s="27" t="str">
        <f>IFERROR(VLOOKUP(DATE($K$1,$K$2,IDR$4),Table1[],(MATCH(Calendar!$A6,DB!1:1,0)+2),FALSE),"")</f>
        <v/>
      </c>
      <c r="IDS6" s="27" t="str">
        <f>IFERROR(VLOOKUP(DATE($K$1,$K$2,IDS$4),Table1[],(MATCH(Calendar!$A6,DB!1:1,0)+2),FALSE),"")</f>
        <v/>
      </c>
      <c r="IDT6" s="27" t="str">
        <f>IFERROR(VLOOKUP(DATE($K$1,$K$2,IDT$4),Table1[],(MATCH(Calendar!$A6,DB!1:1,0)+2),FALSE),"")</f>
        <v/>
      </c>
      <c r="IDU6" s="27" t="str">
        <f>IFERROR(VLOOKUP(DATE($K$1,$K$2,IDU$4),Table1[],(MATCH(Calendar!$A6,DB!1:1,0)+2),FALSE),"")</f>
        <v/>
      </c>
      <c r="IDV6" s="27" t="str">
        <f>IFERROR(VLOOKUP(DATE($K$1,$K$2,IDV$4),Table1[],(MATCH(Calendar!$A6,DB!1:1,0)+2),FALSE),"")</f>
        <v/>
      </c>
      <c r="IDW6" s="27" t="str">
        <f>IFERROR(VLOOKUP(DATE($K$1,$K$2,IDW$4),Table1[],(MATCH(Calendar!$A6,DB!1:1,0)+2),FALSE),"")</f>
        <v/>
      </c>
      <c r="IDX6" s="27" t="str">
        <f>IFERROR(VLOOKUP(DATE($K$1,$K$2,IDX$4),Table1[],(MATCH(Calendar!$A6,DB!1:1,0)+2),FALSE),"")</f>
        <v/>
      </c>
      <c r="IDY6" s="27" t="str">
        <f>IFERROR(VLOOKUP(DATE($K$1,$K$2,IDY$4),Table1[],(MATCH(Calendar!$A6,DB!1:1,0)+2),FALSE),"")</f>
        <v/>
      </c>
      <c r="IDZ6" s="27" t="str">
        <f>IFERROR(VLOOKUP(DATE($K$1,$K$2,IDZ$4),Table1[],(MATCH(Calendar!$A6,DB!1:1,0)+2),FALSE),"")</f>
        <v/>
      </c>
      <c r="IEA6" s="27" t="str">
        <f>IFERROR(VLOOKUP(DATE($K$1,$K$2,IEA$4),Table1[],(MATCH(Calendar!$A6,DB!1:1,0)+2),FALSE),"")</f>
        <v/>
      </c>
      <c r="IEB6" s="27" t="str">
        <f>IFERROR(VLOOKUP(DATE($K$1,$K$2,IEB$4),Table1[],(MATCH(Calendar!$A6,DB!1:1,0)+2),FALSE),"")</f>
        <v/>
      </c>
      <c r="IEC6" s="27" t="str">
        <f>IFERROR(VLOOKUP(DATE($K$1,$K$2,IEC$4),Table1[],(MATCH(Calendar!$A6,DB!1:1,0)+2),FALSE),"")</f>
        <v/>
      </c>
      <c r="IED6" s="27" t="str">
        <f>IFERROR(VLOOKUP(DATE($K$1,$K$2,IED$4),Table1[],(MATCH(Calendar!$A6,DB!1:1,0)+2),FALSE),"")</f>
        <v/>
      </c>
      <c r="IEE6" s="27" t="str">
        <f>IFERROR(VLOOKUP(DATE($K$1,$K$2,IEE$4),Table1[],(MATCH(Calendar!$A6,DB!1:1,0)+2),FALSE),"")</f>
        <v/>
      </c>
      <c r="IEF6" s="27" t="str">
        <f>IFERROR(VLOOKUP(DATE($K$1,$K$2,IEF$4),Table1[],(MATCH(Calendar!$A6,DB!1:1,0)+2),FALSE),"")</f>
        <v/>
      </c>
      <c r="IEG6" s="27" t="str">
        <f>IFERROR(VLOOKUP(DATE($K$1,$K$2,IEG$4),Table1[],(MATCH(Calendar!$A6,DB!1:1,0)+2),FALSE),"")</f>
        <v/>
      </c>
      <c r="IEH6" s="27" t="str">
        <f>IFERROR(VLOOKUP(DATE($K$1,$K$2,IEH$4),Table1[],(MATCH(Calendar!$A6,DB!1:1,0)+2),FALSE),"")</f>
        <v/>
      </c>
      <c r="IEI6" s="27" t="str">
        <f>IFERROR(VLOOKUP(DATE($K$1,$K$2,IEI$4),Table1[],(MATCH(Calendar!$A6,DB!1:1,0)+2),FALSE),"")</f>
        <v/>
      </c>
      <c r="IEJ6" s="27" t="str">
        <f>IFERROR(VLOOKUP(DATE($K$1,$K$2,IEJ$4),Table1[],(MATCH(Calendar!$A6,DB!1:1,0)+2),FALSE),"")</f>
        <v/>
      </c>
      <c r="IEK6" s="27" t="str">
        <f>IFERROR(VLOOKUP(DATE($K$1,$K$2,IEK$4),Table1[],(MATCH(Calendar!$A6,DB!1:1,0)+2),FALSE),"")</f>
        <v/>
      </c>
      <c r="IEL6" s="27" t="str">
        <f>IFERROR(VLOOKUP(DATE($K$1,$K$2,IEL$4),Table1[],(MATCH(Calendar!$A6,DB!1:1,0)+2),FALSE),"")</f>
        <v/>
      </c>
      <c r="IEM6" s="27" t="str">
        <f>IFERROR(VLOOKUP(DATE($K$1,$K$2,IEM$4),Table1[],(MATCH(Calendar!$A6,DB!1:1,0)+2),FALSE),"")</f>
        <v/>
      </c>
      <c r="IEN6" s="27" t="str">
        <f>IFERROR(VLOOKUP(DATE($K$1,$K$2,IEN$4),Table1[],(MATCH(Calendar!$A6,DB!1:1,0)+2),FALSE),"")</f>
        <v/>
      </c>
      <c r="IEO6" s="27" t="str">
        <f>IFERROR(VLOOKUP(DATE($K$1,$K$2,IEO$4),Table1[],(MATCH(Calendar!$A6,DB!1:1,0)+2),FALSE),"")</f>
        <v/>
      </c>
      <c r="IEP6" s="27" t="str">
        <f>IFERROR(VLOOKUP(DATE($K$1,$K$2,IEP$4),Table1[],(MATCH(Calendar!$A6,DB!1:1,0)+2),FALSE),"")</f>
        <v/>
      </c>
      <c r="IEQ6" s="27" t="str">
        <f>IFERROR(VLOOKUP(DATE($K$1,$K$2,IEQ$4),Table1[],(MATCH(Calendar!$A6,DB!1:1,0)+2),FALSE),"")</f>
        <v/>
      </c>
      <c r="IER6" s="27" t="str">
        <f>IFERROR(VLOOKUP(DATE($K$1,$K$2,IER$4),Table1[],(MATCH(Calendar!$A6,DB!1:1,0)+2),FALSE),"")</f>
        <v/>
      </c>
      <c r="IES6" s="27" t="str">
        <f>IFERROR(VLOOKUP(DATE($K$1,$K$2,IES$4),Table1[],(MATCH(Calendar!$A6,DB!1:1,0)+2),FALSE),"")</f>
        <v/>
      </c>
      <c r="IET6" s="27" t="str">
        <f>IFERROR(VLOOKUP(DATE($K$1,$K$2,IET$4),Table1[],(MATCH(Calendar!$A6,DB!1:1,0)+2),FALSE),"")</f>
        <v/>
      </c>
      <c r="IEU6" s="27" t="str">
        <f>IFERROR(VLOOKUP(DATE($K$1,$K$2,IEU$4),Table1[],(MATCH(Calendar!$A6,DB!1:1,0)+2),FALSE),"")</f>
        <v/>
      </c>
      <c r="IEV6" s="27" t="str">
        <f>IFERROR(VLOOKUP(DATE($K$1,$K$2,IEV$4),Table1[],(MATCH(Calendar!$A6,DB!1:1,0)+2),FALSE),"")</f>
        <v/>
      </c>
      <c r="IEW6" s="27" t="str">
        <f>IFERROR(VLOOKUP(DATE($K$1,$K$2,IEW$4),Table1[],(MATCH(Calendar!$A6,DB!1:1,0)+2),FALSE),"")</f>
        <v/>
      </c>
      <c r="IEX6" s="27" t="str">
        <f>IFERROR(VLOOKUP(DATE($K$1,$K$2,IEX$4),Table1[],(MATCH(Calendar!$A6,DB!1:1,0)+2),FALSE),"")</f>
        <v/>
      </c>
      <c r="IEY6" s="27" t="str">
        <f>IFERROR(VLOOKUP(DATE($K$1,$K$2,IEY$4),Table1[],(MATCH(Calendar!$A6,DB!1:1,0)+2),FALSE),"")</f>
        <v/>
      </c>
      <c r="IEZ6" s="27" t="str">
        <f>IFERROR(VLOOKUP(DATE($K$1,$K$2,IEZ$4),Table1[],(MATCH(Calendar!$A6,DB!1:1,0)+2),FALSE),"")</f>
        <v/>
      </c>
      <c r="IFA6" s="27" t="str">
        <f>IFERROR(VLOOKUP(DATE($K$1,$K$2,IFA$4),Table1[],(MATCH(Calendar!$A6,DB!1:1,0)+2),FALSE),"")</f>
        <v/>
      </c>
      <c r="IFB6" s="27" t="str">
        <f>IFERROR(VLOOKUP(DATE($K$1,$K$2,IFB$4),Table1[],(MATCH(Calendar!$A6,DB!1:1,0)+2),FALSE),"")</f>
        <v/>
      </c>
      <c r="IFC6" s="27" t="str">
        <f>IFERROR(VLOOKUP(DATE($K$1,$K$2,IFC$4),Table1[],(MATCH(Calendar!$A6,DB!1:1,0)+2),FALSE),"")</f>
        <v/>
      </c>
      <c r="IFD6" s="27" t="str">
        <f>IFERROR(VLOOKUP(DATE($K$1,$K$2,IFD$4),Table1[],(MATCH(Calendar!$A6,DB!1:1,0)+2),FALSE),"")</f>
        <v/>
      </c>
      <c r="IFE6" s="27" t="str">
        <f>IFERROR(VLOOKUP(DATE($K$1,$K$2,IFE$4),Table1[],(MATCH(Calendar!$A6,DB!1:1,0)+2),FALSE),"")</f>
        <v/>
      </c>
      <c r="IFF6" s="27" t="str">
        <f>IFERROR(VLOOKUP(DATE($K$1,$K$2,IFF$4),Table1[],(MATCH(Calendar!$A6,DB!1:1,0)+2),FALSE),"")</f>
        <v/>
      </c>
      <c r="IFG6" s="27" t="str">
        <f>IFERROR(VLOOKUP(DATE($K$1,$K$2,IFG$4),Table1[],(MATCH(Calendar!$A6,DB!1:1,0)+2),FALSE),"")</f>
        <v/>
      </c>
      <c r="IFH6" s="27" t="str">
        <f>IFERROR(VLOOKUP(DATE($K$1,$K$2,IFH$4),Table1[],(MATCH(Calendar!$A6,DB!1:1,0)+2),FALSE),"")</f>
        <v/>
      </c>
      <c r="IFI6" s="27" t="str">
        <f>IFERROR(VLOOKUP(DATE($K$1,$K$2,IFI$4),Table1[],(MATCH(Calendar!$A6,DB!1:1,0)+2),FALSE),"")</f>
        <v/>
      </c>
      <c r="IFJ6" s="27" t="str">
        <f>IFERROR(VLOOKUP(DATE($K$1,$K$2,IFJ$4),Table1[],(MATCH(Calendar!$A6,DB!1:1,0)+2),FALSE),"")</f>
        <v/>
      </c>
      <c r="IFK6" s="27" t="str">
        <f>IFERROR(VLOOKUP(DATE($K$1,$K$2,IFK$4),Table1[],(MATCH(Calendar!$A6,DB!1:1,0)+2),FALSE),"")</f>
        <v/>
      </c>
      <c r="IFL6" s="27" t="str">
        <f>IFERROR(VLOOKUP(DATE($K$1,$K$2,IFL$4),Table1[],(MATCH(Calendar!$A6,DB!1:1,0)+2),FALSE),"")</f>
        <v/>
      </c>
      <c r="IFM6" s="27" t="str">
        <f>IFERROR(VLOOKUP(DATE($K$1,$K$2,IFM$4),Table1[],(MATCH(Calendar!$A6,DB!1:1,0)+2),FALSE),"")</f>
        <v/>
      </c>
      <c r="IFN6" s="27" t="str">
        <f>IFERROR(VLOOKUP(DATE($K$1,$K$2,IFN$4),Table1[],(MATCH(Calendar!$A6,DB!1:1,0)+2),FALSE),"")</f>
        <v/>
      </c>
      <c r="IFO6" s="27" t="str">
        <f>IFERROR(VLOOKUP(DATE($K$1,$K$2,IFO$4),Table1[],(MATCH(Calendar!$A6,DB!1:1,0)+2),FALSE),"")</f>
        <v/>
      </c>
      <c r="IFP6" s="27" t="str">
        <f>IFERROR(VLOOKUP(DATE($K$1,$K$2,IFP$4),Table1[],(MATCH(Calendar!$A6,DB!1:1,0)+2),FALSE),"")</f>
        <v/>
      </c>
      <c r="IFQ6" s="27" t="str">
        <f>IFERROR(VLOOKUP(DATE($K$1,$K$2,IFQ$4),Table1[],(MATCH(Calendar!$A6,DB!1:1,0)+2),FALSE),"")</f>
        <v/>
      </c>
      <c r="IFR6" s="27" t="str">
        <f>IFERROR(VLOOKUP(DATE($K$1,$K$2,IFR$4),Table1[],(MATCH(Calendar!$A6,DB!1:1,0)+2),FALSE),"")</f>
        <v/>
      </c>
      <c r="IFS6" s="27" t="str">
        <f>IFERROR(VLOOKUP(DATE($K$1,$K$2,IFS$4),Table1[],(MATCH(Calendar!$A6,DB!1:1,0)+2),FALSE),"")</f>
        <v/>
      </c>
      <c r="IFT6" s="27" t="str">
        <f>IFERROR(VLOOKUP(DATE($K$1,$K$2,IFT$4),Table1[],(MATCH(Calendar!$A6,DB!1:1,0)+2),FALSE),"")</f>
        <v/>
      </c>
      <c r="IFU6" s="27" t="str">
        <f>IFERROR(VLOOKUP(DATE($K$1,$K$2,IFU$4),Table1[],(MATCH(Calendar!$A6,DB!1:1,0)+2),FALSE),"")</f>
        <v/>
      </c>
      <c r="IFV6" s="27" t="str">
        <f>IFERROR(VLOOKUP(DATE($K$1,$K$2,IFV$4),Table1[],(MATCH(Calendar!$A6,DB!1:1,0)+2),FALSE),"")</f>
        <v/>
      </c>
      <c r="IFW6" s="27" t="str">
        <f>IFERROR(VLOOKUP(DATE($K$1,$K$2,IFW$4),Table1[],(MATCH(Calendar!$A6,DB!1:1,0)+2),FALSE),"")</f>
        <v/>
      </c>
      <c r="IFX6" s="27" t="str">
        <f>IFERROR(VLOOKUP(DATE($K$1,$K$2,IFX$4),Table1[],(MATCH(Calendar!$A6,DB!1:1,0)+2),FALSE),"")</f>
        <v/>
      </c>
      <c r="IFY6" s="27" t="str">
        <f>IFERROR(VLOOKUP(DATE($K$1,$K$2,IFY$4),Table1[],(MATCH(Calendar!$A6,DB!1:1,0)+2),FALSE),"")</f>
        <v/>
      </c>
      <c r="IFZ6" s="27" t="str">
        <f>IFERROR(VLOOKUP(DATE($K$1,$K$2,IFZ$4),Table1[],(MATCH(Calendar!$A6,DB!1:1,0)+2),FALSE),"")</f>
        <v/>
      </c>
      <c r="IGA6" s="27" t="str">
        <f>IFERROR(VLOOKUP(DATE($K$1,$K$2,IGA$4),Table1[],(MATCH(Calendar!$A6,DB!1:1,0)+2),FALSE),"")</f>
        <v/>
      </c>
      <c r="IGB6" s="27" t="str">
        <f>IFERROR(VLOOKUP(DATE($K$1,$K$2,IGB$4),Table1[],(MATCH(Calendar!$A6,DB!1:1,0)+2),FALSE),"")</f>
        <v/>
      </c>
      <c r="IGC6" s="27" t="str">
        <f>IFERROR(VLOOKUP(DATE($K$1,$K$2,IGC$4),Table1[],(MATCH(Calendar!$A6,DB!1:1,0)+2),FALSE),"")</f>
        <v/>
      </c>
      <c r="IGD6" s="27" t="str">
        <f>IFERROR(VLOOKUP(DATE($K$1,$K$2,IGD$4),Table1[],(MATCH(Calendar!$A6,DB!1:1,0)+2),FALSE),"")</f>
        <v/>
      </c>
      <c r="IGE6" s="27" t="str">
        <f>IFERROR(VLOOKUP(DATE($K$1,$K$2,IGE$4),Table1[],(MATCH(Calendar!$A6,DB!1:1,0)+2),FALSE),"")</f>
        <v/>
      </c>
      <c r="IGF6" s="27" t="str">
        <f>IFERROR(VLOOKUP(DATE($K$1,$K$2,IGF$4),Table1[],(MATCH(Calendar!$A6,DB!1:1,0)+2),FALSE),"")</f>
        <v/>
      </c>
      <c r="IGG6" s="27" t="str">
        <f>IFERROR(VLOOKUP(DATE($K$1,$K$2,IGG$4),Table1[],(MATCH(Calendar!$A6,DB!1:1,0)+2),FALSE),"")</f>
        <v/>
      </c>
      <c r="IGH6" s="27" t="str">
        <f>IFERROR(VLOOKUP(DATE($K$1,$K$2,IGH$4),Table1[],(MATCH(Calendar!$A6,DB!1:1,0)+2),FALSE),"")</f>
        <v/>
      </c>
      <c r="IGI6" s="27" t="str">
        <f>IFERROR(VLOOKUP(DATE($K$1,$K$2,IGI$4),Table1[],(MATCH(Calendar!$A6,DB!1:1,0)+2),FALSE),"")</f>
        <v/>
      </c>
      <c r="IGJ6" s="27" t="str">
        <f>IFERROR(VLOOKUP(DATE($K$1,$K$2,IGJ$4),Table1[],(MATCH(Calendar!$A6,DB!1:1,0)+2),FALSE),"")</f>
        <v/>
      </c>
      <c r="IGK6" s="27" t="str">
        <f>IFERROR(VLOOKUP(DATE($K$1,$K$2,IGK$4),Table1[],(MATCH(Calendar!$A6,DB!1:1,0)+2),FALSE),"")</f>
        <v/>
      </c>
      <c r="IGL6" s="27" t="str">
        <f>IFERROR(VLOOKUP(DATE($K$1,$K$2,IGL$4),Table1[],(MATCH(Calendar!$A6,DB!1:1,0)+2),FALSE),"")</f>
        <v/>
      </c>
      <c r="IGM6" s="27" t="str">
        <f>IFERROR(VLOOKUP(DATE($K$1,$K$2,IGM$4),Table1[],(MATCH(Calendar!$A6,DB!1:1,0)+2),FALSE),"")</f>
        <v/>
      </c>
      <c r="IGN6" s="27" t="str">
        <f>IFERROR(VLOOKUP(DATE($K$1,$K$2,IGN$4),Table1[],(MATCH(Calendar!$A6,DB!1:1,0)+2),FALSE),"")</f>
        <v/>
      </c>
      <c r="IGO6" s="27" t="str">
        <f>IFERROR(VLOOKUP(DATE($K$1,$K$2,IGO$4),Table1[],(MATCH(Calendar!$A6,DB!1:1,0)+2),FALSE),"")</f>
        <v/>
      </c>
      <c r="IGP6" s="27" t="str">
        <f>IFERROR(VLOOKUP(DATE($K$1,$K$2,IGP$4),Table1[],(MATCH(Calendar!$A6,DB!1:1,0)+2),FALSE),"")</f>
        <v/>
      </c>
      <c r="IGQ6" s="27" t="str">
        <f>IFERROR(VLOOKUP(DATE($K$1,$K$2,IGQ$4),Table1[],(MATCH(Calendar!$A6,DB!1:1,0)+2),FALSE),"")</f>
        <v/>
      </c>
      <c r="IGR6" s="27" t="str">
        <f>IFERROR(VLOOKUP(DATE($K$1,$K$2,IGR$4),Table1[],(MATCH(Calendar!$A6,DB!1:1,0)+2),FALSE),"")</f>
        <v/>
      </c>
      <c r="IGS6" s="27" t="str">
        <f>IFERROR(VLOOKUP(DATE($K$1,$K$2,IGS$4),Table1[],(MATCH(Calendar!$A6,DB!1:1,0)+2),FALSE),"")</f>
        <v/>
      </c>
      <c r="IGT6" s="27" t="str">
        <f>IFERROR(VLOOKUP(DATE($K$1,$K$2,IGT$4),Table1[],(MATCH(Calendar!$A6,DB!1:1,0)+2),FALSE),"")</f>
        <v/>
      </c>
      <c r="IGU6" s="27" t="str">
        <f>IFERROR(VLOOKUP(DATE($K$1,$K$2,IGU$4),Table1[],(MATCH(Calendar!$A6,DB!1:1,0)+2),FALSE),"")</f>
        <v/>
      </c>
      <c r="IGV6" s="27" t="str">
        <f>IFERROR(VLOOKUP(DATE($K$1,$K$2,IGV$4),Table1[],(MATCH(Calendar!$A6,DB!1:1,0)+2),FALSE),"")</f>
        <v/>
      </c>
      <c r="IGW6" s="27" t="str">
        <f>IFERROR(VLOOKUP(DATE($K$1,$K$2,IGW$4),Table1[],(MATCH(Calendar!$A6,DB!1:1,0)+2),FALSE),"")</f>
        <v/>
      </c>
      <c r="IGX6" s="27" t="str">
        <f>IFERROR(VLOOKUP(DATE($K$1,$K$2,IGX$4),Table1[],(MATCH(Calendar!$A6,DB!1:1,0)+2),FALSE),"")</f>
        <v/>
      </c>
      <c r="IGY6" s="27" t="str">
        <f>IFERROR(VLOOKUP(DATE($K$1,$K$2,IGY$4),Table1[],(MATCH(Calendar!$A6,DB!1:1,0)+2),FALSE),"")</f>
        <v/>
      </c>
      <c r="IGZ6" s="27" t="str">
        <f>IFERROR(VLOOKUP(DATE($K$1,$K$2,IGZ$4),Table1[],(MATCH(Calendar!$A6,DB!1:1,0)+2),FALSE),"")</f>
        <v/>
      </c>
      <c r="IHA6" s="27" t="str">
        <f>IFERROR(VLOOKUP(DATE($K$1,$K$2,IHA$4),Table1[],(MATCH(Calendar!$A6,DB!1:1,0)+2),FALSE),"")</f>
        <v/>
      </c>
      <c r="IHB6" s="27" t="str">
        <f>IFERROR(VLOOKUP(DATE($K$1,$K$2,IHB$4),Table1[],(MATCH(Calendar!$A6,DB!1:1,0)+2),FALSE),"")</f>
        <v/>
      </c>
      <c r="IHC6" s="27" t="str">
        <f>IFERROR(VLOOKUP(DATE($K$1,$K$2,IHC$4),Table1[],(MATCH(Calendar!$A6,DB!1:1,0)+2),FALSE),"")</f>
        <v/>
      </c>
      <c r="IHD6" s="27" t="str">
        <f>IFERROR(VLOOKUP(DATE($K$1,$K$2,IHD$4),Table1[],(MATCH(Calendar!$A6,DB!1:1,0)+2),FALSE),"")</f>
        <v/>
      </c>
      <c r="IHE6" s="27" t="str">
        <f>IFERROR(VLOOKUP(DATE($K$1,$K$2,IHE$4),Table1[],(MATCH(Calendar!$A6,DB!1:1,0)+2),FALSE),"")</f>
        <v/>
      </c>
      <c r="IHF6" s="27" t="str">
        <f>IFERROR(VLOOKUP(DATE($K$1,$K$2,IHF$4),Table1[],(MATCH(Calendar!$A6,DB!1:1,0)+2),FALSE),"")</f>
        <v/>
      </c>
      <c r="IHG6" s="27" t="str">
        <f>IFERROR(VLOOKUP(DATE($K$1,$K$2,IHG$4),Table1[],(MATCH(Calendar!$A6,DB!1:1,0)+2),FALSE),"")</f>
        <v/>
      </c>
      <c r="IHH6" s="27" t="str">
        <f>IFERROR(VLOOKUP(DATE($K$1,$K$2,IHH$4),Table1[],(MATCH(Calendar!$A6,DB!1:1,0)+2),FALSE),"")</f>
        <v/>
      </c>
      <c r="IHI6" s="27" t="str">
        <f>IFERROR(VLOOKUP(DATE($K$1,$K$2,IHI$4),Table1[],(MATCH(Calendar!$A6,DB!1:1,0)+2),FALSE),"")</f>
        <v/>
      </c>
      <c r="IHJ6" s="27" t="str">
        <f>IFERROR(VLOOKUP(DATE($K$1,$K$2,IHJ$4),Table1[],(MATCH(Calendar!$A6,DB!1:1,0)+2),FALSE),"")</f>
        <v/>
      </c>
      <c r="IHK6" s="27" t="str">
        <f>IFERROR(VLOOKUP(DATE($K$1,$K$2,IHK$4),Table1[],(MATCH(Calendar!$A6,DB!1:1,0)+2),FALSE),"")</f>
        <v/>
      </c>
      <c r="IHL6" s="27" t="str">
        <f>IFERROR(VLOOKUP(DATE($K$1,$K$2,IHL$4),Table1[],(MATCH(Calendar!$A6,DB!1:1,0)+2),FALSE),"")</f>
        <v/>
      </c>
      <c r="IHM6" s="27" t="str">
        <f>IFERROR(VLOOKUP(DATE($K$1,$K$2,IHM$4),Table1[],(MATCH(Calendar!$A6,DB!1:1,0)+2),FALSE),"")</f>
        <v/>
      </c>
      <c r="IHN6" s="27" t="str">
        <f>IFERROR(VLOOKUP(DATE($K$1,$K$2,IHN$4),Table1[],(MATCH(Calendar!$A6,DB!1:1,0)+2),FALSE),"")</f>
        <v/>
      </c>
      <c r="IHO6" s="27" t="str">
        <f>IFERROR(VLOOKUP(DATE($K$1,$K$2,IHO$4),Table1[],(MATCH(Calendar!$A6,DB!1:1,0)+2),FALSE),"")</f>
        <v/>
      </c>
      <c r="IHP6" s="27" t="str">
        <f>IFERROR(VLOOKUP(DATE($K$1,$K$2,IHP$4),Table1[],(MATCH(Calendar!$A6,DB!1:1,0)+2),FALSE),"")</f>
        <v/>
      </c>
      <c r="IHQ6" s="27" t="str">
        <f>IFERROR(VLOOKUP(DATE($K$1,$K$2,IHQ$4),Table1[],(MATCH(Calendar!$A6,DB!1:1,0)+2),FALSE),"")</f>
        <v/>
      </c>
      <c r="IHR6" s="27" t="str">
        <f>IFERROR(VLOOKUP(DATE($K$1,$K$2,IHR$4),Table1[],(MATCH(Calendar!$A6,DB!1:1,0)+2),FALSE),"")</f>
        <v/>
      </c>
      <c r="IHS6" s="27" t="str">
        <f>IFERROR(VLOOKUP(DATE($K$1,$K$2,IHS$4),Table1[],(MATCH(Calendar!$A6,DB!1:1,0)+2),FALSE),"")</f>
        <v/>
      </c>
      <c r="IHT6" s="27" t="str">
        <f>IFERROR(VLOOKUP(DATE($K$1,$K$2,IHT$4),Table1[],(MATCH(Calendar!$A6,DB!1:1,0)+2),FALSE),"")</f>
        <v/>
      </c>
      <c r="IHU6" s="27" t="str">
        <f>IFERROR(VLOOKUP(DATE($K$1,$K$2,IHU$4),Table1[],(MATCH(Calendar!$A6,DB!1:1,0)+2),FALSE),"")</f>
        <v/>
      </c>
      <c r="IHV6" s="27" t="str">
        <f>IFERROR(VLOOKUP(DATE($K$1,$K$2,IHV$4),Table1[],(MATCH(Calendar!$A6,DB!1:1,0)+2),FALSE),"")</f>
        <v/>
      </c>
      <c r="IHW6" s="27" t="str">
        <f>IFERROR(VLOOKUP(DATE($K$1,$K$2,IHW$4),Table1[],(MATCH(Calendar!$A6,DB!1:1,0)+2),FALSE),"")</f>
        <v/>
      </c>
      <c r="IHX6" s="27" t="str">
        <f>IFERROR(VLOOKUP(DATE($K$1,$K$2,IHX$4),Table1[],(MATCH(Calendar!$A6,DB!1:1,0)+2),FALSE),"")</f>
        <v/>
      </c>
      <c r="IHY6" s="27" t="str">
        <f>IFERROR(VLOOKUP(DATE($K$1,$K$2,IHY$4),Table1[],(MATCH(Calendar!$A6,DB!1:1,0)+2),FALSE),"")</f>
        <v/>
      </c>
      <c r="IHZ6" s="27" t="str">
        <f>IFERROR(VLOOKUP(DATE($K$1,$K$2,IHZ$4),Table1[],(MATCH(Calendar!$A6,DB!1:1,0)+2),FALSE),"")</f>
        <v/>
      </c>
      <c r="IIA6" s="27" t="str">
        <f>IFERROR(VLOOKUP(DATE($K$1,$K$2,IIA$4),Table1[],(MATCH(Calendar!$A6,DB!1:1,0)+2),FALSE),"")</f>
        <v/>
      </c>
      <c r="IIB6" s="27" t="str">
        <f>IFERROR(VLOOKUP(DATE($K$1,$K$2,IIB$4),Table1[],(MATCH(Calendar!$A6,DB!1:1,0)+2),FALSE),"")</f>
        <v/>
      </c>
      <c r="IIC6" s="27" t="str">
        <f>IFERROR(VLOOKUP(DATE($K$1,$K$2,IIC$4),Table1[],(MATCH(Calendar!$A6,DB!1:1,0)+2),FALSE),"")</f>
        <v/>
      </c>
      <c r="IID6" s="27" t="str">
        <f>IFERROR(VLOOKUP(DATE($K$1,$K$2,IID$4),Table1[],(MATCH(Calendar!$A6,DB!1:1,0)+2),FALSE),"")</f>
        <v/>
      </c>
      <c r="IIE6" s="27" t="str">
        <f>IFERROR(VLOOKUP(DATE($K$1,$K$2,IIE$4),Table1[],(MATCH(Calendar!$A6,DB!1:1,0)+2),FALSE),"")</f>
        <v/>
      </c>
      <c r="IIF6" s="27" t="str">
        <f>IFERROR(VLOOKUP(DATE($K$1,$K$2,IIF$4),Table1[],(MATCH(Calendar!$A6,DB!1:1,0)+2),FALSE),"")</f>
        <v/>
      </c>
      <c r="IIG6" s="27" t="str">
        <f>IFERROR(VLOOKUP(DATE($K$1,$K$2,IIG$4),Table1[],(MATCH(Calendar!$A6,DB!1:1,0)+2),FALSE),"")</f>
        <v/>
      </c>
      <c r="IIH6" s="27" t="str">
        <f>IFERROR(VLOOKUP(DATE($K$1,$K$2,IIH$4),Table1[],(MATCH(Calendar!$A6,DB!1:1,0)+2),FALSE),"")</f>
        <v/>
      </c>
      <c r="III6" s="27" t="str">
        <f>IFERROR(VLOOKUP(DATE($K$1,$K$2,III$4),Table1[],(MATCH(Calendar!$A6,DB!1:1,0)+2),FALSE),"")</f>
        <v/>
      </c>
      <c r="IIJ6" s="27" t="str">
        <f>IFERROR(VLOOKUP(DATE($K$1,$K$2,IIJ$4),Table1[],(MATCH(Calendar!$A6,DB!1:1,0)+2),FALSE),"")</f>
        <v/>
      </c>
      <c r="IIK6" s="27" t="str">
        <f>IFERROR(VLOOKUP(DATE($K$1,$K$2,IIK$4),Table1[],(MATCH(Calendar!$A6,DB!1:1,0)+2),FALSE),"")</f>
        <v/>
      </c>
      <c r="IIL6" s="27" t="str">
        <f>IFERROR(VLOOKUP(DATE($K$1,$K$2,IIL$4),Table1[],(MATCH(Calendar!$A6,DB!1:1,0)+2),FALSE),"")</f>
        <v/>
      </c>
      <c r="IIM6" s="27" t="str">
        <f>IFERROR(VLOOKUP(DATE($K$1,$K$2,IIM$4),Table1[],(MATCH(Calendar!$A6,DB!1:1,0)+2),FALSE),"")</f>
        <v/>
      </c>
      <c r="IIN6" s="27" t="str">
        <f>IFERROR(VLOOKUP(DATE($K$1,$K$2,IIN$4),Table1[],(MATCH(Calendar!$A6,DB!1:1,0)+2),FALSE),"")</f>
        <v/>
      </c>
      <c r="IIO6" s="27" t="str">
        <f>IFERROR(VLOOKUP(DATE($K$1,$K$2,IIO$4),Table1[],(MATCH(Calendar!$A6,DB!1:1,0)+2),FALSE),"")</f>
        <v/>
      </c>
      <c r="IIP6" s="27" t="str">
        <f>IFERROR(VLOOKUP(DATE($K$1,$K$2,IIP$4),Table1[],(MATCH(Calendar!$A6,DB!1:1,0)+2),FALSE),"")</f>
        <v/>
      </c>
      <c r="IIQ6" s="27" t="str">
        <f>IFERROR(VLOOKUP(DATE($K$1,$K$2,IIQ$4),Table1[],(MATCH(Calendar!$A6,DB!1:1,0)+2),FALSE),"")</f>
        <v/>
      </c>
      <c r="IIR6" s="27" t="str">
        <f>IFERROR(VLOOKUP(DATE($K$1,$K$2,IIR$4),Table1[],(MATCH(Calendar!$A6,DB!1:1,0)+2),FALSE),"")</f>
        <v/>
      </c>
      <c r="IIS6" s="27" t="str">
        <f>IFERROR(VLOOKUP(DATE($K$1,$K$2,IIS$4),Table1[],(MATCH(Calendar!$A6,DB!1:1,0)+2),FALSE),"")</f>
        <v/>
      </c>
      <c r="IIT6" s="27" t="str">
        <f>IFERROR(VLOOKUP(DATE($K$1,$K$2,IIT$4),Table1[],(MATCH(Calendar!$A6,DB!1:1,0)+2),FALSE),"")</f>
        <v/>
      </c>
      <c r="IIU6" s="27" t="str">
        <f>IFERROR(VLOOKUP(DATE($K$1,$K$2,IIU$4),Table1[],(MATCH(Calendar!$A6,DB!1:1,0)+2),FALSE),"")</f>
        <v/>
      </c>
      <c r="IIV6" s="27" t="str">
        <f>IFERROR(VLOOKUP(DATE($K$1,$K$2,IIV$4),Table1[],(MATCH(Calendar!$A6,DB!1:1,0)+2),FALSE),"")</f>
        <v/>
      </c>
      <c r="IIW6" s="27" t="str">
        <f>IFERROR(VLOOKUP(DATE($K$1,$K$2,IIW$4),Table1[],(MATCH(Calendar!$A6,DB!1:1,0)+2),FALSE),"")</f>
        <v/>
      </c>
      <c r="IIX6" s="27" t="str">
        <f>IFERROR(VLOOKUP(DATE($K$1,$K$2,IIX$4),Table1[],(MATCH(Calendar!$A6,DB!1:1,0)+2),FALSE),"")</f>
        <v/>
      </c>
      <c r="IIY6" s="27" t="str">
        <f>IFERROR(VLOOKUP(DATE($K$1,$K$2,IIY$4),Table1[],(MATCH(Calendar!$A6,DB!1:1,0)+2),FALSE),"")</f>
        <v/>
      </c>
      <c r="IIZ6" s="27" t="str">
        <f>IFERROR(VLOOKUP(DATE($K$1,$K$2,IIZ$4),Table1[],(MATCH(Calendar!$A6,DB!1:1,0)+2),FALSE),"")</f>
        <v/>
      </c>
      <c r="IJA6" s="27" t="str">
        <f>IFERROR(VLOOKUP(DATE($K$1,$K$2,IJA$4),Table1[],(MATCH(Calendar!$A6,DB!1:1,0)+2),FALSE),"")</f>
        <v/>
      </c>
      <c r="IJB6" s="27" t="str">
        <f>IFERROR(VLOOKUP(DATE($K$1,$K$2,IJB$4),Table1[],(MATCH(Calendar!$A6,DB!1:1,0)+2),FALSE),"")</f>
        <v/>
      </c>
      <c r="IJC6" s="27" t="str">
        <f>IFERROR(VLOOKUP(DATE($K$1,$K$2,IJC$4),Table1[],(MATCH(Calendar!$A6,DB!1:1,0)+2),FALSE),"")</f>
        <v/>
      </c>
      <c r="IJD6" s="27" t="str">
        <f>IFERROR(VLOOKUP(DATE($K$1,$K$2,IJD$4),Table1[],(MATCH(Calendar!$A6,DB!1:1,0)+2),FALSE),"")</f>
        <v/>
      </c>
      <c r="IJE6" s="27" t="str">
        <f>IFERROR(VLOOKUP(DATE($K$1,$K$2,IJE$4),Table1[],(MATCH(Calendar!$A6,DB!1:1,0)+2),FALSE),"")</f>
        <v/>
      </c>
      <c r="IJF6" s="27" t="str">
        <f>IFERROR(VLOOKUP(DATE($K$1,$K$2,IJF$4),Table1[],(MATCH(Calendar!$A6,DB!1:1,0)+2),FALSE),"")</f>
        <v/>
      </c>
      <c r="IJG6" s="27" t="str">
        <f>IFERROR(VLOOKUP(DATE($K$1,$K$2,IJG$4),Table1[],(MATCH(Calendar!$A6,DB!1:1,0)+2),FALSE),"")</f>
        <v/>
      </c>
      <c r="IJH6" s="27" t="str">
        <f>IFERROR(VLOOKUP(DATE($K$1,$K$2,IJH$4),Table1[],(MATCH(Calendar!$A6,DB!1:1,0)+2),FALSE),"")</f>
        <v/>
      </c>
      <c r="IJI6" s="27" t="str">
        <f>IFERROR(VLOOKUP(DATE($K$1,$K$2,IJI$4),Table1[],(MATCH(Calendar!$A6,DB!1:1,0)+2),FALSE),"")</f>
        <v/>
      </c>
      <c r="IJJ6" s="27" t="str">
        <f>IFERROR(VLOOKUP(DATE($K$1,$K$2,IJJ$4),Table1[],(MATCH(Calendar!$A6,DB!1:1,0)+2),FALSE),"")</f>
        <v/>
      </c>
      <c r="IJK6" s="27" t="str">
        <f>IFERROR(VLOOKUP(DATE($K$1,$K$2,IJK$4),Table1[],(MATCH(Calendar!$A6,DB!1:1,0)+2),FALSE),"")</f>
        <v/>
      </c>
      <c r="IJL6" s="27" t="str">
        <f>IFERROR(VLOOKUP(DATE($K$1,$K$2,IJL$4),Table1[],(MATCH(Calendar!$A6,DB!1:1,0)+2),FALSE),"")</f>
        <v/>
      </c>
      <c r="IJM6" s="27" t="str">
        <f>IFERROR(VLOOKUP(DATE($K$1,$K$2,IJM$4),Table1[],(MATCH(Calendar!$A6,DB!1:1,0)+2),FALSE),"")</f>
        <v/>
      </c>
      <c r="IJN6" s="27" t="str">
        <f>IFERROR(VLOOKUP(DATE($K$1,$K$2,IJN$4),Table1[],(MATCH(Calendar!$A6,DB!1:1,0)+2),FALSE),"")</f>
        <v/>
      </c>
      <c r="IJO6" s="27" t="str">
        <f>IFERROR(VLOOKUP(DATE($K$1,$K$2,IJO$4),Table1[],(MATCH(Calendar!$A6,DB!1:1,0)+2),FALSE),"")</f>
        <v/>
      </c>
      <c r="IJP6" s="27" t="str">
        <f>IFERROR(VLOOKUP(DATE($K$1,$K$2,IJP$4),Table1[],(MATCH(Calendar!$A6,DB!1:1,0)+2),FALSE),"")</f>
        <v/>
      </c>
      <c r="IJQ6" s="27" t="str">
        <f>IFERROR(VLOOKUP(DATE($K$1,$K$2,IJQ$4),Table1[],(MATCH(Calendar!$A6,DB!1:1,0)+2),FALSE),"")</f>
        <v/>
      </c>
      <c r="IJR6" s="27" t="str">
        <f>IFERROR(VLOOKUP(DATE($K$1,$K$2,IJR$4),Table1[],(MATCH(Calendar!$A6,DB!1:1,0)+2),FALSE),"")</f>
        <v/>
      </c>
      <c r="IJS6" s="27" t="str">
        <f>IFERROR(VLOOKUP(DATE($K$1,$K$2,IJS$4),Table1[],(MATCH(Calendar!$A6,DB!1:1,0)+2),FALSE),"")</f>
        <v/>
      </c>
      <c r="IJT6" s="27" t="str">
        <f>IFERROR(VLOOKUP(DATE($K$1,$K$2,IJT$4),Table1[],(MATCH(Calendar!$A6,DB!1:1,0)+2),FALSE),"")</f>
        <v/>
      </c>
      <c r="IJU6" s="27" t="str">
        <f>IFERROR(VLOOKUP(DATE($K$1,$K$2,IJU$4),Table1[],(MATCH(Calendar!$A6,DB!1:1,0)+2),FALSE),"")</f>
        <v/>
      </c>
      <c r="IJV6" s="27" t="str">
        <f>IFERROR(VLOOKUP(DATE($K$1,$K$2,IJV$4),Table1[],(MATCH(Calendar!$A6,DB!1:1,0)+2),FALSE),"")</f>
        <v/>
      </c>
      <c r="IJW6" s="27" t="str">
        <f>IFERROR(VLOOKUP(DATE($K$1,$K$2,IJW$4),Table1[],(MATCH(Calendar!$A6,DB!1:1,0)+2),FALSE),"")</f>
        <v/>
      </c>
      <c r="IJX6" s="27" t="str">
        <f>IFERROR(VLOOKUP(DATE($K$1,$K$2,IJX$4),Table1[],(MATCH(Calendar!$A6,DB!1:1,0)+2),FALSE),"")</f>
        <v/>
      </c>
      <c r="IJY6" s="27" t="str">
        <f>IFERROR(VLOOKUP(DATE($K$1,$K$2,IJY$4),Table1[],(MATCH(Calendar!$A6,DB!1:1,0)+2),FALSE),"")</f>
        <v/>
      </c>
      <c r="IJZ6" s="27" t="str">
        <f>IFERROR(VLOOKUP(DATE($K$1,$K$2,IJZ$4),Table1[],(MATCH(Calendar!$A6,DB!1:1,0)+2),FALSE),"")</f>
        <v/>
      </c>
      <c r="IKA6" s="27" t="str">
        <f>IFERROR(VLOOKUP(DATE($K$1,$K$2,IKA$4),Table1[],(MATCH(Calendar!$A6,DB!1:1,0)+2),FALSE),"")</f>
        <v/>
      </c>
      <c r="IKB6" s="27" t="str">
        <f>IFERROR(VLOOKUP(DATE($K$1,$K$2,IKB$4),Table1[],(MATCH(Calendar!$A6,DB!1:1,0)+2),FALSE),"")</f>
        <v/>
      </c>
      <c r="IKC6" s="27" t="str">
        <f>IFERROR(VLOOKUP(DATE($K$1,$K$2,IKC$4),Table1[],(MATCH(Calendar!$A6,DB!1:1,0)+2),FALSE),"")</f>
        <v/>
      </c>
      <c r="IKD6" s="27" t="str">
        <f>IFERROR(VLOOKUP(DATE($K$1,$K$2,IKD$4),Table1[],(MATCH(Calendar!$A6,DB!1:1,0)+2),FALSE),"")</f>
        <v/>
      </c>
      <c r="IKE6" s="27" t="str">
        <f>IFERROR(VLOOKUP(DATE($K$1,$K$2,IKE$4),Table1[],(MATCH(Calendar!$A6,DB!1:1,0)+2),FALSE),"")</f>
        <v/>
      </c>
      <c r="IKF6" s="27" t="str">
        <f>IFERROR(VLOOKUP(DATE($K$1,$K$2,IKF$4),Table1[],(MATCH(Calendar!$A6,DB!1:1,0)+2),FALSE),"")</f>
        <v/>
      </c>
      <c r="IKG6" s="27" t="str">
        <f>IFERROR(VLOOKUP(DATE($K$1,$K$2,IKG$4),Table1[],(MATCH(Calendar!$A6,DB!1:1,0)+2),FALSE),"")</f>
        <v/>
      </c>
      <c r="IKH6" s="27" t="str">
        <f>IFERROR(VLOOKUP(DATE($K$1,$K$2,IKH$4),Table1[],(MATCH(Calendar!$A6,DB!1:1,0)+2),FALSE),"")</f>
        <v/>
      </c>
      <c r="IKI6" s="27" t="str">
        <f>IFERROR(VLOOKUP(DATE($K$1,$K$2,IKI$4),Table1[],(MATCH(Calendar!$A6,DB!1:1,0)+2),FALSE),"")</f>
        <v/>
      </c>
      <c r="IKJ6" s="27" t="str">
        <f>IFERROR(VLOOKUP(DATE($K$1,$K$2,IKJ$4),Table1[],(MATCH(Calendar!$A6,DB!1:1,0)+2),FALSE),"")</f>
        <v/>
      </c>
      <c r="IKK6" s="27" t="str">
        <f>IFERROR(VLOOKUP(DATE($K$1,$K$2,IKK$4),Table1[],(MATCH(Calendar!$A6,DB!1:1,0)+2),FALSE),"")</f>
        <v/>
      </c>
      <c r="IKL6" s="27" t="str">
        <f>IFERROR(VLOOKUP(DATE($K$1,$K$2,IKL$4),Table1[],(MATCH(Calendar!$A6,DB!1:1,0)+2),FALSE),"")</f>
        <v/>
      </c>
      <c r="IKM6" s="27" t="str">
        <f>IFERROR(VLOOKUP(DATE($K$1,$K$2,IKM$4),Table1[],(MATCH(Calendar!$A6,DB!1:1,0)+2),FALSE),"")</f>
        <v/>
      </c>
      <c r="IKN6" s="27" t="str">
        <f>IFERROR(VLOOKUP(DATE($K$1,$K$2,IKN$4),Table1[],(MATCH(Calendar!$A6,DB!1:1,0)+2),FALSE),"")</f>
        <v/>
      </c>
      <c r="IKO6" s="27" t="str">
        <f>IFERROR(VLOOKUP(DATE($K$1,$K$2,IKO$4),Table1[],(MATCH(Calendar!$A6,DB!1:1,0)+2),FALSE),"")</f>
        <v/>
      </c>
      <c r="IKP6" s="27" t="str">
        <f>IFERROR(VLOOKUP(DATE($K$1,$K$2,IKP$4),Table1[],(MATCH(Calendar!$A6,DB!1:1,0)+2),FALSE),"")</f>
        <v/>
      </c>
      <c r="IKQ6" s="27" t="str">
        <f>IFERROR(VLOOKUP(DATE($K$1,$K$2,IKQ$4),Table1[],(MATCH(Calendar!$A6,DB!1:1,0)+2),FALSE),"")</f>
        <v/>
      </c>
      <c r="IKR6" s="27" t="str">
        <f>IFERROR(VLOOKUP(DATE($K$1,$K$2,IKR$4),Table1[],(MATCH(Calendar!$A6,DB!1:1,0)+2),FALSE),"")</f>
        <v/>
      </c>
      <c r="IKS6" s="27" t="str">
        <f>IFERROR(VLOOKUP(DATE($K$1,$K$2,IKS$4),Table1[],(MATCH(Calendar!$A6,DB!1:1,0)+2),FALSE),"")</f>
        <v/>
      </c>
      <c r="IKT6" s="27" t="str">
        <f>IFERROR(VLOOKUP(DATE($K$1,$K$2,IKT$4),Table1[],(MATCH(Calendar!$A6,DB!1:1,0)+2),FALSE),"")</f>
        <v/>
      </c>
      <c r="IKU6" s="27" t="str">
        <f>IFERROR(VLOOKUP(DATE($K$1,$K$2,IKU$4),Table1[],(MATCH(Calendar!$A6,DB!1:1,0)+2),FALSE),"")</f>
        <v/>
      </c>
      <c r="IKV6" s="27" t="str">
        <f>IFERROR(VLOOKUP(DATE($K$1,$K$2,IKV$4),Table1[],(MATCH(Calendar!$A6,DB!1:1,0)+2),FALSE),"")</f>
        <v/>
      </c>
      <c r="IKW6" s="27" t="str">
        <f>IFERROR(VLOOKUP(DATE($K$1,$K$2,IKW$4),Table1[],(MATCH(Calendar!$A6,DB!1:1,0)+2),FALSE),"")</f>
        <v/>
      </c>
      <c r="IKX6" s="27" t="str">
        <f>IFERROR(VLOOKUP(DATE($K$1,$K$2,IKX$4),Table1[],(MATCH(Calendar!$A6,DB!1:1,0)+2),FALSE),"")</f>
        <v/>
      </c>
      <c r="IKY6" s="27" t="str">
        <f>IFERROR(VLOOKUP(DATE($K$1,$K$2,IKY$4),Table1[],(MATCH(Calendar!$A6,DB!1:1,0)+2),FALSE),"")</f>
        <v/>
      </c>
      <c r="IKZ6" s="27" t="str">
        <f>IFERROR(VLOOKUP(DATE($K$1,$K$2,IKZ$4),Table1[],(MATCH(Calendar!$A6,DB!1:1,0)+2),FALSE),"")</f>
        <v/>
      </c>
      <c r="ILA6" s="27" t="str">
        <f>IFERROR(VLOOKUP(DATE($K$1,$K$2,ILA$4),Table1[],(MATCH(Calendar!$A6,DB!1:1,0)+2),FALSE),"")</f>
        <v/>
      </c>
      <c r="ILB6" s="27" t="str">
        <f>IFERROR(VLOOKUP(DATE($K$1,$K$2,ILB$4),Table1[],(MATCH(Calendar!$A6,DB!1:1,0)+2),FALSE),"")</f>
        <v/>
      </c>
      <c r="ILC6" s="27" t="str">
        <f>IFERROR(VLOOKUP(DATE($K$1,$K$2,ILC$4),Table1[],(MATCH(Calendar!$A6,DB!1:1,0)+2),FALSE),"")</f>
        <v/>
      </c>
      <c r="ILD6" s="27" t="str">
        <f>IFERROR(VLOOKUP(DATE($K$1,$K$2,ILD$4),Table1[],(MATCH(Calendar!$A6,DB!1:1,0)+2),FALSE),"")</f>
        <v/>
      </c>
      <c r="ILE6" s="27" t="str">
        <f>IFERROR(VLOOKUP(DATE($K$1,$K$2,ILE$4),Table1[],(MATCH(Calendar!$A6,DB!1:1,0)+2),FALSE),"")</f>
        <v/>
      </c>
      <c r="ILF6" s="27" t="str">
        <f>IFERROR(VLOOKUP(DATE($K$1,$K$2,ILF$4),Table1[],(MATCH(Calendar!$A6,DB!1:1,0)+2),FALSE),"")</f>
        <v/>
      </c>
      <c r="ILG6" s="27" t="str">
        <f>IFERROR(VLOOKUP(DATE($K$1,$K$2,ILG$4),Table1[],(MATCH(Calendar!$A6,DB!1:1,0)+2),FALSE),"")</f>
        <v/>
      </c>
      <c r="ILH6" s="27" t="str">
        <f>IFERROR(VLOOKUP(DATE($K$1,$K$2,ILH$4),Table1[],(MATCH(Calendar!$A6,DB!1:1,0)+2),FALSE),"")</f>
        <v/>
      </c>
      <c r="ILI6" s="27" t="str">
        <f>IFERROR(VLOOKUP(DATE($K$1,$K$2,ILI$4),Table1[],(MATCH(Calendar!$A6,DB!1:1,0)+2),FALSE),"")</f>
        <v/>
      </c>
      <c r="ILJ6" s="27" t="str">
        <f>IFERROR(VLOOKUP(DATE($K$1,$K$2,ILJ$4),Table1[],(MATCH(Calendar!$A6,DB!1:1,0)+2),FALSE),"")</f>
        <v/>
      </c>
      <c r="ILK6" s="27" t="str">
        <f>IFERROR(VLOOKUP(DATE($K$1,$K$2,ILK$4),Table1[],(MATCH(Calendar!$A6,DB!1:1,0)+2),FALSE),"")</f>
        <v/>
      </c>
      <c r="ILL6" s="27" t="str">
        <f>IFERROR(VLOOKUP(DATE($K$1,$K$2,ILL$4),Table1[],(MATCH(Calendar!$A6,DB!1:1,0)+2),FALSE),"")</f>
        <v/>
      </c>
      <c r="ILM6" s="27" t="str">
        <f>IFERROR(VLOOKUP(DATE($K$1,$K$2,ILM$4),Table1[],(MATCH(Calendar!$A6,DB!1:1,0)+2),FALSE),"")</f>
        <v/>
      </c>
      <c r="ILN6" s="27" t="str">
        <f>IFERROR(VLOOKUP(DATE($K$1,$K$2,ILN$4),Table1[],(MATCH(Calendar!$A6,DB!1:1,0)+2),FALSE),"")</f>
        <v/>
      </c>
      <c r="ILO6" s="27" t="str">
        <f>IFERROR(VLOOKUP(DATE($K$1,$K$2,ILO$4),Table1[],(MATCH(Calendar!$A6,DB!1:1,0)+2),FALSE),"")</f>
        <v/>
      </c>
      <c r="ILP6" s="27" t="str">
        <f>IFERROR(VLOOKUP(DATE($K$1,$K$2,ILP$4),Table1[],(MATCH(Calendar!$A6,DB!1:1,0)+2),FALSE),"")</f>
        <v/>
      </c>
      <c r="ILQ6" s="27" t="str">
        <f>IFERROR(VLOOKUP(DATE($K$1,$K$2,ILQ$4),Table1[],(MATCH(Calendar!$A6,DB!1:1,0)+2),FALSE),"")</f>
        <v/>
      </c>
      <c r="ILR6" s="27" t="str">
        <f>IFERROR(VLOOKUP(DATE($K$1,$K$2,ILR$4),Table1[],(MATCH(Calendar!$A6,DB!1:1,0)+2),FALSE),"")</f>
        <v/>
      </c>
      <c r="ILS6" s="27" t="str">
        <f>IFERROR(VLOOKUP(DATE($K$1,$K$2,ILS$4),Table1[],(MATCH(Calendar!$A6,DB!1:1,0)+2),FALSE),"")</f>
        <v/>
      </c>
      <c r="ILT6" s="27" t="str">
        <f>IFERROR(VLOOKUP(DATE($K$1,$K$2,ILT$4),Table1[],(MATCH(Calendar!$A6,DB!1:1,0)+2),FALSE),"")</f>
        <v/>
      </c>
      <c r="ILU6" s="27" t="str">
        <f>IFERROR(VLOOKUP(DATE($K$1,$K$2,ILU$4),Table1[],(MATCH(Calendar!$A6,DB!1:1,0)+2),FALSE),"")</f>
        <v/>
      </c>
      <c r="ILV6" s="27" t="str">
        <f>IFERROR(VLOOKUP(DATE($K$1,$K$2,ILV$4),Table1[],(MATCH(Calendar!$A6,DB!1:1,0)+2),FALSE),"")</f>
        <v/>
      </c>
      <c r="ILW6" s="27" t="str">
        <f>IFERROR(VLOOKUP(DATE($K$1,$K$2,ILW$4),Table1[],(MATCH(Calendar!$A6,DB!1:1,0)+2),FALSE),"")</f>
        <v/>
      </c>
      <c r="ILX6" s="27" t="str">
        <f>IFERROR(VLOOKUP(DATE($K$1,$K$2,ILX$4),Table1[],(MATCH(Calendar!$A6,DB!1:1,0)+2),FALSE),"")</f>
        <v/>
      </c>
      <c r="ILY6" s="27" t="str">
        <f>IFERROR(VLOOKUP(DATE($K$1,$K$2,ILY$4),Table1[],(MATCH(Calendar!$A6,DB!1:1,0)+2),FALSE),"")</f>
        <v/>
      </c>
      <c r="ILZ6" s="27" t="str">
        <f>IFERROR(VLOOKUP(DATE($K$1,$K$2,ILZ$4),Table1[],(MATCH(Calendar!$A6,DB!1:1,0)+2),FALSE),"")</f>
        <v/>
      </c>
      <c r="IMA6" s="27" t="str">
        <f>IFERROR(VLOOKUP(DATE($K$1,$K$2,IMA$4),Table1[],(MATCH(Calendar!$A6,DB!1:1,0)+2),FALSE),"")</f>
        <v/>
      </c>
      <c r="IMB6" s="27" t="str">
        <f>IFERROR(VLOOKUP(DATE($K$1,$K$2,IMB$4),Table1[],(MATCH(Calendar!$A6,DB!1:1,0)+2),FALSE),"")</f>
        <v/>
      </c>
      <c r="IMC6" s="27" t="str">
        <f>IFERROR(VLOOKUP(DATE($K$1,$K$2,IMC$4),Table1[],(MATCH(Calendar!$A6,DB!1:1,0)+2),FALSE),"")</f>
        <v/>
      </c>
      <c r="IMD6" s="27" t="str">
        <f>IFERROR(VLOOKUP(DATE($K$1,$K$2,IMD$4),Table1[],(MATCH(Calendar!$A6,DB!1:1,0)+2),FALSE),"")</f>
        <v/>
      </c>
      <c r="IME6" s="27" t="str">
        <f>IFERROR(VLOOKUP(DATE($K$1,$K$2,IME$4),Table1[],(MATCH(Calendar!$A6,DB!1:1,0)+2),FALSE),"")</f>
        <v/>
      </c>
      <c r="IMF6" s="27" t="str">
        <f>IFERROR(VLOOKUP(DATE($K$1,$K$2,IMF$4),Table1[],(MATCH(Calendar!$A6,DB!1:1,0)+2),FALSE),"")</f>
        <v/>
      </c>
      <c r="IMG6" s="27" t="str">
        <f>IFERROR(VLOOKUP(DATE($K$1,$K$2,IMG$4),Table1[],(MATCH(Calendar!$A6,DB!1:1,0)+2),FALSE),"")</f>
        <v/>
      </c>
      <c r="IMH6" s="27" t="str">
        <f>IFERROR(VLOOKUP(DATE($K$1,$K$2,IMH$4),Table1[],(MATCH(Calendar!$A6,DB!1:1,0)+2),FALSE),"")</f>
        <v/>
      </c>
      <c r="IMI6" s="27" t="str">
        <f>IFERROR(VLOOKUP(DATE($K$1,$K$2,IMI$4),Table1[],(MATCH(Calendar!$A6,DB!1:1,0)+2),FALSE),"")</f>
        <v/>
      </c>
      <c r="IMJ6" s="27" t="str">
        <f>IFERROR(VLOOKUP(DATE($K$1,$K$2,IMJ$4),Table1[],(MATCH(Calendar!$A6,DB!1:1,0)+2),FALSE),"")</f>
        <v/>
      </c>
      <c r="IMK6" s="27" t="str">
        <f>IFERROR(VLOOKUP(DATE($K$1,$K$2,IMK$4),Table1[],(MATCH(Calendar!$A6,DB!1:1,0)+2),FALSE),"")</f>
        <v/>
      </c>
      <c r="IML6" s="27" t="str">
        <f>IFERROR(VLOOKUP(DATE($K$1,$K$2,IML$4),Table1[],(MATCH(Calendar!$A6,DB!1:1,0)+2),FALSE),"")</f>
        <v/>
      </c>
      <c r="IMM6" s="27" t="str">
        <f>IFERROR(VLOOKUP(DATE($K$1,$K$2,IMM$4),Table1[],(MATCH(Calendar!$A6,DB!1:1,0)+2),FALSE),"")</f>
        <v/>
      </c>
      <c r="IMN6" s="27" t="str">
        <f>IFERROR(VLOOKUP(DATE($K$1,$K$2,IMN$4),Table1[],(MATCH(Calendar!$A6,DB!1:1,0)+2),FALSE),"")</f>
        <v/>
      </c>
      <c r="IMO6" s="27" t="str">
        <f>IFERROR(VLOOKUP(DATE($K$1,$K$2,IMO$4),Table1[],(MATCH(Calendar!$A6,DB!1:1,0)+2),FALSE),"")</f>
        <v/>
      </c>
      <c r="IMP6" s="27" t="str">
        <f>IFERROR(VLOOKUP(DATE($K$1,$K$2,IMP$4),Table1[],(MATCH(Calendar!$A6,DB!1:1,0)+2),FALSE),"")</f>
        <v/>
      </c>
      <c r="IMQ6" s="27" t="str">
        <f>IFERROR(VLOOKUP(DATE($K$1,$K$2,IMQ$4),Table1[],(MATCH(Calendar!$A6,DB!1:1,0)+2),FALSE),"")</f>
        <v/>
      </c>
      <c r="IMR6" s="27" t="str">
        <f>IFERROR(VLOOKUP(DATE($K$1,$K$2,IMR$4),Table1[],(MATCH(Calendar!$A6,DB!1:1,0)+2),FALSE),"")</f>
        <v/>
      </c>
      <c r="IMS6" s="27" t="str">
        <f>IFERROR(VLOOKUP(DATE($K$1,$K$2,IMS$4),Table1[],(MATCH(Calendar!$A6,DB!1:1,0)+2),FALSE),"")</f>
        <v/>
      </c>
      <c r="IMT6" s="27" t="str">
        <f>IFERROR(VLOOKUP(DATE($K$1,$K$2,IMT$4),Table1[],(MATCH(Calendar!$A6,DB!1:1,0)+2),FALSE),"")</f>
        <v/>
      </c>
      <c r="IMU6" s="27" t="str">
        <f>IFERROR(VLOOKUP(DATE($K$1,$K$2,IMU$4),Table1[],(MATCH(Calendar!$A6,DB!1:1,0)+2),FALSE),"")</f>
        <v/>
      </c>
      <c r="IMV6" s="27" t="str">
        <f>IFERROR(VLOOKUP(DATE($K$1,$K$2,IMV$4),Table1[],(MATCH(Calendar!$A6,DB!1:1,0)+2),FALSE),"")</f>
        <v/>
      </c>
      <c r="IMW6" s="27" t="str">
        <f>IFERROR(VLOOKUP(DATE($K$1,$K$2,IMW$4),Table1[],(MATCH(Calendar!$A6,DB!1:1,0)+2),FALSE),"")</f>
        <v/>
      </c>
      <c r="IMX6" s="27" t="str">
        <f>IFERROR(VLOOKUP(DATE($K$1,$K$2,IMX$4),Table1[],(MATCH(Calendar!$A6,DB!1:1,0)+2),FALSE),"")</f>
        <v/>
      </c>
      <c r="IMY6" s="27" t="str">
        <f>IFERROR(VLOOKUP(DATE($K$1,$K$2,IMY$4),Table1[],(MATCH(Calendar!$A6,DB!1:1,0)+2),FALSE),"")</f>
        <v/>
      </c>
      <c r="IMZ6" s="27" t="str">
        <f>IFERROR(VLOOKUP(DATE($K$1,$K$2,IMZ$4),Table1[],(MATCH(Calendar!$A6,DB!1:1,0)+2),FALSE),"")</f>
        <v/>
      </c>
      <c r="INA6" s="27" t="str">
        <f>IFERROR(VLOOKUP(DATE($K$1,$K$2,INA$4),Table1[],(MATCH(Calendar!$A6,DB!1:1,0)+2),FALSE),"")</f>
        <v/>
      </c>
      <c r="INB6" s="27" t="str">
        <f>IFERROR(VLOOKUP(DATE($K$1,$K$2,INB$4),Table1[],(MATCH(Calendar!$A6,DB!1:1,0)+2),FALSE),"")</f>
        <v/>
      </c>
      <c r="INC6" s="27" t="str">
        <f>IFERROR(VLOOKUP(DATE($K$1,$K$2,INC$4),Table1[],(MATCH(Calendar!$A6,DB!1:1,0)+2),FALSE),"")</f>
        <v/>
      </c>
      <c r="IND6" s="27" t="str">
        <f>IFERROR(VLOOKUP(DATE($K$1,$K$2,IND$4),Table1[],(MATCH(Calendar!$A6,DB!1:1,0)+2),FALSE),"")</f>
        <v/>
      </c>
      <c r="INE6" s="27" t="str">
        <f>IFERROR(VLOOKUP(DATE($K$1,$K$2,INE$4),Table1[],(MATCH(Calendar!$A6,DB!1:1,0)+2),FALSE),"")</f>
        <v/>
      </c>
      <c r="INF6" s="27" t="str">
        <f>IFERROR(VLOOKUP(DATE($K$1,$K$2,INF$4),Table1[],(MATCH(Calendar!$A6,DB!1:1,0)+2),FALSE),"")</f>
        <v/>
      </c>
      <c r="ING6" s="27" t="str">
        <f>IFERROR(VLOOKUP(DATE($K$1,$K$2,ING$4),Table1[],(MATCH(Calendar!$A6,DB!1:1,0)+2),FALSE),"")</f>
        <v/>
      </c>
      <c r="INH6" s="27" t="str">
        <f>IFERROR(VLOOKUP(DATE($K$1,$K$2,INH$4),Table1[],(MATCH(Calendar!$A6,DB!1:1,0)+2),FALSE),"")</f>
        <v/>
      </c>
      <c r="INI6" s="27" t="str">
        <f>IFERROR(VLOOKUP(DATE($K$1,$K$2,INI$4),Table1[],(MATCH(Calendar!$A6,DB!1:1,0)+2),FALSE),"")</f>
        <v/>
      </c>
      <c r="INJ6" s="27" t="str">
        <f>IFERROR(VLOOKUP(DATE($K$1,$K$2,INJ$4),Table1[],(MATCH(Calendar!$A6,DB!1:1,0)+2),FALSE),"")</f>
        <v/>
      </c>
      <c r="INK6" s="27" t="str">
        <f>IFERROR(VLOOKUP(DATE($K$1,$K$2,INK$4),Table1[],(MATCH(Calendar!$A6,DB!1:1,0)+2),FALSE),"")</f>
        <v/>
      </c>
      <c r="INL6" s="27" t="str">
        <f>IFERROR(VLOOKUP(DATE($K$1,$K$2,INL$4),Table1[],(MATCH(Calendar!$A6,DB!1:1,0)+2),FALSE),"")</f>
        <v/>
      </c>
      <c r="INM6" s="27" t="str">
        <f>IFERROR(VLOOKUP(DATE($K$1,$K$2,INM$4),Table1[],(MATCH(Calendar!$A6,DB!1:1,0)+2),FALSE),"")</f>
        <v/>
      </c>
      <c r="INN6" s="27" t="str">
        <f>IFERROR(VLOOKUP(DATE($K$1,$K$2,INN$4),Table1[],(MATCH(Calendar!$A6,DB!1:1,0)+2),FALSE),"")</f>
        <v/>
      </c>
      <c r="INO6" s="27" t="str">
        <f>IFERROR(VLOOKUP(DATE($K$1,$K$2,INO$4),Table1[],(MATCH(Calendar!$A6,DB!1:1,0)+2),FALSE),"")</f>
        <v/>
      </c>
      <c r="INP6" s="27" t="str">
        <f>IFERROR(VLOOKUP(DATE($K$1,$K$2,INP$4),Table1[],(MATCH(Calendar!$A6,DB!1:1,0)+2),FALSE),"")</f>
        <v/>
      </c>
      <c r="INQ6" s="27" t="str">
        <f>IFERROR(VLOOKUP(DATE($K$1,$K$2,INQ$4),Table1[],(MATCH(Calendar!$A6,DB!1:1,0)+2),FALSE),"")</f>
        <v/>
      </c>
      <c r="INR6" s="27" t="str">
        <f>IFERROR(VLOOKUP(DATE($K$1,$K$2,INR$4),Table1[],(MATCH(Calendar!$A6,DB!1:1,0)+2),FALSE),"")</f>
        <v/>
      </c>
      <c r="INS6" s="27" t="str">
        <f>IFERROR(VLOOKUP(DATE($K$1,$K$2,INS$4),Table1[],(MATCH(Calendar!$A6,DB!1:1,0)+2),FALSE),"")</f>
        <v/>
      </c>
      <c r="INT6" s="27" t="str">
        <f>IFERROR(VLOOKUP(DATE($K$1,$K$2,INT$4),Table1[],(MATCH(Calendar!$A6,DB!1:1,0)+2),FALSE),"")</f>
        <v/>
      </c>
      <c r="INU6" s="27" t="str">
        <f>IFERROR(VLOOKUP(DATE($K$1,$K$2,INU$4),Table1[],(MATCH(Calendar!$A6,DB!1:1,0)+2),FALSE),"")</f>
        <v/>
      </c>
      <c r="INV6" s="27" t="str">
        <f>IFERROR(VLOOKUP(DATE($K$1,$K$2,INV$4),Table1[],(MATCH(Calendar!$A6,DB!1:1,0)+2),FALSE),"")</f>
        <v/>
      </c>
      <c r="INW6" s="27" t="str">
        <f>IFERROR(VLOOKUP(DATE($K$1,$K$2,INW$4),Table1[],(MATCH(Calendar!$A6,DB!1:1,0)+2),FALSE),"")</f>
        <v/>
      </c>
      <c r="INX6" s="27" t="str">
        <f>IFERROR(VLOOKUP(DATE($K$1,$K$2,INX$4),Table1[],(MATCH(Calendar!$A6,DB!1:1,0)+2),FALSE),"")</f>
        <v/>
      </c>
      <c r="INY6" s="27" t="str">
        <f>IFERROR(VLOOKUP(DATE($K$1,$K$2,INY$4),Table1[],(MATCH(Calendar!$A6,DB!1:1,0)+2),FALSE),"")</f>
        <v/>
      </c>
      <c r="INZ6" s="27" t="str">
        <f>IFERROR(VLOOKUP(DATE($K$1,$K$2,INZ$4),Table1[],(MATCH(Calendar!$A6,DB!1:1,0)+2),FALSE),"")</f>
        <v/>
      </c>
      <c r="IOA6" s="27" t="str">
        <f>IFERROR(VLOOKUP(DATE($K$1,$K$2,IOA$4),Table1[],(MATCH(Calendar!$A6,DB!1:1,0)+2),FALSE),"")</f>
        <v/>
      </c>
      <c r="IOB6" s="27" t="str">
        <f>IFERROR(VLOOKUP(DATE($K$1,$K$2,IOB$4),Table1[],(MATCH(Calendar!$A6,DB!1:1,0)+2),FALSE),"")</f>
        <v/>
      </c>
      <c r="IOC6" s="27" t="str">
        <f>IFERROR(VLOOKUP(DATE($K$1,$K$2,IOC$4),Table1[],(MATCH(Calendar!$A6,DB!1:1,0)+2),FALSE),"")</f>
        <v/>
      </c>
      <c r="IOD6" s="27" t="str">
        <f>IFERROR(VLOOKUP(DATE($K$1,$K$2,IOD$4),Table1[],(MATCH(Calendar!$A6,DB!1:1,0)+2),FALSE),"")</f>
        <v/>
      </c>
      <c r="IOE6" s="27" t="str">
        <f>IFERROR(VLOOKUP(DATE($K$1,$K$2,IOE$4),Table1[],(MATCH(Calendar!$A6,DB!1:1,0)+2),FALSE),"")</f>
        <v/>
      </c>
      <c r="IOF6" s="27" t="str">
        <f>IFERROR(VLOOKUP(DATE($K$1,$K$2,IOF$4),Table1[],(MATCH(Calendar!$A6,DB!1:1,0)+2),FALSE),"")</f>
        <v/>
      </c>
      <c r="IOG6" s="27" t="str">
        <f>IFERROR(VLOOKUP(DATE($K$1,$K$2,IOG$4),Table1[],(MATCH(Calendar!$A6,DB!1:1,0)+2),FALSE),"")</f>
        <v/>
      </c>
      <c r="IOH6" s="27" t="str">
        <f>IFERROR(VLOOKUP(DATE($K$1,$K$2,IOH$4),Table1[],(MATCH(Calendar!$A6,DB!1:1,0)+2),FALSE),"")</f>
        <v/>
      </c>
      <c r="IOI6" s="27" t="str">
        <f>IFERROR(VLOOKUP(DATE($K$1,$K$2,IOI$4),Table1[],(MATCH(Calendar!$A6,DB!1:1,0)+2),FALSE),"")</f>
        <v/>
      </c>
      <c r="IOJ6" s="27" t="str">
        <f>IFERROR(VLOOKUP(DATE($K$1,$K$2,IOJ$4),Table1[],(MATCH(Calendar!$A6,DB!1:1,0)+2),FALSE),"")</f>
        <v/>
      </c>
      <c r="IOK6" s="27" t="str">
        <f>IFERROR(VLOOKUP(DATE($K$1,$K$2,IOK$4),Table1[],(MATCH(Calendar!$A6,DB!1:1,0)+2),FALSE),"")</f>
        <v/>
      </c>
      <c r="IOL6" s="27" t="str">
        <f>IFERROR(VLOOKUP(DATE($K$1,$K$2,IOL$4),Table1[],(MATCH(Calendar!$A6,DB!1:1,0)+2),FALSE),"")</f>
        <v/>
      </c>
      <c r="IOM6" s="27" t="str">
        <f>IFERROR(VLOOKUP(DATE($K$1,$K$2,IOM$4),Table1[],(MATCH(Calendar!$A6,DB!1:1,0)+2),FALSE),"")</f>
        <v/>
      </c>
      <c r="ION6" s="27" t="str">
        <f>IFERROR(VLOOKUP(DATE($K$1,$K$2,ION$4),Table1[],(MATCH(Calendar!$A6,DB!1:1,0)+2),FALSE),"")</f>
        <v/>
      </c>
      <c r="IOO6" s="27" t="str">
        <f>IFERROR(VLOOKUP(DATE($K$1,$K$2,IOO$4),Table1[],(MATCH(Calendar!$A6,DB!1:1,0)+2),FALSE),"")</f>
        <v/>
      </c>
      <c r="IOP6" s="27" t="str">
        <f>IFERROR(VLOOKUP(DATE($K$1,$K$2,IOP$4),Table1[],(MATCH(Calendar!$A6,DB!1:1,0)+2),FALSE),"")</f>
        <v/>
      </c>
      <c r="IOQ6" s="27" t="str">
        <f>IFERROR(VLOOKUP(DATE($K$1,$K$2,IOQ$4),Table1[],(MATCH(Calendar!$A6,DB!1:1,0)+2),FALSE),"")</f>
        <v/>
      </c>
      <c r="IOR6" s="27" t="str">
        <f>IFERROR(VLOOKUP(DATE($K$1,$K$2,IOR$4),Table1[],(MATCH(Calendar!$A6,DB!1:1,0)+2),FALSE),"")</f>
        <v/>
      </c>
      <c r="IOS6" s="27" t="str">
        <f>IFERROR(VLOOKUP(DATE($K$1,$K$2,IOS$4),Table1[],(MATCH(Calendar!$A6,DB!1:1,0)+2),FALSE),"")</f>
        <v/>
      </c>
      <c r="IOT6" s="27" t="str">
        <f>IFERROR(VLOOKUP(DATE($K$1,$K$2,IOT$4),Table1[],(MATCH(Calendar!$A6,DB!1:1,0)+2),FALSE),"")</f>
        <v/>
      </c>
      <c r="IOU6" s="27" t="str">
        <f>IFERROR(VLOOKUP(DATE($K$1,$K$2,IOU$4),Table1[],(MATCH(Calendar!$A6,DB!1:1,0)+2),FALSE),"")</f>
        <v/>
      </c>
      <c r="IOV6" s="27" t="str">
        <f>IFERROR(VLOOKUP(DATE($K$1,$K$2,IOV$4),Table1[],(MATCH(Calendar!$A6,DB!1:1,0)+2),FALSE),"")</f>
        <v/>
      </c>
      <c r="IOW6" s="27" t="str">
        <f>IFERROR(VLOOKUP(DATE($K$1,$K$2,IOW$4),Table1[],(MATCH(Calendar!$A6,DB!1:1,0)+2),FALSE),"")</f>
        <v/>
      </c>
      <c r="IOX6" s="27" t="str">
        <f>IFERROR(VLOOKUP(DATE($K$1,$K$2,IOX$4),Table1[],(MATCH(Calendar!$A6,DB!1:1,0)+2),FALSE),"")</f>
        <v/>
      </c>
      <c r="IOY6" s="27" t="str">
        <f>IFERROR(VLOOKUP(DATE($K$1,$K$2,IOY$4),Table1[],(MATCH(Calendar!$A6,DB!1:1,0)+2),FALSE),"")</f>
        <v/>
      </c>
      <c r="IOZ6" s="27" t="str">
        <f>IFERROR(VLOOKUP(DATE($K$1,$K$2,IOZ$4),Table1[],(MATCH(Calendar!$A6,DB!1:1,0)+2),FALSE),"")</f>
        <v/>
      </c>
      <c r="IPA6" s="27" t="str">
        <f>IFERROR(VLOOKUP(DATE($K$1,$K$2,IPA$4),Table1[],(MATCH(Calendar!$A6,DB!1:1,0)+2),FALSE),"")</f>
        <v/>
      </c>
      <c r="IPB6" s="27" t="str">
        <f>IFERROR(VLOOKUP(DATE($K$1,$K$2,IPB$4),Table1[],(MATCH(Calendar!$A6,DB!1:1,0)+2),FALSE),"")</f>
        <v/>
      </c>
      <c r="IPC6" s="27" t="str">
        <f>IFERROR(VLOOKUP(DATE($K$1,$K$2,IPC$4),Table1[],(MATCH(Calendar!$A6,DB!1:1,0)+2),FALSE),"")</f>
        <v/>
      </c>
      <c r="IPD6" s="27" t="str">
        <f>IFERROR(VLOOKUP(DATE($K$1,$K$2,IPD$4),Table1[],(MATCH(Calendar!$A6,DB!1:1,0)+2),FALSE),"")</f>
        <v/>
      </c>
      <c r="IPE6" s="27" t="str">
        <f>IFERROR(VLOOKUP(DATE($K$1,$K$2,IPE$4),Table1[],(MATCH(Calendar!$A6,DB!1:1,0)+2),FALSE),"")</f>
        <v/>
      </c>
      <c r="IPF6" s="27" t="str">
        <f>IFERROR(VLOOKUP(DATE($K$1,$K$2,IPF$4),Table1[],(MATCH(Calendar!$A6,DB!1:1,0)+2),FALSE),"")</f>
        <v/>
      </c>
      <c r="IPG6" s="27" t="str">
        <f>IFERROR(VLOOKUP(DATE($K$1,$K$2,IPG$4),Table1[],(MATCH(Calendar!$A6,DB!1:1,0)+2),FALSE),"")</f>
        <v/>
      </c>
      <c r="IPH6" s="27" t="str">
        <f>IFERROR(VLOOKUP(DATE($K$1,$K$2,IPH$4),Table1[],(MATCH(Calendar!$A6,DB!1:1,0)+2),FALSE),"")</f>
        <v/>
      </c>
      <c r="IPI6" s="27" t="str">
        <f>IFERROR(VLOOKUP(DATE($K$1,$K$2,IPI$4),Table1[],(MATCH(Calendar!$A6,DB!1:1,0)+2),FALSE),"")</f>
        <v/>
      </c>
      <c r="IPJ6" s="27" t="str">
        <f>IFERROR(VLOOKUP(DATE($K$1,$K$2,IPJ$4),Table1[],(MATCH(Calendar!$A6,DB!1:1,0)+2),FALSE),"")</f>
        <v/>
      </c>
      <c r="IPK6" s="27" t="str">
        <f>IFERROR(VLOOKUP(DATE($K$1,$K$2,IPK$4),Table1[],(MATCH(Calendar!$A6,DB!1:1,0)+2),FALSE),"")</f>
        <v/>
      </c>
      <c r="IPL6" s="27" t="str">
        <f>IFERROR(VLOOKUP(DATE($K$1,$K$2,IPL$4),Table1[],(MATCH(Calendar!$A6,DB!1:1,0)+2),FALSE),"")</f>
        <v/>
      </c>
      <c r="IPM6" s="27" t="str">
        <f>IFERROR(VLOOKUP(DATE($K$1,$K$2,IPM$4),Table1[],(MATCH(Calendar!$A6,DB!1:1,0)+2),FALSE),"")</f>
        <v/>
      </c>
      <c r="IPN6" s="27" t="str">
        <f>IFERROR(VLOOKUP(DATE($K$1,$K$2,IPN$4),Table1[],(MATCH(Calendar!$A6,DB!1:1,0)+2),FALSE),"")</f>
        <v/>
      </c>
      <c r="IPO6" s="27" t="str">
        <f>IFERROR(VLOOKUP(DATE($K$1,$K$2,IPO$4),Table1[],(MATCH(Calendar!$A6,DB!1:1,0)+2),FALSE),"")</f>
        <v/>
      </c>
      <c r="IPP6" s="27" t="str">
        <f>IFERROR(VLOOKUP(DATE($K$1,$K$2,IPP$4),Table1[],(MATCH(Calendar!$A6,DB!1:1,0)+2),FALSE),"")</f>
        <v/>
      </c>
      <c r="IPQ6" s="27" t="str">
        <f>IFERROR(VLOOKUP(DATE($K$1,$K$2,IPQ$4),Table1[],(MATCH(Calendar!$A6,DB!1:1,0)+2),FALSE),"")</f>
        <v/>
      </c>
      <c r="IPR6" s="27" t="str">
        <f>IFERROR(VLOOKUP(DATE($K$1,$K$2,IPR$4),Table1[],(MATCH(Calendar!$A6,DB!1:1,0)+2),FALSE),"")</f>
        <v/>
      </c>
      <c r="IPS6" s="27" t="str">
        <f>IFERROR(VLOOKUP(DATE($K$1,$K$2,IPS$4),Table1[],(MATCH(Calendar!$A6,DB!1:1,0)+2),FALSE),"")</f>
        <v/>
      </c>
      <c r="IPT6" s="27" t="str">
        <f>IFERROR(VLOOKUP(DATE($K$1,$K$2,IPT$4),Table1[],(MATCH(Calendar!$A6,DB!1:1,0)+2),FALSE),"")</f>
        <v/>
      </c>
      <c r="IPU6" s="27" t="str">
        <f>IFERROR(VLOOKUP(DATE($K$1,$K$2,IPU$4),Table1[],(MATCH(Calendar!$A6,DB!1:1,0)+2),FALSE),"")</f>
        <v/>
      </c>
      <c r="IPV6" s="27" t="str">
        <f>IFERROR(VLOOKUP(DATE($K$1,$K$2,IPV$4),Table1[],(MATCH(Calendar!$A6,DB!1:1,0)+2),FALSE),"")</f>
        <v/>
      </c>
      <c r="IPW6" s="27" t="str">
        <f>IFERROR(VLOOKUP(DATE($K$1,$K$2,IPW$4),Table1[],(MATCH(Calendar!$A6,DB!1:1,0)+2),FALSE),"")</f>
        <v/>
      </c>
      <c r="IPX6" s="27" t="str">
        <f>IFERROR(VLOOKUP(DATE($K$1,$K$2,IPX$4),Table1[],(MATCH(Calendar!$A6,DB!1:1,0)+2),FALSE),"")</f>
        <v/>
      </c>
      <c r="IPY6" s="27" t="str">
        <f>IFERROR(VLOOKUP(DATE($K$1,$K$2,IPY$4),Table1[],(MATCH(Calendar!$A6,DB!1:1,0)+2),FALSE),"")</f>
        <v/>
      </c>
      <c r="IPZ6" s="27" t="str">
        <f>IFERROR(VLOOKUP(DATE($K$1,$K$2,IPZ$4),Table1[],(MATCH(Calendar!$A6,DB!1:1,0)+2),FALSE),"")</f>
        <v/>
      </c>
      <c r="IQA6" s="27" t="str">
        <f>IFERROR(VLOOKUP(DATE($K$1,$K$2,IQA$4),Table1[],(MATCH(Calendar!$A6,DB!1:1,0)+2),FALSE),"")</f>
        <v/>
      </c>
      <c r="IQB6" s="27" t="str">
        <f>IFERROR(VLOOKUP(DATE($K$1,$K$2,IQB$4),Table1[],(MATCH(Calendar!$A6,DB!1:1,0)+2),FALSE),"")</f>
        <v/>
      </c>
      <c r="IQC6" s="27" t="str">
        <f>IFERROR(VLOOKUP(DATE($K$1,$K$2,IQC$4),Table1[],(MATCH(Calendar!$A6,DB!1:1,0)+2),FALSE),"")</f>
        <v/>
      </c>
      <c r="IQD6" s="27" t="str">
        <f>IFERROR(VLOOKUP(DATE($K$1,$K$2,IQD$4),Table1[],(MATCH(Calendar!$A6,DB!1:1,0)+2),FALSE),"")</f>
        <v/>
      </c>
      <c r="IQE6" s="27" t="str">
        <f>IFERROR(VLOOKUP(DATE($K$1,$K$2,IQE$4),Table1[],(MATCH(Calendar!$A6,DB!1:1,0)+2),FALSE),"")</f>
        <v/>
      </c>
      <c r="IQF6" s="27" t="str">
        <f>IFERROR(VLOOKUP(DATE($K$1,$K$2,IQF$4),Table1[],(MATCH(Calendar!$A6,DB!1:1,0)+2),FALSE),"")</f>
        <v/>
      </c>
      <c r="IQG6" s="27" t="str">
        <f>IFERROR(VLOOKUP(DATE($K$1,$K$2,IQG$4),Table1[],(MATCH(Calendar!$A6,DB!1:1,0)+2),FALSE),"")</f>
        <v/>
      </c>
      <c r="IQH6" s="27" t="str">
        <f>IFERROR(VLOOKUP(DATE($K$1,$K$2,IQH$4),Table1[],(MATCH(Calendar!$A6,DB!1:1,0)+2),FALSE),"")</f>
        <v/>
      </c>
      <c r="IQI6" s="27" t="str">
        <f>IFERROR(VLOOKUP(DATE($K$1,$K$2,IQI$4),Table1[],(MATCH(Calendar!$A6,DB!1:1,0)+2),FALSE),"")</f>
        <v/>
      </c>
      <c r="IQJ6" s="27" t="str">
        <f>IFERROR(VLOOKUP(DATE($K$1,$K$2,IQJ$4),Table1[],(MATCH(Calendar!$A6,DB!1:1,0)+2),FALSE),"")</f>
        <v/>
      </c>
      <c r="IQK6" s="27" t="str">
        <f>IFERROR(VLOOKUP(DATE($K$1,$K$2,IQK$4),Table1[],(MATCH(Calendar!$A6,DB!1:1,0)+2),FALSE),"")</f>
        <v/>
      </c>
      <c r="IQL6" s="27" t="str">
        <f>IFERROR(VLOOKUP(DATE($K$1,$K$2,IQL$4),Table1[],(MATCH(Calendar!$A6,DB!1:1,0)+2),FALSE),"")</f>
        <v/>
      </c>
      <c r="IQM6" s="27" t="str">
        <f>IFERROR(VLOOKUP(DATE($K$1,$K$2,IQM$4),Table1[],(MATCH(Calendar!$A6,DB!1:1,0)+2),FALSE),"")</f>
        <v/>
      </c>
      <c r="IQN6" s="27" t="str">
        <f>IFERROR(VLOOKUP(DATE($K$1,$K$2,IQN$4),Table1[],(MATCH(Calendar!$A6,DB!1:1,0)+2),FALSE),"")</f>
        <v/>
      </c>
      <c r="IQO6" s="27" t="str">
        <f>IFERROR(VLOOKUP(DATE($K$1,$K$2,IQO$4),Table1[],(MATCH(Calendar!$A6,DB!1:1,0)+2),FALSE),"")</f>
        <v/>
      </c>
      <c r="IQP6" s="27" t="str">
        <f>IFERROR(VLOOKUP(DATE($K$1,$K$2,IQP$4),Table1[],(MATCH(Calendar!$A6,DB!1:1,0)+2),FALSE),"")</f>
        <v/>
      </c>
      <c r="IQQ6" s="27" t="str">
        <f>IFERROR(VLOOKUP(DATE($K$1,$K$2,IQQ$4),Table1[],(MATCH(Calendar!$A6,DB!1:1,0)+2),FALSE),"")</f>
        <v/>
      </c>
      <c r="IQR6" s="27" t="str">
        <f>IFERROR(VLOOKUP(DATE($K$1,$K$2,IQR$4),Table1[],(MATCH(Calendar!$A6,DB!1:1,0)+2),FALSE),"")</f>
        <v/>
      </c>
      <c r="IQS6" s="27" t="str">
        <f>IFERROR(VLOOKUP(DATE($K$1,$K$2,IQS$4),Table1[],(MATCH(Calendar!$A6,DB!1:1,0)+2),FALSE),"")</f>
        <v/>
      </c>
      <c r="IQT6" s="27" t="str">
        <f>IFERROR(VLOOKUP(DATE($K$1,$K$2,IQT$4),Table1[],(MATCH(Calendar!$A6,DB!1:1,0)+2),FALSE),"")</f>
        <v/>
      </c>
      <c r="IQU6" s="27" t="str">
        <f>IFERROR(VLOOKUP(DATE($K$1,$K$2,IQU$4),Table1[],(MATCH(Calendar!$A6,DB!1:1,0)+2),FALSE),"")</f>
        <v/>
      </c>
      <c r="IQV6" s="27" t="str">
        <f>IFERROR(VLOOKUP(DATE($K$1,$K$2,IQV$4),Table1[],(MATCH(Calendar!$A6,DB!1:1,0)+2),FALSE),"")</f>
        <v/>
      </c>
      <c r="IQW6" s="27" t="str">
        <f>IFERROR(VLOOKUP(DATE($K$1,$K$2,IQW$4),Table1[],(MATCH(Calendar!$A6,DB!1:1,0)+2),FALSE),"")</f>
        <v/>
      </c>
      <c r="IQX6" s="27" t="str">
        <f>IFERROR(VLOOKUP(DATE($K$1,$K$2,IQX$4),Table1[],(MATCH(Calendar!$A6,DB!1:1,0)+2),FALSE),"")</f>
        <v/>
      </c>
      <c r="IQY6" s="27" t="str">
        <f>IFERROR(VLOOKUP(DATE($K$1,$K$2,IQY$4),Table1[],(MATCH(Calendar!$A6,DB!1:1,0)+2),FALSE),"")</f>
        <v/>
      </c>
      <c r="IQZ6" s="27" t="str">
        <f>IFERROR(VLOOKUP(DATE($K$1,$K$2,IQZ$4),Table1[],(MATCH(Calendar!$A6,DB!1:1,0)+2),FALSE),"")</f>
        <v/>
      </c>
      <c r="IRA6" s="27" t="str">
        <f>IFERROR(VLOOKUP(DATE($K$1,$K$2,IRA$4),Table1[],(MATCH(Calendar!$A6,DB!1:1,0)+2),FALSE),"")</f>
        <v/>
      </c>
      <c r="IRB6" s="27" t="str">
        <f>IFERROR(VLOOKUP(DATE($K$1,$K$2,IRB$4),Table1[],(MATCH(Calendar!$A6,DB!1:1,0)+2),FALSE),"")</f>
        <v/>
      </c>
      <c r="IRC6" s="27" t="str">
        <f>IFERROR(VLOOKUP(DATE($K$1,$K$2,IRC$4),Table1[],(MATCH(Calendar!$A6,DB!1:1,0)+2),FALSE),"")</f>
        <v/>
      </c>
      <c r="IRD6" s="27" t="str">
        <f>IFERROR(VLOOKUP(DATE($K$1,$K$2,IRD$4),Table1[],(MATCH(Calendar!$A6,DB!1:1,0)+2),FALSE),"")</f>
        <v/>
      </c>
      <c r="IRE6" s="27" t="str">
        <f>IFERROR(VLOOKUP(DATE($K$1,$K$2,IRE$4),Table1[],(MATCH(Calendar!$A6,DB!1:1,0)+2),FALSE),"")</f>
        <v/>
      </c>
      <c r="IRF6" s="27" t="str">
        <f>IFERROR(VLOOKUP(DATE($K$1,$K$2,IRF$4),Table1[],(MATCH(Calendar!$A6,DB!1:1,0)+2),FALSE),"")</f>
        <v/>
      </c>
      <c r="IRG6" s="27" t="str">
        <f>IFERROR(VLOOKUP(DATE($K$1,$K$2,IRG$4),Table1[],(MATCH(Calendar!$A6,DB!1:1,0)+2),FALSE),"")</f>
        <v/>
      </c>
      <c r="IRH6" s="27" t="str">
        <f>IFERROR(VLOOKUP(DATE($K$1,$K$2,IRH$4),Table1[],(MATCH(Calendar!$A6,DB!1:1,0)+2),FALSE),"")</f>
        <v/>
      </c>
      <c r="IRI6" s="27" t="str">
        <f>IFERROR(VLOOKUP(DATE($K$1,$K$2,IRI$4),Table1[],(MATCH(Calendar!$A6,DB!1:1,0)+2),FALSE),"")</f>
        <v/>
      </c>
      <c r="IRJ6" s="27" t="str">
        <f>IFERROR(VLOOKUP(DATE($K$1,$K$2,IRJ$4),Table1[],(MATCH(Calendar!$A6,DB!1:1,0)+2),FALSE),"")</f>
        <v/>
      </c>
      <c r="IRK6" s="27" t="str">
        <f>IFERROR(VLOOKUP(DATE($K$1,$K$2,IRK$4),Table1[],(MATCH(Calendar!$A6,DB!1:1,0)+2),FALSE),"")</f>
        <v/>
      </c>
      <c r="IRL6" s="27" t="str">
        <f>IFERROR(VLOOKUP(DATE($K$1,$K$2,IRL$4),Table1[],(MATCH(Calendar!$A6,DB!1:1,0)+2),FALSE),"")</f>
        <v/>
      </c>
      <c r="IRM6" s="27" t="str">
        <f>IFERROR(VLOOKUP(DATE($K$1,$K$2,IRM$4),Table1[],(MATCH(Calendar!$A6,DB!1:1,0)+2),FALSE),"")</f>
        <v/>
      </c>
      <c r="IRN6" s="27" t="str">
        <f>IFERROR(VLOOKUP(DATE($K$1,$K$2,IRN$4),Table1[],(MATCH(Calendar!$A6,DB!1:1,0)+2),FALSE),"")</f>
        <v/>
      </c>
      <c r="IRO6" s="27" t="str">
        <f>IFERROR(VLOOKUP(DATE($K$1,$K$2,IRO$4),Table1[],(MATCH(Calendar!$A6,DB!1:1,0)+2),FALSE),"")</f>
        <v/>
      </c>
      <c r="IRP6" s="27" t="str">
        <f>IFERROR(VLOOKUP(DATE($K$1,$K$2,IRP$4),Table1[],(MATCH(Calendar!$A6,DB!1:1,0)+2),FALSE),"")</f>
        <v/>
      </c>
      <c r="IRQ6" s="27" t="str">
        <f>IFERROR(VLOOKUP(DATE($K$1,$K$2,IRQ$4),Table1[],(MATCH(Calendar!$A6,DB!1:1,0)+2),FALSE),"")</f>
        <v/>
      </c>
      <c r="IRR6" s="27" t="str">
        <f>IFERROR(VLOOKUP(DATE($K$1,$K$2,IRR$4),Table1[],(MATCH(Calendar!$A6,DB!1:1,0)+2),FALSE),"")</f>
        <v/>
      </c>
      <c r="IRS6" s="27" t="str">
        <f>IFERROR(VLOOKUP(DATE($K$1,$K$2,IRS$4),Table1[],(MATCH(Calendar!$A6,DB!1:1,0)+2),FALSE),"")</f>
        <v/>
      </c>
      <c r="IRT6" s="27" t="str">
        <f>IFERROR(VLOOKUP(DATE($K$1,$K$2,IRT$4),Table1[],(MATCH(Calendar!$A6,DB!1:1,0)+2),FALSE),"")</f>
        <v/>
      </c>
      <c r="IRU6" s="27" t="str">
        <f>IFERROR(VLOOKUP(DATE($K$1,$K$2,IRU$4),Table1[],(MATCH(Calendar!$A6,DB!1:1,0)+2),FALSE),"")</f>
        <v/>
      </c>
      <c r="IRV6" s="27" t="str">
        <f>IFERROR(VLOOKUP(DATE($K$1,$K$2,IRV$4),Table1[],(MATCH(Calendar!$A6,DB!1:1,0)+2),FALSE),"")</f>
        <v/>
      </c>
      <c r="IRW6" s="27" t="str">
        <f>IFERROR(VLOOKUP(DATE($K$1,$K$2,IRW$4),Table1[],(MATCH(Calendar!$A6,DB!1:1,0)+2),FALSE),"")</f>
        <v/>
      </c>
      <c r="IRX6" s="27" t="str">
        <f>IFERROR(VLOOKUP(DATE($K$1,$K$2,IRX$4),Table1[],(MATCH(Calendar!$A6,DB!1:1,0)+2),FALSE),"")</f>
        <v/>
      </c>
      <c r="IRY6" s="27" t="str">
        <f>IFERROR(VLOOKUP(DATE($K$1,$K$2,IRY$4),Table1[],(MATCH(Calendar!$A6,DB!1:1,0)+2),FALSE),"")</f>
        <v/>
      </c>
      <c r="IRZ6" s="27" t="str">
        <f>IFERROR(VLOOKUP(DATE($K$1,$K$2,IRZ$4),Table1[],(MATCH(Calendar!$A6,DB!1:1,0)+2),FALSE),"")</f>
        <v/>
      </c>
      <c r="ISA6" s="27" t="str">
        <f>IFERROR(VLOOKUP(DATE($K$1,$K$2,ISA$4),Table1[],(MATCH(Calendar!$A6,DB!1:1,0)+2),FALSE),"")</f>
        <v/>
      </c>
      <c r="ISB6" s="27" t="str">
        <f>IFERROR(VLOOKUP(DATE($K$1,$K$2,ISB$4),Table1[],(MATCH(Calendar!$A6,DB!1:1,0)+2),FALSE),"")</f>
        <v/>
      </c>
      <c r="ISC6" s="27" t="str">
        <f>IFERROR(VLOOKUP(DATE($K$1,$K$2,ISC$4),Table1[],(MATCH(Calendar!$A6,DB!1:1,0)+2),FALSE),"")</f>
        <v/>
      </c>
      <c r="ISD6" s="27" t="str">
        <f>IFERROR(VLOOKUP(DATE($K$1,$K$2,ISD$4),Table1[],(MATCH(Calendar!$A6,DB!1:1,0)+2),FALSE),"")</f>
        <v/>
      </c>
      <c r="ISE6" s="27" t="str">
        <f>IFERROR(VLOOKUP(DATE($K$1,$K$2,ISE$4),Table1[],(MATCH(Calendar!$A6,DB!1:1,0)+2),FALSE),"")</f>
        <v/>
      </c>
      <c r="ISF6" s="27" t="str">
        <f>IFERROR(VLOOKUP(DATE($K$1,$K$2,ISF$4),Table1[],(MATCH(Calendar!$A6,DB!1:1,0)+2),FALSE),"")</f>
        <v/>
      </c>
      <c r="ISG6" s="27" t="str">
        <f>IFERROR(VLOOKUP(DATE($K$1,$K$2,ISG$4),Table1[],(MATCH(Calendar!$A6,DB!1:1,0)+2),FALSE),"")</f>
        <v/>
      </c>
      <c r="ISH6" s="27" t="str">
        <f>IFERROR(VLOOKUP(DATE($K$1,$K$2,ISH$4),Table1[],(MATCH(Calendar!$A6,DB!1:1,0)+2),FALSE),"")</f>
        <v/>
      </c>
      <c r="ISI6" s="27" t="str">
        <f>IFERROR(VLOOKUP(DATE($K$1,$K$2,ISI$4),Table1[],(MATCH(Calendar!$A6,DB!1:1,0)+2),FALSE),"")</f>
        <v/>
      </c>
      <c r="ISJ6" s="27" t="str">
        <f>IFERROR(VLOOKUP(DATE($K$1,$K$2,ISJ$4),Table1[],(MATCH(Calendar!$A6,DB!1:1,0)+2),FALSE),"")</f>
        <v/>
      </c>
      <c r="ISK6" s="27" t="str">
        <f>IFERROR(VLOOKUP(DATE($K$1,$K$2,ISK$4),Table1[],(MATCH(Calendar!$A6,DB!1:1,0)+2),FALSE),"")</f>
        <v/>
      </c>
      <c r="ISL6" s="27" t="str">
        <f>IFERROR(VLOOKUP(DATE($K$1,$K$2,ISL$4),Table1[],(MATCH(Calendar!$A6,DB!1:1,0)+2),FALSE),"")</f>
        <v/>
      </c>
      <c r="ISM6" s="27" t="str">
        <f>IFERROR(VLOOKUP(DATE($K$1,$K$2,ISM$4),Table1[],(MATCH(Calendar!$A6,DB!1:1,0)+2),FALSE),"")</f>
        <v/>
      </c>
      <c r="ISN6" s="27" t="str">
        <f>IFERROR(VLOOKUP(DATE($K$1,$K$2,ISN$4),Table1[],(MATCH(Calendar!$A6,DB!1:1,0)+2),FALSE),"")</f>
        <v/>
      </c>
      <c r="ISO6" s="27" t="str">
        <f>IFERROR(VLOOKUP(DATE($K$1,$K$2,ISO$4),Table1[],(MATCH(Calendar!$A6,DB!1:1,0)+2),FALSE),"")</f>
        <v/>
      </c>
      <c r="ISP6" s="27" t="str">
        <f>IFERROR(VLOOKUP(DATE($K$1,$K$2,ISP$4),Table1[],(MATCH(Calendar!$A6,DB!1:1,0)+2),FALSE),"")</f>
        <v/>
      </c>
      <c r="ISQ6" s="27" t="str">
        <f>IFERROR(VLOOKUP(DATE($K$1,$K$2,ISQ$4),Table1[],(MATCH(Calendar!$A6,DB!1:1,0)+2),FALSE),"")</f>
        <v/>
      </c>
      <c r="ISR6" s="27" t="str">
        <f>IFERROR(VLOOKUP(DATE($K$1,$K$2,ISR$4),Table1[],(MATCH(Calendar!$A6,DB!1:1,0)+2),FALSE),"")</f>
        <v/>
      </c>
      <c r="ISS6" s="27" t="str">
        <f>IFERROR(VLOOKUP(DATE($K$1,$K$2,ISS$4),Table1[],(MATCH(Calendar!$A6,DB!1:1,0)+2),FALSE),"")</f>
        <v/>
      </c>
      <c r="IST6" s="27" t="str">
        <f>IFERROR(VLOOKUP(DATE($K$1,$K$2,IST$4),Table1[],(MATCH(Calendar!$A6,DB!1:1,0)+2),FALSE),"")</f>
        <v/>
      </c>
      <c r="ISU6" s="27" t="str">
        <f>IFERROR(VLOOKUP(DATE($K$1,$K$2,ISU$4),Table1[],(MATCH(Calendar!$A6,DB!1:1,0)+2),FALSE),"")</f>
        <v/>
      </c>
      <c r="ISV6" s="27" t="str">
        <f>IFERROR(VLOOKUP(DATE($K$1,$K$2,ISV$4),Table1[],(MATCH(Calendar!$A6,DB!1:1,0)+2),FALSE),"")</f>
        <v/>
      </c>
      <c r="ISW6" s="27" t="str">
        <f>IFERROR(VLOOKUP(DATE($K$1,$K$2,ISW$4),Table1[],(MATCH(Calendar!$A6,DB!1:1,0)+2),FALSE),"")</f>
        <v/>
      </c>
      <c r="ISX6" s="27" t="str">
        <f>IFERROR(VLOOKUP(DATE($K$1,$K$2,ISX$4),Table1[],(MATCH(Calendar!$A6,DB!1:1,0)+2),FALSE),"")</f>
        <v/>
      </c>
      <c r="ISY6" s="27" t="str">
        <f>IFERROR(VLOOKUP(DATE($K$1,$K$2,ISY$4),Table1[],(MATCH(Calendar!$A6,DB!1:1,0)+2),FALSE),"")</f>
        <v/>
      </c>
      <c r="ISZ6" s="27" t="str">
        <f>IFERROR(VLOOKUP(DATE($K$1,$K$2,ISZ$4),Table1[],(MATCH(Calendar!$A6,DB!1:1,0)+2),FALSE),"")</f>
        <v/>
      </c>
      <c r="ITA6" s="27" t="str">
        <f>IFERROR(VLOOKUP(DATE($K$1,$K$2,ITA$4),Table1[],(MATCH(Calendar!$A6,DB!1:1,0)+2),FALSE),"")</f>
        <v/>
      </c>
      <c r="ITB6" s="27" t="str">
        <f>IFERROR(VLOOKUP(DATE($K$1,$K$2,ITB$4),Table1[],(MATCH(Calendar!$A6,DB!1:1,0)+2),FALSE),"")</f>
        <v/>
      </c>
      <c r="ITC6" s="27" t="str">
        <f>IFERROR(VLOOKUP(DATE($K$1,$K$2,ITC$4),Table1[],(MATCH(Calendar!$A6,DB!1:1,0)+2),FALSE),"")</f>
        <v/>
      </c>
      <c r="ITD6" s="27" t="str">
        <f>IFERROR(VLOOKUP(DATE($K$1,$K$2,ITD$4),Table1[],(MATCH(Calendar!$A6,DB!1:1,0)+2),FALSE),"")</f>
        <v/>
      </c>
      <c r="ITE6" s="27" t="str">
        <f>IFERROR(VLOOKUP(DATE($K$1,$K$2,ITE$4),Table1[],(MATCH(Calendar!$A6,DB!1:1,0)+2),FALSE),"")</f>
        <v/>
      </c>
      <c r="ITF6" s="27" t="str">
        <f>IFERROR(VLOOKUP(DATE($K$1,$K$2,ITF$4),Table1[],(MATCH(Calendar!$A6,DB!1:1,0)+2),FALSE),"")</f>
        <v/>
      </c>
      <c r="ITG6" s="27" t="str">
        <f>IFERROR(VLOOKUP(DATE($K$1,$K$2,ITG$4),Table1[],(MATCH(Calendar!$A6,DB!1:1,0)+2),FALSE),"")</f>
        <v/>
      </c>
      <c r="ITH6" s="27" t="str">
        <f>IFERROR(VLOOKUP(DATE($K$1,$K$2,ITH$4),Table1[],(MATCH(Calendar!$A6,DB!1:1,0)+2),FALSE),"")</f>
        <v/>
      </c>
      <c r="ITI6" s="27" t="str">
        <f>IFERROR(VLOOKUP(DATE($K$1,$K$2,ITI$4),Table1[],(MATCH(Calendar!$A6,DB!1:1,0)+2),FALSE),"")</f>
        <v/>
      </c>
      <c r="ITJ6" s="27" t="str">
        <f>IFERROR(VLOOKUP(DATE($K$1,$K$2,ITJ$4),Table1[],(MATCH(Calendar!$A6,DB!1:1,0)+2),FALSE),"")</f>
        <v/>
      </c>
      <c r="ITK6" s="27" t="str">
        <f>IFERROR(VLOOKUP(DATE($K$1,$K$2,ITK$4),Table1[],(MATCH(Calendar!$A6,DB!1:1,0)+2),FALSE),"")</f>
        <v/>
      </c>
      <c r="ITL6" s="27" t="str">
        <f>IFERROR(VLOOKUP(DATE($K$1,$K$2,ITL$4),Table1[],(MATCH(Calendar!$A6,DB!1:1,0)+2),FALSE),"")</f>
        <v/>
      </c>
      <c r="ITM6" s="27" t="str">
        <f>IFERROR(VLOOKUP(DATE($K$1,$K$2,ITM$4),Table1[],(MATCH(Calendar!$A6,DB!1:1,0)+2),FALSE),"")</f>
        <v/>
      </c>
      <c r="ITN6" s="27" t="str">
        <f>IFERROR(VLOOKUP(DATE($K$1,$K$2,ITN$4),Table1[],(MATCH(Calendar!$A6,DB!1:1,0)+2),FALSE),"")</f>
        <v/>
      </c>
      <c r="ITO6" s="27" t="str">
        <f>IFERROR(VLOOKUP(DATE($K$1,$K$2,ITO$4),Table1[],(MATCH(Calendar!$A6,DB!1:1,0)+2),FALSE),"")</f>
        <v/>
      </c>
      <c r="ITP6" s="27" t="str">
        <f>IFERROR(VLOOKUP(DATE($K$1,$K$2,ITP$4),Table1[],(MATCH(Calendar!$A6,DB!1:1,0)+2),FALSE),"")</f>
        <v/>
      </c>
      <c r="ITQ6" s="27" t="str">
        <f>IFERROR(VLOOKUP(DATE($K$1,$K$2,ITQ$4),Table1[],(MATCH(Calendar!$A6,DB!1:1,0)+2),FALSE),"")</f>
        <v/>
      </c>
      <c r="ITR6" s="27" t="str">
        <f>IFERROR(VLOOKUP(DATE($K$1,$K$2,ITR$4),Table1[],(MATCH(Calendar!$A6,DB!1:1,0)+2),FALSE),"")</f>
        <v/>
      </c>
      <c r="ITS6" s="27" t="str">
        <f>IFERROR(VLOOKUP(DATE($K$1,$K$2,ITS$4),Table1[],(MATCH(Calendar!$A6,DB!1:1,0)+2),FALSE),"")</f>
        <v/>
      </c>
      <c r="ITT6" s="27" t="str">
        <f>IFERROR(VLOOKUP(DATE($K$1,$K$2,ITT$4),Table1[],(MATCH(Calendar!$A6,DB!1:1,0)+2),FALSE),"")</f>
        <v/>
      </c>
      <c r="ITU6" s="27" t="str">
        <f>IFERROR(VLOOKUP(DATE($K$1,$K$2,ITU$4),Table1[],(MATCH(Calendar!$A6,DB!1:1,0)+2),FALSE),"")</f>
        <v/>
      </c>
      <c r="ITV6" s="27" t="str">
        <f>IFERROR(VLOOKUP(DATE($K$1,$K$2,ITV$4),Table1[],(MATCH(Calendar!$A6,DB!1:1,0)+2),FALSE),"")</f>
        <v/>
      </c>
      <c r="ITW6" s="27" t="str">
        <f>IFERROR(VLOOKUP(DATE($K$1,$K$2,ITW$4),Table1[],(MATCH(Calendar!$A6,DB!1:1,0)+2),FALSE),"")</f>
        <v/>
      </c>
      <c r="ITX6" s="27" t="str">
        <f>IFERROR(VLOOKUP(DATE($K$1,$K$2,ITX$4),Table1[],(MATCH(Calendar!$A6,DB!1:1,0)+2),FALSE),"")</f>
        <v/>
      </c>
      <c r="ITY6" s="27" t="str">
        <f>IFERROR(VLOOKUP(DATE($K$1,$K$2,ITY$4),Table1[],(MATCH(Calendar!$A6,DB!1:1,0)+2),FALSE),"")</f>
        <v/>
      </c>
      <c r="ITZ6" s="27" t="str">
        <f>IFERROR(VLOOKUP(DATE($K$1,$K$2,ITZ$4),Table1[],(MATCH(Calendar!$A6,DB!1:1,0)+2),FALSE),"")</f>
        <v/>
      </c>
      <c r="IUA6" s="27" t="str">
        <f>IFERROR(VLOOKUP(DATE($K$1,$K$2,IUA$4),Table1[],(MATCH(Calendar!$A6,DB!1:1,0)+2),FALSE),"")</f>
        <v/>
      </c>
      <c r="IUB6" s="27" t="str">
        <f>IFERROR(VLOOKUP(DATE($K$1,$K$2,IUB$4),Table1[],(MATCH(Calendar!$A6,DB!1:1,0)+2),FALSE),"")</f>
        <v/>
      </c>
      <c r="IUC6" s="27" t="str">
        <f>IFERROR(VLOOKUP(DATE($K$1,$K$2,IUC$4),Table1[],(MATCH(Calendar!$A6,DB!1:1,0)+2),FALSE),"")</f>
        <v/>
      </c>
      <c r="IUD6" s="27" t="str">
        <f>IFERROR(VLOOKUP(DATE($K$1,$K$2,IUD$4),Table1[],(MATCH(Calendar!$A6,DB!1:1,0)+2),FALSE),"")</f>
        <v/>
      </c>
      <c r="IUE6" s="27" t="str">
        <f>IFERROR(VLOOKUP(DATE($K$1,$K$2,IUE$4),Table1[],(MATCH(Calendar!$A6,DB!1:1,0)+2),FALSE),"")</f>
        <v/>
      </c>
      <c r="IUF6" s="27" t="str">
        <f>IFERROR(VLOOKUP(DATE($K$1,$K$2,IUF$4),Table1[],(MATCH(Calendar!$A6,DB!1:1,0)+2),FALSE),"")</f>
        <v/>
      </c>
      <c r="IUG6" s="27" t="str">
        <f>IFERROR(VLOOKUP(DATE($K$1,$K$2,IUG$4),Table1[],(MATCH(Calendar!$A6,DB!1:1,0)+2),FALSE),"")</f>
        <v/>
      </c>
      <c r="IUH6" s="27" t="str">
        <f>IFERROR(VLOOKUP(DATE($K$1,$K$2,IUH$4),Table1[],(MATCH(Calendar!$A6,DB!1:1,0)+2),FALSE),"")</f>
        <v/>
      </c>
      <c r="IUI6" s="27" t="str">
        <f>IFERROR(VLOOKUP(DATE($K$1,$K$2,IUI$4),Table1[],(MATCH(Calendar!$A6,DB!1:1,0)+2),FALSE),"")</f>
        <v/>
      </c>
      <c r="IUJ6" s="27" t="str">
        <f>IFERROR(VLOOKUP(DATE($K$1,$K$2,IUJ$4),Table1[],(MATCH(Calendar!$A6,DB!1:1,0)+2),FALSE),"")</f>
        <v/>
      </c>
      <c r="IUK6" s="27" t="str">
        <f>IFERROR(VLOOKUP(DATE($K$1,$K$2,IUK$4),Table1[],(MATCH(Calendar!$A6,DB!1:1,0)+2),FALSE),"")</f>
        <v/>
      </c>
      <c r="IUL6" s="27" t="str">
        <f>IFERROR(VLOOKUP(DATE($K$1,$K$2,IUL$4),Table1[],(MATCH(Calendar!$A6,DB!1:1,0)+2),FALSE),"")</f>
        <v/>
      </c>
      <c r="IUM6" s="27" t="str">
        <f>IFERROR(VLOOKUP(DATE($K$1,$K$2,IUM$4),Table1[],(MATCH(Calendar!$A6,DB!1:1,0)+2),FALSE),"")</f>
        <v/>
      </c>
      <c r="IUN6" s="27" t="str">
        <f>IFERROR(VLOOKUP(DATE($K$1,$K$2,IUN$4),Table1[],(MATCH(Calendar!$A6,DB!1:1,0)+2),FALSE),"")</f>
        <v/>
      </c>
      <c r="IUO6" s="27" t="str">
        <f>IFERROR(VLOOKUP(DATE($K$1,$K$2,IUO$4),Table1[],(MATCH(Calendar!$A6,DB!1:1,0)+2),FALSE),"")</f>
        <v/>
      </c>
      <c r="IUP6" s="27" t="str">
        <f>IFERROR(VLOOKUP(DATE($K$1,$K$2,IUP$4),Table1[],(MATCH(Calendar!$A6,DB!1:1,0)+2),FALSE),"")</f>
        <v/>
      </c>
      <c r="IUQ6" s="27" t="str">
        <f>IFERROR(VLOOKUP(DATE($K$1,$K$2,IUQ$4),Table1[],(MATCH(Calendar!$A6,DB!1:1,0)+2),FALSE),"")</f>
        <v/>
      </c>
      <c r="IUR6" s="27" t="str">
        <f>IFERROR(VLOOKUP(DATE($K$1,$K$2,IUR$4),Table1[],(MATCH(Calendar!$A6,DB!1:1,0)+2),FALSE),"")</f>
        <v/>
      </c>
      <c r="IUS6" s="27" t="str">
        <f>IFERROR(VLOOKUP(DATE($K$1,$K$2,IUS$4),Table1[],(MATCH(Calendar!$A6,DB!1:1,0)+2),FALSE),"")</f>
        <v/>
      </c>
      <c r="IUT6" s="27" t="str">
        <f>IFERROR(VLOOKUP(DATE($K$1,$K$2,IUT$4),Table1[],(MATCH(Calendar!$A6,DB!1:1,0)+2),FALSE),"")</f>
        <v/>
      </c>
      <c r="IUU6" s="27" t="str">
        <f>IFERROR(VLOOKUP(DATE($K$1,$K$2,IUU$4),Table1[],(MATCH(Calendar!$A6,DB!1:1,0)+2),FALSE),"")</f>
        <v/>
      </c>
      <c r="IUV6" s="27" t="str">
        <f>IFERROR(VLOOKUP(DATE($K$1,$K$2,IUV$4),Table1[],(MATCH(Calendar!$A6,DB!1:1,0)+2),FALSE),"")</f>
        <v/>
      </c>
      <c r="IUW6" s="27" t="str">
        <f>IFERROR(VLOOKUP(DATE($K$1,$K$2,IUW$4),Table1[],(MATCH(Calendar!$A6,DB!1:1,0)+2),FALSE),"")</f>
        <v/>
      </c>
      <c r="IUX6" s="27" t="str">
        <f>IFERROR(VLOOKUP(DATE($K$1,$K$2,IUX$4),Table1[],(MATCH(Calendar!$A6,DB!1:1,0)+2),FALSE),"")</f>
        <v/>
      </c>
      <c r="IUY6" s="27" t="str">
        <f>IFERROR(VLOOKUP(DATE($K$1,$K$2,IUY$4),Table1[],(MATCH(Calendar!$A6,DB!1:1,0)+2),FALSE),"")</f>
        <v/>
      </c>
      <c r="IUZ6" s="27" t="str">
        <f>IFERROR(VLOOKUP(DATE($K$1,$K$2,IUZ$4),Table1[],(MATCH(Calendar!$A6,DB!1:1,0)+2),FALSE),"")</f>
        <v/>
      </c>
      <c r="IVA6" s="27" t="str">
        <f>IFERROR(VLOOKUP(DATE($K$1,$K$2,IVA$4),Table1[],(MATCH(Calendar!$A6,DB!1:1,0)+2),FALSE),"")</f>
        <v/>
      </c>
      <c r="IVB6" s="27" t="str">
        <f>IFERROR(VLOOKUP(DATE($K$1,$K$2,IVB$4),Table1[],(MATCH(Calendar!$A6,DB!1:1,0)+2),FALSE),"")</f>
        <v/>
      </c>
      <c r="IVC6" s="27" t="str">
        <f>IFERROR(VLOOKUP(DATE($K$1,$K$2,IVC$4),Table1[],(MATCH(Calendar!$A6,DB!1:1,0)+2),FALSE),"")</f>
        <v/>
      </c>
      <c r="IVD6" s="27" t="str">
        <f>IFERROR(VLOOKUP(DATE($K$1,$K$2,IVD$4),Table1[],(MATCH(Calendar!$A6,DB!1:1,0)+2),FALSE),"")</f>
        <v/>
      </c>
      <c r="IVE6" s="27" t="str">
        <f>IFERROR(VLOOKUP(DATE($K$1,$K$2,IVE$4),Table1[],(MATCH(Calendar!$A6,DB!1:1,0)+2),FALSE),"")</f>
        <v/>
      </c>
      <c r="IVF6" s="27" t="str">
        <f>IFERROR(VLOOKUP(DATE($K$1,$K$2,IVF$4),Table1[],(MATCH(Calendar!$A6,DB!1:1,0)+2),FALSE),"")</f>
        <v/>
      </c>
      <c r="IVG6" s="27" t="str">
        <f>IFERROR(VLOOKUP(DATE($K$1,$K$2,IVG$4),Table1[],(MATCH(Calendar!$A6,DB!1:1,0)+2),FALSE),"")</f>
        <v/>
      </c>
      <c r="IVH6" s="27" t="str">
        <f>IFERROR(VLOOKUP(DATE($K$1,$K$2,IVH$4),Table1[],(MATCH(Calendar!$A6,DB!1:1,0)+2),FALSE),"")</f>
        <v/>
      </c>
      <c r="IVI6" s="27" t="str">
        <f>IFERROR(VLOOKUP(DATE($K$1,$K$2,IVI$4),Table1[],(MATCH(Calendar!$A6,DB!1:1,0)+2),FALSE),"")</f>
        <v/>
      </c>
      <c r="IVJ6" s="27" t="str">
        <f>IFERROR(VLOOKUP(DATE($K$1,$K$2,IVJ$4),Table1[],(MATCH(Calendar!$A6,DB!1:1,0)+2),FALSE),"")</f>
        <v/>
      </c>
      <c r="IVK6" s="27" t="str">
        <f>IFERROR(VLOOKUP(DATE($K$1,$K$2,IVK$4),Table1[],(MATCH(Calendar!$A6,DB!1:1,0)+2),FALSE),"")</f>
        <v/>
      </c>
      <c r="IVL6" s="27" t="str">
        <f>IFERROR(VLOOKUP(DATE($K$1,$K$2,IVL$4),Table1[],(MATCH(Calendar!$A6,DB!1:1,0)+2),FALSE),"")</f>
        <v/>
      </c>
      <c r="IVM6" s="27" t="str">
        <f>IFERROR(VLOOKUP(DATE($K$1,$K$2,IVM$4),Table1[],(MATCH(Calendar!$A6,DB!1:1,0)+2),FALSE),"")</f>
        <v/>
      </c>
      <c r="IVN6" s="27" t="str">
        <f>IFERROR(VLOOKUP(DATE($K$1,$K$2,IVN$4),Table1[],(MATCH(Calendar!$A6,DB!1:1,0)+2),FALSE),"")</f>
        <v/>
      </c>
      <c r="IVO6" s="27" t="str">
        <f>IFERROR(VLOOKUP(DATE($K$1,$K$2,IVO$4),Table1[],(MATCH(Calendar!$A6,DB!1:1,0)+2),FALSE),"")</f>
        <v/>
      </c>
      <c r="IVP6" s="27" t="str">
        <f>IFERROR(VLOOKUP(DATE($K$1,$K$2,IVP$4),Table1[],(MATCH(Calendar!$A6,DB!1:1,0)+2),FALSE),"")</f>
        <v/>
      </c>
      <c r="IVQ6" s="27" t="str">
        <f>IFERROR(VLOOKUP(DATE($K$1,$K$2,IVQ$4),Table1[],(MATCH(Calendar!$A6,DB!1:1,0)+2),FALSE),"")</f>
        <v/>
      </c>
      <c r="IVR6" s="27" t="str">
        <f>IFERROR(VLOOKUP(DATE($K$1,$K$2,IVR$4),Table1[],(MATCH(Calendar!$A6,DB!1:1,0)+2),FALSE),"")</f>
        <v/>
      </c>
      <c r="IVS6" s="27" t="str">
        <f>IFERROR(VLOOKUP(DATE($K$1,$K$2,IVS$4),Table1[],(MATCH(Calendar!$A6,DB!1:1,0)+2),FALSE),"")</f>
        <v/>
      </c>
      <c r="IVT6" s="27" t="str">
        <f>IFERROR(VLOOKUP(DATE($K$1,$K$2,IVT$4),Table1[],(MATCH(Calendar!$A6,DB!1:1,0)+2),FALSE),"")</f>
        <v/>
      </c>
      <c r="IVU6" s="27" t="str">
        <f>IFERROR(VLOOKUP(DATE($K$1,$K$2,IVU$4),Table1[],(MATCH(Calendar!$A6,DB!1:1,0)+2),FALSE),"")</f>
        <v/>
      </c>
      <c r="IVV6" s="27" t="str">
        <f>IFERROR(VLOOKUP(DATE($K$1,$K$2,IVV$4),Table1[],(MATCH(Calendar!$A6,DB!1:1,0)+2),FALSE),"")</f>
        <v/>
      </c>
      <c r="IVW6" s="27" t="str">
        <f>IFERROR(VLOOKUP(DATE($K$1,$K$2,IVW$4),Table1[],(MATCH(Calendar!$A6,DB!1:1,0)+2),FALSE),"")</f>
        <v/>
      </c>
      <c r="IVX6" s="27" t="str">
        <f>IFERROR(VLOOKUP(DATE($K$1,$K$2,IVX$4),Table1[],(MATCH(Calendar!$A6,DB!1:1,0)+2),FALSE),"")</f>
        <v/>
      </c>
      <c r="IVY6" s="27" t="str">
        <f>IFERROR(VLOOKUP(DATE($K$1,$K$2,IVY$4),Table1[],(MATCH(Calendar!$A6,DB!1:1,0)+2),FALSE),"")</f>
        <v/>
      </c>
      <c r="IVZ6" s="27" t="str">
        <f>IFERROR(VLOOKUP(DATE($K$1,$K$2,IVZ$4),Table1[],(MATCH(Calendar!$A6,DB!1:1,0)+2),FALSE),"")</f>
        <v/>
      </c>
      <c r="IWA6" s="27" t="str">
        <f>IFERROR(VLOOKUP(DATE($K$1,$K$2,IWA$4),Table1[],(MATCH(Calendar!$A6,DB!1:1,0)+2),FALSE),"")</f>
        <v/>
      </c>
      <c r="IWB6" s="27" t="str">
        <f>IFERROR(VLOOKUP(DATE($K$1,$K$2,IWB$4),Table1[],(MATCH(Calendar!$A6,DB!1:1,0)+2),FALSE),"")</f>
        <v/>
      </c>
      <c r="IWC6" s="27" t="str">
        <f>IFERROR(VLOOKUP(DATE($K$1,$K$2,IWC$4),Table1[],(MATCH(Calendar!$A6,DB!1:1,0)+2),FALSE),"")</f>
        <v/>
      </c>
      <c r="IWD6" s="27" t="str">
        <f>IFERROR(VLOOKUP(DATE($K$1,$K$2,IWD$4),Table1[],(MATCH(Calendar!$A6,DB!1:1,0)+2),FALSE),"")</f>
        <v/>
      </c>
      <c r="IWE6" s="27" t="str">
        <f>IFERROR(VLOOKUP(DATE($K$1,$K$2,IWE$4),Table1[],(MATCH(Calendar!$A6,DB!1:1,0)+2),FALSE),"")</f>
        <v/>
      </c>
      <c r="IWF6" s="27" t="str">
        <f>IFERROR(VLOOKUP(DATE($K$1,$K$2,IWF$4),Table1[],(MATCH(Calendar!$A6,DB!1:1,0)+2),FALSE),"")</f>
        <v/>
      </c>
      <c r="IWG6" s="27" t="str">
        <f>IFERROR(VLOOKUP(DATE($K$1,$K$2,IWG$4),Table1[],(MATCH(Calendar!$A6,DB!1:1,0)+2),FALSE),"")</f>
        <v/>
      </c>
      <c r="IWH6" s="27" t="str">
        <f>IFERROR(VLOOKUP(DATE($K$1,$K$2,IWH$4),Table1[],(MATCH(Calendar!$A6,DB!1:1,0)+2),FALSE),"")</f>
        <v/>
      </c>
      <c r="IWI6" s="27" t="str">
        <f>IFERROR(VLOOKUP(DATE($K$1,$K$2,IWI$4),Table1[],(MATCH(Calendar!$A6,DB!1:1,0)+2),FALSE),"")</f>
        <v/>
      </c>
      <c r="IWJ6" s="27" t="str">
        <f>IFERROR(VLOOKUP(DATE($K$1,$K$2,IWJ$4),Table1[],(MATCH(Calendar!$A6,DB!1:1,0)+2),FALSE),"")</f>
        <v/>
      </c>
      <c r="IWK6" s="27" t="str">
        <f>IFERROR(VLOOKUP(DATE($K$1,$K$2,IWK$4),Table1[],(MATCH(Calendar!$A6,DB!1:1,0)+2),FALSE),"")</f>
        <v/>
      </c>
      <c r="IWL6" s="27" t="str">
        <f>IFERROR(VLOOKUP(DATE($K$1,$K$2,IWL$4),Table1[],(MATCH(Calendar!$A6,DB!1:1,0)+2),FALSE),"")</f>
        <v/>
      </c>
      <c r="IWM6" s="27" t="str">
        <f>IFERROR(VLOOKUP(DATE($K$1,$K$2,IWM$4),Table1[],(MATCH(Calendar!$A6,DB!1:1,0)+2),FALSE),"")</f>
        <v/>
      </c>
      <c r="IWN6" s="27" t="str">
        <f>IFERROR(VLOOKUP(DATE($K$1,$K$2,IWN$4),Table1[],(MATCH(Calendar!$A6,DB!1:1,0)+2),FALSE),"")</f>
        <v/>
      </c>
      <c r="IWO6" s="27" t="str">
        <f>IFERROR(VLOOKUP(DATE($K$1,$K$2,IWO$4),Table1[],(MATCH(Calendar!$A6,DB!1:1,0)+2),FALSE),"")</f>
        <v/>
      </c>
      <c r="IWP6" s="27" t="str">
        <f>IFERROR(VLOOKUP(DATE($K$1,$K$2,IWP$4),Table1[],(MATCH(Calendar!$A6,DB!1:1,0)+2),FALSE),"")</f>
        <v/>
      </c>
      <c r="IWQ6" s="27" t="str">
        <f>IFERROR(VLOOKUP(DATE($K$1,$K$2,IWQ$4),Table1[],(MATCH(Calendar!$A6,DB!1:1,0)+2),FALSE),"")</f>
        <v/>
      </c>
      <c r="IWR6" s="27" t="str">
        <f>IFERROR(VLOOKUP(DATE($K$1,$K$2,IWR$4),Table1[],(MATCH(Calendar!$A6,DB!1:1,0)+2),FALSE),"")</f>
        <v/>
      </c>
      <c r="IWS6" s="27" t="str">
        <f>IFERROR(VLOOKUP(DATE($K$1,$K$2,IWS$4),Table1[],(MATCH(Calendar!$A6,DB!1:1,0)+2),FALSE),"")</f>
        <v/>
      </c>
      <c r="IWT6" s="27" t="str">
        <f>IFERROR(VLOOKUP(DATE($K$1,$K$2,IWT$4),Table1[],(MATCH(Calendar!$A6,DB!1:1,0)+2),FALSE),"")</f>
        <v/>
      </c>
      <c r="IWU6" s="27" t="str">
        <f>IFERROR(VLOOKUP(DATE($K$1,$K$2,IWU$4),Table1[],(MATCH(Calendar!$A6,DB!1:1,0)+2),FALSE),"")</f>
        <v/>
      </c>
      <c r="IWV6" s="27" t="str">
        <f>IFERROR(VLOOKUP(DATE($K$1,$K$2,IWV$4),Table1[],(MATCH(Calendar!$A6,DB!1:1,0)+2),FALSE),"")</f>
        <v/>
      </c>
      <c r="IWW6" s="27" t="str">
        <f>IFERROR(VLOOKUP(DATE($K$1,$K$2,IWW$4),Table1[],(MATCH(Calendar!$A6,DB!1:1,0)+2),FALSE),"")</f>
        <v/>
      </c>
      <c r="IWX6" s="27" t="str">
        <f>IFERROR(VLOOKUP(DATE($K$1,$K$2,IWX$4),Table1[],(MATCH(Calendar!$A6,DB!1:1,0)+2),FALSE),"")</f>
        <v/>
      </c>
      <c r="IWY6" s="27" t="str">
        <f>IFERROR(VLOOKUP(DATE($K$1,$K$2,IWY$4),Table1[],(MATCH(Calendar!$A6,DB!1:1,0)+2),FALSE),"")</f>
        <v/>
      </c>
      <c r="IWZ6" s="27" t="str">
        <f>IFERROR(VLOOKUP(DATE($K$1,$K$2,IWZ$4),Table1[],(MATCH(Calendar!$A6,DB!1:1,0)+2),FALSE),"")</f>
        <v/>
      </c>
      <c r="IXA6" s="27" t="str">
        <f>IFERROR(VLOOKUP(DATE($K$1,$K$2,IXA$4),Table1[],(MATCH(Calendar!$A6,DB!1:1,0)+2),FALSE),"")</f>
        <v/>
      </c>
      <c r="IXB6" s="27" t="str">
        <f>IFERROR(VLOOKUP(DATE($K$1,$K$2,IXB$4),Table1[],(MATCH(Calendar!$A6,DB!1:1,0)+2),FALSE),"")</f>
        <v/>
      </c>
      <c r="IXC6" s="27" t="str">
        <f>IFERROR(VLOOKUP(DATE($K$1,$K$2,IXC$4),Table1[],(MATCH(Calendar!$A6,DB!1:1,0)+2),FALSE),"")</f>
        <v/>
      </c>
      <c r="IXD6" s="27" t="str">
        <f>IFERROR(VLOOKUP(DATE($K$1,$K$2,IXD$4),Table1[],(MATCH(Calendar!$A6,DB!1:1,0)+2),FALSE),"")</f>
        <v/>
      </c>
      <c r="IXE6" s="27" t="str">
        <f>IFERROR(VLOOKUP(DATE($K$1,$K$2,IXE$4),Table1[],(MATCH(Calendar!$A6,DB!1:1,0)+2),FALSE),"")</f>
        <v/>
      </c>
      <c r="IXF6" s="27" t="str">
        <f>IFERROR(VLOOKUP(DATE($K$1,$K$2,IXF$4),Table1[],(MATCH(Calendar!$A6,DB!1:1,0)+2),FALSE),"")</f>
        <v/>
      </c>
      <c r="IXG6" s="27" t="str">
        <f>IFERROR(VLOOKUP(DATE($K$1,$K$2,IXG$4),Table1[],(MATCH(Calendar!$A6,DB!1:1,0)+2),FALSE),"")</f>
        <v/>
      </c>
      <c r="IXH6" s="27" t="str">
        <f>IFERROR(VLOOKUP(DATE($K$1,$K$2,IXH$4),Table1[],(MATCH(Calendar!$A6,DB!1:1,0)+2),FALSE),"")</f>
        <v/>
      </c>
      <c r="IXI6" s="27" t="str">
        <f>IFERROR(VLOOKUP(DATE($K$1,$K$2,IXI$4),Table1[],(MATCH(Calendar!$A6,DB!1:1,0)+2),FALSE),"")</f>
        <v/>
      </c>
      <c r="IXJ6" s="27" t="str">
        <f>IFERROR(VLOOKUP(DATE($K$1,$K$2,IXJ$4),Table1[],(MATCH(Calendar!$A6,DB!1:1,0)+2),FALSE),"")</f>
        <v/>
      </c>
      <c r="IXK6" s="27" t="str">
        <f>IFERROR(VLOOKUP(DATE($K$1,$K$2,IXK$4),Table1[],(MATCH(Calendar!$A6,DB!1:1,0)+2),FALSE),"")</f>
        <v/>
      </c>
      <c r="IXL6" s="27" t="str">
        <f>IFERROR(VLOOKUP(DATE($K$1,$K$2,IXL$4),Table1[],(MATCH(Calendar!$A6,DB!1:1,0)+2),FALSE),"")</f>
        <v/>
      </c>
      <c r="IXM6" s="27" t="str">
        <f>IFERROR(VLOOKUP(DATE($K$1,$K$2,IXM$4),Table1[],(MATCH(Calendar!$A6,DB!1:1,0)+2),FALSE),"")</f>
        <v/>
      </c>
      <c r="IXN6" s="27" t="str">
        <f>IFERROR(VLOOKUP(DATE($K$1,$K$2,IXN$4),Table1[],(MATCH(Calendar!$A6,DB!1:1,0)+2),FALSE),"")</f>
        <v/>
      </c>
      <c r="IXO6" s="27" t="str">
        <f>IFERROR(VLOOKUP(DATE($K$1,$K$2,IXO$4),Table1[],(MATCH(Calendar!$A6,DB!1:1,0)+2),FALSE),"")</f>
        <v/>
      </c>
      <c r="IXP6" s="27" t="str">
        <f>IFERROR(VLOOKUP(DATE($K$1,$K$2,IXP$4),Table1[],(MATCH(Calendar!$A6,DB!1:1,0)+2),FALSE),"")</f>
        <v/>
      </c>
      <c r="IXQ6" s="27" t="str">
        <f>IFERROR(VLOOKUP(DATE($K$1,$K$2,IXQ$4),Table1[],(MATCH(Calendar!$A6,DB!1:1,0)+2),FALSE),"")</f>
        <v/>
      </c>
      <c r="IXR6" s="27" t="str">
        <f>IFERROR(VLOOKUP(DATE($K$1,$K$2,IXR$4),Table1[],(MATCH(Calendar!$A6,DB!1:1,0)+2),FALSE),"")</f>
        <v/>
      </c>
      <c r="IXS6" s="27" t="str">
        <f>IFERROR(VLOOKUP(DATE($K$1,$K$2,IXS$4),Table1[],(MATCH(Calendar!$A6,DB!1:1,0)+2),FALSE),"")</f>
        <v/>
      </c>
      <c r="IXT6" s="27" t="str">
        <f>IFERROR(VLOOKUP(DATE($K$1,$K$2,IXT$4),Table1[],(MATCH(Calendar!$A6,DB!1:1,0)+2),FALSE),"")</f>
        <v/>
      </c>
      <c r="IXU6" s="27" t="str">
        <f>IFERROR(VLOOKUP(DATE($K$1,$K$2,IXU$4),Table1[],(MATCH(Calendar!$A6,DB!1:1,0)+2),FALSE),"")</f>
        <v/>
      </c>
      <c r="IXV6" s="27" t="str">
        <f>IFERROR(VLOOKUP(DATE($K$1,$K$2,IXV$4),Table1[],(MATCH(Calendar!$A6,DB!1:1,0)+2),FALSE),"")</f>
        <v/>
      </c>
      <c r="IXW6" s="27" t="str">
        <f>IFERROR(VLOOKUP(DATE($K$1,$K$2,IXW$4),Table1[],(MATCH(Calendar!$A6,DB!1:1,0)+2),FALSE),"")</f>
        <v/>
      </c>
      <c r="IXX6" s="27" t="str">
        <f>IFERROR(VLOOKUP(DATE($K$1,$K$2,IXX$4),Table1[],(MATCH(Calendar!$A6,DB!1:1,0)+2),FALSE),"")</f>
        <v/>
      </c>
      <c r="IXY6" s="27" t="str">
        <f>IFERROR(VLOOKUP(DATE($K$1,$K$2,IXY$4),Table1[],(MATCH(Calendar!$A6,DB!1:1,0)+2),FALSE),"")</f>
        <v/>
      </c>
      <c r="IXZ6" s="27" t="str">
        <f>IFERROR(VLOOKUP(DATE($K$1,$K$2,IXZ$4),Table1[],(MATCH(Calendar!$A6,DB!1:1,0)+2),FALSE),"")</f>
        <v/>
      </c>
      <c r="IYA6" s="27" t="str">
        <f>IFERROR(VLOOKUP(DATE($K$1,$K$2,IYA$4),Table1[],(MATCH(Calendar!$A6,DB!1:1,0)+2),FALSE),"")</f>
        <v/>
      </c>
      <c r="IYB6" s="27" t="str">
        <f>IFERROR(VLOOKUP(DATE($K$1,$K$2,IYB$4),Table1[],(MATCH(Calendar!$A6,DB!1:1,0)+2),FALSE),"")</f>
        <v/>
      </c>
      <c r="IYC6" s="27" t="str">
        <f>IFERROR(VLOOKUP(DATE($K$1,$K$2,IYC$4),Table1[],(MATCH(Calendar!$A6,DB!1:1,0)+2),FALSE),"")</f>
        <v/>
      </c>
      <c r="IYD6" s="27" t="str">
        <f>IFERROR(VLOOKUP(DATE($K$1,$K$2,IYD$4),Table1[],(MATCH(Calendar!$A6,DB!1:1,0)+2),FALSE),"")</f>
        <v/>
      </c>
      <c r="IYE6" s="27" t="str">
        <f>IFERROR(VLOOKUP(DATE($K$1,$K$2,IYE$4),Table1[],(MATCH(Calendar!$A6,DB!1:1,0)+2),FALSE),"")</f>
        <v/>
      </c>
      <c r="IYF6" s="27" t="str">
        <f>IFERROR(VLOOKUP(DATE($K$1,$K$2,IYF$4),Table1[],(MATCH(Calendar!$A6,DB!1:1,0)+2),FALSE),"")</f>
        <v/>
      </c>
      <c r="IYG6" s="27" t="str">
        <f>IFERROR(VLOOKUP(DATE($K$1,$K$2,IYG$4),Table1[],(MATCH(Calendar!$A6,DB!1:1,0)+2),FALSE),"")</f>
        <v/>
      </c>
      <c r="IYH6" s="27" t="str">
        <f>IFERROR(VLOOKUP(DATE($K$1,$K$2,IYH$4),Table1[],(MATCH(Calendar!$A6,DB!1:1,0)+2),FALSE),"")</f>
        <v/>
      </c>
      <c r="IYI6" s="27" t="str">
        <f>IFERROR(VLOOKUP(DATE($K$1,$K$2,IYI$4),Table1[],(MATCH(Calendar!$A6,DB!1:1,0)+2),FALSE),"")</f>
        <v/>
      </c>
      <c r="IYJ6" s="27" t="str">
        <f>IFERROR(VLOOKUP(DATE($K$1,$K$2,IYJ$4),Table1[],(MATCH(Calendar!$A6,DB!1:1,0)+2),FALSE),"")</f>
        <v/>
      </c>
      <c r="IYK6" s="27" t="str">
        <f>IFERROR(VLOOKUP(DATE($K$1,$K$2,IYK$4),Table1[],(MATCH(Calendar!$A6,DB!1:1,0)+2),FALSE),"")</f>
        <v/>
      </c>
      <c r="IYL6" s="27" t="str">
        <f>IFERROR(VLOOKUP(DATE($K$1,$K$2,IYL$4),Table1[],(MATCH(Calendar!$A6,DB!1:1,0)+2),FALSE),"")</f>
        <v/>
      </c>
      <c r="IYM6" s="27" t="str">
        <f>IFERROR(VLOOKUP(DATE($K$1,$K$2,IYM$4),Table1[],(MATCH(Calendar!$A6,DB!1:1,0)+2),FALSE),"")</f>
        <v/>
      </c>
      <c r="IYN6" s="27" t="str">
        <f>IFERROR(VLOOKUP(DATE($K$1,$K$2,IYN$4),Table1[],(MATCH(Calendar!$A6,DB!1:1,0)+2),FALSE),"")</f>
        <v/>
      </c>
      <c r="IYO6" s="27" t="str">
        <f>IFERROR(VLOOKUP(DATE($K$1,$K$2,IYO$4),Table1[],(MATCH(Calendar!$A6,DB!1:1,0)+2),FALSE),"")</f>
        <v/>
      </c>
      <c r="IYP6" s="27" t="str">
        <f>IFERROR(VLOOKUP(DATE($K$1,$K$2,IYP$4),Table1[],(MATCH(Calendar!$A6,DB!1:1,0)+2),FALSE),"")</f>
        <v/>
      </c>
      <c r="IYQ6" s="27" t="str">
        <f>IFERROR(VLOOKUP(DATE($K$1,$K$2,IYQ$4),Table1[],(MATCH(Calendar!$A6,DB!1:1,0)+2),FALSE),"")</f>
        <v/>
      </c>
      <c r="IYR6" s="27" t="str">
        <f>IFERROR(VLOOKUP(DATE($K$1,$K$2,IYR$4),Table1[],(MATCH(Calendar!$A6,DB!1:1,0)+2),FALSE),"")</f>
        <v/>
      </c>
      <c r="IYS6" s="27" t="str">
        <f>IFERROR(VLOOKUP(DATE($K$1,$K$2,IYS$4),Table1[],(MATCH(Calendar!$A6,DB!1:1,0)+2),FALSE),"")</f>
        <v/>
      </c>
      <c r="IYT6" s="27" t="str">
        <f>IFERROR(VLOOKUP(DATE($K$1,$K$2,IYT$4),Table1[],(MATCH(Calendar!$A6,DB!1:1,0)+2),FALSE),"")</f>
        <v/>
      </c>
      <c r="IYU6" s="27" t="str">
        <f>IFERROR(VLOOKUP(DATE($K$1,$K$2,IYU$4),Table1[],(MATCH(Calendar!$A6,DB!1:1,0)+2),FALSE),"")</f>
        <v/>
      </c>
      <c r="IYV6" s="27" t="str">
        <f>IFERROR(VLOOKUP(DATE($K$1,$K$2,IYV$4),Table1[],(MATCH(Calendar!$A6,DB!1:1,0)+2),FALSE),"")</f>
        <v/>
      </c>
      <c r="IYW6" s="27" t="str">
        <f>IFERROR(VLOOKUP(DATE($K$1,$K$2,IYW$4),Table1[],(MATCH(Calendar!$A6,DB!1:1,0)+2),FALSE),"")</f>
        <v/>
      </c>
      <c r="IYX6" s="27" t="str">
        <f>IFERROR(VLOOKUP(DATE($K$1,$K$2,IYX$4),Table1[],(MATCH(Calendar!$A6,DB!1:1,0)+2),FALSE),"")</f>
        <v/>
      </c>
      <c r="IYY6" s="27" t="str">
        <f>IFERROR(VLOOKUP(DATE($K$1,$K$2,IYY$4),Table1[],(MATCH(Calendar!$A6,DB!1:1,0)+2),FALSE),"")</f>
        <v/>
      </c>
      <c r="IYZ6" s="27" t="str">
        <f>IFERROR(VLOOKUP(DATE($K$1,$K$2,IYZ$4),Table1[],(MATCH(Calendar!$A6,DB!1:1,0)+2),FALSE),"")</f>
        <v/>
      </c>
      <c r="IZA6" s="27" t="str">
        <f>IFERROR(VLOOKUP(DATE($K$1,$K$2,IZA$4),Table1[],(MATCH(Calendar!$A6,DB!1:1,0)+2),FALSE),"")</f>
        <v/>
      </c>
      <c r="IZB6" s="27" t="str">
        <f>IFERROR(VLOOKUP(DATE($K$1,$K$2,IZB$4),Table1[],(MATCH(Calendar!$A6,DB!1:1,0)+2),FALSE),"")</f>
        <v/>
      </c>
      <c r="IZC6" s="27" t="str">
        <f>IFERROR(VLOOKUP(DATE($K$1,$K$2,IZC$4),Table1[],(MATCH(Calendar!$A6,DB!1:1,0)+2),FALSE),"")</f>
        <v/>
      </c>
      <c r="IZD6" s="27" t="str">
        <f>IFERROR(VLOOKUP(DATE($K$1,$K$2,IZD$4),Table1[],(MATCH(Calendar!$A6,DB!1:1,0)+2),FALSE),"")</f>
        <v/>
      </c>
      <c r="IZE6" s="27" t="str">
        <f>IFERROR(VLOOKUP(DATE($K$1,$K$2,IZE$4),Table1[],(MATCH(Calendar!$A6,DB!1:1,0)+2),FALSE),"")</f>
        <v/>
      </c>
      <c r="IZF6" s="27" t="str">
        <f>IFERROR(VLOOKUP(DATE($K$1,$K$2,IZF$4),Table1[],(MATCH(Calendar!$A6,DB!1:1,0)+2),FALSE),"")</f>
        <v/>
      </c>
      <c r="IZG6" s="27" t="str">
        <f>IFERROR(VLOOKUP(DATE($K$1,$K$2,IZG$4),Table1[],(MATCH(Calendar!$A6,DB!1:1,0)+2),FALSE),"")</f>
        <v/>
      </c>
      <c r="IZH6" s="27" t="str">
        <f>IFERROR(VLOOKUP(DATE($K$1,$K$2,IZH$4),Table1[],(MATCH(Calendar!$A6,DB!1:1,0)+2),FALSE),"")</f>
        <v/>
      </c>
      <c r="IZI6" s="27" t="str">
        <f>IFERROR(VLOOKUP(DATE($K$1,$K$2,IZI$4),Table1[],(MATCH(Calendar!$A6,DB!1:1,0)+2),FALSE),"")</f>
        <v/>
      </c>
      <c r="IZJ6" s="27" t="str">
        <f>IFERROR(VLOOKUP(DATE($K$1,$K$2,IZJ$4),Table1[],(MATCH(Calendar!$A6,DB!1:1,0)+2),FALSE),"")</f>
        <v/>
      </c>
      <c r="IZK6" s="27" t="str">
        <f>IFERROR(VLOOKUP(DATE($K$1,$K$2,IZK$4),Table1[],(MATCH(Calendar!$A6,DB!1:1,0)+2),FALSE),"")</f>
        <v/>
      </c>
      <c r="IZL6" s="27" t="str">
        <f>IFERROR(VLOOKUP(DATE($K$1,$K$2,IZL$4),Table1[],(MATCH(Calendar!$A6,DB!1:1,0)+2),FALSE),"")</f>
        <v/>
      </c>
      <c r="IZM6" s="27" t="str">
        <f>IFERROR(VLOOKUP(DATE($K$1,$K$2,IZM$4),Table1[],(MATCH(Calendar!$A6,DB!1:1,0)+2),FALSE),"")</f>
        <v/>
      </c>
      <c r="IZN6" s="27" t="str">
        <f>IFERROR(VLOOKUP(DATE($K$1,$K$2,IZN$4),Table1[],(MATCH(Calendar!$A6,DB!1:1,0)+2),FALSE),"")</f>
        <v/>
      </c>
      <c r="IZO6" s="27" t="str">
        <f>IFERROR(VLOOKUP(DATE($K$1,$K$2,IZO$4),Table1[],(MATCH(Calendar!$A6,DB!1:1,0)+2),FALSE),"")</f>
        <v/>
      </c>
      <c r="IZP6" s="27" t="str">
        <f>IFERROR(VLOOKUP(DATE($K$1,$K$2,IZP$4),Table1[],(MATCH(Calendar!$A6,DB!1:1,0)+2),FALSE),"")</f>
        <v/>
      </c>
      <c r="IZQ6" s="27" t="str">
        <f>IFERROR(VLOOKUP(DATE($K$1,$K$2,IZQ$4),Table1[],(MATCH(Calendar!$A6,DB!1:1,0)+2),FALSE),"")</f>
        <v/>
      </c>
      <c r="IZR6" s="27" t="str">
        <f>IFERROR(VLOOKUP(DATE($K$1,$K$2,IZR$4),Table1[],(MATCH(Calendar!$A6,DB!1:1,0)+2),FALSE),"")</f>
        <v/>
      </c>
      <c r="IZS6" s="27" t="str">
        <f>IFERROR(VLOOKUP(DATE($K$1,$K$2,IZS$4),Table1[],(MATCH(Calendar!$A6,DB!1:1,0)+2),FALSE),"")</f>
        <v/>
      </c>
      <c r="IZT6" s="27" t="str">
        <f>IFERROR(VLOOKUP(DATE($K$1,$K$2,IZT$4),Table1[],(MATCH(Calendar!$A6,DB!1:1,0)+2),FALSE),"")</f>
        <v/>
      </c>
      <c r="IZU6" s="27" t="str">
        <f>IFERROR(VLOOKUP(DATE($K$1,$K$2,IZU$4),Table1[],(MATCH(Calendar!$A6,DB!1:1,0)+2),FALSE),"")</f>
        <v/>
      </c>
      <c r="IZV6" s="27" t="str">
        <f>IFERROR(VLOOKUP(DATE($K$1,$K$2,IZV$4),Table1[],(MATCH(Calendar!$A6,DB!1:1,0)+2),FALSE),"")</f>
        <v/>
      </c>
      <c r="IZW6" s="27" t="str">
        <f>IFERROR(VLOOKUP(DATE($K$1,$K$2,IZW$4),Table1[],(MATCH(Calendar!$A6,DB!1:1,0)+2),FALSE),"")</f>
        <v/>
      </c>
      <c r="IZX6" s="27" t="str">
        <f>IFERROR(VLOOKUP(DATE($K$1,$K$2,IZX$4),Table1[],(MATCH(Calendar!$A6,DB!1:1,0)+2),FALSE),"")</f>
        <v/>
      </c>
      <c r="IZY6" s="27" t="str">
        <f>IFERROR(VLOOKUP(DATE($K$1,$K$2,IZY$4),Table1[],(MATCH(Calendar!$A6,DB!1:1,0)+2),FALSE),"")</f>
        <v/>
      </c>
      <c r="IZZ6" s="27" t="str">
        <f>IFERROR(VLOOKUP(DATE($K$1,$K$2,IZZ$4),Table1[],(MATCH(Calendar!$A6,DB!1:1,0)+2),FALSE),"")</f>
        <v/>
      </c>
      <c r="JAA6" s="27" t="str">
        <f>IFERROR(VLOOKUP(DATE($K$1,$K$2,JAA$4),Table1[],(MATCH(Calendar!$A6,DB!1:1,0)+2),FALSE),"")</f>
        <v/>
      </c>
      <c r="JAB6" s="27" t="str">
        <f>IFERROR(VLOOKUP(DATE($K$1,$K$2,JAB$4),Table1[],(MATCH(Calendar!$A6,DB!1:1,0)+2),FALSE),"")</f>
        <v/>
      </c>
      <c r="JAC6" s="27" t="str">
        <f>IFERROR(VLOOKUP(DATE($K$1,$K$2,JAC$4),Table1[],(MATCH(Calendar!$A6,DB!1:1,0)+2),FALSE),"")</f>
        <v/>
      </c>
      <c r="JAD6" s="27" t="str">
        <f>IFERROR(VLOOKUP(DATE($K$1,$K$2,JAD$4),Table1[],(MATCH(Calendar!$A6,DB!1:1,0)+2),FALSE),"")</f>
        <v/>
      </c>
      <c r="JAE6" s="27" t="str">
        <f>IFERROR(VLOOKUP(DATE($K$1,$K$2,JAE$4),Table1[],(MATCH(Calendar!$A6,DB!1:1,0)+2),FALSE),"")</f>
        <v/>
      </c>
      <c r="JAF6" s="27" t="str">
        <f>IFERROR(VLOOKUP(DATE($K$1,$K$2,JAF$4),Table1[],(MATCH(Calendar!$A6,DB!1:1,0)+2),FALSE),"")</f>
        <v/>
      </c>
      <c r="JAG6" s="27" t="str">
        <f>IFERROR(VLOOKUP(DATE($K$1,$K$2,JAG$4),Table1[],(MATCH(Calendar!$A6,DB!1:1,0)+2),FALSE),"")</f>
        <v/>
      </c>
      <c r="JAH6" s="27" t="str">
        <f>IFERROR(VLOOKUP(DATE($K$1,$K$2,JAH$4),Table1[],(MATCH(Calendar!$A6,DB!1:1,0)+2),FALSE),"")</f>
        <v/>
      </c>
      <c r="JAI6" s="27" t="str">
        <f>IFERROR(VLOOKUP(DATE($K$1,$K$2,JAI$4),Table1[],(MATCH(Calendar!$A6,DB!1:1,0)+2),FALSE),"")</f>
        <v/>
      </c>
      <c r="JAJ6" s="27" t="str">
        <f>IFERROR(VLOOKUP(DATE($K$1,$K$2,JAJ$4),Table1[],(MATCH(Calendar!$A6,DB!1:1,0)+2),FALSE),"")</f>
        <v/>
      </c>
      <c r="JAK6" s="27" t="str">
        <f>IFERROR(VLOOKUP(DATE($K$1,$K$2,JAK$4),Table1[],(MATCH(Calendar!$A6,DB!1:1,0)+2),FALSE),"")</f>
        <v/>
      </c>
      <c r="JAL6" s="27" t="str">
        <f>IFERROR(VLOOKUP(DATE($K$1,$K$2,JAL$4),Table1[],(MATCH(Calendar!$A6,DB!1:1,0)+2),FALSE),"")</f>
        <v/>
      </c>
      <c r="JAM6" s="27" t="str">
        <f>IFERROR(VLOOKUP(DATE($K$1,$K$2,JAM$4),Table1[],(MATCH(Calendar!$A6,DB!1:1,0)+2),FALSE),"")</f>
        <v/>
      </c>
      <c r="JAN6" s="27" t="str">
        <f>IFERROR(VLOOKUP(DATE($K$1,$K$2,JAN$4),Table1[],(MATCH(Calendar!$A6,DB!1:1,0)+2),FALSE),"")</f>
        <v/>
      </c>
      <c r="JAO6" s="27" t="str">
        <f>IFERROR(VLOOKUP(DATE($K$1,$K$2,JAO$4),Table1[],(MATCH(Calendar!$A6,DB!1:1,0)+2),FALSE),"")</f>
        <v/>
      </c>
      <c r="JAP6" s="27" t="str">
        <f>IFERROR(VLOOKUP(DATE($K$1,$K$2,JAP$4),Table1[],(MATCH(Calendar!$A6,DB!1:1,0)+2),FALSE),"")</f>
        <v/>
      </c>
      <c r="JAQ6" s="27" t="str">
        <f>IFERROR(VLOOKUP(DATE($K$1,$K$2,JAQ$4),Table1[],(MATCH(Calendar!$A6,DB!1:1,0)+2),FALSE),"")</f>
        <v/>
      </c>
      <c r="JAR6" s="27" t="str">
        <f>IFERROR(VLOOKUP(DATE($K$1,$K$2,JAR$4),Table1[],(MATCH(Calendar!$A6,DB!1:1,0)+2),FALSE),"")</f>
        <v/>
      </c>
      <c r="JAS6" s="27" t="str">
        <f>IFERROR(VLOOKUP(DATE($K$1,$K$2,JAS$4),Table1[],(MATCH(Calendar!$A6,DB!1:1,0)+2),FALSE),"")</f>
        <v/>
      </c>
      <c r="JAT6" s="27" t="str">
        <f>IFERROR(VLOOKUP(DATE($K$1,$K$2,JAT$4),Table1[],(MATCH(Calendar!$A6,DB!1:1,0)+2),FALSE),"")</f>
        <v/>
      </c>
      <c r="JAU6" s="27" t="str">
        <f>IFERROR(VLOOKUP(DATE($K$1,$K$2,JAU$4),Table1[],(MATCH(Calendar!$A6,DB!1:1,0)+2),FALSE),"")</f>
        <v/>
      </c>
      <c r="JAV6" s="27" t="str">
        <f>IFERROR(VLOOKUP(DATE($K$1,$K$2,JAV$4),Table1[],(MATCH(Calendar!$A6,DB!1:1,0)+2),FALSE),"")</f>
        <v/>
      </c>
      <c r="JAW6" s="27" t="str">
        <f>IFERROR(VLOOKUP(DATE($K$1,$K$2,JAW$4),Table1[],(MATCH(Calendar!$A6,DB!1:1,0)+2),FALSE),"")</f>
        <v/>
      </c>
      <c r="JAX6" s="27" t="str">
        <f>IFERROR(VLOOKUP(DATE($K$1,$K$2,JAX$4),Table1[],(MATCH(Calendar!$A6,DB!1:1,0)+2),FALSE),"")</f>
        <v/>
      </c>
      <c r="JAY6" s="27" t="str">
        <f>IFERROR(VLOOKUP(DATE($K$1,$K$2,JAY$4),Table1[],(MATCH(Calendar!$A6,DB!1:1,0)+2),FALSE),"")</f>
        <v/>
      </c>
      <c r="JAZ6" s="27" t="str">
        <f>IFERROR(VLOOKUP(DATE($K$1,$K$2,JAZ$4),Table1[],(MATCH(Calendar!$A6,DB!1:1,0)+2),FALSE),"")</f>
        <v/>
      </c>
      <c r="JBA6" s="27" t="str">
        <f>IFERROR(VLOOKUP(DATE($K$1,$K$2,JBA$4),Table1[],(MATCH(Calendar!$A6,DB!1:1,0)+2),FALSE),"")</f>
        <v/>
      </c>
      <c r="JBB6" s="27" t="str">
        <f>IFERROR(VLOOKUP(DATE($K$1,$K$2,JBB$4),Table1[],(MATCH(Calendar!$A6,DB!1:1,0)+2),FALSE),"")</f>
        <v/>
      </c>
      <c r="JBC6" s="27" t="str">
        <f>IFERROR(VLOOKUP(DATE($K$1,$K$2,JBC$4),Table1[],(MATCH(Calendar!$A6,DB!1:1,0)+2),FALSE),"")</f>
        <v/>
      </c>
      <c r="JBD6" s="27" t="str">
        <f>IFERROR(VLOOKUP(DATE($K$1,$K$2,JBD$4),Table1[],(MATCH(Calendar!$A6,DB!1:1,0)+2),FALSE),"")</f>
        <v/>
      </c>
      <c r="JBE6" s="27" t="str">
        <f>IFERROR(VLOOKUP(DATE($K$1,$K$2,JBE$4),Table1[],(MATCH(Calendar!$A6,DB!1:1,0)+2),FALSE),"")</f>
        <v/>
      </c>
      <c r="JBF6" s="27" t="str">
        <f>IFERROR(VLOOKUP(DATE($K$1,$K$2,JBF$4),Table1[],(MATCH(Calendar!$A6,DB!1:1,0)+2),FALSE),"")</f>
        <v/>
      </c>
      <c r="JBG6" s="27" t="str">
        <f>IFERROR(VLOOKUP(DATE($K$1,$K$2,JBG$4),Table1[],(MATCH(Calendar!$A6,DB!1:1,0)+2),FALSE),"")</f>
        <v/>
      </c>
      <c r="JBH6" s="27" t="str">
        <f>IFERROR(VLOOKUP(DATE($K$1,$K$2,JBH$4),Table1[],(MATCH(Calendar!$A6,DB!1:1,0)+2),FALSE),"")</f>
        <v/>
      </c>
      <c r="JBI6" s="27" t="str">
        <f>IFERROR(VLOOKUP(DATE($K$1,$K$2,JBI$4),Table1[],(MATCH(Calendar!$A6,DB!1:1,0)+2),FALSE),"")</f>
        <v/>
      </c>
      <c r="JBJ6" s="27" t="str">
        <f>IFERROR(VLOOKUP(DATE($K$1,$K$2,JBJ$4),Table1[],(MATCH(Calendar!$A6,DB!1:1,0)+2),FALSE),"")</f>
        <v/>
      </c>
      <c r="JBK6" s="27" t="str">
        <f>IFERROR(VLOOKUP(DATE($K$1,$K$2,JBK$4),Table1[],(MATCH(Calendar!$A6,DB!1:1,0)+2),FALSE),"")</f>
        <v/>
      </c>
      <c r="JBL6" s="27" t="str">
        <f>IFERROR(VLOOKUP(DATE($K$1,$K$2,JBL$4),Table1[],(MATCH(Calendar!$A6,DB!1:1,0)+2),FALSE),"")</f>
        <v/>
      </c>
      <c r="JBM6" s="27" t="str">
        <f>IFERROR(VLOOKUP(DATE($K$1,$K$2,JBM$4),Table1[],(MATCH(Calendar!$A6,DB!1:1,0)+2),FALSE),"")</f>
        <v/>
      </c>
      <c r="JBN6" s="27" t="str">
        <f>IFERROR(VLOOKUP(DATE($K$1,$K$2,JBN$4),Table1[],(MATCH(Calendar!$A6,DB!1:1,0)+2),FALSE),"")</f>
        <v/>
      </c>
      <c r="JBO6" s="27" t="str">
        <f>IFERROR(VLOOKUP(DATE($K$1,$K$2,JBO$4),Table1[],(MATCH(Calendar!$A6,DB!1:1,0)+2),FALSE),"")</f>
        <v/>
      </c>
      <c r="JBP6" s="27" t="str">
        <f>IFERROR(VLOOKUP(DATE($K$1,$K$2,JBP$4),Table1[],(MATCH(Calendar!$A6,DB!1:1,0)+2),FALSE),"")</f>
        <v/>
      </c>
      <c r="JBQ6" s="27" t="str">
        <f>IFERROR(VLOOKUP(DATE($K$1,$K$2,JBQ$4),Table1[],(MATCH(Calendar!$A6,DB!1:1,0)+2),FALSE),"")</f>
        <v/>
      </c>
      <c r="JBR6" s="27" t="str">
        <f>IFERROR(VLOOKUP(DATE($K$1,$K$2,JBR$4),Table1[],(MATCH(Calendar!$A6,DB!1:1,0)+2),FALSE),"")</f>
        <v/>
      </c>
      <c r="JBS6" s="27" t="str">
        <f>IFERROR(VLOOKUP(DATE($K$1,$K$2,JBS$4),Table1[],(MATCH(Calendar!$A6,DB!1:1,0)+2),FALSE),"")</f>
        <v/>
      </c>
      <c r="JBT6" s="27" t="str">
        <f>IFERROR(VLOOKUP(DATE($K$1,$K$2,JBT$4),Table1[],(MATCH(Calendar!$A6,DB!1:1,0)+2),FALSE),"")</f>
        <v/>
      </c>
      <c r="JBU6" s="27" t="str">
        <f>IFERROR(VLOOKUP(DATE($K$1,$K$2,JBU$4),Table1[],(MATCH(Calendar!$A6,DB!1:1,0)+2),FALSE),"")</f>
        <v/>
      </c>
      <c r="JBV6" s="27" t="str">
        <f>IFERROR(VLOOKUP(DATE($K$1,$K$2,JBV$4),Table1[],(MATCH(Calendar!$A6,DB!1:1,0)+2),FALSE),"")</f>
        <v/>
      </c>
      <c r="JBW6" s="27" t="str">
        <f>IFERROR(VLOOKUP(DATE($K$1,$K$2,JBW$4),Table1[],(MATCH(Calendar!$A6,DB!1:1,0)+2),FALSE),"")</f>
        <v/>
      </c>
      <c r="JBX6" s="27" t="str">
        <f>IFERROR(VLOOKUP(DATE($K$1,$K$2,JBX$4),Table1[],(MATCH(Calendar!$A6,DB!1:1,0)+2),FALSE),"")</f>
        <v/>
      </c>
      <c r="JBY6" s="27" t="str">
        <f>IFERROR(VLOOKUP(DATE($K$1,$K$2,JBY$4),Table1[],(MATCH(Calendar!$A6,DB!1:1,0)+2),FALSE),"")</f>
        <v/>
      </c>
      <c r="JBZ6" s="27" t="str">
        <f>IFERROR(VLOOKUP(DATE($K$1,$K$2,JBZ$4),Table1[],(MATCH(Calendar!$A6,DB!1:1,0)+2),FALSE),"")</f>
        <v/>
      </c>
      <c r="JCA6" s="27" t="str">
        <f>IFERROR(VLOOKUP(DATE($K$1,$K$2,JCA$4),Table1[],(MATCH(Calendar!$A6,DB!1:1,0)+2),FALSE),"")</f>
        <v/>
      </c>
      <c r="JCB6" s="27" t="str">
        <f>IFERROR(VLOOKUP(DATE($K$1,$K$2,JCB$4),Table1[],(MATCH(Calendar!$A6,DB!1:1,0)+2),FALSE),"")</f>
        <v/>
      </c>
      <c r="JCC6" s="27" t="str">
        <f>IFERROR(VLOOKUP(DATE($K$1,$K$2,JCC$4),Table1[],(MATCH(Calendar!$A6,DB!1:1,0)+2),FALSE),"")</f>
        <v/>
      </c>
      <c r="JCD6" s="27" t="str">
        <f>IFERROR(VLOOKUP(DATE($K$1,$K$2,JCD$4),Table1[],(MATCH(Calendar!$A6,DB!1:1,0)+2),FALSE),"")</f>
        <v/>
      </c>
      <c r="JCE6" s="27" t="str">
        <f>IFERROR(VLOOKUP(DATE($K$1,$K$2,JCE$4),Table1[],(MATCH(Calendar!$A6,DB!1:1,0)+2),FALSE),"")</f>
        <v/>
      </c>
      <c r="JCF6" s="27" t="str">
        <f>IFERROR(VLOOKUP(DATE($K$1,$K$2,JCF$4),Table1[],(MATCH(Calendar!$A6,DB!1:1,0)+2),FALSE),"")</f>
        <v/>
      </c>
      <c r="JCG6" s="27" t="str">
        <f>IFERROR(VLOOKUP(DATE($K$1,$K$2,JCG$4),Table1[],(MATCH(Calendar!$A6,DB!1:1,0)+2),FALSE),"")</f>
        <v/>
      </c>
      <c r="JCH6" s="27" t="str">
        <f>IFERROR(VLOOKUP(DATE($K$1,$K$2,JCH$4),Table1[],(MATCH(Calendar!$A6,DB!1:1,0)+2),FALSE),"")</f>
        <v/>
      </c>
      <c r="JCI6" s="27" t="str">
        <f>IFERROR(VLOOKUP(DATE($K$1,$K$2,JCI$4),Table1[],(MATCH(Calendar!$A6,DB!1:1,0)+2),FALSE),"")</f>
        <v/>
      </c>
      <c r="JCJ6" s="27" t="str">
        <f>IFERROR(VLOOKUP(DATE($K$1,$K$2,JCJ$4),Table1[],(MATCH(Calendar!$A6,DB!1:1,0)+2),FALSE),"")</f>
        <v/>
      </c>
      <c r="JCK6" s="27" t="str">
        <f>IFERROR(VLOOKUP(DATE($K$1,$K$2,JCK$4),Table1[],(MATCH(Calendar!$A6,DB!1:1,0)+2),FALSE),"")</f>
        <v/>
      </c>
      <c r="JCL6" s="27" t="str">
        <f>IFERROR(VLOOKUP(DATE($K$1,$K$2,JCL$4),Table1[],(MATCH(Calendar!$A6,DB!1:1,0)+2),FALSE),"")</f>
        <v/>
      </c>
      <c r="JCM6" s="27" t="str">
        <f>IFERROR(VLOOKUP(DATE($K$1,$K$2,JCM$4),Table1[],(MATCH(Calendar!$A6,DB!1:1,0)+2),FALSE),"")</f>
        <v/>
      </c>
      <c r="JCN6" s="27" t="str">
        <f>IFERROR(VLOOKUP(DATE($K$1,$K$2,JCN$4),Table1[],(MATCH(Calendar!$A6,DB!1:1,0)+2),FALSE),"")</f>
        <v/>
      </c>
      <c r="JCO6" s="27" t="str">
        <f>IFERROR(VLOOKUP(DATE($K$1,$K$2,JCO$4),Table1[],(MATCH(Calendar!$A6,DB!1:1,0)+2),FALSE),"")</f>
        <v/>
      </c>
      <c r="JCP6" s="27" t="str">
        <f>IFERROR(VLOOKUP(DATE($K$1,$K$2,JCP$4),Table1[],(MATCH(Calendar!$A6,DB!1:1,0)+2),FALSE),"")</f>
        <v/>
      </c>
      <c r="JCQ6" s="27" t="str">
        <f>IFERROR(VLOOKUP(DATE($K$1,$K$2,JCQ$4),Table1[],(MATCH(Calendar!$A6,DB!1:1,0)+2),FALSE),"")</f>
        <v/>
      </c>
      <c r="JCR6" s="27" t="str">
        <f>IFERROR(VLOOKUP(DATE($K$1,$K$2,JCR$4),Table1[],(MATCH(Calendar!$A6,DB!1:1,0)+2),FALSE),"")</f>
        <v/>
      </c>
      <c r="JCS6" s="27" t="str">
        <f>IFERROR(VLOOKUP(DATE($K$1,$K$2,JCS$4),Table1[],(MATCH(Calendar!$A6,DB!1:1,0)+2),FALSE),"")</f>
        <v/>
      </c>
      <c r="JCT6" s="27" t="str">
        <f>IFERROR(VLOOKUP(DATE($K$1,$K$2,JCT$4),Table1[],(MATCH(Calendar!$A6,DB!1:1,0)+2),FALSE),"")</f>
        <v/>
      </c>
      <c r="JCU6" s="27" t="str">
        <f>IFERROR(VLOOKUP(DATE($K$1,$K$2,JCU$4),Table1[],(MATCH(Calendar!$A6,DB!1:1,0)+2),FALSE),"")</f>
        <v/>
      </c>
      <c r="JCV6" s="27" t="str">
        <f>IFERROR(VLOOKUP(DATE($K$1,$K$2,JCV$4),Table1[],(MATCH(Calendar!$A6,DB!1:1,0)+2),FALSE),"")</f>
        <v/>
      </c>
      <c r="JCW6" s="27" t="str">
        <f>IFERROR(VLOOKUP(DATE($K$1,$K$2,JCW$4),Table1[],(MATCH(Calendar!$A6,DB!1:1,0)+2),FALSE),"")</f>
        <v/>
      </c>
      <c r="JCX6" s="27" t="str">
        <f>IFERROR(VLOOKUP(DATE($K$1,$K$2,JCX$4),Table1[],(MATCH(Calendar!$A6,DB!1:1,0)+2),FALSE),"")</f>
        <v/>
      </c>
      <c r="JCY6" s="27" t="str">
        <f>IFERROR(VLOOKUP(DATE($K$1,$K$2,JCY$4),Table1[],(MATCH(Calendar!$A6,DB!1:1,0)+2),FALSE),"")</f>
        <v/>
      </c>
      <c r="JCZ6" s="27" t="str">
        <f>IFERROR(VLOOKUP(DATE($K$1,$K$2,JCZ$4),Table1[],(MATCH(Calendar!$A6,DB!1:1,0)+2),FALSE),"")</f>
        <v/>
      </c>
      <c r="JDA6" s="27" t="str">
        <f>IFERROR(VLOOKUP(DATE($K$1,$K$2,JDA$4),Table1[],(MATCH(Calendar!$A6,DB!1:1,0)+2),FALSE),"")</f>
        <v/>
      </c>
      <c r="JDB6" s="27" t="str">
        <f>IFERROR(VLOOKUP(DATE($K$1,$K$2,JDB$4),Table1[],(MATCH(Calendar!$A6,DB!1:1,0)+2),FALSE),"")</f>
        <v/>
      </c>
      <c r="JDC6" s="27" t="str">
        <f>IFERROR(VLOOKUP(DATE($K$1,$K$2,JDC$4),Table1[],(MATCH(Calendar!$A6,DB!1:1,0)+2),FALSE),"")</f>
        <v/>
      </c>
      <c r="JDD6" s="27" t="str">
        <f>IFERROR(VLOOKUP(DATE($K$1,$K$2,JDD$4),Table1[],(MATCH(Calendar!$A6,DB!1:1,0)+2),FALSE),"")</f>
        <v/>
      </c>
      <c r="JDE6" s="27" t="str">
        <f>IFERROR(VLOOKUP(DATE($K$1,$K$2,JDE$4),Table1[],(MATCH(Calendar!$A6,DB!1:1,0)+2),FALSE),"")</f>
        <v/>
      </c>
      <c r="JDF6" s="27" t="str">
        <f>IFERROR(VLOOKUP(DATE($K$1,$K$2,JDF$4),Table1[],(MATCH(Calendar!$A6,DB!1:1,0)+2),FALSE),"")</f>
        <v/>
      </c>
      <c r="JDG6" s="27" t="str">
        <f>IFERROR(VLOOKUP(DATE($K$1,$K$2,JDG$4),Table1[],(MATCH(Calendar!$A6,DB!1:1,0)+2),FALSE),"")</f>
        <v/>
      </c>
      <c r="JDH6" s="27" t="str">
        <f>IFERROR(VLOOKUP(DATE($K$1,$K$2,JDH$4),Table1[],(MATCH(Calendar!$A6,DB!1:1,0)+2),FALSE),"")</f>
        <v/>
      </c>
      <c r="JDI6" s="27" t="str">
        <f>IFERROR(VLOOKUP(DATE($K$1,$K$2,JDI$4),Table1[],(MATCH(Calendar!$A6,DB!1:1,0)+2),FALSE),"")</f>
        <v/>
      </c>
      <c r="JDJ6" s="27" t="str">
        <f>IFERROR(VLOOKUP(DATE($K$1,$K$2,JDJ$4),Table1[],(MATCH(Calendar!$A6,DB!1:1,0)+2),FALSE),"")</f>
        <v/>
      </c>
      <c r="JDK6" s="27" t="str">
        <f>IFERROR(VLOOKUP(DATE($K$1,$K$2,JDK$4),Table1[],(MATCH(Calendar!$A6,DB!1:1,0)+2),FALSE),"")</f>
        <v/>
      </c>
      <c r="JDL6" s="27" t="str">
        <f>IFERROR(VLOOKUP(DATE($K$1,$K$2,JDL$4),Table1[],(MATCH(Calendar!$A6,DB!1:1,0)+2),FALSE),"")</f>
        <v/>
      </c>
      <c r="JDM6" s="27" t="str">
        <f>IFERROR(VLOOKUP(DATE($K$1,$K$2,JDM$4),Table1[],(MATCH(Calendar!$A6,DB!1:1,0)+2),FALSE),"")</f>
        <v/>
      </c>
      <c r="JDN6" s="27" t="str">
        <f>IFERROR(VLOOKUP(DATE($K$1,$K$2,JDN$4),Table1[],(MATCH(Calendar!$A6,DB!1:1,0)+2),FALSE),"")</f>
        <v/>
      </c>
      <c r="JDO6" s="27" t="str">
        <f>IFERROR(VLOOKUP(DATE($K$1,$K$2,JDO$4),Table1[],(MATCH(Calendar!$A6,DB!1:1,0)+2),FALSE),"")</f>
        <v/>
      </c>
      <c r="JDP6" s="27" t="str">
        <f>IFERROR(VLOOKUP(DATE($K$1,$K$2,JDP$4),Table1[],(MATCH(Calendar!$A6,DB!1:1,0)+2),FALSE),"")</f>
        <v/>
      </c>
      <c r="JDQ6" s="27" t="str">
        <f>IFERROR(VLOOKUP(DATE($K$1,$K$2,JDQ$4),Table1[],(MATCH(Calendar!$A6,DB!1:1,0)+2),FALSE),"")</f>
        <v/>
      </c>
      <c r="JDR6" s="27" t="str">
        <f>IFERROR(VLOOKUP(DATE($K$1,$K$2,JDR$4),Table1[],(MATCH(Calendar!$A6,DB!1:1,0)+2),FALSE),"")</f>
        <v/>
      </c>
      <c r="JDS6" s="27" t="str">
        <f>IFERROR(VLOOKUP(DATE($K$1,$K$2,JDS$4),Table1[],(MATCH(Calendar!$A6,DB!1:1,0)+2),FALSE),"")</f>
        <v/>
      </c>
      <c r="JDT6" s="27" t="str">
        <f>IFERROR(VLOOKUP(DATE($K$1,$K$2,JDT$4),Table1[],(MATCH(Calendar!$A6,DB!1:1,0)+2),FALSE),"")</f>
        <v/>
      </c>
      <c r="JDU6" s="27" t="str">
        <f>IFERROR(VLOOKUP(DATE($K$1,$K$2,JDU$4),Table1[],(MATCH(Calendar!$A6,DB!1:1,0)+2),FALSE),"")</f>
        <v/>
      </c>
      <c r="JDV6" s="27" t="str">
        <f>IFERROR(VLOOKUP(DATE($K$1,$K$2,JDV$4),Table1[],(MATCH(Calendar!$A6,DB!1:1,0)+2),FALSE),"")</f>
        <v/>
      </c>
      <c r="JDW6" s="27" t="str">
        <f>IFERROR(VLOOKUP(DATE($K$1,$K$2,JDW$4),Table1[],(MATCH(Calendar!$A6,DB!1:1,0)+2),FALSE),"")</f>
        <v/>
      </c>
      <c r="JDX6" s="27" t="str">
        <f>IFERROR(VLOOKUP(DATE($K$1,$K$2,JDX$4),Table1[],(MATCH(Calendar!$A6,DB!1:1,0)+2),FALSE),"")</f>
        <v/>
      </c>
      <c r="JDY6" s="27" t="str">
        <f>IFERROR(VLOOKUP(DATE($K$1,$K$2,JDY$4),Table1[],(MATCH(Calendar!$A6,DB!1:1,0)+2),FALSE),"")</f>
        <v/>
      </c>
      <c r="JDZ6" s="27" t="str">
        <f>IFERROR(VLOOKUP(DATE($K$1,$K$2,JDZ$4),Table1[],(MATCH(Calendar!$A6,DB!1:1,0)+2),FALSE),"")</f>
        <v/>
      </c>
      <c r="JEA6" s="27" t="str">
        <f>IFERROR(VLOOKUP(DATE($K$1,$K$2,JEA$4),Table1[],(MATCH(Calendar!$A6,DB!1:1,0)+2),FALSE),"")</f>
        <v/>
      </c>
      <c r="JEB6" s="27" t="str">
        <f>IFERROR(VLOOKUP(DATE($K$1,$K$2,JEB$4),Table1[],(MATCH(Calendar!$A6,DB!1:1,0)+2),FALSE),"")</f>
        <v/>
      </c>
      <c r="JEC6" s="27" t="str">
        <f>IFERROR(VLOOKUP(DATE($K$1,$K$2,JEC$4),Table1[],(MATCH(Calendar!$A6,DB!1:1,0)+2),FALSE),"")</f>
        <v/>
      </c>
      <c r="JED6" s="27" t="str">
        <f>IFERROR(VLOOKUP(DATE($K$1,$K$2,JED$4),Table1[],(MATCH(Calendar!$A6,DB!1:1,0)+2),FALSE),"")</f>
        <v/>
      </c>
      <c r="JEE6" s="27" t="str">
        <f>IFERROR(VLOOKUP(DATE($K$1,$K$2,JEE$4),Table1[],(MATCH(Calendar!$A6,DB!1:1,0)+2),FALSE),"")</f>
        <v/>
      </c>
      <c r="JEF6" s="27" t="str">
        <f>IFERROR(VLOOKUP(DATE($K$1,$K$2,JEF$4),Table1[],(MATCH(Calendar!$A6,DB!1:1,0)+2),FALSE),"")</f>
        <v/>
      </c>
      <c r="JEG6" s="27" t="str">
        <f>IFERROR(VLOOKUP(DATE($K$1,$K$2,JEG$4),Table1[],(MATCH(Calendar!$A6,DB!1:1,0)+2),FALSE),"")</f>
        <v/>
      </c>
      <c r="JEH6" s="27" t="str">
        <f>IFERROR(VLOOKUP(DATE($K$1,$K$2,JEH$4),Table1[],(MATCH(Calendar!$A6,DB!1:1,0)+2),FALSE),"")</f>
        <v/>
      </c>
      <c r="JEI6" s="27" t="str">
        <f>IFERROR(VLOOKUP(DATE($K$1,$K$2,JEI$4),Table1[],(MATCH(Calendar!$A6,DB!1:1,0)+2),FALSE),"")</f>
        <v/>
      </c>
      <c r="JEJ6" s="27" t="str">
        <f>IFERROR(VLOOKUP(DATE($K$1,$K$2,JEJ$4),Table1[],(MATCH(Calendar!$A6,DB!1:1,0)+2),FALSE),"")</f>
        <v/>
      </c>
      <c r="JEK6" s="27" t="str">
        <f>IFERROR(VLOOKUP(DATE($K$1,$K$2,JEK$4),Table1[],(MATCH(Calendar!$A6,DB!1:1,0)+2),FALSE),"")</f>
        <v/>
      </c>
      <c r="JEL6" s="27" t="str">
        <f>IFERROR(VLOOKUP(DATE($K$1,$K$2,JEL$4),Table1[],(MATCH(Calendar!$A6,DB!1:1,0)+2),FALSE),"")</f>
        <v/>
      </c>
      <c r="JEM6" s="27" t="str">
        <f>IFERROR(VLOOKUP(DATE($K$1,$K$2,JEM$4),Table1[],(MATCH(Calendar!$A6,DB!1:1,0)+2),FALSE),"")</f>
        <v/>
      </c>
      <c r="JEN6" s="27" t="str">
        <f>IFERROR(VLOOKUP(DATE($K$1,$K$2,JEN$4),Table1[],(MATCH(Calendar!$A6,DB!1:1,0)+2),FALSE),"")</f>
        <v/>
      </c>
      <c r="JEO6" s="27" t="str">
        <f>IFERROR(VLOOKUP(DATE($K$1,$K$2,JEO$4),Table1[],(MATCH(Calendar!$A6,DB!1:1,0)+2),FALSE),"")</f>
        <v/>
      </c>
      <c r="JEP6" s="27" t="str">
        <f>IFERROR(VLOOKUP(DATE($K$1,$K$2,JEP$4),Table1[],(MATCH(Calendar!$A6,DB!1:1,0)+2),FALSE),"")</f>
        <v/>
      </c>
      <c r="JEQ6" s="27" t="str">
        <f>IFERROR(VLOOKUP(DATE($K$1,$K$2,JEQ$4),Table1[],(MATCH(Calendar!$A6,DB!1:1,0)+2),FALSE),"")</f>
        <v/>
      </c>
      <c r="JER6" s="27" t="str">
        <f>IFERROR(VLOOKUP(DATE($K$1,$K$2,JER$4),Table1[],(MATCH(Calendar!$A6,DB!1:1,0)+2),FALSE),"")</f>
        <v/>
      </c>
      <c r="JES6" s="27" t="str">
        <f>IFERROR(VLOOKUP(DATE($K$1,$K$2,JES$4),Table1[],(MATCH(Calendar!$A6,DB!1:1,0)+2),FALSE),"")</f>
        <v/>
      </c>
      <c r="JET6" s="27" t="str">
        <f>IFERROR(VLOOKUP(DATE($K$1,$K$2,JET$4),Table1[],(MATCH(Calendar!$A6,DB!1:1,0)+2),FALSE),"")</f>
        <v/>
      </c>
      <c r="JEU6" s="27" t="str">
        <f>IFERROR(VLOOKUP(DATE($K$1,$K$2,JEU$4),Table1[],(MATCH(Calendar!$A6,DB!1:1,0)+2),FALSE),"")</f>
        <v/>
      </c>
      <c r="JEV6" s="27" t="str">
        <f>IFERROR(VLOOKUP(DATE($K$1,$K$2,JEV$4),Table1[],(MATCH(Calendar!$A6,DB!1:1,0)+2),FALSE),"")</f>
        <v/>
      </c>
      <c r="JEW6" s="27" t="str">
        <f>IFERROR(VLOOKUP(DATE($K$1,$K$2,JEW$4),Table1[],(MATCH(Calendar!$A6,DB!1:1,0)+2),FALSE),"")</f>
        <v/>
      </c>
      <c r="JEX6" s="27" t="str">
        <f>IFERROR(VLOOKUP(DATE($K$1,$K$2,JEX$4),Table1[],(MATCH(Calendar!$A6,DB!1:1,0)+2),FALSE),"")</f>
        <v/>
      </c>
      <c r="JEY6" s="27" t="str">
        <f>IFERROR(VLOOKUP(DATE($K$1,$K$2,JEY$4),Table1[],(MATCH(Calendar!$A6,DB!1:1,0)+2),FALSE),"")</f>
        <v/>
      </c>
      <c r="JEZ6" s="27" t="str">
        <f>IFERROR(VLOOKUP(DATE($K$1,$K$2,JEZ$4),Table1[],(MATCH(Calendar!$A6,DB!1:1,0)+2),FALSE),"")</f>
        <v/>
      </c>
      <c r="JFA6" s="27" t="str">
        <f>IFERROR(VLOOKUP(DATE($K$1,$K$2,JFA$4),Table1[],(MATCH(Calendar!$A6,DB!1:1,0)+2),FALSE),"")</f>
        <v/>
      </c>
      <c r="JFB6" s="27" t="str">
        <f>IFERROR(VLOOKUP(DATE($K$1,$K$2,JFB$4),Table1[],(MATCH(Calendar!$A6,DB!1:1,0)+2),FALSE),"")</f>
        <v/>
      </c>
      <c r="JFC6" s="27" t="str">
        <f>IFERROR(VLOOKUP(DATE($K$1,$K$2,JFC$4),Table1[],(MATCH(Calendar!$A6,DB!1:1,0)+2),FALSE),"")</f>
        <v/>
      </c>
      <c r="JFD6" s="27" t="str">
        <f>IFERROR(VLOOKUP(DATE($K$1,$K$2,JFD$4),Table1[],(MATCH(Calendar!$A6,DB!1:1,0)+2),FALSE),"")</f>
        <v/>
      </c>
      <c r="JFE6" s="27" t="str">
        <f>IFERROR(VLOOKUP(DATE($K$1,$K$2,JFE$4),Table1[],(MATCH(Calendar!$A6,DB!1:1,0)+2),FALSE),"")</f>
        <v/>
      </c>
      <c r="JFF6" s="27" t="str">
        <f>IFERROR(VLOOKUP(DATE($K$1,$K$2,JFF$4),Table1[],(MATCH(Calendar!$A6,DB!1:1,0)+2),FALSE),"")</f>
        <v/>
      </c>
      <c r="JFG6" s="27" t="str">
        <f>IFERROR(VLOOKUP(DATE($K$1,$K$2,JFG$4),Table1[],(MATCH(Calendar!$A6,DB!1:1,0)+2),FALSE),"")</f>
        <v/>
      </c>
      <c r="JFH6" s="27" t="str">
        <f>IFERROR(VLOOKUP(DATE($K$1,$K$2,JFH$4),Table1[],(MATCH(Calendar!$A6,DB!1:1,0)+2),FALSE),"")</f>
        <v/>
      </c>
      <c r="JFI6" s="27" t="str">
        <f>IFERROR(VLOOKUP(DATE($K$1,$K$2,JFI$4),Table1[],(MATCH(Calendar!$A6,DB!1:1,0)+2),FALSE),"")</f>
        <v/>
      </c>
      <c r="JFJ6" s="27" t="str">
        <f>IFERROR(VLOOKUP(DATE($K$1,$K$2,JFJ$4),Table1[],(MATCH(Calendar!$A6,DB!1:1,0)+2),FALSE),"")</f>
        <v/>
      </c>
      <c r="JFK6" s="27" t="str">
        <f>IFERROR(VLOOKUP(DATE($K$1,$K$2,JFK$4),Table1[],(MATCH(Calendar!$A6,DB!1:1,0)+2),FALSE),"")</f>
        <v/>
      </c>
      <c r="JFL6" s="27" t="str">
        <f>IFERROR(VLOOKUP(DATE($K$1,$K$2,JFL$4),Table1[],(MATCH(Calendar!$A6,DB!1:1,0)+2),FALSE),"")</f>
        <v/>
      </c>
      <c r="JFM6" s="27" t="str">
        <f>IFERROR(VLOOKUP(DATE($K$1,$K$2,JFM$4),Table1[],(MATCH(Calendar!$A6,DB!1:1,0)+2),FALSE),"")</f>
        <v/>
      </c>
      <c r="JFN6" s="27" t="str">
        <f>IFERROR(VLOOKUP(DATE($K$1,$K$2,JFN$4),Table1[],(MATCH(Calendar!$A6,DB!1:1,0)+2),FALSE),"")</f>
        <v/>
      </c>
      <c r="JFO6" s="27" t="str">
        <f>IFERROR(VLOOKUP(DATE($K$1,$K$2,JFO$4),Table1[],(MATCH(Calendar!$A6,DB!1:1,0)+2),FALSE),"")</f>
        <v/>
      </c>
      <c r="JFP6" s="27" t="str">
        <f>IFERROR(VLOOKUP(DATE($K$1,$K$2,JFP$4),Table1[],(MATCH(Calendar!$A6,DB!1:1,0)+2),FALSE),"")</f>
        <v/>
      </c>
      <c r="JFQ6" s="27" t="str">
        <f>IFERROR(VLOOKUP(DATE($K$1,$K$2,JFQ$4),Table1[],(MATCH(Calendar!$A6,DB!1:1,0)+2),FALSE),"")</f>
        <v/>
      </c>
      <c r="JFR6" s="27" t="str">
        <f>IFERROR(VLOOKUP(DATE($K$1,$K$2,JFR$4),Table1[],(MATCH(Calendar!$A6,DB!1:1,0)+2),FALSE),"")</f>
        <v/>
      </c>
      <c r="JFS6" s="27" t="str">
        <f>IFERROR(VLOOKUP(DATE($K$1,$K$2,JFS$4),Table1[],(MATCH(Calendar!$A6,DB!1:1,0)+2),FALSE),"")</f>
        <v/>
      </c>
      <c r="JFT6" s="27" t="str">
        <f>IFERROR(VLOOKUP(DATE($K$1,$K$2,JFT$4),Table1[],(MATCH(Calendar!$A6,DB!1:1,0)+2),FALSE),"")</f>
        <v/>
      </c>
      <c r="JFU6" s="27" t="str">
        <f>IFERROR(VLOOKUP(DATE($K$1,$K$2,JFU$4),Table1[],(MATCH(Calendar!$A6,DB!1:1,0)+2),FALSE),"")</f>
        <v/>
      </c>
      <c r="JFV6" s="27" t="str">
        <f>IFERROR(VLOOKUP(DATE($K$1,$K$2,JFV$4),Table1[],(MATCH(Calendar!$A6,DB!1:1,0)+2),FALSE),"")</f>
        <v/>
      </c>
      <c r="JFW6" s="27" t="str">
        <f>IFERROR(VLOOKUP(DATE($K$1,$K$2,JFW$4),Table1[],(MATCH(Calendar!$A6,DB!1:1,0)+2),FALSE),"")</f>
        <v/>
      </c>
      <c r="JFX6" s="27" t="str">
        <f>IFERROR(VLOOKUP(DATE($K$1,$K$2,JFX$4),Table1[],(MATCH(Calendar!$A6,DB!1:1,0)+2),FALSE),"")</f>
        <v/>
      </c>
      <c r="JFY6" s="27" t="str">
        <f>IFERROR(VLOOKUP(DATE($K$1,$K$2,JFY$4),Table1[],(MATCH(Calendar!$A6,DB!1:1,0)+2),FALSE),"")</f>
        <v/>
      </c>
      <c r="JFZ6" s="27" t="str">
        <f>IFERROR(VLOOKUP(DATE($K$1,$K$2,JFZ$4),Table1[],(MATCH(Calendar!$A6,DB!1:1,0)+2),FALSE),"")</f>
        <v/>
      </c>
      <c r="JGA6" s="27" t="str">
        <f>IFERROR(VLOOKUP(DATE($K$1,$K$2,JGA$4),Table1[],(MATCH(Calendar!$A6,DB!1:1,0)+2),FALSE),"")</f>
        <v/>
      </c>
      <c r="JGB6" s="27" t="str">
        <f>IFERROR(VLOOKUP(DATE($K$1,$K$2,JGB$4),Table1[],(MATCH(Calendar!$A6,DB!1:1,0)+2),FALSE),"")</f>
        <v/>
      </c>
      <c r="JGC6" s="27" t="str">
        <f>IFERROR(VLOOKUP(DATE($K$1,$K$2,JGC$4),Table1[],(MATCH(Calendar!$A6,DB!1:1,0)+2),FALSE),"")</f>
        <v/>
      </c>
      <c r="JGD6" s="27" t="str">
        <f>IFERROR(VLOOKUP(DATE($K$1,$K$2,JGD$4),Table1[],(MATCH(Calendar!$A6,DB!1:1,0)+2),FALSE),"")</f>
        <v/>
      </c>
      <c r="JGE6" s="27" t="str">
        <f>IFERROR(VLOOKUP(DATE($K$1,$K$2,JGE$4),Table1[],(MATCH(Calendar!$A6,DB!1:1,0)+2),FALSE),"")</f>
        <v/>
      </c>
      <c r="JGF6" s="27" t="str">
        <f>IFERROR(VLOOKUP(DATE($K$1,$K$2,JGF$4),Table1[],(MATCH(Calendar!$A6,DB!1:1,0)+2),FALSE),"")</f>
        <v/>
      </c>
      <c r="JGG6" s="27" t="str">
        <f>IFERROR(VLOOKUP(DATE($K$1,$K$2,JGG$4),Table1[],(MATCH(Calendar!$A6,DB!1:1,0)+2),FALSE),"")</f>
        <v/>
      </c>
      <c r="JGH6" s="27" t="str">
        <f>IFERROR(VLOOKUP(DATE($K$1,$K$2,JGH$4),Table1[],(MATCH(Calendar!$A6,DB!1:1,0)+2),FALSE),"")</f>
        <v/>
      </c>
      <c r="JGI6" s="27" t="str">
        <f>IFERROR(VLOOKUP(DATE($K$1,$K$2,JGI$4),Table1[],(MATCH(Calendar!$A6,DB!1:1,0)+2),FALSE),"")</f>
        <v/>
      </c>
      <c r="JGJ6" s="27" t="str">
        <f>IFERROR(VLOOKUP(DATE($K$1,$K$2,JGJ$4),Table1[],(MATCH(Calendar!$A6,DB!1:1,0)+2),FALSE),"")</f>
        <v/>
      </c>
      <c r="JGK6" s="27" t="str">
        <f>IFERROR(VLOOKUP(DATE($K$1,$K$2,JGK$4),Table1[],(MATCH(Calendar!$A6,DB!1:1,0)+2),FALSE),"")</f>
        <v/>
      </c>
      <c r="JGL6" s="27" t="str">
        <f>IFERROR(VLOOKUP(DATE($K$1,$K$2,JGL$4),Table1[],(MATCH(Calendar!$A6,DB!1:1,0)+2),FALSE),"")</f>
        <v/>
      </c>
      <c r="JGM6" s="27" t="str">
        <f>IFERROR(VLOOKUP(DATE($K$1,$K$2,JGM$4),Table1[],(MATCH(Calendar!$A6,DB!1:1,0)+2),FALSE),"")</f>
        <v/>
      </c>
      <c r="JGN6" s="27" t="str">
        <f>IFERROR(VLOOKUP(DATE($K$1,$K$2,JGN$4),Table1[],(MATCH(Calendar!$A6,DB!1:1,0)+2),FALSE),"")</f>
        <v/>
      </c>
      <c r="JGO6" s="27" t="str">
        <f>IFERROR(VLOOKUP(DATE($K$1,$K$2,JGO$4),Table1[],(MATCH(Calendar!$A6,DB!1:1,0)+2),FALSE),"")</f>
        <v/>
      </c>
      <c r="JGP6" s="27" t="str">
        <f>IFERROR(VLOOKUP(DATE($K$1,$K$2,JGP$4),Table1[],(MATCH(Calendar!$A6,DB!1:1,0)+2),FALSE),"")</f>
        <v/>
      </c>
      <c r="JGQ6" s="27" t="str">
        <f>IFERROR(VLOOKUP(DATE($K$1,$K$2,JGQ$4),Table1[],(MATCH(Calendar!$A6,DB!1:1,0)+2),FALSE),"")</f>
        <v/>
      </c>
      <c r="JGR6" s="27" t="str">
        <f>IFERROR(VLOOKUP(DATE($K$1,$K$2,JGR$4),Table1[],(MATCH(Calendar!$A6,DB!1:1,0)+2),FALSE),"")</f>
        <v/>
      </c>
      <c r="JGS6" s="27" t="str">
        <f>IFERROR(VLOOKUP(DATE($K$1,$K$2,JGS$4),Table1[],(MATCH(Calendar!$A6,DB!1:1,0)+2),FALSE),"")</f>
        <v/>
      </c>
      <c r="JGT6" s="27" t="str">
        <f>IFERROR(VLOOKUP(DATE($K$1,$K$2,JGT$4),Table1[],(MATCH(Calendar!$A6,DB!1:1,0)+2),FALSE),"")</f>
        <v/>
      </c>
      <c r="JGU6" s="27" t="str">
        <f>IFERROR(VLOOKUP(DATE($K$1,$K$2,JGU$4),Table1[],(MATCH(Calendar!$A6,DB!1:1,0)+2),FALSE),"")</f>
        <v/>
      </c>
      <c r="JGV6" s="27" t="str">
        <f>IFERROR(VLOOKUP(DATE($K$1,$K$2,JGV$4),Table1[],(MATCH(Calendar!$A6,DB!1:1,0)+2),FALSE),"")</f>
        <v/>
      </c>
      <c r="JGW6" s="27" t="str">
        <f>IFERROR(VLOOKUP(DATE($K$1,$K$2,JGW$4),Table1[],(MATCH(Calendar!$A6,DB!1:1,0)+2),FALSE),"")</f>
        <v/>
      </c>
      <c r="JGX6" s="27" t="str">
        <f>IFERROR(VLOOKUP(DATE($K$1,$K$2,JGX$4),Table1[],(MATCH(Calendar!$A6,DB!1:1,0)+2),FALSE),"")</f>
        <v/>
      </c>
      <c r="JGY6" s="27" t="str">
        <f>IFERROR(VLOOKUP(DATE($K$1,$K$2,JGY$4),Table1[],(MATCH(Calendar!$A6,DB!1:1,0)+2),FALSE),"")</f>
        <v/>
      </c>
      <c r="JGZ6" s="27" t="str">
        <f>IFERROR(VLOOKUP(DATE($K$1,$K$2,JGZ$4),Table1[],(MATCH(Calendar!$A6,DB!1:1,0)+2),FALSE),"")</f>
        <v/>
      </c>
      <c r="JHA6" s="27" t="str">
        <f>IFERROR(VLOOKUP(DATE($K$1,$K$2,JHA$4),Table1[],(MATCH(Calendar!$A6,DB!1:1,0)+2),FALSE),"")</f>
        <v/>
      </c>
      <c r="JHB6" s="27" t="str">
        <f>IFERROR(VLOOKUP(DATE($K$1,$K$2,JHB$4),Table1[],(MATCH(Calendar!$A6,DB!1:1,0)+2),FALSE),"")</f>
        <v/>
      </c>
      <c r="JHC6" s="27" t="str">
        <f>IFERROR(VLOOKUP(DATE($K$1,$K$2,JHC$4),Table1[],(MATCH(Calendar!$A6,DB!1:1,0)+2),FALSE),"")</f>
        <v/>
      </c>
      <c r="JHD6" s="27" t="str">
        <f>IFERROR(VLOOKUP(DATE($K$1,$K$2,JHD$4),Table1[],(MATCH(Calendar!$A6,DB!1:1,0)+2),FALSE),"")</f>
        <v/>
      </c>
      <c r="JHE6" s="27" t="str">
        <f>IFERROR(VLOOKUP(DATE($K$1,$K$2,JHE$4),Table1[],(MATCH(Calendar!$A6,DB!1:1,0)+2),FALSE),"")</f>
        <v/>
      </c>
      <c r="JHF6" s="27" t="str">
        <f>IFERROR(VLOOKUP(DATE($K$1,$K$2,JHF$4),Table1[],(MATCH(Calendar!$A6,DB!1:1,0)+2),FALSE),"")</f>
        <v/>
      </c>
      <c r="JHG6" s="27" t="str">
        <f>IFERROR(VLOOKUP(DATE($K$1,$K$2,JHG$4),Table1[],(MATCH(Calendar!$A6,DB!1:1,0)+2),FALSE),"")</f>
        <v/>
      </c>
      <c r="JHH6" s="27" t="str">
        <f>IFERROR(VLOOKUP(DATE($K$1,$K$2,JHH$4),Table1[],(MATCH(Calendar!$A6,DB!1:1,0)+2),FALSE),"")</f>
        <v/>
      </c>
      <c r="JHI6" s="27" t="str">
        <f>IFERROR(VLOOKUP(DATE($K$1,$K$2,JHI$4),Table1[],(MATCH(Calendar!$A6,DB!1:1,0)+2),FALSE),"")</f>
        <v/>
      </c>
      <c r="JHJ6" s="27" t="str">
        <f>IFERROR(VLOOKUP(DATE($K$1,$K$2,JHJ$4),Table1[],(MATCH(Calendar!$A6,DB!1:1,0)+2),FALSE),"")</f>
        <v/>
      </c>
      <c r="JHK6" s="27" t="str">
        <f>IFERROR(VLOOKUP(DATE($K$1,$K$2,JHK$4),Table1[],(MATCH(Calendar!$A6,DB!1:1,0)+2),FALSE),"")</f>
        <v/>
      </c>
      <c r="JHL6" s="27" t="str">
        <f>IFERROR(VLOOKUP(DATE($K$1,$K$2,JHL$4),Table1[],(MATCH(Calendar!$A6,DB!1:1,0)+2),FALSE),"")</f>
        <v/>
      </c>
      <c r="JHM6" s="27" t="str">
        <f>IFERROR(VLOOKUP(DATE($K$1,$K$2,JHM$4),Table1[],(MATCH(Calendar!$A6,DB!1:1,0)+2),FALSE),"")</f>
        <v/>
      </c>
      <c r="JHN6" s="27" t="str">
        <f>IFERROR(VLOOKUP(DATE($K$1,$K$2,JHN$4),Table1[],(MATCH(Calendar!$A6,DB!1:1,0)+2),FALSE),"")</f>
        <v/>
      </c>
      <c r="JHO6" s="27" t="str">
        <f>IFERROR(VLOOKUP(DATE($K$1,$K$2,JHO$4),Table1[],(MATCH(Calendar!$A6,DB!1:1,0)+2),FALSE),"")</f>
        <v/>
      </c>
      <c r="JHP6" s="27" t="str">
        <f>IFERROR(VLOOKUP(DATE($K$1,$K$2,JHP$4),Table1[],(MATCH(Calendar!$A6,DB!1:1,0)+2),FALSE),"")</f>
        <v/>
      </c>
      <c r="JHQ6" s="27" t="str">
        <f>IFERROR(VLOOKUP(DATE($K$1,$K$2,JHQ$4),Table1[],(MATCH(Calendar!$A6,DB!1:1,0)+2),FALSE),"")</f>
        <v/>
      </c>
      <c r="JHR6" s="27" t="str">
        <f>IFERROR(VLOOKUP(DATE($K$1,$K$2,JHR$4),Table1[],(MATCH(Calendar!$A6,DB!1:1,0)+2),FALSE),"")</f>
        <v/>
      </c>
      <c r="JHS6" s="27" t="str">
        <f>IFERROR(VLOOKUP(DATE($K$1,$K$2,JHS$4),Table1[],(MATCH(Calendar!$A6,DB!1:1,0)+2),FALSE),"")</f>
        <v/>
      </c>
      <c r="JHT6" s="27" t="str">
        <f>IFERROR(VLOOKUP(DATE($K$1,$K$2,JHT$4),Table1[],(MATCH(Calendar!$A6,DB!1:1,0)+2),FALSE),"")</f>
        <v/>
      </c>
      <c r="JHU6" s="27" t="str">
        <f>IFERROR(VLOOKUP(DATE($K$1,$K$2,JHU$4),Table1[],(MATCH(Calendar!$A6,DB!1:1,0)+2),FALSE),"")</f>
        <v/>
      </c>
      <c r="JHV6" s="27" t="str">
        <f>IFERROR(VLOOKUP(DATE($K$1,$K$2,JHV$4),Table1[],(MATCH(Calendar!$A6,DB!1:1,0)+2),FALSE),"")</f>
        <v/>
      </c>
      <c r="JHW6" s="27" t="str">
        <f>IFERROR(VLOOKUP(DATE($K$1,$K$2,JHW$4),Table1[],(MATCH(Calendar!$A6,DB!1:1,0)+2),FALSE),"")</f>
        <v/>
      </c>
      <c r="JHX6" s="27" t="str">
        <f>IFERROR(VLOOKUP(DATE($K$1,$K$2,JHX$4),Table1[],(MATCH(Calendar!$A6,DB!1:1,0)+2),FALSE),"")</f>
        <v/>
      </c>
      <c r="JHY6" s="27" t="str">
        <f>IFERROR(VLOOKUP(DATE($K$1,$K$2,JHY$4),Table1[],(MATCH(Calendar!$A6,DB!1:1,0)+2),FALSE),"")</f>
        <v/>
      </c>
      <c r="JHZ6" s="27" t="str">
        <f>IFERROR(VLOOKUP(DATE($K$1,$K$2,JHZ$4),Table1[],(MATCH(Calendar!$A6,DB!1:1,0)+2),FALSE),"")</f>
        <v/>
      </c>
      <c r="JIA6" s="27" t="str">
        <f>IFERROR(VLOOKUP(DATE($K$1,$K$2,JIA$4),Table1[],(MATCH(Calendar!$A6,DB!1:1,0)+2),FALSE),"")</f>
        <v/>
      </c>
      <c r="JIB6" s="27" t="str">
        <f>IFERROR(VLOOKUP(DATE($K$1,$K$2,JIB$4),Table1[],(MATCH(Calendar!$A6,DB!1:1,0)+2),FALSE),"")</f>
        <v/>
      </c>
      <c r="JIC6" s="27" t="str">
        <f>IFERROR(VLOOKUP(DATE($K$1,$K$2,JIC$4),Table1[],(MATCH(Calendar!$A6,DB!1:1,0)+2),FALSE),"")</f>
        <v/>
      </c>
      <c r="JID6" s="27" t="str">
        <f>IFERROR(VLOOKUP(DATE($K$1,$K$2,JID$4),Table1[],(MATCH(Calendar!$A6,DB!1:1,0)+2),FALSE),"")</f>
        <v/>
      </c>
      <c r="JIE6" s="27" t="str">
        <f>IFERROR(VLOOKUP(DATE($K$1,$K$2,JIE$4),Table1[],(MATCH(Calendar!$A6,DB!1:1,0)+2),FALSE),"")</f>
        <v/>
      </c>
      <c r="JIF6" s="27" t="str">
        <f>IFERROR(VLOOKUP(DATE($K$1,$K$2,JIF$4),Table1[],(MATCH(Calendar!$A6,DB!1:1,0)+2),FALSE),"")</f>
        <v/>
      </c>
      <c r="JIG6" s="27" t="str">
        <f>IFERROR(VLOOKUP(DATE($K$1,$K$2,JIG$4),Table1[],(MATCH(Calendar!$A6,DB!1:1,0)+2),FALSE),"")</f>
        <v/>
      </c>
      <c r="JIH6" s="27" t="str">
        <f>IFERROR(VLOOKUP(DATE($K$1,$K$2,JIH$4),Table1[],(MATCH(Calendar!$A6,DB!1:1,0)+2),FALSE),"")</f>
        <v/>
      </c>
      <c r="JII6" s="27" t="str">
        <f>IFERROR(VLOOKUP(DATE($K$1,$K$2,JII$4),Table1[],(MATCH(Calendar!$A6,DB!1:1,0)+2),FALSE),"")</f>
        <v/>
      </c>
      <c r="JIJ6" s="27" t="str">
        <f>IFERROR(VLOOKUP(DATE($K$1,$K$2,JIJ$4),Table1[],(MATCH(Calendar!$A6,DB!1:1,0)+2),FALSE),"")</f>
        <v/>
      </c>
      <c r="JIK6" s="27" t="str">
        <f>IFERROR(VLOOKUP(DATE($K$1,$K$2,JIK$4),Table1[],(MATCH(Calendar!$A6,DB!1:1,0)+2),FALSE),"")</f>
        <v/>
      </c>
      <c r="JIL6" s="27" t="str">
        <f>IFERROR(VLOOKUP(DATE($K$1,$K$2,JIL$4),Table1[],(MATCH(Calendar!$A6,DB!1:1,0)+2),FALSE),"")</f>
        <v/>
      </c>
      <c r="JIM6" s="27" t="str">
        <f>IFERROR(VLOOKUP(DATE($K$1,$K$2,JIM$4),Table1[],(MATCH(Calendar!$A6,DB!1:1,0)+2),FALSE),"")</f>
        <v/>
      </c>
      <c r="JIN6" s="27" t="str">
        <f>IFERROR(VLOOKUP(DATE($K$1,$K$2,JIN$4),Table1[],(MATCH(Calendar!$A6,DB!1:1,0)+2),FALSE),"")</f>
        <v/>
      </c>
      <c r="JIO6" s="27" t="str">
        <f>IFERROR(VLOOKUP(DATE($K$1,$K$2,JIO$4),Table1[],(MATCH(Calendar!$A6,DB!1:1,0)+2),FALSE),"")</f>
        <v/>
      </c>
      <c r="JIP6" s="27" t="str">
        <f>IFERROR(VLOOKUP(DATE($K$1,$K$2,JIP$4),Table1[],(MATCH(Calendar!$A6,DB!1:1,0)+2),FALSE),"")</f>
        <v/>
      </c>
      <c r="JIQ6" s="27" t="str">
        <f>IFERROR(VLOOKUP(DATE($K$1,$K$2,JIQ$4),Table1[],(MATCH(Calendar!$A6,DB!1:1,0)+2),FALSE),"")</f>
        <v/>
      </c>
      <c r="JIR6" s="27" t="str">
        <f>IFERROR(VLOOKUP(DATE($K$1,$K$2,JIR$4),Table1[],(MATCH(Calendar!$A6,DB!1:1,0)+2),FALSE),"")</f>
        <v/>
      </c>
      <c r="JIS6" s="27" t="str">
        <f>IFERROR(VLOOKUP(DATE($K$1,$K$2,JIS$4),Table1[],(MATCH(Calendar!$A6,DB!1:1,0)+2),FALSE),"")</f>
        <v/>
      </c>
      <c r="JIT6" s="27" t="str">
        <f>IFERROR(VLOOKUP(DATE($K$1,$K$2,JIT$4),Table1[],(MATCH(Calendar!$A6,DB!1:1,0)+2),FALSE),"")</f>
        <v/>
      </c>
      <c r="JIU6" s="27" t="str">
        <f>IFERROR(VLOOKUP(DATE($K$1,$K$2,JIU$4),Table1[],(MATCH(Calendar!$A6,DB!1:1,0)+2),FALSE),"")</f>
        <v/>
      </c>
      <c r="JIV6" s="27" t="str">
        <f>IFERROR(VLOOKUP(DATE($K$1,$K$2,JIV$4),Table1[],(MATCH(Calendar!$A6,DB!1:1,0)+2),FALSE),"")</f>
        <v/>
      </c>
      <c r="JIW6" s="27" t="str">
        <f>IFERROR(VLOOKUP(DATE($K$1,$K$2,JIW$4),Table1[],(MATCH(Calendar!$A6,DB!1:1,0)+2),FALSE),"")</f>
        <v/>
      </c>
      <c r="JIX6" s="27" t="str">
        <f>IFERROR(VLOOKUP(DATE($K$1,$K$2,JIX$4),Table1[],(MATCH(Calendar!$A6,DB!1:1,0)+2),FALSE),"")</f>
        <v/>
      </c>
      <c r="JIY6" s="27" t="str">
        <f>IFERROR(VLOOKUP(DATE($K$1,$K$2,JIY$4),Table1[],(MATCH(Calendar!$A6,DB!1:1,0)+2),FALSE),"")</f>
        <v/>
      </c>
      <c r="JIZ6" s="27" t="str">
        <f>IFERROR(VLOOKUP(DATE($K$1,$K$2,JIZ$4),Table1[],(MATCH(Calendar!$A6,DB!1:1,0)+2),FALSE),"")</f>
        <v/>
      </c>
      <c r="JJA6" s="27" t="str">
        <f>IFERROR(VLOOKUP(DATE($K$1,$K$2,JJA$4),Table1[],(MATCH(Calendar!$A6,DB!1:1,0)+2),FALSE),"")</f>
        <v/>
      </c>
      <c r="JJB6" s="27" t="str">
        <f>IFERROR(VLOOKUP(DATE($K$1,$K$2,JJB$4),Table1[],(MATCH(Calendar!$A6,DB!1:1,0)+2),FALSE),"")</f>
        <v/>
      </c>
      <c r="JJC6" s="27" t="str">
        <f>IFERROR(VLOOKUP(DATE($K$1,$K$2,JJC$4),Table1[],(MATCH(Calendar!$A6,DB!1:1,0)+2),FALSE),"")</f>
        <v/>
      </c>
      <c r="JJD6" s="27" t="str">
        <f>IFERROR(VLOOKUP(DATE($K$1,$K$2,JJD$4),Table1[],(MATCH(Calendar!$A6,DB!1:1,0)+2),FALSE),"")</f>
        <v/>
      </c>
      <c r="JJE6" s="27" t="str">
        <f>IFERROR(VLOOKUP(DATE($K$1,$K$2,JJE$4),Table1[],(MATCH(Calendar!$A6,DB!1:1,0)+2),FALSE),"")</f>
        <v/>
      </c>
      <c r="JJF6" s="27" t="str">
        <f>IFERROR(VLOOKUP(DATE($K$1,$K$2,JJF$4),Table1[],(MATCH(Calendar!$A6,DB!1:1,0)+2),FALSE),"")</f>
        <v/>
      </c>
      <c r="JJG6" s="27" t="str">
        <f>IFERROR(VLOOKUP(DATE($K$1,$K$2,JJG$4),Table1[],(MATCH(Calendar!$A6,DB!1:1,0)+2),FALSE),"")</f>
        <v/>
      </c>
      <c r="JJH6" s="27" t="str">
        <f>IFERROR(VLOOKUP(DATE($K$1,$K$2,JJH$4),Table1[],(MATCH(Calendar!$A6,DB!1:1,0)+2),FALSE),"")</f>
        <v/>
      </c>
      <c r="JJI6" s="27" t="str">
        <f>IFERROR(VLOOKUP(DATE($K$1,$K$2,JJI$4),Table1[],(MATCH(Calendar!$A6,DB!1:1,0)+2),FALSE),"")</f>
        <v/>
      </c>
      <c r="JJJ6" s="27" t="str">
        <f>IFERROR(VLOOKUP(DATE($K$1,$K$2,JJJ$4),Table1[],(MATCH(Calendar!$A6,DB!1:1,0)+2),FALSE),"")</f>
        <v/>
      </c>
      <c r="JJK6" s="27" t="str">
        <f>IFERROR(VLOOKUP(DATE($K$1,$K$2,JJK$4),Table1[],(MATCH(Calendar!$A6,DB!1:1,0)+2),FALSE),"")</f>
        <v/>
      </c>
      <c r="JJL6" s="27" t="str">
        <f>IFERROR(VLOOKUP(DATE($K$1,$K$2,JJL$4),Table1[],(MATCH(Calendar!$A6,DB!1:1,0)+2),FALSE),"")</f>
        <v/>
      </c>
      <c r="JJM6" s="27" t="str">
        <f>IFERROR(VLOOKUP(DATE($K$1,$K$2,JJM$4),Table1[],(MATCH(Calendar!$A6,DB!1:1,0)+2),FALSE),"")</f>
        <v/>
      </c>
      <c r="JJN6" s="27" t="str">
        <f>IFERROR(VLOOKUP(DATE($K$1,$K$2,JJN$4),Table1[],(MATCH(Calendar!$A6,DB!1:1,0)+2),FALSE),"")</f>
        <v/>
      </c>
      <c r="JJO6" s="27" t="str">
        <f>IFERROR(VLOOKUP(DATE($K$1,$K$2,JJO$4),Table1[],(MATCH(Calendar!$A6,DB!1:1,0)+2),FALSE),"")</f>
        <v/>
      </c>
      <c r="JJP6" s="27" t="str">
        <f>IFERROR(VLOOKUP(DATE($K$1,$K$2,JJP$4),Table1[],(MATCH(Calendar!$A6,DB!1:1,0)+2),FALSE),"")</f>
        <v/>
      </c>
      <c r="JJQ6" s="27" t="str">
        <f>IFERROR(VLOOKUP(DATE($K$1,$K$2,JJQ$4),Table1[],(MATCH(Calendar!$A6,DB!1:1,0)+2),FALSE),"")</f>
        <v/>
      </c>
      <c r="JJR6" s="27" t="str">
        <f>IFERROR(VLOOKUP(DATE($K$1,$K$2,JJR$4),Table1[],(MATCH(Calendar!$A6,DB!1:1,0)+2),FALSE),"")</f>
        <v/>
      </c>
      <c r="JJS6" s="27" t="str">
        <f>IFERROR(VLOOKUP(DATE($K$1,$K$2,JJS$4),Table1[],(MATCH(Calendar!$A6,DB!1:1,0)+2),FALSE),"")</f>
        <v/>
      </c>
      <c r="JJT6" s="27" t="str">
        <f>IFERROR(VLOOKUP(DATE($K$1,$K$2,JJT$4),Table1[],(MATCH(Calendar!$A6,DB!1:1,0)+2),FALSE),"")</f>
        <v/>
      </c>
      <c r="JJU6" s="27" t="str">
        <f>IFERROR(VLOOKUP(DATE($K$1,$K$2,JJU$4),Table1[],(MATCH(Calendar!$A6,DB!1:1,0)+2),FALSE),"")</f>
        <v/>
      </c>
      <c r="JJV6" s="27" t="str">
        <f>IFERROR(VLOOKUP(DATE($K$1,$K$2,JJV$4),Table1[],(MATCH(Calendar!$A6,DB!1:1,0)+2),FALSE),"")</f>
        <v/>
      </c>
      <c r="JJW6" s="27" t="str">
        <f>IFERROR(VLOOKUP(DATE($K$1,$K$2,JJW$4),Table1[],(MATCH(Calendar!$A6,DB!1:1,0)+2),FALSE),"")</f>
        <v/>
      </c>
      <c r="JJX6" s="27" t="str">
        <f>IFERROR(VLOOKUP(DATE($K$1,$K$2,JJX$4),Table1[],(MATCH(Calendar!$A6,DB!1:1,0)+2),FALSE),"")</f>
        <v/>
      </c>
      <c r="JJY6" s="27" t="str">
        <f>IFERROR(VLOOKUP(DATE($K$1,$K$2,JJY$4),Table1[],(MATCH(Calendar!$A6,DB!1:1,0)+2),FALSE),"")</f>
        <v/>
      </c>
      <c r="JJZ6" s="27" t="str">
        <f>IFERROR(VLOOKUP(DATE($K$1,$K$2,JJZ$4),Table1[],(MATCH(Calendar!$A6,DB!1:1,0)+2),FALSE),"")</f>
        <v/>
      </c>
      <c r="JKA6" s="27" t="str">
        <f>IFERROR(VLOOKUP(DATE($K$1,$K$2,JKA$4),Table1[],(MATCH(Calendar!$A6,DB!1:1,0)+2),FALSE),"")</f>
        <v/>
      </c>
      <c r="JKB6" s="27" t="str">
        <f>IFERROR(VLOOKUP(DATE($K$1,$K$2,JKB$4),Table1[],(MATCH(Calendar!$A6,DB!1:1,0)+2),FALSE),"")</f>
        <v/>
      </c>
      <c r="JKC6" s="27" t="str">
        <f>IFERROR(VLOOKUP(DATE($K$1,$K$2,JKC$4),Table1[],(MATCH(Calendar!$A6,DB!1:1,0)+2),FALSE),"")</f>
        <v/>
      </c>
      <c r="JKD6" s="27" t="str">
        <f>IFERROR(VLOOKUP(DATE($K$1,$K$2,JKD$4),Table1[],(MATCH(Calendar!$A6,DB!1:1,0)+2),FALSE),"")</f>
        <v/>
      </c>
      <c r="JKE6" s="27" t="str">
        <f>IFERROR(VLOOKUP(DATE($K$1,$K$2,JKE$4),Table1[],(MATCH(Calendar!$A6,DB!1:1,0)+2),FALSE),"")</f>
        <v/>
      </c>
      <c r="JKF6" s="27" t="str">
        <f>IFERROR(VLOOKUP(DATE($K$1,$K$2,JKF$4),Table1[],(MATCH(Calendar!$A6,DB!1:1,0)+2),FALSE),"")</f>
        <v/>
      </c>
      <c r="JKG6" s="27" t="str">
        <f>IFERROR(VLOOKUP(DATE($K$1,$K$2,JKG$4),Table1[],(MATCH(Calendar!$A6,DB!1:1,0)+2),FALSE),"")</f>
        <v/>
      </c>
      <c r="JKH6" s="27" t="str">
        <f>IFERROR(VLOOKUP(DATE($K$1,$K$2,JKH$4),Table1[],(MATCH(Calendar!$A6,DB!1:1,0)+2),FALSE),"")</f>
        <v/>
      </c>
      <c r="JKI6" s="27" t="str">
        <f>IFERROR(VLOOKUP(DATE($K$1,$K$2,JKI$4),Table1[],(MATCH(Calendar!$A6,DB!1:1,0)+2),FALSE),"")</f>
        <v/>
      </c>
      <c r="JKJ6" s="27" t="str">
        <f>IFERROR(VLOOKUP(DATE($K$1,$K$2,JKJ$4),Table1[],(MATCH(Calendar!$A6,DB!1:1,0)+2),FALSE),"")</f>
        <v/>
      </c>
      <c r="JKK6" s="27" t="str">
        <f>IFERROR(VLOOKUP(DATE($K$1,$K$2,JKK$4),Table1[],(MATCH(Calendar!$A6,DB!1:1,0)+2),FALSE),"")</f>
        <v/>
      </c>
      <c r="JKL6" s="27" t="str">
        <f>IFERROR(VLOOKUP(DATE($K$1,$K$2,JKL$4),Table1[],(MATCH(Calendar!$A6,DB!1:1,0)+2),FALSE),"")</f>
        <v/>
      </c>
      <c r="JKM6" s="27" t="str">
        <f>IFERROR(VLOOKUP(DATE($K$1,$K$2,JKM$4),Table1[],(MATCH(Calendar!$A6,DB!1:1,0)+2),FALSE),"")</f>
        <v/>
      </c>
      <c r="JKN6" s="27" t="str">
        <f>IFERROR(VLOOKUP(DATE($K$1,$K$2,JKN$4),Table1[],(MATCH(Calendar!$A6,DB!1:1,0)+2),FALSE),"")</f>
        <v/>
      </c>
      <c r="JKO6" s="27" t="str">
        <f>IFERROR(VLOOKUP(DATE($K$1,$K$2,JKO$4),Table1[],(MATCH(Calendar!$A6,DB!1:1,0)+2),FALSE),"")</f>
        <v/>
      </c>
      <c r="JKP6" s="27" t="str">
        <f>IFERROR(VLOOKUP(DATE($K$1,$K$2,JKP$4),Table1[],(MATCH(Calendar!$A6,DB!1:1,0)+2),FALSE),"")</f>
        <v/>
      </c>
      <c r="JKQ6" s="27" t="str">
        <f>IFERROR(VLOOKUP(DATE($K$1,$K$2,JKQ$4),Table1[],(MATCH(Calendar!$A6,DB!1:1,0)+2),FALSE),"")</f>
        <v/>
      </c>
      <c r="JKR6" s="27" t="str">
        <f>IFERROR(VLOOKUP(DATE($K$1,$K$2,JKR$4),Table1[],(MATCH(Calendar!$A6,DB!1:1,0)+2),FALSE),"")</f>
        <v/>
      </c>
      <c r="JKS6" s="27" t="str">
        <f>IFERROR(VLOOKUP(DATE($K$1,$K$2,JKS$4),Table1[],(MATCH(Calendar!$A6,DB!1:1,0)+2),FALSE),"")</f>
        <v/>
      </c>
      <c r="JKT6" s="27" t="str">
        <f>IFERROR(VLOOKUP(DATE($K$1,$K$2,JKT$4),Table1[],(MATCH(Calendar!$A6,DB!1:1,0)+2),FALSE),"")</f>
        <v/>
      </c>
      <c r="JKU6" s="27" t="str">
        <f>IFERROR(VLOOKUP(DATE($K$1,$K$2,JKU$4),Table1[],(MATCH(Calendar!$A6,DB!1:1,0)+2),FALSE),"")</f>
        <v/>
      </c>
      <c r="JKV6" s="27" t="str">
        <f>IFERROR(VLOOKUP(DATE($K$1,$K$2,JKV$4),Table1[],(MATCH(Calendar!$A6,DB!1:1,0)+2),FALSE),"")</f>
        <v/>
      </c>
      <c r="JKW6" s="27" t="str">
        <f>IFERROR(VLOOKUP(DATE($K$1,$K$2,JKW$4),Table1[],(MATCH(Calendar!$A6,DB!1:1,0)+2),FALSE),"")</f>
        <v/>
      </c>
      <c r="JKX6" s="27" t="str">
        <f>IFERROR(VLOOKUP(DATE($K$1,$K$2,JKX$4),Table1[],(MATCH(Calendar!$A6,DB!1:1,0)+2),FALSE),"")</f>
        <v/>
      </c>
      <c r="JKY6" s="27" t="str">
        <f>IFERROR(VLOOKUP(DATE($K$1,$K$2,JKY$4),Table1[],(MATCH(Calendar!$A6,DB!1:1,0)+2),FALSE),"")</f>
        <v/>
      </c>
      <c r="JKZ6" s="27" t="str">
        <f>IFERROR(VLOOKUP(DATE($K$1,$K$2,JKZ$4),Table1[],(MATCH(Calendar!$A6,DB!1:1,0)+2),FALSE),"")</f>
        <v/>
      </c>
      <c r="JLA6" s="27" t="str">
        <f>IFERROR(VLOOKUP(DATE($K$1,$K$2,JLA$4),Table1[],(MATCH(Calendar!$A6,DB!1:1,0)+2),FALSE),"")</f>
        <v/>
      </c>
      <c r="JLB6" s="27" t="str">
        <f>IFERROR(VLOOKUP(DATE($K$1,$K$2,JLB$4),Table1[],(MATCH(Calendar!$A6,DB!1:1,0)+2),FALSE),"")</f>
        <v/>
      </c>
      <c r="JLC6" s="27" t="str">
        <f>IFERROR(VLOOKUP(DATE($K$1,$K$2,JLC$4),Table1[],(MATCH(Calendar!$A6,DB!1:1,0)+2),FALSE),"")</f>
        <v/>
      </c>
      <c r="JLD6" s="27" t="str">
        <f>IFERROR(VLOOKUP(DATE($K$1,$K$2,JLD$4),Table1[],(MATCH(Calendar!$A6,DB!1:1,0)+2),FALSE),"")</f>
        <v/>
      </c>
      <c r="JLE6" s="27" t="str">
        <f>IFERROR(VLOOKUP(DATE($K$1,$K$2,JLE$4),Table1[],(MATCH(Calendar!$A6,DB!1:1,0)+2),FALSE),"")</f>
        <v/>
      </c>
      <c r="JLF6" s="27" t="str">
        <f>IFERROR(VLOOKUP(DATE($K$1,$K$2,JLF$4),Table1[],(MATCH(Calendar!$A6,DB!1:1,0)+2),FALSE),"")</f>
        <v/>
      </c>
      <c r="JLG6" s="27" t="str">
        <f>IFERROR(VLOOKUP(DATE($K$1,$K$2,JLG$4),Table1[],(MATCH(Calendar!$A6,DB!1:1,0)+2),FALSE),"")</f>
        <v/>
      </c>
      <c r="JLH6" s="27" t="str">
        <f>IFERROR(VLOOKUP(DATE($K$1,$K$2,JLH$4),Table1[],(MATCH(Calendar!$A6,DB!1:1,0)+2),FALSE),"")</f>
        <v/>
      </c>
      <c r="JLI6" s="27" t="str">
        <f>IFERROR(VLOOKUP(DATE($K$1,$K$2,JLI$4),Table1[],(MATCH(Calendar!$A6,DB!1:1,0)+2),FALSE),"")</f>
        <v/>
      </c>
      <c r="JLJ6" s="27" t="str">
        <f>IFERROR(VLOOKUP(DATE($K$1,$K$2,JLJ$4),Table1[],(MATCH(Calendar!$A6,DB!1:1,0)+2),FALSE),"")</f>
        <v/>
      </c>
      <c r="JLK6" s="27" t="str">
        <f>IFERROR(VLOOKUP(DATE($K$1,$K$2,JLK$4),Table1[],(MATCH(Calendar!$A6,DB!1:1,0)+2),FALSE),"")</f>
        <v/>
      </c>
      <c r="JLL6" s="27" t="str">
        <f>IFERROR(VLOOKUP(DATE($K$1,$K$2,JLL$4),Table1[],(MATCH(Calendar!$A6,DB!1:1,0)+2),FALSE),"")</f>
        <v/>
      </c>
      <c r="JLM6" s="27" t="str">
        <f>IFERROR(VLOOKUP(DATE($K$1,$K$2,JLM$4),Table1[],(MATCH(Calendar!$A6,DB!1:1,0)+2),FALSE),"")</f>
        <v/>
      </c>
      <c r="JLN6" s="27" t="str">
        <f>IFERROR(VLOOKUP(DATE($K$1,$K$2,JLN$4),Table1[],(MATCH(Calendar!$A6,DB!1:1,0)+2),FALSE),"")</f>
        <v/>
      </c>
      <c r="JLO6" s="27" t="str">
        <f>IFERROR(VLOOKUP(DATE($K$1,$K$2,JLO$4),Table1[],(MATCH(Calendar!$A6,DB!1:1,0)+2),FALSE),"")</f>
        <v/>
      </c>
      <c r="JLP6" s="27" t="str">
        <f>IFERROR(VLOOKUP(DATE($K$1,$K$2,JLP$4),Table1[],(MATCH(Calendar!$A6,DB!1:1,0)+2),FALSE),"")</f>
        <v/>
      </c>
      <c r="JLQ6" s="27" t="str">
        <f>IFERROR(VLOOKUP(DATE($K$1,$K$2,JLQ$4),Table1[],(MATCH(Calendar!$A6,DB!1:1,0)+2),FALSE),"")</f>
        <v/>
      </c>
      <c r="JLR6" s="27" t="str">
        <f>IFERROR(VLOOKUP(DATE($K$1,$K$2,JLR$4),Table1[],(MATCH(Calendar!$A6,DB!1:1,0)+2),FALSE),"")</f>
        <v/>
      </c>
      <c r="JLS6" s="27" t="str">
        <f>IFERROR(VLOOKUP(DATE($K$1,$K$2,JLS$4),Table1[],(MATCH(Calendar!$A6,DB!1:1,0)+2),FALSE),"")</f>
        <v/>
      </c>
      <c r="JLT6" s="27" t="str">
        <f>IFERROR(VLOOKUP(DATE($K$1,$K$2,JLT$4),Table1[],(MATCH(Calendar!$A6,DB!1:1,0)+2),FALSE),"")</f>
        <v/>
      </c>
      <c r="JLU6" s="27" t="str">
        <f>IFERROR(VLOOKUP(DATE($K$1,$K$2,JLU$4),Table1[],(MATCH(Calendar!$A6,DB!1:1,0)+2),FALSE),"")</f>
        <v/>
      </c>
      <c r="JLV6" s="27" t="str">
        <f>IFERROR(VLOOKUP(DATE($K$1,$K$2,JLV$4),Table1[],(MATCH(Calendar!$A6,DB!1:1,0)+2),FALSE),"")</f>
        <v/>
      </c>
      <c r="JLW6" s="27" t="str">
        <f>IFERROR(VLOOKUP(DATE($K$1,$K$2,JLW$4),Table1[],(MATCH(Calendar!$A6,DB!1:1,0)+2),FALSE),"")</f>
        <v/>
      </c>
      <c r="JLX6" s="27" t="str">
        <f>IFERROR(VLOOKUP(DATE($K$1,$K$2,JLX$4),Table1[],(MATCH(Calendar!$A6,DB!1:1,0)+2),FALSE),"")</f>
        <v/>
      </c>
      <c r="JLY6" s="27" t="str">
        <f>IFERROR(VLOOKUP(DATE($K$1,$K$2,JLY$4),Table1[],(MATCH(Calendar!$A6,DB!1:1,0)+2),FALSE),"")</f>
        <v/>
      </c>
      <c r="JLZ6" s="27" t="str">
        <f>IFERROR(VLOOKUP(DATE($K$1,$K$2,JLZ$4),Table1[],(MATCH(Calendar!$A6,DB!1:1,0)+2),FALSE),"")</f>
        <v/>
      </c>
      <c r="JMA6" s="27" t="str">
        <f>IFERROR(VLOOKUP(DATE($K$1,$K$2,JMA$4),Table1[],(MATCH(Calendar!$A6,DB!1:1,0)+2),FALSE),"")</f>
        <v/>
      </c>
      <c r="JMB6" s="27" t="str">
        <f>IFERROR(VLOOKUP(DATE($K$1,$K$2,JMB$4),Table1[],(MATCH(Calendar!$A6,DB!1:1,0)+2),FALSE),"")</f>
        <v/>
      </c>
      <c r="JMC6" s="27" t="str">
        <f>IFERROR(VLOOKUP(DATE($K$1,$K$2,JMC$4),Table1[],(MATCH(Calendar!$A6,DB!1:1,0)+2),FALSE),"")</f>
        <v/>
      </c>
      <c r="JMD6" s="27" t="str">
        <f>IFERROR(VLOOKUP(DATE($K$1,$K$2,JMD$4),Table1[],(MATCH(Calendar!$A6,DB!1:1,0)+2),FALSE),"")</f>
        <v/>
      </c>
      <c r="JME6" s="27" t="str">
        <f>IFERROR(VLOOKUP(DATE($K$1,$K$2,JME$4),Table1[],(MATCH(Calendar!$A6,DB!1:1,0)+2),FALSE),"")</f>
        <v/>
      </c>
      <c r="JMF6" s="27" t="str">
        <f>IFERROR(VLOOKUP(DATE($K$1,$K$2,JMF$4),Table1[],(MATCH(Calendar!$A6,DB!1:1,0)+2),FALSE),"")</f>
        <v/>
      </c>
      <c r="JMG6" s="27" t="str">
        <f>IFERROR(VLOOKUP(DATE($K$1,$K$2,JMG$4),Table1[],(MATCH(Calendar!$A6,DB!1:1,0)+2),FALSE),"")</f>
        <v/>
      </c>
      <c r="JMH6" s="27" t="str">
        <f>IFERROR(VLOOKUP(DATE($K$1,$K$2,JMH$4),Table1[],(MATCH(Calendar!$A6,DB!1:1,0)+2),FALSE),"")</f>
        <v/>
      </c>
      <c r="JMI6" s="27" t="str">
        <f>IFERROR(VLOOKUP(DATE($K$1,$K$2,JMI$4),Table1[],(MATCH(Calendar!$A6,DB!1:1,0)+2),FALSE),"")</f>
        <v/>
      </c>
      <c r="JMJ6" s="27" t="str">
        <f>IFERROR(VLOOKUP(DATE($K$1,$K$2,JMJ$4),Table1[],(MATCH(Calendar!$A6,DB!1:1,0)+2),FALSE),"")</f>
        <v/>
      </c>
      <c r="JMK6" s="27" t="str">
        <f>IFERROR(VLOOKUP(DATE($K$1,$K$2,JMK$4),Table1[],(MATCH(Calendar!$A6,DB!1:1,0)+2),FALSE),"")</f>
        <v/>
      </c>
      <c r="JML6" s="27" t="str">
        <f>IFERROR(VLOOKUP(DATE($K$1,$K$2,JML$4),Table1[],(MATCH(Calendar!$A6,DB!1:1,0)+2),FALSE),"")</f>
        <v/>
      </c>
      <c r="JMM6" s="27" t="str">
        <f>IFERROR(VLOOKUP(DATE($K$1,$K$2,JMM$4),Table1[],(MATCH(Calendar!$A6,DB!1:1,0)+2),FALSE),"")</f>
        <v/>
      </c>
      <c r="JMN6" s="27" t="str">
        <f>IFERROR(VLOOKUP(DATE($K$1,$K$2,JMN$4),Table1[],(MATCH(Calendar!$A6,DB!1:1,0)+2),FALSE),"")</f>
        <v/>
      </c>
      <c r="JMO6" s="27" t="str">
        <f>IFERROR(VLOOKUP(DATE($K$1,$K$2,JMO$4),Table1[],(MATCH(Calendar!$A6,DB!1:1,0)+2),FALSE),"")</f>
        <v/>
      </c>
      <c r="JMP6" s="27" t="str">
        <f>IFERROR(VLOOKUP(DATE($K$1,$K$2,JMP$4),Table1[],(MATCH(Calendar!$A6,DB!1:1,0)+2),FALSE),"")</f>
        <v/>
      </c>
      <c r="JMQ6" s="27" t="str">
        <f>IFERROR(VLOOKUP(DATE($K$1,$K$2,JMQ$4),Table1[],(MATCH(Calendar!$A6,DB!1:1,0)+2),FALSE),"")</f>
        <v/>
      </c>
      <c r="JMR6" s="27" t="str">
        <f>IFERROR(VLOOKUP(DATE($K$1,$K$2,JMR$4),Table1[],(MATCH(Calendar!$A6,DB!1:1,0)+2),FALSE),"")</f>
        <v/>
      </c>
      <c r="JMS6" s="27" t="str">
        <f>IFERROR(VLOOKUP(DATE($K$1,$K$2,JMS$4),Table1[],(MATCH(Calendar!$A6,DB!1:1,0)+2),FALSE),"")</f>
        <v/>
      </c>
      <c r="JMT6" s="27" t="str">
        <f>IFERROR(VLOOKUP(DATE($K$1,$K$2,JMT$4),Table1[],(MATCH(Calendar!$A6,DB!1:1,0)+2),FALSE),"")</f>
        <v/>
      </c>
      <c r="JMU6" s="27" t="str">
        <f>IFERROR(VLOOKUP(DATE($K$1,$K$2,JMU$4),Table1[],(MATCH(Calendar!$A6,DB!1:1,0)+2),FALSE),"")</f>
        <v/>
      </c>
      <c r="JMV6" s="27" t="str">
        <f>IFERROR(VLOOKUP(DATE($K$1,$K$2,JMV$4),Table1[],(MATCH(Calendar!$A6,DB!1:1,0)+2),FALSE),"")</f>
        <v/>
      </c>
      <c r="JMW6" s="27" t="str">
        <f>IFERROR(VLOOKUP(DATE($K$1,$K$2,JMW$4),Table1[],(MATCH(Calendar!$A6,DB!1:1,0)+2),FALSE),"")</f>
        <v/>
      </c>
      <c r="JMX6" s="27" t="str">
        <f>IFERROR(VLOOKUP(DATE($K$1,$K$2,JMX$4),Table1[],(MATCH(Calendar!$A6,DB!1:1,0)+2),FALSE),"")</f>
        <v/>
      </c>
      <c r="JMY6" s="27" t="str">
        <f>IFERROR(VLOOKUP(DATE($K$1,$K$2,JMY$4),Table1[],(MATCH(Calendar!$A6,DB!1:1,0)+2),FALSE),"")</f>
        <v/>
      </c>
      <c r="JMZ6" s="27" t="str">
        <f>IFERROR(VLOOKUP(DATE($K$1,$K$2,JMZ$4),Table1[],(MATCH(Calendar!$A6,DB!1:1,0)+2),FALSE),"")</f>
        <v/>
      </c>
      <c r="JNA6" s="27" t="str">
        <f>IFERROR(VLOOKUP(DATE($K$1,$K$2,JNA$4),Table1[],(MATCH(Calendar!$A6,DB!1:1,0)+2),FALSE),"")</f>
        <v/>
      </c>
      <c r="JNB6" s="27" t="str">
        <f>IFERROR(VLOOKUP(DATE($K$1,$K$2,JNB$4),Table1[],(MATCH(Calendar!$A6,DB!1:1,0)+2),FALSE),"")</f>
        <v/>
      </c>
      <c r="JNC6" s="27" t="str">
        <f>IFERROR(VLOOKUP(DATE($K$1,$K$2,JNC$4),Table1[],(MATCH(Calendar!$A6,DB!1:1,0)+2),FALSE),"")</f>
        <v/>
      </c>
      <c r="JND6" s="27" t="str">
        <f>IFERROR(VLOOKUP(DATE($K$1,$K$2,JND$4),Table1[],(MATCH(Calendar!$A6,DB!1:1,0)+2),FALSE),"")</f>
        <v/>
      </c>
      <c r="JNE6" s="27" t="str">
        <f>IFERROR(VLOOKUP(DATE($K$1,$K$2,JNE$4),Table1[],(MATCH(Calendar!$A6,DB!1:1,0)+2),FALSE),"")</f>
        <v/>
      </c>
      <c r="JNF6" s="27" t="str">
        <f>IFERROR(VLOOKUP(DATE($K$1,$K$2,JNF$4),Table1[],(MATCH(Calendar!$A6,DB!1:1,0)+2),FALSE),"")</f>
        <v/>
      </c>
      <c r="JNG6" s="27" t="str">
        <f>IFERROR(VLOOKUP(DATE($K$1,$K$2,JNG$4),Table1[],(MATCH(Calendar!$A6,DB!1:1,0)+2),FALSE),"")</f>
        <v/>
      </c>
      <c r="JNH6" s="27" t="str">
        <f>IFERROR(VLOOKUP(DATE($K$1,$K$2,JNH$4),Table1[],(MATCH(Calendar!$A6,DB!1:1,0)+2),FALSE),"")</f>
        <v/>
      </c>
      <c r="JNI6" s="27" t="str">
        <f>IFERROR(VLOOKUP(DATE($K$1,$K$2,JNI$4),Table1[],(MATCH(Calendar!$A6,DB!1:1,0)+2),FALSE),"")</f>
        <v/>
      </c>
      <c r="JNJ6" s="27" t="str">
        <f>IFERROR(VLOOKUP(DATE($K$1,$K$2,JNJ$4),Table1[],(MATCH(Calendar!$A6,DB!1:1,0)+2),FALSE),"")</f>
        <v/>
      </c>
      <c r="JNK6" s="27" t="str">
        <f>IFERROR(VLOOKUP(DATE($K$1,$K$2,JNK$4),Table1[],(MATCH(Calendar!$A6,DB!1:1,0)+2),FALSE),"")</f>
        <v/>
      </c>
      <c r="JNL6" s="27" t="str">
        <f>IFERROR(VLOOKUP(DATE($K$1,$K$2,JNL$4),Table1[],(MATCH(Calendar!$A6,DB!1:1,0)+2),FALSE),"")</f>
        <v/>
      </c>
      <c r="JNM6" s="27" t="str">
        <f>IFERROR(VLOOKUP(DATE($K$1,$K$2,JNM$4),Table1[],(MATCH(Calendar!$A6,DB!1:1,0)+2),FALSE),"")</f>
        <v/>
      </c>
      <c r="JNN6" s="27" t="str">
        <f>IFERROR(VLOOKUP(DATE($K$1,$K$2,JNN$4),Table1[],(MATCH(Calendar!$A6,DB!1:1,0)+2),FALSE),"")</f>
        <v/>
      </c>
      <c r="JNO6" s="27" t="str">
        <f>IFERROR(VLOOKUP(DATE($K$1,$K$2,JNO$4),Table1[],(MATCH(Calendar!$A6,DB!1:1,0)+2),FALSE),"")</f>
        <v/>
      </c>
      <c r="JNP6" s="27" t="str">
        <f>IFERROR(VLOOKUP(DATE($K$1,$K$2,JNP$4),Table1[],(MATCH(Calendar!$A6,DB!1:1,0)+2),FALSE),"")</f>
        <v/>
      </c>
      <c r="JNQ6" s="27" t="str">
        <f>IFERROR(VLOOKUP(DATE($K$1,$K$2,JNQ$4),Table1[],(MATCH(Calendar!$A6,DB!1:1,0)+2),FALSE),"")</f>
        <v/>
      </c>
      <c r="JNR6" s="27" t="str">
        <f>IFERROR(VLOOKUP(DATE($K$1,$K$2,JNR$4),Table1[],(MATCH(Calendar!$A6,DB!1:1,0)+2),FALSE),"")</f>
        <v/>
      </c>
      <c r="JNS6" s="27" t="str">
        <f>IFERROR(VLOOKUP(DATE($K$1,$K$2,JNS$4),Table1[],(MATCH(Calendar!$A6,DB!1:1,0)+2),FALSE),"")</f>
        <v/>
      </c>
      <c r="JNT6" s="27" t="str">
        <f>IFERROR(VLOOKUP(DATE($K$1,$K$2,JNT$4),Table1[],(MATCH(Calendar!$A6,DB!1:1,0)+2),FALSE),"")</f>
        <v/>
      </c>
      <c r="JNU6" s="27" t="str">
        <f>IFERROR(VLOOKUP(DATE($K$1,$K$2,JNU$4),Table1[],(MATCH(Calendar!$A6,DB!1:1,0)+2),FALSE),"")</f>
        <v/>
      </c>
      <c r="JNV6" s="27" t="str">
        <f>IFERROR(VLOOKUP(DATE($K$1,$K$2,JNV$4),Table1[],(MATCH(Calendar!$A6,DB!1:1,0)+2),FALSE),"")</f>
        <v/>
      </c>
      <c r="JNW6" s="27" t="str">
        <f>IFERROR(VLOOKUP(DATE($K$1,$K$2,JNW$4),Table1[],(MATCH(Calendar!$A6,DB!1:1,0)+2),FALSE),"")</f>
        <v/>
      </c>
      <c r="JNX6" s="27" t="str">
        <f>IFERROR(VLOOKUP(DATE($K$1,$K$2,JNX$4),Table1[],(MATCH(Calendar!$A6,DB!1:1,0)+2),FALSE),"")</f>
        <v/>
      </c>
      <c r="JNY6" s="27" t="str">
        <f>IFERROR(VLOOKUP(DATE($K$1,$K$2,JNY$4),Table1[],(MATCH(Calendar!$A6,DB!1:1,0)+2),FALSE),"")</f>
        <v/>
      </c>
      <c r="JNZ6" s="27" t="str">
        <f>IFERROR(VLOOKUP(DATE($K$1,$K$2,JNZ$4),Table1[],(MATCH(Calendar!$A6,DB!1:1,0)+2),FALSE),"")</f>
        <v/>
      </c>
      <c r="JOA6" s="27" t="str">
        <f>IFERROR(VLOOKUP(DATE($K$1,$K$2,JOA$4),Table1[],(MATCH(Calendar!$A6,DB!1:1,0)+2),FALSE),"")</f>
        <v/>
      </c>
      <c r="JOB6" s="27" t="str">
        <f>IFERROR(VLOOKUP(DATE($K$1,$K$2,JOB$4),Table1[],(MATCH(Calendar!$A6,DB!1:1,0)+2),FALSE),"")</f>
        <v/>
      </c>
      <c r="JOC6" s="27" t="str">
        <f>IFERROR(VLOOKUP(DATE($K$1,$K$2,JOC$4),Table1[],(MATCH(Calendar!$A6,DB!1:1,0)+2),FALSE),"")</f>
        <v/>
      </c>
      <c r="JOD6" s="27" t="str">
        <f>IFERROR(VLOOKUP(DATE($K$1,$K$2,JOD$4),Table1[],(MATCH(Calendar!$A6,DB!1:1,0)+2),FALSE),"")</f>
        <v/>
      </c>
      <c r="JOE6" s="27" t="str">
        <f>IFERROR(VLOOKUP(DATE($K$1,$K$2,JOE$4),Table1[],(MATCH(Calendar!$A6,DB!1:1,0)+2),FALSE),"")</f>
        <v/>
      </c>
      <c r="JOF6" s="27" t="str">
        <f>IFERROR(VLOOKUP(DATE($K$1,$K$2,JOF$4),Table1[],(MATCH(Calendar!$A6,DB!1:1,0)+2),FALSE),"")</f>
        <v/>
      </c>
      <c r="JOG6" s="27" t="str">
        <f>IFERROR(VLOOKUP(DATE($K$1,$K$2,JOG$4),Table1[],(MATCH(Calendar!$A6,DB!1:1,0)+2),FALSE),"")</f>
        <v/>
      </c>
      <c r="JOH6" s="27" t="str">
        <f>IFERROR(VLOOKUP(DATE($K$1,$K$2,JOH$4),Table1[],(MATCH(Calendar!$A6,DB!1:1,0)+2),FALSE),"")</f>
        <v/>
      </c>
      <c r="JOI6" s="27" t="str">
        <f>IFERROR(VLOOKUP(DATE($K$1,$K$2,JOI$4),Table1[],(MATCH(Calendar!$A6,DB!1:1,0)+2),FALSE),"")</f>
        <v/>
      </c>
      <c r="JOJ6" s="27" t="str">
        <f>IFERROR(VLOOKUP(DATE($K$1,$K$2,JOJ$4),Table1[],(MATCH(Calendar!$A6,DB!1:1,0)+2),FALSE),"")</f>
        <v/>
      </c>
      <c r="JOK6" s="27" t="str">
        <f>IFERROR(VLOOKUP(DATE($K$1,$K$2,JOK$4),Table1[],(MATCH(Calendar!$A6,DB!1:1,0)+2),FALSE),"")</f>
        <v/>
      </c>
      <c r="JOL6" s="27" t="str">
        <f>IFERROR(VLOOKUP(DATE($K$1,$K$2,JOL$4),Table1[],(MATCH(Calendar!$A6,DB!1:1,0)+2),FALSE),"")</f>
        <v/>
      </c>
      <c r="JOM6" s="27" t="str">
        <f>IFERROR(VLOOKUP(DATE($K$1,$K$2,JOM$4),Table1[],(MATCH(Calendar!$A6,DB!1:1,0)+2),FALSE),"")</f>
        <v/>
      </c>
      <c r="JON6" s="27" t="str">
        <f>IFERROR(VLOOKUP(DATE($K$1,$K$2,JON$4),Table1[],(MATCH(Calendar!$A6,DB!1:1,0)+2),FALSE),"")</f>
        <v/>
      </c>
      <c r="JOO6" s="27" t="str">
        <f>IFERROR(VLOOKUP(DATE($K$1,$K$2,JOO$4),Table1[],(MATCH(Calendar!$A6,DB!1:1,0)+2),FALSE),"")</f>
        <v/>
      </c>
      <c r="JOP6" s="27" t="str">
        <f>IFERROR(VLOOKUP(DATE($K$1,$K$2,JOP$4),Table1[],(MATCH(Calendar!$A6,DB!1:1,0)+2),FALSE),"")</f>
        <v/>
      </c>
      <c r="JOQ6" s="27" t="str">
        <f>IFERROR(VLOOKUP(DATE($K$1,$K$2,JOQ$4),Table1[],(MATCH(Calendar!$A6,DB!1:1,0)+2),FALSE),"")</f>
        <v/>
      </c>
      <c r="JOR6" s="27" t="str">
        <f>IFERROR(VLOOKUP(DATE($K$1,$K$2,JOR$4),Table1[],(MATCH(Calendar!$A6,DB!1:1,0)+2),FALSE),"")</f>
        <v/>
      </c>
      <c r="JOS6" s="27" t="str">
        <f>IFERROR(VLOOKUP(DATE($K$1,$K$2,JOS$4),Table1[],(MATCH(Calendar!$A6,DB!1:1,0)+2),FALSE),"")</f>
        <v/>
      </c>
      <c r="JOT6" s="27" t="str">
        <f>IFERROR(VLOOKUP(DATE($K$1,$K$2,JOT$4),Table1[],(MATCH(Calendar!$A6,DB!1:1,0)+2),FALSE),"")</f>
        <v/>
      </c>
      <c r="JOU6" s="27" t="str">
        <f>IFERROR(VLOOKUP(DATE($K$1,$K$2,JOU$4),Table1[],(MATCH(Calendar!$A6,DB!1:1,0)+2),FALSE),"")</f>
        <v/>
      </c>
      <c r="JOV6" s="27" t="str">
        <f>IFERROR(VLOOKUP(DATE($K$1,$K$2,JOV$4),Table1[],(MATCH(Calendar!$A6,DB!1:1,0)+2),FALSE),"")</f>
        <v/>
      </c>
      <c r="JOW6" s="27" t="str">
        <f>IFERROR(VLOOKUP(DATE($K$1,$K$2,JOW$4),Table1[],(MATCH(Calendar!$A6,DB!1:1,0)+2),FALSE),"")</f>
        <v/>
      </c>
      <c r="JOX6" s="27" t="str">
        <f>IFERROR(VLOOKUP(DATE($K$1,$K$2,JOX$4),Table1[],(MATCH(Calendar!$A6,DB!1:1,0)+2),FALSE),"")</f>
        <v/>
      </c>
      <c r="JOY6" s="27" t="str">
        <f>IFERROR(VLOOKUP(DATE($K$1,$K$2,JOY$4),Table1[],(MATCH(Calendar!$A6,DB!1:1,0)+2),FALSE),"")</f>
        <v/>
      </c>
      <c r="JOZ6" s="27" t="str">
        <f>IFERROR(VLOOKUP(DATE($K$1,$K$2,JOZ$4),Table1[],(MATCH(Calendar!$A6,DB!1:1,0)+2),FALSE),"")</f>
        <v/>
      </c>
      <c r="JPA6" s="27" t="str">
        <f>IFERROR(VLOOKUP(DATE($K$1,$K$2,JPA$4),Table1[],(MATCH(Calendar!$A6,DB!1:1,0)+2),FALSE),"")</f>
        <v/>
      </c>
      <c r="JPB6" s="27" t="str">
        <f>IFERROR(VLOOKUP(DATE($K$1,$K$2,JPB$4),Table1[],(MATCH(Calendar!$A6,DB!1:1,0)+2),FALSE),"")</f>
        <v/>
      </c>
      <c r="JPC6" s="27" t="str">
        <f>IFERROR(VLOOKUP(DATE($K$1,$K$2,JPC$4),Table1[],(MATCH(Calendar!$A6,DB!1:1,0)+2),FALSE),"")</f>
        <v/>
      </c>
      <c r="JPD6" s="27" t="str">
        <f>IFERROR(VLOOKUP(DATE($K$1,$K$2,JPD$4),Table1[],(MATCH(Calendar!$A6,DB!1:1,0)+2),FALSE),"")</f>
        <v/>
      </c>
      <c r="JPE6" s="27" t="str">
        <f>IFERROR(VLOOKUP(DATE($K$1,$K$2,JPE$4),Table1[],(MATCH(Calendar!$A6,DB!1:1,0)+2),FALSE),"")</f>
        <v/>
      </c>
      <c r="JPF6" s="27" t="str">
        <f>IFERROR(VLOOKUP(DATE($K$1,$K$2,JPF$4),Table1[],(MATCH(Calendar!$A6,DB!1:1,0)+2),FALSE),"")</f>
        <v/>
      </c>
      <c r="JPG6" s="27" t="str">
        <f>IFERROR(VLOOKUP(DATE($K$1,$K$2,JPG$4),Table1[],(MATCH(Calendar!$A6,DB!1:1,0)+2),FALSE),"")</f>
        <v/>
      </c>
      <c r="JPH6" s="27" t="str">
        <f>IFERROR(VLOOKUP(DATE($K$1,$K$2,JPH$4),Table1[],(MATCH(Calendar!$A6,DB!1:1,0)+2),FALSE),"")</f>
        <v/>
      </c>
      <c r="JPI6" s="27" t="str">
        <f>IFERROR(VLOOKUP(DATE($K$1,$K$2,JPI$4),Table1[],(MATCH(Calendar!$A6,DB!1:1,0)+2),FALSE),"")</f>
        <v/>
      </c>
      <c r="JPJ6" s="27" t="str">
        <f>IFERROR(VLOOKUP(DATE($K$1,$K$2,JPJ$4),Table1[],(MATCH(Calendar!$A6,DB!1:1,0)+2),FALSE),"")</f>
        <v/>
      </c>
      <c r="JPK6" s="27" t="str">
        <f>IFERROR(VLOOKUP(DATE($K$1,$K$2,JPK$4),Table1[],(MATCH(Calendar!$A6,DB!1:1,0)+2),FALSE),"")</f>
        <v/>
      </c>
      <c r="JPL6" s="27" t="str">
        <f>IFERROR(VLOOKUP(DATE($K$1,$K$2,JPL$4),Table1[],(MATCH(Calendar!$A6,DB!1:1,0)+2),FALSE),"")</f>
        <v/>
      </c>
      <c r="JPM6" s="27" t="str">
        <f>IFERROR(VLOOKUP(DATE($K$1,$K$2,JPM$4),Table1[],(MATCH(Calendar!$A6,DB!1:1,0)+2),FALSE),"")</f>
        <v/>
      </c>
      <c r="JPN6" s="27" t="str">
        <f>IFERROR(VLOOKUP(DATE($K$1,$K$2,JPN$4),Table1[],(MATCH(Calendar!$A6,DB!1:1,0)+2),FALSE),"")</f>
        <v/>
      </c>
      <c r="JPO6" s="27" t="str">
        <f>IFERROR(VLOOKUP(DATE($K$1,$K$2,JPO$4),Table1[],(MATCH(Calendar!$A6,DB!1:1,0)+2),FALSE),"")</f>
        <v/>
      </c>
      <c r="JPP6" s="27" t="str">
        <f>IFERROR(VLOOKUP(DATE($K$1,$K$2,JPP$4),Table1[],(MATCH(Calendar!$A6,DB!1:1,0)+2),FALSE),"")</f>
        <v/>
      </c>
      <c r="JPQ6" s="27" t="str">
        <f>IFERROR(VLOOKUP(DATE($K$1,$K$2,JPQ$4),Table1[],(MATCH(Calendar!$A6,DB!1:1,0)+2),FALSE),"")</f>
        <v/>
      </c>
      <c r="JPR6" s="27" t="str">
        <f>IFERROR(VLOOKUP(DATE($K$1,$K$2,JPR$4),Table1[],(MATCH(Calendar!$A6,DB!1:1,0)+2),FALSE),"")</f>
        <v/>
      </c>
      <c r="JPS6" s="27" t="str">
        <f>IFERROR(VLOOKUP(DATE($K$1,$K$2,JPS$4),Table1[],(MATCH(Calendar!$A6,DB!1:1,0)+2),FALSE),"")</f>
        <v/>
      </c>
      <c r="JPT6" s="27" t="str">
        <f>IFERROR(VLOOKUP(DATE($K$1,$K$2,JPT$4),Table1[],(MATCH(Calendar!$A6,DB!1:1,0)+2),FALSE),"")</f>
        <v/>
      </c>
      <c r="JPU6" s="27" t="str">
        <f>IFERROR(VLOOKUP(DATE($K$1,$K$2,JPU$4),Table1[],(MATCH(Calendar!$A6,DB!1:1,0)+2),FALSE),"")</f>
        <v/>
      </c>
      <c r="JPV6" s="27" t="str">
        <f>IFERROR(VLOOKUP(DATE($K$1,$K$2,JPV$4),Table1[],(MATCH(Calendar!$A6,DB!1:1,0)+2),FALSE),"")</f>
        <v/>
      </c>
      <c r="JPW6" s="27" t="str">
        <f>IFERROR(VLOOKUP(DATE($K$1,$K$2,JPW$4),Table1[],(MATCH(Calendar!$A6,DB!1:1,0)+2),FALSE),"")</f>
        <v/>
      </c>
      <c r="JPX6" s="27" t="str">
        <f>IFERROR(VLOOKUP(DATE($K$1,$K$2,JPX$4),Table1[],(MATCH(Calendar!$A6,DB!1:1,0)+2),FALSE),"")</f>
        <v/>
      </c>
      <c r="JPY6" s="27" t="str">
        <f>IFERROR(VLOOKUP(DATE($K$1,$K$2,JPY$4),Table1[],(MATCH(Calendar!$A6,DB!1:1,0)+2),FALSE),"")</f>
        <v/>
      </c>
      <c r="JPZ6" s="27" t="str">
        <f>IFERROR(VLOOKUP(DATE($K$1,$K$2,JPZ$4),Table1[],(MATCH(Calendar!$A6,DB!1:1,0)+2),FALSE),"")</f>
        <v/>
      </c>
      <c r="JQA6" s="27" t="str">
        <f>IFERROR(VLOOKUP(DATE($K$1,$K$2,JQA$4),Table1[],(MATCH(Calendar!$A6,DB!1:1,0)+2),FALSE),"")</f>
        <v/>
      </c>
      <c r="JQB6" s="27" t="str">
        <f>IFERROR(VLOOKUP(DATE($K$1,$K$2,JQB$4),Table1[],(MATCH(Calendar!$A6,DB!1:1,0)+2),FALSE),"")</f>
        <v/>
      </c>
      <c r="JQC6" s="27" t="str">
        <f>IFERROR(VLOOKUP(DATE($K$1,$K$2,JQC$4),Table1[],(MATCH(Calendar!$A6,DB!1:1,0)+2),FALSE),"")</f>
        <v/>
      </c>
      <c r="JQD6" s="27" t="str">
        <f>IFERROR(VLOOKUP(DATE($K$1,$K$2,JQD$4),Table1[],(MATCH(Calendar!$A6,DB!1:1,0)+2),FALSE),"")</f>
        <v/>
      </c>
      <c r="JQE6" s="27" t="str">
        <f>IFERROR(VLOOKUP(DATE($K$1,$K$2,JQE$4),Table1[],(MATCH(Calendar!$A6,DB!1:1,0)+2),FALSE),"")</f>
        <v/>
      </c>
      <c r="JQF6" s="27" t="str">
        <f>IFERROR(VLOOKUP(DATE($K$1,$K$2,JQF$4),Table1[],(MATCH(Calendar!$A6,DB!1:1,0)+2),FALSE),"")</f>
        <v/>
      </c>
      <c r="JQG6" s="27" t="str">
        <f>IFERROR(VLOOKUP(DATE($K$1,$K$2,JQG$4),Table1[],(MATCH(Calendar!$A6,DB!1:1,0)+2),FALSE),"")</f>
        <v/>
      </c>
      <c r="JQH6" s="27" t="str">
        <f>IFERROR(VLOOKUP(DATE($K$1,$K$2,JQH$4),Table1[],(MATCH(Calendar!$A6,DB!1:1,0)+2),FALSE),"")</f>
        <v/>
      </c>
      <c r="JQI6" s="27" t="str">
        <f>IFERROR(VLOOKUP(DATE($K$1,$K$2,JQI$4),Table1[],(MATCH(Calendar!$A6,DB!1:1,0)+2),FALSE),"")</f>
        <v/>
      </c>
      <c r="JQJ6" s="27" t="str">
        <f>IFERROR(VLOOKUP(DATE($K$1,$K$2,JQJ$4),Table1[],(MATCH(Calendar!$A6,DB!1:1,0)+2),FALSE),"")</f>
        <v/>
      </c>
      <c r="JQK6" s="27" t="str">
        <f>IFERROR(VLOOKUP(DATE($K$1,$K$2,JQK$4),Table1[],(MATCH(Calendar!$A6,DB!1:1,0)+2),FALSE),"")</f>
        <v/>
      </c>
      <c r="JQL6" s="27" t="str">
        <f>IFERROR(VLOOKUP(DATE($K$1,$K$2,JQL$4),Table1[],(MATCH(Calendar!$A6,DB!1:1,0)+2),FALSE),"")</f>
        <v/>
      </c>
      <c r="JQM6" s="27" t="str">
        <f>IFERROR(VLOOKUP(DATE($K$1,$K$2,JQM$4),Table1[],(MATCH(Calendar!$A6,DB!1:1,0)+2),FALSE),"")</f>
        <v/>
      </c>
      <c r="JQN6" s="27" t="str">
        <f>IFERROR(VLOOKUP(DATE($K$1,$K$2,JQN$4),Table1[],(MATCH(Calendar!$A6,DB!1:1,0)+2),FALSE),"")</f>
        <v/>
      </c>
      <c r="JQO6" s="27" t="str">
        <f>IFERROR(VLOOKUP(DATE($K$1,$K$2,JQO$4),Table1[],(MATCH(Calendar!$A6,DB!1:1,0)+2),FALSE),"")</f>
        <v/>
      </c>
      <c r="JQP6" s="27" t="str">
        <f>IFERROR(VLOOKUP(DATE($K$1,$K$2,JQP$4),Table1[],(MATCH(Calendar!$A6,DB!1:1,0)+2),FALSE),"")</f>
        <v/>
      </c>
      <c r="JQQ6" s="27" t="str">
        <f>IFERROR(VLOOKUP(DATE($K$1,$K$2,JQQ$4),Table1[],(MATCH(Calendar!$A6,DB!1:1,0)+2),FALSE),"")</f>
        <v/>
      </c>
      <c r="JQR6" s="27" t="str">
        <f>IFERROR(VLOOKUP(DATE($K$1,$K$2,JQR$4),Table1[],(MATCH(Calendar!$A6,DB!1:1,0)+2),FALSE),"")</f>
        <v/>
      </c>
      <c r="JQS6" s="27" t="str">
        <f>IFERROR(VLOOKUP(DATE($K$1,$K$2,JQS$4),Table1[],(MATCH(Calendar!$A6,DB!1:1,0)+2),FALSE),"")</f>
        <v/>
      </c>
      <c r="JQT6" s="27" t="str">
        <f>IFERROR(VLOOKUP(DATE($K$1,$K$2,JQT$4),Table1[],(MATCH(Calendar!$A6,DB!1:1,0)+2),FALSE),"")</f>
        <v/>
      </c>
      <c r="JQU6" s="27" t="str">
        <f>IFERROR(VLOOKUP(DATE($K$1,$K$2,JQU$4),Table1[],(MATCH(Calendar!$A6,DB!1:1,0)+2),FALSE),"")</f>
        <v/>
      </c>
      <c r="JQV6" s="27" t="str">
        <f>IFERROR(VLOOKUP(DATE($K$1,$K$2,JQV$4),Table1[],(MATCH(Calendar!$A6,DB!1:1,0)+2),FALSE),"")</f>
        <v/>
      </c>
      <c r="JQW6" s="27" t="str">
        <f>IFERROR(VLOOKUP(DATE($K$1,$K$2,JQW$4),Table1[],(MATCH(Calendar!$A6,DB!1:1,0)+2),FALSE),"")</f>
        <v/>
      </c>
      <c r="JQX6" s="27" t="str">
        <f>IFERROR(VLOOKUP(DATE($K$1,$K$2,JQX$4),Table1[],(MATCH(Calendar!$A6,DB!1:1,0)+2),FALSE),"")</f>
        <v/>
      </c>
      <c r="JQY6" s="27" t="str">
        <f>IFERROR(VLOOKUP(DATE($K$1,$K$2,JQY$4),Table1[],(MATCH(Calendar!$A6,DB!1:1,0)+2),FALSE),"")</f>
        <v/>
      </c>
      <c r="JQZ6" s="27" t="str">
        <f>IFERROR(VLOOKUP(DATE($K$1,$K$2,JQZ$4),Table1[],(MATCH(Calendar!$A6,DB!1:1,0)+2),FALSE),"")</f>
        <v/>
      </c>
      <c r="JRA6" s="27" t="str">
        <f>IFERROR(VLOOKUP(DATE($K$1,$K$2,JRA$4),Table1[],(MATCH(Calendar!$A6,DB!1:1,0)+2),FALSE),"")</f>
        <v/>
      </c>
      <c r="JRB6" s="27" t="str">
        <f>IFERROR(VLOOKUP(DATE($K$1,$K$2,JRB$4),Table1[],(MATCH(Calendar!$A6,DB!1:1,0)+2),FALSE),"")</f>
        <v/>
      </c>
      <c r="JRC6" s="27" t="str">
        <f>IFERROR(VLOOKUP(DATE($K$1,$K$2,JRC$4),Table1[],(MATCH(Calendar!$A6,DB!1:1,0)+2),FALSE),"")</f>
        <v/>
      </c>
      <c r="JRD6" s="27" t="str">
        <f>IFERROR(VLOOKUP(DATE($K$1,$K$2,JRD$4),Table1[],(MATCH(Calendar!$A6,DB!1:1,0)+2),FALSE),"")</f>
        <v/>
      </c>
      <c r="JRE6" s="27" t="str">
        <f>IFERROR(VLOOKUP(DATE($K$1,$K$2,JRE$4),Table1[],(MATCH(Calendar!$A6,DB!1:1,0)+2),FALSE),"")</f>
        <v/>
      </c>
      <c r="JRF6" s="27" t="str">
        <f>IFERROR(VLOOKUP(DATE($K$1,$K$2,JRF$4),Table1[],(MATCH(Calendar!$A6,DB!1:1,0)+2),FALSE),"")</f>
        <v/>
      </c>
      <c r="JRG6" s="27" t="str">
        <f>IFERROR(VLOOKUP(DATE($K$1,$K$2,JRG$4),Table1[],(MATCH(Calendar!$A6,DB!1:1,0)+2),FALSE),"")</f>
        <v/>
      </c>
      <c r="JRH6" s="27" t="str">
        <f>IFERROR(VLOOKUP(DATE($K$1,$K$2,JRH$4),Table1[],(MATCH(Calendar!$A6,DB!1:1,0)+2),FALSE),"")</f>
        <v/>
      </c>
      <c r="JRI6" s="27" t="str">
        <f>IFERROR(VLOOKUP(DATE($K$1,$K$2,JRI$4),Table1[],(MATCH(Calendar!$A6,DB!1:1,0)+2),FALSE),"")</f>
        <v/>
      </c>
      <c r="JRJ6" s="27" t="str">
        <f>IFERROR(VLOOKUP(DATE($K$1,$K$2,JRJ$4),Table1[],(MATCH(Calendar!$A6,DB!1:1,0)+2),FALSE),"")</f>
        <v/>
      </c>
      <c r="JRK6" s="27" t="str">
        <f>IFERROR(VLOOKUP(DATE($K$1,$K$2,JRK$4),Table1[],(MATCH(Calendar!$A6,DB!1:1,0)+2),FALSE),"")</f>
        <v/>
      </c>
      <c r="JRL6" s="27" t="str">
        <f>IFERROR(VLOOKUP(DATE($K$1,$K$2,JRL$4),Table1[],(MATCH(Calendar!$A6,DB!1:1,0)+2),FALSE),"")</f>
        <v/>
      </c>
      <c r="JRM6" s="27" t="str">
        <f>IFERROR(VLOOKUP(DATE($K$1,$K$2,JRM$4),Table1[],(MATCH(Calendar!$A6,DB!1:1,0)+2),FALSE),"")</f>
        <v/>
      </c>
      <c r="JRN6" s="27" t="str">
        <f>IFERROR(VLOOKUP(DATE($K$1,$K$2,JRN$4),Table1[],(MATCH(Calendar!$A6,DB!1:1,0)+2),FALSE),"")</f>
        <v/>
      </c>
      <c r="JRO6" s="27" t="str">
        <f>IFERROR(VLOOKUP(DATE($K$1,$K$2,JRO$4),Table1[],(MATCH(Calendar!$A6,DB!1:1,0)+2),FALSE),"")</f>
        <v/>
      </c>
      <c r="JRP6" s="27" t="str">
        <f>IFERROR(VLOOKUP(DATE($K$1,$K$2,JRP$4),Table1[],(MATCH(Calendar!$A6,DB!1:1,0)+2),FALSE),"")</f>
        <v/>
      </c>
      <c r="JRQ6" s="27" t="str">
        <f>IFERROR(VLOOKUP(DATE($K$1,$K$2,JRQ$4),Table1[],(MATCH(Calendar!$A6,DB!1:1,0)+2),FALSE),"")</f>
        <v/>
      </c>
      <c r="JRR6" s="27" t="str">
        <f>IFERROR(VLOOKUP(DATE($K$1,$K$2,JRR$4),Table1[],(MATCH(Calendar!$A6,DB!1:1,0)+2),FALSE),"")</f>
        <v/>
      </c>
      <c r="JRS6" s="27" t="str">
        <f>IFERROR(VLOOKUP(DATE($K$1,$K$2,JRS$4),Table1[],(MATCH(Calendar!$A6,DB!1:1,0)+2),FALSE),"")</f>
        <v/>
      </c>
      <c r="JRT6" s="27" t="str">
        <f>IFERROR(VLOOKUP(DATE($K$1,$K$2,JRT$4),Table1[],(MATCH(Calendar!$A6,DB!1:1,0)+2),FALSE),"")</f>
        <v/>
      </c>
      <c r="JRU6" s="27" t="str">
        <f>IFERROR(VLOOKUP(DATE($K$1,$K$2,JRU$4),Table1[],(MATCH(Calendar!$A6,DB!1:1,0)+2),FALSE),"")</f>
        <v/>
      </c>
      <c r="JRV6" s="27" t="str">
        <f>IFERROR(VLOOKUP(DATE($K$1,$K$2,JRV$4),Table1[],(MATCH(Calendar!$A6,DB!1:1,0)+2),FALSE),"")</f>
        <v/>
      </c>
      <c r="JRW6" s="27" t="str">
        <f>IFERROR(VLOOKUP(DATE($K$1,$K$2,JRW$4),Table1[],(MATCH(Calendar!$A6,DB!1:1,0)+2),FALSE),"")</f>
        <v/>
      </c>
      <c r="JRX6" s="27" t="str">
        <f>IFERROR(VLOOKUP(DATE($K$1,$K$2,JRX$4),Table1[],(MATCH(Calendar!$A6,DB!1:1,0)+2),FALSE),"")</f>
        <v/>
      </c>
      <c r="JRY6" s="27" t="str">
        <f>IFERROR(VLOOKUP(DATE($K$1,$K$2,JRY$4),Table1[],(MATCH(Calendar!$A6,DB!1:1,0)+2),FALSE),"")</f>
        <v/>
      </c>
      <c r="JRZ6" s="27" t="str">
        <f>IFERROR(VLOOKUP(DATE($K$1,$K$2,JRZ$4),Table1[],(MATCH(Calendar!$A6,DB!1:1,0)+2),FALSE),"")</f>
        <v/>
      </c>
      <c r="JSA6" s="27" t="str">
        <f>IFERROR(VLOOKUP(DATE($K$1,$K$2,JSA$4),Table1[],(MATCH(Calendar!$A6,DB!1:1,0)+2),FALSE),"")</f>
        <v/>
      </c>
      <c r="JSB6" s="27" t="str">
        <f>IFERROR(VLOOKUP(DATE($K$1,$K$2,JSB$4),Table1[],(MATCH(Calendar!$A6,DB!1:1,0)+2),FALSE),"")</f>
        <v/>
      </c>
      <c r="JSC6" s="27" t="str">
        <f>IFERROR(VLOOKUP(DATE($K$1,$K$2,JSC$4),Table1[],(MATCH(Calendar!$A6,DB!1:1,0)+2),FALSE),"")</f>
        <v/>
      </c>
      <c r="JSD6" s="27" t="str">
        <f>IFERROR(VLOOKUP(DATE($K$1,$K$2,JSD$4),Table1[],(MATCH(Calendar!$A6,DB!1:1,0)+2),FALSE),"")</f>
        <v/>
      </c>
      <c r="JSE6" s="27" t="str">
        <f>IFERROR(VLOOKUP(DATE($K$1,$K$2,JSE$4),Table1[],(MATCH(Calendar!$A6,DB!1:1,0)+2),FALSE),"")</f>
        <v/>
      </c>
      <c r="JSF6" s="27" t="str">
        <f>IFERROR(VLOOKUP(DATE($K$1,$K$2,JSF$4),Table1[],(MATCH(Calendar!$A6,DB!1:1,0)+2),FALSE),"")</f>
        <v/>
      </c>
      <c r="JSG6" s="27" t="str">
        <f>IFERROR(VLOOKUP(DATE($K$1,$K$2,JSG$4),Table1[],(MATCH(Calendar!$A6,DB!1:1,0)+2),FALSE),"")</f>
        <v/>
      </c>
      <c r="JSH6" s="27" t="str">
        <f>IFERROR(VLOOKUP(DATE($K$1,$K$2,JSH$4),Table1[],(MATCH(Calendar!$A6,DB!1:1,0)+2),FALSE),"")</f>
        <v/>
      </c>
      <c r="JSI6" s="27" t="str">
        <f>IFERROR(VLOOKUP(DATE($K$1,$K$2,JSI$4),Table1[],(MATCH(Calendar!$A6,DB!1:1,0)+2),FALSE),"")</f>
        <v/>
      </c>
      <c r="JSJ6" s="27" t="str">
        <f>IFERROR(VLOOKUP(DATE($K$1,$K$2,JSJ$4),Table1[],(MATCH(Calendar!$A6,DB!1:1,0)+2),FALSE),"")</f>
        <v/>
      </c>
      <c r="JSK6" s="27" t="str">
        <f>IFERROR(VLOOKUP(DATE($K$1,$K$2,JSK$4),Table1[],(MATCH(Calendar!$A6,DB!1:1,0)+2),FALSE),"")</f>
        <v/>
      </c>
      <c r="JSL6" s="27" t="str">
        <f>IFERROR(VLOOKUP(DATE($K$1,$K$2,JSL$4),Table1[],(MATCH(Calendar!$A6,DB!1:1,0)+2),FALSE),"")</f>
        <v/>
      </c>
      <c r="JSM6" s="27" t="str">
        <f>IFERROR(VLOOKUP(DATE($K$1,$K$2,JSM$4),Table1[],(MATCH(Calendar!$A6,DB!1:1,0)+2),FALSE),"")</f>
        <v/>
      </c>
      <c r="JSN6" s="27" t="str">
        <f>IFERROR(VLOOKUP(DATE($K$1,$K$2,JSN$4),Table1[],(MATCH(Calendar!$A6,DB!1:1,0)+2),FALSE),"")</f>
        <v/>
      </c>
      <c r="JSO6" s="27" t="str">
        <f>IFERROR(VLOOKUP(DATE($K$1,$K$2,JSO$4),Table1[],(MATCH(Calendar!$A6,DB!1:1,0)+2),FALSE),"")</f>
        <v/>
      </c>
      <c r="JSP6" s="27" t="str">
        <f>IFERROR(VLOOKUP(DATE($K$1,$K$2,JSP$4),Table1[],(MATCH(Calendar!$A6,DB!1:1,0)+2),FALSE),"")</f>
        <v/>
      </c>
      <c r="JSQ6" s="27" t="str">
        <f>IFERROR(VLOOKUP(DATE($K$1,$K$2,JSQ$4),Table1[],(MATCH(Calendar!$A6,DB!1:1,0)+2),FALSE),"")</f>
        <v/>
      </c>
      <c r="JSR6" s="27" t="str">
        <f>IFERROR(VLOOKUP(DATE($K$1,$K$2,JSR$4),Table1[],(MATCH(Calendar!$A6,DB!1:1,0)+2),FALSE),"")</f>
        <v/>
      </c>
      <c r="JSS6" s="27" t="str">
        <f>IFERROR(VLOOKUP(DATE($K$1,$K$2,JSS$4),Table1[],(MATCH(Calendar!$A6,DB!1:1,0)+2),FALSE),"")</f>
        <v/>
      </c>
      <c r="JST6" s="27" t="str">
        <f>IFERROR(VLOOKUP(DATE($K$1,$K$2,JST$4),Table1[],(MATCH(Calendar!$A6,DB!1:1,0)+2),FALSE),"")</f>
        <v/>
      </c>
      <c r="JSU6" s="27" t="str">
        <f>IFERROR(VLOOKUP(DATE($K$1,$K$2,JSU$4),Table1[],(MATCH(Calendar!$A6,DB!1:1,0)+2),FALSE),"")</f>
        <v/>
      </c>
      <c r="JSV6" s="27" t="str">
        <f>IFERROR(VLOOKUP(DATE($K$1,$K$2,JSV$4),Table1[],(MATCH(Calendar!$A6,DB!1:1,0)+2),FALSE),"")</f>
        <v/>
      </c>
      <c r="JSW6" s="27" t="str">
        <f>IFERROR(VLOOKUP(DATE($K$1,$K$2,JSW$4),Table1[],(MATCH(Calendar!$A6,DB!1:1,0)+2),FALSE),"")</f>
        <v/>
      </c>
      <c r="JSX6" s="27" t="str">
        <f>IFERROR(VLOOKUP(DATE($K$1,$K$2,JSX$4),Table1[],(MATCH(Calendar!$A6,DB!1:1,0)+2),FALSE),"")</f>
        <v/>
      </c>
      <c r="JSY6" s="27" t="str">
        <f>IFERROR(VLOOKUP(DATE($K$1,$K$2,JSY$4),Table1[],(MATCH(Calendar!$A6,DB!1:1,0)+2),FALSE),"")</f>
        <v/>
      </c>
      <c r="JSZ6" s="27" t="str">
        <f>IFERROR(VLOOKUP(DATE($K$1,$K$2,JSZ$4),Table1[],(MATCH(Calendar!$A6,DB!1:1,0)+2),FALSE),"")</f>
        <v/>
      </c>
      <c r="JTA6" s="27" t="str">
        <f>IFERROR(VLOOKUP(DATE($K$1,$K$2,JTA$4),Table1[],(MATCH(Calendar!$A6,DB!1:1,0)+2),FALSE),"")</f>
        <v/>
      </c>
      <c r="JTB6" s="27" t="str">
        <f>IFERROR(VLOOKUP(DATE($K$1,$K$2,JTB$4),Table1[],(MATCH(Calendar!$A6,DB!1:1,0)+2),FALSE),"")</f>
        <v/>
      </c>
      <c r="JTC6" s="27" t="str">
        <f>IFERROR(VLOOKUP(DATE($K$1,$K$2,JTC$4),Table1[],(MATCH(Calendar!$A6,DB!1:1,0)+2),FALSE),"")</f>
        <v/>
      </c>
      <c r="JTD6" s="27" t="str">
        <f>IFERROR(VLOOKUP(DATE($K$1,$K$2,JTD$4),Table1[],(MATCH(Calendar!$A6,DB!1:1,0)+2),FALSE),"")</f>
        <v/>
      </c>
      <c r="JTE6" s="27" t="str">
        <f>IFERROR(VLOOKUP(DATE($K$1,$K$2,JTE$4),Table1[],(MATCH(Calendar!$A6,DB!1:1,0)+2),FALSE),"")</f>
        <v/>
      </c>
      <c r="JTF6" s="27" t="str">
        <f>IFERROR(VLOOKUP(DATE($K$1,$K$2,JTF$4),Table1[],(MATCH(Calendar!$A6,DB!1:1,0)+2),FALSE),"")</f>
        <v/>
      </c>
      <c r="JTG6" s="27" t="str">
        <f>IFERROR(VLOOKUP(DATE($K$1,$K$2,JTG$4),Table1[],(MATCH(Calendar!$A6,DB!1:1,0)+2),FALSE),"")</f>
        <v/>
      </c>
      <c r="JTH6" s="27" t="str">
        <f>IFERROR(VLOOKUP(DATE($K$1,$K$2,JTH$4),Table1[],(MATCH(Calendar!$A6,DB!1:1,0)+2),FALSE),"")</f>
        <v/>
      </c>
      <c r="JTI6" s="27" t="str">
        <f>IFERROR(VLOOKUP(DATE($K$1,$K$2,JTI$4),Table1[],(MATCH(Calendar!$A6,DB!1:1,0)+2),FALSE),"")</f>
        <v/>
      </c>
      <c r="JTJ6" s="27" t="str">
        <f>IFERROR(VLOOKUP(DATE($K$1,$K$2,JTJ$4),Table1[],(MATCH(Calendar!$A6,DB!1:1,0)+2),FALSE),"")</f>
        <v/>
      </c>
      <c r="JTK6" s="27" t="str">
        <f>IFERROR(VLOOKUP(DATE($K$1,$K$2,JTK$4),Table1[],(MATCH(Calendar!$A6,DB!1:1,0)+2),FALSE),"")</f>
        <v/>
      </c>
      <c r="JTL6" s="27" t="str">
        <f>IFERROR(VLOOKUP(DATE($K$1,$K$2,JTL$4),Table1[],(MATCH(Calendar!$A6,DB!1:1,0)+2),FALSE),"")</f>
        <v/>
      </c>
      <c r="JTM6" s="27" t="str">
        <f>IFERROR(VLOOKUP(DATE($K$1,$K$2,JTM$4),Table1[],(MATCH(Calendar!$A6,DB!1:1,0)+2),FALSE),"")</f>
        <v/>
      </c>
      <c r="JTN6" s="27" t="str">
        <f>IFERROR(VLOOKUP(DATE($K$1,$K$2,JTN$4),Table1[],(MATCH(Calendar!$A6,DB!1:1,0)+2),FALSE),"")</f>
        <v/>
      </c>
      <c r="JTO6" s="27" t="str">
        <f>IFERROR(VLOOKUP(DATE($K$1,$K$2,JTO$4),Table1[],(MATCH(Calendar!$A6,DB!1:1,0)+2),FALSE),"")</f>
        <v/>
      </c>
      <c r="JTP6" s="27" t="str">
        <f>IFERROR(VLOOKUP(DATE($K$1,$K$2,JTP$4),Table1[],(MATCH(Calendar!$A6,DB!1:1,0)+2),FALSE),"")</f>
        <v/>
      </c>
      <c r="JTQ6" s="27" t="str">
        <f>IFERROR(VLOOKUP(DATE($K$1,$K$2,JTQ$4),Table1[],(MATCH(Calendar!$A6,DB!1:1,0)+2),FALSE),"")</f>
        <v/>
      </c>
      <c r="JTR6" s="27" t="str">
        <f>IFERROR(VLOOKUP(DATE($K$1,$K$2,JTR$4),Table1[],(MATCH(Calendar!$A6,DB!1:1,0)+2),FALSE),"")</f>
        <v/>
      </c>
      <c r="JTS6" s="27" t="str">
        <f>IFERROR(VLOOKUP(DATE($K$1,$K$2,JTS$4),Table1[],(MATCH(Calendar!$A6,DB!1:1,0)+2),FALSE),"")</f>
        <v/>
      </c>
      <c r="JTT6" s="27" t="str">
        <f>IFERROR(VLOOKUP(DATE($K$1,$K$2,JTT$4),Table1[],(MATCH(Calendar!$A6,DB!1:1,0)+2),FALSE),"")</f>
        <v/>
      </c>
      <c r="JTU6" s="27" t="str">
        <f>IFERROR(VLOOKUP(DATE($K$1,$K$2,JTU$4),Table1[],(MATCH(Calendar!$A6,DB!1:1,0)+2),FALSE),"")</f>
        <v/>
      </c>
      <c r="JTV6" s="27" t="str">
        <f>IFERROR(VLOOKUP(DATE($K$1,$K$2,JTV$4),Table1[],(MATCH(Calendar!$A6,DB!1:1,0)+2),FALSE),"")</f>
        <v/>
      </c>
      <c r="JTW6" s="27" t="str">
        <f>IFERROR(VLOOKUP(DATE($K$1,$K$2,JTW$4),Table1[],(MATCH(Calendar!$A6,DB!1:1,0)+2),FALSE),"")</f>
        <v/>
      </c>
      <c r="JTX6" s="27" t="str">
        <f>IFERROR(VLOOKUP(DATE($K$1,$K$2,JTX$4),Table1[],(MATCH(Calendar!$A6,DB!1:1,0)+2),FALSE),"")</f>
        <v/>
      </c>
      <c r="JTY6" s="27" t="str">
        <f>IFERROR(VLOOKUP(DATE($K$1,$K$2,JTY$4),Table1[],(MATCH(Calendar!$A6,DB!1:1,0)+2),FALSE),"")</f>
        <v/>
      </c>
      <c r="JTZ6" s="27" t="str">
        <f>IFERROR(VLOOKUP(DATE($K$1,$K$2,JTZ$4),Table1[],(MATCH(Calendar!$A6,DB!1:1,0)+2),FALSE),"")</f>
        <v/>
      </c>
      <c r="JUA6" s="27" t="str">
        <f>IFERROR(VLOOKUP(DATE($K$1,$K$2,JUA$4),Table1[],(MATCH(Calendar!$A6,DB!1:1,0)+2),FALSE),"")</f>
        <v/>
      </c>
      <c r="JUB6" s="27" t="str">
        <f>IFERROR(VLOOKUP(DATE($K$1,$K$2,JUB$4),Table1[],(MATCH(Calendar!$A6,DB!1:1,0)+2),FALSE),"")</f>
        <v/>
      </c>
      <c r="JUC6" s="27" t="str">
        <f>IFERROR(VLOOKUP(DATE($K$1,$K$2,JUC$4),Table1[],(MATCH(Calendar!$A6,DB!1:1,0)+2),FALSE),"")</f>
        <v/>
      </c>
      <c r="JUD6" s="27" t="str">
        <f>IFERROR(VLOOKUP(DATE($K$1,$K$2,JUD$4),Table1[],(MATCH(Calendar!$A6,DB!1:1,0)+2),FALSE),"")</f>
        <v/>
      </c>
      <c r="JUE6" s="27" t="str">
        <f>IFERROR(VLOOKUP(DATE($K$1,$K$2,JUE$4),Table1[],(MATCH(Calendar!$A6,DB!1:1,0)+2),FALSE),"")</f>
        <v/>
      </c>
      <c r="JUF6" s="27" t="str">
        <f>IFERROR(VLOOKUP(DATE($K$1,$K$2,JUF$4),Table1[],(MATCH(Calendar!$A6,DB!1:1,0)+2),FALSE),"")</f>
        <v/>
      </c>
      <c r="JUG6" s="27" t="str">
        <f>IFERROR(VLOOKUP(DATE($K$1,$K$2,JUG$4),Table1[],(MATCH(Calendar!$A6,DB!1:1,0)+2),FALSE),"")</f>
        <v/>
      </c>
      <c r="JUH6" s="27" t="str">
        <f>IFERROR(VLOOKUP(DATE($K$1,$K$2,JUH$4),Table1[],(MATCH(Calendar!$A6,DB!1:1,0)+2),FALSE),"")</f>
        <v/>
      </c>
      <c r="JUI6" s="27" t="str">
        <f>IFERROR(VLOOKUP(DATE($K$1,$K$2,JUI$4),Table1[],(MATCH(Calendar!$A6,DB!1:1,0)+2),FALSE),"")</f>
        <v/>
      </c>
      <c r="JUJ6" s="27" t="str">
        <f>IFERROR(VLOOKUP(DATE($K$1,$K$2,JUJ$4),Table1[],(MATCH(Calendar!$A6,DB!1:1,0)+2),FALSE),"")</f>
        <v/>
      </c>
      <c r="JUK6" s="27" t="str">
        <f>IFERROR(VLOOKUP(DATE($K$1,$K$2,JUK$4),Table1[],(MATCH(Calendar!$A6,DB!1:1,0)+2),FALSE),"")</f>
        <v/>
      </c>
      <c r="JUL6" s="27" t="str">
        <f>IFERROR(VLOOKUP(DATE($K$1,$K$2,JUL$4),Table1[],(MATCH(Calendar!$A6,DB!1:1,0)+2),FALSE),"")</f>
        <v/>
      </c>
      <c r="JUM6" s="27" t="str">
        <f>IFERROR(VLOOKUP(DATE($K$1,$K$2,JUM$4),Table1[],(MATCH(Calendar!$A6,DB!1:1,0)+2),FALSE),"")</f>
        <v/>
      </c>
      <c r="JUN6" s="27" t="str">
        <f>IFERROR(VLOOKUP(DATE($K$1,$K$2,JUN$4),Table1[],(MATCH(Calendar!$A6,DB!1:1,0)+2),FALSE),"")</f>
        <v/>
      </c>
      <c r="JUO6" s="27" t="str">
        <f>IFERROR(VLOOKUP(DATE($K$1,$K$2,JUO$4),Table1[],(MATCH(Calendar!$A6,DB!1:1,0)+2),FALSE),"")</f>
        <v/>
      </c>
      <c r="JUP6" s="27" t="str">
        <f>IFERROR(VLOOKUP(DATE($K$1,$K$2,JUP$4),Table1[],(MATCH(Calendar!$A6,DB!1:1,0)+2),FALSE),"")</f>
        <v/>
      </c>
      <c r="JUQ6" s="27" t="str">
        <f>IFERROR(VLOOKUP(DATE($K$1,$K$2,JUQ$4),Table1[],(MATCH(Calendar!$A6,DB!1:1,0)+2),FALSE),"")</f>
        <v/>
      </c>
      <c r="JUR6" s="27" t="str">
        <f>IFERROR(VLOOKUP(DATE($K$1,$K$2,JUR$4),Table1[],(MATCH(Calendar!$A6,DB!1:1,0)+2),FALSE),"")</f>
        <v/>
      </c>
      <c r="JUS6" s="27" t="str">
        <f>IFERROR(VLOOKUP(DATE($K$1,$K$2,JUS$4),Table1[],(MATCH(Calendar!$A6,DB!1:1,0)+2),FALSE),"")</f>
        <v/>
      </c>
      <c r="JUT6" s="27" t="str">
        <f>IFERROR(VLOOKUP(DATE($K$1,$K$2,JUT$4),Table1[],(MATCH(Calendar!$A6,DB!1:1,0)+2),FALSE),"")</f>
        <v/>
      </c>
      <c r="JUU6" s="27" t="str">
        <f>IFERROR(VLOOKUP(DATE($K$1,$K$2,JUU$4),Table1[],(MATCH(Calendar!$A6,DB!1:1,0)+2),FALSE),"")</f>
        <v/>
      </c>
      <c r="JUV6" s="27" t="str">
        <f>IFERROR(VLOOKUP(DATE($K$1,$K$2,JUV$4),Table1[],(MATCH(Calendar!$A6,DB!1:1,0)+2),FALSE),"")</f>
        <v/>
      </c>
      <c r="JUW6" s="27" t="str">
        <f>IFERROR(VLOOKUP(DATE($K$1,$K$2,JUW$4),Table1[],(MATCH(Calendar!$A6,DB!1:1,0)+2),FALSE),"")</f>
        <v/>
      </c>
      <c r="JUX6" s="27" t="str">
        <f>IFERROR(VLOOKUP(DATE($K$1,$K$2,JUX$4),Table1[],(MATCH(Calendar!$A6,DB!1:1,0)+2),FALSE),"")</f>
        <v/>
      </c>
      <c r="JUY6" s="27" t="str">
        <f>IFERROR(VLOOKUP(DATE($K$1,$K$2,JUY$4),Table1[],(MATCH(Calendar!$A6,DB!1:1,0)+2),FALSE),"")</f>
        <v/>
      </c>
      <c r="JUZ6" s="27" t="str">
        <f>IFERROR(VLOOKUP(DATE($K$1,$K$2,JUZ$4),Table1[],(MATCH(Calendar!$A6,DB!1:1,0)+2),FALSE),"")</f>
        <v/>
      </c>
      <c r="JVA6" s="27" t="str">
        <f>IFERROR(VLOOKUP(DATE($K$1,$K$2,JVA$4),Table1[],(MATCH(Calendar!$A6,DB!1:1,0)+2),FALSE),"")</f>
        <v/>
      </c>
      <c r="JVB6" s="27" t="str">
        <f>IFERROR(VLOOKUP(DATE($K$1,$K$2,JVB$4),Table1[],(MATCH(Calendar!$A6,DB!1:1,0)+2),FALSE),"")</f>
        <v/>
      </c>
      <c r="JVC6" s="27" t="str">
        <f>IFERROR(VLOOKUP(DATE($K$1,$K$2,JVC$4),Table1[],(MATCH(Calendar!$A6,DB!1:1,0)+2),FALSE),"")</f>
        <v/>
      </c>
      <c r="JVD6" s="27" t="str">
        <f>IFERROR(VLOOKUP(DATE($K$1,$K$2,JVD$4),Table1[],(MATCH(Calendar!$A6,DB!1:1,0)+2),FALSE),"")</f>
        <v/>
      </c>
      <c r="JVE6" s="27" t="str">
        <f>IFERROR(VLOOKUP(DATE($K$1,$K$2,JVE$4),Table1[],(MATCH(Calendar!$A6,DB!1:1,0)+2),FALSE),"")</f>
        <v/>
      </c>
      <c r="JVF6" s="27" t="str">
        <f>IFERROR(VLOOKUP(DATE($K$1,$K$2,JVF$4),Table1[],(MATCH(Calendar!$A6,DB!1:1,0)+2),FALSE),"")</f>
        <v/>
      </c>
      <c r="JVG6" s="27" t="str">
        <f>IFERROR(VLOOKUP(DATE($K$1,$K$2,JVG$4),Table1[],(MATCH(Calendar!$A6,DB!1:1,0)+2),FALSE),"")</f>
        <v/>
      </c>
      <c r="JVH6" s="27" t="str">
        <f>IFERROR(VLOOKUP(DATE($K$1,$K$2,JVH$4),Table1[],(MATCH(Calendar!$A6,DB!1:1,0)+2),FALSE),"")</f>
        <v/>
      </c>
      <c r="JVI6" s="27" t="str">
        <f>IFERROR(VLOOKUP(DATE($K$1,$K$2,JVI$4),Table1[],(MATCH(Calendar!$A6,DB!1:1,0)+2),FALSE),"")</f>
        <v/>
      </c>
      <c r="JVJ6" s="27" t="str">
        <f>IFERROR(VLOOKUP(DATE($K$1,$K$2,JVJ$4),Table1[],(MATCH(Calendar!$A6,DB!1:1,0)+2),FALSE),"")</f>
        <v/>
      </c>
      <c r="JVK6" s="27" t="str">
        <f>IFERROR(VLOOKUP(DATE($K$1,$K$2,JVK$4),Table1[],(MATCH(Calendar!$A6,DB!1:1,0)+2),FALSE),"")</f>
        <v/>
      </c>
      <c r="JVL6" s="27" t="str">
        <f>IFERROR(VLOOKUP(DATE($K$1,$K$2,JVL$4),Table1[],(MATCH(Calendar!$A6,DB!1:1,0)+2),FALSE),"")</f>
        <v/>
      </c>
      <c r="JVM6" s="27" t="str">
        <f>IFERROR(VLOOKUP(DATE($K$1,$K$2,JVM$4),Table1[],(MATCH(Calendar!$A6,DB!1:1,0)+2),FALSE),"")</f>
        <v/>
      </c>
      <c r="JVN6" s="27" t="str">
        <f>IFERROR(VLOOKUP(DATE($K$1,$K$2,JVN$4),Table1[],(MATCH(Calendar!$A6,DB!1:1,0)+2),FALSE),"")</f>
        <v/>
      </c>
      <c r="JVO6" s="27" t="str">
        <f>IFERROR(VLOOKUP(DATE($K$1,$K$2,JVO$4),Table1[],(MATCH(Calendar!$A6,DB!1:1,0)+2),FALSE),"")</f>
        <v/>
      </c>
      <c r="JVP6" s="27" t="str">
        <f>IFERROR(VLOOKUP(DATE($K$1,$K$2,JVP$4),Table1[],(MATCH(Calendar!$A6,DB!1:1,0)+2),FALSE),"")</f>
        <v/>
      </c>
      <c r="JVQ6" s="27" t="str">
        <f>IFERROR(VLOOKUP(DATE($K$1,$K$2,JVQ$4),Table1[],(MATCH(Calendar!$A6,DB!1:1,0)+2),FALSE),"")</f>
        <v/>
      </c>
      <c r="JVR6" s="27" t="str">
        <f>IFERROR(VLOOKUP(DATE($K$1,$K$2,JVR$4),Table1[],(MATCH(Calendar!$A6,DB!1:1,0)+2),FALSE),"")</f>
        <v/>
      </c>
      <c r="JVS6" s="27" t="str">
        <f>IFERROR(VLOOKUP(DATE($K$1,$K$2,JVS$4),Table1[],(MATCH(Calendar!$A6,DB!1:1,0)+2),FALSE),"")</f>
        <v/>
      </c>
      <c r="JVT6" s="27" t="str">
        <f>IFERROR(VLOOKUP(DATE($K$1,$K$2,JVT$4),Table1[],(MATCH(Calendar!$A6,DB!1:1,0)+2),FALSE),"")</f>
        <v/>
      </c>
      <c r="JVU6" s="27" t="str">
        <f>IFERROR(VLOOKUP(DATE($K$1,$K$2,JVU$4),Table1[],(MATCH(Calendar!$A6,DB!1:1,0)+2),FALSE),"")</f>
        <v/>
      </c>
      <c r="JVV6" s="27" t="str">
        <f>IFERROR(VLOOKUP(DATE($K$1,$K$2,JVV$4),Table1[],(MATCH(Calendar!$A6,DB!1:1,0)+2),FALSE),"")</f>
        <v/>
      </c>
      <c r="JVW6" s="27" t="str">
        <f>IFERROR(VLOOKUP(DATE($K$1,$K$2,JVW$4),Table1[],(MATCH(Calendar!$A6,DB!1:1,0)+2),FALSE),"")</f>
        <v/>
      </c>
      <c r="JVX6" s="27" t="str">
        <f>IFERROR(VLOOKUP(DATE($K$1,$K$2,JVX$4),Table1[],(MATCH(Calendar!$A6,DB!1:1,0)+2),FALSE),"")</f>
        <v/>
      </c>
      <c r="JVY6" s="27" t="str">
        <f>IFERROR(VLOOKUP(DATE($K$1,$K$2,JVY$4),Table1[],(MATCH(Calendar!$A6,DB!1:1,0)+2),FALSE),"")</f>
        <v/>
      </c>
      <c r="JVZ6" s="27" t="str">
        <f>IFERROR(VLOOKUP(DATE($K$1,$K$2,JVZ$4),Table1[],(MATCH(Calendar!$A6,DB!1:1,0)+2),FALSE),"")</f>
        <v/>
      </c>
      <c r="JWA6" s="27" t="str">
        <f>IFERROR(VLOOKUP(DATE($K$1,$K$2,JWA$4),Table1[],(MATCH(Calendar!$A6,DB!1:1,0)+2),FALSE),"")</f>
        <v/>
      </c>
      <c r="JWB6" s="27" t="str">
        <f>IFERROR(VLOOKUP(DATE($K$1,$K$2,JWB$4),Table1[],(MATCH(Calendar!$A6,DB!1:1,0)+2),FALSE),"")</f>
        <v/>
      </c>
      <c r="JWC6" s="27" t="str">
        <f>IFERROR(VLOOKUP(DATE($K$1,$K$2,JWC$4),Table1[],(MATCH(Calendar!$A6,DB!1:1,0)+2),FALSE),"")</f>
        <v/>
      </c>
      <c r="JWD6" s="27" t="str">
        <f>IFERROR(VLOOKUP(DATE($K$1,$K$2,JWD$4),Table1[],(MATCH(Calendar!$A6,DB!1:1,0)+2),FALSE),"")</f>
        <v/>
      </c>
      <c r="JWE6" s="27" t="str">
        <f>IFERROR(VLOOKUP(DATE($K$1,$K$2,JWE$4),Table1[],(MATCH(Calendar!$A6,DB!1:1,0)+2),FALSE),"")</f>
        <v/>
      </c>
      <c r="JWF6" s="27" t="str">
        <f>IFERROR(VLOOKUP(DATE($K$1,$K$2,JWF$4),Table1[],(MATCH(Calendar!$A6,DB!1:1,0)+2),FALSE),"")</f>
        <v/>
      </c>
      <c r="JWG6" s="27" t="str">
        <f>IFERROR(VLOOKUP(DATE($K$1,$K$2,JWG$4),Table1[],(MATCH(Calendar!$A6,DB!1:1,0)+2),FALSE),"")</f>
        <v/>
      </c>
      <c r="JWH6" s="27" t="str">
        <f>IFERROR(VLOOKUP(DATE($K$1,$K$2,JWH$4),Table1[],(MATCH(Calendar!$A6,DB!1:1,0)+2),FALSE),"")</f>
        <v/>
      </c>
      <c r="JWI6" s="27" t="str">
        <f>IFERROR(VLOOKUP(DATE($K$1,$K$2,JWI$4),Table1[],(MATCH(Calendar!$A6,DB!1:1,0)+2),FALSE),"")</f>
        <v/>
      </c>
      <c r="JWJ6" s="27" t="str">
        <f>IFERROR(VLOOKUP(DATE($K$1,$K$2,JWJ$4),Table1[],(MATCH(Calendar!$A6,DB!1:1,0)+2),FALSE),"")</f>
        <v/>
      </c>
      <c r="JWK6" s="27" t="str">
        <f>IFERROR(VLOOKUP(DATE($K$1,$K$2,JWK$4),Table1[],(MATCH(Calendar!$A6,DB!1:1,0)+2),FALSE),"")</f>
        <v/>
      </c>
      <c r="JWL6" s="27" t="str">
        <f>IFERROR(VLOOKUP(DATE($K$1,$K$2,JWL$4),Table1[],(MATCH(Calendar!$A6,DB!1:1,0)+2),FALSE),"")</f>
        <v/>
      </c>
      <c r="JWM6" s="27" t="str">
        <f>IFERROR(VLOOKUP(DATE($K$1,$K$2,JWM$4),Table1[],(MATCH(Calendar!$A6,DB!1:1,0)+2),FALSE),"")</f>
        <v/>
      </c>
      <c r="JWN6" s="27" t="str">
        <f>IFERROR(VLOOKUP(DATE($K$1,$K$2,JWN$4),Table1[],(MATCH(Calendar!$A6,DB!1:1,0)+2),FALSE),"")</f>
        <v/>
      </c>
      <c r="JWO6" s="27" t="str">
        <f>IFERROR(VLOOKUP(DATE($K$1,$K$2,JWO$4),Table1[],(MATCH(Calendar!$A6,DB!1:1,0)+2),FALSE),"")</f>
        <v/>
      </c>
      <c r="JWP6" s="27" t="str">
        <f>IFERROR(VLOOKUP(DATE($K$1,$K$2,JWP$4),Table1[],(MATCH(Calendar!$A6,DB!1:1,0)+2),FALSE),"")</f>
        <v/>
      </c>
      <c r="JWQ6" s="27" t="str">
        <f>IFERROR(VLOOKUP(DATE($K$1,$K$2,JWQ$4),Table1[],(MATCH(Calendar!$A6,DB!1:1,0)+2),FALSE),"")</f>
        <v/>
      </c>
      <c r="JWR6" s="27" t="str">
        <f>IFERROR(VLOOKUP(DATE($K$1,$K$2,JWR$4),Table1[],(MATCH(Calendar!$A6,DB!1:1,0)+2),FALSE),"")</f>
        <v/>
      </c>
      <c r="JWS6" s="27" t="str">
        <f>IFERROR(VLOOKUP(DATE($K$1,$K$2,JWS$4),Table1[],(MATCH(Calendar!$A6,DB!1:1,0)+2),FALSE),"")</f>
        <v/>
      </c>
      <c r="JWT6" s="27" t="str">
        <f>IFERROR(VLOOKUP(DATE($K$1,$K$2,JWT$4),Table1[],(MATCH(Calendar!$A6,DB!1:1,0)+2),FALSE),"")</f>
        <v/>
      </c>
      <c r="JWU6" s="27" t="str">
        <f>IFERROR(VLOOKUP(DATE($K$1,$K$2,JWU$4),Table1[],(MATCH(Calendar!$A6,DB!1:1,0)+2),FALSE),"")</f>
        <v/>
      </c>
      <c r="JWV6" s="27" t="str">
        <f>IFERROR(VLOOKUP(DATE($K$1,$K$2,JWV$4),Table1[],(MATCH(Calendar!$A6,DB!1:1,0)+2),FALSE),"")</f>
        <v/>
      </c>
      <c r="JWW6" s="27" t="str">
        <f>IFERROR(VLOOKUP(DATE($K$1,$K$2,JWW$4),Table1[],(MATCH(Calendar!$A6,DB!1:1,0)+2),FALSE),"")</f>
        <v/>
      </c>
      <c r="JWX6" s="27" t="str">
        <f>IFERROR(VLOOKUP(DATE($K$1,$K$2,JWX$4),Table1[],(MATCH(Calendar!$A6,DB!1:1,0)+2),FALSE),"")</f>
        <v/>
      </c>
      <c r="JWY6" s="27" t="str">
        <f>IFERROR(VLOOKUP(DATE($K$1,$K$2,JWY$4),Table1[],(MATCH(Calendar!$A6,DB!1:1,0)+2),FALSE),"")</f>
        <v/>
      </c>
      <c r="JWZ6" s="27" t="str">
        <f>IFERROR(VLOOKUP(DATE($K$1,$K$2,JWZ$4),Table1[],(MATCH(Calendar!$A6,DB!1:1,0)+2),FALSE),"")</f>
        <v/>
      </c>
      <c r="JXA6" s="27" t="str">
        <f>IFERROR(VLOOKUP(DATE($K$1,$K$2,JXA$4),Table1[],(MATCH(Calendar!$A6,DB!1:1,0)+2),FALSE),"")</f>
        <v/>
      </c>
      <c r="JXB6" s="27" t="str">
        <f>IFERROR(VLOOKUP(DATE($K$1,$K$2,JXB$4),Table1[],(MATCH(Calendar!$A6,DB!1:1,0)+2),FALSE),"")</f>
        <v/>
      </c>
      <c r="JXC6" s="27" t="str">
        <f>IFERROR(VLOOKUP(DATE($K$1,$K$2,JXC$4),Table1[],(MATCH(Calendar!$A6,DB!1:1,0)+2),FALSE),"")</f>
        <v/>
      </c>
      <c r="JXD6" s="27" t="str">
        <f>IFERROR(VLOOKUP(DATE($K$1,$K$2,JXD$4),Table1[],(MATCH(Calendar!$A6,DB!1:1,0)+2),FALSE),"")</f>
        <v/>
      </c>
      <c r="JXE6" s="27" t="str">
        <f>IFERROR(VLOOKUP(DATE($K$1,$K$2,JXE$4),Table1[],(MATCH(Calendar!$A6,DB!1:1,0)+2),FALSE),"")</f>
        <v/>
      </c>
      <c r="JXF6" s="27" t="str">
        <f>IFERROR(VLOOKUP(DATE($K$1,$K$2,JXF$4),Table1[],(MATCH(Calendar!$A6,DB!1:1,0)+2),FALSE),"")</f>
        <v/>
      </c>
      <c r="JXG6" s="27" t="str">
        <f>IFERROR(VLOOKUP(DATE($K$1,$K$2,JXG$4),Table1[],(MATCH(Calendar!$A6,DB!1:1,0)+2),FALSE),"")</f>
        <v/>
      </c>
      <c r="JXH6" s="27" t="str">
        <f>IFERROR(VLOOKUP(DATE($K$1,$K$2,JXH$4),Table1[],(MATCH(Calendar!$A6,DB!1:1,0)+2),FALSE),"")</f>
        <v/>
      </c>
      <c r="JXI6" s="27" t="str">
        <f>IFERROR(VLOOKUP(DATE($K$1,$K$2,JXI$4),Table1[],(MATCH(Calendar!$A6,DB!1:1,0)+2),FALSE),"")</f>
        <v/>
      </c>
      <c r="JXJ6" s="27" t="str">
        <f>IFERROR(VLOOKUP(DATE($K$1,$K$2,JXJ$4),Table1[],(MATCH(Calendar!$A6,DB!1:1,0)+2),FALSE),"")</f>
        <v/>
      </c>
      <c r="JXK6" s="27" t="str">
        <f>IFERROR(VLOOKUP(DATE($K$1,$K$2,JXK$4),Table1[],(MATCH(Calendar!$A6,DB!1:1,0)+2),FALSE),"")</f>
        <v/>
      </c>
      <c r="JXL6" s="27" t="str">
        <f>IFERROR(VLOOKUP(DATE($K$1,$K$2,JXL$4),Table1[],(MATCH(Calendar!$A6,DB!1:1,0)+2),FALSE),"")</f>
        <v/>
      </c>
      <c r="JXM6" s="27" t="str">
        <f>IFERROR(VLOOKUP(DATE($K$1,$K$2,JXM$4),Table1[],(MATCH(Calendar!$A6,DB!1:1,0)+2),FALSE),"")</f>
        <v/>
      </c>
      <c r="JXN6" s="27" t="str">
        <f>IFERROR(VLOOKUP(DATE($K$1,$K$2,JXN$4),Table1[],(MATCH(Calendar!$A6,DB!1:1,0)+2),FALSE),"")</f>
        <v/>
      </c>
      <c r="JXO6" s="27" t="str">
        <f>IFERROR(VLOOKUP(DATE($K$1,$K$2,JXO$4),Table1[],(MATCH(Calendar!$A6,DB!1:1,0)+2),FALSE),"")</f>
        <v/>
      </c>
      <c r="JXP6" s="27" t="str">
        <f>IFERROR(VLOOKUP(DATE($K$1,$K$2,JXP$4),Table1[],(MATCH(Calendar!$A6,DB!1:1,0)+2),FALSE),"")</f>
        <v/>
      </c>
      <c r="JXQ6" s="27" t="str">
        <f>IFERROR(VLOOKUP(DATE($K$1,$K$2,JXQ$4),Table1[],(MATCH(Calendar!$A6,DB!1:1,0)+2),FALSE),"")</f>
        <v/>
      </c>
      <c r="JXR6" s="27" t="str">
        <f>IFERROR(VLOOKUP(DATE($K$1,$K$2,JXR$4),Table1[],(MATCH(Calendar!$A6,DB!1:1,0)+2),FALSE),"")</f>
        <v/>
      </c>
      <c r="JXS6" s="27" t="str">
        <f>IFERROR(VLOOKUP(DATE($K$1,$K$2,JXS$4),Table1[],(MATCH(Calendar!$A6,DB!1:1,0)+2),FALSE),"")</f>
        <v/>
      </c>
      <c r="JXT6" s="27" t="str">
        <f>IFERROR(VLOOKUP(DATE($K$1,$K$2,JXT$4),Table1[],(MATCH(Calendar!$A6,DB!1:1,0)+2),FALSE),"")</f>
        <v/>
      </c>
      <c r="JXU6" s="27" t="str">
        <f>IFERROR(VLOOKUP(DATE($K$1,$K$2,JXU$4),Table1[],(MATCH(Calendar!$A6,DB!1:1,0)+2),FALSE),"")</f>
        <v/>
      </c>
      <c r="JXV6" s="27" t="str">
        <f>IFERROR(VLOOKUP(DATE($K$1,$K$2,JXV$4),Table1[],(MATCH(Calendar!$A6,DB!1:1,0)+2),FALSE),"")</f>
        <v/>
      </c>
      <c r="JXW6" s="27" t="str">
        <f>IFERROR(VLOOKUP(DATE($K$1,$K$2,JXW$4),Table1[],(MATCH(Calendar!$A6,DB!1:1,0)+2),FALSE),"")</f>
        <v/>
      </c>
      <c r="JXX6" s="27" t="str">
        <f>IFERROR(VLOOKUP(DATE($K$1,$K$2,JXX$4),Table1[],(MATCH(Calendar!$A6,DB!1:1,0)+2),FALSE),"")</f>
        <v/>
      </c>
      <c r="JXY6" s="27" t="str">
        <f>IFERROR(VLOOKUP(DATE($K$1,$K$2,JXY$4),Table1[],(MATCH(Calendar!$A6,DB!1:1,0)+2),FALSE),"")</f>
        <v/>
      </c>
      <c r="JXZ6" s="27" t="str">
        <f>IFERROR(VLOOKUP(DATE($K$1,$K$2,JXZ$4),Table1[],(MATCH(Calendar!$A6,DB!1:1,0)+2),FALSE),"")</f>
        <v/>
      </c>
      <c r="JYA6" s="27" t="str">
        <f>IFERROR(VLOOKUP(DATE($K$1,$K$2,JYA$4),Table1[],(MATCH(Calendar!$A6,DB!1:1,0)+2),FALSE),"")</f>
        <v/>
      </c>
      <c r="JYB6" s="27" t="str">
        <f>IFERROR(VLOOKUP(DATE($K$1,$K$2,JYB$4),Table1[],(MATCH(Calendar!$A6,DB!1:1,0)+2),FALSE),"")</f>
        <v/>
      </c>
      <c r="JYC6" s="27" t="str">
        <f>IFERROR(VLOOKUP(DATE($K$1,$K$2,JYC$4),Table1[],(MATCH(Calendar!$A6,DB!1:1,0)+2),FALSE),"")</f>
        <v/>
      </c>
      <c r="JYD6" s="27" t="str">
        <f>IFERROR(VLOOKUP(DATE($K$1,$K$2,JYD$4),Table1[],(MATCH(Calendar!$A6,DB!1:1,0)+2),FALSE),"")</f>
        <v/>
      </c>
      <c r="JYE6" s="27" t="str">
        <f>IFERROR(VLOOKUP(DATE($K$1,$K$2,JYE$4),Table1[],(MATCH(Calendar!$A6,DB!1:1,0)+2),FALSE),"")</f>
        <v/>
      </c>
      <c r="JYF6" s="27" t="str">
        <f>IFERROR(VLOOKUP(DATE($K$1,$K$2,JYF$4),Table1[],(MATCH(Calendar!$A6,DB!1:1,0)+2),FALSE),"")</f>
        <v/>
      </c>
      <c r="JYG6" s="27" t="str">
        <f>IFERROR(VLOOKUP(DATE($K$1,$K$2,JYG$4),Table1[],(MATCH(Calendar!$A6,DB!1:1,0)+2),FALSE),"")</f>
        <v/>
      </c>
      <c r="JYH6" s="27" t="str">
        <f>IFERROR(VLOOKUP(DATE($K$1,$K$2,JYH$4),Table1[],(MATCH(Calendar!$A6,DB!1:1,0)+2),FALSE),"")</f>
        <v/>
      </c>
      <c r="JYI6" s="27" t="str">
        <f>IFERROR(VLOOKUP(DATE($K$1,$K$2,JYI$4),Table1[],(MATCH(Calendar!$A6,DB!1:1,0)+2),FALSE),"")</f>
        <v/>
      </c>
      <c r="JYJ6" s="27" t="str">
        <f>IFERROR(VLOOKUP(DATE($K$1,$K$2,JYJ$4),Table1[],(MATCH(Calendar!$A6,DB!1:1,0)+2),FALSE),"")</f>
        <v/>
      </c>
      <c r="JYK6" s="27" t="str">
        <f>IFERROR(VLOOKUP(DATE($K$1,$K$2,JYK$4),Table1[],(MATCH(Calendar!$A6,DB!1:1,0)+2),FALSE),"")</f>
        <v/>
      </c>
      <c r="JYL6" s="27" t="str">
        <f>IFERROR(VLOOKUP(DATE($K$1,$K$2,JYL$4),Table1[],(MATCH(Calendar!$A6,DB!1:1,0)+2),FALSE),"")</f>
        <v/>
      </c>
      <c r="JYM6" s="27" t="str">
        <f>IFERROR(VLOOKUP(DATE($K$1,$K$2,JYM$4),Table1[],(MATCH(Calendar!$A6,DB!1:1,0)+2),FALSE),"")</f>
        <v/>
      </c>
      <c r="JYN6" s="27" t="str">
        <f>IFERROR(VLOOKUP(DATE($K$1,$K$2,JYN$4),Table1[],(MATCH(Calendar!$A6,DB!1:1,0)+2),FALSE),"")</f>
        <v/>
      </c>
      <c r="JYO6" s="27" t="str">
        <f>IFERROR(VLOOKUP(DATE($K$1,$K$2,JYO$4),Table1[],(MATCH(Calendar!$A6,DB!1:1,0)+2),FALSE),"")</f>
        <v/>
      </c>
      <c r="JYP6" s="27" t="str">
        <f>IFERROR(VLOOKUP(DATE($K$1,$K$2,JYP$4),Table1[],(MATCH(Calendar!$A6,DB!1:1,0)+2),FALSE),"")</f>
        <v/>
      </c>
      <c r="JYQ6" s="27" t="str">
        <f>IFERROR(VLOOKUP(DATE($K$1,$K$2,JYQ$4),Table1[],(MATCH(Calendar!$A6,DB!1:1,0)+2),FALSE),"")</f>
        <v/>
      </c>
      <c r="JYR6" s="27" t="str">
        <f>IFERROR(VLOOKUP(DATE($K$1,$K$2,JYR$4),Table1[],(MATCH(Calendar!$A6,DB!1:1,0)+2),FALSE),"")</f>
        <v/>
      </c>
      <c r="JYS6" s="27" t="str">
        <f>IFERROR(VLOOKUP(DATE($K$1,$K$2,JYS$4),Table1[],(MATCH(Calendar!$A6,DB!1:1,0)+2),FALSE),"")</f>
        <v/>
      </c>
      <c r="JYT6" s="27" t="str">
        <f>IFERROR(VLOOKUP(DATE($K$1,$K$2,JYT$4),Table1[],(MATCH(Calendar!$A6,DB!1:1,0)+2),FALSE),"")</f>
        <v/>
      </c>
      <c r="JYU6" s="27" t="str">
        <f>IFERROR(VLOOKUP(DATE($K$1,$K$2,JYU$4),Table1[],(MATCH(Calendar!$A6,DB!1:1,0)+2),FALSE),"")</f>
        <v/>
      </c>
      <c r="JYV6" s="27" t="str">
        <f>IFERROR(VLOOKUP(DATE($K$1,$K$2,JYV$4),Table1[],(MATCH(Calendar!$A6,DB!1:1,0)+2),FALSE),"")</f>
        <v/>
      </c>
      <c r="JYW6" s="27" t="str">
        <f>IFERROR(VLOOKUP(DATE($K$1,$K$2,JYW$4),Table1[],(MATCH(Calendar!$A6,DB!1:1,0)+2),FALSE),"")</f>
        <v/>
      </c>
      <c r="JYX6" s="27" t="str">
        <f>IFERROR(VLOOKUP(DATE($K$1,$K$2,JYX$4),Table1[],(MATCH(Calendar!$A6,DB!1:1,0)+2),FALSE),"")</f>
        <v/>
      </c>
      <c r="JYY6" s="27" t="str">
        <f>IFERROR(VLOOKUP(DATE($K$1,$K$2,JYY$4),Table1[],(MATCH(Calendar!$A6,DB!1:1,0)+2),FALSE),"")</f>
        <v/>
      </c>
      <c r="JYZ6" s="27" t="str">
        <f>IFERROR(VLOOKUP(DATE($K$1,$K$2,JYZ$4),Table1[],(MATCH(Calendar!$A6,DB!1:1,0)+2),FALSE),"")</f>
        <v/>
      </c>
      <c r="JZA6" s="27" t="str">
        <f>IFERROR(VLOOKUP(DATE($K$1,$K$2,JZA$4),Table1[],(MATCH(Calendar!$A6,DB!1:1,0)+2),FALSE),"")</f>
        <v/>
      </c>
      <c r="JZB6" s="27" t="str">
        <f>IFERROR(VLOOKUP(DATE($K$1,$K$2,JZB$4),Table1[],(MATCH(Calendar!$A6,DB!1:1,0)+2),FALSE),"")</f>
        <v/>
      </c>
      <c r="JZC6" s="27" t="str">
        <f>IFERROR(VLOOKUP(DATE($K$1,$K$2,JZC$4),Table1[],(MATCH(Calendar!$A6,DB!1:1,0)+2),FALSE),"")</f>
        <v/>
      </c>
      <c r="JZD6" s="27" t="str">
        <f>IFERROR(VLOOKUP(DATE($K$1,$K$2,JZD$4),Table1[],(MATCH(Calendar!$A6,DB!1:1,0)+2),FALSE),"")</f>
        <v/>
      </c>
      <c r="JZE6" s="27" t="str">
        <f>IFERROR(VLOOKUP(DATE($K$1,$K$2,JZE$4),Table1[],(MATCH(Calendar!$A6,DB!1:1,0)+2),FALSE),"")</f>
        <v/>
      </c>
      <c r="JZF6" s="27" t="str">
        <f>IFERROR(VLOOKUP(DATE($K$1,$K$2,JZF$4),Table1[],(MATCH(Calendar!$A6,DB!1:1,0)+2),FALSE),"")</f>
        <v/>
      </c>
      <c r="JZG6" s="27" t="str">
        <f>IFERROR(VLOOKUP(DATE($K$1,$K$2,JZG$4),Table1[],(MATCH(Calendar!$A6,DB!1:1,0)+2),FALSE),"")</f>
        <v/>
      </c>
      <c r="JZH6" s="27" t="str">
        <f>IFERROR(VLOOKUP(DATE($K$1,$K$2,JZH$4),Table1[],(MATCH(Calendar!$A6,DB!1:1,0)+2),FALSE),"")</f>
        <v/>
      </c>
      <c r="JZI6" s="27" t="str">
        <f>IFERROR(VLOOKUP(DATE($K$1,$K$2,JZI$4),Table1[],(MATCH(Calendar!$A6,DB!1:1,0)+2),FALSE),"")</f>
        <v/>
      </c>
      <c r="JZJ6" s="27" t="str">
        <f>IFERROR(VLOOKUP(DATE($K$1,$K$2,JZJ$4),Table1[],(MATCH(Calendar!$A6,DB!1:1,0)+2),FALSE),"")</f>
        <v/>
      </c>
      <c r="JZK6" s="27" t="str">
        <f>IFERROR(VLOOKUP(DATE($K$1,$K$2,JZK$4),Table1[],(MATCH(Calendar!$A6,DB!1:1,0)+2),FALSE),"")</f>
        <v/>
      </c>
      <c r="JZL6" s="27" t="str">
        <f>IFERROR(VLOOKUP(DATE($K$1,$K$2,JZL$4),Table1[],(MATCH(Calendar!$A6,DB!1:1,0)+2),FALSE),"")</f>
        <v/>
      </c>
      <c r="JZM6" s="27" t="str">
        <f>IFERROR(VLOOKUP(DATE($K$1,$K$2,JZM$4),Table1[],(MATCH(Calendar!$A6,DB!1:1,0)+2),FALSE),"")</f>
        <v/>
      </c>
      <c r="JZN6" s="27" t="str">
        <f>IFERROR(VLOOKUP(DATE($K$1,$K$2,JZN$4),Table1[],(MATCH(Calendar!$A6,DB!1:1,0)+2),FALSE),"")</f>
        <v/>
      </c>
      <c r="JZO6" s="27" t="str">
        <f>IFERROR(VLOOKUP(DATE($K$1,$K$2,JZO$4),Table1[],(MATCH(Calendar!$A6,DB!1:1,0)+2),FALSE),"")</f>
        <v/>
      </c>
      <c r="JZP6" s="27" t="str">
        <f>IFERROR(VLOOKUP(DATE($K$1,$K$2,JZP$4),Table1[],(MATCH(Calendar!$A6,DB!1:1,0)+2),FALSE),"")</f>
        <v/>
      </c>
      <c r="JZQ6" s="27" t="str">
        <f>IFERROR(VLOOKUP(DATE($K$1,$K$2,JZQ$4),Table1[],(MATCH(Calendar!$A6,DB!1:1,0)+2),FALSE),"")</f>
        <v/>
      </c>
      <c r="JZR6" s="27" t="str">
        <f>IFERROR(VLOOKUP(DATE($K$1,$K$2,JZR$4),Table1[],(MATCH(Calendar!$A6,DB!1:1,0)+2),FALSE),"")</f>
        <v/>
      </c>
      <c r="JZS6" s="27" t="str">
        <f>IFERROR(VLOOKUP(DATE($K$1,$K$2,JZS$4),Table1[],(MATCH(Calendar!$A6,DB!1:1,0)+2),FALSE),"")</f>
        <v/>
      </c>
      <c r="JZT6" s="27" t="str">
        <f>IFERROR(VLOOKUP(DATE($K$1,$K$2,JZT$4),Table1[],(MATCH(Calendar!$A6,DB!1:1,0)+2),FALSE),"")</f>
        <v/>
      </c>
      <c r="JZU6" s="27" t="str">
        <f>IFERROR(VLOOKUP(DATE($K$1,$K$2,JZU$4),Table1[],(MATCH(Calendar!$A6,DB!1:1,0)+2),FALSE),"")</f>
        <v/>
      </c>
      <c r="JZV6" s="27" t="str">
        <f>IFERROR(VLOOKUP(DATE($K$1,$K$2,JZV$4),Table1[],(MATCH(Calendar!$A6,DB!1:1,0)+2),FALSE),"")</f>
        <v/>
      </c>
      <c r="JZW6" s="27" t="str">
        <f>IFERROR(VLOOKUP(DATE($K$1,$K$2,JZW$4),Table1[],(MATCH(Calendar!$A6,DB!1:1,0)+2),FALSE),"")</f>
        <v/>
      </c>
      <c r="JZX6" s="27" t="str">
        <f>IFERROR(VLOOKUP(DATE($K$1,$K$2,JZX$4),Table1[],(MATCH(Calendar!$A6,DB!1:1,0)+2),FALSE),"")</f>
        <v/>
      </c>
      <c r="JZY6" s="27" t="str">
        <f>IFERROR(VLOOKUP(DATE($K$1,$K$2,JZY$4),Table1[],(MATCH(Calendar!$A6,DB!1:1,0)+2),FALSE),"")</f>
        <v/>
      </c>
      <c r="JZZ6" s="27" t="str">
        <f>IFERROR(VLOOKUP(DATE($K$1,$K$2,JZZ$4),Table1[],(MATCH(Calendar!$A6,DB!1:1,0)+2),FALSE),"")</f>
        <v/>
      </c>
      <c r="KAA6" s="27" t="str">
        <f>IFERROR(VLOOKUP(DATE($K$1,$K$2,KAA$4),Table1[],(MATCH(Calendar!$A6,DB!1:1,0)+2),FALSE),"")</f>
        <v/>
      </c>
      <c r="KAB6" s="27" t="str">
        <f>IFERROR(VLOOKUP(DATE($K$1,$K$2,KAB$4),Table1[],(MATCH(Calendar!$A6,DB!1:1,0)+2),FALSE),"")</f>
        <v/>
      </c>
      <c r="KAC6" s="27" t="str">
        <f>IFERROR(VLOOKUP(DATE($K$1,$K$2,KAC$4),Table1[],(MATCH(Calendar!$A6,DB!1:1,0)+2),FALSE),"")</f>
        <v/>
      </c>
      <c r="KAD6" s="27" t="str">
        <f>IFERROR(VLOOKUP(DATE($K$1,$K$2,KAD$4),Table1[],(MATCH(Calendar!$A6,DB!1:1,0)+2),FALSE),"")</f>
        <v/>
      </c>
      <c r="KAE6" s="27" t="str">
        <f>IFERROR(VLOOKUP(DATE($K$1,$K$2,KAE$4),Table1[],(MATCH(Calendar!$A6,DB!1:1,0)+2),FALSE),"")</f>
        <v/>
      </c>
      <c r="KAF6" s="27" t="str">
        <f>IFERROR(VLOOKUP(DATE($K$1,$K$2,KAF$4),Table1[],(MATCH(Calendar!$A6,DB!1:1,0)+2),FALSE),"")</f>
        <v/>
      </c>
      <c r="KAG6" s="27" t="str">
        <f>IFERROR(VLOOKUP(DATE($K$1,$K$2,KAG$4),Table1[],(MATCH(Calendar!$A6,DB!1:1,0)+2),FALSE),"")</f>
        <v/>
      </c>
      <c r="KAH6" s="27" t="str">
        <f>IFERROR(VLOOKUP(DATE($K$1,$K$2,KAH$4),Table1[],(MATCH(Calendar!$A6,DB!1:1,0)+2),FALSE),"")</f>
        <v/>
      </c>
      <c r="KAI6" s="27" t="str">
        <f>IFERROR(VLOOKUP(DATE($K$1,$K$2,KAI$4),Table1[],(MATCH(Calendar!$A6,DB!1:1,0)+2),FALSE),"")</f>
        <v/>
      </c>
      <c r="KAJ6" s="27" t="str">
        <f>IFERROR(VLOOKUP(DATE($K$1,$K$2,KAJ$4),Table1[],(MATCH(Calendar!$A6,DB!1:1,0)+2),FALSE),"")</f>
        <v/>
      </c>
      <c r="KAK6" s="27" t="str">
        <f>IFERROR(VLOOKUP(DATE($K$1,$K$2,KAK$4),Table1[],(MATCH(Calendar!$A6,DB!1:1,0)+2),FALSE),"")</f>
        <v/>
      </c>
      <c r="KAL6" s="27" t="str">
        <f>IFERROR(VLOOKUP(DATE($K$1,$K$2,KAL$4),Table1[],(MATCH(Calendar!$A6,DB!1:1,0)+2),FALSE),"")</f>
        <v/>
      </c>
      <c r="KAM6" s="27" t="str">
        <f>IFERROR(VLOOKUP(DATE($K$1,$K$2,KAM$4),Table1[],(MATCH(Calendar!$A6,DB!1:1,0)+2),FALSE),"")</f>
        <v/>
      </c>
      <c r="KAN6" s="27" t="str">
        <f>IFERROR(VLOOKUP(DATE($K$1,$K$2,KAN$4),Table1[],(MATCH(Calendar!$A6,DB!1:1,0)+2),FALSE),"")</f>
        <v/>
      </c>
      <c r="KAO6" s="27" t="str">
        <f>IFERROR(VLOOKUP(DATE($K$1,$K$2,KAO$4),Table1[],(MATCH(Calendar!$A6,DB!1:1,0)+2),FALSE),"")</f>
        <v/>
      </c>
      <c r="KAP6" s="27" t="str">
        <f>IFERROR(VLOOKUP(DATE($K$1,$K$2,KAP$4),Table1[],(MATCH(Calendar!$A6,DB!1:1,0)+2),FALSE),"")</f>
        <v/>
      </c>
      <c r="KAQ6" s="27" t="str">
        <f>IFERROR(VLOOKUP(DATE($K$1,$K$2,KAQ$4),Table1[],(MATCH(Calendar!$A6,DB!1:1,0)+2),FALSE),"")</f>
        <v/>
      </c>
      <c r="KAR6" s="27" t="str">
        <f>IFERROR(VLOOKUP(DATE($K$1,$K$2,KAR$4),Table1[],(MATCH(Calendar!$A6,DB!1:1,0)+2),FALSE),"")</f>
        <v/>
      </c>
      <c r="KAS6" s="27" t="str">
        <f>IFERROR(VLOOKUP(DATE($K$1,$K$2,KAS$4),Table1[],(MATCH(Calendar!$A6,DB!1:1,0)+2),FALSE),"")</f>
        <v/>
      </c>
      <c r="KAT6" s="27" t="str">
        <f>IFERROR(VLOOKUP(DATE($K$1,$K$2,KAT$4),Table1[],(MATCH(Calendar!$A6,DB!1:1,0)+2),FALSE),"")</f>
        <v/>
      </c>
      <c r="KAU6" s="27" t="str">
        <f>IFERROR(VLOOKUP(DATE($K$1,$K$2,KAU$4),Table1[],(MATCH(Calendar!$A6,DB!1:1,0)+2),FALSE),"")</f>
        <v/>
      </c>
      <c r="KAV6" s="27" t="str">
        <f>IFERROR(VLOOKUP(DATE($K$1,$K$2,KAV$4),Table1[],(MATCH(Calendar!$A6,DB!1:1,0)+2),FALSE),"")</f>
        <v/>
      </c>
      <c r="KAW6" s="27" t="str">
        <f>IFERROR(VLOOKUP(DATE($K$1,$K$2,KAW$4),Table1[],(MATCH(Calendar!$A6,DB!1:1,0)+2),FALSE),"")</f>
        <v/>
      </c>
      <c r="KAX6" s="27" t="str">
        <f>IFERROR(VLOOKUP(DATE($K$1,$K$2,KAX$4),Table1[],(MATCH(Calendar!$A6,DB!1:1,0)+2),FALSE),"")</f>
        <v/>
      </c>
      <c r="KAY6" s="27" t="str">
        <f>IFERROR(VLOOKUP(DATE($K$1,$K$2,KAY$4),Table1[],(MATCH(Calendar!$A6,DB!1:1,0)+2),FALSE),"")</f>
        <v/>
      </c>
      <c r="KAZ6" s="27" t="str">
        <f>IFERROR(VLOOKUP(DATE($K$1,$K$2,KAZ$4),Table1[],(MATCH(Calendar!$A6,DB!1:1,0)+2),FALSE),"")</f>
        <v/>
      </c>
      <c r="KBA6" s="27" t="str">
        <f>IFERROR(VLOOKUP(DATE($K$1,$K$2,KBA$4),Table1[],(MATCH(Calendar!$A6,DB!1:1,0)+2),FALSE),"")</f>
        <v/>
      </c>
      <c r="KBB6" s="27" t="str">
        <f>IFERROR(VLOOKUP(DATE($K$1,$K$2,KBB$4),Table1[],(MATCH(Calendar!$A6,DB!1:1,0)+2),FALSE),"")</f>
        <v/>
      </c>
      <c r="KBC6" s="27" t="str">
        <f>IFERROR(VLOOKUP(DATE($K$1,$K$2,KBC$4),Table1[],(MATCH(Calendar!$A6,DB!1:1,0)+2),FALSE),"")</f>
        <v/>
      </c>
      <c r="KBD6" s="27" t="str">
        <f>IFERROR(VLOOKUP(DATE($K$1,$K$2,KBD$4),Table1[],(MATCH(Calendar!$A6,DB!1:1,0)+2),FALSE),"")</f>
        <v/>
      </c>
      <c r="KBE6" s="27" t="str">
        <f>IFERROR(VLOOKUP(DATE($K$1,$K$2,KBE$4),Table1[],(MATCH(Calendar!$A6,DB!1:1,0)+2),FALSE),"")</f>
        <v/>
      </c>
      <c r="KBF6" s="27" t="str">
        <f>IFERROR(VLOOKUP(DATE($K$1,$K$2,KBF$4),Table1[],(MATCH(Calendar!$A6,DB!1:1,0)+2),FALSE),"")</f>
        <v/>
      </c>
      <c r="KBG6" s="27" t="str">
        <f>IFERROR(VLOOKUP(DATE($K$1,$K$2,KBG$4),Table1[],(MATCH(Calendar!$A6,DB!1:1,0)+2),FALSE),"")</f>
        <v/>
      </c>
      <c r="KBH6" s="27" t="str">
        <f>IFERROR(VLOOKUP(DATE($K$1,$K$2,KBH$4),Table1[],(MATCH(Calendar!$A6,DB!1:1,0)+2),FALSE),"")</f>
        <v/>
      </c>
      <c r="KBI6" s="27" t="str">
        <f>IFERROR(VLOOKUP(DATE($K$1,$K$2,KBI$4),Table1[],(MATCH(Calendar!$A6,DB!1:1,0)+2),FALSE),"")</f>
        <v/>
      </c>
      <c r="KBJ6" s="27" t="str">
        <f>IFERROR(VLOOKUP(DATE($K$1,$K$2,KBJ$4),Table1[],(MATCH(Calendar!$A6,DB!1:1,0)+2),FALSE),"")</f>
        <v/>
      </c>
      <c r="KBK6" s="27" t="str">
        <f>IFERROR(VLOOKUP(DATE($K$1,$K$2,KBK$4),Table1[],(MATCH(Calendar!$A6,DB!1:1,0)+2),FALSE),"")</f>
        <v/>
      </c>
      <c r="KBL6" s="27" t="str">
        <f>IFERROR(VLOOKUP(DATE($K$1,$K$2,KBL$4),Table1[],(MATCH(Calendar!$A6,DB!1:1,0)+2),FALSE),"")</f>
        <v/>
      </c>
      <c r="KBM6" s="27" t="str">
        <f>IFERROR(VLOOKUP(DATE($K$1,$K$2,KBM$4),Table1[],(MATCH(Calendar!$A6,DB!1:1,0)+2),FALSE),"")</f>
        <v/>
      </c>
      <c r="KBN6" s="27" t="str">
        <f>IFERROR(VLOOKUP(DATE($K$1,$K$2,KBN$4),Table1[],(MATCH(Calendar!$A6,DB!1:1,0)+2),FALSE),"")</f>
        <v/>
      </c>
      <c r="KBO6" s="27" t="str">
        <f>IFERROR(VLOOKUP(DATE($K$1,$K$2,KBO$4),Table1[],(MATCH(Calendar!$A6,DB!1:1,0)+2),FALSE),"")</f>
        <v/>
      </c>
      <c r="KBP6" s="27" t="str">
        <f>IFERROR(VLOOKUP(DATE($K$1,$K$2,KBP$4),Table1[],(MATCH(Calendar!$A6,DB!1:1,0)+2),FALSE),"")</f>
        <v/>
      </c>
      <c r="KBQ6" s="27" t="str">
        <f>IFERROR(VLOOKUP(DATE($K$1,$K$2,KBQ$4),Table1[],(MATCH(Calendar!$A6,DB!1:1,0)+2),FALSE),"")</f>
        <v/>
      </c>
      <c r="KBR6" s="27" t="str">
        <f>IFERROR(VLOOKUP(DATE($K$1,$K$2,KBR$4),Table1[],(MATCH(Calendar!$A6,DB!1:1,0)+2),FALSE),"")</f>
        <v/>
      </c>
      <c r="KBS6" s="27" t="str">
        <f>IFERROR(VLOOKUP(DATE($K$1,$K$2,KBS$4),Table1[],(MATCH(Calendar!$A6,DB!1:1,0)+2),FALSE),"")</f>
        <v/>
      </c>
      <c r="KBT6" s="27" t="str">
        <f>IFERROR(VLOOKUP(DATE($K$1,$K$2,KBT$4),Table1[],(MATCH(Calendar!$A6,DB!1:1,0)+2),FALSE),"")</f>
        <v/>
      </c>
      <c r="KBU6" s="27" t="str">
        <f>IFERROR(VLOOKUP(DATE($K$1,$K$2,KBU$4),Table1[],(MATCH(Calendar!$A6,DB!1:1,0)+2),FALSE),"")</f>
        <v/>
      </c>
      <c r="KBV6" s="27" t="str">
        <f>IFERROR(VLOOKUP(DATE($K$1,$K$2,KBV$4),Table1[],(MATCH(Calendar!$A6,DB!1:1,0)+2),FALSE),"")</f>
        <v/>
      </c>
      <c r="KBW6" s="27" t="str">
        <f>IFERROR(VLOOKUP(DATE($K$1,$K$2,KBW$4),Table1[],(MATCH(Calendar!$A6,DB!1:1,0)+2),FALSE),"")</f>
        <v/>
      </c>
      <c r="KBX6" s="27" t="str">
        <f>IFERROR(VLOOKUP(DATE($K$1,$K$2,KBX$4),Table1[],(MATCH(Calendar!$A6,DB!1:1,0)+2),FALSE),"")</f>
        <v/>
      </c>
      <c r="KBY6" s="27" t="str">
        <f>IFERROR(VLOOKUP(DATE($K$1,$K$2,KBY$4),Table1[],(MATCH(Calendar!$A6,DB!1:1,0)+2),FALSE),"")</f>
        <v/>
      </c>
      <c r="KBZ6" s="27" t="str">
        <f>IFERROR(VLOOKUP(DATE($K$1,$K$2,KBZ$4),Table1[],(MATCH(Calendar!$A6,DB!1:1,0)+2),FALSE),"")</f>
        <v/>
      </c>
      <c r="KCA6" s="27" t="str">
        <f>IFERROR(VLOOKUP(DATE($K$1,$K$2,KCA$4),Table1[],(MATCH(Calendar!$A6,DB!1:1,0)+2),FALSE),"")</f>
        <v/>
      </c>
      <c r="KCB6" s="27" t="str">
        <f>IFERROR(VLOOKUP(DATE($K$1,$K$2,KCB$4),Table1[],(MATCH(Calendar!$A6,DB!1:1,0)+2),FALSE),"")</f>
        <v/>
      </c>
      <c r="KCC6" s="27" t="str">
        <f>IFERROR(VLOOKUP(DATE($K$1,$K$2,KCC$4),Table1[],(MATCH(Calendar!$A6,DB!1:1,0)+2),FALSE),"")</f>
        <v/>
      </c>
      <c r="KCD6" s="27" t="str">
        <f>IFERROR(VLOOKUP(DATE($K$1,$K$2,KCD$4),Table1[],(MATCH(Calendar!$A6,DB!1:1,0)+2),FALSE),"")</f>
        <v/>
      </c>
      <c r="KCE6" s="27" t="str">
        <f>IFERROR(VLOOKUP(DATE($K$1,$K$2,KCE$4),Table1[],(MATCH(Calendar!$A6,DB!1:1,0)+2),FALSE),"")</f>
        <v/>
      </c>
      <c r="KCF6" s="27" t="str">
        <f>IFERROR(VLOOKUP(DATE($K$1,$K$2,KCF$4),Table1[],(MATCH(Calendar!$A6,DB!1:1,0)+2),FALSE),"")</f>
        <v/>
      </c>
      <c r="KCG6" s="27" t="str">
        <f>IFERROR(VLOOKUP(DATE($K$1,$K$2,KCG$4),Table1[],(MATCH(Calendar!$A6,DB!1:1,0)+2),FALSE),"")</f>
        <v/>
      </c>
      <c r="KCH6" s="27" t="str">
        <f>IFERROR(VLOOKUP(DATE($K$1,$K$2,KCH$4),Table1[],(MATCH(Calendar!$A6,DB!1:1,0)+2),FALSE),"")</f>
        <v/>
      </c>
      <c r="KCI6" s="27" t="str">
        <f>IFERROR(VLOOKUP(DATE($K$1,$K$2,KCI$4),Table1[],(MATCH(Calendar!$A6,DB!1:1,0)+2),FALSE),"")</f>
        <v/>
      </c>
      <c r="KCJ6" s="27" t="str">
        <f>IFERROR(VLOOKUP(DATE($K$1,$K$2,KCJ$4),Table1[],(MATCH(Calendar!$A6,DB!1:1,0)+2),FALSE),"")</f>
        <v/>
      </c>
      <c r="KCK6" s="27" t="str">
        <f>IFERROR(VLOOKUP(DATE($K$1,$K$2,KCK$4),Table1[],(MATCH(Calendar!$A6,DB!1:1,0)+2),FALSE),"")</f>
        <v/>
      </c>
      <c r="KCL6" s="27" t="str">
        <f>IFERROR(VLOOKUP(DATE($K$1,$K$2,KCL$4),Table1[],(MATCH(Calendar!$A6,DB!1:1,0)+2),FALSE),"")</f>
        <v/>
      </c>
      <c r="KCM6" s="27" t="str">
        <f>IFERROR(VLOOKUP(DATE($K$1,$K$2,KCM$4),Table1[],(MATCH(Calendar!$A6,DB!1:1,0)+2),FALSE),"")</f>
        <v/>
      </c>
      <c r="KCN6" s="27" t="str">
        <f>IFERROR(VLOOKUP(DATE($K$1,$K$2,KCN$4),Table1[],(MATCH(Calendar!$A6,DB!1:1,0)+2),FALSE),"")</f>
        <v/>
      </c>
      <c r="KCO6" s="27" t="str">
        <f>IFERROR(VLOOKUP(DATE($K$1,$K$2,KCO$4),Table1[],(MATCH(Calendar!$A6,DB!1:1,0)+2),FALSE),"")</f>
        <v/>
      </c>
      <c r="KCP6" s="27" t="str">
        <f>IFERROR(VLOOKUP(DATE($K$1,$K$2,KCP$4),Table1[],(MATCH(Calendar!$A6,DB!1:1,0)+2),FALSE),"")</f>
        <v/>
      </c>
      <c r="KCQ6" s="27" t="str">
        <f>IFERROR(VLOOKUP(DATE($K$1,$K$2,KCQ$4),Table1[],(MATCH(Calendar!$A6,DB!1:1,0)+2),FALSE),"")</f>
        <v/>
      </c>
      <c r="KCR6" s="27" t="str">
        <f>IFERROR(VLOOKUP(DATE($K$1,$K$2,KCR$4),Table1[],(MATCH(Calendar!$A6,DB!1:1,0)+2),FALSE),"")</f>
        <v/>
      </c>
      <c r="KCS6" s="27" t="str">
        <f>IFERROR(VLOOKUP(DATE($K$1,$K$2,KCS$4),Table1[],(MATCH(Calendar!$A6,DB!1:1,0)+2),FALSE),"")</f>
        <v/>
      </c>
      <c r="KCT6" s="27" t="str">
        <f>IFERROR(VLOOKUP(DATE($K$1,$K$2,KCT$4),Table1[],(MATCH(Calendar!$A6,DB!1:1,0)+2),FALSE),"")</f>
        <v/>
      </c>
      <c r="KCU6" s="27" t="str">
        <f>IFERROR(VLOOKUP(DATE($K$1,$K$2,KCU$4),Table1[],(MATCH(Calendar!$A6,DB!1:1,0)+2),FALSE),"")</f>
        <v/>
      </c>
      <c r="KCV6" s="27" t="str">
        <f>IFERROR(VLOOKUP(DATE($K$1,$K$2,KCV$4),Table1[],(MATCH(Calendar!$A6,DB!1:1,0)+2),FALSE),"")</f>
        <v/>
      </c>
      <c r="KCW6" s="27" t="str">
        <f>IFERROR(VLOOKUP(DATE($K$1,$K$2,KCW$4),Table1[],(MATCH(Calendar!$A6,DB!1:1,0)+2),FALSE),"")</f>
        <v/>
      </c>
      <c r="KCX6" s="27" t="str">
        <f>IFERROR(VLOOKUP(DATE($K$1,$K$2,KCX$4),Table1[],(MATCH(Calendar!$A6,DB!1:1,0)+2),FALSE),"")</f>
        <v/>
      </c>
      <c r="KCY6" s="27" t="str">
        <f>IFERROR(VLOOKUP(DATE($K$1,$K$2,KCY$4),Table1[],(MATCH(Calendar!$A6,DB!1:1,0)+2),FALSE),"")</f>
        <v/>
      </c>
      <c r="KCZ6" s="27" t="str">
        <f>IFERROR(VLOOKUP(DATE($K$1,$K$2,KCZ$4),Table1[],(MATCH(Calendar!$A6,DB!1:1,0)+2),FALSE),"")</f>
        <v/>
      </c>
      <c r="KDA6" s="27" t="str">
        <f>IFERROR(VLOOKUP(DATE($K$1,$K$2,KDA$4),Table1[],(MATCH(Calendar!$A6,DB!1:1,0)+2),FALSE),"")</f>
        <v/>
      </c>
      <c r="KDB6" s="27" t="str">
        <f>IFERROR(VLOOKUP(DATE($K$1,$K$2,KDB$4),Table1[],(MATCH(Calendar!$A6,DB!1:1,0)+2),FALSE),"")</f>
        <v/>
      </c>
      <c r="KDC6" s="27" t="str">
        <f>IFERROR(VLOOKUP(DATE($K$1,$K$2,KDC$4),Table1[],(MATCH(Calendar!$A6,DB!1:1,0)+2),FALSE),"")</f>
        <v/>
      </c>
      <c r="KDD6" s="27" t="str">
        <f>IFERROR(VLOOKUP(DATE($K$1,$K$2,KDD$4),Table1[],(MATCH(Calendar!$A6,DB!1:1,0)+2),FALSE),"")</f>
        <v/>
      </c>
      <c r="KDE6" s="27" t="str">
        <f>IFERROR(VLOOKUP(DATE($K$1,$K$2,KDE$4),Table1[],(MATCH(Calendar!$A6,DB!1:1,0)+2),FALSE),"")</f>
        <v/>
      </c>
      <c r="KDF6" s="27" t="str">
        <f>IFERROR(VLOOKUP(DATE($K$1,$K$2,KDF$4),Table1[],(MATCH(Calendar!$A6,DB!1:1,0)+2),FALSE),"")</f>
        <v/>
      </c>
      <c r="KDG6" s="27" t="str">
        <f>IFERROR(VLOOKUP(DATE($K$1,$K$2,KDG$4),Table1[],(MATCH(Calendar!$A6,DB!1:1,0)+2),FALSE),"")</f>
        <v/>
      </c>
      <c r="KDH6" s="27" t="str">
        <f>IFERROR(VLOOKUP(DATE($K$1,$K$2,KDH$4),Table1[],(MATCH(Calendar!$A6,DB!1:1,0)+2),FALSE),"")</f>
        <v/>
      </c>
      <c r="KDI6" s="27" t="str">
        <f>IFERROR(VLOOKUP(DATE($K$1,$K$2,KDI$4),Table1[],(MATCH(Calendar!$A6,DB!1:1,0)+2),FALSE),"")</f>
        <v/>
      </c>
      <c r="KDJ6" s="27" t="str">
        <f>IFERROR(VLOOKUP(DATE($K$1,$K$2,KDJ$4),Table1[],(MATCH(Calendar!$A6,DB!1:1,0)+2),FALSE),"")</f>
        <v/>
      </c>
      <c r="KDK6" s="27" t="str">
        <f>IFERROR(VLOOKUP(DATE($K$1,$K$2,KDK$4),Table1[],(MATCH(Calendar!$A6,DB!1:1,0)+2),FALSE),"")</f>
        <v/>
      </c>
      <c r="KDL6" s="27" t="str">
        <f>IFERROR(VLOOKUP(DATE($K$1,$K$2,KDL$4),Table1[],(MATCH(Calendar!$A6,DB!1:1,0)+2),FALSE),"")</f>
        <v/>
      </c>
      <c r="KDM6" s="27" t="str">
        <f>IFERROR(VLOOKUP(DATE($K$1,$K$2,KDM$4),Table1[],(MATCH(Calendar!$A6,DB!1:1,0)+2),FALSE),"")</f>
        <v/>
      </c>
      <c r="KDN6" s="27" t="str">
        <f>IFERROR(VLOOKUP(DATE($K$1,$K$2,KDN$4),Table1[],(MATCH(Calendar!$A6,DB!1:1,0)+2),FALSE),"")</f>
        <v/>
      </c>
      <c r="KDO6" s="27" t="str">
        <f>IFERROR(VLOOKUP(DATE($K$1,$K$2,KDO$4),Table1[],(MATCH(Calendar!$A6,DB!1:1,0)+2),FALSE),"")</f>
        <v/>
      </c>
      <c r="KDP6" s="27" t="str">
        <f>IFERROR(VLOOKUP(DATE($K$1,$K$2,KDP$4),Table1[],(MATCH(Calendar!$A6,DB!1:1,0)+2),FALSE),"")</f>
        <v/>
      </c>
      <c r="KDQ6" s="27" t="str">
        <f>IFERROR(VLOOKUP(DATE($K$1,$K$2,KDQ$4),Table1[],(MATCH(Calendar!$A6,DB!1:1,0)+2),FALSE),"")</f>
        <v/>
      </c>
      <c r="KDR6" s="27" t="str">
        <f>IFERROR(VLOOKUP(DATE($K$1,$K$2,KDR$4),Table1[],(MATCH(Calendar!$A6,DB!1:1,0)+2),FALSE),"")</f>
        <v/>
      </c>
      <c r="KDS6" s="27" t="str">
        <f>IFERROR(VLOOKUP(DATE($K$1,$K$2,KDS$4),Table1[],(MATCH(Calendar!$A6,DB!1:1,0)+2),FALSE),"")</f>
        <v/>
      </c>
      <c r="KDT6" s="27" t="str">
        <f>IFERROR(VLOOKUP(DATE($K$1,$K$2,KDT$4),Table1[],(MATCH(Calendar!$A6,DB!1:1,0)+2),FALSE),"")</f>
        <v/>
      </c>
      <c r="KDU6" s="27" t="str">
        <f>IFERROR(VLOOKUP(DATE($K$1,$K$2,KDU$4),Table1[],(MATCH(Calendar!$A6,DB!1:1,0)+2),FALSE),"")</f>
        <v/>
      </c>
      <c r="KDV6" s="27" t="str">
        <f>IFERROR(VLOOKUP(DATE($K$1,$K$2,KDV$4),Table1[],(MATCH(Calendar!$A6,DB!1:1,0)+2),FALSE),"")</f>
        <v/>
      </c>
      <c r="KDW6" s="27" t="str">
        <f>IFERROR(VLOOKUP(DATE($K$1,$K$2,KDW$4),Table1[],(MATCH(Calendar!$A6,DB!1:1,0)+2),FALSE),"")</f>
        <v/>
      </c>
      <c r="KDX6" s="27" t="str">
        <f>IFERROR(VLOOKUP(DATE($K$1,$K$2,KDX$4),Table1[],(MATCH(Calendar!$A6,DB!1:1,0)+2),FALSE),"")</f>
        <v/>
      </c>
      <c r="KDY6" s="27" t="str">
        <f>IFERROR(VLOOKUP(DATE($K$1,$K$2,KDY$4),Table1[],(MATCH(Calendar!$A6,DB!1:1,0)+2),FALSE),"")</f>
        <v/>
      </c>
      <c r="KDZ6" s="27" t="str">
        <f>IFERROR(VLOOKUP(DATE($K$1,$K$2,KDZ$4),Table1[],(MATCH(Calendar!$A6,DB!1:1,0)+2),FALSE),"")</f>
        <v/>
      </c>
      <c r="KEA6" s="27" t="str">
        <f>IFERROR(VLOOKUP(DATE($K$1,$K$2,KEA$4),Table1[],(MATCH(Calendar!$A6,DB!1:1,0)+2),FALSE),"")</f>
        <v/>
      </c>
      <c r="KEB6" s="27" t="str">
        <f>IFERROR(VLOOKUP(DATE($K$1,$K$2,KEB$4),Table1[],(MATCH(Calendar!$A6,DB!1:1,0)+2),FALSE),"")</f>
        <v/>
      </c>
      <c r="KEC6" s="27" t="str">
        <f>IFERROR(VLOOKUP(DATE($K$1,$K$2,KEC$4),Table1[],(MATCH(Calendar!$A6,DB!1:1,0)+2),FALSE),"")</f>
        <v/>
      </c>
      <c r="KED6" s="27" t="str">
        <f>IFERROR(VLOOKUP(DATE($K$1,$K$2,KED$4),Table1[],(MATCH(Calendar!$A6,DB!1:1,0)+2),FALSE),"")</f>
        <v/>
      </c>
      <c r="KEE6" s="27" t="str">
        <f>IFERROR(VLOOKUP(DATE($K$1,$K$2,KEE$4),Table1[],(MATCH(Calendar!$A6,DB!1:1,0)+2),FALSE),"")</f>
        <v/>
      </c>
      <c r="KEF6" s="27" t="str">
        <f>IFERROR(VLOOKUP(DATE($K$1,$K$2,KEF$4),Table1[],(MATCH(Calendar!$A6,DB!1:1,0)+2),FALSE),"")</f>
        <v/>
      </c>
      <c r="KEG6" s="27" t="str">
        <f>IFERROR(VLOOKUP(DATE($K$1,$K$2,KEG$4),Table1[],(MATCH(Calendar!$A6,DB!1:1,0)+2),FALSE),"")</f>
        <v/>
      </c>
      <c r="KEH6" s="27" t="str">
        <f>IFERROR(VLOOKUP(DATE($K$1,$K$2,KEH$4),Table1[],(MATCH(Calendar!$A6,DB!1:1,0)+2),FALSE),"")</f>
        <v/>
      </c>
      <c r="KEI6" s="27" t="str">
        <f>IFERROR(VLOOKUP(DATE($K$1,$K$2,KEI$4),Table1[],(MATCH(Calendar!$A6,DB!1:1,0)+2),FALSE),"")</f>
        <v/>
      </c>
      <c r="KEJ6" s="27" t="str">
        <f>IFERROR(VLOOKUP(DATE($K$1,$K$2,KEJ$4),Table1[],(MATCH(Calendar!$A6,DB!1:1,0)+2),FALSE),"")</f>
        <v/>
      </c>
      <c r="KEK6" s="27" t="str">
        <f>IFERROR(VLOOKUP(DATE($K$1,$K$2,KEK$4),Table1[],(MATCH(Calendar!$A6,DB!1:1,0)+2),FALSE),"")</f>
        <v/>
      </c>
      <c r="KEL6" s="27" t="str">
        <f>IFERROR(VLOOKUP(DATE($K$1,$K$2,KEL$4),Table1[],(MATCH(Calendar!$A6,DB!1:1,0)+2),FALSE),"")</f>
        <v/>
      </c>
      <c r="KEM6" s="27" t="str">
        <f>IFERROR(VLOOKUP(DATE($K$1,$K$2,KEM$4),Table1[],(MATCH(Calendar!$A6,DB!1:1,0)+2),FALSE),"")</f>
        <v/>
      </c>
      <c r="KEN6" s="27" t="str">
        <f>IFERROR(VLOOKUP(DATE($K$1,$K$2,KEN$4),Table1[],(MATCH(Calendar!$A6,DB!1:1,0)+2),FALSE),"")</f>
        <v/>
      </c>
      <c r="KEO6" s="27" t="str">
        <f>IFERROR(VLOOKUP(DATE($K$1,$K$2,KEO$4),Table1[],(MATCH(Calendar!$A6,DB!1:1,0)+2),FALSE),"")</f>
        <v/>
      </c>
      <c r="KEP6" s="27" t="str">
        <f>IFERROR(VLOOKUP(DATE($K$1,$K$2,KEP$4),Table1[],(MATCH(Calendar!$A6,DB!1:1,0)+2),FALSE),"")</f>
        <v/>
      </c>
      <c r="KEQ6" s="27" t="str">
        <f>IFERROR(VLOOKUP(DATE($K$1,$K$2,KEQ$4),Table1[],(MATCH(Calendar!$A6,DB!1:1,0)+2),FALSE),"")</f>
        <v/>
      </c>
      <c r="KER6" s="27" t="str">
        <f>IFERROR(VLOOKUP(DATE($K$1,$K$2,KER$4),Table1[],(MATCH(Calendar!$A6,DB!1:1,0)+2),FALSE),"")</f>
        <v/>
      </c>
      <c r="KES6" s="27" t="str">
        <f>IFERROR(VLOOKUP(DATE($K$1,$K$2,KES$4),Table1[],(MATCH(Calendar!$A6,DB!1:1,0)+2),FALSE),"")</f>
        <v/>
      </c>
      <c r="KET6" s="27" t="str">
        <f>IFERROR(VLOOKUP(DATE($K$1,$K$2,KET$4),Table1[],(MATCH(Calendar!$A6,DB!1:1,0)+2),FALSE),"")</f>
        <v/>
      </c>
      <c r="KEU6" s="27" t="str">
        <f>IFERROR(VLOOKUP(DATE($K$1,$K$2,KEU$4),Table1[],(MATCH(Calendar!$A6,DB!1:1,0)+2),FALSE),"")</f>
        <v/>
      </c>
      <c r="KEV6" s="27" t="str">
        <f>IFERROR(VLOOKUP(DATE($K$1,$K$2,KEV$4),Table1[],(MATCH(Calendar!$A6,DB!1:1,0)+2),FALSE),"")</f>
        <v/>
      </c>
      <c r="KEW6" s="27" t="str">
        <f>IFERROR(VLOOKUP(DATE($K$1,$K$2,KEW$4),Table1[],(MATCH(Calendar!$A6,DB!1:1,0)+2),FALSE),"")</f>
        <v/>
      </c>
      <c r="KEX6" s="27" t="str">
        <f>IFERROR(VLOOKUP(DATE($K$1,$K$2,KEX$4),Table1[],(MATCH(Calendar!$A6,DB!1:1,0)+2),FALSE),"")</f>
        <v/>
      </c>
      <c r="KEY6" s="27" t="str">
        <f>IFERROR(VLOOKUP(DATE($K$1,$K$2,KEY$4),Table1[],(MATCH(Calendar!$A6,DB!1:1,0)+2),FALSE),"")</f>
        <v/>
      </c>
      <c r="KEZ6" s="27" t="str">
        <f>IFERROR(VLOOKUP(DATE($K$1,$K$2,KEZ$4),Table1[],(MATCH(Calendar!$A6,DB!1:1,0)+2),FALSE),"")</f>
        <v/>
      </c>
      <c r="KFA6" s="27" t="str">
        <f>IFERROR(VLOOKUP(DATE($K$1,$K$2,KFA$4),Table1[],(MATCH(Calendar!$A6,DB!1:1,0)+2),FALSE),"")</f>
        <v/>
      </c>
      <c r="KFB6" s="27" t="str">
        <f>IFERROR(VLOOKUP(DATE($K$1,$K$2,KFB$4),Table1[],(MATCH(Calendar!$A6,DB!1:1,0)+2),FALSE),"")</f>
        <v/>
      </c>
      <c r="KFC6" s="27" t="str">
        <f>IFERROR(VLOOKUP(DATE($K$1,$K$2,KFC$4),Table1[],(MATCH(Calendar!$A6,DB!1:1,0)+2),FALSE),"")</f>
        <v/>
      </c>
      <c r="KFD6" s="27" t="str">
        <f>IFERROR(VLOOKUP(DATE($K$1,$K$2,KFD$4),Table1[],(MATCH(Calendar!$A6,DB!1:1,0)+2),FALSE),"")</f>
        <v/>
      </c>
      <c r="KFE6" s="27" t="str">
        <f>IFERROR(VLOOKUP(DATE($K$1,$K$2,KFE$4),Table1[],(MATCH(Calendar!$A6,DB!1:1,0)+2),FALSE),"")</f>
        <v/>
      </c>
      <c r="KFF6" s="27" t="str">
        <f>IFERROR(VLOOKUP(DATE($K$1,$K$2,KFF$4),Table1[],(MATCH(Calendar!$A6,DB!1:1,0)+2),FALSE),"")</f>
        <v/>
      </c>
      <c r="KFG6" s="27" t="str">
        <f>IFERROR(VLOOKUP(DATE($K$1,$K$2,KFG$4),Table1[],(MATCH(Calendar!$A6,DB!1:1,0)+2),FALSE),"")</f>
        <v/>
      </c>
      <c r="KFH6" s="27" t="str">
        <f>IFERROR(VLOOKUP(DATE($K$1,$K$2,KFH$4),Table1[],(MATCH(Calendar!$A6,DB!1:1,0)+2),FALSE),"")</f>
        <v/>
      </c>
      <c r="KFI6" s="27" t="str">
        <f>IFERROR(VLOOKUP(DATE($K$1,$K$2,KFI$4),Table1[],(MATCH(Calendar!$A6,DB!1:1,0)+2),FALSE),"")</f>
        <v/>
      </c>
      <c r="KFJ6" s="27" t="str">
        <f>IFERROR(VLOOKUP(DATE($K$1,$K$2,KFJ$4),Table1[],(MATCH(Calendar!$A6,DB!1:1,0)+2),FALSE),"")</f>
        <v/>
      </c>
      <c r="KFK6" s="27" t="str">
        <f>IFERROR(VLOOKUP(DATE($K$1,$K$2,KFK$4),Table1[],(MATCH(Calendar!$A6,DB!1:1,0)+2),FALSE),"")</f>
        <v/>
      </c>
      <c r="KFL6" s="27" t="str">
        <f>IFERROR(VLOOKUP(DATE($K$1,$K$2,KFL$4),Table1[],(MATCH(Calendar!$A6,DB!1:1,0)+2),FALSE),"")</f>
        <v/>
      </c>
      <c r="KFM6" s="27" t="str">
        <f>IFERROR(VLOOKUP(DATE($K$1,$K$2,KFM$4),Table1[],(MATCH(Calendar!$A6,DB!1:1,0)+2),FALSE),"")</f>
        <v/>
      </c>
      <c r="KFN6" s="27" t="str">
        <f>IFERROR(VLOOKUP(DATE($K$1,$K$2,KFN$4),Table1[],(MATCH(Calendar!$A6,DB!1:1,0)+2),FALSE),"")</f>
        <v/>
      </c>
      <c r="KFO6" s="27" t="str">
        <f>IFERROR(VLOOKUP(DATE($K$1,$K$2,KFO$4),Table1[],(MATCH(Calendar!$A6,DB!1:1,0)+2),FALSE),"")</f>
        <v/>
      </c>
      <c r="KFP6" s="27" t="str">
        <f>IFERROR(VLOOKUP(DATE($K$1,$K$2,KFP$4),Table1[],(MATCH(Calendar!$A6,DB!1:1,0)+2),FALSE),"")</f>
        <v/>
      </c>
      <c r="KFQ6" s="27" t="str">
        <f>IFERROR(VLOOKUP(DATE($K$1,$K$2,KFQ$4),Table1[],(MATCH(Calendar!$A6,DB!1:1,0)+2),FALSE),"")</f>
        <v/>
      </c>
      <c r="KFR6" s="27" t="str">
        <f>IFERROR(VLOOKUP(DATE($K$1,$K$2,KFR$4),Table1[],(MATCH(Calendar!$A6,DB!1:1,0)+2),FALSE),"")</f>
        <v/>
      </c>
      <c r="KFS6" s="27" t="str">
        <f>IFERROR(VLOOKUP(DATE($K$1,$K$2,KFS$4),Table1[],(MATCH(Calendar!$A6,DB!1:1,0)+2),FALSE),"")</f>
        <v/>
      </c>
      <c r="KFT6" s="27" t="str">
        <f>IFERROR(VLOOKUP(DATE($K$1,$K$2,KFT$4),Table1[],(MATCH(Calendar!$A6,DB!1:1,0)+2),FALSE),"")</f>
        <v/>
      </c>
      <c r="KFU6" s="27" t="str">
        <f>IFERROR(VLOOKUP(DATE($K$1,$K$2,KFU$4),Table1[],(MATCH(Calendar!$A6,DB!1:1,0)+2),FALSE),"")</f>
        <v/>
      </c>
      <c r="KFV6" s="27" t="str">
        <f>IFERROR(VLOOKUP(DATE($K$1,$K$2,KFV$4),Table1[],(MATCH(Calendar!$A6,DB!1:1,0)+2),FALSE),"")</f>
        <v/>
      </c>
      <c r="KFW6" s="27" t="str">
        <f>IFERROR(VLOOKUP(DATE($K$1,$K$2,KFW$4),Table1[],(MATCH(Calendar!$A6,DB!1:1,0)+2),FALSE),"")</f>
        <v/>
      </c>
      <c r="KFX6" s="27" t="str">
        <f>IFERROR(VLOOKUP(DATE($K$1,$K$2,KFX$4),Table1[],(MATCH(Calendar!$A6,DB!1:1,0)+2),FALSE),"")</f>
        <v/>
      </c>
      <c r="KFY6" s="27" t="str">
        <f>IFERROR(VLOOKUP(DATE($K$1,$K$2,KFY$4),Table1[],(MATCH(Calendar!$A6,DB!1:1,0)+2),FALSE),"")</f>
        <v/>
      </c>
      <c r="KFZ6" s="27" t="str">
        <f>IFERROR(VLOOKUP(DATE($K$1,$K$2,KFZ$4),Table1[],(MATCH(Calendar!$A6,DB!1:1,0)+2),FALSE),"")</f>
        <v/>
      </c>
      <c r="KGA6" s="27" t="str">
        <f>IFERROR(VLOOKUP(DATE($K$1,$K$2,KGA$4),Table1[],(MATCH(Calendar!$A6,DB!1:1,0)+2),FALSE),"")</f>
        <v/>
      </c>
      <c r="KGB6" s="27" t="str">
        <f>IFERROR(VLOOKUP(DATE($K$1,$K$2,KGB$4),Table1[],(MATCH(Calendar!$A6,DB!1:1,0)+2),FALSE),"")</f>
        <v/>
      </c>
      <c r="KGC6" s="27" t="str">
        <f>IFERROR(VLOOKUP(DATE($K$1,$K$2,KGC$4),Table1[],(MATCH(Calendar!$A6,DB!1:1,0)+2),FALSE),"")</f>
        <v/>
      </c>
      <c r="KGD6" s="27" t="str">
        <f>IFERROR(VLOOKUP(DATE($K$1,$K$2,KGD$4),Table1[],(MATCH(Calendar!$A6,DB!1:1,0)+2),FALSE),"")</f>
        <v/>
      </c>
      <c r="KGE6" s="27" t="str">
        <f>IFERROR(VLOOKUP(DATE($K$1,$K$2,KGE$4),Table1[],(MATCH(Calendar!$A6,DB!1:1,0)+2),FALSE),"")</f>
        <v/>
      </c>
      <c r="KGF6" s="27" t="str">
        <f>IFERROR(VLOOKUP(DATE($K$1,$K$2,KGF$4),Table1[],(MATCH(Calendar!$A6,DB!1:1,0)+2),FALSE),"")</f>
        <v/>
      </c>
      <c r="KGG6" s="27" t="str">
        <f>IFERROR(VLOOKUP(DATE($K$1,$K$2,KGG$4),Table1[],(MATCH(Calendar!$A6,DB!1:1,0)+2),FALSE),"")</f>
        <v/>
      </c>
      <c r="KGH6" s="27" t="str">
        <f>IFERROR(VLOOKUP(DATE($K$1,$K$2,KGH$4),Table1[],(MATCH(Calendar!$A6,DB!1:1,0)+2),FALSE),"")</f>
        <v/>
      </c>
      <c r="KGI6" s="27" t="str">
        <f>IFERROR(VLOOKUP(DATE($K$1,$K$2,KGI$4),Table1[],(MATCH(Calendar!$A6,DB!1:1,0)+2),FALSE),"")</f>
        <v/>
      </c>
      <c r="KGJ6" s="27" t="str">
        <f>IFERROR(VLOOKUP(DATE($K$1,$K$2,KGJ$4),Table1[],(MATCH(Calendar!$A6,DB!1:1,0)+2),FALSE),"")</f>
        <v/>
      </c>
      <c r="KGK6" s="27" t="str">
        <f>IFERROR(VLOOKUP(DATE($K$1,$K$2,KGK$4),Table1[],(MATCH(Calendar!$A6,DB!1:1,0)+2),FALSE),"")</f>
        <v/>
      </c>
      <c r="KGL6" s="27" t="str">
        <f>IFERROR(VLOOKUP(DATE($K$1,$K$2,KGL$4),Table1[],(MATCH(Calendar!$A6,DB!1:1,0)+2),FALSE),"")</f>
        <v/>
      </c>
      <c r="KGM6" s="27" t="str">
        <f>IFERROR(VLOOKUP(DATE($K$1,$K$2,KGM$4),Table1[],(MATCH(Calendar!$A6,DB!1:1,0)+2),FALSE),"")</f>
        <v/>
      </c>
      <c r="KGN6" s="27" t="str">
        <f>IFERROR(VLOOKUP(DATE($K$1,$K$2,KGN$4),Table1[],(MATCH(Calendar!$A6,DB!1:1,0)+2),FALSE),"")</f>
        <v/>
      </c>
      <c r="KGO6" s="27" t="str">
        <f>IFERROR(VLOOKUP(DATE($K$1,$K$2,KGO$4),Table1[],(MATCH(Calendar!$A6,DB!1:1,0)+2),FALSE),"")</f>
        <v/>
      </c>
      <c r="KGP6" s="27" t="str">
        <f>IFERROR(VLOOKUP(DATE($K$1,$K$2,KGP$4),Table1[],(MATCH(Calendar!$A6,DB!1:1,0)+2),FALSE),"")</f>
        <v/>
      </c>
      <c r="KGQ6" s="27" t="str">
        <f>IFERROR(VLOOKUP(DATE($K$1,$K$2,KGQ$4),Table1[],(MATCH(Calendar!$A6,DB!1:1,0)+2),FALSE),"")</f>
        <v/>
      </c>
      <c r="KGR6" s="27" t="str">
        <f>IFERROR(VLOOKUP(DATE($K$1,$K$2,KGR$4),Table1[],(MATCH(Calendar!$A6,DB!1:1,0)+2),FALSE),"")</f>
        <v/>
      </c>
      <c r="KGS6" s="27" t="str">
        <f>IFERROR(VLOOKUP(DATE($K$1,$K$2,KGS$4),Table1[],(MATCH(Calendar!$A6,DB!1:1,0)+2),FALSE),"")</f>
        <v/>
      </c>
      <c r="KGT6" s="27" t="str">
        <f>IFERROR(VLOOKUP(DATE($K$1,$K$2,KGT$4),Table1[],(MATCH(Calendar!$A6,DB!1:1,0)+2),FALSE),"")</f>
        <v/>
      </c>
      <c r="KGU6" s="27" t="str">
        <f>IFERROR(VLOOKUP(DATE($K$1,$K$2,KGU$4),Table1[],(MATCH(Calendar!$A6,DB!1:1,0)+2),FALSE),"")</f>
        <v/>
      </c>
      <c r="KGV6" s="27" t="str">
        <f>IFERROR(VLOOKUP(DATE($K$1,$K$2,KGV$4),Table1[],(MATCH(Calendar!$A6,DB!1:1,0)+2),FALSE),"")</f>
        <v/>
      </c>
      <c r="KGW6" s="27" t="str">
        <f>IFERROR(VLOOKUP(DATE($K$1,$K$2,KGW$4),Table1[],(MATCH(Calendar!$A6,DB!1:1,0)+2),FALSE),"")</f>
        <v/>
      </c>
      <c r="KGX6" s="27" t="str">
        <f>IFERROR(VLOOKUP(DATE($K$1,$K$2,KGX$4),Table1[],(MATCH(Calendar!$A6,DB!1:1,0)+2),FALSE),"")</f>
        <v/>
      </c>
      <c r="KGY6" s="27" t="str">
        <f>IFERROR(VLOOKUP(DATE($K$1,$K$2,KGY$4),Table1[],(MATCH(Calendar!$A6,DB!1:1,0)+2),FALSE),"")</f>
        <v/>
      </c>
      <c r="KGZ6" s="27" t="str">
        <f>IFERROR(VLOOKUP(DATE($K$1,$K$2,KGZ$4),Table1[],(MATCH(Calendar!$A6,DB!1:1,0)+2),FALSE),"")</f>
        <v/>
      </c>
      <c r="KHA6" s="27" t="str">
        <f>IFERROR(VLOOKUP(DATE($K$1,$K$2,KHA$4),Table1[],(MATCH(Calendar!$A6,DB!1:1,0)+2),FALSE),"")</f>
        <v/>
      </c>
      <c r="KHB6" s="27" t="str">
        <f>IFERROR(VLOOKUP(DATE($K$1,$K$2,KHB$4),Table1[],(MATCH(Calendar!$A6,DB!1:1,0)+2),FALSE),"")</f>
        <v/>
      </c>
      <c r="KHC6" s="27" t="str">
        <f>IFERROR(VLOOKUP(DATE($K$1,$K$2,KHC$4),Table1[],(MATCH(Calendar!$A6,DB!1:1,0)+2),FALSE),"")</f>
        <v/>
      </c>
      <c r="KHD6" s="27" t="str">
        <f>IFERROR(VLOOKUP(DATE($K$1,$K$2,KHD$4),Table1[],(MATCH(Calendar!$A6,DB!1:1,0)+2),FALSE),"")</f>
        <v/>
      </c>
      <c r="KHE6" s="27" t="str">
        <f>IFERROR(VLOOKUP(DATE($K$1,$K$2,KHE$4),Table1[],(MATCH(Calendar!$A6,DB!1:1,0)+2),FALSE),"")</f>
        <v/>
      </c>
      <c r="KHF6" s="27" t="str">
        <f>IFERROR(VLOOKUP(DATE($K$1,$K$2,KHF$4),Table1[],(MATCH(Calendar!$A6,DB!1:1,0)+2),FALSE),"")</f>
        <v/>
      </c>
      <c r="KHG6" s="27" t="str">
        <f>IFERROR(VLOOKUP(DATE($K$1,$K$2,KHG$4),Table1[],(MATCH(Calendar!$A6,DB!1:1,0)+2),FALSE),"")</f>
        <v/>
      </c>
      <c r="KHH6" s="27" t="str">
        <f>IFERROR(VLOOKUP(DATE($K$1,$K$2,KHH$4),Table1[],(MATCH(Calendar!$A6,DB!1:1,0)+2),FALSE),"")</f>
        <v/>
      </c>
      <c r="KHI6" s="27" t="str">
        <f>IFERROR(VLOOKUP(DATE($K$1,$K$2,KHI$4),Table1[],(MATCH(Calendar!$A6,DB!1:1,0)+2),FALSE),"")</f>
        <v/>
      </c>
      <c r="KHJ6" s="27" t="str">
        <f>IFERROR(VLOOKUP(DATE($K$1,$K$2,KHJ$4),Table1[],(MATCH(Calendar!$A6,DB!1:1,0)+2),FALSE),"")</f>
        <v/>
      </c>
      <c r="KHK6" s="27" t="str">
        <f>IFERROR(VLOOKUP(DATE($K$1,$K$2,KHK$4),Table1[],(MATCH(Calendar!$A6,DB!1:1,0)+2),FALSE),"")</f>
        <v/>
      </c>
      <c r="KHL6" s="27" t="str">
        <f>IFERROR(VLOOKUP(DATE($K$1,$K$2,KHL$4),Table1[],(MATCH(Calendar!$A6,DB!1:1,0)+2),FALSE),"")</f>
        <v/>
      </c>
      <c r="KHM6" s="27" t="str">
        <f>IFERROR(VLOOKUP(DATE($K$1,$K$2,KHM$4),Table1[],(MATCH(Calendar!$A6,DB!1:1,0)+2),FALSE),"")</f>
        <v/>
      </c>
      <c r="KHN6" s="27" t="str">
        <f>IFERROR(VLOOKUP(DATE($K$1,$K$2,KHN$4),Table1[],(MATCH(Calendar!$A6,DB!1:1,0)+2),FALSE),"")</f>
        <v/>
      </c>
      <c r="KHO6" s="27" t="str">
        <f>IFERROR(VLOOKUP(DATE($K$1,$K$2,KHO$4),Table1[],(MATCH(Calendar!$A6,DB!1:1,0)+2),FALSE),"")</f>
        <v/>
      </c>
      <c r="KHP6" s="27" t="str">
        <f>IFERROR(VLOOKUP(DATE($K$1,$K$2,KHP$4),Table1[],(MATCH(Calendar!$A6,DB!1:1,0)+2),FALSE),"")</f>
        <v/>
      </c>
      <c r="KHQ6" s="27" t="str">
        <f>IFERROR(VLOOKUP(DATE($K$1,$K$2,KHQ$4),Table1[],(MATCH(Calendar!$A6,DB!1:1,0)+2),FALSE),"")</f>
        <v/>
      </c>
      <c r="KHR6" s="27" t="str">
        <f>IFERROR(VLOOKUP(DATE($K$1,$K$2,KHR$4),Table1[],(MATCH(Calendar!$A6,DB!1:1,0)+2),FALSE),"")</f>
        <v/>
      </c>
      <c r="KHS6" s="27" t="str">
        <f>IFERROR(VLOOKUP(DATE($K$1,$K$2,KHS$4),Table1[],(MATCH(Calendar!$A6,DB!1:1,0)+2),FALSE),"")</f>
        <v/>
      </c>
      <c r="KHT6" s="27" t="str">
        <f>IFERROR(VLOOKUP(DATE($K$1,$K$2,KHT$4),Table1[],(MATCH(Calendar!$A6,DB!1:1,0)+2),FALSE),"")</f>
        <v/>
      </c>
      <c r="KHU6" s="27" t="str">
        <f>IFERROR(VLOOKUP(DATE($K$1,$K$2,KHU$4),Table1[],(MATCH(Calendar!$A6,DB!1:1,0)+2),FALSE),"")</f>
        <v/>
      </c>
      <c r="KHV6" s="27" t="str">
        <f>IFERROR(VLOOKUP(DATE($K$1,$K$2,KHV$4),Table1[],(MATCH(Calendar!$A6,DB!1:1,0)+2),FALSE),"")</f>
        <v/>
      </c>
      <c r="KHW6" s="27" t="str">
        <f>IFERROR(VLOOKUP(DATE($K$1,$K$2,KHW$4),Table1[],(MATCH(Calendar!$A6,DB!1:1,0)+2),FALSE),"")</f>
        <v/>
      </c>
      <c r="KHX6" s="27" t="str">
        <f>IFERROR(VLOOKUP(DATE($K$1,$K$2,KHX$4),Table1[],(MATCH(Calendar!$A6,DB!1:1,0)+2),FALSE),"")</f>
        <v/>
      </c>
      <c r="KHY6" s="27" t="str">
        <f>IFERROR(VLOOKUP(DATE($K$1,$K$2,KHY$4),Table1[],(MATCH(Calendar!$A6,DB!1:1,0)+2),FALSE),"")</f>
        <v/>
      </c>
      <c r="KHZ6" s="27" t="str">
        <f>IFERROR(VLOOKUP(DATE($K$1,$K$2,KHZ$4),Table1[],(MATCH(Calendar!$A6,DB!1:1,0)+2),FALSE),"")</f>
        <v/>
      </c>
      <c r="KIA6" s="27" t="str">
        <f>IFERROR(VLOOKUP(DATE($K$1,$K$2,KIA$4),Table1[],(MATCH(Calendar!$A6,DB!1:1,0)+2),FALSE),"")</f>
        <v/>
      </c>
      <c r="KIB6" s="27" t="str">
        <f>IFERROR(VLOOKUP(DATE($K$1,$K$2,KIB$4),Table1[],(MATCH(Calendar!$A6,DB!1:1,0)+2),FALSE),"")</f>
        <v/>
      </c>
      <c r="KIC6" s="27" t="str">
        <f>IFERROR(VLOOKUP(DATE($K$1,$K$2,KIC$4),Table1[],(MATCH(Calendar!$A6,DB!1:1,0)+2),FALSE),"")</f>
        <v/>
      </c>
      <c r="KID6" s="27" t="str">
        <f>IFERROR(VLOOKUP(DATE($K$1,$K$2,KID$4),Table1[],(MATCH(Calendar!$A6,DB!1:1,0)+2),FALSE),"")</f>
        <v/>
      </c>
      <c r="KIE6" s="27" t="str">
        <f>IFERROR(VLOOKUP(DATE($K$1,$K$2,KIE$4),Table1[],(MATCH(Calendar!$A6,DB!1:1,0)+2),FALSE),"")</f>
        <v/>
      </c>
      <c r="KIF6" s="27" t="str">
        <f>IFERROR(VLOOKUP(DATE($K$1,$K$2,KIF$4),Table1[],(MATCH(Calendar!$A6,DB!1:1,0)+2),FALSE),"")</f>
        <v/>
      </c>
      <c r="KIG6" s="27" t="str">
        <f>IFERROR(VLOOKUP(DATE($K$1,$K$2,KIG$4),Table1[],(MATCH(Calendar!$A6,DB!1:1,0)+2),FALSE),"")</f>
        <v/>
      </c>
      <c r="KIH6" s="27" t="str">
        <f>IFERROR(VLOOKUP(DATE($K$1,$K$2,KIH$4),Table1[],(MATCH(Calendar!$A6,DB!1:1,0)+2),FALSE),"")</f>
        <v/>
      </c>
      <c r="KII6" s="27" t="str">
        <f>IFERROR(VLOOKUP(DATE($K$1,$K$2,KII$4),Table1[],(MATCH(Calendar!$A6,DB!1:1,0)+2),FALSE),"")</f>
        <v/>
      </c>
      <c r="KIJ6" s="27" t="str">
        <f>IFERROR(VLOOKUP(DATE($K$1,$K$2,KIJ$4),Table1[],(MATCH(Calendar!$A6,DB!1:1,0)+2),FALSE),"")</f>
        <v/>
      </c>
      <c r="KIK6" s="27" t="str">
        <f>IFERROR(VLOOKUP(DATE($K$1,$K$2,KIK$4),Table1[],(MATCH(Calendar!$A6,DB!1:1,0)+2),FALSE),"")</f>
        <v/>
      </c>
      <c r="KIL6" s="27" t="str">
        <f>IFERROR(VLOOKUP(DATE($K$1,$K$2,KIL$4),Table1[],(MATCH(Calendar!$A6,DB!1:1,0)+2),FALSE),"")</f>
        <v/>
      </c>
      <c r="KIM6" s="27" t="str">
        <f>IFERROR(VLOOKUP(DATE($K$1,$K$2,KIM$4),Table1[],(MATCH(Calendar!$A6,DB!1:1,0)+2),FALSE),"")</f>
        <v/>
      </c>
      <c r="KIN6" s="27" t="str">
        <f>IFERROR(VLOOKUP(DATE($K$1,$K$2,KIN$4),Table1[],(MATCH(Calendar!$A6,DB!1:1,0)+2),FALSE),"")</f>
        <v/>
      </c>
      <c r="KIO6" s="27" t="str">
        <f>IFERROR(VLOOKUP(DATE($K$1,$K$2,KIO$4),Table1[],(MATCH(Calendar!$A6,DB!1:1,0)+2),FALSE),"")</f>
        <v/>
      </c>
      <c r="KIP6" s="27" t="str">
        <f>IFERROR(VLOOKUP(DATE($K$1,$K$2,KIP$4),Table1[],(MATCH(Calendar!$A6,DB!1:1,0)+2),FALSE),"")</f>
        <v/>
      </c>
      <c r="KIQ6" s="27" t="str">
        <f>IFERROR(VLOOKUP(DATE($K$1,$K$2,KIQ$4),Table1[],(MATCH(Calendar!$A6,DB!1:1,0)+2),FALSE),"")</f>
        <v/>
      </c>
      <c r="KIR6" s="27" t="str">
        <f>IFERROR(VLOOKUP(DATE($K$1,$K$2,KIR$4),Table1[],(MATCH(Calendar!$A6,DB!1:1,0)+2),FALSE),"")</f>
        <v/>
      </c>
      <c r="KIS6" s="27" t="str">
        <f>IFERROR(VLOOKUP(DATE($K$1,$K$2,KIS$4),Table1[],(MATCH(Calendar!$A6,DB!1:1,0)+2),FALSE),"")</f>
        <v/>
      </c>
      <c r="KIT6" s="27" t="str">
        <f>IFERROR(VLOOKUP(DATE($K$1,$K$2,KIT$4),Table1[],(MATCH(Calendar!$A6,DB!1:1,0)+2),FALSE),"")</f>
        <v/>
      </c>
      <c r="KIU6" s="27" t="str">
        <f>IFERROR(VLOOKUP(DATE($K$1,$K$2,KIU$4),Table1[],(MATCH(Calendar!$A6,DB!1:1,0)+2),FALSE),"")</f>
        <v/>
      </c>
      <c r="KIV6" s="27" t="str">
        <f>IFERROR(VLOOKUP(DATE($K$1,$K$2,KIV$4),Table1[],(MATCH(Calendar!$A6,DB!1:1,0)+2),FALSE),"")</f>
        <v/>
      </c>
      <c r="KIW6" s="27" t="str">
        <f>IFERROR(VLOOKUP(DATE($K$1,$K$2,KIW$4),Table1[],(MATCH(Calendar!$A6,DB!1:1,0)+2),FALSE),"")</f>
        <v/>
      </c>
      <c r="KIX6" s="27" t="str">
        <f>IFERROR(VLOOKUP(DATE($K$1,$K$2,KIX$4),Table1[],(MATCH(Calendar!$A6,DB!1:1,0)+2),FALSE),"")</f>
        <v/>
      </c>
      <c r="KIY6" s="27" t="str">
        <f>IFERROR(VLOOKUP(DATE($K$1,$K$2,KIY$4),Table1[],(MATCH(Calendar!$A6,DB!1:1,0)+2),FALSE),"")</f>
        <v/>
      </c>
      <c r="KIZ6" s="27" t="str">
        <f>IFERROR(VLOOKUP(DATE($K$1,$K$2,KIZ$4),Table1[],(MATCH(Calendar!$A6,DB!1:1,0)+2),FALSE),"")</f>
        <v/>
      </c>
      <c r="KJA6" s="27" t="str">
        <f>IFERROR(VLOOKUP(DATE($K$1,$K$2,KJA$4),Table1[],(MATCH(Calendar!$A6,DB!1:1,0)+2),FALSE),"")</f>
        <v/>
      </c>
      <c r="KJB6" s="27" t="str">
        <f>IFERROR(VLOOKUP(DATE($K$1,$K$2,KJB$4),Table1[],(MATCH(Calendar!$A6,DB!1:1,0)+2),FALSE),"")</f>
        <v/>
      </c>
      <c r="KJC6" s="27" t="str">
        <f>IFERROR(VLOOKUP(DATE($K$1,$K$2,KJC$4),Table1[],(MATCH(Calendar!$A6,DB!1:1,0)+2),FALSE),"")</f>
        <v/>
      </c>
      <c r="KJD6" s="27" t="str">
        <f>IFERROR(VLOOKUP(DATE($K$1,$K$2,KJD$4),Table1[],(MATCH(Calendar!$A6,DB!1:1,0)+2),FALSE),"")</f>
        <v/>
      </c>
      <c r="KJE6" s="27" t="str">
        <f>IFERROR(VLOOKUP(DATE($K$1,$K$2,KJE$4),Table1[],(MATCH(Calendar!$A6,DB!1:1,0)+2),FALSE),"")</f>
        <v/>
      </c>
      <c r="KJF6" s="27" t="str">
        <f>IFERROR(VLOOKUP(DATE($K$1,$K$2,KJF$4),Table1[],(MATCH(Calendar!$A6,DB!1:1,0)+2),FALSE),"")</f>
        <v/>
      </c>
      <c r="KJG6" s="27" t="str">
        <f>IFERROR(VLOOKUP(DATE($K$1,$K$2,KJG$4),Table1[],(MATCH(Calendar!$A6,DB!1:1,0)+2),FALSE),"")</f>
        <v/>
      </c>
      <c r="KJH6" s="27" t="str">
        <f>IFERROR(VLOOKUP(DATE($K$1,$K$2,KJH$4),Table1[],(MATCH(Calendar!$A6,DB!1:1,0)+2),FALSE),"")</f>
        <v/>
      </c>
      <c r="KJI6" s="27" t="str">
        <f>IFERROR(VLOOKUP(DATE($K$1,$K$2,KJI$4),Table1[],(MATCH(Calendar!$A6,DB!1:1,0)+2),FALSE),"")</f>
        <v/>
      </c>
      <c r="KJJ6" s="27" t="str">
        <f>IFERROR(VLOOKUP(DATE($K$1,$K$2,KJJ$4),Table1[],(MATCH(Calendar!$A6,DB!1:1,0)+2),FALSE),"")</f>
        <v/>
      </c>
      <c r="KJK6" s="27" t="str">
        <f>IFERROR(VLOOKUP(DATE($K$1,$K$2,KJK$4),Table1[],(MATCH(Calendar!$A6,DB!1:1,0)+2),FALSE),"")</f>
        <v/>
      </c>
      <c r="KJL6" s="27" t="str">
        <f>IFERROR(VLOOKUP(DATE($K$1,$K$2,KJL$4),Table1[],(MATCH(Calendar!$A6,DB!1:1,0)+2),FALSE),"")</f>
        <v/>
      </c>
      <c r="KJM6" s="27" t="str">
        <f>IFERROR(VLOOKUP(DATE($K$1,$K$2,KJM$4),Table1[],(MATCH(Calendar!$A6,DB!1:1,0)+2),FALSE),"")</f>
        <v/>
      </c>
      <c r="KJN6" s="27" t="str">
        <f>IFERROR(VLOOKUP(DATE($K$1,$K$2,KJN$4),Table1[],(MATCH(Calendar!$A6,DB!1:1,0)+2),FALSE),"")</f>
        <v/>
      </c>
      <c r="KJO6" s="27" t="str">
        <f>IFERROR(VLOOKUP(DATE($K$1,$K$2,KJO$4),Table1[],(MATCH(Calendar!$A6,DB!1:1,0)+2),FALSE),"")</f>
        <v/>
      </c>
      <c r="KJP6" s="27" t="str">
        <f>IFERROR(VLOOKUP(DATE($K$1,$K$2,KJP$4),Table1[],(MATCH(Calendar!$A6,DB!1:1,0)+2),FALSE),"")</f>
        <v/>
      </c>
      <c r="KJQ6" s="27" t="str">
        <f>IFERROR(VLOOKUP(DATE($K$1,$K$2,KJQ$4),Table1[],(MATCH(Calendar!$A6,DB!1:1,0)+2),FALSE),"")</f>
        <v/>
      </c>
      <c r="KJR6" s="27" t="str">
        <f>IFERROR(VLOOKUP(DATE($K$1,$K$2,KJR$4),Table1[],(MATCH(Calendar!$A6,DB!1:1,0)+2),FALSE),"")</f>
        <v/>
      </c>
      <c r="KJS6" s="27" t="str">
        <f>IFERROR(VLOOKUP(DATE($K$1,$K$2,KJS$4),Table1[],(MATCH(Calendar!$A6,DB!1:1,0)+2),FALSE),"")</f>
        <v/>
      </c>
      <c r="KJT6" s="27" t="str">
        <f>IFERROR(VLOOKUP(DATE($K$1,$K$2,KJT$4),Table1[],(MATCH(Calendar!$A6,DB!1:1,0)+2),FALSE),"")</f>
        <v/>
      </c>
      <c r="KJU6" s="27" t="str">
        <f>IFERROR(VLOOKUP(DATE($K$1,$K$2,KJU$4),Table1[],(MATCH(Calendar!$A6,DB!1:1,0)+2),FALSE),"")</f>
        <v/>
      </c>
      <c r="KJV6" s="27" t="str">
        <f>IFERROR(VLOOKUP(DATE($K$1,$K$2,KJV$4),Table1[],(MATCH(Calendar!$A6,DB!1:1,0)+2),FALSE),"")</f>
        <v/>
      </c>
      <c r="KJW6" s="27" t="str">
        <f>IFERROR(VLOOKUP(DATE($K$1,$K$2,KJW$4),Table1[],(MATCH(Calendar!$A6,DB!1:1,0)+2),FALSE),"")</f>
        <v/>
      </c>
      <c r="KJX6" s="27" t="str">
        <f>IFERROR(VLOOKUP(DATE($K$1,$K$2,KJX$4),Table1[],(MATCH(Calendar!$A6,DB!1:1,0)+2),FALSE),"")</f>
        <v/>
      </c>
      <c r="KJY6" s="27" t="str">
        <f>IFERROR(VLOOKUP(DATE($K$1,$K$2,KJY$4),Table1[],(MATCH(Calendar!$A6,DB!1:1,0)+2),FALSE),"")</f>
        <v/>
      </c>
      <c r="KJZ6" s="27" t="str">
        <f>IFERROR(VLOOKUP(DATE($K$1,$K$2,KJZ$4),Table1[],(MATCH(Calendar!$A6,DB!1:1,0)+2),FALSE),"")</f>
        <v/>
      </c>
      <c r="KKA6" s="27" t="str">
        <f>IFERROR(VLOOKUP(DATE($K$1,$K$2,KKA$4),Table1[],(MATCH(Calendar!$A6,DB!1:1,0)+2),FALSE),"")</f>
        <v/>
      </c>
      <c r="KKB6" s="27" t="str">
        <f>IFERROR(VLOOKUP(DATE($K$1,$K$2,KKB$4),Table1[],(MATCH(Calendar!$A6,DB!1:1,0)+2),FALSE),"")</f>
        <v/>
      </c>
      <c r="KKC6" s="27" t="str">
        <f>IFERROR(VLOOKUP(DATE($K$1,$K$2,KKC$4),Table1[],(MATCH(Calendar!$A6,DB!1:1,0)+2),FALSE),"")</f>
        <v/>
      </c>
      <c r="KKD6" s="27" t="str">
        <f>IFERROR(VLOOKUP(DATE($K$1,$K$2,KKD$4),Table1[],(MATCH(Calendar!$A6,DB!1:1,0)+2),FALSE),"")</f>
        <v/>
      </c>
      <c r="KKE6" s="27" t="str">
        <f>IFERROR(VLOOKUP(DATE($K$1,$K$2,KKE$4),Table1[],(MATCH(Calendar!$A6,DB!1:1,0)+2),FALSE),"")</f>
        <v/>
      </c>
      <c r="KKF6" s="27" t="str">
        <f>IFERROR(VLOOKUP(DATE($K$1,$K$2,KKF$4),Table1[],(MATCH(Calendar!$A6,DB!1:1,0)+2),FALSE),"")</f>
        <v/>
      </c>
      <c r="KKG6" s="27" t="str">
        <f>IFERROR(VLOOKUP(DATE($K$1,$K$2,KKG$4),Table1[],(MATCH(Calendar!$A6,DB!1:1,0)+2),FALSE),"")</f>
        <v/>
      </c>
      <c r="KKH6" s="27" t="str">
        <f>IFERROR(VLOOKUP(DATE($K$1,$K$2,KKH$4),Table1[],(MATCH(Calendar!$A6,DB!1:1,0)+2),FALSE),"")</f>
        <v/>
      </c>
      <c r="KKI6" s="27" t="str">
        <f>IFERROR(VLOOKUP(DATE($K$1,$K$2,KKI$4),Table1[],(MATCH(Calendar!$A6,DB!1:1,0)+2),FALSE),"")</f>
        <v/>
      </c>
      <c r="KKJ6" s="27" t="str">
        <f>IFERROR(VLOOKUP(DATE($K$1,$K$2,KKJ$4),Table1[],(MATCH(Calendar!$A6,DB!1:1,0)+2),FALSE),"")</f>
        <v/>
      </c>
      <c r="KKK6" s="27" t="str">
        <f>IFERROR(VLOOKUP(DATE($K$1,$K$2,KKK$4),Table1[],(MATCH(Calendar!$A6,DB!1:1,0)+2),FALSE),"")</f>
        <v/>
      </c>
      <c r="KKL6" s="27" t="str">
        <f>IFERROR(VLOOKUP(DATE($K$1,$K$2,KKL$4),Table1[],(MATCH(Calendar!$A6,DB!1:1,0)+2),FALSE),"")</f>
        <v/>
      </c>
      <c r="KKM6" s="27" t="str">
        <f>IFERROR(VLOOKUP(DATE($K$1,$K$2,KKM$4),Table1[],(MATCH(Calendar!$A6,DB!1:1,0)+2),FALSE),"")</f>
        <v/>
      </c>
      <c r="KKN6" s="27" t="str">
        <f>IFERROR(VLOOKUP(DATE($K$1,$K$2,KKN$4),Table1[],(MATCH(Calendar!$A6,DB!1:1,0)+2),FALSE),"")</f>
        <v/>
      </c>
      <c r="KKO6" s="27" t="str">
        <f>IFERROR(VLOOKUP(DATE($K$1,$K$2,KKO$4),Table1[],(MATCH(Calendar!$A6,DB!1:1,0)+2),FALSE),"")</f>
        <v/>
      </c>
      <c r="KKP6" s="27" t="str">
        <f>IFERROR(VLOOKUP(DATE($K$1,$K$2,KKP$4),Table1[],(MATCH(Calendar!$A6,DB!1:1,0)+2),FALSE),"")</f>
        <v/>
      </c>
      <c r="KKQ6" s="27" t="str">
        <f>IFERROR(VLOOKUP(DATE($K$1,$K$2,KKQ$4),Table1[],(MATCH(Calendar!$A6,DB!1:1,0)+2),FALSE),"")</f>
        <v/>
      </c>
      <c r="KKR6" s="27" t="str">
        <f>IFERROR(VLOOKUP(DATE($K$1,$K$2,KKR$4),Table1[],(MATCH(Calendar!$A6,DB!1:1,0)+2),FALSE),"")</f>
        <v/>
      </c>
      <c r="KKS6" s="27" t="str">
        <f>IFERROR(VLOOKUP(DATE($K$1,$K$2,KKS$4),Table1[],(MATCH(Calendar!$A6,DB!1:1,0)+2),FALSE),"")</f>
        <v/>
      </c>
      <c r="KKT6" s="27" t="str">
        <f>IFERROR(VLOOKUP(DATE($K$1,$K$2,KKT$4),Table1[],(MATCH(Calendar!$A6,DB!1:1,0)+2),FALSE),"")</f>
        <v/>
      </c>
      <c r="KKU6" s="27" t="str">
        <f>IFERROR(VLOOKUP(DATE($K$1,$K$2,KKU$4),Table1[],(MATCH(Calendar!$A6,DB!1:1,0)+2),FALSE),"")</f>
        <v/>
      </c>
      <c r="KKV6" s="27" t="str">
        <f>IFERROR(VLOOKUP(DATE($K$1,$K$2,KKV$4),Table1[],(MATCH(Calendar!$A6,DB!1:1,0)+2),FALSE),"")</f>
        <v/>
      </c>
      <c r="KKW6" s="27" t="str">
        <f>IFERROR(VLOOKUP(DATE($K$1,$K$2,KKW$4),Table1[],(MATCH(Calendar!$A6,DB!1:1,0)+2),FALSE),"")</f>
        <v/>
      </c>
      <c r="KKX6" s="27" t="str">
        <f>IFERROR(VLOOKUP(DATE($K$1,$K$2,KKX$4),Table1[],(MATCH(Calendar!$A6,DB!1:1,0)+2),FALSE),"")</f>
        <v/>
      </c>
      <c r="KKY6" s="27" t="str">
        <f>IFERROR(VLOOKUP(DATE($K$1,$K$2,KKY$4),Table1[],(MATCH(Calendar!$A6,DB!1:1,0)+2),FALSE),"")</f>
        <v/>
      </c>
      <c r="KKZ6" s="27" t="str">
        <f>IFERROR(VLOOKUP(DATE($K$1,$K$2,KKZ$4),Table1[],(MATCH(Calendar!$A6,DB!1:1,0)+2),FALSE),"")</f>
        <v/>
      </c>
      <c r="KLA6" s="27" t="str">
        <f>IFERROR(VLOOKUP(DATE($K$1,$K$2,KLA$4),Table1[],(MATCH(Calendar!$A6,DB!1:1,0)+2),FALSE),"")</f>
        <v/>
      </c>
      <c r="KLB6" s="27" t="str">
        <f>IFERROR(VLOOKUP(DATE($K$1,$K$2,KLB$4),Table1[],(MATCH(Calendar!$A6,DB!1:1,0)+2),FALSE),"")</f>
        <v/>
      </c>
      <c r="KLC6" s="27" t="str">
        <f>IFERROR(VLOOKUP(DATE($K$1,$K$2,KLC$4),Table1[],(MATCH(Calendar!$A6,DB!1:1,0)+2),FALSE),"")</f>
        <v/>
      </c>
      <c r="KLD6" s="27" t="str">
        <f>IFERROR(VLOOKUP(DATE($K$1,$K$2,KLD$4),Table1[],(MATCH(Calendar!$A6,DB!1:1,0)+2),FALSE),"")</f>
        <v/>
      </c>
      <c r="KLE6" s="27" t="str">
        <f>IFERROR(VLOOKUP(DATE($K$1,$K$2,KLE$4),Table1[],(MATCH(Calendar!$A6,DB!1:1,0)+2),FALSE),"")</f>
        <v/>
      </c>
      <c r="KLF6" s="27" t="str">
        <f>IFERROR(VLOOKUP(DATE($K$1,$K$2,KLF$4),Table1[],(MATCH(Calendar!$A6,DB!1:1,0)+2),FALSE),"")</f>
        <v/>
      </c>
      <c r="KLG6" s="27" t="str">
        <f>IFERROR(VLOOKUP(DATE($K$1,$K$2,KLG$4),Table1[],(MATCH(Calendar!$A6,DB!1:1,0)+2),FALSE),"")</f>
        <v/>
      </c>
      <c r="KLH6" s="27" t="str">
        <f>IFERROR(VLOOKUP(DATE($K$1,$K$2,KLH$4),Table1[],(MATCH(Calendar!$A6,DB!1:1,0)+2),FALSE),"")</f>
        <v/>
      </c>
      <c r="KLI6" s="27" t="str">
        <f>IFERROR(VLOOKUP(DATE($K$1,$K$2,KLI$4),Table1[],(MATCH(Calendar!$A6,DB!1:1,0)+2),FALSE),"")</f>
        <v/>
      </c>
      <c r="KLJ6" s="27" t="str">
        <f>IFERROR(VLOOKUP(DATE($K$1,$K$2,KLJ$4),Table1[],(MATCH(Calendar!$A6,DB!1:1,0)+2),FALSE),"")</f>
        <v/>
      </c>
      <c r="KLK6" s="27" t="str">
        <f>IFERROR(VLOOKUP(DATE($K$1,$K$2,KLK$4),Table1[],(MATCH(Calendar!$A6,DB!1:1,0)+2),FALSE),"")</f>
        <v/>
      </c>
      <c r="KLL6" s="27" t="str">
        <f>IFERROR(VLOOKUP(DATE($K$1,$K$2,KLL$4),Table1[],(MATCH(Calendar!$A6,DB!1:1,0)+2),FALSE),"")</f>
        <v/>
      </c>
      <c r="KLM6" s="27" t="str">
        <f>IFERROR(VLOOKUP(DATE($K$1,$K$2,KLM$4),Table1[],(MATCH(Calendar!$A6,DB!1:1,0)+2),FALSE),"")</f>
        <v/>
      </c>
      <c r="KLN6" s="27" t="str">
        <f>IFERROR(VLOOKUP(DATE($K$1,$K$2,KLN$4),Table1[],(MATCH(Calendar!$A6,DB!1:1,0)+2),FALSE),"")</f>
        <v/>
      </c>
      <c r="KLO6" s="27" t="str">
        <f>IFERROR(VLOOKUP(DATE($K$1,$K$2,KLO$4),Table1[],(MATCH(Calendar!$A6,DB!1:1,0)+2),FALSE),"")</f>
        <v/>
      </c>
      <c r="KLP6" s="27" t="str">
        <f>IFERROR(VLOOKUP(DATE($K$1,$K$2,KLP$4),Table1[],(MATCH(Calendar!$A6,DB!1:1,0)+2),FALSE),"")</f>
        <v/>
      </c>
      <c r="KLQ6" s="27" t="str">
        <f>IFERROR(VLOOKUP(DATE($K$1,$K$2,KLQ$4),Table1[],(MATCH(Calendar!$A6,DB!1:1,0)+2),FALSE),"")</f>
        <v/>
      </c>
      <c r="KLR6" s="27" t="str">
        <f>IFERROR(VLOOKUP(DATE($K$1,$K$2,KLR$4),Table1[],(MATCH(Calendar!$A6,DB!1:1,0)+2),FALSE),"")</f>
        <v/>
      </c>
      <c r="KLS6" s="27" t="str">
        <f>IFERROR(VLOOKUP(DATE($K$1,$K$2,KLS$4),Table1[],(MATCH(Calendar!$A6,DB!1:1,0)+2),FALSE),"")</f>
        <v/>
      </c>
      <c r="KLT6" s="27" t="str">
        <f>IFERROR(VLOOKUP(DATE($K$1,$K$2,KLT$4),Table1[],(MATCH(Calendar!$A6,DB!1:1,0)+2),FALSE),"")</f>
        <v/>
      </c>
      <c r="KLU6" s="27" t="str">
        <f>IFERROR(VLOOKUP(DATE($K$1,$K$2,KLU$4),Table1[],(MATCH(Calendar!$A6,DB!1:1,0)+2),FALSE),"")</f>
        <v/>
      </c>
      <c r="KLV6" s="27" t="str">
        <f>IFERROR(VLOOKUP(DATE($K$1,$K$2,KLV$4),Table1[],(MATCH(Calendar!$A6,DB!1:1,0)+2),FALSE),"")</f>
        <v/>
      </c>
      <c r="KLW6" s="27" t="str">
        <f>IFERROR(VLOOKUP(DATE($K$1,$K$2,KLW$4),Table1[],(MATCH(Calendar!$A6,DB!1:1,0)+2),FALSE),"")</f>
        <v/>
      </c>
      <c r="KLX6" s="27" t="str">
        <f>IFERROR(VLOOKUP(DATE($K$1,$K$2,KLX$4),Table1[],(MATCH(Calendar!$A6,DB!1:1,0)+2),FALSE),"")</f>
        <v/>
      </c>
      <c r="KLY6" s="27" t="str">
        <f>IFERROR(VLOOKUP(DATE($K$1,$K$2,KLY$4),Table1[],(MATCH(Calendar!$A6,DB!1:1,0)+2),FALSE),"")</f>
        <v/>
      </c>
      <c r="KLZ6" s="27" t="str">
        <f>IFERROR(VLOOKUP(DATE($K$1,$K$2,KLZ$4),Table1[],(MATCH(Calendar!$A6,DB!1:1,0)+2),FALSE),"")</f>
        <v/>
      </c>
      <c r="KMA6" s="27" t="str">
        <f>IFERROR(VLOOKUP(DATE($K$1,$K$2,KMA$4),Table1[],(MATCH(Calendar!$A6,DB!1:1,0)+2),FALSE),"")</f>
        <v/>
      </c>
      <c r="KMB6" s="27" t="str">
        <f>IFERROR(VLOOKUP(DATE($K$1,$K$2,KMB$4),Table1[],(MATCH(Calendar!$A6,DB!1:1,0)+2),FALSE),"")</f>
        <v/>
      </c>
      <c r="KMC6" s="27" t="str">
        <f>IFERROR(VLOOKUP(DATE($K$1,$K$2,KMC$4),Table1[],(MATCH(Calendar!$A6,DB!1:1,0)+2),FALSE),"")</f>
        <v/>
      </c>
      <c r="KMD6" s="27" t="str">
        <f>IFERROR(VLOOKUP(DATE($K$1,$K$2,KMD$4),Table1[],(MATCH(Calendar!$A6,DB!1:1,0)+2),FALSE),"")</f>
        <v/>
      </c>
      <c r="KME6" s="27" t="str">
        <f>IFERROR(VLOOKUP(DATE($K$1,$K$2,KME$4),Table1[],(MATCH(Calendar!$A6,DB!1:1,0)+2),FALSE),"")</f>
        <v/>
      </c>
      <c r="KMF6" s="27" t="str">
        <f>IFERROR(VLOOKUP(DATE($K$1,$K$2,KMF$4),Table1[],(MATCH(Calendar!$A6,DB!1:1,0)+2),FALSE),"")</f>
        <v/>
      </c>
      <c r="KMG6" s="27" t="str">
        <f>IFERROR(VLOOKUP(DATE($K$1,$K$2,KMG$4),Table1[],(MATCH(Calendar!$A6,DB!1:1,0)+2),FALSE),"")</f>
        <v/>
      </c>
      <c r="KMH6" s="27" t="str">
        <f>IFERROR(VLOOKUP(DATE($K$1,$K$2,KMH$4),Table1[],(MATCH(Calendar!$A6,DB!1:1,0)+2),FALSE),"")</f>
        <v/>
      </c>
      <c r="KMI6" s="27" t="str">
        <f>IFERROR(VLOOKUP(DATE($K$1,$K$2,KMI$4),Table1[],(MATCH(Calendar!$A6,DB!1:1,0)+2),FALSE),"")</f>
        <v/>
      </c>
      <c r="KMJ6" s="27" t="str">
        <f>IFERROR(VLOOKUP(DATE($K$1,$K$2,KMJ$4),Table1[],(MATCH(Calendar!$A6,DB!1:1,0)+2),FALSE),"")</f>
        <v/>
      </c>
      <c r="KMK6" s="27" t="str">
        <f>IFERROR(VLOOKUP(DATE($K$1,$K$2,KMK$4),Table1[],(MATCH(Calendar!$A6,DB!1:1,0)+2),FALSE),"")</f>
        <v/>
      </c>
      <c r="KML6" s="27" t="str">
        <f>IFERROR(VLOOKUP(DATE($K$1,$K$2,KML$4),Table1[],(MATCH(Calendar!$A6,DB!1:1,0)+2),FALSE),"")</f>
        <v/>
      </c>
      <c r="KMM6" s="27" t="str">
        <f>IFERROR(VLOOKUP(DATE($K$1,$K$2,KMM$4),Table1[],(MATCH(Calendar!$A6,DB!1:1,0)+2),FALSE),"")</f>
        <v/>
      </c>
      <c r="KMN6" s="27" t="str">
        <f>IFERROR(VLOOKUP(DATE($K$1,$K$2,KMN$4),Table1[],(MATCH(Calendar!$A6,DB!1:1,0)+2),FALSE),"")</f>
        <v/>
      </c>
      <c r="KMO6" s="27" t="str">
        <f>IFERROR(VLOOKUP(DATE($K$1,$K$2,KMO$4),Table1[],(MATCH(Calendar!$A6,DB!1:1,0)+2),FALSE),"")</f>
        <v/>
      </c>
      <c r="KMP6" s="27" t="str">
        <f>IFERROR(VLOOKUP(DATE($K$1,$K$2,KMP$4),Table1[],(MATCH(Calendar!$A6,DB!1:1,0)+2),FALSE),"")</f>
        <v/>
      </c>
      <c r="KMQ6" s="27" t="str">
        <f>IFERROR(VLOOKUP(DATE($K$1,$K$2,KMQ$4),Table1[],(MATCH(Calendar!$A6,DB!1:1,0)+2),FALSE),"")</f>
        <v/>
      </c>
      <c r="KMR6" s="27" t="str">
        <f>IFERROR(VLOOKUP(DATE($K$1,$K$2,KMR$4),Table1[],(MATCH(Calendar!$A6,DB!1:1,0)+2),FALSE),"")</f>
        <v/>
      </c>
      <c r="KMS6" s="27" t="str">
        <f>IFERROR(VLOOKUP(DATE($K$1,$K$2,KMS$4),Table1[],(MATCH(Calendar!$A6,DB!1:1,0)+2),FALSE),"")</f>
        <v/>
      </c>
      <c r="KMT6" s="27" t="str">
        <f>IFERROR(VLOOKUP(DATE($K$1,$K$2,KMT$4),Table1[],(MATCH(Calendar!$A6,DB!1:1,0)+2),FALSE),"")</f>
        <v/>
      </c>
      <c r="KMU6" s="27" t="str">
        <f>IFERROR(VLOOKUP(DATE($K$1,$K$2,KMU$4),Table1[],(MATCH(Calendar!$A6,DB!1:1,0)+2),FALSE),"")</f>
        <v/>
      </c>
      <c r="KMV6" s="27" t="str">
        <f>IFERROR(VLOOKUP(DATE($K$1,$K$2,KMV$4),Table1[],(MATCH(Calendar!$A6,DB!1:1,0)+2),FALSE),"")</f>
        <v/>
      </c>
      <c r="KMW6" s="27" t="str">
        <f>IFERROR(VLOOKUP(DATE($K$1,$K$2,KMW$4),Table1[],(MATCH(Calendar!$A6,DB!1:1,0)+2),FALSE),"")</f>
        <v/>
      </c>
      <c r="KMX6" s="27" t="str">
        <f>IFERROR(VLOOKUP(DATE($K$1,$K$2,KMX$4),Table1[],(MATCH(Calendar!$A6,DB!1:1,0)+2),FALSE),"")</f>
        <v/>
      </c>
      <c r="KMY6" s="27" t="str">
        <f>IFERROR(VLOOKUP(DATE($K$1,$K$2,KMY$4),Table1[],(MATCH(Calendar!$A6,DB!1:1,0)+2),FALSE),"")</f>
        <v/>
      </c>
      <c r="KMZ6" s="27" t="str">
        <f>IFERROR(VLOOKUP(DATE($K$1,$K$2,KMZ$4),Table1[],(MATCH(Calendar!$A6,DB!1:1,0)+2),FALSE),"")</f>
        <v/>
      </c>
      <c r="KNA6" s="27" t="str">
        <f>IFERROR(VLOOKUP(DATE($K$1,$K$2,KNA$4),Table1[],(MATCH(Calendar!$A6,DB!1:1,0)+2),FALSE),"")</f>
        <v/>
      </c>
      <c r="KNB6" s="27" t="str">
        <f>IFERROR(VLOOKUP(DATE($K$1,$K$2,KNB$4),Table1[],(MATCH(Calendar!$A6,DB!1:1,0)+2),FALSE),"")</f>
        <v/>
      </c>
      <c r="KNC6" s="27" t="str">
        <f>IFERROR(VLOOKUP(DATE($K$1,$K$2,KNC$4),Table1[],(MATCH(Calendar!$A6,DB!1:1,0)+2),FALSE),"")</f>
        <v/>
      </c>
      <c r="KND6" s="27" t="str">
        <f>IFERROR(VLOOKUP(DATE($K$1,$K$2,KND$4),Table1[],(MATCH(Calendar!$A6,DB!1:1,0)+2),FALSE),"")</f>
        <v/>
      </c>
      <c r="KNE6" s="27" t="str">
        <f>IFERROR(VLOOKUP(DATE($K$1,$K$2,KNE$4),Table1[],(MATCH(Calendar!$A6,DB!1:1,0)+2),FALSE),"")</f>
        <v/>
      </c>
      <c r="KNF6" s="27" t="str">
        <f>IFERROR(VLOOKUP(DATE($K$1,$K$2,KNF$4),Table1[],(MATCH(Calendar!$A6,DB!1:1,0)+2),FALSE),"")</f>
        <v/>
      </c>
      <c r="KNG6" s="27" t="str">
        <f>IFERROR(VLOOKUP(DATE($K$1,$K$2,KNG$4),Table1[],(MATCH(Calendar!$A6,DB!1:1,0)+2),FALSE),"")</f>
        <v/>
      </c>
      <c r="KNH6" s="27" t="str">
        <f>IFERROR(VLOOKUP(DATE($K$1,$K$2,KNH$4),Table1[],(MATCH(Calendar!$A6,DB!1:1,0)+2),FALSE),"")</f>
        <v/>
      </c>
      <c r="KNI6" s="27" t="str">
        <f>IFERROR(VLOOKUP(DATE($K$1,$K$2,KNI$4),Table1[],(MATCH(Calendar!$A6,DB!1:1,0)+2),FALSE),"")</f>
        <v/>
      </c>
      <c r="KNJ6" s="27" t="str">
        <f>IFERROR(VLOOKUP(DATE($K$1,$K$2,KNJ$4),Table1[],(MATCH(Calendar!$A6,DB!1:1,0)+2),FALSE),"")</f>
        <v/>
      </c>
      <c r="KNK6" s="27" t="str">
        <f>IFERROR(VLOOKUP(DATE($K$1,$K$2,KNK$4),Table1[],(MATCH(Calendar!$A6,DB!1:1,0)+2),FALSE),"")</f>
        <v/>
      </c>
      <c r="KNL6" s="27" t="str">
        <f>IFERROR(VLOOKUP(DATE($K$1,$K$2,KNL$4),Table1[],(MATCH(Calendar!$A6,DB!1:1,0)+2),FALSE),"")</f>
        <v/>
      </c>
      <c r="KNM6" s="27" t="str">
        <f>IFERROR(VLOOKUP(DATE($K$1,$K$2,KNM$4),Table1[],(MATCH(Calendar!$A6,DB!1:1,0)+2),FALSE),"")</f>
        <v/>
      </c>
      <c r="KNN6" s="27" t="str">
        <f>IFERROR(VLOOKUP(DATE($K$1,$K$2,KNN$4),Table1[],(MATCH(Calendar!$A6,DB!1:1,0)+2),FALSE),"")</f>
        <v/>
      </c>
      <c r="KNO6" s="27" t="str">
        <f>IFERROR(VLOOKUP(DATE($K$1,$K$2,KNO$4),Table1[],(MATCH(Calendar!$A6,DB!1:1,0)+2),FALSE),"")</f>
        <v/>
      </c>
      <c r="KNP6" s="27" t="str">
        <f>IFERROR(VLOOKUP(DATE($K$1,$K$2,KNP$4),Table1[],(MATCH(Calendar!$A6,DB!1:1,0)+2),FALSE),"")</f>
        <v/>
      </c>
      <c r="KNQ6" s="27" t="str">
        <f>IFERROR(VLOOKUP(DATE($K$1,$K$2,KNQ$4),Table1[],(MATCH(Calendar!$A6,DB!1:1,0)+2),FALSE),"")</f>
        <v/>
      </c>
      <c r="KNR6" s="27" t="str">
        <f>IFERROR(VLOOKUP(DATE($K$1,$K$2,KNR$4),Table1[],(MATCH(Calendar!$A6,DB!1:1,0)+2),FALSE),"")</f>
        <v/>
      </c>
      <c r="KNS6" s="27" t="str">
        <f>IFERROR(VLOOKUP(DATE($K$1,$K$2,KNS$4),Table1[],(MATCH(Calendar!$A6,DB!1:1,0)+2),FALSE),"")</f>
        <v/>
      </c>
      <c r="KNT6" s="27" t="str">
        <f>IFERROR(VLOOKUP(DATE($K$1,$K$2,KNT$4),Table1[],(MATCH(Calendar!$A6,DB!1:1,0)+2),FALSE),"")</f>
        <v/>
      </c>
      <c r="KNU6" s="27" t="str">
        <f>IFERROR(VLOOKUP(DATE($K$1,$K$2,KNU$4),Table1[],(MATCH(Calendar!$A6,DB!1:1,0)+2),FALSE),"")</f>
        <v/>
      </c>
      <c r="KNV6" s="27" t="str">
        <f>IFERROR(VLOOKUP(DATE($K$1,$K$2,KNV$4),Table1[],(MATCH(Calendar!$A6,DB!1:1,0)+2),FALSE),"")</f>
        <v/>
      </c>
      <c r="KNW6" s="27" t="str">
        <f>IFERROR(VLOOKUP(DATE($K$1,$K$2,KNW$4),Table1[],(MATCH(Calendar!$A6,DB!1:1,0)+2),FALSE),"")</f>
        <v/>
      </c>
      <c r="KNX6" s="27" t="str">
        <f>IFERROR(VLOOKUP(DATE($K$1,$K$2,KNX$4),Table1[],(MATCH(Calendar!$A6,DB!1:1,0)+2),FALSE),"")</f>
        <v/>
      </c>
      <c r="KNY6" s="27" t="str">
        <f>IFERROR(VLOOKUP(DATE($K$1,$K$2,KNY$4),Table1[],(MATCH(Calendar!$A6,DB!1:1,0)+2),FALSE),"")</f>
        <v/>
      </c>
      <c r="KNZ6" s="27" t="str">
        <f>IFERROR(VLOOKUP(DATE($K$1,$K$2,KNZ$4),Table1[],(MATCH(Calendar!$A6,DB!1:1,0)+2),FALSE),"")</f>
        <v/>
      </c>
      <c r="KOA6" s="27" t="str">
        <f>IFERROR(VLOOKUP(DATE($K$1,$K$2,KOA$4),Table1[],(MATCH(Calendar!$A6,DB!1:1,0)+2),FALSE),"")</f>
        <v/>
      </c>
      <c r="KOB6" s="27" t="str">
        <f>IFERROR(VLOOKUP(DATE($K$1,$K$2,KOB$4),Table1[],(MATCH(Calendar!$A6,DB!1:1,0)+2),FALSE),"")</f>
        <v/>
      </c>
      <c r="KOC6" s="27" t="str">
        <f>IFERROR(VLOOKUP(DATE($K$1,$K$2,KOC$4),Table1[],(MATCH(Calendar!$A6,DB!1:1,0)+2),FALSE),"")</f>
        <v/>
      </c>
      <c r="KOD6" s="27" t="str">
        <f>IFERROR(VLOOKUP(DATE($K$1,$K$2,KOD$4),Table1[],(MATCH(Calendar!$A6,DB!1:1,0)+2),FALSE),"")</f>
        <v/>
      </c>
      <c r="KOE6" s="27" t="str">
        <f>IFERROR(VLOOKUP(DATE($K$1,$K$2,KOE$4),Table1[],(MATCH(Calendar!$A6,DB!1:1,0)+2),FALSE),"")</f>
        <v/>
      </c>
      <c r="KOF6" s="27" t="str">
        <f>IFERROR(VLOOKUP(DATE($K$1,$K$2,KOF$4),Table1[],(MATCH(Calendar!$A6,DB!1:1,0)+2),FALSE),"")</f>
        <v/>
      </c>
      <c r="KOG6" s="27" t="str">
        <f>IFERROR(VLOOKUP(DATE($K$1,$K$2,KOG$4),Table1[],(MATCH(Calendar!$A6,DB!1:1,0)+2),FALSE),"")</f>
        <v/>
      </c>
      <c r="KOH6" s="27" t="str">
        <f>IFERROR(VLOOKUP(DATE($K$1,$K$2,KOH$4),Table1[],(MATCH(Calendar!$A6,DB!1:1,0)+2),FALSE),"")</f>
        <v/>
      </c>
      <c r="KOI6" s="27" t="str">
        <f>IFERROR(VLOOKUP(DATE($K$1,$K$2,KOI$4),Table1[],(MATCH(Calendar!$A6,DB!1:1,0)+2),FALSE),"")</f>
        <v/>
      </c>
      <c r="KOJ6" s="27" t="str">
        <f>IFERROR(VLOOKUP(DATE($K$1,$K$2,KOJ$4),Table1[],(MATCH(Calendar!$A6,DB!1:1,0)+2),FALSE),"")</f>
        <v/>
      </c>
      <c r="KOK6" s="27" t="str">
        <f>IFERROR(VLOOKUP(DATE($K$1,$K$2,KOK$4),Table1[],(MATCH(Calendar!$A6,DB!1:1,0)+2),FALSE),"")</f>
        <v/>
      </c>
      <c r="KOL6" s="27" t="str">
        <f>IFERROR(VLOOKUP(DATE($K$1,$K$2,KOL$4),Table1[],(MATCH(Calendar!$A6,DB!1:1,0)+2),FALSE),"")</f>
        <v/>
      </c>
      <c r="KOM6" s="27" t="str">
        <f>IFERROR(VLOOKUP(DATE($K$1,$K$2,KOM$4),Table1[],(MATCH(Calendar!$A6,DB!1:1,0)+2),FALSE),"")</f>
        <v/>
      </c>
      <c r="KON6" s="27" t="str">
        <f>IFERROR(VLOOKUP(DATE($K$1,$K$2,KON$4),Table1[],(MATCH(Calendar!$A6,DB!1:1,0)+2),FALSE),"")</f>
        <v/>
      </c>
      <c r="KOO6" s="27" t="str">
        <f>IFERROR(VLOOKUP(DATE($K$1,$K$2,KOO$4),Table1[],(MATCH(Calendar!$A6,DB!1:1,0)+2),FALSE),"")</f>
        <v/>
      </c>
      <c r="KOP6" s="27" t="str">
        <f>IFERROR(VLOOKUP(DATE($K$1,$K$2,KOP$4),Table1[],(MATCH(Calendar!$A6,DB!1:1,0)+2),FALSE),"")</f>
        <v/>
      </c>
      <c r="KOQ6" s="27" t="str">
        <f>IFERROR(VLOOKUP(DATE($K$1,$K$2,KOQ$4),Table1[],(MATCH(Calendar!$A6,DB!1:1,0)+2),FALSE),"")</f>
        <v/>
      </c>
      <c r="KOR6" s="27" t="str">
        <f>IFERROR(VLOOKUP(DATE($K$1,$K$2,KOR$4),Table1[],(MATCH(Calendar!$A6,DB!1:1,0)+2),FALSE),"")</f>
        <v/>
      </c>
      <c r="KOS6" s="27" t="str">
        <f>IFERROR(VLOOKUP(DATE($K$1,$K$2,KOS$4),Table1[],(MATCH(Calendar!$A6,DB!1:1,0)+2),FALSE),"")</f>
        <v/>
      </c>
      <c r="KOT6" s="27" t="str">
        <f>IFERROR(VLOOKUP(DATE($K$1,$K$2,KOT$4),Table1[],(MATCH(Calendar!$A6,DB!1:1,0)+2),FALSE),"")</f>
        <v/>
      </c>
      <c r="KOU6" s="27" t="str">
        <f>IFERROR(VLOOKUP(DATE($K$1,$K$2,KOU$4),Table1[],(MATCH(Calendar!$A6,DB!1:1,0)+2),FALSE),"")</f>
        <v/>
      </c>
      <c r="KOV6" s="27" t="str">
        <f>IFERROR(VLOOKUP(DATE($K$1,$K$2,KOV$4),Table1[],(MATCH(Calendar!$A6,DB!1:1,0)+2),FALSE),"")</f>
        <v/>
      </c>
      <c r="KOW6" s="27" t="str">
        <f>IFERROR(VLOOKUP(DATE($K$1,$K$2,KOW$4),Table1[],(MATCH(Calendar!$A6,DB!1:1,0)+2),FALSE),"")</f>
        <v/>
      </c>
      <c r="KOX6" s="27" t="str">
        <f>IFERROR(VLOOKUP(DATE($K$1,$K$2,KOX$4),Table1[],(MATCH(Calendar!$A6,DB!1:1,0)+2),FALSE),"")</f>
        <v/>
      </c>
      <c r="KOY6" s="27" t="str">
        <f>IFERROR(VLOOKUP(DATE($K$1,$K$2,KOY$4),Table1[],(MATCH(Calendar!$A6,DB!1:1,0)+2),FALSE),"")</f>
        <v/>
      </c>
      <c r="KOZ6" s="27" t="str">
        <f>IFERROR(VLOOKUP(DATE($K$1,$K$2,KOZ$4),Table1[],(MATCH(Calendar!$A6,DB!1:1,0)+2),FALSE),"")</f>
        <v/>
      </c>
      <c r="KPA6" s="27" t="str">
        <f>IFERROR(VLOOKUP(DATE($K$1,$K$2,KPA$4),Table1[],(MATCH(Calendar!$A6,DB!1:1,0)+2),FALSE),"")</f>
        <v/>
      </c>
      <c r="KPB6" s="27" t="str">
        <f>IFERROR(VLOOKUP(DATE($K$1,$K$2,KPB$4),Table1[],(MATCH(Calendar!$A6,DB!1:1,0)+2),FALSE),"")</f>
        <v/>
      </c>
      <c r="KPC6" s="27" t="str">
        <f>IFERROR(VLOOKUP(DATE($K$1,$K$2,KPC$4),Table1[],(MATCH(Calendar!$A6,DB!1:1,0)+2),FALSE),"")</f>
        <v/>
      </c>
      <c r="KPD6" s="27" t="str">
        <f>IFERROR(VLOOKUP(DATE($K$1,$K$2,KPD$4),Table1[],(MATCH(Calendar!$A6,DB!1:1,0)+2),FALSE),"")</f>
        <v/>
      </c>
      <c r="KPE6" s="27" t="str">
        <f>IFERROR(VLOOKUP(DATE($K$1,$K$2,KPE$4),Table1[],(MATCH(Calendar!$A6,DB!1:1,0)+2),FALSE),"")</f>
        <v/>
      </c>
      <c r="KPF6" s="27" t="str">
        <f>IFERROR(VLOOKUP(DATE($K$1,$K$2,KPF$4),Table1[],(MATCH(Calendar!$A6,DB!1:1,0)+2),FALSE),"")</f>
        <v/>
      </c>
      <c r="KPG6" s="27" t="str">
        <f>IFERROR(VLOOKUP(DATE($K$1,$K$2,KPG$4),Table1[],(MATCH(Calendar!$A6,DB!1:1,0)+2),FALSE),"")</f>
        <v/>
      </c>
      <c r="KPH6" s="27" t="str">
        <f>IFERROR(VLOOKUP(DATE($K$1,$K$2,KPH$4),Table1[],(MATCH(Calendar!$A6,DB!1:1,0)+2),FALSE),"")</f>
        <v/>
      </c>
      <c r="KPI6" s="27" t="str">
        <f>IFERROR(VLOOKUP(DATE($K$1,$K$2,KPI$4),Table1[],(MATCH(Calendar!$A6,DB!1:1,0)+2),FALSE),"")</f>
        <v/>
      </c>
      <c r="KPJ6" s="27" t="str">
        <f>IFERROR(VLOOKUP(DATE($K$1,$K$2,KPJ$4),Table1[],(MATCH(Calendar!$A6,DB!1:1,0)+2),FALSE),"")</f>
        <v/>
      </c>
      <c r="KPK6" s="27" t="str">
        <f>IFERROR(VLOOKUP(DATE($K$1,$K$2,KPK$4),Table1[],(MATCH(Calendar!$A6,DB!1:1,0)+2),FALSE),"")</f>
        <v/>
      </c>
      <c r="KPL6" s="27" t="str">
        <f>IFERROR(VLOOKUP(DATE($K$1,$K$2,KPL$4),Table1[],(MATCH(Calendar!$A6,DB!1:1,0)+2),FALSE),"")</f>
        <v/>
      </c>
      <c r="KPM6" s="27" t="str">
        <f>IFERROR(VLOOKUP(DATE($K$1,$K$2,KPM$4),Table1[],(MATCH(Calendar!$A6,DB!1:1,0)+2),FALSE),"")</f>
        <v/>
      </c>
      <c r="KPN6" s="27" t="str">
        <f>IFERROR(VLOOKUP(DATE($K$1,$K$2,KPN$4),Table1[],(MATCH(Calendar!$A6,DB!1:1,0)+2),FALSE),"")</f>
        <v/>
      </c>
      <c r="KPO6" s="27" t="str">
        <f>IFERROR(VLOOKUP(DATE($K$1,$K$2,KPO$4),Table1[],(MATCH(Calendar!$A6,DB!1:1,0)+2),FALSE),"")</f>
        <v/>
      </c>
      <c r="KPP6" s="27" t="str">
        <f>IFERROR(VLOOKUP(DATE($K$1,$K$2,KPP$4),Table1[],(MATCH(Calendar!$A6,DB!1:1,0)+2),FALSE),"")</f>
        <v/>
      </c>
      <c r="KPQ6" s="27" t="str">
        <f>IFERROR(VLOOKUP(DATE($K$1,$K$2,KPQ$4),Table1[],(MATCH(Calendar!$A6,DB!1:1,0)+2),FALSE),"")</f>
        <v/>
      </c>
      <c r="KPR6" s="27" t="str">
        <f>IFERROR(VLOOKUP(DATE($K$1,$K$2,KPR$4),Table1[],(MATCH(Calendar!$A6,DB!1:1,0)+2),FALSE),"")</f>
        <v/>
      </c>
      <c r="KPS6" s="27" t="str">
        <f>IFERROR(VLOOKUP(DATE($K$1,$K$2,KPS$4),Table1[],(MATCH(Calendar!$A6,DB!1:1,0)+2),FALSE),"")</f>
        <v/>
      </c>
      <c r="KPT6" s="27" t="str">
        <f>IFERROR(VLOOKUP(DATE($K$1,$K$2,KPT$4),Table1[],(MATCH(Calendar!$A6,DB!1:1,0)+2),FALSE),"")</f>
        <v/>
      </c>
      <c r="KPU6" s="27" t="str">
        <f>IFERROR(VLOOKUP(DATE($K$1,$K$2,KPU$4),Table1[],(MATCH(Calendar!$A6,DB!1:1,0)+2),FALSE),"")</f>
        <v/>
      </c>
      <c r="KPV6" s="27" t="str">
        <f>IFERROR(VLOOKUP(DATE($K$1,$K$2,KPV$4),Table1[],(MATCH(Calendar!$A6,DB!1:1,0)+2),FALSE),"")</f>
        <v/>
      </c>
      <c r="KPW6" s="27" t="str">
        <f>IFERROR(VLOOKUP(DATE($K$1,$K$2,KPW$4),Table1[],(MATCH(Calendar!$A6,DB!1:1,0)+2),FALSE),"")</f>
        <v/>
      </c>
      <c r="KPX6" s="27" t="str">
        <f>IFERROR(VLOOKUP(DATE($K$1,$K$2,KPX$4),Table1[],(MATCH(Calendar!$A6,DB!1:1,0)+2),FALSE),"")</f>
        <v/>
      </c>
      <c r="KPY6" s="27" t="str">
        <f>IFERROR(VLOOKUP(DATE($K$1,$K$2,KPY$4),Table1[],(MATCH(Calendar!$A6,DB!1:1,0)+2),FALSE),"")</f>
        <v/>
      </c>
      <c r="KPZ6" s="27" t="str">
        <f>IFERROR(VLOOKUP(DATE($K$1,$K$2,KPZ$4),Table1[],(MATCH(Calendar!$A6,DB!1:1,0)+2),FALSE),"")</f>
        <v/>
      </c>
      <c r="KQA6" s="27" t="str">
        <f>IFERROR(VLOOKUP(DATE($K$1,$K$2,KQA$4),Table1[],(MATCH(Calendar!$A6,DB!1:1,0)+2),FALSE),"")</f>
        <v/>
      </c>
      <c r="KQB6" s="27" t="str">
        <f>IFERROR(VLOOKUP(DATE($K$1,$K$2,KQB$4),Table1[],(MATCH(Calendar!$A6,DB!1:1,0)+2),FALSE),"")</f>
        <v/>
      </c>
      <c r="KQC6" s="27" t="str">
        <f>IFERROR(VLOOKUP(DATE($K$1,$K$2,KQC$4),Table1[],(MATCH(Calendar!$A6,DB!1:1,0)+2),FALSE),"")</f>
        <v/>
      </c>
      <c r="KQD6" s="27" t="str">
        <f>IFERROR(VLOOKUP(DATE($K$1,$K$2,KQD$4),Table1[],(MATCH(Calendar!$A6,DB!1:1,0)+2),FALSE),"")</f>
        <v/>
      </c>
      <c r="KQE6" s="27" t="str">
        <f>IFERROR(VLOOKUP(DATE($K$1,$K$2,KQE$4),Table1[],(MATCH(Calendar!$A6,DB!1:1,0)+2),FALSE),"")</f>
        <v/>
      </c>
      <c r="KQF6" s="27" t="str">
        <f>IFERROR(VLOOKUP(DATE($K$1,$K$2,KQF$4),Table1[],(MATCH(Calendar!$A6,DB!1:1,0)+2),FALSE),"")</f>
        <v/>
      </c>
      <c r="KQG6" s="27" t="str">
        <f>IFERROR(VLOOKUP(DATE($K$1,$K$2,KQG$4),Table1[],(MATCH(Calendar!$A6,DB!1:1,0)+2),FALSE),"")</f>
        <v/>
      </c>
      <c r="KQH6" s="27" t="str">
        <f>IFERROR(VLOOKUP(DATE($K$1,$K$2,KQH$4),Table1[],(MATCH(Calendar!$A6,DB!1:1,0)+2),FALSE),"")</f>
        <v/>
      </c>
      <c r="KQI6" s="27" t="str">
        <f>IFERROR(VLOOKUP(DATE($K$1,$K$2,KQI$4),Table1[],(MATCH(Calendar!$A6,DB!1:1,0)+2),FALSE),"")</f>
        <v/>
      </c>
      <c r="KQJ6" s="27" t="str">
        <f>IFERROR(VLOOKUP(DATE($K$1,$K$2,KQJ$4),Table1[],(MATCH(Calendar!$A6,DB!1:1,0)+2),FALSE),"")</f>
        <v/>
      </c>
      <c r="KQK6" s="27" t="str">
        <f>IFERROR(VLOOKUP(DATE($K$1,$K$2,KQK$4),Table1[],(MATCH(Calendar!$A6,DB!1:1,0)+2),FALSE),"")</f>
        <v/>
      </c>
      <c r="KQL6" s="27" t="str">
        <f>IFERROR(VLOOKUP(DATE($K$1,$K$2,KQL$4),Table1[],(MATCH(Calendar!$A6,DB!1:1,0)+2),FALSE),"")</f>
        <v/>
      </c>
      <c r="KQM6" s="27" t="str">
        <f>IFERROR(VLOOKUP(DATE($K$1,$K$2,KQM$4),Table1[],(MATCH(Calendar!$A6,DB!1:1,0)+2),FALSE),"")</f>
        <v/>
      </c>
      <c r="KQN6" s="27" t="str">
        <f>IFERROR(VLOOKUP(DATE($K$1,$K$2,KQN$4),Table1[],(MATCH(Calendar!$A6,DB!1:1,0)+2),FALSE),"")</f>
        <v/>
      </c>
      <c r="KQO6" s="27" t="str">
        <f>IFERROR(VLOOKUP(DATE($K$1,$K$2,KQO$4),Table1[],(MATCH(Calendar!$A6,DB!1:1,0)+2),FALSE),"")</f>
        <v/>
      </c>
      <c r="KQP6" s="27" t="str">
        <f>IFERROR(VLOOKUP(DATE($K$1,$K$2,KQP$4),Table1[],(MATCH(Calendar!$A6,DB!1:1,0)+2),FALSE),"")</f>
        <v/>
      </c>
      <c r="KQQ6" s="27" t="str">
        <f>IFERROR(VLOOKUP(DATE($K$1,$K$2,KQQ$4),Table1[],(MATCH(Calendar!$A6,DB!1:1,0)+2),FALSE),"")</f>
        <v/>
      </c>
      <c r="KQR6" s="27" t="str">
        <f>IFERROR(VLOOKUP(DATE($K$1,$K$2,KQR$4),Table1[],(MATCH(Calendar!$A6,DB!1:1,0)+2),FALSE),"")</f>
        <v/>
      </c>
      <c r="KQS6" s="27" t="str">
        <f>IFERROR(VLOOKUP(DATE($K$1,$K$2,KQS$4),Table1[],(MATCH(Calendar!$A6,DB!1:1,0)+2),FALSE),"")</f>
        <v/>
      </c>
      <c r="KQT6" s="27" t="str">
        <f>IFERROR(VLOOKUP(DATE($K$1,$K$2,KQT$4),Table1[],(MATCH(Calendar!$A6,DB!1:1,0)+2),FALSE),"")</f>
        <v/>
      </c>
      <c r="KQU6" s="27" t="str">
        <f>IFERROR(VLOOKUP(DATE($K$1,$K$2,KQU$4),Table1[],(MATCH(Calendar!$A6,DB!1:1,0)+2),FALSE),"")</f>
        <v/>
      </c>
      <c r="KQV6" s="27" t="str">
        <f>IFERROR(VLOOKUP(DATE($K$1,$K$2,KQV$4),Table1[],(MATCH(Calendar!$A6,DB!1:1,0)+2),FALSE),"")</f>
        <v/>
      </c>
      <c r="KQW6" s="27" t="str">
        <f>IFERROR(VLOOKUP(DATE($K$1,$K$2,KQW$4),Table1[],(MATCH(Calendar!$A6,DB!1:1,0)+2),FALSE),"")</f>
        <v/>
      </c>
      <c r="KQX6" s="27" t="str">
        <f>IFERROR(VLOOKUP(DATE($K$1,$K$2,KQX$4),Table1[],(MATCH(Calendar!$A6,DB!1:1,0)+2),FALSE),"")</f>
        <v/>
      </c>
      <c r="KQY6" s="27" t="str">
        <f>IFERROR(VLOOKUP(DATE($K$1,$K$2,KQY$4),Table1[],(MATCH(Calendar!$A6,DB!1:1,0)+2),FALSE),"")</f>
        <v/>
      </c>
      <c r="KQZ6" s="27" t="str">
        <f>IFERROR(VLOOKUP(DATE($K$1,$K$2,KQZ$4),Table1[],(MATCH(Calendar!$A6,DB!1:1,0)+2),FALSE),"")</f>
        <v/>
      </c>
      <c r="KRA6" s="27" t="str">
        <f>IFERROR(VLOOKUP(DATE($K$1,$K$2,KRA$4),Table1[],(MATCH(Calendar!$A6,DB!1:1,0)+2),FALSE),"")</f>
        <v/>
      </c>
      <c r="KRB6" s="27" t="str">
        <f>IFERROR(VLOOKUP(DATE($K$1,$K$2,KRB$4),Table1[],(MATCH(Calendar!$A6,DB!1:1,0)+2),FALSE),"")</f>
        <v/>
      </c>
      <c r="KRC6" s="27" t="str">
        <f>IFERROR(VLOOKUP(DATE($K$1,$K$2,KRC$4),Table1[],(MATCH(Calendar!$A6,DB!1:1,0)+2),FALSE),"")</f>
        <v/>
      </c>
      <c r="KRD6" s="27" t="str">
        <f>IFERROR(VLOOKUP(DATE($K$1,$K$2,KRD$4),Table1[],(MATCH(Calendar!$A6,DB!1:1,0)+2),FALSE),"")</f>
        <v/>
      </c>
      <c r="KRE6" s="27" t="str">
        <f>IFERROR(VLOOKUP(DATE($K$1,$K$2,KRE$4),Table1[],(MATCH(Calendar!$A6,DB!1:1,0)+2),FALSE),"")</f>
        <v/>
      </c>
      <c r="KRF6" s="27" t="str">
        <f>IFERROR(VLOOKUP(DATE($K$1,$K$2,KRF$4),Table1[],(MATCH(Calendar!$A6,DB!1:1,0)+2),FALSE),"")</f>
        <v/>
      </c>
      <c r="KRG6" s="27" t="str">
        <f>IFERROR(VLOOKUP(DATE($K$1,$K$2,KRG$4),Table1[],(MATCH(Calendar!$A6,DB!1:1,0)+2),FALSE),"")</f>
        <v/>
      </c>
      <c r="KRH6" s="27" t="str">
        <f>IFERROR(VLOOKUP(DATE($K$1,$K$2,KRH$4),Table1[],(MATCH(Calendar!$A6,DB!1:1,0)+2),FALSE),"")</f>
        <v/>
      </c>
      <c r="KRI6" s="27" t="str">
        <f>IFERROR(VLOOKUP(DATE($K$1,$K$2,KRI$4),Table1[],(MATCH(Calendar!$A6,DB!1:1,0)+2),FALSE),"")</f>
        <v/>
      </c>
      <c r="KRJ6" s="27" t="str">
        <f>IFERROR(VLOOKUP(DATE($K$1,$K$2,KRJ$4),Table1[],(MATCH(Calendar!$A6,DB!1:1,0)+2),FALSE),"")</f>
        <v/>
      </c>
      <c r="KRK6" s="27" t="str">
        <f>IFERROR(VLOOKUP(DATE($K$1,$K$2,KRK$4),Table1[],(MATCH(Calendar!$A6,DB!1:1,0)+2),FALSE),"")</f>
        <v/>
      </c>
      <c r="KRL6" s="27" t="str">
        <f>IFERROR(VLOOKUP(DATE($K$1,$K$2,KRL$4),Table1[],(MATCH(Calendar!$A6,DB!1:1,0)+2),FALSE),"")</f>
        <v/>
      </c>
      <c r="KRM6" s="27" t="str">
        <f>IFERROR(VLOOKUP(DATE($K$1,$K$2,KRM$4),Table1[],(MATCH(Calendar!$A6,DB!1:1,0)+2),FALSE),"")</f>
        <v/>
      </c>
      <c r="KRN6" s="27" t="str">
        <f>IFERROR(VLOOKUP(DATE($K$1,$K$2,KRN$4),Table1[],(MATCH(Calendar!$A6,DB!1:1,0)+2),FALSE),"")</f>
        <v/>
      </c>
      <c r="KRO6" s="27" t="str">
        <f>IFERROR(VLOOKUP(DATE($K$1,$K$2,KRO$4),Table1[],(MATCH(Calendar!$A6,DB!1:1,0)+2),FALSE),"")</f>
        <v/>
      </c>
      <c r="KRP6" s="27" t="str">
        <f>IFERROR(VLOOKUP(DATE($K$1,$K$2,KRP$4),Table1[],(MATCH(Calendar!$A6,DB!1:1,0)+2),FALSE),"")</f>
        <v/>
      </c>
      <c r="KRQ6" s="27" t="str">
        <f>IFERROR(VLOOKUP(DATE($K$1,$K$2,KRQ$4),Table1[],(MATCH(Calendar!$A6,DB!1:1,0)+2),FALSE),"")</f>
        <v/>
      </c>
      <c r="KRR6" s="27" t="str">
        <f>IFERROR(VLOOKUP(DATE($K$1,$K$2,KRR$4),Table1[],(MATCH(Calendar!$A6,DB!1:1,0)+2),FALSE),"")</f>
        <v/>
      </c>
      <c r="KRS6" s="27" t="str">
        <f>IFERROR(VLOOKUP(DATE($K$1,$K$2,KRS$4),Table1[],(MATCH(Calendar!$A6,DB!1:1,0)+2),FALSE),"")</f>
        <v/>
      </c>
      <c r="KRT6" s="27" t="str">
        <f>IFERROR(VLOOKUP(DATE($K$1,$K$2,KRT$4),Table1[],(MATCH(Calendar!$A6,DB!1:1,0)+2),FALSE),"")</f>
        <v/>
      </c>
      <c r="KRU6" s="27" t="str">
        <f>IFERROR(VLOOKUP(DATE($K$1,$K$2,KRU$4),Table1[],(MATCH(Calendar!$A6,DB!1:1,0)+2),FALSE),"")</f>
        <v/>
      </c>
      <c r="KRV6" s="27" t="str">
        <f>IFERROR(VLOOKUP(DATE($K$1,$K$2,KRV$4),Table1[],(MATCH(Calendar!$A6,DB!1:1,0)+2),FALSE),"")</f>
        <v/>
      </c>
      <c r="KRW6" s="27" t="str">
        <f>IFERROR(VLOOKUP(DATE($K$1,$K$2,KRW$4),Table1[],(MATCH(Calendar!$A6,DB!1:1,0)+2),FALSE),"")</f>
        <v/>
      </c>
      <c r="KRX6" s="27" t="str">
        <f>IFERROR(VLOOKUP(DATE($K$1,$K$2,KRX$4),Table1[],(MATCH(Calendar!$A6,DB!1:1,0)+2),FALSE),"")</f>
        <v/>
      </c>
      <c r="KRY6" s="27" t="str">
        <f>IFERROR(VLOOKUP(DATE($K$1,$K$2,KRY$4),Table1[],(MATCH(Calendar!$A6,DB!1:1,0)+2),FALSE),"")</f>
        <v/>
      </c>
      <c r="KRZ6" s="27" t="str">
        <f>IFERROR(VLOOKUP(DATE($K$1,$K$2,KRZ$4),Table1[],(MATCH(Calendar!$A6,DB!1:1,0)+2),FALSE),"")</f>
        <v/>
      </c>
      <c r="KSA6" s="27" t="str">
        <f>IFERROR(VLOOKUP(DATE($K$1,$K$2,KSA$4),Table1[],(MATCH(Calendar!$A6,DB!1:1,0)+2),FALSE),"")</f>
        <v/>
      </c>
      <c r="KSB6" s="27" t="str">
        <f>IFERROR(VLOOKUP(DATE($K$1,$K$2,KSB$4),Table1[],(MATCH(Calendar!$A6,DB!1:1,0)+2),FALSE),"")</f>
        <v/>
      </c>
      <c r="KSC6" s="27" t="str">
        <f>IFERROR(VLOOKUP(DATE($K$1,$K$2,KSC$4),Table1[],(MATCH(Calendar!$A6,DB!1:1,0)+2),FALSE),"")</f>
        <v/>
      </c>
      <c r="KSD6" s="27" t="str">
        <f>IFERROR(VLOOKUP(DATE($K$1,$K$2,KSD$4),Table1[],(MATCH(Calendar!$A6,DB!1:1,0)+2),FALSE),"")</f>
        <v/>
      </c>
      <c r="KSE6" s="27" t="str">
        <f>IFERROR(VLOOKUP(DATE($K$1,$K$2,KSE$4),Table1[],(MATCH(Calendar!$A6,DB!1:1,0)+2),FALSE),"")</f>
        <v/>
      </c>
      <c r="KSF6" s="27" t="str">
        <f>IFERROR(VLOOKUP(DATE($K$1,$K$2,KSF$4),Table1[],(MATCH(Calendar!$A6,DB!1:1,0)+2),FALSE),"")</f>
        <v/>
      </c>
      <c r="KSG6" s="27" t="str">
        <f>IFERROR(VLOOKUP(DATE($K$1,$K$2,KSG$4),Table1[],(MATCH(Calendar!$A6,DB!1:1,0)+2),FALSE),"")</f>
        <v/>
      </c>
      <c r="KSH6" s="27" t="str">
        <f>IFERROR(VLOOKUP(DATE($K$1,$K$2,KSH$4),Table1[],(MATCH(Calendar!$A6,DB!1:1,0)+2),FALSE),"")</f>
        <v/>
      </c>
      <c r="KSI6" s="27" t="str">
        <f>IFERROR(VLOOKUP(DATE($K$1,$K$2,KSI$4),Table1[],(MATCH(Calendar!$A6,DB!1:1,0)+2),FALSE),"")</f>
        <v/>
      </c>
      <c r="KSJ6" s="27" t="str">
        <f>IFERROR(VLOOKUP(DATE($K$1,$K$2,KSJ$4),Table1[],(MATCH(Calendar!$A6,DB!1:1,0)+2),FALSE),"")</f>
        <v/>
      </c>
      <c r="KSK6" s="27" t="str">
        <f>IFERROR(VLOOKUP(DATE($K$1,$K$2,KSK$4),Table1[],(MATCH(Calendar!$A6,DB!1:1,0)+2),FALSE),"")</f>
        <v/>
      </c>
      <c r="KSL6" s="27" t="str">
        <f>IFERROR(VLOOKUP(DATE($K$1,$K$2,KSL$4),Table1[],(MATCH(Calendar!$A6,DB!1:1,0)+2),FALSE),"")</f>
        <v/>
      </c>
      <c r="KSM6" s="27" t="str">
        <f>IFERROR(VLOOKUP(DATE($K$1,$K$2,KSM$4),Table1[],(MATCH(Calendar!$A6,DB!1:1,0)+2),FALSE),"")</f>
        <v/>
      </c>
      <c r="KSN6" s="27" t="str">
        <f>IFERROR(VLOOKUP(DATE($K$1,$K$2,KSN$4),Table1[],(MATCH(Calendar!$A6,DB!1:1,0)+2),FALSE),"")</f>
        <v/>
      </c>
      <c r="KSO6" s="27" t="str">
        <f>IFERROR(VLOOKUP(DATE($K$1,$K$2,KSO$4),Table1[],(MATCH(Calendar!$A6,DB!1:1,0)+2),FALSE),"")</f>
        <v/>
      </c>
      <c r="KSP6" s="27" t="str">
        <f>IFERROR(VLOOKUP(DATE($K$1,$K$2,KSP$4),Table1[],(MATCH(Calendar!$A6,DB!1:1,0)+2),FALSE),"")</f>
        <v/>
      </c>
      <c r="KSQ6" s="27" t="str">
        <f>IFERROR(VLOOKUP(DATE($K$1,$K$2,KSQ$4),Table1[],(MATCH(Calendar!$A6,DB!1:1,0)+2),FALSE),"")</f>
        <v/>
      </c>
      <c r="KSR6" s="27" t="str">
        <f>IFERROR(VLOOKUP(DATE($K$1,$K$2,KSR$4),Table1[],(MATCH(Calendar!$A6,DB!1:1,0)+2),FALSE),"")</f>
        <v/>
      </c>
      <c r="KSS6" s="27" t="str">
        <f>IFERROR(VLOOKUP(DATE($K$1,$K$2,KSS$4),Table1[],(MATCH(Calendar!$A6,DB!1:1,0)+2),FALSE),"")</f>
        <v/>
      </c>
      <c r="KST6" s="27" t="str">
        <f>IFERROR(VLOOKUP(DATE($K$1,$K$2,KST$4),Table1[],(MATCH(Calendar!$A6,DB!1:1,0)+2),FALSE),"")</f>
        <v/>
      </c>
      <c r="KSU6" s="27" t="str">
        <f>IFERROR(VLOOKUP(DATE($K$1,$K$2,KSU$4),Table1[],(MATCH(Calendar!$A6,DB!1:1,0)+2),FALSE),"")</f>
        <v/>
      </c>
      <c r="KSV6" s="27" t="str">
        <f>IFERROR(VLOOKUP(DATE($K$1,$K$2,KSV$4),Table1[],(MATCH(Calendar!$A6,DB!1:1,0)+2),FALSE),"")</f>
        <v/>
      </c>
      <c r="KSW6" s="27" t="str">
        <f>IFERROR(VLOOKUP(DATE($K$1,$K$2,KSW$4),Table1[],(MATCH(Calendar!$A6,DB!1:1,0)+2),FALSE),"")</f>
        <v/>
      </c>
      <c r="KSX6" s="27" t="str">
        <f>IFERROR(VLOOKUP(DATE($K$1,$K$2,KSX$4),Table1[],(MATCH(Calendar!$A6,DB!1:1,0)+2),FALSE),"")</f>
        <v/>
      </c>
      <c r="KSY6" s="27" t="str">
        <f>IFERROR(VLOOKUP(DATE($K$1,$K$2,KSY$4),Table1[],(MATCH(Calendar!$A6,DB!1:1,0)+2),FALSE),"")</f>
        <v/>
      </c>
      <c r="KSZ6" s="27" t="str">
        <f>IFERROR(VLOOKUP(DATE($K$1,$K$2,KSZ$4),Table1[],(MATCH(Calendar!$A6,DB!1:1,0)+2),FALSE),"")</f>
        <v/>
      </c>
      <c r="KTA6" s="27" t="str">
        <f>IFERROR(VLOOKUP(DATE($K$1,$K$2,KTA$4),Table1[],(MATCH(Calendar!$A6,DB!1:1,0)+2),FALSE),"")</f>
        <v/>
      </c>
      <c r="KTB6" s="27" t="str">
        <f>IFERROR(VLOOKUP(DATE($K$1,$K$2,KTB$4),Table1[],(MATCH(Calendar!$A6,DB!1:1,0)+2),FALSE),"")</f>
        <v/>
      </c>
      <c r="KTC6" s="27" t="str">
        <f>IFERROR(VLOOKUP(DATE($K$1,$K$2,KTC$4),Table1[],(MATCH(Calendar!$A6,DB!1:1,0)+2),FALSE),"")</f>
        <v/>
      </c>
      <c r="KTD6" s="27" t="str">
        <f>IFERROR(VLOOKUP(DATE($K$1,$K$2,KTD$4),Table1[],(MATCH(Calendar!$A6,DB!1:1,0)+2),FALSE),"")</f>
        <v/>
      </c>
      <c r="KTE6" s="27" t="str">
        <f>IFERROR(VLOOKUP(DATE($K$1,$K$2,KTE$4),Table1[],(MATCH(Calendar!$A6,DB!1:1,0)+2),FALSE),"")</f>
        <v/>
      </c>
      <c r="KTF6" s="27" t="str">
        <f>IFERROR(VLOOKUP(DATE($K$1,$K$2,KTF$4),Table1[],(MATCH(Calendar!$A6,DB!1:1,0)+2),FALSE),"")</f>
        <v/>
      </c>
      <c r="KTG6" s="27" t="str">
        <f>IFERROR(VLOOKUP(DATE($K$1,$K$2,KTG$4),Table1[],(MATCH(Calendar!$A6,DB!1:1,0)+2),FALSE),"")</f>
        <v/>
      </c>
      <c r="KTH6" s="27" t="str">
        <f>IFERROR(VLOOKUP(DATE($K$1,$K$2,KTH$4),Table1[],(MATCH(Calendar!$A6,DB!1:1,0)+2),FALSE),"")</f>
        <v/>
      </c>
      <c r="KTI6" s="27" t="str">
        <f>IFERROR(VLOOKUP(DATE($K$1,$K$2,KTI$4),Table1[],(MATCH(Calendar!$A6,DB!1:1,0)+2),FALSE),"")</f>
        <v/>
      </c>
      <c r="KTJ6" s="27" t="str">
        <f>IFERROR(VLOOKUP(DATE($K$1,$K$2,KTJ$4),Table1[],(MATCH(Calendar!$A6,DB!1:1,0)+2),FALSE),"")</f>
        <v/>
      </c>
      <c r="KTK6" s="27" t="str">
        <f>IFERROR(VLOOKUP(DATE($K$1,$K$2,KTK$4),Table1[],(MATCH(Calendar!$A6,DB!1:1,0)+2),FALSE),"")</f>
        <v/>
      </c>
      <c r="KTL6" s="27" t="str">
        <f>IFERROR(VLOOKUP(DATE($K$1,$K$2,KTL$4),Table1[],(MATCH(Calendar!$A6,DB!1:1,0)+2),FALSE),"")</f>
        <v/>
      </c>
      <c r="KTM6" s="27" t="str">
        <f>IFERROR(VLOOKUP(DATE($K$1,$K$2,KTM$4),Table1[],(MATCH(Calendar!$A6,DB!1:1,0)+2),FALSE),"")</f>
        <v/>
      </c>
      <c r="KTN6" s="27" t="str">
        <f>IFERROR(VLOOKUP(DATE($K$1,$K$2,KTN$4),Table1[],(MATCH(Calendar!$A6,DB!1:1,0)+2),FALSE),"")</f>
        <v/>
      </c>
      <c r="KTO6" s="27" t="str">
        <f>IFERROR(VLOOKUP(DATE($K$1,$K$2,KTO$4),Table1[],(MATCH(Calendar!$A6,DB!1:1,0)+2),FALSE),"")</f>
        <v/>
      </c>
      <c r="KTP6" s="27" t="str">
        <f>IFERROR(VLOOKUP(DATE($K$1,$K$2,KTP$4),Table1[],(MATCH(Calendar!$A6,DB!1:1,0)+2),FALSE),"")</f>
        <v/>
      </c>
      <c r="KTQ6" s="27" t="str">
        <f>IFERROR(VLOOKUP(DATE($K$1,$K$2,KTQ$4),Table1[],(MATCH(Calendar!$A6,DB!1:1,0)+2),FALSE),"")</f>
        <v/>
      </c>
      <c r="KTR6" s="27" t="str">
        <f>IFERROR(VLOOKUP(DATE($K$1,$K$2,KTR$4),Table1[],(MATCH(Calendar!$A6,DB!1:1,0)+2),FALSE),"")</f>
        <v/>
      </c>
      <c r="KTS6" s="27" t="str">
        <f>IFERROR(VLOOKUP(DATE($K$1,$K$2,KTS$4),Table1[],(MATCH(Calendar!$A6,DB!1:1,0)+2),FALSE),"")</f>
        <v/>
      </c>
      <c r="KTT6" s="27" t="str">
        <f>IFERROR(VLOOKUP(DATE($K$1,$K$2,KTT$4),Table1[],(MATCH(Calendar!$A6,DB!1:1,0)+2),FALSE),"")</f>
        <v/>
      </c>
      <c r="KTU6" s="27" t="str">
        <f>IFERROR(VLOOKUP(DATE($K$1,$K$2,KTU$4),Table1[],(MATCH(Calendar!$A6,DB!1:1,0)+2),FALSE),"")</f>
        <v/>
      </c>
      <c r="KTV6" s="27" t="str">
        <f>IFERROR(VLOOKUP(DATE($K$1,$K$2,KTV$4),Table1[],(MATCH(Calendar!$A6,DB!1:1,0)+2),FALSE),"")</f>
        <v/>
      </c>
      <c r="KTW6" s="27" t="str">
        <f>IFERROR(VLOOKUP(DATE($K$1,$K$2,KTW$4),Table1[],(MATCH(Calendar!$A6,DB!1:1,0)+2),FALSE),"")</f>
        <v/>
      </c>
      <c r="KTX6" s="27" t="str">
        <f>IFERROR(VLOOKUP(DATE($K$1,$K$2,KTX$4),Table1[],(MATCH(Calendar!$A6,DB!1:1,0)+2),FALSE),"")</f>
        <v/>
      </c>
      <c r="KTY6" s="27" t="str">
        <f>IFERROR(VLOOKUP(DATE($K$1,$K$2,KTY$4),Table1[],(MATCH(Calendar!$A6,DB!1:1,0)+2),FALSE),"")</f>
        <v/>
      </c>
      <c r="KTZ6" s="27" t="str">
        <f>IFERROR(VLOOKUP(DATE($K$1,$K$2,KTZ$4),Table1[],(MATCH(Calendar!$A6,DB!1:1,0)+2),FALSE),"")</f>
        <v/>
      </c>
      <c r="KUA6" s="27" t="str">
        <f>IFERROR(VLOOKUP(DATE($K$1,$K$2,KUA$4),Table1[],(MATCH(Calendar!$A6,DB!1:1,0)+2),FALSE),"")</f>
        <v/>
      </c>
      <c r="KUB6" s="27" t="str">
        <f>IFERROR(VLOOKUP(DATE($K$1,$K$2,KUB$4),Table1[],(MATCH(Calendar!$A6,DB!1:1,0)+2),FALSE),"")</f>
        <v/>
      </c>
      <c r="KUC6" s="27" t="str">
        <f>IFERROR(VLOOKUP(DATE($K$1,$K$2,KUC$4),Table1[],(MATCH(Calendar!$A6,DB!1:1,0)+2),FALSE),"")</f>
        <v/>
      </c>
      <c r="KUD6" s="27" t="str">
        <f>IFERROR(VLOOKUP(DATE($K$1,$K$2,KUD$4),Table1[],(MATCH(Calendar!$A6,DB!1:1,0)+2),FALSE),"")</f>
        <v/>
      </c>
      <c r="KUE6" s="27" t="str">
        <f>IFERROR(VLOOKUP(DATE($K$1,$K$2,KUE$4),Table1[],(MATCH(Calendar!$A6,DB!1:1,0)+2),FALSE),"")</f>
        <v/>
      </c>
      <c r="KUF6" s="27" t="str">
        <f>IFERROR(VLOOKUP(DATE($K$1,$K$2,KUF$4),Table1[],(MATCH(Calendar!$A6,DB!1:1,0)+2),FALSE),"")</f>
        <v/>
      </c>
      <c r="KUG6" s="27" t="str">
        <f>IFERROR(VLOOKUP(DATE($K$1,$K$2,KUG$4),Table1[],(MATCH(Calendar!$A6,DB!1:1,0)+2),FALSE),"")</f>
        <v/>
      </c>
      <c r="KUH6" s="27" t="str">
        <f>IFERROR(VLOOKUP(DATE($K$1,$K$2,KUH$4),Table1[],(MATCH(Calendar!$A6,DB!1:1,0)+2),FALSE),"")</f>
        <v/>
      </c>
      <c r="KUI6" s="27" t="str">
        <f>IFERROR(VLOOKUP(DATE($K$1,$K$2,KUI$4),Table1[],(MATCH(Calendar!$A6,DB!1:1,0)+2),FALSE),"")</f>
        <v/>
      </c>
      <c r="KUJ6" s="27" t="str">
        <f>IFERROR(VLOOKUP(DATE($K$1,$K$2,KUJ$4),Table1[],(MATCH(Calendar!$A6,DB!1:1,0)+2),FALSE),"")</f>
        <v/>
      </c>
      <c r="KUK6" s="27" t="str">
        <f>IFERROR(VLOOKUP(DATE($K$1,$K$2,KUK$4),Table1[],(MATCH(Calendar!$A6,DB!1:1,0)+2),FALSE),"")</f>
        <v/>
      </c>
      <c r="KUL6" s="27" t="str">
        <f>IFERROR(VLOOKUP(DATE($K$1,$K$2,KUL$4),Table1[],(MATCH(Calendar!$A6,DB!1:1,0)+2),FALSE),"")</f>
        <v/>
      </c>
      <c r="KUM6" s="27" t="str">
        <f>IFERROR(VLOOKUP(DATE($K$1,$K$2,KUM$4),Table1[],(MATCH(Calendar!$A6,DB!1:1,0)+2),FALSE),"")</f>
        <v/>
      </c>
      <c r="KUN6" s="27" t="str">
        <f>IFERROR(VLOOKUP(DATE($K$1,$K$2,KUN$4),Table1[],(MATCH(Calendar!$A6,DB!1:1,0)+2),FALSE),"")</f>
        <v/>
      </c>
      <c r="KUO6" s="27" t="str">
        <f>IFERROR(VLOOKUP(DATE($K$1,$K$2,KUO$4),Table1[],(MATCH(Calendar!$A6,DB!1:1,0)+2),FALSE),"")</f>
        <v/>
      </c>
      <c r="KUP6" s="27" t="str">
        <f>IFERROR(VLOOKUP(DATE($K$1,$K$2,KUP$4),Table1[],(MATCH(Calendar!$A6,DB!1:1,0)+2),FALSE),"")</f>
        <v/>
      </c>
      <c r="KUQ6" s="27" t="str">
        <f>IFERROR(VLOOKUP(DATE($K$1,$K$2,KUQ$4),Table1[],(MATCH(Calendar!$A6,DB!1:1,0)+2),FALSE),"")</f>
        <v/>
      </c>
      <c r="KUR6" s="27" t="str">
        <f>IFERROR(VLOOKUP(DATE($K$1,$K$2,KUR$4),Table1[],(MATCH(Calendar!$A6,DB!1:1,0)+2),FALSE),"")</f>
        <v/>
      </c>
      <c r="KUS6" s="27" t="str">
        <f>IFERROR(VLOOKUP(DATE($K$1,$K$2,KUS$4),Table1[],(MATCH(Calendar!$A6,DB!1:1,0)+2),FALSE),"")</f>
        <v/>
      </c>
      <c r="KUT6" s="27" t="str">
        <f>IFERROR(VLOOKUP(DATE($K$1,$K$2,KUT$4),Table1[],(MATCH(Calendar!$A6,DB!1:1,0)+2),FALSE),"")</f>
        <v/>
      </c>
      <c r="KUU6" s="27" t="str">
        <f>IFERROR(VLOOKUP(DATE($K$1,$K$2,KUU$4),Table1[],(MATCH(Calendar!$A6,DB!1:1,0)+2),FALSE),"")</f>
        <v/>
      </c>
      <c r="KUV6" s="27" t="str">
        <f>IFERROR(VLOOKUP(DATE($K$1,$K$2,KUV$4),Table1[],(MATCH(Calendar!$A6,DB!1:1,0)+2),FALSE),"")</f>
        <v/>
      </c>
      <c r="KUW6" s="27" t="str">
        <f>IFERROR(VLOOKUP(DATE($K$1,$K$2,KUW$4),Table1[],(MATCH(Calendar!$A6,DB!1:1,0)+2),FALSE),"")</f>
        <v/>
      </c>
      <c r="KUX6" s="27" t="str">
        <f>IFERROR(VLOOKUP(DATE($K$1,$K$2,KUX$4),Table1[],(MATCH(Calendar!$A6,DB!1:1,0)+2),FALSE),"")</f>
        <v/>
      </c>
      <c r="KUY6" s="27" t="str">
        <f>IFERROR(VLOOKUP(DATE($K$1,$K$2,KUY$4),Table1[],(MATCH(Calendar!$A6,DB!1:1,0)+2),FALSE),"")</f>
        <v/>
      </c>
      <c r="KUZ6" s="27" t="str">
        <f>IFERROR(VLOOKUP(DATE($K$1,$K$2,KUZ$4),Table1[],(MATCH(Calendar!$A6,DB!1:1,0)+2),FALSE),"")</f>
        <v/>
      </c>
      <c r="KVA6" s="27" t="str">
        <f>IFERROR(VLOOKUP(DATE($K$1,$K$2,KVA$4),Table1[],(MATCH(Calendar!$A6,DB!1:1,0)+2),FALSE),"")</f>
        <v/>
      </c>
      <c r="KVB6" s="27" t="str">
        <f>IFERROR(VLOOKUP(DATE($K$1,$K$2,KVB$4),Table1[],(MATCH(Calendar!$A6,DB!1:1,0)+2),FALSE),"")</f>
        <v/>
      </c>
      <c r="KVC6" s="27" t="str">
        <f>IFERROR(VLOOKUP(DATE($K$1,$K$2,KVC$4),Table1[],(MATCH(Calendar!$A6,DB!1:1,0)+2),FALSE),"")</f>
        <v/>
      </c>
      <c r="KVD6" s="27" t="str">
        <f>IFERROR(VLOOKUP(DATE($K$1,$K$2,KVD$4),Table1[],(MATCH(Calendar!$A6,DB!1:1,0)+2),FALSE),"")</f>
        <v/>
      </c>
      <c r="KVE6" s="27" t="str">
        <f>IFERROR(VLOOKUP(DATE($K$1,$K$2,KVE$4),Table1[],(MATCH(Calendar!$A6,DB!1:1,0)+2),FALSE),"")</f>
        <v/>
      </c>
      <c r="KVF6" s="27" t="str">
        <f>IFERROR(VLOOKUP(DATE($K$1,$K$2,KVF$4),Table1[],(MATCH(Calendar!$A6,DB!1:1,0)+2),FALSE),"")</f>
        <v/>
      </c>
      <c r="KVG6" s="27" t="str">
        <f>IFERROR(VLOOKUP(DATE($K$1,$K$2,KVG$4),Table1[],(MATCH(Calendar!$A6,DB!1:1,0)+2),FALSE),"")</f>
        <v/>
      </c>
      <c r="KVH6" s="27" t="str">
        <f>IFERROR(VLOOKUP(DATE($K$1,$K$2,KVH$4),Table1[],(MATCH(Calendar!$A6,DB!1:1,0)+2),FALSE),"")</f>
        <v/>
      </c>
      <c r="KVI6" s="27" t="str">
        <f>IFERROR(VLOOKUP(DATE($K$1,$K$2,KVI$4),Table1[],(MATCH(Calendar!$A6,DB!1:1,0)+2),FALSE),"")</f>
        <v/>
      </c>
      <c r="KVJ6" s="27" t="str">
        <f>IFERROR(VLOOKUP(DATE($K$1,$K$2,KVJ$4),Table1[],(MATCH(Calendar!$A6,DB!1:1,0)+2),FALSE),"")</f>
        <v/>
      </c>
      <c r="KVK6" s="27" t="str">
        <f>IFERROR(VLOOKUP(DATE($K$1,$K$2,KVK$4),Table1[],(MATCH(Calendar!$A6,DB!1:1,0)+2),FALSE),"")</f>
        <v/>
      </c>
      <c r="KVL6" s="27" t="str">
        <f>IFERROR(VLOOKUP(DATE($K$1,$K$2,KVL$4),Table1[],(MATCH(Calendar!$A6,DB!1:1,0)+2),FALSE),"")</f>
        <v/>
      </c>
      <c r="KVM6" s="27" t="str">
        <f>IFERROR(VLOOKUP(DATE($K$1,$K$2,KVM$4),Table1[],(MATCH(Calendar!$A6,DB!1:1,0)+2),FALSE),"")</f>
        <v/>
      </c>
      <c r="KVN6" s="27" t="str">
        <f>IFERROR(VLOOKUP(DATE($K$1,$K$2,KVN$4),Table1[],(MATCH(Calendar!$A6,DB!1:1,0)+2),FALSE),"")</f>
        <v/>
      </c>
      <c r="KVO6" s="27" t="str">
        <f>IFERROR(VLOOKUP(DATE($K$1,$K$2,KVO$4),Table1[],(MATCH(Calendar!$A6,DB!1:1,0)+2),FALSE),"")</f>
        <v/>
      </c>
      <c r="KVP6" s="27" t="str">
        <f>IFERROR(VLOOKUP(DATE($K$1,$K$2,KVP$4),Table1[],(MATCH(Calendar!$A6,DB!1:1,0)+2),FALSE),"")</f>
        <v/>
      </c>
      <c r="KVQ6" s="27" t="str">
        <f>IFERROR(VLOOKUP(DATE($K$1,$K$2,KVQ$4),Table1[],(MATCH(Calendar!$A6,DB!1:1,0)+2),FALSE),"")</f>
        <v/>
      </c>
      <c r="KVR6" s="27" t="str">
        <f>IFERROR(VLOOKUP(DATE($K$1,$K$2,KVR$4),Table1[],(MATCH(Calendar!$A6,DB!1:1,0)+2),FALSE),"")</f>
        <v/>
      </c>
      <c r="KVS6" s="27" t="str">
        <f>IFERROR(VLOOKUP(DATE($K$1,$K$2,KVS$4),Table1[],(MATCH(Calendar!$A6,DB!1:1,0)+2),FALSE),"")</f>
        <v/>
      </c>
      <c r="KVT6" s="27" t="str">
        <f>IFERROR(VLOOKUP(DATE($K$1,$K$2,KVT$4),Table1[],(MATCH(Calendar!$A6,DB!1:1,0)+2),FALSE),"")</f>
        <v/>
      </c>
      <c r="KVU6" s="27" t="str">
        <f>IFERROR(VLOOKUP(DATE($K$1,$K$2,KVU$4),Table1[],(MATCH(Calendar!$A6,DB!1:1,0)+2),FALSE),"")</f>
        <v/>
      </c>
      <c r="KVV6" s="27" t="str">
        <f>IFERROR(VLOOKUP(DATE($K$1,$K$2,KVV$4),Table1[],(MATCH(Calendar!$A6,DB!1:1,0)+2),FALSE),"")</f>
        <v/>
      </c>
      <c r="KVW6" s="27" t="str">
        <f>IFERROR(VLOOKUP(DATE($K$1,$K$2,KVW$4),Table1[],(MATCH(Calendar!$A6,DB!1:1,0)+2),FALSE),"")</f>
        <v/>
      </c>
      <c r="KVX6" s="27" t="str">
        <f>IFERROR(VLOOKUP(DATE($K$1,$K$2,KVX$4),Table1[],(MATCH(Calendar!$A6,DB!1:1,0)+2),FALSE),"")</f>
        <v/>
      </c>
      <c r="KVY6" s="27" t="str">
        <f>IFERROR(VLOOKUP(DATE($K$1,$K$2,KVY$4),Table1[],(MATCH(Calendar!$A6,DB!1:1,0)+2),FALSE),"")</f>
        <v/>
      </c>
      <c r="KVZ6" s="27" t="str">
        <f>IFERROR(VLOOKUP(DATE($K$1,$K$2,KVZ$4),Table1[],(MATCH(Calendar!$A6,DB!1:1,0)+2),FALSE),"")</f>
        <v/>
      </c>
      <c r="KWA6" s="27" t="str">
        <f>IFERROR(VLOOKUP(DATE($K$1,$K$2,KWA$4),Table1[],(MATCH(Calendar!$A6,DB!1:1,0)+2),FALSE),"")</f>
        <v/>
      </c>
      <c r="KWB6" s="27" t="str">
        <f>IFERROR(VLOOKUP(DATE($K$1,$K$2,KWB$4),Table1[],(MATCH(Calendar!$A6,DB!1:1,0)+2),FALSE),"")</f>
        <v/>
      </c>
      <c r="KWC6" s="27" t="str">
        <f>IFERROR(VLOOKUP(DATE($K$1,$K$2,KWC$4),Table1[],(MATCH(Calendar!$A6,DB!1:1,0)+2),FALSE),"")</f>
        <v/>
      </c>
      <c r="KWD6" s="27" t="str">
        <f>IFERROR(VLOOKUP(DATE($K$1,$K$2,KWD$4),Table1[],(MATCH(Calendar!$A6,DB!1:1,0)+2),FALSE),"")</f>
        <v/>
      </c>
      <c r="KWE6" s="27" t="str">
        <f>IFERROR(VLOOKUP(DATE($K$1,$K$2,KWE$4),Table1[],(MATCH(Calendar!$A6,DB!1:1,0)+2),FALSE),"")</f>
        <v/>
      </c>
      <c r="KWF6" s="27" t="str">
        <f>IFERROR(VLOOKUP(DATE($K$1,$K$2,KWF$4),Table1[],(MATCH(Calendar!$A6,DB!1:1,0)+2),FALSE),"")</f>
        <v/>
      </c>
      <c r="KWG6" s="27" t="str">
        <f>IFERROR(VLOOKUP(DATE($K$1,$K$2,KWG$4),Table1[],(MATCH(Calendar!$A6,DB!1:1,0)+2),FALSE),"")</f>
        <v/>
      </c>
      <c r="KWH6" s="27" t="str">
        <f>IFERROR(VLOOKUP(DATE($K$1,$K$2,KWH$4),Table1[],(MATCH(Calendar!$A6,DB!1:1,0)+2),FALSE),"")</f>
        <v/>
      </c>
      <c r="KWI6" s="27" t="str">
        <f>IFERROR(VLOOKUP(DATE($K$1,$K$2,KWI$4),Table1[],(MATCH(Calendar!$A6,DB!1:1,0)+2),FALSE),"")</f>
        <v/>
      </c>
      <c r="KWJ6" s="27" t="str">
        <f>IFERROR(VLOOKUP(DATE($K$1,$K$2,KWJ$4),Table1[],(MATCH(Calendar!$A6,DB!1:1,0)+2),FALSE),"")</f>
        <v/>
      </c>
      <c r="KWK6" s="27" t="str">
        <f>IFERROR(VLOOKUP(DATE($K$1,$K$2,KWK$4),Table1[],(MATCH(Calendar!$A6,DB!1:1,0)+2),FALSE),"")</f>
        <v/>
      </c>
      <c r="KWL6" s="27" t="str">
        <f>IFERROR(VLOOKUP(DATE($K$1,$K$2,KWL$4),Table1[],(MATCH(Calendar!$A6,DB!1:1,0)+2),FALSE),"")</f>
        <v/>
      </c>
      <c r="KWM6" s="27" t="str">
        <f>IFERROR(VLOOKUP(DATE($K$1,$K$2,KWM$4),Table1[],(MATCH(Calendar!$A6,DB!1:1,0)+2),FALSE),"")</f>
        <v/>
      </c>
      <c r="KWN6" s="27" t="str">
        <f>IFERROR(VLOOKUP(DATE($K$1,$K$2,KWN$4),Table1[],(MATCH(Calendar!$A6,DB!1:1,0)+2),FALSE),"")</f>
        <v/>
      </c>
      <c r="KWO6" s="27" t="str">
        <f>IFERROR(VLOOKUP(DATE($K$1,$K$2,KWO$4),Table1[],(MATCH(Calendar!$A6,DB!1:1,0)+2),FALSE),"")</f>
        <v/>
      </c>
      <c r="KWP6" s="27" t="str">
        <f>IFERROR(VLOOKUP(DATE($K$1,$K$2,KWP$4),Table1[],(MATCH(Calendar!$A6,DB!1:1,0)+2),FALSE),"")</f>
        <v/>
      </c>
      <c r="KWQ6" s="27" t="str">
        <f>IFERROR(VLOOKUP(DATE($K$1,$K$2,KWQ$4),Table1[],(MATCH(Calendar!$A6,DB!1:1,0)+2),FALSE),"")</f>
        <v/>
      </c>
      <c r="KWR6" s="27" t="str">
        <f>IFERROR(VLOOKUP(DATE($K$1,$K$2,KWR$4),Table1[],(MATCH(Calendar!$A6,DB!1:1,0)+2),FALSE),"")</f>
        <v/>
      </c>
      <c r="KWS6" s="27" t="str">
        <f>IFERROR(VLOOKUP(DATE($K$1,$K$2,KWS$4),Table1[],(MATCH(Calendar!$A6,DB!1:1,0)+2),FALSE),"")</f>
        <v/>
      </c>
      <c r="KWT6" s="27" t="str">
        <f>IFERROR(VLOOKUP(DATE($K$1,$K$2,KWT$4),Table1[],(MATCH(Calendar!$A6,DB!1:1,0)+2),FALSE),"")</f>
        <v/>
      </c>
      <c r="KWU6" s="27" t="str">
        <f>IFERROR(VLOOKUP(DATE($K$1,$K$2,KWU$4),Table1[],(MATCH(Calendar!$A6,DB!1:1,0)+2),FALSE),"")</f>
        <v/>
      </c>
      <c r="KWV6" s="27" t="str">
        <f>IFERROR(VLOOKUP(DATE($K$1,$K$2,KWV$4),Table1[],(MATCH(Calendar!$A6,DB!1:1,0)+2),FALSE),"")</f>
        <v/>
      </c>
      <c r="KWW6" s="27" t="str">
        <f>IFERROR(VLOOKUP(DATE($K$1,$K$2,KWW$4),Table1[],(MATCH(Calendar!$A6,DB!1:1,0)+2),FALSE),"")</f>
        <v/>
      </c>
      <c r="KWX6" s="27" t="str">
        <f>IFERROR(VLOOKUP(DATE($K$1,$K$2,KWX$4),Table1[],(MATCH(Calendar!$A6,DB!1:1,0)+2),FALSE),"")</f>
        <v/>
      </c>
      <c r="KWY6" s="27" t="str">
        <f>IFERROR(VLOOKUP(DATE($K$1,$K$2,KWY$4),Table1[],(MATCH(Calendar!$A6,DB!1:1,0)+2),FALSE),"")</f>
        <v/>
      </c>
      <c r="KWZ6" s="27" t="str">
        <f>IFERROR(VLOOKUP(DATE($K$1,$K$2,KWZ$4),Table1[],(MATCH(Calendar!$A6,DB!1:1,0)+2),FALSE),"")</f>
        <v/>
      </c>
      <c r="KXA6" s="27" t="str">
        <f>IFERROR(VLOOKUP(DATE($K$1,$K$2,KXA$4),Table1[],(MATCH(Calendar!$A6,DB!1:1,0)+2),FALSE),"")</f>
        <v/>
      </c>
      <c r="KXB6" s="27" t="str">
        <f>IFERROR(VLOOKUP(DATE($K$1,$K$2,KXB$4),Table1[],(MATCH(Calendar!$A6,DB!1:1,0)+2),FALSE),"")</f>
        <v/>
      </c>
      <c r="KXC6" s="27" t="str">
        <f>IFERROR(VLOOKUP(DATE($K$1,$K$2,KXC$4),Table1[],(MATCH(Calendar!$A6,DB!1:1,0)+2),FALSE),"")</f>
        <v/>
      </c>
      <c r="KXD6" s="27" t="str">
        <f>IFERROR(VLOOKUP(DATE($K$1,$K$2,KXD$4),Table1[],(MATCH(Calendar!$A6,DB!1:1,0)+2),FALSE),"")</f>
        <v/>
      </c>
      <c r="KXE6" s="27" t="str">
        <f>IFERROR(VLOOKUP(DATE($K$1,$K$2,KXE$4),Table1[],(MATCH(Calendar!$A6,DB!1:1,0)+2),FALSE),"")</f>
        <v/>
      </c>
      <c r="KXF6" s="27" t="str">
        <f>IFERROR(VLOOKUP(DATE($K$1,$K$2,KXF$4),Table1[],(MATCH(Calendar!$A6,DB!1:1,0)+2),FALSE),"")</f>
        <v/>
      </c>
      <c r="KXG6" s="27" t="str">
        <f>IFERROR(VLOOKUP(DATE($K$1,$K$2,KXG$4),Table1[],(MATCH(Calendar!$A6,DB!1:1,0)+2),FALSE),"")</f>
        <v/>
      </c>
      <c r="KXH6" s="27" t="str">
        <f>IFERROR(VLOOKUP(DATE($K$1,$K$2,KXH$4),Table1[],(MATCH(Calendar!$A6,DB!1:1,0)+2),FALSE),"")</f>
        <v/>
      </c>
      <c r="KXI6" s="27" t="str">
        <f>IFERROR(VLOOKUP(DATE($K$1,$K$2,KXI$4),Table1[],(MATCH(Calendar!$A6,DB!1:1,0)+2),FALSE),"")</f>
        <v/>
      </c>
      <c r="KXJ6" s="27" t="str">
        <f>IFERROR(VLOOKUP(DATE($K$1,$K$2,KXJ$4),Table1[],(MATCH(Calendar!$A6,DB!1:1,0)+2),FALSE),"")</f>
        <v/>
      </c>
      <c r="KXK6" s="27" t="str">
        <f>IFERROR(VLOOKUP(DATE($K$1,$K$2,KXK$4),Table1[],(MATCH(Calendar!$A6,DB!1:1,0)+2),FALSE),"")</f>
        <v/>
      </c>
      <c r="KXL6" s="27" t="str">
        <f>IFERROR(VLOOKUP(DATE($K$1,$K$2,KXL$4),Table1[],(MATCH(Calendar!$A6,DB!1:1,0)+2),FALSE),"")</f>
        <v/>
      </c>
      <c r="KXM6" s="27" t="str">
        <f>IFERROR(VLOOKUP(DATE($K$1,$K$2,KXM$4),Table1[],(MATCH(Calendar!$A6,DB!1:1,0)+2),FALSE),"")</f>
        <v/>
      </c>
      <c r="KXN6" s="27" t="str">
        <f>IFERROR(VLOOKUP(DATE($K$1,$K$2,KXN$4),Table1[],(MATCH(Calendar!$A6,DB!1:1,0)+2),FALSE),"")</f>
        <v/>
      </c>
      <c r="KXO6" s="27" t="str">
        <f>IFERROR(VLOOKUP(DATE($K$1,$K$2,KXO$4),Table1[],(MATCH(Calendar!$A6,DB!1:1,0)+2),FALSE),"")</f>
        <v/>
      </c>
      <c r="KXP6" s="27" t="str">
        <f>IFERROR(VLOOKUP(DATE($K$1,$K$2,KXP$4),Table1[],(MATCH(Calendar!$A6,DB!1:1,0)+2),FALSE),"")</f>
        <v/>
      </c>
      <c r="KXQ6" s="27" t="str">
        <f>IFERROR(VLOOKUP(DATE($K$1,$K$2,KXQ$4),Table1[],(MATCH(Calendar!$A6,DB!1:1,0)+2),FALSE),"")</f>
        <v/>
      </c>
      <c r="KXR6" s="27" t="str">
        <f>IFERROR(VLOOKUP(DATE($K$1,$K$2,KXR$4),Table1[],(MATCH(Calendar!$A6,DB!1:1,0)+2),FALSE),"")</f>
        <v/>
      </c>
      <c r="KXS6" s="27" t="str">
        <f>IFERROR(VLOOKUP(DATE($K$1,$K$2,KXS$4),Table1[],(MATCH(Calendar!$A6,DB!1:1,0)+2),FALSE),"")</f>
        <v/>
      </c>
      <c r="KXT6" s="27" t="str">
        <f>IFERROR(VLOOKUP(DATE($K$1,$K$2,KXT$4),Table1[],(MATCH(Calendar!$A6,DB!1:1,0)+2),FALSE),"")</f>
        <v/>
      </c>
      <c r="KXU6" s="27" t="str">
        <f>IFERROR(VLOOKUP(DATE($K$1,$K$2,KXU$4),Table1[],(MATCH(Calendar!$A6,DB!1:1,0)+2),FALSE),"")</f>
        <v/>
      </c>
      <c r="KXV6" s="27" t="str">
        <f>IFERROR(VLOOKUP(DATE($K$1,$K$2,KXV$4),Table1[],(MATCH(Calendar!$A6,DB!1:1,0)+2),FALSE),"")</f>
        <v/>
      </c>
      <c r="KXW6" s="27" t="str">
        <f>IFERROR(VLOOKUP(DATE($K$1,$K$2,KXW$4),Table1[],(MATCH(Calendar!$A6,DB!1:1,0)+2),FALSE),"")</f>
        <v/>
      </c>
      <c r="KXX6" s="27" t="str">
        <f>IFERROR(VLOOKUP(DATE($K$1,$K$2,KXX$4),Table1[],(MATCH(Calendar!$A6,DB!1:1,0)+2),FALSE),"")</f>
        <v/>
      </c>
      <c r="KXY6" s="27" t="str">
        <f>IFERROR(VLOOKUP(DATE($K$1,$K$2,KXY$4),Table1[],(MATCH(Calendar!$A6,DB!1:1,0)+2),FALSE),"")</f>
        <v/>
      </c>
      <c r="KXZ6" s="27" t="str">
        <f>IFERROR(VLOOKUP(DATE($K$1,$K$2,KXZ$4),Table1[],(MATCH(Calendar!$A6,DB!1:1,0)+2),FALSE),"")</f>
        <v/>
      </c>
      <c r="KYA6" s="27" t="str">
        <f>IFERROR(VLOOKUP(DATE($K$1,$K$2,KYA$4),Table1[],(MATCH(Calendar!$A6,DB!1:1,0)+2),FALSE),"")</f>
        <v/>
      </c>
      <c r="KYB6" s="27" t="str">
        <f>IFERROR(VLOOKUP(DATE($K$1,$K$2,KYB$4),Table1[],(MATCH(Calendar!$A6,DB!1:1,0)+2),FALSE),"")</f>
        <v/>
      </c>
      <c r="KYC6" s="27" t="str">
        <f>IFERROR(VLOOKUP(DATE($K$1,$K$2,KYC$4),Table1[],(MATCH(Calendar!$A6,DB!1:1,0)+2),FALSE),"")</f>
        <v/>
      </c>
      <c r="KYD6" s="27" t="str">
        <f>IFERROR(VLOOKUP(DATE($K$1,$K$2,KYD$4),Table1[],(MATCH(Calendar!$A6,DB!1:1,0)+2),FALSE),"")</f>
        <v/>
      </c>
      <c r="KYE6" s="27" t="str">
        <f>IFERROR(VLOOKUP(DATE($K$1,$K$2,KYE$4),Table1[],(MATCH(Calendar!$A6,DB!1:1,0)+2),FALSE),"")</f>
        <v/>
      </c>
      <c r="KYF6" s="27" t="str">
        <f>IFERROR(VLOOKUP(DATE($K$1,$K$2,KYF$4),Table1[],(MATCH(Calendar!$A6,DB!1:1,0)+2),FALSE),"")</f>
        <v/>
      </c>
      <c r="KYG6" s="27" t="str">
        <f>IFERROR(VLOOKUP(DATE($K$1,$K$2,KYG$4),Table1[],(MATCH(Calendar!$A6,DB!1:1,0)+2),FALSE),"")</f>
        <v/>
      </c>
      <c r="KYH6" s="27" t="str">
        <f>IFERROR(VLOOKUP(DATE($K$1,$K$2,KYH$4),Table1[],(MATCH(Calendar!$A6,DB!1:1,0)+2),FALSE),"")</f>
        <v/>
      </c>
      <c r="KYI6" s="27" t="str">
        <f>IFERROR(VLOOKUP(DATE($K$1,$K$2,KYI$4),Table1[],(MATCH(Calendar!$A6,DB!1:1,0)+2),FALSE),"")</f>
        <v/>
      </c>
      <c r="KYJ6" s="27" t="str">
        <f>IFERROR(VLOOKUP(DATE($K$1,$K$2,KYJ$4),Table1[],(MATCH(Calendar!$A6,DB!1:1,0)+2),FALSE),"")</f>
        <v/>
      </c>
      <c r="KYK6" s="27" t="str">
        <f>IFERROR(VLOOKUP(DATE($K$1,$K$2,KYK$4),Table1[],(MATCH(Calendar!$A6,DB!1:1,0)+2),FALSE),"")</f>
        <v/>
      </c>
      <c r="KYL6" s="27" t="str">
        <f>IFERROR(VLOOKUP(DATE($K$1,$K$2,KYL$4),Table1[],(MATCH(Calendar!$A6,DB!1:1,0)+2),FALSE),"")</f>
        <v/>
      </c>
      <c r="KYM6" s="27" t="str">
        <f>IFERROR(VLOOKUP(DATE($K$1,$K$2,KYM$4),Table1[],(MATCH(Calendar!$A6,DB!1:1,0)+2),FALSE),"")</f>
        <v/>
      </c>
      <c r="KYN6" s="27" t="str">
        <f>IFERROR(VLOOKUP(DATE($K$1,$K$2,KYN$4),Table1[],(MATCH(Calendar!$A6,DB!1:1,0)+2),FALSE),"")</f>
        <v/>
      </c>
      <c r="KYO6" s="27" t="str">
        <f>IFERROR(VLOOKUP(DATE($K$1,$K$2,KYO$4),Table1[],(MATCH(Calendar!$A6,DB!1:1,0)+2),FALSE),"")</f>
        <v/>
      </c>
      <c r="KYP6" s="27" t="str">
        <f>IFERROR(VLOOKUP(DATE($K$1,$K$2,KYP$4),Table1[],(MATCH(Calendar!$A6,DB!1:1,0)+2),FALSE),"")</f>
        <v/>
      </c>
      <c r="KYQ6" s="27" t="str">
        <f>IFERROR(VLOOKUP(DATE($K$1,$K$2,KYQ$4),Table1[],(MATCH(Calendar!$A6,DB!1:1,0)+2),FALSE),"")</f>
        <v/>
      </c>
      <c r="KYR6" s="27" t="str">
        <f>IFERROR(VLOOKUP(DATE($K$1,$K$2,KYR$4),Table1[],(MATCH(Calendar!$A6,DB!1:1,0)+2),FALSE),"")</f>
        <v/>
      </c>
      <c r="KYS6" s="27" t="str">
        <f>IFERROR(VLOOKUP(DATE($K$1,$K$2,KYS$4),Table1[],(MATCH(Calendar!$A6,DB!1:1,0)+2),FALSE),"")</f>
        <v/>
      </c>
      <c r="KYT6" s="27" t="str">
        <f>IFERROR(VLOOKUP(DATE($K$1,$K$2,KYT$4),Table1[],(MATCH(Calendar!$A6,DB!1:1,0)+2),FALSE),"")</f>
        <v/>
      </c>
      <c r="KYU6" s="27" t="str">
        <f>IFERROR(VLOOKUP(DATE($K$1,$K$2,KYU$4),Table1[],(MATCH(Calendar!$A6,DB!1:1,0)+2),FALSE),"")</f>
        <v/>
      </c>
      <c r="KYV6" s="27" t="str">
        <f>IFERROR(VLOOKUP(DATE($K$1,$K$2,KYV$4),Table1[],(MATCH(Calendar!$A6,DB!1:1,0)+2),FALSE),"")</f>
        <v/>
      </c>
      <c r="KYW6" s="27" t="str">
        <f>IFERROR(VLOOKUP(DATE($K$1,$K$2,KYW$4),Table1[],(MATCH(Calendar!$A6,DB!1:1,0)+2),FALSE),"")</f>
        <v/>
      </c>
      <c r="KYX6" s="27" t="str">
        <f>IFERROR(VLOOKUP(DATE($K$1,$K$2,KYX$4),Table1[],(MATCH(Calendar!$A6,DB!1:1,0)+2),FALSE),"")</f>
        <v/>
      </c>
      <c r="KYY6" s="27" t="str">
        <f>IFERROR(VLOOKUP(DATE($K$1,$K$2,KYY$4),Table1[],(MATCH(Calendar!$A6,DB!1:1,0)+2),FALSE),"")</f>
        <v/>
      </c>
      <c r="KYZ6" s="27" t="str">
        <f>IFERROR(VLOOKUP(DATE($K$1,$K$2,KYZ$4),Table1[],(MATCH(Calendar!$A6,DB!1:1,0)+2),FALSE),"")</f>
        <v/>
      </c>
      <c r="KZA6" s="27" t="str">
        <f>IFERROR(VLOOKUP(DATE($K$1,$K$2,KZA$4),Table1[],(MATCH(Calendar!$A6,DB!1:1,0)+2),FALSE),"")</f>
        <v/>
      </c>
      <c r="KZB6" s="27" t="str">
        <f>IFERROR(VLOOKUP(DATE($K$1,$K$2,KZB$4),Table1[],(MATCH(Calendar!$A6,DB!1:1,0)+2),FALSE),"")</f>
        <v/>
      </c>
      <c r="KZC6" s="27" t="str">
        <f>IFERROR(VLOOKUP(DATE($K$1,$K$2,KZC$4),Table1[],(MATCH(Calendar!$A6,DB!1:1,0)+2),FALSE),"")</f>
        <v/>
      </c>
      <c r="KZD6" s="27" t="str">
        <f>IFERROR(VLOOKUP(DATE($K$1,$K$2,KZD$4),Table1[],(MATCH(Calendar!$A6,DB!1:1,0)+2),FALSE),"")</f>
        <v/>
      </c>
      <c r="KZE6" s="27" t="str">
        <f>IFERROR(VLOOKUP(DATE($K$1,$K$2,KZE$4),Table1[],(MATCH(Calendar!$A6,DB!1:1,0)+2),FALSE),"")</f>
        <v/>
      </c>
      <c r="KZF6" s="27" t="str">
        <f>IFERROR(VLOOKUP(DATE($K$1,$K$2,KZF$4),Table1[],(MATCH(Calendar!$A6,DB!1:1,0)+2),FALSE),"")</f>
        <v/>
      </c>
      <c r="KZG6" s="27" t="str">
        <f>IFERROR(VLOOKUP(DATE($K$1,$K$2,KZG$4),Table1[],(MATCH(Calendar!$A6,DB!1:1,0)+2),FALSE),"")</f>
        <v/>
      </c>
      <c r="KZH6" s="27" t="str">
        <f>IFERROR(VLOOKUP(DATE($K$1,$K$2,KZH$4),Table1[],(MATCH(Calendar!$A6,DB!1:1,0)+2),FALSE),"")</f>
        <v/>
      </c>
      <c r="KZI6" s="27" t="str">
        <f>IFERROR(VLOOKUP(DATE($K$1,$K$2,KZI$4),Table1[],(MATCH(Calendar!$A6,DB!1:1,0)+2),FALSE),"")</f>
        <v/>
      </c>
      <c r="KZJ6" s="27" t="str">
        <f>IFERROR(VLOOKUP(DATE($K$1,$K$2,KZJ$4),Table1[],(MATCH(Calendar!$A6,DB!1:1,0)+2),FALSE),"")</f>
        <v/>
      </c>
      <c r="KZK6" s="27" t="str">
        <f>IFERROR(VLOOKUP(DATE($K$1,$K$2,KZK$4),Table1[],(MATCH(Calendar!$A6,DB!1:1,0)+2),FALSE),"")</f>
        <v/>
      </c>
      <c r="KZL6" s="27" t="str">
        <f>IFERROR(VLOOKUP(DATE($K$1,$K$2,KZL$4),Table1[],(MATCH(Calendar!$A6,DB!1:1,0)+2),FALSE),"")</f>
        <v/>
      </c>
      <c r="KZM6" s="27" t="str">
        <f>IFERROR(VLOOKUP(DATE($K$1,$K$2,KZM$4),Table1[],(MATCH(Calendar!$A6,DB!1:1,0)+2),FALSE),"")</f>
        <v/>
      </c>
      <c r="KZN6" s="27" t="str">
        <f>IFERROR(VLOOKUP(DATE($K$1,$K$2,KZN$4),Table1[],(MATCH(Calendar!$A6,DB!1:1,0)+2),FALSE),"")</f>
        <v/>
      </c>
      <c r="KZO6" s="27" t="str">
        <f>IFERROR(VLOOKUP(DATE($K$1,$K$2,KZO$4),Table1[],(MATCH(Calendar!$A6,DB!1:1,0)+2),FALSE),"")</f>
        <v/>
      </c>
      <c r="KZP6" s="27" t="str">
        <f>IFERROR(VLOOKUP(DATE($K$1,$K$2,KZP$4),Table1[],(MATCH(Calendar!$A6,DB!1:1,0)+2),FALSE),"")</f>
        <v/>
      </c>
      <c r="KZQ6" s="27" t="str">
        <f>IFERROR(VLOOKUP(DATE($K$1,$K$2,KZQ$4),Table1[],(MATCH(Calendar!$A6,DB!1:1,0)+2),FALSE),"")</f>
        <v/>
      </c>
      <c r="KZR6" s="27" t="str">
        <f>IFERROR(VLOOKUP(DATE($K$1,$K$2,KZR$4),Table1[],(MATCH(Calendar!$A6,DB!1:1,0)+2),FALSE),"")</f>
        <v/>
      </c>
      <c r="KZS6" s="27" t="str">
        <f>IFERROR(VLOOKUP(DATE($K$1,$K$2,KZS$4),Table1[],(MATCH(Calendar!$A6,DB!1:1,0)+2),FALSE),"")</f>
        <v/>
      </c>
      <c r="KZT6" s="27" t="str">
        <f>IFERROR(VLOOKUP(DATE($K$1,$K$2,KZT$4),Table1[],(MATCH(Calendar!$A6,DB!1:1,0)+2),FALSE),"")</f>
        <v/>
      </c>
      <c r="KZU6" s="27" t="str">
        <f>IFERROR(VLOOKUP(DATE($K$1,$K$2,KZU$4),Table1[],(MATCH(Calendar!$A6,DB!1:1,0)+2),FALSE),"")</f>
        <v/>
      </c>
      <c r="KZV6" s="27" t="str">
        <f>IFERROR(VLOOKUP(DATE($K$1,$K$2,KZV$4),Table1[],(MATCH(Calendar!$A6,DB!1:1,0)+2),FALSE),"")</f>
        <v/>
      </c>
      <c r="KZW6" s="27" t="str">
        <f>IFERROR(VLOOKUP(DATE($K$1,$K$2,KZW$4),Table1[],(MATCH(Calendar!$A6,DB!1:1,0)+2),FALSE),"")</f>
        <v/>
      </c>
      <c r="KZX6" s="27" t="str">
        <f>IFERROR(VLOOKUP(DATE($K$1,$K$2,KZX$4),Table1[],(MATCH(Calendar!$A6,DB!1:1,0)+2),FALSE),"")</f>
        <v/>
      </c>
      <c r="KZY6" s="27" t="str">
        <f>IFERROR(VLOOKUP(DATE($K$1,$K$2,KZY$4),Table1[],(MATCH(Calendar!$A6,DB!1:1,0)+2),FALSE),"")</f>
        <v/>
      </c>
      <c r="KZZ6" s="27" t="str">
        <f>IFERROR(VLOOKUP(DATE($K$1,$K$2,KZZ$4),Table1[],(MATCH(Calendar!$A6,DB!1:1,0)+2),FALSE),"")</f>
        <v/>
      </c>
      <c r="LAA6" s="27" t="str">
        <f>IFERROR(VLOOKUP(DATE($K$1,$K$2,LAA$4),Table1[],(MATCH(Calendar!$A6,DB!1:1,0)+2),FALSE),"")</f>
        <v/>
      </c>
      <c r="LAB6" s="27" t="str">
        <f>IFERROR(VLOOKUP(DATE($K$1,$K$2,LAB$4),Table1[],(MATCH(Calendar!$A6,DB!1:1,0)+2),FALSE),"")</f>
        <v/>
      </c>
      <c r="LAC6" s="27" t="str">
        <f>IFERROR(VLOOKUP(DATE($K$1,$K$2,LAC$4),Table1[],(MATCH(Calendar!$A6,DB!1:1,0)+2),FALSE),"")</f>
        <v/>
      </c>
      <c r="LAD6" s="27" t="str">
        <f>IFERROR(VLOOKUP(DATE($K$1,$K$2,LAD$4),Table1[],(MATCH(Calendar!$A6,DB!1:1,0)+2),FALSE),"")</f>
        <v/>
      </c>
      <c r="LAE6" s="27" t="str">
        <f>IFERROR(VLOOKUP(DATE($K$1,$K$2,LAE$4),Table1[],(MATCH(Calendar!$A6,DB!1:1,0)+2),FALSE),"")</f>
        <v/>
      </c>
      <c r="LAF6" s="27" t="str">
        <f>IFERROR(VLOOKUP(DATE($K$1,$K$2,LAF$4),Table1[],(MATCH(Calendar!$A6,DB!1:1,0)+2),FALSE),"")</f>
        <v/>
      </c>
      <c r="LAG6" s="27" t="str">
        <f>IFERROR(VLOOKUP(DATE($K$1,$K$2,LAG$4),Table1[],(MATCH(Calendar!$A6,DB!1:1,0)+2),FALSE),"")</f>
        <v/>
      </c>
      <c r="LAH6" s="27" t="str">
        <f>IFERROR(VLOOKUP(DATE($K$1,$K$2,LAH$4),Table1[],(MATCH(Calendar!$A6,DB!1:1,0)+2),FALSE),"")</f>
        <v/>
      </c>
      <c r="LAI6" s="27" t="str">
        <f>IFERROR(VLOOKUP(DATE($K$1,$K$2,LAI$4),Table1[],(MATCH(Calendar!$A6,DB!1:1,0)+2),FALSE),"")</f>
        <v/>
      </c>
      <c r="LAJ6" s="27" t="str">
        <f>IFERROR(VLOOKUP(DATE($K$1,$K$2,LAJ$4),Table1[],(MATCH(Calendar!$A6,DB!1:1,0)+2),FALSE),"")</f>
        <v/>
      </c>
      <c r="LAK6" s="27" t="str">
        <f>IFERROR(VLOOKUP(DATE($K$1,$K$2,LAK$4),Table1[],(MATCH(Calendar!$A6,DB!1:1,0)+2),FALSE),"")</f>
        <v/>
      </c>
      <c r="LAL6" s="27" t="str">
        <f>IFERROR(VLOOKUP(DATE($K$1,$K$2,LAL$4),Table1[],(MATCH(Calendar!$A6,DB!1:1,0)+2),FALSE),"")</f>
        <v/>
      </c>
      <c r="LAM6" s="27" t="str">
        <f>IFERROR(VLOOKUP(DATE($K$1,$K$2,LAM$4),Table1[],(MATCH(Calendar!$A6,DB!1:1,0)+2),FALSE),"")</f>
        <v/>
      </c>
      <c r="LAN6" s="27" t="str">
        <f>IFERROR(VLOOKUP(DATE($K$1,$K$2,LAN$4),Table1[],(MATCH(Calendar!$A6,DB!1:1,0)+2),FALSE),"")</f>
        <v/>
      </c>
      <c r="LAO6" s="27" t="str">
        <f>IFERROR(VLOOKUP(DATE($K$1,$K$2,LAO$4),Table1[],(MATCH(Calendar!$A6,DB!1:1,0)+2),FALSE),"")</f>
        <v/>
      </c>
      <c r="LAP6" s="27" t="str">
        <f>IFERROR(VLOOKUP(DATE($K$1,$K$2,LAP$4),Table1[],(MATCH(Calendar!$A6,DB!1:1,0)+2),FALSE),"")</f>
        <v/>
      </c>
      <c r="LAQ6" s="27" t="str">
        <f>IFERROR(VLOOKUP(DATE($K$1,$K$2,LAQ$4),Table1[],(MATCH(Calendar!$A6,DB!1:1,0)+2),FALSE),"")</f>
        <v/>
      </c>
      <c r="LAR6" s="27" t="str">
        <f>IFERROR(VLOOKUP(DATE($K$1,$K$2,LAR$4),Table1[],(MATCH(Calendar!$A6,DB!1:1,0)+2),FALSE),"")</f>
        <v/>
      </c>
      <c r="LAS6" s="27" t="str">
        <f>IFERROR(VLOOKUP(DATE($K$1,$K$2,LAS$4),Table1[],(MATCH(Calendar!$A6,DB!1:1,0)+2),FALSE),"")</f>
        <v/>
      </c>
      <c r="LAT6" s="27" t="str">
        <f>IFERROR(VLOOKUP(DATE($K$1,$K$2,LAT$4),Table1[],(MATCH(Calendar!$A6,DB!1:1,0)+2),FALSE),"")</f>
        <v/>
      </c>
      <c r="LAU6" s="27" t="str">
        <f>IFERROR(VLOOKUP(DATE($K$1,$K$2,LAU$4),Table1[],(MATCH(Calendar!$A6,DB!1:1,0)+2),FALSE),"")</f>
        <v/>
      </c>
      <c r="LAV6" s="27" t="str">
        <f>IFERROR(VLOOKUP(DATE($K$1,$K$2,LAV$4),Table1[],(MATCH(Calendar!$A6,DB!1:1,0)+2),FALSE),"")</f>
        <v/>
      </c>
      <c r="LAW6" s="27" t="str">
        <f>IFERROR(VLOOKUP(DATE($K$1,$K$2,LAW$4),Table1[],(MATCH(Calendar!$A6,DB!1:1,0)+2),FALSE),"")</f>
        <v/>
      </c>
      <c r="LAX6" s="27" t="str">
        <f>IFERROR(VLOOKUP(DATE($K$1,$K$2,LAX$4),Table1[],(MATCH(Calendar!$A6,DB!1:1,0)+2),FALSE),"")</f>
        <v/>
      </c>
      <c r="LAY6" s="27" t="str">
        <f>IFERROR(VLOOKUP(DATE($K$1,$K$2,LAY$4),Table1[],(MATCH(Calendar!$A6,DB!1:1,0)+2),FALSE),"")</f>
        <v/>
      </c>
      <c r="LAZ6" s="27" t="str">
        <f>IFERROR(VLOOKUP(DATE($K$1,$K$2,LAZ$4),Table1[],(MATCH(Calendar!$A6,DB!1:1,0)+2),FALSE),"")</f>
        <v/>
      </c>
      <c r="LBA6" s="27" t="str">
        <f>IFERROR(VLOOKUP(DATE($K$1,$K$2,LBA$4),Table1[],(MATCH(Calendar!$A6,DB!1:1,0)+2),FALSE),"")</f>
        <v/>
      </c>
      <c r="LBB6" s="27" t="str">
        <f>IFERROR(VLOOKUP(DATE($K$1,$K$2,LBB$4),Table1[],(MATCH(Calendar!$A6,DB!1:1,0)+2),FALSE),"")</f>
        <v/>
      </c>
      <c r="LBC6" s="27" t="str">
        <f>IFERROR(VLOOKUP(DATE($K$1,$K$2,LBC$4),Table1[],(MATCH(Calendar!$A6,DB!1:1,0)+2),FALSE),"")</f>
        <v/>
      </c>
      <c r="LBD6" s="27" t="str">
        <f>IFERROR(VLOOKUP(DATE($K$1,$K$2,LBD$4),Table1[],(MATCH(Calendar!$A6,DB!1:1,0)+2),FALSE),"")</f>
        <v/>
      </c>
      <c r="LBE6" s="27" t="str">
        <f>IFERROR(VLOOKUP(DATE($K$1,$K$2,LBE$4),Table1[],(MATCH(Calendar!$A6,DB!1:1,0)+2),FALSE),"")</f>
        <v/>
      </c>
      <c r="LBF6" s="27" t="str">
        <f>IFERROR(VLOOKUP(DATE($K$1,$K$2,LBF$4),Table1[],(MATCH(Calendar!$A6,DB!1:1,0)+2),FALSE),"")</f>
        <v/>
      </c>
      <c r="LBG6" s="27" t="str">
        <f>IFERROR(VLOOKUP(DATE($K$1,$K$2,LBG$4),Table1[],(MATCH(Calendar!$A6,DB!1:1,0)+2),FALSE),"")</f>
        <v/>
      </c>
      <c r="LBH6" s="27" t="str">
        <f>IFERROR(VLOOKUP(DATE($K$1,$K$2,LBH$4),Table1[],(MATCH(Calendar!$A6,DB!1:1,0)+2),FALSE),"")</f>
        <v/>
      </c>
      <c r="LBI6" s="27" t="str">
        <f>IFERROR(VLOOKUP(DATE($K$1,$K$2,LBI$4),Table1[],(MATCH(Calendar!$A6,DB!1:1,0)+2),FALSE),"")</f>
        <v/>
      </c>
      <c r="LBJ6" s="27" t="str">
        <f>IFERROR(VLOOKUP(DATE($K$1,$K$2,LBJ$4),Table1[],(MATCH(Calendar!$A6,DB!1:1,0)+2),FALSE),"")</f>
        <v/>
      </c>
      <c r="LBK6" s="27" t="str">
        <f>IFERROR(VLOOKUP(DATE($K$1,$K$2,LBK$4),Table1[],(MATCH(Calendar!$A6,DB!1:1,0)+2),FALSE),"")</f>
        <v/>
      </c>
      <c r="LBL6" s="27" t="str">
        <f>IFERROR(VLOOKUP(DATE($K$1,$K$2,LBL$4),Table1[],(MATCH(Calendar!$A6,DB!1:1,0)+2),FALSE),"")</f>
        <v/>
      </c>
      <c r="LBM6" s="27" t="str">
        <f>IFERROR(VLOOKUP(DATE($K$1,$K$2,LBM$4),Table1[],(MATCH(Calendar!$A6,DB!1:1,0)+2),FALSE),"")</f>
        <v/>
      </c>
      <c r="LBN6" s="27" t="str">
        <f>IFERROR(VLOOKUP(DATE($K$1,$K$2,LBN$4),Table1[],(MATCH(Calendar!$A6,DB!1:1,0)+2),FALSE),"")</f>
        <v/>
      </c>
      <c r="LBO6" s="27" t="str">
        <f>IFERROR(VLOOKUP(DATE($K$1,$K$2,LBO$4),Table1[],(MATCH(Calendar!$A6,DB!1:1,0)+2),FALSE),"")</f>
        <v/>
      </c>
      <c r="LBP6" s="27" t="str">
        <f>IFERROR(VLOOKUP(DATE($K$1,$K$2,LBP$4),Table1[],(MATCH(Calendar!$A6,DB!1:1,0)+2),FALSE),"")</f>
        <v/>
      </c>
      <c r="LBQ6" s="27" t="str">
        <f>IFERROR(VLOOKUP(DATE($K$1,$K$2,LBQ$4),Table1[],(MATCH(Calendar!$A6,DB!1:1,0)+2),FALSE),"")</f>
        <v/>
      </c>
      <c r="LBR6" s="27" t="str">
        <f>IFERROR(VLOOKUP(DATE($K$1,$K$2,LBR$4),Table1[],(MATCH(Calendar!$A6,DB!1:1,0)+2),FALSE),"")</f>
        <v/>
      </c>
      <c r="LBS6" s="27" t="str">
        <f>IFERROR(VLOOKUP(DATE($K$1,$K$2,LBS$4),Table1[],(MATCH(Calendar!$A6,DB!1:1,0)+2),FALSE),"")</f>
        <v/>
      </c>
      <c r="LBT6" s="27" t="str">
        <f>IFERROR(VLOOKUP(DATE($K$1,$K$2,LBT$4),Table1[],(MATCH(Calendar!$A6,DB!1:1,0)+2),FALSE),"")</f>
        <v/>
      </c>
      <c r="LBU6" s="27" t="str">
        <f>IFERROR(VLOOKUP(DATE($K$1,$K$2,LBU$4),Table1[],(MATCH(Calendar!$A6,DB!1:1,0)+2),FALSE),"")</f>
        <v/>
      </c>
      <c r="LBV6" s="27" t="str">
        <f>IFERROR(VLOOKUP(DATE($K$1,$K$2,LBV$4),Table1[],(MATCH(Calendar!$A6,DB!1:1,0)+2),FALSE),"")</f>
        <v/>
      </c>
      <c r="LBW6" s="27" t="str">
        <f>IFERROR(VLOOKUP(DATE($K$1,$K$2,LBW$4),Table1[],(MATCH(Calendar!$A6,DB!1:1,0)+2),FALSE),"")</f>
        <v/>
      </c>
      <c r="LBX6" s="27" t="str">
        <f>IFERROR(VLOOKUP(DATE($K$1,$K$2,LBX$4),Table1[],(MATCH(Calendar!$A6,DB!1:1,0)+2),FALSE),"")</f>
        <v/>
      </c>
      <c r="LBY6" s="27" t="str">
        <f>IFERROR(VLOOKUP(DATE($K$1,$K$2,LBY$4),Table1[],(MATCH(Calendar!$A6,DB!1:1,0)+2),FALSE),"")</f>
        <v/>
      </c>
      <c r="LBZ6" s="27" t="str">
        <f>IFERROR(VLOOKUP(DATE($K$1,$K$2,LBZ$4),Table1[],(MATCH(Calendar!$A6,DB!1:1,0)+2),FALSE),"")</f>
        <v/>
      </c>
      <c r="LCA6" s="27" t="str">
        <f>IFERROR(VLOOKUP(DATE($K$1,$K$2,LCA$4),Table1[],(MATCH(Calendar!$A6,DB!1:1,0)+2),FALSE),"")</f>
        <v/>
      </c>
      <c r="LCB6" s="27" t="str">
        <f>IFERROR(VLOOKUP(DATE($K$1,$K$2,LCB$4),Table1[],(MATCH(Calendar!$A6,DB!1:1,0)+2),FALSE),"")</f>
        <v/>
      </c>
      <c r="LCC6" s="27" t="str">
        <f>IFERROR(VLOOKUP(DATE($K$1,$K$2,LCC$4),Table1[],(MATCH(Calendar!$A6,DB!1:1,0)+2),FALSE),"")</f>
        <v/>
      </c>
      <c r="LCD6" s="27" t="str">
        <f>IFERROR(VLOOKUP(DATE($K$1,$K$2,LCD$4),Table1[],(MATCH(Calendar!$A6,DB!1:1,0)+2),FALSE),"")</f>
        <v/>
      </c>
      <c r="LCE6" s="27" t="str">
        <f>IFERROR(VLOOKUP(DATE($K$1,$K$2,LCE$4),Table1[],(MATCH(Calendar!$A6,DB!1:1,0)+2),FALSE),"")</f>
        <v/>
      </c>
      <c r="LCF6" s="27" t="str">
        <f>IFERROR(VLOOKUP(DATE($K$1,$K$2,LCF$4),Table1[],(MATCH(Calendar!$A6,DB!1:1,0)+2),FALSE),"")</f>
        <v/>
      </c>
      <c r="LCG6" s="27" t="str">
        <f>IFERROR(VLOOKUP(DATE($K$1,$K$2,LCG$4),Table1[],(MATCH(Calendar!$A6,DB!1:1,0)+2),FALSE),"")</f>
        <v/>
      </c>
      <c r="LCH6" s="27" t="str">
        <f>IFERROR(VLOOKUP(DATE($K$1,$K$2,LCH$4),Table1[],(MATCH(Calendar!$A6,DB!1:1,0)+2),FALSE),"")</f>
        <v/>
      </c>
      <c r="LCI6" s="27" t="str">
        <f>IFERROR(VLOOKUP(DATE($K$1,$K$2,LCI$4),Table1[],(MATCH(Calendar!$A6,DB!1:1,0)+2),FALSE),"")</f>
        <v/>
      </c>
      <c r="LCJ6" s="27" t="str">
        <f>IFERROR(VLOOKUP(DATE($K$1,$K$2,LCJ$4),Table1[],(MATCH(Calendar!$A6,DB!1:1,0)+2),FALSE),"")</f>
        <v/>
      </c>
      <c r="LCK6" s="27" t="str">
        <f>IFERROR(VLOOKUP(DATE($K$1,$K$2,LCK$4),Table1[],(MATCH(Calendar!$A6,DB!1:1,0)+2),FALSE),"")</f>
        <v/>
      </c>
      <c r="LCL6" s="27" t="str">
        <f>IFERROR(VLOOKUP(DATE($K$1,$K$2,LCL$4),Table1[],(MATCH(Calendar!$A6,DB!1:1,0)+2),FALSE),"")</f>
        <v/>
      </c>
      <c r="LCM6" s="27" t="str">
        <f>IFERROR(VLOOKUP(DATE($K$1,$K$2,LCM$4),Table1[],(MATCH(Calendar!$A6,DB!1:1,0)+2),FALSE),"")</f>
        <v/>
      </c>
      <c r="LCN6" s="27" t="str">
        <f>IFERROR(VLOOKUP(DATE($K$1,$K$2,LCN$4),Table1[],(MATCH(Calendar!$A6,DB!1:1,0)+2),FALSE),"")</f>
        <v/>
      </c>
      <c r="LCO6" s="27" t="str">
        <f>IFERROR(VLOOKUP(DATE($K$1,$K$2,LCO$4),Table1[],(MATCH(Calendar!$A6,DB!1:1,0)+2),FALSE),"")</f>
        <v/>
      </c>
      <c r="LCP6" s="27" t="str">
        <f>IFERROR(VLOOKUP(DATE($K$1,$K$2,LCP$4),Table1[],(MATCH(Calendar!$A6,DB!1:1,0)+2),FALSE),"")</f>
        <v/>
      </c>
      <c r="LCQ6" s="27" t="str">
        <f>IFERROR(VLOOKUP(DATE($K$1,$K$2,LCQ$4),Table1[],(MATCH(Calendar!$A6,DB!1:1,0)+2),FALSE),"")</f>
        <v/>
      </c>
      <c r="LCR6" s="27" t="str">
        <f>IFERROR(VLOOKUP(DATE($K$1,$K$2,LCR$4),Table1[],(MATCH(Calendar!$A6,DB!1:1,0)+2),FALSE),"")</f>
        <v/>
      </c>
      <c r="LCS6" s="27" t="str">
        <f>IFERROR(VLOOKUP(DATE($K$1,$K$2,LCS$4),Table1[],(MATCH(Calendar!$A6,DB!1:1,0)+2),FALSE),"")</f>
        <v/>
      </c>
      <c r="LCT6" s="27" t="str">
        <f>IFERROR(VLOOKUP(DATE($K$1,$K$2,LCT$4),Table1[],(MATCH(Calendar!$A6,DB!1:1,0)+2),FALSE),"")</f>
        <v/>
      </c>
      <c r="LCU6" s="27" t="str">
        <f>IFERROR(VLOOKUP(DATE($K$1,$K$2,LCU$4),Table1[],(MATCH(Calendar!$A6,DB!1:1,0)+2),FALSE),"")</f>
        <v/>
      </c>
      <c r="LCV6" s="27" t="str">
        <f>IFERROR(VLOOKUP(DATE($K$1,$K$2,LCV$4),Table1[],(MATCH(Calendar!$A6,DB!1:1,0)+2),FALSE),"")</f>
        <v/>
      </c>
      <c r="LCW6" s="27" t="str">
        <f>IFERROR(VLOOKUP(DATE($K$1,$K$2,LCW$4),Table1[],(MATCH(Calendar!$A6,DB!1:1,0)+2),FALSE),"")</f>
        <v/>
      </c>
      <c r="LCX6" s="27" t="str">
        <f>IFERROR(VLOOKUP(DATE($K$1,$K$2,LCX$4),Table1[],(MATCH(Calendar!$A6,DB!1:1,0)+2),FALSE),"")</f>
        <v/>
      </c>
      <c r="LCY6" s="27" t="str">
        <f>IFERROR(VLOOKUP(DATE($K$1,$K$2,LCY$4),Table1[],(MATCH(Calendar!$A6,DB!1:1,0)+2),FALSE),"")</f>
        <v/>
      </c>
      <c r="LCZ6" s="27" t="str">
        <f>IFERROR(VLOOKUP(DATE($K$1,$K$2,LCZ$4),Table1[],(MATCH(Calendar!$A6,DB!1:1,0)+2),FALSE),"")</f>
        <v/>
      </c>
      <c r="LDA6" s="27" t="str">
        <f>IFERROR(VLOOKUP(DATE($K$1,$K$2,LDA$4),Table1[],(MATCH(Calendar!$A6,DB!1:1,0)+2),FALSE),"")</f>
        <v/>
      </c>
      <c r="LDB6" s="27" t="str">
        <f>IFERROR(VLOOKUP(DATE($K$1,$K$2,LDB$4),Table1[],(MATCH(Calendar!$A6,DB!1:1,0)+2),FALSE),"")</f>
        <v/>
      </c>
      <c r="LDC6" s="27" t="str">
        <f>IFERROR(VLOOKUP(DATE($K$1,$K$2,LDC$4),Table1[],(MATCH(Calendar!$A6,DB!1:1,0)+2),FALSE),"")</f>
        <v/>
      </c>
      <c r="LDD6" s="27" t="str">
        <f>IFERROR(VLOOKUP(DATE($K$1,$K$2,LDD$4),Table1[],(MATCH(Calendar!$A6,DB!1:1,0)+2),FALSE),"")</f>
        <v/>
      </c>
      <c r="LDE6" s="27" t="str">
        <f>IFERROR(VLOOKUP(DATE($K$1,$K$2,LDE$4),Table1[],(MATCH(Calendar!$A6,DB!1:1,0)+2),FALSE),"")</f>
        <v/>
      </c>
      <c r="LDF6" s="27" t="str">
        <f>IFERROR(VLOOKUP(DATE($K$1,$K$2,LDF$4),Table1[],(MATCH(Calendar!$A6,DB!1:1,0)+2),FALSE),"")</f>
        <v/>
      </c>
      <c r="LDG6" s="27" t="str">
        <f>IFERROR(VLOOKUP(DATE($K$1,$K$2,LDG$4),Table1[],(MATCH(Calendar!$A6,DB!1:1,0)+2),FALSE),"")</f>
        <v/>
      </c>
      <c r="LDH6" s="27" t="str">
        <f>IFERROR(VLOOKUP(DATE($K$1,$K$2,LDH$4),Table1[],(MATCH(Calendar!$A6,DB!1:1,0)+2),FALSE),"")</f>
        <v/>
      </c>
      <c r="LDI6" s="27" t="str">
        <f>IFERROR(VLOOKUP(DATE($K$1,$K$2,LDI$4),Table1[],(MATCH(Calendar!$A6,DB!1:1,0)+2),FALSE),"")</f>
        <v/>
      </c>
      <c r="LDJ6" s="27" t="str">
        <f>IFERROR(VLOOKUP(DATE($K$1,$K$2,LDJ$4),Table1[],(MATCH(Calendar!$A6,DB!1:1,0)+2),FALSE),"")</f>
        <v/>
      </c>
      <c r="LDK6" s="27" t="str">
        <f>IFERROR(VLOOKUP(DATE($K$1,$K$2,LDK$4),Table1[],(MATCH(Calendar!$A6,DB!1:1,0)+2),FALSE),"")</f>
        <v/>
      </c>
      <c r="LDL6" s="27" t="str">
        <f>IFERROR(VLOOKUP(DATE($K$1,$K$2,LDL$4),Table1[],(MATCH(Calendar!$A6,DB!1:1,0)+2),FALSE),"")</f>
        <v/>
      </c>
      <c r="LDM6" s="27" t="str">
        <f>IFERROR(VLOOKUP(DATE($K$1,$K$2,LDM$4),Table1[],(MATCH(Calendar!$A6,DB!1:1,0)+2),FALSE),"")</f>
        <v/>
      </c>
      <c r="LDN6" s="27" t="str">
        <f>IFERROR(VLOOKUP(DATE($K$1,$K$2,LDN$4),Table1[],(MATCH(Calendar!$A6,DB!1:1,0)+2),FALSE),"")</f>
        <v/>
      </c>
      <c r="LDO6" s="27" t="str">
        <f>IFERROR(VLOOKUP(DATE($K$1,$K$2,LDO$4),Table1[],(MATCH(Calendar!$A6,DB!1:1,0)+2),FALSE),"")</f>
        <v/>
      </c>
      <c r="LDP6" s="27" t="str">
        <f>IFERROR(VLOOKUP(DATE($K$1,$K$2,LDP$4),Table1[],(MATCH(Calendar!$A6,DB!1:1,0)+2),FALSE),"")</f>
        <v/>
      </c>
      <c r="LDQ6" s="27" t="str">
        <f>IFERROR(VLOOKUP(DATE($K$1,$K$2,LDQ$4),Table1[],(MATCH(Calendar!$A6,DB!1:1,0)+2),FALSE),"")</f>
        <v/>
      </c>
      <c r="LDR6" s="27" t="str">
        <f>IFERROR(VLOOKUP(DATE($K$1,$K$2,LDR$4),Table1[],(MATCH(Calendar!$A6,DB!1:1,0)+2),FALSE),"")</f>
        <v/>
      </c>
      <c r="LDS6" s="27" t="str">
        <f>IFERROR(VLOOKUP(DATE($K$1,$K$2,LDS$4),Table1[],(MATCH(Calendar!$A6,DB!1:1,0)+2),FALSE),"")</f>
        <v/>
      </c>
      <c r="LDT6" s="27" t="str">
        <f>IFERROR(VLOOKUP(DATE($K$1,$K$2,LDT$4),Table1[],(MATCH(Calendar!$A6,DB!1:1,0)+2),FALSE),"")</f>
        <v/>
      </c>
      <c r="LDU6" s="27" t="str">
        <f>IFERROR(VLOOKUP(DATE($K$1,$K$2,LDU$4),Table1[],(MATCH(Calendar!$A6,DB!1:1,0)+2),FALSE),"")</f>
        <v/>
      </c>
      <c r="LDV6" s="27" t="str">
        <f>IFERROR(VLOOKUP(DATE($K$1,$K$2,LDV$4),Table1[],(MATCH(Calendar!$A6,DB!1:1,0)+2),FALSE),"")</f>
        <v/>
      </c>
      <c r="LDW6" s="27" t="str">
        <f>IFERROR(VLOOKUP(DATE($K$1,$K$2,LDW$4),Table1[],(MATCH(Calendar!$A6,DB!1:1,0)+2),FALSE),"")</f>
        <v/>
      </c>
      <c r="LDX6" s="27" t="str">
        <f>IFERROR(VLOOKUP(DATE($K$1,$K$2,LDX$4),Table1[],(MATCH(Calendar!$A6,DB!1:1,0)+2),FALSE),"")</f>
        <v/>
      </c>
      <c r="LDY6" s="27" t="str">
        <f>IFERROR(VLOOKUP(DATE($K$1,$K$2,LDY$4),Table1[],(MATCH(Calendar!$A6,DB!1:1,0)+2),FALSE),"")</f>
        <v/>
      </c>
      <c r="LDZ6" s="27" t="str">
        <f>IFERROR(VLOOKUP(DATE($K$1,$K$2,LDZ$4),Table1[],(MATCH(Calendar!$A6,DB!1:1,0)+2),FALSE),"")</f>
        <v/>
      </c>
      <c r="LEA6" s="27" t="str">
        <f>IFERROR(VLOOKUP(DATE($K$1,$K$2,LEA$4),Table1[],(MATCH(Calendar!$A6,DB!1:1,0)+2),FALSE),"")</f>
        <v/>
      </c>
      <c r="LEB6" s="27" t="str">
        <f>IFERROR(VLOOKUP(DATE($K$1,$K$2,LEB$4),Table1[],(MATCH(Calendar!$A6,DB!1:1,0)+2),FALSE),"")</f>
        <v/>
      </c>
      <c r="LEC6" s="27" t="str">
        <f>IFERROR(VLOOKUP(DATE($K$1,$K$2,LEC$4),Table1[],(MATCH(Calendar!$A6,DB!1:1,0)+2),FALSE),"")</f>
        <v/>
      </c>
      <c r="LED6" s="27" t="str">
        <f>IFERROR(VLOOKUP(DATE($K$1,$K$2,LED$4),Table1[],(MATCH(Calendar!$A6,DB!1:1,0)+2),FALSE),"")</f>
        <v/>
      </c>
      <c r="LEE6" s="27" t="str">
        <f>IFERROR(VLOOKUP(DATE($K$1,$K$2,LEE$4),Table1[],(MATCH(Calendar!$A6,DB!1:1,0)+2),FALSE),"")</f>
        <v/>
      </c>
      <c r="LEF6" s="27" t="str">
        <f>IFERROR(VLOOKUP(DATE($K$1,$K$2,LEF$4),Table1[],(MATCH(Calendar!$A6,DB!1:1,0)+2),FALSE),"")</f>
        <v/>
      </c>
      <c r="LEG6" s="27" t="str">
        <f>IFERROR(VLOOKUP(DATE($K$1,$K$2,LEG$4),Table1[],(MATCH(Calendar!$A6,DB!1:1,0)+2),FALSE),"")</f>
        <v/>
      </c>
      <c r="LEH6" s="27" t="str">
        <f>IFERROR(VLOOKUP(DATE($K$1,$K$2,LEH$4),Table1[],(MATCH(Calendar!$A6,DB!1:1,0)+2),FALSE),"")</f>
        <v/>
      </c>
      <c r="LEI6" s="27" t="str">
        <f>IFERROR(VLOOKUP(DATE($K$1,$K$2,LEI$4),Table1[],(MATCH(Calendar!$A6,DB!1:1,0)+2),FALSE),"")</f>
        <v/>
      </c>
      <c r="LEJ6" s="27" t="str">
        <f>IFERROR(VLOOKUP(DATE($K$1,$K$2,LEJ$4),Table1[],(MATCH(Calendar!$A6,DB!1:1,0)+2),FALSE),"")</f>
        <v/>
      </c>
      <c r="LEK6" s="27" t="str">
        <f>IFERROR(VLOOKUP(DATE($K$1,$K$2,LEK$4),Table1[],(MATCH(Calendar!$A6,DB!1:1,0)+2),FALSE),"")</f>
        <v/>
      </c>
      <c r="LEL6" s="27" t="str">
        <f>IFERROR(VLOOKUP(DATE($K$1,$K$2,LEL$4),Table1[],(MATCH(Calendar!$A6,DB!1:1,0)+2),FALSE),"")</f>
        <v/>
      </c>
      <c r="LEM6" s="27" t="str">
        <f>IFERROR(VLOOKUP(DATE($K$1,$K$2,LEM$4),Table1[],(MATCH(Calendar!$A6,DB!1:1,0)+2),FALSE),"")</f>
        <v/>
      </c>
      <c r="LEN6" s="27" t="str">
        <f>IFERROR(VLOOKUP(DATE($K$1,$K$2,LEN$4),Table1[],(MATCH(Calendar!$A6,DB!1:1,0)+2),FALSE),"")</f>
        <v/>
      </c>
      <c r="LEO6" s="27" t="str">
        <f>IFERROR(VLOOKUP(DATE($K$1,$K$2,LEO$4),Table1[],(MATCH(Calendar!$A6,DB!1:1,0)+2),FALSE),"")</f>
        <v/>
      </c>
      <c r="LEP6" s="27" t="str">
        <f>IFERROR(VLOOKUP(DATE($K$1,$K$2,LEP$4),Table1[],(MATCH(Calendar!$A6,DB!1:1,0)+2),FALSE),"")</f>
        <v/>
      </c>
      <c r="LEQ6" s="27" t="str">
        <f>IFERROR(VLOOKUP(DATE($K$1,$K$2,LEQ$4),Table1[],(MATCH(Calendar!$A6,DB!1:1,0)+2),FALSE),"")</f>
        <v/>
      </c>
      <c r="LER6" s="27" t="str">
        <f>IFERROR(VLOOKUP(DATE($K$1,$K$2,LER$4),Table1[],(MATCH(Calendar!$A6,DB!1:1,0)+2),FALSE),"")</f>
        <v/>
      </c>
      <c r="LES6" s="27" t="str">
        <f>IFERROR(VLOOKUP(DATE($K$1,$K$2,LES$4),Table1[],(MATCH(Calendar!$A6,DB!1:1,0)+2),FALSE),"")</f>
        <v/>
      </c>
      <c r="LET6" s="27" t="str">
        <f>IFERROR(VLOOKUP(DATE($K$1,$K$2,LET$4),Table1[],(MATCH(Calendar!$A6,DB!1:1,0)+2),FALSE),"")</f>
        <v/>
      </c>
      <c r="LEU6" s="27" t="str">
        <f>IFERROR(VLOOKUP(DATE($K$1,$K$2,LEU$4),Table1[],(MATCH(Calendar!$A6,DB!1:1,0)+2),FALSE),"")</f>
        <v/>
      </c>
      <c r="LEV6" s="27" t="str">
        <f>IFERROR(VLOOKUP(DATE($K$1,$K$2,LEV$4),Table1[],(MATCH(Calendar!$A6,DB!1:1,0)+2),FALSE),"")</f>
        <v/>
      </c>
      <c r="LEW6" s="27" t="str">
        <f>IFERROR(VLOOKUP(DATE($K$1,$K$2,LEW$4),Table1[],(MATCH(Calendar!$A6,DB!1:1,0)+2),FALSE),"")</f>
        <v/>
      </c>
      <c r="LEX6" s="27" t="str">
        <f>IFERROR(VLOOKUP(DATE($K$1,$K$2,LEX$4),Table1[],(MATCH(Calendar!$A6,DB!1:1,0)+2),FALSE),"")</f>
        <v/>
      </c>
      <c r="LEY6" s="27" t="str">
        <f>IFERROR(VLOOKUP(DATE($K$1,$K$2,LEY$4),Table1[],(MATCH(Calendar!$A6,DB!1:1,0)+2),FALSE),"")</f>
        <v/>
      </c>
      <c r="LEZ6" s="27" t="str">
        <f>IFERROR(VLOOKUP(DATE($K$1,$K$2,LEZ$4),Table1[],(MATCH(Calendar!$A6,DB!1:1,0)+2),FALSE),"")</f>
        <v/>
      </c>
      <c r="LFA6" s="27" t="str">
        <f>IFERROR(VLOOKUP(DATE($K$1,$K$2,LFA$4),Table1[],(MATCH(Calendar!$A6,DB!1:1,0)+2),FALSE),"")</f>
        <v/>
      </c>
      <c r="LFB6" s="27" t="str">
        <f>IFERROR(VLOOKUP(DATE($K$1,$K$2,LFB$4),Table1[],(MATCH(Calendar!$A6,DB!1:1,0)+2),FALSE),"")</f>
        <v/>
      </c>
      <c r="LFC6" s="27" t="str">
        <f>IFERROR(VLOOKUP(DATE($K$1,$K$2,LFC$4),Table1[],(MATCH(Calendar!$A6,DB!1:1,0)+2),FALSE),"")</f>
        <v/>
      </c>
      <c r="LFD6" s="27" t="str">
        <f>IFERROR(VLOOKUP(DATE($K$1,$K$2,LFD$4),Table1[],(MATCH(Calendar!$A6,DB!1:1,0)+2),FALSE),"")</f>
        <v/>
      </c>
      <c r="LFE6" s="27" t="str">
        <f>IFERROR(VLOOKUP(DATE($K$1,$K$2,LFE$4),Table1[],(MATCH(Calendar!$A6,DB!1:1,0)+2),FALSE),"")</f>
        <v/>
      </c>
      <c r="LFF6" s="27" t="str">
        <f>IFERROR(VLOOKUP(DATE($K$1,$K$2,LFF$4),Table1[],(MATCH(Calendar!$A6,DB!1:1,0)+2),FALSE),"")</f>
        <v/>
      </c>
      <c r="LFG6" s="27" t="str">
        <f>IFERROR(VLOOKUP(DATE($K$1,$K$2,LFG$4),Table1[],(MATCH(Calendar!$A6,DB!1:1,0)+2),FALSE),"")</f>
        <v/>
      </c>
      <c r="LFH6" s="27" t="str">
        <f>IFERROR(VLOOKUP(DATE($K$1,$K$2,LFH$4),Table1[],(MATCH(Calendar!$A6,DB!1:1,0)+2),FALSE),"")</f>
        <v/>
      </c>
      <c r="LFI6" s="27" t="str">
        <f>IFERROR(VLOOKUP(DATE($K$1,$K$2,LFI$4),Table1[],(MATCH(Calendar!$A6,DB!1:1,0)+2),FALSE),"")</f>
        <v/>
      </c>
      <c r="LFJ6" s="27" t="str">
        <f>IFERROR(VLOOKUP(DATE($K$1,$K$2,LFJ$4),Table1[],(MATCH(Calendar!$A6,DB!1:1,0)+2),FALSE),"")</f>
        <v/>
      </c>
      <c r="LFK6" s="27" t="str">
        <f>IFERROR(VLOOKUP(DATE($K$1,$K$2,LFK$4),Table1[],(MATCH(Calendar!$A6,DB!1:1,0)+2),FALSE),"")</f>
        <v/>
      </c>
      <c r="LFL6" s="27" t="str">
        <f>IFERROR(VLOOKUP(DATE($K$1,$K$2,LFL$4),Table1[],(MATCH(Calendar!$A6,DB!1:1,0)+2),FALSE),"")</f>
        <v/>
      </c>
      <c r="LFM6" s="27" t="str">
        <f>IFERROR(VLOOKUP(DATE($K$1,$K$2,LFM$4),Table1[],(MATCH(Calendar!$A6,DB!1:1,0)+2),FALSE),"")</f>
        <v/>
      </c>
      <c r="LFN6" s="27" t="str">
        <f>IFERROR(VLOOKUP(DATE($K$1,$K$2,LFN$4),Table1[],(MATCH(Calendar!$A6,DB!1:1,0)+2),FALSE),"")</f>
        <v/>
      </c>
      <c r="LFO6" s="27" t="str">
        <f>IFERROR(VLOOKUP(DATE($K$1,$K$2,LFO$4),Table1[],(MATCH(Calendar!$A6,DB!1:1,0)+2),FALSE),"")</f>
        <v/>
      </c>
      <c r="LFP6" s="27" t="str">
        <f>IFERROR(VLOOKUP(DATE($K$1,$K$2,LFP$4),Table1[],(MATCH(Calendar!$A6,DB!1:1,0)+2),FALSE),"")</f>
        <v/>
      </c>
      <c r="LFQ6" s="27" t="str">
        <f>IFERROR(VLOOKUP(DATE($K$1,$K$2,LFQ$4),Table1[],(MATCH(Calendar!$A6,DB!1:1,0)+2),FALSE),"")</f>
        <v/>
      </c>
      <c r="LFR6" s="27" t="str">
        <f>IFERROR(VLOOKUP(DATE($K$1,$K$2,LFR$4),Table1[],(MATCH(Calendar!$A6,DB!1:1,0)+2),FALSE),"")</f>
        <v/>
      </c>
      <c r="LFS6" s="27" t="str">
        <f>IFERROR(VLOOKUP(DATE($K$1,$K$2,LFS$4),Table1[],(MATCH(Calendar!$A6,DB!1:1,0)+2),FALSE),"")</f>
        <v/>
      </c>
      <c r="LFT6" s="27" t="str">
        <f>IFERROR(VLOOKUP(DATE($K$1,$K$2,LFT$4),Table1[],(MATCH(Calendar!$A6,DB!1:1,0)+2),FALSE),"")</f>
        <v/>
      </c>
      <c r="LFU6" s="27" t="str">
        <f>IFERROR(VLOOKUP(DATE($K$1,$K$2,LFU$4),Table1[],(MATCH(Calendar!$A6,DB!1:1,0)+2),FALSE),"")</f>
        <v/>
      </c>
      <c r="LFV6" s="27" t="str">
        <f>IFERROR(VLOOKUP(DATE($K$1,$K$2,LFV$4),Table1[],(MATCH(Calendar!$A6,DB!1:1,0)+2),FALSE),"")</f>
        <v/>
      </c>
      <c r="LFW6" s="27" t="str">
        <f>IFERROR(VLOOKUP(DATE($K$1,$K$2,LFW$4),Table1[],(MATCH(Calendar!$A6,DB!1:1,0)+2),FALSE),"")</f>
        <v/>
      </c>
      <c r="LFX6" s="27" t="str">
        <f>IFERROR(VLOOKUP(DATE($K$1,$K$2,LFX$4),Table1[],(MATCH(Calendar!$A6,DB!1:1,0)+2),FALSE),"")</f>
        <v/>
      </c>
      <c r="LFY6" s="27" t="str">
        <f>IFERROR(VLOOKUP(DATE($K$1,$K$2,LFY$4),Table1[],(MATCH(Calendar!$A6,DB!1:1,0)+2),FALSE),"")</f>
        <v/>
      </c>
      <c r="LFZ6" s="27" t="str">
        <f>IFERROR(VLOOKUP(DATE($K$1,$K$2,LFZ$4),Table1[],(MATCH(Calendar!$A6,DB!1:1,0)+2),FALSE),"")</f>
        <v/>
      </c>
      <c r="LGA6" s="27" t="str">
        <f>IFERROR(VLOOKUP(DATE($K$1,$K$2,LGA$4),Table1[],(MATCH(Calendar!$A6,DB!1:1,0)+2),FALSE),"")</f>
        <v/>
      </c>
      <c r="LGB6" s="27" t="str">
        <f>IFERROR(VLOOKUP(DATE($K$1,$K$2,LGB$4),Table1[],(MATCH(Calendar!$A6,DB!1:1,0)+2),FALSE),"")</f>
        <v/>
      </c>
      <c r="LGC6" s="27" t="str">
        <f>IFERROR(VLOOKUP(DATE($K$1,$K$2,LGC$4),Table1[],(MATCH(Calendar!$A6,DB!1:1,0)+2),FALSE),"")</f>
        <v/>
      </c>
      <c r="LGD6" s="27" t="str">
        <f>IFERROR(VLOOKUP(DATE($K$1,$K$2,LGD$4),Table1[],(MATCH(Calendar!$A6,DB!1:1,0)+2),FALSE),"")</f>
        <v/>
      </c>
      <c r="LGE6" s="27" t="str">
        <f>IFERROR(VLOOKUP(DATE($K$1,$K$2,LGE$4),Table1[],(MATCH(Calendar!$A6,DB!1:1,0)+2),FALSE),"")</f>
        <v/>
      </c>
      <c r="LGF6" s="27" t="str">
        <f>IFERROR(VLOOKUP(DATE($K$1,$K$2,LGF$4),Table1[],(MATCH(Calendar!$A6,DB!1:1,0)+2),FALSE),"")</f>
        <v/>
      </c>
      <c r="LGG6" s="27" t="str">
        <f>IFERROR(VLOOKUP(DATE($K$1,$K$2,LGG$4),Table1[],(MATCH(Calendar!$A6,DB!1:1,0)+2),FALSE),"")</f>
        <v/>
      </c>
      <c r="LGH6" s="27" t="str">
        <f>IFERROR(VLOOKUP(DATE($K$1,$K$2,LGH$4),Table1[],(MATCH(Calendar!$A6,DB!1:1,0)+2),FALSE),"")</f>
        <v/>
      </c>
      <c r="LGI6" s="27" t="str">
        <f>IFERROR(VLOOKUP(DATE($K$1,$K$2,LGI$4),Table1[],(MATCH(Calendar!$A6,DB!1:1,0)+2),FALSE),"")</f>
        <v/>
      </c>
      <c r="LGJ6" s="27" t="str">
        <f>IFERROR(VLOOKUP(DATE($K$1,$K$2,LGJ$4),Table1[],(MATCH(Calendar!$A6,DB!1:1,0)+2),FALSE),"")</f>
        <v/>
      </c>
      <c r="LGK6" s="27" t="str">
        <f>IFERROR(VLOOKUP(DATE($K$1,$K$2,LGK$4),Table1[],(MATCH(Calendar!$A6,DB!1:1,0)+2),FALSE),"")</f>
        <v/>
      </c>
      <c r="LGL6" s="27" t="str">
        <f>IFERROR(VLOOKUP(DATE($K$1,$K$2,LGL$4),Table1[],(MATCH(Calendar!$A6,DB!1:1,0)+2),FALSE),"")</f>
        <v/>
      </c>
      <c r="LGM6" s="27" t="str">
        <f>IFERROR(VLOOKUP(DATE($K$1,$K$2,LGM$4),Table1[],(MATCH(Calendar!$A6,DB!1:1,0)+2),FALSE),"")</f>
        <v/>
      </c>
      <c r="LGN6" s="27" t="str">
        <f>IFERROR(VLOOKUP(DATE($K$1,$K$2,LGN$4),Table1[],(MATCH(Calendar!$A6,DB!1:1,0)+2),FALSE),"")</f>
        <v/>
      </c>
      <c r="LGO6" s="27" t="str">
        <f>IFERROR(VLOOKUP(DATE($K$1,$K$2,LGO$4),Table1[],(MATCH(Calendar!$A6,DB!1:1,0)+2),FALSE),"")</f>
        <v/>
      </c>
      <c r="LGP6" s="27" t="str">
        <f>IFERROR(VLOOKUP(DATE($K$1,$K$2,LGP$4),Table1[],(MATCH(Calendar!$A6,DB!1:1,0)+2),FALSE),"")</f>
        <v/>
      </c>
      <c r="LGQ6" s="27" t="str">
        <f>IFERROR(VLOOKUP(DATE($K$1,$K$2,LGQ$4),Table1[],(MATCH(Calendar!$A6,DB!1:1,0)+2),FALSE),"")</f>
        <v/>
      </c>
      <c r="LGR6" s="27" t="str">
        <f>IFERROR(VLOOKUP(DATE($K$1,$K$2,LGR$4),Table1[],(MATCH(Calendar!$A6,DB!1:1,0)+2),FALSE),"")</f>
        <v/>
      </c>
      <c r="LGS6" s="27" t="str">
        <f>IFERROR(VLOOKUP(DATE($K$1,$K$2,LGS$4),Table1[],(MATCH(Calendar!$A6,DB!1:1,0)+2),FALSE),"")</f>
        <v/>
      </c>
      <c r="LGT6" s="27" t="str">
        <f>IFERROR(VLOOKUP(DATE($K$1,$K$2,LGT$4),Table1[],(MATCH(Calendar!$A6,DB!1:1,0)+2),FALSE),"")</f>
        <v/>
      </c>
      <c r="LGU6" s="27" t="str">
        <f>IFERROR(VLOOKUP(DATE($K$1,$K$2,LGU$4),Table1[],(MATCH(Calendar!$A6,DB!1:1,0)+2),FALSE),"")</f>
        <v/>
      </c>
      <c r="LGV6" s="27" t="str">
        <f>IFERROR(VLOOKUP(DATE($K$1,$K$2,LGV$4),Table1[],(MATCH(Calendar!$A6,DB!1:1,0)+2),FALSE),"")</f>
        <v/>
      </c>
      <c r="LGW6" s="27" t="str">
        <f>IFERROR(VLOOKUP(DATE($K$1,$K$2,LGW$4),Table1[],(MATCH(Calendar!$A6,DB!1:1,0)+2),FALSE),"")</f>
        <v/>
      </c>
      <c r="LGX6" s="27" t="str">
        <f>IFERROR(VLOOKUP(DATE($K$1,$K$2,LGX$4),Table1[],(MATCH(Calendar!$A6,DB!1:1,0)+2),FALSE),"")</f>
        <v/>
      </c>
      <c r="LGY6" s="27" t="str">
        <f>IFERROR(VLOOKUP(DATE($K$1,$K$2,LGY$4),Table1[],(MATCH(Calendar!$A6,DB!1:1,0)+2),FALSE),"")</f>
        <v/>
      </c>
      <c r="LGZ6" s="27" t="str">
        <f>IFERROR(VLOOKUP(DATE($K$1,$K$2,LGZ$4),Table1[],(MATCH(Calendar!$A6,DB!1:1,0)+2),FALSE),"")</f>
        <v/>
      </c>
      <c r="LHA6" s="27" t="str">
        <f>IFERROR(VLOOKUP(DATE($K$1,$K$2,LHA$4),Table1[],(MATCH(Calendar!$A6,DB!1:1,0)+2),FALSE),"")</f>
        <v/>
      </c>
      <c r="LHB6" s="27" t="str">
        <f>IFERROR(VLOOKUP(DATE($K$1,$K$2,LHB$4),Table1[],(MATCH(Calendar!$A6,DB!1:1,0)+2),FALSE),"")</f>
        <v/>
      </c>
      <c r="LHC6" s="27" t="str">
        <f>IFERROR(VLOOKUP(DATE($K$1,$K$2,LHC$4),Table1[],(MATCH(Calendar!$A6,DB!1:1,0)+2),FALSE),"")</f>
        <v/>
      </c>
      <c r="LHD6" s="27" t="str">
        <f>IFERROR(VLOOKUP(DATE($K$1,$K$2,LHD$4),Table1[],(MATCH(Calendar!$A6,DB!1:1,0)+2),FALSE),"")</f>
        <v/>
      </c>
      <c r="LHE6" s="27" t="str">
        <f>IFERROR(VLOOKUP(DATE($K$1,$K$2,LHE$4),Table1[],(MATCH(Calendar!$A6,DB!1:1,0)+2),FALSE),"")</f>
        <v/>
      </c>
      <c r="LHF6" s="27" t="str">
        <f>IFERROR(VLOOKUP(DATE($K$1,$K$2,LHF$4),Table1[],(MATCH(Calendar!$A6,DB!1:1,0)+2),FALSE),"")</f>
        <v/>
      </c>
      <c r="LHG6" s="27" t="str">
        <f>IFERROR(VLOOKUP(DATE($K$1,$K$2,LHG$4),Table1[],(MATCH(Calendar!$A6,DB!1:1,0)+2),FALSE),"")</f>
        <v/>
      </c>
      <c r="LHH6" s="27" t="str">
        <f>IFERROR(VLOOKUP(DATE($K$1,$K$2,LHH$4),Table1[],(MATCH(Calendar!$A6,DB!1:1,0)+2),FALSE),"")</f>
        <v/>
      </c>
      <c r="LHI6" s="27" t="str">
        <f>IFERROR(VLOOKUP(DATE($K$1,$K$2,LHI$4),Table1[],(MATCH(Calendar!$A6,DB!1:1,0)+2),FALSE),"")</f>
        <v/>
      </c>
      <c r="LHJ6" s="27" t="str">
        <f>IFERROR(VLOOKUP(DATE($K$1,$K$2,LHJ$4),Table1[],(MATCH(Calendar!$A6,DB!1:1,0)+2),FALSE),"")</f>
        <v/>
      </c>
      <c r="LHK6" s="27" t="str">
        <f>IFERROR(VLOOKUP(DATE($K$1,$K$2,LHK$4),Table1[],(MATCH(Calendar!$A6,DB!1:1,0)+2),FALSE),"")</f>
        <v/>
      </c>
      <c r="LHL6" s="27" t="str">
        <f>IFERROR(VLOOKUP(DATE($K$1,$K$2,LHL$4),Table1[],(MATCH(Calendar!$A6,DB!1:1,0)+2),FALSE),"")</f>
        <v/>
      </c>
      <c r="LHM6" s="27" t="str">
        <f>IFERROR(VLOOKUP(DATE($K$1,$K$2,LHM$4),Table1[],(MATCH(Calendar!$A6,DB!1:1,0)+2),FALSE),"")</f>
        <v/>
      </c>
      <c r="LHN6" s="27" t="str">
        <f>IFERROR(VLOOKUP(DATE($K$1,$K$2,LHN$4),Table1[],(MATCH(Calendar!$A6,DB!1:1,0)+2),FALSE),"")</f>
        <v/>
      </c>
      <c r="LHO6" s="27" t="str">
        <f>IFERROR(VLOOKUP(DATE($K$1,$K$2,LHO$4),Table1[],(MATCH(Calendar!$A6,DB!1:1,0)+2),FALSE),"")</f>
        <v/>
      </c>
      <c r="LHP6" s="27" t="str">
        <f>IFERROR(VLOOKUP(DATE($K$1,$K$2,LHP$4),Table1[],(MATCH(Calendar!$A6,DB!1:1,0)+2),FALSE),"")</f>
        <v/>
      </c>
      <c r="LHQ6" s="27" t="str">
        <f>IFERROR(VLOOKUP(DATE($K$1,$K$2,LHQ$4),Table1[],(MATCH(Calendar!$A6,DB!1:1,0)+2),FALSE),"")</f>
        <v/>
      </c>
      <c r="LHR6" s="27" t="str">
        <f>IFERROR(VLOOKUP(DATE($K$1,$K$2,LHR$4),Table1[],(MATCH(Calendar!$A6,DB!1:1,0)+2),FALSE),"")</f>
        <v/>
      </c>
      <c r="LHS6" s="27" t="str">
        <f>IFERROR(VLOOKUP(DATE($K$1,$K$2,LHS$4),Table1[],(MATCH(Calendar!$A6,DB!1:1,0)+2),FALSE),"")</f>
        <v/>
      </c>
      <c r="LHT6" s="27" t="str">
        <f>IFERROR(VLOOKUP(DATE($K$1,$K$2,LHT$4),Table1[],(MATCH(Calendar!$A6,DB!1:1,0)+2),FALSE),"")</f>
        <v/>
      </c>
      <c r="LHU6" s="27" t="str">
        <f>IFERROR(VLOOKUP(DATE($K$1,$K$2,LHU$4),Table1[],(MATCH(Calendar!$A6,DB!1:1,0)+2),FALSE),"")</f>
        <v/>
      </c>
      <c r="LHV6" s="27" t="str">
        <f>IFERROR(VLOOKUP(DATE($K$1,$K$2,LHV$4),Table1[],(MATCH(Calendar!$A6,DB!1:1,0)+2),FALSE),"")</f>
        <v/>
      </c>
      <c r="LHW6" s="27" t="str">
        <f>IFERROR(VLOOKUP(DATE($K$1,$K$2,LHW$4),Table1[],(MATCH(Calendar!$A6,DB!1:1,0)+2),FALSE),"")</f>
        <v/>
      </c>
      <c r="LHX6" s="27" t="str">
        <f>IFERROR(VLOOKUP(DATE($K$1,$K$2,LHX$4),Table1[],(MATCH(Calendar!$A6,DB!1:1,0)+2),FALSE),"")</f>
        <v/>
      </c>
      <c r="LHY6" s="27" t="str">
        <f>IFERROR(VLOOKUP(DATE($K$1,$K$2,LHY$4),Table1[],(MATCH(Calendar!$A6,DB!1:1,0)+2),FALSE),"")</f>
        <v/>
      </c>
      <c r="LHZ6" s="27" t="str">
        <f>IFERROR(VLOOKUP(DATE($K$1,$K$2,LHZ$4),Table1[],(MATCH(Calendar!$A6,DB!1:1,0)+2),FALSE),"")</f>
        <v/>
      </c>
      <c r="LIA6" s="27" t="str">
        <f>IFERROR(VLOOKUP(DATE($K$1,$K$2,LIA$4),Table1[],(MATCH(Calendar!$A6,DB!1:1,0)+2),FALSE),"")</f>
        <v/>
      </c>
      <c r="LIB6" s="27" t="str">
        <f>IFERROR(VLOOKUP(DATE($K$1,$K$2,LIB$4),Table1[],(MATCH(Calendar!$A6,DB!1:1,0)+2),FALSE),"")</f>
        <v/>
      </c>
      <c r="LIC6" s="27" t="str">
        <f>IFERROR(VLOOKUP(DATE($K$1,$K$2,LIC$4),Table1[],(MATCH(Calendar!$A6,DB!1:1,0)+2),FALSE),"")</f>
        <v/>
      </c>
      <c r="LID6" s="27" t="str">
        <f>IFERROR(VLOOKUP(DATE($K$1,$K$2,LID$4),Table1[],(MATCH(Calendar!$A6,DB!1:1,0)+2),FALSE),"")</f>
        <v/>
      </c>
      <c r="LIE6" s="27" t="str">
        <f>IFERROR(VLOOKUP(DATE($K$1,$K$2,LIE$4),Table1[],(MATCH(Calendar!$A6,DB!1:1,0)+2),FALSE),"")</f>
        <v/>
      </c>
      <c r="LIF6" s="27" t="str">
        <f>IFERROR(VLOOKUP(DATE($K$1,$K$2,LIF$4),Table1[],(MATCH(Calendar!$A6,DB!1:1,0)+2),FALSE),"")</f>
        <v/>
      </c>
      <c r="LIG6" s="27" t="str">
        <f>IFERROR(VLOOKUP(DATE($K$1,$K$2,LIG$4),Table1[],(MATCH(Calendar!$A6,DB!1:1,0)+2),FALSE),"")</f>
        <v/>
      </c>
      <c r="LIH6" s="27" t="str">
        <f>IFERROR(VLOOKUP(DATE($K$1,$K$2,LIH$4),Table1[],(MATCH(Calendar!$A6,DB!1:1,0)+2),FALSE),"")</f>
        <v/>
      </c>
      <c r="LII6" s="27" t="str">
        <f>IFERROR(VLOOKUP(DATE($K$1,$K$2,LII$4),Table1[],(MATCH(Calendar!$A6,DB!1:1,0)+2),FALSE),"")</f>
        <v/>
      </c>
      <c r="LIJ6" s="27" t="str">
        <f>IFERROR(VLOOKUP(DATE($K$1,$K$2,LIJ$4),Table1[],(MATCH(Calendar!$A6,DB!1:1,0)+2),FALSE),"")</f>
        <v/>
      </c>
      <c r="LIK6" s="27" t="str">
        <f>IFERROR(VLOOKUP(DATE($K$1,$K$2,LIK$4),Table1[],(MATCH(Calendar!$A6,DB!1:1,0)+2),FALSE),"")</f>
        <v/>
      </c>
      <c r="LIL6" s="27" t="str">
        <f>IFERROR(VLOOKUP(DATE($K$1,$K$2,LIL$4),Table1[],(MATCH(Calendar!$A6,DB!1:1,0)+2),FALSE),"")</f>
        <v/>
      </c>
      <c r="LIM6" s="27" t="str">
        <f>IFERROR(VLOOKUP(DATE($K$1,$K$2,LIM$4),Table1[],(MATCH(Calendar!$A6,DB!1:1,0)+2),FALSE),"")</f>
        <v/>
      </c>
      <c r="LIN6" s="27" t="str">
        <f>IFERROR(VLOOKUP(DATE($K$1,$K$2,LIN$4),Table1[],(MATCH(Calendar!$A6,DB!1:1,0)+2),FALSE),"")</f>
        <v/>
      </c>
      <c r="LIO6" s="27" t="str">
        <f>IFERROR(VLOOKUP(DATE($K$1,$K$2,LIO$4),Table1[],(MATCH(Calendar!$A6,DB!1:1,0)+2),FALSE),"")</f>
        <v/>
      </c>
      <c r="LIP6" s="27" t="str">
        <f>IFERROR(VLOOKUP(DATE($K$1,$K$2,LIP$4),Table1[],(MATCH(Calendar!$A6,DB!1:1,0)+2),FALSE),"")</f>
        <v/>
      </c>
      <c r="LIQ6" s="27" t="str">
        <f>IFERROR(VLOOKUP(DATE($K$1,$K$2,LIQ$4),Table1[],(MATCH(Calendar!$A6,DB!1:1,0)+2),FALSE),"")</f>
        <v/>
      </c>
      <c r="LIR6" s="27" t="str">
        <f>IFERROR(VLOOKUP(DATE($K$1,$K$2,LIR$4),Table1[],(MATCH(Calendar!$A6,DB!1:1,0)+2),FALSE),"")</f>
        <v/>
      </c>
      <c r="LIS6" s="27" t="str">
        <f>IFERROR(VLOOKUP(DATE($K$1,$K$2,LIS$4),Table1[],(MATCH(Calendar!$A6,DB!1:1,0)+2),FALSE),"")</f>
        <v/>
      </c>
      <c r="LIT6" s="27" t="str">
        <f>IFERROR(VLOOKUP(DATE($K$1,$K$2,LIT$4),Table1[],(MATCH(Calendar!$A6,DB!1:1,0)+2),FALSE),"")</f>
        <v/>
      </c>
      <c r="LIU6" s="27" t="str">
        <f>IFERROR(VLOOKUP(DATE($K$1,$K$2,LIU$4),Table1[],(MATCH(Calendar!$A6,DB!1:1,0)+2),FALSE),"")</f>
        <v/>
      </c>
      <c r="LIV6" s="27" t="str">
        <f>IFERROR(VLOOKUP(DATE($K$1,$K$2,LIV$4),Table1[],(MATCH(Calendar!$A6,DB!1:1,0)+2),FALSE),"")</f>
        <v/>
      </c>
      <c r="LIW6" s="27" t="str">
        <f>IFERROR(VLOOKUP(DATE($K$1,$K$2,LIW$4),Table1[],(MATCH(Calendar!$A6,DB!1:1,0)+2),FALSE),"")</f>
        <v/>
      </c>
      <c r="LIX6" s="27" t="str">
        <f>IFERROR(VLOOKUP(DATE($K$1,$K$2,LIX$4),Table1[],(MATCH(Calendar!$A6,DB!1:1,0)+2),FALSE),"")</f>
        <v/>
      </c>
      <c r="LIY6" s="27" t="str">
        <f>IFERROR(VLOOKUP(DATE($K$1,$K$2,LIY$4),Table1[],(MATCH(Calendar!$A6,DB!1:1,0)+2),FALSE),"")</f>
        <v/>
      </c>
      <c r="LIZ6" s="27" t="str">
        <f>IFERROR(VLOOKUP(DATE($K$1,$K$2,LIZ$4),Table1[],(MATCH(Calendar!$A6,DB!1:1,0)+2),FALSE),"")</f>
        <v/>
      </c>
      <c r="LJA6" s="27" t="str">
        <f>IFERROR(VLOOKUP(DATE($K$1,$K$2,LJA$4),Table1[],(MATCH(Calendar!$A6,DB!1:1,0)+2),FALSE),"")</f>
        <v/>
      </c>
      <c r="LJB6" s="27" t="str">
        <f>IFERROR(VLOOKUP(DATE($K$1,$K$2,LJB$4),Table1[],(MATCH(Calendar!$A6,DB!1:1,0)+2),FALSE),"")</f>
        <v/>
      </c>
      <c r="LJC6" s="27" t="str">
        <f>IFERROR(VLOOKUP(DATE($K$1,$K$2,LJC$4),Table1[],(MATCH(Calendar!$A6,DB!1:1,0)+2),FALSE),"")</f>
        <v/>
      </c>
      <c r="LJD6" s="27" t="str">
        <f>IFERROR(VLOOKUP(DATE($K$1,$K$2,LJD$4),Table1[],(MATCH(Calendar!$A6,DB!1:1,0)+2),FALSE),"")</f>
        <v/>
      </c>
      <c r="LJE6" s="27" t="str">
        <f>IFERROR(VLOOKUP(DATE($K$1,$K$2,LJE$4),Table1[],(MATCH(Calendar!$A6,DB!1:1,0)+2),FALSE),"")</f>
        <v/>
      </c>
      <c r="LJF6" s="27" t="str">
        <f>IFERROR(VLOOKUP(DATE($K$1,$K$2,LJF$4),Table1[],(MATCH(Calendar!$A6,DB!1:1,0)+2),FALSE),"")</f>
        <v/>
      </c>
      <c r="LJG6" s="27" t="str">
        <f>IFERROR(VLOOKUP(DATE($K$1,$K$2,LJG$4),Table1[],(MATCH(Calendar!$A6,DB!1:1,0)+2),FALSE),"")</f>
        <v/>
      </c>
      <c r="LJH6" s="27" t="str">
        <f>IFERROR(VLOOKUP(DATE($K$1,$K$2,LJH$4),Table1[],(MATCH(Calendar!$A6,DB!1:1,0)+2),FALSE),"")</f>
        <v/>
      </c>
      <c r="LJI6" s="27" t="str">
        <f>IFERROR(VLOOKUP(DATE($K$1,$K$2,LJI$4),Table1[],(MATCH(Calendar!$A6,DB!1:1,0)+2),FALSE),"")</f>
        <v/>
      </c>
      <c r="LJJ6" s="27" t="str">
        <f>IFERROR(VLOOKUP(DATE($K$1,$K$2,LJJ$4),Table1[],(MATCH(Calendar!$A6,DB!1:1,0)+2),FALSE),"")</f>
        <v/>
      </c>
      <c r="LJK6" s="27" t="str">
        <f>IFERROR(VLOOKUP(DATE($K$1,$K$2,LJK$4),Table1[],(MATCH(Calendar!$A6,DB!1:1,0)+2),FALSE),"")</f>
        <v/>
      </c>
      <c r="LJL6" s="27" t="str">
        <f>IFERROR(VLOOKUP(DATE($K$1,$K$2,LJL$4),Table1[],(MATCH(Calendar!$A6,DB!1:1,0)+2),FALSE),"")</f>
        <v/>
      </c>
      <c r="LJM6" s="27" t="str">
        <f>IFERROR(VLOOKUP(DATE($K$1,$K$2,LJM$4),Table1[],(MATCH(Calendar!$A6,DB!1:1,0)+2),FALSE),"")</f>
        <v/>
      </c>
      <c r="LJN6" s="27" t="str">
        <f>IFERROR(VLOOKUP(DATE($K$1,$K$2,LJN$4),Table1[],(MATCH(Calendar!$A6,DB!1:1,0)+2),FALSE),"")</f>
        <v/>
      </c>
      <c r="LJO6" s="27" t="str">
        <f>IFERROR(VLOOKUP(DATE($K$1,$K$2,LJO$4),Table1[],(MATCH(Calendar!$A6,DB!1:1,0)+2),FALSE),"")</f>
        <v/>
      </c>
      <c r="LJP6" s="27" t="str">
        <f>IFERROR(VLOOKUP(DATE($K$1,$K$2,LJP$4),Table1[],(MATCH(Calendar!$A6,DB!1:1,0)+2),FALSE),"")</f>
        <v/>
      </c>
      <c r="LJQ6" s="27" t="str">
        <f>IFERROR(VLOOKUP(DATE($K$1,$K$2,LJQ$4),Table1[],(MATCH(Calendar!$A6,DB!1:1,0)+2),FALSE),"")</f>
        <v/>
      </c>
      <c r="LJR6" s="27" t="str">
        <f>IFERROR(VLOOKUP(DATE($K$1,$K$2,LJR$4),Table1[],(MATCH(Calendar!$A6,DB!1:1,0)+2),FALSE),"")</f>
        <v/>
      </c>
      <c r="LJS6" s="27" t="str">
        <f>IFERROR(VLOOKUP(DATE($K$1,$K$2,LJS$4),Table1[],(MATCH(Calendar!$A6,DB!1:1,0)+2),FALSE),"")</f>
        <v/>
      </c>
      <c r="LJT6" s="27" t="str">
        <f>IFERROR(VLOOKUP(DATE($K$1,$K$2,LJT$4),Table1[],(MATCH(Calendar!$A6,DB!1:1,0)+2),FALSE),"")</f>
        <v/>
      </c>
      <c r="LJU6" s="27" t="str">
        <f>IFERROR(VLOOKUP(DATE($K$1,$K$2,LJU$4),Table1[],(MATCH(Calendar!$A6,DB!1:1,0)+2),FALSE),"")</f>
        <v/>
      </c>
      <c r="LJV6" s="27" t="str">
        <f>IFERROR(VLOOKUP(DATE($K$1,$K$2,LJV$4),Table1[],(MATCH(Calendar!$A6,DB!1:1,0)+2),FALSE),"")</f>
        <v/>
      </c>
      <c r="LJW6" s="27" t="str">
        <f>IFERROR(VLOOKUP(DATE($K$1,$K$2,LJW$4),Table1[],(MATCH(Calendar!$A6,DB!1:1,0)+2),FALSE),"")</f>
        <v/>
      </c>
      <c r="LJX6" s="27" t="str">
        <f>IFERROR(VLOOKUP(DATE($K$1,$K$2,LJX$4),Table1[],(MATCH(Calendar!$A6,DB!1:1,0)+2),FALSE),"")</f>
        <v/>
      </c>
      <c r="LJY6" s="27" t="str">
        <f>IFERROR(VLOOKUP(DATE($K$1,$K$2,LJY$4),Table1[],(MATCH(Calendar!$A6,DB!1:1,0)+2),FALSE),"")</f>
        <v/>
      </c>
      <c r="LJZ6" s="27" t="str">
        <f>IFERROR(VLOOKUP(DATE($K$1,$K$2,LJZ$4),Table1[],(MATCH(Calendar!$A6,DB!1:1,0)+2),FALSE),"")</f>
        <v/>
      </c>
      <c r="LKA6" s="27" t="str">
        <f>IFERROR(VLOOKUP(DATE($K$1,$K$2,LKA$4),Table1[],(MATCH(Calendar!$A6,DB!1:1,0)+2),FALSE),"")</f>
        <v/>
      </c>
      <c r="LKB6" s="27" t="str">
        <f>IFERROR(VLOOKUP(DATE($K$1,$K$2,LKB$4),Table1[],(MATCH(Calendar!$A6,DB!1:1,0)+2),FALSE),"")</f>
        <v/>
      </c>
      <c r="LKC6" s="27" t="str">
        <f>IFERROR(VLOOKUP(DATE($K$1,$K$2,LKC$4),Table1[],(MATCH(Calendar!$A6,DB!1:1,0)+2),FALSE),"")</f>
        <v/>
      </c>
      <c r="LKD6" s="27" t="str">
        <f>IFERROR(VLOOKUP(DATE($K$1,$K$2,LKD$4),Table1[],(MATCH(Calendar!$A6,DB!1:1,0)+2),FALSE),"")</f>
        <v/>
      </c>
      <c r="LKE6" s="27" t="str">
        <f>IFERROR(VLOOKUP(DATE($K$1,$K$2,LKE$4),Table1[],(MATCH(Calendar!$A6,DB!1:1,0)+2),FALSE),"")</f>
        <v/>
      </c>
      <c r="LKF6" s="27" t="str">
        <f>IFERROR(VLOOKUP(DATE($K$1,$K$2,LKF$4),Table1[],(MATCH(Calendar!$A6,DB!1:1,0)+2),FALSE),"")</f>
        <v/>
      </c>
      <c r="LKG6" s="27" t="str">
        <f>IFERROR(VLOOKUP(DATE($K$1,$K$2,LKG$4),Table1[],(MATCH(Calendar!$A6,DB!1:1,0)+2),FALSE),"")</f>
        <v/>
      </c>
      <c r="LKH6" s="27" t="str">
        <f>IFERROR(VLOOKUP(DATE($K$1,$K$2,LKH$4),Table1[],(MATCH(Calendar!$A6,DB!1:1,0)+2),FALSE),"")</f>
        <v/>
      </c>
      <c r="LKI6" s="27" t="str">
        <f>IFERROR(VLOOKUP(DATE($K$1,$K$2,LKI$4),Table1[],(MATCH(Calendar!$A6,DB!1:1,0)+2),FALSE),"")</f>
        <v/>
      </c>
      <c r="LKJ6" s="27" t="str">
        <f>IFERROR(VLOOKUP(DATE($K$1,$K$2,LKJ$4),Table1[],(MATCH(Calendar!$A6,DB!1:1,0)+2),FALSE),"")</f>
        <v/>
      </c>
      <c r="LKK6" s="27" t="str">
        <f>IFERROR(VLOOKUP(DATE($K$1,$K$2,LKK$4),Table1[],(MATCH(Calendar!$A6,DB!1:1,0)+2),FALSE),"")</f>
        <v/>
      </c>
      <c r="LKL6" s="27" t="str">
        <f>IFERROR(VLOOKUP(DATE($K$1,$K$2,LKL$4),Table1[],(MATCH(Calendar!$A6,DB!1:1,0)+2),FALSE),"")</f>
        <v/>
      </c>
      <c r="LKM6" s="27" t="str">
        <f>IFERROR(VLOOKUP(DATE($K$1,$K$2,LKM$4),Table1[],(MATCH(Calendar!$A6,DB!1:1,0)+2),FALSE),"")</f>
        <v/>
      </c>
      <c r="LKN6" s="27" t="str">
        <f>IFERROR(VLOOKUP(DATE($K$1,$K$2,LKN$4),Table1[],(MATCH(Calendar!$A6,DB!1:1,0)+2),FALSE),"")</f>
        <v/>
      </c>
      <c r="LKO6" s="27" t="str">
        <f>IFERROR(VLOOKUP(DATE($K$1,$K$2,LKO$4),Table1[],(MATCH(Calendar!$A6,DB!1:1,0)+2),FALSE),"")</f>
        <v/>
      </c>
      <c r="LKP6" s="27" t="str">
        <f>IFERROR(VLOOKUP(DATE($K$1,$K$2,LKP$4),Table1[],(MATCH(Calendar!$A6,DB!1:1,0)+2),FALSE),"")</f>
        <v/>
      </c>
      <c r="LKQ6" s="27" t="str">
        <f>IFERROR(VLOOKUP(DATE($K$1,$K$2,LKQ$4),Table1[],(MATCH(Calendar!$A6,DB!1:1,0)+2),FALSE),"")</f>
        <v/>
      </c>
      <c r="LKR6" s="27" t="str">
        <f>IFERROR(VLOOKUP(DATE($K$1,$K$2,LKR$4),Table1[],(MATCH(Calendar!$A6,DB!1:1,0)+2),FALSE),"")</f>
        <v/>
      </c>
      <c r="LKS6" s="27" t="str">
        <f>IFERROR(VLOOKUP(DATE($K$1,$K$2,LKS$4),Table1[],(MATCH(Calendar!$A6,DB!1:1,0)+2),FALSE),"")</f>
        <v/>
      </c>
      <c r="LKT6" s="27" t="str">
        <f>IFERROR(VLOOKUP(DATE($K$1,$K$2,LKT$4),Table1[],(MATCH(Calendar!$A6,DB!1:1,0)+2),FALSE),"")</f>
        <v/>
      </c>
      <c r="LKU6" s="27" t="str">
        <f>IFERROR(VLOOKUP(DATE($K$1,$K$2,LKU$4),Table1[],(MATCH(Calendar!$A6,DB!1:1,0)+2),FALSE),"")</f>
        <v/>
      </c>
      <c r="LKV6" s="27" t="str">
        <f>IFERROR(VLOOKUP(DATE($K$1,$K$2,LKV$4),Table1[],(MATCH(Calendar!$A6,DB!1:1,0)+2),FALSE),"")</f>
        <v/>
      </c>
      <c r="LKW6" s="27" t="str">
        <f>IFERROR(VLOOKUP(DATE($K$1,$K$2,LKW$4),Table1[],(MATCH(Calendar!$A6,DB!1:1,0)+2),FALSE),"")</f>
        <v/>
      </c>
      <c r="LKX6" s="27" t="str">
        <f>IFERROR(VLOOKUP(DATE($K$1,$K$2,LKX$4),Table1[],(MATCH(Calendar!$A6,DB!1:1,0)+2),FALSE),"")</f>
        <v/>
      </c>
      <c r="LKY6" s="27" t="str">
        <f>IFERROR(VLOOKUP(DATE($K$1,$K$2,LKY$4),Table1[],(MATCH(Calendar!$A6,DB!1:1,0)+2),FALSE),"")</f>
        <v/>
      </c>
      <c r="LKZ6" s="27" t="str">
        <f>IFERROR(VLOOKUP(DATE($K$1,$K$2,LKZ$4),Table1[],(MATCH(Calendar!$A6,DB!1:1,0)+2),FALSE),"")</f>
        <v/>
      </c>
      <c r="LLA6" s="27" t="str">
        <f>IFERROR(VLOOKUP(DATE($K$1,$K$2,LLA$4),Table1[],(MATCH(Calendar!$A6,DB!1:1,0)+2),FALSE),"")</f>
        <v/>
      </c>
      <c r="LLB6" s="27" t="str">
        <f>IFERROR(VLOOKUP(DATE($K$1,$K$2,LLB$4),Table1[],(MATCH(Calendar!$A6,DB!1:1,0)+2),FALSE),"")</f>
        <v/>
      </c>
      <c r="LLC6" s="27" t="str">
        <f>IFERROR(VLOOKUP(DATE($K$1,$K$2,LLC$4),Table1[],(MATCH(Calendar!$A6,DB!1:1,0)+2),FALSE),"")</f>
        <v/>
      </c>
      <c r="LLD6" s="27" t="str">
        <f>IFERROR(VLOOKUP(DATE($K$1,$K$2,LLD$4),Table1[],(MATCH(Calendar!$A6,DB!1:1,0)+2),FALSE),"")</f>
        <v/>
      </c>
      <c r="LLE6" s="27" t="str">
        <f>IFERROR(VLOOKUP(DATE($K$1,$K$2,LLE$4),Table1[],(MATCH(Calendar!$A6,DB!1:1,0)+2),FALSE),"")</f>
        <v/>
      </c>
      <c r="LLF6" s="27" t="str">
        <f>IFERROR(VLOOKUP(DATE($K$1,$K$2,LLF$4),Table1[],(MATCH(Calendar!$A6,DB!1:1,0)+2),FALSE),"")</f>
        <v/>
      </c>
      <c r="LLG6" s="27" t="str">
        <f>IFERROR(VLOOKUP(DATE($K$1,$K$2,LLG$4),Table1[],(MATCH(Calendar!$A6,DB!1:1,0)+2),FALSE),"")</f>
        <v/>
      </c>
      <c r="LLH6" s="27" t="str">
        <f>IFERROR(VLOOKUP(DATE($K$1,$K$2,LLH$4),Table1[],(MATCH(Calendar!$A6,DB!1:1,0)+2),FALSE),"")</f>
        <v/>
      </c>
      <c r="LLI6" s="27" t="str">
        <f>IFERROR(VLOOKUP(DATE($K$1,$K$2,LLI$4),Table1[],(MATCH(Calendar!$A6,DB!1:1,0)+2),FALSE),"")</f>
        <v/>
      </c>
      <c r="LLJ6" s="27" t="str">
        <f>IFERROR(VLOOKUP(DATE($K$1,$K$2,LLJ$4),Table1[],(MATCH(Calendar!$A6,DB!1:1,0)+2),FALSE),"")</f>
        <v/>
      </c>
      <c r="LLK6" s="27" t="str">
        <f>IFERROR(VLOOKUP(DATE($K$1,$K$2,LLK$4),Table1[],(MATCH(Calendar!$A6,DB!1:1,0)+2),FALSE),"")</f>
        <v/>
      </c>
      <c r="LLL6" s="27" t="str">
        <f>IFERROR(VLOOKUP(DATE($K$1,$K$2,LLL$4),Table1[],(MATCH(Calendar!$A6,DB!1:1,0)+2),FALSE),"")</f>
        <v/>
      </c>
      <c r="LLM6" s="27" t="str">
        <f>IFERROR(VLOOKUP(DATE($K$1,$K$2,LLM$4),Table1[],(MATCH(Calendar!$A6,DB!1:1,0)+2),FALSE),"")</f>
        <v/>
      </c>
      <c r="LLN6" s="27" t="str">
        <f>IFERROR(VLOOKUP(DATE($K$1,$K$2,LLN$4),Table1[],(MATCH(Calendar!$A6,DB!1:1,0)+2),FALSE),"")</f>
        <v/>
      </c>
      <c r="LLO6" s="27" t="str">
        <f>IFERROR(VLOOKUP(DATE($K$1,$K$2,LLO$4),Table1[],(MATCH(Calendar!$A6,DB!1:1,0)+2),FALSE),"")</f>
        <v/>
      </c>
      <c r="LLP6" s="27" t="str">
        <f>IFERROR(VLOOKUP(DATE($K$1,$K$2,LLP$4),Table1[],(MATCH(Calendar!$A6,DB!1:1,0)+2),FALSE),"")</f>
        <v/>
      </c>
      <c r="LLQ6" s="27" t="str">
        <f>IFERROR(VLOOKUP(DATE($K$1,$K$2,LLQ$4),Table1[],(MATCH(Calendar!$A6,DB!1:1,0)+2),FALSE),"")</f>
        <v/>
      </c>
      <c r="LLR6" s="27" t="str">
        <f>IFERROR(VLOOKUP(DATE($K$1,$K$2,LLR$4),Table1[],(MATCH(Calendar!$A6,DB!1:1,0)+2),FALSE),"")</f>
        <v/>
      </c>
      <c r="LLS6" s="27" t="str">
        <f>IFERROR(VLOOKUP(DATE($K$1,$K$2,LLS$4),Table1[],(MATCH(Calendar!$A6,DB!1:1,0)+2),FALSE),"")</f>
        <v/>
      </c>
      <c r="LLT6" s="27" t="str">
        <f>IFERROR(VLOOKUP(DATE($K$1,$K$2,LLT$4),Table1[],(MATCH(Calendar!$A6,DB!1:1,0)+2),FALSE),"")</f>
        <v/>
      </c>
      <c r="LLU6" s="27" t="str">
        <f>IFERROR(VLOOKUP(DATE($K$1,$K$2,LLU$4),Table1[],(MATCH(Calendar!$A6,DB!1:1,0)+2),FALSE),"")</f>
        <v/>
      </c>
      <c r="LLV6" s="27" t="str">
        <f>IFERROR(VLOOKUP(DATE($K$1,$K$2,LLV$4),Table1[],(MATCH(Calendar!$A6,DB!1:1,0)+2),FALSE),"")</f>
        <v/>
      </c>
      <c r="LLW6" s="27" t="str">
        <f>IFERROR(VLOOKUP(DATE($K$1,$K$2,LLW$4),Table1[],(MATCH(Calendar!$A6,DB!1:1,0)+2),FALSE),"")</f>
        <v/>
      </c>
      <c r="LLX6" s="27" t="str">
        <f>IFERROR(VLOOKUP(DATE($K$1,$K$2,LLX$4),Table1[],(MATCH(Calendar!$A6,DB!1:1,0)+2),FALSE),"")</f>
        <v/>
      </c>
      <c r="LLY6" s="27" t="str">
        <f>IFERROR(VLOOKUP(DATE($K$1,$K$2,LLY$4),Table1[],(MATCH(Calendar!$A6,DB!1:1,0)+2),FALSE),"")</f>
        <v/>
      </c>
      <c r="LLZ6" s="27" t="str">
        <f>IFERROR(VLOOKUP(DATE($K$1,$K$2,LLZ$4),Table1[],(MATCH(Calendar!$A6,DB!1:1,0)+2),FALSE),"")</f>
        <v/>
      </c>
      <c r="LMA6" s="27" t="str">
        <f>IFERROR(VLOOKUP(DATE($K$1,$K$2,LMA$4),Table1[],(MATCH(Calendar!$A6,DB!1:1,0)+2),FALSE),"")</f>
        <v/>
      </c>
      <c r="LMB6" s="27" t="str">
        <f>IFERROR(VLOOKUP(DATE($K$1,$K$2,LMB$4),Table1[],(MATCH(Calendar!$A6,DB!1:1,0)+2),FALSE),"")</f>
        <v/>
      </c>
      <c r="LMC6" s="27" t="str">
        <f>IFERROR(VLOOKUP(DATE($K$1,$K$2,LMC$4),Table1[],(MATCH(Calendar!$A6,DB!1:1,0)+2),FALSE),"")</f>
        <v/>
      </c>
      <c r="LMD6" s="27" t="str">
        <f>IFERROR(VLOOKUP(DATE($K$1,$K$2,LMD$4),Table1[],(MATCH(Calendar!$A6,DB!1:1,0)+2),FALSE),"")</f>
        <v/>
      </c>
      <c r="LME6" s="27" t="str">
        <f>IFERROR(VLOOKUP(DATE($K$1,$K$2,LME$4),Table1[],(MATCH(Calendar!$A6,DB!1:1,0)+2),FALSE),"")</f>
        <v/>
      </c>
      <c r="LMF6" s="27" t="str">
        <f>IFERROR(VLOOKUP(DATE($K$1,$K$2,LMF$4),Table1[],(MATCH(Calendar!$A6,DB!1:1,0)+2),FALSE),"")</f>
        <v/>
      </c>
      <c r="LMG6" s="27" t="str">
        <f>IFERROR(VLOOKUP(DATE($K$1,$K$2,LMG$4),Table1[],(MATCH(Calendar!$A6,DB!1:1,0)+2),FALSE),"")</f>
        <v/>
      </c>
      <c r="LMH6" s="27" t="str">
        <f>IFERROR(VLOOKUP(DATE($K$1,$K$2,LMH$4),Table1[],(MATCH(Calendar!$A6,DB!1:1,0)+2),FALSE),"")</f>
        <v/>
      </c>
      <c r="LMI6" s="27" t="str">
        <f>IFERROR(VLOOKUP(DATE($K$1,$K$2,LMI$4),Table1[],(MATCH(Calendar!$A6,DB!1:1,0)+2),FALSE),"")</f>
        <v/>
      </c>
      <c r="LMJ6" s="27" t="str">
        <f>IFERROR(VLOOKUP(DATE($K$1,$K$2,LMJ$4),Table1[],(MATCH(Calendar!$A6,DB!1:1,0)+2),FALSE),"")</f>
        <v/>
      </c>
      <c r="LMK6" s="27" t="str">
        <f>IFERROR(VLOOKUP(DATE($K$1,$K$2,LMK$4),Table1[],(MATCH(Calendar!$A6,DB!1:1,0)+2),FALSE),"")</f>
        <v/>
      </c>
      <c r="LML6" s="27" t="str">
        <f>IFERROR(VLOOKUP(DATE($K$1,$K$2,LML$4),Table1[],(MATCH(Calendar!$A6,DB!1:1,0)+2),FALSE),"")</f>
        <v/>
      </c>
      <c r="LMM6" s="27" t="str">
        <f>IFERROR(VLOOKUP(DATE($K$1,$K$2,LMM$4),Table1[],(MATCH(Calendar!$A6,DB!1:1,0)+2),FALSE),"")</f>
        <v/>
      </c>
      <c r="LMN6" s="27" t="str">
        <f>IFERROR(VLOOKUP(DATE($K$1,$K$2,LMN$4),Table1[],(MATCH(Calendar!$A6,DB!1:1,0)+2),FALSE),"")</f>
        <v/>
      </c>
      <c r="LMO6" s="27" t="str">
        <f>IFERROR(VLOOKUP(DATE($K$1,$K$2,LMO$4),Table1[],(MATCH(Calendar!$A6,DB!1:1,0)+2),FALSE),"")</f>
        <v/>
      </c>
      <c r="LMP6" s="27" t="str">
        <f>IFERROR(VLOOKUP(DATE($K$1,$K$2,LMP$4),Table1[],(MATCH(Calendar!$A6,DB!1:1,0)+2),FALSE),"")</f>
        <v/>
      </c>
      <c r="LMQ6" s="27" t="str">
        <f>IFERROR(VLOOKUP(DATE($K$1,$K$2,LMQ$4),Table1[],(MATCH(Calendar!$A6,DB!1:1,0)+2),FALSE),"")</f>
        <v/>
      </c>
      <c r="LMR6" s="27" t="str">
        <f>IFERROR(VLOOKUP(DATE($K$1,$K$2,LMR$4),Table1[],(MATCH(Calendar!$A6,DB!1:1,0)+2),FALSE),"")</f>
        <v/>
      </c>
      <c r="LMS6" s="27" t="str">
        <f>IFERROR(VLOOKUP(DATE($K$1,$K$2,LMS$4),Table1[],(MATCH(Calendar!$A6,DB!1:1,0)+2),FALSE),"")</f>
        <v/>
      </c>
      <c r="LMT6" s="27" t="str">
        <f>IFERROR(VLOOKUP(DATE($K$1,$K$2,LMT$4),Table1[],(MATCH(Calendar!$A6,DB!1:1,0)+2),FALSE),"")</f>
        <v/>
      </c>
      <c r="LMU6" s="27" t="str">
        <f>IFERROR(VLOOKUP(DATE($K$1,$K$2,LMU$4),Table1[],(MATCH(Calendar!$A6,DB!1:1,0)+2),FALSE),"")</f>
        <v/>
      </c>
      <c r="LMV6" s="27" t="str">
        <f>IFERROR(VLOOKUP(DATE($K$1,$K$2,LMV$4),Table1[],(MATCH(Calendar!$A6,DB!1:1,0)+2),FALSE),"")</f>
        <v/>
      </c>
      <c r="LMW6" s="27" t="str">
        <f>IFERROR(VLOOKUP(DATE($K$1,$K$2,LMW$4),Table1[],(MATCH(Calendar!$A6,DB!1:1,0)+2),FALSE),"")</f>
        <v/>
      </c>
      <c r="LMX6" s="27" t="str">
        <f>IFERROR(VLOOKUP(DATE($K$1,$K$2,LMX$4),Table1[],(MATCH(Calendar!$A6,DB!1:1,0)+2),FALSE),"")</f>
        <v/>
      </c>
      <c r="LMY6" s="27" t="str">
        <f>IFERROR(VLOOKUP(DATE($K$1,$K$2,LMY$4),Table1[],(MATCH(Calendar!$A6,DB!1:1,0)+2),FALSE),"")</f>
        <v/>
      </c>
      <c r="LMZ6" s="27" t="str">
        <f>IFERROR(VLOOKUP(DATE($K$1,$K$2,LMZ$4),Table1[],(MATCH(Calendar!$A6,DB!1:1,0)+2),FALSE),"")</f>
        <v/>
      </c>
      <c r="LNA6" s="27" t="str">
        <f>IFERROR(VLOOKUP(DATE($K$1,$K$2,LNA$4),Table1[],(MATCH(Calendar!$A6,DB!1:1,0)+2),FALSE),"")</f>
        <v/>
      </c>
      <c r="LNB6" s="27" t="str">
        <f>IFERROR(VLOOKUP(DATE($K$1,$K$2,LNB$4),Table1[],(MATCH(Calendar!$A6,DB!1:1,0)+2),FALSE),"")</f>
        <v/>
      </c>
      <c r="LNC6" s="27" t="str">
        <f>IFERROR(VLOOKUP(DATE($K$1,$K$2,LNC$4),Table1[],(MATCH(Calendar!$A6,DB!1:1,0)+2),FALSE),"")</f>
        <v/>
      </c>
      <c r="LND6" s="27" t="str">
        <f>IFERROR(VLOOKUP(DATE($K$1,$K$2,LND$4),Table1[],(MATCH(Calendar!$A6,DB!1:1,0)+2),FALSE),"")</f>
        <v/>
      </c>
      <c r="LNE6" s="27" t="str">
        <f>IFERROR(VLOOKUP(DATE($K$1,$K$2,LNE$4),Table1[],(MATCH(Calendar!$A6,DB!1:1,0)+2),FALSE),"")</f>
        <v/>
      </c>
      <c r="LNF6" s="27" t="str">
        <f>IFERROR(VLOOKUP(DATE($K$1,$K$2,LNF$4),Table1[],(MATCH(Calendar!$A6,DB!1:1,0)+2),FALSE),"")</f>
        <v/>
      </c>
      <c r="LNG6" s="27" t="str">
        <f>IFERROR(VLOOKUP(DATE($K$1,$K$2,LNG$4),Table1[],(MATCH(Calendar!$A6,DB!1:1,0)+2),FALSE),"")</f>
        <v/>
      </c>
      <c r="LNH6" s="27" t="str">
        <f>IFERROR(VLOOKUP(DATE($K$1,$K$2,LNH$4),Table1[],(MATCH(Calendar!$A6,DB!1:1,0)+2),FALSE),"")</f>
        <v/>
      </c>
      <c r="LNI6" s="27" t="str">
        <f>IFERROR(VLOOKUP(DATE($K$1,$K$2,LNI$4),Table1[],(MATCH(Calendar!$A6,DB!1:1,0)+2),FALSE),"")</f>
        <v/>
      </c>
      <c r="LNJ6" s="27" t="str">
        <f>IFERROR(VLOOKUP(DATE($K$1,$K$2,LNJ$4),Table1[],(MATCH(Calendar!$A6,DB!1:1,0)+2),FALSE),"")</f>
        <v/>
      </c>
      <c r="LNK6" s="27" t="str">
        <f>IFERROR(VLOOKUP(DATE($K$1,$K$2,LNK$4),Table1[],(MATCH(Calendar!$A6,DB!1:1,0)+2),FALSE),"")</f>
        <v/>
      </c>
      <c r="LNL6" s="27" t="str">
        <f>IFERROR(VLOOKUP(DATE($K$1,$K$2,LNL$4),Table1[],(MATCH(Calendar!$A6,DB!1:1,0)+2),FALSE),"")</f>
        <v/>
      </c>
      <c r="LNM6" s="27" t="str">
        <f>IFERROR(VLOOKUP(DATE($K$1,$K$2,LNM$4),Table1[],(MATCH(Calendar!$A6,DB!1:1,0)+2),FALSE),"")</f>
        <v/>
      </c>
      <c r="LNN6" s="27" t="str">
        <f>IFERROR(VLOOKUP(DATE($K$1,$K$2,LNN$4),Table1[],(MATCH(Calendar!$A6,DB!1:1,0)+2),FALSE),"")</f>
        <v/>
      </c>
      <c r="LNO6" s="27" t="str">
        <f>IFERROR(VLOOKUP(DATE($K$1,$K$2,LNO$4),Table1[],(MATCH(Calendar!$A6,DB!1:1,0)+2),FALSE),"")</f>
        <v/>
      </c>
      <c r="LNP6" s="27" t="str">
        <f>IFERROR(VLOOKUP(DATE($K$1,$K$2,LNP$4),Table1[],(MATCH(Calendar!$A6,DB!1:1,0)+2),FALSE),"")</f>
        <v/>
      </c>
      <c r="LNQ6" s="27" t="str">
        <f>IFERROR(VLOOKUP(DATE($K$1,$K$2,LNQ$4),Table1[],(MATCH(Calendar!$A6,DB!1:1,0)+2),FALSE),"")</f>
        <v/>
      </c>
      <c r="LNR6" s="27" t="str">
        <f>IFERROR(VLOOKUP(DATE($K$1,$K$2,LNR$4),Table1[],(MATCH(Calendar!$A6,DB!1:1,0)+2),FALSE),"")</f>
        <v/>
      </c>
      <c r="LNS6" s="27" t="str">
        <f>IFERROR(VLOOKUP(DATE($K$1,$K$2,LNS$4),Table1[],(MATCH(Calendar!$A6,DB!1:1,0)+2),FALSE),"")</f>
        <v/>
      </c>
      <c r="LNT6" s="27" t="str">
        <f>IFERROR(VLOOKUP(DATE($K$1,$K$2,LNT$4),Table1[],(MATCH(Calendar!$A6,DB!1:1,0)+2),FALSE),"")</f>
        <v/>
      </c>
      <c r="LNU6" s="27" t="str">
        <f>IFERROR(VLOOKUP(DATE($K$1,$K$2,LNU$4),Table1[],(MATCH(Calendar!$A6,DB!1:1,0)+2),FALSE),"")</f>
        <v/>
      </c>
      <c r="LNV6" s="27" t="str">
        <f>IFERROR(VLOOKUP(DATE($K$1,$K$2,LNV$4),Table1[],(MATCH(Calendar!$A6,DB!1:1,0)+2),FALSE),"")</f>
        <v/>
      </c>
      <c r="LNW6" s="27" t="str">
        <f>IFERROR(VLOOKUP(DATE($K$1,$K$2,LNW$4),Table1[],(MATCH(Calendar!$A6,DB!1:1,0)+2),FALSE),"")</f>
        <v/>
      </c>
      <c r="LNX6" s="27" t="str">
        <f>IFERROR(VLOOKUP(DATE($K$1,$K$2,LNX$4),Table1[],(MATCH(Calendar!$A6,DB!1:1,0)+2),FALSE),"")</f>
        <v/>
      </c>
      <c r="LNY6" s="27" t="str">
        <f>IFERROR(VLOOKUP(DATE($K$1,$K$2,LNY$4),Table1[],(MATCH(Calendar!$A6,DB!1:1,0)+2),FALSE),"")</f>
        <v/>
      </c>
      <c r="LNZ6" s="27" t="str">
        <f>IFERROR(VLOOKUP(DATE($K$1,$K$2,LNZ$4),Table1[],(MATCH(Calendar!$A6,DB!1:1,0)+2),FALSE),"")</f>
        <v/>
      </c>
      <c r="LOA6" s="27" t="str">
        <f>IFERROR(VLOOKUP(DATE($K$1,$K$2,LOA$4),Table1[],(MATCH(Calendar!$A6,DB!1:1,0)+2),FALSE),"")</f>
        <v/>
      </c>
      <c r="LOB6" s="27" t="str">
        <f>IFERROR(VLOOKUP(DATE($K$1,$K$2,LOB$4),Table1[],(MATCH(Calendar!$A6,DB!1:1,0)+2),FALSE),"")</f>
        <v/>
      </c>
      <c r="LOC6" s="27" t="str">
        <f>IFERROR(VLOOKUP(DATE($K$1,$K$2,LOC$4),Table1[],(MATCH(Calendar!$A6,DB!1:1,0)+2),FALSE),"")</f>
        <v/>
      </c>
      <c r="LOD6" s="27" t="str">
        <f>IFERROR(VLOOKUP(DATE($K$1,$K$2,LOD$4),Table1[],(MATCH(Calendar!$A6,DB!1:1,0)+2),FALSE),"")</f>
        <v/>
      </c>
      <c r="LOE6" s="27" t="str">
        <f>IFERROR(VLOOKUP(DATE($K$1,$K$2,LOE$4),Table1[],(MATCH(Calendar!$A6,DB!1:1,0)+2),FALSE),"")</f>
        <v/>
      </c>
      <c r="LOF6" s="27" t="str">
        <f>IFERROR(VLOOKUP(DATE($K$1,$K$2,LOF$4),Table1[],(MATCH(Calendar!$A6,DB!1:1,0)+2),FALSE),"")</f>
        <v/>
      </c>
      <c r="LOG6" s="27" t="str">
        <f>IFERROR(VLOOKUP(DATE($K$1,$K$2,LOG$4),Table1[],(MATCH(Calendar!$A6,DB!1:1,0)+2),FALSE),"")</f>
        <v/>
      </c>
      <c r="LOH6" s="27" t="str">
        <f>IFERROR(VLOOKUP(DATE($K$1,$K$2,LOH$4),Table1[],(MATCH(Calendar!$A6,DB!1:1,0)+2),FALSE),"")</f>
        <v/>
      </c>
      <c r="LOI6" s="27" t="str">
        <f>IFERROR(VLOOKUP(DATE($K$1,$K$2,LOI$4),Table1[],(MATCH(Calendar!$A6,DB!1:1,0)+2),FALSE),"")</f>
        <v/>
      </c>
      <c r="LOJ6" s="27" t="str">
        <f>IFERROR(VLOOKUP(DATE($K$1,$K$2,LOJ$4),Table1[],(MATCH(Calendar!$A6,DB!1:1,0)+2),FALSE),"")</f>
        <v/>
      </c>
      <c r="LOK6" s="27" t="str">
        <f>IFERROR(VLOOKUP(DATE($K$1,$K$2,LOK$4),Table1[],(MATCH(Calendar!$A6,DB!1:1,0)+2),FALSE),"")</f>
        <v/>
      </c>
      <c r="LOL6" s="27" t="str">
        <f>IFERROR(VLOOKUP(DATE($K$1,$K$2,LOL$4),Table1[],(MATCH(Calendar!$A6,DB!1:1,0)+2),FALSE),"")</f>
        <v/>
      </c>
      <c r="LOM6" s="27" t="str">
        <f>IFERROR(VLOOKUP(DATE($K$1,$K$2,LOM$4),Table1[],(MATCH(Calendar!$A6,DB!1:1,0)+2),FALSE),"")</f>
        <v/>
      </c>
      <c r="LON6" s="27" t="str">
        <f>IFERROR(VLOOKUP(DATE($K$1,$K$2,LON$4),Table1[],(MATCH(Calendar!$A6,DB!1:1,0)+2),FALSE),"")</f>
        <v/>
      </c>
      <c r="LOO6" s="27" t="str">
        <f>IFERROR(VLOOKUP(DATE($K$1,$K$2,LOO$4),Table1[],(MATCH(Calendar!$A6,DB!1:1,0)+2),FALSE),"")</f>
        <v/>
      </c>
      <c r="LOP6" s="27" t="str">
        <f>IFERROR(VLOOKUP(DATE($K$1,$K$2,LOP$4),Table1[],(MATCH(Calendar!$A6,DB!1:1,0)+2),FALSE),"")</f>
        <v/>
      </c>
      <c r="LOQ6" s="27" t="str">
        <f>IFERROR(VLOOKUP(DATE($K$1,$K$2,LOQ$4),Table1[],(MATCH(Calendar!$A6,DB!1:1,0)+2),FALSE),"")</f>
        <v/>
      </c>
      <c r="LOR6" s="27" t="str">
        <f>IFERROR(VLOOKUP(DATE($K$1,$K$2,LOR$4),Table1[],(MATCH(Calendar!$A6,DB!1:1,0)+2),FALSE),"")</f>
        <v/>
      </c>
      <c r="LOS6" s="27" t="str">
        <f>IFERROR(VLOOKUP(DATE($K$1,$K$2,LOS$4),Table1[],(MATCH(Calendar!$A6,DB!1:1,0)+2),FALSE),"")</f>
        <v/>
      </c>
      <c r="LOT6" s="27" t="str">
        <f>IFERROR(VLOOKUP(DATE($K$1,$K$2,LOT$4),Table1[],(MATCH(Calendar!$A6,DB!1:1,0)+2),FALSE),"")</f>
        <v/>
      </c>
      <c r="LOU6" s="27" t="str">
        <f>IFERROR(VLOOKUP(DATE($K$1,$K$2,LOU$4),Table1[],(MATCH(Calendar!$A6,DB!1:1,0)+2),FALSE),"")</f>
        <v/>
      </c>
      <c r="LOV6" s="27" t="str">
        <f>IFERROR(VLOOKUP(DATE($K$1,$K$2,LOV$4),Table1[],(MATCH(Calendar!$A6,DB!1:1,0)+2),FALSE),"")</f>
        <v/>
      </c>
      <c r="LOW6" s="27" t="str">
        <f>IFERROR(VLOOKUP(DATE($K$1,$K$2,LOW$4),Table1[],(MATCH(Calendar!$A6,DB!1:1,0)+2),FALSE),"")</f>
        <v/>
      </c>
      <c r="LOX6" s="27" t="str">
        <f>IFERROR(VLOOKUP(DATE($K$1,$K$2,LOX$4),Table1[],(MATCH(Calendar!$A6,DB!1:1,0)+2),FALSE),"")</f>
        <v/>
      </c>
      <c r="LOY6" s="27" t="str">
        <f>IFERROR(VLOOKUP(DATE($K$1,$K$2,LOY$4),Table1[],(MATCH(Calendar!$A6,DB!1:1,0)+2),FALSE),"")</f>
        <v/>
      </c>
      <c r="LOZ6" s="27" t="str">
        <f>IFERROR(VLOOKUP(DATE($K$1,$K$2,LOZ$4),Table1[],(MATCH(Calendar!$A6,DB!1:1,0)+2),FALSE),"")</f>
        <v/>
      </c>
      <c r="LPA6" s="27" t="str">
        <f>IFERROR(VLOOKUP(DATE($K$1,$K$2,LPA$4),Table1[],(MATCH(Calendar!$A6,DB!1:1,0)+2),FALSE),"")</f>
        <v/>
      </c>
      <c r="LPB6" s="27" t="str">
        <f>IFERROR(VLOOKUP(DATE($K$1,$K$2,LPB$4),Table1[],(MATCH(Calendar!$A6,DB!1:1,0)+2),FALSE),"")</f>
        <v/>
      </c>
      <c r="LPC6" s="27" t="str">
        <f>IFERROR(VLOOKUP(DATE($K$1,$K$2,LPC$4),Table1[],(MATCH(Calendar!$A6,DB!1:1,0)+2),FALSE),"")</f>
        <v/>
      </c>
      <c r="LPD6" s="27" t="str">
        <f>IFERROR(VLOOKUP(DATE($K$1,$K$2,LPD$4),Table1[],(MATCH(Calendar!$A6,DB!1:1,0)+2),FALSE),"")</f>
        <v/>
      </c>
      <c r="LPE6" s="27" t="str">
        <f>IFERROR(VLOOKUP(DATE($K$1,$K$2,LPE$4),Table1[],(MATCH(Calendar!$A6,DB!1:1,0)+2),FALSE),"")</f>
        <v/>
      </c>
      <c r="LPF6" s="27" t="str">
        <f>IFERROR(VLOOKUP(DATE($K$1,$K$2,LPF$4),Table1[],(MATCH(Calendar!$A6,DB!1:1,0)+2),FALSE),"")</f>
        <v/>
      </c>
      <c r="LPG6" s="27" t="str">
        <f>IFERROR(VLOOKUP(DATE($K$1,$K$2,LPG$4),Table1[],(MATCH(Calendar!$A6,DB!1:1,0)+2),FALSE),"")</f>
        <v/>
      </c>
      <c r="LPH6" s="27" t="str">
        <f>IFERROR(VLOOKUP(DATE($K$1,$K$2,LPH$4),Table1[],(MATCH(Calendar!$A6,DB!1:1,0)+2),FALSE),"")</f>
        <v/>
      </c>
      <c r="LPI6" s="27" t="str">
        <f>IFERROR(VLOOKUP(DATE($K$1,$K$2,LPI$4),Table1[],(MATCH(Calendar!$A6,DB!1:1,0)+2),FALSE),"")</f>
        <v/>
      </c>
      <c r="LPJ6" s="27" t="str">
        <f>IFERROR(VLOOKUP(DATE($K$1,$K$2,LPJ$4),Table1[],(MATCH(Calendar!$A6,DB!1:1,0)+2),FALSE),"")</f>
        <v/>
      </c>
      <c r="LPK6" s="27" t="str">
        <f>IFERROR(VLOOKUP(DATE($K$1,$K$2,LPK$4),Table1[],(MATCH(Calendar!$A6,DB!1:1,0)+2),FALSE),"")</f>
        <v/>
      </c>
      <c r="LPL6" s="27" t="str">
        <f>IFERROR(VLOOKUP(DATE($K$1,$K$2,LPL$4),Table1[],(MATCH(Calendar!$A6,DB!1:1,0)+2),FALSE),"")</f>
        <v/>
      </c>
      <c r="LPM6" s="27" t="str">
        <f>IFERROR(VLOOKUP(DATE($K$1,$K$2,LPM$4),Table1[],(MATCH(Calendar!$A6,DB!1:1,0)+2),FALSE),"")</f>
        <v/>
      </c>
      <c r="LPN6" s="27" t="str">
        <f>IFERROR(VLOOKUP(DATE($K$1,$K$2,LPN$4),Table1[],(MATCH(Calendar!$A6,DB!1:1,0)+2),FALSE),"")</f>
        <v/>
      </c>
      <c r="LPO6" s="27" t="str">
        <f>IFERROR(VLOOKUP(DATE($K$1,$K$2,LPO$4),Table1[],(MATCH(Calendar!$A6,DB!1:1,0)+2),FALSE),"")</f>
        <v/>
      </c>
      <c r="LPP6" s="27" t="str">
        <f>IFERROR(VLOOKUP(DATE($K$1,$K$2,LPP$4),Table1[],(MATCH(Calendar!$A6,DB!1:1,0)+2),FALSE),"")</f>
        <v/>
      </c>
      <c r="LPQ6" s="27" t="str">
        <f>IFERROR(VLOOKUP(DATE($K$1,$K$2,LPQ$4),Table1[],(MATCH(Calendar!$A6,DB!1:1,0)+2),FALSE),"")</f>
        <v/>
      </c>
      <c r="LPR6" s="27" t="str">
        <f>IFERROR(VLOOKUP(DATE($K$1,$K$2,LPR$4),Table1[],(MATCH(Calendar!$A6,DB!1:1,0)+2),FALSE),"")</f>
        <v/>
      </c>
      <c r="LPS6" s="27" t="str">
        <f>IFERROR(VLOOKUP(DATE($K$1,$K$2,LPS$4),Table1[],(MATCH(Calendar!$A6,DB!1:1,0)+2),FALSE),"")</f>
        <v/>
      </c>
      <c r="LPT6" s="27" t="str">
        <f>IFERROR(VLOOKUP(DATE($K$1,$K$2,LPT$4),Table1[],(MATCH(Calendar!$A6,DB!1:1,0)+2),FALSE),"")</f>
        <v/>
      </c>
      <c r="LPU6" s="27" t="str">
        <f>IFERROR(VLOOKUP(DATE($K$1,$K$2,LPU$4),Table1[],(MATCH(Calendar!$A6,DB!1:1,0)+2),FALSE),"")</f>
        <v/>
      </c>
      <c r="LPV6" s="27" t="str">
        <f>IFERROR(VLOOKUP(DATE($K$1,$K$2,LPV$4),Table1[],(MATCH(Calendar!$A6,DB!1:1,0)+2),FALSE),"")</f>
        <v/>
      </c>
      <c r="LPW6" s="27" t="str">
        <f>IFERROR(VLOOKUP(DATE($K$1,$K$2,LPW$4),Table1[],(MATCH(Calendar!$A6,DB!1:1,0)+2),FALSE),"")</f>
        <v/>
      </c>
      <c r="LPX6" s="27" t="str">
        <f>IFERROR(VLOOKUP(DATE($K$1,$K$2,LPX$4),Table1[],(MATCH(Calendar!$A6,DB!1:1,0)+2),FALSE),"")</f>
        <v/>
      </c>
      <c r="LPY6" s="27" t="str">
        <f>IFERROR(VLOOKUP(DATE($K$1,$K$2,LPY$4),Table1[],(MATCH(Calendar!$A6,DB!1:1,0)+2),FALSE),"")</f>
        <v/>
      </c>
      <c r="LPZ6" s="27" t="str">
        <f>IFERROR(VLOOKUP(DATE($K$1,$K$2,LPZ$4),Table1[],(MATCH(Calendar!$A6,DB!1:1,0)+2),FALSE),"")</f>
        <v/>
      </c>
      <c r="LQA6" s="27" t="str">
        <f>IFERROR(VLOOKUP(DATE($K$1,$K$2,LQA$4),Table1[],(MATCH(Calendar!$A6,DB!1:1,0)+2),FALSE),"")</f>
        <v/>
      </c>
      <c r="LQB6" s="27" t="str">
        <f>IFERROR(VLOOKUP(DATE($K$1,$K$2,LQB$4),Table1[],(MATCH(Calendar!$A6,DB!1:1,0)+2),FALSE),"")</f>
        <v/>
      </c>
      <c r="LQC6" s="27" t="str">
        <f>IFERROR(VLOOKUP(DATE($K$1,$K$2,LQC$4),Table1[],(MATCH(Calendar!$A6,DB!1:1,0)+2),FALSE),"")</f>
        <v/>
      </c>
      <c r="LQD6" s="27" t="str">
        <f>IFERROR(VLOOKUP(DATE($K$1,$K$2,LQD$4),Table1[],(MATCH(Calendar!$A6,DB!1:1,0)+2),FALSE),"")</f>
        <v/>
      </c>
      <c r="LQE6" s="27" t="str">
        <f>IFERROR(VLOOKUP(DATE($K$1,$K$2,LQE$4),Table1[],(MATCH(Calendar!$A6,DB!1:1,0)+2),FALSE),"")</f>
        <v/>
      </c>
      <c r="LQF6" s="27" t="str">
        <f>IFERROR(VLOOKUP(DATE($K$1,$K$2,LQF$4),Table1[],(MATCH(Calendar!$A6,DB!1:1,0)+2),FALSE),"")</f>
        <v/>
      </c>
      <c r="LQG6" s="27" t="str">
        <f>IFERROR(VLOOKUP(DATE($K$1,$K$2,LQG$4),Table1[],(MATCH(Calendar!$A6,DB!1:1,0)+2),FALSE),"")</f>
        <v/>
      </c>
      <c r="LQH6" s="27" t="str">
        <f>IFERROR(VLOOKUP(DATE($K$1,$K$2,LQH$4),Table1[],(MATCH(Calendar!$A6,DB!1:1,0)+2),FALSE),"")</f>
        <v/>
      </c>
      <c r="LQI6" s="27" t="str">
        <f>IFERROR(VLOOKUP(DATE($K$1,$K$2,LQI$4),Table1[],(MATCH(Calendar!$A6,DB!1:1,0)+2),FALSE),"")</f>
        <v/>
      </c>
      <c r="LQJ6" s="27" t="str">
        <f>IFERROR(VLOOKUP(DATE($K$1,$K$2,LQJ$4),Table1[],(MATCH(Calendar!$A6,DB!1:1,0)+2),FALSE),"")</f>
        <v/>
      </c>
      <c r="LQK6" s="27" t="str">
        <f>IFERROR(VLOOKUP(DATE($K$1,$K$2,LQK$4),Table1[],(MATCH(Calendar!$A6,DB!1:1,0)+2),FALSE),"")</f>
        <v/>
      </c>
      <c r="LQL6" s="27" t="str">
        <f>IFERROR(VLOOKUP(DATE($K$1,$K$2,LQL$4),Table1[],(MATCH(Calendar!$A6,DB!1:1,0)+2),FALSE),"")</f>
        <v/>
      </c>
      <c r="LQM6" s="27" t="str">
        <f>IFERROR(VLOOKUP(DATE($K$1,$K$2,LQM$4),Table1[],(MATCH(Calendar!$A6,DB!1:1,0)+2),FALSE),"")</f>
        <v/>
      </c>
      <c r="LQN6" s="27" t="str">
        <f>IFERROR(VLOOKUP(DATE($K$1,$K$2,LQN$4),Table1[],(MATCH(Calendar!$A6,DB!1:1,0)+2),FALSE),"")</f>
        <v/>
      </c>
      <c r="LQO6" s="27" t="str">
        <f>IFERROR(VLOOKUP(DATE($K$1,$K$2,LQO$4),Table1[],(MATCH(Calendar!$A6,DB!1:1,0)+2),FALSE),"")</f>
        <v/>
      </c>
      <c r="LQP6" s="27" t="str">
        <f>IFERROR(VLOOKUP(DATE($K$1,$K$2,LQP$4),Table1[],(MATCH(Calendar!$A6,DB!1:1,0)+2),FALSE),"")</f>
        <v/>
      </c>
      <c r="LQQ6" s="27" t="str">
        <f>IFERROR(VLOOKUP(DATE($K$1,$K$2,LQQ$4),Table1[],(MATCH(Calendar!$A6,DB!1:1,0)+2),FALSE),"")</f>
        <v/>
      </c>
      <c r="LQR6" s="27" t="str">
        <f>IFERROR(VLOOKUP(DATE($K$1,$K$2,LQR$4),Table1[],(MATCH(Calendar!$A6,DB!1:1,0)+2),FALSE),"")</f>
        <v/>
      </c>
      <c r="LQS6" s="27" t="str">
        <f>IFERROR(VLOOKUP(DATE($K$1,$K$2,LQS$4),Table1[],(MATCH(Calendar!$A6,DB!1:1,0)+2),FALSE),"")</f>
        <v/>
      </c>
      <c r="LQT6" s="27" t="str">
        <f>IFERROR(VLOOKUP(DATE($K$1,$K$2,LQT$4),Table1[],(MATCH(Calendar!$A6,DB!1:1,0)+2),FALSE),"")</f>
        <v/>
      </c>
      <c r="LQU6" s="27" t="str">
        <f>IFERROR(VLOOKUP(DATE($K$1,$K$2,LQU$4),Table1[],(MATCH(Calendar!$A6,DB!1:1,0)+2),FALSE),"")</f>
        <v/>
      </c>
      <c r="LQV6" s="27" t="str">
        <f>IFERROR(VLOOKUP(DATE($K$1,$K$2,LQV$4),Table1[],(MATCH(Calendar!$A6,DB!1:1,0)+2),FALSE),"")</f>
        <v/>
      </c>
      <c r="LQW6" s="27" t="str">
        <f>IFERROR(VLOOKUP(DATE($K$1,$K$2,LQW$4),Table1[],(MATCH(Calendar!$A6,DB!1:1,0)+2),FALSE),"")</f>
        <v/>
      </c>
      <c r="LQX6" s="27" t="str">
        <f>IFERROR(VLOOKUP(DATE($K$1,$K$2,LQX$4),Table1[],(MATCH(Calendar!$A6,DB!1:1,0)+2),FALSE),"")</f>
        <v/>
      </c>
      <c r="LQY6" s="27" t="str">
        <f>IFERROR(VLOOKUP(DATE($K$1,$K$2,LQY$4),Table1[],(MATCH(Calendar!$A6,DB!1:1,0)+2),FALSE),"")</f>
        <v/>
      </c>
      <c r="LQZ6" s="27" t="str">
        <f>IFERROR(VLOOKUP(DATE($K$1,$K$2,LQZ$4),Table1[],(MATCH(Calendar!$A6,DB!1:1,0)+2),FALSE),"")</f>
        <v/>
      </c>
      <c r="LRA6" s="27" t="str">
        <f>IFERROR(VLOOKUP(DATE($K$1,$K$2,LRA$4),Table1[],(MATCH(Calendar!$A6,DB!1:1,0)+2),FALSE),"")</f>
        <v/>
      </c>
      <c r="LRB6" s="27" t="str">
        <f>IFERROR(VLOOKUP(DATE($K$1,$K$2,LRB$4),Table1[],(MATCH(Calendar!$A6,DB!1:1,0)+2),FALSE),"")</f>
        <v/>
      </c>
      <c r="LRC6" s="27" t="str">
        <f>IFERROR(VLOOKUP(DATE($K$1,$K$2,LRC$4),Table1[],(MATCH(Calendar!$A6,DB!1:1,0)+2),FALSE),"")</f>
        <v/>
      </c>
      <c r="LRD6" s="27" t="str">
        <f>IFERROR(VLOOKUP(DATE($K$1,$K$2,LRD$4),Table1[],(MATCH(Calendar!$A6,DB!1:1,0)+2),FALSE),"")</f>
        <v/>
      </c>
      <c r="LRE6" s="27" t="str">
        <f>IFERROR(VLOOKUP(DATE($K$1,$K$2,LRE$4),Table1[],(MATCH(Calendar!$A6,DB!1:1,0)+2),FALSE),"")</f>
        <v/>
      </c>
      <c r="LRF6" s="27" t="str">
        <f>IFERROR(VLOOKUP(DATE($K$1,$K$2,LRF$4),Table1[],(MATCH(Calendar!$A6,DB!1:1,0)+2),FALSE),"")</f>
        <v/>
      </c>
      <c r="LRG6" s="27" t="str">
        <f>IFERROR(VLOOKUP(DATE($K$1,$K$2,LRG$4),Table1[],(MATCH(Calendar!$A6,DB!1:1,0)+2),FALSE),"")</f>
        <v/>
      </c>
      <c r="LRH6" s="27" t="str">
        <f>IFERROR(VLOOKUP(DATE($K$1,$K$2,LRH$4),Table1[],(MATCH(Calendar!$A6,DB!1:1,0)+2),FALSE),"")</f>
        <v/>
      </c>
      <c r="LRI6" s="27" t="str">
        <f>IFERROR(VLOOKUP(DATE($K$1,$K$2,LRI$4),Table1[],(MATCH(Calendar!$A6,DB!1:1,0)+2),FALSE),"")</f>
        <v/>
      </c>
      <c r="LRJ6" s="27" t="str">
        <f>IFERROR(VLOOKUP(DATE($K$1,$K$2,LRJ$4),Table1[],(MATCH(Calendar!$A6,DB!1:1,0)+2),FALSE),"")</f>
        <v/>
      </c>
      <c r="LRK6" s="27" t="str">
        <f>IFERROR(VLOOKUP(DATE($K$1,$K$2,LRK$4),Table1[],(MATCH(Calendar!$A6,DB!1:1,0)+2),FALSE),"")</f>
        <v/>
      </c>
      <c r="LRL6" s="27" t="str">
        <f>IFERROR(VLOOKUP(DATE($K$1,$K$2,LRL$4),Table1[],(MATCH(Calendar!$A6,DB!1:1,0)+2),FALSE),"")</f>
        <v/>
      </c>
      <c r="LRM6" s="27" t="str">
        <f>IFERROR(VLOOKUP(DATE($K$1,$K$2,LRM$4),Table1[],(MATCH(Calendar!$A6,DB!1:1,0)+2),FALSE),"")</f>
        <v/>
      </c>
      <c r="LRN6" s="27" t="str">
        <f>IFERROR(VLOOKUP(DATE($K$1,$K$2,LRN$4),Table1[],(MATCH(Calendar!$A6,DB!1:1,0)+2),FALSE),"")</f>
        <v/>
      </c>
      <c r="LRO6" s="27" t="str">
        <f>IFERROR(VLOOKUP(DATE($K$1,$K$2,LRO$4),Table1[],(MATCH(Calendar!$A6,DB!1:1,0)+2),FALSE),"")</f>
        <v/>
      </c>
      <c r="LRP6" s="27" t="str">
        <f>IFERROR(VLOOKUP(DATE($K$1,$K$2,LRP$4),Table1[],(MATCH(Calendar!$A6,DB!1:1,0)+2),FALSE),"")</f>
        <v/>
      </c>
      <c r="LRQ6" s="27" t="str">
        <f>IFERROR(VLOOKUP(DATE($K$1,$K$2,LRQ$4),Table1[],(MATCH(Calendar!$A6,DB!1:1,0)+2),FALSE),"")</f>
        <v/>
      </c>
      <c r="LRR6" s="27" t="str">
        <f>IFERROR(VLOOKUP(DATE($K$1,$K$2,LRR$4),Table1[],(MATCH(Calendar!$A6,DB!1:1,0)+2),FALSE),"")</f>
        <v/>
      </c>
      <c r="LRS6" s="27" t="str">
        <f>IFERROR(VLOOKUP(DATE($K$1,$K$2,LRS$4),Table1[],(MATCH(Calendar!$A6,DB!1:1,0)+2),FALSE),"")</f>
        <v/>
      </c>
      <c r="LRT6" s="27" t="str">
        <f>IFERROR(VLOOKUP(DATE($K$1,$K$2,LRT$4),Table1[],(MATCH(Calendar!$A6,DB!1:1,0)+2),FALSE),"")</f>
        <v/>
      </c>
      <c r="LRU6" s="27" t="str">
        <f>IFERROR(VLOOKUP(DATE($K$1,$K$2,LRU$4),Table1[],(MATCH(Calendar!$A6,DB!1:1,0)+2),FALSE),"")</f>
        <v/>
      </c>
      <c r="LRV6" s="27" t="str">
        <f>IFERROR(VLOOKUP(DATE($K$1,$K$2,LRV$4),Table1[],(MATCH(Calendar!$A6,DB!1:1,0)+2),FALSE),"")</f>
        <v/>
      </c>
      <c r="LRW6" s="27" t="str">
        <f>IFERROR(VLOOKUP(DATE($K$1,$K$2,LRW$4),Table1[],(MATCH(Calendar!$A6,DB!1:1,0)+2),FALSE),"")</f>
        <v/>
      </c>
      <c r="LRX6" s="27" t="str">
        <f>IFERROR(VLOOKUP(DATE($K$1,$K$2,LRX$4),Table1[],(MATCH(Calendar!$A6,DB!1:1,0)+2),FALSE),"")</f>
        <v/>
      </c>
      <c r="LRY6" s="27" t="str">
        <f>IFERROR(VLOOKUP(DATE($K$1,$K$2,LRY$4),Table1[],(MATCH(Calendar!$A6,DB!1:1,0)+2),FALSE),"")</f>
        <v/>
      </c>
      <c r="LRZ6" s="27" t="str">
        <f>IFERROR(VLOOKUP(DATE($K$1,$K$2,LRZ$4),Table1[],(MATCH(Calendar!$A6,DB!1:1,0)+2),FALSE),"")</f>
        <v/>
      </c>
      <c r="LSA6" s="27" t="str">
        <f>IFERROR(VLOOKUP(DATE($K$1,$K$2,LSA$4),Table1[],(MATCH(Calendar!$A6,DB!1:1,0)+2),FALSE),"")</f>
        <v/>
      </c>
      <c r="LSB6" s="27" t="str">
        <f>IFERROR(VLOOKUP(DATE($K$1,$K$2,LSB$4),Table1[],(MATCH(Calendar!$A6,DB!1:1,0)+2),FALSE),"")</f>
        <v/>
      </c>
      <c r="LSC6" s="27" t="str">
        <f>IFERROR(VLOOKUP(DATE($K$1,$K$2,LSC$4),Table1[],(MATCH(Calendar!$A6,DB!1:1,0)+2),FALSE),"")</f>
        <v/>
      </c>
      <c r="LSD6" s="27" t="str">
        <f>IFERROR(VLOOKUP(DATE($K$1,$K$2,LSD$4),Table1[],(MATCH(Calendar!$A6,DB!1:1,0)+2),FALSE),"")</f>
        <v/>
      </c>
      <c r="LSE6" s="27" t="str">
        <f>IFERROR(VLOOKUP(DATE($K$1,$K$2,LSE$4),Table1[],(MATCH(Calendar!$A6,DB!1:1,0)+2),FALSE),"")</f>
        <v/>
      </c>
      <c r="LSF6" s="27" t="str">
        <f>IFERROR(VLOOKUP(DATE($K$1,$K$2,LSF$4),Table1[],(MATCH(Calendar!$A6,DB!1:1,0)+2),FALSE),"")</f>
        <v/>
      </c>
      <c r="LSG6" s="27" t="str">
        <f>IFERROR(VLOOKUP(DATE($K$1,$K$2,LSG$4),Table1[],(MATCH(Calendar!$A6,DB!1:1,0)+2),FALSE),"")</f>
        <v/>
      </c>
      <c r="LSH6" s="27" t="str">
        <f>IFERROR(VLOOKUP(DATE($K$1,$K$2,LSH$4),Table1[],(MATCH(Calendar!$A6,DB!1:1,0)+2),FALSE),"")</f>
        <v/>
      </c>
      <c r="LSI6" s="27" t="str">
        <f>IFERROR(VLOOKUP(DATE($K$1,$K$2,LSI$4),Table1[],(MATCH(Calendar!$A6,DB!1:1,0)+2),FALSE),"")</f>
        <v/>
      </c>
      <c r="LSJ6" s="27" t="str">
        <f>IFERROR(VLOOKUP(DATE($K$1,$K$2,LSJ$4),Table1[],(MATCH(Calendar!$A6,DB!1:1,0)+2),FALSE),"")</f>
        <v/>
      </c>
      <c r="LSK6" s="27" t="str">
        <f>IFERROR(VLOOKUP(DATE($K$1,$K$2,LSK$4),Table1[],(MATCH(Calendar!$A6,DB!1:1,0)+2),FALSE),"")</f>
        <v/>
      </c>
      <c r="LSL6" s="27" t="str">
        <f>IFERROR(VLOOKUP(DATE($K$1,$K$2,LSL$4),Table1[],(MATCH(Calendar!$A6,DB!1:1,0)+2),FALSE),"")</f>
        <v/>
      </c>
      <c r="LSM6" s="27" t="str">
        <f>IFERROR(VLOOKUP(DATE($K$1,$K$2,LSM$4),Table1[],(MATCH(Calendar!$A6,DB!1:1,0)+2),FALSE),"")</f>
        <v/>
      </c>
      <c r="LSN6" s="27" t="str">
        <f>IFERROR(VLOOKUP(DATE($K$1,$K$2,LSN$4),Table1[],(MATCH(Calendar!$A6,DB!1:1,0)+2),FALSE),"")</f>
        <v/>
      </c>
      <c r="LSO6" s="27" t="str">
        <f>IFERROR(VLOOKUP(DATE($K$1,$K$2,LSO$4),Table1[],(MATCH(Calendar!$A6,DB!1:1,0)+2),FALSE),"")</f>
        <v/>
      </c>
      <c r="LSP6" s="27" t="str">
        <f>IFERROR(VLOOKUP(DATE($K$1,$K$2,LSP$4),Table1[],(MATCH(Calendar!$A6,DB!1:1,0)+2),FALSE),"")</f>
        <v/>
      </c>
      <c r="LSQ6" s="27" t="str">
        <f>IFERROR(VLOOKUP(DATE($K$1,$K$2,LSQ$4),Table1[],(MATCH(Calendar!$A6,DB!1:1,0)+2),FALSE),"")</f>
        <v/>
      </c>
      <c r="LSR6" s="27" t="str">
        <f>IFERROR(VLOOKUP(DATE($K$1,$K$2,LSR$4),Table1[],(MATCH(Calendar!$A6,DB!1:1,0)+2),FALSE),"")</f>
        <v/>
      </c>
      <c r="LSS6" s="27" t="str">
        <f>IFERROR(VLOOKUP(DATE($K$1,$K$2,LSS$4),Table1[],(MATCH(Calendar!$A6,DB!1:1,0)+2),FALSE),"")</f>
        <v/>
      </c>
      <c r="LST6" s="27" t="str">
        <f>IFERROR(VLOOKUP(DATE($K$1,$K$2,LST$4),Table1[],(MATCH(Calendar!$A6,DB!1:1,0)+2),FALSE),"")</f>
        <v/>
      </c>
      <c r="LSU6" s="27" t="str">
        <f>IFERROR(VLOOKUP(DATE($K$1,$K$2,LSU$4),Table1[],(MATCH(Calendar!$A6,DB!1:1,0)+2),FALSE),"")</f>
        <v/>
      </c>
      <c r="LSV6" s="27" t="str">
        <f>IFERROR(VLOOKUP(DATE($K$1,$K$2,LSV$4),Table1[],(MATCH(Calendar!$A6,DB!1:1,0)+2),FALSE),"")</f>
        <v/>
      </c>
      <c r="LSW6" s="27" t="str">
        <f>IFERROR(VLOOKUP(DATE($K$1,$K$2,LSW$4),Table1[],(MATCH(Calendar!$A6,DB!1:1,0)+2),FALSE),"")</f>
        <v/>
      </c>
      <c r="LSX6" s="27" t="str">
        <f>IFERROR(VLOOKUP(DATE($K$1,$K$2,LSX$4),Table1[],(MATCH(Calendar!$A6,DB!1:1,0)+2),FALSE),"")</f>
        <v/>
      </c>
      <c r="LSY6" s="27" t="str">
        <f>IFERROR(VLOOKUP(DATE($K$1,$K$2,LSY$4),Table1[],(MATCH(Calendar!$A6,DB!1:1,0)+2),FALSE),"")</f>
        <v/>
      </c>
      <c r="LSZ6" s="27" t="str">
        <f>IFERROR(VLOOKUP(DATE($K$1,$K$2,LSZ$4),Table1[],(MATCH(Calendar!$A6,DB!1:1,0)+2),FALSE),"")</f>
        <v/>
      </c>
      <c r="LTA6" s="27" t="str">
        <f>IFERROR(VLOOKUP(DATE($K$1,$K$2,LTA$4),Table1[],(MATCH(Calendar!$A6,DB!1:1,0)+2),FALSE),"")</f>
        <v/>
      </c>
      <c r="LTB6" s="27" t="str">
        <f>IFERROR(VLOOKUP(DATE($K$1,$K$2,LTB$4),Table1[],(MATCH(Calendar!$A6,DB!1:1,0)+2),FALSE),"")</f>
        <v/>
      </c>
      <c r="LTC6" s="27" t="str">
        <f>IFERROR(VLOOKUP(DATE($K$1,$K$2,LTC$4),Table1[],(MATCH(Calendar!$A6,DB!1:1,0)+2),FALSE),"")</f>
        <v/>
      </c>
      <c r="LTD6" s="27" t="str">
        <f>IFERROR(VLOOKUP(DATE($K$1,$K$2,LTD$4),Table1[],(MATCH(Calendar!$A6,DB!1:1,0)+2),FALSE),"")</f>
        <v/>
      </c>
      <c r="LTE6" s="27" t="str">
        <f>IFERROR(VLOOKUP(DATE($K$1,$K$2,LTE$4),Table1[],(MATCH(Calendar!$A6,DB!1:1,0)+2),FALSE),"")</f>
        <v/>
      </c>
      <c r="LTF6" s="27" t="str">
        <f>IFERROR(VLOOKUP(DATE($K$1,$K$2,LTF$4),Table1[],(MATCH(Calendar!$A6,DB!1:1,0)+2),FALSE),"")</f>
        <v/>
      </c>
      <c r="LTG6" s="27" t="str">
        <f>IFERROR(VLOOKUP(DATE($K$1,$K$2,LTG$4),Table1[],(MATCH(Calendar!$A6,DB!1:1,0)+2),FALSE),"")</f>
        <v/>
      </c>
      <c r="LTH6" s="27" t="str">
        <f>IFERROR(VLOOKUP(DATE($K$1,$K$2,LTH$4),Table1[],(MATCH(Calendar!$A6,DB!1:1,0)+2),FALSE),"")</f>
        <v/>
      </c>
      <c r="LTI6" s="27" t="str">
        <f>IFERROR(VLOOKUP(DATE($K$1,$K$2,LTI$4),Table1[],(MATCH(Calendar!$A6,DB!1:1,0)+2),FALSE),"")</f>
        <v/>
      </c>
      <c r="LTJ6" s="27" t="str">
        <f>IFERROR(VLOOKUP(DATE($K$1,$K$2,LTJ$4),Table1[],(MATCH(Calendar!$A6,DB!1:1,0)+2),FALSE),"")</f>
        <v/>
      </c>
      <c r="LTK6" s="27" t="str">
        <f>IFERROR(VLOOKUP(DATE($K$1,$K$2,LTK$4),Table1[],(MATCH(Calendar!$A6,DB!1:1,0)+2),FALSE),"")</f>
        <v/>
      </c>
      <c r="LTL6" s="27" t="str">
        <f>IFERROR(VLOOKUP(DATE($K$1,$K$2,LTL$4),Table1[],(MATCH(Calendar!$A6,DB!1:1,0)+2),FALSE),"")</f>
        <v/>
      </c>
      <c r="LTM6" s="27" t="str">
        <f>IFERROR(VLOOKUP(DATE($K$1,$K$2,LTM$4),Table1[],(MATCH(Calendar!$A6,DB!1:1,0)+2),FALSE),"")</f>
        <v/>
      </c>
      <c r="LTN6" s="27" t="str">
        <f>IFERROR(VLOOKUP(DATE($K$1,$K$2,LTN$4),Table1[],(MATCH(Calendar!$A6,DB!1:1,0)+2),FALSE),"")</f>
        <v/>
      </c>
      <c r="LTO6" s="27" t="str">
        <f>IFERROR(VLOOKUP(DATE($K$1,$K$2,LTO$4),Table1[],(MATCH(Calendar!$A6,DB!1:1,0)+2),FALSE),"")</f>
        <v/>
      </c>
      <c r="LTP6" s="27" t="str">
        <f>IFERROR(VLOOKUP(DATE($K$1,$K$2,LTP$4),Table1[],(MATCH(Calendar!$A6,DB!1:1,0)+2),FALSE),"")</f>
        <v/>
      </c>
      <c r="LTQ6" s="27" t="str">
        <f>IFERROR(VLOOKUP(DATE($K$1,$K$2,LTQ$4),Table1[],(MATCH(Calendar!$A6,DB!1:1,0)+2),FALSE),"")</f>
        <v/>
      </c>
      <c r="LTR6" s="27" t="str">
        <f>IFERROR(VLOOKUP(DATE($K$1,$K$2,LTR$4),Table1[],(MATCH(Calendar!$A6,DB!1:1,0)+2),FALSE),"")</f>
        <v/>
      </c>
      <c r="LTS6" s="27" t="str">
        <f>IFERROR(VLOOKUP(DATE($K$1,$K$2,LTS$4),Table1[],(MATCH(Calendar!$A6,DB!1:1,0)+2),FALSE),"")</f>
        <v/>
      </c>
      <c r="LTT6" s="27" t="str">
        <f>IFERROR(VLOOKUP(DATE($K$1,$K$2,LTT$4),Table1[],(MATCH(Calendar!$A6,DB!1:1,0)+2),FALSE),"")</f>
        <v/>
      </c>
      <c r="LTU6" s="27" t="str">
        <f>IFERROR(VLOOKUP(DATE($K$1,$K$2,LTU$4),Table1[],(MATCH(Calendar!$A6,DB!1:1,0)+2),FALSE),"")</f>
        <v/>
      </c>
      <c r="LTV6" s="27" t="str">
        <f>IFERROR(VLOOKUP(DATE($K$1,$K$2,LTV$4),Table1[],(MATCH(Calendar!$A6,DB!1:1,0)+2),FALSE),"")</f>
        <v/>
      </c>
      <c r="LTW6" s="27" t="str">
        <f>IFERROR(VLOOKUP(DATE($K$1,$K$2,LTW$4),Table1[],(MATCH(Calendar!$A6,DB!1:1,0)+2),FALSE),"")</f>
        <v/>
      </c>
      <c r="LTX6" s="27" t="str">
        <f>IFERROR(VLOOKUP(DATE($K$1,$K$2,LTX$4),Table1[],(MATCH(Calendar!$A6,DB!1:1,0)+2),FALSE),"")</f>
        <v/>
      </c>
      <c r="LTY6" s="27" t="str">
        <f>IFERROR(VLOOKUP(DATE($K$1,$K$2,LTY$4),Table1[],(MATCH(Calendar!$A6,DB!1:1,0)+2),FALSE),"")</f>
        <v/>
      </c>
      <c r="LTZ6" s="27" t="str">
        <f>IFERROR(VLOOKUP(DATE($K$1,$K$2,LTZ$4),Table1[],(MATCH(Calendar!$A6,DB!1:1,0)+2),FALSE),"")</f>
        <v/>
      </c>
      <c r="LUA6" s="27" t="str">
        <f>IFERROR(VLOOKUP(DATE($K$1,$K$2,LUA$4),Table1[],(MATCH(Calendar!$A6,DB!1:1,0)+2),FALSE),"")</f>
        <v/>
      </c>
      <c r="LUB6" s="27" t="str">
        <f>IFERROR(VLOOKUP(DATE($K$1,$K$2,LUB$4),Table1[],(MATCH(Calendar!$A6,DB!1:1,0)+2),FALSE),"")</f>
        <v/>
      </c>
      <c r="LUC6" s="27" t="str">
        <f>IFERROR(VLOOKUP(DATE($K$1,$K$2,LUC$4),Table1[],(MATCH(Calendar!$A6,DB!1:1,0)+2),FALSE),"")</f>
        <v/>
      </c>
      <c r="LUD6" s="27" t="str">
        <f>IFERROR(VLOOKUP(DATE($K$1,$K$2,LUD$4),Table1[],(MATCH(Calendar!$A6,DB!1:1,0)+2),FALSE),"")</f>
        <v/>
      </c>
      <c r="LUE6" s="27" t="str">
        <f>IFERROR(VLOOKUP(DATE($K$1,$K$2,LUE$4),Table1[],(MATCH(Calendar!$A6,DB!1:1,0)+2),FALSE),"")</f>
        <v/>
      </c>
      <c r="LUF6" s="27" t="str">
        <f>IFERROR(VLOOKUP(DATE($K$1,$K$2,LUF$4),Table1[],(MATCH(Calendar!$A6,DB!1:1,0)+2),FALSE),"")</f>
        <v/>
      </c>
      <c r="LUG6" s="27" t="str">
        <f>IFERROR(VLOOKUP(DATE($K$1,$K$2,LUG$4),Table1[],(MATCH(Calendar!$A6,DB!1:1,0)+2),FALSE),"")</f>
        <v/>
      </c>
      <c r="LUH6" s="27" t="str">
        <f>IFERROR(VLOOKUP(DATE($K$1,$K$2,LUH$4),Table1[],(MATCH(Calendar!$A6,DB!1:1,0)+2),FALSE),"")</f>
        <v/>
      </c>
      <c r="LUI6" s="27" t="str">
        <f>IFERROR(VLOOKUP(DATE($K$1,$K$2,LUI$4),Table1[],(MATCH(Calendar!$A6,DB!1:1,0)+2),FALSE),"")</f>
        <v/>
      </c>
      <c r="LUJ6" s="27" t="str">
        <f>IFERROR(VLOOKUP(DATE($K$1,$K$2,LUJ$4),Table1[],(MATCH(Calendar!$A6,DB!1:1,0)+2),FALSE),"")</f>
        <v/>
      </c>
      <c r="LUK6" s="27" t="str">
        <f>IFERROR(VLOOKUP(DATE($K$1,$K$2,LUK$4),Table1[],(MATCH(Calendar!$A6,DB!1:1,0)+2),FALSE),"")</f>
        <v/>
      </c>
      <c r="LUL6" s="27" t="str">
        <f>IFERROR(VLOOKUP(DATE($K$1,$K$2,LUL$4),Table1[],(MATCH(Calendar!$A6,DB!1:1,0)+2),FALSE),"")</f>
        <v/>
      </c>
      <c r="LUM6" s="27" t="str">
        <f>IFERROR(VLOOKUP(DATE($K$1,$K$2,LUM$4),Table1[],(MATCH(Calendar!$A6,DB!1:1,0)+2),FALSE),"")</f>
        <v/>
      </c>
      <c r="LUN6" s="27" t="str">
        <f>IFERROR(VLOOKUP(DATE($K$1,$K$2,LUN$4),Table1[],(MATCH(Calendar!$A6,DB!1:1,0)+2),FALSE),"")</f>
        <v/>
      </c>
      <c r="LUO6" s="27" t="str">
        <f>IFERROR(VLOOKUP(DATE($K$1,$K$2,LUO$4),Table1[],(MATCH(Calendar!$A6,DB!1:1,0)+2),FALSE),"")</f>
        <v/>
      </c>
      <c r="LUP6" s="27" t="str">
        <f>IFERROR(VLOOKUP(DATE($K$1,$K$2,LUP$4),Table1[],(MATCH(Calendar!$A6,DB!1:1,0)+2),FALSE),"")</f>
        <v/>
      </c>
      <c r="LUQ6" s="27" t="str">
        <f>IFERROR(VLOOKUP(DATE($K$1,$K$2,LUQ$4),Table1[],(MATCH(Calendar!$A6,DB!1:1,0)+2),FALSE),"")</f>
        <v/>
      </c>
      <c r="LUR6" s="27" t="str">
        <f>IFERROR(VLOOKUP(DATE($K$1,$K$2,LUR$4),Table1[],(MATCH(Calendar!$A6,DB!1:1,0)+2),FALSE),"")</f>
        <v/>
      </c>
      <c r="LUS6" s="27" t="str">
        <f>IFERROR(VLOOKUP(DATE($K$1,$K$2,LUS$4),Table1[],(MATCH(Calendar!$A6,DB!1:1,0)+2),FALSE),"")</f>
        <v/>
      </c>
      <c r="LUT6" s="27" t="str">
        <f>IFERROR(VLOOKUP(DATE($K$1,$K$2,LUT$4),Table1[],(MATCH(Calendar!$A6,DB!1:1,0)+2),FALSE),"")</f>
        <v/>
      </c>
      <c r="LUU6" s="27" t="str">
        <f>IFERROR(VLOOKUP(DATE($K$1,$K$2,LUU$4),Table1[],(MATCH(Calendar!$A6,DB!1:1,0)+2),FALSE),"")</f>
        <v/>
      </c>
      <c r="LUV6" s="27" t="str">
        <f>IFERROR(VLOOKUP(DATE($K$1,$K$2,LUV$4),Table1[],(MATCH(Calendar!$A6,DB!1:1,0)+2),FALSE),"")</f>
        <v/>
      </c>
      <c r="LUW6" s="27" t="str">
        <f>IFERROR(VLOOKUP(DATE($K$1,$K$2,LUW$4),Table1[],(MATCH(Calendar!$A6,DB!1:1,0)+2),FALSE),"")</f>
        <v/>
      </c>
      <c r="LUX6" s="27" t="str">
        <f>IFERROR(VLOOKUP(DATE($K$1,$K$2,LUX$4),Table1[],(MATCH(Calendar!$A6,DB!1:1,0)+2),FALSE),"")</f>
        <v/>
      </c>
      <c r="LUY6" s="27" t="str">
        <f>IFERROR(VLOOKUP(DATE($K$1,$K$2,LUY$4),Table1[],(MATCH(Calendar!$A6,DB!1:1,0)+2),FALSE),"")</f>
        <v/>
      </c>
      <c r="LUZ6" s="27" t="str">
        <f>IFERROR(VLOOKUP(DATE($K$1,$K$2,LUZ$4),Table1[],(MATCH(Calendar!$A6,DB!1:1,0)+2),FALSE),"")</f>
        <v/>
      </c>
      <c r="LVA6" s="27" t="str">
        <f>IFERROR(VLOOKUP(DATE($K$1,$K$2,LVA$4),Table1[],(MATCH(Calendar!$A6,DB!1:1,0)+2),FALSE),"")</f>
        <v/>
      </c>
      <c r="LVB6" s="27" t="str">
        <f>IFERROR(VLOOKUP(DATE($K$1,$K$2,LVB$4),Table1[],(MATCH(Calendar!$A6,DB!1:1,0)+2),FALSE),"")</f>
        <v/>
      </c>
      <c r="LVC6" s="27" t="str">
        <f>IFERROR(VLOOKUP(DATE($K$1,$K$2,LVC$4),Table1[],(MATCH(Calendar!$A6,DB!1:1,0)+2),FALSE),"")</f>
        <v/>
      </c>
      <c r="LVD6" s="27" t="str">
        <f>IFERROR(VLOOKUP(DATE($K$1,$K$2,LVD$4),Table1[],(MATCH(Calendar!$A6,DB!1:1,0)+2),FALSE),"")</f>
        <v/>
      </c>
      <c r="LVE6" s="27" t="str">
        <f>IFERROR(VLOOKUP(DATE($K$1,$K$2,LVE$4),Table1[],(MATCH(Calendar!$A6,DB!1:1,0)+2),FALSE),"")</f>
        <v/>
      </c>
      <c r="LVF6" s="27" t="str">
        <f>IFERROR(VLOOKUP(DATE($K$1,$K$2,LVF$4),Table1[],(MATCH(Calendar!$A6,DB!1:1,0)+2),FALSE),"")</f>
        <v/>
      </c>
      <c r="LVG6" s="27" t="str">
        <f>IFERROR(VLOOKUP(DATE($K$1,$K$2,LVG$4),Table1[],(MATCH(Calendar!$A6,DB!1:1,0)+2),FALSE),"")</f>
        <v/>
      </c>
      <c r="LVH6" s="27" t="str">
        <f>IFERROR(VLOOKUP(DATE($K$1,$K$2,LVH$4),Table1[],(MATCH(Calendar!$A6,DB!1:1,0)+2),FALSE),"")</f>
        <v/>
      </c>
      <c r="LVI6" s="27" t="str">
        <f>IFERROR(VLOOKUP(DATE($K$1,$K$2,LVI$4),Table1[],(MATCH(Calendar!$A6,DB!1:1,0)+2),FALSE),"")</f>
        <v/>
      </c>
      <c r="LVJ6" s="27" t="str">
        <f>IFERROR(VLOOKUP(DATE($K$1,$K$2,LVJ$4),Table1[],(MATCH(Calendar!$A6,DB!1:1,0)+2),FALSE),"")</f>
        <v/>
      </c>
      <c r="LVK6" s="27" t="str">
        <f>IFERROR(VLOOKUP(DATE($K$1,$K$2,LVK$4),Table1[],(MATCH(Calendar!$A6,DB!1:1,0)+2),FALSE),"")</f>
        <v/>
      </c>
      <c r="LVL6" s="27" t="str">
        <f>IFERROR(VLOOKUP(DATE($K$1,$K$2,LVL$4),Table1[],(MATCH(Calendar!$A6,DB!1:1,0)+2),FALSE),"")</f>
        <v/>
      </c>
      <c r="LVM6" s="27" t="str">
        <f>IFERROR(VLOOKUP(DATE($K$1,$K$2,LVM$4),Table1[],(MATCH(Calendar!$A6,DB!1:1,0)+2),FALSE),"")</f>
        <v/>
      </c>
      <c r="LVN6" s="27" t="str">
        <f>IFERROR(VLOOKUP(DATE($K$1,$K$2,LVN$4),Table1[],(MATCH(Calendar!$A6,DB!1:1,0)+2),FALSE),"")</f>
        <v/>
      </c>
      <c r="LVO6" s="27" t="str">
        <f>IFERROR(VLOOKUP(DATE($K$1,$K$2,LVO$4),Table1[],(MATCH(Calendar!$A6,DB!1:1,0)+2),FALSE),"")</f>
        <v/>
      </c>
      <c r="LVP6" s="27" t="str">
        <f>IFERROR(VLOOKUP(DATE($K$1,$K$2,LVP$4),Table1[],(MATCH(Calendar!$A6,DB!1:1,0)+2),FALSE),"")</f>
        <v/>
      </c>
      <c r="LVQ6" s="27" t="str">
        <f>IFERROR(VLOOKUP(DATE($K$1,$K$2,LVQ$4),Table1[],(MATCH(Calendar!$A6,DB!1:1,0)+2),FALSE),"")</f>
        <v/>
      </c>
      <c r="LVR6" s="27" t="str">
        <f>IFERROR(VLOOKUP(DATE($K$1,$K$2,LVR$4),Table1[],(MATCH(Calendar!$A6,DB!1:1,0)+2),FALSE),"")</f>
        <v/>
      </c>
      <c r="LVS6" s="27" t="str">
        <f>IFERROR(VLOOKUP(DATE($K$1,$K$2,LVS$4),Table1[],(MATCH(Calendar!$A6,DB!1:1,0)+2),FALSE),"")</f>
        <v/>
      </c>
      <c r="LVT6" s="27" t="str">
        <f>IFERROR(VLOOKUP(DATE($K$1,$K$2,LVT$4),Table1[],(MATCH(Calendar!$A6,DB!1:1,0)+2),FALSE),"")</f>
        <v/>
      </c>
      <c r="LVU6" s="27" t="str">
        <f>IFERROR(VLOOKUP(DATE($K$1,$K$2,LVU$4),Table1[],(MATCH(Calendar!$A6,DB!1:1,0)+2),FALSE),"")</f>
        <v/>
      </c>
      <c r="LVV6" s="27" t="str">
        <f>IFERROR(VLOOKUP(DATE($K$1,$K$2,LVV$4),Table1[],(MATCH(Calendar!$A6,DB!1:1,0)+2),FALSE),"")</f>
        <v/>
      </c>
      <c r="LVW6" s="27" t="str">
        <f>IFERROR(VLOOKUP(DATE($K$1,$K$2,LVW$4),Table1[],(MATCH(Calendar!$A6,DB!1:1,0)+2),FALSE),"")</f>
        <v/>
      </c>
      <c r="LVX6" s="27" t="str">
        <f>IFERROR(VLOOKUP(DATE($K$1,$K$2,LVX$4),Table1[],(MATCH(Calendar!$A6,DB!1:1,0)+2),FALSE),"")</f>
        <v/>
      </c>
      <c r="LVY6" s="27" t="str">
        <f>IFERROR(VLOOKUP(DATE($K$1,$K$2,LVY$4),Table1[],(MATCH(Calendar!$A6,DB!1:1,0)+2),FALSE),"")</f>
        <v/>
      </c>
      <c r="LVZ6" s="27" t="str">
        <f>IFERROR(VLOOKUP(DATE($K$1,$K$2,LVZ$4),Table1[],(MATCH(Calendar!$A6,DB!1:1,0)+2),FALSE),"")</f>
        <v/>
      </c>
      <c r="LWA6" s="27" t="str">
        <f>IFERROR(VLOOKUP(DATE($K$1,$K$2,LWA$4),Table1[],(MATCH(Calendar!$A6,DB!1:1,0)+2),FALSE),"")</f>
        <v/>
      </c>
      <c r="LWB6" s="27" t="str">
        <f>IFERROR(VLOOKUP(DATE($K$1,$K$2,LWB$4),Table1[],(MATCH(Calendar!$A6,DB!1:1,0)+2),FALSE),"")</f>
        <v/>
      </c>
      <c r="LWC6" s="27" t="str">
        <f>IFERROR(VLOOKUP(DATE($K$1,$K$2,LWC$4),Table1[],(MATCH(Calendar!$A6,DB!1:1,0)+2),FALSE),"")</f>
        <v/>
      </c>
      <c r="LWD6" s="27" t="str">
        <f>IFERROR(VLOOKUP(DATE($K$1,$K$2,LWD$4),Table1[],(MATCH(Calendar!$A6,DB!1:1,0)+2),FALSE),"")</f>
        <v/>
      </c>
      <c r="LWE6" s="27" t="str">
        <f>IFERROR(VLOOKUP(DATE($K$1,$K$2,LWE$4),Table1[],(MATCH(Calendar!$A6,DB!1:1,0)+2),FALSE),"")</f>
        <v/>
      </c>
      <c r="LWF6" s="27" t="str">
        <f>IFERROR(VLOOKUP(DATE($K$1,$K$2,LWF$4),Table1[],(MATCH(Calendar!$A6,DB!1:1,0)+2),FALSE),"")</f>
        <v/>
      </c>
      <c r="LWG6" s="27" t="str">
        <f>IFERROR(VLOOKUP(DATE($K$1,$K$2,LWG$4),Table1[],(MATCH(Calendar!$A6,DB!1:1,0)+2),FALSE),"")</f>
        <v/>
      </c>
      <c r="LWH6" s="27" t="str">
        <f>IFERROR(VLOOKUP(DATE($K$1,$K$2,LWH$4),Table1[],(MATCH(Calendar!$A6,DB!1:1,0)+2),FALSE),"")</f>
        <v/>
      </c>
      <c r="LWI6" s="27" t="str">
        <f>IFERROR(VLOOKUP(DATE($K$1,$K$2,LWI$4),Table1[],(MATCH(Calendar!$A6,DB!1:1,0)+2),FALSE),"")</f>
        <v/>
      </c>
      <c r="LWJ6" s="27" t="str">
        <f>IFERROR(VLOOKUP(DATE($K$1,$K$2,LWJ$4),Table1[],(MATCH(Calendar!$A6,DB!1:1,0)+2),FALSE),"")</f>
        <v/>
      </c>
      <c r="LWK6" s="27" t="str">
        <f>IFERROR(VLOOKUP(DATE($K$1,$K$2,LWK$4),Table1[],(MATCH(Calendar!$A6,DB!1:1,0)+2),FALSE),"")</f>
        <v/>
      </c>
      <c r="LWL6" s="27" t="str">
        <f>IFERROR(VLOOKUP(DATE($K$1,$K$2,LWL$4),Table1[],(MATCH(Calendar!$A6,DB!1:1,0)+2),FALSE),"")</f>
        <v/>
      </c>
      <c r="LWM6" s="27" t="str">
        <f>IFERROR(VLOOKUP(DATE($K$1,$K$2,LWM$4),Table1[],(MATCH(Calendar!$A6,DB!1:1,0)+2),FALSE),"")</f>
        <v/>
      </c>
      <c r="LWN6" s="27" t="str">
        <f>IFERROR(VLOOKUP(DATE($K$1,$K$2,LWN$4),Table1[],(MATCH(Calendar!$A6,DB!1:1,0)+2),FALSE),"")</f>
        <v/>
      </c>
      <c r="LWO6" s="27" t="str">
        <f>IFERROR(VLOOKUP(DATE($K$1,$K$2,LWO$4),Table1[],(MATCH(Calendar!$A6,DB!1:1,0)+2),FALSE),"")</f>
        <v/>
      </c>
      <c r="LWP6" s="27" t="str">
        <f>IFERROR(VLOOKUP(DATE($K$1,$K$2,LWP$4),Table1[],(MATCH(Calendar!$A6,DB!1:1,0)+2),FALSE),"")</f>
        <v/>
      </c>
      <c r="LWQ6" s="27" t="str">
        <f>IFERROR(VLOOKUP(DATE($K$1,$K$2,LWQ$4),Table1[],(MATCH(Calendar!$A6,DB!1:1,0)+2),FALSE),"")</f>
        <v/>
      </c>
      <c r="LWR6" s="27" t="str">
        <f>IFERROR(VLOOKUP(DATE($K$1,$K$2,LWR$4),Table1[],(MATCH(Calendar!$A6,DB!1:1,0)+2),FALSE),"")</f>
        <v/>
      </c>
      <c r="LWS6" s="27" t="str">
        <f>IFERROR(VLOOKUP(DATE($K$1,$K$2,LWS$4),Table1[],(MATCH(Calendar!$A6,DB!1:1,0)+2),FALSE),"")</f>
        <v/>
      </c>
      <c r="LWT6" s="27" t="str">
        <f>IFERROR(VLOOKUP(DATE($K$1,$K$2,LWT$4),Table1[],(MATCH(Calendar!$A6,DB!1:1,0)+2),FALSE),"")</f>
        <v/>
      </c>
      <c r="LWU6" s="27" t="str">
        <f>IFERROR(VLOOKUP(DATE($K$1,$K$2,LWU$4),Table1[],(MATCH(Calendar!$A6,DB!1:1,0)+2),FALSE),"")</f>
        <v/>
      </c>
      <c r="LWV6" s="27" t="str">
        <f>IFERROR(VLOOKUP(DATE($K$1,$K$2,LWV$4),Table1[],(MATCH(Calendar!$A6,DB!1:1,0)+2),FALSE),"")</f>
        <v/>
      </c>
      <c r="LWW6" s="27" t="str">
        <f>IFERROR(VLOOKUP(DATE($K$1,$K$2,LWW$4),Table1[],(MATCH(Calendar!$A6,DB!1:1,0)+2),FALSE),"")</f>
        <v/>
      </c>
      <c r="LWX6" s="27" t="str">
        <f>IFERROR(VLOOKUP(DATE($K$1,$K$2,LWX$4),Table1[],(MATCH(Calendar!$A6,DB!1:1,0)+2),FALSE),"")</f>
        <v/>
      </c>
      <c r="LWY6" s="27" t="str">
        <f>IFERROR(VLOOKUP(DATE($K$1,$K$2,LWY$4),Table1[],(MATCH(Calendar!$A6,DB!1:1,0)+2),FALSE),"")</f>
        <v/>
      </c>
      <c r="LWZ6" s="27" t="str">
        <f>IFERROR(VLOOKUP(DATE($K$1,$K$2,LWZ$4),Table1[],(MATCH(Calendar!$A6,DB!1:1,0)+2),FALSE),"")</f>
        <v/>
      </c>
      <c r="LXA6" s="27" t="str">
        <f>IFERROR(VLOOKUP(DATE($K$1,$K$2,LXA$4),Table1[],(MATCH(Calendar!$A6,DB!1:1,0)+2),FALSE),"")</f>
        <v/>
      </c>
      <c r="LXB6" s="27" t="str">
        <f>IFERROR(VLOOKUP(DATE($K$1,$K$2,LXB$4),Table1[],(MATCH(Calendar!$A6,DB!1:1,0)+2),FALSE),"")</f>
        <v/>
      </c>
      <c r="LXC6" s="27" t="str">
        <f>IFERROR(VLOOKUP(DATE($K$1,$K$2,LXC$4),Table1[],(MATCH(Calendar!$A6,DB!1:1,0)+2),FALSE),"")</f>
        <v/>
      </c>
      <c r="LXD6" s="27" t="str">
        <f>IFERROR(VLOOKUP(DATE($K$1,$K$2,LXD$4),Table1[],(MATCH(Calendar!$A6,DB!1:1,0)+2),FALSE),"")</f>
        <v/>
      </c>
      <c r="LXE6" s="27" t="str">
        <f>IFERROR(VLOOKUP(DATE($K$1,$K$2,LXE$4),Table1[],(MATCH(Calendar!$A6,DB!1:1,0)+2),FALSE),"")</f>
        <v/>
      </c>
      <c r="LXF6" s="27" t="str">
        <f>IFERROR(VLOOKUP(DATE($K$1,$K$2,LXF$4),Table1[],(MATCH(Calendar!$A6,DB!1:1,0)+2),FALSE),"")</f>
        <v/>
      </c>
      <c r="LXG6" s="27" t="str">
        <f>IFERROR(VLOOKUP(DATE($K$1,$K$2,LXG$4),Table1[],(MATCH(Calendar!$A6,DB!1:1,0)+2),FALSE),"")</f>
        <v/>
      </c>
      <c r="LXH6" s="27" t="str">
        <f>IFERROR(VLOOKUP(DATE($K$1,$K$2,LXH$4),Table1[],(MATCH(Calendar!$A6,DB!1:1,0)+2),FALSE),"")</f>
        <v/>
      </c>
      <c r="LXI6" s="27" t="str">
        <f>IFERROR(VLOOKUP(DATE($K$1,$K$2,LXI$4),Table1[],(MATCH(Calendar!$A6,DB!1:1,0)+2),FALSE),"")</f>
        <v/>
      </c>
      <c r="LXJ6" s="27" t="str">
        <f>IFERROR(VLOOKUP(DATE($K$1,$K$2,LXJ$4),Table1[],(MATCH(Calendar!$A6,DB!1:1,0)+2),FALSE),"")</f>
        <v/>
      </c>
      <c r="LXK6" s="27" t="str">
        <f>IFERROR(VLOOKUP(DATE($K$1,$K$2,LXK$4),Table1[],(MATCH(Calendar!$A6,DB!1:1,0)+2),FALSE),"")</f>
        <v/>
      </c>
      <c r="LXL6" s="27" t="str">
        <f>IFERROR(VLOOKUP(DATE($K$1,$K$2,LXL$4),Table1[],(MATCH(Calendar!$A6,DB!1:1,0)+2),FALSE),"")</f>
        <v/>
      </c>
      <c r="LXM6" s="27" t="str">
        <f>IFERROR(VLOOKUP(DATE($K$1,$K$2,LXM$4),Table1[],(MATCH(Calendar!$A6,DB!1:1,0)+2),FALSE),"")</f>
        <v/>
      </c>
      <c r="LXN6" s="27" t="str">
        <f>IFERROR(VLOOKUP(DATE($K$1,$K$2,LXN$4),Table1[],(MATCH(Calendar!$A6,DB!1:1,0)+2),FALSE),"")</f>
        <v/>
      </c>
      <c r="LXO6" s="27" t="str">
        <f>IFERROR(VLOOKUP(DATE($K$1,$K$2,LXO$4),Table1[],(MATCH(Calendar!$A6,DB!1:1,0)+2),FALSE),"")</f>
        <v/>
      </c>
      <c r="LXP6" s="27" t="str">
        <f>IFERROR(VLOOKUP(DATE($K$1,$K$2,LXP$4),Table1[],(MATCH(Calendar!$A6,DB!1:1,0)+2),FALSE),"")</f>
        <v/>
      </c>
      <c r="LXQ6" s="27" t="str">
        <f>IFERROR(VLOOKUP(DATE($K$1,$K$2,LXQ$4),Table1[],(MATCH(Calendar!$A6,DB!1:1,0)+2),FALSE),"")</f>
        <v/>
      </c>
      <c r="LXR6" s="27" t="str">
        <f>IFERROR(VLOOKUP(DATE($K$1,$K$2,LXR$4),Table1[],(MATCH(Calendar!$A6,DB!1:1,0)+2),FALSE),"")</f>
        <v/>
      </c>
      <c r="LXS6" s="27" t="str">
        <f>IFERROR(VLOOKUP(DATE($K$1,$K$2,LXS$4),Table1[],(MATCH(Calendar!$A6,DB!1:1,0)+2),FALSE),"")</f>
        <v/>
      </c>
      <c r="LXT6" s="27" t="str">
        <f>IFERROR(VLOOKUP(DATE($K$1,$K$2,LXT$4),Table1[],(MATCH(Calendar!$A6,DB!1:1,0)+2),FALSE),"")</f>
        <v/>
      </c>
      <c r="LXU6" s="27" t="str">
        <f>IFERROR(VLOOKUP(DATE($K$1,$K$2,LXU$4),Table1[],(MATCH(Calendar!$A6,DB!1:1,0)+2),FALSE),"")</f>
        <v/>
      </c>
      <c r="LXV6" s="27" t="str">
        <f>IFERROR(VLOOKUP(DATE($K$1,$K$2,LXV$4),Table1[],(MATCH(Calendar!$A6,DB!1:1,0)+2),FALSE),"")</f>
        <v/>
      </c>
      <c r="LXW6" s="27" t="str">
        <f>IFERROR(VLOOKUP(DATE($K$1,$K$2,LXW$4),Table1[],(MATCH(Calendar!$A6,DB!1:1,0)+2),FALSE),"")</f>
        <v/>
      </c>
      <c r="LXX6" s="27" t="str">
        <f>IFERROR(VLOOKUP(DATE($K$1,$K$2,LXX$4),Table1[],(MATCH(Calendar!$A6,DB!1:1,0)+2),FALSE),"")</f>
        <v/>
      </c>
      <c r="LXY6" s="27" t="str">
        <f>IFERROR(VLOOKUP(DATE($K$1,$K$2,LXY$4),Table1[],(MATCH(Calendar!$A6,DB!1:1,0)+2),FALSE),"")</f>
        <v/>
      </c>
      <c r="LXZ6" s="27" t="str">
        <f>IFERROR(VLOOKUP(DATE($K$1,$K$2,LXZ$4),Table1[],(MATCH(Calendar!$A6,DB!1:1,0)+2),FALSE),"")</f>
        <v/>
      </c>
      <c r="LYA6" s="27" t="str">
        <f>IFERROR(VLOOKUP(DATE($K$1,$K$2,LYA$4),Table1[],(MATCH(Calendar!$A6,DB!1:1,0)+2),FALSE),"")</f>
        <v/>
      </c>
      <c r="LYB6" s="27" t="str">
        <f>IFERROR(VLOOKUP(DATE($K$1,$K$2,LYB$4),Table1[],(MATCH(Calendar!$A6,DB!1:1,0)+2),FALSE),"")</f>
        <v/>
      </c>
      <c r="LYC6" s="27" t="str">
        <f>IFERROR(VLOOKUP(DATE($K$1,$K$2,LYC$4),Table1[],(MATCH(Calendar!$A6,DB!1:1,0)+2),FALSE),"")</f>
        <v/>
      </c>
      <c r="LYD6" s="27" t="str">
        <f>IFERROR(VLOOKUP(DATE($K$1,$K$2,LYD$4),Table1[],(MATCH(Calendar!$A6,DB!1:1,0)+2),FALSE),"")</f>
        <v/>
      </c>
      <c r="LYE6" s="27" t="str">
        <f>IFERROR(VLOOKUP(DATE($K$1,$K$2,LYE$4),Table1[],(MATCH(Calendar!$A6,DB!1:1,0)+2),FALSE),"")</f>
        <v/>
      </c>
      <c r="LYF6" s="27" t="str">
        <f>IFERROR(VLOOKUP(DATE($K$1,$K$2,LYF$4),Table1[],(MATCH(Calendar!$A6,DB!1:1,0)+2),FALSE),"")</f>
        <v/>
      </c>
      <c r="LYG6" s="27" t="str">
        <f>IFERROR(VLOOKUP(DATE($K$1,$K$2,LYG$4),Table1[],(MATCH(Calendar!$A6,DB!1:1,0)+2),FALSE),"")</f>
        <v/>
      </c>
      <c r="LYH6" s="27" t="str">
        <f>IFERROR(VLOOKUP(DATE($K$1,$K$2,LYH$4),Table1[],(MATCH(Calendar!$A6,DB!1:1,0)+2),FALSE),"")</f>
        <v/>
      </c>
      <c r="LYI6" s="27" t="str">
        <f>IFERROR(VLOOKUP(DATE($K$1,$K$2,LYI$4),Table1[],(MATCH(Calendar!$A6,DB!1:1,0)+2),FALSE),"")</f>
        <v/>
      </c>
      <c r="LYJ6" s="27" t="str">
        <f>IFERROR(VLOOKUP(DATE($K$1,$K$2,LYJ$4),Table1[],(MATCH(Calendar!$A6,DB!1:1,0)+2),FALSE),"")</f>
        <v/>
      </c>
      <c r="LYK6" s="27" t="str">
        <f>IFERROR(VLOOKUP(DATE($K$1,$K$2,LYK$4),Table1[],(MATCH(Calendar!$A6,DB!1:1,0)+2),FALSE),"")</f>
        <v/>
      </c>
      <c r="LYL6" s="27" t="str">
        <f>IFERROR(VLOOKUP(DATE($K$1,$K$2,LYL$4),Table1[],(MATCH(Calendar!$A6,DB!1:1,0)+2),FALSE),"")</f>
        <v/>
      </c>
      <c r="LYM6" s="27" t="str">
        <f>IFERROR(VLOOKUP(DATE($K$1,$K$2,LYM$4),Table1[],(MATCH(Calendar!$A6,DB!1:1,0)+2),FALSE),"")</f>
        <v/>
      </c>
      <c r="LYN6" s="27" t="str">
        <f>IFERROR(VLOOKUP(DATE($K$1,$K$2,LYN$4),Table1[],(MATCH(Calendar!$A6,DB!1:1,0)+2),FALSE),"")</f>
        <v/>
      </c>
      <c r="LYO6" s="27" t="str">
        <f>IFERROR(VLOOKUP(DATE($K$1,$K$2,LYO$4),Table1[],(MATCH(Calendar!$A6,DB!1:1,0)+2),FALSE),"")</f>
        <v/>
      </c>
      <c r="LYP6" s="27" t="str">
        <f>IFERROR(VLOOKUP(DATE($K$1,$K$2,LYP$4),Table1[],(MATCH(Calendar!$A6,DB!1:1,0)+2),FALSE),"")</f>
        <v/>
      </c>
      <c r="LYQ6" s="27" t="str">
        <f>IFERROR(VLOOKUP(DATE($K$1,$K$2,LYQ$4),Table1[],(MATCH(Calendar!$A6,DB!1:1,0)+2),FALSE),"")</f>
        <v/>
      </c>
      <c r="LYR6" s="27" t="str">
        <f>IFERROR(VLOOKUP(DATE($K$1,$K$2,LYR$4),Table1[],(MATCH(Calendar!$A6,DB!1:1,0)+2),FALSE),"")</f>
        <v/>
      </c>
      <c r="LYS6" s="27" t="str">
        <f>IFERROR(VLOOKUP(DATE($K$1,$K$2,LYS$4),Table1[],(MATCH(Calendar!$A6,DB!1:1,0)+2),FALSE),"")</f>
        <v/>
      </c>
      <c r="LYT6" s="27" t="str">
        <f>IFERROR(VLOOKUP(DATE($K$1,$K$2,LYT$4),Table1[],(MATCH(Calendar!$A6,DB!1:1,0)+2),FALSE),"")</f>
        <v/>
      </c>
      <c r="LYU6" s="27" t="str">
        <f>IFERROR(VLOOKUP(DATE($K$1,$K$2,LYU$4),Table1[],(MATCH(Calendar!$A6,DB!1:1,0)+2),FALSE),"")</f>
        <v/>
      </c>
      <c r="LYV6" s="27" t="str">
        <f>IFERROR(VLOOKUP(DATE($K$1,$K$2,LYV$4),Table1[],(MATCH(Calendar!$A6,DB!1:1,0)+2),FALSE),"")</f>
        <v/>
      </c>
      <c r="LYW6" s="27" t="str">
        <f>IFERROR(VLOOKUP(DATE($K$1,$K$2,LYW$4),Table1[],(MATCH(Calendar!$A6,DB!1:1,0)+2),FALSE),"")</f>
        <v/>
      </c>
      <c r="LYX6" s="27" t="str">
        <f>IFERROR(VLOOKUP(DATE($K$1,$K$2,LYX$4),Table1[],(MATCH(Calendar!$A6,DB!1:1,0)+2),FALSE),"")</f>
        <v/>
      </c>
      <c r="LYY6" s="27" t="str">
        <f>IFERROR(VLOOKUP(DATE($K$1,$K$2,LYY$4),Table1[],(MATCH(Calendar!$A6,DB!1:1,0)+2),FALSE),"")</f>
        <v/>
      </c>
      <c r="LYZ6" s="27" t="str">
        <f>IFERROR(VLOOKUP(DATE($K$1,$K$2,LYZ$4),Table1[],(MATCH(Calendar!$A6,DB!1:1,0)+2),FALSE),"")</f>
        <v/>
      </c>
      <c r="LZA6" s="27" t="str">
        <f>IFERROR(VLOOKUP(DATE($K$1,$K$2,LZA$4),Table1[],(MATCH(Calendar!$A6,DB!1:1,0)+2),FALSE),"")</f>
        <v/>
      </c>
      <c r="LZB6" s="27" t="str">
        <f>IFERROR(VLOOKUP(DATE($K$1,$K$2,LZB$4),Table1[],(MATCH(Calendar!$A6,DB!1:1,0)+2),FALSE),"")</f>
        <v/>
      </c>
      <c r="LZC6" s="27" t="str">
        <f>IFERROR(VLOOKUP(DATE($K$1,$K$2,LZC$4),Table1[],(MATCH(Calendar!$A6,DB!1:1,0)+2),FALSE),"")</f>
        <v/>
      </c>
      <c r="LZD6" s="27" t="str">
        <f>IFERROR(VLOOKUP(DATE($K$1,$K$2,LZD$4),Table1[],(MATCH(Calendar!$A6,DB!1:1,0)+2),FALSE),"")</f>
        <v/>
      </c>
      <c r="LZE6" s="27" t="str">
        <f>IFERROR(VLOOKUP(DATE($K$1,$K$2,LZE$4),Table1[],(MATCH(Calendar!$A6,DB!1:1,0)+2),FALSE),"")</f>
        <v/>
      </c>
      <c r="LZF6" s="27" t="str">
        <f>IFERROR(VLOOKUP(DATE($K$1,$K$2,LZF$4),Table1[],(MATCH(Calendar!$A6,DB!1:1,0)+2),FALSE),"")</f>
        <v/>
      </c>
      <c r="LZG6" s="27" t="str">
        <f>IFERROR(VLOOKUP(DATE($K$1,$K$2,LZG$4),Table1[],(MATCH(Calendar!$A6,DB!1:1,0)+2),FALSE),"")</f>
        <v/>
      </c>
      <c r="LZH6" s="27" t="str">
        <f>IFERROR(VLOOKUP(DATE($K$1,$K$2,LZH$4),Table1[],(MATCH(Calendar!$A6,DB!1:1,0)+2),FALSE),"")</f>
        <v/>
      </c>
      <c r="LZI6" s="27" t="str">
        <f>IFERROR(VLOOKUP(DATE($K$1,$K$2,LZI$4),Table1[],(MATCH(Calendar!$A6,DB!1:1,0)+2),FALSE),"")</f>
        <v/>
      </c>
      <c r="LZJ6" s="27" t="str">
        <f>IFERROR(VLOOKUP(DATE($K$1,$K$2,LZJ$4),Table1[],(MATCH(Calendar!$A6,DB!1:1,0)+2),FALSE),"")</f>
        <v/>
      </c>
      <c r="LZK6" s="27" t="str">
        <f>IFERROR(VLOOKUP(DATE($K$1,$K$2,LZK$4),Table1[],(MATCH(Calendar!$A6,DB!1:1,0)+2),FALSE),"")</f>
        <v/>
      </c>
      <c r="LZL6" s="27" t="str">
        <f>IFERROR(VLOOKUP(DATE($K$1,$K$2,LZL$4),Table1[],(MATCH(Calendar!$A6,DB!1:1,0)+2),FALSE),"")</f>
        <v/>
      </c>
      <c r="LZM6" s="27" t="str">
        <f>IFERROR(VLOOKUP(DATE($K$1,$K$2,LZM$4),Table1[],(MATCH(Calendar!$A6,DB!1:1,0)+2),FALSE),"")</f>
        <v/>
      </c>
      <c r="LZN6" s="27" t="str">
        <f>IFERROR(VLOOKUP(DATE($K$1,$K$2,LZN$4),Table1[],(MATCH(Calendar!$A6,DB!1:1,0)+2),FALSE),"")</f>
        <v/>
      </c>
      <c r="LZO6" s="27" t="str">
        <f>IFERROR(VLOOKUP(DATE($K$1,$K$2,LZO$4),Table1[],(MATCH(Calendar!$A6,DB!1:1,0)+2),FALSE),"")</f>
        <v/>
      </c>
      <c r="LZP6" s="27" t="str">
        <f>IFERROR(VLOOKUP(DATE($K$1,$K$2,LZP$4),Table1[],(MATCH(Calendar!$A6,DB!1:1,0)+2),FALSE),"")</f>
        <v/>
      </c>
      <c r="LZQ6" s="27" t="str">
        <f>IFERROR(VLOOKUP(DATE($K$1,$K$2,LZQ$4),Table1[],(MATCH(Calendar!$A6,DB!1:1,0)+2),FALSE),"")</f>
        <v/>
      </c>
      <c r="LZR6" s="27" t="str">
        <f>IFERROR(VLOOKUP(DATE($K$1,$K$2,LZR$4),Table1[],(MATCH(Calendar!$A6,DB!1:1,0)+2),FALSE),"")</f>
        <v/>
      </c>
      <c r="LZS6" s="27" t="str">
        <f>IFERROR(VLOOKUP(DATE($K$1,$K$2,LZS$4),Table1[],(MATCH(Calendar!$A6,DB!1:1,0)+2),FALSE),"")</f>
        <v/>
      </c>
      <c r="LZT6" s="27" t="str">
        <f>IFERROR(VLOOKUP(DATE($K$1,$K$2,LZT$4),Table1[],(MATCH(Calendar!$A6,DB!1:1,0)+2),FALSE),"")</f>
        <v/>
      </c>
      <c r="LZU6" s="27" t="str">
        <f>IFERROR(VLOOKUP(DATE($K$1,$K$2,LZU$4),Table1[],(MATCH(Calendar!$A6,DB!1:1,0)+2),FALSE),"")</f>
        <v/>
      </c>
      <c r="LZV6" s="27" t="str">
        <f>IFERROR(VLOOKUP(DATE($K$1,$K$2,LZV$4),Table1[],(MATCH(Calendar!$A6,DB!1:1,0)+2),FALSE),"")</f>
        <v/>
      </c>
      <c r="LZW6" s="27" t="str">
        <f>IFERROR(VLOOKUP(DATE($K$1,$K$2,LZW$4),Table1[],(MATCH(Calendar!$A6,DB!1:1,0)+2),FALSE),"")</f>
        <v/>
      </c>
      <c r="LZX6" s="27" t="str">
        <f>IFERROR(VLOOKUP(DATE($K$1,$K$2,LZX$4),Table1[],(MATCH(Calendar!$A6,DB!1:1,0)+2),FALSE),"")</f>
        <v/>
      </c>
      <c r="LZY6" s="27" t="str">
        <f>IFERROR(VLOOKUP(DATE($K$1,$K$2,LZY$4),Table1[],(MATCH(Calendar!$A6,DB!1:1,0)+2),FALSE),"")</f>
        <v/>
      </c>
      <c r="LZZ6" s="27" t="str">
        <f>IFERROR(VLOOKUP(DATE($K$1,$K$2,LZZ$4),Table1[],(MATCH(Calendar!$A6,DB!1:1,0)+2),FALSE),"")</f>
        <v/>
      </c>
      <c r="MAA6" s="27" t="str">
        <f>IFERROR(VLOOKUP(DATE($K$1,$K$2,MAA$4),Table1[],(MATCH(Calendar!$A6,DB!1:1,0)+2),FALSE),"")</f>
        <v/>
      </c>
      <c r="MAB6" s="27" t="str">
        <f>IFERROR(VLOOKUP(DATE($K$1,$K$2,MAB$4),Table1[],(MATCH(Calendar!$A6,DB!1:1,0)+2),FALSE),"")</f>
        <v/>
      </c>
      <c r="MAC6" s="27" t="str">
        <f>IFERROR(VLOOKUP(DATE($K$1,$K$2,MAC$4),Table1[],(MATCH(Calendar!$A6,DB!1:1,0)+2),FALSE),"")</f>
        <v/>
      </c>
      <c r="MAD6" s="27" t="str">
        <f>IFERROR(VLOOKUP(DATE($K$1,$K$2,MAD$4),Table1[],(MATCH(Calendar!$A6,DB!1:1,0)+2),FALSE),"")</f>
        <v/>
      </c>
      <c r="MAE6" s="27" t="str">
        <f>IFERROR(VLOOKUP(DATE($K$1,$K$2,MAE$4),Table1[],(MATCH(Calendar!$A6,DB!1:1,0)+2),FALSE),"")</f>
        <v/>
      </c>
      <c r="MAF6" s="27" t="str">
        <f>IFERROR(VLOOKUP(DATE($K$1,$K$2,MAF$4),Table1[],(MATCH(Calendar!$A6,DB!1:1,0)+2),FALSE),"")</f>
        <v/>
      </c>
      <c r="MAG6" s="27" t="str">
        <f>IFERROR(VLOOKUP(DATE($K$1,$K$2,MAG$4),Table1[],(MATCH(Calendar!$A6,DB!1:1,0)+2),FALSE),"")</f>
        <v/>
      </c>
      <c r="MAH6" s="27" t="str">
        <f>IFERROR(VLOOKUP(DATE($K$1,$K$2,MAH$4),Table1[],(MATCH(Calendar!$A6,DB!1:1,0)+2),FALSE),"")</f>
        <v/>
      </c>
      <c r="MAI6" s="27" t="str">
        <f>IFERROR(VLOOKUP(DATE($K$1,$K$2,MAI$4),Table1[],(MATCH(Calendar!$A6,DB!1:1,0)+2),FALSE),"")</f>
        <v/>
      </c>
      <c r="MAJ6" s="27" t="str">
        <f>IFERROR(VLOOKUP(DATE($K$1,$K$2,MAJ$4),Table1[],(MATCH(Calendar!$A6,DB!1:1,0)+2),FALSE),"")</f>
        <v/>
      </c>
      <c r="MAK6" s="27" t="str">
        <f>IFERROR(VLOOKUP(DATE($K$1,$K$2,MAK$4),Table1[],(MATCH(Calendar!$A6,DB!1:1,0)+2),FALSE),"")</f>
        <v/>
      </c>
      <c r="MAL6" s="27" t="str">
        <f>IFERROR(VLOOKUP(DATE($K$1,$K$2,MAL$4),Table1[],(MATCH(Calendar!$A6,DB!1:1,0)+2),FALSE),"")</f>
        <v/>
      </c>
      <c r="MAM6" s="27" t="str">
        <f>IFERROR(VLOOKUP(DATE($K$1,$K$2,MAM$4),Table1[],(MATCH(Calendar!$A6,DB!1:1,0)+2),FALSE),"")</f>
        <v/>
      </c>
      <c r="MAN6" s="27" t="str">
        <f>IFERROR(VLOOKUP(DATE($K$1,$K$2,MAN$4),Table1[],(MATCH(Calendar!$A6,DB!1:1,0)+2),FALSE),"")</f>
        <v/>
      </c>
      <c r="MAO6" s="27" t="str">
        <f>IFERROR(VLOOKUP(DATE($K$1,$K$2,MAO$4),Table1[],(MATCH(Calendar!$A6,DB!1:1,0)+2),FALSE),"")</f>
        <v/>
      </c>
      <c r="MAP6" s="27" t="str">
        <f>IFERROR(VLOOKUP(DATE($K$1,$K$2,MAP$4),Table1[],(MATCH(Calendar!$A6,DB!1:1,0)+2),FALSE),"")</f>
        <v/>
      </c>
      <c r="MAQ6" s="27" t="str">
        <f>IFERROR(VLOOKUP(DATE($K$1,$K$2,MAQ$4),Table1[],(MATCH(Calendar!$A6,DB!1:1,0)+2),FALSE),"")</f>
        <v/>
      </c>
      <c r="MAR6" s="27" t="str">
        <f>IFERROR(VLOOKUP(DATE($K$1,$K$2,MAR$4),Table1[],(MATCH(Calendar!$A6,DB!1:1,0)+2),FALSE),"")</f>
        <v/>
      </c>
      <c r="MAS6" s="27" t="str">
        <f>IFERROR(VLOOKUP(DATE($K$1,$K$2,MAS$4),Table1[],(MATCH(Calendar!$A6,DB!1:1,0)+2),FALSE),"")</f>
        <v/>
      </c>
      <c r="MAT6" s="27" t="str">
        <f>IFERROR(VLOOKUP(DATE($K$1,$K$2,MAT$4),Table1[],(MATCH(Calendar!$A6,DB!1:1,0)+2),FALSE),"")</f>
        <v/>
      </c>
      <c r="MAU6" s="27" t="str">
        <f>IFERROR(VLOOKUP(DATE($K$1,$K$2,MAU$4),Table1[],(MATCH(Calendar!$A6,DB!1:1,0)+2),FALSE),"")</f>
        <v/>
      </c>
      <c r="MAV6" s="27" t="str">
        <f>IFERROR(VLOOKUP(DATE($K$1,$K$2,MAV$4),Table1[],(MATCH(Calendar!$A6,DB!1:1,0)+2),FALSE),"")</f>
        <v/>
      </c>
      <c r="MAW6" s="27" t="str">
        <f>IFERROR(VLOOKUP(DATE($K$1,$K$2,MAW$4),Table1[],(MATCH(Calendar!$A6,DB!1:1,0)+2),FALSE),"")</f>
        <v/>
      </c>
      <c r="MAX6" s="27" t="str">
        <f>IFERROR(VLOOKUP(DATE($K$1,$K$2,MAX$4),Table1[],(MATCH(Calendar!$A6,DB!1:1,0)+2),FALSE),"")</f>
        <v/>
      </c>
      <c r="MAY6" s="27" t="str">
        <f>IFERROR(VLOOKUP(DATE($K$1,$K$2,MAY$4),Table1[],(MATCH(Calendar!$A6,DB!1:1,0)+2),FALSE),"")</f>
        <v/>
      </c>
      <c r="MAZ6" s="27" t="str">
        <f>IFERROR(VLOOKUP(DATE($K$1,$K$2,MAZ$4),Table1[],(MATCH(Calendar!$A6,DB!1:1,0)+2),FALSE),"")</f>
        <v/>
      </c>
      <c r="MBA6" s="27" t="str">
        <f>IFERROR(VLOOKUP(DATE($K$1,$K$2,MBA$4),Table1[],(MATCH(Calendar!$A6,DB!1:1,0)+2),FALSE),"")</f>
        <v/>
      </c>
      <c r="MBB6" s="27" t="str">
        <f>IFERROR(VLOOKUP(DATE($K$1,$K$2,MBB$4),Table1[],(MATCH(Calendar!$A6,DB!1:1,0)+2),FALSE),"")</f>
        <v/>
      </c>
      <c r="MBC6" s="27" t="str">
        <f>IFERROR(VLOOKUP(DATE($K$1,$K$2,MBC$4),Table1[],(MATCH(Calendar!$A6,DB!1:1,0)+2),FALSE),"")</f>
        <v/>
      </c>
      <c r="MBD6" s="27" t="str">
        <f>IFERROR(VLOOKUP(DATE($K$1,$K$2,MBD$4),Table1[],(MATCH(Calendar!$A6,DB!1:1,0)+2),FALSE),"")</f>
        <v/>
      </c>
      <c r="MBE6" s="27" t="str">
        <f>IFERROR(VLOOKUP(DATE($K$1,$K$2,MBE$4),Table1[],(MATCH(Calendar!$A6,DB!1:1,0)+2),FALSE),"")</f>
        <v/>
      </c>
      <c r="MBF6" s="27" t="str">
        <f>IFERROR(VLOOKUP(DATE($K$1,$K$2,MBF$4),Table1[],(MATCH(Calendar!$A6,DB!1:1,0)+2),FALSE),"")</f>
        <v/>
      </c>
      <c r="MBG6" s="27" t="str">
        <f>IFERROR(VLOOKUP(DATE($K$1,$K$2,MBG$4),Table1[],(MATCH(Calendar!$A6,DB!1:1,0)+2),FALSE),"")</f>
        <v/>
      </c>
      <c r="MBH6" s="27" t="str">
        <f>IFERROR(VLOOKUP(DATE($K$1,$K$2,MBH$4),Table1[],(MATCH(Calendar!$A6,DB!1:1,0)+2),FALSE),"")</f>
        <v/>
      </c>
      <c r="MBI6" s="27" t="str">
        <f>IFERROR(VLOOKUP(DATE($K$1,$K$2,MBI$4),Table1[],(MATCH(Calendar!$A6,DB!1:1,0)+2),FALSE),"")</f>
        <v/>
      </c>
      <c r="MBJ6" s="27" t="str">
        <f>IFERROR(VLOOKUP(DATE($K$1,$K$2,MBJ$4),Table1[],(MATCH(Calendar!$A6,DB!1:1,0)+2),FALSE),"")</f>
        <v/>
      </c>
      <c r="MBK6" s="27" t="str">
        <f>IFERROR(VLOOKUP(DATE($K$1,$K$2,MBK$4),Table1[],(MATCH(Calendar!$A6,DB!1:1,0)+2),FALSE),"")</f>
        <v/>
      </c>
      <c r="MBL6" s="27" t="str">
        <f>IFERROR(VLOOKUP(DATE($K$1,$K$2,MBL$4),Table1[],(MATCH(Calendar!$A6,DB!1:1,0)+2),FALSE),"")</f>
        <v/>
      </c>
      <c r="MBM6" s="27" t="str">
        <f>IFERROR(VLOOKUP(DATE($K$1,$K$2,MBM$4),Table1[],(MATCH(Calendar!$A6,DB!1:1,0)+2),FALSE),"")</f>
        <v/>
      </c>
      <c r="MBN6" s="27" t="str">
        <f>IFERROR(VLOOKUP(DATE($K$1,$K$2,MBN$4),Table1[],(MATCH(Calendar!$A6,DB!1:1,0)+2),FALSE),"")</f>
        <v/>
      </c>
      <c r="MBO6" s="27" t="str">
        <f>IFERROR(VLOOKUP(DATE($K$1,$K$2,MBO$4),Table1[],(MATCH(Calendar!$A6,DB!1:1,0)+2),FALSE),"")</f>
        <v/>
      </c>
      <c r="MBP6" s="27" t="str">
        <f>IFERROR(VLOOKUP(DATE($K$1,$K$2,MBP$4),Table1[],(MATCH(Calendar!$A6,DB!1:1,0)+2),FALSE),"")</f>
        <v/>
      </c>
      <c r="MBQ6" s="27" t="str">
        <f>IFERROR(VLOOKUP(DATE($K$1,$K$2,MBQ$4),Table1[],(MATCH(Calendar!$A6,DB!1:1,0)+2),FALSE),"")</f>
        <v/>
      </c>
      <c r="MBR6" s="27" t="str">
        <f>IFERROR(VLOOKUP(DATE($K$1,$K$2,MBR$4),Table1[],(MATCH(Calendar!$A6,DB!1:1,0)+2),FALSE),"")</f>
        <v/>
      </c>
      <c r="MBS6" s="27" t="str">
        <f>IFERROR(VLOOKUP(DATE($K$1,$K$2,MBS$4),Table1[],(MATCH(Calendar!$A6,DB!1:1,0)+2),FALSE),"")</f>
        <v/>
      </c>
      <c r="MBT6" s="27" t="str">
        <f>IFERROR(VLOOKUP(DATE($K$1,$K$2,MBT$4),Table1[],(MATCH(Calendar!$A6,DB!1:1,0)+2),FALSE),"")</f>
        <v/>
      </c>
      <c r="MBU6" s="27" t="str">
        <f>IFERROR(VLOOKUP(DATE($K$1,$K$2,MBU$4),Table1[],(MATCH(Calendar!$A6,DB!1:1,0)+2),FALSE),"")</f>
        <v/>
      </c>
      <c r="MBV6" s="27" t="str">
        <f>IFERROR(VLOOKUP(DATE($K$1,$K$2,MBV$4),Table1[],(MATCH(Calendar!$A6,DB!1:1,0)+2),FALSE),"")</f>
        <v/>
      </c>
      <c r="MBW6" s="27" t="str">
        <f>IFERROR(VLOOKUP(DATE($K$1,$K$2,MBW$4),Table1[],(MATCH(Calendar!$A6,DB!1:1,0)+2),FALSE),"")</f>
        <v/>
      </c>
      <c r="MBX6" s="27" t="str">
        <f>IFERROR(VLOOKUP(DATE($K$1,$K$2,MBX$4),Table1[],(MATCH(Calendar!$A6,DB!1:1,0)+2),FALSE),"")</f>
        <v/>
      </c>
      <c r="MBY6" s="27" t="str">
        <f>IFERROR(VLOOKUP(DATE($K$1,$K$2,MBY$4),Table1[],(MATCH(Calendar!$A6,DB!1:1,0)+2),FALSE),"")</f>
        <v/>
      </c>
      <c r="MBZ6" s="27" t="str">
        <f>IFERROR(VLOOKUP(DATE($K$1,$K$2,MBZ$4),Table1[],(MATCH(Calendar!$A6,DB!1:1,0)+2),FALSE),"")</f>
        <v/>
      </c>
      <c r="MCA6" s="27" t="str">
        <f>IFERROR(VLOOKUP(DATE($K$1,$K$2,MCA$4),Table1[],(MATCH(Calendar!$A6,DB!1:1,0)+2),FALSE),"")</f>
        <v/>
      </c>
      <c r="MCB6" s="27" t="str">
        <f>IFERROR(VLOOKUP(DATE($K$1,$K$2,MCB$4),Table1[],(MATCH(Calendar!$A6,DB!1:1,0)+2),FALSE),"")</f>
        <v/>
      </c>
      <c r="MCC6" s="27" t="str">
        <f>IFERROR(VLOOKUP(DATE($K$1,$K$2,MCC$4),Table1[],(MATCH(Calendar!$A6,DB!1:1,0)+2),FALSE),"")</f>
        <v/>
      </c>
      <c r="MCD6" s="27" t="str">
        <f>IFERROR(VLOOKUP(DATE($K$1,$K$2,MCD$4),Table1[],(MATCH(Calendar!$A6,DB!1:1,0)+2),FALSE),"")</f>
        <v/>
      </c>
      <c r="MCE6" s="27" t="str">
        <f>IFERROR(VLOOKUP(DATE($K$1,$K$2,MCE$4),Table1[],(MATCH(Calendar!$A6,DB!1:1,0)+2),FALSE),"")</f>
        <v/>
      </c>
      <c r="MCF6" s="27" t="str">
        <f>IFERROR(VLOOKUP(DATE($K$1,$K$2,MCF$4),Table1[],(MATCH(Calendar!$A6,DB!1:1,0)+2),FALSE),"")</f>
        <v/>
      </c>
      <c r="MCG6" s="27" t="str">
        <f>IFERROR(VLOOKUP(DATE($K$1,$K$2,MCG$4),Table1[],(MATCH(Calendar!$A6,DB!1:1,0)+2),FALSE),"")</f>
        <v/>
      </c>
      <c r="MCH6" s="27" t="str">
        <f>IFERROR(VLOOKUP(DATE($K$1,$K$2,MCH$4),Table1[],(MATCH(Calendar!$A6,DB!1:1,0)+2),FALSE),"")</f>
        <v/>
      </c>
      <c r="MCI6" s="27" t="str">
        <f>IFERROR(VLOOKUP(DATE($K$1,$K$2,MCI$4),Table1[],(MATCH(Calendar!$A6,DB!1:1,0)+2),FALSE),"")</f>
        <v/>
      </c>
      <c r="MCJ6" s="27" t="str">
        <f>IFERROR(VLOOKUP(DATE($K$1,$K$2,MCJ$4),Table1[],(MATCH(Calendar!$A6,DB!1:1,0)+2),FALSE),"")</f>
        <v/>
      </c>
      <c r="MCK6" s="27" t="str">
        <f>IFERROR(VLOOKUP(DATE($K$1,$K$2,MCK$4),Table1[],(MATCH(Calendar!$A6,DB!1:1,0)+2),FALSE),"")</f>
        <v/>
      </c>
      <c r="MCL6" s="27" t="str">
        <f>IFERROR(VLOOKUP(DATE($K$1,$K$2,MCL$4),Table1[],(MATCH(Calendar!$A6,DB!1:1,0)+2),FALSE),"")</f>
        <v/>
      </c>
      <c r="MCM6" s="27" t="str">
        <f>IFERROR(VLOOKUP(DATE($K$1,$K$2,MCM$4),Table1[],(MATCH(Calendar!$A6,DB!1:1,0)+2),FALSE),"")</f>
        <v/>
      </c>
      <c r="MCN6" s="27" t="str">
        <f>IFERROR(VLOOKUP(DATE($K$1,$K$2,MCN$4),Table1[],(MATCH(Calendar!$A6,DB!1:1,0)+2),FALSE),"")</f>
        <v/>
      </c>
      <c r="MCO6" s="27" t="str">
        <f>IFERROR(VLOOKUP(DATE($K$1,$K$2,MCO$4),Table1[],(MATCH(Calendar!$A6,DB!1:1,0)+2),FALSE),"")</f>
        <v/>
      </c>
      <c r="MCP6" s="27" t="str">
        <f>IFERROR(VLOOKUP(DATE($K$1,$K$2,MCP$4),Table1[],(MATCH(Calendar!$A6,DB!1:1,0)+2),FALSE),"")</f>
        <v/>
      </c>
      <c r="MCQ6" s="27" t="str">
        <f>IFERROR(VLOOKUP(DATE($K$1,$K$2,MCQ$4),Table1[],(MATCH(Calendar!$A6,DB!1:1,0)+2),FALSE),"")</f>
        <v/>
      </c>
      <c r="MCR6" s="27" t="str">
        <f>IFERROR(VLOOKUP(DATE($K$1,$K$2,MCR$4),Table1[],(MATCH(Calendar!$A6,DB!1:1,0)+2),FALSE),"")</f>
        <v/>
      </c>
      <c r="MCS6" s="27" t="str">
        <f>IFERROR(VLOOKUP(DATE($K$1,$K$2,MCS$4),Table1[],(MATCH(Calendar!$A6,DB!1:1,0)+2),FALSE),"")</f>
        <v/>
      </c>
      <c r="MCT6" s="27" t="str">
        <f>IFERROR(VLOOKUP(DATE($K$1,$K$2,MCT$4),Table1[],(MATCH(Calendar!$A6,DB!1:1,0)+2),FALSE),"")</f>
        <v/>
      </c>
      <c r="MCU6" s="27" t="str">
        <f>IFERROR(VLOOKUP(DATE($K$1,$K$2,MCU$4),Table1[],(MATCH(Calendar!$A6,DB!1:1,0)+2),FALSE),"")</f>
        <v/>
      </c>
      <c r="MCV6" s="27" t="str">
        <f>IFERROR(VLOOKUP(DATE($K$1,$K$2,MCV$4),Table1[],(MATCH(Calendar!$A6,DB!1:1,0)+2),FALSE),"")</f>
        <v/>
      </c>
      <c r="MCW6" s="27" t="str">
        <f>IFERROR(VLOOKUP(DATE($K$1,$K$2,MCW$4),Table1[],(MATCH(Calendar!$A6,DB!1:1,0)+2),FALSE),"")</f>
        <v/>
      </c>
      <c r="MCX6" s="27" t="str">
        <f>IFERROR(VLOOKUP(DATE($K$1,$K$2,MCX$4),Table1[],(MATCH(Calendar!$A6,DB!1:1,0)+2),FALSE),"")</f>
        <v/>
      </c>
      <c r="MCY6" s="27" t="str">
        <f>IFERROR(VLOOKUP(DATE($K$1,$K$2,MCY$4),Table1[],(MATCH(Calendar!$A6,DB!1:1,0)+2),FALSE),"")</f>
        <v/>
      </c>
      <c r="MCZ6" s="27" t="str">
        <f>IFERROR(VLOOKUP(DATE($K$1,$K$2,MCZ$4),Table1[],(MATCH(Calendar!$A6,DB!1:1,0)+2),FALSE),"")</f>
        <v/>
      </c>
      <c r="MDA6" s="27" t="str">
        <f>IFERROR(VLOOKUP(DATE($K$1,$K$2,MDA$4),Table1[],(MATCH(Calendar!$A6,DB!1:1,0)+2),FALSE),"")</f>
        <v/>
      </c>
      <c r="MDB6" s="27" t="str">
        <f>IFERROR(VLOOKUP(DATE($K$1,$K$2,MDB$4),Table1[],(MATCH(Calendar!$A6,DB!1:1,0)+2),FALSE),"")</f>
        <v/>
      </c>
      <c r="MDC6" s="27" t="str">
        <f>IFERROR(VLOOKUP(DATE($K$1,$K$2,MDC$4),Table1[],(MATCH(Calendar!$A6,DB!1:1,0)+2),FALSE),"")</f>
        <v/>
      </c>
      <c r="MDD6" s="27" t="str">
        <f>IFERROR(VLOOKUP(DATE($K$1,$K$2,MDD$4),Table1[],(MATCH(Calendar!$A6,DB!1:1,0)+2),FALSE),"")</f>
        <v/>
      </c>
      <c r="MDE6" s="27" t="str">
        <f>IFERROR(VLOOKUP(DATE($K$1,$K$2,MDE$4),Table1[],(MATCH(Calendar!$A6,DB!1:1,0)+2),FALSE),"")</f>
        <v/>
      </c>
      <c r="MDF6" s="27" t="str">
        <f>IFERROR(VLOOKUP(DATE($K$1,$K$2,MDF$4),Table1[],(MATCH(Calendar!$A6,DB!1:1,0)+2),FALSE),"")</f>
        <v/>
      </c>
      <c r="MDG6" s="27" t="str">
        <f>IFERROR(VLOOKUP(DATE($K$1,$K$2,MDG$4),Table1[],(MATCH(Calendar!$A6,DB!1:1,0)+2),FALSE),"")</f>
        <v/>
      </c>
      <c r="MDH6" s="27" t="str">
        <f>IFERROR(VLOOKUP(DATE($K$1,$K$2,MDH$4),Table1[],(MATCH(Calendar!$A6,DB!1:1,0)+2),FALSE),"")</f>
        <v/>
      </c>
      <c r="MDI6" s="27" t="str">
        <f>IFERROR(VLOOKUP(DATE($K$1,$K$2,MDI$4),Table1[],(MATCH(Calendar!$A6,DB!1:1,0)+2),FALSE),"")</f>
        <v/>
      </c>
      <c r="MDJ6" s="27" t="str">
        <f>IFERROR(VLOOKUP(DATE($K$1,$K$2,MDJ$4),Table1[],(MATCH(Calendar!$A6,DB!1:1,0)+2),FALSE),"")</f>
        <v/>
      </c>
      <c r="MDK6" s="27" t="str">
        <f>IFERROR(VLOOKUP(DATE($K$1,$K$2,MDK$4),Table1[],(MATCH(Calendar!$A6,DB!1:1,0)+2),FALSE),"")</f>
        <v/>
      </c>
      <c r="MDL6" s="27" t="str">
        <f>IFERROR(VLOOKUP(DATE($K$1,$K$2,MDL$4),Table1[],(MATCH(Calendar!$A6,DB!1:1,0)+2),FALSE),"")</f>
        <v/>
      </c>
      <c r="MDM6" s="27" t="str">
        <f>IFERROR(VLOOKUP(DATE($K$1,$K$2,MDM$4),Table1[],(MATCH(Calendar!$A6,DB!1:1,0)+2),FALSE),"")</f>
        <v/>
      </c>
      <c r="MDN6" s="27" t="str">
        <f>IFERROR(VLOOKUP(DATE($K$1,$K$2,MDN$4),Table1[],(MATCH(Calendar!$A6,DB!1:1,0)+2),FALSE),"")</f>
        <v/>
      </c>
      <c r="MDO6" s="27" t="str">
        <f>IFERROR(VLOOKUP(DATE($K$1,$K$2,MDO$4),Table1[],(MATCH(Calendar!$A6,DB!1:1,0)+2),FALSE),"")</f>
        <v/>
      </c>
      <c r="MDP6" s="27" t="str">
        <f>IFERROR(VLOOKUP(DATE($K$1,$K$2,MDP$4),Table1[],(MATCH(Calendar!$A6,DB!1:1,0)+2),FALSE),"")</f>
        <v/>
      </c>
      <c r="MDQ6" s="27" t="str">
        <f>IFERROR(VLOOKUP(DATE($K$1,$K$2,MDQ$4),Table1[],(MATCH(Calendar!$A6,DB!1:1,0)+2),FALSE),"")</f>
        <v/>
      </c>
      <c r="MDR6" s="27" t="str">
        <f>IFERROR(VLOOKUP(DATE($K$1,$K$2,MDR$4),Table1[],(MATCH(Calendar!$A6,DB!1:1,0)+2),FALSE),"")</f>
        <v/>
      </c>
      <c r="MDS6" s="27" t="str">
        <f>IFERROR(VLOOKUP(DATE($K$1,$K$2,MDS$4),Table1[],(MATCH(Calendar!$A6,DB!1:1,0)+2),FALSE),"")</f>
        <v/>
      </c>
      <c r="MDT6" s="27" t="str">
        <f>IFERROR(VLOOKUP(DATE($K$1,$K$2,MDT$4),Table1[],(MATCH(Calendar!$A6,DB!1:1,0)+2),FALSE),"")</f>
        <v/>
      </c>
      <c r="MDU6" s="27" t="str">
        <f>IFERROR(VLOOKUP(DATE($K$1,$K$2,MDU$4),Table1[],(MATCH(Calendar!$A6,DB!1:1,0)+2),FALSE),"")</f>
        <v/>
      </c>
      <c r="MDV6" s="27" t="str">
        <f>IFERROR(VLOOKUP(DATE($K$1,$K$2,MDV$4),Table1[],(MATCH(Calendar!$A6,DB!1:1,0)+2),FALSE),"")</f>
        <v/>
      </c>
      <c r="MDW6" s="27" t="str">
        <f>IFERROR(VLOOKUP(DATE($K$1,$K$2,MDW$4),Table1[],(MATCH(Calendar!$A6,DB!1:1,0)+2),FALSE),"")</f>
        <v/>
      </c>
      <c r="MDX6" s="27" t="str">
        <f>IFERROR(VLOOKUP(DATE($K$1,$K$2,MDX$4),Table1[],(MATCH(Calendar!$A6,DB!1:1,0)+2),FALSE),"")</f>
        <v/>
      </c>
      <c r="MDY6" s="27" t="str">
        <f>IFERROR(VLOOKUP(DATE($K$1,$K$2,MDY$4),Table1[],(MATCH(Calendar!$A6,DB!1:1,0)+2),FALSE),"")</f>
        <v/>
      </c>
      <c r="MDZ6" s="27" t="str">
        <f>IFERROR(VLOOKUP(DATE($K$1,$K$2,MDZ$4),Table1[],(MATCH(Calendar!$A6,DB!1:1,0)+2),FALSE),"")</f>
        <v/>
      </c>
      <c r="MEA6" s="27" t="str">
        <f>IFERROR(VLOOKUP(DATE($K$1,$K$2,MEA$4),Table1[],(MATCH(Calendar!$A6,DB!1:1,0)+2),FALSE),"")</f>
        <v/>
      </c>
      <c r="MEB6" s="27" t="str">
        <f>IFERROR(VLOOKUP(DATE($K$1,$K$2,MEB$4),Table1[],(MATCH(Calendar!$A6,DB!1:1,0)+2),FALSE),"")</f>
        <v/>
      </c>
      <c r="MEC6" s="27" t="str">
        <f>IFERROR(VLOOKUP(DATE($K$1,$K$2,MEC$4),Table1[],(MATCH(Calendar!$A6,DB!1:1,0)+2),FALSE),"")</f>
        <v/>
      </c>
      <c r="MED6" s="27" t="str">
        <f>IFERROR(VLOOKUP(DATE($K$1,$K$2,MED$4),Table1[],(MATCH(Calendar!$A6,DB!1:1,0)+2),FALSE),"")</f>
        <v/>
      </c>
      <c r="MEE6" s="27" t="str">
        <f>IFERROR(VLOOKUP(DATE($K$1,$K$2,MEE$4),Table1[],(MATCH(Calendar!$A6,DB!1:1,0)+2),FALSE),"")</f>
        <v/>
      </c>
      <c r="MEF6" s="27" t="str">
        <f>IFERROR(VLOOKUP(DATE($K$1,$K$2,MEF$4),Table1[],(MATCH(Calendar!$A6,DB!1:1,0)+2),FALSE),"")</f>
        <v/>
      </c>
      <c r="MEG6" s="27" t="str">
        <f>IFERROR(VLOOKUP(DATE($K$1,$K$2,MEG$4),Table1[],(MATCH(Calendar!$A6,DB!1:1,0)+2),FALSE),"")</f>
        <v/>
      </c>
      <c r="MEH6" s="27" t="str">
        <f>IFERROR(VLOOKUP(DATE($K$1,$K$2,MEH$4),Table1[],(MATCH(Calendar!$A6,DB!1:1,0)+2),FALSE),"")</f>
        <v/>
      </c>
      <c r="MEI6" s="27" t="str">
        <f>IFERROR(VLOOKUP(DATE($K$1,$K$2,MEI$4),Table1[],(MATCH(Calendar!$A6,DB!1:1,0)+2),FALSE),"")</f>
        <v/>
      </c>
      <c r="MEJ6" s="27" t="str">
        <f>IFERROR(VLOOKUP(DATE($K$1,$K$2,MEJ$4),Table1[],(MATCH(Calendar!$A6,DB!1:1,0)+2),FALSE),"")</f>
        <v/>
      </c>
      <c r="MEK6" s="27" t="str">
        <f>IFERROR(VLOOKUP(DATE($K$1,$K$2,MEK$4),Table1[],(MATCH(Calendar!$A6,DB!1:1,0)+2),FALSE),"")</f>
        <v/>
      </c>
      <c r="MEL6" s="27" t="str">
        <f>IFERROR(VLOOKUP(DATE($K$1,$K$2,MEL$4),Table1[],(MATCH(Calendar!$A6,DB!1:1,0)+2),FALSE),"")</f>
        <v/>
      </c>
      <c r="MEM6" s="27" t="str">
        <f>IFERROR(VLOOKUP(DATE($K$1,$K$2,MEM$4),Table1[],(MATCH(Calendar!$A6,DB!1:1,0)+2),FALSE),"")</f>
        <v/>
      </c>
      <c r="MEN6" s="27" t="str">
        <f>IFERROR(VLOOKUP(DATE($K$1,$K$2,MEN$4),Table1[],(MATCH(Calendar!$A6,DB!1:1,0)+2),FALSE),"")</f>
        <v/>
      </c>
      <c r="MEO6" s="27" t="str">
        <f>IFERROR(VLOOKUP(DATE($K$1,$K$2,MEO$4),Table1[],(MATCH(Calendar!$A6,DB!1:1,0)+2),FALSE),"")</f>
        <v/>
      </c>
      <c r="MEP6" s="27" t="str">
        <f>IFERROR(VLOOKUP(DATE($K$1,$K$2,MEP$4),Table1[],(MATCH(Calendar!$A6,DB!1:1,0)+2),FALSE),"")</f>
        <v/>
      </c>
      <c r="MEQ6" s="27" t="str">
        <f>IFERROR(VLOOKUP(DATE($K$1,$K$2,MEQ$4),Table1[],(MATCH(Calendar!$A6,DB!1:1,0)+2),FALSE),"")</f>
        <v/>
      </c>
      <c r="MER6" s="27" t="str">
        <f>IFERROR(VLOOKUP(DATE($K$1,$K$2,MER$4),Table1[],(MATCH(Calendar!$A6,DB!1:1,0)+2),FALSE),"")</f>
        <v/>
      </c>
      <c r="MES6" s="27" t="str">
        <f>IFERROR(VLOOKUP(DATE($K$1,$K$2,MES$4),Table1[],(MATCH(Calendar!$A6,DB!1:1,0)+2),FALSE),"")</f>
        <v/>
      </c>
      <c r="MET6" s="27" t="str">
        <f>IFERROR(VLOOKUP(DATE($K$1,$K$2,MET$4),Table1[],(MATCH(Calendar!$A6,DB!1:1,0)+2),FALSE),"")</f>
        <v/>
      </c>
      <c r="MEU6" s="27" t="str">
        <f>IFERROR(VLOOKUP(DATE($K$1,$K$2,MEU$4),Table1[],(MATCH(Calendar!$A6,DB!1:1,0)+2),FALSE),"")</f>
        <v/>
      </c>
      <c r="MEV6" s="27" t="str">
        <f>IFERROR(VLOOKUP(DATE($K$1,$K$2,MEV$4),Table1[],(MATCH(Calendar!$A6,DB!1:1,0)+2),FALSE),"")</f>
        <v/>
      </c>
      <c r="MEW6" s="27" t="str">
        <f>IFERROR(VLOOKUP(DATE($K$1,$K$2,MEW$4),Table1[],(MATCH(Calendar!$A6,DB!1:1,0)+2),FALSE),"")</f>
        <v/>
      </c>
      <c r="MEX6" s="27" t="str">
        <f>IFERROR(VLOOKUP(DATE($K$1,$K$2,MEX$4),Table1[],(MATCH(Calendar!$A6,DB!1:1,0)+2),FALSE),"")</f>
        <v/>
      </c>
      <c r="MEY6" s="27" t="str">
        <f>IFERROR(VLOOKUP(DATE($K$1,$K$2,MEY$4),Table1[],(MATCH(Calendar!$A6,DB!1:1,0)+2),FALSE),"")</f>
        <v/>
      </c>
      <c r="MEZ6" s="27" t="str">
        <f>IFERROR(VLOOKUP(DATE($K$1,$K$2,MEZ$4),Table1[],(MATCH(Calendar!$A6,DB!1:1,0)+2),FALSE),"")</f>
        <v/>
      </c>
      <c r="MFA6" s="27" t="str">
        <f>IFERROR(VLOOKUP(DATE($K$1,$K$2,MFA$4),Table1[],(MATCH(Calendar!$A6,DB!1:1,0)+2),FALSE),"")</f>
        <v/>
      </c>
      <c r="MFB6" s="27" t="str">
        <f>IFERROR(VLOOKUP(DATE($K$1,$K$2,MFB$4),Table1[],(MATCH(Calendar!$A6,DB!1:1,0)+2),FALSE),"")</f>
        <v/>
      </c>
      <c r="MFC6" s="27" t="str">
        <f>IFERROR(VLOOKUP(DATE($K$1,$K$2,MFC$4),Table1[],(MATCH(Calendar!$A6,DB!1:1,0)+2),FALSE),"")</f>
        <v/>
      </c>
      <c r="MFD6" s="27" t="str">
        <f>IFERROR(VLOOKUP(DATE($K$1,$K$2,MFD$4),Table1[],(MATCH(Calendar!$A6,DB!1:1,0)+2),FALSE),"")</f>
        <v/>
      </c>
      <c r="MFE6" s="27" t="str">
        <f>IFERROR(VLOOKUP(DATE($K$1,$K$2,MFE$4),Table1[],(MATCH(Calendar!$A6,DB!1:1,0)+2),FALSE),"")</f>
        <v/>
      </c>
      <c r="MFF6" s="27" t="str">
        <f>IFERROR(VLOOKUP(DATE($K$1,$K$2,MFF$4),Table1[],(MATCH(Calendar!$A6,DB!1:1,0)+2),FALSE),"")</f>
        <v/>
      </c>
      <c r="MFG6" s="27" t="str">
        <f>IFERROR(VLOOKUP(DATE($K$1,$K$2,MFG$4),Table1[],(MATCH(Calendar!$A6,DB!1:1,0)+2),FALSE),"")</f>
        <v/>
      </c>
      <c r="MFH6" s="27" t="str">
        <f>IFERROR(VLOOKUP(DATE($K$1,$K$2,MFH$4),Table1[],(MATCH(Calendar!$A6,DB!1:1,0)+2),FALSE),"")</f>
        <v/>
      </c>
      <c r="MFI6" s="27" t="str">
        <f>IFERROR(VLOOKUP(DATE($K$1,$K$2,MFI$4),Table1[],(MATCH(Calendar!$A6,DB!1:1,0)+2),FALSE),"")</f>
        <v/>
      </c>
      <c r="MFJ6" s="27" t="str">
        <f>IFERROR(VLOOKUP(DATE($K$1,$K$2,MFJ$4),Table1[],(MATCH(Calendar!$A6,DB!1:1,0)+2),FALSE),"")</f>
        <v/>
      </c>
      <c r="MFK6" s="27" t="str">
        <f>IFERROR(VLOOKUP(DATE($K$1,$K$2,MFK$4),Table1[],(MATCH(Calendar!$A6,DB!1:1,0)+2),FALSE),"")</f>
        <v/>
      </c>
      <c r="MFL6" s="27" t="str">
        <f>IFERROR(VLOOKUP(DATE($K$1,$K$2,MFL$4),Table1[],(MATCH(Calendar!$A6,DB!1:1,0)+2),FALSE),"")</f>
        <v/>
      </c>
      <c r="MFM6" s="27" t="str">
        <f>IFERROR(VLOOKUP(DATE($K$1,$K$2,MFM$4),Table1[],(MATCH(Calendar!$A6,DB!1:1,0)+2),FALSE),"")</f>
        <v/>
      </c>
      <c r="MFN6" s="27" t="str">
        <f>IFERROR(VLOOKUP(DATE($K$1,$K$2,MFN$4),Table1[],(MATCH(Calendar!$A6,DB!1:1,0)+2),FALSE),"")</f>
        <v/>
      </c>
      <c r="MFO6" s="27" t="str">
        <f>IFERROR(VLOOKUP(DATE($K$1,$K$2,MFO$4),Table1[],(MATCH(Calendar!$A6,DB!1:1,0)+2),FALSE),"")</f>
        <v/>
      </c>
      <c r="MFP6" s="27" t="str">
        <f>IFERROR(VLOOKUP(DATE($K$1,$K$2,MFP$4),Table1[],(MATCH(Calendar!$A6,DB!1:1,0)+2),FALSE),"")</f>
        <v/>
      </c>
      <c r="MFQ6" s="27" t="str">
        <f>IFERROR(VLOOKUP(DATE($K$1,$K$2,MFQ$4),Table1[],(MATCH(Calendar!$A6,DB!1:1,0)+2),FALSE),"")</f>
        <v/>
      </c>
      <c r="MFR6" s="27" t="str">
        <f>IFERROR(VLOOKUP(DATE($K$1,$K$2,MFR$4),Table1[],(MATCH(Calendar!$A6,DB!1:1,0)+2),FALSE),"")</f>
        <v/>
      </c>
      <c r="MFS6" s="27" t="str">
        <f>IFERROR(VLOOKUP(DATE($K$1,$K$2,MFS$4),Table1[],(MATCH(Calendar!$A6,DB!1:1,0)+2),FALSE),"")</f>
        <v/>
      </c>
      <c r="MFT6" s="27" t="str">
        <f>IFERROR(VLOOKUP(DATE($K$1,$K$2,MFT$4),Table1[],(MATCH(Calendar!$A6,DB!1:1,0)+2),FALSE),"")</f>
        <v/>
      </c>
      <c r="MFU6" s="27" t="str">
        <f>IFERROR(VLOOKUP(DATE($K$1,$K$2,MFU$4),Table1[],(MATCH(Calendar!$A6,DB!1:1,0)+2),FALSE),"")</f>
        <v/>
      </c>
      <c r="MFV6" s="27" t="str">
        <f>IFERROR(VLOOKUP(DATE($K$1,$K$2,MFV$4),Table1[],(MATCH(Calendar!$A6,DB!1:1,0)+2),FALSE),"")</f>
        <v/>
      </c>
      <c r="MFW6" s="27" t="str">
        <f>IFERROR(VLOOKUP(DATE($K$1,$K$2,MFW$4),Table1[],(MATCH(Calendar!$A6,DB!1:1,0)+2),FALSE),"")</f>
        <v/>
      </c>
      <c r="MFX6" s="27" t="str">
        <f>IFERROR(VLOOKUP(DATE($K$1,$K$2,MFX$4),Table1[],(MATCH(Calendar!$A6,DB!1:1,0)+2),FALSE),"")</f>
        <v/>
      </c>
      <c r="MFY6" s="27" t="str">
        <f>IFERROR(VLOOKUP(DATE($K$1,$K$2,MFY$4),Table1[],(MATCH(Calendar!$A6,DB!1:1,0)+2),FALSE),"")</f>
        <v/>
      </c>
      <c r="MFZ6" s="27" t="str">
        <f>IFERROR(VLOOKUP(DATE($K$1,$K$2,MFZ$4),Table1[],(MATCH(Calendar!$A6,DB!1:1,0)+2),FALSE),"")</f>
        <v/>
      </c>
      <c r="MGA6" s="27" t="str">
        <f>IFERROR(VLOOKUP(DATE($K$1,$K$2,MGA$4),Table1[],(MATCH(Calendar!$A6,DB!1:1,0)+2),FALSE),"")</f>
        <v/>
      </c>
      <c r="MGB6" s="27" t="str">
        <f>IFERROR(VLOOKUP(DATE($K$1,$K$2,MGB$4),Table1[],(MATCH(Calendar!$A6,DB!1:1,0)+2),FALSE),"")</f>
        <v/>
      </c>
      <c r="MGC6" s="27" t="str">
        <f>IFERROR(VLOOKUP(DATE($K$1,$K$2,MGC$4),Table1[],(MATCH(Calendar!$A6,DB!1:1,0)+2),FALSE),"")</f>
        <v/>
      </c>
      <c r="MGD6" s="27" t="str">
        <f>IFERROR(VLOOKUP(DATE($K$1,$K$2,MGD$4),Table1[],(MATCH(Calendar!$A6,DB!1:1,0)+2),FALSE),"")</f>
        <v/>
      </c>
      <c r="MGE6" s="27" t="str">
        <f>IFERROR(VLOOKUP(DATE($K$1,$K$2,MGE$4),Table1[],(MATCH(Calendar!$A6,DB!1:1,0)+2),FALSE),"")</f>
        <v/>
      </c>
      <c r="MGF6" s="27" t="str">
        <f>IFERROR(VLOOKUP(DATE($K$1,$K$2,MGF$4),Table1[],(MATCH(Calendar!$A6,DB!1:1,0)+2),FALSE),"")</f>
        <v/>
      </c>
      <c r="MGG6" s="27" t="str">
        <f>IFERROR(VLOOKUP(DATE($K$1,$K$2,MGG$4),Table1[],(MATCH(Calendar!$A6,DB!1:1,0)+2),FALSE),"")</f>
        <v/>
      </c>
      <c r="MGH6" s="27" t="str">
        <f>IFERROR(VLOOKUP(DATE($K$1,$K$2,MGH$4),Table1[],(MATCH(Calendar!$A6,DB!1:1,0)+2),FALSE),"")</f>
        <v/>
      </c>
      <c r="MGI6" s="27" t="str">
        <f>IFERROR(VLOOKUP(DATE($K$1,$K$2,MGI$4),Table1[],(MATCH(Calendar!$A6,DB!1:1,0)+2),FALSE),"")</f>
        <v/>
      </c>
      <c r="MGJ6" s="27" t="str">
        <f>IFERROR(VLOOKUP(DATE($K$1,$K$2,MGJ$4),Table1[],(MATCH(Calendar!$A6,DB!1:1,0)+2),FALSE),"")</f>
        <v/>
      </c>
      <c r="MGK6" s="27" t="str">
        <f>IFERROR(VLOOKUP(DATE($K$1,$K$2,MGK$4),Table1[],(MATCH(Calendar!$A6,DB!1:1,0)+2),FALSE),"")</f>
        <v/>
      </c>
      <c r="MGL6" s="27" t="str">
        <f>IFERROR(VLOOKUP(DATE($K$1,$K$2,MGL$4),Table1[],(MATCH(Calendar!$A6,DB!1:1,0)+2),FALSE),"")</f>
        <v/>
      </c>
      <c r="MGM6" s="27" t="str">
        <f>IFERROR(VLOOKUP(DATE($K$1,$K$2,MGM$4),Table1[],(MATCH(Calendar!$A6,DB!1:1,0)+2),FALSE),"")</f>
        <v/>
      </c>
      <c r="MGN6" s="27" t="str">
        <f>IFERROR(VLOOKUP(DATE($K$1,$K$2,MGN$4),Table1[],(MATCH(Calendar!$A6,DB!1:1,0)+2),FALSE),"")</f>
        <v/>
      </c>
      <c r="MGO6" s="27" t="str">
        <f>IFERROR(VLOOKUP(DATE($K$1,$K$2,MGO$4),Table1[],(MATCH(Calendar!$A6,DB!1:1,0)+2),FALSE),"")</f>
        <v/>
      </c>
      <c r="MGP6" s="27" t="str">
        <f>IFERROR(VLOOKUP(DATE($K$1,$K$2,MGP$4),Table1[],(MATCH(Calendar!$A6,DB!1:1,0)+2),FALSE),"")</f>
        <v/>
      </c>
      <c r="MGQ6" s="27" t="str">
        <f>IFERROR(VLOOKUP(DATE($K$1,$K$2,MGQ$4),Table1[],(MATCH(Calendar!$A6,DB!1:1,0)+2),FALSE),"")</f>
        <v/>
      </c>
      <c r="MGR6" s="27" t="str">
        <f>IFERROR(VLOOKUP(DATE($K$1,$K$2,MGR$4),Table1[],(MATCH(Calendar!$A6,DB!1:1,0)+2),FALSE),"")</f>
        <v/>
      </c>
      <c r="MGS6" s="27" t="str">
        <f>IFERROR(VLOOKUP(DATE($K$1,$K$2,MGS$4),Table1[],(MATCH(Calendar!$A6,DB!1:1,0)+2),FALSE),"")</f>
        <v/>
      </c>
      <c r="MGT6" s="27" t="str">
        <f>IFERROR(VLOOKUP(DATE($K$1,$K$2,MGT$4),Table1[],(MATCH(Calendar!$A6,DB!1:1,0)+2),FALSE),"")</f>
        <v/>
      </c>
      <c r="MGU6" s="27" t="str">
        <f>IFERROR(VLOOKUP(DATE($K$1,$K$2,MGU$4),Table1[],(MATCH(Calendar!$A6,DB!1:1,0)+2),FALSE),"")</f>
        <v/>
      </c>
      <c r="MGV6" s="27" t="str">
        <f>IFERROR(VLOOKUP(DATE($K$1,$K$2,MGV$4),Table1[],(MATCH(Calendar!$A6,DB!1:1,0)+2),FALSE),"")</f>
        <v/>
      </c>
      <c r="MGW6" s="27" t="str">
        <f>IFERROR(VLOOKUP(DATE($K$1,$K$2,MGW$4),Table1[],(MATCH(Calendar!$A6,DB!1:1,0)+2),FALSE),"")</f>
        <v/>
      </c>
      <c r="MGX6" s="27" t="str">
        <f>IFERROR(VLOOKUP(DATE($K$1,$K$2,MGX$4),Table1[],(MATCH(Calendar!$A6,DB!1:1,0)+2),FALSE),"")</f>
        <v/>
      </c>
      <c r="MGY6" s="27" t="str">
        <f>IFERROR(VLOOKUP(DATE($K$1,$K$2,MGY$4),Table1[],(MATCH(Calendar!$A6,DB!1:1,0)+2),FALSE),"")</f>
        <v/>
      </c>
      <c r="MGZ6" s="27" t="str">
        <f>IFERROR(VLOOKUP(DATE($K$1,$K$2,MGZ$4),Table1[],(MATCH(Calendar!$A6,DB!1:1,0)+2),FALSE),"")</f>
        <v/>
      </c>
      <c r="MHA6" s="27" t="str">
        <f>IFERROR(VLOOKUP(DATE($K$1,$K$2,MHA$4),Table1[],(MATCH(Calendar!$A6,DB!1:1,0)+2),FALSE),"")</f>
        <v/>
      </c>
      <c r="MHB6" s="27" t="str">
        <f>IFERROR(VLOOKUP(DATE($K$1,$K$2,MHB$4),Table1[],(MATCH(Calendar!$A6,DB!1:1,0)+2),FALSE),"")</f>
        <v/>
      </c>
      <c r="MHC6" s="27" t="str">
        <f>IFERROR(VLOOKUP(DATE($K$1,$K$2,MHC$4),Table1[],(MATCH(Calendar!$A6,DB!1:1,0)+2),FALSE),"")</f>
        <v/>
      </c>
      <c r="MHD6" s="27" t="str">
        <f>IFERROR(VLOOKUP(DATE($K$1,$K$2,MHD$4),Table1[],(MATCH(Calendar!$A6,DB!1:1,0)+2),FALSE),"")</f>
        <v/>
      </c>
      <c r="MHE6" s="27" t="str">
        <f>IFERROR(VLOOKUP(DATE($K$1,$K$2,MHE$4),Table1[],(MATCH(Calendar!$A6,DB!1:1,0)+2),FALSE),"")</f>
        <v/>
      </c>
      <c r="MHF6" s="27" t="str">
        <f>IFERROR(VLOOKUP(DATE($K$1,$K$2,MHF$4),Table1[],(MATCH(Calendar!$A6,DB!1:1,0)+2),FALSE),"")</f>
        <v/>
      </c>
      <c r="MHG6" s="27" t="str">
        <f>IFERROR(VLOOKUP(DATE($K$1,$K$2,MHG$4),Table1[],(MATCH(Calendar!$A6,DB!1:1,0)+2),FALSE),"")</f>
        <v/>
      </c>
      <c r="MHH6" s="27" t="str">
        <f>IFERROR(VLOOKUP(DATE($K$1,$K$2,MHH$4),Table1[],(MATCH(Calendar!$A6,DB!1:1,0)+2),FALSE),"")</f>
        <v/>
      </c>
      <c r="MHI6" s="27" t="str">
        <f>IFERROR(VLOOKUP(DATE($K$1,$K$2,MHI$4),Table1[],(MATCH(Calendar!$A6,DB!1:1,0)+2),FALSE),"")</f>
        <v/>
      </c>
      <c r="MHJ6" s="27" t="str">
        <f>IFERROR(VLOOKUP(DATE($K$1,$K$2,MHJ$4),Table1[],(MATCH(Calendar!$A6,DB!1:1,0)+2),FALSE),"")</f>
        <v/>
      </c>
      <c r="MHK6" s="27" t="str">
        <f>IFERROR(VLOOKUP(DATE($K$1,$K$2,MHK$4),Table1[],(MATCH(Calendar!$A6,DB!1:1,0)+2),FALSE),"")</f>
        <v/>
      </c>
      <c r="MHL6" s="27" t="str">
        <f>IFERROR(VLOOKUP(DATE($K$1,$K$2,MHL$4),Table1[],(MATCH(Calendar!$A6,DB!1:1,0)+2),FALSE),"")</f>
        <v/>
      </c>
      <c r="MHM6" s="27" t="str">
        <f>IFERROR(VLOOKUP(DATE($K$1,$K$2,MHM$4),Table1[],(MATCH(Calendar!$A6,DB!1:1,0)+2),FALSE),"")</f>
        <v/>
      </c>
      <c r="MHN6" s="27" t="str">
        <f>IFERROR(VLOOKUP(DATE($K$1,$K$2,MHN$4),Table1[],(MATCH(Calendar!$A6,DB!1:1,0)+2),FALSE),"")</f>
        <v/>
      </c>
      <c r="MHO6" s="27" t="str">
        <f>IFERROR(VLOOKUP(DATE($K$1,$K$2,MHO$4),Table1[],(MATCH(Calendar!$A6,DB!1:1,0)+2),FALSE),"")</f>
        <v/>
      </c>
      <c r="MHP6" s="27" t="str">
        <f>IFERROR(VLOOKUP(DATE($K$1,$K$2,MHP$4),Table1[],(MATCH(Calendar!$A6,DB!1:1,0)+2),FALSE),"")</f>
        <v/>
      </c>
      <c r="MHQ6" s="27" t="str">
        <f>IFERROR(VLOOKUP(DATE($K$1,$K$2,MHQ$4),Table1[],(MATCH(Calendar!$A6,DB!1:1,0)+2),FALSE),"")</f>
        <v/>
      </c>
      <c r="MHR6" s="27" t="str">
        <f>IFERROR(VLOOKUP(DATE($K$1,$K$2,MHR$4),Table1[],(MATCH(Calendar!$A6,DB!1:1,0)+2),FALSE),"")</f>
        <v/>
      </c>
      <c r="MHS6" s="27" t="str">
        <f>IFERROR(VLOOKUP(DATE($K$1,$K$2,MHS$4),Table1[],(MATCH(Calendar!$A6,DB!1:1,0)+2),FALSE),"")</f>
        <v/>
      </c>
      <c r="MHT6" s="27" t="str">
        <f>IFERROR(VLOOKUP(DATE($K$1,$K$2,MHT$4),Table1[],(MATCH(Calendar!$A6,DB!1:1,0)+2),FALSE),"")</f>
        <v/>
      </c>
      <c r="MHU6" s="27" t="str">
        <f>IFERROR(VLOOKUP(DATE($K$1,$K$2,MHU$4),Table1[],(MATCH(Calendar!$A6,DB!1:1,0)+2),FALSE),"")</f>
        <v/>
      </c>
      <c r="MHV6" s="27" t="str">
        <f>IFERROR(VLOOKUP(DATE($K$1,$K$2,MHV$4),Table1[],(MATCH(Calendar!$A6,DB!1:1,0)+2),FALSE),"")</f>
        <v/>
      </c>
      <c r="MHW6" s="27" t="str">
        <f>IFERROR(VLOOKUP(DATE($K$1,$K$2,MHW$4),Table1[],(MATCH(Calendar!$A6,DB!1:1,0)+2),FALSE),"")</f>
        <v/>
      </c>
      <c r="MHX6" s="27" t="str">
        <f>IFERROR(VLOOKUP(DATE($K$1,$K$2,MHX$4),Table1[],(MATCH(Calendar!$A6,DB!1:1,0)+2),FALSE),"")</f>
        <v/>
      </c>
      <c r="MHY6" s="27" t="str">
        <f>IFERROR(VLOOKUP(DATE($K$1,$K$2,MHY$4),Table1[],(MATCH(Calendar!$A6,DB!1:1,0)+2),FALSE),"")</f>
        <v/>
      </c>
      <c r="MHZ6" s="27" t="str">
        <f>IFERROR(VLOOKUP(DATE($K$1,$K$2,MHZ$4),Table1[],(MATCH(Calendar!$A6,DB!1:1,0)+2),FALSE),"")</f>
        <v/>
      </c>
      <c r="MIA6" s="27" t="str">
        <f>IFERROR(VLOOKUP(DATE($K$1,$K$2,MIA$4),Table1[],(MATCH(Calendar!$A6,DB!1:1,0)+2),FALSE),"")</f>
        <v/>
      </c>
      <c r="MIB6" s="27" t="str">
        <f>IFERROR(VLOOKUP(DATE($K$1,$K$2,MIB$4),Table1[],(MATCH(Calendar!$A6,DB!1:1,0)+2),FALSE),"")</f>
        <v/>
      </c>
      <c r="MIC6" s="27" t="str">
        <f>IFERROR(VLOOKUP(DATE($K$1,$K$2,MIC$4),Table1[],(MATCH(Calendar!$A6,DB!1:1,0)+2),FALSE),"")</f>
        <v/>
      </c>
      <c r="MID6" s="27" t="str">
        <f>IFERROR(VLOOKUP(DATE($K$1,$K$2,MID$4),Table1[],(MATCH(Calendar!$A6,DB!1:1,0)+2),FALSE),"")</f>
        <v/>
      </c>
      <c r="MIE6" s="27" t="str">
        <f>IFERROR(VLOOKUP(DATE($K$1,$K$2,MIE$4),Table1[],(MATCH(Calendar!$A6,DB!1:1,0)+2),FALSE),"")</f>
        <v/>
      </c>
      <c r="MIF6" s="27" t="str">
        <f>IFERROR(VLOOKUP(DATE($K$1,$K$2,MIF$4),Table1[],(MATCH(Calendar!$A6,DB!1:1,0)+2),FALSE),"")</f>
        <v/>
      </c>
      <c r="MIG6" s="27" t="str">
        <f>IFERROR(VLOOKUP(DATE($K$1,$K$2,MIG$4),Table1[],(MATCH(Calendar!$A6,DB!1:1,0)+2),FALSE),"")</f>
        <v/>
      </c>
      <c r="MIH6" s="27" t="str">
        <f>IFERROR(VLOOKUP(DATE($K$1,$K$2,MIH$4),Table1[],(MATCH(Calendar!$A6,DB!1:1,0)+2),FALSE),"")</f>
        <v/>
      </c>
      <c r="MII6" s="27" t="str">
        <f>IFERROR(VLOOKUP(DATE($K$1,$K$2,MII$4),Table1[],(MATCH(Calendar!$A6,DB!1:1,0)+2),FALSE),"")</f>
        <v/>
      </c>
      <c r="MIJ6" s="27" t="str">
        <f>IFERROR(VLOOKUP(DATE($K$1,$K$2,MIJ$4),Table1[],(MATCH(Calendar!$A6,DB!1:1,0)+2),FALSE),"")</f>
        <v/>
      </c>
      <c r="MIK6" s="27" t="str">
        <f>IFERROR(VLOOKUP(DATE($K$1,$K$2,MIK$4),Table1[],(MATCH(Calendar!$A6,DB!1:1,0)+2),FALSE),"")</f>
        <v/>
      </c>
      <c r="MIL6" s="27" t="str">
        <f>IFERROR(VLOOKUP(DATE($K$1,$K$2,MIL$4),Table1[],(MATCH(Calendar!$A6,DB!1:1,0)+2),FALSE),"")</f>
        <v/>
      </c>
      <c r="MIM6" s="27" t="str">
        <f>IFERROR(VLOOKUP(DATE($K$1,$K$2,MIM$4),Table1[],(MATCH(Calendar!$A6,DB!1:1,0)+2),FALSE),"")</f>
        <v/>
      </c>
      <c r="MIN6" s="27" t="str">
        <f>IFERROR(VLOOKUP(DATE($K$1,$K$2,MIN$4),Table1[],(MATCH(Calendar!$A6,DB!1:1,0)+2),FALSE),"")</f>
        <v/>
      </c>
      <c r="MIO6" s="27" t="str">
        <f>IFERROR(VLOOKUP(DATE($K$1,$K$2,MIO$4),Table1[],(MATCH(Calendar!$A6,DB!1:1,0)+2),FALSE),"")</f>
        <v/>
      </c>
      <c r="MIP6" s="27" t="str">
        <f>IFERROR(VLOOKUP(DATE($K$1,$K$2,MIP$4),Table1[],(MATCH(Calendar!$A6,DB!1:1,0)+2),FALSE),"")</f>
        <v/>
      </c>
      <c r="MIQ6" s="27" t="str">
        <f>IFERROR(VLOOKUP(DATE($K$1,$K$2,MIQ$4),Table1[],(MATCH(Calendar!$A6,DB!1:1,0)+2),FALSE),"")</f>
        <v/>
      </c>
      <c r="MIR6" s="27" t="str">
        <f>IFERROR(VLOOKUP(DATE($K$1,$K$2,MIR$4),Table1[],(MATCH(Calendar!$A6,DB!1:1,0)+2),FALSE),"")</f>
        <v/>
      </c>
      <c r="MIS6" s="27" t="str">
        <f>IFERROR(VLOOKUP(DATE($K$1,$K$2,MIS$4),Table1[],(MATCH(Calendar!$A6,DB!1:1,0)+2),FALSE),"")</f>
        <v/>
      </c>
      <c r="MIT6" s="27" t="str">
        <f>IFERROR(VLOOKUP(DATE($K$1,$K$2,MIT$4),Table1[],(MATCH(Calendar!$A6,DB!1:1,0)+2),FALSE),"")</f>
        <v/>
      </c>
      <c r="MIU6" s="27" t="str">
        <f>IFERROR(VLOOKUP(DATE($K$1,$K$2,MIU$4),Table1[],(MATCH(Calendar!$A6,DB!1:1,0)+2),FALSE),"")</f>
        <v/>
      </c>
      <c r="MIV6" s="27" t="str">
        <f>IFERROR(VLOOKUP(DATE($K$1,$K$2,MIV$4),Table1[],(MATCH(Calendar!$A6,DB!1:1,0)+2),FALSE),"")</f>
        <v/>
      </c>
      <c r="MIW6" s="27" t="str">
        <f>IFERROR(VLOOKUP(DATE($K$1,$K$2,MIW$4),Table1[],(MATCH(Calendar!$A6,DB!1:1,0)+2),FALSE),"")</f>
        <v/>
      </c>
      <c r="MIX6" s="27" t="str">
        <f>IFERROR(VLOOKUP(DATE($K$1,$K$2,MIX$4),Table1[],(MATCH(Calendar!$A6,DB!1:1,0)+2),FALSE),"")</f>
        <v/>
      </c>
      <c r="MIY6" s="27" t="str">
        <f>IFERROR(VLOOKUP(DATE($K$1,$K$2,MIY$4),Table1[],(MATCH(Calendar!$A6,DB!1:1,0)+2),FALSE),"")</f>
        <v/>
      </c>
      <c r="MIZ6" s="27" t="str">
        <f>IFERROR(VLOOKUP(DATE($K$1,$K$2,MIZ$4),Table1[],(MATCH(Calendar!$A6,DB!1:1,0)+2),FALSE),"")</f>
        <v/>
      </c>
      <c r="MJA6" s="27" t="str">
        <f>IFERROR(VLOOKUP(DATE($K$1,$K$2,MJA$4),Table1[],(MATCH(Calendar!$A6,DB!1:1,0)+2),FALSE),"")</f>
        <v/>
      </c>
      <c r="MJB6" s="27" t="str">
        <f>IFERROR(VLOOKUP(DATE($K$1,$K$2,MJB$4),Table1[],(MATCH(Calendar!$A6,DB!1:1,0)+2),FALSE),"")</f>
        <v/>
      </c>
      <c r="MJC6" s="27" t="str">
        <f>IFERROR(VLOOKUP(DATE($K$1,$K$2,MJC$4),Table1[],(MATCH(Calendar!$A6,DB!1:1,0)+2),FALSE),"")</f>
        <v/>
      </c>
      <c r="MJD6" s="27" t="str">
        <f>IFERROR(VLOOKUP(DATE($K$1,$K$2,MJD$4),Table1[],(MATCH(Calendar!$A6,DB!1:1,0)+2),FALSE),"")</f>
        <v/>
      </c>
      <c r="MJE6" s="27" t="str">
        <f>IFERROR(VLOOKUP(DATE($K$1,$K$2,MJE$4),Table1[],(MATCH(Calendar!$A6,DB!1:1,0)+2),FALSE),"")</f>
        <v/>
      </c>
      <c r="MJF6" s="27" t="str">
        <f>IFERROR(VLOOKUP(DATE($K$1,$K$2,MJF$4),Table1[],(MATCH(Calendar!$A6,DB!1:1,0)+2),FALSE),"")</f>
        <v/>
      </c>
      <c r="MJG6" s="27" t="str">
        <f>IFERROR(VLOOKUP(DATE($K$1,$K$2,MJG$4),Table1[],(MATCH(Calendar!$A6,DB!1:1,0)+2),FALSE),"")</f>
        <v/>
      </c>
      <c r="MJH6" s="27" t="str">
        <f>IFERROR(VLOOKUP(DATE($K$1,$K$2,MJH$4),Table1[],(MATCH(Calendar!$A6,DB!1:1,0)+2),FALSE),"")</f>
        <v/>
      </c>
      <c r="MJI6" s="27" t="str">
        <f>IFERROR(VLOOKUP(DATE($K$1,$K$2,MJI$4),Table1[],(MATCH(Calendar!$A6,DB!1:1,0)+2),FALSE),"")</f>
        <v/>
      </c>
      <c r="MJJ6" s="27" t="str">
        <f>IFERROR(VLOOKUP(DATE($K$1,$K$2,MJJ$4),Table1[],(MATCH(Calendar!$A6,DB!1:1,0)+2),FALSE),"")</f>
        <v/>
      </c>
      <c r="MJK6" s="27" t="str">
        <f>IFERROR(VLOOKUP(DATE($K$1,$K$2,MJK$4),Table1[],(MATCH(Calendar!$A6,DB!1:1,0)+2),FALSE),"")</f>
        <v/>
      </c>
      <c r="MJL6" s="27" t="str">
        <f>IFERROR(VLOOKUP(DATE($K$1,$K$2,MJL$4),Table1[],(MATCH(Calendar!$A6,DB!1:1,0)+2),FALSE),"")</f>
        <v/>
      </c>
      <c r="MJM6" s="27" t="str">
        <f>IFERROR(VLOOKUP(DATE($K$1,$K$2,MJM$4),Table1[],(MATCH(Calendar!$A6,DB!1:1,0)+2),FALSE),"")</f>
        <v/>
      </c>
      <c r="MJN6" s="27" t="str">
        <f>IFERROR(VLOOKUP(DATE($K$1,$K$2,MJN$4),Table1[],(MATCH(Calendar!$A6,DB!1:1,0)+2),FALSE),"")</f>
        <v/>
      </c>
      <c r="MJO6" s="27" t="str">
        <f>IFERROR(VLOOKUP(DATE($K$1,$K$2,MJO$4),Table1[],(MATCH(Calendar!$A6,DB!1:1,0)+2),FALSE),"")</f>
        <v/>
      </c>
      <c r="MJP6" s="27" t="str">
        <f>IFERROR(VLOOKUP(DATE($K$1,$K$2,MJP$4),Table1[],(MATCH(Calendar!$A6,DB!1:1,0)+2),FALSE),"")</f>
        <v/>
      </c>
      <c r="MJQ6" s="27" t="str">
        <f>IFERROR(VLOOKUP(DATE($K$1,$K$2,MJQ$4),Table1[],(MATCH(Calendar!$A6,DB!1:1,0)+2),FALSE),"")</f>
        <v/>
      </c>
      <c r="MJR6" s="27" t="str">
        <f>IFERROR(VLOOKUP(DATE($K$1,$K$2,MJR$4),Table1[],(MATCH(Calendar!$A6,DB!1:1,0)+2),FALSE),"")</f>
        <v/>
      </c>
      <c r="MJS6" s="27" t="str">
        <f>IFERROR(VLOOKUP(DATE($K$1,$K$2,MJS$4),Table1[],(MATCH(Calendar!$A6,DB!1:1,0)+2),FALSE),"")</f>
        <v/>
      </c>
      <c r="MJT6" s="27" t="str">
        <f>IFERROR(VLOOKUP(DATE($K$1,$K$2,MJT$4),Table1[],(MATCH(Calendar!$A6,DB!1:1,0)+2),FALSE),"")</f>
        <v/>
      </c>
      <c r="MJU6" s="27" t="str">
        <f>IFERROR(VLOOKUP(DATE($K$1,$K$2,MJU$4),Table1[],(MATCH(Calendar!$A6,DB!1:1,0)+2),FALSE),"")</f>
        <v/>
      </c>
      <c r="MJV6" s="27" t="str">
        <f>IFERROR(VLOOKUP(DATE($K$1,$K$2,MJV$4),Table1[],(MATCH(Calendar!$A6,DB!1:1,0)+2),FALSE),"")</f>
        <v/>
      </c>
      <c r="MJW6" s="27" t="str">
        <f>IFERROR(VLOOKUP(DATE($K$1,$K$2,MJW$4),Table1[],(MATCH(Calendar!$A6,DB!1:1,0)+2),FALSE),"")</f>
        <v/>
      </c>
      <c r="MJX6" s="27" t="str">
        <f>IFERROR(VLOOKUP(DATE($K$1,$K$2,MJX$4),Table1[],(MATCH(Calendar!$A6,DB!1:1,0)+2),FALSE),"")</f>
        <v/>
      </c>
      <c r="MJY6" s="27" t="str">
        <f>IFERROR(VLOOKUP(DATE($K$1,$K$2,MJY$4),Table1[],(MATCH(Calendar!$A6,DB!1:1,0)+2),FALSE),"")</f>
        <v/>
      </c>
      <c r="MJZ6" s="27" t="str">
        <f>IFERROR(VLOOKUP(DATE($K$1,$K$2,MJZ$4),Table1[],(MATCH(Calendar!$A6,DB!1:1,0)+2),FALSE),"")</f>
        <v/>
      </c>
      <c r="MKA6" s="27" t="str">
        <f>IFERROR(VLOOKUP(DATE($K$1,$K$2,MKA$4),Table1[],(MATCH(Calendar!$A6,DB!1:1,0)+2),FALSE),"")</f>
        <v/>
      </c>
      <c r="MKB6" s="27" t="str">
        <f>IFERROR(VLOOKUP(DATE($K$1,$K$2,MKB$4),Table1[],(MATCH(Calendar!$A6,DB!1:1,0)+2),FALSE),"")</f>
        <v/>
      </c>
      <c r="MKC6" s="27" t="str">
        <f>IFERROR(VLOOKUP(DATE($K$1,$K$2,MKC$4),Table1[],(MATCH(Calendar!$A6,DB!1:1,0)+2),FALSE),"")</f>
        <v/>
      </c>
      <c r="MKD6" s="27" t="str">
        <f>IFERROR(VLOOKUP(DATE($K$1,$K$2,MKD$4),Table1[],(MATCH(Calendar!$A6,DB!1:1,0)+2),FALSE),"")</f>
        <v/>
      </c>
      <c r="MKE6" s="27" t="str">
        <f>IFERROR(VLOOKUP(DATE($K$1,$K$2,MKE$4),Table1[],(MATCH(Calendar!$A6,DB!1:1,0)+2),FALSE),"")</f>
        <v/>
      </c>
      <c r="MKF6" s="27" t="str">
        <f>IFERROR(VLOOKUP(DATE($K$1,$K$2,MKF$4),Table1[],(MATCH(Calendar!$A6,DB!1:1,0)+2),FALSE),"")</f>
        <v/>
      </c>
      <c r="MKG6" s="27" t="str">
        <f>IFERROR(VLOOKUP(DATE($K$1,$K$2,MKG$4),Table1[],(MATCH(Calendar!$A6,DB!1:1,0)+2),FALSE),"")</f>
        <v/>
      </c>
      <c r="MKH6" s="27" t="str">
        <f>IFERROR(VLOOKUP(DATE($K$1,$K$2,MKH$4),Table1[],(MATCH(Calendar!$A6,DB!1:1,0)+2),FALSE),"")</f>
        <v/>
      </c>
      <c r="MKI6" s="27" t="str">
        <f>IFERROR(VLOOKUP(DATE($K$1,$K$2,MKI$4),Table1[],(MATCH(Calendar!$A6,DB!1:1,0)+2),FALSE),"")</f>
        <v/>
      </c>
      <c r="MKJ6" s="27" t="str">
        <f>IFERROR(VLOOKUP(DATE($K$1,$K$2,MKJ$4),Table1[],(MATCH(Calendar!$A6,DB!1:1,0)+2),FALSE),"")</f>
        <v/>
      </c>
      <c r="MKK6" s="27" t="str">
        <f>IFERROR(VLOOKUP(DATE($K$1,$K$2,MKK$4),Table1[],(MATCH(Calendar!$A6,DB!1:1,0)+2),FALSE),"")</f>
        <v/>
      </c>
      <c r="MKL6" s="27" t="str">
        <f>IFERROR(VLOOKUP(DATE($K$1,$K$2,MKL$4),Table1[],(MATCH(Calendar!$A6,DB!1:1,0)+2),FALSE),"")</f>
        <v/>
      </c>
      <c r="MKM6" s="27" t="str">
        <f>IFERROR(VLOOKUP(DATE($K$1,$K$2,MKM$4),Table1[],(MATCH(Calendar!$A6,DB!1:1,0)+2),FALSE),"")</f>
        <v/>
      </c>
      <c r="MKN6" s="27" t="str">
        <f>IFERROR(VLOOKUP(DATE($K$1,$K$2,MKN$4),Table1[],(MATCH(Calendar!$A6,DB!1:1,0)+2),FALSE),"")</f>
        <v/>
      </c>
      <c r="MKO6" s="27" t="str">
        <f>IFERROR(VLOOKUP(DATE($K$1,$K$2,MKO$4),Table1[],(MATCH(Calendar!$A6,DB!1:1,0)+2),FALSE),"")</f>
        <v/>
      </c>
      <c r="MKP6" s="27" t="str">
        <f>IFERROR(VLOOKUP(DATE($K$1,$K$2,MKP$4),Table1[],(MATCH(Calendar!$A6,DB!1:1,0)+2),FALSE),"")</f>
        <v/>
      </c>
      <c r="MKQ6" s="27" t="str">
        <f>IFERROR(VLOOKUP(DATE($K$1,$K$2,MKQ$4),Table1[],(MATCH(Calendar!$A6,DB!1:1,0)+2),FALSE),"")</f>
        <v/>
      </c>
      <c r="MKR6" s="27" t="str">
        <f>IFERROR(VLOOKUP(DATE($K$1,$K$2,MKR$4),Table1[],(MATCH(Calendar!$A6,DB!1:1,0)+2),FALSE),"")</f>
        <v/>
      </c>
      <c r="MKS6" s="27" t="str">
        <f>IFERROR(VLOOKUP(DATE($K$1,$K$2,MKS$4),Table1[],(MATCH(Calendar!$A6,DB!1:1,0)+2),FALSE),"")</f>
        <v/>
      </c>
      <c r="MKT6" s="27" t="str">
        <f>IFERROR(VLOOKUP(DATE($K$1,$K$2,MKT$4),Table1[],(MATCH(Calendar!$A6,DB!1:1,0)+2),FALSE),"")</f>
        <v/>
      </c>
      <c r="MKU6" s="27" t="str">
        <f>IFERROR(VLOOKUP(DATE($K$1,$K$2,MKU$4),Table1[],(MATCH(Calendar!$A6,DB!1:1,0)+2),FALSE),"")</f>
        <v/>
      </c>
      <c r="MKV6" s="27" t="str">
        <f>IFERROR(VLOOKUP(DATE($K$1,$K$2,MKV$4),Table1[],(MATCH(Calendar!$A6,DB!1:1,0)+2),FALSE),"")</f>
        <v/>
      </c>
      <c r="MKW6" s="27" t="str">
        <f>IFERROR(VLOOKUP(DATE($K$1,$K$2,MKW$4),Table1[],(MATCH(Calendar!$A6,DB!1:1,0)+2),FALSE),"")</f>
        <v/>
      </c>
      <c r="MKX6" s="27" t="str">
        <f>IFERROR(VLOOKUP(DATE($K$1,$K$2,MKX$4),Table1[],(MATCH(Calendar!$A6,DB!1:1,0)+2),FALSE),"")</f>
        <v/>
      </c>
      <c r="MKY6" s="27" t="str">
        <f>IFERROR(VLOOKUP(DATE($K$1,$K$2,MKY$4),Table1[],(MATCH(Calendar!$A6,DB!1:1,0)+2),FALSE),"")</f>
        <v/>
      </c>
      <c r="MKZ6" s="27" t="str">
        <f>IFERROR(VLOOKUP(DATE($K$1,$K$2,MKZ$4),Table1[],(MATCH(Calendar!$A6,DB!1:1,0)+2),FALSE),"")</f>
        <v/>
      </c>
      <c r="MLA6" s="27" t="str">
        <f>IFERROR(VLOOKUP(DATE($K$1,$K$2,MLA$4),Table1[],(MATCH(Calendar!$A6,DB!1:1,0)+2),FALSE),"")</f>
        <v/>
      </c>
      <c r="MLB6" s="27" t="str">
        <f>IFERROR(VLOOKUP(DATE($K$1,$K$2,MLB$4),Table1[],(MATCH(Calendar!$A6,DB!1:1,0)+2),FALSE),"")</f>
        <v/>
      </c>
      <c r="MLC6" s="27" t="str">
        <f>IFERROR(VLOOKUP(DATE($K$1,$K$2,MLC$4),Table1[],(MATCH(Calendar!$A6,DB!1:1,0)+2),FALSE),"")</f>
        <v/>
      </c>
      <c r="MLD6" s="27" t="str">
        <f>IFERROR(VLOOKUP(DATE($K$1,$K$2,MLD$4),Table1[],(MATCH(Calendar!$A6,DB!1:1,0)+2),FALSE),"")</f>
        <v/>
      </c>
      <c r="MLE6" s="27" t="str">
        <f>IFERROR(VLOOKUP(DATE($K$1,$K$2,MLE$4),Table1[],(MATCH(Calendar!$A6,DB!1:1,0)+2),FALSE),"")</f>
        <v/>
      </c>
      <c r="MLF6" s="27" t="str">
        <f>IFERROR(VLOOKUP(DATE($K$1,$K$2,MLF$4),Table1[],(MATCH(Calendar!$A6,DB!1:1,0)+2),FALSE),"")</f>
        <v/>
      </c>
      <c r="MLG6" s="27" t="str">
        <f>IFERROR(VLOOKUP(DATE($K$1,$K$2,MLG$4),Table1[],(MATCH(Calendar!$A6,DB!1:1,0)+2),FALSE),"")</f>
        <v/>
      </c>
      <c r="MLH6" s="27" t="str">
        <f>IFERROR(VLOOKUP(DATE($K$1,$K$2,MLH$4),Table1[],(MATCH(Calendar!$A6,DB!1:1,0)+2),FALSE),"")</f>
        <v/>
      </c>
      <c r="MLI6" s="27" t="str">
        <f>IFERROR(VLOOKUP(DATE($K$1,$K$2,MLI$4),Table1[],(MATCH(Calendar!$A6,DB!1:1,0)+2),FALSE),"")</f>
        <v/>
      </c>
      <c r="MLJ6" s="27" t="str">
        <f>IFERROR(VLOOKUP(DATE($K$1,$K$2,MLJ$4),Table1[],(MATCH(Calendar!$A6,DB!1:1,0)+2),FALSE),"")</f>
        <v/>
      </c>
      <c r="MLK6" s="27" t="str">
        <f>IFERROR(VLOOKUP(DATE($K$1,$K$2,MLK$4),Table1[],(MATCH(Calendar!$A6,DB!1:1,0)+2),FALSE),"")</f>
        <v/>
      </c>
      <c r="MLL6" s="27" t="str">
        <f>IFERROR(VLOOKUP(DATE($K$1,$K$2,MLL$4),Table1[],(MATCH(Calendar!$A6,DB!1:1,0)+2),FALSE),"")</f>
        <v/>
      </c>
      <c r="MLM6" s="27" t="str">
        <f>IFERROR(VLOOKUP(DATE($K$1,$K$2,MLM$4),Table1[],(MATCH(Calendar!$A6,DB!1:1,0)+2),FALSE),"")</f>
        <v/>
      </c>
      <c r="MLN6" s="27" t="str">
        <f>IFERROR(VLOOKUP(DATE($K$1,$K$2,MLN$4),Table1[],(MATCH(Calendar!$A6,DB!1:1,0)+2),FALSE),"")</f>
        <v/>
      </c>
      <c r="MLO6" s="27" t="str">
        <f>IFERROR(VLOOKUP(DATE($K$1,$K$2,MLO$4),Table1[],(MATCH(Calendar!$A6,DB!1:1,0)+2),FALSE),"")</f>
        <v/>
      </c>
      <c r="MLP6" s="27" t="str">
        <f>IFERROR(VLOOKUP(DATE($K$1,$K$2,MLP$4),Table1[],(MATCH(Calendar!$A6,DB!1:1,0)+2),FALSE),"")</f>
        <v/>
      </c>
      <c r="MLQ6" s="27" t="str">
        <f>IFERROR(VLOOKUP(DATE($K$1,$K$2,MLQ$4),Table1[],(MATCH(Calendar!$A6,DB!1:1,0)+2),FALSE),"")</f>
        <v/>
      </c>
      <c r="MLR6" s="27" t="str">
        <f>IFERROR(VLOOKUP(DATE($K$1,$K$2,MLR$4),Table1[],(MATCH(Calendar!$A6,DB!1:1,0)+2),FALSE),"")</f>
        <v/>
      </c>
      <c r="MLS6" s="27" t="str">
        <f>IFERROR(VLOOKUP(DATE($K$1,$K$2,MLS$4),Table1[],(MATCH(Calendar!$A6,DB!1:1,0)+2),FALSE),"")</f>
        <v/>
      </c>
      <c r="MLT6" s="27" t="str">
        <f>IFERROR(VLOOKUP(DATE($K$1,$K$2,MLT$4),Table1[],(MATCH(Calendar!$A6,DB!1:1,0)+2),FALSE),"")</f>
        <v/>
      </c>
      <c r="MLU6" s="27" t="str">
        <f>IFERROR(VLOOKUP(DATE($K$1,$K$2,MLU$4),Table1[],(MATCH(Calendar!$A6,DB!1:1,0)+2),FALSE),"")</f>
        <v/>
      </c>
      <c r="MLV6" s="27" t="str">
        <f>IFERROR(VLOOKUP(DATE($K$1,$K$2,MLV$4),Table1[],(MATCH(Calendar!$A6,DB!1:1,0)+2),FALSE),"")</f>
        <v/>
      </c>
      <c r="MLW6" s="27" t="str">
        <f>IFERROR(VLOOKUP(DATE($K$1,$K$2,MLW$4),Table1[],(MATCH(Calendar!$A6,DB!1:1,0)+2),FALSE),"")</f>
        <v/>
      </c>
      <c r="MLX6" s="27" t="str">
        <f>IFERROR(VLOOKUP(DATE($K$1,$K$2,MLX$4),Table1[],(MATCH(Calendar!$A6,DB!1:1,0)+2),FALSE),"")</f>
        <v/>
      </c>
      <c r="MLY6" s="27" t="str">
        <f>IFERROR(VLOOKUP(DATE($K$1,$K$2,MLY$4),Table1[],(MATCH(Calendar!$A6,DB!1:1,0)+2),FALSE),"")</f>
        <v/>
      </c>
      <c r="MLZ6" s="27" t="str">
        <f>IFERROR(VLOOKUP(DATE($K$1,$K$2,MLZ$4),Table1[],(MATCH(Calendar!$A6,DB!1:1,0)+2),FALSE),"")</f>
        <v/>
      </c>
      <c r="MMA6" s="27" t="str">
        <f>IFERROR(VLOOKUP(DATE($K$1,$K$2,MMA$4),Table1[],(MATCH(Calendar!$A6,DB!1:1,0)+2),FALSE),"")</f>
        <v/>
      </c>
      <c r="MMB6" s="27" t="str">
        <f>IFERROR(VLOOKUP(DATE($K$1,$K$2,MMB$4),Table1[],(MATCH(Calendar!$A6,DB!1:1,0)+2),FALSE),"")</f>
        <v/>
      </c>
      <c r="MMC6" s="27" t="str">
        <f>IFERROR(VLOOKUP(DATE($K$1,$K$2,MMC$4),Table1[],(MATCH(Calendar!$A6,DB!1:1,0)+2),FALSE),"")</f>
        <v/>
      </c>
      <c r="MMD6" s="27" t="str">
        <f>IFERROR(VLOOKUP(DATE($K$1,$K$2,MMD$4),Table1[],(MATCH(Calendar!$A6,DB!1:1,0)+2),FALSE),"")</f>
        <v/>
      </c>
      <c r="MME6" s="27" t="str">
        <f>IFERROR(VLOOKUP(DATE($K$1,$K$2,MME$4),Table1[],(MATCH(Calendar!$A6,DB!1:1,0)+2),FALSE),"")</f>
        <v/>
      </c>
      <c r="MMF6" s="27" t="str">
        <f>IFERROR(VLOOKUP(DATE($K$1,$K$2,MMF$4),Table1[],(MATCH(Calendar!$A6,DB!1:1,0)+2),FALSE),"")</f>
        <v/>
      </c>
      <c r="MMG6" s="27" t="str">
        <f>IFERROR(VLOOKUP(DATE($K$1,$K$2,MMG$4),Table1[],(MATCH(Calendar!$A6,DB!1:1,0)+2),FALSE),"")</f>
        <v/>
      </c>
      <c r="MMH6" s="27" t="str">
        <f>IFERROR(VLOOKUP(DATE($K$1,$K$2,MMH$4),Table1[],(MATCH(Calendar!$A6,DB!1:1,0)+2),FALSE),"")</f>
        <v/>
      </c>
      <c r="MMI6" s="27" t="str">
        <f>IFERROR(VLOOKUP(DATE($K$1,$K$2,MMI$4),Table1[],(MATCH(Calendar!$A6,DB!1:1,0)+2),FALSE),"")</f>
        <v/>
      </c>
      <c r="MMJ6" s="27" t="str">
        <f>IFERROR(VLOOKUP(DATE($K$1,$K$2,MMJ$4),Table1[],(MATCH(Calendar!$A6,DB!1:1,0)+2),FALSE),"")</f>
        <v/>
      </c>
      <c r="MMK6" s="27" t="str">
        <f>IFERROR(VLOOKUP(DATE($K$1,$K$2,MMK$4),Table1[],(MATCH(Calendar!$A6,DB!1:1,0)+2),FALSE),"")</f>
        <v/>
      </c>
      <c r="MML6" s="27" t="str">
        <f>IFERROR(VLOOKUP(DATE($K$1,$K$2,MML$4),Table1[],(MATCH(Calendar!$A6,DB!1:1,0)+2),FALSE),"")</f>
        <v/>
      </c>
      <c r="MMM6" s="27" t="str">
        <f>IFERROR(VLOOKUP(DATE($K$1,$K$2,MMM$4),Table1[],(MATCH(Calendar!$A6,DB!1:1,0)+2),FALSE),"")</f>
        <v/>
      </c>
      <c r="MMN6" s="27" t="str">
        <f>IFERROR(VLOOKUP(DATE($K$1,$K$2,MMN$4),Table1[],(MATCH(Calendar!$A6,DB!1:1,0)+2),FALSE),"")</f>
        <v/>
      </c>
      <c r="MMO6" s="27" t="str">
        <f>IFERROR(VLOOKUP(DATE($K$1,$K$2,MMO$4),Table1[],(MATCH(Calendar!$A6,DB!1:1,0)+2),FALSE),"")</f>
        <v/>
      </c>
      <c r="MMP6" s="27" t="str">
        <f>IFERROR(VLOOKUP(DATE($K$1,$K$2,MMP$4),Table1[],(MATCH(Calendar!$A6,DB!1:1,0)+2),FALSE),"")</f>
        <v/>
      </c>
      <c r="MMQ6" s="27" t="str">
        <f>IFERROR(VLOOKUP(DATE($K$1,$K$2,MMQ$4),Table1[],(MATCH(Calendar!$A6,DB!1:1,0)+2),FALSE),"")</f>
        <v/>
      </c>
      <c r="MMR6" s="27" t="str">
        <f>IFERROR(VLOOKUP(DATE($K$1,$K$2,MMR$4),Table1[],(MATCH(Calendar!$A6,DB!1:1,0)+2),FALSE),"")</f>
        <v/>
      </c>
      <c r="MMS6" s="27" t="str">
        <f>IFERROR(VLOOKUP(DATE($K$1,$K$2,MMS$4),Table1[],(MATCH(Calendar!$A6,DB!1:1,0)+2),FALSE),"")</f>
        <v/>
      </c>
      <c r="MMT6" s="27" t="str">
        <f>IFERROR(VLOOKUP(DATE($K$1,$K$2,MMT$4),Table1[],(MATCH(Calendar!$A6,DB!1:1,0)+2),FALSE),"")</f>
        <v/>
      </c>
      <c r="MMU6" s="27" t="str">
        <f>IFERROR(VLOOKUP(DATE($K$1,$K$2,MMU$4),Table1[],(MATCH(Calendar!$A6,DB!1:1,0)+2),FALSE),"")</f>
        <v/>
      </c>
      <c r="MMV6" s="27" t="str">
        <f>IFERROR(VLOOKUP(DATE($K$1,$K$2,MMV$4),Table1[],(MATCH(Calendar!$A6,DB!1:1,0)+2),FALSE),"")</f>
        <v/>
      </c>
      <c r="MMW6" s="27" t="str">
        <f>IFERROR(VLOOKUP(DATE($K$1,$K$2,MMW$4),Table1[],(MATCH(Calendar!$A6,DB!1:1,0)+2),FALSE),"")</f>
        <v/>
      </c>
      <c r="MMX6" s="27" t="str">
        <f>IFERROR(VLOOKUP(DATE($K$1,$K$2,MMX$4),Table1[],(MATCH(Calendar!$A6,DB!1:1,0)+2),FALSE),"")</f>
        <v/>
      </c>
      <c r="MMY6" s="27" t="str">
        <f>IFERROR(VLOOKUP(DATE($K$1,$K$2,MMY$4),Table1[],(MATCH(Calendar!$A6,DB!1:1,0)+2),FALSE),"")</f>
        <v/>
      </c>
      <c r="MMZ6" s="27" t="str">
        <f>IFERROR(VLOOKUP(DATE($K$1,$K$2,MMZ$4),Table1[],(MATCH(Calendar!$A6,DB!1:1,0)+2),FALSE),"")</f>
        <v/>
      </c>
      <c r="MNA6" s="27" t="str">
        <f>IFERROR(VLOOKUP(DATE($K$1,$K$2,MNA$4),Table1[],(MATCH(Calendar!$A6,DB!1:1,0)+2),FALSE),"")</f>
        <v/>
      </c>
      <c r="MNB6" s="27" t="str">
        <f>IFERROR(VLOOKUP(DATE($K$1,$K$2,MNB$4),Table1[],(MATCH(Calendar!$A6,DB!1:1,0)+2),FALSE),"")</f>
        <v/>
      </c>
      <c r="MNC6" s="27" t="str">
        <f>IFERROR(VLOOKUP(DATE($K$1,$K$2,MNC$4),Table1[],(MATCH(Calendar!$A6,DB!1:1,0)+2),FALSE),"")</f>
        <v/>
      </c>
      <c r="MND6" s="27" t="str">
        <f>IFERROR(VLOOKUP(DATE($K$1,$K$2,MND$4),Table1[],(MATCH(Calendar!$A6,DB!1:1,0)+2),FALSE),"")</f>
        <v/>
      </c>
      <c r="MNE6" s="27" t="str">
        <f>IFERROR(VLOOKUP(DATE($K$1,$K$2,MNE$4),Table1[],(MATCH(Calendar!$A6,DB!1:1,0)+2),FALSE),"")</f>
        <v/>
      </c>
      <c r="MNF6" s="27" t="str">
        <f>IFERROR(VLOOKUP(DATE($K$1,$K$2,MNF$4),Table1[],(MATCH(Calendar!$A6,DB!1:1,0)+2),FALSE),"")</f>
        <v/>
      </c>
      <c r="MNG6" s="27" t="str">
        <f>IFERROR(VLOOKUP(DATE($K$1,$K$2,MNG$4),Table1[],(MATCH(Calendar!$A6,DB!1:1,0)+2),FALSE),"")</f>
        <v/>
      </c>
      <c r="MNH6" s="27" t="str">
        <f>IFERROR(VLOOKUP(DATE($K$1,$K$2,MNH$4),Table1[],(MATCH(Calendar!$A6,DB!1:1,0)+2),FALSE),"")</f>
        <v/>
      </c>
      <c r="MNI6" s="27" t="str">
        <f>IFERROR(VLOOKUP(DATE($K$1,$K$2,MNI$4),Table1[],(MATCH(Calendar!$A6,DB!1:1,0)+2),FALSE),"")</f>
        <v/>
      </c>
      <c r="MNJ6" s="27" t="str">
        <f>IFERROR(VLOOKUP(DATE($K$1,$K$2,MNJ$4),Table1[],(MATCH(Calendar!$A6,DB!1:1,0)+2),FALSE),"")</f>
        <v/>
      </c>
      <c r="MNK6" s="27" t="str">
        <f>IFERROR(VLOOKUP(DATE($K$1,$K$2,MNK$4),Table1[],(MATCH(Calendar!$A6,DB!1:1,0)+2),FALSE),"")</f>
        <v/>
      </c>
      <c r="MNL6" s="27" t="str">
        <f>IFERROR(VLOOKUP(DATE($K$1,$K$2,MNL$4),Table1[],(MATCH(Calendar!$A6,DB!1:1,0)+2),FALSE),"")</f>
        <v/>
      </c>
      <c r="MNM6" s="27" t="str">
        <f>IFERROR(VLOOKUP(DATE($K$1,$K$2,MNM$4),Table1[],(MATCH(Calendar!$A6,DB!1:1,0)+2),FALSE),"")</f>
        <v/>
      </c>
      <c r="MNN6" s="27" t="str">
        <f>IFERROR(VLOOKUP(DATE($K$1,$K$2,MNN$4),Table1[],(MATCH(Calendar!$A6,DB!1:1,0)+2),FALSE),"")</f>
        <v/>
      </c>
      <c r="MNO6" s="27" t="str">
        <f>IFERROR(VLOOKUP(DATE($K$1,$K$2,MNO$4),Table1[],(MATCH(Calendar!$A6,DB!1:1,0)+2),FALSE),"")</f>
        <v/>
      </c>
      <c r="MNP6" s="27" t="str">
        <f>IFERROR(VLOOKUP(DATE($K$1,$K$2,MNP$4),Table1[],(MATCH(Calendar!$A6,DB!1:1,0)+2),FALSE),"")</f>
        <v/>
      </c>
      <c r="MNQ6" s="27" t="str">
        <f>IFERROR(VLOOKUP(DATE($K$1,$K$2,MNQ$4),Table1[],(MATCH(Calendar!$A6,DB!1:1,0)+2),FALSE),"")</f>
        <v/>
      </c>
      <c r="MNR6" s="27" t="str">
        <f>IFERROR(VLOOKUP(DATE($K$1,$K$2,MNR$4),Table1[],(MATCH(Calendar!$A6,DB!1:1,0)+2),FALSE),"")</f>
        <v/>
      </c>
      <c r="MNS6" s="27" t="str">
        <f>IFERROR(VLOOKUP(DATE($K$1,$K$2,MNS$4),Table1[],(MATCH(Calendar!$A6,DB!1:1,0)+2),FALSE),"")</f>
        <v/>
      </c>
      <c r="MNT6" s="27" t="str">
        <f>IFERROR(VLOOKUP(DATE($K$1,$K$2,MNT$4),Table1[],(MATCH(Calendar!$A6,DB!1:1,0)+2),FALSE),"")</f>
        <v/>
      </c>
      <c r="MNU6" s="27" t="str">
        <f>IFERROR(VLOOKUP(DATE($K$1,$K$2,MNU$4),Table1[],(MATCH(Calendar!$A6,DB!1:1,0)+2),FALSE),"")</f>
        <v/>
      </c>
      <c r="MNV6" s="27" t="str">
        <f>IFERROR(VLOOKUP(DATE($K$1,$K$2,MNV$4),Table1[],(MATCH(Calendar!$A6,DB!1:1,0)+2),FALSE),"")</f>
        <v/>
      </c>
      <c r="MNW6" s="27" t="str">
        <f>IFERROR(VLOOKUP(DATE($K$1,$K$2,MNW$4),Table1[],(MATCH(Calendar!$A6,DB!1:1,0)+2),FALSE),"")</f>
        <v/>
      </c>
      <c r="MNX6" s="27" t="str">
        <f>IFERROR(VLOOKUP(DATE($K$1,$K$2,MNX$4),Table1[],(MATCH(Calendar!$A6,DB!1:1,0)+2),FALSE),"")</f>
        <v/>
      </c>
      <c r="MNY6" s="27" t="str">
        <f>IFERROR(VLOOKUP(DATE($K$1,$K$2,MNY$4),Table1[],(MATCH(Calendar!$A6,DB!1:1,0)+2),FALSE),"")</f>
        <v/>
      </c>
      <c r="MNZ6" s="27" t="str">
        <f>IFERROR(VLOOKUP(DATE($K$1,$K$2,MNZ$4),Table1[],(MATCH(Calendar!$A6,DB!1:1,0)+2),FALSE),"")</f>
        <v/>
      </c>
      <c r="MOA6" s="27" t="str">
        <f>IFERROR(VLOOKUP(DATE($K$1,$K$2,MOA$4),Table1[],(MATCH(Calendar!$A6,DB!1:1,0)+2),FALSE),"")</f>
        <v/>
      </c>
      <c r="MOB6" s="27" t="str">
        <f>IFERROR(VLOOKUP(DATE($K$1,$K$2,MOB$4),Table1[],(MATCH(Calendar!$A6,DB!1:1,0)+2),FALSE),"")</f>
        <v/>
      </c>
      <c r="MOC6" s="27" t="str">
        <f>IFERROR(VLOOKUP(DATE($K$1,$K$2,MOC$4),Table1[],(MATCH(Calendar!$A6,DB!1:1,0)+2),FALSE),"")</f>
        <v/>
      </c>
      <c r="MOD6" s="27" t="str">
        <f>IFERROR(VLOOKUP(DATE($K$1,$K$2,MOD$4),Table1[],(MATCH(Calendar!$A6,DB!1:1,0)+2),FALSE),"")</f>
        <v/>
      </c>
      <c r="MOE6" s="27" t="str">
        <f>IFERROR(VLOOKUP(DATE($K$1,$K$2,MOE$4),Table1[],(MATCH(Calendar!$A6,DB!1:1,0)+2),FALSE),"")</f>
        <v/>
      </c>
      <c r="MOF6" s="27" t="str">
        <f>IFERROR(VLOOKUP(DATE($K$1,$K$2,MOF$4),Table1[],(MATCH(Calendar!$A6,DB!1:1,0)+2),FALSE),"")</f>
        <v/>
      </c>
      <c r="MOG6" s="27" t="str">
        <f>IFERROR(VLOOKUP(DATE($K$1,$K$2,MOG$4),Table1[],(MATCH(Calendar!$A6,DB!1:1,0)+2),FALSE),"")</f>
        <v/>
      </c>
      <c r="MOH6" s="27" t="str">
        <f>IFERROR(VLOOKUP(DATE($K$1,$K$2,MOH$4),Table1[],(MATCH(Calendar!$A6,DB!1:1,0)+2),FALSE),"")</f>
        <v/>
      </c>
      <c r="MOI6" s="27" t="str">
        <f>IFERROR(VLOOKUP(DATE($K$1,$K$2,MOI$4),Table1[],(MATCH(Calendar!$A6,DB!1:1,0)+2),FALSE),"")</f>
        <v/>
      </c>
      <c r="MOJ6" s="27" t="str">
        <f>IFERROR(VLOOKUP(DATE($K$1,$K$2,MOJ$4),Table1[],(MATCH(Calendar!$A6,DB!1:1,0)+2),FALSE),"")</f>
        <v/>
      </c>
      <c r="MOK6" s="27" t="str">
        <f>IFERROR(VLOOKUP(DATE($K$1,$K$2,MOK$4),Table1[],(MATCH(Calendar!$A6,DB!1:1,0)+2),FALSE),"")</f>
        <v/>
      </c>
      <c r="MOL6" s="27" t="str">
        <f>IFERROR(VLOOKUP(DATE($K$1,$K$2,MOL$4),Table1[],(MATCH(Calendar!$A6,DB!1:1,0)+2),FALSE),"")</f>
        <v/>
      </c>
      <c r="MOM6" s="27" t="str">
        <f>IFERROR(VLOOKUP(DATE($K$1,$K$2,MOM$4),Table1[],(MATCH(Calendar!$A6,DB!1:1,0)+2),FALSE),"")</f>
        <v/>
      </c>
      <c r="MON6" s="27" t="str">
        <f>IFERROR(VLOOKUP(DATE($K$1,$K$2,MON$4),Table1[],(MATCH(Calendar!$A6,DB!1:1,0)+2),FALSE),"")</f>
        <v/>
      </c>
      <c r="MOO6" s="27" t="str">
        <f>IFERROR(VLOOKUP(DATE($K$1,$K$2,MOO$4),Table1[],(MATCH(Calendar!$A6,DB!1:1,0)+2),FALSE),"")</f>
        <v/>
      </c>
      <c r="MOP6" s="27" t="str">
        <f>IFERROR(VLOOKUP(DATE($K$1,$K$2,MOP$4),Table1[],(MATCH(Calendar!$A6,DB!1:1,0)+2),FALSE),"")</f>
        <v/>
      </c>
      <c r="MOQ6" s="27" t="str">
        <f>IFERROR(VLOOKUP(DATE($K$1,$K$2,MOQ$4),Table1[],(MATCH(Calendar!$A6,DB!1:1,0)+2),FALSE),"")</f>
        <v/>
      </c>
      <c r="MOR6" s="27" t="str">
        <f>IFERROR(VLOOKUP(DATE($K$1,$K$2,MOR$4),Table1[],(MATCH(Calendar!$A6,DB!1:1,0)+2),FALSE),"")</f>
        <v/>
      </c>
      <c r="MOS6" s="27" t="str">
        <f>IFERROR(VLOOKUP(DATE($K$1,$K$2,MOS$4),Table1[],(MATCH(Calendar!$A6,DB!1:1,0)+2),FALSE),"")</f>
        <v/>
      </c>
      <c r="MOT6" s="27" t="str">
        <f>IFERROR(VLOOKUP(DATE($K$1,$K$2,MOT$4),Table1[],(MATCH(Calendar!$A6,DB!1:1,0)+2),FALSE),"")</f>
        <v/>
      </c>
      <c r="MOU6" s="27" t="str">
        <f>IFERROR(VLOOKUP(DATE($K$1,$K$2,MOU$4),Table1[],(MATCH(Calendar!$A6,DB!1:1,0)+2),FALSE),"")</f>
        <v/>
      </c>
      <c r="MOV6" s="27" t="str">
        <f>IFERROR(VLOOKUP(DATE($K$1,$K$2,MOV$4),Table1[],(MATCH(Calendar!$A6,DB!1:1,0)+2),FALSE),"")</f>
        <v/>
      </c>
      <c r="MOW6" s="27" t="str">
        <f>IFERROR(VLOOKUP(DATE($K$1,$K$2,MOW$4),Table1[],(MATCH(Calendar!$A6,DB!1:1,0)+2),FALSE),"")</f>
        <v/>
      </c>
      <c r="MOX6" s="27" t="str">
        <f>IFERROR(VLOOKUP(DATE($K$1,$K$2,MOX$4),Table1[],(MATCH(Calendar!$A6,DB!1:1,0)+2),FALSE),"")</f>
        <v/>
      </c>
      <c r="MOY6" s="27" t="str">
        <f>IFERROR(VLOOKUP(DATE($K$1,$K$2,MOY$4),Table1[],(MATCH(Calendar!$A6,DB!1:1,0)+2),FALSE),"")</f>
        <v/>
      </c>
      <c r="MOZ6" s="27" t="str">
        <f>IFERROR(VLOOKUP(DATE($K$1,$K$2,MOZ$4),Table1[],(MATCH(Calendar!$A6,DB!1:1,0)+2),FALSE),"")</f>
        <v/>
      </c>
      <c r="MPA6" s="27" t="str">
        <f>IFERROR(VLOOKUP(DATE($K$1,$K$2,MPA$4),Table1[],(MATCH(Calendar!$A6,DB!1:1,0)+2),FALSE),"")</f>
        <v/>
      </c>
      <c r="MPB6" s="27" t="str">
        <f>IFERROR(VLOOKUP(DATE($K$1,$K$2,MPB$4),Table1[],(MATCH(Calendar!$A6,DB!1:1,0)+2),FALSE),"")</f>
        <v/>
      </c>
      <c r="MPC6" s="27" t="str">
        <f>IFERROR(VLOOKUP(DATE($K$1,$K$2,MPC$4),Table1[],(MATCH(Calendar!$A6,DB!1:1,0)+2),FALSE),"")</f>
        <v/>
      </c>
      <c r="MPD6" s="27" t="str">
        <f>IFERROR(VLOOKUP(DATE($K$1,$K$2,MPD$4),Table1[],(MATCH(Calendar!$A6,DB!1:1,0)+2),FALSE),"")</f>
        <v/>
      </c>
      <c r="MPE6" s="27" t="str">
        <f>IFERROR(VLOOKUP(DATE($K$1,$K$2,MPE$4),Table1[],(MATCH(Calendar!$A6,DB!1:1,0)+2),FALSE),"")</f>
        <v/>
      </c>
      <c r="MPF6" s="27" t="str">
        <f>IFERROR(VLOOKUP(DATE($K$1,$K$2,MPF$4),Table1[],(MATCH(Calendar!$A6,DB!1:1,0)+2),FALSE),"")</f>
        <v/>
      </c>
      <c r="MPG6" s="27" t="str">
        <f>IFERROR(VLOOKUP(DATE($K$1,$K$2,MPG$4),Table1[],(MATCH(Calendar!$A6,DB!1:1,0)+2),FALSE),"")</f>
        <v/>
      </c>
      <c r="MPH6" s="27" t="str">
        <f>IFERROR(VLOOKUP(DATE($K$1,$K$2,MPH$4),Table1[],(MATCH(Calendar!$A6,DB!1:1,0)+2),FALSE),"")</f>
        <v/>
      </c>
      <c r="MPI6" s="27" t="str">
        <f>IFERROR(VLOOKUP(DATE($K$1,$K$2,MPI$4),Table1[],(MATCH(Calendar!$A6,DB!1:1,0)+2),FALSE),"")</f>
        <v/>
      </c>
      <c r="MPJ6" s="27" t="str">
        <f>IFERROR(VLOOKUP(DATE($K$1,$K$2,MPJ$4),Table1[],(MATCH(Calendar!$A6,DB!1:1,0)+2),FALSE),"")</f>
        <v/>
      </c>
      <c r="MPK6" s="27" t="str">
        <f>IFERROR(VLOOKUP(DATE($K$1,$K$2,MPK$4),Table1[],(MATCH(Calendar!$A6,DB!1:1,0)+2),FALSE),"")</f>
        <v/>
      </c>
      <c r="MPL6" s="27" t="str">
        <f>IFERROR(VLOOKUP(DATE($K$1,$K$2,MPL$4),Table1[],(MATCH(Calendar!$A6,DB!1:1,0)+2),FALSE),"")</f>
        <v/>
      </c>
      <c r="MPM6" s="27" t="str">
        <f>IFERROR(VLOOKUP(DATE($K$1,$K$2,MPM$4),Table1[],(MATCH(Calendar!$A6,DB!1:1,0)+2),FALSE),"")</f>
        <v/>
      </c>
      <c r="MPN6" s="27" t="str">
        <f>IFERROR(VLOOKUP(DATE($K$1,$K$2,MPN$4),Table1[],(MATCH(Calendar!$A6,DB!1:1,0)+2),FALSE),"")</f>
        <v/>
      </c>
      <c r="MPO6" s="27" t="str">
        <f>IFERROR(VLOOKUP(DATE($K$1,$K$2,MPO$4),Table1[],(MATCH(Calendar!$A6,DB!1:1,0)+2),FALSE),"")</f>
        <v/>
      </c>
      <c r="MPP6" s="27" t="str">
        <f>IFERROR(VLOOKUP(DATE($K$1,$K$2,MPP$4),Table1[],(MATCH(Calendar!$A6,DB!1:1,0)+2),FALSE),"")</f>
        <v/>
      </c>
      <c r="MPQ6" s="27" t="str">
        <f>IFERROR(VLOOKUP(DATE($K$1,$K$2,MPQ$4),Table1[],(MATCH(Calendar!$A6,DB!1:1,0)+2),FALSE),"")</f>
        <v/>
      </c>
      <c r="MPR6" s="27" t="str">
        <f>IFERROR(VLOOKUP(DATE($K$1,$K$2,MPR$4),Table1[],(MATCH(Calendar!$A6,DB!1:1,0)+2),FALSE),"")</f>
        <v/>
      </c>
      <c r="MPS6" s="27" t="str">
        <f>IFERROR(VLOOKUP(DATE($K$1,$K$2,MPS$4),Table1[],(MATCH(Calendar!$A6,DB!1:1,0)+2),FALSE),"")</f>
        <v/>
      </c>
      <c r="MPT6" s="27" t="str">
        <f>IFERROR(VLOOKUP(DATE($K$1,$K$2,MPT$4),Table1[],(MATCH(Calendar!$A6,DB!1:1,0)+2),FALSE),"")</f>
        <v/>
      </c>
      <c r="MPU6" s="27" t="str">
        <f>IFERROR(VLOOKUP(DATE($K$1,$K$2,MPU$4),Table1[],(MATCH(Calendar!$A6,DB!1:1,0)+2),FALSE),"")</f>
        <v/>
      </c>
      <c r="MPV6" s="27" t="str">
        <f>IFERROR(VLOOKUP(DATE($K$1,$K$2,MPV$4),Table1[],(MATCH(Calendar!$A6,DB!1:1,0)+2),FALSE),"")</f>
        <v/>
      </c>
      <c r="MPW6" s="27" t="str">
        <f>IFERROR(VLOOKUP(DATE($K$1,$K$2,MPW$4),Table1[],(MATCH(Calendar!$A6,DB!1:1,0)+2),FALSE),"")</f>
        <v/>
      </c>
      <c r="MPX6" s="27" t="str">
        <f>IFERROR(VLOOKUP(DATE($K$1,$K$2,MPX$4),Table1[],(MATCH(Calendar!$A6,DB!1:1,0)+2),FALSE),"")</f>
        <v/>
      </c>
      <c r="MPY6" s="27" t="str">
        <f>IFERROR(VLOOKUP(DATE($K$1,$K$2,MPY$4),Table1[],(MATCH(Calendar!$A6,DB!1:1,0)+2),FALSE),"")</f>
        <v/>
      </c>
      <c r="MPZ6" s="27" t="str">
        <f>IFERROR(VLOOKUP(DATE($K$1,$K$2,MPZ$4),Table1[],(MATCH(Calendar!$A6,DB!1:1,0)+2),FALSE),"")</f>
        <v/>
      </c>
      <c r="MQA6" s="27" t="str">
        <f>IFERROR(VLOOKUP(DATE($K$1,$K$2,MQA$4),Table1[],(MATCH(Calendar!$A6,DB!1:1,0)+2),FALSE),"")</f>
        <v/>
      </c>
      <c r="MQB6" s="27" t="str">
        <f>IFERROR(VLOOKUP(DATE($K$1,$K$2,MQB$4),Table1[],(MATCH(Calendar!$A6,DB!1:1,0)+2),FALSE),"")</f>
        <v/>
      </c>
      <c r="MQC6" s="27" t="str">
        <f>IFERROR(VLOOKUP(DATE($K$1,$K$2,MQC$4),Table1[],(MATCH(Calendar!$A6,DB!1:1,0)+2),FALSE),"")</f>
        <v/>
      </c>
      <c r="MQD6" s="27" t="str">
        <f>IFERROR(VLOOKUP(DATE($K$1,$K$2,MQD$4),Table1[],(MATCH(Calendar!$A6,DB!1:1,0)+2),FALSE),"")</f>
        <v/>
      </c>
      <c r="MQE6" s="27" t="str">
        <f>IFERROR(VLOOKUP(DATE($K$1,$K$2,MQE$4),Table1[],(MATCH(Calendar!$A6,DB!1:1,0)+2),FALSE),"")</f>
        <v/>
      </c>
      <c r="MQF6" s="27" t="str">
        <f>IFERROR(VLOOKUP(DATE($K$1,$K$2,MQF$4),Table1[],(MATCH(Calendar!$A6,DB!1:1,0)+2),FALSE),"")</f>
        <v/>
      </c>
      <c r="MQG6" s="27" t="str">
        <f>IFERROR(VLOOKUP(DATE($K$1,$K$2,MQG$4),Table1[],(MATCH(Calendar!$A6,DB!1:1,0)+2),FALSE),"")</f>
        <v/>
      </c>
      <c r="MQH6" s="27" t="str">
        <f>IFERROR(VLOOKUP(DATE($K$1,$K$2,MQH$4),Table1[],(MATCH(Calendar!$A6,DB!1:1,0)+2),FALSE),"")</f>
        <v/>
      </c>
      <c r="MQI6" s="27" t="str">
        <f>IFERROR(VLOOKUP(DATE($K$1,$K$2,MQI$4),Table1[],(MATCH(Calendar!$A6,DB!1:1,0)+2),FALSE),"")</f>
        <v/>
      </c>
      <c r="MQJ6" s="27" t="str">
        <f>IFERROR(VLOOKUP(DATE($K$1,$K$2,MQJ$4),Table1[],(MATCH(Calendar!$A6,DB!1:1,0)+2),FALSE),"")</f>
        <v/>
      </c>
      <c r="MQK6" s="27" t="str">
        <f>IFERROR(VLOOKUP(DATE($K$1,$K$2,MQK$4),Table1[],(MATCH(Calendar!$A6,DB!1:1,0)+2),FALSE),"")</f>
        <v/>
      </c>
      <c r="MQL6" s="27" t="str">
        <f>IFERROR(VLOOKUP(DATE($K$1,$K$2,MQL$4),Table1[],(MATCH(Calendar!$A6,DB!1:1,0)+2),FALSE),"")</f>
        <v/>
      </c>
      <c r="MQM6" s="27" t="str">
        <f>IFERROR(VLOOKUP(DATE($K$1,$K$2,MQM$4),Table1[],(MATCH(Calendar!$A6,DB!1:1,0)+2),FALSE),"")</f>
        <v/>
      </c>
      <c r="MQN6" s="27" t="str">
        <f>IFERROR(VLOOKUP(DATE($K$1,$K$2,MQN$4),Table1[],(MATCH(Calendar!$A6,DB!1:1,0)+2),FALSE),"")</f>
        <v/>
      </c>
      <c r="MQO6" s="27" t="str">
        <f>IFERROR(VLOOKUP(DATE($K$1,$K$2,MQO$4),Table1[],(MATCH(Calendar!$A6,DB!1:1,0)+2),FALSE),"")</f>
        <v/>
      </c>
      <c r="MQP6" s="27" t="str">
        <f>IFERROR(VLOOKUP(DATE($K$1,$K$2,MQP$4),Table1[],(MATCH(Calendar!$A6,DB!1:1,0)+2),FALSE),"")</f>
        <v/>
      </c>
      <c r="MQQ6" s="27" t="str">
        <f>IFERROR(VLOOKUP(DATE($K$1,$K$2,MQQ$4),Table1[],(MATCH(Calendar!$A6,DB!1:1,0)+2),FALSE),"")</f>
        <v/>
      </c>
      <c r="MQR6" s="27" t="str">
        <f>IFERROR(VLOOKUP(DATE($K$1,$K$2,MQR$4),Table1[],(MATCH(Calendar!$A6,DB!1:1,0)+2),FALSE),"")</f>
        <v/>
      </c>
      <c r="MQS6" s="27" t="str">
        <f>IFERROR(VLOOKUP(DATE($K$1,$K$2,MQS$4),Table1[],(MATCH(Calendar!$A6,DB!1:1,0)+2),FALSE),"")</f>
        <v/>
      </c>
      <c r="MQT6" s="27" t="str">
        <f>IFERROR(VLOOKUP(DATE($K$1,$K$2,MQT$4),Table1[],(MATCH(Calendar!$A6,DB!1:1,0)+2),FALSE),"")</f>
        <v/>
      </c>
      <c r="MQU6" s="27" t="str">
        <f>IFERROR(VLOOKUP(DATE($K$1,$K$2,MQU$4),Table1[],(MATCH(Calendar!$A6,DB!1:1,0)+2),FALSE),"")</f>
        <v/>
      </c>
      <c r="MQV6" s="27" t="str">
        <f>IFERROR(VLOOKUP(DATE($K$1,$K$2,MQV$4),Table1[],(MATCH(Calendar!$A6,DB!1:1,0)+2),FALSE),"")</f>
        <v/>
      </c>
      <c r="MQW6" s="27" t="str">
        <f>IFERROR(VLOOKUP(DATE($K$1,$K$2,MQW$4),Table1[],(MATCH(Calendar!$A6,DB!1:1,0)+2),FALSE),"")</f>
        <v/>
      </c>
      <c r="MQX6" s="27" t="str">
        <f>IFERROR(VLOOKUP(DATE($K$1,$K$2,MQX$4),Table1[],(MATCH(Calendar!$A6,DB!1:1,0)+2),FALSE),"")</f>
        <v/>
      </c>
      <c r="MQY6" s="27" t="str">
        <f>IFERROR(VLOOKUP(DATE($K$1,$K$2,MQY$4),Table1[],(MATCH(Calendar!$A6,DB!1:1,0)+2),FALSE),"")</f>
        <v/>
      </c>
      <c r="MQZ6" s="27" t="str">
        <f>IFERROR(VLOOKUP(DATE($K$1,$K$2,MQZ$4),Table1[],(MATCH(Calendar!$A6,DB!1:1,0)+2),FALSE),"")</f>
        <v/>
      </c>
      <c r="MRA6" s="27" t="str">
        <f>IFERROR(VLOOKUP(DATE($K$1,$K$2,MRA$4),Table1[],(MATCH(Calendar!$A6,DB!1:1,0)+2),FALSE),"")</f>
        <v/>
      </c>
      <c r="MRB6" s="27" t="str">
        <f>IFERROR(VLOOKUP(DATE($K$1,$K$2,MRB$4),Table1[],(MATCH(Calendar!$A6,DB!1:1,0)+2),FALSE),"")</f>
        <v/>
      </c>
      <c r="MRC6" s="27" t="str">
        <f>IFERROR(VLOOKUP(DATE($K$1,$K$2,MRC$4),Table1[],(MATCH(Calendar!$A6,DB!1:1,0)+2),FALSE),"")</f>
        <v/>
      </c>
      <c r="MRD6" s="27" t="str">
        <f>IFERROR(VLOOKUP(DATE($K$1,$K$2,MRD$4),Table1[],(MATCH(Calendar!$A6,DB!1:1,0)+2),FALSE),"")</f>
        <v/>
      </c>
      <c r="MRE6" s="27" t="str">
        <f>IFERROR(VLOOKUP(DATE($K$1,$K$2,MRE$4),Table1[],(MATCH(Calendar!$A6,DB!1:1,0)+2),FALSE),"")</f>
        <v/>
      </c>
      <c r="MRF6" s="27" t="str">
        <f>IFERROR(VLOOKUP(DATE($K$1,$K$2,MRF$4),Table1[],(MATCH(Calendar!$A6,DB!1:1,0)+2),FALSE),"")</f>
        <v/>
      </c>
      <c r="MRG6" s="27" t="str">
        <f>IFERROR(VLOOKUP(DATE($K$1,$K$2,MRG$4),Table1[],(MATCH(Calendar!$A6,DB!1:1,0)+2),FALSE),"")</f>
        <v/>
      </c>
      <c r="MRH6" s="27" t="str">
        <f>IFERROR(VLOOKUP(DATE($K$1,$K$2,MRH$4),Table1[],(MATCH(Calendar!$A6,DB!1:1,0)+2),FALSE),"")</f>
        <v/>
      </c>
      <c r="MRI6" s="27" t="str">
        <f>IFERROR(VLOOKUP(DATE($K$1,$K$2,MRI$4),Table1[],(MATCH(Calendar!$A6,DB!1:1,0)+2),FALSE),"")</f>
        <v/>
      </c>
      <c r="MRJ6" s="27" t="str">
        <f>IFERROR(VLOOKUP(DATE($K$1,$K$2,MRJ$4),Table1[],(MATCH(Calendar!$A6,DB!1:1,0)+2),FALSE),"")</f>
        <v/>
      </c>
      <c r="MRK6" s="27" t="str">
        <f>IFERROR(VLOOKUP(DATE($K$1,$K$2,MRK$4),Table1[],(MATCH(Calendar!$A6,DB!1:1,0)+2),FALSE),"")</f>
        <v/>
      </c>
      <c r="MRL6" s="27" t="str">
        <f>IFERROR(VLOOKUP(DATE($K$1,$K$2,MRL$4),Table1[],(MATCH(Calendar!$A6,DB!1:1,0)+2),FALSE),"")</f>
        <v/>
      </c>
      <c r="MRM6" s="27" t="str">
        <f>IFERROR(VLOOKUP(DATE($K$1,$K$2,MRM$4),Table1[],(MATCH(Calendar!$A6,DB!1:1,0)+2),FALSE),"")</f>
        <v/>
      </c>
      <c r="MRN6" s="27" t="str">
        <f>IFERROR(VLOOKUP(DATE($K$1,$K$2,MRN$4),Table1[],(MATCH(Calendar!$A6,DB!1:1,0)+2),FALSE),"")</f>
        <v/>
      </c>
      <c r="MRO6" s="27" t="str">
        <f>IFERROR(VLOOKUP(DATE($K$1,$K$2,MRO$4),Table1[],(MATCH(Calendar!$A6,DB!1:1,0)+2),FALSE),"")</f>
        <v/>
      </c>
      <c r="MRP6" s="27" t="str">
        <f>IFERROR(VLOOKUP(DATE($K$1,$K$2,MRP$4),Table1[],(MATCH(Calendar!$A6,DB!1:1,0)+2),FALSE),"")</f>
        <v/>
      </c>
      <c r="MRQ6" s="27" t="str">
        <f>IFERROR(VLOOKUP(DATE($K$1,$K$2,MRQ$4),Table1[],(MATCH(Calendar!$A6,DB!1:1,0)+2),FALSE),"")</f>
        <v/>
      </c>
      <c r="MRR6" s="27" t="str">
        <f>IFERROR(VLOOKUP(DATE($K$1,$K$2,MRR$4),Table1[],(MATCH(Calendar!$A6,DB!1:1,0)+2),FALSE),"")</f>
        <v/>
      </c>
      <c r="MRS6" s="27" t="str">
        <f>IFERROR(VLOOKUP(DATE($K$1,$K$2,MRS$4),Table1[],(MATCH(Calendar!$A6,DB!1:1,0)+2),FALSE),"")</f>
        <v/>
      </c>
      <c r="MRT6" s="27" t="str">
        <f>IFERROR(VLOOKUP(DATE($K$1,$K$2,MRT$4),Table1[],(MATCH(Calendar!$A6,DB!1:1,0)+2),FALSE),"")</f>
        <v/>
      </c>
      <c r="MRU6" s="27" t="str">
        <f>IFERROR(VLOOKUP(DATE($K$1,$K$2,MRU$4),Table1[],(MATCH(Calendar!$A6,DB!1:1,0)+2),FALSE),"")</f>
        <v/>
      </c>
      <c r="MRV6" s="27" t="str">
        <f>IFERROR(VLOOKUP(DATE($K$1,$K$2,MRV$4),Table1[],(MATCH(Calendar!$A6,DB!1:1,0)+2),FALSE),"")</f>
        <v/>
      </c>
      <c r="MRW6" s="27" t="str">
        <f>IFERROR(VLOOKUP(DATE($K$1,$K$2,MRW$4),Table1[],(MATCH(Calendar!$A6,DB!1:1,0)+2),FALSE),"")</f>
        <v/>
      </c>
      <c r="MRX6" s="27" t="str">
        <f>IFERROR(VLOOKUP(DATE($K$1,$K$2,MRX$4),Table1[],(MATCH(Calendar!$A6,DB!1:1,0)+2),FALSE),"")</f>
        <v/>
      </c>
      <c r="MRY6" s="27" t="str">
        <f>IFERROR(VLOOKUP(DATE($K$1,$K$2,MRY$4),Table1[],(MATCH(Calendar!$A6,DB!1:1,0)+2),FALSE),"")</f>
        <v/>
      </c>
      <c r="MRZ6" s="27" t="str">
        <f>IFERROR(VLOOKUP(DATE($K$1,$K$2,MRZ$4),Table1[],(MATCH(Calendar!$A6,DB!1:1,0)+2),FALSE),"")</f>
        <v/>
      </c>
      <c r="MSA6" s="27" t="str">
        <f>IFERROR(VLOOKUP(DATE($K$1,$K$2,MSA$4),Table1[],(MATCH(Calendar!$A6,DB!1:1,0)+2),FALSE),"")</f>
        <v/>
      </c>
      <c r="MSB6" s="27" t="str">
        <f>IFERROR(VLOOKUP(DATE($K$1,$K$2,MSB$4),Table1[],(MATCH(Calendar!$A6,DB!1:1,0)+2),FALSE),"")</f>
        <v/>
      </c>
      <c r="MSC6" s="27" t="str">
        <f>IFERROR(VLOOKUP(DATE($K$1,$K$2,MSC$4),Table1[],(MATCH(Calendar!$A6,DB!1:1,0)+2),FALSE),"")</f>
        <v/>
      </c>
      <c r="MSD6" s="27" t="str">
        <f>IFERROR(VLOOKUP(DATE($K$1,$K$2,MSD$4),Table1[],(MATCH(Calendar!$A6,DB!1:1,0)+2),FALSE),"")</f>
        <v/>
      </c>
      <c r="MSE6" s="27" t="str">
        <f>IFERROR(VLOOKUP(DATE($K$1,$K$2,MSE$4),Table1[],(MATCH(Calendar!$A6,DB!1:1,0)+2),FALSE),"")</f>
        <v/>
      </c>
      <c r="MSF6" s="27" t="str">
        <f>IFERROR(VLOOKUP(DATE($K$1,$K$2,MSF$4),Table1[],(MATCH(Calendar!$A6,DB!1:1,0)+2),FALSE),"")</f>
        <v/>
      </c>
      <c r="MSG6" s="27" t="str">
        <f>IFERROR(VLOOKUP(DATE($K$1,$K$2,MSG$4),Table1[],(MATCH(Calendar!$A6,DB!1:1,0)+2),FALSE),"")</f>
        <v/>
      </c>
      <c r="MSH6" s="27" t="str">
        <f>IFERROR(VLOOKUP(DATE($K$1,$K$2,MSH$4),Table1[],(MATCH(Calendar!$A6,DB!1:1,0)+2),FALSE),"")</f>
        <v/>
      </c>
      <c r="MSI6" s="27" t="str">
        <f>IFERROR(VLOOKUP(DATE($K$1,$K$2,MSI$4),Table1[],(MATCH(Calendar!$A6,DB!1:1,0)+2),FALSE),"")</f>
        <v/>
      </c>
      <c r="MSJ6" s="27" t="str">
        <f>IFERROR(VLOOKUP(DATE($K$1,$K$2,MSJ$4),Table1[],(MATCH(Calendar!$A6,DB!1:1,0)+2),FALSE),"")</f>
        <v/>
      </c>
      <c r="MSK6" s="27" t="str">
        <f>IFERROR(VLOOKUP(DATE($K$1,$K$2,MSK$4),Table1[],(MATCH(Calendar!$A6,DB!1:1,0)+2),FALSE),"")</f>
        <v/>
      </c>
      <c r="MSL6" s="27" t="str">
        <f>IFERROR(VLOOKUP(DATE($K$1,$K$2,MSL$4),Table1[],(MATCH(Calendar!$A6,DB!1:1,0)+2),FALSE),"")</f>
        <v/>
      </c>
      <c r="MSM6" s="27" t="str">
        <f>IFERROR(VLOOKUP(DATE($K$1,$K$2,MSM$4),Table1[],(MATCH(Calendar!$A6,DB!1:1,0)+2),FALSE),"")</f>
        <v/>
      </c>
      <c r="MSN6" s="27" t="str">
        <f>IFERROR(VLOOKUP(DATE($K$1,$K$2,MSN$4),Table1[],(MATCH(Calendar!$A6,DB!1:1,0)+2),FALSE),"")</f>
        <v/>
      </c>
      <c r="MSO6" s="27" t="str">
        <f>IFERROR(VLOOKUP(DATE($K$1,$K$2,MSO$4),Table1[],(MATCH(Calendar!$A6,DB!1:1,0)+2),FALSE),"")</f>
        <v/>
      </c>
      <c r="MSP6" s="27" t="str">
        <f>IFERROR(VLOOKUP(DATE($K$1,$K$2,MSP$4),Table1[],(MATCH(Calendar!$A6,DB!1:1,0)+2),FALSE),"")</f>
        <v/>
      </c>
      <c r="MSQ6" s="27" t="str">
        <f>IFERROR(VLOOKUP(DATE($K$1,$K$2,MSQ$4),Table1[],(MATCH(Calendar!$A6,DB!1:1,0)+2),FALSE),"")</f>
        <v/>
      </c>
      <c r="MSR6" s="27" t="str">
        <f>IFERROR(VLOOKUP(DATE($K$1,$K$2,MSR$4),Table1[],(MATCH(Calendar!$A6,DB!1:1,0)+2),FALSE),"")</f>
        <v/>
      </c>
      <c r="MSS6" s="27" t="str">
        <f>IFERROR(VLOOKUP(DATE($K$1,$K$2,MSS$4),Table1[],(MATCH(Calendar!$A6,DB!1:1,0)+2),FALSE),"")</f>
        <v/>
      </c>
      <c r="MST6" s="27" t="str">
        <f>IFERROR(VLOOKUP(DATE($K$1,$K$2,MST$4),Table1[],(MATCH(Calendar!$A6,DB!1:1,0)+2),FALSE),"")</f>
        <v/>
      </c>
      <c r="MSU6" s="27" t="str">
        <f>IFERROR(VLOOKUP(DATE($K$1,$K$2,MSU$4),Table1[],(MATCH(Calendar!$A6,DB!1:1,0)+2),FALSE),"")</f>
        <v/>
      </c>
      <c r="MSV6" s="27" t="str">
        <f>IFERROR(VLOOKUP(DATE($K$1,$K$2,MSV$4),Table1[],(MATCH(Calendar!$A6,DB!1:1,0)+2),FALSE),"")</f>
        <v/>
      </c>
      <c r="MSW6" s="27" t="str">
        <f>IFERROR(VLOOKUP(DATE($K$1,$K$2,MSW$4),Table1[],(MATCH(Calendar!$A6,DB!1:1,0)+2),FALSE),"")</f>
        <v/>
      </c>
      <c r="MSX6" s="27" t="str">
        <f>IFERROR(VLOOKUP(DATE($K$1,$K$2,MSX$4),Table1[],(MATCH(Calendar!$A6,DB!1:1,0)+2),FALSE),"")</f>
        <v/>
      </c>
      <c r="MSY6" s="27" t="str">
        <f>IFERROR(VLOOKUP(DATE($K$1,$K$2,MSY$4),Table1[],(MATCH(Calendar!$A6,DB!1:1,0)+2),FALSE),"")</f>
        <v/>
      </c>
      <c r="MSZ6" s="27" t="str">
        <f>IFERROR(VLOOKUP(DATE($K$1,$K$2,MSZ$4),Table1[],(MATCH(Calendar!$A6,DB!1:1,0)+2),FALSE),"")</f>
        <v/>
      </c>
      <c r="MTA6" s="27" t="str">
        <f>IFERROR(VLOOKUP(DATE($K$1,$K$2,MTA$4),Table1[],(MATCH(Calendar!$A6,DB!1:1,0)+2),FALSE),"")</f>
        <v/>
      </c>
      <c r="MTB6" s="27" t="str">
        <f>IFERROR(VLOOKUP(DATE($K$1,$K$2,MTB$4),Table1[],(MATCH(Calendar!$A6,DB!1:1,0)+2),FALSE),"")</f>
        <v/>
      </c>
      <c r="MTC6" s="27" t="str">
        <f>IFERROR(VLOOKUP(DATE($K$1,$K$2,MTC$4),Table1[],(MATCH(Calendar!$A6,DB!1:1,0)+2),FALSE),"")</f>
        <v/>
      </c>
      <c r="MTD6" s="27" t="str">
        <f>IFERROR(VLOOKUP(DATE($K$1,$K$2,MTD$4),Table1[],(MATCH(Calendar!$A6,DB!1:1,0)+2),FALSE),"")</f>
        <v/>
      </c>
      <c r="MTE6" s="27" t="str">
        <f>IFERROR(VLOOKUP(DATE($K$1,$K$2,MTE$4),Table1[],(MATCH(Calendar!$A6,DB!1:1,0)+2),FALSE),"")</f>
        <v/>
      </c>
      <c r="MTF6" s="27" t="str">
        <f>IFERROR(VLOOKUP(DATE($K$1,$K$2,MTF$4),Table1[],(MATCH(Calendar!$A6,DB!1:1,0)+2),FALSE),"")</f>
        <v/>
      </c>
      <c r="MTG6" s="27" t="str">
        <f>IFERROR(VLOOKUP(DATE($K$1,$K$2,MTG$4),Table1[],(MATCH(Calendar!$A6,DB!1:1,0)+2),FALSE),"")</f>
        <v/>
      </c>
      <c r="MTH6" s="27" t="str">
        <f>IFERROR(VLOOKUP(DATE($K$1,$K$2,MTH$4),Table1[],(MATCH(Calendar!$A6,DB!1:1,0)+2),FALSE),"")</f>
        <v/>
      </c>
      <c r="MTI6" s="27" t="str">
        <f>IFERROR(VLOOKUP(DATE($K$1,$K$2,MTI$4),Table1[],(MATCH(Calendar!$A6,DB!1:1,0)+2),FALSE),"")</f>
        <v/>
      </c>
      <c r="MTJ6" s="27" t="str">
        <f>IFERROR(VLOOKUP(DATE($K$1,$K$2,MTJ$4),Table1[],(MATCH(Calendar!$A6,DB!1:1,0)+2),FALSE),"")</f>
        <v/>
      </c>
      <c r="MTK6" s="27" t="str">
        <f>IFERROR(VLOOKUP(DATE($K$1,$K$2,MTK$4),Table1[],(MATCH(Calendar!$A6,DB!1:1,0)+2),FALSE),"")</f>
        <v/>
      </c>
      <c r="MTL6" s="27" t="str">
        <f>IFERROR(VLOOKUP(DATE($K$1,$K$2,MTL$4),Table1[],(MATCH(Calendar!$A6,DB!1:1,0)+2),FALSE),"")</f>
        <v/>
      </c>
      <c r="MTM6" s="27" t="str">
        <f>IFERROR(VLOOKUP(DATE($K$1,$K$2,MTM$4),Table1[],(MATCH(Calendar!$A6,DB!1:1,0)+2),FALSE),"")</f>
        <v/>
      </c>
      <c r="MTN6" s="27" t="str">
        <f>IFERROR(VLOOKUP(DATE($K$1,$K$2,MTN$4),Table1[],(MATCH(Calendar!$A6,DB!1:1,0)+2),FALSE),"")</f>
        <v/>
      </c>
      <c r="MTO6" s="27" t="str">
        <f>IFERROR(VLOOKUP(DATE($K$1,$K$2,MTO$4),Table1[],(MATCH(Calendar!$A6,DB!1:1,0)+2),FALSE),"")</f>
        <v/>
      </c>
      <c r="MTP6" s="27" t="str">
        <f>IFERROR(VLOOKUP(DATE($K$1,$K$2,MTP$4),Table1[],(MATCH(Calendar!$A6,DB!1:1,0)+2),FALSE),"")</f>
        <v/>
      </c>
      <c r="MTQ6" s="27" t="str">
        <f>IFERROR(VLOOKUP(DATE($K$1,$K$2,MTQ$4),Table1[],(MATCH(Calendar!$A6,DB!1:1,0)+2),FALSE),"")</f>
        <v/>
      </c>
      <c r="MTR6" s="27" t="str">
        <f>IFERROR(VLOOKUP(DATE($K$1,$K$2,MTR$4),Table1[],(MATCH(Calendar!$A6,DB!1:1,0)+2),FALSE),"")</f>
        <v/>
      </c>
      <c r="MTS6" s="27" t="str">
        <f>IFERROR(VLOOKUP(DATE($K$1,$K$2,MTS$4),Table1[],(MATCH(Calendar!$A6,DB!1:1,0)+2),FALSE),"")</f>
        <v/>
      </c>
      <c r="MTT6" s="27" t="str">
        <f>IFERROR(VLOOKUP(DATE($K$1,$K$2,MTT$4),Table1[],(MATCH(Calendar!$A6,DB!1:1,0)+2),FALSE),"")</f>
        <v/>
      </c>
      <c r="MTU6" s="27" t="str">
        <f>IFERROR(VLOOKUP(DATE($K$1,$K$2,MTU$4),Table1[],(MATCH(Calendar!$A6,DB!1:1,0)+2),FALSE),"")</f>
        <v/>
      </c>
      <c r="MTV6" s="27" t="str">
        <f>IFERROR(VLOOKUP(DATE($K$1,$K$2,MTV$4),Table1[],(MATCH(Calendar!$A6,DB!1:1,0)+2),FALSE),"")</f>
        <v/>
      </c>
      <c r="MTW6" s="27" t="str">
        <f>IFERROR(VLOOKUP(DATE($K$1,$K$2,MTW$4),Table1[],(MATCH(Calendar!$A6,DB!1:1,0)+2),FALSE),"")</f>
        <v/>
      </c>
      <c r="MTX6" s="27" t="str">
        <f>IFERROR(VLOOKUP(DATE($K$1,$K$2,MTX$4),Table1[],(MATCH(Calendar!$A6,DB!1:1,0)+2),FALSE),"")</f>
        <v/>
      </c>
      <c r="MTY6" s="27" t="str">
        <f>IFERROR(VLOOKUP(DATE($K$1,$K$2,MTY$4),Table1[],(MATCH(Calendar!$A6,DB!1:1,0)+2),FALSE),"")</f>
        <v/>
      </c>
      <c r="MTZ6" s="27" t="str">
        <f>IFERROR(VLOOKUP(DATE($K$1,$K$2,MTZ$4),Table1[],(MATCH(Calendar!$A6,DB!1:1,0)+2),FALSE),"")</f>
        <v/>
      </c>
      <c r="MUA6" s="27" t="str">
        <f>IFERROR(VLOOKUP(DATE($K$1,$K$2,MUA$4),Table1[],(MATCH(Calendar!$A6,DB!1:1,0)+2),FALSE),"")</f>
        <v/>
      </c>
      <c r="MUB6" s="27" t="str">
        <f>IFERROR(VLOOKUP(DATE($K$1,$K$2,MUB$4),Table1[],(MATCH(Calendar!$A6,DB!1:1,0)+2),FALSE),"")</f>
        <v/>
      </c>
      <c r="MUC6" s="27" t="str">
        <f>IFERROR(VLOOKUP(DATE($K$1,$K$2,MUC$4),Table1[],(MATCH(Calendar!$A6,DB!1:1,0)+2),FALSE),"")</f>
        <v/>
      </c>
      <c r="MUD6" s="27" t="str">
        <f>IFERROR(VLOOKUP(DATE($K$1,$K$2,MUD$4),Table1[],(MATCH(Calendar!$A6,DB!1:1,0)+2),FALSE),"")</f>
        <v/>
      </c>
      <c r="MUE6" s="27" t="str">
        <f>IFERROR(VLOOKUP(DATE($K$1,$K$2,MUE$4),Table1[],(MATCH(Calendar!$A6,DB!1:1,0)+2),FALSE),"")</f>
        <v/>
      </c>
      <c r="MUF6" s="27" t="str">
        <f>IFERROR(VLOOKUP(DATE($K$1,$K$2,MUF$4),Table1[],(MATCH(Calendar!$A6,DB!1:1,0)+2),FALSE),"")</f>
        <v/>
      </c>
      <c r="MUG6" s="27" t="str">
        <f>IFERROR(VLOOKUP(DATE($K$1,$K$2,MUG$4),Table1[],(MATCH(Calendar!$A6,DB!1:1,0)+2),FALSE),"")</f>
        <v/>
      </c>
      <c r="MUH6" s="27" t="str">
        <f>IFERROR(VLOOKUP(DATE($K$1,$K$2,MUH$4),Table1[],(MATCH(Calendar!$A6,DB!1:1,0)+2),FALSE),"")</f>
        <v/>
      </c>
      <c r="MUI6" s="27" t="str">
        <f>IFERROR(VLOOKUP(DATE($K$1,$K$2,MUI$4),Table1[],(MATCH(Calendar!$A6,DB!1:1,0)+2),FALSE),"")</f>
        <v/>
      </c>
      <c r="MUJ6" s="27" t="str">
        <f>IFERROR(VLOOKUP(DATE($K$1,$K$2,MUJ$4),Table1[],(MATCH(Calendar!$A6,DB!1:1,0)+2),FALSE),"")</f>
        <v/>
      </c>
      <c r="MUK6" s="27" t="str">
        <f>IFERROR(VLOOKUP(DATE($K$1,$K$2,MUK$4),Table1[],(MATCH(Calendar!$A6,DB!1:1,0)+2),FALSE),"")</f>
        <v/>
      </c>
      <c r="MUL6" s="27" t="str">
        <f>IFERROR(VLOOKUP(DATE($K$1,$K$2,MUL$4),Table1[],(MATCH(Calendar!$A6,DB!1:1,0)+2),FALSE),"")</f>
        <v/>
      </c>
      <c r="MUM6" s="27" t="str">
        <f>IFERROR(VLOOKUP(DATE($K$1,$K$2,MUM$4),Table1[],(MATCH(Calendar!$A6,DB!1:1,0)+2),FALSE),"")</f>
        <v/>
      </c>
      <c r="MUN6" s="27" t="str">
        <f>IFERROR(VLOOKUP(DATE($K$1,$K$2,MUN$4),Table1[],(MATCH(Calendar!$A6,DB!1:1,0)+2),FALSE),"")</f>
        <v/>
      </c>
      <c r="MUO6" s="27" t="str">
        <f>IFERROR(VLOOKUP(DATE($K$1,$K$2,MUO$4),Table1[],(MATCH(Calendar!$A6,DB!1:1,0)+2),FALSE),"")</f>
        <v/>
      </c>
      <c r="MUP6" s="27" t="str">
        <f>IFERROR(VLOOKUP(DATE($K$1,$K$2,MUP$4),Table1[],(MATCH(Calendar!$A6,DB!1:1,0)+2),FALSE),"")</f>
        <v/>
      </c>
      <c r="MUQ6" s="27" t="str">
        <f>IFERROR(VLOOKUP(DATE($K$1,$K$2,MUQ$4),Table1[],(MATCH(Calendar!$A6,DB!1:1,0)+2),FALSE),"")</f>
        <v/>
      </c>
      <c r="MUR6" s="27" t="str">
        <f>IFERROR(VLOOKUP(DATE($K$1,$K$2,MUR$4),Table1[],(MATCH(Calendar!$A6,DB!1:1,0)+2),FALSE),"")</f>
        <v/>
      </c>
      <c r="MUS6" s="27" t="str">
        <f>IFERROR(VLOOKUP(DATE($K$1,$K$2,MUS$4),Table1[],(MATCH(Calendar!$A6,DB!1:1,0)+2),FALSE),"")</f>
        <v/>
      </c>
      <c r="MUT6" s="27" t="str">
        <f>IFERROR(VLOOKUP(DATE($K$1,$K$2,MUT$4),Table1[],(MATCH(Calendar!$A6,DB!1:1,0)+2),FALSE),"")</f>
        <v/>
      </c>
      <c r="MUU6" s="27" t="str">
        <f>IFERROR(VLOOKUP(DATE($K$1,$K$2,MUU$4),Table1[],(MATCH(Calendar!$A6,DB!1:1,0)+2),FALSE),"")</f>
        <v/>
      </c>
      <c r="MUV6" s="27" t="str">
        <f>IFERROR(VLOOKUP(DATE($K$1,$K$2,MUV$4),Table1[],(MATCH(Calendar!$A6,DB!1:1,0)+2),FALSE),"")</f>
        <v/>
      </c>
      <c r="MUW6" s="27" t="str">
        <f>IFERROR(VLOOKUP(DATE($K$1,$K$2,MUW$4),Table1[],(MATCH(Calendar!$A6,DB!1:1,0)+2),FALSE),"")</f>
        <v/>
      </c>
      <c r="MUX6" s="27" t="str">
        <f>IFERROR(VLOOKUP(DATE($K$1,$K$2,MUX$4),Table1[],(MATCH(Calendar!$A6,DB!1:1,0)+2),FALSE),"")</f>
        <v/>
      </c>
      <c r="MUY6" s="27" t="str">
        <f>IFERROR(VLOOKUP(DATE($K$1,$K$2,MUY$4),Table1[],(MATCH(Calendar!$A6,DB!1:1,0)+2),FALSE),"")</f>
        <v/>
      </c>
      <c r="MUZ6" s="27" t="str">
        <f>IFERROR(VLOOKUP(DATE($K$1,$K$2,MUZ$4),Table1[],(MATCH(Calendar!$A6,DB!1:1,0)+2),FALSE),"")</f>
        <v/>
      </c>
      <c r="MVA6" s="27" t="str">
        <f>IFERROR(VLOOKUP(DATE($K$1,$K$2,MVA$4),Table1[],(MATCH(Calendar!$A6,DB!1:1,0)+2),FALSE),"")</f>
        <v/>
      </c>
      <c r="MVB6" s="27" t="str">
        <f>IFERROR(VLOOKUP(DATE($K$1,$K$2,MVB$4),Table1[],(MATCH(Calendar!$A6,DB!1:1,0)+2),FALSE),"")</f>
        <v/>
      </c>
      <c r="MVC6" s="27" t="str">
        <f>IFERROR(VLOOKUP(DATE($K$1,$K$2,MVC$4),Table1[],(MATCH(Calendar!$A6,DB!1:1,0)+2),FALSE),"")</f>
        <v/>
      </c>
      <c r="MVD6" s="27" t="str">
        <f>IFERROR(VLOOKUP(DATE($K$1,$K$2,MVD$4),Table1[],(MATCH(Calendar!$A6,DB!1:1,0)+2),FALSE),"")</f>
        <v/>
      </c>
      <c r="MVE6" s="27" t="str">
        <f>IFERROR(VLOOKUP(DATE($K$1,$K$2,MVE$4),Table1[],(MATCH(Calendar!$A6,DB!1:1,0)+2),FALSE),"")</f>
        <v/>
      </c>
      <c r="MVF6" s="27" t="str">
        <f>IFERROR(VLOOKUP(DATE($K$1,$K$2,MVF$4),Table1[],(MATCH(Calendar!$A6,DB!1:1,0)+2),FALSE),"")</f>
        <v/>
      </c>
      <c r="MVG6" s="27" t="str">
        <f>IFERROR(VLOOKUP(DATE($K$1,$K$2,MVG$4),Table1[],(MATCH(Calendar!$A6,DB!1:1,0)+2),FALSE),"")</f>
        <v/>
      </c>
      <c r="MVH6" s="27" t="str">
        <f>IFERROR(VLOOKUP(DATE($K$1,$K$2,MVH$4),Table1[],(MATCH(Calendar!$A6,DB!1:1,0)+2),FALSE),"")</f>
        <v/>
      </c>
      <c r="MVI6" s="27" t="str">
        <f>IFERROR(VLOOKUP(DATE($K$1,$K$2,MVI$4),Table1[],(MATCH(Calendar!$A6,DB!1:1,0)+2),FALSE),"")</f>
        <v/>
      </c>
      <c r="MVJ6" s="27" t="str">
        <f>IFERROR(VLOOKUP(DATE($K$1,$K$2,MVJ$4),Table1[],(MATCH(Calendar!$A6,DB!1:1,0)+2),FALSE),"")</f>
        <v/>
      </c>
      <c r="MVK6" s="27" t="str">
        <f>IFERROR(VLOOKUP(DATE($K$1,$K$2,MVK$4),Table1[],(MATCH(Calendar!$A6,DB!1:1,0)+2),FALSE),"")</f>
        <v/>
      </c>
      <c r="MVL6" s="27" t="str">
        <f>IFERROR(VLOOKUP(DATE($K$1,$K$2,MVL$4),Table1[],(MATCH(Calendar!$A6,DB!1:1,0)+2),FALSE),"")</f>
        <v/>
      </c>
      <c r="MVM6" s="27" t="str">
        <f>IFERROR(VLOOKUP(DATE($K$1,$K$2,MVM$4),Table1[],(MATCH(Calendar!$A6,DB!1:1,0)+2),FALSE),"")</f>
        <v/>
      </c>
      <c r="MVN6" s="27" t="str">
        <f>IFERROR(VLOOKUP(DATE($K$1,$K$2,MVN$4),Table1[],(MATCH(Calendar!$A6,DB!1:1,0)+2),FALSE),"")</f>
        <v/>
      </c>
      <c r="MVO6" s="27" t="str">
        <f>IFERROR(VLOOKUP(DATE($K$1,$K$2,MVO$4),Table1[],(MATCH(Calendar!$A6,DB!1:1,0)+2),FALSE),"")</f>
        <v/>
      </c>
      <c r="MVP6" s="27" t="str">
        <f>IFERROR(VLOOKUP(DATE($K$1,$K$2,MVP$4),Table1[],(MATCH(Calendar!$A6,DB!1:1,0)+2),FALSE),"")</f>
        <v/>
      </c>
      <c r="MVQ6" s="27" t="str">
        <f>IFERROR(VLOOKUP(DATE($K$1,$K$2,MVQ$4),Table1[],(MATCH(Calendar!$A6,DB!1:1,0)+2),FALSE),"")</f>
        <v/>
      </c>
      <c r="MVR6" s="27" t="str">
        <f>IFERROR(VLOOKUP(DATE($K$1,$K$2,MVR$4),Table1[],(MATCH(Calendar!$A6,DB!1:1,0)+2),FALSE),"")</f>
        <v/>
      </c>
      <c r="MVS6" s="27" t="str">
        <f>IFERROR(VLOOKUP(DATE($K$1,$K$2,MVS$4),Table1[],(MATCH(Calendar!$A6,DB!1:1,0)+2),FALSE),"")</f>
        <v/>
      </c>
      <c r="MVT6" s="27" t="str">
        <f>IFERROR(VLOOKUP(DATE($K$1,$K$2,MVT$4),Table1[],(MATCH(Calendar!$A6,DB!1:1,0)+2),FALSE),"")</f>
        <v/>
      </c>
      <c r="MVU6" s="27" t="str">
        <f>IFERROR(VLOOKUP(DATE($K$1,$K$2,MVU$4),Table1[],(MATCH(Calendar!$A6,DB!1:1,0)+2),FALSE),"")</f>
        <v/>
      </c>
      <c r="MVV6" s="27" t="str">
        <f>IFERROR(VLOOKUP(DATE($K$1,$K$2,MVV$4),Table1[],(MATCH(Calendar!$A6,DB!1:1,0)+2),FALSE),"")</f>
        <v/>
      </c>
      <c r="MVW6" s="27" t="str">
        <f>IFERROR(VLOOKUP(DATE($K$1,$K$2,MVW$4),Table1[],(MATCH(Calendar!$A6,DB!1:1,0)+2),FALSE),"")</f>
        <v/>
      </c>
      <c r="MVX6" s="27" t="str">
        <f>IFERROR(VLOOKUP(DATE($K$1,$K$2,MVX$4),Table1[],(MATCH(Calendar!$A6,DB!1:1,0)+2),FALSE),"")</f>
        <v/>
      </c>
      <c r="MVY6" s="27" t="str">
        <f>IFERROR(VLOOKUP(DATE($K$1,$K$2,MVY$4),Table1[],(MATCH(Calendar!$A6,DB!1:1,0)+2),FALSE),"")</f>
        <v/>
      </c>
      <c r="MVZ6" s="27" t="str">
        <f>IFERROR(VLOOKUP(DATE($K$1,$K$2,MVZ$4),Table1[],(MATCH(Calendar!$A6,DB!1:1,0)+2),FALSE),"")</f>
        <v/>
      </c>
      <c r="MWA6" s="27" t="str">
        <f>IFERROR(VLOOKUP(DATE($K$1,$K$2,MWA$4),Table1[],(MATCH(Calendar!$A6,DB!1:1,0)+2),FALSE),"")</f>
        <v/>
      </c>
      <c r="MWB6" s="27" t="str">
        <f>IFERROR(VLOOKUP(DATE($K$1,$K$2,MWB$4),Table1[],(MATCH(Calendar!$A6,DB!1:1,0)+2),FALSE),"")</f>
        <v/>
      </c>
      <c r="MWC6" s="27" t="str">
        <f>IFERROR(VLOOKUP(DATE($K$1,$K$2,MWC$4),Table1[],(MATCH(Calendar!$A6,DB!1:1,0)+2),FALSE),"")</f>
        <v/>
      </c>
      <c r="MWD6" s="27" t="str">
        <f>IFERROR(VLOOKUP(DATE($K$1,$K$2,MWD$4),Table1[],(MATCH(Calendar!$A6,DB!1:1,0)+2),FALSE),"")</f>
        <v/>
      </c>
      <c r="MWE6" s="27" t="str">
        <f>IFERROR(VLOOKUP(DATE($K$1,$K$2,MWE$4),Table1[],(MATCH(Calendar!$A6,DB!1:1,0)+2),FALSE),"")</f>
        <v/>
      </c>
      <c r="MWF6" s="27" t="str">
        <f>IFERROR(VLOOKUP(DATE($K$1,$K$2,MWF$4),Table1[],(MATCH(Calendar!$A6,DB!1:1,0)+2),FALSE),"")</f>
        <v/>
      </c>
      <c r="MWG6" s="27" t="str">
        <f>IFERROR(VLOOKUP(DATE($K$1,$K$2,MWG$4),Table1[],(MATCH(Calendar!$A6,DB!1:1,0)+2),FALSE),"")</f>
        <v/>
      </c>
      <c r="MWH6" s="27" t="str">
        <f>IFERROR(VLOOKUP(DATE($K$1,$K$2,MWH$4),Table1[],(MATCH(Calendar!$A6,DB!1:1,0)+2),FALSE),"")</f>
        <v/>
      </c>
      <c r="MWI6" s="27" t="str">
        <f>IFERROR(VLOOKUP(DATE($K$1,$K$2,MWI$4),Table1[],(MATCH(Calendar!$A6,DB!1:1,0)+2),FALSE),"")</f>
        <v/>
      </c>
      <c r="MWJ6" s="27" t="str">
        <f>IFERROR(VLOOKUP(DATE($K$1,$K$2,MWJ$4),Table1[],(MATCH(Calendar!$A6,DB!1:1,0)+2),FALSE),"")</f>
        <v/>
      </c>
      <c r="MWK6" s="27" t="str">
        <f>IFERROR(VLOOKUP(DATE($K$1,$K$2,MWK$4),Table1[],(MATCH(Calendar!$A6,DB!1:1,0)+2),FALSE),"")</f>
        <v/>
      </c>
      <c r="MWL6" s="27" t="str">
        <f>IFERROR(VLOOKUP(DATE($K$1,$K$2,MWL$4),Table1[],(MATCH(Calendar!$A6,DB!1:1,0)+2),FALSE),"")</f>
        <v/>
      </c>
      <c r="MWM6" s="27" t="str">
        <f>IFERROR(VLOOKUP(DATE($K$1,$K$2,MWM$4),Table1[],(MATCH(Calendar!$A6,DB!1:1,0)+2),FALSE),"")</f>
        <v/>
      </c>
      <c r="MWN6" s="27" t="str">
        <f>IFERROR(VLOOKUP(DATE($K$1,$K$2,MWN$4),Table1[],(MATCH(Calendar!$A6,DB!1:1,0)+2),FALSE),"")</f>
        <v/>
      </c>
      <c r="MWO6" s="27" t="str">
        <f>IFERROR(VLOOKUP(DATE($K$1,$K$2,MWO$4),Table1[],(MATCH(Calendar!$A6,DB!1:1,0)+2),FALSE),"")</f>
        <v/>
      </c>
      <c r="MWP6" s="27" t="str">
        <f>IFERROR(VLOOKUP(DATE($K$1,$K$2,MWP$4),Table1[],(MATCH(Calendar!$A6,DB!1:1,0)+2),FALSE),"")</f>
        <v/>
      </c>
      <c r="MWQ6" s="27" t="str">
        <f>IFERROR(VLOOKUP(DATE($K$1,$K$2,MWQ$4),Table1[],(MATCH(Calendar!$A6,DB!1:1,0)+2),FALSE),"")</f>
        <v/>
      </c>
      <c r="MWR6" s="27" t="str">
        <f>IFERROR(VLOOKUP(DATE($K$1,$K$2,MWR$4),Table1[],(MATCH(Calendar!$A6,DB!1:1,0)+2),FALSE),"")</f>
        <v/>
      </c>
      <c r="MWS6" s="27" t="str">
        <f>IFERROR(VLOOKUP(DATE($K$1,$K$2,MWS$4),Table1[],(MATCH(Calendar!$A6,DB!1:1,0)+2),FALSE),"")</f>
        <v/>
      </c>
      <c r="MWT6" s="27" t="str">
        <f>IFERROR(VLOOKUP(DATE($K$1,$K$2,MWT$4),Table1[],(MATCH(Calendar!$A6,DB!1:1,0)+2),FALSE),"")</f>
        <v/>
      </c>
      <c r="MWU6" s="27" t="str">
        <f>IFERROR(VLOOKUP(DATE($K$1,$K$2,MWU$4),Table1[],(MATCH(Calendar!$A6,DB!1:1,0)+2),FALSE),"")</f>
        <v/>
      </c>
      <c r="MWV6" s="27" t="str">
        <f>IFERROR(VLOOKUP(DATE($K$1,$K$2,MWV$4),Table1[],(MATCH(Calendar!$A6,DB!1:1,0)+2),FALSE),"")</f>
        <v/>
      </c>
      <c r="MWW6" s="27" t="str">
        <f>IFERROR(VLOOKUP(DATE($K$1,$K$2,MWW$4),Table1[],(MATCH(Calendar!$A6,DB!1:1,0)+2),FALSE),"")</f>
        <v/>
      </c>
      <c r="MWX6" s="27" t="str">
        <f>IFERROR(VLOOKUP(DATE($K$1,$K$2,MWX$4),Table1[],(MATCH(Calendar!$A6,DB!1:1,0)+2),FALSE),"")</f>
        <v/>
      </c>
      <c r="MWY6" s="27" t="str">
        <f>IFERROR(VLOOKUP(DATE($K$1,$K$2,MWY$4),Table1[],(MATCH(Calendar!$A6,DB!1:1,0)+2),FALSE),"")</f>
        <v/>
      </c>
      <c r="MWZ6" s="27" t="str">
        <f>IFERROR(VLOOKUP(DATE($K$1,$K$2,MWZ$4),Table1[],(MATCH(Calendar!$A6,DB!1:1,0)+2),FALSE),"")</f>
        <v/>
      </c>
      <c r="MXA6" s="27" t="str">
        <f>IFERROR(VLOOKUP(DATE($K$1,$K$2,MXA$4),Table1[],(MATCH(Calendar!$A6,DB!1:1,0)+2),FALSE),"")</f>
        <v/>
      </c>
      <c r="MXB6" s="27" t="str">
        <f>IFERROR(VLOOKUP(DATE($K$1,$K$2,MXB$4),Table1[],(MATCH(Calendar!$A6,DB!1:1,0)+2),FALSE),"")</f>
        <v/>
      </c>
      <c r="MXC6" s="27" t="str">
        <f>IFERROR(VLOOKUP(DATE($K$1,$K$2,MXC$4),Table1[],(MATCH(Calendar!$A6,DB!1:1,0)+2),FALSE),"")</f>
        <v/>
      </c>
      <c r="MXD6" s="27" t="str">
        <f>IFERROR(VLOOKUP(DATE($K$1,$K$2,MXD$4),Table1[],(MATCH(Calendar!$A6,DB!1:1,0)+2),FALSE),"")</f>
        <v/>
      </c>
      <c r="MXE6" s="27" t="str">
        <f>IFERROR(VLOOKUP(DATE($K$1,$K$2,MXE$4),Table1[],(MATCH(Calendar!$A6,DB!1:1,0)+2),FALSE),"")</f>
        <v/>
      </c>
      <c r="MXF6" s="27" t="str">
        <f>IFERROR(VLOOKUP(DATE($K$1,$K$2,MXF$4),Table1[],(MATCH(Calendar!$A6,DB!1:1,0)+2),FALSE),"")</f>
        <v/>
      </c>
      <c r="MXG6" s="27" t="str">
        <f>IFERROR(VLOOKUP(DATE($K$1,$K$2,MXG$4),Table1[],(MATCH(Calendar!$A6,DB!1:1,0)+2),FALSE),"")</f>
        <v/>
      </c>
      <c r="MXH6" s="27" t="str">
        <f>IFERROR(VLOOKUP(DATE($K$1,$K$2,MXH$4),Table1[],(MATCH(Calendar!$A6,DB!1:1,0)+2),FALSE),"")</f>
        <v/>
      </c>
      <c r="MXI6" s="27" t="str">
        <f>IFERROR(VLOOKUP(DATE($K$1,$K$2,MXI$4),Table1[],(MATCH(Calendar!$A6,DB!1:1,0)+2),FALSE),"")</f>
        <v/>
      </c>
      <c r="MXJ6" s="27" t="str">
        <f>IFERROR(VLOOKUP(DATE($K$1,$K$2,MXJ$4),Table1[],(MATCH(Calendar!$A6,DB!1:1,0)+2),FALSE),"")</f>
        <v/>
      </c>
      <c r="MXK6" s="27" t="str">
        <f>IFERROR(VLOOKUP(DATE($K$1,$K$2,MXK$4),Table1[],(MATCH(Calendar!$A6,DB!1:1,0)+2),FALSE),"")</f>
        <v/>
      </c>
      <c r="MXL6" s="27" t="str">
        <f>IFERROR(VLOOKUP(DATE($K$1,$K$2,MXL$4),Table1[],(MATCH(Calendar!$A6,DB!1:1,0)+2),FALSE),"")</f>
        <v/>
      </c>
      <c r="MXM6" s="27" t="str">
        <f>IFERROR(VLOOKUP(DATE($K$1,$K$2,MXM$4),Table1[],(MATCH(Calendar!$A6,DB!1:1,0)+2),FALSE),"")</f>
        <v/>
      </c>
      <c r="MXN6" s="27" t="str">
        <f>IFERROR(VLOOKUP(DATE($K$1,$K$2,MXN$4),Table1[],(MATCH(Calendar!$A6,DB!1:1,0)+2),FALSE),"")</f>
        <v/>
      </c>
      <c r="MXO6" s="27" t="str">
        <f>IFERROR(VLOOKUP(DATE($K$1,$K$2,MXO$4),Table1[],(MATCH(Calendar!$A6,DB!1:1,0)+2),FALSE),"")</f>
        <v/>
      </c>
      <c r="MXP6" s="27" t="str">
        <f>IFERROR(VLOOKUP(DATE($K$1,$K$2,MXP$4),Table1[],(MATCH(Calendar!$A6,DB!1:1,0)+2),FALSE),"")</f>
        <v/>
      </c>
      <c r="MXQ6" s="27" t="str">
        <f>IFERROR(VLOOKUP(DATE($K$1,$K$2,MXQ$4),Table1[],(MATCH(Calendar!$A6,DB!1:1,0)+2),FALSE),"")</f>
        <v/>
      </c>
      <c r="MXR6" s="27" t="str">
        <f>IFERROR(VLOOKUP(DATE($K$1,$K$2,MXR$4),Table1[],(MATCH(Calendar!$A6,DB!1:1,0)+2),FALSE),"")</f>
        <v/>
      </c>
      <c r="MXS6" s="27" t="str">
        <f>IFERROR(VLOOKUP(DATE($K$1,$K$2,MXS$4),Table1[],(MATCH(Calendar!$A6,DB!1:1,0)+2),FALSE),"")</f>
        <v/>
      </c>
      <c r="MXT6" s="27" t="str">
        <f>IFERROR(VLOOKUP(DATE($K$1,$K$2,MXT$4),Table1[],(MATCH(Calendar!$A6,DB!1:1,0)+2),FALSE),"")</f>
        <v/>
      </c>
      <c r="MXU6" s="27" t="str">
        <f>IFERROR(VLOOKUP(DATE($K$1,$K$2,MXU$4),Table1[],(MATCH(Calendar!$A6,DB!1:1,0)+2),FALSE),"")</f>
        <v/>
      </c>
      <c r="MXV6" s="27" t="str">
        <f>IFERROR(VLOOKUP(DATE($K$1,$K$2,MXV$4),Table1[],(MATCH(Calendar!$A6,DB!1:1,0)+2),FALSE),"")</f>
        <v/>
      </c>
      <c r="MXW6" s="27" t="str">
        <f>IFERROR(VLOOKUP(DATE($K$1,$K$2,MXW$4),Table1[],(MATCH(Calendar!$A6,DB!1:1,0)+2),FALSE),"")</f>
        <v/>
      </c>
      <c r="MXX6" s="27" t="str">
        <f>IFERROR(VLOOKUP(DATE($K$1,$K$2,MXX$4),Table1[],(MATCH(Calendar!$A6,DB!1:1,0)+2),FALSE),"")</f>
        <v/>
      </c>
      <c r="MXY6" s="27" t="str">
        <f>IFERROR(VLOOKUP(DATE($K$1,$K$2,MXY$4),Table1[],(MATCH(Calendar!$A6,DB!1:1,0)+2),FALSE),"")</f>
        <v/>
      </c>
      <c r="MXZ6" s="27" t="str">
        <f>IFERROR(VLOOKUP(DATE($K$1,$K$2,MXZ$4),Table1[],(MATCH(Calendar!$A6,DB!1:1,0)+2),FALSE),"")</f>
        <v/>
      </c>
      <c r="MYA6" s="27" t="str">
        <f>IFERROR(VLOOKUP(DATE($K$1,$K$2,MYA$4),Table1[],(MATCH(Calendar!$A6,DB!1:1,0)+2),FALSE),"")</f>
        <v/>
      </c>
      <c r="MYB6" s="27" t="str">
        <f>IFERROR(VLOOKUP(DATE($K$1,$K$2,MYB$4),Table1[],(MATCH(Calendar!$A6,DB!1:1,0)+2),FALSE),"")</f>
        <v/>
      </c>
      <c r="MYC6" s="27" t="str">
        <f>IFERROR(VLOOKUP(DATE($K$1,$K$2,MYC$4),Table1[],(MATCH(Calendar!$A6,DB!1:1,0)+2),FALSE),"")</f>
        <v/>
      </c>
      <c r="MYD6" s="27" t="str">
        <f>IFERROR(VLOOKUP(DATE($K$1,$K$2,MYD$4),Table1[],(MATCH(Calendar!$A6,DB!1:1,0)+2),FALSE),"")</f>
        <v/>
      </c>
      <c r="MYE6" s="27" t="str">
        <f>IFERROR(VLOOKUP(DATE($K$1,$K$2,MYE$4),Table1[],(MATCH(Calendar!$A6,DB!1:1,0)+2),FALSE),"")</f>
        <v/>
      </c>
      <c r="MYF6" s="27" t="str">
        <f>IFERROR(VLOOKUP(DATE($K$1,$K$2,MYF$4),Table1[],(MATCH(Calendar!$A6,DB!1:1,0)+2),FALSE),"")</f>
        <v/>
      </c>
      <c r="MYG6" s="27" t="str">
        <f>IFERROR(VLOOKUP(DATE($K$1,$K$2,MYG$4),Table1[],(MATCH(Calendar!$A6,DB!1:1,0)+2),FALSE),"")</f>
        <v/>
      </c>
      <c r="MYH6" s="27" t="str">
        <f>IFERROR(VLOOKUP(DATE($K$1,$K$2,MYH$4),Table1[],(MATCH(Calendar!$A6,DB!1:1,0)+2),FALSE),"")</f>
        <v/>
      </c>
      <c r="MYI6" s="27" t="str">
        <f>IFERROR(VLOOKUP(DATE($K$1,$K$2,MYI$4),Table1[],(MATCH(Calendar!$A6,DB!1:1,0)+2),FALSE),"")</f>
        <v/>
      </c>
      <c r="MYJ6" s="27" t="str">
        <f>IFERROR(VLOOKUP(DATE($K$1,$K$2,MYJ$4),Table1[],(MATCH(Calendar!$A6,DB!1:1,0)+2),FALSE),"")</f>
        <v/>
      </c>
      <c r="MYK6" s="27" t="str">
        <f>IFERROR(VLOOKUP(DATE($K$1,$K$2,MYK$4),Table1[],(MATCH(Calendar!$A6,DB!1:1,0)+2),FALSE),"")</f>
        <v/>
      </c>
      <c r="MYL6" s="27" t="str">
        <f>IFERROR(VLOOKUP(DATE($K$1,$K$2,MYL$4),Table1[],(MATCH(Calendar!$A6,DB!1:1,0)+2),FALSE),"")</f>
        <v/>
      </c>
      <c r="MYM6" s="27" t="str">
        <f>IFERROR(VLOOKUP(DATE($K$1,$K$2,MYM$4),Table1[],(MATCH(Calendar!$A6,DB!1:1,0)+2),FALSE),"")</f>
        <v/>
      </c>
      <c r="MYN6" s="27" t="str">
        <f>IFERROR(VLOOKUP(DATE($K$1,$K$2,MYN$4),Table1[],(MATCH(Calendar!$A6,DB!1:1,0)+2),FALSE),"")</f>
        <v/>
      </c>
      <c r="MYO6" s="27" t="str">
        <f>IFERROR(VLOOKUP(DATE($K$1,$K$2,MYO$4),Table1[],(MATCH(Calendar!$A6,DB!1:1,0)+2),FALSE),"")</f>
        <v/>
      </c>
      <c r="MYP6" s="27" t="str">
        <f>IFERROR(VLOOKUP(DATE($K$1,$K$2,MYP$4),Table1[],(MATCH(Calendar!$A6,DB!1:1,0)+2),FALSE),"")</f>
        <v/>
      </c>
      <c r="MYQ6" s="27" t="str">
        <f>IFERROR(VLOOKUP(DATE($K$1,$K$2,MYQ$4),Table1[],(MATCH(Calendar!$A6,DB!1:1,0)+2),FALSE),"")</f>
        <v/>
      </c>
      <c r="MYR6" s="27" t="str">
        <f>IFERROR(VLOOKUP(DATE($K$1,$K$2,MYR$4),Table1[],(MATCH(Calendar!$A6,DB!1:1,0)+2),FALSE),"")</f>
        <v/>
      </c>
      <c r="MYS6" s="27" t="str">
        <f>IFERROR(VLOOKUP(DATE($K$1,$K$2,MYS$4),Table1[],(MATCH(Calendar!$A6,DB!1:1,0)+2),FALSE),"")</f>
        <v/>
      </c>
      <c r="MYT6" s="27" t="str">
        <f>IFERROR(VLOOKUP(DATE($K$1,$K$2,MYT$4),Table1[],(MATCH(Calendar!$A6,DB!1:1,0)+2),FALSE),"")</f>
        <v/>
      </c>
      <c r="MYU6" s="27" t="str">
        <f>IFERROR(VLOOKUP(DATE($K$1,$K$2,MYU$4),Table1[],(MATCH(Calendar!$A6,DB!1:1,0)+2),FALSE),"")</f>
        <v/>
      </c>
      <c r="MYV6" s="27" t="str">
        <f>IFERROR(VLOOKUP(DATE($K$1,$K$2,MYV$4),Table1[],(MATCH(Calendar!$A6,DB!1:1,0)+2),FALSE),"")</f>
        <v/>
      </c>
      <c r="MYW6" s="27" t="str">
        <f>IFERROR(VLOOKUP(DATE($K$1,$K$2,MYW$4),Table1[],(MATCH(Calendar!$A6,DB!1:1,0)+2),FALSE),"")</f>
        <v/>
      </c>
      <c r="MYX6" s="27" t="str">
        <f>IFERROR(VLOOKUP(DATE($K$1,$K$2,MYX$4),Table1[],(MATCH(Calendar!$A6,DB!1:1,0)+2),FALSE),"")</f>
        <v/>
      </c>
      <c r="MYY6" s="27" t="str">
        <f>IFERROR(VLOOKUP(DATE($K$1,$K$2,MYY$4),Table1[],(MATCH(Calendar!$A6,DB!1:1,0)+2),FALSE),"")</f>
        <v/>
      </c>
      <c r="MYZ6" s="27" t="str">
        <f>IFERROR(VLOOKUP(DATE($K$1,$K$2,MYZ$4),Table1[],(MATCH(Calendar!$A6,DB!1:1,0)+2),FALSE),"")</f>
        <v/>
      </c>
      <c r="MZA6" s="27" t="str">
        <f>IFERROR(VLOOKUP(DATE($K$1,$K$2,MZA$4),Table1[],(MATCH(Calendar!$A6,DB!1:1,0)+2),FALSE),"")</f>
        <v/>
      </c>
      <c r="MZB6" s="27" t="str">
        <f>IFERROR(VLOOKUP(DATE($K$1,$K$2,MZB$4),Table1[],(MATCH(Calendar!$A6,DB!1:1,0)+2),FALSE),"")</f>
        <v/>
      </c>
      <c r="MZC6" s="27" t="str">
        <f>IFERROR(VLOOKUP(DATE($K$1,$K$2,MZC$4),Table1[],(MATCH(Calendar!$A6,DB!1:1,0)+2),FALSE),"")</f>
        <v/>
      </c>
      <c r="MZD6" s="27" t="str">
        <f>IFERROR(VLOOKUP(DATE($K$1,$K$2,MZD$4),Table1[],(MATCH(Calendar!$A6,DB!1:1,0)+2),FALSE),"")</f>
        <v/>
      </c>
      <c r="MZE6" s="27" t="str">
        <f>IFERROR(VLOOKUP(DATE($K$1,$K$2,MZE$4),Table1[],(MATCH(Calendar!$A6,DB!1:1,0)+2),FALSE),"")</f>
        <v/>
      </c>
      <c r="MZF6" s="27" t="str">
        <f>IFERROR(VLOOKUP(DATE($K$1,$K$2,MZF$4),Table1[],(MATCH(Calendar!$A6,DB!1:1,0)+2),FALSE),"")</f>
        <v/>
      </c>
      <c r="MZG6" s="27" t="str">
        <f>IFERROR(VLOOKUP(DATE($K$1,$K$2,MZG$4),Table1[],(MATCH(Calendar!$A6,DB!1:1,0)+2),FALSE),"")</f>
        <v/>
      </c>
      <c r="MZH6" s="27" t="str">
        <f>IFERROR(VLOOKUP(DATE($K$1,$K$2,MZH$4),Table1[],(MATCH(Calendar!$A6,DB!1:1,0)+2),FALSE),"")</f>
        <v/>
      </c>
      <c r="MZI6" s="27" t="str">
        <f>IFERROR(VLOOKUP(DATE($K$1,$K$2,MZI$4),Table1[],(MATCH(Calendar!$A6,DB!1:1,0)+2),FALSE),"")</f>
        <v/>
      </c>
      <c r="MZJ6" s="27" t="str">
        <f>IFERROR(VLOOKUP(DATE($K$1,$K$2,MZJ$4),Table1[],(MATCH(Calendar!$A6,DB!1:1,0)+2),FALSE),"")</f>
        <v/>
      </c>
      <c r="MZK6" s="27" t="str">
        <f>IFERROR(VLOOKUP(DATE($K$1,$K$2,MZK$4),Table1[],(MATCH(Calendar!$A6,DB!1:1,0)+2),FALSE),"")</f>
        <v/>
      </c>
      <c r="MZL6" s="27" t="str">
        <f>IFERROR(VLOOKUP(DATE($K$1,$K$2,MZL$4),Table1[],(MATCH(Calendar!$A6,DB!1:1,0)+2),FALSE),"")</f>
        <v/>
      </c>
      <c r="MZM6" s="27" t="str">
        <f>IFERROR(VLOOKUP(DATE($K$1,$K$2,MZM$4),Table1[],(MATCH(Calendar!$A6,DB!1:1,0)+2),FALSE),"")</f>
        <v/>
      </c>
      <c r="MZN6" s="27" t="str">
        <f>IFERROR(VLOOKUP(DATE($K$1,$K$2,MZN$4),Table1[],(MATCH(Calendar!$A6,DB!1:1,0)+2),FALSE),"")</f>
        <v/>
      </c>
      <c r="MZO6" s="27" t="str">
        <f>IFERROR(VLOOKUP(DATE($K$1,$K$2,MZO$4),Table1[],(MATCH(Calendar!$A6,DB!1:1,0)+2),FALSE),"")</f>
        <v/>
      </c>
      <c r="MZP6" s="27" t="str">
        <f>IFERROR(VLOOKUP(DATE($K$1,$K$2,MZP$4),Table1[],(MATCH(Calendar!$A6,DB!1:1,0)+2),FALSE),"")</f>
        <v/>
      </c>
      <c r="MZQ6" s="27" t="str">
        <f>IFERROR(VLOOKUP(DATE($K$1,$K$2,MZQ$4),Table1[],(MATCH(Calendar!$A6,DB!1:1,0)+2),FALSE),"")</f>
        <v/>
      </c>
      <c r="MZR6" s="27" t="str">
        <f>IFERROR(VLOOKUP(DATE($K$1,$K$2,MZR$4),Table1[],(MATCH(Calendar!$A6,DB!1:1,0)+2),FALSE),"")</f>
        <v/>
      </c>
      <c r="MZS6" s="27" t="str">
        <f>IFERROR(VLOOKUP(DATE($K$1,$K$2,MZS$4),Table1[],(MATCH(Calendar!$A6,DB!1:1,0)+2),FALSE),"")</f>
        <v/>
      </c>
      <c r="MZT6" s="27" t="str">
        <f>IFERROR(VLOOKUP(DATE($K$1,$K$2,MZT$4),Table1[],(MATCH(Calendar!$A6,DB!1:1,0)+2),FALSE),"")</f>
        <v/>
      </c>
      <c r="MZU6" s="27" t="str">
        <f>IFERROR(VLOOKUP(DATE($K$1,$K$2,MZU$4),Table1[],(MATCH(Calendar!$A6,DB!1:1,0)+2),FALSE),"")</f>
        <v/>
      </c>
      <c r="MZV6" s="27" t="str">
        <f>IFERROR(VLOOKUP(DATE($K$1,$K$2,MZV$4),Table1[],(MATCH(Calendar!$A6,DB!1:1,0)+2),FALSE),"")</f>
        <v/>
      </c>
      <c r="MZW6" s="27" t="str">
        <f>IFERROR(VLOOKUP(DATE($K$1,$K$2,MZW$4),Table1[],(MATCH(Calendar!$A6,DB!1:1,0)+2),FALSE),"")</f>
        <v/>
      </c>
      <c r="MZX6" s="27" t="str">
        <f>IFERROR(VLOOKUP(DATE($K$1,$K$2,MZX$4),Table1[],(MATCH(Calendar!$A6,DB!1:1,0)+2),FALSE),"")</f>
        <v/>
      </c>
      <c r="MZY6" s="27" t="str">
        <f>IFERROR(VLOOKUP(DATE($K$1,$K$2,MZY$4),Table1[],(MATCH(Calendar!$A6,DB!1:1,0)+2),FALSE),"")</f>
        <v/>
      </c>
      <c r="MZZ6" s="27" t="str">
        <f>IFERROR(VLOOKUP(DATE($K$1,$K$2,MZZ$4),Table1[],(MATCH(Calendar!$A6,DB!1:1,0)+2),FALSE),"")</f>
        <v/>
      </c>
      <c r="NAA6" s="27" t="str">
        <f>IFERROR(VLOOKUP(DATE($K$1,$K$2,NAA$4),Table1[],(MATCH(Calendar!$A6,DB!1:1,0)+2),FALSE),"")</f>
        <v/>
      </c>
      <c r="NAB6" s="27" t="str">
        <f>IFERROR(VLOOKUP(DATE($K$1,$K$2,NAB$4),Table1[],(MATCH(Calendar!$A6,DB!1:1,0)+2),FALSE),"")</f>
        <v/>
      </c>
      <c r="NAC6" s="27" t="str">
        <f>IFERROR(VLOOKUP(DATE($K$1,$K$2,NAC$4),Table1[],(MATCH(Calendar!$A6,DB!1:1,0)+2),FALSE),"")</f>
        <v/>
      </c>
      <c r="NAD6" s="27" t="str">
        <f>IFERROR(VLOOKUP(DATE($K$1,$K$2,NAD$4),Table1[],(MATCH(Calendar!$A6,DB!1:1,0)+2),FALSE),"")</f>
        <v/>
      </c>
      <c r="NAE6" s="27" t="str">
        <f>IFERROR(VLOOKUP(DATE($K$1,$K$2,NAE$4),Table1[],(MATCH(Calendar!$A6,DB!1:1,0)+2),FALSE),"")</f>
        <v/>
      </c>
      <c r="NAF6" s="27" t="str">
        <f>IFERROR(VLOOKUP(DATE($K$1,$K$2,NAF$4),Table1[],(MATCH(Calendar!$A6,DB!1:1,0)+2),FALSE),"")</f>
        <v/>
      </c>
      <c r="NAG6" s="27" t="str">
        <f>IFERROR(VLOOKUP(DATE($K$1,$K$2,NAG$4),Table1[],(MATCH(Calendar!$A6,DB!1:1,0)+2),FALSE),"")</f>
        <v/>
      </c>
      <c r="NAH6" s="27" t="str">
        <f>IFERROR(VLOOKUP(DATE($K$1,$K$2,NAH$4),Table1[],(MATCH(Calendar!$A6,DB!1:1,0)+2),FALSE),"")</f>
        <v/>
      </c>
      <c r="NAI6" s="27" t="str">
        <f>IFERROR(VLOOKUP(DATE($K$1,$K$2,NAI$4),Table1[],(MATCH(Calendar!$A6,DB!1:1,0)+2),FALSE),"")</f>
        <v/>
      </c>
      <c r="NAJ6" s="27" t="str">
        <f>IFERROR(VLOOKUP(DATE($K$1,$K$2,NAJ$4),Table1[],(MATCH(Calendar!$A6,DB!1:1,0)+2),FALSE),"")</f>
        <v/>
      </c>
      <c r="NAK6" s="27" t="str">
        <f>IFERROR(VLOOKUP(DATE($K$1,$K$2,NAK$4),Table1[],(MATCH(Calendar!$A6,DB!1:1,0)+2),FALSE),"")</f>
        <v/>
      </c>
      <c r="NAL6" s="27" t="str">
        <f>IFERROR(VLOOKUP(DATE($K$1,$K$2,NAL$4),Table1[],(MATCH(Calendar!$A6,DB!1:1,0)+2),FALSE),"")</f>
        <v/>
      </c>
      <c r="NAM6" s="27" t="str">
        <f>IFERROR(VLOOKUP(DATE($K$1,$K$2,NAM$4),Table1[],(MATCH(Calendar!$A6,DB!1:1,0)+2),FALSE),"")</f>
        <v/>
      </c>
      <c r="NAN6" s="27" t="str">
        <f>IFERROR(VLOOKUP(DATE($K$1,$K$2,NAN$4),Table1[],(MATCH(Calendar!$A6,DB!1:1,0)+2),FALSE),"")</f>
        <v/>
      </c>
      <c r="NAO6" s="27" t="str">
        <f>IFERROR(VLOOKUP(DATE($K$1,$K$2,NAO$4),Table1[],(MATCH(Calendar!$A6,DB!1:1,0)+2),FALSE),"")</f>
        <v/>
      </c>
      <c r="NAP6" s="27" t="str">
        <f>IFERROR(VLOOKUP(DATE($K$1,$K$2,NAP$4),Table1[],(MATCH(Calendar!$A6,DB!1:1,0)+2),FALSE),"")</f>
        <v/>
      </c>
      <c r="NAQ6" s="27" t="str">
        <f>IFERROR(VLOOKUP(DATE($K$1,$K$2,NAQ$4),Table1[],(MATCH(Calendar!$A6,DB!1:1,0)+2),FALSE),"")</f>
        <v/>
      </c>
      <c r="NAR6" s="27" t="str">
        <f>IFERROR(VLOOKUP(DATE($K$1,$K$2,NAR$4),Table1[],(MATCH(Calendar!$A6,DB!1:1,0)+2),FALSE),"")</f>
        <v/>
      </c>
      <c r="NAS6" s="27" t="str">
        <f>IFERROR(VLOOKUP(DATE($K$1,$K$2,NAS$4),Table1[],(MATCH(Calendar!$A6,DB!1:1,0)+2),FALSE),"")</f>
        <v/>
      </c>
      <c r="NAT6" s="27" t="str">
        <f>IFERROR(VLOOKUP(DATE($K$1,$K$2,NAT$4),Table1[],(MATCH(Calendar!$A6,DB!1:1,0)+2),FALSE),"")</f>
        <v/>
      </c>
      <c r="NAU6" s="27" t="str">
        <f>IFERROR(VLOOKUP(DATE($K$1,$K$2,NAU$4),Table1[],(MATCH(Calendar!$A6,DB!1:1,0)+2),FALSE),"")</f>
        <v/>
      </c>
      <c r="NAV6" s="27" t="str">
        <f>IFERROR(VLOOKUP(DATE($K$1,$K$2,NAV$4),Table1[],(MATCH(Calendar!$A6,DB!1:1,0)+2),FALSE),"")</f>
        <v/>
      </c>
      <c r="NAW6" s="27" t="str">
        <f>IFERROR(VLOOKUP(DATE($K$1,$K$2,NAW$4),Table1[],(MATCH(Calendar!$A6,DB!1:1,0)+2),FALSE),"")</f>
        <v/>
      </c>
      <c r="NAX6" s="27" t="str">
        <f>IFERROR(VLOOKUP(DATE($K$1,$K$2,NAX$4),Table1[],(MATCH(Calendar!$A6,DB!1:1,0)+2),FALSE),"")</f>
        <v/>
      </c>
      <c r="NAY6" s="27" t="str">
        <f>IFERROR(VLOOKUP(DATE($K$1,$K$2,NAY$4),Table1[],(MATCH(Calendar!$A6,DB!1:1,0)+2),FALSE),"")</f>
        <v/>
      </c>
      <c r="NAZ6" s="27" t="str">
        <f>IFERROR(VLOOKUP(DATE($K$1,$K$2,NAZ$4),Table1[],(MATCH(Calendar!$A6,DB!1:1,0)+2),FALSE),"")</f>
        <v/>
      </c>
      <c r="NBA6" s="27" t="str">
        <f>IFERROR(VLOOKUP(DATE($K$1,$K$2,NBA$4),Table1[],(MATCH(Calendar!$A6,DB!1:1,0)+2),FALSE),"")</f>
        <v/>
      </c>
      <c r="NBB6" s="27" t="str">
        <f>IFERROR(VLOOKUP(DATE($K$1,$K$2,NBB$4),Table1[],(MATCH(Calendar!$A6,DB!1:1,0)+2),FALSE),"")</f>
        <v/>
      </c>
      <c r="NBC6" s="27" t="str">
        <f>IFERROR(VLOOKUP(DATE($K$1,$K$2,NBC$4),Table1[],(MATCH(Calendar!$A6,DB!1:1,0)+2),FALSE),"")</f>
        <v/>
      </c>
      <c r="NBD6" s="27" t="str">
        <f>IFERROR(VLOOKUP(DATE($K$1,$K$2,NBD$4),Table1[],(MATCH(Calendar!$A6,DB!1:1,0)+2),FALSE),"")</f>
        <v/>
      </c>
      <c r="NBE6" s="27" t="str">
        <f>IFERROR(VLOOKUP(DATE($K$1,$K$2,NBE$4),Table1[],(MATCH(Calendar!$A6,DB!1:1,0)+2),FALSE),"")</f>
        <v/>
      </c>
      <c r="NBF6" s="27" t="str">
        <f>IFERROR(VLOOKUP(DATE($K$1,$K$2,NBF$4),Table1[],(MATCH(Calendar!$A6,DB!1:1,0)+2),FALSE),"")</f>
        <v/>
      </c>
      <c r="NBG6" s="27" t="str">
        <f>IFERROR(VLOOKUP(DATE($K$1,$K$2,NBG$4),Table1[],(MATCH(Calendar!$A6,DB!1:1,0)+2),FALSE),"")</f>
        <v/>
      </c>
      <c r="NBH6" s="27" t="str">
        <f>IFERROR(VLOOKUP(DATE($K$1,$K$2,NBH$4),Table1[],(MATCH(Calendar!$A6,DB!1:1,0)+2),FALSE),"")</f>
        <v/>
      </c>
      <c r="NBI6" s="27" t="str">
        <f>IFERROR(VLOOKUP(DATE($K$1,$K$2,NBI$4),Table1[],(MATCH(Calendar!$A6,DB!1:1,0)+2),FALSE),"")</f>
        <v/>
      </c>
      <c r="NBJ6" s="27" t="str">
        <f>IFERROR(VLOOKUP(DATE($K$1,$K$2,NBJ$4),Table1[],(MATCH(Calendar!$A6,DB!1:1,0)+2),FALSE),"")</f>
        <v/>
      </c>
      <c r="NBK6" s="27" t="str">
        <f>IFERROR(VLOOKUP(DATE($K$1,$K$2,NBK$4),Table1[],(MATCH(Calendar!$A6,DB!1:1,0)+2),FALSE),"")</f>
        <v/>
      </c>
      <c r="NBL6" s="27" t="str">
        <f>IFERROR(VLOOKUP(DATE($K$1,$K$2,NBL$4),Table1[],(MATCH(Calendar!$A6,DB!1:1,0)+2),FALSE),"")</f>
        <v/>
      </c>
      <c r="NBM6" s="27" t="str">
        <f>IFERROR(VLOOKUP(DATE($K$1,$K$2,NBM$4),Table1[],(MATCH(Calendar!$A6,DB!1:1,0)+2),FALSE),"")</f>
        <v/>
      </c>
      <c r="NBN6" s="27" t="str">
        <f>IFERROR(VLOOKUP(DATE($K$1,$K$2,NBN$4),Table1[],(MATCH(Calendar!$A6,DB!1:1,0)+2),FALSE),"")</f>
        <v/>
      </c>
      <c r="NBO6" s="27" t="str">
        <f>IFERROR(VLOOKUP(DATE($K$1,$K$2,NBO$4),Table1[],(MATCH(Calendar!$A6,DB!1:1,0)+2),FALSE),"")</f>
        <v/>
      </c>
      <c r="NBP6" s="27" t="str">
        <f>IFERROR(VLOOKUP(DATE($K$1,$K$2,NBP$4),Table1[],(MATCH(Calendar!$A6,DB!1:1,0)+2),FALSE),"")</f>
        <v/>
      </c>
      <c r="NBQ6" s="27" t="str">
        <f>IFERROR(VLOOKUP(DATE($K$1,$K$2,NBQ$4),Table1[],(MATCH(Calendar!$A6,DB!1:1,0)+2),FALSE),"")</f>
        <v/>
      </c>
      <c r="NBR6" s="27" t="str">
        <f>IFERROR(VLOOKUP(DATE($K$1,$K$2,NBR$4),Table1[],(MATCH(Calendar!$A6,DB!1:1,0)+2),FALSE),"")</f>
        <v/>
      </c>
      <c r="NBS6" s="27" t="str">
        <f>IFERROR(VLOOKUP(DATE($K$1,$K$2,NBS$4),Table1[],(MATCH(Calendar!$A6,DB!1:1,0)+2),FALSE),"")</f>
        <v/>
      </c>
      <c r="NBT6" s="27" t="str">
        <f>IFERROR(VLOOKUP(DATE($K$1,$K$2,NBT$4),Table1[],(MATCH(Calendar!$A6,DB!1:1,0)+2),FALSE),"")</f>
        <v/>
      </c>
      <c r="NBU6" s="27" t="str">
        <f>IFERROR(VLOOKUP(DATE($K$1,$K$2,NBU$4),Table1[],(MATCH(Calendar!$A6,DB!1:1,0)+2),FALSE),"")</f>
        <v/>
      </c>
      <c r="NBV6" s="27" t="str">
        <f>IFERROR(VLOOKUP(DATE($K$1,$K$2,NBV$4),Table1[],(MATCH(Calendar!$A6,DB!1:1,0)+2),FALSE),"")</f>
        <v/>
      </c>
      <c r="NBW6" s="27" t="str">
        <f>IFERROR(VLOOKUP(DATE($K$1,$K$2,NBW$4),Table1[],(MATCH(Calendar!$A6,DB!1:1,0)+2),FALSE),"")</f>
        <v/>
      </c>
      <c r="NBX6" s="27" t="str">
        <f>IFERROR(VLOOKUP(DATE($K$1,$K$2,NBX$4),Table1[],(MATCH(Calendar!$A6,DB!1:1,0)+2),FALSE),"")</f>
        <v/>
      </c>
      <c r="NBY6" s="27" t="str">
        <f>IFERROR(VLOOKUP(DATE($K$1,$K$2,NBY$4),Table1[],(MATCH(Calendar!$A6,DB!1:1,0)+2),FALSE),"")</f>
        <v/>
      </c>
      <c r="NBZ6" s="27" t="str">
        <f>IFERROR(VLOOKUP(DATE($K$1,$K$2,NBZ$4),Table1[],(MATCH(Calendar!$A6,DB!1:1,0)+2),FALSE),"")</f>
        <v/>
      </c>
      <c r="NCA6" s="27" t="str">
        <f>IFERROR(VLOOKUP(DATE($K$1,$K$2,NCA$4),Table1[],(MATCH(Calendar!$A6,DB!1:1,0)+2),FALSE),"")</f>
        <v/>
      </c>
      <c r="NCB6" s="27" t="str">
        <f>IFERROR(VLOOKUP(DATE($K$1,$K$2,NCB$4),Table1[],(MATCH(Calendar!$A6,DB!1:1,0)+2),FALSE),"")</f>
        <v/>
      </c>
      <c r="NCC6" s="27" t="str">
        <f>IFERROR(VLOOKUP(DATE($K$1,$K$2,NCC$4),Table1[],(MATCH(Calendar!$A6,DB!1:1,0)+2),FALSE),"")</f>
        <v/>
      </c>
      <c r="NCD6" s="27" t="str">
        <f>IFERROR(VLOOKUP(DATE($K$1,$K$2,NCD$4),Table1[],(MATCH(Calendar!$A6,DB!1:1,0)+2),FALSE),"")</f>
        <v/>
      </c>
      <c r="NCE6" s="27" t="str">
        <f>IFERROR(VLOOKUP(DATE($K$1,$K$2,NCE$4),Table1[],(MATCH(Calendar!$A6,DB!1:1,0)+2),FALSE),"")</f>
        <v/>
      </c>
      <c r="NCF6" s="27" t="str">
        <f>IFERROR(VLOOKUP(DATE($K$1,$K$2,NCF$4),Table1[],(MATCH(Calendar!$A6,DB!1:1,0)+2),FALSE),"")</f>
        <v/>
      </c>
      <c r="NCG6" s="27" t="str">
        <f>IFERROR(VLOOKUP(DATE($K$1,$K$2,NCG$4),Table1[],(MATCH(Calendar!$A6,DB!1:1,0)+2),FALSE),"")</f>
        <v/>
      </c>
      <c r="NCH6" s="27" t="str">
        <f>IFERROR(VLOOKUP(DATE($K$1,$K$2,NCH$4),Table1[],(MATCH(Calendar!$A6,DB!1:1,0)+2),FALSE),"")</f>
        <v/>
      </c>
      <c r="NCI6" s="27" t="str">
        <f>IFERROR(VLOOKUP(DATE($K$1,$K$2,NCI$4),Table1[],(MATCH(Calendar!$A6,DB!1:1,0)+2),FALSE),"")</f>
        <v/>
      </c>
      <c r="NCJ6" s="27" t="str">
        <f>IFERROR(VLOOKUP(DATE($K$1,$K$2,NCJ$4),Table1[],(MATCH(Calendar!$A6,DB!1:1,0)+2),FALSE),"")</f>
        <v/>
      </c>
      <c r="NCK6" s="27" t="str">
        <f>IFERROR(VLOOKUP(DATE($K$1,$K$2,NCK$4),Table1[],(MATCH(Calendar!$A6,DB!1:1,0)+2),FALSE),"")</f>
        <v/>
      </c>
      <c r="NCL6" s="27" t="str">
        <f>IFERROR(VLOOKUP(DATE($K$1,$K$2,NCL$4),Table1[],(MATCH(Calendar!$A6,DB!1:1,0)+2),FALSE),"")</f>
        <v/>
      </c>
      <c r="NCM6" s="27" t="str">
        <f>IFERROR(VLOOKUP(DATE($K$1,$K$2,NCM$4),Table1[],(MATCH(Calendar!$A6,DB!1:1,0)+2),FALSE),"")</f>
        <v/>
      </c>
      <c r="NCN6" s="27" t="str">
        <f>IFERROR(VLOOKUP(DATE($K$1,$K$2,NCN$4),Table1[],(MATCH(Calendar!$A6,DB!1:1,0)+2),FALSE),"")</f>
        <v/>
      </c>
      <c r="NCO6" s="27" t="str">
        <f>IFERROR(VLOOKUP(DATE($K$1,$K$2,NCO$4),Table1[],(MATCH(Calendar!$A6,DB!1:1,0)+2),FALSE),"")</f>
        <v/>
      </c>
      <c r="NCP6" s="27" t="str">
        <f>IFERROR(VLOOKUP(DATE($K$1,$K$2,NCP$4),Table1[],(MATCH(Calendar!$A6,DB!1:1,0)+2),FALSE),"")</f>
        <v/>
      </c>
      <c r="NCQ6" s="27" t="str">
        <f>IFERROR(VLOOKUP(DATE($K$1,$K$2,NCQ$4),Table1[],(MATCH(Calendar!$A6,DB!1:1,0)+2),FALSE),"")</f>
        <v/>
      </c>
      <c r="NCR6" s="27" t="str">
        <f>IFERROR(VLOOKUP(DATE($K$1,$K$2,NCR$4),Table1[],(MATCH(Calendar!$A6,DB!1:1,0)+2),FALSE),"")</f>
        <v/>
      </c>
      <c r="NCS6" s="27" t="str">
        <f>IFERROR(VLOOKUP(DATE($K$1,$K$2,NCS$4),Table1[],(MATCH(Calendar!$A6,DB!1:1,0)+2),FALSE),"")</f>
        <v/>
      </c>
      <c r="NCT6" s="27" t="str">
        <f>IFERROR(VLOOKUP(DATE($K$1,$K$2,NCT$4),Table1[],(MATCH(Calendar!$A6,DB!1:1,0)+2),FALSE),"")</f>
        <v/>
      </c>
      <c r="NCU6" s="27" t="str">
        <f>IFERROR(VLOOKUP(DATE($K$1,$K$2,NCU$4),Table1[],(MATCH(Calendar!$A6,DB!1:1,0)+2),FALSE),"")</f>
        <v/>
      </c>
      <c r="NCV6" s="27" t="str">
        <f>IFERROR(VLOOKUP(DATE($K$1,$K$2,NCV$4),Table1[],(MATCH(Calendar!$A6,DB!1:1,0)+2),FALSE),"")</f>
        <v/>
      </c>
      <c r="NCW6" s="27" t="str">
        <f>IFERROR(VLOOKUP(DATE($K$1,$K$2,NCW$4),Table1[],(MATCH(Calendar!$A6,DB!1:1,0)+2),FALSE),"")</f>
        <v/>
      </c>
      <c r="NCX6" s="27" t="str">
        <f>IFERROR(VLOOKUP(DATE($K$1,$K$2,NCX$4),Table1[],(MATCH(Calendar!$A6,DB!1:1,0)+2),FALSE),"")</f>
        <v/>
      </c>
      <c r="NCY6" s="27" t="str">
        <f>IFERROR(VLOOKUP(DATE($K$1,$K$2,NCY$4),Table1[],(MATCH(Calendar!$A6,DB!1:1,0)+2),FALSE),"")</f>
        <v/>
      </c>
      <c r="NCZ6" s="27" t="str">
        <f>IFERROR(VLOOKUP(DATE($K$1,$K$2,NCZ$4),Table1[],(MATCH(Calendar!$A6,DB!1:1,0)+2),FALSE),"")</f>
        <v/>
      </c>
      <c r="NDA6" s="27" t="str">
        <f>IFERROR(VLOOKUP(DATE($K$1,$K$2,NDA$4),Table1[],(MATCH(Calendar!$A6,DB!1:1,0)+2),FALSE),"")</f>
        <v/>
      </c>
      <c r="NDB6" s="27" t="str">
        <f>IFERROR(VLOOKUP(DATE($K$1,$K$2,NDB$4),Table1[],(MATCH(Calendar!$A6,DB!1:1,0)+2),FALSE),"")</f>
        <v/>
      </c>
      <c r="NDC6" s="27" t="str">
        <f>IFERROR(VLOOKUP(DATE($K$1,$K$2,NDC$4),Table1[],(MATCH(Calendar!$A6,DB!1:1,0)+2),FALSE),"")</f>
        <v/>
      </c>
      <c r="NDD6" s="27" t="str">
        <f>IFERROR(VLOOKUP(DATE($K$1,$K$2,NDD$4),Table1[],(MATCH(Calendar!$A6,DB!1:1,0)+2),FALSE),"")</f>
        <v/>
      </c>
      <c r="NDE6" s="27" t="str">
        <f>IFERROR(VLOOKUP(DATE($K$1,$K$2,NDE$4),Table1[],(MATCH(Calendar!$A6,DB!1:1,0)+2),FALSE),"")</f>
        <v/>
      </c>
      <c r="NDF6" s="27" t="str">
        <f>IFERROR(VLOOKUP(DATE($K$1,$K$2,NDF$4),Table1[],(MATCH(Calendar!$A6,DB!1:1,0)+2),FALSE),"")</f>
        <v/>
      </c>
      <c r="NDG6" s="27" t="str">
        <f>IFERROR(VLOOKUP(DATE($K$1,$K$2,NDG$4),Table1[],(MATCH(Calendar!$A6,DB!1:1,0)+2),FALSE),"")</f>
        <v/>
      </c>
      <c r="NDH6" s="27" t="str">
        <f>IFERROR(VLOOKUP(DATE($K$1,$K$2,NDH$4),Table1[],(MATCH(Calendar!$A6,DB!1:1,0)+2),FALSE),"")</f>
        <v/>
      </c>
      <c r="NDI6" s="27" t="str">
        <f>IFERROR(VLOOKUP(DATE($K$1,$K$2,NDI$4),Table1[],(MATCH(Calendar!$A6,DB!1:1,0)+2),FALSE),"")</f>
        <v/>
      </c>
      <c r="NDJ6" s="27" t="str">
        <f>IFERROR(VLOOKUP(DATE($K$1,$K$2,NDJ$4),Table1[],(MATCH(Calendar!$A6,DB!1:1,0)+2),FALSE),"")</f>
        <v/>
      </c>
      <c r="NDK6" s="27" t="str">
        <f>IFERROR(VLOOKUP(DATE($K$1,$K$2,NDK$4),Table1[],(MATCH(Calendar!$A6,DB!1:1,0)+2),FALSE),"")</f>
        <v/>
      </c>
      <c r="NDL6" s="27" t="str">
        <f>IFERROR(VLOOKUP(DATE($K$1,$K$2,NDL$4),Table1[],(MATCH(Calendar!$A6,DB!1:1,0)+2),FALSE),"")</f>
        <v/>
      </c>
      <c r="NDM6" s="27" t="str">
        <f>IFERROR(VLOOKUP(DATE($K$1,$K$2,NDM$4),Table1[],(MATCH(Calendar!$A6,DB!1:1,0)+2),FALSE),"")</f>
        <v/>
      </c>
      <c r="NDN6" s="27" t="str">
        <f>IFERROR(VLOOKUP(DATE($K$1,$K$2,NDN$4),Table1[],(MATCH(Calendar!$A6,DB!1:1,0)+2),FALSE),"")</f>
        <v/>
      </c>
      <c r="NDO6" s="27" t="str">
        <f>IFERROR(VLOOKUP(DATE($K$1,$K$2,NDO$4),Table1[],(MATCH(Calendar!$A6,DB!1:1,0)+2),FALSE),"")</f>
        <v/>
      </c>
      <c r="NDP6" s="27" t="str">
        <f>IFERROR(VLOOKUP(DATE($K$1,$K$2,NDP$4),Table1[],(MATCH(Calendar!$A6,DB!1:1,0)+2),FALSE),"")</f>
        <v/>
      </c>
      <c r="NDQ6" s="27" t="str">
        <f>IFERROR(VLOOKUP(DATE($K$1,$K$2,NDQ$4),Table1[],(MATCH(Calendar!$A6,DB!1:1,0)+2),FALSE),"")</f>
        <v/>
      </c>
      <c r="NDR6" s="27" t="str">
        <f>IFERROR(VLOOKUP(DATE($K$1,$K$2,NDR$4),Table1[],(MATCH(Calendar!$A6,DB!1:1,0)+2),FALSE),"")</f>
        <v/>
      </c>
      <c r="NDS6" s="27" t="str">
        <f>IFERROR(VLOOKUP(DATE($K$1,$K$2,NDS$4),Table1[],(MATCH(Calendar!$A6,DB!1:1,0)+2),FALSE),"")</f>
        <v/>
      </c>
      <c r="NDT6" s="27" t="str">
        <f>IFERROR(VLOOKUP(DATE($K$1,$K$2,NDT$4),Table1[],(MATCH(Calendar!$A6,DB!1:1,0)+2),FALSE),"")</f>
        <v/>
      </c>
      <c r="NDU6" s="27" t="str">
        <f>IFERROR(VLOOKUP(DATE($K$1,$K$2,NDU$4),Table1[],(MATCH(Calendar!$A6,DB!1:1,0)+2),FALSE),"")</f>
        <v/>
      </c>
      <c r="NDV6" s="27" t="str">
        <f>IFERROR(VLOOKUP(DATE($K$1,$K$2,NDV$4),Table1[],(MATCH(Calendar!$A6,DB!1:1,0)+2),FALSE),"")</f>
        <v/>
      </c>
      <c r="NDW6" s="27" t="str">
        <f>IFERROR(VLOOKUP(DATE($K$1,$K$2,NDW$4),Table1[],(MATCH(Calendar!$A6,DB!1:1,0)+2),FALSE),"")</f>
        <v/>
      </c>
      <c r="NDX6" s="27" t="str">
        <f>IFERROR(VLOOKUP(DATE($K$1,$K$2,NDX$4),Table1[],(MATCH(Calendar!$A6,DB!1:1,0)+2),FALSE),"")</f>
        <v/>
      </c>
      <c r="NDY6" s="27" t="str">
        <f>IFERROR(VLOOKUP(DATE($K$1,$K$2,NDY$4),Table1[],(MATCH(Calendar!$A6,DB!1:1,0)+2),FALSE),"")</f>
        <v/>
      </c>
      <c r="NDZ6" s="27" t="str">
        <f>IFERROR(VLOOKUP(DATE($K$1,$K$2,NDZ$4),Table1[],(MATCH(Calendar!$A6,DB!1:1,0)+2),FALSE),"")</f>
        <v/>
      </c>
      <c r="NEA6" s="27" t="str">
        <f>IFERROR(VLOOKUP(DATE($K$1,$K$2,NEA$4),Table1[],(MATCH(Calendar!$A6,DB!1:1,0)+2),FALSE),"")</f>
        <v/>
      </c>
      <c r="NEB6" s="27" t="str">
        <f>IFERROR(VLOOKUP(DATE($K$1,$K$2,NEB$4),Table1[],(MATCH(Calendar!$A6,DB!1:1,0)+2),FALSE),"")</f>
        <v/>
      </c>
      <c r="NEC6" s="27" t="str">
        <f>IFERROR(VLOOKUP(DATE($K$1,$K$2,NEC$4),Table1[],(MATCH(Calendar!$A6,DB!1:1,0)+2),FALSE),"")</f>
        <v/>
      </c>
      <c r="NED6" s="27" t="str">
        <f>IFERROR(VLOOKUP(DATE($K$1,$K$2,NED$4),Table1[],(MATCH(Calendar!$A6,DB!1:1,0)+2),FALSE),"")</f>
        <v/>
      </c>
      <c r="NEE6" s="27" t="str">
        <f>IFERROR(VLOOKUP(DATE($K$1,$K$2,NEE$4),Table1[],(MATCH(Calendar!$A6,DB!1:1,0)+2),FALSE),"")</f>
        <v/>
      </c>
      <c r="NEF6" s="27" t="str">
        <f>IFERROR(VLOOKUP(DATE($K$1,$K$2,NEF$4),Table1[],(MATCH(Calendar!$A6,DB!1:1,0)+2),FALSE),"")</f>
        <v/>
      </c>
      <c r="NEG6" s="27" t="str">
        <f>IFERROR(VLOOKUP(DATE($K$1,$K$2,NEG$4),Table1[],(MATCH(Calendar!$A6,DB!1:1,0)+2),FALSE),"")</f>
        <v/>
      </c>
      <c r="NEH6" s="27" t="str">
        <f>IFERROR(VLOOKUP(DATE($K$1,$K$2,NEH$4),Table1[],(MATCH(Calendar!$A6,DB!1:1,0)+2),FALSE),"")</f>
        <v/>
      </c>
      <c r="NEI6" s="27" t="str">
        <f>IFERROR(VLOOKUP(DATE($K$1,$K$2,NEI$4),Table1[],(MATCH(Calendar!$A6,DB!1:1,0)+2),FALSE),"")</f>
        <v/>
      </c>
      <c r="NEJ6" s="27" t="str">
        <f>IFERROR(VLOOKUP(DATE($K$1,$K$2,NEJ$4),Table1[],(MATCH(Calendar!$A6,DB!1:1,0)+2),FALSE),"")</f>
        <v/>
      </c>
      <c r="NEK6" s="27" t="str">
        <f>IFERROR(VLOOKUP(DATE($K$1,$K$2,NEK$4),Table1[],(MATCH(Calendar!$A6,DB!1:1,0)+2),FALSE),"")</f>
        <v/>
      </c>
      <c r="NEL6" s="27" t="str">
        <f>IFERROR(VLOOKUP(DATE($K$1,$K$2,NEL$4),Table1[],(MATCH(Calendar!$A6,DB!1:1,0)+2),FALSE),"")</f>
        <v/>
      </c>
      <c r="NEM6" s="27" t="str">
        <f>IFERROR(VLOOKUP(DATE($K$1,$K$2,NEM$4),Table1[],(MATCH(Calendar!$A6,DB!1:1,0)+2),FALSE),"")</f>
        <v/>
      </c>
      <c r="NEN6" s="27" t="str">
        <f>IFERROR(VLOOKUP(DATE($K$1,$K$2,NEN$4),Table1[],(MATCH(Calendar!$A6,DB!1:1,0)+2),FALSE),"")</f>
        <v/>
      </c>
      <c r="NEO6" s="27" t="str">
        <f>IFERROR(VLOOKUP(DATE($K$1,$K$2,NEO$4),Table1[],(MATCH(Calendar!$A6,DB!1:1,0)+2),FALSE),"")</f>
        <v/>
      </c>
      <c r="NEP6" s="27" t="str">
        <f>IFERROR(VLOOKUP(DATE($K$1,$K$2,NEP$4),Table1[],(MATCH(Calendar!$A6,DB!1:1,0)+2),FALSE),"")</f>
        <v/>
      </c>
      <c r="NEQ6" s="27" t="str">
        <f>IFERROR(VLOOKUP(DATE($K$1,$K$2,NEQ$4),Table1[],(MATCH(Calendar!$A6,DB!1:1,0)+2),FALSE),"")</f>
        <v/>
      </c>
      <c r="NER6" s="27" t="str">
        <f>IFERROR(VLOOKUP(DATE($K$1,$K$2,NER$4),Table1[],(MATCH(Calendar!$A6,DB!1:1,0)+2),FALSE),"")</f>
        <v/>
      </c>
      <c r="NES6" s="27" t="str">
        <f>IFERROR(VLOOKUP(DATE($K$1,$K$2,NES$4),Table1[],(MATCH(Calendar!$A6,DB!1:1,0)+2),FALSE),"")</f>
        <v/>
      </c>
      <c r="NET6" s="27" t="str">
        <f>IFERROR(VLOOKUP(DATE($K$1,$K$2,NET$4),Table1[],(MATCH(Calendar!$A6,DB!1:1,0)+2),FALSE),"")</f>
        <v/>
      </c>
      <c r="NEU6" s="27" t="str">
        <f>IFERROR(VLOOKUP(DATE($K$1,$K$2,NEU$4),Table1[],(MATCH(Calendar!$A6,DB!1:1,0)+2),FALSE),"")</f>
        <v/>
      </c>
      <c r="NEV6" s="27" t="str">
        <f>IFERROR(VLOOKUP(DATE($K$1,$K$2,NEV$4),Table1[],(MATCH(Calendar!$A6,DB!1:1,0)+2),FALSE),"")</f>
        <v/>
      </c>
      <c r="NEW6" s="27" t="str">
        <f>IFERROR(VLOOKUP(DATE($K$1,$K$2,NEW$4),Table1[],(MATCH(Calendar!$A6,DB!1:1,0)+2),FALSE),"")</f>
        <v/>
      </c>
      <c r="NEX6" s="27" t="str">
        <f>IFERROR(VLOOKUP(DATE($K$1,$K$2,NEX$4),Table1[],(MATCH(Calendar!$A6,DB!1:1,0)+2),FALSE),"")</f>
        <v/>
      </c>
      <c r="NEY6" s="27" t="str">
        <f>IFERROR(VLOOKUP(DATE($K$1,$K$2,NEY$4),Table1[],(MATCH(Calendar!$A6,DB!1:1,0)+2),FALSE),"")</f>
        <v/>
      </c>
      <c r="NEZ6" s="27" t="str">
        <f>IFERROR(VLOOKUP(DATE($K$1,$K$2,NEZ$4),Table1[],(MATCH(Calendar!$A6,DB!1:1,0)+2),FALSE),"")</f>
        <v/>
      </c>
      <c r="NFA6" s="27" t="str">
        <f>IFERROR(VLOOKUP(DATE($K$1,$K$2,NFA$4),Table1[],(MATCH(Calendar!$A6,DB!1:1,0)+2),FALSE),"")</f>
        <v/>
      </c>
      <c r="NFB6" s="27" t="str">
        <f>IFERROR(VLOOKUP(DATE($K$1,$K$2,NFB$4),Table1[],(MATCH(Calendar!$A6,DB!1:1,0)+2),FALSE),"")</f>
        <v/>
      </c>
      <c r="NFC6" s="27" t="str">
        <f>IFERROR(VLOOKUP(DATE($K$1,$K$2,NFC$4),Table1[],(MATCH(Calendar!$A6,DB!1:1,0)+2),FALSE),"")</f>
        <v/>
      </c>
      <c r="NFD6" s="27" t="str">
        <f>IFERROR(VLOOKUP(DATE($K$1,$K$2,NFD$4),Table1[],(MATCH(Calendar!$A6,DB!1:1,0)+2),FALSE),"")</f>
        <v/>
      </c>
      <c r="NFE6" s="27" t="str">
        <f>IFERROR(VLOOKUP(DATE($K$1,$K$2,NFE$4),Table1[],(MATCH(Calendar!$A6,DB!1:1,0)+2),FALSE),"")</f>
        <v/>
      </c>
      <c r="NFF6" s="27" t="str">
        <f>IFERROR(VLOOKUP(DATE($K$1,$K$2,NFF$4),Table1[],(MATCH(Calendar!$A6,DB!1:1,0)+2),FALSE),"")</f>
        <v/>
      </c>
      <c r="NFG6" s="27" t="str">
        <f>IFERROR(VLOOKUP(DATE($K$1,$K$2,NFG$4),Table1[],(MATCH(Calendar!$A6,DB!1:1,0)+2),FALSE),"")</f>
        <v/>
      </c>
      <c r="NFH6" s="27" t="str">
        <f>IFERROR(VLOOKUP(DATE($K$1,$K$2,NFH$4),Table1[],(MATCH(Calendar!$A6,DB!1:1,0)+2),FALSE),"")</f>
        <v/>
      </c>
      <c r="NFI6" s="27" t="str">
        <f>IFERROR(VLOOKUP(DATE($K$1,$K$2,NFI$4),Table1[],(MATCH(Calendar!$A6,DB!1:1,0)+2),FALSE),"")</f>
        <v/>
      </c>
      <c r="NFJ6" s="27" t="str">
        <f>IFERROR(VLOOKUP(DATE($K$1,$K$2,NFJ$4),Table1[],(MATCH(Calendar!$A6,DB!1:1,0)+2),FALSE),"")</f>
        <v/>
      </c>
      <c r="NFK6" s="27" t="str">
        <f>IFERROR(VLOOKUP(DATE($K$1,$K$2,NFK$4),Table1[],(MATCH(Calendar!$A6,DB!1:1,0)+2),FALSE),"")</f>
        <v/>
      </c>
      <c r="NFL6" s="27" t="str">
        <f>IFERROR(VLOOKUP(DATE($K$1,$K$2,NFL$4),Table1[],(MATCH(Calendar!$A6,DB!1:1,0)+2),FALSE),"")</f>
        <v/>
      </c>
      <c r="NFM6" s="27" t="str">
        <f>IFERROR(VLOOKUP(DATE($K$1,$K$2,NFM$4),Table1[],(MATCH(Calendar!$A6,DB!1:1,0)+2),FALSE),"")</f>
        <v/>
      </c>
      <c r="NFN6" s="27" t="str">
        <f>IFERROR(VLOOKUP(DATE($K$1,$K$2,NFN$4),Table1[],(MATCH(Calendar!$A6,DB!1:1,0)+2),FALSE),"")</f>
        <v/>
      </c>
      <c r="NFO6" s="27" t="str">
        <f>IFERROR(VLOOKUP(DATE($K$1,$K$2,NFO$4),Table1[],(MATCH(Calendar!$A6,DB!1:1,0)+2),FALSE),"")</f>
        <v/>
      </c>
      <c r="NFP6" s="27" t="str">
        <f>IFERROR(VLOOKUP(DATE($K$1,$K$2,NFP$4),Table1[],(MATCH(Calendar!$A6,DB!1:1,0)+2),FALSE),"")</f>
        <v/>
      </c>
      <c r="NFQ6" s="27" t="str">
        <f>IFERROR(VLOOKUP(DATE($K$1,$K$2,NFQ$4),Table1[],(MATCH(Calendar!$A6,DB!1:1,0)+2),FALSE),"")</f>
        <v/>
      </c>
      <c r="NFR6" s="27" t="str">
        <f>IFERROR(VLOOKUP(DATE($K$1,$K$2,NFR$4),Table1[],(MATCH(Calendar!$A6,DB!1:1,0)+2),FALSE),"")</f>
        <v/>
      </c>
      <c r="NFS6" s="27" t="str">
        <f>IFERROR(VLOOKUP(DATE($K$1,$K$2,NFS$4),Table1[],(MATCH(Calendar!$A6,DB!1:1,0)+2),FALSE),"")</f>
        <v/>
      </c>
      <c r="NFT6" s="27" t="str">
        <f>IFERROR(VLOOKUP(DATE($K$1,$K$2,NFT$4),Table1[],(MATCH(Calendar!$A6,DB!1:1,0)+2),FALSE),"")</f>
        <v/>
      </c>
      <c r="NFU6" s="27" t="str">
        <f>IFERROR(VLOOKUP(DATE($K$1,$K$2,NFU$4),Table1[],(MATCH(Calendar!$A6,DB!1:1,0)+2),FALSE),"")</f>
        <v/>
      </c>
      <c r="NFV6" s="27" t="str">
        <f>IFERROR(VLOOKUP(DATE($K$1,$K$2,NFV$4),Table1[],(MATCH(Calendar!$A6,DB!1:1,0)+2),FALSE),"")</f>
        <v/>
      </c>
      <c r="NFW6" s="27" t="str">
        <f>IFERROR(VLOOKUP(DATE($K$1,$K$2,NFW$4),Table1[],(MATCH(Calendar!$A6,DB!1:1,0)+2),FALSE),"")</f>
        <v/>
      </c>
      <c r="NFX6" s="27" t="str">
        <f>IFERROR(VLOOKUP(DATE($K$1,$K$2,NFX$4),Table1[],(MATCH(Calendar!$A6,DB!1:1,0)+2),FALSE),"")</f>
        <v/>
      </c>
      <c r="NFY6" s="27" t="str">
        <f>IFERROR(VLOOKUP(DATE($K$1,$K$2,NFY$4),Table1[],(MATCH(Calendar!$A6,DB!1:1,0)+2),FALSE),"")</f>
        <v/>
      </c>
      <c r="NFZ6" s="27" t="str">
        <f>IFERROR(VLOOKUP(DATE($K$1,$K$2,NFZ$4),Table1[],(MATCH(Calendar!$A6,DB!1:1,0)+2),FALSE),"")</f>
        <v/>
      </c>
      <c r="NGA6" s="27" t="str">
        <f>IFERROR(VLOOKUP(DATE($K$1,$K$2,NGA$4),Table1[],(MATCH(Calendar!$A6,DB!1:1,0)+2),FALSE),"")</f>
        <v/>
      </c>
      <c r="NGB6" s="27" t="str">
        <f>IFERROR(VLOOKUP(DATE($K$1,$K$2,NGB$4),Table1[],(MATCH(Calendar!$A6,DB!1:1,0)+2),FALSE),"")</f>
        <v/>
      </c>
      <c r="NGC6" s="27" t="str">
        <f>IFERROR(VLOOKUP(DATE($K$1,$K$2,NGC$4),Table1[],(MATCH(Calendar!$A6,DB!1:1,0)+2),FALSE),"")</f>
        <v/>
      </c>
      <c r="NGD6" s="27" t="str">
        <f>IFERROR(VLOOKUP(DATE($K$1,$K$2,NGD$4),Table1[],(MATCH(Calendar!$A6,DB!1:1,0)+2),FALSE),"")</f>
        <v/>
      </c>
      <c r="NGE6" s="27" t="str">
        <f>IFERROR(VLOOKUP(DATE($K$1,$K$2,NGE$4),Table1[],(MATCH(Calendar!$A6,DB!1:1,0)+2),FALSE),"")</f>
        <v/>
      </c>
      <c r="NGF6" s="27" t="str">
        <f>IFERROR(VLOOKUP(DATE($K$1,$K$2,NGF$4),Table1[],(MATCH(Calendar!$A6,DB!1:1,0)+2),FALSE),"")</f>
        <v/>
      </c>
      <c r="NGG6" s="27" t="str">
        <f>IFERROR(VLOOKUP(DATE($K$1,$K$2,NGG$4),Table1[],(MATCH(Calendar!$A6,DB!1:1,0)+2),FALSE),"")</f>
        <v/>
      </c>
      <c r="NGH6" s="27" t="str">
        <f>IFERROR(VLOOKUP(DATE($K$1,$K$2,NGH$4),Table1[],(MATCH(Calendar!$A6,DB!1:1,0)+2),FALSE),"")</f>
        <v/>
      </c>
      <c r="NGI6" s="27" t="str">
        <f>IFERROR(VLOOKUP(DATE($K$1,$K$2,NGI$4),Table1[],(MATCH(Calendar!$A6,DB!1:1,0)+2),FALSE),"")</f>
        <v/>
      </c>
      <c r="NGJ6" s="27" t="str">
        <f>IFERROR(VLOOKUP(DATE($K$1,$K$2,NGJ$4),Table1[],(MATCH(Calendar!$A6,DB!1:1,0)+2),FALSE),"")</f>
        <v/>
      </c>
      <c r="NGK6" s="27" t="str">
        <f>IFERROR(VLOOKUP(DATE($K$1,$K$2,NGK$4),Table1[],(MATCH(Calendar!$A6,DB!1:1,0)+2),FALSE),"")</f>
        <v/>
      </c>
      <c r="NGL6" s="27" t="str">
        <f>IFERROR(VLOOKUP(DATE($K$1,$K$2,NGL$4),Table1[],(MATCH(Calendar!$A6,DB!1:1,0)+2),FALSE),"")</f>
        <v/>
      </c>
      <c r="NGM6" s="27" t="str">
        <f>IFERROR(VLOOKUP(DATE($K$1,$K$2,NGM$4),Table1[],(MATCH(Calendar!$A6,DB!1:1,0)+2),FALSE),"")</f>
        <v/>
      </c>
      <c r="NGN6" s="27" t="str">
        <f>IFERROR(VLOOKUP(DATE($K$1,$K$2,NGN$4),Table1[],(MATCH(Calendar!$A6,DB!1:1,0)+2),FALSE),"")</f>
        <v/>
      </c>
      <c r="NGO6" s="27" t="str">
        <f>IFERROR(VLOOKUP(DATE($K$1,$K$2,NGO$4),Table1[],(MATCH(Calendar!$A6,DB!1:1,0)+2),FALSE),"")</f>
        <v/>
      </c>
      <c r="NGP6" s="27" t="str">
        <f>IFERROR(VLOOKUP(DATE($K$1,$K$2,NGP$4),Table1[],(MATCH(Calendar!$A6,DB!1:1,0)+2),FALSE),"")</f>
        <v/>
      </c>
      <c r="NGQ6" s="27" t="str">
        <f>IFERROR(VLOOKUP(DATE($K$1,$K$2,NGQ$4),Table1[],(MATCH(Calendar!$A6,DB!1:1,0)+2),FALSE),"")</f>
        <v/>
      </c>
      <c r="NGR6" s="27" t="str">
        <f>IFERROR(VLOOKUP(DATE($K$1,$K$2,NGR$4),Table1[],(MATCH(Calendar!$A6,DB!1:1,0)+2),FALSE),"")</f>
        <v/>
      </c>
      <c r="NGS6" s="27" t="str">
        <f>IFERROR(VLOOKUP(DATE($K$1,$K$2,NGS$4),Table1[],(MATCH(Calendar!$A6,DB!1:1,0)+2),FALSE),"")</f>
        <v/>
      </c>
      <c r="NGT6" s="27" t="str">
        <f>IFERROR(VLOOKUP(DATE($K$1,$K$2,NGT$4),Table1[],(MATCH(Calendar!$A6,DB!1:1,0)+2),FALSE),"")</f>
        <v/>
      </c>
      <c r="NGU6" s="27" t="str">
        <f>IFERROR(VLOOKUP(DATE($K$1,$K$2,NGU$4),Table1[],(MATCH(Calendar!$A6,DB!1:1,0)+2),FALSE),"")</f>
        <v/>
      </c>
      <c r="NGV6" s="27" t="str">
        <f>IFERROR(VLOOKUP(DATE($K$1,$K$2,NGV$4),Table1[],(MATCH(Calendar!$A6,DB!1:1,0)+2),FALSE),"")</f>
        <v/>
      </c>
      <c r="NGW6" s="27" t="str">
        <f>IFERROR(VLOOKUP(DATE($K$1,$K$2,NGW$4),Table1[],(MATCH(Calendar!$A6,DB!1:1,0)+2),FALSE),"")</f>
        <v/>
      </c>
      <c r="NGX6" s="27" t="str">
        <f>IFERROR(VLOOKUP(DATE($K$1,$K$2,NGX$4),Table1[],(MATCH(Calendar!$A6,DB!1:1,0)+2),FALSE),"")</f>
        <v/>
      </c>
      <c r="NGY6" s="27" t="str">
        <f>IFERROR(VLOOKUP(DATE($K$1,$K$2,NGY$4),Table1[],(MATCH(Calendar!$A6,DB!1:1,0)+2),FALSE),"")</f>
        <v/>
      </c>
      <c r="NGZ6" s="27" t="str">
        <f>IFERROR(VLOOKUP(DATE($K$1,$K$2,NGZ$4),Table1[],(MATCH(Calendar!$A6,DB!1:1,0)+2),FALSE),"")</f>
        <v/>
      </c>
      <c r="NHA6" s="27" t="str">
        <f>IFERROR(VLOOKUP(DATE($K$1,$K$2,NHA$4),Table1[],(MATCH(Calendar!$A6,DB!1:1,0)+2),FALSE),"")</f>
        <v/>
      </c>
      <c r="NHB6" s="27" t="str">
        <f>IFERROR(VLOOKUP(DATE($K$1,$K$2,NHB$4),Table1[],(MATCH(Calendar!$A6,DB!1:1,0)+2),FALSE),"")</f>
        <v/>
      </c>
      <c r="NHC6" s="27" t="str">
        <f>IFERROR(VLOOKUP(DATE($K$1,$K$2,NHC$4),Table1[],(MATCH(Calendar!$A6,DB!1:1,0)+2),FALSE),"")</f>
        <v/>
      </c>
      <c r="NHD6" s="27" t="str">
        <f>IFERROR(VLOOKUP(DATE($K$1,$K$2,NHD$4),Table1[],(MATCH(Calendar!$A6,DB!1:1,0)+2),FALSE),"")</f>
        <v/>
      </c>
      <c r="NHE6" s="27" t="str">
        <f>IFERROR(VLOOKUP(DATE($K$1,$K$2,NHE$4),Table1[],(MATCH(Calendar!$A6,DB!1:1,0)+2),FALSE),"")</f>
        <v/>
      </c>
      <c r="NHF6" s="27" t="str">
        <f>IFERROR(VLOOKUP(DATE($K$1,$K$2,NHF$4),Table1[],(MATCH(Calendar!$A6,DB!1:1,0)+2),FALSE),"")</f>
        <v/>
      </c>
      <c r="NHG6" s="27" t="str">
        <f>IFERROR(VLOOKUP(DATE($K$1,$K$2,NHG$4),Table1[],(MATCH(Calendar!$A6,DB!1:1,0)+2),FALSE),"")</f>
        <v/>
      </c>
      <c r="NHH6" s="27" t="str">
        <f>IFERROR(VLOOKUP(DATE($K$1,$K$2,NHH$4),Table1[],(MATCH(Calendar!$A6,DB!1:1,0)+2),FALSE),"")</f>
        <v/>
      </c>
      <c r="NHI6" s="27" t="str">
        <f>IFERROR(VLOOKUP(DATE($K$1,$K$2,NHI$4),Table1[],(MATCH(Calendar!$A6,DB!1:1,0)+2),FALSE),"")</f>
        <v/>
      </c>
      <c r="NHJ6" s="27" t="str">
        <f>IFERROR(VLOOKUP(DATE($K$1,$K$2,NHJ$4),Table1[],(MATCH(Calendar!$A6,DB!1:1,0)+2),FALSE),"")</f>
        <v/>
      </c>
      <c r="NHK6" s="27" t="str">
        <f>IFERROR(VLOOKUP(DATE($K$1,$K$2,NHK$4),Table1[],(MATCH(Calendar!$A6,DB!1:1,0)+2),FALSE),"")</f>
        <v/>
      </c>
      <c r="NHL6" s="27" t="str">
        <f>IFERROR(VLOOKUP(DATE($K$1,$K$2,NHL$4),Table1[],(MATCH(Calendar!$A6,DB!1:1,0)+2),FALSE),"")</f>
        <v/>
      </c>
      <c r="NHM6" s="27" t="str">
        <f>IFERROR(VLOOKUP(DATE($K$1,$K$2,NHM$4),Table1[],(MATCH(Calendar!$A6,DB!1:1,0)+2),FALSE),"")</f>
        <v/>
      </c>
      <c r="NHN6" s="27" t="str">
        <f>IFERROR(VLOOKUP(DATE($K$1,$K$2,NHN$4),Table1[],(MATCH(Calendar!$A6,DB!1:1,0)+2),FALSE),"")</f>
        <v/>
      </c>
      <c r="NHO6" s="27" t="str">
        <f>IFERROR(VLOOKUP(DATE($K$1,$K$2,NHO$4),Table1[],(MATCH(Calendar!$A6,DB!1:1,0)+2),FALSE),"")</f>
        <v/>
      </c>
      <c r="NHP6" s="27" t="str">
        <f>IFERROR(VLOOKUP(DATE($K$1,$K$2,NHP$4),Table1[],(MATCH(Calendar!$A6,DB!1:1,0)+2),FALSE),"")</f>
        <v/>
      </c>
      <c r="NHQ6" s="27" t="str">
        <f>IFERROR(VLOOKUP(DATE($K$1,$K$2,NHQ$4),Table1[],(MATCH(Calendar!$A6,DB!1:1,0)+2),FALSE),"")</f>
        <v/>
      </c>
      <c r="NHR6" s="27" t="str">
        <f>IFERROR(VLOOKUP(DATE($K$1,$K$2,NHR$4),Table1[],(MATCH(Calendar!$A6,DB!1:1,0)+2),FALSE),"")</f>
        <v/>
      </c>
      <c r="NHS6" s="27" t="str">
        <f>IFERROR(VLOOKUP(DATE($K$1,$K$2,NHS$4),Table1[],(MATCH(Calendar!$A6,DB!1:1,0)+2),FALSE),"")</f>
        <v/>
      </c>
      <c r="NHT6" s="27" t="str">
        <f>IFERROR(VLOOKUP(DATE($K$1,$K$2,NHT$4),Table1[],(MATCH(Calendar!$A6,DB!1:1,0)+2),FALSE),"")</f>
        <v/>
      </c>
      <c r="NHU6" s="27" t="str">
        <f>IFERROR(VLOOKUP(DATE($K$1,$K$2,NHU$4),Table1[],(MATCH(Calendar!$A6,DB!1:1,0)+2),FALSE),"")</f>
        <v/>
      </c>
      <c r="NHV6" s="27" t="str">
        <f>IFERROR(VLOOKUP(DATE($K$1,$K$2,NHV$4),Table1[],(MATCH(Calendar!$A6,DB!1:1,0)+2),FALSE),"")</f>
        <v/>
      </c>
      <c r="NHW6" s="27" t="str">
        <f>IFERROR(VLOOKUP(DATE($K$1,$K$2,NHW$4),Table1[],(MATCH(Calendar!$A6,DB!1:1,0)+2),FALSE),"")</f>
        <v/>
      </c>
      <c r="NHX6" s="27" t="str">
        <f>IFERROR(VLOOKUP(DATE($K$1,$K$2,NHX$4),Table1[],(MATCH(Calendar!$A6,DB!1:1,0)+2),FALSE),"")</f>
        <v/>
      </c>
      <c r="NHY6" s="27" t="str">
        <f>IFERROR(VLOOKUP(DATE($K$1,$K$2,NHY$4),Table1[],(MATCH(Calendar!$A6,DB!1:1,0)+2),FALSE),"")</f>
        <v/>
      </c>
      <c r="NHZ6" s="27" t="str">
        <f>IFERROR(VLOOKUP(DATE($K$1,$K$2,NHZ$4),Table1[],(MATCH(Calendar!$A6,DB!1:1,0)+2),FALSE),"")</f>
        <v/>
      </c>
      <c r="NIA6" s="27" t="str">
        <f>IFERROR(VLOOKUP(DATE($K$1,$K$2,NIA$4),Table1[],(MATCH(Calendar!$A6,DB!1:1,0)+2),FALSE),"")</f>
        <v/>
      </c>
      <c r="NIB6" s="27" t="str">
        <f>IFERROR(VLOOKUP(DATE($K$1,$K$2,NIB$4),Table1[],(MATCH(Calendar!$A6,DB!1:1,0)+2),FALSE),"")</f>
        <v/>
      </c>
      <c r="NIC6" s="27" t="str">
        <f>IFERROR(VLOOKUP(DATE($K$1,$K$2,NIC$4),Table1[],(MATCH(Calendar!$A6,DB!1:1,0)+2),FALSE),"")</f>
        <v/>
      </c>
      <c r="NID6" s="27" t="str">
        <f>IFERROR(VLOOKUP(DATE($K$1,$K$2,NID$4),Table1[],(MATCH(Calendar!$A6,DB!1:1,0)+2),FALSE),"")</f>
        <v/>
      </c>
      <c r="NIE6" s="27" t="str">
        <f>IFERROR(VLOOKUP(DATE($K$1,$K$2,NIE$4),Table1[],(MATCH(Calendar!$A6,DB!1:1,0)+2),FALSE),"")</f>
        <v/>
      </c>
      <c r="NIF6" s="27" t="str">
        <f>IFERROR(VLOOKUP(DATE($K$1,$K$2,NIF$4),Table1[],(MATCH(Calendar!$A6,DB!1:1,0)+2),FALSE),"")</f>
        <v/>
      </c>
      <c r="NIG6" s="27" t="str">
        <f>IFERROR(VLOOKUP(DATE($K$1,$K$2,NIG$4),Table1[],(MATCH(Calendar!$A6,DB!1:1,0)+2),FALSE),"")</f>
        <v/>
      </c>
      <c r="NIH6" s="27" t="str">
        <f>IFERROR(VLOOKUP(DATE($K$1,$K$2,NIH$4),Table1[],(MATCH(Calendar!$A6,DB!1:1,0)+2),FALSE),"")</f>
        <v/>
      </c>
      <c r="NII6" s="27" t="str">
        <f>IFERROR(VLOOKUP(DATE($K$1,$K$2,NII$4),Table1[],(MATCH(Calendar!$A6,DB!1:1,0)+2),FALSE),"")</f>
        <v/>
      </c>
      <c r="NIJ6" s="27" t="str">
        <f>IFERROR(VLOOKUP(DATE($K$1,$K$2,NIJ$4),Table1[],(MATCH(Calendar!$A6,DB!1:1,0)+2),FALSE),"")</f>
        <v/>
      </c>
      <c r="NIK6" s="27" t="str">
        <f>IFERROR(VLOOKUP(DATE($K$1,$K$2,NIK$4),Table1[],(MATCH(Calendar!$A6,DB!1:1,0)+2),FALSE),"")</f>
        <v/>
      </c>
      <c r="NIL6" s="27" t="str">
        <f>IFERROR(VLOOKUP(DATE($K$1,$K$2,NIL$4),Table1[],(MATCH(Calendar!$A6,DB!1:1,0)+2),FALSE),"")</f>
        <v/>
      </c>
      <c r="NIM6" s="27" t="str">
        <f>IFERROR(VLOOKUP(DATE($K$1,$K$2,NIM$4),Table1[],(MATCH(Calendar!$A6,DB!1:1,0)+2),FALSE),"")</f>
        <v/>
      </c>
      <c r="NIN6" s="27" t="str">
        <f>IFERROR(VLOOKUP(DATE($K$1,$K$2,NIN$4),Table1[],(MATCH(Calendar!$A6,DB!1:1,0)+2),FALSE),"")</f>
        <v/>
      </c>
      <c r="NIO6" s="27" t="str">
        <f>IFERROR(VLOOKUP(DATE($K$1,$K$2,NIO$4),Table1[],(MATCH(Calendar!$A6,DB!1:1,0)+2),FALSE),"")</f>
        <v/>
      </c>
      <c r="NIP6" s="27" t="str">
        <f>IFERROR(VLOOKUP(DATE($K$1,$K$2,NIP$4),Table1[],(MATCH(Calendar!$A6,DB!1:1,0)+2),FALSE),"")</f>
        <v/>
      </c>
      <c r="NIQ6" s="27" t="str">
        <f>IFERROR(VLOOKUP(DATE($K$1,$K$2,NIQ$4),Table1[],(MATCH(Calendar!$A6,DB!1:1,0)+2),FALSE),"")</f>
        <v/>
      </c>
      <c r="NIR6" s="27" t="str">
        <f>IFERROR(VLOOKUP(DATE($K$1,$K$2,NIR$4),Table1[],(MATCH(Calendar!$A6,DB!1:1,0)+2),FALSE),"")</f>
        <v/>
      </c>
      <c r="NIS6" s="27" t="str">
        <f>IFERROR(VLOOKUP(DATE($K$1,$K$2,NIS$4),Table1[],(MATCH(Calendar!$A6,DB!1:1,0)+2),FALSE),"")</f>
        <v/>
      </c>
      <c r="NIT6" s="27" t="str">
        <f>IFERROR(VLOOKUP(DATE($K$1,$K$2,NIT$4),Table1[],(MATCH(Calendar!$A6,DB!1:1,0)+2),FALSE),"")</f>
        <v/>
      </c>
      <c r="NIU6" s="27" t="str">
        <f>IFERROR(VLOOKUP(DATE($K$1,$K$2,NIU$4),Table1[],(MATCH(Calendar!$A6,DB!1:1,0)+2),FALSE),"")</f>
        <v/>
      </c>
      <c r="NIV6" s="27" t="str">
        <f>IFERROR(VLOOKUP(DATE($K$1,$K$2,NIV$4),Table1[],(MATCH(Calendar!$A6,DB!1:1,0)+2),FALSE),"")</f>
        <v/>
      </c>
      <c r="NIW6" s="27" t="str">
        <f>IFERROR(VLOOKUP(DATE($K$1,$K$2,NIW$4),Table1[],(MATCH(Calendar!$A6,DB!1:1,0)+2),FALSE),"")</f>
        <v/>
      </c>
      <c r="NIX6" s="27" t="str">
        <f>IFERROR(VLOOKUP(DATE($K$1,$K$2,NIX$4),Table1[],(MATCH(Calendar!$A6,DB!1:1,0)+2),FALSE),"")</f>
        <v/>
      </c>
      <c r="NIY6" s="27" t="str">
        <f>IFERROR(VLOOKUP(DATE($K$1,$K$2,NIY$4),Table1[],(MATCH(Calendar!$A6,DB!1:1,0)+2),FALSE),"")</f>
        <v/>
      </c>
      <c r="NIZ6" s="27" t="str">
        <f>IFERROR(VLOOKUP(DATE($K$1,$K$2,NIZ$4),Table1[],(MATCH(Calendar!$A6,DB!1:1,0)+2),FALSE),"")</f>
        <v/>
      </c>
      <c r="NJA6" s="27" t="str">
        <f>IFERROR(VLOOKUP(DATE($K$1,$K$2,NJA$4),Table1[],(MATCH(Calendar!$A6,DB!1:1,0)+2),FALSE),"")</f>
        <v/>
      </c>
      <c r="NJB6" s="27" t="str">
        <f>IFERROR(VLOOKUP(DATE($K$1,$K$2,NJB$4),Table1[],(MATCH(Calendar!$A6,DB!1:1,0)+2),FALSE),"")</f>
        <v/>
      </c>
      <c r="NJC6" s="27" t="str">
        <f>IFERROR(VLOOKUP(DATE($K$1,$K$2,NJC$4),Table1[],(MATCH(Calendar!$A6,DB!1:1,0)+2),FALSE),"")</f>
        <v/>
      </c>
      <c r="NJD6" s="27" t="str">
        <f>IFERROR(VLOOKUP(DATE($K$1,$K$2,NJD$4),Table1[],(MATCH(Calendar!$A6,DB!1:1,0)+2),FALSE),"")</f>
        <v/>
      </c>
      <c r="NJE6" s="27" t="str">
        <f>IFERROR(VLOOKUP(DATE($K$1,$K$2,NJE$4),Table1[],(MATCH(Calendar!$A6,DB!1:1,0)+2),FALSE),"")</f>
        <v/>
      </c>
      <c r="NJF6" s="27" t="str">
        <f>IFERROR(VLOOKUP(DATE($K$1,$K$2,NJF$4),Table1[],(MATCH(Calendar!$A6,DB!1:1,0)+2),FALSE),"")</f>
        <v/>
      </c>
      <c r="NJG6" s="27" t="str">
        <f>IFERROR(VLOOKUP(DATE($K$1,$K$2,NJG$4),Table1[],(MATCH(Calendar!$A6,DB!1:1,0)+2),FALSE),"")</f>
        <v/>
      </c>
      <c r="NJH6" s="27" t="str">
        <f>IFERROR(VLOOKUP(DATE($K$1,$K$2,NJH$4),Table1[],(MATCH(Calendar!$A6,DB!1:1,0)+2),FALSE),"")</f>
        <v/>
      </c>
      <c r="NJI6" s="27" t="str">
        <f>IFERROR(VLOOKUP(DATE($K$1,$K$2,NJI$4),Table1[],(MATCH(Calendar!$A6,DB!1:1,0)+2),FALSE),"")</f>
        <v/>
      </c>
      <c r="NJJ6" s="27" t="str">
        <f>IFERROR(VLOOKUP(DATE($K$1,$K$2,NJJ$4),Table1[],(MATCH(Calendar!$A6,DB!1:1,0)+2),FALSE),"")</f>
        <v/>
      </c>
      <c r="NJK6" s="27" t="str">
        <f>IFERROR(VLOOKUP(DATE($K$1,$K$2,NJK$4),Table1[],(MATCH(Calendar!$A6,DB!1:1,0)+2),FALSE),"")</f>
        <v/>
      </c>
      <c r="NJL6" s="27" t="str">
        <f>IFERROR(VLOOKUP(DATE($K$1,$K$2,NJL$4),Table1[],(MATCH(Calendar!$A6,DB!1:1,0)+2),FALSE),"")</f>
        <v/>
      </c>
      <c r="NJM6" s="27" t="str">
        <f>IFERROR(VLOOKUP(DATE($K$1,$K$2,NJM$4),Table1[],(MATCH(Calendar!$A6,DB!1:1,0)+2),FALSE),"")</f>
        <v/>
      </c>
      <c r="NJN6" s="27" t="str">
        <f>IFERROR(VLOOKUP(DATE($K$1,$K$2,NJN$4),Table1[],(MATCH(Calendar!$A6,DB!1:1,0)+2),FALSE),"")</f>
        <v/>
      </c>
      <c r="NJO6" s="27" t="str">
        <f>IFERROR(VLOOKUP(DATE($K$1,$K$2,NJO$4),Table1[],(MATCH(Calendar!$A6,DB!1:1,0)+2),FALSE),"")</f>
        <v/>
      </c>
      <c r="NJP6" s="27" t="str">
        <f>IFERROR(VLOOKUP(DATE($K$1,$K$2,NJP$4),Table1[],(MATCH(Calendar!$A6,DB!1:1,0)+2),FALSE),"")</f>
        <v/>
      </c>
      <c r="NJQ6" s="27" t="str">
        <f>IFERROR(VLOOKUP(DATE($K$1,$K$2,NJQ$4),Table1[],(MATCH(Calendar!$A6,DB!1:1,0)+2),FALSE),"")</f>
        <v/>
      </c>
      <c r="NJR6" s="27" t="str">
        <f>IFERROR(VLOOKUP(DATE($K$1,$K$2,NJR$4),Table1[],(MATCH(Calendar!$A6,DB!1:1,0)+2),FALSE),"")</f>
        <v/>
      </c>
      <c r="NJS6" s="27" t="str">
        <f>IFERROR(VLOOKUP(DATE($K$1,$K$2,NJS$4),Table1[],(MATCH(Calendar!$A6,DB!1:1,0)+2),FALSE),"")</f>
        <v/>
      </c>
      <c r="NJT6" s="27" t="str">
        <f>IFERROR(VLOOKUP(DATE($K$1,$K$2,NJT$4),Table1[],(MATCH(Calendar!$A6,DB!1:1,0)+2),FALSE),"")</f>
        <v/>
      </c>
      <c r="NJU6" s="27" t="str">
        <f>IFERROR(VLOOKUP(DATE($K$1,$K$2,NJU$4),Table1[],(MATCH(Calendar!$A6,DB!1:1,0)+2),FALSE),"")</f>
        <v/>
      </c>
      <c r="NJV6" s="27" t="str">
        <f>IFERROR(VLOOKUP(DATE($K$1,$K$2,NJV$4),Table1[],(MATCH(Calendar!$A6,DB!1:1,0)+2),FALSE),"")</f>
        <v/>
      </c>
      <c r="NJW6" s="27" t="str">
        <f>IFERROR(VLOOKUP(DATE($K$1,$K$2,NJW$4),Table1[],(MATCH(Calendar!$A6,DB!1:1,0)+2),FALSE),"")</f>
        <v/>
      </c>
      <c r="NJX6" s="27" t="str">
        <f>IFERROR(VLOOKUP(DATE($K$1,$K$2,NJX$4),Table1[],(MATCH(Calendar!$A6,DB!1:1,0)+2),FALSE),"")</f>
        <v/>
      </c>
      <c r="NJY6" s="27" t="str">
        <f>IFERROR(VLOOKUP(DATE($K$1,$K$2,NJY$4),Table1[],(MATCH(Calendar!$A6,DB!1:1,0)+2),FALSE),"")</f>
        <v/>
      </c>
      <c r="NJZ6" s="27" t="str">
        <f>IFERROR(VLOOKUP(DATE($K$1,$K$2,NJZ$4),Table1[],(MATCH(Calendar!$A6,DB!1:1,0)+2),FALSE),"")</f>
        <v/>
      </c>
      <c r="NKA6" s="27" t="str">
        <f>IFERROR(VLOOKUP(DATE($K$1,$K$2,NKA$4),Table1[],(MATCH(Calendar!$A6,DB!1:1,0)+2),FALSE),"")</f>
        <v/>
      </c>
      <c r="NKB6" s="27" t="str">
        <f>IFERROR(VLOOKUP(DATE($K$1,$K$2,NKB$4),Table1[],(MATCH(Calendar!$A6,DB!1:1,0)+2),FALSE),"")</f>
        <v/>
      </c>
      <c r="NKC6" s="27" t="str">
        <f>IFERROR(VLOOKUP(DATE($K$1,$K$2,NKC$4),Table1[],(MATCH(Calendar!$A6,DB!1:1,0)+2),FALSE),"")</f>
        <v/>
      </c>
      <c r="NKD6" s="27" t="str">
        <f>IFERROR(VLOOKUP(DATE($K$1,$K$2,NKD$4),Table1[],(MATCH(Calendar!$A6,DB!1:1,0)+2),FALSE),"")</f>
        <v/>
      </c>
      <c r="NKE6" s="27" t="str">
        <f>IFERROR(VLOOKUP(DATE($K$1,$K$2,NKE$4),Table1[],(MATCH(Calendar!$A6,DB!1:1,0)+2),FALSE),"")</f>
        <v/>
      </c>
      <c r="NKF6" s="27" t="str">
        <f>IFERROR(VLOOKUP(DATE($K$1,$K$2,NKF$4),Table1[],(MATCH(Calendar!$A6,DB!1:1,0)+2),FALSE),"")</f>
        <v/>
      </c>
      <c r="NKG6" s="27" t="str">
        <f>IFERROR(VLOOKUP(DATE($K$1,$K$2,NKG$4),Table1[],(MATCH(Calendar!$A6,DB!1:1,0)+2),FALSE),"")</f>
        <v/>
      </c>
      <c r="NKH6" s="27" t="str">
        <f>IFERROR(VLOOKUP(DATE($K$1,$K$2,NKH$4),Table1[],(MATCH(Calendar!$A6,DB!1:1,0)+2),FALSE),"")</f>
        <v/>
      </c>
      <c r="NKI6" s="27" t="str">
        <f>IFERROR(VLOOKUP(DATE($K$1,$K$2,NKI$4),Table1[],(MATCH(Calendar!$A6,DB!1:1,0)+2),FALSE),"")</f>
        <v/>
      </c>
      <c r="NKJ6" s="27" t="str">
        <f>IFERROR(VLOOKUP(DATE($K$1,$K$2,NKJ$4),Table1[],(MATCH(Calendar!$A6,DB!1:1,0)+2),FALSE),"")</f>
        <v/>
      </c>
      <c r="NKK6" s="27" t="str">
        <f>IFERROR(VLOOKUP(DATE($K$1,$K$2,NKK$4),Table1[],(MATCH(Calendar!$A6,DB!1:1,0)+2),FALSE),"")</f>
        <v/>
      </c>
      <c r="NKL6" s="27" t="str">
        <f>IFERROR(VLOOKUP(DATE($K$1,$K$2,NKL$4),Table1[],(MATCH(Calendar!$A6,DB!1:1,0)+2),FALSE),"")</f>
        <v/>
      </c>
      <c r="NKM6" s="27" t="str">
        <f>IFERROR(VLOOKUP(DATE($K$1,$K$2,NKM$4),Table1[],(MATCH(Calendar!$A6,DB!1:1,0)+2),FALSE),"")</f>
        <v/>
      </c>
      <c r="NKN6" s="27" t="str">
        <f>IFERROR(VLOOKUP(DATE($K$1,$K$2,NKN$4),Table1[],(MATCH(Calendar!$A6,DB!1:1,0)+2),FALSE),"")</f>
        <v/>
      </c>
      <c r="NKO6" s="27" t="str">
        <f>IFERROR(VLOOKUP(DATE($K$1,$K$2,NKO$4),Table1[],(MATCH(Calendar!$A6,DB!1:1,0)+2),FALSE),"")</f>
        <v/>
      </c>
      <c r="NKP6" s="27" t="str">
        <f>IFERROR(VLOOKUP(DATE($K$1,$K$2,NKP$4),Table1[],(MATCH(Calendar!$A6,DB!1:1,0)+2),FALSE),"")</f>
        <v/>
      </c>
      <c r="NKQ6" s="27" t="str">
        <f>IFERROR(VLOOKUP(DATE($K$1,$K$2,NKQ$4),Table1[],(MATCH(Calendar!$A6,DB!1:1,0)+2),FALSE),"")</f>
        <v/>
      </c>
      <c r="NKR6" s="27" t="str">
        <f>IFERROR(VLOOKUP(DATE($K$1,$K$2,NKR$4),Table1[],(MATCH(Calendar!$A6,DB!1:1,0)+2),FALSE),"")</f>
        <v/>
      </c>
      <c r="NKS6" s="27" t="str">
        <f>IFERROR(VLOOKUP(DATE($K$1,$K$2,NKS$4),Table1[],(MATCH(Calendar!$A6,DB!1:1,0)+2),FALSE),"")</f>
        <v/>
      </c>
      <c r="NKT6" s="27" t="str">
        <f>IFERROR(VLOOKUP(DATE($K$1,$K$2,NKT$4),Table1[],(MATCH(Calendar!$A6,DB!1:1,0)+2),FALSE),"")</f>
        <v/>
      </c>
      <c r="NKU6" s="27" t="str">
        <f>IFERROR(VLOOKUP(DATE($K$1,$K$2,NKU$4),Table1[],(MATCH(Calendar!$A6,DB!1:1,0)+2),FALSE),"")</f>
        <v/>
      </c>
      <c r="NKV6" s="27" t="str">
        <f>IFERROR(VLOOKUP(DATE($K$1,$K$2,NKV$4),Table1[],(MATCH(Calendar!$A6,DB!1:1,0)+2),FALSE),"")</f>
        <v/>
      </c>
      <c r="NKW6" s="27" t="str">
        <f>IFERROR(VLOOKUP(DATE($K$1,$K$2,NKW$4),Table1[],(MATCH(Calendar!$A6,DB!1:1,0)+2),FALSE),"")</f>
        <v/>
      </c>
      <c r="NKX6" s="27" t="str">
        <f>IFERROR(VLOOKUP(DATE($K$1,$K$2,NKX$4),Table1[],(MATCH(Calendar!$A6,DB!1:1,0)+2),FALSE),"")</f>
        <v/>
      </c>
      <c r="NKY6" s="27" t="str">
        <f>IFERROR(VLOOKUP(DATE($K$1,$K$2,NKY$4),Table1[],(MATCH(Calendar!$A6,DB!1:1,0)+2),FALSE),"")</f>
        <v/>
      </c>
      <c r="NKZ6" s="27" t="str">
        <f>IFERROR(VLOOKUP(DATE($K$1,$K$2,NKZ$4),Table1[],(MATCH(Calendar!$A6,DB!1:1,0)+2),FALSE),"")</f>
        <v/>
      </c>
      <c r="NLA6" s="27" t="str">
        <f>IFERROR(VLOOKUP(DATE($K$1,$K$2,NLA$4),Table1[],(MATCH(Calendar!$A6,DB!1:1,0)+2),FALSE),"")</f>
        <v/>
      </c>
      <c r="NLB6" s="27" t="str">
        <f>IFERROR(VLOOKUP(DATE($K$1,$K$2,NLB$4),Table1[],(MATCH(Calendar!$A6,DB!1:1,0)+2),FALSE),"")</f>
        <v/>
      </c>
      <c r="NLC6" s="27" t="str">
        <f>IFERROR(VLOOKUP(DATE($K$1,$K$2,NLC$4),Table1[],(MATCH(Calendar!$A6,DB!1:1,0)+2),FALSE),"")</f>
        <v/>
      </c>
      <c r="NLD6" s="27" t="str">
        <f>IFERROR(VLOOKUP(DATE($K$1,$K$2,NLD$4),Table1[],(MATCH(Calendar!$A6,DB!1:1,0)+2),FALSE),"")</f>
        <v/>
      </c>
      <c r="NLE6" s="27" t="str">
        <f>IFERROR(VLOOKUP(DATE($K$1,$K$2,NLE$4),Table1[],(MATCH(Calendar!$A6,DB!1:1,0)+2),FALSE),"")</f>
        <v/>
      </c>
      <c r="NLF6" s="27" t="str">
        <f>IFERROR(VLOOKUP(DATE($K$1,$K$2,NLF$4),Table1[],(MATCH(Calendar!$A6,DB!1:1,0)+2),FALSE),"")</f>
        <v/>
      </c>
      <c r="NLG6" s="27" t="str">
        <f>IFERROR(VLOOKUP(DATE($K$1,$K$2,NLG$4),Table1[],(MATCH(Calendar!$A6,DB!1:1,0)+2),FALSE),"")</f>
        <v/>
      </c>
      <c r="NLH6" s="27" t="str">
        <f>IFERROR(VLOOKUP(DATE($K$1,$K$2,NLH$4),Table1[],(MATCH(Calendar!$A6,DB!1:1,0)+2),FALSE),"")</f>
        <v/>
      </c>
      <c r="NLI6" s="27" t="str">
        <f>IFERROR(VLOOKUP(DATE($K$1,$K$2,NLI$4),Table1[],(MATCH(Calendar!$A6,DB!1:1,0)+2),FALSE),"")</f>
        <v/>
      </c>
      <c r="NLJ6" s="27" t="str">
        <f>IFERROR(VLOOKUP(DATE($K$1,$K$2,NLJ$4),Table1[],(MATCH(Calendar!$A6,DB!1:1,0)+2),FALSE),"")</f>
        <v/>
      </c>
      <c r="NLK6" s="27" t="str">
        <f>IFERROR(VLOOKUP(DATE($K$1,$K$2,NLK$4),Table1[],(MATCH(Calendar!$A6,DB!1:1,0)+2),FALSE),"")</f>
        <v/>
      </c>
      <c r="NLL6" s="27" t="str">
        <f>IFERROR(VLOOKUP(DATE($K$1,$K$2,NLL$4),Table1[],(MATCH(Calendar!$A6,DB!1:1,0)+2),FALSE),"")</f>
        <v/>
      </c>
      <c r="NLM6" s="27" t="str">
        <f>IFERROR(VLOOKUP(DATE($K$1,$K$2,NLM$4),Table1[],(MATCH(Calendar!$A6,DB!1:1,0)+2),FALSE),"")</f>
        <v/>
      </c>
      <c r="NLN6" s="27" t="str">
        <f>IFERROR(VLOOKUP(DATE($K$1,$K$2,NLN$4),Table1[],(MATCH(Calendar!$A6,DB!1:1,0)+2),FALSE),"")</f>
        <v/>
      </c>
      <c r="NLO6" s="27" t="str">
        <f>IFERROR(VLOOKUP(DATE($K$1,$K$2,NLO$4),Table1[],(MATCH(Calendar!$A6,DB!1:1,0)+2),FALSE),"")</f>
        <v/>
      </c>
      <c r="NLP6" s="27" t="str">
        <f>IFERROR(VLOOKUP(DATE($K$1,$K$2,NLP$4),Table1[],(MATCH(Calendar!$A6,DB!1:1,0)+2),FALSE),"")</f>
        <v/>
      </c>
      <c r="NLQ6" s="27" t="str">
        <f>IFERROR(VLOOKUP(DATE($K$1,$K$2,NLQ$4),Table1[],(MATCH(Calendar!$A6,DB!1:1,0)+2),FALSE),"")</f>
        <v/>
      </c>
      <c r="NLR6" s="27" t="str">
        <f>IFERROR(VLOOKUP(DATE($K$1,$K$2,NLR$4),Table1[],(MATCH(Calendar!$A6,DB!1:1,0)+2),FALSE),"")</f>
        <v/>
      </c>
      <c r="NLS6" s="27" t="str">
        <f>IFERROR(VLOOKUP(DATE($K$1,$K$2,NLS$4),Table1[],(MATCH(Calendar!$A6,DB!1:1,0)+2),FALSE),"")</f>
        <v/>
      </c>
      <c r="NLT6" s="27" t="str">
        <f>IFERROR(VLOOKUP(DATE($K$1,$K$2,NLT$4),Table1[],(MATCH(Calendar!$A6,DB!1:1,0)+2),FALSE),"")</f>
        <v/>
      </c>
      <c r="NLU6" s="27" t="str">
        <f>IFERROR(VLOOKUP(DATE($K$1,$K$2,NLU$4),Table1[],(MATCH(Calendar!$A6,DB!1:1,0)+2),FALSE),"")</f>
        <v/>
      </c>
      <c r="NLV6" s="27" t="str">
        <f>IFERROR(VLOOKUP(DATE($K$1,$K$2,NLV$4),Table1[],(MATCH(Calendar!$A6,DB!1:1,0)+2),FALSE),"")</f>
        <v/>
      </c>
      <c r="NLW6" s="27" t="str">
        <f>IFERROR(VLOOKUP(DATE($K$1,$K$2,NLW$4),Table1[],(MATCH(Calendar!$A6,DB!1:1,0)+2),FALSE),"")</f>
        <v/>
      </c>
      <c r="NLX6" s="27" t="str">
        <f>IFERROR(VLOOKUP(DATE($K$1,$K$2,NLX$4),Table1[],(MATCH(Calendar!$A6,DB!1:1,0)+2),FALSE),"")</f>
        <v/>
      </c>
      <c r="NLY6" s="27" t="str">
        <f>IFERROR(VLOOKUP(DATE($K$1,$K$2,NLY$4),Table1[],(MATCH(Calendar!$A6,DB!1:1,0)+2),FALSE),"")</f>
        <v/>
      </c>
      <c r="NLZ6" s="27" t="str">
        <f>IFERROR(VLOOKUP(DATE($K$1,$K$2,NLZ$4),Table1[],(MATCH(Calendar!$A6,DB!1:1,0)+2),FALSE),"")</f>
        <v/>
      </c>
      <c r="NMA6" s="27" t="str">
        <f>IFERROR(VLOOKUP(DATE($K$1,$K$2,NMA$4),Table1[],(MATCH(Calendar!$A6,DB!1:1,0)+2),FALSE),"")</f>
        <v/>
      </c>
      <c r="NMB6" s="27" t="str">
        <f>IFERROR(VLOOKUP(DATE($K$1,$K$2,NMB$4),Table1[],(MATCH(Calendar!$A6,DB!1:1,0)+2),FALSE),"")</f>
        <v/>
      </c>
      <c r="NMC6" s="27" t="str">
        <f>IFERROR(VLOOKUP(DATE($K$1,$K$2,NMC$4),Table1[],(MATCH(Calendar!$A6,DB!1:1,0)+2),FALSE),"")</f>
        <v/>
      </c>
      <c r="NMD6" s="27" t="str">
        <f>IFERROR(VLOOKUP(DATE($K$1,$K$2,NMD$4),Table1[],(MATCH(Calendar!$A6,DB!1:1,0)+2),FALSE),"")</f>
        <v/>
      </c>
      <c r="NME6" s="27" t="str">
        <f>IFERROR(VLOOKUP(DATE($K$1,$K$2,NME$4),Table1[],(MATCH(Calendar!$A6,DB!1:1,0)+2),FALSE),"")</f>
        <v/>
      </c>
      <c r="NMF6" s="27" t="str">
        <f>IFERROR(VLOOKUP(DATE($K$1,$K$2,NMF$4),Table1[],(MATCH(Calendar!$A6,DB!1:1,0)+2),FALSE),"")</f>
        <v/>
      </c>
      <c r="NMG6" s="27" t="str">
        <f>IFERROR(VLOOKUP(DATE($K$1,$K$2,NMG$4),Table1[],(MATCH(Calendar!$A6,DB!1:1,0)+2),FALSE),"")</f>
        <v/>
      </c>
      <c r="NMH6" s="27" t="str">
        <f>IFERROR(VLOOKUP(DATE($K$1,$K$2,NMH$4),Table1[],(MATCH(Calendar!$A6,DB!1:1,0)+2),FALSE),"")</f>
        <v/>
      </c>
      <c r="NMI6" s="27" t="str">
        <f>IFERROR(VLOOKUP(DATE($K$1,$K$2,NMI$4),Table1[],(MATCH(Calendar!$A6,DB!1:1,0)+2),FALSE),"")</f>
        <v/>
      </c>
      <c r="NMJ6" s="27" t="str">
        <f>IFERROR(VLOOKUP(DATE($K$1,$K$2,NMJ$4),Table1[],(MATCH(Calendar!$A6,DB!1:1,0)+2),FALSE),"")</f>
        <v/>
      </c>
      <c r="NMK6" s="27" t="str">
        <f>IFERROR(VLOOKUP(DATE($K$1,$K$2,NMK$4),Table1[],(MATCH(Calendar!$A6,DB!1:1,0)+2),FALSE),"")</f>
        <v/>
      </c>
      <c r="NML6" s="27" t="str">
        <f>IFERROR(VLOOKUP(DATE($K$1,$K$2,NML$4),Table1[],(MATCH(Calendar!$A6,DB!1:1,0)+2),FALSE),"")</f>
        <v/>
      </c>
      <c r="NMM6" s="27" t="str">
        <f>IFERROR(VLOOKUP(DATE($K$1,$K$2,NMM$4),Table1[],(MATCH(Calendar!$A6,DB!1:1,0)+2),FALSE),"")</f>
        <v/>
      </c>
      <c r="NMN6" s="27" t="str">
        <f>IFERROR(VLOOKUP(DATE($K$1,$K$2,NMN$4),Table1[],(MATCH(Calendar!$A6,DB!1:1,0)+2),FALSE),"")</f>
        <v/>
      </c>
      <c r="NMO6" s="27" t="str">
        <f>IFERROR(VLOOKUP(DATE($K$1,$K$2,NMO$4),Table1[],(MATCH(Calendar!$A6,DB!1:1,0)+2),FALSE),"")</f>
        <v/>
      </c>
      <c r="NMP6" s="27" t="str">
        <f>IFERROR(VLOOKUP(DATE($K$1,$K$2,NMP$4),Table1[],(MATCH(Calendar!$A6,DB!1:1,0)+2),FALSE),"")</f>
        <v/>
      </c>
      <c r="NMQ6" s="27" t="str">
        <f>IFERROR(VLOOKUP(DATE($K$1,$K$2,NMQ$4),Table1[],(MATCH(Calendar!$A6,DB!1:1,0)+2),FALSE),"")</f>
        <v/>
      </c>
      <c r="NMR6" s="27" t="str">
        <f>IFERROR(VLOOKUP(DATE($K$1,$K$2,NMR$4),Table1[],(MATCH(Calendar!$A6,DB!1:1,0)+2),FALSE),"")</f>
        <v/>
      </c>
      <c r="NMS6" s="27" t="str">
        <f>IFERROR(VLOOKUP(DATE($K$1,$K$2,NMS$4),Table1[],(MATCH(Calendar!$A6,DB!1:1,0)+2),FALSE),"")</f>
        <v/>
      </c>
      <c r="NMT6" s="27" t="str">
        <f>IFERROR(VLOOKUP(DATE($K$1,$K$2,NMT$4),Table1[],(MATCH(Calendar!$A6,DB!1:1,0)+2),FALSE),"")</f>
        <v/>
      </c>
      <c r="NMU6" s="27" t="str">
        <f>IFERROR(VLOOKUP(DATE($K$1,$K$2,NMU$4),Table1[],(MATCH(Calendar!$A6,DB!1:1,0)+2),FALSE),"")</f>
        <v/>
      </c>
      <c r="NMV6" s="27" t="str">
        <f>IFERROR(VLOOKUP(DATE($K$1,$K$2,NMV$4),Table1[],(MATCH(Calendar!$A6,DB!1:1,0)+2),FALSE),"")</f>
        <v/>
      </c>
      <c r="NMW6" s="27" t="str">
        <f>IFERROR(VLOOKUP(DATE($K$1,$K$2,NMW$4),Table1[],(MATCH(Calendar!$A6,DB!1:1,0)+2),FALSE),"")</f>
        <v/>
      </c>
      <c r="NMX6" s="27" t="str">
        <f>IFERROR(VLOOKUP(DATE($K$1,$K$2,NMX$4),Table1[],(MATCH(Calendar!$A6,DB!1:1,0)+2),FALSE),"")</f>
        <v/>
      </c>
      <c r="NMY6" s="27" t="str">
        <f>IFERROR(VLOOKUP(DATE($K$1,$K$2,NMY$4),Table1[],(MATCH(Calendar!$A6,DB!1:1,0)+2),FALSE),"")</f>
        <v/>
      </c>
      <c r="NMZ6" s="27" t="str">
        <f>IFERROR(VLOOKUP(DATE($K$1,$K$2,NMZ$4),Table1[],(MATCH(Calendar!$A6,DB!1:1,0)+2),FALSE),"")</f>
        <v/>
      </c>
      <c r="NNA6" s="27" t="str">
        <f>IFERROR(VLOOKUP(DATE($K$1,$K$2,NNA$4),Table1[],(MATCH(Calendar!$A6,DB!1:1,0)+2),FALSE),"")</f>
        <v/>
      </c>
      <c r="NNB6" s="27" t="str">
        <f>IFERROR(VLOOKUP(DATE($K$1,$K$2,NNB$4),Table1[],(MATCH(Calendar!$A6,DB!1:1,0)+2),FALSE),"")</f>
        <v/>
      </c>
      <c r="NNC6" s="27" t="str">
        <f>IFERROR(VLOOKUP(DATE($K$1,$K$2,NNC$4),Table1[],(MATCH(Calendar!$A6,DB!1:1,0)+2),FALSE),"")</f>
        <v/>
      </c>
      <c r="NND6" s="27" t="str">
        <f>IFERROR(VLOOKUP(DATE($K$1,$K$2,NND$4),Table1[],(MATCH(Calendar!$A6,DB!1:1,0)+2),FALSE),"")</f>
        <v/>
      </c>
      <c r="NNE6" s="27" t="str">
        <f>IFERROR(VLOOKUP(DATE($K$1,$K$2,NNE$4),Table1[],(MATCH(Calendar!$A6,DB!1:1,0)+2),FALSE),"")</f>
        <v/>
      </c>
      <c r="NNF6" s="27" t="str">
        <f>IFERROR(VLOOKUP(DATE($K$1,$K$2,NNF$4),Table1[],(MATCH(Calendar!$A6,DB!1:1,0)+2),FALSE),"")</f>
        <v/>
      </c>
      <c r="NNG6" s="27" t="str">
        <f>IFERROR(VLOOKUP(DATE($K$1,$K$2,NNG$4),Table1[],(MATCH(Calendar!$A6,DB!1:1,0)+2),FALSE),"")</f>
        <v/>
      </c>
      <c r="NNH6" s="27" t="str">
        <f>IFERROR(VLOOKUP(DATE($K$1,$K$2,NNH$4),Table1[],(MATCH(Calendar!$A6,DB!1:1,0)+2),FALSE),"")</f>
        <v/>
      </c>
      <c r="NNI6" s="27" t="str">
        <f>IFERROR(VLOOKUP(DATE($K$1,$K$2,NNI$4),Table1[],(MATCH(Calendar!$A6,DB!1:1,0)+2),FALSE),"")</f>
        <v/>
      </c>
      <c r="NNJ6" s="27" t="str">
        <f>IFERROR(VLOOKUP(DATE($K$1,$K$2,NNJ$4),Table1[],(MATCH(Calendar!$A6,DB!1:1,0)+2),FALSE),"")</f>
        <v/>
      </c>
      <c r="NNK6" s="27" t="str">
        <f>IFERROR(VLOOKUP(DATE($K$1,$K$2,NNK$4),Table1[],(MATCH(Calendar!$A6,DB!1:1,0)+2),FALSE),"")</f>
        <v/>
      </c>
      <c r="NNL6" s="27" t="str">
        <f>IFERROR(VLOOKUP(DATE($K$1,$K$2,NNL$4),Table1[],(MATCH(Calendar!$A6,DB!1:1,0)+2),FALSE),"")</f>
        <v/>
      </c>
      <c r="NNM6" s="27" t="str">
        <f>IFERROR(VLOOKUP(DATE($K$1,$K$2,NNM$4),Table1[],(MATCH(Calendar!$A6,DB!1:1,0)+2),FALSE),"")</f>
        <v/>
      </c>
      <c r="NNN6" s="27" t="str">
        <f>IFERROR(VLOOKUP(DATE($K$1,$K$2,NNN$4),Table1[],(MATCH(Calendar!$A6,DB!1:1,0)+2),FALSE),"")</f>
        <v/>
      </c>
      <c r="NNO6" s="27" t="str">
        <f>IFERROR(VLOOKUP(DATE($K$1,$K$2,NNO$4),Table1[],(MATCH(Calendar!$A6,DB!1:1,0)+2),FALSE),"")</f>
        <v/>
      </c>
      <c r="NNP6" s="27" t="str">
        <f>IFERROR(VLOOKUP(DATE($K$1,$K$2,NNP$4),Table1[],(MATCH(Calendar!$A6,DB!1:1,0)+2),FALSE),"")</f>
        <v/>
      </c>
      <c r="NNQ6" s="27" t="str">
        <f>IFERROR(VLOOKUP(DATE($K$1,$K$2,NNQ$4),Table1[],(MATCH(Calendar!$A6,DB!1:1,0)+2),FALSE),"")</f>
        <v/>
      </c>
      <c r="NNR6" s="27" t="str">
        <f>IFERROR(VLOOKUP(DATE($K$1,$K$2,NNR$4),Table1[],(MATCH(Calendar!$A6,DB!1:1,0)+2),FALSE),"")</f>
        <v/>
      </c>
      <c r="NNS6" s="27" t="str">
        <f>IFERROR(VLOOKUP(DATE($K$1,$K$2,NNS$4),Table1[],(MATCH(Calendar!$A6,DB!1:1,0)+2),FALSE),"")</f>
        <v/>
      </c>
      <c r="NNT6" s="27" t="str">
        <f>IFERROR(VLOOKUP(DATE($K$1,$K$2,NNT$4),Table1[],(MATCH(Calendar!$A6,DB!1:1,0)+2),FALSE),"")</f>
        <v/>
      </c>
      <c r="NNU6" s="27" t="str">
        <f>IFERROR(VLOOKUP(DATE($K$1,$K$2,NNU$4),Table1[],(MATCH(Calendar!$A6,DB!1:1,0)+2),FALSE),"")</f>
        <v/>
      </c>
      <c r="NNV6" s="27" t="str">
        <f>IFERROR(VLOOKUP(DATE($K$1,$K$2,NNV$4),Table1[],(MATCH(Calendar!$A6,DB!1:1,0)+2),FALSE),"")</f>
        <v/>
      </c>
      <c r="NNW6" s="27" t="str">
        <f>IFERROR(VLOOKUP(DATE($K$1,$K$2,NNW$4),Table1[],(MATCH(Calendar!$A6,DB!1:1,0)+2),FALSE),"")</f>
        <v/>
      </c>
      <c r="NNX6" s="27" t="str">
        <f>IFERROR(VLOOKUP(DATE($K$1,$K$2,NNX$4),Table1[],(MATCH(Calendar!$A6,DB!1:1,0)+2),FALSE),"")</f>
        <v/>
      </c>
      <c r="NNY6" s="27" t="str">
        <f>IFERROR(VLOOKUP(DATE($K$1,$K$2,NNY$4),Table1[],(MATCH(Calendar!$A6,DB!1:1,0)+2),FALSE),"")</f>
        <v/>
      </c>
      <c r="NNZ6" s="27" t="str">
        <f>IFERROR(VLOOKUP(DATE($K$1,$K$2,NNZ$4),Table1[],(MATCH(Calendar!$A6,DB!1:1,0)+2),FALSE),"")</f>
        <v/>
      </c>
      <c r="NOA6" s="27" t="str">
        <f>IFERROR(VLOOKUP(DATE($K$1,$K$2,NOA$4),Table1[],(MATCH(Calendar!$A6,DB!1:1,0)+2),FALSE),"")</f>
        <v/>
      </c>
      <c r="NOB6" s="27" t="str">
        <f>IFERROR(VLOOKUP(DATE($K$1,$K$2,NOB$4),Table1[],(MATCH(Calendar!$A6,DB!1:1,0)+2),FALSE),"")</f>
        <v/>
      </c>
      <c r="NOC6" s="27" t="str">
        <f>IFERROR(VLOOKUP(DATE($K$1,$K$2,NOC$4),Table1[],(MATCH(Calendar!$A6,DB!1:1,0)+2),FALSE),"")</f>
        <v/>
      </c>
      <c r="NOD6" s="27" t="str">
        <f>IFERROR(VLOOKUP(DATE($K$1,$K$2,NOD$4),Table1[],(MATCH(Calendar!$A6,DB!1:1,0)+2),FALSE),"")</f>
        <v/>
      </c>
      <c r="NOE6" s="27" t="str">
        <f>IFERROR(VLOOKUP(DATE($K$1,$K$2,NOE$4),Table1[],(MATCH(Calendar!$A6,DB!1:1,0)+2),FALSE),"")</f>
        <v/>
      </c>
      <c r="NOF6" s="27" t="str">
        <f>IFERROR(VLOOKUP(DATE($K$1,$K$2,NOF$4),Table1[],(MATCH(Calendar!$A6,DB!1:1,0)+2),FALSE),"")</f>
        <v/>
      </c>
      <c r="NOG6" s="27" t="str">
        <f>IFERROR(VLOOKUP(DATE($K$1,$K$2,NOG$4),Table1[],(MATCH(Calendar!$A6,DB!1:1,0)+2),FALSE),"")</f>
        <v/>
      </c>
      <c r="NOH6" s="27" t="str">
        <f>IFERROR(VLOOKUP(DATE($K$1,$K$2,NOH$4),Table1[],(MATCH(Calendar!$A6,DB!1:1,0)+2),FALSE),"")</f>
        <v/>
      </c>
      <c r="NOI6" s="27" t="str">
        <f>IFERROR(VLOOKUP(DATE($K$1,$K$2,NOI$4),Table1[],(MATCH(Calendar!$A6,DB!1:1,0)+2),FALSE),"")</f>
        <v/>
      </c>
      <c r="NOJ6" s="27" t="str">
        <f>IFERROR(VLOOKUP(DATE($K$1,$K$2,NOJ$4),Table1[],(MATCH(Calendar!$A6,DB!1:1,0)+2),FALSE),"")</f>
        <v/>
      </c>
      <c r="NOK6" s="27" t="str">
        <f>IFERROR(VLOOKUP(DATE($K$1,$K$2,NOK$4),Table1[],(MATCH(Calendar!$A6,DB!1:1,0)+2),FALSE),"")</f>
        <v/>
      </c>
      <c r="NOL6" s="27" t="str">
        <f>IFERROR(VLOOKUP(DATE($K$1,$K$2,NOL$4),Table1[],(MATCH(Calendar!$A6,DB!1:1,0)+2),FALSE),"")</f>
        <v/>
      </c>
      <c r="NOM6" s="27" t="str">
        <f>IFERROR(VLOOKUP(DATE($K$1,$K$2,NOM$4),Table1[],(MATCH(Calendar!$A6,DB!1:1,0)+2),FALSE),"")</f>
        <v/>
      </c>
      <c r="NON6" s="27" t="str">
        <f>IFERROR(VLOOKUP(DATE($K$1,$K$2,NON$4),Table1[],(MATCH(Calendar!$A6,DB!1:1,0)+2),FALSE),"")</f>
        <v/>
      </c>
      <c r="NOO6" s="27" t="str">
        <f>IFERROR(VLOOKUP(DATE($K$1,$K$2,NOO$4),Table1[],(MATCH(Calendar!$A6,DB!1:1,0)+2),FALSE),"")</f>
        <v/>
      </c>
      <c r="NOP6" s="27" t="str">
        <f>IFERROR(VLOOKUP(DATE($K$1,$K$2,NOP$4),Table1[],(MATCH(Calendar!$A6,DB!1:1,0)+2),FALSE),"")</f>
        <v/>
      </c>
      <c r="NOQ6" s="27" t="str">
        <f>IFERROR(VLOOKUP(DATE($K$1,$K$2,NOQ$4),Table1[],(MATCH(Calendar!$A6,DB!1:1,0)+2),FALSE),"")</f>
        <v/>
      </c>
      <c r="NOR6" s="27" t="str">
        <f>IFERROR(VLOOKUP(DATE($K$1,$K$2,NOR$4),Table1[],(MATCH(Calendar!$A6,DB!1:1,0)+2),FALSE),"")</f>
        <v/>
      </c>
      <c r="NOS6" s="27" t="str">
        <f>IFERROR(VLOOKUP(DATE($K$1,$K$2,NOS$4),Table1[],(MATCH(Calendar!$A6,DB!1:1,0)+2),FALSE),"")</f>
        <v/>
      </c>
      <c r="NOT6" s="27" t="str">
        <f>IFERROR(VLOOKUP(DATE($K$1,$K$2,NOT$4),Table1[],(MATCH(Calendar!$A6,DB!1:1,0)+2),FALSE),"")</f>
        <v/>
      </c>
      <c r="NOU6" s="27" t="str">
        <f>IFERROR(VLOOKUP(DATE($K$1,$K$2,NOU$4),Table1[],(MATCH(Calendar!$A6,DB!1:1,0)+2),FALSE),"")</f>
        <v/>
      </c>
      <c r="NOV6" s="27" t="str">
        <f>IFERROR(VLOOKUP(DATE($K$1,$K$2,NOV$4),Table1[],(MATCH(Calendar!$A6,DB!1:1,0)+2),FALSE),"")</f>
        <v/>
      </c>
      <c r="NOW6" s="27" t="str">
        <f>IFERROR(VLOOKUP(DATE($K$1,$K$2,NOW$4),Table1[],(MATCH(Calendar!$A6,DB!1:1,0)+2),FALSE),"")</f>
        <v/>
      </c>
      <c r="NOX6" s="27" t="str">
        <f>IFERROR(VLOOKUP(DATE($K$1,$K$2,NOX$4),Table1[],(MATCH(Calendar!$A6,DB!1:1,0)+2),FALSE),"")</f>
        <v/>
      </c>
      <c r="NOY6" s="27" t="str">
        <f>IFERROR(VLOOKUP(DATE($K$1,$K$2,NOY$4),Table1[],(MATCH(Calendar!$A6,DB!1:1,0)+2),FALSE),"")</f>
        <v/>
      </c>
      <c r="NOZ6" s="27" t="str">
        <f>IFERROR(VLOOKUP(DATE($K$1,$K$2,NOZ$4),Table1[],(MATCH(Calendar!$A6,DB!1:1,0)+2),FALSE),"")</f>
        <v/>
      </c>
      <c r="NPA6" s="27" t="str">
        <f>IFERROR(VLOOKUP(DATE($K$1,$K$2,NPA$4),Table1[],(MATCH(Calendar!$A6,DB!1:1,0)+2),FALSE),"")</f>
        <v/>
      </c>
      <c r="NPB6" s="27" t="str">
        <f>IFERROR(VLOOKUP(DATE($K$1,$K$2,NPB$4),Table1[],(MATCH(Calendar!$A6,DB!1:1,0)+2),FALSE),"")</f>
        <v/>
      </c>
      <c r="NPC6" s="27" t="str">
        <f>IFERROR(VLOOKUP(DATE($K$1,$K$2,NPC$4),Table1[],(MATCH(Calendar!$A6,DB!1:1,0)+2),FALSE),"")</f>
        <v/>
      </c>
      <c r="NPD6" s="27" t="str">
        <f>IFERROR(VLOOKUP(DATE($K$1,$K$2,NPD$4),Table1[],(MATCH(Calendar!$A6,DB!1:1,0)+2),FALSE),"")</f>
        <v/>
      </c>
      <c r="NPE6" s="27" t="str">
        <f>IFERROR(VLOOKUP(DATE($K$1,$K$2,NPE$4),Table1[],(MATCH(Calendar!$A6,DB!1:1,0)+2),FALSE),"")</f>
        <v/>
      </c>
      <c r="NPF6" s="27" t="str">
        <f>IFERROR(VLOOKUP(DATE($K$1,$K$2,NPF$4),Table1[],(MATCH(Calendar!$A6,DB!1:1,0)+2),FALSE),"")</f>
        <v/>
      </c>
      <c r="NPG6" s="27" t="str">
        <f>IFERROR(VLOOKUP(DATE($K$1,$K$2,NPG$4),Table1[],(MATCH(Calendar!$A6,DB!1:1,0)+2),FALSE),"")</f>
        <v/>
      </c>
      <c r="NPH6" s="27" t="str">
        <f>IFERROR(VLOOKUP(DATE($K$1,$K$2,NPH$4),Table1[],(MATCH(Calendar!$A6,DB!1:1,0)+2),FALSE),"")</f>
        <v/>
      </c>
      <c r="NPI6" s="27" t="str">
        <f>IFERROR(VLOOKUP(DATE($K$1,$K$2,NPI$4),Table1[],(MATCH(Calendar!$A6,DB!1:1,0)+2),FALSE),"")</f>
        <v/>
      </c>
      <c r="NPJ6" s="27" t="str">
        <f>IFERROR(VLOOKUP(DATE($K$1,$K$2,NPJ$4),Table1[],(MATCH(Calendar!$A6,DB!1:1,0)+2),FALSE),"")</f>
        <v/>
      </c>
      <c r="NPK6" s="27" t="str">
        <f>IFERROR(VLOOKUP(DATE($K$1,$K$2,NPK$4),Table1[],(MATCH(Calendar!$A6,DB!1:1,0)+2),FALSE),"")</f>
        <v/>
      </c>
      <c r="NPL6" s="27" t="str">
        <f>IFERROR(VLOOKUP(DATE($K$1,$K$2,NPL$4),Table1[],(MATCH(Calendar!$A6,DB!1:1,0)+2),FALSE),"")</f>
        <v/>
      </c>
      <c r="NPM6" s="27" t="str">
        <f>IFERROR(VLOOKUP(DATE($K$1,$K$2,NPM$4),Table1[],(MATCH(Calendar!$A6,DB!1:1,0)+2),FALSE),"")</f>
        <v/>
      </c>
      <c r="NPN6" s="27" t="str">
        <f>IFERROR(VLOOKUP(DATE($K$1,$K$2,NPN$4),Table1[],(MATCH(Calendar!$A6,DB!1:1,0)+2),FALSE),"")</f>
        <v/>
      </c>
      <c r="NPO6" s="27" t="str">
        <f>IFERROR(VLOOKUP(DATE($K$1,$K$2,NPO$4),Table1[],(MATCH(Calendar!$A6,DB!1:1,0)+2),FALSE),"")</f>
        <v/>
      </c>
      <c r="NPP6" s="27" t="str">
        <f>IFERROR(VLOOKUP(DATE($K$1,$K$2,NPP$4),Table1[],(MATCH(Calendar!$A6,DB!1:1,0)+2),FALSE),"")</f>
        <v/>
      </c>
      <c r="NPQ6" s="27" t="str">
        <f>IFERROR(VLOOKUP(DATE($K$1,$K$2,NPQ$4),Table1[],(MATCH(Calendar!$A6,DB!1:1,0)+2),FALSE),"")</f>
        <v/>
      </c>
      <c r="NPR6" s="27" t="str">
        <f>IFERROR(VLOOKUP(DATE($K$1,$K$2,NPR$4),Table1[],(MATCH(Calendar!$A6,DB!1:1,0)+2),FALSE),"")</f>
        <v/>
      </c>
      <c r="NPS6" s="27" t="str">
        <f>IFERROR(VLOOKUP(DATE($K$1,$K$2,NPS$4),Table1[],(MATCH(Calendar!$A6,DB!1:1,0)+2),FALSE),"")</f>
        <v/>
      </c>
      <c r="NPT6" s="27" t="str">
        <f>IFERROR(VLOOKUP(DATE($K$1,$K$2,NPT$4),Table1[],(MATCH(Calendar!$A6,DB!1:1,0)+2),FALSE),"")</f>
        <v/>
      </c>
      <c r="NPU6" s="27" t="str">
        <f>IFERROR(VLOOKUP(DATE($K$1,$K$2,NPU$4),Table1[],(MATCH(Calendar!$A6,DB!1:1,0)+2),FALSE),"")</f>
        <v/>
      </c>
      <c r="NPV6" s="27" t="str">
        <f>IFERROR(VLOOKUP(DATE($K$1,$K$2,NPV$4),Table1[],(MATCH(Calendar!$A6,DB!1:1,0)+2),FALSE),"")</f>
        <v/>
      </c>
      <c r="NPW6" s="27" t="str">
        <f>IFERROR(VLOOKUP(DATE($K$1,$K$2,NPW$4),Table1[],(MATCH(Calendar!$A6,DB!1:1,0)+2),FALSE),"")</f>
        <v/>
      </c>
      <c r="NPX6" s="27" t="str">
        <f>IFERROR(VLOOKUP(DATE($K$1,$K$2,NPX$4),Table1[],(MATCH(Calendar!$A6,DB!1:1,0)+2),FALSE),"")</f>
        <v/>
      </c>
      <c r="NPY6" s="27" t="str">
        <f>IFERROR(VLOOKUP(DATE($K$1,$K$2,NPY$4),Table1[],(MATCH(Calendar!$A6,DB!1:1,0)+2),FALSE),"")</f>
        <v/>
      </c>
      <c r="NPZ6" s="27" t="str">
        <f>IFERROR(VLOOKUP(DATE($K$1,$K$2,NPZ$4),Table1[],(MATCH(Calendar!$A6,DB!1:1,0)+2),FALSE),"")</f>
        <v/>
      </c>
      <c r="NQA6" s="27" t="str">
        <f>IFERROR(VLOOKUP(DATE($K$1,$K$2,NQA$4),Table1[],(MATCH(Calendar!$A6,DB!1:1,0)+2),FALSE),"")</f>
        <v/>
      </c>
      <c r="NQB6" s="27" t="str">
        <f>IFERROR(VLOOKUP(DATE($K$1,$K$2,NQB$4),Table1[],(MATCH(Calendar!$A6,DB!1:1,0)+2),FALSE),"")</f>
        <v/>
      </c>
      <c r="NQC6" s="27" t="str">
        <f>IFERROR(VLOOKUP(DATE($K$1,$K$2,NQC$4),Table1[],(MATCH(Calendar!$A6,DB!1:1,0)+2),FALSE),"")</f>
        <v/>
      </c>
      <c r="NQD6" s="27" t="str">
        <f>IFERROR(VLOOKUP(DATE($K$1,$K$2,NQD$4),Table1[],(MATCH(Calendar!$A6,DB!1:1,0)+2),FALSE),"")</f>
        <v/>
      </c>
      <c r="NQE6" s="27" t="str">
        <f>IFERROR(VLOOKUP(DATE($K$1,$K$2,NQE$4),Table1[],(MATCH(Calendar!$A6,DB!1:1,0)+2),FALSE),"")</f>
        <v/>
      </c>
      <c r="NQF6" s="27" t="str">
        <f>IFERROR(VLOOKUP(DATE($K$1,$K$2,NQF$4),Table1[],(MATCH(Calendar!$A6,DB!1:1,0)+2),FALSE),"")</f>
        <v/>
      </c>
      <c r="NQG6" s="27" t="str">
        <f>IFERROR(VLOOKUP(DATE($K$1,$K$2,NQG$4),Table1[],(MATCH(Calendar!$A6,DB!1:1,0)+2),FALSE),"")</f>
        <v/>
      </c>
      <c r="NQH6" s="27" t="str">
        <f>IFERROR(VLOOKUP(DATE($K$1,$K$2,NQH$4),Table1[],(MATCH(Calendar!$A6,DB!1:1,0)+2),FALSE),"")</f>
        <v/>
      </c>
      <c r="NQI6" s="27" t="str">
        <f>IFERROR(VLOOKUP(DATE($K$1,$K$2,NQI$4),Table1[],(MATCH(Calendar!$A6,DB!1:1,0)+2),FALSE),"")</f>
        <v/>
      </c>
      <c r="NQJ6" s="27" t="str">
        <f>IFERROR(VLOOKUP(DATE($K$1,$K$2,NQJ$4),Table1[],(MATCH(Calendar!$A6,DB!1:1,0)+2),FALSE),"")</f>
        <v/>
      </c>
      <c r="NQK6" s="27" t="str">
        <f>IFERROR(VLOOKUP(DATE($K$1,$K$2,NQK$4),Table1[],(MATCH(Calendar!$A6,DB!1:1,0)+2),FALSE),"")</f>
        <v/>
      </c>
      <c r="NQL6" s="27" t="str">
        <f>IFERROR(VLOOKUP(DATE($K$1,$K$2,NQL$4),Table1[],(MATCH(Calendar!$A6,DB!1:1,0)+2),FALSE),"")</f>
        <v/>
      </c>
      <c r="NQM6" s="27" t="str">
        <f>IFERROR(VLOOKUP(DATE($K$1,$K$2,NQM$4),Table1[],(MATCH(Calendar!$A6,DB!1:1,0)+2),FALSE),"")</f>
        <v/>
      </c>
      <c r="NQN6" s="27" t="str">
        <f>IFERROR(VLOOKUP(DATE($K$1,$K$2,NQN$4),Table1[],(MATCH(Calendar!$A6,DB!1:1,0)+2),FALSE),"")</f>
        <v/>
      </c>
      <c r="NQO6" s="27" t="str">
        <f>IFERROR(VLOOKUP(DATE($K$1,$K$2,NQO$4),Table1[],(MATCH(Calendar!$A6,DB!1:1,0)+2),FALSE),"")</f>
        <v/>
      </c>
      <c r="NQP6" s="27" t="str">
        <f>IFERROR(VLOOKUP(DATE($K$1,$K$2,NQP$4),Table1[],(MATCH(Calendar!$A6,DB!1:1,0)+2),FALSE),"")</f>
        <v/>
      </c>
      <c r="NQQ6" s="27" t="str">
        <f>IFERROR(VLOOKUP(DATE($K$1,$K$2,NQQ$4),Table1[],(MATCH(Calendar!$A6,DB!1:1,0)+2),FALSE),"")</f>
        <v/>
      </c>
      <c r="NQR6" s="27" t="str">
        <f>IFERROR(VLOOKUP(DATE($K$1,$K$2,NQR$4),Table1[],(MATCH(Calendar!$A6,DB!1:1,0)+2),FALSE),"")</f>
        <v/>
      </c>
      <c r="NQS6" s="27" t="str">
        <f>IFERROR(VLOOKUP(DATE($K$1,$K$2,NQS$4),Table1[],(MATCH(Calendar!$A6,DB!1:1,0)+2),FALSE),"")</f>
        <v/>
      </c>
      <c r="NQT6" s="27" t="str">
        <f>IFERROR(VLOOKUP(DATE($K$1,$K$2,NQT$4),Table1[],(MATCH(Calendar!$A6,DB!1:1,0)+2),FALSE),"")</f>
        <v/>
      </c>
      <c r="NQU6" s="27" t="str">
        <f>IFERROR(VLOOKUP(DATE($K$1,$K$2,NQU$4),Table1[],(MATCH(Calendar!$A6,DB!1:1,0)+2),FALSE),"")</f>
        <v/>
      </c>
      <c r="NQV6" s="27" t="str">
        <f>IFERROR(VLOOKUP(DATE($K$1,$K$2,NQV$4),Table1[],(MATCH(Calendar!$A6,DB!1:1,0)+2),FALSE),"")</f>
        <v/>
      </c>
      <c r="NQW6" s="27" t="str">
        <f>IFERROR(VLOOKUP(DATE($K$1,$K$2,NQW$4),Table1[],(MATCH(Calendar!$A6,DB!1:1,0)+2),FALSE),"")</f>
        <v/>
      </c>
      <c r="NQX6" s="27" t="str">
        <f>IFERROR(VLOOKUP(DATE($K$1,$K$2,NQX$4),Table1[],(MATCH(Calendar!$A6,DB!1:1,0)+2),FALSE),"")</f>
        <v/>
      </c>
      <c r="NQY6" s="27" t="str">
        <f>IFERROR(VLOOKUP(DATE($K$1,$K$2,NQY$4),Table1[],(MATCH(Calendar!$A6,DB!1:1,0)+2),FALSE),"")</f>
        <v/>
      </c>
      <c r="NQZ6" s="27" t="str">
        <f>IFERROR(VLOOKUP(DATE($K$1,$K$2,NQZ$4),Table1[],(MATCH(Calendar!$A6,DB!1:1,0)+2),FALSE),"")</f>
        <v/>
      </c>
      <c r="NRA6" s="27" t="str">
        <f>IFERROR(VLOOKUP(DATE($K$1,$K$2,NRA$4),Table1[],(MATCH(Calendar!$A6,DB!1:1,0)+2),FALSE),"")</f>
        <v/>
      </c>
      <c r="NRB6" s="27" t="str">
        <f>IFERROR(VLOOKUP(DATE($K$1,$K$2,NRB$4),Table1[],(MATCH(Calendar!$A6,DB!1:1,0)+2),FALSE),"")</f>
        <v/>
      </c>
      <c r="NRC6" s="27" t="str">
        <f>IFERROR(VLOOKUP(DATE($K$1,$K$2,NRC$4),Table1[],(MATCH(Calendar!$A6,DB!1:1,0)+2),FALSE),"")</f>
        <v/>
      </c>
      <c r="NRD6" s="27" t="str">
        <f>IFERROR(VLOOKUP(DATE($K$1,$K$2,NRD$4),Table1[],(MATCH(Calendar!$A6,DB!1:1,0)+2),FALSE),"")</f>
        <v/>
      </c>
      <c r="NRE6" s="27" t="str">
        <f>IFERROR(VLOOKUP(DATE($K$1,$K$2,NRE$4),Table1[],(MATCH(Calendar!$A6,DB!1:1,0)+2),FALSE),"")</f>
        <v/>
      </c>
      <c r="NRF6" s="27" t="str">
        <f>IFERROR(VLOOKUP(DATE($K$1,$K$2,NRF$4),Table1[],(MATCH(Calendar!$A6,DB!1:1,0)+2),FALSE),"")</f>
        <v/>
      </c>
      <c r="NRG6" s="27" t="str">
        <f>IFERROR(VLOOKUP(DATE($K$1,$K$2,NRG$4),Table1[],(MATCH(Calendar!$A6,DB!1:1,0)+2),FALSE),"")</f>
        <v/>
      </c>
      <c r="NRH6" s="27" t="str">
        <f>IFERROR(VLOOKUP(DATE($K$1,$K$2,NRH$4),Table1[],(MATCH(Calendar!$A6,DB!1:1,0)+2),FALSE),"")</f>
        <v/>
      </c>
      <c r="NRI6" s="27" t="str">
        <f>IFERROR(VLOOKUP(DATE($K$1,$K$2,NRI$4),Table1[],(MATCH(Calendar!$A6,DB!1:1,0)+2),FALSE),"")</f>
        <v/>
      </c>
      <c r="NRJ6" s="27" t="str">
        <f>IFERROR(VLOOKUP(DATE($K$1,$K$2,NRJ$4),Table1[],(MATCH(Calendar!$A6,DB!1:1,0)+2),FALSE),"")</f>
        <v/>
      </c>
      <c r="NRK6" s="27" t="str">
        <f>IFERROR(VLOOKUP(DATE($K$1,$K$2,NRK$4),Table1[],(MATCH(Calendar!$A6,DB!1:1,0)+2),FALSE),"")</f>
        <v/>
      </c>
      <c r="NRL6" s="27" t="str">
        <f>IFERROR(VLOOKUP(DATE($K$1,$K$2,NRL$4),Table1[],(MATCH(Calendar!$A6,DB!1:1,0)+2),FALSE),"")</f>
        <v/>
      </c>
      <c r="NRM6" s="27" t="str">
        <f>IFERROR(VLOOKUP(DATE($K$1,$K$2,NRM$4),Table1[],(MATCH(Calendar!$A6,DB!1:1,0)+2),FALSE),"")</f>
        <v/>
      </c>
      <c r="NRN6" s="27" t="str">
        <f>IFERROR(VLOOKUP(DATE($K$1,$K$2,NRN$4),Table1[],(MATCH(Calendar!$A6,DB!1:1,0)+2),FALSE),"")</f>
        <v/>
      </c>
      <c r="NRO6" s="27" t="str">
        <f>IFERROR(VLOOKUP(DATE($K$1,$K$2,NRO$4),Table1[],(MATCH(Calendar!$A6,DB!1:1,0)+2),FALSE),"")</f>
        <v/>
      </c>
      <c r="NRP6" s="27" t="str">
        <f>IFERROR(VLOOKUP(DATE($K$1,$K$2,NRP$4),Table1[],(MATCH(Calendar!$A6,DB!1:1,0)+2),FALSE),"")</f>
        <v/>
      </c>
      <c r="NRQ6" s="27" t="str">
        <f>IFERROR(VLOOKUP(DATE($K$1,$K$2,NRQ$4),Table1[],(MATCH(Calendar!$A6,DB!1:1,0)+2),FALSE),"")</f>
        <v/>
      </c>
      <c r="NRR6" s="27" t="str">
        <f>IFERROR(VLOOKUP(DATE($K$1,$K$2,NRR$4),Table1[],(MATCH(Calendar!$A6,DB!1:1,0)+2),FALSE),"")</f>
        <v/>
      </c>
      <c r="NRS6" s="27" t="str">
        <f>IFERROR(VLOOKUP(DATE($K$1,$K$2,NRS$4),Table1[],(MATCH(Calendar!$A6,DB!1:1,0)+2),FALSE),"")</f>
        <v/>
      </c>
      <c r="NRT6" s="27" t="str">
        <f>IFERROR(VLOOKUP(DATE($K$1,$K$2,NRT$4),Table1[],(MATCH(Calendar!$A6,DB!1:1,0)+2),FALSE),"")</f>
        <v/>
      </c>
      <c r="NRU6" s="27" t="str">
        <f>IFERROR(VLOOKUP(DATE($K$1,$K$2,NRU$4),Table1[],(MATCH(Calendar!$A6,DB!1:1,0)+2),FALSE),"")</f>
        <v/>
      </c>
      <c r="NRV6" s="27" t="str">
        <f>IFERROR(VLOOKUP(DATE($K$1,$K$2,NRV$4),Table1[],(MATCH(Calendar!$A6,DB!1:1,0)+2),FALSE),"")</f>
        <v/>
      </c>
      <c r="NRW6" s="27" t="str">
        <f>IFERROR(VLOOKUP(DATE($K$1,$K$2,NRW$4),Table1[],(MATCH(Calendar!$A6,DB!1:1,0)+2),FALSE),"")</f>
        <v/>
      </c>
      <c r="NRX6" s="27" t="str">
        <f>IFERROR(VLOOKUP(DATE($K$1,$K$2,NRX$4),Table1[],(MATCH(Calendar!$A6,DB!1:1,0)+2),FALSE),"")</f>
        <v/>
      </c>
      <c r="NRY6" s="27" t="str">
        <f>IFERROR(VLOOKUP(DATE($K$1,$K$2,NRY$4),Table1[],(MATCH(Calendar!$A6,DB!1:1,0)+2),FALSE),"")</f>
        <v/>
      </c>
      <c r="NRZ6" s="27" t="str">
        <f>IFERROR(VLOOKUP(DATE($K$1,$K$2,NRZ$4),Table1[],(MATCH(Calendar!$A6,DB!1:1,0)+2),FALSE),"")</f>
        <v/>
      </c>
      <c r="NSA6" s="27" t="str">
        <f>IFERROR(VLOOKUP(DATE($K$1,$K$2,NSA$4),Table1[],(MATCH(Calendar!$A6,DB!1:1,0)+2),FALSE),"")</f>
        <v/>
      </c>
      <c r="NSB6" s="27" t="str">
        <f>IFERROR(VLOOKUP(DATE($K$1,$K$2,NSB$4),Table1[],(MATCH(Calendar!$A6,DB!1:1,0)+2),FALSE),"")</f>
        <v/>
      </c>
      <c r="NSC6" s="27" t="str">
        <f>IFERROR(VLOOKUP(DATE($K$1,$K$2,NSC$4),Table1[],(MATCH(Calendar!$A6,DB!1:1,0)+2),FALSE),"")</f>
        <v/>
      </c>
      <c r="NSD6" s="27" t="str">
        <f>IFERROR(VLOOKUP(DATE($K$1,$K$2,NSD$4),Table1[],(MATCH(Calendar!$A6,DB!1:1,0)+2),FALSE),"")</f>
        <v/>
      </c>
      <c r="NSE6" s="27" t="str">
        <f>IFERROR(VLOOKUP(DATE($K$1,$K$2,NSE$4),Table1[],(MATCH(Calendar!$A6,DB!1:1,0)+2),FALSE),"")</f>
        <v/>
      </c>
      <c r="NSF6" s="27" t="str">
        <f>IFERROR(VLOOKUP(DATE($K$1,$K$2,NSF$4),Table1[],(MATCH(Calendar!$A6,DB!1:1,0)+2),FALSE),"")</f>
        <v/>
      </c>
      <c r="NSG6" s="27" t="str">
        <f>IFERROR(VLOOKUP(DATE($K$1,$K$2,NSG$4),Table1[],(MATCH(Calendar!$A6,DB!1:1,0)+2),FALSE),"")</f>
        <v/>
      </c>
      <c r="NSH6" s="27" t="str">
        <f>IFERROR(VLOOKUP(DATE($K$1,$K$2,NSH$4),Table1[],(MATCH(Calendar!$A6,DB!1:1,0)+2),FALSE),"")</f>
        <v/>
      </c>
      <c r="NSI6" s="27" t="str">
        <f>IFERROR(VLOOKUP(DATE($K$1,$K$2,NSI$4),Table1[],(MATCH(Calendar!$A6,DB!1:1,0)+2),FALSE),"")</f>
        <v/>
      </c>
      <c r="NSJ6" s="27" t="str">
        <f>IFERROR(VLOOKUP(DATE($K$1,$K$2,NSJ$4),Table1[],(MATCH(Calendar!$A6,DB!1:1,0)+2),FALSE),"")</f>
        <v/>
      </c>
      <c r="NSK6" s="27" t="str">
        <f>IFERROR(VLOOKUP(DATE($K$1,$K$2,NSK$4),Table1[],(MATCH(Calendar!$A6,DB!1:1,0)+2),FALSE),"")</f>
        <v/>
      </c>
      <c r="NSL6" s="27" t="str">
        <f>IFERROR(VLOOKUP(DATE($K$1,$K$2,NSL$4),Table1[],(MATCH(Calendar!$A6,DB!1:1,0)+2),FALSE),"")</f>
        <v/>
      </c>
      <c r="NSM6" s="27" t="str">
        <f>IFERROR(VLOOKUP(DATE($K$1,$K$2,NSM$4),Table1[],(MATCH(Calendar!$A6,DB!1:1,0)+2),FALSE),"")</f>
        <v/>
      </c>
      <c r="NSN6" s="27" t="str">
        <f>IFERROR(VLOOKUP(DATE($K$1,$K$2,NSN$4),Table1[],(MATCH(Calendar!$A6,DB!1:1,0)+2),FALSE),"")</f>
        <v/>
      </c>
      <c r="NSO6" s="27" t="str">
        <f>IFERROR(VLOOKUP(DATE($K$1,$K$2,NSO$4),Table1[],(MATCH(Calendar!$A6,DB!1:1,0)+2),FALSE),"")</f>
        <v/>
      </c>
      <c r="NSP6" s="27" t="str">
        <f>IFERROR(VLOOKUP(DATE($K$1,$K$2,NSP$4),Table1[],(MATCH(Calendar!$A6,DB!1:1,0)+2),FALSE),"")</f>
        <v/>
      </c>
      <c r="NSQ6" s="27" t="str">
        <f>IFERROR(VLOOKUP(DATE($K$1,$K$2,NSQ$4),Table1[],(MATCH(Calendar!$A6,DB!1:1,0)+2),FALSE),"")</f>
        <v/>
      </c>
      <c r="NSR6" s="27" t="str">
        <f>IFERROR(VLOOKUP(DATE($K$1,$K$2,NSR$4),Table1[],(MATCH(Calendar!$A6,DB!1:1,0)+2),FALSE),"")</f>
        <v/>
      </c>
      <c r="NSS6" s="27" t="str">
        <f>IFERROR(VLOOKUP(DATE($K$1,$K$2,NSS$4),Table1[],(MATCH(Calendar!$A6,DB!1:1,0)+2),FALSE),"")</f>
        <v/>
      </c>
      <c r="NST6" s="27" t="str">
        <f>IFERROR(VLOOKUP(DATE($K$1,$K$2,NST$4),Table1[],(MATCH(Calendar!$A6,DB!1:1,0)+2),FALSE),"")</f>
        <v/>
      </c>
      <c r="NSU6" s="27" t="str">
        <f>IFERROR(VLOOKUP(DATE($K$1,$K$2,NSU$4),Table1[],(MATCH(Calendar!$A6,DB!1:1,0)+2),FALSE),"")</f>
        <v/>
      </c>
      <c r="NSV6" s="27" t="str">
        <f>IFERROR(VLOOKUP(DATE($K$1,$K$2,NSV$4),Table1[],(MATCH(Calendar!$A6,DB!1:1,0)+2),FALSE),"")</f>
        <v/>
      </c>
      <c r="NSW6" s="27" t="str">
        <f>IFERROR(VLOOKUP(DATE($K$1,$K$2,NSW$4),Table1[],(MATCH(Calendar!$A6,DB!1:1,0)+2),FALSE),"")</f>
        <v/>
      </c>
      <c r="NSX6" s="27" t="str">
        <f>IFERROR(VLOOKUP(DATE($K$1,$K$2,NSX$4),Table1[],(MATCH(Calendar!$A6,DB!1:1,0)+2),FALSE),"")</f>
        <v/>
      </c>
      <c r="NSY6" s="27" t="str">
        <f>IFERROR(VLOOKUP(DATE($K$1,$K$2,NSY$4),Table1[],(MATCH(Calendar!$A6,DB!1:1,0)+2),FALSE),"")</f>
        <v/>
      </c>
      <c r="NSZ6" s="27" t="str">
        <f>IFERROR(VLOOKUP(DATE($K$1,$K$2,NSZ$4),Table1[],(MATCH(Calendar!$A6,DB!1:1,0)+2),FALSE),"")</f>
        <v/>
      </c>
      <c r="NTA6" s="27" t="str">
        <f>IFERROR(VLOOKUP(DATE($K$1,$K$2,NTA$4),Table1[],(MATCH(Calendar!$A6,DB!1:1,0)+2),FALSE),"")</f>
        <v/>
      </c>
      <c r="NTB6" s="27" t="str">
        <f>IFERROR(VLOOKUP(DATE($K$1,$K$2,NTB$4),Table1[],(MATCH(Calendar!$A6,DB!1:1,0)+2),FALSE),"")</f>
        <v/>
      </c>
      <c r="NTC6" s="27" t="str">
        <f>IFERROR(VLOOKUP(DATE($K$1,$K$2,NTC$4),Table1[],(MATCH(Calendar!$A6,DB!1:1,0)+2),FALSE),"")</f>
        <v/>
      </c>
      <c r="NTD6" s="27" t="str">
        <f>IFERROR(VLOOKUP(DATE($K$1,$K$2,NTD$4),Table1[],(MATCH(Calendar!$A6,DB!1:1,0)+2),FALSE),"")</f>
        <v/>
      </c>
      <c r="NTE6" s="27" t="str">
        <f>IFERROR(VLOOKUP(DATE($K$1,$K$2,NTE$4),Table1[],(MATCH(Calendar!$A6,DB!1:1,0)+2),FALSE),"")</f>
        <v/>
      </c>
      <c r="NTF6" s="27" t="str">
        <f>IFERROR(VLOOKUP(DATE($K$1,$K$2,NTF$4),Table1[],(MATCH(Calendar!$A6,DB!1:1,0)+2),FALSE),"")</f>
        <v/>
      </c>
      <c r="NTG6" s="27" t="str">
        <f>IFERROR(VLOOKUP(DATE($K$1,$K$2,NTG$4),Table1[],(MATCH(Calendar!$A6,DB!1:1,0)+2),FALSE),"")</f>
        <v/>
      </c>
      <c r="NTH6" s="27" t="str">
        <f>IFERROR(VLOOKUP(DATE($K$1,$K$2,NTH$4),Table1[],(MATCH(Calendar!$A6,DB!1:1,0)+2),FALSE),"")</f>
        <v/>
      </c>
      <c r="NTI6" s="27" t="str">
        <f>IFERROR(VLOOKUP(DATE($K$1,$K$2,NTI$4),Table1[],(MATCH(Calendar!$A6,DB!1:1,0)+2),FALSE),"")</f>
        <v/>
      </c>
      <c r="NTJ6" s="27" t="str">
        <f>IFERROR(VLOOKUP(DATE($K$1,$K$2,NTJ$4),Table1[],(MATCH(Calendar!$A6,DB!1:1,0)+2),FALSE),"")</f>
        <v/>
      </c>
      <c r="NTK6" s="27" t="str">
        <f>IFERROR(VLOOKUP(DATE($K$1,$K$2,NTK$4),Table1[],(MATCH(Calendar!$A6,DB!1:1,0)+2),FALSE),"")</f>
        <v/>
      </c>
      <c r="NTL6" s="27" t="str">
        <f>IFERROR(VLOOKUP(DATE($K$1,$K$2,NTL$4),Table1[],(MATCH(Calendar!$A6,DB!1:1,0)+2),FALSE),"")</f>
        <v/>
      </c>
      <c r="NTM6" s="27" t="str">
        <f>IFERROR(VLOOKUP(DATE($K$1,$K$2,NTM$4),Table1[],(MATCH(Calendar!$A6,DB!1:1,0)+2),FALSE),"")</f>
        <v/>
      </c>
      <c r="NTN6" s="27" t="str">
        <f>IFERROR(VLOOKUP(DATE($K$1,$K$2,NTN$4),Table1[],(MATCH(Calendar!$A6,DB!1:1,0)+2),FALSE),"")</f>
        <v/>
      </c>
      <c r="NTO6" s="27" t="str">
        <f>IFERROR(VLOOKUP(DATE($K$1,$K$2,NTO$4),Table1[],(MATCH(Calendar!$A6,DB!1:1,0)+2),FALSE),"")</f>
        <v/>
      </c>
      <c r="NTP6" s="27" t="str">
        <f>IFERROR(VLOOKUP(DATE($K$1,$K$2,NTP$4),Table1[],(MATCH(Calendar!$A6,DB!1:1,0)+2),FALSE),"")</f>
        <v/>
      </c>
      <c r="NTQ6" s="27" t="str">
        <f>IFERROR(VLOOKUP(DATE($K$1,$K$2,NTQ$4),Table1[],(MATCH(Calendar!$A6,DB!1:1,0)+2),FALSE),"")</f>
        <v/>
      </c>
      <c r="NTR6" s="27" t="str">
        <f>IFERROR(VLOOKUP(DATE($K$1,$K$2,NTR$4),Table1[],(MATCH(Calendar!$A6,DB!1:1,0)+2),FALSE),"")</f>
        <v/>
      </c>
      <c r="NTS6" s="27" t="str">
        <f>IFERROR(VLOOKUP(DATE($K$1,$K$2,NTS$4),Table1[],(MATCH(Calendar!$A6,DB!1:1,0)+2),FALSE),"")</f>
        <v/>
      </c>
      <c r="NTT6" s="27" t="str">
        <f>IFERROR(VLOOKUP(DATE($K$1,$K$2,NTT$4),Table1[],(MATCH(Calendar!$A6,DB!1:1,0)+2),FALSE),"")</f>
        <v/>
      </c>
      <c r="NTU6" s="27" t="str">
        <f>IFERROR(VLOOKUP(DATE($K$1,$K$2,NTU$4),Table1[],(MATCH(Calendar!$A6,DB!1:1,0)+2),FALSE),"")</f>
        <v/>
      </c>
      <c r="NTV6" s="27" t="str">
        <f>IFERROR(VLOOKUP(DATE($K$1,$K$2,NTV$4),Table1[],(MATCH(Calendar!$A6,DB!1:1,0)+2),FALSE),"")</f>
        <v/>
      </c>
      <c r="NTW6" s="27" t="str">
        <f>IFERROR(VLOOKUP(DATE($K$1,$K$2,NTW$4),Table1[],(MATCH(Calendar!$A6,DB!1:1,0)+2),FALSE),"")</f>
        <v/>
      </c>
      <c r="NTX6" s="27" t="str">
        <f>IFERROR(VLOOKUP(DATE($K$1,$K$2,NTX$4),Table1[],(MATCH(Calendar!$A6,DB!1:1,0)+2),FALSE),"")</f>
        <v/>
      </c>
      <c r="NTY6" s="27" t="str">
        <f>IFERROR(VLOOKUP(DATE($K$1,$K$2,NTY$4),Table1[],(MATCH(Calendar!$A6,DB!1:1,0)+2),FALSE),"")</f>
        <v/>
      </c>
      <c r="NTZ6" s="27" t="str">
        <f>IFERROR(VLOOKUP(DATE($K$1,$K$2,NTZ$4),Table1[],(MATCH(Calendar!$A6,DB!1:1,0)+2),FALSE),"")</f>
        <v/>
      </c>
      <c r="NUA6" s="27" t="str">
        <f>IFERROR(VLOOKUP(DATE($K$1,$K$2,NUA$4),Table1[],(MATCH(Calendar!$A6,DB!1:1,0)+2),FALSE),"")</f>
        <v/>
      </c>
      <c r="NUB6" s="27" t="str">
        <f>IFERROR(VLOOKUP(DATE($K$1,$K$2,NUB$4),Table1[],(MATCH(Calendar!$A6,DB!1:1,0)+2),FALSE),"")</f>
        <v/>
      </c>
      <c r="NUC6" s="27" t="str">
        <f>IFERROR(VLOOKUP(DATE($K$1,$K$2,NUC$4),Table1[],(MATCH(Calendar!$A6,DB!1:1,0)+2),FALSE),"")</f>
        <v/>
      </c>
      <c r="NUD6" s="27" t="str">
        <f>IFERROR(VLOOKUP(DATE($K$1,$K$2,NUD$4),Table1[],(MATCH(Calendar!$A6,DB!1:1,0)+2),FALSE),"")</f>
        <v/>
      </c>
      <c r="NUE6" s="27" t="str">
        <f>IFERROR(VLOOKUP(DATE($K$1,$K$2,NUE$4),Table1[],(MATCH(Calendar!$A6,DB!1:1,0)+2),FALSE),"")</f>
        <v/>
      </c>
      <c r="NUF6" s="27" t="str">
        <f>IFERROR(VLOOKUP(DATE($K$1,$K$2,NUF$4),Table1[],(MATCH(Calendar!$A6,DB!1:1,0)+2),FALSE),"")</f>
        <v/>
      </c>
      <c r="NUG6" s="27" t="str">
        <f>IFERROR(VLOOKUP(DATE($K$1,$K$2,NUG$4),Table1[],(MATCH(Calendar!$A6,DB!1:1,0)+2),FALSE),"")</f>
        <v/>
      </c>
      <c r="NUH6" s="27" t="str">
        <f>IFERROR(VLOOKUP(DATE($K$1,$K$2,NUH$4),Table1[],(MATCH(Calendar!$A6,DB!1:1,0)+2),FALSE),"")</f>
        <v/>
      </c>
      <c r="NUI6" s="27" t="str">
        <f>IFERROR(VLOOKUP(DATE($K$1,$K$2,NUI$4),Table1[],(MATCH(Calendar!$A6,DB!1:1,0)+2),FALSE),"")</f>
        <v/>
      </c>
      <c r="NUJ6" s="27" t="str">
        <f>IFERROR(VLOOKUP(DATE($K$1,$K$2,NUJ$4),Table1[],(MATCH(Calendar!$A6,DB!1:1,0)+2),FALSE),"")</f>
        <v/>
      </c>
      <c r="NUK6" s="27" t="str">
        <f>IFERROR(VLOOKUP(DATE($K$1,$K$2,NUK$4),Table1[],(MATCH(Calendar!$A6,DB!1:1,0)+2),FALSE),"")</f>
        <v/>
      </c>
      <c r="NUL6" s="27" t="str">
        <f>IFERROR(VLOOKUP(DATE($K$1,$K$2,NUL$4),Table1[],(MATCH(Calendar!$A6,DB!1:1,0)+2),FALSE),"")</f>
        <v/>
      </c>
      <c r="NUM6" s="27" t="str">
        <f>IFERROR(VLOOKUP(DATE($K$1,$K$2,NUM$4),Table1[],(MATCH(Calendar!$A6,DB!1:1,0)+2),FALSE),"")</f>
        <v/>
      </c>
      <c r="NUN6" s="27" t="str">
        <f>IFERROR(VLOOKUP(DATE($K$1,$K$2,NUN$4),Table1[],(MATCH(Calendar!$A6,DB!1:1,0)+2),FALSE),"")</f>
        <v/>
      </c>
      <c r="NUO6" s="27" t="str">
        <f>IFERROR(VLOOKUP(DATE($K$1,$K$2,NUO$4),Table1[],(MATCH(Calendar!$A6,DB!1:1,0)+2),FALSE),"")</f>
        <v/>
      </c>
      <c r="NUP6" s="27" t="str">
        <f>IFERROR(VLOOKUP(DATE($K$1,$K$2,NUP$4),Table1[],(MATCH(Calendar!$A6,DB!1:1,0)+2),FALSE),"")</f>
        <v/>
      </c>
      <c r="NUQ6" s="27" t="str">
        <f>IFERROR(VLOOKUP(DATE($K$1,$K$2,NUQ$4),Table1[],(MATCH(Calendar!$A6,DB!1:1,0)+2),FALSE),"")</f>
        <v/>
      </c>
      <c r="NUR6" s="27" t="str">
        <f>IFERROR(VLOOKUP(DATE($K$1,$K$2,NUR$4),Table1[],(MATCH(Calendar!$A6,DB!1:1,0)+2),FALSE),"")</f>
        <v/>
      </c>
      <c r="NUS6" s="27" t="str">
        <f>IFERROR(VLOOKUP(DATE($K$1,$K$2,NUS$4),Table1[],(MATCH(Calendar!$A6,DB!1:1,0)+2),FALSE),"")</f>
        <v/>
      </c>
      <c r="NUT6" s="27" t="str">
        <f>IFERROR(VLOOKUP(DATE($K$1,$K$2,NUT$4),Table1[],(MATCH(Calendar!$A6,DB!1:1,0)+2),FALSE),"")</f>
        <v/>
      </c>
      <c r="NUU6" s="27" t="str">
        <f>IFERROR(VLOOKUP(DATE($K$1,$K$2,NUU$4),Table1[],(MATCH(Calendar!$A6,DB!1:1,0)+2),FALSE),"")</f>
        <v/>
      </c>
      <c r="NUV6" s="27" t="str">
        <f>IFERROR(VLOOKUP(DATE($K$1,$K$2,NUV$4),Table1[],(MATCH(Calendar!$A6,DB!1:1,0)+2),FALSE),"")</f>
        <v/>
      </c>
      <c r="NUW6" s="27" t="str">
        <f>IFERROR(VLOOKUP(DATE($K$1,$K$2,NUW$4),Table1[],(MATCH(Calendar!$A6,DB!1:1,0)+2),FALSE),"")</f>
        <v/>
      </c>
      <c r="NUX6" s="27" t="str">
        <f>IFERROR(VLOOKUP(DATE($K$1,$K$2,NUX$4),Table1[],(MATCH(Calendar!$A6,DB!1:1,0)+2),FALSE),"")</f>
        <v/>
      </c>
      <c r="NUY6" s="27" t="str">
        <f>IFERROR(VLOOKUP(DATE($K$1,$K$2,NUY$4),Table1[],(MATCH(Calendar!$A6,DB!1:1,0)+2),FALSE),"")</f>
        <v/>
      </c>
      <c r="NUZ6" s="27" t="str">
        <f>IFERROR(VLOOKUP(DATE($K$1,$K$2,NUZ$4),Table1[],(MATCH(Calendar!$A6,DB!1:1,0)+2),FALSE),"")</f>
        <v/>
      </c>
      <c r="NVA6" s="27" t="str">
        <f>IFERROR(VLOOKUP(DATE($K$1,$K$2,NVA$4),Table1[],(MATCH(Calendar!$A6,DB!1:1,0)+2),FALSE),"")</f>
        <v/>
      </c>
      <c r="NVB6" s="27" t="str">
        <f>IFERROR(VLOOKUP(DATE($K$1,$K$2,NVB$4),Table1[],(MATCH(Calendar!$A6,DB!1:1,0)+2),FALSE),"")</f>
        <v/>
      </c>
      <c r="NVC6" s="27" t="str">
        <f>IFERROR(VLOOKUP(DATE($K$1,$K$2,NVC$4),Table1[],(MATCH(Calendar!$A6,DB!1:1,0)+2),FALSE),"")</f>
        <v/>
      </c>
      <c r="NVD6" s="27" t="str">
        <f>IFERROR(VLOOKUP(DATE($K$1,$K$2,NVD$4),Table1[],(MATCH(Calendar!$A6,DB!1:1,0)+2),FALSE),"")</f>
        <v/>
      </c>
      <c r="NVE6" s="27" t="str">
        <f>IFERROR(VLOOKUP(DATE($K$1,$K$2,NVE$4),Table1[],(MATCH(Calendar!$A6,DB!1:1,0)+2),FALSE),"")</f>
        <v/>
      </c>
      <c r="NVF6" s="27" t="str">
        <f>IFERROR(VLOOKUP(DATE($K$1,$K$2,NVF$4),Table1[],(MATCH(Calendar!$A6,DB!1:1,0)+2),FALSE),"")</f>
        <v/>
      </c>
      <c r="NVG6" s="27" t="str">
        <f>IFERROR(VLOOKUP(DATE($K$1,$K$2,NVG$4),Table1[],(MATCH(Calendar!$A6,DB!1:1,0)+2),FALSE),"")</f>
        <v/>
      </c>
      <c r="NVH6" s="27" t="str">
        <f>IFERROR(VLOOKUP(DATE($K$1,$K$2,NVH$4),Table1[],(MATCH(Calendar!$A6,DB!1:1,0)+2),FALSE),"")</f>
        <v/>
      </c>
      <c r="NVI6" s="27" t="str">
        <f>IFERROR(VLOOKUP(DATE($K$1,$K$2,NVI$4),Table1[],(MATCH(Calendar!$A6,DB!1:1,0)+2),FALSE),"")</f>
        <v/>
      </c>
      <c r="NVJ6" s="27" t="str">
        <f>IFERROR(VLOOKUP(DATE($K$1,$K$2,NVJ$4),Table1[],(MATCH(Calendar!$A6,DB!1:1,0)+2),FALSE),"")</f>
        <v/>
      </c>
      <c r="NVK6" s="27" t="str">
        <f>IFERROR(VLOOKUP(DATE($K$1,$K$2,NVK$4),Table1[],(MATCH(Calendar!$A6,DB!1:1,0)+2),FALSE),"")</f>
        <v/>
      </c>
      <c r="NVL6" s="27" t="str">
        <f>IFERROR(VLOOKUP(DATE($K$1,$K$2,NVL$4),Table1[],(MATCH(Calendar!$A6,DB!1:1,0)+2),FALSE),"")</f>
        <v/>
      </c>
      <c r="NVM6" s="27" t="str">
        <f>IFERROR(VLOOKUP(DATE($K$1,$K$2,NVM$4),Table1[],(MATCH(Calendar!$A6,DB!1:1,0)+2),FALSE),"")</f>
        <v/>
      </c>
      <c r="NVN6" s="27" t="str">
        <f>IFERROR(VLOOKUP(DATE($K$1,$K$2,NVN$4),Table1[],(MATCH(Calendar!$A6,DB!1:1,0)+2),FALSE),"")</f>
        <v/>
      </c>
      <c r="NVO6" s="27" t="str">
        <f>IFERROR(VLOOKUP(DATE($K$1,$K$2,NVO$4),Table1[],(MATCH(Calendar!$A6,DB!1:1,0)+2),FALSE),"")</f>
        <v/>
      </c>
      <c r="NVP6" s="27" t="str">
        <f>IFERROR(VLOOKUP(DATE($K$1,$K$2,NVP$4),Table1[],(MATCH(Calendar!$A6,DB!1:1,0)+2),FALSE),"")</f>
        <v/>
      </c>
      <c r="NVQ6" s="27" t="str">
        <f>IFERROR(VLOOKUP(DATE($K$1,$K$2,NVQ$4),Table1[],(MATCH(Calendar!$A6,DB!1:1,0)+2),FALSE),"")</f>
        <v/>
      </c>
      <c r="NVR6" s="27" t="str">
        <f>IFERROR(VLOOKUP(DATE($K$1,$K$2,NVR$4),Table1[],(MATCH(Calendar!$A6,DB!1:1,0)+2),FALSE),"")</f>
        <v/>
      </c>
      <c r="NVS6" s="27" t="str">
        <f>IFERROR(VLOOKUP(DATE($K$1,$K$2,NVS$4),Table1[],(MATCH(Calendar!$A6,DB!1:1,0)+2),FALSE),"")</f>
        <v/>
      </c>
      <c r="NVT6" s="27" t="str">
        <f>IFERROR(VLOOKUP(DATE($K$1,$K$2,NVT$4),Table1[],(MATCH(Calendar!$A6,DB!1:1,0)+2),FALSE),"")</f>
        <v/>
      </c>
      <c r="NVU6" s="27" t="str">
        <f>IFERROR(VLOOKUP(DATE($K$1,$K$2,NVU$4),Table1[],(MATCH(Calendar!$A6,DB!1:1,0)+2),FALSE),"")</f>
        <v/>
      </c>
      <c r="NVV6" s="27" t="str">
        <f>IFERROR(VLOOKUP(DATE($K$1,$K$2,NVV$4),Table1[],(MATCH(Calendar!$A6,DB!1:1,0)+2),FALSE),"")</f>
        <v/>
      </c>
      <c r="NVW6" s="27" t="str">
        <f>IFERROR(VLOOKUP(DATE($K$1,$K$2,NVW$4),Table1[],(MATCH(Calendar!$A6,DB!1:1,0)+2),FALSE),"")</f>
        <v/>
      </c>
      <c r="NVX6" s="27" t="str">
        <f>IFERROR(VLOOKUP(DATE($K$1,$K$2,NVX$4),Table1[],(MATCH(Calendar!$A6,DB!1:1,0)+2),FALSE),"")</f>
        <v/>
      </c>
      <c r="NVY6" s="27" t="str">
        <f>IFERROR(VLOOKUP(DATE($K$1,$K$2,NVY$4),Table1[],(MATCH(Calendar!$A6,DB!1:1,0)+2),FALSE),"")</f>
        <v/>
      </c>
      <c r="NVZ6" s="27" t="str">
        <f>IFERROR(VLOOKUP(DATE($K$1,$K$2,NVZ$4),Table1[],(MATCH(Calendar!$A6,DB!1:1,0)+2),FALSE),"")</f>
        <v/>
      </c>
      <c r="NWA6" s="27" t="str">
        <f>IFERROR(VLOOKUP(DATE($K$1,$K$2,NWA$4),Table1[],(MATCH(Calendar!$A6,DB!1:1,0)+2),FALSE),"")</f>
        <v/>
      </c>
      <c r="NWB6" s="27" t="str">
        <f>IFERROR(VLOOKUP(DATE($K$1,$K$2,NWB$4),Table1[],(MATCH(Calendar!$A6,DB!1:1,0)+2),FALSE),"")</f>
        <v/>
      </c>
      <c r="NWC6" s="27" t="str">
        <f>IFERROR(VLOOKUP(DATE($K$1,$K$2,NWC$4),Table1[],(MATCH(Calendar!$A6,DB!1:1,0)+2),FALSE),"")</f>
        <v/>
      </c>
      <c r="NWD6" s="27" t="str">
        <f>IFERROR(VLOOKUP(DATE($K$1,$K$2,NWD$4),Table1[],(MATCH(Calendar!$A6,DB!1:1,0)+2),FALSE),"")</f>
        <v/>
      </c>
      <c r="NWE6" s="27" t="str">
        <f>IFERROR(VLOOKUP(DATE($K$1,$K$2,NWE$4),Table1[],(MATCH(Calendar!$A6,DB!1:1,0)+2),FALSE),"")</f>
        <v/>
      </c>
      <c r="NWF6" s="27" t="str">
        <f>IFERROR(VLOOKUP(DATE($K$1,$K$2,NWF$4),Table1[],(MATCH(Calendar!$A6,DB!1:1,0)+2),FALSE),"")</f>
        <v/>
      </c>
      <c r="NWG6" s="27" t="str">
        <f>IFERROR(VLOOKUP(DATE($K$1,$K$2,NWG$4),Table1[],(MATCH(Calendar!$A6,DB!1:1,0)+2),FALSE),"")</f>
        <v/>
      </c>
      <c r="NWH6" s="27" t="str">
        <f>IFERROR(VLOOKUP(DATE($K$1,$K$2,NWH$4),Table1[],(MATCH(Calendar!$A6,DB!1:1,0)+2),FALSE),"")</f>
        <v/>
      </c>
      <c r="NWI6" s="27" t="str">
        <f>IFERROR(VLOOKUP(DATE($K$1,$K$2,NWI$4),Table1[],(MATCH(Calendar!$A6,DB!1:1,0)+2),FALSE),"")</f>
        <v/>
      </c>
      <c r="NWJ6" s="27" t="str">
        <f>IFERROR(VLOOKUP(DATE($K$1,$K$2,NWJ$4),Table1[],(MATCH(Calendar!$A6,DB!1:1,0)+2),FALSE),"")</f>
        <v/>
      </c>
      <c r="NWK6" s="27" t="str">
        <f>IFERROR(VLOOKUP(DATE($K$1,$K$2,NWK$4),Table1[],(MATCH(Calendar!$A6,DB!1:1,0)+2),FALSE),"")</f>
        <v/>
      </c>
      <c r="NWL6" s="27" t="str">
        <f>IFERROR(VLOOKUP(DATE($K$1,$K$2,NWL$4),Table1[],(MATCH(Calendar!$A6,DB!1:1,0)+2),FALSE),"")</f>
        <v/>
      </c>
      <c r="NWM6" s="27" t="str">
        <f>IFERROR(VLOOKUP(DATE($K$1,$K$2,NWM$4),Table1[],(MATCH(Calendar!$A6,DB!1:1,0)+2),FALSE),"")</f>
        <v/>
      </c>
      <c r="NWN6" s="27" t="str">
        <f>IFERROR(VLOOKUP(DATE($K$1,$K$2,NWN$4),Table1[],(MATCH(Calendar!$A6,DB!1:1,0)+2),FALSE),"")</f>
        <v/>
      </c>
      <c r="NWO6" s="27" t="str">
        <f>IFERROR(VLOOKUP(DATE($K$1,$K$2,NWO$4),Table1[],(MATCH(Calendar!$A6,DB!1:1,0)+2),FALSE),"")</f>
        <v/>
      </c>
      <c r="NWP6" s="27" t="str">
        <f>IFERROR(VLOOKUP(DATE($K$1,$K$2,NWP$4),Table1[],(MATCH(Calendar!$A6,DB!1:1,0)+2),FALSE),"")</f>
        <v/>
      </c>
      <c r="NWQ6" s="27" t="str">
        <f>IFERROR(VLOOKUP(DATE($K$1,$K$2,NWQ$4),Table1[],(MATCH(Calendar!$A6,DB!1:1,0)+2),FALSE),"")</f>
        <v/>
      </c>
      <c r="NWR6" s="27" t="str">
        <f>IFERROR(VLOOKUP(DATE($K$1,$K$2,NWR$4),Table1[],(MATCH(Calendar!$A6,DB!1:1,0)+2),FALSE),"")</f>
        <v/>
      </c>
      <c r="NWS6" s="27" t="str">
        <f>IFERROR(VLOOKUP(DATE($K$1,$K$2,NWS$4),Table1[],(MATCH(Calendar!$A6,DB!1:1,0)+2),FALSE),"")</f>
        <v/>
      </c>
      <c r="NWT6" s="27" t="str">
        <f>IFERROR(VLOOKUP(DATE($K$1,$K$2,NWT$4),Table1[],(MATCH(Calendar!$A6,DB!1:1,0)+2),FALSE),"")</f>
        <v/>
      </c>
      <c r="NWU6" s="27" t="str">
        <f>IFERROR(VLOOKUP(DATE($K$1,$K$2,NWU$4),Table1[],(MATCH(Calendar!$A6,DB!1:1,0)+2),FALSE),"")</f>
        <v/>
      </c>
      <c r="NWV6" s="27" t="str">
        <f>IFERROR(VLOOKUP(DATE($K$1,$K$2,NWV$4),Table1[],(MATCH(Calendar!$A6,DB!1:1,0)+2),FALSE),"")</f>
        <v/>
      </c>
      <c r="NWW6" s="27" t="str">
        <f>IFERROR(VLOOKUP(DATE($K$1,$K$2,NWW$4),Table1[],(MATCH(Calendar!$A6,DB!1:1,0)+2),FALSE),"")</f>
        <v/>
      </c>
      <c r="NWX6" s="27" t="str">
        <f>IFERROR(VLOOKUP(DATE($K$1,$K$2,NWX$4),Table1[],(MATCH(Calendar!$A6,DB!1:1,0)+2),FALSE),"")</f>
        <v/>
      </c>
      <c r="NWY6" s="27" t="str">
        <f>IFERROR(VLOOKUP(DATE($K$1,$K$2,NWY$4),Table1[],(MATCH(Calendar!$A6,DB!1:1,0)+2),FALSE),"")</f>
        <v/>
      </c>
      <c r="NWZ6" s="27" t="str">
        <f>IFERROR(VLOOKUP(DATE($K$1,$K$2,NWZ$4),Table1[],(MATCH(Calendar!$A6,DB!1:1,0)+2),FALSE),"")</f>
        <v/>
      </c>
      <c r="NXA6" s="27" t="str">
        <f>IFERROR(VLOOKUP(DATE($K$1,$K$2,NXA$4),Table1[],(MATCH(Calendar!$A6,DB!1:1,0)+2),FALSE),"")</f>
        <v/>
      </c>
      <c r="NXB6" s="27" t="str">
        <f>IFERROR(VLOOKUP(DATE($K$1,$K$2,NXB$4),Table1[],(MATCH(Calendar!$A6,DB!1:1,0)+2),FALSE),"")</f>
        <v/>
      </c>
      <c r="NXC6" s="27" t="str">
        <f>IFERROR(VLOOKUP(DATE($K$1,$K$2,NXC$4),Table1[],(MATCH(Calendar!$A6,DB!1:1,0)+2),FALSE),"")</f>
        <v/>
      </c>
      <c r="NXD6" s="27" t="str">
        <f>IFERROR(VLOOKUP(DATE($K$1,$K$2,NXD$4),Table1[],(MATCH(Calendar!$A6,DB!1:1,0)+2),FALSE),"")</f>
        <v/>
      </c>
      <c r="NXE6" s="27" t="str">
        <f>IFERROR(VLOOKUP(DATE($K$1,$K$2,NXE$4),Table1[],(MATCH(Calendar!$A6,DB!1:1,0)+2),FALSE),"")</f>
        <v/>
      </c>
      <c r="NXF6" s="27" t="str">
        <f>IFERROR(VLOOKUP(DATE($K$1,$K$2,NXF$4),Table1[],(MATCH(Calendar!$A6,DB!1:1,0)+2),FALSE),"")</f>
        <v/>
      </c>
      <c r="NXG6" s="27" t="str">
        <f>IFERROR(VLOOKUP(DATE($K$1,$K$2,NXG$4),Table1[],(MATCH(Calendar!$A6,DB!1:1,0)+2),FALSE),"")</f>
        <v/>
      </c>
      <c r="NXH6" s="27" t="str">
        <f>IFERROR(VLOOKUP(DATE($K$1,$K$2,NXH$4),Table1[],(MATCH(Calendar!$A6,DB!1:1,0)+2),FALSE),"")</f>
        <v/>
      </c>
      <c r="NXI6" s="27" t="str">
        <f>IFERROR(VLOOKUP(DATE($K$1,$K$2,NXI$4),Table1[],(MATCH(Calendar!$A6,DB!1:1,0)+2),FALSE),"")</f>
        <v/>
      </c>
      <c r="NXJ6" s="27" t="str">
        <f>IFERROR(VLOOKUP(DATE($K$1,$K$2,NXJ$4),Table1[],(MATCH(Calendar!$A6,DB!1:1,0)+2),FALSE),"")</f>
        <v/>
      </c>
      <c r="NXK6" s="27" t="str">
        <f>IFERROR(VLOOKUP(DATE($K$1,$K$2,NXK$4),Table1[],(MATCH(Calendar!$A6,DB!1:1,0)+2),FALSE),"")</f>
        <v/>
      </c>
      <c r="NXL6" s="27" t="str">
        <f>IFERROR(VLOOKUP(DATE($K$1,$K$2,NXL$4),Table1[],(MATCH(Calendar!$A6,DB!1:1,0)+2),FALSE),"")</f>
        <v/>
      </c>
      <c r="NXM6" s="27" t="str">
        <f>IFERROR(VLOOKUP(DATE($K$1,$K$2,NXM$4),Table1[],(MATCH(Calendar!$A6,DB!1:1,0)+2),FALSE),"")</f>
        <v/>
      </c>
      <c r="NXN6" s="27" t="str">
        <f>IFERROR(VLOOKUP(DATE($K$1,$K$2,NXN$4),Table1[],(MATCH(Calendar!$A6,DB!1:1,0)+2),FALSE),"")</f>
        <v/>
      </c>
      <c r="NXO6" s="27" t="str">
        <f>IFERROR(VLOOKUP(DATE($K$1,$K$2,NXO$4),Table1[],(MATCH(Calendar!$A6,DB!1:1,0)+2),FALSE),"")</f>
        <v/>
      </c>
      <c r="NXP6" s="27" t="str">
        <f>IFERROR(VLOOKUP(DATE($K$1,$K$2,NXP$4),Table1[],(MATCH(Calendar!$A6,DB!1:1,0)+2),FALSE),"")</f>
        <v/>
      </c>
      <c r="NXQ6" s="27" t="str">
        <f>IFERROR(VLOOKUP(DATE($K$1,$K$2,NXQ$4),Table1[],(MATCH(Calendar!$A6,DB!1:1,0)+2),FALSE),"")</f>
        <v/>
      </c>
      <c r="NXR6" s="27" t="str">
        <f>IFERROR(VLOOKUP(DATE($K$1,$K$2,NXR$4),Table1[],(MATCH(Calendar!$A6,DB!1:1,0)+2),FALSE),"")</f>
        <v/>
      </c>
      <c r="NXS6" s="27" t="str">
        <f>IFERROR(VLOOKUP(DATE($K$1,$K$2,NXS$4),Table1[],(MATCH(Calendar!$A6,DB!1:1,0)+2),FALSE),"")</f>
        <v/>
      </c>
      <c r="NXT6" s="27" t="str">
        <f>IFERROR(VLOOKUP(DATE($K$1,$K$2,NXT$4),Table1[],(MATCH(Calendar!$A6,DB!1:1,0)+2),FALSE),"")</f>
        <v/>
      </c>
      <c r="NXU6" s="27" t="str">
        <f>IFERROR(VLOOKUP(DATE($K$1,$K$2,NXU$4),Table1[],(MATCH(Calendar!$A6,DB!1:1,0)+2),FALSE),"")</f>
        <v/>
      </c>
      <c r="NXV6" s="27" t="str">
        <f>IFERROR(VLOOKUP(DATE($K$1,$K$2,NXV$4),Table1[],(MATCH(Calendar!$A6,DB!1:1,0)+2),FALSE),"")</f>
        <v/>
      </c>
      <c r="NXW6" s="27" t="str">
        <f>IFERROR(VLOOKUP(DATE($K$1,$K$2,NXW$4),Table1[],(MATCH(Calendar!$A6,DB!1:1,0)+2),FALSE),"")</f>
        <v/>
      </c>
      <c r="NXX6" s="27" t="str">
        <f>IFERROR(VLOOKUP(DATE($K$1,$K$2,NXX$4),Table1[],(MATCH(Calendar!$A6,DB!1:1,0)+2),FALSE),"")</f>
        <v/>
      </c>
      <c r="NXY6" s="27" t="str">
        <f>IFERROR(VLOOKUP(DATE($K$1,$K$2,NXY$4),Table1[],(MATCH(Calendar!$A6,DB!1:1,0)+2),FALSE),"")</f>
        <v/>
      </c>
      <c r="NXZ6" s="27" t="str">
        <f>IFERROR(VLOOKUP(DATE($K$1,$K$2,NXZ$4),Table1[],(MATCH(Calendar!$A6,DB!1:1,0)+2),FALSE),"")</f>
        <v/>
      </c>
      <c r="NYA6" s="27" t="str">
        <f>IFERROR(VLOOKUP(DATE($K$1,$K$2,NYA$4),Table1[],(MATCH(Calendar!$A6,DB!1:1,0)+2),FALSE),"")</f>
        <v/>
      </c>
      <c r="NYB6" s="27" t="str">
        <f>IFERROR(VLOOKUP(DATE($K$1,$K$2,NYB$4),Table1[],(MATCH(Calendar!$A6,DB!1:1,0)+2),FALSE),"")</f>
        <v/>
      </c>
      <c r="NYC6" s="27" t="str">
        <f>IFERROR(VLOOKUP(DATE($K$1,$K$2,NYC$4),Table1[],(MATCH(Calendar!$A6,DB!1:1,0)+2),FALSE),"")</f>
        <v/>
      </c>
      <c r="NYD6" s="27" t="str">
        <f>IFERROR(VLOOKUP(DATE($K$1,$K$2,NYD$4),Table1[],(MATCH(Calendar!$A6,DB!1:1,0)+2),FALSE),"")</f>
        <v/>
      </c>
      <c r="NYE6" s="27" t="str">
        <f>IFERROR(VLOOKUP(DATE($K$1,$K$2,NYE$4),Table1[],(MATCH(Calendar!$A6,DB!1:1,0)+2),FALSE),"")</f>
        <v/>
      </c>
      <c r="NYF6" s="27" t="str">
        <f>IFERROR(VLOOKUP(DATE($K$1,$K$2,NYF$4),Table1[],(MATCH(Calendar!$A6,DB!1:1,0)+2),FALSE),"")</f>
        <v/>
      </c>
      <c r="NYG6" s="27" t="str">
        <f>IFERROR(VLOOKUP(DATE($K$1,$K$2,NYG$4),Table1[],(MATCH(Calendar!$A6,DB!1:1,0)+2),FALSE),"")</f>
        <v/>
      </c>
      <c r="NYH6" s="27" t="str">
        <f>IFERROR(VLOOKUP(DATE($K$1,$K$2,NYH$4),Table1[],(MATCH(Calendar!$A6,DB!1:1,0)+2),FALSE),"")</f>
        <v/>
      </c>
      <c r="NYI6" s="27" t="str">
        <f>IFERROR(VLOOKUP(DATE($K$1,$K$2,NYI$4),Table1[],(MATCH(Calendar!$A6,DB!1:1,0)+2),FALSE),"")</f>
        <v/>
      </c>
      <c r="NYJ6" s="27" t="str">
        <f>IFERROR(VLOOKUP(DATE($K$1,$K$2,NYJ$4),Table1[],(MATCH(Calendar!$A6,DB!1:1,0)+2),FALSE),"")</f>
        <v/>
      </c>
      <c r="NYK6" s="27" t="str">
        <f>IFERROR(VLOOKUP(DATE($K$1,$K$2,NYK$4),Table1[],(MATCH(Calendar!$A6,DB!1:1,0)+2),FALSE),"")</f>
        <v/>
      </c>
      <c r="NYL6" s="27" t="str">
        <f>IFERROR(VLOOKUP(DATE($K$1,$K$2,NYL$4),Table1[],(MATCH(Calendar!$A6,DB!1:1,0)+2),FALSE),"")</f>
        <v/>
      </c>
      <c r="NYM6" s="27" t="str">
        <f>IFERROR(VLOOKUP(DATE($K$1,$K$2,NYM$4),Table1[],(MATCH(Calendar!$A6,DB!1:1,0)+2),FALSE),"")</f>
        <v/>
      </c>
      <c r="NYN6" s="27" t="str">
        <f>IFERROR(VLOOKUP(DATE($K$1,$K$2,NYN$4),Table1[],(MATCH(Calendar!$A6,DB!1:1,0)+2),FALSE),"")</f>
        <v/>
      </c>
      <c r="NYO6" s="27" t="str">
        <f>IFERROR(VLOOKUP(DATE($K$1,$K$2,NYO$4),Table1[],(MATCH(Calendar!$A6,DB!1:1,0)+2),FALSE),"")</f>
        <v/>
      </c>
      <c r="NYP6" s="27" t="str">
        <f>IFERROR(VLOOKUP(DATE($K$1,$K$2,NYP$4),Table1[],(MATCH(Calendar!$A6,DB!1:1,0)+2),FALSE),"")</f>
        <v/>
      </c>
      <c r="NYQ6" s="27" t="str">
        <f>IFERROR(VLOOKUP(DATE($K$1,$K$2,NYQ$4),Table1[],(MATCH(Calendar!$A6,DB!1:1,0)+2),FALSE),"")</f>
        <v/>
      </c>
      <c r="NYR6" s="27" t="str">
        <f>IFERROR(VLOOKUP(DATE($K$1,$K$2,NYR$4),Table1[],(MATCH(Calendar!$A6,DB!1:1,0)+2),FALSE),"")</f>
        <v/>
      </c>
      <c r="NYS6" s="27" t="str">
        <f>IFERROR(VLOOKUP(DATE($K$1,$K$2,NYS$4),Table1[],(MATCH(Calendar!$A6,DB!1:1,0)+2),FALSE),"")</f>
        <v/>
      </c>
      <c r="NYT6" s="27" t="str">
        <f>IFERROR(VLOOKUP(DATE($K$1,$K$2,NYT$4),Table1[],(MATCH(Calendar!$A6,DB!1:1,0)+2),FALSE),"")</f>
        <v/>
      </c>
      <c r="NYU6" s="27" t="str">
        <f>IFERROR(VLOOKUP(DATE($K$1,$K$2,NYU$4),Table1[],(MATCH(Calendar!$A6,DB!1:1,0)+2),FALSE),"")</f>
        <v/>
      </c>
      <c r="NYV6" s="27" t="str">
        <f>IFERROR(VLOOKUP(DATE($K$1,$K$2,NYV$4),Table1[],(MATCH(Calendar!$A6,DB!1:1,0)+2),FALSE),"")</f>
        <v/>
      </c>
      <c r="NYW6" s="27" t="str">
        <f>IFERROR(VLOOKUP(DATE($K$1,$K$2,NYW$4),Table1[],(MATCH(Calendar!$A6,DB!1:1,0)+2),FALSE),"")</f>
        <v/>
      </c>
      <c r="NYX6" s="27" t="str">
        <f>IFERROR(VLOOKUP(DATE($K$1,$K$2,NYX$4),Table1[],(MATCH(Calendar!$A6,DB!1:1,0)+2),FALSE),"")</f>
        <v/>
      </c>
      <c r="NYY6" s="27" t="str">
        <f>IFERROR(VLOOKUP(DATE($K$1,$K$2,NYY$4),Table1[],(MATCH(Calendar!$A6,DB!1:1,0)+2),FALSE),"")</f>
        <v/>
      </c>
      <c r="NYZ6" s="27" t="str">
        <f>IFERROR(VLOOKUP(DATE($K$1,$K$2,NYZ$4),Table1[],(MATCH(Calendar!$A6,DB!1:1,0)+2),FALSE),"")</f>
        <v/>
      </c>
      <c r="NZA6" s="27" t="str">
        <f>IFERROR(VLOOKUP(DATE($K$1,$K$2,NZA$4),Table1[],(MATCH(Calendar!$A6,DB!1:1,0)+2),FALSE),"")</f>
        <v/>
      </c>
      <c r="NZB6" s="27" t="str">
        <f>IFERROR(VLOOKUP(DATE($K$1,$K$2,NZB$4),Table1[],(MATCH(Calendar!$A6,DB!1:1,0)+2),FALSE),"")</f>
        <v/>
      </c>
      <c r="NZC6" s="27" t="str">
        <f>IFERROR(VLOOKUP(DATE($K$1,$K$2,NZC$4),Table1[],(MATCH(Calendar!$A6,DB!1:1,0)+2),FALSE),"")</f>
        <v/>
      </c>
      <c r="NZD6" s="27" t="str">
        <f>IFERROR(VLOOKUP(DATE($K$1,$K$2,NZD$4),Table1[],(MATCH(Calendar!$A6,DB!1:1,0)+2),FALSE),"")</f>
        <v/>
      </c>
      <c r="NZE6" s="27" t="str">
        <f>IFERROR(VLOOKUP(DATE($K$1,$K$2,NZE$4),Table1[],(MATCH(Calendar!$A6,DB!1:1,0)+2),FALSE),"")</f>
        <v/>
      </c>
      <c r="NZF6" s="27" t="str">
        <f>IFERROR(VLOOKUP(DATE($K$1,$K$2,NZF$4),Table1[],(MATCH(Calendar!$A6,DB!1:1,0)+2),FALSE),"")</f>
        <v/>
      </c>
      <c r="NZG6" s="27" t="str">
        <f>IFERROR(VLOOKUP(DATE($K$1,$K$2,NZG$4),Table1[],(MATCH(Calendar!$A6,DB!1:1,0)+2),FALSE),"")</f>
        <v/>
      </c>
      <c r="NZH6" s="27" t="str">
        <f>IFERROR(VLOOKUP(DATE($K$1,$K$2,NZH$4),Table1[],(MATCH(Calendar!$A6,DB!1:1,0)+2),FALSE),"")</f>
        <v/>
      </c>
      <c r="NZI6" s="27" t="str">
        <f>IFERROR(VLOOKUP(DATE($K$1,$K$2,NZI$4),Table1[],(MATCH(Calendar!$A6,DB!1:1,0)+2),FALSE),"")</f>
        <v/>
      </c>
      <c r="NZJ6" s="27" t="str">
        <f>IFERROR(VLOOKUP(DATE($K$1,$K$2,NZJ$4),Table1[],(MATCH(Calendar!$A6,DB!1:1,0)+2),FALSE),"")</f>
        <v/>
      </c>
      <c r="NZK6" s="27" t="str">
        <f>IFERROR(VLOOKUP(DATE($K$1,$K$2,NZK$4),Table1[],(MATCH(Calendar!$A6,DB!1:1,0)+2),FALSE),"")</f>
        <v/>
      </c>
      <c r="NZL6" s="27" t="str">
        <f>IFERROR(VLOOKUP(DATE($K$1,$K$2,NZL$4),Table1[],(MATCH(Calendar!$A6,DB!1:1,0)+2),FALSE),"")</f>
        <v/>
      </c>
      <c r="NZM6" s="27" t="str">
        <f>IFERROR(VLOOKUP(DATE($K$1,$K$2,NZM$4),Table1[],(MATCH(Calendar!$A6,DB!1:1,0)+2),FALSE),"")</f>
        <v/>
      </c>
      <c r="NZN6" s="27" t="str">
        <f>IFERROR(VLOOKUP(DATE($K$1,$K$2,NZN$4),Table1[],(MATCH(Calendar!$A6,DB!1:1,0)+2),FALSE),"")</f>
        <v/>
      </c>
      <c r="NZO6" s="27" t="str">
        <f>IFERROR(VLOOKUP(DATE($K$1,$K$2,NZO$4),Table1[],(MATCH(Calendar!$A6,DB!1:1,0)+2),FALSE),"")</f>
        <v/>
      </c>
      <c r="NZP6" s="27" t="str">
        <f>IFERROR(VLOOKUP(DATE($K$1,$K$2,NZP$4),Table1[],(MATCH(Calendar!$A6,DB!1:1,0)+2),FALSE),"")</f>
        <v/>
      </c>
      <c r="NZQ6" s="27" t="str">
        <f>IFERROR(VLOOKUP(DATE($K$1,$K$2,NZQ$4),Table1[],(MATCH(Calendar!$A6,DB!1:1,0)+2),FALSE),"")</f>
        <v/>
      </c>
      <c r="NZR6" s="27" t="str">
        <f>IFERROR(VLOOKUP(DATE($K$1,$K$2,NZR$4),Table1[],(MATCH(Calendar!$A6,DB!1:1,0)+2),FALSE),"")</f>
        <v/>
      </c>
      <c r="NZS6" s="27" t="str">
        <f>IFERROR(VLOOKUP(DATE($K$1,$K$2,NZS$4),Table1[],(MATCH(Calendar!$A6,DB!1:1,0)+2),FALSE),"")</f>
        <v/>
      </c>
      <c r="NZT6" s="27" t="str">
        <f>IFERROR(VLOOKUP(DATE($K$1,$K$2,NZT$4),Table1[],(MATCH(Calendar!$A6,DB!1:1,0)+2),FALSE),"")</f>
        <v/>
      </c>
      <c r="NZU6" s="27" t="str">
        <f>IFERROR(VLOOKUP(DATE($K$1,$K$2,NZU$4),Table1[],(MATCH(Calendar!$A6,DB!1:1,0)+2),FALSE),"")</f>
        <v/>
      </c>
      <c r="NZV6" s="27" t="str">
        <f>IFERROR(VLOOKUP(DATE($K$1,$K$2,NZV$4),Table1[],(MATCH(Calendar!$A6,DB!1:1,0)+2),FALSE),"")</f>
        <v/>
      </c>
      <c r="NZW6" s="27" t="str">
        <f>IFERROR(VLOOKUP(DATE($K$1,$K$2,NZW$4),Table1[],(MATCH(Calendar!$A6,DB!1:1,0)+2),FALSE),"")</f>
        <v/>
      </c>
      <c r="NZX6" s="27" t="str">
        <f>IFERROR(VLOOKUP(DATE($K$1,$K$2,NZX$4),Table1[],(MATCH(Calendar!$A6,DB!1:1,0)+2),FALSE),"")</f>
        <v/>
      </c>
      <c r="NZY6" s="27" t="str">
        <f>IFERROR(VLOOKUP(DATE($K$1,$K$2,NZY$4),Table1[],(MATCH(Calendar!$A6,DB!1:1,0)+2),FALSE),"")</f>
        <v/>
      </c>
      <c r="NZZ6" s="27" t="str">
        <f>IFERROR(VLOOKUP(DATE($K$1,$K$2,NZZ$4),Table1[],(MATCH(Calendar!$A6,DB!1:1,0)+2),FALSE),"")</f>
        <v/>
      </c>
      <c r="OAA6" s="27" t="str">
        <f>IFERROR(VLOOKUP(DATE($K$1,$K$2,OAA$4),Table1[],(MATCH(Calendar!$A6,DB!1:1,0)+2),FALSE),"")</f>
        <v/>
      </c>
      <c r="OAB6" s="27" t="str">
        <f>IFERROR(VLOOKUP(DATE($K$1,$K$2,OAB$4),Table1[],(MATCH(Calendar!$A6,DB!1:1,0)+2),FALSE),"")</f>
        <v/>
      </c>
      <c r="OAC6" s="27" t="str">
        <f>IFERROR(VLOOKUP(DATE($K$1,$K$2,OAC$4),Table1[],(MATCH(Calendar!$A6,DB!1:1,0)+2),FALSE),"")</f>
        <v/>
      </c>
      <c r="OAD6" s="27" t="str">
        <f>IFERROR(VLOOKUP(DATE($K$1,$K$2,OAD$4),Table1[],(MATCH(Calendar!$A6,DB!1:1,0)+2),FALSE),"")</f>
        <v/>
      </c>
      <c r="OAE6" s="27" t="str">
        <f>IFERROR(VLOOKUP(DATE($K$1,$K$2,OAE$4),Table1[],(MATCH(Calendar!$A6,DB!1:1,0)+2),FALSE),"")</f>
        <v/>
      </c>
      <c r="OAF6" s="27" t="str">
        <f>IFERROR(VLOOKUP(DATE($K$1,$K$2,OAF$4),Table1[],(MATCH(Calendar!$A6,DB!1:1,0)+2),FALSE),"")</f>
        <v/>
      </c>
      <c r="OAG6" s="27" t="str">
        <f>IFERROR(VLOOKUP(DATE($K$1,$K$2,OAG$4),Table1[],(MATCH(Calendar!$A6,DB!1:1,0)+2),FALSE),"")</f>
        <v/>
      </c>
      <c r="OAH6" s="27" t="str">
        <f>IFERROR(VLOOKUP(DATE($K$1,$K$2,OAH$4),Table1[],(MATCH(Calendar!$A6,DB!1:1,0)+2),FALSE),"")</f>
        <v/>
      </c>
      <c r="OAI6" s="27" t="str">
        <f>IFERROR(VLOOKUP(DATE($K$1,$K$2,OAI$4),Table1[],(MATCH(Calendar!$A6,DB!1:1,0)+2),FALSE),"")</f>
        <v/>
      </c>
      <c r="OAJ6" s="27" t="str">
        <f>IFERROR(VLOOKUP(DATE($K$1,$K$2,OAJ$4),Table1[],(MATCH(Calendar!$A6,DB!1:1,0)+2),FALSE),"")</f>
        <v/>
      </c>
      <c r="OAK6" s="27" t="str">
        <f>IFERROR(VLOOKUP(DATE($K$1,$K$2,OAK$4),Table1[],(MATCH(Calendar!$A6,DB!1:1,0)+2),FALSE),"")</f>
        <v/>
      </c>
      <c r="OAL6" s="27" t="str">
        <f>IFERROR(VLOOKUP(DATE($K$1,$K$2,OAL$4),Table1[],(MATCH(Calendar!$A6,DB!1:1,0)+2),FALSE),"")</f>
        <v/>
      </c>
      <c r="OAM6" s="27" t="str">
        <f>IFERROR(VLOOKUP(DATE($K$1,$K$2,OAM$4),Table1[],(MATCH(Calendar!$A6,DB!1:1,0)+2),FALSE),"")</f>
        <v/>
      </c>
      <c r="OAN6" s="27" t="str">
        <f>IFERROR(VLOOKUP(DATE($K$1,$K$2,OAN$4),Table1[],(MATCH(Calendar!$A6,DB!1:1,0)+2),FALSE),"")</f>
        <v/>
      </c>
      <c r="OAO6" s="27" t="str">
        <f>IFERROR(VLOOKUP(DATE($K$1,$K$2,OAO$4),Table1[],(MATCH(Calendar!$A6,DB!1:1,0)+2),FALSE),"")</f>
        <v/>
      </c>
      <c r="OAP6" s="27" t="str">
        <f>IFERROR(VLOOKUP(DATE($K$1,$K$2,OAP$4),Table1[],(MATCH(Calendar!$A6,DB!1:1,0)+2),FALSE),"")</f>
        <v/>
      </c>
      <c r="OAQ6" s="27" t="str">
        <f>IFERROR(VLOOKUP(DATE($K$1,$K$2,OAQ$4),Table1[],(MATCH(Calendar!$A6,DB!1:1,0)+2),FALSE),"")</f>
        <v/>
      </c>
      <c r="OAR6" s="27" t="str">
        <f>IFERROR(VLOOKUP(DATE($K$1,$K$2,OAR$4),Table1[],(MATCH(Calendar!$A6,DB!1:1,0)+2),FALSE),"")</f>
        <v/>
      </c>
      <c r="OAS6" s="27" t="str">
        <f>IFERROR(VLOOKUP(DATE($K$1,$K$2,OAS$4),Table1[],(MATCH(Calendar!$A6,DB!1:1,0)+2),FALSE),"")</f>
        <v/>
      </c>
      <c r="OAT6" s="27" t="str">
        <f>IFERROR(VLOOKUP(DATE($K$1,$K$2,OAT$4),Table1[],(MATCH(Calendar!$A6,DB!1:1,0)+2),FALSE),"")</f>
        <v/>
      </c>
      <c r="OAU6" s="27" t="str">
        <f>IFERROR(VLOOKUP(DATE($K$1,$K$2,OAU$4),Table1[],(MATCH(Calendar!$A6,DB!1:1,0)+2),FALSE),"")</f>
        <v/>
      </c>
      <c r="OAV6" s="27" t="str">
        <f>IFERROR(VLOOKUP(DATE($K$1,$K$2,OAV$4),Table1[],(MATCH(Calendar!$A6,DB!1:1,0)+2),FALSE),"")</f>
        <v/>
      </c>
      <c r="OAW6" s="27" t="str">
        <f>IFERROR(VLOOKUP(DATE($K$1,$K$2,OAW$4),Table1[],(MATCH(Calendar!$A6,DB!1:1,0)+2),FALSE),"")</f>
        <v/>
      </c>
      <c r="OAX6" s="27" t="str">
        <f>IFERROR(VLOOKUP(DATE($K$1,$K$2,OAX$4),Table1[],(MATCH(Calendar!$A6,DB!1:1,0)+2),FALSE),"")</f>
        <v/>
      </c>
      <c r="OAY6" s="27" t="str">
        <f>IFERROR(VLOOKUP(DATE($K$1,$K$2,OAY$4),Table1[],(MATCH(Calendar!$A6,DB!1:1,0)+2),FALSE),"")</f>
        <v/>
      </c>
      <c r="OAZ6" s="27" t="str">
        <f>IFERROR(VLOOKUP(DATE($K$1,$K$2,OAZ$4),Table1[],(MATCH(Calendar!$A6,DB!1:1,0)+2),FALSE),"")</f>
        <v/>
      </c>
      <c r="OBA6" s="27" t="str">
        <f>IFERROR(VLOOKUP(DATE($K$1,$K$2,OBA$4),Table1[],(MATCH(Calendar!$A6,DB!1:1,0)+2),FALSE),"")</f>
        <v/>
      </c>
      <c r="OBB6" s="27" t="str">
        <f>IFERROR(VLOOKUP(DATE($K$1,$K$2,OBB$4),Table1[],(MATCH(Calendar!$A6,DB!1:1,0)+2),FALSE),"")</f>
        <v/>
      </c>
      <c r="OBC6" s="27" t="str">
        <f>IFERROR(VLOOKUP(DATE($K$1,$K$2,OBC$4),Table1[],(MATCH(Calendar!$A6,DB!1:1,0)+2),FALSE),"")</f>
        <v/>
      </c>
      <c r="OBD6" s="27" t="str">
        <f>IFERROR(VLOOKUP(DATE($K$1,$K$2,OBD$4),Table1[],(MATCH(Calendar!$A6,DB!1:1,0)+2),FALSE),"")</f>
        <v/>
      </c>
      <c r="OBE6" s="27" t="str">
        <f>IFERROR(VLOOKUP(DATE($K$1,$K$2,OBE$4),Table1[],(MATCH(Calendar!$A6,DB!1:1,0)+2),FALSE),"")</f>
        <v/>
      </c>
      <c r="OBF6" s="27" t="str">
        <f>IFERROR(VLOOKUP(DATE($K$1,$K$2,OBF$4),Table1[],(MATCH(Calendar!$A6,DB!1:1,0)+2),FALSE),"")</f>
        <v/>
      </c>
      <c r="OBG6" s="27" t="str">
        <f>IFERROR(VLOOKUP(DATE($K$1,$K$2,OBG$4),Table1[],(MATCH(Calendar!$A6,DB!1:1,0)+2),FALSE),"")</f>
        <v/>
      </c>
      <c r="OBH6" s="27" t="str">
        <f>IFERROR(VLOOKUP(DATE($K$1,$K$2,OBH$4),Table1[],(MATCH(Calendar!$A6,DB!1:1,0)+2),FALSE),"")</f>
        <v/>
      </c>
      <c r="OBI6" s="27" t="str">
        <f>IFERROR(VLOOKUP(DATE($K$1,$K$2,OBI$4),Table1[],(MATCH(Calendar!$A6,DB!1:1,0)+2),FALSE),"")</f>
        <v/>
      </c>
      <c r="OBJ6" s="27" t="str">
        <f>IFERROR(VLOOKUP(DATE($K$1,$K$2,OBJ$4),Table1[],(MATCH(Calendar!$A6,DB!1:1,0)+2),FALSE),"")</f>
        <v/>
      </c>
      <c r="OBK6" s="27" t="str">
        <f>IFERROR(VLOOKUP(DATE($K$1,$K$2,OBK$4),Table1[],(MATCH(Calendar!$A6,DB!1:1,0)+2),FALSE),"")</f>
        <v/>
      </c>
      <c r="OBL6" s="27" t="str">
        <f>IFERROR(VLOOKUP(DATE($K$1,$K$2,OBL$4),Table1[],(MATCH(Calendar!$A6,DB!1:1,0)+2),FALSE),"")</f>
        <v/>
      </c>
      <c r="OBM6" s="27" t="str">
        <f>IFERROR(VLOOKUP(DATE($K$1,$K$2,OBM$4),Table1[],(MATCH(Calendar!$A6,DB!1:1,0)+2),FALSE),"")</f>
        <v/>
      </c>
      <c r="OBN6" s="27" t="str">
        <f>IFERROR(VLOOKUP(DATE($K$1,$K$2,OBN$4),Table1[],(MATCH(Calendar!$A6,DB!1:1,0)+2),FALSE),"")</f>
        <v/>
      </c>
      <c r="OBO6" s="27" t="str">
        <f>IFERROR(VLOOKUP(DATE($K$1,$K$2,OBO$4),Table1[],(MATCH(Calendar!$A6,DB!1:1,0)+2),FALSE),"")</f>
        <v/>
      </c>
      <c r="OBP6" s="27" t="str">
        <f>IFERROR(VLOOKUP(DATE($K$1,$K$2,OBP$4),Table1[],(MATCH(Calendar!$A6,DB!1:1,0)+2),FALSE),"")</f>
        <v/>
      </c>
      <c r="OBQ6" s="27" t="str">
        <f>IFERROR(VLOOKUP(DATE($K$1,$K$2,OBQ$4),Table1[],(MATCH(Calendar!$A6,DB!1:1,0)+2),FALSE),"")</f>
        <v/>
      </c>
      <c r="OBR6" s="27" t="str">
        <f>IFERROR(VLOOKUP(DATE($K$1,$K$2,OBR$4),Table1[],(MATCH(Calendar!$A6,DB!1:1,0)+2),FALSE),"")</f>
        <v/>
      </c>
      <c r="OBS6" s="27" t="str">
        <f>IFERROR(VLOOKUP(DATE($K$1,$K$2,OBS$4),Table1[],(MATCH(Calendar!$A6,DB!1:1,0)+2),FALSE),"")</f>
        <v/>
      </c>
      <c r="OBT6" s="27" t="str">
        <f>IFERROR(VLOOKUP(DATE($K$1,$K$2,OBT$4),Table1[],(MATCH(Calendar!$A6,DB!1:1,0)+2),FALSE),"")</f>
        <v/>
      </c>
      <c r="OBU6" s="27" t="str">
        <f>IFERROR(VLOOKUP(DATE($K$1,$K$2,OBU$4),Table1[],(MATCH(Calendar!$A6,DB!1:1,0)+2),FALSE),"")</f>
        <v/>
      </c>
      <c r="OBV6" s="27" t="str">
        <f>IFERROR(VLOOKUP(DATE($K$1,$K$2,OBV$4),Table1[],(MATCH(Calendar!$A6,DB!1:1,0)+2),FALSE),"")</f>
        <v/>
      </c>
      <c r="OBW6" s="27" t="str">
        <f>IFERROR(VLOOKUP(DATE($K$1,$K$2,OBW$4),Table1[],(MATCH(Calendar!$A6,DB!1:1,0)+2),FALSE),"")</f>
        <v/>
      </c>
      <c r="OBX6" s="27" t="str">
        <f>IFERROR(VLOOKUP(DATE($K$1,$K$2,OBX$4),Table1[],(MATCH(Calendar!$A6,DB!1:1,0)+2),FALSE),"")</f>
        <v/>
      </c>
      <c r="OBY6" s="27" t="str">
        <f>IFERROR(VLOOKUP(DATE($K$1,$K$2,OBY$4),Table1[],(MATCH(Calendar!$A6,DB!1:1,0)+2),FALSE),"")</f>
        <v/>
      </c>
      <c r="OBZ6" s="27" t="str">
        <f>IFERROR(VLOOKUP(DATE($K$1,$K$2,OBZ$4),Table1[],(MATCH(Calendar!$A6,DB!1:1,0)+2),FALSE),"")</f>
        <v/>
      </c>
      <c r="OCA6" s="27" t="str">
        <f>IFERROR(VLOOKUP(DATE($K$1,$K$2,OCA$4),Table1[],(MATCH(Calendar!$A6,DB!1:1,0)+2),FALSE),"")</f>
        <v/>
      </c>
      <c r="OCB6" s="27" t="str">
        <f>IFERROR(VLOOKUP(DATE($K$1,$K$2,OCB$4),Table1[],(MATCH(Calendar!$A6,DB!1:1,0)+2),FALSE),"")</f>
        <v/>
      </c>
      <c r="OCC6" s="27" t="str">
        <f>IFERROR(VLOOKUP(DATE($K$1,$K$2,OCC$4),Table1[],(MATCH(Calendar!$A6,DB!1:1,0)+2),FALSE),"")</f>
        <v/>
      </c>
      <c r="OCD6" s="27" t="str">
        <f>IFERROR(VLOOKUP(DATE($K$1,$K$2,OCD$4),Table1[],(MATCH(Calendar!$A6,DB!1:1,0)+2),FALSE),"")</f>
        <v/>
      </c>
      <c r="OCE6" s="27" t="str">
        <f>IFERROR(VLOOKUP(DATE($K$1,$K$2,OCE$4),Table1[],(MATCH(Calendar!$A6,DB!1:1,0)+2),FALSE),"")</f>
        <v/>
      </c>
      <c r="OCF6" s="27" t="str">
        <f>IFERROR(VLOOKUP(DATE($K$1,$K$2,OCF$4),Table1[],(MATCH(Calendar!$A6,DB!1:1,0)+2),FALSE),"")</f>
        <v/>
      </c>
      <c r="OCG6" s="27" t="str">
        <f>IFERROR(VLOOKUP(DATE($K$1,$K$2,OCG$4),Table1[],(MATCH(Calendar!$A6,DB!1:1,0)+2),FALSE),"")</f>
        <v/>
      </c>
      <c r="OCH6" s="27" t="str">
        <f>IFERROR(VLOOKUP(DATE($K$1,$K$2,OCH$4),Table1[],(MATCH(Calendar!$A6,DB!1:1,0)+2),FALSE),"")</f>
        <v/>
      </c>
      <c r="OCI6" s="27" t="str">
        <f>IFERROR(VLOOKUP(DATE($K$1,$K$2,OCI$4),Table1[],(MATCH(Calendar!$A6,DB!1:1,0)+2),FALSE),"")</f>
        <v/>
      </c>
      <c r="OCJ6" s="27" t="str">
        <f>IFERROR(VLOOKUP(DATE($K$1,$K$2,OCJ$4),Table1[],(MATCH(Calendar!$A6,DB!1:1,0)+2),FALSE),"")</f>
        <v/>
      </c>
      <c r="OCK6" s="27" t="str">
        <f>IFERROR(VLOOKUP(DATE($K$1,$K$2,OCK$4),Table1[],(MATCH(Calendar!$A6,DB!1:1,0)+2),FALSE),"")</f>
        <v/>
      </c>
      <c r="OCL6" s="27" t="str">
        <f>IFERROR(VLOOKUP(DATE($K$1,$K$2,OCL$4),Table1[],(MATCH(Calendar!$A6,DB!1:1,0)+2),FALSE),"")</f>
        <v/>
      </c>
      <c r="OCM6" s="27" t="str">
        <f>IFERROR(VLOOKUP(DATE($K$1,$K$2,OCM$4),Table1[],(MATCH(Calendar!$A6,DB!1:1,0)+2),FALSE),"")</f>
        <v/>
      </c>
      <c r="OCN6" s="27" t="str">
        <f>IFERROR(VLOOKUP(DATE($K$1,$K$2,OCN$4),Table1[],(MATCH(Calendar!$A6,DB!1:1,0)+2),FALSE),"")</f>
        <v/>
      </c>
      <c r="OCO6" s="27" t="str">
        <f>IFERROR(VLOOKUP(DATE($K$1,$K$2,OCO$4),Table1[],(MATCH(Calendar!$A6,DB!1:1,0)+2),FALSE),"")</f>
        <v/>
      </c>
      <c r="OCP6" s="27" t="str">
        <f>IFERROR(VLOOKUP(DATE($K$1,$K$2,OCP$4),Table1[],(MATCH(Calendar!$A6,DB!1:1,0)+2),FALSE),"")</f>
        <v/>
      </c>
      <c r="OCQ6" s="27" t="str">
        <f>IFERROR(VLOOKUP(DATE($K$1,$K$2,OCQ$4),Table1[],(MATCH(Calendar!$A6,DB!1:1,0)+2),FALSE),"")</f>
        <v/>
      </c>
      <c r="OCR6" s="27" t="str">
        <f>IFERROR(VLOOKUP(DATE($K$1,$K$2,OCR$4),Table1[],(MATCH(Calendar!$A6,DB!1:1,0)+2),FALSE),"")</f>
        <v/>
      </c>
      <c r="OCS6" s="27" t="str">
        <f>IFERROR(VLOOKUP(DATE($K$1,$K$2,OCS$4),Table1[],(MATCH(Calendar!$A6,DB!1:1,0)+2),FALSE),"")</f>
        <v/>
      </c>
      <c r="OCT6" s="27" t="str">
        <f>IFERROR(VLOOKUP(DATE($K$1,$K$2,OCT$4),Table1[],(MATCH(Calendar!$A6,DB!1:1,0)+2),FALSE),"")</f>
        <v/>
      </c>
      <c r="OCU6" s="27" t="str">
        <f>IFERROR(VLOOKUP(DATE($K$1,$K$2,OCU$4),Table1[],(MATCH(Calendar!$A6,DB!1:1,0)+2),FALSE),"")</f>
        <v/>
      </c>
      <c r="OCV6" s="27" t="str">
        <f>IFERROR(VLOOKUP(DATE($K$1,$K$2,OCV$4),Table1[],(MATCH(Calendar!$A6,DB!1:1,0)+2),FALSE),"")</f>
        <v/>
      </c>
      <c r="OCW6" s="27" t="str">
        <f>IFERROR(VLOOKUP(DATE($K$1,$K$2,OCW$4),Table1[],(MATCH(Calendar!$A6,DB!1:1,0)+2),FALSE),"")</f>
        <v/>
      </c>
      <c r="OCX6" s="27" t="str">
        <f>IFERROR(VLOOKUP(DATE($K$1,$K$2,OCX$4),Table1[],(MATCH(Calendar!$A6,DB!1:1,0)+2),FALSE),"")</f>
        <v/>
      </c>
      <c r="OCY6" s="27" t="str">
        <f>IFERROR(VLOOKUP(DATE($K$1,$K$2,OCY$4),Table1[],(MATCH(Calendar!$A6,DB!1:1,0)+2),FALSE),"")</f>
        <v/>
      </c>
      <c r="OCZ6" s="27" t="str">
        <f>IFERROR(VLOOKUP(DATE($K$1,$K$2,OCZ$4),Table1[],(MATCH(Calendar!$A6,DB!1:1,0)+2),FALSE),"")</f>
        <v/>
      </c>
      <c r="ODA6" s="27" t="str">
        <f>IFERROR(VLOOKUP(DATE($K$1,$K$2,ODA$4),Table1[],(MATCH(Calendar!$A6,DB!1:1,0)+2),FALSE),"")</f>
        <v/>
      </c>
      <c r="ODB6" s="27" t="str">
        <f>IFERROR(VLOOKUP(DATE($K$1,$K$2,ODB$4),Table1[],(MATCH(Calendar!$A6,DB!1:1,0)+2),FALSE),"")</f>
        <v/>
      </c>
      <c r="ODC6" s="27" t="str">
        <f>IFERROR(VLOOKUP(DATE($K$1,$K$2,ODC$4),Table1[],(MATCH(Calendar!$A6,DB!1:1,0)+2),FALSE),"")</f>
        <v/>
      </c>
      <c r="ODD6" s="27" t="str">
        <f>IFERROR(VLOOKUP(DATE($K$1,$K$2,ODD$4),Table1[],(MATCH(Calendar!$A6,DB!1:1,0)+2),FALSE),"")</f>
        <v/>
      </c>
      <c r="ODE6" s="27" t="str">
        <f>IFERROR(VLOOKUP(DATE($K$1,$K$2,ODE$4),Table1[],(MATCH(Calendar!$A6,DB!1:1,0)+2),FALSE),"")</f>
        <v/>
      </c>
      <c r="ODF6" s="27" t="str">
        <f>IFERROR(VLOOKUP(DATE($K$1,$K$2,ODF$4),Table1[],(MATCH(Calendar!$A6,DB!1:1,0)+2),FALSE),"")</f>
        <v/>
      </c>
      <c r="ODG6" s="27" t="str">
        <f>IFERROR(VLOOKUP(DATE($K$1,$K$2,ODG$4),Table1[],(MATCH(Calendar!$A6,DB!1:1,0)+2),FALSE),"")</f>
        <v/>
      </c>
      <c r="ODH6" s="27" t="str">
        <f>IFERROR(VLOOKUP(DATE($K$1,$K$2,ODH$4),Table1[],(MATCH(Calendar!$A6,DB!1:1,0)+2),FALSE),"")</f>
        <v/>
      </c>
      <c r="ODI6" s="27" t="str">
        <f>IFERROR(VLOOKUP(DATE($K$1,$K$2,ODI$4),Table1[],(MATCH(Calendar!$A6,DB!1:1,0)+2),FALSE),"")</f>
        <v/>
      </c>
      <c r="ODJ6" s="27" t="str">
        <f>IFERROR(VLOOKUP(DATE($K$1,$K$2,ODJ$4),Table1[],(MATCH(Calendar!$A6,DB!1:1,0)+2),FALSE),"")</f>
        <v/>
      </c>
      <c r="ODK6" s="27" t="str">
        <f>IFERROR(VLOOKUP(DATE($K$1,$K$2,ODK$4),Table1[],(MATCH(Calendar!$A6,DB!1:1,0)+2),FALSE),"")</f>
        <v/>
      </c>
      <c r="ODL6" s="27" t="str">
        <f>IFERROR(VLOOKUP(DATE($K$1,$K$2,ODL$4),Table1[],(MATCH(Calendar!$A6,DB!1:1,0)+2),FALSE),"")</f>
        <v/>
      </c>
      <c r="ODM6" s="27" t="str">
        <f>IFERROR(VLOOKUP(DATE($K$1,$K$2,ODM$4),Table1[],(MATCH(Calendar!$A6,DB!1:1,0)+2),FALSE),"")</f>
        <v/>
      </c>
      <c r="ODN6" s="27" t="str">
        <f>IFERROR(VLOOKUP(DATE($K$1,$K$2,ODN$4),Table1[],(MATCH(Calendar!$A6,DB!1:1,0)+2),FALSE),"")</f>
        <v/>
      </c>
      <c r="ODO6" s="27" t="str">
        <f>IFERROR(VLOOKUP(DATE($K$1,$K$2,ODO$4),Table1[],(MATCH(Calendar!$A6,DB!1:1,0)+2),FALSE),"")</f>
        <v/>
      </c>
      <c r="ODP6" s="27" t="str">
        <f>IFERROR(VLOOKUP(DATE($K$1,$K$2,ODP$4),Table1[],(MATCH(Calendar!$A6,DB!1:1,0)+2),FALSE),"")</f>
        <v/>
      </c>
      <c r="ODQ6" s="27" t="str">
        <f>IFERROR(VLOOKUP(DATE($K$1,$K$2,ODQ$4),Table1[],(MATCH(Calendar!$A6,DB!1:1,0)+2),FALSE),"")</f>
        <v/>
      </c>
      <c r="ODR6" s="27" t="str">
        <f>IFERROR(VLOOKUP(DATE($K$1,$K$2,ODR$4),Table1[],(MATCH(Calendar!$A6,DB!1:1,0)+2),FALSE),"")</f>
        <v/>
      </c>
      <c r="ODS6" s="27" t="str">
        <f>IFERROR(VLOOKUP(DATE($K$1,$K$2,ODS$4),Table1[],(MATCH(Calendar!$A6,DB!1:1,0)+2),FALSE),"")</f>
        <v/>
      </c>
      <c r="ODT6" s="27" t="str">
        <f>IFERROR(VLOOKUP(DATE($K$1,$K$2,ODT$4),Table1[],(MATCH(Calendar!$A6,DB!1:1,0)+2),FALSE),"")</f>
        <v/>
      </c>
      <c r="ODU6" s="27" t="str">
        <f>IFERROR(VLOOKUP(DATE($K$1,$K$2,ODU$4),Table1[],(MATCH(Calendar!$A6,DB!1:1,0)+2),FALSE),"")</f>
        <v/>
      </c>
      <c r="ODV6" s="27" t="str">
        <f>IFERROR(VLOOKUP(DATE($K$1,$K$2,ODV$4),Table1[],(MATCH(Calendar!$A6,DB!1:1,0)+2),FALSE),"")</f>
        <v/>
      </c>
      <c r="ODW6" s="27" t="str">
        <f>IFERROR(VLOOKUP(DATE($K$1,$K$2,ODW$4),Table1[],(MATCH(Calendar!$A6,DB!1:1,0)+2),FALSE),"")</f>
        <v/>
      </c>
      <c r="ODX6" s="27" t="str">
        <f>IFERROR(VLOOKUP(DATE($K$1,$K$2,ODX$4),Table1[],(MATCH(Calendar!$A6,DB!1:1,0)+2),FALSE),"")</f>
        <v/>
      </c>
      <c r="ODY6" s="27" t="str">
        <f>IFERROR(VLOOKUP(DATE($K$1,$K$2,ODY$4),Table1[],(MATCH(Calendar!$A6,DB!1:1,0)+2),FALSE),"")</f>
        <v/>
      </c>
      <c r="ODZ6" s="27" t="str">
        <f>IFERROR(VLOOKUP(DATE($K$1,$K$2,ODZ$4),Table1[],(MATCH(Calendar!$A6,DB!1:1,0)+2),FALSE),"")</f>
        <v/>
      </c>
      <c r="OEA6" s="27" t="str">
        <f>IFERROR(VLOOKUP(DATE($K$1,$K$2,OEA$4),Table1[],(MATCH(Calendar!$A6,DB!1:1,0)+2),FALSE),"")</f>
        <v/>
      </c>
      <c r="OEB6" s="27" t="str">
        <f>IFERROR(VLOOKUP(DATE($K$1,$K$2,OEB$4),Table1[],(MATCH(Calendar!$A6,DB!1:1,0)+2),FALSE),"")</f>
        <v/>
      </c>
      <c r="OEC6" s="27" t="str">
        <f>IFERROR(VLOOKUP(DATE($K$1,$K$2,OEC$4),Table1[],(MATCH(Calendar!$A6,DB!1:1,0)+2),FALSE),"")</f>
        <v/>
      </c>
      <c r="OED6" s="27" t="str">
        <f>IFERROR(VLOOKUP(DATE($K$1,$K$2,OED$4),Table1[],(MATCH(Calendar!$A6,DB!1:1,0)+2),FALSE),"")</f>
        <v/>
      </c>
      <c r="OEE6" s="27" t="str">
        <f>IFERROR(VLOOKUP(DATE($K$1,$K$2,OEE$4),Table1[],(MATCH(Calendar!$A6,DB!1:1,0)+2),FALSE),"")</f>
        <v/>
      </c>
      <c r="OEF6" s="27" t="str">
        <f>IFERROR(VLOOKUP(DATE($K$1,$K$2,OEF$4),Table1[],(MATCH(Calendar!$A6,DB!1:1,0)+2),FALSE),"")</f>
        <v/>
      </c>
      <c r="OEG6" s="27" t="str">
        <f>IFERROR(VLOOKUP(DATE($K$1,$K$2,OEG$4),Table1[],(MATCH(Calendar!$A6,DB!1:1,0)+2),FALSE),"")</f>
        <v/>
      </c>
      <c r="OEH6" s="27" t="str">
        <f>IFERROR(VLOOKUP(DATE($K$1,$K$2,OEH$4),Table1[],(MATCH(Calendar!$A6,DB!1:1,0)+2),FALSE),"")</f>
        <v/>
      </c>
      <c r="OEI6" s="27" t="str">
        <f>IFERROR(VLOOKUP(DATE($K$1,$K$2,OEI$4),Table1[],(MATCH(Calendar!$A6,DB!1:1,0)+2),FALSE),"")</f>
        <v/>
      </c>
      <c r="OEJ6" s="27" t="str">
        <f>IFERROR(VLOOKUP(DATE($K$1,$K$2,OEJ$4),Table1[],(MATCH(Calendar!$A6,DB!1:1,0)+2),FALSE),"")</f>
        <v/>
      </c>
      <c r="OEK6" s="27" t="str">
        <f>IFERROR(VLOOKUP(DATE($K$1,$K$2,OEK$4),Table1[],(MATCH(Calendar!$A6,DB!1:1,0)+2),FALSE),"")</f>
        <v/>
      </c>
      <c r="OEL6" s="27" t="str">
        <f>IFERROR(VLOOKUP(DATE($K$1,$K$2,OEL$4),Table1[],(MATCH(Calendar!$A6,DB!1:1,0)+2),FALSE),"")</f>
        <v/>
      </c>
      <c r="OEM6" s="27" t="str">
        <f>IFERROR(VLOOKUP(DATE($K$1,$K$2,OEM$4),Table1[],(MATCH(Calendar!$A6,DB!1:1,0)+2),FALSE),"")</f>
        <v/>
      </c>
      <c r="OEN6" s="27" t="str">
        <f>IFERROR(VLOOKUP(DATE($K$1,$K$2,OEN$4),Table1[],(MATCH(Calendar!$A6,DB!1:1,0)+2),FALSE),"")</f>
        <v/>
      </c>
      <c r="OEO6" s="27" t="str">
        <f>IFERROR(VLOOKUP(DATE($K$1,$K$2,OEO$4),Table1[],(MATCH(Calendar!$A6,DB!1:1,0)+2),FALSE),"")</f>
        <v/>
      </c>
      <c r="OEP6" s="27" t="str">
        <f>IFERROR(VLOOKUP(DATE($K$1,$K$2,OEP$4),Table1[],(MATCH(Calendar!$A6,DB!1:1,0)+2),FALSE),"")</f>
        <v/>
      </c>
      <c r="OEQ6" s="27" t="str">
        <f>IFERROR(VLOOKUP(DATE($K$1,$K$2,OEQ$4),Table1[],(MATCH(Calendar!$A6,DB!1:1,0)+2),FALSE),"")</f>
        <v/>
      </c>
      <c r="OER6" s="27" t="str">
        <f>IFERROR(VLOOKUP(DATE($K$1,$K$2,OER$4),Table1[],(MATCH(Calendar!$A6,DB!1:1,0)+2),FALSE),"")</f>
        <v/>
      </c>
      <c r="OES6" s="27" t="str">
        <f>IFERROR(VLOOKUP(DATE($K$1,$K$2,OES$4),Table1[],(MATCH(Calendar!$A6,DB!1:1,0)+2),FALSE),"")</f>
        <v/>
      </c>
      <c r="OET6" s="27" t="str">
        <f>IFERROR(VLOOKUP(DATE($K$1,$K$2,OET$4),Table1[],(MATCH(Calendar!$A6,DB!1:1,0)+2),FALSE),"")</f>
        <v/>
      </c>
      <c r="OEU6" s="27" t="str">
        <f>IFERROR(VLOOKUP(DATE($K$1,$K$2,OEU$4),Table1[],(MATCH(Calendar!$A6,DB!1:1,0)+2),FALSE),"")</f>
        <v/>
      </c>
      <c r="OEV6" s="27" t="str">
        <f>IFERROR(VLOOKUP(DATE($K$1,$K$2,OEV$4),Table1[],(MATCH(Calendar!$A6,DB!1:1,0)+2),FALSE),"")</f>
        <v/>
      </c>
      <c r="OEW6" s="27" t="str">
        <f>IFERROR(VLOOKUP(DATE($K$1,$K$2,OEW$4),Table1[],(MATCH(Calendar!$A6,DB!1:1,0)+2),FALSE),"")</f>
        <v/>
      </c>
      <c r="OEX6" s="27" t="str">
        <f>IFERROR(VLOOKUP(DATE($K$1,$K$2,OEX$4),Table1[],(MATCH(Calendar!$A6,DB!1:1,0)+2),FALSE),"")</f>
        <v/>
      </c>
      <c r="OEY6" s="27" t="str">
        <f>IFERROR(VLOOKUP(DATE($K$1,$K$2,OEY$4),Table1[],(MATCH(Calendar!$A6,DB!1:1,0)+2),FALSE),"")</f>
        <v/>
      </c>
      <c r="OEZ6" s="27" t="str">
        <f>IFERROR(VLOOKUP(DATE($K$1,$K$2,OEZ$4),Table1[],(MATCH(Calendar!$A6,DB!1:1,0)+2),FALSE),"")</f>
        <v/>
      </c>
      <c r="OFA6" s="27" t="str">
        <f>IFERROR(VLOOKUP(DATE($K$1,$K$2,OFA$4),Table1[],(MATCH(Calendar!$A6,DB!1:1,0)+2),FALSE),"")</f>
        <v/>
      </c>
      <c r="OFB6" s="27" t="str">
        <f>IFERROR(VLOOKUP(DATE($K$1,$K$2,OFB$4),Table1[],(MATCH(Calendar!$A6,DB!1:1,0)+2),FALSE),"")</f>
        <v/>
      </c>
      <c r="OFC6" s="27" t="str">
        <f>IFERROR(VLOOKUP(DATE($K$1,$K$2,OFC$4),Table1[],(MATCH(Calendar!$A6,DB!1:1,0)+2),FALSE),"")</f>
        <v/>
      </c>
      <c r="OFD6" s="27" t="str">
        <f>IFERROR(VLOOKUP(DATE($K$1,$K$2,OFD$4),Table1[],(MATCH(Calendar!$A6,DB!1:1,0)+2),FALSE),"")</f>
        <v/>
      </c>
      <c r="OFE6" s="27" t="str">
        <f>IFERROR(VLOOKUP(DATE($K$1,$K$2,OFE$4),Table1[],(MATCH(Calendar!$A6,DB!1:1,0)+2),FALSE),"")</f>
        <v/>
      </c>
      <c r="OFF6" s="27" t="str">
        <f>IFERROR(VLOOKUP(DATE($K$1,$K$2,OFF$4),Table1[],(MATCH(Calendar!$A6,DB!1:1,0)+2),FALSE),"")</f>
        <v/>
      </c>
      <c r="OFG6" s="27" t="str">
        <f>IFERROR(VLOOKUP(DATE($K$1,$K$2,OFG$4),Table1[],(MATCH(Calendar!$A6,DB!1:1,0)+2),FALSE),"")</f>
        <v/>
      </c>
      <c r="OFH6" s="27" t="str">
        <f>IFERROR(VLOOKUP(DATE($K$1,$K$2,OFH$4),Table1[],(MATCH(Calendar!$A6,DB!1:1,0)+2),FALSE),"")</f>
        <v/>
      </c>
      <c r="OFI6" s="27" t="str">
        <f>IFERROR(VLOOKUP(DATE($K$1,$K$2,OFI$4),Table1[],(MATCH(Calendar!$A6,DB!1:1,0)+2),FALSE),"")</f>
        <v/>
      </c>
      <c r="OFJ6" s="27" t="str">
        <f>IFERROR(VLOOKUP(DATE($K$1,$K$2,OFJ$4),Table1[],(MATCH(Calendar!$A6,DB!1:1,0)+2),FALSE),"")</f>
        <v/>
      </c>
      <c r="OFK6" s="27" t="str">
        <f>IFERROR(VLOOKUP(DATE($K$1,$K$2,OFK$4),Table1[],(MATCH(Calendar!$A6,DB!1:1,0)+2),FALSE),"")</f>
        <v/>
      </c>
      <c r="OFL6" s="27" t="str">
        <f>IFERROR(VLOOKUP(DATE($K$1,$K$2,OFL$4),Table1[],(MATCH(Calendar!$A6,DB!1:1,0)+2),FALSE),"")</f>
        <v/>
      </c>
      <c r="OFM6" s="27" t="str">
        <f>IFERROR(VLOOKUP(DATE($K$1,$K$2,OFM$4),Table1[],(MATCH(Calendar!$A6,DB!1:1,0)+2),FALSE),"")</f>
        <v/>
      </c>
      <c r="OFN6" s="27" t="str">
        <f>IFERROR(VLOOKUP(DATE($K$1,$K$2,OFN$4),Table1[],(MATCH(Calendar!$A6,DB!1:1,0)+2),FALSE),"")</f>
        <v/>
      </c>
      <c r="OFO6" s="27" t="str">
        <f>IFERROR(VLOOKUP(DATE($K$1,$K$2,OFO$4),Table1[],(MATCH(Calendar!$A6,DB!1:1,0)+2),FALSE),"")</f>
        <v/>
      </c>
      <c r="OFP6" s="27" t="str">
        <f>IFERROR(VLOOKUP(DATE($K$1,$K$2,OFP$4),Table1[],(MATCH(Calendar!$A6,DB!1:1,0)+2),FALSE),"")</f>
        <v/>
      </c>
      <c r="OFQ6" s="27" t="str">
        <f>IFERROR(VLOOKUP(DATE($K$1,$K$2,OFQ$4),Table1[],(MATCH(Calendar!$A6,DB!1:1,0)+2),FALSE),"")</f>
        <v/>
      </c>
      <c r="OFR6" s="27" t="str">
        <f>IFERROR(VLOOKUP(DATE($K$1,$K$2,OFR$4),Table1[],(MATCH(Calendar!$A6,DB!1:1,0)+2),FALSE),"")</f>
        <v/>
      </c>
      <c r="OFS6" s="27" t="str">
        <f>IFERROR(VLOOKUP(DATE($K$1,$K$2,OFS$4),Table1[],(MATCH(Calendar!$A6,DB!1:1,0)+2),FALSE),"")</f>
        <v/>
      </c>
      <c r="OFT6" s="27" t="str">
        <f>IFERROR(VLOOKUP(DATE($K$1,$K$2,OFT$4),Table1[],(MATCH(Calendar!$A6,DB!1:1,0)+2),FALSE),"")</f>
        <v/>
      </c>
      <c r="OFU6" s="27" t="str">
        <f>IFERROR(VLOOKUP(DATE($K$1,$K$2,OFU$4),Table1[],(MATCH(Calendar!$A6,DB!1:1,0)+2),FALSE),"")</f>
        <v/>
      </c>
      <c r="OFV6" s="27" t="str">
        <f>IFERROR(VLOOKUP(DATE($K$1,$K$2,OFV$4),Table1[],(MATCH(Calendar!$A6,DB!1:1,0)+2),FALSE),"")</f>
        <v/>
      </c>
      <c r="OFW6" s="27" t="str">
        <f>IFERROR(VLOOKUP(DATE($K$1,$K$2,OFW$4),Table1[],(MATCH(Calendar!$A6,DB!1:1,0)+2),FALSE),"")</f>
        <v/>
      </c>
      <c r="OFX6" s="27" t="str">
        <f>IFERROR(VLOOKUP(DATE($K$1,$K$2,OFX$4),Table1[],(MATCH(Calendar!$A6,DB!1:1,0)+2),FALSE),"")</f>
        <v/>
      </c>
      <c r="OFY6" s="27" t="str">
        <f>IFERROR(VLOOKUP(DATE($K$1,$K$2,OFY$4),Table1[],(MATCH(Calendar!$A6,DB!1:1,0)+2),FALSE),"")</f>
        <v/>
      </c>
      <c r="OFZ6" s="27" t="str">
        <f>IFERROR(VLOOKUP(DATE($K$1,$K$2,OFZ$4),Table1[],(MATCH(Calendar!$A6,DB!1:1,0)+2),FALSE),"")</f>
        <v/>
      </c>
      <c r="OGA6" s="27" t="str">
        <f>IFERROR(VLOOKUP(DATE($K$1,$K$2,OGA$4),Table1[],(MATCH(Calendar!$A6,DB!1:1,0)+2),FALSE),"")</f>
        <v/>
      </c>
      <c r="OGB6" s="27" t="str">
        <f>IFERROR(VLOOKUP(DATE($K$1,$K$2,OGB$4),Table1[],(MATCH(Calendar!$A6,DB!1:1,0)+2),FALSE),"")</f>
        <v/>
      </c>
      <c r="OGC6" s="27" t="str">
        <f>IFERROR(VLOOKUP(DATE($K$1,$K$2,OGC$4),Table1[],(MATCH(Calendar!$A6,DB!1:1,0)+2),FALSE),"")</f>
        <v/>
      </c>
      <c r="OGD6" s="27" t="str">
        <f>IFERROR(VLOOKUP(DATE($K$1,$K$2,OGD$4),Table1[],(MATCH(Calendar!$A6,DB!1:1,0)+2),FALSE),"")</f>
        <v/>
      </c>
      <c r="OGE6" s="27" t="str">
        <f>IFERROR(VLOOKUP(DATE($K$1,$K$2,OGE$4),Table1[],(MATCH(Calendar!$A6,DB!1:1,0)+2),FALSE),"")</f>
        <v/>
      </c>
      <c r="OGF6" s="27" t="str">
        <f>IFERROR(VLOOKUP(DATE($K$1,$K$2,OGF$4),Table1[],(MATCH(Calendar!$A6,DB!1:1,0)+2),FALSE),"")</f>
        <v/>
      </c>
      <c r="OGG6" s="27" t="str">
        <f>IFERROR(VLOOKUP(DATE($K$1,$K$2,OGG$4),Table1[],(MATCH(Calendar!$A6,DB!1:1,0)+2),FALSE),"")</f>
        <v/>
      </c>
      <c r="OGH6" s="27" t="str">
        <f>IFERROR(VLOOKUP(DATE($K$1,$K$2,OGH$4),Table1[],(MATCH(Calendar!$A6,DB!1:1,0)+2),FALSE),"")</f>
        <v/>
      </c>
      <c r="OGI6" s="27" t="str">
        <f>IFERROR(VLOOKUP(DATE($K$1,$K$2,OGI$4),Table1[],(MATCH(Calendar!$A6,DB!1:1,0)+2),FALSE),"")</f>
        <v/>
      </c>
      <c r="OGJ6" s="27" t="str">
        <f>IFERROR(VLOOKUP(DATE($K$1,$K$2,OGJ$4),Table1[],(MATCH(Calendar!$A6,DB!1:1,0)+2),FALSE),"")</f>
        <v/>
      </c>
      <c r="OGK6" s="27" t="str">
        <f>IFERROR(VLOOKUP(DATE($K$1,$K$2,OGK$4),Table1[],(MATCH(Calendar!$A6,DB!1:1,0)+2),FALSE),"")</f>
        <v/>
      </c>
      <c r="OGL6" s="27" t="str">
        <f>IFERROR(VLOOKUP(DATE($K$1,$K$2,OGL$4),Table1[],(MATCH(Calendar!$A6,DB!1:1,0)+2),FALSE),"")</f>
        <v/>
      </c>
      <c r="OGM6" s="27" t="str">
        <f>IFERROR(VLOOKUP(DATE($K$1,$K$2,OGM$4),Table1[],(MATCH(Calendar!$A6,DB!1:1,0)+2),FALSE),"")</f>
        <v/>
      </c>
      <c r="OGN6" s="27" t="str">
        <f>IFERROR(VLOOKUP(DATE($K$1,$K$2,OGN$4),Table1[],(MATCH(Calendar!$A6,DB!1:1,0)+2),FALSE),"")</f>
        <v/>
      </c>
      <c r="OGO6" s="27" t="str">
        <f>IFERROR(VLOOKUP(DATE($K$1,$K$2,OGO$4),Table1[],(MATCH(Calendar!$A6,DB!1:1,0)+2),FALSE),"")</f>
        <v/>
      </c>
      <c r="OGP6" s="27" t="str">
        <f>IFERROR(VLOOKUP(DATE($K$1,$K$2,OGP$4),Table1[],(MATCH(Calendar!$A6,DB!1:1,0)+2),FALSE),"")</f>
        <v/>
      </c>
      <c r="OGQ6" s="27" t="str">
        <f>IFERROR(VLOOKUP(DATE($K$1,$K$2,OGQ$4),Table1[],(MATCH(Calendar!$A6,DB!1:1,0)+2),FALSE),"")</f>
        <v/>
      </c>
      <c r="OGR6" s="27" t="str">
        <f>IFERROR(VLOOKUP(DATE($K$1,$K$2,OGR$4),Table1[],(MATCH(Calendar!$A6,DB!1:1,0)+2),FALSE),"")</f>
        <v/>
      </c>
      <c r="OGS6" s="27" t="str">
        <f>IFERROR(VLOOKUP(DATE($K$1,$K$2,OGS$4),Table1[],(MATCH(Calendar!$A6,DB!1:1,0)+2),FALSE),"")</f>
        <v/>
      </c>
      <c r="OGT6" s="27" t="str">
        <f>IFERROR(VLOOKUP(DATE($K$1,$K$2,OGT$4),Table1[],(MATCH(Calendar!$A6,DB!1:1,0)+2),FALSE),"")</f>
        <v/>
      </c>
      <c r="OGU6" s="27" t="str">
        <f>IFERROR(VLOOKUP(DATE($K$1,$K$2,OGU$4),Table1[],(MATCH(Calendar!$A6,DB!1:1,0)+2),FALSE),"")</f>
        <v/>
      </c>
      <c r="OGV6" s="27" t="str">
        <f>IFERROR(VLOOKUP(DATE($K$1,$K$2,OGV$4),Table1[],(MATCH(Calendar!$A6,DB!1:1,0)+2),FALSE),"")</f>
        <v/>
      </c>
      <c r="OGW6" s="27" t="str">
        <f>IFERROR(VLOOKUP(DATE($K$1,$K$2,OGW$4),Table1[],(MATCH(Calendar!$A6,DB!1:1,0)+2),FALSE),"")</f>
        <v/>
      </c>
      <c r="OGX6" s="27" t="str">
        <f>IFERROR(VLOOKUP(DATE($K$1,$K$2,OGX$4),Table1[],(MATCH(Calendar!$A6,DB!1:1,0)+2),FALSE),"")</f>
        <v/>
      </c>
      <c r="OGY6" s="27" t="str">
        <f>IFERROR(VLOOKUP(DATE($K$1,$K$2,OGY$4),Table1[],(MATCH(Calendar!$A6,DB!1:1,0)+2),FALSE),"")</f>
        <v/>
      </c>
      <c r="OGZ6" s="27" t="str">
        <f>IFERROR(VLOOKUP(DATE($K$1,$K$2,OGZ$4),Table1[],(MATCH(Calendar!$A6,DB!1:1,0)+2),FALSE),"")</f>
        <v/>
      </c>
      <c r="OHA6" s="27" t="str">
        <f>IFERROR(VLOOKUP(DATE($K$1,$K$2,OHA$4),Table1[],(MATCH(Calendar!$A6,DB!1:1,0)+2),FALSE),"")</f>
        <v/>
      </c>
      <c r="OHB6" s="27" t="str">
        <f>IFERROR(VLOOKUP(DATE($K$1,$K$2,OHB$4),Table1[],(MATCH(Calendar!$A6,DB!1:1,0)+2),FALSE),"")</f>
        <v/>
      </c>
      <c r="OHC6" s="27" t="str">
        <f>IFERROR(VLOOKUP(DATE($K$1,$K$2,OHC$4),Table1[],(MATCH(Calendar!$A6,DB!1:1,0)+2),FALSE),"")</f>
        <v/>
      </c>
      <c r="OHD6" s="27" t="str">
        <f>IFERROR(VLOOKUP(DATE($K$1,$K$2,OHD$4),Table1[],(MATCH(Calendar!$A6,DB!1:1,0)+2),FALSE),"")</f>
        <v/>
      </c>
      <c r="OHE6" s="27" t="str">
        <f>IFERROR(VLOOKUP(DATE($K$1,$K$2,OHE$4),Table1[],(MATCH(Calendar!$A6,DB!1:1,0)+2),FALSE),"")</f>
        <v/>
      </c>
      <c r="OHF6" s="27" t="str">
        <f>IFERROR(VLOOKUP(DATE($K$1,$K$2,OHF$4),Table1[],(MATCH(Calendar!$A6,DB!1:1,0)+2),FALSE),"")</f>
        <v/>
      </c>
      <c r="OHG6" s="27" t="str">
        <f>IFERROR(VLOOKUP(DATE($K$1,$K$2,OHG$4),Table1[],(MATCH(Calendar!$A6,DB!1:1,0)+2),FALSE),"")</f>
        <v/>
      </c>
      <c r="OHH6" s="27" t="str">
        <f>IFERROR(VLOOKUP(DATE($K$1,$K$2,OHH$4),Table1[],(MATCH(Calendar!$A6,DB!1:1,0)+2),FALSE),"")</f>
        <v/>
      </c>
      <c r="OHI6" s="27" t="str">
        <f>IFERROR(VLOOKUP(DATE($K$1,$K$2,OHI$4),Table1[],(MATCH(Calendar!$A6,DB!1:1,0)+2),FALSE),"")</f>
        <v/>
      </c>
      <c r="OHJ6" s="27" t="str">
        <f>IFERROR(VLOOKUP(DATE($K$1,$K$2,OHJ$4),Table1[],(MATCH(Calendar!$A6,DB!1:1,0)+2),FALSE),"")</f>
        <v/>
      </c>
      <c r="OHK6" s="27" t="str">
        <f>IFERROR(VLOOKUP(DATE($K$1,$K$2,OHK$4),Table1[],(MATCH(Calendar!$A6,DB!1:1,0)+2),FALSE),"")</f>
        <v/>
      </c>
      <c r="OHL6" s="27" t="str">
        <f>IFERROR(VLOOKUP(DATE($K$1,$K$2,OHL$4),Table1[],(MATCH(Calendar!$A6,DB!1:1,0)+2),FALSE),"")</f>
        <v/>
      </c>
      <c r="OHM6" s="27" t="str">
        <f>IFERROR(VLOOKUP(DATE($K$1,$K$2,OHM$4),Table1[],(MATCH(Calendar!$A6,DB!1:1,0)+2),FALSE),"")</f>
        <v/>
      </c>
      <c r="OHN6" s="27" t="str">
        <f>IFERROR(VLOOKUP(DATE($K$1,$K$2,OHN$4),Table1[],(MATCH(Calendar!$A6,DB!1:1,0)+2),FALSE),"")</f>
        <v/>
      </c>
      <c r="OHO6" s="27" t="str">
        <f>IFERROR(VLOOKUP(DATE($K$1,$K$2,OHO$4),Table1[],(MATCH(Calendar!$A6,DB!1:1,0)+2),FALSE),"")</f>
        <v/>
      </c>
      <c r="OHP6" s="27" t="str">
        <f>IFERROR(VLOOKUP(DATE($K$1,$K$2,OHP$4),Table1[],(MATCH(Calendar!$A6,DB!1:1,0)+2),FALSE),"")</f>
        <v/>
      </c>
      <c r="OHQ6" s="27" t="str">
        <f>IFERROR(VLOOKUP(DATE($K$1,$K$2,OHQ$4),Table1[],(MATCH(Calendar!$A6,DB!1:1,0)+2),FALSE),"")</f>
        <v/>
      </c>
      <c r="OHR6" s="27" t="str">
        <f>IFERROR(VLOOKUP(DATE($K$1,$K$2,OHR$4),Table1[],(MATCH(Calendar!$A6,DB!1:1,0)+2),FALSE),"")</f>
        <v/>
      </c>
      <c r="OHS6" s="27" t="str">
        <f>IFERROR(VLOOKUP(DATE($K$1,$K$2,OHS$4),Table1[],(MATCH(Calendar!$A6,DB!1:1,0)+2),FALSE),"")</f>
        <v/>
      </c>
      <c r="OHT6" s="27" t="str">
        <f>IFERROR(VLOOKUP(DATE($K$1,$K$2,OHT$4),Table1[],(MATCH(Calendar!$A6,DB!1:1,0)+2),FALSE),"")</f>
        <v/>
      </c>
      <c r="OHU6" s="27" t="str">
        <f>IFERROR(VLOOKUP(DATE($K$1,$K$2,OHU$4),Table1[],(MATCH(Calendar!$A6,DB!1:1,0)+2),FALSE),"")</f>
        <v/>
      </c>
      <c r="OHV6" s="27" t="str">
        <f>IFERROR(VLOOKUP(DATE($K$1,$K$2,OHV$4),Table1[],(MATCH(Calendar!$A6,DB!1:1,0)+2),FALSE),"")</f>
        <v/>
      </c>
      <c r="OHW6" s="27" t="str">
        <f>IFERROR(VLOOKUP(DATE($K$1,$K$2,OHW$4),Table1[],(MATCH(Calendar!$A6,DB!1:1,0)+2),FALSE),"")</f>
        <v/>
      </c>
      <c r="OHX6" s="27" t="str">
        <f>IFERROR(VLOOKUP(DATE($K$1,$K$2,OHX$4),Table1[],(MATCH(Calendar!$A6,DB!1:1,0)+2),FALSE),"")</f>
        <v/>
      </c>
      <c r="OHY6" s="27" t="str">
        <f>IFERROR(VLOOKUP(DATE($K$1,$K$2,OHY$4),Table1[],(MATCH(Calendar!$A6,DB!1:1,0)+2),FALSE),"")</f>
        <v/>
      </c>
      <c r="OHZ6" s="27" t="str">
        <f>IFERROR(VLOOKUP(DATE($K$1,$K$2,OHZ$4),Table1[],(MATCH(Calendar!$A6,DB!1:1,0)+2),FALSE),"")</f>
        <v/>
      </c>
      <c r="OIA6" s="27" t="str">
        <f>IFERROR(VLOOKUP(DATE($K$1,$K$2,OIA$4),Table1[],(MATCH(Calendar!$A6,DB!1:1,0)+2),FALSE),"")</f>
        <v/>
      </c>
      <c r="OIB6" s="27" t="str">
        <f>IFERROR(VLOOKUP(DATE($K$1,$K$2,OIB$4),Table1[],(MATCH(Calendar!$A6,DB!1:1,0)+2),FALSE),"")</f>
        <v/>
      </c>
      <c r="OIC6" s="27" t="str">
        <f>IFERROR(VLOOKUP(DATE($K$1,$K$2,OIC$4),Table1[],(MATCH(Calendar!$A6,DB!1:1,0)+2),FALSE),"")</f>
        <v/>
      </c>
      <c r="OID6" s="27" t="str">
        <f>IFERROR(VLOOKUP(DATE($K$1,$K$2,OID$4),Table1[],(MATCH(Calendar!$A6,DB!1:1,0)+2),FALSE),"")</f>
        <v/>
      </c>
      <c r="OIE6" s="27" t="str">
        <f>IFERROR(VLOOKUP(DATE($K$1,$K$2,OIE$4),Table1[],(MATCH(Calendar!$A6,DB!1:1,0)+2),FALSE),"")</f>
        <v/>
      </c>
      <c r="OIF6" s="27" t="str">
        <f>IFERROR(VLOOKUP(DATE($K$1,$K$2,OIF$4),Table1[],(MATCH(Calendar!$A6,DB!1:1,0)+2),FALSE),"")</f>
        <v/>
      </c>
      <c r="OIG6" s="27" t="str">
        <f>IFERROR(VLOOKUP(DATE($K$1,$K$2,OIG$4),Table1[],(MATCH(Calendar!$A6,DB!1:1,0)+2),FALSE),"")</f>
        <v/>
      </c>
      <c r="OIH6" s="27" t="str">
        <f>IFERROR(VLOOKUP(DATE($K$1,$K$2,OIH$4),Table1[],(MATCH(Calendar!$A6,DB!1:1,0)+2),FALSE),"")</f>
        <v/>
      </c>
      <c r="OII6" s="27" t="str">
        <f>IFERROR(VLOOKUP(DATE($K$1,$K$2,OII$4),Table1[],(MATCH(Calendar!$A6,DB!1:1,0)+2),FALSE),"")</f>
        <v/>
      </c>
      <c r="OIJ6" s="27" t="str">
        <f>IFERROR(VLOOKUP(DATE($K$1,$K$2,OIJ$4),Table1[],(MATCH(Calendar!$A6,DB!1:1,0)+2),FALSE),"")</f>
        <v/>
      </c>
      <c r="OIK6" s="27" t="str">
        <f>IFERROR(VLOOKUP(DATE($K$1,$K$2,OIK$4),Table1[],(MATCH(Calendar!$A6,DB!1:1,0)+2),FALSE),"")</f>
        <v/>
      </c>
      <c r="OIL6" s="27" t="str">
        <f>IFERROR(VLOOKUP(DATE($K$1,$K$2,OIL$4),Table1[],(MATCH(Calendar!$A6,DB!1:1,0)+2),FALSE),"")</f>
        <v/>
      </c>
      <c r="OIM6" s="27" t="str">
        <f>IFERROR(VLOOKUP(DATE($K$1,$K$2,OIM$4),Table1[],(MATCH(Calendar!$A6,DB!1:1,0)+2),FALSE),"")</f>
        <v/>
      </c>
      <c r="OIN6" s="27" t="str">
        <f>IFERROR(VLOOKUP(DATE($K$1,$K$2,OIN$4),Table1[],(MATCH(Calendar!$A6,DB!1:1,0)+2),FALSE),"")</f>
        <v/>
      </c>
      <c r="OIO6" s="27" t="str">
        <f>IFERROR(VLOOKUP(DATE($K$1,$K$2,OIO$4),Table1[],(MATCH(Calendar!$A6,DB!1:1,0)+2),FALSE),"")</f>
        <v/>
      </c>
      <c r="OIP6" s="27" t="str">
        <f>IFERROR(VLOOKUP(DATE($K$1,$K$2,OIP$4),Table1[],(MATCH(Calendar!$A6,DB!1:1,0)+2),FALSE),"")</f>
        <v/>
      </c>
      <c r="OIQ6" s="27" t="str">
        <f>IFERROR(VLOOKUP(DATE($K$1,$K$2,OIQ$4),Table1[],(MATCH(Calendar!$A6,DB!1:1,0)+2),FALSE),"")</f>
        <v/>
      </c>
      <c r="OIR6" s="27" t="str">
        <f>IFERROR(VLOOKUP(DATE($K$1,$K$2,OIR$4),Table1[],(MATCH(Calendar!$A6,DB!1:1,0)+2),FALSE),"")</f>
        <v/>
      </c>
      <c r="OIS6" s="27" t="str">
        <f>IFERROR(VLOOKUP(DATE($K$1,$K$2,OIS$4),Table1[],(MATCH(Calendar!$A6,DB!1:1,0)+2),FALSE),"")</f>
        <v/>
      </c>
      <c r="OIT6" s="27" t="str">
        <f>IFERROR(VLOOKUP(DATE($K$1,$K$2,OIT$4),Table1[],(MATCH(Calendar!$A6,DB!1:1,0)+2),FALSE),"")</f>
        <v/>
      </c>
      <c r="OIU6" s="27" t="str">
        <f>IFERROR(VLOOKUP(DATE($K$1,$K$2,OIU$4),Table1[],(MATCH(Calendar!$A6,DB!1:1,0)+2),FALSE),"")</f>
        <v/>
      </c>
      <c r="OIV6" s="27" t="str">
        <f>IFERROR(VLOOKUP(DATE($K$1,$K$2,OIV$4),Table1[],(MATCH(Calendar!$A6,DB!1:1,0)+2),FALSE),"")</f>
        <v/>
      </c>
      <c r="OIW6" s="27" t="str">
        <f>IFERROR(VLOOKUP(DATE($K$1,$K$2,OIW$4),Table1[],(MATCH(Calendar!$A6,DB!1:1,0)+2),FALSE),"")</f>
        <v/>
      </c>
      <c r="OIX6" s="27" t="str">
        <f>IFERROR(VLOOKUP(DATE($K$1,$K$2,OIX$4),Table1[],(MATCH(Calendar!$A6,DB!1:1,0)+2),FALSE),"")</f>
        <v/>
      </c>
      <c r="OIY6" s="27" t="str">
        <f>IFERROR(VLOOKUP(DATE($K$1,$K$2,OIY$4),Table1[],(MATCH(Calendar!$A6,DB!1:1,0)+2),FALSE),"")</f>
        <v/>
      </c>
      <c r="OIZ6" s="27" t="str">
        <f>IFERROR(VLOOKUP(DATE($K$1,$K$2,OIZ$4),Table1[],(MATCH(Calendar!$A6,DB!1:1,0)+2),FALSE),"")</f>
        <v/>
      </c>
      <c r="OJA6" s="27" t="str">
        <f>IFERROR(VLOOKUP(DATE($K$1,$K$2,OJA$4),Table1[],(MATCH(Calendar!$A6,DB!1:1,0)+2),FALSE),"")</f>
        <v/>
      </c>
      <c r="OJB6" s="27" t="str">
        <f>IFERROR(VLOOKUP(DATE($K$1,$K$2,OJB$4),Table1[],(MATCH(Calendar!$A6,DB!1:1,0)+2),FALSE),"")</f>
        <v/>
      </c>
      <c r="OJC6" s="27" t="str">
        <f>IFERROR(VLOOKUP(DATE($K$1,$K$2,OJC$4),Table1[],(MATCH(Calendar!$A6,DB!1:1,0)+2),FALSE),"")</f>
        <v/>
      </c>
      <c r="OJD6" s="27" t="str">
        <f>IFERROR(VLOOKUP(DATE($K$1,$K$2,OJD$4),Table1[],(MATCH(Calendar!$A6,DB!1:1,0)+2),FALSE),"")</f>
        <v/>
      </c>
      <c r="OJE6" s="27" t="str">
        <f>IFERROR(VLOOKUP(DATE($K$1,$K$2,OJE$4),Table1[],(MATCH(Calendar!$A6,DB!1:1,0)+2),FALSE),"")</f>
        <v/>
      </c>
      <c r="OJF6" s="27" t="str">
        <f>IFERROR(VLOOKUP(DATE($K$1,$K$2,OJF$4),Table1[],(MATCH(Calendar!$A6,DB!1:1,0)+2),FALSE),"")</f>
        <v/>
      </c>
      <c r="OJG6" s="27" t="str">
        <f>IFERROR(VLOOKUP(DATE($K$1,$K$2,OJG$4),Table1[],(MATCH(Calendar!$A6,DB!1:1,0)+2),FALSE),"")</f>
        <v/>
      </c>
      <c r="OJH6" s="27" t="str">
        <f>IFERROR(VLOOKUP(DATE($K$1,$K$2,OJH$4),Table1[],(MATCH(Calendar!$A6,DB!1:1,0)+2),FALSE),"")</f>
        <v/>
      </c>
      <c r="OJI6" s="27" t="str">
        <f>IFERROR(VLOOKUP(DATE($K$1,$K$2,OJI$4),Table1[],(MATCH(Calendar!$A6,DB!1:1,0)+2),FALSE),"")</f>
        <v/>
      </c>
      <c r="OJJ6" s="27" t="str">
        <f>IFERROR(VLOOKUP(DATE($K$1,$K$2,OJJ$4),Table1[],(MATCH(Calendar!$A6,DB!1:1,0)+2),FALSE),"")</f>
        <v/>
      </c>
      <c r="OJK6" s="27" t="str">
        <f>IFERROR(VLOOKUP(DATE($K$1,$K$2,OJK$4),Table1[],(MATCH(Calendar!$A6,DB!1:1,0)+2),FALSE),"")</f>
        <v/>
      </c>
      <c r="OJL6" s="27" t="str">
        <f>IFERROR(VLOOKUP(DATE($K$1,$K$2,OJL$4),Table1[],(MATCH(Calendar!$A6,DB!1:1,0)+2),FALSE),"")</f>
        <v/>
      </c>
      <c r="OJM6" s="27" t="str">
        <f>IFERROR(VLOOKUP(DATE($K$1,$K$2,OJM$4),Table1[],(MATCH(Calendar!$A6,DB!1:1,0)+2),FALSE),"")</f>
        <v/>
      </c>
      <c r="OJN6" s="27" t="str">
        <f>IFERROR(VLOOKUP(DATE($K$1,$K$2,OJN$4),Table1[],(MATCH(Calendar!$A6,DB!1:1,0)+2),FALSE),"")</f>
        <v/>
      </c>
      <c r="OJO6" s="27" t="str">
        <f>IFERROR(VLOOKUP(DATE($K$1,$K$2,OJO$4),Table1[],(MATCH(Calendar!$A6,DB!1:1,0)+2),FALSE),"")</f>
        <v/>
      </c>
      <c r="OJP6" s="27" t="str">
        <f>IFERROR(VLOOKUP(DATE($K$1,$K$2,OJP$4),Table1[],(MATCH(Calendar!$A6,DB!1:1,0)+2),FALSE),"")</f>
        <v/>
      </c>
      <c r="OJQ6" s="27" t="str">
        <f>IFERROR(VLOOKUP(DATE($K$1,$K$2,OJQ$4),Table1[],(MATCH(Calendar!$A6,DB!1:1,0)+2),FALSE),"")</f>
        <v/>
      </c>
      <c r="OJR6" s="27" t="str">
        <f>IFERROR(VLOOKUP(DATE($K$1,$K$2,OJR$4),Table1[],(MATCH(Calendar!$A6,DB!1:1,0)+2),FALSE),"")</f>
        <v/>
      </c>
      <c r="OJS6" s="27" t="str">
        <f>IFERROR(VLOOKUP(DATE($K$1,$K$2,OJS$4),Table1[],(MATCH(Calendar!$A6,DB!1:1,0)+2),FALSE),"")</f>
        <v/>
      </c>
      <c r="OJT6" s="27" t="str">
        <f>IFERROR(VLOOKUP(DATE($K$1,$K$2,OJT$4),Table1[],(MATCH(Calendar!$A6,DB!1:1,0)+2),FALSE),"")</f>
        <v/>
      </c>
      <c r="OJU6" s="27" t="str">
        <f>IFERROR(VLOOKUP(DATE($K$1,$K$2,OJU$4),Table1[],(MATCH(Calendar!$A6,DB!1:1,0)+2),FALSE),"")</f>
        <v/>
      </c>
      <c r="OJV6" s="27" t="str">
        <f>IFERROR(VLOOKUP(DATE($K$1,$K$2,OJV$4),Table1[],(MATCH(Calendar!$A6,DB!1:1,0)+2),FALSE),"")</f>
        <v/>
      </c>
      <c r="OJW6" s="27" t="str">
        <f>IFERROR(VLOOKUP(DATE($K$1,$K$2,OJW$4),Table1[],(MATCH(Calendar!$A6,DB!1:1,0)+2),FALSE),"")</f>
        <v/>
      </c>
      <c r="OJX6" s="27" t="str">
        <f>IFERROR(VLOOKUP(DATE($K$1,$K$2,OJX$4),Table1[],(MATCH(Calendar!$A6,DB!1:1,0)+2),FALSE),"")</f>
        <v/>
      </c>
      <c r="OJY6" s="27" t="str">
        <f>IFERROR(VLOOKUP(DATE($K$1,$K$2,OJY$4),Table1[],(MATCH(Calendar!$A6,DB!1:1,0)+2),FALSE),"")</f>
        <v/>
      </c>
      <c r="OJZ6" s="27" t="str">
        <f>IFERROR(VLOOKUP(DATE($K$1,$K$2,OJZ$4),Table1[],(MATCH(Calendar!$A6,DB!1:1,0)+2),FALSE),"")</f>
        <v/>
      </c>
      <c r="OKA6" s="27" t="str">
        <f>IFERROR(VLOOKUP(DATE($K$1,$K$2,OKA$4),Table1[],(MATCH(Calendar!$A6,DB!1:1,0)+2),FALSE),"")</f>
        <v/>
      </c>
      <c r="OKB6" s="27" t="str">
        <f>IFERROR(VLOOKUP(DATE($K$1,$K$2,OKB$4),Table1[],(MATCH(Calendar!$A6,DB!1:1,0)+2),FALSE),"")</f>
        <v/>
      </c>
      <c r="OKC6" s="27" t="str">
        <f>IFERROR(VLOOKUP(DATE($K$1,$K$2,OKC$4),Table1[],(MATCH(Calendar!$A6,DB!1:1,0)+2),FALSE),"")</f>
        <v/>
      </c>
      <c r="OKD6" s="27" t="str">
        <f>IFERROR(VLOOKUP(DATE($K$1,$K$2,OKD$4),Table1[],(MATCH(Calendar!$A6,DB!1:1,0)+2),FALSE),"")</f>
        <v/>
      </c>
      <c r="OKE6" s="27" t="str">
        <f>IFERROR(VLOOKUP(DATE($K$1,$K$2,OKE$4),Table1[],(MATCH(Calendar!$A6,DB!1:1,0)+2),FALSE),"")</f>
        <v/>
      </c>
      <c r="OKF6" s="27" t="str">
        <f>IFERROR(VLOOKUP(DATE($K$1,$K$2,OKF$4),Table1[],(MATCH(Calendar!$A6,DB!1:1,0)+2),FALSE),"")</f>
        <v/>
      </c>
      <c r="OKG6" s="27" t="str">
        <f>IFERROR(VLOOKUP(DATE($K$1,$K$2,OKG$4),Table1[],(MATCH(Calendar!$A6,DB!1:1,0)+2),FALSE),"")</f>
        <v/>
      </c>
      <c r="OKH6" s="27" t="str">
        <f>IFERROR(VLOOKUP(DATE($K$1,$K$2,OKH$4),Table1[],(MATCH(Calendar!$A6,DB!1:1,0)+2),FALSE),"")</f>
        <v/>
      </c>
      <c r="OKI6" s="27" t="str">
        <f>IFERROR(VLOOKUP(DATE($K$1,$K$2,OKI$4),Table1[],(MATCH(Calendar!$A6,DB!1:1,0)+2),FALSE),"")</f>
        <v/>
      </c>
      <c r="OKJ6" s="27" t="str">
        <f>IFERROR(VLOOKUP(DATE($K$1,$K$2,OKJ$4),Table1[],(MATCH(Calendar!$A6,DB!1:1,0)+2),FALSE),"")</f>
        <v/>
      </c>
      <c r="OKK6" s="27" t="str">
        <f>IFERROR(VLOOKUP(DATE($K$1,$K$2,OKK$4),Table1[],(MATCH(Calendar!$A6,DB!1:1,0)+2),FALSE),"")</f>
        <v/>
      </c>
      <c r="OKL6" s="27" t="str">
        <f>IFERROR(VLOOKUP(DATE($K$1,$K$2,OKL$4),Table1[],(MATCH(Calendar!$A6,DB!1:1,0)+2),FALSE),"")</f>
        <v/>
      </c>
      <c r="OKM6" s="27" t="str">
        <f>IFERROR(VLOOKUP(DATE($K$1,$K$2,OKM$4),Table1[],(MATCH(Calendar!$A6,DB!1:1,0)+2),FALSE),"")</f>
        <v/>
      </c>
      <c r="OKN6" s="27" t="str">
        <f>IFERROR(VLOOKUP(DATE($K$1,$K$2,OKN$4),Table1[],(MATCH(Calendar!$A6,DB!1:1,0)+2),FALSE),"")</f>
        <v/>
      </c>
      <c r="OKO6" s="27" t="str">
        <f>IFERROR(VLOOKUP(DATE($K$1,$K$2,OKO$4),Table1[],(MATCH(Calendar!$A6,DB!1:1,0)+2),FALSE),"")</f>
        <v/>
      </c>
      <c r="OKP6" s="27" t="str">
        <f>IFERROR(VLOOKUP(DATE($K$1,$K$2,OKP$4),Table1[],(MATCH(Calendar!$A6,DB!1:1,0)+2),FALSE),"")</f>
        <v/>
      </c>
      <c r="OKQ6" s="27" t="str">
        <f>IFERROR(VLOOKUP(DATE($K$1,$K$2,OKQ$4),Table1[],(MATCH(Calendar!$A6,DB!1:1,0)+2),FALSE),"")</f>
        <v/>
      </c>
      <c r="OKR6" s="27" t="str">
        <f>IFERROR(VLOOKUP(DATE($K$1,$K$2,OKR$4),Table1[],(MATCH(Calendar!$A6,DB!1:1,0)+2),FALSE),"")</f>
        <v/>
      </c>
      <c r="OKS6" s="27" t="str">
        <f>IFERROR(VLOOKUP(DATE($K$1,$K$2,OKS$4),Table1[],(MATCH(Calendar!$A6,DB!1:1,0)+2),FALSE),"")</f>
        <v/>
      </c>
      <c r="OKT6" s="27" t="str">
        <f>IFERROR(VLOOKUP(DATE($K$1,$K$2,OKT$4),Table1[],(MATCH(Calendar!$A6,DB!1:1,0)+2),FALSE),"")</f>
        <v/>
      </c>
      <c r="OKU6" s="27" t="str">
        <f>IFERROR(VLOOKUP(DATE($K$1,$K$2,OKU$4),Table1[],(MATCH(Calendar!$A6,DB!1:1,0)+2),FALSE),"")</f>
        <v/>
      </c>
      <c r="OKV6" s="27" t="str">
        <f>IFERROR(VLOOKUP(DATE($K$1,$K$2,OKV$4),Table1[],(MATCH(Calendar!$A6,DB!1:1,0)+2),FALSE),"")</f>
        <v/>
      </c>
      <c r="OKW6" s="27" t="str">
        <f>IFERROR(VLOOKUP(DATE($K$1,$K$2,OKW$4),Table1[],(MATCH(Calendar!$A6,DB!1:1,0)+2),FALSE),"")</f>
        <v/>
      </c>
      <c r="OKX6" s="27" t="str">
        <f>IFERROR(VLOOKUP(DATE($K$1,$K$2,OKX$4),Table1[],(MATCH(Calendar!$A6,DB!1:1,0)+2),FALSE),"")</f>
        <v/>
      </c>
      <c r="OKY6" s="27" t="str">
        <f>IFERROR(VLOOKUP(DATE($K$1,$K$2,OKY$4),Table1[],(MATCH(Calendar!$A6,DB!1:1,0)+2),FALSE),"")</f>
        <v/>
      </c>
      <c r="OKZ6" s="27" t="str">
        <f>IFERROR(VLOOKUP(DATE($K$1,$K$2,OKZ$4),Table1[],(MATCH(Calendar!$A6,DB!1:1,0)+2),FALSE),"")</f>
        <v/>
      </c>
      <c r="OLA6" s="27" t="str">
        <f>IFERROR(VLOOKUP(DATE($K$1,$K$2,OLA$4),Table1[],(MATCH(Calendar!$A6,DB!1:1,0)+2),FALSE),"")</f>
        <v/>
      </c>
      <c r="OLB6" s="27" t="str">
        <f>IFERROR(VLOOKUP(DATE($K$1,$K$2,OLB$4),Table1[],(MATCH(Calendar!$A6,DB!1:1,0)+2),FALSE),"")</f>
        <v/>
      </c>
      <c r="OLC6" s="27" t="str">
        <f>IFERROR(VLOOKUP(DATE($K$1,$K$2,OLC$4),Table1[],(MATCH(Calendar!$A6,DB!1:1,0)+2),FALSE),"")</f>
        <v/>
      </c>
      <c r="OLD6" s="27" t="str">
        <f>IFERROR(VLOOKUP(DATE($K$1,$K$2,OLD$4),Table1[],(MATCH(Calendar!$A6,DB!1:1,0)+2),FALSE),"")</f>
        <v/>
      </c>
      <c r="OLE6" s="27" t="str">
        <f>IFERROR(VLOOKUP(DATE($K$1,$K$2,OLE$4),Table1[],(MATCH(Calendar!$A6,DB!1:1,0)+2),FALSE),"")</f>
        <v/>
      </c>
      <c r="OLF6" s="27" t="str">
        <f>IFERROR(VLOOKUP(DATE($K$1,$K$2,OLF$4),Table1[],(MATCH(Calendar!$A6,DB!1:1,0)+2),FALSE),"")</f>
        <v/>
      </c>
      <c r="OLG6" s="27" t="str">
        <f>IFERROR(VLOOKUP(DATE($K$1,$K$2,OLG$4),Table1[],(MATCH(Calendar!$A6,DB!1:1,0)+2),FALSE),"")</f>
        <v/>
      </c>
      <c r="OLH6" s="27" t="str">
        <f>IFERROR(VLOOKUP(DATE($K$1,$K$2,OLH$4),Table1[],(MATCH(Calendar!$A6,DB!1:1,0)+2),FALSE),"")</f>
        <v/>
      </c>
      <c r="OLI6" s="27" t="str">
        <f>IFERROR(VLOOKUP(DATE($K$1,$K$2,OLI$4),Table1[],(MATCH(Calendar!$A6,DB!1:1,0)+2),FALSE),"")</f>
        <v/>
      </c>
      <c r="OLJ6" s="27" t="str">
        <f>IFERROR(VLOOKUP(DATE($K$1,$K$2,OLJ$4),Table1[],(MATCH(Calendar!$A6,DB!1:1,0)+2),FALSE),"")</f>
        <v/>
      </c>
      <c r="OLK6" s="27" t="str">
        <f>IFERROR(VLOOKUP(DATE($K$1,$K$2,OLK$4),Table1[],(MATCH(Calendar!$A6,DB!1:1,0)+2),FALSE),"")</f>
        <v/>
      </c>
      <c r="OLL6" s="27" t="str">
        <f>IFERROR(VLOOKUP(DATE($K$1,$K$2,OLL$4),Table1[],(MATCH(Calendar!$A6,DB!1:1,0)+2),FALSE),"")</f>
        <v/>
      </c>
      <c r="OLM6" s="27" t="str">
        <f>IFERROR(VLOOKUP(DATE($K$1,$K$2,OLM$4),Table1[],(MATCH(Calendar!$A6,DB!1:1,0)+2),FALSE),"")</f>
        <v/>
      </c>
      <c r="OLN6" s="27" t="str">
        <f>IFERROR(VLOOKUP(DATE($K$1,$K$2,OLN$4),Table1[],(MATCH(Calendar!$A6,DB!1:1,0)+2),FALSE),"")</f>
        <v/>
      </c>
      <c r="OLO6" s="27" t="str">
        <f>IFERROR(VLOOKUP(DATE($K$1,$K$2,OLO$4),Table1[],(MATCH(Calendar!$A6,DB!1:1,0)+2),FALSE),"")</f>
        <v/>
      </c>
      <c r="OLP6" s="27" t="str">
        <f>IFERROR(VLOOKUP(DATE($K$1,$K$2,OLP$4),Table1[],(MATCH(Calendar!$A6,DB!1:1,0)+2),FALSE),"")</f>
        <v/>
      </c>
      <c r="OLQ6" s="27" t="str">
        <f>IFERROR(VLOOKUP(DATE($K$1,$K$2,OLQ$4),Table1[],(MATCH(Calendar!$A6,DB!1:1,0)+2),FALSE),"")</f>
        <v/>
      </c>
      <c r="OLR6" s="27" t="str">
        <f>IFERROR(VLOOKUP(DATE($K$1,$K$2,OLR$4),Table1[],(MATCH(Calendar!$A6,DB!1:1,0)+2),FALSE),"")</f>
        <v/>
      </c>
      <c r="OLS6" s="27" t="str">
        <f>IFERROR(VLOOKUP(DATE($K$1,$K$2,OLS$4),Table1[],(MATCH(Calendar!$A6,DB!1:1,0)+2),FALSE),"")</f>
        <v/>
      </c>
      <c r="OLT6" s="27" t="str">
        <f>IFERROR(VLOOKUP(DATE($K$1,$K$2,OLT$4),Table1[],(MATCH(Calendar!$A6,DB!1:1,0)+2),FALSE),"")</f>
        <v/>
      </c>
      <c r="OLU6" s="27" t="str">
        <f>IFERROR(VLOOKUP(DATE($K$1,$K$2,OLU$4),Table1[],(MATCH(Calendar!$A6,DB!1:1,0)+2),FALSE),"")</f>
        <v/>
      </c>
      <c r="OLV6" s="27" t="str">
        <f>IFERROR(VLOOKUP(DATE($K$1,$K$2,OLV$4),Table1[],(MATCH(Calendar!$A6,DB!1:1,0)+2),FALSE),"")</f>
        <v/>
      </c>
      <c r="OLW6" s="27" t="str">
        <f>IFERROR(VLOOKUP(DATE($K$1,$K$2,OLW$4),Table1[],(MATCH(Calendar!$A6,DB!1:1,0)+2),FALSE),"")</f>
        <v/>
      </c>
      <c r="OLX6" s="27" t="str">
        <f>IFERROR(VLOOKUP(DATE($K$1,$K$2,OLX$4),Table1[],(MATCH(Calendar!$A6,DB!1:1,0)+2),FALSE),"")</f>
        <v/>
      </c>
      <c r="OLY6" s="27" t="str">
        <f>IFERROR(VLOOKUP(DATE($K$1,$K$2,OLY$4),Table1[],(MATCH(Calendar!$A6,DB!1:1,0)+2),FALSE),"")</f>
        <v/>
      </c>
      <c r="OLZ6" s="27" t="str">
        <f>IFERROR(VLOOKUP(DATE($K$1,$K$2,OLZ$4),Table1[],(MATCH(Calendar!$A6,DB!1:1,0)+2),FALSE),"")</f>
        <v/>
      </c>
      <c r="OMA6" s="27" t="str">
        <f>IFERROR(VLOOKUP(DATE($K$1,$K$2,OMA$4),Table1[],(MATCH(Calendar!$A6,DB!1:1,0)+2),FALSE),"")</f>
        <v/>
      </c>
      <c r="OMB6" s="27" t="str">
        <f>IFERROR(VLOOKUP(DATE($K$1,$K$2,OMB$4),Table1[],(MATCH(Calendar!$A6,DB!1:1,0)+2),FALSE),"")</f>
        <v/>
      </c>
      <c r="OMC6" s="27" t="str">
        <f>IFERROR(VLOOKUP(DATE($K$1,$K$2,OMC$4),Table1[],(MATCH(Calendar!$A6,DB!1:1,0)+2),FALSE),"")</f>
        <v/>
      </c>
      <c r="OMD6" s="27" t="str">
        <f>IFERROR(VLOOKUP(DATE($K$1,$K$2,OMD$4),Table1[],(MATCH(Calendar!$A6,DB!1:1,0)+2),FALSE),"")</f>
        <v/>
      </c>
      <c r="OME6" s="27" t="str">
        <f>IFERROR(VLOOKUP(DATE($K$1,$K$2,OME$4),Table1[],(MATCH(Calendar!$A6,DB!1:1,0)+2),FALSE),"")</f>
        <v/>
      </c>
      <c r="OMF6" s="27" t="str">
        <f>IFERROR(VLOOKUP(DATE($K$1,$K$2,OMF$4),Table1[],(MATCH(Calendar!$A6,DB!1:1,0)+2),FALSE),"")</f>
        <v/>
      </c>
      <c r="OMG6" s="27" t="str">
        <f>IFERROR(VLOOKUP(DATE($K$1,$K$2,OMG$4),Table1[],(MATCH(Calendar!$A6,DB!1:1,0)+2),FALSE),"")</f>
        <v/>
      </c>
      <c r="OMH6" s="27" t="str">
        <f>IFERROR(VLOOKUP(DATE($K$1,$K$2,OMH$4),Table1[],(MATCH(Calendar!$A6,DB!1:1,0)+2),FALSE),"")</f>
        <v/>
      </c>
      <c r="OMI6" s="27" t="str">
        <f>IFERROR(VLOOKUP(DATE($K$1,$K$2,OMI$4),Table1[],(MATCH(Calendar!$A6,DB!1:1,0)+2),FALSE),"")</f>
        <v/>
      </c>
      <c r="OMJ6" s="27" t="str">
        <f>IFERROR(VLOOKUP(DATE($K$1,$K$2,OMJ$4),Table1[],(MATCH(Calendar!$A6,DB!1:1,0)+2),FALSE),"")</f>
        <v/>
      </c>
      <c r="OMK6" s="27" t="str">
        <f>IFERROR(VLOOKUP(DATE($K$1,$K$2,OMK$4),Table1[],(MATCH(Calendar!$A6,DB!1:1,0)+2),FALSE),"")</f>
        <v/>
      </c>
      <c r="OML6" s="27" t="str">
        <f>IFERROR(VLOOKUP(DATE($K$1,$K$2,OML$4),Table1[],(MATCH(Calendar!$A6,DB!1:1,0)+2),FALSE),"")</f>
        <v/>
      </c>
      <c r="OMM6" s="27" t="str">
        <f>IFERROR(VLOOKUP(DATE($K$1,$K$2,OMM$4),Table1[],(MATCH(Calendar!$A6,DB!1:1,0)+2),FALSE),"")</f>
        <v/>
      </c>
      <c r="OMN6" s="27" t="str">
        <f>IFERROR(VLOOKUP(DATE($K$1,$K$2,OMN$4),Table1[],(MATCH(Calendar!$A6,DB!1:1,0)+2),FALSE),"")</f>
        <v/>
      </c>
      <c r="OMO6" s="27" t="str">
        <f>IFERROR(VLOOKUP(DATE($K$1,$K$2,OMO$4),Table1[],(MATCH(Calendar!$A6,DB!1:1,0)+2),FALSE),"")</f>
        <v/>
      </c>
      <c r="OMP6" s="27" t="str">
        <f>IFERROR(VLOOKUP(DATE($K$1,$K$2,OMP$4),Table1[],(MATCH(Calendar!$A6,DB!1:1,0)+2),FALSE),"")</f>
        <v/>
      </c>
      <c r="OMQ6" s="27" t="str">
        <f>IFERROR(VLOOKUP(DATE($K$1,$K$2,OMQ$4),Table1[],(MATCH(Calendar!$A6,DB!1:1,0)+2),FALSE),"")</f>
        <v/>
      </c>
      <c r="OMR6" s="27" t="str">
        <f>IFERROR(VLOOKUP(DATE($K$1,$K$2,OMR$4),Table1[],(MATCH(Calendar!$A6,DB!1:1,0)+2),FALSE),"")</f>
        <v/>
      </c>
      <c r="OMS6" s="27" t="str">
        <f>IFERROR(VLOOKUP(DATE($K$1,$K$2,OMS$4),Table1[],(MATCH(Calendar!$A6,DB!1:1,0)+2),FALSE),"")</f>
        <v/>
      </c>
      <c r="OMT6" s="27" t="str">
        <f>IFERROR(VLOOKUP(DATE($K$1,$K$2,OMT$4),Table1[],(MATCH(Calendar!$A6,DB!1:1,0)+2),FALSE),"")</f>
        <v/>
      </c>
      <c r="OMU6" s="27" t="str">
        <f>IFERROR(VLOOKUP(DATE($K$1,$K$2,OMU$4),Table1[],(MATCH(Calendar!$A6,DB!1:1,0)+2),FALSE),"")</f>
        <v/>
      </c>
      <c r="OMV6" s="27" t="str">
        <f>IFERROR(VLOOKUP(DATE($K$1,$K$2,OMV$4),Table1[],(MATCH(Calendar!$A6,DB!1:1,0)+2),FALSE),"")</f>
        <v/>
      </c>
      <c r="OMW6" s="27" t="str">
        <f>IFERROR(VLOOKUP(DATE($K$1,$K$2,OMW$4),Table1[],(MATCH(Calendar!$A6,DB!1:1,0)+2),FALSE),"")</f>
        <v/>
      </c>
      <c r="OMX6" s="27" t="str">
        <f>IFERROR(VLOOKUP(DATE($K$1,$K$2,OMX$4),Table1[],(MATCH(Calendar!$A6,DB!1:1,0)+2),FALSE),"")</f>
        <v/>
      </c>
      <c r="OMY6" s="27" t="str">
        <f>IFERROR(VLOOKUP(DATE($K$1,$K$2,OMY$4),Table1[],(MATCH(Calendar!$A6,DB!1:1,0)+2),FALSE),"")</f>
        <v/>
      </c>
      <c r="OMZ6" s="27" t="str">
        <f>IFERROR(VLOOKUP(DATE($K$1,$K$2,OMZ$4),Table1[],(MATCH(Calendar!$A6,DB!1:1,0)+2),FALSE),"")</f>
        <v/>
      </c>
      <c r="ONA6" s="27" t="str">
        <f>IFERROR(VLOOKUP(DATE($K$1,$K$2,ONA$4),Table1[],(MATCH(Calendar!$A6,DB!1:1,0)+2),FALSE),"")</f>
        <v/>
      </c>
      <c r="ONB6" s="27" t="str">
        <f>IFERROR(VLOOKUP(DATE($K$1,$K$2,ONB$4),Table1[],(MATCH(Calendar!$A6,DB!1:1,0)+2),FALSE),"")</f>
        <v/>
      </c>
      <c r="ONC6" s="27" t="str">
        <f>IFERROR(VLOOKUP(DATE($K$1,$K$2,ONC$4),Table1[],(MATCH(Calendar!$A6,DB!1:1,0)+2),FALSE),"")</f>
        <v/>
      </c>
      <c r="OND6" s="27" t="str">
        <f>IFERROR(VLOOKUP(DATE($K$1,$K$2,OND$4),Table1[],(MATCH(Calendar!$A6,DB!1:1,0)+2),FALSE),"")</f>
        <v/>
      </c>
      <c r="ONE6" s="27" t="str">
        <f>IFERROR(VLOOKUP(DATE($K$1,$K$2,ONE$4),Table1[],(MATCH(Calendar!$A6,DB!1:1,0)+2),FALSE),"")</f>
        <v/>
      </c>
      <c r="ONF6" s="27" t="str">
        <f>IFERROR(VLOOKUP(DATE($K$1,$K$2,ONF$4),Table1[],(MATCH(Calendar!$A6,DB!1:1,0)+2),FALSE),"")</f>
        <v/>
      </c>
      <c r="ONG6" s="27" t="str">
        <f>IFERROR(VLOOKUP(DATE($K$1,$K$2,ONG$4),Table1[],(MATCH(Calendar!$A6,DB!1:1,0)+2),FALSE),"")</f>
        <v/>
      </c>
      <c r="ONH6" s="27" t="str">
        <f>IFERROR(VLOOKUP(DATE($K$1,$K$2,ONH$4),Table1[],(MATCH(Calendar!$A6,DB!1:1,0)+2),FALSE),"")</f>
        <v/>
      </c>
      <c r="ONI6" s="27" t="str">
        <f>IFERROR(VLOOKUP(DATE($K$1,$K$2,ONI$4),Table1[],(MATCH(Calendar!$A6,DB!1:1,0)+2),FALSE),"")</f>
        <v/>
      </c>
      <c r="ONJ6" s="27" t="str">
        <f>IFERROR(VLOOKUP(DATE($K$1,$K$2,ONJ$4),Table1[],(MATCH(Calendar!$A6,DB!1:1,0)+2),FALSE),"")</f>
        <v/>
      </c>
      <c r="ONK6" s="27" t="str">
        <f>IFERROR(VLOOKUP(DATE($K$1,$K$2,ONK$4),Table1[],(MATCH(Calendar!$A6,DB!1:1,0)+2),FALSE),"")</f>
        <v/>
      </c>
      <c r="ONL6" s="27" t="str">
        <f>IFERROR(VLOOKUP(DATE($K$1,$K$2,ONL$4),Table1[],(MATCH(Calendar!$A6,DB!1:1,0)+2),FALSE),"")</f>
        <v/>
      </c>
      <c r="ONM6" s="27" t="str">
        <f>IFERROR(VLOOKUP(DATE($K$1,$K$2,ONM$4),Table1[],(MATCH(Calendar!$A6,DB!1:1,0)+2),FALSE),"")</f>
        <v/>
      </c>
      <c r="ONN6" s="27" t="str">
        <f>IFERROR(VLOOKUP(DATE($K$1,$K$2,ONN$4),Table1[],(MATCH(Calendar!$A6,DB!1:1,0)+2),FALSE),"")</f>
        <v/>
      </c>
      <c r="ONO6" s="27" t="str">
        <f>IFERROR(VLOOKUP(DATE($K$1,$K$2,ONO$4),Table1[],(MATCH(Calendar!$A6,DB!1:1,0)+2),FALSE),"")</f>
        <v/>
      </c>
      <c r="ONP6" s="27" t="str">
        <f>IFERROR(VLOOKUP(DATE($K$1,$K$2,ONP$4),Table1[],(MATCH(Calendar!$A6,DB!1:1,0)+2),FALSE),"")</f>
        <v/>
      </c>
      <c r="ONQ6" s="27" t="str">
        <f>IFERROR(VLOOKUP(DATE($K$1,$K$2,ONQ$4),Table1[],(MATCH(Calendar!$A6,DB!1:1,0)+2),FALSE),"")</f>
        <v/>
      </c>
      <c r="ONR6" s="27" t="str">
        <f>IFERROR(VLOOKUP(DATE($K$1,$K$2,ONR$4),Table1[],(MATCH(Calendar!$A6,DB!1:1,0)+2),FALSE),"")</f>
        <v/>
      </c>
      <c r="ONS6" s="27" t="str">
        <f>IFERROR(VLOOKUP(DATE($K$1,$K$2,ONS$4),Table1[],(MATCH(Calendar!$A6,DB!1:1,0)+2),FALSE),"")</f>
        <v/>
      </c>
      <c r="ONT6" s="27" t="str">
        <f>IFERROR(VLOOKUP(DATE($K$1,$K$2,ONT$4),Table1[],(MATCH(Calendar!$A6,DB!1:1,0)+2),FALSE),"")</f>
        <v/>
      </c>
      <c r="ONU6" s="27" t="str">
        <f>IFERROR(VLOOKUP(DATE($K$1,$K$2,ONU$4),Table1[],(MATCH(Calendar!$A6,DB!1:1,0)+2),FALSE),"")</f>
        <v/>
      </c>
      <c r="ONV6" s="27" t="str">
        <f>IFERROR(VLOOKUP(DATE($K$1,$K$2,ONV$4),Table1[],(MATCH(Calendar!$A6,DB!1:1,0)+2),FALSE),"")</f>
        <v/>
      </c>
      <c r="ONW6" s="27" t="str">
        <f>IFERROR(VLOOKUP(DATE($K$1,$K$2,ONW$4),Table1[],(MATCH(Calendar!$A6,DB!1:1,0)+2),FALSE),"")</f>
        <v/>
      </c>
      <c r="ONX6" s="27" t="str">
        <f>IFERROR(VLOOKUP(DATE($K$1,$K$2,ONX$4),Table1[],(MATCH(Calendar!$A6,DB!1:1,0)+2),FALSE),"")</f>
        <v/>
      </c>
      <c r="ONY6" s="27" t="str">
        <f>IFERROR(VLOOKUP(DATE($K$1,$K$2,ONY$4),Table1[],(MATCH(Calendar!$A6,DB!1:1,0)+2),FALSE),"")</f>
        <v/>
      </c>
      <c r="ONZ6" s="27" t="str">
        <f>IFERROR(VLOOKUP(DATE($K$1,$K$2,ONZ$4),Table1[],(MATCH(Calendar!$A6,DB!1:1,0)+2),FALSE),"")</f>
        <v/>
      </c>
      <c r="OOA6" s="27" t="str">
        <f>IFERROR(VLOOKUP(DATE($K$1,$K$2,OOA$4),Table1[],(MATCH(Calendar!$A6,DB!1:1,0)+2),FALSE),"")</f>
        <v/>
      </c>
      <c r="OOB6" s="27" t="str">
        <f>IFERROR(VLOOKUP(DATE($K$1,$K$2,OOB$4),Table1[],(MATCH(Calendar!$A6,DB!1:1,0)+2),FALSE),"")</f>
        <v/>
      </c>
      <c r="OOC6" s="27" t="str">
        <f>IFERROR(VLOOKUP(DATE($K$1,$K$2,OOC$4),Table1[],(MATCH(Calendar!$A6,DB!1:1,0)+2),FALSE),"")</f>
        <v/>
      </c>
      <c r="OOD6" s="27" t="str">
        <f>IFERROR(VLOOKUP(DATE($K$1,$K$2,OOD$4),Table1[],(MATCH(Calendar!$A6,DB!1:1,0)+2),FALSE),"")</f>
        <v/>
      </c>
      <c r="OOE6" s="27" t="str">
        <f>IFERROR(VLOOKUP(DATE($K$1,$K$2,OOE$4),Table1[],(MATCH(Calendar!$A6,DB!1:1,0)+2),FALSE),"")</f>
        <v/>
      </c>
      <c r="OOF6" s="27" t="str">
        <f>IFERROR(VLOOKUP(DATE($K$1,$K$2,OOF$4),Table1[],(MATCH(Calendar!$A6,DB!1:1,0)+2),FALSE),"")</f>
        <v/>
      </c>
      <c r="OOG6" s="27" t="str">
        <f>IFERROR(VLOOKUP(DATE($K$1,$K$2,OOG$4),Table1[],(MATCH(Calendar!$A6,DB!1:1,0)+2),FALSE),"")</f>
        <v/>
      </c>
      <c r="OOH6" s="27" t="str">
        <f>IFERROR(VLOOKUP(DATE($K$1,$K$2,OOH$4),Table1[],(MATCH(Calendar!$A6,DB!1:1,0)+2),FALSE),"")</f>
        <v/>
      </c>
      <c r="OOI6" s="27" t="str">
        <f>IFERROR(VLOOKUP(DATE($K$1,$K$2,OOI$4),Table1[],(MATCH(Calendar!$A6,DB!1:1,0)+2),FALSE),"")</f>
        <v/>
      </c>
      <c r="OOJ6" s="27" t="str">
        <f>IFERROR(VLOOKUP(DATE($K$1,$K$2,OOJ$4),Table1[],(MATCH(Calendar!$A6,DB!1:1,0)+2),FALSE),"")</f>
        <v/>
      </c>
      <c r="OOK6" s="27" t="str">
        <f>IFERROR(VLOOKUP(DATE($K$1,$K$2,OOK$4),Table1[],(MATCH(Calendar!$A6,DB!1:1,0)+2),FALSE),"")</f>
        <v/>
      </c>
      <c r="OOL6" s="27" t="str">
        <f>IFERROR(VLOOKUP(DATE($K$1,$K$2,OOL$4),Table1[],(MATCH(Calendar!$A6,DB!1:1,0)+2),FALSE),"")</f>
        <v/>
      </c>
      <c r="OOM6" s="27" t="str">
        <f>IFERROR(VLOOKUP(DATE($K$1,$K$2,OOM$4),Table1[],(MATCH(Calendar!$A6,DB!1:1,0)+2),FALSE),"")</f>
        <v/>
      </c>
      <c r="OON6" s="27" t="str">
        <f>IFERROR(VLOOKUP(DATE($K$1,$K$2,OON$4),Table1[],(MATCH(Calendar!$A6,DB!1:1,0)+2),FALSE),"")</f>
        <v/>
      </c>
      <c r="OOO6" s="27" t="str">
        <f>IFERROR(VLOOKUP(DATE($K$1,$K$2,OOO$4),Table1[],(MATCH(Calendar!$A6,DB!1:1,0)+2),FALSE),"")</f>
        <v/>
      </c>
      <c r="OOP6" s="27" t="str">
        <f>IFERROR(VLOOKUP(DATE($K$1,$K$2,OOP$4),Table1[],(MATCH(Calendar!$A6,DB!1:1,0)+2),FALSE),"")</f>
        <v/>
      </c>
      <c r="OOQ6" s="27" t="str">
        <f>IFERROR(VLOOKUP(DATE($K$1,$K$2,OOQ$4),Table1[],(MATCH(Calendar!$A6,DB!1:1,0)+2),FALSE),"")</f>
        <v/>
      </c>
      <c r="OOR6" s="27" t="str">
        <f>IFERROR(VLOOKUP(DATE($K$1,$K$2,OOR$4),Table1[],(MATCH(Calendar!$A6,DB!1:1,0)+2),FALSE),"")</f>
        <v/>
      </c>
      <c r="OOS6" s="27" t="str">
        <f>IFERROR(VLOOKUP(DATE($K$1,$K$2,OOS$4),Table1[],(MATCH(Calendar!$A6,DB!1:1,0)+2),FALSE),"")</f>
        <v/>
      </c>
      <c r="OOT6" s="27" t="str">
        <f>IFERROR(VLOOKUP(DATE($K$1,$K$2,OOT$4),Table1[],(MATCH(Calendar!$A6,DB!1:1,0)+2),FALSE),"")</f>
        <v/>
      </c>
      <c r="OOU6" s="27" t="str">
        <f>IFERROR(VLOOKUP(DATE($K$1,$K$2,OOU$4),Table1[],(MATCH(Calendar!$A6,DB!1:1,0)+2),FALSE),"")</f>
        <v/>
      </c>
      <c r="OOV6" s="27" t="str">
        <f>IFERROR(VLOOKUP(DATE($K$1,$K$2,OOV$4),Table1[],(MATCH(Calendar!$A6,DB!1:1,0)+2),FALSE),"")</f>
        <v/>
      </c>
      <c r="OOW6" s="27" t="str">
        <f>IFERROR(VLOOKUP(DATE($K$1,$K$2,OOW$4),Table1[],(MATCH(Calendar!$A6,DB!1:1,0)+2),FALSE),"")</f>
        <v/>
      </c>
      <c r="OOX6" s="27" t="str">
        <f>IFERROR(VLOOKUP(DATE($K$1,$K$2,OOX$4),Table1[],(MATCH(Calendar!$A6,DB!1:1,0)+2),FALSE),"")</f>
        <v/>
      </c>
      <c r="OOY6" s="27" t="str">
        <f>IFERROR(VLOOKUP(DATE($K$1,$K$2,OOY$4),Table1[],(MATCH(Calendar!$A6,DB!1:1,0)+2),FALSE),"")</f>
        <v/>
      </c>
      <c r="OOZ6" s="27" t="str">
        <f>IFERROR(VLOOKUP(DATE($K$1,$K$2,OOZ$4),Table1[],(MATCH(Calendar!$A6,DB!1:1,0)+2),FALSE),"")</f>
        <v/>
      </c>
      <c r="OPA6" s="27" t="str">
        <f>IFERROR(VLOOKUP(DATE($K$1,$K$2,OPA$4),Table1[],(MATCH(Calendar!$A6,DB!1:1,0)+2),FALSE),"")</f>
        <v/>
      </c>
      <c r="OPB6" s="27" t="str">
        <f>IFERROR(VLOOKUP(DATE($K$1,$K$2,OPB$4),Table1[],(MATCH(Calendar!$A6,DB!1:1,0)+2),FALSE),"")</f>
        <v/>
      </c>
      <c r="OPC6" s="27" t="str">
        <f>IFERROR(VLOOKUP(DATE($K$1,$K$2,OPC$4),Table1[],(MATCH(Calendar!$A6,DB!1:1,0)+2),FALSE),"")</f>
        <v/>
      </c>
      <c r="OPD6" s="27" t="str">
        <f>IFERROR(VLOOKUP(DATE($K$1,$K$2,OPD$4),Table1[],(MATCH(Calendar!$A6,DB!1:1,0)+2),FALSE),"")</f>
        <v/>
      </c>
      <c r="OPE6" s="27" t="str">
        <f>IFERROR(VLOOKUP(DATE($K$1,$K$2,OPE$4),Table1[],(MATCH(Calendar!$A6,DB!1:1,0)+2),FALSE),"")</f>
        <v/>
      </c>
      <c r="OPF6" s="27" t="str">
        <f>IFERROR(VLOOKUP(DATE($K$1,$K$2,OPF$4),Table1[],(MATCH(Calendar!$A6,DB!1:1,0)+2),FALSE),"")</f>
        <v/>
      </c>
      <c r="OPG6" s="27" t="str">
        <f>IFERROR(VLOOKUP(DATE($K$1,$K$2,OPG$4),Table1[],(MATCH(Calendar!$A6,DB!1:1,0)+2),FALSE),"")</f>
        <v/>
      </c>
      <c r="OPH6" s="27" t="str">
        <f>IFERROR(VLOOKUP(DATE($K$1,$K$2,OPH$4),Table1[],(MATCH(Calendar!$A6,DB!1:1,0)+2),FALSE),"")</f>
        <v/>
      </c>
      <c r="OPI6" s="27" t="str">
        <f>IFERROR(VLOOKUP(DATE($K$1,$K$2,OPI$4),Table1[],(MATCH(Calendar!$A6,DB!1:1,0)+2),FALSE),"")</f>
        <v/>
      </c>
      <c r="OPJ6" s="27" t="str">
        <f>IFERROR(VLOOKUP(DATE($K$1,$K$2,OPJ$4),Table1[],(MATCH(Calendar!$A6,DB!1:1,0)+2),FALSE),"")</f>
        <v/>
      </c>
      <c r="OPK6" s="27" t="str">
        <f>IFERROR(VLOOKUP(DATE($K$1,$K$2,OPK$4),Table1[],(MATCH(Calendar!$A6,DB!1:1,0)+2),FALSE),"")</f>
        <v/>
      </c>
      <c r="OPL6" s="27" t="str">
        <f>IFERROR(VLOOKUP(DATE($K$1,$K$2,OPL$4),Table1[],(MATCH(Calendar!$A6,DB!1:1,0)+2),FALSE),"")</f>
        <v/>
      </c>
      <c r="OPM6" s="27" t="str">
        <f>IFERROR(VLOOKUP(DATE($K$1,$K$2,OPM$4),Table1[],(MATCH(Calendar!$A6,DB!1:1,0)+2),FALSE),"")</f>
        <v/>
      </c>
      <c r="OPN6" s="27" t="str">
        <f>IFERROR(VLOOKUP(DATE($K$1,$K$2,OPN$4),Table1[],(MATCH(Calendar!$A6,DB!1:1,0)+2),FALSE),"")</f>
        <v/>
      </c>
      <c r="OPO6" s="27" t="str">
        <f>IFERROR(VLOOKUP(DATE($K$1,$K$2,OPO$4),Table1[],(MATCH(Calendar!$A6,DB!1:1,0)+2),FALSE),"")</f>
        <v/>
      </c>
      <c r="OPP6" s="27" t="str">
        <f>IFERROR(VLOOKUP(DATE($K$1,$K$2,OPP$4),Table1[],(MATCH(Calendar!$A6,DB!1:1,0)+2),FALSE),"")</f>
        <v/>
      </c>
      <c r="OPQ6" s="27" t="str">
        <f>IFERROR(VLOOKUP(DATE($K$1,$K$2,OPQ$4),Table1[],(MATCH(Calendar!$A6,DB!1:1,0)+2),FALSE),"")</f>
        <v/>
      </c>
      <c r="OPR6" s="27" t="str">
        <f>IFERROR(VLOOKUP(DATE($K$1,$K$2,OPR$4),Table1[],(MATCH(Calendar!$A6,DB!1:1,0)+2),FALSE),"")</f>
        <v/>
      </c>
      <c r="OPS6" s="27" t="str">
        <f>IFERROR(VLOOKUP(DATE($K$1,$K$2,OPS$4),Table1[],(MATCH(Calendar!$A6,DB!1:1,0)+2),FALSE),"")</f>
        <v/>
      </c>
      <c r="OPT6" s="27" t="str">
        <f>IFERROR(VLOOKUP(DATE($K$1,$K$2,OPT$4),Table1[],(MATCH(Calendar!$A6,DB!1:1,0)+2),FALSE),"")</f>
        <v/>
      </c>
      <c r="OPU6" s="27" t="str">
        <f>IFERROR(VLOOKUP(DATE($K$1,$K$2,OPU$4),Table1[],(MATCH(Calendar!$A6,DB!1:1,0)+2),FALSE),"")</f>
        <v/>
      </c>
      <c r="OPV6" s="27" t="str">
        <f>IFERROR(VLOOKUP(DATE($K$1,$K$2,OPV$4),Table1[],(MATCH(Calendar!$A6,DB!1:1,0)+2),FALSE),"")</f>
        <v/>
      </c>
      <c r="OPW6" s="27" t="str">
        <f>IFERROR(VLOOKUP(DATE($K$1,$K$2,OPW$4),Table1[],(MATCH(Calendar!$A6,DB!1:1,0)+2),FALSE),"")</f>
        <v/>
      </c>
      <c r="OPX6" s="27" t="str">
        <f>IFERROR(VLOOKUP(DATE($K$1,$K$2,OPX$4),Table1[],(MATCH(Calendar!$A6,DB!1:1,0)+2),FALSE),"")</f>
        <v/>
      </c>
      <c r="OPY6" s="27" t="str">
        <f>IFERROR(VLOOKUP(DATE($K$1,$K$2,OPY$4),Table1[],(MATCH(Calendar!$A6,DB!1:1,0)+2),FALSE),"")</f>
        <v/>
      </c>
      <c r="OPZ6" s="27" t="str">
        <f>IFERROR(VLOOKUP(DATE($K$1,$K$2,OPZ$4),Table1[],(MATCH(Calendar!$A6,DB!1:1,0)+2),FALSE),"")</f>
        <v/>
      </c>
      <c r="OQA6" s="27" t="str">
        <f>IFERROR(VLOOKUP(DATE($K$1,$K$2,OQA$4),Table1[],(MATCH(Calendar!$A6,DB!1:1,0)+2),FALSE),"")</f>
        <v/>
      </c>
      <c r="OQB6" s="27" t="str">
        <f>IFERROR(VLOOKUP(DATE($K$1,$K$2,OQB$4),Table1[],(MATCH(Calendar!$A6,DB!1:1,0)+2),FALSE),"")</f>
        <v/>
      </c>
      <c r="OQC6" s="27" t="str">
        <f>IFERROR(VLOOKUP(DATE($K$1,$K$2,OQC$4),Table1[],(MATCH(Calendar!$A6,DB!1:1,0)+2),FALSE),"")</f>
        <v/>
      </c>
      <c r="OQD6" s="27" t="str">
        <f>IFERROR(VLOOKUP(DATE($K$1,$K$2,OQD$4),Table1[],(MATCH(Calendar!$A6,DB!1:1,0)+2),FALSE),"")</f>
        <v/>
      </c>
      <c r="OQE6" s="27" t="str">
        <f>IFERROR(VLOOKUP(DATE($K$1,$K$2,OQE$4),Table1[],(MATCH(Calendar!$A6,DB!1:1,0)+2),FALSE),"")</f>
        <v/>
      </c>
      <c r="OQF6" s="27" t="str">
        <f>IFERROR(VLOOKUP(DATE($K$1,$K$2,OQF$4),Table1[],(MATCH(Calendar!$A6,DB!1:1,0)+2),FALSE),"")</f>
        <v/>
      </c>
      <c r="OQG6" s="27" t="str">
        <f>IFERROR(VLOOKUP(DATE($K$1,$K$2,OQG$4),Table1[],(MATCH(Calendar!$A6,DB!1:1,0)+2),FALSE),"")</f>
        <v/>
      </c>
      <c r="OQH6" s="27" t="str">
        <f>IFERROR(VLOOKUP(DATE($K$1,$K$2,OQH$4),Table1[],(MATCH(Calendar!$A6,DB!1:1,0)+2),FALSE),"")</f>
        <v/>
      </c>
      <c r="OQI6" s="27" t="str">
        <f>IFERROR(VLOOKUP(DATE($K$1,$K$2,OQI$4),Table1[],(MATCH(Calendar!$A6,DB!1:1,0)+2),FALSE),"")</f>
        <v/>
      </c>
      <c r="OQJ6" s="27" t="str">
        <f>IFERROR(VLOOKUP(DATE($K$1,$K$2,OQJ$4),Table1[],(MATCH(Calendar!$A6,DB!1:1,0)+2),FALSE),"")</f>
        <v/>
      </c>
      <c r="OQK6" s="27" t="str">
        <f>IFERROR(VLOOKUP(DATE($K$1,$K$2,OQK$4),Table1[],(MATCH(Calendar!$A6,DB!1:1,0)+2),FALSE),"")</f>
        <v/>
      </c>
      <c r="OQL6" s="27" t="str">
        <f>IFERROR(VLOOKUP(DATE($K$1,$K$2,OQL$4),Table1[],(MATCH(Calendar!$A6,DB!1:1,0)+2),FALSE),"")</f>
        <v/>
      </c>
      <c r="OQM6" s="27" t="str">
        <f>IFERROR(VLOOKUP(DATE($K$1,$K$2,OQM$4),Table1[],(MATCH(Calendar!$A6,DB!1:1,0)+2),FALSE),"")</f>
        <v/>
      </c>
      <c r="OQN6" s="27" t="str">
        <f>IFERROR(VLOOKUP(DATE($K$1,$K$2,OQN$4),Table1[],(MATCH(Calendar!$A6,DB!1:1,0)+2),FALSE),"")</f>
        <v/>
      </c>
      <c r="OQO6" s="27" t="str">
        <f>IFERROR(VLOOKUP(DATE($K$1,$K$2,OQO$4),Table1[],(MATCH(Calendar!$A6,DB!1:1,0)+2),FALSE),"")</f>
        <v/>
      </c>
      <c r="OQP6" s="27" t="str">
        <f>IFERROR(VLOOKUP(DATE($K$1,$K$2,OQP$4),Table1[],(MATCH(Calendar!$A6,DB!1:1,0)+2),FALSE),"")</f>
        <v/>
      </c>
      <c r="OQQ6" s="27" t="str">
        <f>IFERROR(VLOOKUP(DATE($K$1,$K$2,OQQ$4),Table1[],(MATCH(Calendar!$A6,DB!1:1,0)+2),FALSE),"")</f>
        <v/>
      </c>
      <c r="OQR6" s="27" t="str">
        <f>IFERROR(VLOOKUP(DATE($K$1,$K$2,OQR$4),Table1[],(MATCH(Calendar!$A6,DB!1:1,0)+2),FALSE),"")</f>
        <v/>
      </c>
      <c r="OQS6" s="27" t="str">
        <f>IFERROR(VLOOKUP(DATE($K$1,$K$2,OQS$4),Table1[],(MATCH(Calendar!$A6,DB!1:1,0)+2),FALSE),"")</f>
        <v/>
      </c>
      <c r="OQT6" s="27" t="str">
        <f>IFERROR(VLOOKUP(DATE($K$1,$K$2,OQT$4),Table1[],(MATCH(Calendar!$A6,DB!1:1,0)+2),FALSE),"")</f>
        <v/>
      </c>
      <c r="OQU6" s="27" t="str">
        <f>IFERROR(VLOOKUP(DATE($K$1,$K$2,OQU$4),Table1[],(MATCH(Calendar!$A6,DB!1:1,0)+2),FALSE),"")</f>
        <v/>
      </c>
      <c r="OQV6" s="27" t="str">
        <f>IFERROR(VLOOKUP(DATE($K$1,$K$2,OQV$4),Table1[],(MATCH(Calendar!$A6,DB!1:1,0)+2),FALSE),"")</f>
        <v/>
      </c>
      <c r="OQW6" s="27" t="str">
        <f>IFERROR(VLOOKUP(DATE($K$1,$K$2,OQW$4),Table1[],(MATCH(Calendar!$A6,DB!1:1,0)+2),FALSE),"")</f>
        <v/>
      </c>
      <c r="OQX6" s="27" t="str">
        <f>IFERROR(VLOOKUP(DATE($K$1,$K$2,OQX$4),Table1[],(MATCH(Calendar!$A6,DB!1:1,0)+2),FALSE),"")</f>
        <v/>
      </c>
      <c r="OQY6" s="27" t="str">
        <f>IFERROR(VLOOKUP(DATE($K$1,$K$2,OQY$4),Table1[],(MATCH(Calendar!$A6,DB!1:1,0)+2),FALSE),"")</f>
        <v/>
      </c>
      <c r="OQZ6" s="27" t="str">
        <f>IFERROR(VLOOKUP(DATE($K$1,$K$2,OQZ$4),Table1[],(MATCH(Calendar!$A6,DB!1:1,0)+2),FALSE),"")</f>
        <v/>
      </c>
      <c r="ORA6" s="27" t="str">
        <f>IFERROR(VLOOKUP(DATE($K$1,$K$2,ORA$4),Table1[],(MATCH(Calendar!$A6,DB!1:1,0)+2),FALSE),"")</f>
        <v/>
      </c>
      <c r="ORB6" s="27" t="str">
        <f>IFERROR(VLOOKUP(DATE($K$1,$K$2,ORB$4),Table1[],(MATCH(Calendar!$A6,DB!1:1,0)+2),FALSE),"")</f>
        <v/>
      </c>
      <c r="ORC6" s="27" t="str">
        <f>IFERROR(VLOOKUP(DATE($K$1,$K$2,ORC$4),Table1[],(MATCH(Calendar!$A6,DB!1:1,0)+2),FALSE),"")</f>
        <v/>
      </c>
      <c r="ORD6" s="27" t="str">
        <f>IFERROR(VLOOKUP(DATE($K$1,$K$2,ORD$4),Table1[],(MATCH(Calendar!$A6,DB!1:1,0)+2),FALSE),"")</f>
        <v/>
      </c>
      <c r="ORE6" s="27" t="str">
        <f>IFERROR(VLOOKUP(DATE($K$1,$K$2,ORE$4),Table1[],(MATCH(Calendar!$A6,DB!1:1,0)+2),FALSE),"")</f>
        <v/>
      </c>
      <c r="ORF6" s="27" t="str">
        <f>IFERROR(VLOOKUP(DATE($K$1,$K$2,ORF$4),Table1[],(MATCH(Calendar!$A6,DB!1:1,0)+2),FALSE),"")</f>
        <v/>
      </c>
      <c r="ORG6" s="27" t="str">
        <f>IFERROR(VLOOKUP(DATE($K$1,$K$2,ORG$4),Table1[],(MATCH(Calendar!$A6,DB!1:1,0)+2),FALSE),"")</f>
        <v/>
      </c>
      <c r="ORH6" s="27" t="str">
        <f>IFERROR(VLOOKUP(DATE($K$1,$K$2,ORH$4),Table1[],(MATCH(Calendar!$A6,DB!1:1,0)+2),FALSE),"")</f>
        <v/>
      </c>
      <c r="ORI6" s="27" t="str">
        <f>IFERROR(VLOOKUP(DATE($K$1,$K$2,ORI$4),Table1[],(MATCH(Calendar!$A6,DB!1:1,0)+2),FALSE),"")</f>
        <v/>
      </c>
      <c r="ORJ6" s="27" t="str">
        <f>IFERROR(VLOOKUP(DATE($K$1,$K$2,ORJ$4),Table1[],(MATCH(Calendar!$A6,DB!1:1,0)+2),FALSE),"")</f>
        <v/>
      </c>
      <c r="ORK6" s="27" t="str">
        <f>IFERROR(VLOOKUP(DATE($K$1,$K$2,ORK$4),Table1[],(MATCH(Calendar!$A6,DB!1:1,0)+2),FALSE),"")</f>
        <v/>
      </c>
      <c r="ORL6" s="27" t="str">
        <f>IFERROR(VLOOKUP(DATE($K$1,$K$2,ORL$4),Table1[],(MATCH(Calendar!$A6,DB!1:1,0)+2),FALSE),"")</f>
        <v/>
      </c>
      <c r="ORM6" s="27" t="str">
        <f>IFERROR(VLOOKUP(DATE($K$1,$K$2,ORM$4),Table1[],(MATCH(Calendar!$A6,DB!1:1,0)+2),FALSE),"")</f>
        <v/>
      </c>
      <c r="ORN6" s="27" t="str">
        <f>IFERROR(VLOOKUP(DATE($K$1,$K$2,ORN$4),Table1[],(MATCH(Calendar!$A6,DB!1:1,0)+2),FALSE),"")</f>
        <v/>
      </c>
      <c r="ORO6" s="27" t="str">
        <f>IFERROR(VLOOKUP(DATE($K$1,$K$2,ORO$4),Table1[],(MATCH(Calendar!$A6,DB!1:1,0)+2),FALSE),"")</f>
        <v/>
      </c>
      <c r="ORP6" s="27" t="str">
        <f>IFERROR(VLOOKUP(DATE($K$1,$K$2,ORP$4),Table1[],(MATCH(Calendar!$A6,DB!1:1,0)+2),FALSE),"")</f>
        <v/>
      </c>
      <c r="ORQ6" s="27" t="str">
        <f>IFERROR(VLOOKUP(DATE($K$1,$K$2,ORQ$4),Table1[],(MATCH(Calendar!$A6,DB!1:1,0)+2),FALSE),"")</f>
        <v/>
      </c>
      <c r="ORR6" s="27" t="str">
        <f>IFERROR(VLOOKUP(DATE($K$1,$K$2,ORR$4),Table1[],(MATCH(Calendar!$A6,DB!1:1,0)+2),FALSE),"")</f>
        <v/>
      </c>
      <c r="ORS6" s="27" t="str">
        <f>IFERROR(VLOOKUP(DATE($K$1,$K$2,ORS$4),Table1[],(MATCH(Calendar!$A6,DB!1:1,0)+2),FALSE),"")</f>
        <v/>
      </c>
      <c r="ORT6" s="27" t="str">
        <f>IFERROR(VLOOKUP(DATE($K$1,$K$2,ORT$4),Table1[],(MATCH(Calendar!$A6,DB!1:1,0)+2),FALSE),"")</f>
        <v/>
      </c>
      <c r="ORU6" s="27" t="str">
        <f>IFERROR(VLOOKUP(DATE($K$1,$K$2,ORU$4),Table1[],(MATCH(Calendar!$A6,DB!1:1,0)+2),FALSE),"")</f>
        <v/>
      </c>
      <c r="ORV6" s="27" t="str">
        <f>IFERROR(VLOOKUP(DATE($K$1,$K$2,ORV$4),Table1[],(MATCH(Calendar!$A6,DB!1:1,0)+2),FALSE),"")</f>
        <v/>
      </c>
      <c r="ORW6" s="27" t="str">
        <f>IFERROR(VLOOKUP(DATE($K$1,$K$2,ORW$4),Table1[],(MATCH(Calendar!$A6,DB!1:1,0)+2),FALSE),"")</f>
        <v/>
      </c>
      <c r="ORX6" s="27" t="str">
        <f>IFERROR(VLOOKUP(DATE($K$1,$K$2,ORX$4),Table1[],(MATCH(Calendar!$A6,DB!1:1,0)+2),FALSE),"")</f>
        <v/>
      </c>
      <c r="ORY6" s="27" t="str">
        <f>IFERROR(VLOOKUP(DATE($K$1,$K$2,ORY$4),Table1[],(MATCH(Calendar!$A6,DB!1:1,0)+2),FALSE),"")</f>
        <v/>
      </c>
      <c r="ORZ6" s="27" t="str">
        <f>IFERROR(VLOOKUP(DATE($K$1,$K$2,ORZ$4),Table1[],(MATCH(Calendar!$A6,DB!1:1,0)+2),FALSE),"")</f>
        <v/>
      </c>
      <c r="OSA6" s="27" t="str">
        <f>IFERROR(VLOOKUP(DATE($K$1,$K$2,OSA$4),Table1[],(MATCH(Calendar!$A6,DB!1:1,0)+2),FALSE),"")</f>
        <v/>
      </c>
      <c r="OSB6" s="27" t="str">
        <f>IFERROR(VLOOKUP(DATE($K$1,$K$2,OSB$4),Table1[],(MATCH(Calendar!$A6,DB!1:1,0)+2),FALSE),"")</f>
        <v/>
      </c>
      <c r="OSC6" s="27" t="str">
        <f>IFERROR(VLOOKUP(DATE($K$1,$K$2,OSC$4),Table1[],(MATCH(Calendar!$A6,DB!1:1,0)+2),FALSE),"")</f>
        <v/>
      </c>
      <c r="OSD6" s="27" t="str">
        <f>IFERROR(VLOOKUP(DATE($K$1,$K$2,OSD$4),Table1[],(MATCH(Calendar!$A6,DB!1:1,0)+2),FALSE),"")</f>
        <v/>
      </c>
      <c r="OSE6" s="27" t="str">
        <f>IFERROR(VLOOKUP(DATE($K$1,$K$2,OSE$4),Table1[],(MATCH(Calendar!$A6,DB!1:1,0)+2),FALSE),"")</f>
        <v/>
      </c>
      <c r="OSF6" s="27" t="str">
        <f>IFERROR(VLOOKUP(DATE($K$1,$K$2,OSF$4),Table1[],(MATCH(Calendar!$A6,DB!1:1,0)+2),FALSE),"")</f>
        <v/>
      </c>
      <c r="OSG6" s="27" t="str">
        <f>IFERROR(VLOOKUP(DATE($K$1,$K$2,OSG$4),Table1[],(MATCH(Calendar!$A6,DB!1:1,0)+2),FALSE),"")</f>
        <v/>
      </c>
      <c r="OSH6" s="27" t="str">
        <f>IFERROR(VLOOKUP(DATE($K$1,$K$2,OSH$4),Table1[],(MATCH(Calendar!$A6,DB!1:1,0)+2),FALSE),"")</f>
        <v/>
      </c>
      <c r="OSI6" s="27" t="str">
        <f>IFERROR(VLOOKUP(DATE($K$1,$K$2,OSI$4),Table1[],(MATCH(Calendar!$A6,DB!1:1,0)+2),FALSE),"")</f>
        <v/>
      </c>
      <c r="OSJ6" s="27" t="str">
        <f>IFERROR(VLOOKUP(DATE($K$1,$K$2,OSJ$4),Table1[],(MATCH(Calendar!$A6,DB!1:1,0)+2),FALSE),"")</f>
        <v/>
      </c>
      <c r="OSK6" s="27" t="str">
        <f>IFERROR(VLOOKUP(DATE($K$1,$K$2,OSK$4),Table1[],(MATCH(Calendar!$A6,DB!1:1,0)+2),FALSE),"")</f>
        <v/>
      </c>
      <c r="OSL6" s="27" t="str">
        <f>IFERROR(VLOOKUP(DATE($K$1,$K$2,OSL$4),Table1[],(MATCH(Calendar!$A6,DB!1:1,0)+2),FALSE),"")</f>
        <v/>
      </c>
      <c r="OSM6" s="27" t="str">
        <f>IFERROR(VLOOKUP(DATE($K$1,$K$2,OSM$4),Table1[],(MATCH(Calendar!$A6,DB!1:1,0)+2),FALSE),"")</f>
        <v/>
      </c>
      <c r="OSN6" s="27" t="str">
        <f>IFERROR(VLOOKUP(DATE($K$1,$K$2,OSN$4),Table1[],(MATCH(Calendar!$A6,DB!1:1,0)+2),FALSE),"")</f>
        <v/>
      </c>
      <c r="OSO6" s="27" t="str">
        <f>IFERROR(VLOOKUP(DATE($K$1,$K$2,OSO$4),Table1[],(MATCH(Calendar!$A6,DB!1:1,0)+2),FALSE),"")</f>
        <v/>
      </c>
      <c r="OSP6" s="27" t="str">
        <f>IFERROR(VLOOKUP(DATE($K$1,$K$2,OSP$4),Table1[],(MATCH(Calendar!$A6,DB!1:1,0)+2),FALSE),"")</f>
        <v/>
      </c>
      <c r="OSQ6" s="27" t="str">
        <f>IFERROR(VLOOKUP(DATE($K$1,$K$2,OSQ$4),Table1[],(MATCH(Calendar!$A6,DB!1:1,0)+2),FALSE),"")</f>
        <v/>
      </c>
      <c r="OSR6" s="27" t="str">
        <f>IFERROR(VLOOKUP(DATE($K$1,$K$2,OSR$4),Table1[],(MATCH(Calendar!$A6,DB!1:1,0)+2),FALSE),"")</f>
        <v/>
      </c>
      <c r="OSS6" s="27" t="str">
        <f>IFERROR(VLOOKUP(DATE($K$1,$K$2,OSS$4),Table1[],(MATCH(Calendar!$A6,DB!1:1,0)+2),FALSE),"")</f>
        <v/>
      </c>
      <c r="OST6" s="27" t="str">
        <f>IFERROR(VLOOKUP(DATE($K$1,$K$2,OST$4),Table1[],(MATCH(Calendar!$A6,DB!1:1,0)+2),FALSE),"")</f>
        <v/>
      </c>
      <c r="OSU6" s="27" t="str">
        <f>IFERROR(VLOOKUP(DATE($K$1,$K$2,OSU$4),Table1[],(MATCH(Calendar!$A6,DB!1:1,0)+2),FALSE),"")</f>
        <v/>
      </c>
      <c r="OSV6" s="27" t="str">
        <f>IFERROR(VLOOKUP(DATE($K$1,$K$2,OSV$4),Table1[],(MATCH(Calendar!$A6,DB!1:1,0)+2),FALSE),"")</f>
        <v/>
      </c>
      <c r="OSW6" s="27" t="str">
        <f>IFERROR(VLOOKUP(DATE($K$1,$K$2,OSW$4),Table1[],(MATCH(Calendar!$A6,DB!1:1,0)+2),FALSE),"")</f>
        <v/>
      </c>
      <c r="OSX6" s="27" t="str">
        <f>IFERROR(VLOOKUP(DATE($K$1,$K$2,OSX$4),Table1[],(MATCH(Calendar!$A6,DB!1:1,0)+2),FALSE),"")</f>
        <v/>
      </c>
      <c r="OSY6" s="27" t="str">
        <f>IFERROR(VLOOKUP(DATE($K$1,$K$2,OSY$4),Table1[],(MATCH(Calendar!$A6,DB!1:1,0)+2),FALSE),"")</f>
        <v/>
      </c>
      <c r="OSZ6" s="27" t="str">
        <f>IFERROR(VLOOKUP(DATE($K$1,$K$2,OSZ$4),Table1[],(MATCH(Calendar!$A6,DB!1:1,0)+2),FALSE),"")</f>
        <v/>
      </c>
      <c r="OTA6" s="27" t="str">
        <f>IFERROR(VLOOKUP(DATE($K$1,$K$2,OTA$4),Table1[],(MATCH(Calendar!$A6,DB!1:1,0)+2),FALSE),"")</f>
        <v/>
      </c>
      <c r="OTB6" s="27" t="str">
        <f>IFERROR(VLOOKUP(DATE($K$1,$K$2,OTB$4),Table1[],(MATCH(Calendar!$A6,DB!1:1,0)+2),FALSE),"")</f>
        <v/>
      </c>
      <c r="OTC6" s="27" t="str">
        <f>IFERROR(VLOOKUP(DATE($K$1,$K$2,OTC$4),Table1[],(MATCH(Calendar!$A6,DB!1:1,0)+2),FALSE),"")</f>
        <v/>
      </c>
      <c r="OTD6" s="27" t="str">
        <f>IFERROR(VLOOKUP(DATE($K$1,$K$2,OTD$4),Table1[],(MATCH(Calendar!$A6,DB!1:1,0)+2),FALSE),"")</f>
        <v/>
      </c>
      <c r="OTE6" s="27" t="str">
        <f>IFERROR(VLOOKUP(DATE($K$1,$K$2,OTE$4),Table1[],(MATCH(Calendar!$A6,DB!1:1,0)+2),FALSE),"")</f>
        <v/>
      </c>
      <c r="OTF6" s="27" t="str">
        <f>IFERROR(VLOOKUP(DATE($K$1,$K$2,OTF$4),Table1[],(MATCH(Calendar!$A6,DB!1:1,0)+2),FALSE),"")</f>
        <v/>
      </c>
      <c r="OTG6" s="27" t="str">
        <f>IFERROR(VLOOKUP(DATE($K$1,$K$2,OTG$4),Table1[],(MATCH(Calendar!$A6,DB!1:1,0)+2),FALSE),"")</f>
        <v/>
      </c>
      <c r="OTH6" s="27" t="str">
        <f>IFERROR(VLOOKUP(DATE($K$1,$K$2,OTH$4),Table1[],(MATCH(Calendar!$A6,DB!1:1,0)+2),FALSE),"")</f>
        <v/>
      </c>
      <c r="OTI6" s="27" t="str">
        <f>IFERROR(VLOOKUP(DATE($K$1,$K$2,OTI$4),Table1[],(MATCH(Calendar!$A6,DB!1:1,0)+2),FALSE),"")</f>
        <v/>
      </c>
      <c r="OTJ6" s="27" t="str">
        <f>IFERROR(VLOOKUP(DATE($K$1,$K$2,OTJ$4),Table1[],(MATCH(Calendar!$A6,DB!1:1,0)+2),FALSE),"")</f>
        <v/>
      </c>
      <c r="OTK6" s="27" t="str">
        <f>IFERROR(VLOOKUP(DATE($K$1,$K$2,OTK$4),Table1[],(MATCH(Calendar!$A6,DB!1:1,0)+2),FALSE),"")</f>
        <v/>
      </c>
      <c r="OTL6" s="27" t="str">
        <f>IFERROR(VLOOKUP(DATE($K$1,$K$2,OTL$4),Table1[],(MATCH(Calendar!$A6,DB!1:1,0)+2),FALSE),"")</f>
        <v/>
      </c>
      <c r="OTM6" s="27" t="str">
        <f>IFERROR(VLOOKUP(DATE($K$1,$K$2,OTM$4),Table1[],(MATCH(Calendar!$A6,DB!1:1,0)+2),FALSE),"")</f>
        <v/>
      </c>
      <c r="OTN6" s="27" t="str">
        <f>IFERROR(VLOOKUP(DATE($K$1,$K$2,OTN$4),Table1[],(MATCH(Calendar!$A6,DB!1:1,0)+2),FALSE),"")</f>
        <v/>
      </c>
      <c r="OTO6" s="27" t="str">
        <f>IFERROR(VLOOKUP(DATE($K$1,$K$2,OTO$4),Table1[],(MATCH(Calendar!$A6,DB!1:1,0)+2),FALSE),"")</f>
        <v/>
      </c>
      <c r="OTP6" s="27" t="str">
        <f>IFERROR(VLOOKUP(DATE($K$1,$K$2,OTP$4),Table1[],(MATCH(Calendar!$A6,DB!1:1,0)+2),FALSE),"")</f>
        <v/>
      </c>
      <c r="OTQ6" s="27" t="str">
        <f>IFERROR(VLOOKUP(DATE($K$1,$K$2,OTQ$4),Table1[],(MATCH(Calendar!$A6,DB!1:1,0)+2),FALSE),"")</f>
        <v/>
      </c>
      <c r="OTR6" s="27" t="str">
        <f>IFERROR(VLOOKUP(DATE($K$1,$K$2,OTR$4),Table1[],(MATCH(Calendar!$A6,DB!1:1,0)+2),FALSE),"")</f>
        <v/>
      </c>
      <c r="OTS6" s="27" t="str">
        <f>IFERROR(VLOOKUP(DATE($K$1,$K$2,OTS$4),Table1[],(MATCH(Calendar!$A6,DB!1:1,0)+2),FALSE),"")</f>
        <v/>
      </c>
      <c r="OTT6" s="27" t="str">
        <f>IFERROR(VLOOKUP(DATE($K$1,$K$2,OTT$4),Table1[],(MATCH(Calendar!$A6,DB!1:1,0)+2),FALSE),"")</f>
        <v/>
      </c>
      <c r="OTU6" s="27" t="str">
        <f>IFERROR(VLOOKUP(DATE($K$1,$K$2,OTU$4),Table1[],(MATCH(Calendar!$A6,DB!1:1,0)+2),FALSE),"")</f>
        <v/>
      </c>
      <c r="OTV6" s="27" t="str">
        <f>IFERROR(VLOOKUP(DATE($K$1,$K$2,OTV$4),Table1[],(MATCH(Calendar!$A6,DB!1:1,0)+2),FALSE),"")</f>
        <v/>
      </c>
      <c r="OTW6" s="27" t="str">
        <f>IFERROR(VLOOKUP(DATE($K$1,$K$2,OTW$4),Table1[],(MATCH(Calendar!$A6,DB!1:1,0)+2),FALSE),"")</f>
        <v/>
      </c>
      <c r="OTX6" s="27" t="str">
        <f>IFERROR(VLOOKUP(DATE($K$1,$K$2,OTX$4),Table1[],(MATCH(Calendar!$A6,DB!1:1,0)+2),FALSE),"")</f>
        <v/>
      </c>
      <c r="OTY6" s="27" t="str">
        <f>IFERROR(VLOOKUP(DATE($K$1,$K$2,OTY$4),Table1[],(MATCH(Calendar!$A6,DB!1:1,0)+2),FALSE),"")</f>
        <v/>
      </c>
      <c r="OTZ6" s="27" t="str">
        <f>IFERROR(VLOOKUP(DATE($K$1,$K$2,OTZ$4),Table1[],(MATCH(Calendar!$A6,DB!1:1,0)+2),FALSE),"")</f>
        <v/>
      </c>
      <c r="OUA6" s="27" t="str">
        <f>IFERROR(VLOOKUP(DATE($K$1,$K$2,OUA$4),Table1[],(MATCH(Calendar!$A6,DB!1:1,0)+2),FALSE),"")</f>
        <v/>
      </c>
      <c r="OUB6" s="27" t="str">
        <f>IFERROR(VLOOKUP(DATE($K$1,$K$2,OUB$4),Table1[],(MATCH(Calendar!$A6,DB!1:1,0)+2),FALSE),"")</f>
        <v/>
      </c>
      <c r="OUC6" s="27" t="str">
        <f>IFERROR(VLOOKUP(DATE($K$1,$K$2,OUC$4),Table1[],(MATCH(Calendar!$A6,DB!1:1,0)+2),FALSE),"")</f>
        <v/>
      </c>
      <c r="OUD6" s="27" t="str">
        <f>IFERROR(VLOOKUP(DATE($K$1,$K$2,OUD$4),Table1[],(MATCH(Calendar!$A6,DB!1:1,0)+2),FALSE),"")</f>
        <v/>
      </c>
      <c r="OUE6" s="27" t="str">
        <f>IFERROR(VLOOKUP(DATE($K$1,$K$2,OUE$4),Table1[],(MATCH(Calendar!$A6,DB!1:1,0)+2),FALSE),"")</f>
        <v/>
      </c>
      <c r="OUF6" s="27" t="str">
        <f>IFERROR(VLOOKUP(DATE($K$1,$K$2,OUF$4),Table1[],(MATCH(Calendar!$A6,DB!1:1,0)+2),FALSE),"")</f>
        <v/>
      </c>
      <c r="OUG6" s="27" t="str">
        <f>IFERROR(VLOOKUP(DATE($K$1,$K$2,OUG$4),Table1[],(MATCH(Calendar!$A6,DB!1:1,0)+2),FALSE),"")</f>
        <v/>
      </c>
      <c r="OUH6" s="27" t="str">
        <f>IFERROR(VLOOKUP(DATE($K$1,$K$2,OUH$4),Table1[],(MATCH(Calendar!$A6,DB!1:1,0)+2),FALSE),"")</f>
        <v/>
      </c>
      <c r="OUI6" s="27" t="str">
        <f>IFERROR(VLOOKUP(DATE($K$1,$K$2,OUI$4),Table1[],(MATCH(Calendar!$A6,DB!1:1,0)+2),FALSE),"")</f>
        <v/>
      </c>
      <c r="OUJ6" s="27" t="str">
        <f>IFERROR(VLOOKUP(DATE($K$1,$K$2,OUJ$4),Table1[],(MATCH(Calendar!$A6,DB!1:1,0)+2),FALSE),"")</f>
        <v/>
      </c>
      <c r="OUK6" s="27" t="str">
        <f>IFERROR(VLOOKUP(DATE($K$1,$K$2,OUK$4),Table1[],(MATCH(Calendar!$A6,DB!1:1,0)+2),FALSE),"")</f>
        <v/>
      </c>
      <c r="OUL6" s="27" t="str">
        <f>IFERROR(VLOOKUP(DATE($K$1,$K$2,OUL$4),Table1[],(MATCH(Calendar!$A6,DB!1:1,0)+2),FALSE),"")</f>
        <v/>
      </c>
      <c r="OUM6" s="27" t="str">
        <f>IFERROR(VLOOKUP(DATE($K$1,$K$2,OUM$4),Table1[],(MATCH(Calendar!$A6,DB!1:1,0)+2),FALSE),"")</f>
        <v/>
      </c>
      <c r="OUN6" s="27" t="str">
        <f>IFERROR(VLOOKUP(DATE($K$1,$K$2,OUN$4),Table1[],(MATCH(Calendar!$A6,DB!1:1,0)+2),FALSE),"")</f>
        <v/>
      </c>
      <c r="OUO6" s="27" t="str">
        <f>IFERROR(VLOOKUP(DATE($K$1,$K$2,OUO$4),Table1[],(MATCH(Calendar!$A6,DB!1:1,0)+2),FALSE),"")</f>
        <v/>
      </c>
      <c r="OUP6" s="27" t="str">
        <f>IFERROR(VLOOKUP(DATE($K$1,$K$2,OUP$4),Table1[],(MATCH(Calendar!$A6,DB!1:1,0)+2),FALSE),"")</f>
        <v/>
      </c>
      <c r="OUQ6" s="27" t="str">
        <f>IFERROR(VLOOKUP(DATE($K$1,$K$2,OUQ$4),Table1[],(MATCH(Calendar!$A6,DB!1:1,0)+2),FALSE),"")</f>
        <v/>
      </c>
      <c r="OUR6" s="27" t="str">
        <f>IFERROR(VLOOKUP(DATE($K$1,$K$2,OUR$4),Table1[],(MATCH(Calendar!$A6,DB!1:1,0)+2),FALSE),"")</f>
        <v/>
      </c>
      <c r="OUS6" s="27" t="str">
        <f>IFERROR(VLOOKUP(DATE($K$1,$K$2,OUS$4),Table1[],(MATCH(Calendar!$A6,DB!1:1,0)+2),FALSE),"")</f>
        <v/>
      </c>
      <c r="OUT6" s="27" t="str">
        <f>IFERROR(VLOOKUP(DATE($K$1,$K$2,OUT$4),Table1[],(MATCH(Calendar!$A6,DB!1:1,0)+2),FALSE),"")</f>
        <v/>
      </c>
      <c r="OUU6" s="27" t="str">
        <f>IFERROR(VLOOKUP(DATE($K$1,$K$2,OUU$4),Table1[],(MATCH(Calendar!$A6,DB!1:1,0)+2),FALSE),"")</f>
        <v/>
      </c>
      <c r="OUV6" s="27" t="str">
        <f>IFERROR(VLOOKUP(DATE($K$1,$K$2,OUV$4),Table1[],(MATCH(Calendar!$A6,DB!1:1,0)+2),FALSE),"")</f>
        <v/>
      </c>
      <c r="OUW6" s="27" t="str">
        <f>IFERROR(VLOOKUP(DATE($K$1,$K$2,OUW$4),Table1[],(MATCH(Calendar!$A6,DB!1:1,0)+2),FALSE),"")</f>
        <v/>
      </c>
      <c r="OUX6" s="27" t="str">
        <f>IFERROR(VLOOKUP(DATE($K$1,$K$2,OUX$4),Table1[],(MATCH(Calendar!$A6,DB!1:1,0)+2),FALSE),"")</f>
        <v/>
      </c>
      <c r="OUY6" s="27" t="str">
        <f>IFERROR(VLOOKUP(DATE($K$1,$K$2,OUY$4),Table1[],(MATCH(Calendar!$A6,DB!1:1,0)+2),FALSE),"")</f>
        <v/>
      </c>
      <c r="OUZ6" s="27" t="str">
        <f>IFERROR(VLOOKUP(DATE($K$1,$K$2,OUZ$4),Table1[],(MATCH(Calendar!$A6,DB!1:1,0)+2),FALSE),"")</f>
        <v/>
      </c>
      <c r="OVA6" s="27" t="str">
        <f>IFERROR(VLOOKUP(DATE($K$1,$K$2,OVA$4),Table1[],(MATCH(Calendar!$A6,DB!1:1,0)+2),FALSE),"")</f>
        <v/>
      </c>
      <c r="OVB6" s="27" t="str">
        <f>IFERROR(VLOOKUP(DATE($K$1,$K$2,OVB$4),Table1[],(MATCH(Calendar!$A6,DB!1:1,0)+2),FALSE),"")</f>
        <v/>
      </c>
      <c r="OVC6" s="27" t="str">
        <f>IFERROR(VLOOKUP(DATE($K$1,$K$2,OVC$4),Table1[],(MATCH(Calendar!$A6,DB!1:1,0)+2),FALSE),"")</f>
        <v/>
      </c>
      <c r="OVD6" s="27" t="str">
        <f>IFERROR(VLOOKUP(DATE($K$1,$K$2,OVD$4),Table1[],(MATCH(Calendar!$A6,DB!1:1,0)+2),FALSE),"")</f>
        <v/>
      </c>
      <c r="OVE6" s="27" t="str">
        <f>IFERROR(VLOOKUP(DATE($K$1,$K$2,OVE$4),Table1[],(MATCH(Calendar!$A6,DB!1:1,0)+2),FALSE),"")</f>
        <v/>
      </c>
      <c r="OVF6" s="27" t="str">
        <f>IFERROR(VLOOKUP(DATE($K$1,$K$2,OVF$4),Table1[],(MATCH(Calendar!$A6,DB!1:1,0)+2),FALSE),"")</f>
        <v/>
      </c>
      <c r="OVG6" s="27" t="str">
        <f>IFERROR(VLOOKUP(DATE($K$1,$K$2,OVG$4),Table1[],(MATCH(Calendar!$A6,DB!1:1,0)+2),FALSE),"")</f>
        <v/>
      </c>
      <c r="OVH6" s="27" t="str">
        <f>IFERROR(VLOOKUP(DATE($K$1,$K$2,OVH$4),Table1[],(MATCH(Calendar!$A6,DB!1:1,0)+2),FALSE),"")</f>
        <v/>
      </c>
      <c r="OVI6" s="27" t="str">
        <f>IFERROR(VLOOKUP(DATE($K$1,$K$2,OVI$4),Table1[],(MATCH(Calendar!$A6,DB!1:1,0)+2),FALSE),"")</f>
        <v/>
      </c>
      <c r="OVJ6" s="27" t="str">
        <f>IFERROR(VLOOKUP(DATE($K$1,$K$2,OVJ$4),Table1[],(MATCH(Calendar!$A6,DB!1:1,0)+2),FALSE),"")</f>
        <v/>
      </c>
      <c r="OVK6" s="27" t="str">
        <f>IFERROR(VLOOKUP(DATE($K$1,$K$2,OVK$4),Table1[],(MATCH(Calendar!$A6,DB!1:1,0)+2),FALSE),"")</f>
        <v/>
      </c>
      <c r="OVL6" s="27" t="str">
        <f>IFERROR(VLOOKUP(DATE($K$1,$K$2,OVL$4),Table1[],(MATCH(Calendar!$A6,DB!1:1,0)+2),FALSE),"")</f>
        <v/>
      </c>
      <c r="OVM6" s="27" t="str">
        <f>IFERROR(VLOOKUP(DATE($K$1,$K$2,OVM$4),Table1[],(MATCH(Calendar!$A6,DB!1:1,0)+2),FALSE),"")</f>
        <v/>
      </c>
      <c r="OVN6" s="27" t="str">
        <f>IFERROR(VLOOKUP(DATE($K$1,$K$2,OVN$4),Table1[],(MATCH(Calendar!$A6,DB!1:1,0)+2),FALSE),"")</f>
        <v/>
      </c>
      <c r="OVO6" s="27" t="str">
        <f>IFERROR(VLOOKUP(DATE($K$1,$K$2,OVO$4),Table1[],(MATCH(Calendar!$A6,DB!1:1,0)+2),FALSE),"")</f>
        <v/>
      </c>
      <c r="OVP6" s="27" t="str">
        <f>IFERROR(VLOOKUP(DATE($K$1,$K$2,OVP$4),Table1[],(MATCH(Calendar!$A6,DB!1:1,0)+2),FALSE),"")</f>
        <v/>
      </c>
      <c r="OVQ6" s="27" t="str">
        <f>IFERROR(VLOOKUP(DATE($K$1,$K$2,OVQ$4),Table1[],(MATCH(Calendar!$A6,DB!1:1,0)+2),FALSE),"")</f>
        <v/>
      </c>
      <c r="OVR6" s="27" t="str">
        <f>IFERROR(VLOOKUP(DATE($K$1,$K$2,OVR$4),Table1[],(MATCH(Calendar!$A6,DB!1:1,0)+2),FALSE),"")</f>
        <v/>
      </c>
      <c r="OVS6" s="27" t="str">
        <f>IFERROR(VLOOKUP(DATE($K$1,$K$2,OVS$4),Table1[],(MATCH(Calendar!$A6,DB!1:1,0)+2),FALSE),"")</f>
        <v/>
      </c>
      <c r="OVT6" s="27" t="str">
        <f>IFERROR(VLOOKUP(DATE($K$1,$K$2,OVT$4),Table1[],(MATCH(Calendar!$A6,DB!1:1,0)+2),FALSE),"")</f>
        <v/>
      </c>
      <c r="OVU6" s="27" t="str">
        <f>IFERROR(VLOOKUP(DATE($K$1,$K$2,OVU$4),Table1[],(MATCH(Calendar!$A6,DB!1:1,0)+2),FALSE),"")</f>
        <v/>
      </c>
      <c r="OVV6" s="27" t="str">
        <f>IFERROR(VLOOKUP(DATE($K$1,$K$2,OVV$4),Table1[],(MATCH(Calendar!$A6,DB!1:1,0)+2),FALSE),"")</f>
        <v/>
      </c>
      <c r="OVW6" s="27" t="str">
        <f>IFERROR(VLOOKUP(DATE($K$1,$K$2,OVW$4),Table1[],(MATCH(Calendar!$A6,DB!1:1,0)+2),FALSE),"")</f>
        <v/>
      </c>
      <c r="OVX6" s="27" t="str">
        <f>IFERROR(VLOOKUP(DATE($K$1,$K$2,OVX$4),Table1[],(MATCH(Calendar!$A6,DB!1:1,0)+2),FALSE),"")</f>
        <v/>
      </c>
      <c r="OVY6" s="27" t="str">
        <f>IFERROR(VLOOKUP(DATE($K$1,$K$2,OVY$4),Table1[],(MATCH(Calendar!$A6,DB!1:1,0)+2),FALSE),"")</f>
        <v/>
      </c>
      <c r="OVZ6" s="27" t="str">
        <f>IFERROR(VLOOKUP(DATE($K$1,$K$2,OVZ$4),Table1[],(MATCH(Calendar!$A6,DB!1:1,0)+2),FALSE),"")</f>
        <v/>
      </c>
      <c r="OWA6" s="27" t="str">
        <f>IFERROR(VLOOKUP(DATE($K$1,$K$2,OWA$4),Table1[],(MATCH(Calendar!$A6,DB!1:1,0)+2),FALSE),"")</f>
        <v/>
      </c>
      <c r="OWB6" s="27" t="str">
        <f>IFERROR(VLOOKUP(DATE($K$1,$K$2,OWB$4),Table1[],(MATCH(Calendar!$A6,DB!1:1,0)+2),FALSE),"")</f>
        <v/>
      </c>
      <c r="OWC6" s="27" t="str">
        <f>IFERROR(VLOOKUP(DATE($K$1,$K$2,OWC$4),Table1[],(MATCH(Calendar!$A6,DB!1:1,0)+2),FALSE),"")</f>
        <v/>
      </c>
      <c r="OWD6" s="27" t="str">
        <f>IFERROR(VLOOKUP(DATE($K$1,$K$2,OWD$4),Table1[],(MATCH(Calendar!$A6,DB!1:1,0)+2),FALSE),"")</f>
        <v/>
      </c>
      <c r="OWE6" s="27" t="str">
        <f>IFERROR(VLOOKUP(DATE($K$1,$K$2,OWE$4),Table1[],(MATCH(Calendar!$A6,DB!1:1,0)+2),FALSE),"")</f>
        <v/>
      </c>
      <c r="OWF6" s="27" t="str">
        <f>IFERROR(VLOOKUP(DATE($K$1,$K$2,OWF$4),Table1[],(MATCH(Calendar!$A6,DB!1:1,0)+2),FALSE),"")</f>
        <v/>
      </c>
      <c r="OWG6" s="27" t="str">
        <f>IFERROR(VLOOKUP(DATE($K$1,$K$2,OWG$4),Table1[],(MATCH(Calendar!$A6,DB!1:1,0)+2),FALSE),"")</f>
        <v/>
      </c>
      <c r="OWH6" s="27" t="str">
        <f>IFERROR(VLOOKUP(DATE($K$1,$K$2,OWH$4),Table1[],(MATCH(Calendar!$A6,DB!1:1,0)+2),FALSE),"")</f>
        <v/>
      </c>
      <c r="OWI6" s="27" t="str">
        <f>IFERROR(VLOOKUP(DATE($K$1,$K$2,OWI$4),Table1[],(MATCH(Calendar!$A6,DB!1:1,0)+2),FALSE),"")</f>
        <v/>
      </c>
      <c r="OWJ6" s="27" t="str">
        <f>IFERROR(VLOOKUP(DATE($K$1,$K$2,OWJ$4),Table1[],(MATCH(Calendar!$A6,DB!1:1,0)+2),FALSE),"")</f>
        <v/>
      </c>
      <c r="OWK6" s="27" t="str">
        <f>IFERROR(VLOOKUP(DATE($K$1,$K$2,OWK$4),Table1[],(MATCH(Calendar!$A6,DB!1:1,0)+2),FALSE),"")</f>
        <v/>
      </c>
      <c r="OWL6" s="27" t="str">
        <f>IFERROR(VLOOKUP(DATE($K$1,$K$2,OWL$4),Table1[],(MATCH(Calendar!$A6,DB!1:1,0)+2),FALSE),"")</f>
        <v/>
      </c>
      <c r="OWM6" s="27" t="str">
        <f>IFERROR(VLOOKUP(DATE($K$1,$K$2,OWM$4),Table1[],(MATCH(Calendar!$A6,DB!1:1,0)+2),FALSE),"")</f>
        <v/>
      </c>
      <c r="OWN6" s="27" t="str">
        <f>IFERROR(VLOOKUP(DATE($K$1,$K$2,OWN$4),Table1[],(MATCH(Calendar!$A6,DB!1:1,0)+2),FALSE),"")</f>
        <v/>
      </c>
      <c r="OWO6" s="27" t="str">
        <f>IFERROR(VLOOKUP(DATE($K$1,$K$2,OWO$4),Table1[],(MATCH(Calendar!$A6,DB!1:1,0)+2),FALSE),"")</f>
        <v/>
      </c>
      <c r="OWP6" s="27" t="str">
        <f>IFERROR(VLOOKUP(DATE($K$1,$K$2,OWP$4),Table1[],(MATCH(Calendar!$A6,DB!1:1,0)+2),FALSE),"")</f>
        <v/>
      </c>
      <c r="OWQ6" s="27" t="str">
        <f>IFERROR(VLOOKUP(DATE($K$1,$K$2,OWQ$4),Table1[],(MATCH(Calendar!$A6,DB!1:1,0)+2),FALSE),"")</f>
        <v/>
      </c>
      <c r="OWR6" s="27" t="str">
        <f>IFERROR(VLOOKUP(DATE($K$1,$K$2,OWR$4),Table1[],(MATCH(Calendar!$A6,DB!1:1,0)+2),FALSE),"")</f>
        <v/>
      </c>
      <c r="OWS6" s="27" t="str">
        <f>IFERROR(VLOOKUP(DATE($K$1,$K$2,OWS$4),Table1[],(MATCH(Calendar!$A6,DB!1:1,0)+2),FALSE),"")</f>
        <v/>
      </c>
      <c r="OWT6" s="27" t="str">
        <f>IFERROR(VLOOKUP(DATE($K$1,$K$2,OWT$4),Table1[],(MATCH(Calendar!$A6,DB!1:1,0)+2),FALSE),"")</f>
        <v/>
      </c>
      <c r="OWU6" s="27" t="str">
        <f>IFERROR(VLOOKUP(DATE($K$1,$K$2,OWU$4),Table1[],(MATCH(Calendar!$A6,DB!1:1,0)+2),FALSE),"")</f>
        <v/>
      </c>
      <c r="OWV6" s="27" t="str">
        <f>IFERROR(VLOOKUP(DATE($K$1,$K$2,OWV$4),Table1[],(MATCH(Calendar!$A6,DB!1:1,0)+2),FALSE),"")</f>
        <v/>
      </c>
      <c r="OWW6" s="27" t="str">
        <f>IFERROR(VLOOKUP(DATE($K$1,$K$2,OWW$4),Table1[],(MATCH(Calendar!$A6,DB!1:1,0)+2),FALSE),"")</f>
        <v/>
      </c>
      <c r="OWX6" s="27" t="str">
        <f>IFERROR(VLOOKUP(DATE($K$1,$K$2,OWX$4),Table1[],(MATCH(Calendar!$A6,DB!1:1,0)+2),FALSE),"")</f>
        <v/>
      </c>
      <c r="OWY6" s="27" t="str">
        <f>IFERROR(VLOOKUP(DATE($K$1,$K$2,OWY$4),Table1[],(MATCH(Calendar!$A6,DB!1:1,0)+2),FALSE),"")</f>
        <v/>
      </c>
      <c r="OWZ6" s="27" t="str">
        <f>IFERROR(VLOOKUP(DATE($K$1,$K$2,OWZ$4),Table1[],(MATCH(Calendar!$A6,DB!1:1,0)+2),FALSE),"")</f>
        <v/>
      </c>
      <c r="OXA6" s="27" t="str">
        <f>IFERROR(VLOOKUP(DATE($K$1,$K$2,OXA$4),Table1[],(MATCH(Calendar!$A6,DB!1:1,0)+2),FALSE),"")</f>
        <v/>
      </c>
      <c r="OXB6" s="27" t="str">
        <f>IFERROR(VLOOKUP(DATE($K$1,$K$2,OXB$4),Table1[],(MATCH(Calendar!$A6,DB!1:1,0)+2),FALSE),"")</f>
        <v/>
      </c>
      <c r="OXC6" s="27" t="str">
        <f>IFERROR(VLOOKUP(DATE($K$1,$K$2,OXC$4),Table1[],(MATCH(Calendar!$A6,DB!1:1,0)+2),FALSE),"")</f>
        <v/>
      </c>
      <c r="OXD6" s="27" t="str">
        <f>IFERROR(VLOOKUP(DATE($K$1,$K$2,OXD$4),Table1[],(MATCH(Calendar!$A6,DB!1:1,0)+2),FALSE),"")</f>
        <v/>
      </c>
      <c r="OXE6" s="27" t="str">
        <f>IFERROR(VLOOKUP(DATE($K$1,$K$2,OXE$4),Table1[],(MATCH(Calendar!$A6,DB!1:1,0)+2),FALSE),"")</f>
        <v/>
      </c>
      <c r="OXF6" s="27" t="str">
        <f>IFERROR(VLOOKUP(DATE($K$1,$K$2,OXF$4),Table1[],(MATCH(Calendar!$A6,DB!1:1,0)+2),FALSE),"")</f>
        <v/>
      </c>
      <c r="OXG6" s="27" t="str">
        <f>IFERROR(VLOOKUP(DATE($K$1,$K$2,OXG$4),Table1[],(MATCH(Calendar!$A6,DB!1:1,0)+2),FALSE),"")</f>
        <v/>
      </c>
      <c r="OXH6" s="27" t="str">
        <f>IFERROR(VLOOKUP(DATE($K$1,$K$2,OXH$4),Table1[],(MATCH(Calendar!$A6,DB!1:1,0)+2),FALSE),"")</f>
        <v/>
      </c>
      <c r="OXI6" s="27" t="str">
        <f>IFERROR(VLOOKUP(DATE($K$1,$K$2,OXI$4),Table1[],(MATCH(Calendar!$A6,DB!1:1,0)+2),FALSE),"")</f>
        <v/>
      </c>
      <c r="OXJ6" s="27" t="str">
        <f>IFERROR(VLOOKUP(DATE($K$1,$K$2,OXJ$4),Table1[],(MATCH(Calendar!$A6,DB!1:1,0)+2),FALSE),"")</f>
        <v/>
      </c>
      <c r="OXK6" s="27" t="str">
        <f>IFERROR(VLOOKUP(DATE($K$1,$K$2,OXK$4),Table1[],(MATCH(Calendar!$A6,DB!1:1,0)+2),FALSE),"")</f>
        <v/>
      </c>
      <c r="OXL6" s="27" t="str">
        <f>IFERROR(VLOOKUP(DATE($K$1,$K$2,OXL$4),Table1[],(MATCH(Calendar!$A6,DB!1:1,0)+2),FALSE),"")</f>
        <v/>
      </c>
      <c r="OXM6" s="27" t="str">
        <f>IFERROR(VLOOKUP(DATE($K$1,$K$2,OXM$4),Table1[],(MATCH(Calendar!$A6,DB!1:1,0)+2),FALSE),"")</f>
        <v/>
      </c>
      <c r="OXN6" s="27" t="str">
        <f>IFERROR(VLOOKUP(DATE($K$1,$K$2,OXN$4),Table1[],(MATCH(Calendar!$A6,DB!1:1,0)+2),FALSE),"")</f>
        <v/>
      </c>
      <c r="OXO6" s="27" t="str">
        <f>IFERROR(VLOOKUP(DATE($K$1,$K$2,OXO$4),Table1[],(MATCH(Calendar!$A6,DB!1:1,0)+2),FALSE),"")</f>
        <v/>
      </c>
      <c r="OXP6" s="27" t="str">
        <f>IFERROR(VLOOKUP(DATE($K$1,$K$2,OXP$4),Table1[],(MATCH(Calendar!$A6,DB!1:1,0)+2),FALSE),"")</f>
        <v/>
      </c>
      <c r="OXQ6" s="27" t="str">
        <f>IFERROR(VLOOKUP(DATE($K$1,$K$2,OXQ$4),Table1[],(MATCH(Calendar!$A6,DB!1:1,0)+2),FALSE),"")</f>
        <v/>
      </c>
      <c r="OXR6" s="27" t="str">
        <f>IFERROR(VLOOKUP(DATE($K$1,$K$2,OXR$4),Table1[],(MATCH(Calendar!$A6,DB!1:1,0)+2),FALSE),"")</f>
        <v/>
      </c>
      <c r="OXS6" s="27" t="str">
        <f>IFERROR(VLOOKUP(DATE($K$1,$K$2,OXS$4),Table1[],(MATCH(Calendar!$A6,DB!1:1,0)+2),FALSE),"")</f>
        <v/>
      </c>
      <c r="OXT6" s="27" t="str">
        <f>IFERROR(VLOOKUP(DATE($K$1,$K$2,OXT$4),Table1[],(MATCH(Calendar!$A6,DB!1:1,0)+2),FALSE),"")</f>
        <v/>
      </c>
      <c r="OXU6" s="27" t="str">
        <f>IFERROR(VLOOKUP(DATE($K$1,$K$2,OXU$4),Table1[],(MATCH(Calendar!$A6,DB!1:1,0)+2),FALSE),"")</f>
        <v/>
      </c>
      <c r="OXV6" s="27" t="str">
        <f>IFERROR(VLOOKUP(DATE($K$1,$K$2,OXV$4),Table1[],(MATCH(Calendar!$A6,DB!1:1,0)+2),FALSE),"")</f>
        <v/>
      </c>
      <c r="OXW6" s="27" t="str">
        <f>IFERROR(VLOOKUP(DATE($K$1,$K$2,OXW$4),Table1[],(MATCH(Calendar!$A6,DB!1:1,0)+2),FALSE),"")</f>
        <v/>
      </c>
      <c r="OXX6" s="27" t="str">
        <f>IFERROR(VLOOKUP(DATE($K$1,$K$2,OXX$4),Table1[],(MATCH(Calendar!$A6,DB!1:1,0)+2),FALSE),"")</f>
        <v/>
      </c>
      <c r="OXY6" s="27" t="str">
        <f>IFERROR(VLOOKUP(DATE($K$1,$K$2,OXY$4),Table1[],(MATCH(Calendar!$A6,DB!1:1,0)+2),FALSE),"")</f>
        <v/>
      </c>
      <c r="OXZ6" s="27" t="str">
        <f>IFERROR(VLOOKUP(DATE($K$1,$K$2,OXZ$4),Table1[],(MATCH(Calendar!$A6,DB!1:1,0)+2),FALSE),"")</f>
        <v/>
      </c>
      <c r="OYA6" s="27" t="str">
        <f>IFERROR(VLOOKUP(DATE($K$1,$K$2,OYA$4),Table1[],(MATCH(Calendar!$A6,DB!1:1,0)+2),FALSE),"")</f>
        <v/>
      </c>
      <c r="OYB6" s="27" t="str">
        <f>IFERROR(VLOOKUP(DATE($K$1,$K$2,OYB$4),Table1[],(MATCH(Calendar!$A6,DB!1:1,0)+2),FALSE),"")</f>
        <v/>
      </c>
      <c r="OYC6" s="27" t="str">
        <f>IFERROR(VLOOKUP(DATE($K$1,$K$2,OYC$4),Table1[],(MATCH(Calendar!$A6,DB!1:1,0)+2),FALSE),"")</f>
        <v/>
      </c>
      <c r="OYD6" s="27" t="str">
        <f>IFERROR(VLOOKUP(DATE($K$1,$K$2,OYD$4),Table1[],(MATCH(Calendar!$A6,DB!1:1,0)+2),FALSE),"")</f>
        <v/>
      </c>
      <c r="OYE6" s="27" t="str">
        <f>IFERROR(VLOOKUP(DATE($K$1,$K$2,OYE$4),Table1[],(MATCH(Calendar!$A6,DB!1:1,0)+2),FALSE),"")</f>
        <v/>
      </c>
      <c r="OYF6" s="27" t="str">
        <f>IFERROR(VLOOKUP(DATE($K$1,$K$2,OYF$4),Table1[],(MATCH(Calendar!$A6,DB!1:1,0)+2),FALSE),"")</f>
        <v/>
      </c>
      <c r="OYG6" s="27" t="str">
        <f>IFERROR(VLOOKUP(DATE($K$1,$K$2,OYG$4),Table1[],(MATCH(Calendar!$A6,DB!1:1,0)+2),FALSE),"")</f>
        <v/>
      </c>
      <c r="OYH6" s="27" t="str">
        <f>IFERROR(VLOOKUP(DATE($K$1,$K$2,OYH$4),Table1[],(MATCH(Calendar!$A6,DB!1:1,0)+2),FALSE),"")</f>
        <v/>
      </c>
      <c r="OYI6" s="27" t="str">
        <f>IFERROR(VLOOKUP(DATE($K$1,$K$2,OYI$4),Table1[],(MATCH(Calendar!$A6,DB!1:1,0)+2),FALSE),"")</f>
        <v/>
      </c>
      <c r="OYJ6" s="27" t="str">
        <f>IFERROR(VLOOKUP(DATE($K$1,$K$2,OYJ$4),Table1[],(MATCH(Calendar!$A6,DB!1:1,0)+2),FALSE),"")</f>
        <v/>
      </c>
      <c r="OYK6" s="27" t="str">
        <f>IFERROR(VLOOKUP(DATE($K$1,$K$2,OYK$4),Table1[],(MATCH(Calendar!$A6,DB!1:1,0)+2),FALSE),"")</f>
        <v/>
      </c>
      <c r="OYL6" s="27" t="str">
        <f>IFERROR(VLOOKUP(DATE($K$1,$K$2,OYL$4),Table1[],(MATCH(Calendar!$A6,DB!1:1,0)+2),FALSE),"")</f>
        <v/>
      </c>
      <c r="OYM6" s="27" t="str">
        <f>IFERROR(VLOOKUP(DATE($K$1,$K$2,OYM$4),Table1[],(MATCH(Calendar!$A6,DB!1:1,0)+2),FALSE),"")</f>
        <v/>
      </c>
      <c r="OYN6" s="27" t="str">
        <f>IFERROR(VLOOKUP(DATE($K$1,$K$2,OYN$4),Table1[],(MATCH(Calendar!$A6,DB!1:1,0)+2),FALSE),"")</f>
        <v/>
      </c>
      <c r="OYO6" s="27" t="str">
        <f>IFERROR(VLOOKUP(DATE($K$1,$K$2,OYO$4),Table1[],(MATCH(Calendar!$A6,DB!1:1,0)+2),FALSE),"")</f>
        <v/>
      </c>
      <c r="OYP6" s="27" t="str">
        <f>IFERROR(VLOOKUP(DATE($K$1,$K$2,OYP$4),Table1[],(MATCH(Calendar!$A6,DB!1:1,0)+2),FALSE),"")</f>
        <v/>
      </c>
      <c r="OYQ6" s="27" t="str">
        <f>IFERROR(VLOOKUP(DATE($K$1,$K$2,OYQ$4),Table1[],(MATCH(Calendar!$A6,DB!1:1,0)+2),FALSE),"")</f>
        <v/>
      </c>
      <c r="OYR6" s="27" t="str">
        <f>IFERROR(VLOOKUP(DATE($K$1,$K$2,OYR$4),Table1[],(MATCH(Calendar!$A6,DB!1:1,0)+2),FALSE),"")</f>
        <v/>
      </c>
      <c r="OYS6" s="27" t="str">
        <f>IFERROR(VLOOKUP(DATE($K$1,$K$2,OYS$4),Table1[],(MATCH(Calendar!$A6,DB!1:1,0)+2),FALSE),"")</f>
        <v/>
      </c>
      <c r="OYT6" s="27" t="str">
        <f>IFERROR(VLOOKUP(DATE($K$1,$K$2,OYT$4),Table1[],(MATCH(Calendar!$A6,DB!1:1,0)+2),FALSE),"")</f>
        <v/>
      </c>
      <c r="OYU6" s="27" t="str">
        <f>IFERROR(VLOOKUP(DATE($K$1,$K$2,OYU$4),Table1[],(MATCH(Calendar!$A6,DB!1:1,0)+2),FALSE),"")</f>
        <v/>
      </c>
      <c r="OYV6" s="27" t="str">
        <f>IFERROR(VLOOKUP(DATE($K$1,$K$2,OYV$4),Table1[],(MATCH(Calendar!$A6,DB!1:1,0)+2),FALSE),"")</f>
        <v/>
      </c>
      <c r="OYW6" s="27" t="str">
        <f>IFERROR(VLOOKUP(DATE($K$1,$K$2,OYW$4),Table1[],(MATCH(Calendar!$A6,DB!1:1,0)+2),FALSE),"")</f>
        <v/>
      </c>
      <c r="OYX6" s="27" t="str">
        <f>IFERROR(VLOOKUP(DATE($K$1,$K$2,OYX$4),Table1[],(MATCH(Calendar!$A6,DB!1:1,0)+2),FALSE),"")</f>
        <v/>
      </c>
      <c r="OYY6" s="27" t="str">
        <f>IFERROR(VLOOKUP(DATE($K$1,$K$2,OYY$4),Table1[],(MATCH(Calendar!$A6,DB!1:1,0)+2),FALSE),"")</f>
        <v/>
      </c>
      <c r="OYZ6" s="27" t="str">
        <f>IFERROR(VLOOKUP(DATE($K$1,$K$2,OYZ$4),Table1[],(MATCH(Calendar!$A6,DB!1:1,0)+2),FALSE),"")</f>
        <v/>
      </c>
      <c r="OZA6" s="27" t="str">
        <f>IFERROR(VLOOKUP(DATE($K$1,$K$2,OZA$4),Table1[],(MATCH(Calendar!$A6,DB!1:1,0)+2),FALSE),"")</f>
        <v/>
      </c>
      <c r="OZB6" s="27" t="str">
        <f>IFERROR(VLOOKUP(DATE($K$1,$K$2,OZB$4),Table1[],(MATCH(Calendar!$A6,DB!1:1,0)+2),FALSE),"")</f>
        <v/>
      </c>
      <c r="OZC6" s="27" t="str">
        <f>IFERROR(VLOOKUP(DATE($K$1,$K$2,OZC$4),Table1[],(MATCH(Calendar!$A6,DB!1:1,0)+2),FALSE),"")</f>
        <v/>
      </c>
      <c r="OZD6" s="27" t="str">
        <f>IFERROR(VLOOKUP(DATE($K$1,$K$2,OZD$4),Table1[],(MATCH(Calendar!$A6,DB!1:1,0)+2),FALSE),"")</f>
        <v/>
      </c>
      <c r="OZE6" s="27" t="str">
        <f>IFERROR(VLOOKUP(DATE($K$1,$K$2,OZE$4),Table1[],(MATCH(Calendar!$A6,DB!1:1,0)+2),FALSE),"")</f>
        <v/>
      </c>
      <c r="OZF6" s="27" t="str">
        <f>IFERROR(VLOOKUP(DATE($K$1,$K$2,OZF$4),Table1[],(MATCH(Calendar!$A6,DB!1:1,0)+2),FALSE),"")</f>
        <v/>
      </c>
      <c r="OZG6" s="27" t="str">
        <f>IFERROR(VLOOKUP(DATE($K$1,$K$2,OZG$4),Table1[],(MATCH(Calendar!$A6,DB!1:1,0)+2),FALSE),"")</f>
        <v/>
      </c>
      <c r="OZH6" s="27" t="str">
        <f>IFERROR(VLOOKUP(DATE($K$1,$K$2,OZH$4),Table1[],(MATCH(Calendar!$A6,DB!1:1,0)+2),FALSE),"")</f>
        <v/>
      </c>
      <c r="OZI6" s="27" t="str">
        <f>IFERROR(VLOOKUP(DATE($K$1,$K$2,OZI$4),Table1[],(MATCH(Calendar!$A6,DB!1:1,0)+2),FALSE),"")</f>
        <v/>
      </c>
      <c r="OZJ6" s="27" t="str">
        <f>IFERROR(VLOOKUP(DATE($K$1,$K$2,OZJ$4),Table1[],(MATCH(Calendar!$A6,DB!1:1,0)+2),FALSE),"")</f>
        <v/>
      </c>
      <c r="OZK6" s="27" t="str">
        <f>IFERROR(VLOOKUP(DATE($K$1,$K$2,OZK$4),Table1[],(MATCH(Calendar!$A6,DB!1:1,0)+2),FALSE),"")</f>
        <v/>
      </c>
      <c r="OZL6" s="27" t="str">
        <f>IFERROR(VLOOKUP(DATE($K$1,$K$2,OZL$4),Table1[],(MATCH(Calendar!$A6,DB!1:1,0)+2),FALSE),"")</f>
        <v/>
      </c>
      <c r="OZM6" s="27" t="str">
        <f>IFERROR(VLOOKUP(DATE($K$1,$K$2,OZM$4),Table1[],(MATCH(Calendar!$A6,DB!1:1,0)+2),FALSE),"")</f>
        <v/>
      </c>
      <c r="OZN6" s="27" t="str">
        <f>IFERROR(VLOOKUP(DATE($K$1,$K$2,OZN$4),Table1[],(MATCH(Calendar!$A6,DB!1:1,0)+2),FALSE),"")</f>
        <v/>
      </c>
      <c r="OZO6" s="27" t="str">
        <f>IFERROR(VLOOKUP(DATE($K$1,$K$2,OZO$4),Table1[],(MATCH(Calendar!$A6,DB!1:1,0)+2),FALSE),"")</f>
        <v/>
      </c>
      <c r="OZP6" s="27" t="str">
        <f>IFERROR(VLOOKUP(DATE($K$1,$K$2,OZP$4),Table1[],(MATCH(Calendar!$A6,DB!1:1,0)+2),FALSE),"")</f>
        <v/>
      </c>
      <c r="OZQ6" s="27" t="str">
        <f>IFERROR(VLOOKUP(DATE($K$1,$K$2,OZQ$4),Table1[],(MATCH(Calendar!$A6,DB!1:1,0)+2),FALSE),"")</f>
        <v/>
      </c>
      <c r="OZR6" s="27" t="str">
        <f>IFERROR(VLOOKUP(DATE($K$1,$K$2,OZR$4),Table1[],(MATCH(Calendar!$A6,DB!1:1,0)+2),FALSE),"")</f>
        <v/>
      </c>
      <c r="OZS6" s="27" t="str">
        <f>IFERROR(VLOOKUP(DATE($K$1,$K$2,OZS$4),Table1[],(MATCH(Calendar!$A6,DB!1:1,0)+2),FALSE),"")</f>
        <v/>
      </c>
      <c r="OZT6" s="27" t="str">
        <f>IFERROR(VLOOKUP(DATE($K$1,$K$2,OZT$4),Table1[],(MATCH(Calendar!$A6,DB!1:1,0)+2),FALSE),"")</f>
        <v/>
      </c>
      <c r="OZU6" s="27" t="str">
        <f>IFERROR(VLOOKUP(DATE($K$1,$K$2,OZU$4),Table1[],(MATCH(Calendar!$A6,DB!1:1,0)+2),FALSE),"")</f>
        <v/>
      </c>
      <c r="OZV6" s="27" t="str">
        <f>IFERROR(VLOOKUP(DATE($K$1,$K$2,OZV$4),Table1[],(MATCH(Calendar!$A6,DB!1:1,0)+2),FALSE),"")</f>
        <v/>
      </c>
      <c r="OZW6" s="27" t="str">
        <f>IFERROR(VLOOKUP(DATE($K$1,$K$2,OZW$4),Table1[],(MATCH(Calendar!$A6,DB!1:1,0)+2),FALSE),"")</f>
        <v/>
      </c>
      <c r="OZX6" s="27" t="str">
        <f>IFERROR(VLOOKUP(DATE($K$1,$K$2,OZX$4),Table1[],(MATCH(Calendar!$A6,DB!1:1,0)+2),FALSE),"")</f>
        <v/>
      </c>
      <c r="OZY6" s="27" t="str">
        <f>IFERROR(VLOOKUP(DATE($K$1,$K$2,OZY$4),Table1[],(MATCH(Calendar!$A6,DB!1:1,0)+2),FALSE),"")</f>
        <v/>
      </c>
      <c r="OZZ6" s="27" t="str">
        <f>IFERROR(VLOOKUP(DATE($K$1,$K$2,OZZ$4),Table1[],(MATCH(Calendar!$A6,DB!1:1,0)+2),FALSE),"")</f>
        <v/>
      </c>
      <c r="PAA6" s="27" t="str">
        <f>IFERROR(VLOOKUP(DATE($K$1,$K$2,PAA$4),Table1[],(MATCH(Calendar!$A6,DB!1:1,0)+2),FALSE),"")</f>
        <v/>
      </c>
      <c r="PAB6" s="27" t="str">
        <f>IFERROR(VLOOKUP(DATE($K$1,$K$2,PAB$4),Table1[],(MATCH(Calendar!$A6,DB!1:1,0)+2),FALSE),"")</f>
        <v/>
      </c>
      <c r="PAC6" s="27" t="str">
        <f>IFERROR(VLOOKUP(DATE($K$1,$K$2,PAC$4),Table1[],(MATCH(Calendar!$A6,DB!1:1,0)+2),FALSE),"")</f>
        <v/>
      </c>
      <c r="PAD6" s="27" t="str">
        <f>IFERROR(VLOOKUP(DATE($K$1,$K$2,PAD$4),Table1[],(MATCH(Calendar!$A6,DB!1:1,0)+2),FALSE),"")</f>
        <v/>
      </c>
      <c r="PAE6" s="27" t="str">
        <f>IFERROR(VLOOKUP(DATE($K$1,$K$2,PAE$4),Table1[],(MATCH(Calendar!$A6,DB!1:1,0)+2),FALSE),"")</f>
        <v/>
      </c>
      <c r="PAF6" s="27" t="str">
        <f>IFERROR(VLOOKUP(DATE($K$1,$K$2,PAF$4),Table1[],(MATCH(Calendar!$A6,DB!1:1,0)+2),FALSE),"")</f>
        <v/>
      </c>
      <c r="PAG6" s="27" t="str">
        <f>IFERROR(VLOOKUP(DATE($K$1,$K$2,PAG$4),Table1[],(MATCH(Calendar!$A6,DB!1:1,0)+2),FALSE),"")</f>
        <v/>
      </c>
      <c r="PAH6" s="27" t="str">
        <f>IFERROR(VLOOKUP(DATE($K$1,$K$2,PAH$4),Table1[],(MATCH(Calendar!$A6,DB!1:1,0)+2),FALSE),"")</f>
        <v/>
      </c>
      <c r="PAI6" s="27" t="str">
        <f>IFERROR(VLOOKUP(DATE($K$1,$K$2,PAI$4),Table1[],(MATCH(Calendar!$A6,DB!1:1,0)+2),FALSE),"")</f>
        <v/>
      </c>
      <c r="PAJ6" s="27" t="str">
        <f>IFERROR(VLOOKUP(DATE($K$1,$K$2,PAJ$4),Table1[],(MATCH(Calendar!$A6,DB!1:1,0)+2),FALSE),"")</f>
        <v/>
      </c>
      <c r="PAK6" s="27" t="str">
        <f>IFERROR(VLOOKUP(DATE($K$1,$K$2,PAK$4),Table1[],(MATCH(Calendar!$A6,DB!1:1,0)+2),FALSE),"")</f>
        <v/>
      </c>
      <c r="PAL6" s="27" t="str">
        <f>IFERROR(VLOOKUP(DATE($K$1,$K$2,PAL$4),Table1[],(MATCH(Calendar!$A6,DB!1:1,0)+2),FALSE),"")</f>
        <v/>
      </c>
      <c r="PAM6" s="27" t="str">
        <f>IFERROR(VLOOKUP(DATE($K$1,$K$2,PAM$4),Table1[],(MATCH(Calendar!$A6,DB!1:1,0)+2),FALSE),"")</f>
        <v/>
      </c>
      <c r="PAN6" s="27" t="str">
        <f>IFERROR(VLOOKUP(DATE($K$1,$K$2,PAN$4),Table1[],(MATCH(Calendar!$A6,DB!1:1,0)+2),FALSE),"")</f>
        <v/>
      </c>
      <c r="PAO6" s="27" t="str">
        <f>IFERROR(VLOOKUP(DATE($K$1,$K$2,PAO$4),Table1[],(MATCH(Calendar!$A6,DB!1:1,0)+2),FALSE),"")</f>
        <v/>
      </c>
      <c r="PAP6" s="27" t="str">
        <f>IFERROR(VLOOKUP(DATE($K$1,$K$2,PAP$4),Table1[],(MATCH(Calendar!$A6,DB!1:1,0)+2),FALSE),"")</f>
        <v/>
      </c>
      <c r="PAQ6" s="27" t="str">
        <f>IFERROR(VLOOKUP(DATE($K$1,$K$2,PAQ$4),Table1[],(MATCH(Calendar!$A6,DB!1:1,0)+2),FALSE),"")</f>
        <v/>
      </c>
      <c r="PAR6" s="27" t="str">
        <f>IFERROR(VLOOKUP(DATE($K$1,$K$2,PAR$4),Table1[],(MATCH(Calendar!$A6,DB!1:1,0)+2),FALSE),"")</f>
        <v/>
      </c>
      <c r="PAS6" s="27" t="str">
        <f>IFERROR(VLOOKUP(DATE($K$1,$K$2,PAS$4),Table1[],(MATCH(Calendar!$A6,DB!1:1,0)+2),FALSE),"")</f>
        <v/>
      </c>
      <c r="PAT6" s="27" t="str">
        <f>IFERROR(VLOOKUP(DATE($K$1,$K$2,PAT$4),Table1[],(MATCH(Calendar!$A6,DB!1:1,0)+2),FALSE),"")</f>
        <v/>
      </c>
      <c r="PAU6" s="27" t="str">
        <f>IFERROR(VLOOKUP(DATE($K$1,$K$2,PAU$4),Table1[],(MATCH(Calendar!$A6,DB!1:1,0)+2),FALSE),"")</f>
        <v/>
      </c>
      <c r="PAV6" s="27" t="str">
        <f>IFERROR(VLOOKUP(DATE($K$1,$K$2,PAV$4),Table1[],(MATCH(Calendar!$A6,DB!1:1,0)+2),FALSE),"")</f>
        <v/>
      </c>
      <c r="PAW6" s="27" t="str">
        <f>IFERROR(VLOOKUP(DATE($K$1,$K$2,PAW$4),Table1[],(MATCH(Calendar!$A6,DB!1:1,0)+2),FALSE),"")</f>
        <v/>
      </c>
      <c r="PAX6" s="27" t="str">
        <f>IFERROR(VLOOKUP(DATE($K$1,$K$2,PAX$4),Table1[],(MATCH(Calendar!$A6,DB!1:1,0)+2),FALSE),"")</f>
        <v/>
      </c>
      <c r="PAY6" s="27" t="str">
        <f>IFERROR(VLOOKUP(DATE($K$1,$K$2,PAY$4),Table1[],(MATCH(Calendar!$A6,DB!1:1,0)+2),FALSE),"")</f>
        <v/>
      </c>
      <c r="PAZ6" s="27" t="str">
        <f>IFERROR(VLOOKUP(DATE($K$1,$K$2,PAZ$4),Table1[],(MATCH(Calendar!$A6,DB!1:1,0)+2),FALSE),"")</f>
        <v/>
      </c>
      <c r="PBA6" s="27" t="str">
        <f>IFERROR(VLOOKUP(DATE($K$1,$K$2,PBA$4),Table1[],(MATCH(Calendar!$A6,DB!1:1,0)+2),FALSE),"")</f>
        <v/>
      </c>
      <c r="PBB6" s="27" t="str">
        <f>IFERROR(VLOOKUP(DATE($K$1,$K$2,PBB$4),Table1[],(MATCH(Calendar!$A6,DB!1:1,0)+2),FALSE),"")</f>
        <v/>
      </c>
      <c r="PBC6" s="27" t="str">
        <f>IFERROR(VLOOKUP(DATE($K$1,$K$2,PBC$4),Table1[],(MATCH(Calendar!$A6,DB!1:1,0)+2),FALSE),"")</f>
        <v/>
      </c>
      <c r="PBD6" s="27" t="str">
        <f>IFERROR(VLOOKUP(DATE($K$1,$K$2,PBD$4),Table1[],(MATCH(Calendar!$A6,DB!1:1,0)+2),FALSE),"")</f>
        <v/>
      </c>
      <c r="PBE6" s="27" t="str">
        <f>IFERROR(VLOOKUP(DATE($K$1,$K$2,PBE$4),Table1[],(MATCH(Calendar!$A6,DB!1:1,0)+2),FALSE),"")</f>
        <v/>
      </c>
      <c r="PBF6" s="27" t="str">
        <f>IFERROR(VLOOKUP(DATE($K$1,$K$2,PBF$4),Table1[],(MATCH(Calendar!$A6,DB!1:1,0)+2),FALSE),"")</f>
        <v/>
      </c>
      <c r="PBG6" s="27" t="str">
        <f>IFERROR(VLOOKUP(DATE($K$1,$K$2,PBG$4),Table1[],(MATCH(Calendar!$A6,DB!1:1,0)+2),FALSE),"")</f>
        <v/>
      </c>
      <c r="PBH6" s="27" t="str">
        <f>IFERROR(VLOOKUP(DATE($K$1,$K$2,PBH$4),Table1[],(MATCH(Calendar!$A6,DB!1:1,0)+2),FALSE),"")</f>
        <v/>
      </c>
      <c r="PBI6" s="27" t="str">
        <f>IFERROR(VLOOKUP(DATE($K$1,$K$2,PBI$4),Table1[],(MATCH(Calendar!$A6,DB!1:1,0)+2),FALSE),"")</f>
        <v/>
      </c>
      <c r="PBJ6" s="27" t="str">
        <f>IFERROR(VLOOKUP(DATE($K$1,$K$2,PBJ$4),Table1[],(MATCH(Calendar!$A6,DB!1:1,0)+2),FALSE),"")</f>
        <v/>
      </c>
      <c r="PBK6" s="27" t="str">
        <f>IFERROR(VLOOKUP(DATE($K$1,$K$2,PBK$4),Table1[],(MATCH(Calendar!$A6,DB!1:1,0)+2),FALSE),"")</f>
        <v/>
      </c>
      <c r="PBL6" s="27" t="str">
        <f>IFERROR(VLOOKUP(DATE($K$1,$K$2,PBL$4),Table1[],(MATCH(Calendar!$A6,DB!1:1,0)+2),FALSE),"")</f>
        <v/>
      </c>
      <c r="PBM6" s="27" t="str">
        <f>IFERROR(VLOOKUP(DATE($K$1,$K$2,PBM$4),Table1[],(MATCH(Calendar!$A6,DB!1:1,0)+2),FALSE),"")</f>
        <v/>
      </c>
      <c r="PBN6" s="27" t="str">
        <f>IFERROR(VLOOKUP(DATE($K$1,$K$2,PBN$4),Table1[],(MATCH(Calendar!$A6,DB!1:1,0)+2),FALSE),"")</f>
        <v/>
      </c>
      <c r="PBO6" s="27" t="str">
        <f>IFERROR(VLOOKUP(DATE($K$1,$K$2,PBO$4),Table1[],(MATCH(Calendar!$A6,DB!1:1,0)+2),FALSE),"")</f>
        <v/>
      </c>
      <c r="PBP6" s="27" t="str">
        <f>IFERROR(VLOOKUP(DATE($K$1,$K$2,PBP$4),Table1[],(MATCH(Calendar!$A6,DB!1:1,0)+2),FALSE),"")</f>
        <v/>
      </c>
      <c r="PBQ6" s="27" t="str">
        <f>IFERROR(VLOOKUP(DATE($K$1,$K$2,PBQ$4),Table1[],(MATCH(Calendar!$A6,DB!1:1,0)+2),FALSE),"")</f>
        <v/>
      </c>
      <c r="PBR6" s="27" t="str">
        <f>IFERROR(VLOOKUP(DATE($K$1,$K$2,PBR$4),Table1[],(MATCH(Calendar!$A6,DB!1:1,0)+2),FALSE),"")</f>
        <v/>
      </c>
      <c r="PBS6" s="27" t="str">
        <f>IFERROR(VLOOKUP(DATE($K$1,$K$2,PBS$4),Table1[],(MATCH(Calendar!$A6,DB!1:1,0)+2),FALSE),"")</f>
        <v/>
      </c>
      <c r="PBT6" s="27" t="str">
        <f>IFERROR(VLOOKUP(DATE($K$1,$K$2,PBT$4),Table1[],(MATCH(Calendar!$A6,DB!1:1,0)+2),FALSE),"")</f>
        <v/>
      </c>
      <c r="PBU6" s="27" t="str">
        <f>IFERROR(VLOOKUP(DATE($K$1,$K$2,PBU$4),Table1[],(MATCH(Calendar!$A6,DB!1:1,0)+2),FALSE),"")</f>
        <v/>
      </c>
      <c r="PBV6" s="27" t="str">
        <f>IFERROR(VLOOKUP(DATE($K$1,$K$2,PBV$4),Table1[],(MATCH(Calendar!$A6,DB!1:1,0)+2),FALSE),"")</f>
        <v/>
      </c>
      <c r="PBW6" s="27" t="str">
        <f>IFERROR(VLOOKUP(DATE($K$1,$K$2,PBW$4),Table1[],(MATCH(Calendar!$A6,DB!1:1,0)+2),FALSE),"")</f>
        <v/>
      </c>
      <c r="PBX6" s="27" t="str">
        <f>IFERROR(VLOOKUP(DATE($K$1,$K$2,PBX$4),Table1[],(MATCH(Calendar!$A6,DB!1:1,0)+2),FALSE),"")</f>
        <v/>
      </c>
      <c r="PBY6" s="27" t="str">
        <f>IFERROR(VLOOKUP(DATE($K$1,$K$2,PBY$4),Table1[],(MATCH(Calendar!$A6,DB!1:1,0)+2),FALSE),"")</f>
        <v/>
      </c>
      <c r="PBZ6" s="27" t="str">
        <f>IFERROR(VLOOKUP(DATE($K$1,$K$2,PBZ$4),Table1[],(MATCH(Calendar!$A6,DB!1:1,0)+2),FALSE),"")</f>
        <v/>
      </c>
      <c r="PCA6" s="27" t="str">
        <f>IFERROR(VLOOKUP(DATE($K$1,$K$2,PCA$4),Table1[],(MATCH(Calendar!$A6,DB!1:1,0)+2),FALSE),"")</f>
        <v/>
      </c>
      <c r="PCB6" s="27" t="str">
        <f>IFERROR(VLOOKUP(DATE($K$1,$K$2,PCB$4),Table1[],(MATCH(Calendar!$A6,DB!1:1,0)+2),FALSE),"")</f>
        <v/>
      </c>
      <c r="PCC6" s="27" t="str">
        <f>IFERROR(VLOOKUP(DATE($K$1,$K$2,PCC$4),Table1[],(MATCH(Calendar!$A6,DB!1:1,0)+2),FALSE),"")</f>
        <v/>
      </c>
      <c r="PCD6" s="27" t="str">
        <f>IFERROR(VLOOKUP(DATE($K$1,$K$2,PCD$4),Table1[],(MATCH(Calendar!$A6,DB!1:1,0)+2),FALSE),"")</f>
        <v/>
      </c>
      <c r="PCE6" s="27" t="str">
        <f>IFERROR(VLOOKUP(DATE($K$1,$K$2,PCE$4),Table1[],(MATCH(Calendar!$A6,DB!1:1,0)+2),FALSE),"")</f>
        <v/>
      </c>
      <c r="PCF6" s="27" t="str">
        <f>IFERROR(VLOOKUP(DATE($K$1,$K$2,PCF$4),Table1[],(MATCH(Calendar!$A6,DB!1:1,0)+2),FALSE),"")</f>
        <v/>
      </c>
      <c r="PCG6" s="27" t="str">
        <f>IFERROR(VLOOKUP(DATE($K$1,$K$2,PCG$4),Table1[],(MATCH(Calendar!$A6,DB!1:1,0)+2),FALSE),"")</f>
        <v/>
      </c>
      <c r="PCH6" s="27" t="str">
        <f>IFERROR(VLOOKUP(DATE($K$1,$K$2,PCH$4),Table1[],(MATCH(Calendar!$A6,DB!1:1,0)+2),FALSE),"")</f>
        <v/>
      </c>
      <c r="PCI6" s="27" t="str">
        <f>IFERROR(VLOOKUP(DATE($K$1,$K$2,PCI$4),Table1[],(MATCH(Calendar!$A6,DB!1:1,0)+2),FALSE),"")</f>
        <v/>
      </c>
      <c r="PCJ6" s="27" t="str">
        <f>IFERROR(VLOOKUP(DATE($K$1,$K$2,PCJ$4),Table1[],(MATCH(Calendar!$A6,DB!1:1,0)+2),FALSE),"")</f>
        <v/>
      </c>
      <c r="PCK6" s="27" t="str">
        <f>IFERROR(VLOOKUP(DATE($K$1,$K$2,PCK$4),Table1[],(MATCH(Calendar!$A6,DB!1:1,0)+2),FALSE),"")</f>
        <v/>
      </c>
      <c r="PCL6" s="27" t="str">
        <f>IFERROR(VLOOKUP(DATE($K$1,$K$2,PCL$4),Table1[],(MATCH(Calendar!$A6,DB!1:1,0)+2),FALSE),"")</f>
        <v/>
      </c>
      <c r="PCM6" s="27" t="str">
        <f>IFERROR(VLOOKUP(DATE($K$1,$K$2,PCM$4),Table1[],(MATCH(Calendar!$A6,DB!1:1,0)+2),FALSE),"")</f>
        <v/>
      </c>
      <c r="PCN6" s="27" t="str">
        <f>IFERROR(VLOOKUP(DATE($K$1,$K$2,PCN$4),Table1[],(MATCH(Calendar!$A6,DB!1:1,0)+2),FALSE),"")</f>
        <v/>
      </c>
      <c r="PCO6" s="27" t="str">
        <f>IFERROR(VLOOKUP(DATE($K$1,$K$2,PCO$4),Table1[],(MATCH(Calendar!$A6,DB!1:1,0)+2),FALSE),"")</f>
        <v/>
      </c>
      <c r="PCP6" s="27" t="str">
        <f>IFERROR(VLOOKUP(DATE($K$1,$K$2,PCP$4),Table1[],(MATCH(Calendar!$A6,DB!1:1,0)+2),FALSE),"")</f>
        <v/>
      </c>
      <c r="PCQ6" s="27" t="str">
        <f>IFERROR(VLOOKUP(DATE($K$1,$K$2,PCQ$4),Table1[],(MATCH(Calendar!$A6,DB!1:1,0)+2),FALSE),"")</f>
        <v/>
      </c>
      <c r="PCR6" s="27" t="str">
        <f>IFERROR(VLOOKUP(DATE($K$1,$K$2,PCR$4),Table1[],(MATCH(Calendar!$A6,DB!1:1,0)+2),FALSE),"")</f>
        <v/>
      </c>
      <c r="PCS6" s="27" t="str">
        <f>IFERROR(VLOOKUP(DATE($K$1,$K$2,PCS$4),Table1[],(MATCH(Calendar!$A6,DB!1:1,0)+2),FALSE),"")</f>
        <v/>
      </c>
      <c r="PCT6" s="27" t="str">
        <f>IFERROR(VLOOKUP(DATE($K$1,$K$2,PCT$4),Table1[],(MATCH(Calendar!$A6,DB!1:1,0)+2),FALSE),"")</f>
        <v/>
      </c>
      <c r="PCU6" s="27" t="str">
        <f>IFERROR(VLOOKUP(DATE($K$1,$K$2,PCU$4),Table1[],(MATCH(Calendar!$A6,DB!1:1,0)+2),FALSE),"")</f>
        <v/>
      </c>
      <c r="PCV6" s="27" t="str">
        <f>IFERROR(VLOOKUP(DATE($K$1,$K$2,PCV$4),Table1[],(MATCH(Calendar!$A6,DB!1:1,0)+2),FALSE),"")</f>
        <v/>
      </c>
      <c r="PCW6" s="27" t="str">
        <f>IFERROR(VLOOKUP(DATE($K$1,$K$2,PCW$4),Table1[],(MATCH(Calendar!$A6,DB!1:1,0)+2),FALSE),"")</f>
        <v/>
      </c>
      <c r="PCX6" s="27" t="str">
        <f>IFERROR(VLOOKUP(DATE($K$1,$K$2,PCX$4),Table1[],(MATCH(Calendar!$A6,DB!1:1,0)+2),FALSE),"")</f>
        <v/>
      </c>
      <c r="PCY6" s="27" t="str">
        <f>IFERROR(VLOOKUP(DATE($K$1,$K$2,PCY$4),Table1[],(MATCH(Calendar!$A6,DB!1:1,0)+2),FALSE),"")</f>
        <v/>
      </c>
      <c r="PCZ6" s="27" t="str">
        <f>IFERROR(VLOOKUP(DATE($K$1,$K$2,PCZ$4),Table1[],(MATCH(Calendar!$A6,DB!1:1,0)+2),FALSE),"")</f>
        <v/>
      </c>
      <c r="PDA6" s="27" t="str">
        <f>IFERROR(VLOOKUP(DATE($K$1,$K$2,PDA$4),Table1[],(MATCH(Calendar!$A6,DB!1:1,0)+2),FALSE),"")</f>
        <v/>
      </c>
      <c r="PDB6" s="27" t="str">
        <f>IFERROR(VLOOKUP(DATE($K$1,$K$2,PDB$4),Table1[],(MATCH(Calendar!$A6,DB!1:1,0)+2),FALSE),"")</f>
        <v/>
      </c>
      <c r="PDC6" s="27" t="str">
        <f>IFERROR(VLOOKUP(DATE($K$1,$K$2,PDC$4),Table1[],(MATCH(Calendar!$A6,DB!1:1,0)+2),FALSE),"")</f>
        <v/>
      </c>
      <c r="PDD6" s="27" t="str">
        <f>IFERROR(VLOOKUP(DATE($K$1,$K$2,PDD$4),Table1[],(MATCH(Calendar!$A6,DB!1:1,0)+2),FALSE),"")</f>
        <v/>
      </c>
      <c r="PDE6" s="27" t="str">
        <f>IFERROR(VLOOKUP(DATE($K$1,$K$2,PDE$4),Table1[],(MATCH(Calendar!$A6,DB!1:1,0)+2),FALSE),"")</f>
        <v/>
      </c>
      <c r="PDF6" s="27" t="str">
        <f>IFERROR(VLOOKUP(DATE($K$1,$K$2,PDF$4),Table1[],(MATCH(Calendar!$A6,DB!1:1,0)+2),FALSE),"")</f>
        <v/>
      </c>
      <c r="PDG6" s="27" t="str">
        <f>IFERROR(VLOOKUP(DATE($K$1,$K$2,PDG$4),Table1[],(MATCH(Calendar!$A6,DB!1:1,0)+2),FALSE),"")</f>
        <v/>
      </c>
      <c r="PDH6" s="27" t="str">
        <f>IFERROR(VLOOKUP(DATE($K$1,$K$2,PDH$4),Table1[],(MATCH(Calendar!$A6,DB!1:1,0)+2),FALSE),"")</f>
        <v/>
      </c>
      <c r="PDI6" s="27" t="str">
        <f>IFERROR(VLOOKUP(DATE($K$1,$K$2,PDI$4),Table1[],(MATCH(Calendar!$A6,DB!1:1,0)+2),FALSE),"")</f>
        <v/>
      </c>
      <c r="PDJ6" s="27" t="str">
        <f>IFERROR(VLOOKUP(DATE($K$1,$K$2,PDJ$4),Table1[],(MATCH(Calendar!$A6,DB!1:1,0)+2),FALSE),"")</f>
        <v/>
      </c>
      <c r="PDK6" s="27" t="str">
        <f>IFERROR(VLOOKUP(DATE($K$1,$K$2,PDK$4),Table1[],(MATCH(Calendar!$A6,DB!1:1,0)+2),FALSE),"")</f>
        <v/>
      </c>
      <c r="PDL6" s="27" t="str">
        <f>IFERROR(VLOOKUP(DATE($K$1,$K$2,PDL$4),Table1[],(MATCH(Calendar!$A6,DB!1:1,0)+2),FALSE),"")</f>
        <v/>
      </c>
      <c r="PDM6" s="27" t="str">
        <f>IFERROR(VLOOKUP(DATE($K$1,$K$2,PDM$4),Table1[],(MATCH(Calendar!$A6,DB!1:1,0)+2),FALSE),"")</f>
        <v/>
      </c>
      <c r="PDN6" s="27" t="str">
        <f>IFERROR(VLOOKUP(DATE($K$1,$K$2,PDN$4),Table1[],(MATCH(Calendar!$A6,DB!1:1,0)+2),FALSE),"")</f>
        <v/>
      </c>
      <c r="PDO6" s="27" t="str">
        <f>IFERROR(VLOOKUP(DATE($K$1,$K$2,PDO$4),Table1[],(MATCH(Calendar!$A6,DB!1:1,0)+2),FALSE),"")</f>
        <v/>
      </c>
      <c r="PDP6" s="27" t="str">
        <f>IFERROR(VLOOKUP(DATE($K$1,$K$2,PDP$4),Table1[],(MATCH(Calendar!$A6,DB!1:1,0)+2),FALSE),"")</f>
        <v/>
      </c>
      <c r="PDQ6" s="27" t="str">
        <f>IFERROR(VLOOKUP(DATE($K$1,$K$2,PDQ$4),Table1[],(MATCH(Calendar!$A6,DB!1:1,0)+2),FALSE),"")</f>
        <v/>
      </c>
      <c r="PDR6" s="27" t="str">
        <f>IFERROR(VLOOKUP(DATE($K$1,$K$2,PDR$4),Table1[],(MATCH(Calendar!$A6,DB!1:1,0)+2),FALSE),"")</f>
        <v/>
      </c>
      <c r="PDS6" s="27" t="str">
        <f>IFERROR(VLOOKUP(DATE($K$1,$K$2,PDS$4),Table1[],(MATCH(Calendar!$A6,DB!1:1,0)+2),FALSE),"")</f>
        <v/>
      </c>
      <c r="PDT6" s="27" t="str">
        <f>IFERROR(VLOOKUP(DATE($K$1,$K$2,PDT$4),Table1[],(MATCH(Calendar!$A6,DB!1:1,0)+2),FALSE),"")</f>
        <v/>
      </c>
      <c r="PDU6" s="27" t="str">
        <f>IFERROR(VLOOKUP(DATE($K$1,$K$2,PDU$4),Table1[],(MATCH(Calendar!$A6,DB!1:1,0)+2),FALSE),"")</f>
        <v/>
      </c>
      <c r="PDV6" s="27" t="str">
        <f>IFERROR(VLOOKUP(DATE($K$1,$K$2,PDV$4),Table1[],(MATCH(Calendar!$A6,DB!1:1,0)+2),FALSE),"")</f>
        <v/>
      </c>
      <c r="PDW6" s="27" t="str">
        <f>IFERROR(VLOOKUP(DATE($K$1,$K$2,PDW$4),Table1[],(MATCH(Calendar!$A6,DB!1:1,0)+2),FALSE),"")</f>
        <v/>
      </c>
      <c r="PDX6" s="27" t="str">
        <f>IFERROR(VLOOKUP(DATE($K$1,$K$2,PDX$4),Table1[],(MATCH(Calendar!$A6,DB!1:1,0)+2),FALSE),"")</f>
        <v/>
      </c>
      <c r="PDY6" s="27" t="str">
        <f>IFERROR(VLOOKUP(DATE($K$1,$K$2,PDY$4),Table1[],(MATCH(Calendar!$A6,DB!1:1,0)+2),FALSE),"")</f>
        <v/>
      </c>
      <c r="PDZ6" s="27" t="str">
        <f>IFERROR(VLOOKUP(DATE($K$1,$K$2,PDZ$4),Table1[],(MATCH(Calendar!$A6,DB!1:1,0)+2),FALSE),"")</f>
        <v/>
      </c>
      <c r="PEA6" s="27" t="str">
        <f>IFERROR(VLOOKUP(DATE($K$1,$K$2,PEA$4),Table1[],(MATCH(Calendar!$A6,DB!1:1,0)+2),FALSE),"")</f>
        <v/>
      </c>
      <c r="PEB6" s="27" t="str">
        <f>IFERROR(VLOOKUP(DATE($K$1,$K$2,PEB$4),Table1[],(MATCH(Calendar!$A6,DB!1:1,0)+2),FALSE),"")</f>
        <v/>
      </c>
      <c r="PEC6" s="27" t="str">
        <f>IFERROR(VLOOKUP(DATE($K$1,$K$2,PEC$4),Table1[],(MATCH(Calendar!$A6,DB!1:1,0)+2),FALSE),"")</f>
        <v/>
      </c>
      <c r="PED6" s="27" t="str">
        <f>IFERROR(VLOOKUP(DATE($K$1,$K$2,PED$4),Table1[],(MATCH(Calendar!$A6,DB!1:1,0)+2),FALSE),"")</f>
        <v/>
      </c>
      <c r="PEE6" s="27" t="str">
        <f>IFERROR(VLOOKUP(DATE($K$1,$K$2,PEE$4),Table1[],(MATCH(Calendar!$A6,DB!1:1,0)+2),FALSE),"")</f>
        <v/>
      </c>
      <c r="PEF6" s="27" t="str">
        <f>IFERROR(VLOOKUP(DATE($K$1,$K$2,PEF$4),Table1[],(MATCH(Calendar!$A6,DB!1:1,0)+2),FALSE),"")</f>
        <v/>
      </c>
      <c r="PEG6" s="27" t="str">
        <f>IFERROR(VLOOKUP(DATE($K$1,$K$2,PEG$4),Table1[],(MATCH(Calendar!$A6,DB!1:1,0)+2),FALSE),"")</f>
        <v/>
      </c>
      <c r="PEH6" s="27" t="str">
        <f>IFERROR(VLOOKUP(DATE($K$1,$K$2,PEH$4),Table1[],(MATCH(Calendar!$A6,DB!1:1,0)+2),FALSE),"")</f>
        <v/>
      </c>
      <c r="PEI6" s="27" t="str">
        <f>IFERROR(VLOOKUP(DATE($K$1,$K$2,PEI$4),Table1[],(MATCH(Calendar!$A6,DB!1:1,0)+2),FALSE),"")</f>
        <v/>
      </c>
      <c r="PEJ6" s="27" t="str">
        <f>IFERROR(VLOOKUP(DATE($K$1,$K$2,PEJ$4),Table1[],(MATCH(Calendar!$A6,DB!1:1,0)+2),FALSE),"")</f>
        <v/>
      </c>
      <c r="PEK6" s="27" t="str">
        <f>IFERROR(VLOOKUP(DATE($K$1,$K$2,PEK$4),Table1[],(MATCH(Calendar!$A6,DB!1:1,0)+2),FALSE),"")</f>
        <v/>
      </c>
      <c r="PEL6" s="27" t="str">
        <f>IFERROR(VLOOKUP(DATE($K$1,$K$2,PEL$4),Table1[],(MATCH(Calendar!$A6,DB!1:1,0)+2),FALSE),"")</f>
        <v/>
      </c>
      <c r="PEM6" s="27" t="str">
        <f>IFERROR(VLOOKUP(DATE($K$1,$K$2,PEM$4),Table1[],(MATCH(Calendar!$A6,DB!1:1,0)+2),FALSE),"")</f>
        <v/>
      </c>
      <c r="PEN6" s="27" t="str">
        <f>IFERROR(VLOOKUP(DATE($K$1,$K$2,PEN$4),Table1[],(MATCH(Calendar!$A6,DB!1:1,0)+2),FALSE),"")</f>
        <v/>
      </c>
      <c r="PEO6" s="27" t="str">
        <f>IFERROR(VLOOKUP(DATE($K$1,$K$2,PEO$4),Table1[],(MATCH(Calendar!$A6,DB!1:1,0)+2),FALSE),"")</f>
        <v/>
      </c>
      <c r="PEP6" s="27" t="str">
        <f>IFERROR(VLOOKUP(DATE($K$1,$K$2,PEP$4),Table1[],(MATCH(Calendar!$A6,DB!1:1,0)+2),FALSE),"")</f>
        <v/>
      </c>
      <c r="PEQ6" s="27" t="str">
        <f>IFERROR(VLOOKUP(DATE($K$1,$K$2,PEQ$4),Table1[],(MATCH(Calendar!$A6,DB!1:1,0)+2),FALSE),"")</f>
        <v/>
      </c>
      <c r="PER6" s="27" t="str">
        <f>IFERROR(VLOOKUP(DATE($K$1,$K$2,PER$4),Table1[],(MATCH(Calendar!$A6,DB!1:1,0)+2),FALSE),"")</f>
        <v/>
      </c>
      <c r="PES6" s="27" t="str">
        <f>IFERROR(VLOOKUP(DATE($K$1,$K$2,PES$4),Table1[],(MATCH(Calendar!$A6,DB!1:1,0)+2),FALSE),"")</f>
        <v/>
      </c>
      <c r="PET6" s="27" t="str">
        <f>IFERROR(VLOOKUP(DATE($K$1,$K$2,PET$4),Table1[],(MATCH(Calendar!$A6,DB!1:1,0)+2),FALSE),"")</f>
        <v/>
      </c>
      <c r="PEU6" s="27" t="str">
        <f>IFERROR(VLOOKUP(DATE($K$1,$K$2,PEU$4),Table1[],(MATCH(Calendar!$A6,DB!1:1,0)+2),FALSE),"")</f>
        <v/>
      </c>
      <c r="PEV6" s="27" t="str">
        <f>IFERROR(VLOOKUP(DATE($K$1,$K$2,PEV$4),Table1[],(MATCH(Calendar!$A6,DB!1:1,0)+2),FALSE),"")</f>
        <v/>
      </c>
      <c r="PEW6" s="27" t="str">
        <f>IFERROR(VLOOKUP(DATE($K$1,$K$2,PEW$4),Table1[],(MATCH(Calendar!$A6,DB!1:1,0)+2),FALSE),"")</f>
        <v/>
      </c>
      <c r="PEX6" s="27" t="str">
        <f>IFERROR(VLOOKUP(DATE($K$1,$K$2,PEX$4),Table1[],(MATCH(Calendar!$A6,DB!1:1,0)+2),FALSE),"")</f>
        <v/>
      </c>
      <c r="PEY6" s="27" t="str">
        <f>IFERROR(VLOOKUP(DATE($K$1,$K$2,PEY$4),Table1[],(MATCH(Calendar!$A6,DB!1:1,0)+2),FALSE),"")</f>
        <v/>
      </c>
      <c r="PEZ6" s="27" t="str">
        <f>IFERROR(VLOOKUP(DATE($K$1,$K$2,PEZ$4),Table1[],(MATCH(Calendar!$A6,DB!1:1,0)+2),FALSE),"")</f>
        <v/>
      </c>
      <c r="PFA6" s="27" t="str">
        <f>IFERROR(VLOOKUP(DATE($K$1,$K$2,PFA$4),Table1[],(MATCH(Calendar!$A6,DB!1:1,0)+2),FALSE),"")</f>
        <v/>
      </c>
      <c r="PFB6" s="27" t="str">
        <f>IFERROR(VLOOKUP(DATE($K$1,$K$2,PFB$4),Table1[],(MATCH(Calendar!$A6,DB!1:1,0)+2),FALSE),"")</f>
        <v/>
      </c>
      <c r="PFC6" s="27" t="str">
        <f>IFERROR(VLOOKUP(DATE($K$1,$K$2,PFC$4),Table1[],(MATCH(Calendar!$A6,DB!1:1,0)+2),FALSE),"")</f>
        <v/>
      </c>
      <c r="PFD6" s="27" t="str">
        <f>IFERROR(VLOOKUP(DATE($K$1,$K$2,PFD$4),Table1[],(MATCH(Calendar!$A6,DB!1:1,0)+2),FALSE),"")</f>
        <v/>
      </c>
      <c r="PFE6" s="27" t="str">
        <f>IFERROR(VLOOKUP(DATE($K$1,$K$2,PFE$4),Table1[],(MATCH(Calendar!$A6,DB!1:1,0)+2),FALSE),"")</f>
        <v/>
      </c>
      <c r="PFF6" s="27" t="str">
        <f>IFERROR(VLOOKUP(DATE($K$1,$K$2,PFF$4),Table1[],(MATCH(Calendar!$A6,DB!1:1,0)+2),FALSE),"")</f>
        <v/>
      </c>
      <c r="PFG6" s="27" t="str">
        <f>IFERROR(VLOOKUP(DATE($K$1,$K$2,PFG$4),Table1[],(MATCH(Calendar!$A6,DB!1:1,0)+2),FALSE),"")</f>
        <v/>
      </c>
      <c r="PFH6" s="27" t="str">
        <f>IFERROR(VLOOKUP(DATE($K$1,$K$2,PFH$4),Table1[],(MATCH(Calendar!$A6,DB!1:1,0)+2),FALSE),"")</f>
        <v/>
      </c>
      <c r="PFI6" s="27" t="str">
        <f>IFERROR(VLOOKUP(DATE($K$1,$K$2,PFI$4),Table1[],(MATCH(Calendar!$A6,DB!1:1,0)+2),FALSE),"")</f>
        <v/>
      </c>
      <c r="PFJ6" s="27" t="str">
        <f>IFERROR(VLOOKUP(DATE($K$1,$K$2,PFJ$4),Table1[],(MATCH(Calendar!$A6,DB!1:1,0)+2),FALSE),"")</f>
        <v/>
      </c>
      <c r="PFK6" s="27" t="str">
        <f>IFERROR(VLOOKUP(DATE($K$1,$K$2,PFK$4),Table1[],(MATCH(Calendar!$A6,DB!1:1,0)+2),FALSE),"")</f>
        <v/>
      </c>
      <c r="PFL6" s="27" t="str">
        <f>IFERROR(VLOOKUP(DATE($K$1,$K$2,PFL$4),Table1[],(MATCH(Calendar!$A6,DB!1:1,0)+2),FALSE),"")</f>
        <v/>
      </c>
      <c r="PFM6" s="27" t="str">
        <f>IFERROR(VLOOKUP(DATE($K$1,$K$2,PFM$4),Table1[],(MATCH(Calendar!$A6,DB!1:1,0)+2),FALSE),"")</f>
        <v/>
      </c>
      <c r="PFN6" s="27" t="str">
        <f>IFERROR(VLOOKUP(DATE($K$1,$K$2,PFN$4),Table1[],(MATCH(Calendar!$A6,DB!1:1,0)+2),FALSE),"")</f>
        <v/>
      </c>
      <c r="PFO6" s="27" t="str">
        <f>IFERROR(VLOOKUP(DATE($K$1,$K$2,PFO$4),Table1[],(MATCH(Calendar!$A6,DB!1:1,0)+2),FALSE),"")</f>
        <v/>
      </c>
      <c r="PFP6" s="27" t="str">
        <f>IFERROR(VLOOKUP(DATE($K$1,$K$2,PFP$4),Table1[],(MATCH(Calendar!$A6,DB!1:1,0)+2),FALSE),"")</f>
        <v/>
      </c>
      <c r="PFQ6" s="27" t="str">
        <f>IFERROR(VLOOKUP(DATE($K$1,$K$2,PFQ$4),Table1[],(MATCH(Calendar!$A6,DB!1:1,0)+2),FALSE),"")</f>
        <v/>
      </c>
      <c r="PFR6" s="27" t="str">
        <f>IFERROR(VLOOKUP(DATE($K$1,$K$2,PFR$4),Table1[],(MATCH(Calendar!$A6,DB!1:1,0)+2),FALSE),"")</f>
        <v/>
      </c>
      <c r="PFS6" s="27" t="str">
        <f>IFERROR(VLOOKUP(DATE($K$1,$K$2,PFS$4),Table1[],(MATCH(Calendar!$A6,DB!1:1,0)+2),FALSE),"")</f>
        <v/>
      </c>
      <c r="PFT6" s="27" t="str">
        <f>IFERROR(VLOOKUP(DATE($K$1,$K$2,PFT$4),Table1[],(MATCH(Calendar!$A6,DB!1:1,0)+2),FALSE),"")</f>
        <v/>
      </c>
      <c r="PFU6" s="27" t="str">
        <f>IFERROR(VLOOKUP(DATE($K$1,$K$2,PFU$4),Table1[],(MATCH(Calendar!$A6,DB!1:1,0)+2),FALSE),"")</f>
        <v/>
      </c>
      <c r="PFV6" s="27" t="str">
        <f>IFERROR(VLOOKUP(DATE($K$1,$K$2,PFV$4),Table1[],(MATCH(Calendar!$A6,DB!1:1,0)+2),FALSE),"")</f>
        <v/>
      </c>
      <c r="PFW6" s="27" t="str">
        <f>IFERROR(VLOOKUP(DATE($K$1,$K$2,PFW$4),Table1[],(MATCH(Calendar!$A6,DB!1:1,0)+2),FALSE),"")</f>
        <v/>
      </c>
      <c r="PFX6" s="27" t="str">
        <f>IFERROR(VLOOKUP(DATE($K$1,$K$2,PFX$4),Table1[],(MATCH(Calendar!$A6,DB!1:1,0)+2),FALSE),"")</f>
        <v/>
      </c>
      <c r="PFY6" s="27" t="str">
        <f>IFERROR(VLOOKUP(DATE($K$1,$K$2,PFY$4),Table1[],(MATCH(Calendar!$A6,DB!1:1,0)+2),FALSE),"")</f>
        <v/>
      </c>
      <c r="PFZ6" s="27" t="str">
        <f>IFERROR(VLOOKUP(DATE($K$1,$K$2,PFZ$4),Table1[],(MATCH(Calendar!$A6,DB!1:1,0)+2),FALSE),"")</f>
        <v/>
      </c>
      <c r="PGA6" s="27" t="str">
        <f>IFERROR(VLOOKUP(DATE($K$1,$K$2,PGA$4),Table1[],(MATCH(Calendar!$A6,DB!1:1,0)+2),FALSE),"")</f>
        <v/>
      </c>
      <c r="PGB6" s="27" t="str">
        <f>IFERROR(VLOOKUP(DATE($K$1,$K$2,PGB$4),Table1[],(MATCH(Calendar!$A6,DB!1:1,0)+2),FALSE),"")</f>
        <v/>
      </c>
      <c r="PGC6" s="27" t="str">
        <f>IFERROR(VLOOKUP(DATE($K$1,$K$2,PGC$4),Table1[],(MATCH(Calendar!$A6,DB!1:1,0)+2),FALSE),"")</f>
        <v/>
      </c>
      <c r="PGD6" s="27" t="str">
        <f>IFERROR(VLOOKUP(DATE($K$1,$K$2,PGD$4),Table1[],(MATCH(Calendar!$A6,DB!1:1,0)+2),FALSE),"")</f>
        <v/>
      </c>
      <c r="PGE6" s="27" t="str">
        <f>IFERROR(VLOOKUP(DATE($K$1,$K$2,PGE$4),Table1[],(MATCH(Calendar!$A6,DB!1:1,0)+2),FALSE),"")</f>
        <v/>
      </c>
      <c r="PGF6" s="27" t="str">
        <f>IFERROR(VLOOKUP(DATE($K$1,$K$2,PGF$4),Table1[],(MATCH(Calendar!$A6,DB!1:1,0)+2),FALSE),"")</f>
        <v/>
      </c>
      <c r="PGG6" s="27" t="str">
        <f>IFERROR(VLOOKUP(DATE($K$1,$K$2,PGG$4),Table1[],(MATCH(Calendar!$A6,DB!1:1,0)+2),FALSE),"")</f>
        <v/>
      </c>
      <c r="PGH6" s="27" t="str">
        <f>IFERROR(VLOOKUP(DATE($K$1,$K$2,PGH$4),Table1[],(MATCH(Calendar!$A6,DB!1:1,0)+2),FALSE),"")</f>
        <v/>
      </c>
      <c r="PGI6" s="27" t="str">
        <f>IFERROR(VLOOKUP(DATE($K$1,$K$2,PGI$4),Table1[],(MATCH(Calendar!$A6,DB!1:1,0)+2),FALSE),"")</f>
        <v/>
      </c>
      <c r="PGJ6" s="27" t="str">
        <f>IFERROR(VLOOKUP(DATE($K$1,$K$2,PGJ$4),Table1[],(MATCH(Calendar!$A6,DB!1:1,0)+2),FALSE),"")</f>
        <v/>
      </c>
      <c r="PGK6" s="27" t="str">
        <f>IFERROR(VLOOKUP(DATE($K$1,$K$2,PGK$4),Table1[],(MATCH(Calendar!$A6,DB!1:1,0)+2),FALSE),"")</f>
        <v/>
      </c>
      <c r="PGL6" s="27" t="str">
        <f>IFERROR(VLOOKUP(DATE($K$1,$K$2,PGL$4),Table1[],(MATCH(Calendar!$A6,DB!1:1,0)+2),FALSE),"")</f>
        <v/>
      </c>
      <c r="PGM6" s="27" t="str">
        <f>IFERROR(VLOOKUP(DATE($K$1,$K$2,PGM$4),Table1[],(MATCH(Calendar!$A6,DB!1:1,0)+2),FALSE),"")</f>
        <v/>
      </c>
      <c r="PGN6" s="27" t="str">
        <f>IFERROR(VLOOKUP(DATE($K$1,$K$2,PGN$4),Table1[],(MATCH(Calendar!$A6,DB!1:1,0)+2),FALSE),"")</f>
        <v/>
      </c>
      <c r="PGO6" s="27" t="str">
        <f>IFERROR(VLOOKUP(DATE($K$1,$K$2,PGO$4),Table1[],(MATCH(Calendar!$A6,DB!1:1,0)+2),FALSE),"")</f>
        <v/>
      </c>
      <c r="PGP6" s="27" t="str">
        <f>IFERROR(VLOOKUP(DATE($K$1,$K$2,PGP$4),Table1[],(MATCH(Calendar!$A6,DB!1:1,0)+2),FALSE),"")</f>
        <v/>
      </c>
      <c r="PGQ6" s="27" t="str">
        <f>IFERROR(VLOOKUP(DATE($K$1,$K$2,PGQ$4),Table1[],(MATCH(Calendar!$A6,DB!1:1,0)+2),FALSE),"")</f>
        <v/>
      </c>
      <c r="PGR6" s="27" t="str">
        <f>IFERROR(VLOOKUP(DATE($K$1,$K$2,PGR$4),Table1[],(MATCH(Calendar!$A6,DB!1:1,0)+2),FALSE),"")</f>
        <v/>
      </c>
      <c r="PGS6" s="27" t="str">
        <f>IFERROR(VLOOKUP(DATE($K$1,$K$2,PGS$4),Table1[],(MATCH(Calendar!$A6,DB!1:1,0)+2),FALSE),"")</f>
        <v/>
      </c>
      <c r="PGT6" s="27" t="str">
        <f>IFERROR(VLOOKUP(DATE($K$1,$K$2,PGT$4),Table1[],(MATCH(Calendar!$A6,DB!1:1,0)+2),FALSE),"")</f>
        <v/>
      </c>
      <c r="PGU6" s="27" t="str">
        <f>IFERROR(VLOOKUP(DATE($K$1,$K$2,PGU$4),Table1[],(MATCH(Calendar!$A6,DB!1:1,0)+2),FALSE),"")</f>
        <v/>
      </c>
      <c r="PGV6" s="27" t="str">
        <f>IFERROR(VLOOKUP(DATE($K$1,$K$2,PGV$4),Table1[],(MATCH(Calendar!$A6,DB!1:1,0)+2),FALSE),"")</f>
        <v/>
      </c>
      <c r="PGW6" s="27" t="str">
        <f>IFERROR(VLOOKUP(DATE($K$1,$K$2,PGW$4),Table1[],(MATCH(Calendar!$A6,DB!1:1,0)+2),FALSE),"")</f>
        <v/>
      </c>
      <c r="PGX6" s="27" t="str">
        <f>IFERROR(VLOOKUP(DATE($K$1,$K$2,PGX$4),Table1[],(MATCH(Calendar!$A6,DB!1:1,0)+2),FALSE),"")</f>
        <v/>
      </c>
      <c r="PGY6" s="27" t="str">
        <f>IFERROR(VLOOKUP(DATE($K$1,$K$2,PGY$4),Table1[],(MATCH(Calendar!$A6,DB!1:1,0)+2),FALSE),"")</f>
        <v/>
      </c>
      <c r="PGZ6" s="27" t="str">
        <f>IFERROR(VLOOKUP(DATE($K$1,$K$2,PGZ$4),Table1[],(MATCH(Calendar!$A6,DB!1:1,0)+2),FALSE),"")</f>
        <v/>
      </c>
      <c r="PHA6" s="27" t="str">
        <f>IFERROR(VLOOKUP(DATE($K$1,$K$2,PHA$4),Table1[],(MATCH(Calendar!$A6,DB!1:1,0)+2),FALSE),"")</f>
        <v/>
      </c>
      <c r="PHB6" s="27" t="str">
        <f>IFERROR(VLOOKUP(DATE($K$1,$K$2,PHB$4),Table1[],(MATCH(Calendar!$A6,DB!1:1,0)+2),FALSE),"")</f>
        <v/>
      </c>
      <c r="PHC6" s="27" t="str">
        <f>IFERROR(VLOOKUP(DATE($K$1,$K$2,PHC$4),Table1[],(MATCH(Calendar!$A6,DB!1:1,0)+2),FALSE),"")</f>
        <v/>
      </c>
      <c r="PHD6" s="27" t="str">
        <f>IFERROR(VLOOKUP(DATE($K$1,$K$2,PHD$4),Table1[],(MATCH(Calendar!$A6,DB!1:1,0)+2),FALSE),"")</f>
        <v/>
      </c>
      <c r="PHE6" s="27" t="str">
        <f>IFERROR(VLOOKUP(DATE($K$1,$K$2,PHE$4),Table1[],(MATCH(Calendar!$A6,DB!1:1,0)+2),FALSE),"")</f>
        <v/>
      </c>
      <c r="PHF6" s="27" t="str">
        <f>IFERROR(VLOOKUP(DATE($K$1,$K$2,PHF$4),Table1[],(MATCH(Calendar!$A6,DB!1:1,0)+2),FALSE),"")</f>
        <v/>
      </c>
      <c r="PHG6" s="27" t="str">
        <f>IFERROR(VLOOKUP(DATE($K$1,$K$2,PHG$4),Table1[],(MATCH(Calendar!$A6,DB!1:1,0)+2),FALSE),"")</f>
        <v/>
      </c>
      <c r="PHH6" s="27" t="str">
        <f>IFERROR(VLOOKUP(DATE($K$1,$K$2,PHH$4),Table1[],(MATCH(Calendar!$A6,DB!1:1,0)+2),FALSE),"")</f>
        <v/>
      </c>
      <c r="PHI6" s="27" t="str">
        <f>IFERROR(VLOOKUP(DATE($K$1,$K$2,PHI$4),Table1[],(MATCH(Calendar!$A6,DB!1:1,0)+2),FALSE),"")</f>
        <v/>
      </c>
      <c r="PHJ6" s="27" t="str">
        <f>IFERROR(VLOOKUP(DATE($K$1,$K$2,PHJ$4),Table1[],(MATCH(Calendar!$A6,DB!1:1,0)+2),FALSE),"")</f>
        <v/>
      </c>
      <c r="PHK6" s="27" t="str">
        <f>IFERROR(VLOOKUP(DATE($K$1,$K$2,PHK$4),Table1[],(MATCH(Calendar!$A6,DB!1:1,0)+2),FALSE),"")</f>
        <v/>
      </c>
      <c r="PHL6" s="27" t="str">
        <f>IFERROR(VLOOKUP(DATE($K$1,$K$2,PHL$4),Table1[],(MATCH(Calendar!$A6,DB!1:1,0)+2),FALSE),"")</f>
        <v/>
      </c>
      <c r="PHM6" s="27" t="str">
        <f>IFERROR(VLOOKUP(DATE($K$1,$K$2,PHM$4),Table1[],(MATCH(Calendar!$A6,DB!1:1,0)+2),FALSE),"")</f>
        <v/>
      </c>
      <c r="PHN6" s="27" t="str">
        <f>IFERROR(VLOOKUP(DATE($K$1,$K$2,PHN$4),Table1[],(MATCH(Calendar!$A6,DB!1:1,0)+2),FALSE),"")</f>
        <v/>
      </c>
      <c r="PHO6" s="27" t="str">
        <f>IFERROR(VLOOKUP(DATE($K$1,$K$2,PHO$4),Table1[],(MATCH(Calendar!$A6,DB!1:1,0)+2),FALSE),"")</f>
        <v/>
      </c>
      <c r="PHP6" s="27" t="str">
        <f>IFERROR(VLOOKUP(DATE($K$1,$K$2,PHP$4),Table1[],(MATCH(Calendar!$A6,DB!1:1,0)+2),FALSE),"")</f>
        <v/>
      </c>
      <c r="PHQ6" s="27" t="str">
        <f>IFERROR(VLOOKUP(DATE($K$1,$K$2,PHQ$4),Table1[],(MATCH(Calendar!$A6,DB!1:1,0)+2),FALSE),"")</f>
        <v/>
      </c>
      <c r="PHR6" s="27" t="str">
        <f>IFERROR(VLOOKUP(DATE($K$1,$K$2,PHR$4),Table1[],(MATCH(Calendar!$A6,DB!1:1,0)+2),FALSE),"")</f>
        <v/>
      </c>
      <c r="PHS6" s="27" t="str">
        <f>IFERROR(VLOOKUP(DATE($K$1,$K$2,PHS$4),Table1[],(MATCH(Calendar!$A6,DB!1:1,0)+2),FALSE),"")</f>
        <v/>
      </c>
      <c r="PHT6" s="27" t="str">
        <f>IFERROR(VLOOKUP(DATE($K$1,$K$2,PHT$4),Table1[],(MATCH(Calendar!$A6,DB!1:1,0)+2),FALSE),"")</f>
        <v/>
      </c>
      <c r="PHU6" s="27" t="str">
        <f>IFERROR(VLOOKUP(DATE($K$1,$K$2,PHU$4),Table1[],(MATCH(Calendar!$A6,DB!1:1,0)+2),FALSE),"")</f>
        <v/>
      </c>
      <c r="PHV6" s="27" t="str">
        <f>IFERROR(VLOOKUP(DATE($K$1,$K$2,PHV$4),Table1[],(MATCH(Calendar!$A6,DB!1:1,0)+2),FALSE),"")</f>
        <v/>
      </c>
      <c r="PHW6" s="27" t="str">
        <f>IFERROR(VLOOKUP(DATE($K$1,$K$2,PHW$4),Table1[],(MATCH(Calendar!$A6,DB!1:1,0)+2),FALSE),"")</f>
        <v/>
      </c>
      <c r="PHX6" s="27" t="str">
        <f>IFERROR(VLOOKUP(DATE($K$1,$K$2,PHX$4),Table1[],(MATCH(Calendar!$A6,DB!1:1,0)+2),FALSE),"")</f>
        <v/>
      </c>
      <c r="PHY6" s="27" t="str">
        <f>IFERROR(VLOOKUP(DATE($K$1,$K$2,PHY$4),Table1[],(MATCH(Calendar!$A6,DB!1:1,0)+2),FALSE),"")</f>
        <v/>
      </c>
      <c r="PHZ6" s="27" t="str">
        <f>IFERROR(VLOOKUP(DATE($K$1,$K$2,PHZ$4),Table1[],(MATCH(Calendar!$A6,DB!1:1,0)+2),FALSE),"")</f>
        <v/>
      </c>
      <c r="PIA6" s="27" t="str">
        <f>IFERROR(VLOOKUP(DATE($K$1,$K$2,PIA$4),Table1[],(MATCH(Calendar!$A6,DB!1:1,0)+2),FALSE),"")</f>
        <v/>
      </c>
      <c r="PIB6" s="27" t="str">
        <f>IFERROR(VLOOKUP(DATE($K$1,$K$2,PIB$4),Table1[],(MATCH(Calendar!$A6,DB!1:1,0)+2),FALSE),"")</f>
        <v/>
      </c>
      <c r="PIC6" s="27" t="str">
        <f>IFERROR(VLOOKUP(DATE($K$1,$K$2,PIC$4),Table1[],(MATCH(Calendar!$A6,DB!1:1,0)+2),FALSE),"")</f>
        <v/>
      </c>
      <c r="PID6" s="27" t="str">
        <f>IFERROR(VLOOKUP(DATE($K$1,$K$2,PID$4),Table1[],(MATCH(Calendar!$A6,DB!1:1,0)+2),FALSE),"")</f>
        <v/>
      </c>
      <c r="PIE6" s="27" t="str">
        <f>IFERROR(VLOOKUP(DATE($K$1,$K$2,PIE$4),Table1[],(MATCH(Calendar!$A6,DB!1:1,0)+2),FALSE),"")</f>
        <v/>
      </c>
      <c r="PIF6" s="27" t="str">
        <f>IFERROR(VLOOKUP(DATE($K$1,$K$2,PIF$4),Table1[],(MATCH(Calendar!$A6,DB!1:1,0)+2),FALSE),"")</f>
        <v/>
      </c>
      <c r="PIG6" s="27" t="str">
        <f>IFERROR(VLOOKUP(DATE($K$1,$K$2,PIG$4),Table1[],(MATCH(Calendar!$A6,DB!1:1,0)+2),FALSE),"")</f>
        <v/>
      </c>
      <c r="PIH6" s="27" t="str">
        <f>IFERROR(VLOOKUP(DATE($K$1,$K$2,PIH$4),Table1[],(MATCH(Calendar!$A6,DB!1:1,0)+2),FALSE),"")</f>
        <v/>
      </c>
      <c r="PII6" s="27" t="str">
        <f>IFERROR(VLOOKUP(DATE($K$1,$K$2,PII$4),Table1[],(MATCH(Calendar!$A6,DB!1:1,0)+2),FALSE),"")</f>
        <v/>
      </c>
      <c r="PIJ6" s="27" t="str">
        <f>IFERROR(VLOOKUP(DATE($K$1,$K$2,PIJ$4),Table1[],(MATCH(Calendar!$A6,DB!1:1,0)+2),FALSE),"")</f>
        <v/>
      </c>
      <c r="PIK6" s="27" t="str">
        <f>IFERROR(VLOOKUP(DATE($K$1,$K$2,PIK$4),Table1[],(MATCH(Calendar!$A6,DB!1:1,0)+2),FALSE),"")</f>
        <v/>
      </c>
      <c r="PIL6" s="27" t="str">
        <f>IFERROR(VLOOKUP(DATE($K$1,$K$2,PIL$4),Table1[],(MATCH(Calendar!$A6,DB!1:1,0)+2),FALSE),"")</f>
        <v/>
      </c>
      <c r="PIM6" s="27" t="str">
        <f>IFERROR(VLOOKUP(DATE($K$1,$K$2,PIM$4),Table1[],(MATCH(Calendar!$A6,DB!1:1,0)+2),FALSE),"")</f>
        <v/>
      </c>
      <c r="PIN6" s="27" t="str">
        <f>IFERROR(VLOOKUP(DATE($K$1,$K$2,PIN$4),Table1[],(MATCH(Calendar!$A6,DB!1:1,0)+2),FALSE),"")</f>
        <v/>
      </c>
      <c r="PIO6" s="27" t="str">
        <f>IFERROR(VLOOKUP(DATE($K$1,$K$2,PIO$4),Table1[],(MATCH(Calendar!$A6,DB!1:1,0)+2),FALSE),"")</f>
        <v/>
      </c>
      <c r="PIP6" s="27" t="str">
        <f>IFERROR(VLOOKUP(DATE($K$1,$K$2,PIP$4),Table1[],(MATCH(Calendar!$A6,DB!1:1,0)+2),FALSE),"")</f>
        <v/>
      </c>
      <c r="PIQ6" s="27" t="str">
        <f>IFERROR(VLOOKUP(DATE($K$1,$K$2,PIQ$4),Table1[],(MATCH(Calendar!$A6,DB!1:1,0)+2),FALSE),"")</f>
        <v/>
      </c>
      <c r="PIR6" s="27" t="str">
        <f>IFERROR(VLOOKUP(DATE($K$1,$K$2,PIR$4),Table1[],(MATCH(Calendar!$A6,DB!1:1,0)+2),FALSE),"")</f>
        <v/>
      </c>
      <c r="PIS6" s="27" t="str">
        <f>IFERROR(VLOOKUP(DATE($K$1,$K$2,PIS$4),Table1[],(MATCH(Calendar!$A6,DB!1:1,0)+2),FALSE),"")</f>
        <v/>
      </c>
      <c r="PIT6" s="27" t="str">
        <f>IFERROR(VLOOKUP(DATE($K$1,$K$2,PIT$4),Table1[],(MATCH(Calendar!$A6,DB!1:1,0)+2),FALSE),"")</f>
        <v/>
      </c>
      <c r="PIU6" s="27" t="str">
        <f>IFERROR(VLOOKUP(DATE($K$1,$K$2,PIU$4),Table1[],(MATCH(Calendar!$A6,DB!1:1,0)+2),FALSE),"")</f>
        <v/>
      </c>
      <c r="PIV6" s="27" t="str">
        <f>IFERROR(VLOOKUP(DATE($K$1,$K$2,PIV$4),Table1[],(MATCH(Calendar!$A6,DB!1:1,0)+2),FALSE),"")</f>
        <v/>
      </c>
      <c r="PIW6" s="27" t="str">
        <f>IFERROR(VLOOKUP(DATE($K$1,$K$2,PIW$4),Table1[],(MATCH(Calendar!$A6,DB!1:1,0)+2),FALSE),"")</f>
        <v/>
      </c>
      <c r="PIX6" s="27" t="str">
        <f>IFERROR(VLOOKUP(DATE($K$1,$K$2,PIX$4),Table1[],(MATCH(Calendar!$A6,DB!1:1,0)+2),FALSE),"")</f>
        <v/>
      </c>
      <c r="PIY6" s="27" t="str">
        <f>IFERROR(VLOOKUP(DATE($K$1,$K$2,PIY$4),Table1[],(MATCH(Calendar!$A6,DB!1:1,0)+2),FALSE),"")</f>
        <v/>
      </c>
      <c r="PIZ6" s="27" t="str">
        <f>IFERROR(VLOOKUP(DATE($K$1,$K$2,PIZ$4),Table1[],(MATCH(Calendar!$A6,DB!1:1,0)+2),FALSE),"")</f>
        <v/>
      </c>
      <c r="PJA6" s="27" t="str">
        <f>IFERROR(VLOOKUP(DATE($K$1,$K$2,PJA$4),Table1[],(MATCH(Calendar!$A6,DB!1:1,0)+2),FALSE),"")</f>
        <v/>
      </c>
      <c r="PJB6" s="27" t="str">
        <f>IFERROR(VLOOKUP(DATE($K$1,$K$2,PJB$4),Table1[],(MATCH(Calendar!$A6,DB!1:1,0)+2),FALSE),"")</f>
        <v/>
      </c>
      <c r="PJC6" s="27" t="str">
        <f>IFERROR(VLOOKUP(DATE($K$1,$K$2,PJC$4),Table1[],(MATCH(Calendar!$A6,DB!1:1,0)+2),FALSE),"")</f>
        <v/>
      </c>
      <c r="PJD6" s="27" t="str">
        <f>IFERROR(VLOOKUP(DATE($K$1,$K$2,PJD$4),Table1[],(MATCH(Calendar!$A6,DB!1:1,0)+2),FALSE),"")</f>
        <v/>
      </c>
      <c r="PJE6" s="27" t="str">
        <f>IFERROR(VLOOKUP(DATE($K$1,$K$2,PJE$4),Table1[],(MATCH(Calendar!$A6,DB!1:1,0)+2),FALSE),"")</f>
        <v/>
      </c>
      <c r="PJF6" s="27" t="str">
        <f>IFERROR(VLOOKUP(DATE($K$1,$K$2,PJF$4),Table1[],(MATCH(Calendar!$A6,DB!1:1,0)+2),FALSE),"")</f>
        <v/>
      </c>
      <c r="PJG6" s="27" t="str">
        <f>IFERROR(VLOOKUP(DATE($K$1,$K$2,PJG$4),Table1[],(MATCH(Calendar!$A6,DB!1:1,0)+2),FALSE),"")</f>
        <v/>
      </c>
      <c r="PJH6" s="27" t="str">
        <f>IFERROR(VLOOKUP(DATE($K$1,$K$2,PJH$4),Table1[],(MATCH(Calendar!$A6,DB!1:1,0)+2),FALSE),"")</f>
        <v/>
      </c>
      <c r="PJI6" s="27" t="str">
        <f>IFERROR(VLOOKUP(DATE($K$1,$K$2,PJI$4),Table1[],(MATCH(Calendar!$A6,DB!1:1,0)+2),FALSE),"")</f>
        <v/>
      </c>
      <c r="PJJ6" s="27" t="str">
        <f>IFERROR(VLOOKUP(DATE($K$1,$K$2,PJJ$4),Table1[],(MATCH(Calendar!$A6,DB!1:1,0)+2),FALSE),"")</f>
        <v/>
      </c>
      <c r="PJK6" s="27" t="str">
        <f>IFERROR(VLOOKUP(DATE($K$1,$K$2,PJK$4),Table1[],(MATCH(Calendar!$A6,DB!1:1,0)+2),FALSE),"")</f>
        <v/>
      </c>
      <c r="PJL6" s="27" t="str">
        <f>IFERROR(VLOOKUP(DATE($K$1,$K$2,PJL$4),Table1[],(MATCH(Calendar!$A6,DB!1:1,0)+2),FALSE),"")</f>
        <v/>
      </c>
      <c r="PJM6" s="27" t="str">
        <f>IFERROR(VLOOKUP(DATE($K$1,$K$2,PJM$4),Table1[],(MATCH(Calendar!$A6,DB!1:1,0)+2),FALSE),"")</f>
        <v/>
      </c>
      <c r="PJN6" s="27" t="str">
        <f>IFERROR(VLOOKUP(DATE($K$1,$K$2,PJN$4),Table1[],(MATCH(Calendar!$A6,DB!1:1,0)+2),FALSE),"")</f>
        <v/>
      </c>
      <c r="PJO6" s="27" t="str">
        <f>IFERROR(VLOOKUP(DATE($K$1,$K$2,PJO$4),Table1[],(MATCH(Calendar!$A6,DB!1:1,0)+2),FALSE),"")</f>
        <v/>
      </c>
      <c r="PJP6" s="27" t="str">
        <f>IFERROR(VLOOKUP(DATE($K$1,$K$2,PJP$4),Table1[],(MATCH(Calendar!$A6,DB!1:1,0)+2),FALSE),"")</f>
        <v/>
      </c>
      <c r="PJQ6" s="27" t="str">
        <f>IFERROR(VLOOKUP(DATE($K$1,$K$2,PJQ$4),Table1[],(MATCH(Calendar!$A6,DB!1:1,0)+2),FALSE),"")</f>
        <v/>
      </c>
      <c r="PJR6" s="27" t="str">
        <f>IFERROR(VLOOKUP(DATE($K$1,$K$2,PJR$4),Table1[],(MATCH(Calendar!$A6,DB!1:1,0)+2),FALSE),"")</f>
        <v/>
      </c>
      <c r="PJS6" s="27" t="str">
        <f>IFERROR(VLOOKUP(DATE($K$1,$K$2,PJS$4),Table1[],(MATCH(Calendar!$A6,DB!1:1,0)+2),FALSE),"")</f>
        <v/>
      </c>
      <c r="PJT6" s="27" t="str">
        <f>IFERROR(VLOOKUP(DATE($K$1,$K$2,PJT$4),Table1[],(MATCH(Calendar!$A6,DB!1:1,0)+2),FALSE),"")</f>
        <v/>
      </c>
      <c r="PJU6" s="27" t="str">
        <f>IFERROR(VLOOKUP(DATE($K$1,$K$2,PJU$4),Table1[],(MATCH(Calendar!$A6,DB!1:1,0)+2),FALSE),"")</f>
        <v/>
      </c>
      <c r="PJV6" s="27" t="str">
        <f>IFERROR(VLOOKUP(DATE($K$1,$K$2,PJV$4),Table1[],(MATCH(Calendar!$A6,DB!1:1,0)+2),FALSE),"")</f>
        <v/>
      </c>
      <c r="PJW6" s="27" t="str">
        <f>IFERROR(VLOOKUP(DATE($K$1,$K$2,PJW$4),Table1[],(MATCH(Calendar!$A6,DB!1:1,0)+2),FALSE),"")</f>
        <v/>
      </c>
      <c r="PJX6" s="27" t="str">
        <f>IFERROR(VLOOKUP(DATE($K$1,$K$2,PJX$4),Table1[],(MATCH(Calendar!$A6,DB!1:1,0)+2),FALSE),"")</f>
        <v/>
      </c>
      <c r="PJY6" s="27" t="str">
        <f>IFERROR(VLOOKUP(DATE($K$1,$K$2,PJY$4),Table1[],(MATCH(Calendar!$A6,DB!1:1,0)+2),FALSE),"")</f>
        <v/>
      </c>
      <c r="PJZ6" s="27" t="str">
        <f>IFERROR(VLOOKUP(DATE($K$1,$K$2,PJZ$4),Table1[],(MATCH(Calendar!$A6,DB!1:1,0)+2),FALSE),"")</f>
        <v/>
      </c>
      <c r="PKA6" s="27" t="str">
        <f>IFERROR(VLOOKUP(DATE($K$1,$K$2,PKA$4),Table1[],(MATCH(Calendar!$A6,DB!1:1,0)+2),FALSE),"")</f>
        <v/>
      </c>
      <c r="PKB6" s="27" t="str">
        <f>IFERROR(VLOOKUP(DATE($K$1,$K$2,PKB$4),Table1[],(MATCH(Calendar!$A6,DB!1:1,0)+2),FALSE),"")</f>
        <v/>
      </c>
      <c r="PKC6" s="27" t="str">
        <f>IFERROR(VLOOKUP(DATE($K$1,$K$2,PKC$4),Table1[],(MATCH(Calendar!$A6,DB!1:1,0)+2),FALSE),"")</f>
        <v/>
      </c>
      <c r="PKD6" s="27" t="str">
        <f>IFERROR(VLOOKUP(DATE($K$1,$K$2,PKD$4),Table1[],(MATCH(Calendar!$A6,DB!1:1,0)+2),FALSE),"")</f>
        <v/>
      </c>
      <c r="PKE6" s="27" t="str">
        <f>IFERROR(VLOOKUP(DATE($K$1,$K$2,PKE$4),Table1[],(MATCH(Calendar!$A6,DB!1:1,0)+2),FALSE),"")</f>
        <v/>
      </c>
      <c r="PKF6" s="27" t="str">
        <f>IFERROR(VLOOKUP(DATE($K$1,$K$2,PKF$4),Table1[],(MATCH(Calendar!$A6,DB!1:1,0)+2),FALSE),"")</f>
        <v/>
      </c>
      <c r="PKG6" s="27" t="str">
        <f>IFERROR(VLOOKUP(DATE($K$1,$K$2,PKG$4),Table1[],(MATCH(Calendar!$A6,DB!1:1,0)+2),FALSE),"")</f>
        <v/>
      </c>
      <c r="PKH6" s="27" t="str">
        <f>IFERROR(VLOOKUP(DATE($K$1,$K$2,PKH$4),Table1[],(MATCH(Calendar!$A6,DB!1:1,0)+2),FALSE),"")</f>
        <v/>
      </c>
      <c r="PKI6" s="27" t="str">
        <f>IFERROR(VLOOKUP(DATE($K$1,$K$2,PKI$4),Table1[],(MATCH(Calendar!$A6,DB!1:1,0)+2),FALSE),"")</f>
        <v/>
      </c>
      <c r="PKJ6" s="27" t="str">
        <f>IFERROR(VLOOKUP(DATE($K$1,$K$2,PKJ$4),Table1[],(MATCH(Calendar!$A6,DB!1:1,0)+2),FALSE),"")</f>
        <v/>
      </c>
      <c r="PKK6" s="27" t="str">
        <f>IFERROR(VLOOKUP(DATE($K$1,$K$2,PKK$4),Table1[],(MATCH(Calendar!$A6,DB!1:1,0)+2),FALSE),"")</f>
        <v/>
      </c>
      <c r="PKL6" s="27" t="str">
        <f>IFERROR(VLOOKUP(DATE($K$1,$K$2,PKL$4),Table1[],(MATCH(Calendar!$A6,DB!1:1,0)+2),FALSE),"")</f>
        <v/>
      </c>
      <c r="PKM6" s="27" t="str">
        <f>IFERROR(VLOOKUP(DATE($K$1,$K$2,PKM$4),Table1[],(MATCH(Calendar!$A6,DB!1:1,0)+2),FALSE),"")</f>
        <v/>
      </c>
      <c r="PKN6" s="27" t="str">
        <f>IFERROR(VLOOKUP(DATE($K$1,$K$2,PKN$4),Table1[],(MATCH(Calendar!$A6,DB!1:1,0)+2),FALSE),"")</f>
        <v/>
      </c>
      <c r="PKO6" s="27" t="str">
        <f>IFERROR(VLOOKUP(DATE($K$1,$K$2,PKO$4),Table1[],(MATCH(Calendar!$A6,DB!1:1,0)+2),FALSE),"")</f>
        <v/>
      </c>
      <c r="PKP6" s="27" t="str">
        <f>IFERROR(VLOOKUP(DATE($K$1,$K$2,PKP$4),Table1[],(MATCH(Calendar!$A6,DB!1:1,0)+2),FALSE),"")</f>
        <v/>
      </c>
      <c r="PKQ6" s="27" t="str">
        <f>IFERROR(VLOOKUP(DATE($K$1,$K$2,PKQ$4),Table1[],(MATCH(Calendar!$A6,DB!1:1,0)+2),FALSE),"")</f>
        <v/>
      </c>
      <c r="PKR6" s="27" t="str">
        <f>IFERROR(VLOOKUP(DATE($K$1,$K$2,PKR$4),Table1[],(MATCH(Calendar!$A6,DB!1:1,0)+2),FALSE),"")</f>
        <v/>
      </c>
      <c r="PKS6" s="27" t="str">
        <f>IFERROR(VLOOKUP(DATE($K$1,$K$2,PKS$4),Table1[],(MATCH(Calendar!$A6,DB!1:1,0)+2),FALSE),"")</f>
        <v/>
      </c>
      <c r="PKT6" s="27" t="str">
        <f>IFERROR(VLOOKUP(DATE($K$1,$K$2,PKT$4),Table1[],(MATCH(Calendar!$A6,DB!1:1,0)+2),FALSE),"")</f>
        <v/>
      </c>
      <c r="PKU6" s="27" t="str">
        <f>IFERROR(VLOOKUP(DATE($K$1,$K$2,PKU$4),Table1[],(MATCH(Calendar!$A6,DB!1:1,0)+2),FALSE),"")</f>
        <v/>
      </c>
      <c r="PKV6" s="27" t="str">
        <f>IFERROR(VLOOKUP(DATE($K$1,$K$2,PKV$4),Table1[],(MATCH(Calendar!$A6,DB!1:1,0)+2),FALSE),"")</f>
        <v/>
      </c>
      <c r="PKW6" s="27" t="str">
        <f>IFERROR(VLOOKUP(DATE($K$1,$K$2,PKW$4),Table1[],(MATCH(Calendar!$A6,DB!1:1,0)+2),FALSE),"")</f>
        <v/>
      </c>
      <c r="PKX6" s="27" t="str">
        <f>IFERROR(VLOOKUP(DATE($K$1,$K$2,PKX$4),Table1[],(MATCH(Calendar!$A6,DB!1:1,0)+2),FALSE),"")</f>
        <v/>
      </c>
      <c r="PKY6" s="27" t="str">
        <f>IFERROR(VLOOKUP(DATE($K$1,$K$2,PKY$4),Table1[],(MATCH(Calendar!$A6,DB!1:1,0)+2),FALSE),"")</f>
        <v/>
      </c>
      <c r="PKZ6" s="27" t="str">
        <f>IFERROR(VLOOKUP(DATE($K$1,$K$2,PKZ$4),Table1[],(MATCH(Calendar!$A6,DB!1:1,0)+2),FALSE),"")</f>
        <v/>
      </c>
      <c r="PLA6" s="27" t="str">
        <f>IFERROR(VLOOKUP(DATE($K$1,$K$2,PLA$4),Table1[],(MATCH(Calendar!$A6,DB!1:1,0)+2),FALSE),"")</f>
        <v/>
      </c>
      <c r="PLB6" s="27" t="str">
        <f>IFERROR(VLOOKUP(DATE($K$1,$K$2,PLB$4),Table1[],(MATCH(Calendar!$A6,DB!1:1,0)+2),FALSE),"")</f>
        <v/>
      </c>
      <c r="PLC6" s="27" t="str">
        <f>IFERROR(VLOOKUP(DATE($K$1,$K$2,PLC$4),Table1[],(MATCH(Calendar!$A6,DB!1:1,0)+2),FALSE),"")</f>
        <v/>
      </c>
      <c r="PLD6" s="27" t="str">
        <f>IFERROR(VLOOKUP(DATE($K$1,$K$2,PLD$4),Table1[],(MATCH(Calendar!$A6,DB!1:1,0)+2),FALSE),"")</f>
        <v/>
      </c>
      <c r="PLE6" s="27" t="str">
        <f>IFERROR(VLOOKUP(DATE($K$1,$K$2,PLE$4),Table1[],(MATCH(Calendar!$A6,DB!1:1,0)+2),FALSE),"")</f>
        <v/>
      </c>
      <c r="PLF6" s="27" t="str">
        <f>IFERROR(VLOOKUP(DATE($K$1,$K$2,PLF$4),Table1[],(MATCH(Calendar!$A6,DB!1:1,0)+2),FALSE),"")</f>
        <v/>
      </c>
      <c r="PLG6" s="27" t="str">
        <f>IFERROR(VLOOKUP(DATE($K$1,$K$2,PLG$4),Table1[],(MATCH(Calendar!$A6,DB!1:1,0)+2),FALSE),"")</f>
        <v/>
      </c>
      <c r="PLH6" s="27" t="str">
        <f>IFERROR(VLOOKUP(DATE($K$1,$K$2,PLH$4),Table1[],(MATCH(Calendar!$A6,DB!1:1,0)+2),FALSE),"")</f>
        <v/>
      </c>
      <c r="PLI6" s="27" t="str">
        <f>IFERROR(VLOOKUP(DATE($K$1,$K$2,PLI$4),Table1[],(MATCH(Calendar!$A6,DB!1:1,0)+2),FALSE),"")</f>
        <v/>
      </c>
      <c r="PLJ6" s="27" t="str">
        <f>IFERROR(VLOOKUP(DATE($K$1,$K$2,PLJ$4),Table1[],(MATCH(Calendar!$A6,DB!1:1,0)+2),FALSE),"")</f>
        <v/>
      </c>
      <c r="PLK6" s="27" t="str">
        <f>IFERROR(VLOOKUP(DATE($K$1,$K$2,PLK$4),Table1[],(MATCH(Calendar!$A6,DB!1:1,0)+2),FALSE),"")</f>
        <v/>
      </c>
      <c r="PLL6" s="27" t="str">
        <f>IFERROR(VLOOKUP(DATE($K$1,$K$2,PLL$4),Table1[],(MATCH(Calendar!$A6,DB!1:1,0)+2),FALSE),"")</f>
        <v/>
      </c>
      <c r="PLM6" s="27" t="str">
        <f>IFERROR(VLOOKUP(DATE($K$1,$K$2,PLM$4),Table1[],(MATCH(Calendar!$A6,DB!1:1,0)+2),FALSE),"")</f>
        <v/>
      </c>
      <c r="PLN6" s="27" t="str">
        <f>IFERROR(VLOOKUP(DATE($K$1,$K$2,PLN$4),Table1[],(MATCH(Calendar!$A6,DB!1:1,0)+2),FALSE),"")</f>
        <v/>
      </c>
      <c r="PLO6" s="27" t="str">
        <f>IFERROR(VLOOKUP(DATE($K$1,$K$2,PLO$4),Table1[],(MATCH(Calendar!$A6,DB!1:1,0)+2),FALSE),"")</f>
        <v/>
      </c>
      <c r="PLP6" s="27" t="str">
        <f>IFERROR(VLOOKUP(DATE($K$1,$K$2,PLP$4),Table1[],(MATCH(Calendar!$A6,DB!1:1,0)+2),FALSE),"")</f>
        <v/>
      </c>
      <c r="PLQ6" s="27" t="str">
        <f>IFERROR(VLOOKUP(DATE($K$1,$K$2,PLQ$4),Table1[],(MATCH(Calendar!$A6,DB!1:1,0)+2),FALSE),"")</f>
        <v/>
      </c>
      <c r="PLR6" s="27" t="str">
        <f>IFERROR(VLOOKUP(DATE($K$1,$K$2,PLR$4),Table1[],(MATCH(Calendar!$A6,DB!1:1,0)+2),FALSE),"")</f>
        <v/>
      </c>
      <c r="PLS6" s="27" t="str">
        <f>IFERROR(VLOOKUP(DATE($K$1,$K$2,PLS$4),Table1[],(MATCH(Calendar!$A6,DB!1:1,0)+2),FALSE),"")</f>
        <v/>
      </c>
      <c r="PLT6" s="27" t="str">
        <f>IFERROR(VLOOKUP(DATE($K$1,$K$2,PLT$4),Table1[],(MATCH(Calendar!$A6,DB!1:1,0)+2),FALSE),"")</f>
        <v/>
      </c>
      <c r="PLU6" s="27" t="str">
        <f>IFERROR(VLOOKUP(DATE($K$1,$K$2,PLU$4),Table1[],(MATCH(Calendar!$A6,DB!1:1,0)+2),FALSE),"")</f>
        <v/>
      </c>
      <c r="PLV6" s="27" t="str">
        <f>IFERROR(VLOOKUP(DATE($K$1,$K$2,PLV$4),Table1[],(MATCH(Calendar!$A6,DB!1:1,0)+2),FALSE),"")</f>
        <v/>
      </c>
      <c r="PLW6" s="27" t="str">
        <f>IFERROR(VLOOKUP(DATE($K$1,$K$2,PLW$4),Table1[],(MATCH(Calendar!$A6,DB!1:1,0)+2),FALSE),"")</f>
        <v/>
      </c>
      <c r="PLX6" s="27" t="str">
        <f>IFERROR(VLOOKUP(DATE($K$1,$K$2,PLX$4),Table1[],(MATCH(Calendar!$A6,DB!1:1,0)+2),FALSE),"")</f>
        <v/>
      </c>
      <c r="PLY6" s="27" t="str">
        <f>IFERROR(VLOOKUP(DATE($K$1,$K$2,PLY$4),Table1[],(MATCH(Calendar!$A6,DB!1:1,0)+2),FALSE),"")</f>
        <v/>
      </c>
      <c r="PLZ6" s="27" t="str">
        <f>IFERROR(VLOOKUP(DATE($K$1,$K$2,PLZ$4),Table1[],(MATCH(Calendar!$A6,DB!1:1,0)+2),FALSE),"")</f>
        <v/>
      </c>
      <c r="PMA6" s="27" t="str">
        <f>IFERROR(VLOOKUP(DATE($K$1,$K$2,PMA$4),Table1[],(MATCH(Calendar!$A6,DB!1:1,0)+2),FALSE),"")</f>
        <v/>
      </c>
      <c r="PMB6" s="27" t="str">
        <f>IFERROR(VLOOKUP(DATE($K$1,$K$2,PMB$4),Table1[],(MATCH(Calendar!$A6,DB!1:1,0)+2),FALSE),"")</f>
        <v/>
      </c>
      <c r="PMC6" s="27" t="str">
        <f>IFERROR(VLOOKUP(DATE($K$1,$K$2,PMC$4),Table1[],(MATCH(Calendar!$A6,DB!1:1,0)+2),FALSE),"")</f>
        <v/>
      </c>
      <c r="PMD6" s="27" t="str">
        <f>IFERROR(VLOOKUP(DATE($K$1,$K$2,PMD$4),Table1[],(MATCH(Calendar!$A6,DB!1:1,0)+2),FALSE),"")</f>
        <v/>
      </c>
      <c r="PME6" s="27" t="str">
        <f>IFERROR(VLOOKUP(DATE($K$1,$K$2,PME$4),Table1[],(MATCH(Calendar!$A6,DB!1:1,0)+2),FALSE),"")</f>
        <v/>
      </c>
      <c r="PMF6" s="27" t="str">
        <f>IFERROR(VLOOKUP(DATE($K$1,$K$2,PMF$4),Table1[],(MATCH(Calendar!$A6,DB!1:1,0)+2),FALSE),"")</f>
        <v/>
      </c>
      <c r="PMG6" s="27" t="str">
        <f>IFERROR(VLOOKUP(DATE($K$1,$K$2,PMG$4),Table1[],(MATCH(Calendar!$A6,DB!1:1,0)+2),FALSE),"")</f>
        <v/>
      </c>
      <c r="PMH6" s="27" t="str">
        <f>IFERROR(VLOOKUP(DATE($K$1,$K$2,PMH$4),Table1[],(MATCH(Calendar!$A6,DB!1:1,0)+2),FALSE),"")</f>
        <v/>
      </c>
      <c r="PMI6" s="27" t="str">
        <f>IFERROR(VLOOKUP(DATE($K$1,$K$2,PMI$4),Table1[],(MATCH(Calendar!$A6,DB!1:1,0)+2),FALSE),"")</f>
        <v/>
      </c>
      <c r="PMJ6" s="27" t="str">
        <f>IFERROR(VLOOKUP(DATE($K$1,$K$2,PMJ$4),Table1[],(MATCH(Calendar!$A6,DB!1:1,0)+2),FALSE),"")</f>
        <v/>
      </c>
      <c r="PMK6" s="27" t="str">
        <f>IFERROR(VLOOKUP(DATE($K$1,$K$2,PMK$4),Table1[],(MATCH(Calendar!$A6,DB!1:1,0)+2),FALSE),"")</f>
        <v/>
      </c>
      <c r="PML6" s="27" t="str">
        <f>IFERROR(VLOOKUP(DATE($K$1,$K$2,PML$4),Table1[],(MATCH(Calendar!$A6,DB!1:1,0)+2),FALSE),"")</f>
        <v/>
      </c>
      <c r="PMM6" s="27" t="str">
        <f>IFERROR(VLOOKUP(DATE($K$1,$K$2,PMM$4),Table1[],(MATCH(Calendar!$A6,DB!1:1,0)+2),FALSE),"")</f>
        <v/>
      </c>
      <c r="PMN6" s="27" t="str">
        <f>IFERROR(VLOOKUP(DATE($K$1,$K$2,PMN$4),Table1[],(MATCH(Calendar!$A6,DB!1:1,0)+2),FALSE),"")</f>
        <v/>
      </c>
      <c r="PMO6" s="27" t="str">
        <f>IFERROR(VLOOKUP(DATE($K$1,$K$2,PMO$4),Table1[],(MATCH(Calendar!$A6,DB!1:1,0)+2),FALSE),"")</f>
        <v/>
      </c>
      <c r="PMP6" s="27" t="str">
        <f>IFERROR(VLOOKUP(DATE($K$1,$K$2,PMP$4),Table1[],(MATCH(Calendar!$A6,DB!1:1,0)+2),FALSE),"")</f>
        <v/>
      </c>
      <c r="PMQ6" s="27" t="str">
        <f>IFERROR(VLOOKUP(DATE($K$1,$K$2,PMQ$4),Table1[],(MATCH(Calendar!$A6,DB!1:1,0)+2),FALSE),"")</f>
        <v/>
      </c>
      <c r="PMR6" s="27" t="str">
        <f>IFERROR(VLOOKUP(DATE($K$1,$K$2,PMR$4),Table1[],(MATCH(Calendar!$A6,DB!1:1,0)+2),FALSE),"")</f>
        <v/>
      </c>
      <c r="PMS6" s="27" t="str">
        <f>IFERROR(VLOOKUP(DATE($K$1,$K$2,PMS$4),Table1[],(MATCH(Calendar!$A6,DB!1:1,0)+2),FALSE),"")</f>
        <v/>
      </c>
      <c r="PMT6" s="27" t="str">
        <f>IFERROR(VLOOKUP(DATE($K$1,$K$2,PMT$4),Table1[],(MATCH(Calendar!$A6,DB!1:1,0)+2),FALSE),"")</f>
        <v/>
      </c>
      <c r="PMU6" s="27" t="str">
        <f>IFERROR(VLOOKUP(DATE($K$1,$K$2,PMU$4),Table1[],(MATCH(Calendar!$A6,DB!1:1,0)+2),FALSE),"")</f>
        <v/>
      </c>
      <c r="PMV6" s="27" t="str">
        <f>IFERROR(VLOOKUP(DATE($K$1,$K$2,PMV$4),Table1[],(MATCH(Calendar!$A6,DB!1:1,0)+2),FALSE),"")</f>
        <v/>
      </c>
      <c r="PMW6" s="27" t="str">
        <f>IFERROR(VLOOKUP(DATE($K$1,$K$2,PMW$4),Table1[],(MATCH(Calendar!$A6,DB!1:1,0)+2),FALSE),"")</f>
        <v/>
      </c>
      <c r="PMX6" s="27" t="str">
        <f>IFERROR(VLOOKUP(DATE($K$1,$K$2,PMX$4),Table1[],(MATCH(Calendar!$A6,DB!1:1,0)+2),FALSE),"")</f>
        <v/>
      </c>
      <c r="PMY6" s="27" t="str">
        <f>IFERROR(VLOOKUP(DATE($K$1,$K$2,PMY$4),Table1[],(MATCH(Calendar!$A6,DB!1:1,0)+2),FALSE),"")</f>
        <v/>
      </c>
      <c r="PMZ6" s="27" t="str">
        <f>IFERROR(VLOOKUP(DATE($K$1,$K$2,PMZ$4),Table1[],(MATCH(Calendar!$A6,DB!1:1,0)+2),FALSE),"")</f>
        <v/>
      </c>
      <c r="PNA6" s="27" t="str">
        <f>IFERROR(VLOOKUP(DATE($K$1,$K$2,PNA$4),Table1[],(MATCH(Calendar!$A6,DB!1:1,0)+2),FALSE),"")</f>
        <v/>
      </c>
      <c r="PNB6" s="27" t="str">
        <f>IFERROR(VLOOKUP(DATE($K$1,$K$2,PNB$4),Table1[],(MATCH(Calendar!$A6,DB!1:1,0)+2),FALSE),"")</f>
        <v/>
      </c>
      <c r="PNC6" s="27" t="str">
        <f>IFERROR(VLOOKUP(DATE($K$1,$K$2,PNC$4),Table1[],(MATCH(Calendar!$A6,DB!1:1,0)+2),FALSE),"")</f>
        <v/>
      </c>
      <c r="PND6" s="27" t="str">
        <f>IFERROR(VLOOKUP(DATE($K$1,$K$2,PND$4),Table1[],(MATCH(Calendar!$A6,DB!1:1,0)+2),FALSE),"")</f>
        <v/>
      </c>
      <c r="PNE6" s="27" t="str">
        <f>IFERROR(VLOOKUP(DATE($K$1,$K$2,PNE$4),Table1[],(MATCH(Calendar!$A6,DB!1:1,0)+2),FALSE),"")</f>
        <v/>
      </c>
      <c r="PNF6" s="27" t="str">
        <f>IFERROR(VLOOKUP(DATE($K$1,$K$2,PNF$4),Table1[],(MATCH(Calendar!$A6,DB!1:1,0)+2),FALSE),"")</f>
        <v/>
      </c>
      <c r="PNG6" s="27" t="str">
        <f>IFERROR(VLOOKUP(DATE($K$1,$K$2,PNG$4),Table1[],(MATCH(Calendar!$A6,DB!1:1,0)+2),FALSE),"")</f>
        <v/>
      </c>
      <c r="PNH6" s="27" t="str">
        <f>IFERROR(VLOOKUP(DATE($K$1,$K$2,PNH$4),Table1[],(MATCH(Calendar!$A6,DB!1:1,0)+2),FALSE),"")</f>
        <v/>
      </c>
      <c r="PNI6" s="27" t="str">
        <f>IFERROR(VLOOKUP(DATE($K$1,$K$2,PNI$4),Table1[],(MATCH(Calendar!$A6,DB!1:1,0)+2),FALSE),"")</f>
        <v/>
      </c>
      <c r="PNJ6" s="27" t="str">
        <f>IFERROR(VLOOKUP(DATE($K$1,$K$2,PNJ$4),Table1[],(MATCH(Calendar!$A6,DB!1:1,0)+2),FALSE),"")</f>
        <v/>
      </c>
      <c r="PNK6" s="27" t="str">
        <f>IFERROR(VLOOKUP(DATE($K$1,$K$2,PNK$4),Table1[],(MATCH(Calendar!$A6,DB!1:1,0)+2),FALSE),"")</f>
        <v/>
      </c>
      <c r="PNL6" s="27" t="str">
        <f>IFERROR(VLOOKUP(DATE($K$1,$K$2,PNL$4),Table1[],(MATCH(Calendar!$A6,DB!1:1,0)+2),FALSE),"")</f>
        <v/>
      </c>
      <c r="PNM6" s="27" t="str">
        <f>IFERROR(VLOOKUP(DATE($K$1,$K$2,PNM$4),Table1[],(MATCH(Calendar!$A6,DB!1:1,0)+2),FALSE),"")</f>
        <v/>
      </c>
      <c r="PNN6" s="27" t="str">
        <f>IFERROR(VLOOKUP(DATE($K$1,$K$2,PNN$4),Table1[],(MATCH(Calendar!$A6,DB!1:1,0)+2),FALSE),"")</f>
        <v/>
      </c>
      <c r="PNO6" s="27" t="str">
        <f>IFERROR(VLOOKUP(DATE($K$1,$K$2,PNO$4),Table1[],(MATCH(Calendar!$A6,DB!1:1,0)+2),FALSE),"")</f>
        <v/>
      </c>
      <c r="PNP6" s="27" t="str">
        <f>IFERROR(VLOOKUP(DATE($K$1,$K$2,PNP$4),Table1[],(MATCH(Calendar!$A6,DB!1:1,0)+2),FALSE),"")</f>
        <v/>
      </c>
      <c r="PNQ6" s="27" t="str">
        <f>IFERROR(VLOOKUP(DATE($K$1,$K$2,PNQ$4),Table1[],(MATCH(Calendar!$A6,DB!1:1,0)+2),FALSE),"")</f>
        <v/>
      </c>
      <c r="PNR6" s="27" t="str">
        <f>IFERROR(VLOOKUP(DATE($K$1,$K$2,PNR$4),Table1[],(MATCH(Calendar!$A6,DB!1:1,0)+2),FALSE),"")</f>
        <v/>
      </c>
      <c r="PNS6" s="27" t="str">
        <f>IFERROR(VLOOKUP(DATE($K$1,$K$2,PNS$4),Table1[],(MATCH(Calendar!$A6,DB!1:1,0)+2),FALSE),"")</f>
        <v/>
      </c>
      <c r="PNT6" s="27" t="str">
        <f>IFERROR(VLOOKUP(DATE($K$1,$K$2,PNT$4),Table1[],(MATCH(Calendar!$A6,DB!1:1,0)+2),FALSE),"")</f>
        <v/>
      </c>
      <c r="PNU6" s="27" t="str">
        <f>IFERROR(VLOOKUP(DATE($K$1,$K$2,PNU$4),Table1[],(MATCH(Calendar!$A6,DB!1:1,0)+2),FALSE),"")</f>
        <v/>
      </c>
      <c r="PNV6" s="27" t="str">
        <f>IFERROR(VLOOKUP(DATE($K$1,$K$2,PNV$4),Table1[],(MATCH(Calendar!$A6,DB!1:1,0)+2),FALSE),"")</f>
        <v/>
      </c>
      <c r="PNW6" s="27" t="str">
        <f>IFERROR(VLOOKUP(DATE($K$1,$K$2,PNW$4),Table1[],(MATCH(Calendar!$A6,DB!1:1,0)+2),FALSE),"")</f>
        <v/>
      </c>
      <c r="PNX6" s="27" t="str">
        <f>IFERROR(VLOOKUP(DATE($K$1,$K$2,PNX$4),Table1[],(MATCH(Calendar!$A6,DB!1:1,0)+2),FALSE),"")</f>
        <v/>
      </c>
      <c r="PNY6" s="27" t="str">
        <f>IFERROR(VLOOKUP(DATE($K$1,$K$2,PNY$4),Table1[],(MATCH(Calendar!$A6,DB!1:1,0)+2),FALSE),"")</f>
        <v/>
      </c>
      <c r="PNZ6" s="27" t="str">
        <f>IFERROR(VLOOKUP(DATE($K$1,$K$2,PNZ$4),Table1[],(MATCH(Calendar!$A6,DB!1:1,0)+2),FALSE),"")</f>
        <v/>
      </c>
      <c r="POA6" s="27" t="str">
        <f>IFERROR(VLOOKUP(DATE($K$1,$K$2,POA$4),Table1[],(MATCH(Calendar!$A6,DB!1:1,0)+2),FALSE),"")</f>
        <v/>
      </c>
      <c r="POB6" s="27" t="str">
        <f>IFERROR(VLOOKUP(DATE($K$1,$K$2,POB$4),Table1[],(MATCH(Calendar!$A6,DB!1:1,0)+2),FALSE),"")</f>
        <v/>
      </c>
      <c r="POC6" s="27" t="str">
        <f>IFERROR(VLOOKUP(DATE($K$1,$K$2,POC$4),Table1[],(MATCH(Calendar!$A6,DB!1:1,0)+2),FALSE),"")</f>
        <v/>
      </c>
      <c r="POD6" s="27" t="str">
        <f>IFERROR(VLOOKUP(DATE($K$1,$K$2,POD$4),Table1[],(MATCH(Calendar!$A6,DB!1:1,0)+2),FALSE),"")</f>
        <v/>
      </c>
      <c r="POE6" s="27" t="str">
        <f>IFERROR(VLOOKUP(DATE($K$1,$K$2,POE$4),Table1[],(MATCH(Calendar!$A6,DB!1:1,0)+2),FALSE),"")</f>
        <v/>
      </c>
      <c r="POF6" s="27" t="str">
        <f>IFERROR(VLOOKUP(DATE($K$1,$K$2,POF$4),Table1[],(MATCH(Calendar!$A6,DB!1:1,0)+2),FALSE),"")</f>
        <v/>
      </c>
      <c r="POG6" s="27" t="str">
        <f>IFERROR(VLOOKUP(DATE($K$1,$K$2,POG$4),Table1[],(MATCH(Calendar!$A6,DB!1:1,0)+2),FALSE),"")</f>
        <v/>
      </c>
      <c r="POH6" s="27" t="str">
        <f>IFERROR(VLOOKUP(DATE($K$1,$K$2,POH$4),Table1[],(MATCH(Calendar!$A6,DB!1:1,0)+2),FALSE),"")</f>
        <v/>
      </c>
      <c r="POI6" s="27" t="str">
        <f>IFERROR(VLOOKUP(DATE($K$1,$K$2,POI$4),Table1[],(MATCH(Calendar!$A6,DB!1:1,0)+2),FALSE),"")</f>
        <v/>
      </c>
      <c r="POJ6" s="27" t="str">
        <f>IFERROR(VLOOKUP(DATE($K$1,$K$2,POJ$4),Table1[],(MATCH(Calendar!$A6,DB!1:1,0)+2),FALSE),"")</f>
        <v/>
      </c>
      <c r="POK6" s="27" t="str">
        <f>IFERROR(VLOOKUP(DATE($K$1,$K$2,POK$4),Table1[],(MATCH(Calendar!$A6,DB!1:1,0)+2),FALSE),"")</f>
        <v/>
      </c>
      <c r="POL6" s="27" t="str">
        <f>IFERROR(VLOOKUP(DATE($K$1,$K$2,POL$4),Table1[],(MATCH(Calendar!$A6,DB!1:1,0)+2),FALSE),"")</f>
        <v/>
      </c>
      <c r="POM6" s="27" t="str">
        <f>IFERROR(VLOOKUP(DATE($K$1,$K$2,POM$4),Table1[],(MATCH(Calendar!$A6,DB!1:1,0)+2),FALSE),"")</f>
        <v/>
      </c>
      <c r="PON6" s="27" t="str">
        <f>IFERROR(VLOOKUP(DATE($K$1,$K$2,PON$4),Table1[],(MATCH(Calendar!$A6,DB!1:1,0)+2),FALSE),"")</f>
        <v/>
      </c>
      <c r="POO6" s="27" t="str">
        <f>IFERROR(VLOOKUP(DATE($K$1,$K$2,POO$4),Table1[],(MATCH(Calendar!$A6,DB!1:1,0)+2),FALSE),"")</f>
        <v/>
      </c>
      <c r="POP6" s="27" t="str">
        <f>IFERROR(VLOOKUP(DATE($K$1,$K$2,POP$4),Table1[],(MATCH(Calendar!$A6,DB!1:1,0)+2),FALSE),"")</f>
        <v/>
      </c>
      <c r="POQ6" s="27" t="str">
        <f>IFERROR(VLOOKUP(DATE($K$1,$K$2,POQ$4),Table1[],(MATCH(Calendar!$A6,DB!1:1,0)+2),FALSE),"")</f>
        <v/>
      </c>
      <c r="POR6" s="27" t="str">
        <f>IFERROR(VLOOKUP(DATE($K$1,$K$2,POR$4),Table1[],(MATCH(Calendar!$A6,DB!1:1,0)+2),FALSE),"")</f>
        <v/>
      </c>
      <c r="POS6" s="27" t="str">
        <f>IFERROR(VLOOKUP(DATE($K$1,$K$2,POS$4),Table1[],(MATCH(Calendar!$A6,DB!1:1,0)+2),FALSE),"")</f>
        <v/>
      </c>
      <c r="POT6" s="27" t="str">
        <f>IFERROR(VLOOKUP(DATE($K$1,$K$2,POT$4),Table1[],(MATCH(Calendar!$A6,DB!1:1,0)+2),FALSE),"")</f>
        <v/>
      </c>
      <c r="POU6" s="27" t="str">
        <f>IFERROR(VLOOKUP(DATE($K$1,$K$2,POU$4),Table1[],(MATCH(Calendar!$A6,DB!1:1,0)+2),FALSE),"")</f>
        <v/>
      </c>
      <c r="POV6" s="27" t="str">
        <f>IFERROR(VLOOKUP(DATE($K$1,$K$2,POV$4),Table1[],(MATCH(Calendar!$A6,DB!1:1,0)+2),FALSE),"")</f>
        <v/>
      </c>
      <c r="POW6" s="27" t="str">
        <f>IFERROR(VLOOKUP(DATE($K$1,$K$2,POW$4),Table1[],(MATCH(Calendar!$A6,DB!1:1,0)+2),FALSE),"")</f>
        <v/>
      </c>
      <c r="POX6" s="27" t="str">
        <f>IFERROR(VLOOKUP(DATE($K$1,$K$2,POX$4),Table1[],(MATCH(Calendar!$A6,DB!1:1,0)+2),FALSE),"")</f>
        <v/>
      </c>
      <c r="POY6" s="27" t="str">
        <f>IFERROR(VLOOKUP(DATE($K$1,$K$2,POY$4),Table1[],(MATCH(Calendar!$A6,DB!1:1,0)+2),FALSE),"")</f>
        <v/>
      </c>
      <c r="POZ6" s="27" t="str">
        <f>IFERROR(VLOOKUP(DATE($K$1,$K$2,POZ$4),Table1[],(MATCH(Calendar!$A6,DB!1:1,0)+2),FALSE),"")</f>
        <v/>
      </c>
      <c r="PPA6" s="27" t="str">
        <f>IFERROR(VLOOKUP(DATE($K$1,$K$2,PPA$4),Table1[],(MATCH(Calendar!$A6,DB!1:1,0)+2),FALSE),"")</f>
        <v/>
      </c>
      <c r="PPB6" s="27" t="str">
        <f>IFERROR(VLOOKUP(DATE($K$1,$K$2,PPB$4),Table1[],(MATCH(Calendar!$A6,DB!1:1,0)+2),FALSE),"")</f>
        <v/>
      </c>
      <c r="PPC6" s="27" t="str">
        <f>IFERROR(VLOOKUP(DATE($K$1,$K$2,PPC$4),Table1[],(MATCH(Calendar!$A6,DB!1:1,0)+2),FALSE),"")</f>
        <v/>
      </c>
      <c r="PPD6" s="27" t="str">
        <f>IFERROR(VLOOKUP(DATE($K$1,$K$2,PPD$4),Table1[],(MATCH(Calendar!$A6,DB!1:1,0)+2),FALSE),"")</f>
        <v/>
      </c>
      <c r="PPE6" s="27" t="str">
        <f>IFERROR(VLOOKUP(DATE($K$1,$K$2,PPE$4),Table1[],(MATCH(Calendar!$A6,DB!1:1,0)+2),FALSE),"")</f>
        <v/>
      </c>
      <c r="PPF6" s="27" t="str">
        <f>IFERROR(VLOOKUP(DATE($K$1,$K$2,PPF$4),Table1[],(MATCH(Calendar!$A6,DB!1:1,0)+2),FALSE),"")</f>
        <v/>
      </c>
      <c r="PPG6" s="27" t="str">
        <f>IFERROR(VLOOKUP(DATE($K$1,$K$2,PPG$4),Table1[],(MATCH(Calendar!$A6,DB!1:1,0)+2),FALSE),"")</f>
        <v/>
      </c>
      <c r="PPH6" s="27" t="str">
        <f>IFERROR(VLOOKUP(DATE($K$1,$K$2,PPH$4),Table1[],(MATCH(Calendar!$A6,DB!1:1,0)+2),FALSE),"")</f>
        <v/>
      </c>
      <c r="PPI6" s="27" t="str">
        <f>IFERROR(VLOOKUP(DATE($K$1,$K$2,PPI$4),Table1[],(MATCH(Calendar!$A6,DB!1:1,0)+2),FALSE),"")</f>
        <v/>
      </c>
      <c r="PPJ6" s="27" t="str">
        <f>IFERROR(VLOOKUP(DATE($K$1,$K$2,PPJ$4),Table1[],(MATCH(Calendar!$A6,DB!1:1,0)+2),FALSE),"")</f>
        <v/>
      </c>
      <c r="PPK6" s="27" t="str">
        <f>IFERROR(VLOOKUP(DATE($K$1,$K$2,PPK$4),Table1[],(MATCH(Calendar!$A6,DB!1:1,0)+2),FALSE),"")</f>
        <v/>
      </c>
      <c r="PPL6" s="27" t="str">
        <f>IFERROR(VLOOKUP(DATE($K$1,$K$2,PPL$4),Table1[],(MATCH(Calendar!$A6,DB!1:1,0)+2),FALSE),"")</f>
        <v/>
      </c>
      <c r="PPM6" s="27" t="str">
        <f>IFERROR(VLOOKUP(DATE($K$1,$K$2,PPM$4),Table1[],(MATCH(Calendar!$A6,DB!1:1,0)+2),FALSE),"")</f>
        <v/>
      </c>
      <c r="PPN6" s="27" t="str">
        <f>IFERROR(VLOOKUP(DATE($K$1,$K$2,PPN$4),Table1[],(MATCH(Calendar!$A6,DB!1:1,0)+2),FALSE),"")</f>
        <v/>
      </c>
      <c r="PPO6" s="27" t="str">
        <f>IFERROR(VLOOKUP(DATE($K$1,$K$2,PPO$4),Table1[],(MATCH(Calendar!$A6,DB!1:1,0)+2),FALSE),"")</f>
        <v/>
      </c>
      <c r="PPP6" s="27" t="str">
        <f>IFERROR(VLOOKUP(DATE($K$1,$K$2,PPP$4),Table1[],(MATCH(Calendar!$A6,DB!1:1,0)+2),FALSE),"")</f>
        <v/>
      </c>
      <c r="PPQ6" s="27" t="str">
        <f>IFERROR(VLOOKUP(DATE($K$1,$K$2,PPQ$4),Table1[],(MATCH(Calendar!$A6,DB!1:1,0)+2),FALSE),"")</f>
        <v/>
      </c>
      <c r="PPR6" s="27" t="str">
        <f>IFERROR(VLOOKUP(DATE($K$1,$K$2,PPR$4),Table1[],(MATCH(Calendar!$A6,DB!1:1,0)+2),FALSE),"")</f>
        <v/>
      </c>
      <c r="PPS6" s="27" t="str">
        <f>IFERROR(VLOOKUP(DATE($K$1,$K$2,PPS$4),Table1[],(MATCH(Calendar!$A6,DB!1:1,0)+2),FALSE),"")</f>
        <v/>
      </c>
      <c r="PPT6" s="27" t="str">
        <f>IFERROR(VLOOKUP(DATE($K$1,$K$2,PPT$4),Table1[],(MATCH(Calendar!$A6,DB!1:1,0)+2),FALSE),"")</f>
        <v/>
      </c>
      <c r="PPU6" s="27" t="str">
        <f>IFERROR(VLOOKUP(DATE($K$1,$K$2,PPU$4),Table1[],(MATCH(Calendar!$A6,DB!1:1,0)+2),FALSE),"")</f>
        <v/>
      </c>
      <c r="PPV6" s="27" t="str">
        <f>IFERROR(VLOOKUP(DATE($K$1,$K$2,PPV$4),Table1[],(MATCH(Calendar!$A6,DB!1:1,0)+2),FALSE),"")</f>
        <v/>
      </c>
      <c r="PPW6" s="27" t="str">
        <f>IFERROR(VLOOKUP(DATE($K$1,$K$2,PPW$4),Table1[],(MATCH(Calendar!$A6,DB!1:1,0)+2),FALSE),"")</f>
        <v/>
      </c>
      <c r="PPX6" s="27" t="str">
        <f>IFERROR(VLOOKUP(DATE($K$1,$K$2,PPX$4),Table1[],(MATCH(Calendar!$A6,DB!1:1,0)+2),FALSE),"")</f>
        <v/>
      </c>
      <c r="PPY6" s="27" t="str">
        <f>IFERROR(VLOOKUP(DATE($K$1,$K$2,PPY$4),Table1[],(MATCH(Calendar!$A6,DB!1:1,0)+2),FALSE),"")</f>
        <v/>
      </c>
      <c r="PPZ6" s="27" t="str">
        <f>IFERROR(VLOOKUP(DATE($K$1,$K$2,PPZ$4),Table1[],(MATCH(Calendar!$A6,DB!1:1,0)+2),FALSE),"")</f>
        <v/>
      </c>
      <c r="PQA6" s="27" t="str">
        <f>IFERROR(VLOOKUP(DATE($K$1,$K$2,PQA$4),Table1[],(MATCH(Calendar!$A6,DB!1:1,0)+2),FALSE),"")</f>
        <v/>
      </c>
      <c r="PQB6" s="27" t="str">
        <f>IFERROR(VLOOKUP(DATE($K$1,$K$2,PQB$4),Table1[],(MATCH(Calendar!$A6,DB!1:1,0)+2),FALSE),"")</f>
        <v/>
      </c>
      <c r="PQC6" s="27" t="str">
        <f>IFERROR(VLOOKUP(DATE($K$1,$K$2,PQC$4),Table1[],(MATCH(Calendar!$A6,DB!1:1,0)+2),FALSE),"")</f>
        <v/>
      </c>
      <c r="PQD6" s="27" t="str">
        <f>IFERROR(VLOOKUP(DATE($K$1,$K$2,PQD$4),Table1[],(MATCH(Calendar!$A6,DB!1:1,0)+2),FALSE),"")</f>
        <v/>
      </c>
      <c r="PQE6" s="27" t="str">
        <f>IFERROR(VLOOKUP(DATE($K$1,$K$2,PQE$4),Table1[],(MATCH(Calendar!$A6,DB!1:1,0)+2),FALSE),"")</f>
        <v/>
      </c>
      <c r="PQF6" s="27" t="str">
        <f>IFERROR(VLOOKUP(DATE($K$1,$K$2,PQF$4),Table1[],(MATCH(Calendar!$A6,DB!1:1,0)+2),FALSE),"")</f>
        <v/>
      </c>
      <c r="PQG6" s="27" t="str">
        <f>IFERROR(VLOOKUP(DATE($K$1,$K$2,PQG$4),Table1[],(MATCH(Calendar!$A6,DB!1:1,0)+2),FALSE),"")</f>
        <v/>
      </c>
      <c r="PQH6" s="27" t="str">
        <f>IFERROR(VLOOKUP(DATE($K$1,$K$2,PQH$4),Table1[],(MATCH(Calendar!$A6,DB!1:1,0)+2),FALSE),"")</f>
        <v/>
      </c>
      <c r="PQI6" s="27" t="str">
        <f>IFERROR(VLOOKUP(DATE($K$1,$K$2,PQI$4),Table1[],(MATCH(Calendar!$A6,DB!1:1,0)+2),FALSE),"")</f>
        <v/>
      </c>
      <c r="PQJ6" s="27" t="str">
        <f>IFERROR(VLOOKUP(DATE($K$1,$K$2,PQJ$4),Table1[],(MATCH(Calendar!$A6,DB!1:1,0)+2),FALSE),"")</f>
        <v/>
      </c>
      <c r="PQK6" s="27" t="str">
        <f>IFERROR(VLOOKUP(DATE($K$1,$K$2,PQK$4),Table1[],(MATCH(Calendar!$A6,DB!1:1,0)+2),FALSE),"")</f>
        <v/>
      </c>
      <c r="PQL6" s="27" t="str">
        <f>IFERROR(VLOOKUP(DATE($K$1,$K$2,PQL$4),Table1[],(MATCH(Calendar!$A6,DB!1:1,0)+2),FALSE),"")</f>
        <v/>
      </c>
      <c r="PQM6" s="27" t="str">
        <f>IFERROR(VLOOKUP(DATE($K$1,$K$2,PQM$4),Table1[],(MATCH(Calendar!$A6,DB!1:1,0)+2),FALSE),"")</f>
        <v/>
      </c>
      <c r="PQN6" s="27" t="str">
        <f>IFERROR(VLOOKUP(DATE($K$1,$K$2,PQN$4),Table1[],(MATCH(Calendar!$A6,DB!1:1,0)+2),FALSE),"")</f>
        <v/>
      </c>
      <c r="PQO6" s="27" t="str">
        <f>IFERROR(VLOOKUP(DATE($K$1,$K$2,PQO$4),Table1[],(MATCH(Calendar!$A6,DB!1:1,0)+2),FALSE),"")</f>
        <v/>
      </c>
      <c r="PQP6" s="27" t="str">
        <f>IFERROR(VLOOKUP(DATE($K$1,$K$2,PQP$4),Table1[],(MATCH(Calendar!$A6,DB!1:1,0)+2),FALSE),"")</f>
        <v/>
      </c>
      <c r="PQQ6" s="27" t="str">
        <f>IFERROR(VLOOKUP(DATE($K$1,$K$2,PQQ$4),Table1[],(MATCH(Calendar!$A6,DB!1:1,0)+2),FALSE),"")</f>
        <v/>
      </c>
      <c r="PQR6" s="27" t="str">
        <f>IFERROR(VLOOKUP(DATE($K$1,$K$2,PQR$4),Table1[],(MATCH(Calendar!$A6,DB!1:1,0)+2),FALSE),"")</f>
        <v/>
      </c>
      <c r="PQS6" s="27" t="str">
        <f>IFERROR(VLOOKUP(DATE($K$1,$K$2,PQS$4),Table1[],(MATCH(Calendar!$A6,DB!1:1,0)+2),FALSE),"")</f>
        <v/>
      </c>
      <c r="PQT6" s="27" t="str">
        <f>IFERROR(VLOOKUP(DATE($K$1,$K$2,PQT$4),Table1[],(MATCH(Calendar!$A6,DB!1:1,0)+2),FALSE),"")</f>
        <v/>
      </c>
      <c r="PQU6" s="27" t="str">
        <f>IFERROR(VLOOKUP(DATE($K$1,$K$2,PQU$4),Table1[],(MATCH(Calendar!$A6,DB!1:1,0)+2),FALSE),"")</f>
        <v/>
      </c>
      <c r="PQV6" s="27" t="str">
        <f>IFERROR(VLOOKUP(DATE($K$1,$K$2,PQV$4),Table1[],(MATCH(Calendar!$A6,DB!1:1,0)+2),FALSE),"")</f>
        <v/>
      </c>
      <c r="PQW6" s="27" t="str">
        <f>IFERROR(VLOOKUP(DATE($K$1,$K$2,PQW$4),Table1[],(MATCH(Calendar!$A6,DB!1:1,0)+2),FALSE),"")</f>
        <v/>
      </c>
      <c r="PQX6" s="27" t="str">
        <f>IFERROR(VLOOKUP(DATE($K$1,$K$2,PQX$4),Table1[],(MATCH(Calendar!$A6,DB!1:1,0)+2),FALSE),"")</f>
        <v/>
      </c>
      <c r="PQY6" s="27" t="str">
        <f>IFERROR(VLOOKUP(DATE($K$1,$K$2,PQY$4),Table1[],(MATCH(Calendar!$A6,DB!1:1,0)+2),FALSE),"")</f>
        <v/>
      </c>
      <c r="PQZ6" s="27" t="str">
        <f>IFERROR(VLOOKUP(DATE($K$1,$K$2,PQZ$4),Table1[],(MATCH(Calendar!$A6,DB!1:1,0)+2),FALSE),"")</f>
        <v/>
      </c>
      <c r="PRA6" s="27" t="str">
        <f>IFERROR(VLOOKUP(DATE($K$1,$K$2,PRA$4),Table1[],(MATCH(Calendar!$A6,DB!1:1,0)+2),FALSE),"")</f>
        <v/>
      </c>
      <c r="PRB6" s="27" t="str">
        <f>IFERROR(VLOOKUP(DATE($K$1,$K$2,PRB$4),Table1[],(MATCH(Calendar!$A6,DB!1:1,0)+2),FALSE),"")</f>
        <v/>
      </c>
      <c r="PRC6" s="27" t="str">
        <f>IFERROR(VLOOKUP(DATE($K$1,$K$2,PRC$4),Table1[],(MATCH(Calendar!$A6,DB!1:1,0)+2),FALSE),"")</f>
        <v/>
      </c>
      <c r="PRD6" s="27" t="str">
        <f>IFERROR(VLOOKUP(DATE($K$1,$K$2,PRD$4),Table1[],(MATCH(Calendar!$A6,DB!1:1,0)+2),FALSE),"")</f>
        <v/>
      </c>
      <c r="PRE6" s="27" t="str">
        <f>IFERROR(VLOOKUP(DATE($K$1,$K$2,PRE$4),Table1[],(MATCH(Calendar!$A6,DB!1:1,0)+2),FALSE),"")</f>
        <v/>
      </c>
      <c r="PRF6" s="27" t="str">
        <f>IFERROR(VLOOKUP(DATE($K$1,$K$2,PRF$4),Table1[],(MATCH(Calendar!$A6,DB!1:1,0)+2),FALSE),"")</f>
        <v/>
      </c>
      <c r="PRG6" s="27" t="str">
        <f>IFERROR(VLOOKUP(DATE($K$1,$K$2,PRG$4),Table1[],(MATCH(Calendar!$A6,DB!1:1,0)+2),FALSE),"")</f>
        <v/>
      </c>
      <c r="PRH6" s="27" t="str">
        <f>IFERROR(VLOOKUP(DATE($K$1,$K$2,PRH$4),Table1[],(MATCH(Calendar!$A6,DB!1:1,0)+2),FALSE),"")</f>
        <v/>
      </c>
      <c r="PRI6" s="27" t="str">
        <f>IFERROR(VLOOKUP(DATE($K$1,$K$2,PRI$4),Table1[],(MATCH(Calendar!$A6,DB!1:1,0)+2),FALSE),"")</f>
        <v/>
      </c>
      <c r="PRJ6" s="27" t="str">
        <f>IFERROR(VLOOKUP(DATE($K$1,$K$2,PRJ$4),Table1[],(MATCH(Calendar!$A6,DB!1:1,0)+2),FALSE),"")</f>
        <v/>
      </c>
      <c r="PRK6" s="27" t="str">
        <f>IFERROR(VLOOKUP(DATE($K$1,$K$2,PRK$4),Table1[],(MATCH(Calendar!$A6,DB!1:1,0)+2),FALSE),"")</f>
        <v/>
      </c>
      <c r="PRL6" s="27" t="str">
        <f>IFERROR(VLOOKUP(DATE($K$1,$K$2,PRL$4),Table1[],(MATCH(Calendar!$A6,DB!1:1,0)+2),FALSE),"")</f>
        <v/>
      </c>
      <c r="PRM6" s="27" t="str">
        <f>IFERROR(VLOOKUP(DATE($K$1,$K$2,PRM$4),Table1[],(MATCH(Calendar!$A6,DB!1:1,0)+2),FALSE),"")</f>
        <v/>
      </c>
      <c r="PRN6" s="27" t="str">
        <f>IFERROR(VLOOKUP(DATE($K$1,$K$2,PRN$4),Table1[],(MATCH(Calendar!$A6,DB!1:1,0)+2),FALSE),"")</f>
        <v/>
      </c>
      <c r="PRO6" s="27" t="str">
        <f>IFERROR(VLOOKUP(DATE($K$1,$K$2,PRO$4),Table1[],(MATCH(Calendar!$A6,DB!1:1,0)+2),FALSE),"")</f>
        <v/>
      </c>
      <c r="PRP6" s="27" t="str">
        <f>IFERROR(VLOOKUP(DATE($K$1,$K$2,PRP$4),Table1[],(MATCH(Calendar!$A6,DB!1:1,0)+2),FALSE),"")</f>
        <v/>
      </c>
      <c r="PRQ6" s="27" t="str">
        <f>IFERROR(VLOOKUP(DATE($K$1,$K$2,PRQ$4),Table1[],(MATCH(Calendar!$A6,DB!1:1,0)+2),FALSE),"")</f>
        <v/>
      </c>
      <c r="PRR6" s="27" t="str">
        <f>IFERROR(VLOOKUP(DATE($K$1,$K$2,PRR$4),Table1[],(MATCH(Calendar!$A6,DB!1:1,0)+2),FALSE),"")</f>
        <v/>
      </c>
      <c r="PRS6" s="27" t="str">
        <f>IFERROR(VLOOKUP(DATE($K$1,$K$2,PRS$4),Table1[],(MATCH(Calendar!$A6,DB!1:1,0)+2),FALSE),"")</f>
        <v/>
      </c>
      <c r="PRT6" s="27" t="str">
        <f>IFERROR(VLOOKUP(DATE($K$1,$K$2,PRT$4),Table1[],(MATCH(Calendar!$A6,DB!1:1,0)+2),FALSE),"")</f>
        <v/>
      </c>
      <c r="PRU6" s="27" t="str">
        <f>IFERROR(VLOOKUP(DATE($K$1,$K$2,PRU$4),Table1[],(MATCH(Calendar!$A6,DB!1:1,0)+2),FALSE),"")</f>
        <v/>
      </c>
      <c r="PRV6" s="27" t="str">
        <f>IFERROR(VLOOKUP(DATE($K$1,$K$2,PRV$4),Table1[],(MATCH(Calendar!$A6,DB!1:1,0)+2),FALSE),"")</f>
        <v/>
      </c>
      <c r="PRW6" s="27" t="str">
        <f>IFERROR(VLOOKUP(DATE($K$1,$K$2,PRW$4),Table1[],(MATCH(Calendar!$A6,DB!1:1,0)+2),FALSE),"")</f>
        <v/>
      </c>
      <c r="PRX6" s="27" t="str">
        <f>IFERROR(VLOOKUP(DATE($K$1,$K$2,PRX$4),Table1[],(MATCH(Calendar!$A6,DB!1:1,0)+2),FALSE),"")</f>
        <v/>
      </c>
      <c r="PRY6" s="27" t="str">
        <f>IFERROR(VLOOKUP(DATE($K$1,$K$2,PRY$4),Table1[],(MATCH(Calendar!$A6,DB!1:1,0)+2),FALSE),"")</f>
        <v/>
      </c>
      <c r="PRZ6" s="27" t="str">
        <f>IFERROR(VLOOKUP(DATE($K$1,$K$2,PRZ$4),Table1[],(MATCH(Calendar!$A6,DB!1:1,0)+2),FALSE),"")</f>
        <v/>
      </c>
      <c r="PSA6" s="27" t="str">
        <f>IFERROR(VLOOKUP(DATE($K$1,$K$2,PSA$4),Table1[],(MATCH(Calendar!$A6,DB!1:1,0)+2),FALSE),"")</f>
        <v/>
      </c>
      <c r="PSB6" s="27" t="str">
        <f>IFERROR(VLOOKUP(DATE($K$1,$K$2,PSB$4),Table1[],(MATCH(Calendar!$A6,DB!1:1,0)+2),FALSE),"")</f>
        <v/>
      </c>
      <c r="PSC6" s="27" t="str">
        <f>IFERROR(VLOOKUP(DATE($K$1,$K$2,PSC$4),Table1[],(MATCH(Calendar!$A6,DB!1:1,0)+2),FALSE),"")</f>
        <v/>
      </c>
      <c r="PSD6" s="27" t="str">
        <f>IFERROR(VLOOKUP(DATE($K$1,$K$2,PSD$4),Table1[],(MATCH(Calendar!$A6,DB!1:1,0)+2),FALSE),"")</f>
        <v/>
      </c>
      <c r="PSE6" s="27" t="str">
        <f>IFERROR(VLOOKUP(DATE($K$1,$K$2,PSE$4),Table1[],(MATCH(Calendar!$A6,DB!1:1,0)+2),FALSE),"")</f>
        <v/>
      </c>
      <c r="PSF6" s="27" t="str">
        <f>IFERROR(VLOOKUP(DATE($K$1,$K$2,PSF$4),Table1[],(MATCH(Calendar!$A6,DB!1:1,0)+2),FALSE),"")</f>
        <v/>
      </c>
      <c r="PSG6" s="27" t="str">
        <f>IFERROR(VLOOKUP(DATE($K$1,$K$2,PSG$4),Table1[],(MATCH(Calendar!$A6,DB!1:1,0)+2),FALSE),"")</f>
        <v/>
      </c>
      <c r="PSH6" s="27" t="str">
        <f>IFERROR(VLOOKUP(DATE($K$1,$K$2,PSH$4),Table1[],(MATCH(Calendar!$A6,DB!1:1,0)+2),FALSE),"")</f>
        <v/>
      </c>
      <c r="PSI6" s="27" t="str">
        <f>IFERROR(VLOOKUP(DATE($K$1,$K$2,PSI$4),Table1[],(MATCH(Calendar!$A6,DB!1:1,0)+2),FALSE),"")</f>
        <v/>
      </c>
      <c r="PSJ6" s="27" t="str">
        <f>IFERROR(VLOOKUP(DATE($K$1,$K$2,PSJ$4),Table1[],(MATCH(Calendar!$A6,DB!1:1,0)+2),FALSE),"")</f>
        <v/>
      </c>
      <c r="PSK6" s="27" t="str">
        <f>IFERROR(VLOOKUP(DATE($K$1,$K$2,PSK$4),Table1[],(MATCH(Calendar!$A6,DB!1:1,0)+2),FALSE),"")</f>
        <v/>
      </c>
      <c r="PSL6" s="27" t="str">
        <f>IFERROR(VLOOKUP(DATE($K$1,$K$2,PSL$4),Table1[],(MATCH(Calendar!$A6,DB!1:1,0)+2),FALSE),"")</f>
        <v/>
      </c>
      <c r="PSM6" s="27" t="str">
        <f>IFERROR(VLOOKUP(DATE($K$1,$K$2,PSM$4),Table1[],(MATCH(Calendar!$A6,DB!1:1,0)+2),FALSE),"")</f>
        <v/>
      </c>
      <c r="PSN6" s="27" t="str">
        <f>IFERROR(VLOOKUP(DATE($K$1,$K$2,PSN$4),Table1[],(MATCH(Calendar!$A6,DB!1:1,0)+2),FALSE),"")</f>
        <v/>
      </c>
      <c r="PSO6" s="27" t="str">
        <f>IFERROR(VLOOKUP(DATE($K$1,$K$2,PSO$4),Table1[],(MATCH(Calendar!$A6,DB!1:1,0)+2),FALSE),"")</f>
        <v/>
      </c>
      <c r="PSP6" s="27" t="str">
        <f>IFERROR(VLOOKUP(DATE($K$1,$K$2,PSP$4),Table1[],(MATCH(Calendar!$A6,DB!1:1,0)+2),FALSE),"")</f>
        <v/>
      </c>
      <c r="PSQ6" s="27" t="str">
        <f>IFERROR(VLOOKUP(DATE($K$1,$K$2,PSQ$4),Table1[],(MATCH(Calendar!$A6,DB!1:1,0)+2),FALSE),"")</f>
        <v/>
      </c>
      <c r="PSR6" s="27" t="str">
        <f>IFERROR(VLOOKUP(DATE($K$1,$K$2,PSR$4),Table1[],(MATCH(Calendar!$A6,DB!1:1,0)+2),FALSE),"")</f>
        <v/>
      </c>
      <c r="PSS6" s="27" t="str">
        <f>IFERROR(VLOOKUP(DATE($K$1,$K$2,PSS$4),Table1[],(MATCH(Calendar!$A6,DB!1:1,0)+2),FALSE),"")</f>
        <v/>
      </c>
      <c r="PST6" s="27" t="str">
        <f>IFERROR(VLOOKUP(DATE($K$1,$K$2,PST$4),Table1[],(MATCH(Calendar!$A6,DB!1:1,0)+2),FALSE),"")</f>
        <v/>
      </c>
      <c r="PSU6" s="27" t="str">
        <f>IFERROR(VLOOKUP(DATE($K$1,$K$2,PSU$4),Table1[],(MATCH(Calendar!$A6,DB!1:1,0)+2),FALSE),"")</f>
        <v/>
      </c>
      <c r="PSV6" s="27" t="str">
        <f>IFERROR(VLOOKUP(DATE($K$1,$K$2,PSV$4),Table1[],(MATCH(Calendar!$A6,DB!1:1,0)+2),FALSE),"")</f>
        <v/>
      </c>
      <c r="PSW6" s="27" t="str">
        <f>IFERROR(VLOOKUP(DATE($K$1,$K$2,PSW$4),Table1[],(MATCH(Calendar!$A6,DB!1:1,0)+2),FALSE),"")</f>
        <v/>
      </c>
      <c r="PSX6" s="27" t="str">
        <f>IFERROR(VLOOKUP(DATE($K$1,$K$2,PSX$4),Table1[],(MATCH(Calendar!$A6,DB!1:1,0)+2),FALSE),"")</f>
        <v/>
      </c>
      <c r="PSY6" s="27" t="str">
        <f>IFERROR(VLOOKUP(DATE($K$1,$K$2,PSY$4),Table1[],(MATCH(Calendar!$A6,DB!1:1,0)+2),FALSE),"")</f>
        <v/>
      </c>
      <c r="PSZ6" s="27" t="str">
        <f>IFERROR(VLOOKUP(DATE($K$1,$K$2,PSZ$4),Table1[],(MATCH(Calendar!$A6,DB!1:1,0)+2),FALSE),"")</f>
        <v/>
      </c>
      <c r="PTA6" s="27" t="str">
        <f>IFERROR(VLOOKUP(DATE($K$1,$K$2,PTA$4),Table1[],(MATCH(Calendar!$A6,DB!1:1,0)+2),FALSE),"")</f>
        <v/>
      </c>
      <c r="PTB6" s="27" t="str">
        <f>IFERROR(VLOOKUP(DATE($K$1,$K$2,PTB$4),Table1[],(MATCH(Calendar!$A6,DB!1:1,0)+2),FALSE),"")</f>
        <v/>
      </c>
      <c r="PTC6" s="27" t="str">
        <f>IFERROR(VLOOKUP(DATE($K$1,$K$2,PTC$4),Table1[],(MATCH(Calendar!$A6,DB!1:1,0)+2),FALSE),"")</f>
        <v/>
      </c>
      <c r="PTD6" s="27" t="str">
        <f>IFERROR(VLOOKUP(DATE($K$1,$K$2,PTD$4),Table1[],(MATCH(Calendar!$A6,DB!1:1,0)+2),FALSE),"")</f>
        <v/>
      </c>
      <c r="PTE6" s="27" t="str">
        <f>IFERROR(VLOOKUP(DATE($K$1,$K$2,PTE$4),Table1[],(MATCH(Calendar!$A6,DB!1:1,0)+2),FALSE),"")</f>
        <v/>
      </c>
      <c r="PTF6" s="27" t="str">
        <f>IFERROR(VLOOKUP(DATE($K$1,$K$2,PTF$4),Table1[],(MATCH(Calendar!$A6,DB!1:1,0)+2),FALSE),"")</f>
        <v/>
      </c>
      <c r="PTG6" s="27" t="str">
        <f>IFERROR(VLOOKUP(DATE($K$1,$K$2,PTG$4),Table1[],(MATCH(Calendar!$A6,DB!1:1,0)+2),FALSE),"")</f>
        <v/>
      </c>
      <c r="PTH6" s="27" t="str">
        <f>IFERROR(VLOOKUP(DATE($K$1,$K$2,PTH$4),Table1[],(MATCH(Calendar!$A6,DB!1:1,0)+2),FALSE),"")</f>
        <v/>
      </c>
      <c r="PTI6" s="27" t="str">
        <f>IFERROR(VLOOKUP(DATE($K$1,$K$2,PTI$4),Table1[],(MATCH(Calendar!$A6,DB!1:1,0)+2),FALSE),"")</f>
        <v/>
      </c>
      <c r="PTJ6" s="27" t="str">
        <f>IFERROR(VLOOKUP(DATE($K$1,$K$2,PTJ$4),Table1[],(MATCH(Calendar!$A6,DB!1:1,0)+2),FALSE),"")</f>
        <v/>
      </c>
      <c r="PTK6" s="27" t="str">
        <f>IFERROR(VLOOKUP(DATE($K$1,$K$2,PTK$4),Table1[],(MATCH(Calendar!$A6,DB!1:1,0)+2),FALSE),"")</f>
        <v/>
      </c>
      <c r="PTL6" s="27" t="str">
        <f>IFERROR(VLOOKUP(DATE($K$1,$K$2,PTL$4),Table1[],(MATCH(Calendar!$A6,DB!1:1,0)+2),FALSE),"")</f>
        <v/>
      </c>
      <c r="PTM6" s="27" t="str">
        <f>IFERROR(VLOOKUP(DATE($K$1,$K$2,PTM$4),Table1[],(MATCH(Calendar!$A6,DB!1:1,0)+2),FALSE),"")</f>
        <v/>
      </c>
      <c r="PTN6" s="27" t="str">
        <f>IFERROR(VLOOKUP(DATE($K$1,$K$2,PTN$4),Table1[],(MATCH(Calendar!$A6,DB!1:1,0)+2),FALSE),"")</f>
        <v/>
      </c>
      <c r="PTO6" s="27" t="str">
        <f>IFERROR(VLOOKUP(DATE($K$1,$K$2,PTO$4),Table1[],(MATCH(Calendar!$A6,DB!1:1,0)+2),FALSE),"")</f>
        <v/>
      </c>
      <c r="PTP6" s="27" t="str">
        <f>IFERROR(VLOOKUP(DATE($K$1,$K$2,PTP$4),Table1[],(MATCH(Calendar!$A6,DB!1:1,0)+2),FALSE),"")</f>
        <v/>
      </c>
      <c r="PTQ6" s="27" t="str">
        <f>IFERROR(VLOOKUP(DATE($K$1,$K$2,PTQ$4),Table1[],(MATCH(Calendar!$A6,DB!1:1,0)+2),FALSE),"")</f>
        <v/>
      </c>
      <c r="PTR6" s="27" t="str">
        <f>IFERROR(VLOOKUP(DATE($K$1,$K$2,PTR$4),Table1[],(MATCH(Calendar!$A6,DB!1:1,0)+2),FALSE),"")</f>
        <v/>
      </c>
      <c r="PTS6" s="27" t="str">
        <f>IFERROR(VLOOKUP(DATE($K$1,$K$2,PTS$4),Table1[],(MATCH(Calendar!$A6,DB!1:1,0)+2),FALSE),"")</f>
        <v/>
      </c>
      <c r="PTT6" s="27" t="str">
        <f>IFERROR(VLOOKUP(DATE($K$1,$K$2,PTT$4),Table1[],(MATCH(Calendar!$A6,DB!1:1,0)+2),FALSE),"")</f>
        <v/>
      </c>
      <c r="PTU6" s="27" t="str">
        <f>IFERROR(VLOOKUP(DATE($K$1,$K$2,PTU$4),Table1[],(MATCH(Calendar!$A6,DB!1:1,0)+2),FALSE),"")</f>
        <v/>
      </c>
      <c r="PTV6" s="27" t="str">
        <f>IFERROR(VLOOKUP(DATE($K$1,$K$2,PTV$4),Table1[],(MATCH(Calendar!$A6,DB!1:1,0)+2),FALSE),"")</f>
        <v/>
      </c>
      <c r="PTW6" s="27" t="str">
        <f>IFERROR(VLOOKUP(DATE($K$1,$K$2,PTW$4),Table1[],(MATCH(Calendar!$A6,DB!1:1,0)+2),FALSE),"")</f>
        <v/>
      </c>
      <c r="PTX6" s="27" t="str">
        <f>IFERROR(VLOOKUP(DATE($K$1,$K$2,PTX$4),Table1[],(MATCH(Calendar!$A6,DB!1:1,0)+2),FALSE),"")</f>
        <v/>
      </c>
      <c r="PTY6" s="27" t="str">
        <f>IFERROR(VLOOKUP(DATE($K$1,$K$2,PTY$4),Table1[],(MATCH(Calendar!$A6,DB!1:1,0)+2),FALSE),"")</f>
        <v/>
      </c>
      <c r="PTZ6" s="27" t="str">
        <f>IFERROR(VLOOKUP(DATE($K$1,$K$2,PTZ$4),Table1[],(MATCH(Calendar!$A6,DB!1:1,0)+2),FALSE),"")</f>
        <v/>
      </c>
      <c r="PUA6" s="27" t="str">
        <f>IFERROR(VLOOKUP(DATE($K$1,$K$2,PUA$4),Table1[],(MATCH(Calendar!$A6,DB!1:1,0)+2),FALSE),"")</f>
        <v/>
      </c>
      <c r="PUB6" s="27" t="str">
        <f>IFERROR(VLOOKUP(DATE($K$1,$K$2,PUB$4),Table1[],(MATCH(Calendar!$A6,DB!1:1,0)+2),FALSE),"")</f>
        <v/>
      </c>
      <c r="PUC6" s="27" t="str">
        <f>IFERROR(VLOOKUP(DATE($K$1,$K$2,PUC$4),Table1[],(MATCH(Calendar!$A6,DB!1:1,0)+2),FALSE),"")</f>
        <v/>
      </c>
      <c r="PUD6" s="27" t="str">
        <f>IFERROR(VLOOKUP(DATE($K$1,$K$2,PUD$4),Table1[],(MATCH(Calendar!$A6,DB!1:1,0)+2),FALSE),"")</f>
        <v/>
      </c>
      <c r="PUE6" s="27" t="str">
        <f>IFERROR(VLOOKUP(DATE($K$1,$K$2,PUE$4),Table1[],(MATCH(Calendar!$A6,DB!1:1,0)+2),FALSE),"")</f>
        <v/>
      </c>
      <c r="PUF6" s="27" t="str">
        <f>IFERROR(VLOOKUP(DATE($K$1,$K$2,PUF$4),Table1[],(MATCH(Calendar!$A6,DB!1:1,0)+2),FALSE),"")</f>
        <v/>
      </c>
      <c r="PUG6" s="27" t="str">
        <f>IFERROR(VLOOKUP(DATE($K$1,$K$2,PUG$4),Table1[],(MATCH(Calendar!$A6,DB!1:1,0)+2),FALSE),"")</f>
        <v/>
      </c>
      <c r="PUH6" s="27" t="str">
        <f>IFERROR(VLOOKUP(DATE($K$1,$K$2,PUH$4),Table1[],(MATCH(Calendar!$A6,DB!1:1,0)+2),FALSE),"")</f>
        <v/>
      </c>
      <c r="PUI6" s="27" t="str">
        <f>IFERROR(VLOOKUP(DATE($K$1,$K$2,PUI$4),Table1[],(MATCH(Calendar!$A6,DB!1:1,0)+2),FALSE),"")</f>
        <v/>
      </c>
      <c r="PUJ6" s="27" t="str">
        <f>IFERROR(VLOOKUP(DATE($K$1,$K$2,PUJ$4),Table1[],(MATCH(Calendar!$A6,DB!1:1,0)+2),FALSE),"")</f>
        <v/>
      </c>
      <c r="PUK6" s="27" t="str">
        <f>IFERROR(VLOOKUP(DATE($K$1,$K$2,PUK$4),Table1[],(MATCH(Calendar!$A6,DB!1:1,0)+2),FALSE),"")</f>
        <v/>
      </c>
      <c r="PUL6" s="27" t="str">
        <f>IFERROR(VLOOKUP(DATE($K$1,$K$2,PUL$4),Table1[],(MATCH(Calendar!$A6,DB!1:1,0)+2),FALSE),"")</f>
        <v/>
      </c>
      <c r="PUM6" s="27" t="str">
        <f>IFERROR(VLOOKUP(DATE($K$1,$K$2,PUM$4),Table1[],(MATCH(Calendar!$A6,DB!1:1,0)+2),FALSE),"")</f>
        <v/>
      </c>
      <c r="PUN6" s="27" t="str">
        <f>IFERROR(VLOOKUP(DATE($K$1,$K$2,PUN$4),Table1[],(MATCH(Calendar!$A6,DB!1:1,0)+2),FALSE),"")</f>
        <v/>
      </c>
      <c r="PUO6" s="27" t="str">
        <f>IFERROR(VLOOKUP(DATE($K$1,$K$2,PUO$4),Table1[],(MATCH(Calendar!$A6,DB!1:1,0)+2),FALSE),"")</f>
        <v/>
      </c>
      <c r="PUP6" s="27" t="str">
        <f>IFERROR(VLOOKUP(DATE($K$1,$K$2,PUP$4),Table1[],(MATCH(Calendar!$A6,DB!1:1,0)+2),FALSE),"")</f>
        <v/>
      </c>
      <c r="PUQ6" s="27" t="str">
        <f>IFERROR(VLOOKUP(DATE($K$1,$K$2,PUQ$4),Table1[],(MATCH(Calendar!$A6,DB!1:1,0)+2),FALSE),"")</f>
        <v/>
      </c>
      <c r="PUR6" s="27" t="str">
        <f>IFERROR(VLOOKUP(DATE($K$1,$K$2,PUR$4),Table1[],(MATCH(Calendar!$A6,DB!1:1,0)+2),FALSE),"")</f>
        <v/>
      </c>
      <c r="PUS6" s="27" t="str">
        <f>IFERROR(VLOOKUP(DATE($K$1,$K$2,PUS$4),Table1[],(MATCH(Calendar!$A6,DB!1:1,0)+2),FALSE),"")</f>
        <v/>
      </c>
      <c r="PUT6" s="27" t="str">
        <f>IFERROR(VLOOKUP(DATE($K$1,$K$2,PUT$4),Table1[],(MATCH(Calendar!$A6,DB!1:1,0)+2),FALSE),"")</f>
        <v/>
      </c>
      <c r="PUU6" s="27" t="str">
        <f>IFERROR(VLOOKUP(DATE($K$1,$K$2,PUU$4),Table1[],(MATCH(Calendar!$A6,DB!1:1,0)+2),FALSE),"")</f>
        <v/>
      </c>
      <c r="PUV6" s="27" t="str">
        <f>IFERROR(VLOOKUP(DATE($K$1,$K$2,PUV$4),Table1[],(MATCH(Calendar!$A6,DB!1:1,0)+2),FALSE),"")</f>
        <v/>
      </c>
      <c r="PUW6" s="27" t="str">
        <f>IFERROR(VLOOKUP(DATE($K$1,$K$2,PUW$4),Table1[],(MATCH(Calendar!$A6,DB!1:1,0)+2),FALSE),"")</f>
        <v/>
      </c>
      <c r="PUX6" s="27" t="str">
        <f>IFERROR(VLOOKUP(DATE($K$1,$K$2,PUX$4),Table1[],(MATCH(Calendar!$A6,DB!1:1,0)+2),FALSE),"")</f>
        <v/>
      </c>
      <c r="PUY6" s="27" t="str">
        <f>IFERROR(VLOOKUP(DATE($K$1,$K$2,PUY$4),Table1[],(MATCH(Calendar!$A6,DB!1:1,0)+2),FALSE),"")</f>
        <v/>
      </c>
      <c r="PUZ6" s="27" t="str">
        <f>IFERROR(VLOOKUP(DATE($K$1,$K$2,PUZ$4),Table1[],(MATCH(Calendar!$A6,DB!1:1,0)+2),FALSE),"")</f>
        <v/>
      </c>
      <c r="PVA6" s="27" t="str">
        <f>IFERROR(VLOOKUP(DATE($K$1,$K$2,PVA$4),Table1[],(MATCH(Calendar!$A6,DB!1:1,0)+2),FALSE),"")</f>
        <v/>
      </c>
      <c r="PVB6" s="27" t="str">
        <f>IFERROR(VLOOKUP(DATE($K$1,$K$2,PVB$4),Table1[],(MATCH(Calendar!$A6,DB!1:1,0)+2),FALSE),"")</f>
        <v/>
      </c>
      <c r="PVC6" s="27" t="str">
        <f>IFERROR(VLOOKUP(DATE($K$1,$K$2,PVC$4),Table1[],(MATCH(Calendar!$A6,DB!1:1,0)+2),FALSE),"")</f>
        <v/>
      </c>
      <c r="PVD6" s="27" t="str">
        <f>IFERROR(VLOOKUP(DATE($K$1,$K$2,PVD$4),Table1[],(MATCH(Calendar!$A6,DB!1:1,0)+2),FALSE),"")</f>
        <v/>
      </c>
      <c r="PVE6" s="27" t="str">
        <f>IFERROR(VLOOKUP(DATE($K$1,$K$2,PVE$4),Table1[],(MATCH(Calendar!$A6,DB!1:1,0)+2),FALSE),"")</f>
        <v/>
      </c>
      <c r="PVF6" s="27" t="str">
        <f>IFERROR(VLOOKUP(DATE($K$1,$K$2,PVF$4),Table1[],(MATCH(Calendar!$A6,DB!1:1,0)+2),FALSE),"")</f>
        <v/>
      </c>
      <c r="PVG6" s="27" t="str">
        <f>IFERROR(VLOOKUP(DATE($K$1,$K$2,PVG$4),Table1[],(MATCH(Calendar!$A6,DB!1:1,0)+2),FALSE),"")</f>
        <v/>
      </c>
      <c r="PVH6" s="27" t="str">
        <f>IFERROR(VLOOKUP(DATE($K$1,$K$2,PVH$4),Table1[],(MATCH(Calendar!$A6,DB!1:1,0)+2),FALSE),"")</f>
        <v/>
      </c>
      <c r="PVI6" s="27" t="str">
        <f>IFERROR(VLOOKUP(DATE($K$1,$K$2,PVI$4),Table1[],(MATCH(Calendar!$A6,DB!1:1,0)+2),FALSE),"")</f>
        <v/>
      </c>
      <c r="PVJ6" s="27" t="str">
        <f>IFERROR(VLOOKUP(DATE($K$1,$K$2,PVJ$4),Table1[],(MATCH(Calendar!$A6,DB!1:1,0)+2),FALSE),"")</f>
        <v/>
      </c>
      <c r="PVK6" s="27" t="str">
        <f>IFERROR(VLOOKUP(DATE($K$1,$K$2,PVK$4),Table1[],(MATCH(Calendar!$A6,DB!1:1,0)+2),FALSE),"")</f>
        <v/>
      </c>
      <c r="PVL6" s="27" t="str">
        <f>IFERROR(VLOOKUP(DATE($K$1,$K$2,PVL$4),Table1[],(MATCH(Calendar!$A6,DB!1:1,0)+2),FALSE),"")</f>
        <v/>
      </c>
      <c r="PVM6" s="27" t="str">
        <f>IFERROR(VLOOKUP(DATE($K$1,$K$2,PVM$4),Table1[],(MATCH(Calendar!$A6,DB!1:1,0)+2),FALSE),"")</f>
        <v/>
      </c>
      <c r="PVN6" s="27" t="str">
        <f>IFERROR(VLOOKUP(DATE($K$1,$K$2,PVN$4),Table1[],(MATCH(Calendar!$A6,DB!1:1,0)+2),FALSE),"")</f>
        <v/>
      </c>
      <c r="PVO6" s="27" t="str">
        <f>IFERROR(VLOOKUP(DATE($K$1,$K$2,PVO$4),Table1[],(MATCH(Calendar!$A6,DB!1:1,0)+2),FALSE),"")</f>
        <v/>
      </c>
      <c r="PVP6" s="27" t="str">
        <f>IFERROR(VLOOKUP(DATE($K$1,$K$2,PVP$4),Table1[],(MATCH(Calendar!$A6,DB!1:1,0)+2),FALSE),"")</f>
        <v/>
      </c>
      <c r="PVQ6" s="27" t="str">
        <f>IFERROR(VLOOKUP(DATE($K$1,$K$2,PVQ$4),Table1[],(MATCH(Calendar!$A6,DB!1:1,0)+2),FALSE),"")</f>
        <v/>
      </c>
      <c r="PVR6" s="27" t="str">
        <f>IFERROR(VLOOKUP(DATE($K$1,$K$2,PVR$4),Table1[],(MATCH(Calendar!$A6,DB!1:1,0)+2),FALSE),"")</f>
        <v/>
      </c>
      <c r="PVS6" s="27" t="str">
        <f>IFERROR(VLOOKUP(DATE($K$1,$K$2,PVS$4),Table1[],(MATCH(Calendar!$A6,DB!1:1,0)+2),FALSE),"")</f>
        <v/>
      </c>
      <c r="PVT6" s="27" t="str">
        <f>IFERROR(VLOOKUP(DATE($K$1,$K$2,PVT$4),Table1[],(MATCH(Calendar!$A6,DB!1:1,0)+2),FALSE),"")</f>
        <v/>
      </c>
      <c r="PVU6" s="27" t="str">
        <f>IFERROR(VLOOKUP(DATE($K$1,$K$2,PVU$4),Table1[],(MATCH(Calendar!$A6,DB!1:1,0)+2),FALSE),"")</f>
        <v/>
      </c>
      <c r="PVV6" s="27" t="str">
        <f>IFERROR(VLOOKUP(DATE($K$1,$K$2,PVV$4),Table1[],(MATCH(Calendar!$A6,DB!1:1,0)+2),FALSE),"")</f>
        <v/>
      </c>
      <c r="PVW6" s="27" t="str">
        <f>IFERROR(VLOOKUP(DATE($K$1,$K$2,PVW$4),Table1[],(MATCH(Calendar!$A6,DB!1:1,0)+2),FALSE),"")</f>
        <v/>
      </c>
      <c r="PVX6" s="27" t="str">
        <f>IFERROR(VLOOKUP(DATE($K$1,$K$2,PVX$4),Table1[],(MATCH(Calendar!$A6,DB!1:1,0)+2),FALSE),"")</f>
        <v/>
      </c>
      <c r="PVY6" s="27" t="str">
        <f>IFERROR(VLOOKUP(DATE($K$1,$K$2,PVY$4),Table1[],(MATCH(Calendar!$A6,DB!1:1,0)+2),FALSE),"")</f>
        <v/>
      </c>
      <c r="PVZ6" s="27" t="str">
        <f>IFERROR(VLOOKUP(DATE($K$1,$K$2,PVZ$4),Table1[],(MATCH(Calendar!$A6,DB!1:1,0)+2),FALSE),"")</f>
        <v/>
      </c>
      <c r="PWA6" s="27" t="str">
        <f>IFERROR(VLOOKUP(DATE($K$1,$K$2,PWA$4),Table1[],(MATCH(Calendar!$A6,DB!1:1,0)+2),FALSE),"")</f>
        <v/>
      </c>
      <c r="PWB6" s="27" t="str">
        <f>IFERROR(VLOOKUP(DATE($K$1,$K$2,PWB$4),Table1[],(MATCH(Calendar!$A6,DB!1:1,0)+2),FALSE),"")</f>
        <v/>
      </c>
      <c r="PWC6" s="27" t="str">
        <f>IFERROR(VLOOKUP(DATE($K$1,$K$2,PWC$4),Table1[],(MATCH(Calendar!$A6,DB!1:1,0)+2),FALSE),"")</f>
        <v/>
      </c>
      <c r="PWD6" s="27" t="str">
        <f>IFERROR(VLOOKUP(DATE($K$1,$K$2,PWD$4),Table1[],(MATCH(Calendar!$A6,DB!1:1,0)+2),FALSE),"")</f>
        <v/>
      </c>
      <c r="PWE6" s="27" t="str">
        <f>IFERROR(VLOOKUP(DATE($K$1,$K$2,PWE$4),Table1[],(MATCH(Calendar!$A6,DB!1:1,0)+2),FALSE),"")</f>
        <v/>
      </c>
      <c r="PWF6" s="27" t="str">
        <f>IFERROR(VLOOKUP(DATE($K$1,$K$2,PWF$4),Table1[],(MATCH(Calendar!$A6,DB!1:1,0)+2),FALSE),"")</f>
        <v/>
      </c>
      <c r="PWG6" s="27" t="str">
        <f>IFERROR(VLOOKUP(DATE($K$1,$K$2,PWG$4),Table1[],(MATCH(Calendar!$A6,DB!1:1,0)+2),FALSE),"")</f>
        <v/>
      </c>
      <c r="PWH6" s="27" t="str">
        <f>IFERROR(VLOOKUP(DATE($K$1,$K$2,PWH$4),Table1[],(MATCH(Calendar!$A6,DB!1:1,0)+2),FALSE),"")</f>
        <v/>
      </c>
      <c r="PWI6" s="27" t="str">
        <f>IFERROR(VLOOKUP(DATE($K$1,$K$2,PWI$4),Table1[],(MATCH(Calendar!$A6,DB!1:1,0)+2),FALSE),"")</f>
        <v/>
      </c>
      <c r="PWJ6" s="27" t="str">
        <f>IFERROR(VLOOKUP(DATE($K$1,$K$2,PWJ$4),Table1[],(MATCH(Calendar!$A6,DB!1:1,0)+2),FALSE),"")</f>
        <v/>
      </c>
      <c r="PWK6" s="27" t="str">
        <f>IFERROR(VLOOKUP(DATE($K$1,$K$2,PWK$4),Table1[],(MATCH(Calendar!$A6,DB!1:1,0)+2),FALSE),"")</f>
        <v/>
      </c>
      <c r="PWL6" s="27" t="str">
        <f>IFERROR(VLOOKUP(DATE($K$1,$K$2,PWL$4),Table1[],(MATCH(Calendar!$A6,DB!1:1,0)+2),FALSE),"")</f>
        <v/>
      </c>
      <c r="PWM6" s="27" t="str">
        <f>IFERROR(VLOOKUP(DATE($K$1,$K$2,PWM$4),Table1[],(MATCH(Calendar!$A6,DB!1:1,0)+2),FALSE),"")</f>
        <v/>
      </c>
      <c r="PWN6" s="27" t="str">
        <f>IFERROR(VLOOKUP(DATE($K$1,$K$2,PWN$4),Table1[],(MATCH(Calendar!$A6,DB!1:1,0)+2),FALSE),"")</f>
        <v/>
      </c>
      <c r="PWO6" s="27" t="str">
        <f>IFERROR(VLOOKUP(DATE($K$1,$K$2,PWO$4),Table1[],(MATCH(Calendar!$A6,DB!1:1,0)+2),FALSE),"")</f>
        <v/>
      </c>
      <c r="PWP6" s="27" t="str">
        <f>IFERROR(VLOOKUP(DATE($K$1,$K$2,PWP$4),Table1[],(MATCH(Calendar!$A6,DB!1:1,0)+2),FALSE),"")</f>
        <v/>
      </c>
      <c r="PWQ6" s="27" t="str">
        <f>IFERROR(VLOOKUP(DATE($K$1,$K$2,PWQ$4),Table1[],(MATCH(Calendar!$A6,DB!1:1,0)+2),FALSE),"")</f>
        <v/>
      </c>
      <c r="PWR6" s="27" t="str">
        <f>IFERROR(VLOOKUP(DATE($K$1,$K$2,PWR$4),Table1[],(MATCH(Calendar!$A6,DB!1:1,0)+2),FALSE),"")</f>
        <v/>
      </c>
      <c r="PWS6" s="27" t="str">
        <f>IFERROR(VLOOKUP(DATE($K$1,$K$2,PWS$4),Table1[],(MATCH(Calendar!$A6,DB!1:1,0)+2),FALSE),"")</f>
        <v/>
      </c>
      <c r="PWT6" s="27" t="str">
        <f>IFERROR(VLOOKUP(DATE($K$1,$K$2,PWT$4),Table1[],(MATCH(Calendar!$A6,DB!1:1,0)+2),FALSE),"")</f>
        <v/>
      </c>
      <c r="PWU6" s="27" t="str">
        <f>IFERROR(VLOOKUP(DATE($K$1,$K$2,PWU$4),Table1[],(MATCH(Calendar!$A6,DB!1:1,0)+2),FALSE),"")</f>
        <v/>
      </c>
      <c r="PWV6" s="27" t="str">
        <f>IFERROR(VLOOKUP(DATE($K$1,$K$2,PWV$4),Table1[],(MATCH(Calendar!$A6,DB!1:1,0)+2),FALSE),"")</f>
        <v/>
      </c>
      <c r="PWW6" s="27" t="str">
        <f>IFERROR(VLOOKUP(DATE($K$1,$K$2,PWW$4),Table1[],(MATCH(Calendar!$A6,DB!1:1,0)+2),FALSE),"")</f>
        <v/>
      </c>
      <c r="PWX6" s="27" t="str">
        <f>IFERROR(VLOOKUP(DATE($K$1,$K$2,PWX$4),Table1[],(MATCH(Calendar!$A6,DB!1:1,0)+2),FALSE),"")</f>
        <v/>
      </c>
      <c r="PWY6" s="27" t="str">
        <f>IFERROR(VLOOKUP(DATE($K$1,$K$2,PWY$4),Table1[],(MATCH(Calendar!$A6,DB!1:1,0)+2),FALSE),"")</f>
        <v/>
      </c>
      <c r="PWZ6" s="27" t="str">
        <f>IFERROR(VLOOKUP(DATE($K$1,$K$2,PWZ$4),Table1[],(MATCH(Calendar!$A6,DB!1:1,0)+2),FALSE),"")</f>
        <v/>
      </c>
      <c r="PXA6" s="27" t="str">
        <f>IFERROR(VLOOKUP(DATE($K$1,$K$2,PXA$4),Table1[],(MATCH(Calendar!$A6,DB!1:1,0)+2),FALSE),"")</f>
        <v/>
      </c>
      <c r="PXB6" s="27" t="str">
        <f>IFERROR(VLOOKUP(DATE($K$1,$K$2,PXB$4),Table1[],(MATCH(Calendar!$A6,DB!1:1,0)+2),FALSE),"")</f>
        <v/>
      </c>
      <c r="PXC6" s="27" t="str">
        <f>IFERROR(VLOOKUP(DATE($K$1,$K$2,PXC$4),Table1[],(MATCH(Calendar!$A6,DB!1:1,0)+2),FALSE),"")</f>
        <v/>
      </c>
      <c r="PXD6" s="27" t="str">
        <f>IFERROR(VLOOKUP(DATE($K$1,$K$2,PXD$4),Table1[],(MATCH(Calendar!$A6,DB!1:1,0)+2),FALSE),"")</f>
        <v/>
      </c>
      <c r="PXE6" s="27" t="str">
        <f>IFERROR(VLOOKUP(DATE($K$1,$K$2,PXE$4),Table1[],(MATCH(Calendar!$A6,DB!1:1,0)+2),FALSE),"")</f>
        <v/>
      </c>
      <c r="PXF6" s="27" t="str">
        <f>IFERROR(VLOOKUP(DATE($K$1,$K$2,PXF$4),Table1[],(MATCH(Calendar!$A6,DB!1:1,0)+2),FALSE),"")</f>
        <v/>
      </c>
      <c r="PXG6" s="27" t="str">
        <f>IFERROR(VLOOKUP(DATE($K$1,$K$2,PXG$4),Table1[],(MATCH(Calendar!$A6,DB!1:1,0)+2),FALSE),"")</f>
        <v/>
      </c>
      <c r="PXH6" s="27" t="str">
        <f>IFERROR(VLOOKUP(DATE($K$1,$K$2,PXH$4),Table1[],(MATCH(Calendar!$A6,DB!1:1,0)+2),FALSE),"")</f>
        <v/>
      </c>
      <c r="PXI6" s="27" t="str">
        <f>IFERROR(VLOOKUP(DATE($K$1,$K$2,PXI$4),Table1[],(MATCH(Calendar!$A6,DB!1:1,0)+2),FALSE),"")</f>
        <v/>
      </c>
      <c r="PXJ6" s="27" t="str">
        <f>IFERROR(VLOOKUP(DATE($K$1,$K$2,PXJ$4),Table1[],(MATCH(Calendar!$A6,DB!1:1,0)+2),FALSE),"")</f>
        <v/>
      </c>
      <c r="PXK6" s="27" t="str">
        <f>IFERROR(VLOOKUP(DATE($K$1,$K$2,PXK$4),Table1[],(MATCH(Calendar!$A6,DB!1:1,0)+2),FALSE),"")</f>
        <v/>
      </c>
      <c r="PXL6" s="27" t="str">
        <f>IFERROR(VLOOKUP(DATE($K$1,$K$2,PXL$4),Table1[],(MATCH(Calendar!$A6,DB!1:1,0)+2),FALSE),"")</f>
        <v/>
      </c>
      <c r="PXM6" s="27" t="str">
        <f>IFERROR(VLOOKUP(DATE($K$1,$K$2,PXM$4),Table1[],(MATCH(Calendar!$A6,DB!1:1,0)+2),FALSE),"")</f>
        <v/>
      </c>
      <c r="PXN6" s="27" t="str">
        <f>IFERROR(VLOOKUP(DATE($K$1,$K$2,PXN$4),Table1[],(MATCH(Calendar!$A6,DB!1:1,0)+2),FALSE),"")</f>
        <v/>
      </c>
      <c r="PXO6" s="27" t="str">
        <f>IFERROR(VLOOKUP(DATE($K$1,$K$2,PXO$4),Table1[],(MATCH(Calendar!$A6,DB!1:1,0)+2),FALSE),"")</f>
        <v/>
      </c>
      <c r="PXP6" s="27" t="str">
        <f>IFERROR(VLOOKUP(DATE($K$1,$K$2,PXP$4),Table1[],(MATCH(Calendar!$A6,DB!1:1,0)+2),FALSE),"")</f>
        <v/>
      </c>
      <c r="PXQ6" s="27" t="str">
        <f>IFERROR(VLOOKUP(DATE($K$1,$K$2,PXQ$4),Table1[],(MATCH(Calendar!$A6,DB!1:1,0)+2),FALSE),"")</f>
        <v/>
      </c>
      <c r="PXR6" s="27" t="str">
        <f>IFERROR(VLOOKUP(DATE($K$1,$K$2,PXR$4),Table1[],(MATCH(Calendar!$A6,DB!1:1,0)+2),FALSE),"")</f>
        <v/>
      </c>
      <c r="PXS6" s="27" t="str">
        <f>IFERROR(VLOOKUP(DATE($K$1,$K$2,PXS$4),Table1[],(MATCH(Calendar!$A6,DB!1:1,0)+2),FALSE),"")</f>
        <v/>
      </c>
      <c r="PXT6" s="27" t="str">
        <f>IFERROR(VLOOKUP(DATE($K$1,$K$2,PXT$4),Table1[],(MATCH(Calendar!$A6,DB!1:1,0)+2),FALSE),"")</f>
        <v/>
      </c>
      <c r="PXU6" s="27" t="str">
        <f>IFERROR(VLOOKUP(DATE($K$1,$K$2,PXU$4),Table1[],(MATCH(Calendar!$A6,DB!1:1,0)+2),FALSE),"")</f>
        <v/>
      </c>
      <c r="PXV6" s="27" t="str">
        <f>IFERROR(VLOOKUP(DATE($K$1,$K$2,PXV$4),Table1[],(MATCH(Calendar!$A6,DB!1:1,0)+2),FALSE),"")</f>
        <v/>
      </c>
      <c r="PXW6" s="27" t="str">
        <f>IFERROR(VLOOKUP(DATE($K$1,$K$2,PXW$4),Table1[],(MATCH(Calendar!$A6,DB!1:1,0)+2),FALSE),"")</f>
        <v/>
      </c>
      <c r="PXX6" s="27" t="str">
        <f>IFERROR(VLOOKUP(DATE($K$1,$K$2,PXX$4),Table1[],(MATCH(Calendar!$A6,DB!1:1,0)+2),FALSE),"")</f>
        <v/>
      </c>
      <c r="PXY6" s="27" t="str">
        <f>IFERROR(VLOOKUP(DATE($K$1,$K$2,PXY$4),Table1[],(MATCH(Calendar!$A6,DB!1:1,0)+2),FALSE),"")</f>
        <v/>
      </c>
      <c r="PXZ6" s="27" t="str">
        <f>IFERROR(VLOOKUP(DATE($K$1,$K$2,PXZ$4),Table1[],(MATCH(Calendar!$A6,DB!1:1,0)+2),FALSE),"")</f>
        <v/>
      </c>
      <c r="PYA6" s="27" t="str">
        <f>IFERROR(VLOOKUP(DATE($K$1,$K$2,PYA$4),Table1[],(MATCH(Calendar!$A6,DB!1:1,0)+2),FALSE),"")</f>
        <v/>
      </c>
      <c r="PYB6" s="27" t="str">
        <f>IFERROR(VLOOKUP(DATE($K$1,$K$2,PYB$4),Table1[],(MATCH(Calendar!$A6,DB!1:1,0)+2),FALSE),"")</f>
        <v/>
      </c>
      <c r="PYC6" s="27" t="str">
        <f>IFERROR(VLOOKUP(DATE($K$1,$K$2,PYC$4),Table1[],(MATCH(Calendar!$A6,DB!1:1,0)+2),FALSE),"")</f>
        <v/>
      </c>
      <c r="PYD6" s="27" t="str">
        <f>IFERROR(VLOOKUP(DATE($K$1,$K$2,PYD$4),Table1[],(MATCH(Calendar!$A6,DB!1:1,0)+2),FALSE),"")</f>
        <v/>
      </c>
      <c r="PYE6" s="27" t="str">
        <f>IFERROR(VLOOKUP(DATE($K$1,$K$2,PYE$4),Table1[],(MATCH(Calendar!$A6,DB!1:1,0)+2),FALSE),"")</f>
        <v/>
      </c>
      <c r="PYF6" s="27" t="str">
        <f>IFERROR(VLOOKUP(DATE($K$1,$K$2,PYF$4),Table1[],(MATCH(Calendar!$A6,DB!1:1,0)+2),FALSE),"")</f>
        <v/>
      </c>
      <c r="PYG6" s="27" t="str">
        <f>IFERROR(VLOOKUP(DATE($K$1,$K$2,PYG$4),Table1[],(MATCH(Calendar!$A6,DB!1:1,0)+2),FALSE),"")</f>
        <v/>
      </c>
      <c r="PYH6" s="27" t="str">
        <f>IFERROR(VLOOKUP(DATE($K$1,$K$2,PYH$4),Table1[],(MATCH(Calendar!$A6,DB!1:1,0)+2),FALSE),"")</f>
        <v/>
      </c>
      <c r="PYI6" s="27" t="str">
        <f>IFERROR(VLOOKUP(DATE($K$1,$K$2,PYI$4),Table1[],(MATCH(Calendar!$A6,DB!1:1,0)+2),FALSE),"")</f>
        <v/>
      </c>
      <c r="PYJ6" s="27" t="str">
        <f>IFERROR(VLOOKUP(DATE($K$1,$K$2,PYJ$4),Table1[],(MATCH(Calendar!$A6,DB!1:1,0)+2),FALSE),"")</f>
        <v/>
      </c>
      <c r="PYK6" s="27" t="str">
        <f>IFERROR(VLOOKUP(DATE($K$1,$K$2,PYK$4),Table1[],(MATCH(Calendar!$A6,DB!1:1,0)+2),FALSE),"")</f>
        <v/>
      </c>
      <c r="PYL6" s="27" t="str">
        <f>IFERROR(VLOOKUP(DATE($K$1,$K$2,PYL$4),Table1[],(MATCH(Calendar!$A6,DB!1:1,0)+2),FALSE),"")</f>
        <v/>
      </c>
      <c r="PYM6" s="27" t="str">
        <f>IFERROR(VLOOKUP(DATE($K$1,$K$2,PYM$4),Table1[],(MATCH(Calendar!$A6,DB!1:1,0)+2),FALSE),"")</f>
        <v/>
      </c>
      <c r="PYN6" s="27" t="str">
        <f>IFERROR(VLOOKUP(DATE($K$1,$K$2,PYN$4),Table1[],(MATCH(Calendar!$A6,DB!1:1,0)+2),FALSE),"")</f>
        <v/>
      </c>
      <c r="PYO6" s="27" t="str">
        <f>IFERROR(VLOOKUP(DATE($K$1,$K$2,PYO$4),Table1[],(MATCH(Calendar!$A6,DB!1:1,0)+2),FALSE),"")</f>
        <v/>
      </c>
      <c r="PYP6" s="27" t="str">
        <f>IFERROR(VLOOKUP(DATE($K$1,$K$2,PYP$4),Table1[],(MATCH(Calendar!$A6,DB!1:1,0)+2),FALSE),"")</f>
        <v/>
      </c>
      <c r="PYQ6" s="27" t="str">
        <f>IFERROR(VLOOKUP(DATE($K$1,$K$2,PYQ$4),Table1[],(MATCH(Calendar!$A6,DB!1:1,0)+2),FALSE),"")</f>
        <v/>
      </c>
      <c r="PYR6" s="27" t="str">
        <f>IFERROR(VLOOKUP(DATE($K$1,$K$2,PYR$4),Table1[],(MATCH(Calendar!$A6,DB!1:1,0)+2),FALSE),"")</f>
        <v/>
      </c>
      <c r="PYS6" s="27" t="str">
        <f>IFERROR(VLOOKUP(DATE($K$1,$K$2,PYS$4),Table1[],(MATCH(Calendar!$A6,DB!1:1,0)+2),FALSE),"")</f>
        <v/>
      </c>
      <c r="PYT6" s="27" t="str">
        <f>IFERROR(VLOOKUP(DATE($K$1,$K$2,PYT$4),Table1[],(MATCH(Calendar!$A6,DB!1:1,0)+2),FALSE),"")</f>
        <v/>
      </c>
      <c r="PYU6" s="27" t="str">
        <f>IFERROR(VLOOKUP(DATE($K$1,$K$2,PYU$4),Table1[],(MATCH(Calendar!$A6,DB!1:1,0)+2),FALSE),"")</f>
        <v/>
      </c>
      <c r="PYV6" s="27" t="str">
        <f>IFERROR(VLOOKUP(DATE($K$1,$K$2,PYV$4),Table1[],(MATCH(Calendar!$A6,DB!1:1,0)+2),FALSE),"")</f>
        <v/>
      </c>
      <c r="PYW6" s="27" t="str">
        <f>IFERROR(VLOOKUP(DATE($K$1,$K$2,PYW$4),Table1[],(MATCH(Calendar!$A6,DB!1:1,0)+2),FALSE),"")</f>
        <v/>
      </c>
      <c r="PYX6" s="27" t="str">
        <f>IFERROR(VLOOKUP(DATE($K$1,$K$2,PYX$4),Table1[],(MATCH(Calendar!$A6,DB!1:1,0)+2),FALSE),"")</f>
        <v/>
      </c>
      <c r="PYY6" s="27" t="str">
        <f>IFERROR(VLOOKUP(DATE($K$1,$K$2,PYY$4),Table1[],(MATCH(Calendar!$A6,DB!1:1,0)+2),FALSE),"")</f>
        <v/>
      </c>
      <c r="PYZ6" s="27" t="str">
        <f>IFERROR(VLOOKUP(DATE($K$1,$K$2,PYZ$4),Table1[],(MATCH(Calendar!$A6,DB!1:1,0)+2),FALSE),"")</f>
        <v/>
      </c>
      <c r="PZA6" s="27" t="str">
        <f>IFERROR(VLOOKUP(DATE($K$1,$K$2,PZA$4),Table1[],(MATCH(Calendar!$A6,DB!1:1,0)+2),FALSE),"")</f>
        <v/>
      </c>
      <c r="PZB6" s="27" t="str">
        <f>IFERROR(VLOOKUP(DATE($K$1,$K$2,PZB$4),Table1[],(MATCH(Calendar!$A6,DB!1:1,0)+2),FALSE),"")</f>
        <v/>
      </c>
      <c r="PZC6" s="27" t="str">
        <f>IFERROR(VLOOKUP(DATE($K$1,$K$2,PZC$4),Table1[],(MATCH(Calendar!$A6,DB!1:1,0)+2),FALSE),"")</f>
        <v/>
      </c>
      <c r="PZD6" s="27" t="str">
        <f>IFERROR(VLOOKUP(DATE($K$1,$K$2,PZD$4),Table1[],(MATCH(Calendar!$A6,DB!1:1,0)+2),FALSE),"")</f>
        <v/>
      </c>
      <c r="PZE6" s="27" t="str">
        <f>IFERROR(VLOOKUP(DATE($K$1,$K$2,PZE$4),Table1[],(MATCH(Calendar!$A6,DB!1:1,0)+2),FALSE),"")</f>
        <v/>
      </c>
      <c r="PZF6" s="27" t="str">
        <f>IFERROR(VLOOKUP(DATE($K$1,$K$2,PZF$4),Table1[],(MATCH(Calendar!$A6,DB!1:1,0)+2),FALSE),"")</f>
        <v/>
      </c>
      <c r="PZG6" s="27" t="str">
        <f>IFERROR(VLOOKUP(DATE($K$1,$K$2,PZG$4),Table1[],(MATCH(Calendar!$A6,DB!1:1,0)+2),FALSE),"")</f>
        <v/>
      </c>
      <c r="PZH6" s="27" t="str">
        <f>IFERROR(VLOOKUP(DATE($K$1,$K$2,PZH$4),Table1[],(MATCH(Calendar!$A6,DB!1:1,0)+2),FALSE),"")</f>
        <v/>
      </c>
      <c r="PZI6" s="27" t="str">
        <f>IFERROR(VLOOKUP(DATE($K$1,$K$2,PZI$4),Table1[],(MATCH(Calendar!$A6,DB!1:1,0)+2),FALSE),"")</f>
        <v/>
      </c>
      <c r="PZJ6" s="27" t="str">
        <f>IFERROR(VLOOKUP(DATE($K$1,$K$2,PZJ$4),Table1[],(MATCH(Calendar!$A6,DB!1:1,0)+2),FALSE),"")</f>
        <v/>
      </c>
      <c r="PZK6" s="27" t="str">
        <f>IFERROR(VLOOKUP(DATE($K$1,$K$2,PZK$4),Table1[],(MATCH(Calendar!$A6,DB!1:1,0)+2),FALSE),"")</f>
        <v/>
      </c>
      <c r="PZL6" s="27" t="str">
        <f>IFERROR(VLOOKUP(DATE($K$1,$K$2,PZL$4),Table1[],(MATCH(Calendar!$A6,DB!1:1,0)+2),FALSE),"")</f>
        <v/>
      </c>
      <c r="PZM6" s="27" t="str">
        <f>IFERROR(VLOOKUP(DATE($K$1,$K$2,PZM$4),Table1[],(MATCH(Calendar!$A6,DB!1:1,0)+2),FALSE),"")</f>
        <v/>
      </c>
      <c r="PZN6" s="27" t="str">
        <f>IFERROR(VLOOKUP(DATE($K$1,$K$2,PZN$4),Table1[],(MATCH(Calendar!$A6,DB!1:1,0)+2),FALSE),"")</f>
        <v/>
      </c>
      <c r="PZO6" s="27" t="str">
        <f>IFERROR(VLOOKUP(DATE($K$1,$K$2,PZO$4),Table1[],(MATCH(Calendar!$A6,DB!1:1,0)+2),FALSE),"")</f>
        <v/>
      </c>
      <c r="PZP6" s="27" t="str">
        <f>IFERROR(VLOOKUP(DATE($K$1,$K$2,PZP$4),Table1[],(MATCH(Calendar!$A6,DB!1:1,0)+2),FALSE),"")</f>
        <v/>
      </c>
      <c r="PZQ6" s="27" t="str">
        <f>IFERROR(VLOOKUP(DATE($K$1,$K$2,PZQ$4),Table1[],(MATCH(Calendar!$A6,DB!1:1,0)+2),FALSE),"")</f>
        <v/>
      </c>
      <c r="PZR6" s="27" t="str">
        <f>IFERROR(VLOOKUP(DATE($K$1,$K$2,PZR$4),Table1[],(MATCH(Calendar!$A6,DB!1:1,0)+2),FALSE),"")</f>
        <v/>
      </c>
      <c r="PZS6" s="27" t="str">
        <f>IFERROR(VLOOKUP(DATE($K$1,$K$2,PZS$4),Table1[],(MATCH(Calendar!$A6,DB!1:1,0)+2),FALSE),"")</f>
        <v/>
      </c>
      <c r="PZT6" s="27" t="str">
        <f>IFERROR(VLOOKUP(DATE($K$1,$K$2,PZT$4),Table1[],(MATCH(Calendar!$A6,DB!1:1,0)+2),FALSE),"")</f>
        <v/>
      </c>
      <c r="PZU6" s="27" t="str">
        <f>IFERROR(VLOOKUP(DATE($K$1,$K$2,PZU$4),Table1[],(MATCH(Calendar!$A6,DB!1:1,0)+2),FALSE),"")</f>
        <v/>
      </c>
      <c r="PZV6" s="27" t="str">
        <f>IFERROR(VLOOKUP(DATE($K$1,$K$2,PZV$4),Table1[],(MATCH(Calendar!$A6,DB!1:1,0)+2),FALSE),"")</f>
        <v/>
      </c>
      <c r="PZW6" s="27" t="str">
        <f>IFERROR(VLOOKUP(DATE($K$1,$K$2,PZW$4),Table1[],(MATCH(Calendar!$A6,DB!1:1,0)+2),FALSE),"")</f>
        <v/>
      </c>
      <c r="PZX6" s="27" t="str">
        <f>IFERROR(VLOOKUP(DATE($K$1,$K$2,PZX$4),Table1[],(MATCH(Calendar!$A6,DB!1:1,0)+2),FALSE),"")</f>
        <v/>
      </c>
      <c r="PZY6" s="27" t="str">
        <f>IFERROR(VLOOKUP(DATE($K$1,$K$2,PZY$4),Table1[],(MATCH(Calendar!$A6,DB!1:1,0)+2),FALSE),"")</f>
        <v/>
      </c>
      <c r="PZZ6" s="27" t="str">
        <f>IFERROR(VLOOKUP(DATE($K$1,$K$2,PZZ$4),Table1[],(MATCH(Calendar!$A6,DB!1:1,0)+2),FALSE),"")</f>
        <v/>
      </c>
      <c r="QAA6" s="27" t="str">
        <f>IFERROR(VLOOKUP(DATE($K$1,$K$2,QAA$4),Table1[],(MATCH(Calendar!$A6,DB!1:1,0)+2),FALSE),"")</f>
        <v/>
      </c>
      <c r="QAB6" s="27" t="str">
        <f>IFERROR(VLOOKUP(DATE($K$1,$K$2,QAB$4),Table1[],(MATCH(Calendar!$A6,DB!1:1,0)+2),FALSE),"")</f>
        <v/>
      </c>
      <c r="QAC6" s="27" t="str">
        <f>IFERROR(VLOOKUP(DATE($K$1,$K$2,QAC$4),Table1[],(MATCH(Calendar!$A6,DB!1:1,0)+2),FALSE),"")</f>
        <v/>
      </c>
      <c r="QAD6" s="27" t="str">
        <f>IFERROR(VLOOKUP(DATE($K$1,$K$2,QAD$4),Table1[],(MATCH(Calendar!$A6,DB!1:1,0)+2),FALSE),"")</f>
        <v/>
      </c>
      <c r="QAE6" s="27" t="str">
        <f>IFERROR(VLOOKUP(DATE($K$1,$K$2,QAE$4),Table1[],(MATCH(Calendar!$A6,DB!1:1,0)+2),FALSE),"")</f>
        <v/>
      </c>
      <c r="QAF6" s="27" t="str">
        <f>IFERROR(VLOOKUP(DATE($K$1,$K$2,QAF$4),Table1[],(MATCH(Calendar!$A6,DB!1:1,0)+2),FALSE),"")</f>
        <v/>
      </c>
      <c r="QAG6" s="27" t="str">
        <f>IFERROR(VLOOKUP(DATE($K$1,$K$2,QAG$4),Table1[],(MATCH(Calendar!$A6,DB!1:1,0)+2),FALSE),"")</f>
        <v/>
      </c>
      <c r="QAH6" s="27" t="str">
        <f>IFERROR(VLOOKUP(DATE($K$1,$K$2,QAH$4),Table1[],(MATCH(Calendar!$A6,DB!1:1,0)+2),FALSE),"")</f>
        <v/>
      </c>
      <c r="QAI6" s="27" t="str">
        <f>IFERROR(VLOOKUP(DATE($K$1,$K$2,QAI$4),Table1[],(MATCH(Calendar!$A6,DB!1:1,0)+2),FALSE),"")</f>
        <v/>
      </c>
      <c r="QAJ6" s="27" t="str">
        <f>IFERROR(VLOOKUP(DATE($K$1,$K$2,QAJ$4),Table1[],(MATCH(Calendar!$A6,DB!1:1,0)+2),FALSE),"")</f>
        <v/>
      </c>
      <c r="QAK6" s="27" t="str">
        <f>IFERROR(VLOOKUP(DATE($K$1,$K$2,QAK$4),Table1[],(MATCH(Calendar!$A6,DB!1:1,0)+2),FALSE),"")</f>
        <v/>
      </c>
      <c r="QAL6" s="27" t="str">
        <f>IFERROR(VLOOKUP(DATE($K$1,$K$2,QAL$4),Table1[],(MATCH(Calendar!$A6,DB!1:1,0)+2),FALSE),"")</f>
        <v/>
      </c>
      <c r="QAM6" s="27" t="str">
        <f>IFERROR(VLOOKUP(DATE($K$1,$K$2,QAM$4),Table1[],(MATCH(Calendar!$A6,DB!1:1,0)+2),FALSE),"")</f>
        <v/>
      </c>
      <c r="QAN6" s="27" t="str">
        <f>IFERROR(VLOOKUP(DATE($K$1,$K$2,QAN$4),Table1[],(MATCH(Calendar!$A6,DB!1:1,0)+2),FALSE),"")</f>
        <v/>
      </c>
      <c r="QAO6" s="27" t="str">
        <f>IFERROR(VLOOKUP(DATE($K$1,$K$2,QAO$4),Table1[],(MATCH(Calendar!$A6,DB!1:1,0)+2),FALSE),"")</f>
        <v/>
      </c>
      <c r="QAP6" s="27" t="str">
        <f>IFERROR(VLOOKUP(DATE($K$1,$K$2,QAP$4),Table1[],(MATCH(Calendar!$A6,DB!1:1,0)+2),FALSE),"")</f>
        <v/>
      </c>
      <c r="QAQ6" s="27" t="str">
        <f>IFERROR(VLOOKUP(DATE($K$1,$K$2,QAQ$4),Table1[],(MATCH(Calendar!$A6,DB!1:1,0)+2),FALSE),"")</f>
        <v/>
      </c>
      <c r="QAR6" s="27" t="str">
        <f>IFERROR(VLOOKUP(DATE($K$1,$K$2,QAR$4),Table1[],(MATCH(Calendar!$A6,DB!1:1,0)+2),FALSE),"")</f>
        <v/>
      </c>
      <c r="QAS6" s="27" t="str">
        <f>IFERROR(VLOOKUP(DATE($K$1,$K$2,QAS$4),Table1[],(MATCH(Calendar!$A6,DB!1:1,0)+2),FALSE),"")</f>
        <v/>
      </c>
      <c r="QAT6" s="27" t="str">
        <f>IFERROR(VLOOKUP(DATE($K$1,$K$2,QAT$4),Table1[],(MATCH(Calendar!$A6,DB!1:1,0)+2),FALSE),"")</f>
        <v/>
      </c>
      <c r="QAU6" s="27" t="str">
        <f>IFERROR(VLOOKUP(DATE($K$1,$K$2,QAU$4),Table1[],(MATCH(Calendar!$A6,DB!1:1,0)+2),FALSE),"")</f>
        <v/>
      </c>
      <c r="QAV6" s="27" t="str">
        <f>IFERROR(VLOOKUP(DATE($K$1,$K$2,QAV$4),Table1[],(MATCH(Calendar!$A6,DB!1:1,0)+2),FALSE),"")</f>
        <v/>
      </c>
      <c r="QAW6" s="27" t="str">
        <f>IFERROR(VLOOKUP(DATE($K$1,$K$2,QAW$4),Table1[],(MATCH(Calendar!$A6,DB!1:1,0)+2),FALSE),"")</f>
        <v/>
      </c>
      <c r="QAX6" s="27" t="str">
        <f>IFERROR(VLOOKUP(DATE($K$1,$K$2,QAX$4),Table1[],(MATCH(Calendar!$A6,DB!1:1,0)+2),FALSE),"")</f>
        <v/>
      </c>
      <c r="QAY6" s="27" t="str">
        <f>IFERROR(VLOOKUP(DATE($K$1,$K$2,QAY$4),Table1[],(MATCH(Calendar!$A6,DB!1:1,0)+2),FALSE),"")</f>
        <v/>
      </c>
      <c r="QAZ6" s="27" t="str">
        <f>IFERROR(VLOOKUP(DATE($K$1,$K$2,QAZ$4),Table1[],(MATCH(Calendar!$A6,DB!1:1,0)+2),FALSE),"")</f>
        <v/>
      </c>
      <c r="QBA6" s="27" t="str">
        <f>IFERROR(VLOOKUP(DATE($K$1,$K$2,QBA$4),Table1[],(MATCH(Calendar!$A6,DB!1:1,0)+2),FALSE),"")</f>
        <v/>
      </c>
      <c r="QBB6" s="27" t="str">
        <f>IFERROR(VLOOKUP(DATE($K$1,$K$2,QBB$4),Table1[],(MATCH(Calendar!$A6,DB!1:1,0)+2),FALSE),"")</f>
        <v/>
      </c>
      <c r="QBC6" s="27" t="str">
        <f>IFERROR(VLOOKUP(DATE($K$1,$K$2,QBC$4),Table1[],(MATCH(Calendar!$A6,DB!1:1,0)+2),FALSE),"")</f>
        <v/>
      </c>
      <c r="QBD6" s="27" t="str">
        <f>IFERROR(VLOOKUP(DATE($K$1,$K$2,QBD$4),Table1[],(MATCH(Calendar!$A6,DB!1:1,0)+2),FALSE),"")</f>
        <v/>
      </c>
      <c r="QBE6" s="27" t="str">
        <f>IFERROR(VLOOKUP(DATE($K$1,$K$2,QBE$4),Table1[],(MATCH(Calendar!$A6,DB!1:1,0)+2),FALSE),"")</f>
        <v/>
      </c>
      <c r="QBF6" s="27" t="str">
        <f>IFERROR(VLOOKUP(DATE($K$1,$K$2,QBF$4),Table1[],(MATCH(Calendar!$A6,DB!1:1,0)+2),FALSE),"")</f>
        <v/>
      </c>
      <c r="QBG6" s="27" t="str">
        <f>IFERROR(VLOOKUP(DATE($K$1,$K$2,QBG$4),Table1[],(MATCH(Calendar!$A6,DB!1:1,0)+2),FALSE),"")</f>
        <v/>
      </c>
      <c r="QBH6" s="27" t="str">
        <f>IFERROR(VLOOKUP(DATE($K$1,$K$2,QBH$4),Table1[],(MATCH(Calendar!$A6,DB!1:1,0)+2),FALSE),"")</f>
        <v/>
      </c>
      <c r="QBI6" s="27" t="str">
        <f>IFERROR(VLOOKUP(DATE($K$1,$K$2,QBI$4),Table1[],(MATCH(Calendar!$A6,DB!1:1,0)+2),FALSE),"")</f>
        <v/>
      </c>
      <c r="QBJ6" s="27" t="str">
        <f>IFERROR(VLOOKUP(DATE($K$1,$K$2,QBJ$4),Table1[],(MATCH(Calendar!$A6,DB!1:1,0)+2),FALSE),"")</f>
        <v/>
      </c>
      <c r="QBK6" s="27" t="str">
        <f>IFERROR(VLOOKUP(DATE($K$1,$K$2,QBK$4),Table1[],(MATCH(Calendar!$A6,DB!1:1,0)+2),FALSE),"")</f>
        <v/>
      </c>
      <c r="QBL6" s="27" t="str">
        <f>IFERROR(VLOOKUP(DATE($K$1,$K$2,QBL$4),Table1[],(MATCH(Calendar!$A6,DB!1:1,0)+2),FALSE),"")</f>
        <v/>
      </c>
      <c r="QBM6" s="27" t="str">
        <f>IFERROR(VLOOKUP(DATE($K$1,$K$2,QBM$4),Table1[],(MATCH(Calendar!$A6,DB!1:1,0)+2),FALSE),"")</f>
        <v/>
      </c>
      <c r="QBN6" s="27" t="str">
        <f>IFERROR(VLOOKUP(DATE($K$1,$K$2,QBN$4),Table1[],(MATCH(Calendar!$A6,DB!1:1,0)+2),FALSE),"")</f>
        <v/>
      </c>
      <c r="QBO6" s="27" t="str">
        <f>IFERROR(VLOOKUP(DATE($K$1,$K$2,QBO$4),Table1[],(MATCH(Calendar!$A6,DB!1:1,0)+2),FALSE),"")</f>
        <v/>
      </c>
      <c r="QBP6" s="27" t="str">
        <f>IFERROR(VLOOKUP(DATE($K$1,$K$2,QBP$4),Table1[],(MATCH(Calendar!$A6,DB!1:1,0)+2),FALSE),"")</f>
        <v/>
      </c>
      <c r="QBQ6" s="27" t="str">
        <f>IFERROR(VLOOKUP(DATE($K$1,$K$2,QBQ$4),Table1[],(MATCH(Calendar!$A6,DB!1:1,0)+2),FALSE),"")</f>
        <v/>
      </c>
      <c r="QBR6" s="27" t="str">
        <f>IFERROR(VLOOKUP(DATE($K$1,$K$2,QBR$4),Table1[],(MATCH(Calendar!$A6,DB!1:1,0)+2),FALSE),"")</f>
        <v/>
      </c>
      <c r="QBS6" s="27" t="str">
        <f>IFERROR(VLOOKUP(DATE($K$1,$K$2,QBS$4),Table1[],(MATCH(Calendar!$A6,DB!1:1,0)+2),FALSE),"")</f>
        <v/>
      </c>
      <c r="QBT6" s="27" t="str">
        <f>IFERROR(VLOOKUP(DATE($K$1,$K$2,QBT$4),Table1[],(MATCH(Calendar!$A6,DB!1:1,0)+2),FALSE),"")</f>
        <v/>
      </c>
      <c r="QBU6" s="27" t="str">
        <f>IFERROR(VLOOKUP(DATE($K$1,$K$2,QBU$4),Table1[],(MATCH(Calendar!$A6,DB!1:1,0)+2),FALSE),"")</f>
        <v/>
      </c>
      <c r="QBV6" s="27" t="str">
        <f>IFERROR(VLOOKUP(DATE($K$1,$K$2,QBV$4),Table1[],(MATCH(Calendar!$A6,DB!1:1,0)+2),FALSE),"")</f>
        <v/>
      </c>
      <c r="QBW6" s="27" t="str">
        <f>IFERROR(VLOOKUP(DATE($K$1,$K$2,QBW$4),Table1[],(MATCH(Calendar!$A6,DB!1:1,0)+2),FALSE),"")</f>
        <v/>
      </c>
      <c r="QBX6" s="27" t="str">
        <f>IFERROR(VLOOKUP(DATE($K$1,$K$2,QBX$4),Table1[],(MATCH(Calendar!$A6,DB!1:1,0)+2),FALSE),"")</f>
        <v/>
      </c>
      <c r="QBY6" s="27" t="str">
        <f>IFERROR(VLOOKUP(DATE($K$1,$K$2,QBY$4),Table1[],(MATCH(Calendar!$A6,DB!1:1,0)+2),FALSE),"")</f>
        <v/>
      </c>
      <c r="QBZ6" s="27" t="str">
        <f>IFERROR(VLOOKUP(DATE($K$1,$K$2,QBZ$4),Table1[],(MATCH(Calendar!$A6,DB!1:1,0)+2),FALSE),"")</f>
        <v/>
      </c>
      <c r="QCA6" s="27" t="str">
        <f>IFERROR(VLOOKUP(DATE($K$1,$K$2,QCA$4),Table1[],(MATCH(Calendar!$A6,DB!1:1,0)+2),FALSE),"")</f>
        <v/>
      </c>
      <c r="QCB6" s="27" t="str">
        <f>IFERROR(VLOOKUP(DATE($K$1,$K$2,QCB$4),Table1[],(MATCH(Calendar!$A6,DB!1:1,0)+2),FALSE),"")</f>
        <v/>
      </c>
      <c r="QCC6" s="27" t="str">
        <f>IFERROR(VLOOKUP(DATE($K$1,$K$2,QCC$4),Table1[],(MATCH(Calendar!$A6,DB!1:1,0)+2),FALSE),"")</f>
        <v/>
      </c>
      <c r="QCD6" s="27" t="str">
        <f>IFERROR(VLOOKUP(DATE($K$1,$K$2,QCD$4),Table1[],(MATCH(Calendar!$A6,DB!1:1,0)+2),FALSE),"")</f>
        <v/>
      </c>
      <c r="QCE6" s="27" t="str">
        <f>IFERROR(VLOOKUP(DATE($K$1,$K$2,QCE$4),Table1[],(MATCH(Calendar!$A6,DB!1:1,0)+2),FALSE),"")</f>
        <v/>
      </c>
      <c r="QCF6" s="27" t="str">
        <f>IFERROR(VLOOKUP(DATE($K$1,$K$2,QCF$4),Table1[],(MATCH(Calendar!$A6,DB!1:1,0)+2),FALSE),"")</f>
        <v/>
      </c>
      <c r="QCG6" s="27" t="str">
        <f>IFERROR(VLOOKUP(DATE($K$1,$K$2,QCG$4),Table1[],(MATCH(Calendar!$A6,DB!1:1,0)+2),FALSE),"")</f>
        <v/>
      </c>
      <c r="QCH6" s="27" t="str">
        <f>IFERROR(VLOOKUP(DATE($K$1,$K$2,QCH$4),Table1[],(MATCH(Calendar!$A6,DB!1:1,0)+2),FALSE),"")</f>
        <v/>
      </c>
      <c r="QCI6" s="27" t="str">
        <f>IFERROR(VLOOKUP(DATE($K$1,$K$2,QCI$4),Table1[],(MATCH(Calendar!$A6,DB!1:1,0)+2),FALSE),"")</f>
        <v/>
      </c>
      <c r="QCJ6" s="27" t="str">
        <f>IFERROR(VLOOKUP(DATE($K$1,$K$2,QCJ$4),Table1[],(MATCH(Calendar!$A6,DB!1:1,0)+2),FALSE),"")</f>
        <v/>
      </c>
      <c r="QCK6" s="27" t="str">
        <f>IFERROR(VLOOKUP(DATE($K$1,$K$2,QCK$4),Table1[],(MATCH(Calendar!$A6,DB!1:1,0)+2),FALSE),"")</f>
        <v/>
      </c>
      <c r="QCL6" s="27" t="str">
        <f>IFERROR(VLOOKUP(DATE($K$1,$K$2,QCL$4),Table1[],(MATCH(Calendar!$A6,DB!1:1,0)+2),FALSE),"")</f>
        <v/>
      </c>
      <c r="QCM6" s="27" t="str">
        <f>IFERROR(VLOOKUP(DATE($K$1,$K$2,QCM$4),Table1[],(MATCH(Calendar!$A6,DB!1:1,0)+2),FALSE),"")</f>
        <v/>
      </c>
      <c r="QCN6" s="27" t="str">
        <f>IFERROR(VLOOKUP(DATE($K$1,$K$2,QCN$4),Table1[],(MATCH(Calendar!$A6,DB!1:1,0)+2),FALSE),"")</f>
        <v/>
      </c>
      <c r="QCO6" s="27" t="str">
        <f>IFERROR(VLOOKUP(DATE($K$1,$K$2,QCO$4),Table1[],(MATCH(Calendar!$A6,DB!1:1,0)+2),FALSE),"")</f>
        <v/>
      </c>
      <c r="QCP6" s="27" t="str">
        <f>IFERROR(VLOOKUP(DATE($K$1,$K$2,QCP$4),Table1[],(MATCH(Calendar!$A6,DB!1:1,0)+2),FALSE),"")</f>
        <v/>
      </c>
      <c r="QCQ6" s="27" t="str">
        <f>IFERROR(VLOOKUP(DATE($K$1,$K$2,QCQ$4),Table1[],(MATCH(Calendar!$A6,DB!1:1,0)+2),FALSE),"")</f>
        <v/>
      </c>
      <c r="QCR6" s="27" t="str">
        <f>IFERROR(VLOOKUP(DATE($K$1,$K$2,QCR$4),Table1[],(MATCH(Calendar!$A6,DB!1:1,0)+2),FALSE),"")</f>
        <v/>
      </c>
      <c r="QCS6" s="27" t="str">
        <f>IFERROR(VLOOKUP(DATE($K$1,$K$2,QCS$4),Table1[],(MATCH(Calendar!$A6,DB!1:1,0)+2),FALSE),"")</f>
        <v/>
      </c>
      <c r="QCT6" s="27" t="str">
        <f>IFERROR(VLOOKUP(DATE($K$1,$K$2,QCT$4),Table1[],(MATCH(Calendar!$A6,DB!1:1,0)+2),FALSE),"")</f>
        <v/>
      </c>
      <c r="QCU6" s="27" t="str">
        <f>IFERROR(VLOOKUP(DATE($K$1,$K$2,QCU$4),Table1[],(MATCH(Calendar!$A6,DB!1:1,0)+2),FALSE),"")</f>
        <v/>
      </c>
      <c r="QCV6" s="27" t="str">
        <f>IFERROR(VLOOKUP(DATE($K$1,$K$2,QCV$4),Table1[],(MATCH(Calendar!$A6,DB!1:1,0)+2),FALSE),"")</f>
        <v/>
      </c>
      <c r="QCW6" s="27" t="str">
        <f>IFERROR(VLOOKUP(DATE($K$1,$K$2,QCW$4),Table1[],(MATCH(Calendar!$A6,DB!1:1,0)+2),FALSE),"")</f>
        <v/>
      </c>
      <c r="QCX6" s="27" t="str">
        <f>IFERROR(VLOOKUP(DATE($K$1,$K$2,QCX$4),Table1[],(MATCH(Calendar!$A6,DB!1:1,0)+2),FALSE),"")</f>
        <v/>
      </c>
      <c r="QCY6" s="27" t="str">
        <f>IFERROR(VLOOKUP(DATE($K$1,$K$2,QCY$4),Table1[],(MATCH(Calendar!$A6,DB!1:1,0)+2),FALSE),"")</f>
        <v/>
      </c>
      <c r="QCZ6" s="27" t="str">
        <f>IFERROR(VLOOKUP(DATE($K$1,$K$2,QCZ$4),Table1[],(MATCH(Calendar!$A6,DB!1:1,0)+2),FALSE),"")</f>
        <v/>
      </c>
      <c r="QDA6" s="27" t="str">
        <f>IFERROR(VLOOKUP(DATE($K$1,$K$2,QDA$4),Table1[],(MATCH(Calendar!$A6,DB!1:1,0)+2),FALSE),"")</f>
        <v/>
      </c>
      <c r="QDB6" s="27" t="str">
        <f>IFERROR(VLOOKUP(DATE($K$1,$K$2,QDB$4),Table1[],(MATCH(Calendar!$A6,DB!1:1,0)+2),FALSE),"")</f>
        <v/>
      </c>
      <c r="QDC6" s="27" t="str">
        <f>IFERROR(VLOOKUP(DATE($K$1,$K$2,QDC$4),Table1[],(MATCH(Calendar!$A6,DB!1:1,0)+2),FALSE),"")</f>
        <v/>
      </c>
      <c r="QDD6" s="27" t="str">
        <f>IFERROR(VLOOKUP(DATE($K$1,$K$2,QDD$4),Table1[],(MATCH(Calendar!$A6,DB!1:1,0)+2),FALSE),"")</f>
        <v/>
      </c>
      <c r="QDE6" s="27" t="str">
        <f>IFERROR(VLOOKUP(DATE($K$1,$K$2,QDE$4),Table1[],(MATCH(Calendar!$A6,DB!1:1,0)+2),FALSE),"")</f>
        <v/>
      </c>
      <c r="QDF6" s="27" t="str">
        <f>IFERROR(VLOOKUP(DATE($K$1,$K$2,QDF$4),Table1[],(MATCH(Calendar!$A6,DB!1:1,0)+2),FALSE),"")</f>
        <v/>
      </c>
      <c r="QDG6" s="27" t="str">
        <f>IFERROR(VLOOKUP(DATE($K$1,$K$2,QDG$4),Table1[],(MATCH(Calendar!$A6,DB!1:1,0)+2),FALSE),"")</f>
        <v/>
      </c>
      <c r="QDH6" s="27" t="str">
        <f>IFERROR(VLOOKUP(DATE($K$1,$K$2,QDH$4),Table1[],(MATCH(Calendar!$A6,DB!1:1,0)+2),FALSE),"")</f>
        <v/>
      </c>
      <c r="QDI6" s="27" t="str">
        <f>IFERROR(VLOOKUP(DATE($K$1,$K$2,QDI$4),Table1[],(MATCH(Calendar!$A6,DB!1:1,0)+2),FALSE),"")</f>
        <v/>
      </c>
      <c r="QDJ6" s="27" t="str">
        <f>IFERROR(VLOOKUP(DATE($K$1,$K$2,QDJ$4),Table1[],(MATCH(Calendar!$A6,DB!1:1,0)+2),FALSE),"")</f>
        <v/>
      </c>
      <c r="QDK6" s="27" t="str">
        <f>IFERROR(VLOOKUP(DATE($K$1,$K$2,QDK$4),Table1[],(MATCH(Calendar!$A6,DB!1:1,0)+2),FALSE),"")</f>
        <v/>
      </c>
      <c r="QDL6" s="27" t="str">
        <f>IFERROR(VLOOKUP(DATE($K$1,$K$2,QDL$4),Table1[],(MATCH(Calendar!$A6,DB!1:1,0)+2),FALSE),"")</f>
        <v/>
      </c>
      <c r="QDM6" s="27" t="str">
        <f>IFERROR(VLOOKUP(DATE($K$1,$K$2,QDM$4),Table1[],(MATCH(Calendar!$A6,DB!1:1,0)+2),FALSE),"")</f>
        <v/>
      </c>
      <c r="QDN6" s="27" t="str">
        <f>IFERROR(VLOOKUP(DATE($K$1,$K$2,QDN$4),Table1[],(MATCH(Calendar!$A6,DB!1:1,0)+2),FALSE),"")</f>
        <v/>
      </c>
      <c r="QDO6" s="27" t="str">
        <f>IFERROR(VLOOKUP(DATE($K$1,$K$2,QDO$4),Table1[],(MATCH(Calendar!$A6,DB!1:1,0)+2),FALSE),"")</f>
        <v/>
      </c>
      <c r="QDP6" s="27" t="str">
        <f>IFERROR(VLOOKUP(DATE($K$1,$K$2,QDP$4),Table1[],(MATCH(Calendar!$A6,DB!1:1,0)+2),FALSE),"")</f>
        <v/>
      </c>
      <c r="QDQ6" s="27" t="str">
        <f>IFERROR(VLOOKUP(DATE($K$1,$K$2,QDQ$4),Table1[],(MATCH(Calendar!$A6,DB!1:1,0)+2),FALSE),"")</f>
        <v/>
      </c>
      <c r="QDR6" s="27" t="str">
        <f>IFERROR(VLOOKUP(DATE($K$1,$K$2,QDR$4),Table1[],(MATCH(Calendar!$A6,DB!1:1,0)+2),FALSE),"")</f>
        <v/>
      </c>
      <c r="QDS6" s="27" t="str">
        <f>IFERROR(VLOOKUP(DATE($K$1,$K$2,QDS$4),Table1[],(MATCH(Calendar!$A6,DB!1:1,0)+2),FALSE),"")</f>
        <v/>
      </c>
      <c r="QDT6" s="27" t="str">
        <f>IFERROR(VLOOKUP(DATE($K$1,$K$2,QDT$4),Table1[],(MATCH(Calendar!$A6,DB!1:1,0)+2),FALSE),"")</f>
        <v/>
      </c>
      <c r="QDU6" s="27" t="str">
        <f>IFERROR(VLOOKUP(DATE($K$1,$K$2,QDU$4),Table1[],(MATCH(Calendar!$A6,DB!1:1,0)+2),FALSE),"")</f>
        <v/>
      </c>
      <c r="QDV6" s="27" t="str">
        <f>IFERROR(VLOOKUP(DATE($K$1,$K$2,QDV$4),Table1[],(MATCH(Calendar!$A6,DB!1:1,0)+2),FALSE),"")</f>
        <v/>
      </c>
      <c r="QDW6" s="27" t="str">
        <f>IFERROR(VLOOKUP(DATE($K$1,$K$2,QDW$4),Table1[],(MATCH(Calendar!$A6,DB!1:1,0)+2),FALSE),"")</f>
        <v/>
      </c>
      <c r="QDX6" s="27" t="str">
        <f>IFERROR(VLOOKUP(DATE($K$1,$K$2,QDX$4),Table1[],(MATCH(Calendar!$A6,DB!1:1,0)+2),FALSE),"")</f>
        <v/>
      </c>
      <c r="QDY6" s="27" t="str">
        <f>IFERROR(VLOOKUP(DATE($K$1,$K$2,QDY$4),Table1[],(MATCH(Calendar!$A6,DB!1:1,0)+2),FALSE),"")</f>
        <v/>
      </c>
      <c r="QDZ6" s="27" t="str">
        <f>IFERROR(VLOOKUP(DATE($K$1,$K$2,QDZ$4),Table1[],(MATCH(Calendar!$A6,DB!1:1,0)+2),FALSE),"")</f>
        <v/>
      </c>
      <c r="QEA6" s="27" t="str">
        <f>IFERROR(VLOOKUP(DATE($K$1,$K$2,QEA$4),Table1[],(MATCH(Calendar!$A6,DB!1:1,0)+2),FALSE),"")</f>
        <v/>
      </c>
      <c r="QEB6" s="27" t="str">
        <f>IFERROR(VLOOKUP(DATE($K$1,$K$2,QEB$4),Table1[],(MATCH(Calendar!$A6,DB!1:1,0)+2),FALSE),"")</f>
        <v/>
      </c>
      <c r="QEC6" s="27" t="str">
        <f>IFERROR(VLOOKUP(DATE($K$1,$K$2,QEC$4),Table1[],(MATCH(Calendar!$A6,DB!1:1,0)+2),FALSE),"")</f>
        <v/>
      </c>
      <c r="QED6" s="27" t="str">
        <f>IFERROR(VLOOKUP(DATE($K$1,$K$2,QED$4),Table1[],(MATCH(Calendar!$A6,DB!1:1,0)+2),FALSE),"")</f>
        <v/>
      </c>
      <c r="QEE6" s="27" t="str">
        <f>IFERROR(VLOOKUP(DATE($K$1,$K$2,QEE$4),Table1[],(MATCH(Calendar!$A6,DB!1:1,0)+2),FALSE),"")</f>
        <v/>
      </c>
      <c r="QEF6" s="27" t="str">
        <f>IFERROR(VLOOKUP(DATE($K$1,$K$2,QEF$4),Table1[],(MATCH(Calendar!$A6,DB!1:1,0)+2),FALSE),"")</f>
        <v/>
      </c>
      <c r="QEG6" s="27" t="str">
        <f>IFERROR(VLOOKUP(DATE($K$1,$K$2,QEG$4),Table1[],(MATCH(Calendar!$A6,DB!1:1,0)+2),FALSE),"")</f>
        <v/>
      </c>
      <c r="QEH6" s="27" t="str">
        <f>IFERROR(VLOOKUP(DATE($K$1,$K$2,QEH$4),Table1[],(MATCH(Calendar!$A6,DB!1:1,0)+2),FALSE),"")</f>
        <v/>
      </c>
      <c r="QEI6" s="27" t="str">
        <f>IFERROR(VLOOKUP(DATE($K$1,$K$2,QEI$4),Table1[],(MATCH(Calendar!$A6,DB!1:1,0)+2),FALSE),"")</f>
        <v/>
      </c>
      <c r="QEJ6" s="27" t="str">
        <f>IFERROR(VLOOKUP(DATE($K$1,$K$2,QEJ$4),Table1[],(MATCH(Calendar!$A6,DB!1:1,0)+2),FALSE),"")</f>
        <v/>
      </c>
      <c r="QEK6" s="27" t="str">
        <f>IFERROR(VLOOKUP(DATE($K$1,$K$2,QEK$4),Table1[],(MATCH(Calendar!$A6,DB!1:1,0)+2),FALSE),"")</f>
        <v/>
      </c>
      <c r="QEL6" s="27" t="str">
        <f>IFERROR(VLOOKUP(DATE($K$1,$K$2,QEL$4),Table1[],(MATCH(Calendar!$A6,DB!1:1,0)+2),FALSE),"")</f>
        <v/>
      </c>
      <c r="QEM6" s="27" t="str">
        <f>IFERROR(VLOOKUP(DATE($K$1,$K$2,QEM$4),Table1[],(MATCH(Calendar!$A6,DB!1:1,0)+2),FALSE),"")</f>
        <v/>
      </c>
      <c r="QEN6" s="27" t="str">
        <f>IFERROR(VLOOKUP(DATE($K$1,$K$2,QEN$4),Table1[],(MATCH(Calendar!$A6,DB!1:1,0)+2),FALSE),"")</f>
        <v/>
      </c>
      <c r="QEO6" s="27" t="str">
        <f>IFERROR(VLOOKUP(DATE($K$1,$K$2,QEO$4),Table1[],(MATCH(Calendar!$A6,DB!1:1,0)+2),FALSE),"")</f>
        <v/>
      </c>
      <c r="QEP6" s="27" t="str">
        <f>IFERROR(VLOOKUP(DATE($K$1,$K$2,QEP$4),Table1[],(MATCH(Calendar!$A6,DB!1:1,0)+2),FALSE),"")</f>
        <v/>
      </c>
      <c r="QEQ6" s="27" t="str">
        <f>IFERROR(VLOOKUP(DATE($K$1,$K$2,QEQ$4),Table1[],(MATCH(Calendar!$A6,DB!1:1,0)+2),FALSE),"")</f>
        <v/>
      </c>
      <c r="QER6" s="27" t="str">
        <f>IFERROR(VLOOKUP(DATE($K$1,$K$2,QER$4),Table1[],(MATCH(Calendar!$A6,DB!1:1,0)+2),FALSE),"")</f>
        <v/>
      </c>
      <c r="QES6" s="27" t="str">
        <f>IFERROR(VLOOKUP(DATE($K$1,$K$2,QES$4),Table1[],(MATCH(Calendar!$A6,DB!1:1,0)+2),FALSE),"")</f>
        <v/>
      </c>
      <c r="QET6" s="27" t="str">
        <f>IFERROR(VLOOKUP(DATE($K$1,$K$2,QET$4),Table1[],(MATCH(Calendar!$A6,DB!1:1,0)+2),FALSE),"")</f>
        <v/>
      </c>
      <c r="QEU6" s="27" t="str">
        <f>IFERROR(VLOOKUP(DATE($K$1,$K$2,QEU$4),Table1[],(MATCH(Calendar!$A6,DB!1:1,0)+2),FALSE),"")</f>
        <v/>
      </c>
      <c r="QEV6" s="27" t="str">
        <f>IFERROR(VLOOKUP(DATE($K$1,$K$2,QEV$4),Table1[],(MATCH(Calendar!$A6,DB!1:1,0)+2),FALSE),"")</f>
        <v/>
      </c>
      <c r="QEW6" s="27" t="str">
        <f>IFERROR(VLOOKUP(DATE($K$1,$K$2,QEW$4),Table1[],(MATCH(Calendar!$A6,DB!1:1,0)+2),FALSE),"")</f>
        <v/>
      </c>
      <c r="QEX6" s="27" t="str">
        <f>IFERROR(VLOOKUP(DATE($K$1,$K$2,QEX$4),Table1[],(MATCH(Calendar!$A6,DB!1:1,0)+2),FALSE),"")</f>
        <v/>
      </c>
      <c r="QEY6" s="27" t="str">
        <f>IFERROR(VLOOKUP(DATE($K$1,$K$2,QEY$4),Table1[],(MATCH(Calendar!$A6,DB!1:1,0)+2),FALSE),"")</f>
        <v/>
      </c>
      <c r="QEZ6" s="27" t="str">
        <f>IFERROR(VLOOKUP(DATE($K$1,$K$2,QEZ$4),Table1[],(MATCH(Calendar!$A6,DB!1:1,0)+2),FALSE),"")</f>
        <v/>
      </c>
      <c r="QFA6" s="27" t="str">
        <f>IFERROR(VLOOKUP(DATE($K$1,$K$2,QFA$4),Table1[],(MATCH(Calendar!$A6,DB!1:1,0)+2),FALSE),"")</f>
        <v/>
      </c>
      <c r="QFB6" s="27" t="str">
        <f>IFERROR(VLOOKUP(DATE($K$1,$K$2,QFB$4),Table1[],(MATCH(Calendar!$A6,DB!1:1,0)+2),FALSE),"")</f>
        <v/>
      </c>
      <c r="QFC6" s="27" t="str">
        <f>IFERROR(VLOOKUP(DATE($K$1,$K$2,QFC$4),Table1[],(MATCH(Calendar!$A6,DB!1:1,0)+2),FALSE),"")</f>
        <v/>
      </c>
      <c r="QFD6" s="27" t="str">
        <f>IFERROR(VLOOKUP(DATE($K$1,$K$2,QFD$4),Table1[],(MATCH(Calendar!$A6,DB!1:1,0)+2),FALSE),"")</f>
        <v/>
      </c>
      <c r="QFE6" s="27" t="str">
        <f>IFERROR(VLOOKUP(DATE($K$1,$K$2,QFE$4),Table1[],(MATCH(Calendar!$A6,DB!1:1,0)+2),FALSE),"")</f>
        <v/>
      </c>
      <c r="QFF6" s="27" t="str">
        <f>IFERROR(VLOOKUP(DATE($K$1,$K$2,QFF$4),Table1[],(MATCH(Calendar!$A6,DB!1:1,0)+2),FALSE),"")</f>
        <v/>
      </c>
      <c r="QFG6" s="27" t="str">
        <f>IFERROR(VLOOKUP(DATE($K$1,$K$2,QFG$4),Table1[],(MATCH(Calendar!$A6,DB!1:1,0)+2),FALSE),"")</f>
        <v/>
      </c>
      <c r="QFH6" s="27" t="str">
        <f>IFERROR(VLOOKUP(DATE($K$1,$K$2,QFH$4),Table1[],(MATCH(Calendar!$A6,DB!1:1,0)+2),FALSE),"")</f>
        <v/>
      </c>
      <c r="QFI6" s="27" t="str">
        <f>IFERROR(VLOOKUP(DATE($K$1,$K$2,QFI$4),Table1[],(MATCH(Calendar!$A6,DB!1:1,0)+2),FALSE),"")</f>
        <v/>
      </c>
      <c r="QFJ6" s="27" t="str">
        <f>IFERROR(VLOOKUP(DATE($K$1,$K$2,QFJ$4),Table1[],(MATCH(Calendar!$A6,DB!1:1,0)+2),FALSE),"")</f>
        <v/>
      </c>
      <c r="QFK6" s="27" t="str">
        <f>IFERROR(VLOOKUP(DATE($K$1,$K$2,QFK$4),Table1[],(MATCH(Calendar!$A6,DB!1:1,0)+2),FALSE),"")</f>
        <v/>
      </c>
      <c r="QFL6" s="27" t="str">
        <f>IFERROR(VLOOKUP(DATE($K$1,$K$2,QFL$4),Table1[],(MATCH(Calendar!$A6,DB!1:1,0)+2),FALSE),"")</f>
        <v/>
      </c>
      <c r="QFM6" s="27" t="str">
        <f>IFERROR(VLOOKUP(DATE($K$1,$K$2,QFM$4),Table1[],(MATCH(Calendar!$A6,DB!1:1,0)+2),FALSE),"")</f>
        <v/>
      </c>
      <c r="QFN6" s="27" t="str">
        <f>IFERROR(VLOOKUP(DATE($K$1,$K$2,QFN$4),Table1[],(MATCH(Calendar!$A6,DB!1:1,0)+2),FALSE),"")</f>
        <v/>
      </c>
      <c r="QFO6" s="27" t="str">
        <f>IFERROR(VLOOKUP(DATE($K$1,$K$2,QFO$4),Table1[],(MATCH(Calendar!$A6,DB!1:1,0)+2),FALSE),"")</f>
        <v/>
      </c>
      <c r="QFP6" s="27" t="str">
        <f>IFERROR(VLOOKUP(DATE($K$1,$K$2,QFP$4),Table1[],(MATCH(Calendar!$A6,DB!1:1,0)+2),FALSE),"")</f>
        <v/>
      </c>
      <c r="QFQ6" s="27" t="str">
        <f>IFERROR(VLOOKUP(DATE($K$1,$K$2,QFQ$4),Table1[],(MATCH(Calendar!$A6,DB!1:1,0)+2),FALSE),"")</f>
        <v/>
      </c>
      <c r="QFR6" s="27" t="str">
        <f>IFERROR(VLOOKUP(DATE($K$1,$K$2,QFR$4),Table1[],(MATCH(Calendar!$A6,DB!1:1,0)+2),FALSE),"")</f>
        <v/>
      </c>
      <c r="QFS6" s="27" t="str">
        <f>IFERROR(VLOOKUP(DATE($K$1,$K$2,QFS$4),Table1[],(MATCH(Calendar!$A6,DB!1:1,0)+2),FALSE),"")</f>
        <v/>
      </c>
      <c r="QFT6" s="27" t="str">
        <f>IFERROR(VLOOKUP(DATE($K$1,$K$2,QFT$4),Table1[],(MATCH(Calendar!$A6,DB!1:1,0)+2),FALSE),"")</f>
        <v/>
      </c>
      <c r="QFU6" s="27" t="str">
        <f>IFERROR(VLOOKUP(DATE($K$1,$K$2,QFU$4),Table1[],(MATCH(Calendar!$A6,DB!1:1,0)+2),FALSE),"")</f>
        <v/>
      </c>
      <c r="QFV6" s="27" t="str">
        <f>IFERROR(VLOOKUP(DATE($K$1,$K$2,QFV$4),Table1[],(MATCH(Calendar!$A6,DB!1:1,0)+2),FALSE),"")</f>
        <v/>
      </c>
      <c r="QFW6" s="27" t="str">
        <f>IFERROR(VLOOKUP(DATE($K$1,$K$2,QFW$4),Table1[],(MATCH(Calendar!$A6,DB!1:1,0)+2),FALSE),"")</f>
        <v/>
      </c>
      <c r="QFX6" s="27" t="str">
        <f>IFERROR(VLOOKUP(DATE($K$1,$K$2,QFX$4),Table1[],(MATCH(Calendar!$A6,DB!1:1,0)+2),FALSE),"")</f>
        <v/>
      </c>
      <c r="QFY6" s="27" t="str">
        <f>IFERROR(VLOOKUP(DATE($K$1,$K$2,QFY$4),Table1[],(MATCH(Calendar!$A6,DB!1:1,0)+2),FALSE),"")</f>
        <v/>
      </c>
      <c r="QFZ6" s="27" t="str">
        <f>IFERROR(VLOOKUP(DATE($K$1,$K$2,QFZ$4),Table1[],(MATCH(Calendar!$A6,DB!1:1,0)+2),FALSE),"")</f>
        <v/>
      </c>
      <c r="QGA6" s="27" t="str">
        <f>IFERROR(VLOOKUP(DATE($K$1,$K$2,QGA$4),Table1[],(MATCH(Calendar!$A6,DB!1:1,0)+2),FALSE),"")</f>
        <v/>
      </c>
      <c r="QGB6" s="27" t="str">
        <f>IFERROR(VLOOKUP(DATE($K$1,$K$2,QGB$4),Table1[],(MATCH(Calendar!$A6,DB!1:1,0)+2),FALSE),"")</f>
        <v/>
      </c>
      <c r="QGC6" s="27" t="str">
        <f>IFERROR(VLOOKUP(DATE($K$1,$K$2,QGC$4),Table1[],(MATCH(Calendar!$A6,DB!1:1,0)+2),FALSE),"")</f>
        <v/>
      </c>
      <c r="QGD6" s="27" t="str">
        <f>IFERROR(VLOOKUP(DATE($K$1,$K$2,QGD$4),Table1[],(MATCH(Calendar!$A6,DB!1:1,0)+2),FALSE),"")</f>
        <v/>
      </c>
      <c r="QGE6" s="27" t="str">
        <f>IFERROR(VLOOKUP(DATE($K$1,$K$2,QGE$4),Table1[],(MATCH(Calendar!$A6,DB!1:1,0)+2),FALSE),"")</f>
        <v/>
      </c>
      <c r="QGF6" s="27" t="str">
        <f>IFERROR(VLOOKUP(DATE($K$1,$K$2,QGF$4),Table1[],(MATCH(Calendar!$A6,DB!1:1,0)+2),FALSE),"")</f>
        <v/>
      </c>
      <c r="QGG6" s="27" t="str">
        <f>IFERROR(VLOOKUP(DATE($K$1,$K$2,QGG$4),Table1[],(MATCH(Calendar!$A6,DB!1:1,0)+2),FALSE),"")</f>
        <v/>
      </c>
      <c r="QGH6" s="27" t="str">
        <f>IFERROR(VLOOKUP(DATE($K$1,$K$2,QGH$4),Table1[],(MATCH(Calendar!$A6,DB!1:1,0)+2),FALSE),"")</f>
        <v/>
      </c>
      <c r="QGI6" s="27" t="str">
        <f>IFERROR(VLOOKUP(DATE($K$1,$K$2,QGI$4),Table1[],(MATCH(Calendar!$A6,DB!1:1,0)+2),FALSE),"")</f>
        <v/>
      </c>
      <c r="QGJ6" s="27" t="str">
        <f>IFERROR(VLOOKUP(DATE($K$1,$K$2,QGJ$4),Table1[],(MATCH(Calendar!$A6,DB!1:1,0)+2),FALSE),"")</f>
        <v/>
      </c>
      <c r="QGK6" s="27" t="str">
        <f>IFERROR(VLOOKUP(DATE($K$1,$K$2,QGK$4),Table1[],(MATCH(Calendar!$A6,DB!1:1,0)+2),FALSE),"")</f>
        <v/>
      </c>
      <c r="QGL6" s="27" t="str">
        <f>IFERROR(VLOOKUP(DATE($K$1,$K$2,QGL$4),Table1[],(MATCH(Calendar!$A6,DB!1:1,0)+2),FALSE),"")</f>
        <v/>
      </c>
      <c r="QGM6" s="27" t="str">
        <f>IFERROR(VLOOKUP(DATE($K$1,$K$2,QGM$4),Table1[],(MATCH(Calendar!$A6,DB!1:1,0)+2),FALSE),"")</f>
        <v/>
      </c>
      <c r="QGN6" s="27" t="str">
        <f>IFERROR(VLOOKUP(DATE($K$1,$K$2,QGN$4),Table1[],(MATCH(Calendar!$A6,DB!1:1,0)+2),FALSE),"")</f>
        <v/>
      </c>
      <c r="QGO6" s="27" t="str">
        <f>IFERROR(VLOOKUP(DATE($K$1,$K$2,QGO$4),Table1[],(MATCH(Calendar!$A6,DB!1:1,0)+2),FALSE),"")</f>
        <v/>
      </c>
      <c r="QGP6" s="27" t="str">
        <f>IFERROR(VLOOKUP(DATE($K$1,$K$2,QGP$4),Table1[],(MATCH(Calendar!$A6,DB!1:1,0)+2),FALSE),"")</f>
        <v/>
      </c>
      <c r="QGQ6" s="27" t="str">
        <f>IFERROR(VLOOKUP(DATE($K$1,$K$2,QGQ$4),Table1[],(MATCH(Calendar!$A6,DB!1:1,0)+2),FALSE),"")</f>
        <v/>
      </c>
      <c r="QGR6" s="27" t="str">
        <f>IFERROR(VLOOKUP(DATE($K$1,$K$2,QGR$4),Table1[],(MATCH(Calendar!$A6,DB!1:1,0)+2),FALSE),"")</f>
        <v/>
      </c>
      <c r="QGS6" s="27" t="str">
        <f>IFERROR(VLOOKUP(DATE($K$1,$K$2,QGS$4),Table1[],(MATCH(Calendar!$A6,DB!1:1,0)+2),FALSE),"")</f>
        <v/>
      </c>
      <c r="QGT6" s="27" t="str">
        <f>IFERROR(VLOOKUP(DATE($K$1,$K$2,QGT$4),Table1[],(MATCH(Calendar!$A6,DB!1:1,0)+2),FALSE),"")</f>
        <v/>
      </c>
      <c r="QGU6" s="27" t="str">
        <f>IFERROR(VLOOKUP(DATE($K$1,$K$2,QGU$4),Table1[],(MATCH(Calendar!$A6,DB!1:1,0)+2),FALSE),"")</f>
        <v/>
      </c>
      <c r="QGV6" s="27" t="str">
        <f>IFERROR(VLOOKUP(DATE($K$1,$K$2,QGV$4),Table1[],(MATCH(Calendar!$A6,DB!1:1,0)+2),FALSE),"")</f>
        <v/>
      </c>
      <c r="QGW6" s="27" t="str">
        <f>IFERROR(VLOOKUP(DATE($K$1,$K$2,QGW$4),Table1[],(MATCH(Calendar!$A6,DB!1:1,0)+2),FALSE),"")</f>
        <v/>
      </c>
      <c r="QGX6" s="27" t="str">
        <f>IFERROR(VLOOKUP(DATE($K$1,$K$2,QGX$4),Table1[],(MATCH(Calendar!$A6,DB!1:1,0)+2),FALSE),"")</f>
        <v/>
      </c>
      <c r="QGY6" s="27" t="str">
        <f>IFERROR(VLOOKUP(DATE($K$1,$K$2,QGY$4),Table1[],(MATCH(Calendar!$A6,DB!1:1,0)+2),FALSE),"")</f>
        <v/>
      </c>
      <c r="QGZ6" s="27" t="str">
        <f>IFERROR(VLOOKUP(DATE($K$1,$K$2,QGZ$4),Table1[],(MATCH(Calendar!$A6,DB!1:1,0)+2),FALSE),"")</f>
        <v/>
      </c>
      <c r="QHA6" s="27" t="str">
        <f>IFERROR(VLOOKUP(DATE($K$1,$K$2,QHA$4),Table1[],(MATCH(Calendar!$A6,DB!1:1,0)+2),FALSE),"")</f>
        <v/>
      </c>
      <c r="QHB6" s="27" t="str">
        <f>IFERROR(VLOOKUP(DATE($K$1,$K$2,QHB$4),Table1[],(MATCH(Calendar!$A6,DB!1:1,0)+2),FALSE),"")</f>
        <v/>
      </c>
      <c r="QHC6" s="27" t="str">
        <f>IFERROR(VLOOKUP(DATE($K$1,$K$2,QHC$4),Table1[],(MATCH(Calendar!$A6,DB!1:1,0)+2),FALSE),"")</f>
        <v/>
      </c>
      <c r="QHD6" s="27" t="str">
        <f>IFERROR(VLOOKUP(DATE($K$1,$K$2,QHD$4),Table1[],(MATCH(Calendar!$A6,DB!1:1,0)+2),FALSE),"")</f>
        <v/>
      </c>
      <c r="QHE6" s="27" t="str">
        <f>IFERROR(VLOOKUP(DATE($K$1,$K$2,QHE$4),Table1[],(MATCH(Calendar!$A6,DB!1:1,0)+2),FALSE),"")</f>
        <v/>
      </c>
      <c r="QHF6" s="27" t="str">
        <f>IFERROR(VLOOKUP(DATE($K$1,$K$2,QHF$4),Table1[],(MATCH(Calendar!$A6,DB!1:1,0)+2),FALSE),"")</f>
        <v/>
      </c>
      <c r="QHG6" s="27" t="str">
        <f>IFERROR(VLOOKUP(DATE($K$1,$K$2,QHG$4),Table1[],(MATCH(Calendar!$A6,DB!1:1,0)+2),FALSE),"")</f>
        <v/>
      </c>
      <c r="QHH6" s="27" t="str">
        <f>IFERROR(VLOOKUP(DATE($K$1,$K$2,QHH$4),Table1[],(MATCH(Calendar!$A6,DB!1:1,0)+2),FALSE),"")</f>
        <v/>
      </c>
      <c r="QHI6" s="27" t="str">
        <f>IFERROR(VLOOKUP(DATE($K$1,$K$2,QHI$4),Table1[],(MATCH(Calendar!$A6,DB!1:1,0)+2),FALSE),"")</f>
        <v/>
      </c>
      <c r="QHJ6" s="27" t="str">
        <f>IFERROR(VLOOKUP(DATE($K$1,$K$2,QHJ$4),Table1[],(MATCH(Calendar!$A6,DB!1:1,0)+2),FALSE),"")</f>
        <v/>
      </c>
      <c r="QHK6" s="27" t="str">
        <f>IFERROR(VLOOKUP(DATE($K$1,$K$2,QHK$4),Table1[],(MATCH(Calendar!$A6,DB!1:1,0)+2),FALSE),"")</f>
        <v/>
      </c>
      <c r="QHL6" s="27" t="str">
        <f>IFERROR(VLOOKUP(DATE($K$1,$K$2,QHL$4),Table1[],(MATCH(Calendar!$A6,DB!1:1,0)+2),FALSE),"")</f>
        <v/>
      </c>
      <c r="QHM6" s="27" t="str">
        <f>IFERROR(VLOOKUP(DATE($K$1,$K$2,QHM$4),Table1[],(MATCH(Calendar!$A6,DB!1:1,0)+2),FALSE),"")</f>
        <v/>
      </c>
      <c r="QHN6" s="27" t="str">
        <f>IFERROR(VLOOKUP(DATE($K$1,$K$2,QHN$4),Table1[],(MATCH(Calendar!$A6,DB!1:1,0)+2),FALSE),"")</f>
        <v/>
      </c>
      <c r="QHO6" s="27" t="str">
        <f>IFERROR(VLOOKUP(DATE($K$1,$K$2,QHO$4),Table1[],(MATCH(Calendar!$A6,DB!1:1,0)+2),FALSE),"")</f>
        <v/>
      </c>
      <c r="QHP6" s="27" t="str">
        <f>IFERROR(VLOOKUP(DATE($K$1,$K$2,QHP$4),Table1[],(MATCH(Calendar!$A6,DB!1:1,0)+2),FALSE),"")</f>
        <v/>
      </c>
      <c r="QHQ6" s="27" t="str">
        <f>IFERROR(VLOOKUP(DATE($K$1,$K$2,QHQ$4),Table1[],(MATCH(Calendar!$A6,DB!1:1,0)+2),FALSE),"")</f>
        <v/>
      </c>
      <c r="QHR6" s="27" t="str">
        <f>IFERROR(VLOOKUP(DATE($K$1,$K$2,QHR$4),Table1[],(MATCH(Calendar!$A6,DB!1:1,0)+2),FALSE),"")</f>
        <v/>
      </c>
      <c r="QHS6" s="27" t="str">
        <f>IFERROR(VLOOKUP(DATE($K$1,$K$2,QHS$4),Table1[],(MATCH(Calendar!$A6,DB!1:1,0)+2),FALSE),"")</f>
        <v/>
      </c>
      <c r="QHT6" s="27" t="str">
        <f>IFERROR(VLOOKUP(DATE($K$1,$K$2,QHT$4),Table1[],(MATCH(Calendar!$A6,DB!1:1,0)+2),FALSE),"")</f>
        <v/>
      </c>
      <c r="QHU6" s="27" t="str">
        <f>IFERROR(VLOOKUP(DATE($K$1,$K$2,QHU$4),Table1[],(MATCH(Calendar!$A6,DB!1:1,0)+2),FALSE),"")</f>
        <v/>
      </c>
      <c r="QHV6" s="27" t="str">
        <f>IFERROR(VLOOKUP(DATE($K$1,$K$2,QHV$4),Table1[],(MATCH(Calendar!$A6,DB!1:1,0)+2),FALSE),"")</f>
        <v/>
      </c>
      <c r="QHW6" s="27" t="str">
        <f>IFERROR(VLOOKUP(DATE($K$1,$K$2,QHW$4),Table1[],(MATCH(Calendar!$A6,DB!1:1,0)+2),FALSE),"")</f>
        <v/>
      </c>
      <c r="QHX6" s="27" t="str">
        <f>IFERROR(VLOOKUP(DATE($K$1,$K$2,QHX$4),Table1[],(MATCH(Calendar!$A6,DB!1:1,0)+2),FALSE),"")</f>
        <v/>
      </c>
      <c r="QHY6" s="27" t="str">
        <f>IFERROR(VLOOKUP(DATE($K$1,$K$2,QHY$4),Table1[],(MATCH(Calendar!$A6,DB!1:1,0)+2),FALSE),"")</f>
        <v/>
      </c>
      <c r="QHZ6" s="27" t="str">
        <f>IFERROR(VLOOKUP(DATE($K$1,$K$2,QHZ$4),Table1[],(MATCH(Calendar!$A6,DB!1:1,0)+2),FALSE),"")</f>
        <v/>
      </c>
      <c r="QIA6" s="27" t="str">
        <f>IFERROR(VLOOKUP(DATE($K$1,$K$2,QIA$4),Table1[],(MATCH(Calendar!$A6,DB!1:1,0)+2),FALSE),"")</f>
        <v/>
      </c>
      <c r="QIB6" s="27" t="str">
        <f>IFERROR(VLOOKUP(DATE($K$1,$K$2,QIB$4),Table1[],(MATCH(Calendar!$A6,DB!1:1,0)+2),FALSE),"")</f>
        <v/>
      </c>
      <c r="QIC6" s="27" t="str">
        <f>IFERROR(VLOOKUP(DATE($K$1,$K$2,QIC$4),Table1[],(MATCH(Calendar!$A6,DB!1:1,0)+2),FALSE),"")</f>
        <v/>
      </c>
      <c r="QID6" s="27" t="str">
        <f>IFERROR(VLOOKUP(DATE($K$1,$K$2,QID$4),Table1[],(MATCH(Calendar!$A6,DB!1:1,0)+2),FALSE),"")</f>
        <v/>
      </c>
      <c r="QIE6" s="27" t="str">
        <f>IFERROR(VLOOKUP(DATE($K$1,$K$2,QIE$4),Table1[],(MATCH(Calendar!$A6,DB!1:1,0)+2),FALSE),"")</f>
        <v/>
      </c>
      <c r="QIF6" s="27" t="str">
        <f>IFERROR(VLOOKUP(DATE($K$1,$K$2,QIF$4),Table1[],(MATCH(Calendar!$A6,DB!1:1,0)+2),FALSE),"")</f>
        <v/>
      </c>
      <c r="QIG6" s="27" t="str">
        <f>IFERROR(VLOOKUP(DATE($K$1,$K$2,QIG$4),Table1[],(MATCH(Calendar!$A6,DB!1:1,0)+2),FALSE),"")</f>
        <v/>
      </c>
      <c r="QIH6" s="27" t="str">
        <f>IFERROR(VLOOKUP(DATE($K$1,$K$2,QIH$4),Table1[],(MATCH(Calendar!$A6,DB!1:1,0)+2),FALSE),"")</f>
        <v/>
      </c>
      <c r="QII6" s="27" t="str">
        <f>IFERROR(VLOOKUP(DATE($K$1,$K$2,QII$4),Table1[],(MATCH(Calendar!$A6,DB!1:1,0)+2),FALSE),"")</f>
        <v/>
      </c>
      <c r="QIJ6" s="27" t="str">
        <f>IFERROR(VLOOKUP(DATE($K$1,$K$2,QIJ$4),Table1[],(MATCH(Calendar!$A6,DB!1:1,0)+2),FALSE),"")</f>
        <v/>
      </c>
      <c r="QIK6" s="27" t="str">
        <f>IFERROR(VLOOKUP(DATE($K$1,$K$2,QIK$4),Table1[],(MATCH(Calendar!$A6,DB!1:1,0)+2),FALSE),"")</f>
        <v/>
      </c>
      <c r="QIL6" s="27" t="str">
        <f>IFERROR(VLOOKUP(DATE($K$1,$K$2,QIL$4),Table1[],(MATCH(Calendar!$A6,DB!1:1,0)+2),FALSE),"")</f>
        <v/>
      </c>
      <c r="QIM6" s="27" t="str">
        <f>IFERROR(VLOOKUP(DATE($K$1,$K$2,QIM$4),Table1[],(MATCH(Calendar!$A6,DB!1:1,0)+2),FALSE),"")</f>
        <v/>
      </c>
      <c r="QIN6" s="27" t="str">
        <f>IFERROR(VLOOKUP(DATE($K$1,$K$2,QIN$4),Table1[],(MATCH(Calendar!$A6,DB!1:1,0)+2),FALSE),"")</f>
        <v/>
      </c>
      <c r="QIO6" s="27" t="str">
        <f>IFERROR(VLOOKUP(DATE($K$1,$K$2,QIO$4),Table1[],(MATCH(Calendar!$A6,DB!1:1,0)+2),FALSE),"")</f>
        <v/>
      </c>
      <c r="QIP6" s="27" t="str">
        <f>IFERROR(VLOOKUP(DATE($K$1,$K$2,QIP$4),Table1[],(MATCH(Calendar!$A6,DB!1:1,0)+2),FALSE),"")</f>
        <v/>
      </c>
      <c r="QIQ6" s="27" t="str">
        <f>IFERROR(VLOOKUP(DATE($K$1,$K$2,QIQ$4),Table1[],(MATCH(Calendar!$A6,DB!1:1,0)+2),FALSE),"")</f>
        <v/>
      </c>
      <c r="QIR6" s="27" t="str">
        <f>IFERROR(VLOOKUP(DATE($K$1,$K$2,QIR$4),Table1[],(MATCH(Calendar!$A6,DB!1:1,0)+2),FALSE),"")</f>
        <v/>
      </c>
      <c r="QIS6" s="27" t="str">
        <f>IFERROR(VLOOKUP(DATE($K$1,$K$2,QIS$4),Table1[],(MATCH(Calendar!$A6,DB!1:1,0)+2),FALSE),"")</f>
        <v/>
      </c>
      <c r="QIT6" s="27" t="str">
        <f>IFERROR(VLOOKUP(DATE($K$1,$K$2,QIT$4),Table1[],(MATCH(Calendar!$A6,DB!1:1,0)+2),FALSE),"")</f>
        <v/>
      </c>
      <c r="QIU6" s="27" t="str">
        <f>IFERROR(VLOOKUP(DATE($K$1,$K$2,QIU$4),Table1[],(MATCH(Calendar!$A6,DB!1:1,0)+2),FALSE),"")</f>
        <v/>
      </c>
      <c r="QIV6" s="27" t="str">
        <f>IFERROR(VLOOKUP(DATE($K$1,$K$2,QIV$4),Table1[],(MATCH(Calendar!$A6,DB!1:1,0)+2),FALSE),"")</f>
        <v/>
      </c>
      <c r="QIW6" s="27" t="str">
        <f>IFERROR(VLOOKUP(DATE($K$1,$K$2,QIW$4),Table1[],(MATCH(Calendar!$A6,DB!1:1,0)+2),FALSE),"")</f>
        <v/>
      </c>
      <c r="QIX6" s="27" t="str">
        <f>IFERROR(VLOOKUP(DATE($K$1,$K$2,QIX$4),Table1[],(MATCH(Calendar!$A6,DB!1:1,0)+2),FALSE),"")</f>
        <v/>
      </c>
      <c r="QIY6" s="27" t="str">
        <f>IFERROR(VLOOKUP(DATE($K$1,$K$2,QIY$4),Table1[],(MATCH(Calendar!$A6,DB!1:1,0)+2),FALSE),"")</f>
        <v/>
      </c>
      <c r="QIZ6" s="27" t="str">
        <f>IFERROR(VLOOKUP(DATE($K$1,$K$2,QIZ$4),Table1[],(MATCH(Calendar!$A6,DB!1:1,0)+2),FALSE),"")</f>
        <v/>
      </c>
      <c r="QJA6" s="27" t="str">
        <f>IFERROR(VLOOKUP(DATE($K$1,$K$2,QJA$4),Table1[],(MATCH(Calendar!$A6,DB!1:1,0)+2),FALSE),"")</f>
        <v/>
      </c>
      <c r="QJB6" s="27" t="str">
        <f>IFERROR(VLOOKUP(DATE($K$1,$K$2,QJB$4),Table1[],(MATCH(Calendar!$A6,DB!1:1,0)+2),FALSE),"")</f>
        <v/>
      </c>
      <c r="QJC6" s="27" t="str">
        <f>IFERROR(VLOOKUP(DATE($K$1,$K$2,QJC$4),Table1[],(MATCH(Calendar!$A6,DB!1:1,0)+2),FALSE),"")</f>
        <v/>
      </c>
      <c r="QJD6" s="27" t="str">
        <f>IFERROR(VLOOKUP(DATE($K$1,$K$2,QJD$4),Table1[],(MATCH(Calendar!$A6,DB!1:1,0)+2),FALSE),"")</f>
        <v/>
      </c>
      <c r="QJE6" s="27" t="str">
        <f>IFERROR(VLOOKUP(DATE($K$1,$K$2,QJE$4),Table1[],(MATCH(Calendar!$A6,DB!1:1,0)+2),FALSE),"")</f>
        <v/>
      </c>
      <c r="QJF6" s="27" t="str">
        <f>IFERROR(VLOOKUP(DATE($K$1,$K$2,QJF$4),Table1[],(MATCH(Calendar!$A6,DB!1:1,0)+2),FALSE),"")</f>
        <v/>
      </c>
      <c r="QJG6" s="27" t="str">
        <f>IFERROR(VLOOKUP(DATE($K$1,$K$2,QJG$4),Table1[],(MATCH(Calendar!$A6,DB!1:1,0)+2),FALSE),"")</f>
        <v/>
      </c>
      <c r="QJH6" s="27" t="str">
        <f>IFERROR(VLOOKUP(DATE($K$1,$K$2,QJH$4),Table1[],(MATCH(Calendar!$A6,DB!1:1,0)+2),FALSE),"")</f>
        <v/>
      </c>
      <c r="QJI6" s="27" t="str">
        <f>IFERROR(VLOOKUP(DATE($K$1,$K$2,QJI$4),Table1[],(MATCH(Calendar!$A6,DB!1:1,0)+2),FALSE),"")</f>
        <v/>
      </c>
      <c r="QJJ6" s="27" t="str">
        <f>IFERROR(VLOOKUP(DATE($K$1,$K$2,QJJ$4),Table1[],(MATCH(Calendar!$A6,DB!1:1,0)+2),FALSE),"")</f>
        <v/>
      </c>
      <c r="QJK6" s="27" t="str">
        <f>IFERROR(VLOOKUP(DATE($K$1,$K$2,QJK$4),Table1[],(MATCH(Calendar!$A6,DB!1:1,0)+2),FALSE),"")</f>
        <v/>
      </c>
      <c r="QJL6" s="27" t="str">
        <f>IFERROR(VLOOKUP(DATE($K$1,$K$2,QJL$4),Table1[],(MATCH(Calendar!$A6,DB!1:1,0)+2),FALSE),"")</f>
        <v/>
      </c>
      <c r="QJM6" s="27" t="str">
        <f>IFERROR(VLOOKUP(DATE($K$1,$K$2,QJM$4),Table1[],(MATCH(Calendar!$A6,DB!1:1,0)+2),FALSE),"")</f>
        <v/>
      </c>
      <c r="QJN6" s="27" t="str">
        <f>IFERROR(VLOOKUP(DATE($K$1,$K$2,QJN$4),Table1[],(MATCH(Calendar!$A6,DB!1:1,0)+2),FALSE),"")</f>
        <v/>
      </c>
      <c r="QJO6" s="27" t="str">
        <f>IFERROR(VLOOKUP(DATE($K$1,$K$2,QJO$4),Table1[],(MATCH(Calendar!$A6,DB!1:1,0)+2),FALSE),"")</f>
        <v/>
      </c>
      <c r="QJP6" s="27" t="str">
        <f>IFERROR(VLOOKUP(DATE($K$1,$K$2,QJP$4),Table1[],(MATCH(Calendar!$A6,DB!1:1,0)+2),FALSE),"")</f>
        <v/>
      </c>
      <c r="QJQ6" s="27" t="str">
        <f>IFERROR(VLOOKUP(DATE($K$1,$K$2,QJQ$4),Table1[],(MATCH(Calendar!$A6,DB!1:1,0)+2),FALSE),"")</f>
        <v/>
      </c>
      <c r="QJR6" s="27" t="str">
        <f>IFERROR(VLOOKUP(DATE($K$1,$K$2,QJR$4),Table1[],(MATCH(Calendar!$A6,DB!1:1,0)+2),FALSE),"")</f>
        <v/>
      </c>
      <c r="QJS6" s="27" t="str">
        <f>IFERROR(VLOOKUP(DATE($K$1,$K$2,QJS$4),Table1[],(MATCH(Calendar!$A6,DB!1:1,0)+2),FALSE),"")</f>
        <v/>
      </c>
      <c r="QJT6" s="27" t="str">
        <f>IFERROR(VLOOKUP(DATE($K$1,$K$2,QJT$4),Table1[],(MATCH(Calendar!$A6,DB!1:1,0)+2),FALSE),"")</f>
        <v/>
      </c>
      <c r="QJU6" s="27" t="str">
        <f>IFERROR(VLOOKUP(DATE($K$1,$K$2,QJU$4),Table1[],(MATCH(Calendar!$A6,DB!1:1,0)+2),FALSE),"")</f>
        <v/>
      </c>
      <c r="QJV6" s="27" t="str">
        <f>IFERROR(VLOOKUP(DATE($K$1,$K$2,QJV$4),Table1[],(MATCH(Calendar!$A6,DB!1:1,0)+2),FALSE),"")</f>
        <v/>
      </c>
      <c r="QJW6" s="27" t="str">
        <f>IFERROR(VLOOKUP(DATE($K$1,$K$2,QJW$4),Table1[],(MATCH(Calendar!$A6,DB!1:1,0)+2),FALSE),"")</f>
        <v/>
      </c>
      <c r="QJX6" s="27" t="str">
        <f>IFERROR(VLOOKUP(DATE($K$1,$K$2,QJX$4),Table1[],(MATCH(Calendar!$A6,DB!1:1,0)+2),FALSE),"")</f>
        <v/>
      </c>
      <c r="QJY6" s="27" t="str">
        <f>IFERROR(VLOOKUP(DATE($K$1,$K$2,QJY$4),Table1[],(MATCH(Calendar!$A6,DB!1:1,0)+2),FALSE),"")</f>
        <v/>
      </c>
      <c r="QJZ6" s="27" t="str">
        <f>IFERROR(VLOOKUP(DATE($K$1,$K$2,QJZ$4),Table1[],(MATCH(Calendar!$A6,DB!1:1,0)+2),FALSE),"")</f>
        <v/>
      </c>
      <c r="QKA6" s="27" t="str">
        <f>IFERROR(VLOOKUP(DATE($K$1,$K$2,QKA$4),Table1[],(MATCH(Calendar!$A6,DB!1:1,0)+2),FALSE),"")</f>
        <v/>
      </c>
      <c r="QKB6" s="27" t="str">
        <f>IFERROR(VLOOKUP(DATE($K$1,$K$2,QKB$4),Table1[],(MATCH(Calendar!$A6,DB!1:1,0)+2),FALSE),"")</f>
        <v/>
      </c>
      <c r="QKC6" s="27" t="str">
        <f>IFERROR(VLOOKUP(DATE($K$1,$K$2,QKC$4),Table1[],(MATCH(Calendar!$A6,DB!1:1,0)+2),FALSE),"")</f>
        <v/>
      </c>
      <c r="QKD6" s="27" t="str">
        <f>IFERROR(VLOOKUP(DATE($K$1,$K$2,QKD$4),Table1[],(MATCH(Calendar!$A6,DB!1:1,0)+2),FALSE),"")</f>
        <v/>
      </c>
      <c r="QKE6" s="27" t="str">
        <f>IFERROR(VLOOKUP(DATE($K$1,$K$2,QKE$4),Table1[],(MATCH(Calendar!$A6,DB!1:1,0)+2),FALSE),"")</f>
        <v/>
      </c>
      <c r="QKF6" s="27" t="str">
        <f>IFERROR(VLOOKUP(DATE($K$1,$K$2,QKF$4),Table1[],(MATCH(Calendar!$A6,DB!1:1,0)+2),FALSE),"")</f>
        <v/>
      </c>
      <c r="QKG6" s="27" t="str">
        <f>IFERROR(VLOOKUP(DATE($K$1,$K$2,QKG$4),Table1[],(MATCH(Calendar!$A6,DB!1:1,0)+2),FALSE),"")</f>
        <v/>
      </c>
      <c r="QKH6" s="27" t="str">
        <f>IFERROR(VLOOKUP(DATE($K$1,$K$2,QKH$4),Table1[],(MATCH(Calendar!$A6,DB!1:1,0)+2),FALSE),"")</f>
        <v/>
      </c>
      <c r="QKI6" s="27" t="str">
        <f>IFERROR(VLOOKUP(DATE($K$1,$K$2,QKI$4),Table1[],(MATCH(Calendar!$A6,DB!1:1,0)+2),FALSE),"")</f>
        <v/>
      </c>
      <c r="QKJ6" s="27" t="str">
        <f>IFERROR(VLOOKUP(DATE($K$1,$K$2,QKJ$4),Table1[],(MATCH(Calendar!$A6,DB!1:1,0)+2),FALSE),"")</f>
        <v/>
      </c>
      <c r="QKK6" s="27" t="str">
        <f>IFERROR(VLOOKUP(DATE($K$1,$K$2,QKK$4),Table1[],(MATCH(Calendar!$A6,DB!1:1,0)+2),FALSE),"")</f>
        <v/>
      </c>
      <c r="QKL6" s="27" t="str">
        <f>IFERROR(VLOOKUP(DATE($K$1,$K$2,QKL$4),Table1[],(MATCH(Calendar!$A6,DB!1:1,0)+2),FALSE),"")</f>
        <v/>
      </c>
      <c r="QKM6" s="27" t="str">
        <f>IFERROR(VLOOKUP(DATE($K$1,$K$2,QKM$4),Table1[],(MATCH(Calendar!$A6,DB!1:1,0)+2),FALSE),"")</f>
        <v/>
      </c>
      <c r="QKN6" s="27" t="str">
        <f>IFERROR(VLOOKUP(DATE($K$1,$K$2,QKN$4),Table1[],(MATCH(Calendar!$A6,DB!1:1,0)+2),FALSE),"")</f>
        <v/>
      </c>
      <c r="QKO6" s="27" t="str">
        <f>IFERROR(VLOOKUP(DATE($K$1,$K$2,QKO$4),Table1[],(MATCH(Calendar!$A6,DB!1:1,0)+2),FALSE),"")</f>
        <v/>
      </c>
      <c r="QKP6" s="27" t="str">
        <f>IFERROR(VLOOKUP(DATE($K$1,$K$2,QKP$4),Table1[],(MATCH(Calendar!$A6,DB!1:1,0)+2),FALSE),"")</f>
        <v/>
      </c>
      <c r="QKQ6" s="27" t="str">
        <f>IFERROR(VLOOKUP(DATE($K$1,$K$2,QKQ$4),Table1[],(MATCH(Calendar!$A6,DB!1:1,0)+2),FALSE),"")</f>
        <v/>
      </c>
      <c r="QKR6" s="27" t="str">
        <f>IFERROR(VLOOKUP(DATE($K$1,$K$2,QKR$4),Table1[],(MATCH(Calendar!$A6,DB!1:1,0)+2),FALSE),"")</f>
        <v/>
      </c>
      <c r="QKS6" s="27" t="str">
        <f>IFERROR(VLOOKUP(DATE($K$1,$K$2,QKS$4),Table1[],(MATCH(Calendar!$A6,DB!1:1,0)+2),FALSE),"")</f>
        <v/>
      </c>
      <c r="QKT6" s="27" t="str">
        <f>IFERROR(VLOOKUP(DATE($K$1,$K$2,QKT$4),Table1[],(MATCH(Calendar!$A6,DB!1:1,0)+2),FALSE),"")</f>
        <v/>
      </c>
      <c r="QKU6" s="27" t="str">
        <f>IFERROR(VLOOKUP(DATE($K$1,$K$2,QKU$4),Table1[],(MATCH(Calendar!$A6,DB!1:1,0)+2),FALSE),"")</f>
        <v/>
      </c>
      <c r="QKV6" s="27" t="str">
        <f>IFERROR(VLOOKUP(DATE($K$1,$K$2,QKV$4),Table1[],(MATCH(Calendar!$A6,DB!1:1,0)+2),FALSE),"")</f>
        <v/>
      </c>
      <c r="QKW6" s="27" t="str">
        <f>IFERROR(VLOOKUP(DATE($K$1,$K$2,QKW$4),Table1[],(MATCH(Calendar!$A6,DB!1:1,0)+2),FALSE),"")</f>
        <v/>
      </c>
      <c r="QKX6" s="27" t="str">
        <f>IFERROR(VLOOKUP(DATE($K$1,$K$2,QKX$4),Table1[],(MATCH(Calendar!$A6,DB!1:1,0)+2),FALSE),"")</f>
        <v/>
      </c>
      <c r="QKY6" s="27" t="str">
        <f>IFERROR(VLOOKUP(DATE($K$1,$K$2,QKY$4),Table1[],(MATCH(Calendar!$A6,DB!1:1,0)+2),FALSE),"")</f>
        <v/>
      </c>
      <c r="QKZ6" s="27" t="str">
        <f>IFERROR(VLOOKUP(DATE($K$1,$K$2,QKZ$4),Table1[],(MATCH(Calendar!$A6,DB!1:1,0)+2),FALSE),"")</f>
        <v/>
      </c>
      <c r="QLA6" s="27" t="str">
        <f>IFERROR(VLOOKUP(DATE($K$1,$K$2,QLA$4),Table1[],(MATCH(Calendar!$A6,DB!1:1,0)+2),FALSE),"")</f>
        <v/>
      </c>
      <c r="QLB6" s="27" t="str">
        <f>IFERROR(VLOOKUP(DATE($K$1,$K$2,QLB$4),Table1[],(MATCH(Calendar!$A6,DB!1:1,0)+2),FALSE),"")</f>
        <v/>
      </c>
      <c r="QLC6" s="27" t="str">
        <f>IFERROR(VLOOKUP(DATE($K$1,$K$2,QLC$4),Table1[],(MATCH(Calendar!$A6,DB!1:1,0)+2),FALSE),"")</f>
        <v/>
      </c>
      <c r="QLD6" s="27" t="str">
        <f>IFERROR(VLOOKUP(DATE($K$1,$K$2,QLD$4),Table1[],(MATCH(Calendar!$A6,DB!1:1,0)+2),FALSE),"")</f>
        <v/>
      </c>
      <c r="QLE6" s="27" t="str">
        <f>IFERROR(VLOOKUP(DATE($K$1,$K$2,QLE$4),Table1[],(MATCH(Calendar!$A6,DB!1:1,0)+2),FALSE),"")</f>
        <v/>
      </c>
      <c r="QLF6" s="27" t="str">
        <f>IFERROR(VLOOKUP(DATE($K$1,$K$2,QLF$4),Table1[],(MATCH(Calendar!$A6,DB!1:1,0)+2),FALSE),"")</f>
        <v/>
      </c>
      <c r="QLG6" s="27" t="str">
        <f>IFERROR(VLOOKUP(DATE($K$1,$K$2,QLG$4),Table1[],(MATCH(Calendar!$A6,DB!1:1,0)+2),FALSE),"")</f>
        <v/>
      </c>
      <c r="QLH6" s="27" t="str">
        <f>IFERROR(VLOOKUP(DATE($K$1,$K$2,QLH$4),Table1[],(MATCH(Calendar!$A6,DB!1:1,0)+2),FALSE),"")</f>
        <v/>
      </c>
      <c r="QLI6" s="27" t="str">
        <f>IFERROR(VLOOKUP(DATE($K$1,$K$2,QLI$4),Table1[],(MATCH(Calendar!$A6,DB!1:1,0)+2),FALSE),"")</f>
        <v/>
      </c>
      <c r="QLJ6" s="27" t="str">
        <f>IFERROR(VLOOKUP(DATE($K$1,$K$2,QLJ$4),Table1[],(MATCH(Calendar!$A6,DB!1:1,0)+2),FALSE),"")</f>
        <v/>
      </c>
      <c r="QLK6" s="27" t="str">
        <f>IFERROR(VLOOKUP(DATE($K$1,$K$2,QLK$4),Table1[],(MATCH(Calendar!$A6,DB!1:1,0)+2),FALSE),"")</f>
        <v/>
      </c>
      <c r="QLL6" s="27" t="str">
        <f>IFERROR(VLOOKUP(DATE($K$1,$K$2,QLL$4),Table1[],(MATCH(Calendar!$A6,DB!1:1,0)+2),FALSE),"")</f>
        <v/>
      </c>
      <c r="QLM6" s="27" t="str">
        <f>IFERROR(VLOOKUP(DATE($K$1,$K$2,QLM$4),Table1[],(MATCH(Calendar!$A6,DB!1:1,0)+2),FALSE),"")</f>
        <v/>
      </c>
      <c r="QLN6" s="27" t="str">
        <f>IFERROR(VLOOKUP(DATE($K$1,$K$2,QLN$4),Table1[],(MATCH(Calendar!$A6,DB!1:1,0)+2),FALSE),"")</f>
        <v/>
      </c>
      <c r="QLO6" s="27" t="str">
        <f>IFERROR(VLOOKUP(DATE($K$1,$K$2,QLO$4),Table1[],(MATCH(Calendar!$A6,DB!1:1,0)+2),FALSE),"")</f>
        <v/>
      </c>
      <c r="QLP6" s="27" t="str">
        <f>IFERROR(VLOOKUP(DATE($K$1,$K$2,QLP$4),Table1[],(MATCH(Calendar!$A6,DB!1:1,0)+2),FALSE),"")</f>
        <v/>
      </c>
      <c r="QLQ6" s="27" t="str">
        <f>IFERROR(VLOOKUP(DATE($K$1,$K$2,QLQ$4),Table1[],(MATCH(Calendar!$A6,DB!1:1,0)+2),FALSE),"")</f>
        <v/>
      </c>
      <c r="QLR6" s="27" t="str">
        <f>IFERROR(VLOOKUP(DATE($K$1,$K$2,QLR$4),Table1[],(MATCH(Calendar!$A6,DB!1:1,0)+2),FALSE),"")</f>
        <v/>
      </c>
      <c r="QLS6" s="27" t="str">
        <f>IFERROR(VLOOKUP(DATE($K$1,$K$2,QLS$4),Table1[],(MATCH(Calendar!$A6,DB!1:1,0)+2),FALSE),"")</f>
        <v/>
      </c>
      <c r="QLT6" s="27" t="str">
        <f>IFERROR(VLOOKUP(DATE($K$1,$K$2,QLT$4),Table1[],(MATCH(Calendar!$A6,DB!1:1,0)+2),FALSE),"")</f>
        <v/>
      </c>
      <c r="QLU6" s="27" t="str">
        <f>IFERROR(VLOOKUP(DATE($K$1,$K$2,QLU$4),Table1[],(MATCH(Calendar!$A6,DB!1:1,0)+2),FALSE),"")</f>
        <v/>
      </c>
      <c r="QLV6" s="27" t="str">
        <f>IFERROR(VLOOKUP(DATE($K$1,$K$2,QLV$4),Table1[],(MATCH(Calendar!$A6,DB!1:1,0)+2),FALSE),"")</f>
        <v/>
      </c>
      <c r="QLW6" s="27" t="str">
        <f>IFERROR(VLOOKUP(DATE($K$1,$K$2,QLW$4),Table1[],(MATCH(Calendar!$A6,DB!1:1,0)+2),FALSE),"")</f>
        <v/>
      </c>
      <c r="QLX6" s="27" t="str">
        <f>IFERROR(VLOOKUP(DATE($K$1,$K$2,QLX$4),Table1[],(MATCH(Calendar!$A6,DB!1:1,0)+2),FALSE),"")</f>
        <v/>
      </c>
      <c r="QLY6" s="27" t="str">
        <f>IFERROR(VLOOKUP(DATE($K$1,$K$2,QLY$4),Table1[],(MATCH(Calendar!$A6,DB!1:1,0)+2),FALSE),"")</f>
        <v/>
      </c>
      <c r="QLZ6" s="27" t="str">
        <f>IFERROR(VLOOKUP(DATE($K$1,$K$2,QLZ$4),Table1[],(MATCH(Calendar!$A6,DB!1:1,0)+2),FALSE),"")</f>
        <v/>
      </c>
      <c r="QMA6" s="27" t="str">
        <f>IFERROR(VLOOKUP(DATE($K$1,$K$2,QMA$4),Table1[],(MATCH(Calendar!$A6,DB!1:1,0)+2),FALSE),"")</f>
        <v/>
      </c>
      <c r="QMB6" s="27" t="str">
        <f>IFERROR(VLOOKUP(DATE($K$1,$K$2,QMB$4),Table1[],(MATCH(Calendar!$A6,DB!1:1,0)+2),FALSE),"")</f>
        <v/>
      </c>
      <c r="QMC6" s="27" t="str">
        <f>IFERROR(VLOOKUP(DATE($K$1,$K$2,QMC$4),Table1[],(MATCH(Calendar!$A6,DB!1:1,0)+2),FALSE),"")</f>
        <v/>
      </c>
      <c r="QMD6" s="27" t="str">
        <f>IFERROR(VLOOKUP(DATE($K$1,$K$2,QMD$4),Table1[],(MATCH(Calendar!$A6,DB!1:1,0)+2),FALSE),"")</f>
        <v/>
      </c>
      <c r="QME6" s="27" t="str">
        <f>IFERROR(VLOOKUP(DATE($K$1,$K$2,QME$4),Table1[],(MATCH(Calendar!$A6,DB!1:1,0)+2),FALSE),"")</f>
        <v/>
      </c>
      <c r="QMF6" s="27" t="str">
        <f>IFERROR(VLOOKUP(DATE($K$1,$K$2,QMF$4),Table1[],(MATCH(Calendar!$A6,DB!1:1,0)+2),FALSE),"")</f>
        <v/>
      </c>
      <c r="QMG6" s="27" t="str">
        <f>IFERROR(VLOOKUP(DATE($K$1,$K$2,QMG$4),Table1[],(MATCH(Calendar!$A6,DB!1:1,0)+2),FALSE),"")</f>
        <v/>
      </c>
      <c r="QMH6" s="27" t="str">
        <f>IFERROR(VLOOKUP(DATE($K$1,$K$2,QMH$4),Table1[],(MATCH(Calendar!$A6,DB!1:1,0)+2),FALSE),"")</f>
        <v/>
      </c>
      <c r="QMI6" s="27" t="str">
        <f>IFERROR(VLOOKUP(DATE($K$1,$K$2,QMI$4),Table1[],(MATCH(Calendar!$A6,DB!1:1,0)+2),FALSE),"")</f>
        <v/>
      </c>
      <c r="QMJ6" s="27" t="str">
        <f>IFERROR(VLOOKUP(DATE($K$1,$K$2,QMJ$4),Table1[],(MATCH(Calendar!$A6,DB!1:1,0)+2),FALSE),"")</f>
        <v/>
      </c>
      <c r="QMK6" s="27" t="str">
        <f>IFERROR(VLOOKUP(DATE($K$1,$K$2,QMK$4),Table1[],(MATCH(Calendar!$A6,DB!1:1,0)+2),FALSE),"")</f>
        <v/>
      </c>
      <c r="QML6" s="27" t="str">
        <f>IFERROR(VLOOKUP(DATE($K$1,$K$2,QML$4),Table1[],(MATCH(Calendar!$A6,DB!1:1,0)+2),FALSE),"")</f>
        <v/>
      </c>
      <c r="QMM6" s="27" t="str">
        <f>IFERROR(VLOOKUP(DATE($K$1,$K$2,QMM$4),Table1[],(MATCH(Calendar!$A6,DB!1:1,0)+2),FALSE),"")</f>
        <v/>
      </c>
      <c r="QMN6" s="27" t="str">
        <f>IFERROR(VLOOKUP(DATE($K$1,$K$2,QMN$4),Table1[],(MATCH(Calendar!$A6,DB!1:1,0)+2),FALSE),"")</f>
        <v/>
      </c>
      <c r="QMO6" s="27" t="str">
        <f>IFERROR(VLOOKUP(DATE($K$1,$K$2,QMO$4),Table1[],(MATCH(Calendar!$A6,DB!1:1,0)+2),FALSE),"")</f>
        <v/>
      </c>
      <c r="QMP6" s="27" t="str">
        <f>IFERROR(VLOOKUP(DATE($K$1,$K$2,QMP$4),Table1[],(MATCH(Calendar!$A6,DB!1:1,0)+2),FALSE),"")</f>
        <v/>
      </c>
      <c r="QMQ6" s="27" t="str">
        <f>IFERROR(VLOOKUP(DATE($K$1,$K$2,QMQ$4),Table1[],(MATCH(Calendar!$A6,DB!1:1,0)+2),FALSE),"")</f>
        <v/>
      </c>
      <c r="QMR6" s="27" t="str">
        <f>IFERROR(VLOOKUP(DATE($K$1,$K$2,QMR$4),Table1[],(MATCH(Calendar!$A6,DB!1:1,0)+2),FALSE),"")</f>
        <v/>
      </c>
      <c r="QMS6" s="27" t="str">
        <f>IFERROR(VLOOKUP(DATE($K$1,$K$2,QMS$4),Table1[],(MATCH(Calendar!$A6,DB!1:1,0)+2),FALSE),"")</f>
        <v/>
      </c>
      <c r="QMT6" s="27" t="str">
        <f>IFERROR(VLOOKUP(DATE($K$1,$K$2,QMT$4),Table1[],(MATCH(Calendar!$A6,DB!1:1,0)+2),FALSE),"")</f>
        <v/>
      </c>
      <c r="QMU6" s="27" t="str">
        <f>IFERROR(VLOOKUP(DATE($K$1,$K$2,QMU$4),Table1[],(MATCH(Calendar!$A6,DB!1:1,0)+2),FALSE),"")</f>
        <v/>
      </c>
      <c r="QMV6" s="27" t="str">
        <f>IFERROR(VLOOKUP(DATE($K$1,$K$2,QMV$4),Table1[],(MATCH(Calendar!$A6,DB!1:1,0)+2),FALSE),"")</f>
        <v/>
      </c>
      <c r="QMW6" s="27" t="str">
        <f>IFERROR(VLOOKUP(DATE($K$1,$K$2,QMW$4),Table1[],(MATCH(Calendar!$A6,DB!1:1,0)+2),FALSE),"")</f>
        <v/>
      </c>
      <c r="QMX6" s="27" t="str">
        <f>IFERROR(VLOOKUP(DATE($K$1,$K$2,QMX$4),Table1[],(MATCH(Calendar!$A6,DB!1:1,0)+2),FALSE),"")</f>
        <v/>
      </c>
      <c r="QMY6" s="27" t="str">
        <f>IFERROR(VLOOKUP(DATE($K$1,$K$2,QMY$4),Table1[],(MATCH(Calendar!$A6,DB!1:1,0)+2),FALSE),"")</f>
        <v/>
      </c>
      <c r="QMZ6" s="27" t="str">
        <f>IFERROR(VLOOKUP(DATE($K$1,$K$2,QMZ$4),Table1[],(MATCH(Calendar!$A6,DB!1:1,0)+2),FALSE),"")</f>
        <v/>
      </c>
      <c r="QNA6" s="27" t="str">
        <f>IFERROR(VLOOKUP(DATE($K$1,$K$2,QNA$4),Table1[],(MATCH(Calendar!$A6,DB!1:1,0)+2),FALSE),"")</f>
        <v/>
      </c>
      <c r="QNB6" s="27" t="str">
        <f>IFERROR(VLOOKUP(DATE($K$1,$K$2,QNB$4),Table1[],(MATCH(Calendar!$A6,DB!1:1,0)+2),FALSE),"")</f>
        <v/>
      </c>
      <c r="QNC6" s="27" t="str">
        <f>IFERROR(VLOOKUP(DATE($K$1,$K$2,QNC$4),Table1[],(MATCH(Calendar!$A6,DB!1:1,0)+2),FALSE),"")</f>
        <v/>
      </c>
      <c r="QND6" s="27" t="str">
        <f>IFERROR(VLOOKUP(DATE($K$1,$K$2,QND$4),Table1[],(MATCH(Calendar!$A6,DB!1:1,0)+2),FALSE),"")</f>
        <v/>
      </c>
      <c r="QNE6" s="27" t="str">
        <f>IFERROR(VLOOKUP(DATE($K$1,$K$2,QNE$4),Table1[],(MATCH(Calendar!$A6,DB!1:1,0)+2),FALSE),"")</f>
        <v/>
      </c>
      <c r="QNF6" s="27" t="str">
        <f>IFERROR(VLOOKUP(DATE($K$1,$K$2,QNF$4),Table1[],(MATCH(Calendar!$A6,DB!1:1,0)+2),FALSE),"")</f>
        <v/>
      </c>
      <c r="QNG6" s="27" t="str">
        <f>IFERROR(VLOOKUP(DATE($K$1,$K$2,QNG$4),Table1[],(MATCH(Calendar!$A6,DB!1:1,0)+2),FALSE),"")</f>
        <v/>
      </c>
      <c r="QNH6" s="27" t="str">
        <f>IFERROR(VLOOKUP(DATE($K$1,$K$2,QNH$4),Table1[],(MATCH(Calendar!$A6,DB!1:1,0)+2),FALSE),"")</f>
        <v/>
      </c>
      <c r="QNI6" s="27" t="str">
        <f>IFERROR(VLOOKUP(DATE($K$1,$K$2,QNI$4),Table1[],(MATCH(Calendar!$A6,DB!1:1,0)+2),FALSE),"")</f>
        <v/>
      </c>
      <c r="QNJ6" s="27" t="str">
        <f>IFERROR(VLOOKUP(DATE($K$1,$K$2,QNJ$4),Table1[],(MATCH(Calendar!$A6,DB!1:1,0)+2),FALSE),"")</f>
        <v/>
      </c>
      <c r="QNK6" s="27" t="str">
        <f>IFERROR(VLOOKUP(DATE($K$1,$K$2,QNK$4),Table1[],(MATCH(Calendar!$A6,DB!1:1,0)+2),FALSE),"")</f>
        <v/>
      </c>
      <c r="QNL6" s="27" t="str">
        <f>IFERROR(VLOOKUP(DATE($K$1,$K$2,QNL$4),Table1[],(MATCH(Calendar!$A6,DB!1:1,0)+2),FALSE),"")</f>
        <v/>
      </c>
      <c r="QNM6" s="27" t="str">
        <f>IFERROR(VLOOKUP(DATE($K$1,$K$2,QNM$4),Table1[],(MATCH(Calendar!$A6,DB!1:1,0)+2),FALSE),"")</f>
        <v/>
      </c>
      <c r="QNN6" s="27" t="str">
        <f>IFERROR(VLOOKUP(DATE($K$1,$K$2,QNN$4),Table1[],(MATCH(Calendar!$A6,DB!1:1,0)+2),FALSE),"")</f>
        <v/>
      </c>
      <c r="QNO6" s="27" t="str">
        <f>IFERROR(VLOOKUP(DATE($K$1,$K$2,QNO$4),Table1[],(MATCH(Calendar!$A6,DB!1:1,0)+2),FALSE),"")</f>
        <v/>
      </c>
      <c r="QNP6" s="27" t="str">
        <f>IFERROR(VLOOKUP(DATE($K$1,$K$2,QNP$4),Table1[],(MATCH(Calendar!$A6,DB!1:1,0)+2),FALSE),"")</f>
        <v/>
      </c>
      <c r="QNQ6" s="27" t="str">
        <f>IFERROR(VLOOKUP(DATE($K$1,$K$2,QNQ$4),Table1[],(MATCH(Calendar!$A6,DB!1:1,0)+2),FALSE),"")</f>
        <v/>
      </c>
      <c r="QNR6" s="27" t="str">
        <f>IFERROR(VLOOKUP(DATE($K$1,$K$2,QNR$4),Table1[],(MATCH(Calendar!$A6,DB!1:1,0)+2),FALSE),"")</f>
        <v/>
      </c>
      <c r="QNS6" s="27" t="str">
        <f>IFERROR(VLOOKUP(DATE($K$1,$K$2,QNS$4),Table1[],(MATCH(Calendar!$A6,DB!1:1,0)+2),FALSE),"")</f>
        <v/>
      </c>
      <c r="QNT6" s="27" t="str">
        <f>IFERROR(VLOOKUP(DATE($K$1,$K$2,QNT$4),Table1[],(MATCH(Calendar!$A6,DB!1:1,0)+2),FALSE),"")</f>
        <v/>
      </c>
      <c r="QNU6" s="27" t="str">
        <f>IFERROR(VLOOKUP(DATE($K$1,$K$2,QNU$4),Table1[],(MATCH(Calendar!$A6,DB!1:1,0)+2),FALSE),"")</f>
        <v/>
      </c>
      <c r="QNV6" s="27" t="str">
        <f>IFERROR(VLOOKUP(DATE($K$1,$K$2,QNV$4),Table1[],(MATCH(Calendar!$A6,DB!1:1,0)+2),FALSE),"")</f>
        <v/>
      </c>
      <c r="QNW6" s="27" t="str">
        <f>IFERROR(VLOOKUP(DATE($K$1,$K$2,QNW$4),Table1[],(MATCH(Calendar!$A6,DB!1:1,0)+2),FALSE),"")</f>
        <v/>
      </c>
      <c r="QNX6" s="27" t="str">
        <f>IFERROR(VLOOKUP(DATE($K$1,$K$2,QNX$4),Table1[],(MATCH(Calendar!$A6,DB!1:1,0)+2),FALSE),"")</f>
        <v/>
      </c>
      <c r="QNY6" s="27" t="str">
        <f>IFERROR(VLOOKUP(DATE($K$1,$K$2,QNY$4),Table1[],(MATCH(Calendar!$A6,DB!1:1,0)+2),FALSE),"")</f>
        <v/>
      </c>
      <c r="QNZ6" s="27" t="str">
        <f>IFERROR(VLOOKUP(DATE($K$1,$K$2,QNZ$4),Table1[],(MATCH(Calendar!$A6,DB!1:1,0)+2),FALSE),"")</f>
        <v/>
      </c>
      <c r="QOA6" s="27" t="str">
        <f>IFERROR(VLOOKUP(DATE($K$1,$K$2,QOA$4),Table1[],(MATCH(Calendar!$A6,DB!1:1,0)+2),FALSE),"")</f>
        <v/>
      </c>
      <c r="QOB6" s="27" t="str">
        <f>IFERROR(VLOOKUP(DATE($K$1,$K$2,QOB$4),Table1[],(MATCH(Calendar!$A6,DB!1:1,0)+2),FALSE),"")</f>
        <v/>
      </c>
      <c r="QOC6" s="27" t="str">
        <f>IFERROR(VLOOKUP(DATE($K$1,$K$2,QOC$4),Table1[],(MATCH(Calendar!$A6,DB!1:1,0)+2),FALSE),"")</f>
        <v/>
      </c>
      <c r="QOD6" s="27" t="str">
        <f>IFERROR(VLOOKUP(DATE($K$1,$K$2,QOD$4),Table1[],(MATCH(Calendar!$A6,DB!1:1,0)+2),FALSE),"")</f>
        <v/>
      </c>
      <c r="QOE6" s="27" t="str">
        <f>IFERROR(VLOOKUP(DATE($K$1,$K$2,QOE$4),Table1[],(MATCH(Calendar!$A6,DB!1:1,0)+2),FALSE),"")</f>
        <v/>
      </c>
      <c r="QOF6" s="27" t="str">
        <f>IFERROR(VLOOKUP(DATE($K$1,$K$2,QOF$4),Table1[],(MATCH(Calendar!$A6,DB!1:1,0)+2),FALSE),"")</f>
        <v/>
      </c>
      <c r="QOG6" s="27" t="str">
        <f>IFERROR(VLOOKUP(DATE($K$1,$K$2,QOG$4),Table1[],(MATCH(Calendar!$A6,DB!1:1,0)+2),FALSE),"")</f>
        <v/>
      </c>
      <c r="QOH6" s="27" t="str">
        <f>IFERROR(VLOOKUP(DATE($K$1,$K$2,QOH$4),Table1[],(MATCH(Calendar!$A6,DB!1:1,0)+2),FALSE),"")</f>
        <v/>
      </c>
      <c r="QOI6" s="27" t="str">
        <f>IFERROR(VLOOKUP(DATE($K$1,$K$2,QOI$4),Table1[],(MATCH(Calendar!$A6,DB!1:1,0)+2),FALSE),"")</f>
        <v/>
      </c>
      <c r="QOJ6" s="27" t="str">
        <f>IFERROR(VLOOKUP(DATE($K$1,$K$2,QOJ$4),Table1[],(MATCH(Calendar!$A6,DB!1:1,0)+2),FALSE),"")</f>
        <v/>
      </c>
      <c r="QOK6" s="27" t="str">
        <f>IFERROR(VLOOKUP(DATE($K$1,$K$2,QOK$4),Table1[],(MATCH(Calendar!$A6,DB!1:1,0)+2),FALSE),"")</f>
        <v/>
      </c>
      <c r="QOL6" s="27" t="str">
        <f>IFERROR(VLOOKUP(DATE($K$1,$K$2,QOL$4),Table1[],(MATCH(Calendar!$A6,DB!1:1,0)+2),FALSE),"")</f>
        <v/>
      </c>
      <c r="QOM6" s="27" t="str">
        <f>IFERROR(VLOOKUP(DATE($K$1,$K$2,QOM$4),Table1[],(MATCH(Calendar!$A6,DB!1:1,0)+2),FALSE),"")</f>
        <v/>
      </c>
      <c r="QON6" s="27" t="str">
        <f>IFERROR(VLOOKUP(DATE($K$1,$K$2,QON$4),Table1[],(MATCH(Calendar!$A6,DB!1:1,0)+2),FALSE),"")</f>
        <v/>
      </c>
      <c r="QOO6" s="27" t="str">
        <f>IFERROR(VLOOKUP(DATE($K$1,$K$2,QOO$4),Table1[],(MATCH(Calendar!$A6,DB!1:1,0)+2),FALSE),"")</f>
        <v/>
      </c>
      <c r="QOP6" s="27" t="str">
        <f>IFERROR(VLOOKUP(DATE($K$1,$K$2,QOP$4),Table1[],(MATCH(Calendar!$A6,DB!1:1,0)+2),FALSE),"")</f>
        <v/>
      </c>
      <c r="QOQ6" s="27" t="str">
        <f>IFERROR(VLOOKUP(DATE($K$1,$K$2,QOQ$4),Table1[],(MATCH(Calendar!$A6,DB!1:1,0)+2),FALSE),"")</f>
        <v/>
      </c>
      <c r="QOR6" s="27" t="str">
        <f>IFERROR(VLOOKUP(DATE($K$1,$K$2,QOR$4),Table1[],(MATCH(Calendar!$A6,DB!1:1,0)+2),FALSE),"")</f>
        <v/>
      </c>
      <c r="QOS6" s="27" t="str">
        <f>IFERROR(VLOOKUP(DATE($K$1,$K$2,QOS$4),Table1[],(MATCH(Calendar!$A6,DB!1:1,0)+2),FALSE),"")</f>
        <v/>
      </c>
      <c r="QOT6" s="27" t="str">
        <f>IFERROR(VLOOKUP(DATE($K$1,$K$2,QOT$4),Table1[],(MATCH(Calendar!$A6,DB!1:1,0)+2),FALSE),"")</f>
        <v/>
      </c>
      <c r="QOU6" s="27" t="str">
        <f>IFERROR(VLOOKUP(DATE($K$1,$K$2,QOU$4),Table1[],(MATCH(Calendar!$A6,DB!1:1,0)+2),FALSE),"")</f>
        <v/>
      </c>
      <c r="QOV6" s="27" t="str">
        <f>IFERROR(VLOOKUP(DATE($K$1,$K$2,QOV$4),Table1[],(MATCH(Calendar!$A6,DB!1:1,0)+2),FALSE),"")</f>
        <v/>
      </c>
      <c r="QOW6" s="27" t="str">
        <f>IFERROR(VLOOKUP(DATE($K$1,$K$2,QOW$4),Table1[],(MATCH(Calendar!$A6,DB!1:1,0)+2),FALSE),"")</f>
        <v/>
      </c>
      <c r="QOX6" s="27" t="str">
        <f>IFERROR(VLOOKUP(DATE($K$1,$K$2,QOX$4),Table1[],(MATCH(Calendar!$A6,DB!1:1,0)+2),FALSE),"")</f>
        <v/>
      </c>
      <c r="QOY6" s="27" t="str">
        <f>IFERROR(VLOOKUP(DATE($K$1,$K$2,QOY$4),Table1[],(MATCH(Calendar!$A6,DB!1:1,0)+2),FALSE),"")</f>
        <v/>
      </c>
      <c r="QOZ6" s="27" t="str">
        <f>IFERROR(VLOOKUP(DATE($K$1,$K$2,QOZ$4),Table1[],(MATCH(Calendar!$A6,DB!1:1,0)+2),FALSE),"")</f>
        <v/>
      </c>
      <c r="QPA6" s="27" t="str">
        <f>IFERROR(VLOOKUP(DATE($K$1,$K$2,QPA$4),Table1[],(MATCH(Calendar!$A6,DB!1:1,0)+2),FALSE),"")</f>
        <v/>
      </c>
      <c r="QPB6" s="27" t="str">
        <f>IFERROR(VLOOKUP(DATE($K$1,$K$2,QPB$4),Table1[],(MATCH(Calendar!$A6,DB!1:1,0)+2),FALSE),"")</f>
        <v/>
      </c>
      <c r="QPC6" s="27" t="str">
        <f>IFERROR(VLOOKUP(DATE($K$1,$K$2,QPC$4),Table1[],(MATCH(Calendar!$A6,DB!1:1,0)+2),FALSE),"")</f>
        <v/>
      </c>
      <c r="QPD6" s="27" t="str">
        <f>IFERROR(VLOOKUP(DATE($K$1,$K$2,QPD$4),Table1[],(MATCH(Calendar!$A6,DB!1:1,0)+2),FALSE),"")</f>
        <v/>
      </c>
      <c r="QPE6" s="27" t="str">
        <f>IFERROR(VLOOKUP(DATE($K$1,$K$2,QPE$4),Table1[],(MATCH(Calendar!$A6,DB!1:1,0)+2),FALSE),"")</f>
        <v/>
      </c>
      <c r="QPF6" s="27" t="str">
        <f>IFERROR(VLOOKUP(DATE($K$1,$K$2,QPF$4),Table1[],(MATCH(Calendar!$A6,DB!1:1,0)+2),FALSE),"")</f>
        <v/>
      </c>
      <c r="QPG6" s="27" t="str">
        <f>IFERROR(VLOOKUP(DATE($K$1,$K$2,QPG$4),Table1[],(MATCH(Calendar!$A6,DB!1:1,0)+2),FALSE),"")</f>
        <v/>
      </c>
      <c r="QPH6" s="27" t="str">
        <f>IFERROR(VLOOKUP(DATE($K$1,$K$2,QPH$4),Table1[],(MATCH(Calendar!$A6,DB!1:1,0)+2),FALSE),"")</f>
        <v/>
      </c>
      <c r="QPI6" s="27" t="str">
        <f>IFERROR(VLOOKUP(DATE($K$1,$K$2,QPI$4),Table1[],(MATCH(Calendar!$A6,DB!1:1,0)+2),FALSE),"")</f>
        <v/>
      </c>
      <c r="QPJ6" s="27" t="str">
        <f>IFERROR(VLOOKUP(DATE($K$1,$K$2,QPJ$4),Table1[],(MATCH(Calendar!$A6,DB!1:1,0)+2),FALSE),"")</f>
        <v/>
      </c>
      <c r="QPK6" s="27" t="str">
        <f>IFERROR(VLOOKUP(DATE($K$1,$K$2,QPK$4),Table1[],(MATCH(Calendar!$A6,DB!1:1,0)+2),FALSE),"")</f>
        <v/>
      </c>
      <c r="QPL6" s="27" t="str">
        <f>IFERROR(VLOOKUP(DATE($K$1,$K$2,QPL$4),Table1[],(MATCH(Calendar!$A6,DB!1:1,0)+2),FALSE),"")</f>
        <v/>
      </c>
      <c r="QPM6" s="27" t="str">
        <f>IFERROR(VLOOKUP(DATE($K$1,$K$2,QPM$4),Table1[],(MATCH(Calendar!$A6,DB!1:1,0)+2),FALSE),"")</f>
        <v/>
      </c>
      <c r="QPN6" s="27" t="str">
        <f>IFERROR(VLOOKUP(DATE($K$1,$K$2,QPN$4),Table1[],(MATCH(Calendar!$A6,DB!1:1,0)+2),FALSE),"")</f>
        <v/>
      </c>
      <c r="QPO6" s="27" t="str">
        <f>IFERROR(VLOOKUP(DATE($K$1,$K$2,QPO$4),Table1[],(MATCH(Calendar!$A6,DB!1:1,0)+2),FALSE),"")</f>
        <v/>
      </c>
      <c r="QPP6" s="27" t="str">
        <f>IFERROR(VLOOKUP(DATE($K$1,$K$2,QPP$4),Table1[],(MATCH(Calendar!$A6,DB!1:1,0)+2),FALSE),"")</f>
        <v/>
      </c>
      <c r="QPQ6" s="27" t="str">
        <f>IFERROR(VLOOKUP(DATE($K$1,$K$2,QPQ$4),Table1[],(MATCH(Calendar!$A6,DB!1:1,0)+2),FALSE),"")</f>
        <v/>
      </c>
      <c r="QPR6" s="27" t="str">
        <f>IFERROR(VLOOKUP(DATE($K$1,$K$2,QPR$4),Table1[],(MATCH(Calendar!$A6,DB!1:1,0)+2),FALSE),"")</f>
        <v/>
      </c>
      <c r="QPS6" s="27" t="str">
        <f>IFERROR(VLOOKUP(DATE($K$1,$K$2,QPS$4),Table1[],(MATCH(Calendar!$A6,DB!1:1,0)+2),FALSE),"")</f>
        <v/>
      </c>
      <c r="QPT6" s="27" t="str">
        <f>IFERROR(VLOOKUP(DATE($K$1,$K$2,QPT$4),Table1[],(MATCH(Calendar!$A6,DB!1:1,0)+2),FALSE),"")</f>
        <v/>
      </c>
      <c r="QPU6" s="27" t="str">
        <f>IFERROR(VLOOKUP(DATE($K$1,$K$2,QPU$4),Table1[],(MATCH(Calendar!$A6,DB!1:1,0)+2),FALSE),"")</f>
        <v/>
      </c>
      <c r="QPV6" s="27" t="str">
        <f>IFERROR(VLOOKUP(DATE($K$1,$K$2,QPV$4),Table1[],(MATCH(Calendar!$A6,DB!1:1,0)+2),FALSE),"")</f>
        <v/>
      </c>
      <c r="QPW6" s="27" t="str">
        <f>IFERROR(VLOOKUP(DATE($K$1,$K$2,QPW$4),Table1[],(MATCH(Calendar!$A6,DB!1:1,0)+2),FALSE),"")</f>
        <v/>
      </c>
      <c r="QPX6" s="27" t="str">
        <f>IFERROR(VLOOKUP(DATE($K$1,$K$2,QPX$4),Table1[],(MATCH(Calendar!$A6,DB!1:1,0)+2),FALSE),"")</f>
        <v/>
      </c>
      <c r="QPY6" s="27" t="str">
        <f>IFERROR(VLOOKUP(DATE($K$1,$K$2,QPY$4),Table1[],(MATCH(Calendar!$A6,DB!1:1,0)+2),FALSE),"")</f>
        <v/>
      </c>
      <c r="QPZ6" s="27" t="str">
        <f>IFERROR(VLOOKUP(DATE($K$1,$K$2,QPZ$4),Table1[],(MATCH(Calendar!$A6,DB!1:1,0)+2),FALSE),"")</f>
        <v/>
      </c>
      <c r="QQA6" s="27" t="str">
        <f>IFERROR(VLOOKUP(DATE($K$1,$K$2,QQA$4),Table1[],(MATCH(Calendar!$A6,DB!1:1,0)+2),FALSE),"")</f>
        <v/>
      </c>
      <c r="QQB6" s="27" t="str">
        <f>IFERROR(VLOOKUP(DATE($K$1,$K$2,QQB$4),Table1[],(MATCH(Calendar!$A6,DB!1:1,0)+2),FALSE),"")</f>
        <v/>
      </c>
      <c r="QQC6" s="27" t="str">
        <f>IFERROR(VLOOKUP(DATE($K$1,$K$2,QQC$4),Table1[],(MATCH(Calendar!$A6,DB!1:1,0)+2),FALSE),"")</f>
        <v/>
      </c>
      <c r="QQD6" s="27" t="str">
        <f>IFERROR(VLOOKUP(DATE($K$1,$K$2,QQD$4),Table1[],(MATCH(Calendar!$A6,DB!1:1,0)+2),FALSE),"")</f>
        <v/>
      </c>
      <c r="QQE6" s="27" t="str">
        <f>IFERROR(VLOOKUP(DATE($K$1,$K$2,QQE$4),Table1[],(MATCH(Calendar!$A6,DB!1:1,0)+2),FALSE),"")</f>
        <v/>
      </c>
      <c r="QQF6" s="27" t="str">
        <f>IFERROR(VLOOKUP(DATE($K$1,$K$2,QQF$4),Table1[],(MATCH(Calendar!$A6,DB!1:1,0)+2),FALSE),"")</f>
        <v/>
      </c>
      <c r="QQG6" s="27" t="str">
        <f>IFERROR(VLOOKUP(DATE($K$1,$K$2,QQG$4),Table1[],(MATCH(Calendar!$A6,DB!1:1,0)+2),FALSE),"")</f>
        <v/>
      </c>
      <c r="QQH6" s="27" t="str">
        <f>IFERROR(VLOOKUP(DATE($K$1,$K$2,QQH$4),Table1[],(MATCH(Calendar!$A6,DB!1:1,0)+2),FALSE),"")</f>
        <v/>
      </c>
      <c r="QQI6" s="27" t="str">
        <f>IFERROR(VLOOKUP(DATE($K$1,$K$2,QQI$4),Table1[],(MATCH(Calendar!$A6,DB!1:1,0)+2),FALSE),"")</f>
        <v/>
      </c>
      <c r="QQJ6" s="27" t="str">
        <f>IFERROR(VLOOKUP(DATE($K$1,$K$2,QQJ$4),Table1[],(MATCH(Calendar!$A6,DB!1:1,0)+2),FALSE),"")</f>
        <v/>
      </c>
      <c r="QQK6" s="27" t="str">
        <f>IFERROR(VLOOKUP(DATE($K$1,$K$2,QQK$4),Table1[],(MATCH(Calendar!$A6,DB!1:1,0)+2),FALSE),"")</f>
        <v/>
      </c>
      <c r="QQL6" s="27" t="str">
        <f>IFERROR(VLOOKUP(DATE($K$1,$K$2,QQL$4),Table1[],(MATCH(Calendar!$A6,DB!1:1,0)+2),FALSE),"")</f>
        <v/>
      </c>
      <c r="QQM6" s="27" t="str">
        <f>IFERROR(VLOOKUP(DATE($K$1,$K$2,QQM$4),Table1[],(MATCH(Calendar!$A6,DB!1:1,0)+2),FALSE),"")</f>
        <v/>
      </c>
      <c r="QQN6" s="27" t="str">
        <f>IFERROR(VLOOKUP(DATE($K$1,$K$2,QQN$4),Table1[],(MATCH(Calendar!$A6,DB!1:1,0)+2),FALSE),"")</f>
        <v/>
      </c>
      <c r="QQO6" s="27" t="str">
        <f>IFERROR(VLOOKUP(DATE($K$1,$K$2,QQO$4),Table1[],(MATCH(Calendar!$A6,DB!1:1,0)+2),FALSE),"")</f>
        <v/>
      </c>
      <c r="QQP6" s="27" t="str">
        <f>IFERROR(VLOOKUP(DATE($K$1,$K$2,QQP$4),Table1[],(MATCH(Calendar!$A6,DB!1:1,0)+2),FALSE),"")</f>
        <v/>
      </c>
      <c r="QQQ6" s="27" t="str">
        <f>IFERROR(VLOOKUP(DATE($K$1,$K$2,QQQ$4),Table1[],(MATCH(Calendar!$A6,DB!1:1,0)+2),FALSE),"")</f>
        <v/>
      </c>
      <c r="QQR6" s="27" t="str">
        <f>IFERROR(VLOOKUP(DATE($K$1,$K$2,QQR$4),Table1[],(MATCH(Calendar!$A6,DB!1:1,0)+2),FALSE),"")</f>
        <v/>
      </c>
      <c r="QQS6" s="27" t="str">
        <f>IFERROR(VLOOKUP(DATE($K$1,$K$2,QQS$4),Table1[],(MATCH(Calendar!$A6,DB!1:1,0)+2),FALSE),"")</f>
        <v/>
      </c>
      <c r="QQT6" s="27" t="str">
        <f>IFERROR(VLOOKUP(DATE($K$1,$K$2,QQT$4),Table1[],(MATCH(Calendar!$A6,DB!1:1,0)+2),FALSE),"")</f>
        <v/>
      </c>
      <c r="QQU6" s="27" t="str">
        <f>IFERROR(VLOOKUP(DATE($K$1,$K$2,QQU$4),Table1[],(MATCH(Calendar!$A6,DB!1:1,0)+2),FALSE),"")</f>
        <v/>
      </c>
      <c r="QQV6" s="27" t="str">
        <f>IFERROR(VLOOKUP(DATE($K$1,$K$2,QQV$4),Table1[],(MATCH(Calendar!$A6,DB!1:1,0)+2),FALSE),"")</f>
        <v/>
      </c>
      <c r="QQW6" s="27" t="str">
        <f>IFERROR(VLOOKUP(DATE($K$1,$K$2,QQW$4),Table1[],(MATCH(Calendar!$A6,DB!1:1,0)+2),FALSE),"")</f>
        <v/>
      </c>
      <c r="QQX6" s="27" t="str">
        <f>IFERROR(VLOOKUP(DATE($K$1,$K$2,QQX$4),Table1[],(MATCH(Calendar!$A6,DB!1:1,0)+2),FALSE),"")</f>
        <v/>
      </c>
      <c r="QQY6" s="27" t="str">
        <f>IFERROR(VLOOKUP(DATE($K$1,$K$2,QQY$4),Table1[],(MATCH(Calendar!$A6,DB!1:1,0)+2),FALSE),"")</f>
        <v/>
      </c>
      <c r="QQZ6" s="27" t="str">
        <f>IFERROR(VLOOKUP(DATE($K$1,$K$2,QQZ$4),Table1[],(MATCH(Calendar!$A6,DB!1:1,0)+2),FALSE),"")</f>
        <v/>
      </c>
      <c r="QRA6" s="27" t="str">
        <f>IFERROR(VLOOKUP(DATE($K$1,$K$2,QRA$4),Table1[],(MATCH(Calendar!$A6,DB!1:1,0)+2),FALSE),"")</f>
        <v/>
      </c>
      <c r="QRB6" s="27" t="str">
        <f>IFERROR(VLOOKUP(DATE($K$1,$K$2,QRB$4),Table1[],(MATCH(Calendar!$A6,DB!1:1,0)+2),FALSE),"")</f>
        <v/>
      </c>
      <c r="QRC6" s="27" t="str">
        <f>IFERROR(VLOOKUP(DATE($K$1,$K$2,QRC$4),Table1[],(MATCH(Calendar!$A6,DB!1:1,0)+2),FALSE),"")</f>
        <v/>
      </c>
      <c r="QRD6" s="27" t="str">
        <f>IFERROR(VLOOKUP(DATE($K$1,$K$2,QRD$4),Table1[],(MATCH(Calendar!$A6,DB!1:1,0)+2),FALSE),"")</f>
        <v/>
      </c>
      <c r="QRE6" s="27" t="str">
        <f>IFERROR(VLOOKUP(DATE($K$1,$K$2,QRE$4),Table1[],(MATCH(Calendar!$A6,DB!1:1,0)+2),FALSE),"")</f>
        <v/>
      </c>
      <c r="QRF6" s="27" t="str">
        <f>IFERROR(VLOOKUP(DATE($K$1,$K$2,QRF$4),Table1[],(MATCH(Calendar!$A6,DB!1:1,0)+2),FALSE),"")</f>
        <v/>
      </c>
      <c r="QRG6" s="27" t="str">
        <f>IFERROR(VLOOKUP(DATE($K$1,$K$2,QRG$4),Table1[],(MATCH(Calendar!$A6,DB!1:1,0)+2),FALSE),"")</f>
        <v/>
      </c>
      <c r="QRH6" s="27" t="str">
        <f>IFERROR(VLOOKUP(DATE($K$1,$K$2,QRH$4),Table1[],(MATCH(Calendar!$A6,DB!1:1,0)+2),FALSE),"")</f>
        <v/>
      </c>
      <c r="QRI6" s="27" t="str">
        <f>IFERROR(VLOOKUP(DATE($K$1,$K$2,QRI$4),Table1[],(MATCH(Calendar!$A6,DB!1:1,0)+2),FALSE),"")</f>
        <v/>
      </c>
      <c r="QRJ6" s="27" t="str">
        <f>IFERROR(VLOOKUP(DATE($K$1,$K$2,QRJ$4),Table1[],(MATCH(Calendar!$A6,DB!1:1,0)+2),FALSE),"")</f>
        <v/>
      </c>
      <c r="QRK6" s="27" t="str">
        <f>IFERROR(VLOOKUP(DATE($K$1,$K$2,QRK$4),Table1[],(MATCH(Calendar!$A6,DB!1:1,0)+2),FALSE),"")</f>
        <v/>
      </c>
      <c r="QRL6" s="27" t="str">
        <f>IFERROR(VLOOKUP(DATE($K$1,$K$2,QRL$4),Table1[],(MATCH(Calendar!$A6,DB!1:1,0)+2),FALSE),"")</f>
        <v/>
      </c>
      <c r="QRM6" s="27" t="str">
        <f>IFERROR(VLOOKUP(DATE($K$1,$K$2,QRM$4),Table1[],(MATCH(Calendar!$A6,DB!1:1,0)+2),FALSE),"")</f>
        <v/>
      </c>
      <c r="QRN6" s="27" t="str">
        <f>IFERROR(VLOOKUP(DATE($K$1,$K$2,QRN$4),Table1[],(MATCH(Calendar!$A6,DB!1:1,0)+2),FALSE),"")</f>
        <v/>
      </c>
      <c r="QRO6" s="27" t="str">
        <f>IFERROR(VLOOKUP(DATE($K$1,$K$2,QRO$4),Table1[],(MATCH(Calendar!$A6,DB!1:1,0)+2),FALSE),"")</f>
        <v/>
      </c>
      <c r="QRP6" s="27" t="str">
        <f>IFERROR(VLOOKUP(DATE($K$1,$K$2,QRP$4),Table1[],(MATCH(Calendar!$A6,DB!1:1,0)+2),FALSE),"")</f>
        <v/>
      </c>
      <c r="QRQ6" s="27" t="str">
        <f>IFERROR(VLOOKUP(DATE($K$1,$K$2,QRQ$4),Table1[],(MATCH(Calendar!$A6,DB!1:1,0)+2),FALSE),"")</f>
        <v/>
      </c>
      <c r="QRR6" s="27" t="str">
        <f>IFERROR(VLOOKUP(DATE($K$1,$K$2,QRR$4),Table1[],(MATCH(Calendar!$A6,DB!1:1,0)+2),FALSE),"")</f>
        <v/>
      </c>
      <c r="QRS6" s="27" t="str">
        <f>IFERROR(VLOOKUP(DATE($K$1,$K$2,QRS$4),Table1[],(MATCH(Calendar!$A6,DB!1:1,0)+2),FALSE),"")</f>
        <v/>
      </c>
      <c r="QRT6" s="27" t="str">
        <f>IFERROR(VLOOKUP(DATE($K$1,$K$2,QRT$4),Table1[],(MATCH(Calendar!$A6,DB!1:1,0)+2),FALSE),"")</f>
        <v/>
      </c>
      <c r="QRU6" s="27" t="str">
        <f>IFERROR(VLOOKUP(DATE($K$1,$K$2,QRU$4),Table1[],(MATCH(Calendar!$A6,DB!1:1,0)+2),FALSE),"")</f>
        <v/>
      </c>
      <c r="QRV6" s="27" t="str">
        <f>IFERROR(VLOOKUP(DATE($K$1,$K$2,QRV$4),Table1[],(MATCH(Calendar!$A6,DB!1:1,0)+2),FALSE),"")</f>
        <v/>
      </c>
      <c r="QRW6" s="27" t="str">
        <f>IFERROR(VLOOKUP(DATE($K$1,$K$2,QRW$4),Table1[],(MATCH(Calendar!$A6,DB!1:1,0)+2),FALSE),"")</f>
        <v/>
      </c>
      <c r="QRX6" s="27" t="str">
        <f>IFERROR(VLOOKUP(DATE($K$1,$K$2,QRX$4),Table1[],(MATCH(Calendar!$A6,DB!1:1,0)+2),FALSE),"")</f>
        <v/>
      </c>
      <c r="QRY6" s="27" t="str">
        <f>IFERROR(VLOOKUP(DATE($K$1,$K$2,QRY$4),Table1[],(MATCH(Calendar!$A6,DB!1:1,0)+2),FALSE),"")</f>
        <v/>
      </c>
      <c r="QRZ6" s="27" t="str">
        <f>IFERROR(VLOOKUP(DATE($K$1,$K$2,QRZ$4),Table1[],(MATCH(Calendar!$A6,DB!1:1,0)+2),FALSE),"")</f>
        <v/>
      </c>
      <c r="QSA6" s="27" t="str">
        <f>IFERROR(VLOOKUP(DATE($K$1,$K$2,QSA$4),Table1[],(MATCH(Calendar!$A6,DB!1:1,0)+2),FALSE),"")</f>
        <v/>
      </c>
      <c r="QSB6" s="27" t="str">
        <f>IFERROR(VLOOKUP(DATE($K$1,$K$2,QSB$4),Table1[],(MATCH(Calendar!$A6,DB!1:1,0)+2),FALSE),"")</f>
        <v/>
      </c>
      <c r="QSC6" s="27" t="str">
        <f>IFERROR(VLOOKUP(DATE($K$1,$K$2,QSC$4),Table1[],(MATCH(Calendar!$A6,DB!1:1,0)+2),FALSE),"")</f>
        <v/>
      </c>
      <c r="QSD6" s="27" t="str">
        <f>IFERROR(VLOOKUP(DATE($K$1,$K$2,QSD$4),Table1[],(MATCH(Calendar!$A6,DB!1:1,0)+2),FALSE),"")</f>
        <v/>
      </c>
      <c r="QSE6" s="27" t="str">
        <f>IFERROR(VLOOKUP(DATE($K$1,$K$2,QSE$4),Table1[],(MATCH(Calendar!$A6,DB!1:1,0)+2),FALSE),"")</f>
        <v/>
      </c>
      <c r="QSF6" s="27" t="str">
        <f>IFERROR(VLOOKUP(DATE($K$1,$K$2,QSF$4),Table1[],(MATCH(Calendar!$A6,DB!1:1,0)+2),FALSE),"")</f>
        <v/>
      </c>
      <c r="QSG6" s="27" t="str">
        <f>IFERROR(VLOOKUP(DATE($K$1,$K$2,QSG$4),Table1[],(MATCH(Calendar!$A6,DB!1:1,0)+2),FALSE),"")</f>
        <v/>
      </c>
      <c r="QSH6" s="27" t="str">
        <f>IFERROR(VLOOKUP(DATE($K$1,$K$2,QSH$4),Table1[],(MATCH(Calendar!$A6,DB!1:1,0)+2),FALSE),"")</f>
        <v/>
      </c>
      <c r="QSI6" s="27" t="str">
        <f>IFERROR(VLOOKUP(DATE($K$1,$K$2,QSI$4),Table1[],(MATCH(Calendar!$A6,DB!1:1,0)+2),FALSE),"")</f>
        <v/>
      </c>
      <c r="QSJ6" s="27" t="str">
        <f>IFERROR(VLOOKUP(DATE($K$1,$K$2,QSJ$4),Table1[],(MATCH(Calendar!$A6,DB!1:1,0)+2),FALSE),"")</f>
        <v/>
      </c>
      <c r="QSK6" s="27" t="str">
        <f>IFERROR(VLOOKUP(DATE($K$1,$K$2,QSK$4),Table1[],(MATCH(Calendar!$A6,DB!1:1,0)+2),FALSE),"")</f>
        <v/>
      </c>
      <c r="QSL6" s="27" t="str">
        <f>IFERROR(VLOOKUP(DATE($K$1,$K$2,QSL$4),Table1[],(MATCH(Calendar!$A6,DB!1:1,0)+2),FALSE),"")</f>
        <v/>
      </c>
      <c r="QSM6" s="27" t="str">
        <f>IFERROR(VLOOKUP(DATE($K$1,$K$2,QSM$4),Table1[],(MATCH(Calendar!$A6,DB!1:1,0)+2),FALSE),"")</f>
        <v/>
      </c>
      <c r="QSN6" s="27" t="str">
        <f>IFERROR(VLOOKUP(DATE($K$1,$K$2,QSN$4),Table1[],(MATCH(Calendar!$A6,DB!1:1,0)+2),FALSE),"")</f>
        <v/>
      </c>
      <c r="QSO6" s="27" t="str">
        <f>IFERROR(VLOOKUP(DATE($K$1,$K$2,QSO$4),Table1[],(MATCH(Calendar!$A6,DB!1:1,0)+2),FALSE),"")</f>
        <v/>
      </c>
      <c r="QSP6" s="27" t="str">
        <f>IFERROR(VLOOKUP(DATE($K$1,$K$2,QSP$4),Table1[],(MATCH(Calendar!$A6,DB!1:1,0)+2),FALSE),"")</f>
        <v/>
      </c>
      <c r="QSQ6" s="27" t="str">
        <f>IFERROR(VLOOKUP(DATE($K$1,$K$2,QSQ$4),Table1[],(MATCH(Calendar!$A6,DB!1:1,0)+2),FALSE),"")</f>
        <v/>
      </c>
      <c r="QSR6" s="27" t="str">
        <f>IFERROR(VLOOKUP(DATE($K$1,$K$2,QSR$4),Table1[],(MATCH(Calendar!$A6,DB!1:1,0)+2),FALSE),"")</f>
        <v/>
      </c>
      <c r="QSS6" s="27" t="str">
        <f>IFERROR(VLOOKUP(DATE($K$1,$K$2,QSS$4),Table1[],(MATCH(Calendar!$A6,DB!1:1,0)+2),FALSE),"")</f>
        <v/>
      </c>
      <c r="QST6" s="27" t="str">
        <f>IFERROR(VLOOKUP(DATE($K$1,$K$2,QST$4),Table1[],(MATCH(Calendar!$A6,DB!1:1,0)+2),FALSE),"")</f>
        <v/>
      </c>
      <c r="QSU6" s="27" t="str">
        <f>IFERROR(VLOOKUP(DATE($K$1,$K$2,QSU$4),Table1[],(MATCH(Calendar!$A6,DB!1:1,0)+2),FALSE),"")</f>
        <v/>
      </c>
      <c r="QSV6" s="27" t="str">
        <f>IFERROR(VLOOKUP(DATE($K$1,$K$2,QSV$4),Table1[],(MATCH(Calendar!$A6,DB!1:1,0)+2),FALSE),"")</f>
        <v/>
      </c>
      <c r="QSW6" s="27" t="str">
        <f>IFERROR(VLOOKUP(DATE($K$1,$K$2,QSW$4),Table1[],(MATCH(Calendar!$A6,DB!1:1,0)+2),FALSE),"")</f>
        <v/>
      </c>
      <c r="QSX6" s="27" t="str">
        <f>IFERROR(VLOOKUP(DATE($K$1,$K$2,QSX$4),Table1[],(MATCH(Calendar!$A6,DB!1:1,0)+2),FALSE),"")</f>
        <v/>
      </c>
      <c r="QSY6" s="27" t="str">
        <f>IFERROR(VLOOKUP(DATE($K$1,$K$2,QSY$4),Table1[],(MATCH(Calendar!$A6,DB!1:1,0)+2),FALSE),"")</f>
        <v/>
      </c>
      <c r="QSZ6" s="27" t="str">
        <f>IFERROR(VLOOKUP(DATE($K$1,$K$2,QSZ$4),Table1[],(MATCH(Calendar!$A6,DB!1:1,0)+2),FALSE),"")</f>
        <v/>
      </c>
      <c r="QTA6" s="27" t="str">
        <f>IFERROR(VLOOKUP(DATE($K$1,$K$2,QTA$4),Table1[],(MATCH(Calendar!$A6,DB!1:1,0)+2),FALSE),"")</f>
        <v/>
      </c>
      <c r="QTB6" s="27" t="str">
        <f>IFERROR(VLOOKUP(DATE($K$1,$K$2,QTB$4),Table1[],(MATCH(Calendar!$A6,DB!1:1,0)+2),FALSE),"")</f>
        <v/>
      </c>
      <c r="QTC6" s="27" t="str">
        <f>IFERROR(VLOOKUP(DATE($K$1,$K$2,QTC$4),Table1[],(MATCH(Calendar!$A6,DB!1:1,0)+2),FALSE),"")</f>
        <v/>
      </c>
      <c r="QTD6" s="27" t="str">
        <f>IFERROR(VLOOKUP(DATE($K$1,$K$2,QTD$4),Table1[],(MATCH(Calendar!$A6,DB!1:1,0)+2),FALSE),"")</f>
        <v/>
      </c>
      <c r="QTE6" s="27" t="str">
        <f>IFERROR(VLOOKUP(DATE($K$1,$K$2,QTE$4),Table1[],(MATCH(Calendar!$A6,DB!1:1,0)+2),FALSE),"")</f>
        <v/>
      </c>
      <c r="QTF6" s="27" t="str">
        <f>IFERROR(VLOOKUP(DATE($K$1,$K$2,QTF$4),Table1[],(MATCH(Calendar!$A6,DB!1:1,0)+2),FALSE),"")</f>
        <v/>
      </c>
      <c r="QTG6" s="27" t="str">
        <f>IFERROR(VLOOKUP(DATE($K$1,$K$2,QTG$4),Table1[],(MATCH(Calendar!$A6,DB!1:1,0)+2),FALSE),"")</f>
        <v/>
      </c>
      <c r="QTH6" s="27" t="str">
        <f>IFERROR(VLOOKUP(DATE($K$1,$K$2,QTH$4),Table1[],(MATCH(Calendar!$A6,DB!1:1,0)+2),FALSE),"")</f>
        <v/>
      </c>
      <c r="QTI6" s="27" t="str">
        <f>IFERROR(VLOOKUP(DATE($K$1,$K$2,QTI$4),Table1[],(MATCH(Calendar!$A6,DB!1:1,0)+2),FALSE),"")</f>
        <v/>
      </c>
      <c r="QTJ6" s="27" t="str">
        <f>IFERROR(VLOOKUP(DATE($K$1,$K$2,QTJ$4),Table1[],(MATCH(Calendar!$A6,DB!1:1,0)+2),FALSE),"")</f>
        <v/>
      </c>
      <c r="QTK6" s="27" t="str">
        <f>IFERROR(VLOOKUP(DATE($K$1,$K$2,QTK$4),Table1[],(MATCH(Calendar!$A6,DB!1:1,0)+2),FALSE),"")</f>
        <v/>
      </c>
      <c r="QTL6" s="27" t="str">
        <f>IFERROR(VLOOKUP(DATE($K$1,$K$2,QTL$4),Table1[],(MATCH(Calendar!$A6,DB!1:1,0)+2),FALSE),"")</f>
        <v/>
      </c>
      <c r="QTM6" s="27" t="str">
        <f>IFERROR(VLOOKUP(DATE($K$1,$K$2,QTM$4),Table1[],(MATCH(Calendar!$A6,DB!1:1,0)+2),FALSE),"")</f>
        <v/>
      </c>
      <c r="QTN6" s="27" t="str">
        <f>IFERROR(VLOOKUP(DATE($K$1,$K$2,QTN$4),Table1[],(MATCH(Calendar!$A6,DB!1:1,0)+2),FALSE),"")</f>
        <v/>
      </c>
      <c r="QTO6" s="27" t="str">
        <f>IFERROR(VLOOKUP(DATE($K$1,$K$2,QTO$4),Table1[],(MATCH(Calendar!$A6,DB!1:1,0)+2),FALSE),"")</f>
        <v/>
      </c>
      <c r="QTP6" s="27" t="str">
        <f>IFERROR(VLOOKUP(DATE($K$1,$K$2,QTP$4),Table1[],(MATCH(Calendar!$A6,DB!1:1,0)+2),FALSE),"")</f>
        <v/>
      </c>
      <c r="QTQ6" s="27" t="str">
        <f>IFERROR(VLOOKUP(DATE($K$1,$K$2,QTQ$4),Table1[],(MATCH(Calendar!$A6,DB!1:1,0)+2),FALSE),"")</f>
        <v/>
      </c>
      <c r="QTR6" s="27" t="str">
        <f>IFERROR(VLOOKUP(DATE($K$1,$K$2,QTR$4),Table1[],(MATCH(Calendar!$A6,DB!1:1,0)+2),FALSE),"")</f>
        <v/>
      </c>
      <c r="QTS6" s="27" t="str">
        <f>IFERROR(VLOOKUP(DATE($K$1,$K$2,QTS$4),Table1[],(MATCH(Calendar!$A6,DB!1:1,0)+2),FALSE),"")</f>
        <v/>
      </c>
      <c r="QTT6" s="27" t="str">
        <f>IFERROR(VLOOKUP(DATE($K$1,$K$2,QTT$4),Table1[],(MATCH(Calendar!$A6,DB!1:1,0)+2),FALSE),"")</f>
        <v/>
      </c>
      <c r="QTU6" s="27" t="str">
        <f>IFERROR(VLOOKUP(DATE($K$1,$K$2,QTU$4),Table1[],(MATCH(Calendar!$A6,DB!1:1,0)+2),FALSE),"")</f>
        <v/>
      </c>
      <c r="QTV6" s="27" t="str">
        <f>IFERROR(VLOOKUP(DATE($K$1,$K$2,QTV$4),Table1[],(MATCH(Calendar!$A6,DB!1:1,0)+2),FALSE),"")</f>
        <v/>
      </c>
      <c r="QTW6" s="27" t="str">
        <f>IFERROR(VLOOKUP(DATE($K$1,$K$2,QTW$4),Table1[],(MATCH(Calendar!$A6,DB!1:1,0)+2),FALSE),"")</f>
        <v/>
      </c>
      <c r="QTX6" s="27" t="str">
        <f>IFERROR(VLOOKUP(DATE($K$1,$K$2,QTX$4),Table1[],(MATCH(Calendar!$A6,DB!1:1,0)+2),FALSE),"")</f>
        <v/>
      </c>
      <c r="QTY6" s="27" t="str">
        <f>IFERROR(VLOOKUP(DATE($K$1,$K$2,QTY$4),Table1[],(MATCH(Calendar!$A6,DB!1:1,0)+2),FALSE),"")</f>
        <v/>
      </c>
      <c r="QTZ6" s="27" t="str">
        <f>IFERROR(VLOOKUP(DATE($K$1,$K$2,QTZ$4),Table1[],(MATCH(Calendar!$A6,DB!1:1,0)+2),FALSE),"")</f>
        <v/>
      </c>
      <c r="QUA6" s="27" t="str">
        <f>IFERROR(VLOOKUP(DATE($K$1,$K$2,QUA$4),Table1[],(MATCH(Calendar!$A6,DB!1:1,0)+2),FALSE),"")</f>
        <v/>
      </c>
      <c r="QUB6" s="27" t="str">
        <f>IFERROR(VLOOKUP(DATE($K$1,$K$2,QUB$4),Table1[],(MATCH(Calendar!$A6,DB!1:1,0)+2),FALSE),"")</f>
        <v/>
      </c>
      <c r="QUC6" s="27" t="str">
        <f>IFERROR(VLOOKUP(DATE($K$1,$K$2,QUC$4),Table1[],(MATCH(Calendar!$A6,DB!1:1,0)+2),FALSE),"")</f>
        <v/>
      </c>
      <c r="QUD6" s="27" t="str">
        <f>IFERROR(VLOOKUP(DATE($K$1,$K$2,QUD$4),Table1[],(MATCH(Calendar!$A6,DB!1:1,0)+2),FALSE),"")</f>
        <v/>
      </c>
      <c r="QUE6" s="27" t="str">
        <f>IFERROR(VLOOKUP(DATE($K$1,$K$2,QUE$4),Table1[],(MATCH(Calendar!$A6,DB!1:1,0)+2),FALSE),"")</f>
        <v/>
      </c>
      <c r="QUF6" s="27" t="str">
        <f>IFERROR(VLOOKUP(DATE($K$1,$K$2,QUF$4),Table1[],(MATCH(Calendar!$A6,DB!1:1,0)+2),FALSE),"")</f>
        <v/>
      </c>
      <c r="QUG6" s="27" t="str">
        <f>IFERROR(VLOOKUP(DATE($K$1,$K$2,QUG$4),Table1[],(MATCH(Calendar!$A6,DB!1:1,0)+2),FALSE),"")</f>
        <v/>
      </c>
      <c r="QUH6" s="27" t="str">
        <f>IFERROR(VLOOKUP(DATE($K$1,$K$2,QUH$4),Table1[],(MATCH(Calendar!$A6,DB!1:1,0)+2),FALSE),"")</f>
        <v/>
      </c>
      <c r="QUI6" s="27" t="str">
        <f>IFERROR(VLOOKUP(DATE($K$1,$K$2,QUI$4),Table1[],(MATCH(Calendar!$A6,DB!1:1,0)+2),FALSE),"")</f>
        <v/>
      </c>
      <c r="QUJ6" s="27" t="str">
        <f>IFERROR(VLOOKUP(DATE($K$1,$K$2,QUJ$4),Table1[],(MATCH(Calendar!$A6,DB!1:1,0)+2),FALSE),"")</f>
        <v/>
      </c>
      <c r="QUK6" s="27" t="str">
        <f>IFERROR(VLOOKUP(DATE($K$1,$K$2,QUK$4),Table1[],(MATCH(Calendar!$A6,DB!1:1,0)+2),FALSE),"")</f>
        <v/>
      </c>
      <c r="QUL6" s="27" t="str">
        <f>IFERROR(VLOOKUP(DATE($K$1,$K$2,QUL$4),Table1[],(MATCH(Calendar!$A6,DB!1:1,0)+2),FALSE),"")</f>
        <v/>
      </c>
      <c r="QUM6" s="27" t="str">
        <f>IFERROR(VLOOKUP(DATE($K$1,$K$2,QUM$4),Table1[],(MATCH(Calendar!$A6,DB!1:1,0)+2),FALSE),"")</f>
        <v/>
      </c>
      <c r="QUN6" s="27" t="str">
        <f>IFERROR(VLOOKUP(DATE($K$1,$K$2,QUN$4),Table1[],(MATCH(Calendar!$A6,DB!1:1,0)+2),FALSE),"")</f>
        <v/>
      </c>
      <c r="QUO6" s="27" t="str">
        <f>IFERROR(VLOOKUP(DATE($K$1,$K$2,QUO$4),Table1[],(MATCH(Calendar!$A6,DB!1:1,0)+2),FALSE),"")</f>
        <v/>
      </c>
      <c r="QUP6" s="27" t="str">
        <f>IFERROR(VLOOKUP(DATE($K$1,$K$2,QUP$4),Table1[],(MATCH(Calendar!$A6,DB!1:1,0)+2),FALSE),"")</f>
        <v/>
      </c>
      <c r="QUQ6" s="27" t="str">
        <f>IFERROR(VLOOKUP(DATE($K$1,$K$2,QUQ$4),Table1[],(MATCH(Calendar!$A6,DB!1:1,0)+2),FALSE),"")</f>
        <v/>
      </c>
      <c r="QUR6" s="27" t="str">
        <f>IFERROR(VLOOKUP(DATE($K$1,$K$2,QUR$4),Table1[],(MATCH(Calendar!$A6,DB!1:1,0)+2),FALSE),"")</f>
        <v/>
      </c>
      <c r="QUS6" s="27" t="str">
        <f>IFERROR(VLOOKUP(DATE($K$1,$K$2,QUS$4),Table1[],(MATCH(Calendar!$A6,DB!1:1,0)+2),FALSE),"")</f>
        <v/>
      </c>
      <c r="QUT6" s="27" t="str">
        <f>IFERROR(VLOOKUP(DATE($K$1,$K$2,QUT$4),Table1[],(MATCH(Calendar!$A6,DB!1:1,0)+2),FALSE),"")</f>
        <v/>
      </c>
      <c r="QUU6" s="27" t="str">
        <f>IFERROR(VLOOKUP(DATE($K$1,$K$2,QUU$4),Table1[],(MATCH(Calendar!$A6,DB!1:1,0)+2),FALSE),"")</f>
        <v/>
      </c>
      <c r="QUV6" s="27" t="str">
        <f>IFERROR(VLOOKUP(DATE($K$1,$K$2,QUV$4),Table1[],(MATCH(Calendar!$A6,DB!1:1,0)+2),FALSE),"")</f>
        <v/>
      </c>
      <c r="QUW6" s="27" t="str">
        <f>IFERROR(VLOOKUP(DATE($K$1,$K$2,QUW$4),Table1[],(MATCH(Calendar!$A6,DB!1:1,0)+2),FALSE),"")</f>
        <v/>
      </c>
      <c r="QUX6" s="27" t="str">
        <f>IFERROR(VLOOKUP(DATE($K$1,$K$2,QUX$4),Table1[],(MATCH(Calendar!$A6,DB!1:1,0)+2),FALSE),"")</f>
        <v/>
      </c>
      <c r="QUY6" s="27" t="str">
        <f>IFERROR(VLOOKUP(DATE($K$1,$K$2,QUY$4),Table1[],(MATCH(Calendar!$A6,DB!1:1,0)+2),FALSE),"")</f>
        <v/>
      </c>
      <c r="QUZ6" s="27" t="str">
        <f>IFERROR(VLOOKUP(DATE($K$1,$K$2,QUZ$4),Table1[],(MATCH(Calendar!$A6,DB!1:1,0)+2),FALSE),"")</f>
        <v/>
      </c>
      <c r="QVA6" s="27" t="str">
        <f>IFERROR(VLOOKUP(DATE($K$1,$K$2,QVA$4),Table1[],(MATCH(Calendar!$A6,DB!1:1,0)+2),FALSE),"")</f>
        <v/>
      </c>
      <c r="QVB6" s="27" t="str">
        <f>IFERROR(VLOOKUP(DATE($K$1,$K$2,QVB$4),Table1[],(MATCH(Calendar!$A6,DB!1:1,0)+2),FALSE),"")</f>
        <v/>
      </c>
      <c r="QVC6" s="27" t="str">
        <f>IFERROR(VLOOKUP(DATE($K$1,$K$2,QVC$4),Table1[],(MATCH(Calendar!$A6,DB!1:1,0)+2),FALSE),"")</f>
        <v/>
      </c>
      <c r="QVD6" s="27" t="str">
        <f>IFERROR(VLOOKUP(DATE($K$1,$K$2,QVD$4),Table1[],(MATCH(Calendar!$A6,DB!1:1,0)+2),FALSE),"")</f>
        <v/>
      </c>
      <c r="QVE6" s="27" t="str">
        <f>IFERROR(VLOOKUP(DATE($K$1,$K$2,QVE$4),Table1[],(MATCH(Calendar!$A6,DB!1:1,0)+2),FALSE),"")</f>
        <v/>
      </c>
      <c r="QVF6" s="27" t="str">
        <f>IFERROR(VLOOKUP(DATE($K$1,$K$2,QVF$4),Table1[],(MATCH(Calendar!$A6,DB!1:1,0)+2),FALSE),"")</f>
        <v/>
      </c>
      <c r="QVG6" s="27" t="str">
        <f>IFERROR(VLOOKUP(DATE($K$1,$K$2,QVG$4),Table1[],(MATCH(Calendar!$A6,DB!1:1,0)+2),FALSE),"")</f>
        <v/>
      </c>
      <c r="QVH6" s="27" t="str">
        <f>IFERROR(VLOOKUP(DATE($K$1,$K$2,QVH$4),Table1[],(MATCH(Calendar!$A6,DB!1:1,0)+2),FALSE),"")</f>
        <v/>
      </c>
      <c r="QVI6" s="27" t="str">
        <f>IFERROR(VLOOKUP(DATE($K$1,$K$2,QVI$4),Table1[],(MATCH(Calendar!$A6,DB!1:1,0)+2),FALSE),"")</f>
        <v/>
      </c>
      <c r="QVJ6" s="27" t="str">
        <f>IFERROR(VLOOKUP(DATE($K$1,$K$2,QVJ$4),Table1[],(MATCH(Calendar!$A6,DB!1:1,0)+2),FALSE),"")</f>
        <v/>
      </c>
      <c r="QVK6" s="27" t="str">
        <f>IFERROR(VLOOKUP(DATE($K$1,$K$2,QVK$4),Table1[],(MATCH(Calendar!$A6,DB!1:1,0)+2),FALSE),"")</f>
        <v/>
      </c>
      <c r="QVL6" s="27" t="str">
        <f>IFERROR(VLOOKUP(DATE($K$1,$K$2,QVL$4),Table1[],(MATCH(Calendar!$A6,DB!1:1,0)+2),FALSE),"")</f>
        <v/>
      </c>
      <c r="QVM6" s="27" t="str">
        <f>IFERROR(VLOOKUP(DATE($K$1,$K$2,QVM$4),Table1[],(MATCH(Calendar!$A6,DB!1:1,0)+2),FALSE),"")</f>
        <v/>
      </c>
      <c r="QVN6" s="27" t="str">
        <f>IFERROR(VLOOKUP(DATE($K$1,$K$2,QVN$4),Table1[],(MATCH(Calendar!$A6,DB!1:1,0)+2),FALSE),"")</f>
        <v/>
      </c>
      <c r="QVO6" s="27" t="str">
        <f>IFERROR(VLOOKUP(DATE($K$1,$K$2,QVO$4),Table1[],(MATCH(Calendar!$A6,DB!1:1,0)+2),FALSE),"")</f>
        <v/>
      </c>
      <c r="QVP6" s="27" t="str">
        <f>IFERROR(VLOOKUP(DATE($K$1,$K$2,QVP$4),Table1[],(MATCH(Calendar!$A6,DB!1:1,0)+2),FALSE),"")</f>
        <v/>
      </c>
      <c r="QVQ6" s="27" t="str">
        <f>IFERROR(VLOOKUP(DATE($K$1,$K$2,QVQ$4),Table1[],(MATCH(Calendar!$A6,DB!1:1,0)+2),FALSE),"")</f>
        <v/>
      </c>
      <c r="QVR6" s="27" t="str">
        <f>IFERROR(VLOOKUP(DATE($K$1,$K$2,QVR$4),Table1[],(MATCH(Calendar!$A6,DB!1:1,0)+2),FALSE),"")</f>
        <v/>
      </c>
      <c r="QVS6" s="27" t="str">
        <f>IFERROR(VLOOKUP(DATE($K$1,$K$2,QVS$4),Table1[],(MATCH(Calendar!$A6,DB!1:1,0)+2),FALSE),"")</f>
        <v/>
      </c>
      <c r="QVT6" s="27" t="str">
        <f>IFERROR(VLOOKUP(DATE($K$1,$K$2,QVT$4),Table1[],(MATCH(Calendar!$A6,DB!1:1,0)+2),FALSE),"")</f>
        <v/>
      </c>
      <c r="QVU6" s="27" t="str">
        <f>IFERROR(VLOOKUP(DATE($K$1,$K$2,QVU$4),Table1[],(MATCH(Calendar!$A6,DB!1:1,0)+2),FALSE),"")</f>
        <v/>
      </c>
      <c r="QVV6" s="27" t="str">
        <f>IFERROR(VLOOKUP(DATE($K$1,$K$2,QVV$4),Table1[],(MATCH(Calendar!$A6,DB!1:1,0)+2),FALSE),"")</f>
        <v/>
      </c>
      <c r="QVW6" s="27" t="str">
        <f>IFERROR(VLOOKUP(DATE($K$1,$K$2,QVW$4),Table1[],(MATCH(Calendar!$A6,DB!1:1,0)+2),FALSE),"")</f>
        <v/>
      </c>
      <c r="QVX6" s="27" t="str">
        <f>IFERROR(VLOOKUP(DATE($K$1,$K$2,QVX$4),Table1[],(MATCH(Calendar!$A6,DB!1:1,0)+2),FALSE),"")</f>
        <v/>
      </c>
      <c r="QVY6" s="27" t="str">
        <f>IFERROR(VLOOKUP(DATE($K$1,$K$2,QVY$4),Table1[],(MATCH(Calendar!$A6,DB!1:1,0)+2),FALSE),"")</f>
        <v/>
      </c>
      <c r="QVZ6" s="27" t="str">
        <f>IFERROR(VLOOKUP(DATE($K$1,$K$2,QVZ$4),Table1[],(MATCH(Calendar!$A6,DB!1:1,0)+2),FALSE),"")</f>
        <v/>
      </c>
      <c r="QWA6" s="27" t="str">
        <f>IFERROR(VLOOKUP(DATE($K$1,$K$2,QWA$4),Table1[],(MATCH(Calendar!$A6,DB!1:1,0)+2),FALSE),"")</f>
        <v/>
      </c>
      <c r="QWB6" s="27" t="str">
        <f>IFERROR(VLOOKUP(DATE($K$1,$K$2,QWB$4),Table1[],(MATCH(Calendar!$A6,DB!1:1,0)+2),FALSE),"")</f>
        <v/>
      </c>
      <c r="QWC6" s="27" t="str">
        <f>IFERROR(VLOOKUP(DATE($K$1,$K$2,QWC$4),Table1[],(MATCH(Calendar!$A6,DB!1:1,0)+2),FALSE),"")</f>
        <v/>
      </c>
      <c r="QWD6" s="27" t="str">
        <f>IFERROR(VLOOKUP(DATE($K$1,$K$2,QWD$4),Table1[],(MATCH(Calendar!$A6,DB!1:1,0)+2),FALSE),"")</f>
        <v/>
      </c>
      <c r="QWE6" s="27" t="str">
        <f>IFERROR(VLOOKUP(DATE($K$1,$K$2,QWE$4),Table1[],(MATCH(Calendar!$A6,DB!1:1,0)+2),FALSE),"")</f>
        <v/>
      </c>
      <c r="QWF6" s="27" t="str">
        <f>IFERROR(VLOOKUP(DATE($K$1,$K$2,QWF$4),Table1[],(MATCH(Calendar!$A6,DB!1:1,0)+2),FALSE),"")</f>
        <v/>
      </c>
      <c r="QWG6" s="27" t="str">
        <f>IFERROR(VLOOKUP(DATE($K$1,$K$2,QWG$4),Table1[],(MATCH(Calendar!$A6,DB!1:1,0)+2),FALSE),"")</f>
        <v/>
      </c>
      <c r="QWH6" s="27" t="str">
        <f>IFERROR(VLOOKUP(DATE($K$1,$K$2,QWH$4),Table1[],(MATCH(Calendar!$A6,DB!1:1,0)+2),FALSE),"")</f>
        <v/>
      </c>
      <c r="QWI6" s="27" t="str">
        <f>IFERROR(VLOOKUP(DATE($K$1,$K$2,QWI$4),Table1[],(MATCH(Calendar!$A6,DB!1:1,0)+2),FALSE),"")</f>
        <v/>
      </c>
      <c r="QWJ6" s="27" t="str">
        <f>IFERROR(VLOOKUP(DATE($K$1,$K$2,QWJ$4),Table1[],(MATCH(Calendar!$A6,DB!1:1,0)+2),FALSE),"")</f>
        <v/>
      </c>
      <c r="QWK6" s="27" t="str">
        <f>IFERROR(VLOOKUP(DATE($K$1,$K$2,QWK$4),Table1[],(MATCH(Calendar!$A6,DB!1:1,0)+2),FALSE),"")</f>
        <v/>
      </c>
      <c r="QWL6" s="27" t="str">
        <f>IFERROR(VLOOKUP(DATE($K$1,$K$2,QWL$4),Table1[],(MATCH(Calendar!$A6,DB!1:1,0)+2),FALSE),"")</f>
        <v/>
      </c>
      <c r="QWM6" s="27" t="str">
        <f>IFERROR(VLOOKUP(DATE($K$1,$K$2,QWM$4),Table1[],(MATCH(Calendar!$A6,DB!1:1,0)+2),FALSE),"")</f>
        <v/>
      </c>
      <c r="QWN6" s="27" t="str">
        <f>IFERROR(VLOOKUP(DATE($K$1,$K$2,QWN$4),Table1[],(MATCH(Calendar!$A6,DB!1:1,0)+2),FALSE),"")</f>
        <v/>
      </c>
      <c r="QWO6" s="27" t="str">
        <f>IFERROR(VLOOKUP(DATE($K$1,$K$2,QWO$4),Table1[],(MATCH(Calendar!$A6,DB!1:1,0)+2),FALSE),"")</f>
        <v/>
      </c>
      <c r="QWP6" s="27" t="str">
        <f>IFERROR(VLOOKUP(DATE($K$1,$K$2,QWP$4),Table1[],(MATCH(Calendar!$A6,DB!1:1,0)+2),FALSE),"")</f>
        <v/>
      </c>
      <c r="QWQ6" s="27" t="str">
        <f>IFERROR(VLOOKUP(DATE($K$1,$K$2,QWQ$4),Table1[],(MATCH(Calendar!$A6,DB!1:1,0)+2),FALSE),"")</f>
        <v/>
      </c>
      <c r="QWR6" s="27" t="str">
        <f>IFERROR(VLOOKUP(DATE($K$1,$K$2,QWR$4),Table1[],(MATCH(Calendar!$A6,DB!1:1,0)+2),FALSE),"")</f>
        <v/>
      </c>
      <c r="QWS6" s="27" t="str">
        <f>IFERROR(VLOOKUP(DATE($K$1,$K$2,QWS$4),Table1[],(MATCH(Calendar!$A6,DB!1:1,0)+2),FALSE),"")</f>
        <v/>
      </c>
      <c r="QWT6" s="27" t="str">
        <f>IFERROR(VLOOKUP(DATE($K$1,$K$2,QWT$4),Table1[],(MATCH(Calendar!$A6,DB!1:1,0)+2),FALSE),"")</f>
        <v/>
      </c>
      <c r="QWU6" s="27" t="str">
        <f>IFERROR(VLOOKUP(DATE($K$1,$K$2,QWU$4),Table1[],(MATCH(Calendar!$A6,DB!1:1,0)+2),FALSE),"")</f>
        <v/>
      </c>
      <c r="QWV6" s="27" t="str">
        <f>IFERROR(VLOOKUP(DATE($K$1,$K$2,QWV$4),Table1[],(MATCH(Calendar!$A6,DB!1:1,0)+2),FALSE),"")</f>
        <v/>
      </c>
      <c r="QWW6" s="27" t="str">
        <f>IFERROR(VLOOKUP(DATE($K$1,$K$2,QWW$4),Table1[],(MATCH(Calendar!$A6,DB!1:1,0)+2),FALSE),"")</f>
        <v/>
      </c>
      <c r="QWX6" s="27" t="str">
        <f>IFERROR(VLOOKUP(DATE($K$1,$K$2,QWX$4),Table1[],(MATCH(Calendar!$A6,DB!1:1,0)+2),FALSE),"")</f>
        <v/>
      </c>
      <c r="QWY6" s="27" t="str">
        <f>IFERROR(VLOOKUP(DATE($K$1,$K$2,QWY$4),Table1[],(MATCH(Calendar!$A6,DB!1:1,0)+2),FALSE),"")</f>
        <v/>
      </c>
      <c r="QWZ6" s="27" t="str">
        <f>IFERROR(VLOOKUP(DATE($K$1,$K$2,QWZ$4),Table1[],(MATCH(Calendar!$A6,DB!1:1,0)+2),FALSE),"")</f>
        <v/>
      </c>
      <c r="QXA6" s="27" t="str">
        <f>IFERROR(VLOOKUP(DATE($K$1,$K$2,QXA$4),Table1[],(MATCH(Calendar!$A6,DB!1:1,0)+2),FALSE),"")</f>
        <v/>
      </c>
      <c r="QXB6" s="27" t="str">
        <f>IFERROR(VLOOKUP(DATE($K$1,$K$2,QXB$4),Table1[],(MATCH(Calendar!$A6,DB!1:1,0)+2),FALSE),"")</f>
        <v/>
      </c>
      <c r="QXC6" s="27" t="str">
        <f>IFERROR(VLOOKUP(DATE($K$1,$K$2,QXC$4),Table1[],(MATCH(Calendar!$A6,DB!1:1,0)+2),FALSE),"")</f>
        <v/>
      </c>
      <c r="QXD6" s="27" t="str">
        <f>IFERROR(VLOOKUP(DATE($K$1,$K$2,QXD$4),Table1[],(MATCH(Calendar!$A6,DB!1:1,0)+2),FALSE),"")</f>
        <v/>
      </c>
      <c r="QXE6" s="27" t="str">
        <f>IFERROR(VLOOKUP(DATE($K$1,$K$2,QXE$4),Table1[],(MATCH(Calendar!$A6,DB!1:1,0)+2),FALSE),"")</f>
        <v/>
      </c>
      <c r="QXF6" s="27" t="str">
        <f>IFERROR(VLOOKUP(DATE($K$1,$K$2,QXF$4),Table1[],(MATCH(Calendar!$A6,DB!1:1,0)+2),FALSE),"")</f>
        <v/>
      </c>
      <c r="QXG6" s="27" t="str">
        <f>IFERROR(VLOOKUP(DATE($K$1,$K$2,QXG$4),Table1[],(MATCH(Calendar!$A6,DB!1:1,0)+2),FALSE),"")</f>
        <v/>
      </c>
      <c r="QXH6" s="27" t="str">
        <f>IFERROR(VLOOKUP(DATE($K$1,$K$2,QXH$4),Table1[],(MATCH(Calendar!$A6,DB!1:1,0)+2),FALSE),"")</f>
        <v/>
      </c>
      <c r="QXI6" s="27" t="str">
        <f>IFERROR(VLOOKUP(DATE($K$1,$K$2,QXI$4),Table1[],(MATCH(Calendar!$A6,DB!1:1,0)+2),FALSE),"")</f>
        <v/>
      </c>
      <c r="QXJ6" s="27" t="str">
        <f>IFERROR(VLOOKUP(DATE($K$1,$K$2,QXJ$4),Table1[],(MATCH(Calendar!$A6,DB!1:1,0)+2),FALSE),"")</f>
        <v/>
      </c>
      <c r="QXK6" s="27" t="str">
        <f>IFERROR(VLOOKUP(DATE($K$1,$K$2,QXK$4),Table1[],(MATCH(Calendar!$A6,DB!1:1,0)+2),FALSE),"")</f>
        <v/>
      </c>
      <c r="QXL6" s="27" t="str">
        <f>IFERROR(VLOOKUP(DATE($K$1,$K$2,QXL$4),Table1[],(MATCH(Calendar!$A6,DB!1:1,0)+2),FALSE),"")</f>
        <v/>
      </c>
      <c r="QXM6" s="27" t="str">
        <f>IFERROR(VLOOKUP(DATE($K$1,$K$2,QXM$4),Table1[],(MATCH(Calendar!$A6,DB!1:1,0)+2),FALSE),"")</f>
        <v/>
      </c>
      <c r="QXN6" s="27" t="str">
        <f>IFERROR(VLOOKUP(DATE($K$1,$K$2,QXN$4),Table1[],(MATCH(Calendar!$A6,DB!1:1,0)+2),FALSE),"")</f>
        <v/>
      </c>
      <c r="QXO6" s="27" t="str">
        <f>IFERROR(VLOOKUP(DATE($K$1,$K$2,QXO$4),Table1[],(MATCH(Calendar!$A6,DB!1:1,0)+2),FALSE),"")</f>
        <v/>
      </c>
      <c r="QXP6" s="27" t="str">
        <f>IFERROR(VLOOKUP(DATE($K$1,$K$2,QXP$4),Table1[],(MATCH(Calendar!$A6,DB!1:1,0)+2),FALSE),"")</f>
        <v/>
      </c>
      <c r="QXQ6" s="27" t="str">
        <f>IFERROR(VLOOKUP(DATE($K$1,$K$2,QXQ$4),Table1[],(MATCH(Calendar!$A6,DB!1:1,0)+2),FALSE),"")</f>
        <v/>
      </c>
      <c r="QXR6" s="27" t="str">
        <f>IFERROR(VLOOKUP(DATE($K$1,$K$2,QXR$4),Table1[],(MATCH(Calendar!$A6,DB!1:1,0)+2),FALSE),"")</f>
        <v/>
      </c>
      <c r="QXS6" s="27" t="str">
        <f>IFERROR(VLOOKUP(DATE($K$1,$K$2,QXS$4),Table1[],(MATCH(Calendar!$A6,DB!1:1,0)+2),FALSE),"")</f>
        <v/>
      </c>
      <c r="QXT6" s="27" t="str">
        <f>IFERROR(VLOOKUP(DATE($K$1,$K$2,QXT$4),Table1[],(MATCH(Calendar!$A6,DB!1:1,0)+2),FALSE),"")</f>
        <v/>
      </c>
      <c r="QXU6" s="27" t="str">
        <f>IFERROR(VLOOKUP(DATE($K$1,$K$2,QXU$4),Table1[],(MATCH(Calendar!$A6,DB!1:1,0)+2),FALSE),"")</f>
        <v/>
      </c>
      <c r="QXV6" s="27" t="str">
        <f>IFERROR(VLOOKUP(DATE($K$1,$K$2,QXV$4),Table1[],(MATCH(Calendar!$A6,DB!1:1,0)+2),FALSE),"")</f>
        <v/>
      </c>
      <c r="QXW6" s="27" t="str">
        <f>IFERROR(VLOOKUP(DATE($K$1,$K$2,QXW$4),Table1[],(MATCH(Calendar!$A6,DB!1:1,0)+2),FALSE),"")</f>
        <v/>
      </c>
      <c r="QXX6" s="27" t="str">
        <f>IFERROR(VLOOKUP(DATE($K$1,$K$2,QXX$4),Table1[],(MATCH(Calendar!$A6,DB!1:1,0)+2),FALSE),"")</f>
        <v/>
      </c>
      <c r="QXY6" s="27" t="str">
        <f>IFERROR(VLOOKUP(DATE($K$1,$K$2,QXY$4),Table1[],(MATCH(Calendar!$A6,DB!1:1,0)+2),FALSE),"")</f>
        <v/>
      </c>
      <c r="QXZ6" s="27" t="str">
        <f>IFERROR(VLOOKUP(DATE($K$1,$K$2,QXZ$4),Table1[],(MATCH(Calendar!$A6,DB!1:1,0)+2),FALSE),"")</f>
        <v/>
      </c>
      <c r="QYA6" s="27" t="str">
        <f>IFERROR(VLOOKUP(DATE($K$1,$K$2,QYA$4),Table1[],(MATCH(Calendar!$A6,DB!1:1,0)+2),FALSE),"")</f>
        <v/>
      </c>
      <c r="QYB6" s="27" t="str">
        <f>IFERROR(VLOOKUP(DATE($K$1,$K$2,QYB$4),Table1[],(MATCH(Calendar!$A6,DB!1:1,0)+2),FALSE),"")</f>
        <v/>
      </c>
      <c r="QYC6" s="27" t="str">
        <f>IFERROR(VLOOKUP(DATE($K$1,$K$2,QYC$4),Table1[],(MATCH(Calendar!$A6,DB!1:1,0)+2),FALSE),"")</f>
        <v/>
      </c>
      <c r="QYD6" s="27" t="str">
        <f>IFERROR(VLOOKUP(DATE($K$1,$K$2,QYD$4),Table1[],(MATCH(Calendar!$A6,DB!1:1,0)+2),FALSE),"")</f>
        <v/>
      </c>
      <c r="QYE6" s="27" t="str">
        <f>IFERROR(VLOOKUP(DATE($K$1,$K$2,QYE$4),Table1[],(MATCH(Calendar!$A6,DB!1:1,0)+2),FALSE),"")</f>
        <v/>
      </c>
      <c r="QYF6" s="27" t="str">
        <f>IFERROR(VLOOKUP(DATE($K$1,$K$2,QYF$4),Table1[],(MATCH(Calendar!$A6,DB!1:1,0)+2),FALSE),"")</f>
        <v/>
      </c>
      <c r="QYG6" s="27" t="str">
        <f>IFERROR(VLOOKUP(DATE($K$1,$K$2,QYG$4),Table1[],(MATCH(Calendar!$A6,DB!1:1,0)+2),FALSE),"")</f>
        <v/>
      </c>
      <c r="QYH6" s="27" t="str">
        <f>IFERROR(VLOOKUP(DATE($K$1,$K$2,QYH$4),Table1[],(MATCH(Calendar!$A6,DB!1:1,0)+2),FALSE),"")</f>
        <v/>
      </c>
      <c r="QYI6" s="27" t="str">
        <f>IFERROR(VLOOKUP(DATE($K$1,$K$2,QYI$4),Table1[],(MATCH(Calendar!$A6,DB!1:1,0)+2),FALSE),"")</f>
        <v/>
      </c>
      <c r="QYJ6" s="27" t="str">
        <f>IFERROR(VLOOKUP(DATE($K$1,$K$2,QYJ$4),Table1[],(MATCH(Calendar!$A6,DB!1:1,0)+2),FALSE),"")</f>
        <v/>
      </c>
      <c r="QYK6" s="27" t="str">
        <f>IFERROR(VLOOKUP(DATE($K$1,$K$2,QYK$4),Table1[],(MATCH(Calendar!$A6,DB!1:1,0)+2),FALSE),"")</f>
        <v/>
      </c>
      <c r="QYL6" s="27" t="str">
        <f>IFERROR(VLOOKUP(DATE($K$1,$K$2,QYL$4),Table1[],(MATCH(Calendar!$A6,DB!1:1,0)+2),FALSE),"")</f>
        <v/>
      </c>
      <c r="QYM6" s="27" t="str">
        <f>IFERROR(VLOOKUP(DATE($K$1,$K$2,QYM$4),Table1[],(MATCH(Calendar!$A6,DB!1:1,0)+2),FALSE),"")</f>
        <v/>
      </c>
      <c r="QYN6" s="27" t="str">
        <f>IFERROR(VLOOKUP(DATE($K$1,$K$2,QYN$4),Table1[],(MATCH(Calendar!$A6,DB!1:1,0)+2),FALSE),"")</f>
        <v/>
      </c>
      <c r="QYO6" s="27" t="str">
        <f>IFERROR(VLOOKUP(DATE($K$1,$K$2,QYO$4),Table1[],(MATCH(Calendar!$A6,DB!1:1,0)+2),FALSE),"")</f>
        <v/>
      </c>
      <c r="QYP6" s="27" t="str">
        <f>IFERROR(VLOOKUP(DATE($K$1,$K$2,QYP$4),Table1[],(MATCH(Calendar!$A6,DB!1:1,0)+2),FALSE),"")</f>
        <v/>
      </c>
      <c r="QYQ6" s="27" t="str">
        <f>IFERROR(VLOOKUP(DATE($K$1,$K$2,QYQ$4),Table1[],(MATCH(Calendar!$A6,DB!1:1,0)+2),FALSE),"")</f>
        <v/>
      </c>
      <c r="QYR6" s="27" t="str">
        <f>IFERROR(VLOOKUP(DATE($K$1,$K$2,QYR$4),Table1[],(MATCH(Calendar!$A6,DB!1:1,0)+2),FALSE),"")</f>
        <v/>
      </c>
      <c r="QYS6" s="27" t="str">
        <f>IFERROR(VLOOKUP(DATE($K$1,$K$2,QYS$4),Table1[],(MATCH(Calendar!$A6,DB!1:1,0)+2),FALSE),"")</f>
        <v/>
      </c>
      <c r="QYT6" s="27" t="str">
        <f>IFERROR(VLOOKUP(DATE($K$1,$K$2,QYT$4),Table1[],(MATCH(Calendar!$A6,DB!1:1,0)+2),FALSE),"")</f>
        <v/>
      </c>
      <c r="QYU6" s="27" t="str">
        <f>IFERROR(VLOOKUP(DATE($K$1,$K$2,QYU$4),Table1[],(MATCH(Calendar!$A6,DB!1:1,0)+2),FALSE),"")</f>
        <v/>
      </c>
      <c r="QYV6" s="27" t="str">
        <f>IFERROR(VLOOKUP(DATE($K$1,$K$2,QYV$4),Table1[],(MATCH(Calendar!$A6,DB!1:1,0)+2),FALSE),"")</f>
        <v/>
      </c>
      <c r="QYW6" s="27" t="str">
        <f>IFERROR(VLOOKUP(DATE($K$1,$K$2,QYW$4),Table1[],(MATCH(Calendar!$A6,DB!1:1,0)+2),FALSE),"")</f>
        <v/>
      </c>
      <c r="QYX6" s="27" t="str">
        <f>IFERROR(VLOOKUP(DATE($K$1,$K$2,QYX$4),Table1[],(MATCH(Calendar!$A6,DB!1:1,0)+2),FALSE),"")</f>
        <v/>
      </c>
      <c r="QYY6" s="27" t="str">
        <f>IFERROR(VLOOKUP(DATE($K$1,$K$2,QYY$4),Table1[],(MATCH(Calendar!$A6,DB!1:1,0)+2),FALSE),"")</f>
        <v/>
      </c>
      <c r="QYZ6" s="27" t="str">
        <f>IFERROR(VLOOKUP(DATE($K$1,$K$2,QYZ$4),Table1[],(MATCH(Calendar!$A6,DB!1:1,0)+2),FALSE),"")</f>
        <v/>
      </c>
      <c r="QZA6" s="27" t="str">
        <f>IFERROR(VLOOKUP(DATE($K$1,$K$2,QZA$4),Table1[],(MATCH(Calendar!$A6,DB!1:1,0)+2),FALSE),"")</f>
        <v/>
      </c>
      <c r="QZB6" s="27" t="str">
        <f>IFERROR(VLOOKUP(DATE($K$1,$K$2,QZB$4),Table1[],(MATCH(Calendar!$A6,DB!1:1,0)+2),FALSE),"")</f>
        <v/>
      </c>
      <c r="QZC6" s="27" t="str">
        <f>IFERROR(VLOOKUP(DATE($K$1,$K$2,QZC$4),Table1[],(MATCH(Calendar!$A6,DB!1:1,0)+2),FALSE),"")</f>
        <v/>
      </c>
      <c r="QZD6" s="27" t="str">
        <f>IFERROR(VLOOKUP(DATE($K$1,$K$2,QZD$4),Table1[],(MATCH(Calendar!$A6,DB!1:1,0)+2),FALSE),"")</f>
        <v/>
      </c>
      <c r="QZE6" s="27" t="str">
        <f>IFERROR(VLOOKUP(DATE($K$1,$K$2,QZE$4),Table1[],(MATCH(Calendar!$A6,DB!1:1,0)+2),FALSE),"")</f>
        <v/>
      </c>
      <c r="QZF6" s="27" t="str">
        <f>IFERROR(VLOOKUP(DATE($K$1,$K$2,QZF$4),Table1[],(MATCH(Calendar!$A6,DB!1:1,0)+2),FALSE),"")</f>
        <v/>
      </c>
      <c r="QZG6" s="27" t="str">
        <f>IFERROR(VLOOKUP(DATE($K$1,$K$2,QZG$4),Table1[],(MATCH(Calendar!$A6,DB!1:1,0)+2),FALSE),"")</f>
        <v/>
      </c>
      <c r="QZH6" s="27" t="str">
        <f>IFERROR(VLOOKUP(DATE($K$1,$K$2,QZH$4),Table1[],(MATCH(Calendar!$A6,DB!1:1,0)+2),FALSE),"")</f>
        <v/>
      </c>
      <c r="QZI6" s="27" t="str">
        <f>IFERROR(VLOOKUP(DATE($K$1,$K$2,QZI$4),Table1[],(MATCH(Calendar!$A6,DB!1:1,0)+2),FALSE),"")</f>
        <v/>
      </c>
      <c r="QZJ6" s="27" t="str">
        <f>IFERROR(VLOOKUP(DATE($K$1,$K$2,QZJ$4),Table1[],(MATCH(Calendar!$A6,DB!1:1,0)+2),FALSE),"")</f>
        <v/>
      </c>
      <c r="QZK6" s="27" t="str">
        <f>IFERROR(VLOOKUP(DATE($K$1,$K$2,QZK$4),Table1[],(MATCH(Calendar!$A6,DB!1:1,0)+2),FALSE),"")</f>
        <v/>
      </c>
      <c r="QZL6" s="27" t="str">
        <f>IFERROR(VLOOKUP(DATE($K$1,$K$2,QZL$4),Table1[],(MATCH(Calendar!$A6,DB!1:1,0)+2),FALSE),"")</f>
        <v/>
      </c>
      <c r="QZM6" s="27" t="str">
        <f>IFERROR(VLOOKUP(DATE($K$1,$K$2,QZM$4),Table1[],(MATCH(Calendar!$A6,DB!1:1,0)+2),FALSE),"")</f>
        <v/>
      </c>
      <c r="QZN6" s="27" t="str">
        <f>IFERROR(VLOOKUP(DATE($K$1,$K$2,QZN$4),Table1[],(MATCH(Calendar!$A6,DB!1:1,0)+2),FALSE),"")</f>
        <v/>
      </c>
      <c r="QZO6" s="27" t="str">
        <f>IFERROR(VLOOKUP(DATE($K$1,$K$2,QZO$4),Table1[],(MATCH(Calendar!$A6,DB!1:1,0)+2),FALSE),"")</f>
        <v/>
      </c>
      <c r="QZP6" s="27" t="str">
        <f>IFERROR(VLOOKUP(DATE($K$1,$K$2,QZP$4),Table1[],(MATCH(Calendar!$A6,DB!1:1,0)+2),FALSE),"")</f>
        <v/>
      </c>
      <c r="QZQ6" s="27" t="str">
        <f>IFERROR(VLOOKUP(DATE($K$1,$K$2,QZQ$4),Table1[],(MATCH(Calendar!$A6,DB!1:1,0)+2),FALSE),"")</f>
        <v/>
      </c>
      <c r="QZR6" s="27" t="str">
        <f>IFERROR(VLOOKUP(DATE($K$1,$K$2,QZR$4),Table1[],(MATCH(Calendar!$A6,DB!1:1,0)+2),FALSE),"")</f>
        <v/>
      </c>
      <c r="QZS6" s="27" t="str">
        <f>IFERROR(VLOOKUP(DATE($K$1,$K$2,QZS$4),Table1[],(MATCH(Calendar!$A6,DB!1:1,0)+2),FALSE),"")</f>
        <v/>
      </c>
      <c r="QZT6" s="27" t="str">
        <f>IFERROR(VLOOKUP(DATE($K$1,$K$2,QZT$4),Table1[],(MATCH(Calendar!$A6,DB!1:1,0)+2),FALSE),"")</f>
        <v/>
      </c>
      <c r="QZU6" s="27" t="str">
        <f>IFERROR(VLOOKUP(DATE($K$1,$K$2,QZU$4),Table1[],(MATCH(Calendar!$A6,DB!1:1,0)+2),FALSE),"")</f>
        <v/>
      </c>
      <c r="QZV6" s="27" t="str">
        <f>IFERROR(VLOOKUP(DATE($K$1,$K$2,QZV$4),Table1[],(MATCH(Calendar!$A6,DB!1:1,0)+2),FALSE),"")</f>
        <v/>
      </c>
      <c r="QZW6" s="27" t="str">
        <f>IFERROR(VLOOKUP(DATE($K$1,$K$2,QZW$4),Table1[],(MATCH(Calendar!$A6,DB!1:1,0)+2),FALSE),"")</f>
        <v/>
      </c>
      <c r="QZX6" s="27" t="str">
        <f>IFERROR(VLOOKUP(DATE($K$1,$K$2,QZX$4),Table1[],(MATCH(Calendar!$A6,DB!1:1,0)+2),FALSE),"")</f>
        <v/>
      </c>
      <c r="QZY6" s="27" t="str">
        <f>IFERROR(VLOOKUP(DATE($K$1,$K$2,QZY$4),Table1[],(MATCH(Calendar!$A6,DB!1:1,0)+2),FALSE),"")</f>
        <v/>
      </c>
      <c r="QZZ6" s="27" t="str">
        <f>IFERROR(VLOOKUP(DATE($K$1,$K$2,QZZ$4),Table1[],(MATCH(Calendar!$A6,DB!1:1,0)+2),FALSE),"")</f>
        <v/>
      </c>
      <c r="RAA6" s="27" t="str">
        <f>IFERROR(VLOOKUP(DATE($K$1,$K$2,RAA$4),Table1[],(MATCH(Calendar!$A6,DB!1:1,0)+2),FALSE),"")</f>
        <v/>
      </c>
      <c r="RAB6" s="27" t="str">
        <f>IFERROR(VLOOKUP(DATE($K$1,$K$2,RAB$4),Table1[],(MATCH(Calendar!$A6,DB!1:1,0)+2),FALSE),"")</f>
        <v/>
      </c>
      <c r="RAC6" s="27" t="str">
        <f>IFERROR(VLOOKUP(DATE($K$1,$K$2,RAC$4),Table1[],(MATCH(Calendar!$A6,DB!1:1,0)+2),FALSE),"")</f>
        <v/>
      </c>
      <c r="RAD6" s="27" t="str">
        <f>IFERROR(VLOOKUP(DATE($K$1,$K$2,RAD$4),Table1[],(MATCH(Calendar!$A6,DB!1:1,0)+2),FALSE),"")</f>
        <v/>
      </c>
      <c r="RAE6" s="27" t="str">
        <f>IFERROR(VLOOKUP(DATE($K$1,$K$2,RAE$4),Table1[],(MATCH(Calendar!$A6,DB!1:1,0)+2),FALSE),"")</f>
        <v/>
      </c>
      <c r="RAF6" s="27" t="str">
        <f>IFERROR(VLOOKUP(DATE($K$1,$K$2,RAF$4),Table1[],(MATCH(Calendar!$A6,DB!1:1,0)+2),FALSE),"")</f>
        <v/>
      </c>
      <c r="RAG6" s="27" t="str">
        <f>IFERROR(VLOOKUP(DATE($K$1,$K$2,RAG$4),Table1[],(MATCH(Calendar!$A6,DB!1:1,0)+2),FALSE),"")</f>
        <v/>
      </c>
      <c r="RAH6" s="27" t="str">
        <f>IFERROR(VLOOKUP(DATE($K$1,$K$2,RAH$4),Table1[],(MATCH(Calendar!$A6,DB!1:1,0)+2),FALSE),"")</f>
        <v/>
      </c>
      <c r="RAI6" s="27" t="str">
        <f>IFERROR(VLOOKUP(DATE($K$1,$K$2,RAI$4),Table1[],(MATCH(Calendar!$A6,DB!1:1,0)+2),FALSE),"")</f>
        <v/>
      </c>
      <c r="RAJ6" s="27" t="str">
        <f>IFERROR(VLOOKUP(DATE($K$1,$K$2,RAJ$4),Table1[],(MATCH(Calendar!$A6,DB!1:1,0)+2),FALSE),"")</f>
        <v/>
      </c>
      <c r="RAK6" s="27" t="str">
        <f>IFERROR(VLOOKUP(DATE($K$1,$K$2,RAK$4),Table1[],(MATCH(Calendar!$A6,DB!1:1,0)+2),FALSE),"")</f>
        <v/>
      </c>
      <c r="RAL6" s="27" t="str">
        <f>IFERROR(VLOOKUP(DATE($K$1,$K$2,RAL$4),Table1[],(MATCH(Calendar!$A6,DB!1:1,0)+2),FALSE),"")</f>
        <v/>
      </c>
      <c r="RAM6" s="27" t="str">
        <f>IFERROR(VLOOKUP(DATE($K$1,$K$2,RAM$4),Table1[],(MATCH(Calendar!$A6,DB!1:1,0)+2),FALSE),"")</f>
        <v/>
      </c>
      <c r="RAN6" s="27" t="str">
        <f>IFERROR(VLOOKUP(DATE($K$1,$K$2,RAN$4),Table1[],(MATCH(Calendar!$A6,DB!1:1,0)+2),FALSE),"")</f>
        <v/>
      </c>
      <c r="RAO6" s="27" t="str">
        <f>IFERROR(VLOOKUP(DATE($K$1,$K$2,RAO$4),Table1[],(MATCH(Calendar!$A6,DB!1:1,0)+2),FALSE),"")</f>
        <v/>
      </c>
      <c r="RAP6" s="27" t="str">
        <f>IFERROR(VLOOKUP(DATE($K$1,$K$2,RAP$4),Table1[],(MATCH(Calendar!$A6,DB!1:1,0)+2),FALSE),"")</f>
        <v/>
      </c>
      <c r="RAQ6" s="27" t="str">
        <f>IFERROR(VLOOKUP(DATE($K$1,$K$2,RAQ$4),Table1[],(MATCH(Calendar!$A6,DB!1:1,0)+2),FALSE),"")</f>
        <v/>
      </c>
      <c r="RAR6" s="27" t="str">
        <f>IFERROR(VLOOKUP(DATE($K$1,$K$2,RAR$4),Table1[],(MATCH(Calendar!$A6,DB!1:1,0)+2),FALSE),"")</f>
        <v/>
      </c>
      <c r="RAS6" s="27" t="str">
        <f>IFERROR(VLOOKUP(DATE($K$1,$K$2,RAS$4),Table1[],(MATCH(Calendar!$A6,DB!1:1,0)+2),FALSE),"")</f>
        <v/>
      </c>
      <c r="RAT6" s="27" t="str">
        <f>IFERROR(VLOOKUP(DATE($K$1,$K$2,RAT$4),Table1[],(MATCH(Calendar!$A6,DB!1:1,0)+2),FALSE),"")</f>
        <v/>
      </c>
      <c r="RAU6" s="27" t="str">
        <f>IFERROR(VLOOKUP(DATE($K$1,$K$2,RAU$4),Table1[],(MATCH(Calendar!$A6,DB!1:1,0)+2),FALSE),"")</f>
        <v/>
      </c>
      <c r="RAV6" s="27" t="str">
        <f>IFERROR(VLOOKUP(DATE($K$1,$K$2,RAV$4),Table1[],(MATCH(Calendar!$A6,DB!1:1,0)+2),FALSE),"")</f>
        <v/>
      </c>
      <c r="RAW6" s="27" t="str">
        <f>IFERROR(VLOOKUP(DATE($K$1,$K$2,RAW$4),Table1[],(MATCH(Calendar!$A6,DB!1:1,0)+2),FALSE),"")</f>
        <v/>
      </c>
      <c r="RAX6" s="27" t="str">
        <f>IFERROR(VLOOKUP(DATE($K$1,$K$2,RAX$4),Table1[],(MATCH(Calendar!$A6,DB!1:1,0)+2),FALSE),"")</f>
        <v/>
      </c>
      <c r="RAY6" s="27" t="str">
        <f>IFERROR(VLOOKUP(DATE($K$1,$K$2,RAY$4),Table1[],(MATCH(Calendar!$A6,DB!1:1,0)+2),FALSE),"")</f>
        <v/>
      </c>
      <c r="RAZ6" s="27" t="str">
        <f>IFERROR(VLOOKUP(DATE($K$1,$K$2,RAZ$4),Table1[],(MATCH(Calendar!$A6,DB!1:1,0)+2),FALSE),"")</f>
        <v/>
      </c>
      <c r="RBA6" s="27" t="str">
        <f>IFERROR(VLOOKUP(DATE($K$1,$K$2,RBA$4),Table1[],(MATCH(Calendar!$A6,DB!1:1,0)+2),FALSE),"")</f>
        <v/>
      </c>
      <c r="RBB6" s="27" t="str">
        <f>IFERROR(VLOOKUP(DATE($K$1,$K$2,RBB$4),Table1[],(MATCH(Calendar!$A6,DB!1:1,0)+2),FALSE),"")</f>
        <v/>
      </c>
      <c r="RBC6" s="27" t="str">
        <f>IFERROR(VLOOKUP(DATE($K$1,$K$2,RBC$4),Table1[],(MATCH(Calendar!$A6,DB!1:1,0)+2),FALSE),"")</f>
        <v/>
      </c>
      <c r="RBD6" s="27" t="str">
        <f>IFERROR(VLOOKUP(DATE($K$1,$K$2,RBD$4),Table1[],(MATCH(Calendar!$A6,DB!1:1,0)+2),FALSE),"")</f>
        <v/>
      </c>
      <c r="RBE6" s="27" t="str">
        <f>IFERROR(VLOOKUP(DATE($K$1,$K$2,RBE$4),Table1[],(MATCH(Calendar!$A6,DB!1:1,0)+2),FALSE),"")</f>
        <v/>
      </c>
      <c r="RBF6" s="27" t="str">
        <f>IFERROR(VLOOKUP(DATE($K$1,$K$2,RBF$4),Table1[],(MATCH(Calendar!$A6,DB!1:1,0)+2),FALSE),"")</f>
        <v/>
      </c>
      <c r="RBG6" s="27" t="str">
        <f>IFERROR(VLOOKUP(DATE($K$1,$K$2,RBG$4),Table1[],(MATCH(Calendar!$A6,DB!1:1,0)+2),FALSE),"")</f>
        <v/>
      </c>
      <c r="RBH6" s="27" t="str">
        <f>IFERROR(VLOOKUP(DATE($K$1,$K$2,RBH$4),Table1[],(MATCH(Calendar!$A6,DB!1:1,0)+2),FALSE),"")</f>
        <v/>
      </c>
      <c r="RBI6" s="27" t="str">
        <f>IFERROR(VLOOKUP(DATE($K$1,$K$2,RBI$4),Table1[],(MATCH(Calendar!$A6,DB!1:1,0)+2),FALSE),"")</f>
        <v/>
      </c>
      <c r="RBJ6" s="27" t="str">
        <f>IFERROR(VLOOKUP(DATE($K$1,$K$2,RBJ$4),Table1[],(MATCH(Calendar!$A6,DB!1:1,0)+2),FALSE),"")</f>
        <v/>
      </c>
      <c r="RBK6" s="27" t="str">
        <f>IFERROR(VLOOKUP(DATE($K$1,$K$2,RBK$4),Table1[],(MATCH(Calendar!$A6,DB!1:1,0)+2),FALSE),"")</f>
        <v/>
      </c>
      <c r="RBL6" s="27" t="str">
        <f>IFERROR(VLOOKUP(DATE($K$1,$K$2,RBL$4),Table1[],(MATCH(Calendar!$A6,DB!1:1,0)+2),FALSE),"")</f>
        <v/>
      </c>
      <c r="RBM6" s="27" t="str">
        <f>IFERROR(VLOOKUP(DATE($K$1,$K$2,RBM$4),Table1[],(MATCH(Calendar!$A6,DB!1:1,0)+2),FALSE),"")</f>
        <v/>
      </c>
      <c r="RBN6" s="27" t="str">
        <f>IFERROR(VLOOKUP(DATE($K$1,$K$2,RBN$4),Table1[],(MATCH(Calendar!$A6,DB!1:1,0)+2),FALSE),"")</f>
        <v/>
      </c>
      <c r="RBO6" s="27" t="str">
        <f>IFERROR(VLOOKUP(DATE($K$1,$K$2,RBO$4),Table1[],(MATCH(Calendar!$A6,DB!1:1,0)+2),FALSE),"")</f>
        <v/>
      </c>
      <c r="RBP6" s="27" t="str">
        <f>IFERROR(VLOOKUP(DATE($K$1,$K$2,RBP$4),Table1[],(MATCH(Calendar!$A6,DB!1:1,0)+2),FALSE),"")</f>
        <v/>
      </c>
      <c r="RBQ6" s="27" t="str">
        <f>IFERROR(VLOOKUP(DATE($K$1,$K$2,RBQ$4),Table1[],(MATCH(Calendar!$A6,DB!1:1,0)+2),FALSE),"")</f>
        <v/>
      </c>
      <c r="RBR6" s="27" t="str">
        <f>IFERROR(VLOOKUP(DATE($K$1,$K$2,RBR$4),Table1[],(MATCH(Calendar!$A6,DB!1:1,0)+2),FALSE),"")</f>
        <v/>
      </c>
      <c r="RBS6" s="27" t="str">
        <f>IFERROR(VLOOKUP(DATE($K$1,$K$2,RBS$4),Table1[],(MATCH(Calendar!$A6,DB!1:1,0)+2),FALSE),"")</f>
        <v/>
      </c>
      <c r="RBT6" s="27" t="str">
        <f>IFERROR(VLOOKUP(DATE($K$1,$K$2,RBT$4),Table1[],(MATCH(Calendar!$A6,DB!1:1,0)+2),FALSE),"")</f>
        <v/>
      </c>
      <c r="RBU6" s="27" t="str">
        <f>IFERROR(VLOOKUP(DATE($K$1,$K$2,RBU$4),Table1[],(MATCH(Calendar!$A6,DB!1:1,0)+2),FALSE),"")</f>
        <v/>
      </c>
      <c r="RBV6" s="27" t="str">
        <f>IFERROR(VLOOKUP(DATE($K$1,$K$2,RBV$4),Table1[],(MATCH(Calendar!$A6,DB!1:1,0)+2),FALSE),"")</f>
        <v/>
      </c>
      <c r="RBW6" s="27" t="str">
        <f>IFERROR(VLOOKUP(DATE($K$1,$K$2,RBW$4),Table1[],(MATCH(Calendar!$A6,DB!1:1,0)+2),FALSE),"")</f>
        <v/>
      </c>
      <c r="RBX6" s="27" t="str">
        <f>IFERROR(VLOOKUP(DATE($K$1,$K$2,RBX$4),Table1[],(MATCH(Calendar!$A6,DB!1:1,0)+2),FALSE),"")</f>
        <v/>
      </c>
      <c r="RBY6" s="27" t="str">
        <f>IFERROR(VLOOKUP(DATE($K$1,$K$2,RBY$4),Table1[],(MATCH(Calendar!$A6,DB!1:1,0)+2),FALSE),"")</f>
        <v/>
      </c>
      <c r="RBZ6" s="27" t="str">
        <f>IFERROR(VLOOKUP(DATE($K$1,$K$2,RBZ$4),Table1[],(MATCH(Calendar!$A6,DB!1:1,0)+2),FALSE),"")</f>
        <v/>
      </c>
      <c r="RCA6" s="27" t="str">
        <f>IFERROR(VLOOKUP(DATE($K$1,$K$2,RCA$4),Table1[],(MATCH(Calendar!$A6,DB!1:1,0)+2),FALSE),"")</f>
        <v/>
      </c>
      <c r="RCB6" s="27" t="str">
        <f>IFERROR(VLOOKUP(DATE($K$1,$K$2,RCB$4),Table1[],(MATCH(Calendar!$A6,DB!1:1,0)+2),FALSE),"")</f>
        <v/>
      </c>
      <c r="RCC6" s="27" t="str">
        <f>IFERROR(VLOOKUP(DATE($K$1,$K$2,RCC$4),Table1[],(MATCH(Calendar!$A6,DB!1:1,0)+2),FALSE),"")</f>
        <v/>
      </c>
      <c r="RCD6" s="27" t="str">
        <f>IFERROR(VLOOKUP(DATE($K$1,$K$2,RCD$4),Table1[],(MATCH(Calendar!$A6,DB!1:1,0)+2),FALSE),"")</f>
        <v/>
      </c>
      <c r="RCE6" s="27" t="str">
        <f>IFERROR(VLOOKUP(DATE($K$1,$K$2,RCE$4),Table1[],(MATCH(Calendar!$A6,DB!1:1,0)+2),FALSE),"")</f>
        <v/>
      </c>
      <c r="RCF6" s="27" t="str">
        <f>IFERROR(VLOOKUP(DATE($K$1,$K$2,RCF$4),Table1[],(MATCH(Calendar!$A6,DB!1:1,0)+2),FALSE),"")</f>
        <v/>
      </c>
      <c r="RCG6" s="27" t="str">
        <f>IFERROR(VLOOKUP(DATE($K$1,$K$2,RCG$4),Table1[],(MATCH(Calendar!$A6,DB!1:1,0)+2),FALSE),"")</f>
        <v/>
      </c>
      <c r="RCH6" s="27" t="str">
        <f>IFERROR(VLOOKUP(DATE($K$1,$K$2,RCH$4),Table1[],(MATCH(Calendar!$A6,DB!1:1,0)+2),FALSE),"")</f>
        <v/>
      </c>
      <c r="RCI6" s="27" t="str">
        <f>IFERROR(VLOOKUP(DATE($K$1,$K$2,RCI$4),Table1[],(MATCH(Calendar!$A6,DB!1:1,0)+2),FALSE),"")</f>
        <v/>
      </c>
      <c r="RCJ6" s="27" t="str">
        <f>IFERROR(VLOOKUP(DATE($K$1,$K$2,RCJ$4),Table1[],(MATCH(Calendar!$A6,DB!1:1,0)+2),FALSE),"")</f>
        <v/>
      </c>
      <c r="RCK6" s="27" t="str">
        <f>IFERROR(VLOOKUP(DATE($K$1,$K$2,RCK$4),Table1[],(MATCH(Calendar!$A6,DB!1:1,0)+2),FALSE),"")</f>
        <v/>
      </c>
      <c r="RCL6" s="27" t="str">
        <f>IFERROR(VLOOKUP(DATE($K$1,$K$2,RCL$4),Table1[],(MATCH(Calendar!$A6,DB!1:1,0)+2),FALSE),"")</f>
        <v/>
      </c>
      <c r="RCM6" s="27" t="str">
        <f>IFERROR(VLOOKUP(DATE($K$1,$K$2,RCM$4),Table1[],(MATCH(Calendar!$A6,DB!1:1,0)+2),FALSE),"")</f>
        <v/>
      </c>
      <c r="RCN6" s="27" t="str">
        <f>IFERROR(VLOOKUP(DATE($K$1,$K$2,RCN$4),Table1[],(MATCH(Calendar!$A6,DB!1:1,0)+2),FALSE),"")</f>
        <v/>
      </c>
      <c r="RCO6" s="27" t="str">
        <f>IFERROR(VLOOKUP(DATE($K$1,$K$2,RCO$4),Table1[],(MATCH(Calendar!$A6,DB!1:1,0)+2),FALSE),"")</f>
        <v/>
      </c>
      <c r="RCP6" s="27" t="str">
        <f>IFERROR(VLOOKUP(DATE($K$1,$K$2,RCP$4),Table1[],(MATCH(Calendar!$A6,DB!1:1,0)+2),FALSE),"")</f>
        <v/>
      </c>
      <c r="RCQ6" s="27" t="str">
        <f>IFERROR(VLOOKUP(DATE($K$1,$K$2,RCQ$4),Table1[],(MATCH(Calendar!$A6,DB!1:1,0)+2),FALSE),"")</f>
        <v/>
      </c>
      <c r="RCR6" s="27" t="str">
        <f>IFERROR(VLOOKUP(DATE($K$1,$K$2,RCR$4),Table1[],(MATCH(Calendar!$A6,DB!1:1,0)+2),FALSE),"")</f>
        <v/>
      </c>
      <c r="RCS6" s="27" t="str">
        <f>IFERROR(VLOOKUP(DATE($K$1,$K$2,RCS$4),Table1[],(MATCH(Calendar!$A6,DB!1:1,0)+2),FALSE),"")</f>
        <v/>
      </c>
      <c r="RCT6" s="27" t="str">
        <f>IFERROR(VLOOKUP(DATE($K$1,$K$2,RCT$4),Table1[],(MATCH(Calendar!$A6,DB!1:1,0)+2),FALSE),"")</f>
        <v/>
      </c>
      <c r="RCU6" s="27" t="str">
        <f>IFERROR(VLOOKUP(DATE($K$1,$K$2,RCU$4),Table1[],(MATCH(Calendar!$A6,DB!1:1,0)+2),FALSE),"")</f>
        <v/>
      </c>
      <c r="RCV6" s="27" t="str">
        <f>IFERROR(VLOOKUP(DATE($K$1,$K$2,RCV$4),Table1[],(MATCH(Calendar!$A6,DB!1:1,0)+2),FALSE),"")</f>
        <v/>
      </c>
      <c r="RCW6" s="27" t="str">
        <f>IFERROR(VLOOKUP(DATE($K$1,$K$2,RCW$4),Table1[],(MATCH(Calendar!$A6,DB!1:1,0)+2),FALSE),"")</f>
        <v/>
      </c>
      <c r="RCX6" s="27" t="str">
        <f>IFERROR(VLOOKUP(DATE($K$1,$K$2,RCX$4),Table1[],(MATCH(Calendar!$A6,DB!1:1,0)+2),FALSE),"")</f>
        <v/>
      </c>
      <c r="RCY6" s="27" t="str">
        <f>IFERROR(VLOOKUP(DATE($K$1,$K$2,RCY$4),Table1[],(MATCH(Calendar!$A6,DB!1:1,0)+2),FALSE),"")</f>
        <v/>
      </c>
      <c r="RCZ6" s="27" t="str">
        <f>IFERROR(VLOOKUP(DATE($K$1,$K$2,RCZ$4),Table1[],(MATCH(Calendar!$A6,DB!1:1,0)+2),FALSE),"")</f>
        <v/>
      </c>
      <c r="RDA6" s="27" t="str">
        <f>IFERROR(VLOOKUP(DATE($K$1,$K$2,RDA$4),Table1[],(MATCH(Calendar!$A6,DB!1:1,0)+2),FALSE),"")</f>
        <v/>
      </c>
      <c r="RDB6" s="27" t="str">
        <f>IFERROR(VLOOKUP(DATE($K$1,$K$2,RDB$4),Table1[],(MATCH(Calendar!$A6,DB!1:1,0)+2),FALSE),"")</f>
        <v/>
      </c>
      <c r="RDC6" s="27" t="str">
        <f>IFERROR(VLOOKUP(DATE($K$1,$K$2,RDC$4),Table1[],(MATCH(Calendar!$A6,DB!1:1,0)+2),FALSE),"")</f>
        <v/>
      </c>
      <c r="RDD6" s="27" t="str">
        <f>IFERROR(VLOOKUP(DATE($K$1,$K$2,RDD$4),Table1[],(MATCH(Calendar!$A6,DB!1:1,0)+2),FALSE),"")</f>
        <v/>
      </c>
      <c r="RDE6" s="27" t="str">
        <f>IFERROR(VLOOKUP(DATE($K$1,$K$2,RDE$4),Table1[],(MATCH(Calendar!$A6,DB!1:1,0)+2),FALSE),"")</f>
        <v/>
      </c>
      <c r="RDF6" s="27" t="str">
        <f>IFERROR(VLOOKUP(DATE($K$1,$K$2,RDF$4),Table1[],(MATCH(Calendar!$A6,DB!1:1,0)+2),FALSE),"")</f>
        <v/>
      </c>
      <c r="RDG6" s="27" t="str">
        <f>IFERROR(VLOOKUP(DATE($K$1,$K$2,RDG$4),Table1[],(MATCH(Calendar!$A6,DB!1:1,0)+2),FALSE),"")</f>
        <v/>
      </c>
      <c r="RDH6" s="27" t="str">
        <f>IFERROR(VLOOKUP(DATE($K$1,$K$2,RDH$4),Table1[],(MATCH(Calendar!$A6,DB!1:1,0)+2),FALSE),"")</f>
        <v/>
      </c>
      <c r="RDI6" s="27" t="str">
        <f>IFERROR(VLOOKUP(DATE($K$1,$K$2,RDI$4),Table1[],(MATCH(Calendar!$A6,DB!1:1,0)+2),FALSE),"")</f>
        <v/>
      </c>
      <c r="RDJ6" s="27" t="str">
        <f>IFERROR(VLOOKUP(DATE($K$1,$K$2,RDJ$4),Table1[],(MATCH(Calendar!$A6,DB!1:1,0)+2),FALSE),"")</f>
        <v/>
      </c>
      <c r="RDK6" s="27" t="str">
        <f>IFERROR(VLOOKUP(DATE($K$1,$K$2,RDK$4),Table1[],(MATCH(Calendar!$A6,DB!1:1,0)+2),FALSE),"")</f>
        <v/>
      </c>
      <c r="RDL6" s="27" t="str">
        <f>IFERROR(VLOOKUP(DATE($K$1,$K$2,RDL$4),Table1[],(MATCH(Calendar!$A6,DB!1:1,0)+2),FALSE),"")</f>
        <v/>
      </c>
      <c r="RDM6" s="27" t="str">
        <f>IFERROR(VLOOKUP(DATE($K$1,$K$2,RDM$4),Table1[],(MATCH(Calendar!$A6,DB!1:1,0)+2),FALSE),"")</f>
        <v/>
      </c>
      <c r="RDN6" s="27" t="str">
        <f>IFERROR(VLOOKUP(DATE($K$1,$K$2,RDN$4),Table1[],(MATCH(Calendar!$A6,DB!1:1,0)+2),FALSE),"")</f>
        <v/>
      </c>
      <c r="RDO6" s="27" t="str">
        <f>IFERROR(VLOOKUP(DATE($K$1,$K$2,RDO$4),Table1[],(MATCH(Calendar!$A6,DB!1:1,0)+2),FALSE),"")</f>
        <v/>
      </c>
      <c r="RDP6" s="27" t="str">
        <f>IFERROR(VLOOKUP(DATE($K$1,$K$2,RDP$4),Table1[],(MATCH(Calendar!$A6,DB!1:1,0)+2),FALSE),"")</f>
        <v/>
      </c>
      <c r="RDQ6" s="27" t="str">
        <f>IFERROR(VLOOKUP(DATE($K$1,$K$2,RDQ$4),Table1[],(MATCH(Calendar!$A6,DB!1:1,0)+2),FALSE),"")</f>
        <v/>
      </c>
      <c r="RDR6" s="27" t="str">
        <f>IFERROR(VLOOKUP(DATE($K$1,$K$2,RDR$4),Table1[],(MATCH(Calendar!$A6,DB!1:1,0)+2),FALSE),"")</f>
        <v/>
      </c>
      <c r="RDS6" s="27" t="str">
        <f>IFERROR(VLOOKUP(DATE($K$1,$K$2,RDS$4),Table1[],(MATCH(Calendar!$A6,DB!1:1,0)+2),FALSE),"")</f>
        <v/>
      </c>
      <c r="RDT6" s="27" t="str">
        <f>IFERROR(VLOOKUP(DATE($K$1,$K$2,RDT$4),Table1[],(MATCH(Calendar!$A6,DB!1:1,0)+2),FALSE),"")</f>
        <v/>
      </c>
      <c r="RDU6" s="27" t="str">
        <f>IFERROR(VLOOKUP(DATE($K$1,$K$2,RDU$4),Table1[],(MATCH(Calendar!$A6,DB!1:1,0)+2),FALSE),"")</f>
        <v/>
      </c>
      <c r="RDV6" s="27" t="str">
        <f>IFERROR(VLOOKUP(DATE($K$1,$K$2,RDV$4),Table1[],(MATCH(Calendar!$A6,DB!1:1,0)+2),FALSE),"")</f>
        <v/>
      </c>
      <c r="RDW6" s="27" t="str">
        <f>IFERROR(VLOOKUP(DATE($K$1,$K$2,RDW$4),Table1[],(MATCH(Calendar!$A6,DB!1:1,0)+2),FALSE),"")</f>
        <v/>
      </c>
      <c r="RDX6" s="27" t="str">
        <f>IFERROR(VLOOKUP(DATE($K$1,$K$2,RDX$4),Table1[],(MATCH(Calendar!$A6,DB!1:1,0)+2),FALSE),"")</f>
        <v/>
      </c>
      <c r="RDY6" s="27" t="str">
        <f>IFERROR(VLOOKUP(DATE($K$1,$K$2,RDY$4),Table1[],(MATCH(Calendar!$A6,DB!1:1,0)+2),FALSE),"")</f>
        <v/>
      </c>
      <c r="RDZ6" s="27" t="str">
        <f>IFERROR(VLOOKUP(DATE($K$1,$K$2,RDZ$4),Table1[],(MATCH(Calendar!$A6,DB!1:1,0)+2),FALSE),"")</f>
        <v/>
      </c>
      <c r="REA6" s="27" t="str">
        <f>IFERROR(VLOOKUP(DATE($K$1,$K$2,REA$4),Table1[],(MATCH(Calendar!$A6,DB!1:1,0)+2),FALSE),"")</f>
        <v/>
      </c>
      <c r="REB6" s="27" t="str">
        <f>IFERROR(VLOOKUP(DATE($K$1,$K$2,REB$4),Table1[],(MATCH(Calendar!$A6,DB!1:1,0)+2),FALSE),"")</f>
        <v/>
      </c>
      <c r="REC6" s="27" t="str">
        <f>IFERROR(VLOOKUP(DATE($K$1,$K$2,REC$4),Table1[],(MATCH(Calendar!$A6,DB!1:1,0)+2),FALSE),"")</f>
        <v/>
      </c>
      <c r="RED6" s="27" t="str">
        <f>IFERROR(VLOOKUP(DATE($K$1,$K$2,RED$4),Table1[],(MATCH(Calendar!$A6,DB!1:1,0)+2),FALSE),"")</f>
        <v/>
      </c>
      <c r="REE6" s="27" t="str">
        <f>IFERROR(VLOOKUP(DATE($K$1,$K$2,REE$4),Table1[],(MATCH(Calendar!$A6,DB!1:1,0)+2),FALSE),"")</f>
        <v/>
      </c>
      <c r="REF6" s="27" t="str">
        <f>IFERROR(VLOOKUP(DATE($K$1,$K$2,REF$4),Table1[],(MATCH(Calendar!$A6,DB!1:1,0)+2),FALSE),"")</f>
        <v/>
      </c>
      <c r="REG6" s="27" t="str">
        <f>IFERROR(VLOOKUP(DATE($K$1,$K$2,REG$4),Table1[],(MATCH(Calendar!$A6,DB!1:1,0)+2),FALSE),"")</f>
        <v/>
      </c>
      <c r="REH6" s="27" t="str">
        <f>IFERROR(VLOOKUP(DATE($K$1,$K$2,REH$4),Table1[],(MATCH(Calendar!$A6,DB!1:1,0)+2),FALSE),"")</f>
        <v/>
      </c>
      <c r="REI6" s="27" t="str">
        <f>IFERROR(VLOOKUP(DATE($K$1,$K$2,REI$4),Table1[],(MATCH(Calendar!$A6,DB!1:1,0)+2),FALSE),"")</f>
        <v/>
      </c>
      <c r="REJ6" s="27" t="str">
        <f>IFERROR(VLOOKUP(DATE($K$1,$K$2,REJ$4),Table1[],(MATCH(Calendar!$A6,DB!1:1,0)+2),FALSE),"")</f>
        <v/>
      </c>
      <c r="REK6" s="27" t="str">
        <f>IFERROR(VLOOKUP(DATE($K$1,$K$2,REK$4),Table1[],(MATCH(Calendar!$A6,DB!1:1,0)+2),FALSE),"")</f>
        <v/>
      </c>
      <c r="REL6" s="27" t="str">
        <f>IFERROR(VLOOKUP(DATE($K$1,$K$2,REL$4),Table1[],(MATCH(Calendar!$A6,DB!1:1,0)+2),FALSE),"")</f>
        <v/>
      </c>
      <c r="REM6" s="27" t="str">
        <f>IFERROR(VLOOKUP(DATE($K$1,$K$2,REM$4),Table1[],(MATCH(Calendar!$A6,DB!1:1,0)+2),FALSE),"")</f>
        <v/>
      </c>
      <c r="REN6" s="27" t="str">
        <f>IFERROR(VLOOKUP(DATE($K$1,$K$2,REN$4),Table1[],(MATCH(Calendar!$A6,DB!1:1,0)+2),FALSE),"")</f>
        <v/>
      </c>
      <c r="REO6" s="27" t="str">
        <f>IFERROR(VLOOKUP(DATE($K$1,$K$2,REO$4),Table1[],(MATCH(Calendar!$A6,DB!1:1,0)+2),FALSE),"")</f>
        <v/>
      </c>
      <c r="REP6" s="27" t="str">
        <f>IFERROR(VLOOKUP(DATE($K$1,$K$2,REP$4),Table1[],(MATCH(Calendar!$A6,DB!1:1,0)+2),FALSE),"")</f>
        <v/>
      </c>
      <c r="REQ6" s="27" t="str">
        <f>IFERROR(VLOOKUP(DATE($K$1,$K$2,REQ$4),Table1[],(MATCH(Calendar!$A6,DB!1:1,0)+2),FALSE),"")</f>
        <v/>
      </c>
      <c r="RER6" s="27" t="str">
        <f>IFERROR(VLOOKUP(DATE($K$1,$K$2,RER$4),Table1[],(MATCH(Calendar!$A6,DB!1:1,0)+2),FALSE),"")</f>
        <v/>
      </c>
      <c r="RES6" s="27" t="str">
        <f>IFERROR(VLOOKUP(DATE($K$1,$K$2,RES$4),Table1[],(MATCH(Calendar!$A6,DB!1:1,0)+2),FALSE),"")</f>
        <v/>
      </c>
      <c r="RET6" s="27" t="str">
        <f>IFERROR(VLOOKUP(DATE($K$1,$K$2,RET$4),Table1[],(MATCH(Calendar!$A6,DB!1:1,0)+2),FALSE),"")</f>
        <v/>
      </c>
      <c r="REU6" s="27" t="str">
        <f>IFERROR(VLOOKUP(DATE($K$1,$K$2,REU$4),Table1[],(MATCH(Calendar!$A6,DB!1:1,0)+2),FALSE),"")</f>
        <v/>
      </c>
      <c r="REV6" s="27" t="str">
        <f>IFERROR(VLOOKUP(DATE($K$1,$K$2,REV$4),Table1[],(MATCH(Calendar!$A6,DB!1:1,0)+2),FALSE),"")</f>
        <v/>
      </c>
      <c r="REW6" s="27" t="str">
        <f>IFERROR(VLOOKUP(DATE($K$1,$K$2,REW$4),Table1[],(MATCH(Calendar!$A6,DB!1:1,0)+2),FALSE),"")</f>
        <v/>
      </c>
      <c r="REX6" s="27" t="str">
        <f>IFERROR(VLOOKUP(DATE($K$1,$K$2,REX$4),Table1[],(MATCH(Calendar!$A6,DB!1:1,0)+2),FALSE),"")</f>
        <v/>
      </c>
      <c r="REY6" s="27" t="str">
        <f>IFERROR(VLOOKUP(DATE($K$1,$K$2,REY$4),Table1[],(MATCH(Calendar!$A6,DB!1:1,0)+2),FALSE),"")</f>
        <v/>
      </c>
      <c r="REZ6" s="27" t="str">
        <f>IFERROR(VLOOKUP(DATE($K$1,$K$2,REZ$4),Table1[],(MATCH(Calendar!$A6,DB!1:1,0)+2),FALSE),"")</f>
        <v/>
      </c>
      <c r="RFA6" s="27" t="str">
        <f>IFERROR(VLOOKUP(DATE($K$1,$K$2,RFA$4),Table1[],(MATCH(Calendar!$A6,DB!1:1,0)+2),FALSE),"")</f>
        <v/>
      </c>
      <c r="RFB6" s="27" t="str">
        <f>IFERROR(VLOOKUP(DATE($K$1,$K$2,RFB$4),Table1[],(MATCH(Calendar!$A6,DB!1:1,0)+2),FALSE),"")</f>
        <v/>
      </c>
      <c r="RFC6" s="27" t="str">
        <f>IFERROR(VLOOKUP(DATE($K$1,$K$2,RFC$4),Table1[],(MATCH(Calendar!$A6,DB!1:1,0)+2),FALSE),"")</f>
        <v/>
      </c>
      <c r="RFD6" s="27" t="str">
        <f>IFERROR(VLOOKUP(DATE($K$1,$K$2,RFD$4),Table1[],(MATCH(Calendar!$A6,DB!1:1,0)+2),FALSE),"")</f>
        <v/>
      </c>
      <c r="RFE6" s="27" t="str">
        <f>IFERROR(VLOOKUP(DATE($K$1,$K$2,RFE$4),Table1[],(MATCH(Calendar!$A6,DB!1:1,0)+2),FALSE),"")</f>
        <v/>
      </c>
      <c r="RFF6" s="27" t="str">
        <f>IFERROR(VLOOKUP(DATE($K$1,$K$2,RFF$4),Table1[],(MATCH(Calendar!$A6,DB!1:1,0)+2),FALSE),"")</f>
        <v/>
      </c>
      <c r="RFG6" s="27" t="str">
        <f>IFERROR(VLOOKUP(DATE($K$1,$K$2,RFG$4),Table1[],(MATCH(Calendar!$A6,DB!1:1,0)+2),FALSE),"")</f>
        <v/>
      </c>
      <c r="RFH6" s="27" t="str">
        <f>IFERROR(VLOOKUP(DATE($K$1,$K$2,RFH$4),Table1[],(MATCH(Calendar!$A6,DB!1:1,0)+2),FALSE),"")</f>
        <v/>
      </c>
      <c r="RFI6" s="27" t="str">
        <f>IFERROR(VLOOKUP(DATE($K$1,$K$2,RFI$4),Table1[],(MATCH(Calendar!$A6,DB!1:1,0)+2),FALSE),"")</f>
        <v/>
      </c>
      <c r="RFJ6" s="27" t="str">
        <f>IFERROR(VLOOKUP(DATE($K$1,$K$2,RFJ$4),Table1[],(MATCH(Calendar!$A6,DB!1:1,0)+2),FALSE),"")</f>
        <v/>
      </c>
      <c r="RFK6" s="27" t="str">
        <f>IFERROR(VLOOKUP(DATE($K$1,$K$2,RFK$4),Table1[],(MATCH(Calendar!$A6,DB!1:1,0)+2),FALSE),"")</f>
        <v/>
      </c>
      <c r="RFL6" s="27" t="str">
        <f>IFERROR(VLOOKUP(DATE($K$1,$K$2,RFL$4),Table1[],(MATCH(Calendar!$A6,DB!1:1,0)+2),FALSE),"")</f>
        <v/>
      </c>
      <c r="RFM6" s="27" t="str">
        <f>IFERROR(VLOOKUP(DATE($K$1,$K$2,RFM$4),Table1[],(MATCH(Calendar!$A6,DB!1:1,0)+2),FALSE),"")</f>
        <v/>
      </c>
      <c r="RFN6" s="27" t="str">
        <f>IFERROR(VLOOKUP(DATE($K$1,$K$2,RFN$4),Table1[],(MATCH(Calendar!$A6,DB!1:1,0)+2),FALSE),"")</f>
        <v/>
      </c>
      <c r="RFO6" s="27" t="str">
        <f>IFERROR(VLOOKUP(DATE($K$1,$K$2,RFO$4),Table1[],(MATCH(Calendar!$A6,DB!1:1,0)+2),FALSE),"")</f>
        <v/>
      </c>
      <c r="RFP6" s="27" t="str">
        <f>IFERROR(VLOOKUP(DATE($K$1,$K$2,RFP$4),Table1[],(MATCH(Calendar!$A6,DB!1:1,0)+2),FALSE),"")</f>
        <v/>
      </c>
      <c r="RFQ6" s="27" t="str">
        <f>IFERROR(VLOOKUP(DATE($K$1,$K$2,RFQ$4),Table1[],(MATCH(Calendar!$A6,DB!1:1,0)+2),FALSE),"")</f>
        <v/>
      </c>
      <c r="RFR6" s="27" t="str">
        <f>IFERROR(VLOOKUP(DATE($K$1,$K$2,RFR$4),Table1[],(MATCH(Calendar!$A6,DB!1:1,0)+2),FALSE),"")</f>
        <v/>
      </c>
      <c r="RFS6" s="27" t="str">
        <f>IFERROR(VLOOKUP(DATE($K$1,$K$2,RFS$4),Table1[],(MATCH(Calendar!$A6,DB!1:1,0)+2),FALSE),"")</f>
        <v/>
      </c>
      <c r="RFT6" s="27" t="str">
        <f>IFERROR(VLOOKUP(DATE($K$1,$K$2,RFT$4),Table1[],(MATCH(Calendar!$A6,DB!1:1,0)+2),FALSE),"")</f>
        <v/>
      </c>
      <c r="RFU6" s="27" t="str">
        <f>IFERROR(VLOOKUP(DATE($K$1,$K$2,RFU$4),Table1[],(MATCH(Calendar!$A6,DB!1:1,0)+2),FALSE),"")</f>
        <v/>
      </c>
      <c r="RFV6" s="27" t="str">
        <f>IFERROR(VLOOKUP(DATE($K$1,$K$2,RFV$4),Table1[],(MATCH(Calendar!$A6,DB!1:1,0)+2),FALSE),"")</f>
        <v/>
      </c>
      <c r="RFW6" s="27" t="str">
        <f>IFERROR(VLOOKUP(DATE($K$1,$K$2,RFW$4),Table1[],(MATCH(Calendar!$A6,DB!1:1,0)+2),FALSE),"")</f>
        <v/>
      </c>
      <c r="RFX6" s="27" t="str">
        <f>IFERROR(VLOOKUP(DATE($K$1,$K$2,RFX$4),Table1[],(MATCH(Calendar!$A6,DB!1:1,0)+2),FALSE),"")</f>
        <v/>
      </c>
      <c r="RFY6" s="27" t="str">
        <f>IFERROR(VLOOKUP(DATE($K$1,$K$2,RFY$4),Table1[],(MATCH(Calendar!$A6,DB!1:1,0)+2),FALSE),"")</f>
        <v/>
      </c>
      <c r="RFZ6" s="27" t="str">
        <f>IFERROR(VLOOKUP(DATE($K$1,$K$2,RFZ$4),Table1[],(MATCH(Calendar!$A6,DB!1:1,0)+2),FALSE),"")</f>
        <v/>
      </c>
      <c r="RGA6" s="27" t="str">
        <f>IFERROR(VLOOKUP(DATE($K$1,$K$2,RGA$4),Table1[],(MATCH(Calendar!$A6,DB!1:1,0)+2),FALSE),"")</f>
        <v/>
      </c>
      <c r="RGB6" s="27" t="str">
        <f>IFERROR(VLOOKUP(DATE($K$1,$K$2,RGB$4),Table1[],(MATCH(Calendar!$A6,DB!1:1,0)+2),FALSE),"")</f>
        <v/>
      </c>
      <c r="RGC6" s="27" t="str">
        <f>IFERROR(VLOOKUP(DATE($K$1,$K$2,RGC$4),Table1[],(MATCH(Calendar!$A6,DB!1:1,0)+2),FALSE),"")</f>
        <v/>
      </c>
      <c r="RGD6" s="27" t="str">
        <f>IFERROR(VLOOKUP(DATE($K$1,$K$2,RGD$4),Table1[],(MATCH(Calendar!$A6,DB!1:1,0)+2),FALSE),"")</f>
        <v/>
      </c>
      <c r="RGE6" s="27" t="str">
        <f>IFERROR(VLOOKUP(DATE($K$1,$K$2,RGE$4),Table1[],(MATCH(Calendar!$A6,DB!1:1,0)+2),FALSE),"")</f>
        <v/>
      </c>
      <c r="RGF6" s="27" t="str">
        <f>IFERROR(VLOOKUP(DATE($K$1,$K$2,RGF$4),Table1[],(MATCH(Calendar!$A6,DB!1:1,0)+2),FALSE),"")</f>
        <v/>
      </c>
      <c r="RGG6" s="27" t="str">
        <f>IFERROR(VLOOKUP(DATE($K$1,$K$2,RGG$4),Table1[],(MATCH(Calendar!$A6,DB!1:1,0)+2),FALSE),"")</f>
        <v/>
      </c>
      <c r="RGH6" s="27" t="str">
        <f>IFERROR(VLOOKUP(DATE($K$1,$K$2,RGH$4),Table1[],(MATCH(Calendar!$A6,DB!1:1,0)+2),FALSE),"")</f>
        <v/>
      </c>
      <c r="RGI6" s="27" t="str">
        <f>IFERROR(VLOOKUP(DATE($K$1,$K$2,RGI$4),Table1[],(MATCH(Calendar!$A6,DB!1:1,0)+2),FALSE),"")</f>
        <v/>
      </c>
      <c r="RGJ6" s="27" t="str">
        <f>IFERROR(VLOOKUP(DATE($K$1,$K$2,RGJ$4),Table1[],(MATCH(Calendar!$A6,DB!1:1,0)+2),FALSE),"")</f>
        <v/>
      </c>
      <c r="RGK6" s="27" t="str">
        <f>IFERROR(VLOOKUP(DATE($K$1,$K$2,RGK$4),Table1[],(MATCH(Calendar!$A6,DB!1:1,0)+2),FALSE),"")</f>
        <v/>
      </c>
      <c r="RGL6" s="27" t="str">
        <f>IFERROR(VLOOKUP(DATE($K$1,$K$2,RGL$4),Table1[],(MATCH(Calendar!$A6,DB!1:1,0)+2),FALSE),"")</f>
        <v/>
      </c>
      <c r="RGM6" s="27" t="str">
        <f>IFERROR(VLOOKUP(DATE($K$1,$K$2,RGM$4),Table1[],(MATCH(Calendar!$A6,DB!1:1,0)+2),FALSE),"")</f>
        <v/>
      </c>
      <c r="RGN6" s="27" t="str">
        <f>IFERROR(VLOOKUP(DATE($K$1,$K$2,RGN$4),Table1[],(MATCH(Calendar!$A6,DB!1:1,0)+2),FALSE),"")</f>
        <v/>
      </c>
      <c r="RGO6" s="27" t="str">
        <f>IFERROR(VLOOKUP(DATE($K$1,$K$2,RGO$4),Table1[],(MATCH(Calendar!$A6,DB!1:1,0)+2),FALSE),"")</f>
        <v/>
      </c>
      <c r="RGP6" s="27" t="str">
        <f>IFERROR(VLOOKUP(DATE($K$1,$K$2,RGP$4),Table1[],(MATCH(Calendar!$A6,DB!1:1,0)+2),FALSE),"")</f>
        <v/>
      </c>
      <c r="RGQ6" s="27" t="str">
        <f>IFERROR(VLOOKUP(DATE($K$1,$K$2,RGQ$4),Table1[],(MATCH(Calendar!$A6,DB!1:1,0)+2),FALSE),"")</f>
        <v/>
      </c>
      <c r="RGR6" s="27" t="str">
        <f>IFERROR(VLOOKUP(DATE($K$1,$K$2,RGR$4),Table1[],(MATCH(Calendar!$A6,DB!1:1,0)+2),FALSE),"")</f>
        <v/>
      </c>
      <c r="RGS6" s="27" t="str">
        <f>IFERROR(VLOOKUP(DATE($K$1,$K$2,RGS$4),Table1[],(MATCH(Calendar!$A6,DB!1:1,0)+2),FALSE),"")</f>
        <v/>
      </c>
      <c r="RGT6" s="27" t="str">
        <f>IFERROR(VLOOKUP(DATE($K$1,$K$2,RGT$4),Table1[],(MATCH(Calendar!$A6,DB!1:1,0)+2),FALSE),"")</f>
        <v/>
      </c>
      <c r="RGU6" s="27" t="str">
        <f>IFERROR(VLOOKUP(DATE($K$1,$K$2,RGU$4),Table1[],(MATCH(Calendar!$A6,DB!1:1,0)+2),FALSE),"")</f>
        <v/>
      </c>
      <c r="RGV6" s="27" t="str">
        <f>IFERROR(VLOOKUP(DATE($K$1,$K$2,RGV$4),Table1[],(MATCH(Calendar!$A6,DB!1:1,0)+2),FALSE),"")</f>
        <v/>
      </c>
      <c r="RGW6" s="27" t="str">
        <f>IFERROR(VLOOKUP(DATE($K$1,$K$2,RGW$4),Table1[],(MATCH(Calendar!$A6,DB!1:1,0)+2),FALSE),"")</f>
        <v/>
      </c>
      <c r="RGX6" s="27" t="str">
        <f>IFERROR(VLOOKUP(DATE($K$1,$K$2,RGX$4),Table1[],(MATCH(Calendar!$A6,DB!1:1,0)+2),FALSE),"")</f>
        <v/>
      </c>
      <c r="RGY6" s="27" t="str">
        <f>IFERROR(VLOOKUP(DATE($K$1,$K$2,RGY$4),Table1[],(MATCH(Calendar!$A6,DB!1:1,0)+2),FALSE),"")</f>
        <v/>
      </c>
      <c r="RGZ6" s="27" t="str">
        <f>IFERROR(VLOOKUP(DATE($K$1,$K$2,RGZ$4),Table1[],(MATCH(Calendar!$A6,DB!1:1,0)+2),FALSE),"")</f>
        <v/>
      </c>
      <c r="RHA6" s="27" t="str">
        <f>IFERROR(VLOOKUP(DATE($K$1,$K$2,RHA$4),Table1[],(MATCH(Calendar!$A6,DB!1:1,0)+2),FALSE),"")</f>
        <v/>
      </c>
      <c r="RHB6" s="27" t="str">
        <f>IFERROR(VLOOKUP(DATE($K$1,$K$2,RHB$4),Table1[],(MATCH(Calendar!$A6,DB!1:1,0)+2),FALSE),"")</f>
        <v/>
      </c>
      <c r="RHC6" s="27" t="str">
        <f>IFERROR(VLOOKUP(DATE($K$1,$K$2,RHC$4),Table1[],(MATCH(Calendar!$A6,DB!1:1,0)+2),FALSE),"")</f>
        <v/>
      </c>
      <c r="RHD6" s="27" t="str">
        <f>IFERROR(VLOOKUP(DATE($K$1,$K$2,RHD$4),Table1[],(MATCH(Calendar!$A6,DB!1:1,0)+2),FALSE),"")</f>
        <v/>
      </c>
      <c r="RHE6" s="27" t="str">
        <f>IFERROR(VLOOKUP(DATE($K$1,$K$2,RHE$4),Table1[],(MATCH(Calendar!$A6,DB!1:1,0)+2),FALSE),"")</f>
        <v/>
      </c>
      <c r="RHF6" s="27" t="str">
        <f>IFERROR(VLOOKUP(DATE($K$1,$K$2,RHF$4),Table1[],(MATCH(Calendar!$A6,DB!1:1,0)+2),FALSE),"")</f>
        <v/>
      </c>
      <c r="RHG6" s="27" t="str">
        <f>IFERROR(VLOOKUP(DATE($K$1,$K$2,RHG$4),Table1[],(MATCH(Calendar!$A6,DB!1:1,0)+2),FALSE),"")</f>
        <v/>
      </c>
      <c r="RHH6" s="27" t="str">
        <f>IFERROR(VLOOKUP(DATE($K$1,$K$2,RHH$4),Table1[],(MATCH(Calendar!$A6,DB!1:1,0)+2),FALSE),"")</f>
        <v/>
      </c>
      <c r="RHI6" s="27" t="str">
        <f>IFERROR(VLOOKUP(DATE($K$1,$K$2,RHI$4),Table1[],(MATCH(Calendar!$A6,DB!1:1,0)+2),FALSE),"")</f>
        <v/>
      </c>
      <c r="RHJ6" s="27" t="str">
        <f>IFERROR(VLOOKUP(DATE($K$1,$K$2,RHJ$4),Table1[],(MATCH(Calendar!$A6,DB!1:1,0)+2),FALSE),"")</f>
        <v/>
      </c>
      <c r="RHK6" s="27" t="str">
        <f>IFERROR(VLOOKUP(DATE($K$1,$K$2,RHK$4),Table1[],(MATCH(Calendar!$A6,DB!1:1,0)+2),FALSE),"")</f>
        <v/>
      </c>
      <c r="RHL6" s="27" t="str">
        <f>IFERROR(VLOOKUP(DATE($K$1,$K$2,RHL$4),Table1[],(MATCH(Calendar!$A6,DB!1:1,0)+2),FALSE),"")</f>
        <v/>
      </c>
      <c r="RHM6" s="27" t="str">
        <f>IFERROR(VLOOKUP(DATE($K$1,$K$2,RHM$4),Table1[],(MATCH(Calendar!$A6,DB!1:1,0)+2),FALSE),"")</f>
        <v/>
      </c>
      <c r="RHN6" s="27" t="str">
        <f>IFERROR(VLOOKUP(DATE($K$1,$K$2,RHN$4),Table1[],(MATCH(Calendar!$A6,DB!1:1,0)+2),FALSE),"")</f>
        <v/>
      </c>
      <c r="RHO6" s="27" t="str">
        <f>IFERROR(VLOOKUP(DATE($K$1,$K$2,RHO$4),Table1[],(MATCH(Calendar!$A6,DB!1:1,0)+2),FALSE),"")</f>
        <v/>
      </c>
      <c r="RHP6" s="27" t="str">
        <f>IFERROR(VLOOKUP(DATE($K$1,$K$2,RHP$4),Table1[],(MATCH(Calendar!$A6,DB!1:1,0)+2),FALSE),"")</f>
        <v/>
      </c>
      <c r="RHQ6" s="27" t="str">
        <f>IFERROR(VLOOKUP(DATE($K$1,$K$2,RHQ$4),Table1[],(MATCH(Calendar!$A6,DB!1:1,0)+2),FALSE),"")</f>
        <v/>
      </c>
      <c r="RHR6" s="27" t="str">
        <f>IFERROR(VLOOKUP(DATE($K$1,$K$2,RHR$4),Table1[],(MATCH(Calendar!$A6,DB!1:1,0)+2),FALSE),"")</f>
        <v/>
      </c>
      <c r="RHS6" s="27" t="str">
        <f>IFERROR(VLOOKUP(DATE($K$1,$K$2,RHS$4),Table1[],(MATCH(Calendar!$A6,DB!1:1,0)+2),FALSE),"")</f>
        <v/>
      </c>
      <c r="RHT6" s="27" t="str">
        <f>IFERROR(VLOOKUP(DATE($K$1,$K$2,RHT$4),Table1[],(MATCH(Calendar!$A6,DB!1:1,0)+2),FALSE),"")</f>
        <v/>
      </c>
      <c r="RHU6" s="27" t="str">
        <f>IFERROR(VLOOKUP(DATE($K$1,$K$2,RHU$4),Table1[],(MATCH(Calendar!$A6,DB!1:1,0)+2),FALSE),"")</f>
        <v/>
      </c>
      <c r="RHV6" s="27" t="str">
        <f>IFERROR(VLOOKUP(DATE($K$1,$K$2,RHV$4),Table1[],(MATCH(Calendar!$A6,DB!1:1,0)+2),FALSE),"")</f>
        <v/>
      </c>
      <c r="RHW6" s="27" t="str">
        <f>IFERROR(VLOOKUP(DATE($K$1,$K$2,RHW$4),Table1[],(MATCH(Calendar!$A6,DB!1:1,0)+2),FALSE),"")</f>
        <v/>
      </c>
      <c r="RHX6" s="27" t="str">
        <f>IFERROR(VLOOKUP(DATE($K$1,$K$2,RHX$4),Table1[],(MATCH(Calendar!$A6,DB!1:1,0)+2),FALSE),"")</f>
        <v/>
      </c>
      <c r="RHY6" s="27" t="str">
        <f>IFERROR(VLOOKUP(DATE($K$1,$K$2,RHY$4),Table1[],(MATCH(Calendar!$A6,DB!1:1,0)+2),FALSE),"")</f>
        <v/>
      </c>
      <c r="RHZ6" s="27" t="str">
        <f>IFERROR(VLOOKUP(DATE($K$1,$K$2,RHZ$4),Table1[],(MATCH(Calendar!$A6,DB!1:1,0)+2),FALSE),"")</f>
        <v/>
      </c>
      <c r="RIA6" s="27" t="str">
        <f>IFERROR(VLOOKUP(DATE($K$1,$K$2,RIA$4),Table1[],(MATCH(Calendar!$A6,DB!1:1,0)+2),FALSE),"")</f>
        <v/>
      </c>
      <c r="RIB6" s="27" t="str">
        <f>IFERROR(VLOOKUP(DATE($K$1,$K$2,RIB$4),Table1[],(MATCH(Calendar!$A6,DB!1:1,0)+2),FALSE),"")</f>
        <v/>
      </c>
      <c r="RIC6" s="27" t="str">
        <f>IFERROR(VLOOKUP(DATE($K$1,$K$2,RIC$4),Table1[],(MATCH(Calendar!$A6,DB!1:1,0)+2),FALSE),"")</f>
        <v/>
      </c>
      <c r="RID6" s="27" t="str">
        <f>IFERROR(VLOOKUP(DATE($K$1,$K$2,RID$4),Table1[],(MATCH(Calendar!$A6,DB!1:1,0)+2),FALSE),"")</f>
        <v/>
      </c>
      <c r="RIE6" s="27" t="str">
        <f>IFERROR(VLOOKUP(DATE($K$1,$K$2,RIE$4),Table1[],(MATCH(Calendar!$A6,DB!1:1,0)+2),FALSE),"")</f>
        <v/>
      </c>
      <c r="RIF6" s="27" t="str">
        <f>IFERROR(VLOOKUP(DATE($K$1,$K$2,RIF$4),Table1[],(MATCH(Calendar!$A6,DB!1:1,0)+2),FALSE),"")</f>
        <v/>
      </c>
      <c r="RIG6" s="27" t="str">
        <f>IFERROR(VLOOKUP(DATE($K$1,$K$2,RIG$4),Table1[],(MATCH(Calendar!$A6,DB!1:1,0)+2),FALSE),"")</f>
        <v/>
      </c>
      <c r="RIH6" s="27" t="str">
        <f>IFERROR(VLOOKUP(DATE($K$1,$K$2,RIH$4),Table1[],(MATCH(Calendar!$A6,DB!1:1,0)+2),FALSE),"")</f>
        <v/>
      </c>
      <c r="RII6" s="27" t="str">
        <f>IFERROR(VLOOKUP(DATE($K$1,$K$2,RII$4),Table1[],(MATCH(Calendar!$A6,DB!1:1,0)+2),FALSE),"")</f>
        <v/>
      </c>
      <c r="RIJ6" s="27" t="str">
        <f>IFERROR(VLOOKUP(DATE($K$1,$K$2,RIJ$4),Table1[],(MATCH(Calendar!$A6,DB!1:1,0)+2),FALSE),"")</f>
        <v/>
      </c>
      <c r="RIK6" s="27" t="str">
        <f>IFERROR(VLOOKUP(DATE($K$1,$K$2,RIK$4),Table1[],(MATCH(Calendar!$A6,DB!1:1,0)+2),FALSE),"")</f>
        <v/>
      </c>
      <c r="RIL6" s="27" t="str">
        <f>IFERROR(VLOOKUP(DATE($K$1,$K$2,RIL$4),Table1[],(MATCH(Calendar!$A6,DB!1:1,0)+2),FALSE),"")</f>
        <v/>
      </c>
      <c r="RIM6" s="27" t="str">
        <f>IFERROR(VLOOKUP(DATE($K$1,$K$2,RIM$4),Table1[],(MATCH(Calendar!$A6,DB!1:1,0)+2),FALSE),"")</f>
        <v/>
      </c>
      <c r="RIN6" s="27" t="str">
        <f>IFERROR(VLOOKUP(DATE($K$1,$K$2,RIN$4),Table1[],(MATCH(Calendar!$A6,DB!1:1,0)+2),FALSE),"")</f>
        <v/>
      </c>
      <c r="RIO6" s="27" t="str">
        <f>IFERROR(VLOOKUP(DATE($K$1,$K$2,RIO$4),Table1[],(MATCH(Calendar!$A6,DB!1:1,0)+2),FALSE),"")</f>
        <v/>
      </c>
      <c r="RIP6" s="27" t="str">
        <f>IFERROR(VLOOKUP(DATE($K$1,$K$2,RIP$4),Table1[],(MATCH(Calendar!$A6,DB!1:1,0)+2),FALSE),"")</f>
        <v/>
      </c>
      <c r="RIQ6" s="27" t="str">
        <f>IFERROR(VLOOKUP(DATE($K$1,$K$2,RIQ$4),Table1[],(MATCH(Calendar!$A6,DB!1:1,0)+2),FALSE),"")</f>
        <v/>
      </c>
      <c r="RIR6" s="27" t="str">
        <f>IFERROR(VLOOKUP(DATE($K$1,$K$2,RIR$4),Table1[],(MATCH(Calendar!$A6,DB!1:1,0)+2),FALSE),"")</f>
        <v/>
      </c>
      <c r="RIS6" s="27" t="str">
        <f>IFERROR(VLOOKUP(DATE($K$1,$K$2,RIS$4),Table1[],(MATCH(Calendar!$A6,DB!1:1,0)+2),FALSE),"")</f>
        <v/>
      </c>
      <c r="RIT6" s="27" t="str">
        <f>IFERROR(VLOOKUP(DATE($K$1,$K$2,RIT$4),Table1[],(MATCH(Calendar!$A6,DB!1:1,0)+2),FALSE),"")</f>
        <v/>
      </c>
      <c r="RIU6" s="27" t="str">
        <f>IFERROR(VLOOKUP(DATE($K$1,$K$2,RIU$4),Table1[],(MATCH(Calendar!$A6,DB!1:1,0)+2),FALSE),"")</f>
        <v/>
      </c>
      <c r="RIV6" s="27" t="str">
        <f>IFERROR(VLOOKUP(DATE($K$1,$K$2,RIV$4),Table1[],(MATCH(Calendar!$A6,DB!1:1,0)+2),FALSE),"")</f>
        <v/>
      </c>
      <c r="RIW6" s="27" t="str">
        <f>IFERROR(VLOOKUP(DATE($K$1,$K$2,RIW$4),Table1[],(MATCH(Calendar!$A6,DB!1:1,0)+2),FALSE),"")</f>
        <v/>
      </c>
      <c r="RIX6" s="27" t="str">
        <f>IFERROR(VLOOKUP(DATE($K$1,$K$2,RIX$4),Table1[],(MATCH(Calendar!$A6,DB!1:1,0)+2),FALSE),"")</f>
        <v/>
      </c>
      <c r="RIY6" s="27" t="str">
        <f>IFERROR(VLOOKUP(DATE($K$1,$K$2,RIY$4),Table1[],(MATCH(Calendar!$A6,DB!1:1,0)+2),FALSE),"")</f>
        <v/>
      </c>
      <c r="RIZ6" s="27" t="str">
        <f>IFERROR(VLOOKUP(DATE($K$1,$K$2,RIZ$4),Table1[],(MATCH(Calendar!$A6,DB!1:1,0)+2),FALSE),"")</f>
        <v/>
      </c>
      <c r="RJA6" s="27" t="str">
        <f>IFERROR(VLOOKUP(DATE($K$1,$K$2,RJA$4),Table1[],(MATCH(Calendar!$A6,DB!1:1,0)+2),FALSE),"")</f>
        <v/>
      </c>
      <c r="RJB6" s="27" t="str">
        <f>IFERROR(VLOOKUP(DATE($K$1,$K$2,RJB$4),Table1[],(MATCH(Calendar!$A6,DB!1:1,0)+2),FALSE),"")</f>
        <v/>
      </c>
      <c r="RJC6" s="27" t="str">
        <f>IFERROR(VLOOKUP(DATE($K$1,$K$2,RJC$4),Table1[],(MATCH(Calendar!$A6,DB!1:1,0)+2),FALSE),"")</f>
        <v/>
      </c>
      <c r="RJD6" s="27" t="str">
        <f>IFERROR(VLOOKUP(DATE($K$1,$K$2,RJD$4),Table1[],(MATCH(Calendar!$A6,DB!1:1,0)+2),FALSE),"")</f>
        <v/>
      </c>
      <c r="RJE6" s="27" t="str">
        <f>IFERROR(VLOOKUP(DATE($K$1,$K$2,RJE$4),Table1[],(MATCH(Calendar!$A6,DB!1:1,0)+2),FALSE),"")</f>
        <v/>
      </c>
      <c r="RJF6" s="27" t="str">
        <f>IFERROR(VLOOKUP(DATE($K$1,$K$2,RJF$4),Table1[],(MATCH(Calendar!$A6,DB!1:1,0)+2),FALSE),"")</f>
        <v/>
      </c>
      <c r="RJG6" s="27" t="str">
        <f>IFERROR(VLOOKUP(DATE($K$1,$K$2,RJG$4),Table1[],(MATCH(Calendar!$A6,DB!1:1,0)+2),FALSE),"")</f>
        <v/>
      </c>
      <c r="RJH6" s="27" t="str">
        <f>IFERROR(VLOOKUP(DATE($K$1,$K$2,RJH$4),Table1[],(MATCH(Calendar!$A6,DB!1:1,0)+2),FALSE),"")</f>
        <v/>
      </c>
      <c r="RJI6" s="27" t="str">
        <f>IFERROR(VLOOKUP(DATE($K$1,$K$2,RJI$4),Table1[],(MATCH(Calendar!$A6,DB!1:1,0)+2),FALSE),"")</f>
        <v/>
      </c>
      <c r="RJJ6" s="27" t="str">
        <f>IFERROR(VLOOKUP(DATE($K$1,$K$2,RJJ$4),Table1[],(MATCH(Calendar!$A6,DB!1:1,0)+2),FALSE),"")</f>
        <v/>
      </c>
      <c r="RJK6" s="27" t="str">
        <f>IFERROR(VLOOKUP(DATE($K$1,$K$2,RJK$4),Table1[],(MATCH(Calendar!$A6,DB!1:1,0)+2),FALSE),"")</f>
        <v/>
      </c>
      <c r="RJL6" s="27" t="str">
        <f>IFERROR(VLOOKUP(DATE($K$1,$K$2,RJL$4),Table1[],(MATCH(Calendar!$A6,DB!1:1,0)+2),FALSE),"")</f>
        <v/>
      </c>
      <c r="RJM6" s="27" t="str">
        <f>IFERROR(VLOOKUP(DATE($K$1,$K$2,RJM$4),Table1[],(MATCH(Calendar!$A6,DB!1:1,0)+2),FALSE),"")</f>
        <v/>
      </c>
      <c r="RJN6" s="27" t="str">
        <f>IFERROR(VLOOKUP(DATE($K$1,$K$2,RJN$4),Table1[],(MATCH(Calendar!$A6,DB!1:1,0)+2),FALSE),"")</f>
        <v/>
      </c>
      <c r="RJO6" s="27" t="str">
        <f>IFERROR(VLOOKUP(DATE($K$1,$K$2,RJO$4),Table1[],(MATCH(Calendar!$A6,DB!1:1,0)+2),FALSE),"")</f>
        <v/>
      </c>
      <c r="RJP6" s="27" t="str">
        <f>IFERROR(VLOOKUP(DATE($K$1,$K$2,RJP$4),Table1[],(MATCH(Calendar!$A6,DB!1:1,0)+2),FALSE),"")</f>
        <v/>
      </c>
      <c r="RJQ6" s="27" t="str">
        <f>IFERROR(VLOOKUP(DATE($K$1,$K$2,RJQ$4),Table1[],(MATCH(Calendar!$A6,DB!1:1,0)+2),FALSE),"")</f>
        <v/>
      </c>
      <c r="RJR6" s="27" t="str">
        <f>IFERROR(VLOOKUP(DATE($K$1,$K$2,RJR$4),Table1[],(MATCH(Calendar!$A6,DB!1:1,0)+2),FALSE),"")</f>
        <v/>
      </c>
      <c r="RJS6" s="27" t="str">
        <f>IFERROR(VLOOKUP(DATE($K$1,$K$2,RJS$4),Table1[],(MATCH(Calendar!$A6,DB!1:1,0)+2),FALSE),"")</f>
        <v/>
      </c>
      <c r="RJT6" s="27" t="str">
        <f>IFERROR(VLOOKUP(DATE($K$1,$K$2,RJT$4),Table1[],(MATCH(Calendar!$A6,DB!1:1,0)+2),FALSE),"")</f>
        <v/>
      </c>
      <c r="RJU6" s="27" t="str">
        <f>IFERROR(VLOOKUP(DATE($K$1,$K$2,RJU$4),Table1[],(MATCH(Calendar!$A6,DB!1:1,0)+2),FALSE),"")</f>
        <v/>
      </c>
      <c r="RJV6" s="27" t="str">
        <f>IFERROR(VLOOKUP(DATE($K$1,$K$2,RJV$4),Table1[],(MATCH(Calendar!$A6,DB!1:1,0)+2),FALSE),"")</f>
        <v/>
      </c>
      <c r="RJW6" s="27" t="str">
        <f>IFERROR(VLOOKUP(DATE($K$1,$K$2,RJW$4),Table1[],(MATCH(Calendar!$A6,DB!1:1,0)+2),FALSE),"")</f>
        <v/>
      </c>
      <c r="RJX6" s="27" t="str">
        <f>IFERROR(VLOOKUP(DATE($K$1,$K$2,RJX$4),Table1[],(MATCH(Calendar!$A6,DB!1:1,0)+2),FALSE),"")</f>
        <v/>
      </c>
      <c r="RJY6" s="27" t="str">
        <f>IFERROR(VLOOKUP(DATE($K$1,$K$2,RJY$4),Table1[],(MATCH(Calendar!$A6,DB!1:1,0)+2),FALSE),"")</f>
        <v/>
      </c>
      <c r="RJZ6" s="27" t="str">
        <f>IFERROR(VLOOKUP(DATE($K$1,$K$2,RJZ$4),Table1[],(MATCH(Calendar!$A6,DB!1:1,0)+2),FALSE),"")</f>
        <v/>
      </c>
      <c r="RKA6" s="27" t="str">
        <f>IFERROR(VLOOKUP(DATE($K$1,$K$2,RKA$4),Table1[],(MATCH(Calendar!$A6,DB!1:1,0)+2),FALSE),"")</f>
        <v/>
      </c>
      <c r="RKB6" s="27" t="str">
        <f>IFERROR(VLOOKUP(DATE($K$1,$K$2,RKB$4),Table1[],(MATCH(Calendar!$A6,DB!1:1,0)+2),FALSE),"")</f>
        <v/>
      </c>
      <c r="RKC6" s="27" t="str">
        <f>IFERROR(VLOOKUP(DATE($K$1,$K$2,RKC$4),Table1[],(MATCH(Calendar!$A6,DB!1:1,0)+2),FALSE),"")</f>
        <v/>
      </c>
      <c r="RKD6" s="27" t="str">
        <f>IFERROR(VLOOKUP(DATE($K$1,$K$2,RKD$4),Table1[],(MATCH(Calendar!$A6,DB!1:1,0)+2),FALSE),"")</f>
        <v/>
      </c>
      <c r="RKE6" s="27" t="str">
        <f>IFERROR(VLOOKUP(DATE($K$1,$K$2,RKE$4),Table1[],(MATCH(Calendar!$A6,DB!1:1,0)+2),FALSE),"")</f>
        <v/>
      </c>
      <c r="RKF6" s="27" t="str">
        <f>IFERROR(VLOOKUP(DATE($K$1,$K$2,RKF$4),Table1[],(MATCH(Calendar!$A6,DB!1:1,0)+2),FALSE),"")</f>
        <v/>
      </c>
      <c r="RKG6" s="27" t="str">
        <f>IFERROR(VLOOKUP(DATE($K$1,$K$2,RKG$4),Table1[],(MATCH(Calendar!$A6,DB!1:1,0)+2),FALSE),"")</f>
        <v/>
      </c>
      <c r="RKH6" s="27" t="str">
        <f>IFERROR(VLOOKUP(DATE($K$1,$K$2,RKH$4),Table1[],(MATCH(Calendar!$A6,DB!1:1,0)+2),FALSE),"")</f>
        <v/>
      </c>
      <c r="RKI6" s="27" t="str">
        <f>IFERROR(VLOOKUP(DATE($K$1,$K$2,RKI$4),Table1[],(MATCH(Calendar!$A6,DB!1:1,0)+2),FALSE),"")</f>
        <v/>
      </c>
      <c r="RKJ6" s="27" t="str">
        <f>IFERROR(VLOOKUP(DATE($K$1,$K$2,RKJ$4),Table1[],(MATCH(Calendar!$A6,DB!1:1,0)+2),FALSE),"")</f>
        <v/>
      </c>
      <c r="RKK6" s="27" t="str">
        <f>IFERROR(VLOOKUP(DATE($K$1,$K$2,RKK$4),Table1[],(MATCH(Calendar!$A6,DB!1:1,0)+2),FALSE),"")</f>
        <v/>
      </c>
      <c r="RKL6" s="27" t="str">
        <f>IFERROR(VLOOKUP(DATE($K$1,$K$2,RKL$4),Table1[],(MATCH(Calendar!$A6,DB!1:1,0)+2),FALSE),"")</f>
        <v/>
      </c>
      <c r="RKM6" s="27" t="str">
        <f>IFERROR(VLOOKUP(DATE($K$1,$K$2,RKM$4),Table1[],(MATCH(Calendar!$A6,DB!1:1,0)+2),FALSE),"")</f>
        <v/>
      </c>
      <c r="RKN6" s="27" t="str">
        <f>IFERROR(VLOOKUP(DATE($K$1,$K$2,RKN$4),Table1[],(MATCH(Calendar!$A6,DB!1:1,0)+2),FALSE),"")</f>
        <v/>
      </c>
      <c r="RKO6" s="27" t="str">
        <f>IFERROR(VLOOKUP(DATE($K$1,$K$2,RKO$4),Table1[],(MATCH(Calendar!$A6,DB!1:1,0)+2),FALSE),"")</f>
        <v/>
      </c>
      <c r="RKP6" s="27" t="str">
        <f>IFERROR(VLOOKUP(DATE($K$1,$K$2,RKP$4),Table1[],(MATCH(Calendar!$A6,DB!1:1,0)+2),FALSE),"")</f>
        <v/>
      </c>
      <c r="RKQ6" s="27" t="str">
        <f>IFERROR(VLOOKUP(DATE($K$1,$K$2,RKQ$4),Table1[],(MATCH(Calendar!$A6,DB!1:1,0)+2),FALSE),"")</f>
        <v/>
      </c>
      <c r="RKR6" s="27" t="str">
        <f>IFERROR(VLOOKUP(DATE($K$1,$K$2,RKR$4),Table1[],(MATCH(Calendar!$A6,DB!1:1,0)+2),FALSE),"")</f>
        <v/>
      </c>
      <c r="RKS6" s="27" t="str">
        <f>IFERROR(VLOOKUP(DATE($K$1,$K$2,RKS$4),Table1[],(MATCH(Calendar!$A6,DB!1:1,0)+2),FALSE),"")</f>
        <v/>
      </c>
      <c r="RKT6" s="27" t="str">
        <f>IFERROR(VLOOKUP(DATE($K$1,$K$2,RKT$4),Table1[],(MATCH(Calendar!$A6,DB!1:1,0)+2),FALSE),"")</f>
        <v/>
      </c>
      <c r="RKU6" s="27" t="str">
        <f>IFERROR(VLOOKUP(DATE($K$1,$K$2,RKU$4),Table1[],(MATCH(Calendar!$A6,DB!1:1,0)+2),FALSE),"")</f>
        <v/>
      </c>
      <c r="RKV6" s="27" t="str">
        <f>IFERROR(VLOOKUP(DATE($K$1,$K$2,RKV$4),Table1[],(MATCH(Calendar!$A6,DB!1:1,0)+2),FALSE),"")</f>
        <v/>
      </c>
      <c r="RKW6" s="27" t="str">
        <f>IFERROR(VLOOKUP(DATE($K$1,$K$2,RKW$4),Table1[],(MATCH(Calendar!$A6,DB!1:1,0)+2),FALSE),"")</f>
        <v/>
      </c>
      <c r="RKX6" s="27" t="str">
        <f>IFERROR(VLOOKUP(DATE($K$1,$K$2,RKX$4),Table1[],(MATCH(Calendar!$A6,DB!1:1,0)+2),FALSE),"")</f>
        <v/>
      </c>
      <c r="RKY6" s="27" t="str">
        <f>IFERROR(VLOOKUP(DATE($K$1,$K$2,RKY$4),Table1[],(MATCH(Calendar!$A6,DB!1:1,0)+2),FALSE),"")</f>
        <v/>
      </c>
      <c r="RKZ6" s="27" t="str">
        <f>IFERROR(VLOOKUP(DATE($K$1,$K$2,RKZ$4),Table1[],(MATCH(Calendar!$A6,DB!1:1,0)+2),FALSE),"")</f>
        <v/>
      </c>
      <c r="RLA6" s="27" t="str">
        <f>IFERROR(VLOOKUP(DATE($K$1,$K$2,RLA$4),Table1[],(MATCH(Calendar!$A6,DB!1:1,0)+2),FALSE),"")</f>
        <v/>
      </c>
      <c r="RLB6" s="27" t="str">
        <f>IFERROR(VLOOKUP(DATE($K$1,$K$2,RLB$4),Table1[],(MATCH(Calendar!$A6,DB!1:1,0)+2),FALSE),"")</f>
        <v/>
      </c>
      <c r="RLC6" s="27" t="str">
        <f>IFERROR(VLOOKUP(DATE($K$1,$K$2,RLC$4),Table1[],(MATCH(Calendar!$A6,DB!1:1,0)+2),FALSE),"")</f>
        <v/>
      </c>
      <c r="RLD6" s="27" t="str">
        <f>IFERROR(VLOOKUP(DATE($K$1,$K$2,RLD$4),Table1[],(MATCH(Calendar!$A6,DB!1:1,0)+2),FALSE),"")</f>
        <v/>
      </c>
      <c r="RLE6" s="27" t="str">
        <f>IFERROR(VLOOKUP(DATE($K$1,$K$2,RLE$4),Table1[],(MATCH(Calendar!$A6,DB!1:1,0)+2),FALSE),"")</f>
        <v/>
      </c>
      <c r="RLF6" s="27" t="str">
        <f>IFERROR(VLOOKUP(DATE($K$1,$K$2,RLF$4),Table1[],(MATCH(Calendar!$A6,DB!1:1,0)+2),FALSE),"")</f>
        <v/>
      </c>
      <c r="RLG6" s="27" t="str">
        <f>IFERROR(VLOOKUP(DATE($K$1,$K$2,RLG$4),Table1[],(MATCH(Calendar!$A6,DB!1:1,0)+2),FALSE),"")</f>
        <v/>
      </c>
      <c r="RLH6" s="27" t="str">
        <f>IFERROR(VLOOKUP(DATE($K$1,$K$2,RLH$4),Table1[],(MATCH(Calendar!$A6,DB!1:1,0)+2),FALSE),"")</f>
        <v/>
      </c>
      <c r="RLI6" s="27" t="str">
        <f>IFERROR(VLOOKUP(DATE($K$1,$K$2,RLI$4),Table1[],(MATCH(Calendar!$A6,DB!1:1,0)+2),FALSE),"")</f>
        <v/>
      </c>
      <c r="RLJ6" s="27" t="str">
        <f>IFERROR(VLOOKUP(DATE($K$1,$K$2,RLJ$4),Table1[],(MATCH(Calendar!$A6,DB!1:1,0)+2),FALSE),"")</f>
        <v/>
      </c>
      <c r="RLK6" s="27" t="str">
        <f>IFERROR(VLOOKUP(DATE($K$1,$K$2,RLK$4),Table1[],(MATCH(Calendar!$A6,DB!1:1,0)+2),FALSE),"")</f>
        <v/>
      </c>
      <c r="RLL6" s="27" t="str">
        <f>IFERROR(VLOOKUP(DATE($K$1,$K$2,RLL$4),Table1[],(MATCH(Calendar!$A6,DB!1:1,0)+2),FALSE),"")</f>
        <v/>
      </c>
      <c r="RLM6" s="27" t="str">
        <f>IFERROR(VLOOKUP(DATE($K$1,$K$2,RLM$4),Table1[],(MATCH(Calendar!$A6,DB!1:1,0)+2),FALSE),"")</f>
        <v/>
      </c>
      <c r="RLN6" s="27" t="str">
        <f>IFERROR(VLOOKUP(DATE($K$1,$K$2,RLN$4),Table1[],(MATCH(Calendar!$A6,DB!1:1,0)+2),FALSE),"")</f>
        <v/>
      </c>
      <c r="RLO6" s="27" t="str">
        <f>IFERROR(VLOOKUP(DATE($K$1,$K$2,RLO$4),Table1[],(MATCH(Calendar!$A6,DB!1:1,0)+2),FALSE),"")</f>
        <v/>
      </c>
      <c r="RLP6" s="27" t="str">
        <f>IFERROR(VLOOKUP(DATE($K$1,$K$2,RLP$4),Table1[],(MATCH(Calendar!$A6,DB!1:1,0)+2),FALSE),"")</f>
        <v/>
      </c>
      <c r="RLQ6" s="27" t="str">
        <f>IFERROR(VLOOKUP(DATE($K$1,$K$2,RLQ$4),Table1[],(MATCH(Calendar!$A6,DB!1:1,0)+2),FALSE),"")</f>
        <v/>
      </c>
      <c r="RLR6" s="27" t="str">
        <f>IFERROR(VLOOKUP(DATE($K$1,$K$2,RLR$4),Table1[],(MATCH(Calendar!$A6,DB!1:1,0)+2),FALSE),"")</f>
        <v/>
      </c>
      <c r="RLS6" s="27" t="str">
        <f>IFERROR(VLOOKUP(DATE($K$1,$K$2,RLS$4),Table1[],(MATCH(Calendar!$A6,DB!1:1,0)+2),FALSE),"")</f>
        <v/>
      </c>
      <c r="RLT6" s="27" t="str">
        <f>IFERROR(VLOOKUP(DATE($K$1,$K$2,RLT$4),Table1[],(MATCH(Calendar!$A6,DB!1:1,0)+2),FALSE),"")</f>
        <v/>
      </c>
      <c r="RLU6" s="27" t="str">
        <f>IFERROR(VLOOKUP(DATE($K$1,$K$2,RLU$4),Table1[],(MATCH(Calendar!$A6,DB!1:1,0)+2),FALSE),"")</f>
        <v/>
      </c>
      <c r="RLV6" s="27" t="str">
        <f>IFERROR(VLOOKUP(DATE($K$1,$K$2,RLV$4),Table1[],(MATCH(Calendar!$A6,DB!1:1,0)+2),FALSE),"")</f>
        <v/>
      </c>
      <c r="RLW6" s="27" t="str">
        <f>IFERROR(VLOOKUP(DATE($K$1,$K$2,RLW$4),Table1[],(MATCH(Calendar!$A6,DB!1:1,0)+2),FALSE),"")</f>
        <v/>
      </c>
      <c r="RLX6" s="27" t="str">
        <f>IFERROR(VLOOKUP(DATE($K$1,$K$2,RLX$4),Table1[],(MATCH(Calendar!$A6,DB!1:1,0)+2),FALSE),"")</f>
        <v/>
      </c>
      <c r="RLY6" s="27" t="str">
        <f>IFERROR(VLOOKUP(DATE($K$1,$K$2,RLY$4),Table1[],(MATCH(Calendar!$A6,DB!1:1,0)+2),FALSE),"")</f>
        <v/>
      </c>
      <c r="RLZ6" s="27" t="str">
        <f>IFERROR(VLOOKUP(DATE($K$1,$K$2,RLZ$4),Table1[],(MATCH(Calendar!$A6,DB!1:1,0)+2),FALSE),"")</f>
        <v/>
      </c>
      <c r="RMA6" s="27" t="str">
        <f>IFERROR(VLOOKUP(DATE($K$1,$K$2,RMA$4),Table1[],(MATCH(Calendar!$A6,DB!1:1,0)+2),FALSE),"")</f>
        <v/>
      </c>
      <c r="RMB6" s="27" t="str">
        <f>IFERROR(VLOOKUP(DATE($K$1,$K$2,RMB$4),Table1[],(MATCH(Calendar!$A6,DB!1:1,0)+2),FALSE),"")</f>
        <v/>
      </c>
      <c r="RMC6" s="27" t="str">
        <f>IFERROR(VLOOKUP(DATE($K$1,$K$2,RMC$4),Table1[],(MATCH(Calendar!$A6,DB!1:1,0)+2),FALSE),"")</f>
        <v/>
      </c>
      <c r="RMD6" s="27" t="str">
        <f>IFERROR(VLOOKUP(DATE($K$1,$K$2,RMD$4),Table1[],(MATCH(Calendar!$A6,DB!1:1,0)+2),FALSE),"")</f>
        <v/>
      </c>
      <c r="RME6" s="27" t="str">
        <f>IFERROR(VLOOKUP(DATE($K$1,$K$2,RME$4),Table1[],(MATCH(Calendar!$A6,DB!1:1,0)+2),FALSE),"")</f>
        <v/>
      </c>
      <c r="RMF6" s="27" t="str">
        <f>IFERROR(VLOOKUP(DATE($K$1,$K$2,RMF$4),Table1[],(MATCH(Calendar!$A6,DB!1:1,0)+2),FALSE),"")</f>
        <v/>
      </c>
      <c r="RMG6" s="27" t="str">
        <f>IFERROR(VLOOKUP(DATE($K$1,$K$2,RMG$4),Table1[],(MATCH(Calendar!$A6,DB!1:1,0)+2),FALSE),"")</f>
        <v/>
      </c>
      <c r="RMH6" s="27" t="str">
        <f>IFERROR(VLOOKUP(DATE($K$1,$K$2,RMH$4),Table1[],(MATCH(Calendar!$A6,DB!1:1,0)+2),FALSE),"")</f>
        <v/>
      </c>
      <c r="RMI6" s="27" t="str">
        <f>IFERROR(VLOOKUP(DATE($K$1,$K$2,RMI$4),Table1[],(MATCH(Calendar!$A6,DB!1:1,0)+2),FALSE),"")</f>
        <v/>
      </c>
      <c r="RMJ6" s="27" t="str">
        <f>IFERROR(VLOOKUP(DATE($K$1,$K$2,RMJ$4),Table1[],(MATCH(Calendar!$A6,DB!1:1,0)+2),FALSE),"")</f>
        <v/>
      </c>
      <c r="RMK6" s="27" t="str">
        <f>IFERROR(VLOOKUP(DATE($K$1,$K$2,RMK$4),Table1[],(MATCH(Calendar!$A6,DB!1:1,0)+2),FALSE),"")</f>
        <v/>
      </c>
      <c r="RML6" s="27" t="str">
        <f>IFERROR(VLOOKUP(DATE($K$1,$K$2,RML$4),Table1[],(MATCH(Calendar!$A6,DB!1:1,0)+2),FALSE),"")</f>
        <v/>
      </c>
      <c r="RMM6" s="27" t="str">
        <f>IFERROR(VLOOKUP(DATE($K$1,$K$2,RMM$4),Table1[],(MATCH(Calendar!$A6,DB!1:1,0)+2),FALSE),"")</f>
        <v/>
      </c>
      <c r="RMN6" s="27" t="str">
        <f>IFERROR(VLOOKUP(DATE($K$1,$K$2,RMN$4),Table1[],(MATCH(Calendar!$A6,DB!1:1,0)+2),FALSE),"")</f>
        <v/>
      </c>
      <c r="RMO6" s="27" t="str">
        <f>IFERROR(VLOOKUP(DATE($K$1,$K$2,RMO$4),Table1[],(MATCH(Calendar!$A6,DB!1:1,0)+2),FALSE),"")</f>
        <v/>
      </c>
      <c r="RMP6" s="27" t="str">
        <f>IFERROR(VLOOKUP(DATE($K$1,$K$2,RMP$4),Table1[],(MATCH(Calendar!$A6,DB!1:1,0)+2),FALSE),"")</f>
        <v/>
      </c>
      <c r="RMQ6" s="27" t="str">
        <f>IFERROR(VLOOKUP(DATE($K$1,$K$2,RMQ$4),Table1[],(MATCH(Calendar!$A6,DB!1:1,0)+2),FALSE),"")</f>
        <v/>
      </c>
      <c r="RMR6" s="27" t="str">
        <f>IFERROR(VLOOKUP(DATE($K$1,$K$2,RMR$4),Table1[],(MATCH(Calendar!$A6,DB!1:1,0)+2),FALSE),"")</f>
        <v/>
      </c>
      <c r="RMS6" s="27" t="str">
        <f>IFERROR(VLOOKUP(DATE($K$1,$K$2,RMS$4),Table1[],(MATCH(Calendar!$A6,DB!1:1,0)+2),FALSE),"")</f>
        <v/>
      </c>
      <c r="RMT6" s="27" t="str">
        <f>IFERROR(VLOOKUP(DATE($K$1,$K$2,RMT$4),Table1[],(MATCH(Calendar!$A6,DB!1:1,0)+2),FALSE),"")</f>
        <v/>
      </c>
      <c r="RMU6" s="27" t="str">
        <f>IFERROR(VLOOKUP(DATE($K$1,$K$2,RMU$4),Table1[],(MATCH(Calendar!$A6,DB!1:1,0)+2),FALSE),"")</f>
        <v/>
      </c>
      <c r="RMV6" s="27" t="str">
        <f>IFERROR(VLOOKUP(DATE($K$1,$K$2,RMV$4),Table1[],(MATCH(Calendar!$A6,DB!1:1,0)+2),FALSE),"")</f>
        <v/>
      </c>
      <c r="RMW6" s="27" t="str">
        <f>IFERROR(VLOOKUP(DATE($K$1,$K$2,RMW$4),Table1[],(MATCH(Calendar!$A6,DB!1:1,0)+2),FALSE),"")</f>
        <v/>
      </c>
      <c r="RMX6" s="27" t="str">
        <f>IFERROR(VLOOKUP(DATE($K$1,$K$2,RMX$4),Table1[],(MATCH(Calendar!$A6,DB!1:1,0)+2),FALSE),"")</f>
        <v/>
      </c>
      <c r="RMY6" s="27" t="str">
        <f>IFERROR(VLOOKUP(DATE($K$1,$K$2,RMY$4),Table1[],(MATCH(Calendar!$A6,DB!1:1,0)+2),FALSE),"")</f>
        <v/>
      </c>
      <c r="RMZ6" s="27" t="str">
        <f>IFERROR(VLOOKUP(DATE($K$1,$K$2,RMZ$4),Table1[],(MATCH(Calendar!$A6,DB!1:1,0)+2),FALSE),"")</f>
        <v/>
      </c>
      <c r="RNA6" s="27" t="str">
        <f>IFERROR(VLOOKUP(DATE($K$1,$K$2,RNA$4),Table1[],(MATCH(Calendar!$A6,DB!1:1,0)+2),FALSE),"")</f>
        <v/>
      </c>
      <c r="RNB6" s="27" t="str">
        <f>IFERROR(VLOOKUP(DATE($K$1,$K$2,RNB$4),Table1[],(MATCH(Calendar!$A6,DB!1:1,0)+2),FALSE),"")</f>
        <v/>
      </c>
      <c r="RNC6" s="27" t="str">
        <f>IFERROR(VLOOKUP(DATE($K$1,$K$2,RNC$4),Table1[],(MATCH(Calendar!$A6,DB!1:1,0)+2),FALSE),"")</f>
        <v/>
      </c>
      <c r="RND6" s="27" t="str">
        <f>IFERROR(VLOOKUP(DATE($K$1,$K$2,RND$4),Table1[],(MATCH(Calendar!$A6,DB!1:1,0)+2),FALSE),"")</f>
        <v/>
      </c>
      <c r="RNE6" s="27" t="str">
        <f>IFERROR(VLOOKUP(DATE($K$1,$K$2,RNE$4),Table1[],(MATCH(Calendar!$A6,DB!1:1,0)+2),FALSE),"")</f>
        <v/>
      </c>
      <c r="RNF6" s="27" t="str">
        <f>IFERROR(VLOOKUP(DATE($K$1,$K$2,RNF$4),Table1[],(MATCH(Calendar!$A6,DB!1:1,0)+2),FALSE),"")</f>
        <v/>
      </c>
      <c r="RNG6" s="27" t="str">
        <f>IFERROR(VLOOKUP(DATE($K$1,$K$2,RNG$4),Table1[],(MATCH(Calendar!$A6,DB!1:1,0)+2),FALSE),"")</f>
        <v/>
      </c>
      <c r="RNH6" s="27" t="str">
        <f>IFERROR(VLOOKUP(DATE($K$1,$K$2,RNH$4),Table1[],(MATCH(Calendar!$A6,DB!1:1,0)+2),FALSE),"")</f>
        <v/>
      </c>
      <c r="RNI6" s="27" t="str">
        <f>IFERROR(VLOOKUP(DATE($K$1,$K$2,RNI$4),Table1[],(MATCH(Calendar!$A6,DB!1:1,0)+2),FALSE),"")</f>
        <v/>
      </c>
      <c r="RNJ6" s="27" t="str">
        <f>IFERROR(VLOOKUP(DATE($K$1,$K$2,RNJ$4),Table1[],(MATCH(Calendar!$A6,DB!1:1,0)+2),FALSE),"")</f>
        <v/>
      </c>
      <c r="RNK6" s="27" t="str">
        <f>IFERROR(VLOOKUP(DATE($K$1,$K$2,RNK$4),Table1[],(MATCH(Calendar!$A6,DB!1:1,0)+2),FALSE),"")</f>
        <v/>
      </c>
      <c r="RNL6" s="27" t="str">
        <f>IFERROR(VLOOKUP(DATE($K$1,$K$2,RNL$4),Table1[],(MATCH(Calendar!$A6,DB!1:1,0)+2),FALSE),"")</f>
        <v/>
      </c>
      <c r="RNM6" s="27" t="str">
        <f>IFERROR(VLOOKUP(DATE($K$1,$K$2,RNM$4),Table1[],(MATCH(Calendar!$A6,DB!1:1,0)+2),FALSE),"")</f>
        <v/>
      </c>
      <c r="RNN6" s="27" t="str">
        <f>IFERROR(VLOOKUP(DATE($K$1,$K$2,RNN$4),Table1[],(MATCH(Calendar!$A6,DB!1:1,0)+2),FALSE),"")</f>
        <v/>
      </c>
      <c r="RNO6" s="27" t="str">
        <f>IFERROR(VLOOKUP(DATE($K$1,$K$2,RNO$4),Table1[],(MATCH(Calendar!$A6,DB!1:1,0)+2),FALSE),"")</f>
        <v/>
      </c>
      <c r="RNP6" s="27" t="str">
        <f>IFERROR(VLOOKUP(DATE($K$1,$K$2,RNP$4),Table1[],(MATCH(Calendar!$A6,DB!1:1,0)+2),FALSE),"")</f>
        <v/>
      </c>
      <c r="RNQ6" s="27" t="str">
        <f>IFERROR(VLOOKUP(DATE($K$1,$K$2,RNQ$4),Table1[],(MATCH(Calendar!$A6,DB!1:1,0)+2),FALSE),"")</f>
        <v/>
      </c>
      <c r="RNR6" s="27" t="str">
        <f>IFERROR(VLOOKUP(DATE($K$1,$K$2,RNR$4),Table1[],(MATCH(Calendar!$A6,DB!1:1,0)+2),FALSE),"")</f>
        <v/>
      </c>
      <c r="RNS6" s="27" t="str">
        <f>IFERROR(VLOOKUP(DATE($K$1,$K$2,RNS$4),Table1[],(MATCH(Calendar!$A6,DB!1:1,0)+2),FALSE),"")</f>
        <v/>
      </c>
      <c r="RNT6" s="27" t="str">
        <f>IFERROR(VLOOKUP(DATE($K$1,$K$2,RNT$4),Table1[],(MATCH(Calendar!$A6,DB!1:1,0)+2),FALSE),"")</f>
        <v/>
      </c>
      <c r="RNU6" s="27" t="str">
        <f>IFERROR(VLOOKUP(DATE($K$1,$K$2,RNU$4),Table1[],(MATCH(Calendar!$A6,DB!1:1,0)+2),FALSE),"")</f>
        <v/>
      </c>
      <c r="RNV6" s="27" t="str">
        <f>IFERROR(VLOOKUP(DATE($K$1,$K$2,RNV$4),Table1[],(MATCH(Calendar!$A6,DB!1:1,0)+2),FALSE),"")</f>
        <v/>
      </c>
      <c r="RNW6" s="27" t="str">
        <f>IFERROR(VLOOKUP(DATE($K$1,$K$2,RNW$4),Table1[],(MATCH(Calendar!$A6,DB!1:1,0)+2),FALSE),"")</f>
        <v/>
      </c>
      <c r="RNX6" s="27" t="str">
        <f>IFERROR(VLOOKUP(DATE($K$1,$K$2,RNX$4),Table1[],(MATCH(Calendar!$A6,DB!1:1,0)+2),FALSE),"")</f>
        <v/>
      </c>
      <c r="RNY6" s="27" t="str">
        <f>IFERROR(VLOOKUP(DATE($K$1,$K$2,RNY$4),Table1[],(MATCH(Calendar!$A6,DB!1:1,0)+2),FALSE),"")</f>
        <v/>
      </c>
      <c r="RNZ6" s="27" t="str">
        <f>IFERROR(VLOOKUP(DATE($K$1,$K$2,RNZ$4),Table1[],(MATCH(Calendar!$A6,DB!1:1,0)+2),FALSE),"")</f>
        <v/>
      </c>
      <c r="ROA6" s="27" t="str">
        <f>IFERROR(VLOOKUP(DATE($K$1,$K$2,ROA$4),Table1[],(MATCH(Calendar!$A6,DB!1:1,0)+2),FALSE),"")</f>
        <v/>
      </c>
      <c r="ROB6" s="27" t="str">
        <f>IFERROR(VLOOKUP(DATE($K$1,$K$2,ROB$4),Table1[],(MATCH(Calendar!$A6,DB!1:1,0)+2),FALSE),"")</f>
        <v/>
      </c>
      <c r="ROC6" s="27" t="str">
        <f>IFERROR(VLOOKUP(DATE($K$1,$K$2,ROC$4),Table1[],(MATCH(Calendar!$A6,DB!1:1,0)+2),FALSE),"")</f>
        <v/>
      </c>
      <c r="ROD6" s="27" t="str">
        <f>IFERROR(VLOOKUP(DATE($K$1,$K$2,ROD$4),Table1[],(MATCH(Calendar!$A6,DB!1:1,0)+2),FALSE),"")</f>
        <v/>
      </c>
      <c r="ROE6" s="27" t="str">
        <f>IFERROR(VLOOKUP(DATE($K$1,$K$2,ROE$4),Table1[],(MATCH(Calendar!$A6,DB!1:1,0)+2),FALSE),"")</f>
        <v/>
      </c>
      <c r="ROF6" s="27" t="str">
        <f>IFERROR(VLOOKUP(DATE($K$1,$K$2,ROF$4),Table1[],(MATCH(Calendar!$A6,DB!1:1,0)+2),FALSE),"")</f>
        <v/>
      </c>
      <c r="ROG6" s="27" t="str">
        <f>IFERROR(VLOOKUP(DATE($K$1,$K$2,ROG$4),Table1[],(MATCH(Calendar!$A6,DB!1:1,0)+2),FALSE),"")</f>
        <v/>
      </c>
      <c r="ROH6" s="27" t="str">
        <f>IFERROR(VLOOKUP(DATE($K$1,$K$2,ROH$4),Table1[],(MATCH(Calendar!$A6,DB!1:1,0)+2),FALSE),"")</f>
        <v/>
      </c>
      <c r="ROI6" s="27" t="str">
        <f>IFERROR(VLOOKUP(DATE($K$1,$K$2,ROI$4),Table1[],(MATCH(Calendar!$A6,DB!1:1,0)+2),FALSE),"")</f>
        <v/>
      </c>
      <c r="ROJ6" s="27" t="str">
        <f>IFERROR(VLOOKUP(DATE($K$1,$K$2,ROJ$4),Table1[],(MATCH(Calendar!$A6,DB!1:1,0)+2),FALSE),"")</f>
        <v/>
      </c>
      <c r="ROK6" s="27" t="str">
        <f>IFERROR(VLOOKUP(DATE($K$1,$K$2,ROK$4),Table1[],(MATCH(Calendar!$A6,DB!1:1,0)+2),FALSE),"")</f>
        <v/>
      </c>
      <c r="ROL6" s="27" t="str">
        <f>IFERROR(VLOOKUP(DATE($K$1,$K$2,ROL$4),Table1[],(MATCH(Calendar!$A6,DB!1:1,0)+2),FALSE),"")</f>
        <v/>
      </c>
      <c r="ROM6" s="27" t="str">
        <f>IFERROR(VLOOKUP(DATE($K$1,$K$2,ROM$4),Table1[],(MATCH(Calendar!$A6,DB!1:1,0)+2),FALSE),"")</f>
        <v/>
      </c>
      <c r="RON6" s="27" t="str">
        <f>IFERROR(VLOOKUP(DATE($K$1,$K$2,RON$4),Table1[],(MATCH(Calendar!$A6,DB!1:1,0)+2),FALSE),"")</f>
        <v/>
      </c>
      <c r="ROO6" s="27" t="str">
        <f>IFERROR(VLOOKUP(DATE($K$1,$K$2,ROO$4),Table1[],(MATCH(Calendar!$A6,DB!1:1,0)+2),FALSE),"")</f>
        <v/>
      </c>
      <c r="ROP6" s="27" t="str">
        <f>IFERROR(VLOOKUP(DATE($K$1,$K$2,ROP$4),Table1[],(MATCH(Calendar!$A6,DB!1:1,0)+2),FALSE),"")</f>
        <v/>
      </c>
      <c r="ROQ6" s="27" t="str">
        <f>IFERROR(VLOOKUP(DATE($K$1,$K$2,ROQ$4),Table1[],(MATCH(Calendar!$A6,DB!1:1,0)+2),FALSE),"")</f>
        <v/>
      </c>
      <c r="ROR6" s="27" t="str">
        <f>IFERROR(VLOOKUP(DATE($K$1,$K$2,ROR$4),Table1[],(MATCH(Calendar!$A6,DB!1:1,0)+2),FALSE),"")</f>
        <v/>
      </c>
      <c r="ROS6" s="27" t="str">
        <f>IFERROR(VLOOKUP(DATE($K$1,$K$2,ROS$4),Table1[],(MATCH(Calendar!$A6,DB!1:1,0)+2),FALSE),"")</f>
        <v/>
      </c>
      <c r="ROT6" s="27" t="str">
        <f>IFERROR(VLOOKUP(DATE($K$1,$K$2,ROT$4),Table1[],(MATCH(Calendar!$A6,DB!1:1,0)+2),FALSE),"")</f>
        <v/>
      </c>
      <c r="ROU6" s="27" t="str">
        <f>IFERROR(VLOOKUP(DATE($K$1,$K$2,ROU$4),Table1[],(MATCH(Calendar!$A6,DB!1:1,0)+2),FALSE),"")</f>
        <v/>
      </c>
      <c r="ROV6" s="27" t="str">
        <f>IFERROR(VLOOKUP(DATE($K$1,$K$2,ROV$4),Table1[],(MATCH(Calendar!$A6,DB!1:1,0)+2),FALSE),"")</f>
        <v/>
      </c>
      <c r="ROW6" s="27" t="str">
        <f>IFERROR(VLOOKUP(DATE($K$1,$K$2,ROW$4),Table1[],(MATCH(Calendar!$A6,DB!1:1,0)+2),FALSE),"")</f>
        <v/>
      </c>
      <c r="ROX6" s="27" t="str">
        <f>IFERROR(VLOOKUP(DATE($K$1,$K$2,ROX$4),Table1[],(MATCH(Calendar!$A6,DB!1:1,0)+2),FALSE),"")</f>
        <v/>
      </c>
      <c r="ROY6" s="27" t="str">
        <f>IFERROR(VLOOKUP(DATE($K$1,$K$2,ROY$4),Table1[],(MATCH(Calendar!$A6,DB!1:1,0)+2),FALSE),"")</f>
        <v/>
      </c>
      <c r="ROZ6" s="27" t="str">
        <f>IFERROR(VLOOKUP(DATE($K$1,$K$2,ROZ$4),Table1[],(MATCH(Calendar!$A6,DB!1:1,0)+2),FALSE),"")</f>
        <v/>
      </c>
      <c r="RPA6" s="27" t="str">
        <f>IFERROR(VLOOKUP(DATE($K$1,$K$2,RPA$4),Table1[],(MATCH(Calendar!$A6,DB!1:1,0)+2),FALSE),"")</f>
        <v/>
      </c>
      <c r="RPB6" s="27" t="str">
        <f>IFERROR(VLOOKUP(DATE($K$1,$K$2,RPB$4),Table1[],(MATCH(Calendar!$A6,DB!1:1,0)+2),FALSE),"")</f>
        <v/>
      </c>
      <c r="RPC6" s="27" t="str">
        <f>IFERROR(VLOOKUP(DATE($K$1,$K$2,RPC$4),Table1[],(MATCH(Calendar!$A6,DB!1:1,0)+2),FALSE),"")</f>
        <v/>
      </c>
      <c r="RPD6" s="27" t="str">
        <f>IFERROR(VLOOKUP(DATE($K$1,$K$2,RPD$4),Table1[],(MATCH(Calendar!$A6,DB!1:1,0)+2),FALSE),"")</f>
        <v/>
      </c>
      <c r="RPE6" s="27" t="str">
        <f>IFERROR(VLOOKUP(DATE($K$1,$K$2,RPE$4),Table1[],(MATCH(Calendar!$A6,DB!1:1,0)+2),FALSE),"")</f>
        <v/>
      </c>
      <c r="RPF6" s="27" t="str">
        <f>IFERROR(VLOOKUP(DATE($K$1,$K$2,RPF$4),Table1[],(MATCH(Calendar!$A6,DB!1:1,0)+2),FALSE),"")</f>
        <v/>
      </c>
      <c r="RPG6" s="27" t="str">
        <f>IFERROR(VLOOKUP(DATE($K$1,$K$2,RPG$4),Table1[],(MATCH(Calendar!$A6,DB!1:1,0)+2),FALSE),"")</f>
        <v/>
      </c>
      <c r="RPH6" s="27" t="str">
        <f>IFERROR(VLOOKUP(DATE($K$1,$K$2,RPH$4),Table1[],(MATCH(Calendar!$A6,DB!1:1,0)+2),FALSE),"")</f>
        <v/>
      </c>
      <c r="RPI6" s="27" t="str">
        <f>IFERROR(VLOOKUP(DATE($K$1,$K$2,RPI$4),Table1[],(MATCH(Calendar!$A6,DB!1:1,0)+2),FALSE),"")</f>
        <v/>
      </c>
      <c r="RPJ6" s="27" t="str">
        <f>IFERROR(VLOOKUP(DATE($K$1,$K$2,RPJ$4),Table1[],(MATCH(Calendar!$A6,DB!1:1,0)+2),FALSE),"")</f>
        <v/>
      </c>
      <c r="RPK6" s="27" t="str">
        <f>IFERROR(VLOOKUP(DATE($K$1,$K$2,RPK$4),Table1[],(MATCH(Calendar!$A6,DB!1:1,0)+2),FALSE),"")</f>
        <v/>
      </c>
      <c r="RPL6" s="27" t="str">
        <f>IFERROR(VLOOKUP(DATE($K$1,$K$2,RPL$4),Table1[],(MATCH(Calendar!$A6,DB!1:1,0)+2),FALSE),"")</f>
        <v/>
      </c>
      <c r="RPM6" s="27" t="str">
        <f>IFERROR(VLOOKUP(DATE($K$1,$K$2,RPM$4),Table1[],(MATCH(Calendar!$A6,DB!1:1,0)+2),FALSE),"")</f>
        <v/>
      </c>
      <c r="RPN6" s="27" t="str">
        <f>IFERROR(VLOOKUP(DATE($K$1,$K$2,RPN$4),Table1[],(MATCH(Calendar!$A6,DB!1:1,0)+2),FALSE),"")</f>
        <v/>
      </c>
      <c r="RPO6" s="27" t="str">
        <f>IFERROR(VLOOKUP(DATE($K$1,$K$2,RPO$4),Table1[],(MATCH(Calendar!$A6,DB!1:1,0)+2),FALSE),"")</f>
        <v/>
      </c>
      <c r="RPP6" s="27" t="str">
        <f>IFERROR(VLOOKUP(DATE($K$1,$K$2,RPP$4),Table1[],(MATCH(Calendar!$A6,DB!1:1,0)+2),FALSE),"")</f>
        <v/>
      </c>
      <c r="RPQ6" s="27" t="str">
        <f>IFERROR(VLOOKUP(DATE($K$1,$K$2,RPQ$4),Table1[],(MATCH(Calendar!$A6,DB!1:1,0)+2),FALSE),"")</f>
        <v/>
      </c>
      <c r="RPR6" s="27" t="str">
        <f>IFERROR(VLOOKUP(DATE($K$1,$K$2,RPR$4),Table1[],(MATCH(Calendar!$A6,DB!1:1,0)+2),FALSE),"")</f>
        <v/>
      </c>
      <c r="RPS6" s="27" t="str">
        <f>IFERROR(VLOOKUP(DATE($K$1,$K$2,RPS$4),Table1[],(MATCH(Calendar!$A6,DB!1:1,0)+2),FALSE),"")</f>
        <v/>
      </c>
      <c r="RPT6" s="27" t="str">
        <f>IFERROR(VLOOKUP(DATE($K$1,$K$2,RPT$4),Table1[],(MATCH(Calendar!$A6,DB!1:1,0)+2),FALSE),"")</f>
        <v/>
      </c>
      <c r="RPU6" s="27" t="str">
        <f>IFERROR(VLOOKUP(DATE($K$1,$K$2,RPU$4),Table1[],(MATCH(Calendar!$A6,DB!1:1,0)+2),FALSE),"")</f>
        <v/>
      </c>
      <c r="RPV6" s="27" t="str">
        <f>IFERROR(VLOOKUP(DATE($K$1,$K$2,RPV$4),Table1[],(MATCH(Calendar!$A6,DB!1:1,0)+2),FALSE),"")</f>
        <v/>
      </c>
      <c r="RPW6" s="27" t="str">
        <f>IFERROR(VLOOKUP(DATE($K$1,$K$2,RPW$4),Table1[],(MATCH(Calendar!$A6,DB!1:1,0)+2),FALSE),"")</f>
        <v/>
      </c>
      <c r="RPX6" s="27" t="str">
        <f>IFERROR(VLOOKUP(DATE($K$1,$K$2,RPX$4),Table1[],(MATCH(Calendar!$A6,DB!1:1,0)+2),FALSE),"")</f>
        <v/>
      </c>
      <c r="RPY6" s="27" t="str">
        <f>IFERROR(VLOOKUP(DATE($K$1,$K$2,RPY$4),Table1[],(MATCH(Calendar!$A6,DB!1:1,0)+2),FALSE),"")</f>
        <v/>
      </c>
      <c r="RPZ6" s="27" t="str">
        <f>IFERROR(VLOOKUP(DATE($K$1,$K$2,RPZ$4),Table1[],(MATCH(Calendar!$A6,DB!1:1,0)+2),FALSE),"")</f>
        <v/>
      </c>
      <c r="RQA6" s="27" t="str">
        <f>IFERROR(VLOOKUP(DATE($K$1,$K$2,RQA$4),Table1[],(MATCH(Calendar!$A6,DB!1:1,0)+2),FALSE),"")</f>
        <v/>
      </c>
      <c r="RQB6" s="27" t="str">
        <f>IFERROR(VLOOKUP(DATE($K$1,$K$2,RQB$4),Table1[],(MATCH(Calendar!$A6,DB!1:1,0)+2),FALSE),"")</f>
        <v/>
      </c>
      <c r="RQC6" s="27" t="str">
        <f>IFERROR(VLOOKUP(DATE($K$1,$K$2,RQC$4),Table1[],(MATCH(Calendar!$A6,DB!1:1,0)+2),FALSE),"")</f>
        <v/>
      </c>
      <c r="RQD6" s="27" t="str">
        <f>IFERROR(VLOOKUP(DATE($K$1,$K$2,RQD$4),Table1[],(MATCH(Calendar!$A6,DB!1:1,0)+2),FALSE),"")</f>
        <v/>
      </c>
      <c r="RQE6" s="27" t="str">
        <f>IFERROR(VLOOKUP(DATE($K$1,$K$2,RQE$4),Table1[],(MATCH(Calendar!$A6,DB!1:1,0)+2),FALSE),"")</f>
        <v/>
      </c>
      <c r="RQF6" s="27" t="str">
        <f>IFERROR(VLOOKUP(DATE($K$1,$K$2,RQF$4),Table1[],(MATCH(Calendar!$A6,DB!1:1,0)+2),FALSE),"")</f>
        <v/>
      </c>
      <c r="RQG6" s="27" t="str">
        <f>IFERROR(VLOOKUP(DATE($K$1,$K$2,RQG$4),Table1[],(MATCH(Calendar!$A6,DB!1:1,0)+2),FALSE),"")</f>
        <v/>
      </c>
      <c r="RQH6" s="27" t="str">
        <f>IFERROR(VLOOKUP(DATE($K$1,$K$2,RQH$4),Table1[],(MATCH(Calendar!$A6,DB!1:1,0)+2),FALSE),"")</f>
        <v/>
      </c>
      <c r="RQI6" s="27" t="str">
        <f>IFERROR(VLOOKUP(DATE($K$1,$K$2,RQI$4),Table1[],(MATCH(Calendar!$A6,DB!1:1,0)+2),FALSE),"")</f>
        <v/>
      </c>
      <c r="RQJ6" s="27" t="str">
        <f>IFERROR(VLOOKUP(DATE($K$1,$K$2,RQJ$4),Table1[],(MATCH(Calendar!$A6,DB!1:1,0)+2),FALSE),"")</f>
        <v/>
      </c>
      <c r="RQK6" s="27" t="str">
        <f>IFERROR(VLOOKUP(DATE($K$1,$K$2,RQK$4),Table1[],(MATCH(Calendar!$A6,DB!1:1,0)+2),FALSE),"")</f>
        <v/>
      </c>
      <c r="RQL6" s="27" t="str">
        <f>IFERROR(VLOOKUP(DATE($K$1,$K$2,RQL$4),Table1[],(MATCH(Calendar!$A6,DB!1:1,0)+2),FALSE),"")</f>
        <v/>
      </c>
      <c r="RQM6" s="27" t="str">
        <f>IFERROR(VLOOKUP(DATE($K$1,$K$2,RQM$4),Table1[],(MATCH(Calendar!$A6,DB!1:1,0)+2),FALSE),"")</f>
        <v/>
      </c>
      <c r="RQN6" s="27" t="str">
        <f>IFERROR(VLOOKUP(DATE($K$1,$K$2,RQN$4),Table1[],(MATCH(Calendar!$A6,DB!1:1,0)+2),FALSE),"")</f>
        <v/>
      </c>
      <c r="RQO6" s="27" t="str">
        <f>IFERROR(VLOOKUP(DATE($K$1,$K$2,RQO$4),Table1[],(MATCH(Calendar!$A6,DB!1:1,0)+2),FALSE),"")</f>
        <v/>
      </c>
      <c r="RQP6" s="27" t="str">
        <f>IFERROR(VLOOKUP(DATE($K$1,$K$2,RQP$4),Table1[],(MATCH(Calendar!$A6,DB!1:1,0)+2),FALSE),"")</f>
        <v/>
      </c>
      <c r="RQQ6" s="27" t="str">
        <f>IFERROR(VLOOKUP(DATE($K$1,$K$2,RQQ$4),Table1[],(MATCH(Calendar!$A6,DB!1:1,0)+2),FALSE),"")</f>
        <v/>
      </c>
      <c r="RQR6" s="27" t="str">
        <f>IFERROR(VLOOKUP(DATE($K$1,$K$2,RQR$4),Table1[],(MATCH(Calendar!$A6,DB!1:1,0)+2),FALSE),"")</f>
        <v/>
      </c>
      <c r="RQS6" s="27" t="str">
        <f>IFERROR(VLOOKUP(DATE($K$1,$K$2,RQS$4),Table1[],(MATCH(Calendar!$A6,DB!1:1,0)+2),FALSE),"")</f>
        <v/>
      </c>
      <c r="RQT6" s="27" t="str">
        <f>IFERROR(VLOOKUP(DATE($K$1,$K$2,RQT$4),Table1[],(MATCH(Calendar!$A6,DB!1:1,0)+2),FALSE),"")</f>
        <v/>
      </c>
      <c r="RQU6" s="27" t="str">
        <f>IFERROR(VLOOKUP(DATE($K$1,$K$2,RQU$4),Table1[],(MATCH(Calendar!$A6,DB!1:1,0)+2),FALSE),"")</f>
        <v/>
      </c>
      <c r="RQV6" s="27" t="str">
        <f>IFERROR(VLOOKUP(DATE($K$1,$K$2,RQV$4),Table1[],(MATCH(Calendar!$A6,DB!1:1,0)+2),FALSE),"")</f>
        <v/>
      </c>
      <c r="RQW6" s="27" t="str">
        <f>IFERROR(VLOOKUP(DATE($K$1,$K$2,RQW$4),Table1[],(MATCH(Calendar!$A6,DB!1:1,0)+2),FALSE),"")</f>
        <v/>
      </c>
      <c r="RQX6" s="27" t="str">
        <f>IFERROR(VLOOKUP(DATE($K$1,$K$2,RQX$4),Table1[],(MATCH(Calendar!$A6,DB!1:1,0)+2),FALSE),"")</f>
        <v/>
      </c>
      <c r="RQY6" s="27" t="str">
        <f>IFERROR(VLOOKUP(DATE($K$1,$K$2,RQY$4),Table1[],(MATCH(Calendar!$A6,DB!1:1,0)+2),FALSE),"")</f>
        <v/>
      </c>
      <c r="RQZ6" s="27" t="str">
        <f>IFERROR(VLOOKUP(DATE($K$1,$K$2,RQZ$4),Table1[],(MATCH(Calendar!$A6,DB!1:1,0)+2),FALSE),"")</f>
        <v/>
      </c>
      <c r="RRA6" s="27" t="str">
        <f>IFERROR(VLOOKUP(DATE($K$1,$K$2,RRA$4),Table1[],(MATCH(Calendar!$A6,DB!1:1,0)+2),FALSE),"")</f>
        <v/>
      </c>
      <c r="RRB6" s="27" t="str">
        <f>IFERROR(VLOOKUP(DATE($K$1,$K$2,RRB$4),Table1[],(MATCH(Calendar!$A6,DB!1:1,0)+2),FALSE),"")</f>
        <v/>
      </c>
      <c r="RRC6" s="27" t="str">
        <f>IFERROR(VLOOKUP(DATE($K$1,$K$2,RRC$4),Table1[],(MATCH(Calendar!$A6,DB!1:1,0)+2),FALSE),"")</f>
        <v/>
      </c>
      <c r="RRD6" s="27" t="str">
        <f>IFERROR(VLOOKUP(DATE($K$1,$K$2,RRD$4),Table1[],(MATCH(Calendar!$A6,DB!1:1,0)+2),FALSE),"")</f>
        <v/>
      </c>
      <c r="RRE6" s="27" t="str">
        <f>IFERROR(VLOOKUP(DATE($K$1,$K$2,RRE$4),Table1[],(MATCH(Calendar!$A6,DB!1:1,0)+2),FALSE),"")</f>
        <v/>
      </c>
      <c r="RRF6" s="27" t="str">
        <f>IFERROR(VLOOKUP(DATE($K$1,$K$2,RRF$4),Table1[],(MATCH(Calendar!$A6,DB!1:1,0)+2),FALSE),"")</f>
        <v/>
      </c>
      <c r="RRG6" s="27" t="str">
        <f>IFERROR(VLOOKUP(DATE($K$1,$K$2,RRG$4),Table1[],(MATCH(Calendar!$A6,DB!1:1,0)+2),FALSE),"")</f>
        <v/>
      </c>
      <c r="RRH6" s="27" t="str">
        <f>IFERROR(VLOOKUP(DATE($K$1,$K$2,RRH$4),Table1[],(MATCH(Calendar!$A6,DB!1:1,0)+2),FALSE),"")</f>
        <v/>
      </c>
      <c r="RRI6" s="27" t="str">
        <f>IFERROR(VLOOKUP(DATE($K$1,$K$2,RRI$4),Table1[],(MATCH(Calendar!$A6,DB!1:1,0)+2),FALSE),"")</f>
        <v/>
      </c>
      <c r="RRJ6" s="27" t="str">
        <f>IFERROR(VLOOKUP(DATE($K$1,$K$2,RRJ$4),Table1[],(MATCH(Calendar!$A6,DB!1:1,0)+2),FALSE),"")</f>
        <v/>
      </c>
      <c r="RRK6" s="27" t="str">
        <f>IFERROR(VLOOKUP(DATE($K$1,$K$2,RRK$4),Table1[],(MATCH(Calendar!$A6,DB!1:1,0)+2),FALSE),"")</f>
        <v/>
      </c>
      <c r="RRL6" s="27" t="str">
        <f>IFERROR(VLOOKUP(DATE($K$1,$K$2,RRL$4),Table1[],(MATCH(Calendar!$A6,DB!1:1,0)+2),FALSE),"")</f>
        <v/>
      </c>
      <c r="RRM6" s="27" t="str">
        <f>IFERROR(VLOOKUP(DATE($K$1,$K$2,RRM$4),Table1[],(MATCH(Calendar!$A6,DB!1:1,0)+2),FALSE),"")</f>
        <v/>
      </c>
      <c r="RRN6" s="27" t="str">
        <f>IFERROR(VLOOKUP(DATE($K$1,$K$2,RRN$4),Table1[],(MATCH(Calendar!$A6,DB!1:1,0)+2),FALSE),"")</f>
        <v/>
      </c>
      <c r="RRO6" s="27" t="str">
        <f>IFERROR(VLOOKUP(DATE($K$1,$K$2,RRO$4),Table1[],(MATCH(Calendar!$A6,DB!1:1,0)+2),FALSE),"")</f>
        <v/>
      </c>
      <c r="RRP6" s="27" t="str">
        <f>IFERROR(VLOOKUP(DATE($K$1,$K$2,RRP$4),Table1[],(MATCH(Calendar!$A6,DB!1:1,0)+2),FALSE),"")</f>
        <v/>
      </c>
      <c r="RRQ6" s="27" t="str">
        <f>IFERROR(VLOOKUP(DATE($K$1,$K$2,RRQ$4),Table1[],(MATCH(Calendar!$A6,DB!1:1,0)+2),FALSE),"")</f>
        <v/>
      </c>
      <c r="RRR6" s="27" t="str">
        <f>IFERROR(VLOOKUP(DATE($K$1,$K$2,RRR$4),Table1[],(MATCH(Calendar!$A6,DB!1:1,0)+2),FALSE),"")</f>
        <v/>
      </c>
      <c r="RRS6" s="27" t="str">
        <f>IFERROR(VLOOKUP(DATE($K$1,$K$2,RRS$4),Table1[],(MATCH(Calendar!$A6,DB!1:1,0)+2),FALSE),"")</f>
        <v/>
      </c>
      <c r="RRT6" s="27" t="str">
        <f>IFERROR(VLOOKUP(DATE($K$1,$K$2,RRT$4),Table1[],(MATCH(Calendar!$A6,DB!1:1,0)+2),FALSE),"")</f>
        <v/>
      </c>
      <c r="RRU6" s="27" t="str">
        <f>IFERROR(VLOOKUP(DATE($K$1,$K$2,RRU$4),Table1[],(MATCH(Calendar!$A6,DB!1:1,0)+2),FALSE),"")</f>
        <v/>
      </c>
      <c r="RRV6" s="27" t="str">
        <f>IFERROR(VLOOKUP(DATE($K$1,$K$2,RRV$4),Table1[],(MATCH(Calendar!$A6,DB!1:1,0)+2),FALSE),"")</f>
        <v/>
      </c>
      <c r="RRW6" s="27" t="str">
        <f>IFERROR(VLOOKUP(DATE($K$1,$K$2,RRW$4),Table1[],(MATCH(Calendar!$A6,DB!1:1,0)+2),FALSE),"")</f>
        <v/>
      </c>
      <c r="RRX6" s="27" t="str">
        <f>IFERROR(VLOOKUP(DATE($K$1,$K$2,RRX$4),Table1[],(MATCH(Calendar!$A6,DB!1:1,0)+2),FALSE),"")</f>
        <v/>
      </c>
      <c r="RRY6" s="27" t="str">
        <f>IFERROR(VLOOKUP(DATE($K$1,$K$2,RRY$4),Table1[],(MATCH(Calendar!$A6,DB!1:1,0)+2),FALSE),"")</f>
        <v/>
      </c>
      <c r="RRZ6" s="27" t="str">
        <f>IFERROR(VLOOKUP(DATE($K$1,$K$2,RRZ$4),Table1[],(MATCH(Calendar!$A6,DB!1:1,0)+2),FALSE),"")</f>
        <v/>
      </c>
      <c r="RSA6" s="27" t="str">
        <f>IFERROR(VLOOKUP(DATE($K$1,$K$2,RSA$4),Table1[],(MATCH(Calendar!$A6,DB!1:1,0)+2),FALSE),"")</f>
        <v/>
      </c>
      <c r="RSB6" s="27" t="str">
        <f>IFERROR(VLOOKUP(DATE($K$1,$K$2,RSB$4),Table1[],(MATCH(Calendar!$A6,DB!1:1,0)+2),FALSE),"")</f>
        <v/>
      </c>
      <c r="RSC6" s="27" t="str">
        <f>IFERROR(VLOOKUP(DATE($K$1,$K$2,RSC$4),Table1[],(MATCH(Calendar!$A6,DB!1:1,0)+2),FALSE),"")</f>
        <v/>
      </c>
      <c r="RSD6" s="27" t="str">
        <f>IFERROR(VLOOKUP(DATE($K$1,$K$2,RSD$4),Table1[],(MATCH(Calendar!$A6,DB!1:1,0)+2),FALSE),"")</f>
        <v/>
      </c>
      <c r="RSE6" s="27" t="str">
        <f>IFERROR(VLOOKUP(DATE($K$1,$K$2,RSE$4),Table1[],(MATCH(Calendar!$A6,DB!1:1,0)+2),FALSE),"")</f>
        <v/>
      </c>
      <c r="RSF6" s="27" t="str">
        <f>IFERROR(VLOOKUP(DATE($K$1,$K$2,RSF$4),Table1[],(MATCH(Calendar!$A6,DB!1:1,0)+2),FALSE),"")</f>
        <v/>
      </c>
      <c r="RSG6" s="27" t="str">
        <f>IFERROR(VLOOKUP(DATE($K$1,$K$2,RSG$4),Table1[],(MATCH(Calendar!$A6,DB!1:1,0)+2),FALSE),"")</f>
        <v/>
      </c>
      <c r="RSH6" s="27" t="str">
        <f>IFERROR(VLOOKUP(DATE($K$1,$K$2,RSH$4),Table1[],(MATCH(Calendar!$A6,DB!1:1,0)+2),FALSE),"")</f>
        <v/>
      </c>
      <c r="RSI6" s="27" t="str">
        <f>IFERROR(VLOOKUP(DATE($K$1,$K$2,RSI$4),Table1[],(MATCH(Calendar!$A6,DB!1:1,0)+2),FALSE),"")</f>
        <v/>
      </c>
      <c r="RSJ6" s="27" t="str">
        <f>IFERROR(VLOOKUP(DATE($K$1,$K$2,RSJ$4),Table1[],(MATCH(Calendar!$A6,DB!1:1,0)+2),FALSE),"")</f>
        <v/>
      </c>
      <c r="RSK6" s="27" t="str">
        <f>IFERROR(VLOOKUP(DATE($K$1,$K$2,RSK$4),Table1[],(MATCH(Calendar!$A6,DB!1:1,0)+2),FALSE),"")</f>
        <v/>
      </c>
      <c r="RSL6" s="27" t="str">
        <f>IFERROR(VLOOKUP(DATE($K$1,$K$2,RSL$4),Table1[],(MATCH(Calendar!$A6,DB!1:1,0)+2),FALSE),"")</f>
        <v/>
      </c>
      <c r="RSM6" s="27" t="str">
        <f>IFERROR(VLOOKUP(DATE($K$1,$K$2,RSM$4),Table1[],(MATCH(Calendar!$A6,DB!1:1,0)+2),FALSE),"")</f>
        <v/>
      </c>
      <c r="RSN6" s="27" t="str">
        <f>IFERROR(VLOOKUP(DATE($K$1,$K$2,RSN$4),Table1[],(MATCH(Calendar!$A6,DB!1:1,0)+2),FALSE),"")</f>
        <v/>
      </c>
      <c r="RSO6" s="27" t="str">
        <f>IFERROR(VLOOKUP(DATE($K$1,$K$2,RSO$4),Table1[],(MATCH(Calendar!$A6,DB!1:1,0)+2),FALSE),"")</f>
        <v/>
      </c>
      <c r="RSP6" s="27" t="str">
        <f>IFERROR(VLOOKUP(DATE($K$1,$K$2,RSP$4),Table1[],(MATCH(Calendar!$A6,DB!1:1,0)+2),FALSE),"")</f>
        <v/>
      </c>
      <c r="RSQ6" s="27" t="str">
        <f>IFERROR(VLOOKUP(DATE($K$1,$K$2,RSQ$4),Table1[],(MATCH(Calendar!$A6,DB!1:1,0)+2),FALSE),"")</f>
        <v/>
      </c>
      <c r="RSR6" s="27" t="str">
        <f>IFERROR(VLOOKUP(DATE($K$1,$K$2,RSR$4),Table1[],(MATCH(Calendar!$A6,DB!1:1,0)+2),FALSE),"")</f>
        <v/>
      </c>
      <c r="RSS6" s="27" t="str">
        <f>IFERROR(VLOOKUP(DATE($K$1,$K$2,RSS$4),Table1[],(MATCH(Calendar!$A6,DB!1:1,0)+2),FALSE),"")</f>
        <v/>
      </c>
      <c r="RST6" s="27" t="str">
        <f>IFERROR(VLOOKUP(DATE($K$1,$K$2,RST$4),Table1[],(MATCH(Calendar!$A6,DB!1:1,0)+2),FALSE),"")</f>
        <v/>
      </c>
      <c r="RSU6" s="27" t="str">
        <f>IFERROR(VLOOKUP(DATE($K$1,$K$2,RSU$4),Table1[],(MATCH(Calendar!$A6,DB!1:1,0)+2),FALSE),"")</f>
        <v/>
      </c>
      <c r="RSV6" s="27" t="str">
        <f>IFERROR(VLOOKUP(DATE($K$1,$K$2,RSV$4),Table1[],(MATCH(Calendar!$A6,DB!1:1,0)+2),FALSE),"")</f>
        <v/>
      </c>
      <c r="RSW6" s="27" t="str">
        <f>IFERROR(VLOOKUP(DATE($K$1,$K$2,RSW$4),Table1[],(MATCH(Calendar!$A6,DB!1:1,0)+2),FALSE),"")</f>
        <v/>
      </c>
      <c r="RSX6" s="27" t="str">
        <f>IFERROR(VLOOKUP(DATE($K$1,$K$2,RSX$4),Table1[],(MATCH(Calendar!$A6,DB!1:1,0)+2),FALSE),"")</f>
        <v/>
      </c>
      <c r="RSY6" s="27" t="str">
        <f>IFERROR(VLOOKUP(DATE($K$1,$K$2,RSY$4),Table1[],(MATCH(Calendar!$A6,DB!1:1,0)+2),FALSE),"")</f>
        <v/>
      </c>
      <c r="RSZ6" s="27" t="str">
        <f>IFERROR(VLOOKUP(DATE($K$1,$K$2,RSZ$4),Table1[],(MATCH(Calendar!$A6,DB!1:1,0)+2),FALSE),"")</f>
        <v/>
      </c>
      <c r="RTA6" s="27" t="str">
        <f>IFERROR(VLOOKUP(DATE($K$1,$K$2,RTA$4),Table1[],(MATCH(Calendar!$A6,DB!1:1,0)+2),FALSE),"")</f>
        <v/>
      </c>
      <c r="RTB6" s="27" t="str">
        <f>IFERROR(VLOOKUP(DATE($K$1,$K$2,RTB$4),Table1[],(MATCH(Calendar!$A6,DB!1:1,0)+2),FALSE),"")</f>
        <v/>
      </c>
      <c r="RTC6" s="27" t="str">
        <f>IFERROR(VLOOKUP(DATE($K$1,$K$2,RTC$4),Table1[],(MATCH(Calendar!$A6,DB!1:1,0)+2),FALSE),"")</f>
        <v/>
      </c>
      <c r="RTD6" s="27" t="str">
        <f>IFERROR(VLOOKUP(DATE($K$1,$K$2,RTD$4),Table1[],(MATCH(Calendar!$A6,DB!1:1,0)+2),FALSE),"")</f>
        <v/>
      </c>
      <c r="RTE6" s="27" t="str">
        <f>IFERROR(VLOOKUP(DATE($K$1,$K$2,RTE$4),Table1[],(MATCH(Calendar!$A6,DB!1:1,0)+2),FALSE),"")</f>
        <v/>
      </c>
      <c r="RTF6" s="27" t="str">
        <f>IFERROR(VLOOKUP(DATE($K$1,$K$2,RTF$4),Table1[],(MATCH(Calendar!$A6,DB!1:1,0)+2),FALSE),"")</f>
        <v/>
      </c>
      <c r="RTG6" s="27" t="str">
        <f>IFERROR(VLOOKUP(DATE($K$1,$K$2,RTG$4),Table1[],(MATCH(Calendar!$A6,DB!1:1,0)+2),FALSE),"")</f>
        <v/>
      </c>
      <c r="RTH6" s="27" t="str">
        <f>IFERROR(VLOOKUP(DATE($K$1,$K$2,RTH$4),Table1[],(MATCH(Calendar!$A6,DB!1:1,0)+2),FALSE),"")</f>
        <v/>
      </c>
      <c r="RTI6" s="27" t="str">
        <f>IFERROR(VLOOKUP(DATE($K$1,$K$2,RTI$4),Table1[],(MATCH(Calendar!$A6,DB!1:1,0)+2),FALSE),"")</f>
        <v/>
      </c>
      <c r="RTJ6" s="27" t="str">
        <f>IFERROR(VLOOKUP(DATE($K$1,$K$2,RTJ$4),Table1[],(MATCH(Calendar!$A6,DB!1:1,0)+2),FALSE),"")</f>
        <v/>
      </c>
      <c r="RTK6" s="27" t="str">
        <f>IFERROR(VLOOKUP(DATE($K$1,$K$2,RTK$4),Table1[],(MATCH(Calendar!$A6,DB!1:1,0)+2),FALSE),"")</f>
        <v/>
      </c>
      <c r="RTL6" s="27" t="str">
        <f>IFERROR(VLOOKUP(DATE($K$1,$K$2,RTL$4),Table1[],(MATCH(Calendar!$A6,DB!1:1,0)+2),FALSE),"")</f>
        <v/>
      </c>
      <c r="RTM6" s="27" t="str">
        <f>IFERROR(VLOOKUP(DATE($K$1,$K$2,RTM$4),Table1[],(MATCH(Calendar!$A6,DB!1:1,0)+2),FALSE),"")</f>
        <v/>
      </c>
      <c r="RTN6" s="27" t="str">
        <f>IFERROR(VLOOKUP(DATE($K$1,$K$2,RTN$4),Table1[],(MATCH(Calendar!$A6,DB!1:1,0)+2),FALSE),"")</f>
        <v/>
      </c>
      <c r="RTO6" s="27" t="str">
        <f>IFERROR(VLOOKUP(DATE($K$1,$K$2,RTO$4),Table1[],(MATCH(Calendar!$A6,DB!1:1,0)+2),FALSE),"")</f>
        <v/>
      </c>
      <c r="RTP6" s="27" t="str">
        <f>IFERROR(VLOOKUP(DATE($K$1,$K$2,RTP$4),Table1[],(MATCH(Calendar!$A6,DB!1:1,0)+2),FALSE),"")</f>
        <v/>
      </c>
      <c r="RTQ6" s="27" t="str">
        <f>IFERROR(VLOOKUP(DATE($K$1,$K$2,RTQ$4),Table1[],(MATCH(Calendar!$A6,DB!1:1,0)+2),FALSE),"")</f>
        <v/>
      </c>
      <c r="RTR6" s="27" t="str">
        <f>IFERROR(VLOOKUP(DATE($K$1,$K$2,RTR$4),Table1[],(MATCH(Calendar!$A6,DB!1:1,0)+2),FALSE),"")</f>
        <v/>
      </c>
      <c r="RTS6" s="27" t="str">
        <f>IFERROR(VLOOKUP(DATE($K$1,$K$2,RTS$4),Table1[],(MATCH(Calendar!$A6,DB!1:1,0)+2),FALSE),"")</f>
        <v/>
      </c>
      <c r="RTT6" s="27" t="str">
        <f>IFERROR(VLOOKUP(DATE($K$1,$K$2,RTT$4),Table1[],(MATCH(Calendar!$A6,DB!1:1,0)+2),FALSE),"")</f>
        <v/>
      </c>
      <c r="RTU6" s="27" t="str">
        <f>IFERROR(VLOOKUP(DATE($K$1,$K$2,RTU$4),Table1[],(MATCH(Calendar!$A6,DB!1:1,0)+2),FALSE),"")</f>
        <v/>
      </c>
      <c r="RTV6" s="27" t="str">
        <f>IFERROR(VLOOKUP(DATE($K$1,$K$2,RTV$4),Table1[],(MATCH(Calendar!$A6,DB!1:1,0)+2),FALSE),"")</f>
        <v/>
      </c>
      <c r="RTW6" s="27" t="str">
        <f>IFERROR(VLOOKUP(DATE($K$1,$K$2,RTW$4),Table1[],(MATCH(Calendar!$A6,DB!1:1,0)+2),FALSE),"")</f>
        <v/>
      </c>
      <c r="RTX6" s="27" t="str">
        <f>IFERROR(VLOOKUP(DATE($K$1,$K$2,RTX$4),Table1[],(MATCH(Calendar!$A6,DB!1:1,0)+2),FALSE),"")</f>
        <v/>
      </c>
      <c r="RTY6" s="27" t="str">
        <f>IFERROR(VLOOKUP(DATE($K$1,$K$2,RTY$4),Table1[],(MATCH(Calendar!$A6,DB!1:1,0)+2),FALSE),"")</f>
        <v/>
      </c>
      <c r="RTZ6" s="27" t="str">
        <f>IFERROR(VLOOKUP(DATE($K$1,$K$2,RTZ$4),Table1[],(MATCH(Calendar!$A6,DB!1:1,0)+2),FALSE),"")</f>
        <v/>
      </c>
      <c r="RUA6" s="27" t="str">
        <f>IFERROR(VLOOKUP(DATE($K$1,$K$2,RUA$4),Table1[],(MATCH(Calendar!$A6,DB!1:1,0)+2),FALSE),"")</f>
        <v/>
      </c>
      <c r="RUB6" s="27" t="str">
        <f>IFERROR(VLOOKUP(DATE($K$1,$K$2,RUB$4),Table1[],(MATCH(Calendar!$A6,DB!1:1,0)+2),FALSE),"")</f>
        <v/>
      </c>
      <c r="RUC6" s="27" t="str">
        <f>IFERROR(VLOOKUP(DATE($K$1,$K$2,RUC$4),Table1[],(MATCH(Calendar!$A6,DB!1:1,0)+2),FALSE),"")</f>
        <v/>
      </c>
      <c r="RUD6" s="27" t="str">
        <f>IFERROR(VLOOKUP(DATE($K$1,$K$2,RUD$4),Table1[],(MATCH(Calendar!$A6,DB!1:1,0)+2),FALSE),"")</f>
        <v/>
      </c>
      <c r="RUE6" s="27" t="str">
        <f>IFERROR(VLOOKUP(DATE($K$1,$K$2,RUE$4),Table1[],(MATCH(Calendar!$A6,DB!1:1,0)+2),FALSE),"")</f>
        <v/>
      </c>
      <c r="RUF6" s="27" t="str">
        <f>IFERROR(VLOOKUP(DATE($K$1,$K$2,RUF$4),Table1[],(MATCH(Calendar!$A6,DB!1:1,0)+2),FALSE),"")</f>
        <v/>
      </c>
      <c r="RUG6" s="27" t="str">
        <f>IFERROR(VLOOKUP(DATE($K$1,$K$2,RUG$4),Table1[],(MATCH(Calendar!$A6,DB!1:1,0)+2),FALSE),"")</f>
        <v/>
      </c>
      <c r="RUH6" s="27" t="str">
        <f>IFERROR(VLOOKUP(DATE($K$1,$K$2,RUH$4),Table1[],(MATCH(Calendar!$A6,DB!1:1,0)+2),FALSE),"")</f>
        <v/>
      </c>
      <c r="RUI6" s="27" t="str">
        <f>IFERROR(VLOOKUP(DATE($K$1,$K$2,RUI$4),Table1[],(MATCH(Calendar!$A6,DB!1:1,0)+2),FALSE),"")</f>
        <v/>
      </c>
      <c r="RUJ6" s="27" t="str">
        <f>IFERROR(VLOOKUP(DATE($K$1,$K$2,RUJ$4),Table1[],(MATCH(Calendar!$A6,DB!1:1,0)+2),FALSE),"")</f>
        <v/>
      </c>
      <c r="RUK6" s="27" t="str">
        <f>IFERROR(VLOOKUP(DATE($K$1,$K$2,RUK$4),Table1[],(MATCH(Calendar!$A6,DB!1:1,0)+2),FALSE),"")</f>
        <v/>
      </c>
      <c r="RUL6" s="27" t="str">
        <f>IFERROR(VLOOKUP(DATE($K$1,$K$2,RUL$4),Table1[],(MATCH(Calendar!$A6,DB!1:1,0)+2),FALSE),"")</f>
        <v/>
      </c>
      <c r="RUM6" s="27" t="str">
        <f>IFERROR(VLOOKUP(DATE($K$1,$K$2,RUM$4),Table1[],(MATCH(Calendar!$A6,DB!1:1,0)+2),FALSE),"")</f>
        <v/>
      </c>
      <c r="RUN6" s="27" t="str">
        <f>IFERROR(VLOOKUP(DATE($K$1,$K$2,RUN$4),Table1[],(MATCH(Calendar!$A6,DB!1:1,0)+2),FALSE),"")</f>
        <v/>
      </c>
      <c r="RUO6" s="27" t="str">
        <f>IFERROR(VLOOKUP(DATE($K$1,$K$2,RUO$4),Table1[],(MATCH(Calendar!$A6,DB!1:1,0)+2),FALSE),"")</f>
        <v/>
      </c>
      <c r="RUP6" s="27" t="str">
        <f>IFERROR(VLOOKUP(DATE($K$1,$K$2,RUP$4),Table1[],(MATCH(Calendar!$A6,DB!1:1,0)+2),FALSE),"")</f>
        <v/>
      </c>
      <c r="RUQ6" s="27" t="str">
        <f>IFERROR(VLOOKUP(DATE($K$1,$K$2,RUQ$4),Table1[],(MATCH(Calendar!$A6,DB!1:1,0)+2),FALSE),"")</f>
        <v/>
      </c>
      <c r="RUR6" s="27" t="str">
        <f>IFERROR(VLOOKUP(DATE($K$1,$K$2,RUR$4),Table1[],(MATCH(Calendar!$A6,DB!1:1,0)+2),FALSE),"")</f>
        <v/>
      </c>
      <c r="RUS6" s="27" t="str">
        <f>IFERROR(VLOOKUP(DATE($K$1,$K$2,RUS$4),Table1[],(MATCH(Calendar!$A6,DB!1:1,0)+2),FALSE),"")</f>
        <v/>
      </c>
      <c r="RUT6" s="27" t="str">
        <f>IFERROR(VLOOKUP(DATE($K$1,$K$2,RUT$4),Table1[],(MATCH(Calendar!$A6,DB!1:1,0)+2),FALSE),"")</f>
        <v/>
      </c>
      <c r="RUU6" s="27" t="str">
        <f>IFERROR(VLOOKUP(DATE($K$1,$K$2,RUU$4),Table1[],(MATCH(Calendar!$A6,DB!1:1,0)+2),FALSE),"")</f>
        <v/>
      </c>
      <c r="RUV6" s="27" t="str">
        <f>IFERROR(VLOOKUP(DATE($K$1,$K$2,RUV$4),Table1[],(MATCH(Calendar!$A6,DB!1:1,0)+2),FALSE),"")</f>
        <v/>
      </c>
      <c r="RUW6" s="27" t="str">
        <f>IFERROR(VLOOKUP(DATE($K$1,$K$2,RUW$4),Table1[],(MATCH(Calendar!$A6,DB!1:1,0)+2),FALSE),"")</f>
        <v/>
      </c>
      <c r="RUX6" s="27" t="str">
        <f>IFERROR(VLOOKUP(DATE($K$1,$K$2,RUX$4),Table1[],(MATCH(Calendar!$A6,DB!1:1,0)+2),FALSE),"")</f>
        <v/>
      </c>
      <c r="RUY6" s="27" t="str">
        <f>IFERROR(VLOOKUP(DATE($K$1,$K$2,RUY$4),Table1[],(MATCH(Calendar!$A6,DB!1:1,0)+2),FALSE),"")</f>
        <v/>
      </c>
      <c r="RUZ6" s="27" t="str">
        <f>IFERROR(VLOOKUP(DATE($K$1,$K$2,RUZ$4),Table1[],(MATCH(Calendar!$A6,DB!1:1,0)+2),FALSE),"")</f>
        <v/>
      </c>
      <c r="RVA6" s="27" t="str">
        <f>IFERROR(VLOOKUP(DATE($K$1,$K$2,RVA$4),Table1[],(MATCH(Calendar!$A6,DB!1:1,0)+2),FALSE),"")</f>
        <v/>
      </c>
      <c r="RVB6" s="27" t="str">
        <f>IFERROR(VLOOKUP(DATE($K$1,$K$2,RVB$4),Table1[],(MATCH(Calendar!$A6,DB!1:1,0)+2),FALSE),"")</f>
        <v/>
      </c>
      <c r="RVC6" s="27" t="str">
        <f>IFERROR(VLOOKUP(DATE($K$1,$K$2,RVC$4),Table1[],(MATCH(Calendar!$A6,DB!1:1,0)+2),FALSE),"")</f>
        <v/>
      </c>
      <c r="RVD6" s="27" t="str">
        <f>IFERROR(VLOOKUP(DATE($K$1,$K$2,RVD$4),Table1[],(MATCH(Calendar!$A6,DB!1:1,0)+2),FALSE),"")</f>
        <v/>
      </c>
      <c r="RVE6" s="27" t="str">
        <f>IFERROR(VLOOKUP(DATE($K$1,$K$2,RVE$4),Table1[],(MATCH(Calendar!$A6,DB!1:1,0)+2),FALSE),"")</f>
        <v/>
      </c>
      <c r="RVF6" s="27" t="str">
        <f>IFERROR(VLOOKUP(DATE($K$1,$K$2,RVF$4),Table1[],(MATCH(Calendar!$A6,DB!1:1,0)+2),FALSE),"")</f>
        <v/>
      </c>
      <c r="RVG6" s="27" t="str">
        <f>IFERROR(VLOOKUP(DATE($K$1,$K$2,RVG$4),Table1[],(MATCH(Calendar!$A6,DB!1:1,0)+2),FALSE),"")</f>
        <v/>
      </c>
      <c r="RVH6" s="27" t="str">
        <f>IFERROR(VLOOKUP(DATE($K$1,$K$2,RVH$4),Table1[],(MATCH(Calendar!$A6,DB!1:1,0)+2),FALSE),"")</f>
        <v/>
      </c>
      <c r="RVI6" s="27" t="str">
        <f>IFERROR(VLOOKUP(DATE($K$1,$K$2,RVI$4),Table1[],(MATCH(Calendar!$A6,DB!1:1,0)+2),FALSE),"")</f>
        <v/>
      </c>
      <c r="RVJ6" s="27" t="str">
        <f>IFERROR(VLOOKUP(DATE($K$1,$K$2,RVJ$4),Table1[],(MATCH(Calendar!$A6,DB!1:1,0)+2),FALSE),"")</f>
        <v/>
      </c>
      <c r="RVK6" s="27" t="str">
        <f>IFERROR(VLOOKUP(DATE($K$1,$K$2,RVK$4),Table1[],(MATCH(Calendar!$A6,DB!1:1,0)+2),FALSE),"")</f>
        <v/>
      </c>
      <c r="RVL6" s="27" t="str">
        <f>IFERROR(VLOOKUP(DATE($K$1,$K$2,RVL$4),Table1[],(MATCH(Calendar!$A6,DB!1:1,0)+2),FALSE),"")</f>
        <v/>
      </c>
      <c r="RVM6" s="27" t="str">
        <f>IFERROR(VLOOKUP(DATE($K$1,$K$2,RVM$4),Table1[],(MATCH(Calendar!$A6,DB!1:1,0)+2),FALSE),"")</f>
        <v/>
      </c>
      <c r="RVN6" s="27" t="str">
        <f>IFERROR(VLOOKUP(DATE($K$1,$K$2,RVN$4),Table1[],(MATCH(Calendar!$A6,DB!1:1,0)+2),FALSE),"")</f>
        <v/>
      </c>
      <c r="RVO6" s="27" t="str">
        <f>IFERROR(VLOOKUP(DATE($K$1,$K$2,RVO$4),Table1[],(MATCH(Calendar!$A6,DB!1:1,0)+2),FALSE),"")</f>
        <v/>
      </c>
      <c r="RVP6" s="27" t="str">
        <f>IFERROR(VLOOKUP(DATE($K$1,$K$2,RVP$4),Table1[],(MATCH(Calendar!$A6,DB!1:1,0)+2),FALSE),"")</f>
        <v/>
      </c>
      <c r="RVQ6" s="27" t="str">
        <f>IFERROR(VLOOKUP(DATE($K$1,$K$2,RVQ$4),Table1[],(MATCH(Calendar!$A6,DB!1:1,0)+2),FALSE),"")</f>
        <v/>
      </c>
      <c r="RVR6" s="27" t="str">
        <f>IFERROR(VLOOKUP(DATE($K$1,$K$2,RVR$4),Table1[],(MATCH(Calendar!$A6,DB!1:1,0)+2),FALSE),"")</f>
        <v/>
      </c>
      <c r="RVS6" s="27" t="str">
        <f>IFERROR(VLOOKUP(DATE($K$1,$K$2,RVS$4),Table1[],(MATCH(Calendar!$A6,DB!1:1,0)+2),FALSE),"")</f>
        <v/>
      </c>
      <c r="RVT6" s="27" t="str">
        <f>IFERROR(VLOOKUP(DATE($K$1,$K$2,RVT$4),Table1[],(MATCH(Calendar!$A6,DB!1:1,0)+2),FALSE),"")</f>
        <v/>
      </c>
      <c r="RVU6" s="27" t="str">
        <f>IFERROR(VLOOKUP(DATE($K$1,$K$2,RVU$4),Table1[],(MATCH(Calendar!$A6,DB!1:1,0)+2),FALSE),"")</f>
        <v/>
      </c>
      <c r="RVV6" s="27" t="str">
        <f>IFERROR(VLOOKUP(DATE($K$1,$K$2,RVV$4),Table1[],(MATCH(Calendar!$A6,DB!1:1,0)+2),FALSE),"")</f>
        <v/>
      </c>
      <c r="RVW6" s="27" t="str">
        <f>IFERROR(VLOOKUP(DATE($K$1,$K$2,RVW$4),Table1[],(MATCH(Calendar!$A6,DB!1:1,0)+2),FALSE),"")</f>
        <v/>
      </c>
      <c r="RVX6" s="27" t="str">
        <f>IFERROR(VLOOKUP(DATE($K$1,$K$2,RVX$4),Table1[],(MATCH(Calendar!$A6,DB!1:1,0)+2),FALSE),"")</f>
        <v/>
      </c>
      <c r="RVY6" s="27" t="str">
        <f>IFERROR(VLOOKUP(DATE($K$1,$K$2,RVY$4),Table1[],(MATCH(Calendar!$A6,DB!1:1,0)+2),FALSE),"")</f>
        <v/>
      </c>
      <c r="RVZ6" s="27" t="str">
        <f>IFERROR(VLOOKUP(DATE($K$1,$K$2,RVZ$4),Table1[],(MATCH(Calendar!$A6,DB!1:1,0)+2),FALSE),"")</f>
        <v/>
      </c>
      <c r="RWA6" s="27" t="str">
        <f>IFERROR(VLOOKUP(DATE($K$1,$K$2,RWA$4),Table1[],(MATCH(Calendar!$A6,DB!1:1,0)+2),FALSE),"")</f>
        <v/>
      </c>
      <c r="RWB6" s="27" t="str">
        <f>IFERROR(VLOOKUP(DATE($K$1,$K$2,RWB$4),Table1[],(MATCH(Calendar!$A6,DB!1:1,0)+2),FALSE),"")</f>
        <v/>
      </c>
      <c r="RWC6" s="27" t="str">
        <f>IFERROR(VLOOKUP(DATE($K$1,$K$2,RWC$4),Table1[],(MATCH(Calendar!$A6,DB!1:1,0)+2),FALSE),"")</f>
        <v/>
      </c>
      <c r="RWD6" s="27" t="str">
        <f>IFERROR(VLOOKUP(DATE($K$1,$K$2,RWD$4),Table1[],(MATCH(Calendar!$A6,DB!1:1,0)+2),FALSE),"")</f>
        <v/>
      </c>
      <c r="RWE6" s="27" t="str">
        <f>IFERROR(VLOOKUP(DATE($K$1,$K$2,RWE$4),Table1[],(MATCH(Calendar!$A6,DB!1:1,0)+2),FALSE),"")</f>
        <v/>
      </c>
      <c r="RWF6" s="27" t="str">
        <f>IFERROR(VLOOKUP(DATE($K$1,$K$2,RWF$4),Table1[],(MATCH(Calendar!$A6,DB!1:1,0)+2),FALSE),"")</f>
        <v/>
      </c>
      <c r="RWG6" s="27" t="str">
        <f>IFERROR(VLOOKUP(DATE($K$1,$K$2,RWG$4),Table1[],(MATCH(Calendar!$A6,DB!1:1,0)+2),FALSE),"")</f>
        <v/>
      </c>
      <c r="RWH6" s="27" t="str">
        <f>IFERROR(VLOOKUP(DATE($K$1,$K$2,RWH$4),Table1[],(MATCH(Calendar!$A6,DB!1:1,0)+2),FALSE),"")</f>
        <v/>
      </c>
      <c r="RWI6" s="27" t="str">
        <f>IFERROR(VLOOKUP(DATE($K$1,$K$2,RWI$4),Table1[],(MATCH(Calendar!$A6,DB!1:1,0)+2),FALSE),"")</f>
        <v/>
      </c>
      <c r="RWJ6" s="27" t="str">
        <f>IFERROR(VLOOKUP(DATE($K$1,$K$2,RWJ$4),Table1[],(MATCH(Calendar!$A6,DB!1:1,0)+2),FALSE),"")</f>
        <v/>
      </c>
      <c r="RWK6" s="27" t="str">
        <f>IFERROR(VLOOKUP(DATE($K$1,$K$2,RWK$4),Table1[],(MATCH(Calendar!$A6,DB!1:1,0)+2),FALSE),"")</f>
        <v/>
      </c>
      <c r="RWL6" s="27" t="str">
        <f>IFERROR(VLOOKUP(DATE($K$1,$K$2,RWL$4),Table1[],(MATCH(Calendar!$A6,DB!1:1,0)+2),FALSE),"")</f>
        <v/>
      </c>
      <c r="RWM6" s="27" t="str">
        <f>IFERROR(VLOOKUP(DATE($K$1,$K$2,RWM$4),Table1[],(MATCH(Calendar!$A6,DB!1:1,0)+2),FALSE),"")</f>
        <v/>
      </c>
      <c r="RWN6" s="27" t="str">
        <f>IFERROR(VLOOKUP(DATE($K$1,$K$2,RWN$4),Table1[],(MATCH(Calendar!$A6,DB!1:1,0)+2),FALSE),"")</f>
        <v/>
      </c>
      <c r="RWO6" s="27" t="str">
        <f>IFERROR(VLOOKUP(DATE($K$1,$K$2,RWO$4),Table1[],(MATCH(Calendar!$A6,DB!1:1,0)+2),FALSE),"")</f>
        <v/>
      </c>
      <c r="RWP6" s="27" t="str">
        <f>IFERROR(VLOOKUP(DATE($K$1,$K$2,RWP$4),Table1[],(MATCH(Calendar!$A6,DB!1:1,0)+2),FALSE),"")</f>
        <v/>
      </c>
      <c r="RWQ6" s="27" t="str">
        <f>IFERROR(VLOOKUP(DATE($K$1,$K$2,RWQ$4),Table1[],(MATCH(Calendar!$A6,DB!1:1,0)+2),FALSE),"")</f>
        <v/>
      </c>
      <c r="RWR6" s="27" t="str">
        <f>IFERROR(VLOOKUP(DATE($K$1,$K$2,RWR$4),Table1[],(MATCH(Calendar!$A6,DB!1:1,0)+2),FALSE),"")</f>
        <v/>
      </c>
      <c r="RWS6" s="27" t="str">
        <f>IFERROR(VLOOKUP(DATE($K$1,$K$2,RWS$4),Table1[],(MATCH(Calendar!$A6,DB!1:1,0)+2),FALSE),"")</f>
        <v/>
      </c>
      <c r="RWT6" s="27" t="str">
        <f>IFERROR(VLOOKUP(DATE($K$1,$K$2,RWT$4),Table1[],(MATCH(Calendar!$A6,DB!1:1,0)+2),FALSE),"")</f>
        <v/>
      </c>
      <c r="RWU6" s="27" t="str">
        <f>IFERROR(VLOOKUP(DATE($K$1,$K$2,RWU$4),Table1[],(MATCH(Calendar!$A6,DB!1:1,0)+2),FALSE),"")</f>
        <v/>
      </c>
      <c r="RWV6" s="27" t="str">
        <f>IFERROR(VLOOKUP(DATE($K$1,$K$2,RWV$4),Table1[],(MATCH(Calendar!$A6,DB!1:1,0)+2),FALSE),"")</f>
        <v/>
      </c>
      <c r="RWW6" s="27" t="str">
        <f>IFERROR(VLOOKUP(DATE($K$1,$K$2,RWW$4),Table1[],(MATCH(Calendar!$A6,DB!1:1,0)+2),FALSE),"")</f>
        <v/>
      </c>
      <c r="RWX6" s="27" t="str">
        <f>IFERROR(VLOOKUP(DATE($K$1,$K$2,RWX$4),Table1[],(MATCH(Calendar!$A6,DB!1:1,0)+2),FALSE),"")</f>
        <v/>
      </c>
      <c r="RWY6" s="27" t="str">
        <f>IFERROR(VLOOKUP(DATE($K$1,$K$2,RWY$4),Table1[],(MATCH(Calendar!$A6,DB!1:1,0)+2),FALSE),"")</f>
        <v/>
      </c>
      <c r="RWZ6" s="27" t="str">
        <f>IFERROR(VLOOKUP(DATE($K$1,$K$2,RWZ$4),Table1[],(MATCH(Calendar!$A6,DB!1:1,0)+2),FALSE),"")</f>
        <v/>
      </c>
      <c r="RXA6" s="27" t="str">
        <f>IFERROR(VLOOKUP(DATE($K$1,$K$2,RXA$4),Table1[],(MATCH(Calendar!$A6,DB!1:1,0)+2),FALSE),"")</f>
        <v/>
      </c>
      <c r="RXB6" s="27" t="str">
        <f>IFERROR(VLOOKUP(DATE($K$1,$K$2,RXB$4),Table1[],(MATCH(Calendar!$A6,DB!1:1,0)+2),FALSE),"")</f>
        <v/>
      </c>
      <c r="RXC6" s="27" t="str">
        <f>IFERROR(VLOOKUP(DATE($K$1,$K$2,RXC$4),Table1[],(MATCH(Calendar!$A6,DB!1:1,0)+2),FALSE),"")</f>
        <v/>
      </c>
      <c r="RXD6" s="27" t="str">
        <f>IFERROR(VLOOKUP(DATE($K$1,$K$2,RXD$4),Table1[],(MATCH(Calendar!$A6,DB!1:1,0)+2),FALSE),"")</f>
        <v/>
      </c>
      <c r="RXE6" s="27" t="str">
        <f>IFERROR(VLOOKUP(DATE($K$1,$K$2,RXE$4),Table1[],(MATCH(Calendar!$A6,DB!1:1,0)+2),FALSE),"")</f>
        <v/>
      </c>
      <c r="RXF6" s="27" t="str">
        <f>IFERROR(VLOOKUP(DATE($K$1,$K$2,RXF$4),Table1[],(MATCH(Calendar!$A6,DB!1:1,0)+2),FALSE),"")</f>
        <v/>
      </c>
      <c r="RXG6" s="27" t="str">
        <f>IFERROR(VLOOKUP(DATE($K$1,$K$2,RXG$4),Table1[],(MATCH(Calendar!$A6,DB!1:1,0)+2),FALSE),"")</f>
        <v/>
      </c>
      <c r="RXH6" s="27" t="str">
        <f>IFERROR(VLOOKUP(DATE($K$1,$K$2,RXH$4),Table1[],(MATCH(Calendar!$A6,DB!1:1,0)+2),FALSE),"")</f>
        <v/>
      </c>
      <c r="RXI6" s="27" t="str">
        <f>IFERROR(VLOOKUP(DATE($K$1,$K$2,RXI$4),Table1[],(MATCH(Calendar!$A6,DB!1:1,0)+2),FALSE),"")</f>
        <v/>
      </c>
      <c r="RXJ6" s="27" t="str">
        <f>IFERROR(VLOOKUP(DATE($K$1,$K$2,RXJ$4),Table1[],(MATCH(Calendar!$A6,DB!1:1,0)+2),FALSE),"")</f>
        <v/>
      </c>
      <c r="RXK6" s="27" t="str">
        <f>IFERROR(VLOOKUP(DATE($K$1,$K$2,RXK$4),Table1[],(MATCH(Calendar!$A6,DB!1:1,0)+2),FALSE),"")</f>
        <v/>
      </c>
      <c r="RXL6" s="27" t="str">
        <f>IFERROR(VLOOKUP(DATE($K$1,$K$2,RXL$4),Table1[],(MATCH(Calendar!$A6,DB!1:1,0)+2),FALSE),"")</f>
        <v/>
      </c>
      <c r="RXM6" s="27" t="str">
        <f>IFERROR(VLOOKUP(DATE($K$1,$K$2,RXM$4),Table1[],(MATCH(Calendar!$A6,DB!1:1,0)+2),FALSE),"")</f>
        <v/>
      </c>
      <c r="RXN6" s="27" t="str">
        <f>IFERROR(VLOOKUP(DATE($K$1,$K$2,RXN$4),Table1[],(MATCH(Calendar!$A6,DB!1:1,0)+2),FALSE),"")</f>
        <v/>
      </c>
      <c r="RXO6" s="27" t="str">
        <f>IFERROR(VLOOKUP(DATE($K$1,$K$2,RXO$4),Table1[],(MATCH(Calendar!$A6,DB!1:1,0)+2),FALSE),"")</f>
        <v/>
      </c>
      <c r="RXP6" s="27" t="str">
        <f>IFERROR(VLOOKUP(DATE($K$1,$K$2,RXP$4),Table1[],(MATCH(Calendar!$A6,DB!1:1,0)+2),FALSE),"")</f>
        <v/>
      </c>
      <c r="RXQ6" s="27" t="str">
        <f>IFERROR(VLOOKUP(DATE($K$1,$K$2,RXQ$4),Table1[],(MATCH(Calendar!$A6,DB!1:1,0)+2),FALSE),"")</f>
        <v/>
      </c>
      <c r="RXR6" s="27" t="str">
        <f>IFERROR(VLOOKUP(DATE($K$1,$K$2,RXR$4),Table1[],(MATCH(Calendar!$A6,DB!1:1,0)+2),FALSE),"")</f>
        <v/>
      </c>
      <c r="RXS6" s="27" t="str">
        <f>IFERROR(VLOOKUP(DATE($K$1,$K$2,RXS$4),Table1[],(MATCH(Calendar!$A6,DB!1:1,0)+2),FALSE),"")</f>
        <v/>
      </c>
      <c r="RXT6" s="27" t="str">
        <f>IFERROR(VLOOKUP(DATE($K$1,$K$2,RXT$4),Table1[],(MATCH(Calendar!$A6,DB!1:1,0)+2),FALSE),"")</f>
        <v/>
      </c>
      <c r="RXU6" s="27" t="str">
        <f>IFERROR(VLOOKUP(DATE($K$1,$K$2,RXU$4),Table1[],(MATCH(Calendar!$A6,DB!1:1,0)+2),FALSE),"")</f>
        <v/>
      </c>
      <c r="RXV6" s="27" t="str">
        <f>IFERROR(VLOOKUP(DATE($K$1,$K$2,RXV$4),Table1[],(MATCH(Calendar!$A6,DB!1:1,0)+2),FALSE),"")</f>
        <v/>
      </c>
      <c r="RXW6" s="27" t="str">
        <f>IFERROR(VLOOKUP(DATE($K$1,$K$2,RXW$4),Table1[],(MATCH(Calendar!$A6,DB!1:1,0)+2),FALSE),"")</f>
        <v/>
      </c>
      <c r="RXX6" s="27" t="str">
        <f>IFERROR(VLOOKUP(DATE($K$1,$K$2,RXX$4),Table1[],(MATCH(Calendar!$A6,DB!1:1,0)+2),FALSE),"")</f>
        <v/>
      </c>
      <c r="RXY6" s="27" t="str">
        <f>IFERROR(VLOOKUP(DATE($K$1,$K$2,RXY$4),Table1[],(MATCH(Calendar!$A6,DB!1:1,0)+2),FALSE),"")</f>
        <v/>
      </c>
      <c r="RXZ6" s="27" t="str">
        <f>IFERROR(VLOOKUP(DATE($K$1,$K$2,RXZ$4),Table1[],(MATCH(Calendar!$A6,DB!1:1,0)+2),FALSE),"")</f>
        <v/>
      </c>
      <c r="RYA6" s="27" t="str">
        <f>IFERROR(VLOOKUP(DATE($K$1,$K$2,RYA$4),Table1[],(MATCH(Calendar!$A6,DB!1:1,0)+2),FALSE),"")</f>
        <v/>
      </c>
      <c r="RYB6" s="27" t="str">
        <f>IFERROR(VLOOKUP(DATE($K$1,$K$2,RYB$4),Table1[],(MATCH(Calendar!$A6,DB!1:1,0)+2),FALSE),"")</f>
        <v/>
      </c>
      <c r="RYC6" s="27" t="str">
        <f>IFERROR(VLOOKUP(DATE($K$1,$K$2,RYC$4),Table1[],(MATCH(Calendar!$A6,DB!1:1,0)+2),FALSE),"")</f>
        <v/>
      </c>
      <c r="RYD6" s="27" t="str">
        <f>IFERROR(VLOOKUP(DATE($K$1,$K$2,RYD$4),Table1[],(MATCH(Calendar!$A6,DB!1:1,0)+2),FALSE),"")</f>
        <v/>
      </c>
      <c r="RYE6" s="27" t="str">
        <f>IFERROR(VLOOKUP(DATE($K$1,$K$2,RYE$4),Table1[],(MATCH(Calendar!$A6,DB!1:1,0)+2),FALSE),"")</f>
        <v/>
      </c>
      <c r="RYF6" s="27" t="str">
        <f>IFERROR(VLOOKUP(DATE($K$1,$K$2,RYF$4),Table1[],(MATCH(Calendar!$A6,DB!1:1,0)+2),FALSE),"")</f>
        <v/>
      </c>
      <c r="RYG6" s="27" t="str">
        <f>IFERROR(VLOOKUP(DATE($K$1,$K$2,RYG$4),Table1[],(MATCH(Calendar!$A6,DB!1:1,0)+2),FALSE),"")</f>
        <v/>
      </c>
      <c r="RYH6" s="27" t="str">
        <f>IFERROR(VLOOKUP(DATE($K$1,$K$2,RYH$4),Table1[],(MATCH(Calendar!$A6,DB!1:1,0)+2),FALSE),"")</f>
        <v/>
      </c>
      <c r="RYI6" s="27" t="str">
        <f>IFERROR(VLOOKUP(DATE($K$1,$K$2,RYI$4),Table1[],(MATCH(Calendar!$A6,DB!1:1,0)+2),FALSE),"")</f>
        <v/>
      </c>
      <c r="RYJ6" s="27" t="str">
        <f>IFERROR(VLOOKUP(DATE($K$1,$K$2,RYJ$4),Table1[],(MATCH(Calendar!$A6,DB!1:1,0)+2),FALSE),"")</f>
        <v/>
      </c>
      <c r="RYK6" s="27" t="str">
        <f>IFERROR(VLOOKUP(DATE($K$1,$K$2,RYK$4),Table1[],(MATCH(Calendar!$A6,DB!1:1,0)+2),FALSE),"")</f>
        <v/>
      </c>
      <c r="RYL6" s="27" t="str">
        <f>IFERROR(VLOOKUP(DATE($K$1,$K$2,RYL$4),Table1[],(MATCH(Calendar!$A6,DB!1:1,0)+2),FALSE),"")</f>
        <v/>
      </c>
      <c r="RYM6" s="27" t="str">
        <f>IFERROR(VLOOKUP(DATE($K$1,$K$2,RYM$4),Table1[],(MATCH(Calendar!$A6,DB!1:1,0)+2),FALSE),"")</f>
        <v/>
      </c>
      <c r="RYN6" s="27" t="str">
        <f>IFERROR(VLOOKUP(DATE($K$1,$K$2,RYN$4),Table1[],(MATCH(Calendar!$A6,DB!1:1,0)+2),FALSE),"")</f>
        <v/>
      </c>
      <c r="RYO6" s="27" t="str">
        <f>IFERROR(VLOOKUP(DATE($K$1,$K$2,RYO$4),Table1[],(MATCH(Calendar!$A6,DB!1:1,0)+2),FALSE),"")</f>
        <v/>
      </c>
      <c r="RYP6" s="27" t="str">
        <f>IFERROR(VLOOKUP(DATE($K$1,$K$2,RYP$4),Table1[],(MATCH(Calendar!$A6,DB!1:1,0)+2),FALSE),"")</f>
        <v/>
      </c>
      <c r="RYQ6" s="27" t="str">
        <f>IFERROR(VLOOKUP(DATE($K$1,$K$2,RYQ$4),Table1[],(MATCH(Calendar!$A6,DB!1:1,0)+2),FALSE),"")</f>
        <v/>
      </c>
      <c r="RYR6" s="27" t="str">
        <f>IFERROR(VLOOKUP(DATE($K$1,$K$2,RYR$4),Table1[],(MATCH(Calendar!$A6,DB!1:1,0)+2),FALSE),"")</f>
        <v/>
      </c>
      <c r="RYS6" s="27" t="str">
        <f>IFERROR(VLOOKUP(DATE($K$1,$K$2,RYS$4),Table1[],(MATCH(Calendar!$A6,DB!1:1,0)+2),FALSE),"")</f>
        <v/>
      </c>
      <c r="RYT6" s="27" t="str">
        <f>IFERROR(VLOOKUP(DATE($K$1,$K$2,RYT$4),Table1[],(MATCH(Calendar!$A6,DB!1:1,0)+2),FALSE),"")</f>
        <v/>
      </c>
      <c r="RYU6" s="27" t="str">
        <f>IFERROR(VLOOKUP(DATE($K$1,$K$2,RYU$4),Table1[],(MATCH(Calendar!$A6,DB!1:1,0)+2),FALSE),"")</f>
        <v/>
      </c>
      <c r="RYV6" s="27" t="str">
        <f>IFERROR(VLOOKUP(DATE($K$1,$K$2,RYV$4),Table1[],(MATCH(Calendar!$A6,DB!1:1,0)+2),FALSE),"")</f>
        <v/>
      </c>
      <c r="RYW6" s="27" t="str">
        <f>IFERROR(VLOOKUP(DATE($K$1,$K$2,RYW$4),Table1[],(MATCH(Calendar!$A6,DB!1:1,0)+2),FALSE),"")</f>
        <v/>
      </c>
      <c r="RYX6" s="27" t="str">
        <f>IFERROR(VLOOKUP(DATE($K$1,$K$2,RYX$4),Table1[],(MATCH(Calendar!$A6,DB!1:1,0)+2),FALSE),"")</f>
        <v/>
      </c>
      <c r="RYY6" s="27" t="str">
        <f>IFERROR(VLOOKUP(DATE($K$1,$K$2,RYY$4),Table1[],(MATCH(Calendar!$A6,DB!1:1,0)+2),FALSE),"")</f>
        <v/>
      </c>
      <c r="RYZ6" s="27" t="str">
        <f>IFERROR(VLOOKUP(DATE($K$1,$K$2,RYZ$4),Table1[],(MATCH(Calendar!$A6,DB!1:1,0)+2),FALSE),"")</f>
        <v/>
      </c>
      <c r="RZA6" s="27" t="str">
        <f>IFERROR(VLOOKUP(DATE($K$1,$K$2,RZA$4),Table1[],(MATCH(Calendar!$A6,DB!1:1,0)+2),FALSE),"")</f>
        <v/>
      </c>
      <c r="RZB6" s="27" t="str">
        <f>IFERROR(VLOOKUP(DATE($K$1,$K$2,RZB$4),Table1[],(MATCH(Calendar!$A6,DB!1:1,0)+2),FALSE),"")</f>
        <v/>
      </c>
      <c r="RZC6" s="27" t="str">
        <f>IFERROR(VLOOKUP(DATE($K$1,$K$2,RZC$4),Table1[],(MATCH(Calendar!$A6,DB!1:1,0)+2),FALSE),"")</f>
        <v/>
      </c>
      <c r="RZD6" s="27" t="str">
        <f>IFERROR(VLOOKUP(DATE($K$1,$K$2,RZD$4),Table1[],(MATCH(Calendar!$A6,DB!1:1,0)+2),FALSE),"")</f>
        <v/>
      </c>
      <c r="RZE6" s="27" t="str">
        <f>IFERROR(VLOOKUP(DATE($K$1,$K$2,RZE$4),Table1[],(MATCH(Calendar!$A6,DB!1:1,0)+2),FALSE),"")</f>
        <v/>
      </c>
      <c r="RZF6" s="27" t="str">
        <f>IFERROR(VLOOKUP(DATE($K$1,$K$2,RZF$4),Table1[],(MATCH(Calendar!$A6,DB!1:1,0)+2),FALSE),"")</f>
        <v/>
      </c>
      <c r="RZG6" s="27" t="str">
        <f>IFERROR(VLOOKUP(DATE($K$1,$K$2,RZG$4),Table1[],(MATCH(Calendar!$A6,DB!1:1,0)+2),FALSE),"")</f>
        <v/>
      </c>
      <c r="RZH6" s="27" t="str">
        <f>IFERROR(VLOOKUP(DATE($K$1,$K$2,RZH$4),Table1[],(MATCH(Calendar!$A6,DB!1:1,0)+2),FALSE),"")</f>
        <v/>
      </c>
      <c r="RZI6" s="27" t="str">
        <f>IFERROR(VLOOKUP(DATE($K$1,$K$2,RZI$4),Table1[],(MATCH(Calendar!$A6,DB!1:1,0)+2),FALSE),"")</f>
        <v/>
      </c>
      <c r="RZJ6" s="27" t="str">
        <f>IFERROR(VLOOKUP(DATE($K$1,$K$2,RZJ$4),Table1[],(MATCH(Calendar!$A6,DB!1:1,0)+2),FALSE),"")</f>
        <v/>
      </c>
      <c r="RZK6" s="27" t="str">
        <f>IFERROR(VLOOKUP(DATE($K$1,$K$2,RZK$4),Table1[],(MATCH(Calendar!$A6,DB!1:1,0)+2),FALSE),"")</f>
        <v/>
      </c>
      <c r="RZL6" s="27" t="str">
        <f>IFERROR(VLOOKUP(DATE($K$1,$K$2,RZL$4),Table1[],(MATCH(Calendar!$A6,DB!1:1,0)+2),FALSE),"")</f>
        <v/>
      </c>
      <c r="RZM6" s="27" t="str">
        <f>IFERROR(VLOOKUP(DATE($K$1,$K$2,RZM$4),Table1[],(MATCH(Calendar!$A6,DB!1:1,0)+2),FALSE),"")</f>
        <v/>
      </c>
      <c r="RZN6" s="27" t="str">
        <f>IFERROR(VLOOKUP(DATE($K$1,$K$2,RZN$4),Table1[],(MATCH(Calendar!$A6,DB!1:1,0)+2),FALSE),"")</f>
        <v/>
      </c>
      <c r="RZO6" s="27" t="str">
        <f>IFERROR(VLOOKUP(DATE($K$1,$K$2,RZO$4),Table1[],(MATCH(Calendar!$A6,DB!1:1,0)+2),FALSE),"")</f>
        <v/>
      </c>
      <c r="RZP6" s="27" t="str">
        <f>IFERROR(VLOOKUP(DATE($K$1,$K$2,RZP$4),Table1[],(MATCH(Calendar!$A6,DB!1:1,0)+2),FALSE),"")</f>
        <v/>
      </c>
      <c r="RZQ6" s="27" t="str">
        <f>IFERROR(VLOOKUP(DATE($K$1,$K$2,RZQ$4),Table1[],(MATCH(Calendar!$A6,DB!1:1,0)+2),FALSE),"")</f>
        <v/>
      </c>
      <c r="RZR6" s="27" t="str">
        <f>IFERROR(VLOOKUP(DATE($K$1,$K$2,RZR$4),Table1[],(MATCH(Calendar!$A6,DB!1:1,0)+2),FALSE),"")</f>
        <v/>
      </c>
      <c r="RZS6" s="27" t="str">
        <f>IFERROR(VLOOKUP(DATE($K$1,$K$2,RZS$4),Table1[],(MATCH(Calendar!$A6,DB!1:1,0)+2),FALSE),"")</f>
        <v/>
      </c>
      <c r="RZT6" s="27" t="str">
        <f>IFERROR(VLOOKUP(DATE($K$1,$K$2,RZT$4),Table1[],(MATCH(Calendar!$A6,DB!1:1,0)+2),FALSE),"")</f>
        <v/>
      </c>
      <c r="RZU6" s="27" t="str">
        <f>IFERROR(VLOOKUP(DATE($K$1,$K$2,RZU$4),Table1[],(MATCH(Calendar!$A6,DB!1:1,0)+2),FALSE),"")</f>
        <v/>
      </c>
      <c r="RZV6" s="27" t="str">
        <f>IFERROR(VLOOKUP(DATE($K$1,$K$2,RZV$4),Table1[],(MATCH(Calendar!$A6,DB!1:1,0)+2),FALSE),"")</f>
        <v/>
      </c>
      <c r="RZW6" s="27" t="str">
        <f>IFERROR(VLOOKUP(DATE($K$1,$K$2,RZW$4),Table1[],(MATCH(Calendar!$A6,DB!1:1,0)+2),FALSE),"")</f>
        <v/>
      </c>
      <c r="RZX6" s="27" t="str">
        <f>IFERROR(VLOOKUP(DATE($K$1,$K$2,RZX$4),Table1[],(MATCH(Calendar!$A6,DB!1:1,0)+2),FALSE),"")</f>
        <v/>
      </c>
      <c r="RZY6" s="27" t="str">
        <f>IFERROR(VLOOKUP(DATE($K$1,$K$2,RZY$4),Table1[],(MATCH(Calendar!$A6,DB!1:1,0)+2),FALSE),"")</f>
        <v/>
      </c>
      <c r="RZZ6" s="27" t="str">
        <f>IFERROR(VLOOKUP(DATE($K$1,$K$2,RZZ$4),Table1[],(MATCH(Calendar!$A6,DB!1:1,0)+2),FALSE),"")</f>
        <v/>
      </c>
      <c r="SAA6" s="27" t="str">
        <f>IFERROR(VLOOKUP(DATE($K$1,$K$2,SAA$4),Table1[],(MATCH(Calendar!$A6,DB!1:1,0)+2),FALSE),"")</f>
        <v/>
      </c>
      <c r="SAB6" s="27" t="str">
        <f>IFERROR(VLOOKUP(DATE($K$1,$K$2,SAB$4),Table1[],(MATCH(Calendar!$A6,DB!1:1,0)+2),FALSE),"")</f>
        <v/>
      </c>
      <c r="SAC6" s="27" t="str">
        <f>IFERROR(VLOOKUP(DATE($K$1,$K$2,SAC$4),Table1[],(MATCH(Calendar!$A6,DB!1:1,0)+2),FALSE),"")</f>
        <v/>
      </c>
      <c r="SAD6" s="27" t="str">
        <f>IFERROR(VLOOKUP(DATE($K$1,$K$2,SAD$4),Table1[],(MATCH(Calendar!$A6,DB!1:1,0)+2),FALSE),"")</f>
        <v/>
      </c>
      <c r="SAE6" s="27" t="str">
        <f>IFERROR(VLOOKUP(DATE($K$1,$K$2,SAE$4),Table1[],(MATCH(Calendar!$A6,DB!1:1,0)+2),FALSE),"")</f>
        <v/>
      </c>
      <c r="SAF6" s="27" t="str">
        <f>IFERROR(VLOOKUP(DATE($K$1,$K$2,SAF$4),Table1[],(MATCH(Calendar!$A6,DB!1:1,0)+2),FALSE),"")</f>
        <v/>
      </c>
      <c r="SAG6" s="27" t="str">
        <f>IFERROR(VLOOKUP(DATE($K$1,$K$2,SAG$4),Table1[],(MATCH(Calendar!$A6,DB!1:1,0)+2),FALSE),"")</f>
        <v/>
      </c>
      <c r="SAH6" s="27" t="str">
        <f>IFERROR(VLOOKUP(DATE($K$1,$K$2,SAH$4),Table1[],(MATCH(Calendar!$A6,DB!1:1,0)+2),FALSE),"")</f>
        <v/>
      </c>
      <c r="SAI6" s="27" t="str">
        <f>IFERROR(VLOOKUP(DATE($K$1,$K$2,SAI$4),Table1[],(MATCH(Calendar!$A6,DB!1:1,0)+2),FALSE),"")</f>
        <v/>
      </c>
      <c r="SAJ6" s="27" t="str">
        <f>IFERROR(VLOOKUP(DATE($K$1,$K$2,SAJ$4),Table1[],(MATCH(Calendar!$A6,DB!1:1,0)+2),FALSE),"")</f>
        <v/>
      </c>
      <c r="SAK6" s="27" t="str">
        <f>IFERROR(VLOOKUP(DATE($K$1,$K$2,SAK$4),Table1[],(MATCH(Calendar!$A6,DB!1:1,0)+2),FALSE),"")</f>
        <v/>
      </c>
      <c r="SAL6" s="27" t="str">
        <f>IFERROR(VLOOKUP(DATE($K$1,$K$2,SAL$4),Table1[],(MATCH(Calendar!$A6,DB!1:1,0)+2),FALSE),"")</f>
        <v/>
      </c>
      <c r="SAM6" s="27" t="str">
        <f>IFERROR(VLOOKUP(DATE($K$1,$K$2,SAM$4),Table1[],(MATCH(Calendar!$A6,DB!1:1,0)+2),FALSE),"")</f>
        <v/>
      </c>
      <c r="SAN6" s="27" t="str">
        <f>IFERROR(VLOOKUP(DATE($K$1,$K$2,SAN$4),Table1[],(MATCH(Calendar!$A6,DB!1:1,0)+2),FALSE),"")</f>
        <v/>
      </c>
      <c r="SAO6" s="27" t="str">
        <f>IFERROR(VLOOKUP(DATE($K$1,$K$2,SAO$4),Table1[],(MATCH(Calendar!$A6,DB!1:1,0)+2),FALSE),"")</f>
        <v/>
      </c>
      <c r="SAP6" s="27" t="str">
        <f>IFERROR(VLOOKUP(DATE($K$1,$K$2,SAP$4),Table1[],(MATCH(Calendar!$A6,DB!1:1,0)+2),FALSE),"")</f>
        <v/>
      </c>
      <c r="SAQ6" s="27" t="str">
        <f>IFERROR(VLOOKUP(DATE($K$1,$K$2,SAQ$4),Table1[],(MATCH(Calendar!$A6,DB!1:1,0)+2),FALSE),"")</f>
        <v/>
      </c>
      <c r="SAR6" s="27" t="str">
        <f>IFERROR(VLOOKUP(DATE($K$1,$K$2,SAR$4),Table1[],(MATCH(Calendar!$A6,DB!1:1,0)+2),FALSE),"")</f>
        <v/>
      </c>
      <c r="SAS6" s="27" t="str">
        <f>IFERROR(VLOOKUP(DATE($K$1,$K$2,SAS$4),Table1[],(MATCH(Calendar!$A6,DB!1:1,0)+2),FALSE),"")</f>
        <v/>
      </c>
      <c r="SAT6" s="27" t="str">
        <f>IFERROR(VLOOKUP(DATE($K$1,$K$2,SAT$4),Table1[],(MATCH(Calendar!$A6,DB!1:1,0)+2),FALSE),"")</f>
        <v/>
      </c>
      <c r="SAU6" s="27" t="str">
        <f>IFERROR(VLOOKUP(DATE($K$1,$K$2,SAU$4),Table1[],(MATCH(Calendar!$A6,DB!1:1,0)+2),FALSE),"")</f>
        <v/>
      </c>
      <c r="SAV6" s="27" t="str">
        <f>IFERROR(VLOOKUP(DATE($K$1,$K$2,SAV$4),Table1[],(MATCH(Calendar!$A6,DB!1:1,0)+2),FALSE),"")</f>
        <v/>
      </c>
      <c r="SAW6" s="27" t="str">
        <f>IFERROR(VLOOKUP(DATE($K$1,$K$2,SAW$4),Table1[],(MATCH(Calendar!$A6,DB!1:1,0)+2),FALSE),"")</f>
        <v/>
      </c>
      <c r="SAX6" s="27" t="str">
        <f>IFERROR(VLOOKUP(DATE($K$1,$K$2,SAX$4),Table1[],(MATCH(Calendar!$A6,DB!1:1,0)+2),FALSE),"")</f>
        <v/>
      </c>
      <c r="SAY6" s="27" t="str">
        <f>IFERROR(VLOOKUP(DATE($K$1,$K$2,SAY$4),Table1[],(MATCH(Calendar!$A6,DB!1:1,0)+2),FALSE),"")</f>
        <v/>
      </c>
      <c r="SAZ6" s="27" t="str">
        <f>IFERROR(VLOOKUP(DATE($K$1,$K$2,SAZ$4),Table1[],(MATCH(Calendar!$A6,DB!1:1,0)+2),FALSE),"")</f>
        <v/>
      </c>
      <c r="SBA6" s="27" t="str">
        <f>IFERROR(VLOOKUP(DATE($K$1,$K$2,SBA$4),Table1[],(MATCH(Calendar!$A6,DB!1:1,0)+2),FALSE),"")</f>
        <v/>
      </c>
      <c r="SBB6" s="27" t="str">
        <f>IFERROR(VLOOKUP(DATE($K$1,$K$2,SBB$4),Table1[],(MATCH(Calendar!$A6,DB!1:1,0)+2),FALSE),"")</f>
        <v/>
      </c>
      <c r="SBC6" s="27" t="str">
        <f>IFERROR(VLOOKUP(DATE($K$1,$K$2,SBC$4),Table1[],(MATCH(Calendar!$A6,DB!1:1,0)+2),FALSE),"")</f>
        <v/>
      </c>
      <c r="SBD6" s="27" t="str">
        <f>IFERROR(VLOOKUP(DATE($K$1,$K$2,SBD$4),Table1[],(MATCH(Calendar!$A6,DB!1:1,0)+2),FALSE),"")</f>
        <v/>
      </c>
      <c r="SBE6" s="27" t="str">
        <f>IFERROR(VLOOKUP(DATE($K$1,$K$2,SBE$4),Table1[],(MATCH(Calendar!$A6,DB!1:1,0)+2),FALSE),"")</f>
        <v/>
      </c>
      <c r="SBF6" s="27" t="str">
        <f>IFERROR(VLOOKUP(DATE($K$1,$K$2,SBF$4),Table1[],(MATCH(Calendar!$A6,DB!1:1,0)+2),FALSE),"")</f>
        <v/>
      </c>
      <c r="SBG6" s="27" t="str">
        <f>IFERROR(VLOOKUP(DATE($K$1,$K$2,SBG$4),Table1[],(MATCH(Calendar!$A6,DB!1:1,0)+2),FALSE),"")</f>
        <v/>
      </c>
      <c r="SBH6" s="27" t="str">
        <f>IFERROR(VLOOKUP(DATE($K$1,$K$2,SBH$4),Table1[],(MATCH(Calendar!$A6,DB!1:1,0)+2),FALSE),"")</f>
        <v/>
      </c>
      <c r="SBI6" s="27" t="str">
        <f>IFERROR(VLOOKUP(DATE($K$1,$K$2,SBI$4),Table1[],(MATCH(Calendar!$A6,DB!1:1,0)+2),FALSE),"")</f>
        <v/>
      </c>
      <c r="SBJ6" s="27" t="str">
        <f>IFERROR(VLOOKUP(DATE($K$1,$K$2,SBJ$4),Table1[],(MATCH(Calendar!$A6,DB!1:1,0)+2),FALSE),"")</f>
        <v/>
      </c>
      <c r="SBK6" s="27" t="str">
        <f>IFERROR(VLOOKUP(DATE($K$1,$K$2,SBK$4),Table1[],(MATCH(Calendar!$A6,DB!1:1,0)+2),FALSE),"")</f>
        <v/>
      </c>
      <c r="SBL6" s="27" t="str">
        <f>IFERROR(VLOOKUP(DATE($K$1,$K$2,SBL$4),Table1[],(MATCH(Calendar!$A6,DB!1:1,0)+2),FALSE),"")</f>
        <v/>
      </c>
      <c r="SBM6" s="27" t="str">
        <f>IFERROR(VLOOKUP(DATE($K$1,$K$2,SBM$4),Table1[],(MATCH(Calendar!$A6,DB!1:1,0)+2),FALSE),"")</f>
        <v/>
      </c>
      <c r="SBN6" s="27" t="str">
        <f>IFERROR(VLOOKUP(DATE($K$1,$K$2,SBN$4),Table1[],(MATCH(Calendar!$A6,DB!1:1,0)+2),FALSE),"")</f>
        <v/>
      </c>
      <c r="SBO6" s="27" t="str">
        <f>IFERROR(VLOOKUP(DATE($K$1,$K$2,SBO$4),Table1[],(MATCH(Calendar!$A6,DB!1:1,0)+2),FALSE),"")</f>
        <v/>
      </c>
      <c r="SBP6" s="27" t="str">
        <f>IFERROR(VLOOKUP(DATE($K$1,$K$2,SBP$4),Table1[],(MATCH(Calendar!$A6,DB!1:1,0)+2),FALSE),"")</f>
        <v/>
      </c>
      <c r="SBQ6" s="27" t="str">
        <f>IFERROR(VLOOKUP(DATE($K$1,$K$2,SBQ$4),Table1[],(MATCH(Calendar!$A6,DB!1:1,0)+2),FALSE),"")</f>
        <v/>
      </c>
      <c r="SBR6" s="27" t="str">
        <f>IFERROR(VLOOKUP(DATE($K$1,$K$2,SBR$4),Table1[],(MATCH(Calendar!$A6,DB!1:1,0)+2),FALSE),"")</f>
        <v/>
      </c>
      <c r="SBS6" s="27" t="str">
        <f>IFERROR(VLOOKUP(DATE($K$1,$K$2,SBS$4),Table1[],(MATCH(Calendar!$A6,DB!1:1,0)+2),FALSE),"")</f>
        <v/>
      </c>
      <c r="SBT6" s="27" t="str">
        <f>IFERROR(VLOOKUP(DATE($K$1,$K$2,SBT$4),Table1[],(MATCH(Calendar!$A6,DB!1:1,0)+2),FALSE),"")</f>
        <v/>
      </c>
      <c r="SBU6" s="27" t="str">
        <f>IFERROR(VLOOKUP(DATE($K$1,$K$2,SBU$4),Table1[],(MATCH(Calendar!$A6,DB!1:1,0)+2),FALSE),"")</f>
        <v/>
      </c>
      <c r="SBV6" s="27" t="str">
        <f>IFERROR(VLOOKUP(DATE($K$1,$K$2,SBV$4),Table1[],(MATCH(Calendar!$A6,DB!1:1,0)+2),FALSE),"")</f>
        <v/>
      </c>
      <c r="SBW6" s="27" t="str">
        <f>IFERROR(VLOOKUP(DATE($K$1,$K$2,SBW$4),Table1[],(MATCH(Calendar!$A6,DB!1:1,0)+2),FALSE),"")</f>
        <v/>
      </c>
      <c r="SBX6" s="27" t="str">
        <f>IFERROR(VLOOKUP(DATE($K$1,$K$2,SBX$4),Table1[],(MATCH(Calendar!$A6,DB!1:1,0)+2),FALSE),"")</f>
        <v/>
      </c>
      <c r="SBY6" s="27" t="str">
        <f>IFERROR(VLOOKUP(DATE($K$1,$K$2,SBY$4),Table1[],(MATCH(Calendar!$A6,DB!1:1,0)+2),FALSE),"")</f>
        <v/>
      </c>
      <c r="SBZ6" s="27" t="str">
        <f>IFERROR(VLOOKUP(DATE($K$1,$K$2,SBZ$4),Table1[],(MATCH(Calendar!$A6,DB!1:1,0)+2),FALSE),"")</f>
        <v/>
      </c>
      <c r="SCA6" s="27" t="str">
        <f>IFERROR(VLOOKUP(DATE($K$1,$K$2,SCA$4),Table1[],(MATCH(Calendar!$A6,DB!1:1,0)+2),FALSE),"")</f>
        <v/>
      </c>
      <c r="SCB6" s="27" t="str">
        <f>IFERROR(VLOOKUP(DATE($K$1,$K$2,SCB$4),Table1[],(MATCH(Calendar!$A6,DB!1:1,0)+2),FALSE),"")</f>
        <v/>
      </c>
      <c r="SCC6" s="27" t="str">
        <f>IFERROR(VLOOKUP(DATE($K$1,$K$2,SCC$4),Table1[],(MATCH(Calendar!$A6,DB!1:1,0)+2),FALSE),"")</f>
        <v/>
      </c>
      <c r="SCD6" s="27" t="str">
        <f>IFERROR(VLOOKUP(DATE($K$1,$K$2,SCD$4),Table1[],(MATCH(Calendar!$A6,DB!1:1,0)+2),FALSE),"")</f>
        <v/>
      </c>
      <c r="SCE6" s="27" t="str">
        <f>IFERROR(VLOOKUP(DATE($K$1,$K$2,SCE$4),Table1[],(MATCH(Calendar!$A6,DB!1:1,0)+2),FALSE),"")</f>
        <v/>
      </c>
      <c r="SCF6" s="27" t="str">
        <f>IFERROR(VLOOKUP(DATE($K$1,$K$2,SCF$4),Table1[],(MATCH(Calendar!$A6,DB!1:1,0)+2),FALSE),"")</f>
        <v/>
      </c>
      <c r="SCG6" s="27" t="str">
        <f>IFERROR(VLOOKUP(DATE($K$1,$K$2,SCG$4),Table1[],(MATCH(Calendar!$A6,DB!1:1,0)+2),FALSE),"")</f>
        <v/>
      </c>
      <c r="SCH6" s="27" t="str">
        <f>IFERROR(VLOOKUP(DATE($K$1,$K$2,SCH$4),Table1[],(MATCH(Calendar!$A6,DB!1:1,0)+2),FALSE),"")</f>
        <v/>
      </c>
      <c r="SCI6" s="27" t="str">
        <f>IFERROR(VLOOKUP(DATE($K$1,$K$2,SCI$4),Table1[],(MATCH(Calendar!$A6,DB!1:1,0)+2),FALSE),"")</f>
        <v/>
      </c>
      <c r="SCJ6" s="27" t="str">
        <f>IFERROR(VLOOKUP(DATE($K$1,$K$2,SCJ$4),Table1[],(MATCH(Calendar!$A6,DB!1:1,0)+2),FALSE),"")</f>
        <v/>
      </c>
      <c r="SCK6" s="27" t="str">
        <f>IFERROR(VLOOKUP(DATE($K$1,$K$2,SCK$4),Table1[],(MATCH(Calendar!$A6,DB!1:1,0)+2),FALSE),"")</f>
        <v/>
      </c>
      <c r="SCL6" s="27" t="str">
        <f>IFERROR(VLOOKUP(DATE($K$1,$K$2,SCL$4),Table1[],(MATCH(Calendar!$A6,DB!1:1,0)+2),FALSE),"")</f>
        <v/>
      </c>
      <c r="SCM6" s="27" t="str">
        <f>IFERROR(VLOOKUP(DATE($K$1,$K$2,SCM$4),Table1[],(MATCH(Calendar!$A6,DB!1:1,0)+2),FALSE),"")</f>
        <v/>
      </c>
      <c r="SCN6" s="27" t="str">
        <f>IFERROR(VLOOKUP(DATE($K$1,$K$2,SCN$4),Table1[],(MATCH(Calendar!$A6,DB!1:1,0)+2),FALSE),"")</f>
        <v/>
      </c>
      <c r="SCO6" s="27" t="str">
        <f>IFERROR(VLOOKUP(DATE($K$1,$K$2,SCO$4),Table1[],(MATCH(Calendar!$A6,DB!1:1,0)+2),FALSE),"")</f>
        <v/>
      </c>
      <c r="SCP6" s="27" t="str">
        <f>IFERROR(VLOOKUP(DATE($K$1,$K$2,SCP$4),Table1[],(MATCH(Calendar!$A6,DB!1:1,0)+2),FALSE),"")</f>
        <v/>
      </c>
      <c r="SCQ6" s="27" t="str">
        <f>IFERROR(VLOOKUP(DATE($K$1,$K$2,SCQ$4),Table1[],(MATCH(Calendar!$A6,DB!1:1,0)+2),FALSE),"")</f>
        <v/>
      </c>
      <c r="SCR6" s="27" t="str">
        <f>IFERROR(VLOOKUP(DATE($K$1,$K$2,SCR$4),Table1[],(MATCH(Calendar!$A6,DB!1:1,0)+2),FALSE),"")</f>
        <v/>
      </c>
      <c r="SCS6" s="27" t="str">
        <f>IFERROR(VLOOKUP(DATE($K$1,$K$2,SCS$4),Table1[],(MATCH(Calendar!$A6,DB!1:1,0)+2),FALSE),"")</f>
        <v/>
      </c>
      <c r="SCT6" s="27" t="str">
        <f>IFERROR(VLOOKUP(DATE($K$1,$K$2,SCT$4),Table1[],(MATCH(Calendar!$A6,DB!1:1,0)+2),FALSE),"")</f>
        <v/>
      </c>
      <c r="SCU6" s="27" t="str">
        <f>IFERROR(VLOOKUP(DATE($K$1,$K$2,SCU$4),Table1[],(MATCH(Calendar!$A6,DB!1:1,0)+2),FALSE),"")</f>
        <v/>
      </c>
      <c r="SCV6" s="27" t="str">
        <f>IFERROR(VLOOKUP(DATE($K$1,$K$2,SCV$4),Table1[],(MATCH(Calendar!$A6,DB!1:1,0)+2),FALSE),"")</f>
        <v/>
      </c>
      <c r="SCW6" s="27" t="str">
        <f>IFERROR(VLOOKUP(DATE($K$1,$K$2,SCW$4),Table1[],(MATCH(Calendar!$A6,DB!1:1,0)+2),FALSE),"")</f>
        <v/>
      </c>
      <c r="SCX6" s="27" t="str">
        <f>IFERROR(VLOOKUP(DATE($K$1,$K$2,SCX$4),Table1[],(MATCH(Calendar!$A6,DB!1:1,0)+2),FALSE),"")</f>
        <v/>
      </c>
      <c r="SCY6" s="27" t="str">
        <f>IFERROR(VLOOKUP(DATE($K$1,$K$2,SCY$4),Table1[],(MATCH(Calendar!$A6,DB!1:1,0)+2),FALSE),"")</f>
        <v/>
      </c>
      <c r="SCZ6" s="27" t="str">
        <f>IFERROR(VLOOKUP(DATE($K$1,$K$2,SCZ$4),Table1[],(MATCH(Calendar!$A6,DB!1:1,0)+2),FALSE),"")</f>
        <v/>
      </c>
      <c r="SDA6" s="27" t="str">
        <f>IFERROR(VLOOKUP(DATE($K$1,$K$2,SDA$4),Table1[],(MATCH(Calendar!$A6,DB!1:1,0)+2),FALSE),"")</f>
        <v/>
      </c>
      <c r="SDB6" s="27" t="str">
        <f>IFERROR(VLOOKUP(DATE($K$1,$K$2,SDB$4),Table1[],(MATCH(Calendar!$A6,DB!1:1,0)+2),FALSE),"")</f>
        <v/>
      </c>
      <c r="SDC6" s="27" t="str">
        <f>IFERROR(VLOOKUP(DATE($K$1,$K$2,SDC$4),Table1[],(MATCH(Calendar!$A6,DB!1:1,0)+2),FALSE),"")</f>
        <v/>
      </c>
      <c r="SDD6" s="27" t="str">
        <f>IFERROR(VLOOKUP(DATE($K$1,$K$2,SDD$4),Table1[],(MATCH(Calendar!$A6,DB!1:1,0)+2),FALSE),"")</f>
        <v/>
      </c>
      <c r="SDE6" s="27" t="str">
        <f>IFERROR(VLOOKUP(DATE($K$1,$K$2,SDE$4),Table1[],(MATCH(Calendar!$A6,DB!1:1,0)+2),FALSE),"")</f>
        <v/>
      </c>
      <c r="SDF6" s="27" t="str">
        <f>IFERROR(VLOOKUP(DATE($K$1,$K$2,SDF$4),Table1[],(MATCH(Calendar!$A6,DB!1:1,0)+2),FALSE),"")</f>
        <v/>
      </c>
      <c r="SDG6" s="27" t="str">
        <f>IFERROR(VLOOKUP(DATE($K$1,$K$2,SDG$4),Table1[],(MATCH(Calendar!$A6,DB!1:1,0)+2),FALSE),"")</f>
        <v/>
      </c>
      <c r="SDH6" s="27" t="str">
        <f>IFERROR(VLOOKUP(DATE($K$1,$K$2,SDH$4),Table1[],(MATCH(Calendar!$A6,DB!1:1,0)+2),FALSE),"")</f>
        <v/>
      </c>
      <c r="SDI6" s="27" t="str">
        <f>IFERROR(VLOOKUP(DATE($K$1,$K$2,SDI$4),Table1[],(MATCH(Calendar!$A6,DB!1:1,0)+2),FALSE),"")</f>
        <v/>
      </c>
      <c r="SDJ6" s="27" t="str">
        <f>IFERROR(VLOOKUP(DATE($K$1,$K$2,SDJ$4),Table1[],(MATCH(Calendar!$A6,DB!1:1,0)+2),FALSE),"")</f>
        <v/>
      </c>
      <c r="SDK6" s="27" t="str">
        <f>IFERROR(VLOOKUP(DATE($K$1,$K$2,SDK$4),Table1[],(MATCH(Calendar!$A6,DB!1:1,0)+2),FALSE),"")</f>
        <v/>
      </c>
      <c r="SDL6" s="27" t="str">
        <f>IFERROR(VLOOKUP(DATE($K$1,$K$2,SDL$4),Table1[],(MATCH(Calendar!$A6,DB!1:1,0)+2),FALSE),"")</f>
        <v/>
      </c>
      <c r="SDM6" s="27" t="str">
        <f>IFERROR(VLOOKUP(DATE($K$1,$K$2,SDM$4),Table1[],(MATCH(Calendar!$A6,DB!1:1,0)+2),FALSE),"")</f>
        <v/>
      </c>
      <c r="SDN6" s="27" t="str">
        <f>IFERROR(VLOOKUP(DATE($K$1,$K$2,SDN$4),Table1[],(MATCH(Calendar!$A6,DB!1:1,0)+2),FALSE),"")</f>
        <v/>
      </c>
      <c r="SDO6" s="27" t="str">
        <f>IFERROR(VLOOKUP(DATE($K$1,$K$2,SDO$4),Table1[],(MATCH(Calendar!$A6,DB!1:1,0)+2),FALSE),"")</f>
        <v/>
      </c>
      <c r="SDP6" s="27" t="str">
        <f>IFERROR(VLOOKUP(DATE($K$1,$K$2,SDP$4),Table1[],(MATCH(Calendar!$A6,DB!1:1,0)+2),FALSE),"")</f>
        <v/>
      </c>
      <c r="SDQ6" s="27" t="str">
        <f>IFERROR(VLOOKUP(DATE($K$1,$K$2,SDQ$4),Table1[],(MATCH(Calendar!$A6,DB!1:1,0)+2),FALSE),"")</f>
        <v/>
      </c>
      <c r="SDR6" s="27" t="str">
        <f>IFERROR(VLOOKUP(DATE($K$1,$K$2,SDR$4),Table1[],(MATCH(Calendar!$A6,DB!1:1,0)+2),FALSE),"")</f>
        <v/>
      </c>
      <c r="SDS6" s="27" t="str">
        <f>IFERROR(VLOOKUP(DATE($K$1,$K$2,SDS$4),Table1[],(MATCH(Calendar!$A6,DB!1:1,0)+2),FALSE),"")</f>
        <v/>
      </c>
      <c r="SDT6" s="27" t="str">
        <f>IFERROR(VLOOKUP(DATE($K$1,$K$2,SDT$4),Table1[],(MATCH(Calendar!$A6,DB!1:1,0)+2),FALSE),"")</f>
        <v/>
      </c>
      <c r="SDU6" s="27" t="str">
        <f>IFERROR(VLOOKUP(DATE($K$1,$K$2,SDU$4),Table1[],(MATCH(Calendar!$A6,DB!1:1,0)+2),FALSE),"")</f>
        <v/>
      </c>
      <c r="SDV6" s="27" t="str">
        <f>IFERROR(VLOOKUP(DATE($K$1,$K$2,SDV$4),Table1[],(MATCH(Calendar!$A6,DB!1:1,0)+2),FALSE),"")</f>
        <v/>
      </c>
      <c r="SDW6" s="27" t="str">
        <f>IFERROR(VLOOKUP(DATE($K$1,$K$2,SDW$4),Table1[],(MATCH(Calendar!$A6,DB!1:1,0)+2),FALSE),"")</f>
        <v/>
      </c>
      <c r="SDX6" s="27" t="str">
        <f>IFERROR(VLOOKUP(DATE($K$1,$K$2,SDX$4),Table1[],(MATCH(Calendar!$A6,DB!1:1,0)+2),FALSE),"")</f>
        <v/>
      </c>
      <c r="SDY6" s="27" t="str">
        <f>IFERROR(VLOOKUP(DATE($K$1,$K$2,SDY$4),Table1[],(MATCH(Calendar!$A6,DB!1:1,0)+2),FALSE),"")</f>
        <v/>
      </c>
      <c r="SDZ6" s="27" t="str">
        <f>IFERROR(VLOOKUP(DATE($K$1,$K$2,SDZ$4),Table1[],(MATCH(Calendar!$A6,DB!1:1,0)+2),FALSE),"")</f>
        <v/>
      </c>
      <c r="SEA6" s="27" t="str">
        <f>IFERROR(VLOOKUP(DATE($K$1,$K$2,SEA$4),Table1[],(MATCH(Calendar!$A6,DB!1:1,0)+2),FALSE),"")</f>
        <v/>
      </c>
      <c r="SEB6" s="27" t="str">
        <f>IFERROR(VLOOKUP(DATE($K$1,$K$2,SEB$4),Table1[],(MATCH(Calendar!$A6,DB!1:1,0)+2),FALSE),"")</f>
        <v/>
      </c>
      <c r="SEC6" s="27" t="str">
        <f>IFERROR(VLOOKUP(DATE($K$1,$K$2,SEC$4),Table1[],(MATCH(Calendar!$A6,DB!1:1,0)+2),FALSE),"")</f>
        <v/>
      </c>
      <c r="SED6" s="27" t="str">
        <f>IFERROR(VLOOKUP(DATE($K$1,$K$2,SED$4),Table1[],(MATCH(Calendar!$A6,DB!1:1,0)+2),FALSE),"")</f>
        <v/>
      </c>
      <c r="SEE6" s="27" t="str">
        <f>IFERROR(VLOOKUP(DATE($K$1,$K$2,SEE$4),Table1[],(MATCH(Calendar!$A6,DB!1:1,0)+2),FALSE),"")</f>
        <v/>
      </c>
      <c r="SEF6" s="27" t="str">
        <f>IFERROR(VLOOKUP(DATE($K$1,$K$2,SEF$4),Table1[],(MATCH(Calendar!$A6,DB!1:1,0)+2),FALSE),"")</f>
        <v/>
      </c>
      <c r="SEG6" s="27" t="str">
        <f>IFERROR(VLOOKUP(DATE($K$1,$K$2,SEG$4),Table1[],(MATCH(Calendar!$A6,DB!1:1,0)+2),FALSE),"")</f>
        <v/>
      </c>
      <c r="SEH6" s="27" t="str">
        <f>IFERROR(VLOOKUP(DATE($K$1,$K$2,SEH$4),Table1[],(MATCH(Calendar!$A6,DB!1:1,0)+2),FALSE),"")</f>
        <v/>
      </c>
      <c r="SEI6" s="27" t="str">
        <f>IFERROR(VLOOKUP(DATE($K$1,$K$2,SEI$4),Table1[],(MATCH(Calendar!$A6,DB!1:1,0)+2),FALSE),"")</f>
        <v/>
      </c>
      <c r="SEJ6" s="27" t="str">
        <f>IFERROR(VLOOKUP(DATE($K$1,$K$2,SEJ$4),Table1[],(MATCH(Calendar!$A6,DB!1:1,0)+2),FALSE),"")</f>
        <v/>
      </c>
      <c r="SEK6" s="27" t="str">
        <f>IFERROR(VLOOKUP(DATE($K$1,$K$2,SEK$4),Table1[],(MATCH(Calendar!$A6,DB!1:1,0)+2),FALSE),"")</f>
        <v/>
      </c>
      <c r="SEL6" s="27" t="str">
        <f>IFERROR(VLOOKUP(DATE($K$1,$K$2,SEL$4),Table1[],(MATCH(Calendar!$A6,DB!1:1,0)+2),FALSE),"")</f>
        <v/>
      </c>
      <c r="SEM6" s="27" t="str">
        <f>IFERROR(VLOOKUP(DATE($K$1,$K$2,SEM$4),Table1[],(MATCH(Calendar!$A6,DB!1:1,0)+2),FALSE),"")</f>
        <v/>
      </c>
      <c r="SEN6" s="27" t="str">
        <f>IFERROR(VLOOKUP(DATE($K$1,$K$2,SEN$4),Table1[],(MATCH(Calendar!$A6,DB!1:1,0)+2),FALSE),"")</f>
        <v/>
      </c>
      <c r="SEO6" s="27" t="str">
        <f>IFERROR(VLOOKUP(DATE($K$1,$K$2,SEO$4),Table1[],(MATCH(Calendar!$A6,DB!1:1,0)+2),FALSE),"")</f>
        <v/>
      </c>
      <c r="SEP6" s="27" t="str">
        <f>IFERROR(VLOOKUP(DATE($K$1,$K$2,SEP$4),Table1[],(MATCH(Calendar!$A6,DB!1:1,0)+2),FALSE),"")</f>
        <v/>
      </c>
      <c r="SEQ6" s="27" t="str">
        <f>IFERROR(VLOOKUP(DATE($K$1,$K$2,SEQ$4),Table1[],(MATCH(Calendar!$A6,DB!1:1,0)+2),FALSE),"")</f>
        <v/>
      </c>
      <c r="SER6" s="27" t="str">
        <f>IFERROR(VLOOKUP(DATE($K$1,$K$2,SER$4),Table1[],(MATCH(Calendar!$A6,DB!1:1,0)+2),FALSE),"")</f>
        <v/>
      </c>
      <c r="SES6" s="27" t="str">
        <f>IFERROR(VLOOKUP(DATE($K$1,$K$2,SES$4),Table1[],(MATCH(Calendar!$A6,DB!1:1,0)+2),FALSE),"")</f>
        <v/>
      </c>
      <c r="SET6" s="27" t="str">
        <f>IFERROR(VLOOKUP(DATE($K$1,$K$2,SET$4),Table1[],(MATCH(Calendar!$A6,DB!1:1,0)+2),FALSE),"")</f>
        <v/>
      </c>
      <c r="SEU6" s="27" t="str">
        <f>IFERROR(VLOOKUP(DATE($K$1,$K$2,SEU$4),Table1[],(MATCH(Calendar!$A6,DB!1:1,0)+2),FALSE),"")</f>
        <v/>
      </c>
      <c r="SEV6" s="27" t="str">
        <f>IFERROR(VLOOKUP(DATE($K$1,$K$2,SEV$4),Table1[],(MATCH(Calendar!$A6,DB!1:1,0)+2),FALSE),"")</f>
        <v/>
      </c>
      <c r="SEW6" s="27" t="str">
        <f>IFERROR(VLOOKUP(DATE($K$1,$K$2,SEW$4),Table1[],(MATCH(Calendar!$A6,DB!1:1,0)+2),FALSE),"")</f>
        <v/>
      </c>
      <c r="SEX6" s="27" t="str">
        <f>IFERROR(VLOOKUP(DATE($K$1,$K$2,SEX$4),Table1[],(MATCH(Calendar!$A6,DB!1:1,0)+2),FALSE),"")</f>
        <v/>
      </c>
      <c r="SEY6" s="27" t="str">
        <f>IFERROR(VLOOKUP(DATE($K$1,$K$2,SEY$4),Table1[],(MATCH(Calendar!$A6,DB!1:1,0)+2),FALSE),"")</f>
        <v/>
      </c>
      <c r="SEZ6" s="27" t="str">
        <f>IFERROR(VLOOKUP(DATE($K$1,$K$2,SEZ$4),Table1[],(MATCH(Calendar!$A6,DB!1:1,0)+2),FALSE),"")</f>
        <v/>
      </c>
      <c r="SFA6" s="27" t="str">
        <f>IFERROR(VLOOKUP(DATE($K$1,$K$2,SFA$4),Table1[],(MATCH(Calendar!$A6,DB!1:1,0)+2),FALSE),"")</f>
        <v/>
      </c>
      <c r="SFB6" s="27" t="str">
        <f>IFERROR(VLOOKUP(DATE($K$1,$K$2,SFB$4),Table1[],(MATCH(Calendar!$A6,DB!1:1,0)+2),FALSE),"")</f>
        <v/>
      </c>
      <c r="SFC6" s="27" t="str">
        <f>IFERROR(VLOOKUP(DATE($K$1,$K$2,SFC$4),Table1[],(MATCH(Calendar!$A6,DB!1:1,0)+2),FALSE),"")</f>
        <v/>
      </c>
      <c r="SFD6" s="27" t="str">
        <f>IFERROR(VLOOKUP(DATE($K$1,$K$2,SFD$4),Table1[],(MATCH(Calendar!$A6,DB!1:1,0)+2),FALSE),"")</f>
        <v/>
      </c>
      <c r="SFE6" s="27" t="str">
        <f>IFERROR(VLOOKUP(DATE($K$1,$K$2,SFE$4),Table1[],(MATCH(Calendar!$A6,DB!1:1,0)+2),FALSE),"")</f>
        <v/>
      </c>
      <c r="SFF6" s="27" t="str">
        <f>IFERROR(VLOOKUP(DATE($K$1,$K$2,SFF$4),Table1[],(MATCH(Calendar!$A6,DB!1:1,0)+2),FALSE),"")</f>
        <v/>
      </c>
      <c r="SFG6" s="27" t="str">
        <f>IFERROR(VLOOKUP(DATE($K$1,$K$2,SFG$4),Table1[],(MATCH(Calendar!$A6,DB!1:1,0)+2),FALSE),"")</f>
        <v/>
      </c>
      <c r="SFH6" s="27" t="str">
        <f>IFERROR(VLOOKUP(DATE($K$1,$K$2,SFH$4),Table1[],(MATCH(Calendar!$A6,DB!1:1,0)+2),FALSE),"")</f>
        <v/>
      </c>
      <c r="SFI6" s="27" t="str">
        <f>IFERROR(VLOOKUP(DATE($K$1,$K$2,SFI$4),Table1[],(MATCH(Calendar!$A6,DB!1:1,0)+2),FALSE),"")</f>
        <v/>
      </c>
      <c r="SFJ6" s="27" t="str">
        <f>IFERROR(VLOOKUP(DATE($K$1,$K$2,SFJ$4),Table1[],(MATCH(Calendar!$A6,DB!1:1,0)+2),FALSE),"")</f>
        <v/>
      </c>
      <c r="SFK6" s="27" t="str">
        <f>IFERROR(VLOOKUP(DATE($K$1,$K$2,SFK$4),Table1[],(MATCH(Calendar!$A6,DB!1:1,0)+2),FALSE),"")</f>
        <v/>
      </c>
      <c r="SFL6" s="27" t="str">
        <f>IFERROR(VLOOKUP(DATE($K$1,$K$2,SFL$4),Table1[],(MATCH(Calendar!$A6,DB!1:1,0)+2),FALSE),"")</f>
        <v/>
      </c>
      <c r="SFM6" s="27" t="str">
        <f>IFERROR(VLOOKUP(DATE($K$1,$K$2,SFM$4),Table1[],(MATCH(Calendar!$A6,DB!1:1,0)+2),FALSE),"")</f>
        <v/>
      </c>
      <c r="SFN6" s="27" t="str">
        <f>IFERROR(VLOOKUP(DATE($K$1,$K$2,SFN$4),Table1[],(MATCH(Calendar!$A6,DB!1:1,0)+2),FALSE),"")</f>
        <v/>
      </c>
      <c r="SFO6" s="27" t="str">
        <f>IFERROR(VLOOKUP(DATE($K$1,$K$2,SFO$4),Table1[],(MATCH(Calendar!$A6,DB!1:1,0)+2),FALSE),"")</f>
        <v/>
      </c>
      <c r="SFP6" s="27" t="str">
        <f>IFERROR(VLOOKUP(DATE($K$1,$K$2,SFP$4),Table1[],(MATCH(Calendar!$A6,DB!1:1,0)+2),FALSE),"")</f>
        <v/>
      </c>
      <c r="SFQ6" s="27" t="str">
        <f>IFERROR(VLOOKUP(DATE($K$1,$K$2,SFQ$4),Table1[],(MATCH(Calendar!$A6,DB!1:1,0)+2),FALSE),"")</f>
        <v/>
      </c>
      <c r="SFR6" s="27" t="str">
        <f>IFERROR(VLOOKUP(DATE($K$1,$K$2,SFR$4),Table1[],(MATCH(Calendar!$A6,DB!1:1,0)+2),FALSE),"")</f>
        <v/>
      </c>
      <c r="SFS6" s="27" t="str">
        <f>IFERROR(VLOOKUP(DATE($K$1,$K$2,SFS$4),Table1[],(MATCH(Calendar!$A6,DB!1:1,0)+2),FALSE),"")</f>
        <v/>
      </c>
      <c r="SFT6" s="27" t="str">
        <f>IFERROR(VLOOKUP(DATE($K$1,$K$2,SFT$4),Table1[],(MATCH(Calendar!$A6,DB!1:1,0)+2),FALSE),"")</f>
        <v/>
      </c>
      <c r="SFU6" s="27" t="str">
        <f>IFERROR(VLOOKUP(DATE($K$1,$K$2,SFU$4),Table1[],(MATCH(Calendar!$A6,DB!1:1,0)+2),FALSE),"")</f>
        <v/>
      </c>
      <c r="SFV6" s="27" t="str">
        <f>IFERROR(VLOOKUP(DATE($K$1,$K$2,SFV$4),Table1[],(MATCH(Calendar!$A6,DB!1:1,0)+2),FALSE),"")</f>
        <v/>
      </c>
      <c r="SFW6" s="27" t="str">
        <f>IFERROR(VLOOKUP(DATE($K$1,$K$2,SFW$4),Table1[],(MATCH(Calendar!$A6,DB!1:1,0)+2),FALSE),"")</f>
        <v/>
      </c>
      <c r="SFX6" s="27" t="str">
        <f>IFERROR(VLOOKUP(DATE($K$1,$K$2,SFX$4),Table1[],(MATCH(Calendar!$A6,DB!1:1,0)+2),FALSE),"")</f>
        <v/>
      </c>
      <c r="SFY6" s="27" t="str">
        <f>IFERROR(VLOOKUP(DATE($K$1,$K$2,SFY$4),Table1[],(MATCH(Calendar!$A6,DB!1:1,0)+2),FALSE),"")</f>
        <v/>
      </c>
      <c r="SFZ6" s="27" t="str">
        <f>IFERROR(VLOOKUP(DATE($K$1,$K$2,SFZ$4),Table1[],(MATCH(Calendar!$A6,DB!1:1,0)+2),FALSE),"")</f>
        <v/>
      </c>
      <c r="SGA6" s="27" t="str">
        <f>IFERROR(VLOOKUP(DATE($K$1,$K$2,SGA$4),Table1[],(MATCH(Calendar!$A6,DB!1:1,0)+2),FALSE),"")</f>
        <v/>
      </c>
      <c r="SGB6" s="27" t="str">
        <f>IFERROR(VLOOKUP(DATE($K$1,$K$2,SGB$4),Table1[],(MATCH(Calendar!$A6,DB!1:1,0)+2),FALSE),"")</f>
        <v/>
      </c>
      <c r="SGC6" s="27" t="str">
        <f>IFERROR(VLOOKUP(DATE($K$1,$K$2,SGC$4),Table1[],(MATCH(Calendar!$A6,DB!1:1,0)+2),FALSE),"")</f>
        <v/>
      </c>
      <c r="SGD6" s="27" t="str">
        <f>IFERROR(VLOOKUP(DATE($K$1,$K$2,SGD$4),Table1[],(MATCH(Calendar!$A6,DB!1:1,0)+2),FALSE),"")</f>
        <v/>
      </c>
      <c r="SGE6" s="27" t="str">
        <f>IFERROR(VLOOKUP(DATE($K$1,$K$2,SGE$4),Table1[],(MATCH(Calendar!$A6,DB!1:1,0)+2),FALSE),"")</f>
        <v/>
      </c>
      <c r="SGF6" s="27" t="str">
        <f>IFERROR(VLOOKUP(DATE($K$1,$K$2,SGF$4),Table1[],(MATCH(Calendar!$A6,DB!1:1,0)+2),FALSE),"")</f>
        <v/>
      </c>
      <c r="SGG6" s="27" t="str">
        <f>IFERROR(VLOOKUP(DATE($K$1,$K$2,SGG$4),Table1[],(MATCH(Calendar!$A6,DB!1:1,0)+2),FALSE),"")</f>
        <v/>
      </c>
      <c r="SGH6" s="27" t="str">
        <f>IFERROR(VLOOKUP(DATE($K$1,$K$2,SGH$4),Table1[],(MATCH(Calendar!$A6,DB!1:1,0)+2),FALSE),"")</f>
        <v/>
      </c>
      <c r="SGI6" s="27" t="str">
        <f>IFERROR(VLOOKUP(DATE($K$1,$K$2,SGI$4),Table1[],(MATCH(Calendar!$A6,DB!1:1,0)+2),FALSE),"")</f>
        <v/>
      </c>
      <c r="SGJ6" s="27" t="str">
        <f>IFERROR(VLOOKUP(DATE($K$1,$K$2,SGJ$4),Table1[],(MATCH(Calendar!$A6,DB!1:1,0)+2),FALSE),"")</f>
        <v/>
      </c>
      <c r="SGK6" s="27" t="str">
        <f>IFERROR(VLOOKUP(DATE($K$1,$K$2,SGK$4),Table1[],(MATCH(Calendar!$A6,DB!1:1,0)+2),FALSE),"")</f>
        <v/>
      </c>
      <c r="SGL6" s="27" t="str">
        <f>IFERROR(VLOOKUP(DATE($K$1,$K$2,SGL$4),Table1[],(MATCH(Calendar!$A6,DB!1:1,0)+2),FALSE),"")</f>
        <v/>
      </c>
      <c r="SGM6" s="27" t="str">
        <f>IFERROR(VLOOKUP(DATE($K$1,$K$2,SGM$4),Table1[],(MATCH(Calendar!$A6,DB!1:1,0)+2),FALSE),"")</f>
        <v/>
      </c>
      <c r="SGN6" s="27" t="str">
        <f>IFERROR(VLOOKUP(DATE($K$1,$K$2,SGN$4),Table1[],(MATCH(Calendar!$A6,DB!1:1,0)+2),FALSE),"")</f>
        <v/>
      </c>
      <c r="SGO6" s="27" t="str">
        <f>IFERROR(VLOOKUP(DATE($K$1,$K$2,SGO$4),Table1[],(MATCH(Calendar!$A6,DB!1:1,0)+2),FALSE),"")</f>
        <v/>
      </c>
      <c r="SGP6" s="27" t="str">
        <f>IFERROR(VLOOKUP(DATE($K$1,$K$2,SGP$4),Table1[],(MATCH(Calendar!$A6,DB!1:1,0)+2),FALSE),"")</f>
        <v/>
      </c>
      <c r="SGQ6" s="27" t="str">
        <f>IFERROR(VLOOKUP(DATE($K$1,$K$2,SGQ$4),Table1[],(MATCH(Calendar!$A6,DB!1:1,0)+2),FALSE),"")</f>
        <v/>
      </c>
      <c r="SGR6" s="27" t="str">
        <f>IFERROR(VLOOKUP(DATE($K$1,$K$2,SGR$4),Table1[],(MATCH(Calendar!$A6,DB!1:1,0)+2),FALSE),"")</f>
        <v/>
      </c>
      <c r="SGS6" s="27" t="str">
        <f>IFERROR(VLOOKUP(DATE($K$1,$K$2,SGS$4),Table1[],(MATCH(Calendar!$A6,DB!1:1,0)+2),FALSE),"")</f>
        <v/>
      </c>
      <c r="SGT6" s="27" t="str">
        <f>IFERROR(VLOOKUP(DATE($K$1,$K$2,SGT$4),Table1[],(MATCH(Calendar!$A6,DB!1:1,0)+2),FALSE),"")</f>
        <v/>
      </c>
      <c r="SGU6" s="27" t="str">
        <f>IFERROR(VLOOKUP(DATE($K$1,$K$2,SGU$4),Table1[],(MATCH(Calendar!$A6,DB!1:1,0)+2),FALSE),"")</f>
        <v/>
      </c>
      <c r="SGV6" s="27" t="str">
        <f>IFERROR(VLOOKUP(DATE($K$1,$K$2,SGV$4),Table1[],(MATCH(Calendar!$A6,DB!1:1,0)+2),FALSE),"")</f>
        <v/>
      </c>
      <c r="SGW6" s="27" t="str">
        <f>IFERROR(VLOOKUP(DATE($K$1,$K$2,SGW$4),Table1[],(MATCH(Calendar!$A6,DB!1:1,0)+2),FALSE),"")</f>
        <v/>
      </c>
      <c r="SGX6" s="27" t="str">
        <f>IFERROR(VLOOKUP(DATE($K$1,$K$2,SGX$4),Table1[],(MATCH(Calendar!$A6,DB!1:1,0)+2),FALSE),"")</f>
        <v/>
      </c>
      <c r="SGY6" s="27" t="str">
        <f>IFERROR(VLOOKUP(DATE($K$1,$K$2,SGY$4),Table1[],(MATCH(Calendar!$A6,DB!1:1,0)+2),FALSE),"")</f>
        <v/>
      </c>
      <c r="SGZ6" s="27" t="str">
        <f>IFERROR(VLOOKUP(DATE($K$1,$K$2,SGZ$4),Table1[],(MATCH(Calendar!$A6,DB!1:1,0)+2),FALSE),"")</f>
        <v/>
      </c>
      <c r="SHA6" s="27" t="str">
        <f>IFERROR(VLOOKUP(DATE($K$1,$K$2,SHA$4),Table1[],(MATCH(Calendar!$A6,DB!1:1,0)+2),FALSE),"")</f>
        <v/>
      </c>
      <c r="SHB6" s="27" t="str">
        <f>IFERROR(VLOOKUP(DATE($K$1,$K$2,SHB$4),Table1[],(MATCH(Calendar!$A6,DB!1:1,0)+2),FALSE),"")</f>
        <v/>
      </c>
      <c r="SHC6" s="27" t="str">
        <f>IFERROR(VLOOKUP(DATE($K$1,$K$2,SHC$4),Table1[],(MATCH(Calendar!$A6,DB!1:1,0)+2),FALSE),"")</f>
        <v/>
      </c>
      <c r="SHD6" s="27" t="str">
        <f>IFERROR(VLOOKUP(DATE($K$1,$K$2,SHD$4),Table1[],(MATCH(Calendar!$A6,DB!1:1,0)+2),FALSE),"")</f>
        <v/>
      </c>
      <c r="SHE6" s="27" t="str">
        <f>IFERROR(VLOOKUP(DATE($K$1,$K$2,SHE$4),Table1[],(MATCH(Calendar!$A6,DB!1:1,0)+2),FALSE),"")</f>
        <v/>
      </c>
      <c r="SHF6" s="27" t="str">
        <f>IFERROR(VLOOKUP(DATE($K$1,$K$2,SHF$4),Table1[],(MATCH(Calendar!$A6,DB!1:1,0)+2),FALSE),"")</f>
        <v/>
      </c>
      <c r="SHG6" s="27" t="str">
        <f>IFERROR(VLOOKUP(DATE($K$1,$K$2,SHG$4),Table1[],(MATCH(Calendar!$A6,DB!1:1,0)+2),FALSE),"")</f>
        <v/>
      </c>
      <c r="SHH6" s="27" t="str">
        <f>IFERROR(VLOOKUP(DATE($K$1,$K$2,SHH$4),Table1[],(MATCH(Calendar!$A6,DB!1:1,0)+2),FALSE),"")</f>
        <v/>
      </c>
      <c r="SHI6" s="27" t="str">
        <f>IFERROR(VLOOKUP(DATE($K$1,$K$2,SHI$4),Table1[],(MATCH(Calendar!$A6,DB!1:1,0)+2),FALSE),"")</f>
        <v/>
      </c>
      <c r="SHJ6" s="27" t="str">
        <f>IFERROR(VLOOKUP(DATE($K$1,$K$2,SHJ$4),Table1[],(MATCH(Calendar!$A6,DB!1:1,0)+2),FALSE),"")</f>
        <v/>
      </c>
      <c r="SHK6" s="27" t="str">
        <f>IFERROR(VLOOKUP(DATE($K$1,$K$2,SHK$4),Table1[],(MATCH(Calendar!$A6,DB!1:1,0)+2),FALSE),"")</f>
        <v/>
      </c>
      <c r="SHL6" s="27" t="str">
        <f>IFERROR(VLOOKUP(DATE($K$1,$K$2,SHL$4),Table1[],(MATCH(Calendar!$A6,DB!1:1,0)+2),FALSE),"")</f>
        <v/>
      </c>
      <c r="SHM6" s="27" t="str">
        <f>IFERROR(VLOOKUP(DATE($K$1,$K$2,SHM$4),Table1[],(MATCH(Calendar!$A6,DB!1:1,0)+2),FALSE),"")</f>
        <v/>
      </c>
      <c r="SHN6" s="27" t="str">
        <f>IFERROR(VLOOKUP(DATE($K$1,$K$2,SHN$4),Table1[],(MATCH(Calendar!$A6,DB!1:1,0)+2),FALSE),"")</f>
        <v/>
      </c>
      <c r="SHO6" s="27" t="str">
        <f>IFERROR(VLOOKUP(DATE($K$1,$K$2,SHO$4),Table1[],(MATCH(Calendar!$A6,DB!1:1,0)+2),FALSE),"")</f>
        <v/>
      </c>
      <c r="SHP6" s="27" t="str">
        <f>IFERROR(VLOOKUP(DATE($K$1,$K$2,SHP$4),Table1[],(MATCH(Calendar!$A6,DB!1:1,0)+2),FALSE),"")</f>
        <v/>
      </c>
      <c r="SHQ6" s="27" t="str">
        <f>IFERROR(VLOOKUP(DATE($K$1,$K$2,SHQ$4),Table1[],(MATCH(Calendar!$A6,DB!1:1,0)+2),FALSE),"")</f>
        <v/>
      </c>
      <c r="SHR6" s="27" t="str">
        <f>IFERROR(VLOOKUP(DATE($K$1,$K$2,SHR$4),Table1[],(MATCH(Calendar!$A6,DB!1:1,0)+2),FALSE),"")</f>
        <v/>
      </c>
      <c r="SHS6" s="27" t="str">
        <f>IFERROR(VLOOKUP(DATE($K$1,$K$2,SHS$4),Table1[],(MATCH(Calendar!$A6,DB!1:1,0)+2),FALSE),"")</f>
        <v/>
      </c>
      <c r="SHT6" s="27" t="str">
        <f>IFERROR(VLOOKUP(DATE($K$1,$K$2,SHT$4),Table1[],(MATCH(Calendar!$A6,DB!1:1,0)+2),FALSE),"")</f>
        <v/>
      </c>
      <c r="SHU6" s="27" t="str">
        <f>IFERROR(VLOOKUP(DATE($K$1,$K$2,SHU$4),Table1[],(MATCH(Calendar!$A6,DB!1:1,0)+2),FALSE),"")</f>
        <v/>
      </c>
      <c r="SHV6" s="27" t="str">
        <f>IFERROR(VLOOKUP(DATE($K$1,$K$2,SHV$4),Table1[],(MATCH(Calendar!$A6,DB!1:1,0)+2),FALSE),"")</f>
        <v/>
      </c>
      <c r="SHW6" s="27" t="str">
        <f>IFERROR(VLOOKUP(DATE($K$1,$K$2,SHW$4),Table1[],(MATCH(Calendar!$A6,DB!1:1,0)+2),FALSE),"")</f>
        <v/>
      </c>
      <c r="SHX6" s="27" t="str">
        <f>IFERROR(VLOOKUP(DATE($K$1,$K$2,SHX$4),Table1[],(MATCH(Calendar!$A6,DB!1:1,0)+2),FALSE),"")</f>
        <v/>
      </c>
      <c r="SHY6" s="27" t="str">
        <f>IFERROR(VLOOKUP(DATE($K$1,$K$2,SHY$4),Table1[],(MATCH(Calendar!$A6,DB!1:1,0)+2),FALSE),"")</f>
        <v/>
      </c>
      <c r="SHZ6" s="27" t="str">
        <f>IFERROR(VLOOKUP(DATE($K$1,$K$2,SHZ$4),Table1[],(MATCH(Calendar!$A6,DB!1:1,0)+2),FALSE),"")</f>
        <v/>
      </c>
      <c r="SIA6" s="27" t="str">
        <f>IFERROR(VLOOKUP(DATE($K$1,$K$2,SIA$4),Table1[],(MATCH(Calendar!$A6,DB!1:1,0)+2),FALSE),"")</f>
        <v/>
      </c>
      <c r="SIB6" s="27" t="str">
        <f>IFERROR(VLOOKUP(DATE($K$1,$K$2,SIB$4),Table1[],(MATCH(Calendar!$A6,DB!1:1,0)+2),FALSE),"")</f>
        <v/>
      </c>
      <c r="SIC6" s="27" t="str">
        <f>IFERROR(VLOOKUP(DATE($K$1,$K$2,SIC$4),Table1[],(MATCH(Calendar!$A6,DB!1:1,0)+2),FALSE),"")</f>
        <v/>
      </c>
      <c r="SID6" s="27" t="str">
        <f>IFERROR(VLOOKUP(DATE($K$1,$K$2,SID$4),Table1[],(MATCH(Calendar!$A6,DB!1:1,0)+2),FALSE),"")</f>
        <v/>
      </c>
      <c r="SIE6" s="27" t="str">
        <f>IFERROR(VLOOKUP(DATE($K$1,$K$2,SIE$4),Table1[],(MATCH(Calendar!$A6,DB!1:1,0)+2),FALSE),"")</f>
        <v/>
      </c>
      <c r="SIF6" s="27" t="str">
        <f>IFERROR(VLOOKUP(DATE($K$1,$K$2,SIF$4),Table1[],(MATCH(Calendar!$A6,DB!1:1,0)+2),FALSE),"")</f>
        <v/>
      </c>
      <c r="SIG6" s="27" t="str">
        <f>IFERROR(VLOOKUP(DATE($K$1,$K$2,SIG$4),Table1[],(MATCH(Calendar!$A6,DB!1:1,0)+2),FALSE),"")</f>
        <v/>
      </c>
      <c r="SIH6" s="27" t="str">
        <f>IFERROR(VLOOKUP(DATE($K$1,$K$2,SIH$4),Table1[],(MATCH(Calendar!$A6,DB!1:1,0)+2),FALSE),"")</f>
        <v/>
      </c>
      <c r="SII6" s="27" t="str">
        <f>IFERROR(VLOOKUP(DATE($K$1,$K$2,SII$4),Table1[],(MATCH(Calendar!$A6,DB!1:1,0)+2),FALSE),"")</f>
        <v/>
      </c>
      <c r="SIJ6" s="27" t="str">
        <f>IFERROR(VLOOKUP(DATE($K$1,$K$2,SIJ$4),Table1[],(MATCH(Calendar!$A6,DB!1:1,0)+2),FALSE),"")</f>
        <v/>
      </c>
      <c r="SIK6" s="27" t="str">
        <f>IFERROR(VLOOKUP(DATE($K$1,$K$2,SIK$4),Table1[],(MATCH(Calendar!$A6,DB!1:1,0)+2),FALSE),"")</f>
        <v/>
      </c>
      <c r="SIL6" s="27" t="str">
        <f>IFERROR(VLOOKUP(DATE($K$1,$K$2,SIL$4),Table1[],(MATCH(Calendar!$A6,DB!1:1,0)+2),FALSE),"")</f>
        <v/>
      </c>
      <c r="SIM6" s="27" t="str">
        <f>IFERROR(VLOOKUP(DATE($K$1,$K$2,SIM$4),Table1[],(MATCH(Calendar!$A6,DB!1:1,0)+2),FALSE),"")</f>
        <v/>
      </c>
      <c r="SIN6" s="27" t="str">
        <f>IFERROR(VLOOKUP(DATE($K$1,$K$2,SIN$4),Table1[],(MATCH(Calendar!$A6,DB!1:1,0)+2),FALSE),"")</f>
        <v/>
      </c>
      <c r="SIO6" s="27" t="str">
        <f>IFERROR(VLOOKUP(DATE($K$1,$K$2,SIO$4),Table1[],(MATCH(Calendar!$A6,DB!1:1,0)+2),FALSE),"")</f>
        <v/>
      </c>
      <c r="SIP6" s="27" t="str">
        <f>IFERROR(VLOOKUP(DATE($K$1,$K$2,SIP$4),Table1[],(MATCH(Calendar!$A6,DB!1:1,0)+2),FALSE),"")</f>
        <v/>
      </c>
      <c r="SIQ6" s="27" t="str">
        <f>IFERROR(VLOOKUP(DATE($K$1,$K$2,SIQ$4),Table1[],(MATCH(Calendar!$A6,DB!1:1,0)+2),FALSE),"")</f>
        <v/>
      </c>
      <c r="SIR6" s="27" t="str">
        <f>IFERROR(VLOOKUP(DATE($K$1,$K$2,SIR$4),Table1[],(MATCH(Calendar!$A6,DB!1:1,0)+2),FALSE),"")</f>
        <v/>
      </c>
      <c r="SIS6" s="27" t="str">
        <f>IFERROR(VLOOKUP(DATE($K$1,$K$2,SIS$4),Table1[],(MATCH(Calendar!$A6,DB!1:1,0)+2),FALSE),"")</f>
        <v/>
      </c>
      <c r="SIT6" s="27" t="str">
        <f>IFERROR(VLOOKUP(DATE($K$1,$K$2,SIT$4),Table1[],(MATCH(Calendar!$A6,DB!1:1,0)+2),FALSE),"")</f>
        <v/>
      </c>
      <c r="SIU6" s="27" t="str">
        <f>IFERROR(VLOOKUP(DATE($K$1,$K$2,SIU$4),Table1[],(MATCH(Calendar!$A6,DB!1:1,0)+2),FALSE),"")</f>
        <v/>
      </c>
      <c r="SIV6" s="27" t="str">
        <f>IFERROR(VLOOKUP(DATE($K$1,$K$2,SIV$4),Table1[],(MATCH(Calendar!$A6,DB!1:1,0)+2),FALSE),"")</f>
        <v/>
      </c>
      <c r="SIW6" s="27" t="str">
        <f>IFERROR(VLOOKUP(DATE($K$1,$K$2,SIW$4),Table1[],(MATCH(Calendar!$A6,DB!1:1,0)+2),FALSE),"")</f>
        <v/>
      </c>
      <c r="SIX6" s="27" t="str">
        <f>IFERROR(VLOOKUP(DATE($K$1,$K$2,SIX$4),Table1[],(MATCH(Calendar!$A6,DB!1:1,0)+2),FALSE),"")</f>
        <v/>
      </c>
      <c r="SIY6" s="27" t="str">
        <f>IFERROR(VLOOKUP(DATE($K$1,$K$2,SIY$4),Table1[],(MATCH(Calendar!$A6,DB!1:1,0)+2),FALSE),"")</f>
        <v/>
      </c>
      <c r="SIZ6" s="27" t="str">
        <f>IFERROR(VLOOKUP(DATE($K$1,$K$2,SIZ$4),Table1[],(MATCH(Calendar!$A6,DB!1:1,0)+2),FALSE),"")</f>
        <v/>
      </c>
      <c r="SJA6" s="27" t="str">
        <f>IFERROR(VLOOKUP(DATE($K$1,$K$2,SJA$4),Table1[],(MATCH(Calendar!$A6,DB!1:1,0)+2),FALSE),"")</f>
        <v/>
      </c>
      <c r="SJB6" s="27" t="str">
        <f>IFERROR(VLOOKUP(DATE($K$1,$K$2,SJB$4),Table1[],(MATCH(Calendar!$A6,DB!1:1,0)+2),FALSE),"")</f>
        <v/>
      </c>
      <c r="SJC6" s="27" t="str">
        <f>IFERROR(VLOOKUP(DATE($K$1,$K$2,SJC$4),Table1[],(MATCH(Calendar!$A6,DB!1:1,0)+2),FALSE),"")</f>
        <v/>
      </c>
      <c r="SJD6" s="27" t="str">
        <f>IFERROR(VLOOKUP(DATE($K$1,$K$2,SJD$4),Table1[],(MATCH(Calendar!$A6,DB!1:1,0)+2),FALSE),"")</f>
        <v/>
      </c>
      <c r="SJE6" s="27" t="str">
        <f>IFERROR(VLOOKUP(DATE($K$1,$K$2,SJE$4),Table1[],(MATCH(Calendar!$A6,DB!1:1,0)+2),FALSE),"")</f>
        <v/>
      </c>
      <c r="SJF6" s="27" t="str">
        <f>IFERROR(VLOOKUP(DATE($K$1,$K$2,SJF$4),Table1[],(MATCH(Calendar!$A6,DB!1:1,0)+2),FALSE),"")</f>
        <v/>
      </c>
      <c r="SJG6" s="27" t="str">
        <f>IFERROR(VLOOKUP(DATE($K$1,$K$2,SJG$4),Table1[],(MATCH(Calendar!$A6,DB!1:1,0)+2),FALSE),"")</f>
        <v/>
      </c>
      <c r="SJH6" s="27" t="str">
        <f>IFERROR(VLOOKUP(DATE($K$1,$K$2,SJH$4),Table1[],(MATCH(Calendar!$A6,DB!1:1,0)+2),FALSE),"")</f>
        <v/>
      </c>
      <c r="SJI6" s="27" t="str">
        <f>IFERROR(VLOOKUP(DATE($K$1,$K$2,SJI$4),Table1[],(MATCH(Calendar!$A6,DB!1:1,0)+2),FALSE),"")</f>
        <v/>
      </c>
      <c r="SJJ6" s="27" t="str">
        <f>IFERROR(VLOOKUP(DATE($K$1,$K$2,SJJ$4),Table1[],(MATCH(Calendar!$A6,DB!1:1,0)+2),FALSE),"")</f>
        <v/>
      </c>
      <c r="SJK6" s="27" t="str">
        <f>IFERROR(VLOOKUP(DATE($K$1,$K$2,SJK$4),Table1[],(MATCH(Calendar!$A6,DB!1:1,0)+2),FALSE),"")</f>
        <v/>
      </c>
      <c r="SJL6" s="27" t="str">
        <f>IFERROR(VLOOKUP(DATE($K$1,$K$2,SJL$4),Table1[],(MATCH(Calendar!$A6,DB!1:1,0)+2),FALSE),"")</f>
        <v/>
      </c>
      <c r="SJM6" s="27" t="str">
        <f>IFERROR(VLOOKUP(DATE($K$1,$K$2,SJM$4),Table1[],(MATCH(Calendar!$A6,DB!1:1,0)+2),FALSE),"")</f>
        <v/>
      </c>
      <c r="SJN6" s="27" t="str">
        <f>IFERROR(VLOOKUP(DATE($K$1,$K$2,SJN$4),Table1[],(MATCH(Calendar!$A6,DB!1:1,0)+2),FALSE),"")</f>
        <v/>
      </c>
      <c r="SJO6" s="27" t="str">
        <f>IFERROR(VLOOKUP(DATE($K$1,$K$2,SJO$4),Table1[],(MATCH(Calendar!$A6,DB!1:1,0)+2),FALSE),"")</f>
        <v/>
      </c>
      <c r="SJP6" s="27" t="str">
        <f>IFERROR(VLOOKUP(DATE($K$1,$K$2,SJP$4),Table1[],(MATCH(Calendar!$A6,DB!1:1,0)+2),FALSE),"")</f>
        <v/>
      </c>
      <c r="SJQ6" s="27" t="str">
        <f>IFERROR(VLOOKUP(DATE($K$1,$K$2,SJQ$4),Table1[],(MATCH(Calendar!$A6,DB!1:1,0)+2),FALSE),"")</f>
        <v/>
      </c>
      <c r="SJR6" s="27" t="str">
        <f>IFERROR(VLOOKUP(DATE($K$1,$K$2,SJR$4),Table1[],(MATCH(Calendar!$A6,DB!1:1,0)+2),FALSE),"")</f>
        <v/>
      </c>
      <c r="SJS6" s="27" t="str">
        <f>IFERROR(VLOOKUP(DATE($K$1,$K$2,SJS$4),Table1[],(MATCH(Calendar!$A6,DB!1:1,0)+2),FALSE),"")</f>
        <v/>
      </c>
      <c r="SJT6" s="27" t="str">
        <f>IFERROR(VLOOKUP(DATE($K$1,$K$2,SJT$4),Table1[],(MATCH(Calendar!$A6,DB!1:1,0)+2),FALSE),"")</f>
        <v/>
      </c>
      <c r="SJU6" s="27" t="str">
        <f>IFERROR(VLOOKUP(DATE($K$1,$K$2,SJU$4),Table1[],(MATCH(Calendar!$A6,DB!1:1,0)+2),FALSE),"")</f>
        <v/>
      </c>
      <c r="SJV6" s="27" t="str">
        <f>IFERROR(VLOOKUP(DATE($K$1,$K$2,SJV$4),Table1[],(MATCH(Calendar!$A6,DB!1:1,0)+2),FALSE),"")</f>
        <v/>
      </c>
      <c r="SJW6" s="27" t="str">
        <f>IFERROR(VLOOKUP(DATE($K$1,$K$2,SJW$4),Table1[],(MATCH(Calendar!$A6,DB!1:1,0)+2),FALSE),"")</f>
        <v/>
      </c>
      <c r="SJX6" s="27" t="str">
        <f>IFERROR(VLOOKUP(DATE($K$1,$K$2,SJX$4),Table1[],(MATCH(Calendar!$A6,DB!1:1,0)+2),FALSE),"")</f>
        <v/>
      </c>
      <c r="SJY6" s="27" t="str">
        <f>IFERROR(VLOOKUP(DATE($K$1,$K$2,SJY$4),Table1[],(MATCH(Calendar!$A6,DB!1:1,0)+2),FALSE),"")</f>
        <v/>
      </c>
      <c r="SJZ6" s="27" t="str">
        <f>IFERROR(VLOOKUP(DATE($K$1,$K$2,SJZ$4),Table1[],(MATCH(Calendar!$A6,DB!1:1,0)+2),FALSE),"")</f>
        <v/>
      </c>
      <c r="SKA6" s="27" t="str">
        <f>IFERROR(VLOOKUP(DATE($K$1,$K$2,SKA$4),Table1[],(MATCH(Calendar!$A6,DB!1:1,0)+2),FALSE),"")</f>
        <v/>
      </c>
      <c r="SKB6" s="27" t="str">
        <f>IFERROR(VLOOKUP(DATE($K$1,$K$2,SKB$4),Table1[],(MATCH(Calendar!$A6,DB!1:1,0)+2),FALSE),"")</f>
        <v/>
      </c>
      <c r="SKC6" s="27" t="str">
        <f>IFERROR(VLOOKUP(DATE($K$1,$K$2,SKC$4),Table1[],(MATCH(Calendar!$A6,DB!1:1,0)+2),FALSE),"")</f>
        <v/>
      </c>
      <c r="SKD6" s="27" t="str">
        <f>IFERROR(VLOOKUP(DATE($K$1,$K$2,SKD$4),Table1[],(MATCH(Calendar!$A6,DB!1:1,0)+2),FALSE),"")</f>
        <v/>
      </c>
      <c r="SKE6" s="27" t="str">
        <f>IFERROR(VLOOKUP(DATE($K$1,$K$2,SKE$4),Table1[],(MATCH(Calendar!$A6,DB!1:1,0)+2),FALSE),"")</f>
        <v/>
      </c>
      <c r="SKF6" s="27" t="str">
        <f>IFERROR(VLOOKUP(DATE($K$1,$K$2,SKF$4),Table1[],(MATCH(Calendar!$A6,DB!1:1,0)+2),FALSE),"")</f>
        <v/>
      </c>
      <c r="SKG6" s="27" t="str">
        <f>IFERROR(VLOOKUP(DATE($K$1,$K$2,SKG$4),Table1[],(MATCH(Calendar!$A6,DB!1:1,0)+2),FALSE),"")</f>
        <v/>
      </c>
      <c r="SKH6" s="27" t="str">
        <f>IFERROR(VLOOKUP(DATE($K$1,$K$2,SKH$4),Table1[],(MATCH(Calendar!$A6,DB!1:1,0)+2),FALSE),"")</f>
        <v/>
      </c>
      <c r="SKI6" s="27" t="str">
        <f>IFERROR(VLOOKUP(DATE($K$1,$K$2,SKI$4),Table1[],(MATCH(Calendar!$A6,DB!1:1,0)+2),FALSE),"")</f>
        <v/>
      </c>
      <c r="SKJ6" s="27" t="str">
        <f>IFERROR(VLOOKUP(DATE($K$1,$K$2,SKJ$4),Table1[],(MATCH(Calendar!$A6,DB!1:1,0)+2),FALSE),"")</f>
        <v/>
      </c>
      <c r="SKK6" s="27" t="str">
        <f>IFERROR(VLOOKUP(DATE($K$1,$K$2,SKK$4),Table1[],(MATCH(Calendar!$A6,DB!1:1,0)+2),FALSE),"")</f>
        <v/>
      </c>
      <c r="SKL6" s="27" t="str">
        <f>IFERROR(VLOOKUP(DATE($K$1,$K$2,SKL$4),Table1[],(MATCH(Calendar!$A6,DB!1:1,0)+2),FALSE),"")</f>
        <v/>
      </c>
      <c r="SKM6" s="27" t="str">
        <f>IFERROR(VLOOKUP(DATE($K$1,$K$2,SKM$4),Table1[],(MATCH(Calendar!$A6,DB!1:1,0)+2),FALSE),"")</f>
        <v/>
      </c>
      <c r="SKN6" s="27" t="str">
        <f>IFERROR(VLOOKUP(DATE($K$1,$K$2,SKN$4),Table1[],(MATCH(Calendar!$A6,DB!1:1,0)+2),FALSE),"")</f>
        <v/>
      </c>
      <c r="SKO6" s="27" t="str">
        <f>IFERROR(VLOOKUP(DATE($K$1,$K$2,SKO$4),Table1[],(MATCH(Calendar!$A6,DB!1:1,0)+2),FALSE),"")</f>
        <v/>
      </c>
      <c r="SKP6" s="27" t="str">
        <f>IFERROR(VLOOKUP(DATE($K$1,$K$2,SKP$4),Table1[],(MATCH(Calendar!$A6,DB!1:1,0)+2),FALSE),"")</f>
        <v/>
      </c>
      <c r="SKQ6" s="27" t="str">
        <f>IFERROR(VLOOKUP(DATE($K$1,$K$2,SKQ$4),Table1[],(MATCH(Calendar!$A6,DB!1:1,0)+2),FALSE),"")</f>
        <v/>
      </c>
      <c r="SKR6" s="27" t="str">
        <f>IFERROR(VLOOKUP(DATE($K$1,$K$2,SKR$4),Table1[],(MATCH(Calendar!$A6,DB!1:1,0)+2),FALSE),"")</f>
        <v/>
      </c>
      <c r="SKS6" s="27" t="str">
        <f>IFERROR(VLOOKUP(DATE($K$1,$K$2,SKS$4),Table1[],(MATCH(Calendar!$A6,DB!1:1,0)+2),FALSE),"")</f>
        <v/>
      </c>
      <c r="SKT6" s="27" t="str">
        <f>IFERROR(VLOOKUP(DATE($K$1,$K$2,SKT$4),Table1[],(MATCH(Calendar!$A6,DB!1:1,0)+2),FALSE),"")</f>
        <v/>
      </c>
      <c r="SKU6" s="27" t="str">
        <f>IFERROR(VLOOKUP(DATE($K$1,$K$2,SKU$4),Table1[],(MATCH(Calendar!$A6,DB!1:1,0)+2),FALSE),"")</f>
        <v/>
      </c>
      <c r="SKV6" s="27" t="str">
        <f>IFERROR(VLOOKUP(DATE($K$1,$K$2,SKV$4),Table1[],(MATCH(Calendar!$A6,DB!1:1,0)+2),FALSE),"")</f>
        <v/>
      </c>
      <c r="SKW6" s="27" t="str">
        <f>IFERROR(VLOOKUP(DATE($K$1,$K$2,SKW$4),Table1[],(MATCH(Calendar!$A6,DB!1:1,0)+2),FALSE),"")</f>
        <v/>
      </c>
      <c r="SKX6" s="27" t="str">
        <f>IFERROR(VLOOKUP(DATE($K$1,$K$2,SKX$4),Table1[],(MATCH(Calendar!$A6,DB!1:1,0)+2),FALSE),"")</f>
        <v/>
      </c>
      <c r="SKY6" s="27" t="str">
        <f>IFERROR(VLOOKUP(DATE($K$1,$K$2,SKY$4),Table1[],(MATCH(Calendar!$A6,DB!1:1,0)+2),FALSE),"")</f>
        <v/>
      </c>
      <c r="SKZ6" s="27" t="str">
        <f>IFERROR(VLOOKUP(DATE($K$1,$K$2,SKZ$4),Table1[],(MATCH(Calendar!$A6,DB!1:1,0)+2),FALSE),"")</f>
        <v/>
      </c>
      <c r="SLA6" s="27" t="str">
        <f>IFERROR(VLOOKUP(DATE($K$1,$K$2,SLA$4),Table1[],(MATCH(Calendar!$A6,DB!1:1,0)+2),FALSE),"")</f>
        <v/>
      </c>
      <c r="SLB6" s="27" t="str">
        <f>IFERROR(VLOOKUP(DATE($K$1,$K$2,SLB$4),Table1[],(MATCH(Calendar!$A6,DB!1:1,0)+2),FALSE),"")</f>
        <v/>
      </c>
      <c r="SLC6" s="27" t="str">
        <f>IFERROR(VLOOKUP(DATE($K$1,$K$2,SLC$4),Table1[],(MATCH(Calendar!$A6,DB!1:1,0)+2),FALSE),"")</f>
        <v/>
      </c>
      <c r="SLD6" s="27" t="str">
        <f>IFERROR(VLOOKUP(DATE($K$1,$K$2,SLD$4),Table1[],(MATCH(Calendar!$A6,DB!1:1,0)+2),FALSE),"")</f>
        <v/>
      </c>
      <c r="SLE6" s="27" t="str">
        <f>IFERROR(VLOOKUP(DATE($K$1,$K$2,SLE$4),Table1[],(MATCH(Calendar!$A6,DB!1:1,0)+2),FALSE),"")</f>
        <v/>
      </c>
      <c r="SLF6" s="27" t="str">
        <f>IFERROR(VLOOKUP(DATE($K$1,$K$2,SLF$4),Table1[],(MATCH(Calendar!$A6,DB!1:1,0)+2),FALSE),"")</f>
        <v/>
      </c>
      <c r="SLG6" s="27" t="str">
        <f>IFERROR(VLOOKUP(DATE($K$1,$K$2,SLG$4),Table1[],(MATCH(Calendar!$A6,DB!1:1,0)+2),FALSE),"")</f>
        <v/>
      </c>
      <c r="SLH6" s="27" t="str">
        <f>IFERROR(VLOOKUP(DATE($K$1,$K$2,SLH$4),Table1[],(MATCH(Calendar!$A6,DB!1:1,0)+2),FALSE),"")</f>
        <v/>
      </c>
      <c r="SLI6" s="27" t="str">
        <f>IFERROR(VLOOKUP(DATE($K$1,$K$2,SLI$4),Table1[],(MATCH(Calendar!$A6,DB!1:1,0)+2),FALSE),"")</f>
        <v/>
      </c>
      <c r="SLJ6" s="27" t="str">
        <f>IFERROR(VLOOKUP(DATE($K$1,$K$2,SLJ$4),Table1[],(MATCH(Calendar!$A6,DB!1:1,0)+2),FALSE),"")</f>
        <v/>
      </c>
      <c r="SLK6" s="27" t="str">
        <f>IFERROR(VLOOKUP(DATE($K$1,$K$2,SLK$4),Table1[],(MATCH(Calendar!$A6,DB!1:1,0)+2),FALSE),"")</f>
        <v/>
      </c>
      <c r="SLL6" s="27" t="str">
        <f>IFERROR(VLOOKUP(DATE($K$1,$K$2,SLL$4),Table1[],(MATCH(Calendar!$A6,DB!1:1,0)+2),FALSE),"")</f>
        <v/>
      </c>
      <c r="SLM6" s="27" t="str">
        <f>IFERROR(VLOOKUP(DATE($K$1,$K$2,SLM$4),Table1[],(MATCH(Calendar!$A6,DB!1:1,0)+2),FALSE),"")</f>
        <v/>
      </c>
      <c r="SLN6" s="27" t="str">
        <f>IFERROR(VLOOKUP(DATE($K$1,$K$2,SLN$4),Table1[],(MATCH(Calendar!$A6,DB!1:1,0)+2),FALSE),"")</f>
        <v/>
      </c>
      <c r="SLO6" s="27" t="str">
        <f>IFERROR(VLOOKUP(DATE($K$1,$K$2,SLO$4),Table1[],(MATCH(Calendar!$A6,DB!1:1,0)+2),FALSE),"")</f>
        <v/>
      </c>
      <c r="SLP6" s="27" t="str">
        <f>IFERROR(VLOOKUP(DATE($K$1,$K$2,SLP$4),Table1[],(MATCH(Calendar!$A6,DB!1:1,0)+2),FALSE),"")</f>
        <v/>
      </c>
      <c r="SLQ6" s="27" t="str">
        <f>IFERROR(VLOOKUP(DATE($K$1,$K$2,SLQ$4),Table1[],(MATCH(Calendar!$A6,DB!1:1,0)+2),FALSE),"")</f>
        <v/>
      </c>
      <c r="SLR6" s="27" t="str">
        <f>IFERROR(VLOOKUP(DATE($K$1,$K$2,SLR$4),Table1[],(MATCH(Calendar!$A6,DB!1:1,0)+2),FALSE),"")</f>
        <v/>
      </c>
      <c r="SLS6" s="27" t="str">
        <f>IFERROR(VLOOKUP(DATE($K$1,$K$2,SLS$4),Table1[],(MATCH(Calendar!$A6,DB!1:1,0)+2),FALSE),"")</f>
        <v/>
      </c>
      <c r="SLT6" s="27" t="str">
        <f>IFERROR(VLOOKUP(DATE($K$1,$K$2,SLT$4),Table1[],(MATCH(Calendar!$A6,DB!1:1,0)+2),FALSE),"")</f>
        <v/>
      </c>
      <c r="SLU6" s="27" t="str">
        <f>IFERROR(VLOOKUP(DATE($K$1,$K$2,SLU$4),Table1[],(MATCH(Calendar!$A6,DB!1:1,0)+2),FALSE),"")</f>
        <v/>
      </c>
      <c r="SLV6" s="27" t="str">
        <f>IFERROR(VLOOKUP(DATE($K$1,$K$2,SLV$4),Table1[],(MATCH(Calendar!$A6,DB!1:1,0)+2),FALSE),"")</f>
        <v/>
      </c>
      <c r="SLW6" s="27" t="str">
        <f>IFERROR(VLOOKUP(DATE($K$1,$K$2,SLW$4),Table1[],(MATCH(Calendar!$A6,DB!1:1,0)+2),FALSE),"")</f>
        <v/>
      </c>
      <c r="SLX6" s="27" t="str">
        <f>IFERROR(VLOOKUP(DATE($K$1,$K$2,SLX$4),Table1[],(MATCH(Calendar!$A6,DB!1:1,0)+2),FALSE),"")</f>
        <v/>
      </c>
      <c r="SLY6" s="27" t="str">
        <f>IFERROR(VLOOKUP(DATE($K$1,$K$2,SLY$4),Table1[],(MATCH(Calendar!$A6,DB!1:1,0)+2),FALSE),"")</f>
        <v/>
      </c>
      <c r="SLZ6" s="27" t="str">
        <f>IFERROR(VLOOKUP(DATE($K$1,$K$2,SLZ$4),Table1[],(MATCH(Calendar!$A6,DB!1:1,0)+2),FALSE),"")</f>
        <v/>
      </c>
      <c r="SMA6" s="27" t="str">
        <f>IFERROR(VLOOKUP(DATE($K$1,$K$2,SMA$4),Table1[],(MATCH(Calendar!$A6,DB!1:1,0)+2),FALSE),"")</f>
        <v/>
      </c>
      <c r="SMB6" s="27" t="str">
        <f>IFERROR(VLOOKUP(DATE($K$1,$K$2,SMB$4),Table1[],(MATCH(Calendar!$A6,DB!1:1,0)+2),FALSE),"")</f>
        <v/>
      </c>
      <c r="SMC6" s="27" t="str">
        <f>IFERROR(VLOOKUP(DATE($K$1,$K$2,SMC$4),Table1[],(MATCH(Calendar!$A6,DB!1:1,0)+2),FALSE),"")</f>
        <v/>
      </c>
      <c r="SMD6" s="27" t="str">
        <f>IFERROR(VLOOKUP(DATE($K$1,$K$2,SMD$4),Table1[],(MATCH(Calendar!$A6,DB!1:1,0)+2),FALSE),"")</f>
        <v/>
      </c>
      <c r="SME6" s="27" t="str">
        <f>IFERROR(VLOOKUP(DATE($K$1,$K$2,SME$4),Table1[],(MATCH(Calendar!$A6,DB!1:1,0)+2),FALSE),"")</f>
        <v/>
      </c>
      <c r="SMF6" s="27" t="str">
        <f>IFERROR(VLOOKUP(DATE($K$1,$K$2,SMF$4),Table1[],(MATCH(Calendar!$A6,DB!1:1,0)+2),FALSE),"")</f>
        <v/>
      </c>
      <c r="SMG6" s="27" t="str">
        <f>IFERROR(VLOOKUP(DATE($K$1,$K$2,SMG$4),Table1[],(MATCH(Calendar!$A6,DB!1:1,0)+2),FALSE),"")</f>
        <v/>
      </c>
      <c r="SMH6" s="27" t="str">
        <f>IFERROR(VLOOKUP(DATE($K$1,$K$2,SMH$4),Table1[],(MATCH(Calendar!$A6,DB!1:1,0)+2),FALSE),"")</f>
        <v/>
      </c>
      <c r="SMI6" s="27" t="str">
        <f>IFERROR(VLOOKUP(DATE($K$1,$K$2,SMI$4),Table1[],(MATCH(Calendar!$A6,DB!1:1,0)+2),FALSE),"")</f>
        <v/>
      </c>
      <c r="SMJ6" s="27" t="str">
        <f>IFERROR(VLOOKUP(DATE($K$1,$K$2,SMJ$4),Table1[],(MATCH(Calendar!$A6,DB!1:1,0)+2),FALSE),"")</f>
        <v/>
      </c>
      <c r="SMK6" s="27" t="str">
        <f>IFERROR(VLOOKUP(DATE($K$1,$K$2,SMK$4),Table1[],(MATCH(Calendar!$A6,DB!1:1,0)+2),FALSE),"")</f>
        <v/>
      </c>
      <c r="SML6" s="27" t="str">
        <f>IFERROR(VLOOKUP(DATE($K$1,$K$2,SML$4),Table1[],(MATCH(Calendar!$A6,DB!1:1,0)+2),FALSE),"")</f>
        <v/>
      </c>
      <c r="SMM6" s="27" t="str">
        <f>IFERROR(VLOOKUP(DATE($K$1,$K$2,SMM$4),Table1[],(MATCH(Calendar!$A6,DB!1:1,0)+2),FALSE),"")</f>
        <v/>
      </c>
      <c r="SMN6" s="27" t="str">
        <f>IFERROR(VLOOKUP(DATE($K$1,$K$2,SMN$4),Table1[],(MATCH(Calendar!$A6,DB!1:1,0)+2),FALSE),"")</f>
        <v/>
      </c>
      <c r="SMO6" s="27" t="str">
        <f>IFERROR(VLOOKUP(DATE($K$1,$K$2,SMO$4),Table1[],(MATCH(Calendar!$A6,DB!1:1,0)+2),FALSE),"")</f>
        <v/>
      </c>
      <c r="SMP6" s="27" t="str">
        <f>IFERROR(VLOOKUP(DATE($K$1,$K$2,SMP$4),Table1[],(MATCH(Calendar!$A6,DB!1:1,0)+2),FALSE),"")</f>
        <v/>
      </c>
      <c r="SMQ6" s="27" t="str">
        <f>IFERROR(VLOOKUP(DATE($K$1,$K$2,SMQ$4),Table1[],(MATCH(Calendar!$A6,DB!1:1,0)+2),FALSE),"")</f>
        <v/>
      </c>
      <c r="SMR6" s="27" t="str">
        <f>IFERROR(VLOOKUP(DATE($K$1,$K$2,SMR$4),Table1[],(MATCH(Calendar!$A6,DB!1:1,0)+2),FALSE),"")</f>
        <v/>
      </c>
      <c r="SMS6" s="27" t="str">
        <f>IFERROR(VLOOKUP(DATE($K$1,$K$2,SMS$4),Table1[],(MATCH(Calendar!$A6,DB!1:1,0)+2),FALSE),"")</f>
        <v/>
      </c>
      <c r="SMT6" s="27" t="str">
        <f>IFERROR(VLOOKUP(DATE($K$1,$K$2,SMT$4),Table1[],(MATCH(Calendar!$A6,DB!1:1,0)+2),FALSE),"")</f>
        <v/>
      </c>
      <c r="SMU6" s="27" t="str">
        <f>IFERROR(VLOOKUP(DATE($K$1,$K$2,SMU$4),Table1[],(MATCH(Calendar!$A6,DB!1:1,0)+2),FALSE),"")</f>
        <v/>
      </c>
      <c r="SMV6" s="27" t="str">
        <f>IFERROR(VLOOKUP(DATE($K$1,$K$2,SMV$4),Table1[],(MATCH(Calendar!$A6,DB!1:1,0)+2),FALSE),"")</f>
        <v/>
      </c>
      <c r="SMW6" s="27" t="str">
        <f>IFERROR(VLOOKUP(DATE($K$1,$K$2,SMW$4),Table1[],(MATCH(Calendar!$A6,DB!1:1,0)+2),FALSE),"")</f>
        <v/>
      </c>
      <c r="SMX6" s="27" t="str">
        <f>IFERROR(VLOOKUP(DATE($K$1,$K$2,SMX$4),Table1[],(MATCH(Calendar!$A6,DB!1:1,0)+2),FALSE),"")</f>
        <v/>
      </c>
      <c r="SMY6" s="27" t="str">
        <f>IFERROR(VLOOKUP(DATE($K$1,$K$2,SMY$4),Table1[],(MATCH(Calendar!$A6,DB!1:1,0)+2),FALSE),"")</f>
        <v/>
      </c>
      <c r="SMZ6" s="27" t="str">
        <f>IFERROR(VLOOKUP(DATE($K$1,$K$2,SMZ$4),Table1[],(MATCH(Calendar!$A6,DB!1:1,0)+2),FALSE),"")</f>
        <v/>
      </c>
      <c r="SNA6" s="27" t="str">
        <f>IFERROR(VLOOKUP(DATE($K$1,$K$2,SNA$4),Table1[],(MATCH(Calendar!$A6,DB!1:1,0)+2),FALSE),"")</f>
        <v/>
      </c>
      <c r="SNB6" s="27" t="str">
        <f>IFERROR(VLOOKUP(DATE($K$1,$K$2,SNB$4),Table1[],(MATCH(Calendar!$A6,DB!1:1,0)+2),FALSE),"")</f>
        <v/>
      </c>
      <c r="SNC6" s="27" t="str">
        <f>IFERROR(VLOOKUP(DATE($K$1,$K$2,SNC$4),Table1[],(MATCH(Calendar!$A6,DB!1:1,0)+2),FALSE),"")</f>
        <v/>
      </c>
      <c r="SND6" s="27" t="str">
        <f>IFERROR(VLOOKUP(DATE($K$1,$K$2,SND$4),Table1[],(MATCH(Calendar!$A6,DB!1:1,0)+2),FALSE),"")</f>
        <v/>
      </c>
      <c r="SNE6" s="27" t="str">
        <f>IFERROR(VLOOKUP(DATE($K$1,$K$2,SNE$4),Table1[],(MATCH(Calendar!$A6,DB!1:1,0)+2),FALSE),"")</f>
        <v/>
      </c>
      <c r="SNF6" s="27" t="str">
        <f>IFERROR(VLOOKUP(DATE($K$1,$K$2,SNF$4),Table1[],(MATCH(Calendar!$A6,DB!1:1,0)+2),FALSE),"")</f>
        <v/>
      </c>
      <c r="SNG6" s="27" t="str">
        <f>IFERROR(VLOOKUP(DATE($K$1,$K$2,SNG$4),Table1[],(MATCH(Calendar!$A6,DB!1:1,0)+2),FALSE),"")</f>
        <v/>
      </c>
      <c r="SNH6" s="27" t="str">
        <f>IFERROR(VLOOKUP(DATE($K$1,$K$2,SNH$4),Table1[],(MATCH(Calendar!$A6,DB!1:1,0)+2),FALSE),"")</f>
        <v/>
      </c>
      <c r="SNI6" s="27" t="str">
        <f>IFERROR(VLOOKUP(DATE($K$1,$K$2,SNI$4),Table1[],(MATCH(Calendar!$A6,DB!1:1,0)+2),FALSE),"")</f>
        <v/>
      </c>
      <c r="SNJ6" s="27" t="str">
        <f>IFERROR(VLOOKUP(DATE($K$1,$K$2,SNJ$4),Table1[],(MATCH(Calendar!$A6,DB!1:1,0)+2),FALSE),"")</f>
        <v/>
      </c>
      <c r="SNK6" s="27" t="str">
        <f>IFERROR(VLOOKUP(DATE($K$1,$K$2,SNK$4),Table1[],(MATCH(Calendar!$A6,DB!1:1,0)+2),FALSE),"")</f>
        <v/>
      </c>
      <c r="SNL6" s="27" t="str">
        <f>IFERROR(VLOOKUP(DATE($K$1,$K$2,SNL$4),Table1[],(MATCH(Calendar!$A6,DB!1:1,0)+2),FALSE),"")</f>
        <v/>
      </c>
      <c r="SNM6" s="27" t="str">
        <f>IFERROR(VLOOKUP(DATE($K$1,$K$2,SNM$4),Table1[],(MATCH(Calendar!$A6,DB!1:1,0)+2),FALSE),"")</f>
        <v/>
      </c>
      <c r="SNN6" s="27" t="str">
        <f>IFERROR(VLOOKUP(DATE($K$1,$K$2,SNN$4),Table1[],(MATCH(Calendar!$A6,DB!1:1,0)+2),FALSE),"")</f>
        <v/>
      </c>
      <c r="SNO6" s="27" t="str">
        <f>IFERROR(VLOOKUP(DATE($K$1,$K$2,SNO$4),Table1[],(MATCH(Calendar!$A6,DB!1:1,0)+2),FALSE),"")</f>
        <v/>
      </c>
      <c r="SNP6" s="27" t="str">
        <f>IFERROR(VLOOKUP(DATE($K$1,$K$2,SNP$4),Table1[],(MATCH(Calendar!$A6,DB!1:1,0)+2),FALSE),"")</f>
        <v/>
      </c>
      <c r="SNQ6" s="27" t="str">
        <f>IFERROR(VLOOKUP(DATE($K$1,$K$2,SNQ$4),Table1[],(MATCH(Calendar!$A6,DB!1:1,0)+2),FALSE),"")</f>
        <v/>
      </c>
      <c r="SNR6" s="27" t="str">
        <f>IFERROR(VLOOKUP(DATE($K$1,$K$2,SNR$4),Table1[],(MATCH(Calendar!$A6,DB!1:1,0)+2),FALSE),"")</f>
        <v/>
      </c>
      <c r="SNS6" s="27" t="str">
        <f>IFERROR(VLOOKUP(DATE($K$1,$K$2,SNS$4),Table1[],(MATCH(Calendar!$A6,DB!1:1,0)+2),FALSE),"")</f>
        <v/>
      </c>
      <c r="SNT6" s="27" t="str">
        <f>IFERROR(VLOOKUP(DATE($K$1,$K$2,SNT$4),Table1[],(MATCH(Calendar!$A6,DB!1:1,0)+2),FALSE),"")</f>
        <v/>
      </c>
      <c r="SNU6" s="27" t="str">
        <f>IFERROR(VLOOKUP(DATE($K$1,$K$2,SNU$4),Table1[],(MATCH(Calendar!$A6,DB!1:1,0)+2),FALSE),"")</f>
        <v/>
      </c>
      <c r="SNV6" s="27" t="str">
        <f>IFERROR(VLOOKUP(DATE($K$1,$K$2,SNV$4),Table1[],(MATCH(Calendar!$A6,DB!1:1,0)+2),FALSE),"")</f>
        <v/>
      </c>
      <c r="SNW6" s="27" t="str">
        <f>IFERROR(VLOOKUP(DATE($K$1,$K$2,SNW$4),Table1[],(MATCH(Calendar!$A6,DB!1:1,0)+2),FALSE),"")</f>
        <v/>
      </c>
      <c r="SNX6" s="27" t="str">
        <f>IFERROR(VLOOKUP(DATE($K$1,$K$2,SNX$4),Table1[],(MATCH(Calendar!$A6,DB!1:1,0)+2),FALSE),"")</f>
        <v/>
      </c>
      <c r="SNY6" s="27" t="str">
        <f>IFERROR(VLOOKUP(DATE($K$1,$K$2,SNY$4),Table1[],(MATCH(Calendar!$A6,DB!1:1,0)+2),FALSE),"")</f>
        <v/>
      </c>
      <c r="SNZ6" s="27" t="str">
        <f>IFERROR(VLOOKUP(DATE($K$1,$K$2,SNZ$4),Table1[],(MATCH(Calendar!$A6,DB!1:1,0)+2),FALSE),"")</f>
        <v/>
      </c>
      <c r="SOA6" s="27" t="str">
        <f>IFERROR(VLOOKUP(DATE($K$1,$K$2,SOA$4),Table1[],(MATCH(Calendar!$A6,DB!1:1,0)+2),FALSE),"")</f>
        <v/>
      </c>
      <c r="SOB6" s="27" t="str">
        <f>IFERROR(VLOOKUP(DATE($K$1,$K$2,SOB$4),Table1[],(MATCH(Calendar!$A6,DB!1:1,0)+2),FALSE),"")</f>
        <v/>
      </c>
      <c r="SOC6" s="27" t="str">
        <f>IFERROR(VLOOKUP(DATE($K$1,$K$2,SOC$4),Table1[],(MATCH(Calendar!$A6,DB!1:1,0)+2),FALSE),"")</f>
        <v/>
      </c>
      <c r="SOD6" s="27" t="str">
        <f>IFERROR(VLOOKUP(DATE($K$1,$K$2,SOD$4),Table1[],(MATCH(Calendar!$A6,DB!1:1,0)+2),FALSE),"")</f>
        <v/>
      </c>
      <c r="SOE6" s="27" t="str">
        <f>IFERROR(VLOOKUP(DATE($K$1,$K$2,SOE$4),Table1[],(MATCH(Calendar!$A6,DB!1:1,0)+2),FALSE),"")</f>
        <v/>
      </c>
      <c r="SOF6" s="27" t="str">
        <f>IFERROR(VLOOKUP(DATE($K$1,$K$2,SOF$4),Table1[],(MATCH(Calendar!$A6,DB!1:1,0)+2),FALSE),"")</f>
        <v/>
      </c>
      <c r="SOG6" s="27" t="str">
        <f>IFERROR(VLOOKUP(DATE($K$1,$K$2,SOG$4),Table1[],(MATCH(Calendar!$A6,DB!1:1,0)+2),FALSE),"")</f>
        <v/>
      </c>
      <c r="SOH6" s="27" t="str">
        <f>IFERROR(VLOOKUP(DATE($K$1,$K$2,SOH$4),Table1[],(MATCH(Calendar!$A6,DB!1:1,0)+2),FALSE),"")</f>
        <v/>
      </c>
      <c r="SOI6" s="27" t="str">
        <f>IFERROR(VLOOKUP(DATE($K$1,$K$2,SOI$4),Table1[],(MATCH(Calendar!$A6,DB!1:1,0)+2),FALSE),"")</f>
        <v/>
      </c>
      <c r="SOJ6" s="27" t="str">
        <f>IFERROR(VLOOKUP(DATE($K$1,$K$2,SOJ$4),Table1[],(MATCH(Calendar!$A6,DB!1:1,0)+2),FALSE),"")</f>
        <v/>
      </c>
      <c r="SOK6" s="27" t="str">
        <f>IFERROR(VLOOKUP(DATE($K$1,$K$2,SOK$4),Table1[],(MATCH(Calendar!$A6,DB!1:1,0)+2),FALSE),"")</f>
        <v/>
      </c>
      <c r="SOL6" s="27" t="str">
        <f>IFERROR(VLOOKUP(DATE($K$1,$K$2,SOL$4),Table1[],(MATCH(Calendar!$A6,DB!1:1,0)+2),FALSE),"")</f>
        <v/>
      </c>
      <c r="SOM6" s="27" t="str">
        <f>IFERROR(VLOOKUP(DATE($K$1,$K$2,SOM$4),Table1[],(MATCH(Calendar!$A6,DB!1:1,0)+2),FALSE),"")</f>
        <v/>
      </c>
      <c r="SON6" s="27" t="str">
        <f>IFERROR(VLOOKUP(DATE($K$1,$K$2,SON$4),Table1[],(MATCH(Calendar!$A6,DB!1:1,0)+2),FALSE),"")</f>
        <v/>
      </c>
      <c r="SOO6" s="27" t="str">
        <f>IFERROR(VLOOKUP(DATE($K$1,$K$2,SOO$4),Table1[],(MATCH(Calendar!$A6,DB!1:1,0)+2),FALSE),"")</f>
        <v/>
      </c>
      <c r="SOP6" s="27" t="str">
        <f>IFERROR(VLOOKUP(DATE($K$1,$K$2,SOP$4),Table1[],(MATCH(Calendar!$A6,DB!1:1,0)+2),FALSE),"")</f>
        <v/>
      </c>
      <c r="SOQ6" s="27" t="str">
        <f>IFERROR(VLOOKUP(DATE($K$1,$K$2,SOQ$4),Table1[],(MATCH(Calendar!$A6,DB!1:1,0)+2),FALSE),"")</f>
        <v/>
      </c>
      <c r="SOR6" s="27" t="str">
        <f>IFERROR(VLOOKUP(DATE($K$1,$K$2,SOR$4),Table1[],(MATCH(Calendar!$A6,DB!1:1,0)+2),FALSE),"")</f>
        <v/>
      </c>
      <c r="SOS6" s="27" t="str">
        <f>IFERROR(VLOOKUP(DATE($K$1,$K$2,SOS$4),Table1[],(MATCH(Calendar!$A6,DB!1:1,0)+2),FALSE),"")</f>
        <v/>
      </c>
      <c r="SOT6" s="27" t="str">
        <f>IFERROR(VLOOKUP(DATE($K$1,$K$2,SOT$4),Table1[],(MATCH(Calendar!$A6,DB!1:1,0)+2),FALSE),"")</f>
        <v/>
      </c>
      <c r="SOU6" s="27" t="str">
        <f>IFERROR(VLOOKUP(DATE($K$1,$K$2,SOU$4),Table1[],(MATCH(Calendar!$A6,DB!1:1,0)+2),FALSE),"")</f>
        <v/>
      </c>
      <c r="SOV6" s="27" t="str">
        <f>IFERROR(VLOOKUP(DATE($K$1,$K$2,SOV$4),Table1[],(MATCH(Calendar!$A6,DB!1:1,0)+2),FALSE),"")</f>
        <v/>
      </c>
      <c r="SOW6" s="27" t="str">
        <f>IFERROR(VLOOKUP(DATE($K$1,$K$2,SOW$4),Table1[],(MATCH(Calendar!$A6,DB!1:1,0)+2),FALSE),"")</f>
        <v/>
      </c>
      <c r="SOX6" s="27" t="str">
        <f>IFERROR(VLOOKUP(DATE($K$1,$K$2,SOX$4),Table1[],(MATCH(Calendar!$A6,DB!1:1,0)+2),FALSE),"")</f>
        <v/>
      </c>
      <c r="SOY6" s="27" t="str">
        <f>IFERROR(VLOOKUP(DATE($K$1,$K$2,SOY$4),Table1[],(MATCH(Calendar!$A6,DB!1:1,0)+2),FALSE),"")</f>
        <v/>
      </c>
      <c r="SOZ6" s="27" t="str">
        <f>IFERROR(VLOOKUP(DATE($K$1,$K$2,SOZ$4),Table1[],(MATCH(Calendar!$A6,DB!1:1,0)+2),FALSE),"")</f>
        <v/>
      </c>
      <c r="SPA6" s="27" t="str">
        <f>IFERROR(VLOOKUP(DATE($K$1,$K$2,SPA$4),Table1[],(MATCH(Calendar!$A6,DB!1:1,0)+2),FALSE),"")</f>
        <v/>
      </c>
      <c r="SPB6" s="27" t="str">
        <f>IFERROR(VLOOKUP(DATE($K$1,$K$2,SPB$4),Table1[],(MATCH(Calendar!$A6,DB!1:1,0)+2),FALSE),"")</f>
        <v/>
      </c>
      <c r="SPC6" s="27" t="str">
        <f>IFERROR(VLOOKUP(DATE($K$1,$K$2,SPC$4),Table1[],(MATCH(Calendar!$A6,DB!1:1,0)+2),FALSE),"")</f>
        <v/>
      </c>
      <c r="SPD6" s="27" t="str">
        <f>IFERROR(VLOOKUP(DATE($K$1,$K$2,SPD$4),Table1[],(MATCH(Calendar!$A6,DB!1:1,0)+2),FALSE),"")</f>
        <v/>
      </c>
      <c r="SPE6" s="27" t="str">
        <f>IFERROR(VLOOKUP(DATE($K$1,$K$2,SPE$4),Table1[],(MATCH(Calendar!$A6,DB!1:1,0)+2),FALSE),"")</f>
        <v/>
      </c>
      <c r="SPF6" s="27" t="str">
        <f>IFERROR(VLOOKUP(DATE($K$1,$K$2,SPF$4),Table1[],(MATCH(Calendar!$A6,DB!1:1,0)+2),FALSE),"")</f>
        <v/>
      </c>
      <c r="SPG6" s="27" t="str">
        <f>IFERROR(VLOOKUP(DATE($K$1,$K$2,SPG$4),Table1[],(MATCH(Calendar!$A6,DB!1:1,0)+2),FALSE),"")</f>
        <v/>
      </c>
      <c r="SPH6" s="27" t="str">
        <f>IFERROR(VLOOKUP(DATE($K$1,$K$2,SPH$4),Table1[],(MATCH(Calendar!$A6,DB!1:1,0)+2),FALSE),"")</f>
        <v/>
      </c>
      <c r="SPI6" s="27" t="str">
        <f>IFERROR(VLOOKUP(DATE($K$1,$K$2,SPI$4),Table1[],(MATCH(Calendar!$A6,DB!1:1,0)+2),FALSE),"")</f>
        <v/>
      </c>
      <c r="SPJ6" s="27" t="str">
        <f>IFERROR(VLOOKUP(DATE($K$1,$K$2,SPJ$4),Table1[],(MATCH(Calendar!$A6,DB!1:1,0)+2),FALSE),"")</f>
        <v/>
      </c>
      <c r="SPK6" s="27" t="str">
        <f>IFERROR(VLOOKUP(DATE($K$1,$K$2,SPK$4),Table1[],(MATCH(Calendar!$A6,DB!1:1,0)+2),FALSE),"")</f>
        <v/>
      </c>
      <c r="SPL6" s="27" t="str">
        <f>IFERROR(VLOOKUP(DATE($K$1,$K$2,SPL$4),Table1[],(MATCH(Calendar!$A6,DB!1:1,0)+2),FALSE),"")</f>
        <v/>
      </c>
      <c r="SPM6" s="27" t="str">
        <f>IFERROR(VLOOKUP(DATE($K$1,$K$2,SPM$4),Table1[],(MATCH(Calendar!$A6,DB!1:1,0)+2),FALSE),"")</f>
        <v/>
      </c>
      <c r="SPN6" s="27" t="str">
        <f>IFERROR(VLOOKUP(DATE($K$1,$K$2,SPN$4),Table1[],(MATCH(Calendar!$A6,DB!1:1,0)+2),FALSE),"")</f>
        <v/>
      </c>
      <c r="SPO6" s="27" t="str">
        <f>IFERROR(VLOOKUP(DATE($K$1,$K$2,SPO$4),Table1[],(MATCH(Calendar!$A6,DB!1:1,0)+2),FALSE),"")</f>
        <v/>
      </c>
      <c r="SPP6" s="27" t="str">
        <f>IFERROR(VLOOKUP(DATE($K$1,$K$2,SPP$4),Table1[],(MATCH(Calendar!$A6,DB!1:1,0)+2),FALSE),"")</f>
        <v/>
      </c>
      <c r="SPQ6" s="27" t="str">
        <f>IFERROR(VLOOKUP(DATE($K$1,$K$2,SPQ$4),Table1[],(MATCH(Calendar!$A6,DB!1:1,0)+2),FALSE),"")</f>
        <v/>
      </c>
      <c r="SPR6" s="27" t="str">
        <f>IFERROR(VLOOKUP(DATE($K$1,$K$2,SPR$4),Table1[],(MATCH(Calendar!$A6,DB!1:1,0)+2),FALSE),"")</f>
        <v/>
      </c>
      <c r="SPS6" s="27" t="str">
        <f>IFERROR(VLOOKUP(DATE($K$1,$K$2,SPS$4),Table1[],(MATCH(Calendar!$A6,DB!1:1,0)+2),FALSE),"")</f>
        <v/>
      </c>
      <c r="SPT6" s="27" t="str">
        <f>IFERROR(VLOOKUP(DATE($K$1,$K$2,SPT$4),Table1[],(MATCH(Calendar!$A6,DB!1:1,0)+2),FALSE),"")</f>
        <v/>
      </c>
      <c r="SPU6" s="27" t="str">
        <f>IFERROR(VLOOKUP(DATE($K$1,$K$2,SPU$4),Table1[],(MATCH(Calendar!$A6,DB!1:1,0)+2),FALSE),"")</f>
        <v/>
      </c>
      <c r="SPV6" s="27" t="str">
        <f>IFERROR(VLOOKUP(DATE($K$1,$K$2,SPV$4),Table1[],(MATCH(Calendar!$A6,DB!1:1,0)+2),FALSE),"")</f>
        <v/>
      </c>
      <c r="SPW6" s="27" t="str">
        <f>IFERROR(VLOOKUP(DATE($K$1,$K$2,SPW$4),Table1[],(MATCH(Calendar!$A6,DB!1:1,0)+2),FALSE),"")</f>
        <v/>
      </c>
      <c r="SPX6" s="27" t="str">
        <f>IFERROR(VLOOKUP(DATE($K$1,$K$2,SPX$4),Table1[],(MATCH(Calendar!$A6,DB!1:1,0)+2),FALSE),"")</f>
        <v/>
      </c>
      <c r="SPY6" s="27" t="str">
        <f>IFERROR(VLOOKUP(DATE($K$1,$K$2,SPY$4),Table1[],(MATCH(Calendar!$A6,DB!1:1,0)+2),FALSE),"")</f>
        <v/>
      </c>
      <c r="SPZ6" s="27" t="str">
        <f>IFERROR(VLOOKUP(DATE($K$1,$K$2,SPZ$4),Table1[],(MATCH(Calendar!$A6,DB!1:1,0)+2),FALSE),"")</f>
        <v/>
      </c>
      <c r="SQA6" s="27" t="str">
        <f>IFERROR(VLOOKUP(DATE($K$1,$K$2,SQA$4),Table1[],(MATCH(Calendar!$A6,DB!1:1,0)+2),FALSE),"")</f>
        <v/>
      </c>
      <c r="SQB6" s="27" t="str">
        <f>IFERROR(VLOOKUP(DATE($K$1,$K$2,SQB$4),Table1[],(MATCH(Calendar!$A6,DB!1:1,0)+2),FALSE),"")</f>
        <v/>
      </c>
      <c r="SQC6" s="27" t="str">
        <f>IFERROR(VLOOKUP(DATE($K$1,$K$2,SQC$4),Table1[],(MATCH(Calendar!$A6,DB!1:1,0)+2),FALSE),"")</f>
        <v/>
      </c>
      <c r="SQD6" s="27" t="str">
        <f>IFERROR(VLOOKUP(DATE($K$1,$K$2,SQD$4),Table1[],(MATCH(Calendar!$A6,DB!1:1,0)+2),FALSE),"")</f>
        <v/>
      </c>
      <c r="SQE6" s="27" t="str">
        <f>IFERROR(VLOOKUP(DATE($K$1,$K$2,SQE$4),Table1[],(MATCH(Calendar!$A6,DB!1:1,0)+2),FALSE),"")</f>
        <v/>
      </c>
      <c r="SQF6" s="27" t="str">
        <f>IFERROR(VLOOKUP(DATE($K$1,$K$2,SQF$4),Table1[],(MATCH(Calendar!$A6,DB!1:1,0)+2),FALSE),"")</f>
        <v/>
      </c>
      <c r="SQG6" s="27" t="str">
        <f>IFERROR(VLOOKUP(DATE($K$1,$K$2,SQG$4),Table1[],(MATCH(Calendar!$A6,DB!1:1,0)+2),FALSE),"")</f>
        <v/>
      </c>
      <c r="SQH6" s="27" t="str">
        <f>IFERROR(VLOOKUP(DATE($K$1,$K$2,SQH$4),Table1[],(MATCH(Calendar!$A6,DB!1:1,0)+2),FALSE),"")</f>
        <v/>
      </c>
      <c r="SQI6" s="27" t="str">
        <f>IFERROR(VLOOKUP(DATE($K$1,$K$2,SQI$4),Table1[],(MATCH(Calendar!$A6,DB!1:1,0)+2),FALSE),"")</f>
        <v/>
      </c>
      <c r="SQJ6" s="27" t="str">
        <f>IFERROR(VLOOKUP(DATE($K$1,$K$2,SQJ$4),Table1[],(MATCH(Calendar!$A6,DB!1:1,0)+2),FALSE),"")</f>
        <v/>
      </c>
      <c r="SQK6" s="27" t="str">
        <f>IFERROR(VLOOKUP(DATE($K$1,$K$2,SQK$4),Table1[],(MATCH(Calendar!$A6,DB!1:1,0)+2),FALSE),"")</f>
        <v/>
      </c>
      <c r="SQL6" s="27" t="str">
        <f>IFERROR(VLOOKUP(DATE($K$1,$K$2,SQL$4),Table1[],(MATCH(Calendar!$A6,DB!1:1,0)+2),FALSE),"")</f>
        <v/>
      </c>
      <c r="SQM6" s="27" t="str">
        <f>IFERROR(VLOOKUP(DATE($K$1,$K$2,SQM$4),Table1[],(MATCH(Calendar!$A6,DB!1:1,0)+2),FALSE),"")</f>
        <v/>
      </c>
      <c r="SQN6" s="27" t="str">
        <f>IFERROR(VLOOKUP(DATE($K$1,$K$2,SQN$4),Table1[],(MATCH(Calendar!$A6,DB!1:1,0)+2),FALSE),"")</f>
        <v/>
      </c>
      <c r="SQO6" s="27" t="str">
        <f>IFERROR(VLOOKUP(DATE($K$1,$K$2,SQO$4),Table1[],(MATCH(Calendar!$A6,DB!1:1,0)+2),FALSE),"")</f>
        <v/>
      </c>
      <c r="SQP6" s="27" t="str">
        <f>IFERROR(VLOOKUP(DATE($K$1,$K$2,SQP$4),Table1[],(MATCH(Calendar!$A6,DB!1:1,0)+2),FALSE),"")</f>
        <v/>
      </c>
      <c r="SQQ6" s="27" t="str">
        <f>IFERROR(VLOOKUP(DATE($K$1,$K$2,SQQ$4),Table1[],(MATCH(Calendar!$A6,DB!1:1,0)+2),FALSE),"")</f>
        <v/>
      </c>
      <c r="SQR6" s="27" t="str">
        <f>IFERROR(VLOOKUP(DATE($K$1,$K$2,SQR$4),Table1[],(MATCH(Calendar!$A6,DB!1:1,0)+2),FALSE),"")</f>
        <v/>
      </c>
      <c r="SQS6" s="27" t="str">
        <f>IFERROR(VLOOKUP(DATE($K$1,$K$2,SQS$4),Table1[],(MATCH(Calendar!$A6,DB!1:1,0)+2),FALSE),"")</f>
        <v/>
      </c>
      <c r="SQT6" s="27" t="str">
        <f>IFERROR(VLOOKUP(DATE($K$1,$K$2,SQT$4),Table1[],(MATCH(Calendar!$A6,DB!1:1,0)+2),FALSE),"")</f>
        <v/>
      </c>
      <c r="SQU6" s="27" t="str">
        <f>IFERROR(VLOOKUP(DATE($K$1,$K$2,SQU$4),Table1[],(MATCH(Calendar!$A6,DB!1:1,0)+2),FALSE),"")</f>
        <v/>
      </c>
      <c r="SQV6" s="27" t="str">
        <f>IFERROR(VLOOKUP(DATE($K$1,$K$2,SQV$4),Table1[],(MATCH(Calendar!$A6,DB!1:1,0)+2),FALSE),"")</f>
        <v/>
      </c>
      <c r="SQW6" s="27" t="str">
        <f>IFERROR(VLOOKUP(DATE($K$1,$K$2,SQW$4),Table1[],(MATCH(Calendar!$A6,DB!1:1,0)+2),FALSE),"")</f>
        <v/>
      </c>
      <c r="SQX6" s="27" t="str">
        <f>IFERROR(VLOOKUP(DATE($K$1,$K$2,SQX$4),Table1[],(MATCH(Calendar!$A6,DB!1:1,0)+2),FALSE),"")</f>
        <v/>
      </c>
      <c r="SQY6" s="27" t="str">
        <f>IFERROR(VLOOKUP(DATE($K$1,$K$2,SQY$4),Table1[],(MATCH(Calendar!$A6,DB!1:1,0)+2),FALSE),"")</f>
        <v/>
      </c>
      <c r="SQZ6" s="27" t="str">
        <f>IFERROR(VLOOKUP(DATE($K$1,$K$2,SQZ$4),Table1[],(MATCH(Calendar!$A6,DB!1:1,0)+2),FALSE),"")</f>
        <v/>
      </c>
      <c r="SRA6" s="27" t="str">
        <f>IFERROR(VLOOKUP(DATE($K$1,$K$2,SRA$4),Table1[],(MATCH(Calendar!$A6,DB!1:1,0)+2),FALSE),"")</f>
        <v/>
      </c>
      <c r="SRB6" s="27" t="str">
        <f>IFERROR(VLOOKUP(DATE($K$1,$K$2,SRB$4),Table1[],(MATCH(Calendar!$A6,DB!1:1,0)+2),FALSE),"")</f>
        <v/>
      </c>
      <c r="SRC6" s="27" t="str">
        <f>IFERROR(VLOOKUP(DATE($K$1,$K$2,SRC$4),Table1[],(MATCH(Calendar!$A6,DB!1:1,0)+2),FALSE),"")</f>
        <v/>
      </c>
      <c r="SRD6" s="27" t="str">
        <f>IFERROR(VLOOKUP(DATE($K$1,$K$2,SRD$4),Table1[],(MATCH(Calendar!$A6,DB!1:1,0)+2),FALSE),"")</f>
        <v/>
      </c>
      <c r="SRE6" s="27" t="str">
        <f>IFERROR(VLOOKUP(DATE($K$1,$K$2,SRE$4),Table1[],(MATCH(Calendar!$A6,DB!1:1,0)+2),FALSE),"")</f>
        <v/>
      </c>
      <c r="SRF6" s="27" t="str">
        <f>IFERROR(VLOOKUP(DATE($K$1,$K$2,SRF$4),Table1[],(MATCH(Calendar!$A6,DB!1:1,0)+2),FALSE),"")</f>
        <v/>
      </c>
      <c r="SRG6" s="27" t="str">
        <f>IFERROR(VLOOKUP(DATE($K$1,$K$2,SRG$4),Table1[],(MATCH(Calendar!$A6,DB!1:1,0)+2),FALSE),"")</f>
        <v/>
      </c>
      <c r="SRH6" s="27" t="str">
        <f>IFERROR(VLOOKUP(DATE($K$1,$K$2,SRH$4),Table1[],(MATCH(Calendar!$A6,DB!1:1,0)+2),FALSE),"")</f>
        <v/>
      </c>
      <c r="SRI6" s="27" t="str">
        <f>IFERROR(VLOOKUP(DATE($K$1,$K$2,SRI$4),Table1[],(MATCH(Calendar!$A6,DB!1:1,0)+2),FALSE),"")</f>
        <v/>
      </c>
      <c r="SRJ6" s="27" t="str">
        <f>IFERROR(VLOOKUP(DATE($K$1,$K$2,SRJ$4),Table1[],(MATCH(Calendar!$A6,DB!1:1,0)+2),FALSE),"")</f>
        <v/>
      </c>
      <c r="SRK6" s="27" t="str">
        <f>IFERROR(VLOOKUP(DATE($K$1,$K$2,SRK$4),Table1[],(MATCH(Calendar!$A6,DB!1:1,0)+2),FALSE),"")</f>
        <v/>
      </c>
      <c r="SRL6" s="27" t="str">
        <f>IFERROR(VLOOKUP(DATE($K$1,$K$2,SRL$4),Table1[],(MATCH(Calendar!$A6,DB!1:1,0)+2),FALSE),"")</f>
        <v/>
      </c>
      <c r="SRM6" s="27" t="str">
        <f>IFERROR(VLOOKUP(DATE($K$1,$K$2,SRM$4),Table1[],(MATCH(Calendar!$A6,DB!1:1,0)+2),FALSE),"")</f>
        <v/>
      </c>
      <c r="SRN6" s="27" t="str">
        <f>IFERROR(VLOOKUP(DATE($K$1,$K$2,SRN$4),Table1[],(MATCH(Calendar!$A6,DB!1:1,0)+2),FALSE),"")</f>
        <v/>
      </c>
      <c r="SRO6" s="27" t="str">
        <f>IFERROR(VLOOKUP(DATE($K$1,$K$2,SRO$4),Table1[],(MATCH(Calendar!$A6,DB!1:1,0)+2),FALSE),"")</f>
        <v/>
      </c>
      <c r="SRP6" s="27" t="str">
        <f>IFERROR(VLOOKUP(DATE($K$1,$K$2,SRP$4),Table1[],(MATCH(Calendar!$A6,DB!1:1,0)+2),FALSE),"")</f>
        <v/>
      </c>
      <c r="SRQ6" s="27" t="str">
        <f>IFERROR(VLOOKUP(DATE($K$1,$K$2,SRQ$4),Table1[],(MATCH(Calendar!$A6,DB!1:1,0)+2),FALSE),"")</f>
        <v/>
      </c>
      <c r="SRR6" s="27" t="str">
        <f>IFERROR(VLOOKUP(DATE($K$1,$K$2,SRR$4),Table1[],(MATCH(Calendar!$A6,DB!1:1,0)+2),FALSE),"")</f>
        <v/>
      </c>
      <c r="SRS6" s="27" t="str">
        <f>IFERROR(VLOOKUP(DATE($K$1,$K$2,SRS$4),Table1[],(MATCH(Calendar!$A6,DB!1:1,0)+2),FALSE),"")</f>
        <v/>
      </c>
      <c r="SRT6" s="27" t="str">
        <f>IFERROR(VLOOKUP(DATE($K$1,$K$2,SRT$4),Table1[],(MATCH(Calendar!$A6,DB!1:1,0)+2),FALSE),"")</f>
        <v/>
      </c>
      <c r="SRU6" s="27" t="str">
        <f>IFERROR(VLOOKUP(DATE($K$1,$K$2,SRU$4),Table1[],(MATCH(Calendar!$A6,DB!1:1,0)+2),FALSE),"")</f>
        <v/>
      </c>
      <c r="SRV6" s="27" t="str">
        <f>IFERROR(VLOOKUP(DATE($K$1,$K$2,SRV$4),Table1[],(MATCH(Calendar!$A6,DB!1:1,0)+2),FALSE),"")</f>
        <v/>
      </c>
      <c r="SRW6" s="27" t="str">
        <f>IFERROR(VLOOKUP(DATE($K$1,$K$2,SRW$4),Table1[],(MATCH(Calendar!$A6,DB!1:1,0)+2),FALSE),"")</f>
        <v/>
      </c>
      <c r="SRX6" s="27" t="str">
        <f>IFERROR(VLOOKUP(DATE($K$1,$K$2,SRX$4),Table1[],(MATCH(Calendar!$A6,DB!1:1,0)+2),FALSE),"")</f>
        <v/>
      </c>
      <c r="SRY6" s="27" t="str">
        <f>IFERROR(VLOOKUP(DATE($K$1,$K$2,SRY$4),Table1[],(MATCH(Calendar!$A6,DB!1:1,0)+2),FALSE),"")</f>
        <v/>
      </c>
      <c r="SRZ6" s="27" t="str">
        <f>IFERROR(VLOOKUP(DATE($K$1,$K$2,SRZ$4),Table1[],(MATCH(Calendar!$A6,DB!1:1,0)+2),FALSE),"")</f>
        <v/>
      </c>
      <c r="SSA6" s="27" t="str">
        <f>IFERROR(VLOOKUP(DATE($K$1,$K$2,SSA$4),Table1[],(MATCH(Calendar!$A6,DB!1:1,0)+2),FALSE),"")</f>
        <v/>
      </c>
      <c r="SSB6" s="27" t="str">
        <f>IFERROR(VLOOKUP(DATE($K$1,$K$2,SSB$4),Table1[],(MATCH(Calendar!$A6,DB!1:1,0)+2),FALSE),"")</f>
        <v/>
      </c>
      <c r="SSC6" s="27" t="str">
        <f>IFERROR(VLOOKUP(DATE($K$1,$K$2,SSC$4),Table1[],(MATCH(Calendar!$A6,DB!1:1,0)+2),FALSE),"")</f>
        <v/>
      </c>
      <c r="SSD6" s="27" t="str">
        <f>IFERROR(VLOOKUP(DATE($K$1,$K$2,SSD$4),Table1[],(MATCH(Calendar!$A6,DB!1:1,0)+2),FALSE),"")</f>
        <v/>
      </c>
      <c r="SSE6" s="27" t="str">
        <f>IFERROR(VLOOKUP(DATE($K$1,$K$2,SSE$4),Table1[],(MATCH(Calendar!$A6,DB!1:1,0)+2),FALSE),"")</f>
        <v/>
      </c>
      <c r="SSF6" s="27" t="str">
        <f>IFERROR(VLOOKUP(DATE($K$1,$K$2,SSF$4),Table1[],(MATCH(Calendar!$A6,DB!1:1,0)+2),FALSE),"")</f>
        <v/>
      </c>
      <c r="SSG6" s="27" t="str">
        <f>IFERROR(VLOOKUP(DATE($K$1,$K$2,SSG$4),Table1[],(MATCH(Calendar!$A6,DB!1:1,0)+2),FALSE),"")</f>
        <v/>
      </c>
      <c r="SSH6" s="27" t="str">
        <f>IFERROR(VLOOKUP(DATE($K$1,$K$2,SSH$4),Table1[],(MATCH(Calendar!$A6,DB!1:1,0)+2),FALSE),"")</f>
        <v/>
      </c>
      <c r="SSI6" s="27" t="str">
        <f>IFERROR(VLOOKUP(DATE($K$1,$K$2,SSI$4),Table1[],(MATCH(Calendar!$A6,DB!1:1,0)+2),FALSE),"")</f>
        <v/>
      </c>
      <c r="SSJ6" s="27" t="str">
        <f>IFERROR(VLOOKUP(DATE($K$1,$K$2,SSJ$4),Table1[],(MATCH(Calendar!$A6,DB!1:1,0)+2),FALSE),"")</f>
        <v/>
      </c>
      <c r="SSK6" s="27" t="str">
        <f>IFERROR(VLOOKUP(DATE($K$1,$K$2,SSK$4),Table1[],(MATCH(Calendar!$A6,DB!1:1,0)+2),FALSE),"")</f>
        <v/>
      </c>
      <c r="SSL6" s="27" t="str">
        <f>IFERROR(VLOOKUP(DATE($K$1,$K$2,SSL$4),Table1[],(MATCH(Calendar!$A6,DB!1:1,0)+2),FALSE),"")</f>
        <v/>
      </c>
      <c r="SSM6" s="27" t="str">
        <f>IFERROR(VLOOKUP(DATE($K$1,$K$2,SSM$4),Table1[],(MATCH(Calendar!$A6,DB!1:1,0)+2),FALSE),"")</f>
        <v/>
      </c>
      <c r="SSN6" s="27" t="str">
        <f>IFERROR(VLOOKUP(DATE($K$1,$K$2,SSN$4),Table1[],(MATCH(Calendar!$A6,DB!1:1,0)+2),FALSE),"")</f>
        <v/>
      </c>
      <c r="SSO6" s="27" t="str">
        <f>IFERROR(VLOOKUP(DATE($K$1,$K$2,SSO$4),Table1[],(MATCH(Calendar!$A6,DB!1:1,0)+2),FALSE),"")</f>
        <v/>
      </c>
      <c r="SSP6" s="27" t="str">
        <f>IFERROR(VLOOKUP(DATE($K$1,$K$2,SSP$4),Table1[],(MATCH(Calendar!$A6,DB!1:1,0)+2),FALSE),"")</f>
        <v/>
      </c>
      <c r="SSQ6" s="27" t="str">
        <f>IFERROR(VLOOKUP(DATE($K$1,$K$2,SSQ$4),Table1[],(MATCH(Calendar!$A6,DB!1:1,0)+2),FALSE),"")</f>
        <v/>
      </c>
      <c r="SSR6" s="27" t="str">
        <f>IFERROR(VLOOKUP(DATE($K$1,$K$2,SSR$4),Table1[],(MATCH(Calendar!$A6,DB!1:1,0)+2),FALSE),"")</f>
        <v/>
      </c>
      <c r="SSS6" s="27" t="str">
        <f>IFERROR(VLOOKUP(DATE($K$1,$K$2,SSS$4),Table1[],(MATCH(Calendar!$A6,DB!1:1,0)+2),FALSE),"")</f>
        <v/>
      </c>
      <c r="SST6" s="27" t="str">
        <f>IFERROR(VLOOKUP(DATE($K$1,$K$2,SST$4),Table1[],(MATCH(Calendar!$A6,DB!1:1,0)+2),FALSE),"")</f>
        <v/>
      </c>
      <c r="SSU6" s="27" t="str">
        <f>IFERROR(VLOOKUP(DATE($K$1,$K$2,SSU$4),Table1[],(MATCH(Calendar!$A6,DB!1:1,0)+2),FALSE),"")</f>
        <v/>
      </c>
      <c r="SSV6" s="27" t="str">
        <f>IFERROR(VLOOKUP(DATE($K$1,$K$2,SSV$4),Table1[],(MATCH(Calendar!$A6,DB!1:1,0)+2),FALSE),"")</f>
        <v/>
      </c>
      <c r="SSW6" s="27" t="str">
        <f>IFERROR(VLOOKUP(DATE($K$1,$K$2,SSW$4),Table1[],(MATCH(Calendar!$A6,DB!1:1,0)+2),FALSE),"")</f>
        <v/>
      </c>
      <c r="SSX6" s="27" t="str">
        <f>IFERROR(VLOOKUP(DATE($K$1,$K$2,SSX$4),Table1[],(MATCH(Calendar!$A6,DB!1:1,0)+2),FALSE),"")</f>
        <v/>
      </c>
      <c r="SSY6" s="27" t="str">
        <f>IFERROR(VLOOKUP(DATE($K$1,$K$2,SSY$4),Table1[],(MATCH(Calendar!$A6,DB!1:1,0)+2),FALSE),"")</f>
        <v/>
      </c>
      <c r="SSZ6" s="27" t="str">
        <f>IFERROR(VLOOKUP(DATE($K$1,$K$2,SSZ$4),Table1[],(MATCH(Calendar!$A6,DB!1:1,0)+2),FALSE),"")</f>
        <v/>
      </c>
      <c r="STA6" s="27" t="str">
        <f>IFERROR(VLOOKUP(DATE($K$1,$K$2,STA$4),Table1[],(MATCH(Calendar!$A6,DB!1:1,0)+2),FALSE),"")</f>
        <v/>
      </c>
      <c r="STB6" s="27" t="str">
        <f>IFERROR(VLOOKUP(DATE($K$1,$K$2,STB$4),Table1[],(MATCH(Calendar!$A6,DB!1:1,0)+2),FALSE),"")</f>
        <v/>
      </c>
      <c r="STC6" s="27" t="str">
        <f>IFERROR(VLOOKUP(DATE($K$1,$K$2,STC$4),Table1[],(MATCH(Calendar!$A6,DB!1:1,0)+2),FALSE),"")</f>
        <v/>
      </c>
      <c r="STD6" s="27" t="str">
        <f>IFERROR(VLOOKUP(DATE($K$1,$K$2,STD$4),Table1[],(MATCH(Calendar!$A6,DB!1:1,0)+2),FALSE),"")</f>
        <v/>
      </c>
      <c r="STE6" s="27" t="str">
        <f>IFERROR(VLOOKUP(DATE($K$1,$K$2,STE$4),Table1[],(MATCH(Calendar!$A6,DB!1:1,0)+2),FALSE),"")</f>
        <v/>
      </c>
      <c r="STF6" s="27" t="str">
        <f>IFERROR(VLOOKUP(DATE($K$1,$K$2,STF$4),Table1[],(MATCH(Calendar!$A6,DB!1:1,0)+2),FALSE),"")</f>
        <v/>
      </c>
      <c r="STG6" s="27" t="str">
        <f>IFERROR(VLOOKUP(DATE($K$1,$K$2,STG$4),Table1[],(MATCH(Calendar!$A6,DB!1:1,0)+2),FALSE),"")</f>
        <v/>
      </c>
      <c r="STH6" s="27" t="str">
        <f>IFERROR(VLOOKUP(DATE($K$1,$K$2,STH$4),Table1[],(MATCH(Calendar!$A6,DB!1:1,0)+2),FALSE),"")</f>
        <v/>
      </c>
      <c r="STI6" s="27" t="str">
        <f>IFERROR(VLOOKUP(DATE($K$1,$K$2,STI$4),Table1[],(MATCH(Calendar!$A6,DB!1:1,0)+2),FALSE),"")</f>
        <v/>
      </c>
      <c r="STJ6" s="27" t="str">
        <f>IFERROR(VLOOKUP(DATE($K$1,$K$2,STJ$4),Table1[],(MATCH(Calendar!$A6,DB!1:1,0)+2),FALSE),"")</f>
        <v/>
      </c>
      <c r="STK6" s="27" t="str">
        <f>IFERROR(VLOOKUP(DATE($K$1,$K$2,STK$4),Table1[],(MATCH(Calendar!$A6,DB!1:1,0)+2),FALSE),"")</f>
        <v/>
      </c>
      <c r="STL6" s="27" t="str">
        <f>IFERROR(VLOOKUP(DATE($K$1,$K$2,STL$4),Table1[],(MATCH(Calendar!$A6,DB!1:1,0)+2),FALSE),"")</f>
        <v/>
      </c>
      <c r="STM6" s="27" t="str">
        <f>IFERROR(VLOOKUP(DATE($K$1,$K$2,STM$4),Table1[],(MATCH(Calendar!$A6,DB!1:1,0)+2),FALSE),"")</f>
        <v/>
      </c>
      <c r="STN6" s="27" t="str">
        <f>IFERROR(VLOOKUP(DATE($K$1,$K$2,STN$4),Table1[],(MATCH(Calendar!$A6,DB!1:1,0)+2),FALSE),"")</f>
        <v/>
      </c>
      <c r="STO6" s="27" t="str">
        <f>IFERROR(VLOOKUP(DATE($K$1,$K$2,STO$4),Table1[],(MATCH(Calendar!$A6,DB!1:1,0)+2),FALSE),"")</f>
        <v/>
      </c>
      <c r="STP6" s="27" t="str">
        <f>IFERROR(VLOOKUP(DATE($K$1,$K$2,STP$4),Table1[],(MATCH(Calendar!$A6,DB!1:1,0)+2),FALSE),"")</f>
        <v/>
      </c>
      <c r="STQ6" s="27" t="str">
        <f>IFERROR(VLOOKUP(DATE($K$1,$K$2,STQ$4),Table1[],(MATCH(Calendar!$A6,DB!1:1,0)+2),FALSE),"")</f>
        <v/>
      </c>
      <c r="STR6" s="27" t="str">
        <f>IFERROR(VLOOKUP(DATE($K$1,$K$2,STR$4),Table1[],(MATCH(Calendar!$A6,DB!1:1,0)+2),FALSE),"")</f>
        <v/>
      </c>
      <c r="STS6" s="27" t="str">
        <f>IFERROR(VLOOKUP(DATE($K$1,$K$2,STS$4),Table1[],(MATCH(Calendar!$A6,DB!1:1,0)+2),FALSE),"")</f>
        <v/>
      </c>
      <c r="STT6" s="27" t="str">
        <f>IFERROR(VLOOKUP(DATE($K$1,$K$2,STT$4),Table1[],(MATCH(Calendar!$A6,DB!1:1,0)+2),FALSE),"")</f>
        <v/>
      </c>
      <c r="STU6" s="27" t="str">
        <f>IFERROR(VLOOKUP(DATE($K$1,$K$2,STU$4),Table1[],(MATCH(Calendar!$A6,DB!1:1,0)+2),FALSE),"")</f>
        <v/>
      </c>
      <c r="STV6" s="27" t="str">
        <f>IFERROR(VLOOKUP(DATE($K$1,$K$2,STV$4),Table1[],(MATCH(Calendar!$A6,DB!1:1,0)+2),FALSE),"")</f>
        <v/>
      </c>
      <c r="STW6" s="27" t="str">
        <f>IFERROR(VLOOKUP(DATE($K$1,$K$2,STW$4),Table1[],(MATCH(Calendar!$A6,DB!1:1,0)+2),FALSE),"")</f>
        <v/>
      </c>
      <c r="STX6" s="27" t="str">
        <f>IFERROR(VLOOKUP(DATE($K$1,$K$2,STX$4),Table1[],(MATCH(Calendar!$A6,DB!1:1,0)+2),FALSE),"")</f>
        <v/>
      </c>
      <c r="STY6" s="27" t="str">
        <f>IFERROR(VLOOKUP(DATE($K$1,$K$2,STY$4),Table1[],(MATCH(Calendar!$A6,DB!1:1,0)+2),FALSE),"")</f>
        <v/>
      </c>
      <c r="STZ6" s="27" t="str">
        <f>IFERROR(VLOOKUP(DATE($K$1,$K$2,STZ$4),Table1[],(MATCH(Calendar!$A6,DB!1:1,0)+2),FALSE),"")</f>
        <v/>
      </c>
      <c r="SUA6" s="27" t="str">
        <f>IFERROR(VLOOKUP(DATE($K$1,$K$2,SUA$4),Table1[],(MATCH(Calendar!$A6,DB!1:1,0)+2),FALSE),"")</f>
        <v/>
      </c>
      <c r="SUB6" s="27" t="str">
        <f>IFERROR(VLOOKUP(DATE($K$1,$K$2,SUB$4),Table1[],(MATCH(Calendar!$A6,DB!1:1,0)+2),FALSE),"")</f>
        <v/>
      </c>
      <c r="SUC6" s="27" t="str">
        <f>IFERROR(VLOOKUP(DATE($K$1,$K$2,SUC$4),Table1[],(MATCH(Calendar!$A6,DB!1:1,0)+2),FALSE),"")</f>
        <v/>
      </c>
      <c r="SUD6" s="27" t="str">
        <f>IFERROR(VLOOKUP(DATE($K$1,$K$2,SUD$4),Table1[],(MATCH(Calendar!$A6,DB!1:1,0)+2),FALSE),"")</f>
        <v/>
      </c>
      <c r="SUE6" s="27" t="str">
        <f>IFERROR(VLOOKUP(DATE($K$1,$K$2,SUE$4),Table1[],(MATCH(Calendar!$A6,DB!1:1,0)+2),FALSE),"")</f>
        <v/>
      </c>
      <c r="SUF6" s="27" t="str">
        <f>IFERROR(VLOOKUP(DATE($K$1,$K$2,SUF$4),Table1[],(MATCH(Calendar!$A6,DB!1:1,0)+2),FALSE),"")</f>
        <v/>
      </c>
      <c r="SUG6" s="27" t="str">
        <f>IFERROR(VLOOKUP(DATE($K$1,$K$2,SUG$4),Table1[],(MATCH(Calendar!$A6,DB!1:1,0)+2),FALSE),"")</f>
        <v/>
      </c>
      <c r="SUH6" s="27" t="str">
        <f>IFERROR(VLOOKUP(DATE($K$1,$K$2,SUH$4),Table1[],(MATCH(Calendar!$A6,DB!1:1,0)+2),FALSE),"")</f>
        <v/>
      </c>
      <c r="SUI6" s="27" t="str">
        <f>IFERROR(VLOOKUP(DATE($K$1,$K$2,SUI$4),Table1[],(MATCH(Calendar!$A6,DB!1:1,0)+2),FALSE),"")</f>
        <v/>
      </c>
      <c r="SUJ6" s="27" t="str">
        <f>IFERROR(VLOOKUP(DATE($K$1,$K$2,SUJ$4),Table1[],(MATCH(Calendar!$A6,DB!1:1,0)+2),FALSE),"")</f>
        <v/>
      </c>
      <c r="SUK6" s="27" t="str">
        <f>IFERROR(VLOOKUP(DATE($K$1,$K$2,SUK$4),Table1[],(MATCH(Calendar!$A6,DB!1:1,0)+2),FALSE),"")</f>
        <v/>
      </c>
      <c r="SUL6" s="27" t="str">
        <f>IFERROR(VLOOKUP(DATE($K$1,$K$2,SUL$4),Table1[],(MATCH(Calendar!$A6,DB!1:1,0)+2),FALSE),"")</f>
        <v/>
      </c>
      <c r="SUM6" s="27" t="str">
        <f>IFERROR(VLOOKUP(DATE($K$1,$K$2,SUM$4),Table1[],(MATCH(Calendar!$A6,DB!1:1,0)+2),FALSE),"")</f>
        <v/>
      </c>
      <c r="SUN6" s="27" t="str">
        <f>IFERROR(VLOOKUP(DATE($K$1,$K$2,SUN$4),Table1[],(MATCH(Calendar!$A6,DB!1:1,0)+2),FALSE),"")</f>
        <v/>
      </c>
      <c r="SUO6" s="27" t="str">
        <f>IFERROR(VLOOKUP(DATE($K$1,$K$2,SUO$4),Table1[],(MATCH(Calendar!$A6,DB!1:1,0)+2),FALSE),"")</f>
        <v/>
      </c>
      <c r="SUP6" s="27" t="str">
        <f>IFERROR(VLOOKUP(DATE($K$1,$K$2,SUP$4),Table1[],(MATCH(Calendar!$A6,DB!1:1,0)+2),FALSE),"")</f>
        <v/>
      </c>
      <c r="SUQ6" s="27" t="str">
        <f>IFERROR(VLOOKUP(DATE($K$1,$K$2,SUQ$4),Table1[],(MATCH(Calendar!$A6,DB!1:1,0)+2),FALSE),"")</f>
        <v/>
      </c>
      <c r="SUR6" s="27" t="str">
        <f>IFERROR(VLOOKUP(DATE($K$1,$K$2,SUR$4),Table1[],(MATCH(Calendar!$A6,DB!1:1,0)+2),FALSE),"")</f>
        <v/>
      </c>
      <c r="SUS6" s="27" t="str">
        <f>IFERROR(VLOOKUP(DATE($K$1,$K$2,SUS$4),Table1[],(MATCH(Calendar!$A6,DB!1:1,0)+2),FALSE),"")</f>
        <v/>
      </c>
      <c r="SUT6" s="27" t="str">
        <f>IFERROR(VLOOKUP(DATE($K$1,$K$2,SUT$4),Table1[],(MATCH(Calendar!$A6,DB!1:1,0)+2),FALSE),"")</f>
        <v/>
      </c>
      <c r="SUU6" s="27" t="str">
        <f>IFERROR(VLOOKUP(DATE($K$1,$K$2,SUU$4),Table1[],(MATCH(Calendar!$A6,DB!1:1,0)+2),FALSE),"")</f>
        <v/>
      </c>
      <c r="SUV6" s="27" t="str">
        <f>IFERROR(VLOOKUP(DATE($K$1,$K$2,SUV$4),Table1[],(MATCH(Calendar!$A6,DB!1:1,0)+2),FALSE),"")</f>
        <v/>
      </c>
      <c r="SUW6" s="27" t="str">
        <f>IFERROR(VLOOKUP(DATE($K$1,$K$2,SUW$4),Table1[],(MATCH(Calendar!$A6,DB!1:1,0)+2),FALSE),"")</f>
        <v/>
      </c>
      <c r="SUX6" s="27" t="str">
        <f>IFERROR(VLOOKUP(DATE($K$1,$K$2,SUX$4),Table1[],(MATCH(Calendar!$A6,DB!1:1,0)+2),FALSE),"")</f>
        <v/>
      </c>
      <c r="SUY6" s="27" t="str">
        <f>IFERROR(VLOOKUP(DATE($K$1,$K$2,SUY$4),Table1[],(MATCH(Calendar!$A6,DB!1:1,0)+2),FALSE),"")</f>
        <v/>
      </c>
      <c r="SUZ6" s="27" t="str">
        <f>IFERROR(VLOOKUP(DATE($K$1,$K$2,SUZ$4),Table1[],(MATCH(Calendar!$A6,DB!1:1,0)+2),FALSE),"")</f>
        <v/>
      </c>
      <c r="SVA6" s="27" t="str">
        <f>IFERROR(VLOOKUP(DATE($K$1,$K$2,SVA$4),Table1[],(MATCH(Calendar!$A6,DB!1:1,0)+2),FALSE),"")</f>
        <v/>
      </c>
      <c r="SVB6" s="27" t="str">
        <f>IFERROR(VLOOKUP(DATE($K$1,$K$2,SVB$4),Table1[],(MATCH(Calendar!$A6,DB!1:1,0)+2),FALSE),"")</f>
        <v/>
      </c>
      <c r="SVC6" s="27" t="str">
        <f>IFERROR(VLOOKUP(DATE($K$1,$K$2,SVC$4),Table1[],(MATCH(Calendar!$A6,DB!1:1,0)+2),FALSE),"")</f>
        <v/>
      </c>
      <c r="SVD6" s="27" t="str">
        <f>IFERROR(VLOOKUP(DATE($K$1,$K$2,SVD$4),Table1[],(MATCH(Calendar!$A6,DB!1:1,0)+2),FALSE),"")</f>
        <v/>
      </c>
      <c r="SVE6" s="27" t="str">
        <f>IFERROR(VLOOKUP(DATE($K$1,$K$2,SVE$4),Table1[],(MATCH(Calendar!$A6,DB!1:1,0)+2),FALSE),"")</f>
        <v/>
      </c>
      <c r="SVF6" s="27" t="str">
        <f>IFERROR(VLOOKUP(DATE($K$1,$K$2,SVF$4),Table1[],(MATCH(Calendar!$A6,DB!1:1,0)+2),FALSE),"")</f>
        <v/>
      </c>
      <c r="SVG6" s="27" t="str">
        <f>IFERROR(VLOOKUP(DATE($K$1,$K$2,SVG$4),Table1[],(MATCH(Calendar!$A6,DB!1:1,0)+2),FALSE),"")</f>
        <v/>
      </c>
      <c r="SVH6" s="27" t="str">
        <f>IFERROR(VLOOKUP(DATE($K$1,$K$2,SVH$4),Table1[],(MATCH(Calendar!$A6,DB!1:1,0)+2),FALSE),"")</f>
        <v/>
      </c>
      <c r="SVI6" s="27" t="str">
        <f>IFERROR(VLOOKUP(DATE($K$1,$K$2,SVI$4),Table1[],(MATCH(Calendar!$A6,DB!1:1,0)+2),FALSE),"")</f>
        <v/>
      </c>
      <c r="SVJ6" s="27" t="str">
        <f>IFERROR(VLOOKUP(DATE($K$1,$K$2,SVJ$4),Table1[],(MATCH(Calendar!$A6,DB!1:1,0)+2),FALSE),"")</f>
        <v/>
      </c>
      <c r="SVK6" s="27" t="str">
        <f>IFERROR(VLOOKUP(DATE($K$1,$K$2,SVK$4),Table1[],(MATCH(Calendar!$A6,DB!1:1,0)+2),FALSE),"")</f>
        <v/>
      </c>
      <c r="SVL6" s="27" t="str">
        <f>IFERROR(VLOOKUP(DATE($K$1,$K$2,SVL$4),Table1[],(MATCH(Calendar!$A6,DB!1:1,0)+2),FALSE),"")</f>
        <v/>
      </c>
      <c r="SVM6" s="27" t="str">
        <f>IFERROR(VLOOKUP(DATE($K$1,$K$2,SVM$4),Table1[],(MATCH(Calendar!$A6,DB!1:1,0)+2),FALSE),"")</f>
        <v/>
      </c>
      <c r="SVN6" s="27" t="str">
        <f>IFERROR(VLOOKUP(DATE($K$1,$K$2,SVN$4),Table1[],(MATCH(Calendar!$A6,DB!1:1,0)+2),FALSE),"")</f>
        <v/>
      </c>
      <c r="SVO6" s="27" t="str">
        <f>IFERROR(VLOOKUP(DATE($K$1,$K$2,SVO$4),Table1[],(MATCH(Calendar!$A6,DB!1:1,0)+2),FALSE),"")</f>
        <v/>
      </c>
      <c r="SVP6" s="27" t="str">
        <f>IFERROR(VLOOKUP(DATE($K$1,$K$2,SVP$4),Table1[],(MATCH(Calendar!$A6,DB!1:1,0)+2),FALSE),"")</f>
        <v/>
      </c>
      <c r="SVQ6" s="27" t="str">
        <f>IFERROR(VLOOKUP(DATE($K$1,$K$2,SVQ$4),Table1[],(MATCH(Calendar!$A6,DB!1:1,0)+2),FALSE),"")</f>
        <v/>
      </c>
      <c r="SVR6" s="27" t="str">
        <f>IFERROR(VLOOKUP(DATE($K$1,$K$2,SVR$4),Table1[],(MATCH(Calendar!$A6,DB!1:1,0)+2),FALSE),"")</f>
        <v/>
      </c>
      <c r="SVS6" s="27" t="str">
        <f>IFERROR(VLOOKUP(DATE($K$1,$K$2,SVS$4),Table1[],(MATCH(Calendar!$A6,DB!1:1,0)+2),FALSE),"")</f>
        <v/>
      </c>
      <c r="SVT6" s="27" t="str">
        <f>IFERROR(VLOOKUP(DATE($K$1,$K$2,SVT$4),Table1[],(MATCH(Calendar!$A6,DB!1:1,0)+2),FALSE),"")</f>
        <v/>
      </c>
      <c r="SVU6" s="27" t="str">
        <f>IFERROR(VLOOKUP(DATE($K$1,$K$2,SVU$4),Table1[],(MATCH(Calendar!$A6,DB!1:1,0)+2),FALSE),"")</f>
        <v/>
      </c>
      <c r="SVV6" s="27" t="str">
        <f>IFERROR(VLOOKUP(DATE($K$1,$K$2,SVV$4),Table1[],(MATCH(Calendar!$A6,DB!1:1,0)+2),FALSE),"")</f>
        <v/>
      </c>
      <c r="SVW6" s="27" t="str">
        <f>IFERROR(VLOOKUP(DATE($K$1,$K$2,SVW$4),Table1[],(MATCH(Calendar!$A6,DB!1:1,0)+2),FALSE),"")</f>
        <v/>
      </c>
      <c r="SVX6" s="27" t="str">
        <f>IFERROR(VLOOKUP(DATE($K$1,$K$2,SVX$4),Table1[],(MATCH(Calendar!$A6,DB!1:1,0)+2),FALSE),"")</f>
        <v/>
      </c>
      <c r="SVY6" s="27" t="str">
        <f>IFERROR(VLOOKUP(DATE($K$1,$K$2,SVY$4),Table1[],(MATCH(Calendar!$A6,DB!1:1,0)+2),FALSE),"")</f>
        <v/>
      </c>
      <c r="SVZ6" s="27" t="str">
        <f>IFERROR(VLOOKUP(DATE($K$1,$K$2,SVZ$4),Table1[],(MATCH(Calendar!$A6,DB!1:1,0)+2),FALSE),"")</f>
        <v/>
      </c>
      <c r="SWA6" s="27" t="str">
        <f>IFERROR(VLOOKUP(DATE($K$1,$K$2,SWA$4),Table1[],(MATCH(Calendar!$A6,DB!1:1,0)+2),FALSE),"")</f>
        <v/>
      </c>
      <c r="SWB6" s="27" t="str">
        <f>IFERROR(VLOOKUP(DATE($K$1,$K$2,SWB$4),Table1[],(MATCH(Calendar!$A6,DB!1:1,0)+2),FALSE),"")</f>
        <v/>
      </c>
      <c r="SWC6" s="27" t="str">
        <f>IFERROR(VLOOKUP(DATE($K$1,$K$2,SWC$4),Table1[],(MATCH(Calendar!$A6,DB!1:1,0)+2),FALSE),"")</f>
        <v/>
      </c>
      <c r="SWD6" s="27" t="str">
        <f>IFERROR(VLOOKUP(DATE($K$1,$K$2,SWD$4),Table1[],(MATCH(Calendar!$A6,DB!1:1,0)+2),FALSE),"")</f>
        <v/>
      </c>
      <c r="SWE6" s="27" t="str">
        <f>IFERROR(VLOOKUP(DATE($K$1,$K$2,SWE$4),Table1[],(MATCH(Calendar!$A6,DB!1:1,0)+2),FALSE),"")</f>
        <v/>
      </c>
      <c r="SWF6" s="27" t="str">
        <f>IFERROR(VLOOKUP(DATE($K$1,$K$2,SWF$4),Table1[],(MATCH(Calendar!$A6,DB!1:1,0)+2),FALSE),"")</f>
        <v/>
      </c>
      <c r="SWG6" s="27" t="str">
        <f>IFERROR(VLOOKUP(DATE($K$1,$K$2,SWG$4),Table1[],(MATCH(Calendar!$A6,DB!1:1,0)+2),FALSE),"")</f>
        <v/>
      </c>
      <c r="SWH6" s="27" t="str">
        <f>IFERROR(VLOOKUP(DATE($K$1,$K$2,SWH$4),Table1[],(MATCH(Calendar!$A6,DB!1:1,0)+2),FALSE),"")</f>
        <v/>
      </c>
      <c r="SWI6" s="27" t="str">
        <f>IFERROR(VLOOKUP(DATE($K$1,$K$2,SWI$4),Table1[],(MATCH(Calendar!$A6,DB!1:1,0)+2),FALSE),"")</f>
        <v/>
      </c>
      <c r="SWJ6" s="27" t="str">
        <f>IFERROR(VLOOKUP(DATE($K$1,$K$2,SWJ$4),Table1[],(MATCH(Calendar!$A6,DB!1:1,0)+2),FALSE),"")</f>
        <v/>
      </c>
      <c r="SWK6" s="27" t="str">
        <f>IFERROR(VLOOKUP(DATE($K$1,$K$2,SWK$4),Table1[],(MATCH(Calendar!$A6,DB!1:1,0)+2),FALSE),"")</f>
        <v/>
      </c>
      <c r="SWL6" s="27" t="str">
        <f>IFERROR(VLOOKUP(DATE($K$1,$K$2,SWL$4),Table1[],(MATCH(Calendar!$A6,DB!1:1,0)+2),FALSE),"")</f>
        <v/>
      </c>
      <c r="SWM6" s="27" t="str">
        <f>IFERROR(VLOOKUP(DATE($K$1,$K$2,SWM$4),Table1[],(MATCH(Calendar!$A6,DB!1:1,0)+2),FALSE),"")</f>
        <v/>
      </c>
      <c r="SWN6" s="27" t="str">
        <f>IFERROR(VLOOKUP(DATE($K$1,$K$2,SWN$4),Table1[],(MATCH(Calendar!$A6,DB!1:1,0)+2),FALSE),"")</f>
        <v/>
      </c>
      <c r="SWO6" s="27" t="str">
        <f>IFERROR(VLOOKUP(DATE($K$1,$K$2,SWO$4),Table1[],(MATCH(Calendar!$A6,DB!1:1,0)+2),FALSE),"")</f>
        <v/>
      </c>
      <c r="SWP6" s="27" t="str">
        <f>IFERROR(VLOOKUP(DATE($K$1,$K$2,SWP$4),Table1[],(MATCH(Calendar!$A6,DB!1:1,0)+2),FALSE),"")</f>
        <v/>
      </c>
      <c r="SWQ6" s="27" t="str">
        <f>IFERROR(VLOOKUP(DATE($K$1,$K$2,SWQ$4),Table1[],(MATCH(Calendar!$A6,DB!1:1,0)+2),FALSE),"")</f>
        <v/>
      </c>
      <c r="SWR6" s="27" t="str">
        <f>IFERROR(VLOOKUP(DATE($K$1,$K$2,SWR$4),Table1[],(MATCH(Calendar!$A6,DB!1:1,0)+2),FALSE),"")</f>
        <v/>
      </c>
      <c r="SWS6" s="27" t="str">
        <f>IFERROR(VLOOKUP(DATE($K$1,$K$2,SWS$4),Table1[],(MATCH(Calendar!$A6,DB!1:1,0)+2),FALSE),"")</f>
        <v/>
      </c>
      <c r="SWT6" s="27" t="str">
        <f>IFERROR(VLOOKUP(DATE($K$1,$K$2,SWT$4),Table1[],(MATCH(Calendar!$A6,DB!1:1,0)+2),FALSE),"")</f>
        <v/>
      </c>
      <c r="SWU6" s="27" t="str">
        <f>IFERROR(VLOOKUP(DATE($K$1,$K$2,SWU$4),Table1[],(MATCH(Calendar!$A6,DB!1:1,0)+2),FALSE),"")</f>
        <v/>
      </c>
      <c r="SWV6" s="27" t="str">
        <f>IFERROR(VLOOKUP(DATE($K$1,$K$2,SWV$4),Table1[],(MATCH(Calendar!$A6,DB!1:1,0)+2),FALSE),"")</f>
        <v/>
      </c>
      <c r="SWW6" s="27" t="str">
        <f>IFERROR(VLOOKUP(DATE($K$1,$K$2,SWW$4),Table1[],(MATCH(Calendar!$A6,DB!1:1,0)+2),FALSE),"")</f>
        <v/>
      </c>
      <c r="SWX6" s="27" t="str">
        <f>IFERROR(VLOOKUP(DATE($K$1,$K$2,SWX$4),Table1[],(MATCH(Calendar!$A6,DB!1:1,0)+2),FALSE),"")</f>
        <v/>
      </c>
      <c r="SWY6" s="27" t="str">
        <f>IFERROR(VLOOKUP(DATE($K$1,$K$2,SWY$4),Table1[],(MATCH(Calendar!$A6,DB!1:1,0)+2),FALSE),"")</f>
        <v/>
      </c>
      <c r="SWZ6" s="27" t="str">
        <f>IFERROR(VLOOKUP(DATE($K$1,$K$2,SWZ$4),Table1[],(MATCH(Calendar!$A6,DB!1:1,0)+2),FALSE),"")</f>
        <v/>
      </c>
      <c r="SXA6" s="27" t="str">
        <f>IFERROR(VLOOKUP(DATE($K$1,$K$2,SXA$4),Table1[],(MATCH(Calendar!$A6,DB!1:1,0)+2),FALSE),"")</f>
        <v/>
      </c>
      <c r="SXB6" s="27" t="str">
        <f>IFERROR(VLOOKUP(DATE($K$1,$K$2,SXB$4),Table1[],(MATCH(Calendar!$A6,DB!1:1,0)+2),FALSE),"")</f>
        <v/>
      </c>
      <c r="SXC6" s="27" t="str">
        <f>IFERROR(VLOOKUP(DATE($K$1,$K$2,SXC$4),Table1[],(MATCH(Calendar!$A6,DB!1:1,0)+2),FALSE),"")</f>
        <v/>
      </c>
      <c r="SXD6" s="27" t="str">
        <f>IFERROR(VLOOKUP(DATE($K$1,$K$2,SXD$4),Table1[],(MATCH(Calendar!$A6,DB!1:1,0)+2),FALSE),"")</f>
        <v/>
      </c>
      <c r="SXE6" s="27" t="str">
        <f>IFERROR(VLOOKUP(DATE($K$1,$K$2,SXE$4),Table1[],(MATCH(Calendar!$A6,DB!1:1,0)+2),FALSE),"")</f>
        <v/>
      </c>
      <c r="SXF6" s="27" t="str">
        <f>IFERROR(VLOOKUP(DATE($K$1,$K$2,SXF$4),Table1[],(MATCH(Calendar!$A6,DB!1:1,0)+2),FALSE),"")</f>
        <v/>
      </c>
      <c r="SXG6" s="27" t="str">
        <f>IFERROR(VLOOKUP(DATE($K$1,$K$2,SXG$4),Table1[],(MATCH(Calendar!$A6,DB!1:1,0)+2),FALSE),"")</f>
        <v/>
      </c>
      <c r="SXH6" s="27" t="str">
        <f>IFERROR(VLOOKUP(DATE($K$1,$K$2,SXH$4),Table1[],(MATCH(Calendar!$A6,DB!1:1,0)+2),FALSE),"")</f>
        <v/>
      </c>
      <c r="SXI6" s="27" t="str">
        <f>IFERROR(VLOOKUP(DATE($K$1,$K$2,SXI$4),Table1[],(MATCH(Calendar!$A6,DB!1:1,0)+2),FALSE),"")</f>
        <v/>
      </c>
      <c r="SXJ6" s="27" t="str">
        <f>IFERROR(VLOOKUP(DATE($K$1,$K$2,SXJ$4),Table1[],(MATCH(Calendar!$A6,DB!1:1,0)+2),FALSE),"")</f>
        <v/>
      </c>
      <c r="SXK6" s="27" t="str">
        <f>IFERROR(VLOOKUP(DATE($K$1,$K$2,SXK$4),Table1[],(MATCH(Calendar!$A6,DB!1:1,0)+2),FALSE),"")</f>
        <v/>
      </c>
      <c r="SXL6" s="27" t="str">
        <f>IFERROR(VLOOKUP(DATE($K$1,$K$2,SXL$4),Table1[],(MATCH(Calendar!$A6,DB!1:1,0)+2),FALSE),"")</f>
        <v/>
      </c>
      <c r="SXM6" s="27" t="str">
        <f>IFERROR(VLOOKUP(DATE($K$1,$K$2,SXM$4),Table1[],(MATCH(Calendar!$A6,DB!1:1,0)+2),FALSE),"")</f>
        <v/>
      </c>
      <c r="SXN6" s="27" t="str">
        <f>IFERROR(VLOOKUP(DATE($K$1,$K$2,SXN$4),Table1[],(MATCH(Calendar!$A6,DB!1:1,0)+2),FALSE),"")</f>
        <v/>
      </c>
      <c r="SXO6" s="27" t="str">
        <f>IFERROR(VLOOKUP(DATE($K$1,$K$2,SXO$4),Table1[],(MATCH(Calendar!$A6,DB!1:1,0)+2),FALSE),"")</f>
        <v/>
      </c>
      <c r="SXP6" s="27" t="str">
        <f>IFERROR(VLOOKUP(DATE($K$1,$K$2,SXP$4),Table1[],(MATCH(Calendar!$A6,DB!1:1,0)+2),FALSE),"")</f>
        <v/>
      </c>
      <c r="SXQ6" s="27" t="str">
        <f>IFERROR(VLOOKUP(DATE($K$1,$K$2,SXQ$4),Table1[],(MATCH(Calendar!$A6,DB!1:1,0)+2),FALSE),"")</f>
        <v/>
      </c>
      <c r="SXR6" s="27" t="str">
        <f>IFERROR(VLOOKUP(DATE($K$1,$K$2,SXR$4),Table1[],(MATCH(Calendar!$A6,DB!1:1,0)+2),FALSE),"")</f>
        <v/>
      </c>
      <c r="SXS6" s="27" t="str">
        <f>IFERROR(VLOOKUP(DATE($K$1,$K$2,SXS$4),Table1[],(MATCH(Calendar!$A6,DB!1:1,0)+2),FALSE),"")</f>
        <v/>
      </c>
      <c r="SXT6" s="27" t="str">
        <f>IFERROR(VLOOKUP(DATE($K$1,$K$2,SXT$4),Table1[],(MATCH(Calendar!$A6,DB!1:1,0)+2),FALSE),"")</f>
        <v/>
      </c>
      <c r="SXU6" s="27" t="str">
        <f>IFERROR(VLOOKUP(DATE($K$1,$K$2,SXU$4),Table1[],(MATCH(Calendar!$A6,DB!1:1,0)+2),FALSE),"")</f>
        <v/>
      </c>
      <c r="SXV6" s="27" t="str">
        <f>IFERROR(VLOOKUP(DATE($K$1,$K$2,SXV$4),Table1[],(MATCH(Calendar!$A6,DB!1:1,0)+2),FALSE),"")</f>
        <v/>
      </c>
      <c r="SXW6" s="27" t="str">
        <f>IFERROR(VLOOKUP(DATE($K$1,$K$2,SXW$4),Table1[],(MATCH(Calendar!$A6,DB!1:1,0)+2),FALSE),"")</f>
        <v/>
      </c>
      <c r="SXX6" s="27" t="str">
        <f>IFERROR(VLOOKUP(DATE($K$1,$K$2,SXX$4),Table1[],(MATCH(Calendar!$A6,DB!1:1,0)+2),FALSE),"")</f>
        <v/>
      </c>
      <c r="SXY6" s="27" t="str">
        <f>IFERROR(VLOOKUP(DATE($K$1,$K$2,SXY$4),Table1[],(MATCH(Calendar!$A6,DB!1:1,0)+2),FALSE),"")</f>
        <v/>
      </c>
      <c r="SXZ6" s="27" t="str">
        <f>IFERROR(VLOOKUP(DATE($K$1,$K$2,SXZ$4),Table1[],(MATCH(Calendar!$A6,DB!1:1,0)+2),FALSE),"")</f>
        <v/>
      </c>
      <c r="SYA6" s="27" t="str">
        <f>IFERROR(VLOOKUP(DATE($K$1,$K$2,SYA$4),Table1[],(MATCH(Calendar!$A6,DB!1:1,0)+2),FALSE),"")</f>
        <v/>
      </c>
      <c r="SYB6" s="27" t="str">
        <f>IFERROR(VLOOKUP(DATE($K$1,$K$2,SYB$4),Table1[],(MATCH(Calendar!$A6,DB!1:1,0)+2),FALSE),"")</f>
        <v/>
      </c>
      <c r="SYC6" s="27" t="str">
        <f>IFERROR(VLOOKUP(DATE($K$1,$K$2,SYC$4),Table1[],(MATCH(Calendar!$A6,DB!1:1,0)+2),FALSE),"")</f>
        <v/>
      </c>
      <c r="SYD6" s="27" t="str">
        <f>IFERROR(VLOOKUP(DATE($K$1,$K$2,SYD$4),Table1[],(MATCH(Calendar!$A6,DB!1:1,0)+2),FALSE),"")</f>
        <v/>
      </c>
      <c r="SYE6" s="27" t="str">
        <f>IFERROR(VLOOKUP(DATE($K$1,$K$2,SYE$4),Table1[],(MATCH(Calendar!$A6,DB!1:1,0)+2),FALSE),"")</f>
        <v/>
      </c>
      <c r="SYF6" s="27" t="str">
        <f>IFERROR(VLOOKUP(DATE($K$1,$K$2,SYF$4),Table1[],(MATCH(Calendar!$A6,DB!1:1,0)+2),FALSE),"")</f>
        <v/>
      </c>
      <c r="SYG6" s="27" t="str">
        <f>IFERROR(VLOOKUP(DATE($K$1,$K$2,SYG$4),Table1[],(MATCH(Calendar!$A6,DB!1:1,0)+2),FALSE),"")</f>
        <v/>
      </c>
      <c r="SYH6" s="27" t="str">
        <f>IFERROR(VLOOKUP(DATE($K$1,$K$2,SYH$4),Table1[],(MATCH(Calendar!$A6,DB!1:1,0)+2),FALSE),"")</f>
        <v/>
      </c>
      <c r="SYI6" s="27" t="str">
        <f>IFERROR(VLOOKUP(DATE($K$1,$K$2,SYI$4),Table1[],(MATCH(Calendar!$A6,DB!1:1,0)+2),FALSE),"")</f>
        <v/>
      </c>
      <c r="SYJ6" s="27" t="str">
        <f>IFERROR(VLOOKUP(DATE($K$1,$K$2,SYJ$4),Table1[],(MATCH(Calendar!$A6,DB!1:1,0)+2),FALSE),"")</f>
        <v/>
      </c>
      <c r="SYK6" s="27" t="str">
        <f>IFERROR(VLOOKUP(DATE($K$1,$K$2,SYK$4),Table1[],(MATCH(Calendar!$A6,DB!1:1,0)+2),FALSE),"")</f>
        <v/>
      </c>
      <c r="SYL6" s="27" t="str">
        <f>IFERROR(VLOOKUP(DATE($K$1,$K$2,SYL$4),Table1[],(MATCH(Calendar!$A6,DB!1:1,0)+2),FALSE),"")</f>
        <v/>
      </c>
      <c r="SYM6" s="27" t="str">
        <f>IFERROR(VLOOKUP(DATE($K$1,$K$2,SYM$4),Table1[],(MATCH(Calendar!$A6,DB!1:1,0)+2),FALSE),"")</f>
        <v/>
      </c>
      <c r="SYN6" s="27" t="str">
        <f>IFERROR(VLOOKUP(DATE($K$1,$K$2,SYN$4),Table1[],(MATCH(Calendar!$A6,DB!1:1,0)+2),FALSE),"")</f>
        <v/>
      </c>
      <c r="SYO6" s="27" t="str">
        <f>IFERROR(VLOOKUP(DATE($K$1,$K$2,SYO$4),Table1[],(MATCH(Calendar!$A6,DB!1:1,0)+2),FALSE),"")</f>
        <v/>
      </c>
      <c r="SYP6" s="27" t="str">
        <f>IFERROR(VLOOKUP(DATE($K$1,$K$2,SYP$4),Table1[],(MATCH(Calendar!$A6,DB!1:1,0)+2),FALSE),"")</f>
        <v/>
      </c>
      <c r="SYQ6" s="27" t="str">
        <f>IFERROR(VLOOKUP(DATE($K$1,$K$2,SYQ$4),Table1[],(MATCH(Calendar!$A6,DB!1:1,0)+2),FALSE),"")</f>
        <v/>
      </c>
      <c r="SYR6" s="27" t="str">
        <f>IFERROR(VLOOKUP(DATE($K$1,$K$2,SYR$4),Table1[],(MATCH(Calendar!$A6,DB!1:1,0)+2),FALSE),"")</f>
        <v/>
      </c>
      <c r="SYS6" s="27" t="str">
        <f>IFERROR(VLOOKUP(DATE($K$1,$K$2,SYS$4),Table1[],(MATCH(Calendar!$A6,DB!1:1,0)+2),FALSE),"")</f>
        <v/>
      </c>
      <c r="SYT6" s="27" t="str">
        <f>IFERROR(VLOOKUP(DATE($K$1,$K$2,SYT$4),Table1[],(MATCH(Calendar!$A6,DB!1:1,0)+2),FALSE),"")</f>
        <v/>
      </c>
      <c r="SYU6" s="27" t="str">
        <f>IFERROR(VLOOKUP(DATE($K$1,$K$2,SYU$4),Table1[],(MATCH(Calendar!$A6,DB!1:1,0)+2),FALSE),"")</f>
        <v/>
      </c>
      <c r="SYV6" s="27" t="str">
        <f>IFERROR(VLOOKUP(DATE($K$1,$K$2,SYV$4),Table1[],(MATCH(Calendar!$A6,DB!1:1,0)+2),FALSE),"")</f>
        <v/>
      </c>
      <c r="SYW6" s="27" t="str">
        <f>IFERROR(VLOOKUP(DATE($K$1,$K$2,SYW$4),Table1[],(MATCH(Calendar!$A6,DB!1:1,0)+2),FALSE),"")</f>
        <v/>
      </c>
      <c r="SYX6" s="27" t="str">
        <f>IFERROR(VLOOKUP(DATE($K$1,$K$2,SYX$4),Table1[],(MATCH(Calendar!$A6,DB!1:1,0)+2),FALSE),"")</f>
        <v/>
      </c>
      <c r="SYY6" s="27" t="str">
        <f>IFERROR(VLOOKUP(DATE($K$1,$K$2,SYY$4),Table1[],(MATCH(Calendar!$A6,DB!1:1,0)+2),FALSE),"")</f>
        <v/>
      </c>
      <c r="SYZ6" s="27" t="str">
        <f>IFERROR(VLOOKUP(DATE($K$1,$K$2,SYZ$4),Table1[],(MATCH(Calendar!$A6,DB!1:1,0)+2),FALSE),"")</f>
        <v/>
      </c>
      <c r="SZA6" s="27" t="str">
        <f>IFERROR(VLOOKUP(DATE($K$1,$K$2,SZA$4),Table1[],(MATCH(Calendar!$A6,DB!1:1,0)+2),FALSE),"")</f>
        <v/>
      </c>
      <c r="SZB6" s="27" t="str">
        <f>IFERROR(VLOOKUP(DATE($K$1,$K$2,SZB$4),Table1[],(MATCH(Calendar!$A6,DB!1:1,0)+2),FALSE),"")</f>
        <v/>
      </c>
      <c r="SZC6" s="27" t="str">
        <f>IFERROR(VLOOKUP(DATE($K$1,$K$2,SZC$4),Table1[],(MATCH(Calendar!$A6,DB!1:1,0)+2),FALSE),"")</f>
        <v/>
      </c>
      <c r="SZD6" s="27" t="str">
        <f>IFERROR(VLOOKUP(DATE($K$1,$K$2,SZD$4),Table1[],(MATCH(Calendar!$A6,DB!1:1,0)+2),FALSE),"")</f>
        <v/>
      </c>
      <c r="SZE6" s="27" t="str">
        <f>IFERROR(VLOOKUP(DATE($K$1,$K$2,SZE$4),Table1[],(MATCH(Calendar!$A6,DB!1:1,0)+2),FALSE),"")</f>
        <v/>
      </c>
      <c r="SZF6" s="27" t="str">
        <f>IFERROR(VLOOKUP(DATE($K$1,$K$2,SZF$4),Table1[],(MATCH(Calendar!$A6,DB!1:1,0)+2),FALSE),"")</f>
        <v/>
      </c>
      <c r="SZG6" s="27" t="str">
        <f>IFERROR(VLOOKUP(DATE($K$1,$K$2,SZG$4),Table1[],(MATCH(Calendar!$A6,DB!1:1,0)+2),FALSE),"")</f>
        <v/>
      </c>
      <c r="SZH6" s="27" t="str">
        <f>IFERROR(VLOOKUP(DATE($K$1,$K$2,SZH$4),Table1[],(MATCH(Calendar!$A6,DB!1:1,0)+2),FALSE),"")</f>
        <v/>
      </c>
      <c r="SZI6" s="27" t="str">
        <f>IFERROR(VLOOKUP(DATE($K$1,$K$2,SZI$4),Table1[],(MATCH(Calendar!$A6,DB!1:1,0)+2),FALSE),"")</f>
        <v/>
      </c>
      <c r="SZJ6" s="27" t="str">
        <f>IFERROR(VLOOKUP(DATE($K$1,$K$2,SZJ$4),Table1[],(MATCH(Calendar!$A6,DB!1:1,0)+2),FALSE),"")</f>
        <v/>
      </c>
      <c r="SZK6" s="27" t="str">
        <f>IFERROR(VLOOKUP(DATE($K$1,$K$2,SZK$4),Table1[],(MATCH(Calendar!$A6,DB!1:1,0)+2),FALSE),"")</f>
        <v/>
      </c>
      <c r="SZL6" s="27" t="str">
        <f>IFERROR(VLOOKUP(DATE($K$1,$K$2,SZL$4),Table1[],(MATCH(Calendar!$A6,DB!1:1,0)+2),FALSE),"")</f>
        <v/>
      </c>
      <c r="SZM6" s="27" t="str">
        <f>IFERROR(VLOOKUP(DATE($K$1,$K$2,SZM$4),Table1[],(MATCH(Calendar!$A6,DB!1:1,0)+2),FALSE),"")</f>
        <v/>
      </c>
      <c r="SZN6" s="27" t="str">
        <f>IFERROR(VLOOKUP(DATE($K$1,$K$2,SZN$4),Table1[],(MATCH(Calendar!$A6,DB!1:1,0)+2),FALSE),"")</f>
        <v/>
      </c>
      <c r="SZO6" s="27" t="str">
        <f>IFERROR(VLOOKUP(DATE($K$1,$K$2,SZO$4),Table1[],(MATCH(Calendar!$A6,DB!1:1,0)+2),FALSE),"")</f>
        <v/>
      </c>
      <c r="SZP6" s="27" t="str">
        <f>IFERROR(VLOOKUP(DATE($K$1,$K$2,SZP$4),Table1[],(MATCH(Calendar!$A6,DB!1:1,0)+2),FALSE),"")</f>
        <v/>
      </c>
      <c r="SZQ6" s="27" t="str">
        <f>IFERROR(VLOOKUP(DATE($K$1,$K$2,SZQ$4),Table1[],(MATCH(Calendar!$A6,DB!1:1,0)+2),FALSE),"")</f>
        <v/>
      </c>
      <c r="SZR6" s="27" t="str">
        <f>IFERROR(VLOOKUP(DATE($K$1,$K$2,SZR$4),Table1[],(MATCH(Calendar!$A6,DB!1:1,0)+2),FALSE),"")</f>
        <v/>
      </c>
      <c r="SZS6" s="27" t="str">
        <f>IFERROR(VLOOKUP(DATE($K$1,$K$2,SZS$4),Table1[],(MATCH(Calendar!$A6,DB!1:1,0)+2),FALSE),"")</f>
        <v/>
      </c>
      <c r="SZT6" s="27" t="str">
        <f>IFERROR(VLOOKUP(DATE($K$1,$K$2,SZT$4),Table1[],(MATCH(Calendar!$A6,DB!1:1,0)+2),FALSE),"")</f>
        <v/>
      </c>
      <c r="SZU6" s="27" t="str">
        <f>IFERROR(VLOOKUP(DATE($K$1,$K$2,SZU$4),Table1[],(MATCH(Calendar!$A6,DB!1:1,0)+2),FALSE),"")</f>
        <v/>
      </c>
      <c r="SZV6" s="27" t="str">
        <f>IFERROR(VLOOKUP(DATE($K$1,$K$2,SZV$4),Table1[],(MATCH(Calendar!$A6,DB!1:1,0)+2),FALSE),"")</f>
        <v/>
      </c>
      <c r="SZW6" s="27" t="str">
        <f>IFERROR(VLOOKUP(DATE($K$1,$K$2,SZW$4),Table1[],(MATCH(Calendar!$A6,DB!1:1,0)+2),FALSE),"")</f>
        <v/>
      </c>
      <c r="SZX6" s="27" t="str">
        <f>IFERROR(VLOOKUP(DATE($K$1,$K$2,SZX$4),Table1[],(MATCH(Calendar!$A6,DB!1:1,0)+2),FALSE),"")</f>
        <v/>
      </c>
      <c r="SZY6" s="27" t="str">
        <f>IFERROR(VLOOKUP(DATE($K$1,$K$2,SZY$4),Table1[],(MATCH(Calendar!$A6,DB!1:1,0)+2),FALSE),"")</f>
        <v/>
      </c>
      <c r="SZZ6" s="27" t="str">
        <f>IFERROR(VLOOKUP(DATE($K$1,$K$2,SZZ$4),Table1[],(MATCH(Calendar!$A6,DB!1:1,0)+2),FALSE),"")</f>
        <v/>
      </c>
      <c r="TAA6" s="27" t="str">
        <f>IFERROR(VLOOKUP(DATE($K$1,$K$2,TAA$4),Table1[],(MATCH(Calendar!$A6,DB!1:1,0)+2),FALSE),"")</f>
        <v/>
      </c>
      <c r="TAB6" s="27" t="str">
        <f>IFERROR(VLOOKUP(DATE($K$1,$K$2,TAB$4),Table1[],(MATCH(Calendar!$A6,DB!1:1,0)+2),FALSE),"")</f>
        <v/>
      </c>
      <c r="TAC6" s="27" t="str">
        <f>IFERROR(VLOOKUP(DATE($K$1,$K$2,TAC$4),Table1[],(MATCH(Calendar!$A6,DB!1:1,0)+2),FALSE),"")</f>
        <v/>
      </c>
      <c r="TAD6" s="27" t="str">
        <f>IFERROR(VLOOKUP(DATE($K$1,$K$2,TAD$4),Table1[],(MATCH(Calendar!$A6,DB!1:1,0)+2),FALSE),"")</f>
        <v/>
      </c>
      <c r="TAE6" s="27" t="str">
        <f>IFERROR(VLOOKUP(DATE($K$1,$K$2,TAE$4),Table1[],(MATCH(Calendar!$A6,DB!1:1,0)+2),FALSE),"")</f>
        <v/>
      </c>
      <c r="TAF6" s="27" t="str">
        <f>IFERROR(VLOOKUP(DATE($K$1,$K$2,TAF$4),Table1[],(MATCH(Calendar!$A6,DB!1:1,0)+2),FALSE),"")</f>
        <v/>
      </c>
      <c r="TAG6" s="27" t="str">
        <f>IFERROR(VLOOKUP(DATE($K$1,$K$2,TAG$4),Table1[],(MATCH(Calendar!$A6,DB!1:1,0)+2),FALSE),"")</f>
        <v/>
      </c>
      <c r="TAH6" s="27" t="str">
        <f>IFERROR(VLOOKUP(DATE($K$1,$K$2,TAH$4),Table1[],(MATCH(Calendar!$A6,DB!1:1,0)+2),FALSE),"")</f>
        <v/>
      </c>
      <c r="TAI6" s="27" t="str">
        <f>IFERROR(VLOOKUP(DATE($K$1,$K$2,TAI$4),Table1[],(MATCH(Calendar!$A6,DB!1:1,0)+2),FALSE),"")</f>
        <v/>
      </c>
      <c r="TAJ6" s="27" t="str">
        <f>IFERROR(VLOOKUP(DATE($K$1,$K$2,TAJ$4),Table1[],(MATCH(Calendar!$A6,DB!1:1,0)+2),FALSE),"")</f>
        <v/>
      </c>
      <c r="TAK6" s="27" t="str">
        <f>IFERROR(VLOOKUP(DATE($K$1,$K$2,TAK$4),Table1[],(MATCH(Calendar!$A6,DB!1:1,0)+2),FALSE),"")</f>
        <v/>
      </c>
      <c r="TAL6" s="27" t="str">
        <f>IFERROR(VLOOKUP(DATE($K$1,$K$2,TAL$4),Table1[],(MATCH(Calendar!$A6,DB!1:1,0)+2),FALSE),"")</f>
        <v/>
      </c>
      <c r="TAM6" s="27" t="str">
        <f>IFERROR(VLOOKUP(DATE($K$1,$K$2,TAM$4),Table1[],(MATCH(Calendar!$A6,DB!1:1,0)+2),FALSE),"")</f>
        <v/>
      </c>
      <c r="TAN6" s="27" t="str">
        <f>IFERROR(VLOOKUP(DATE($K$1,$K$2,TAN$4),Table1[],(MATCH(Calendar!$A6,DB!1:1,0)+2),FALSE),"")</f>
        <v/>
      </c>
      <c r="TAO6" s="27" t="str">
        <f>IFERROR(VLOOKUP(DATE($K$1,$K$2,TAO$4),Table1[],(MATCH(Calendar!$A6,DB!1:1,0)+2),FALSE),"")</f>
        <v/>
      </c>
      <c r="TAP6" s="27" t="str">
        <f>IFERROR(VLOOKUP(DATE($K$1,$K$2,TAP$4),Table1[],(MATCH(Calendar!$A6,DB!1:1,0)+2),FALSE),"")</f>
        <v/>
      </c>
      <c r="TAQ6" s="27" t="str">
        <f>IFERROR(VLOOKUP(DATE($K$1,$K$2,TAQ$4),Table1[],(MATCH(Calendar!$A6,DB!1:1,0)+2),FALSE),"")</f>
        <v/>
      </c>
      <c r="TAR6" s="27" t="str">
        <f>IFERROR(VLOOKUP(DATE($K$1,$K$2,TAR$4),Table1[],(MATCH(Calendar!$A6,DB!1:1,0)+2),FALSE),"")</f>
        <v/>
      </c>
      <c r="TAS6" s="27" t="str">
        <f>IFERROR(VLOOKUP(DATE($K$1,$K$2,TAS$4),Table1[],(MATCH(Calendar!$A6,DB!1:1,0)+2),FALSE),"")</f>
        <v/>
      </c>
      <c r="TAT6" s="27" t="str">
        <f>IFERROR(VLOOKUP(DATE($K$1,$K$2,TAT$4),Table1[],(MATCH(Calendar!$A6,DB!1:1,0)+2),FALSE),"")</f>
        <v/>
      </c>
      <c r="TAU6" s="27" t="str">
        <f>IFERROR(VLOOKUP(DATE($K$1,$K$2,TAU$4),Table1[],(MATCH(Calendar!$A6,DB!1:1,0)+2),FALSE),"")</f>
        <v/>
      </c>
      <c r="TAV6" s="27" t="str">
        <f>IFERROR(VLOOKUP(DATE($K$1,$K$2,TAV$4),Table1[],(MATCH(Calendar!$A6,DB!1:1,0)+2),FALSE),"")</f>
        <v/>
      </c>
      <c r="TAW6" s="27" t="str">
        <f>IFERROR(VLOOKUP(DATE($K$1,$K$2,TAW$4),Table1[],(MATCH(Calendar!$A6,DB!1:1,0)+2),FALSE),"")</f>
        <v/>
      </c>
      <c r="TAX6" s="27" t="str">
        <f>IFERROR(VLOOKUP(DATE($K$1,$K$2,TAX$4),Table1[],(MATCH(Calendar!$A6,DB!1:1,0)+2),FALSE),"")</f>
        <v/>
      </c>
      <c r="TAY6" s="27" t="str">
        <f>IFERROR(VLOOKUP(DATE($K$1,$K$2,TAY$4),Table1[],(MATCH(Calendar!$A6,DB!1:1,0)+2),FALSE),"")</f>
        <v/>
      </c>
      <c r="TAZ6" s="27" t="str">
        <f>IFERROR(VLOOKUP(DATE($K$1,$K$2,TAZ$4),Table1[],(MATCH(Calendar!$A6,DB!1:1,0)+2),FALSE),"")</f>
        <v/>
      </c>
      <c r="TBA6" s="27" t="str">
        <f>IFERROR(VLOOKUP(DATE($K$1,$K$2,TBA$4),Table1[],(MATCH(Calendar!$A6,DB!1:1,0)+2),FALSE),"")</f>
        <v/>
      </c>
      <c r="TBB6" s="27" t="str">
        <f>IFERROR(VLOOKUP(DATE($K$1,$K$2,TBB$4),Table1[],(MATCH(Calendar!$A6,DB!1:1,0)+2),FALSE),"")</f>
        <v/>
      </c>
      <c r="TBC6" s="27" t="str">
        <f>IFERROR(VLOOKUP(DATE($K$1,$K$2,TBC$4),Table1[],(MATCH(Calendar!$A6,DB!1:1,0)+2),FALSE),"")</f>
        <v/>
      </c>
      <c r="TBD6" s="27" t="str">
        <f>IFERROR(VLOOKUP(DATE($K$1,$K$2,TBD$4),Table1[],(MATCH(Calendar!$A6,DB!1:1,0)+2),FALSE),"")</f>
        <v/>
      </c>
      <c r="TBE6" s="27" t="str">
        <f>IFERROR(VLOOKUP(DATE($K$1,$K$2,TBE$4),Table1[],(MATCH(Calendar!$A6,DB!1:1,0)+2),FALSE),"")</f>
        <v/>
      </c>
      <c r="TBF6" s="27" t="str">
        <f>IFERROR(VLOOKUP(DATE($K$1,$K$2,TBF$4),Table1[],(MATCH(Calendar!$A6,DB!1:1,0)+2),FALSE),"")</f>
        <v/>
      </c>
      <c r="TBG6" s="27" t="str">
        <f>IFERROR(VLOOKUP(DATE($K$1,$K$2,TBG$4),Table1[],(MATCH(Calendar!$A6,DB!1:1,0)+2),FALSE),"")</f>
        <v/>
      </c>
      <c r="TBH6" s="27" t="str">
        <f>IFERROR(VLOOKUP(DATE($K$1,$K$2,TBH$4),Table1[],(MATCH(Calendar!$A6,DB!1:1,0)+2),FALSE),"")</f>
        <v/>
      </c>
      <c r="TBI6" s="27" t="str">
        <f>IFERROR(VLOOKUP(DATE($K$1,$K$2,TBI$4),Table1[],(MATCH(Calendar!$A6,DB!1:1,0)+2),FALSE),"")</f>
        <v/>
      </c>
      <c r="TBJ6" s="27" t="str">
        <f>IFERROR(VLOOKUP(DATE($K$1,$K$2,TBJ$4),Table1[],(MATCH(Calendar!$A6,DB!1:1,0)+2),FALSE),"")</f>
        <v/>
      </c>
      <c r="TBK6" s="27" t="str">
        <f>IFERROR(VLOOKUP(DATE($K$1,$K$2,TBK$4),Table1[],(MATCH(Calendar!$A6,DB!1:1,0)+2),FALSE),"")</f>
        <v/>
      </c>
      <c r="TBL6" s="27" t="str">
        <f>IFERROR(VLOOKUP(DATE($K$1,$K$2,TBL$4),Table1[],(MATCH(Calendar!$A6,DB!1:1,0)+2),FALSE),"")</f>
        <v/>
      </c>
      <c r="TBM6" s="27" t="str">
        <f>IFERROR(VLOOKUP(DATE($K$1,$K$2,TBM$4),Table1[],(MATCH(Calendar!$A6,DB!1:1,0)+2),FALSE),"")</f>
        <v/>
      </c>
      <c r="TBN6" s="27" t="str">
        <f>IFERROR(VLOOKUP(DATE($K$1,$K$2,TBN$4),Table1[],(MATCH(Calendar!$A6,DB!1:1,0)+2),FALSE),"")</f>
        <v/>
      </c>
      <c r="TBO6" s="27" t="str">
        <f>IFERROR(VLOOKUP(DATE($K$1,$K$2,TBO$4),Table1[],(MATCH(Calendar!$A6,DB!1:1,0)+2),FALSE),"")</f>
        <v/>
      </c>
      <c r="TBP6" s="27" t="str">
        <f>IFERROR(VLOOKUP(DATE($K$1,$K$2,TBP$4),Table1[],(MATCH(Calendar!$A6,DB!1:1,0)+2),FALSE),"")</f>
        <v/>
      </c>
      <c r="TBQ6" s="27" t="str">
        <f>IFERROR(VLOOKUP(DATE($K$1,$K$2,TBQ$4),Table1[],(MATCH(Calendar!$A6,DB!1:1,0)+2),FALSE),"")</f>
        <v/>
      </c>
      <c r="TBR6" s="27" t="str">
        <f>IFERROR(VLOOKUP(DATE($K$1,$K$2,TBR$4),Table1[],(MATCH(Calendar!$A6,DB!1:1,0)+2),FALSE),"")</f>
        <v/>
      </c>
      <c r="TBS6" s="27" t="str">
        <f>IFERROR(VLOOKUP(DATE($K$1,$K$2,TBS$4),Table1[],(MATCH(Calendar!$A6,DB!1:1,0)+2),FALSE),"")</f>
        <v/>
      </c>
      <c r="TBT6" s="27" t="str">
        <f>IFERROR(VLOOKUP(DATE($K$1,$K$2,TBT$4),Table1[],(MATCH(Calendar!$A6,DB!1:1,0)+2),FALSE),"")</f>
        <v/>
      </c>
      <c r="TBU6" s="27" t="str">
        <f>IFERROR(VLOOKUP(DATE($K$1,$K$2,TBU$4),Table1[],(MATCH(Calendar!$A6,DB!1:1,0)+2),FALSE),"")</f>
        <v/>
      </c>
      <c r="TBV6" s="27" t="str">
        <f>IFERROR(VLOOKUP(DATE($K$1,$K$2,TBV$4),Table1[],(MATCH(Calendar!$A6,DB!1:1,0)+2),FALSE),"")</f>
        <v/>
      </c>
      <c r="TBW6" s="27" t="str">
        <f>IFERROR(VLOOKUP(DATE($K$1,$K$2,TBW$4),Table1[],(MATCH(Calendar!$A6,DB!1:1,0)+2),FALSE),"")</f>
        <v/>
      </c>
      <c r="TBX6" s="27" t="str">
        <f>IFERROR(VLOOKUP(DATE($K$1,$K$2,TBX$4),Table1[],(MATCH(Calendar!$A6,DB!1:1,0)+2),FALSE),"")</f>
        <v/>
      </c>
      <c r="TBY6" s="27" t="str">
        <f>IFERROR(VLOOKUP(DATE($K$1,$K$2,TBY$4),Table1[],(MATCH(Calendar!$A6,DB!1:1,0)+2),FALSE),"")</f>
        <v/>
      </c>
      <c r="TBZ6" s="27" t="str">
        <f>IFERROR(VLOOKUP(DATE($K$1,$K$2,TBZ$4),Table1[],(MATCH(Calendar!$A6,DB!1:1,0)+2),FALSE),"")</f>
        <v/>
      </c>
      <c r="TCA6" s="27" t="str">
        <f>IFERROR(VLOOKUP(DATE($K$1,$K$2,TCA$4),Table1[],(MATCH(Calendar!$A6,DB!1:1,0)+2),FALSE),"")</f>
        <v/>
      </c>
      <c r="TCB6" s="27" t="str">
        <f>IFERROR(VLOOKUP(DATE($K$1,$K$2,TCB$4),Table1[],(MATCH(Calendar!$A6,DB!1:1,0)+2),FALSE),"")</f>
        <v/>
      </c>
      <c r="TCC6" s="27" t="str">
        <f>IFERROR(VLOOKUP(DATE($K$1,$K$2,TCC$4),Table1[],(MATCH(Calendar!$A6,DB!1:1,0)+2),FALSE),"")</f>
        <v/>
      </c>
      <c r="TCD6" s="27" t="str">
        <f>IFERROR(VLOOKUP(DATE($K$1,$K$2,TCD$4),Table1[],(MATCH(Calendar!$A6,DB!1:1,0)+2),FALSE),"")</f>
        <v/>
      </c>
      <c r="TCE6" s="27" t="str">
        <f>IFERROR(VLOOKUP(DATE($K$1,$K$2,TCE$4),Table1[],(MATCH(Calendar!$A6,DB!1:1,0)+2),FALSE),"")</f>
        <v/>
      </c>
      <c r="TCF6" s="27" t="str">
        <f>IFERROR(VLOOKUP(DATE($K$1,$K$2,TCF$4),Table1[],(MATCH(Calendar!$A6,DB!1:1,0)+2),FALSE),"")</f>
        <v/>
      </c>
      <c r="TCG6" s="27" t="str">
        <f>IFERROR(VLOOKUP(DATE($K$1,$K$2,TCG$4),Table1[],(MATCH(Calendar!$A6,DB!1:1,0)+2),FALSE),"")</f>
        <v/>
      </c>
      <c r="TCH6" s="27" t="str">
        <f>IFERROR(VLOOKUP(DATE($K$1,$K$2,TCH$4),Table1[],(MATCH(Calendar!$A6,DB!1:1,0)+2),FALSE),"")</f>
        <v/>
      </c>
      <c r="TCI6" s="27" t="str">
        <f>IFERROR(VLOOKUP(DATE($K$1,$K$2,TCI$4),Table1[],(MATCH(Calendar!$A6,DB!1:1,0)+2),FALSE),"")</f>
        <v/>
      </c>
      <c r="TCJ6" s="27" t="str">
        <f>IFERROR(VLOOKUP(DATE($K$1,$K$2,TCJ$4),Table1[],(MATCH(Calendar!$A6,DB!1:1,0)+2),FALSE),"")</f>
        <v/>
      </c>
      <c r="TCK6" s="27" t="str">
        <f>IFERROR(VLOOKUP(DATE($K$1,$K$2,TCK$4),Table1[],(MATCH(Calendar!$A6,DB!1:1,0)+2),FALSE),"")</f>
        <v/>
      </c>
      <c r="TCL6" s="27" t="str">
        <f>IFERROR(VLOOKUP(DATE($K$1,$K$2,TCL$4),Table1[],(MATCH(Calendar!$A6,DB!1:1,0)+2),FALSE),"")</f>
        <v/>
      </c>
      <c r="TCM6" s="27" t="str">
        <f>IFERROR(VLOOKUP(DATE($K$1,$K$2,TCM$4),Table1[],(MATCH(Calendar!$A6,DB!1:1,0)+2),FALSE),"")</f>
        <v/>
      </c>
      <c r="TCN6" s="27" t="str">
        <f>IFERROR(VLOOKUP(DATE($K$1,$K$2,TCN$4),Table1[],(MATCH(Calendar!$A6,DB!1:1,0)+2),FALSE),"")</f>
        <v/>
      </c>
      <c r="TCO6" s="27" t="str">
        <f>IFERROR(VLOOKUP(DATE($K$1,$K$2,TCO$4),Table1[],(MATCH(Calendar!$A6,DB!1:1,0)+2),FALSE),"")</f>
        <v/>
      </c>
      <c r="TCP6" s="27" t="str">
        <f>IFERROR(VLOOKUP(DATE($K$1,$K$2,TCP$4),Table1[],(MATCH(Calendar!$A6,DB!1:1,0)+2),FALSE),"")</f>
        <v/>
      </c>
      <c r="TCQ6" s="27" t="str">
        <f>IFERROR(VLOOKUP(DATE($K$1,$K$2,TCQ$4),Table1[],(MATCH(Calendar!$A6,DB!1:1,0)+2),FALSE),"")</f>
        <v/>
      </c>
      <c r="TCR6" s="27" t="str">
        <f>IFERROR(VLOOKUP(DATE($K$1,$K$2,TCR$4),Table1[],(MATCH(Calendar!$A6,DB!1:1,0)+2),FALSE),"")</f>
        <v/>
      </c>
      <c r="TCS6" s="27" t="str">
        <f>IFERROR(VLOOKUP(DATE($K$1,$K$2,TCS$4),Table1[],(MATCH(Calendar!$A6,DB!1:1,0)+2),FALSE),"")</f>
        <v/>
      </c>
      <c r="TCT6" s="27" t="str">
        <f>IFERROR(VLOOKUP(DATE($K$1,$K$2,TCT$4),Table1[],(MATCH(Calendar!$A6,DB!1:1,0)+2),FALSE),"")</f>
        <v/>
      </c>
      <c r="TCU6" s="27" t="str">
        <f>IFERROR(VLOOKUP(DATE($K$1,$K$2,TCU$4),Table1[],(MATCH(Calendar!$A6,DB!1:1,0)+2),FALSE),"")</f>
        <v/>
      </c>
      <c r="TCV6" s="27" t="str">
        <f>IFERROR(VLOOKUP(DATE($K$1,$K$2,TCV$4),Table1[],(MATCH(Calendar!$A6,DB!1:1,0)+2),FALSE),"")</f>
        <v/>
      </c>
      <c r="TCW6" s="27" t="str">
        <f>IFERROR(VLOOKUP(DATE($K$1,$K$2,TCW$4),Table1[],(MATCH(Calendar!$A6,DB!1:1,0)+2),FALSE),"")</f>
        <v/>
      </c>
      <c r="TCX6" s="27" t="str">
        <f>IFERROR(VLOOKUP(DATE($K$1,$K$2,TCX$4),Table1[],(MATCH(Calendar!$A6,DB!1:1,0)+2),FALSE),"")</f>
        <v/>
      </c>
      <c r="TCY6" s="27" t="str">
        <f>IFERROR(VLOOKUP(DATE($K$1,$K$2,TCY$4),Table1[],(MATCH(Calendar!$A6,DB!1:1,0)+2),FALSE),"")</f>
        <v/>
      </c>
      <c r="TCZ6" s="27" t="str">
        <f>IFERROR(VLOOKUP(DATE($K$1,$K$2,TCZ$4),Table1[],(MATCH(Calendar!$A6,DB!1:1,0)+2),FALSE),"")</f>
        <v/>
      </c>
      <c r="TDA6" s="27" t="str">
        <f>IFERROR(VLOOKUP(DATE($K$1,$K$2,TDA$4),Table1[],(MATCH(Calendar!$A6,DB!1:1,0)+2),FALSE),"")</f>
        <v/>
      </c>
      <c r="TDB6" s="27" t="str">
        <f>IFERROR(VLOOKUP(DATE($K$1,$K$2,TDB$4),Table1[],(MATCH(Calendar!$A6,DB!1:1,0)+2),FALSE),"")</f>
        <v/>
      </c>
      <c r="TDC6" s="27" t="str">
        <f>IFERROR(VLOOKUP(DATE($K$1,$K$2,TDC$4),Table1[],(MATCH(Calendar!$A6,DB!1:1,0)+2),FALSE),"")</f>
        <v/>
      </c>
      <c r="TDD6" s="27" t="str">
        <f>IFERROR(VLOOKUP(DATE($K$1,$K$2,TDD$4),Table1[],(MATCH(Calendar!$A6,DB!1:1,0)+2),FALSE),"")</f>
        <v/>
      </c>
      <c r="TDE6" s="27" t="str">
        <f>IFERROR(VLOOKUP(DATE($K$1,$K$2,TDE$4),Table1[],(MATCH(Calendar!$A6,DB!1:1,0)+2),FALSE),"")</f>
        <v/>
      </c>
      <c r="TDF6" s="27" t="str">
        <f>IFERROR(VLOOKUP(DATE($K$1,$K$2,TDF$4),Table1[],(MATCH(Calendar!$A6,DB!1:1,0)+2),FALSE),"")</f>
        <v/>
      </c>
      <c r="TDG6" s="27" t="str">
        <f>IFERROR(VLOOKUP(DATE($K$1,$K$2,TDG$4),Table1[],(MATCH(Calendar!$A6,DB!1:1,0)+2),FALSE),"")</f>
        <v/>
      </c>
      <c r="TDH6" s="27" t="str">
        <f>IFERROR(VLOOKUP(DATE($K$1,$K$2,TDH$4),Table1[],(MATCH(Calendar!$A6,DB!1:1,0)+2),FALSE),"")</f>
        <v/>
      </c>
      <c r="TDI6" s="27" t="str">
        <f>IFERROR(VLOOKUP(DATE($K$1,$K$2,TDI$4),Table1[],(MATCH(Calendar!$A6,DB!1:1,0)+2),FALSE),"")</f>
        <v/>
      </c>
      <c r="TDJ6" s="27" t="str">
        <f>IFERROR(VLOOKUP(DATE($K$1,$K$2,TDJ$4),Table1[],(MATCH(Calendar!$A6,DB!1:1,0)+2),FALSE),"")</f>
        <v/>
      </c>
      <c r="TDK6" s="27" t="str">
        <f>IFERROR(VLOOKUP(DATE($K$1,$K$2,TDK$4),Table1[],(MATCH(Calendar!$A6,DB!1:1,0)+2),FALSE),"")</f>
        <v/>
      </c>
      <c r="TDL6" s="27" t="str">
        <f>IFERROR(VLOOKUP(DATE($K$1,$K$2,TDL$4),Table1[],(MATCH(Calendar!$A6,DB!1:1,0)+2),FALSE),"")</f>
        <v/>
      </c>
      <c r="TDM6" s="27" t="str">
        <f>IFERROR(VLOOKUP(DATE($K$1,$K$2,TDM$4),Table1[],(MATCH(Calendar!$A6,DB!1:1,0)+2),FALSE),"")</f>
        <v/>
      </c>
      <c r="TDN6" s="27" t="str">
        <f>IFERROR(VLOOKUP(DATE($K$1,$K$2,TDN$4),Table1[],(MATCH(Calendar!$A6,DB!1:1,0)+2),FALSE),"")</f>
        <v/>
      </c>
      <c r="TDO6" s="27" t="str">
        <f>IFERROR(VLOOKUP(DATE($K$1,$K$2,TDO$4),Table1[],(MATCH(Calendar!$A6,DB!1:1,0)+2),FALSE),"")</f>
        <v/>
      </c>
      <c r="TDP6" s="27" t="str">
        <f>IFERROR(VLOOKUP(DATE($K$1,$K$2,TDP$4),Table1[],(MATCH(Calendar!$A6,DB!1:1,0)+2),FALSE),"")</f>
        <v/>
      </c>
      <c r="TDQ6" s="27" t="str">
        <f>IFERROR(VLOOKUP(DATE($K$1,$K$2,TDQ$4),Table1[],(MATCH(Calendar!$A6,DB!1:1,0)+2),FALSE),"")</f>
        <v/>
      </c>
      <c r="TDR6" s="27" t="str">
        <f>IFERROR(VLOOKUP(DATE($K$1,$K$2,TDR$4),Table1[],(MATCH(Calendar!$A6,DB!1:1,0)+2),FALSE),"")</f>
        <v/>
      </c>
      <c r="TDS6" s="27" t="str">
        <f>IFERROR(VLOOKUP(DATE($K$1,$K$2,TDS$4),Table1[],(MATCH(Calendar!$A6,DB!1:1,0)+2),FALSE),"")</f>
        <v/>
      </c>
      <c r="TDT6" s="27" t="str">
        <f>IFERROR(VLOOKUP(DATE($K$1,$K$2,TDT$4),Table1[],(MATCH(Calendar!$A6,DB!1:1,0)+2),FALSE),"")</f>
        <v/>
      </c>
      <c r="TDU6" s="27" t="str">
        <f>IFERROR(VLOOKUP(DATE($K$1,$K$2,TDU$4),Table1[],(MATCH(Calendar!$A6,DB!1:1,0)+2),FALSE),"")</f>
        <v/>
      </c>
      <c r="TDV6" s="27" t="str">
        <f>IFERROR(VLOOKUP(DATE($K$1,$K$2,TDV$4),Table1[],(MATCH(Calendar!$A6,DB!1:1,0)+2),FALSE),"")</f>
        <v/>
      </c>
      <c r="TDW6" s="27" t="str">
        <f>IFERROR(VLOOKUP(DATE($K$1,$K$2,TDW$4),Table1[],(MATCH(Calendar!$A6,DB!1:1,0)+2),FALSE),"")</f>
        <v/>
      </c>
      <c r="TDX6" s="27" t="str">
        <f>IFERROR(VLOOKUP(DATE($K$1,$K$2,TDX$4),Table1[],(MATCH(Calendar!$A6,DB!1:1,0)+2),FALSE),"")</f>
        <v/>
      </c>
      <c r="TDY6" s="27" t="str">
        <f>IFERROR(VLOOKUP(DATE($K$1,$K$2,TDY$4),Table1[],(MATCH(Calendar!$A6,DB!1:1,0)+2),FALSE),"")</f>
        <v/>
      </c>
      <c r="TDZ6" s="27" t="str">
        <f>IFERROR(VLOOKUP(DATE($K$1,$K$2,TDZ$4),Table1[],(MATCH(Calendar!$A6,DB!1:1,0)+2),FALSE),"")</f>
        <v/>
      </c>
      <c r="TEA6" s="27" t="str">
        <f>IFERROR(VLOOKUP(DATE($K$1,$K$2,TEA$4),Table1[],(MATCH(Calendar!$A6,DB!1:1,0)+2),FALSE),"")</f>
        <v/>
      </c>
      <c r="TEB6" s="27" t="str">
        <f>IFERROR(VLOOKUP(DATE($K$1,$K$2,TEB$4),Table1[],(MATCH(Calendar!$A6,DB!1:1,0)+2),FALSE),"")</f>
        <v/>
      </c>
      <c r="TEC6" s="27" t="str">
        <f>IFERROR(VLOOKUP(DATE($K$1,$K$2,TEC$4),Table1[],(MATCH(Calendar!$A6,DB!1:1,0)+2),FALSE),"")</f>
        <v/>
      </c>
      <c r="TED6" s="27" t="str">
        <f>IFERROR(VLOOKUP(DATE($K$1,$K$2,TED$4),Table1[],(MATCH(Calendar!$A6,DB!1:1,0)+2),FALSE),"")</f>
        <v/>
      </c>
      <c r="TEE6" s="27" t="str">
        <f>IFERROR(VLOOKUP(DATE($K$1,$K$2,TEE$4),Table1[],(MATCH(Calendar!$A6,DB!1:1,0)+2),FALSE),"")</f>
        <v/>
      </c>
      <c r="TEF6" s="27" t="str">
        <f>IFERROR(VLOOKUP(DATE($K$1,$K$2,TEF$4),Table1[],(MATCH(Calendar!$A6,DB!1:1,0)+2),FALSE),"")</f>
        <v/>
      </c>
      <c r="TEG6" s="27" t="str">
        <f>IFERROR(VLOOKUP(DATE($K$1,$K$2,TEG$4),Table1[],(MATCH(Calendar!$A6,DB!1:1,0)+2),FALSE),"")</f>
        <v/>
      </c>
      <c r="TEH6" s="27" t="str">
        <f>IFERROR(VLOOKUP(DATE($K$1,$K$2,TEH$4),Table1[],(MATCH(Calendar!$A6,DB!1:1,0)+2),FALSE),"")</f>
        <v/>
      </c>
      <c r="TEI6" s="27" t="str">
        <f>IFERROR(VLOOKUP(DATE($K$1,$K$2,TEI$4),Table1[],(MATCH(Calendar!$A6,DB!1:1,0)+2),FALSE),"")</f>
        <v/>
      </c>
      <c r="TEJ6" s="27" t="str">
        <f>IFERROR(VLOOKUP(DATE($K$1,$K$2,TEJ$4),Table1[],(MATCH(Calendar!$A6,DB!1:1,0)+2),FALSE),"")</f>
        <v/>
      </c>
      <c r="TEK6" s="27" t="str">
        <f>IFERROR(VLOOKUP(DATE($K$1,$K$2,TEK$4),Table1[],(MATCH(Calendar!$A6,DB!1:1,0)+2),FALSE),"")</f>
        <v/>
      </c>
      <c r="TEL6" s="27" t="str">
        <f>IFERROR(VLOOKUP(DATE($K$1,$K$2,TEL$4),Table1[],(MATCH(Calendar!$A6,DB!1:1,0)+2),FALSE),"")</f>
        <v/>
      </c>
      <c r="TEM6" s="27" t="str">
        <f>IFERROR(VLOOKUP(DATE($K$1,$K$2,TEM$4),Table1[],(MATCH(Calendar!$A6,DB!1:1,0)+2),FALSE),"")</f>
        <v/>
      </c>
      <c r="TEN6" s="27" t="str">
        <f>IFERROR(VLOOKUP(DATE($K$1,$K$2,TEN$4),Table1[],(MATCH(Calendar!$A6,DB!1:1,0)+2),FALSE),"")</f>
        <v/>
      </c>
      <c r="TEO6" s="27" t="str">
        <f>IFERROR(VLOOKUP(DATE($K$1,$K$2,TEO$4),Table1[],(MATCH(Calendar!$A6,DB!1:1,0)+2),FALSE),"")</f>
        <v/>
      </c>
      <c r="TEP6" s="27" t="str">
        <f>IFERROR(VLOOKUP(DATE($K$1,$K$2,TEP$4),Table1[],(MATCH(Calendar!$A6,DB!1:1,0)+2),FALSE),"")</f>
        <v/>
      </c>
      <c r="TEQ6" s="27" t="str">
        <f>IFERROR(VLOOKUP(DATE($K$1,$K$2,TEQ$4),Table1[],(MATCH(Calendar!$A6,DB!1:1,0)+2),FALSE),"")</f>
        <v/>
      </c>
      <c r="TER6" s="27" t="str">
        <f>IFERROR(VLOOKUP(DATE($K$1,$K$2,TER$4),Table1[],(MATCH(Calendar!$A6,DB!1:1,0)+2),FALSE),"")</f>
        <v/>
      </c>
      <c r="TES6" s="27" t="str">
        <f>IFERROR(VLOOKUP(DATE($K$1,$K$2,TES$4),Table1[],(MATCH(Calendar!$A6,DB!1:1,0)+2),FALSE),"")</f>
        <v/>
      </c>
      <c r="TET6" s="27" t="str">
        <f>IFERROR(VLOOKUP(DATE($K$1,$K$2,TET$4),Table1[],(MATCH(Calendar!$A6,DB!1:1,0)+2),FALSE),"")</f>
        <v/>
      </c>
      <c r="TEU6" s="27" t="str">
        <f>IFERROR(VLOOKUP(DATE($K$1,$K$2,TEU$4),Table1[],(MATCH(Calendar!$A6,DB!1:1,0)+2),FALSE),"")</f>
        <v/>
      </c>
      <c r="TEV6" s="27" t="str">
        <f>IFERROR(VLOOKUP(DATE($K$1,$K$2,TEV$4),Table1[],(MATCH(Calendar!$A6,DB!1:1,0)+2),FALSE),"")</f>
        <v/>
      </c>
      <c r="TEW6" s="27" t="str">
        <f>IFERROR(VLOOKUP(DATE($K$1,$K$2,TEW$4),Table1[],(MATCH(Calendar!$A6,DB!1:1,0)+2),FALSE),"")</f>
        <v/>
      </c>
      <c r="TEX6" s="27" t="str">
        <f>IFERROR(VLOOKUP(DATE($K$1,$K$2,TEX$4),Table1[],(MATCH(Calendar!$A6,DB!1:1,0)+2),FALSE),"")</f>
        <v/>
      </c>
      <c r="TEY6" s="27" t="str">
        <f>IFERROR(VLOOKUP(DATE($K$1,$K$2,TEY$4),Table1[],(MATCH(Calendar!$A6,DB!1:1,0)+2),FALSE),"")</f>
        <v/>
      </c>
      <c r="TEZ6" s="27" t="str">
        <f>IFERROR(VLOOKUP(DATE($K$1,$K$2,TEZ$4),Table1[],(MATCH(Calendar!$A6,DB!1:1,0)+2),FALSE),"")</f>
        <v/>
      </c>
      <c r="TFA6" s="27" t="str">
        <f>IFERROR(VLOOKUP(DATE($K$1,$K$2,TFA$4),Table1[],(MATCH(Calendar!$A6,DB!1:1,0)+2),FALSE),"")</f>
        <v/>
      </c>
      <c r="TFB6" s="27" t="str">
        <f>IFERROR(VLOOKUP(DATE($K$1,$K$2,TFB$4),Table1[],(MATCH(Calendar!$A6,DB!1:1,0)+2),FALSE),"")</f>
        <v/>
      </c>
      <c r="TFC6" s="27" t="str">
        <f>IFERROR(VLOOKUP(DATE($K$1,$K$2,TFC$4),Table1[],(MATCH(Calendar!$A6,DB!1:1,0)+2),FALSE),"")</f>
        <v/>
      </c>
      <c r="TFD6" s="27" t="str">
        <f>IFERROR(VLOOKUP(DATE($K$1,$K$2,TFD$4),Table1[],(MATCH(Calendar!$A6,DB!1:1,0)+2),FALSE),"")</f>
        <v/>
      </c>
      <c r="TFE6" s="27" t="str">
        <f>IFERROR(VLOOKUP(DATE($K$1,$K$2,TFE$4),Table1[],(MATCH(Calendar!$A6,DB!1:1,0)+2),FALSE),"")</f>
        <v/>
      </c>
      <c r="TFF6" s="27" t="str">
        <f>IFERROR(VLOOKUP(DATE($K$1,$K$2,TFF$4),Table1[],(MATCH(Calendar!$A6,DB!1:1,0)+2),FALSE),"")</f>
        <v/>
      </c>
      <c r="TFG6" s="27" t="str">
        <f>IFERROR(VLOOKUP(DATE($K$1,$K$2,TFG$4),Table1[],(MATCH(Calendar!$A6,DB!1:1,0)+2),FALSE),"")</f>
        <v/>
      </c>
      <c r="TFH6" s="27" t="str">
        <f>IFERROR(VLOOKUP(DATE($K$1,$K$2,TFH$4),Table1[],(MATCH(Calendar!$A6,DB!1:1,0)+2),FALSE),"")</f>
        <v/>
      </c>
      <c r="TFI6" s="27" t="str">
        <f>IFERROR(VLOOKUP(DATE($K$1,$K$2,TFI$4),Table1[],(MATCH(Calendar!$A6,DB!1:1,0)+2),FALSE),"")</f>
        <v/>
      </c>
      <c r="TFJ6" s="27" t="str">
        <f>IFERROR(VLOOKUP(DATE($K$1,$K$2,TFJ$4),Table1[],(MATCH(Calendar!$A6,DB!1:1,0)+2),FALSE),"")</f>
        <v/>
      </c>
      <c r="TFK6" s="27" t="str">
        <f>IFERROR(VLOOKUP(DATE($K$1,$K$2,TFK$4),Table1[],(MATCH(Calendar!$A6,DB!1:1,0)+2),FALSE),"")</f>
        <v/>
      </c>
      <c r="TFL6" s="27" t="str">
        <f>IFERROR(VLOOKUP(DATE($K$1,$K$2,TFL$4),Table1[],(MATCH(Calendar!$A6,DB!1:1,0)+2),FALSE),"")</f>
        <v/>
      </c>
      <c r="TFM6" s="27" t="str">
        <f>IFERROR(VLOOKUP(DATE($K$1,$K$2,TFM$4),Table1[],(MATCH(Calendar!$A6,DB!1:1,0)+2),FALSE),"")</f>
        <v/>
      </c>
      <c r="TFN6" s="27" t="str">
        <f>IFERROR(VLOOKUP(DATE($K$1,$K$2,TFN$4),Table1[],(MATCH(Calendar!$A6,DB!1:1,0)+2),FALSE),"")</f>
        <v/>
      </c>
      <c r="TFO6" s="27" t="str">
        <f>IFERROR(VLOOKUP(DATE($K$1,$K$2,TFO$4),Table1[],(MATCH(Calendar!$A6,DB!1:1,0)+2),FALSE),"")</f>
        <v/>
      </c>
      <c r="TFP6" s="27" t="str">
        <f>IFERROR(VLOOKUP(DATE($K$1,$K$2,TFP$4),Table1[],(MATCH(Calendar!$A6,DB!1:1,0)+2),FALSE),"")</f>
        <v/>
      </c>
      <c r="TFQ6" s="27" t="str">
        <f>IFERROR(VLOOKUP(DATE($K$1,$K$2,TFQ$4),Table1[],(MATCH(Calendar!$A6,DB!1:1,0)+2),FALSE),"")</f>
        <v/>
      </c>
      <c r="TFR6" s="27" t="str">
        <f>IFERROR(VLOOKUP(DATE($K$1,$K$2,TFR$4),Table1[],(MATCH(Calendar!$A6,DB!1:1,0)+2),FALSE),"")</f>
        <v/>
      </c>
      <c r="TFS6" s="27" t="str">
        <f>IFERROR(VLOOKUP(DATE($K$1,$K$2,TFS$4),Table1[],(MATCH(Calendar!$A6,DB!1:1,0)+2),FALSE),"")</f>
        <v/>
      </c>
      <c r="TFT6" s="27" t="str">
        <f>IFERROR(VLOOKUP(DATE($K$1,$K$2,TFT$4),Table1[],(MATCH(Calendar!$A6,DB!1:1,0)+2),FALSE),"")</f>
        <v/>
      </c>
      <c r="TFU6" s="27" t="str">
        <f>IFERROR(VLOOKUP(DATE($K$1,$K$2,TFU$4),Table1[],(MATCH(Calendar!$A6,DB!1:1,0)+2),FALSE),"")</f>
        <v/>
      </c>
      <c r="TFV6" s="27" t="str">
        <f>IFERROR(VLOOKUP(DATE($K$1,$K$2,TFV$4),Table1[],(MATCH(Calendar!$A6,DB!1:1,0)+2),FALSE),"")</f>
        <v/>
      </c>
      <c r="TFW6" s="27" t="str">
        <f>IFERROR(VLOOKUP(DATE($K$1,$K$2,TFW$4),Table1[],(MATCH(Calendar!$A6,DB!1:1,0)+2),FALSE),"")</f>
        <v/>
      </c>
      <c r="TFX6" s="27" t="str">
        <f>IFERROR(VLOOKUP(DATE($K$1,$K$2,TFX$4),Table1[],(MATCH(Calendar!$A6,DB!1:1,0)+2),FALSE),"")</f>
        <v/>
      </c>
      <c r="TFY6" s="27" t="str">
        <f>IFERROR(VLOOKUP(DATE($K$1,$K$2,TFY$4),Table1[],(MATCH(Calendar!$A6,DB!1:1,0)+2),FALSE),"")</f>
        <v/>
      </c>
      <c r="TFZ6" s="27" t="str">
        <f>IFERROR(VLOOKUP(DATE($K$1,$K$2,TFZ$4),Table1[],(MATCH(Calendar!$A6,DB!1:1,0)+2),FALSE),"")</f>
        <v/>
      </c>
      <c r="TGA6" s="27" t="str">
        <f>IFERROR(VLOOKUP(DATE($K$1,$K$2,TGA$4),Table1[],(MATCH(Calendar!$A6,DB!1:1,0)+2),FALSE),"")</f>
        <v/>
      </c>
      <c r="TGB6" s="27" t="str">
        <f>IFERROR(VLOOKUP(DATE($K$1,$K$2,TGB$4),Table1[],(MATCH(Calendar!$A6,DB!1:1,0)+2),FALSE),"")</f>
        <v/>
      </c>
      <c r="TGC6" s="27" t="str">
        <f>IFERROR(VLOOKUP(DATE($K$1,$K$2,TGC$4),Table1[],(MATCH(Calendar!$A6,DB!1:1,0)+2),FALSE),"")</f>
        <v/>
      </c>
      <c r="TGD6" s="27" t="str">
        <f>IFERROR(VLOOKUP(DATE($K$1,$K$2,TGD$4),Table1[],(MATCH(Calendar!$A6,DB!1:1,0)+2),FALSE),"")</f>
        <v/>
      </c>
      <c r="TGE6" s="27" t="str">
        <f>IFERROR(VLOOKUP(DATE($K$1,$K$2,TGE$4),Table1[],(MATCH(Calendar!$A6,DB!1:1,0)+2),FALSE),"")</f>
        <v/>
      </c>
      <c r="TGF6" s="27" t="str">
        <f>IFERROR(VLOOKUP(DATE($K$1,$K$2,TGF$4),Table1[],(MATCH(Calendar!$A6,DB!1:1,0)+2),FALSE),"")</f>
        <v/>
      </c>
      <c r="TGG6" s="27" t="str">
        <f>IFERROR(VLOOKUP(DATE($K$1,$K$2,TGG$4),Table1[],(MATCH(Calendar!$A6,DB!1:1,0)+2),FALSE),"")</f>
        <v/>
      </c>
      <c r="TGH6" s="27" t="str">
        <f>IFERROR(VLOOKUP(DATE($K$1,$K$2,TGH$4),Table1[],(MATCH(Calendar!$A6,DB!1:1,0)+2),FALSE),"")</f>
        <v/>
      </c>
      <c r="TGI6" s="27" t="str">
        <f>IFERROR(VLOOKUP(DATE($K$1,$K$2,TGI$4),Table1[],(MATCH(Calendar!$A6,DB!1:1,0)+2),FALSE),"")</f>
        <v/>
      </c>
      <c r="TGJ6" s="27" t="str">
        <f>IFERROR(VLOOKUP(DATE($K$1,$K$2,TGJ$4),Table1[],(MATCH(Calendar!$A6,DB!1:1,0)+2),FALSE),"")</f>
        <v/>
      </c>
      <c r="TGK6" s="27" t="str">
        <f>IFERROR(VLOOKUP(DATE($K$1,$K$2,TGK$4),Table1[],(MATCH(Calendar!$A6,DB!1:1,0)+2),FALSE),"")</f>
        <v/>
      </c>
      <c r="TGL6" s="27" t="str">
        <f>IFERROR(VLOOKUP(DATE($K$1,$K$2,TGL$4),Table1[],(MATCH(Calendar!$A6,DB!1:1,0)+2),FALSE),"")</f>
        <v/>
      </c>
      <c r="TGM6" s="27" t="str">
        <f>IFERROR(VLOOKUP(DATE($K$1,$K$2,TGM$4),Table1[],(MATCH(Calendar!$A6,DB!1:1,0)+2),FALSE),"")</f>
        <v/>
      </c>
      <c r="TGN6" s="27" t="str">
        <f>IFERROR(VLOOKUP(DATE($K$1,$K$2,TGN$4),Table1[],(MATCH(Calendar!$A6,DB!1:1,0)+2),FALSE),"")</f>
        <v/>
      </c>
      <c r="TGO6" s="27" t="str">
        <f>IFERROR(VLOOKUP(DATE($K$1,$K$2,TGO$4),Table1[],(MATCH(Calendar!$A6,DB!1:1,0)+2),FALSE),"")</f>
        <v/>
      </c>
      <c r="TGP6" s="27" t="str">
        <f>IFERROR(VLOOKUP(DATE($K$1,$K$2,TGP$4),Table1[],(MATCH(Calendar!$A6,DB!1:1,0)+2),FALSE),"")</f>
        <v/>
      </c>
      <c r="TGQ6" s="27" t="str">
        <f>IFERROR(VLOOKUP(DATE($K$1,$K$2,TGQ$4),Table1[],(MATCH(Calendar!$A6,DB!1:1,0)+2),FALSE),"")</f>
        <v/>
      </c>
      <c r="TGR6" s="27" t="str">
        <f>IFERROR(VLOOKUP(DATE($K$1,$K$2,TGR$4),Table1[],(MATCH(Calendar!$A6,DB!1:1,0)+2),FALSE),"")</f>
        <v/>
      </c>
      <c r="TGS6" s="27" t="str">
        <f>IFERROR(VLOOKUP(DATE($K$1,$K$2,TGS$4),Table1[],(MATCH(Calendar!$A6,DB!1:1,0)+2),FALSE),"")</f>
        <v/>
      </c>
      <c r="TGT6" s="27" t="str">
        <f>IFERROR(VLOOKUP(DATE($K$1,$K$2,TGT$4),Table1[],(MATCH(Calendar!$A6,DB!1:1,0)+2),FALSE),"")</f>
        <v/>
      </c>
      <c r="TGU6" s="27" t="str">
        <f>IFERROR(VLOOKUP(DATE($K$1,$K$2,TGU$4),Table1[],(MATCH(Calendar!$A6,DB!1:1,0)+2),FALSE),"")</f>
        <v/>
      </c>
      <c r="TGV6" s="27" t="str">
        <f>IFERROR(VLOOKUP(DATE($K$1,$K$2,TGV$4),Table1[],(MATCH(Calendar!$A6,DB!1:1,0)+2),FALSE),"")</f>
        <v/>
      </c>
      <c r="TGW6" s="27" t="str">
        <f>IFERROR(VLOOKUP(DATE($K$1,$K$2,TGW$4),Table1[],(MATCH(Calendar!$A6,DB!1:1,0)+2),FALSE),"")</f>
        <v/>
      </c>
      <c r="TGX6" s="27" t="str">
        <f>IFERROR(VLOOKUP(DATE($K$1,$K$2,TGX$4),Table1[],(MATCH(Calendar!$A6,DB!1:1,0)+2),FALSE),"")</f>
        <v/>
      </c>
      <c r="TGY6" s="27" t="str">
        <f>IFERROR(VLOOKUP(DATE($K$1,$K$2,TGY$4),Table1[],(MATCH(Calendar!$A6,DB!1:1,0)+2),FALSE),"")</f>
        <v/>
      </c>
      <c r="TGZ6" s="27" t="str">
        <f>IFERROR(VLOOKUP(DATE($K$1,$K$2,TGZ$4),Table1[],(MATCH(Calendar!$A6,DB!1:1,0)+2),FALSE),"")</f>
        <v/>
      </c>
      <c r="THA6" s="27" t="str">
        <f>IFERROR(VLOOKUP(DATE($K$1,$K$2,THA$4),Table1[],(MATCH(Calendar!$A6,DB!1:1,0)+2),FALSE),"")</f>
        <v/>
      </c>
      <c r="THB6" s="27" t="str">
        <f>IFERROR(VLOOKUP(DATE($K$1,$K$2,THB$4),Table1[],(MATCH(Calendar!$A6,DB!1:1,0)+2),FALSE),"")</f>
        <v/>
      </c>
      <c r="THC6" s="27" t="str">
        <f>IFERROR(VLOOKUP(DATE($K$1,$K$2,THC$4),Table1[],(MATCH(Calendar!$A6,DB!1:1,0)+2),FALSE),"")</f>
        <v/>
      </c>
      <c r="THD6" s="27" t="str">
        <f>IFERROR(VLOOKUP(DATE($K$1,$K$2,THD$4),Table1[],(MATCH(Calendar!$A6,DB!1:1,0)+2),FALSE),"")</f>
        <v/>
      </c>
      <c r="THE6" s="27" t="str">
        <f>IFERROR(VLOOKUP(DATE($K$1,$K$2,THE$4),Table1[],(MATCH(Calendar!$A6,DB!1:1,0)+2),FALSE),"")</f>
        <v/>
      </c>
      <c r="THF6" s="27" t="str">
        <f>IFERROR(VLOOKUP(DATE($K$1,$K$2,THF$4),Table1[],(MATCH(Calendar!$A6,DB!1:1,0)+2),FALSE),"")</f>
        <v/>
      </c>
      <c r="THG6" s="27" t="str">
        <f>IFERROR(VLOOKUP(DATE($K$1,$K$2,THG$4),Table1[],(MATCH(Calendar!$A6,DB!1:1,0)+2),FALSE),"")</f>
        <v/>
      </c>
      <c r="THH6" s="27" t="str">
        <f>IFERROR(VLOOKUP(DATE($K$1,$K$2,THH$4),Table1[],(MATCH(Calendar!$A6,DB!1:1,0)+2),FALSE),"")</f>
        <v/>
      </c>
      <c r="THI6" s="27" t="str">
        <f>IFERROR(VLOOKUP(DATE($K$1,$K$2,THI$4),Table1[],(MATCH(Calendar!$A6,DB!1:1,0)+2),FALSE),"")</f>
        <v/>
      </c>
      <c r="THJ6" s="27" t="str">
        <f>IFERROR(VLOOKUP(DATE($K$1,$K$2,THJ$4),Table1[],(MATCH(Calendar!$A6,DB!1:1,0)+2),FALSE),"")</f>
        <v/>
      </c>
      <c r="THK6" s="27" t="str">
        <f>IFERROR(VLOOKUP(DATE($K$1,$K$2,THK$4),Table1[],(MATCH(Calendar!$A6,DB!1:1,0)+2),FALSE),"")</f>
        <v/>
      </c>
      <c r="THL6" s="27" t="str">
        <f>IFERROR(VLOOKUP(DATE($K$1,$K$2,THL$4),Table1[],(MATCH(Calendar!$A6,DB!1:1,0)+2),FALSE),"")</f>
        <v/>
      </c>
      <c r="THM6" s="27" t="str">
        <f>IFERROR(VLOOKUP(DATE($K$1,$K$2,THM$4),Table1[],(MATCH(Calendar!$A6,DB!1:1,0)+2),FALSE),"")</f>
        <v/>
      </c>
      <c r="THN6" s="27" t="str">
        <f>IFERROR(VLOOKUP(DATE($K$1,$K$2,THN$4),Table1[],(MATCH(Calendar!$A6,DB!1:1,0)+2),FALSE),"")</f>
        <v/>
      </c>
      <c r="THO6" s="27" t="str">
        <f>IFERROR(VLOOKUP(DATE($K$1,$K$2,THO$4),Table1[],(MATCH(Calendar!$A6,DB!1:1,0)+2),FALSE),"")</f>
        <v/>
      </c>
      <c r="THP6" s="27" t="str">
        <f>IFERROR(VLOOKUP(DATE($K$1,$K$2,THP$4),Table1[],(MATCH(Calendar!$A6,DB!1:1,0)+2),FALSE),"")</f>
        <v/>
      </c>
      <c r="THQ6" s="27" t="str">
        <f>IFERROR(VLOOKUP(DATE($K$1,$K$2,THQ$4),Table1[],(MATCH(Calendar!$A6,DB!1:1,0)+2),FALSE),"")</f>
        <v/>
      </c>
      <c r="THR6" s="27" t="str">
        <f>IFERROR(VLOOKUP(DATE($K$1,$K$2,THR$4),Table1[],(MATCH(Calendar!$A6,DB!1:1,0)+2),FALSE),"")</f>
        <v/>
      </c>
      <c r="THS6" s="27" t="str">
        <f>IFERROR(VLOOKUP(DATE($K$1,$K$2,THS$4),Table1[],(MATCH(Calendar!$A6,DB!1:1,0)+2),FALSE),"")</f>
        <v/>
      </c>
      <c r="THT6" s="27" t="str">
        <f>IFERROR(VLOOKUP(DATE($K$1,$K$2,THT$4),Table1[],(MATCH(Calendar!$A6,DB!1:1,0)+2),FALSE),"")</f>
        <v/>
      </c>
      <c r="THU6" s="27" t="str">
        <f>IFERROR(VLOOKUP(DATE($K$1,$K$2,THU$4),Table1[],(MATCH(Calendar!$A6,DB!1:1,0)+2),FALSE),"")</f>
        <v/>
      </c>
      <c r="THV6" s="27" t="str">
        <f>IFERROR(VLOOKUP(DATE($K$1,$K$2,THV$4),Table1[],(MATCH(Calendar!$A6,DB!1:1,0)+2),FALSE),"")</f>
        <v/>
      </c>
      <c r="THW6" s="27" t="str">
        <f>IFERROR(VLOOKUP(DATE($K$1,$K$2,THW$4),Table1[],(MATCH(Calendar!$A6,DB!1:1,0)+2),FALSE),"")</f>
        <v/>
      </c>
      <c r="THX6" s="27" t="str">
        <f>IFERROR(VLOOKUP(DATE($K$1,$K$2,THX$4),Table1[],(MATCH(Calendar!$A6,DB!1:1,0)+2),FALSE),"")</f>
        <v/>
      </c>
      <c r="THY6" s="27" t="str">
        <f>IFERROR(VLOOKUP(DATE($K$1,$K$2,THY$4),Table1[],(MATCH(Calendar!$A6,DB!1:1,0)+2),FALSE),"")</f>
        <v/>
      </c>
      <c r="THZ6" s="27" t="str">
        <f>IFERROR(VLOOKUP(DATE($K$1,$K$2,THZ$4),Table1[],(MATCH(Calendar!$A6,DB!1:1,0)+2),FALSE),"")</f>
        <v/>
      </c>
      <c r="TIA6" s="27" t="str">
        <f>IFERROR(VLOOKUP(DATE($K$1,$K$2,TIA$4),Table1[],(MATCH(Calendar!$A6,DB!1:1,0)+2),FALSE),"")</f>
        <v/>
      </c>
      <c r="TIB6" s="27" t="str">
        <f>IFERROR(VLOOKUP(DATE($K$1,$K$2,TIB$4),Table1[],(MATCH(Calendar!$A6,DB!1:1,0)+2),FALSE),"")</f>
        <v/>
      </c>
      <c r="TIC6" s="27" t="str">
        <f>IFERROR(VLOOKUP(DATE($K$1,$K$2,TIC$4),Table1[],(MATCH(Calendar!$A6,DB!1:1,0)+2),FALSE),"")</f>
        <v/>
      </c>
      <c r="TID6" s="27" t="str">
        <f>IFERROR(VLOOKUP(DATE($K$1,$K$2,TID$4),Table1[],(MATCH(Calendar!$A6,DB!1:1,0)+2),FALSE),"")</f>
        <v/>
      </c>
      <c r="TIE6" s="27" t="str">
        <f>IFERROR(VLOOKUP(DATE($K$1,$K$2,TIE$4),Table1[],(MATCH(Calendar!$A6,DB!1:1,0)+2),FALSE),"")</f>
        <v/>
      </c>
      <c r="TIF6" s="27" t="str">
        <f>IFERROR(VLOOKUP(DATE($K$1,$K$2,TIF$4),Table1[],(MATCH(Calendar!$A6,DB!1:1,0)+2),FALSE),"")</f>
        <v/>
      </c>
      <c r="TIG6" s="27" t="str">
        <f>IFERROR(VLOOKUP(DATE($K$1,$K$2,TIG$4),Table1[],(MATCH(Calendar!$A6,DB!1:1,0)+2),FALSE),"")</f>
        <v/>
      </c>
      <c r="TIH6" s="27" t="str">
        <f>IFERROR(VLOOKUP(DATE($K$1,$K$2,TIH$4),Table1[],(MATCH(Calendar!$A6,DB!1:1,0)+2),FALSE),"")</f>
        <v/>
      </c>
      <c r="TII6" s="27" t="str">
        <f>IFERROR(VLOOKUP(DATE($K$1,$K$2,TII$4),Table1[],(MATCH(Calendar!$A6,DB!1:1,0)+2),FALSE),"")</f>
        <v/>
      </c>
      <c r="TIJ6" s="27" t="str">
        <f>IFERROR(VLOOKUP(DATE($K$1,$K$2,TIJ$4),Table1[],(MATCH(Calendar!$A6,DB!1:1,0)+2),FALSE),"")</f>
        <v/>
      </c>
      <c r="TIK6" s="27" t="str">
        <f>IFERROR(VLOOKUP(DATE($K$1,$K$2,TIK$4),Table1[],(MATCH(Calendar!$A6,DB!1:1,0)+2),FALSE),"")</f>
        <v/>
      </c>
      <c r="TIL6" s="27" t="str">
        <f>IFERROR(VLOOKUP(DATE($K$1,$K$2,TIL$4),Table1[],(MATCH(Calendar!$A6,DB!1:1,0)+2),FALSE),"")</f>
        <v/>
      </c>
      <c r="TIM6" s="27" t="str">
        <f>IFERROR(VLOOKUP(DATE($K$1,$K$2,TIM$4),Table1[],(MATCH(Calendar!$A6,DB!1:1,0)+2),FALSE),"")</f>
        <v/>
      </c>
      <c r="TIN6" s="27" t="str">
        <f>IFERROR(VLOOKUP(DATE($K$1,$K$2,TIN$4),Table1[],(MATCH(Calendar!$A6,DB!1:1,0)+2),FALSE),"")</f>
        <v/>
      </c>
      <c r="TIO6" s="27" t="str">
        <f>IFERROR(VLOOKUP(DATE($K$1,$K$2,TIO$4),Table1[],(MATCH(Calendar!$A6,DB!1:1,0)+2),FALSE),"")</f>
        <v/>
      </c>
      <c r="TIP6" s="27" t="str">
        <f>IFERROR(VLOOKUP(DATE($K$1,$K$2,TIP$4),Table1[],(MATCH(Calendar!$A6,DB!1:1,0)+2),FALSE),"")</f>
        <v/>
      </c>
      <c r="TIQ6" s="27" t="str">
        <f>IFERROR(VLOOKUP(DATE($K$1,$K$2,TIQ$4),Table1[],(MATCH(Calendar!$A6,DB!1:1,0)+2),FALSE),"")</f>
        <v/>
      </c>
      <c r="TIR6" s="27" t="str">
        <f>IFERROR(VLOOKUP(DATE($K$1,$K$2,TIR$4),Table1[],(MATCH(Calendar!$A6,DB!1:1,0)+2),FALSE),"")</f>
        <v/>
      </c>
      <c r="TIS6" s="27" t="str">
        <f>IFERROR(VLOOKUP(DATE($K$1,$K$2,TIS$4),Table1[],(MATCH(Calendar!$A6,DB!1:1,0)+2),FALSE),"")</f>
        <v/>
      </c>
      <c r="TIT6" s="27" t="str">
        <f>IFERROR(VLOOKUP(DATE($K$1,$K$2,TIT$4),Table1[],(MATCH(Calendar!$A6,DB!1:1,0)+2),FALSE),"")</f>
        <v/>
      </c>
      <c r="TIU6" s="27" t="str">
        <f>IFERROR(VLOOKUP(DATE($K$1,$K$2,TIU$4),Table1[],(MATCH(Calendar!$A6,DB!1:1,0)+2),FALSE),"")</f>
        <v/>
      </c>
      <c r="TIV6" s="27" t="str">
        <f>IFERROR(VLOOKUP(DATE($K$1,$K$2,TIV$4),Table1[],(MATCH(Calendar!$A6,DB!1:1,0)+2),FALSE),"")</f>
        <v/>
      </c>
      <c r="TIW6" s="27" t="str">
        <f>IFERROR(VLOOKUP(DATE($K$1,$K$2,TIW$4),Table1[],(MATCH(Calendar!$A6,DB!1:1,0)+2),FALSE),"")</f>
        <v/>
      </c>
      <c r="TIX6" s="27" t="str">
        <f>IFERROR(VLOOKUP(DATE($K$1,$K$2,TIX$4),Table1[],(MATCH(Calendar!$A6,DB!1:1,0)+2),FALSE),"")</f>
        <v/>
      </c>
      <c r="TIY6" s="27" t="str">
        <f>IFERROR(VLOOKUP(DATE($K$1,$K$2,TIY$4),Table1[],(MATCH(Calendar!$A6,DB!1:1,0)+2),FALSE),"")</f>
        <v/>
      </c>
      <c r="TIZ6" s="27" t="str">
        <f>IFERROR(VLOOKUP(DATE($K$1,$K$2,TIZ$4),Table1[],(MATCH(Calendar!$A6,DB!1:1,0)+2),FALSE),"")</f>
        <v/>
      </c>
      <c r="TJA6" s="27" t="str">
        <f>IFERROR(VLOOKUP(DATE($K$1,$K$2,TJA$4),Table1[],(MATCH(Calendar!$A6,DB!1:1,0)+2),FALSE),"")</f>
        <v/>
      </c>
      <c r="TJB6" s="27" t="str">
        <f>IFERROR(VLOOKUP(DATE($K$1,$K$2,TJB$4),Table1[],(MATCH(Calendar!$A6,DB!1:1,0)+2),FALSE),"")</f>
        <v/>
      </c>
      <c r="TJC6" s="27" t="str">
        <f>IFERROR(VLOOKUP(DATE($K$1,$K$2,TJC$4),Table1[],(MATCH(Calendar!$A6,DB!1:1,0)+2),FALSE),"")</f>
        <v/>
      </c>
      <c r="TJD6" s="27" t="str">
        <f>IFERROR(VLOOKUP(DATE($K$1,$K$2,TJD$4),Table1[],(MATCH(Calendar!$A6,DB!1:1,0)+2),FALSE),"")</f>
        <v/>
      </c>
      <c r="TJE6" s="27" t="str">
        <f>IFERROR(VLOOKUP(DATE($K$1,$K$2,TJE$4),Table1[],(MATCH(Calendar!$A6,DB!1:1,0)+2),FALSE),"")</f>
        <v/>
      </c>
      <c r="TJF6" s="27" t="str">
        <f>IFERROR(VLOOKUP(DATE($K$1,$K$2,TJF$4),Table1[],(MATCH(Calendar!$A6,DB!1:1,0)+2),FALSE),"")</f>
        <v/>
      </c>
      <c r="TJG6" s="27" t="str">
        <f>IFERROR(VLOOKUP(DATE($K$1,$K$2,TJG$4),Table1[],(MATCH(Calendar!$A6,DB!1:1,0)+2),FALSE),"")</f>
        <v/>
      </c>
      <c r="TJH6" s="27" t="str">
        <f>IFERROR(VLOOKUP(DATE($K$1,$K$2,TJH$4),Table1[],(MATCH(Calendar!$A6,DB!1:1,0)+2),FALSE),"")</f>
        <v/>
      </c>
      <c r="TJI6" s="27" t="str">
        <f>IFERROR(VLOOKUP(DATE($K$1,$K$2,TJI$4),Table1[],(MATCH(Calendar!$A6,DB!1:1,0)+2),FALSE),"")</f>
        <v/>
      </c>
      <c r="TJJ6" s="27" t="str">
        <f>IFERROR(VLOOKUP(DATE($K$1,$K$2,TJJ$4),Table1[],(MATCH(Calendar!$A6,DB!1:1,0)+2),FALSE),"")</f>
        <v/>
      </c>
      <c r="TJK6" s="27" t="str">
        <f>IFERROR(VLOOKUP(DATE($K$1,$K$2,TJK$4),Table1[],(MATCH(Calendar!$A6,DB!1:1,0)+2),FALSE),"")</f>
        <v/>
      </c>
      <c r="TJL6" s="27" t="str">
        <f>IFERROR(VLOOKUP(DATE($K$1,$K$2,TJL$4),Table1[],(MATCH(Calendar!$A6,DB!1:1,0)+2),FALSE),"")</f>
        <v/>
      </c>
      <c r="TJM6" s="27" t="str">
        <f>IFERROR(VLOOKUP(DATE($K$1,$K$2,TJM$4),Table1[],(MATCH(Calendar!$A6,DB!1:1,0)+2),FALSE),"")</f>
        <v/>
      </c>
      <c r="TJN6" s="27" t="str">
        <f>IFERROR(VLOOKUP(DATE($K$1,$K$2,TJN$4),Table1[],(MATCH(Calendar!$A6,DB!1:1,0)+2),FALSE),"")</f>
        <v/>
      </c>
      <c r="TJO6" s="27" t="str">
        <f>IFERROR(VLOOKUP(DATE($K$1,$K$2,TJO$4),Table1[],(MATCH(Calendar!$A6,DB!1:1,0)+2),FALSE),"")</f>
        <v/>
      </c>
      <c r="TJP6" s="27" t="str">
        <f>IFERROR(VLOOKUP(DATE($K$1,$K$2,TJP$4),Table1[],(MATCH(Calendar!$A6,DB!1:1,0)+2),FALSE),"")</f>
        <v/>
      </c>
      <c r="TJQ6" s="27" t="str">
        <f>IFERROR(VLOOKUP(DATE($K$1,$K$2,TJQ$4),Table1[],(MATCH(Calendar!$A6,DB!1:1,0)+2),FALSE),"")</f>
        <v/>
      </c>
      <c r="TJR6" s="27" t="str">
        <f>IFERROR(VLOOKUP(DATE($K$1,$K$2,TJR$4),Table1[],(MATCH(Calendar!$A6,DB!1:1,0)+2),FALSE),"")</f>
        <v/>
      </c>
      <c r="TJS6" s="27" t="str">
        <f>IFERROR(VLOOKUP(DATE($K$1,$K$2,TJS$4),Table1[],(MATCH(Calendar!$A6,DB!1:1,0)+2),FALSE),"")</f>
        <v/>
      </c>
      <c r="TJT6" s="27" t="str">
        <f>IFERROR(VLOOKUP(DATE($K$1,$K$2,TJT$4),Table1[],(MATCH(Calendar!$A6,DB!1:1,0)+2),FALSE),"")</f>
        <v/>
      </c>
      <c r="TJU6" s="27" t="str">
        <f>IFERROR(VLOOKUP(DATE($K$1,$K$2,TJU$4),Table1[],(MATCH(Calendar!$A6,DB!1:1,0)+2),FALSE),"")</f>
        <v/>
      </c>
      <c r="TJV6" s="27" t="str">
        <f>IFERROR(VLOOKUP(DATE($K$1,$K$2,TJV$4),Table1[],(MATCH(Calendar!$A6,DB!1:1,0)+2),FALSE),"")</f>
        <v/>
      </c>
      <c r="TJW6" s="27" t="str">
        <f>IFERROR(VLOOKUP(DATE($K$1,$K$2,TJW$4),Table1[],(MATCH(Calendar!$A6,DB!1:1,0)+2),FALSE),"")</f>
        <v/>
      </c>
      <c r="TJX6" s="27" t="str">
        <f>IFERROR(VLOOKUP(DATE($K$1,$K$2,TJX$4),Table1[],(MATCH(Calendar!$A6,DB!1:1,0)+2),FALSE),"")</f>
        <v/>
      </c>
      <c r="TJY6" s="27" t="str">
        <f>IFERROR(VLOOKUP(DATE($K$1,$K$2,TJY$4),Table1[],(MATCH(Calendar!$A6,DB!1:1,0)+2),FALSE),"")</f>
        <v/>
      </c>
      <c r="TJZ6" s="27" t="str">
        <f>IFERROR(VLOOKUP(DATE($K$1,$K$2,TJZ$4),Table1[],(MATCH(Calendar!$A6,DB!1:1,0)+2),FALSE),"")</f>
        <v/>
      </c>
      <c r="TKA6" s="27" t="str">
        <f>IFERROR(VLOOKUP(DATE($K$1,$K$2,TKA$4),Table1[],(MATCH(Calendar!$A6,DB!1:1,0)+2),FALSE),"")</f>
        <v/>
      </c>
      <c r="TKB6" s="27" t="str">
        <f>IFERROR(VLOOKUP(DATE($K$1,$K$2,TKB$4),Table1[],(MATCH(Calendar!$A6,DB!1:1,0)+2),FALSE),"")</f>
        <v/>
      </c>
      <c r="TKC6" s="27" t="str">
        <f>IFERROR(VLOOKUP(DATE($K$1,$K$2,TKC$4),Table1[],(MATCH(Calendar!$A6,DB!1:1,0)+2),FALSE),"")</f>
        <v/>
      </c>
      <c r="TKD6" s="27" t="str">
        <f>IFERROR(VLOOKUP(DATE($K$1,$K$2,TKD$4),Table1[],(MATCH(Calendar!$A6,DB!1:1,0)+2),FALSE),"")</f>
        <v/>
      </c>
      <c r="TKE6" s="27" t="str">
        <f>IFERROR(VLOOKUP(DATE($K$1,$K$2,TKE$4),Table1[],(MATCH(Calendar!$A6,DB!1:1,0)+2),FALSE),"")</f>
        <v/>
      </c>
      <c r="TKF6" s="27" t="str">
        <f>IFERROR(VLOOKUP(DATE($K$1,$K$2,TKF$4),Table1[],(MATCH(Calendar!$A6,DB!1:1,0)+2),FALSE),"")</f>
        <v/>
      </c>
      <c r="TKG6" s="27" t="str">
        <f>IFERROR(VLOOKUP(DATE($K$1,$K$2,TKG$4),Table1[],(MATCH(Calendar!$A6,DB!1:1,0)+2),FALSE),"")</f>
        <v/>
      </c>
      <c r="TKH6" s="27" t="str">
        <f>IFERROR(VLOOKUP(DATE($K$1,$K$2,TKH$4),Table1[],(MATCH(Calendar!$A6,DB!1:1,0)+2),FALSE),"")</f>
        <v/>
      </c>
      <c r="TKI6" s="27" t="str">
        <f>IFERROR(VLOOKUP(DATE($K$1,$K$2,TKI$4),Table1[],(MATCH(Calendar!$A6,DB!1:1,0)+2),FALSE),"")</f>
        <v/>
      </c>
      <c r="TKJ6" s="27" t="str">
        <f>IFERROR(VLOOKUP(DATE($K$1,$K$2,TKJ$4),Table1[],(MATCH(Calendar!$A6,DB!1:1,0)+2),FALSE),"")</f>
        <v/>
      </c>
      <c r="TKK6" s="27" t="str">
        <f>IFERROR(VLOOKUP(DATE($K$1,$K$2,TKK$4),Table1[],(MATCH(Calendar!$A6,DB!1:1,0)+2),FALSE),"")</f>
        <v/>
      </c>
      <c r="TKL6" s="27" t="str">
        <f>IFERROR(VLOOKUP(DATE($K$1,$K$2,TKL$4),Table1[],(MATCH(Calendar!$A6,DB!1:1,0)+2),FALSE),"")</f>
        <v/>
      </c>
      <c r="TKM6" s="27" t="str">
        <f>IFERROR(VLOOKUP(DATE($K$1,$K$2,TKM$4),Table1[],(MATCH(Calendar!$A6,DB!1:1,0)+2),FALSE),"")</f>
        <v/>
      </c>
      <c r="TKN6" s="27" t="str">
        <f>IFERROR(VLOOKUP(DATE($K$1,$K$2,TKN$4),Table1[],(MATCH(Calendar!$A6,DB!1:1,0)+2),FALSE),"")</f>
        <v/>
      </c>
      <c r="TKO6" s="27" t="str">
        <f>IFERROR(VLOOKUP(DATE($K$1,$K$2,TKO$4),Table1[],(MATCH(Calendar!$A6,DB!1:1,0)+2),FALSE),"")</f>
        <v/>
      </c>
      <c r="TKP6" s="27" t="str">
        <f>IFERROR(VLOOKUP(DATE($K$1,$K$2,TKP$4),Table1[],(MATCH(Calendar!$A6,DB!1:1,0)+2),FALSE),"")</f>
        <v/>
      </c>
      <c r="TKQ6" s="27" t="str">
        <f>IFERROR(VLOOKUP(DATE($K$1,$K$2,TKQ$4),Table1[],(MATCH(Calendar!$A6,DB!1:1,0)+2),FALSE),"")</f>
        <v/>
      </c>
      <c r="TKR6" s="27" t="str">
        <f>IFERROR(VLOOKUP(DATE($K$1,$K$2,TKR$4),Table1[],(MATCH(Calendar!$A6,DB!1:1,0)+2),FALSE),"")</f>
        <v/>
      </c>
      <c r="TKS6" s="27" t="str">
        <f>IFERROR(VLOOKUP(DATE($K$1,$K$2,TKS$4),Table1[],(MATCH(Calendar!$A6,DB!1:1,0)+2),FALSE),"")</f>
        <v/>
      </c>
      <c r="TKT6" s="27" t="str">
        <f>IFERROR(VLOOKUP(DATE($K$1,$K$2,TKT$4),Table1[],(MATCH(Calendar!$A6,DB!1:1,0)+2),FALSE),"")</f>
        <v/>
      </c>
      <c r="TKU6" s="27" t="str">
        <f>IFERROR(VLOOKUP(DATE($K$1,$K$2,TKU$4),Table1[],(MATCH(Calendar!$A6,DB!1:1,0)+2),FALSE),"")</f>
        <v/>
      </c>
      <c r="TKV6" s="27" t="str">
        <f>IFERROR(VLOOKUP(DATE($K$1,$K$2,TKV$4),Table1[],(MATCH(Calendar!$A6,DB!1:1,0)+2),FALSE),"")</f>
        <v/>
      </c>
      <c r="TKW6" s="27" t="str">
        <f>IFERROR(VLOOKUP(DATE($K$1,$K$2,TKW$4),Table1[],(MATCH(Calendar!$A6,DB!1:1,0)+2),FALSE),"")</f>
        <v/>
      </c>
      <c r="TKX6" s="27" t="str">
        <f>IFERROR(VLOOKUP(DATE($K$1,$K$2,TKX$4),Table1[],(MATCH(Calendar!$A6,DB!1:1,0)+2),FALSE),"")</f>
        <v/>
      </c>
      <c r="TKY6" s="27" t="str">
        <f>IFERROR(VLOOKUP(DATE($K$1,$K$2,TKY$4),Table1[],(MATCH(Calendar!$A6,DB!1:1,0)+2),FALSE),"")</f>
        <v/>
      </c>
      <c r="TKZ6" s="27" t="str">
        <f>IFERROR(VLOOKUP(DATE($K$1,$K$2,TKZ$4),Table1[],(MATCH(Calendar!$A6,DB!1:1,0)+2),FALSE),"")</f>
        <v/>
      </c>
      <c r="TLA6" s="27" t="str">
        <f>IFERROR(VLOOKUP(DATE($K$1,$K$2,TLA$4),Table1[],(MATCH(Calendar!$A6,DB!1:1,0)+2),FALSE),"")</f>
        <v/>
      </c>
      <c r="TLB6" s="27" t="str">
        <f>IFERROR(VLOOKUP(DATE($K$1,$K$2,TLB$4),Table1[],(MATCH(Calendar!$A6,DB!1:1,0)+2),FALSE),"")</f>
        <v/>
      </c>
      <c r="TLC6" s="27" t="str">
        <f>IFERROR(VLOOKUP(DATE($K$1,$K$2,TLC$4),Table1[],(MATCH(Calendar!$A6,DB!1:1,0)+2),FALSE),"")</f>
        <v/>
      </c>
      <c r="TLD6" s="27" t="str">
        <f>IFERROR(VLOOKUP(DATE($K$1,$K$2,TLD$4),Table1[],(MATCH(Calendar!$A6,DB!1:1,0)+2),FALSE),"")</f>
        <v/>
      </c>
      <c r="TLE6" s="27" t="str">
        <f>IFERROR(VLOOKUP(DATE($K$1,$K$2,TLE$4),Table1[],(MATCH(Calendar!$A6,DB!1:1,0)+2),FALSE),"")</f>
        <v/>
      </c>
      <c r="TLF6" s="27" t="str">
        <f>IFERROR(VLOOKUP(DATE($K$1,$K$2,TLF$4),Table1[],(MATCH(Calendar!$A6,DB!1:1,0)+2),FALSE),"")</f>
        <v/>
      </c>
      <c r="TLG6" s="27" t="str">
        <f>IFERROR(VLOOKUP(DATE($K$1,$K$2,TLG$4),Table1[],(MATCH(Calendar!$A6,DB!1:1,0)+2),FALSE),"")</f>
        <v/>
      </c>
      <c r="TLH6" s="27" t="str">
        <f>IFERROR(VLOOKUP(DATE($K$1,$K$2,TLH$4),Table1[],(MATCH(Calendar!$A6,DB!1:1,0)+2),FALSE),"")</f>
        <v/>
      </c>
      <c r="TLI6" s="27" t="str">
        <f>IFERROR(VLOOKUP(DATE($K$1,$K$2,TLI$4),Table1[],(MATCH(Calendar!$A6,DB!1:1,0)+2),FALSE),"")</f>
        <v/>
      </c>
      <c r="TLJ6" s="27" t="str">
        <f>IFERROR(VLOOKUP(DATE($K$1,$K$2,TLJ$4),Table1[],(MATCH(Calendar!$A6,DB!1:1,0)+2),FALSE),"")</f>
        <v/>
      </c>
      <c r="TLK6" s="27" t="str">
        <f>IFERROR(VLOOKUP(DATE($K$1,$K$2,TLK$4),Table1[],(MATCH(Calendar!$A6,DB!1:1,0)+2),FALSE),"")</f>
        <v/>
      </c>
      <c r="TLL6" s="27" t="str">
        <f>IFERROR(VLOOKUP(DATE($K$1,$K$2,TLL$4),Table1[],(MATCH(Calendar!$A6,DB!1:1,0)+2),FALSE),"")</f>
        <v/>
      </c>
      <c r="TLM6" s="27" t="str">
        <f>IFERROR(VLOOKUP(DATE($K$1,$K$2,TLM$4),Table1[],(MATCH(Calendar!$A6,DB!1:1,0)+2),FALSE),"")</f>
        <v/>
      </c>
      <c r="TLN6" s="27" t="str">
        <f>IFERROR(VLOOKUP(DATE($K$1,$K$2,TLN$4),Table1[],(MATCH(Calendar!$A6,DB!1:1,0)+2),FALSE),"")</f>
        <v/>
      </c>
      <c r="TLO6" s="27" t="str">
        <f>IFERROR(VLOOKUP(DATE($K$1,$K$2,TLO$4),Table1[],(MATCH(Calendar!$A6,DB!1:1,0)+2),FALSE),"")</f>
        <v/>
      </c>
      <c r="TLP6" s="27" t="str">
        <f>IFERROR(VLOOKUP(DATE($K$1,$K$2,TLP$4),Table1[],(MATCH(Calendar!$A6,DB!1:1,0)+2),FALSE),"")</f>
        <v/>
      </c>
      <c r="TLQ6" s="27" t="str">
        <f>IFERROR(VLOOKUP(DATE($K$1,$K$2,TLQ$4),Table1[],(MATCH(Calendar!$A6,DB!1:1,0)+2),FALSE),"")</f>
        <v/>
      </c>
      <c r="TLR6" s="27" t="str">
        <f>IFERROR(VLOOKUP(DATE($K$1,$K$2,TLR$4),Table1[],(MATCH(Calendar!$A6,DB!1:1,0)+2),FALSE),"")</f>
        <v/>
      </c>
      <c r="TLS6" s="27" t="str">
        <f>IFERROR(VLOOKUP(DATE($K$1,$K$2,TLS$4),Table1[],(MATCH(Calendar!$A6,DB!1:1,0)+2),FALSE),"")</f>
        <v/>
      </c>
      <c r="TLT6" s="27" t="str">
        <f>IFERROR(VLOOKUP(DATE($K$1,$K$2,TLT$4),Table1[],(MATCH(Calendar!$A6,DB!1:1,0)+2),FALSE),"")</f>
        <v/>
      </c>
      <c r="TLU6" s="27" t="str">
        <f>IFERROR(VLOOKUP(DATE($K$1,$K$2,TLU$4),Table1[],(MATCH(Calendar!$A6,DB!1:1,0)+2),FALSE),"")</f>
        <v/>
      </c>
      <c r="TLV6" s="27" t="str">
        <f>IFERROR(VLOOKUP(DATE($K$1,$K$2,TLV$4),Table1[],(MATCH(Calendar!$A6,DB!1:1,0)+2),FALSE),"")</f>
        <v/>
      </c>
      <c r="TLW6" s="27" t="str">
        <f>IFERROR(VLOOKUP(DATE($K$1,$K$2,TLW$4),Table1[],(MATCH(Calendar!$A6,DB!1:1,0)+2),FALSE),"")</f>
        <v/>
      </c>
      <c r="TLX6" s="27" t="str">
        <f>IFERROR(VLOOKUP(DATE($K$1,$K$2,TLX$4),Table1[],(MATCH(Calendar!$A6,DB!1:1,0)+2),FALSE),"")</f>
        <v/>
      </c>
      <c r="TLY6" s="27" t="str">
        <f>IFERROR(VLOOKUP(DATE($K$1,$K$2,TLY$4),Table1[],(MATCH(Calendar!$A6,DB!1:1,0)+2),FALSE),"")</f>
        <v/>
      </c>
      <c r="TLZ6" s="27" t="str">
        <f>IFERROR(VLOOKUP(DATE($K$1,$K$2,TLZ$4),Table1[],(MATCH(Calendar!$A6,DB!1:1,0)+2),FALSE),"")</f>
        <v/>
      </c>
      <c r="TMA6" s="27" t="str">
        <f>IFERROR(VLOOKUP(DATE($K$1,$K$2,TMA$4),Table1[],(MATCH(Calendar!$A6,DB!1:1,0)+2),FALSE),"")</f>
        <v/>
      </c>
      <c r="TMB6" s="27" t="str">
        <f>IFERROR(VLOOKUP(DATE($K$1,$K$2,TMB$4),Table1[],(MATCH(Calendar!$A6,DB!1:1,0)+2),FALSE),"")</f>
        <v/>
      </c>
      <c r="TMC6" s="27" t="str">
        <f>IFERROR(VLOOKUP(DATE($K$1,$K$2,TMC$4),Table1[],(MATCH(Calendar!$A6,DB!1:1,0)+2),FALSE),"")</f>
        <v/>
      </c>
      <c r="TMD6" s="27" t="str">
        <f>IFERROR(VLOOKUP(DATE($K$1,$K$2,TMD$4),Table1[],(MATCH(Calendar!$A6,DB!1:1,0)+2),FALSE),"")</f>
        <v/>
      </c>
      <c r="TME6" s="27" t="str">
        <f>IFERROR(VLOOKUP(DATE($K$1,$K$2,TME$4),Table1[],(MATCH(Calendar!$A6,DB!1:1,0)+2),FALSE),"")</f>
        <v/>
      </c>
      <c r="TMF6" s="27" t="str">
        <f>IFERROR(VLOOKUP(DATE($K$1,$K$2,TMF$4),Table1[],(MATCH(Calendar!$A6,DB!1:1,0)+2),FALSE),"")</f>
        <v/>
      </c>
      <c r="TMG6" s="27" t="str">
        <f>IFERROR(VLOOKUP(DATE($K$1,$K$2,TMG$4),Table1[],(MATCH(Calendar!$A6,DB!1:1,0)+2),FALSE),"")</f>
        <v/>
      </c>
      <c r="TMH6" s="27" t="str">
        <f>IFERROR(VLOOKUP(DATE($K$1,$K$2,TMH$4),Table1[],(MATCH(Calendar!$A6,DB!1:1,0)+2),FALSE),"")</f>
        <v/>
      </c>
      <c r="TMI6" s="27" t="str">
        <f>IFERROR(VLOOKUP(DATE($K$1,$K$2,TMI$4),Table1[],(MATCH(Calendar!$A6,DB!1:1,0)+2),FALSE),"")</f>
        <v/>
      </c>
      <c r="TMJ6" s="27" t="str">
        <f>IFERROR(VLOOKUP(DATE($K$1,$K$2,TMJ$4),Table1[],(MATCH(Calendar!$A6,DB!1:1,0)+2),FALSE),"")</f>
        <v/>
      </c>
      <c r="TMK6" s="27" t="str">
        <f>IFERROR(VLOOKUP(DATE($K$1,$K$2,TMK$4),Table1[],(MATCH(Calendar!$A6,DB!1:1,0)+2),FALSE),"")</f>
        <v/>
      </c>
      <c r="TML6" s="27" t="str">
        <f>IFERROR(VLOOKUP(DATE($K$1,$K$2,TML$4),Table1[],(MATCH(Calendar!$A6,DB!1:1,0)+2),FALSE),"")</f>
        <v/>
      </c>
      <c r="TMM6" s="27" t="str">
        <f>IFERROR(VLOOKUP(DATE($K$1,$K$2,TMM$4),Table1[],(MATCH(Calendar!$A6,DB!1:1,0)+2),FALSE),"")</f>
        <v/>
      </c>
      <c r="TMN6" s="27" t="str">
        <f>IFERROR(VLOOKUP(DATE($K$1,$K$2,TMN$4),Table1[],(MATCH(Calendar!$A6,DB!1:1,0)+2),FALSE),"")</f>
        <v/>
      </c>
      <c r="TMO6" s="27" t="str">
        <f>IFERROR(VLOOKUP(DATE($K$1,$K$2,TMO$4),Table1[],(MATCH(Calendar!$A6,DB!1:1,0)+2),FALSE),"")</f>
        <v/>
      </c>
      <c r="TMP6" s="27" t="str">
        <f>IFERROR(VLOOKUP(DATE($K$1,$K$2,TMP$4),Table1[],(MATCH(Calendar!$A6,DB!1:1,0)+2),FALSE),"")</f>
        <v/>
      </c>
      <c r="TMQ6" s="27" t="str">
        <f>IFERROR(VLOOKUP(DATE($K$1,$K$2,TMQ$4),Table1[],(MATCH(Calendar!$A6,DB!1:1,0)+2),FALSE),"")</f>
        <v/>
      </c>
      <c r="TMR6" s="27" t="str">
        <f>IFERROR(VLOOKUP(DATE($K$1,$K$2,TMR$4),Table1[],(MATCH(Calendar!$A6,DB!1:1,0)+2),FALSE),"")</f>
        <v/>
      </c>
      <c r="TMS6" s="27" t="str">
        <f>IFERROR(VLOOKUP(DATE($K$1,$K$2,TMS$4),Table1[],(MATCH(Calendar!$A6,DB!1:1,0)+2),FALSE),"")</f>
        <v/>
      </c>
      <c r="TMT6" s="27" t="str">
        <f>IFERROR(VLOOKUP(DATE($K$1,$K$2,TMT$4),Table1[],(MATCH(Calendar!$A6,DB!1:1,0)+2),FALSE),"")</f>
        <v/>
      </c>
      <c r="TMU6" s="27" t="str">
        <f>IFERROR(VLOOKUP(DATE($K$1,$K$2,TMU$4),Table1[],(MATCH(Calendar!$A6,DB!1:1,0)+2),FALSE),"")</f>
        <v/>
      </c>
      <c r="TMV6" s="27" t="str">
        <f>IFERROR(VLOOKUP(DATE($K$1,$K$2,TMV$4),Table1[],(MATCH(Calendar!$A6,DB!1:1,0)+2),FALSE),"")</f>
        <v/>
      </c>
      <c r="TMW6" s="27" t="str">
        <f>IFERROR(VLOOKUP(DATE($K$1,$K$2,TMW$4),Table1[],(MATCH(Calendar!$A6,DB!1:1,0)+2),FALSE),"")</f>
        <v/>
      </c>
      <c r="TMX6" s="27" t="str">
        <f>IFERROR(VLOOKUP(DATE($K$1,$K$2,TMX$4),Table1[],(MATCH(Calendar!$A6,DB!1:1,0)+2),FALSE),"")</f>
        <v/>
      </c>
      <c r="TMY6" s="27" t="str">
        <f>IFERROR(VLOOKUP(DATE($K$1,$K$2,TMY$4),Table1[],(MATCH(Calendar!$A6,DB!1:1,0)+2),FALSE),"")</f>
        <v/>
      </c>
      <c r="TMZ6" s="27" t="str">
        <f>IFERROR(VLOOKUP(DATE($K$1,$K$2,TMZ$4),Table1[],(MATCH(Calendar!$A6,DB!1:1,0)+2),FALSE),"")</f>
        <v/>
      </c>
      <c r="TNA6" s="27" t="str">
        <f>IFERROR(VLOOKUP(DATE($K$1,$K$2,TNA$4),Table1[],(MATCH(Calendar!$A6,DB!1:1,0)+2),FALSE),"")</f>
        <v/>
      </c>
      <c r="TNB6" s="27" t="str">
        <f>IFERROR(VLOOKUP(DATE($K$1,$K$2,TNB$4),Table1[],(MATCH(Calendar!$A6,DB!1:1,0)+2),FALSE),"")</f>
        <v/>
      </c>
      <c r="TNC6" s="27" t="str">
        <f>IFERROR(VLOOKUP(DATE($K$1,$K$2,TNC$4),Table1[],(MATCH(Calendar!$A6,DB!1:1,0)+2),FALSE),"")</f>
        <v/>
      </c>
      <c r="TND6" s="27" t="str">
        <f>IFERROR(VLOOKUP(DATE($K$1,$K$2,TND$4),Table1[],(MATCH(Calendar!$A6,DB!1:1,0)+2),FALSE),"")</f>
        <v/>
      </c>
      <c r="TNE6" s="27" t="str">
        <f>IFERROR(VLOOKUP(DATE($K$1,$K$2,TNE$4),Table1[],(MATCH(Calendar!$A6,DB!1:1,0)+2),FALSE),"")</f>
        <v/>
      </c>
      <c r="TNF6" s="27" t="str">
        <f>IFERROR(VLOOKUP(DATE($K$1,$K$2,TNF$4),Table1[],(MATCH(Calendar!$A6,DB!1:1,0)+2),FALSE),"")</f>
        <v/>
      </c>
      <c r="TNG6" s="27" t="str">
        <f>IFERROR(VLOOKUP(DATE($K$1,$K$2,TNG$4),Table1[],(MATCH(Calendar!$A6,DB!1:1,0)+2),FALSE),"")</f>
        <v/>
      </c>
      <c r="TNH6" s="27" t="str">
        <f>IFERROR(VLOOKUP(DATE($K$1,$K$2,TNH$4),Table1[],(MATCH(Calendar!$A6,DB!1:1,0)+2),FALSE),"")</f>
        <v/>
      </c>
      <c r="TNI6" s="27" t="str">
        <f>IFERROR(VLOOKUP(DATE($K$1,$K$2,TNI$4),Table1[],(MATCH(Calendar!$A6,DB!1:1,0)+2),FALSE),"")</f>
        <v/>
      </c>
      <c r="TNJ6" s="27" t="str">
        <f>IFERROR(VLOOKUP(DATE($K$1,$K$2,TNJ$4),Table1[],(MATCH(Calendar!$A6,DB!1:1,0)+2),FALSE),"")</f>
        <v/>
      </c>
      <c r="TNK6" s="27" t="str">
        <f>IFERROR(VLOOKUP(DATE($K$1,$K$2,TNK$4),Table1[],(MATCH(Calendar!$A6,DB!1:1,0)+2),FALSE),"")</f>
        <v/>
      </c>
      <c r="TNL6" s="27" t="str">
        <f>IFERROR(VLOOKUP(DATE($K$1,$K$2,TNL$4),Table1[],(MATCH(Calendar!$A6,DB!1:1,0)+2),FALSE),"")</f>
        <v/>
      </c>
      <c r="TNM6" s="27" t="str">
        <f>IFERROR(VLOOKUP(DATE($K$1,$K$2,TNM$4),Table1[],(MATCH(Calendar!$A6,DB!1:1,0)+2),FALSE),"")</f>
        <v/>
      </c>
      <c r="TNN6" s="27" t="str">
        <f>IFERROR(VLOOKUP(DATE($K$1,$K$2,TNN$4),Table1[],(MATCH(Calendar!$A6,DB!1:1,0)+2),FALSE),"")</f>
        <v/>
      </c>
      <c r="TNO6" s="27" t="str">
        <f>IFERROR(VLOOKUP(DATE($K$1,$K$2,TNO$4),Table1[],(MATCH(Calendar!$A6,DB!1:1,0)+2),FALSE),"")</f>
        <v/>
      </c>
      <c r="TNP6" s="27" t="str">
        <f>IFERROR(VLOOKUP(DATE($K$1,$K$2,TNP$4),Table1[],(MATCH(Calendar!$A6,DB!1:1,0)+2),FALSE),"")</f>
        <v/>
      </c>
      <c r="TNQ6" s="27" t="str">
        <f>IFERROR(VLOOKUP(DATE($K$1,$K$2,TNQ$4),Table1[],(MATCH(Calendar!$A6,DB!1:1,0)+2),FALSE),"")</f>
        <v/>
      </c>
      <c r="TNR6" s="27" t="str">
        <f>IFERROR(VLOOKUP(DATE($K$1,$K$2,TNR$4),Table1[],(MATCH(Calendar!$A6,DB!1:1,0)+2),FALSE),"")</f>
        <v/>
      </c>
      <c r="TNS6" s="27" t="str">
        <f>IFERROR(VLOOKUP(DATE($K$1,$K$2,TNS$4),Table1[],(MATCH(Calendar!$A6,DB!1:1,0)+2),FALSE),"")</f>
        <v/>
      </c>
      <c r="TNT6" s="27" t="str">
        <f>IFERROR(VLOOKUP(DATE($K$1,$K$2,TNT$4),Table1[],(MATCH(Calendar!$A6,DB!1:1,0)+2),FALSE),"")</f>
        <v/>
      </c>
      <c r="TNU6" s="27" t="str">
        <f>IFERROR(VLOOKUP(DATE($K$1,$K$2,TNU$4),Table1[],(MATCH(Calendar!$A6,DB!1:1,0)+2),FALSE),"")</f>
        <v/>
      </c>
      <c r="TNV6" s="27" t="str">
        <f>IFERROR(VLOOKUP(DATE($K$1,$K$2,TNV$4),Table1[],(MATCH(Calendar!$A6,DB!1:1,0)+2),FALSE),"")</f>
        <v/>
      </c>
      <c r="TNW6" s="27" t="str">
        <f>IFERROR(VLOOKUP(DATE($K$1,$K$2,TNW$4),Table1[],(MATCH(Calendar!$A6,DB!1:1,0)+2),FALSE),"")</f>
        <v/>
      </c>
      <c r="TNX6" s="27" t="str">
        <f>IFERROR(VLOOKUP(DATE($K$1,$K$2,TNX$4),Table1[],(MATCH(Calendar!$A6,DB!1:1,0)+2),FALSE),"")</f>
        <v/>
      </c>
      <c r="TNY6" s="27" t="str">
        <f>IFERROR(VLOOKUP(DATE($K$1,$K$2,TNY$4),Table1[],(MATCH(Calendar!$A6,DB!1:1,0)+2),FALSE),"")</f>
        <v/>
      </c>
      <c r="TNZ6" s="27" t="str">
        <f>IFERROR(VLOOKUP(DATE($K$1,$K$2,TNZ$4),Table1[],(MATCH(Calendar!$A6,DB!1:1,0)+2),FALSE),"")</f>
        <v/>
      </c>
      <c r="TOA6" s="27" t="str">
        <f>IFERROR(VLOOKUP(DATE($K$1,$K$2,TOA$4),Table1[],(MATCH(Calendar!$A6,DB!1:1,0)+2),FALSE),"")</f>
        <v/>
      </c>
      <c r="TOB6" s="27" t="str">
        <f>IFERROR(VLOOKUP(DATE($K$1,$K$2,TOB$4),Table1[],(MATCH(Calendar!$A6,DB!1:1,0)+2),FALSE),"")</f>
        <v/>
      </c>
      <c r="TOC6" s="27" t="str">
        <f>IFERROR(VLOOKUP(DATE($K$1,$K$2,TOC$4),Table1[],(MATCH(Calendar!$A6,DB!1:1,0)+2),FALSE),"")</f>
        <v/>
      </c>
      <c r="TOD6" s="27" t="str">
        <f>IFERROR(VLOOKUP(DATE($K$1,$K$2,TOD$4),Table1[],(MATCH(Calendar!$A6,DB!1:1,0)+2),FALSE),"")</f>
        <v/>
      </c>
      <c r="TOE6" s="27" t="str">
        <f>IFERROR(VLOOKUP(DATE($K$1,$K$2,TOE$4),Table1[],(MATCH(Calendar!$A6,DB!1:1,0)+2),FALSE),"")</f>
        <v/>
      </c>
      <c r="TOF6" s="27" t="str">
        <f>IFERROR(VLOOKUP(DATE($K$1,$K$2,TOF$4),Table1[],(MATCH(Calendar!$A6,DB!1:1,0)+2),FALSE),"")</f>
        <v/>
      </c>
      <c r="TOG6" s="27" t="str">
        <f>IFERROR(VLOOKUP(DATE($K$1,$K$2,TOG$4),Table1[],(MATCH(Calendar!$A6,DB!1:1,0)+2),FALSE),"")</f>
        <v/>
      </c>
      <c r="TOH6" s="27" t="str">
        <f>IFERROR(VLOOKUP(DATE($K$1,$K$2,TOH$4),Table1[],(MATCH(Calendar!$A6,DB!1:1,0)+2),FALSE),"")</f>
        <v/>
      </c>
      <c r="TOI6" s="27" t="str">
        <f>IFERROR(VLOOKUP(DATE($K$1,$K$2,TOI$4),Table1[],(MATCH(Calendar!$A6,DB!1:1,0)+2),FALSE),"")</f>
        <v/>
      </c>
      <c r="TOJ6" s="27" t="str">
        <f>IFERROR(VLOOKUP(DATE($K$1,$K$2,TOJ$4),Table1[],(MATCH(Calendar!$A6,DB!1:1,0)+2),FALSE),"")</f>
        <v/>
      </c>
      <c r="TOK6" s="27" t="str">
        <f>IFERROR(VLOOKUP(DATE($K$1,$K$2,TOK$4),Table1[],(MATCH(Calendar!$A6,DB!1:1,0)+2),FALSE),"")</f>
        <v/>
      </c>
      <c r="TOL6" s="27" t="str">
        <f>IFERROR(VLOOKUP(DATE($K$1,$K$2,TOL$4),Table1[],(MATCH(Calendar!$A6,DB!1:1,0)+2),FALSE),"")</f>
        <v/>
      </c>
      <c r="TOM6" s="27" t="str">
        <f>IFERROR(VLOOKUP(DATE($K$1,$K$2,TOM$4),Table1[],(MATCH(Calendar!$A6,DB!1:1,0)+2),FALSE),"")</f>
        <v/>
      </c>
      <c r="TON6" s="27" t="str">
        <f>IFERROR(VLOOKUP(DATE($K$1,$K$2,TON$4),Table1[],(MATCH(Calendar!$A6,DB!1:1,0)+2),FALSE),"")</f>
        <v/>
      </c>
      <c r="TOO6" s="27" t="str">
        <f>IFERROR(VLOOKUP(DATE($K$1,$K$2,TOO$4),Table1[],(MATCH(Calendar!$A6,DB!1:1,0)+2),FALSE),"")</f>
        <v/>
      </c>
      <c r="TOP6" s="27" t="str">
        <f>IFERROR(VLOOKUP(DATE($K$1,$K$2,TOP$4),Table1[],(MATCH(Calendar!$A6,DB!1:1,0)+2),FALSE),"")</f>
        <v/>
      </c>
      <c r="TOQ6" s="27" t="str">
        <f>IFERROR(VLOOKUP(DATE($K$1,$K$2,TOQ$4),Table1[],(MATCH(Calendar!$A6,DB!1:1,0)+2),FALSE),"")</f>
        <v/>
      </c>
      <c r="TOR6" s="27" t="str">
        <f>IFERROR(VLOOKUP(DATE($K$1,$K$2,TOR$4),Table1[],(MATCH(Calendar!$A6,DB!1:1,0)+2),FALSE),"")</f>
        <v/>
      </c>
      <c r="TOS6" s="27" t="str">
        <f>IFERROR(VLOOKUP(DATE($K$1,$K$2,TOS$4),Table1[],(MATCH(Calendar!$A6,DB!1:1,0)+2),FALSE),"")</f>
        <v/>
      </c>
      <c r="TOT6" s="27" t="str">
        <f>IFERROR(VLOOKUP(DATE($K$1,$K$2,TOT$4),Table1[],(MATCH(Calendar!$A6,DB!1:1,0)+2),FALSE),"")</f>
        <v/>
      </c>
      <c r="TOU6" s="27" t="str">
        <f>IFERROR(VLOOKUP(DATE($K$1,$K$2,TOU$4),Table1[],(MATCH(Calendar!$A6,DB!1:1,0)+2),FALSE),"")</f>
        <v/>
      </c>
      <c r="TOV6" s="27" t="str">
        <f>IFERROR(VLOOKUP(DATE($K$1,$K$2,TOV$4),Table1[],(MATCH(Calendar!$A6,DB!1:1,0)+2),FALSE),"")</f>
        <v/>
      </c>
      <c r="TOW6" s="27" t="str">
        <f>IFERROR(VLOOKUP(DATE($K$1,$K$2,TOW$4),Table1[],(MATCH(Calendar!$A6,DB!1:1,0)+2),FALSE),"")</f>
        <v/>
      </c>
      <c r="TOX6" s="27" t="str">
        <f>IFERROR(VLOOKUP(DATE($K$1,$K$2,TOX$4),Table1[],(MATCH(Calendar!$A6,DB!1:1,0)+2),FALSE),"")</f>
        <v/>
      </c>
      <c r="TOY6" s="27" t="str">
        <f>IFERROR(VLOOKUP(DATE($K$1,$K$2,TOY$4),Table1[],(MATCH(Calendar!$A6,DB!1:1,0)+2),FALSE),"")</f>
        <v/>
      </c>
      <c r="TOZ6" s="27" t="str">
        <f>IFERROR(VLOOKUP(DATE($K$1,$K$2,TOZ$4),Table1[],(MATCH(Calendar!$A6,DB!1:1,0)+2),FALSE),"")</f>
        <v/>
      </c>
      <c r="TPA6" s="27" t="str">
        <f>IFERROR(VLOOKUP(DATE($K$1,$K$2,TPA$4),Table1[],(MATCH(Calendar!$A6,DB!1:1,0)+2),FALSE),"")</f>
        <v/>
      </c>
      <c r="TPB6" s="27" t="str">
        <f>IFERROR(VLOOKUP(DATE($K$1,$K$2,TPB$4),Table1[],(MATCH(Calendar!$A6,DB!1:1,0)+2),FALSE),"")</f>
        <v/>
      </c>
      <c r="TPC6" s="27" t="str">
        <f>IFERROR(VLOOKUP(DATE($K$1,$K$2,TPC$4),Table1[],(MATCH(Calendar!$A6,DB!1:1,0)+2),FALSE),"")</f>
        <v/>
      </c>
      <c r="TPD6" s="27" t="str">
        <f>IFERROR(VLOOKUP(DATE($K$1,$K$2,TPD$4),Table1[],(MATCH(Calendar!$A6,DB!1:1,0)+2),FALSE),"")</f>
        <v/>
      </c>
      <c r="TPE6" s="27" t="str">
        <f>IFERROR(VLOOKUP(DATE($K$1,$K$2,TPE$4),Table1[],(MATCH(Calendar!$A6,DB!1:1,0)+2),FALSE),"")</f>
        <v/>
      </c>
      <c r="TPF6" s="27" t="str">
        <f>IFERROR(VLOOKUP(DATE($K$1,$K$2,TPF$4),Table1[],(MATCH(Calendar!$A6,DB!1:1,0)+2),FALSE),"")</f>
        <v/>
      </c>
      <c r="TPG6" s="27" t="str">
        <f>IFERROR(VLOOKUP(DATE($K$1,$K$2,TPG$4),Table1[],(MATCH(Calendar!$A6,DB!1:1,0)+2),FALSE),"")</f>
        <v/>
      </c>
      <c r="TPH6" s="27" t="str">
        <f>IFERROR(VLOOKUP(DATE($K$1,$K$2,TPH$4),Table1[],(MATCH(Calendar!$A6,DB!1:1,0)+2),FALSE),"")</f>
        <v/>
      </c>
      <c r="TPI6" s="27" t="str">
        <f>IFERROR(VLOOKUP(DATE($K$1,$K$2,TPI$4),Table1[],(MATCH(Calendar!$A6,DB!1:1,0)+2),FALSE),"")</f>
        <v/>
      </c>
      <c r="TPJ6" s="27" t="str">
        <f>IFERROR(VLOOKUP(DATE($K$1,$K$2,TPJ$4),Table1[],(MATCH(Calendar!$A6,DB!1:1,0)+2),FALSE),"")</f>
        <v/>
      </c>
      <c r="TPK6" s="27" t="str">
        <f>IFERROR(VLOOKUP(DATE($K$1,$K$2,TPK$4),Table1[],(MATCH(Calendar!$A6,DB!1:1,0)+2),FALSE),"")</f>
        <v/>
      </c>
      <c r="TPL6" s="27" t="str">
        <f>IFERROR(VLOOKUP(DATE($K$1,$K$2,TPL$4),Table1[],(MATCH(Calendar!$A6,DB!1:1,0)+2),FALSE),"")</f>
        <v/>
      </c>
      <c r="TPM6" s="27" t="str">
        <f>IFERROR(VLOOKUP(DATE($K$1,$K$2,TPM$4),Table1[],(MATCH(Calendar!$A6,DB!1:1,0)+2),FALSE),"")</f>
        <v/>
      </c>
      <c r="TPN6" s="27" t="str">
        <f>IFERROR(VLOOKUP(DATE($K$1,$K$2,TPN$4),Table1[],(MATCH(Calendar!$A6,DB!1:1,0)+2),FALSE),"")</f>
        <v/>
      </c>
      <c r="TPO6" s="27" t="str">
        <f>IFERROR(VLOOKUP(DATE($K$1,$K$2,TPO$4),Table1[],(MATCH(Calendar!$A6,DB!1:1,0)+2),FALSE),"")</f>
        <v/>
      </c>
      <c r="TPP6" s="27" t="str">
        <f>IFERROR(VLOOKUP(DATE($K$1,$K$2,TPP$4),Table1[],(MATCH(Calendar!$A6,DB!1:1,0)+2),FALSE),"")</f>
        <v/>
      </c>
      <c r="TPQ6" s="27" t="str">
        <f>IFERROR(VLOOKUP(DATE($K$1,$K$2,TPQ$4),Table1[],(MATCH(Calendar!$A6,DB!1:1,0)+2),FALSE),"")</f>
        <v/>
      </c>
      <c r="TPR6" s="27" t="str">
        <f>IFERROR(VLOOKUP(DATE($K$1,$K$2,TPR$4),Table1[],(MATCH(Calendar!$A6,DB!1:1,0)+2),FALSE),"")</f>
        <v/>
      </c>
      <c r="TPS6" s="27" t="str">
        <f>IFERROR(VLOOKUP(DATE($K$1,$K$2,TPS$4),Table1[],(MATCH(Calendar!$A6,DB!1:1,0)+2),FALSE),"")</f>
        <v/>
      </c>
      <c r="TPT6" s="27" t="str">
        <f>IFERROR(VLOOKUP(DATE($K$1,$K$2,TPT$4),Table1[],(MATCH(Calendar!$A6,DB!1:1,0)+2),FALSE),"")</f>
        <v/>
      </c>
      <c r="TPU6" s="27" t="str">
        <f>IFERROR(VLOOKUP(DATE($K$1,$K$2,TPU$4),Table1[],(MATCH(Calendar!$A6,DB!1:1,0)+2),FALSE),"")</f>
        <v/>
      </c>
      <c r="TPV6" s="27" t="str">
        <f>IFERROR(VLOOKUP(DATE($K$1,$K$2,TPV$4),Table1[],(MATCH(Calendar!$A6,DB!1:1,0)+2),FALSE),"")</f>
        <v/>
      </c>
      <c r="TPW6" s="27" t="str">
        <f>IFERROR(VLOOKUP(DATE($K$1,$K$2,TPW$4),Table1[],(MATCH(Calendar!$A6,DB!1:1,0)+2),FALSE),"")</f>
        <v/>
      </c>
      <c r="TPX6" s="27" t="str">
        <f>IFERROR(VLOOKUP(DATE($K$1,$K$2,TPX$4),Table1[],(MATCH(Calendar!$A6,DB!1:1,0)+2),FALSE),"")</f>
        <v/>
      </c>
      <c r="TPY6" s="27" t="str">
        <f>IFERROR(VLOOKUP(DATE($K$1,$K$2,TPY$4),Table1[],(MATCH(Calendar!$A6,DB!1:1,0)+2),FALSE),"")</f>
        <v/>
      </c>
      <c r="TPZ6" s="27" t="str">
        <f>IFERROR(VLOOKUP(DATE($K$1,$K$2,TPZ$4),Table1[],(MATCH(Calendar!$A6,DB!1:1,0)+2),FALSE),"")</f>
        <v/>
      </c>
      <c r="TQA6" s="27" t="str">
        <f>IFERROR(VLOOKUP(DATE($K$1,$K$2,TQA$4),Table1[],(MATCH(Calendar!$A6,DB!1:1,0)+2),FALSE),"")</f>
        <v/>
      </c>
      <c r="TQB6" s="27" t="str">
        <f>IFERROR(VLOOKUP(DATE($K$1,$K$2,TQB$4),Table1[],(MATCH(Calendar!$A6,DB!1:1,0)+2),FALSE),"")</f>
        <v/>
      </c>
      <c r="TQC6" s="27" t="str">
        <f>IFERROR(VLOOKUP(DATE($K$1,$K$2,TQC$4),Table1[],(MATCH(Calendar!$A6,DB!1:1,0)+2),FALSE),"")</f>
        <v/>
      </c>
      <c r="TQD6" s="27" t="str">
        <f>IFERROR(VLOOKUP(DATE($K$1,$K$2,TQD$4),Table1[],(MATCH(Calendar!$A6,DB!1:1,0)+2),FALSE),"")</f>
        <v/>
      </c>
      <c r="TQE6" s="27" t="str">
        <f>IFERROR(VLOOKUP(DATE($K$1,$K$2,TQE$4),Table1[],(MATCH(Calendar!$A6,DB!1:1,0)+2),FALSE),"")</f>
        <v/>
      </c>
      <c r="TQF6" s="27" t="str">
        <f>IFERROR(VLOOKUP(DATE($K$1,$K$2,TQF$4),Table1[],(MATCH(Calendar!$A6,DB!1:1,0)+2),FALSE),"")</f>
        <v/>
      </c>
      <c r="TQG6" s="27" t="str">
        <f>IFERROR(VLOOKUP(DATE($K$1,$K$2,TQG$4),Table1[],(MATCH(Calendar!$A6,DB!1:1,0)+2),FALSE),"")</f>
        <v/>
      </c>
      <c r="TQH6" s="27" t="str">
        <f>IFERROR(VLOOKUP(DATE($K$1,$K$2,TQH$4),Table1[],(MATCH(Calendar!$A6,DB!1:1,0)+2),FALSE),"")</f>
        <v/>
      </c>
      <c r="TQI6" s="27" t="str">
        <f>IFERROR(VLOOKUP(DATE($K$1,$K$2,TQI$4),Table1[],(MATCH(Calendar!$A6,DB!1:1,0)+2),FALSE),"")</f>
        <v/>
      </c>
      <c r="TQJ6" s="27" t="str">
        <f>IFERROR(VLOOKUP(DATE($K$1,$K$2,TQJ$4),Table1[],(MATCH(Calendar!$A6,DB!1:1,0)+2),FALSE),"")</f>
        <v/>
      </c>
      <c r="TQK6" s="27" t="str">
        <f>IFERROR(VLOOKUP(DATE($K$1,$K$2,TQK$4),Table1[],(MATCH(Calendar!$A6,DB!1:1,0)+2),FALSE),"")</f>
        <v/>
      </c>
      <c r="TQL6" s="27" t="str">
        <f>IFERROR(VLOOKUP(DATE($K$1,$K$2,TQL$4),Table1[],(MATCH(Calendar!$A6,DB!1:1,0)+2),FALSE),"")</f>
        <v/>
      </c>
      <c r="TQM6" s="27" t="str">
        <f>IFERROR(VLOOKUP(DATE($K$1,$K$2,TQM$4),Table1[],(MATCH(Calendar!$A6,DB!1:1,0)+2),FALSE),"")</f>
        <v/>
      </c>
      <c r="TQN6" s="27" t="str">
        <f>IFERROR(VLOOKUP(DATE($K$1,$K$2,TQN$4),Table1[],(MATCH(Calendar!$A6,DB!1:1,0)+2),FALSE),"")</f>
        <v/>
      </c>
      <c r="TQO6" s="27" t="str">
        <f>IFERROR(VLOOKUP(DATE($K$1,$K$2,TQO$4),Table1[],(MATCH(Calendar!$A6,DB!1:1,0)+2),FALSE),"")</f>
        <v/>
      </c>
      <c r="TQP6" s="27" t="str">
        <f>IFERROR(VLOOKUP(DATE($K$1,$K$2,TQP$4),Table1[],(MATCH(Calendar!$A6,DB!1:1,0)+2),FALSE),"")</f>
        <v/>
      </c>
      <c r="TQQ6" s="27" t="str">
        <f>IFERROR(VLOOKUP(DATE($K$1,$K$2,TQQ$4),Table1[],(MATCH(Calendar!$A6,DB!1:1,0)+2),FALSE),"")</f>
        <v/>
      </c>
      <c r="TQR6" s="27" t="str">
        <f>IFERROR(VLOOKUP(DATE($K$1,$K$2,TQR$4),Table1[],(MATCH(Calendar!$A6,DB!1:1,0)+2),FALSE),"")</f>
        <v/>
      </c>
      <c r="TQS6" s="27" t="str">
        <f>IFERROR(VLOOKUP(DATE($K$1,$K$2,TQS$4),Table1[],(MATCH(Calendar!$A6,DB!1:1,0)+2),FALSE),"")</f>
        <v/>
      </c>
      <c r="TQT6" s="27" t="str">
        <f>IFERROR(VLOOKUP(DATE($K$1,$K$2,TQT$4),Table1[],(MATCH(Calendar!$A6,DB!1:1,0)+2),FALSE),"")</f>
        <v/>
      </c>
      <c r="TQU6" s="27" t="str">
        <f>IFERROR(VLOOKUP(DATE($K$1,$K$2,TQU$4),Table1[],(MATCH(Calendar!$A6,DB!1:1,0)+2),FALSE),"")</f>
        <v/>
      </c>
      <c r="TQV6" s="27" t="str">
        <f>IFERROR(VLOOKUP(DATE($K$1,$K$2,TQV$4),Table1[],(MATCH(Calendar!$A6,DB!1:1,0)+2),FALSE),"")</f>
        <v/>
      </c>
      <c r="TQW6" s="27" t="str">
        <f>IFERROR(VLOOKUP(DATE($K$1,$K$2,TQW$4),Table1[],(MATCH(Calendar!$A6,DB!1:1,0)+2),FALSE),"")</f>
        <v/>
      </c>
      <c r="TQX6" s="27" t="str">
        <f>IFERROR(VLOOKUP(DATE($K$1,$K$2,TQX$4),Table1[],(MATCH(Calendar!$A6,DB!1:1,0)+2),FALSE),"")</f>
        <v/>
      </c>
      <c r="TQY6" s="27" t="str">
        <f>IFERROR(VLOOKUP(DATE($K$1,$K$2,TQY$4),Table1[],(MATCH(Calendar!$A6,DB!1:1,0)+2),FALSE),"")</f>
        <v/>
      </c>
      <c r="TQZ6" s="27" t="str">
        <f>IFERROR(VLOOKUP(DATE($K$1,$K$2,TQZ$4),Table1[],(MATCH(Calendar!$A6,DB!1:1,0)+2),FALSE),"")</f>
        <v/>
      </c>
      <c r="TRA6" s="27" t="str">
        <f>IFERROR(VLOOKUP(DATE($K$1,$K$2,TRA$4),Table1[],(MATCH(Calendar!$A6,DB!1:1,0)+2),FALSE),"")</f>
        <v/>
      </c>
      <c r="TRB6" s="27" t="str">
        <f>IFERROR(VLOOKUP(DATE($K$1,$K$2,TRB$4),Table1[],(MATCH(Calendar!$A6,DB!1:1,0)+2),FALSE),"")</f>
        <v/>
      </c>
      <c r="TRC6" s="27" t="str">
        <f>IFERROR(VLOOKUP(DATE($K$1,$K$2,TRC$4),Table1[],(MATCH(Calendar!$A6,DB!1:1,0)+2),FALSE),"")</f>
        <v/>
      </c>
      <c r="TRD6" s="27" t="str">
        <f>IFERROR(VLOOKUP(DATE($K$1,$K$2,TRD$4),Table1[],(MATCH(Calendar!$A6,DB!1:1,0)+2),FALSE),"")</f>
        <v/>
      </c>
      <c r="TRE6" s="27" t="str">
        <f>IFERROR(VLOOKUP(DATE($K$1,$K$2,TRE$4),Table1[],(MATCH(Calendar!$A6,DB!1:1,0)+2),FALSE),"")</f>
        <v/>
      </c>
      <c r="TRF6" s="27" t="str">
        <f>IFERROR(VLOOKUP(DATE($K$1,$K$2,TRF$4),Table1[],(MATCH(Calendar!$A6,DB!1:1,0)+2),FALSE),"")</f>
        <v/>
      </c>
      <c r="TRG6" s="27" t="str">
        <f>IFERROR(VLOOKUP(DATE($K$1,$K$2,TRG$4),Table1[],(MATCH(Calendar!$A6,DB!1:1,0)+2),FALSE),"")</f>
        <v/>
      </c>
      <c r="TRH6" s="27" t="str">
        <f>IFERROR(VLOOKUP(DATE($K$1,$K$2,TRH$4),Table1[],(MATCH(Calendar!$A6,DB!1:1,0)+2),FALSE),"")</f>
        <v/>
      </c>
      <c r="TRI6" s="27" t="str">
        <f>IFERROR(VLOOKUP(DATE($K$1,$K$2,TRI$4),Table1[],(MATCH(Calendar!$A6,DB!1:1,0)+2),FALSE),"")</f>
        <v/>
      </c>
      <c r="TRJ6" s="27" t="str">
        <f>IFERROR(VLOOKUP(DATE($K$1,$K$2,TRJ$4),Table1[],(MATCH(Calendar!$A6,DB!1:1,0)+2),FALSE),"")</f>
        <v/>
      </c>
      <c r="TRK6" s="27" t="str">
        <f>IFERROR(VLOOKUP(DATE($K$1,$K$2,TRK$4),Table1[],(MATCH(Calendar!$A6,DB!1:1,0)+2),FALSE),"")</f>
        <v/>
      </c>
      <c r="TRL6" s="27" t="str">
        <f>IFERROR(VLOOKUP(DATE($K$1,$K$2,TRL$4),Table1[],(MATCH(Calendar!$A6,DB!1:1,0)+2),FALSE),"")</f>
        <v/>
      </c>
      <c r="TRM6" s="27" t="str">
        <f>IFERROR(VLOOKUP(DATE($K$1,$K$2,TRM$4),Table1[],(MATCH(Calendar!$A6,DB!1:1,0)+2),FALSE),"")</f>
        <v/>
      </c>
      <c r="TRN6" s="27" t="str">
        <f>IFERROR(VLOOKUP(DATE($K$1,$K$2,TRN$4),Table1[],(MATCH(Calendar!$A6,DB!1:1,0)+2),FALSE),"")</f>
        <v/>
      </c>
      <c r="TRO6" s="27" t="str">
        <f>IFERROR(VLOOKUP(DATE($K$1,$K$2,TRO$4),Table1[],(MATCH(Calendar!$A6,DB!1:1,0)+2),FALSE),"")</f>
        <v/>
      </c>
      <c r="TRP6" s="27" t="str">
        <f>IFERROR(VLOOKUP(DATE($K$1,$K$2,TRP$4),Table1[],(MATCH(Calendar!$A6,DB!1:1,0)+2),FALSE),"")</f>
        <v/>
      </c>
      <c r="TRQ6" s="27" t="str">
        <f>IFERROR(VLOOKUP(DATE($K$1,$K$2,TRQ$4),Table1[],(MATCH(Calendar!$A6,DB!1:1,0)+2),FALSE),"")</f>
        <v/>
      </c>
      <c r="TRR6" s="27" t="str">
        <f>IFERROR(VLOOKUP(DATE($K$1,$K$2,TRR$4),Table1[],(MATCH(Calendar!$A6,DB!1:1,0)+2),FALSE),"")</f>
        <v/>
      </c>
      <c r="TRS6" s="27" t="str">
        <f>IFERROR(VLOOKUP(DATE($K$1,$K$2,TRS$4),Table1[],(MATCH(Calendar!$A6,DB!1:1,0)+2),FALSE),"")</f>
        <v/>
      </c>
      <c r="TRT6" s="27" t="str">
        <f>IFERROR(VLOOKUP(DATE($K$1,$K$2,TRT$4),Table1[],(MATCH(Calendar!$A6,DB!1:1,0)+2),FALSE),"")</f>
        <v/>
      </c>
      <c r="TRU6" s="27" t="str">
        <f>IFERROR(VLOOKUP(DATE($K$1,$K$2,TRU$4),Table1[],(MATCH(Calendar!$A6,DB!1:1,0)+2),FALSE),"")</f>
        <v/>
      </c>
      <c r="TRV6" s="27" t="str">
        <f>IFERROR(VLOOKUP(DATE($K$1,$K$2,TRV$4),Table1[],(MATCH(Calendar!$A6,DB!1:1,0)+2),FALSE),"")</f>
        <v/>
      </c>
      <c r="TRW6" s="27" t="str">
        <f>IFERROR(VLOOKUP(DATE($K$1,$K$2,TRW$4),Table1[],(MATCH(Calendar!$A6,DB!1:1,0)+2),FALSE),"")</f>
        <v/>
      </c>
      <c r="TRX6" s="27" t="str">
        <f>IFERROR(VLOOKUP(DATE($K$1,$K$2,TRX$4),Table1[],(MATCH(Calendar!$A6,DB!1:1,0)+2),FALSE),"")</f>
        <v/>
      </c>
      <c r="TRY6" s="27" t="str">
        <f>IFERROR(VLOOKUP(DATE($K$1,$K$2,TRY$4),Table1[],(MATCH(Calendar!$A6,DB!1:1,0)+2),FALSE),"")</f>
        <v/>
      </c>
      <c r="TRZ6" s="27" t="str">
        <f>IFERROR(VLOOKUP(DATE($K$1,$K$2,TRZ$4),Table1[],(MATCH(Calendar!$A6,DB!1:1,0)+2),FALSE),"")</f>
        <v/>
      </c>
      <c r="TSA6" s="27" t="str">
        <f>IFERROR(VLOOKUP(DATE($K$1,$K$2,TSA$4),Table1[],(MATCH(Calendar!$A6,DB!1:1,0)+2),FALSE),"")</f>
        <v/>
      </c>
      <c r="TSB6" s="27" t="str">
        <f>IFERROR(VLOOKUP(DATE($K$1,$K$2,TSB$4),Table1[],(MATCH(Calendar!$A6,DB!1:1,0)+2),FALSE),"")</f>
        <v/>
      </c>
      <c r="TSC6" s="27" t="str">
        <f>IFERROR(VLOOKUP(DATE($K$1,$K$2,TSC$4),Table1[],(MATCH(Calendar!$A6,DB!1:1,0)+2),FALSE),"")</f>
        <v/>
      </c>
      <c r="TSD6" s="27" t="str">
        <f>IFERROR(VLOOKUP(DATE($K$1,$K$2,TSD$4),Table1[],(MATCH(Calendar!$A6,DB!1:1,0)+2),FALSE),"")</f>
        <v/>
      </c>
      <c r="TSE6" s="27" t="str">
        <f>IFERROR(VLOOKUP(DATE($K$1,$K$2,TSE$4),Table1[],(MATCH(Calendar!$A6,DB!1:1,0)+2),FALSE),"")</f>
        <v/>
      </c>
      <c r="TSF6" s="27" t="str">
        <f>IFERROR(VLOOKUP(DATE($K$1,$K$2,TSF$4),Table1[],(MATCH(Calendar!$A6,DB!1:1,0)+2),FALSE),"")</f>
        <v/>
      </c>
      <c r="TSG6" s="27" t="str">
        <f>IFERROR(VLOOKUP(DATE($K$1,$K$2,TSG$4),Table1[],(MATCH(Calendar!$A6,DB!1:1,0)+2),FALSE),"")</f>
        <v/>
      </c>
      <c r="TSH6" s="27" t="str">
        <f>IFERROR(VLOOKUP(DATE($K$1,$K$2,TSH$4),Table1[],(MATCH(Calendar!$A6,DB!1:1,0)+2),FALSE),"")</f>
        <v/>
      </c>
      <c r="TSI6" s="27" t="str">
        <f>IFERROR(VLOOKUP(DATE($K$1,$K$2,TSI$4),Table1[],(MATCH(Calendar!$A6,DB!1:1,0)+2),FALSE),"")</f>
        <v/>
      </c>
      <c r="TSJ6" s="27" t="str">
        <f>IFERROR(VLOOKUP(DATE($K$1,$K$2,TSJ$4),Table1[],(MATCH(Calendar!$A6,DB!1:1,0)+2),FALSE),"")</f>
        <v/>
      </c>
      <c r="TSK6" s="27" t="str">
        <f>IFERROR(VLOOKUP(DATE($K$1,$K$2,TSK$4),Table1[],(MATCH(Calendar!$A6,DB!1:1,0)+2),FALSE),"")</f>
        <v/>
      </c>
      <c r="TSL6" s="27" t="str">
        <f>IFERROR(VLOOKUP(DATE($K$1,$K$2,TSL$4),Table1[],(MATCH(Calendar!$A6,DB!1:1,0)+2),FALSE),"")</f>
        <v/>
      </c>
      <c r="TSM6" s="27" t="str">
        <f>IFERROR(VLOOKUP(DATE($K$1,$K$2,TSM$4),Table1[],(MATCH(Calendar!$A6,DB!1:1,0)+2),FALSE),"")</f>
        <v/>
      </c>
      <c r="TSN6" s="27" t="str">
        <f>IFERROR(VLOOKUP(DATE($K$1,$K$2,TSN$4),Table1[],(MATCH(Calendar!$A6,DB!1:1,0)+2),FALSE),"")</f>
        <v/>
      </c>
      <c r="TSO6" s="27" t="str">
        <f>IFERROR(VLOOKUP(DATE($K$1,$K$2,TSO$4),Table1[],(MATCH(Calendar!$A6,DB!1:1,0)+2),FALSE),"")</f>
        <v/>
      </c>
      <c r="TSP6" s="27" t="str">
        <f>IFERROR(VLOOKUP(DATE($K$1,$K$2,TSP$4),Table1[],(MATCH(Calendar!$A6,DB!1:1,0)+2),FALSE),"")</f>
        <v/>
      </c>
      <c r="TSQ6" s="27" t="str">
        <f>IFERROR(VLOOKUP(DATE($K$1,$K$2,TSQ$4),Table1[],(MATCH(Calendar!$A6,DB!1:1,0)+2),FALSE),"")</f>
        <v/>
      </c>
      <c r="TSR6" s="27" t="str">
        <f>IFERROR(VLOOKUP(DATE($K$1,$K$2,TSR$4),Table1[],(MATCH(Calendar!$A6,DB!1:1,0)+2),FALSE),"")</f>
        <v/>
      </c>
      <c r="TSS6" s="27" t="str">
        <f>IFERROR(VLOOKUP(DATE($K$1,$K$2,TSS$4),Table1[],(MATCH(Calendar!$A6,DB!1:1,0)+2),FALSE),"")</f>
        <v/>
      </c>
      <c r="TST6" s="27" t="str">
        <f>IFERROR(VLOOKUP(DATE($K$1,$K$2,TST$4),Table1[],(MATCH(Calendar!$A6,DB!1:1,0)+2),FALSE),"")</f>
        <v/>
      </c>
      <c r="TSU6" s="27" t="str">
        <f>IFERROR(VLOOKUP(DATE($K$1,$K$2,TSU$4),Table1[],(MATCH(Calendar!$A6,DB!1:1,0)+2),FALSE),"")</f>
        <v/>
      </c>
      <c r="TSV6" s="27" t="str">
        <f>IFERROR(VLOOKUP(DATE($K$1,$K$2,TSV$4),Table1[],(MATCH(Calendar!$A6,DB!1:1,0)+2),FALSE),"")</f>
        <v/>
      </c>
      <c r="TSW6" s="27" t="str">
        <f>IFERROR(VLOOKUP(DATE($K$1,$K$2,TSW$4),Table1[],(MATCH(Calendar!$A6,DB!1:1,0)+2),FALSE),"")</f>
        <v/>
      </c>
      <c r="TSX6" s="27" t="str">
        <f>IFERROR(VLOOKUP(DATE($K$1,$K$2,TSX$4),Table1[],(MATCH(Calendar!$A6,DB!1:1,0)+2),FALSE),"")</f>
        <v/>
      </c>
      <c r="TSY6" s="27" t="str">
        <f>IFERROR(VLOOKUP(DATE($K$1,$K$2,TSY$4),Table1[],(MATCH(Calendar!$A6,DB!1:1,0)+2),FALSE),"")</f>
        <v/>
      </c>
      <c r="TSZ6" s="27" t="str">
        <f>IFERROR(VLOOKUP(DATE($K$1,$K$2,TSZ$4),Table1[],(MATCH(Calendar!$A6,DB!1:1,0)+2),FALSE),"")</f>
        <v/>
      </c>
      <c r="TTA6" s="27" t="str">
        <f>IFERROR(VLOOKUP(DATE($K$1,$K$2,TTA$4),Table1[],(MATCH(Calendar!$A6,DB!1:1,0)+2),FALSE),"")</f>
        <v/>
      </c>
      <c r="TTB6" s="27" t="str">
        <f>IFERROR(VLOOKUP(DATE($K$1,$K$2,TTB$4),Table1[],(MATCH(Calendar!$A6,DB!1:1,0)+2),FALSE),"")</f>
        <v/>
      </c>
      <c r="TTC6" s="27" t="str">
        <f>IFERROR(VLOOKUP(DATE($K$1,$K$2,TTC$4),Table1[],(MATCH(Calendar!$A6,DB!1:1,0)+2),FALSE),"")</f>
        <v/>
      </c>
      <c r="TTD6" s="27" t="str">
        <f>IFERROR(VLOOKUP(DATE($K$1,$K$2,TTD$4),Table1[],(MATCH(Calendar!$A6,DB!1:1,0)+2),FALSE),"")</f>
        <v/>
      </c>
      <c r="TTE6" s="27" t="str">
        <f>IFERROR(VLOOKUP(DATE($K$1,$K$2,TTE$4),Table1[],(MATCH(Calendar!$A6,DB!1:1,0)+2),FALSE),"")</f>
        <v/>
      </c>
      <c r="TTF6" s="27" t="str">
        <f>IFERROR(VLOOKUP(DATE($K$1,$K$2,TTF$4),Table1[],(MATCH(Calendar!$A6,DB!1:1,0)+2),FALSE),"")</f>
        <v/>
      </c>
      <c r="TTG6" s="27" t="str">
        <f>IFERROR(VLOOKUP(DATE($K$1,$K$2,TTG$4),Table1[],(MATCH(Calendar!$A6,DB!1:1,0)+2),FALSE),"")</f>
        <v/>
      </c>
      <c r="TTH6" s="27" t="str">
        <f>IFERROR(VLOOKUP(DATE($K$1,$K$2,TTH$4),Table1[],(MATCH(Calendar!$A6,DB!1:1,0)+2),FALSE),"")</f>
        <v/>
      </c>
      <c r="TTI6" s="27" t="str">
        <f>IFERROR(VLOOKUP(DATE($K$1,$K$2,TTI$4),Table1[],(MATCH(Calendar!$A6,DB!1:1,0)+2),FALSE),"")</f>
        <v/>
      </c>
      <c r="TTJ6" s="27" t="str">
        <f>IFERROR(VLOOKUP(DATE($K$1,$K$2,TTJ$4),Table1[],(MATCH(Calendar!$A6,DB!1:1,0)+2),FALSE),"")</f>
        <v/>
      </c>
      <c r="TTK6" s="27" t="str">
        <f>IFERROR(VLOOKUP(DATE($K$1,$K$2,TTK$4),Table1[],(MATCH(Calendar!$A6,DB!1:1,0)+2),FALSE),"")</f>
        <v/>
      </c>
      <c r="TTL6" s="27" t="str">
        <f>IFERROR(VLOOKUP(DATE($K$1,$K$2,TTL$4),Table1[],(MATCH(Calendar!$A6,DB!1:1,0)+2),FALSE),"")</f>
        <v/>
      </c>
      <c r="TTM6" s="27" t="str">
        <f>IFERROR(VLOOKUP(DATE($K$1,$K$2,TTM$4),Table1[],(MATCH(Calendar!$A6,DB!1:1,0)+2),FALSE),"")</f>
        <v/>
      </c>
      <c r="TTN6" s="27" t="str">
        <f>IFERROR(VLOOKUP(DATE($K$1,$K$2,TTN$4),Table1[],(MATCH(Calendar!$A6,DB!1:1,0)+2),FALSE),"")</f>
        <v/>
      </c>
      <c r="TTO6" s="27" t="str">
        <f>IFERROR(VLOOKUP(DATE($K$1,$K$2,TTO$4),Table1[],(MATCH(Calendar!$A6,DB!1:1,0)+2),FALSE),"")</f>
        <v/>
      </c>
      <c r="TTP6" s="27" t="str">
        <f>IFERROR(VLOOKUP(DATE($K$1,$K$2,TTP$4),Table1[],(MATCH(Calendar!$A6,DB!1:1,0)+2),FALSE),"")</f>
        <v/>
      </c>
      <c r="TTQ6" s="27" t="str">
        <f>IFERROR(VLOOKUP(DATE($K$1,$K$2,TTQ$4),Table1[],(MATCH(Calendar!$A6,DB!1:1,0)+2),FALSE),"")</f>
        <v/>
      </c>
      <c r="TTR6" s="27" t="str">
        <f>IFERROR(VLOOKUP(DATE($K$1,$K$2,TTR$4),Table1[],(MATCH(Calendar!$A6,DB!1:1,0)+2),FALSE),"")</f>
        <v/>
      </c>
      <c r="TTS6" s="27" t="str">
        <f>IFERROR(VLOOKUP(DATE($K$1,$K$2,TTS$4),Table1[],(MATCH(Calendar!$A6,DB!1:1,0)+2),FALSE),"")</f>
        <v/>
      </c>
      <c r="TTT6" s="27" t="str">
        <f>IFERROR(VLOOKUP(DATE($K$1,$K$2,TTT$4),Table1[],(MATCH(Calendar!$A6,DB!1:1,0)+2),FALSE),"")</f>
        <v/>
      </c>
      <c r="TTU6" s="27" t="str">
        <f>IFERROR(VLOOKUP(DATE($K$1,$K$2,TTU$4),Table1[],(MATCH(Calendar!$A6,DB!1:1,0)+2),FALSE),"")</f>
        <v/>
      </c>
      <c r="TTV6" s="27" t="str">
        <f>IFERROR(VLOOKUP(DATE($K$1,$K$2,TTV$4),Table1[],(MATCH(Calendar!$A6,DB!1:1,0)+2),FALSE),"")</f>
        <v/>
      </c>
      <c r="TTW6" s="27" t="str">
        <f>IFERROR(VLOOKUP(DATE($K$1,$K$2,TTW$4),Table1[],(MATCH(Calendar!$A6,DB!1:1,0)+2),FALSE),"")</f>
        <v/>
      </c>
      <c r="TTX6" s="27" t="str">
        <f>IFERROR(VLOOKUP(DATE($K$1,$K$2,TTX$4),Table1[],(MATCH(Calendar!$A6,DB!1:1,0)+2),FALSE),"")</f>
        <v/>
      </c>
      <c r="TTY6" s="27" t="str">
        <f>IFERROR(VLOOKUP(DATE($K$1,$K$2,TTY$4),Table1[],(MATCH(Calendar!$A6,DB!1:1,0)+2),FALSE),"")</f>
        <v/>
      </c>
      <c r="TTZ6" s="27" t="str">
        <f>IFERROR(VLOOKUP(DATE($K$1,$K$2,TTZ$4),Table1[],(MATCH(Calendar!$A6,DB!1:1,0)+2),FALSE),"")</f>
        <v/>
      </c>
      <c r="TUA6" s="27" t="str">
        <f>IFERROR(VLOOKUP(DATE($K$1,$K$2,TUA$4),Table1[],(MATCH(Calendar!$A6,DB!1:1,0)+2),FALSE),"")</f>
        <v/>
      </c>
      <c r="TUB6" s="27" t="str">
        <f>IFERROR(VLOOKUP(DATE($K$1,$K$2,TUB$4),Table1[],(MATCH(Calendar!$A6,DB!1:1,0)+2),FALSE),"")</f>
        <v/>
      </c>
      <c r="TUC6" s="27" t="str">
        <f>IFERROR(VLOOKUP(DATE($K$1,$K$2,TUC$4),Table1[],(MATCH(Calendar!$A6,DB!1:1,0)+2),FALSE),"")</f>
        <v/>
      </c>
      <c r="TUD6" s="27" t="str">
        <f>IFERROR(VLOOKUP(DATE($K$1,$K$2,TUD$4),Table1[],(MATCH(Calendar!$A6,DB!1:1,0)+2),FALSE),"")</f>
        <v/>
      </c>
      <c r="TUE6" s="27" t="str">
        <f>IFERROR(VLOOKUP(DATE($K$1,$K$2,TUE$4),Table1[],(MATCH(Calendar!$A6,DB!1:1,0)+2),FALSE),"")</f>
        <v/>
      </c>
      <c r="TUF6" s="27" t="str">
        <f>IFERROR(VLOOKUP(DATE($K$1,$K$2,TUF$4),Table1[],(MATCH(Calendar!$A6,DB!1:1,0)+2),FALSE),"")</f>
        <v/>
      </c>
      <c r="TUG6" s="27" t="str">
        <f>IFERROR(VLOOKUP(DATE($K$1,$K$2,TUG$4),Table1[],(MATCH(Calendar!$A6,DB!1:1,0)+2),FALSE),"")</f>
        <v/>
      </c>
      <c r="TUH6" s="27" t="str">
        <f>IFERROR(VLOOKUP(DATE($K$1,$K$2,TUH$4),Table1[],(MATCH(Calendar!$A6,DB!1:1,0)+2),FALSE),"")</f>
        <v/>
      </c>
      <c r="TUI6" s="27" t="str">
        <f>IFERROR(VLOOKUP(DATE($K$1,$K$2,TUI$4),Table1[],(MATCH(Calendar!$A6,DB!1:1,0)+2),FALSE),"")</f>
        <v/>
      </c>
      <c r="TUJ6" s="27" t="str">
        <f>IFERROR(VLOOKUP(DATE($K$1,$K$2,TUJ$4),Table1[],(MATCH(Calendar!$A6,DB!1:1,0)+2),FALSE),"")</f>
        <v/>
      </c>
      <c r="TUK6" s="27" t="str">
        <f>IFERROR(VLOOKUP(DATE($K$1,$K$2,TUK$4),Table1[],(MATCH(Calendar!$A6,DB!1:1,0)+2),FALSE),"")</f>
        <v/>
      </c>
      <c r="TUL6" s="27" t="str">
        <f>IFERROR(VLOOKUP(DATE($K$1,$K$2,TUL$4),Table1[],(MATCH(Calendar!$A6,DB!1:1,0)+2),FALSE),"")</f>
        <v/>
      </c>
      <c r="TUM6" s="27" t="str">
        <f>IFERROR(VLOOKUP(DATE($K$1,$K$2,TUM$4),Table1[],(MATCH(Calendar!$A6,DB!1:1,0)+2),FALSE),"")</f>
        <v/>
      </c>
      <c r="TUN6" s="27" t="str">
        <f>IFERROR(VLOOKUP(DATE($K$1,$K$2,TUN$4),Table1[],(MATCH(Calendar!$A6,DB!1:1,0)+2),FALSE),"")</f>
        <v/>
      </c>
      <c r="TUO6" s="27" t="str">
        <f>IFERROR(VLOOKUP(DATE($K$1,$K$2,TUO$4),Table1[],(MATCH(Calendar!$A6,DB!1:1,0)+2),FALSE),"")</f>
        <v/>
      </c>
      <c r="TUP6" s="27" t="str">
        <f>IFERROR(VLOOKUP(DATE($K$1,$K$2,TUP$4),Table1[],(MATCH(Calendar!$A6,DB!1:1,0)+2),FALSE),"")</f>
        <v/>
      </c>
      <c r="TUQ6" s="27" t="str">
        <f>IFERROR(VLOOKUP(DATE($K$1,$K$2,TUQ$4),Table1[],(MATCH(Calendar!$A6,DB!1:1,0)+2),FALSE),"")</f>
        <v/>
      </c>
      <c r="TUR6" s="27" t="str">
        <f>IFERROR(VLOOKUP(DATE($K$1,$K$2,TUR$4),Table1[],(MATCH(Calendar!$A6,DB!1:1,0)+2),FALSE),"")</f>
        <v/>
      </c>
      <c r="TUS6" s="27" t="str">
        <f>IFERROR(VLOOKUP(DATE($K$1,$K$2,TUS$4),Table1[],(MATCH(Calendar!$A6,DB!1:1,0)+2),FALSE),"")</f>
        <v/>
      </c>
      <c r="TUT6" s="27" t="str">
        <f>IFERROR(VLOOKUP(DATE($K$1,$K$2,TUT$4),Table1[],(MATCH(Calendar!$A6,DB!1:1,0)+2),FALSE),"")</f>
        <v/>
      </c>
      <c r="TUU6" s="27" t="str">
        <f>IFERROR(VLOOKUP(DATE($K$1,$K$2,TUU$4),Table1[],(MATCH(Calendar!$A6,DB!1:1,0)+2),FALSE),"")</f>
        <v/>
      </c>
      <c r="TUV6" s="27" t="str">
        <f>IFERROR(VLOOKUP(DATE($K$1,$K$2,TUV$4),Table1[],(MATCH(Calendar!$A6,DB!1:1,0)+2),FALSE),"")</f>
        <v/>
      </c>
      <c r="TUW6" s="27" t="str">
        <f>IFERROR(VLOOKUP(DATE($K$1,$K$2,TUW$4),Table1[],(MATCH(Calendar!$A6,DB!1:1,0)+2),FALSE),"")</f>
        <v/>
      </c>
      <c r="TUX6" s="27" t="str">
        <f>IFERROR(VLOOKUP(DATE($K$1,$K$2,TUX$4),Table1[],(MATCH(Calendar!$A6,DB!1:1,0)+2),FALSE),"")</f>
        <v/>
      </c>
      <c r="TUY6" s="27" t="str">
        <f>IFERROR(VLOOKUP(DATE($K$1,$K$2,TUY$4),Table1[],(MATCH(Calendar!$A6,DB!1:1,0)+2),FALSE),"")</f>
        <v/>
      </c>
      <c r="TUZ6" s="27" t="str">
        <f>IFERROR(VLOOKUP(DATE($K$1,$K$2,TUZ$4),Table1[],(MATCH(Calendar!$A6,DB!1:1,0)+2),FALSE),"")</f>
        <v/>
      </c>
      <c r="TVA6" s="27" t="str">
        <f>IFERROR(VLOOKUP(DATE($K$1,$K$2,TVA$4),Table1[],(MATCH(Calendar!$A6,DB!1:1,0)+2),FALSE),"")</f>
        <v/>
      </c>
      <c r="TVB6" s="27" t="str">
        <f>IFERROR(VLOOKUP(DATE($K$1,$K$2,TVB$4),Table1[],(MATCH(Calendar!$A6,DB!1:1,0)+2),FALSE),"")</f>
        <v/>
      </c>
      <c r="TVC6" s="27" t="str">
        <f>IFERROR(VLOOKUP(DATE($K$1,$K$2,TVC$4),Table1[],(MATCH(Calendar!$A6,DB!1:1,0)+2),FALSE),"")</f>
        <v/>
      </c>
      <c r="TVD6" s="27" t="str">
        <f>IFERROR(VLOOKUP(DATE($K$1,$K$2,TVD$4),Table1[],(MATCH(Calendar!$A6,DB!1:1,0)+2),FALSE),"")</f>
        <v/>
      </c>
      <c r="TVE6" s="27" t="str">
        <f>IFERROR(VLOOKUP(DATE($K$1,$K$2,TVE$4),Table1[],(MATCH(Calendar!$A6,DB!1:1,0)+2),FALSE),"")</f>
        <v/>
      </c>
      <c r="TVF6" s="27" t="str">
        <f>IFERROR(VLOOKUP(DATE($K$1,$K$2,TVF$4),Table1[],(MATCH(Calendar!$A6,DB!1:1,0)+2),FALSE),"")</f>
        <v/>
      </c>
      <c r="TVG6" s="27" t="str">
        <f>IFERROR(VLOOKUP(DATE($K$1,$K$2,TVG$4),Table1[],(MATCH(Calendar!$A6,DB!1:1,0)+2),FALSE),"")</f>
        <v/>
      </c>
      <c r="TVH6" s="27" t="str">
        <f>IFERROR(VLOOKUP(DATE($K$1,$K$2,TVH$4),Table1[],(MATCH(Calendar!$A6,DB!1:1,0)+2),FALSE),"")</f>
        <v/>
      </c>
      <c r="TVI6" s="27" t="str">
        <f>IFERROR(VLOOKUP(DATE($K$1,$K$2,TVI$4),Table1[],(MATCH(Calendar!$A6,DB!1:1,0)+2),FALSE),"")</f>
        <v/>
      </c>
      <c r="TVJ6" s="27" t="str">
        <f>IFERROR(VLOOKUP(DATE($K$1,$K$2,TVJ$4),Table1[],(MATCH(Calendar!$A6,DB!1:1,0)+2),FALSE),"")</f>
        <v/>
      </c>
      <c r="TVK6" s="27" t="str">
        <f>IFERROR(VLOOKUP(DATE($K$1,$K$2,TVK$4),Table1[],(MATCH(Calendar!$A6,DB!1:1,0)+2),FALSE),"")</f>
        <v/>
      </c>
      <c r="TVL6" s="27" t="str">
        <f>IFERROR(VLOOKUP(DATE($K$1,$K$2,TVL$4),Table1[],(MATCH(Calendar!$A6,DB!1:1,0)+2),FALSE),"")</f>
        <v/>
      </c>
      <c r="TVM6" s="27" t="str">
        <f>IFERROR(VLOOKUP(DATE($K$1,$K$2,TVM$4),Table1[],(MATCH(Calendar!$A6,DB!1:1,0)+2),FALSE),"")</f>
        <v/>
      </c>
      <c r="TVN6" s="27" t="str">
        <f>IFERROR(VLOOKUP(DATE($K$1,$K$2,TVN$4),Table1[],(MATCH(Calendar!$A6,DB!1:1,0)+2),FALSE),"")</f>
        <v/>
      </c>
      <c r="TVO6" s="27" t="str">
        <f>IFERROR(VLOOKUP(DATE($K$1,$K$2,TVO$4),Table1[],(MATCH(Calendar!$A6,DB!1:1,0)+2),FALSE),"")</f>
        <v/>
      </c>
      <c r="TVP6" s="27" t="str">
        <f>IFERROR(VLOOKUP(DATE($K$1,$K$2,TVP$4),Table1[],(MATCH(Calendar!$A6,DB!1:1,0)+2),FALSE),"")</f>
        <v/>
      </c>
      <c r="TVQ6" s="27" t="str">
        <f>IFERROR(VLOOKUP(DATE($K$1,$K$2,TVQ$4),Table1[],(MATCH(Calendar!$A6,DB!1:1,0)+2),FALSE),"")</f>
        <v/>
      </c>
      <c r="TVR6" s="27" t="str">
        <f>IFERROR(VLOOKUP(DATE($K$1,$K$2,TVR$4),Table1[],(MATCH(Calendar!$A6,DB!1:1,0)+2),FALSE),"")</f>
        <v/>
      </c>
      <c r="TVS6" s="27" t="str">
        <f>IFERROR(VLOOKUP(DATE($K$1,$K$2,TVS$4),Table1[],(MATCH(Calendar!$A6,DB!1:1,0)+2),FALSE),"")</f>
        <v/>
      </c>
      <c r="TVT6" s="27" t="str">
        <f>IFERROR(VLOOKUP(DATE($K$1,$K$2,TVT$4),Table1[],(MATCH(Calendar!$A6,DB!1:1,0)+2),FALSE),"")</f>
        <v/>
      </c>
      <c r="TVU6" s="27" t="str">
        <f>IFERROR(VLOOKUP(DATE($K$1,$K$2,TVU$4),Table1[],(MATCH(Calendar!$A6,DB!1:1,0)+2),FALSE),"")</f>
        <v/>
      </c>
      <c r="TVV6" s="27" t="str">
        <f>IFERROR(VLOOKUP(DATE($K$1,$K$2,TVV$4),Table1[],(MATCH(Calendar!$A6,DB!1:1,0)+2),FALSE),"")</f>
        <v/>
      </c>
      <c r="TVW6" s="27" t="str">
        <f>IFERROR(VLOOKUP(DATE($K$1,$K$2,TVW$4),Table1[],(MATCH(Calendar!$A6,DB!1:1,0)+2),FALSE),"")</f>
        <v/>
      </c>
      <c r="TVX6" s="27" t="str">
        <f>IFERROR(VLOOKUP(DATE($K$1,$K$2,TVX$4),Table1[],(MATCH(Calendar!$A6,DB!1:1,0)+2),FALSE),"")</f>
        <v/>
      </c>
      <c r="TVY6" s="27" t="str">
        <f>IFERROR(VLOOKUP(DATE($K$1,$K$2,TVY$4),Table1[],(MATCH(Calendar!$A6,DB!1:1,0)+2),FALSE),"")</f>
        <v/>
      </c>
      <c r="TVZ6" s="27" t="str">
        <f>IFERROR(VLOOKUP(DATE($K$1,$K$2,TVZ$4),Table1[],(MATCH(Calendar!$A6,DB!1:1,0)+2),FALSE),"")</f>
        <v/>
      </c>
      <c r="TWA6" s="27" t="str">
        <f>IFERROR(VLOOKUP(DATE($K$1,$K$2,TWA$4),Table1[],(MATCH(Calendar!$A6,DB!1:1,0)+2),FALSE),"")</f>
        <v/>
      </c>
      <c r="TWB6" s="27" t="str">
        <f>IFERROR(VLOOKUP(DATE($K$1,$K$2,TWB$4),Table1[],(MATCH(Calendar!$A6,DB!1:1,0)+2),FALSE),"")</f>
        <v/>
      </c>
      <c r="TWC6" s="27" t="str">
        <f>IFERROR(VLOOKUP(DATE($K$1,$K$2,TWC$4),Table1[],(MATCH(Calendar!$A6,DB!1:1,0)+2),FALSE),"")</f>
        <v/>
      </c>
      <c r="TWD6" s="27" t="str">
        <f>IFERROR(VLOOKUP(DATE($K$1,$K$2,TWD$4),Table1[],(MATCH(Calendar!$A6,DB!1:1,0)+2),FALSE),"")</f>
        <v/>
      </c>
      <c r="TWE6" s="27" t="str">
        <f>IFERROR(VLOOKUP(DATE($K$1,$K$2,TWE$4),Table1[],(MATCH(Calendar!$A6,DB!1:1,0)+2),FALSE),"")</f>
        <v/>
      </c>
      <c r="TWF6" s="27" t="str">
        <f>IFERROR(VLOOKUP(DATE($K$1,$K$2,TWF$4),Table1[],(MATCH(Calendar!$A6,DB!1:1,0)+2),FALSE),"")</f>
        <v/>
      </c>
      <c r="TWG6" s="27" t="str">
        <f>IFERROR(VLOOKUP(DATE($K$1,$K$2,TWG$4),Table1[],(MATCH(Calendar!$A6,DB!1:1,0)+2),FALSE),"")</f>
        <v/>
      </c>
      <c r="TWH6" s="27" t="str">
        <f>IFERROR(VLOOKUP(DATE($K$1,$K$2,TWH$4),Table1[],(MATCH(Calendar!$A6,DB!1:1,0)+2),FALSE),"")</f>
        <v/>
      </c>
      <c r="TWI6" s="27" t="str">
        <f>IFERROR(VLOOKUP(DATE($K$1,$K$2,TWI$4),Table1[],(MATCH(Calendar!$A6,DB!1:1,0)+2),FALSE),"")</f>
        <v/>
      </c>
      <c r="TWJ6" s="27" t="str">
        <f>IFERROR(VLOOKUP(DATE($K$1,$K$2,TWJ$4),Table1[],(MATCH(Calendar!$A6,DB!1:1,0)+2),FALSE),"")</f>
        <v/>
      </c>
      <c r="TWK6" s="27" t="str">
        <f>IFERROR(VLOOKUP(DATE($K$1,$K$2,TWK$4),Table1[],(MATCH(Calendar!$A6,DB!1:1,0)+2),FALSE),"")</f>
        <v/>
      </c>
      <c r="TWL6" s="27" t="str">
        <f>IFERROR(VLOOKUP(DATE($K$1,$K$2,TWL$4),Table1[],(MATCH(Calendar!$A6,DB!1:1,0)+2),FALSE),"")</f>
        <v/>
      </c>
      <c r="TWM6" s="27" t="str">
        <f>IFERROR(VLOOKUP(DATE($K$1,$K$2,TWM$4),Table1[],(MATCH(Calendar!$A6,DB!1:1,0)+2),FALSE),"")</f>
        <v/>
      </c>
      <c r="TWN6" s="27" t="str">
        <f>IFERROR(VLOOKUP(DATE($K$1,$K$2,TWN$4),Table1[],(MATCH(Calendar!$A6,DB!1:1,0)+2),FALSE),"")</f>
        <v/>
      </c>
      <c r="TWO6" s="27" t="str">
        <f>IFERROR(VLOOKUP(DATE($K$1,$K$2,TWO$4),Table1[],(MATCH(Calendar!$A6,DB!1:1,0)+2),FALSE),"")</f>
        <v/>
      </c>
      <c r="TWP6" s="27" t="str">
        <f>IFERROR(VLOOKUP(DATE($K$1,$K$2,TWP$4),Table1[],(MATCH(Calendar!$A6,DB!1:1,0)+2),FALSE),"")</f>
        <v/>
      </c>
      <c r="TWQ6" s="27" t="str">
        <f>IFERROR(VLOOKUP(DATE($K$1,$K$2,TWQ$4),Table1[],(MATCH(Calendar!$A6,DB!1:1,0)+2),FALSE),"")</f>
        <v/>
      </c>
      <c r="TWR6" s="27" t="str">
        <f>IFERROR(VLOOKUP(DATE($K$1,$K$2,TWR$4),Table1[],(MATCH(Calendar!$A6,DB!1:1,0)+2),FALSE),"")</f>
        <v/>
      </c>
      <c r="TWS6" s="27" t="str">
        <f>IFERROR(VLOOKUP(DATE($K$1,$K$2,TWS$4),Table1[],(MATCH(Calendar!$A6,DB!1:1,0)+2),FALSE),"")</f>
        <v/>
      </c>
      <c r="TWT6" s="27" t="str">
        <f>IFERROR(VLOOKUP(DATE($K$1,$K$2,TWT$4),Table1[],(MATCH(Calendar!$A6,DB!1:1,0)+2),FALSE),"")</f>
        <v/>
      </c>
      <c r="TWU6" s="27" t="str">
        <f>IFERROR(VLOOKUP(DATE($K$1,$K$2,TWU$4),Table1[],(MATCH(Calendar!$A6,DB!1:1,0)+2),FALSE),"")</f>
        <v/>
      </c>
      <c r="TWV6" s="27" t="str">
        <f>IFERROR(VLOOKUP(DATE($K$1,$K$2,TWV$4),Table1[],(MATCH(Calendar!$A6,DB!1:1,0)+2),FALSE),"")</f>
        <v/>
      </c>
      <c r="TWW6" s="27" t="str">
        <f>IFERROR(VLOOKUP(DATE($K$1,$K$2,TWW$4),Table1[],(MATCH(Calendar!$A6,DB!1:1,0)+2),FALSE),"")</f>
        <v/>
      </c>
      <c r="TWX6" s="27" t="str">
        <f>IFERROR(VLOOKUP(DATE($K$1,$K$2,TWX$4),Table1[],(MATCH(Calendar!$A6,DB!1:1,0)+2),FALSE),"")</f>
        <v/>
      </c>
      <c r="TWY6" s="27" t="str">
        <f>IFERROR(VLOOKUP(DATE($K$1,$K$2,TWY$4),Table1[],(MATCH(Calendar!$A6,DB!1:1,0)+2),FALSE),"")</f>
        <v/>
      </c>
      <c r="TWZ6" s="27" t="str">
        <f>IFERROR(VLOOKUP(DATE($K$1,$K$2,TWZ$4),Table1[],(MATCH(Calendar!$A6,DB!1:1,0)+2),FALSE),"")</f>
        <v/>
      </c>
      <c r="TXA6" s="27" t="str">
        <f>IFERROR(VLOOKUP(DATE($K$1,$K$2,TXA$4),Table1[],(MATCH(Calendar!$A6,DB!1:1,0)+2),FALSE),"")</f>
        <v/>
      </c>
      <c r="TXB6" s="27" t="str">
        <f>IFERROR(VLOOKUP(DATE($K$1,$K$2,TXB$4),Table1[],(MATCH(Calendar!$A6,DB!1:1,0)+2),FALSE),"")</f>
        <v/>
      </c>
      <c r="TXC6" s="27" t="str">
        <f>IFERROR(VLOOKUP(DATE($K$1,$K$2,TXC$4),Table1[],(MATCH(Calendar!$A6,DB!1:1,0)+2),FALSE),"")</f>
        <v/>
      </c>
      <c r="TXD6" s="27" t="str">
        <f>IFERROR(VLOOKUP(DATE($K$1,$K$2,TXD$4),Table1[],(MATCH(Calendar!$A6,DB!1:1,0)+2),FALSE),"")</f>
        <v/>
      </c>
      <c r="TXE6" s="27" t="str">
        <f>IFERROR(VLOOKUP(DATE($K$1,$K$2,TXE$4),Table1[],(MATCH(Calendar!$A6,DB!1:1,0)+2),FALSE),"")</f>
        <v/>
      </c>
      <c r="TXF6" s="27" t="str">
        <f>IFERROR(VLOOKUP(DATE($K$1,$K$2,TXF$4),Table1[],(MATCH(Calendar!$A6,DB!1:1,0)+2),FALSE),"")</f>
        <v/>
      </c>
      <c r="TXG6" s="27" t="str">
        <f>IFERROR(VLOOKUP(DATE($K$1,$K$2,TXG$4),Table1[],(MATCH(Calendar!$A6,DB!1:1,0)+2),FALSE),"")</f>
        <v/>
      </c>
      <c r="TXH6" s="27" t="str">
        <f>IFERROR(VLOOKUP(DATE($K$1,$K$2,TXH$4),Table1[],(MATCH(Calendar!$A6,DB!1:1,0)+2),FALSE),"")</f>
        <v/>
      </c>
      <c r="TXI6" s="27" t="str">
        <f>IFERROR(VLOOKUP(DATE($K$1,$K$2,TXI$4),Table1[],(MATCH(Calendar!$A6,DB!1:1,0)+2),FALSE),"")</f>
        <v/>
      </c>
      <c r="TXJ6" s="27" t="str">
        <f>IFERROR(VLOOKUP(DATE($K$1,$K$2,TXJ$4),Table1[],(MATCH(Calendar!$A6,DB!1:1,0)+2),FALSE),"")</f>
        <v/>
      </c>
      <c r="TXK6" s="27" t="str">
        <f>IFERROR(VLOOKUP(DATE($K$1,$K$2,TXK$4),Table1[],(MATCH(Calendar!$A6,DB!1:1,0)+2),FALSE),"")</f>
        <v/>
      </c>
      <c r="TXL6" s="27" t="str">
        <f>IFERROR(VLOOKUP(DATE($K$1,$K$2,TXL$4),Table1[],(MATCH(Calendar!$A6,DB!1:1,0)+2),FALSE),"")</f>
        <v/>
      </c>
      <c r="TXM6" s="27" t="str">
        <f>IFERROR(VLOOKUP(DATE($K$1,$K$2,TXM$4),Table1[],(MATCH(Calendar!$A6,DB!1:1,0)+2),FALSE),"")</f>
        <v/>
      </c>
      <c r="TXN6" s="27" t="str">
        <f>IFERROR(VLOOKUP(DATE($K$1,$K$2,TXN$4),Table1[],(MATCH(Calendar!$A6,DB!1:1,0)+2),FALSE),"")</f>
        <v/>
      </c>
      <c r="TXO6" s="27" t="str">
        <f>IFERROR(VLOOKUP(DATE($K$1,$K$2,TXO$4),Table1[],(MATCH(Calendar!$A6,DB!1:1,0)+2),FALSE),"")</f>
        <v/>
      </c>
      <c r="TXP6" s="27" t="str">
        <f>IFERROR(VLOOKUP(DATE($K$1,$K$2,TXP$4),Table1[],(MATCH(Calendar!$A6,DB!1:1,0)+2),FALSE),"")</f>
        <v/>
      </c>
      <c r="TXQ6" s="27" t="str">
        <f>IFERROR(VLOOKUP(DATE($K$1,$K$2,TXQ$4),Table1[],(MATCH(Calendar!$A6,DB!1:1,0)+2),FALSE),"")</f>
        <v/>
      </c>
      <c r="TXR6" s="27" t="str">
        <f>IFERROR(VLOOKUP(DATE($K$1,$K$2,TXR$4),Table1[],(MATCH(Calendar!$A6,DB!1:1,0)+2),FALSE),"")</f>
        <v/>
      </c>
      <c r="TXS6" s="27" t="str">
        <f>IFERROR(VLOOKUP(DATE($K$1,$K$2,TXS$4),Table1[],(MATCH(Calendar!$A6,DB!1:1,0)+2),FALSE),"")</f>
        <v/>
      </c>
      <c r="TXT6" s="27" t="str">
        <f>IFERROR(VLOOKUP(DATE($K$1,$K$2,TXT$4),Table1[],(MATCH(Calendar!$A6,DB!1:1,0)+2),FALSE),"")</f>
        <v/>
      </c>
      <c r="TXU6" s="27" t="str">
        <f>IFERROR(VLOOKUP(DATE($K$1,$K$2,TXU$4),Table1[],(MATCH(Calendar!$A6,DB!1:1,0)+2),FALSE),"")</f>
        <v/>
      </c>
      <c r="TXV6" s="27" t="str">
        <f>IFERROR(VLOOKUP(DATE($K$1,$K$2,TXV$4),Table1[],(MATCH(Calendar!$A6,DB!1:1,0)+2),FALSE),"")</f>
        <v/>
      </c>
      <c r="TXW6" s="27" t="str">
        <f>IFERROR(VLOOKUP(DATE($K$1,$K$2,TXW$4),Table1[],(MATCH(Calendar!$A6,DB!1:1,0)+2),FALSE),"")</f>
        <v/>
      </c>
      <c r="TXX6" s="27" t="str">
        <f>IFERROR(VLOOKUP(DATE($K$1,$K$2,TXX$4),Table1[],(MATCH(Calendar!$A6,DB!1:1,0)+2),FALSE),"")</f>
        <v/>
      </c>
      <c r="TXY6" s="27" t="str">
        <f>IFERROR(VLOOKUP(DATE($K$1,$K$2,TXY$4),Table1[],(MATCH(Calendar!$A6,DB!1:1,0)+2),FALSE),"")</f>
        <v/>
      </c>
      <c r="TXZ6" s="27" t="str">
        <f>IFERROR(VLOOKUP(DATE($K$1,$K$2,TXZ$4),Table1[],(MATCH(Calendar!$A6,DB!1:1,0)+2),FALSE),"")</f>
        <v/>
      </c>
      <c r="TYA6" s="27" t="str">
        <f>IFERROR(VLOOKUP(DATE($K$1,$K$2,TYA$4),Table1[],(MATCH(Calendar!$A6,DB!1:1,0)+2),FALSE),"")</f>
        <v/>
      </c>
      <c r="TYB6" s="27" t="str">
        <f>IFERROR(VLOOKUP(DATE($K$1,$K$2,TYB$4),Table1[],(MATCH(Calendar!$A6,DB!1:1,0)+2),FALSE),"")</f>
        <v/>
      </c>
      <c r="TYC6" s="27" t="str">
        <f>IFERROR(VLOOKUP(DATE($K$1,$K$2,TYC$4),Table1[],(MATCH(Calendar!$A6,DB!1:1,0)+2),FALSE),"")</f>
        <v/>
      </c>
      <c r="TYD6" s="27" t="str">
        <f>IFERROR(VLOOKUP(DATE($K$1,$K$2,TYD$4),Table1[],(MATCH(Calendar!$A6,DB!1:1,0)+2),FALSE),"")</f>
        <v/>
      </c>
      <c r="TYE6" s="27" t="str">
        <f>IFERROR(VLOOKUP(DATE($K$1,$K$2,TYE$4),Table1[],(MATCH(Calendar!$A6,DB!1:1,0)+2),FALSE),"")</f>
        <v/>
      </c>
      <c r="TYF6" s="27" t="str">
        <f>IFERROR(VLOOKUP(DATE($K$1,$K$2,TYF$4),Table1[],(MATCH(Calendar!$A6,DB!1:1,0)+2),FALSE),"")</f>
        <v/>
      </c>
      <c r="TYG6" s="27" t="str">
        <f>IFERROR(VLOOKUP(DATE($K$1,$K$2,TYG$4),Table1[],(MATCH(Calendar!$A6,DB!1:1,0)+2),FALSE),"")</f>
        <v/>
      </c>
      <c r="TYH6" s="27" t="str">
        <f>IFERROR(VLOOKUP(DATE($K$1,$K$2,TYH$4),Table1[],(MATCH(Calendar!$A6,DB!1:1,0)+2),FALSE),"")</f>
        <v/>
      </c>
      <c r="TYI6" s="27" t="str">
        <f>IFERROR(VLOOKUP(DATE($K$1,$K$2,TYI$4),Table1[],(MATCH(Calendar!$A6,DB!1:1,0)+2),FALSE),"")</f>
        <v/>
      </c>
      <c r="TYJ6" s="27" t="str">
        <f>IFERROR(VLOOKUP(DATE($K$1,$K$2,TYJ$4),Table1[],(MATCH(Calendar!$A6,DB!1:1,0)+2),FALSE),"")</f>
        <v/>
      </c>
      <c r="TYK6" s="27" t="str">
        <f>IFERROR(VLOOKUP(DATE($K$1,$K$2,TYK$4),Table1[],(MATCH(Calendar!$A6,DB!1:1,0)+2),FALSE),"")</f>
        <v/>
      </c>
      <c r="TYL6" s="27" t="str">
        <f>IFERROR(VLOOKUP(DATE($K$1,$K$2,TYL$4),Table1[],(MATCH(Calendar!$A6,DB!1:1,0)+2),FALSE),"")</f>
        <v/>
      </c>
      <c r="TYM6" s="27" t="str">
        <f>IFERROR(VLOOKUP(DATE($K$1,$K$2,TYM$4),Table1[],(MATCH(Calendar!$A6,DB!1:1,0)+2),FALSE),"")</f>
        <v/>
      </c>
      <c r="TYN6" s="27" t="str">
        <f>IFERROR(VLOOKUP(DATE($K$1,$K$2,TYN$4),Table1[],(MATCH(Calendar!$A6,DB!1:1,0)+2),FALSE),"")</f>
        <v/>
      </c>
      <c r="TYO6" s="27" t="str">
        <f>IFERROR(VLOOKUP(DATE($K$1,$K$2,TYO$4),Table1[],(MATCH(Calendar!$A6,DB!1:1,0)+2),FALSE),"")</f>
        <v/>
      </c>
      <c r="TYP6" s="27" t="str">
        <f>IFERROR(VLOOKUP(DATE($K$1,$K$2,TYP$4),Table1[],(MATCH(Calendar!$A6,DB!1:1,0)+2),FALSE),"")</f>
        <v/>
      </c>
      <c r="TYQ6" s="27" t="str">
        <f>IFERROR(VLOOKUP(DATE($K$1,$K$2,TYQ$4),Table1[],(MATCH(Calendar!$A6,DB!1:1,0)+2),FALSE),"")</f>
        <v/>
      </c>
      <c r="TYR6" s="27" t="str">
        <f>IFERROR(VLOOKUP(DATE($K$1,$K$2,TYR$4),Table1[],(MATCH(Calendar!$A6,DB!1:1,0)+2),FALSE),"")</f>
        <v/>
      </c>
      <c r="TYS6" s="27" t="str">
        <f>IFERROR(VLOOKUP(DATE($K$1,$K$2,TYS$4),Table1[],(MATCH(Calendar!$A6,DB!1:1,0)+2),FALSE),"")</f>
        <v/>
      </c>
      <c r="TYT6" s="27" t="str">
        <f>IFERROR(VLOOKUP(DATE($K$1,$K$2,TYT$4),Table1[],(MATCH(Calendar!$A6,DB!1:1,0)+2),FALSE),"")</f>
        <v/>
      </c>
      <c r="TYU6" s="27" t="str">
        <f>IFERROR(VLOOKUP(DATE($K$1,$K$2,TYU$4),Table1[],(MATCH(Calendar!$A6,DB!1:1,0)+2),FALSE),"")</f>
        <v/>
      </c>
      <c r="TYV6" s="27" t="str">
        <f>IFERROR(VLOOKUP(DATE($K$1,$K$2,TYV$4),Table1[],(MATCH(Calendar!$A6,DB!1:1,0)+2),FALSE),"")</f>
        <v/>
      </c>
      <c r="TYW6" s="27" t="str">
        <f>IFERROR(VLOOKUP(DATE($K$1,$K$2,TYW$4),Table1[],(MATCH(Calendar!$A6,DB!1:1,0)+2),FALSE),"")</f>
        <v/>
      </c>
      <c r="TYX6" s="27" t="str">
        <f>IFERROR(VLOOKUP(DATE($K$1,$K$2,TYX$4),Table1[],(MATCH(Calendar!$A6,DB!1:1,0)+2),FALSE),"")</f>
        <v/>
      </c>
      <c r="TYY6" s="27" t="str">
        <f>IFERROR(VLOOKUP(DATE($K$1,$K$2,TYY$4),Table1[],(MATCH(Calendar!$A6,DB!1:1,0)+2),FALSE),"")</f>
        <v/>
      </c>
      <c r="TYZ6" s="27" t="str">
        <f>IFERROR(VLOOKUP(DATE($K$1,$K$2,TYZ$4),Table1[],(MATCH(Calendar!$A6,DB!1:1,0)+2),FALSE),"")</f>
        <v/>
      </c>
      <c r="TZA6" s="27" t="str">
        <f>IFERROR(VLOOKUP(DATE($K$1,$K$2,TZA$4),Table1[],(MATCH(Calendar!$A6,DB!1:1,0)+2),FALSE),"")</f>
        <v/>
      </c>
      <c r="TZB6" s="27" t="str">
        <f>IFERROR(VLOOKUP(DATE($K$1,$K$2,TZB$4),Table1[],(MATCH(Calendar!$A6,DB!1:1,0)+2),FALSE),"")</f>
        <v/>
      </c>
      <c r="TZC6" s="27" t="str">
        <f>IFERROR(VLOOKUP(DATE($K$1,$K$2,TZC$4),Table1[],(MATCH(Calendar!$A6,DB!1:1,0)+2),FALSE),"")</f>
        <v/>
      </c>
      <c r="TZD6" s="27" t="str">
        <f>IFERROR(VLOOKUP(DATE($K$1,$K$2,TZD$4),Table1[],(MATCH(Calendar!$A6,DB!1:1,0)+2),FALSE),"")</f>
        <v/>
      </c>
      <c r="TZE6" s="27" t="str">
        <f>IFERROR(VLOOKUP(DATE($K$1,$K$2,TZE$4),Table1[],(MATCH(Calendar!$A6,DB!1:1,0)+2),FALSE),"")</f>
        <v/>
      </c>
      <c r="TZF6" s="27" t="str">
        <f>IFERROR(VLOOKUP(DATE($K$1,$K$2,TZF$4),Table1[],(MATCH(Calendar!$A6,DB!1:1,0)+2),FALSE),"")</f>
        <v/>
      </c>
      <c r="TZG6" s="27" t="str">
        <f>IFERROR(VLOOKUP(DATE($K$1,$K$2,TZG$4),Table1[],(MATCH(Calendar!$A6,DB!1:1,0)+2),FALSE),"")</f>
        <v/>
      </c>
      <c r="TZH6" s="27" t="str">
        <f>IFERROR(VLOOKUP(DATE($K$1,$K$2,TZH$4),Table1[],(MATCH(Calendar!$A6,DB!1:1,0)+2),FALSE),"")</f>
        <v/>
      </c>
      <c r="TZI6" s="27" t="str">
        <f>IFERROR(VLOOKUP(DATE($K$1,$K$2,TZI$4),Table1[],(MATCH(Calendar!$A6,DB!1:1,0)+2),FALSE),"")</f>
        <v/>
      </c>
      <c r="TZJ6" s="27" t="str">
        <f>IFERROR(VLOOKUP(DATE($K$1,$K$2,TZJ$4),Table1[],(MATCH(Calendar!$A6,DB!1:1,0)+2),FALSE),"")</f>
        <v/>
      </c>
      <c r="TZK6" s="27" t="str">
        <f>IFERROR(VLOOKUP(DATE($K$1,$K$2,TZK$4),Table1[],(MATCH(Calendar!$A6,DB!1:1,0)+2),FALSE),"")</f>
        <v/>
      </c>
      <c r="TZL6" s="27" t="str">
        <f>IFERROR(VLOOKUP(DATE($K$1,$K$2,TZL$4),Table1[],(MATCH(Calendar!$A6,DB!1:1,0)+2),FALSE),"")</f>
        <v/>
      </c>
      <c r="TZM6" s="27" t="str">
        <f>IFERROR(VLOOKUP(DATE($K$1,$K$2,TZM$4),Table1[],(MATCH(Calendar!$A6,DB!1:1,0)+2),FALSE),"")</f>
        <v/>
      </c>
      <c r="TZN6" s="27" t="str">
        <f>IFERROR(VLOOKUP(DATE($K$1,$K$2,TZN$4),Table1[],(MATCH(Calendar!$A6,DB!1:1,0)+2),FALSE),"")</f>
        <v/>
      </c>
      <c r="TZO6" s="27" t="str">
        <f>IFERROR(VLOOKUP(DATE($K$1,$K$2,TZO$4),Table1[],(MATCH(Calendar!$A6,DB!1:1,0)+2),FALSE),"")</f>
        <v/>
      </c>
      <c r="TZP6" s="27" t="str">
        <f>IFERROR(VLOOKUP(DATE($K$1,$K$2,TZP$4),Table1[],(MATCH(Calendar!$A6,DB!1:1,0)+2),FALSE),"")</f>
        <v/>
      </c>
      <c r="TZQ6" s="27" t="str">
        <f>IFERROR(VLOOKUP(DATE($K$1,$K$2,TZQ$4),Table1[],(MATCH(Calendar!$A6,DB!1:1,0)+2),FALSE),"")</f>
        <v/>
      </c>
      <c r="TZR6" s="27" t="str">
        <f>IFERROR(VLOOKUP(DATE($K$1,$K$2,TZR$4),Table1[],(MATCH(Calendar!$A6,DB!1:1,0)+2),FALSE),"")</f>
        <v/>
      </c>
      <c r="TZS6" s="27" t="str">
        <f>IFERROR(VLOOKUP(DATE($K$1,$K$2,TZS$4),Table1[],(MATCH(Calendar!$A6,DB!1:1,0)+2),FALSE),"")</f>
        <v/>
      </c>
      <c r="TZT6" s="27" t="str">
        <f>IFERROR(VLOOKUP(DATE($K$1,$K$2,TZT$4),Table1[],(MATCH(Calendar!$A6,DB!1:1,0)+2),FALSE),"")</f>
        <v/>
      </c>
      <c r="TZU6" s="27" t="str">
        <f>IFERROR(VLOOKUP(DATE($K$1,$K$2,TZU$4),Table1[],(MATCH(Calendar!$A6,DB!1:1,0)+2),FALSE),"")</f>
        <v/>
      </c>
      <c r="TZV6" s="27" t="str">
        <f>IFERROR(VLOOKUP(DATE($K$1,$K$2,TZV$4),Table1[],(MATCH(Calendar!$A6,DB!1:1,0)+2),FALSE),"")</f>
        <v/>
      </c>
      <c r="TZW6" s="27" t="str">
        <f>IFERROR(VLOOKUP(DATE($K$1,$K$2,TZW$4),Table1[],(MATCH(Calendar!$A6,DB!1:1,0)+2),FALSE),"")</f>
        <v/>
      </c>
      <c r="TZX6" s="27" t="str">
        <f>IFERROR(VLOOKUP(DATE($K$1,$K$2,TZX$4),Table1[],(MATCH(Calendar!$A6,DB!1:1,0)+2),FALSE),"")</f>
        <v/>
      </c>
      <c r="TZY6" s="27" t="str">
        <f>IFERROR(VLOOKUP(DATE($K$1,$K$2,TZY$4),Table1[],(MATCH(Calendar!$A6,DB!1:1,0)+2),FALSE),"")</f>
        <v/>
      </c>
      <c r="TZZ6" s="27" t="str">
        <f>IFERROR(VLOOKUP(DATE($K$1,$K$2,TZZ$4),Table1[],(MATCH(Calendar!$A6,DB!1:1,0)+2),FALSE),"")</f>
        <v/>
      </c>
      <c r="UAA6" s="27" t="str">
        <f>IFERROR(VLOOKUP(DATE($K$1,$K$2,UAA$4),Table1[],(MATCH(Calendar!$A6,DB!1:1,0)+2),FALSE),"")</f>
        <v/>
      </c>
      <c r="UAB6" s="27" t="str">
        <f>IFERROR(VLOOKUP(DATE($K$1,$K$2,UAB$4),Table1[],(MATCH(Calendar!$A6,DB!1:1,0)+2),FALSE),"")</f>
        <v/>
      </c>
      <c r="UAC6" s="27" t="str">
        <f>IFERROR(VLOOKUP(DATE($K$1,$K$2,UAC$4),Table1[],(MATCH(Calendar!$A6,DB!1:1,0)+2),FALSE),"")</f>
        <v/>
      </c>
      <c r="UAD6" s="27" t="str">
        <f>IFERROR(VLOOKUP(DATE($K$1,$K$2,UAD$4),Table1[],(MATCH(Calendar!$A6,DB!1:1,0)+2),FALSE),"")</f>
        <v/>
      </c>
      <c r="UAE6" s="27" t="str">
        <f>IFERROR(VLOOKUP(DATE($K$1,$K$2,UAE$4),Table1[],(MATCH(Calendar!$A6,DB!1:1,0)+2),FALSE),"")</f>
        <v/>
      </c>
      <c r="UAF6" s="27" t="str">
        <f>IFERROR(VLOOKUP(DATE($K$1,$K$2,UAF$4),Table1[],(MATCH(Calendar!$A6,DB!1:1,0)+2),FALSE),"")</f>
        <v/>
      </c>
      <c r="UAG6" s="27" t="str">
        <f>IFERROR(VLOOKUP(DATE($K$1,$K$2,UAG$4),Table1[],(MATCH(Calendar!$A6,DB!1:1,0)+2),FALSE),"")</f>
        <v/>
      </c>
      <c r="UAH6" s="27" t="str">
        <f>IFERROR(VLOOKUP(DATE($K$1,$K$2,UAH$4),Table1[],(MATCH(Calendar!$A6,DB!1:1,0)+2),FALSE),"")</f>
        <v/>
      </c>
      <c r="UAI6" s="27" t="str">
        <f>IFERROR(VLOOKUP(DATE($K$1,$K$2,UAI$4),Table1[],(MATCH(Calendar!$A6,DB!1:1,0)+2),FALSE),"")</f>
        <v/>
      </c>
      <c r="UAJ6" s="27" t="str">
        <f>IFERROR(VLOOKUP(DATE($K$1,$K$2,UAJ$4),Table1[],(MATCH(Calendar!$A6,DB!1:1,0)+2),FALSE),"")</f>
        <v/>
      </c>
      <c r="UAK6" s="27" t="str">
        <f>IFERROR(VLOOKUP(DATE($K$1,$K$2,UAK$4),Table1[],(MATCH(Calendar!$A6,DB!1:1,0)+2),FALSE),"")</f>
        <v/>
      </c>
      <c r="UAL6" s="27" t="str">
        <f>IFERROR(VLOOKUP(DATE($K$1,$K$2,UAL$4),Table1[],(MATCH(Calendar!$A6,DB!1:1,0)+2),FALSE),"")</f>
        <v/>
      </c>
      <c r="UAM6" s="27" t="str">
        <f>IFERROR(VLOOKUP(DATE($K$1,$K$2,UAM$4),Table1[],(MATCH(Calendar!$A6,DB!1:1,0)+2),FALSE),"")</f>
        <v/>
      </c>
      <c r="UAN6" s="27" t="str">
        <f>IFERROR(VLOOKUP(DATE($K$1,$K$2,UAN$4),Table1[],(MATCH(Calendar!$A6,DB!1:1,0)+2),FALSE),"")</f>
        <v/>
      </c>
      <c r="UAO6" s="27" t="str">
        <f>IFERROR(VLOOKUP(DATE($K$1,$K$2,UAO$4),Table1[],(MATCH(Calendar!$A6,DB!1:1,0)+2),FALSE),"")</f>
        <v/>
      </c>
      <c r="UAP6" s="27" t="str">
        <f>IFERROR(VLOOKUP(DATE($K$1,$K$2,UAP$4),Table1[],(MATCH(Calendar!$A6,DB!1:1,0)+2),FALSE),"")</f>
        <v/>
      </c>
      <c r="UAQ6" s="27" t="str">
        <f>IFERROR(VLOOKUP(DATE($K$1,$K$2,UAQ$4),Table1[],(MATCH(Calendar!$A6,DB!1:1,0)+2),FALSE),"")</f>
        <v/>
      </c>
      <c r="UAR6" s="27" t="str">
        <f>IFERROR(VLOOKUP(DATE($K$1,$K$2,UAR$4),Table1[],(MATCH(Calendar!$A6,DB!1:1,0)+2),FALSE),"")</f>
        <v/>
      </c>
      <c r="UAS6" s="27" t="str">
        <f>IFERROR(VLOOKUP(DATE($K$1,$K$2,UAS$4),Table1[],(MATCH(Calendar!$A6,DB!1:1,0)+2),FALSE),"")</f>
        <v/>
      </c>
      <c r="UAT6" s="27" t="str">
        <f>IFERROR(VLOOKUP(DATE($K$1,$K$2,UAT$4),Table1[],(MATCH(Calendar!$A6,DB!1:1,0)+2),FALSE),"")</f>
        <v/>
      </c>
      <c r="UAU6" s="27" t="str">
        <f>IFERROR(VLOOKUP(DATE($K$1,$K$2,UAU$4),Table1[],(MATCH(Calendar!$A6,DB!1:1,0)+2),FALSE),"")</f>
        <v/>
      </c>
      <c r="UAV6" s="27" t="str">
        <f>IFERROR(VLOOKUP(DATE($K$1,$K$2,UAV$4),Table1[],(MATCH(Calendar!$A6,DB!1:1,0)+2),FALSE),"")</f>
        <v/>
      </c>
      <c r="UAW6" s="27" t="str">
        <f>IFERROR(VLOOKUP(DATE($K$1,$K$2,UAW$4),Table1[],(MATCH(Calendar!$A6,DB!1:1,0)+2),FALSE),"")</f>
        <v/>
      </c>
      <c r="UAX6" s="27" t="str">
        <f>IFERROR(VLOOKUP(DATE($K$1,$K$2,UAX$4),Table1[],(MATCH(Calendar!$A6,DB!1:1,0)+2),FALSE),"")</f>
        <v/>
      </c>
      <c r="UAY6" s="27" t="str">
        <f>IFERROR(VLOOKUP(DATE($K$1,$K$2,UAY$4),Table1[],(MATCH(Calendar!$A6,DB!1:1,0)+2),FALSE),"")</f>
        <v/>
      </c>
      <c r="UAZ6" s="27" t="str">
        <f>IFERROR(VLOOKUP(DATE($K$1,$K$2,UAZ$4),Table1[],(MATCH(Calendar!$A6,DB!1:1,0)+2),FALSE),"")</f>
        <v/>
      </c>
      <c r="UBA6" s="27" t="str">
        <f>IFERROR(VLOOKUP(DATE($K$1,$K$2,UBA$4),Table1[],(MATCH(Calendar!$A6,DB!1:1,0)+2),FALSE),"")</f>
        <v/>
      </c>
      <c r="UBB6" s="27" t="str">
        <f>IFERROR(VLOOKUP(DATE($K$1,$K$2,UBB$4),Table1[],(MATCH(Calendar!$A6,DB!1:1,0)+2),FALSE),"")</f>
        <v/>
      </c>
      <c r="UBC6" s="27" t="str">
        <f>IFERROR(VLOOKUP(DATE($K$1,$K$2,UBC$4),Table1[],(MATCH(Calendar!$A6,DB!1:1,0)+2),FALSE),"")</f>
        <v/>
      </c>
      <c r="UBD6" s="27" t="str">
        <f>IFERROR(VLOOKUP(DATE($K$1,$K$2,UBD$4),Table1[],(MATCH(Calendar!$A6,DB!1:1,0)+2),FALSE),"")</f>
        <v/>
      </c>
      <c r="UBE6" s="27" t="str">
        <f>IFERROR(VLOOKUP(DATE($K$1,$K$2,UBE$4),Table1[],(MATCH(Calendar!$A6,DB!1:1,0)+2),FALSE),"")</f>
        <v/>
      </c>
      <c r="UBF6" s="27" t="str">
        <f>IFERROR(VLOOKUP(DATE($K$1,$K$2,UBF$4),Table1[],(MATCH(Calendar!$A6,DB!1:1,0)+2),FALSE),"")</f>
        <v/>
      </c>
      <c r="UBG6" s="27" t="str">
        <f>IFERROR(VLOOKUP(DATE($K$1,$K$2,UBG$4),Table1[],(MATCH(Calendar!$A6,DB!1:1,0)+2),FALSE),"")</f>
        <v/>
      </c>
      <c r="UBH6" s="27" t="str">
        <f>IFERROR(VLOOKUP(DATE($K$1,$K$2,UBH$4),Table1[],(MATCH(Calendar!$A6,DB!1:1,0)+2),FALSE),"")</f>
        <v/>
      </c>
      <c r="UBI6" s="27" t="str">
        <f>IFERROR(VLOOKUP(DATE($K$1,$K$2,UBI$4),Table1[],(MATCH(Calendar!$A6,DB!1:1,0)+2),FALSE),"")</f>
        <v/>
      </c>
      <c r="UBJ6" s="27" t="str">
        <f>IFERROR(VLOOKUP(DATE($K$1,$K$2,UBJ$4),Table1[],(MATCH(Calendar!$A6,DB!1:1,0)+2),FALSE),"")</f>
        <v/>
      </c>
      <c r="UBK6" s="27" t="str">
        <f>IFERROR(VLOOKUP(DATE($K$1,$K$2,UBK$4),Table1[],(MATCH(Calendar!$A6,DB!1:1,0)+2),FALSE),"")</f>
        <v/>
      </c>
      <c r="UBL6" s="27" t="str">
        <f>IFERROR(VLOOKUP(DATE($K$1,$K$2,UBL$4),Table1[],(MATCH(Calendar!$A6,DB!1:1,0)+2),FALSE),"")</f>
        <v/>
      </c>
      <c r="UBM6" s="27" t="str">
        <f>IFERROR(VLOOKUP(DATE($K$1,$K$2,UBM$4),Table1[],(MATCH(Calendar!$A6,DB!1:1,0)+2),FALSE),"")</f>
        <v/>
      </c>
      <c r="UBN6" s="27" t="str">
        <f>IFERROR(VLOOKUP(DATE($K$1,$K$2,UBN$4),Table1[],(MATCH(Calendar!$A6,DB!1:1,0)+2),FALSE),"")</f>
        <v/>
      </c>
      <c r="UBO6" s="27" t="str">
        <f>IFERROR(VLOOKUP(DATE($K$1,$K$2,UBO$4),Table1[],(MATCH(Calendar!$A6,DB!1:1,0)+2),FALSE),"")</f>
        <v/>
      </c>
      <c r="UBP6" s="27" t="str">
        <f>IFERROR(VLOOKUP(DATE($K$1,$K$2,UBP$4),Table1[],(MATCH(Calendar!$A6,DB!1:1,0)+2),FALSE),"")</f>
        <v/>
      </c>
      <c r="UBQ6" s="27" t="str">
        <f>IFERROR(VLOOKUP(DATE($K$1,$K$2,UBQ$4),Table1[],(MATCH(Calendar!$A6,DB!1:1,0)+2),FALSE),"")</f>
        <v/>
      </c>
      <c r="UBR6" s="27" t="str">
        <f>IFERROR(VLOOKUP(DATE($K$1,$K$2,UBR$4),Table1[],(MATCH(Calendar!$A6,DB!1:1,0)+2),FALSE),"")</f>
        <v/>
      </c>
      <c r="UBS6" s="27" t="str">
        <f>IFERROR(VLOOKUP(DATE($K$1,$K$2,UBS$4),Table1[],(MATCH(Calendar!$A6,DB!1:1,0)+2),FALSE),"")</f>
        <v/>
      </c>
      <c r="UBT6" s="27" t="str">
        <f>IFERROR(VLOOKUP(DATE($K$1,$K$2,UBT$4),Table1[],(MATCH(Calendar!$A6,DB!1:1,0)+2),FALSE),"")</f>
        <v/>
      </c>
      <c r="UBU6" s="27" t="str">
        <f>IFERROR(VLOOKUP(DATE($K$1,$K$2,UBU$4),Table1[],(MATCH(Calendar!$A6,DB!1:1,0)+2),FALSE),"")</f>
        <v/>
      </c>
      <c r="UBV6" s="27" t="str">
        <f>IFERROR(VLOOKUP(DATE($K$1,$K$2,UBV$4),Table1[],(MATCH(Calendar!$A6,DB!1:1,0)+2),FALSE),"")</f>
        <v/>
      </c>
      <c r="UBW6" s="27" t="str">
        <f>IFERROR(VLOOKUP(DATE($K$1,$K$2,UBW$4),Table1[],(MATCH(Calendar!$A6,DB!1:1,0)+2),FALSE),"")</f>
        <v/>
      </c>
      <c r="UBX6" s="27" t="str">
        <f>IFERROR(VLOOKUP(DATE($K$1,$K$2,UBX$4),Table1[],(MATCH(Calendar!$A6,DB!1:1,0)+2),FALSE),"")</f>
        <v/>
      </c>
      <c r="UBY6" s="27" t="str">
        <f>IFERROR(VLOOKUP(DATE($K$1,$K$2,UBY$4),Table1[],(MATCH(Calendar!$A6,DB!1:1,0)+2),FALSE),"")</f>
        <v/>
      </c>
      <c r="UBZ6" s="27" t="str">
        <f>IFERROR(VLOOKUP(DATE($K$1,$K$2,UBZ$4),Table1[],(MATCH(Calendar!$A6,DB!1:1,0)+2),FALSE),"")</f>
        <v/>
      </c>
      <c r="UCA6" s="27" t="str">
        <f>IFERROR(VLOOKUP(DATE($K$1,$K$2,UCA$4),Table1[],(MATCH(Calendar!$A6,DB!1:1,0)+2),FALSE),"")</f>
        <v/>
      </c>
      <c r="UCB6" s="27" t="str">
        <f>IFERROR(VLOOKUP(DATE($K$1,$K$2,UCB$4),Table1[],(MATCH(Calendar!$A6,DB!1:1,0)+2),FALSE),"")</f>
        <v/>
      </c>
      <c r="UCC6" s="27" t="str">
        <f>IFERROR(VLOOKUP(DATE($K$1,$K$2,UCC$4),Table1[],(MATCH(Calendar!$A6,DB!1:1,0)+2),FALSE),"")</f>
        <v/>
      </c>
      <c r="UCD6" s="27" t="str">
        <f>IFERROR(VLOOKUP(DATE($K$1,$K$2,UCD$4),Table1[],(MATCH(Calendar!$A6,DB!1:1,0)+2),FALSE),"")</f>
        <v/>
      </c>
      <c r="UCE6" s="27" t="str">
        <f>IFERROR(VLOOKUP(DATE($K$1,$K$2,UCE$4),Table1[],(MATCH(Calendar!$A6,DB!1:1,0)+2),FALSE),"")</f>
        <v/>
      </c>
      <c r="UCF6" s="27" t="str">
        <f>IFERROR(VLOOKUP(DATE($K$1,$K$2,UCF$4),Table1[],(MATCH(Calendar!$A6,DB!1:1,0)+2),FALSE),"")</f>
        <v/>
      </c>
      <c r="UCG6" s="27" t="str">
        <f>IFERROR(VLOOKUP(DATE($K$1,$K$2,UCG$4),Table1[],(MATCH(Calendar!$A6,DB!1:1,0)+2),FALSE),"")</f>
        <v/>
      </c>
      <c r="UCH6" s="27" t="str">
        <f>IFERROR(VLOOKUP(DATE($K$1,$K$2,UCH$4),Table1[],(MATCH(Calendar!$A6,DB!1:1,0)+2),FALSE),"")</f>
        <v/>
      </c>
      <c r="UCI6" s="27" t="str">
        <f>IFERROR(VLOOKUP(DATE($K$1,$K$2,UCI$4),Table1[],(MATCH(Calendar!$A6,DB!1:1,0)+2),FALSE),"")</f>
        <v/>
      </c>
      <c r="UCJ6" s="27" t="str">
        <f>IFERROR(VLOOKUP(DATE($K$1,$K$2,UCJ$4),Table1[],(MATCH(Calendar!$A6,DB!1:1,0)+2),FALSE),"")</f>
        <v/>
      </c>
      <c r="UCK6" s="27" t="str">
        <f>IFERROR(VLOOKUP(DATE($K$1,$K$2,UCK$4),Table1[],(MATCH(Calendar!$A6,DB!1:1,0)+2),FALSE),"")</f>
        <v/>
      </c>
      <c r="UCL6" s="27" t="str">
        <f>IFERROR(VLOOKUP(DATE($K$1,$K$2,UCL$4),Table1[],(MATCH(Calendar!$A6,DB!1:1,0)+2),FALSE),"")</f>
        <v/>
      </c>
      <c r="UCM6" s="27" t="str">
        <f>IFERROR(VLOOKUP(DATE($K$1,$K$2,UCM$4),Table1[],(MATCH(Calendar!$A6,DB!1:1,0)+2),FALSE),"")</f>
        <v/>
      </c>
      <c r="UCN6" s="27" t="str">
        <f>IFERROR(VLOOKUP(DATE($K$1,$K$2,UCN$4),Table1[],(MATCH(Calendar!$A6,DB!1:1,0)+2),FALSE),"")</f>
        <v/>
      </c>
      <c r="UCO6" s="27" t="str">
        <f>IFERROR(VLOOKUP(DATE($K$1,$K$2,UCO$4),Table1[],(MATCH(Calendar!$A6,DB!1:1,0)+2),FALSE),"")</f>
        <v/>
      </c>
      <c r="UCP6" s="27" t="str">
        <f>IFERROR(VLOOKUP(DATE($K$1,$K$2,UCP$4),Table1[],(MATCH(Calendar!$A6,DB!1:1,0)+2),FALSE),"")</f>
        <v/>
      </c>
      <c r="UCQ6" s="27" t="str">
        <f>IFERROR(VLOOKUP(DATE($K$1,$K$2,UCQ$4),Table1[],(MATCH(Calendar!$A6,DB!1:1,0)+2),FALSE),"")</f>
        <v/>
      </c>
      <c r="UCR6" s="27" t="str">
        <f>IFERROR(VLOOKUP(DATE($K$1,$K$2,UCR$4),Table1[],(MATCH(Calendar!$A6,DB!1:1,0)+2),FALSE),"")</f>
        <v/>
      </c>
      <c r="UCS6" s="27" t="str">
        <f>IFERROR(VLOOKUP(DATE($K$1,$K$2,UCS$4),Table1[],(MATCH(Calendar!$A6,DB!1:1,0)+2),FALSE),"")</f>
        <v/>
      </c>
      <c r="UCT6" s="27" t="str">
        <f>IFERROR(VLOOKUP(DATE($K$1,$K$2,UCT$4),Table1[],(MATCH(Calendar!$A6,DB!1:1,0)+2),FALSE),"")</f>
        <v/>
      </c>
      <c r="UCU6" s="27" t="str">
        <f>IFERROR(VLOOKUP(DATE($K$1,$K$2,UCU$4),Table1[],(MATCH(Calendar!$A6,DB!1:1,0)+2),FALSE),"")</f>
        <v/>
      </c>
      <c r="UCV6" s="27" t="str">
        <f>IFERROR(VLOOKUP(DATE($K$1,$K$2,UCV$4),Table1[],(MATCH(Calendar!$A6,DB!1:1,0)+2),FALSE),"")</f>
        <v/>
      </c>
      <c r="UCW6" s="27" t="str">
        <f>IFERROR(VLOOKUP(DATE($K$1,$K$2,UCW$4),Table1[],(MATCH(Calendar!$A6,DB!1:1,0)+2),FALSE),"")</f>
        <v/>
      </c>
      <c r="UCX6" s="27" t="str">
        <f>IFERROR(VLOOKUP(DATE($K$1,$K$2,UCX$4),Table1[],(MATCH(Calendar!$A6,DB!1:1,0)+2),FALSE),"")</f>
        <v/>
      </c>
      <c r="UCY6" s="27" t="str">
        <f>IFERROR(VLOOKUP(DATE($K$1,$K$2,UCY$4),Table1[],(MATCH(Calendar!$A6,DB!1:1,0)+2),FALSE),"")</f>
        <v/>
      </c>
      <c r="UCZ6" s="27" t="str">
        <f>IFERROR(VLOOKUP(DATE($K$1,$K$2,UCZ$4),Table1[],(MATCH(Calendar!$A6,DB!1:1,0)+2),FALSE),"")</f>
        <v/>
      </c>
      <c r="UDA6" s="27" t="str">
        <f>IFERROR(VLOOKUP(DATE($K$1,$K$2,UDA$4),Table1[],(MATCH(Calendar!$A6,DB!1:1,0)+2),FALSE),"")</f>
        <v/>
      </c>
      <c r="UDB6" s="27" t="str">
        <f>IFERROR(VLOOKUP(DATE($K$1,$K$2,UDB$4),Table1[],(MATCH(Calendar!$A6,DB!1:1,0)+2),FALSE),"")</f>
        <v/>
      </c>
      <c r="UDC6" s="27" t="str">
        <f>IFERROR(VLOOKUP(DATE($K$1,$K$2,UDC$4),Table1[],(MATCH(Calendar!$A6,DB!1:1,0)+2),FALSE),"")</f>
        <v/>
      </c>
      <c r="UDD6" s="27" t="str">
        <f>IFERROR(VLOOKUP(DATE($K$1,$K$2,UDD$4),Table1[],(MATCH(Calendar!$A6,DB!1:1,0)+2),FALSE),"")</f>
        <v/>
      </c>
      <c r="UDE6" s="27" t="str">
        <f>IFERROR(VLOOKUP(DATE($K$1,$K$2,UDE$4),Table1[],(MATCH(Calendar!$A6,DB!1:1,0)+2),FALSE),"")</f>
        <v/>
      </c>
      <c r="UDF6" s="27" t="str">
        <f>IFERROR(VLOOKUP(DATE($K$1,$K$2,UDF$4),Table1[],(MATCH(Calendar!$A6,DB!1:1,0)+2),FALSE),"")</f>
        <v/>
      </c>
      <c r="UDG6" s="27" t="str">
        <f>IFERROR(VLOOKUP(DATE($K$1,$K$2,UDG$4),Table1[],(MATCH(Calendar!$A6,DB!1:1,0)+2),FALSE),"")</f>
        <v/>
      </c>
      <c r="UDH6" s="27" t="str">
        <f>IFERROR(VLOOKUP(DATE($K$1,$K$2,UDH$4),Table1[],(MATCH(Calendar!$A6,DB!1:1,0)+2),FALSE),"")</f>
        <v/>
      </c>
      <c r="UDI6" s="27" t="str">
        <f>IFERROR(VLOOKUP(DATE($K$1,$K$2,UDI$4),Table1[],(MATCH(Calendar!$A6,DB!1:1,0)+2),FALSE),"")</f>
        <v/>
      </c>
      <c r="UDJ6" s="27" t="str">
        <f>IFERROR(VLOOKUP(DATE($K$1,$K$2,UDJ$4),Table1[],(MATCH(Calendar!$A6,DB!1:1,0)+2),FALSE),"")</f>
        <v/>
      </c>
      <c r="UDK6" s="27" t="str">
        <f>IFERROR(VLOOKUP(DATE($K$1,$K$2,UDK$4),Table1[],(MATCH(Calendar!$A6,DB!1:1,0)+2),FALSE),"")</f>
        <v/>
      </c>
      <c r="UDL6" s="27" t="str">
        <f>IFERROR(VLOOKUP(DATE($K$1,$K$2,UDL$4),Table1[],(MATCH(Calendar!$A6,DB!1:1,0)+2),FALSE),"")</f>
        <v/>
      </c>
      <c r="UDM6" s="27" t="str">
        <f>IFERROR(VLOOKUP(DATE($K$1,$K$2,UDM$4),Table1[],(MATCH(Calendar!$A6,DB!1:1,0)+2),FALSE),"")</f>
        <v/>
      </c>
      <c r="UDN6" s="27" t="str">
        <f>IFERROR(VLOOKUP(DATE($K$1,$K$2,UDN$4),Table1[],(MATCH(Calendar!$A6,DB!1:1,0)+2),FALSE),"")</f>
        <v/>
      </c>
      <c r="UDO6" s="27" t="str">
        <f>IFERROR(VLOOKUP(DATE($K$1,$K$2,UDO$4),Table1[],(MATCH(Calendar!$A6,DB!1:1,0)+2),FALSE),"")</f>
        <v/>
      </c>
      <c r="UDP6" s="27" t="str">
        <f>IFERROR(VLOOKUP(DATE($K$1,$K$2,UDP$4),Table1[],(MATCH(Calendar!$A6,DB!1:1,0)+2),FALSE),"")</f>
        <v/>
      </c>
      <c r="UDQ6" s="27" t="str">
        <f>IFERROR(VLOOKUP(DATE($K$1,$K$2,UDQ$4),Table1[],(MATCH(Calendar!$A6,DB!1:1,0)+2),FALSE),"")</f>
        <v/>
      </c>
      <c r="UDR6" s="27" t="str">
        <f>IFERROR(VLOOKUP(DATE($K$1,$K$2,UDR$4),Table1[],(MATCH(Calendar!$A6,DB!1:1,0)+2),FALSE),"")</f>
        <v/>
      </c>
      <c r="UDS6" s="27" t="str">
        <f>IFERROR(VLOOKUP(DATE($K$1,$K$2,UDS$4),Table1[],(MATCH(Calendar!$A6,DB!1:1,0)+2),FALSE),"")</f>
        <v/>
      </c>
      <c r="UDT6" s="27" t="str">
        <f>IFERROR(VLOOKUP(DATE($K$1,$K$2,UDT$4),Table1[],(MATCH(Calendar!$A6,DB!1:1,0)+2),FALSE),"")</f>
        <v/>
      </c>
      <c r="UDU6" s="27" t="str">
        <f>IFERROR(VLOOKUP(DATE($K$1,$K$2,UDU$4),Table1[],(MATCH(Calendar!$A6,DB!1:1,0)+2),FALSE),"")</f>
        <v/>
      </c>
      <c r="UDV6" s="27" t="str">
        <f>IFERROR(VLOOKUP(DATE($K$1,$K$2,UDV$4),Table1[],(MATCH(Calendar!$A6,DB!1:1,0)+2),FALSE),"")</f>
        <v/>
      </c>
      <c r="UDW6" s="27" t="str">
        <f>IFERROR(VLOOKUP(DATE($K$1,$K$2,UDW$4),Table1[],(MATCH(Calendar!$A6,DB!1:1,0)+2),FALSE),"")</f>
        <v/>
      </c>
      <c r="UDX6" s="27" t="str">
        <f>IFERROR(VLOOKUP(DATE($K$1,$K$2,UDX$4),Table1[],(MATCH(Calendar!$A6,DB!1:1,0)+2),FALSE),"")</f>
        <v/>
      </c>
      <c r="UDY6" s="27" t="str">
        <f>IFERROR(VLOOKUP(DATE($K$1,$K$2,UDY$4),Table1[],(MATCH(Calendar!$A6,DB!1:1,0)+2),FALSE),"")</f>
        <v/>
      </c>
      <c r="UDZ6" s="27" t="str">
        <f>IFERROR(VLOOKUP(DATE($K$1,$K$2,UDZ$4),Table1[],(MATCH(Calendar!$A6,DB!1:1,0)+2),FALSE),"")</f>
        <v/>
      </c>
      <c r="UEA6" s="27" t="str">
        <f>IFERROR(VLOOKUP(DATE($K$1,$K$2,UEA$4),Table1[],(MATCH(Calendar!$A6,DB!1:1,0)+2),FALSE),"")</f>
        <v/>
      </c>
      <c r="UEB6" s="27" t="str">
        <f>IFERROR(VLOOKUP(DATE($K$1,$K$2,UEB$4),Table1[],(MATCH(Calendar!$A6,DB!1:1,0)+2),FALSE),"")</f>
        <v/>
      </c>
      <c r="UEC6" s="27" t="str">
        <f>IFERROR(VLOOKUP(DATE($K$1,$K$2,UEC$4),Table1[],(MATCH(Calendar!$A6,DB!1:1,0)+2),FALSE),"")</f>
        <v/>
      </c>
      <c r="UED6" s="27" t="str">
        <f>IFERROR(VLOOKUP(DATE($K$1,$K$2,UED$4),Table1[],(MATCH(Calendar!$A6,DB!1:1,0)+2),FALSE),"")</f>
        <v/>
      </c>
      <c r="UEE6" s="27" t="str">
        <f>IFERROR(VLOOKUP(DATE($K$1,$K$2,UEE$4),Table1[],(MATCH(Calendar!$A6,DB!1:1,0)+2),FALSE),"")</f>
        <v/>
      </c>
      <c r="UEF6" s="27" t="str">
        <f>IFERROR(VLOOKUP(DATE($K$1,$K$2,UEF$4),Table1[],(MATCH(Calendar!$A6,DB!1:1,0)+2),FALSE),"")</f>
        <v/>
      </c>
      <c r="UEG6" s="27" t="str">
        <f>IFERROR(VLOOKUP(DATE($K$1,$K$2,UEG$4),Table1[],(MATCH(Calendar!$A6,DB!1:1,0)+2),FALSE),"")</f>
        <v/>
      </c>
      <c r="UEH6" s="27" t="str">
        <f>IFERROR(VLOOKUP(DATE($K$1,$K$2,UEH$4),Table1[],(MATCH(Calendar!$A6,DB!1:1,0)+2),FALSE),"")</f>
        <v/>
      </c>
      <c r="UEI6" s="27" t="str">
        <f>IFERROR(VLOOKUP(DATE($K$1,$K$2,UEI$4),Table1[],(MATCH(Calendar!$A6,DB!1:1,0)+2),FALSE),"")</f>
        <v/>
      </c>
      <c r="UEJ6" s="27" t="str">
        <f>IFERROR(VLOOKUP(DATE($K$1,$K$2,UEJ$4),Table1[],(MATCH(Calendar!$A6,DB!1:1,0)+2),FALSE),"")</f>
        <v/>
      </c>
      <c r="UEK6" s="27" t="str">
        <f>IFERROR(VLOOKUP(DATE($K$1,$K$2,UEK$4),Table1[],(MATCH(Calendar!$A6,DB!1:1,0)+2),FALSE),"")</f>
        <v/>
      </c>
      <c r="UEL6" s="27" t="str">
        <f>IFERROR(VLOOKUP(DATE($K$1,$K$2,UEL$4),Table1[],(MATCH(Calendar!$A6,DB!1:1,0)+2),FALSE),"")</f>
        <v/>
      </c>
      <c r="UEM6" s="27" t="str">
        <f>IFERROR(VLOOKUP(DATE($K$1,$K$2,UEM$4),Table1[],(MATCH(Calendar!$A6,DB!1:1,0)+2),FALSE),"")</f>
        <v/>
      </c>
      <c r="UEN6" s="27" t="str">
        <f>IFERROR(VLOOKUP(DATE($K$1,$K$2,UEN$4),Table1[],(MATCH(Calendar!$A6,DB!1:1,0)+2),FALSE),"")</f>
        <v/>
      </c>
      <c r="UEO6" s="27" t="str">
        <f>IFERROR(VLOOKUP(DATE($K$1,$K$2,UEO$4),Table1[],(MATCH(Calendar!$A6,DB!1:1,0)+2),FALSE),"")</f>
        <v/>
      </c>
      <c r="UEP6" s="27" t="str">
        <f>IFERROR(VLOOKUP(DATE($K$1,$K$2,UEP$4),Table1[],(MATCH(Calendar!$A6,DB!1:1,0)+2),FALSE),"")</f>
        <v/>
      </c>
      <c r="UEQ6" s="27" t="str">
        <f>IFERROR(VLOOKUP(DATE($K$1,$K$2,UEQ$4),Table1[],(MATCH(Calendar!$A6,DB!1:1,0)+2),FALSE),"")</f>
        <v/>
      </c>
      <c r="UER6" s="27" t="str">
        <f>IFERROR(VLOOKUP(DATE($K$1,$K$2,UER$4),Table1[],(MATCH(Calendar!$A6,DB!1:1,0)+2),FALSE),"")</f>
        <v/>
      </c>
      <c r="UES6" s="27" t="str">
        <f>IFERROR(VLOOKUP(DATE($K$1,$K$2,UES$4),Table1[],(MATCH(Calendar!$A6,DB!1:1,0)+2),FALSE),"")</f>
        <v/>
      </c>
      <c r="UET6" s="27" t="str">
        <f>IFERROR(VLOOKUP(DATE($K$1,$K$2,UET$4),Table1[],(MATCH(Calendar!$A6,DB!1:1,0)+2),FALSE),"")</f>
        <v/>
      </c>
      <c r="UEU6" s="27" t="str">
        <f>IFERROR(VLOOKUP(DATE($K$1,$K$2,UEU$4),Table1[],(MATCH(Calendar!$A6,DB!1:1,0)+2),FALSE),"")</f>
        <v/>
      </c>
      <c r="UEV6" s="27" t="str">
        <f>IFERROR(VLOOKUP(DATE($K$1,$K$2,UEV$4),Table1[],(MATCH(Calendar!$A6,DB!1:1,0)+2),FALSE),"")</f>
        <v/>
      </c>
      <c r="UEW6" s="27" t="str">
        <f>IFERROR(VLOOKUP(DATE($K$1,$K$2,UEW$4),Table1[],(MATCH(Calendar!$A6,DB!1:1,0)+2),FALSE),"")</f>
        <v/>
      </c>
      <c r="UEX6" s="27" t="str">
        <f>IFERROR(VLOOKUP(DATE($K$1,$K$2,UEX$4),Table1[],(MATCH(Calendar!$A6,DB!1:1,0)+2),FALSE),"")</f>
        <v/>
      </c>
      <c r="UEY6" s="27" t="str">
        <f>IFERROR(VLOOKUP(DATE($K$1,$K$2,UEY$4),Table1[],(MATCH(Calendar!$A6,DB!1:1,0)+2),FALSE),"")</f>
        <v/>
      </c>
      <c r="UEZ6" s="27" t="str">
        <f>IFERROR(VLOOKUP(DATE($K$1,$K$2,UEZ$4),Table1[],(MATCH(Calendar!$A6,DB!1:1,0)+2),FALSE),"")</f>
        <v/>
      </c>
      <c r="UFA6" s="27" t="str">
        <f>IFERROR(VLOOKUP(DATE($K$1,$K$2,UFA$4),Table1[],(MATCH(Calendar!$A6,DB!1:1,0)+2),FALSE),"")</f>
        <v/>
      </c>
      <c r="UFB6" s="27" t="str">
        <f>IFERROR(VLOOKUP(DATE($K$1,$K$2,UFB$4),Table1[],(MATCH(Calendar!$A6,DB!1:1,0)+2),FALSE),"")</f>
        <v/>
      </c>
      <c r="UFC6" s="27" t="str">
        <f>IFERROR(VLOOKUP(DATE($K$1,$K$2,UFC$4),Table1[],(MATCH(Calendar!$A6,DB!1:1,0)+2),FALSE),"")</f>
        <v/>
      </c>
      <c r="UFD6" s="27" t="str">
        <f>IFERROR(VLOOKUP(DATE($K$1,$K$2,UFD$4),Table1[],(MATCH(Calendar!$A6,DB!1:1,0)+2),FALSE),"")</f>
        <v/>
      </c>
      <c r="UFE6" s="27" t="str">
        <f>IFERROR(VLOOKUP(DATE($K$1,$K$2,UFE$4),Table1[],(MATCH(Calendar!$A6,DB!1:1,0)+2),FALSE),"")</f>
        <v/>
      </c>
      <c r="UFF6" s="27" t="str">
        <f>IFERROR(VLOOKUP(DATE($K$1,$K$2,UFF$4),Table1[],(MATCH(Calendar!$A6,DB!1:1,0)+2),FALSE),"")</f>
        <v/>
      </c>
      <c r="UFG6" s="27" t="str">
        <f>IFERROR(VLOOKUP(DATE($K$1,$K$2,UFG$4),Table1[],(MATCH(Calendar!$A6,DB!1:1,0)+2),FALSE),"")</f>
        <v/>
      </c>
      <c r="UFH6" s="27" t="str">
        <f>IFERROR(VLOOKUP(DATE($K$1,$K$2,UFH$4),Table1[],(MATCH(Calendar!$A6,DB!1:1,0)+2),FALSE),"")</f>
        <v/>
      </c>
      <c r="UFI6" s="27" t="str">
        <f>IFERROR(VLOOKUP(DATE($K$1,$K$2,UFI$4),Table1[],(MATCH(Calendar!$A6,DB!1:1,0)+2),FALSE),"")</f>
        <v/>
      </c>
      <c r="UFJ6" s="27" t="str">
        <f>IFERROR(VLOOKUP(DATE($K$1,$K$2,UFJ$4),Table1[],(MATCH(Calendar!$A6,DB!1:1,0)+2),FALSE),"")</f>
        <v/>
      </c>
      <c r="UFK6" s="27" t="str">
        <f>IFERROR(VLOOKUP(DATE($K$1,$K$2,UFK$4),Table1[],(MATCH(Calendar!$A6,DB!1:1,0)+2),FALSE),"")</f>
        <v/>
      </c>
      <c r="UFL6" s="27" t="str">
        <f>IFERROR(VLOOKUP(DATE($K$1,$K$2,UFL$4),Table1[],(MATCH(Calendar!$A6,DB!1:1,0)+2),FALSE),"")</f>
        <v/>
      </c>
      <c r="UFM6" s="27" t="str">
        <f>IFERROR(VLOOKUP(DATE($K$1,$K$2,UFM$4),Table1[],(MATCH(Calendar!$A6,DB!1:1,0)+2),FALSE),"")</f>
        <v/>
      </c>
      <c r="UFN6" s="27" t="str">
        <f>IFERROR(VLOOKUP(DATE($K$1,$K$2,UFN$4),Table1[],(MATCH(Calendar!$A6,DB!1:1,0)+2),FALSE),"")</f>
        <v/>
      </c>
      <c r="UFO6" s="27" t="str">
        <f>IFERROR(VLOOKUP(DATE($K$1,$K$2,UFO$4),Table1[],(MATCH(Calendar!$A6,DB!1:1,0)+2),FALSE),"")</f>
        <v/>
      </c>
      <c r="UFP6" s="27" t="str">
        <f>IFERROR(VLOOKUP(DATE($K$1,$K$2,UFP$4),Table1[],(MATCH(Calendar!$A6,DB!1:1,0)+2),FALSE),"")</f>
        <v/>
      </c>
      <c r="UFQ6" s="27" t="str">
        <f>IFERROR(VLOOKUP(DATE($K$1,$K$2,UFQ$4),Table1[],(MATCH(Calendar!$A6,DB!1:1,0)+2),FALSE),"")</f>
        <v/>
      </c>
      <c r="UFR6" s="27" t="str">
        <f>IFERROR(VLOOKUP(DATE($K$1,$K$2,UFR$4),Table1[],(MATCH(Calendar!$A6,DB!1:1,0)+2),FALSE),"")</f>
        <v/>
      </c>
      <c r="UFS6" s="27" t="str">
        <f>IFERROR(VLOOKUP(DATE($K$1,$K$2,UFS$4),Table1[],(MATCH(Calendar!$A6,DB!1:1,0)+2),FALSE),"")</f>
        <v/>
      </c>
      <c r="UFT6" s="27" t="str">
        <f>IFERROR(VLOOKUP(DATE($K$1,$K$2,UFT$4),Table1[],(MATCH(Calendar!$A6,DB!1:1,0)+2),FALSE),"")</f>
        <v/>
      </c>
      <c r="UFU6" s="27" t="str">
        <f>IFERROR(VLOOKUP(DATE($K$1,$K$2,UFU$4),Table1[],(MATCH(Calendar!$A6,DB!1:1,0)+2),FALSE),"")</f>
        <v/>
      </c>
      <c r="UFV6" s="27" t="str">
        <f>IFERROR(VLOOKUP(DATE($K$1,$K$2,UFV$4),Table1[],(MATCH(Calendar!$A6,DB!1:1,0)+2),FALSE),"")</f>
        <v/>
      </c>
      <c r="UFW6" s="27" t="str">
        <f>IFERROR(VLOOKUP(DATE($K$1,$K$2,UFW$4),Table1[],(MATCH(Calendar!$A6,DB!1:1,0)+2),FALSE),"")</f>
        <v/>
      </c>
      <c r="UFX6" s="27" t="str">
        <f>IFERROR(VLOOKUP(DATE($K$1,$K$2,UFX$4),Table1[],(MATCH(Calendar!$A6,DB!1:1,0)+2),FALSE),"")</f>
        <v/>
      </c>
      <c r="UFY6" s="27" t="str">
        <f>IFERROR(VLOOKUP(DATE($K$1,$K$2,UFY$4),Table1[],(MATCH(Calendar!$A6,DB!1:1,0)+2),FALSE),"")</f>
        <v/>
      </c>
      <c r="UFZ6" s="27" t="str">
        <f>IFERROR(VLOOKUP(DATE($K$1,$K$2,UFZ$4),Table1[],(MATCH(Calendar!$A6,DB!1:1,0)+2),FALSE),"")</f>
        <v/>
      </c>
      <c r="UGA6" s="27" t="str">
        <f>IFERROR(VLOOKUP(DATE($K$1,$K$2,UGA$4),Table1[],(MATCH(Calendar!$A6,DB!1:1,0)+2),FALSE),"")</f>
        <v/>
      </c>
      <c r="UGB6" s="27" t="str">
        <f>IFERROR(VLOOKUP(DATE($K$1,$K$2,UGB$4),Table1[],(MATCH(Calendar!$A6,DB!1:1,0)+2),FALSE),"")</f>
        <v/>
      </c>
      <c r="UGC6" s="27" t="str">
        <f>IFERROR(VLOOKUP(DATE($K$1,$K$2,UGC$4),Table1[],(MATCH(Calendar!$A6,DB!1:1,0)+2),FALSE),"")</f>
        <v/>
      </c>
      <c r="UGD6" s="27" t="str">
        <f>IFERROR(VLOOKUP(DATE($K$1,$K$2,UGD$4),Table1[],(MATCH(Calendar!$A6,DB!1:1,0)+2),FALSE),"")</f>
        <v/>
      </c>
      <c r="UGE6" s="27" t="str">
        <f>IFERROR(VLOOKUP(DATE($K$1,$K$2,UGE$4),Table1[],(MATCH(Calendar!$A6,DB!1:1,0)+2),FALSE),"")</f>
        <v/>
      </c>
      <c r="UGF6" s="27" t="str">
        <f>IFERROR(VLOOKUP(DATE($K$1,$K$2,UGF$4),Table1[],(MATCH(Calendar!$A6,DB!1:1,0)+2),FALSE),"")</f>
        <v/>
      </c>
      <c r="UGG6" s="27" t="str">
        <f>IFERROR(VLOOKUP(DATE($K$1,$K$2,UGG$4),Table1[],(MATCH(Calendar!$A6,DB!1:1,0)+2),FALSE),"")</f>
        <v/>
      </c>
      <c r="UGH6" s="27" t="str">
        <f>IFERROR(VLOOKUP(DATE($K$1,$K$2,UGH$4),Table1[],(MATCH(Calendar!$A6,DB!1:1,0)+2),FALSE),"")</f>
        <v/>
      </c>
      <c r="UGI6" s="27" t="str">
        <f>IFERROR(VLOOKUP(DATE($K$1,$K$2,UGI$4),Table1[],(MATCH(Calendar!$A6,DB!1:1,0)+2),FALSE),"")</f>
        <v/>
      </c>
      <c r="UGJ6" s="27" t="str">
        <f>IFERROR(VLOOKUP(DATE($K$1,$K$2,UGJ$4),Table1[],(MATCH(Calendar!$A6,DB!1:1,0)+2),FALSE),"")</f>
        <v/>
      </c>
      <c r="UGK6" s="27" t="str">
        <f>IFERROR(VLOOKUP(DATE($K$1,$K$2,UGK$4),Table1[],(MATCH(Calendar!$A6,DB!1:1,0)+2),FALSE),"")</f>
        <v/>
      </c>
      <c r="UGL6" s="27" t="str">
        <f>IFERROR(VLOOKUP(DATE($K$1,$K$2,UGL$4),Table1[],(MATCH(Calendar!$A6,DB!1:1,0)+2),FALSE),"")</f>
        <v/>
      </c>
      <c r="UGM6" s="27" t="str">
        <f>IFERROR(VLOOKUP(DATE($K$1,$K$2,UGM$4),Table1[],(MATCH(Calendar!$A6,DB!1:1,0)+2),FALSE),"")</f>
        <v/>
      </c>
      <c r="UGN6" s="27" t="str">
        <f>IFERROR(VLOOKUP(DATE($K$1,$K$2,UGN$4),Table1[],(MATCH(Calendar!$A6,DB!1:1,0)+2),FALSE),"")</f>
        <v/>
      </c>
      <c r="UGO6" s="27" t="str">
        <f>IFERROR(VLOOKUP(DATE($K$1,$K$2,UGO$4),Table1[],(MATCH(Calendar!$A6,DB!1:1,0)+2),FALSE),"")</f>
        <v/>
      </c>
      <c r="UGP6" s="27" t="str">
        <f>IFERROR(VLOOKUP(DATE($K$1,$K$2,UGP$4),Table1[],(MATCH(Calendar!$A6,DB!1:1,0)+2),FALSE),"")</f>
        <v/>
      </c>
      <c r="UGQ6" s="27" t="str">
        <f>IFERROR(VLOOKUP(DATE($K$1,$K$2,UGQ$4),Table1[],(MATCH(Calendar!$A6,DB!1:1,0)+2),FALSE),"")</f>
        <v/>
      </c>
      <c r="UGR6" s="27" t="str">
        <f>IFERROR(VLOOKUP(DATE($K$1,$K$2,UGR$4),Table1[],(MATCH(Calendar!$A6,DB!1:1,0)+2),FALSE),"")</f>
        <v/>
      </c>
      <c r="UGS6" s="27" t="str">
        <f>IFERROR(VLOOKUP(DATE($K$1,$K$2,UGS$4),Table1[],(MATCH(Calendar!$A6,DB!1:1,0)+2),FALSE),"")</f>
        <v/>
      </c>
      <c r="UGT6" s="27" t="str">
        <f>IFERROR(VLOOKUP(DATE($K$1,$K$2,UGT$4),Table1[],(MATCH(Calendar!$A6,DB!1:1,0)+2),FALSE),"")</f>
        <v/>
      </c>
      <c r="UGU6" s="27" t="str">
        <f>IFERROR(VLOOKUP(DATE($K$1,$K$2,UGU$4),Table1[],(MATCH(Calendar!$A6,DB!1:1,0)+2),FALSE),"")</f>
        <v/>
      </c>
      <c r="UGV6" s="27" t="str">
        <f>IFERROR(VLOOKUP(DATE($K$1,$K$2,UGV$4),Table1[],(MATCH(Calendar!$A6,DB!1:1,0)+2),FALSE),"")</f>
        <v/>
      </c>
      <c r="UGW6" s="27" t="str">
        <f>IFERROR(VLOOKUP(DATE($K$1,$K$2,UGW$4),Table1[],(MATCH(Calendar!$A6,DB!1:1,0)+2),FALSE),"")</f>
        <v/>
      </c>
      <c r="UGX6" s="27" t="str">
        <f>IFERROR(VLOOKUP(DATE($K$1,$K$2,UGX$4),Table1[],(MATCH(Calendar!$A6,DB!1:1,0)+2),FALSE),"")</f>
        <v/>
      </c>
      <c r="UGY6" s="27" t="str">
        <f>IFERROR(VLOOKUP(DATE($K$1,$K$2,UGY$4),Table1[],(MATCH(Calendar!$A6,DB!1:1,0)+2),FALSE),"")</f>
        <v/>
      </c>
      <c r="UGZ6" s="27" t="str">
        <f>IFERROR(VLOOKUP(DATE($K$1,$K$2,UGZ$4),Table1[],(MATCH(Calendar!$A6,DB!1:1,0)+2),FALSE),"")</f>
        <v/>
      </c>
      <c r="UHA6" s="27" t="str">
        <f>IFERROR(VLOOKUP(DATE($K$1,$K$2,UHA$4),Table1[],(MATCH(Calendar!$A6,DB!1:1,0)+2),FALSE),"")</f>
        <v/>
      </c>
      <c r="UHB6" s="27" t="str">
        <f>IFERROR(VLOOKUP(DATE($K$1,$K$2,UHB$4),Table1[],(MATCH(Calendar!$A6,DB!1:1,0)+2),FALSE),"")</f>
        <v/>
      </c>
      <c r="UHC6" s="27" t="str">
        <f>IFERROR(VLOOKUP(DATE($K$1,$K$2,UHC$4),Table1[],(MATCH(Calendar!$A6,DB!1:1,0)+2),FALSE),"")</f>
        <v/>
      </c>
      <c r="UHD6" s="27" t="str">
        <f>IFERROR(VLOOKUP(DATE($K$1,$K$2,UHD$4),Table1[],(MATCH(Calendar!$A6,DB!1:1,0)+2),FALSE),"")</f>
        <v/>
      </c>
      <c r="UHE6" s="27" t="str">
        <f>IFERROR(VLOOKUP(DATE($K$1,$K$2,UHE$4),Table1[],(MATCH(Calendar!$A6,DB!1:1,0)+2),FALSE),"")</f>
        <v/>
      </c>
      <c r="UHF6" s="27" t="str">
        <f>IFERROR(VLOOKUP(DATE($K$1,$K$2,UHF$4),Table1[],(MATCH(Calendar!$A6,DB!1:1,0)+2),FALSE),"")</f>
        <v/>
      </c>
      <c r="UHG6" s="27" t="str">
        <f>IFERROR(VLOOKUP(DATE($K$1,$K$2,UHG$4),Table1[],(MATCH(Calendar!$A6,DB!1:1,0)+2),FALSE),"")</f>
        <v/>
      </c>
      <c r="UHH6" s="27" t="str">
        <f>IFERROR(VLOOKUP(DATE($K$1,$K$2,UHH$4),Table1[],(MATCH(Calendar!$A6,DB!1:1,0)+2),FALSE),"")</f>
        <v/>
      </c>
      <c r="UHI6" s="27" t="str">
        <f>IFERROR(VLOOKUP(DATE($K$1,$K$2,UHI$4),Table1[],(MATCH(Calendar!$A6,DB!1:1,0)+2),FALSE),"")</f>
        <v/>
      </c>
      <c r="UHJ6" s="27" t="str">
        <f>IFERROR(VLOOKUP(DATE($K$1,$K$2,UHJ$4),Table1[],(MATCH(Calendar!$A6,DB!1:1,0)+2),FALSE),"")</f>
        <v/>
      </c>
      <c r="UHK6" s="27" t="str">
        <f>IFERROR(VLOOKUP(DATE($K$1,$K$2,UHK$4),Table1[],(MATCH(Calendar!$A6,DB!1:1,0)+2),FALSE),"")</f>
        <v/>
      </c>
      <c r="UHL6" s="27" t="str">
        <f>IFERROR(VLOOKUP(DATE($K$1,$K$2,UHL$4),Table1[],(MATCH(Calendar!$A6,DB!1:1,0)+2),FALSE),"")</f>
        <v/>
      </c>
      <c r="UHM6" s="27" t="str">
        <f>IFERROR(VLOOKUP(DATE($K$1,$K$2,UHM$4),Table1[],(MATCH(Calendar!$A6,DB!1:1,0)+2),FALSE),"")</f>
        <v/>
      </c>
      <c r="UHN6" s="27" t="str">
        <f>IFERROR(VLOOKUP(DATE($K$1,$K$2,UHN$4),Table1[],(MATCH(Calendar!$A6,DB!1:1,0)+2),FALSE),"")</f>
        <v/>
      </c>
      <c r="UHO6" s="27" t="str">
        <f>IFERROR(VLOOKUP(DATE($K$1,$K$2,UHO$4),Table1[],(MATCH(Calendar!$A6,DB!1:1,0)+2),FALSE),"")</f>
        <v/>
      </c>
      <c r="UHP6" s="27" t="str">
        <f>IFERROR(VLOOKUP(DATE($K$1,$K$2,UHP$4),Table1[],(MATCH(Calendar!$A6,DB!1:1,0)+2),FALSE),"")</f>
        <v/>
      </c>
      <c r="UHQ6" s="27" t="str">
        <f>IFERROR(VLOOKUP(DATE($K$1,$K$2,UHQ$4),Table1[],(MATCH(Calendar!$A6,DB!1:1,0)+2),FALSE),"")</f>
        <v/>
      </c>
      <c r="UHR6" s="27" t="str">
        <f>IFERROR(VLOOKUP(DATE($K$1,$K$2,UHR$4),Table1[],(MATCH(Calendar!$A6,DB!1:1,0)+2),FALSE),"")</f>
        <v/>
      </c>
      <c r="UHS6" s="27" t="str">
        <f>IFERROR(VLOOKUP(DATE($K$1,$K$2,UHS$4),Table1[],(MATCH(Calendar!$A6,DB!1:1,0)+2),FALSE),"")</f>
        <v/>
      </c>
      <c r="UHT6" s="27" t="str">
        <f>IFERROR(VLOOKUP(DATE($K$1,$K$2,UHT$4),Table1[],(MATCH(Calendar!$A6,DB!1:1,0)+2),FALSE),"")</f>
        <v/>
      </c>
      <c r="UHU6" s="27" t="str">
        <f>IFERROR(VLOOKUP(DATE($K$1,$K$2,UHU$4),Table1[],(MATCH(Calendar!$A6,DB!1:1,0)+2),FALSE),"")</f>
        <v/>
      </c>
      <c r="UHV6" s="27" t="str">
        <f>IFERROR(VLOOKUP(DATE($K$1,$K$2,UHV$4),Table1[],(MATCH(Calendar!$A6,DB!1:1,0)+2),FALSE),"")</f>
        <v/>
      </c>
      <c r="UHW6" s="27" t="str">
        <f>IFERROR(VLOOKUP(DATE($K$1,$K$2,UHW$4),Table1[],(MATCH(Calendar!$A6,DB!1:1,0)+2),FALSE),"")</f>
        <v/>
      </c>
      <c r="UHX6" s="27" t="str">
        <f>IFERROR(VLOOKUP(DATE($K$1,$K$2,UHX$4),Table1[],(MATCH(Calendar!$A6,DB!1:1,0)+2),FALSE),"")</f>
        <v/>
      </c>
      <c r="UHY6" s="27" t="str">
        <f>IFERROR(VLOOKUP(DATE($K$1,$K$2,UHY$4),Table1[],(MATCH(Calendar!$A6,DB!1:1,0)+2),FALSE),"")</f>
        <v/>
      </c>
      <c r="UHZ6" s="27" t="str">
        <f>IFERROR(VLOOKUP(DATE($K$1,$K$2,UHZ$4),Table1[],(MATCH(Calendar!$A6,DB!1:1,0)+2),FALSE),"")</f>
        <v/>
      </c>
      <c r="UIA6" s="27" t="str">
        <f>IFERROR(VLOOKUP(DATE($K$1,$K$2,UIA$4),Table1[],(MATCH(Calendar!$A6,DB!1:1,0)+2),FALSE),"")</f>
        <v/>
      </c>
      <c r="UIB6" s="27" t="str">
        <f>IFERROR(VLOOKUP(DATE($K$1,$K$2,UIB$4),Table1[],(MATCH(Calendar!$A6,DB!1:1,0)+2),FALSE),"")</f>
        <v/>
      </c>
      <c r="UIC6" s="27" t="str">
        <f>IFERROR(VLOOKUP(DATE($K$1,$K$2,UIC$4),Table1[],(MATCH(Calendar!$A6,DB!1:1,0)+2),FALSE),"")</f>
        <v/>
      </c>
      <c r="UID6" s="27" t="str">
        <f>IFERROR(VLOOKUP(DATE($K$1,$K$2,UID$4),Table1[],(MATCH(Calendar!$A6,DB!1:1,0)+2),FALSE),"")</f>
        <v/>
      </c>
      <c r="UIE6" s="27" t="str">
        <f>IFERROR(VLOOKUP(DATE($K$1,$K$2,UIE$4),Table1[],(MATCH(Calendar!$A6,DB!1:1,0)+2),FALSE),"")</f>
        <v/>
      </c>
      <c r="UIF6" s="27" t="str">
        <f>IFERROR(VLOOKUP(DATE($K$1,$K$2,UIF$4),Table1[],(MATCH(Calendar!$A6,DB!1:1,0)+2),FALSE),"")</f>
        <v/>
      </c>
      <c r="UIG6" s="27" t="str">
        <f>IFERROR(VLOOKUP(DATE($K$1,$K$2,UIG$4),Table1[],(MATCH(Calendar!$A6,DB!1:1,0)+2),FALSE),"")</f>
        <v/>
      </c>
      <c r="UIH6" s="27" t="str">
        <f>IFERROR(VLOOKUP(DATE($K$1,$K$2,UIH$4),Table1[],(MATCH(Calendar!$A6,DB!1:1,0)+2),FALSE),"")</f>
        <v/>
      </c>
      <c r="UII6" s="27" t="str">
        <f>IFERROR(VLOOKUP(DATE($K$1,$K$2,UII$4),Table1[],(MATCH(Calendar!$A6,DB!1:1,0)+2),FALSE),"")</f>
        <v/>
      </c>
      <c r="UIJ6" s="27" t="str">
        <f>IFERROR(VLOOKUP(DATE($K$1,$K$2,UIJ$4),Table1[],(MATCH(Calendar!$A6,DB!1:1,0)+2),FALSE),"")</f>
        <v/>
      </c>
      <c r="UIK6" s="27" t="str">
        <f>IFERROR(VLOOKUP(DATE($K$1,$K$2,UIK$4),Table1[],(MATCH(Calendar!$A6,DB!1:1,0)+2),FALSE),"")</f>
        <v/>
      </c>
      <c r="UIL6" s="27" t="str">
        <f>IFERROR(VLOOKUP(DATE($K$1,$K$2,UIL$4),Table1[],(MATCH(Calendar!$A6,DB!1:1,0)+2),FALSE),"")</f>
        <v/>
      </c>
      <c r="UIM6" s="27" t="str">
        <f>IFERROR(VLOOKUP(DATE($K$1,$K$2,UIM$4),Table1[],(MATCH(Calendar!$A6,DB!1:1,0)+2),FALSE),"")</f>
        <v/>
      </c>
      <c r="UIN6" s="27" t="str">
        <f>IFERROR(VLOOKUP(DATE($K$1,$K$2,UIN$4),Table1[],(MATCH(Calendar!$A6,DB!1:1,0)+2),FALSE),"")</f>
        <v/>
      </c>
      <c r="UIO6" s="27" t="str">
        <f>IFERROR(VLOOKUP(DATE($K$1,$K$2,UIO$4),Table1[],(MATCH(Calendar!$A6,DB!1:1,0)+2),FALSE),"")</f>
        <v/>
      </c>
      <c r="UIP6" s="27" t="str">
        <f>IFERROR(VLOOKUP(DATE($K$1,$K$2,UIP$4),Table1[],(MATCH(Calendar!$A6,DB!1:1,0)+2),FALSE),"")</f>
        <v/>
      </c>
      <c r="UIQ6" s="27" t="str">
        <f>IFERROR(VLOOKUP(DATE($K$1,$K$2,UIQ$4),Table1[],(MATCH(Calendar!$A6,DB!1:1,0)+2),FALSE),"")</f>
        <v/>
      </c>
      <c r="UIR6" s="27" t="str">
        <f>IFERROR(VLOOKUP(DATE($K$1,$K$2,UIR$4),Table1[],(MATCH(Calendar!$A6,DB!1:1,0)+2),FALSE),"")</f>
        <v/>
      </c>
      <c r="UIS6" s="27" t="str">
        <f>IFERROR(VLOOKUP(DATE($K$1,$K$2,UIS$4),Table1[],(MATCH(Calendar!$A6,DB!1:1,0)+2),FALSE),"")</f>
        <v/>
      </c>
      <c r="UIT6" s="27" t="str">
        <f>IFERROR(VLOOKUP(DATE($K$1,$K$2,UIT$4),Table1[],(MATCH(Calendar!$A6,DB!1:1,0)+2),FALSE),"")</f>
        <v/>
      </c>
      <c r="UIU6" s="27" t="str">
        <f>IFERROR(VLOOKUP(DATE($K$1,$K$2,UIU$4),Table1[],(MATCH(Calendar!$A6,DB!1:1,0)+2),FALSE),"")</f>
        <v/>
      </c>
      <c r="UIV6" s="27" t="str">
        <f>IFERROR(VLOOKUP(DATE($K$1,$K$2,UIV$4),Table1[],(MATCH(Calendar!$A6,DB!1:1,0)+2),FALSE),"")</f>
        <v/>
      </c>
      <c r="UIW6" s="27" t="str">
        <f>IFERROR(VLOOKUP(DATE($K$1,$K$2,UIW$4),Table1[],(MATCH(Calendar!$A6,DB!1:1,0)+2),FALSE),"")</f>
        <v/>
      </c>
      <c r="UIX6" s="27" t="str">
        <f>IFERROR(VLOOKUP(DATE($K$1,$K$2,UIX$4),Table1[],(MATCH(Calendar!$A6,DB!1:1,0)+2),FALSE),"")</f>
        <v/>
      </c>
      <c r="UIY6" s="27" t="str">
        <f>IFERROR(VLOOKUP(DATE($K$1,$K$2,UIY$4),Table1[],(MATCH(Calendar!$A6,DB!1:1,0)+2),FALSE),"")</f>
        <v/>
      </c>
      <c r="UIZ6" s="27" t="str">
        <f>IFERROR(VLOOKUP(DATE($K$1,$K$2,UIZ$4),Table1[],(MATCH(Calendar!$A6,DB!1:1,0)+2),FALSE),"")</f>
        <v/>
      </c>
      <c r="UJA6" s="27" t="str">
        <f>IFERROR(VLOOKUP(DATE($K$1,$K$2,UJA$4),Table1[],(MATCH(Calendar!$A6,DB!1:1,0)+2),FALSE),"")</f>
        <v/>
      </c>
      <c r="UJB6" s="27" t="str">
        <f>IFERROR(VLOOKUP(DATE($K$1,$K$2,UJB$4),Table1[],(MATCH(Calendar!$A6,DB!1:1,0)+2),FALSE),"")</f>
        <v/>
      </c>
      <c r="UJC6" s="27" t="str">
        <f>IFERROR(VLOOKUP(DATE($K$1,$K$2,UJC$4),Table1[],(MATCH(Calendar!$A6,DB!1:1,0)+2),FALSE),"")</f>
        <v/>
      </c>
      <c r="UJD6" s="27" t="str">
        <f>IFERROR(VLOOKUP(DATE($K$1,$K$2,UJD$4),Table1[],(MATCH(Calendar!$A6,DB!1:1,0)+2),FALSE),"")</f>
        <v/>
      </c>
      <c r="UJE6" s="27" t="str">
        <f>IFERROR(VLOOKUP(DATE($K$1,$K$2,UJE$4),Table1[],(MATCH(Calendar!$A6,DB!1:1,0)+2),FALSE),"")</f>
        <v/>
      </c>
      <c r="UJF6" s="27" t="str">
        <f>IFERROR(VLOOKUP(DATE($K$1,$K$2,UJF$4),Table1[],(MATCH(Calendar!$A6,DB!1:1,0)+2),FALSE),"")</f>
        <v/>
      </c>
      <c r="UJG6" s="27" t="str">
        <f>IFERROR(VLOOKUP(DATE($K$1,$K$2,UJG$4),Table1[],(MATCH(Calendar!$A6,DB!1:1,0)+2),FALSE),"")</f>
        <v/>
      </c>
      <c r="UJH6" s="27" t="str">
        <f>IFERROR(VLOOKUP(DATE($K$1,$K$2,UJH$4),Table1[],(MATCH(Calendar!$A6,DB!1:1,0)+2),FALSE),"")</f>
        <v/>
      </c>
      <c r="UJI6" s="27" t="str">
        <f>IFERROR(VLOOKUP(DATE($K$1,$K$2,UJI$4),Table1[],(MATCH(Calendar!$A6,DB!1:1,0)+2),FALSE),"")</f>
        <v/>
      </c>
      <c r="UJJ6" s="27" t="str">
        <f>IFERROR(VLOOKUP(DATE($K$1,$K$2,UJJ$4),Table1[],(MATCH(Calendar!$A6,DB!1:1,0)+2),FALSE),"")</f>
        <v/>
      </c>
      <c r="UJK6" s="27" t="str">
        <f>IFERROR(VLOOKUP(DATE($K$1,$K$2,UJK$4),Table1[],(MATCH(Calendar!$A6,DB!1:1,0)+2),FALSE),"")</f>
        <v/>
      </c>
      <c r="UJL6" s="27" t="str">
        <f>IFERROR(VLOOKUP(DATE($K$1,$K$2,UJL$4),Table1[],(MATCH(Calendar!$A6,DB!1:1,0)+2),FALSE),"")</f>
        <v/>
      </c>
      <c r="UJM6" s="27" t="str">
        <f>IFERROR(VLOOKUP(DATE($K$1,$K$2,UJM$4),Table1[],(MATCH(Calendar!$A6,DB!1:1,0)+2),FALSE),"")</f>
        <v/>
      </c>
      <c r="UJN6" s="27" t="str">
        <f>IFERROR(VLOOKUP(DATE($K$1,$K$2,UJN$4),Table1[],(MATCH(Calendar!$A6,DB!1:1,0)+2),FALSE),"")</f>
        <v/>
      </c>
      <c r="UJO6" s="27" t="str">
        <f>IFERROR(VLOOKUP(DATE($K$1,$K$2,UJO$4),Table1[],(MATCH(Calendar!$A6,DB!1:1,0)+2),FALSE),"")</f>
        <v/>
      </c>
      <c r="UJP6" s="27" t="str">
        <f>IFERROR(VLOOKUP(DATE($K$1,$K$2,UJP$4),Table1[],(MATCH(Calendar!$A6,DB!1:1,0)+2),FALSE),"")</f>
        <v/>
      </c>
      <c r="UJQ6" s="27" t="str">
        <f>IFERROR(VLOOKUP(DATE($K$1,$K$2,UJQ$4),Table1[],(MATCH(Calendar!$A6,DB!1:1,0)+2),FALSE),"")</f>
        <v/>
      </c>
      <c r="UJR6" s="27" t="str">
        <f>IFERROR(VLOOKUP(DATE($K$1,$K$2,UJR$4),Table1[],(MATCH(Calendar!$A6,DB!1:1,0)+2),FALSE),"")</f>
        <v/>
      </c>
      <c r="UJS6" s="27" t="str">
        <f>IFERROR(VLOOKUP(DATE($K$1,$K$2,UJS$4),Table1[],(MATCH(Calendar!$A6,DB!1:1,0)+2),FALSE),"")</f>
        <v/>
      </c>
      <c r="UJT6" s="27" t="str">
        <f>IFERROR(VLOOKUP(DATE($K$1,$K$2,UJT$4),Table1[],(MATCH(Calendar!$A6,DB!1:1,0)+2),FALSE),"")</f>
        <v/>
      </c>
      <c r="UJU6" s="27" t="str">
        <f>IFERROR(VLOOKUP(DATE($K$1,$K$2,UJU$4),Table1[],(MATCH(Calendar!$A6,DB!1:1,0)+2),FALSE),"")</f>
        <v/>
      </c>
      <c r="UJV6" s="27" t="str">
        <f>IFERROR(VLOOKUP(DATE($K$1,$K$2,UJV$4),Table1[],(MATCH(Calendar!$A6,DB!1:1,0)+2),FALSE),"")</f>
        <v/>
      </c>
      <c r="UJW6" s="27" t="str">
        <f>IFERROR(VLOOKUP(DATE($K$1,$K$2,UJW$4),Table1[],(MATCH(Calendar!$A6,DB!1:1,0)+2),FALSE),"")</f>
        <v/>
      </c>
      <c r="UJX6" s="27" t="str">
        <f>IFERROR(VLOOKUP(DATE($K$1,$K$2,UJX$4),Table1[],(MATCH(Calendar!$A6,DB!1:1,0)+2),FALSE),"")</f>
        <v/>
      </c>
      <c r="UJY6" s="27" t="str">
        <f>IFERROR(VLOOKUP(DATE($K$1,$K$2,UJY$4),Table1[],(MATCH(Calendar!$A6,DB!1:1,0)+2),FALSE),"")</f>
        <v/>
      </c>
      <c r="UJZ6" s="27" t="str">
        <f>IFERROR(VLOOKUP(DATE($K$1,$K$2,UJZ$4),Table1[],(MATCH(Calendar!$A6,DB!1:1,0)+2),FALSE),"")</f>
        <v/>
      </c>
      <c r="UKA6" s="27" t="str">
        <f>IFERROR(VLOOKUP(DATE($K$1,$K$2,UKA$4),Table1[],(MATCH(Calendar!$A6,DB!1:1,0)+2),FALSE),"")</f>
        <v/>
      </c>
      <c r="UKB6" s="27" t="str">
        <f>IFERROR(VLOOKUP(DATE($K$1,$K$2,UKB$4),Table1[],(MATCH(Calendar!$A6,DB!1:1,0)+2),FALSE),"")</f>
        <v/>
      </c>
      <c r="UKC6" s="27" t="str">
        <f>IFERROR(VLOOKUP(DATE($K$1,$K$2,UKC$4),Table1[],(MATCH(Calendar!$A6,DB!1:1,0)+2),FALSE),"")</f>
        <v/>
      </c>
      <c r="UKD6" s="27" t="str">
        <f>IFERROR(VLOOKUP(DATE($K$1,$K$2,UKD$4),Table1[],(MATCH(Calendar!$A6,DB!1:1,0)+2),FALSE),"")</f>
        <v/>
      </c>
      <c r="UKE6" s="27" t="str">
        <f>IFERROR(VLOOKUP(DATE($K$1,$K$2,UKE$4),Table1[],(MATCH(Calendar!$A6,DB!1:1,0)+2),FALSE),"")</f>
        <v/>
      </c>
      <c r="UKF6" s="27" t="str">
        <f>IFERROR(VLOOKUP(DATE($K$1,$K$2,UKF$4),Table1[],(MATCH(Calendar!$A6,DB!1:1,0)+2),FALSE),"")</f>
        <v/>
      </c>
      <c r="UKG6" s="27" t="str">
        <f>IFERROR(VLOOKUP(DATE($K$1,$K$2,UKG$4),Table1[],(MATCH(Calendar!$A6,DB!1:1,0)+2),FALSE),"")</f>
        <v/>
      </c>
      <c r="UKH6" s="27" t="str">
        <f>IFERROR(VLOOKUP(DATE($K$1,$K$2,UKH$4),Table1[],(MATCH(Calendar!$A6,DB!1:1,0)+2),FALSE),"")</f>
        <v/>
      </c>
      <c r="UKI6" s="27" t="str">
        <f>IFERROR(VLOOKUP(DATE($K$1,$K$2,UKI$4),Table1[],(MATCH(Calendar!$A6,DB!1:1,0)+2),FALSE),"")</f>
        <v/>
      </c>
      <c r="UKJ6" s="27" t="str">
        <f>IFERROR(VLOOKUP(DATE($K$1,$K$2,UKJ$4),Table1[],(MATCH(Calendar!$A6,DB!1:1,0)+2),FALSE),"")</f>
        <v/>
      </c>
      <c r="UKK6" s="27" t="str">
        <f>IFERROR(VLOOKUP(DATE($K$1,$K$2,UKK$4),Table1[],(MATCH(Calendar!$A6,DB!1:1,0)+2),FALSE),"")</f>
        <v/>
      </c>
      <c r="UKL6" s="27" t="str">
        <f>IFERROR(VLOOKUP(DATE($K$1,$K$2,UKL$4),Table1[],(MATCH(Calendar!$A6,DB!1:1,0)+2),FALSE),"")</f>
        <v/>
      </c>
      <c r="UKM6" s="27" t="str">
        <f>IFERROR(VLOOKUP(DATE($K$1,$K$2,UKM$4),Table1[],(MATCH(Calendar!$A6,DB!1:1,0)+2),FALSE),"")</f>
        <v/>
      </c>
      <c r="UKN6" s="27" t="str">
        <f>IFERROR(VLOOKUP(DATE($K$1,$K$2,UKN$4),Table1[],(MATCH(Calendar!$A6,DB!1:1,0)+2),FALSE),"")</f>
        <v/>
      </c>
      <c r="UKO6" s="27" t="str">
        <f>IFERROR(VLOOKUP(DATE($K$1,$K$2,UKO$4),Table1[],(MATCH(Calendar!$A6,DB!1:1,0)+2),FALSE),"")</f>
        <v/>
      </c>
      <c r="UKP6" s="27" t="str">
        <f>IFERROR(VLOOKUP(DATE($K$1,$K$2,UKP$4),Table1[],(MATCH(Calendar!$A6,DB!1:1,0)+2),FALSE),"")</f>
        <v/>
      </c>
      <c r="UKQ6" s="27" t="str">
        <f>IFERROR(VLOOKUP(DATE($K$1,$K$2,UKQ$4),Table1[],(MATCH(Calendar!$A6,DB!1:1,0)+2),FALSE),"")</f>
        <v/>
      </c>
      <c r="UKR6" s="27" t="str">
        <f>IFERROR(VLOOKUP(DATE($K$1,$K$2,UKR$4),Table1[],(MATCH(Calendar!$A6,DB!1:1,0)+2),FALSE),"")</f>
        <v/>
      </c>
      <c r="UKS6" s="27" t="str">
        <f>IFERROR(VLOOKUP(DATE($K$1,$K$2,UKS$4),Table1[],(MATCH(Calendar!$A6,DB!1:1,0)+2),FALSE),"")</f>
        <v/>
      </c>
      <c r="UKT6" s="27" t="str">
        <f>IFERROR(VLOOKUP(DATE($K$1,$K$2,UKT$4),Table1[],(MATCH(Calendar!$A6,DB!1:1,0)+2),FALSE),"")</f>
        <v/>
      </c>
      <c r="UKU6" s="27" t="str">
        <f>IFERROR(VLOOKUP(DATE($K$1,$K$2,UKU$4),Table1[],(MATCH(Calendar!$A6,DB!1:1,0)+2),FALSE),"")</f>
        <v/>
      </c>
      <c r="UKV6" s="27" t="str">
        <f>IFERROR(VLOOKUP(DATE($K$1,$K$2,UKV$4),Table1[],(MATCH(Calendar!$A6,DB!1:1,0)+2),FALSE),"")</f>
        <v/>
      </c>
      <c r="UKW6" s="27" t="str">
        <f>IFERROR(VLOOKUP(DATE($K$1,$K$2,UKW$4),Table1[],(MATCH(Calendar!$A6,DB!1:1,0)+2),FALSE),"")</f>
        <v/>
      </c>
      <c r="UKX6" s="27" t="str">
        <f>IFERROR(VLOOKUP(DATE($K$1,$K$2,UKX$4),Table1[],(MATCH(Calendar!$A6,DB!1:1,0)+2),FALSE),"")</f>
        <v/>
      </c>
      <c r="UKY6" s="27" t="str">
        <f>IFERROR(VLOOKUP(DATE($K$1,$K$2,UKY$4),Table1[],(MATCH(Calendar!$A6,DB!1:1,0)+2),FALSE),"")</f>
        <v/>
      </c>
      <c r="UKZ6" s="27" t="str">
        <f>IFERROR(VLOOKUP(DATE($K$1,$K$2,UKZ$4),Table1[],(MATCH(Calendar!$A6,DB!1:1,0)+2),FALSE),"")</f>
        <v/>
      </c>
      <c r="ULA6" s="27" t="str">
        <f>IFERROR(VLOOKUP(DATE($K$1,$K$2,ULA$4),Table1[],(MATCH(Calendar!$A6,DB!1:1,0)+2),FALSE),"")</f>
        <v/>
      </c>
      <c r="ULB6" s="27" t="str">
        <f>IFERROR(VLOOKUP(DATE($K$1,$K$2,ULB$4),Table1[],(MATCH(Calendar!$A6,DB!1:1,0)+2),FALSE),"")</f>
        <v/>
      </c>
      <c r="ULC6" s="27" t="str">
        <f>IFERROR(VLOOKUP(DATE($K$1,$K$2,ULC$4),Table1[],(MATCH(Calendar!$A6,DB!1:1,0)+2),FALSE),"")</f>
        <v/>
      </c>
      <c r="ULD6" s="27" t="str">
        <f>IFERROR(VLOOKUP(DATE($K$1,$K$2,ULD$4),Table1[],(MATCH(Calendar!$A6,DB!1:1,0)+2),FALSE),"")</f>
        <v/>
      </c>
      <c r="ULE6" s="27" t="str">
        <f>IFERROR(VLOOKUP(DATE($K$1,$K$2,ULE$4),Table1[],(MATCH(Calendar!$A6,DB!1:1,0)+2),FALSE),"")</f>
        <v/>
      </c>
      <c r="ULF6" s="27" t="str">
        <f>IFERROR(VLOOKUP(DATE($K$1,$K$2,ULF$4),Table1[],(MATCH(Calendar!$A6,DB!1:1,0)+2),FALSE),"")</f>
        <v/>
      </c>
      <c r="ULG6" s="27" t="str">
        <f>IFERROR(VLOOKUP(DATE($K$1,$K$2,ULG$4),Table1[],(MATCH(Calendar!$A6,DB!1:1,0)+2),FALSE),"")</f>
        <v/>
      </c>
      <c r="ULH6" s="27" t="str">
        <f>IFERROR(VLOOKUP(DATE($K$1,$K$2,ULH$4),Table1[],(MATCH(Calendar!$A6,DB!1:1,0)+2),FALSE),"")</f>
        <v/>
      </c>
      <c r="ULI6" s="27" t="str">
        <f>IFERROR(VLOOKUP(DATE($K$1,$K$2,ULI$4),Table1[],(MATCH(Calendar!$A6,DB!1:1,0)+2),FALSE),"")</f>
        <v/>
      </c>
      <c r="ULJ6" s="27" t="str">
        <f>IFERROR(VLOOKUP(DATE($K$1,$K$2,ULJ$4),Table1[],(MATCH(Calendar!$A6,DB!1:1,0)+2),FALSE),"")</f>
        <v/>
      </c>
      <c r="ULK6" s="27" t="str">
        <f>IFERROR(VLOOKUP(DATE($K$1,$K$2,ULK$4),Table1[],(MATCH(Calendar!$A6,DB!1:1,0)+2),FALSE),"")</f>
        <v/>
      </c>
      <c r="ULL6" s="27" t="str">
        <f>IFERROR(VLOOKUP(DATE($K$1,$K$2,ULL$4),Table1[],(MATCH(Calendar!$A6,DB!1:1,0)+2),FALSE),"")</f>
        <v/>
      </c>
      <c r="ULM6" s="27" t="str">
        <f>IFERROR(VLOOKUP(DATE($K$1,$K$2,ULM$4),Table1[],(MATCH(Calendar!$A6,DB!1:1,0)+2),FALSE),"")</f>
        <v/>
      </c>
      <c r="ULN6" s="27" t="str">
        <f>IFERROR(VLOOKUP(DATE($K$1,$K$2,ULN$4),Table1[],(MATCH(Calendar!$A6,DB!1:1,0)+2),FALSE),"")</f>
        <v/>
      </c>
      <c r="ULO6" s="27" t="str">
        <f>IFERROR(VLOOKUP(DATE($K$1,$K$2,ULO$4),Table1[],(MATCH(Calendar!$A6,DB!1:1,0)+2),FALSE),"")</f>
        <v/>
      </c>
      <c r="ULP6" s="27" t="str">
        <f>IFERROR(VLOOKUP(DATE($K$1,$K$2,ULP$4),Table1[],(MATCH(Calendar!$A6,DB!1:1,0)+2),FALSE),"")</f>
        <v/>
      </c>
      <c r="ULQ6" s="27" t="str">
        <f>IFERROR(VLOOKUP(DATE($K$1,$K$2,ULQ$4),Table1[],(MATCH(Calendar!$A6,DB!1:1,0)+2),FALSE),"")</f>
        <v/>
      </c>
      <c r="ULR6" s="27" t="str">
        <f>IFERROR(VLOOKUP(DATE($K$1,$K$2,ULR$4),Table1[],(MATCH(Calendar!$A6,DB!1:1,0)+2),FALSE),"")</f>
        <v/>
      </c>
      <c r="ULS6" s="27" t="str">
        <f>IFERROR(VLOOKUP(DATE($K$1,$K$2,ULS$4),Table1[],(MATCH(Calendar!$A6,DB!1:1,0)+2),FALSE),"")</f>
        <v/>
      </c>
      <c r="ULT6" s="27" t="str">
        <f>IFERROR(VLOOKUP(DATE($K$1,$K$2,ULT$4),Table1[],(MATCH(Calendar!$A6,DB!1:1,0)+2),FALSE),"")</f>
        <v/>
      </c>
      <c r="ULU6" s="27" t="str">
        <f>IFERROR(VLOOKUP(DATE($K$1,$K$2,ULU$4),Table1[],(MATCH(Calendar!$A6,DB!1:1,0)+2),FALSE),"")</f>
        <v/>
      </c>
      <c r="ULV6" s="27" t="str">
        <f>IFERROR(VLOOKUP(DATE($K$1,$K$2,ULV$4),Table1[],(MATCH(Calendar!$A6,DB!1:1,0)+2),FALSE),"")</f>
        <v/>
      </c>
      <c r="ULW6" s="27" t="str">
        <f>IFERROR(VLOOKUP(DATE($K$1,$K$2,ULW$4),Table1[],(MATCH(Calendar!$A6,DB!1:1,0)+2),FALSE),"")</f>
        <v/>
      </c>
      <c r="ULX6" s="27" t="str">
        <f>IFERROR(VLOOKUP(DATE($K$1,$K$2,ULX$4),Table1[],(MATCH(Calendar!$A6,DB!1:1,0)+2),FALSE),"")</f>
        <v/>
      </c>
      <c r="ULY6" s="27" t="str">
        <f>IFERROR(VLOOKUP(DATE($K$1,$K$2,ULY$4),Table1[],(MATCH(Calendar!$A6,DB!1:1,0)+2),FALSE),"")</f>
        <v/>
      </c>
      <c r="ULZ6" s="27" t="str">
        <f>IFERROR(VLOOKUP(DATE($K$1,$K$2,ULZ$4),Table1[],(MATCH(Calendar!$A6,DB!1:1,0)+2),FALSE),"")</f>
        <v/>
      </c>
      <c r="UMA6" s="27" t="str">
        <f>IFERROR(VLOOKUP(DATE($K$1,$K$2,UMA$4),Table1[],(MATCH(Calendar!$A6,DB!1:1,0)+2),FALSE),"")</f>
        <v/>
      </c>
      <c r="UMB6" s="27" t="str">
        <f>IFERROR(VLOOKUP(DATE($K$1,$K$2,UMB$4),Table1[],(MATCH(Calendar!$A6,DB!1:1,0)+2),FALSE),"")</f>
        <v/>
      </c>
      <c r="UMC6" s="27" t="str">
        <f>IFERROR(VLOOKUP(DATE($K$1,$K$2,UMC$4),Table1[],(MATCH(Calendar!$A6,DB!1:1,0)+2),FALSE),"")</f>
        <v/>
      </c>
      <c r="UMD6" s="27" t="str">
        <f>IFERROR(VLOOKUP(DATE($K$1,$K$2,UMD$4),Table1[],(MATCH(Calendar!$A6,DB!1:1,0)+2),FALSE),"")</f>
        <v/>
      </c>
      <c r="UME6" s="27" t="str">
        <f>IFERROR(VLOOKUP(DATE($K$1,$K$2,UME$4),Table1[],(MATCH(Calendar!$A6,DB!1:1,0)+2),FALSE),"")</f>
        <v/>
      </c>
      <c r="UMF6" s="27" t="str">
        <f>IFERROR(VLOOKUP(DATE($K$1,$K$2,UMF$4),Table1[],(MATCH(Calendar!$A6,DB!1:1,0)+2),FALSE),"")</f>
        <v/>
      </c>
      <c r="UMG6" s="27" t="str">
        <f>IFERROR(VLOOKUP(DATE($K$1,$K$2,UMG$4),Table1[],(MATCH(Calendar!$A6,DB!1:1,0)+2),FALSE),"")</f>
        <v/>
      </c>
      <c r="UMH6" s="27" t="str">
        <f>IFERROR(VLOOKUP(DATE($K$1,$K$2,UMH$4),Table1[],(MATCH(Calendar!$A6,DB!1:1,0)+2),FALSE),"")</f>
        <v/>
      </c>
      <c r="UMI6" s="27" t="str">
        <f>IFERROR(VLOOKUP(DATE($K$1,$K$2,UMI$4),Table1[],(MATCH(Calendar!$A6,DB!1:1,0)+2),FALSE),"")</f>
        <v/>
      </c>
      <c r="UMJ6" s="27" t="str">
        <f>IFERROR(VLOOKUP(DATE($K$1,$K$2,UMJ$4),Table1[],(MATCH(Calendar!$A6,DB!1:1,0)+2),FALSE),"")</f>
        <v/>
      </c>
      <c r="UMK6" s="27" t="str">
        <f>IFERROR(VLOOKUP(DATE($K$1,$K$2,UMK$4),Table1[],(MATCH(Calendar!$A6,DB!1:1,0)+2),FALSE),"")</f>
        <v/>
      </c>
      <c r="UML6" s="27" t="str">
        <f>IFERROR(VLOOKUP(DATE($K$1,$K$2,UML$4),Table1[],(MATCH(Calendar!$A6,DB!1:1,0)+2),FALSE),"")</f>
        <v/>
      </c>
      <c r="UMM6" s="27" t="str">
        <f>IFERROR(VLOOKUP(DATE($K$1,$K$2,UMM$4),Table1[],(MATCH(Calendar!$A6,DB!1:1,0)+2),FALSE),"")</f>
        <v/>
      </c>
      <c r="UMN6" s="27" t="str">
        <f>IFERROR(VLOOKUP(DATE($K$1,$K$2,UMN$4),Table1[],(MATCH(Calendar!$A6,DB!1:1,0)+2),FALSE),"")</f>
        <v/>
      </c>
      <c r="UMO6" s="27" t="str">
        <f>IFERROR(VLOOKUP(DATE($K$1,$K$2,UMO$4),Table1[],(MATCH(Calendar!$A6,DB!1:1,0)+2),FALSE),"")</f>
        <v/>
      </c>
      <c r="UMP6" s="27" t="str">
        <f>IFERROR(VLOOKUP(DATE($K$1,$K$2,UMP$4),Table1[],(MATCH(Calendar!$A6,DB!1:1,0)+2),FALSE),"")</f>
        <v/>
      </c>
      <c r="UMQ6" s="27" t="str">
        <f>IFERROR(VLOOKUP(DATE($K$1,$K$2,UMQ$4),Table1[],(MATCH(Calendar!$A6,DB!1:1,0)+2),FALSE),"")</f>
        <v/>
      </c>
      <c r="UMR6" s="27" t="str">
        <f>IFERROR(VLOOKUP(DATE($K$1,$K$2,UMR$4),Table1[],(MATCH(Calendar!$A6,DB!1:1,0)+2),FALSE),"")</f>
        <v/>
      </c>
      <c r="UMS6" s="27" t="str">
        <f>IFERROR(VLOOKUP(DATE($K$1,$K$2,UMS$4),Table1[],(MATCH(Calendar!$A6,DB!1:1,0)+2),FALSE),"")</f>
        <v/>
      </c>
      <c r="UMT6" s="27" t="str">
        <f>IFERROR(VLOOKUP(DATE($K$1,$K$2,UMT$4),Table1[],(MATCH(Calendar!$A6,DB!1:1,0)+2),FALSE),"")</f>
        <v/>
      </c>
      <c r="UMU6" s="27" t="str">
        <f>IFERROR(VLOOKUP(DATE($K$1,$K$2,UMU$4),Table1[],(MATCH(Calendar!$A6,DB!1:1,0)+2),FALSE),"")</f>
        <v/>
      </c>
      <c r="UMV6" s="27" t="str">
        <f>IFERROR(VLOOKUP(DATE($K$1,$K$2,UMV$4),Table1[],(MATCH(Calendar!$A6,DB!1:1,0)+2),FALSE),"")</f>
        <v/>
      </c>
      <c r="UMW6" s="27" t="str">
        <f>IFERROR(VLOOKUP(DATE($K$1,$K$2,UMW$4),Table1[],(MATCH(Calendar!$A6,DB!1:1,0)+2),FALSE),"")</f>
        <v/>
      </c>
      <c r="UMX6" s="27" t="str">
        <f>IFERROR(VLOOKUP(DATE($K$1,$K$2,UMX$4),Table1[],(MATCH(Calendar!$A6,DB!1:1,0)+2),FALSE),"")</f>
        <v/>
      </c>
      <c r="UMY6" s="27" t="str">
        <f>IFERROR(VLOOKUP(DATE($K$1,$K$2,UMY$4),Table1[],(MATCH(Calendar!$A6,DB!1:1,0)+2),FALSE),"")</f>
        <v/>
      </c>
      <c r="UMZ6" s="27" t="str">
        <f>IFERROR(VLOOKUP(DATE($K$1,$K$2,UMZ$4),Table1[],(MATCH(Calendar!$A6,DB!1:1,0)+2),FALSE),"")</f>
        <v/>
      </c>
      <c r="UNA6" s="27" t="str">
        <f>IFERROR(VLOOKUP(DATE($K$1,$K$2,UNA$4),Table1[],(MATCH(Calendar!$A6,DB!1:1,0)+2),FALSE),"")</f>
        <v/>
      </c>
      <c r="UNB6" s="27" t="str">
        <f>IFERROR(VLOOKUP(DATE($K$1,$K$2,UNB$4),Table1[],(MATCH(Calendar!$A6,DB!1:1,0)+2),FALSE),"")</f>
        <v/>
      </c>
      <c r="UNC6" s="27" t="str">
        <f>IFERROR(VLOOKUP(DATE($K$1,$K$2,UNC$4),Table1[],(MATCH(Calendar!$A6,DB!1:1,0)+2),FALSE),"")</f>
        <v/>
      </c>
      <c r="UND6" s="27" t="str">
        <f>IFERROR(VLOOKUP(DATE($K$1,$K$2,UND$4),Table1[],(MATCH(Calendar!$A6,DB!1:1,0)+2),FALSE),"")</f>
        <v/>
      </c>
      <c r="UNE6" s="27" t="str">
        <f>IFERROR(VLOOKUP(DATE($K$1,$K$2,UNE$4),Table1[],(MATCH(Calendar!$A6,DB!1:1,0)+2),FALSE),"")</f>
        <v/>
      </c>
      <c r="UNF6" s="27" t="str">
        <f>IFERROR(VLOOKUP(DATE($K$1,$K$2,UNF$4),Table1[],(MATCH(Calendar!$A6,DB!1:1,0)+2),FALSE),"")</f>
        <v/>
      </c>
      <c r="UNG6" s="27" t="str">
        <f>IFERROR(VLOOKUP(DATE($K$1,$K$2,UNG$4),Table1[],(MATCH(Calendar!$A6,DB!1:1,0)+2),FALSE),"")</f>
        <v/>
      </c>
      <c r="UNH6" s="27" t="str">
        <f>IFERROR(VLOOKUP(DATE($K$1,$K$2,UNH$4),Table1[],(MATCH(Calendar!$A6,DB!1:1,0)+2),FALSE),"")</f>
        <v/>
      </c>
      <c r="UNI6" s="27" t="str">
        <f>IFERROR(VLOOKUP(DATE($K$1,$K$2,UNI$4),Table1[],(MATCH(Calendar!$A6,DB!1:1,0)+2),FALSE),"")</f>
        <v/>
      </c>
      <c r="UNJ6" s="27" t="str">
        <f>IFERROR(VLOOKUP(DATE($K$1,$K$2,UNJ$4),Table1[],(MATCH(Calendar!$A6,DB!1:1,0)+2),FALSE),"")</f>
        <v/>
      </c>
      <c r="UNK6" s="27" t="str">
        <f>IFERROR(VLOOKUP(DATE($K$1,$K$2,UNK$4),Table1[],(MATCH(Calendar!$A6,DB!1:1,0)+2),FALSE),"")</f>
        <v/>
      </c>
      <c r="UNL6" s="27" t="str">
        <f>IFERROR(VLOOKUP(DATE($K$1,$K$2,UNL$4),Table1[],(MATCH(Calendar!$A6,DB!1:1,0)+2),FALSE),"")</f>
        <v/>
      </c>
      <c r="UNM6" s="27" t="str">
        <f>IFERROR(VLOOKUP(DATE($K$1,$K$2,UNM$4),Table1[],(MATCH(Calendar!$A6,DB!1:1,0)+2),FALSE),"")</f>
        <v/>
      </c>
      <c r="UNN6" s="27" t="str">
        <f>IFERROR(VLOOKUP(DATE($K$1,$K$2,UNN$4),Table1[],(MATCH(Calendar!$A6,DB!1:1,0)+2),FALSE),"")</f>
        <v/>
      </c>
      <c r="UNO6" s="27" t="str">
        <f>IFERROR(VLOOKUP(DATE($K$1,$K$2,UNO$4),Table1[],(MATCH(Calendar!$A6,DB!1:1,0)+2),FALSE),"")</f>
        <v/>
      </c>
      <c r="UNP6" s="27" t="str">
        <f>IFERROR(VLOOKUP(DATE($K$1,$K$2,UNP$4),Table1[],(MATCH(Calendar!$A6,DB!1:1,0)+2),FALSE),"")</f>
        <v/>
      </c>
      <c r="UNQ6" s="27" t="str">
        <f>IFERROR(VLOOKUP(DATE($K$1,$K$2,UNQ$4),Table1[],(MATCH(Calendar!$A6,DB!1:1,0)+2),FALSE),"")</f>
        <v/>
      </c>
      <c r="UNR6" s="27" t="str">
        <f>IFERROR(VLOOKUP(DATE($K$1,$K$2,UNR$4),Table1[],(MATCH(Calendar!$A6,DB!1:1,0)+2),FALSE),"")</f>
        <v/>
      </c>
      <c r="UNS6" s="27" t="str">
        <f>IFERROR(VLOOKUP(DATE($K$1,$K$2,UNS$4),Table1[],(MATCH(Calendar!$A6,DB!1:1,0)+2),FALSE),"")</f>
        <v/>
      </c>
      <c r="UNT6" s="27" t="str">
        <f>IFERROR(VLOOKUP(DATE($K$1,$K$2,UNT$4),Table1[],(MATCH(Calendar!$A6,DB!1:1,0)+2),FALSE),"")</f>
        <v/>
      </c>
      <c r="UNU6" s="27" t="str">
        <f>IFERROR(VLOOKUP(DATE($K$1,$K$2,UNU$4),Table1[],(MATCH(Calendar!$A6,DB!1:1,0)+2),FALSE),"")</f>
        <v/>
      </c>
      <c r="UNV6" s="27" t="str">
        <f>IFERROR(VLOOKUP(DATE($K$1,$K$2,UNV$4),Table1[],(MATCH(Calendar!$A6,DB!1:1,0)+2),FALSE),"")</f>
        <v/>
      </c>
      <c r="UNW6" s="27" t="str">
        <f>IFERROR(VLOOKUP(DATE($K$1,$K$2,UNW$4),Table1[],(MATCH(Calendar!$A6,DB!1:1,0)+2),FALSE),"")</f>
        <v/>
      </c>
      <c r="UNX6" s="27" t="str">
        <f>IFERROR(VLOOKUP(DATE($K$1,$K$2,UNX$4),Table1[],(MATCH(Calendar!$A6,DB!1:1,0)+2),FALSE),"")</f>
        <v/>
      </c>
      <c r="UNY6" s="27" t="str">
        <f>IFERROR(VLOOKUP(DATE($K$1,$K$2,UNY$4),Table1[],(MATCH(Calendar!$A6,DB!1:1,0)+2),FALSE),"")</f>
        <v/>
      </c>
      <c r="UNZ6" s="27" t="str">
        <f>IFERROR(VLOOKUP(DATE($K$1,$K$2,UNZ$4),Table1[],(MATCH(Calendar!$A6,DB!1:1,0)+2),FALSE),"")</f>
        <v/>
      </c>
      <c r="UOA6" s="27" t="str">
        <f>IFERROR(VLOOKUP(DATE($K$1,$K$2,UOA$4),Table1[],(MATCH(Calendar!$A6,DB!1:1,0)+2),FALSE),"")</f>
        <v/>
      </c>
      <c r="UOB6" s="27" t="str">
        <f>IFERROR(VLOOKUP(DATE($K$1,$K$2,UOB$4),Table1[],(MATCH(Calendar!$A6,DB!1:1,0)+2),FALSE),"")</f>
        <v/>
      </c>
      <c r="UOC6" s="27" t="str">
        <f>IFERROR(VLOOKUP(DATE($K$1,$K$2,UOC$4),Table1[],(MATCH(Calendar!$A6,DB!1:1,0)+2),FALSE),"")</f>
        <v/>
      </c>
      <c r="UOD6" s="27" t="str">
        <f>IFERROR(VLOOKUP(DATE($K$1,$K$2,UOD$4),Table1[],(MATCH(Calendar!$A6,DB!1:1,0)+2),FALSE),"")</f>
        <v/>
      </c>
      <c r="UOE6" s="27" t="str">
        <f>IFERROR(VLOOKUP(DATE($K$1,$K$2,UOE$4),Table1[],(MATCH(Calendar!$A6,DB!1:1,0)+2),FALSE),"")</f>
        <v/>
      </c>
      <c r="UOF6" s="27" t="str">
        <f>IFERROR(VLOOKUP(DATE($K$1,$K$2,UOF$4),Table1[],(MATCH(Calendar!$A6,DB!1:1,0)+2),FALSE),"")</f>
        <v/>
      </c>
      <c r="UOG6" s="27" t="str">
        <f>IFERROR(VLOOKUP(DATE($K$1,$K$2,UOG$4),Table1[],(MATCH(Calendar!$A6,DB!1:1,0)+2),FALSE),"")</f>
        <v/>
      </c>
      <c r="UOH6" s="27" t="str">
        <f>IFERROR(VLOOKUP(DATE($K$1,$K$2,UOH$4),Table1[],(MATCH(Calendar!$A6,DB!1:1,0)+2),FALSE),"")</f>
        <v/>
      </c>
      <c r="UOI6" s="27" t="str">
        <f>IFERROR(VLOOKUP(DATE($K$1,$K$2,UOI$4),Table1[],(MATCH(Calendar!$A6,DB!1:1,0)+2),FALSE),"")</f>
        <v/>
      </c>
      <c r="UOJ6" s="27" t="str">
        <f>IFERROR(VLOOKUP(DATE($K$1,$K$2,UOJ$4),Table1[],(MATCH(Calendar!$A6,DB!1:1,0)+2),FALSE),"")</f>
        <v/>
      </c>
      <c r="UOK6" s="27" t="str">
        <f>IFERROR(VLOOKUP(DATE($K$1,$K$2,UOK$4),Table1[],(MATCH(Calendar!$A6,DB!1:1,0)+2),FALSE),"")</f>
        <v/>
      </c>
      <c r="UOL6" s="27" t="str">
        <f>IFERROR(VLOOKUP(DATE($K$1,$K$2,UOL$4),Table1[],(MATCH(Calendar!$A6,DB!1:1,0)+2),FALSE),"")</f>
        <v/>
      </c>
      <c r="UOM6" s="27" t="str">
        <f>IFERROR(VLOOKUP(DATE($K$1,$K$2,UOM$4),Table1[],(MATCH(Calendar!$A6,DB!1:1,0)+2),FALSE),"")</f>
        <v/>
      </c>
      <c r="UON6" s="27" t="str">
        <f>IFERROR(VLOOKUP(DATE($K$1,$K$2,UON$4),Table1[],(MATCH(Calendar!$A6,DB!1:1,0)+2),FALSE),"")</f>
        <v/>
      </c>
      <c r="UOO6" s="27" t="str">
        <f>IFERROR(VLOOKUP(DATE($K$1,$K$2,UOO$4),Table1[],(MATCH(Calendar!$A6,DB!1:1,0)+2),FALSE),"")</f>
        <v/>
      </c>
      <c r="UOP6" s="27" t="str">
        <f>IFERROR(VLOOKUP(DATE($K$1,$K$2,UOP$4),Table1[],(MATCH(Calendar!$A6,DB!1:1,0)+2),FALSE),"")</f>
        <v/>
      </c>
      <c r="UOQ6" s="27" t="str">
        <f>IFERROR(VLOOKUP(DATE($K$1,$K$2,UOQ$4),Table1[],(MATCH(Calendar!$A6,DB!1:1,0)+2),FALSE),"")</f>
        <v/>
      </c>
      <c r="UOR6" s="27" t="str">
        <f>IFERROR(VLOOKUP(DATE($K$1,$K$2,UOR$4),Table1[],(MATCH(Calendar!$A6,DB!1:1,0)+2),FALSE),"")</f>
        <v/>
      </c>
      <c r="UOS6" s="27" t="str">
        <f>IFERROR(VLOOKUP(DATE($K$1,$K$2,UOS$4),Table1[],(MATCH(Calendar!$A6,DB!1:1,0)+2),FALSE),"")</f>
        <v/>
      </c>
      <c r="UOT6" s="27" t="str">
        <f>IFERROR(VLOOKUP(DATE($K$1,$K$2,UOT$4),Table1[],(MATCH(Calendar!$A6,DB!1:1,0)+2),FALSE),"")</f>
        <v/>
      </c>
      <c r="UOU6" s="27" t="str">
        <f>IFERROR(VLOOKUP(DATE($K$1,$K$2,UOU$4),Table1[],(MATCH(Calendar!$A6,DB!1:1,0)+2),FALSE),"")</f>
        <v/>
      </c>
      <c r="UOV6" s="27" t="str">
        <f>IFERROR(VLOOKUP(DATE($K$1,$K$2,UOV$4),Table1[],(MATCH(Calendar!$A6,DB!1:1,0)+2),FALSE),"")</f>
        <v/>
      </c>
      <c r="UOW6" s="27" t="str">
        <f>IFERROR(VLOOKUP(DATE($K$1,$K$2,UOW$4),Table1[],(MATCH(Calendar!$A6,DB!1:1,0)+2),FALSE),"")</f>
        <v/>
      </c>
      <c r="UOX6" s="27" t="str">
        <f>IFERROR(VLOOKUP(DATE($K$1,$K$2,UOX$4),Table1[],(MATCH(Calendar!$A6,DB!1:1,0)+2),FALSE),"")</f>
        <v/>
      </c>
      <c r="UOY6" s="27" t="str">
        <f>IFERROR(VLOOKUP(DATE($K$1,$K$2,UOY$4),Table1[],(MATCH(Calendar!$A6,DB!1:1,0)+2),FALSE),"")</f>
        <v/>
      </c>
      <c r="UOZ6" s="27" t="str">
        <f>IFERROR(VLOOKUP(DATE($K$1,$K$2,UOZ$4),Table1[],(MATCH(Calendar!$A6,DB!1:1,0)+2),FALSE),"")</f>
        <v/>
      </c>
      <c r="UPA6" s="27" t="str">
        <f>IFERROR(VLOOKUP(DATE($K$1,$K$2,UPA$4),Table1[],(MATCH(Calendar!$A6,DB!1:1,0)+2),FALSE),"")</f>
        <v/>
      </c>
      <c r="UPB6" s="27" t="str">
        <f>IFERROR(VLOOKUP(DATE($K$1,$K$2,UPB$4),Table1[],(MATCH(Calendar!$A6,DB!1:1,0)+2),FALSE),"")</f>
        <v/>
      </c>
      <c r="UPC6" s="27" t="str">
        <f>IFERROR(VLOOKUP(DATE($K$1,$K$2,UPC$4),Table1[],(MATCH(Calendar!$A6,DB!1:1,0)+2),FALSE),"")</f>
        <v/>
      </c>
      <c r="UPD6" s="27" t="str">
        <f>IFERROR(VLOOKUP(DATE($K$1,$K$2,UPD$4),Table1[],(MATCH(Calendar!$A6,DB!1:1,0)+2),FALSE),"")</f>
        <v/>
      </c>
      <c r="UPE6" s="27" t="str">
        <f>IFERROR(VLOOKUP(DATE($K$1,$K$2,UPE$4),Table1[],(MATCH(Calendar!$A6,DB!1:1,0)+2),FALSE),"")</f>
        <v/>
      </c>
      <c r="UPF6" s="27" t="str">
        <f>IFERROR(VLOOKUP(DATE($K$1,$K$2,UPF$4),Table1[],(MATCH(Calendar!$A6,DB!1:1,0)+2),FALSE),"")</f>
        <v/>
      </c>
      <c r="UPG6" s="27" t="str">
        <f>IFERROR(VLOOKUP(DATE($K$1,$K$2,UPG$4),Table1[],(MATCH(Calendar!$A6,DB!1:1,0)+2),FALSE),"")</f>
        <v/>
      </c>
      <c r="UPH6" s="27" t="str">
        <f>IFERROR(VLOOKUP(DATE($K$1,$K$2,UPH$4),Table1[],(MATCH(Calendar!$A6,DB!1:1,0)+2),FALSE),"")</f>
        <v/>
      </c>
      <c r="UPI6" s="27" t="str">
        <f>IFERROR(VLOOKUP(DATE($K$1,$K$2,UPI$4),Table1[],(MATCH(Calendar!$A6,DB!1:1,0)+2),FALSE),"")</f>
        <v/>
      </c>
      <c r="UPJ6" s="27" t="str">
        <f>IFERROR(VLOOKUP(DATE($K$1,$K$2,UPJ$4),Table1[],(MATCH(Calendar!$A6,DB!1:1,0)+2),FALSE),"")</f>
        <v/>
      </c>
      <c r="UPK6" s="27" t="str">
        <f>IFERROR(VLOOKUP(DATE($K$1,$K$2,UPK$4),Table1[],(MATCH(Calendar!$A6,DB!1:1,0)+2),FALSE),"")</f>
        <v/>
      </c>
      <c r="UPL6" s="27" t="str">
        <f>IFERROR(VLOOKUP(DATE($K$1,$K$2,UPL$4),Table1[],(MATCH(Calendar!$A6,DB!1:1,0)+2),FALSE),"")</f>
        <v/>
      </c>
      <c r="UPM6" s="27" t="str">
        <f>IFERROR(VLOOKUP(DATE($K$1,$K$2,UPM$4),Table1[],(MATCH(Calendar!$A6,DB!1:1,0)+2),FALSE),"")</f>
        <v/>
      </c>
      <c r="UPN6" s="27" t="str">
        <f>IFERROR(VLOOKUP(DATE($K$1,$K$2,UPN$4),Table1[],(MATCH(Calendar!$A6,DB!1:1,0)+2),FALSE),"")</f>
        <v/>
      </c>
      <c r="UPO6" s="27" t="str">
        <f>IFERROR(VLOOKUP(DATE($K$1,$K$2,UPO$4),Table1[],(MATCH(Calendar!$A6,DB!1:1,0)+2),FALSE),"")</f>
        <v/>
      </c>
      <c r="UPP6" s="27" t="str">
        <f>IFERROR(VLOOKUP(DATE($K$1,$K$2,UPP$4),Table1[],(MATCH(Calendar!$A6,DB!1:1,0)+2),FALSE),"")</f>
        <v/>
      </c>
      <c r="UPQ6" s="27" t="str">
        <f>IFERROR(VLOOKUP(DATE($K$1,$K$2,UPQ$4),Table1[],(MATCH(Calendar!$A6,DB!1:1,0)+2),FALSE),"")</f>
        <v/>
      </c>
      <c r="UPR6" s="27" t="str">
        <f>IFERROR(VLOOKUP(DATE($K$1,$K$2,UPR$4),Table1[],(MATCH(Calendar!$A6,DB!1:1,0)+2),FALSE),"")</f>
        <v/>
      </c>
      <c r="UPS6" s="27" t="str">
        <f>IFERROR(VLOOKUP(DATE($K$1,$K$2,UPS$4),Table1[],(MATCH(Calendar!$A6,DB!1:1,0)+2),FALSE),"")</f>
        <v/>
      </c>
      <c r="UPT6" s="27" t="str">
        <f>IFERROR(VLOOKUP(DATE($K$1,$K$2,UPT$4),Table1[],(MATCH(Calendar!$A6,DB!1:1,0)+2),FALSE),"")</f>
        <v/>
      </c>
      <c r="UPU6" s="27" t="str">
        <f>IFERROR(VLOOKUP(DATE($K$1,$K$2,UPU$4),Table1[],(MATCH(Calendar!$A6,DB!1:1,0)+2),FALSE),"")</f>
        <v/>
      </c>
      <c r="UPV6" s="27" t="str">
        <f>IFERROR(VLOOKUP(DATE($K$1,$K$2,UPV$4),Table1[],(MATCH(Calendar!$A6,DB!1:1,0)+2),FALSE),"")</f>
        <v/>
      </c>
      <c r="UPW6" s="27" t="str">
        <f>IFERROR(VLOOKUP(DATE($K$1,$K$2,UPW$4),Table1[],(MATCH(Calendar!$A6,DB!1:1,0)+2),FALSE),"")</f>
        <v/>
      </c>
      <c r="UPX6" s="27" t="str">
        <f>IFERROR(VLOOKUP(DATE($K$1,$K$2,UPX$4),Table1[],(MATCH(Calendar!$A6,DB!1:1,0)+2),FALSE),"")</f>
        <v/>
      </c>
      <c r="UPY6" s="27" t="str">
        <f>IFERROR(VLOOKUP(DATE($K$1,$K$2,UPY$4),Table1[],(MATCH(Calendar!$A6,DB!1:1,0)+2),FALSE),"")</f>
        <v/>
      </c>
      <c r="UPZ6" s="27" t="str">
        <f>IFERROR(VLOOKUP(DATE($K$1,$K$2,UPZ$4),Table1[],(MATCH(Calendar!$A6,DB!1:1,0)+2),FALSE),"")</f>
        <v/>
      </c>
      <c r="UQA6" s="27" t="str">
        <f>IFERROR(VLOOKUP(DATE($K$1,$K$2,UQA$4),Table1[],(MATCH(Calendar!$A6,DB!1:1,0)+2),FALSE),"")</f>
        <v/>
      </c>
      <c r="UQB6" s="27" t="str">
        <f>IFERROR(VLOOKUP(DATE($K$1,$K$2,UQB$4),Table1[],(MATCH(Calendar!$A6,DB!1:1,0)+2),FALSE),"")</f>
        <v/>
      </c>
      <c r="UQC6" s="27" t="str">
        <f>IFERROR(VLOOKUP(DATE($K$1,$K$2,UQC$4),Table1[],(MATCH(Calendar!$A6,DB!1:1,0)+2),FALSE),"")</f>
        <v/>
      </c>
      <c r="UQD6" s="27" t="str">
        <f>IFERROR(VLOOKUP(DATE($K$1,$K$2,UQD$4),Table1[],(MATCH(Calendar!$A6,DB!1:1,0)+2),FALSE),"")</f>
        <v/>
      </c>
      <c r="UQE6" s="27" t="str">
        <f>IFERROR(VLOOKUP(DATE($K$1,$K$2,UQE$4),Table1[],(MATCH(Calendar!$A6,DB!1:1,0)+2),FALSE),"")</f>
        <v/>
      </c>
      <c r="UQF6" s="27" t="str">
        <f>IFERROR(VLOOKUP(DATE($K$1,$K$2,UQF$4),Table1[],(MATCH(Calendar!$A6,DB!1:1,0)+2),FALSE),"")</f>
        <v/>
      </c>
      <c r="UQG6" s="27" t="str">
        <f>IFERROR(VLOOKUP(DATE($K$1,$K$2,UQG$4),Table1[],(MATCH(Calendar!$A6,DB!1:1,0)+2),FALSE),"")</f>
        <v/>
      </c>
      <c r="UQH6" s="27" t="str">
        <f>IFERROR(VLOOKUP(DATE($K$1,$K$2,UQH$4),Table1[],(MATCH(Calendar!$A6,DB!1:1,0)+2),FALSE),"")</f>
        <v/>
      </c>
      <c r="UQI6" s="27" t="str">
        <f>IFERROR(VLOOKUP(DATE($K$1,$K$2,UQI$4),Table1[],(MATCH(Calendar!$A6,DB!1:1,0)+2),FALSE),"")</f>
        <v/>
      </c>
      <c r="UQJ6" s="27" t="str">
        <f>IFERROR(VLOOKUP(DATE($K$1,$K$2,UQJ$4),Table1[],(MATCH(Calendar!$A6,DB!1:1,0)+2),FALSE),"")</f>
        <v/>
      </c>
      <c r="UQK6" s="27" t="str">
        <f>IFERROR(VLOOKUP(DATE($K$1,$K$2,UQK$4),Table1[],(MATCH(Calendar!$A6,DB!1:1,0)+2),FALSE),"")</f>
        <v/>
      </c>
      <c r="UQL6" s="27" t="str">
        <f>IFERROR(VLOOKUP(DATE($K$1,$K$2,UQL$4),Table1[],(MATCH(Calendar!$A6,DB!1:1,0)+2),FALSE),"")</f>
        <v/>
      </c>
      <c r="UQM6" s="27" t="str">
        <f>IFERROR(VLOOKUP(DATE($K$1,$K$2,UQM$4),Table1[],(MATCH(Calendar!$A6,DB!1:1,0)+2),FALSE),"")</f>
        <v/>
      </c>
      <c r="UQN6" s="27" t="str">
        <f>IFERROR(VLOOKUP(DATE($K$1,$K$2,UQN$4),Table1[],(MATCH(Calendar!$A6,DB!1:1,0)+2),FALSE),"")</f>
        <v/>
      </c>
      <c r="UQO6" s="27" t="str">
        <f>IFERROR(VLOOKUP(DATE($K$1,$K$2,UQO$4),Table1[],(MATCH(Calendar!$A6,DB!1:1,0)+2),FALSE),"")</f>
        <v/>
      </c>
      <c r="UQP6" s="27" t="str">
        <f>IFERROR(VLOOKUP(DATE($K$1,$K$2,UQP$4),Table1[],(MATCH(Calendar!$A6,DB!1:1,0)+2),FALSE),"")</f>
        <v/>
      </c>
      <c r="UQQ6" s="27" t="str">
        <f>IFERROR(VLOOKUP(DATE($K$1,$K$2,UQQ$4),Table1[],(MATCH(Calendar!$A6,DB!1:1,0)+2),FALSE),"")</f>
        <v/>
      </c>
      <c r="UQR6" s="27" t="str">
        <f>IFERROR(VLOOKUP(DATE($K$1,$K$2,UQR$4),Table1[],(MATCH(Calendar!$A6,DB!1:1,0)+2),FALSE),"")</f>
        <v/>
      </c>
      <c r="UQS6" s="27" t="str">
        <f>IFERROR(VLOOKUP(DATE($K$1,$K$2,UQS$4),Table1[],(MATCH(Calendar!$A6,DB!1:1,0)+2),FALSE),"")</f>
        <v/>
      </c>
      <c r="UQT6" s="27" t="str">
        <f>IFERROR(VLOOKUP(DATE($K$1,$K$2,UQT$4),Table1[],(MATCH(Calendar!$A6,DB!1:1,0)+2),FALSE),"")</f>
        <v/>
      </c>
      <c r="UQU6" s="27" t="str">
        <f>IFERROR(VLOOKUP(DATE($K$1,$K$2,UQU$4),Table1[],(MATCH(Calendar!$A6,DB!1:1,0)+2),FALSE),"")</f>
        <v/>
      </c>
      <c r="UQV6" s="27" t="str">
        <f>IFERROR(VLOOKUP(DATE($K$1,$K$2,UQV$4),Table1[],(MATCH(Calendar!$A6,DB!1:1,0)+2),FALSE),"")</f>
        <v/>
      </c>
      <c r="UQW6" s="27" t="str">
        <f>IFERROR(VLOOKUP(DATE($K$1,$K$2,UQW$4),Table1[],(MATCH(Calendar!$A6,DB!1:1,0)+2),FALSE),"")</f>
        <v/>
      </c>
      <c r="UQX6" s="27" t="str">
        <f>IFERROR(VLOOKUP(DATE($K$1,$K$2,UQX$4),Table1[],(MATCH(Calendar!$A6,DB!1:1,0)+2),FALSE),"")</f>
        <v/>
      </c>
      <c r="UQY6" s="27" t="str">
        <f>IFERROR(VLOOKUP(DATE($K$1,$K$2,UQY$4),Table1[],(MATCH(Calendar!$A6,DB!1:1,0)+2),FALSE),"")</f>
        <v/>
      </c>
      <c r="UQZ6" s="27" t="str">
        <f>IFERROR(VLOOKUP(DATE($K$1,$K$2,UQZ$4),Table1[],(MATCH(Calendar!$A6,DB!1:1,0)+2),FALSE),"")</f>
        <v/>
      </c>
      <c r="URA6" s="27" t="str">
        <f>IFERROR(VLOOKUP(DATE($K$1,$K$2,URA$4),Table1[],(MATCH(Calendar!$A6,DB!1:1,0)+2),FALSE),"")</f>
        <v/>
      </c>
      <c r="URB6" s="27" t="str">
        <f>IFERROR(VLOOKUP(DATE($K$1,$K$2,URB$4),Table1[],(MATCH(Calendar!$A6,DB!1:1,0)+2),FALSE),"")</f>
        <v/>
      </c>
      <c r="URC6" s="27" t="str">
        <f>IFERROR(VLOOKUP(DATE($K$1,$K$2,URC$4),Table1[],(MATCH(Calendar!$A6,DB!1:1,0)+2),FALSE),"")</f>
        <v/>
      </c>
      <c r="URD6" s="27" t="str">
        <f>IFERROR(VLOOKUP(DATE($K$1,$K$2,URD$4),Table1[],(MATCH(Calendar!$A6,DB!1:1,0)+2),FALSE),"")</f>
        <v/>
      </c>
      <c r="URE6" s="27" t="str">
        <f>IFERROR(VLOOKUP(DATE($K$1,$K$2,URE$4),Table1[],(MATCH(Calendar!$A6,DB!1:1,0)+2),FALSE),"")</f>
        <v/>
      </c>
      <c r="URF6" s="27" t="str">
        <f>IFERROR(VLOOKUP(DATE($K$1,$K$2,URF$4),Table1[],(MATCH(Calendar!$A6,DB!1:1,0)+2),FALSE),"")</f>
        <v/>
      </c>
      <c r="URG6" s="27" t="str">
        <f>IFERROR(VLOOKUP(DATE($K$1,$K$2,URG$4),Table1[],(MATCH(Calendar!$A6,DB!1:1,0)+2),FALSE),"")</f>
        <v/>
      </c>
      <c r="URH6" s="27" t="str">
        <f>IFERROR(VLOOKUP(DATE($K$1,$K$2,URH$4),Table1[],(MATCH(Calendar!$A6,DB!1:1,0)+2),FALSE),"")</f>
        <v/>
      </c>
      <c r="URI6" s="27" t="str">
        <f>IFERROR(VLOOKUP(DATE($K$1,$K$2,URI$4),Table1[],(MATCH(Calendar!$A6,DB!1:1,0)+2),FALSE),"")</f>
        <v/>
      </c>
      <c r="URJ6" s="27" t="str">
        <f>IFERROR(VLOOKUP(DATE($K$1,$K$2,URJ$4),Table1[],(MATCH(Calendar!$A6,DB!1:1,0)+2),FALSE),"")</f>
        <v/>
      </c>
      <c r="URK6" s="27" t="str">
        <f>IFERROR(VLOOKUP(DATE($K$1,$K$2,URK$4),Table1[],(MATCH(Calendar!$A6,DB!1:1,0)+2),FALSE),"")</f>
        <v/>
      </c>
      <c r="URL6" s="27" t="str">
        <f>IFERROR(VLOOKUP(DATE($K$1,$K$2,URL$4),Table1[],(MATCH(Calendar!$A6,DB!1:1,0)+2),FALSE),"")</f>
        <v/>
      </c>
      <c r="URM6" s="27" t="str">
        <f>IFERROR(VLOOKUP(DATE($K$1,$K$2,URM$4),Table1[],(MATCH(Calendar!$A6,DB!1:1,0)+2),FALSE),"")</f>
        <v/>
      </c>
      <c r="URN6" s="27" t="str">
        <f>IFERROR(VLOOKUP(DATE($K$1,$K$2,URN$4),Table1[],(MATCH(Calendar!$A6,DB!1:1,0)+2),FALSE),"")</f>
        <v/>
      </c>
      <c r="URO6" s="27" t="str">
        <f>IFERROR(VLOOKUP(DATE($K$1,$K$2,URO$4),Table1[],(MATCH(Calendar!$A6,DB!1:1,0)+2),FALSE),"")</f>
        <v/>
      </c>
      <c r="URP6" s="27" t="str">
        <f>IFERROR(VLOOKUP(DATE($K$1,$K$2,URP$4),Table1[],(MATCH(Calendar!$A6,DB!1:1,0)+2),FALSE),"")</f>
        <v/>
      </c>
      <c r="URQ6" s="27" t="str">
        <f>IFERROR(VLOOKUP(DATE($K$1,$K$2,URQ$4),Table1[],(MATCH(Calendar!$A6,DB!1:1,0)+2),FALSE),"")</f>
        <v/>
      </c>
      <c r="URR6" s="27" t="str">
        <f>IFERROR(VLOOKUP(DATE($K$1,$K$2,URR$4),Table1[],(MATCH(Calendar!$A6,DB!1:1,0)+2),FALSE),"")</f>
        <v/>
      </c>
      <c r="URS6" s="27" t="str">
        <f>IFERROR(VLOOKUP(DATE($K$1,$K$2,URS$4),Table1[],(MATCH(Calendar!$A6,DB!1:1,0)+2),FALSE),"")</f>
        <v/>
      </c>
      <c r="URT6" s="27" t="str">
        <f>IFERROR(VLOOKUP(DATE($K$1,$K$2,URT$4),Table1[],(MATCH(Calendar!$A6,DB!1:1,0)+2),FALSE),"")</f>
        <v/>
      </c>
      <c r="URU6" s="27" t="str">
        <f>IFERROR(VLOOKUP(DATE($K$1,$K$2,URU$4),Table1[],(MATCH(Calendar!$A6,DB!1:1,0)+2),FALSE),"")</f>
        <v/>
      </c>
      <c r="URV6" s="27" t="str">
        <f>IFERROR(VLOOKUP(DATE($K$1,$K$2,URV$4),Table1[],(MATCH(Calendar!$A6,DB!1:1,0)+2),FALSE),"")</f>
        <v/>
      </c>
      <c r="URW6" s="27" t="str">
        <f>IFERROR(VLOOKUP(DATE($K$1,$K$2,URW$4),Table1[],(MATCH(Calendar!$A6,DB!1:1,0)+2),FALSE),"")</f>
        <v/>
      </c>
      <c r="URX6" s="27" t="str">
        <f>IFERROR(VLOOKUP(DATE($K$1,$K$2,URX$4),Table1[],(MATCH(Calendar!$A6,DB!1:1,0)+2),FALSE),"")</f>
        <v/>
      </c>
      <c r="URY6" s="27" t="str">
        <f>IFERROR(VLOOKUP(DATE($K$1,$K$2,URY$4),Table1[],(MATCH(Calendar!$A6,DB!1:1,0)+2),FALSE),"")</f>
        <v/>
      </c>
      <c r="URZ6" s="27" t="str">
        <f>IFERROR(VLOOKUP(DATE($K$1,$K$2,URZ$4),Table1[],(MATCH(Calendar!$A6,DB!1:1,0)+2),FALSE),"")</f>
        <v/>
      </c>
      <c r="USA6" s="27" t="str">
        <f>IFERROR(VLOOKUP(DATE($K$1,$K$2,USA$4),Table1[],(MATCH(Calendar!$A6,DB!1:1,0)+2),FALSE),"")</f>
        <v/>
      </c>
      <c r="USB6" s="27" t="str">
        <f>IFERROR(VLOOKUP(DATE($K$1,$K$2,USB$4),Table1[],(MATCH(Calendar!$A6,DB!1:1,0)+2),FALSE),"")</f>
        <v/>
      </c>
      <c r="USC6" s="27" t="str">
        <f>IFERROR(VLOOKUP(DATE($K$1,$K$2,USC$4),Table1[],(MATCH(Calendar!$A6,DB!1:1,0)+2),FALSE),"")</f>
        <v/>
      </c>
      <c r="USD6" s="27" t="str">
        <f>IFERROR(VLOOKUP(DATE($K$1,$K$2,USD$4),Table1[],(MATCH(Calendar!$A6,DB!1:1,0)+2),FALSE),"")</f>
        <v/>
      </c>
      <c r="USE6" s="27" t="str">
        <f>IFERROR(VLOOKUP(DATE($K$1,$K$2,USE$4),Table1[],(MATCH(Calendar!$A6,DB!1:1,0)+2),FALSE),"")</f>
        <v/>
      </c>
      <c r="USF6" s="27" t="str">
        <f>IFERROR(VLOOKUP(DATE($K$1,$K$2,USF$4),Table1[],(MATCH(Calendar!$A6,DB!1:1,0)+2),FALSE),"")</f>
        <v/>
      </c>
      <c r="USG6" s="27" t="str">
        <f>IFERROR(VLOOKUP(DATE($K$1,$K$2,USG$4),Table1[],(MATCH(Calendar!$A6,DB!1:1,0)+2),FALSE),"")</f>
        <v/>
      </c>
      <c r="USH6" s="27" t="str">
        <f>IFERROR(VLOOKUP(DATE($K$1,$K$2,USH$4),Table1[],(MATCH(Calendar!$A6,DB!1:1,0)+2),FALSE),"")</f>
        <v/>
      </c>
      <c r="USI6" s="27" t="str">
        <f>IFERROR(VLOOKUP(DATE($K$1,$K$2,USI$4),Table1[],(MATCH(Calendar!$A6,DB!1:1,0)+2),FALSE),"")</f>
        <v/>
      </c>
      <c r="USJ6" s="27" t="str">
        <f>IFERROR(VLOOKUP(DATE($K$1,$K$2,USJ$4),Table1[],(MATCH(Calendar!$A6,DB!1:1,0)+2),FALSE),"")</f>
        <v/>
      </c>
      <c r="USK6" s="27" t="str">
        <f>IFERROR(VLOOKUP(DATE($K$1,$K$2,USK$4),Table1[],(MATCH(Calendar!$A6,DB!1:1,0)+2),FALSE),"")</f>
        <v/>
      </c>
      <c r="USL6" s="27" t="str">
        <f>IFERROR(VLOOKUP(DATE($K$1,$K$2,USL$4),Table1[],(MATCH(Calendar!$A6,DB!1:1,0)+2),FALSE),"")</f>
        <v/>
      </c>
      <c r="USM6" s="27" t="str">
        <f>IFERROR(VLOOKUP(DATE($K$1,$K$2,USM$4),Table1[],(MATCH(Calendar!$A6,DB!1:1,0)+2),FALSE),"")</f>
        <v/>
      </c>
      <c r="USN6" s="27" t="str">
        <f>IFERROR(VLOOKUP(DATE($K$1,$K$2,USN$4),Table1[],(MATCH(Calendar!$A6,DB!1:1,0)+2),FALSE),"")</f>
        <v/>
      </c>
      <c r="USO6" s="27" t="str">
        <f>IFERROR(VLOOKUP(DATE($K$1,$K$2,USO$4),Table1[],(MATCH(Calendar!$A6,DB!1:1,0)+2),FALSE),"")</f>
        <v/>
      </c>
      <c r="USP6" s="27" t="str">
        <f>IFERROR(VLOOKUP(DATE($K$1,$K$2,USP$4),Table1[],(MATCH(Calendar!$A6,DB!1:1,0)+2),FALSE),"")</f>
        <v/>
      </c>
      <c r="USQ6" s="27" t="str">
        <f>IFERROR(VLOOKUP(DATE($K$1,$K$2,USQ$4),Table1[],(MATCH(Calendar!$A6,DB!1:1,0)+2),FALSE),"")</f>
        <v/>
      </c>
      <c r="USR6" s="27" t="str">
        <f>IFERROR(VLOOKUP(DATE($K$1,$K$2,USR$4),Table1[],(MATCH(Calendar!$A6,DB!1:1,0)+2),FALSE),"")</f>
        <v/>
      </c>
      <c r="USS6" s="27" t="str">
        <f>IFERROR(VLOOKUP(DATE($K$1,$K$2,USS$4),Table1[],(MATCH(Calendar!$A6,DB!1:1,0)+2),FALSE),"")</f>
        <v/>
      </c>
      <c r="UST6" s="27" t="str">
        <f>IFERROR(VLOOKUP(DATE($K$1,$K$2,UST$4),Table1[],(MATCH(Calendar!$A6,DB!1:1,0)+2),FALSE),"")</f>
        <v/>
      </c>
      <c r="USU6" s="27" t="str">
        <f>IFERROR(VLOOKUP(DATE($K$1,$K$2,USU$4),Table1[],(MATCH(Calendar!$A6,DB!1:1,0)+2),FALSE),"")</f>
        <v/>
      </c>
      <c r="USV6" s="27" t="str">
        <f>IFERROR(VLOOKUP(DATE($K$1,$K$2,USV$4),Table1[],(MATCH(Calendar!$A6,DB!1:1,0)+2),FALSE),"")</f>
        <v/>
      </c>
      <c r="USW6" s="27" t="str">
        <f>IFERROR(VLOOKUP(DATE($K$1,$K$2,USW$4),Table1[],(MATCH(Calendar!$A6,DB!1:1,0)+2),FALSE),"")</f>
        <v/>
      </c>
      <c r="USX6" s="27" t="str">
        <f>IFERROR(VLOOKUP(DATE($K$1,$K$2,USX$4),Table1[],(MATCH(Calendar!$A6,DB!1:1,0)+2),FALSE),"")</f>
        <v/>
      </c>
      <c r="USY6" s="27" t="str">
        <f>IFERROR(VLOOKUP(DATE($K$1,$K$2,USY$4),Table1[],(MATCH(Calendar!$A6,DB!1:1,0)+2),FALSE),"")</f>
        <v/>
      </c>
      <c r="USZ6" s="27" t="str">
        <f>IFERROR(VLOOKUP(DATE($K$1,$K$2,USZ$4),Table1[],(MATCH(Calendar!$A6,DB!1:1,0)+2),FALSE),"")</f>
        <v/>
      </c>
      <c r="UTA6" s="27" t="str">
        <f>IFERROR(VLOOKUP(DATE($K$1,$K$2,UTA$4),Table1[],(MATCH(Calendar!$A6,DB!1:1,0)+2),FALSE),"")</f>
        <v/>
      </c>
      <c r="UTB6" s="27" t="str">
        <f>IFERROR(VLOOKUP(DATE($K$1,$K$2,UTB$4),Table1[],(MATCH(Calendar!$A6,DB!1:1,0)+2),FALSE),"")</f>
        <v/>
      </c>
      <c r="UTC6" s="27" t="str">
        <f>IFERROR(VLOOKUP(DATE($K$1,$K$2,UTC$4),Table1[],(MATCH(Calendar!$A6,DB!1:1,0)+2),FALSE),"")</f>
        <v/>
      </c>
      <c r="UTD6" s="27" t="str">
        <f>IFERROR(VLOOKUP(DATE($K$1,$K$2,UTD$4),Table1[],(MATCH(Calendar!$A6,DB!1:1,0)+2),FALSE),"")</f>
        <v/>
      </c>
      <c r="UTE6" s="27" t="str">
        <f>IFERROR(VLOOKUP(DATE($K$1,$K$2,UTE$4),Table1[],(MATCH(Calendar!$A6,DB!1:1,0)+2),FALSE),"")</f>
        <v/>
      </c>
      <c r="UTF6" s="27" t="str">
        <f>IFERROR(VLOOKUP(DATE($K$1,$K$2,UTF$4),Table1[],(MATCH(Calendar!$A6,DB!1:1,0)+2),FALSE),"")</f>
        <v/>
      </c>
      <c r="UTG6" s="27" t="str">
        <f>IFERROR(VLOOKUP(DATE($K$1,$K$2,UTG$4),Table1[],(MATCH(Calendar!$A6,DB!1:1,0)+2),FALSE),"")</f>
        <v/>
      </c>
      <c r="UTH6" s="27" t="str">
        <f>IFERROR(VLOOKUP(DATE($K$1,$K$2,UTH$4),Table1[],(MATCH(Calendar!$A6,DB!1:1,0)+2),FALSE),"")</f>
        <v/>
      </c>
      <c r="UTI6" s="27" t="str">
        <f>IFERROR(VLOOKUP(DATE($K$1,$K$2,UTI$4),Table1[],(MATCH(Calendar!$A6,DB!1:1,0)+2),FALSE),"")</f>
        <v/>
      </c>
      <c r="UTJ6" s="27" t="str">
        <f>IFERROR(VLOOKUP(DATE($K$1,$K$2,UTJ$4),Table1[],(MATCH(Calendar!$A6,DB!1:1,0)+2),FALSE),"")</f>
        <v/>
      </c>
      <c r="UTK6" s="27" t="str">
        <f>IFERROR(VLOOKUP(DATE($K$1,$K$2,UTK$4),Table1[],(MATCH(Calendar!$A6,DB!1:1,0)+2),FALSE),"")</f>
        <v/>
      </c>
      <c r="UTL6" s="27" t="str">
        <f>IFERROR(VLOOKUP(DATE($K$1,$K$2,UTL$4),Table1[],(MATCH(Calendar!$A6,DB!1:1,0)+2),FALSE),"")</f>
        <v/>
      </c>
      <c r="UTM6" s="27" t="str">
        <f>IFERROR(VLOOKUP(DATE($K$1,$K$2,UTM$4),Table1[],(MATCH(Calendar!$A6,DB!1:1,0)+2),FALSE),"")</f>
        <v/>
      </c>
      <c r="UTN6" s="27" t="str">
        <f>IFERROR(VLOOKUP(DATE($K$1,$K$2,UTN$4),Table1[],(MATCH(Calendar!$A6,DB!1:1,0)+2),FALSE),"")</f>
        <v/>
      </c>
      <c r="UTO6" s="27" t="str">
        <f>IFERROR(VLOOKUP(DATE($K$1,$K$2,UTO$4),Table1[],(MATCH(Calendar!$A6,DB!1:1,0)+2),FALSE),"")</f>
        <v/>
      </c>
      <c r="UTP6" s="27" t="str">
        <f>IFERROR(VLOOKUP(DATE($K$1,$K$2,UTP$4),Table1[],(MATCH(Calendar!$A6,DB!1:1,0)+2),FALSE),"")</f>
        <v/>
      </c>
      <c r="UTQ6" s="27" t="str">
        <f>IFERROR(VLOOKUP(DATE($K$1,$K$2,UTQ$4),Table1[],(MATCH(Calendar!$A6,DB!1:1,0)+2),FALSE),"")</f>
        <v/>
      </c>
      <c r="UTR6" s="27" t="str">
        <f>IFERROR(VLOOKUP(DATE($K$1,$K$2,UTR$4),Table1[],(MATCH(Calendar!$A6,DB!1:1,0)+2),FALSE),"")</f>
        <v/>
      </c>
      <c r="UTS6" s="27" t="str">
        <f>IFERROR(VLOOKUP(DATE($K$1,$K$2,UTS$4),Table1[],(MATCH(Calendar!$A6,DB!1:1,0)+2),FALSE),"")</f>
        <v/>
      </c>
      <c r="UTT6" s="27" t="str">
        <f>IFERROR(VLOOKUP(DATE($K$1,$K$2,UTT$4),Table1[],(MATCH(Calendar!$A6,DB!1:1,0)+2),FALSE),"")</f>
        <v/>
      </c>
      <c r="UTU6" s="27" t="str">
        <f>IFERROR(VLOOKUP(DATE($K$1,$K$2,UTU$4),Table1[],(MATCH(Calendar!$A6,DB!1:1,0)+2),FALSE),"")</f>
        <v/>
      </c>
      <c r="UTV6" s="27" t="str">
        <f>IFERROR(VLOOKUP(DATE($K$1,$K$2,UTV$4),Table1[],(MATCH(Calendar!$A6,DB!1:1,0)+2),FALSE),"")</f>
        <v/>
      </c>
      <c r="UTW6" s="27" t="str">
        <f>IFERROR(VLOOKUP(DATE($K$1,$K$2,UTW$4),Table1[],(MATCH(Calendar!$A6,DB!1:1,0)+2),FALSE),"")</f>
        <v/>
      </c>
      <c r="UTX6" s="27" t="str">
        <f>IFERROR(VLOOKUP(DATE($K$1,$K$2,UTX$4),Table1[],(MATCH(Calendar!$A6,DB!1:1,0)+2),FALSE),"")</f>
        <v/>
      </c>
      <c r="UTY6" s="27" t="str">
        <f>IFERROR(VLOOKUP(DATE($K$1,$K$2,UTY$4),Table1[],(MATCH(Calendar!$A6,DB!1:1,0)+2),FALSE),"")</f>
        <v/>
      </c>
      <c r="UTZ6" s="27" t="str">
        <f>IFERROR(VLOOKUP(DATE($K$1,$K$2,UTZ$4),Table1[],(MATCH(Calendar!$A6,DB!1:1,0)+2),FALSE),"")</f>
        <v/>
      </c>
      <c r="UUA6" s="27" t="str">
        <f>IFERROR(VLOOKUP(DATE($K$1,$K$2,UUA$4),Table1[],(MATCH(Calendar!$A6,DB!1:1,0)+2),FALSE),"")</f>
        <v/>
      </c>
      <c r="UUB6" s="27" t="str">
        <f>IFERROR(VLOOKUP(DATE($K$1,$K$2,UUB$4),Table1[],(MATCH(Calendar!$A6,DB!1:1,0)+2),FALSE),"")</f>
        <v/>
      </c>
      <c r="UUC6" s="27" t="str">
        <f>IFERROR(VLOOKUP(DATE($K$1,$K$2,UUC$4),Table1[],(MATCH(Calendar!$A6,DB!1:1,0)+2),FALSE),"")</f>
        <v/>
      </c>
      <c r="UUD6" s="27" t="str">
        <f>IFERROR(VLOOKUP(DATE($K$1,$K$2,UUD$4),Table1[],(MATCH(Calendar!$A6,DB!1:1,0)+2),FALSE),"")</f>
        <v/>
      </c>
      <c r="UUE6" s="27" t="str">
        <f>IFERROR(VLOOKUP(DATE($K$1,$K$2,UUE$4),Table1[],(MATCH(Calendar!$A6,DB!1:1,0)+2),FALSE),"")</f>
        <v/>
      </c>
      <c r="UUF6" s="27" t="str">
        <f>IFERROR(VLOOKUP(DATE($K$1,$K$2,UUF$4),Table1[],(MATCH(Calendar!$A6,DB!1:1,0)+2),FALSE),"")</f>
        <v/>
      </c>
      <c r="UUG6" s="27" t="str">
        <f>IFERROR(VLOOKUP(DATE($K$1,$K$2,UUG$4),Table1[],(MATCH(Calendar!$A6,DB!1:1,0)+2),FALSE),"")</f>
        <v/>
      </c>
      <c r="UUH6" s="27" t="str">
        <f>IFERROR(VLOOKUP(DATE($K$1,$K$2,UUH$4),Table1[],(MATCH(Calendar!$A6,DB!1:1,0)+2),FALSE),"")</f>
        <v/>
      </c>
      <c r="UUI6" s="27" t="str">
        <f>IFERROR(VLOOKUP(DATE($K$1,$K$2,UUI$4),Table1[],(MATCH(Calendar!$A6,DB!1:1,0)+2),FALSE),"")</f>
        <v/>
      </c>
      <c r="UUJ6" s="27" t="str">
        <f>IFERROR(VLOOKUP(DATE($K$1,$K$2,UUJ$4),Table1[],(MATCH(Calendar!$A6,DB!1:1,0)+2),FALSE),"")</f>
        <v/>
      </c>
      <c r="UUK6" s="27" t="str">
        <f>IFERROR(VLOOKUP(DATE($K$1,$K$2,UUK$4),Table1[],(MATCH(Calendar!$A6,DB!1:1,0)+2),FALSE),"")</f>
        <v/>
      </c>
      <c r="UUL6" s="27" t="str">
        <f>IFERROR(VLOOKUP(DATE($K$1,$K$2,UUL$4),Table1[],(MATCH(Calendar!$A6,DB!1:1,0)+2),FALSE),"")</f>
        <v/>
      </c>
      <c r="UUM6" s="27" t="str">
        <f>IFERROR(VLOOKUP(DATE($K$1,$K$2,UUM$4),Table1[],(MATCH(Calendar!$A6,DB!1:1,0)+2),FALSE),"")</f>
        <v/>
      </c>
      <c r="UUN6" s="27" t="str">
        <f>IFERROR(VLOOKUP(DATE($K$1,$K$2,UUN$4),Table1[],(MATCH(Calendar!$A6,DB!1:1,0)+2),FALSE),"")</f>
        <v/>
      </c>
      <c r="UUO6" s="27" t="str">
        <f>IFERROR(VLOOKUP(DATE($K$1,$K$2,UUO$4),Table1[],(MATCH(Calendar!$A6,DB!1:1,0)+2),FALSE),"")</f>
        <v/>
      </c>
      <c r="UUP6" s="27" t="str">
        <f>IFERROR(VLOOKUP(DATE($K$1,$K$2,UUP$4),Table1[],(MATCH(Calendar!$A6,DB!1:1,0)+2),FALSE),"")</f>
        <v/>
      </c>
      <c r="UUQ6" s="27" t="str">
        <f>IFERROR(VLOOKUP(DATE($K$1,$K$2,UUQ$4),Table1[],(MATCH(Calendar!$A6,DB!1:1,0)+2),FALSE),"")</f>
        <v/>
      </c>
      <c r="UUR6" s="27" t="str">
        <f>IFERROR(VLOOKUP(DATE($K$1,$K$2,UUR$4),Table1[],(MATCH(Calendar!$A6,DB!1:1,0)+2),FALSE),"")</f>
        <v/>
      </c>
      <c r="UUS6" s="27" t="str">
        <f>IFERROR(VLOOKUP(DATE($K$1,$K$2,UUS$4),Table1[],(MATCH(Calendar!$A6,DB!1:1,0)+2),FALSE),"")</f>
        <v/>
      </c>
      <c r="UUT6" s="27" t="str">
        <f>IFERROR(VLOOKUP(DATE($K$1,$K$2,UUT$4),Table1[],(MATCH(Calendar!$A6,DB!1:1,0)+2),FALSE),"")</f>
        <v/>
      </c>
      <c r="UUU6" s="27" t="str">
        <f>IFERROR(VLOOKUP(DATE($K$1,$K$2,UUU$4),Table1[],(MATCH(Calendar!$A6,DB!1:1,0)+2),FALSE),"")</f>
        <v/>
      </c>
      <c r="UUV6" s="27" t="str">
        <f>IFERROR(VLOOKUP(DATE($K$1,$K$2,UUV$4),Table1[],(MATCH(Calendar!$A6,DB!1:1,0)+2),FALSE),"")</f>
        <v/>
      </c>
      <c r="UUW6" s="27" t="str">
        <f>IFERROR(VLOOKUP(DATE($K$1,$K$2,UUW$4),Table1[],(MATCH(Calendar!$A6,DB!1:1,0)+2),FALSE),"")</f>
        <v/>
      </c>
      <c r="UUX6" s="27" t="str">
        <f>IFERROR(VLOOKUP(DATE($K$1,$K$2,UUX$4),Table1[],(MATCH(Calendar!$A6,DB!1:1,0)+2),FALSE),"")</f>
        <v/>
      </c>
      <c r="UUY6" s="27" t="str">
        <f>IFERROR(VLOOKUP(DATE($K$1,$K$2,UUY$4),Table1[],(MATCH(Calendar!$A6,DB!1:1,0)+2),FALSE),"")</f>
        <v/>
      </c>
      <c r="UUZ6" s="27" t="str">
        <f>IFERROR(VLOOKUP(DATE($K$1,$K$2,UUZ$4),Table1[],(MATCH(Calendar!$A6,DB!1:1,0)+2),FALSE),"")</f>
        <v/>
      </c>
      <c r="UVA6" s="27" t="str">
        <f>IFERROR(VLOOKUP(DATE($K$1,$K$2,UVA$4),Table1[],(MATCH(Calendar!$A6,DB!1:1,0)+2),FALSE),"")</f>
        <v/>
      </c>
      <c r="UVB6" s="27" t="str">
        <f>IFERROR(VLOOKUP(DATE($K$1,$K$2,UVB$4),Table1[],(MATCH(Calendar!$A6,DB!1:1,0)+2),FALSE),"")</f>
        <v/>
      </c>
      <c r="UVC6" s="27" t="str">
        <f>IFERROR(VLOOKUP(DATE($K$1,$K$2,UVC$4),Table1[],(MATCH(Calendar!$A6,DB!1:1,0)+2),FALSE),"")</f>
        <v/>
      </c>
      <c r="UVD6" s="27" t="str">
        <f>IFERROR(VLOOKUP(DATE($K$1,$K$2,UVD$4),Table1[],(MATCH(Calendar!$A6,DB!1:1,0)+2),FALSE),"")</f>
        <v/>
      </c>
      <c r="UVE6" s="27" t="str">
        <f>IFERROR(VLOOKUP(DATE($K$1,$K$2,UVE$4),Table1[],(MATCH(Calendar!$A6,DB!1:1,0)+2),FALSE),"")</f>
        <v/>
      </c>
      <c r="UVF6" s="27" t="str">
        <f>IFERROR(VLOOKUP(DATE($K$1,$K$2,UVF$4),Table1[],(MATCH(Calendar!$A6,DB!1:1,0)+2),FALSE),"")</f>
        <v/>
      </c>
      <c r="UVG6" s="27" t="str">
        <f>IFERROR(VLOOKUP(DATE($K$1,$K$2,UVG$4),Table1[],(MATCH(Calendar!$A6,DB!1:1,0)+2),FALSE),"")</f>
        <v/>
      </c>
      <c r="UVH6" s="27" t="str">
        <f>IFERROR(VLOOKUP(DATE($K$1,$K$2,UVH$4),Table1[],(MATCH(Calendar!$A6,DB!1:1,0)+2),FALSE),"")</f>
        <v/>
      </c>
      <c r="UVI6" s="27" t="str">
        <f>IFERROR(VLOOKUP(DATE($K$1,$K$2,UVI$4),Table1[],(MATCH(Calendar!$A6,DB!1:1,0)+2),FALSE),"")</f>
        <v/>
      </c>
      <c r="UVJ6" s="27" t="str">
        <f>IFERROR(VLOOKUP(DATE($K$1,$K$2,UVJ$4),Table1[],(MATCH(Calendar!$A6,DB!1:1,0)+2),FALSE),"")</f>
        <v/>
      </c>
      <c r="UVK6" s="27" t="str">
        <f>IFERROR(VLOOKUP(DATE($K$1,$K$2,UVK$4),Table1[],(MATCH(Calendar!$A6,DB!1:1,0)+2),FALSE),"")</f>
        <v/>
      </c>
      <c r="UVL6" s="27" t="str">
        <f>IFERROR(VLOOKUP(DATE($K$1,$K$2,UVL$4),Table1[],(MATCH(Calendar!$A6,DB!1:1,0)+2),FALSE),"")</f>
        <v/>
      </c>
      <c r="UVM6" s="27" t="str">
        <f>IFERROR(VLOOKUP(DATE($K$1,$K$2,UVM$4),Table1[],(MATCH(Calendar!$A6,DB!1:1,0)+2),FALSE),"")</f>
        <v/>
      </c>
      <c r="UVN6" s="27" t="str">
        <f>IFERROR(VLOOKUP(DATE($K$1,$K$2,UVN$4),Table1[],(MATCH(Calendar!$A6,DB!1:1,0)+2),FALSE),"")</f>
        <v/>
      </c>
      <c r="UVO6" s="27" t="str">
        <f>IFERROR(VLOOKUP(DATE($K$1,$K$2,UVO$4),Table1[],(MATCH(Calendar!$A6,DB!1:1,0)+2),FALSE),"")</f>
        <v/>
      </c>
      <c r="UVP6" s="27" t="str">
        <f>IFERROR(VLOOKUP(DATE($K$1,$K$2,UVP$4),Table1[],(MATCH(Calendar!$A6,DB!1:1,0)+2),FALSE),"")</f>
        <v/>
      </c>
      <c r="UVQ6" s="27" t="str">
        <f>IFERROR(VLOOKUP(DATE($K$1,$K$2,UVQ$4),Table1[],(MATCH(Calendar!$A6,DB!1:1,0)+2),FALSE),"")</f>
        <v/>
      </c>
      <c r="UVR6" s="27" t="str">
        <f>IFERROR(VLOOKUP(DATE($K$1,$K$2,UVR$4),Table1[],(MATCH(Calendar!$A6,DB!1:1,0)+2),FALSE),"")</f>
        <v/>
      </c>
      <c r="UVS6" s="27" t="str">
        <f>IFERROR(VLOOKUP(DATE($K$1,$K$2,UVS$4),Table1[],(MATCH(Calendar!$A6,DB!1:1,0)+2),FALSE),"")</f>
        <v/>
      </c>
      <c r="UVT6" s="27" t="str">
        <f>IFERROR(VLOOKUP(DATE($K$1,$K$2,UVT$4),Table1[],(MATCH(Calendar!$A6,DB!1:1,0)+2),FALSE),"")</f>
        <v/>
      </c>
      <c r="UVU6" s="27" t="str">
        <f>IFERROR(VLOOKUP(DATE($K$1,$K$2,UVU$4),Table1[],(MATCH(Calendar!$A6,DB!1:1,0)+2),FALSE),"")</f>
        <v/>
      </c>
      <c r="UVV6" s="27" t="str">
        <f>IFERROR(VLOOKUP(DATE($K$1,$K$2,UVV$4),Table1[],(MATCH(Calendar!$A6,DB!1:1,0)+2),FALSE),"")</f>
        <v/>
      </c>
      <c r="UVW6" s="27" t="str">
        <f>IFERROR(VLOOKUP(DATE($K$1,$K$2,UVW$4),Table1[],(MATCH(Calendar!$A6,DB!1:1,0)+2),FALSE),"")</f>
        <v/>
      </c>
      <c r="UVX6" s="27" t="str">
        <f>IFERROR(VLOOKUP(DATE($K$1,$K$2,UVX$4),Table1[],(MATCH(Calendar!$A6,DB!1:1,0)+2),FALSE),"")</f>
        <v/>
      </c>
      <c r="UVY6" s="27" t="str">
        <f>IFERROR(VLOOKUP(DATE($K$1,$K$2,UVY$4),Table1[],(MATCH(Calendar!$A6,DB!1:1,0)+2),FALSE),"")</f>
        <v/>
      </c>
      <c r="UVZ6" s="27" t="str">
        <f>IFERROR(VLOOKUP(DATE($K$1,$K$2,UVZ$4),Table1[],(MATCH(Calendar!$A6,DB!1:1,0)+2),FALSE),"")</f>
        <v/>
      </c>
      <c r="UWA6" s="27" t="str">
        <f>IFERROR(VLOOKUP(DATE($K$1,$K$2,UWA$4),Table1[],(MATCH(Calendar!$A6,DB!1:1,0)+2),FALSE),"")</f>
        <v/>
      </c>
      <c r="UWB6" s="27" t="str">
        <f>IFERROR(VLOOKUP(DATE($K$1,$K$2,UWB$4),Table1[],(MATCH(Calendar!$A6,DB!1:1,0)+2),FALSE),"")</f>
        <v/>
      </c>
      <c r="UWC6" s="27" t="str">
        <f>IFERROR(VLOOKUP(DATE($K$1,$K$2,UWC$4),Table1[],(MATCH(Calendar!$A6,DB!1:1,0)+2),FALSE),"")</f>
        <v/>
      </c>
      <c r="UWD6" s="27" t="str">
        <f>IFERROR(VLOOKUP(DATE($K$1,$K$2,UWD$4),Table1[],(MATCH(Calendar!$A6,DB!1:1,0)+2),FALSE),"")</f>
        <v/>
      </c>
      <c r="UWE6" s="27" t="str">
        <f>IFERROR(VLOOKUP(DATE($K$1,$K$2,UWE$4),Table1[],(MATCH(Calendar!$A6,DB!1:1,0)+2),FALSE),"")</f>
        <v/>
      </c>
      <c r="UWF6" s="27" t="str">
        <f>IFERROR(VLOOKUP(DATE($K$1,$K$2,UWF$4),Table1[],(MATCH(Calendar!$A6,DB!1:1,0)+2),FALSE),"")</f>
        <v/>
      </c>
      <c r="UWG6" s="27" t="str">
        <f>IFERROR(VLOOKUP(DATE($K$1,$K$2,UWG$4),Table1[],(MATCH(Calendar!$A6,DB!1:1,0)+2),FALSE),"")</f>
        <v/>
      </c>
      <c r="UWH6" s="27" t="str">
        <f>IFERROR(VLOOKUP(DATE($K$1,$K$2,UWH$4),Table1[],(MATCH(Calendar!$A6,DB!1:1,0)+2),FALSE),"")</f>
        <v/>
      </c>
      <c r="UWI6" s="27" t="str">
        <f>IFERROR(VLOOKUP(DATE($K$1,$K$2,UWI$4),Table1[],(MATCH(Calendar!$A6,DB!1:1,0)+2),FALSE),"")</f>
        <v/>
      </c>
      <c r="UWJ6" s="27" t="str">
        <f>IFERROR(VLOOKUP(DATE($K$1,$K$2,UWJ$4),Table1[],(MATCH(Calendar!$A6,DB!1:1,0)+2),FALSE),"")</f>
        <v/>
      </c>
      <c r="UWK6" s="27" t="str">
        <f>IFERROR(VLOOKUP(DATE($K$1,$K$2,UWK$4),Table1[],(MATCH(Calendar!$A6,DB!1:1,0)+2),FALSE),"")</f>
        <v/>
      </c>
      <c r="UWL6" s="27" t="str">
        <f>IFERROR(VLOOKUP(DATE($K$1,$K$2,UWL$4),Table1[],(MATCH(Calendar!$A6,DB!1:1,0)+2),FALSE),"")</f>
        <v/>
      </c>
      <c r="UWM6" s="27" t="str">
        <f>IFERROR(VLOOKUP(DATE($K$1,$K$2,UWM$4),Table1[],(MATCH(Calendar!$A6,DB!1:1,0)+2),FALSE),"")</f>
        <v/>
      </c>
      <c r="UWN6" s="27" t="str">
        <f>IFERROR(VLOOKUP(DATE($K$1,$K$2,UWN$4),Table1[],(MATCH(Calendar!$A6,DB!1:1,0)+2),FALSE),"")</f>
        <v/>
      </c>
      <c r="UWO6" s="27" t="str">
        <f>IFERROR(VLOOKUP(DATE($K$1,$K$2,UWO$4),Table1[],(MATCH(Calendar!$A6,DB!1:1,0)+2),FALSE),"")</f>
        <v/>
      </c>
      <c r="UWP6" s="27" t="str">
        <f>IFERROR(VLOOKUP(DATE($K$1,$K$2,UWP$4),Table1[],(MATCH(Calendar!$A6,DB!1:1,0)+2),FALSE),"")</f>
        <v/>
      </c>
      <c r="UWQ6" s="27" t="str">
        <f>IFERROR(VLOOKUP(DATE($K$1,$K$2,UWQ$4),Table1[],(MATCH(Calendar!$A6,DB!1:1,0)+2),FALSE),"")</f>
        <v/>
      </c>
      <c r="UWR6" s="27" t="str">
        <f>IFERROR(VLOOKUP(DATE($K$1,$K$2,UWR$4),Table1[],(MATCH(Calendar!$A6,DB!1:1,0)+2),FALSE),"")</f>
        <v/>
      </c>
      <c r="UWS6" s="27" t="str">
        <f>IFERROR(VLOOKUP(DATE($K$1,$K$2,UWS$4),Table1[],(MATCH(Calendar!$A6,DB!1:1,0)+2),FALSE),"")</f>
        <v/>
      </c>
      <c r="UWT6" s="27" t="str">
        <f>IFERROR(VLOOKUP(DATE($K$1,$K$2,UWT$4),Table1[],(MATCH(Calendar!$A6,DB!1:1,0)+2),FALSE),"")</f>
        <v/>
      </c>
      <c r="UWU6" s="27" t="str">
        <f>IFERROR(VLOOKUP(DATE($K$1,$K$2,UWU$4),Table1[],(MATCH(Calendar!$A6,DB!1:1,0)+2),FALSE),"")</f>
        <v/>
      </c>
      <c r="UWV6" s="27" t="str">
        <f>IFERROR(VLOOKUP(DATE($K$1,$K$2,UWV$4),Table1[],(MATCH(Calendar!$A6,DB!1:1,0)+2),FALSE),"")</f>
        <v/>
      </c>
      <c r="UWW6" s="27" t="str">
        <f>IFERROR(VLOOKUP(DATE($K$1,$K$2,UWW$4),Table1[],(MATCH(Calendar!$A6,DB!1:1,0)+2),FALSE),"")</f>
        <v/>
      </c>
      <c r="UWX6" s="27" t="str">
        <f>IFERROR(VLOOKUP(DATE($K$1,$K$2,UWX$4),Table1[],(MATCH(Calendar!$A6,DB!1:1,0)+2),FALSE),"")</f>
        <v/>
      </c>
      <c r="UWY6" s="27" t="str">
        <f>IFERROR(VLOOKUP(DATE($K$1,$K$2,UWY$4),Table1[],(MATCH(Calendar!$A6,DB!1:1,0)+2),FALSE),"")</f>
        <v/>
      </c>
      <c r="UWZ6" s="27" t="str">
        <f>IFERROR(VLOOKUP(DATE($K$1,$K$2,UWZ$4),Table1[],(MATCH(Calendar!$A6,DB!1:1,0)+2),FALSE),"")</f>
        <v/>
      </c>
      <c r="UXA6" s="27" t="str">
        <f>IFERROR(VLOOKUP(DATE($K$1,$K$2,UXA$4),Table1[],(MATCH(Calendar!$A6,DB!1:1,0)+2),FALSE),"")</f>
        <v/>
      </c>
      <c r="UXB6" s="27" t="str">
        <f>IFERROR(VLOOKUP(DATE($K$1,$K$2,UXB$4),Table1[],(MATCH(Calendar!$A6,DB!1:1,0)+2),FALSE),"")</f>
        <v/>
      </c>
      <c r="UXC6" s="27" t="str">
        <f>IFERROR(VLOOKUP(DATE($K$1,$K$2,UXC$4),Table1[],(MATCH(Calendar!$A6,DB!1:1,0)+2),FALSE),"")</f>
        <v/>
      </c>
      <c r="UXD6" s="27" t="str">
        <f>IFERROR(VLOOKUP(DATE($K$1,$K$2,UXD$4),Table1[],(MATCH(Calendar!$A6,DB!1:1,0)+2),FALSE),"")</f>
        <v/>
      </c>
      <c r="UXE6" s="27" t="str">
        <f>IFERROR(VLOOKUP(DATE($K$1,$K$2,UXE$4),Table1[],(MATCH(Calendar!$A6,DB!1:1,0)+2),FALSE),"")</f>
        <v/>
      </c>
      <c r="UXF6" s="27" t="str">
        <f>IFERROR(VLOOKUP(DATE($K$1,$K$2,UXF$4),Table1[],(MATCH(Calendar!$A6,DB!1:1,0)+2),FALSE),"")</f>
        <v/>
      </c>
      <c r="UXG6" s="27" t="str">
        <f>IFERROR(VLOOKUP(DATE($K$1,$K$2,UXG$4),Table1[],(MATCH(Calendar!$A6,DB!1:1,0)+2),FALSE),"")</f>
        <v/>
      </c>
      <c r="UXH6" s="27" t="str">
        <f>IFERROR(VLOOKUP(DATE($K$1,$K$2,UXH$4),Table1[],(MATCH(Calendar!$A6,DB!1:1,0)+2),FALSE),"")</f>
        <v/>
      </c>
      <c r="UXI6" s="27" t="str">
        <f>IFERROR(VLOOKUP(DATE($K$1,$K$2,UXI$4),Table1[],(MATCH(Calendar!$A6,DB!1:1,0)+2),FALSE),"")</f>
        <v/>
      </c>
      <c r="UXJ6" s="27" t="str">
        <f>IFERROR(VLOOKUP(DATE($K$1,$K$2,UXJ$4),Table1[],(MATCH(Calendar!$A6,DB!1:1,0)+2),FALSE),"")</f>
        <v/>
      </c>
      <c r="UXK6" s="27" t="str">
        <f>IFERROR(VLOOKUP(DATE($K$1,$K$2,UXK$4),Table1[],(MATCH(Calendar!$A6,DB!1:1,0)+2),FALSE),"")</f>
        <v/>
      </c>
      <c r="UXL6" s="27" t="str">
        <f>IFERROR(VLOOKUP(DATE($K$1,$K$2,UXL$4),Table1[],(MATCH(Calendar!$A6,DB!1:1,0)+2),FALSE),"")</f>
        <v/>
      </c>
      <c r="UXM6" s="27" t="str">
        <f>IFERROR(VLOOKUP(DATE($K$1,$K$2,UXM$4),Table1[],(MATCH(Calendar!$A6,DB!1:1,0)+2),FALSE),"")</f>
        <v/>
      </c>
      <c r="UXN6" s="27" t="str">
        <f>IFERROR(VLOOKUP(DATE($K$1,$K$2,UXN$4),Table1[],(MATCH(Calendar!$A6,DB!1:1,0)+2),FALSE),"")</f>
        <v/>
      </c>
      <c r="UXO6" s="27" t="str">
        <f>IFERROR(VLOOKUP(DATE($K$1,$K$2,UXO$4),Table1[],(MATCH(Calendar!$A6,DB!1:1,0)+2),FALSE),"")</f>
        <v/>
      </c>
      <c r="UXP6" s="27" t="str">
        <f>IFERROR(VLOOKUP(DATE($K$1,$K$2,UXP$4),Table1[],(MATCH(Calendar!$A6,DB!1:1,0)+2),FALSE),"")</f>
        <v/>
      </c>
      <c r="UXQ6" s="27" t="str">
        <f>IFERROR(VLOOKUP(DATE($K$1,$K$2,UXQ$4),Table1[],(MATCH(Calendar!$A6,DB!1:1,0)+2),FALSE),"")</f>
        <v/>
      </c>
      <c r="UXR6" s="27" t="str">
        <f>IFERROR(VLOOKUP(DATE($K$1,$K$2,UXR$4),Table1[],(MATCH(Calendar!$A6,DB!1:1,0)+2),FALSE),"")</f>
        <v/>
      </c>
      <c r="UXS6" s="27" t="str">
        <f>IFERROR(VLOOKUP(DATE($K$1,$K$2,UXS$4),Table1[],(MATCH(Calendar!$A6,DB!1:1,0)+2),FALSE),"")</f>
        <v/>
      </c>
      <c r="UXT6" s="27" t="str">
        <f>IFERROR(VLOOKUP(DATE($K$1,$K$2,UXT$4),Table1[],(MATCH(Calendar!$A6,DB!1:1,0)+2),FALSE),"")</f>
        <v/>
      </c>
      <c r="UXU6" s="27" t="str">
        <f>IFERROR(VLOOKUP(DATE($K$1,$K$2,UXU$4),Table1[],(MATCH(Calendar!$A6,DB!1:1,0)+2),FALSE),"")</f>
        <v/>
      </c>
      <c r="UXV6" s="27" t="str">
        <f>IFERROR(VLOOKUP(DATE($K$1,$K$2,UXV$4),Table1[],(MATCH(Calendar!$A6,DB!1:1,0)+2),FALSE),"")</f>
        <v/>
      </c>
      <c r="UXW6" s="27" t="str">
        <f>IFERROR(VLOOKUP(DATE($K$1,$K$2,UXW$4),Table1[],(MATCH(Calendar!$A6,DB!1:1,0)+2),FALSE),"")</f>
        <v/>
      </c>
      <c r="UXX6" s="27" t="str">
        <f>IFERROR(VLOOKUP(DATE($K$1,$K$2,UXX$4),Table1[],(MATCH(Calendar!$A6,DB!1:1,0)+2),FALSE),"")</f>
        <v/>
      </c>
      <c r="UXY6" s="27" t="str">
        <f>IFERROR(VLOOKUP(DATE($K$1,$K$2,UXY$4),Table1[],(MATCH(Calendar!$A6,DB!1:1,0)+2),FALSE),"")</f>
        <v/>
      </c>
      <c r="UXZ6" s="27" t="str">
        <f>IFERROR(VLOOKUP(DATE($K$1,$K$2,UXZ$4),Table1[],(MATCH(Calendar!$A6,DB!1:1,0)+2),FALSE),"")</f>
        <v/>
      </c>
      <c r="UYA6" s="27" t="str">
        <f>IFERROR(VLOOKUP(DATE($K$1,$K$2,UYA$4),Table1[],(MATCH(Calendar!$A6,DB!1:1,0)+2),FALSE),"")</f>
        <v/>
      </c>
      <c r="UYB6" s="27" t="str">
        <f>IFERROR(VLOOKUP(DATE($K$1,$K$2,UYB$4),Table1[],(MATCH(Calendar!$A6,DB!1:1,0)+2),FALSE),"")</f>
        <v/>
      </c>
      <c r="UYC6" s="27" t="str">
        <f>IFERROR(VLOOKUP(DATE($K$1,$K$2,UYC$4),Table1[],(MATCH(Calendar!$A6,DB!1:1,0)+2),FALSE),"")</f>
        <v/>
      </c>
      <c r="UYD6" s="27" t="str">
        <f>IFERROR(VLOOKUP(DATE($K$1,$K$2,UYD$4),Table1[],(MATCH(Calendar!$A6,DB!1:1,0)+2),FALSE),"")</f>
        <v/>
      </c>
      <c r="UYE6" s="27" t="str">
        <f>IFERROR(VLOOKUP(DATE($K$1,$K$2,UYE$4),Table1[],(MATCH(Calendar!$A6,DB!1:1,0)+2),FALSE),"")</f>
        <v/>
      </c>
      <c r="UYF6" s="27" t="str">
        <f>IFERROR(VLOOKUP(DATE($K$1,$K$2,UYF$4),Table1[],(MATCH(Calendar!$A6,DB!1:1,0)+2),FALSE),"")</f>
        <v/>
      </c>
      <c r="UYG6" s="27" t="str">
        <f>IFERROR(VLOOKUP(DATE($K$1,$K$2,UYG$4),Table1[],(MATCH(Calendar!$A6,DB!1:1,0)+2),FALSE),"")</f>
        <v/>
      </c>
      <c r="UYH6" s="27" t="str">
        <f>IFERROR(VLOOKUP(DATE($K$1,$K$2,UYH$4),Table1[],(MATCH(Calendar!$A6,DB!1:1,0)+2),FALSE),"")</f>
        <v/>
      </c>
      <c r="UYI6" s="27" t="str">
        <f>IFERROR(VLOOKUP(DATE($K$1,$K$2,UYI$4),Table1[],(MATCH(Calendar!$A6,DB!1:1,0)+2),FALSE),"")</f>
        <v/>
      </c>
      <c r="UYJ6" s="27" t="str">
        <f>IFERROR(VLOOKUP(DATE($K$1,$K$2,UYJ$4),Table1[],(MATCH(Calendar!$A6,DB!1:1,0)+2),FALSE),"")</f>
        <v/>
      </c>
      <c r="UYK6" s="27" t="str">
        <f>IFERROR(VLOOKUP(DATE($K$1,$K$2,UYK$4),Table1[],(MATCH(Calendar!$A6,DB!1:1,0)+2),FALSE),"")</f>
        <v/>
      </c>
      <c r="UYL6" s="27" t="str">
        <f>IFERROR(VLOOKUP(DATE($K$1,$K$2,UYL$4),Table1[],(MATCH(Calendar!$A6,DB!1:1,0)+2),FALSE),"")</f>
        <v/>
      </c>
      <c r="UYM6" s="27" t="str">
        <f>IFERROR(VLOOKUP(DATE($K$1,$K$2,UYM$4),Table1[],(MATCH(Calendar!$A6,DB!1:1,0)+2),FALSE),"")</f>
        <v/>
      </c>
      <c r="UYN6" s="27" t="str">
        <f>IFERROR(VLOOKUP(DATE($K$1,$K$2,UYN$4),Table1[],(MATCH(Calendar!$A6,DB!1:1,0)+2),FALSE),"")</f>
        <v/>
      </c>
      <c r="UYO6" s="27" t="str">
        <f>IFERROR(VLOOKUP(DATE($K$1,$K$2,UYO$4),Table1[],(MATCH(Calendar!$A6,DB!1:1,0)+2),FALSE),"")</f>
        <v/>
      </c>
      <c r="UYP6" s="27" t="str">
        <f>IFERROR(VLOOKUP(DATE($K$1,$K$2,UYP$4),Table1[],(MATCH(Calendar!$A6,DB!1:1,0)+2),FALSE),"")</f>
        <v/>
      </c>
      <c r="UYQ6" s="27" t="str">
        <f>IFERROR(VLOOKUP(DATE($K$1,$K$2,UYQ$4),Table1[],(MATCH(Calendar!$A6,DB!1:1,0)+2),FALSE),"")</f>
        <v/>
      </c>
      <c r="UYR6" s="27" t="str">
        <f>IFERROR(VLOOKUP(DATE($K$1,$K$2,UYR$4),Table1[],(MATCH(Calendar!$A6,DB!1:1,0)+2),FALSE),"")</f>
        <v/>
      </c>
      <c r="UYS6" s="27" t="str">
        <f>IFERROR(VLOOKUP(DATE($K$1,$K$2,UYS$4),Table1[],(MATCH(Calendar!$A6,DB!1:1,0)+2),FALSE),"")</f>
        <v/>
      </c>
      <c r="UYT6" s="27" t="str">
        <f>IFERROR(VLOOKUP(DATE($K$1,$K$2,UYT$4),Table1[],(MATCH(Calendar!$A6,DB!1:1,0)+2),FALSE),"")</f>
        <v/>
      </c>
      <c r="UYU6" s="27" t="str">
        <f>IFERROR(VLOOKUP(DATE($K$1,$K$2,UYU$4),Table1[],(MATCH(Calendar!$A6,DB!1:1,0)+2),FALSE),"")</f>
        <v/>
      </c>
      <c r="UYV6" s="27" t="str">
        <f>IFERROR(VLOOKUP(DATE($K$1,$K$2,UYV$4),Table1[],(MATCH(Calendar!$A6,DB!1:1,0)+2),FALSE),"")</f>
        <v/>
      </c>
      <c r="UYW6" s="27" t="str">
        <f>IFERROR(VLOOKUP(DATE($K$1,$K$2,UYW$4),Table1[],(MATCH(Calendar!$A6,DB!1:1,0)+2),FALSE),"")</f>
        <v/>
      </c>
      <c r="UYX6" s="27" t="str">
        <f>IFERROR(VLOOKUP(DATE($K$1,$K$2,UYX$4),Table1[],(MATCH(Calendar!$A6,DB!1:1,0)+2),FALSE),"")</f>
        <v/>
      </c>
      <c r="UYY6" s="27" t="str">
        <f>IFERROR(VLOOKUP(DATE($K$1,$K$2,UYY$4),Table1[],(MATCH(Calendar!$A6,DB!1:1,0)+2),FALSE),"")</f>
        <v/>
      </c>
      <c r="UYZ6" s="27" t="str">
        <f>IFERROR(VLOOKUP(DATE($K$1,$K$2,UYZ$4),Table1[],(MATCH(Calendar!$A6,DB!1:1,0)+2),FALSE),"")</f>
        <v/>
      </c>
      <c r="UZA6" s="27" t="str">
        <f>IFERROR(VLOOKUP(DATE($K$1,$K$2,UZA$4),Table1[],(MATCH(Calendar!$A6,DB!1:1,0)+2),FALSE),"")</f>
        <v/>
      </c>
      <c r="UZB6" s="27" t="str">
        <f>IFERROR(VLOOKUP(DATE($K$1,$K$2,UZB$4),Table1[],(MATCH(Calendar!$A6,DB!1:1,0)+2),FALSE),"")</f>
        <v/>
      </c>
      <c r="UZC6" s="27" t="str">
        <f>IFERROR(VLOOKUP(DATE($K$1,$K$2,UZC$4),Table1[],(MATCH(Calendar!$A6,DB!1:1,0)+2),FALSE),"")</f>
        <v/>
      </c>
      <c r="UZD6" s="27" t="str">
        <f>IFERROR(VLOOKUP(DATE($K$1,$K$2,UZD$4),Table1[],(MATCH(Calendar!$A6,DB!1:1,0)+2),FALSE),"")</f>
        <v/>
      </c>
      <c r="UZE6" s="27" t="str">
        <f>IFERROR(VLOOKUP(DATE($K$1,$K$2,UZE$4),Table1[],(MATCH(Calendar!$A6,DB!1:1,0)+2),FALSE),"")</f>
        <v/>
      </c>
      <c r="UZF6" s="27" t="str">
        <f>IFERROR(VLOOKUP(DATE($K$1,$K$2,UZF$4),Table1[],(MATCH(Calendar!$A6,DB!1:1,0)+2),FALSE),"")</f>
        <v/>
      </c>
      <c r="UZG6" s="27" t="str">
        <f>IFERROR(VLOOKUP(DATE($K$1,$K$2,UZG$4),Table1[],(MATCH(Calendar!$A6,DB!1:1,0)+2),FALSE),"")</f>
        <v/>
      </c>
      <c r="UZH6" s="27" t="str">
        <f>IFERROR(VLOOKUP(DATE($K$1,$K$2,UZH$4),Table1[],(MATCH(Calendar!$A6,DB!1:1,0)+2),FALSE),"")</f>
        <v/>
      </c>
      <c r="UZI6" s="27" t="str">
        <f>IFERROR(VLOOKUP(DATE($K$1,$K$2,UZI$4),Table1[],(MATCH(Calendar!$A6,DB!1:1,0)+2),FALSE),"")</f>
        <v/>
      </c>
      <c r="UZJ6" s="27" t="str">
        <f>IFERROR(VLOOKUP(DATE($K$1,$K$2,UZJ$4),Table1[],(MATCH(Calendar!$A6,DB!1:1,0)+2),FALSE),"")</f>
        <v/>
      </c>
      <c r="UZK6" s="27" t="str">
        <f>IFERROR(VLOOKUP(DATE($K$1,$K$2,UZK$4),Table1[],(MATCH(Calendar!$A6,DB!1:1,0)+2),FALSE),"")</f>
        <v/>
      </c>
      <c r="UZL6" s="27" t="str">
        <f>IFERROR(VLOOKUP(DATE($K$1,$K$2,UZL$4),Table1[],(MATCH(Calendar!$A6,DB!1:1,0)+2),FALSE),"")</f>
        <v/>
      </c>
      <c r="UZM6" s="27" t="str">
        <f>IFERROR(VLOOKUP(DATE($K$1,$K$2,UZM$4),Table1[],(MATCH(Calendar!$A6,DB!1:1,0)+2),FALSE),"")</f>
        <v/>
      </c>
      <c r="UZN6" s="27" t="str">
        <f>IFERROR(VLOOKUP(DATE($K$1,$K$2,UZN$4),Table1[],(MATCH(Calendar!$A6,DB!1:1,0)+2),FALSE),"")</f>
        <v/>
      </c>
      <c r="UZO6" s="27" t="str">
        <f>IFERROR(VLOOKUP(DATE($K$1,$K$2,UZO$4),Table1[],(MATCH(Calendar!$A6,DB!1:1,0)+2),FALSE),"")</f>
        <v/>
      </c>
      <c r="UZP6" s="27" t="str">
        <f>IFERROR(VLOOKUP(DATE($K$1,$K$2,UZP$4),Table1[],(MATCH(Calendar!$A6,DB!1:1,0)+2),FALSE),"")</f>
        <v/>
      </c>
      <c r="UZQ6" s="27" t="str">
        <f>IFERROR(VLOOKUP(DATE($K$1,$K$2,UZQ$4),Table1[],(MATCH(Calendar!$A6,DB!1:1,0)+2),FALSE),"")</f>
        <v/>
      </c>
      <c r="UZR6" s="27" t="str">
        <f>IFERROR(VLOOKUP(DATE($K$1,$K$2,UZR$4),Table1[],(MATCH(Calendar!$A6,DB!1:1,0)+2),FALSE),"")</f>
        <v/>
      </c>
      <c r="UZS6" s="27" t="str">
        <f>IFERROR(VLOOKUP(DATE($K$1,$K$2,UZS$4),Table1[],(MATCH(Calendar!$A6,DB!1:1,0)+2),FALSE),"")</f>
        <v/>
      </c>
      <c r="UZT6" s="27" t="str">
        <f>IFERROR(VLOOKUP(DATE($K$1,$K$2,UZT$4),Table1[],(MATCH(Calendar!$A6,DB!1:1,0)+2),FALSE),"")</f>
        <v/>
      </c>
      <c r="UZU6" s="27" t="str">
        <f>IFERROR(VLOOKUP(DATE($K$1,$K$2,UZU$4),Table1[],(MATCH(Calendar!$A6,DB!1:1,0)+2),FALSE),"")</f>
        <v/>
      </c>
      <c r="UZV6" s="27" t="str">
        <f>IFERROR(VLOOKUP(DATE($K$1,$K$2,UZV$4),Table1[],(MATCH(Calendar!$A6,DB!1:1,0)+2),FALSE),"")</f>
        <v/>
      </c>
      <c r="UZW6" s="27" t="str">
        <f>IFERROR(VLOOKUP(DATE($K$1,$K$2,UZW$4),Table1[],(MATCH(Calendar!$A6,DB!1:1,0)+2),FALSE),"")</f>
        <v/>
      </c>
      <c r="UZX6" s="27" t="str">
        <f>IFERROR(VLOOKUP(DATE($K$1,$K$2,UZX$4),Table1[],(MATCH(Calendar!$A6,DB!1:1,0)+2),FALSE),"")</f>
        <v/>
      </c>
      <c r="UZY6" s="27" t="str">
        <f>IFERROR(VLOOKUP(DATE($K$1,$K$2,UZY$4),Table1[],(MATCH(Calendar!$A6,DB!1:1,0)+2),FALSE),"")</f>
        <v/>
      </c>
      <c r="UZZ6" s="27" t="str">
        <f>IFERROR(VLOOKUP(DATE($K$1,$K$2,UZZ$4),Table1[],(MATCH(Calendar!$A6,DB!1:1,0)+2),FALSE),"")</f>
        <v/>
      </c>
      <c r="VAA6" s="27" t="str">
        <f>IFERROR(VLOOKUP(DATE($K$1,$K$2,VAA$4),Table1[],(MATCH(Calendar!$A6,DB!1:1,0)+2),FALSE),"")</f>
        <v/>
      </c>
      <c r="VAB6" s="27" t="str">
        <f>IFERROR(VLOOKUP(DATE($K$1,$K$2,VAB$4),Table1[],(MATCH(Calendar!$A6,DB!1:1,0)+2),FALSE),"")</f>
        <v/>
      </c>
      <c r="VAC6" s="27" t="str">
        <f>IFERROR(VLOOKUP(DATE($K$1,$K$2,VAC$4),Table1[],(MATCH(Calendar!$A6,DB!1:1,0)+2),FALSE),"")</f>
        <v/>
      </c>
      <c r="VAD6" s="27" t="str">
        <f>IFERROR(VLOOKUP(DATE($K$1,$K$2,VAD$4),Table1[],(MATCH(Calendar!$A6,DB!1:1,0)+2),FALSE),"")</f>
        <v/>
      </c>
      <c r="VAE6" s="27" t="str">
        <f>IFERROR(VLOOKUP(DATE($K$1,$K$2,VAE$4),Table1[],(MATCH(Calendar!$A6,DB!1:1,0)+2),FALSE),"")</f>
        <v/>
      </c>
      <c r="VAF6" s="27" t="str">
        <f>IFERROR(VLOOKUP(DATE($K$1,$K$2,VAF$4),Table1[],(MATCH(Calendar!$A6,DB!1:1,0)+2),FALSE),"")</f>
        <v/>
      </c>
      <c r="VAG6" s="27" t="str">
        <f>IFERROR(VLOOKUP(DATE($K$1,$K$2,VAG$4),Table1[],(MATCH(Calendar!$A6,DB!1:1,0)+2),FALSE),"")</f>
        <v/>
      </c>
      <c r="VAH6" s="27" t="str">
        <f>IFERROR(VLOOKUP(DATE($K$1,$K$2,VAH$4),Table1[],(MATCH(Calendar!$A6,DB!1:1,0)+2),FALSE),"")</f>
        <v/>
      </c>
      <c r="VAI6" s="27" t="str">
        <f>IFERROR(VLOOKUP(DATE($K$1,$K$2,VAI$4),Table1[],(MATCH(Calendar!$A6,DB!1:1,0)+2),FALSE),"")</f>
        <v/>
      </c>
      <c r="VAJ6" s="27" t="str">
        <f>IFERROR(VLOOKUP(DATE($K$1,$K$2,VAJ$4),Table1[],(MATCH(Calendar!$A6,DB!1:1,0)+2),FALSE),"")</f>
        <v/>
      </c>
      <c r="VAK6" s="27" t="str">
        <f>IFERROR(VLOOKUP(DATE($K$1,$K$2,VAK$4),Table1[],(MATCH(Calendar!$A6,DB!1:1,0)+2),FALSE),"")</f>
        <v/>
      </c>
      <c r="VAL6" s="27" t="str">
        <f>IFERROR(VLOOKUP(DATE($K$1,$K$2,VAL$4),Table1[],(MATCH(Calendar!$A6,DB!1:1,0)+2),FALSE),"")</f>
        <v/>
      </c>
      <c r="VAM6" s="27" t="str">
        <f>IFERROR(VLOOKUP(DATE($K$1,$K$2,VAM$4),Table1[],(MATCH(Calendar!$A6,DB!1:1,0)+2),FALSE),"")</f>
        <v/>
      </c>
      <c r="VAN6" s="27" t="str">
        <f>IFERROR(VLOOKUP(DATE($K$1,$K$2,VAN$4),Table1[],(MATCH(Calendar!$A6,DB!1:1,0)+2),FALSE),"")</f>
        <v/>
      </c>
      <c r="VAO6" s="27" t="str">
        <f>IFERROR(VLOOKUP(DATE($K$1,$K$2,VAO$4),Table1[],(MATCH(Calendar!$A6,DB!1:1,0)+2),FALSE),"")</f>
        <v/>
      </c>
      <c r="VAP6" s="27" t="str">
        <f>IFERROR(VLOOKUP(DATE($K$1,$K$2,VAP$4),Table1[],(MATCH(Calendar!$A6,DB!1:1,0)+2),FALSE),"")</f>
        <v/>
      </c>
      <c r="VAQ6" s="27" t="str">
        <f>IFERROR(VLOOKUP(DATE($K$1,$K$2,VAQ$4),Table1[],(MATCH(Calendar!$A6,DB!1:1,0)+2),FALSE),"")</f>
        <v/>
      </c>
      <c r="VAR6" s="27" t="str">
        <f>IFERROR(VLOOKUP(DATE($K$1,$K$2,VAR$4),Table1[],(MATCH(Calendar!$A6,DB!1:1,0)+2),FALSE),"")</f>
        <v/>
      </c>
      <c r="VAS6" s="27" t="str">
        <f>IFERROR(VLOOKUP(DATE($K$1,$K$2,VAS$4),Table1[],(MATCH(Calendar!$A6,DB!1:1,0)+2),FALSE),"")</f>
        <v/>
      </c>
      <c r="VAT6" s="27" t="str">
        <f>IFERROR(VLOOKUP(DATE($K$1,$K$2,VAT$4),Table1[],(MATCH(Calendar!$A6,DB!1:1,0)+2),FALSE),"")</f>
        <v/>
      </c>
      <c r="VAU6" s="27" t="str">
        <f>IFERROR(VLOOKUP(DATE($K$1,$K$2,VAU$4),Table1[],(MATCH(Calendar!$A6,DB!1:1,0)+2),FALSE),"")</f>
        <v/>
      </c>
      <c r="VAV6" s="27" t="str">
        <f>IFERROR(VLOOKUP(DATE($K$1,$K$2,VAV$4),Table1[],(MATCH(Calendar!$A6,DB!1:1,0)+2),FALSE),"")</f>
        <v/>
      </c>
      <c r="VAW6" s="27" t="str">
        <f>IFERROR(VLOOKUP(DATE($K$1,$K$2,VAW$4),Table1[],(MATCH(Calendar!$A6,DB!1:1,0)+2),FALSE),"")</f>
        <v/>
      </c>
      <c r="VAX6" s="27" t="str">
        <f>IFERROR(VLOOKUP(DATE($K$1,$K$2,VAX$4),Table1[],(MATCH(Calendar!$A6,DB!1:1,0)+2),FALSE),"")</f>
        <v/>
      </c>
      <c r="VAY6" s="27" t="str">
        <f>IFERROR(VLOOKUP(DATE($K$1,$K$2,VAY$4),Table1[],(MATCH(Calendar!$A6,DB!1:1,0)+2),FALSE),"")</f>
        <v/>
      </c>
      <c r="VAZ6" s="27" t="str">
        <f>IFERROR(VLOOKUP(DATE($K$1,$K$2,VAZ$4),Table1[],(MATCH(Calendar!$A6,DB!1:1,0)+2),FALSE),"")</f>
        <v/>
      </c>
      <c r="VBA6" s="27" t="str">
        <f>IFERROR(VLOOKUP(DATE($K$1,$K$2,VBA$4),Table1[],(MATCH(Calendar!$A6,DB!1:1,0)+2),FALSE),"")</f>
        <v/>
      </c>
      <c r="VBB6" s="27" t="str">
        <f>IFERROR(VLOOKUP(DATE($K$1,$K$2,VBB$4),Table1[],(MATCH(Calendar!$A6,DB!1:1,0)+2),FALSE),"")</f>
        <v/>
      </c>
      <c r="VBC6" s="27" t="str">
        <f>IFERROR(VLOOKUP(DATE($K$1,$K$2,VBC$4),Table1[],(MATCH(Calendar!$A6,DB!1:1,0)+2),FALSE),"")</f>
        <v/>
      </c>
      <c r="VBD6" s="27" t="str">
        <f>IFERROR(VLOOKUP(DATE($K$1,$K$2,VBD$4),Table1[],(MATCH(Calendar!$A6,DB!1:1,0)+2),FALSE),"")</f>
        <v/>
      </c>
      <c r="VBE6" s="27" t="str">
        <f>IFERROR(VLOOKUP(DATE($K$1,$K$2,VBE$4),Table1[],(MATCH(Calendar!$A6,DB!1:1,0)+2),FALSE),"")</f>
        <v/>
      </c>
      <c r="VBF6" s="27" t="str">
        <f>IFERROR(VLOOKUP(DATE($K$1,$K$2,VBF$4),Table1[],(MATCH(Calendar!$A6,DB!1:1,0)+2),FALSE),"")</f>
        <v/>
      </c>
      <c r="VBG6" s="27" t="str">
        <f>IFERROR(VLOOKUP(DATE($K$1,$K$2,VBG$4),Table1[],(MATCH(Calendar!$A6,DB!1:1,0)+2),FALSE),"")</f>
        <v/>
      </c>
      <c r="VBH6" s="27" t="str">
        <f>IFERROR(VLOOKUP(DATE($K$1,$K$2,VBH$4),Table1[],(MATCH(Calendar!$A6,DB!1:1,0)+2),FALSE),"")</f>
        <v/>
      </c>
      <c r="VBI6" s="27" t="str">
        <f>IFERROR(VLOOKUP(DATE($K$1,$K$2,VBI$4),Table1[],(MATCH(Calendar!$A6,DB!1:1,0)+2),FALSE),"")</f>
        <v/>
      </c>
      <c r="VBJ6" s="27" t="str">
        <f>IFERROR(VLOOKUP(DATE($K$1,$K$2,VBJ$4),Table1[],(MATCH(Calendar!$A6,DB!1:1,0)+2),FALSE),"")</f>
        <v/>
      </c>
      <c r="VBK6" s="27" t="str">
        <f>IFERROR(VLOOKUP(DATE($K$1,$K$2,VBK$4),Table1[],(MATCH(Calendar!$A6,DB!1:1,0)+2),FALSE),"")</f>
        <v/>
      </c>
      <c r="VBL6" s="27" t="str">
        <f>IFERROR(VLOOKUP(DATE($K$1,$K$2,VBL$4),Table1[],(MATCH(Calendar!$A6,DB!1:1,0)+2),FALSE),"")</f>
        <v/>
      </c>
      <c r="VBM6" s="27" t="str">
        <f>IFERROR(VLOOKUP(DATE($K$1,$K$2,VBM$4),Table1[],(MATCH(Calendar!$A6,DB!1:1,0)+2),FALSE),"")</f>
        <v/>
      </c>
      <c r="VBN6" s="27" t="str">
        <f>IFERROR(VLOOKUP(DATE($K$1,$K$2,VBN$4),Table1[],(MATCH(Calendar!$A6,DB!1:1,0)+2),FALSE),"")</f>
        <v/>
      </c>
      <c r="VBO6" s="27" t="str">
        <f>IFERROR(VLOOKUP(DATE($K$1,$K$2,VBO$4),Table1[],(MATCH(Calendar!$A6,DB!1:1,0)+2),FALSE),"")</f>
        <v/>
      </c>
      <c r="VBP6" s="27" t="str">
        <f>IFERROR(VLOOKUP(DATE($K$1,$K$2,VBP$4),Table1[],(MATCH(Calendar!$A6,DB!1:1,0)+2),FALSE),"")</f>
        <v/>
      </c>
      <c r="VBQ6" s="27" t="str">
        <f>IFERROR(VLOOKUP(DATE($K$1,$K$2,VBQ$4),Table1[],(MATCH(Calendar!$A6,DB!1:1,0)+2),FALSE),"")</f>
        <v/>
      </c>
      <c r="VBR6" s="27" t="str">
        <f>IFERROR(VLOOKUP(DATE($K$1,$K$2,VBR$4),Table1[],(MATCH(Calendar!$A6,DB!1:1,0)+2),FALSE),"")</f>
        <v/>
      </c>
      <c r="VBS6" s="27" t="str">
        <f>IFERROR(VLOOKUP(DATE($K$1,$K$2,VBS$4),Table1[],(MATCH(Calendar!$A6,DB!1:1,0)+2),FALSE),"")</f>
        <v/>
      </c>
      <c r="VBT6" s="27" t="str">
        <f>IFERROR(VLOOKUP(DATE($K$1,$K$2,VBT$4),Table1[],(MATCH(Calendar!$A6,DB!1:1,0)+2),FALSE),"")</f>
        <v/>
      </c>
      <c r="VBU6" s="27" t="str">
        <f>IFERROR(VLOOKUP(DATE($K$1,$K$2,VBU$4),Table1[],(MATCH(Calendar!$A6,DB!1:1,0)+2),FALSE),"")</f>
        <v/>
      </c>
      <c r="VBV6" s="27" t="str">
        <f>IFERROR(VLOOKUP(DATE($K$1,$K$2,VBV$4),Table1[],(MATCH(Calendar!$A6,DB!1:1,0)+2),FALSE),"")</f>
        <v/>
      </c>
      <c r="VBW6" s="27" t="str">
        <f>IFERROR(VLOOKUP(DATE($K$1,$K$2,VBW$4),Table1[],(MATCH(Calendar!$A6,DB!1:1,0)+2),FALSE),"")</f>
        <v/>
      </c>
      <c r="VBX6" s="27" t="str">
        <f>IFERROR(VLOOKUP(DATE($K$1,$K$2,VBX$4),Table1[],(MATCH(Calendar!$A6,DB!1:1,0)+2),FALSE),"")</f>
        <v/>
      </c>
      <c r="VBY6" s="27" t="str">
        <f>IFERROR(VLOOKUP(DATE($K$1,$K$2,VBY$4),Table1[],(MATCH(Calendar!$A6,DB!1:1,0)+2),FALSE),"")</f>
        <v/>
      </c>
      <c r="VBZ6" s="27" t="str">
        <f>IFERROR(VLOOKUP(DATE($K$1,$K$2,VBZ$4),Table1[],(MATCH(Calendar!$A6,DB!1:1,0)+2),FALSE),"")</f>
        <v/>
      </c>
      <c r="VCA6" s="27" t="str">
        <f>IFERROR(VLOOKUP(DATE($K$1,$K$2,VCA$4),Table1[],(MATCH(Calendar!$A6,DB!1:1,0)+2),FALSE),"")</f>
        <v/>
      </c>
      <c r="VCB6" s="27" t="str">
        <f>IFERROR(VLOOKUP(DATE($K$1,$K$2,VCB$4),Table1[],(MATCH(Calendar!$A6,DB!1:1,0)+2),FALSE),"")</f>
        <v/>
      </c>
      <c r="VCC6" s="27" t="str">
        <f>IFERROR(VLOOKUP(DATE($K$1,$K$2,VCC$4),Table1[],(MATCH(Calendar!$A6,DB!1:1,0)+2),FALSE),"")</f>
        <v/>
      </c>
      <c r="VCD6" s="27" t="str">
        <f>IFERROR(VLOOKUP(DATE($K$1,$K$2,VCD$4),Table1[],(MATCH(Calendar!$A6,DB!1:1,0)+2),FALSE),"")</f>
        <v/>
      </c>
      <c r="VCE6" s="27" t="str">
        <f>IFERROR(VLOOKUP(DATE($K$1,$K$2,VCE$4),Table1[],(MATCH(Calendar!$A6,DB!1:1,0)+2),FALSE),"")</f>
        <v/>
      </c>
      <c r="VCF6" s="27" t="str">
        <f>IFERROR(VLOOKUP(DATE($K$1,$K$2,VCF$4),Table1[],(MATCH(Calendar!$A6,DB!1:1,0)+2),FALSE),"")</f>
        <v/>
      </c>
      <c r="VCG6" s="27" t="str">
        <f>IFERROR(VLOOKUP(DATE($K$1,$K$2,VCG$4),Table1[],(MATCH(Calendar!$A6,DB!1:1,0)+2),FALSE),"")</f>
        <v/>
      </c>
      <c r="VCH6" s="27" t="str">
        <f>IFERROR(VLOOKUP(DATE($K$1,$K$2,VCH$4),Table1[],(MATCH(Calendar!$A6,DB!1:1,0)+2),FALSE),"")</f>
        <v/>
      </c>
      <c r="VCI6" s="27" t="str">
        <f>IFERROR(VLOOKUP(DATE($K$1,$K$2,VCI$4),Table1[],(MATCH(Calendar!$A6,DB!1:1,0)+2),FALSE),"")</f>
        <v/>
      </c>
      <c r="VCJ6" s="27" t="str">
        <f>IFERROR(VLOOKUP(DATE($K$1,$K$2,VCJ$4),Table1[],(MATCH(Calendar!$A6,DB!1:1,0)+2),FALSE),"")</f>
        <v/>
      </c>
      <c r="VCK6" s="27" t="str">
        <f>IFERROR(VLOOKUP(DATE($K$1,$K$2,VCK$4),Table1[],(MATCH(Calendar!$A6,DB!1:1,0)+2),FALSE),"")</f>
        <v/>
      </c>
      <c r="VCL6" s="27" t="str">
        <f>IFERROR(VLOOKUP(DATE($K$1,$K$2,VCL$4),Table1[],(MATCH(Calendar!$A6,DB!1:1,0)+2),FALSE),"")</f>
        <v/>
      </c>
      <c r="VCM6" s="27" t="str">
        <f>IFERROR(VLOOKUP(DATE($K$1,$K$2,VCM$4),Table1[],(MATCH(Calendar!$A6,DB!1:1,0)+2),FALSE),"")</f>
        <v/>
      </c>
      <c r="VCN6" s="27" t="str">
        <f>IFERROR(VLOOKUP(DATE($K$1,$K$2,VCN$4),Table1[],(MATCH(Calendar!$A6,DB!1:1,0)+2),FALSE),"")</f>
        <v/>
      </c>
      <c r="VCO6" s="27" t="str">
        <f>IFERROR(VLOOKUP(DATE($K$1,$K$2,VCO$4),Table1[],(MATCH(Calendar!$A6,DB!1:1,0)+2),FALSE),"")</f>
        <v/>
      </c>
      <c r="VCP6" s="27" t="str">
        <f>IFERROR(VLOOKUP(DATE($K$1,$K$2,VCP$4),Table1[],(MATCH(Calendar!$A6,DB!1:1,0)+2),FALSE),"")</f>
        <v/>
      </c>
      <c r="VCQ6" s="27" t="str">
        <f>IFERROR(VLOOKUP(DATE($K$1,$K$2,VCQ$4),Table1[],(MATCH(Calendar!$A6,DB!1:1,0)+2),FALSE),"")</f>
        <v/>
      </c>
      <c r="VCR6" s="27" t="str">
        <f>IFERROR(VLOOKUP(DATE($K$1,$K$2,VCR$4),Table1[],(MATCH(Calendar!$A6,DB!1:1,0)+2),FALSE),"")</f>
        <v/>
      </c>
      <c r="VCS6" s="27" t="str">
        <f>IFERROR(VLOOKUP(DATE($K$1,$K$2,VCS$4),Table1[],(MATCH(Calendar!$A6,DB!1:1,0)+2),FALSE),"")</f>
        <v/>
      </c>
      <c r="VCT6" s="27" t="str">
        <f>IFERROR(VLOOKUP(DATE($K$1,$K$2,VCT$4),Table1[],(MATCH(Calendar!$A6,DB!1:1,0)+2),FALSE),"")</f>
        <v/>
      </c>
      <c r="VCU6" s="27" t="str">
        <f>IFERROR(VLOOKUP(DATE($K$1,$K$2,VCU$4),Table1[],(MATCH(Calendar!$A6,DB!1:1,0)+2),FALSE),"")</f>
        <v/>
      </c>
      <c r="VCV6" s="27" t="str">
        <f>IFERROR(VLOOKUP(DATE($K$1,$K$2,VCV$4),Table1[],(MATCH(Calendar!$A6,DB!1:1,0)+2),FALSE),"")</f>
        <v/>
      </c>
      <c r="VCW6" s="27" t="str">
        <f>IFERROR(VLOOKUP(DATE($K$1,$K$2,VCW$4),Table1[],(MATCH(Calendar!$A6,DB!1:1,0)+2),FALSE),"")</f>
        <v/>
      </c>
      <c r="VCX6" s="27" t="str">
        <f>IFERROR(VLOOKUP(DATE($K$1,$K$2,VCX$4),Table1[],(MATCH(Calendar!$A6,DB!1:1,0)+2),FALSE),"")</f>
        <v/>
      </c>
      <c r="VCY6" s="27" t="str">
        <f>IFERROR(VLOOKUP(DATE($K$1,$K$2,VCY$4),Table1[],(MATCH(Calendar!$A6,DB!1:1,0)+2),FALSE),"")</f>
        <v/>
      </c>
      <c r="VCZ6" s="27" t="str">
        <f>IFERROR(VLOOKUP(DATE($K$1,$K$2,VCZ$4),Table1[],(MATCH(Calendar!$A6,DB!1:1,0)+2),FALSE),"")</f>
        <v/>
      </c>
      <c r="VDA6" s="27" t="str">
        <f>IFERROR(VLOOKUP(DATE($K$1,$K$2,VDA$4),Table1[],(MATCH(Calendar!$A6,DB!1:1,0)+2),FALSE),"")</f>
        <v/>
      </c>
      <c r="VDB6" s="27" t="str">
        <f>IFERROR(VLOOKUP(DATE($K$1,$K$2,VDB$4),Table1[],(MATCH(Calendar!$A6,DB!1:1,0)+2),FALSE),"")</f>
        <v/>
      </c>
      <c r="VDC6" s="27" t="str">
        <f>IFERROR(VLOOKUP(DATE($K$1,$K$2,VDC$4),Table1[],(MATCH(Calendar!$A6,DB!1:1,0)+2),FALSE),"")</f>
        <v/>
      </c>
      <c r="VDD6" s="27" t="str">
        <f>IFERROR(VLOOKUP(DATE($K$1,$K$2,VDD$4),Table1[],(MATCH(Calendar!$A6,DB!1:1,0)+2),FALSE),"")</f>
        <v/>
      </c>
      <c r="VDE6" s="27" t="str">
        <f>IFERROR(VLOOKUP(DATE($K$1,$K$2,VDE$4),Table1[],(MATCH(Calendar!$A6,DB!1:1,0)+2),FALSE),"")</f>
        <v/>
      </c>
      <c r="VDF6" s="27" t="str">
        <f>IFERROR(VLOOKUP(DATE($K$1,$K$2,VDF$4),Table1[],(MATCH(Calendar!$A6,DB!1:1,0)+2),FALSE),"")</f>
        <v/>
      </c>
      <c r="VDG6" s="27" t="str">
        <f>IFERROR(VLOOKUP(DATE($K$1,$K$2,VDG$4),Table1[],(MATCH(Calendar!$A6,DB!1:1,0)+2),FALSE),"")</f>
        <v/>
      </c>
      <c r="VDH6" s="27" t="str">
        <f>IFERROR(VLOOKUP(DATE($K$1,$K$2,VDH$4),Table1[],(MATCH(Calendar!$A6,DB!1:1,0)+2),FALSE),"")</f>
        <v/>
      </c>
      <c r="VDI6" s="27" t="str">
        <f>IFERROR(VLOOKUP(DATE($K$1,$K$2,VDI$4),Table1[],(MATCH(Calendar!$A6,DB!1:1,0)+2),FALSE),"")</f>
        <v/>
      </c>
      <c r="VDJ6" s="27" t="str">
        <f>IFERROR(VLOOKUP(DATE($K$1,$K$2,VDJ$4),Table1[],(MATCH(Calendar!$A6,DB!1:1,0)+2),FALSE),"")</f>
        <v/>
      </c>
      <c r="VDK6" s="27" t="str">
        <f>IFERROR(VLOOKUP(DATE($K$1,$K$2,VDK$4),Table1[],(MATCH(Calendar!$A6,DB!1:1,0)+2),FALSE),"")</f>
        <v/>
      </c>
      <c r="VDL6" s="27" t="str">
        <f>IFERROR(VLOOKUP(DATE($K$1,$K$2,VDL$4),Table1[],(MATCH(Calendar!$A6,DB!1:1,0)+2),FALSE),"")</f>
        <v/>
      </c>
      <c r="VDM6" s="27" t="str">
        <f>IFERROR(VLOOKUP(DATE($K$1,$K$2,VDM$4),Table1[],(MATCH(Calendar!$A6,DB!1:1,0)+2),FALSE),"")</f>
        <v/>
      </c>
      <c r="VDN6" s="27" t="str">
        <f>IFERROR(VLOOKUP(DATE($K$1,$K$2,VDN$4),Table1[],(MATCH(Calendar!$A6,DB!1:1,0)+2),FALSE),"")</f>
        <v/>
      </c>
      <c r="VDO6" s="27" t="str">
        <f>IFERROR(VLOOKUP(DATE($K$1,$K$2,VDO$4),Table1[],(MATCH(Calendar!$A6,DB!1:1,0)+2),FALSE),"")</f>
        <v/>
      </c>
      <c r="VDP6" s="27" t="str">
        <f>IFERROR(VLOOKUP(DATE($K$1,$K$2,VDP$4),Table1[],(MATCH(Calendar!$A6,DB!1:1,0)+2),FALSE),"")</f>
        <v/>
      </c>
      <c r="VDQ6" s="27" t="str">
        <f>IFERROR(VLOOKUP(DATE($K$1,$K$2,VDQ$4),Table1[],(MATCH(Calendar!$A6,DB!1:1,0)+2),FALSE),"")</f>
        <v/>
      </c>
      <c r="VDR6" s="27" t="str">
        <f>IFERROR(VLOOKUP(DATE($K$1,$K$2,VDR$4),Table1[],(MATCH(Calendar!$A6,DB!1:1,0)+2),FALSE),"")</f>
        <v/>
      </c>
      <c r="VDS6" s="27" t="str">
        <f>IFERROR(VLOOKUP(DATE($K$1,$K$2,VDS$4),Table1[],(MATCH(Calendar!$A6,DB!1:1,0)+2),FALSE),"")</f>
        <v/>
      </c>
      <c r="VDT6" s="27" t="str">
        <f>IFERROR(VLOOKUP(DATE($K$1,$K$2,VDT$4),Table1[],(MATCH(Calendar!$A6,DB!1:1,0)+2),FALSE),"")</f>
        <v/>
      </c>
      <c r="VDU6" s="27" t="str">
        <f>IFERROR(VLOOKUP(DATE($K$1,$K$2,VDU$4),Table1[],(MATCH(Calendar!$A6,DB!1:1,0)+2),FALSE),"")</f>
        <v/>
      </c>
      <c r="VDV6" s="27" t="str">
        <f>IFERROR(VLOOKUP(DATE($K$1,$K$2,VDV$4),Table1[],(MATCH(Calendar!$A6,DB!1:1,0)+2),FALSE),"")</f>
        <v/>
      </c>
      <c r="VDW6" s="27" t="str">
        <f>IFERROR(VLOOKUP(DATE($K$1,$K$2,VDW$4),Table1[],(MATCH(Calendar!$A6,DB!1:1,0)+2),FALSE),"")</f>
        <v/>
      </c>
      <c r="VDX6" s="27" t="str">
        <f>IFERROR(VLOOKUP(DATE($K$1,$K$2,VDX$4),Table1[],(MATCH(Calendar!$A6,DB!1:1,0)+2),FALSE),"")</f>
        <v/>
      </c>
      <c r="VDY6" s="27" t="str">
        <f>IFERROR(VLOOKUP(DATE($K$1,$K$2,VDY$4),Table1[],(MATCH(Calendar!$A6,DB!1:1,0)+2),FALSE),"")</f>
        <v/>
      </c>
      <c r="VDZ6" s="27" t="str">
        <f>IFERROR(VLOOKUP(DATE($K$1,$K$2,VDZ$4),Table1[],(MATCH(Calendar!$A6,DB!1:1,0)+2),FALSE),"")</f>
        <v/>
      </c>
      <c r="VEA6" s="27" t="str">
        <f>IFERROR(VLOOKUP(DATE($K$1,$K$2,VEA$4),Table1[],(MATCH(Calendar!$A6,DB!1:1,0)+2),FALSE),"")</f>
        <v/>
      </c>
      <c r="VEB6" s="27" t="str">
        <f>IFERROR(VLOOKUP(DATE($K$1,$K$2,VEB$4),Table1[],(MATCH(Calendar!$A6,DB!1:1,0)+2),FALSE),"")</f>
        <v/>
      </c>
      <c r="VEC6" s="27" t="str">
        <f>IFERROR(VLOOKUP(DATE($K$1,$K$2,VEC$4),Table1[],(MATCH(Calendar!$A6,DB!1:1,0)+2),FALSE),"")</f>
        <v/>
      </c>
      <c r="VED6" s="27" t="str">
        <f>IFERROR(VLOOKUP(DATE($K$1,$K$2,VED$4),Table1[],(MATCH(Calendar!$A6,DB!1:1,0)+2),FALSE),"")</f>
        <v/>
      </c>
      <c r="VEE6" s="27" t="str">
        <f>IFERROR(VLOOKUP(DATE($K$1,$K$2,VEE$4),Table1[],(MATCH(Calendar!$A6,DB!1:1,0)+2),FALSE),"")</f>
        <v/>
      </c>
      <c r="VEF6" s="27" t="str">
        <f>IFERROR(VLOOKUP(DATE($K$1,$K$2,VEF$4),Table1[],(MATCH(Calendar!$A6,DB!1:1,0)+2),FALSE),"")</f>
        <v/>
      </c>
      <c r="VEG6" s="27" t="str">
        <f>IFERROR(VLOOKUP(DATE($K$1,$K$2,VEG$4),Table1[],(MATCH(Calendar!$A6,DB!1:1,0)+2),FALSE),"")</f>
        <v/>
      </c>
      <c r="VEH6" s="27" t="str">
        <f>IFERROR(VLOOKUP(DATE($K$1,$K$2,VEH$4),Table1[],(MATCH(Calendar!$A6,DB!1:1,0)+2),FALSE),"")</f>
        <v/>
      </c>
      <c r="VEI6" s="27" t="str">
        <f>IFERROR(VLOOKUP(DATE($K$1,$K$2,VEI$4),Table1[],(MATCH(Calendar!$A6,DB!1:1,0)+2),FALSE),"")</f>
        <v/>
      </c>
      <c r="VEJ6" s="27" t="str">
        <f>IFERROR(VLOOKUP(DATE($K$1,$K$2,VEJ$4),Table1[],(MATCH(Calendar!$A6,DB!1:1,0)+2),FALSE),"")</f>
        <v/>
      </c>
      <c r="VEK6" s="27" t="str">
        <f>IFERROR(VLOOKUP(DATE($K$1,$K$2,VEK$4),Table1[],(MATCH(Calendar!$A6,DB!1:1,0)+2),FALSE),"")</f>
        <v/>
      </c>
      <c r="VEL6" s="27" t="str">
        <f>IFERROR(VLOOKUP(DATE($K$1,$K$2,VEL$4),Table1[],(MATCH(Calendar!$A6,DB!1:1,0)+2),FALSE),"")</f>
        <v/>
      </c>
      <c r="VEM6" s="27" t="str">
        <f>IFERROR(VLOOKUP(DATE($K$1,$K$2,VEM$4),Table1[],(MATCH(Calendar!$A6,DB!1:1,0)+2),FALSE),"")</f>
        <v/>
      </c>
      <c r="VEN6" s="27" t="str">
        <f>IFERROR(VLOOKUP(DATE($K$1,$K$2,VEN$4),Table1[],(MATCH(Calendar!$A6,DB!1:1,0)+2),FALSE),"")</f>
        <v/>
      </c>
      <c r="VEO6" s="27" t="str">
        <f>IFERROR(VLOOKUP(DATE($K$1,$K$2,VEO$4),Table1[],(MATCH(Calendar!$A6,DB!1:1,0)+2),FALSE),"")</f>
        <v/>
      </c>
      <c r="VEP6" s="27" t="str">
        <f>IFERROR(VLOOKUP(DATE($K$1,$K$2,VEP$4),Table1[],(MATCH(Calendar!$A6,DB!1:1,0)+2),FALSE),"")</f>
        <v/>
      </c>
      <c r="VEQ6" s="27" t="str">
        <f>IFERROR(VLOOKUP(DATE($K$1,$K$2,VEQ$4),Table1[],(MATCH(Calendar!$A6,DB!1:1,0)+2),FALSE),"")</f>
        <v/>
      </c>
      <c r="VER6" s="27" t="str">
        <f>IFERROR(VLOOKUP(DATE($K$1,$K$2,VER$4),Table1[],(MATCH(Calendar!$A6,DB!1:1,0)+2),FALSE),"")</f>
        <v/>
      </c>
      <c r="VES6" s="27" t="str">
        <f>IFERROR(VLOOKUP(DATE($K$1,$K$2,VES$4),Table1[],(MATCH(Calendar!$A6,DB!1:1,0)+2),FALSE),"")</f>
        <v/>
      </c>
      <c r="VET6" s="27" t="str">
        <f>IFERROR(VLOOKUP(DATE($K$1,$K$2,VET$4),Table1[],(MATCH(Calendar!$A6,DB!1:1,0)+2),FALSE),"")</f>
        <v/>
      </c>
      <c r="VEU6" s="27" t="str">
        <f>IFERROR(VLOOKUP(DATE($K$1,$K$2,VEU$4),Table1[],(MATCH(Calendar!$A6,DB!1:1,0)+2),FALSE),"")</f>
        <v/>
      </c>
      <c r="VEV6" s="27" t="str">
        <f>IFERROR(VLOOKUP(DATE($K$1,$K$2,VEV$4),Table1[],(MATCH(Calendar!$A6,DB!1:1,0)+2),FALSE),"")</f>
        <v/>
      </c>
      <c r="VEW6" s="27" t="str">
        <f>IFERROR(VLOOKUP(DATE($K$1,$K$2,VEW$4),Table1[],(MATCH(Calendar!$A6,DB!1:1,0)+2),FALSE),"")</f>
        <v/>
      </c>
      <c r="VEX6" s="27" t="str">
        <f>IFERROR(VLOOKUP(DATE($K$1,$K$2,VEX$4),Table1[],(MATCH(Calendar!$A6,DB!1:1,0)+2),FALSE),"")</f>
        <v/>
      </c>
      <c r="VEY6" s="27" t="str">
        <f>IFERROR(VLOOKUP(DATE($K$1,$K$2,VEY$4),Table1[],(MATCH(Calendar!$A6,DB!1:1,0)+2),FALSE),"")</f>
        <v/>
      </c>
      <c r="VEZ6" s="27" t="str">
        <f>IFERROR(VLOOKUP(DATE($K$1,$K$2,VEZ$4),Table1[],(MATCH(Calendar!$A6,DB!1:1,0)+2),FALSE),"")</f>
        <v/>
      </c>
      <c r="VFA6" s="27" t="str">
        <f>IFERROR(VLOOKUP(DATE($K$1,$K$2,VFA$4),Table1[],(MATCH(Calendar!$A6,DB!1:1,0)+2),FALSE),"")</f>
        <v/>
      </c>
      <c r="VFB6" s="27" t="str">
        <f>IFERROR(VLOOKUP(DATE($K$1,$K$2,VFB$4),Table1[],(MATCH(Calendar!$A6,DB!1:1,0)+2),FALSE),"")</f>
        <v/>
      </c>
      <c r="VFC6" s="27" t="str">
        <f>IFERROR(VLOOKUP(DATE($K$1,$K$2,VFC$4),Table1[],(MATCH(Calendar!$A6,DB!1:1,0)+2),FALSE),"")</f>
        <v/>
      </c>
      <c r="VFD6" s="27" t="str">
        <f>IFERROR(VLOOKUP(DATE($K$1,$K$2,VFD$4),Table1[],(MATCH(Calendar!$A6,DB!1:1,0)+2),FALSE),"")</f>
        <v/>
      </c>
      <c r="VFE6" s="27" t="str">
        <f>IFERROR(VLOOKUP(DATE($K$1,$K$2,VFE$4),Table1[],(MATCH(Calendar!$A6,DB!1:1,0)+2),FALSE),"")</f>
        <v/>
      </c>
      <c r="VFF6" s="27" t="str">
        <f>IFERROR(VLOOKUP(DATE($K$1,$K$2,VFF$4),Table1[],(MATCH(Calendar!$A6,DB!1:1,0)+2),FALSE),"")</f>
        <v/>
      </c>
      <c r="VFG6" s="27" t="str">
        <f>IFERROR(VLOOKUP(DATE($K$1,$K$2,VFG$4),Table1[],(MATCH(Calendar!$A6,DB!1:1,0)+2),FALSE),"")</f>
        <v/>
      </c>
      <c r="VFH6" s="27" t="str">
        <f>IFERROR(VLOOKUP(DATE($K$1,$K$2,VFH$4),Table1[],(MATCH(Calendar!$A6,DB!1:1,0)+2),FALSE),"")</f>
        <v/>
      </c>
      <c r="VFI6" s="27" t="str">
        <f>IFERROR(VLOOKUP(DATE($K$1,$K$2,VFI$4),Table1[],(MATCH(Calendar!$A6,DB!1:1,0)+2),FALSE),"")</f>
        <v/>
      </c>
      <c r="VFJ6" s="27" t="str">
        <f>IFERROR(VLOOKUP(DATE($K$1,$K$2,VFJ$4),Table1[],(MATCH(Calendar!$A6,DB!1:1,0)+2),FALSE),"")</f>
        <v/>
      </c>
      <c r="VFK6" s="27" t="str">
        <f>IFERROR(VLOOKUP(DATE($K$1,$K$2,VFK$4),Table1[],(MATCH(Calendar!$A6,DB!1:1,0)+2),FALSE),"")</f>
        <v/>
      </c>
      <c r="VFL6" s="27" t="str">
        <f>IFERROR(VLOOKUP(DATE($K$1,$K$2,VFL$4),Table1[],(MATCH(Calendar!$A6,DB!1:1,0)+2),FALSE),"")</f>
        <v/>
      </c>
      <c r="VFM6" s="27" t="str">
        <f>IFERROR(VLOOKUP(DATE($K$1,$K$2,VFM$4),Table1[],(MATCH(Calendar!$A6,DB!1:1,0)+2),FALSE),"")</f>
        <v/>
      </c>
      <c r="VFN6" s="27" t="str">
        <f>IFERROR(VLOOKUP(DATE($K$1,$K$2,VFN$4),Table1[],(MATCH(Calendar!$A6,DB!1:1,0)+2),FALSE),"")</f>
        <v/>
      </c>
      <c r="VFO6" s="27" t="str">
        <f>IFERROR(VLOOKUP(DATE($K$1,$K$2,VFO$4),Table1[],(MATCH(Calendar!$A6,DB!1:1,0)+2),FALSE),"")</f>
        <v/>
      </c>
      <c r="VFP6" s="27" t="str">
        <f>IFERROR(VLOOKUP(DATE($K$1,$K$2,VFP$4),Table1[],(MATCH(Calendar!$A6,DB!1:1,0)+2),FALSE),"")</f>
        <v/>
      </c>
      <c r="VFQ6" s="27" t="str">
        <f>IFERROR(VLOOKUP(DATE($K$1,$K$2,VFQ$4),Table1[],(MATCH(Calendar!$A6,DB!1:1,0)+2),FALSE),"")</f>
        <v/>
      </c>
      <c r="VFR6" s="27" t="str">
        <f>IFERROR(VLOOKUP(DATE($K$1,$K$2,VFR$4),Table1[],(MATCH(Calendar!$A6,DB!1:1,0)+2),FALSE),"")</f>
        <v/>
      </c>
      <c r="VFS6" s="27" t="str">
        <f>IFERROR(VLOOKUP(DATE($K$1,$K$2,VFS$4),Table1[],(MATCH(Calendar!$A6,DB!1:1,0)+2),FALSE),"")</f>
        <v/>
      </c>
      <c r="VFT6" s="27" t="str">
        <f>IFERROR(VLOOKUP(DATE($K$1,$K$2,VFT$4),Table1[],(MATCH(Calendar!$A6,DB!1:1,0)+2),FALSE),"")</f>
        <v/>
      </c>
      <c r="VFU6" s="27" t="str">
        <f>IFERROR(VLOOKUP(DATE($K$1,$K$2,VFU$4),Table1[],(MATCH(Calendar!$A6,DB!1:1,0)+2),FALSE),"")</f>
        <v/>
      </c>
      <c r="VFV6" s="27" t="str">
        <f>IFERROR(VLOOKUP(DATE($K$1,$K$2,VFV$4),Table1[],(MATCH(Calendar!$A6,DB!1:1,0)+2),FALSE),"")</f>
        <v/>
      </c>
      <c r="VFW6" s="27" t="str">
        <f>IFERROR(VLOOKUP(DATE($K$1,$K$2,VFW$4),Table1[],(MATCH(Calendar!$A6,DB!1:1,0)+2),FALSE),"")</f>
        <v/>
      </c>
      <c r="VFX6" s="27" t="str">
        <f>IFERROR(VLOOKUP(DATE($K$1,$K$2,VFX$4),Table1[],(MATCH(Calendar!$A6,DB!1:1,0)+2),FALSE),"")</f>
        <v/>
      </c>
      <c r="VFY6" s="27" t="str">
        <f>IFERROR(VLOOKUP(DATE($K$1,$K$2,VFY$4),Table1[],(MATCH(Calendar!$A6,DB!1:1,0)+2),FALSE),"")</f>
        <v/>
      </c>
      <c r="VFZ6" s="27" t="str">
        <f>IFERROR(VLOOKUP(DATE($K$1,$K$2,VFZ$4),Table1[],(MATCH(Calendar!$A6,DB!1:1,0)+2),FALSE),"")</f>
        <v/>
      </c>
      <c r="VGA6" s="27" t="str">
        <f>IFERROR(VLOOKUP(DATE($K$1,$K$2,VGA$4),Table1[],(MATCH(Calendar!$A6,DB!1:1,0)+2),FALSE),"")</f>
        <v/>
      </c>
      <c r="VGB6" s="27" t="str">
        <f>IFERROR(VLOOKUP(DATE($K$1,$K$2,VGB$4),Table1[],(MATCH(Calendar!$A6,DB!1:1,0)+2),FALSE),"")</f>
        <v/>
      </c>
      <c r="VGC6" s="27" t="str">
        <f>IFERROR(VLOOKUP(DATE($K$1,$K$2,VGC$4),Table1[],(MATCH(Calendar!$A6,DB!1:1,0)+2),FALSE),"")</f>
        <v/>
      </c>
      <c r="VGD6" s="27" t="str">
        <f>IFERROR(VLOOKUP(DATE($K$1,$K$2,VGD$4),Table1[],(MATCH(Calendar!$A6,DB!1:1,0)+2),FALSE),"")</f>
        <v/>
      </c>
      <c r="VGE6" s="27" t="str">
        <f>IFERROR(VLOOKUP(DATE($K$1,$K$2,VGE$4),Table1[],(MATCH(Calendar!$A6,DB!1:1,0)+2),FALSE),"")</f>
        <v/>
      </c>
      <c r="VGF6" s="27" t="str">
        <f>IFERROR(VLOOKUP(DATE($K$1,$K$2,VGF$4),Table1[],(MATCH(Calendar!$A6,DB!1:1,0)+2),FALSE),"")</f>
        <v/>
      </c>
      <c r="VGG6" s="27" t="str">
        <f>IFERROR(VLOOKUP(DATE($K$1,$K$2,VGG$4),Table1[],(MATCH(Calendar!$A6,DB!1:1,0)+2),FALSE),"")</f>
        <v/>
      </c>
      <c r="VGH6" s="27" t="str">
        <f>IFERROR(VLOOKUP(DATE($K$1,$K$2,VGH$4),Table1[],(MATCH(Calendar!$A6,DB!1:1,0)+2),FALSE),"")</f>
        <v/>
      </c>
      <c r="VGI6" s="27" t="str">
        <f>IFERROR(VLOOKUP(DATE($K$1,$K$2,VGI$4),Table1[],(MATCH(Calendar!$A6,DB!1:1,0)+2),FALSE),"")</f>
        <v/>
      </c>
      <c r="VGJ6" s="27" t="str">
        <f>IFERROR(VLOOKUP(DATE($K$1,$K$2,VGJ$4),Table1[],(MATCH(Calendar!$A6,DB!1:1,0)+2),FALSE),"")</f>
        <v/>
      </c>
      <c r="VGK6" s="27" t="str">
        <f>IFERROR(VLOOKUP(DATE($K$1,$K$2,VGK$4),Table1[],(MATCH(Calendar!$A6,DB!1:1,0)+2),FALSE),"")</f>
        <v/>
      </c>
      <c r="VGL6" s="27" t="str">
        <f>IFERROR(VLOOKUP(DATE($K$1,$K$2,VGL$4),Table1[],(MATCH(Calendar!$A6,DB!1:1,0)+2),FALSE),"")</f>
        <v/>
      </c>
      <c r="VGM6" s="27" t="str">
        <f>IFERROR(VLOOKUP(DATE($K$1,$K$2,VGM$4),Table1[],(MATCH(Calendar!$A6,DB!1:1,0)+2),FALSE),"")</f>
        <v/>
      </c>
      <c r="VGN6" s="27" t="str">
        <f>IFERROR(VLOOKUP(DATE($K$1,$K$2,VGN$4),Table1[],(MATCH(Calendar!$A6,DB!1:1,0)+2),FALSE),"")</f>
        <v/>
      </c>
      <c r="VGO6" s="27" t="str">
        <f>IFERROR(VLOOKUP(DATE($K$1,$K$2,VGO$4),Table1[],(MATCH(Calendar!$A6,DB!1:1,0)+2),FALSE),"")</f>
        <v/>
      </c>
      <c r="VGP6" s="27" t="str">
        <f>IFERROR(VLOOKUP(DATE($K$1,$K$2,VGP$4),Table1[],(MATCH(Calendar!$A6,DB!1:1,0)+2),FALSE),"")</f>
        <v/>
      </c>
      <c r="VGQ6" s="27" t="str">
        <f>IFERROR(VLOOKUP(DATE($K$1,$K$2,VGQ$4),Table1[],(MATCH(Calendar!$A6,DB!1:1,0)+2),FALSE),"")</f>
        <v/>
      </c>
      <c r="VGR6" s="27" t="str">
        <f>IFERROR(VLOOKUP(DATE($K$1,$K$2,VGR$4),Table1[],(MATCH(Calendar!$A6,DB!1:1,0)+2),FALSE),"")</f>
        <v/>
      </c>
      <c r="VGS6" s="27" t="str">
        <f>IFERROR(VLOOKUP(DATE($K$1,$K$2,VGS$4),Table1[],(MATCH(Calendar!$A6,DB!1:1,0)+2),FALSE),"")</f>
        <v/>
      </c>
      <c r="VGT6" s="27" t="str">
        <f>IFERROR(VLOOKUP(DATE($K$1,$K$2,VGT$4),Table1[],(MATCH(Calendar!$A6,DB!1:1,0)+2),FALSE),"")</f>
        <v/>
      </c>
      <c r="VGU6" s="27" t="str">
        <f>IFERROR(VLOOKUP(DATE($K$1,$K$2,VGU$4),Table1[],(MATCH(Calendar!$A6,DB!1:1,0)+2),FALSE),"")</f>
        <v/>
      </c>
      <c r="VGV6" s="27" t="str">
        <f>IFERROR(VLOOKUP(DATE($K$1,$K$2,VGV$4),Table1[],(MATCH(Calendar!$A6,DB!1:1,0)+2),FALSE),"")</f>
        <v/>
      </c>
      <c r="VGW6" s="27" t="str">
        <f>IFERROR(VLOOKUP(DATE($K$1,$K$2,VGW$4),Table1[],(MATCH(Calendar!$A6,DB!1:1,0)+2),FALSE),"")</f>
        <v/>
      </c>
      <c r="VGX6" s="27" t="str">
        <f>IFERROR(VLOOKUP(DATE($K$1,$K$2,VGX$4),Table1[],(MATCH(Calendar!$A6,DB!1:1,0)+2),FALSE),"")</f>
        <v/>
      </c>
      <c r="VGY6" s="27" t="str">
        <f>IFERROR(VLOOKUP(DATE($K$1,$K$2,VGY$4),Table1[],(MATCH(Calendar!$A6,DB!1:1,0)+2),FALSE),"")</f>
        <v/>
      </c>
      <c r="VGZ6" s="27" t="str">
        <f>IFERROR(VLOOKUP(DATE($K$1,$K$2,VGZ$4),Table1[],(MATCH(Calendar!$A6,DB!1:1,0)+2),FALSE),"")</f>
        <v/>
      </c>
      <c r="VHA6" s="27" t="str">
        <f>IFERROR(VLOOKUP(DATE($K$1,$K$2,VHA$4),Table1[],(MATCH(Calendar!$A6,DB!1:1,0)+2),FALSE),"")</f>
        <v/>
      </c>
      <c r="VHB6" s="27" t="str">
        <f>IFERROR(VLOOKUP(DATE($K$1,$K$2,VHB$4),Table1[],(MATCH(Calendar!$A6,DB!1:1,0)+2),FALSE),"")</f>
        <v/>
      </c>
      <c r="VHC6" s="27" t="str">
        <f>IFERROR(VLOOKUP(DATE($K$1,$K$2,VHC$4),Table1[],(MATCH(Calendar!$A6,DB!1:1,0)+2),FALSE),"")</f>
        <v/>
      </c>
      <c r="VHD6" s="27" t="str">
        <f>IFERROR(VLOOKUP(DATE($K$1,$K$2,VHD$4),Table1[],(MATCH(Calendar!$A6,DB!1:1,0)+2),FALSE),"")</f>
        <v/>
      </c>
      <c r="VHE6" s="27" t="str">
        <f>IFERROR(VLOOKUP(DATE($K$1,$K$2,VHE$4),Table1[],(MATCH(Calendar!$A6,DB!1:1,0)+2),FALSE),"")</f>
        <v/>
      </c>
      <c r="VHF6" s="27" t="str">
        <f>IFERROR(VLOOKUP(DATE($K$1,$K$2,VHF$4),Table1[],(MATCH(Calendar!$A6,DB!1:1,0)+2),FALSE),"")</f>
        <v/>
      </c>
      <c r="VHG6" s="27" t="str">
        <f>IFERROR(VLOOKUP(DATE($K$1,$K$2,VHG$4),Table1[],(MATCH(Calendar!$A6,DB!1:1,0)+2),FALSE),"")</f>
        <v/>
      </c>
      <c r="VHH6" s="27" t="str">
        <f>IFERROR(VLOOKUP(DATE($K$1,$K$2,VHH$4),Table1[],(MATCH(Calendar!$A6,DB!1:1,0)+2),FALSE),"")</f>
        <v/>
      </c>
      <c r="VHI6" s="27" t="str">
        <f>IFERROR(VLOOKUP(DATE($K$1,$K$2,VHI$4),Table1[],(MATCH(Calendar!$A6,DB!1:1,0)+2),FALSE),"")</f>
        <v/>
      </c>
      <c r="VHJ6" s="27" t="str">
        <f>IFERROR(VLOOKUP(DATE($K$1,$K$2,VHJ$4),Table1[],(MATCH(Calendar!$A6,DB!1:1,0)+2),FALSE),"")</f>
        <v/>
      </c>
      <c r="VHK6" s="27" t="str">
        <f>IFERROR(VLOOKUP(DATE($K$1,$K$2,VHK$4),Table1[],(MATCH(Calendar!$A6,DB!1:1,0)+2),FALSE),"")</f>
        <v/>
      </c>
      <c r="VHL6" s="27" t="str">
        <f>IFERROR(VLOOKUP(DATE($K$1,$K$2,VHL$4),Table1[],(MATCH(Calendar!$A6,DB!1:1,0)+2),FALSE),"")</f>
        <v/>
      </c>
      <c r="VHM6" s="27" t="str">
        <f>IFERROR(VLOOKUP(DATE($K$1,$K$2,VHM$4),Table1[],(MATCH(Calendar!$A6,DB!1:1,0)+2),FALSE),"")</f>
        <v/>
      </c>
      <c r="VHN6" s="27" t="str">
        <f>IFERROR(VLOOKUP(DATE($K$1,$K$2,VHN$4),Table1[],(MATCH(Calendar!$A6,DB!1:1,0)+2),FALSE),"")</f>
        <v/>
      </c>
      <c r="VHO6" s="27" t="str">
        <f>IFERROR(VLOOKUP(DATE($K$1,$K$2,VHO$4),Table1[],(MATCH(Calendar!$A6,DB!1:1,0)+2),FALSE),"")</f>
        <v/>
      </c>
      <c r="VHP6" s="27" t="str">
        <f>IFERROR(VLOOKUP(DATE($K$1,$K$2,VHP$4),Table1[],(MATCH(Calendar!$A6,DB!1:1,0)+2),FALSE),"")</f>
        <v/>
      </c>
      <c r="VHQ6" s="27" t="str">
        <f>IFERROR(VLOOKUP(DATE($K$1,$K$2,VHQ$4),Table1[],(MATCH(Calendar!$A6,DB!1:1,0)+2),FALSE),"")</f>
        <v/>
      </c>
      <c r="VHR6" s="27" t="str">
        <f>IFERROR(VLOOKUP(DATE($K$1,$K$2,VHR$4),Table1[],(MATCH(Calendar!$A6,DB!1:1,0)+2),FALSE),"")</f>
        <v/>
      </c>
      <c r="VHS6" s="27" t="str">
        <f>IFERROR(VLOOKUP(DATE($K$1,$K$2,VHS$4),Table1[],(MATCH(Calendar!$A6,DB!1:1,0)+2),FALSE),"")</f>
        <v/>
      </c>
      <c r="VHT6" s="27" t="str">
        <f>IFERROR(VLOOKUP(DATE($K$1,$K$2,VHT$4),Table1[],(MATCH(Calendar!$A6,DB!1:1,0)+2),FALSE),"")</f>
        <v/>
      </c>
      <c r="VHU6" s="27" t="str">
        <f>IFERROR(VLOOKUP(DATE($K$1,$K$2,VHU$4),Table1[],(MATCH(Calendar!$A6,DB!1:1,0)+2),FALSE),"")</f>
        <v/>
      </c>
      <c r="VHV6" s="27" t="str">
        <f>IFERROR(VLOOKUP(DATE($K$1,$K$2,VHV$4),Table1[],(MATCH(Calendar!$A6,DB!1:1,0)+2),FALSE),"")</f>
        <v/>
      </c>
      <c r="VHW6" s="27" t="str">
        <f>IFERROR(VLOOKUP(DATE($K$1,$K$2,VHW$4),Table1[],(MATCH(Calendar!$A6,DB!1:1,0)+2),FALSE),"")</f>
        <v/>
      </c>
      <c r="VHX6" s="27" t="str">
        <f>IFERROR(VLOOKUP(DATE($K$1,$K$2,VHX$4),Table1[],(MATCH(Calendar!$A6,DB!1:1,0)+2),FALSE),"")</f>
        <v/>
      </c>
      <c r="VHY6" s="27" t="str">
        <f>IFERROR(VLOOKUP(DATE($K$1,$K$2,VHY$4),Table1[],(MATCH(Calendar!$A6,DB!1:1,0)+2),FALSE),"")</f>
        <v/>
      </c>
      <c r="VHZ6" s="27" t="str">
        <f>IFERROR(VLOOKUP(DATE($K$1,$K$2,VHZ$4),Table1[],(MATCH(Calendar!$A6,DB!1:1,0)+2),FALSE),"")</f>
        <v/>
      </c>
      <c r="VIA6" s="27" t="str">
        <f>IFERROR(VLOOKUP(DATE($K$1,$K$2,VIA$4),Table1[],(MATCH(Calendar!$A6,DB!1:1,0)+2),FALSE),"")</f>
        <v/>
      </c>
      <c r="VIB6" s="27" t="str">
        <f>IFERROR(VLOOKUP(DATE($K$1,$K$2,VIB$4),Table1[],(MATCH(Calendar!$A6,DB!1:1,0)+2),FALSE),"")</f>
        <v/>
      </c>
      <c r="VIC6" s="27" t="str">
        <f>IFERROR(VLOOKUP(DATE($K$1,$K$2,VIC$4),Table1[],(MATCH(Calendar!$A6,DB!1:1,0)+2),FALSE),"")</f>
        <v/>
      </c>
      <c r="VID6" s="27" t="str">
        <f>IFERROR(VLOOKUP(DATE($K$1,$K$2,VID$4),Table1[],(MATCH(Calendar!$A6,DB!1:1,0)+2),FALSE),"")</f>
        <v/>
      </c>
      <c r="VIE6" s="27" t="str">
        <f>IFERROR(VLOOKUP(DATE($K$1,$K$2,VIE$4),Table1[],(MATCH(Calendar!$A6,DB!1:1,0)+2),FALSE),"")</f>
        <v/>
      </c>
      <c r="VIF6" s="27" t="str">
        <f>IFERROR(VLOOKUP(DATE($K$1,$K$2,VIF$4),Table1[],(MATCH(Calendar!$A6,DB!1:1,0)+2),FALSE),"")</f>
        <v/>
      </c>
      <c r="VIG6" s="27" t="str">
        <f>IFERROR(VLOOKUP(DATE($K$1,$K$2,VIG$4),Table1[],(MATCH(Calendar!$A6,DB!1:1,0)+2),FALSE),"")</f>
        <v/>
      </c>
      <c r="VIH6" s="27" t="str">
        <f>IFERROR(VLOOKUP(DATE($K$1,$K$2,VIH$4),Table1[],(MATCH(Calendar!$A6,DB!1:1,0)+2),FALSE),"")</f>
        <v/>
      </c>
      <c r="VII6" s="27" t="str">
        <f>IFERROR(VLOOKUP(DATE($K$1,$K$2,VII$4),Table1[],(MATCH(Calendar!$A6,DB!1:1,0)+2),FALSE),"")</f>
        <v/>
      </c>
      <c r="VIJ6" s="27" t="str">
        <f>IFERROR(VLOOKUP(DATE($K$1,$K$2,VIJ$4),Table1[],(MATCH(Calendar!$A6,DB!1:1,0)+2),FALSE),"")</f>
        <v/>
      </c>
      <c r="VIK6" s="27" t="str">
        <f>IFERROR(VLOOKUP(DATE($K$1,$K$2,VIK$4),Table1[],(MATCH(Calendar!$A6,DB!1:1,0)+2),FALSE),"")</f>
        <v/>
      </c>
      <c r="VIL6" s="27" t="str">
        <f>IFERROR(VLOOKUP(DATE($K$1,$K$2,VIL$4),Table1[],(MATCH(Calendar!$A6,DB!1:1,0)+2),FALSE),"")</f>
        <v/>
      </c>
      <c r="VIM6" s="27" t="str">
        <f>IFERROR(VLOOKUP(DATE($K$1,$K$2,VIM$4),Table1[],(MATCH(Calendar!$A6,DB!1:1,0)+2),FALSE),"")</f>
        <v/>
      </c>
      <c r="VIN6" s="27" t="str">
        <f>IFERROR(VLOOKUP(DATE($K$1,$K$2,VIN$4),Table1[],(MATCH(Calendar!$A6,DB!1:1,0)+2),FALSE),"")</f>
        <v/>
      </c>
      <c r="VIO6" s="27" t="str">
        <f>IFERROR(VLOOKUP(DATE($K$1,$K$2,VIO$4),Table1[],(MATCH(Calendar!$A6,DB!1:1,0)+2),FALSE),"")</f>
        <v/>
      </c>
      <c r="VIP6" s="27" t="str">
        <f>IFERROR(VLOOKUP(DATE($K$1,$K$2,VIP$4),Table1[],(MATCH(Calendar!$A6,DB!1:1,0)+2),FALSE),"")</f>
        <v/>
      </c>
      <c r="VIQ6" s="27" t="str">
        <f>IFERROR(VLOOKUP(DATE($K$1,$K$2,VIQ$4),Table1[],(MATCH(Calendar!$A6,DB!1:1,0)+2),FALSE),"")</f>
        <v/>
      </c>
      <c r="VIR6" s="27" t="str">
        <f>IFERROR(VLOOKUP(DATE($K$1,$K$2,VIR$4),Table1[],(MATCH(Calendar!$A6,DB!1:1,0)+2),FALSE),"")</f>
        <v/>
      </c>
      <c r="VIS6" s="27" t="str">
        <f>IFERROR(VLOOKUP(DATE($K$1,$K$2,VIS$4),Table1[],(MATCH(Calendar!$A6,DB!1:1,0)+2),FALSE),"")</f>
        <v/>
      </c>
      <c r="VIT6" s="27" t="str">
        <f>IFERROR(VLOOKUP(DATE($K$1,$K$2,VIT$4),Table1[],(MATCH(Calendar!$A6,DB!1:1,0)+2),FALSE),"")</f>
        <v/>
      </c>
      <c r="VIU6" s="27" t="str">
        <f>IFERROR(VLOOKUP(DATE($K$1,$K$2,VIU$4),Table1[],(MATCH(Calendar!$A6,DB!1:1,0)+2),FALSE),"")</f>
        <v/>
      </c>
      <c r="VIV6" s="27" t="str">
        <f>IFERROR(VLOOKUP(DATE($K$1,$K$2,VIV$4),Table1[],(MATCH(Calendar!$A6,DB!1:1,0)+2),FALSE),"")</f>
        <v/>
      </c>
      <c r="VIW6" s="27" t="str">
        <f>IFERROR(VLOOKUP(DATE($K$1,$K$2,VIW$4),Table1[],(MATCH(Calendar!$A6,DB!1:1,0)+2),FALSE),"")</f>
        <v/>
      </c>
      <c r="VIX6" s="27" t="str">
        <f>IFERROR(VLOOKUP(DATE($K$1,$K$2,VIX$4),Table1[],(MATCH(Calendar!$A6,DB!1:1,0)+2),FALSE),"")</f>
        <v/>
      </c>
      <c r="VIY6" s="27" t="str">
        <f>IFERROR(VLOOKUP(DATE($K$1,$K$2,VIY$4),Table1[],(MATCH(Calendar!$A6,DB!1:1,0)+2),FALSE),"")</f>
        <v/>
      </c>
      <c r="VIZ6" s="27" t="str">
        <f>IFERROR(VLOOKUP(DATE($K$1,$K$2,VIZ$4),Table1[],(MATCH(Calendar!$A6,DB!1:1,0)+2),FALSE),"")</f>
        <v/>
      </c>
      <c r="VJA6" s="27" t="str">
        <f>IFERROR(VLOOKUP(DATE($K$1,$K$2,VJA$4),Table1[],(MATCH(Calendar!$A6,DB!1:1,0)+2),FALSE),"")</f>
        <v/>
      </c>
      <c r="VJB6" s="27" t="str">
        <f>IFERROR(VLOOKUP(DATE($K$1,$K$2,VJB$4),Table1[],(MATCH(Calendar!$A6,DB!1:1,0)+2),FALSE),"")</f>
        <v/>
      </c>
      <c r="VJC6" s="27" t="str">
        <f>IFERROR(VLOOKUP(DATE($K$1,$K$2,VJC$4),Table1[],(MATCH(Calendar!$A6,DB!1:1,0)+2),FALSE),"")</f>
        <v/>
      </c>
      <c r="VJD6" s="27" t="str">
        <f>IFERROR(VLOOKUP(DATE($K$1,$K$2,VJD$4),Table1[],(MATCH(Calendar!$A6,DB!1:1,0)+2),FALSE),"")</f>
        <v/>
      </c>
      <c r="VJE6" s="27" t="str">
        <f>IFERROR(VLOOKUP(DATE($K$1,$K$2,VJE$4),Table1[],(MATCH(Calendar!$A6,DB!1:1,0)+2),FALSE),"")</f>
        <v/>
      </c>
      <c r="VJF6" s="27" t="str">
        <f>IFERROR(VLOOKUP(DATE($K$1,$K$2,VJF$4),Table1[],(MATCH(Calendar!$A6,DB!1:1,0)+2),FALSE),"")</f>
        <v/>
      </c>
      <c r="VJG6" s="27" t="str">
        <f>IFERROR(VLOOKUP(DATE($K$1,$K$2,VJG$4),Table1[],(MATCH(Calendar!$A6,DB!1:1,0)+2),FALSE),"")</f>
        <v/>
      </c>
      <c r="VJH6" s="27" t="str">
        <f>IFERROR(VLOOKUP(DATE($K$1,$K$2,VJH$4),Table1[],(MATCH(Calendar!$A6,DB!1:1,0)+2),FALSE),"")</f>
        <v/>
      </c>
      <c r="VJI6" s="27" t="str">
        <f>IFERROR(VLOOKUP(DATE($K$1,$K$2,VJI$4),Table1[],(MATCH(Calendar!$A6,DB!1:1,0)+2),FALSE),"")</f>
        <v/>
      </c>
      <c r="VJJ6" s="27" t="str">
        <f>IFERROR(VLOOKUP(DATE($K$1,$K$2,VJJ$4),Table1[],(MATCH(Calendar!$A6,DB!1:1,0)+2),FALSE),"")</f>
        <v/>
      </c>
      <c r="VJK6" s="27" t="str">
        <f>IFERROR(VLOOKUP(DATE($K$1,$K$2,VJK$4),Table1[],(MATCH(Calendar!$A6,DB!1:1,0)+2),FALSE),"")</f>
        <v/>
      </c>
      <c r="VJL6" s="27" t="str">
        <f>IFERROR(VLOOKUP(DATE($K$1,$K$2,VJL$4),Table1[],(MATCH(Calendar!$A6,DB!1:1,0)+2),FALSE),"")</f>
        <v/>
      </c>
      <c r="VJM6" s="27" t="str">
        <f>IFERROR(VLOOKUP(DATE($K$1,$K$2,VJM$4),Table1[],(MATCH(Calendar!$A6,DB!1:1,0)+2),FALSE),"")</f>
        <v/>
      </c>
      <c r="VJN6" s="27" t="str">
        <f>IFERROR(VLOOKUP(DATE($K$1,$K$2,VJN$4),Table1[],(MATCH(Calendar!$A6,DB!1:1,0)+2),FALSE),"")</f>
        <v/>
      </c>
      <c r="VJO6" s="27" t="str">
        <f>IFERROR(VLOOKUP(DATE($K$1,$K$2,VJO$4),Table1[],(MATCH(Calendar!$A6,DB!1:1,0)+2),FALSE),"")</f>
        <v/>
      </c>
      <c r="VJP6" s="27" t="str">
        <f>IFERROR(VLOOKUP(DATE($K$1,$K$2,VJP$4),Table1[],(MATCH(Calendar!$A6,DB!1:1,0)+2),FALSE),"")</f>
        <v/>
      </c>
      <c r="VJQ6" s="27" t="str">
        <f>IFERROR(VLOOKUP(DATE($K$1,$K$2,VJQ$4),Table1[],(MATCH(Calendar!$A6,DB!1:1,0)+2),FALSE),"")</f>
        <v/>
      </c>
      <c r="VJR6" s="27" t="str">
        <f>IFERROR(VLOOKUP(DATE($K$1,$K$2,VJR$4),Table1[],(MATCH(Calendar!$A6,DB!1:1,0)+2),FALSE),"")</f>
        <v/>
      </c>
      <c r="VJS6" s="27" t="str">
        <f>IFERROR(VLOOKUP(DATE($K$1,$K$2,VJS$4),Table1[],(MATCH(Calendar!$A6,DB!1:1,0)+2),FALSE),"")</f>
        <v/>
      </c>
      <c r="VJT6" s="27" t="str">
        <f>IFERROR(VLOOKUP(DATE($K$1,$K$2,VJT$4),Table1[],(MATCH(Calendar!$A6,DB!1:1,0)+2),FALSE),"")</f>
        <v/>
      </c>
      <c r="VJU6" s="27" t="str">
        <f>IFERROR(VLOOKUP(DATE($K$1,$K$2,VJU$4),Table1[],(MATCH(Calendar!$A6,DB!1:1,0)+2),FALSE),"")</f>
        <v/>
      </c>
      <c r="VJV6" s="27" t="str">
        <f>IFERROR(VLOOKUP(DATE($K$1,$K$2,VJV$4),Table1[],(MATCH(Calendar!$A6,DB!1:1,0)+2),FALSE),"")</f>
        <v/>
      </c>
      <c r="VJW6" s="27" t="str">
        <f>IFERROR(VLOOKUP(DATE($K$1,$K$2,VJW$4),Table1[],(MATCH(Calendar!$A6,DB!1:1,0)+2),FALSE),"")</f>
        <v/>
      </c>
      <c r="VJX6" s="27" t="str">
        <f>IFERROR(VLOOKUP(DATE($K$1,$K$2,VJX$4),Table1[],(MATCH(Calendar!$A6,DB!1:1,0)+2),FALSE),"")</f>
        <v/>
      </c>
      <c r="VJY6" s="27" t="str">
        <f>IFERROR(VLOOKUP(DATE($K$1,$K$2,VJY$4),Table1[],(MATCH(Calendar!$A6,DB!1:1,0)+2),FALSE),"")</f>
        <v/>
      </c>
      <c r="VJZ6" s="27" t="str">
        <f>IFERROR(VLOOKUP(DATE($K$1,$K$2,VJZ$4),Table1[],(MATCH(Calendar!$A6,DB!1:1,0)+2),FALSE),"")</f>
        <v/>
      </c>
      <c r="VKA6" s="27" t="str">
        <f>IFERROR(VLOOKUP(DATE($K$1,$K$2,VKA$4),Table1[],(MATCH(Calendar!$A6,DB!1:1,0)+2),FALSE),"")</f>
        <v/>
      </c>
      <c r="VKB6" s="27" t="str">
        <f>IFERROR(VLOOKUP(DATE($K$1,$K$2,VKB$4),Table1[],(MATCH(Calendar!$A6,DB!1:1,0)+2),FALSE),"")</f>
        <v/>
      </c>
      <c r="VKC6" s="27" t="str">
        <f>IFERROR(VLOOKUP(DATE($K$1,$K$2,VKC$4),Table1[],(MATCH(Calendar!$A6,DB!1:1,0)+2),FALSE),"")</f>
        <v/>
      </c>
      <c r="VKD6" s="27" t="str">
        <f>IFERROR(VLOOKUP(DATE($K$1,$K$2,VKD$4),Table1[],(MATCH(Calendar!$A6,DB!1:1,0)+2),FALSE),"")</f>
        <v/>
      </c>
      <c r="VKE6" s="27" t="str">
        <f>IFERROR(VLOOKUP(DATE($K$1,$K$2,VKE$4),Table1[],(MATCH(Calendar!$A6,DB!1:1,0)+2),FALSE),"")</f>
        <v/>
      </c>
      <c r="VKF6" s="27" t="str">
        <f>IFERROR(VLOOKUP(DATE($K$1,$K$2,VKF$4),Table1[],(MATCH(Calendar!$A6,DB!1:1,0)+2),FALSE),"")</f>
        <v/>
      </c>
      <c r="VKG6" s="27" t="str">
        <f>IFERROR(VLOOKUP(DATE($K$1,$K$2,VKG$4),Table1[],(MATCH(Calendar!$A6,DB!1:1,0)+2),FALSE),"")</f>
        <v/>
      </c>
      <c r="VKH6" s="27" t="str">
        <f>IFERROR(VLOOKUP(DATE($K$1,$K$2,VKH$4),Table1[],(MATCH(Calendar!$A6,DB!1:1,0)+2),FALSE),"")</f>
        <v/>
      </c>
      <c r="VKI6" s="27" t="str">
        <f>IFERROR(VLOOKUP(DATE($K$1,$K$2,VKI$4),Table1[],(MATCH(Calendar!$A6,DB!1:1,0)+2),FALSE),"")</f>
        <v/>
      </c>
      <c r="VKJ6" s="27" t="str">
        <f>IFERROR(VLOOKUP(DATE($K$1,$K$2,VKJ$4),Table1[],(MATCH(Calendar!$A6,DB!1:1,0)+2),FALSE),"")</f>
        <v/>
      </c>
      <c r="VKK6" s="27" t="str">
        <f>IFERROR(VLOOKUP(DATE($K$1,$K$2,VKK$4),Table1[],(MATCH(Calendar!$A6,DB!1:1,0)+2),FALSE),"")</f>
        <v/>
      </c>
      <c r="VKL6" s="27" t="str">
        <f>IFERROR(VLOOKUP(DATE($K$1,$K$2,VKL$4),Table1[],(MATCH(Calendar!$A6,DB!1:1,0)+2),FALSE),"")</f>
        <v/>
      </c>
      <c r="VKM6" s="27" t="str">
        <f>IFERROR(VLOOKUP(DATE($K$1,$K$2,VKM$4),Table1[],(MATCH(Calendar!$A6,DB!1:1,0)+2),FALSE),"")</f>
        <v/>
      </c>
      <c r="VKN6" s="27" t="str">
        <f>IFERROR(VLOOKUP(DATE($K$1,$K$2,VKN$4),Table1[],(MATCH(Calendar!$A6,DB!1:1,0)+2),FALSE),"")</f>
        <v/>
      </c>
      <c r="VKO6" s="27" t="str">
        <f>IFERROR(VLOOKUP(DATE($K$1,$K$2,VKO$4),Table1[],(MATCH(Calendar!$A6,DB!1:1,0)+2),FALSE),"")</f>
        <v/>
      </c>
      <c r="VKP6" s="27" t="str">
        <f>IFERROR(VLOOKUP(DATE($K$1,$K$2,VKP$4),Table1[],(MATCH(Calendar!$A6,DB!1:1,0)+2),FALSE),"")</f>
        <v/>
      </c>
      <c r="VKQ6" s="27" t="str">
        <f>IFERROR(VLOOKUP(DATE($K$1,$K$2,VKQ$4),Table1[],(MATCH(Calendar!$A6,DB!1:1,0)+2),FALSE),"")</f>
        <v/>
      </c>
      <c r="VKR6" s="27" t="str">
        <f>IFERROR(VLOOKUP(DATE($K$1,$K$2,VKR$4),Table1[],(MATCH(Calendar!$A6,DB!1:1,0)+2),FALSE),"")</f>
        <v/>
      </c>
      <c r="VKS6" s="27" t="str">
        <f>IFERROR(VLOOKUP(DATE($K$1,$K$2,VKS$4),Table1[],(MATCH(Calendar!$A6,DB!1:1,0)+2),FALSE),"")</f>
        <v/>
      </c>
      <c r="VKT6" s="27" t="str">
        <f>IFERROR(VLOOKUP(DATE($K$1,$K$2,VKT$4),Table1[],(MATCH(Calendar!$A6,DB!1:1,0)+2),FALSE),"")</f>
        <v/>
      </c>
      <c r="VKU6" s="27" t="str">
        <f>IFERROR(VLOOKUP(DATE($K$1,$K$2,VKU$4),Table1[],(MATCH(Calendar!$A6,DB!1:1,0)+2),FALSE),"")</f>
        <v/>
      </c>
      <c r="VKV6" s="27" t="str">
        <f>IFERROR(VLOOKUP(DATE($K$1,$K$2,VKV$4),Table1[],(MATCH(Calendar!$A6,DB!1:1,0)+2),FALSE),"")</f>
        <v/>
      </c>
      <c r="VKW6" s="27" t="str">
        <f>IFERROR(VLOOKUP(DATE($K$1,$K$2,VKW$4),Table1[],(MATCH(Calendar!$A6,DB!1:1,0)+2),FALSE),"")</f>
        <v/>
      </c>
      <c r="VKX6" s="27" t="str">
        <f>IFERROR(VLOOKUP(DATE($K$1,$K$2,VKX$4),Table1[],(MATCH(Calendar!$A6,DB!1:1,0)+2),FALSE),"")</f>
        <v/>
      </c>
      <c r="VKY6" s="27" t="str">
        <f>IFERROR(VLOOKUP(DATE($K$1,$K$2,VKY$4),Table1[],(MATCH(Calendar!$A6,DB!1:1,0)+2),FALSE),"")</f>
        <v/>
      </c>
      <c r="VKZ6" s="27" t="str">
        <f>IFERROR(VLOOKUP(DATE($K$1,$K$2,VKZ$4),Table1[],(MATCH(Calendar!$A6,DB!1:1,0)+2),FALSE),"")</f>
        <v/>
      </c>
      <c r="VLA6" s="27" t="str">
        <f>IFERROR(VLOOKUP(DATE($K$1,$K$2,VLA$4),Table1[],(MATCH(Calendar!$A6,DB!1:1,0)+2),FALSE),"")</f>
        <v/>
      </c>
      <c r="VLB6" s="27" t="str">
        <f>IFERROR(VLOOKUP(DATE($K$1,$K$2,VLB$4),Table1[],(MATCH(Calendar!$A6,DB!1:1,0)+2),FALSE),"")</f>
        <v/>
      </c>
      <c r="VLC6" s="27" t="str">
        <f>IFERROR(VLOOKUP(DATE($K$1,$K$2,VLC$4),Table1[],(MATCH(Calendar!$A6,DB!1:1,0)+2),FALSE),"")</f>
        <v/>
      </c>
      <c r="VLD6" s="27" t="str">
        <f>IFERROR(VLOOKUP(DATE($K$1,$K$2,VLD$4),Table1[],(MATCH(Calendar!$A6,DB!1:1,0)+2),FALSE),"")</f>
        <v/>
      </c>
      <c r="VLE6" s="27" t="str">
        <f>IFERROR(VLOOKUP(DATE($K$1,$K$2,VLE$4),Table1[],(MATCH(Calendar!$A6,DB!1:1,0)+2),FALSE),"")</f>
        <v/>
      </c>
      <c r="VLF6" s="27" t="str">
        <f>IFERROR(VLOOKUP(DATE($K$1,$K$2,VLF$4),Table1[],(MATCH(Calendar!$A6,DB!1:1,0)+2),FALSE),"")</f>
        <v/>
      </c>
      <c r="VLG6" s="27" t="str">
        <f>IFERROR(VLOOKUP(DATE($K$1,$K$2,VLG$4),Table1[],(MATCH(Calendar!$A6,DB!1:1,0)+2),FALSE),"")</f>
        <v/>
      </c>
      <c r="VLH6" s="27" t="str">
        <f>IFERROR(VLOOKUP(DATE($K$1,$K$2,VLH$4),Table1[],(MATCH(Calendar!$A6,DB!1:1,0)+2),FALSE),"")</f>
        <v/>
      </c>
      <c r="VLI6" s="27" t="str">
        <f>IFERROR(VLOOKUP(DATE($K$1,$K$2,VLI$4),Table1[],(MATCH(Calendar!$A6,DB!1:1,0)+2),FALSE),"")</f>
        <v/>
      </c>
      <c r="VLJ6" s="27" t="str">
        <f>IFERROR(VLOOKUP(DATE($K$1,$K$2,VLJ$4),Table1[],(MATCH(Calendar!$A6,DB!1:1,0)+2),FALSE),"")</f>
        <v/>
      </c>
      <c r="VLK6" s="27" t="str">
        <f>IFERROR(VLOOKUP(DATE($K$1,$K$2,VLK$4),Table1[],(MATCH(Calendar!$A6,DB!1:1,0)+2),FALSE),"")</f>
        <v/>
      </c>
      <c r="VLL6" s="27" t="str">
        <f>IFERROR(VLOOKUP(DATE($K$1,$K$2,VLL$4),Table1[],(MATCH(Calendar!$A6,DB!1:1,0)+2),FALSE),"")</f>
        <v/>
      </c>
      <c r="VLM6" s="27" t="str">
        <f>IFERROR(VLOOKUP(DATE($K$1,$K$2,VLM$4),Table1[],(MATCH(Calendar!$A6,DB!1:1,0)+2),FALSE),"")</f>
        <v/>
      </c>
      <c r="VLN6" s="27" t="str">
        <f>IFERROR(VLOOKUP(DATE($K$1,$K$2,VLN$4),Table1[],(MATCH(Calendar!$A6,DB!1:1,0)+2),FALSE),"")</f>
        <v/>
      </c>
      <c r="VLO6" s="27" t="str">
        <f>IFERROR(VLOOKUP(DATE($K$1,$K$2,VLO$4),Table1[],(MATCH(Calendar!$A6,DB!1:1,0)+2),FALSE),"")</f>
        <v/>
      </c>
      <c r="VLP6" s="27" t="str">
        <f>IFERROR(VLOOKUP(DATE($K$1,$K$2,VLP$4),Table1[],(MATCH(Calendar!$A6,DB!1:1,0)+2),FALSE),"")</f>
        <v/>
      </c>
      <c r="VLQ6" s="27" t="str">
        <f>IFERROR(VLOOKUP(DATE($K$1,$K$2,VLQ$4),Table1[],(MATCH(Calendar!$A6,DB!1:1,0)+2),FALSE),"")</f>
        <v/>
      </c>
      <c r="VLR6" s="27" t="str">
        <f>IFERROR(VLOOKUP(DATE($K$1,$K$2,VLR$4),Table1[],(MATCH(Calendar!$A6,DB!1:1,0)+2),FALSE),"")</f>
        <v/>
      </c>
      <c r="VLS6" s="27" t="str">
        <f>IFERROR(VLOOKUP(DATE($K$1,$K$2,VLS$4),Table1[],(MATCH(Calendar!$A6,DB!1:1,0)+2),FALSE),"")</f>
        <v/>
      </c>
      <c r="VLT6" s="27" t="str">
        <f>IFERROR(VLOOKUP(DATE($K$1,$K$2,VLT$4),Table1[],(MATCH(Calendar!$A6,DB!1:1,0)+2),FALSE),"")</f>
        <v/>
      </c>
      <c r="VLU6" s="27" t="str">
        <f>IFERROR(VLOOKUP(DATE($K$1,$K$2,VLU$4),Table1[],(MATCH(Calendar!$A6,DB!1:1,0)+2),FALSE),"")</f>
        <v/>
      </c>
      <c r="VLV6" s="27" t="str">
        <f>IFERROR(VLOOKUP(DATE($K$1,$K$2,VLV$4),Table1[],(MATCH(Calendar!$A6,DB!1:1,0)+2),FALSE),"")</f>
        <v/>
      </c>
      <c r="VLW6" s="27" t="str">
        <f>IFERROR(VLOOKUP(DATE($K$1,$K$2,VLW$4),Table1[],(MATCH(Calendar!$A6,DB!1:1,0)+2),FALSE),"")</f>
        <v/>
      </c>
      <c r="VLX6" s="27" t="str">
        <f>IFERROR(VLOOKUP(DATE($K$1,$K$2,VLX$4),Table1[],(MATCH(Calendar!$A6,DB!1:1,0)+2),FALSE),"")</f>
        <v/>
      </c>
      <c r="VLY6" s="27" t="str">
        <f>IFERROR(VLOOKUP(DATE($K$1,$K$2,VLY$4),Table1[],(MATCH(Calendar!$A6,DB!1:1,0)+2),FALSE),"")</f>
        <v/>
      </c>
      <c r="VLZ6" s="27" t="str">
        <f>IFERROR(VLOOKUP(DATE($K$1,$K$2,VLZ$4),Table1[],(MATCH(Calendar!$A6,DB!1:1,0)+2),FALSE),"")</f>
        <v/>
      </c>
      <c r="VMA6" s="27" t="str">
        <f>IFERROR(VLOOKUP(DATE($K$1,$K$2,VMA$4),Table1[],(MATCH(Calendar!$A6,DB!1:1,0)+2),FALSE),"")</f>
        <v/>
      </c>
      <c r="VMB6" s="27" t="str">
        <f>IFERROR(VLOOKUP(DATE($K$1,$K$2,VMB$4),Table1[],(MATCH(Calendar!$A6,DB!1:1,0)+2),FALSE),"")</f>
        <v/>
      </c>
      <c r="VMC6" s="27" t="str">
        <f>IFERROR(VLOOKUP(DATE($K$1,$K$2,VMC$4),Table1[],(MATCH(Calendar!$A6,DB!1:1,0)+2),FALSE),"")</f>
        <v/>
      </c>
      <c r="VMD6" s="27" t="str">
        <f>IFERROR(VLOOKUP(DATE($K$1,$K$2,VMD$4),Table1[],(MATCH(Calendar!$A6,DB!1:1,0)+2),FALSE),"")</f>
        <v/>
      </c>
      <c r="VME6" s="27" t="str">
        <f>IFERROR(VLOOKUP(DATE($K$1,$K$2,VME$4),Table1[],(MATCH(Calendar!$A6,DB!1:1,0)+2),FALSE),"")</f>
        <v/>
      </c>
      <c r="VMF6" s="27" t="str">
        <f>IFERROR(VLOOKUP(DATE($K$1,$K$2,VMF$4),Table1[],(MATCH(Calendar!$A6,DB!1:1,0)+2),FALSE),"")</f>
        <v/>
      </c>
      <c r="VMG6" s="27" t="str">
        <f>IFERROR(VLOOKUP(DATE($K$1,$K$2,VMG$4),Table1[],(MATCH(Calendar!$A6,DB!1:1,0)+2),FALSE),"")</f>
        <v/>
      </c>
      <c r="VMH6" s="27" t="str">
        <f>IFERROR(VLOOKUP(DATE($K$1,$K$2,VMH$4),Table1[],(MATCH(Calendar!$A6,DB!1:1,0)+2),FALSE),"")</f>
        <v/>
      </c>
      <c r="VMI6" s="27" t="str">
        <f>IFERROR(VLOOKUP(DATE($K$1,$K$2,VMI$4),Table1[],(MATCH(Calendar!$A6,DB!1:1,0)+2),FALSE),"")</f>
        <v/>
      </c>
      <c r="VMJ6" s="27" t="str">
        <f>IFERROR(VLOOKUP(DATE($K$1,$K$2,VMJ$4),Table1[],(MATCH(Calendar!$A6,DB!1:1,0)+2),FALSE),"")</f>
        <v/>
      </c>
      <c r="VMK6" s="27" t="str">
        <f>IFERROR(VLOOKUP(DATE($K$1,$K$2,VMK$4),Table1[],(MATCH(Calendar!$A6,DB!1:1,0)+2),FALSE),"")</f>
        <v/>
      </c>
      <c r="VML6" s="27" t="str">
        <f>IFERROR(VLOOKUP(DATE($K$1,$K$2,VML$4),Table1[],(MATCH(Calendar!$A6,DB!1:1,0)+2),FALSE),"")</f>
        <v/>
      </c>
      <c r="VMM6" s="27" t="str">
        <f>IFERROR(VLOOKUP(DATE($K$1,$K$2,VMM$4),Table1[],(MATCH(Calendar!$A6,DB!1:1,0)+2),FALSE),"")</f>
        <v/>
      </c>
      <c r="VMN6" s="27" t="str">
        <f>IFERROR(VLOOKUP(DATE($K$1,$K$2,VMN$4),Table1[],(MATCH(Calendar!$A6,DB!1:1,0)+2),FALSE),"")</f>
        <v/>
      </c>
      <c r="VMO6" s="27" t="str">
        <f>IFERROR(VLOOKUP(DATE($K$1,$K$2,VMO$4),Table1[],(MATCH(Calendar!$A6,DB!1:1,0)+2),FALSE),"")</f>
        <v/>
      </c>
      <c r="VMP6" s="27" t="str">
        <f>IFERROR(VLOOKUP(DATE($K$1,$K$2,VMP$4),Table1[],(MATCH(Calendar!$A6,DB!1:1,0)+2),FALSE),"")</f>
        <v/>
      </c>
      <c r="VMQ6" s="27" t="str">
        <f>IFERROR(VLOOKUP(DATE($K$1,$K$2,VMQ$4),Table1[],(MATCH(Calendar!$A6,DB!1:1,0)+2),FALSE),"")</f>
        <v/>
      </c>
      <c r="VMR6" s="27" t="str">
        <f>IFERROR(VLOOKUP(DATE($K$1,$K$2,VMR$4),Table1[],(MATCH(Calendar!$A6,DB!1:1,0)+2),FALSE),"")</f>
        <v/>
      </c>
      <c r="VMS6" s="27" t="str">
        <f>IFERROR(VLOOKUP(DATE($K$1,$K$2,VMS$4),Table1[],(MATCH(Calendar!$A6,DB!1:1,0)+2),FALSE),"")</f>
        <v/>
      </c>
      <c r="VMT6" s="27" t="str">
        <f>IFERROR(VLOOKUP(DATE($K$1,$K$2,VMT$4),Table1[],(MATCH(Calendar!$A6,DB!1:1,0)+2),FALSE),"")</f>
        <v/>
      </c>
      <c r="VMU6" s="27" t="str">
        <f>IFERROR(VLOOKUP(DATE($K$1,$K$2,VMU$4),Table1[],(MATCH(Calendar!$A6,DB!1:1,0)+2),FALSE),"")</f>
        <v/>
      </c>
      <c r="VMV6" s="27" t="str">
        <f>IFERROR(VLOOKUP(DATE($K$1,$K$2,VMV$4),Table1[],(MATCH(Calendar!$A6,DB!1:1,0)+2),FALSE),"")</f>
        <v/>
      </c>
      <c r="VMW6" s="27" t="str">
        <f>IFERROR(VLOOKUP(DATE($K$1,$K$2,VMW$4),Table1[],(MATCH(Calendar!$A6,DB!1:1,0)+2),FALSE),"")</f>
        <v/>
      </c>
      <c r="VMX6" s="27" t="str">
        <f>IFERROR(VLOOKUP(DATE($K$1,$K$2,VMX$4),Table1[],(MATCH(Calendar!$A6,DB!1:1,0)+2),FALSE),"")</f>
        <v/>
      </c>
      <c r="VMY6" s="27" t="str">
        <f>IFERROR(VLOOKUP(DATE($K$1,$K$2,VMY$4),Table1[],(MATCH(Calendar!$A6,DB!1:1,0)+2),FALSE),"")</f>
        <v/>
      </c>
      <c r="VMZ6" s="27" t="str">
        <f>IFERROR(VLOOKUP(DATE($K$1,$K$2,VMZ$4),Table1[],(MATCH(Calendar!$A6,DB!1:1,0)+2),FALSE),"")</f>
        <v/>
      </c>
      <c r="VNA6" s="27" t="str">
        <f>IFERROR(VLOOKUP(DATE($K$1,$K$2,VNA$4),Table1[],(MATCH(Calendar!$A6,DB!1:1,0)+2),FALSE),"")</f>
        <v/>
      </c>
      <c r="VNB6" s="27" t="str">
        <f>IFERROR(VLOOKUP(DATE($K$1,$K$2,VNB$4),Table1[],(MATCH(Calendar!$A6,DB!1:1,0)+2),FALSE),"")</f>
        <v/>
      </c>
      <c r="VNC6" s="27" t="str">
        <f>IFERROR(VLOOKUP(DATE($K$1,$K$2,VNC$4),Table1[],(MATCH(Calendar!$A6,DB!1:1,0)+2),FALSE),"")</f>
        <v/>
      </c>
      <c r="VND6" s="27" t="str">
        <f>IFERROR(VLOOKUP(DATE($K$1,$K$2,VND$4),Table1[],(MATCH(Calendar!$A6,DB!1:1,0)+2),FALSE),"")</f>
        <v/>
      </c>
      <c r="VNE6" s="27" t="str">
        <f>IFERROR(VLOOKUP(DATE($K$1,$K$2,VNE$4),Table1[],(MATCH(Calendar!$A6,DB!1:1,0)+2),FALSE),"")</f>
        <v/>
      </c>
      <c r="VNF6" s="27" t="str">
        <f>IFERROR(VLOOKUP(DATE($K$1,$K$2,VNF$4),Table1[],(MATCH(Calendar!$A6,DB!1:1,0)+2),FALSE),"")</f>
        <v/>
      </c>
      <c r="VNG6" s="27" t="str">
        <f>IFERROR(VLOOKUP(DATE($K$1,$K$2,VNG$4),Table1[],(MATCH(Calendar!$A6,DB!1:1,0)+2),FALSE),"")</f>
        <v/>
      </c>
      <c r="VNH6" s="27" t="str">
        <f>IFERROR(VLOOKUP(DATE($K$1,$K$2,VNH$4),Table1[],(MATCH(Calendar!$A6,DB!1:1,0)+2),FALSE),"")</f>
        <v/>
      </c>
      <c r="VNI6" s="27" t="str">
        <f>IFERROR(VLOOKUP(DATE($K$1,$K$2,VNI$4),Table1[],(MATCH(Calendar!$A6,DB!1:1,0)+2),FALSE),"")</f>
        <v/>
      </c>
      <c r="VNJ6" s="27" t="str">
        <f>IFERROR(VLOOKUP(DATE($K$1,$K$2,VNJ$4),Table1[],(MATCH(Calendar!$A6,DB!1:1,0)+2),FALSE),"")</f>
        <v/>
      </c>
      <c r="VNK6" s="27" t="str">
        <f>IFERROR(VLOOKUP(DATE($K$1,$K$2,VNK$4),Table1[],(MATCH(Calendar!$A6,DB!1:1,0)+2),FALSE),"")</f>
        <v/>
      </c>
      <c r="VNL6" s="27" t="str">
        <f>IFERROR(VLOOKUP(DATE($K$1,$K$2,VNL$4),Table1[],(MATCH(Calendar!$A6,DB!1:1,0)+2),FALSE),"")</f>
        <v/>
      </c>
      <c r="VNM6" s="27" t="str">
        <f>IFERROR(VLOOKUP(DATE($K$1,$K$2,VNM$4),Table1[],(MATCH(Calendar!$A6,DB!1:1,0)+2),FALSE),"")</f>
        <v/>
      </c>
      <c r="VNN6" s="27" t="str">
        <f>IFERROR(VLOOKUP(DATE($K$1,$K$2,VNN$4),Table1[],(MATCH(Calendar!$A6,DB!1:1,0)+2),FALSE),"")</f>
        <v/>
      </c>
      <c r="VNO6" s="27" t="str">
        <f>IFERROR(VLOOKUP(DATE($K$1,$K$2,VNO$4),Table1[],(MATCH(Calendar!$A6,DB!1:1,0)+2),FALSE),"")</f>
        <v/>
      </c>
      <c r="VNP6" s="27" t="str">
        <f>IFERROR(VLOOKUP(DATE($K$1,$K$2,VNP$4),Table1[],(MATCH(Calendar!$A6,DB!1:1,0)+2),FALSE),"")</f>
        <v/>
      </c>
      <c r="VNQ6" s="27" t="str">
        <f>IFERROR(VLOOKUP(DATE($K$1,$K$2,VNQ$4),Table1[],(MATCH(Calendar!$A6,DB!1:1,0)+2),FALSE),"")</f>
        <v/>
      </c>
      <c r="VNR6" s="27" t="str">
        <f>IFERROR(VLOOKUP(DATE($K$1,$K$2,VNR$4),Table1[],(MATCH(Calendar!$A6,DB!1:1,0)+2),FALSE),"")</f>
        <v/>
      </c>
      <c r="VNS6" s="27" t="str">
        <f>IFERROR(VLOOKUP(DATE($K$1,$K$2,VNS$4),Table1[],(MATCH(Calendar!$A6,DB!1:1,0)+2),FALSE),"")</f>
        <v/>
      </c>
      <c r="VNT6" s="27" t="str">
        <f>IFERROR(VLOOKUP(DATE($K$1,$K$2,VNT$4),Table1[],(MATCH(Calendar!$A6,DB!1:1,0)+2),FALSE),"")</f>
        <v/>
      </c>
      <c r="VNU6" s="27" t="str">
        <f>IFERROR(VLOOKUP(DATE($K$1,$K$2,VNU$4),Table1[],(MATCH(Calendar!$A6,DB!1:1,0)+2),FALSE),"")</f>
        <v/>
      </c>
      <c r="VNV6" s="27" t="str">
        <f>IFERROR(VLOOKUP(DATE($K$1,$K$2,VNV$4),Table1[],(MATCH(Calendar!$A6,DB!1:1,0)+2),FALSE),"")</f>
        <v/>
      </c>
      <c r="VNW6" s="27" t="str">
        <f>IFERROR(VLOOKUP(DATE($K$1,$K$2,VNW$4),Table1[],(MATCH(Calendar!$A6,DB!1:1,0)+2),FALSE),"")</f>
        <v/>
      </c>
      <c r="VNX6" s="27" t="str">
        <f>IFERROR(VLOOKUP(DATE($K$1,$K$2,VNX$4),Table1[],(MATCH(Calendar!$A6,DB!1:1,0)+2),FALSE),"")</f>
        <v/>
      </c>
      <c r="VNY6" s="27" t="str">
        <f>IFERROR(VLOOKUP(DATE($K$1,$K$2,VNY$4),Table1[],(MATCH(Calendar!$A6,DB!1:1,0)+2),FALSE),"")</f>
        <v/>
      </c>
      <c r="VNZ6" s="27" t="str">
        <f>IFERROR(VLOOKUP(DATE($K$1,$K$2,VNZ$4),Table1[],(MATCH(Calendar!$A6,DB!1:1,0)+2),FALSE),"")</f>
        <v/>
      </c>
      <c r="VOA6" s="27" t="str">
        <f>IFERROR(VLOOKUP(DATE($K$1,$K$2,VOA$4),Table1[],(MATCH(Calendar!$A6,DB!1:1,0)+2),FALSE),"")</f>
        <v/>
      </c>
      <c r="VOB6" s="27" t="str">
        <f>IFERROR(VLOOKUP(DATE($K$1,$K$2,VOB$4),Table1[],(MATCH(Calendar!$A6,DB!1:1,0)+2),FALSE),"")</f>
        <v/>
      </c>
      <c r="VOC6" s="27" t="str">
        <f>IFERROR(VLOOKUP(DATE($K$1,$K$2,VOC$4),Table1[],(MATCH(Calendar!$A6,DB!1:1,0)+2),FALSE),"")</f>
        <v/>
      </c>
      <c r="VOD6" s="27" t="str">
        <f>IFERROR(VLOOKUP(DATE($K$1,$K$2,VOD$4),Table1[],(MATCH(Calendar!$A6,DB!1:1,0)+2),FALSE),"")</f>
        <v/>
      </c>
      <c r="VOE6" s="27" t="str">
        <f>IFERROR(VLOOKUP(DATE($K$1,$K$2,VOE$4),Table1[],(MATCH(Calendar!$A6,DB!1:1,0)+2),FALSE),"")</f>
        <v/>
      </c>
      <c r="VOF6" s="27" t="str">
        <f>IFERROR(VLOOKUP(DATE($K$1,$K$2,VOF$4),Table1[],(MATCH(Calendar!$A6,DB!1:1,0)+2),FALSE),"")</f>
        <v/>
      </c>
      <c r="VOG6" s="27" t="str">
        <f>IFERROR(VLOOKUP(DATE($K$1,$K$2,VOG$4),Table1[],(MATCH(Calendar!$A6,DB!1:1,0)+2),FALSE),"")</f>
        <v/>
      </c>
      <c r="VOH6" s="27" t="str">
        <f>IFERROR(VLOOKUP(DATE($K$1,$K$2,VOH$4),Table1[],(MATCH(Calendar!$A6,DB!1:1,0)+2),FALSE),"")</f>
        <v/>
      </c>
      <c r="VOI6" s="27" t="str">
        <f>IFERROR(VLOOKUP(DATE($K$1,$K$2,VOI$4),Table1[],(MATCH(Calendar!$A6,DB!1:1,0)+2),FALSE),"")</f>
        <v/>
      </c>
      <c r="VOJ6" s="27" t="str">
        <f>IFERROR(VLOOKUP(DATE($K$1,$K$2,VOJ$4),Table1[],(MATCH(Calendar!$A6,DB!1:1,0)+2),FALSE),"")</f>
        <v/>
      </c>
      <c r="VOK6" s="27" t="str">
        <f>IFERROR(VLOOKUP(DATE($K$1,$K$2,VOK$4),Table1[],(MATCH(Calendar!$A6,DB!1:1,0)+2),FALSE),"")</f>
        <v/>
      </c>
      <c r="VOL6" s="27" t="str">
        <f>IFERROR(VLOOKUP(DATE($K$1,$K$2,VOL$4),Table1[],(MATCH(Calendar!$A6,DB!1:1,0)+2),FALSE),"")</f>
        <v/>
      </c>
      <c r="VOM6" s="27" t="str">
        <f>IFERROR(VLOOKUP(DATE($K$1,$K$2,VOM$4),Table1[],(MATCH(Calendar!$A6,DB!1:1,0)+2),FALSE),"")</f>
        <v/>
      </c>
      <c r="VON6" s="27" t="str">
        <f>IFERROR(VLOOKUP(DATE($K$1,$K$2,VON$4),Table1[],(MATCH(Calendar!$A6,DB!1:1,0)+2),FALSE),"")</f>
        <v/>
      </c>
      <c r="VOO6" s="27" t="str">
        <f>IFERROR(VLOOKUP(DATE($K$1,$K$2,VOO$4),Table1[],(MATCH(Calendar!$A6,DB!1:1,0)+2),FALSE),"")</f>
        <v/>
      </c>
      <c r="VOP6" s="27" t="str">
        <f>IFERROR(VLOOKUP(DATE($K$1,$K$2,VOP$4),Table1[],(MATCH(Calendar!$A6,DB!1:1,0)+2),FALSE),"")</f>
        <v/>
      </c>
      <c r="VOQ6" s="27" t="str">
        <f>IFERROR(VLOOKUP(DATE($K$1,$K$2,VOQ$4),Table1[],(MATCH(Calendar!$A6,DB!1:1,0)+2),FALSE),"")</f>
        <v/>
      </c>
      <c r="VOR6" s="27" t="str">
        <f>IFERROR(VLOOKUP(DATE($K$1,$K$2,VOR$4),Table1[],(MATCH(Calendar!$A6,DB!1:1,0)+2),FALSE),"")</f>
        <v/>
      </c>
      <c r="VOS6" s="27" t="str">
        <f>IFERROR(VLOOKUP(DATE($K$1,$K$2,VOS$4),Table1[],(MATCH(Calendar!$A6,DB!1:1,0)+2),FALSE),"")</f>
        <v/>
      </c>
      <c r="VOT6" s="27" t="str">
        <f>IFERROR(VLOOKUP(DATE($K$1,$K$2,VOT$4),Table1[],(MATCH(Calendar!$A6,DB!1:1,0)+2),FALSE),"")</f>
        <v/>
      </c>
      <c r="VOU6" s="27" t="str">
        <f>IFERROR(VLOOKUP(DATE($K$1,$K$2,VOU$4),Table1[],(MATCH(Calendar!$A6,DB!1:1,0)+2),FALSE),"")</f>
        <v/>
      </c>
      <c r="VOV6" s="27" t="str">
        <f>IFERROR(VLOOKUP(DATE($K$1,$K$2,VOV$4),Table1[],(MATCH(Calendar!$A6,DB!1:1,0)+2),FALSE),"")</f>
        <v/>
      </c>
      <c r="VOW6" s="27" t="str">
        <f>IFERROR(VLOOKUP(DATE($K$1,$K$2,VOW$4),Table1[],(MATCH(Calendar!$A6,DB!1:1,0)+2),FALSE),"")</f>
        <v/>
      </c>
      <c r="VOX6" s="27" t="str">
        <f>IFERROR(VLOOKUP(DATE($K$1,$K$2,VOX$4),Table1[],(MATCH(Calendar!$A6,DB!1:1,0)+2),FALSE),"")</f>
        <v/>
      </c>
      <c r="VOY6" s="27" t="str">
        <f>IFERROR(VLOOKUP(DATE($K$1,$K$2,VOY$4),Table1[],(MATCH(Calendar!$A6,DB!1:1,0)+2),FALSE),"")</f>
        <v/>
      </c>
      <c r="VOZ6" s="27" t="str">
        <f>IFERROR(VLOOKUP(DATE($K$1,$K$2,VOZ$4),Table1[],(MATCH(Calendar!$A6,DB!1:1,0)+2),FALSE),"")</f>
        <v/>
      </c>
      <c r="VPA6" s="27" t="str">
        <f>IFERROR(VLOOKUP(DATE($K$1,$K$2,VPA$4),Table1[],(MATCH(Calendar!$A6,DB!1:1,0)+2),FALSE),"")</f>
        <v/>
      </c>
      <c r="VPB6" s="27" t="str">
        <f>IFERROR(VLOOKUP(DATE($K$1,$K$2,VPB$4),Table1[],(MATCH(Calendar!$A6,DB!1:1,0)+2),FALSE),"")</f>
        <v/>
      </c>
      <c r="VPC6" s="27" t="str">
        <f>IFERROR(VLOOKUP(DATE($K$1,$K$2,VPC$4),Table1[],(MATCH(Calendar!$A6,DB!1:1,0)+2),FALSE),"")</f>
        <v/>
      </c>
      <c r="VPD6" s="27" t="str">
        <f>IFERROR(VLOOKUP(DATE($K$1,$K$2,VPD$4),Table1[],(MATCH(Calendar!$A6,DB!1:1,0)+2),FALSE),"")</f>
        <v/>
      </c>
      <c r="VPE6" s="27" t="str">
        <f>IFERROR(VLOOKUP(DATE($K$1,$K$2,VPE$4),Table1[],(MATCH(Calendar!$A6,DB!1:1,0)+2),FALSE),"")</f>
        <v/>
      </c>
      <c r="VPF6" s="27" t="str">
        <f>IFERROR(VLOOKUP(DATE($K$1,$K$2,VPF$4),Table1[],(MATCH(Calendar!$A6,DB!1:1,0)+2),FALSE),"")</f>
        <v/>
      </c>
      <c r="VPG6" s="27" t="str">
        <f>IFERROR(VLOOKUP(DATE($K$1,$K$2,VPG$4),Table1[],(MATCH(Calendar!$A6,DB!1:1,0)+2),FALSE),"")</f>
        <v/>
      </c>
      <c r="VPH6" s="27" t="str">
        <f>IFERROR(VLOOKUP(DATE($K$1,$K$2,VPH$4),Table1[],(MATCH(Calendar!$A6,DB!1:1,0)+2),FALSE),"")</f>
        <v/>
      </c>
      <c r="VPI6" s="27" t="str">
        <f>IFERROR(VLOOKUP(DATE($K$1,$K$2,VPI$4),Table1[],(MATCH(Calendar!$A6,DB!1:1,0)+2),FALSE),"")</f>
        <v/>
      </c>
      <c r="VPJ6" s="27" t="str">
        <f>IFERROR(VLOOKUP(DATE($K$1,$K$2,VPJ$4),Table1[],(MATCH(Calendar!$A6,DB!1:1,0)+2),FALSE),"")</f>
        <v/>
      </c>
      <c r="VPK6" s="27" t="str">
        <f>IFERROR(VLOOKUP(DATE($K$1,$K$2,VPK$4),Table1[],(MATCH(Calendar!$A6,DB!1:1,0)+2),FALSE),"")</f>
        <v/>
      </c>
      <c r="VPL6" s="27" t="str">
        <f>IFERROR(VLOOKUP(DATE($K$1,$K$2,VPL$4),Table1[],(MATCH(Calendar!$A6,DB!1:1,0)+2),FALSE),"")</f>
        <v/>
      </c>
      <c r="VPM6" s="27" t="str">
        <f>IFERROR(VLOOKUP(DATE($K$1,$K$2,VPM$4),Table1[],(MATCH(Calendar!$A6,DB!1:1,0)+2),FALSE),"")</f>
        <v/>
      </c>
      <c r="VPN6" s="27" t="str">
        <f>IFERROR(VLOOKUP(DATE($K$1,$K$2,VPN$4),Table1[],(MATCH(Calendar!$A6,DB!1:1,0)+2),FALSE),"")</f>
        <v/>
      </c>
      <c r="VPO6" s="27" t="str">
        <f>IFERROR(VLOOKUP(DATE($K$1,$K$2,VPO$4),Table1[],(MATCH(Calendar!$A6,DB!1:1,0)+2),FALSE),"")</f>
        <v/>
      </c>
      <c r="VPP6" s="27" t="str">
        <f>IFERROR(VLOOKUP(DATE($K$1,$K$2,VPP$4),Table1[],(MATCH(Calendar!$A6,DB!1:1,0)+2),FALSE),"")</f>
        <v/>
      </c>
      <c r="VPQ6" s="27" t="str">
        <f>IFERROR(VLOOKUP(DATE($K$1,$K$2,VPQ$4),Table1[],(MATCH(Calendar!$A6,DB!1:1,0)+2),FALSE),"")</f>
        <v/>
      </c>
      <c r="VPR6" s="27" t="str">
        <f>IFERROR(VLOOKUP(DATE($K$1,$K$2,VPR$4),Table1[],(MATCH(Calendar!$A6,DB!1:1,0)+2),FALSE),"")</f>
        <v/>
      </c>
      <c r="VPS6" s="27" t="str">
        <f>IFERROR(VLOOKUP(DATE($K$1,$K$2,VPS$4),Table1[],(MATCH(Calendar!$A6,DB!1:1,0)+2),FALSE),"")</f>
        <v/>
      </c>
      <c r="VPT6" s="27" t="str">
        <f>IFERROR(VLOOKUP(DATE($K$1,$K$2,VPT$4),Table1[],(MATCH(Calendar!$A6,DB!1:1,0)+2),FALSE),"")</f>
        <v/>
      </c>
      <c r="VPU6" s="27" t="str">
        <f>IFERROR(VLOOKUP(DATE($K$1,$K$2,VPU$4),Table1[],(MATCH(Calendar!$A6,DB!1:1,0)+2),FALSE),"")</f>
        <v/>
      </c>
      <c r="VPV6" s="27" t="str">
        <f>IFERROR(VLOOKUP(DATE($K$1,$K$2,VPV$4),Table1[],(MATCH(Calendar!$A6,DB!1:1,0)+2),FALSE),"")</f>
        <v/>
      </c>
      <c r="VPW6" s="27" t="str">
        <f>IFERROR(VLOOKUP(DATE($K$1,$K$2,VPW$4),Table1[],(MATCH(Calendar!$A6,DB!1:1,0)+2),FALSE),"")</f>
        <v/>
      </c>
      <c r="VPX6" s="27" t="str">
        <f>IFERROR(VLOOKUP(DATE($K$1,$K$2,VPX$4),Table1[],(MATCH(Calendar!$A6,DB!1:1,0)+2),FALSE),"")</f>
        <v/>
      </c>
      <c r="VPY6" s="27" t="str">
        <f>IFERROR(VLOOKUP(DATE($K$1,$K$2,VPY$4),Table1[],(MATCH(Calendar!$A6,DB!1:1,0)+2),FALSE),"")</f>
        <v/>
      </c>
      <c r="VPZ6" s="27" t="str">
        <f>IFERROR(VLOOKUP(DATE($K$1,$K$2,VPZ$4),Table1[],(MATCH(Calendar!$A6,DB!1:1,0)+2),FALSE),"")</f>
        <v/>
      </c>
      <c r="VQA6" s="27" t="str">
        <f>IFERROR(VLOOKUP(DATE($K$1,$K$2,VQA$4),Table1[],(MATCH(Calendar!$A6,DB!1:1,0)+2),FALSE),"")</f>
        <v/>
      </c>
      <c r="VQB6" s="27" t="str">
        <f>IFERROR(VLOOKUP(DATE($K$1,$K$2,VQB$4),Table1[],(MATCH(Calendar!$A6,DB!1:1,0)+2),FALSE),"")</f>
        <v/>
      </c>
      <c r="VQC6" s="27" t="str">
        <f>IFERROR(VLOOKUP(DATE($K$1,$K$2,VQC$4),Table1[],(MATCH(Calendar!$A6,DB!1:1,0)+2),FALSE),"")</f>
        <v/>
      </c>
      <c r="VQD6" s="27" t="str">
        <f>IFERROR(VLOOKUP(DATE($K$1,$K$2,VQD$4),Table1[],(MATCH(Calendar!$A6,DB!1:1,0)+2),FALSE),"")</f>
        <v/>
      </c>
      <c r="VQE6" s="27" t="str">
        <f>IFERROR(VLOOKUP(DATE($K$1,$K$2,VQE$4),Table1[],(MATCH(Calendar!$A6,DB!1:1,0)+2),FALSE),"")</f>
        <v/>
      </c>
      <c r="VQF6" s="27" t="str">
        <f>IFERROR(VLOOKUP(DATE($K$1,$K$2,VQF$4),Table1[],(MATCH(Calendar!$A6,DB!1:1,0)+2),FALSE),"")</f>
        <v/>
      </c>
      <c r="VQG6" s="27" t="str">
        <f>IFERROR(VLOOKUP(DATE($K$1,$K$2,VQG$4),Table1[],(MATCH(Calendar!$A6,DB!1:1,0)+2),FALSE),"")</f>
        <v/>
      </c>
      <c r="VQH6" s="27" t="str">
        <f>IFERROR(VLOOKUP(DATE($K$1,$K$2,VQH$4),Table1[],(MATCH(Calendar!$A6,DB!1:1,0)+2),FALSE),"")</f>
        <v/>
      </c>
      <c r="VQI6" s="27" t="str">
        <f>IFERROR(VLOOKUP(DATE($K$1,$K$2,VQI$4),Table1[],(MATCH(Calendar!$A6,DB!1:1,0)+2),FALSE),"")</f>
        <v/>
      </c>
      <c r="VQJ6" s="27" t="str">
        <f>IFERROR(VLOOKUP(DATE($K$1,$K$2,VQJ$4),Table1[],(MATCH(Calendar!$A6,DB!1:1,0)+2),FALSE),"")</f>
        <v/>
      </c>
      <c r="VQK6" s="27" t="str">
        <f>IFERROR(VLOOKUP(DATE($K$1,$K$2,VQK$4),Table1[],(MATCH(Calendar!$A6,DB!1:1,0)+2),FALSE),"")</f>
        <v/>
      </c>
      <c r="VQL6" s="27" t="str">
        <f>IFERROR(VLOOKUP(DATE($K$1,$K$2,VQL$4),Table1[],(MATCH(Calendar!$A6,DB!1:1,0)+2),FALSE),"")</f>
        <v/>
      </c>
      <c r="VQM6" s="27" t="str">
        <f>IFERROR(VLOOKUP(DATE($K$1,$K$2,VQM$4),Table1[],(MATCH(Calendar!$A6,DB!1:1,0)+2),FALSE),"")</f>
        <v/>
      </c>
      <c r="VQN6" s="27" t="str">
        <f>IFERROR(VLOOKUP(DATE($K$1,$K$2,VQN$4),Table1[],(MATCH(Calendar!$A6,DB!1:1,0)+2),FALSE),"")</f>
        <v/>
      </c>
      <c r="VQO6" s="27" t="str">
        <f>IFERROR(VLOOKUP(DATE($K$1,$K$2,VQO$4),Table1[],(MATCH(Calendar!$A6,DB!1:1,0)+2),FALSE),"")</f>
        <v/>
      </c>
      <c r="VQP6" s="27" t="str">
        <f>IFERROR(VLOOKUP(DATE($K$1,$K$2,VQP$4),Table1[],(MATCH(Calendar!$A6,DB!1:1,0)+2),FALSE),"")</f>
        <v/>
      </c>
      <c r="VQQ6" s="27" t="str">
        <f>IFERROR(VLOOKUP(DATE($K$1,$K$2,VQQ$4),Table1[],(MATCH(Calendar!$A6,DB!1:1,0)+2),FALSE),"")</f>
        <v/>
      </c>
      <c r="VQR6" s="27" t="str">
        <f>IFERROR(VLOOKUP(DATE($K$1,$K$2,VQR$4),Table1[],(MATCH(Calendar!$A6,DB!1:1,0)+2),FALSE),"")</f>
        <v/>
      </c>
      <c r="VQS6" s="27" t="str">
        <f>IFERROR(VLOOKUP(DATE($K$1,$K$2,VQS$4),Table1[],(MATCH(Calendar!$A6,DB!1:1,0)+2),FALSE),"")</f>
        <v/>
      </c>
      <c r="VQT6" s="27" t="str">
        <f>IFERROR(VLOOKUP(DATE($K$1,$K$2,VQT$4),Table1[],(MATCH(Calendar!$A6,DB!1:1,0)+2),FALSE),"")</f>
        <v/>
      </c>
      <c r="VQU6" s="27" t="str">
        <f>IFERROR(VLOOKUP(DATE($K$1,$K$2,VQU$4),Table1[],(MATCH(Calendar!$A6,DB!1:1,0)+2),FALSE),"")</f>
        <v/>
      </c>
      <c r="VQV6" s="27" t="str">
        <f>IFERROR(VLOOKUP(DATE($K$1,$K$2,VQV$4),Table1[],(MATCH(Calendar!$A6,DB!1:1,0)+2),FALSE),"")</f>
        <v/>
      </c>
      <c r="VQW6" s="27" t="str">
        <f>IFERROR(VLOOKUP(DATE($K$1,$K$2,VQW$4),Table1[],(MATCH(Calendar!$A6,DB!1:1,0)+2),FALSE),"")</f>
        <v/>
      </c>
      <c r="VQX6" s="27" t="str">
        <f>IFERROR(VLOOKUP(DATE($K$1,$K$2,VQX$4),Table1[],(MATCH(Calendar!$A6,DB!1:1,0)+2),FALSE),"")</f>
        <v/>
      </c>
      <c r="VQY6" s="27" t="str">
        <f>IFERROR(VLOOKUP(DATE($K$1,$K$2,VQY$4),Table1[],(MATCH(Calendar!$A6,DB!1:1,0)+2),FALSE),"")</f>
        <v/>
      </c>
      <c r="VQZ6" s="27" t="str">
        <f>IFERROR(VLOOKUP(DATE($K$1,$K$2,VQZ$4),Table1[],(MATCH(Calendar!$A6,DB!1:1,0)+2),FALSE),"")</f>
        <v/>
      </c>
      <c r="VRA6" s="27" t="str">
        <f>IFERROR(VLOOKUP(DATE($K$1,$K$2,VRA$4),Table1[],(MATCH(Calendar!$A6,DB!1:1,0)+2),FALSE),"")</f>
        <v/>
      </c>
      <c r="VRB6" s="27" t="str">
        <f>IFERROR(VLOOKUP(DATE($K$1,$K$2,VRB$4),Table1[],(MATCH(Calendar!$A6,DB!1:1,0)+2),FALSE),"")</f>
        <v/>
      </c>
      <c r="VRC6" s="27" t="str">
        <f>IFERROR(VLOOKUP(DATE($K$1,$K$2,VRC$4),Table1[],(MATCH(Calendar!$A6,DB!1:1,0)+2),FALSE),"")</f>
        <v/>
      </c>
      <c r="VRD6" s="27" t="str">
        <f>IFERROR(VLOOKUP(DATE($K$1,$K$2,VRD$4),Table1[],(MATCH(Calendar!$A6,DB!1:1,0)+2),FALSE),"")</f>
        <v/>
      </c>
      <c r="VRE6" s="27" t="str">
        <f>IFERROR(VLOOKUP(DATE($K$1,$K$2,VRE$4),Table1[],(MATCH(Calendar!$A6,DB!1:1,0)+2),FALSE),"")</f>
        <v/>
      </c>
      <c r="VRF6" s="27" t="str">
        <f>IFERROR(VLOOKUP(DATE($K$1,$K$2,VRF$4),Table1[],(MATCH(Calendar!$A6,DB!1:1,0)+2),FALSE),"")</f>
        <v/>
      </c>
      <c r="VRG6" s="27" t="str">
        <f>IFERROR(VLOOKUP(DATE($K$1,$K$2,VRG$4),Table1[],(MATCH(Calendar!$A6,DB!1:1,0)+2),FALSE),"")</f>
        <v/>
      </c>
      <c r="VRH6" s="27" t="str">
        <f>IFERROR(VLOOKUP(DATE($K$1,$K$2,VRH$4),Table1[],(MATCH(Calendar!$A6,DB!1:1,0)+2),FALSE),"")</f>
        <v/>
      </c>
      <c r="VRI6" s="27" t="str">
        <f>IFERROR(VLOOKUP(DATE($K$1,$K$2,VRI$4),Table1[],(MATCH(Calendar!$A6,DB!1:1,0)+2),FALSE),"")</f>
        <v/>
      </c>
      <c r="VRJ6" s="27" t="str">
        <f>IFERROR(VLOOKUP(DATE($K$1,$K$2,VRJ$4),Table1[],(MATCH(Calendar!$A6,DB!1:1,0)+2),FALSE),"")</f>
        <v/>
      </c>
      <c r="VRK6" s="27" t="str">
        <f>IFERROR(VLOOKUP(DATE($K$1,$K$2,VRK$4),Table1[],(MATCH(Calendar!$A6,DB!1:1,0)+2),FALSE),"")</f>
        <v/>
      </c>
      <c r="VRL6" s="27" t="str">
        <f>IFERROR(VLOOKUP(DATE($K$1,$K$2,VRL$4),Table1[],(MATCH(Calendar!$A6,DB!1:1,0)+2),FALSE),"")</f>
        <v/>
      </c>
      <c r="VRM6" s="27" t="str">
        <f>IFERROR(VLOOKUP(DATE($K$1,$K$2,VRM$4),Table1[],(MATCH(Calendar!$A6,DB!1:1,0)+2),FALSE),"")</f>
        <v/>
      </c>
      <c r="VRN6" s="27" t="str">
        <f>IFERROR(VLOOKUP(DATE($K$1,$K$2,VRN$4),Table1[],(MATCH(Calendar!$A6,DB!1:1,0)+2),FALSE),"")</f>
        <v/>
      </c>
      <c r="VRO6" s="27" t="str">
        <f>IFERROR(VLOOKUP(DATE($K$1,$K$2,VRO$4),Table1[],(MATCH(Calendar!$A6,DB!1:1,0)+2),FALSE),"")</f>
        <v/>
      </c>
      <c r="VRP6" s="27" t="str">
        <f>IFERROR(VLOOKUP(DATE($K$1,$K$2,VRP$4),Table1[],(MATCH(Calendar!$A6,DB!1:1,0)+2),FALSE),"")</f>
        <v/>
      </c>
      <c r="VRQ6" s="27" t="str">
        <f>IFERROR(VLOOKUP(DATE($K$1,$K$2,VRQ$4),Table1[],(MATCH(Calendar!$A6,DB!1:1,0)+2),FALSE),"")</f>
        <v/>
      </c>
      <c r="VRR6" s="27" t="str">
        <f>IFERROR(VLOOKUP(DATE($K$1,$K$2,VRR$4),Table1[],(MATCH(Calendar!$A6,DB!1:1,0)+2),FALSE),"")</f>
        <v/>
      </c>
      <c r="VRS6" s="27" t="str">
        <f>IFERROR(VLOOKUP(DATE($K$1,$K$2,VRS$4),Table1[],(MATCH(Calendar!$A6,DB!1:1,0)+2),FALSE),"")</f>
        <v/>
      </c>
      <c r="VRT6" s="27" t="str">
        <f>IFERROR(VLOOKUP(DATE($K$1,$K$2,VRT$4),Table1[],(MATCH(Calendar!$A6,DB!1:1,0)+2),FALSE),"")</f>
        <v/>
      </c>
      <c r="VRU6" s="27" t="str">
        <f>IFERROR(VLOOKUP(DATE($K$1,$K$2,VRU$4),Table1[],(MATCH(Calendar!$A6,DB!1:1,0)+2),FALSE),"")</f>
        <v/>
      </c>
      <c r="VRV6" s="27" t="str">
        <f>IFERROR(VLOOKUP(DATE($K$1,$K$2,VRV$4),Table1[],(MATCH(Calendar!$A6,DB!1:1,0)+2),FALSE),"")</f>
        <v/>
      </c>
      <c r="VRW6" s="27" t="str">
        <f>IFERROR(VLOOKUP(DATE($K$1,$K$2,VRW$4),Table1[],(MATCH(Calendar!$A6,DB!1:1,0)+2),FALSE),"")</f>
        <v/>
      </c>
      <c r="VRX6" s="27" t="str">
        <f>IFERROR(VLOOKUP(DATE($K$1,$K$2,VRX$4),Table1[],(MATCH(Calendar!$A6,DB!1:1,0)+2),FALSE),"")</f>
        <v/>
      </c>
      <c r="VRY6" s="27" t="str">
        <f>IFERROR(VLOOKUP(DATE($K$1,$K$2,VRY$4),Table1[],(MATCH(Calendar!$A6,DB!1:1,0)+2),FALSE),"")</f>
        <v/>
      </c>
      <c r="VRZ6" s="27" t="str">
        <f>IFERROR(VLOOKUP(DATE($K$1,$K$2,VRZ$4),Table1[],(MATCH(Calendar!$A6,DB!1:1,0)+2),FALSE),"")</f>
        <v/>
      </c>
      <c r="VSA6" s="27" t="str">
        <f>IFERROR(VLOOKUP(DATE($K$1,$K$2,VSA$4),Table1[],(MATCH(Calendar!$A6,DB!1:1,0)+2),FALSE),"")</f>
        <v/>
      </c>
      <c r="VSB6" s="27" t="str">
        <f>IFERROR(VLOOKUP(DATE($K$1,$K$2,VSB$4),Table1[],(MATCH(Calendar!$A6,DB!1:1,0)+2),FALSE),"")</f>
        <v/>
      </c>
      <c r="VSC6" s="27" t="str">
        <f>IFERROR(VLOOKUP(DATE($K$1,$K$2,VSC$4),Table1[],(MATCH(Calendar!$A6,DB!1:1,0)+2),FALSE),"")</f>
        <v/>
      </c>
      <c r="VSD6" s="27" t="str">
        <f>IFERROR(VLOOKUP(DATE($K$1,$K$2,VSD$4),Table1[],(MATCH(Calendar!$A6,DB!1:1,0)+2),FALSE),"")</f>
        <v/>
      </c>
      <c r="VSE6" s="27" t="str">
        <f>IFERROR(VLOOKUP(DATE($K$1,$K$2,VSE$4),Table1[],(MATCH(Calendar!$A6,DB!1:1,0)+2),FALSE),"")</f>
        <v/>
      </c>
      <c r="VSF6" s="27" t="str">
        <f>IFERROR(VLOOKUP(DATE($K$1,$K$2,VSF$4),Table1[],(MATCH(Calendar!$A6,DB!1:1,0)+2),FALSE),"")</f>
        <v/>
      </c>
      <c r="VSG6" s="27" t="str">
        <f>IFERROR(VLOOKUP(DATE($K$1,$K$2,VSG$4),Table1[],(MATCH(Calendar!$A6,DB!1:1,0)+2),FALSE),"")</f>
        <v/>
      </c>
      <c r="VSH6" s="27" t="str">
        <f>IFERROR(VLOOKUP(DATE($K$1,$K$2,VSH$4),Table1[],(MATCH(Calendar!$A6,DB!1:1,0)+2),FALSE),"")</f>
        <v/>
      </c>
      <c r="VSI6" s="27" t="str">
        <f>IFERROR(VLOOKUP(DATE($K$1,$K$2,VSI$4),Table1[],(MATCH(Calendar!$A6,DB!1:1,0)+2),FALSE),"")</f>
        <v/>
      </c>
      <c r="VSJ6" s="27" t="str">
        <f>IFERROR(VLOOKUP(DATE($K$1,$K$2,VSJ$4),Table1[],(MATCH(Calendar!$A6,DB!1:1,0)+2),FALSE),"")</f>
        <v/>
      </c>
      <c r="VSK6" s="27" t="str">
        <f>IFERROR(VLOOKUP(DATE($K$1,$K$2,VSK$4),Table1[],(MATCH(Calendar!$A6,DB!1:1,0)+2),FALSE),"")</f>
        <v/>
      </c>
      <c r="VSL6" s="27" t="str">
        <f>IFERROR(VLOOKUP(DATE($K$1,$K$2,VSL$4),Table1[],(MATCH(Calendar!$A6,DB!1:1,0)+2),FALSE),"")</f>
        <v/>
      </c>
      <c r="VSM6" s="27" t="str">
        <f>IFERROR(VLOOKUP(DATE($K$1,$K$2,VSM$4),Table1[],(MATCH(Calendar!$A6,DB!1:1,0)+2),FALSE),"")</f>
        <v/>
      </c>
      <c r="VSN6" s="27" t="str">
        <f>IFERROR(VLOOKUP(DATE($K$1,$K$2,VSN$4),Table1[],(MATCH(Calendar!$A6,DB!1:1,0)+2),FALSE),"")</f>
        <v/>
      </c>
      <c r="VSO6" s="27" t="str">
        <f>IFERROR(VLOOKUP(DATE($K$1,$K$2,VSO$4),Table1[],(MATCH(Calendar!$A6,DB!1:1,0)+2),FALSE),"")</f>
        <v/>
      </c>
      <c r="VSP6" s="27" t="str">
        <f>IFERROR(VLOOKUP(DATE($K$1,$K$2,VSP$4),Table1[],(MATCH(Calendar!$A6,DB!1:1,0)+2),FALSE),"")</f>
        <v/>
      </c>
      <c r="VSQ6" s="27" t="str">
        <f>IFERROR(VLOOKUP(DATE($K$1,$K$2,VSQ$4),Table1[],(MATCH(Calendar!$A6,DB!1:1,0)+2),FALSE),"")</f>
        <v/>
      </c>
      <c r="VSR6" s="27" t="str">
        <f>IFERROR(VLOOKUP(DATE($K$1,$K$2,VSR$4),Table1[],(MATCH(Calendar!$A6,DB!1:1,0)+2),FALSE),"")</f>
        <v/>
      </c>
      <c r="VSS6" s="27" t="str">
        <f>IFERROR(VLOOKUP(DATE($K$1,$K$2,VSS$4),Table1[],(MATCH(Calendar!$A6,DB!1:1,0)+2),FALSE),"")</f>
        <v/>
      </c>
      <c r="VST6" s="27" t="str">
        <f>IFERROR(VLOOKUP(DATE($K$1,$K$2,VST$4),Table1[],(MATCH(Calendar!$A6,DB!1:1,0)+2),FALSE),"")</f>
        <v/>
      </c>
      <c r="VSU6" s="27" t="str">
        <f>IFERROR(VLOOKUP(DATE($K$1,$K$2,VSU$4),Table1[],(MATCH(Calendar!$A6,DB!1:1,0)+2),FALSE),"")</f>
        <v/>
      </c>
      <c r="VSV6" s="27" t="str">
        <f>IFERROR(VLOOKUP(DATE($K$1,$K$2,VSV$4),Table1[],(MATCH(Calendar!$A6,DB!1:1,0)+2),FALSE),"")</f>
        <v/>
      </c>
      <c r="VSW6" s="27" t="str">
        <f>IFERROR(VLOOKUP(DATE($K$1,$K$2,VSW$4),Table1[],(MATCH(Calendar!$A6,DB!1:1,0)+2),FALSE),"")</f>
        <v/>
      </c>
      <c r="VSX6" s="27" t="str">
        <f>IFERROR(VLOOKUP(DATE($K$1,$K$2,VSX$4),Table1[],(MATCH(Calendar!$A6,DB!1:1,0)+2),FALSE),"")</f>
        <v/>
      </c>
      <c r="VSY6" s="27" t="str">
        <f>IFERROR(VLOOKUP(DATE($K$1,$K$2,VSY$4),Table1[],(MATCH(Calendar!$A6,DB!1:1,0)+2),FALSE),"")</f>
        <v/>
      </c>
      <c r="VSZ6" s="27" t="str">
        <f>IFERROR(VLOOKUP(DATE($K$1,$K$2,VSZ$4),Table1[],(MATCH(Calendar!$A6,DB!1:1,0)+2),FALSE),"")</f>
        <v/>
      </c>
      <c r="VTA6" s="27" t="str">
        <f>IFERROR(VLOOKUP(DATE($K$1,$K$2,VTA$4),Table1[],(MATCH(Calendar!$A6,DB!1:1,0)+2),FALSE),"")</f>
        <v/>
      </c>
      <c r="VTB6" s="27" t="str">
        <f>IFERROR(VLOOKUP(DATE($K$1,$K$2,VTB$4),Table1[],(MATCH(Calendar!$A6,DB!1:1,0)+2),FALSE),"")</f>
        <v/>
      </c>
      <c r="VTC6" s="27" t="str">
        <f>IFERROR(VLOOKUP(DATE($K$1,$K$2,VTC$4),Table1[],(MATCH(Calendar!$A6,DB!1:1,0)+2),FALSE),"")</f>
        <v/>
      </c>
      <c r="VTD6" s="27" t="str">
        <f>IFERROR(VLOOKUP(DATE($K$1,$K$2,VTD$4),Table1[],(MATCH(Calendar!$A6,DB!1:1,0)+2),FALSE),"")</f>
        <v/>
      </c>
      <c r="VTE6" s="27" t="str">
        <f>IFERROR(VLOOKUP(DATE($K$1,$K$2,VTE$4),Table1[],(MATCH(Calendar!$A6,DB!1:1,0)+2),FALSE),"")</f>
        <v/>
      </c>
      <c r="VTF6" s="27" t="str">
        <f>IFERROR(VLOOKUP(DATE($K$1,$K$2,VTF$4),Table1[],(MATCH(Calendar!$A6,DB!1:1,0)+2),FALSE),"")</f>
        <v/>
      </c>
      <c r="VTG6" s="27" t="str">
        <f>IFERROR(VLOOKUP(DATE($K$1,$K$2,VTG$4),Table1[],(MATCH(Calendar!$A6,DB!1:1,0)+2),FALSE),"")</f>
        <v/>
      </c>
      <c r="VTH6" s="27" t="str">
        <f>IFERROR(VLOOKUP(DATE($K$1,$K$2,VTH$4),Table1[],(MATCH(Calendar!$A6,DB!1:1,0)+2),FALSE),"")</f>
        <v/>
      </c>
      <c r="VTI6" s="27" t="str">
        <f>IFERROR(VLOOKUP(DATE($K$1,$K$2,VTI$4),Table1[],(MATCH(Calendar!$A6,DB!1:1,0)+2),FALSE),"")</f>
        <v/>
      </c>
      <c r="VTJ6" s="27" t="str">
        <f>IFERROR(VLOOKUP(DATE($K$1,$K$2,VTJ$4),Table1[],(MATCH(Calendar!$A6,DB!1:1,0)+2),FALSE),"")</f>
        <v/>
      </c>
      <c r="VTK6" s="27" t="str">
        <f>IFERROR(VLOOKUP(DATE($K$1,$K$2,VTK$4),Table1[],(MATCH(Calendar!$A6,DB!1:1,0)+2),FALSE),"")</f>
        <v/>
      </c>
      <c r="VTL6" s="27" t="str">
        <f>IFERROR(VLOOKUP(DATE($K$1,$K$2,VTL$4),Table1[],(MATCH(Calendar!$A6,DB!1:1,0)+2),FALSE),"")</f>
        <v/>
      </c>
      <c r="VTM6" s="27" t="str">
        <f>IFERROR(VLOOKUP(DATE($K$1,$K$2,VTM$4),Table1[],(MATCH(Calendar!$A6,DB!1:1,0)+2),FALSE),"")</f>
        <v/>
      </c>
      <c r="VTN6" s="27" t="str">
        <f>IFERROR(VLOOKUP(DATE($K$1,$K$2,VTN$4),Table1[],(MATCH(Calendar!$A6,DB!1:1,0)+2),FALSE),"")</f>
        <v/>
      </c>
      <c r="VTO6" s="27" t="str">
        <f>IFERROR(VLOOKUP(DATE($K$1,$K$2,VTO$4),Table1[],(MATCH(Calendar!$A6,DB!1:1,0)+2),FALSE),"")</f>
        <v/>
      </c>
      <c r="VTP6" s="27" t="str">
        <f>IFERROR(VLOOKUP(DATE($K$1,$K$2,VTP$4),Table1[],(MATCH(Calendar!$A6,DB!1:1,0)+2),FALSE),"")</f>
        <v/>
      </c>
      <c r="VTQ6" s="27" t="str">
        <f>IFERROR(VLOOKUP(DATE($K$1,$K$2,VTQ$4),Table1[],(MATCH(Calendar!$A6,DB!1:1,0)+2),FALSE),"")</f>
        <v/>
      </c>
      <c r="VTR6" s="27" t="str">
        <f>IFERROR(VLOOKUP(DATE($K$1,$K$2,VTR$4),Table1[],(MATCH(Calendar!$A6,DB!1:1,0)+2),FALSE),"")</f>
        <v/>
      </c>
      <c r="VTS6" s="27" t="str">
        <f>IFERROR(VLOOKUP(DATE($K$1,$K$2,VTS$4),Table1[],(MATCH(Calendar!$A6,DB!1:1,0)+2),FALSE),"")</f>
        <v/>
      </c>
      <c r="VTT6" s="27" t="str">
        <f>IFERROR(VLOOKUP(DATE($K$1,$K$2,VTT$4),Table1[],(MATCH(Calendar!$A6,DB!1:1,0)+2),FALSE),"")</f>
        <v/>
      </c>
      <c r="VTU6" s="27" t="str">
        <f>IFERROR(VLOOKUP(DATE($K$1,$K$2,VTU$4),Table1[],(MATCH(Calendar!$A6,DB!1:1,0)+2),FALSE),"")</f>
        <v/>
      </c>
      <c r="VTV6" s="27" t="str">
        <f>IFERROR(VLOOKUP(DATE($K$1,$K$2,VTV$4),Table1[],(MATCH(Calendar!$A6,DB!1:1,0)+2),FALSE),"")</f>
        <v/>
      </c>
      <c r="VTW6" s="27" t="str">
        <f>IFERROR(VLOOKUP(DATE($K$1,$K$2,VTW$4),Table1[],(MATCH(Calendar!$A6,DB!1:1,0)+2),FALSE),"")</f>
        <v/>
      </c>
      <c r="VTX6" s="27" t="str">
        <f>IFERROR(VLOOKUP(DATE($K$1,$K$2,VTX$4),Table1[],(MATCH(Calendar!$A6,DB!1:1,0)+2),FALSE),"")</f>
        <v/>
      </c>
      <c r="VTY6" s="27" t="str">
        <f>IFERROR(VLOOKUP(DATE($K$1,$K$2,VTY$4),Table1[],(MATCH(Calendar!$A6,DB!1:1,0)+2),FALSE),"")</f>
        <v/>
      </c>
      <c r="VTZ6" s="27" t="str">
        <f>IFERROR(VLOOKUP(DATE($K$1,$K$2,VTZ$4),Table1[],(MATCH(Calendar!$A6,DB!1:1,0)+2),FALSE),"")</f>
        <v/>
      </c>
      <c r="VUA6" s="27" t="str">
        <f>IFERROR(VLOOKUP(DATE($K$1,$K$2,VUA$4),Table1[],(MATCH(Calendar!$A6,DB!1:1,0)+2),FALSE),"")</f>
        <v/>
      </c>
      <c r="VUB6" s="27" t="str">
        <f>IFERROR(VLOOKUP(DATE($K$1,$K$2,VUB$4),Table1[],(MATCH(Calendar!$A6,DB!1:1,0)+2),FALSE),"")</f>
        <v/>
      </c>
      <c r="VUC6" s="27" t="str">
        <f>IFERROR(VLOOKUP(DATE($K$1,$K$2,VUC$4),Table1[],(MATCH(Calendar!$A6,DB!1:1,0)+2),FALSE),"")</f>
        <v/>
      </c>
      <c r="VUD6" s="27" t="str">
        <f>IFERROR(VLOOKUP(DATE($K$1,$K$2,VUD$4),Table1[],(MATCH(Calendar!$A6,DB!1:1,0)+2),FALSE),"")</f>
        <v/>
      </c>
      <c r="VUE6" s="27" t="str">
        <f>IFERROR(VLOOKUP(DATE($K$1,$K$2,VUE$4),Table1[],(MATCH(Calendar!$A6,DB!1:1,0)+2),FALSE),"")</f>
        <v/>
      </c>
      <c r="VUF6" s="27" t="str">
        <f>IFERROR(VLOOKUP(DATE($K$1,$K$2,VUF$4),Table1[],(MATCH(Calendar!$A6,DB!1:1,0)+2),FALSE),"")</f>
        <v/>
      </c>
      <c r="VUG6" s="27" t="str">
        <f>IFERROR(VLOOKUP(DATE($K$1,$K$2,VUG$4),Table1[],(MATCH(Calendar!$A6,DB!1:1,0)+2),FALSE),"")</f>
        <v/>
      </c>
      <c r="VUH6" s="27" t="str">
        <f>IFERROR(VLOOKUP(DATE($K$1,$K$2,VUH$4),Table1[],(MATCH(Calendar!$A6,DB!1:1,0)+2),FALSE),"")</f>
        <v/>
      </c>
      <c r="VUI6" s="27" t="str">
        <f>IFERROR(VLOOKUP(DATE($K$1,$K$2,VUI$4),Table1[],(MATCH(Calendar!$A6,DB!1:1,0)+2),FALSE),"")</f>
        <v/>
      </c>
      <c r="VUJ6" s="27" t="str">
        <f>IFERROR(VLOOKUP(DATE($K$1,$K$2,VUJ$4),Table1[],(MATCH(Calendar!$A6,DB!1:1,0)+2),FALSE),"")</f>
        <v/>
      </c>
      <c r="VUK6" s="27" t="str">
        <f>IFERROR(VLOOKUP(DATE($K$1,$K$2,VUK$4),Table1[],(MATCH(Calendar!$A6,DB!1:1,0)+2),FALSE),"")</f>
        <v/>
      </c>
      <c r="VUL6" s="27" t="str">
        <f>IFERROR(VLOOKUP(DATE($K$1,$K$2,VUL$4),Table1[],(MATCH(Calendar!$A6,DB!1:1,0)+2),FALSE),"")</f>
        <v/>
      </c>
      <c r="VUM6" s="27" t="str">
        <f>IFERROR(VLOOKUP(DATE($K$1,$K$2,VUM$4),Table1[],(MATCH(Calendar!$A6,DB!1:1,0)+2),FALSE),"")</f>
        <v/>
      </c>
      <c r="VUN6" s="27" t="str">
        <f>IFERROR(VLOOKUP(DATE($K$1,$K$2,VUN$4),Table1[],(MATCH(Calendar!$A6,DB!1:1,0)+2),FALSE),"")</f>
        <v/>
      </c>
      <c r="VUO6" s="27" t="str">
        <f>IFERROR(VLOOKUP(DATE($K$1,$K$2,VUO$4),Table1[],(MATCH(Calendar!$A6,DB!1:1,0)+2),FALSE),"")</f>
        <v/>
      </c>
      <c r="VUP6" s="27" t="str">
        <f>IFERROR(VLOOKUP(DATE($K$1,$K$2,VUP$4),Table1[],(MATCH(Calendar!$A6,DB!1:1,0)+2),FALSE),"")</f>
        <v/>
      </c>
      <c r="VUQ6" s="27" t="str">
        <f>IFERROR(VLOOKUP(DATE($K$1,$K$2,VUQ$4),Table1[],(MATCH(Calendar!$A6,DB!1:1,0)+2),FALSE),"")</f>
        <v/>
      </c>
      <c r="VUR6" s="27" t="str">
        <f>IFERROR(VLOOKUP(DATE($K$1,$K$2,VUR$4),Table1[],(MATCH(Calendar!$A6,DB!1:1,0)+2),FALSE),"")</f>
        <v/>
      </c>
      <c r="VUS6" s="27" t="str">
        <f>IFERROR(VLOOKUP(DATE($K$1,$K$2,VUS$4),Table1[],(MATCH(Calendar!$A6,DB!1:1,0)+2),FALSE),"")</f>
        <v/>
      </c>
      <c r="VUT6" s="27" t="str">
        <f>IFERROR(VLOOKUP(DATE($K$1,$K$2,VUT$4),Table1[],(MATCH(Calendar!$A6,DB!1:1,0)+2),FALSE),"")</f>
        <v/>
      </c>
      <c r="VUU6" s="27" t="str">
        <f>IFERROR(VLOOKUP(DATE($K$1,$K$2,VUU$4),Table1[],(MATCH(Calendar!$A6,DB!1:1,0)+2),FALSE),"")</f>
        <v/>
      </c>
      <c r="VUV6" s="27" t="str">
        <f>IFERROR(VLOOKUP(DATE($K$1,$K$2,VUV$4),Table1[],(MATCH(Calendar!$A6,DB!1:1,0)+2),FALSE),"")</f>
        <v/>
      </c>
      <c r="VUW6" s="27" t="str">
        <f>IFERROR(VLOOKUP(DATE($K$1,$K$2,VUW$4),Table1[],(MATCH(Calendar!$A6,DB!1:1,0)+2),FALSE),"")</f>
        <v/>
      </c>
      <c r="VUX6" s="27" t="str">
        <f>IFERROR(VLOOKUP(DATE($K$1,$K$2,VUX$4),Table1[],(MATCH(Calendar!$A6,DB!1:1,0)+2),FALSE),"")</f>
        <v/>
      </c>
      <c r="VUY6" s="27" t="str">
        <f>IFERROR(VLOOKUP(DATE($K$1,$K$2,VUY$4),Table1[],(MATCH(Calendar!$A6,DB!1:1,0)+2),FALSE),"")</f>
        <v/>
      </c>
      <c r="VUZ6" s="27" t="str">
        <f>IFERROR(VLOOKUP(DATE($K$1,$K$2,VUZ$4),Table1[],(MATCH(Calendar!$A6,DB!1:1,0)+2),FALSE),"")</f>
        <v/>
      </c>
      <c r="VVA6" s="27" t="str">
        <f>IFERROR(VLOOKUP(DATE($K$1,$K$2,VVA$4),Table1[],(MATCH(Calendar!$A6,DB!1:1,0)+2),FALSE),"")</f>
        <v/>
      </c>
      <c r="VVB6" s="27" t="str">
        <f>IFERROR(VLOOKUP(DATE($K$1,$K$2,VVB$4),Table1[],(MATCH(Calendar!$A6,DB!1:1,0)+2),FALSE),"")</f>
        <v/>
      </c>
      <c r="VVC6" s="27" t="str">
        <f>IFERROR(VLOOKUP(DATE($K$1,$K$2,VVC$4),Table1[],(MATCH(Calendar!$A6,DB!1:1,0)+2),FALSE),"")</f>
        <v/>
      </c>
      <c r="VVD6" s="27" t="str">
        <f>IFERROR(VLOOKUP(DATE($K$1,$K$2,VVD$4),Table1[],(MATCH(Calendar!$A6,DB!1:1,0)+2),FALSE),"")</f>
        <v/>
      </c>
      <c r="VVE6" s="27" t="str">
        <f>IFERROR(VLOOKUP(DATE($K$1,$K$2,VVE$4),Table1[],(MATCH(Calendar!$A6,DB!1:1,0)+2),FALSE),"")</f>
        <v/>
      </c>
      <c r="VVF6" s="27" t="str">
        <f>IFERROR(VLOOKUP(DATE($K$1,$K$2,VVF$4),Table1[],(MATCH(Calendar!$A6,DB!1:1,0)+2),FALSE),"")</f>
        <v/>
      </c>
      <c r="VVG6" s="27" t="str">
        <f>IFERROR(VLOOKUP(DATE($K$1,$K$2,VVG$4),Table1[],(MATCH(Calendar!$A6,DB!1:1,0)+2),FALSE),"")</f>
        <v/>
      </c>
      <c r="VVH6" s="27" t="str">
        <f>IFERROR(VLOOKUP(DATE($K$1,$K$2,VVH$4),Table1[],(MATCH(Calendar!$A6,DB!1:1,0)+2),FALSE),"")</f>
        <v/>
      </c>
      <c r="VVI6" s="27" t="str">
        <f>IFERROR(VLOOKUP(DATE($K$1,$K$2,VVI$4),Table1[],(MATCH(Calendar!$A6,DB!1:1,0)+2),FALSE),"")</f>
        <v/>
      </c>
      <c r="VVJ6" s="27" t="str">
        <f>IFERROR(VLOOKUP(DATE($K$1,$K$2,VVJ$4),Table1[],(MATCH(Calendar!$A6,DB!1:1,0)+2),FALSE),"")</f>
        <v/>
      </c>
      <c r="VVK6" s="27" t="str">
        <f>IFERROR(VLOOKUP(DATE($K$1,$K$2,VVK$4),Table1[],(MATCH(Calendar!$A6,DB!1:1,0)+2),FALSE),"")</f>
        <v/>
      </c>
      <c r="VVL6" s="27" t="str">
        <f>IFERROR(VLOOKUP(DATE($K$1,$K$2,VVL$4),Table1[],(MATCH(Calendar!$A6,DB!1:1,0)+2),FALSE),"")</f>
        <v/>
      </c>
      <c r="VVM6" s="27" t="str">
        <f>IFERROR(VLOOKUP(DATE($K$1,$K$2,VVM$4),Table1[],(MATCH(Calendar!$A6,DB!1:1,0)+2),FALSE),"")</f>
        <v/>
      </c>
      <c r="VVN6" s="27" t="str">
        <f>IFERROR(VLOOKUP(DATE($K$1,$K$2,VVN$4),Table1[],(MATCH(Calendar!$A6,DB!1:1,0)+2),FALSE),"")</f>
        <v/>
      </c>
      <c r="VVO6" s="27" t="str">
        <f>IFERROR(VLOOKUP(DATE($K$1,$K$2,VVO$4),Table1[],(MATCH(Calendar!$A6,DB!1:1,0)+2),FALSE),"")</f>
        <v/>
      </c>
      <c r="VVP6" s="27" t="str">
        <f>IFERROR(VLOOKUP(DATE($K$1,$K$2,VVP$4),Table1[],(MATCH(Calendar!$A6,DB!1:1,0)+2),FALSE),"")</f>
        <v/>
      </c>
      <c r="VVQ6" s="27" t="str">
        <f>IFERROR(VLOOKUP(DATE($K$1,$K$2,VVQ$4),Table1[],(MATCH(Calendar!$A6,DB!1:1,0)+2),FALSE),"")</f>
        <v/>
      </c>
      <c r="VVR6" s="27" t="str">
        <f>IFERROR(VLOOKUP(DATE($K$1,$K$2,VVR$4),Table1[],(MATCH(Calendar!$A6,DB!1:1,0)+2),FALSE),"")</f>
        <v/>
      </c>
      <c r="VVS6" s="27" t="str">
        <f>IFERROR(VLOOKUP(DATE($K$1,$K$2,VVS$4),Table1[],(MATCH(Calendar!$A6,DB!1:1,0)+2),FALSE),"")</f>
        <v/>
      </c>
      <c r="VVT6" s="27" t="str">
        <f>IFERROR(VLOOKUP(DATE($K$1,$K$2,VVT$4),Table1[],(MATCH(Calendar!$A6,DB!1:1,0)+2),FALSE),"")</f>
        <v/>
      </c>
      <c r="VVU6" s="27" t="str">
        <f>IFERROR(VLOOKUP(DATE($K$1,$K$2,VVU$4),Table1[],(MATCH(Calendar!$A6,DB!1:1,0)+2),FALSE),"")</f>
        <v/>
      </c>
      <c r="VVV6" s="27" t="str">
        <f>IFERROR(VLOOKUP(DATE($K$1,$K$2,VVV$4),Table1[],(MATCH(Calendar!$A6,DB!1:1,0)+2),FALSE),"")</f>
        <v/>
      </c>
      <c r="VVW6" s="27" t="str">
        <f>IFERROR(VLOOKUP(DATE($K$1,$K$2,VVW$4),Table1[],(MATCH(Calendar!$A6,DB!1:1,0)+2),FALSE),"")</f>
        <v/>
      </c>
      <c r="VVX6" s="27" t="str">
        <f>IFERROR(VLOOKUP(DATE($K$1,$K$2,VVX$4),Table1[],(MATCH(Calendar!$A6,DB!1:1,0)+2),FALSE),"")</f>
        <v/>
      </c>
      <c r="VVY6" s="27" t="str">
        <f>IFERROR(VLOOKUP(DATE($K$1,$K$2,VVY$4),Table1[],(MATCH(Calendar!$A6,DB!1:1,0)+2),FALSE),"")</f>
        <v/>
      </c>
      <c r="VVZ6" s="27" t="str">
        <f>IFERROR(VLOOKUP(DATE($K$1,$K$2,VVZ$4),Table1[],(MATCH(Calendar!$A6,DB!1:1,0)+2),FALSE),"")</f>
        <v/>
      </c>
      <c r="VWA6" s="27" t="str">
        <f>IFERROR(VLOOKUP(DATE($K$1,$K$2,VWA$4),Table1[],(MATCH(Calendar!$A6,DB!1:1,0)+2),FALSE),"")</f>
        <v/>
      </c>
      <c r="VWB6" s="27" t="str">
        <f>IFERROR(VLOOKUP(DATE($K$1,$K$2,VWB$4),Table1[],(MATCH(Calendar!$A6,DB!1:1,0)+2),FALSE),"")</f>
        <v/>
      </c>
      <c r="VWC6" s="27" t="str">
        <f>IFERROR(VLOOKUP(DATE($K$1,$K$2,VWC$4),Table1[],(MATCH(Calendar!$A6,DB!1:1,0)+2),FALSE),"")</f>
        <v/>
      </c>
      <c r="VWD6" s="27" t="str">
        <f>IFERROR(VLOOKUP(DATE($K$1,$K$2,VWD$4),Table1[],(MATCH(Calendar!$A6,DB!1:1,0)+2),FALSE),"")</f>
        <v/>
      </c>
      <c r="VWE6" s="27" t="str">
        <f>IFERROR(VLOOKUP(DATE($K$1,$K$2,VWE$4),Table1[],(MATCH(Calendar!$A6,DB!1:1,0)+2),FALSE),"")</f>
        <v/>
      </c>
      <c r="VWF6" s="27" t="str">
        <f>IFERROR(VLOOKUP(DATE($K$1,$K$2,VWF$4),Table1[],(MATCH(Calendar!$A6,DB!1:1,0)+2),FALSE),"")</f>
        <v/>
      </c>
      <c r="VWG6" s="27" t="str">
        <f>IFERROR(VLOOKUP(DATE($K$1,$K$2,VWG$4),Table1[],(MATCH(Calendar!$A6,DB!1:1,0)+2),FALSE),"")</f>
        <v/>
      </c>
      <c r="VWH6" s="27" t="str">
        <f>IFERROR(VLOOKUP(DATE($K$1,$K$2,VWH$4),Table1[],(MATCH(Calendar!$A6,DB!1:1,0)+2),FALSE),"")</f>
        <v/>
      </c>
      <c r="VWI6" s="27" t="str">
        <f>IFERROR(VLOOKUP(DATE($K$1,$K$2,VWI$4),Table1[],(MATCH(Calendar!$A6,DB!1:1,0)+2),FALSE),"")</f>
        <v/>
      </c>
      <c r="VWJ6" s="27" t="str">
        <f>IFERROR(VLOOKUP(DATE($K$1,$K$2,VWJ$4),Table1[],(MATCH(Calendar!$A6,DB!1:1,0)+2),FALSE),"")</f>
        <v/>
      </c>
      <c r="VWK6" s="27" t="str">
        <f>IFERROR(VLOOKUP(DATE($K$1,$K$2,VWK$4),Table1[],(MATCH(Calendar!$A6,DB!1:1,0)+2),FALSE),"")</f>
        <v/>
      </c>
      <c r="VWL6" s="27" t="str">
        <f>IFERROR(VLOOKUP(DATE($K$1,$K$2,VWL$4),Table1[],(MATCH(Calendar!$A6,DB!1:1,0)+2),FALSE),"")</f>
        <v/>
      </c>
      <c r="VWM6" s="27" t="str">
        <f>IFERROR(VLOOKUP(DATE($K$1,$K$2,VWM$4),Table1[],(MATCH(Calendar!$A6,DB!1:1,0)+2),FALSE),"")</f>
        <v/>
      </c>
      <c r="VWN6" s="27" t="str">
        <f>IFERROR(VLOOKUP(DATE($K$1,$K$2,VWN$4),Table1[],(MATCH(Calendar!$A6,DB!1:1,0)+2),FALSE),"")</f>
        <v/>
      </c>
      <c r="VWO6" s="27" t="str">
        <f>IFERROR(VLOOKUP(DATE($K$1,$K$2,VWO$4),Table1[],(MATCH(Calendar!$A6,DB!1:1,0)+2),FALSE),"")</f>
        <v/>
      </c>
      <c r="VWP6" s="27" t="str">
        <f>IFERROR(VLOOKUP(DATE($K$1,$K$2,VWP$4),Table1[],(MATCH(Calendar!$A6,DB!1:1,0)+2),FALSE),"")</f>
        <v/>
      </c>
      <c r="VWQ6" s="27" t="str">
        <f>IFERROR(VLOOKUP(DATE($K$1,$K$2,VWQ$4),Table1[],(MATCH(Calendar!$A6,DB!1:1,0)+2),FALSE),"")</f>
        <v/>
      </c>
      <c r="VWR6" s="27" t="str">
        <f>IFERROR(VLOOKUP(DATE($K$1,$K$2,VWR$4),Table1[],(MATCH(Calendar!$A6,DB!1:1,0)+2),FALSE),"")</f>
        <v/>
      </c>
      <c r="VWS6" s="27" t="str">
        <f>IFERROR(VLOOKUP(DATE($K$1,$K$2,VWS$4),Table1[],(MATCH(Calendar!$A6,DB!1:1,0)+2),FALSE),"")</f>
        <v/>
      </c>
      <c r="VWT6" s="27" t="str">
        <f>IFERROR(VLOOKUP(DATE($K$1,$K$2,VWT$4),Table1[],(MATCH(Calendar!$A6,DB!1:1,0)+2),FALSE),"")</f>
        <v/>
      </c>
      <c r="VWU6" s="27" t="str">
        <f>IFERROR(VLOOKUP(DATE($K$1,$K$2,VWU$4),Table1[],(MATCH(Calendar!$A6,DB!1:1,0)+2),FALSE),"")</f>
        <v/>
      </c>
      <c r="VWV6" s="27" t="str">
        <f>IFERROR(VLOOKUP(DATE($K$1,$K$2,VWV$4),Table1[],(MATCH(Calendar!$A6,DB!1:1,0)+2),FALSE),"")</f>
        <v/>
      </c>
      <c r="VWW6" s="27" t="str">
        <f>IFERROR(VLOOKUP(DATE($K$1,$K$2,VWW$4),Table1[],(MATCH(Calendar!$A6,DB!1:1,0)+2),FALSE),"")</f>
        <v/>
      </c>
      <c r="VWX6" s="27" t="str">
        <f>IFERROR(VLOOKUP(DATE($K$1,$K$2,VWX$4),Table1[],(MATCH(Calendar!$A6,DB!1:1,0)+2),FALSE),"")</f>
        <v/>
      </c>
      <c r="VWY6" s="27" t="str">
        <f>IFERROR(VLOOKUP(DATE($K$1,$K$2,VWY$4),Table1[],(MATCH(Calendar!$A6,DB!1:1,0)+2),FALSE),"")</f>
        <v/>
      </c>
      <c r="VWZ6" s="27" t="str">
        <f>IFERROR(VLOOKUP(DATE($K$1,$K$2,VWZ$4),Table1[],(MATCH(Calendar!$A6,DB!1:1,0)+2),FALSE),"")</f>
        <v/>
      </c>
      <c r="VXA6" s="27" t="str">
        <f>IFERROR(VLOOKUP(DATE($K$1,$K$2,VXA$4),Table1[],(MATCH(Calendar!$A6,DB!1:1,0)+2),FALSE),"")</f>
        <v/>
      </c>
      <c r="VXB6" s="27" t="str">
        <f>IFERROR(VLOOKUP(DATE($K$1,$K$2,VXB$4),Table1[],(MATCH(Calendar!$A6,DB!1:1,0)+2),FALSE),"")</f>
        <v/>
      </c>
      <c r="VXC6" s="27" t="str">
        <f>IFERROR(VLOOKUP(DATE($K$1,$K$2,VXC$4),Table1[],(MATCH(Calendar!$A6,DB!1:1,0)+2),FALSE),"")</f>
        <v/>
      </c>
      <c r="VXD6" s="27" t="str">
        <f>IFERROR(VLOOKUP(DATE($K$1,$K$2,VXD$4),Table1[],(MATCH(Calendar!$A6,DB!1:1,0)+2),FALSE),"")</f>
        <v/>
      </c>
      <c r="VXE6" s="27" t="str">
        <f>IFERROR(VLOOKUP(DATE($K$1,$K$2,VXE$4),Table1[],(MATCH(Calendar!$A6,DB!1:1,0)+2),FALSE),"")</f>
        <v/>
      </c>
      <c r="VXF6" s="27" t="str">
        <f>IFERROR(VLOOKUP(DATE($K$1,$K$2,VXF$4),Table1[],(MATCH(Calendar!$A6,DB!1:1,0)+2),FALSE),"")</f>
        <v/>
      </c>
      <c r="VXG6" s="27" t="str">
        <f>IFERROR(VLOOKUP(DATE($K$1,$K$2,VXG$4),Table1[],(MATCH(Calendar!$A6,DB!1:1,0)+2),FALSE),"")</f>
        <v/>
      </c>
      <c r="VXH6" s="27" t="str">
        <f>IFERROR(VLOOKUP(DATE($K$1,$K$2,VXH$4),Table1[],(MATCH(Calendar!$A6,DB!1:1,0)+2),FALSE),"")</f>
        <v/>
      </c>
      <c r="VXI6" s="27" t="str">
        <f>IFERROR(VLOOKUP(DATE($K$1,$K$2,VXI$4),Table1[],(MATCH(Calendar!$A6,DB!1:1,0)+2),FALSE),"")</f>
        <v/>
      </c>
      <c r="VXJ6" s="27" t="str">
        <f>IFERROR(VLOOKUP(DATE($K$1,$K$2,VXJ$4),Table1[],(MATCH(Calendar!$A6,DB!1:1,0)+2),FALSE),"")</f>
        <v/>
      </c>
      <c r="VXK6" s="27" t="str">
        <f>IFERROR(VLOOKUP(DATE($K$1,$K$2,VXK$4),Table1[],(MATCH(Calendar!$A6,DB!1:1,0)+2),FALSE),"")</f>
        <v/>
      </c>
      <c r="VXL6" s="27" t="str">
        <f>IFERROR(VLOOKUP(DATE($K$1,$K$2,VXL$4),Table1[],(MATCH(Calendar!$A6,DB!1:1,0)+2),FALSE),"")</f>
        <v/>
      </c>
      <c r="VXM6" s="27" t="str">
        <f>IFERROR(VLOOKUP(DATE($K$1,$K$2,VXM$4),Table1[],(MATCH(Calendar!$A6,DB!1:1,0)+2),FALSE),"")</f>
        <v/>
      </c>
      <c r="VXN6" s="27" t="str">
        <f>IFERROR(VLOOKUP(DATE($K$1,$K$2,VXN$4),Table1[],(MATCH(Calendar!$A6,DB!1:1,0)+2),FALSE),"")</f>
        <v/>
      </c>
      <c r="VXO6" s="27" t="str">
        <f>IFERROR(VLOOKUP(DATE($K$1,$K$2,VXO$4),Table1[],(MATCH(Calendar!$A6,DB!1:1,0)+2),FALSE),"")</f>
        <v/>
      </c>
      <c r="VXP6" s="27" t="str">
        <f>IFERROR(VLOOKUP(DATE($K$1,$K$2,VXP$4),Table1[],(MATCH(Calendar!$A6,DB!1:1,0)+2),FALSE),"")</f>
        <v/>
      </c>
      <c r="VXQ6" s="27" t="str">
        <f>IFERROR(VLOOKUP(DATE($K$1,$K$2,VXQ$4),Table1[],(MATCH(Calendar!$A6,DB!1:1,0)+2),FALSE),"")</f>
        <v/>
      </c>
      <c r="VXR6" s="27" t="str">
        <f>IFERROR(VLOOKUP(DATE($K$1,$K$2,VXR$4),Table1[],(MATCH(Calendar!$A6,DB!1:1,0)+2),FALSE),"")</f>
        <v/>
      </c>
      <c r="VXS6" s="27" t="str">
        <f>IFERROR(VLOOKUP(DATE($K$1,$K$2,VXS$4),Table1[],(MATCH(Calendar!$A6,DB!1:1,0)+2),FALSE),"")</f>
        <v/>
      </c>
      <c r="VXT6" s="27" t="str">
        <f>IFERROR(VLOOKUP(DATE($K$1,$K$2,VXT$4),Table1[],(MATCH(Calendar!$A6,DB!1:1,0)+2),FALSE),"")</f>
        <v/>
      </c>
      <c r="VXU6" s="27" t="str">
        <f>IFERROR(VLOOKUP(DATE($K$1,$K$2,VXU$4),Table1[],(MATCH(Calendar!$A6,DB!1:1,0)+2),FALSE),"")</f>
        <v/>
      </c>
      <c r="VXV6" s="27" t="str">
        <f>IFERROR(VLOOKUP(DATE($K$1,$K$2,VXV$4),Table1[],(MATCH(Calendar!$A6,DB!1:1,0)+2),FALSE),"")</f>
        <v/>
      </c>
      <c r="VXW6" s="27" t="str">
        <f>IFERROR(VLOOKUP(DATE($K$1,$K$2,VXW$4),Table1[],(MATCH(Calendar!$A6,DB!1:1,0)+2),FALSE),"")</f>
        <v/>
      </c>
      <c r="VXX6" s="27" t="str">
        <f>IFERROR(VLOOKUP(DATE($K$1,$K$2,VXX$4),Table1[],(MATCH(Calendar!$A6,DB!1:1,0)+2),FALSE),"")</f>
        <v/>
      </c>
      <c r="VXY6" s="27" t="str">
        <f>IFERROR(VLOOKUP(DATE($K$1,$K$2,VXY$4),Table1[],(MATCH(Calendar!$A6,DB!1:1,0)+2),FALSE),"")</f>
        <v/>
      </c>
      <c r="VXZ6" s="27" t="str">
        <f>IFERROR(VLOOKUP(DATE($K$1,$K$2,VXZ$4),Table1[],(MATCH(Calendar!$A6,DB!1:1,0)+2),FALSE),"")</f>
        <v/>
      </c>
      <c r="VYA6" s="27" t="str">
        <f>IFERROR(VLOOKUP(DATE($K$1,$K$2,VYA$4),Table1[],(MATCH(Calendar!$A6,DB!1:1,0)+2),FALSE),"")</f>
        <v/>
      </c>
      <c r="VYB6" s="27" t="str">
        <f>IFERROR(VLOOKUP(DATE($K$1,$K$2,VYB$4),Table1[],(MATCH(Calendar!$A6,DB!1:1,0)+2),FALSE),"")</f>
        <v/>
      </c>
      <c r="VYC6" s="27" t="str">
        <f>IFERROR(VLOOKUP(DATE($K$1,$K$2,VYC$4),Table1[],(MATCH(Calendar!$A6,DB!1:1,0)+2),FALSE),"")</f>
        <v/>
      </c>
      <c r="VYD6" s="27" t="str">
        <f>IFERROR(VLOOKUP(DATE($K$1,$K$2,VYD$4),Table1[],(MATCH(Calendar!$A6,DB!1:1,0)+2),FALSE),"")</f>
        <v/>
      </c>
      <c r="VYE6" s="27" t="str">
        <f>IFERROR(VLOOKUP(DATE($K$1,$K$2,VYE$4),Table1[],(MATCH(Calendar!$A6,DB!1:1,0)+2),FALSE),"")</f>
        <v/>
      </c>
      <c r="VYF6" s="27" t="str">
        <f>IFERROR(VLOOKUP(DATE($K$1,$K$2,VYF$4),Table1[],(MATCH(Calendar!$A6,DB!1:1,0)+2),FALSE),"")</f>
        <v/>
      </c>
      <c r="VYG6" s="27" t="str">
        <f>IFERROR(VLOOKUP(DATE($K$1,$K$2,VYG$4),Table1[],(MATCH(Calendar!$A6,DB!1:1,0)+2),FALSE),"")</f>
        <v/>
      </c>
      <c r="VYH6" s="27" t="str">
        <f>IFERROR(VLOOKUP(DATE($K$1,$K$2,VYH$4),Table1[],(MATCH(Calendar!$A6,DB!1:1,0)+2),FALSE),"")</f>
        <v/>
      </c>
      <c r="VYI6" s="27" t="str">
        <f>IFERROR(VLOOKUP(DATE($K$1,$K$2,VYI$4),Table1[],(MATCH(Calendar!$A6,DB!1:1,0)+2),FALSE),"")</f>
        <v/>
      </c>
      <c r="VYJ6" s="27" t="str">
        <f>IFERROR(VLOOKUP(DATE($K$1,$K$2,VYJ$4),Table1[],(MATCH(Calendar!$A6,DB!1:1,0)+2),FALSE),"")</f>
        <v/>
      </c>
      <c r="VYK6" s="27" t="str">
        <f>IFERROR(VLOOKUP(DATE($K$1,$K$2,VYK$4),Table1[],(MATCH(Calendar!$A6,DB!1:1,0)+2),FALSE),"")</f>
        <v/>
      </c>
      <c r="VYL6" s="27" t="str">
        <f>IFERROR(VLOOKUP(DATE($K$1,$K$2,VYL$4),Table1[],(MATCH(Calendar!$A6,DB!1:1,0)+2),FALSE),"")</f>
        <v/>
      </c>
      <c r="VYM6" s="27" t="str">
        <f>IFERROR(VLOOKUP(DATE($K$1,$K$2,VYM$4),Table1[],(MATCH(Calendar!$A6,DB!1:1,0)+2),FALSE),"")</f>
        <v/>
      </c>
      <c r="VYN6" s="27" t="str">
        <f>IFERROR(VLOOKUP(DATE($K$1,$K$2,VYN$4),Table1[],(MATCH(Calendar!$A6,DB!1:1,0)+2),FALSE),"")</f>
        <v/>
      </c>
      <c r="VYO6" s="27" t="str">
        <f>IFERROR(VLOOKUP(DATE($K$1,$K$2,VYO$4),Table1[],(MATCH(Calendar!$A6,DB!1:1,0)+2),FALSE),"")</f>
        <v/>
      </c>
      <c r="VYP6" s="27" t="str">
        <f>IFERROR(VLOOKUP(DATE($K$1,$K$2,VYP$4),Table1[],(MATCH(Calendar!$A6,DB!1:1,0)+2),FALSE),"")</f>
        <v/>
      </c>
      <c r="VYQ6" s="27" t="str">
        <f>IFERROR(VLOOKUP(DATE($K$1,$K$2,VYQ$4),Table1[],(MATCH(Calendar!$A6,DB!1:1,0)+2),FALSE),"")</f>
        <v/>
      </c>
      <c r="VYR6" s="27" t="str">
        <f>IFERROR(VLOOKUP(DATE($K$1,$K$2,VYR$4),Table1[],(MATCH(Calendar!$A6,DB!1:1,0)+2),FALSE),"")</f>
        <v/>
      </c>
      <c r="VYS6" s="27" t="str">
        <f>IFERROR(VLOOKUP(DATE($K$1,$K$2,VYS$4),Table1[],(MATCH(Calendar!$A6,DB!1:1,0)+2),FALSE),"")</f>
        <v/>
      </c>
      <c r="VYT6" s="27" t="str">
        <f>IFERROR(VLOOKUP(DATE($K$1,$K$2,VYT$4),Table1[],(MATCH(Calendar!$A6,DB!1:1,0)+2),FALSE),"")</f>
        <v/>
      </c>
      <c r="VYU6" s="27" t="str">
        <f>IFERROR(VLOOKUP(DATE($K$1,$K$2,VYU$4),Table1[],(MATCH(Calendar!$A6,DB!1:1,0)+2),FALSE),"")</f>
        <v/>
      </c>
      <c r="VYV6" s="27" t="str">
        <f>IFERROR(VLOOKUP(DATE($K$1,$K$2,VYV$4),Table1[],(MATCH(Calendar!$A6,DB!1:1,0)+2),FALSE),"")</f>
        <v/>
      </c>
      <c r="VYW6" s="27" t="str">
        <f>IFERROR(VLOOKUP(DATE($K$1,$K$2,VYW$4),Table1[],(MATCH(Calendar!$A6,DB!1:1,0)+2),FALSE),"")</f>
        <v/>
      </c>
      <c r="VYX6" s="27" t="str">
        <f>IFERROR(VLOOKUP(DATE($K$1,$K$2,VYX$4),Table1[],(MATCH(Calendar!$A6,DB!1:1,0)+2),FALSE),"")</f>
        <v/>
      </c>
      <c r="VYY6" s="27" t="str">
        <f>IFERROR(VLOOKUP(DATE($K$1,$K$2,VYY$4),Table1[],(MATCH(Calendar!$A6,DB!1:1,0)+2),FALSE),"")</f>
        <v/>
      </c>
      <c r="VYZ6" s="27" t="str">
        <f>IFERROR(VLOOKUP(DATE($K$1,$K$2,VYZ$4),Table1[],(MATCH(Calendar!$A6,DB!1:1,0)+2),FALSE),"")</f>
        <v/>
      </c>
      <c r="VZA6" s="27" t="str">
        <f>IFERROR(VLOOKUP(DATE($K$1,$K$2,VZA$4),Table1[],(MATCH(Calendar!$A6,DB!1:1,0)+2),FALSE),"")</f>
        <v/>
      </c>
      <c r="VZB6" s="27" t="str">
        <f>IFERROR(VLOOKUP(DATE($K$1,$K$2,VZB$4),Table1[],(MATCH(Calendar!$A6,DB!1:1,0)+2),FALSE),"")</f>
        <v/>
      </c>
      <c r="VZC6" s="27" t="str">
        <f>IFERROR(VLOOKUP(DATE($K$1,$K$2,VZC$4),Table1[],(MATCH(Calendar!$A6,DB!1:1,0)+2),FALSE),"")</f>
        <v/>
      </c>
      <c r="VZD6" s="27" t="str">
        <f>IFERROR(VLOOKUP(DATE($K$1,$K$2,VZD$4),Table1[],(MATCH(Calendar!$A6,DB!1:1,0)+2),FALSE),"")</f>
        <v/>
      </c>
      <c r="VZE6" s="27" t="str">
        <f>IFERROR(VLOOKUP(DATE($K$1,$K$2,VZE$4),Table1[],(MATCH(Calendar!$A6,DB!1:1,0)+2),FALSE),"")</f>
        <v/>
      </c>
      <c r="VZF6" s="27" t="str">
        <f>IFERROR(VLOOKUP(DATE($K$1,$K$2,VZF$4),Table1[],(MATCH(Calendar!$A6,DB!1:1,0)+2),FALSE),"")</f>
        <v/>
      </c>
      <c r="VZG6" s="27" t="str">
        <f>IFERROR(VLOOKUP(DATE($K$1,$K$2,VZG$4),Table1[],(MATCH(Calendar!$A6,DB!1:1,0)+2),FALSE),"")</f>
        <v/>
      </c>
      <c r="VZH6" s="27" t="str">
        <f>IFERROR(VLOOKUP(DATE($K$1,$K$2,VZH$4),Table1[],(MATCH(Calendar!$A6,DB!1:1,0)+2),FALSE),"")</f>
        <v/>
      </c>
      <c r="VZI6" s="27" t="str">
        <f>IFERROR(VLOOKUP(DATE($K$1,$K$2,VZI$4),Table1[],(MATCH(Calendar!$A6,DB!1:1,0)+2),FALSE),"")</f>
        <v/>
      </c>
      <c r="VZJ6" s="27" t="str">
        <f>IFERROR(VLOOKUP(DATE($K$1,$K$2,VZJ$4),Table1[],(MATCH(Calendar!$A6,DB!1:1,0)+2),FALSE),"")</f>
        <v/>
      </c>
      <c r="VZK6" s="27" t="str">
        <f>IFERROR(VLOOKUP(DATE($K$1,$K$2,VZK$4),Table1[],(MATCH(Calendar!$A6,DB!1:1,0)+2),FALSE),"")</f>
        <v/>
      </c>
      <c r="VZL6" s="27" t="str">
        <f>IFERROR(VLOOKUP(DATE($K$1,$K$2,VZL$4),Table1[],(MATCH(Calendar!$A6,DB!1:1,0)+2),FALSE),"")</f>
        <v/>
      </c>
      <c r="VZM6" s="27" t="str">
        <f>IFERROR(VLOOKUP(DATE($K$1,$K$2,VZM$4),Table1[],(MATCH(Calendar!$A6,DB!1:1,0)+2),FALSE),"")</f>
        <v/>
      </c>
      <c r="VZN6" s="27" t="str">
        <f>IFERROR(VLOOKUP(DATE($K$1,$K$2,VZN$4),Table1[],(MATCH(Calendar!$A6,DB!1:1,0)+2),FALSE),"")</f>
        <v/>
      </c>
      <c r="VZO6" s="27" t="str">
        <f>IFERROR(VLOOKUP(DATE($K$1,$K$2,VZO$4),Table1[],(MATCH(Calendar!$A6,DB!1:1,0)+2),FALSE),"")</f>
        <v/>
      </c>
      <c r="VZP6" s="27" t="str">
        <f>IFERROR(VLOOKUP(DATE($K$1,$K$2,VZP$4),Table1[],(MATCH(Calendar!$A6,DB!1:1,0)+2),FALSE),"")</f>
        <v/>
      </c>
      <c r="VZQ6" s="27" t="str">
        <f>IFERROR(VLOOKUP(DATE($K$1,$K$2,VZQ$4),Table1[],(MATCH(Calendar!$A6,DB!1:1,0)+2),FALSE),"")</f>
        <v/>
      </c>
      <c r="VZR6" s="27" t="str">
        <f>IFERROR(VLOOKUP(DATE($K$1,$K$2,VZR$4),Table1[],(MATCH(Calendar!$A6,DB!1:1,0)+2),FALSE),"")</f>
        <v/>
      </c>
      <c r="VZS6" s="27" t="str">
        <f>IFERROR(VLOOKUP(DATE($K$1,$K$2,VZS$4),Table1[],(MATCH(Calendar!$A6,DB!1:1,0)+2),FALSE),"")</f>
        <v/>
      </c>
      <c r="VZT6" s="27" t="str">
        <f>IFERROR(VLOOKUP(DATE($K$1,$K$2,VZT$4),Table1[],(MATCH(Calendar!$A6,DB!1:1,0)+2),FALSE),"")</f>
        <v/>
      </c>
      <c r="VZU6" s="27" t="str">
        <f>IFERROR(VLOOKUP(DATE($K$1,$K$2,VZU$4),Table1[],(MATCH(Calendar!$A6,DB!1:1,0)+2),FALSE),"")</f>
        <v/>
      </c>
      <c r="VZV6" s="27" t="str">
        <f>IFERROR(VLOOKUP(DATE($K$1,$K$2,VZV$4),Table1[],(MATCH(Calendar!$A6,DB!1:1,0)+2),FALSE),"")</f>
        <v/>
      </c>
      <c r="VZW6" s="27" t="str">
        <f>IFERROR(VLOOKUP(DATE($K$1,$K$2,VZW$4),Table1[],(MATCH(Calendar!$A6,DB!1:1,0)+2),FALSE),"")</f>
        <v/>
      </c>
      <c r="VZX6" s="27" t="str">
        <f>IFERROR(VLOOKUP(DATE($K$1,$K$2,VZX$4),Table1[],(MATCH(Calendar!$A6,DB!1:1,0)+2),FALSE),"")</f>
        <v/>
      </c>
      <c r="VZY6" s="27" t="str">
        <f>IFERROR(VLOOKUP(DATE($K$1,$K$2,VZY$4),Table1[],(MATCH(Calendar!$A6,DB!1:1,0)+2),FALSE),"")</f>
        <v/>
      </c>
      <c r="VZZ6" s="27" t="str">
        <f>IFERROR(VLOOKUP(DATE($K$1,$K$2,VZZ$4),Table1[],(MATCH(Calendar!$A6,DB!1:1,0)+2),FALSE),"")</f>
        <v/>
      </c>
      <c r="WAA6" s="27" t="str">
        <f>IFERROR(VLOOKUP(DATE($K$1,$K$2,WAA$4),Table1[],(MATCH(Calendar!$A6,DB!1:1,0)+2),FALSE),"")</f>
        <v/>
      </c>
      <c r="WAB6" s="27" t="str">
        <f>IFERROR(VLOOKUP(DATE($K$1,$K$2,WAB$4),Table1[],(MATCH(Calendar!$A6,DB!1:1,0)+2),FALSE),"")</f>
        <v/>
      </c>
      <c r="WAC6" s="27" t="str">
        <f>IFERROR(VLOOKUP(DATE($K$1,$K$2,WAC$4),Table1[],(MATCH(Calendar!$A6,DB!1:1,0)+2),FALSE),"")</f>
        <v/>
      </c>
      <c r="WAD6" s="27" t="str">
        <f>IFERROR(VLOOKUP(DATE($K$1,$K$2,WAD$4),Table1[],(MATCH(Calendar!$A6,DB!1:1,0)+2),FALSE),"")</f>
        <v/>
      </c>
      <c r="WAE6" s="27" t="str">
        <f>IFERROR(VLOOKUP(DATE($K$1,$K$2,WAE$4),Table1[],(MATCH(Calendar!$A6,DB!1:1,0)+2),FALSE),"")</f>
        <v/>
      </c>
      <c r="WAF6" s="27" t="str">
        <f>IFERROR(VLOOKUP(DATE($K$1,$K$2,WAF$4),Table1[],(MATCH(Calendar!$A6,DB!1:1,0)+2),FALSE),"")</f>
        <v/>
      </c>
      <c r="WAG6" s="27" t="str">
        <f>IFERROR(VLOOKUP(DATE($K$1,$K$2,WAG$4),Table1[],(MATCH(Calendar!$A6,DB!1:1,0)+2),FALSE),"")</f>
        <v/>
      </c>
      <c r="WAH6" s="27" t="str">
        <f>IFERROR(VLOOKUP(DATE($K$1,$K$2,WAH$4),Table1[],(MATCH(Calendar!$A6,DB!1:1,0)+2),FALSE),"")</f>
        <v/>
      </c>
      <c r="WAI6" s="27" t="str">
        <f>IFERROR(VLOOKUP(DATE($K$1,$K$2,WAI$4),Table1[],(MATCH(Calendar!$A6,DB!1:1,0)+2),FALSE),"")</f>
        <v/>
      </c>
      <c r="WAJ6" s="27" t="str">
        <f>IFERROR(VLOOKUP(DATE($K$1,$K$2,WAJ$4),Table1[],(MATCH(Calendar!$A6,DB!1:1,0)+2),FALSE),"")</f>
        <v/>
      </c>
      <c r="WAK6" s="27" t="str">
        <f>IFERROR(VLOOKUP(DATE($K$1,$K$2,WAK$4),Table1[],(MATCH(Calendar!$A6,DB!1:1,0)+2),FALSE),"")</f>
        <v/>
      </c>
      <c r="WAL6" s="27" t="str">
        <f>IFERROR(VLOOKUP(DATE($K$1,$K$2,WAL$4),Table1[],(MATCH(Calendar!$A6,DB!1:1,0)+2),FALSE),"")</f>
        <v/>
      </c>
      <c r="WAM6" s="27" t="str">
        <f>IFERROR(VLOOKUP(DATE($K$1,$K$2,WAM$4),Table1[],(MATCH(Calendar!$A6,DB!1:1,0)+2),FALSE),"")</f>
        <v/>
      </c>
      <c r="WAN6" s="27" t="str">
        <f>IFERROR(VLOOKUP(DATE($K$1,$K$2,WAN$4),Table1[],(MATCH(Calendar!$A6,DB!1:1,0)+2),FALSE),"")</f>
        <v/>
      </c>
      <c r="WAO6" s="27" t="str">
        <f>IFERROR(VLOOKUP(DATE($K$1,$K$2,WAO$4),Table1[],(MATCH(Calendar!$A6,DB!1:1,0)+2),FALSE),"")</f>
        <v/>
      </c>
      <c r="WAP6" s="27" t="str">
        <f>IFERROR(VLOOKUP(DATE($K$1,$K$2,WAP$4),Table1[],(MATCH(Calendar!$A6,DB!1:1,0)+2),FALSE),"")</f>
        <v/>
      </c>
      <c r="WAQ6" s="27" t="str">
        <f>IFERROR(VLOOKUP(DATE($K$1,$K$2,WAQ$4),Table1[],(MATCH(Calendar!$A6,DB!1:1,0)+2),FALSE),"")</f>
        <v/>
      </c>
      <c r="WAR6" s="27" t="str">
        <f>IFERROR(VLOOKUP(DATE($K$1,$K$2,WAR$4),Table1[],(MATCH(Calendar!$A6,DB!1:1,0)+2),FALSE),"")</f>
        <v/>
      </c>
      <c r="WAS6" s="27" t="str">
        <f>IFERROR(VLOOKUP(DATE($K$1,$K$2,WAS$4),Table1[],(MATCH(Calendar!$A6,DB!1:1,0)+2),FALSE),"")</f>
        <v/>
      </c>
      <c r="WAT6" s="27" t="str">
        <f>IFERROR(VLOOKUP(DATE($K$1,$K$2,WAT$4),Table1[],(MATCH(Calendar!$A6,DB!1:1,0)+2),FALSE),"")</f>
        <v/>
      </c>
      <c r="WAU6" s="27" t="str">
        <f>IFERROR(VLOOKUP(DATE($K$1,$K$2,WAU$4),Table1[],(MATCH(Calendar!$A6,DB!1:1,0)+2),FALSE),"")</f>
        <v/>
      </c>
      <c r="WAV6" s="27" t="str">
        <f>IFERROR(VLOOKUP(DATE($K$1,$K$2,WAV$4),Table1[],(MATCH(Calendar!$A6,DB!1:1,0)+2),FALSE),"")</f>
        <v/>
      </c>
      <c r="WAW6" s="27" t="str">
        <f>IFERROR(VLOOKUP(DATE($K$1,$K$2,WAW$4),Table1[],(MATCH(Calendar!$A6,DB!1:1,0)+2),FALSE),"")</f>
        <v/>
      </c>
      <c r="WAX6" s="27" t="str">
        <f>IFERROR(VLOOKUP(DATE($K$1,$K$2,WAX$4),Table1[],(MATCH(Calendar!$A6,DB!1:1,0)+2),FALSE),"")</f>
        <v/>
      </c>
      <c r="WAY6" s="27" t="str">
        <f>IFERROR(VLOOKUP(DATE($K$1,$K$2,WAY$4),Table1[],(MATCH(Calendar!$A6,DB!1:1,0)+2),FALSE),"")</f>
        <v/>
      </c>
      <c r="WAZ6" s="27" t="str">
        <f>IFERROR(VLOOKUP(DATE($K$1,$K$2,WAZ$4),Table1[],(MATCH(Calendar!$A6,DB!1:1,0)+2),FALSE),"")</f>
        <v/>
      </c>
      <c r="WBA6" s="27" t="str">
        <f>IFERROR(VLOOKUP(DATE($K$1,$K$2,WBA$4),Table1[],(MATCH(Calendar!$A6,DB!1:1,0)+2),FALSE),"")</f>
        <v/>
      </c>
      <c r="WBB6" s="27" t="str">
        <f>IFERROR(VLOOKUP(DATE($K$1,$K$2,WBB$4),Table1[],(MATCH(Calendar!$A6,DB!1:1,0)+2),FALSE),"")</f>
        <v/>
      </c>
      <c r="WBC6" s="27" t="str">
        <f>IFERROR(VLOOKUP(DATE($K$1,$K$2,WBC$4),Table1[],(MATCH(Calendar!$A6,DB!1:1,0)+2),FALSE),"")</f>
        <v/>
      </c>
      <c r="WBD6" s="27" t="str">
        <f>IFERROR(VLOOKUP(DATE($K$1,$K$2,WBD$4),Table1[],(MATCH(Calendar!$A6,DB!1:1,0)+2),FALSE),"")</f>
        <v/>
      </c>
      <c r="WBE6" s="27" t="str">
        <f>IFERROR(VLOOKUP(DATE($K$1,$K$2,WBE$4),Table1[],(MATCH(Calendar!$A6,DB!1:1,0)+2),FALSE),"")</f>
        <v/>
      </c>
      <c r="WBF6" s="27" t="str">
        <f>IFERROR(VLOOKUP(DATE($K$1,$K$2,WBF$4),Table1[],(MATCH(Calendar!$A6,DB!1:1,0)+2),FALSE),"")</f>
        <v/>
      </c>
      <c r="WBG6" s="27" t="str">
        <f>IFERROR(VLOOKUP(DATE($K$1,$K$2,WBG$4),Table1[],(MATCH(Calendar!$A6,DB!1:1,0)+2),FALSE),"")</f>
        <v/>
      </c>
      <c r="WBH6" s="27" t="str">
        <f>IFERROR(VLOOKUP(DATE($K$1,$K$2,WBH$4),Table1[],(MATCH(Calendar!$A6,DB!1:1,0)+2),FALSE),"")</f>
        <v/>
      </c>
      <c r="WBI6" s="27" t="str">
        <f>IFERROR(VLOOKUP(DATE($K$1,$K$2,WBI$4),Table1[],(MATCH(Calendar!$A6,DB!1:1,0)+2),FALSE),"")</f>
        <v/>
      </c>
      <c r="WBJ6" s="27" t="str">
        <f>IFERROR(VLOOKUP(DATE($K$1,$K$2,WBJ$4),Table1[],(MATCH(Calendar!$A6,DB!1:1,0)+2),FALSE),"")</f>
        <v/>
      </c>
      <c r="WBK6" s="27" t="str">
        <f>IFERROR(VLOOKUP(DATE($K$1,$K$2,WBK$4),Table1[],(MATCH(Calendar!$A6,DB!1:1,0)+2),FALSE),"")</f>
        <v/>
      </c>
      <c r="WBL6" s="27" t="str">
        <f>IFERROR(VLOOKUP(DATE($K$1,$K$2,WBL$4),Table1[],(MATCH(Calendar!$A6,DB!1:1,0)+2),FALSE),"")</f>
        <v/>
      </c>
      <c r="WBM6" s="27" t="str">
        <f>IFERROR(VLOOKUP(DATE($K$1,$K$2,WBM$4),Table1[],(MATCH(Calendar!$A6,DB!1:1,0)+2),FALSE),"")</f>
        <v/>
      </c>
      <c r="WBN6" s="27" t="str">
        <f>IFERROR(VLOOKUP(DATE($K$1,$K$2,WBN$4),Table1[],(MATCH(Calendar!$A6,DB!1:1,0)+2),FALSE),"")</f>
        <v/>
      </c>
      <c r="WBO6" s="27" t="str">
        <f>IFERROR(VLOOKUP(DATE($K$1,$K$2,WBO$4),Table1[],(MATCH(Calendar!$A6,DB!1:1,0)+2),FALSE),"")</f>
        <v/>
      </c>
      <c r="WBP6" s="27" t="str">
        <f>IFERROR(VLOOKUP(DATE($K$1,$K$2,WBP$4),Table1[],(MATCH(Calendar!$A6,DB!1:1,0)+2),FALSE),"")</f>
        <v/>
      </c>
      <c r="WBQ6" s="27" t="str">
        <f>IFERROR(VLOOKUP(DATE($K$1,$K$2,WBQ$4),Table1[],(MATCH(Calendar!$A6,DB!1:1,0)+2),FALSE),"")</f>
        <v/>
      </c>
      <c r="WBR6" s="27" t="str">
        <f>IFERROR(VLOOKUP(DATE($K$1,$K$2,WBR$4),Table1[],(MATCH(Calendar!$A6,DB!1:1,0)+2),FALSE),"")</f>
        <v/>
      </c>
      <c r="WBS6" s="27" t="str">
        <f>IFERROR(VLOOKUP(DATE($K$1,$K$2,WBS$4),Table1[],(MATCH(Calendar!$A6,DB!1:1,0)+2),FALSE),"")</f>
        <v/>
      </c>
      <c r="WBT6" s="27" t="str">
        <f>IFERROR(VLOOKUP(DATE($K$1,$K$2,WBT$4),Table1[],(MATCH(Calendar!$A6,DB!1:1,0)+2),FALSE),"")</f>
        <v/>
      </c>
      <c r="WBU6" s="27" t="str">
        <f>IFERROR(VLOOKUP(DATE($K$1,$K$2,WBU$4),Table1[],(MATCH(Calendar!$A6,DB!1:1,0)+2),FALSE),"")</f>
        <v/>
      </c>
      <c r="WBV6" s="27" t="str">
        <f>IFERROR(VLOOKUP(DATE($K$1,$K$2,WBV$4),Table1[],(MATCH(Calendar!$A6,DB!1:1,0)+2),FALSE),"")</f>
        <v/>
      </c>
      <c r="WBW6" s="27" t="str">
        <f>IFERROR(VLOOKUP(DATE($K$1,$K$2,WBW$4),Table1[],(MATCH(Calendar!$A6,DB!1:1,0)+2),FALSE),"")</f>
        <v/>
      </c>
      <c r="WBX6" s="27" t="str">
        <f>IFERROR(VLOOKUP(DATE($K$1,$K$2,WBX$4),Table1[],(MATCH(Calendar!$A6,DB!1:1,0)+2),FALSE),"")</f>
        <v/>
      </c>
      <c r="WBY6" s="27" t="str">
        <f>IFERROR(VLOOKUP(DATE($K$1,$K$2,WBY$4),Table1[],(MATCH(Calendar!$A6,DB!1:1,0)+2),FALSE),"")</f>
        <v/>
      </c>
      <c r="WBZ6" s="27" t="str">
        <f>IFERROR(VLOOKUP(DATE($K$1,$K$2,WBZ$4),Table1[],(MATCH(Calendar!$A6,DB!1:1,0)+2),FALSE),"")</f>
        <v/>
      </c>
      <c r="WCA6" s="27" t="str">
        <f>IFERROR(VLOOKUP(DATE($K$1,$K$2,WCA$4),Table1[],(MATCH(Calendar!$A6,DB!1:1,0)+2),FALSE),"")</f>
        <v/>
      </c>
      <c r="WCB6" s="27" t="str">
        <f>IFERROR(VLOOKUP(DATE($K$1,$K$2,WCB$4),Table1[],(MATCH(Calendar!$A6,DB!1:1,0)+2),FALSE),"")</f>
        <v/>
      </c>
      <c r="WCC6" s="27" t="str">
        <f>IFERROR(VLOOKUP(DATE($K$1,$K$2,WCC$4),Table1[],(MATCH(Calendar!$A6,DB!1:1,0)+2),FALSE),"")</f>
        <v/>
      </c>
      <c r="WCD6" s="27" t="str">
        <f>IFERROR(VLOOKUP(DATE($K$1,$K$2,WCD$4),Table1[],(MATCH(Calendar!$A6,DB!1:1,0)+2),FALSE),"")</f>
        <v/>
      </c>
      <c r="WCE6" s="27" t="str">
        <f>IFERROR(VLOOKUP(DATE($K$1,$K$2,WCE$4),Table1[],(MATCH(Calendar!$A6,DB!1:1,0)+2),FALSE),"")</f>
        <v/>
      </c>
      <c r="WCF6" s="27" t="str">
        <f>IFERROR(VLOOKUP(DATE($K$1,$K$2,WCF$4),Table1[],(MATCH(Calendar!$A6,DB!1:1,0)+2),FALSE),"")</f>
        <v/>
      </c>
      <c r="WCG6" s="27" t="str">
        <f>IFERROR(VLOOKUP(DATE($K$1,$K$2,WCG$4),Table1[],(MATCH(Calendar!$A6,DB!1:1,0)+2),FALSE),"")</f>
        <v/>
      </c>
      <c r="WCH6" s="27" t="str">
        <f>IFERROR(VLOOKUP(DATE($K$1,$K$2,WCH$4),Table1[],(MATCH(Calendar!$A6,DB!1:1,0)+2),FALSE),"")</f>
        <v/>
      </c>
      <c r="WCI6" s="27" t="str">
        <f>IFERROR(VLOOKUP(DATE($K$1,$K$2,WCI$4),Table1[],(MATCH(Calendar!$A6,DB!1:1,0)+2),FALSE),"")</f>
        <v/>
      </c>
      <c r="WCJ6" s="27" t="str">
        <f>IFERROR(VLOOKUP(DATE($K$1,$K$2,WCJ$4),Table1[],(MATCH(Calendar!$A6,DB!1:1,0)+2),FALSE),"")</f>
        <v/>
      </c>
      <c r="WCK6" s="27" t="str">
        <f>IFERROR(VLOOKUP(DATE($K$1,$K$2,WCK$4),Table1[],(MATCH(Calendar!$A6,DB!1:1,0)+2),FALSE),"")</f>
        <v/>
      </c>
      <c r="WCL6" s="27" t="str">
        <f>IFERROR(VLOOKUP(DATE($K$1,$K$2,WCL$4),Table1[],(MATCH(Calendar!$A6,DB!1:1,0)+2),FALSE),"")</f>
        <v/>
      </c>
      <c r="WCM6" s="27" t="str">
        <f>IFERROR(VLOOKUP(DATE($K$1,$K$2,WCM$4),Table1[],(MATCH(Calendar!$A6,DB!1:1,0)+2),FALSE),"")</f>
        <v/>
      </c>
      <c r="WCN6" s="27" t="str">
        <f>IFERROR(VLOOKUP(DATE($K$1,$K$2,WCN$4),Table1[],(MATCH(Calendar!$A6,DB!1:1,0)+2),FALSE),"")</f>
        <v/>
      </c>
      <c r="WCO6" s="27" t="str">
        <f>IFERROR(VLOOKUP(DATE($K$1,$K$2,WCO$4),Table1[],(MATCH(Calendar!$A6,DB!1:1,0)+2),FALSE),"")</f>
        <v/>
      </c>
      <c r="WCP6" s="27" t="str">
        <f>IFERROR(VLOOKUP(DATE($K$1,$K$2,WCP$4),Table1[],(MATCH(Calendar!$A6,DB!1:1,0)+2),FALSE),"")</f>
        <v/>
      </c>
      <c r="WCQ6" s="27" t="str">
        <f>IFERROR(VLOOKUP(DATE($K$1,$K$2,WCQ$4),Table1[],(MATCH(Calendar!$A6,DB!1:1,0)+2),FALSE),"")</f>
        <v/>
      </c>
      <c r="WCR6" s="27" t="str">
        <f>IFERROR(VLOOKUP(DATE($K$1,$K$2,WCR$4),Table1[],(MATCH(Calendar!$A6,DB!1:1,0)+2),FALSE),"")</f>
        <v/>
      </c>
      <c r="WCS6" s="27" t="str">
        <f>IFERROR(VLOOKUP(DATE($K$1,$K$2,WCS$4),Table1[],(MATCH(Calendar!$A6,DB!1:1,0)+2),FALSE),"")</f>
        <v/>
      </c>
      <c r="WCT6" s="27" t="str">
        <f>IFERROR(VLOOKUP(DATE($K$1,$K$2,WCT$4),Table1[],(MATCH(Calendar!$A6,DB!1:1,0)+2),FALSE),"")</f>
        <v/>
      </c>
      <c r="WCU6" s="27" t="str">
        <f>IFERROR(VLOOKUP(DATE($K$1,$K$2,WCU$4),Table1[],(MATCH(Calendar!$A6,DB!1:1,0)+2),FALSE),"")</f>
        <v/>
      </c>
      <c r="WCV6" s="27" t="str">
        <f>IFERROR(VLOOKUP(DATE($K$1,$K$2,WCV$4),Table1[],(MATCH(Calendar!$A6,DB!1:1,0)+2),FALSE),"")</f>
        <v/>
      </c>
      <c r="WCW6" s="27" t="str">
        <f>IFERROR(VLOOKUP(DATE($K$1,$K$2,WCW$4),Table1[],(MATCH(Calendar!$A6,DB!1:1,0)+2),FALSE),"")</f>
        <v/>
      </c>
      <c r="WCX6" s="27" t="str">
        <f>IFERROR(VLOOKUP(DATE($K$1,$K$2,WCX$4),Table1[],(MATCH(Calendar!$A6,DB!1:1,0)+2),FALSE),"")</f>
        <v/>
      </c>
      <c r="WCY6" s="27" t="str">
        <f>IFERROR(VLOOKUP(DATE($K$1,$K$2,WCY$4),Table1[],(MATCH(Calendar!$A6,DB!1:1,0)+2),FALSE),"")</f>
        <v/>
      </c>
      <c r="WCZ6" s="27" t="str">
        <f>IFERROR(VLOOKUP(DATE($K$1,$K$2,WCZ$4),Table1[],(MATCH(Calendar!$A6,DB!1:1,0)+2),FALSE),"")</f>
        <v/>
      </c>
      <c r="WDA6" s="27" t="str">
        <f>IFERROR(VLOOKUP(DATE($K$1,$K$2,WDA$4),Table1[],(MATCH(Calendar!$A6,DB!1:1,0)+2),FALSE),"")</f>
        <v/>
      </c>
      <c r="WDB6" s="27" t="str">
        <f>IFERROR(VLOOKUP(DATE($K$1,$K$2,WDB$4),Table1[],(MATCH(Calendar!$A6,DB!1:1,0)+2),FALSE),"")</f>
        <v/>
      </c>
      <c r="WDC6" s="27" t="str">
        <f>IFERROR(VLOOKUP(DATE($K$1,$K$2,WDC$4),Table1[],(MATCH(Calendar!$A6,DB!1:1,0)+2),FALSE),"")</f>
        <v/>
      </c>
      <c r="WDD6" s="27" t="str">
        <f>IFERROR(VLOOKUP(DATE($K$1,$K$2,WDD$4),Table1[],(MATCH(Calendar!$A6,DB!1:1,0)+2),FALSE),"")</f>
        <v/>
      </c>
      <c r="WDE6" s="27" t="str">
        <f>IFERROR(VLOOKUP(DATE($K$1,$K$2,WDE$4),Table1[],(MATCH(Calendar!$A6,DB!1:1,0)+2),FALSE),"")</f>
        <v/>
      </c>
      <c r="WDF6" s="27" t="str">
        <f>IFERROR(VLOOKUP(DATE($K$1,$K$2,WDF$4),Table1[],(MATCH(Calendar!$A6,DB!1:1,0)+2),FALSE),"")</f>
        <v/>
      </c>
      <c r="WDG6" s="27" t="str">
        <f>IFERROR(VLOOKUP(DATE($K$1,$K$2,WDG$4),Table1[],(MATCH(Calendar!$A6,DB!1:1,0)+2),FALSE),"")</f>
        <v/>
      </c>
      <c r="WDH6" s="27" t="str">
        <f>IFERROR(VLOOKUP(DATE($K$1,$K$2,WDH$4),Table1[],(MATCH(Calendar!$A6,DB!1:1,0)+2),FALSE),"")</f>
        <v/>
      </c>
      <c r="WDI6" s="27" t="str">
        <f>IFERROR(VLOOKUP(DATE($K$1,$K$2,WDI$4),Table1[],(MATCH(Calendar!$A6,DB!1:1,0)+2),FALSE),"")</f>
        <v/>
      </c>
      <c r="WDJ6" s="27" t="str">
        <f>IFERROR(VLOOKUP(DATE($K$1,$K$2,WDJ$4),Table1[],(MATCH(Calendar!$A6,DB!1:1,0)+2),FALSE),"")</f>
        <v/>
      </c>
      <c r="WDK6" s="27" t="str">
        <f>IFERROR(VLOOKUP(DATE($K$1,$K$2,WDK$4),Table1[],(MATCH(Calendar!$A6,DB!1:1,0)+2),FALSE),"")</f>
        <v/>
      </c>
      <c r="WDL6" s="27" t="str">
        <f>IFERROR(VLOOKUP(DATE($K$1,$K$2,WDL$4),Table1[],(MATCH(Calendar!$A6,DB!1:1,0)+2),FALSE),"")</f>
        <v/>
      </c>
      <c r="WDM6" s="27" t="str">
        <f>IFERROR(VLOOKUP(DATE($K$1,$K$2,WDM$4),Table1[],(MATCH(Calendar!$A6,DB!1:1,0)+2),FALSE),"")</f>
        <v/>
      </c>
      <c r="WDN6" s="27" t="str">
        <f>IFERROR(VLOOKUP(DATE($K$1,$K$2,WDN$4),Table1[],(MATCH(Calendar!$A6,DB!1:1,0)+2),FALSE),"")</f>
        <v/>
      </c>
      <c r="WDO6" s="27" t="str">
        <f>IFERROR(VLOOKUP(DATE($K$1,$K$2,WDO$4),Table1[],(MATCH(Calendar!$A6,DB!1:1,0)+2),FALSE),"")</f>
        <v/>
      </c>
      <c r="WDP6" s="27" t="str">
        <f>IFERROR(VLOOKUP(DATE($K$1,$K$2,WDP$4),Table1[],(MATCH(Calendar!$A6,DB!1:1,0)+2),FALSE),"")</f>
        <v/>
      </c>
      <c r="WDQ6" s="27" t="str">
        <f>IFERROR(VLOOKUP(DATE($K$1,$K$2,WDQ$4),Table1[],(MATCH(Calendar!$A6,DB!1:1,0)+2),FALSE),"")</f>
        <v/>
      </c>
      <c r="WDR6" s="27" t="str">
        <f>IFERROR(VLOOKUP(DATE($K$1,$K$2,WDR$4),Table1[],(MATCH(Calendar!$A6,DB!1:1,0)+2),FALSE),"")</f>
        <v/>
      </c>
      <c r="WDS6" s="27" t="str">
        <f>IFERROR(VLOOKUP(DATE($K$1,$K$2,WDS$4),Table1[],(MATCH(Calendar!$A6,DB!1:1,0)+2),FALSE),"")</f>
        <v/>
      </c>
      <c r="WDT6" s="27" t="str">
        <f>IFERROR(VLOOKUP(DATE($K$1,$K$2,WDT$4),Table1[],(MATCH(Calendar!$A6,DB!1:1,0)+2),FALSE),"")</f>
        <v/>
      </c>
      <c r="WDU6" s="27" t="str">
        <f>IFERROR(VLOOKUP(DATE($K$1,$K$2,WDU$4),Table1[],(MATCH(Calendar!$A6,DB!1:1,0)+2),FALSE),"")</f>
        <v/>
      </c>
      <c r="WDV6" s="27" t="str">
        <f>IFERROR(VLOOKUP(DATE($K$1,$K$2,WDV$4),Table1[],(MATCH(Calendar!$A6,DB!1:1,0)+2),FALSE),"")</f>
        <v/>
      </c>
      <c r="WDW6" s="27" t="str">
        <f>IFERROR(VLOOKUP(DATE($K$1,$K$2,WDW$4),Table1[],(MATCH(Calendar!$A6,DB!1:1,0)+2),FALSE),"")</f>
        <v/>
      </c>
      <c r="WDX6" s="27" t="str">
        <f>IFERROR(VLOOKUP(DATE($K$1,$K$2,WDX$4),Table1[],(MATCH(Calendar!$A6,DB!1:1,0)+2),FALSE),"")</f>
        <v/>
      </c>
      <c r="WDY6" s="27" t="str">
        <f>IFERROR(VLOOKUP(DATE($K$1,$K$2,WDY$4),Table1[],(MATCH(Calendar!$A6,DB!1:1,0)+2),FALSE),"")</f>
        <v/>
      </c>
      <c r="WDZ6" s="27" t="str">
        <f>IFERROR(VLOOKUP(DATE($K$1,$K$2,WDZ$4),Table1[],(MATCH(Calendar!$A6,DB!1:1,0)+2),FALSE),"")</f>
        <v/>
      </c>
      <c r="WEA6" s="27" t="str">
        <f>IFERROR(VLOOKUP(DATE($K$1,$K$2,WEA$4),Table1[],(MATCH(Calendar!$A6,DB!1:1,0)+2),FALSE),"")</f>
        <v/>
      </c>
      <c r="WEB6" s="27" t="str">
        <f>IFERROR(VLOOKUP(DATE($K$1,$K$2,WEB$4),Table1[],(MATCH(Calendar!$A6,DB!1:1,0)+2),FALSE),"")</f>
        <v/>
      </c>
      <c r="WEC6" s="27" t="str">
        <f>IFERROR(VLOOKUP(DATE($K$1,$K$2,WEC$4),Table1[],(MATCH(Calendar!$A6,DB!1:1,0)+2),FALSE),"")</f>
        <v/>
      </c>
      <c r="WED6" s="27" t="str">
        <f>IFERROR(VLOOKUP(DATE($K$1,$K$2,WED$4),Table1[],(MATCH(Calendar!$A6,DB!1:1,0)+2),FALSE),"")</f>
        <v/>
      </c>
      <c r="WEE6" s="27" t="str">
        <f>IFERROR(VLOOKUP(DATE($K$1,$K$2,WEE$4),Table1[],(MATCH(Calendar!$A6,DB!1:1,0)+2),FALSE),"")</f>
        <v/>
      </c>
      <c r="WEF6" s="27" t="str">
        <f>IFERROR(VLOOKUP(DATE($K$1,$K$2,WEF$4),Table1[],(MATCH(Calendar!$A6,DB!1:1,0)+2),FALSE),"")</f>
        <v/>
      </c>
      <c r="WEG6" s="27" t="str">
        <f>IFERROR(VLOOKUP(DATE($K$1,$K$2,WEG$4),Table1[],(MATCH(Calendar!$A6,DB!1:1,0)+2),FALSE),"")</f>
        <v/>
      </c>
      <c r="WEH6" s="27" t="str">
        <f>IFERROR(VLOOKUP(DATE($K$1,$K$2,WEH$4),Table1[],(MATCH(Calendar!$A6,DB!1:1,0)+2),FALSE),"")</f>
        <v/>
      </c>
      <c r="WEI6" s="27" t="str">
        <f>IFERROR(VLOOKUP(DATE($K$1,$K$2,WEI$4),Table1[],(MATCH(Calendar!$A6,DB!1:1,0)+2),FALSE),"")</f>
        <v/>
      </c>
      <c r="WEJ6" s="27" t="str">
        <f>IFERROR(VLOOKUP(DATE($K$1,$K$2,WEJ$4),Table1[],(MATCH(Calendar!$A6,DB!1:1,0)+2),FALSE),"")</f>
        <v/>
      </c>
      <c r="WEK6" s="27" t="str">
        <f>IFERROR(VLOOKUP(DATE($K$1,$K$2,WEK$4),Table1[],(MATCH(Calendar!$A6,DB!1:1,0)+2),FALSE),"")</f>
        <v/>
      </c>
      <c r="WEL6" s="27" t="str">
        <f>IFERROR(VLOOKUP(DATE($K$1,$K$2,WEL$4),Table1[],(MATCH(Calendar!$A6,DB!1:1,0)+2),FALSE),"")</f>
        <v/>
      </c>
      <c r="WEM6" s="27" t="str">
        <f>IFERROR(VLOOKUP(DATE($K$1,$K$2,WEM$4),Table1[],(MATCH(Calendar!$A6,DB!1:1,0)+2),FALSE),"")</f>
        <v/>
      </c>
      <c r="WEN6" s="27" t="str">
        <f>IFERROR(VLOOKUP(DATE($K$1,$K$2,WEN$4),Table1[],(MATCH(Calendar!$A6,DB!1:1,0)+2),FALSE),"")</f>
        <v/>
      </c>
      <c r="WEO6" s="27" t="str">
        <f>IFERROR(VLOOKUP(DATE($K$1,$K$2,WEO$4),Table1[],(MATCH(Calendar!$A6,DB!1:1,0)+2),FALSE),"")</f>
        <v/>
      </c>
      <c r="WEP6" s="27" t="str">
        <f>IFERROR(VLOOKUP(DATE($K$1,$K$2,WEP$4),Table1[],(MATCH(Calendar!$A6,DB!1:1,0)+2),FALSE),"")</f>
        <v/>
      </c>
      <c r="WEQ6" s="27" t="str">
        <f>IFERROR(VLOOKUP(DATE($K$1,$K$2,WEQ$4),Table1[],(MATCH(Calendar!$A6,DB!1:1,0)+2),FALSE),"")</f>
        <v/>
      </c>
      <c r="WER6" s="27" t="str">
        <f>IFERROR(VLOOKUP(DATE($K$1,$K$2,WER$4),Table1[],(MATCH(Calendar!$A6,DB!1:1,0)+2),FALSE),"")</f>
        <v/>
      </c>
      <c r="WES6" s="27" t="str">
        <f>IFERROR(VLOOKUP(DATE($K$1,$K$2,WES$4),Table1[],(MATCH(Calendar!$A6,DB!1:1,0)+2),FALSE),"")</f>
        <v/>
      </c>
      <c r="WET6" s="27" t="str">
        <f>IFERROR(VLOOKUP(DATE($K$1,$K$2,WET$4),Table1[],(MATCH(Calendar!$A6,DB!1:1,0)+2),FALSE),"")</f>
        <v/>
      </c>
      <c r="WEU6" s="27" t="str">
        <f>IFERROR(VLOOKUP(DATE($K$1,$K$2,WEU$4),Table1[],(MATCH(Calendar!$A6,DB!1:1,0)+2),FALSE),"")</f>
        <v/>
      </c>
      <c r="WEV6" s="27" t="str">
        <f>IFERROR(VLOOKUP(DATE($K$1,$K$2,WEV$4),Table1[],(MATCH(Calendar!$A6,DB!1:1,0)+2),FALSE),"")</f>
        <v/>
      </c>
      <c r="WEW6" s="27" t="str">
        <f>IFERROR(VLOOKUP(DATE($K$1,$K$2,WEW$4),Table1[],(MATCH(Calendar!$A6,DB!1:1,0)+2),FALSE),"")</f>
        <v/>
      </c>
      <c r="WEX6" s="27" t="str">
        <f>IFERROR(VLOOKUP(DATE($K$1,$K$2,WEX$4),Table1[],(MATCH(Calendar!$A6,DB!1:1,0)+2),FALSE),"")</f>
        <v/>
      </c>
      <c r="WEY6" s="27" t="str">
        <f>IFERROR(VLOOKUP(DATE($K$1,$K$2,WEY$4),Table1[],(MATCH(Calendar!$A6,DB!1:1,0)+2),FALSE),"")</f>
        <v/>
      </c>
      <c r="WEZ6" s="27" t="str">
        <f>IFERROR(VLOOKUP(DATE($K$1,$K$2,WEZ$4),Table1[],(MATCH(Calendar!$A6,DB!1:1,0)+2),FALSE),"")</f>
        <v/>
      </c>
      <c r="WFA6" s="27" t="str">
        <f>IFERROR(VLOOKUP(DATE($K$1,$K$2,WFA$4),Table1[],(MATCH(Calendar!$A6,DB!1:1,0)+2),FALSE),"")</f>
        <v/>
      </c>
      <c r="WFB6" s="27" t="str">
        <f>IFERROR(VLOOKUP(DATE($K$1,$K$2,WFB$4),Table1[],(MATCH(Calendar!$A6,DB!1:1,0)+2),FALSE),"")</f>
        <v/>
      </c>
      <c r="WFC6" s="27" t="str">
        <f>IFERROR(VLOOKUP(DATE($K$1,$K$2,WFC$4),Table1[],(MATCH(Calendar!$A6,DB!1:1,0)+2),FALSE),"")</f>
        <v/>
      </c>
      <c r="WFD6" s="27" t="str">
        <f>IFERROR(VLOOKUP(DATE($K$1,$K$2,WFD$4),Table1[],(MATCH(Calendar!$A6,DB!1:1,0)+2),FALSE),"")</f>
        <v/>
      </c>
      <c r="WFE6" s="27" t="str">
        <f>IFERROR(VLOOKUP(DATE($K$1,$K$2,WFE$4),Table1[],(MATCH(Calendar!$A6,DB!1:1,0)+2),FALSE),"")</f>
        <v/>
      </c>
      <c r="WFF6" s="27" t="str">
        <f>IFERROR(VLOOKUP(DATE($K$1,$K$2,WFF$4),Table1[],(MATCH(Calendar!$A6,DB!1:1,0)+2),FALSE),"")</f>
        <v/>
      </c>
      <c r="WFG6" s="27" t="str">
        <f>IFERROR(VLOOKUP(DATE($K$1,$K$2,WFG$4),Table1[],(MATCH(Calendar!$A6,DB!1:1,0)+2),FALSE),"")</f>
        <v/>
      </c>
      <c r="WFH6" s="27" t="str">
        <f>IFERROR(VLOOKUP(DATE($K$1,$K$2,WFH$4),Table1[],(MATCH(Calendar!$A6,DB!1:1,0)+2),FALSE),"")</f>
        <v/>
      </c>
      <c r="WFI6" s="27" t="str">
        <f>IFERROR(VLOOKUP(DATE($K$1,$K$2,WFI$4),Table1[],(MATCH(Calendar!$A6,DB!1:1,0)+2),FALSE),"")</f>
        <v/>
      </c>
      <c r="WFJ6" s="27" t="str">
        <f>IFERROR(VLOOKUP(DATE($K$1,$K$2,WFJ$4),Table1[],(MATCH(Calendar!$A6,DB!1:1,0)+2),FALSE),"")</f>
        <v/>
      </c>
      <c r="WFK6" s="27" t="str">
        <f>IFERROR(VLOOKUP(DATE($K$1,$K$2,WFK$4),Table1[],(MATCH(Calendar!$A6,DB!1:1,0)+2),FALSE),"")</f>
        <v/>
      </c>
      <c r="WFL6" s="27" t="str">
        <f>IFERROR(VLOOKUP(DATE($K$1,$K$2,WFL$4),Table1[],(MATCH(Calendar!$A6,DB!1:1,0)+2),FALSE),"")</f>
        <v/>
      </c>
      <c r="WFM6" s="27" t="str">
        <f>IFERROR(VLOOKUP(DATE($K$1,$K$2,WFM$4),Table1[],(MATCH(Calendar!$A6,DB!1:1,0)+2),FALSE),"")</f>
        <v/>
      </c>
      <c r="WFN6" s="27" t="str">
        <f>IFERROR(VLOOKUP(DATE($K$1,$K$2,WFN$4),Table1[],(MATCH(Calendar!$A6,DB!1:1,0)+2),FALSE),"")</f>
        <v/>
      </c>
      <c r="WFO6" s="27" t="str">
        <f>IFERROR(VLOOKUP(DATE($K$1,$K$2,WFO$4),Table1[],(MATCH(Calendar!$A6,DB!1:1,0)+2),FALSE),"")</f>
        <v/>
      </c>
      <c r="WFP6" s="27" t="str">
        <f>IFERROR(VLOOKUP(DATE($K$1,$K$2,WFP$4),Table1[],(MATCH(Calendar!$A6,DB!1:1,0)+2),FALSE),"")</f>
        <v/>
      </c>
      <c r="WFQ6" s="27" t="str">
        <f>IFERROR(VLOOKUP(DATE($K$1,$K$2,WFQ$4),Table1[],(MATCH(Calendar!$A6,DB!1:1,0)+2),FALSE),"")</f>
        <v/>
      </c>
      <c r="WFR6" s="27" t="str">
        <f>IFERROR(VLOOKUP(DATE($K$1,$K$2,WFR$4),Table1[],(MATCH(Calendar!$A6,DB!1:1,0)+2),FALSE),"")</f>
        <v/>
      </c>
      <c r="WFS6" s="27" t="str">
        <f>IFERROR(VLOOKUP(DATE($K$1,$K$2,WFS$4),Table1[],(MATCH(Calendar!$A6,DB!1:1,0)+2),FALSE),"")</f>
        <v/>
      </c>
      <c r="WFT6" s="27" t="str">
        <f>IFERROR(VLOOKUP(DATE($K$1,$K$2,WFT$4),Table1[],(MATCH(Calendar!$A6,DB!1:1,0)+2),FALSE),"")</f>
        <v/>
      </c>
      <c r="WFU6" s="27" t="str">
        <f>IFERROR(VLOOKUP(DATE($K$1,$K$2,WFU$4),Table1[],(MATCH(Calendar!$A6,DB!1:1,0)+2),FALSE),"")</f>
        <v/>
      </c>
      <c r="WFV6" s="27" t="str">
        <f>IFERROR(VLOOKUP(DATE($K$1,$K$2,WFV$4),Table1[],(MATCH(Calendar!$A6,DB!1:1,0)+2),FALSE),"")</f>
        <v/>
      </c>
      <c r="WFW6" s="27" t="str">
        <f>IFERROR(VLOOKUP(DATE($K$1,$K$2,WFW$4),Table1[],(MATCH(Calendar!$A6,DB!1:1,0)+2),FALSE),"")</f>
        <v/>
      </c>
      <c r="WFX6" s="27" t="str">
        <f>IFERROR(VLOOKUP(DATE($K$1,$K$2,WFX$4),Table1[],(MATCH(Calendar!$A6,DB!1:1,0)+2),FALSE),"")</f>
        <v/>
      </c>
      <c r="WFY6" s="27" t="str">
        <f>IFERROR(VLOOKUP(DATE($K$1,$K$2,WFY$4),Table1[],(MATCH(Calendar!$A6,DB!1:1,0)+2),FALSE),"")</f>
        <v/>
      </c>
      <c r="WFZ6" s="27" t="str">
        <f>IFERROR(VLOOKUP(DATE($K$1,$K$2,WFZ$4),Table1[],(MATCH(Calendar!$A6,DB!1:1,0)+2),FALSE),"")</f>
        <v/>
      </c>
      <c r="WGA6" s="27" t="str">
        <f>IFERROR(VLOOKUP(DATE($K$1,$K$2,WGA$4),Table1[],(MATCH(Calendar!$A6,DB!1:1,0)+2),FALSE),"")</f>
        <v/>
      </c>
      <c r="WGB6" s="27" t="str">
        <f>IFERROR(VLOOKUP(DATE($K$1,$K$2,WGB$4),Table1[],(MATCH(Calendar!$A6,DB!1:1,0)+2),FALSE),"")</f>
        <v/>
      </c>
      <c r="WGC6" s="27" t="str">
        <f>IFERROR(VLOOKUP(DATE($K$1,$K$2,WGC$4),Table1[],(MATCH(Calendar!$A6,DB!1:1,0)+2),FALSE),"")</f>
        <v/>
      </c>
      <c r="WGD6" s="27" t="str">
        <f>IFERROR(VLOOKUP(DATE($K$1,$K$2,WGD$4),Table1[],(MATCH(Calendar!$A6,DB!1:1,0)+2),FALSE),"")</f>
        <v/>
      </c>
      <c r="WGE6" s="27" t="str">
        <f>IFERROR(VLOOKUP(DATE($K$1,$K$2,WGE$4),Table1[],(MATCH(Calendar!$A6,DB!1:1,0)+2),FALSE),"")</f>
        <v/>
      </c>
      <c r="WGF6" s="27" t="str">
        <f>IFERROR(VLOOKUP(DATE($K$1,$K$2,WGF$4),Table1[],(MATCH(Calendar!$A6,DB!1:1,0)+2),FALSE),"")</f>
        <v/>
      </c>
      <c r="WGG6" s="27" t="str">
        <f>IFERROR(VLOOKUP(DATE($K$1,$K$2,WGG$4),Table1[],(MATCH(Calendar!$A6,DB!1:1,0)+2),FALSE),"")</f>
        <v/>
      </c>
      <c r="WGH6" s="27" t="str">
        <f>IFERROR(VLOOKUP(DATE($K$1,$K$2,WGH$4),Table1[],(MATCH(Calendar!$A6,DB!1:1,0)+2),FALSE),"")</f>
        <v/>
      </c>
      <c r="WGI6" s="27" t="str">
        <f>IFERROR(VLOOKUP(DATE($K$1,$K$2,WGI$4),Table1[],(MATCH(Calendar!$A6,DB!1:1,0)+2),FALSE),"")</f>
        <v/>
      </c>
      <c r="WGJ6" s="27" t="str">
        <f>IFERROR(VLOOKUP(DATE($K$1,$K$2,WGJ$4),Table1[],(MATCH(Calendar!$A6,DB!1:1,0)+2),FALSE),"")</f>
        <v/>
      </c>
      <c r="WGK6" s="27" t="str">
        <f>IFERROR(VLOOKUP(DATE($K$1,$K$2,WGK$4),Table1[],(MATCH(Calendar!$A6,DB!1:1,0)+2),FALSE),"")</f>
        <v/>
      </c>
      <c r="WGL6" s="27" t="str">
        <f>IFERROR(VLOOKUP(DATE($K$1,$K$2,WGL$4),Table1[],(MATCH(Calendar!$A6,DB!1:1,0)+2),FALSE),"")</f>
        <v/>
      </c>
      <c r="WGM6" s="27" t="str">
        <f>IFERROR(VLOOKUP(DATE($K$1,$K$2,WGM$4),Table1[],(MATCH(Calendar!$A6,DB!1:1,0)+2),FALSE),"")</f>
        <v/>
      </c>
      <c r="WGN6" s="27" t="str">
        <f>IFERROR(VLOOKUP(DATE($K$1,$K$2,WGN$4),Table1[],(MATCH(Calendar!$A6,DB!1:1,0)+2),FALSE),"")</f>
        <v/>
      </c>
      <c r="WGO6" s="27" t="str">
        <f>IFERROR(VLOOKUP(DATE($K$1,$K$2,WGO$4),Table1[],(MATCH(Calendar!$A6,DB!1:1,0)+2),FALSE),"")</f>
        <v/>
      </c>
      <c r="WGP6" s="27" t="str">
        <f>IFERROR(VLOOKUP(DATE($K$1,$K$2,WGP$4),Table1[],(MATCH(Calendar!$A6,DB!1:1,0)+2),FALSE),"")</f>
        <v/>
      </c>
      <c r="WGQ6" s="27" t="str">
        <f>IFERROR(VLOOKUP(DATE($K$1,$K$2,WGQ$4),Table1[],(MATCH(Calendar!$A6,DB!1:1,0)+2),FALSE),"")</f>
        <v/>
      </c>
      <c r="WGR6" s="27" t="str">
        <f>IFERROR(VLOOKUP(DATE($K$1,$K$2,WGR$4),Table1[],(MATCH(Calendar!$A6,DB!1:1,0)+2),FALSE),"")</f>
        <v/>
      </c>
      <c r="WGS6" s="27" t="str">
        <f>IFERROR(VLOOKUP(DATE($K$1,$K$2,WGS$4),Table1[],(MATCH(Calendar!$A6,DB!1:1,0)+2),FALSE),"")</f>
        <v/>
      </c>
      <c r="WGT6" s="27" t="str">
        <f>IFERROR(VLOOKUP(DATE($K$1,$K$2,WGT$4),Table1[],(MATCH(Calendar!$A6,DB!1:1,0)+2),FALSE),"")</f>
        <v/>
      </c>
      <c r="WGU6" s="27" t="str">
        <f>IFERROR(VLOOKUP(DATE($K$1,$K$2,WGU$4),Table1[],(MATCH(Calendar!$A6,DB!1:1,0)+2),FALSE),"")</f>
        <v/>
      </c>
      <c r="WGV6" s="27" t="str">
        <f>IFERROR(VLOOKUP(DATE($K$1,$K$2,WGV$4),Table1[],(MATCH(Calendar!$A6,DB!1:1,0)+2),FALSE),"")</f>
        <v/>
      </c>
      <c r="WGW6" s="27" t="str">
        <f>IFERROR(VLOOKUP(DATE($K$1,$K$2,WGW$4),Table1[],(MATCH(Calendar!$A6,DB!1:1,0)+2),FALSE),"")</f>
        <v/>
      </c>
      <c r="WGX6" s="27" t="str">
        <f>IFERROR(VLOOKUP(DATE($K$1,$K$2,WGX$4),Table1[],(MATCH(Calendar!$A6,DB!1:1,0)+2),FALSE),"")</f>
        <v/>
      </c>
      <c r="WGY6" s="27" t="str">
        <f>IFERROR(VLOOKUP(DATE($K$1,$K$2,WGY$4),Table1[],(MATCH(Calendar!$A6,DB!1:1,0)+2),FALSE),"")</f>
        <v/>
      </c>
      <c r="WGZ6" s="27" t="str">
        <f>IFERROR(VLOOKUP(DATE($K$1,$K$2,WGZ$4),Table1[],(MATCH(Calendar!$A6,DB!1:1,0)+2),FALSE),"")</f>
        <v/>
      </c>
      <c r="WHA6" s="27" t="str">
        <f>IFERROR(VLOOKUP(DATE($K$1,$K$2,WHA$4),Table1[],(MATCH(Calendar!$A6,DB!1:1,0)+2),FALSE),"")</f>
        <v/>
      </c>
      <c r="WHB6" s="27" t="str">
        <f>IFERROR(VLOOKUP(DATE($K$1,$K$2,WHB$4),Table1[],(MATCH(Calendar!$A6,DB!1:1,0)+2),FALSE),"")</f>
        <v/>
      </c>
      <c r="WHC6" s="27" t="str">
        <f>IFERROR(VLOOKUP(DATE($K$1,$K$2,WHC$4),Table1[],(MATCH(Calendar!$A6,DB!1:1,0)+2),FALSE),"")</f>
        <v/>
      </c>
      <c r="WHD6" s="27" t="str">
        <f>IFERROR(VLOOKUP(DATE($K$1,$K$2,WHD$4),Table1[],(MATCH(Calendar!$A6,DB!1:1,0)+2),FALSE),"")</f>
        <v/>
      </c>
      <c r="WHE6" s="27" t="str">
        <f>IFERROR(VLOOKUP(DATE($K$1,$K$2,WHE$4),Table1[],(MATCH(Calendar!$A6,DB!1:1,0)+2),FALSE),"")</f>
        <v/>
      </c>
      <c r="WHF6" s="27" t="str">
        <f>IFERROR(VLOOKUP(DATE($K$1,$K$2,WHF$4),Table1[],(MATCH(Calendar!$A6,DB!1:1,0)+2),FALSE),"")</f>
        <v/>
      </c>
      <c r="WHG6" s="27" t="str">
        <f>IFERROR(VLOOKUP(DATE($K$1,$K$2,WHG$4),Table1[],(MATCH(Calendar!$A6,DB!1:1,0)+2),FALSE),"")</f>
        <v/>
      </c>
      <c r="WHH6" s="27" t="str">
        <f>IFERROR(VLOOKUP(DATE($K$1,$K$2,WHH$4),Table1[],(MATCH(Calendar!$A6,DB!1:1,0)+2),FALSE),"")</f>
        <v/>
      </c>
      <c r="WHI6" s="27" t="str">
        <f>IFERROR(VLOOKUP(DATE($K$1,$K$2,WHI$4),Table1[],(MATCH(Calendar!$A6,DB!1:1,0)+2),FALSE),"")</f>
        <v/>
      </c>
      <c r="WHJ6" s="27" t="str">
        <f>IFERROR(VLOOKUP(DATE($K$1,$K$2,WHJ$4),Table1[],(MATCH(Calendar!$A6,DB!1:1,0)+2),FALSE),"")</f>
        <v/>
      </c>
      <c r="WHK6" s="27" t="str">
        <f>IFERROR(VLOOKUP(DATE($K$1,$K$2,WHK$4),Table1[],(MATCH(Calendar!$A6,DB!1:1,0)+2),FALSE),"")</f>
        <v/>
      </c>
      <c r="WHL6" s="27" t="str">
        <f>IFERROR(VLOOKUP(DATE($K$1,$K$2,WHL$4),Table1[],(MATCH(Calendar!$A6,DB!1:1,0)+2),FALSE),"")</f>
        <v/>
      </c>
      <c r="WHM6" s="27" t="str">
        <f>IFERROR(VLOOKUP(DATE($K$1,$K$2,WHM$4),Table1[],(MATCH(Calendar!$A6,DB!1:1,0)+2),FALSE),"")</f>
        <v/>
      </c>
      <c r="WHN6" s="27" t="str">
        <f>IFERROR(VLOOKUP(DATE($K$1,$K$2,WHN$4),Table1[],(MATCH(Calendar!$A6,DB!1:1,0)+2),FALSE),"")</f>
        <v/>
      </c>
      <c r="WHO6" s="27" t="str">
        <f>IFERROR(VLOOKUP(DATE($K$1,$K$2,WHO$4),Table1[],(MATCH(Calendar!$A6,DB!1:1,0)+2),FALSE),"")</f>
        <v/>
      </c>
      <c r="WHP6" s="27" t="str">
        <f>IFERROR(VLOOKUP(DATE($K$1,$K$2,WHP$4),Table1[],(MATCH(Calendar!$A6,DB!1:1,0)+2),FALSE),"")</f>
        <v/>
      </c>
      <c r="WHQ6" s="27" t="str">
        <f>IFERROR(VLOOKUP(DATE($K$1,$K$2,WHQ$4),Table1[],(MATCH(Calendar!$A6,DB!1:1,0)+2),FALSE),"")</f>
        <v/>
      </c>
      <c r="WHR6" s="27" t="str">
        <f>IFERROR(VLOOKUP(DATE($K$1,$K$2,WHR$4),Table1[],(MATCH(Calendar!$A6,DB!1:1,0)+2),FALSE),"")</f>
        <v/>
      </c>
      <c r="WHS6" s="27" t="str">
        <f>IFERROR(VLOOKUP(DATE($K$1,$K$2,WHS$4),Table1[],(MATCH(Calendar!$A6,DB!1:1,0)+2),FALSE),"")</f>
        <v/>
      </c>
      <c r="WHT6" s="27" t="str">
        <f>IFERROR(VLOOKUP(DATE($K$1,$K$2,WHT$4),Table1[],(MATCH(Calendar!$A6,DB!1:1,0)+2),FALSE),"")</f>
        <v/>
      </c>
      <c r="WHU6" s="27" t="str">
        <f>IFERROR(VLOOKUP(DATE($K$1,$K$2,WHU$4),Table1[],(MATCH(Calendar!$A6,DB!1:1,0)+2),FALSE),"")</f>
        <v/>
      </c>
      <c r="WHV6" s="27" t="str">
        <f>IFERROR(VLOOKUP(DATE($K$1,$K$2,WHV$4),Table1[],(MATCH(Calendar!$A6,DB!1:1,0)+2),FALSE),"")</f>
        <v/>
      </c>
      <c r="WHW6" s="27" t="str">
        <f>IFERROR(VLOOKUP(DATE($K$1,$K$2,WHW$4),Table1[],(MATCH(Calendar!$A6,DB!1:1,0)+2),FALSE),"")</f>
        <v/>
      </c>
      <c r="WHX6" s="27" t="str">
        <f>IFERROR(VLOOKUP(DATE($K$1,$K$2,WHX$4),Table1[],(MATCH(Calendar!$A6,DB!1:1,0)+2),FALSE),"")</f>
        <v/>
      </c>
      <c r="WHY6" s="27" t="str">
        <f>IFERROR(VLOOKUP(DATE($K$1,$K$2,WHY$4),Table1[],(MATCH(Calendar!$A6,DB!1:1,0)+2),FALSE),"")</f>
        <v/>
      </c>
      <c r="WHZ6" s="27" t="str">
        <f>IFERROR(VLOOKUP(DATE($K$1,$K$2,WHZ$4),Table1[],(MATCH(Calendar!$A6,DB!1:1,0)+2),FALSE),"")</f>
        <v/>
      </c>
      <c r="WIA6" s="27" t="str">
        <f>IFERROR(VLOOKUP(DATE($K$1,$K$2,WIA$4),Table1[],(MATCH(Calendar!$A6,DB!1:1,0)+2),FALSE),"")</f>
        <v/>
      </c>
      <c r="WIB6" s="27" t="str">
        <f>IFERROR(VLOOKUP(DATE($K$1,$K$2,WIB$4),Table1[],(MATCH(Calendar!$A6,DB!1:1,0)+2),FALSE),"")</f>
        <v/>
      </c>
      <c r="WIC6" s="27" t="str">
        <f>IFERROR(VLOOKUP(DATE($K$1,$K$2,WIC$4),Table1[],(MATCH(Calendar!$A6,DB!1:1,0)+2),FALSE),"")</f>
        <v/>
      </c>
      <c r="WID6" s="27" t="str">
        <f>IFERROR(VLOOKUP(DATE($K$1,$K$2,WID$4),Table1[],(MATCH(Calendar!$A6,DB!1:1,0)+2),FALSE),"")</f>
        <v/>
      </c>
      <c r="WIE6" s="27" t="str">
        <f>IFERROR(VLOOKUP(DATE($K$1,$K$2,WIE$4),Table1[],(MATCH(Calendar!$A6,DB!1:1,0)+2),FALSE),"")</f>
        <v/>
      </c>
      <c r="WIF6" s="27" t="str">
        <f>IFERROR(VLOOKUP(DATE($K$1,$K$2,WIF$4),Table1[],(MATCH(Calendar!$A6,DB!1:1,0)+2),FALSE),"")</f>
        <v/>
      </c>
      <c r="WIG6" s="27" t="str">
        <f>IFERROR(VLOOKUP(DATE($K$1,$K$2,WIG$4),Table1[],(MATCH(Calendar!$A6,DB!1:1,0)+2),FALSE),"")</f>
        <v/>
      </c>
      <c r="WIH6" s="27" t="str">
        <f>IFERROR(VLOOKUP(DATE($K$1,$K$2,WIH$4),Table1[],(MATCH(Calendar!$A6,DB!1:1,0)+2),FALSE),"")</f>
        <v/>
      </c>
      <c r="WII6" s="27" t="str">
        <f>IFERROR(VLOOKUP(DATE($K$1,$K$2,WII$4),Table1[],(MATCH(Calendar!$A6,DB!1:1,0)+2),FALSE),"")</f>
        <v/>
      </c>
      <c r="WIJ6" s="27" t="str">
        <f>IFERROR(VLOOKUP(DATE($K$1,$K$2,WIJ$4),Table1[],(MATCH(Calendar!$A6,DB!1:1,0)+2),FALSE),"")</f>
        <v/>
      </c>
      <c r="WIK6" s="27" t="str">
        <f>IFERROR(VLOOKUP(DATE($K$1,$K$2,WIK$4),Table1[],(MATCH(Calendar!$A6,DB!1:1,0)+2),FALSE),"")</f>
        <v/>
      </c>
      <c r="WIL6" s="27" t="str">
        <f>IFERROR(VLOOKUP(DATE($K$1,$K$2,WIL$4),Table1[],(MATCH(Calendar!$A6,DB!1:1,0)+2),FALSE),"")</f>
        <v/>
      </c>
      <c r="WIM6" s="27" t="str">
        <f>IFERROR(VLOOKUP(DATE($K$1,$K$2,WIM$4),Table1[],(MATCH(Calendar!$A6,DB!1:1,0)+2),FALSE),"")</f>
        <v/>
      </c>
      <c r="WIN6" s="27" t="str">
        <f>IFERROR(VLOOKUP(DATE($K$1,$K$2,WIN$4),Table1[],(MATCH(Calendar!$A6,DB!1:1,0)+2),FALSE),"")</f>
        <v/>
      </c>
      <c r="WIO6" s="27" t="str">
        <f>IFERROR(VLOOKUP(DATE($K$1,$K$2,WIO$4),Table1[],(MATCH(Calendar!$A6,DB!1:1,0)+2),FALSE),"")</f>
        <v/>
      </c>
      <c r="WIP6" s="27" t="str">
        <f>IFERROR(VLOOKUP(DATE($K$1,$K$2,WIP$4),Table1[],(MATCH(Calendar!$A6,DB!1:1,0)+2),FALSE),"")</f>
        <v/>
      </c>
      <c r="WIQ6" s="27" t="str">
        <f>IFERROR(VLOOKUP(DATE($K$1,$K$2,WIQ$4),Table1[],(MATCH(Calendar!$A6,DB!1:1,0)+2),FALSE),"")</f>
        <v/>
      </c>
      <c r="WIR6" s="27" t="str">
        <f>IFERROR(VLOOKUP(DATE($K$1,$K$2,WIR$4),Table1[],(MATCH(Calendar!$A6,DB!1:1,0)+2),FALSE),"")</f>
        <v/>
      </c>
      <c r="WIS6" s="27" t="str">
        <f>IFERROR(VLOOKUP(DATE($K$1,$K$2,WIS$4),Table1[],(MATCH(Calendar!$A6,DB!1:1,0)+2),FALSE),"")</f>
        <v/>
      </c>
      <c r="WIT6" s="27" t="str">
        <f>IFERROR(VLOOKUP(DATE($K$1,$K$2,WIT$4),Table1[],(MATCH(Calendar!$A6,DB!1:1,0)+2),FALSE),"")</f>
        <v/>
      </c>
      <c r="WIU6" s="27" t="str">
        <f>IFERROR(VLOOKUP(DATE($K$1,$K$2,WIU$4),Table1[],(MATCH(Calendar!$A6,DB!1:1,0)+2),FALSE),"")</f>
        <v/>
      </c>
      <c r="WIV6" s="27" t="str">
        <f>IFERROR(VLOOKUP(DATE($K$1,$K$2,WIV$4),Table1[],(MATCH(Calendar!$A6,DB!1:1,0)+2),FALSE),"")</f>
        <v/>
      </c>
      <c r="WIW6" s="27" t="str">
        <f>IFERROR(VLOOKUP(DATE($K$1,$K$2,WIW$4),Table1[],(MATCH(Calendar!$A6,DB!1:1,0)+2),FALSE),"")</f>
        <v/>
      </c>
      <c r="WIX6" s="27" t="str">
        <f>IFERROR(VLOOKUP(DATE($K$1,$K$2,WIX$4),Table1[],(MATCH(Calendar!$A6,DB!1:1,0)+2),FALSE),"")</f>
        <v/>
      </c>
      <c r="WIY6" s="27" t="str">
        <f>IFERROR(VLOOKUP(DATE($K$1,$K$2,WIY$4),Table1[],(MATCH(Calendar!$A6,DB!1:1,0)+2),FALSE),"")</f>
        <v/>
      </c>
      <c r="WIZ6" s="27" t="str">
        <f>IFERROR(VLOOKUP(DATE($K$1,$K$2,WIZ$4),Table1[],(MATCH(Calendar!$A6,DB!1:1,0)+2),FALSE),"")</f>
        <v/>
      </c>
      <c r="WJA6" s="27" t="str">
        <f>IFERROR(VLOOKUP(DATE($K$1,$K$2,WJA$4),Table1[],(MATCH(Calendar!$A6,DB!1:1,0)+2),FALSE),"")</f>
        <v/>
      </c>
      <c r="WJB6" s="27" t="str">
        <f>IFERROR(VLOOKUP(DATE($K$1,$K$2,WJB$4),Table1[],(MATCH(Calendar!$A6,DB!1:1,0)+2),FALSE),"")</f>
        <v/>
      </c>
      <c r="WJC6" s="27" t="str">
        <f>IFERROR(VLOOKUP(DATE($K$1,$K$2,WJC$4),Table1[],(MATCH(Calendar!$A6,DB!1:1,0)+2),FALSE),"")</f>
        <v/>
      </c>
      <c r="WJD6" s="27" t="str">
        <f>IFERROR(VLOOKUP(DATE($K$1,$K$2,WJD$4),Table1[],(MATCH(Calendar!$A6,DB!1:1,0)+2),FALSE),"")</f>
        <v/>
      </c>
      <c r="WJE6" s="27" t="str">
        <f>IFERROR(VLOOKUP(DATE($K$1,$K$2,WJE$4),Table1[],(MATCH(Calendar!$A6,DB!1:1,0)+2),FALSE),"")</f>
        <v/>
      </c>
      <c r="WJF6" s="27" t="str">
        <f>IFERROR(VLOOKUP(DATE($K$1,$K$2,WJF$4),Table1[],(MATCH(Calendar!$A6,DB!1:1,0)+2),FALSE),"")</f>
        <v/>
      </c>
      <c r="WJG6" s="27" t="str">
        <f>IFERROR(VLOOKUP(DATE($K$1,$K$2,WJG$4),Table1[],(MATCH(Calendar!$A6,DB!1:1,0)+2),FALSE),"")</f>
        <v/>
      </c>
      <c r="WJH6" s="27" t="str">
        <f>IFERROR(VLOOKUP(DATE($K$1,$K$2,WJH$4),Table1[],(MATCH(Calendar!$A6,DB!1:1,0)+2),FALSE),"")</f>
        <v/>
      </c>
      <c r="WJI6" s="27" t="str">
        <f>IFERROR(VLOOKUP(DATE($K$1,$K$2,WJI$4),Table1[],(MATCH(Calendar!$A6,DB!1:1,0)+2),FALSE),"")</f>
        <v/>
      </c>
      <c r="WJJ6" s="27" t="str">
        <f>IFERROR(VLOOKUP(DATE($K$1,$K$2,WJJ$4),Table1[],(MATCH(Calendar!$A6,DB!1:1,0)+2),FALSE),"")</f>
        <v/>
      </c>
      <c r="WJK6" s="27" t="str">
        <f>IFERROR(VLOOKUP(DATE($K$1,$K$2,WJK$4),Table1[],(MATCH(Calendar!$A6,DB!1:1,0)+2),FALSE),"")</f>
        <v/>
      </c>
      <c r="WJL6" s="27" t="str">
        <f>IFERROR(VLOOKUP(DATE($K$1,$K$2,WJL$4),Table1[],(MATCH(Calendar!$A6,DB!1:1,0)+2),FALSE),"")</f>
        <v/>
      </c>
      <c r="WJM6" s="27" t="str">
        <f>IFERROR(VLOOKUP(DATE($K$1,$K$2,WJM$4),Table1[],(MATCH(Calendar!$A6,DB!1:1,0)+2),FALSE),"")</f>
        <v/>
      </c>
      <c r="WJN6" s="27" t="str">
        <f>IFERROR(VLOOKUP(DATE($K$1,$K$2,WJN$4),Table1[],(MATCH(Calendar!$A6,DB!1:1,0)+2),FALSE),"")</f>
        <v/>
      </c>
      <c r="WJO6" s="27" t="str">
        <f>IFERROR(VLOOKUP(DATE($K$1,$K$2,WJO$4),Table1[],(MATCH(Calendar!$A6,DB!1:1,0)+2),FALSE),"")</f>
        <v/>
      </c>
      <c r="WJP6" s="27" t="str">
        <f>IFERROR(VLOOKUP(DATE($K$1,$K$2,WJP$4),Table1[],(MATCH(Calendar!$A6,DB!1:1,0)+2),FALSE),"")</f>
        <v/>
      </c>
      <c r="WJQ6" s="27" t="str">
        <f>IFERROR(VLOOKUP(DATE($K$1,$K$2,WJQ$4),Table1[],(MATCH(Calendar!$A6,DB!1:1,0)+2),FALSE),"")</f>
        <v/>
      </c>
      <c r="WJR6" s="27" t="str">
        <f>IFERROR(VLOOKUP(DATE($K$1,$K$2,WJR$4),Table1[],(MATCH(Calendar!$A6,DB!1:1,0)+2),FALSE),"")</f>
        <v/>
      </c>
      <c r="WJS6" s="27" t="str">
        <f>IFERROR(VLOOKUP(DATE($K$1,$K$2,WJS$4),Table1[],(MATCH(Calendar!$A6,DB!1:1,0)+2),FALSE),"")</f>
        <v/>
      </c>
      <c r="WJT6" s="27" t="str">
        <f>IFERROR(VLOOKUP(DATE($K$1,$K$2,WJT$4),Table1[],(MATCH(Calendar!$A6,DB!1:1,0)+2),FALSE),"")</f>
        <v/>
      </c>
      <c r="WJU6" s="27" t="str">
        <f>IFERROR(VLOOKUP(DATE($K$1,$K$2,WJU$4),Table1[],(MATCH(Calendar!$A6,DB!1:1,0)+2),FALSE),"")</f>
        <v/>
      </c>
      <c r="WJV6" s="27" t="str">
        <f>IFERROR(VLOOKUP(DATE($K$1,$K$2,WJV$4),Table1[],(MATCH(Calendar!$A6,DB!1:1,0)+2),FALSE),"")</f>
        <v/>
      </c>
      <c r="WJW6" s="27" t="str">
        <f>IFERROR(VLOOKUP(DATE($K$1,$K$2,WJW$4),Table1[],(MATCH(Calendar!$A6,DB!1:1,0)+2),FALSE),"")</f>
        <v/>
      </c>
      <c r="WJX6" s="27" t="str">
        <f>IFERROR(VLOOKUP(DATE($K$1,$K$2,WJX$4),Table1[],(MATCH(Calendar!$A6,DB!1:1,0)+2),FALSE),"")</f>
        <v/>
      </c>
      <c r="WJY6" s="27" t="str">
        <f>IFERROR(VLOOKUP(DATE($K$1,$K$2,WJY$4),Table1[],(MATCH(Calendar!$A6,DB!1:1,0)+2),FALSE),"")</f>
        <v/>
      </c>
      <c r="WJZ6" s="27" t="str">
        <f>IFERROR(VLOOKUP(DATE($K$1,$K$2,WJZ$4),Table1[],(MATCH(Calendar!$A6,DB!1:1,0)+2),FALSE),"")</f>
        <v/>
      </c>
      <c r="WKA6" s="27" t="str">
        <f>IFERROR(VLOOKUP(DATE($K$1,$K$2,WKA$4),Table1[],(MATCH(Calendar!$A6,DB!1:1,0)+2),FALSE),"")</f>
        <v/>
      </c>
      <c r="WKB6" s="27" t="str">
        <f>IFERROR(VLOOKUP(DATE($K$1,$K$2,WKB$4),Table1[],(MATCH(Calendar!$A6,DB!1:1,0)+2),FALSE),"")</f>
        <v/>
      </c>
      <c r="WKC6" s="27" t="str">
        <f>IFERROR(VLOOKUP(DATE($K$1,$K$2,WKC$4),Table1[],(MATCH(Calendar!$A6,DB!1:1,0)+2),FALSE),"")</f>
        <v/>
      </c>
      <c r="WKD6" s="27" t="str">
        <f>IFERROR(VLOOKUP(DATE($K$1,$K$2,WKD$4),Table1[],(MATCH(Calendar!$A6,DB!1:1,0)+2),FALSE),"")</f>
        <v/>
      </c>
      <c r="WKE6" s="27" t="str">
        <f>IFERROR(VLOOKUP(DATE($K$1,$K$2,WKE$4),Table1[],(MATCH(Calendar!$A6,DB!1:1,0)+2),FALSE),"")</f>
        <v/>
      </c>
      <c r="WKF6" s="27" t="str">
        <f>IFERROR(VLOOKUP(DATE($K$1,$K$2,WKF$4),Table1[],(MATCH(Calendar!$A6,DB!1:1,0)+2),FALSE),"")</f>
        <v/>
      </c>
      <c r="WKG6" s="27" t="str">
        <f>IFERROR(VLOOKUP(DATE($K$1,$K$2,WKG$4),Table1[],(MATCH(Calendar!$A6,DB!1:1,0)+2),FALSE),"")</f>
        <v/>
      </c>
      <c r="WKH6" s="27" t="str">
        <f>IFERROR(VLOOKUP(DATE($K$1,$K$2,WKH$4),Table1[],(MATCH(Calendar!$A6,DB!1:1,0)+2),FALSE),"")</f>
        <v/>
      </c>
      <c r="WKI6" s="27" t="str">
        <f>IFERROR(VLOOKUP(DATE($K$1,$K$2,WKI$4),Table1[],(MATCH(Calendar!$A6,DB!1:1,0)+2),FALSE),"")</f>
        <v/>
      </c>
      <c r="WKJ6" s="27" t="str">
        <f>IFERROR(VLOOKUP(DATE($K$1,$K$2,WKJ$4),Table1[],(MATCH(Calendar!$A6,DB!1:1,0)+2),FALSE),"")</f>
        <v/>
      </c>
      <c r="WKK6" s="27" t="str">
        <f>IFERROR(VLOOKUP(DATE($K$1,$K$2,WKK$4),Table1[],(MATCH(Calendar!$A6,DB!1:1,0)+2),FALSE),"")</f>
        <v/>
      </c>
      <c r="WKL6" s="27" t="str">
        <f>IFERROR(VLOOKUP(DATE($K$1,$K$2,WKL$4),Table1[],(MATCH(Calendar!$A6,DB!1:1,0)+2),FALSE),"")</f>
        <v/>
      </c>
      <c r="WKM6" s="27" t="str">
        <f>IFERROR(VLOOKUP(DATE($K$1,$K$2,WKM$4),Table1[],(MATCH(Calendar!$A6,DB!1:1,0)+2),FALSE),"")</f>
        <v/>
      </c>
      <c r="WKN6" s="27" t="str">
        <f>IFERROR(VLOOKUP(DATE($K$1,$K$2,WKN$4),Table1[],(MATCH(Calendar!$A6,DB!1:1,0)+2),FALSE),"")</f>
        <v/>
      </c>
      <c r="WKO6" s="27" t="str">
        <f>IFERROR(VLOOKUP(DATE($K$1,$K$2,WKO$4),Table1[],(MATCH(Calendar!$A6,DB!1:1,0)+2),FALSE),"")</f>
        <v/>
      </c>
      <c r="WKP6" s="27" t="str">
        <f>IFERROR(VLOOKUP(DATE($K$1,$K$2,WKP$4),Table1[],(MATCH(Calendar!$A6,DB!1:1,0)+2),FALSE),"")</f>
        <v/>
      </c>
      <c r="WKQ6" s="27" t="str">
        <f>IFERROR(VLOOKUP(DATE($K$1,$K$2,WKQ$4),Table1[],(MATCH(Calendar!$A6,DB!1:1,0)+2),FALSE),"")</f>
        <v/>
      </c>
      <c r="WKR6" s="27" t="str">
        <f>IFERROR(VLOOKUP(DATE($K$1,$K$2,WKR$4),Table1[],(MATCH(Calendar!$A6,DB!1:1,0)+2),FALSE),"")</f>
        <v/>
      </c>
      <c r="WKS6" s="27" t="str">
        <f>IFERROR(VLOOKUP(DATE($K$1,$K$2,WKS$4),Table1[],(MATCH(Calendar!$A6,DB!1:1,0)+2),FALSE),"")</f>
        <v/>
      </c>
      <c r="WKT6" s="27" t="str">
        <f>IFERROR(VLOOKUP(DATE($K$1,$K$2,WKT$4),Table1[],(MATCH(Calendar!$A6,DB!1:1,0)+2),FALSE),"")</f>
        <v/>
      </c>
      <c r="WKU6" s="27" t="str">
        <f>IFERROR(VLOOKUP(DATE($K$1,$K$2,WKU$4),Table1[],(MATCH(Calendar!$A6,DB!1:1,0)+2),FALSE),"")</f>
        <v/>
      </c>
      <c r="WKV6" s="27" t="str">
        <f>IFERROR(VLOOKUP(DATE($K$1,$K$2,WKV$4),Table1[],(MATCH(Calendar!$A6,DB!1:1,0)+2),FALSE),"")</f>
        <v/>
      </c>
      <c r="WKW6" s="27" t="str">
        <f>IFERROR(VLOOKUP(DATE($K$1,$K$2,WKW$4),Table1[],(MATCH(Calendar!$A6,DB!1:1,0)+2),FALSE),"")</f>
        <v/>
      </c>
      <c r="WKX6" s="27" t="str">
        <f>IFERROR(VLOOKUP(DATE($K$1,$K$2,WKX$4),Table1[],(MATCH(Calendar!$A6,DB!1:1,0)+2),FALSE),"")</f>
        <v/>
      </c>
      <c r="WKY6" s="27" t="str">
        <f>IFERROR(VLOOKUP(DATE($K$1,$K$2,WKY$4),Table1[],(MATCH(Calendar!$A6,DB!1:1,0)+2),FALSE),"")</f>
        <v/>
      </c>
      <c r="WKZ6" s="27" t="str">
        <f>IFERROR(VLOOKUP(DATE($K$1,$K$2,WKZ$4),Table1[],(MATCH(Calendar!$A6,DB!1:1,0)+2),FALSE),"")</f>
        <v/>
      </c>
      <c r="WLA6" s="27" t="str">
        <f>IFERROR(VLOOKUP(DATE($K$1,$K$2,WLA$4),Table1[],(MATCH(Calendar!$A6,DB!1:1,0)+2),FALSE),"")</f>
        <v/>
      </c>
      <c r="WLB6" s="27" t="str">
        <f>IFERROR(VLOOKUP(DATE($K$1,$K$2,WLB$4),Table1[],(MATCH(Calendar!$A6,DB!1:1,0)+2),FALSE),"")</f>
        <v/>
      </c>
      <c r="WLC6" s="27" t="str">
        <f>IFERROR(VLOOKUP(DATE($K$1,$K$2,WLC$4),Table1[],(MATCH(Calendar!$A6,DB!1:1,0)+2),FALSE),"")</f>
        <v/>
      </c>
      <c r="WLD6" s="27" t="str">
        <f>IFERROR(VLOOKUP(DATE($K$1,$K$2,WLD$4),Table1[],(MATCH(Calendar!$A6,DB!1:1,0)+2),FALSE),"")</f>
        <v/>
      </c>
      <c r="WLE6" s="27" t="str">
        <f>IFERROR(VLOOKUP(DATE($K$1,$K$2,WLE$4),Table1[],(MATCH(Calendar!$A6,DB!1:1,0)+2),FALSE),"")</f>
        <v/>
      </c>
      <c r="WLF6" s="27" t="str">
        <f>IFERROR(VLOOKUP(DATE($K$1,$K$2,WLF$4),Table1[],(MATCH(Calendar!$A6,DB!1:1,0)+2),FALSE),"")</f>
        <v/>
      </c>
      <c r="WLG6" s="27" t="str">
        <f>IFERROR(VLOOKUP(DATE($K$1,$K$2,WLG$4),Table1[],(MATCH(Calendar!$A6,DB!1:1,0)+2),FALSE),"")</f>
        <v/>
      </c>
      <c r="WLH6" s="27" t="str">
        <f>IFERROR(VLOOKUP(DATE($K$1,$K$2,WLH$4),Table1[],(MATCH(Calendar!$A6,DB!1:1,0)+2),FALSE),"")</f>
        <v/>
      </c>
      <c r="WLI6" s="27" t="str">
        <f>IFERROR(VLOOKUP(DATE($K$1,$K$2,WLI$4),Table1[],(MATCH(Calendar!$A6,DB!1:1,0)+2),FALSE),"")</f>
        <v/>
      </c>
      <c r="WLJ6" s="27" t="str">
        <f>IFERROR(VLOOKUP(DATE($K$1,$K$2,WLJ$4),Table1[],(MATCH(Calendar!$A6,DB!1:1,0)+2),FALSE),"")</f>
        <v/>
      </c>
      <c r="WLK6" s="27" t="str">
        <f>IFERROR(VLOOKUP(DATE($K$1,$K$2,WLK$4),Table1[],(MATCH(Calendar!$A6,DB!1:1,0)+2),FALSE),"")</f>
        <v/>
      </c>
      <c r="WLL6" s="27" t="str">
        <f>IFERROR(VLOOKUP(DATE($K$1,$K$2,WLL$4),Table1[],(MATCH(Calendar!$A6,DB!1:1,0)+2),FALSE),"")</f>
        <v/>
      </c>
      <c r="WLM6" s="27" t="str">
        <f>IFERROR(VLOOKUP(DATE($K$1,$K$2,WLM$4),Table1[],(MATCH(Calendar!$A6,DB!1:1,0)+2),FALSE),"")</f>
        <v/>
      </c>
      <c r="WLN6" s="27" t="str">
        <f>IFERROR(VLOOKUP(DATE($K$1,$K$2,WLN$4),Table1[],(MATCH(Calendar!$A6,DB!1:1,0)+2),FALSE),"")</f>
        <v/>
      </c>
      <c r="WLO6" s="27" t="str">
        <f>IFERROR(VLOOKUP(DATE($K$1,$K$2,WLO$4),Table1[],(MATCH(Calendar!$A6,DB!1:1,0)+2),FALSE),"")</f>
        <v/>
      </c>
      <c r="WLP6" s="27" t="str">
        <f>IFERROR(VLOOKUP(DATE($K$1,$K$2,WLP$4),Table1[],(MATCH(Calendar!$A6,DB!1:1,0)+2),FALSE),"")</f>
        <v/>
      </c>
      <c r="WLQ6" s="27" t="str">
        <f>IFERROR(VLOOKUP(DATE($K$1,$K$2,WLQ$4),Table1[],(MATCH(Calendar!$A6,DB!1:1,0)+2),FALSE),"")</f>
        <v/>
      </c>
      <c r="WLR6" s="27" t="str">
        <f>IFERROR(VLOOKUP(DATE($K$1,$K$2,WLR$4),Table1[],(MATCH(Calendar!$A6,DB!1:1,0)+2),FALSE),"")</f>
        <v/>
      </c>
      <c r="WLS6" s="27" t="str">
        <f>IFERROR(VLOOKUP(DATE($K$1,$K$2,WLS$4),Table1[],(MATCH(Calendar!$A6,DB!1:1,0)+2),FALSE),"")</f>
        <v/>
      </c>
      <c r="WLT6" s="27" t="str">
        <f>IFERROR(VLOOKUP(DATE($K$1,$K$2,WLT$4),Table1[],(MATCH(Calendar!$A6,DB!1:1,0)+2),FALSE),"")</f>
        <v/>
      </c>
      <c r="WLU6" s="27" t="str">
        <f>IFERROR(VLOOKUP(DATE($K$1,$K$2,WLU$4),Table1[],(MATCH(Calendar!$A6,DB!1:1,0)+2),FALSE),"")</f>
        <v/>
      </c>
      <c r="WLV6" s="27" t="str">
        <f>IFERROR(VLOOKUP(DATE($K$1,$K$2,WLV$4),Table1[],(MATCH(Calendar!$A6,DB!1:1,0)+2),FALSE),"")</f>
        <v/>
      </c>
      <c r="WLW6" s="27" t="str">
        <f>IFERROR(VLOOKUP(DATE($K$1,$K$2,WLW$4),Table1[],(MATCH(Calendar!$A6,DB!1:1,0)+2),FALSE),"")</f>
        <v/>
      </c>
      <c r="WLX6" s="27" t="str">
        <f>IFERROR(VLOOKUP(DATE($K$1,$K$2,WLX$4),Table1[],(MATCH(Calendar!$A6,DB!1:1,0)+2),FALSE),"")</f>
        <v/>
      </c>
      <c r="WLY6" s="27" t="str">
        <f>IFERROR(VLOOKUP(DATE($K$1,$K$2,WLY$4),Table1[],(MATCH(Calendar!$A6,DB!1:1,0)+2),FALSE),"")</f>
        <v/>
      </c>
      <c r="WLZ6" s="27" t="str">
        <f>IFERROR(VLOOKUP(DATE($K$1,$K$2,WLZ$4),Table1[],(MATCH(Calendar!$A6,DB!1:1,0)+2),FALSE),"")</f>
        <v/>
      </c>
      <c r="WMA6" s="27" t="str">
        <f>IFERROR(VLOOKUP(DATE($K$1,$K$2,WMA$4),Table1[],(MATCH(Calendar!$A6,DB!1:1,0)+2),FALSE),"")</f>
        <v/>
      </c>
      <c r="WMB6" s="27" t="str">
        <f>IFERROR(VLOOKUP(DATE($K$1,$K$2,WMB$4),Table1[],(MATCH(Calendar!$A6,DB!1:1,0)+2),FALSE),"")</f>
        <v/>
      </c>
      <c r="WMC6" s="27" t="str">
        <f>IFERROR(VLOOKUP(DATE($K$1,$K$2,WMC$4),Table1[],(MATCH(Calendar!$A6,DB!1:1,0)+2),FALSE),"")</f>
        <v/>
      </c>
      <c r="WMD6" s="27" t="str">
        <f>IFERROR(VLOOKUP(DATE($K$1,$K$2,WMD$4),Table1[],(MATCH(Calendar!$A6,DB!1:1,0)+2),FALSE),"")</f>
        <v/>
      </c>
      <c r="WME6" s="27" t="str">
        <f>IFERROR(VLOOKUP(DATE($K$1,$K$2,WME$4),Table1[],(MATCH(Calendar!$A6,DB!1:1,0)+2),FALSE),"")</f>
        <v/>
      </c>
      <c r="WMF6" s="27" t="str">
        <f>IFERROR(VLOOKUP(DATE($K$1,$K$2,WMF$4),Table1[],(MATCH(Calendar!$A6,DB!1:1,0)+2),FALSE),"")</f>
        <v/>
      </c>
      <c r="WMG6" s="27" t="str">
        <f>IFERROR(VLOOKUP(DATE($K$1,$K$2,WMG$4),Table1[],(MATCH(Calendar!$A6,DB!1:1,0)+2),FALSE),"")</f>
        <v/>
      </c>
      <c r="WMH6" s="27" t="str">
        <f>IFERROR(VLOOKUP(DATE($K$1,$K$2,WMH$4),Table1[],(MATCH(Calendar!$A6,DB!1:1,0)+2),FALSE),"")</f>
        <v/>
      </c>
      <c r="WMI6" s="27" t="str">
        <f>IFERROR(VLOOKUP(DATE($K$1,$K$2,WMI$4),Table1[],(MATCH(Calendar!$A6,DB!1:1,0)+2),FALSE),"")</f>
        <v/>
      </c>
      <c r="WMJ6" s="27" t="str">
        <f>IFERROR(VLOOKUP(DATE($K$1,$K$2,WMJ$4),Table1[],(MATCH(Calendar!$A6,DB!1:1,0)+2),FALSE),"")</f>
        <v/>
      </c>
      <c r="WMK6" s="27" t="str">
        <f>IFERROR(VLOOKUP(DATE($K$1,$K$2,WMK$4),Table1[],(MATCH(Calendar!$A6,DB!1:1,0)+2),FALSE),"")</f>
        <v/>
      </c>
      <c r="WML6" s="27" t="str">
        <f>IFERROR(VLOOKUP(DATE($K$1,$K$2,WML$4),Table1[],(MATCH(Calendar!$A6,DB!1:1,0)+2),FALSE),"")</f>
        <v/>
      </c>
      <c r="WMM6" s="27" t="str">
        <f>IFERROR(VLOOKUP(DATE($K$1,$K$2,WMM$4),Table1[],(MATCH(Calendar!$A6,DB!1:1,0)+2),FALSE),"")</f>
        <v/>
      </c>
      <c r="WMN6" s="27" t="str">
        <f>IFERROR(VLOOKUP(DATE($K$1,$K$2,WMN$4),Table1[],(MATCH(Calendar!$A6,DB!1:1,0)+2),FALSE),"")</f>
        <v/>
      </c>
      <c r="WMO6" s="27" t="str">
        <f>IFERROR(VLOOKUP(DATE($K$1,$K$2,WMO$4),Table1[],(MATCH(Calendar!$A6,DB!1:1,0)+2),FALSE),"")</f>
        <v/>
      </c>
      <c r="WMP6" s="27" t="str">
        <f>IFERROR(VLOOKUP(DATE($K$1,$K$2,WMP$4),Table1[],(MATCH(Calendar!$A6,DB!1:1,0)+2),FALSE),"")</f>
        <v/>
      </c>
      <c r="WMQ6" s="27" t="str">
        <f>IFERROR(VLOOKUP(DATE($K$1,$K$2,WMQ$4),Table1[],(MATCH(Calendar!$A6,DB!1:1,0)+2),FALSE),"")</f>
        <v/>
      </c>
      <c r="WMR6" s="27" t="str">
        <f>IFERROR(VLOOKUP(DATE($K$1,$K$2,WMR$4),Table1[],(MATCH(Calendar!$A6,DB!1:1,0)+2),FALSE),"")</f>
        <v/>
      </c>
      <c r="WMS6" s="27" t="str">
        <f>IFERROR(VLOOKUP(DATE($K$1,$K$2,WMS$4),Table1[],(MATCH(Calendar!$A6,DB!1:1,0)+2),FALSE),"")</f>
        <v/>
      </c>
      <c r="WMT6" s="27" t="str">
        <f>IFERROR(VLOOKUP(DATE($K$1,$K$2,WMT$4),Table1[],(MATCH(Calendar!$A6,DB!1:1,0)+2),FALSE),"")</f>
        <v/>
      </c>
      <c r="WMU6" s="27" t="str">
        <f>IFERROR(VLOOKUP(DATE($K$1,$K$2,WMU$4),Table1[],(MATCH(Calendar!$A6,DB!1:1,0)+2),FALSE),"")</f>
        <v/>
      </c>
      <c r="WMV6" s="27" t="str">
        <f>IFERROR(VLOOKUP(DATE($K$1,$K$2,WMV$4),Table1[],(MATCH(Calendar!$A6,DB!1:1,0)+2),FALSE),"")</f>
        <v/>
      </c>
      <c r="WMW6" s="27" t="str">
        <f>IFERROR(VLOOKUP(DATE($K$1,$K$2,WMW$4),Table1[],(MATCH(Calendar!$A6,DB!1:1,0)+2),FALSE),"")</f>
        <v/>
      </c>
      <c r="WMX6" s="27" t="str">
        <f>IFERROR(VLOOKUP(DATE($K$1,$K$2,WMX$4),Table1[],(MATCH(Calendar!$A6,DB!1:1,0)+2),FALSE),"")</f>
        <v/>
      </c>
      <c r="WMY6" s="27" t="str">
        <f>IFERROR(VLOOKUP(DATE($K$1,$K$2,WMY$4),Table1[],(MATCH(Calendar!$A6,DB!1:1,0)+2),FALSE),"")</f>
        <v/>
      </c>
      <c r="WMZ6" s="27" t="str">
        <f>IFERROR(VLOOKUP(DATE($K$1,$K$2,WMZ$4),Table1[],(MATCH(Calendar!$A6,DB!1:1,0)+2),FALSE),"")</f>
        <v/>
      </c>
      <c r="WNA6" s="27" t="str">
        <f>IFERROR(VLOOKUP(DATE($K$1,$K$2,WNA$4),Table1[],(MATCH(Calendar!$A6,DB!1:1,0)+2),FALSE),"")</f>
        <v/>
      </c>
      <c r="WNB6" s="27" t="str">
        <f>IFERROR(VLOOKUP(DATE($K$1,$K$2,WNB$4),Table1[],(MATCH(Calendar!$A6,DB!1:1,0)+2),FALSE),"")</f>
        <v/>
      </c>
      <c r="WNC6" s="27" t="str">
        <f>IFERROR(VLOOKUP(DATE($K$1,$K$2,WNC$4),Table1[],(MATCH(Calendar!$A6,DB!1:1,0)+2),FALSE),"")</f>
        <v/>
      </c>
      <c r="WND6" s="27" t="str">
        <f>IFERROR(VLOOKUP(DATE($K$1,$K$2,WND$4),Table1[],(MATCH(Calendar!$A6,DB!1:1,0)+2),FALSE),"")</f>
        <v/>
      </c>
      <c r="WNE6" s="27" t="str">
        <f>IFERROR(VLOOKUP(DATE($K$1,$K$2,WNE$4),Table1[],(MATCH(Calendar!$A6,DB!1:1,0)+2),FALSE),"")</f>
        <v/>
      </c>
      <c r="WNF6" s="27" t="str">
        <f>IFERROR(VLOOKUP(DATE($K$1,$K$2,WNF$4),Table1[],(MATCH(Calendar!$A6,DB!1:1,0)+2),FALSE),"")</f>
        <v/>
      </c>
      <c r="WNG6" s="27" t="str">
        <f>IFERROR(VLOOKUP(DATE($K$1,$K$2,WNG$4),Table1[],(MATCH(Calendar!$A6,DB!1:1,0)+2),FALSE),"")</f>
        <v/>
      </c>
      <c r="WNH6" s="27" t="str">
        <f>IFERROR(VLOOKUP(DATE($K$1,$K$2,WNH$4),Table1[],(MATCH(Calendar!$A6,DB!1:1,0)+2),FALSE),"")</f>
        <v/>
      </c>
      <c r="WNI6" s="27" t="str">
        <f>IFERROR(VLOOKUP(DATE($K$1,$K$2,WNI$4),Table1[],(MATCH(Calendar!$A6,DB!1:1,0)+2),FALSE),"")</f>
        <v/>
      </c>
      <c r="WNJ6" s="27" t="str">
        <f>IFERROR(VLOOKUP(DATE($K$1,$K$2,WNJ$4),Table1[],(MATCH(Calendar!$A6,DB!1:1,0)+2),FALSE),"")</f>
        <v/>
      </c>
      <c r="WNK6" s="27" t="str">
        <f>IFERROR(VLOOKUP(DATE($K$1,$K$2,WNK$4),Table1[],(MATCH(Calendar!$A6,DB!1:1,0)+2),FALSE),"")</f>
        <v/>
      </c>
      <c r="WNL6" s="27" t="str">
        <f>IFERROR(VLOOKUP(DATE($K$1,$K$2,WNL$4),Table1[],(MATCH(Calendar!$A6,DB!1:1,0)+2),FALSE),"")</f>
        <v/>
      </c>
      <c r="WNM6" s="27" t="str">
        <f>IFERROR(VLOOKUP(DATE($K$1,$K$2,WNM$4),Table1[],(MATCH(Calendar!$A6,DB!1:1,0)+2),FALSE),"")</f>
        <v/>
      </c>
      <c r="WNN6" s="27" t="str">
        <f>IFERROR(VLOOKUP(DATE($K$1,$K$2,WNN$4),Table1[],(MATCH(Calendar!$A6,DB!1:1,0)+2),FALSE),"")</f>
        <v/>
      </c>
      <c r="WNO6" s="27" t="str">
        <f>IFERROR(VLOOKUP(DATE($K$1,$K$2,WNO$4),Table1[],(MATCH(Calendar!$A6,DB!1:1,0)+2),FALSE),"")</f>
        <v/>
      </c>
      <c r="WNP6" s="27" t="str">
        <f>IFERROR(VLOOKUP(DATE($K$1,$K$2,WNP$4),Table1[],(MATCH(Calendar!$A6,DB!1:1,0)+2),FALSE),"")</f>
        <v/>
      </c>
      <c r="WNQ6" s="27" t="str">
        <f>IFERROR(VLOOKUP(DATE($K$1,$K$2,WNQ$4),Table1[],(MATCH(Calendar!$A6,DB!1:1,0)+2),FALSE),"")</f>
        <v/>
      </c>
      <c r="WNR6" s="27" t="str">
        <f>IFERROR(VLOOKUP(DATE($K$1,$K$2,WNR$4),Table1[],(MATCH(Calendar!$A6,DB!1:1,0)+2),FALSE),"")</f>
        <v/>
      </c>
      <c r="WNS6" s="27" t="str">
        <f>IFERROR(VLOOKUP(DATE($K$1,$K$2,WNS$4),Table1[],(MATCH(Calendar!$A6,DB!1:1,0)+2),FALSE),"")</f>
        <v/>
      </c>
      <c r="WNT6" s="27" t="str">
        <f>IFERROR(VLOOKUP(DATE($K$1,$K$2,WNT$4),Table1[],(MATCH(Calendar!$A6,DB!1:1,0)+2),FALSE),"")</f>
        <v/>
      </c>
      <c r="WNU6" s="27" t="str">
        <f>IFERROR(VLOOKUP(DATE($K$1,$K$2,WNU$4),Table1[],(MATCH(Calendar!$A6,DB!1:1,0)+2),FALSE),"")</f>
        <v/>
      </c>
      <c r="WNV6" s="27" t="str">
        <f>IFERROR(VLOOKUP(DATE($K$1,$K$2,WNV$4),Table1[],(MATCH(Calendar!$A6,DB!1:1,0)+2),FALSE),"")</f>
        <v/>
      </c>
      <c r="WNW6" s="27" t="str">
        <f>IFERROR(VLOOKUP(DATE($K$1,$K$2,WNW$4),Table1[],(MATCH(Calendar!$A6,DB!1:1,0)+2),FALSE),"")</f>
        <v/>
      </c>
      <c r="WNX6" s="27" t="str">
        <f>IFERROR(VLOOKUP(DATE($K$1,$K$2,WNX$4),Table1[],(MATCH(Calendar!$A6,DB!1:1,0)+2),FALSE),"")</f>
        <v/>
      </c>
      <c r="WNY6" s="27" t="str">
        <f>IFERROR(VLOOKUP(DATE($K$1,$K$2,WNY$4),Table1[],(MATCH(Calendar!$A6,DB!1:1,0)+2),FALSE),"")</f>
        <v/>
      </c>
      <c r="WNZ6" s="27" t="str">
        <f>IFERROR(VLOOKUP(DATE($K$1,$K$2,WNZ$4),Table1[],(MATCH(Calendar!$A6,DB!1:1,0)+2),FALSE),"")</f>
        <v/>
      </c>
      <c r="WOA6" s="27" t="str">
        <f>IFERROR(VLOOKUP(DATE($K$1,$K$2,WOA$4),Table1[],(MATCH(Calendar!$A6,DB!1:1,0)+2),FALSE),"")</f>
        <v/>
      </c>
      <c r="WOB6" s="27" t="str">
        <f>IFERROR(VLOOKUP(DATE($K$1,$K$2,WOB$4),Table1[],(MATCH(Calendar!$A6,DB!1:1,0)+2),FALSE),"")</f>
        <v/>
      </c>
      <c r="WOC6" s="27" t="str">
        <f>IFERROR(VLOOKUP(DATE($K$1,$K$2,WOC$4),Table1[],(MATCH(Calendar!$A6,DB!1:1,0)+2),FALSE),"")</f>
        <v/>
      </c>
      <c r="WOD6" s="27" t="str">
        <f>IFERROR(VLOOKUP(DATE($K$1,$K$2,WOD$4),Table1[],(MATCH(Calendar!$A6,DB!1:1,0)+2),FALSE),"")</f>
        <v/>
      </c>
      <c r="WOE6" s="27" t="str">
        <f>IFERROR(VLOOKUP(DATE($K$1,$K$2,WOE$4),Table1[],(MATCH(Calendar!$A6,DB!1:1,0)+2),FALSE),"")</f>
        <v/>
      </c>
      <c r="WOF6" s="27" t="str">
        <f>IFERROR(VLOOKUP(DATE($K$1,$K$2,WOF$4),Table1[],(MATCH(Calendar!$A6,DB!1:1,0)+2),FALSE),"")</f>
        <v/>
      </c>
      <c r="WOG6" s="27" t="str">
        <f>IFERROR(VLOOKUP(DATE($K$1,$K$2,WOG$4),Table1[],(MATCH(Calendar!$A6,DB!1:1,0)+2),FALSE),"")</f>
        <v/>
      </c>
      <c r="WOH6" s="27" t="str">
        <f>IFERROR(VLOOKUP(DATE($K$1,$K$2,WOH$4),Table1[],(MATCH(Calendar!$A6,DB!1:1,0)+2),FALSE),"")</f>
        <v/>
      </c>
      <c r="WOI6" s="27" t="str">
        <f>IFERROR(VLOOKUP(DATE($K$1,$K$2,WOI$4),Table1[],(MATCH(Calendar!$A6,DB!1:1,0)+2),FALSE),"")</f>
        <v/>
      </c>
      <c r="WOJ6" s="27" t="str">
        <f>IFERROR(VLOOKUP(DATE($K$1,$K$2,WOJ$4),Table1[],(MATCH(Calendar!$A6,DB!1:1,0)+2),FALSE),"")</f>
        <v/>
      </c>
      <c r="WOK6" s="27" t="str">
        <f>IFERROR(VLOOKUP(DATE($K$1,$K$2,WOK$4),Table1[],(MATCH(Calendar!$A6,DB!1:1,0)+2),FALSE),"")</f>
        <v/>
      </c>
      <c r="WOL6" s="27" t="str">
        <f>IFERROR(VLOOKUP(DATE($K$1,$K$2,WOL$4),Table1[],(MATCH(Calendar!$A6,DB!1:1,0)+2),FALSE),"")</f>
        <v/>
      </c>
      <c r="WOM6" s="27" t="str">
        <f>IFERROR(VLOOKUP(DATE($K$1,$K$2,WOM$4),Table1[],(MATCH(Calendar!$A6,DB!1:1,0)+2),FALSE),"")</f>
        <v/>
      </c>
      <c r="WON6" s="27" t="str">
        <f>IFERROR(VLOOKUP(DATE($K$1,$K$2,WON$4),Table1[],(MATCH(Calendar!$A6,DB!1:1,0)+2),FALSE),"")</f>
        <v/>
      </c>
      <c r="WOO6" s="27" t="str">
        <f>IFERROR(VLOOKUP(DATE($K$1,$K$2,WOO$4),Table1[],(MATCH(Calendar!$A6,DB!1:1,0)+2),FALSE),"")</f>
        <v/>
      </c>
      <c r="WOP6" s="27" t="str">
        <f>IFERROR(VLOOKUP(DATE($K$1,$K$2,WOP$4),Table1[],(MATCH(Calendar!$A6,DB!1:1,0)+2),FALSE),"")</f>
        <v/>
      </c>
      <c r="WOQ6" s="27" t="str">
        <f>IFERROR(VLOOKUP(DATE($K$1,$K$2,WOQ$4),Table1[],(MATCH(Calendar!$A6,DB!1:1,0)+2),FALSE),"")</f>
        <v/>
      </c>
      <c r="WOR6" s="27" t="str">
        <f>IFERROR(VLOOKUP(DATE($K$1,$K$2,WOR$4),Table1[],(MATCH(Calendar!$A6,DB!1:1,0)+2),FALSE),"")</f>
        <v/>
      </c>
      <c r="WOS6" s="27" t="str">
        <f>IFERROR(VLOOKUP(DATE($K$1,$K$2,WOS$4),Table1[],(MATCH(Calendar!$A6,DB!1:1,0)+2),FALSE),"")</f>
        <v/>
      </c>
      <c r="WOT6" s="27" t="str">
        <f>IFERROR(VLOOKUP(DATE($K$1,$K$2,WOT$4),Table1[],(MATCH(Calendar!$A6,DB!1:1,0)+2),FALSE),"")</f>
        <v/>
      </c>
      <c r="WOU6" s="27" t="str">
        <f>IFERROR(VLOOKUP(DATE($K$1,$K$2,WOU$4),Table1[],(MATCH(Calendar!$A6,DB!1:1,0)+2),FALSE),"")</f>
        <v/>
      </c>
      <c r="WOV6" s="27" t="str">
        <f>IFERROR(VLOOKUP(DATE($K$1,$K$2,WOV$4),Table1[],(MATCH(Calendar!$A6,DB!1:1,0)+2),FALSE),"")</f>
        <v/>
      </c>
      <c r="WOW6" s="27" t="str">
        <f>IFERROR(VLOOKUP(DATE($K$1,$K$2,WOW$4),Table1[],(MATCH(Calendar!$A6,DB!1:1,0)+2),FALSE),"")</f>
        <v/>
      </c>
      <c r="WOX6" s="27" t="str">
        <f>IFERROR(VLOOKUP(DATE($K$1,$K$2,WOX$4),Table1[],(MATCH(Calendar!$A6,DB!1:1,0)+2),FALSE),"")</f>
        <v/>
      </c>
      <c r="WOY6" s="27" t="str">
        <f>IFERROR(VLOOKUP(DATE($K$1,$K$2,WOY$4),Table1[],(MATCH(Calendar!$A6,DB!1:1,0)+2),FALSE),"")</f>
        <v/>
      </c>
      <c r="WOZ6" s="27" t="str">
        <f>IFERROR(VLOOKUP(DATE($K$1,$K$2,WOZ$4),Table1[],(MATCH(Calendar!$A6,DB!1:1,0)+2),FALSE),"")</f>
        <v/>
      </c>
      <c r="WPA6" s="27" t="str">
        <f>IFERROR(VLOOKUP(DATE($K$1,$K$2,WPA$4),Table1[],(MATCH(Calendar!$A6,DB!1:1,0)+2),FALSE),"")</f>
        <v/>
      </c>
      <c r="WPB6" s="27" t="str">
        <f>IFERROR(VLOOKUP(DATE($K$1,$K$2,WPB$4),Table1[],(MATCH(Calendar!$A6,DB!1:1,0)+2),FALSE),"")</f>
        <v/>
      </c>
      <c r="WPC6" s="27" t="str">
        <f>IFERROR(VLOOKUP(DATE($K$1,$K$2,WPC$4),Table1[],(MATCH(Calendar!$A6,DB!1:1,0)+2),FALSE),"")</f>
        <v/>
      </c>
      <c r="WPD6" s="27" t="str">
        <f>IFERROR(VLOOKUP(DATE($K$1,$K$2,WPD$4),Table1[],(MATCH(Calendar!$A6,DB!1:1,0)+2),FALSE),"")</f>
        <v/>
      </c>
      <c r="WPE6" s="27" t="str">
        <f>IFERROR(VLOOKUP(DATE($K$1,$K$2,WPE$4),Table1[],(MATCH(Calendar!$A6,DB!1:1,0)+2),FALSE),"")</f>
        <v/>
      </c>
      <c r="WPF6" s="27" t="str">
        <f>IFERROR(VLOOKUP(DATE($K$1,$K$2,WPF$4),Table1[],(MATCH(Calendar!$A6,DB!1:1,0)+2),FALSE),"")</f>
        <v/>
      </c>
      <c r="WPG6" s="27" t="str">
        <f>IFERROR(VLOOKUP(DATE($K$1,$K$2,WPG$4),Table1[],(MATCH(Calendar!$A6,DB!1:1,0)+2),FALSE),"")</f>
        <v/>
      </c>
      <c r="WPH6" s="27" t="str">
        <f>IFERROR(VLOOKUP(DATE($K$1,$K$2,WPH$4),Table1[],(MATCH(Calendar!$A6,DB!1:1,0)+2),FALSE),"")</f>
        <v/>
      </c>
      <c r="WPI6" s="27" t="str">
        <f>IFERROR(VLOOKUP(DATE($K$1,$K$2,WPI$4),Table1[],(MATCH(Calendar!$A6,DB!1:1,0)+2),FALSE),"")</f>
        <v/>
      </c>
      <c r="WPJ6" s="27" t="str">
        <f>IFERROR(VLOOKUP(DATE($K$1,$K$2,WPJ$4),Table1[],(MATCH(Calendar!$A6,DB!1:1,0)+2),FALSE),"")</f>
        <v/>
      </c>
      <c r="WPK6" s="27" t="str">
        <f>IFERROR(VLOOKUP(DATE($K$1,$K$2,WPK$4),Table1[],(MATCH(Calendar!$A6,DB!1:1,0)+2),FALSE),"")</f>
        <v/>
      </c>
      <c r="WPL6" s="27" t="str">
        <f>IFERROR(VLOOKUP(DATE($K$1,$K$2,WPL$4),Table1[],(MATCH(Calendar!$A6,DB!1:1,0)+2),FALSE),"")</f>
        <v/>
      </c>
      <c r="WPM6" s="27" t="str">
        <f>IFERROR(VLOOKUP(DATE($K$1,$K$2,WPM$4),Table1[],(MATCH(Calendar!$A6,DB!1:1,0)+2),FALSE),"")</f>
        <v/>
      </c>
      <c r="WPN6" s="27" t="str">
        <f>IFERROR(VLOOKUP(DATE($K$1,$K$2,WPN$4),Table1[],(MATCH(Calendar!$A6,DB!1:1,0)+2),FALSE),"")</f>
        <v/>
      </c>
      <c r="WPO6" s="27" t="str">
        <f>IFERROR(VLOOKUP(DATE($K$1,$K$2,WPO$4),Table1[],(MATCH(Calendar!$A6,DB!1:1,0)+2),FALSE),"")</f>
        <v/>
      </c>
      <c r="WPP6" s="27" t="str">
        <f>IFERROR(VLOOKUP(DATE($K$1,$K$2,WPP$4),Table1[],(MATCH(Calendar!$A6,DB!1:1,0)+2),FALSE),"")</f>
        <v/>
      </c>
      <c r="WPQ6" s="27" t="str">
        <f>IFERROR(VLOOKUP(DATE($K$1,$K$2,WPQ$4),Table1[],(MATCH(Calendar!$A6,DB!1:1,0)+2),FALSE),"")</f>
        <v/>
      </c>
      <c r="WPR6" s="27" t="str">
        <f>IFERROR(VLOOKUP(DATE($K$1,$K$2,WPR$4),Table1[],(MATCH(Calendar!$A6,DB!1:1,0)+2),FALSE),"")</f>
        <v/>
      </c>
      <c r="WPS6" s="27" t="str">
        <f>IFERROR(VLOOKUP(DATE($K$1,$K$2,WPS$4),Table1[],(MATCH(Calendar!$A6,DB!1:1,0)+2),FALSE),"")</f>
        <v/>
      </c>
      <c r="WPT6" s="27" t="str">
        <f>IFERROR(VLOOKUP(DATE($K$1,$K$2,WPT$4),Table1[],(MATCH(Calendar!$A6,DB!1:1,0)+2),FALSE),"")</f>
        <v/>
      </c>
      <c r="WPU6" s="27" t="str">
        <f>IFERROR(VLOOKUP(DATE($K$1,$K$2,WPU$4),Table1[],(MATCH(Calendar!$A6,DB!1:1,0)+2),FALSE),"")</f>
        <v/>
      </c>
      <c r="WPV6" s="27" t="str">
        <f>IFERROR(VLOOKUP(DATE($K$1,$K$2,WPV$4),Table1[],(MATCH(Calendar!$A6,DB!1:1,0)+2),FALSE),"")</f>
        <v/>
      </c>
      <c r="WPW6" s="27" t="str">
        <f>IFERROR(VLOOKUP(DATE($K$1,$K$2,WPW$4),Table1[],(MATCH(Calendar!$A6,DB!1:1,0)+2),FALSE),"")</f>
        <v/>
      </c>
      <c r="WPX6" s="27" t="str">
        <f>IFERROR(VLOOKUP(DATE($K$1,$K$2,WPX$4),Table1[],(MATCH(Calendar!$A6,DB!1:1,0)+2),FALSE),"")</f>
        <v/>
      </c>
      <c r="WPY6" s="27" t="str">
        <f>IFERROR(VLOOKUP(DATE($K$1,$K$2,WPY$4),Table1[],(MATCH(Calendar!$A6,DB!1:1,0)+2),FALSE),"")</f>
        <v/>
      </c>
      <c r="WPZ6" s="27" t="str">
        <f>IFERROR(VLOOKUP(DATE($K$1,$K$2,WPZ$4),Table1[],(MATCH(Calendar!$A6,DB!1:1,0)+2),FALSE),"")</f>
        <v/>
      </c>
      <c r="WQA6" s="27" t="str">
        <f>IFERROR(VLOOKUP(DATE($K$1,$K$2,WQA$4),Table1[],(MATCH(Calendar!$A6,DB!1:1,0)+2),FALSE),"")</f>
        <v/>
      </c>
      <c r="WQB6" s="27" t="str">
        <f>IFERROR(VLOOKUP(DATE($K$1,$K$2,WQB$4),Table1[],(MATCH(Calendar!$A6,DB!1:1,0)+2),FALSE),"")</f>
        <v/>
      </c>
      <c r="WQC6" s="27" t="str">
        <f>IFERROR(VLOOKUP(DATE($K$1,$K$2,WQC$4),Table1[],(MATCH(Calendar!$A6,DB!1:1,0)+2),FALSE),"")</f>
        <v/>
      </c>
      <c r="WQD6" s="27" t="str">
        <f>IFERROR(VLOOKUP(DATE($K$1,$K$2,WQD$4),Table1[],(MATCH(Calendar!$A6,DB!1:1,0)+2),FALSE),"")</f>
        <v/>
      </c>
      <c r="WQE6" s="27" t="str">
        <f>IFERROR(VLOOKUP(DATE($K$1,$K$2,WQE$4),Table1[],(MATCH(Calendar!$A6,DB!1:1,0)+2),FALSE),"")</f>
        <v/>
      </c>
      <c r="WQF6" s="27" t="str">
        <f>IFERROR(VLOOKUP(DATE($K$1,$K$2,WQF$4),Table1[],(MATCH(Calendar!$A6,DB!1:1,0)+2),FALSE),"")</f>
        <v/>
      </c>
      <c r="WQG6" s="27" t="str">
        <f>IFERROR(VLOOKUP(DATE($K$1,$K$2,WQG$4),Table1[],(MATCH(Calendar!$A6,DB!1:1,0)+2),FALSE),"")</f>
        <v/>
      </c>
      <c r="WQH6" s="27" t="str">
        <f>IFERROR(VLOOKUP(DATE($K$1,$K$2,WQH$4),Table1[],(MATCH(Calendar!$A6,DB!1:1,0)+2),FALSE),"")</f>
        <v/>
      </c>
      <c r="WQI6" s="27" t="str">
        <f>IFERROR(VLOOKUP(DATE($K$1,$K$2,WQI$4),Table1[],(MATCH(Calendar!$A6,DB!1:1,0)+2),FALSE),"")</f>
        <v/>
      </c>
      <c r="WQJ6" s="27" t="str">
        <f>IFERROR(VLOOKUP(DATE($K$1,$K$2,WQJ$4),Table1[],(MATCH(Calendar!$A6,DB!1:1,0)+2),FALSE),"")</f>
        <v/>
      </c>
      <c r="WQK6" s="27" t="str">
        <f>IFERROR(VLOOKUP(DATE($K$1,$K$2,WQK$4),Table1[],(MATCH(Calendar!$A6,DB!1:1,0)+2),FALSE),"")</f>
        <v/>
      </c>
      <c r="WQL6" s="27" t="str">
        <f>IFERROR(VLOOKUP(DATE($K$1,$K$2,WQL$4),Table1[],(MATCH(Calendar!$A6,DB!1:1,0)+2),FALSE),"")</f>
        <v/>
      </c>
      <c r="WQM6" s="27" t="str">
        <f>IFERROR(VLOOKUP(DATE($K$1,$K$2,WQM$4),Table1[],(MATCH(Calendar!$A6,DB!1:1,0)+2),FALSE),"")</f>
        <v/>
      </c>
      <c r="WQN6" s="27" t="str">
        <f>IFERROR(VLOOKUP(DATE($K$1,$K$2,WQN$4),Table1[],(MATCH(Calendar!$A6,DB!1:1,0)+2),FALSE),"")</f>
        <v/>
      </c>
      <c r="WQO6" s="27" t="str">
        <f>IFERROR(VLOOKUP(DATE($K$1,$K$2,WQO$4),Table1[],(MATCH(Calendar!$A6,DB!1:1,0)+2),FALSE),"")</f>
        <v/>
      </c>
      <c r="WQP6" s="27" t="str">
        <f>IFERROR(VLOOKUP(DATE($K$1,$K$2,WQP$4),Table1[],(MATCH(Calendar!$A6,DB!1:1,0)+2),FALSE),"")</f>
        <v/>
      </c>
      <c r="WQQ6" s="27" t="str">
        <f>IFERROR(VLOOKUP(DATE($K$1,$K$2,WQQ$4),Table1[],(MATCH(Calendar!$A6,DB!1:1,0)+2),FALSE),"")</f>
        <v/>
      </c>
      <c r="WQR6" s="27" t="str">
        <f>IFERROR(VLOOKUP(DATE($K$1,$K$2,WQR$4),Table1[],(MATCH(Calendar!$A6,DB!1:1,0)+2),FALSE),"")</f>
        <v/>
      </c>
      <c r="WQS6" s="27" t="str">
        <f>IFERROR(VLOOKUP(DATE($K$1,$K$2,WQS$4),Table1[],(MATCH(Calendar!$A6,DB!1:1,0)+2),FALSE),"")</f>
        <v/>
      </c>
      <c r="WQT6" s="27" t="str">
        <f>IFERROR(VLOOKUP(DATE($K$1,$K$2,WQT$4),Table1[],(MATCH(Calendar!$A6,DB!1:1,0)+2),FALSE),"")</f>
        <v/>
      </c>
      <c r="WQU6" s="27" t="str">
        <f>IFERROR(VLOOKUP(DATE($K$1,$K$2,WQU$4),Table1[],(MATCH(Calendar!$A6,DB!1:1,0)+2),FALSE),"")</f>
        <v/>
      </c>
      <c r="WQV6" s="27" t="str">
        <f>IFERROR(VLOOKUP(DATE($K$1,$K$2,WQV$4),Table1[],(MATCH(Calendar!$A6,DB!1:1,0)+2),FALSE),"")</f>
        <v/>
      </c>
      <c r="WQW6" s="27" t="str">
        <f>IFERROR(VLOOKUP(DATE($K$1,$K$2,WQW$4),Table1[],(MATCH(Calendar!$A6,DB!1:1,0)+2),FALSE),"")</f>
        <v/>
      </c>
      <c r="WQX6" s="27" t="str">
        <f>IFERROR(VLOOKUP(DATE($K$1,$K$2,WQX$4),Table1[],(MATCH(Calendar!$A6,DB!1:1,0)+2),FALSE),"")</f>
        <v/>
      </c>
      <c r="WQY6" s="27" t="str">
        <f>IFERROR(VLOOKUP(DATE($K$1,$K$2,WQY$4),Table1[],(MATCH(Calendar!$A6,DB!1:1,0)+2),FALSE),"")</f>
        <v/>
      </c>
      <c r="WQZ6" s="27" t="str">
        <f>IFERROR(VLOOKUP(DATE($K$1,$K$2,WQZ$4),Table1[],(MATCH(Calendar!$A6,DB!1:1,0)+2),FALSE),"")</f>
        <v/>
      </c>
      <c r="WRA6" s="27" t="str">
        <f>IFERROR(VLOOKUP(DATE($K$1,$K$2,WRA$4),Table1[],(MATCH(Calendar!$A6,DB!1:1,0)+2),FALSE),"")</f>
        <v/>
      </c>
      <c r="WRB6" s="27" t="str">
        <f>IFERROR(VLOOKUP(DATE($K$1,$K$2,WRB$4),Table1[],(MATCH(Calendar!$A6,DB!1:1,0)+2),FALSE),"")</f>
        <v/>
      </c>
      <c r="WRC6" s="27" t="str">
        <f>IFERROR(VLOOKUP(DATE($K$1,$K$2,WRC$4),Table1[],(MATCH(Calendar!$A6,DB!1:1,0)+2),FALSE),"")</f>
        <v/>
      </c>
      <c r="WRD6" s="27" t="str">
        <f>IFERROR(VLOOKUP(DATE($K$1,$K$2,WRD$4),Table1[],(MATCH(Calendar!$A6,DB!1:1,0)+2),FALSE),"")</f>
        <v/>
      </c>
      <c r="WRE6" s="27" t="str">
        <f>IFERROR(VLOOKUP(DATE($K$1,$K$2,WRE$4),Table1[],(MATCH(Calendar!$A6,DB!1:1,0)+2),FALSE),"")</f>
        <v/>
      </c>
      <c r="WRF6" s="27" t="str">
        <f>IFERROR(VLOOKUP(DATE($K$1,$K$2,WRF$4),Table1[],(MATCH(Calendar!$A6,DB!1:1,0)+2),FALSE),"")</f>
        <v/>
      </c>
      <c r="WRG6" s="27" t="str">
        <f>IFERROR(VLOOKUP(DATE($K$1,$K$2,WRG$4),Table1[],(MATCH(Calendar!$A6,DB!1:1,0)+2),FALSE),"")</f>
        <v/>
      </c>
      <c r="WRH6" s="27" t="str">
        <f>IFERROR(VLOOKUP(DATE($K$1,$K$2,WRH$4),Table1[],(MATCH(Calendar!$A6,DB!1:1,0)+2),FALSE),"")</f>
        <v/>
      </c>
      <c r="WRI6" s="27" t="str">
        <f>IFERROR(VLOOKUP(DATE($K$1,$K$2,WRI$4),Table1[],(MATCH(Calendar!$A6,DB!1:1,0)+2),FALSE),"")</f>
        <v/>
      </c>
      <c r="WRJ6" s="27" t="str">
        <f>IFERROR(VLOOKUP(DATE($K$1,$K$2,WRJ$4),Table1[],(MATCH(Calendar!$A6,DB!1:1,0)+2),FALSE),"")</f>
        <v/>
      </c>
      <c r="WRK6" s="27" t="str">
        <f>IFERROR(VLOOKUP(DATE($K$1,$K$2,WRK$4),Table1[],(MATCH(Calendar!$A6,DB!1:1,0)+2),FALSE),"")</f>
        <v/>
      </c>
      <c r="WRL6" s="27" t="str">
        <f>IFERROR(VLOOKUP(DATE($K$1,$K$2,WRL$4),Table1[],(MATCH(Calendar!$A6,DB!1:1,0)+2),FALSE),"")</f>
        <v/>
      </c>
      <c r="WRM6" s="27" t="str">
        <f>IFERROR(VLOOKUP(DATE($K$1,$K$2,WRM$4),Table1[],(MATCH(Calendar!$A6,DB!1:1,0)+2),FALSE),"")</f>
        <v/>
      </c>
      <c r="WRN6" s="27" t="str">
        <f>IFERROR(VLOOKUP(DATE($K$1,$K$2,WRN$4),Table1[],(MATCH(Calendar!$A6,DB!1:1,0)+2),FALSE),"")</f>
        <v/>
      </c>
      <c r="WRO6" s="27" t="str">
        <f>IFERROR(VLOOKUP(DATE($K$1,$K$2,WRO$4),Table1[],(MATCH(Calendar!$A6,DB!1:1,0)+2),FALSE),"")</f>
        <v/>
      </c>
      <c r="WRP6" s="27" t="str">
        <f>IFERROR(VLOOKUP(DATE($K$1,$K$2,WRP$4),Table1[],(MATCH(Calendar!$A6,DB!1:1,0)+2),FALSE),"")</f>
        <v/>
      </c>
      <c r="WRQ6" s="27" t="str">
        <f>IFERROR(VLOOKUP(DATE($K$1,$K$2,WRQ$4),Table1[],(MATCH(Calendar!$A6,DB!1:1,0)+2),FALSE),"")</f>
        <v/>
      </c>
      <c r="WRR6" s="27" t="str">
        <f>IFERROR(VLOOKUP(DATE($K$1,$K$2,WRR$4),Table1[],(MATCH(Calendar!$A6,DB!1:1,0)+2),FALSE),"")</f>
        <v/>
      </c>
      <c r="WRS6" s="27" t="str">
        <f>IFERROR(VLOOKUP(DATE($K$1,$K$2,WRS$4),Table1[],(MATCH(Calendar!$A6,DB!1:1,0)+2),FALSE),"")</f>
        <v/>
      </c>
      <c r="WRT6" s="27" t="str">
        <f>IFERROR(VLOOKUP(DATE($K$1,$K$2,WRT$4),Table1[],(MATCH(Calendar!$A6,DB!1:1,0)+2),FALSE),"")</f>
        <v/>
      </c>
      <c r="WRU6" s="27" t="str">
        <f>IFERROR(VLOOKUP(DATE($K$1,$K$2,WRU$4),Table1[],(MATCH(Calendar!$A6,DB!1:1,0)+2),FALSE),"")</f>
        <v/>
      </c>
      <c r="WRV6" s="27" t="str">
        <f>IFERROR(VLOOKUP(DATE($K$1,$K$2,WRV$4),Table1[],(MATCH(Calendar!$A6,DB!1:1,0)+2),FALSE),"")</f>
        <v/>
      </c>
      <c r="WRW6" s="27" t="str">
        <f>IFERROR(VLOOKUP(DATE($K$1,$K$2,WRW$4),Table1[],(MATCH(Calendar!$A6,DB!1:1,0)+2),FALSE),"")</f>
        <v/>
      </c>
      <c r="WRX6" s="27" t="str">
        <f>IFERROR(VLOOKUP(DATE($K$1,$K$2,WRX$4),Table1[],(MATCH(Calendar!$A6,DB!1:1,0)+2),FALSE),"")</f>
        <v/>
      </c>
      <c r="WRY6" s="27" t="str">
        <f>IFERROR(VLOOKUP(DATE($K$1,$K$2,WRY$4),Table1[],(MATCH(Calendar!$A6,DB!1:1,0)+2),FALSE),"")</f>
        <v/>
      </c>
      <c r="WRZ6" s="27" t="str">
        <f>IFERROR(VLOOKUP(DATE($K$1,$K$2,WRZ$4),Table1[],(MATCH(Calendar!$A6,DB!1:1,0)+2),FALSE),"")</f>
        <v/>
      </c>
      <c r="WSA6" s="27" t="str">
        <f>IFERROR(VLOOKUP(DATE($K$1,$K$2,WSA$4),Table1[],(MATCH(Calendar!$A6,DB!1:1,0)+2),FALSE),"")</f>
        <v/>
      </c>
      <c r="WSB6" s="27" t="str">
        <f>IFERROR(VLOOKUP(DATE($K$1,$K$2,WSB$4),Table1[],(MATCH(Calendar!$A6,DB!1:1,0)+2),FALSE),"")</f>
        <v/>
      </c>
      <c r="WSC6" s="27" t="str">
        <f>IFERROR(VLOOKUP(DATE($K$1,$K$2,WSC$4),Table1[],(MATCH(Calendar!$A6,DB!1:1,0)+2),FALSE),"")</f>
        <v/>
      </c>
      <c r="WSD6" s="27" t="str">
        <f>IFERROR(VLOOKUP(DATE($K$1,$K$2,WSD$4),Table1[],(MATCH(Calendar!$A6,DB!1:1,0)+2),FALSE),"")</f>
        <v/>
      </c>
      <c r="WSE6" s="27" t="str">
        <f>IFERROR(VLOOKUP(DATE($K$1,$K$2,WSE$4),Table1[],(MATCH(Calendar!$A6,DB!1:1,0)+2),FALSE),"")</f>
        <v/>
      </c>
      <c r="WSF6" s="27" t="str">
        <f>IFERROR(VLOOKUP(DATE($K$1,$K$2,WSF$4),Table1[],(MATCH(Calendar!$A6,DB!1:1,0)+2),FALSE),"")</f>
        <v/>
      </c>
      <c r="WSG6" s="27" t="str">
        <f>IFERROR(VLOOKUP(DATE($K$1,$K$2,WSG$4),Table1[],(MATCH(Calendar!$A6,DB!1:1,0)+2),FALSE),"")</f>
        <v/>
      </c>
      <c r="WSH6" s="27" t="str">
        <f>IFERROR(VLOOKUP(DATE($K$1,$K$2,WSH$4),Table1[],(MATCH(Calendar!$A6,DB!1:1,0)+2),FALSE),"")</f>
        <v/>
      </c>
      <c r="WSI6" s="27" t="str">
        <f>IFERROR(VLOOKUP(DATE($K$1,$K$2,WSI$4),Table1[],(MATCH(Calendar!$A6,DB!1:1,0)+2),FALSE),"")</f>
        <v/>
      </c>
      <c r="WSJ6" s="27" t="str">
        <f>IFERROR(VLOOKUP(DATE($K$1,$K$2,WSJ$4),Table1[],(MATCH(Calendar!$A6,DB!1:1,0)+2),FALSE),"")</f>
        <v/>
      </c>
      <c r="WSK6" s="27" t="str">
        <f>IFERROR(VLOOKUP(DATE($K$1,$K$2,WSK$4),Table1[],(MATCH(Calendar!$A6,DB!1:1,0)+2),FALSE),"")</f>
        <v/>
      </c>
      <c r="WSL6" s="27" t="str">
        <f>IFERROR(VLOOKUP(DATE($K$1,$K$2,WSL$4),Table1[],(MATCH(Calendar!$A6,DB!1:1,0)+2),FALSE),"")</f>
        <v/>
      </c>
      <c r="WSM6" s="27" t="str">
        <f>IFERROR(VLOOKUP(DATE($K$1,$K$2,WSM$4),Table1[],(MATCH(Calendar!$A6,DB!1:1,0)+2),FALSE),"")</f>
        <v/>
      </c>
      <c r="WSN6" s="27" t="str">
        <f>IFERROR(VLOOKUP(DATE($K$1,$K$2,WSN$4),Table1[],(MATCH(Calendar!$A6,DB!1:1,0)+2),FALSE),"")</f>
        <v/>
      </c>
      <c r="WSO6" s="27" t="str">
        <f>IFERROR(VLOOKUP(DATE($K$1,$K$2,WSO$4),Table1[],(MATCH(Calendar!$A6,DB!1:1,0)+2),FALSE),"")</f>
        <v/>
      </c>
      <c r="WSP6" s="27" t="str">
        <f>IFERROR(VLOOKUP(DATE($K$1,$K$2,WSP$4),Table1[],(MATCH(Calendar!$A6,DB!1:1,0)+2),FALSE),"")</f>
        <v/>
      </c>
      <c r="WSQ6" s="27" t="str">
        <f>IFERROR(VLOOKUP(DATE($K$1,$K$2,WSQ$4),Table1[],(MATCH(Calendar!$A6,DB!1:1,0)+2),FALSE),"")</f>
        <v/>
      </c>
      <c r="WSR6" s="27" t="str">
        <f>IFERROR(VLOOKUP(DATE($K$1,$K$2,WSR$4),Table1[],(MATCH(Calendar!$A6,DB!1:1,0)+2),FALSE),"")</f>
        <v/>
      </c>
      <c r="WSS6" s="27" t="str">
        <f>IFERROR(VLOOKUP(DATE($K$1,$K$2,WSS$4),Table1[],(MATCH(Calendar!$A6,DB!1:1,0)+2),FALSE),"")</f>
        <v/>
      </c>
      <c r="WST6" s="27" t="str">
        <f>IFERROR(VLOOKUP(DATE($K$1,$K$2,WST$4),Table1[],(MATCH(Calendar!$A6,DB!1:1,0)+2),FALSE),"")</f>
        <v/>
      </c>
      <c r="WSU6" s="27" t="str">
        <f>IFERROR(VLOOKUP(DATE($K$1,$K$2,WSU$4),Table1[],(MATCH(Calendar!$A6,DB!1:1,0)+2),FALSE),"")</f>
        <v/>
      </c>
      <c r="WSV6" s="27" t="str">
        <f>IFERROR(VLOOKUP(DATE($K$1,$K$2,WSV$4),Table1[],(MATCH(Calendar!$A6,DB!1:1,0)+2),FALSE),"")</f>
        <v/>
      </c>
      <c r="WSW6" s="27" t="str">
        <f>IFERROR(VLOOKUP(DATE($K$1,$K$2,WSW$4),Table1[],(MATCH(Calendar!$A6,DB!1:1,0)+2),FALSE),"")</f>
        <v/>
      </c>
      <c r="WSX6" s="27" t="str">
        <f>IFERROR(VLOOKUP(DATE($K$1,$K$2,WSX$4),Table1[],(MATCH(Calendar!$A6,DB!1:1,0)+2),FALSE),"")</f>
        <v/>
      </c>
      <c r="WSY6" s="27" t="str">
        <f>IFERROR(VLOOKUP(DATE($K$1,$K$2,WSY$4),Table1[],(MATCH(Calendar!$A6,DB!1:1,0)+2),FALSE),"")</f>
        <v/>
      </c>
      <c r="WSZ6" s="27" t="str">
        <f>IFERROR(VLOOKUP(DATE($K$1,$K$2,WSZ$4),Table1[],(MATCH(Calendar!$A6,DB!1:1,0)+2),FALSE),"")</f>
        <v/>
      </c>
      <c r="WTA6" s="27" t="str">
        <f>IFERROR(VLOOKUP(DATE($K$1,$K$2,WTA$4),Table1[],(MATCH(Calendar!$A6,DB!1:1,0)+2),FALSE),"")</f>
        <v/>
      </c>
      <c r="WTB6" s="27" t="str">
        <f>IFERROR(VLOOKUP(DATE($K$1,$K$2,WTB$4),Table1[],(MATCH(Calendar!$A6,DB!1:1,0)+2),FALSE),"")</f>
        <v/>
      </c>
      <c r="WTC6" s="27" t="str">
        <f>IFERROR(VLOOKUP(DATE($K$1,$K$2,WTC$4),Table1[],(MATCH(Calendar!$A6,DB!1:1,0)+2),FALSE),"")</f>
        <v/>
      </c>
      <c r="WTD6" s="27" t="str">
        <f>IFERROR(VLOOKUP(DATE($K$1,$K$2,WTD$4),Table1[],(MATCH(Calendar!$A6,DB!1:1,0)+2),FALSE),"")</f>
        <v/>
      </c>
      <c r="WTE6" s="27" t="str">
        <f>IFERROR(VLOOKUP(DATE($K$1,$K$2,WTE$4),Table1[],(MATCH(Calendar!$A6,DB!1:1,0)+2),FALSE),"")</f>
        <v/>
      </c>
      <c r="WTF6" s="27" t="str">
        <f>IFERROR(VLOOKUP(DATE($K$1,$K$2,WTF$4),Table1[],(MATCH(Calendar!$A6,DB!1:1,0)+2),FALSE),"")</f>
        <v/>
      </c>
      <c r="WTG6" s="27" t="str">
        <f>IFERROR(VLOOKUP(DATE($K$1,$K$2,WTG$4),Table1[],(MATCH(Calendar!$A6,DB!1:1,0)+2),FALSE),"")</f>
        <v/>
      </c>
      <c r="WTH6" s="27" t="str">
        <f>IFERROR(VLOOKUP(DATE($K$1,$K$2,WTH$4),Table1[],(MATCH(Calendar!$A6,DB!1:1,0)+2),FALSE),"")</f>
        <v/>
      </c>
      <c r="WTI6" s="27" t="str">
        <f>IFERROR(VLOOKUP(DATE($K$1,$K$2,WTI$4),Table1[],(MATCH(Calendar!$A6,DB!1:1,0)+2),FALSE),"")</f>
        <v/>
      </c>
      <c r="WTJ6" s="27" t="str">
        <f>IFERROR(VLOOKUP(DATE($K$1,$K$2,WTJ$4),Table1[],(MATCH(Calendar!$A6,DB!1:1,0)+2),FALSE),"")</f>
        <v/>
      </c>
      <c r="WTK6" s="27" t="str">
        <f>IFERROR(VLOOKUP(DATE($K$1,$K$2,WTK$4),Table1[],(MATCH(Calendar!$A6,DB!1:1,0)+2),FALSE),"")</f>
        <v/>
      </c>
      <c r="WTL6" s="27" t="str">
        <f>IFERROR(VLOOKUP(DATE($K$1,$K$2,WTL$4),Table1[],(MATCH(Calendar!$A6,DB!1:1,0)+2),FALSE),"")</f>
        <v/>
      </c>
      <c r="WTM6" s="27" t="str">
        <f>IFERROR(VLOOKUP(DATE($K$1,$K$2,WTM$4),Table1[],(MATCH(Calendar!$A6,DB!1:1,0)+2),FALSE),"")</f>
        <v/>
      </c>
      <c r="WTN6" s="27" t="str">
        <f>IFERROR(VLOOKUP(DATE($K$1,$K$2,WTN$4),Table1[],(MATCH(Calendar!$A6,DB!1:1,0)+2),FALSE),"")</f>
        <v/>
      </c>
      <c r="WTO6" s="27" t="str">
        <f>IFERROR(VLOOKUP(DATE($K$1,$K$2,WTO$4),Table1[],(MATCH(Calendar!$A6,DB!1:1,0)+2),FALSE),"")</f>
        <v/>
      </c>
      <c r="WTP6" s="27" t="str">
        <f>IFERROR(VLOOKUP(DATE($K$1,$K$2,WTP$4),Table1[],(MATCH(Calendar!$A6,DB!1:1,0)+2),FALSE),"")</f>
        <v/>
      </c>
      <c r="WTQ6" s="27" t="str">
        <f>IFERROR(VLOOKUP(DATE($K$1,$K$2,WTQ$4),Table1[],(MATCH(Calendar!$A6,DB!1:1,0)+2),FALSE),"")</f>
        <v/>
      </c>
      <c r="WTR6" s="27" t="str">
        <f>IFERROR(VLOOKUP(DATE($K$1,$K$2,WTR$4),Table1[],(MATCH(Calendar!$A6,DB!1:1,0)+2),FALSE),"")</f>
        <v/>
      </c>
      <c r="WTS6" s="27" t="str">
        <f>IFERROR(VLOOKUP(DATE($K$1,$K$2,WTS$4),Table1[],(MATCH(Calendar!$A6,DB!1:1,0)+2),FALSE),"")</f>
        <v/>
      </c>
      <c r="WTT6" s="27" t="str">
        <f>IFERROR(VLOOKUP(DATE($K$1,$K$2,WTT$4),Table1[],(MATCH(Calendar!$A6,DB!1:1,0)+2),FALSE),"")</f>
        <v/>
      </c>
      <c r="WTU6" s="27" t="str">
        <f>IFERROR(VLOOKUP(DATE($K$1,$K$2,WTU$4),Table1[],(MATCH(Calendar!$A6,DB!1:1,0)+2),FALSE),"")</f>
        <v/>
      </c>
      <c r="WTV6" s="27" t="str">
        <f>IFERROR(VLOOKUP(DATE($K$1,$K$2,WTV$4),Table1[],(MATCH(Calendar!$A6,DB!1:1,0)+2),FALSE),"")</f>
        <v/>
      </c>
      <c r="WTW6" s="27" t="str">
        <f>IFERROR(VLOOKUP(DATE($K$1,$K$2,WTW$4),Table1[],(MATCH(Calendar!$A6,DB!1:1,0)+2),FALSE),"")</f>
        <v/>
      </c>
      <c r="WTX6" s="27" t="str">
        <f>IFERROR(VLOOKUP(DATE($K$1,$K$2,WTX$4),Table1[],(MATCH(Calendar!$A6,DB!1:1,0)+2),FALSE),"")</f>
        <v/>
      </c>
      <c r="WTY6" s="27" t="str">
        <f>IFERROR(VLOOKUP(DATE($K$1,$K$2,WTY$4),Table1[],(MATCH(Calendar!$A6,DB!1:1,0)+2),FALSE),"")</f>
        <v/>
      </c>
      <c r="WTZ6" s="27" t="str">
        <f>IFERROR(VLOOKUP(DATE($K$1,$K$2,WTZ$4),Table1[],(MATCH(Calendar!$A6,DB!1:1,0)+2),FALSE),"")</f>
        <v/>
      </c>
      <c r="WUA6" s="27" t="str">
        <f>IFERROR(VLOOKUP(DATE($K$1,$K$2,WUA$4),Table1[],(MATCH(Calendar!$A6,DB!1:1,0)+2),FALSE),"")</f>
        <v/>
      </c>
      <c r="WUB6" s="27" t="str">
        <f>IFERROR(VLOOKUP(DATE($K$1,$K$2,WUB$4),Table1[],(MATCH(Calendar!$A6,DB!1:1,0)+2),FALSE),"")</f>
        <v/>
      </c>
      <c r="WUC6" s="27" t="str">
        <f>IFERROR(VLOOKUP(DATE($K$1,$K$2,WUC$4),Table1[],(MATCH(Calendar!$A6,DB!1:1,0)+2),FALSE),"")</f>
        <v/>
      </c>
      <c r="WUD6" s="27" t="str">
        <f>IFERROR(VLOOKUP(DATE($K$1,$K$2,WUD$4),Table1[],(MATCH(Calendar!$A6,DB!1:1,0)+2),FALSE),"")</f>
        <v/>
      </c>
      <c r="WUE6" s="27" t="str">
        <f>IFERROR(VLOOKUP(DATE($K$1,$K$2,WUE$4),Table1[],(MATCH(Calendar!$A6,DB!1:1,0)+2),FALSE),"")</f>
        <v/>
      </c>
      <c r="WUF6" s="27" t="str">
        <f>IFERROR(VLOOKUP(DATE($K$1,$K$2,WUF$4),Table1[],(MATCH(Calendar!$A6,DB!1:1,0)+2),FALSE),"")</f>
        <v/>
      </c>
      <c r="WUG6" s="27" t="str">
        <f>IFERROR(VLOOKUP(DATE($K$1,$K$2,WUG$4),Table1[],(MATCH(Calendar!$A6,DB!1:1,0)+2),FALSE),"")</f>
        <v/>
      </c>
      <c r="WUH6" s="27" t="str">
        <f>IFERROR(VLOOKUP(DATE($K$1,$K$2,WUH$4),Table1[],(MATCH(Calendar!$A6,DB!1:1,0)+2),FALSE),"")</f>
        <v/>
      </c>
      <c r="WUI6" s="27" t="str">
        <f>IFERROR(VLOOKUP(DATE($K$1,$K$2,WUI$4),Table1[],(MATCH(Calendar!$A6,DB!1:1,0)+2),FALSE),"")</f>
        <v/>
      </c>
      <c r="WUJ6" s="27" t="str">
        <f>IFERROR(VLOOKUP(DATE($K$1,$K$2,WUJ$4),Table1[],(MATCH(Calendar!$A6,DB!1:1,0)+2),FALSE),"")</f>
        <v/>
      </c>
      <c r="WUK6" s="27" t="str">
        <f>IFERROR(VLOOKUP(DATE($K$1,$K$2,WUK$4),Table1[],(MATCH(Calendar!$A6,DB!1:1,0)+2),FALSE),"")</f>
        <v/>
      </c>
      <c r="WUL6" s="27" t="str">
        <f>IFERROR(VLOOKUP(DATE($K$1,$K$2,WUL$4),Table1[],(MATCH(Calendar!$A6,DB!1:1,0)+2),FALSE),"")</f>
        <v/>
      </c>
      <c r="WUM6" s="27" t="str">
        <f>IFERROR(VLOOKUP(DATE($K$1,$K$2,WUM$4),Table1[],(MATCH(Calendar!$A6,DB!1:1,0)+2),FALSE),"")</f>
        <v/>
      </c>
      <c r="WUN6" s="27" t="str">
        <f>IFERROR(VLOOKUP(DATE($K$1,$K$2,WUN$4),Table1[],(MATCH(Calendar!$A6,DB!1:1,0)+2),FALSE),"")</f>
        <v/>
      </c>
      <c r="WUO6" s="27" t="str">
        <f>IFERROR(VLOOKUP(DATE($K$1,$K$2,WUO$4),Table1[],(MATCH(Calendar!$A6,DB!1:1,0)+2),FALSE),"")</f>
        <v/>
      </c>
      <c r="WUP6" s="27" t="str">
        <f>IFERROR(VLOOKUP(DATE($K$1,$K$2,WUP$4),Table1[],(MATCH(Calendar!$A6,DB!1:1,0)+2),FALSE),"")</f>
        <v/>
      </c>
      <c r="WUQ6" s="27" t="str">
        <f>IFERROR(VLOOKUP(DATE($K$1,$K$2,WUQ$4),Table1[],(MATCH(Calendar!$A6,DB!1:1,0)+2),FALSE),"")</f>
        <v/>
      </c>
      <c r="WUR6" s="27" t="str">
        <f>IFERROR(VLOOKUP(DATE($K$1,$K$2,WUR$4),Table1[],(MATCH(Calendar!$A6,DB!1:1,0)+2),FALSE),"")</f>
        <v/>
      </c>
      <c r="WUS6" s="27" t="str">
        <f>IFERROR(VLOOKUP(DATE($K$1,$K$2,WUS$4),Table1[],(MATCH(Calendar!$A6,DB!1:1,0)+2),FALSE),"")</f>
        <v/>
      </c>
      <c r="WUT6" s="27" t="str">
        <f>IFERROR(VLOOKUP(DATE($K$1,$K$2,WUT$4),Table1[],(MATCH(Calendar!$A6,DB!1:1,0)+2),FALSE),"")</f>
        <v/>
      </c>
      <c r="WUU6" s="27" t="str">
        <f>IFERROR(VLOOKUP(DATE($K$1,$K$2,WUU$4),Table1[],(MATCH(Calendar!$A6,DB!1:1,0)+2),FALSE),"")</f>
        <v/>
      </c>
      <c r="WUV6" s="27" t="str">
        <f>IFERROR(VLOOKUP(DATE($K$1,$K$2,WUV$4),Table1[],(MATCH(Calendar!$A6,DB!1:1,0)+2),FALSE),"")</f>
        <v/>
      </c>
      <c r="WUW6" s="27" t="str">
        <f>IFERROR(VLOOKUP(DATE($K$1,$K$2,WUW$4),Table1[],(MATCH(Calendar!$A6,DB!1:1,0)+2),FALSE),"")</f>
        <v/>
      </c>
      <c r="WUX6" s="27" t="str">
        <f>IFERROR(VLOOKUP(DATE($K$1,$K$2,WUX$4),Table1[],(MATCH(Calendar!$A6,DB!1:1,0)+2),FALSE),"")</f>
        <v/>
      </c>
      <c r="WUY6" s="27" t="str">
        <f>IFERROR(VLOOKUP(DATE($K$1,$K$2,WUY$4),Table1[],(MATCH(Calendar!$A6,DB!1:1,0)+2),FALSE),"")</f>
        <v/>
      </c>
      <c r="WUZ6" s="27" t="str">
        <f>IFERROR(VLOOKUP(DATE($K$1,$K$2,WUZ$4),Table1[],(MATCH(Calendar!$A6,DB!1:1,0)+2),FALSE),"")</f>
        <v/>
      </c>
      <c r="WVA6" s="27" t="str">
        <f>IFERROR(VLOOKUP(DATE($K$1,$K$2,WVA$4),Table1[],(MATCH(Calendar!$A6,DB!1:1,0)+2),FALSE),"")</f>
        <v/>
      </c>
      <c r="WVB6" s="27" t="str">
        <f>IFERROR(VLOOKUP(DATE($K$1,$K$2,WVB$4),Table1[],(MATCH(Calendar!$A6,DB!1:1,0)+2),FALSE),"")</f>
        <v/>
      </c>
      <c r="WVC6" s="27" t="str">
        <f>IFERROR(VLOOKUP(DATE($K$1,$K$2,WVC$4),Table1[],(MATCH(Calendar!$A6,DB!1:1,0)+2),FALSE),"")</f>
        <v/>
      </c>
      <c r="WVD6" s="27" t="str">
        <f>IFERROR(VLOOKUP(DATE($K$1,$K$2,WVD$4),Table1[],(MATCH(Calendar!$A6,DB!1:1,0)+2),FALSE),"")</f>
        <v/>
      </c>
      <c r="WVE6" s="27" t="str">
        <f>IFERROR(VLOOKUP(DATE($K$1,$K$2,WVE$4),Table1[],(MATCH(Calendar!$A6,DB!1:1,0)+2),FALSE),"")</f>
        <v/>
      </c>
      <c r="WVF6" s="27" t="str">
        <f>IFERROR(VLOOKUP(DATE($K$1,$K$2,WVF$4),Table1[],(MATCH(Calendar!$A6,DB!1:1,0)+2),FALSE),"")</f>
        <v/>
      </c>
      <c r="WVG6" s="27" t="str">
        <f>IFERROR(VLOOKUP(DATE($K$1,$K$2,WVG$4),Table1[],(MATCH(Calendar!$A6,DB!1:1,0)+2),FALSE),"")</f>
        <v/>
      </c>
      <c r="WVH6" s="27" t="str">
        <f>IFERROR(VLOOKUP(DATE($K$1,$K$2,WVH$4),Table1[],(MATCH(Calendar!$A6,DB!1:1,0)+2),FALSE),"")</f>
        <v/>
      </c>
      <c r="WVI6" s="27" t="str">
        <f>IFERROR(VLOOKUP(DATE($K$1,$K$2,WVI$4),Table1[],(MATCH(Calendar!$A6,DB!1:1,0)+2),FALSE),"")</f>
        <v/>
      </c>
      <c r="WVJ6" s="27" t="str">
        <f>IFERROR(VLOOKUP(DATE($K$1,$K$2,WVJ$4),Table1[],(MATCH(Calendar!$A6,DB!1:1,0)+2),FALSE),"")</f>
        <v/>
      </c>
      <c r="WVK6" s="27" t="str">
        <f>IFERROR(VLOOKUP(DATE($K$1,$K$2,WVK$4),Table1[],(MATCH(Calendar!$A6,DB!1:1,0)+2),FALSE),"")</f>
        <v/>
      </c>
      <c r="WVL6" s="27" t="str">
        <f>IFERROR(VLOOKUP(DATE($K$1,$K$2,WVL$4),Table1[],(MATCH(Calendar!$A6,DB!1:1,0)+2),FALSE),"")</f>
        <v/>
      </c>
      <c r="WVM6" s="27" t="str">
        <f>IFERROR(VLOOKUP(DATE($K$1,$K$2,WVM$4),Table1[],(MATCH(Calendar!$A6,DB!1:1,0)+2),FALSE),"")</f>
        <v/>
      </c>
      <c r="WVN6" s="27" t="str">
        <f>IFERROR(VLOOKUP(DATE($K$1,$K$2,WVN$4),Table1[],(MATCH(Calendar!$A6,DB!1:1,0)+2),FALSE),"")</f>
        <v/>
      </c>
      <c r="WVO6" s="27" t="str">
        <f>IFERROR(VLOOKUP(DATE($K$1,$K$2,WVO$4),Table1[],(MATCH(Calendar!$A6,DB!1:1,0)+2),FALSE),"")</f>
        <v/>
      </c>
      <c r="WVP6" s="27" t="str">
        <f>IFERROR(VLOOKUP(DATE($K$1,$K$2,WVP$4),Table1[],(MATCH(Calendar!$A6,DB!1:1,0)+2),FALSE),"")</f>
        <v/>
      </c>
      <c r="WVQ6" s="27" t="str">
        <f>IFERROR(VLOOKUP(DATE($K$1,$K$2,WVQ$4),Table1[],(MATCH(Calendar!$A6,DB!1:1,0)+2),FALSE),"")</f>
        <v/>
      </c>
      <c r="WVR6" s="27" t="str">
        <f>IFERROR(VLOOKUP(DATE($K$1,$K$2,WVR$4),Table1[],(MATCH(Calendar!$A6,DB!1:1,0)+2),FALSE),"")</f>
        <v/>
      </c>
      <c r="WVS6" s="27" t="str">
        <f>IFERROR(VLOOKUP(DATE($K$1,$K$2,WVS$4),Table1[],(MATCH(Calendar!$A6,DB!1:1,0)+2),FALSE),"")</f>
        <v/>
      </c>
      <c r="WVT6" s="27" t="str">
        <f>IFERROR(VLOOKUP(DATE($K$1,$K$2,WVT$4),Table1[],(MATCH(Calendar!$A6,DB!1:1,0)+2),FALSE),"")</f>
        <v/>
      </c>
      <c r="WVU6" s="27" t="str">
        <f>IFERROR(VLOOKUP(DATE($K$1,$K$2,WVU$4),Table1[],(MATCH(Calendar!$A6,DB!1:1,0)+2),FALSE),"")</f>
        <v/>
      </c>
      <c r="WVV6" s="27" t="str">
        <f>IFERROR(VLOOKUP(DATE($K$1,$K$2,WVV$4),Table1[],(MATCH(Calendar!$A6,DB!1:1,0)+2),FALSE),"")</f>
        <v/>
      </c>
      <c r="WVW6" s="27" t="str">
        <f>IFERROR(VLOOKUP(DATE($K$1,$K$2,WVW$4),Table1[],(MATCH(Calendar!$A6,DB!1:1,0)+2),FALSE),"")</f>
        <v/>
      </c>
      <c r="WVX6" s="27" t="str">
        <f>IFERROR(VLOOKUP(DATE($K$1,$K$2,WVX$4),Table1[],(MATCH(Calendar!$A6,DB!1:1,0)+2),FALSE),"")</f>
        <v/>
      </c>
      <c r="WVY6" s="27" t="str">
        <f>IFERROR(VLOOKUP(DATE($K$1,$K$2,WVY$4),Table1[],(MATCH(Calendar!$A6,DB!1:1,0)+2),FALSE),"")</f>
        <v/>
      </c>
      <c r="WVZ6" s="27" t="str">
        <f>IFERROR(VLOOKUP(DATE($K$1,$K$2,WVZ$4),Table1[],(MATCH(Calendar!$A6,DB!1:1,0)+2),FALSE),"")</f>
        <v/>
      </c>
      <c r="WWA6" s="27" t="str">
        <f>IFERROR(VLOOKUP(DATE($K$1,$K$2,WWA$4),Table1[],(MATCH(Calendar!$A6,DB!1:1,0)+2),FALSE),"")</f>
        <v/>
      </c>
      <c r="WWB6" s="27" t="str">
        <f>IFERROR(VLOOKUP(DATE($K$1,$K$2,WWB$4),Table1[],(MATCH(Calendar!$A6,DB!1:1,0)+2),FALSE),"")</f>
        <v/>
      </c>
      <c r="WWC6" s="27" t="str">
        <f>IFERROR(VLOOKUP(DATE($K$1,$K$2,WWC$4),Table1[],(MATCH(Calendar!$A6,DB!1:1,0)+2),FALSE),"")</f>
        <v/>
      </c>
      <c r="WWD6" s="27" t="str">
        <f>IFERROR(VLOOKUP(DATE($K$1,$K$2,WWD$4),Table1[],(MATCH(Calendar!$A6,DB!1:1,0)+2),FALSE),"")</f>
        <v/>
      </c>
      <c r="WWE6" s="27" t="str">
        <f>IFERROR(VLOOKUP(DATE($K$1,$K$2,WWE$4),Table1[],(MATCH(Calendar!$A6,DB!1:1,0)+2),FALSE),"")</f>
        <v/>
      </c>
      <c r="WWF6" s="27" t="str">
        <f>IFERROR(VLOOKUP(DATE($K$1,$K$2,WWF$4),Table1[],(MATCH(Calendar!$A6,DB!1:1,0)+2),FALSE),"")</f>
        <v/>
      </c>
      <c r="WWG6" s="27" t="str">
        <f>IFERROR(VLOOKUP(DATE($K$1,$K$2,WWG$4),Table1[],(MATCH(Calendar!$A6,DB!1:1,0)+2),FALSE),"")</f>
        <v/>
      </c>
      <c r="WWH6" s="27" t="str">
        <f>IFERROR(VLOOKUP(DATE($K$1,$K$2,WWH$4),Table1[],(MATCH(Calendar!$A6,DB!1:1,0)+2),FALSE),"")</f>
        <v/>
      </c>
      <c r="WWI6" s="27" t="str">
        <f>IFERROR(VLOOKUP(DATE($K$1,$K$2,WWI$4),Table1[],(MATCH(Calendar!$A6,DB!1:1,0)+2),FALSE),"")</f>
        <v/>
      </c>
      <c r="WWJ6" s="27" t="str">
        <f>IFERROR(VLOOKUP(DATE($K$1,$K$2,WWJ$4),Table1[],(MATCH(Calendar!$A6,DB!1:1,0)+2),FALSE),"")</f>
        <v/>
      </c>
      <c r="WWK6" s="27" t="str">
        <f>IFERROR(VLOOKUP(DATE($K$1,$K$2,WWK$4),Table1[],(MATCH(Calendar!$A6,DB!1:1,0)+2),FALSE),"")</f>
        <v/>
      </c>
      <c r="WWL6" s="27" t="str">
        <f>IFERROR(VLOOKUP(DATE($K$1,$K$2,WWL$4),Table1[],(MATCH(Calendar!$A6,DB!1:1,0)+2),FALSE),"")</f>
        <v/>
      </c>
      <c r="WWM6" s="27" t="str">
        <f>IFERROR(VLOOKUP(DATE($K$1,$K$2,WWM$4),Table1[],(MATCH(Calendar!$A6,DB!1:1,0)+2),FALSE),"")</f>
        <v/>
      </c>
      <c r="WWN6" s="27" t="str">
        <f>IFERROR(VLOOKUP(DATE($K$1,$K$2,WWN$4),Table1[],(MATCH(Calendar!$A6,DB!1:1,0)+2),FALSE),"")</f>
        <v/>
      </c>
      <c r="WWO6" s="27" t="str">
        <f>IFERROR(VLOOKUP(DATE($K$1,$K$2,WWO$4),Table1[],(MATCH(Calendar!$A6,DB!1:1,0)+2),FALSE),"")</f>
        <v/>
      </c>
      <c r="WWP6" s="27" t="str">
        <f>IFERROR(VLOOKUP(DATE($K$1,$K$2,WWP$4),Table1[],(MATCH(Calendar!$A6,DB!1:1,0)+2),FALSE),"")</f>
        <v/>
      </c>
      <c r="WWQ6" s="27" t="str">
        <f>IFERROR(VLOOKUP(DATE($K$1,$K$2,WWQ$4),Table1[],(MATCH(Calendar!$A6,DB!1:1,0)+2),FALSE),"")</f>
        <v/>
      </c>
      <c r="WWR6" s="27" t="str">
        <f>IFERROR(VLOOKUP(DATE($K$1,$K$2,WWR$4),Table1[],(MATCH(Calendar!$A6,DB!1:1,0)+2),FALSE),"")</f>
        <v/>
      </c>
      <c r="WWS6" s="27" t="str">
        <f>IFERROR(VLOOKUP(DATE($K$1,$K$2,WWS$4),Table1[],(MATCH(Calendar!$A6,DB!1:1,0)+2),FALSE),"")</f>
        <v/>
      </c>
      <c r="WWT6" s="27" t="str">
        <f>IFERROR(VLOOKUP(DATE($K$1,$K$2,WWT$4),Table1[],(MATCH(Calendar!$A6,DB!1:1,0)+2),FALSE),"")</f>
        <v/>
      </c>
      <c r="WWU6" s="27" t="str">
        <f>IFERROR(VLOOKUP(DATE($K$1,$K$2,WWU$4),Table1[],(MATCH(Calendar!$A6,DB!1:1,0)+2),FALSE),"")</f>
        <v/>
      </c>
      <c r="WWV6" s="27" t="str">
        <f>IFERROR(VLOOKUP(DATE($K$1,$K$2,WWV$4),Table1[],(MATCH(Calendar!$A6,DB!1:1,0)+2),FALSE),"")</f>
        <v/>
      </c>
      <c r="WWW6" s="27" t="str">
        <f>IFERROR(VLOOKUP(DATE($K$1,$K$2,WWW$4),Table1[],(MATCH(Calendar!$A6,DB!1:1,0)+2),FALSE),"")</f>
        <v/>
      </c>
      <c r="WWX6" s="27" t="str">
        <f>IFERROR(VLOOKUP(DATE($K$1,$K$2,WWX$4),Table1[],(MATCH(Calendar!$A6,DB!1:1,0)+2),FALSE),"")</f>
        <v/>
      </c>
      <c r="WWY6" s="27" t="str">
        <f>IFERROR(VLOOKUP(DATE($K$1,$K$2,WWY$4),Table1[],(MATCH(Calendar!$A6,DB!1:1,0)+2),FALSE),"")</f>
        <v/>
      </c>
      <c r="WWZ6" s="27" t="str">
        <f>IFERROR(VLOOKUP(DATE($K$1,$K$2,WWZ$4),Table1[],(MATCH(Calendar!$A6,DB!1:1,0)+2),FALSE),"")</f>
        <v/>
      </c>
      <c r="WXA6" s="27" t="str">
        <f>IFERROR(VLOOKUP(DATE($K$1,$K$2,WXA$4),Table1[],(MATCH(Calendar!$A6,DB!1:1,0)+2),FALSE),"")</f>
        <v/>
      </c>
      <c r="WXB6" s="27" t="str">
        <f>IFERROR(VLOOKUP(DATE($K$1,$K$2,WXB$4),Table1[],(MATCH(Calendar!$A6,DB!1:1,0)+2),FALSE),"")</f>
        <v/>
      </c>
      <c r="WXC6" s="27" t="str">
        <f>IFERROR(VLOOKUP(DATE($K$1,$K$2,WXC$4),Table1[],(MATCH(Calendar!$A6,DB!1:1,0)+2),FALSE),"")</f>
        <v/>
      </c>
      <c r="WXD6" s="27" t="str">
        <f>IFERROR(VLOOKUP(DATE($K$1,$K$2,WXD$4),Table1[],(MATCH(Calendar!$A6,DB!1:1,0)+2),FALSE),"")</f>
        <v/>
      </c>
      <c r="WXE6" s="27" t="str">
        <f>IFERROR(VLOOKUP(DATE($K$1,$K$2,WXE$4),Table1[],(MATCH(Calendar!$A6,DB!1:1,0)+2),FALSE),"")</f>
        <v/>
      </c>
      <c r="WXF6" s="27" t="str">
        <f>IFERROR(VLOOKUP(DATE($K$1,$K$2,WXF$4),Table1[],(MATCH(Calendar!$A6,DB!1:1,0)+2),FALSE),"")</f>
        <v/>
      </c>
      <c r="WXG6" s="27" t="str">
        <f>IFERROR(VLOOKUP(DATE($K$1,$K$2,WXG$4),Table1[],(MATCH(Calendar!$A6,DB!1:1,0)+2),FALSE),"")</f>
        <v/>
      </c>
      <c r="WXH6" s="27" t="str">
        <f>IFERROR(VLOOKUP(DATE($K$1,$K$2,WXH$4),Table1[],(MATCH(Calendar!$A6,DB!1:1,0)+2),FALSE),"")</f>
        <v/>
      </c>
      <c r="WXI6" s="27" t="str">
        <f>IFERROR(VLOOKUP(DATE($K$1,$K$2,WXI$4),Table1[],(MATCH(Calendar!$A6,DB!1:1,0)+2),FALSE),"")</f>
        <v/>
      </c>
      <c r="WXJ6" s="27" t="str">
        <f>IFERROR(VLOOKUP(DATE($K$1,$K$2,WXJ$4),Table1[],(MATCH(Calendar!$A6,DB!1:1,0)+2),FALSE),"")</f>
        <v/>
      </c>
      <c r="WXK6" s="27" t="str">
        <f>IFERROR(VLOOKUP(DATE($K$1,$K$2,WXK$4),Table1[],(MATCH(Calendar!$A6,DB!1:1,0)+2),FALSE),"")</f>
        <v/>
      </c>
      <c r="WXL6" s="27" t="str">
        <f>IFERROR(VLOOKUP(DATE($K$1,$K$2,WXL$4),Table1[],(MATCH(Calendar!$A6,DB!1:1,0)+2),FALSE),"")</f>
        <v/>
      </c>
      <c r="WXM6" s="27" t="str">
        <f>IFERROR(VLOOKUP(DATE($K$1,$K$2,WXM$4),Table1[],(MATCH(Calendar!$A6,DB!1:1,0)+2),FALSE),"")</f>
        <v/>
      </c>
      <c r="WXN6" s="27" t="str">
        <f>IFERROR(VLOOKUP(DATE($K$1,$K$2,WXN$4),Table1[],(MATCH(Calendar!$A6,DB!1:1,0)+2),FALSE),"")</f>
        <v/>
      </c>
      <c r="WXO6" s="27" t="str">
        <f>IFERROR(VLOOKUP(DATE($K$1,$K$2,WXO$4),Table1[],(MATCH(Calendar!$A6,DB!1:1,0)+2),FALSE),"")</f>
        <v/>
      </c>
      <c r="WXP6" s="27" t="str">
        <f>IFERROR(VLOOKUP(DATE($K$1,$K$2,WXP$4),Table1[],(MATCH(Calendar!$A6,DB!1:1,0)+2),FALSE),"")</f>
        <v/>
      </c>
      <c r="WXQ6" s="27" t="str">
        <f>IFERROR(VLOOKUP(DATE($K$1,$K$2,WXQ$4),Table1[],(MATCH(Calendar!$A6,DB!1:1,0)+2),FALSE),"")</f>
        <v/>
      </c>
      <c r="WXR6" s="27" t="str">
        <f>IFERROR(VLOOKUP(DATE($K$1,$K$2,WXR$4),Table1[],(MATCH(Calendar!$A6,DB!1:1,0)+2),FALSE),"")</f>
        <v/>
      </c>
      <c r="WXS6" s="27" t="str">
        <f>IFERROR(VLOOKUP(DATE($K$1,$K$2,WXS$4),Table1[],(MATCH(Calendar!$A6,DB!1:1,0)+2),FALSE),"")</f>
        <v/>
      </c>
      <c r="WXT6" s="27" t="str">
        <f>IFERROR(VLOOKUP(DATE($K$1,$K$2,WXT$4),Table1[],(MATCH(Calendar!$A6,DB!1:1,0)+2),FALSE),"")</f>
        <v/>
      </c>
      <c r="WXU6" s="27" t="str">
        <f>IFERROR(VLOOKUP(DATE($K$1,$K$2,WXU$4),Table1[],(MATCH(Calendar!$A6,DB!1:1,0)+2),FALSE),"")</f>
        <v/>
      </c>
      <c r="WXV6" s="27" t="str">
        <f>IFERROR(VLOOKUP(DATE($K$1,$K$2,WXV$4),Table1[],(MATCH(Calendar!$A6,DB!1:1,0)+2),FALSE),"")</f>
        <v/>
      </c>
      <c r="WXW6" s="27" t="str">
        <f>IFERROR(VLOOKUP(DATE($K$1,$K$2,WXW$4),Table1[],(MATCH(Calendar!$A6,DB!1:1,0)+2),FALSE),"")</f>
        <v/>
      </c>
      <c r="WXX6" s="27" t="str">
        <f>IFERROR(VLOOKUP(DATE($K$1,$K$2,WXX$4),Table1[],(MATCH(Calendar!$A6,DB!1:1,0)+2),FALSE),"")</f>
        <v/>
      </c>
      <c r="WXY6" s="27" t="str">
        <f>IFERROR(VLOOKUP(DATE($K$1,$K$2,WXY$4),Table1[],(MATCH(Calendar!$A6,DB!1:1,0)+2),FALSE),"")</f>
        <v/>
      </c>
      <c r="WXZ6" s="27" t="str">
        <f>IFERROR(VLOOKUP(DATE($K$1,$K$2,WXZ$4),Table1[],(MATCH(Calendar!$A6,DB!1:1,0)+2),FALSE),"")</f>
        <v/>
      </c>
      <c r="WYA6" s="27" t="str">
        <f>IFERROR(VLOOKUP(DATE($K$1,$K$2,WYA$4),Table1[],(MATCH(Calendar!$A6,DB!1:1,0)+2),FALSE),"")</f>
        <v/>
      </c>
      <c r="WYB6" s="27" t="str">
        <f>IFERROR(VLOOKUP(DATE($K$1,$K$2,WYB$4),Table1[],(MATCH(Calendar!$A6,DB!1:1,0)+2),FALSE),"")</f>
        <v/>
      </c>
      <c r="WYC6" s="27" t="str">
        <f>IFERROR(VLOOKUP(DATE($K$1,$K$2,WYC$4),Table1[],(MATCH(Calendar!$A6,DB!1:1,0)+2),FALSE),"")</f>
        <v/>
      </c>
      <c r="WYD6" s="27" t="str">
        <f>IFERROR(VLOOKUP(DATE($K$1,$K$2,WYD$4),Table1[],(MATCH(Calendar!$A6,DB!1:1,0)+2),FALSE),"")</f>
        <v/>
      </c>
      <c r="WYE6" s="27" t="str">
        <f>IFERROR(VLOOKUP(DATE($K$1,$K$2,WYE$4),Table1[],(MATCH(Calendar!$A6,DB!1:1,0)+2),FALSE),"")</f>
        <v/>
      </c>
      <c r="WYF6" s="27" t="str">
        <f>IFERROR(VLOOKUP(DATE($K$1,$K$2,WYF$4),Table1[],(MATCH(Calendar!$A6,DB!1:1,0)+2),FALSE),"")</f>
        <v/>
      </c>
      <c r="WYG6" s="27" t="str">
        <f>IFERROR(VLOOKUP(DATE($K$1,$K$2,WYG$4),Table1[],(MATCH(Calendar!$A6,DB!1:1,0)+2),FALSE),"")</f>
        <v/>
      </c>
      <c r="WYH6" s="27" t="str">
        <f>IFERROR(VLOOKUP(DATE($K$1,$K$2,WYH$4),Table1[],(MATCH(Calendar!$A6,DB!1:1,0)+2),FALSE),"")</f>
        <v/>
      </c>
      <c r="WYI6" s="27" t="str">
        <f>IFERROR(VLOOKUP(DATE($K$1,$K$2,WYI$4),Table1[],(MATCH(Calendar!$A6,DB!1:1,0)+2),FALSE),"")</f>
        <v/>
      </c>
      <c r="WYJ6" s="27" t="str">
        <f>IFERROR(VLOOKUP(DATE($K$1,$K$2,WYJ$4),Table1[],(MATCH(Calendar!$A6,DB!1:1,0)+2),FALSE),"")</f>
        <v/>
      </c>
      <c r="WYK6" s="27" t="str">
        <f>IFERROR(VLOOKUP(DATE($K$1,$K$2,WYK$4),Table1[],(MATCH(Calendar!$A6,DB!1:1,0)+2),FALSE),"")</f>
        <v/>
      </c>
      <c r="WYL6" s="27" t="str">
        <f>IFERROR(VLOOKUP(DATE($K$1,$K$2,WYL$4),Table1[],(MATCH(Calendar!$A6,DB!1:1,0)+2),FALSE),"")</f>
        <v/>
      </c>
      <c r="WYM6" s="27" t="str">
        <f>IFERROR(VLOOKUP(DATE($K$1,$K$2,WYM$4),Table1[],(MATCH(Calendar!$A6,DB!1:1,0)+2),FALSE),"")</f>
        <v/>
      </c>
      <c r="WYN6" s="27" t="str">
        <f>IFERROR(VLOOKUP(DATE($K$1,$K$2,WYN$4),Table1[],(MATCH(Calendar!$A6,DB!1:1,0)+2),FALSE),"")</f>
        <v/>
      </c>
      <c r="WYO6" s="27" t="str">
        <f>IFERROR(VLOOKUP(DATE($K$1,$K$2,WYO$4),Table1[],(MATCH(Calendar!$A6,DB!1:1,0)+2),FALSE),"")</f>
        <v/>
      </c>
      <c r="WYP6" s="27" t="str">
        <f>IFERROR(VLOOKUP(DATE($K$1,$K$2,WYP$4),Table1[],(MATCH(Calendar!$A6,DB!1:1,0)+2),FALSE),"")</f>
        <v/>
      </c>
      <c r="WYQ6" s="27" t="str">
        <f>IFERROR(VLOOKUP(DATE($K$1,$K$2,WYQ$4),Table1[],(MATCH(Calendar!$A6,DB!1:1,0)+2),FALSE),"")</f>
        <v/>
      </c>
      <c r="WYR6" s="27" t="str">
        <f>IFERROR(VLOOKUP(DATE($K$1,$K$2,WYR$4),Table1[],(MATCH(Calendar!$A6,DB!1:1,0)+2),FALSE),"")</f>
        <v/>
      </c>
      <c r="WYS6" s="27" t="str">
        <f>IFERROR(VLOOKUP(DATE($K$1,$K$2,WYS$4),Table1[],(MATCH(Calendar!$A6,DB!1:1,0)+2),FALSE),"")</f>
        <v/>
      </c>
      <c r="WYT6" s="27" t="str">
        <f>IFERROR(VLOOKUP(DATE($K$1,$K$2,WYT$4),Table1[],(MATCH(Calendar!$A6,DB!1:1,0)+2),FALSE),"")</f>
        <v/>
      </c>
      <c r="WYU6" s="27" t="str">
        <f>IFERROR(VLOOKUP(DATE($K$1,$K$2,WYU$4),Table1[],(MATCH(Calendar!$A6,DB!1:1,0)+2),FALSE),"")</f>
        <v/>
      </c>
      <c r="WYV6" s="27" t="str">
        <f>IFERROR(VLOOKUP(DATE($K$1,$K$2,WYV$4),Table1[],(MATCH(Calendar!$A6,DB!1:1,0)+2),FALSE),"")</f>
        <v/>
      </c>
      <c r="WYW6" s="27" t="str">
        <f>IFERROR(VLOOKUP(DATE($K$1,$K$2,WYW$4),Table1[],(MATCH(Calendar!$A6,DB!1:1,0)+2),FALSE),"")</f>
        <v/>
      </c>
      <c r="WYX6" s="27" t="str">
        <f>IFERROR(VLOOKUP(DATE($K$1,$K$2,WYX$4),Table1[],(MATCH(Calendar!$A6,DB!1:1,0)+2),FALSE),"")</f>
        <v/>
      </c>
      <c r="WYY6" s="27" t="str">
        <f>IFERROR(VLOOKUP(DATE($K$1,$K$2,WYY$4),Table1[],(MATCH(Calendar!$A6,DB!1:1,0)+2),FALSE),"")</f>
        <v/>
      </c>
      <c r="WYZ6" s="27" t="str">
        <f>IFERROR(VLOOKUP(DATE($K$1,$K$2,WYZ$4),Table1[],(MATCH(Calendar!$A6,DB!1:1,0)+2),FALSE),"")</f>
        <v/>
      </c>
      <c r="WZA6" s="27" t="str">
        <f>IFERROR(VLOOKUP(DATE($K$1,$K$2,WZA$4),Table1[],(MATCH(Calendar!$A6,DB!1:1,0)+2),FALSE),"")</f>
        <v/>
      </c>
      <c r="WZB6" s="27" t="str">
        <f>IFERROR(VLOOKUP(DATE($K$1,$K$2,WZB$4),Table1[],(MATCH(Calendar!$A6,DB!1:1,0)+2),FALSE),"")</f>
        <v/>
      </c>
      <c r="WZC6" s="27" t="str">
        <f>IFERROR(VLOOKUP(DATE($K$1,$K$2,WZC$4),Table1[],(MATCH(Calendar!$A6,DB!1:1,0)+2),FALSE),"")</f>
        <v/>
      </c>
      <c r="WZD6" s="27" t="str">
        <f>IFERROR(VLOOKUP(DATE($K$1,$K$2,WZD$4),Table1[],(MATCH(Calendar!$A6,DB!1:1,0)+2),FALSE),"")</f>
        <v/>
      </c>
      <c r="WZE6" s="27" t="str">
        <f>IFERROR(VLOOKUP(DATE($K$1,$K$2,WZE$4),Table1[],(MATCH(Calendar!$A6,DB!1:1,0)+2),FALSE),"")</f>
        <v/>
      </c>
      <c r="WZF6" s="27" t="str">
        <f>IFERROR(VLOOKUP(DATE($K$1,$K$2,WZF$4),Table1[],(MATCH(Calendar!$A6,DB!1:1,0)+2),FALSE),"")</f>
        <v/>
      </c>
      <c r="WZG6" s="27" t="str">
        <f>IFERROR(VLOOKUP(DATE($K$1,$K$2,WZG$4),Table1[],(MATCH(Calendar!$A6,DB!1:1,0)+2),FALSE),"")</f>
        <v/>
      </c>
      <c r="WZH6" s="27" t="str">
        <f>IFERROR(VLOOKUP(DATE($K$1,$K$2,WZH$4),Table1[],(MATCH(Calendar!$A6,DB!1:1,0)+2),FALSE),"")</f>
        <v/>
      </c>
      <c r="WZI6" s="27" t="str">
        <f>IFERROR(VLOOKUP(DATE($K$1,$K$2,WZI$4),Table1[],(MATCH(Calendar!$A6,DB!1:1,0)+2),FALSE),"")</f>
        <v/>
      </c>
      <c r="WZJ6" s="27" t="str">
        <f>IFERROR(VLOOKUP(DATE($K$1,$K$2,WZJ$4),Table1[],(MATCH(Calendar!$A6,DB!1:1,0)+2),FALSE),"")</f>
        <v/>
      </c>
      <c r="WZK6" s="27" t="str">
        <f>IFERROR(VLOOKUP(DATE($K$1,$K$2,WZK$4),Table1[],(MATCH(Calendar!$A6,DB!1:1,0)+2),FALSE),"")</f>
        <v/>
      </c>
      <c r="WZL6" s="27" t="str">
        <f>IFERROR(VLOOKUP(DATE($K$1,$K$2,WZL$4),Table1[],(MATCH(Calendar!$A6,DB!1:1,0)+2),FALSE),"")</f>
        <v/>
      </c>
      <c r="WZM6" s="27" t="str">
        <f>IFERROR(VLOOKUP(DATE($K$1,$K$2,WZM$4),Table1[],(MATCH(Calendar!$A6,DB!1:1,0)+2),FALSE),"")</f>
        <v/>
      </c>
      <c r="WZN6" s="27" t="str">
        <f>IFERROR(VLOOKUP(DATE($K$1,$K$2,WZN$4),Table1[],(MATCH(Calendar!$A6,DB!1:1,0)+2),FALSE),"")</f>
        <v/>
      </c>
      <c r="WZO6" s="27" t="str">
        <f>IFERROR(VLOOKUP(DATE($K$1,$K$2,WZO$4),Table1[],(MATCH(Calendar!$A6,DB!1:1,0)+2),FALSE),"")</f>
        <v/>
      </c>
      <c r="WZP6" s="27" t="str">
        <f>IFERROR(VLOOKUP(DATE($K$1,$K$2,WZP$4),Table1[],(MATCH(Calendar!$A6,DB!1:1,0)+2),FALSE),"")</f>
        <v/>
      </c>
      <c r="WZQ6" s="27" t="str">
        <f>IFERROR(VLOOKUP(DATE($K$1,$K$2,WZQ$4),Table1[],(MATCH(Calendar!$A6,DB!1:1,0)+2),FALSE),"")</f>
        <v/>
      </c>
      <c r="WZR6" s="27" t="str">
        <f>IFERROR(VLOOKUP(DATE($K$1,$K$2,WZR$4),Table1[],(MATCH(Calendar!$A6,DB!1:1,0)+2),FALSE),"")</f>
        <v/>
      </c>
      <c r="WZS6" s="27" t="str">
        <f>IFERROR(VLOOKUP(DATE($K$1,$K$2,WZS$4),Table1[],(MATCH(Calendar!$A6,DB!1:1,0)+2),FALSE),"")</f>
        <v/>
      </c>
      <c r="WZT6" s="27" t="str">
        <f>IFERROR(VLOOKUP(DATE($K$1,$K$2,WZT$4),Table1[],(MATCH(Calendar!$A6,DB!1:1,0)+2),FALSE),"")</f>
        <v/>
      </c>
      <c r="WZU6" s="27" t="str">
        <f>IFERROR(VLOOKUP(DATE($K$1,$K$2,WZU$4),Table1[],(MATCH(Calendar!$A6,DB!1:1,0)+2),FALSE),"")</f>
        <v/>
      </c>
      <c r="WZV6" s="27" t="str">
        <f>IFERROR(VLOOKUP(DATE($K$1,$K$2,WZV$4),Table1[],(MATCH(Calendar!$A6,DB!1:1,0)+2),FALSE),"")</f>
        <v/>
      </c>
      <c r="WZW6" s="27" t="str">
        <f>IFERROR(VLOOKUP(DATE($K$1,$K$2,WZW$4),Table1[],(MATCH(Calendar!$A6,DB!1:1,0)+2),FALSE),"")</f>
        <v/>
      </c>
      <c r="WZX6" s="27" t="str">
        <f>IFERROR(VLOOKUP(DATE($K$1,$K$2,WZX$4),Table1[],(MATCH(Calendar!$A6,DB!1:1,0)+2),FALSE),"")</f>
        <v/>
      </c>
      <c r="WZY6" s="27" t="str">
        <f>IFERROR(VLOOKUP(DATE($K$1,$K$2,WZY$4),Table1[],(MATCH(Calendar!$A6,DB!1:1,0)+2),FALSE),"")</f>
        <v/>
      </c>
      <c r="WZZ6" s="27" t="str">
        <f>IFERROR(VLOOKUP(DATE($K$1,$K$2,WZZ$4),Table1[],(MATCH(Calendar!$A6,DB!1:1,0)+2),FALSE),"")</f>
        <v/>
      </c>
      <c r="XAA6" s="27" t="str">
        <f>IFERROR(VLOOKUP(DATE($K$1,$K$2,XAA$4),Table1[],(MATCH(Calendar!$A6,DB!1:1,0)+2),FALSE),"")</f>
        <v/>
      </c>
      <c r="XAB6" s="27" t="str">
        <f>IFERROR(VLOOKUP(DATE($K$1,$K$2,XAB$4),Table1[],(MATCH(Calendar!$A6,DB!1:1,0)+2),FALSE),"")</f>
        <v/>
      </c>
      <c r="XAC6" s="27" t="str">
        <f>IFERROR(VLOOKUP(DATE($K$1,$K$2,XAC$4),Table1[],(MATCH(Calendar!$A6,DB!1:1,0)+2),FALSE),"")</f>
        <v/>
      </c>
      <c r="XAD6" s="27" t="str">
        <f>IFERROR(VLOOKUP(DATE($K$1,$K$2,XAD$4),Table1[],(MATCH(Calendar!$A6,DB!1:1,0)+2),FALSE),"")</f>
        <v/>
      </c>
      <c r="XAE6" s="27" t="str">
        <f>IFERROR(VLOOKUP(DATE($K$1,$K$2,XAE$4),Table1[],(MATCH(Calendar!$A6,DB!1:1,0)+2),FALSE),"")</f>
        <v/>
      </c>
      <c r="XAF6" s="27" t="str">
        <f>IFERROR(VLOOKUP(DATE($K$1,$K$2,XAF$4),Table1[],(MATCH(Calendar!$A6,DB!1:1,0)+2),FALSE),"")</f>
        <v/>
      </c>
      <c r="XAG6" s="27" t="str">
        <f>IFERROR(VLOOKUP(DATE($K$1,$K$2,XAG$4),Table1[],(MATCH(Calendar!$A6,DB!1:1,0)+2),FALSE),"")</f>
        <v/>
      </c>
      <c r="XAH6" s="27" t="str">
        <f>IFERROR(VLOOKUP(DATE($K$1,$K$2,XAH$4),Table1[],(MATCH(Calendar!$A6,DB!1:1,0)+2),FALSE),"")</f>
        <v/>
      </c>
      <c r="XAI6" s="27" t="str">
        <f>IFERROR(VLOOKUP(DATE($K$1,$K$2,XAI$4),Table1[],(MATCH(Calendar!$A6,DB!1:1,0)+2),FALSE),"")</f>
        <v/>
      </c>
      <c r="XAJ6" s="27" t="str">
        <f>IFERROR(VLOOKUP(DATE($K$1,$K$2,XAJ$4),Table1[],(MATCH(Calendar!$A6,DB!1:1,0)+2),FALSE),"")</f>
        <v/>
      </c>
      <c r="XAK6" s="27" t="str">
        <f>IFERROR(VLOOKUP(DATE($K$1,$K$2,XAK$4),Table1[],(MATCH(Calendar!$A6,DB!1:1,0)+2),FALSE),"")</f>
        <v/>
      </c>
      <c r="XAL6" s="27" t="str">
        <f>IFERROR(VLOOKUP(DATE($K$1,$K$2,XAL$4),Table1[],(MATCH(Calendar!$A6,DB!1:1,0)+2),FALSE),"")</f>
        <v/>
      </c>
      <c r="XAM6" s="27" t="str">
        <f>IFERROR(VLOOKUP(DATE($K$1,$K$2,XAM$4),Table1[],(MATCH(Calendar!$A6,DB!1:1,0)+2),FALSE),"")</f>
        <v/>
      </c>
      <c r="XAN6" s="27" t="str">
        <f>IFERROR(VLOOKUP(DATE($K$1,$K$2,XAN$4),Table1[],(MATCH(Calendar!$A6,DB!1:1,0)+2),FALSE),"")</f>
        <v/>
      </c>
      <c r="XAO6" s="27" t="str">
        <f>IFERROR(VLOOKUP(DATE($K$1,$K$2,XAO$4),Table1[],(MATCH(Calendar!$A6,DB!1:1,0)+2),FALSE),"")</f>
        <v/>
      </c>
      <c r="XAP6" s="27" t="str">
        <f>IFERROR(VLOOKUP(DATE($K$1,$K$2,XAP$4),Table1[],(MATCH(Calendar!$A6,DB!1:1,0)+2),FALSE),"")</f>
        <v/>
      </c>
      <c r="XAQ6" s="27" t="str">
        <f>IFERROR(VLOOKUP(DATE($K$1,$K$2,XAQ$4),Table1[],(MATCH(Calendar!$A6,DB!1:1,0)+2),FALSE),"")</f>
        <v/>
      </c>
      <c r="XAR6" s="27" t="str">
        <f>IFERROR(VLOOKUP(DATE($K$1,$K$2,XAR$4),Table1[],(MATCH(Calendar!$A6,DB!1:1,0)+2),FALSE),"")</f>
        <v/>
      </c>
      <c r="XAS6" s="27" t="str">
        <f>IFERROR(VLOOKUP(DATE($K$1,$K$2,XAS$4),Table1[],(MATCH(Calendar!$A6,DB!1:1,0)+2),FALSE),"")</f>
        <v/>
      </c>
      <c r="XAT6" s="27" t="str">
        <f>IFERROR(VLOOKUP(DATE($K$1,$K$2,XAT$4),Table1[],(MATCH(Calendar!$A6,DB!1:1,0)+2),FALSE),"")</f>
        <v/>
      </c>
      <c r="XAU6" s="27" t="str">
        <f>IFERROR(VLOOKUP(DATE($K$1,$K$2,XAU$4),Table1[],(MATCH(Calendar!$A6,DB!1:1,0)+2),FALSE),"")</f>
        <v/>
      </c>
      <c r="XAV6" s="27" t="str">
        <f>IFERROR(VLOOKUP(DATE($K$1,$K$2,XAV$4),Table1[],(MATCH(Calendar!$A6,DB!1:1,0)+2),FALSE),"")</f>
        <v/>
      </c>
      <c r="XAW6" s="27" t="str">
        <f>IFERROR(VLOOKUP(DATE($K$1,$K$2,XAW$4),Table1[],(MATCH(Calendar!$A6,DB!1:1,0)+2),FALSE),"")</f>
        <v/>
      </c>
      <c r="XAX6" s="27" t="str">
        <f>IFERROR(VLOOKUP(DATE($K$1,$K$2,XAX$4),Table1[],(MATCH(Calendar!$A6,DB!1:1,0)+2),FALSE),"")</f>
        <v/>
      </c>
      <c r="XAY6" s="27" t="str">
        <f>IFERROR(VLOOKUP(DATE($K$1,$K$2,XAY$4),Table1[],(MATCH(Calendar!$A6,DB!1:1,0)+2),FALSE),"")</f>
        <v/>
      </c>
      <c r="XAZ6" s="27" t="str">
        <f>IFERROR(VLOOKUP(DATE($K$1,$K$2,XAZ$4),Table1[],(MATCH(Calendar!$A6,DB!1:1,0)+2),FALSE),"")</f>
        <v/>
      </c>
      <c r="XBA6" s="27" t="str">
        <f>IFERROR(VLOOKUP(DATE($K$1,$K$2,XBA$4),Table1[],(MATCH(Calendar!$A6,DB!1:1,0)+2),FALSE),"")</f>
        <v/>
      </c>
      <c r="XBB6" s="27" t="str">
        <f>IFERROR(VLOOKUP(DATE($K$1,$K$2,XBB$4),Table1[],(MATCH(Calendar!$A6,DB!1:1,0)+2),FALSE),"")</f>
        <v/>
      </c>
      <c r="XBC6" s="27" t="str">
        <f>IFERROR(VLOOKUP(DATE($K$1,$K$2,XBC$4),Table1[],(MATCH(Calendar!$A6,DB!1:1,0)+2),FALSE),"")</f>
        <v/>
      </c>
      <c r="XBD6" s="27" t="str">
        <f>IFERROR(VLOOKUP(DATE($K$1,$K$2,XBD$4),Table1[],(MATCH(Calendar!$A6,DB!1:1,0)+2),FALSE),"")</f>
        <v/>
      </c>
      <c r="XBE6" s="27" t="str">
        <f>IFERROR(VLOOKUP(DATE($K$1,$K$2,XBE$4),Table1[],(MATCH(Calendar!$A6,DB!1:1,0)+2),FALSE),"")</f>
        <v/>
      </c>
      <c r="XBF6" s="27" t="str">
        <f>IFERROR(VLOOKUP(DATE($K$1,$K$2,XBF$4),Table1[],(MATCH(Calendar!$A6,DB!1:1,0)+2),FALSE),"")</f>
        <v/>
      </c>
      <c r="XBG6" s="27" t="str">
        <f>IFERROR(VLOOKUP(DATE($K$1,$K$2,XBG$4),Table1[],(MATCH(Calendar!$A6,DB!1:1,0)+2),FALSE),"")</f>
        <v/>
      </c>
      <c r="XBH6" s="27" t="str">
        <f>IFERROR(VLOOKUP(DATE($K$1,$K$2,XBH$4),Table1[],(MATCH(Calendar!$A6,DB!1:1,0)+2),FALSE),"")</f>
        <v/>
      </c>
      <c r="XBI6" s="27" t="str">
        <f>IFERROR(VLOOKUP(DATE($K$1,$K$2,XBI$4),Table1[],(MATCH(Calendar!$A6,DB!1:1,0)+2),FALSE),"")</f>
        <v/>
      </c>
      <c r="XBJ6" s="27" t="str">
        <f>IFERROR(VLOOKUP(DATE($K$1,$K$2,XBJ$4),Table1[],(MATCH(Calendar!$A6,DB!1:1,0)+2),FALSE),"")</f>
        <v/>
      </c>
      <c r="XBK6" s="27" t="str">
        <f>IFERROR(VLOOKUP(DATE($K$1,$K$2,XBK$4),Table1[],(MATCH(Calendar!$A6,DB!1:1,0)+2),FALSE),"")</f>
        <v/>
      </c>
      <c r="XBL6" s="27" t="str">
        <f>IFERROR(VLOOKUP(DATE($K$1,$K$2,XBL$4),Table1[],(MATCH(Calendar!$A6,DB!1:1,0)+2),FALSE),"")</f>
        <v/>
      </c>
      <c r="XBM6" s="27" t="str">
        <f>IFERROR(VLOOKUP(DATE($K$1,$K$2,XBM$4),Table1[],(MATCH(Calendar!$A6,DB!1:1,0)+2),FALSE),"")</f>
        <v/>
      </c>
      <c r="XBN6" s="27" t="str">
        <f>IFERROR(VLOOKUP(DATE($K$1,$K$2,XBN$4),Table1[],(MATCH(Calendar!$A6,DB!1:1,0)+2),FALSE),"")</f>
        <v/>
      </c>
      <c r="XBO6" s="27" t="str">
        <f>IFERROR(VLOOKUP(DATE($K$1,$K$2,XBO$4),Table1[],(MATCH(Calendar!$A6,DB!1:1,0)+2),FALSE),"")</f>
        <v/>
      </c>
      <c r="XBP6" s="27" t="str">
        <f>IFERROR(VLOOKUP(DATE($K$1,$K$2,XBP$4),Table1[],(MATCH(Calendar!$A6,DB!1:1,0)+2),FALSE),"")</f>
        <v/>
      </c>
      <c r="XBQ6" s="27" t="str">
        <f>IFERROR(VLOOKUP(DATE($K$1,$K$2,XBQ$4),Table1[],(MATCH(Calendar!$A6,DB!1:1,0)+2),FALSE),"")</f>
        <v/>
      </c>
      <c r="XBR6" s="27" t="str">
        <f>IFERROR(VLOOKUP(DATE($K$1,$K$2,XBR$4),Table1[],(MATCH(Calendar!$A6,DB!1:1,0)+2),FALSE),"")</f>
        <v/>
      </c>
      <c r="XBS6" s="27" t="str">
        <f>IFERROR(VLOOKUP(DATE($K$1,$K$2,XBS$4),Table1[],(MATCH(Calendar!$A6,DB!1:1,0)+2),FALSE),"")</f>
        <v/>
      </c>
      <c r="XBT6" s="27" t="str">
        <f>IFERROR(VLOOKUP(DATE($K$1,$K$2,XBT$4),Table1[],(MATCH(Calendar!$A6,DB!1:1,0)+2),FALSE),"")</f>
        <v/>
      </c>
      <c r="XBU6" s="27" t="str">
        <f>IFERROR(VLOOKUP(DATE($K$1,$K$2,XBU$4),Table1[],(MATCH(Calendar!$A6,DB!1:1,0)+2),FALSE),"")</f>
        <v/>
      </c>
      <c r="XBV6" s="27" t="str">
        <f>IFERROR(VLOOKUP(DATE($K$1,$K$2,XBV$4),Table1[],(MATCH(Calendar!$A6,DB!1:1,0)+2),FALSE),"")</f>
        <v/>
      </c>
      <c r="XBW6" s="27" t="str">
        <f>IFERROR(VLOOKUP(DATE($K$1,$K$2,XBW$4),Table1[],(MATCH(Calendar!$A6,DB!1:1,0)+2),FALSE),"")</f>
        <v/>
      </c>
      <c r="XBX6" s="27" t="str">
        <f>IFERROR(VLOOKUP(DATE($K$1,$K$2,XBX$4),Table1[],(MATCH(Calendar!$A6,DB!1:1,0)+2),FALSE),"")</f>
        <v/>
      </c>
      <c r="XBY6" s="27" t="str">
        <f>IFERROR(VLOOKUP(DATE($K$1,$K$2,XBY$4),Table1[],(MATCH(Calendar!$A6,DB!1:1,0)+2),FALSE),"")</f>
        <v/>
      </c>
      <c r="XBZ6" s="27" t="str">
        <f>IFERROR(VLOOKUP(DATE($K$1,$K$2,XBZ$4),Table1[],(MATCH(Calendar!$A6,DB!1:1,0)+2),FALSE),"")</f>
        <v/>
      </c>
      <c r="XCA6" s="27" t="str">
        <f>IFERROR(VLOOKUP(DATE($K$1,$K$2,XCA$4),Table1[],(MATCH(Calendar!$A6,DB!1:1,0)+2),FALSE),"")</f>
        <v/>
      </c>
      <c r="XCB6" s="27" t="str">
        <f>IFERROR(VLOOKUP(DATE($K$1,$K$2,XCB$4),Table1[],(MATCH(Calendar!$A6,DB!1:1,0)+2),FALSE),"")</f>
        <v/>
      </c>
      <c r="XCC6" s="27" t="str">
        <f>IFERROR(VLOOKUP(DATE($K$1,$K$2,XCC$4),Table1[],(MATCH(Calendar!$A6,DB!1:1,0)+2),FALSE),"")</f>
        <v/>
      </c>
      <c r="XCD6" s="27" t="str">
        <f>IFERROR(VLOOKUP(DATE($K$1,$K$2,XCD$4),Table1[],(MATCH(Calendar!$A6,DB!1:1,0)+2),FALSE),"")</f>
        <v/>
      </c>
      <c r="XCE6" s="27" t="str">
        <f>IFERROR(VLOOKUP(DATE($K$1,$K$2,XCE$4),Table1[],(MATCH(Calendar!$A6,DB!1:1,0)+2),FALSE),"")</f>
        <v/>
      </c>
      <c r="XCF6" s="27" t="str">
        <f>IFERROR(VLOOKUP(DATE($K$1,$K$2,XCF$4),Table1[],(MATCH(Calendar!$A6,DB!1:1,0)+2),FALSE),"")</f>
        <v/>
      </c>
      <c r="XCG6" s="27" t="str">
        <f>IFERROR(VLOOKUP(DATE($K$1,$K$2,XCG$4),Table1[],(MATCH(Calendar!$A6,DB!1:1,0)+2),FALSE),"")</f>
        <v/>
      </c>
      <c r="XCH6" s="27" t="str">
        <f>IFERROR(VLOOKUP(DATE($K$1,$K$2,XCH$4),Table1[],(MATCH(Calendar!$A6,DB!1:1,0)+2),FALSE),"")</f>
        <v/>
      </c>
      <c r="XCI6" s="27" t="str">
        <f>IFERROR(VLOOKUP(DATE($K$1,$K$2,XCI$4),Table1[],(MATCH(Calendar!$A6,DB!1:1,0)+2),FALSE),"")</f>
        <v/>
      </c>
      <c r="XCJ6" s="27" t="str">
        <f>IFERROR(VLOOKUP(DATE($K$1,$K$2,XCJ$4),Table1[],(MATCH(Calendar!$A6,DB!1:1,0)+2),FALSE),"")</f>
        <v/>
      </c>
      <c r="XCK6" s="27" t="str">
        <f>IFERROR(VLOOKUP(DATE($K$1,$K$2,XCK$4),Table1[],(MATCH(Calendar!$A6,DB!1:1,0)+2),FALSE),"")</f>
        <v/>
      </c>
      <c r="XCL6" s="27" t="str">
        <f>IFERROR(VLOOKUP(DATE($K$1,$K$2,XCL$4),Table1[],(MATCH(Calendar!$A6,DB!1:1,0)+2),FALSE),"")</f>
        <v/>
      </c>
      <c r="XCM6" s="27" t="str">
        <f>IFERROR(VLOOKUP(DATE($K$1,$K$2,XCM$4),Table1[],(MATCH(Calendar!$A6,DB!1:1,0)+2),FALSE),"")</f>
        <v/>
      </c>
      <c r="XCN6" s="27" t="str">
        <f>IFERROR(VLOOKUP(DATE($K$1,$K$2,XCN$4),Table1[],(MATCH(Calendar!$A6,DB!1:1,0)+2),FALSE),"")</f>
        <v/>
      </c>
      <c r="XCO6" s="27" t="str">
        <f>IFERROR(VLOOKUP(DATE($K$1,$K$2,XCO$4),Table1[],(MATCH(Calendar!$A6,DB!1:1,0)+2),FALSE),"")</f>
        <v/>
      </c>
      <c r="XCP6" s="27" t="str">
        <f>IFERROR(VLOOKUP(DATE($K$1,$K$2,XCP$4),Table1[],(MATCH(Calendar!$A6,DB!1:1,0)+2),FALSE),"")</f>
        <v/>
      </c>
      <c r="XCQ6" s="27" t="str">
        <f>IFERROR(VLOOKUP(DATE($K$1,$K$2,XCQ$4),Table1[],(MATCH(Calendar!$A6,DB!1:1,0)+2),FALSE),"")</f>
        <v/>
      </c>
      <c r="XCR6" s="27" t="str">
        <f>IFERROR(VLOOKUP(DATE($K$1,$K$2,XCR$4),Table1[],(MATCH(Calendar!$A6,DB!1:1,0)+2),FALSE),"")</f>
        <v/>
      </c>
      <c r="XCS6" s="27" t="str">
        <f>IFERROR(VLOOKUP(DATE($K$1,$K$2,XCS$4),Table1[],(MATCH(Calendar!$A6,DB!1:1,0)+2),FALSE),"")</f>
        <v/>
      </c>
      <c r="XCT6" s="27" t="str">
        <f>IFERROR(VLOOKUP(DATE($K$1,$K$2,XCT$4),Table1[],(MATCH(Calendar!$A6,DB!1:1,0)+2),FALSE),"")</f>
        <v/>
      </c>
      <c r="XCU6" s="27" t="str">
        <f>IFERROR(VLOOKUP(DATE($K$1,$K$2,XCU$4),Table1[],(MATCH(Calendar!$A6,DB!1:1,0)+2),FALSE),"")</f>
        <v/>
      </c>
      <c r="XCV6" s="27" t="str">
        <f>IFERROR(VLOOKUP(DATE($K$1,$K$2,XCV$4),Table1[],(MATCH(Calendar!$A6,DB!1:1,0)+2),FALSE),"")</f>
        <v/>
      </c>
      <c r="XCW6" s="27" t="str">
        <f>IFERROR(VLOOKUP(DATE($K$1,$K$2,XCW$4),Table1[],(MATCH(Calendar!$A6,DB!1:1,0)+2),FALSE),"")</f>
        <v/>
      </c>
      <c r="XCX6" s="27" t="str">
        <f>IFERROR(VLOOKUP(DATE($K$1,$K$2,XCX$4),Table1[],(MATCH(Calendar!$A6,DB!1:1,0)+2),FALSE),"")</f>
        <v/>
      </c>
      <c r="XCY6" s="27" t="str">
        <f>IFERROR(VLOOKUP(DATE($K$1,$K$2,XCY$4),Table1[],(MATCH(Calendar!$A6,DB!1:1,0)+2),FALSE),"")</f>
        <v/>
      </c>
      <c r="XCZ6" s="27" t="str">
        <f>IFERROR(VLOOKUP(DATE($K$1,$K$2,XCZ$4),Table1[],(MATCH(Calendar!$A6,DB!1:1,0)+2),FALSE),"")</f>
        <v/>
      </c>
      <c r="XDA6" s="27" t="str">
        <f>IFERROR(VLOOKUP(DATE($K$1,$K$2,XDA$4),Table1[],(MATCH(Calendar!$A6,DB!1:1,0)+2),FALSE),"")</f>
        <v/>
      </c>
      <c r="XDB6" s="27" t="str">
        <f>IFERROR(VLOOKUP(DATE($K$1,$K$2,XDB$4),Table1[],(MATCH(Calendar!$A6,DB!1:1,0)+2),FALSE),"")</f>
        <v/>
      </c>
      <c r="XDC6" s="27" t="str">
        <f>IFERROR(VLOOKUP(DATE($K$1,$K$2,XDC$4),Table1[],(MATCH(Calendar!$A6,DB!1:1,0)+2),FALSE),"")</f>
        <v/>
      </c>
      <c r="XDD6" s="27" t="str">
        <f>IFERROR(VLOOKUP(DATE($K$1,$K$2,XDD$4),Table1[],(MATCH(Calendar!$A6,DB!1:1,0)+2),FALSE),"")</f>
        <v/>
      </c>
      <c r="XDE6" s="27" t="str">
        <f>IFERROR(VLOOKUP(DATE($K$1,$K$2,XDE$4),Table1[],(MATCH(Calendar!$A6,DB!1:1,0)+2),FALSE),"")</f>
        <v/>
      </c>
      <c r="XDF6" s="27" t="str">
        <f>IFERROR(VLOOKUP(DATE($K$1,$K$2,XDF$4),Table1[],(MATCH(Calendar!$A6,DB!1:1,0)+2),FALSE),"")</f>
        <v/>
      </c>
      <c r="XDG6" s="27" t="str">
        <f>IFERROR(VLOOKUP(DATE($K$1,$K$2,XDG$4),Table1[],(MATCH(Calendar!$A6,DB!1:1,0)+2),FALSE),"")</f>
        <v/>
      </c>
      <c r="XDH6" s="27" t="str">
        <f>IFERROR(VLOOKUP(DATE($K$1,$K$2,XDH$4),Table1[],(MATCH(Calendar!$A6,DB!1:1,0)+2),FALSE),"")</f>
        <v/>
      </c>
      <c r="XDI6" s="27" t="str">
        <f>IFERROR(VLOOKUP(DATE($K$1,$K$2,XDI$4),Table1[],(MATCH(Calendar!$A6,DB!1:1,0)+2),FALSE),"")</f>
        <v/>
      </c>
      <c r="XDJ6" s="27" t="str">
        <f>IFERROR(VLOOKUP(DATE($K$1,$K$2,XDJ$4),Table1[],(MATCH(Calendar!$A6,DB!1:1,0)+2),FALSE),"")</f>
        <v/>
      </c>
      <c r="XDK6" s="27" t="str">
        <f>IFERROR(VLOOKUP(DATE($K$1,$K$2,XDK$4),Table1[],(MATCH(Calendar!$A6,DB!1:1,0)+2),FALSE),"")</f>
        <v/>
      </c>
      <c r="XDL6" s="27" t="str">
        <f>IFERROR(VLOOKUP(DATE($K$1,$K$2,XDL$4),Table1[],(MATCH(Calendar!$A6,DB!1:1,0)+2),FALSE),"")</f>
        <v/>
      </c>
      <c r="XDM6" s="27" t="str">
        <f>IFERROR(VLOOKUP(DATE($K$1,$K$2,XDM$4),Table1[],(MATCH(Calendar!$A6,DB!1:1,0)+2),FALSE),"")</f>
        <v/>
      </c>
      <c r="XDN6" s="27" t="str">
        <f>IFERROR(VLOOKUP(DATE($K$1,$K$2,XDN$4),Table1[],(MATCH(Calendar!$A6,DB!1:1,0)+2),FALSE),"")</f>
        <v/>
      </c>
      <c r="XDO6" s="27" t="str">
        <f>IFERROR(VLOOKUP(DATE($K$1,$K$2,XDO$4),Table1[],(MATCH(Calendar!$A6,DB!1:1,0)+2),FALSE),"")</f>
        <v/>
      </c>
      <c r="XDP6" s="27" t="str">
        <f>IFERROR(VLOOKUP(DATE($K$1,$K$2,XDP$4),Table1[],(MATCH(Calendar!$A6,DB!1:1,0)+2),FALSE),"")</f>
        <v/>
      </c>
      <c r="XDQ6" s="27" t="str">
        <f>IFERROR(VLOOKUP(DATE($K$1,$K$2,XDQ$4),Table1[],(MATCH(Calendar!$A6,DB!1:1,0)+2),FALSE),"")</f>
        <v/>
      </c>
      <c r="XDR6" s="27" t="str">
        <f>IFERROR(VLOOKUP(DATE($K$1,$K$2,XDR$4),Table1[],(MATCH(Calendar!$A6,DB!1:1,0)+2),FALSE),"")</f>
        <v/>
      </c>
      <c r="XDS6" s="27" t="str">
        <f>IFERROR(VLOOKUP(DATE($K$1,$K$2,XDS$4),Table1[],(MATCH(Calendar!$A6,DB!1:1,0)+2),FALSE),"")</f>
        <v/>
      </c>
      <c r="XDT6" s="27" t="str">
        <f>IFERROR(VLOOKUP(DATE($K$1,$K$2,XDT$4),Table1[],(MATCH(Calendar!$A6,DB!1:1,0)+2),FALSE),"")</f>
        <v/>
      </c>
      <c r="XDU6" s="27" t="str">
        <f>IFERROR(VLOOKUP(DATE($K$1,$K$2,XDU$4),Table1[],(MATCH(Calendar!$A6,DB!1:1,0)+2),FALSE),"")</f>
        <v/>
      </c>
      <c r="XDV6" s="27" t="str">
        <f>IFERROR(VLOOKUP(DATE($K$1,$K$2,XDV$4),Table1[],(MATCH(Calendar!$A6,DB!1:1,0)+2),FALSE),"")</f>
        <v/>
      </c>
      <c r="XDW6" s="27" t="str">
        <f>IFERROR(VLOOKUP(DATE($K$1,$K$2,XDW$4),Table1[],(MATCH(Calendar!$A6,DB!1:1,0)+2),FALSE),"")</f>
        <v/>
      </c>
      <c r="XDX6" s="27" t="str">
        <f>IFERROR(VLOOKUP(DATE($K$1,$K$2,XDX$4),Table1[],(MATCH(Calendar!$A6,DB!1:1,0)+2),FALSE),"")</f>
        <v/>
      </c>
      <c r="XDY6" s="27" t="str">
        <f>IFERROR(VLOOKUP(DATE($K$1,$K$2,XDY$4),Table1[],(MATCH(Calendar!$A6,DB!1:1,0)+2),FALSE),"")</f>
        <v/>
      </c>
      <c r="XDZ6" s="27" t="str">
        <f>IFERROR(VLOOKUP(DATE($K$1,$K$2,XDZ$4),Table1[],(MATCH(Calendar!$A6,DB!1:1,0)+2),FALSE),"")</f>
        <v/>
      </c>
      <c r="XEA6" s="27" t="str">
        <f>IFERROR(VLOOKUP(DATE($K$1,$K$2,XEA$4),Table1[],(MATCH(Calendar!$A6,DB!1:1,0)+2),FALSE),"")</f>
        <v/>
      </c>
      <c r="XEB6" s="27" t="str">
        <f>IFERROR(VLOOKUP(DATE($K$1,$K$2,XEB$4),Table1[],(MATCH(Calendar!$A6,DB!1:1,0)+2),FALSE),"")</f>
        <v/>
      </c>
      <c r="XEC6" s="27" t="str">
        <f>IFERROR(VLOOKUP(DATE($K$1,$K$2,XEC$4),Table1[],(MATCH(Calendar!$A6,DB!1:1,0)+2),FALSE),"")</f>
        <v/>
      </c>
      <c r="XED6" s="27" t="str">
        <f>IFERROR(VLOOKUP(DATE($K$1,$K$2,XED$4),Table1[],(MATCH(Calendar!$A6,DB!1:1,0)+2),FALSE),"")</f>
        <v/>
      </c>
      <c r="XEE6" s="27" t="str">
        <f>IFERROR(VLOOKUP(DATE($K$1,$K$2,XEE$4),Table1[],(MATCH(Calendar!$A6,DB!1:1,0)+2),FALSE),"")</f>
        <v/>
      </c>
      <c r="XEF6" s="27" t="str">
        <f>IFERROR(VLOOKUP(DATE($K$1,$K$2,XEF$4),Table1[],(MATCH(Calendar!$A6,DB!1:1,0)+2),FALSE),"")</f>
        <v/>
      </c>
      <c r="XEG6" s="27" t="str">
        <f>IFERROR(VLOOKUP(DATE($K$1,$K$2,XEG$4),Table1[],(MATCH(Calendar!$A6,DB!1:1,0)+2),FALSE),"")</f>
        <v/>
      </c>
      <c r="XEH6" s="27" t="str">
        <f>IFERROR(VLOOKUP(DATE($K$1,$K$2,XEH$4),Table1[],(MATCH(Calendar!$A6,DB!1:1,0)+2),FALSE),"")</f>
        <v/>
      </c>
      <c r="XEI6" s="27" t="str">
        <f>IFERROR(VLOOKUP(DATE($K$1,$K$2,XEI$4),Table1[],(MATCH(Calendar!$A6,DB!1:1,0)+2),FALSE),"")</f>
        <v/>
      </c>
      <c r="XEJ6" s="27" t="str">
        <f>IFERROR(VLOOKUP(DATE($K$1,$K$2,XEJ$4),Table1[],(MATCH(Calendar!$A6,DB!1:1,0)+2),FALSE),"")</f>
        <v/>
      </c>
      <c r="XEK6" s="27" t="str">
        <f>IFERROR(VLOOKUP(DATE($K$1,$K$2,XEK$4),Table1[],(MATCH(Calendar!$A6,DB!1:1,0)+2),FALSE),"")</f>
        <v/>
      </c>
      <c r="XEL6" s="27" t="str">
        <f>IFERROR(VLOOKUP(DATE($K$1,$K$2,XEL$4),Table1[],(MATCH(Calendar!$A6,DB!1:1,0)+2),FALSE),"")</f>
        <v/>
      </c>
      <c r="XEM6" s="27" t="str">
        <f>IFERROR(VLOOKUP(DATE($K$1,$K$2,XEM$4),Table1[],(MATCH(Calendar!$A6,DB!1:1,0)+2),FALSE),"")</f>
        <v/>
      </c>
      <c r="XEN6" s="27" t="str">
        <f>IFERROR(VLOOKUP(DATE($K$1,$K$2,XEN$4),Table1[],(MATCH(Calendar!$A6,DB!1:1,0)+2),FALSE),"")</f>
        <v/>
      </c>
      <c r="XEO6" s="27" t="str">
        <f>IFERROR(VLOOKUP(DATE($K$1,$K$2,XEO$4),Table1[],(MATCH(Calendar!$A6,DB!1:1,0)+2),FALSE),"")</f>
        <v/>
      </c>
      <c r="XEP6" s="27" t="str">
        <f>IFERROR(VLOOKUP(DATE($K$1,$K$2,XEP$4),Table1[],(MATCH(Calendar!$A6,DB!1:1,0)+2),FALSE),"")</f>
        <v/>
      </c>
      <c r="XEQ6" s="27" t="str">
        <f>IFERROR(VLOOKUP(DATE($K$1,$K$2,XEQ$4),Table1[],(MATCH(Calendar!$A6,DB!1:1,0)+2),FALSE),"")</f>
        <v/>
      </c>
      <c r="XER6" s="27" t="str">
        <f>IFERROR(VLOOKUP(DATE($K$1,$K$2,XER$4),Table1[],(MATCH(Calendar!$A6,DB!1:1,0)+2),FALSE),"")</f>
        <v/>
      </c>
      <c r="XES6" s="27" t="str">
        <f>IFERROR(VLOOKUP(DATE($K$1,$K$2,XES$4),Table1[],(MATCH(Calendar!$A6,DB!1:1,0)+2),FALSE),"")</f>
        <v/>
      </c>
      <c r="XET6" s="27" t="str">
        <f>IFERROR(VLOOKUP(DATE($K$1,$K$2,XET$4),Table1[],(MATCH(Calendar!$A6,DB!1:1,0)+2),FALSE),"")</f>
        <v/>
      </c>
      <c r="XEU6" s="27" t="str">
        <f>IFERROR(VLOOKUP(DATE($K$1,$K$2,XEU$4),Table1[],(MATCH(Calendar!$A6,DB!1:1,0)+2),FALSE),"")</f>
        <v/>
      </c>
      <c r="XEV6" s="27" t="str">
        <f>IFERROR(VLOOKUP(DATE($K$1,$K$2,XEV$4),Table1[],(MATCH(Calendar!$A6,DB!1:1,0)+2),FALSE),"")</f>
        <v/>
      </c>
      <c r="XEW6" s="27" t="str">
        <f>IFERROR(VLOOKUP(DATE($K$1,$K$2,XEW$4),Table1[],(MATCH(Calendar!$A6,DB!1:1,0)+2),FALSE),"")</f>
        <v/>
      </c>
      <c r="XEX6" s="27" t="str">
        <f>IFERROR(VLOOKUP(DATE($K$1,$K$2,XEX$4),Table1[],(MATCH(Calendar!$A6,DB!1:1,0)+2),FALSE),"")</f>
        <v/>
      </c>
      <c r="XEY6" s="27" t="str">
        <f>IFERROR(VLOOKUP(DATE($K$1,$K$2,XEY$4),Table1[],(MATCH(Calendar!$A6,DB!1:1,0)+2),FALSE),"")</f>
        <v/>
      </c>
      <c r="XEZ6" s="27" t="str">
        <f>IFERROR(VLOOKUP(DATE($K$1,$K$2,XEZ$4),Table1[],(MATCH(Calendar!$A6,DB!1:1,0)+2),FALSE),"")</f>
        <v/>
      </c>
      <c r="XFA6" s="27" t="str">
        <f>IFERROR(VLOOKUP(DATE($K$1,$K$2,XFA$4),Table1[],(MATCH(Calendar!$A6,DB!1:1,0)+2),FALSE),"")</f>
        <v/>
      </c>
      <c r="XFB6" s="27" t="str">
        <f>IFERROR(VLOOKUP(DATE($K$1,$K$2,XFB$4),Table1[],(MATCH(Calendar!$A6,DB!1:1,0)+2),FALSE),"")</f>
        <v/>
      </c>
      <c r="XFC6" s="27" t="str">
        <f>IFERROR(VLOOKUP(DATE($K$1,$K$2,XFC$4),Table1[],(MATCH(Calendar!$A6,DB!1:1,0)+2),FALSE),"")</f>
        <v/>
      </c>
      <c r="XFD6" s="27" t="str">
        <f>IFERROR(VLOOKUP(DATE($K$1,$K$2,XFD$4),Table1[],(MATCH(Calendar!$A6,DB!1:1,0)+2),FALSE),"")</f>
        <v/>
      </c>
    </row>
    <row r="7" spans="1:16384">
      <c r="A7" s="26">
        <f>DB!F1</f>
        <v>0</v>
      </c>
      <c r="B7" s="28" t="str">
        <f>IFERROR(IF($K$3="Yes",VLOOKUP(DATE($K$1,$K$2,B$4),Table1[],(MATCH(Calendar!$A7,DB!$1:$1,0)+2),FALSE),VLOOKUP(DATE($K$1,$K$2,B$4),Table1[],(MATCH(Calendar!$A7,DB!$1:$1,0)),FALSE)),"")</f>
        <v/>
      </c>
      <c r="C7" s="28" t="str">
        <f>IFERROR(IF($K$3="Yes",VLOOKUP(DATE($K$1,$K$2,C$4),Table1[],(MATCH(Calendar!$A7,DB!$1:$1,0)+2),FALSE),VLOOKUP(DATE($K$1,$K$2,C$4),Table1[],(MATCH(Calendar!$A7,DB!$1:$1,0)),FALSE)),"")</f>
        <v/>
      </c>
      <c r="D7" s="28" t="str">
        <f>IFERROR(IF($K$3="Yes",VLOOKUP(DATE($K$1,$K$2,D$4),Table1[],(MATCH(Calendar!$A7,DB!$1:$1,0)+2),FALSE),VLOOKUP(DATE($K$1,$K$2,D$4),Table1[],(MATCH(Calendar!$A7,DB!$1:$1,0)),FALSE)),"")</f>
        <v/>
      </c>
      <c r="E7" s="28" t="str">
        <f>IFERROR(IF($K$3="Yes",VLOOKUP(DATE($K$1,$K$2,E$4),Table1[],(MATCH(Calendar!$A7,DB!$1:$1,0)+2),FALSE),VLOOKUP(DATE($K$1,$K$2,E$4),Table1[],(MATCH(Calendar!$A7,DB!$1:$1,0)),FALSE)),"")</f>
        <v/>
      </c>
      <c r="F7" s="28" t="str">
        <f>IFERROR(IF($K$3="Yes",VLOOKUP(DATE($K$1,$K$2,F$4),Table1[],(MATCH(Calendar!$A7,DB!$1:$1,0)+2),FALSE),VLOOKUP(DATE($K$1,$K$2,F$4),Table1[],(MATCH(Calendar!$A7,DB!$1:$1,0)),FALSE)),"")</f>
        <v/>
      </c>
      <c r="G7" s="28" t="str">
        <f>IFERROR(IF($K$3="Yes",VLOOKUP(DATE($K$1,$K$2,G$4),Table1[],(MATCH(Calendar!$A7,DB!$1:$1,0)+2),FALSE),VLOOKUP(DATE($K$1,$K$2,G$4),Table1[],(MATCH(Calendar!$A7,DB!$1:$1,0)),FALSE)),"")</f>
        <v/>
      </c>
      <c r="H7" s="28" t="str">
        <f>IFERROR(IF($K$3="Yes",VLOOKUP(DATE($K$1,$K$2,H$4),Table1[],(MATCH(Calendar!$A7,DB!$1:$1,0)+2),FALSE),VLOOKUP(DATE($K$1,$K$2,H$4),Table1[],(MATCH(Calendar!$A7,DB!$1:$1,0)),FALSE)),"")</f>
        <v/>
      </c>
      <c r="I7" s="28" t="str">
        <f>IFERROR(IF($K$3="Yes",VLOOKUP(DATE($K$1,$K$2,I$4),Table1[],(MATCH(Calendar!$A7,DB!$1:$1,0)+2),FALSE),VLOOKUP(DATE($K$1,$K$2,I$4),Table1[],(MATCH(Calendar!$A7,DB!$1:$1,0)),FALSE)),"")</f>
        <v/>
      </c>
      <c r="J7" s="28" t="str">
        <f>IFERROR(IF($K$3="Yes",VLOOKUP(DATE($K$1,$K$2,J$4),Table1[],(MATCH(Calendar!$A7,DB!$1:$1,0)+2),FALSE),VLOOKUP(DATE($K$1,$K$2,J$4),Table1[],(MATCH(Calendar!$A7,DB!$1:$1,0)),FALSE)),"")</f>
        <v/>
      </c>
      <c r="K7" s="28" t="str">
        <f>IFERROR(IF($K$3="Yes",VLOOKUP(DATE($K$1,$K$2,K$4),Table1[],(MATCH(Calendar!$A7,DB!$1:$1,0)+2),FALSE),VLOOKUP(DATE($K$1,$K$2,K$4),Table1[],(MATCH(Calendar!$A7,DB!$1:$1,0)),FALSE)),"")</f>
        <v/>
      </c>
      <c r="L7" s="28" t="str">
        <f>IFERROR(IF($K$3="Yes",VLOOKUP(DATE($K$1,$K$2,L$4),Table1[],(MATCH(Calendar!$A7,DB!$1:$1,0)+2),FALSE),VLOOKUP(DATE($K$1,$K$2,L$4),Table1[],(MATCH(Calendar!$A7,DB!$1:$1,0)),FALSE)),"")</f>
        <v/>
      </c>
      <c r="M7" s="28" t="str">
        <f>IFERROR(IF($K$3="Yes",VLOOKUP(DATE($K$1,$K$2,M$4),Table1[],(MATCH(Calendar!$A7,DB!$1:$1,0)+2),FALSE),VLOOKUP(DATE($K$1,$K$2,M$4),Table1[],(MATCH(Calendar!$A7,DB!$1:$1,0)),FALSE)),"")</f>
        <v/>
      </c>
      <c r="N7" s="28" t="str">
        <f>IFERROR(IF($K$3="Yes",VLOOKUP(DATE($K$1,$K$2,N$4),Table1[],(MATCH(Calendar!$A7,DB!$1:$1,0)+2),FALSE),VLOOKUP(DATE($K$1,$K$2,N$4),Table1[],(MATCH(Calendar!$A7,DB!$1:$1,0)),FALSE)),"")</f>
        <v/>
      </c>
      <c r="O7" s="28" t="str">
        <f>IFERROR(IF($K$3="Yes",VLOOKUP(DATE($K$1,$K$2,O$4),Table1[],(MATCH(Calendar!$A7,DB!$1:$1,0)+2),FALSE),VLOOKUP(DATE($K$1,$K$2,O$4),Table1[],(MATCH(Calendar!$A7,DB!$1:$1,0)),FALSE)),"")</f>
        <v/>
      </c>
      <c r="P7" s="28" t="str">
        <f>IFERROR(IF($K$3="Yes",VLOOKUP(DATE($K$1,$K$2,P$4),Table1[],(MATCH(Calendar!$A7,DB!$1:$1,0)+2),FALSE),VLOOKUP(DATE($K$1,$K$2,P$4),Table1[],(MATCH(Calendar!$A7,DB!$1:$1,0)),FALSE)),"")</f>
        <v/>
      </c>
      <c r="Q7" s="28" t="str">
        <f>IFERROR(IF($K$3="Yes",VLOOKUP(DATE($K$1,$K$2,Q$4),Table1[],(MATCH(Calendar!$A7,DB!$1:$1,0)+2),FALSE),VLOOKUP(DATE($K$1,$K$2,Q$4),Table1[],(MATCH(Calendar!$A7,DB!$1:$1,0)),FALSE)),"")</f>
        <v/>
      </c>
      <c r="R7" s="28" t="str">
        <f>IFERROR(IF($K$3="Yes",VLOOKUP(DATE($K$1,$K$2,R$4),Table1[],(MATCH(Calendar!$A7,DB!$1:$1,0)+2),FALSE),VLOOKUP(DATE($K$1,$K$2,R$4),Table1[],(MATCH(Calendar!$A7,DB!$1:$1,0)),FALSE)),"")</f>
        <v/>
      </c>
      <c r="S7" s="28" t="str">
        <f>IFERROR(IF($K$3="Yes",VLOOKUP(DATE($K$1,$K$2,S$4),Table1[],(MATCH(Calendar!$A7,DB!$1:$1,0)+2),FALSE),VLOOKUP(DATE($K$1,$K$2,S$4),Table1[],(MATCH(Calendar!$A7,DB!$1:$1,0)),FALSE)),"")</f>
        <v/>
      </c>
      <c r="T7" s="28" t="str">
        <f>IFERROR(IF($K$3="Yes",VLOOKUP(DATE($K$1,$K$2,T$4),Table1[],(MATCH(Calendar!$A7,DB!$1:$1,0)+2),FALSE),VLOOKUP(DATE($K$1,$K$2,T$4),Table1[],(MATCH(Calendar!$A7,DB!$1:$1,0)),FALSE)),"")</f>
        <v/>
      </c>
      <c r="U7" s="28" t="str">
        <f>IFERROR(IF($K$3="Yes",VLOOKUP(DATE($K$1,$K$2,U$4),Table1[],(MATCH(Calendar!$A7,DB!$1:$1,0)+2),FALSE),VLOOKUP(DATE($K$1,$K$2,U$4),Table1[],(MATCH(Calendar!$A7,DB!$1:$1,0)),FALSE)),"")</f>
        <v/>
      </c>
      <c r="V7" s="28" t="str">
        <f>IFERROR(IF($K$3="Yes",VLOOKUP(DATE($K$1,$K$2,V$4),Table1[],(MATCH(Calendar!$A7,DB!$1:$1,0)+2),FALSE),VLOOKUP(DATE($K$1,$K$2,V$4),Table1[],(MATCH(Calendar!$A7,DB!$1:$1,0)),FALSE)),"")</f>
        <v/>
      </c>
      <c r="W7" s="28" t="str">
        <f>IFERROR(IF($K$3="Yes",VLOOKUP(DATE($K$1,$K$2,W$4),Table1[],(MATCH(Calendar!$A7,DB!$1:$1,0)+2),FALSE),VLOOKUP(DATE($K$1,$K$2,W$4),Table1[],(MATCH(Calendar!$A7,DB!$1:$1,0)),FALSE)),"")</f>
        <v/>
      </c>
      <c r="X7" s="28" t="str">
        <f>IFERROR(IF($K$3="Yes",VLOOKUP(DATE($K$1,$K$2,X$4),Table1[],(MATCH(Calendar!$A7,DB!$1:$1,0)+2),FALSE),VLOOKUP(DATE($K$1,$K$2,X$4),Table1[],(MATCH(Calendar!$A7,DB!$1:$1,0)),FALSE)),"")</f>
        <v/>
      </c>
      <c r="Y7" s="28" t="str">
        <f>IFERROR(IF($K$3="Yes",VLOOKUP(DATE($K$1,$K$2,Y$4),Table1[],(MATCH(Calendar!$A7,DB!$1:$1,0)+2),FALSE),VLOOKUP(DATE($K$1,$K$2,Y$4),Table1[],(MATCH(Calendar!$A7,DB!$1:$1,0)),FALSE)),"")</f>
        <v/>
      </c>
      <c r="Z7" s="28" t="str">
        <f>IFERROR(IF($K$3="Yes",VLOOKUP(DATE($K$1,$K$2,Z$4),Table1[],(MATCH(Calendar!$A7,DB!$1:$1,0)+2),FALSE),VLOOKUP(DATE($K$1,$K$2,Z$4),Table1[],(MATCH(Calendar!$A7,DB!$1:$1,0)),FALSE)),"")</f>
        <v/>
      </c>
      <c r="AA7" s="28" t="str">
        <f>IFERROR(IF($K$3="Yes",VLOOKUP(DATE($K$1,$K$2,AA$4),Table1[],(MATCH(Calendar!$A7,DB!$1:$1,0)+2),FALSE),VLOOKUP(DATE($K$1,$K$2,AA$4),Table1[],(MATCH(Calendar!$A7,DB!$1:$1,0)),FALSE)),"")</f>
        <v/>
      </c>
      <c r="AB7" s="28" t="str">
        <f>IFERROR(IF($K$3="Yes",VLOOKUP(DATE($K$1,$K$2,AB$4),Table1[],(MATCH(Calendar!$A7,DB!$1:$1,0)+2),FALSE),VLOOKUP(DATE($K$1,$K$2,AB$4),Table1[],(MATCH(Calendar!$A7,DB!$1:$1,0)),FALSE)),"")</f>
        <v/>
      </c>
      <c r="AC7" s="28" t="str">
        <f>IFERROR(IF($K$3="Yes",VLOOKUP(DATE($K$1,$K$2,AC$4),Table1[],(MATCH(Calendar!$A7,DB!$1:$1,0)+2),FALSE),VLOOKUP(DATE($K$1,$K$2,AC$4),Table1[],(MATCH(Calendar!$A7,DB!$1:$1,0)),FALSE)),"")</f>
        <v/>
      </c>
      <c r="AD7" s="28" t="str">
        <f>IFERROR(IF($K$3="Yes",VLOOKUP(DATE($K$1,$K$2,AD$4),Table1[],(MATCH(Calendar!$A7,DB!$1:$1,0)+2),FALSE),VLOOKUP(DATE($K$1,$K$2,AD$4),Table1[],(MATCH(Calendar!$A7,DB!$1:$1,0)),FALSE)),"")</f>
        <v/>
      </c>
      <c r="AE7" s="28" t="str">
        <f>IFERROR(IF($K$3="Yes",VLOOKUP(DATE($K$1,$K$2,AE$4),Table1[],(MATCH(Calendar!$A7,DB!$1:$1,0)+2),FALSE),VLOOKUP(DATE($K$1,$K$2,AE$4),Table1[],(MATCH(Calendar!$A7,DB!$1:$1,0)),FALSE)),"")</f>
        <v/>
      </c>
      <c r="AF7" s="28" t="str">
        <f>IFERROR(IF($K$3="Yes",VLOOKUP(DATE($K$1,$K$2,AF$4),Table1[],(MATCH(Calendar!$A7,DB!$1:$1,0)+2),FALSE),VLOOKUP(DATE($K$1,$K$2,AF$4),Table1[],(MATCH(Calendar!$A7,DB!$1:$1,0)),FALSE)),"")</f>
        <v/>
      </c>
    </row>
    <row r="8" spans="1:16384" hidden="1">
      <c r="A8" s="26">
        <f>DB!J1</f>
        <v>0</v>
      </c>
      <c r="B8" s="28" t="str">
        <f>IFERROR(IF($K$3="Yes",VLOOKUP(DATE($K$1,$K$2,B$4),Table1[],(MATCH(Calendar!$A8,DB!$1:$1,0)+2),FALSE),VLOOKUP(DATE($K$1,$K$2,B$4),Table1[],(MATCH(Calendar!$A8,DB!$1:$1,0)),FALSE)),"")</f>
        <v/>
      </c>
      <c r="C8" s="28" t="str">
        <f>IFERROR(IF($K$3="Yes",VLOOKUP(DATE($K$1,$K$2,C$4),Table1[],(MATCH(Calendar!$A8,DB!$1:$1,0)+2),FALSE),VLOOKUP(DATE($K$1,$K$2,C$4),Table1[],(MATCH(Calendar!$A8,DB!$1:$1,0)),FALSE)),"")</f>
        <v/>
      </c>
      <c r="D8" s="28" t="str">
        <f>IFERROR(IF($K$3="Yes",VLOOKUP(DATE($K$1,$K$2,D$4),Table1[],(MATCH(Calendar!$A8,DB!$1:$1,0)+2),FALSE),VLOOKUP(DATE($K$1,$K$2,D$4),Table1[],(MATCH(Calendar!$A8,DB!$1:$1,0)),FALSE)),"")</f>
        <v/>
      </c>
      <c r="E8" s="28" t="str">
        <f>IFERROR(IF($K$3="Yes",VLOOKUP(DATE($K$1,$K$2,E$4),Table1[],(MATCH(Calendar!$A8,DB!$1:$1,0)+2),FALSE),VLOOKUP(DATE($K$1,$K$2,E$4),Table1[],(MATCH(Calendar!$A8,DB!$1:$1,0)),FALSE)),"")</f>
        <v/>
      </c>
      <c r="F8" s="28" t="str">
        <f>IFERROR(IF($K$3="Yes",VLOOKUP(DATE($K$1,$K$2,F$4),Table1[],(MATCH(Calendar!$A8,DB!$1:$1,0)+2),FALSE),VLOOKUP(DATE($K$1,$K$2,F$4),Table1[],(MATCH(Calendar!$A8,DB!$1:$1,0)),FALSE)),"")</f>
        <v/>
      </c>
      <c r="G8" s="28" t="str">
        <f>IFERROR(IF($K$3="Yes",VLOOKUP(DATE($K$1,$K$2,G$4),Table1[],(MATCH(Calendar!$A8,DB!$1:$1,0)+2),FALSE),VLOOKUP(DATE($K$1,$K$2,G$4),Table1[],(MATCH(Calendar!$A8,DB!$1:$1,0)),FALSE)),"")</f>
        <v/>
      </c>
      <c r="H8" s="28" t="str">
        <f>IFERROR(IF($K$3="Yes",VLOOKUP(DATE($K$1,$K$2,H$4),Table1[],(MATCH(Calendar!$A8,DB!$1:$1,0)+2),FALSE),VLOOKUP(DATE($K$1,$K$2,H$4),Table1[],(MATCH(Calendar!$A8,DB!$1:$1,0)),FALSE)),"")</f>
        <v/>
      </c>
      <c r="I8" s="28" t="str">
        <f>IFERROR(IF($K$3="Yes",VLOOKUP(DATE($K$1,$K$2,I$4),Table1[],(MATCH(Calendar!$A8,DB!$1:$1,0)+2),FALSE),VLOOKUP(DATE($K$1,$K$2,I$4),Table1[],(MATCH(Calendar!$A8,DB!$1:$1,0)),FALSE)),"")</f>
        <v/>
      </c>
      <c r="J8" s="28" t="str">
        <f>IFERROR(IF($K$3="Yes",VLOOKUP(DATE($K$1,$K$2,J$4),Table1[],(MATCH(Calendar!$A8,DB!$1:$1,0)+2),FALSE),VLOOKUP(DATE($K$1,$K$2,J$4),Table1[],(MATCH(Calendar!$A8,DB!$1:$1,0)),FALSE)),"")</f>
        <v/>
      </c>
      <c r="K8" s="28" t="str">
        <f>IFERROR(IF($K$3="Yes",VLOOKUP(DATE($K$1,$K$2,K$4),Table1[],(MATCH(Calendar!$A8,DB!$1:$1,0)+2),FALSE),VLOOKUP(DATE($K$1,$K$2,K$4),Table1[],(MATCH(Calendar!$A8,DB!$1:$1,0)),FALSE)),"")</f>
        <v/>
      </c>
      <c r="L8" s="28" t="str">
        <f>IFERROR(IF($K$3="Yes",VLOOKUP(DATE($K$1,$K$2,L$4),Table1[],(MATCH(Calendar!$A8,DB!$1:$1,0)+2),FALSE),VLOOKUP(DATE($K$1,$K$2,L$4),Table1[],(MATCH(Calendar!$A8,DB!$1:$1,0)),FALSE)),"")</f>
        <v/>
      </c>
      <c r="M8" s="28" t="str">
        <f>IFERROR(IF($K$3="Yes",VLOOKUP(DATE($K$1,$K$2,M$4),Table1[],(MATCH(Calendar!$A8,DB!$1:$1,0)+2),FALSE),VLOOKUP(DATE($K$1,$K$2,M$4),Table1[],(MATCH(Calendar!$A8,DB!$1:$1,0)),FALSE)),"")</f>
        <v/>
      </c>
      <c r="N8" s="28" t="str">
        <f>IFERROR(IF($K$3="Yes",VLOOKUP(DATE($K$1,$K$2,N$4),Table1[],(MATCH(Calendar!$A8,DB!$1:$1,0)+2),FALSE),VLOOKUP(DATE($K$1,$K$2,N$4),Table1[],(MATCH(Calendar!$A8,DB!$1:$1,0)),FALSE)),"")</f>
        <v/>
      </c>
      <c r="O8" s="28" t="str">
        <f>IFERROR(IF($K$3="Yes",VLOOKUP(DATE($K$1,$K$2,O$4),Table1[],(MATCH(Calendar!$A8,DB!$1:$1,0)+2),FALSE),VLOOKUP(DATE($K$1,$K$2,O$4),Table1[],(MATCH(Calendar!$A8,DB!$1:$1,0)),FALSE)),"")</f>
        <v/>
      </c>
      <c r="P8" s="28" t="str">
        <f>IFERROR(IF($K$3="Yes",VLOOKUP(DATE($K$1,$K$2,P$4),Table1[],(MATCH(Calendar!$A8,DB!$1:$1,0)+2),FALSE),VLOOKUP(DATE($K$1,$K$2,P$4),Table1[],(MATCH(Calendar!$A8,DB!$1:$1,0)),FALSE)),"")</f>
        <v/>
      </c>
      <c r="Q8" s="28" t="str">
        <f>IFERROR(IF($K$3="Yes",VLOOKUP(DATE($K$1,$K$2,Q$4),Table1[],(MATCH(Calendar!$A8,DB!$1:$1,0)+2),FALSE),VLOOKUP(DATE($K$1,$K$2,Q$4),Table1[],(MATCH(Calendar!$A8,DB!$1:$1,0)),FALSE)),"")</f>
        <v/>
      </c>
      <c r="R8" s="28" t="str">
        <f>IFERROR(IF($K$3="Yes",VLOOKUP(DATE($K$1,$K$2,R$4),Table1[],(MATCH(Calendar!$A8,DB!$1:$1,0)+2),FALSE),VLOOKUP(DATE($K$1,$K$2,R$4),Table1[],(MATCH(Calendar!$A8,DB!$1:$1,0)),FALSE)),"")</f>
        <v/>
      </c>
      <c r="S8" s="28" t="str">
        <f>IFERROR(IF($K$3="Yes",VLOOKUP(DATE($K$1,$K$2,S$4),Table1[],(MATCH(Calendar!$A8,DB!$1:$1,0)+2),FALSE),VLOOKUP(DATE($K$1,$K$2,S$4),Table1[],(MATCH(Calendar!$A8,DB!$1:$1,0)),FALSE)),"")</f>
        <v/>
      </c>
      <c r="T8" s="28" t="str">
        <f>IFERROR(IF($K$3="Yes",VLOOKUP(DATE($K$1,$K$2,T$4),Table1[],(MATCH(Calendar!$A8,DB!$1:$1,0)+2),FALSE),VLOOKUP(DATE($K$1,$K$2,T$4),Table1[],(MATCH(Calendar!$A8,DB!$1:$1,0)),FALSE)),"")</f>
        <v/>
      </c>
      <c r="U8" s="28" t="str">
        <f>IFERROR(IF($K$3="Yes",VLOOKUP(DATE($K$1,$K$2,U$4),Table1[],(MATCH(Calendar!$A8,DB!$1:$1,0)+2),FALSE),VLOOKUP(DATE($K$1,$K$2,U$4),Table1[],(MATCH(Calendar!$A8,DB!$1:$1,0)),FALSE)),"")</f>
        <v/>
      </c>
      <c r="V8" s="28" t="str">
        <f>IFERROR(IF($K$3="Yes",VLOOKUP(DATE($K$1,$K$2,V$4),Table1[],(MATCH(Calendar!$A8,DB!$1:$1,0)+2),FALSE),VLOOKUP(DATE($K$1,$K$2,V$4),Table1[],(MATCH(Calendar!$A8,DB!$1:$1,0)),FALSE)),"")</f>
        <v/>
      </c>
      <c r="W8" s="28" t="str">
        <f>IFERROR(IF($K$3="Yes",VLOOKUP(DATE($K$1,$K$2,W$4),Table1[],(MATCH(Calendar!$A8,DB!$1:$1,0)+2),FALSE),VLOOKUP(DATE($K$1,$K$2,W$4),Table1[],(MATCH(Calendar!$A8,DB!$1:$1,0)),FALSE)),"")</f>
        <v/>
      </c>
      <c r="X8" s="28" t="str">
        <f>IFERROR(IF($K$3="Yes",VLOOKUP(DATE($K$1,$K$2,X$4),Table1[],(MATCH(Calendar!$A8,DB!$1:$1,0)+2),FALSE),VLOOKUP(DATE($K$1,$K$2,X$4),Table1[],(MATCH(Calendar!$A8,DB!$1:$1,0)),FALSE)),"")</f>
        <v/>
      </c>
      <c r="Y8" s="28" t="str">
        <f>IFERROR(IF($K$3="Yes",VLOOKUP(DATE($K$1,$K$2,Y$4),Table1[],(MATCH(Calendar!$A8,DB!$1:$1,0)+2),FALSE),VLOOKUP(DATE($K$1,$K$2,Y$4),Table1[],(MATCH(Calendar!$A8,DB!$1:$1,0)),FALSE)),"")</f>
        <v/>
      </c>
      <c r="Z8" s="28" t="str">
        <f>IFERROR(IF($K$3="Yes",VLOOKUP(DATE($K$1,$K$2,Z$4),Table1[],(MATCH(Calendar!$A8,DB!$1:$1,0)+2),FALSE),VLOOKUP(DATE($K$1,$K$2,Z$4),Table1[],(MATCH(Calendar!$A8,DB!$1:$1,0)),FALSE)),"")</f>
        <v/>
      </c>
      <c r="AA8" s="28" t="str">
        <f>IFERROR(IF($K$3="Yes",VLOOKUP(DATE($K$1,$K$2,AA$4),Table1[],(MATCH(Calendar!$A8,DB!$1:$1,0)+2),FALSE),VLOOKUP(DATE($K$1,$K$2,AA$4),Table1[],(MATCH(Calendar!$A8,DB!$1:$1,0)),FALSE)),"")</f>
        <v/>
      </c>
      <c r="AB8" s="28" t="str">
        <f>IFERROR(IF($K$3="Yes",VLOOKUP(DATE($K$1,$K$2,AB$4),Table1[],(MATCH(Calendar!$A8,DB!$1:$1,0)+2),FALSE),VLOOKUP(DATE($K$1,$K$2,AB$4),Table1[],(MATCH(Calendar!$A8,DB!$1:$1,0)),FALSE)),"")</f>
        <v/>
      </c>
      <c r="AC8" s="28" t="str">
        <f>IFERROR(IF($K$3="Yes",VLOOKUP(DATE($K$1,$K$2,AC$4),Table1[],(MATCH(Calendar!$A8,DB!$1:$1,0)+2),FALSE),VLOOKUP(DATE($K$1,$K$2,AC$4),Table1[],(MATCH(Calendar!$A8,DB!$1:$1,0)),FALSE)),"")</f>
        <v/>
      </c>
      <c r="AD8" s="28" t="str">
        <f>IFERROR(IF($K$3="Yes",VLOOKUP(DATE($K$1,$K$2,AD$4),Table1[],(MATCH(Calendar!$A8,DB!$1:$1,0)+2),FALSE),VLOOKUP(DATE($K$1,$K$2,AD$4),Table1[],(MATCH(Calendar!$A8,DB!$1:$1,0)),FALSE)),"")</f>
        <v/>
      </c>
      <c r="AE8" s="28" t="str">
        <f>IFERROR(IF($K$3="Yes",VLOOKUP(DATE($K$1,$K$2,AE$4),Table1[],(MATCH(Calendar!$A8,DB!$1:$1,0)+2),FALSE),VLOOKUP(DATE($K$1,$K$2,AE$4),Table1[],(MATCH(Calendar!$A8,DB!$1:$1,0)),FALSE)),"")</f>
        <v/>
      </c>
      <c r="AF8" s="28" t="str">
        <f>IFERROR(IF($K$3="Yes",VLOOKUP(DATE($K$1,$K$2,AF$4),Table1[],(MATCH(Calendar!$A8,DB!$1:$1,0)+2),FALSE),VLOOKUP(DATE($K$1,$K$2,AF$4),Table1[],(MATCH(Calendar!$A8,DB!$1:$1,0)),FALSE)),"")</f>
        <v/>
      </c>
    </row>
    <row r="9" spans="1:16384" hidden="1">
      <c r="A9" s="26">
        <f>DB!N1</f>
        <v>0</v>
      </c>
      <c r="B9" s="28" t="str">
        <f>IFERROR(IF($K$3="Yes",VLOOKUP(DATE($K$1,$K$2,B$4),Table1[],(MATCH(Calendar!$A9,DB!$1:$1,0)+2),FALSE),VLOOKUP(DATE($K$1,$K$2,B$4),Table1[],(MATCH(Calendar!$A9,DB!$1:$1,0)),FALSE)),"")</f>
        <v/>
      </c>
      <c r="C9" s="28" t="str">
        <f>IFERROR(IF($K$3="Yes",VLOOKUP(DATE($K$1,$K$2,C$4),Table1[],(MATCH(Calendar!$A9,DB!$1:$1,0)+2),FALSE),VLOOKUP(DATE($K$1,$K$2,C$4),Table1[],(MATCH(Calendar!$A9,DB!$1:$1,0)),FALSE)),"")</f>
        <v/>
      </c>
      <c r="D9" s="28" t="str">
        <f>IFERROR(IF($K$3="Yes",VLOOKUP(DATE($K$1,$K$2,D$4),Table1[],(MATCH(Calendar!$A9,DB!$1:$1,0)+2),FALSE),VLOOKUP(DATE($K$1,$K$2,D$4),Table1[],(MATCH(Calendar!$A9,DB!$1:$1,0)),FALSE)),"")</f>
        <v/>
      </c>
      <c r="E9" s="28" t="str">
        <f>IFERROR(IF($K$3="Yes",VLOOKUP(DATE($K$1,$K$2,E$4),Table1[],(MATCH(Calendar!$A9,DB!$1:$1,0)+2),FALSE),VLOOKUP(DATE($K$1,$K$2,E$4),Table1[],(MATCH(Calendar!$A9,DB!$1:$1,0)),FALSE)),"")</f>
        <v/>
      </c>
      <c r="F9" s="28" t="str">
        <f>IFERROR(IF($K$3="Yes",VLOOKUP(DATE($K$1,$K$2,F$4),Table1[],(MATCH(Calendar!$A9,DB!$1:$1,0)+2),FALSE),VLOOKUP(DATE($K$1,$K$2,F$4),Table1[],(MATCH(Calendar!$A9,DB!$1:$1,0)),FALSE)),"")</f>
        <v/>
      </c>
      <c r="G9" s="28" t="str">
        <f>IFERROR(IF($K$3="Yes",VLOOKUP(DATE($K$1,$K$2,G$4),Table1[],(MATCH(Calendar!$A9,DB!$1:$1,0)+2),FALSE),VLOOKUP(DATE($K$1,$K$2,G$4),Table1[],(MATCH(Calendar!$A9,DB!$1:$1,0)),FALSE)),"")</f>
        <v/>
      </c>
      <c r="H9" s="28" t="str">
        <f>IFERROR(IF($K$3="Yes",VLOOKUP(DATE($K$1,$K$2,H$4),Table1[],(MATCH(Calendar!$A9,DB!$1:$1,0)+2),FALSE),VLOOKUP(DATE($K$1,$K$2,H$4),Table1[],(MATCH(Calendar!$A9,DB!$1:$1,0)),FALSE)),"")</f>
        <v/>
      </c>
      <c r="I9" s="28" t="str">
        <f>IFERROR(IF($K$3="Yes",VLOOKUP(DATE($K$1,$K$2,I$4),Table1[],(MATCH(Calendar!$A9,DB!$1:$1,0)+2),FALSE),VLOOKUP(DATE($K$1,$K$2,I$4),Table1[],(MATCH(Calendar!$A9,DB!$1:$1,0)),FALSE)),"")</f>
        <v/>
      </c>
      <c r="J9" s="28" t="str">
        <f>IFERROR(IF($K$3="Yes",VLOOKUP(DATE($K$1,$K$2,J$4),Table1[],(MATCH(Calendar!$A9,DB!$1:$1,0)+2),FALSE),VLOOKUP(DATE($K$1,$K$2,J$4),Table1[],(MATCH(Calendar!$A9,DB!$1:$1,0)),FALSE)),"")</f>
        <v/>
      </c>
      <c r="K9" s="28" t="str">
        <f>IFERROR(IF($K$3="Yes",VLOOKUP(DATE($K$1,$K$2,K$4),Table1[],(MATCH(Calendar!$A9,DB!$1:$1,0)+2),FALSE),VLOOKUP(DATE($K$1,$K$2,K$4),Table1[],(MATCH(Calendar!$A9,DB!$1:$1,0)),FALSE)),"")</f>
        <v/>
      </c>
      <c r="L9" s="28" t="str">
        <f>IFERROR(IF($K$3="Yes",VLOOKUP(DATE($K$1,$K$2,L$4),Table1[],(MATCH(Calendar!$A9,DB!$1:$1,0)+2),FALSE),VLOOKUP(DATE($K$1,$K$2,L$4),Table1[],(MATCH(Calendar!$A9,DB!$1:$1,0)),FALSE)),"")</f>
        <v/>
      </c>
      <c r="M9" s="28" t="str">
        <f>IFERROR(IF($K$3="Yes",VLOOKUP(DATE($K$1,$K$2,M$4),Table1[],(MATCH(Calendar!$A9,DB!$1:$1,0)+2),FALSE),VLOOKUP(DATE($K$1,$K$2,M$4),Table1[],(MATCH(Calendar!$A9,DB!$1:$1,0)),FALSE)),"")</f>
        <v/>
      </c>
      <c r="N9" s="28" t="str">
        <f>IFERROR(IF($K$3="Yes",VLOOKUP(DATE($K$1,$K$2,N$4),Table1[],(MATCH(Calendar!$A9,DB!$1:$1,0)+2),FALSE),VLOOKUP(DATE($K$1,$K$2,N$4),Table1[],(MATCH(Calendar!$A9,DB!$1:$1,0)),FALSE)),"")</f>
        <v/>
      </c>
      <c r="O9" s="28" t="str">
        <f>IFERROR(IF($K$3="Yes",VLOOKUP(DATE($K$1,$K$2,O$4),Table1[],(MATCH(Calendar!$A9,DB!$1:$1,0)+2),FALSE),VLOOKUP(DATE($K$1,$K$2,O$4),Table1[],(MATCH(Calendar!$A9,DB!$1:$1,0)),FALSE)),"")</f>
        <v/>
      </c>
      <c r="P9" s="28" t="str">
        <f>IFERROR(IF($K$3="Yes",VLOOKUP(DATE($K$1,$K$2,P$4),Table1[],(MATCH(Calendar!$A9,DB!$1:$1,0)+2),FALSE),VLOOKUP(DATE($K$1,$K$2,P$4),Table1[],(MATCH(Calendar!$A9,DB!$1:$1,0)),FALSE)),"")</f>
        <v/>
      </c>
      <c r="Q9" s="28" t="str">
        <f>IFERROR(IF($K$3="Yes",VLOOKUP(DATE($K$1,$K$2,Q$4),Table1[],(MATCH(Calendar!$A9,DB!$1:$1,0)+2),FALSE),VLOOKUP(DATE($K$1,$K$2,Q$4),Table1[],(MATCH(Calendar!$A9,DB!$1:$1,0)),FALSE)),"")</f>
        <v/>
      </c>
      <c r="R9" s="28" t="str">
        <f>IFERROR(IF($K$3="Yes",VLOOKUP(DATE($K$1,$K$2,R$4),Table1[],(MATCH(Calendar!$A9,DB!$1:$1,0)+2),FALSE),VLOOKUP(DATE($K$1,$K$2,R$4),Table1[],(MATCH(Calendar!$A9,DB!$1:$1,0)),FALSE)),"")</f>
        <v/>
      </c>
      <c r="S9" s="28" t="str">
        <f>IFERROR(IF($K$3="Yes",VLOOKUP(DATE($K$1,$K$2,S$4),Table1[],(MATCH(Calendar!$A9,DB!$1:$1,0)+2),FALSE),VLOOKUP(DATE($K$1,$K$2,S$4),Table1[],(MATCH(Calendar!$A9,DB!$1:$1,0)),FALSE)),"")</f>
        <v/>
      </c>
      <c r="T9" s="28" t="str">
        <f>IFERROR(IF($K$3="Yes",VLOOKUP(DATE($K$1,$K$2,T$4),Table1[],(MATCH(Calendar!$A9,DB!$1:$1,0)+2),FALSE),VLOOKUP(DATE($K$1,$K$2,T$4),Table1[],(MATCH(Calendar!$A9,DB!$1:$1,0)),FALSE)),"")</f>
        <v/>
      </c>
      <c r="U9" s="28" t="str">
        <f>IFERROR(IF($K$3="Yes",VLOOKUP(DATE($K$1,$K$2,U$4),Table1[],(MATCH(Calendar!$A9,DB!$1:$1,0)+2),FALSE),VLOOKUP(DATE($K$1,$K$2,U$4),Table1[],(MATCH(Calendar!$A9,DB!$1:$1,0)),FALSE)),"")</f>
        <v/>
      </c>
      <c r="V9" s="28" t="str">
        <f>IFERROR(IF($K$3="Yes",VLOOKUP(DATE($K$1,$K$2,V$4),Table1[],(MATCH(Calendar!$A9,DB!$1:$1,0)+2),FALSE),VLOOKUP(DATE($K$1,$K$2,V$4),Table1[],(MATCH(Calendar!$A9,DB!$1:$1,0)),FALSE)),"")</f>
        <v/>
      </c>
      <c r="W9" s="28" t="str">
        <f>IFERROR(IF($K$3="Yes",VLOOKUP(DATE($K$1,$K$2,W$4),Table1[],(MATCH(Calendar!$A9,DB!$1:$1,0)+2),FALSE),VLOOKUP(DATE($K$1,$K$2,W$4),Table1[],(MATCH(Calendar!$A9,DB!$1:$1,0)),FALSE)),"")</f>
        <v/>
      </c>
      <c r="X9" s="28" t="str">
        <f>IFERROR(IF($K$3="Yes",VLOOKUP(DATE($K$1,$K$2,X$4),Table1[],(MATCH(Calendar!$A9,DB!$1:$1,0)+2),FALSE),VLOOKUP(DATE($K$1,$K$2,X$4),Table1[],(MATCH(Calendar!$A9,DB!$1:$1,0)),FALSE)),"")</f>
        <v/>
      </c>
      <c r="Y9" s="28" t="str">
        <f>IFERROR(IF($K$3="Yes",VLOOKUP(DATE($K$1,$K$2,Y$4),Table1[],(MATCH(Calendar!$A9,DB!$1:$1,0)+2),FALSE),VLOOKUP(DATE($K$1,$K$2,Y$4),Table1[],(MATCH(Calendar!$A9,DB!$1:$1,0)),FALSE)),"")</f>
        <v/>
      </c>
      <c r="Z9" s="28" t="str">
        <f>IFERROR(IF($K$3="Yes",VLOOKUP(DATE($K$1,$K$2,Z$4),Table1[],(MATCH(Calendar!$A9,DB!$1:$1,0)+2),FALSE),VLOOKUP(DATE($K$1,$K$2,Z$4),Table1[],(MATCH(Calendar!$A9,DB!$1:$1,0)),FALSE)),"")</f>
        <v/>
      </c>
      <c r="AA9" s="28" t="str">
        <f>IFERROR(IF($K$3="Yes",VLOOKUP(DATE($K$1,$K$2,AA$4),Table1[],(MATCH(Calendar!$A9,DB!$1:$1,0)+2),FALSE),VLOOKUP(DATE($K$1,$K$2,AA$4),Table1[],(MATCH(Calendar!$A9,DB!$1:$1,0)),FALSE)),"")</f>
        <v/>
      </c>
      <c r="AB9" s="28" t="str">
        <f>IFERROR(IF($K$3="Yes",VLOOKUP(DATE($K$1,$K$2,AB$4),Table1[],(MATCH(Calendar!$A9,DB!$1:$1,0)+2),FALSE),VLOOKUP(DATE($K$1,$K$2,AB$4),Table1[],(MATCH(Calendar!$A9,DB!$1:$1,0)),FALSE)),"")</f>
        <v/>
      </c>
      <c r="AC9" s="28" t="str">
        <f>IFERROR(IF($K$3="Yes",VLOOKUP(DATE($K$1,$K$2,AC$4),Table1[],(MATCH(Calendar!$A9,DB!$1:$1,0)+2),FALSE),VLOOKUP(DATE($K$1,$K$2,AC$4),Table1[],(MATCH(Calendar!$A9,DB!$1:$1,0)),FALSE)),"")</f>
        <v/>
      </c>
      <c r="AD9" s="28" t="str">
        <f>IFERROR(IF($K$3="Yes",VLOOKUP(DATE($K$1,$K$2,AD$4),Table1[],(MATCH(Calendar!$A9,DB!$1:$1,0)+2),FALSE),VLOOKUP(DATE($K$1,$K$2,AD$4),Table1[],(MATCH(Calendar!$A9,DB!$1:$1,0)),FALSE)),"")</f>
        <v/>
      </c>
      <c r="AE9" s="28" t="str">
        <f>IFERROR(IF($K$3="Yes",VLOOKUP(DATE($K$1,$K$2,AE$4),Table1[],(MATCH(Calendar!$A9,DB!$1:$1,0)+2),FALSE),VLOOKUP(DATE($K$1,$K$2,AE$4),Table1[],(MATCH(Calendar!$A9,DB!$1:$1,0)),FALSE)),"")</f>
        <v/>
      </c>
      <c r="AF9" s="28" t="str">
        <f>IFERROR(IF($K$3="Yes",VLOOKUP(DATE($K$1,$K$2,AF$4),Table1[],(MATCH(Calendar!$A9,DB!$1:$1,0)+2),FALSE),VLOOKUP(DATE($K$1,$K$2,AF$4),Table1[],(MATCH(Calendar!$A9,DB!$1:$1,0)),FALSE)),"")</f>
        <v/>
      </c>
    </row>
    <row r="10" spans="1:16384" hidden="1">
      <c r="A10" s="26">
        <f>DB!R1</f>
        <v>0</v>
      </c>
      <c r="B10" s="28" t="str">
        <f>IFERROR(IF($K$3="Yes",VLOOKUP(DATE($K$1,$K$2,B$4),Table1[],(MATCH(Calendar!$A10,DB!$1:$1,0)+2),FALSE),VLOOKUP(DATE($K$1,$K$2,B$4),Table1[],(MATCH(Calendar!$A10,DB!$1:$1,0)),FALSE)),"")</f>
        <v/>
      </c>
      <c r="C10" s="28" t="str">
        <f>IFERROR(IF($K$3="Yes",VLOOKUP(DATE($K$1,$K$2,C$4),Table1[],(MATCH(Calendar!$A10,DB!$1:$1,0)+2),FALSE),VLOOKUP(DATE($K$1,$K$2,C$4),Table1[],(MATCH(Calendar!$A10,DB!$1:$1,0)),FALSE)),"")</f>
        <v/>
      </c>
      <c r="D10" s="28" t="str">
        <f>IFERROR(IF($K$3="Yes",VLOOKUP(DATE($K$1,$K$2,D$4),Table1[],(MATCH(Calendar!$A10,DB!$1:$1,0)+2),FALSE),VLOOKUP(DATE($K$1,$K$2,D$4),Table1[],(MATCH(Calendar!$A10,DB!$1:$1,0)),FALSE)),"")</f>
        <v/>
      </c>
      <c r="E10" s="28" t="str">
        <f>IFERROR(IF($K$3="Yes",VLOOKUP(DATE($K$1,$K$2,E$4),Table1[],(MATCH(Calendar!$A10,DB!$1:$1,0)+2),FALSE),VLOOKUP(DATE($K$1,$K$2,E$4),Table1[],(MATCH(Calendar!$A10,DB!$1:$1,0)),FALSE)),"")</f>
        <v/>
      </c>
      <c r="F10" s="28" t="str">
        <f>IFERROR(IF($K$3="Yes",VLOOKUP(DATE($K$1,$K$2,F$4),Table1[],(MATCH(Calendar!$A10,DB!$1:$1,0)+2),FALSE),VLOOKUP(DATE($K$1,$K$2,F$4),Table1[],(MATCH(Calendar!$A10,DB!$1:$1,0)),FALSE)),"")</f>
        <v/>
      </c>
      <c r="G10" s="28" t="str">
        <f>IFERROR(IF($K$3="Yes",VLOOKUP(DATE($K$1,$K$2,G$4),Table1[],(MATCH(Calendar!$A10,DB!$1:$1,0)+2),FALSE),VLOOKUP(DATE($K$1,$K$2,G$4),Table1[],(MATCH(Calendar!$A10,DB!$1:$1,0)),FALSE)),"")</f>
        <v/>
      </c>
      <c r="H10" s="28" t="str">
        <f>IFERROR(IF($K$3="Yes",VLOOKUP(DATE($K$1,$K$2,H$4),Table1[],(MATCH(Calendar!$A10,DB!$1:$1,0)+2),FALSE),VLOOKUP(DATE($K$1,$K$2,H$4),Table1[],(MATCH(Calendar!$A10,DB!$1:$1,0)),FALSE)),"")</f>
        <v/>
      </c>
      <c r="I10" s="28" t="str">
        <f>IFERROR(IF($K$3="Yes",VLOOKUP(DATE($K$1,$K$2,I$4),Table1[],(MATCH(Calendar!$A10,DB!$1:$1,0)+2),FALSE),VLOOKUP(DATE($K$1,$K$2,I$4),Table1[],(MATCH(Calendar!$A10,DB!$1:$1,0)),FALSE)),"")</f>
        <v/>
      </c>
      <c r="J10" s="28" t="str">
        <f>IFERROR(IF($K$3="Yes",VLOOKUP(DATE($K$1,$K$2,J$4),Table1[],(MATCH(Calendar!$A10,DB!$1:$1,0)+2),FALSE),VLOOKUP(DATE($K$1,$K$2,J$4),Table1[],(MATCH(Calendar!$A10,DB!$1:$1,0)),FALSE)),"")</f>
        <v/>
      </c>
      <c r="K10" s="28" t="str">
        <f>IFERROR(IF($K$3="Yes",VLOOKUP(DATE($K$1,$K$2,K$4),Table1[],(MATCH(Calendar!$A10,DB!$1:$1,0)+2),FALSE),VLOOKUP(DATE($K$1,$K$2,K$4),Table1[],(MATCH(Calendar!$A10,DB!$1:$1,0)),FALSE)),"")</f>
        <v/>
      </c>
      <c r="L10" s="28" t="str">
        <f>IFERROR(IF($K$3="Yes",VLOOKUP(DATE($K$1,$K$2,L$4),Table1[],(MATCH(Calendar!$A10,DB!$1:$1,0)+2),FALSE),VLOOKUP(DATE($K$1,$K$2,L$4),Table1[],(MATCH(Calendar!$A10,DB!$1:$1,0)),FALSE)),"")</f>
        <v/>
      </c>
      <c r="M10" s="28" t="str">
        <f>IFERROR(IF($K$3="Yes",VLOOKUP(DATE($K$1,$K$2,M$4),Table1[],(MATCH(Calendar!$A10,DB!$1:$1,0)+2),FALSE),VLOOKUP(DATE($K$1,$K$2,M$4),Table1[],(MATCH(Calendar!$A10,DB!$1:$1,0)),FALSE)),"")</f>
        <v/>
      </c>
      <c r="N10" s="28" t="str">
        <f>IFERROR(IF($K$3="Yes",VLOOKUP(DATE($K$1,$K$2,N$4),Table1[],(MATCH(Calendar!$A10,DB!$1:$1,0)+2),FALSE),VLOOKUP(DATE($K$1,$K$2,N$4),Table1[],(MATCH(Calendar!$A10,DB!$1:$1,0)),FALSE)),"")</f>
        <v/>
      </c>
      <c r="O10" s="28" t="str">
        <f>IFERROR(IF($K$3="Yes",VLOOKUP(DATE($K$1,$K$2,O$4),Table1[],(MATCH(Calendar!$A10,DB!$1:$1,0)+2),FALSE),VLOOKUP(DATE($K$1,$K$2,O$4),Table1[],(MATCH(Calendar!$A10,DB!$1:$1,0)),FALSE)),"")</f>
        <v/>
      </c>
      <c r="P10" s="28" t="str">
        <f>IFERROR(IF($K$3="Yes",VLOOKUP(DATE($K$1,$K$2,P$4),Table1[],(MATCH(Calendar!$A10,DB!$1:$1,0)+2),FALSE),VLOOKUP(DATE($K$1,$K$2,P$4),Table1[],(MATCH(Calendar!$A10,DB!$1:$1,0)),FALSE)),"")</f>
        <v/>
      </c>
      <c r="Q10" s="28" t="str">
        <f>IFERROR(IF($K$3="Yes",VLOOKUP(DATE($K$1,$K$2,Q$4),Table1[],(MATCH(Calendar!$A10,DB!$1:$1,0)+2),FALSE),VLOOKUP(DATE($K$1,$K$2,Q$4),Table1[],(MATCH(Calendar!$A10,DB!$1:$1,0)),FALSE)),"")</f>
        <v/>
      </c>
      <c r="R10" s="28" t="str">
        <f>IFERROR(IF($K$3="Yes",VLOOKUP(DATE($K$1,$K$2,R$4),Table1[],(MATCH(Calendar!$A10,DB!$1:$1,0)+2),FALSE),VLOOKUP(DATE($K$1,$K$2,R$4),Table1[],(MATCH(Calendar!$A10,DB!$1:$1,0)),FALSE)),"")</f>
        <v/>
      </c>
      <c r="S10" s="28" t="str">
        <f>IFERROR(IF($K$3="Yes",VLOOKUP(DATE($K$1,$K$2,S$4),Table1[],(MATCH(Calendar!$A10,DB!$1:$1,0)+2),FALSE),VLOOKUP(DATE($K$1,$K$2,S$4),Table1[],(MATCH(Calendar!$A10,DB!$1:$1,0)),FALSE)),"")</f>
        <v/>
      </c>
      <c r="T10" s="28" t="str">
        <f>IFERROR(IF($K$3="Yes",VLOOKUP(DATE($K$1,$K$2,T$4),Table1[],(MATCH(Calendar!$A10,DB!$1:$1,0)+2),FALSE),VLOOKUP(DATE($K$1,$K$2,T$4),Table1[],(MATCH(Calendar!$A10,DB!$1:$1,0)),FALSE)),"")</f>
        <v/>
      </c>
      <c r="U10" s="28" t="str">
        <f>IFERROR(IF($K$3="Yes",VLOOKUP(DATE($K$1,$K$2,U$4),Table1[],(MATCH(Calendar!$A10,DB!$1:$1,0)+2),FALSE),VLOOKUP(DATE($K$1,$K$2,U$4),Table1[],(MATCH(Calendar!$A10,DB!$1:$1,0)),FALSE)),"")</f>
        <v/>
      </c>
      <c r="V10" s="28" t="str">
        <f>IFERROR(IF($K$3="Yes",VLOOKUP(DATE($K$1,$K$2,V$4),Table1[],(MATCH(Calendar!$A10,DB!$1:$1,0)+2),FALSE),VLOOKUP(DATE($K$1,$K$2,V$4),Table1[],(MATCH(Calendar!$A10,DB!$1:$1,0)),FALSE)),"")</f>
        <v/>
      </c>
      <c r="W10" s="28" t="str">
        <f>IFERROR(IF($K$3="Yes",VLOOKUP(DATE($K$1,$K$2,W$4),Table1[],(MATCH(Calendar!$A10,DB!$1:$1,0)+2),FALSE),VLOOKUP(DATE($K$1,$K$2,W$4),Table1[],(MATCH(Calendar!$A10,DB!$1:$1,0)),FALSE)),"")</f>
        <v/>
      </c>
      <c r="X10" s="28" t="str">
        <f>IFERROR(IF($K$3="Yes",VLOOKUP(DATE($K$1,$K$2,X$4),Table1[],(MATCH(Calendar!$A10,DB!$1:$1,0)+2),FALSE),VLOOKUP(DATE($K$1,$K$2,X$4),Table1[],(MATCH(Calendar!$A10,DB!$1:$1,0)),FALSE)),"")</f>
        <v/>
      </c>
      <c r="Y10" s="28" t="str">
        <f>IFERROR(IF($K$3="Yes",VLOOKUP(DATE($K$1,$K$2,Y$4),Table1[],(MATCH(Calendar!$A10,DB!$1:$1,0)+2),FALSE),VLOOKUP(DATE($K$1,$K$2,Y$4),Table1[],(MATCH(Calendar!$A10,DB!$1:$1,0)),FALSE)),"")</f>
        <v/>
      </c>
      <c r="Z10" s="28" t="str">
        <f>IFERROR(IF($K$3="Yes",VLOOKUP(DATE($K$1,$K$2,Z$4),Table1[],(MATCH(Calendar!$A10,DB!$1:$1,0)+2),FALSE),VLOOKUP(DATE($K$1,$K$2,Z$4),Table1[],(MATCH(Calendar!$A10,DB!$1:$1,0)),FALSE)),"")</f>
        <v/>
      </c>
      <c r="AA10" s="28" t="str">
        <f>IFERROR(IF($K$3="Yes",VLOOKUP(DATE($K$1,$K$2,AA$4),Table1[],(MATCH(Calendar!$A10,DB!$1:$1,0)+2),FALSE),VLOOKUP(DATE($K$1,$K$2,AA$4),Table1[],(MATCH(Calendar!$A10,DB!$1:$1,0)),FALSE)),"")</f>
        <v/>
      </c>
      <c r="AB10" s="28" t="str">
        <f>IFERROR(IF($K$3="Yes",VLOOKUP(DATE($K$1,$K$2,AB$4),Table1[],(MATCH(Calendar!$A10,DB!$1:$1,0)+2),FALSE),VLOOKUP(DATE($K$1,$K$2,AB$4),Table1[],(MATCH(Calendar!$A10,DB!$1:$1,0)),FALSE)),"")</f>
        <v/>
      </c>
      <c r="AC10" s="28" t="str">
        <f>IFERROR(IF($K$3="Yes",VLOOKUP(DATE($K$1,$K$2,AC$4),Table1[],(MATCH(Calendar!$A10,DB!$1:$1,0)+2),FALSE),VLOOKUP(DATE($K$1,$K$2,AC$4),Table1[],(MATCH(Calendar!$A10,DB!$1:$1,0)),FALSE)),"")</f>
        <v/>
      </c>
      <c r="AD10" s="28" t="str">
        <f>IFERROR(IF($K$3="Yes",VLOOKUP(DATE($K$1,$K$2,AD$4),Table1[],(MATCH(Calendar!$A10,DB!$1:$1,0)+2),FALSE),VLOOKUP(DATE($K$1,$K$2,AD$4),Table1[],(MATCH(Calendar!$A10,DB!$1:$1,0)),FALSE)),"")</f>
        <v/>
      </c>
      <c r="AE10" s="28" t="str">
        <f>IFERROR(IF($K$3="Yes",VLOOKUP(DATE($K$1,$K$2,AE$4),Table1[],(MATCH(Calendar!$A10,DB!$1:$1,0)+2),FALSE),VLOOKUP(DATE($K$1,$K$2,AE$4),Table1[],(MATCH(Calendar!$A10,DB!$1:$1,0)),FALSE)),"")</f>
        <v/>
      </c>
      <c r="AF10" s="28" t="str">
        <f>IFERROR(IF($K$3="Yes",VLOOKUP(DATE($K$1,$K$2,AF$4),Table1[],(MATCH(Calendar!$A10,DB!$1:$1,0)+2),FALSE),VLOOKUP(DATE($K$1,$K$2,AF$4),Table1[],(MATCH(Calendar!$A10,DB!$1:$1,0)),FALSE)),"")</f>
        <v/>
      </c>
    </row>
    <row r="11" spans="1:16384" ht="6" customHeight="1">
      <c r="A11" s="26"/>
      <c r="B11" s="28"/>
      <c r="C11" s="28"/>
      <c r="D11" s="28"/>
      <c r="E11" s="28"/>
      <c r="F11" s="28"/>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row>
    <row r="12" spans="1:16384">
      <c r="A12" s="26">
        <f>DB!V1</f>
        <v>0</v>
      </c>
      <c r="B12" s="28" t="str">
        <f>IFERROR(IF($K$3="Yes",VLOOKUP(DATE($K$1,$K$2,B$4),Table1[],(MATCH(Calendar!$A12,DB!$1:$1,0)+2),FALSE),VLOOKUP(DATE($K$1,$K$2,B$4),Table1[],(MATCH(Calendar!$A12,DB!$1:$1,0)),FALSE)),"")</f>
        <v/>
      </c>
      <c r="C12" s="28" t="str">
        <f>IFERROR(IF($K$3="Yes",VLOOKUP(DATE($K$1,$K$2,C$4),Table1[],(MATCH(Calendar!$A12,DB!$1:$1,0)+2),FALSE),VLOOKUP(DATE($K$1,$K$2,C$4),Table1[],(MATCH(Calendar!$A12,DB!$1:$1,0)),FALSE)),"")</f>
        <v/>
      </c>
      <c r="D12" s="28" t="str">
        <f>IFERROR(IF($K$3="Yes",VLOOKUP(DATE($K$1,$K$2,D$4),Table1[],(MATCH(Calendar!$A12,DB!$1:$1,0)+2),FALSE),VLOOKUP(DATE($K$1,$K$2,D$4),Table1[],(MATCH(Calendar!$A12,DB!$1:$1,0)),FALSE)),"")</f>
        <v/>
      </c>
      <c r="E12" s="28" t="str">
        <f>IFERROR(IF($K$3="Yes",VLOOKUP(DATE($K$1,$K$2,E$4),Table1[],(MATCH(Calendar!$A12,DB!$1:$1,0)+2),FALSE),VLOOKUP(DATE($K$1,$K$2,E$4),Table1[],(MATCH(Calendar!$A12,DB!$1:$1,0)),FALSE)),"")</f>
        <v/>
      </c>
      <c r="F12" s="28" t="str">
        <f>IFERROR(IF($K$3="Yes",VLOOKUP(DATE($K$1,$K$2,F$4),Table1[],(MATCH(Calendar!$A12,DB!$1:$1,0)+2),FALSE),VLOOKUP(DATE($K$1,$K$2,F$4),Table1[],(MATCH(Calendar!$A12,DB!$1:$1,0)),FALSE)),"")</f>
        <v/>
      </c>
      <c r="G12" s="28" t="str">
        <f>IFERROR(IF($K$3="Yes",VLOOKUP(DATE($K$1,$K$2,G$4),Table1[],(MATCH(Calendar!$A12,DB!$1:$1,0)+2),FALSE),VLOOKUP(DATE($K$1,$K$2,G$4),Table1[],(MATCH(Calendar!$A12,DB!$1:$1,0)),FALSE)),"")</f>
        <v/>
      </c>
      <c r="H12" s="28" t="str">
        <f>IFERROR(IF($K$3="Yes",VLOOKUP(DATE($K$1,$K$2,H$4),Table1[],(MATCH(Calendar!$A12,DB!$1:$1,0)+2),FALSE),VLOOKUP(DATE($K$1,$K$2,H$4),Table1[],(MATCH(Calendar!$A12,DB!$1:$1,0)),FALSE)),"")</f>
        <v/>
      </c>
      <c r="I12" s="28" t="str">
        <f>IFERROR(IF($K$3="Yes",VLOOKUP(DATE($K$1,$K$2,I$4),Table1[],(MATCH(Calendar!$A12,DB!$1:$1,0)+2),FALSE),VLOOKUP(DATE($K$1,$K$2,I$4),Table1[],(MATCH(Calendar!$A12,DB!$1:$1,0)),FALSE)),"")</f>
        <v/>
      </c>
      <c r="J12" s="28" t="str">
        <f>IFERROR(IF($K$3="Yes",VLOOKUP(DATE($K$1,$K$2,J$4),Table1[],(MATCH(Calendar!$A12,DB!$1:$1,0)+2),FALSE),VLOOKUP(DATE($K$1,$K$2,J$4),Table1[],(MATCH(Calendar!$A12,DB!$1:$1,0)),FALSE)),"")</f>
        <v/>
      </c>
      <c r="K12" s="28" t="str">
        <f>IFERROR(IF($K$3="Yes",VLOOKUP(DATE($K$1,$K$2,K$4),Table1[],(MATCH(Calendar!$A12,DB!$1:$1,0)+2),FALSE),VLOOKUP(DATE($K$1,$K$2,K$4),Table1[],(MATCH(Calendar!$A12,DB!$1:$1,0)),FALSE)),"")</f>
        <v/>
      </c>
      <c r="L12" s="28" t="str">
        <f>IFERROR(IF($K$3="Yes",VLOOKUP(DATE($K$1,$K$2,L$4),Table1[],(MATCH(Calendar!$A12,DB!$1:$1,0)+2),FALSE),VLOOKUP(DATE($K$1,$K$2,L$4),Table1[],(MATCH(Calendar!$A12,DB!$1:$1,0)),FALSE)),"")</f>
        <v/>
      </c>
      <c r="M12" s="28" t="str">
        <f>IFERROR(IF($K$3="Yes",VLOOKUP(DATE($K$1,$K$2,M$4),Table1[],(MATCH(Calendar!$A12,DB!$1:$1,0)+2),FALSE),VLOOKUP(DATE($K$1,$K$2,M$4),Table1[],(MATCH(Calendar!$A12,DB!$1:$1,0)),FALSE)),"")</f>
        <v/>
      </c>
      <c r="N12" s="28" t="str">
        <f>IFERROR(IF($K$3="Yes",VLOOKUP(DATE($K$1,$K$2,N$4),Table1[],(MATCH(Calendar!$A12,DB!$1:$1,0)+2),FALSE),VLOOKUP(DATE($K$1,$K$2,N$4),Table1[],(MATCH(Calendar!$A12,DB!$1:$1,0)),FALSE)),"")</f>
        <v/>
      </c>
      <c r="O12" s="28" t="str">
        <f>IFERROR(IF($K$3="Yes",VLOOKUP(DATE($K$1,$K$2,O$4),Table1[],(MATCH(Calendar!$A12,DB!$1:$1,0)+2),FALSE),VLOOKUP(DATE($K$1,$K$2,O$4),Table1[],(MATCH(Calendar!$A12,DB!$1:$1,0)),FALSE)),"")</f>
        <v/>
      </c>
      <c r="P12" s="28" t="str">
        <f>IFERROR(IF($K$3="Yes",VLOOKUP(DATE($K$1,$K$2,P$4),Table1[],(MATCH(Calendar!$A12,DB!$1:$1,0)+2),FALSE),VLOOKUP(DATE($K$1,$K$2,P$4),Table1[],(MATCH(Calendar!$A12,DB!$1:$1,0)),FALSE)),"")</f>
        <v/>
      </c>
      <c r="Q12" s="28" t="str">
        <f>IFERROR(IF($K$3="Yes",VLOOKUP(DATE($K$1,$K$2,Q$4),Table1[],(MATCH(Calendar!$A12,DB!$1:$1,0)+2),FALSE),VLOOKUP(DATE($K$1,$K$2,Q$4),Table1[],(MATCH(Calendar!$A12,DB!$1:$1,0)),FALSE)),"")</f>
        <v/>
      </c>
      <c r="R12" s="28" t="str">
        <f>IFERROR(IF($K$3="Yes",VLOOKUP(DATE($K$1,$K$2,R$4),Table1[],(MATCH(Calendar!$A12,DB!$1:$1,0)+2),FALSE),VLOOKUP(DATE($K$1,$K$2,R$4),Table1[],(MATCH(Calendar!$A12,DB!$1:$1,0)),FALSE)),"")</f>
        <v/>
      </c>
      <c r="S12" s="28" t="str">
        <f>IFERROR(IF($K$3="Yes",VLOOKUP(DATE($K$1,$K$2,S$4),Table1[],(MATCH(Calendar!$A12,DB!$1:$1,0)+2),FALSE),VLOOKUP(DATE($K$1,$K$2,S$4),Table1[],(MATCH(Calendar!$A12,DB!$1:$1,0)),FALSE)),"")</f>
        <v/>
      </c>
      <c r="T12" s="28" t="str">
        <f>IFERROR(IF($K$3="Yes",VLOOKUP(DATE($K$1,$K$2,T$4),Table1[],(MATCH(Calendar!$A12,DB!$1:$1,0)+2),FALSE),VLOOKUP(DATE($K$1,$K$2,T$4),Table1[],(MATCH(Calendar!$A12,DB!$1:$1,0)),FALSE)),"")</f>
        <v/>
      </c>
      <c r="U12" s="28" t="str">
        <f>IFERROR(IF($K$3="Yes",VLOOKUP(DATE($K$1,$K$2,U$4),Table1[],(MATCH(Calendar!$A12,DB!$1:$1,0)+2),FALSE),VLOOKUP(DATE($K$1,$K$2,U$4),Table1[],(MATCH(Calendar!$A12,DB!$1:$1,0)),FALSE)),"")</f>
        <v/>
      </c>
      <c r="V12" s="28" t="str">
        <f>IFERROR(IF($K$3="Yes",VLOOKUP(DATE($K$1,$K$2,V$4),Table1[],(MATCH(Calendar!$A12,DB!$1:$1,0)+2),FALSE),VLOOKUP(DATE($K$1,$K$2,V$4),Table1[],(MATCH(Calendar!$A12,DB!$1:$1,0)),FALSE)),"")</f>
        <v/>
      </c>
      <c r="W12" s="28" t="str">
        <f>IFERROR(IF($K$3="Yes",VLOOKUP(DATE($K$1,$K$2,W$4),Table1[],(MATCH(Calendar!$A12,DB!$1:$1,0)+2),FALSE),VLOOKUP(DATE($K$1,$K$2,W$4),Table1[],(MATCH(Calendar!$A12,DB!$1:$1,0)),FALSE)),"")</f>
        <v/>
      </c>
      <c r="X12" s="28" t="str">
        <f>IFERROR(IF($K$3="Yes",VLOOKUP(DATE($K$1,$K$2,X$4),Table1[],(MATCH(Calendar!$A12,DB!$1:$1,0)+2),FALSE),VLOOKUP(DATE($K$1,$K$2,X$4),Table1[],(MATCH(Calendar!$A12,DB!$1:$1,0)),FALSE)),"")</f>
        <v/>
      </c>
      <c r="Y12" s="28" t="str">
        <f>IFERROR(IF($K$3="Yes",VLOOKUP(DATE($K$1,$K$2,Y$4),Table1[],(MATCH(Calendar!$A12,DB!$1:$1,0)+2),FALSE),VLOOKUP(DATE($K$1,$K$2,Y$4),Table1[],(MATCH(Calendar!$A12,DB!$1:$1,0)),FALSE)),"")</f>
        <v/>
      </c>
      <c r="Z12" s="28" t="str">
        <f>IFERROR(IF($K$3="Yes",VLOOKUP(DATE($K$1,$K$2,Z$4),Table1[],(MATCH(Calendar!$A12,DB!$1:$1,0)+2),FALSE),VLOOKUP(DATE($K$1,$K$2,Z$4),Table1[],(MATCH(Calendar!$A12,DB!$1:$1,0)),FALSE)),"")</f>
        <v/>
      </c>
      <c r="AA12" s="28" t="str">
        <f>IFERROR(IF($K$3="Yes",VLOOKUP(DATE($K$1,$K$2,AA$4),Table1[],(MATCH(Calendar!$A12,DB!$1:$1,0)+2),FALSE),VLOOKUP(DATE($K$1,$K$2,AA$4),Table1[],(MATCH(Calendar!$A12,DB!$1:$1,0)),FALSE)),"")</f>
        <v/>
      </c>
      <c r="AB12" s="28" t="str">
        <f>IFERROR(IF($K$3="Yes",VLOOKUP(DATE($K$1,$K$2,AB$4),Table1[],(MATCH(Calendar!$A12,DB!$1:$1,0)+2),FALSE),VLOOKUP(DATE($K$1,$K$2,AB$4),Table1[],(MATCH(Calendar!$A12,DB!$1:$1,0)),FALSE)),"")</f>
        <v/>
      </c>
      <c r="AC12" s="28" t="str">
        <f>IFERROR(IF($K$3="Yes",VLOOKUP(DATE($K$1,$K$2,AC$4),Table1[],(MATCH(Calendar!$A12,DB!$1:$1,0)+2),FALSE),VLOOKUP(DATE($K$1,$K$2,AC$4),Table1[],(MATCH(Calendar!$A12,DB!$1:$1,0)),FALSE)),"")</f>
        <v/>
      </c>
      <c r="AD12" s="28" t="str">
        <f>IFERROR(IF($K$3="Yes",VLOOKUP(DATE($K$1,$K$2,AD$4),Table1[],(MATCH(Calendar!$A12,DB!$1:$1,0)+2),FALSE),VLOOKUP(DATE($K$1,$K$2,AD$4),Table1[],(MATCH(Calendar!$A12,DB!$1:$1,0)),FALSE)),"")</f>
        <v/>
      </c>
      <c r="AE12" s="28" t="str">
        <f>IFERROR(IF($K$3="Yes",VLOOKUP(DATE($K$1,$K$2,AE$4),Table1[],(MATCH(Calendar!$A12,DB!$1:$1,0)+2),FALSE),VLOOKUP(DATE($K$1,$K$2,AE$4),Table1[],(MATCH(Calendar!$A12,DB!$1:$1,0)),FALSE)),"")</f>
        <v/>
      </c>
      <c r="AF12" s="28" t="str">
        <f>IFERROR(IF($K$3="Yes",VLOOKUP(DATE($K$1,$K$2,AF$4),Table1[],(MATCH(Calendar!$A12,DB!$1:$1,0)+2),FALSE),VLOOKUP(DATE($K$1,$K$2,AF$4),Table1[],(MATCH(Calendar!$A12,DB!$1:$1,0)),FALSE)),"")</f>
        <v/>
      </c>
    </row>
    <row r="13" spans="1:16384">
      <c r="A13" s="26">
        <f>DB!Z1</f>
        <v>0</v>
      </c>
      <c r="B13" s="28" t="str">
        <f>IFERROR(IF($K$3="Yes",VLOOKUP(DATE($K$1,$K$2,B$4),Table1[],(MATCH(Calendar!$A13,DB!$1:$1,0)+2),FALSE),VLOOKUP(DATE($K$1,$K$2,B$4),Table1[],(MATCH(Calendar!$A13,DB!$1:$1,0)),FALSE)),"")</f>
        <v/>
      </c>
      <c r="C13" s="28" t="str">
        <f>IFERROR(IF($K$3="Yes",VLOOKUP(DATE($K$1,$K$2,C$4),Table1[],(MATCH(Calendar!$A13,DB!$1:$1,0)+2),FALSE),VLOOKUP(DATE($K$1,$K$2,C$4),Table1[],(MATCH(Calendar!$A13,DB!$1:$1,0)),FALSE)),"")</f>
        <v/>
      </c>
      <c r="D13" s="28" t="str">
        <f>IFERROR(IF($K$3="Yes",VLOOKUP(DATE($K$1,$K$2,D$4),Table1[],(MATCH(Calendar!$A13,DB!$1:$1,0)+2),FALSE),VLOOKUP(DATE($K$1,$K$2,D$4),Table1[],(MATCH(Calendar!$A13,DB!$1:$1,0)),FALSE)),"")</f>
        <v/>
      </c>
      <c r="E13" s="28" t="str">
        <f>IFERROR(IF($K$3="Yes",VLOOKUP(DATE($K$1,$K$2,E$4),Table1[],(MATCH(Calendar!$A13,DB!$1:$1,0)+2),FALSE),VLOOKUP(DATE($K$1,$K$2,E$4),Table1[],(MATCH(Calendar!$A13,DB!$1:$1,0)),FALSE)),"")</f>
        <v/>
      </c>
      <c r="F13" s="28" t="str">
        <f>IFERROR(IF($K$3="Yes",VLOOKUP(DATE($K$1,$K$2,F$4),Table1[],(MATCH(Calendar!$A13,DB!$1:$1,0)+2),FALSE),VLOOKUP(DATE($K$1,$K$2,F$4),Table1[],(MATCH(Calendar!$A13,DB!$1:$1,0)),FALSE)),"")</f>
        <v/>
      </c>
      <c r="G13" s="28" t="str">
        <f>IFERROR(IF($K$3="Yes",VLOOKUP(DATE($K$1,$K$2,G$4),Table1[],(MATCH(Calendar!$A13,DB!$1:$1,0)+2),FALSE),VLOOKUP(DATE($K$1,$K$2,G$4),Table1[],(MATCH(Calendar!$A13,DB!$1:$1,0)),FALSE)),"")</f>
        <v/>
      </c>
      <c r="H13" s="28" t="str">
        <f>IFERROR(IF($K$3="Yes",VLOOKUP(DATE($K$1,$K$2,H$4),Table1[],(MATCH(Calendar!$A13,DB!$1:$1,0)+2),FALSE),VLOOKUP(DATE($K$1,$K$2,H$4),Table1[],(MATCH(Calendar!$A13,DB!$1:$1,0)),FALSE)),"")</f>
        <v/>
      </c>
      <c r="I13" s="28" t="str">
        <f>IFERROR(IF($K$3="Yes",VLOOKUP(DATE($K$1,$K$2,I$4),Table1[],(MATCH(Calendar!$A13,DB!$1:$1,0)+2),FALSE),VLOOKUP(DATE($K$1,$K$2,I$4),Table1[],(MATCH(Calendar!$A13,DB!$1:$1,0)),FALSE)),"")</f>
        <v/>
      </c>
      <c r="J13" s="28" t="str">
        <f>IFERROR(IF($K$3="Yes",VLOOKUP(DATE($K$1,$K$2,J$4),Table1[],(MATCH(Calendar!$A13,DB!$1:$1,0)+2),FALSE),VLOOKUP(DATE($K$1,$K$2,J$4),Table1[],(MATCH(Calendar!$A13,DB!$1:$1,0)),FALSE)),"")</f>
        <v/>
      </c>
      <c r="K13" s="28" t="str">
        <f>IFERROR(IF($K$3="Yes",VLOOKUP(DATE($K$1,$K$2,K$4),Table1[],(MATCH(Calendar!$A13,DB!$1:$1,0)+2),FALSE),VLOOKUP(DATE($K$1,$K$2,K$4),Table1[],(MATCH(Calendar!$A13,DB!$1:$1,0)),FALSE)),"")</f>
        <v/>
      </c>
      <c r="L13" s="28" t="str">
        <f>IFERROR(IF($K$3="Yes",VLOOKUP(DATE($K$1,$K$2,L$4),Table1[],(MATCH(Calendar!$A13,DB!$1:$1,0)+2),FALSE),VLOOKUP(DATE($K$1,$K$2,L$4),Table1[],(MATCH(Calendar!$A13,DB!$1:$1,0)),FALSE)),"")</f>
        <v/>
      </c>
      <c r="M13" s="28" t="str">
        <f>IFERROR(IF($K$3="Yes",VLOOKUP(DATE($K$1,$K$2,M$4),Table1[],(MATCH(Calendar!$A13,DB!$1:$1,0)+2),FALSE),VLOOKUP(DATE($K$1,$K$2,M$4),Table1[],(MATCH(Calendar!$A13,DB!$1:$1,0)),FALSE)),"")</f>
        <v/>
      </c>
      <c r="N13" s="28" t="str">
        <f>IFERROR(IF($K$3="Yes",VLOOKUP(DATE($K$1,$K$2,N$4),Table1[],(MATCH(Calendar!$A13,DB!$1:$1,0)+2),FALSE),VLOOKUP(DATE($K$1,$K$2,N$4),Table1[],(MATCH(Calendar!$A13,DB!$1:$1,0)),FALSE)),"")</f>
        <v/>
      </c>
      <c r="O13" s="28" t="str">
        <f>IFERROR(IF($K$3="Yes",VLOOKUP(DATE($K$1,$K$2,O$4),Table1[],(MATCH(Calendar!$A13,DB!$1:$1,0)+2),FALSE),VLOOKUP(DATE($K$1,$K$2,O$4),Table1[],(MATCH(Calendar!$A13,DB!$1:$1,0)),FALSE)),"")</f>
        <v/>
      </c>
      <c r="P13" s="28" t="str">
        <f>IFERROR(IF($K$3="Yes",VLOOKUP(DATE($K$1,$K$2,P$4),Table1[],(MATCH(Calendar!$A13,DB!$1:$1,0)+2),FALSE),VLOOKUP(DATE($K$1,$K$2,P$4),Table1[],(MATCH(Calendar!$A13,DB!$1:$1,0)),FALSE)),"")</f>
        <v/>
      </c>
      <c r="Q13" s="28" t="str">
        <f>IFERROR(IF($K$3="Yes",VLOOKUP(DATE($K$1,$K$2,Q$4),Table1[],(MATCH(Calendar!$A13,DB!$1:$1,0)+2),FALSE),VLOOKUP(DATE($K$1,$K$2,Q$4),Table1[],(MATCH(Calendar!$A13,DB!$1:$1,0)),FALSE)),"")</f>
        <v/>
      </c>
      <c r="R13" s="28" t="str">
        <f>IFERROR(IF($K$3="Yes",VLOOKUP(DATE($K$1,$K$2,R$4),Table1[],(MATCH(Calendar!$A13,DB!$1:$1,0)+2),FALSE),VLOOKUP(DATE($K$1,$K$2,R$4),Table1[],(MATCH(Calendar!$A13,DB!$1:$1,0)),FALSE)),"")</f>
        <v/>
      </c>
      <c r="S13" s="28" t="str">
        <f>IFERROR(IF($K$3="Yes",VLOOKUP(DATE($K$1,$K$2,S$4),Table1[],(MATCH(Calendar!$A13,DB!$1:$1,0)+2),FALSE),VLOOKUP(DATE($K$1,$K$2,S$4),Table1[],(MATCH(Calendar!$A13,DB!$1:$1,0)),FALSE)),"")</f>
        <v/>
      </c>
      <c r="T13" s="28" t="str">
        <f>IFERROR(IF($K$3="Yes",VLOOKUP(DATE($K$1,$K$2,T$4),Table1[],(MATCH(Calendar!$A13,DB!$1:$1,0)+2),FALSE),VLOOKUP(DATE($K$1,$K$2,T$4),Table1[],(MATCH(Calendar!$A13,DB!$1:$1,0)),FALSE)),"")</f>
        <v/>
      </c>
      <c r="U13" s="28" t="str">
        <f>IFERROR(IF($K$3="Yes",VLOOKUP(DATE($K$1,$K$2,U$4),Table1[],(MATCH(Calendar!$A13,DB!$1:$1,0)+2),FALSE),VLOOKUP(DATE($K$1,$K$2,U$4),Table1[],(MATCH(Calendar!$A13,DB!$1:$1,0)),FALSE)),"")</f>
        <v/>
      </c>
      <c r="V13" s="28" t="str">
        <f>IFERROR(IF($K$3="Yes",VLOOKUP(DATE($K$1,$K$2,V$4),Table1[],(MATCH(Calendar!$A13,DB!$1:$1,0)+2),FALSE),VLOOKUP(DATE($K$1,$K$2,V$4),Table1[],(MATCH(Calendar!$A13,DB!$1:$1,0)),FALSE)),"")</f>
        <v/>
      </c>
      <c r="W13" s="28" t="str">
        <f>IFERROR(IF($K$3="Yes",VLOOKUP(DATE($K$1,$K$2,W$4),Table1[],(MATCH(Calendar!$A13,DB!$1:$1,0)+2),FALSE),VLOOKUP(DATE($K$1,$K$2,W$4),Table1[],(MATCH(Calendar!$A13,DB!$1:$1,0)),FALSE)),"")</f>
        <v/>
      </c>
      <c r="X13" s="28" t="str">
        <f>IFERROR(IF($K$3="Yes",VLOOKUP(DATE($K$1,$K$2,X$4),Table1[],(MATCH(Calendar!$A13,DB!$1:$1,0)+2),FALSE),VLOOKUP(DATE($K$1,$K$2,X$4),Table1[],(MATCH(Calendar!$A13,DB!$1:$1,0)),FALSE)),"")</f>
        <v/>
      </c>
      <c r="Y13" s="28" t="str">
        <f>IFERROR(IF($K$3="Yes",VLOOKUP(DATE($K$1,$K$2,Y$4),Table1[],(MATCH(Calendar!$A13,DB!$1:$1,0)+2),FALSE),VLOOKUP(DATE($K$1,$K$2,Y$4),Table1[],(MATCH(Calendar!$A13,DB!$1:$1,0)),FALSE)),"")</f>
        <v/>
      </c>
      <c r="Z13" s="28" t="str">
        <f>IFERROR(IF($K$3="Yes",VLOOKUP(DATE($K$1,$K$2,Z$4),Table1[],(MATCH(Calendar!$A13,DB!$1:$1,0)+2),FALSE),VLOOKUP(DATE($K$1,$K$2,Z$4),Table1[],(MATCH(Calendar!$A13,DB!$1:$1,0)),FALSE)),"")</f>
        <v/>
      </c>
      <c r="AA13" s="28" t="str">
        <f>IFERROR(IF($K$3="Yes",VLOOKUP(DATE($K$1,$K$2,AA$4),Table1[],(MATCH(Calendar!$A13,DB!$1:$1,0)+2),FALSE),VLOOKUP(DATE($K$1,$K$2,AA$4),Table1[],(MATCH(Calendar!$A13,DB!$1:$1,0)),FALSE)),"")</f>
        <v/>
      </c>
      <c r="AB13" s="28" t="str">
        <f>IFERROR(IF($K$3="Yes",VLOOKUP(DATE($K$1,$K$2,AB$4),Table1[],(MATCH(Calendar!$A13,DB!$1:$1,0)+2),FALSE),VLOOKUP(DATE($K$1,$K$2,AB$4),Table1[],(MATCH(Calendar!$A13,DB!$1:$1,0)),FALSE)),"")</f>
        <v/>
      </c>
      <c r="AC13" s="28" t="str">
        <f>IFERROR(IF($K$3="Yes",VLOOKUP(DATE($K$1,$K$2,AC$4),Table1[],(MATCH(Calendar!$A13,DB!$1:$1,0)+2),FALSE),VLOOKUP(DATE($K$1,$K$2,AC$4),Table1[],(MATCH(Calendar!$A13,DB!$1:$1,0)),FALSE)),"")</f>
        <v/>
      </c>
      <c r="AD13" s="28" t="str">
        <f>IFERROR(IF($K$3="Yes",VLOOKUP(DATE($K$1,$K$2,AD$4),Table1[],(MATCH(Calendar!$A13,DB!$1:$1,0)+2),FALSE),VLOOKUP(DATE($K$1,$K$2,AD$4),Table1[],(MATCH(Calendar!$A13,DB!$1:$1,0)),FALSE)),"")</f>
        <v/>
      </c>
      <c r="AE13" s="28" t="str">
        <f>IFERROR(IF($K$3="Yes",VLOOKUP(DATE($K$1,$K$2,AE$4),Table1[],(MATCH(Calendar!$A13,DB!$1:$1,0)+2),FALSE),VLOOKUP(DATE($K$1,$K$2,AE$4),Table1[],(MATCH(Calendar!$A13,DB!$1:$1,0)),FALSE)),"")</f>
        <v/>
      </c>
      <c r="AF13" s="28" t="str">
        <f>IFERROR(IF($K$3="Yes",VLOOKUP(DATE($K$1,$K$2,AF$4),Table1[],(MATCH(Calendar!$A13,DB!$1:$1,0)+2),FALSE),VLOOKUP(DATE($K$1,$K$2,AF$4),Table1[],(MATCH(Calendar!$A13,DB!$1:$1,0)),FALSE)),"")</f>
        <v/>
      </c>
    </row>
    <row r="14" spans="1:16384">
      <c r="A14" s="26">
        <f>DB!AD1</f>
        <v>0</v>
      </c>
      <c r="B14" s="28" t="str">
        <f>IFERROR(IF($K$3="Yes",VLOOKUP(DATE($K$1,$K$2,B$4),Table1[],(MATCH(Calendar!$A14,DB!$1:$1,0)+2),FALSE),VLOOKUP(DATE($K$1,$K$2,B$4),Table1[],(MATCH(Calendar!$A14,DB!$1:$1,0)),FALSE)),"")</f>
        <v/>
      </c>
      <c r="C14" s="28" t="str">
        <f>IFERROR(IF($K$3="Yes",VLOOKUP(DATE($K$1,$K$2,C$4),Table1[],(MATCH(Calendar!$A14,DB!$1:$1,0)+2),FALSE),VLOOKUP(DATE($K$1,$K$2,C$4),Table1[],(MATCH(Calendar!$A14,DB!$1:$1,0)),FALSE)),"")</f>
        <v/>
      </c>
      <c r="D14" s="28" t="str">
        <f>IFERROR(IF($K$3="Yes",VLOOKUP(DATE($K$1,$K$2,D$4),Table1[],(MATCH(Calendar!$A14,DB!$1:$1,0)+2),FALSE),VLOOKUP(DATE($K$1,$K$2,D$4),Table1[],(MATCH(Calendar!$A14,DB!$1:$1,0)),FALSE)),"")</f>
        <v/>
      </c>
      <c r="E14" s="28" t="str">
        <f>IFERROR(IF($K$3="Yes",VLOOKUP(DATE($K$1,$K$2,E$4),Table1[],(MATCH(Calendar!$A14,DB!$1:$1,0)+2),FALSE),VLOOKUP(DATE($K$1,$K$2,E$4),Table1[],(MATCH(Calendar!$A14,DB!$1:$1,0)),FALSE)),"")</f>
        <v/>
      </c>
      <c r="F14" s="28" t="str">
        <f>IFERROR(IF($K$3="Yes",VLOOKUP(DATE($K$1,$K$2,F$4),Table1[],(MATCH(Calendar!$A14,DB!$1:$1,0)+2),FALSE),VLOOKUP(DATE($K$1,$K$2,F$4),Table1[],(MATCH(Calendar!$A14,DB!$1:$1,0)),FALSE)),"")</f>
        <v/>
      </c>
      <c r="G14" s="28" t="str">
        <f>IFERROR(IF($K$3="Yes",VLOOKUP(DATE($K$1,$K$2,G$4),Table1[],(MATCH(Calendar!$A14,DB!$1:$1,0)+2),FALSE),VLOOKUP(DATE($K$1,$K$2,G$4),Table1[],(MATCH(Calendar!$A14,DB!$1:$1,0)),FALSE)),"")</f>
        <v/>
      </c>
      <c r="H14" s="28" t="str">
        <f>IFERROR(IF($K$3="Yes",VLOOKUP(DATE($K$1,$K$2,H$4),Table1[],(MATCH(Calendar!$A14,DB!$1:$1,0)+2),FALSE),VLOOKUP(DATE($K$1,$K$2,H$4),Table1[],(MATCH(Calendar!$A14,DB!$1:$1,0)),FALSE)),"")</f>
        <v/>
      </c>
      <c r="I14" s="28" t="str">
        <f>IFERROR(IF($K$3="Yes",VLOOKUP(DATE($K$1,$K$2,I$4),Table1[],(MATCH(Calendar!$A14,DB!$1:$1,0)+2),FALSE),VLOOKUP(DATE($K$1,$K$2,I$4),Table1[],(MATCH(Calendar!$A14,DB!$1:$1,0)),FALSE)),"")</f>
        <v/>
      </c>
      <c r="J14" s="28" t="str">
        <f>IFERROR(IF($K$3="Yes",VLOOKUP(DATE($K$1,$K$2,J$4),Table1[],(MATCH(Calendar!$A14,DB!$1:$1,0)+2),FALSE),VLOOKUP(DATE($K$1,$K$2,J$4),Table1[],(MATCH(Calendar!$A14,DB!$1:$1,0)),FALSE)),"")</f>
        <v/>
      </c>
      <c r="K14" s="28" t="str">
        <f>IFERROR(IF($K$3="Yes",VLOOKUP(DATE($K$1,$K$2,K$4),Table1[],(MATCH(Calendar!$A14,DB!$1:$1,0)+2),FALSE),VLOOKUP(DATE($K$1,$K$2,K$4),Table1[],(MATCH(Calendar!$A14,DB!$1:$1,0)),FALSE)),"")</f>
        <v/>
      </c>
      <c r="L14" s="28" t="str">
        <f>IFERROR(IF($K$3="Yes",VLOOKUP(DATE($K$1,$K$2,L$4),Table1[],(MATCH(Calendar!$A14,DB!$1:$1,0)+2),FALSE),VLOOKUP(DATE($K$1,$K$2,L$4),Table1[],(MATCH(Calendar!$A14,DB!$1:$1,0)),FALSE)),"")</f>
        <v/>
      </c>
      <c r="M14" s="28" t="str">
        <f>IFERROR(IF($K$3="Yes",VLOOKUP(DATE($K$1,$K$2,M$4),Table1[],(MATCH(Calendar!$A14,DB!$1:$1,0)+2),FALSE),VLOOKUP(DATE($K$1,$K$2,M$4),Table1[],(MATCH(Calendar!$A14,DB!$1:$1,0)),FALSE)),"")</f>
        <v/>
      </c>
      <c r="N14" s="28" t="str">
        <f>IFERROR(IF($K$3="Yes",VLOOKUP(DATE($K$1,$K$2,N$4),Table1[],(MATCH(Calendar!$A14,DB!$1:$1,0)+2),FALSE),VLOOKUP(DATE($K$1,$K$2,N$4),Table1[],(MATCH(Calendar!$A14,DB!$1:$1,0)),FALSE)),"")</f>
        <v/>
      </c>
      <c r="O14" s="28" t="str">
        <f>IFERROR(IF($K$3="Yes",VLOOKUP(DATE($K$1,$K$2,O$4),Table1[],(MATCH(Calendar!$A14,DB!$1:$1,0)+2),FALSE),VLOOKUP(DATE($K$1,$K$2,O$4),Table1[],(MATCH(Calendar!$A14,DB!$1:$1,0)),FALSE)),"")</f>
        <v/>
      </c>
      <c r="P14" s="28" t="str">
        <f>IFERROR(IF($K$3="Yes",VLOOKUP(DATE($K$1,$K$2,P$4),Table1[],(MATCH(Calendar!$A14,DB!$1:$1,0)+2),FALSE),VLOOKUP(DATE($K$1,$K$2,P$4),Table1[],(MATCH(Calendar!$A14,DB!$1:$1,0)),FALSE)),"")</f>
        <v/>
      </c>
      <c r="Q14" s="28" t="str">
        <f>IFERROR(IF($K$3="Yes",VLOOKUP(DATE($K$1,$K$2,Q$4),Table1[],(MATCH(Calendar!$A14,DB!$1:$1,0)+2),FALSE),VLOOKUP(DATE($K$1,$K$2,Q$4),Table1[],(MATCH(Calendar!$A14,DB!$1:$1,0)),FALSE)),"")</f>
        <v/>
      </c>
      <c r="R14" s="28" t="str">
        <f>IFERROR(IF($K$3="Yes",VLOOKUP(DATE($K$1,$K$2,R$4),Table1[],(MATCH(Calendar!$A14,DB!$1:$1,0)+2),FALSE),VLOOKUP(DATE($K$1,$K$2,R$4),Table1[],(MATCH(Calendar!$A14,DB!$1:$1,0)),FALSE)),"")</f>
        <v/>
      </c>
      <c r="S14" s="28" t="str">
        <f>IFERROR(IF($K$3="Yes",VLOOKUP(DATE($K$1,$K$2,S$4),Table1[],(MATCH(Calendar!$A14,DB!$1:$1,0)+2),FALSE),VLOOKUP(DATE($K$1,$K$2,S$4),Table1[],(MATCH(Calendar!$A14,DB!$1:$1,0)),FALSE)),"")</f>
        <v/>
      </c>
      <c r="T14" s="28" t="str">
        <f>IFERROR(IF($K$3="Yes",VLOOKUP(DATE($K$1,$K$2,T$4),Table1[],(MATCH(Calendar!$A14,DB!$1:$1,0)+2),FALSE),VLOOKUP(DATE($K$1,$K$2,T$4),Table1[],(MATCH(Calendar!$A14,DB!$1:$1,0)),FALSE)),"")</f>
        <v/>
      </c>
      <c r="U14" s="28" t="str">
        <f>IFERROR(IF($K$3="Yes",VLOOKUP(DATE($K$1,$K$2,U$4),Table1[],(MATCH(Calendar!$A14,DB!$1:$1,0)+2),FALSE),VLOOKUP(DATE($K$1,$K$2,U$4),Table1[],(MATCH(Calendar!$A14,DB!$1:$1,0)),FALSE)),"")</f>
        <v/>
      </c>
      <c r="V14" s="28" t="str">
        <f>IFERROR(IF($K$3="Yes",VLOOKUP(DATE($K$1,$K$2,V$4),Table1[],(MATCH(Calendar!$A14,DB!$1:$1,0)+2),FALSE),VLOOKUP(DATE($K$1,$K$2,V$4),Table1[],(MATCH(Calendar!$A14,DB!$1:$1,0)),FALSE)),"")</f>
        <v/>
      </c>
      <c r="W14" s="28" t="str">
        <f>IFERROR(IF($K$3="Yes",VLOOKUP(DATE($K$1,$K$2,W$4),Table1[],(MATCH(Calendar!$A14,DB!$1:$1,0)+2),FALSE),VLOOKUP(DATE($K$1,$K$2,W$4),Table1[],(MATCH(Calendar!$A14,DB!$1:$1,0)),FALSE)),"")</f>
        <v/>
      </c>
      <c r="X14" s="28" t="str">
        <f>IFERROR(IF($K$3="Yes",VLOOKUP(DATE($K$1,$K$2,X$4),Table1[],(MATCH(Calendar!$A14,DB!$1:$1,0)+2),FALSE),VLOOKUP(DATE($K$1,$K$2,X$4),Table1[],(MATCH(Calendar!$A14,DB!$1:$1,0)),FALSE)),"")</f>
        <v/>
      </c>
      <c r="Y14" s="28" t="str">
        <f>IFERROR(IF($K$3="Yes",VLOOKUP(DATE($K$1,$K$2,Y$4),Table1[],(MATCH(Calendar!$A14,DB!$1:$1,0)+2),FALSE),VLOOKUP(DATE($K$1,$K$2,Y$4),Table1[],(MATCH(Calendar!$A14,DB!$1:$1,0)),FALSE)),"")</f>
        <v/>
      </c>
      <c r="Z14" s="28" t="str">
        <f>IFERROR(IF($K$3="Yes",VLOOKUP(DATE($K$1,$K$2,Z$4),Table1[],(MATCH(Calendar!$A14,DB!$1:$1,0)+2),FALSE),VLOOKUP(DATE($K$1,$K$2,Z$4),Table1[],(MATCH(Calendar!$A14,DB!$1:$1,0)),FALSE)),"")</f>
        <v/>
      </c>
      <c r="AA14" s="28" t="str">
        <f>IFERROR(IF($K$3="Yes",VLOOKUP(DATE($K$1,$K$2,AA$4),Table1[],(MATCH(Calendar!$A14,DB!$1:$1,0)+2),FALSE),VLOOKUP(DATE($K$1,$K$2,AA$4),Table1[],(MATCH(Calendar!$A14,DB!$1:$1,0)),FALSE)),"")</f>
        <v/>
      </c>
      <c r="AB14" s="28" t="str">
        <f>IFERROR(IF($K$3="Yes",VLOOKUP(DATE($K$1,$K$2,AB$4),Table1[],(MATCH(Calendar!$A14,DB!$1:$1,0)+2),FALSE),VLOOKUP(DATE($K$1,$K$2,AB$4),Table1[],(MATCH(Calendar!$A14,DB!$1:$1,0)),FALSE)),"")</f>
        <v/>
      </c>
      <c r="AC14" s="28" t="str">
        <f>IFERROR(IF($K$3="Yes",VLOOKUP(DATE($K$1,$K$2,AC$4),Table1[],(MATCH(Calendar!$A14,DB!$1:$1,0)+2),FALSE),VLOOKUP(DATE($K$1,$K$2,AC$4),Table1[],(MATCH(Calendar!$A14,DB!$1:$1,0)),FALSE)),"")</f>
        <v/>
      </c>
      <c r="AD14" s="28" t="str">
        <f>IFERROR(IF($K$3="Yes",VLOOKUP(DATE($K$1,$K$2,AD$4),Table1[],(MATCH(Calendar!$A14,DB!$1:$1,0)+2),FALSE),VLOOKUP(DATE($K$1,$K$2,AD$4),Table1[],(MATCH(Calendar!$A14,DB!$1:$1,0)),FALSE)),"")</f>
        <v/>
      </c>
      <c r="AE14" s="28" t="str">
        <f>IFERROR(IF($K$3="Yes",VLOOKUP(DATE($K$1,$K$2,AE$4),Table1[],(MATCH(Calendar!$A14,DB!$1:$1,0)+2),FALSE),VLOOKUP(DATE($K$1,$K$2,AE$4),Table1[],(MATCH(Calendar!$A14,DB!$1:$1,0)),FALSE)),"")</f>
        <v/>
      </c>
      <c r="AF14" s="28" t="str">
        <f>IFERROR(IF($K$3="Yes",VLOOKUP(DATE($K$1,$K$2,AF$4),Table1[],(MATCH(Calendar!$A14,DB!$1:$1,0)+2),FALSE),VLOOKUP(DATE($K$1,$K$2,AF$4),Table1[],(MATCH(Calendar!$A14,DB!$1:$1,0)),FALSE)),"")</f>
        <v/>
      </c>
    </row>
    <row r="15" spans="1:16384" hidden="1">
      <c r="A15" s="26">
        <f>DB!AH1</f>
        <v>0</v>
      </c>
      <c r="B15" s="28" t="str">
        <f>IFERROR(IF($K$3="Yes",VLOOKUP(DATE($K$1,$K$2,B$4),Table1[],(MATCH(Calendar!$A15,DB!$1:$1,0)+2),FALSE),VLOOKUP(DATE($K$1,$K$2,B$4),Table1[],(MATCH(Calendar!$A15,DB!$1:$1,0)),FALSE)),"")</f>
        <v/>
      </c>
      <c r="C15" s="28" t="str">
        <f>IFERROR(IF($K$3="Yes",VLOOKUP(DATE($K$1,$K$2,C$4),Table1[],(MATCH(Calendar!$A15,DB!$1:$1,0)+2),FALSE),VLOOKUP(DATE($K$1,$K$2,C$4),Table1[],(MATCH(Calendar!$A15,DB!$1:$1,0)),FALSE)),"")</f>
        <v/>
      </c>
      <c r="D15" s="28" t="str">
        <f>IFERROR(IF($K$3="Yes",VLOOKUP(DATE($K$1,$K$2,D$4),Table1[],(MATCH(Calendar!$A15,DB!$1:$1,0)+2),FALSE),VLOOKUP(DATE($K$1,$K$2,D$4),Table1[],(MATCH(Calendar!$A15,DB!$1:$1,0)),FALSE)),"")</f>
        <v/>
      </c>
      <c r="E15" s="28" t="str">
        <f>IFERROR(IF($K$3="Yes",VLOOKUP(DATE($K$1,$K$2,E$4),Table1[],(MATCH(Calendar!$A15,DB!$1:$1,0)+2),FALSE),VLOOKUP(DATE($K$1,$K$2,E$4),Table1[],(MATCH(Calendar!$A15,DB!$1:$1,0)),FALSE)),"")</f>
        <v/>
      </c>
      <c r="F15" s="28" t="str">
        <f>IFERROR(IF($K$3="Yes",VLOOKUP(DATE($K$1,$K$2,F$4),Table1[],(MATCH(Calendar!$A15,DB!$1:$1,0)+2),FALSE),VLOOKUP(DATE($K$1,$K$2,F$4),Table1[],(MATCH(Calendar!$A15,DB!$1:$1,0)),FALSE)),"")</f>
        <v/>
      </c>
      <c r="G15" s="28" t="str">
        <f>IFERROR(IF($K$3="Yes",VLOOKUP(DATE($K$1,$K$2,G$4),Table1[],(MATCH(Calendar!$A15,DB!$1:$1,0)+2),FALSE),VLOOKUP(DATE($K$1,$K$2,G$4),Table1[],(MATCH(Calendar!$A15,DB!$1:$1,0)),FALSE)),"")</f>
        <v/>
      </c>
      <c r="H15" s="28" t="str">
        <f>IFERROR(IF($K$3="Yes",VLOOKUP(DATE($K$1,$K$2,H$4),Table1[],(MATCH(Calendar!$A15,DB!$1:$1,0)+2),FALSE),VLOOKUP(DATE($K$1,$K$2,H$4),Table1[],(MATCH(Calendar!$A15,DB!$1:$1,0)),FALSE)),"")</f>
        <v/>
      </c>
      <c r="I15" s="28" t="str">
        <f>IFERROR(IF($K$3="Yes",VLOOKUP(DATE($K$1,$K$2,I$4),Table1[],(MATCH(Calendar!$A15,DB!$1:$1,0)+2),FALSE),VLOOKUP(DATE($K$1,$K$2,I$4),Table1[],(MATCH(Calendar!$A15,DB!$1:$1,0)),FALSE)),"")</f>
        <v/>
      </c>
      <c r="J15" s="28" t="str">
        <f>IFERROR(IF($K$3="Yes",VLOOKUP(DATE($K$1,$K$2,J$4),Table1[],(MATCH(Calendar!$A15,DB!$1:$1,0)+2),FALSE),VLOOKUP(DATE($K$1,$K$2,J$4),Table1[],(MATCH(Calendar!$A15,DB!$1:$1,0)),FALSE)),"")</f>
        <v/>
      </c>
      <c r="K15" s="28" t="str">
        <f>IFERROR(IF($K$3="Yes",VLOOKUP(DATE($K$1,$K$2,K$4),Table1[],(MATCH(Calendar!$A15,DB!$1:$1,0)+2),FALSE),VLOOKUP(DATE($K$1,$K$2,K$4),Table1[],(MATCH(Calendar!$A15,DB!$1:$1,0)),FALSE)),"")</f>
        <v/>
      </c>
      <c r="L15" s="28" t="str">
        <f>IFERROR(IF($K$3="Yes",VLOOKUP(DATE($K$1,$K$2,L$4),Table1[],(MATCH(Calendar!$A15,DB!$1:$1,0)+2),FALSE),VLOOKUP(DATE($K$1,$K$2,L$4),Table1[],(MATCH(Calendar!$A15,DB!$1:$1,0)),FALSE)),"")</f>
        <v/>
      </c>
      <c r="M15" s="28" t="str">
        <f>IFERROR(IF($K$3="Yes",VLOOKUP(DATE($K$1,$K$2,M$4),Table1[],(MATCH(Calendar!$A15,DB!$1:$1,0)+2),FALSE),VLOOKUP(DATE($K$1,$K$2,M$4),Table1[],(MATCH(Calendar!$A15,DB!$1:$1,0)),FALSE)),"")</f>
        <v/>
      </c>
      <c r="N15" s="28" t="str">
        <f>IFERROR(IF($K$3="Yes",VLOOKUP(DATE($K$1,$K$2,N$4),Table1[],(MATCH(Calendar!$A15,DB!$1:$1,0)+2),FALSE),VLOOKUP(DATE($K$1,$K$2,N$4),Table1[],(MATCH(Calendar!$A15,DB!$1:$1,0)),FALSE)),"")</f>
        <v/>
      </c>
      <c r="O15" s="28" t="str">
        <f>IFERROR(IF($K$3="Yes",VLOOKUP(DATE($K$1,$K$2,O$4),Table1[],(MATCH(Calendar!$A15,DB!$1:$1,0)+2),FALSE),VLOOKUP(DATE($K$1,$K$2,O$4),Table1[],(MATCH(Calendar!$A15,DB!$1:$1,0)),FALSE)),"")</f>
        <v/>
      </c>
      <c r="P15" s="28" t="str">
        <f>IFERROR(IF($K$3="Yes",VLOOKUP(DATE($K$1,$K$2,P$4),Table1[],(MATCH(Calendar!$A15,DB!$1:$1,0)+2),FALSE),VLOOKUP(DATE($K$1,$K$2,P$4),Table1[],(MATCH(Calendar!$A15,DB!$1:$1,0)),FALSE)),"")</f>
        <v/>
      </c>
      <c r="Q15" s="28" t="str">
        <f>IFERROR(IF($K$3="Yes",VLOOKUP(DATE($K$1,$K$2,Q$4),Table1[],(MATCH(Calendar!$A15,DB!$1:$1,0)+2),FALSE),VLOOKUP(DATE($K$1,$K$2,Q$4),Table1[],(MATCH(Calendar!$A15,DB!$1:$1,0)),FALSE)),"")</f>
        <v/>
      </c>
      <c r="R15" s="28" t="str">
        <f>IFERROR(IF($K$3="Yes",VLOOKUP(DATE($K$1,$K$2,R$4),Table1[],(MATCH(Calendar!$A15,DB!$1:$1,0)+2),FALSE),VLOOKUP(DATE($K$1,$K$2,R$4),Table1[],(MATCH(Calendar!$A15,DB!$1:$1,0)),FALSE)),"")</f>
        <v/>
      </c>
      <c r="S15" s="28" t="str">
        <f>IFERROR(IF($K$3="Yes",VLOOKUP(DATE($K$1,$K$2,S$4),Table1[],(MATCH(Calendar!$A15,DB!$1:$1,0)+2),FALSE),VLOOKUP(DATE($K$1,$K$2,S$4),Table1[],(MATCH(Calendar!$A15,DB!$1:$1,0)),FALSE)),"")</f>
        <v/>
      </c>
      <c r="T15" s="28" t="str">
        <f>IFERROR(IF($K$3="Yes",VLOOKUP(DATE($K$1,$K$2,T$4),Table1[],(MATCH(Calendar!$A15,DB!$1:$1,0)+2),FALSE),VLOOKUP(DATE($K$1,$K$2,T$4),Table1[],(MATCH(Calendar!$A15,DB!$1:$1,0)),FALSE)),"")</f>
        <v/>
      </c>
      <c r="U15" s="28" t="str">
        <f>IFERROR(IF($K$3="Yes",VLOOKUP(DATE($K$1,$K$2,U$4),Table1[],(MATCH(Calendar!$A15,DB!$1:$1,0)+2),FALSE),VLOOKUP(DATE($K$1,$K$2,U$4),Table1[],(MATCH(Calendar!$A15,DB!$1:$1,0)),FALSE)),"")</f>
        <v/>
      </c>
      <c r="V15" s="28" t="str">
        <f>IFERROR(IF($K$3="Yes",VLOOKUP(DATE($K$1,$K$2,V$4),Table1[],(MATCH(Calendar!$A15,DB!$1:$1,0)+2),FALSE),VLOOKUP(DATE($K$1,$K$2,V$4),Table1[],(MATCH(Calendar!$A15,DB!$1:$1,0)),FALSE)),"")</f>
        <v/>
      </c>
      <c r="W15" s="28" t="str">
        <f>IFERROR(IF($K$3="Yes",VLOOKUP(DATE($K$1,$K$2,W$4),Table1[],(MATCH(Calendar!$A15,DB!$1:$1,0)+2),FALSE),VLOOKUP(DATE($K$1,$K$2,W$4),Table1[],(MATCH(Calendar!$A15,DB!$1:$1,0)),FALSE)),"")</f>
        <v/>
      </c>
      <c r="X15" s="28" t="str">
        <f>IFERROR(IF($K$3="Yes",VLOOKUP(DATE($K$1,$K$2,X$4),Table1[],(MATCH(Calendar!$A15,DB!$1:$1,0)+2),FALSE),VLOOKUP(DATE($K$1,$K$2,X$4),Table1[],(MATCH(Calendar!$A15,DB!$1:$1,0)),FALSE)),"")</f>
        <v/>
      </c>
      <c r="Y15" s="28" t="str">
        <f>IFERROR(IF($K$3="Yes",VLOOKUP(DATE($K$1,$K$2,Y$4),Table1[],(MATCH(Calendar!$A15,DB!$1:$1,0)+2),FALSE),VLOOKUP(DATE($K$1,$K$2,Y$4),Table1[],(MATCH(Calendar!$A15,DB!$1:$1,0)),FALSE)),"")</f>
        <v/>
      </c>
      <c r="Z15" s="28" t="str">
        <f>IFERROR(IF($K$3="Yes",VLOOKUP(DATE($K$1,$K$2,Z$4),Table1[],(MATCH(Calendar!$A15,DB!$1:$1,0)+2),FALSE),VLOOKUP(DATE($K$1,$K$2,Z$4),Table1[],(MATCH(Calendar!$A15,DB!$1:$1,0)),FALSE)),"")</f>
        <v/>
      </c>
      <c r="AA15" s="28" t="str">
        <f>IFERROR(IF($K$3="Yes",VLOOKUP(DATE($K$1,$K$2,AA$4),Table1[],(MATCH(Calendar!$A15,DB!$1:$1,0)+2),FALSE),VLOOKUP(DATE($K$1,$K$2,AA$4),Table1[],(MATCH(Calendar!$A15,DB!$1:$1,0)),FALSE)),"")</f>
        <v/>
      </c>
      <c r="AB15" s="28" t="str">
        <f>IFERROR(IF($K$3="Yes",VLOOKUP(DATE($K$1,$K$2,AB$4),Table1[],(MATCH(Calendar!$A15,DB!$1:$1,0)+2),FALSE),VLOOKUP(DATE($K$1,$K$2,AB$4),Table1[],(MATCH(Calendar!$A15,DB!$1:$1,0)),FALSE)),"")</f>
        <v/>
      </c>
      <c r="AC15" s="28" t="str">
        <f>IFERROR(IF($K$3="Yes",VLOOKUP(DATE($K$1,$K$2,AC$4),Table1[],(MATCH(Calendar!$A15,DB!$1:$1,0)+2),FALSE),VLOOKUP(DATE($K$1,$K$2,AC$4),Table1[],(MATCH(Calendar!$A15,DB!$1:$1,0)),FALSE)),"")</f>
        <v/>
      </c>
      <c r="AD15" s="28" t="str">
        <f>IFERROR(IF($K$3="Yes",VLOOKUP(DATE($K$1,$K$2,AD$4),Table1[],(MATCH(Calendar!$A15,DB!$1:$1,0)+2),FALSE),VLOOKUP(DATE($K$1,$K$2,AD$4),Table1[],(MATCH(Calendar!$A15,DB!$1:$1,0)),FALSE)),"")</f>
        <v/>
      </c>
      <c r="AE15" s="28" t="str">
        <f>IFERROR(IF($K$3="Yes",VLOOKUP(DATE($K$1,$K$2,AE$4),Table1[],(MATCH(Calendar!$A15,DB!$1:$1,0)+2),FALSE),VLOOKUP(DATE($K$1,$K$2,AE$4),Table1[],(MATCH(Calendar!$A15,DB!$1:$1,0)),FALSE)),"")</f>
        <v/>
      </c>
      <c r="AF15" s="28" t="str">
        <f>IFERROR(IF($K$3="Yes",VLOOKUP(DATE($K$1,$K$2,AF$4),Table1[],(MATCH(Calendar!$A15,DB!$1:$1,0)+2),FALSE),VLOOKUP(DATE($K$1,$K$2,AF$4),Table1[],(MATCH(Calendar!$A15,DB!$1:$1,0)),FALSE)),"")</f>
        <v/>
      </c>
    </row>
    <row r="16" spans="1:16384" hidden="1">
      <c r="A16" s="26">
        <f>DB!AL1</f>
        <v>0</v>
      </c>
      <c r="B16" s="28" t="str">
        <f>IFERROR(IF($K$3="Yes",VLOOKUP(DATE($K$1,$K$2,B$4),Table1[],(MATCH(Calendar!$A16,DB!$1:$1,0)+2),FALSE),VLOOKUP(DATE($K$1,$K$2,B$4),Table1[],(MATCH(Calendar!$A16,DB!$1:$1,0)),FALSE)),"")</f>
        <v/>
      </c>
      <c r="C16" s="28" t="str">
        <f>IFERROR(IF($K$3="Yes",VLOOKUP(DATE($K$1,$K$2,C$4),Table1[],(MATCH(Calendar!$A16,DB!$1:$1,0)+2),FALSE),VLOOKUP(DATE($K$1,$K$2,C$4),Table1[],(MATCH(Calendar!$A16,DB!$1:$1,0)),FALSE)),"")</f>
        <v/>
      </c>
      <c r="D16" s="28" t="str">
        <f>IFERROR(IF($K$3="Yes",VLOOKUP(DATE($K$1,$K$2,D$4),Table1[],(MATCH(Calendar!$A16,DB!$1:$1,0)+2),FALSE),VLOOKUP(DATE($K$1,$K$2,D$4),Table1[],(MATCH(Calendar!$A16,DB!$1:$1,0)),FALSE)),"")</f>
        <v/>
      </c>
      <c r="E16" s="28" t="str">
        <f>IFERROR(IF($K$3="Yes",VLOOKUP(DATE($K$1,$K$2,E$4),Table1[],(MATCH(Calendar!$A16,DB!$1:$1,0)+2),FALSE),VLOOKUP(DATE($K$1,$K$2,E$4),Table1[],(MATCH(Calendar!$A16,DB!$1:$1,0)),FALSE)),"")</f>
        <v/>
      </c>
      <c r="F16" s="28" t="str">
        <f>IFERROR(IF($K$3="Yes",VLOOKUP(DATE($K$1,$K$2,F$4),Table1[],(MATCH(Calendar!$A16,DB!$1:$1,0)+2),FALSE),VLOOKUP(DATE($K$1,$K$2,F$4),Table1[],(MATCH(Calendar!$A16,DB!$1:$1,0)),FALSE)),"")</f>
        <v/>
      </c>
      <c r="G16" s="28" t="str">
        <f>IFERROR(IF($K$3="Yes",VLOOKUP(DATE($K$1,$K$2,G$4),Table1[],(MATCH(Calendar!$A16,DB!$1:$1,0)+2),FALSE),VLOOKUP(DATE($K$1,$K$2,G$4),Table1[],(MATCH(Calendar!$A16,DB!$1:$1,0)),FALSE)),"")</f>
        <v/>
      </c>
      <c r="H16" s="28" t="str">
        <f>IFERROR(IF($K$3="Yes",VLOOKUP(DATE($K$1,$K$2,H$4),Table1[],(MATCH(Calendar!$A16,DB!$1:$1,0)+2),FALSE),VLOOKUP(DATE($K$1,$K$2,H$4),Table1[],(MATCH(Calendar!$A16,DB!$1:$1,0)),FALSE)),"")</f>
        <v/>
      </c>
      <c r="I16" s="28" t="str">
        <f>IFERROR(IF($K$3="Yes",VLOOKUP(DATE($K$1,$K$2,I$4),Table1[],(MATCH(Calendar!$A16,DB!$1:$1,0)+2),FALSE),VLOOKUP(DATE($K$1,$K$2,I$4),Table1[],(MATCH(Calendar!$A16,DB!$1:$1,0)),FALSE)),"")</f>
        <v/>
      </c>
      <c r="J16" s="28" t="str">
        <f>IFERROR(IF($K$3="Yes",VLOOKUP(DATE($K$1,$K$2,J$4),Table1[],(MATCH(Calendar!$A16,DB!$1:$1,0)+2),FALSE),VLOOKUP(DATE($K$1,$K$2,J$4),Table1[],(MATCH(Calendar!$A16,DB!$1:$1,0)),FALSE)),"")</f>
        <v/>
      </c>
      <c r="K16" s="28" t="str">
        <f>IFERROR(IF($K$3="Yes",VLOOKUP(DATE($K$1,$K$2,K$4),Table1[],(MATCH(Calendar!$A16,DB!$1:$1,0)+2),FALSE),VLOOKUP(DATE($K$1,$K$2,K$4),Table1[],(MATCH(Calendar!$A16,DB!$1:$1,0)),FALSE)),"")</f>
        <v/>
      </c>
      <c r="L16" s="28" t="str">
        <f>IFERROR(IF($K$3="Yes",VLOOKUP(DATE($K$1,$K$2,L$4),Table1[],(MATCH(Calendar!$A16,DB!$1:$1,0)+2),FALSE),VLOOKUP(DATE($K$1,$K$2,L$4),Table1[],(MATCH(Calendar!$A16,DB!$1:$1,0)),FALSE)),"")</f>
        <v/>
      </c>
      <c r="M16" s="28" t="str">
        <f>IFERROR(IF($K$3="Yes",VLOOKUP(DATE($K$1,$K$2,M$4),Table1[],(MATCH(Calendar!$A16,DB!$1:$1,0)+2),FALSE),VLOOKUP(DATE($K$1,$K$2,M$4),Table1[],(MATCH(Calendar!$A16,DB!$1:$1,0)),FALSE)),"")</f>
        <v/>
      </c>
      <c r="N16" s="28" t="str">
        <f>IFERROR(IF($K$3="Yes",VLOOKUP(DATE($K$1,$K$2,N$4),Table1[],(MATCH(Calendar!$A16,DB!$1:$1,0)+2),FALSE),VLOOKUP(DATE($K$1,$K$2,N$4),Table1[],(MATCH(Calendar!$A16,DB!$1:$1,0)),FALSE)),"")</f>
        <v/>
      </c>
      <c r="O16" s="28" t="str">
        <f>IFERROR(IF($K$3="Yes",VLOOKUP(DATE($K$1,$K$2,O$4),Table1[],(MATCH(Calendar!$A16,DB!$1:$1,0)+2),FALSE),VLOOKUP(DATE($K$1,$K$2,O$4),Table1[],(MATCH(Calendar!$A16,DB!$1:$1,0)),FALSE)),"")</f>
        <v/>
      </c>
      <c r="P16" s="28" t="str">
        <f>IFERROR(IF($K$3="Yes",VLOOKUP(DATE($K$1,$K$2,P$4),Table1[],(MATCH(Calendar!$A16,DB!$1:$1,0)+2),FALSE),VLOOKUP(DATE($K$1,$K$2,P$4),Table1[],(MATCH(Calendar!$A16,DB!$1:$1,0)),FALSE)),"")</f>
        <v/>
      </c>
      <c r="Q16" s="28" t="str">
        <f>IFERROR(IF($K$3="Yes",VLOOKUP(DATE($K$1,$K$2,Q$4),Table1[],(MATCH(Calendar!$A16,DB!$1:$1,0)+2),FALSE),VLOOKUP(DATE($K$1,$K$2,Q$4),Table1[],(MATCH(Calendar!$A16,DB!$1:$1,0)),FALSE)),"")</f>
        <v/>
      </c>
      <c r="R16" s="28" t="str">
        <f>IFERROR(IF($K$3="Yes",VLOOKUP(DATE($K$1,$K$2,R$4),Table1[],(MATCH(Calendar!$A16,DB!$1:$1,0)+2),FALSE),VLOOKUP(DATE($K$1,$K$2,R$4),Table1[],(MATCH(Calendar!$A16,DB!$1:$1,0)),FALSE)),"")</f>
        <v/>
      </c>
      <c r="S16" s="28" t="str">
        <f>IFERROR(IF($K$3="Yes",VLOOKUP(DATE($K$1,$K$2,S$4),Table1[],(MATCH(Calendar!$A16,DB!$1:$1,0)+2),FALSE),VLOOKUP(DATE($K$1,$K$2,S$4),Table1[],(MATCH(Calendar!$A16,DB!$1:$1,0)),FALSE)),"")</f>
        <v/>
      </c>
      <c r="T16" s="28" t="str">
        <f>IFERROR(IF($K$3="Yes",VLOOKUP(DATE($K$1,$K$2,T$4),Table1[],(MATCH(Calendar!$A16,DB!$1:$1,0)+2),FALSE),VLOOKUP(DATE($K$1,$K$2,T$4),Table1[],(MATCH(Calendar!$A16,DB!$1:$1,0)),FALSE)),"")</f>
        <v/>
      </c>
      <c r="U16" s="28" t="str">
        <f>IFERROR(IF($K$3="Yes",VLOOKUP(DATE($K$1,$K$2,U$4),Table1[],(MATCH(Calendar!$A16,DB!$1:$1,0)+2),FALSE),VLOOKUP(DATE($K$1,$K$2,U$4),Table1[],(MATCH(Calendar!$A16,DB!$1:$1,0)),FALSE)),"")</f>
        <v/>
      </c>
      <c r="V16" s="28" t="str">
        <f>IFERROR(IF($K$3="Yes",VLOOKUP(DATE($K$1,$K$2,V$4),Table1[],(MATCH(Calendar!$A16,DB!$1:$1,0)+2),FALSE),VLOOKUP(DATE($K$1,$K$2,V$4),Table1[],(MATCH(Calendar!$A16,DB!$1:$1,0)),FALSE)),"")</f>
        <v/>
      </c>
      <c r="W16" s="28" t="str">
        <f>IFERROR(IF($K$3="Yes",VLOOKUP(DATE($K$1,$K$2,W$4),Table1[],(MATCH(Calendar!$A16,DB!$1:$1,0)+2),FALSE),VLOOKUP(DATE($K$1,$K$2,W$4),Table1[],(MATCH(Calendar!$A16,DB!$1:$1,0)),FALSE)),"")</f>
        <v/>
      </c>
      <c r="X16" s="28" t="str">
        <f>IFERROR(IF($K$3="Yes",VLOOKUP(DATE($K$1,$K$2,X$4),Table1[],(MATCH(Calendar!$A16,DB!$1:$1,0)+2),FALSE),VLOOKUP(DATE($K$1,$K$2,X$4),Table1[],(MATCH(Calendar!$A16,DB!$1:$1,0)),FALSE)),"")</f>
        <v/>
      </c>
      <c r="Y16" s="28" t="str">
        <f>IFERROR(IF($K$3="Yes",VLOOKUP(DATE($K$1,$K$2,Y$4),Table1[],(MATCH(Calendar!$A16,DB!$1:$1,0)+2),FALSE),VLOOKUP(DATE($K$1,$K$2,Y$4),Table1[],(MATCH(Calendar!$A16,DB!$1:$1,0)),FALSE)),"")</f>
        <v/>
      </c>
      <c r="Z16" s="28" t="str">
        <f>IFERROR(IF($K$3="Yes",VLOOKUP(DATE($K$1,$K$2,Z$4),Table1[],(MATCH(Calendar!$A16,DB!$1:$1,0)+2),FALSE),VLOOKUP(DATE($K$1,$K$2,Z$4),Table1[],(MATCH(Calendar!$A16,DB!$1:$1,0)),FALSE)),"")</f>
        <v/>
      </c>
      <c r="AA16" s="28" t="str">
        <f>IFERROR(IF($K$3="Yes",VLOOKUP(DATE($K$1,$K$2,AA$4),Table1[],(MATCH(Calendar!$A16,DB!$1:$1,0)+2),FALSE),VLOOKUP(DATE($K$1,$K$2,AA$4),Table1[],(MATCH(Calendar!$A16,DB!$1:$1,0)),FALSE)),"")</f>
        <v/>
      </c>
      <c r="AB16" s="28" t="str">
        <f>IFERROR(IF($K$3="Yes",VLOOKUP(DATE($K$1,$K$2,AB$4),Table1[],(MATCH(Calendar!$A16,DB!$1:$1,0)+2),FALSE),VLOOKUP(DATE($K$1,$K$2,AB$4),Table1[],(MATCH(Calendar!$A16,DB!$1:$1,0)),FALSE)),"")</f>
        <v/>
      </c>
      <c r="AC16" s="28" t="str">
        <f>IFERROR(IF($K$3="Yes",VLOOKUP(DATE($K$1,$K$2,AC$4),Table1[],(MATCH(Calendar!$A16,DB!$1:$1,0)+2),FALSE),VLOOKUP(DATE($K$1,$K$2,AC$4),Table1[],(MATCH(Calendar!$A16,DB!$1:$1,0)),FALSE)),"")</f>
        <v/>
      </c>
      <c r="AD16" s="28" t="str">
        <f>IFERROR(IF($K$3="Yes",VLOOKUP(DATE($K$1,$K$2,AD$4),Table1[],(MATCH(Calendar!$A16,DB!$1:$1,0)+2),FALSE),VLOOKUP(DATE($K$1,$K$2,AD$4),Table1[],(MATCH(Calendar!$A16,DB!$1:$1,0)),FALSE)),"")</f>
        <v/>
      </c>
      <c r="AE16" s="28" t="str">
        <f>IFERROR(IF($K$3="Yes",VLOOKUP(DATE($K$1,$K$2,AE$4),Table1[],(MATCH(Calendar!$A16,DB!$1:$1,0)+2),FALSE),VLOOKUP(DATE($K$1,$K$2,AE$4),Table1[],(MATCH(Calendar!$A16,DB!$1:$1,0)),FALSE)),"")</f>
        <v/>
      </c>
      <c r="AF16" s="28" t="str">
        <f>IFERROR(IF($K$3="Yes",VLOOKUP(DATE($K$1,$K$2,AF$4),Table1[],(MATCH(Calendar!$A16,DB!$1:$1,0)+2),FALSE),VLOOKUP(DATE($K$1,$K$2,AF$4),Table1[],(MATCH(Calendar!$A16,DB!$1:$1,0)),FALSE)),"")</f>
        <v/>
      </c>
    </row>
    <row r="17" spans="1:16384" ht="6" customHeight="1">
      <c r="A17" s="26"/>
      <c r="B17" s="28"/>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row>
    <row r="18" spans="1:16384">
      <c r="A18" s="26" t="s">
        <v>23</v>
      </c>
      <c r="B18" s="28" t="str">
        <f>IFERROR(IF($K$3="No",IF(VLOOKUP(DATE($K$1,$K$2,B$4),Table1[],(MATCH(Calendar!$A18,DB!$1:$1,0)),FALSE)&gt;=5,"Good","Bad"),VLOOKUP(DATE($K$1,$K$2,B$4),Table1[],(MATCH(Calendar!$A18,DB!$1:$1,0)),FALSE)),"")</f>
        <v/>
      </c>
      <c r="C18" s="28" t="str">
        <f>IFERROR(IF($K$3="No",IF(VLOOKUP(DATE($K$1,$K$2,C$4),Table1[],(MATCH(Calendar!$A18,DB!$1:$1,0)),FALSE)&gt;=5,"Good","Bad"),VLOOKUP(DATE($K$1,$K$2,C$4),Table1[],(MATCH(Calendar!$A18,DB!$1:$1,0)),FALSE)),"")</f>
        <v/>
      </c>
      <c r="D18" s="28" t="str">
        <f>IFERROR(IF($K$3="No",IF(VLOOKUP(DATE($K$1,$K$2,D$4),Table1[],(MATCH(Calendar!$A18,DB!$1:$1,0)),FALSE)&gt;=5,"Good","Bad"),VLOOKUP(DATE($K$1,$K$2,D$4),Table1[],(MATCH(Calendar!$A18,DB!$1:$1,0)),FALSE)),"")</f>
        <v/>
      </c>
      <c r="E18" s="28" t="str">
        <f>IFERROR(IF($K$3="No",IF(VLOOKUP(DATE($K$1,$K$2,E$4),Table1[],(MATCH(Calendar!$A18,DB!$1:$1,0)),FALSE)&gt;=5,"Good","Bad"),VLOOKUP(DATE($K$1,$K$2,E$4),Table1[],(MATCH(Calendar!$A18,DB!$1:$1,0)),FALSE)),"")</f>
        <v/>
      </c>
      <c r="F18" s="28" t="str">
        <f>IFERROR(IF($K$3="No",IF(VLOOKUP(DATE($K$1,$K$2,F$4),Table1[],(MATCH(Calendar!$A18,DB!$1:$1,0)),FALSE)&gt;=5,"Good","Bad"),VLOOKUP(DATE($K$1,$K$2,F$4),Table1[],(MATCH(Calendar!$A18,DB!$1:$1,0)),FALSE)),"")</f>
        <v/>
      </c>
      <c r="G18" s="28" t="str">
        <f>IFERROR(IF($K$3="No",IF(VLOOKUP(DATE($K$1,$K$2,G$4),Table1[],(MATCH(Calendar!$A18,DB!$1:$1,0)),FALSE)&gt;=5,"Good","Bad"),VLOOKUP(DATE($K$1,$K$2,G$4),Table1[],(MATCH(Calendar!$A18,DB!$1:$1,0)),FALSE)),"")</f>
        <v/>
      </c>
      <c r="H18" s="28" t="str">
        <f>IFERROR(IF($K$3="No",IF(VLOOKUP(DATE($K$1,$K$2,H$4),Table1[],(MATCH(Calendar!$A18,DB!$1:$1,0)),FALSE)&gt;=5,"Good","Bad"),VLOOKUP(DATE($K$1,$K$2,H$4),Table1[],(MATCH(Calendar!$A18,DB!$1:$1,0)),FALSE)),"")</f>
        <v/>
      </c>
      <c r="I18" s="28" t="str">
        <f>IFERROR(IF($K$3="No",IF(VLOOKUP(DATE($K$1,$K$2,I$4),Table1[],(MATCH(Calendar!$A18,DB!$1:$1,0)),FALSE)&gt;=5,"Good","Bad"),VLOOKUP(DATE($K$1,$K$2,I$4),Table1[],(MATCH(Calendar!$A18,DB!$1:$1,0)),FALSE)),"")</f>
        <v/>
      </c>
      <c r="J18" s="28" t="str">
        <f>IFERROR(IF($K$3="No",IF(VLOOKUP(DATE($K$1,$K$2,J$4),Table1[],(MATCH(Calendar!$A18,DB!$1:$1,0)),FALSE)&gt;=5,"Good","Bad"),VLOOKUP(DATE($K$1,$K$2,J$4),Table1[],(MATCH(Calendar!$A18,DB!$1:$1,0)),FALSE)),"")</f>
        <v/>
      </c>
      <c r="K18" s="28" t="str">
        <f>IFERROR(IF($K$3="No",IF(VLOOKUP(DATE($K$1,$K$2,K$4),Table1[],(MATCH(Calendar!$A18,DB!$1:$1,0)),FALSE)&gt;=5,"Good","Bad"),VLOOKUP(DATE($K$1,$K$2,K$4),Table1[],(MATCH(Calendar!$A18,DB!$1:$1,0)),FALSE)),"")</f>
        <v/>
      </c>
      <c r="L18" s="28" t="str">
        <f>IFERROR(IF($K$3="No",IF(VLOOKUP(DATE($K$1,$K$2,L$4),Table1[],(MATCH(Calendar!$A18,DB!$1:$1,0)),FALSE)&gt;=5,"Good","Bad"),VLOOKUP(DATE($K$1,$K$2,L$4),Table1[],(MATCH(Calendar!$A18,DB!$1:$1,0)),FALSE)),"")</f>
        <v/>
      </c>
      <c r="M18" s="28" t="str">
        <f>IFERROR(IF($K$3="No",IF(VLOOKUP(DATE($K$1,$K$2,M$4),Table1[],(MATCH(Calendar!$A18,DB!$1:$1,0)),FALSE)&gt;=5,"Good","Bad"),VLOOKUP(DATE($K$1,$K$2,M$4),Table1[],(MATCH(Calendar!$A18,DB!$1:$1,0)),FALSE)),"")</f>
        <v/>
      </c>
      <c r="N18" s="28" t="str">
        <f>IFERROR(IF($K$3="No",IF(VLOOKUP(DATE($K$1,$K$2,N$4),Table1[],(MATCH(Calendar!$A18,DB!$1:$1,0)),FALSE)&gt;=5,"Good","Bad"),VLOOKUP(DATE($K$1,$K$2,N$4),Table1[],(MATCH(Calendar!$A18,DB!$1:$1,0)),FALSE)),"")</f>
        <v/>
      </c>
      <c r="O18" s="28" t="str">
        <f>IFERROR(IF($K$3="No",IF(VLOOKUP(DATE($K$1,$K$2,O$4),Table1[],(MATCH(Calendar!$A18,DB!$1:$1,0)),FALSE)&gt;=5,"Good","Bad"),VLOOKUP(DATE($K$1,$K$2,O$4),Table1[],(MATCH(Calendar!$A18,DB!$1:$1,0)),FALSE)),"")</f>
        <v/>
      </c>
      <c r="P18" s="28" t="str">
        <f>IFERROR(IF($K$3="No",IF(VLOOKUP(DATE($K$1,$K$2,P$4),Table1[],(MATCH(Calendar!$A18,DB!$1:$1,0)),FALSE)&gt;=5,"Good","Bad"),VLOOKUP(DATE($K$1,$K$2,P$4),Table1[],(MATCH(Calendar!$A18,DB!$1:$1,0)),FALSE)),"")</f>
        <v/>
      </c>
      <c r="Q18" s="28" t="str">
        <f>IFERROR(IF($K$3="No",IF(VLOOKUP(DATE($K$1,$K$2,Q$4),Table1[],(MATCH(Calendar!$A18,DB!$1:$1,0)),FALSE)&gt;=5,"Good","Bad"),VLOOKUP(DATE($K$1,$K$2,Q$4),Table1[],(MATCH(Calendar!$A18,DB!$1:$1,0)),FALSE)),"")</f>
        <v/>
      </c>
      <c r="R18" s="28" t="str">
        <f>IFERROR(IF($K$3="No",IF(VLOOKUP(DATE($K$1,$K$2,R$4),Table1[],(MATCH(Calendar!$A18,DB!$1:$1,0)),FALSE)&gt;=5,"Good","Bad"),VLOOKUP(DATE($K$1,$K$2,R$4),Table1[],(MATCH(Calendar!$A18,DB!$1:$1,0)),FALSE)),"")</f>
        <v/>
      </c>
      <c r="S18" s="28" t="str">
        <f>IFERROR(IF($K$3="No",IF(VLOOKUP(DATE($K$1,$K$2,S$4),Table1[],(MATCH(Calendar!$A18,DB!$1:$1,0)),FALSE)&gt;=5,"Good","Bad"),VLOOKUP(DATE($K$1,$K$2,S$4),Table1[],(MATCH(Calendar!$A18,DB!$1:$1,0)),FALSE)),"")</f>
        <v/>
      </c>
      <c r="T18" s="28" t="str">
        <f>IFERROR(IF($K$3="No",IF(VLOOKUP(DATE($K$1,$K$2,T$4),Table1[],(MATCH(Calendar!$A18,DB!$1:$1,0)),FALSE)&gt;=5,"Good","Bad"),VLOOKUP(DATE($K$1,$K$2,T$4),Table1[],(MATCH(Calendar!$A18,DB!$1:$1,0)),FALSE)),"")</f>
        <v/>
      </c>
      <c r="U18" s="28" t="str">
        <f>IFERROR(IF($K$3="No",IF(VLOOKUP(DATE($K$1,$K$2,U$4),Table1[],(MATCH(Calendar!$A18,DB!$1:$1,0)),FALSE)&gt;=5,"Good","Bad"),VLOOKUP(DATE($K$1,$K$2,U$4),Table1[],(MATCH(Calendar!$A18,DB!$1:$1,0)),FALSE)),"")</f>
        <v/>
      </c>
      <c r="V18" s="28" t="str">
        <f>IFERROR(IF($K$3="No",IF(VLOOKUP(DATE($K$1,$K$2,V$4),Table1[],(MATCH(Calendar!$A18,DB!$1:$1,0)),FALSE)&gt;=5,"Good","Bad"),VLOOKUP(DATE($K$1,$K$2,V$4),Table1[],(MATCH(Calendar!$A18,DB!$1:$1,0)),FALSE)),"")</f>
        <v/>
      </c>
      <c r="W18" s="28" t="str">
        <f>IFERROR(IF($K$3="No",IF(VLOOKUP(DATE($K$1,$K$2,W$4),Table1[],(MATCH(Calendar!$A18,DB!$1:$1,0)),FALSE)&gt;=5,"Good","Bad"),VLOOKUP(DATE($K$1,$K$2,W$4),Table1[],(MATCH(Calendar!$A18,DB!$1:$1,0)),FALSE)),"")</f>
        <v/>
      </c>
      <c r="X18" s="28" t="str">
        <f>IFERROR(IF($K$3="No",IF(VLOOKUP(DATE($K$1,$K$2,X$4),Table1[],(MATCH(Calendar!$A18,DB!$1:$1,0)),FALSE)&gt;=5,"Good","Bad"),VLOOKUP(DATE($K$1,$K$2,X$4),Table1[],(MATCH(Calendar!$A18,DB!$1:$1,0)),FALSE)),"")</f>
        <v/>
      </c>
      <c r="Y18" s="28" t="str">
        <f>IFERROR(IF($K$3="No",IF(VLOOKUP(DATE($K$1,$K$2,Y$4),Table1[],(MATCH(Calendar!$A18,DB!$1:$1,0)),FALSE)&gt;=5,"Good","Bad"),VLOOKUP(DATE($K$1,$K$2,Y$4),Table1[],(MATCH(Calendar!$A18,DB!$1:$1,0)),FALSE)),"")</f>
        <v/>
      </c>
      <c r="Z18" s="28" t="str">
        <f>IFERROR(IF($K$3="No",IF(VLOOKUP(DATE($K$1,$K$2,Z$4),Table1[],(MATCH(Calendar!$A18,DB!$1:$1,0)),FALSE)&gt;=5,"Good","Bad"),VLOOKUP(DATE($K$1,$K$2,Z$4),Table1[],(MATCH(Calendar!$A18,DB!$1:$1,0)),FALSE)),"")</f>
        <v/>
      </c>
      <c r="AA18" s="28" t="str">
        <f>IFERROR(IF($K$3="No",IF(VLOOKUP(DATE($K$1,$K$2,AA$4),Table1[],(MATCH(Calendar!$A18,DB!$1:$1,0)),FALSE)&gt;=5,"Good","Bad"),VLOOKUP(DATE($K$1,$K$2,AA$4),Table1[],(MATCH(Calendar!$A18,DB!$1:$1,0)),FALSE)),"")</f>
        <v/>
      </c>
      <c r="AB18" s="28" t="str">
        <f>IFERROR(IF($K$3="No",IF(VLOOKUP(DATE($K$1,$K$2,AB$4),Table1[],(MATCH(Calendar!$A18,DB!$1:$1,0)),FALSE)&gt;=5,"Good","Bad"),VLOOKUP(DATE($K$1,$K$2,AB$4),Table1[],(MATCH(Calendar!$A18,DB!$1:$1,0)),FALSE)),"")</f>
        <v/>
      </c>
      <c r="AC18" s="28" t="str">
        <f>IFERROR(IF($K$3="No",IF(VLOOKUP(DATE($K$1,$K$2,AC$4),Table1[],(MATCH(Calendar!$A18,DB!$1:$1,0)),FALSE)&gt;=5,"Good","Bad"),VLOOKUP(DATE($K$1,$K$2,AC$4),Table1[],(MATCH(Calendar!$A18,DB!$1:$1,0)),FALSE)),"")</f>
        <v/>
      </c>
      <c r="AD18" s="28" t="str">
        <f>IFERROR(IF($K$3="No",IF(VLOOKUP(DATE($K$1,$K$2,AD$4),Table1[],(MATCH(Calendar!$A18,DB!$1:$1,0)),FALSE)&gt;=5,"Good","Bad"),VLOOKUP(DATE($K$1,$K$2,AD$4),Table1[],(MATCH(Calendar!$A18,DB!$1:$1,0)),FALSE)),"")</f>
        <v/>
      </c>
      <c r="AE18" s="28" t="str">
        <f>IFERROR(IF($K$3="No",IF(VLOOKUP(DATE($K$1,$K$2,AE$4),Table1[],(MATCH(Calendar!$A18,DB!$1:$1,0)),FALSE)&gt;=5,"Good","Bad"),VLOOKUP(DATE($K$1,$K$2,AE$4),Table1[],(MATCH(Calendar!$A18,DB!$1:$1,0)),FALSE)),"")</f>
        <v/>
      </c>
      <c r="AF18" s="28" t="str">
        <f>IFERROR(IF($K$3="No",IF(VLOOKUP(DATE($K$1,$K$2,AF$4),Table1[],(MATCH(Calendar!$A18,DB!$1:$1,0)),FALSE)&gt;=5,"Good","Bad"),VLOOKUP(DATE($K$1,$K$2,AF$4),Table1[],(MATCH(Calendar!$A18,DB!$1:$1,0)),FALSE)),"")</f>
        <v/>
      </c>
      <c r="AG18" s="28" t="str">
        <f>IFERROR(IF(AP3="No",IF(VLOOKUP(DATE($K$1,$K$2,AG$4),Table1[],(MATCH(Calendar!$A18,DB!$1:$1,0)),FALSE)&gt;=5,"Good","Bad"),VLOOKUP(DATE($K$1,$K$2,AG$4),Table1[],(MATCH(Calendar!$A18,DB!$1:$1,0)),FALSE)),"")</f>
        <v/>
      </c>
      <c r="AH18" s="28" t="str">
        <f>IFERROR(IF(AQ3="No",IF(VLOOKUP(DATE($K$1,$K$2,AH$4),Table1[],(MATCH(Calendar!$A18,DB!$1:$1,0)),FALSE)&gt;=5,"Good","Bad"),VLOOKUP(DATE($K$1,$K$2,AH$4),Table1[],(MATCH(Calendar!$A18,DB!$1:$1,0)),FALSE)),"")</f>
        <v/>
      </c>
      <c r="AI18" s="28" t="str">
        <f>IFERROR(IF(AR3="No",IF(VLOOKUP(DATE($K$1,$K$2,AI$4),Table1[],(MATCH(Calendar!$A18,DB!$1:$1,0)),FALSE)&gt;=5,"Good","Bad"),VLOOKUP(DATE($K$1,$K$2,AI$4),Table1[],(MATCH(Calendar!$A18,DB!$1:$1,0)),FALSE)),"")</f>
        <v/>
      </c>
      <c r="AJ18" s="28" t="str">
        <f>IFERROR(IF(AS3="No",IF(VLOOKUP(DATE($K$1,$K$2,AJ$4),Table1[],(MATCH(Calendar!$A18,DB!$1:$1,0)),FALSE)&gt;=5,"Good","Bad"),VLOOKUP(DATE($K$1,$K$2,AJ$4),Table1[],(MATCH(Calendar!$A18,DB!$1:$1,0)),FALSE)),"")</f>
        <v/>
      </c>
      <c r="AK18" s="28" t="str">
        <f>IFERROR(IF(AT3="No",IF(VLOOKUP(DATE($K$1,$K$2,AK$4),Table1[],(MATCH(Calendar!$A18,DB!$1:$1,0)),FALSE)&gt;=5,"Good","Bad"),VLOOKUP(DATE($K$1,$K$2,AK$4),Table1[],(MATCH(Calendar!$A18,DB!$1:$1,0)),FALSE)),"")</f>
        <v/>
      </c>
      <c r="AL18" s="28" t="str">
        <f>IFERROR(IF(AU3="No",IF(VLOOKUP(DATE($K$1,$K$2,AL$4),Table1[],(MATCH(Calendar!$A18,DB!$1:$1,0)),FALSE)&gt;=5,"Good","Bad"),VLOOKUP(DATE($K$1,$K$2,AL$4),Table1[],(MATCH(Calendar!$A18,DB!$1:$1,0)),FALSE)),"")</f>
        <v/>
      </c>
      <c r="AM18" s="28" t="str">
        <f>IFERROR(IF(AV3="No",IF(VLOOKUP(DATE($K$1,$K$2,AM$4),Table1[],(MATCH(Calendar!$A18,DB!$1:$1,0)),FALSE)&gt;=5,"Good","Bad"),VLOOKUP(DATE($K$1,$K$2,AM$4),Table1[],(MATCH(Calendar!$A18,DB!$1:$1,0)),FALSE)),"")</f>
        <v/>
      </c>
      <c r="AN18" s="28" t="str">
        <f>IFERROR(IF(AW3="No",IF(VLOOKUP(DATE($K$1,$K$2,AN$4),Table1[],(MATCH(Calendar!$A18,DB!$1:$1,0)),FALSE)&gt;=5,"Good","Bad"),VLOOKUP(DATE($K$1,$K$2,AN$4),Table1[],(MATCH(Calendar!$A18,DB!$1:$1,0)),FALSE)),"")</f>
        <v/>
      </c>
      <c r="AO18" s="28" t="str">
        <f>IFERROR(IF(AX3="No",IF(VLOOKUP(DATE($K$1,$K$2,AO$4),Table1[],(MATCH(Calendar!$A18,DB!$1:$1,0)),FALSE)&gt;=5,"Good","Bad"),VLOOKUP(DATE($K$1,$K$2,AO$4),Table1[],(MATCH(Calendar!$A18,DB!$1:$1,0)),FALSE)),"")</f>
        <v/>
      </c>
      <c r="AP18" s="28" t="str">
        <f>IFERROR(IF(AY3="No",IF(VLOOKUP(DATE($K$1,$K$2,AP$4),Table1[],(MATCH(Calendar!$A18,DB!$1:$1,0)),FALSE)&gt;=5,"Good","Bad"),VLOOKUP(DATE($K$1,$K$2,AP$4),Table1[],(MATCH(Calendar!$A18,DB!$1:$1,0)),FALSE)),"")</f>
        <v/>
      </c>
      <c r="AQ18" s="28" t="str">
        <f>IFERROR(IF(AZ3="No",IF(VLOOKUP(DATE($K$1,$K$2,AQ$4),Table1[],(MATCH(Calendar!$A18,DB!$1:$1,0)),FALSE)&gt;=5,"Good","Bad"),VLOOKUP(DATE($K$1,$K$2,AQ$4),Table1[],(MATCH(Calendar!$A18,DB!$1:$1,0)),FALSE)),"")</f>
        <v/>
      </c>
      <c r="AR18" s="28" t="str">
        <f>IFERROR(IF(BA3="No",IF(VLOOKUP(DATE($K$1,$K$2,AR$4),Table1[],(MATCH(Calendar!$A18,DB!$1:$1,0)),FALSE)&gt;=5,"Good","Bad"),VLOOKUP(DATE($K$1,$K$2,AR$4),Table1[],(MATCH(Calendar!$A18,DB!$1:$1,0)),FALSE)),"")</f>
        <v/>
      </c>
      <c r="AS18" s="28" t="str">
        <f>IFERROR(IF(BB3="No",IF(VLOOKUP(DATE($K$1,$K$2,AS$4),Table1[],(MATCH(Calendar!$A18,DB!$1:$1,0)),FALSE)&gt;=5,"Good","Bad"),VLOOKUP(DATE($K$1,$K$2,AS$4),Table1[],(MATCH(Calendar!$A18,DB!$1:$1,0)),FALSE)),"")</f>
        <v/>
      </c>
      <c r="AT18" s="28" t="str">
        <f>IFERROR(IF(BC3="No",IF(VLOOKUP(DATE($K$1,$K$2,AT$4),Table1[],(MATCH(Calendar!$A18,DB!$1:$1,0)),FALSE)&gt;=5,"Good","Bad"),VLOOKUP(DATE($K$1,$K$2,AT$4),Table1[],(MATCH(Calendar!$A18,DB!$1:$1,0)),FALSE)),"")</f>
        <v/>
      </c>
      <c r="AU18" s="28" t="str">
        <f>IFERROR(IF(BD3="No",IF(VLOOKUP(DATE($K$1,$K$2,AU$4),Table1[],(MATCH(Calendar!$A18,DB!$1:$1,0)),FALSE)&gt;=5,"Good","Bad"),VLOOKUP(DATE($K$1,$K$2,AU$4),Table1[],(MATCH(Calendar!$A18,DB!$1:$1,0)),FALSE)),"")</f>
        <v/>
      </c>
      <c r="AV18" s="28" t="str">
        <f>IFERROR(IF(BE3="No",IF(VLOOKUP(DATE($K$1,$K$2,AV$4),Table1[],(MATCH(Calendar!$A18,DB!$1:$1,0)),FALSE)&gt;=5,"Good","Bad"),VLOOKUP(DATE($K$1,$K$2,AV$4),Table1[],(MATCH(Calendar!$A18,DB!$1:$1,0)),FALSE)),"")</f>
        <v/>
      </c>
      <c r="AW18" s="28" t="str">
        <f>IFERROR(IF(BF3="No",IF(VLOOKUP(DATE($K$1,$K$2,AW$4),Table1[],(MATCH(Calendar!$A18,DB!$1:$1,0)),FALSE)&gt;=5,"Good","Bad"),VLOOKUP(DATE($K$1,$K$2,AW$4),Table1[],(MATCH(Calendar!$A18,DB!$1:$1,0)),FALSE)),"")</f>
        <v/>
      </c>
      <c r="AX18" s="28" t="str">
        <f>IFERROR(IF(BG3="No",IF(VLOOKUP(DATE($K$1,$K$2,AX$4),Table1[],(MATCH(Calendar!$A18,DB!$1:$1,0)),FALSE)&gt;=5,"Good","Bad"),VLOOKUP(DATE($K$1,$K$2,AX$4),Table1[],(MATCH(Calendar!$A18,DB!$1:$1,0)),FALSE)),"")</f>
        <v/>
      </c>
      <c r="AY18" s="28" t="str">
        <f>IFERROR(IF(BH3="No",IF(VLOOKUP(DATE($K$1,$K$2,AY$4),Table1[],(MATCH(Calendar!$A18,DB!$1:$1,0)),FALSE)&gt;=5,"Good","Bad"),VLOOKUP(DATE($K$1,$K$2,AY$4),Table1[],(MATCH(Calendar!$A18,DB!$1:$1,0)),FALSE)),"")</f>
        <v/>
      </c>
      <c r="AZ18" s="28" t="str">
        <f>IFERROR(IF(BI3="No",IF(VLOOKUP(DATE($K$1,$K$2,AZ$4),Table1[],(MATCH(Calendar!$A18,DB!$1:$1,0)),FALSE)&gt;=5,"Good","Bad"),VLOOKUP(DATE($K$1,$K$2,AZ$4),Table1[],(MATCH(Calendar!$A18,DB!$1:$1,0)),FALSE)),"")</f>
        <v/>
      </c>
      <c r="BA18" s="28" t="str">
        <f>IFERROR(IF(BJ3="No",IF(VLOOKUP(DATE($K$1,$K$2,BA$4),Table1[],(MATCH(Calendar!$A18,DB!$1:$1,0)),FALSE)&gt;=5,"Good","Bad"),VLOOKUP(DATE($K$1,$K$2,BA$4),Table1[],(MATCH(Calendar!$A18,DB!$1:$1,0)),FALSE)),"")</f>
        <v/>
      </c>
      <c r="BB18" s="28" t="str">
        <f>IFERROR(IF(BK3="No",IF(VLOOKUP(DATE($K$1,$K$2,BB$4),Table1[],(MATCH(Calendar!$A18,DB!$1:$1,0)),FALSE)&gt;=5,"Good","Bad"),VLOOKUP(DATE($K$1,$K$2,BB$4),Table1[],(MATCH(Calendar!$A18,DB!$1:$1,0)),FALSE)),"")</f>
        <v/>
      </c>
      <c r="BC18" s="28" t="str">
        <f>IFERROR(IF(BL3="No",IF(VLOOKUP(DATE($K$1,$K$2,BC$4),Table1[],(MATCH(Calendar!$A18,DB!$1:$1,0)),FALSE)&gt;=5,"Good","Bad"),VLOOKUP(DATE($K$1,$K$2,BC$4),Table1[],(MATCH(Calendar!$A18,DB!$1:$1,0)),FALSE)),"")</f>
        <v/>
      </c>
      <c r="BD18" s="28" t="str">
        <f>IFERROR(IF(BM3="No",IF(VLOOKUP(DATE($K$1,$K$2,BD$4),Table1[],(MATCH(Calendar!$A18,DB!$1:$1,0)),FALSE)&gt;=5,"Good","Bad"),VLOOKUP(DATE($K$1,$K$2,BD$4),Table1[],(MATCH(Calendar!$A18,DB!$1:$1,0)),FALSE)),"")</f>
        <v/>
      </c>
      <c r="BE18" s="28" t="str">
        <f>IFERROR(IF(BN3="No",IF(VLOOKUP(DATE($K$1,$K$2,BE$4),Table1[],(MATCH(Calendar!$A18,DB!$1:$1,0)),FALSE)&gt;=5,"Good","Bad"),VLOOKUP(DATE($K$1,$K$2,BE$4),Table1[],(MATCH(Calendar!$A18,DB!$1:$1,0)),FALSE)),"")</f>
        <v/>
      </c>
      <c r="BF18" s="28" t="str">
        <f>IFERROR(IF(BO3="No",IF(VLOOKUP(DATE($K$1,$K$2,BF$4),Table1[],(MATCH(Calendar!$A18,DB!$1:$1,0)),FALSE)&gt;=5,"Good","Bad"),VLOOKUP(DATE($K$1,$K$2,BF$4),Table1[],(MATCH(Calendar!$A18,DB!$1:$1,0)),FALSE)),"")</f>
        <v/>
      </c>
      <c r="BG18" s="28" t="str">
        <f>IFERROR(IF(BP3="No",IF(VLOOKUP(DATE($K$1,$K$2,BG$4),Table1[],(MATCH(Calendar!$A18,DB!$1:$1,0)),FALSE)&gt;=5,"Good","Bad"),VLOOKUP(DATE($K$1,$K$2,BG$4),Table1[],(MATCH(Calendar!$A18,DB!$1:$1,0)),FALSE)),"")</f>
        <v/>
      </c>
      <c r="BH18" s="28" t="str">
        <f>IFERROR(IF(BQ3="No",IF(VLOOKUP(DATE($K$1,$K$2,BH$4),Table1[],(MATCH(Calendar!$A18,DB!$1:$1,0)),FALSE)&gt;=5,"Good","Bad"),VLOOKUP(DATE($K$1,$K$2,BH$4),Table1[],(MATCH(Calendar!$A18,DB!$1:$1,0)),FALSE)),"")</f>
        <v/>
      </c>
      <c r="BI18" s="28" t="str">
        <f>IFERROR(IF(BR3="No",IF(VLOOKUP(DATE($K$1,$K$2,BI$4),Table1[],(MATCH(Calendar!$A18,DB!$1:$1,0)),FALSE)&gt;=5,"Good","Bad"),VLOOKUP(DATE($K$1,$K$2,BI$4),Table1[],(MATCH(Calendar!$A18,DB!$1:$1,0)),FALSE)),"")</f>
        <v/>
      </c>
      <c r="BJ18" s="28" t="str">
        <f>IFERROR(IF(BS3="No",IF(VLOOKUP(DATE($K$1,$K$2,BJ$4),Table1[],(MATCH(Calendar!$A18,DB!$1:$1,0)),FALSE)&gt;=5,"Good","Bad"),VLOOKUP(DATE($K$1,$K$2,BJ$4),Table1[],(MATCH(Calendar!$A18,DB!$1:$1,0)),FALSE)),"")</f>
        <v/>
      </c>
      <c r="BK18" s="28" t="str">
        <f>IFERROR(IF(BT3="No",IF(VLOOKUP(DATE($K$1,$K$2,BK$4),Table1[],(MATCH(Calendar!$A18,DB!$1:$1,0)),FALSE)&gt;=5,"Good","Bad"),VLOOKUP(DATE($K$1,$K$2,BK$4),Table1[],(MATCH(Calendar!$A18,DB!$1:$1,0)),FALSE)),"")</f>
        <v/>
      </c>
      <c r="BL18" s="28" t="str">
        <f>IFERROR(IF(BU3="No",IF(VLOOKUP(DATE($K$1,$K$2,BL$4),Table1[],(MATCH(Calendar!$A18,DB!$1:$1,0)),FALSE)&gt;=5,"Good","Bad"),VLOOKUP(DATE($K$1,$K$2,BL$4),Table1[],(MATCH(Calendar!$A18,DB!$1:$1,0)),FALSE)),"")</f>
        <v/>
      </c>
      <c r="BM18" s="28" t="str">
        <f>IFERROR(IF(BV3="No",IF(VLOOKUP(DATE($K$1,$K$2,BM$4),Table1[],(MATCH(Calendar!$A18,DB!$1:$1,0)),FALSE)&gt;=5,"Good","Bad"),VLOOKUP(DATE($K$1,$K$2,BM$4),Table1[],(MATCH(Calendar!$A18,DB!$1:$1,0)),FALSE)),"")</f>
        <v/>
      </c>
      <c r="BN18" s="28" t="str">
        <f>IFERROR(IF(BW3="No",IF(VLOOKUP(DATE($K$1,$K$2,BN$4),Table1[],(MATCH(Calendar!$A18,DB!$1:$1,0)),FALSE)&gt;=5,"Good","Bad"),VLOOKUP(DATE($K$1,$K$2,BN$4),Table1[],(MATCH(Calendar!$A18,DB!$1:$1,0)),FALSE)),"")</f>
        <v/>
      </c>
      <c r="BO18" s="28" t="str">
        <f>IFERROR(IF(BX3="No",IF(VLOOKUP(DATE($K$1,$K$2,BO$4),Table1[],(MATCH(Calendar!$A18,DB!$1:$1,0)),FALSE)&gt;=5,"Good","Bad"),VLOOKUP(DATE($K$1,$K$2,BO$4),Table1[],(MATCH(Calendar!$A18,DB!$1:$1,0)),FALSE)),"")</f>
        <v/>
      </c>
      <c r="BP18" s="28" t="str">
        <f>IFERROR(IF(BY3="No",IF(VLOOKUP(DATE($K$1,$K$2,BP$4),Table1[],(MATCH(Calendar!$A18,DB!$1:$1,0)),FALSE)&gt;=5,"Good","Bad"),VLOOKUP(DATE($K$1,$K$2,BP$4),Table1[],(MATCH(Calendar!$A18,DB!$1:$1,0)),FALSE)),"")</f>
        <v/>
      </c>
      <c r="BQ18" s="28" t="str">
        <f>IFERROR(IF(BZ3="No",IF(VLOOKUP(DATE($K$1,$K$2,BQ$4),Table1[],(MATCH(Calendar!$A18,DB!$1:$1,0)),FALSE)&gt;=5,"Good","Bad"),VLOOKUP(DATE($K$1,$K$2,BQ$4),Table1[],(MATCH(Calendar!$A18,DB!$1:$1,0)),FALSE)),"")</f>
        <v/>
      </c>
      <c r="BR18" s="28" t="str">
        <f>IFERROR(IF(CA3="No",IF(VLOOKUP(DATE($K$1,$K$2,BR$4),Table1[],(MATCH(Calendar!$A18,DB!$1:$1,0)),FALSE)&gt;=5,"Good","Bad"),VLOOKUP(DATE($K$1,$K$2,BR$4),Table1[],(MATCH(Calendar!$A18,DB!$1:$1,0)),FALSE)),"")</f>
        <v/>
      </c>
      <c r="BS18" s="28" t="str">
        <f>IFERROR(IF(CB3="No",IF(VLOOKUP(DATE($K$1,$K$2,BS$4),Table1[],(MATCH(Calendar!$A18,DB!$1:$1,0)),FALSE)&gt;=5,"Good","Bad"),VLOOKUP(DATE($K$1,$K$2,BS$4),Table1[],(MATCH(Calendar!$A18,DB!$1:$1,0)),FALSE)),"")</f>
        <v/>
      </c>
      <c r="BT18" s="28" t="str">
        <f>IFERROR(IF(CC3="No",IF(VLOOKUP(DATE($K$1,$K$2,BT$4),Table1[],(MATCH(Calendar!$A18,DB!$1:$1,0)),FALSE)&gt;=5,"Good","Bad"),VLOOKUP(DATE($K$1,$K$2,BT$4),Table1[],(MATCH(Calendar!$A18,DB!$1:$1,0)),FALSE)),"")</f>
        <v/>
      </c>
      <c r="BU18" s="28" t="str">
        <f>IFERROR(IF(CD3="No",IF(VLOOKUP(DATE($K$1,$K$2,BU$4),Table1[],(MATCH(Calendar!$A18,DB!$1:$1,0)),FALSE)&gt;=5,"Good","Bad"),VLOOKUP(DATE($K$1,$K$2,BU$4),Table1[],(MATCH(Calendar!$A18,DB!$1:$1,0)),FALSE)),"")</f>
        <v/>
      </c>
      <c r="BV18" s="28" t="str">
        <f>IFERROR(IF(CE3="No",IF(VLOOKUP(DATE($K$1,$K$2,BV$4),Table1[],(MATCH(Calendar!$A18,DB!$1:$1,0)),FALSE)&gt;=5,"Good","Bad"),VLOOKUP(DATE($K$1,$K$2,BV$4),Table1[],(MATCH(Calendar!$A18,DB!$1:$1,0)),FALSE)),"")</f>
        <v/>
      </c>
      <c r="BW18" s="28" t="str">
        <f>IFERROR(IF(CF3="No",IF(VLOOKUP(DATE($K$1,$K$2,BW$4),Table1[],(MATCH(Calendar!$A18,DB!$1:$1,0)),FALSE)&gt;=5,"Good","Bad"),VLOOKUP(DATE($K$1,$K$2,BW$4),Table1[],(MATCH(Calendar!$A18,DB!$1:$1,0)),FALSE)),"")</f>
        <v/>
      </c>
      <c r="BX18" s="28" t="str">
        <f>IFERROR(IF(CG3="No",IF(VLOOKUP(DATE($K$1,$K$2,BX$4),Table1[],(MATCH(Calendar!$A18,DB!$1:$1,0)),FALSE)&gt;=5,"Good","Bad"),VLOOKUP(DATE($K$1,$K$2,BX$4),Table1[],(MATCH(Calendar!$A18,DB!$1:$1,0)),FALSE)),"")</f>
        <v/>
      </c>
      <c r="BY18" s="28" t="str">
        <f>IFERROR(IF(CH3="No",IF(VLOOKUP(DATE($K$1,$K$2,BY$4),Table1[],(MATCH(Calendar!$A18,DB!$1:$1,0)),FALSE)&gt;=5,"Good","Bad"),VLOOKUP(DATE($K$1,$K$2,BY$4),Table1[],(MATCH(Calendar!$A18,DB!$1:$1,0)),FALSE)),"")</f>
        <v/>
      </c>
      <c r="BZ18" s="28" t="str">
        <f>IFERROR(IF(CI3="No",IF(VLOOKUP(DATE($K$1,$K$2,BZ$4),Table1[],(MATCH(Calendar!$A18,DB!$1:$1,0)),FALSE)&gt;=5,"Good","Bad"),VLOOKUP(DATE($K$1,$K$2,BZ$4),Table1[],(MATCH(Calendar!$A18,DB!$1:$1,0)),FALSE)),"")</f>
        <v/>
      </c>
      <c r="CA18" s="28" t="str">
        <f>IFERROR(IF(CJ3="No",IF(VLOOKUP(DATE($K$1,$K$2,CA$4),Table1[],(MATCH(Calendar!$A18,DB!$1:$1,0)),FALSE)&gt;=5,"Good","Bad"),VLOOKUP(DATE($K$1,$K$2,CA$4),Table1[],(MATCH(Calendar!$A18,DB!$1:$1,0)),FALSE)),"")</f>
        <v/>
      </c>
      <c r="CB18" s="28" t="str">
        <f>IFERROR(IF(CK3="No",IF(VLOOKUP(DATE($K$1,$K$2,CB$4),Table1[],(MATCH(Calendar!$A18,DB!$1:$1,0)),FALSE)&gt;=5,"Good","Bad"),VLOOKUP(DATE($K$1,$K$2,CB$4),Table1[],(MATCH(Calendar!$A18,DB!$1:$1,0)),FALSE)),"")</f>
        <v/>
      </c>
      <c r="CC18" s="28" t="str">
        <f>IFERROR(IF(CL3="No",IF(VLOOKUP(DATE($K$1,$K$2,CC$4),Table1[],(MATCH(Calendar!$A18,DB!$1:$1,0)),FALSE)&gt;=5,"Good","Bad"),VLOOKUP(DATE($K$1,$K$2,CC$4),Table1[],(MATCH(Calendar!$A18,DB!$1:$1,0)),FALSE)),"")</f>
        <v/>
      </c>
      <c r="CD18" s="28" t="str">
        <f>IFERROR(IF(CM3="No",IF(VLOOKUP(DATE($K$1,$K$2,CD$4),Table1[],(MATCH(Calendar!$A18,DB!$1:$1,0)),FALSE)&gt;=5,"Good","Bad"),VLOOKUP(DATE($K$1,$K$2,CD$4),Table1[],(MATCH(Calendar!$A18,DB!$1:$1,0)),FALSE)),"")</f>
        <v/>
      </c>
      <c r="CE18" s="28" t="str">
        <f>IFERROR(IF(CN3="No",IF(VLOOKUP(DATE($K$1,$K$2,CE$4),Table1[],(MATCH(Calendar!$A18,DB!$1:$1,0)),FALSE)&gt;=5,"Good","Bad"),VLOOKUP(DATE($K$1,$K$2,CE$4),Table1[],(MATCH(Calendar!$A18,DB!$1:$1,0)),FALSE)),"")</f>
        <v/>
      </c>
      <c r="CF18" s="28" t="str">
        <f>IFERROR(IF(CO3="No",IF(VLOOKUP(DATE($K$1,$K$2,CF$4),Table1[],(MATCH(Calendar!$A18,DB!$1:$1,0)),FALSE)&gt;=5,"Good","Bad"),VLOOKUP(DATE($K$1,$K$2,CF$4),Table1[],(MATCH(Calendar!$A18,DB!$1:$1,0)),FALSE)),"")</f>
        <v/>
      </c>
      <c r="CG18" s="28" t="str">
        <f>IFERROR(IF(CP3="No",IF(VLOOKUP(DATE($K$1,$K$2,CG$4),Table1[],(MATCH(Calendar!$A18,DB!$1:$1,0)),FALSE)&gt;=5,"Good","Bad"),VLOOKUP(DATE($K$1,$K$2,CG$4),Table1[],(MATCH(Calendar!$A18,DB!$1:$1,0)),FALSE)),"")</f>
        <v/>
      </c>
      <c r="CH18" s="28" t="str">
        <f>IFERROR(IF(CQ3="No",IF(VLOOKUP(DATE($K$1,$K$2,CH$4),Table1[],(MATCH(Calendar!$A18,DB!$1:$1,0)),FALSE)&gt;=5,"Good","Bad"),VLOOKUP(DATE($K$1,$K$2,CH$4),Table1[],(MATCH(Calendar!$A18,DB!$1:$1,0)),FALSE)),"")</f>
        <v/>
      </c>
      <c r="CI18" s="28" t="str">
        <f>IFERROR(IF(CR3="No",IF(VLOOKUP(DATE($K$1,$K$2,CI$4),Table1[],(MATCH(Calendar!$A18,DB!$1:$1,0)),FALSE)&gt;=5,"Good","Bad"),VLOOKUP(DATE($K$1,$K$2,CI$4),Table1[],(MATCH(Calendar!$A18,DB!$1:$1,0)),FALSE)),"")</f>
        <v/>
      </c>
      <c r="CJ18" s="28" t="str">
        <f>IFERROR(IF(CS3="No",IF(VLOOKUP(DATE($K$1,$K$2,CJ$4),Table1[],(MATCH(Calendar!$A18,DB!$1:$1,0)),FALSE)&gt;=5,"Good","Bad"),VLOOKUP(DATE($K$1,$K$2,CJ$4),Table1[],(MATCH(Calendar!$A18,DB!$1:$1,0)),FALSE)),"")</f>
        <v/>
      </c>
      <c r="CK18" s="28" t="str">
        <f>IFERROR(IF(CT3="No",IF(VLOOKUP(DATE($K$1,$K$2,CK$4),Table1[],(MATCH(Calendar!$A18,DB!$1:$1,0)),FALSE)&gt;=5,"Good","Bad"),VLOOKUP(DATE($K$1,$K$2,CK$4),Table1[],(MATCH(Calendar!$A18,DB!$1:$1,0)),FALSE)),"")</f>
        <v/>
      </c>
      <c r="CL18" s="28" t="str">
        <f>IFERROR(IF(CU3="No",IF(VLOOKUP(DATE($K$1,$K$2,CL$4),Table1[],(MATCH(Calendar!$A18,DB!$1:$1,0)),FALSE)&gt;=5,"Good","Bad"),VLOOKUP(DATE($K$1,$K$2,CL$4),Table1[],(MATCH(Calendar!$A18,DB!$1:$1,0)),FALSE)),"")</f>
        <v/>
      </c>
      <c r="CM18" s="28" t="str">
        <f>IFERROR(IF(CV3="No",IF(VLOOKUP(DATE($K$1,$K$2,CM$4),Table1[],(MATCH(Calendar!$A18,DB!$1:$1,0)),FALSE)&gt;=5,"Good","Bad"),VLOOKUP(DATE($K$1,$K$2,CM$4),Table1[],(MATCH(Calendar!$A18,DB!$1:$1,0)),FALSE)),"")</f>
        <v/>
      </c>
      <c r="CN18" s="28" t="str">
        <f>IFERROR(IF(CW3="No",IF(VLOOKUP(DATE($K$1,$K$2,CN$4),Table1[],(MATCH(Calendar!$A18,DB!$1:$1,0)),FALSE)&gt;=5,"Good","Bad"),VLOOKUP(DATE($K$1,$K$2,CN$4),Table1[],(MATCH(Calendar!$A18,DB!$1:$1,0)),FALSE)),"")</f>
        <v/>
      </c>
      <c r="CO18" s="28" t="str">
        <f>IFERROR(IF(CX3="No",IF(VLOOKUP(DATE($K$1,$K$2,CO$4),Table1[],(MATCH(Calendar!$A18,DB!$1:$1,0)),FALSE)&gt;=5,"Good","Bad"),VLOOKUP(DATE($K$1,$K$2,CO$4),Table1[],(MATCH(Calendar!$A18,DB!$1:$1,0)),FALSE)),"")</f>
        <v/>
      </c>
      <c r="CP18" s="28" t="str">
        <f>IFERROR(IF(CY3="No",IF(VLOOKUP(DATE($K$1,$K$2,CP$4),Table1[],(MATCH(Calendar!$A18,DB!$1:$1,0)),FALSE)&gt;=5,"Good","Bad"),VLOOKUP(DATE($K$1,$K$2,CP$4),Table1[],(MATCH(Calendar!$A18,DB!$1:$1,0)),FALSE)),"")</f>
        <v/>
      </c>
      <c r="CQ18" s="28" t="str">
        <f>IFERROR(IF(CZ3="No",IF(VLOOKUP(DATE($K$1,$K$2,CQ$4),Table1[],(MATCH(Calendar!$A18,DB!$1:$1,0)),FALSE)&gt;=5,"Good","Bad"),VLOOKUP(DATE($K$1,$K$2,CQ$4),Table1[],(MATCH(Calendar!$A18,DB!$1:$1,0)),FALSE)),"")</f>
        <v/>
      </c>
      <c r="CR18" s="28" t="str">
        <f>IFERROR(IF(DA3="No",IF(VLOOKUP(DATE($K$1,$K$2,CR$4),Table1[],(MATCH(Calendar!$A18,DB!$1:$1,0)),FALSE)&gt;=5,"Good","Bad"),VLOOKUP(DATE($K$1,$K$2,CR$4),Table1[],(MATCH(Calendar!$A18,DB!$1:$1,0)),FALSE)),"")</f>
        <v/>
      </c>
      <c r="CS18" s="28" t="str">
        <f>IFERROR(IF(DB3="No",IF(VLOOKUP(DATE($K$1,$K$2,CS$4),Table1[],(MATCH(Calendar!$A18,DB!$1:$1,0)),FALSE)&gt;=5,"Good","Bad"),VLOOKUP(DATE($K$1,$K$2,CS$4),Table1[],(MATCH(Calendar!$A18,DB!$1:$1,0)),FALSE)),"")</f>
        <v/>
      </c>
      <c r="CT18" s="28" t="str">
        <f>IFERROR(IF(DC3="No",IF(VLOOKUP(DATE($K$1,$K$2,CT$4),Table1[],(MATCH(Calendar!$A18,DB!$1:$1,0)),FALSE)&gt;=5,"Good","Bad"),VLOOKUP(DATE($K$1,$K$2,CT$4),Table1[],(MATCH(Calendar!$A18,DB!$1:$1,0)),FALSE)),"")</f>
        <v/>
      </c>
      <c r="CU18" s="28" t="str">
        <f>IFERROR(IF(DD3="No",IF(VLOOKUP(DATE($K$1,$K$2,CU$4),Table1[],(MATCH(Calendar!$A18,DB!$1:$1,0)),FALSE)&gt;=5,"Good","Bad"),VLOOKUP(DATE($K$1,$K$2,CU$4),Table1[],(MATCH(Calendar!$A18,DB!$1:$1,0)),FALSE)),"")</f>
        <v/>
      </c>
      <c r="CV18" s="28" t="str">
        <f>IFERROR(IF(DE3="No",IF(VLOOKUP(DATE($K$1,$K$2,CV$4),Table1[],(MATCH(Calendar!$A18,DB!$1:$1,0)),FALSE)&gt;=5,"Good","Bad"),VLOOKUP(DATE($K$1,$K$2,CV$4),Table1[],(MATCH(Calendar!$A18,DB!$1:$1,0)),FALSE)),"")</f>
        <v/>
      </c>
      <c r="CW18" s="28" t="str">
        <f>IFERROR(IF(DF3="No",IF(VLOOKUP(DATE($K$1,$K$2,CW$4),Table1[],(MATCH(Calendar!$A18,DB!$1:$1,0)),FALSE)&gt;=5,"Good","Bad"),VLOOKUP(DATE($K$1,$K$2,CW$4),Table1[],(MATCH(Calendar!$A18,DB!$1:$1,0)),FALSE)),"")</f>
        <v/>
      </c>
      <c r="CX18" s="28" t="str">
        <f>IFERROR(IF(DG3="No",IF(VLOOKUP(DATE($K$1,$K$2,CX$4),Table1[],(MATCH(Calendar!$A18,DB!$1:$1,0)),FALSE)&gt;=5,"Good","Bad"),VLOOKUP(DATE($K$1,$K$2,CX$4),Table1[],(MATCH(Calendar!$A18,DB!$1:$1,0)),FALSE)),"")</f>
        <v/>
      </c>
      <c r="CY18" s="28" t="str">
        <f>IFERROR(IF(DH3="No",IF(VLOOKUP(DATE($K$1,$K$2,CY$4),Table1[],(MATCH(Calendar!$A18,DB!$1:$1,0)),FALSE)&gt;=5,"Good","Bad"),VLOOKUP(DATE($K$1,$K$2,CY$4),Table1[],(MATCH(Calendar!$A18,DB!$1:$1,0)),FALSE)),"")</f>
        <v/>
      </c>
      <c r="CZ18" s="28" t="str">
        <f>IFERROR(IF(DI3="No",IF(VLOOKUP(DATE($K$1,$K$2,CZ$4),Table1[],(MATCH(Calendar!$A18,DB!$1:$1,0)),FALSE)&gt;=5,"Good","Bad"),VLOOKUP(DATE($K$1,$K$2,CZ$4),Table1[],(MATCH(Calendar!$A18,DB!$1:$1,0)),FALSE)),"")</f>
        <v/>
      </c>
      <c r="DA18" s="28" t="str">
        <f>IFERROR(IF(DJ3="No",IF(VLOOKUP(DATE($K$1,$K$2,DA$4),Table1[],(MATCH(Calendar!$A18,DB!$1:$1,0)),FALSE)&gt;=5,"Good","Bad"),VLOOKUP(DATE($K$1,$K$2,DA$4),Table1[],(MATCH(Calendar!$A18,DB!$1:$1,0)),FALSE)),"")</f>
        <v/>
      </c>
      <c r="DB18" s="28" t="str">
        <f>IFERROR(IF(DK3="No",IF(VLOOKUP(DATE($K$1,$K$2,DB$4),Table1[],(MATCH(Calendar!$A18,DB!$1:$1,0)),FALSE)&gt;=5,"Good","Bad"),VLOOKUP(DATE($K$1,$K$2,DB$4),Table1[],(MATCH(Calendar!$A18,DB!$1:$1,0)),FALSE)),"")</f>
        <v/>
      </c>
      <c r="DC18" s="28" t="str">
        <f>IFERROR(IF(DL3="No",IF(VLOOKUP(DATE($K$1,$K$2,DC$4),Table1[],(MATCH(Calendar!$A18,DB!$1:$1,0)),FALSE)&gt;=5,"Good","Bad"),VLOOKUP(DATE($K$1,$K$2,DC$4),Table1[],(MATCH(Calendar!$A18,DB!$1:$1,0)),FALSE)),"")</f>
        <v/>
      </c>
      <c r="DD18" s="28" t="str">
        <f>IFERROR(IF(DM3="No",IF(VLOOKUP(DATE($K$1,$K$2,DD$4),Table1[],(MATCH(Calendar!$A18,DB!$1:$1,0)),FALSE)&gt;=5,"Good","Bad"),VLOOKUP(DATE($K$1,$K$2,DD$4),Table1[],(MATCH(Calendar!$A18,DB!$1:$1,0)),FALSE)),"")</f>
        <v/>
      </c>
      <c r="DE18" s="28" t="str">
        <f>IFERROR(IF(DN3="No",IF(VLOOKUP(DATE($K$1,$K$2,DE$4),Table1[],(MATCH(Calendar!$A18,DB!$1:$1,0)),FALSE)&gt;=5,"Good","Bad"),VLOOKUP(DATE($K$1,$K$2,DE$4),Table1[],(MATCH(Calendar!$A18,DB!$1:$1,0)),FALSE)),"")</f>
        <v/>
      </c>
      <c r="DF18" s="28" t="str">
        <f>IFERROR(IF(DO3="No",IF(VLOOKUP(DATE($K$1,$K$2,DF$4),Table1[],(MATCH(Calendar!$A18,DB!$1:$1,0)),FALSE)&gt;=5,"Good","Bad"),VLOOKUP(DATE($K$1,$K$2,DF$4),Table1[],(MATCH(Calendar!$A18,DB!$1:$1,0)),FALSE)),"")</f>
        <v/>
      </c>
      <c r="DG18" s="28" t="str">
        <f>IFERROR(IF(DP3="No",IF(VLOOKUP(DATE($K$1,$K$2,DG$4),Table1[],(MATCH(Calendar!$A18,DB!$1:$1,0)),FALSE)&gt;=5,"Good","Bad"),VLOOKUP(DATE($K$1,$K$2,DG$4),Table1[],(MATCH(Calendar!$A18,DB!$1:$1,0)),FALSE)),"")</f>
        <v/>
      </c>
      <c r="DH18" s="28" t="str">
        <f>IFERROR(IF(DQ3="No",IF(VLOOKUP(DATE($K$1,$K$2,DH$4),Table1[],(MATCH(Calendar!$A18,DB!$1:$1,0)),FALSE)&gt;=5,"Good","Bad"),VLOOKUP(DATE($K$1,$K$2,DH$4),Table1[],(MATCH(Calendar!$A18,DB!$1:$1,0)),FALSE)),"")</f>
        <v/>
      </c>
      <c r="DI18" s="28" t="str">
        <f>IFERROR(IF(DR3="No",IF(VLOOKUP(DATE($K$1,$K$2,DI$4),Table1[],(MATCH(Calendar!$A18,DB!$1:$1,0)),FALSE)&gt;=5,"Good","Bad"),VLOOKUP(DATE($K$1,$K$2,DI$4),Table1[],(MATCH(Calendar!$A18,DB!$1:$1,0)),FALSE)),"")</f>
        <v/>
      </c>
      <c r="DJ18" s="28" t="str">
        <f>IFERROR(IF(DS3="No",IF(VLOOKUP(DATE($K$1,$K$2,DJ$4),Table1[],(MATCH(Calendar!$A18,DB!$1:$1,0)),FALSE)&gt;=5,"Good","Bad"),VLOOKUP(DATE($K$1,$K$2,DJ$4),Table1[],(MATCH(Calendar!$A18,DB!$1:$1,0)),FALSE)),"")</f>
        <v/>
      </c>
      <c r="DK18" s="28" t="str">
        <f>IFERROR(IF(DT3="No",IF(VLOOKUP(DATE($K$1,$K$2,DK$4),Table1[],(MATCH(Calendar!$A18,DB!$1:$1,0)),FALSE)&gt;=5,"Good","Bad"),VLOOKUP(DATE($K$1,$K$2,DK$4),Table1[],(MATCH(Calendar!$A18,DB!$1:$1,0)),FALSE)),"")</f>
        <v/>
      </c>
      <c r="DL18" s="28" t="str">
        <f>IFERROR(IF(DU3="No",IF(VLOOKUP(DATE($K$1,$K$2,DL$4),Table1[],(MATCH(Calendar!$A18,DB!$1:$1,0)),FALSE)&gt;=5,"Good","Bad"),VLOOKUP(DATE($K$1,$K$2,DL$4),Table1[],(MATCH(Calendar!$A18,DB!$1:$1,0)),FALSE)),"")</f>
        <v/>
      </c>
      <c r="DM18" s="28" t="str">
        <f>IFERROR(IF(DV3="No",IF(VLOOKUP(DATE($K$1,$K$2,DM$4),Table1[],(MATCH(Calendar!$A18,DB!$1:$1,0)),FALSE)&gt;=5,"Good","Bad"),VLOOKUP(DATE($K$1,$K$2,DM$4),Table1[],(MATCH(Calendar!$A18,DB!$1:$1,0)),FALSE)),"")</f>
        <v/>
      </c>
      <c r="DN18" s="28" t="str">
        <f>IFERROR(IF(DW3="No",IF(VLOOKUP(DATE($K$1,$K$2,DN$4),Table1[],(MATCH(Calendar!$A18,DB!$1:$1,0)),FALSE)&gt;=5,"Good","Bad"),VLOOKUP(DATE($K$1,$K$2,DN$4),Table1[],(MATCH(Calendar!$A18,DB!$1:$1,0)),FALSE)),"")</f>
        <v/>
      </c>
      <c r="DO18" s="28" t="str">
        <f>IFERROR(IF(DX3="No",IF(VLOOKUP(DATE($K$1,$K$2,DO$4),Table1[],(MATCH(Calendar!$A18,DB!$1:$1,0)),FALSE)&gt;=5,"Good","Bad"),VLOOKUP(DATE($K$1,$K$2,DO$4),Table1[],(MATCH(Calendar!$A18,DB!$1:$1,0)),FALSE)),"")</f>
        <v/>
      </c>
      <c r="DP18" s="28" t="str">
        <f>IFERROR(IF(DY3="No",IF(VLOOKUP(DATE($K$1,$K$2,DP$4),Table1[],(MATCH(Calendar!$A18,DB!$1:$1,0)),FALSE)&gt;=5,"Good","Bad"),VLOOKUP(DATE($K$1,$K$2,DP$4),Table1[],(MATCH(Calendar!$A18,DB!$1:$1,0)),FALSE)),"")</f>
        <v/>
      </c>
      <c r="DQ18" s="28" t="str">
        <f>IFERROR(IF(DZ3="No",IF(VLOOKUP(DATE($K$1,$K$2,DQ$4),Table1[],(MATCH(Calendar!$A18,DB!$1:$1,0)),FALSE)&gt;=5,"Good","Bad"),VLOOKUP(DATE($K$1,$K$2,DQ$4),Table1[],(MATCH(Calendar!$A18,DB!$1:$1,0)),FALSE)),"")</f>
        <v/>
      </c>
      <c r="DR18" s="28" t="str">
        <f>IFERROR(IF(EA3="No",IF(VLOOKUP(DATE($K$1,$K$2,DR$4),Table1[],(MATCH(Calendar!$A18,DB!$1:$1,0)),FALSE)&gt;=5,"Good","Bad"),VLOOKUP(DATE($K$1,$K$2,DR$4),Table1[],(MATCH(Calendar!$A18,DB!$1:$1,0)),FALSE)),"")</f>
        <v/>
      </c>
      <c r="DS18" s="28" t="str">
        <f>IFERROR(IF(EB3="No",IF(VLOOKUP(DATE($K$1,$K$2,DS$4),Table1[],(MATCH(Calendar!$A18,DB!$1:$1,0)),FALSE)&gt;=5,"Good","Bad"),VLOOKUP(DATE($K$1,$K$2,DS$4),Table1[],(MATCH(Calendar!$A18,DB!$1:$1,0)),FALSE)),"")</f>
        <v/>
      </c>
      <c r="DT18" s="28" t="str">
        <f>IFERROR(IF(EC3="No",IF(VLOOKUP(DATE($K$1,$K$2,DT$4),Table1[],(MATCH(Calendar!$A18,DB!$1:$1,0)),FALSE)&gt;=5,"Good","Bad"),VLOOKUP(DATE($K$1,$K$2,DT$4),Table1[],(MATCH(Calendar!$A18,DB!$1:$1,0)),FALSE)),"")</f>
        <v/>
      </c>
      <c r="DU18" s="28" t="str">
        <f>IFERROR(IF(ED3="No",IF(VLOOKUP(DATE($K$1,$K$2,DU$4),Table1[],(MATCH(Calendar!$A18,DB!$1:$1,0)),FALSE)&gt;=5,"Good","Bad"),VLOOKUP(DATE($K$1,$K$2,DU$4),Table1[],(MATCH(Calendar!$A18,DB!$1:$1,0)),FALSE)),"")</f>
        <v/>
      </c>
      <c r="DV18" s="28" t="str">
        <f>IFERROR(IF(EE3="No",IF(VLOOKUP(DATE($K$1,$K$2,DV$4),Table1[],(MATCH(Calendar!$A18,DB!$1:$1,0)),FALSE)&gt;=5,"Good","Bad"),VLOOKUP(DATE($K$1,$K$2,DV$4),Table1[],(MATCH(Calendar!$A18,DB!$1:$1,0)),FALSE)),"")</f>
        <v/>
      </c>
      <c r="DW18" s="28" t="str">
        <f>IFERROR(IF(EF3="No",IF(VLOOKUP(DATE($K$1,$K$2,DW$4),Table1[],(MATCH(Calendar!$A18,DB!$1:$1,0)),FALSE)&gt;=5,"Good","Bad"),VLOOKUP(DATE($K$1,$K$2,DW$4),Table1[],(MATCH(Calendar!$A18,DB!$1:$1,0)),FALSE)),"")</f>
        <v/>
      </c>
      <c r="DX18" s="28" t="str">
        <f>IFERROR(IF(EG3="No",IF(VLOOKUP(DATE($K$1,$K$2,DX$4),Table1[],(MATCH(Calendar!$A18,DB!$1:$1,0)),FALSE)&gt;=5,"Good","Bad"),VLOOKUP(DATE($K$1,$K$2,DX$4),Table1[],(MATCH(Calendar!$A18,DB!$1:$1,0)),FALSE)),"")</f>
        <v/>
      </c>
      <c r="DY18" s="28" t="str">
        <f>IFERROR(IF(EH3="No",IF(VLOOKUP(DATE($K$1,$K$2,DY$4),Table1[],(MATCH(Calendar!$A18,DB!$1:$1,0)),FALSE)&gt;=5,"Good","Bad"),VLOOKUP(DATE($K$1,$K$2,DY$4),Table1[],(MATCH(Calendar!$A18,DB!$1:$1,0)),FALSE)),"")</f>
        <v/>
      </c>
      <c r="DZ18" s="28" t="str">
        <f>IFERROR(IF(EI3="No",IF(VLOOKUP(DATE($K$1,$K$2,DZ$4),Table1[],(MATCH(Calendar!$A18,DB!$1:$1,0)),FALSE)&gt;=5,"Good","Bad"),VLOOKUP(DATE($K$1,$K$2,DZ$4),Table1[],(MATCH(Calendar!$A18,DB!$1:$1,0)),FALSE)),"")</f>
        <v/>
      </c>
      <c r="EA18" s="28" t="str">
        <f>IFERROR(IF(EJ3="No",IF(VLOOKUP(DATE($K$1,$K$2,EA$4),Table1[],(MATCH(Calendar!$A18,DB!$1:$1,0)),FALSE)&gt;=5,"Good","Bad"),VLOOKUP(DATE($K$1,$K$2,EA$4),Table1[],(MATCH(Calendar!$A18,DB!$1:$1,0)),FALSE)),"")</f>
        <v/>
      </c>
      <c r="EB18" s="28" t="str">
        <f>IFERROR(IF(EK3="No",IF(VLOOKUP(DATE($K$1,$K$2,EB$4),Table1[],(MATCH(Calendar!$A18,DB!$1:$1,0)),FALSE)&gt;=5,"Good","Bad"),VLOOKUP(DATE($K$1,$K$2,EB$4),Table1[],(MATCH(Calendar!$A18,DB!$1:$1,0)),FALSE)),"")</f>
        <v/>
      </c>
      <c r="EC18" s="28" t="str">
        <f>IFERROR(IF(EL3="No",IF(VLOOKUP(DATE($K$1,$K$2,EC$4),Table1[],(MATCH(Calendar!$A18,DB!$1:$1,0)),FALSE)&gt;=5,"Good","Bad"),VLOOKUP(DATE($K$1,$K$2,EC$4),Table1[],(MATCH(Calendar!$A18,DB!$1:$1,0)),FALSE)),"")</f>
        <v/>
      </c>
      <c r="ED18" s="28" t="str">
        <f>IFERROR(IF(EM3="No",IF(VLOOKUP(DATE($K$1,$K$2,ED$4),Table1[],(MATCH(Calendar!$A18,DB!$1:$1,0)),FALSE)&gt;=5,"Good","Bad"),VLOOKUP(DATE($K$1,$K$2,ED$4),Table1[],(MATCH(Calendar!$A18,DB!$1:$1,0)),FALSE)),"")</f>
        <v/>
      </c>
      <c r="EE18" s="28" t="str">
        <f>IFERROR(IF(EN3="No",IF(VLOOKUP(DATE($K$1,$K$2,EE$4),Table1[],(MATCH(Calendar!$A18,DB!$1:$1,0)),FALSE)&gt;=5,"Good","Bad"),VLOOKUP(DATE($K$1,$K$2,EE$4),Table1[],(MATCH(Calendar!$A18,DB!$1:$1,0)),FALSE)),"")</f>
        <v/>
      </c>
      <c r="EF18" s="28" t="str">
        <f>IFERROR(IF(EO3="No",IF(VLOOKUP(DATE($K$1,$K$2,EF$4),Table1[],(MATCH(Calendar!$A18,DB!$1:$1,0)),FALSE)&gt;=5,"Good","Bad"),VLOOKUP(DATE($K$1,$K$2,EF$4),Table1[],(MATCH(Calendar!$A18,DB!$1:$1,0)),FALSE)),"")</f>
        <v/>
      </c>
      <c r="EG18" s="28" t="str">
        <f>IFERROR(IF(EP3="No",IF(VLOOKUP(DATE($K$1,$K$2,EG$4),Table1[],(MATCH(Calendar!$A18,DB!$1:$1,0)),FALSE)&gt;=5,"Good","Bad"),VLOOKUP(DATE($K$1,$K$2,EG$4),Table1[],(MATCH(Calendar!$A18,DB!$1:$1,0)),FALSE)),"")</f>
        <v/>
      </c>
      <c r="EH18" s="28" t="str">
        <f>IFERROR(IF(EQ3="No",IF(VLOOKUP(DATE($K$1,$K$2,EH$4),Table1[],(MATCH(Calendar!$A18,DB!$1:$1,0)),FALSE)&gt;=5,"Good","Bad"),VLOOKUP(DATE($K$1,$K$2,EH$4),Table1[],(MATCH(Calendar!$A18,DB!$1:$1,0)),FALSE)),"")</f>
        <v/>
      </c>
      <c r="EI18" s="28" t="str">
        <f>IFERROR(IF(ER3="No",IF(VLOOKUP(DATE($K$1,$K$2,EI$4),Table1[],(MATCH(Calendar!$A18,DB!$1:$1,0)),FALSE)&gt;=5,"Good","Bad"),VLOOKUP(DATE($K$1,$K$2,EI$4),Table1[],(MATCH(Calendar!$A18,DB!$1:$1,0)),FALSE)),"")</f>
        <v/>
      </c>
      <c r="EJ18" s="28" t="str">
        <f>IFERROR(IF(ES3="No",IF(VLOOKUP(DATE($K$1,$K$2,EJ$4),Table1[],(MATCH(Calendar!$A18,DB!$1:$1,0)),FALSE)&gt;=5,"Good","Bad"),VLOOKUP(DATE($K$1,$K$2,EJ$4),Table1[],(MATCH(Calendar!$A18,DB!$1:$1,0)),FALSE)),"")</f>
        <v/>
      </c>
      <c r="EK18" s="28" t="str">
        <f>IFERROR(IF(ET3="No",IF(VLOOKUP(DATE($K$1,$K$2,EK$4),Table1[],(MATCH(Calendar!$A18,DB!$1:$1,0)),FALSE)&gt;=5,"Good","Bad"),VLOOKUP(DATE($K$1,$K$2,EK$4),Table1[],(MATCH(Calendar!$A18,DB!$1:$1,0)),FALSE)),"")</f>
        <v/>
      </c>
      <c r="EL18" s="28" t="str">
        <f>IFERROR(IF(EU3="No",IF(VLOOKUP(DATE($K$1,$K$2,EL$4),Table1[],(MATCH(Calendar!$A18,DB!$1:$1,0)),FALSE)&gt;=5,"Good","Bad"),VLOOKUP(DATE($K$1,$K$2,EL$4),Table1[],(MATCH(Calendar!$A18,DB!$1:$1,0)),FALSE)),"")</f>
        <v/>
      </c>
      <c r="EM18" s="28" t="str">
        <f>IFERROR(IF(EV3="No",IF(VLOOKUP(DATE($K$1,$K$2,EM$4),Table1[],(MATCH(Calendar!$A18,DB!$1:$1,0)),FALSE)&gt;=5,"Good","Bad"),VLOOKUP(DATE($K$1,$K$2,EM$4),Table1[],(MATCH(Calendar!$A18,DB!$1:$1,0)),FALSE)),"")</f>
        <v/>
      </c>
      <c r="EN18" s="28" t="str">
        <f>IFERROR(IF(EW3="No",IF(VLOOKUP(DATE($K$1,$K$2,EN$4),Table1[],(MATCH(Calendar!$A18,DB!$1:$1,0)),FALSE)&gt;=5,"Good","Bad"),VLOOKUP(DATE($K$1,$K$2,EN$4),Table1[],(MATCH(Calendar!$A18,DB!$1:$1,0)),FALSE)),"")</f>
        <v/>
      </c>
      <c r="EO18" s="28" t="str">
        <f>IFERROR(IF(EX3="No",IF(VLOOKUP(DATE($K$1,$K$2,EO$4),Table1[],(MATCH(Calendar!$A18,DB!$1:$1,0)),FALSE)&gt;=5,"Good","Bad"),VLOOKUP(DATE($K$1,$K$2,EO$4),Table1[],(MATCH(Calendar!$A18,DB!$1:$1,0)),FALSE)),"")</f>
        <v/>
      </c>
      <c r="EP18" s="28" t="str">
        <f>IFERROR(IF(EY3="No",IF(VLOOKUP(DATE($K$1,$K$2,EP$4),Table1[],(MATCH(Calendar!$A18,DB!$1:$1,0)),FALSE)&gt;=5,"Good","Bad"),VLOOKUP(DATE($K$1,$K$2,EP$4),Table1[],(MATCH(Calendar!$A18,DB!$1:$1,0)),FALSE)),"")</f>
        <v/>
      </c>
      <c r="EQ18" s="28" t="str">
        <f>IFERROR(IF(EZ3="No",IF(VLOOKUP(DATE($K$1,$K$2,EQ$4),Table1[],(MATCH(Calendar!$A18,DB!$1:$1,0)),FALSE)&gt;=5,"Good","Bad"),VLOOKUP(DATE($K$1,$K$2,EQ$4),Table1[],(MATCH(Calendar!$A18,DB!$1:$1,0)),FALSE)),"")</f>
        <v/>
      </c>
      <c r="ER18" s="28" t="str">
        <f>IFERROR(IF(FA3="No",IF(VLOOKUP(DATE($K$1,$K$2,ER$4),Table1[],(MATCH(Calendar!$A18,DB!$1:$1,0)),FALSE)&gt;=5,"Good","Bad"),VLOOKUP(DATE($K$1,$K$2,ER$4),Table1[],(MATCH(Calendar!$A18,DB!$1:$1,0)),FALSE)),"")</f>
        <v/>
      </c>
      <c r="ES18" s="28" t="str">
        <f>IFERROR(IF(FB3="No",IF(VLOOKUP(DATE($K$1,$K$2,ES$4),Table1[],(MATCH(Calendar!$A18,DB!$1:$1,0)),FALSE)&gt;=5,"Good","Bad"),VLOOKUP(DATE($K$1,$K$2,ES$4),Table1[],(MATCH(Calendar!$A18,DB!$1:$1,0)),FALSE)),"")</f>
        <v/>
      </c>
      <c r="ET18" s="28" t="str">
        <f>IFERROR(IF(FC3="No",IF(VLOOKUP(DATE($K$1,$K$2,ET$4),Table1[],(MATCH(Calendar!$A18,DB!$1:$1,0)),FALSE)&gt;=5,"Good","Bad"),VLOOKUP(DATE($K$1,$K$2,ET$4),Table1[],(MATCH(Calendar!$A18,DB!$1:$1,0)),FALSE)),"")</f>
        <v/>
      </c>
      <c r="EU18" s="28" t="str">
        <f>IFERROR(IF(FD3="No",IF(VLOOKUP(DATE($K$1,$K$2,EU$4),Table1[],(MATCH(Calendar!$A18,DB!$1:$1,0)),FALSE)&gt;=5,"Good","Bad"),VLOOKUP(DATE($K$1,$K$2,EU$4),Table1[],(MATCH(Calendar!$A18,DB!$1:$1,0)),FALSE)),"")</f>
        <v/>
      </c>
      <c r="EV18" s="28" t="str">
        <f>IFERROR(IF(FE3="No",IF(VLOOKUP(DATE($K$1,$K$2,EV$4),Table1[],(MATCH(Calendar!$A18,DB!$1:$1,0)),FALSE)&gt;=5,"Good","Bad"),VLOOKUP(DATE($K$1,$K$2,EV$4),Table1[],(MATCH(Calendar!$A18,DB!$1:$1,0)),FALSE)),"")</f>
        <v/>
      </c>
      <c r="EW18" s="28" t="str">
        <f>IFERROR(IF(FF3="No",IF(VLOOKUP(DATE($K$1,$K$2,EW$4),Table1[],(MATCH(Calendar!$A18,DB!$1:$1,0)),FALSE)&gt;=5,"Good","Bad"),VLOOKUP(DATE($K$1,$K$2,EW$4),Table1[],(MATCH(Calendar!$A18,DB!$1:$1,0)),FALSE)),"")</f>
        <v/>
      </c>
      <c r="EX18" s="28" t="str">
        <f>IFERROR(IF(FG3="No",IF(VLOOKUP(DATE($K$1,$K$2,EX$4),Table1[],(MATCH(Calendar!$A18,DB!$1:$1,0)),FALSE)&gt;=5,"Good","Bad"),VLOOKUP(DATE($K$1,$K$2,EX$4),Table1[],(MATCH(Calendar!$A18,DB!$1:$1,0)),FALSE)),"")</f>
        <v/>
      </c>
      <c r="EY18" s="28" t="str">
        <f>IFERROR(IF(FH3="No",IF(VLOOKUP(DATE($K$1,$K$2,EY$4),Table1[],(MATCH(Calendar!$A18,DB!$1:$1,0)),FALSE)&gt;=5,"Good","Bad"),VLOOKUP(DATE($K$1,$K$2,EY$4),Table1[],(MATCH(Calendar!$A18,DB!$1:$1,0)),FALSE)),"")</f>
        <v/>
      </c>
      <c r="EZ18" s="28" t="str">
        <f>IFERROR(IF(FI3="No",IF(VLOOKUP(DATE($K$1,$K$2,EZ$4),Table1[],(MATCH(Calendar!$A18,DB!$1:$1,0)),FALSE)&gt;=5,"Good","Bad"),VLOOKUP(DATE($K$1,$K$2,EZ$4),Table1[],(MATCH(Calendar!$A18,DB!$1:$1,0)),FALSE)),"")</f>
        <v/>
      </c>
      <c r="FA18" s="28" t="str">
        <f>IFERROR(IF(FJ3="No",IF(VLOOKUP(DATE($K$1,$K$2,FA$4),Table1[],(MATCH(Calendar!$A18,DB!$1:$1,0)),FALSE)&gt;=5,"Good","Bad"),VLOOKUP(DATE($K$1,$K$2,FA$4),Table1[],(MATCH(Calendar!$A18,DB!$1:$1,0)),FALSE)),"")</f>
        <v/>
      </c>
      <c r="FB18" s="28" t="str">
        <f>IFERROR(IF(FK3="No",IF(VLOOKUP(DATE($K$1,$K$2,FB$4),Table1[],(MATCH(Calendar!$A18,DB!$1:$1,0)),FALSE)&gt;=5,"Good","Bad"),VLOOKUP(DATE($K$1,$K$2,FB$4),Table1[],(MATCH(Calendar!$A18,DB!$1:$1,0)),FALSE)),"")</f>
        <v/>
      </c>
      <c r="FC18" s="28" t="str">
        <f>IFERROR(IF(FL3="No",IF(VLOOKUP(DATE($K$1,$K$2,FC$4),Table1[],(MATCH(Calendar!$A18,DB!$1:$1,0)),FALSE)&gt;=5,"Good","Bad"),VLOOKUP(DATE($K$1,$K$2,FC$4),Table1[],(MATCH(Calendar!$A18,DB!$1:$1,0)),FALSE)),"")</f>
        <v/>
      </c>
      <c r="FD18" s="28" t="str">
        <f>IFERROR(IF(FM3="No",IF(VLOOKUP(DATE($K$1,$K$2,FD$4),Table1[],(MATCH(Calendar!$A18,DB!$1:$1,0)),FALSE)&gt;=5,"Good","Bad"),VLOOKUP(DATE($K$1,$K$2,FD$4),Table1[],(MATCH(Calendar!$A18,DB!$1:$1,0)),FALSE)),"")</f>
        <v/>
      </c>
      <c r="FE18" s="28" t="str">
        <f>IFERROR(IF(FN3="No",IF(VLOOKUP(DATE($K$1,$K$2,FE$4),Table1[],(MATCH(Calendar!$A18,DB!$1:$1,0)),FALSE)&gt;=5,"Good","Bad"),VLOOKUP(DATE($K$1,$K$2,FE$4),Table1[],(MATCH(Calendar!$A18,DB!$1:$1,0)),FALSE)),"")</f>
        <v/>
      </c>
      <c r="FF18" s="28" t="str">
        <f>IFERROR(IF(FO3="No",IF(VLOOKUP(DATE($K$1,$K$2,FF$4),Table1[],(MATCH(Calendar!$A18,DB!$1:$1,0)),FALSE)&gt;=5,"Good","Bad"),VLOOKUP(DATE($K$1,$K$2,FF$4),Table1[],(MATCH(Calendar!$A18,DB!$1:$1,0)),FALSE)),"")</f>
        <v/>
      </c>
      <c r="FG18" s="28" t="str">
        <f>IFERROR(IF(FP3="No",IF(VLOOKUP(DATE($K$1,$K$2,FG$4),Table1[],(MATCH(Calendar!$A18,DB!$1:$1,0)),FALSE)&gt;=5,"Good","Bad"),VLOOKUP(DATE($K$1,$K$2,FG$4),Table1[],(MATCH(Calendar!$A18,DB!$1:$1,0)),FALSE)),"")</f>
        <v/>
      </c>
      <c r="FH18" s="28" t="str">
        <f>IFERROR(IF(FQ3="No",IF(VLOOKUP(DATE($K$1,$K$2,FH$4),Table1[],(MATCH(Calendar!$A18,DB!$1:$1,0)),FALSE)&gt;=5,"Good","Bad"),VLOOKUP(DATE($K$1,$K$2,FH$4),Table1[],(MATCH(Calendar!$A18,DB!$1:$1,0)),FALSE)),"")</f>
        <v/>
      </c>
      <c r="FI18" s="28" t="str">
        <f>IFERROR(IF(FR3="No",IF(VLOOKUP(DATE($K$1,$K$2,FI$4),Table1[],(MATCH(Calendar!$A18,DB!$1:$1,0)),FALSE)&gt;=5,"Good","Bad"),VLOOKUP(DATE($K$1,$K$2,FI$4),Table1[],(MATCH(Calendar!$A18,DB!$1:$1,0)),FALSE)),"")</f>
        <v/>
      </c>
      <c r="FJ18" s="28" t="str">
        <f>IFERROR(IF(FS3="No",IF(VLOOKUP(DATE($K$1,$K$2,FJ$4),Table1[],(MATCH(Calendar!$A18,DB!$1:$1,0)),FALSE)&gt;=5,"Good","Bad"),VLOOKUP(DATE($K$1,$K$2,FJ$4),Table1[],(MATCH(Calendar!$A18,DB!$1:$1,0)),FALSE)),"")</f>
        <v/>
      </c>
      <c r="FK18" s="28" t="str">
        <f>IFERROR(IF(FT3="No",IF(VLOOKUP(DATE($K$1,$K$2,FK$4),Table1[],(MATCH(Calendar!$A18,DB!$1:$1,0)),FALSE)&gt;=5,"Good","Bad"),VLOOKUP(DATE($K$1,$K$2,FK$4),Table1[],(MATCH(Calendar!$A18,DB!$1:$1,0)),FALSE)),"")</f>
        <v/>
      </c>
      <c r="FL18" s="28" t="str">
        <f>IFERROR(IF(FU3="No",IF(VLOOKUP(DATE($K$1,$K$2,FL$4),Table1[],(MATCH(Calendar!$A18,DB!$1:$1,0)),FALSE)&gt;=5,"Good","Bad"),VLOOKUP(DATE($K$1,$K$2,FL$4),Table1[],(MATCH(Calendar!$A18,DB!$1:$1,0)),FALSE)),"")</f>
        <v/>
      </c>
      <c r="FM18" s="28" t="str">
        <f>IFERROR(IF(FV3="No",IF(VLOOKUP(DATE($K$1,$K$2,FM$4),Table1[],(MATCH(Calendar!$A18,DB!$1:$1,0)),FALSE)&gt;=5,"Good","Bad"),VLOOKUP(DATE($K$1,$K$2,FM$4),Table1[],(MATCH(Calendar!$A18,DB!$1:$1,0)),FALSE)),"")</f>
        <v/>
      </c>
      <c r="FN18" s="28" t="str">
        <f>IFERROR(IF(FW3="No",IF(VLOOKUP(DATE($K$1,$K$2,FN$4),Table1[],(MATCH(Calendar!$A18,DB!$1:$1,0)),FALSE)&gt;=5,"Good","Bad"),VLOOKUP(DATE($K$1,$K$2,FN$4),Table1[],(MATCH(Calendar!$A18,DB!$1:$1,0)),FALSE)),"")</f>
        <v/>
      </c>
      <c r="FO18" s="28" t="str">
        <f>IFERROR(IF(FX3="No",IF(VLOOKUP(DATE($K$1,$K$2,FO$4),Table1[],(MATCH(Calendar!$A18,DB!$1:$1,0)),FALSE)&gt;=5,"Good","Bad"),VLOOKUP(DATE($K$1,$K$2,FO$4),Table1[],(MATCH(Calendar!$A18,DB!$1:$1,0)),FALSE)),"")</f>
        <v/>
      </c>
      <c r="FP18" s="28" t="str">
        <f>IFERROR(IF(FY3="No",IF(VLOOKUP(DATE($K$1,$K$2,FP$4),Table1[],(MATCH(Calendar!$A18,DB!$1:$1,0)),FALSE)&gt;=5,"Good","Bad"),VLOOKUP(DATE($K$1,$K$2,FP$4),Table1[],(MATCH(Calendar!$A18,DB!$1:$1,0)),FALSE)),"")</f>
        <v/>
      </c>
      <c r="FQ18" s="28" t="str">
        <f>IFERROR(IF(FZ3="No",IF(VLOOKUP(DATE($K$1,$K$2,FQ$4),Table1[],(MATCH(Calendar!$A18,DB!$1:$1,0)),FALSE)&gt;=5,"Good","Bad"),VLOOKUP(DATE($K$1,$K$2,FQ$4),Table1[],(MATCH(Calendar!$A18,DB!$1:$1,0)),FALSE)),"")</f>
        <v/>
      </c>
      <c r="FR18" s="28" t="str">
        <f>IFERROR(IF(GA3="No",IF(VLOOKUP(DATE($K$1,$K$2,FR$4),Table1[],(MATCH(Calendar!$A18,DB!$1:$1,0)),FALSE)&gt;=5,"Good","Bad"),VLOOKUP(DATE($K$1,$K$2,FR$4),Table1[],(MATCH(Calendar!$A18,DB!$1:$1,0)),FALSE)),"")</f>
        <v/>
      </c>
      <c r="FS18" s="28" t="str">
        <f>IFERROR(IF(GB3="No",IF(VLOOKUP(DATE($K$1,$K$2,FS$4),Table1[],(MATCH(Calendar!$A18,DB!$1:$1,0)),FALSE)&gt;=5,"Good","Bad"),VLOOKUP(DATE($K$1,$K$2,FS$4),Table1[],(MATCH(Calendar!$A18,DB!$1:$1,0)),FALSE)),"")</f>
        <v/>
      </c>
      <c r="FT18" s="28" t="str">
        <f>IFERROR(IF(GC3="No",IF(VLOOKUP(DATE($K$1,$K$2,FT$4),Table1[],(MATCH(Calendar!$A18,DB!$1:$1,0)),FALSE)&gt;=5,"Good","Bad"),VLOOKUP(DATE($K$1,$K$2,FT$4),Table1[],(MATCH(Calendar!$A18,DB!$1:$1,0)),FALSE)),"")</f>
        <v/>
      </c>
      <c r="FU18" s="28" t="str">
        <f>IFERROR(IF(GD3="No",IF(VLOOKUP(DATE($K$1,$K$2,FU$4),Table1[],(MATCH(Calendar!$A18,DB!$1:$1,0)),FALSE)&gt;=5,"Good","Bad"),VLOOKUP(DATE($K$1,$K$2,FU$4),Table1[],(MATCH(Calendar!$A18,DB!$1:$1,0)),FALSE)),"")</f>
        <v/>
      </c>
      <c r="FV18" s="28" t="str">
        <f>IFERROR(IF(GE3="No",IF(VLOOKUP(DATE($K$1,$K$2,FV$4),Table1[],(MATCH(Calendar!$A18,DB!$1:$1,0)),FALSE)&gt;=5,"Good","Bad"),VLOOKUP(DATE($K$1,$K$2,FV$4),Table1[],(MATCH(Calendar!$A18,DB!$1:$1,0)),FALSE)),"")</f>
        <v/>
      </c>
      <c r="FW18" s="28" t="str">
        <f>IFERROR(IF(GF3="No",IF(VLOOKUP(DATE($K$1,$K$2,FW$4),Table1[],(MATCH(Calendar!$A18,DB!$1:$1,0)),FALSE)&gt;=5,"Good","Bad"),VLOOKUP(DATE($K$1,$K$2,FW$4),Table1[],(MATCH(Calendar!$A18,DB!$1:$1,0)),FALSE)),"")</f>
        <v/>
      </c>
      <c r="FX18" s="28" t="str">
        <f>IFERROR(IF(GG3="No",IF(VLOOKUP(DATE($K$1,$K$2,FX$4),Table1[],(MATCH(Calendar!$A18,DB!$1:$1,0)),FALSE)&gt;=5,"Good","Bad"),VLOOKUP(DATE($K$1,$K$2,FX$4),Table1[],(MATCH(Calendar!$A18,DB!$1:$1,0)),FALSE)),"")</f>
        <v/>
      </c>
      <c r="FY18" s="28" t="str">
        <f>IFERROR(IF(GH3="No",IF(VLOOKUP(DATE($K$1,$K$2,FY$4),Table1[],(MATCH(Calendar!$A18,DB!$1:$1,0)),FALSE)&gt;=5,"Good","Bad"),VLOOKUP(DATE($K$1,$K$2,FY$4),Table1[],(MATCH(Calendar!$A18,DB!$1:$1,0)),FALSE)),"")</f>
        <v/>
      </c>
      <c r="FZ18" s="28" t="str">
        <f>IFERROR(IF(GI3="No",IF(VLOOKUP(DATE($K$1,$K$2,FZ$4),Table1[],(MATCH(Calendar!$A18,DB!$1:$1,0)),FALSE)&gt;=5,"Good","Bad"),VLOOKUP(DATE($K$1,$K$2,FZ$4),Table1[],(MATCH(Calendar!$A18,DB!$1:$1,0)),FALSE)),"")</f>
        <v/>
      </c>
      <c r="GA18" s="28" t="str">
        <f>IFERROR(IF(GJ3="No",IF(VLOOKUP(DATE($K$1,$K$2,GA$4),Table1[],(MATCH(Calendar!$A18,DB!$1:$1,0)),FALSE)&gt;=5,"Good","Bad"),VLOOKUP(DATE($K$1,$K$2,GA$4),Table1[],(MATCH(Calendar!$A18,DB!$1:$1,0)),FALSE)),"")</f>
        <v/>
      </c>
      <c r="GB18" s="28" t="str">
        <f>IFERROR(IF(GK3="No",IF(VLOOKUP(DATE($K$1,$K$2,GB$4),Table1[],(MATCH(Calendar!$A18,DB!$1:$1,0)),FALSE)&gt;=5,"Good","Bad"),VLOOKUP(DATE($K$1,$K$2,GB$4),Table1[],(MATCH(Calendar!$A18,DB!$1:$1,0)),FALSE)),"")</f>
        <v/>
      </c>
      <c r="GC18" s="28" t="str">
        <f>IFERROR(IF(GL3="No",IF(VLOOKUP(DATE($K$1,$K$2,GC$4),Table1[],(MATCH(Calendar!$A18,DB!$1:$1,0)),FALSE)&gt;=5,"Good","Bad"),VLOOKUP(DATE($K$1,$K$2,GC$4),Table1[],(MATCH(Calendar!$A18,DB!$1:$1,0)),FALSE)),"")</f>
        <v/>
      </c>
      <c r="GD18" s="28" t="str">
        <f>IFERROR(IF(GM3="No",IF(VLOOKUP(DATE($K$1,$K$2,GD$4),Table1[],(MATCH(Calendar!$A18,DB!$1:$1,0)),FALSE)&gt;=5,"Good","Bad"),VLOOKUP(DATE($K$1,$K$2,GD$4),Table1[],(MATCH(Calendar!$A18,DB!$1:$1,0)),FALSE)),"")</f>
        <v/>
      </c>
      <c r="GE18" s="28" t="str">
        <f>IFERROR(IF(GN3="No",IF(VLOOKUP(DATE($K$1,$K$2,GE$4),Table1[],(MATCH(Calendar!$A18,DB!$1:$1,0)),FALSE)&gt;=5,"Good","Bad"),VLOOKUP(DATE($K$1,$K$2,GE$4),Table1[],(MATCH(Calendar!$A18,DB!$1:$1,0)),FALSE)),"")</f>
        <v/>
      </c>
      <c r="GF18" s="28" t="str">
        <f>IFERROR(IF(GO3="No",IF(VLOOKUP(DATE($K$1,$K$2,GF$4),Table1[],(MATCH(Calendar!$A18,DB!$1:$1,0)),FALSE)&gt;=5,"Good","Bad"),VLOOKUP(DATE($K$1,$K$2,GF$4),Table1[],(MATCH(Calendar!$A18,DB!$1:$1,0)),FALSE)),"")</f>
        <v/>
      </c>
      <c r="GG18" s="28" t="str">
        <f>IFERROR(IF(GP3="No",IF(VLOOKUP(DATE($K$1,$K$2,GG$4),Table1[],(MATCH(Calendar!$A18,DB!$1:$1,0)),FALSE)&gt;=5,"Good","Bad"),VLOOKUP(DATE($K$1,$K$2,GG$4),Table1[],(MATCH(Calendar!$A18,DB!$1:$1,0)),FALSE)),"")</f>
        <v/>
      </c>
      <c r="GH18" s="28" t="str">
        <f>IFERROR(IF(GQ3="No",IF(VLOOKUP(DATE($K$1,$K$2,GH$4),Table1[],(MATCH(Calendar!$A18,DB!$1:$1,0)),FALSE)&gt;=5,"Good","Bad"),VLOOKUP(DATE($K$1,$K$2,GH$4),Table1[],(MATCH(Calendar!$A18,DB!$1:$1,0)),FALSE)),"")</f>
        <v/>
      </c>
      <c r="GI18" s="28" t="str">
        <f>IFERROR(IF(GR3="No",IF(VLOOKUP(DATE($K$1,$K$2,GI$4),Table1[],(MATCH(Calendar!$A18,DB!$1:$1,0)),FALSE)&gt;=5,"Good","Bad"),VLOOKUP(DATE($K$1,$K$2,GI$4),Table1[],(MATCH(Calendar!$A18,DB!$1:$1,0)),FALSE)),"")</f>
        <v/>
      </c>
      <c r="GJ18" s="28" t="str">
        <f>IFERROR(IF(GS3="No",IF(VLOOKUP(DATE($K$1,$K$2,GJ$4),Table1[],(MATCH(Calendar!$A18,DB!$1:$1,0)),FALSE)&gt;=5,"Good","Bad"),VLOOKUP(DATE($K$1,$K$2,GJ$4),Table1[],(MATCH(Calendar!$A18,DB!$1:$1,0)),FALSE)),"")</f>
        <v/>
      </c>
      <c r="GK18" s="28" t="str">
        <f>IFERROR(IF(GT3="No",IF(VLOOKUP(DATE($K$1,$K$2,GK$4),Table1[],(MATCH(Calendar!$A18,DB!$1:$1,0)),FALSE)&gt;=5,"Good","Bad"),VLOOKUP(DATE($K$1,$K$2,GK$4),Table1[],(MATCH(Calendar!$A18,DB!$1:$1,0)),FALSE)),"")</f>
        <v/>
      </c>
      <c r="GL18" s="28" t="str">
        <f>IFERROR(IF(GU3="No",IF(VLOOKUP(DATE($K$1,$K$2,GL$4),Table1[],(MATCH(Calendar!$A18,DB!$1:$1,0)),FALSE)&gt;=5,"Good","Bad"),VLOOKUP(DATE($K$1,$K$2,GL$4),Table1[],(MATCH(Calendar!$A18,DB!$1:$1,0)),FALSE)),"")</f>
        <v/>
      </c>
      <c r="GM18" s="28" t="str">
        <f>IFERROR(IF(GV3="No",IF(VLOOKUP(DATE($K$1,$K$2,GM$4),Table1[],(MATCH(Calendar!$A18,DB!$1:$1,0)),FALSE)&gt;=5,"Good","Bad"),VLOOKUP(DATE($K$1,$K$2,GM$4),Table1[],(MATCH(Calendar!$A18,DB!$1:$1,0)),FALSE)),"")</f>
        <v/>
      </c>
      <c r="GN18" s="28" t="str">
        <f>IFERROR(IF(GW3="No",IF(VLOOKUP(DATE($K$1,$K$2,GN$4),Table1[],(MATCH(Calendar!$A18,DB!$1:$1,0)),FALSE)&gt;=5,"Good","Bad"),VLOOKUP(DATE($K$1,$K$2,GN$4),Table1[],(MATCH(Calendar!$A18,DB!$1:$1,0)),FALSE)),"")</f>
        <v/>
      </c>
      <c r="GO18" s="28" t="str">
        <f>IFERROR(IF(GX3="No",IF(VLOOKUP(DATE($K$1,$K$2,GO$4),Table1[],(MATCH(Calendar!$A18,DB!$1:$1,0)),FALSE)&gt;=5,"Good","Bad"),VLOOKUP(DATE($K$1,$K$2,GO$4),Table1[],(MATCH(Calendar!$A18,DB!$1:$1,0)),FALSE)),"")</f>
        <v/>
      </c>
      <c r="GP18" s="28" t="str">
        <f>IFERROR(IF(GY3="No",IF(VLOOKUP(DATE($K$1,$K$2,GP$4),Table1[],(MATCH(Calendar!$A18,DB!$1:$1,0)),FALSE)&gt;=5,"Good","Bad"),VLOOKUP(DATE($K$1,$K$2,GP$4),Table1[],(MATCH(Calendar!$A18,DB!$1:$1,0)),FALSE)),"")</f>
        <v/>
      </c>
      <c r="GQ18" s="28" t="str">
        <f>IFERROR(IF(GZ3="No",IF(VLOOKUP(DATE($K$1,$K$2,GQ$4),Table1[],(MATCH(Calendar!$A18,DB!$1:$1,0)),FALSE)&gt;=5,"Good","Bad"),VLOOKUP(DATE($K$1,$K$2,GQ$4),Table1[],(MATCH(Calendar!$A18,DB!$1:$1,0)),FALSE)),"")</f>
        <v/>
      </c>
      <c r="GR18" s="28" t="str">
        <f>IFERROR(IF(HA3="No",IF(VLOOKUP(DATE($K$1,$K$2,GR$4),Table1[],(MATCH(Calendar!$A18,DB!$1:$1,0)),FALSE)&gt;=5,"Good","Bad"),VLOOKUP(DATE($K$1,$K$2,GR$4),Table1[],(MATCH(Calendar!$A18,DB!$1:$1,0)),FALSE)),"")</f>
        <v/>
      </c>
      <c r="GS18" s="28" t="str">
        <f>IFERROR(IF(HB3="No",IF(VLOOKUP(DATE($K$1,$K$2,GS$4),Table1[],(MATCH(Calendar!$A18,DB!$1:$1,0)),FALSE)&gt;=5,"Good","Bad"),VLOOKUP(DATE($K$1,$K$2,GS$4),Table1[],(MATCH(Calendar!$A18,DB!$1:$1,0)),FALSE)),"")</f>
        <v/>
      </c>
      <c r="GT18" s="28" t="str">
        <f>IFERROR(IF(HC3="No",IF(VLOOKUP(DATE($K$1,$K$2,GT$4),Table1[],(MATCH(Calendar!$A18,DB!$1:$1,0)),FALSE)&gt;=5,"Good","Bad"),VLOOKUP(DATE($K$1,$K$2,GT$4),Table1[],(MATCH(Calendar!$A18,DB!$1:$1,0)),FALSE)),"")</f>
        <v/>
      </c>
      <c r="GU18" s="28" t="str">
        <f>IFERROR(IF(HD3="No",IF(VLOOKUP(DATE($K$1,$K$2,GU$4),Table1[],(MATCH(Calendar!$A18,DB!$1:$1,0)),FALSE)&gt;=5,"Good","Bad"),VLOOKUP(DATE($K$1,$K$2,GU$4),Table1[],(MATCH(Calendar!$A18,DB!$1:$1,0)),FALSE)),"")</f>
        <v/>
      </c>
      <c r="GV18" s="28" t="str">
        <f>IFERROR(IF(HE3="No",IF(VLOOKUP(DATE($K$1,$K$2,GV$4),Table1[],(MATCH(Calendar!$A18,DB!$1:$1,0)),FALSE)&gt;=5,"Good","Bad"),VLOOKUP(DATE($K$1,$K$2,GV$4),Table1[],(MATCH(Calendar!$A18,DB!$1:$1,0)),FALSE)),"")</f>
        <v/>
      </c>
      <c r="GW18" s="28" t="str">
        <f>IFERROR(IF(HF3="No",IF(VLOOKUP(DATE($K$1,$K$2,GW$4),Table1[],(MATCH(Calendar!$A18,DB!$1:$1,0)),FALSE)&gt;=5,"Good","Bad"),VLOOKUP(DATE($K$1,$K$2,GW$4),Table1[],(MATCH(Calendar!$A18,DB!$1:$1,0)),FALSE)),"")</f>
        <v/>
      </c>
      <c r="GX18" s="28" t="str">
        <f>IFERROR(IF(HG3="No",IF(VLOOKUP(DATE($K$1,$K$2,GX$4),Table1[],(MATCH(Calendar!$A18,DB!$1:$1,0)),FALSE)&gt;=5,"Good","Bad"),VLOOKUP(DATE($K$1,$K$2,GX$4),Table1[],(MATCH(Calendar!$A18,DB!$1:$1,0)),FALSE)),"")</f>
        <v/>
      </c>
      <c r="GY18" s="28" t="str">
        <f>IFERROR(IF(HH3="No",IF(VLOOKUP(DATE($K$1,$K$2,GY$4),Table1[],(MATCH(Calendar!$A18,DB!$1:$1,0)),FALSE)&gt;=5,"Good","Bad"),VLOOKUP(DATE($K$1,$K$2,GY$4),Table1[],(MATCH(Calendar!$A18,DB!$1:$1,0)),FALSE)),"")</f>
        <v/>
      </c>
      <c r="GZ18" s="28" t="str">
        <f>IFERROR(IF(HI3="No",IF(VLOOKUP(DATE($K$1,$K$2,GZ$4),Table1[],(MATCH(Calendar!$A18,DB!$1:$1,0)),FALSE)&gt;=5,"Good","Bad"),VLOOKUP(DATE($K$1,$K$2,GZ$4),Table1[],(MATCH(Calendar!$A18,DB!$1:$1,0)),FALSE)),"")</f>
        <v/>
      </c>
      <c r="HA18" s="28" t="str">
        <f>IFERROR(IF(HJ3="No",IF(VLOOKUP(DATE($K$1,$K$2,HA$4),Table1[],(MATCH(Calendar!$A18,DB!$1:$1,0)),FALSE)&gt;=5,"Good","Bad"),VLOOKUP(DATE($K$1,$K$2,HA$4),Table1[],(MATCH(Calendar!$A18,DB!$1:$1,0)),FALSE)),"")</f>
        <v/>
      </c>
      <c r="HB18" s="28" t="str">
        <f>IFERROR(IF(HK3="No",IF(VLOOKUP(DATE($K$1,$K$2,HB$4),Table1[],(MATCH(Calendar!$A18,DB!$1:$1,0)),FALSE)&gt;=5,"Good","Bad"),VLOOKUP(DATE($K$1,$K$2,HB$4),Table1[],(MATCH(Calendar!$A18,DB!$1:$1,0)),FALSE)),"")</f>
        <v/>
      </c>
      <c r="HC18" s="28" t="str">
        <f>IFERROR(IF(HL3="No",IF(VLOOKUP(DATE($K$1,$K$2,HC$4),Table1[],(MATCH(Calendar!$A18,DB!$1:$1,0)),FALSE)&gt;=5,"Good","Bad"),VLOOKUP(DATE($K$1,$K$2,HC$4),Table1[],(MATCH(Calendar!$A18,DB!$1:$1,0)),FALSE)),"")</f>
        <v/>
      </c>
      <c r="HD18" s="28" t="str">
        <f>IFERROR(IF(HM3="No",IF(VLOOKUP(DATE($K$1,$K$2,HD$4),Table1[],(MATCH(Calendar!$A18,DB!$1:$1,0)),FALSE)&gt;=5,"Good","Bad"),VLOOKUP(DATE($K$1,$K$2,HD$4),Table1[],(MATCH(Calendar!$A18,DB!$1:$1,0)),FALSE)),"")</f>
        <v/>
      </c>
      <c r="HE18" s="28" t="str">
        <f>IFERROR(IF(HN3="No",IF(VLOOKUP(DATE($K$1,$K$2,HE$4),Table1[],(MATCH(Calendar!$A18,DB!$1:$1,0)),FALSE)&gt;=5,"Good","Bad"),VLOOKUP(DATE($K$1,$K$2,HE$4),Table1[],(MATCH(Calendar!$A18,DB!$1:$1,0)),FALSE)),"")</f>
        <v/>
      </c>
      <c r="HF18" s="28" t="str">
        <f>IFERROR(IF(HO3="No",IF(VLOOKUP(DATE($K$1,$K$2,HF$4),Table1[],(MATCH(Calendar!$A18,DB!$1:$1,0)),FALSE)&gt;=5,"Good","Bad"),VLOOKUP(DATE($K$1,$K$2,HF$4),Table1[],(MATCH(Calendar!$A18,DB!$1:$1,0)),FALSE)),"")</f>
        <v/>
      </c>
      <c r="HG18" s="28" t="str">
        <f>IFERROR(IF(HP3="No",IF(VLOOKUP(DATE($K$1,$K$2,HG$4),Table1[],(MATCH(Calendar!$A18,DB!$1:$1,0)),FALSE)&gt;=5,"Good","Bad"),VLOOKUP(DATE($K$1,$K$2,HG$4),Table1[],(MATCH(Calendar!$A18,DB!$1:$1,0)),FALSE)),"")</f>
        <v/>
      </c>
      <c r="HH18" s="28" t="str">
        <f>IFERROR(IF(HQ3="No",IF(VLOOKUP(DATE($K$1,$K$2,HH$4),Table1[],(MATCH(Calendar!$A18,DB!$1:$1,0)),FALSE)&gt;=5,"Good","Bad"),VLOOKUP(DATE($K$1,$K$2,HH$4),Table1[],(MATCH(Calendar!$A18,DB!$1:$1,0)),FALSE)),"")</f>
        <v/>
      </c>
      <c r="HI18" s="28" t="str">
        <f>IFERROR(IF(HR3="No",IF(VLOOKUP(DATE($K$1,$K$2,HI$4),Table1[],(MATCH(Calendar!$A18,DB!$1:$1,0)),FALSE)&gt;=5,"Good","Bad"),VLOOKUP(DATE($K$1,$K$2,HI$4),Table1[],(MATCH(Calendar!$A18,DB!$1:$1,0)),FALSE)),"")</f>
        <v/>
      </c>
      <c r="HJ18" s="28" t="str">
        <f>IFERROR(IF(HS3="No",IF(VLOOKUP(DATE($K$1,$K$2,HJ$4),Table1[],(MATCH(Calendar!$A18,DB!$1:$1,0)),FALSE)&gt;=5,"Good","Bad"),VLOOKUP(DATE($K$1,$K$2,HJ$4),Table1[],(MATCH(Calendar!$A18,DB!$1:$1,0)),FALSE)),"")</f>
        <v/>
      </c>
      <c r="HK18" s="28" t="str">
        <f>IFERROR(IF(HT3="No",IF(VLOOKUP(DATE($K$1,$K$2,HK$4),Table1[],(MATCH(Calendar!$A18,DB!$1:$1,0)),FALSE)&gt;=5,"Good","Bad"),VLOOKUP(DATE($K$1,$K$2,HK$4),Table1[],(MATCH(Calendar!$A18,DB!$1:$1,0)),FALSE)),"")</f>
        <v/>
      </c>
      <c r="HL18" s="28" t="str">
        <f>IFERROR(IF(HU3="No",IF(VLOOKUP(DATE($K$1,$K$2,HL$4),Table1[],(MATCH(Calendar!$A18,DB!$1:$1,0)),FALSE)&gt;=5,"Good","Bad"),VLOOKUP(DATE($K$1,$K$2,HL$4),Table1[],(MATCH(Calendar!$A18,DB!$1:$1,0)),FALSE)),"")</f>
        <v/>
      </c>
      <c r="HM18" s="28" t="str">
        <f>IFERROR(IF(HV3="No",IF(VLOOKUP(DATE($K$1,$K$2,HM$4),Table1[],(MATCH(Calendar!$A18,DB!$1:$1,0)),FALSE)&gt;=5,"Good","Bad"),VLOOKUP(DATE($K$1,$K$2,HM$4),Table1[],(MATCH(Calendar!$A18,DB!$1:$1,0)),FALSE)),"")</f>
        <v/>
      </c>
      <c r="HN18" s="28" t="str">
        <f>IFERROR(IF(HW3="No",IF(VLOOKUP(DATE($K$1,$K$2,HN$4),Table1[],(MATCH(Calendar!$A18,DB!$1:$1,0)),FALSE)&gt;=5,"Good","Bad"),VLOOKUP(DATE($K$1,$K$2,HN$4),Table1[],(MATCH(Calendar!$A18,DB!$1:$1,0)),FALSE)),"")</f>
        <v/>
      </c>
      <c r="HO18" s="28" t="str">
        <f>IFERROR(IF(HX3="No",IF(VLOOKUP(DATE($K$1,$K$2,HO$4),Table1[],(MATCH(Calendar!$A18,DB!$1:$1,0)),FALSE)&gt;=5,"Good","Bad"),VLOOKUP(DATE($K$1,$K$2,HO$4),Table1[],(MATCH(Calendar!$A18,DB!$1:$1,0)),FALSE)),"")</f>
        <v/>
      </c>
      <c r="HP18" s="28" t="str">
        <f>IFERROR(IF(HY3="No",IF(VLOOKUP(DATE($K$1,$K$2,HP$4),Table1[],(MATCH(Calendar!$A18,DB!$1:$1,0)),FALSE)&gt;=5,"Good","Bad"),VLOOKUP(DATE($K$1,$K$2,HP$4),Table1[],(MATCH(Calendar!$A18,DB!$1:$1,0)),FALSE)),"")</f>
        <v/>
      </c>
      <c r="HQ18" s="28" t="str">
        <f>IFERROR(IF(HZ3="No",IF(VLOOKUP(DATE($K$1,$K$2,HQ$4),Table1[],(MATCH(Calendar!$A18,DB!$1:$1,0)),FALSE)&gt;=5,"Good","Bad"),VLOOKUP(DATE($K$1,$K$2,HQ$4),Table1[],(MATCH(Calendar!$A18,DB!$1:$1,0)),FALSE)),"")</f>
        <v/>
      </c>
      <c r="HR18" s="28" t="str">
        <f>IFERROR(IF(IA3="No",IF(VLOOKUP(DATE($K$1,$K$2,HR$4),Table1[],(MATCH(Calendar!$A18,DB!$1:$1,0)),FALSE)&gt;=5,"Good","Bad"),VLOOKUP(DATE($K$1,$K$2,HR$4),Table1[],(MATCH(Calendar!$A18,DB!$1:$1,0)),FALSE)),"")</f>
        <v/>
      </c>
      <c r="HS18" s="28" t="str">
        <f>IFERROR(IF(IB3="No",IF(VLOOKUP(DATE($K$1,$K$2,HS$4),Table1[],(MATCH(Calendar!$A18,DB!$1:$1,0)),FALSE)&gt;=5,"Good","Bad"),VLOOKUP(DATE($K$1,$K$2,HS$4),Table1[],(MATCH(Calendar!$A18,DB!$1:$1,0)),FALSE)),"")</f>
        <v/>
      </c>
      <c r="HT18" s="28" t="str">
        <f>IFERROR(IF(IC3="No",IF(VLOOKUP(DATE($K$1,$K$2,HT$4),Table1[],(MATCH(Calendar!$A18,DB!$1:$1,0)),FALSE)&gt;=5,"Good","Bad"),VLOOKUP(DATE($K$1,$K$2,HT$4),Table1[],(MATCH(Calendar!$A18,DB!$1:$1,0)),FALSE)),"")</f>
        <v/>
      </c>
      <c r="HU18" s="28" t="str">
        <f>IFERROR(IF(ID3="No",IF(VLOOKUP(DATE($K$1,$K$2,HU$4),Table1[],(MATCH(Calendar!$A18,DB!$1:$1,0)),FALSE)&gt;=5,"Good","Bad"),VLOOKUP(DATE($K$1,$K$2,HU$4),Table1[],(MATCH(Calendar!$A18,DB!$1:$1,0)),FALSE)),"")</f>
        <v/>
      </c>
      <c r="HV18" s="28" t="str">
        <f>IFERROR(IF(IE3="No",IF(VLOOKUP(DATE($K$1,$K$2,HV$4),Table1[],(MATCH(Calendar!$A18,DB!$1:$1,0)),FALSE)&gt;=5,"Good","Bad"),VLOOKUP(DATE($K$1,$K$2,HV$4),Table1[],(MATCH(Calendar!$A18,DB!$1:$1,0)),FALSE)),"")</f>
        <v/>
      </c>
      <c r="HW18" s="28" t="str">
        <f>IFERROR(IF(IF3="No",IF(VLOOKUP(DATE($K$1,$K$2,HW$4),Table1[],(MATCH(Calendar!$A18,DB!$1:$1,0)),FALSE)&gt;=5,"Good","Bad"),VLOOKUP(DATE($K$1,$K$2,HW$4),Table1[],(MATCH(Calendar!$A18,DB!$1:$1,0)),FALSE)),"")</f>
        <v/>
      </c>
      <c r="HX18" s="28" t="str">
        <f>IFERROR(IF(IG3="No",IF(VLOOKUP(DATE($K$1,$K$2,HX$4),Table1[],(MATCH(Calendar!$A18,DB!$1:$1,0)),FALSE)&gt;=5,"Good","Bad"),VLOOKUP(DATE($K$1,$K$2,HX$4),Table1[],(MATCH(Calendar!$A18,DB!$1:$1,0)),FALSE)),"")</f>
        <v/>
      </c>
      <c r="HY18" s="28" t="str">
        <f>IFERROR(IF(IH3="No",IF(VLOOKUP(DATE($K$1,$K$2,HY$4),Table1[],(MATCH(Calendar!$A18,DB!$1:$1,0)),FALSE)&gt;=5,"Good","Bad"),VLOOKUP(DATE($K$1,$K$2,HY$4),Table1[],(MATCH(Calendar!$A18,DB!$1:$1,0)),FALSE)),"")</f>
        <v/>
      </c>
      <c r="HZ18" s="28" t="str">
        <f>IFERROR(IF(II3="No",IF(VLOOKUP(DATE($K$1,$K$2,HZ$4),Table1[],(MATCH(Calendar!$A18,DB!$1:$1,0)),FALSE)&gt;=5,"Good","Bad"),VLOOKUP(DATE($K$1,$K$2,HZ$4),Table1[],(MATCH(Calendar!$A18,DB!$1:$1,0)),FALSE)),"")</f>
        <v/>
      </c>
      <c r="IA18" s="28" t="str">
        <f>IFERROR(IF(IJ3="No",IF(VLOOKUP(DATE($K$1,$K$2,IA$4),Table1[],(MATCH(Calendar!$A18,DB!$1:$1,0)),FALSE)&gt;=5,"Good","Bad"),VLOOKUP(DATE($K$1,$K$2,IA$4),Table1[],(MATCH(Calendar!$A18,DB!$1:$1,0)),FALSE)),"")</f>
        <v/>
      </c>
      <c r="IB18" s="28" t="str">
        <f>IFERROR(IF(IK3="No",IF(VLOOKUP(DATE($K$1,$K$2,IB$4),Table1[],(MATCH(Calendar!$A18,DB!$1:$1,0)),FALSE)&gt;=5,"Good","Bad"),VLOOKUP(DATE($K$1,$K$2,IB$4),Table1[],(MATCH(Calendar!$A18,DB!$1:$1,0)),FALSE)),"")</f>
        <v/>
      </c>
      <c r="IC18" s="28" t="str">
        <f>IFERROR(IF(IL3="No",IF(VLOOKUP(DATE($K$1,$K$2,IC$4),Table1[],(MATCH(Calendar!$A18,DB!$1:$1,0)),FALSE)&gt;=5,"Good","Bad"),VLOOKUP(DATE($K$1,$K$2,IC$4),Table1[],(MATCH(Calendar!$A18,DB!$1:$1,0)),FALSE)),"")</f>
        <v/>
      </c>
      <c r="ID18" s="28" t="str">
        <f>IFERROR(IF(IM3="No",IF(VLOOKUP(DATE($K$1,$K$2,ID$4),Table1[],(MATCH(Calendar!$A18,DB!$1:$1,0)),FALSE)&gt;=5,"Good","Bad"),VLOOKUP(DATE($K$1,$K$2,ID$4),Table1[],(MATCH(Calendar!$A18,DB!$1:$1,0)),FALSE)),"")</f>
        <v/>
      </c>
      <c r="IE18" s="28" t="str">
        <f>IFERROR(IF(IN3="No",IF(VLOOKUP(DATE($K$1,$K$2,IE$4),Table1[],(MATCH(Calendar!$A18,DB!$1:$1,0)),FALSE)&gt;=5,"Good","Bad"),VLOOKUP(DATE($K$1,$K$2,IE$4),Table1[],(MATCH(Calendar!$A18,DB!$1:$1,0)),FALSE)),"")</f>
        <v/>
      </c>
      <c r="IF18" s="28" t="str">
        <f>IFERROR(IF(IO3="No",IF(VLOOKUP(DATE($K$1,$K$2,IF$4),Table1[],(MATCH(Calendar!$A18,DB!$1:$1,0)),FALSE)&gt;=5,"Good","Bad"),VLOOKUP(DATE($K$1,$K$2,IF$4),Table1[],(MATCH(Calendar!$A18,DB!$1:$1,0)),FALSE)),"")</f>
        <v/>
      </c>
      <c r="IG18" s="28" t="str">
        <f>IFERROR(IF(IP3="No",IF(VLOOKUP(DATE($K$1,$K$2,IG$4),Table1[],(MATCH(Calendar!$A18,DB!$1:$1,0)),FALSE)&gt;=5,"Good","Bad"),VLOOKUP(DATE($K$1,$K$2,IG$4),Table1[],(MATCH(Calendar!$A18,DB!$1:$1,0)),FALSE)),"")</f>
        <v/>
      </c>
      <c r="IH18" s="28" t="str">
        <f>IFERROR(IF(IQ3="No",IF(VLOOKUP(DATE($K$1,$K$2,IH$4),Table1[],(MATCH(Calendar!$A18,DB!$1:$1,0)),FALSE)&gt;=5,"Good","Bad"),VLOOKUP(DATE($K$1,$K$2,IH$4),Table1[],(MATCH(Calendar!$A18,DB!$1:$1,0)),FALSE)),"")</f>
        <v/>
      </c>
      <c r="II18" s="28" t="str">
        <f>IFERROR(IF(IR3="No",IF(VLOOKUP(DATE($K$1,$K$2,II$4),Table1[],(MATCH(Calendar!$A18,DB!$1:$1,0)),FALSE)&gt;=5,"Good","Bad"),VLOOKUP(DATE($K$1,$K$2,II$4),Table1[],(MATCH(Calendar!$A18,DB!$1:$1,0)),FALSE)),"")</f>
        <v/>
      </c>
      <c r="IJ18" s="28" t="str">
        <f>IFERROR(IF(IS3="No",IF(VLOOKUP(DATE($K$1,$K$2,IJ$4),Table1[],(MATCH(Calendar!$A18,DB!$1:$1,0)),FALSE)&gt;=5,"Good","Bad"),VLOOKUP(DATE($K$1,$K$2,IJ$4),Table1[],(MATCH(Calendar!$A18,DB!$1:$1,0)),FALSE)),"")</f>
        <v/>
      </c>
      <c r="IK18" s="28" t="str">
        <f>IFERROR(IF(IT3="No",IF(VLOOKUP(DATE($K$1,$K$2,IK$4),Table1[],(MATCH(Calendar!$A18,DB!$1:$1,0)),FALSE)&gt;=5,"Good","Bad"),VLOOKUP(DATE($K$1,$K$2,IK$4),Table1[],(MATCH(Calendar!$A18,DB!$1:$1,0)),FALSE)),"")</f>
        <v/>
      </c>
      <c r="IL18" s="28" t="str">
        <f>IFERROR(IF(IU3="No",IF(VLOOKUP(DATE($K$1,$K$2,IL$4),Table1[],(MATCH(Calendar!$A18,DB!$1:$1,0)),FALSE)&gt;=5,"Good","Bad"),VLOOKUP(DATE($K$1,$K$2,IL$4),Table1[],(MATCH(Calendar!$A18,DB!$1:$1,0)),FALSE)),"")</f>
        <v/>
      </c>
      <c r="IM18" s="28" t="str">
        <f>IFERROR(IF(IV3="No",IF(VLOOKUP(DATE($K$1,$K$2,IM$4),Table1[],(MATCH(Calendar!$A18,DB!$1:$1,0)),FALSE)&gt;=5,"Good","Bad"),VLOOKUP(DATE($K$1,$K$2,IM$4),Table1[],(MATCH(Calendar!$A18,DB!$1:$1,0)),FALSE)),"")</f>
        <v/>
      </c>
      <c r="IN18" s="28" t="str">
        <f>IFERROR(IF(IW3="No",IF(VLOOKUP(DATE($K$1,$K$2,IN$4),Table1[],(MATCH(Calendar!$A18,DB!$1:$1,0)),FALSE)&gt;=5,"Good","Bad"),VLOOKUP(DATE($K$1,$K$2,IN$4),Table1[],(MATCH(Calendar!$A18,DB!$1:$1,0)),FALSE)),"")</f>
        <v/>
      </c>
      <c r="IO18" s="28" t="str">
        <f>IFERROR(IF(IX3="No",IF(VLOOKUP(DATE($K$1,$K$2,IO$4),Table1[],(MATCH(Calendar!$A18,DB!$1:$1,0)),FALSE)&gt;=5,"Good","Bad"),VLOOKUP(DATE($K$1,$K$2,IO$4),Table1[],(MATCH(Calendar!$A18,DB!$1:$1,0)),FALSE)),"")</f>
        <v/>
      </c>
      <c r="IP18" s="28" t="str">
        <f>IFERROR(IF(IY3="No",IF(VLOOKUP(DATE($K$1,$K$2,IP$4),Table1[],(MATCH(Calendar!$A18,DB!$1:$1,0)),FALSE)&gt;=5,"Good","Bad"),VLOOKUP(DATE($K$1,$K$2,IP$4),Table1[],(MATCH(Calendar!$A18,DB!$1:$1,0)),FALSE)),"")</f>
        <v/>
      </c>
      <c r="IQ18" s="28" t="str">
        <f>IFERROR(IF(IZ3="No",IF(VLOOKUP(DATE($K$1,$K$2,IQ$4),Table1[],(MATCH(Calendar!$A18,DB!$1:$1,0)),FALSE)&gt;=5,"Good","Bad"),VLOOKUP(DATE($K$1,$K$2,IQ$4),Table1[],(MATCH(Calendar!$A18,DB!$1:$1,0)),FALSE)),"")</f>
        <v/>
      </c>
      <c r="IR18" s="28" t="str">
        <f>IFERROR(IF(JA3="No",IF(VLOOKUP(DATE($K$1,$K$2,IR$4),Table1[],(MATCH(Calendar!$A18,DB!$1:$1,0)),FALSE)&gt;=5,"Good","Bad"),VLOOKUP(DATE($K$1,$K$2,IR$4),Table1[],(MATCH(Calendar!$A18,DB!$1:$1,0)),FALSE)),"")</f>
        <v/>
      </c>
      <c r="IS18" s="28" t="str">
        <f>IFERROR(IF(JB3="No",IF(VLOOKUP(DATE($K$1,$K$2,IS$4),Table1[],(MATCH(Calendar!$A18,DB!$1:$1,0)),FALSE)&gt;=5,"Good","Bad"),VLOOKUP(DATE($K$1,$K$2,IS$4),Table1[],(MATCH(Calendar!$A18,DB!$1:$1,0)),FALSE)),"")</f>
        <v/>
      </c>
      <c r="IT18" s="28" t="str">
        <f>IFERROR(IF(JC3="No",IF(VLOOKUP(DATE($K$1,$K$2,IT$4),Table1[],(MATCH(Calendar!$A18,DB!$1:$1,0)),FALSE)&gt;=5,"Good","Bad"),VLOOKUP(DATE($K$1,$K$2,IT$4),Table1[],(MATCH(Calendar!$A18,DB!$1:$1,0)),FALSE)),"")</f>
        <v/>
      </c>
      <c r="IU18" s="28" t="str">
        <f>IFERROR(IF(JD3="No",IF(VLOOKUP(DATE($K$1,$K$2,IU$4),Table1[],(MATCH(Calendar!$A18,DB!$1:$1,0)),FALSE)&gt;=5,"Good","Bad"),VLOOKUP(DATE($K$1,$K$2,IU$4),Table1[],(MATCH(Calendar!$A18,DB!$1:$1,0)),FALSE)),"")</f>
        <v/>
      </c>
      <c r="IV18" s="28" t="str">
        <f>IFERROR(IF(JE3="No",IF(VLOOKUP(DATE($K$1,$K$2,IV$4),Table1[],(MATCH(Calendar!$A18,DB!$1:$1,0)),FALSE)&gt;=5,"Good","Bad"),VLOOKUP(DATE($K$1,$K$2,IV$4),Table1[],(MATCH(Calendar!$A18,DB!$1:$1,0)),FALSE)),"")</f>
        <v/>
      </c>
      <c r="IW18" s="28" t="str">
        <f>IFERROR(IF(JF3="No",IF(VLOOKUP(DATE($K$1,$K$2,IW$4),Table1[],(MATCH(Calendar!$A18,DB!$1:$1,0)),FALSE)&gt;=5,"Good","Bad"),VLOOKUP(DATE($K$1,$K$2,IW$4),Table1[],(MATCH(Calendar!$A18,DB!$1:$1,0)),FALSE)),"")</f>
        <v/>
      </c>
      <c r="IX18" s="28" t="str">
        <f>IFERROR(IF(JG3="No",IF(VLOOKUP(DATE($K$1,$K$2,IX$4),Table1[],(MATCH(Calendar!$A18,DB!$1:$1,0)),FALSE)&gt;=5,"Good","Bad"),VLOOKUP(DATE($K$1,$K$2,IX$4),Table1[],(MATCH(Calendar!$A18,DB!$1:$1,0)),FALSE)),"")</f>
        <v/>
      </c>
      <c r="IY18" s="28" t="str">
        <f>IFERROR(IF(JH3="No",IF(VLOOKUP(DATE($K$1,$K$2,IY$4),Table1[],(MATCH(Calendar!$A18,DB!$1:$1,0)),FALSE)&gt;=5,"Good","Bad"),VLOOKUP(DATE($K$1,$K$2,IY$4),Table1[],(MATCH(Calendar!$A18,DB!$1:$1,0)),FALSE)),"")</f>
        <v/>
      </c>
      <c r="IZ18" s="28" t="str">
        <f>IFERROR(IF(JI3="No",IF(VLOOKUP(DATE($K$1,$K$2,IZ$4),Table1[],(MATCH(Calendar!$A18,DB!$1:$1,0)),FALSE)&gt;=5,"Good","Bad"),VLOOKUP(DATE($K$1,$K$2,IZ$4),Table1[],(MATCH(Calendar!$A18,DB!$1:$1,0)),FALSE)),"")</f>
        <v/>
      </c>
      <c r="JA18" s="28" t="str">
        <f>IFERROR(IF(JJ3="No",IF(VLOOKUP(DATE($K$1,$K$2,JA$4),Table1[],(MATCH(Calendar!$A18,DB!$1:$1,0)),FALSE)&gt;=5,"Good","Bad"),VLOOKUP(DATE($K$1,$K$2,JA$4),Table1[],(MATCH(Calendar!$A18,DB!$1:$1,0)),FALSE)),"")</f>
        <v/>
      </c>
      <c r="JB18" s="28" t="str">
        <f>IFERROR(IF(JK3="No",IF(VLOOKUP(DATE($K$1,$K$2,JB$4),Table1[],(MATCH(Calendar!$A18,DB!$1:$1,0)),FALSE)&gt;=5,"Good","Bad"),VLOOKUP(DATE($K$1,$K$2,JB$4),Table1[],(MATCH(Calendar!$A18,DB!$1:$1,0)),FALSE)),"")</f>
        <v/>
      </c>
      <c r="JC18" s="28" t="str">
        <f>IFERROR(IF(JL3="No",IF(VLOOKUP(DATE($K$1,$K$2,JC$4),Table1[],(MATCH(Calendar!$A18,DB!$1:$1,0)),FALSE)&gt;=5,"Good","Bad"),VLOOKUP(DATE($K$1,$K$2,JC$4),Table1[],(MATCH(Calendar!$A18,DB!$1:$1,0)),FALSE)),"")</f>
        <v/>
      </c>
      <c r="JD18" s="28" t="str">
        <f>IFERROR(IF(JM3="No",IF(VLOOKUP(DATE($K$1,$K$2,JD$4),Table1[],(MATCH(Calendar!$A18,DB!$1:$1,0)),FALSE)&gt;=5,"Good","Bad"),VLOOKUP(DATE($K$1,$K$2,JD$4),Table1[],(MATCH(Calendar!$A18,DB!$1:$1,0)),FALSE)),"")</f>
        <v/>
      </c>
      <c r="JE18" s="28" t="str">
        <f>IFERROR(IF(JN3="No",IF(VLOOKUP(DATE($K$1,$K$2,JE$4),Table1[],(MATCH(Calendar!$A18,DB!$1:$1,0)),FALSE)&gt;=5,"Good","Bad"),VLOOKUP(DATE($K$1,$K$2,JE$4),Table1[],(MATCH(Calendar!$A18,DB!$1:$1,0)),FALSE)),"")</f>
        <v/>
      </c>
      <c r="JF18" s="28" t="str">
        <f>IFERROR(IF(JO3="No",IF(VLOOKUP(DATE($K$1,$K$2,JF$4),Table1[],(MATCH(Calendar!$A18,DB!$1:$1,0)),FALSE)&gt;=5,"Good","Bad"),VLOOKUP(DATE($K$1,$K$2,JF$4),Table1[],(MATCH(Calendar!$A18,DB!$1:$1,0)),FALSE)),"")</f>
        <v/>
      </c>
      <c r="JG18" s="28" t="str">
        <f>IFERROR(IF(JP3="No",IF(VLOOKUP(DATE($K$1,$K$2,JG$4),Table1[],(MATCH(Calendar!$A18,DB!$1:$1,0)),FALSE)&gt;=5,"Good","Bad"),VLOOKUP(DATE($K$1,$K$2,JG$4),Table1[],(MATCH(Calendar!$A18,DB!$1:$1,0)),FALSE)),"")</f>
        <v/>
      </c>
      <c r="JH18" s="28" t="str">
        <f>IFERROR(IF(JQ3="No",IF(VLOOKUP(DATE($K$1,$K$2,JH$4),Table1[],(MATCH(Calendar!$A18,DB!$1:$1,0)),FALSE)&gt;=5,"Good","Bad"),VLOOKUP(DATE($K$1,$K$2,JH$4),Table1[],(MATCH(Calendar!$A18,DB!$1:$1,0)),FALSE)),"")</f>
        <v/>
      </c>
      <c r="JI18" s="28" t="str">
        <f>IFERROR(IF(JR3="No",IF(VLOOKUP(DATE($K$1,$K$2,JI$4),Table1[],(MATCH(Calendar!$A18,DB!$1:$1,0)),FALSE)&gt;=5,"Good","Bad"),VLOOKUP(DATE($K$1,$K$2,JI$4),Table1[],(MATCH(Calendar!$A18,DB!$1:$1,0)),FALSE)),"")</f>
        <v/>
      </c>
      <c r="JJ18" s="28" t="str">
        <f>IFERROR(IF(JS3="No",IF(VLOOKUP(DATE($K$1,$K$2,JJ$4),Table1[],(MATCH(Calendar!$A18,DB!$1:$1,0)),FALSE)&gt;=5,"Good","Bad"),VLOOKUP(DATE($K$1,$K$2,JJ$4),Table1[],(MATCH(Calendar!$A18,DB!$1:$1,0)),FALSE)),"")</f>
        <v/>
      </c>
      <c r="JK18" s="28" t="str">
        <f>IFERROR(IF(JT3="No",IF(VLOOKUP(DATE($K$1,$K$2,JK$4),Table1[],(MATCH(Calendar!$A18,DB!$1:$1,0)),FALSE)&gt;=5,"Good","Bad"),VLOOKUP(DATE($K$1,$K$2,JK$4),Table1[],(MATCH(Calendar!$A18,DB!$1:$1,0)),FALSE)),"")</f>
        <v/>
      </c>
      <c r="JL18" s="28" t="str">
        <f>IFERROR(IF(JU3="No",IF(VLOOKUP(DATE($K$1,$K$2,JL$4),Table1[],(MATCH(Calendar!$A18,DB!$1:$1,0)),FALSE)&gt;=5,"Good","Bad"),VLOOKUP(DATE($K$1,$K$2,JL$4),Table1[],(MATCH(Calendar!$A18,DB!$1:$1,0)),FALSE)),"")</f>
        <v/>
      </c>
      <c r="JM18" s="28" t="str">
        <f>IFERROR(IF(JV3="No",IF(VLOOKUP(DATE($K$1,$K$2,JM$4),Table1[],(MATCH(Calendar!$A18,DB!$1:$1,0)),FALSE)&gt;=5,"Good","Bad"),VLOOKUP(DATE($K$1,$K$2,JM$4),Table1[],(MATCH(Calendar!$A18,DB!$1:$1,0)),FALSE)),"")</f>
        <v/>
      </c>
      <c r="JN18" s="28" t="str">
        <f>IFERROR(IF(JW3="No",IF(VLOOKUP(DATE($K$1,$K$2,JN$4),Table1[],(MATCH(Calendar!$A18,DB!$1:$1,0)),FALSE)&gt;=5,"Good","Bad"),VLOOKUP(DATE($K$1,$K$2,JN$4),Table1[],(MATCH(Calendar!$A18,DB!$1:$1,0)),FALSE)),"")</f>
        <v/>
      </c>
      <c r="JO18" s="28" t="str">
        <f>IFERROR(IF(JX3="No",IF(VLOOKUP(DATE($K$1,$K$2,JO$4),Table1[],(MATCH(Calendar!$A18,DB!$1:$1,0)),FALSE)&gt;=5,"Good","Bad"),VLOOKUP(DATE($K$1,$K$2,JO$4),Table1[],(MATCH(Calendar!$A18,DB!$1:$1,0)),FALSE)),"")</f>
        <v/>
      </c>
      <c r="JP18" s="28" t="str">
        <f>IFERROR(IF(JY3="No",IF(VLOOKUP(DATE($K$1,$K$2,JP$4),Table1[],(MATCH(Calendar!$A18,DB!$1:$1,0)),FALSE)&gt;=5,"Good","Bad"),VLOOKUP(DATE($K$1,$K$2,JP$4),Table1[],(MATCH(Calendar!$A18,DB!$1:$1,0)),FALSE)),"")</f>
        <v/>
      </c>
      <c r="JQ18" s="28" t="str">
        <f>IFERROR(IF(JZ3="No",IF(VLOOKUP(DATE($K$1,$K$2,JQ$4),Table1[],(MATCH(Calendar!$A18,DB!$1:$1,0)),FALSE)&gt;=5,"Good","Bad"),VLOOKUP(DATE($K$1,$K$2,JQ$4),Table1[],(MATCH(Calendar!$A18,DB!$1:$1,0)),FALSE)),"")</f>
        <v/>
      </c>
      <c r="JR18" s="28" t="str">
        <f>IFERROR(IF(KA3="No",IF(VLOOKUP(DATE($K$1,$K$2,JR$4),Table1[],(MATCH(Calendar!$A18,DB!$1:$1,0)),FALSE)&gt;=5,"Good","Bad"),VLOOKUP(DATE($K$1,$K$2,JR$4),Table1[],(MATCH(Calendar!$A18,DB!$1:$1,0)),FALSE)),"")</f>
        <v/>
      </c>
      <c r="JS18" s="28" t="str">
        <f>IFERROR(IF(KB3="No",IF(VLOOKUP(DATE($K$1,$K$2,JS$4),Table1[],(MATCH(Calendar!$A18,DB!$1:$1,0)),FALSE)&gt;=5,"Good","Bad"),VLOOKUP(DATE($K$1,$K$2,JS$4),Table1[],(MATCH(Calendar!$A18,DB!$1:$1,0)),FALSE)),"")</f>
        <v/>
      </c>
      <c r="JT18" s="28" t="str">
        <f>IFERROR(IF(KC3="No",IF(VLOOKUP(DATE($K$1,$K$2,JT$4),Table1[],(MATCH(Calendar!$A18,DB!$1:$1,0)),FALSE)&gt;=5,"Good","Bad"),VLOOKUP(DATE($K$1,$K$2,JT$4),Table1[],(MATCH(Calendar!$A18,DB!$1:$1,0)),FALSE)),"")</f>
        <v/>
      </c>
      <c r="JU18" s="28" t="str">
        <f>IFERROR(IF(KD3="No",IF(VLOOKUP(DATE($K$1,$K$2,JU$4),Table1[],(MATCH(Calendar!$A18,DB!$1:$1,0)),FALSE)&gt;=5,"Good","Bad"),VLOOKUP(DATE($K$1,$K$2,JU$4),Table1[],(MATCH(Calendar!$A18,DB!$1:$1,0)),FALSE)),"")</f>
        <v/>
      </c>
      <c r="JV18" s="28" t="str">
        <f>IFERROR(IF(KE3="No",IF(VLOOKUP(DATE($K$1,$K$2,JV$4),Table1[],(MATCH(Calendar!$A18,DB!$1:$1,0)),FALSE)&gt;=5,"Good","Bad"),VLOOKUP(DATE($K$1,$K$2,JV$4),Table1[],(MATCH(Calendar!$A18,DB!$1:$1,0)),FALSE)),"")</f>
        <v/>
      </c>
      <c r="JW18" s="28" t="str">
        <f>IFERROR(IF(KF3="No",IF(VLOOKUP(DATE($K$1,$K$2,JW$4),Table1[],(MATCH(Calendar!$A18,DB!$1:$1,0)),FALSE)&gt;=5,"Good","Bad"),VLOOKUP(DATE($K$1,$K$2,JW$4),Table1[],(MATCH(Calendar!$A18,DB!$1:$1,0)),FALSE)),"")</f>
        <v/>
      </c>
      <c r="JX18" s="28" t="str">
        <f>IFERROR(IF(KG3="No",IF(VLOOKUP(DATE($K$1,$K$2,JX$4),Table1[],(MATCH(Calendar!$A18,DB!$1:$1,0)),FALSE)&gt;=5,"Good","Bad"),VLOOKUP(DATE($K$1,$K$2,JX$4),Table1[],(MATCH(Calendar!$A18,DB!$1:$1,0)),FALSE)),"")</f>
        <v/>
      </c>
      <c r="JY18" s="28" t="str">
        <f>IFERROR(IF(KH3="No",IF(VLOOKUP(DATE($K$1,$K$2,JY$4),Table1[],(MATCH(Calendar!$A18,DB!$1:$1,0)),FALSE)&gt;=5,"Good","Bad"),VLOOKUP(DATE($K$1,$K$2,JY$4),Table1[],(MATCH(Calendar!$A18,DB!$1:$1,0)),FALSE)),"")</f>
        <v/>
      </c>
      <c r="JZ18" s="28" t="str">
        <f>IFERROR(IF(KI3="No",IF(VLOOKUP(DATE($K$1,$K$2,JZ$4),Table1[],(MATCH(Calendar!$A18,DB!$1:$1,0)),FALSE)&gt;=5,"Good","Bad"),VLOOKUP(DATE($K$1,$K$2,JZ$4),Table1[],(MATCH(Calendar!$A18,DB!$1:$1,0)),FALSE)),"")</f>
        <v/>
      </c>
      <c r="KA18" s="28" t="str">
        <f>IFERROR(IF(KJ3="No",IF(VLOOKUP(DATE($K$1,$K$2,KA$4),Table1[],(MATCH(Calendar!$A18,DB!$1:$1,0)),FALSE)&gt;=5,"Good","Bad"),VLOOKUP(DATE($K$1,$K$2,KA$4),Table1[],(MATCH(Calendar!$A18,DB!$1:$1,0)),FALSE)),"")</f>
        <v/>
      </c>
      <c r="KB18" s="28" t="str">
        <f>IFERROR(IF(KK3="No",IF(VLOOKUP(DATE($K$1,$K$2,KB$4),Table1[],(MATCH(Calendar!$A18,DB!$1:$1,0)),FALSE)&gt;=5,"Good","Bad"),VLOOKUP(DATE($K$1,$K$2,KB$4),Table1[],(MATCH(Calendar!$A18,DB!$1:$1,0)),FALSE)),"")</f>
        <v/>
      </c>
      <c r="KC18" s="28" t="str">
        <f>IFERROR(IF(KL3="No",IF(VLOOKUP(DATE($K$1,$K$2,KC$4),Table1[],(MATCH(Calendar!$A18,DB!$1:$1,0)),FALSE)&gt;=5,"Good","Bad"),VLOOKUP(DATE($K$1,$K$2,KC$4),Table1[],(MATCH(Calendar!$A18,DB!$1:$1,0)),FALSE)),"")</f>
        <v/>
      </c>
      <c r="KD18" s="28" t="str">
        <f>IFERROR(IF(KM3="No",IF(VLOOKUP(DATE($K$1,$K$2,KD$4),Table1[],(MATCH(Calendar!$A18,DB!$1:$1,0)),FALSE)&gt;=5,"Good","Bad"),VLOOKUP(DATE($K$1,$K$2,KD$4),Table1[],(MATCH(Calendar!$A18,DB!$1:$1,0)),FALSE)),"")</f>
        <v/>
      </c>
      <c r="KE18" s="28" t="str">
        <f>IFERROR(IF(KN3="No",IF(VLOOKUP(DATE($K$1,$K$2,KE$4),Table1[],(MATCH(Calendar!$A18,DB!$1:$1,0)),FALSE)&gt;=5,"Good","Bad"),VLOOKUP(DATE($K$1,$K$2,KE$4),Table1[],(MATCH(Calendar!$A18,DB!$1:$1,0)),FALSE)),"")</f>
        <v/>
      </c>
      <c r="KF18" s="28" t="str">
        <f>IFERROR(IF(KO3="No",IF(VLOOKUP(DATE($K$1,$K$2,KF$4),Table1[],(MATCH(Calendar!$A18,DB!$1:$1,0)),FALSE)&gt;=5,"Good","Bad"),VLOOKUP(DATE($K$1,$K$2,KF$4),Table1[],(MATCH(Calendar!$A18,DB!$1:$1,0)),FALSE)),"")</f>
        <v/>
      </c>
      <c r="KG18" s="28" t="str">
        <f>IFERROR(IF(KP3="No",IF(VLOOKUP(DATE($K$1,$K$2,KG$4),Table1[],(MATCH(Calendar!$A18,DB!$1:$1,0)),FALSE)&gt;=5,"Good","Bad"),VLOOKUP(DATE($K$1,$K$2,KG$4),Table1[],(MATCH(Calendar!$A18,DB!$1:$1,0)),FALSE)),"")</f>
        <v/>
      </c>
      <c r="KH18" s="28" t="str">
        <f>IFERROR(IF(KQ3="No",IF(VLOOKUP(DATE($K$1,$K$2,KH$4),Table1[],(MATCH(Calendar!$A18,DB!$1:$1,0)),FALSE)&gt;=5,"Good","Bad"),VLOOKUP(DATE($K$1,$K$2,KH$4),Table1[],(MATCH(Calendar!$A18,DB!$1:$1,0)),FALSE)),"")</f>
        <v/>
      </c>
      <c r="KI18" s="28" t="str">
        <f>IFERROR(IF(KR3="No",IF(VLOOKUP(DATE($K$1,$K$2,KI$4),Table1[],(MATCH(Calendar!$A18,DB!$1:$1,0)),FALSE)&gt;=5,"Good","Bad"),VLOOKUP(DATE($K$1,$K$2,KI$4),Table1[],(MATCH(Calendar!$A18,DB!$1:$1,0)),FALSE)),"")</f>
        <v/>
      </c>
      <c r="KJ18" s="28" t="str">
        <f>IFERROR(IF(KS3="No",IF(VLOOKUP(DATE($K$1,$K$2,KJ$4),Table1[],(MATCH(Calendar!$A18,DB!$1:$1,0)),FALSE)&gt;=5,"Good","Bad"),VLOOKUP(DATE($K$1,$K$2,KJ$4),Table1[],(MATCH(Calendar!$A18,DB!$1:$1,0)),FALSE)),"")</f>
        <v/>
      </c>
      <c r="KK18" s="28" t="str">
        <f>IFERROR(IF(KT3="No",IF(VLOOKUP(DATE($K$1,$K$2,KK$4),Table1[],(MATCH(Calendar!$A18,DB!$1:$1,0)),FALSE)&gt;=5,"Good","Bad"),VLOOKUP(DATE($K$1,$K$2,KK$4),Table1[],(MATCH(Calendar!$A18,DB!$1:$1,0)),FALSE)),"")</f>
        <v/>
      </c>
      <c r="KL18" s="28" t="str">
        <f>IFERROR(IF(KU3="No",IF(VLOOKUP(DATE($K$1,$K$2,KL$4),Table1[],(MATCH(Calendar!$A18,DB!$1:$1,0)),FALSE)&gt;=5,"Good","Bad"),VLOOKUP(DATE($K$1,$K$2,KL$4),Table1[],(MATCH(Calendar!$A18,DB!$1:$1,0)),FALSE)),"")</f>
        <v/>
      </c>
      <c r="KM18" s="28" t="str">
        <f>IFERROR(IF(KV3="No",IF(VLOOKUP(DATE($K$1,$K$2,KM$4),Table1[],(MATCH(Calendar!$A18,DB!$1:$1,0)),FALSE)&gt;=5,"Good","Bad"),VLOOKUP(DATE($K$1,$K$2,KM$4),Table1[],(MATCH(Calendar!$A18,DB!$1:$1,0)),FALSE)),"")</f>
        <v/>
      </c>
      <c r="KN18" s="28" t="str">
        <f>IFERROR(IF(KW3="No",IF(VLOOKUP(DATE($K$1,$K$2,KN$4),Table1[],(MATCH(Calendar!$A18,DB!$1:$1,0)),FALSE)&gt;=5,"Good","Bad"),VLOOKUP(DATE($K$1,$K$2,KN$4),Table1[],(MATCH(Calendar!$A18,DB!$1:$1,0)),FALSE)),"")</f>
        <v/>
      </c>
      <c r="KO18" s="28" t="str">
        <f>IFERROR(IF(KX3="No",IF(VLOOKUP(DATE($K$1,$K$2,KO$4),Table1[],(MATCH(Calendar!$A18,DB!$1:$1,0)),FALSE)&gt;=5,"Good","Bad"),VLOOKUP(DATE($K$1,$K$2,KO$4),Table1[],(MATCH(Calendar!$A18,DB!$1:$1,0)),FALSE)),"")</f>
        <v/>
      </c>
      <c r="KP18" s="28" t="str">
        <f>IFERROR(IF(KY3="No",IF(VLOOKUP(DATE($K$1,$K$2,KP$4),Table1[],(MATCH(Calendar!$A18,DB!$1:$1,0)),FALSE)&gt;=5,"Good","Bad"),VLOOKUP(DATE($K$1,$K$2,KP$4),Table1[],(MATCH(Calendar!$A18,DB!$1:$1,0)),FALSE)),"")</f>
        <v/>
      </c>
      <c r="KQ18" s="28" t="str">
        <f>IFERROR(IF(KZ3="No",IF(VLOOKUP(DATE($K$1,$K$2,KQ$4),Table1[],(MATCH(Calendar!$A18,DB!$1:$1,0)),FALSE)&gt;=5,"Good","Bad"),VLOOKUP(DATE($K$1,$K$2,KQ$4),Table1[],(MATCH(Calendar!$A18,DB!$1:$1,0)),FALSE)),"")</f>
        <v/>
      </c>
      <c r="KR18" s="28" t="str">
        <f>IFERROR(IF(LA3="No",IF(VLOOKUP(DATE($K$1,$K$2,KR$4),Table1[],(MATCH(Calendar!$A18,DB!$1:$1,0)),FALSE)&gt;=5,"Good","Bad"),VLOOKUP(DATE($K$1,$K$2,KR$4),Table1[],(MATCH(Calendar!$A18,DB!$1:$1,0)),FALSE)),"")</f>
        <v/>
      </c>
      <c r="KS18" s="28" t="str">
        <f>IFERROR(IF(LB3="No",IF(VLOOKUP(DATE($K$1,$K$2,KS$4),Table1[],(MATCH(Calendar!$A18,DB!$1:$1,0)),FALSE)&gt;=5,"Good","Bad"),VLOOKUP(DATE($K$1,$K$2,KS$4),Table1[],(MATCH(Calendar!$A18,DB!$1:$1,0)),FALSE)),"")</f>
        <v/>
      </c>
      <c r="KT18" s="28" t="str">
        <f>IFERROR(IF(LC3="No",IF(VLOOKUP(DATE($K$1,$K$2,KT$4),Table1[],(MATCH(Calendar!$A18,DB!$1:$1,0)),FALSE)&gt;=5,"Good","Bad"),VLOOKUP(DATE($K$1,$K$2,KT$4),Table1[],(MATCH(Calendar!$A18,DB!$1:$1,0)),FALSE)),"")</f>
        <v/>
      </c>
      <c r="KU18" s="28" t="str">
        <f>IFERROR(IF(LD3="No",IF(VLOOKUP(DATE($K$1,$K$2,KU$4),Table1[],(MATCH(Calendar!$A18,DB!$1:$1,0)),FALSE)&gt;=5,"Good","Bad"),VLOOKUP(DATE($K$1,$K$2,KU$4),Table1[],(MATCH(Calendar!$A18,DB!$1:$1,0)),FALSE)),"")</f>
        <v/>
      </c>
      <c r="KV18" s="28" t="str">
        <f>IFERROR(IF(LE3="No",IF(VLOOKUP(DATE($K$1,$K$2,KV$4),Table1[],(MATCH(Calendar!$A18,DB!$1:$1,0)),FALSE)&gt;=5,"Good","Bad"),VLOOKUP(DATE($K$1,$K$2,KV$4),Table1[],(MATCH(Calendar!$A18,DB!$1:$1,0)),FALSE)),"")</f>
        <v/>
      </c>
      <c r="KW18" s="28" t="str">
        <f>IFERROR(IF(LF3="No",IF(VLOOKUP(DATE($K$1,$K$2,KW$4),Table1[],(MATCH(Calendar!$A18,DB!$1:$1,0)),FALSE)&gt;=5,"Good","Bad"),VLOOKUP(DATE($K$1,$K$2,KW$4),Table1[],(MATCH(Calendar!$A18,DB!$1:$1,0)),FALSE)),"")</f>
        <v/>
      </c>
      <c r="KX18" s="28" t="str">
        <f>IFERROR(IF(LG3="No",IF(VLOOKUP(DATE($K$1,$K$2,KX$4),Table1[],(MATCH(Calendar!$A18,DB!$1:$1,0)),FALSE)&gt;=5,"Good","Bad"),VLOOKUP(DATE($K$1,$K$2,KX$4),Table1[],(MATCH(Calendar!$A18,DB!$1:$1,0)),FALSE)),"")</f>
        <v/>
      </c>
      <c r="KY18" s="28" t="str">
        <f>IFERROR(IF(LH3="No",IF(VLOOKUP(DATE($K$1,$K$2,KY$4),Table1[],(MATCH(Calendar!$A18,DB!$1:$1,0)),FALSE)&gt;=5,"Good","Bad"),VLOOKUP(DATE($K$1,$K$2,KY$4),Table1[],(MATCH(Calendar!$A18,DB!$1:$1,0)),FALSE)),"")</f>
        <v/>
      </c>
      <c r="KZ18" s="28" t="str">
        <f>IFERROR(IF(LI3="No",IF(VLOOKUP(DATE($K$1,$K$2,KZ$4),Table1[],(MATCH(Calendar!$A18,DB!$1:$1,0)),FALSE)&gt;=5,"Good","Bad"),VLOOKUP(DATE($K$1,$K$2,KZ$4),Table1[],(MATCH(Calendar!$A18,DB!$1:$1,0)),FALSE)),"")</f>
        <v/>
      </c>
      <c r="LA18" s="28" t="str">
        <f>IFERROR(IF(LJ3="No",IF(VLOOKUP(DATE($K$1,$K$2,LA$4),Table1[],(MATCH(Calendar!$A18,DB!$1:$1,0)),FALSE)&gt;=5,"Good","Bad"),VLOOKUP(DATE($K$1,$K$2,LA$4),Table1[],(MATCH(Calendar!$A18,DB!$1:$1,0)),FALSE)),"")</f>
        <v/>
      </c>
      <c r="LB18" s="28" t="str">
        <f>IFERROR(IF(LK3="No",IF(VLOOKUP(DATE($K$1,$K$2,LB$4),Table1[],(MATCH(Calendar!$A18,DB!$1:$1,0)),FALSE)&gt;=5,"Good","Bad"),VLOOKUP(DATE($K$1,$K$2,LB$4),Table1[],(MATCH(Calendar!$A18,DB!$1:$1,0)),FALSE)),"")</f>
        <v/>
      </c>
      <c r="LC18" s="28" t="str">
        <f>IFERROR(IF(LL3="No",IF(VLOOKUP(DATE($K$1,$K$2,LC$4),Table1[],(MATCH(Calendar!$A18,DB!$1:$1,0)),FALSE)&gt;=5,"Good","Bad"),VLOOKUP(DATE($K$1,$K$2,LC$4),Table1[],(MATCH(Calendar!$A18,DB!$1:$1,0)),FALSE)),"")</f>
        <v/>
      </c>
      <c r="LD18" s="28" t="str">
        <f>IFERROR(IF(LM3="No",IF(VLOOKUP(DATE($K$1,$K$2,LD$4),Table1[],(MATCH(Calendar!$A18,DB!$1:$1,0)),FALSE)&gt;=5,"Good","Bad"),VLOOKUP(DATE($K$1,$K$2,LD$4),Table1[],(MATCH(Calendar!$A18,DB!$1:$1,0)),FALSE)),"")</f>
        <v/>
      </c>
      <c r="LE18" s="28" t="str">
        <f>IFERROR(IF(LN3="No",IF(VLOOKUP(DATE($K$1,$K$2,LE$4),Table1[],(MATCH(Calendar!$A18,DB!$1:$1,0)),FALSE)&gt;=5,"Good","Bad"),VLOOKUP(DATE($K$1,$K$2,LE$4),Table1[],(MATCH(Calendar!$A18,DB!$1:$1,0)),FALSE)),"")</f>
        <v/>
      </c>
      <c r="LF18" s="28" t="str">
        <f>IFERROR(IF(LO3="No",IF(VLOOKUP(DATE($K$1,$K$2,LF$4),Table1[],(MATCH(Calendar!$A18,DB!$1:$1,0)),FALSE)&gt;=5,"Good","Bad"),VLOOKUP(DATE($K$1,$K$2,LF$4),Table1[],(MATCH(Calendar!$A18,DB!$1:$1,0)),FALSE)),"")</f>
        <v/>
      </c>
      <c r="LG18" s="28" t="str">
        <f>IFERROR(IF(LP3="No",IF(VLOOKUP(DATE($K$1,$K$2,LG$4),Table1[],(MATCH(Calendar!$A18,DB!$1:$1,0)),FALSE)&gt;=5,"Good","Bad"),VLOOKUP(DATE($K$1,$K$2,LG$4),Table1[],(MATCH(Calendar!$A18,DB!$1:$1,0)),FALSE)),"")</f>
        <v/>
      </c>
      <c r="LH18" s="28" t="str">
        <f>IFERROR(IF(LQ3="No",IF(VLOOKUP(DATE($K$1,$K$2,LH$4),Table1[],(MATCH(Calendar!$A18,DB!$1:$1,0)),FALSE)&gt;=5,"Good","Bad"),VLOOKUP(DATE($K$1,$K$2,LH$4),Table1[],(MATCH(Calendar!$A18,DB!$1:$1,0)),FALSE)),"")</f>
        <v/>
      </c>
      <c r="LI18" s="28" t="str">
        <f>IFERROR(IF(LR3="No",IF(VLOOKUP(DATE($K$1,$K$2,LI$4),Table1[],(MATCH(Calendar!$A18,DB!$1:$1,0)),FALSE)&gt;=5,"Good","Bad"),VLOOKUP(DATE($K$1,$K$2,LI$4),Table1[],(MATCH(Calendar!$A18,DB!$1:$1,0)),FALSE)),"")</f>
        <v/>
      </c>
      <c r="LJ18" s="28" t="str">
        <f>IFERROR(IF(LS3="No",IF(VLOOKUP(DATE($K$1,$K$2,LJ$4),Table1[],(MATCH(Calendar!$A18,DB!$1:$1,0)),FALSE)&gt;=5,"Good","Bad"),VLOOKUP(DATE($K$1,$K$2,LJ$4),Table1[],(MATCH(Calendar!$A18,DB!$1:$1,0)),FALSE)),"")</f>
        <v/>
      </c>
      <c r="LK18" s="28" t="str">
        <f>IFERROR(IF(LT3="No",IF(VLOOKUP(DATE($K$1,$K$2,LK$4),Table1[],(MATCH(Calendar!$A18,DB!$1:$1,0)),FALSE)&gt;=5,"Good","Bad"),VLOOKUP(DATE($K$1,$K$2,LK$4),Table1[],(MATCH(Calendar!$A18,DB!$1:$1,0)),FALSE)),"")</f>
        <v/>
      </c>
      <c r="LL18" s="28" t="str">
        <f>IFERROR(IF(LU3="No",IF(VLOOKUP(DATE($K$1,$K$2,LL$4),Table1[],(MATCH(Calendar!$A18,DB!$1:$1,0)),FALSE)&gt;=5,"Good","Bad"),VLOOKUP(DATE($K$1,$K$2,LL$4),Table1[],(MATCH(Calendar!$A18,DB!$1:$1,0)),FALSE)),"")</f>
        <v/>
      </c>
      <c r="LM18" s="28" t="str">
        <f>IFERROR(IF(LV3="No",IF(VLOOKUP(DATE($K$1,$K$2,LM$4),Table1[],(MATCH(Calendar!$A18,DB!$1:$1,0)),FALSE)&gt;=5,"Good","Bad"),VLOOKUP(DATE($K$1,$K$2,LM$4),Table1[],(MATCH(Calendar!$A18,DB!$1:$1,0)),FALSE)),"")</f>
        <v/>
      </c>
      <c r="LN18" s="28" t="str">
        <f>IFERROR(IF(LW3="No",IF(VLOOKUP(DATE($K$1,$K$2,LN$4),Table1[],(MATCH(Calendar!$A18,DB!$1:$1,0)),FALSE)&gt;=5,"Good","Bad"),VLOOKUP(DATE($K$1,$K$2,LN$4),Table1[],(MATCH(Calendar!$A18,DB!$1:$1,0)),FALSE)),"")</f>
        <v/>
      </c>
      <c r="LO18" s="28" t="str">
        <f>IFERROR(IF(LX3="No",IF(VLOOKUP(DATE($K$1,$K$2,LO$4),Table1[],(MATCH(Calendar!$A18,DB!$1:$1,0)),FALSE)&gt;=5,"Good","Bad"),VLOOKUP(DATE($K$1,$K$2,LO$4),Table1[],(MATCH(Calendar!$A18,DB!$1:$1,0)),FALSE)),"")</f>
        <v/>
      </c>
      <c r="LP18" s="28" t="str">
        <f>IFERROR(IF(LY3="No",IF(VLOOKUP(DATE($K$1,$K$2,LP$4),Table1[],(MATCH(Calendar!$A18,DB!$1:$1,0)),FALSE)&gt;=5,"Good","Bad"),VLOOKUP(DATE($K$1,$K$2,LP$4),Table1[],(MATCH(Calendar!$A18,DB!$1:$1,0)),FALSE)),"")</f>
        <v/>
      </c>
      <c r="LQ18" s="28" t="str">
        <f>IFERROR(IF(LZ3="No",IF(VLOOKUP(DATE($K$1,$K$2,LQ$4),Table1[],(MATCH(Calendar!$A18,DB!$1:$1,0)),FALSE)&gt;=5,"Good","Bad"),VLOOKUP(DATE($K$1,$K$2,LQ$4),Table1[],(MATCH(Calendar!$A18,DB!$1:$1,0)),FALSE)),"")</f>
        <v/>
      </c>
      <c r="LR18" s="28" t="str">
        <f>IFERROR(IF(MA3="No",IF(VLOOKUP(DATE($K$1,$K$2,LR$4),Table1[],(MATCH(Calendar!$A18,DB!$1:$1,0)),FALSE)&gt;=5,"Good","Bad"),VLOOKUP(DATE($K$1,$K$2,LR$4),Table1[],(MATCH(Calendar!$A18,DB!$1:$1,0)),FALSE)),"")</f>
        <v/>
      </c>
      <c r="LS18" s="28" t="str">
        <f>IFERROR(IF(MB3="No",IF(VLOOKUP(DATE($K$1,$K$2,LS$4),Table1[],(MATCH(Calendar!$A18,DB!$1:$1,0)),FALSE)&gt;=5,"Good","Bad"),VLOOKUP(DATE($K$1,$K$2,LS$4),Table1[],(MATCH(Calendar!$A18,DB!$1:$1,0)),FALSE)),"")</f>
        <v/>
      </c>
      <c r="LT18" s="28" t="str">
        <f>IFERROR(IF(MC3="No",IF(VLOOKUP(DATE($K$1,$K$2,LT$4),Table1[],(MATCH(Calendar!$A18,DB!$1:$1,0)),FALSE)&gt;=5,"Good","Bad"),VLOOKUP(DATE($K$1,$K$2,LT$4),Table1[],(MATCH(Calendar!$A18,DB!$1:$1,0)),FALSE)),"")</f>
        <v/>
      </c>
      <c r="LU18" s="28" t="str">
        <f>IFERROR(IF(MD3="No",IF(VLOOKUP(DATE($K$1,$K$2,LU$4),Table1[],(MATCH(Calendar!$A18,DB!$1:$1,0)),FALSE)&gt;=5,"Good","Bad"),VLOOKUP(DATE($K$1,$K$2,LU$4),Table1[],(MATCH(Calendar!$A18,DB!$1:$1,0)),FALSE)),"")</f>
        <v/>
      </c>
      <c r="LV18" s="28" t="str">
        <f>IFERROR(IF(ME3="No",IF(VLOOKUP(DATE($K$1,$K$2,LV$4),Table1[],(MATCH(Calendar!$A18,DB!$1:$1,0)),FALSE)&gt;=5,"Good","Bad"),VLOOKUP(DATE($K$1,$K$2,LV$4),Table1[],(MATCH(Calendar!$A18,DB!$1:$1,0)),FALSE)),"")</f>
        <v/>
      </c>
      <c r="LW18" s="28" t="str">
        <f>IFERROR(IF(MF3="No",IF(VLOOKUP(DATE($K$1,$K$2,LW$4),Table1[],(MATCH(Calendar!$A18,DB!$1:$1,0)),FALSE)&gt;=5,"Good","Bad"),VLOOKUP(DATE($K$1,$K$2,LW$4),Table1[],(MATCH(Calendar!$A18,DB!$1:$1,0)),FALSE)),"")</f>
        <v/>
      </c>
      <c r="LX18" s="28" t="str">
        <f>IFERROR(IF(MG3="No",IF(VLOOKUP(DATE($K$1,$K$2,LX$4),Table1[],(MATCH(Calendar!$A18,DB!$1:$1,0)),FALSE)&gt;=5,"Good","Bad"),VLOOKUP(DATE($K$1,$K$2,LX$4),Table1[],(MATCH(Calendar!$A18,DB!$1:$1,0)),FALSE)),"")</f>
        <v/>
      </c>
      <c r="LY18" s="28" t="str">
        <f>IFERROR(IF(MH3="No",IF(VLOOKUP(DATE($K$1,$K$2,LY$4),Table1[],(MATCH(Calendar!$A18,DB!$1:$1,0)),FALSE)&gt;=5,"Good","Bad"),VLOOKUP(DATE($K$1,$K$2,LY$4),Table1[],(MATCH(Calendar!$A18,DB!$1:$1,0)),FALSE)),"")</f>
        <v/>
      </c>
      <c r="LZ18" s="28" t="str">
        <f>IFERROR(IF(MI3="No",IF(VLOOKUP(DATE($K$1,$K$2,LZ$4),Table1[],(MATCH(Calendar!$A18,DB!$1:$1,0)),FALSE)&gt;=5,"Good","Bad"),VLOOKUP(DATE($K$1,$K$2,LZ$4),Table1[],(MATCH(Calendar!$A18,DB!$1:$1,0)),FALSE)),"")</f>
        <v/>
      </c>
      <c r="MA18" s="28" t="str">
        <f>IFERROR(IF(MJ3="No",IF(VLOOKUP(DATE($K$1,$K$2,MA$4),Table1[],(MATCH(Calendar!$A18,DB!$1:$1,0)),FALSE)&gt;=5,"Good","Bad"),VLOOKUP(DATE($K$1,$K$2,MA$4),Table1[],(MATCH(Calendar!$A18,DB!$1:$1,0)),FALSE)),"")</f>
        <v/>
      </c>
      <c r="MB18" s="28" t="str">
        <f>IFERROR(IF(MK3="No",IF(VLOOKUP(DATE($K$1,$K$2,MB$4),Table1[],(MATCH(Calendar!$A18,DB!$1:$1,0)),FALSE)&gt;=5,"Good","Bad"),VLOOKUP(DATE($K$1,$K$2,MB$4),Table1[],(MATCH(Calendar!$A18,DB!$1:$1,0)),FALSE)),"")</f>
        <v/>
      </c>
      <c r="MC18" s="28" t="str">
        <f>IFERROR(IF(ML3="No",IF(VLOOKUP(DATE($K$1,$K$2,MC$4),Table1[],(MATCH(Calendar!$A18,DB!$1:$1,0)),FALSE)&gt;=5,"Good","Bad"),VLOOKUP(DATE($K$1,$K$2,MC$4),Table1[],(MATCH(Calendar!$A18,DB!$1:$1,0)),FALSE)),"")</f>
        <v/>
      </c>
      <c r="MD18" s="28" t="str">
        <f>IFERROR(IF(MM3="No",IF(VLOOKUP(DATE($K$1,$K$2,MD$4),Table1[],(MATCH(Calendar!$A18,DB!$1:$1,0)),FALSE)&gt;=5,"Good","Bad"),VLOOKUP(DATE($K$1,$K$2,MD$4),Table1[],(MATCH(Calendar!$A18,DB!$1:$1,0)),FALSE)),"")</f>
        <v/>
      </c>
      <c r="ME18" s="28" t="str">
        <f>IFERROR(IF(MN3="No",IF(VLOOKUP(DATE($K$1,$K$2,ME$4),Table1[],(MATCH(Calendar!$A18,DB!$1:$1,0)),FALSE)&gt;=5,"Good","Bad"),VLOOKUP(DATE($K$1,$K$2,ME$4),Table1[],(MATCH(Calendar!$A18,DB!$1:$1,0)),FALSE)),"")</f>
        <v/>
      </c>
      <c r="MF18" s="28" t="str">
        <f>IFERROR(IF(MO3="No",IF(VLOOKUP(DATE($K$1,$K$2,MF$4),Table1[],(MATCH(Calendar!$A18,DB!$1:$1,0)),FALSE)&gt;=5,"Good","Bad"),VLOOKUP(DATE($K$1,$K$2,MF$4),Table1[],(MATCH(Calendar!$A18,DB!$1:$1,0)),FALSE)),"")</f>
        <v/>
      </c>
      <c r="MG18" s="28" t="str">
        <f>IFERROR(IF(MP3="No",IF(VLOOKUP(DATE($K$1,$K$2,MG$4),Table1[],(MATCH(Calendar!$A18,DB!$1:$1,0)),FALSE)&gt;=5,"Good","Bad"),VLOOKUP(DATE($K$1,$K$2,MG$4),Table1[],(MATCH(Calendar!$A18,DB!$1:$1,0)),FALSE)),"")</f>
        <v/>
      </c>
      <c r="MH18" s="28" t="str">
        <f>IFERROR(IF(MQ3="No",IF(VLOOKUP(DATE($K$1,$K$2,MH$4),Table1[],(MATCH(Calendar!$A18,DB!$1:$1,0)),FALSE)&gt;=5,"Good","Bad"),VLOOKUP(DATE($K$1,$K$2,MH$4),Table1[],(MATCH(Calendar!$A18,DB!$1:$1,0)),FALSE)),"")</f>
        <v/>
      </c>
      <c r="MI18" s="28" t="str">
        <f>IFERROR(IF(MR3="No",IF(VLOOKUP(DATE($K$1,$K$2,MI$4),Table1[],(MATCH(Calendar!$A18,DB!$1:$1,0)),FALSE)&gt;=5,"Good","Bad"),VLOOKUP(DATE($K$1,$K$2,MI$4),Table1[],(MATCH(Calendar!$A18,DB!$1:$1,0)),FALSE)),"")</f>
        <v/>
      </c>
      <c r="MJ18" s="28" t="str">
        <f>IFERROR(IF(MS3="No",IF(VLOOKUP(DATE($K$1,$K$2,MJ$4),Table1[],(MATCH(Calendar!$A18,DB!$1:$1,0)),FALSE)&gt;=5,"Good","Bad"),VLOOKUP(DATE($K$1,$K$2,MJ$4),Table1[],(MATCH(Calendar!$A18,DB!$1:$1,0)),FALSE)),"")</f>
        <v/>
      </c>
      <c r="MK18" s="28" t="str">
        <f>IFERROR(IF(MT3="No",IF(VLOOKUP(DATE($K$1,$K$2,MK$4),Table1[],(MATCH(Calendar!$A18,DB!$1:$1,0)),FALSE)&gt;=5,"Good","Bad"),VLOOKUP(DATE($K$1,$K$2,MK$4),Table1[],(MATCH(Calendar!$A18,DB!$1:$1,0)),FALSE)),"")</f>
        <v/>
      </c>
      <c r="ML18" s="28" t="str">
        <f>IFERROR(IF(MU3="No",IF(VLOOKUP(DATE($K$1,$K$2,ML$4),Table1[],(MATCH(Calendar!$A18,DB!$1:$1,0)),FALSE)&gt;=5,"Good","Bad"),VLOOKUP(DATE($K$1,$K$2,ML$4),Table1[],(MATCH(Calendar!$A18,DB!$1:$1,0)),FALSE)),"")</f>
        <v/>
      </c>
      <c r="MM18" s="28" t="str">
        <f>IFERROR(IF(MV3="No",IF(VLOOKUP(DATE($K$1,$K$2,MM$4),Table1[],(MATCH(Calendar!$A18,DB!$1:$1,0)),FALSE)&gt;=5,"Good","Bad"),VLOOKUP(DATE($K$1,$K$2,MM$4),Table1[],(MATCH(Calendar!$A18,DB!$1:$1,0)),FALSE)),"")</f>
        <v/>
      </c>
      <c r="MN18" s="28" t="str">
        <f>IFERROR(IF(MW3="No",IF(VLOOKUP(DATE($K$1,$K$2,MN$4),Table1[],(MATCH(Calendar!$A18,DB!$1:$1,0)),FALSE)&gt;=5,"Good","Bad"),VLOOKUP(DATE($K$1,$K$2,MN$4),Table1[],(MATCH(Calendar!$A18,DB!$1:$1,0)),FALSE)),"")</f>
        <v/>
      </c>
      <c r="MO18" s="28" t="str">
        <f>IFERROR(IF(MX3="No",IF(VLOOKUP(DATE($K$1,$K$2,MO$4),Table1[],(MATCH(Calendar!$A18,DB!$1:$1,0)),FALSE)&gt;=5,"Good","Bad"),VLOOKUP(DATE($K$1,$K$2,MO$4),Table1[],(MATCH(Calendar!$A18,DB!$1:$1,0)),FALSE)),"")</f>
        <v/>
      </c>
      <c r="MP18" s="28" t="str">
        <f>IFERROR(IF(MY3="No",IF(VLOOKUP(DATE($K$1,$K$2,MP$4),Table1[],(MATCH(Calendar!$A18,DB!$1:$1,0)),FALSE)&gt;=5,"Good","Bad"),VLOOKUP(DATE($K$1,$K$2,MP$4),Table1[],(MATCH(Calendar!$A18,DB!$1:$1,0)),FALSE)),"")</f>
        <v/>
      </c>
      <c r="MQ18" s="28" t="str">
        <f>IFERROR(IF(MZ3="No",IF(VLOOKUP(DATE($K$1,$K$2,MQ$4),Table1[],(MATCH(Calendar!$A18,DB!$1:$1,0)),FALSE)&gt;=5,"Good","Bad"),VLOOKUP(DATE($K$1,$K$2,MQ$4),Table1[],(MATCH(Calendar!$A18,DB!$1:$1,0)),FALSE)),"")</f>
        <v/>
      </c>
      <c r="MR18" s="28" t="str">
        <f>IFERROR(IF(NA3="No",IF(VLOOKUP(DATE($K$1,$K$2,MR$4),Table1[],(MATCH(Calendar!$A18,DB!$1:$1,0)),FALSE)&gt;=5,"Good","Bad"),VLOOKUP(DATE($K$1,$K$2,MR$4),Table1[],(MATCH(Calendar!$A18,DB!$1:$1,0)),FALSE)),"")</f>
        <v/>
      </c>
      <c r="MS18" s="28" t="str">
        <f>IFERROR(IF(NB3="No",IF(VLOOKUP(DATE($K$1,$K$2,MS$4),Table1[],(MATCH(Calendar!$A18,DB!$1:$1,0)),FALSE)&gt;=5,"Good","Bad"),VLOOKUP(DATE($K$1,$K$2,MS$4),Table1[],(MATCH(Calendar!$A18,DB!$1:$1,0)),FALSE)),"")</f>
        <v/>
      </c>
      <c r="MT18" s="28" t="str">
        <f>IFERROR(IF(NC3="No",IF(VLOOKUP(DATE($K$1,$K$2,MT$4),Table1[],(MATCH(Calendar!$A18,DB!$1:$1,0)),FALSE)&gt;=5,"Good","Bad"),VLOOKUP(DATE($K$1,$K$2,MT$4),Table1[],(MATCH(Calendar!$A18,DB!$1:$1,0)),FALSE)),"")</f>
        <v/>
      </c>
      <c r="MU18" s="28" t="str">
        <f>IFERROR(IF(ND3="No",IF(VLOOKUP(DATE($K$1,$K$2,MU$4),Table1[],(MATCH(Calendar!$A18,DB!$1:$1,0)),FALSE)&gt;=5,"Good","Bad"),VLOOKUP(DATE($K$1,$K$2,MU$4),Table1[],(MATCH(Calendar!$A18,DB!$1:$1,0)),FALSE)),"")</f>
        <v/>
      </c>
      <c r="MV18" s="28" t="str">
        <f>IFERROR(IF(NE3="No",IF(VLOOKUP(DATE($K$1,$K$2,MV$4),Table1[],(MATCH(Calendar!$A18,DB!$1:$1,0)),FALSE)&gt;=5,"Good","Bad"),VLOOKUP(DATE($K$1,$K$2,MV$4),Table1[],(MATCH(Calendar!$A18,DB!$1:$1,0)),FALSE)),"")</f>
        <v/>
      </c>
      <c r="MW18" s="28" t="str">
        <f>IFERROR(IF(NF3="No",IF(VLOOKUP(DATE($K$1,$K$2,MW$4),Table1[],(MATCH(Calendar!$A18,DB!$1:$1,0)),FALSE)&gt;=5,"Good","Bad"),VLOOKUP(DATE($K$1,$K$2,MW$4),Table1[],(MATCH(Calendar!$A18,DB!$1:$1,0)),FALSE)),"")</f>
        <v/>
      </c>
      <c r="MX18" s="28" t="str">
        <f>IFERROR(IF(NG3="No",IF(VLOOKUP(DATE($K$1,$K$2,MX$4),Table1[],(MATCH(Calendar!$A18,DB!$1:$1,0)),FALSE)&gt;=5,"Good","Bad"),VLOOKUP(DATE($K$1,$K$2,MX$4),Table1[],(MATCH(Calendar!$A18,DB!$1:$1,0)),FALSE)),"")</f>
        <v/>
      </c>
      <c r="MY18" s="28" t="str">
        <f>IFERROR(IF(NH3="No",IF(VLOOKUP(DATE($K$1,$K$2,MY$4),Table1[],(MATCH(Calendar!$A18,DB!$1:$1,0)),FALSE)&gt;=5,"Good","Bad"),VLOOKUP(DATE($K$1,$K$2,MY$4),Table1[],(MATCH(Calendar!$A18,DB!$1:$1,0)),FALSE)),"")</f>
        <v/>
      </c>
      <c r="MZ18" s="28" t="str">
        <f>IFERROR(IF(NI3="No",IF(VLOOKUP(DATE($K$1,$K$2,MZ$4),Table1[],(MATCH(Calendar!$A18,DB!$1:$1,0)),FALSE)&gt;=5,"Good","Bad"),VLOOKUP(DATE($K$1,$K$2,MZ$4),Table1[],(MATCH(Calendar!$A18,DB!$1:$1,0)),FALSE)),"")</f>
        <v/>
      </c>
      <c r="NA18" s="28" t="str">
        <f>IFERROR(IF(NJ3="No",IF(VLOOKUP(DATE($K$1,$K$2,NA$4),Table1[],(MATCH(Calendar!$A18,DB!$1:$1,0)),FALSE)&gt;=5,"Good","Bad"),VLOOKUP(DATE($K$1,$K$2,NA$4),Table1[],(MATCH(Calendar!$A18,DB!$1:$1,0)),FALSE)),"")</f>
        <v/>
      </c>
      <c r="NB18" s="28" t="str">
        <f>IFERROR(IF(NK3="No",IF(VLOOKUP(DATE($K$1,$K$2,NB$4),Table1[],(MATCH(Calendar!$A18,DB!$1:$1,0)),FALSE)&gt;=5,"Good","Bad"),VLOOKUP(DATE($K$1,$K$2,NB$4),Table1[],(MATCH(Calendar!$A18,DB!$1:$1,0)),FALSE)),"")</f>
        <v/>
      </c>
      <c r="NC18" s="28" t="str">
        <f>IFERROR(IF(NL3="No",IF(VLOOKUP(DATE($K$1,$K$2,NC$4),Table1[],(MATCH(Calendar!$A18,DB!$1:$1,0)),FALSE)&gt;=5,"Good","Bad"),VLOOKUP(DATE($K$1,$K$2,NC$4),Table1[],(MATCH(Calendar!$A18,DB!$1:$1,0)),FALSE)),"")</f>
        <v/>
      </c>
      <c r="ND18" s="28" t="str">
        <f>IFERROR(IF(NM3="No",IF(VLOOKUP(DATE($K$1,$K$2,ND$4),Table1[],(MATCH(Calendar!$A18,DB!$1:$1,0)),FALSE)&gt;=5,"Good","Bad"),VLOOKUP(DATE($K$1,$K$2,ND$4),Table1[],(MATCH(Calendar!$A18,DB!$1:$1,0)),FALSE)),"")</f>
        <v/>
      </c>
      <c r="NE18" s="28" t="str">
        <f>IFERROR(IF(NN3="No",IF(VLOOKUP(DATE($K$1,$K$2,NE$4),Table1[],(MATCH(Calendar!$A18,DB!$1:$1,0)),FALSE)&gt;=5,"Good","Bad"),VLOOKUP(DATE($K$1,$K$2,NE$4),Table1[],(MATCH(Calendar!$A18,DB!$1:$1,0)),FALSE)),"")</f>
        <v/>
      </c>
      <c r="NF18" s="28" t="str">
        <f>IFERROR(IF(NO3="No",IF(VLOOKUP(DATE($K$1,$K$2,NF$4),Table1[],(MATCH(Calendar!$A18,DB!$1:$1,0)),FALSE)&gt;=5,"Good","Bad"),VLOOKUP(DATE($K$1,$K$2,NF$4),Table1[],(MATCH(Calendar!$A18,DB!$1:$1,0)),FALSE)),"")</f>
        <v/>
      </c>
      <c r="NG18" s="28" t="str">
        <f>IFERROR(IF(NP3="No",IF(VLOOKUP(DATE($K$1,$K$2,NG$4),Table1[],(MATCH(Calendar!$A18,DB!$1:$1,0)),FALSE)&gt;=5,"Good","Bad"),VLOOKUP(DATE($K$1,$K$2,NG$4),Table1[],(MATCH(Calendar!$A18,DB!$1:$1,0)),FALSE)),"")</f>
        <v/>
      </c>
      <c r="NH18" s="28" t="str">
        <f>IFERROR(IF(NQ3="No",IF(VLOOKUP(DATE($K$1,$K$2,NH$4),Table1[],(MATCH(Calendar!$A18,DB!$1:$1,0)),FALSE)&gt;=5,"Good","Bad"),VLOOKUP(DATE($K$1,$K$2,NH$4),Table1[],(MATCH(Calendar!$A18,DB!$1:$1,0)),FALSE)),"")</f>
        <v/>
      </c>
      <c r="NI18" s="28" t="str">
        <f>IFERROR(IF(NR3="No",IF(VLOOKUP(DATE($K$1,$K$2,NI$4),Table1[],(MATCH(Calendar!$A18,DB!$1:$1,0)),FALSE)&gt;=5,"Good","Bad"),VLOOKUP(DATE($K$1,$K$2,NI$4),Table1[],(MATCH(Calendar!$A18,DB!$1:$1,0)),FALSE)),"")</f>
        <v/>
      </c>
      <c r="NJ18" s="28" t="str">
        <f>IFERROR(IF(NS3="No",IF(VLOOKUP(DATE($K$1,$K$2,NJ$4),Table1[],(MATCH(Calendar!$A18,DB!$1:$1,0)),FALSE)&gt;=5,"Good","Bad"),VLOOKUP(DATE($K$1,$K$2,NJ$4),Table1[],(MATCH(Calendar!$A18,DB!$1:$1,0)),FALSE)),"")</f>
        <v/>
      </c>
      <c r="NK18" s="28" t="str">
        <f>IFERROR(IF(NT3="No",IF(VLOOKUP(DATE($K$1,$K$2,NK$4),Table1[],(MATCH(Calendar!$A18,DB!$1:$1,0)),FALSE)&gt;=5,"Good","Bad"),VLOOKUP(DATE($K$1,$K$2,NK$4),Table1[],(MATCH(Calendar!$A18,DB!$1:$1,0)),FALSE)),"")</f>
        <v/>
      </c>
      <c r="NL18" s="28" t="str">
        <f>IFERROR(IF(NU3="No",IF(VLOOKUP(DATE($K$1,$K$2,NL$4),Table1[],(MATCH(Calendar!$A18,DB!$1:$1,0)),FALSE)&gt;=5,"Good","Bad"),VLOOKUP(DATE($K$1,$K$2,NL$4),Table1[],(MATCH(Calendar!$A18,DB!$1:$1,0)),FALSE)),"")</f>
        <v/>
      </c>
      <c r="NM18" s="28" t="str">
        <f>IFERROR(IF(NV3="No",IF(VLOOKUP(DATE($K$1,$K$2,NM$4),Table1[],(MATCH(Calendar!$A18,DB!$1:$1,0)),FALSE)&gt;=5,"Good","Bad"),VLOOKUP(DATE($K$1,$K$2,NM$4),Table1[],(MATCH(Calendar!$A18,DB!$1:$1,0)),FALSE)),"")</f>
        <v/>
      </c>
      <c r="NN18" s="28" t="str">
        <f>IFERROR(IF(NW3="No",IF(VLOOKUP(DATE($K$1,$K$2,NN$4),Table1[],(MATCH(Calendar!$A18,DB!$1:$1,0)),FALSE)&gt;=5,"Good","Bad"),VLOOKUP(DATE($K$1,$K$2,NN$4),Table1[],(MATCH(Calendar!$A18,DB!$1:$1,0)),FALSE)),"")</f>
        <v/>
      </c>
      <c r="NO18" s="28" t="str">
        <f>IFERROR(IF(NX3="No",IF(VLOOKUP(DATE($K$1,$K$2,NO$4),Table1[],(MATCH(Calendar!$A18,DB!$1:$1,0)),FALSE)&gt;=5,"Good","Bad"),VLOOKUP(DATE($K$1,$K$2,NO$4),Table1[],(MATCH(Calendar!$A18,DB!$1:$1,0)),FALSE)),"")</f>
        <v/>
      </c>
      <c r="NP18" s="28" t="str">
        <f>IFERROR(IF(NY3="No",IF(VLOOKUP(DATE($K$1,$K$2,NP$4),Table1[],(MATCH(Calendar!$A18,DB!$1:$1,0)),FALSE)&gt;=5,"Good","Bad"),VLOOKUP(DATE($K$1,$K$2,NP$4),Table1[],(MATCH(Calendar!$A18,DB!$1:$1,0)),FALSE)),"")</f>
        <v/>
      </c>
      <c r="NQ18" s="28" t="str">
        <f>IFERROR(IF(NZ3="No",IF(VLOOKUP(DATE($K$1,$K$2,NQ$4),Table1[],(MATCH(Calendar!$A18,DB!$1:$1,0)),FALSE)&gt;=5,"Good","Bad"),VLOOKUP(DATE($K$1,$K$2,NQ$4),Table1[],(MATCH(Calendar!$A18,DB!$1:$1,0)),FALSE)),"")</f>
        <v/>
      </c>
      <c r="NR18" s="28" t="str">
        <f>IFERROR(IF(OA3="No",IF(VLOOKUP(DATE($K$1,$K$2,NR$4),Table1[],(MATCH(Calendar!$A18,DB!$1:$1,0)),FALSE)&gt;=5,"Good","Bad"),VLOOKUP(DATE($K$1,$K$2,NR$4),Table1[],(MATCH(Calendar!$A18,DB!$1:$1,0)),FALSE)),"")</f>
        <v/>
      </c>
      <c r="NS18" s="28" t="str">
        <f>IFERROR(IF(OB3="No",IF(VLOOKUP(DATE($K$1,$K$2,NS$4),Table1[],(MATCH(Calendar!$A18,DB!$1:$1,0)),FALSE)&gt;=5,"Good","Bad"),VLOOKUP(DATE($K$1,$K$2,NS$4),Table1[],(MATCH(Calendar!$A18,DB!$1:$1,0)),FALSE)),"")</f>
        <v/>
      </c>
      <c r="NT18" s="28" t="str">
        <f>IFERROR(IF(OC3="No",IF(VLOOKUP(DATE($K$1,$K$2,NT$4),Table1[],(MATCH(Calendar!$A18,DB!$1:$1,0)),FALSE)&gt;=5,"Good","Bad"),VLOOKUP(DATE($K$1,$K$2,NT$4),Table1[],(MATCH(Calendar!$A18,DB!$1:$1,0)),FALSE)),"")</f>
        <v/>
      </c>
      <c r="NU18" s="28" t="str">
        <f>IFERROR(IF(OD3="No",IF(VLOOKUP(DATE($K$1,$K$2,NU$4),Table1[],(MATCH(Calendar!$A18,DB!$1:$1,0)),FALSE)&gt;=5,"Good","Bad"),VLOOKUP(DATE($K$1,$K$2,NU$4),Table1[],(MATCH(Calendar!$A18,DB!$1:$1,0)),FALSE)),"")</f>
        <v/>
      </c>
      <c r="NV18" s="28" t="str">
        <f>IFERROR(IF(OE3="No",IF(VLOOKUP(DATE($K$1,$K$2,NV$4),Table1[],(MATCH(Calendar!$A18,DB!$1:$1,0)),FALSE)&gt;=5,"Good","Bad"),VLOOKUP(DATE($K$1,$K$2,NV$4),Table1[],(MATCH(Calendar!$A18,DB!$1:$1,0)),FALSE)),"")</f>
        <v/>
      </c>
      <c r="NW18" s="28" t="str">
        <f>IFERROR(IF(OF3="No",IF(VLOOKUP(DATE($K$1,$K$2,NW$4),Table1[],(MATCH(Calendar!$A18,DB!$1:$1,0)),FALSE)&gt;=5,"Good","Bad"),VLOOKUP(DATE($K$1,$K$2,NW$4),Table1[],(MATCH(Calendar!$A18,DB!$1:$1,0)),FALSE)),"")</f>
        <v/>
      </c>
      <c r="NX18" s="28" t="str">
        <f>IFERROR(IF(OG3="No",IF(VLOOKUP(DATE($K$1,$K$2,NX$4),Table1[],(MATCH(Calendar!$A18,DB!$1:$1,0)),FALSE)&gt;=5,"Good","Bad"),VLOOKUP(DATE($K$1,$K$2,NX$4),Table1[],(MATCH(Calendar!$A18,DB!$1:$1,0)),FALSE)),"")</f>
        <v/>
      </c>
      <c r="NY18" s="28" t="str">
        <f>IFERROR(IF(OH3="No",IF(VLOOKUP(DATE($K$1,$K$2,NY$4),Table1[],(MATCH(Calendar!$A18,DB!$1:$1,0)),FALSE)&gt;=5,"Good","Bad"),VLOOKUP(DATE($K$1,$K$2,NY$4),Table1[],(MATCH(Calendar!$A18,DB!$1:$1,0)),FALSE)),"")</f>
        <v/>
      </c>
      <c r="NZ18" s="28" t="str">
        <f>IFERROR(IF(OI3="No",IF(VLOOKUP(DATE($K$1,$K$2,NZ$4),Table1[],(MATCH(Calendar!$A18,DB!$1:$1,0)),FALSE)&gt;=5,"Good","Bad"),VLOOKUP(DATE($K$1,$K$2,NZ$4),Table1[],(MATCH(Calendar!$A18,DB!$1:$1,0)),FALSE)),"")</f>
        <v/>
      </c>
      <c r="OA18" s="28" t="str">
        <f>IFERROR(IF(OJ3="No",IF(VLOOKUP(DATE($K$1,$K$2,OA$4),Table1[],(MATCH(Calendar!$A18,DB!$1:$1,0)),FALSE)&gt;=5,"Good","Bad"),VLOOKUP(DATE($K$1,$K$2,OA$4),Table1[],(MATCH(Calendar!$A18,DB!$1:$1,0)),FALSE)),"")</f>
        <v/>
      </c>
      <c r="OB18" s="28" t="str">
        <f>IFERROR(IF(OK3="No",IF(VLOOKUP(DATE($K$1,$K$2,OB$4),Table1[],(MATCH(Calendar!$A18,DB!$1:$1,0)),FALSE)&gt;=5,"Good","Bad"),VLOOKUP(DATE($K$1,$K$2,OB$4),Table1[],(MATCH(Calendar!$A18,DB!$1:$1,0)),FALSE)),"")</f>
        <v/>
      </c>
      <c r="OC18" s="28" t="str">
        <f>IFERROR(IF(OL3="No",IF(VLOOKUP(DATE($K$1,$K$2,OC$4),Table1[],(MATCH(Calendar!$A18,DB!$1:$1,0)),FALSE)&gt;=5,"Good","Bad"),VLOOKUP(DATE($K$1,$K$2,OC$4),Table1[],(MATCH(Calendar!$A18,DB!$1:$1,0)),FALSE)),"")</f>
        <v/>
      </c>
      <c r="OD18" s="28" t="str">
        <f>IFERROR(IF(OM3="No",IF(VLOOKUP(DATE($K$1,$K$2,OD$4),Table1[],(MATCH(Calendar!$A18,DB!$1:$1,0)),FALSE)&gt;=5,"Good","Bad"),VLOOKUP(DATE($K$1,$K$2,OD$4),Table1[],(MATCH(Calendar!$A18,DB!$1:$1,0)),FALSE)),"")</f>
        <v/>
      </c>
      <c r="OE18" s="28" t="str">
        <f>IFERROR(IF(ON3="No",IF(VLOOKUP(DATE($K$1,$K$2,OE$4),Table1[],(MATCH(Calendar!$A18,DB!$1:$1,0)),FALSE)&gt;=5,"Good","Bad"),VLOOKUP(DATE($K$1,$K$2,OE$4),Table1[],(MATCH(Calendar!$A18,DB!$1:$1,0)),FALSE)),"")</f>
        <v/>
      </c>
      <c r="OF18" s="28" t="str">
        <f>IFERROR(IF(OO3="No",IF(VLOOKUP(DATE($K$1,$K$2,OF$4),Table1[],(MATCH(Calendar!$A18,DB!$1:$1,0)),FALSE)&gt;=5,"Good","Bad"),VLOOKUP(DATE($K$1,$K$2,OF$4),Table1[],(MATCH(Calendar!$A18,DB!$1:$1,0)),FALSE)),"")</f>
        <v/>
      </c>
      <c r="OG18" s="28" t="str">
        <f>IFERROR(IF(OP3="No",IF(VLOOKUP(DATE($K$1,$K$2,OG$4),Table1[],(MATCH(Calendar!$A18,DB!$1:$1,0)),FALSE)&gt;=5,"Good","Bad"),VLOOKUP(DATE($K$1,$K$2,OG$4),Table1[],(MATCH(Calendar!$A18,DB!$1:$1,0)),FALSE)),"")</f>
        <v/>
      </c>
      <c r="OH18" s="28" t="str">
        <f>IFERROR(IF(OQ3="No",IF(VLOOKUP(DATE($K$1,$K$2,OH$4),Table1[],(MATCH(Calendar!$A18,DB!$1:$1,0)),FALSE)&gt;=5,"Good","Bad"),VLOOKUP(DATE($K$1,$K$2,OH$4),Table1[],(MATCH(Calendar!$A18,DB!$1:$1,0)),FALSE)),"")</f>
        <v/>
      </c>
      <c r="OI18" s="28" t="str">
        <f>IFERROR(IF(OR3="No",IF(VLOOKUP(DATE($K$1,$K$2,OI$4),Table1[],(MATCH(Calendar!$A18,DB!$1:$1,0)),FALSE)&gt;=5,"Good","Bad"),VLOOKUP(DATE($K$1,$K$2,OI$4),Table1[],(MATCH(Calendar!$A18,DB!$1:$1,0)),FALSE)),"")</f>
        <v/>
      </c>
      <c r="OJ18" s="28" t="str">
        <f>IFERROR(IF(OS3="No",IF(VLOOKUP(DATE($K$1,$K$2,OJ$4),Table1[],(MATCH(Calendar!$A18,DB!$1:$1,0)),FALSE)&gt;=5,"Good","Bad"),VLOOKUP(DATE($K$1,$K$2,OJ$4),Table1[],(MATCH(Calendar!$A18,DB!$1:$1,0)),FALSE)),"")</f>
        <v/>
      </c>
      <c r="OK18" s="28" t="str">
        <f>IFERROR(IF(OT3="No",IF(VLOOKUP(DATE($K$1,$K$2,OK$4),Table1[],(MATCH(Calendar!$A18,DB!$1:$1,0)),FALSE)&gt;=5,"Good","Bad"),VLOOKUP(DATE($K$1,$K$2,OK$4),Table1[],(MATCH(Calendar!$A18,DB!$1:$1,0)),FALSE)),"")</f>
        <v/>
      </c>
      <c r="OL18" s="28" t="str">
        <f>IFERROR(IF(OU3="No",IF(VLOOKUP(DATE($K$1,$K$2,OL$4),Table1[],(MATCH(Calendar!$A18,DB!$1:$1,0)),FALSE)&gt;=5,"Good","Bad"),VLOOKUP(DATE($K$1,$K$2,OL$4),Table1[],(MATCH(Calendar!$A18,DB!$1:$1,0)),FALSE)),"")</f>
        <v/>
      </c>
      <c r="OM18" s="28" t="str">
        <f>IFERROR(IF(OV3="No",IF(VLOOKUP(DATE($K$1,$K$2,OM$4),Table1[],(MATCH(Calendar!$A18,DB!$1:$1,0)),FALSE)&gt;=5,"Good","Bad"),VLOOKUP(DATE($K$1,$K$2,OM$4),Table1[],(MATCH(Calendar!$A18,DB!$1:$1,0)),FALSE)),"")</f>
        <v/>
      </c>
      <c r="ON18" s="28" t="str">
        <f>IFERROR(IF(OW3="No",IF(VLOOKUP(DATE($K$1,$K$2,ON$4),Table1[],(MATCH(Calendar!$A18,DB!$1:$1,0)),FALSE)&gt;=5,"Good","Bad"),VLOOKUP(DATE($K$1,$K$2,ON$4),Table1[],(MATCH(Calendar!$A18,DB!$1:$1,0)),FALSE)),"")</f>
        <v/>
      </c>
      <c r="OO18" s="28" t="str">
        <f>IFERROR(IF(OX3="No",IF(VLOOKUP(DATE($K$1,$K$2,OO$4),Table1[],(MATCH(Calendar!$A18,DB!$1:$1,0)),FALSE)&gt;=5,"Good","Bad"),VLOOKUP(DATE($K$1,$K$2,OO$4),Table1[],(MATCH(Calendar!$A18,DB!$1:$1,0)),FALSE)),"")</f>
        <v/>
      </c>
      <c r="OP18" s="28" t="str">
        <f>IFERROR(IF(OY3="No",IF(VLOOKUP(DATE($K$1,$K$2,OP$4),Table1[],(MATCH(Calendar!$A18,DB!$1:$1,0)),FALSE)&gt;=5,"Good","Bad"),VLOOKUP(DATE($K$1,$K$2,OP$4),Table1[],(MATCH(Calendar!$A18,DB!$1:$1,0)),FALSE)),"")</f>
        <v/>
      </c>
      <c r="OQ18" s="28" t="str">
        <f>IFERROR(IF(OZ3="No",IF(VLOOKUP(DATE($K$1,$K$2,OQ$4),Table1[],(MATCH(Calendar!$A18,DB!$1:$1,0)),FALSE)&gt;=5,"Good","Bad"),VLOOKUP(DATE($K$1,$K$2,OQ$4),Table1[],(MATCH(Calendar!$A18,DB!$1:$1,0)),FALSE)),"")</f>
        <v/>
      </c>
      <c r="OR18" s="28" t="str">
        <f>IFERROR(IF(PA3="No",IF(VLOOKUP(DATE($K$1,$K$2,OR$4),Table1[],(MATCH(Calendar!$A18,DB!$1:$1,0)),FALSE)&gt;=5,"Good","Bad"),VLOOKUP(DATE($K$1,$K$2,OR$4),Table1[],(MATCH(Calendar!$A18,DB!$1:$1,0)),FALSE)),"")</f>
        <v/>
      </c>
      <c r="OS18" s="28" t="str">
        <f>IFERROR(IF(PB3="No",IF(VLOOKUP(DATE($K$1,$K$2,OS$4),Table1[],(MATCH(Calendar!$A18,DB!$1:$1,0)),FALSE)&gt;=5,"Good","Bad"),VLOOKUP(DATE($K$1,$K$2,OS$4),Table1[],(MATCH(Calendar!$A18,DB!$1:$1,0)),FALSE)),"")</f>
        <v/>
      </c>
      <c r="OT18" s="28" t="str">
        <f>IFERROR(IF(PC3="No",IF(VLOOKUP(DATE($K$1,$K$2,OT$4),Table1[],(MATCH(Calendar!$A18,DB!$1:$1,0)),FALSE)&gt;=5,"Good","Bad"),VLOOKUP(DATE($K$1,$K$2,OT$4),Table1[],(MATCH(Calendar!$A18,DB!$1:$1,0)),FALSE)),"")</f>
        <v/>
      </c>
      <c r="OU18" s="28" t="str">
        <f>IFERROR(IF(PD3="No",IF(VLOOKUP(DATE($K$1,$K$2,OU$4),Table1[],(MATCH(Calendar!$A18,DB!$1:$1,0)),FALSE)&gt;=5,"Good","Bad"),VLOOKUP(DATE($K$1,$K$2,OU$4),Table1[],(MATCH(Calendar!$A18,DB!$1:$1,0)),FALSE)),"")</f>
        <v/>
      </c>
      <c r="OV18" s="28" t="str">
        <f>IFERROR(IF(PE3="No",IF(VLOOKUP(DATE($K$1,$K$2,OV$4),Table1[],(MATCH(Calendar!$A18,DB!$1:$1,0)),FALSE)&gt;=5,"Good","Bad"),VLOOKUP(DATE($K$1,$K$2,OV$4),Table1[],(MATCH(Calendar!$A18,DB!$1:$1,0)),FALSE)),"")</f>
        <v/>
      </c>
      <c r="OW18" s="28" t="str">
        <f>IFERROR(IF(PF3="No",IF(VLOOKUP(DATE($K$1,$K$2,OW$4),Table1[],(MATCH(Calendar!$A18,DB!$1:$1,0)),FALSE)&gt;=5,"Good","Bad"),VLOOKUP(DATE($K$1,$K$2,OW$4),Table1[],(MATCH(Calendar!$A18,DB!$1:$1,0)),FALSE)),"")</f>
        <v/>
      </c>
      <c r="OX18" s="28" t="str">
        <f>IFERROR(IF(PG3="No",IF(VLOOKUP(DATE($K$1,$K$2,OX$4),Table1[],(MATCH(Calendar!$A18,DB!$1:$1,0)),FALSE)&gt;=5,"Good","Bad"),VLOOKUP(DATE($K$1,$K$2,OX$4),Table1[],(MATCH(Calendar!$A18,DB!$1:$1,0)),FALSE)),"")</f>
        <v/>
      </c>
      <c r="OY18" s="28" t="str">
        <f>IFERROR(IF(PH3="No",IF(VLOOKUP(DATE($K$1,$K$2,OY$4),Table1[],(MATCH(Calendar!$A18,DB!$1:$1,0)),FALSE)&gt;=5,"Good","Bad"),VLOOKUP(DATE($K$1,$K$2,OY$4),Table1[],(MATCH(Calendar!$A18,DB!$1:$1,0)),FALSE)),"")</f>
        <v/>
      </c>
      <c r="OZ18" s="28" t="str">
        <f>IFERROR(IF(PI3="No",IF(VLOOKUP(DATE($K$1,$K$2,OZ$4),Table1[],(MATCH(Calendar!$A18,DB!$1:$1,0)),FALSE)&gt;=5,"Good","Bad"),VLOOKUP(DATE($K$1,$K$2,OZ$4),Table1[],(MATCH(Calendar!$A18,DB!$1:$1,0)),FALSE)),"")</f>
        <v/>
      </c>
      <c r="PA18" s="28" t="str">
        <f>IFERROR(IF(PJ3="No",IF(VLOOKUP(DATE($K$1,$K$2,PA$4),Table1[],(MATCH(Calendar!$A18,DB!$1:$1,0)),FALSE)&gt;=5,"Good","Bad"),VLOOKUP(DATE($K$1,$K$2,PA$4),Table1[],(MATCH(Calendar!$A18,DB!$1:$1,0)),FALSE)),"")</f>
        <v/>
      </c>
      <c r="PB18" s="28" t="str">
        <f>IFERROR(IF(PK3="No",IF(VLOOKUP(DATE($K$1,$K$2,PB$4),Table1[],(MATCH(Calendar!$A18,DB!$1:$1,0)),FALSE)&gt;=5,"Good","Bad"),VLOOKUP(DATE($K$1,$K$2,PB$4),Table1[],(MATCH(Calendar!$A18,DB!$1:$1,0)),FALSE)),"")</f>
        <v/>
      </c>
      <c r="PC18" s="28" t="str">
        <f>IFERROR(IF(PL3="No",IF(VLOOKUP(DATE($K$1,$K$2,PC$4),Table1[],(MATCH(Calendar!$A18,DB!$1:$1,0)),FALSE)&gt;=5,"Good","Bad"),VLOOKUP(DATE($K$1,$K$2,PC$4),Table1[],(MATCH(Calendar!$A18,DB!$1:$1,0)),FALSE)),"")</f>
        <v/>
      </c>
      <c r="PD18" s="28" t="str">
        <f>IFERROR(IF(PM3="No",IF(VLOOKUP(DATE($K$1,$K$2,PD$4),Table1[],(MATCH(Calendar!$A18,DB!$1:$1,0)),FALSE)&gt;=5,"Good","Bad"),VLOOKUP(DATE($K$1,$K$2,PD$4),Table1[],(MATCH(Calendar!$A18,DB!$1:$1,0)),FALSE)),"")</f>
        <v/>
      </c>
      <c r="PE18" s="28" t="str">
        <f>IFERROR(IF(PN3="No",IF(VLOOKUP(DATE($K$1,$K$2,PE$4),Table1[],(MATCH(Calendar!$A18,DB!$1:$1,0)),FALSE)&gt;=5,"Good","Bad"),VLOOKUP(DATE($K$1,$K$2,PE$4),Table1[],(MATCH(Calendar!$A18,DB!$1:$1,0)),FALSE)),"")</f>
        <v/>
      </c>
      <c r="PF18" s="28" t="str">
        <f>IFERROR(IF(PO3="No",IF(VLOOKUP(DATE($K$1,$K$2,PF$4),Table1[],(MATCH(Calendar!$A18,DB!$1:$1,0)),FALSE)&gt;=5,"Good","Bad"),VLOOKUP(DATE($K$1,$K$2,PF$4),Table1[],(MATCH(Calendar!$A18,DB!$1:$1,0)),FALSE)),"")</f>
        <v/>
      </c>
      <c r="PG18" s="28" t="str">
        <f>IFERROR(IF(PP3="No",IF(VLOOKUP(DATE($K$1,$K$2,PG$4),Table1[],(MATCH(Calendar!$A18,DB!$1:$1,0)),FALSE)&gt;=5,"Good","Bad"),VLOOKUP(DATE($K$1,$K$2,PG$4),Table1[],(MATCH(Calendar!$A18,DB!$1:$1,0)),FALSE)),"")</f>
        <v/>
      </c>
      <c r="PH18" s="28" t="str">
        <f>IFERROR(IF(PQ3="No",IF(VLOOKUP(DATE($K$1,$K$2,PH$4),Table1[],(MATCH(Calendar!$A18,DB!$1:$1,0)),FALSE)&gt;=5,"Good","Bad"),VLOOKUP(DATE($K$1,$K$2,PH$4),Table1[],(MATCH(Calendar!$A18,DB!$1:$1,0)),FALSE)),"")</f>
        <v/>
      </c>
      <c r="PI18" s="28" t="str">
        <f>IFERROR(IF(PR3="No",IF(VLOOKUP(DATE($K$1,$K$2,PI$4),Table1[],(MATCH(Calendar!$A18,DB!$1:$1,0)),FALSE)&gt;=5,"Good","Bad"),VLOOKUP(DATE($K$1,$K$2,PI$4),Table1[],(MATCH(Calendar!$A18,DB!$1:$1,0)),FALSE)),"")</f>
        <v/>
      </c>
      <c r="PJ18" s="28" t="str">
        <f>IFERROR(IF(PS3="No",IF(VLOOKUP(DATE($K$1,$K$2,PJ$4),Table1[],(MATCH(Calendar!$A18,DB!$1:$1,0)),FALSE)&gt;=5,"Good","Bad"),VLOOKUP(DATE($K$1,$K$2,PJ$4),Table1[],(MATCH(Calendar!$A18,DB!$1:$1,0)),FALSE)),"")</f>
        <v/>
      </c>
      <c r="PK18" s="28" t="str">
        <f>IFERROR(IF(PT3="No",IF(VLOOKUP(DATE($K$1,$K$2,PK$4),Table1[],(MATCH(Calendar!$A18,DB!$1:$1,0)),FALSE)&gt;=5,"Good","Bad"),VLOOKUP(DATE($K$1,$K$2,PK$4),Table1[],(MATCH(Calendar!$A18,DB!$1:$1,0)),FALSE)),"")</f>
        <v/>
      </c>
      <c r="PL18" s="28" t="str">
        <f>IFERROR(IF(PU3="No",IF(VLOOKUP(DATE($K$1,$K$2,PL$4),Table1[],(MATCH(Calendar!$A18,DB!$1:$1,0)),FALSE)&gt;=5,"Good","Bad"),VLOOKUP(DATE($K$1,$K$2,PL$4),Table1[],(MATCH(Calendar!$A18,DB!$1:$1,0)),FALSE)),"")</f>
        <v/>
      </c>
      <c r="PM18" s="28" t="str">
        <f>IFERROR(IF(PV3="No",IF(VLOOKUP(DATE($K$1,$K$2,PM$4),Table1[],(MATCH(Calendar!$A18,DB!$1:$1,0)),FALSE)&gt;=5,"Good","Bad"),VLOOKUP(DATE($K$1,$K$2,PM$4),Table1[],(MATCH(Calendar!$A18,DB!$1:$1,0)),FALSE)),"")</f>
        <v/>
      </c>
      <c r="PN18" s="28" t="str">
        <f>IFERROR(IF(PW3="No",IF(VLOOKUP(DATE($K$1,$K$2,PN$4),Table1[],(MATCH(Calendar!$A18,DB!$1:$1,0)),FALSE)&gt;=5,"Good","Bad"),VLOOKUP(DATE($K$1,$K$2,PN$4),Table1[],(MATCH(Calendar!$A18,DB!$1:$1,0)),FALSE)),"")</f>
        <v/>
      </c>
      <c r="PO18" s="28" t="str">
        <f>IFERROR(IF(PX3="No",IF(VLOOKUP(DATE($K$1,$K$2,PO$4),Table1[],(MATCH(Calendar!$A18,DB!$1:$1,0)),FALSE)&gt;=5,"Good","Bad"),VLOOKUP(DATE($K$1,$K$2,PO$4),Table1[],(MATCH(Calendar!$A18,DB!$1:$1,0)),FALSE)),"")</f>
        <v/>
      </c>
      <c r="PP18" s="28" t="str">
        <f>IFERROR(IF(PY3="No",IF(VLOOKUP(DATE($K$1,$K$2,PP$4),Table1[],(MATCH(Calendar!$A18,DB!$1:$1,0)),FALSE)&gt;=5,"Good","Bad"),VLOOKUP(DATE($K$1,$K$2,PP$4),Table1[],(MATCH(Calendar!$A18,DB!$1:$1,0)),FALSE)),"")</f>
        <v/>
      </c>
      <c r="PQ18" s="28" t="str">
        <f>IFERROR(IF(PZ3="No",IF(VLOOKUP(DATE($K$1,$K$2,PQ$4),Table1[],(MATCH(Calendar!$A18,DB!$1:$1,0)),FALSE)&gt;=5,"Good","Bad"),VLOOKUP(DATE($K$1,$K$2,PQ$4),Table1[],(MATCH(Calendar!$A18,DB!$1:$1,0)),FALSE)),"")</f>
        <v/>
      </c>
      <c r="PR18" s="28" t="str">
        <f>IFERROR(IF(QA3="No",IF(VLOOKUP(DATE($K$1,$K$2,PR$4),Table1[],(MATCH(Calendar!$A18,DB!$1:$1,0)),FALSE)&gt;=5,"Good","Bad"),VLOOKUP(DATE($K$1,$K$2,PR$4),Table1[],(MATCH(Calendar!$A18,DB!$1:$1,0)),FALSE)),"")</f>
        <v/>
      </c>
      <c r="PS18" s="28" t="str">
        <f>IFERROR(IF(QB3="No",IF(VLOOKUP(DATE($K$1,$K$2,PS$4),Table1[],(MATCH(Calendar!$A18,DB!$1:$1,0)),FALSE)&gt;=5,"Good","Bad"),VLOOKUP(DATE($K$1,$K$2,PS$4),Table1[],(MATCH(Calendar!$A18,DB!$1:$1,0)),FALSE)),"")</f>
        <v/>
      </c>
      <c r="PT18" s="28" t="str">
        <f>IFERROR(IF(QC3="No",IF(VLOOKUP(DATE($K$1,$K$2,PT$4),Table1[],(MATCH(Calendar!$A18,DB!$1:$1,0)),FALSE)&gt;=5,"Good","Bad"),VLOOKUP(DATE($K$1,$K$2,PT$4),Table1[],(MATCH(Calendar!$A18,DB!$1:$1,0)),FALSE)),"")</f>
        <v/>
      </c>
      <c r="PU18" s="28" t="str">
        <f>IFERROR(IF(QD3="No",IF(VLOOKUP(DATE($K$1,$K$2,PU$4),Table1[],(MATCH(Calendar!$A18,DB!$1:$1,0)),FALSE)&gt;=5,"Good","Bad"),VLOOKUP(DATE($K$1,$K$2,PU$4),Table1[],(MATCH(Calendar!$A18,DB!$1:$1,0)),FALSE)),"")</f>
        <v/>
      </c>
      <c r="PV18" s="28" t="str">
        <f>IFERROR(IF(QE3="No",IF(VLOOKUP(DATE($K$1,$K$2,PV$4),Table1[],(MATCH(Calendar!$A18,DB!$1:$1,0)),FALSE)&gt;=5,"Good","Bad"),VLOOKUP(DATE($K$1,$K$2,PV$4),Table1[],(MATCH(Calendar!$A18,DB!$1:$1,0)),FALSE)),"")</f>
        <v/>
      </c>
      <c r="PW18" s="28" t="str">
        <f>IFERROR(IF(QF3="No",IF(VLOOKUP(DATE($K$1,$K$2,PW$4),Table1[],(MATCH(Calendar!$A18,DB!$1:$1,0)),FALSE)&gt;=5,"Good","Bad"),VLOOKUP(DATE($K$1,$K$2,PW$4),Table1[],(MATCH(Calendar!$A18,DB!$1:$1,0)),FALSE)),"")</f>
        <v/>
      </c>
      <c r="PX18" s="28" t="str">
        <f>IFERROR(IF(QG3="No",IF(VLOOKUP(DATE($K$1,$K$2,PX$4),Table1[],(MATCH(Calendar!$A18,DB!$1:$1,0)),FALSE)&gt;=5,"Good","Bad"),VLOOKUP(DATE($K$1,$K$2,PX$4),Table1[],(MATCH(Calendar!$A18,DB!$1:$1,0)),FALSE)),"")</f>
        <v/>
      </c>
      <c r="PY18" s="28" t="str">
        <f>IFERROR(IF(QH3="No",IF(VLOOKUP(DATE($K$1,$K$2,PY$4),Table1[],(MATCH(Calendar!$A18,DB!$1:$1,0)),FALSE)&gt;=5,"Good","Bad"),VLOOKUP(DATE($K$1,$K$2,PY$4),Table1[],(MATCH(Calendar!$A18,DB!$1:$1,0)),FALSE)),"")</f>
        <v/>
      </c>
      <c r="PZ18" s="28" t="str">
        <f>IFERROR(IF(QI3="No",IF(VLOOKUP(DATE($K$1,$K$2,PZ$4),Table1[],(MATCH(Calendar!$A18,DB!$1:$1,0)),FALSE)&gt;=5,"Good","Bad"),VLOOKUP(DATE($K$1,$K$2,PZ$4),Table1[],(MATCH(Calendar!$A18,DB!$1:$1,0)),FALSE)),"")</f>
        <v/>
      </c>
      <c r="QA18" s="28" t="str">
        <f>IFERROR(IF(QJ3="No",IF(VLOOKUP(DATE($K$1,$K$2,QA$4),Table1[],(MATCH(Calendar!$A18,DB!$1:$1,0)),FALSE)&gt;=5,"Good","Bad"),VLOOKUP(DATE($K$1,$K$2,QA$4),Table1[],(MATCH(Calendar!$A18,DB!$1:$1,0)),FALSE)),"")</f>
        <v/>
      </c>
      <c r="QB18" s="28" t="str">
        <f>IFERROR(IF(QK3="No",IF(VLOOKUP(DATE($K$1,$K$2,QB$4),Table1[],(MATCH(Calendar!$A18,DB!$1:$1,0)),FALSE)&gt;=5,"Good","Bad"),VLOOKUP(DATE($K$1,$K$2,QB$4),Table1[],(MATCH(Calendar!$A18,DB!$1:$1,0)),FALSE)),"")</f>
        <v/>
      </c>
      <c r="QC18" s="28" t="str">
        <f>IFERROR(IF(QL3="No",IF(VLOOKUP(DATE($K$1,$K$2,QC$4),Table1[],(MATCH(Calendar!$A18,DB!$1:$1,0)),FALSE)&gt;=5,"Good","Bad"),VLOOKUP(DATE($K$1,$K$2,QC$4),Table1[],(MATCH(Calendar!$A18,DB!$1:$1,0)),FALSE)),"")</f>
        <v/>
      </c>
      <c r="QD18" s="28" t="str">
        <f>IFERROR(IF(QM3="No",IF(VLOOKUP(DATE($K$1,$K$2,QD$4),Table1[],(MATCH(Calendar!$A18,DB!$1:$1,0)),FALSE)&gt;=5,"Good","Bad"),VLOOKUP(DATE($K$1,$K$2,QD$4),Table1[],(MATCH(Calendar!$A18,DB!$1:$1,0)),FALSE)),"")</f>
        <v/>
      </c>
      <c r="QE18" s="28" t="str">
        <f>IFERROR(IF(QN3="No",IF(VLOOKUP(DATE($K$1,$K$2,QE$4),Table1[],(MATCH(Calendar!$A18,DB!$1:$1,0)),FALSE)&gt;=5,"Good","Bad"),VLOOKUP(DATE($K$1,$K$2,QE$4),Table1[],(MATCH(Calendar!$A18,DB!$1:$1,0)),FALSE)),"")</f>
        <v/>
      </c>
      <c r="QF18" s="28" t="str">
        <f>IFERROR(IF(QO3="No",IF(VLOOKUP(DATE($K$1,$K$2,QF$4),Table1[],(MATCH(Calendar!$A18,DB!$1:$1,0)),FALSE)&gt;=5,"Good","Bad"),VLOOKUP(DATE($K$1,$K$2,QF$4),Table1[],(MATCH(Calendar!$A18,DB!$1:$1,0)),FALSE)),"")</f>
        <v/>
      </c>
      <c r="QG18" s="28" t="str">
        <f>IFERROR(IF(QP3="No",IF(VLOOKUP(DATE($K$1,$K$2,QG$4),Table1[],(MATCH(Calendar!$A18,DB!$1:$1,0)),FALSE)&gt;=5,"Good","Bad"),VLOOKUP(DATE($K$1,$K$2,QG$4),Table1[],(MATCH(Calendar!$A18,DB!$1:$1,0)),FALSE)),"")</f>
        <v/>
      </c>
      <c r="QH18" s="28" t="str">
        <f>IFERROR(IF(QQ3="No",IF(VLOOKUP(DATE($K$1,$K$2,QH$4),Table1[],(MATCH(Calendar!$A18,DB!$1:$1,0)),FALSE)&gt;=5,"Good","Bad"),VLOOKUP(DATE($K$1,$K$2,QH$4),Table1[],(MATCH(Calendar!$A18,DB!$1:$1,0)),FALSE)),"")</f>
        <v/>
      </c>
      <c r="QI18" s="28" t="str">
        <f>IFERROR(IF(QR3="No",IF(VLOOKUP(DATE($K$1,$K$2,QI$4),Table1[],(MATCH(Calendar!$A18,DB!$1:$1,0)),FALSE)&gt;=5,"Good","Bad"),VLOOKUP(DATE($K$1,$K$2,QI$4),Table1[],(MATCH(Calendar!$A18,DB!$1:$1,0)),FALSE)),"")</f>
        <v/>
      </c>
      <c r="QJ18" s="28" t="str">
        <f>IFERROR(IF(QS3="No",IF(VLOOKUP(DATE($K$1,$K$2,QJ$4),Table1[],(MATCH(Calendar!$A18,DB!$1:$1,0)),FALSE)&gt;=5,"Good","Bad"),VLOOKUP(DATE($K$1,$K$2,QJ$4),Table1[],(MATCH(Calendar!$A18,DB!$1:$1,0)),FALSE)),"")</f>
        <v/>
      </c>
      <c r="QK18" s="28" t="str">
        <f>IFERROR(IF(QT3="No",IF(VLOOKUP(DATE($K$1,$K$2,QK$4),Table1[],(MATCH(Calendar!$A18,DB!$1:$1,0)),FALSE)&gt;=5,"Good","Bad"),VLOOKUP(DATE($K$1,$K$2,QK$4),Table1[],(MATCH(Calendar!$A18,DB!$1:$1,0)),FALSE)),"")</f>
        <v/>
      </c>
      <c r="QL18" s="28" t="str">
        <f>IFERROR(IF(QU3="No",IF(VLOOKUP(DATE($K$1,$K$2,QL$4),Table1[],(MATCH(Calendar!$A18,DB!$1:$1,0)),FALSE)&gt;=5,"Good","Bad"),VLOOKUP(DATE($K$1,$K$2,QL$4),Table1[],(MATCH(Calendar!$A18,DB!$1:$1,0)),FALSE)),"")</f>
        <v/>
      </c>
      <c r="QM18" s="28" t="str">
        <f>IFERROR(IF(QV3="No",IF(VLOOKUP(DATE($K$1,$K$2,QM$4),Table1[],(MATCH(Calendar!$A18,DB!$1:$1,0)),FALSE)&gt;=5,"Good","Bad"),VLOOKUP(DATE($K$1,$K$2,QM$4),Table1[],(MATCH(Calendar!$A18,DB!$1:$1,0)),FALSE)),"")</f>
        <v/>
      </c>
      <c r="QN18" s="28" t="str">
        <f>IFERROR(IF(QW3="No",IF(VLOOKUP(DATE($K$1,$K$2,QN$4),Table1[],(MATCH(Calendar!$A18,DB!$1:$1,0)),FALSE)&gt;=5,"Good","Bad"),VLOOKUP(DATE($K$1,$K$2,QN$4),Table1[],(MATCH(Calendar!$A18,DB!$1:$1,0)),FALSE)),"")</f>
        <v/>
      </c>
      <c r="QO18" s="28" t="str">
        <f>IFERROR(IF(QX3="No",IF(VLOOKUP(DATE($K$1,$K$2,QO$4),Table1[],(MATCH(Calendar!$A18,DB!$1:$1,0)),FALSE)&gt;=5,"Good","Bad"),VLOOKUP(DATE($K$1,$K$2,QO$4),Table1[],(MATCH(Calendar!$A18,DB!$1:$1,0)),FALSE)),"")</f>
        <v/>
      </c>
      <c r="QP18" s="28" t="str">
        <f>IFERROR(IF(QY3="No",IF(VLOOKUP(DATE($K$1,$K$2,QP$4),Table1[],(MATCH(Calendar!$A18,DB!$1:$1,0)),FALSE)&gt;=5,"Good","Bad"),VLOOKUP(DATE($K$1,$K$2,QP$4),Table1[],(MATCH(Calendar!$A18,DB!$1:$1,0)),FALSE)),"")</f>
        <v/>
      </c>
      <c r="QQ18" s="28" t="str">
        <f>IFERROR(IF(QZ3="No",IF(VLOOKUP(DATE($K$1,$K$2,QQ$4),Table1[],(MATCH(Calendar!$A18,DB!$1:$1,0)),FALSE)&gt;=5,"Good","Bad"),VLOOKUP(DATE($K$1,$K$2,QQ$4),Table1[],(MATCH(Calendar!$A18,DB!$1:$1,0)),FALSE)),"")</f>
        <v/>
      </c>
      <c r="QR18" s="28" t="str">
        <f>IFERROR(IF(RA3="No",IF(VLOOKUP(DATE($K$1,$K$2,QR$4),Table1[],(MATCH(Calendar!$A18,DB!$1:$1,0)),FALSE)&gt;=5,"Good","Bad"),VLOOKUP(DATE($K$1,$K$2,QR$4),Table1[],(MATCH(Calendar!$A18,DB!$1:$1,0)),FALSE)),"")</f>
        <v/>
      </c>
      <c r="QS18" s="28" t="str">
        <f>IFERROR(IF(RB3="No",IF(VLOOKUP(DATE($K$1,$K$2,QS$4),Table1[],(MATCH(Calendar!$A18,DB!$1:$1,0)),FALSE)&gt;=5,"Good","Bad"),VLOOKUP(DATE($K$1,$K$2,QS$4),Table1[],(MATCH(Calendar!$A18,DB!$1:$1,0)),FALSE)),"")</f>
        <v/>
      </c>
      <c r="QT18" s="28" t="str">
        <f>IFERROR(IF(RC3="No",IF(VLOOKUP(DATE($K$1,$K$2,QT$4),Table1[],(MATCH(Calendar!$A18,DB!$1:$1,0)),FALSE)&gt;=5,"Good","Bad"),VLOOKUP(DATE($K$1,$K$2,QT$4),Table1[],(MATCH(Calendar!$A18,DB!$1:$1,0)),FALSE)),"")</f>
        <v/>
      </c>
      <c r="QU18" s="28" t="str">
        <f>IFERROR(IF(RD3="No",IF(VLOOKUP(DATE($K$1,$K$2,QU$4),Table1[],(MATCH(Calendar!$A18,DB!$1:$1,0)),FALSE)&gt;=5,"Good","Bad"),VLOOKUP(DATE($K$1,$K$2,QU$4),Table1[],(MATCH(Calendar!$A18,DB!$1:$1,0)),FALSE)),"")</f>
        <v/>
      </c>
      <c r="QV18" s="28" t="str">
        <f>IFERROR(IF(RE3="No",IF(VLOOKUP(DATE($K$1,$K$2,QV$4),Table1[],(MATCH(Calendar!$A18,DB!$1:$1,0)),FALSE)&gt;=5,"Good","Bad"),VLOOKUP(DATE($K$1,$K$2,QV$4),Table1[],(MATCH(Calendar!$A18,DB!$1:$1,0)),FALSE)),"")</f>
        <v/>
      </c>
      <c r="QW18" s="28" t="str">
        <f>IFERROR(IF(RF3="No",IF(VLOOKUP(DATE($K$1,$K$2,QW$4),Table1[],(MATCH(Calendar!$A18,DB!$1:$1,0)),FALSE)&gt;=5,"Good","Bad"),VLOOKUP(DATE($K$1,$K$2,QW$4),Table1[],(MATCH(Calendar!$A18,DB!$1:$1,0)),FALSE)),"")</f>
        <v/>
      </c>
      <c r="QX18" s="28" t="str">
        <f>IFERROR(IF(RG3="No",IF(VLOOKUP(DATE($K$1,$K$2,QX$4),Table1[],(MATCH(Calendar!$A18,DB!$1:$1,0)),FALSE)&gt;=5,"Good","Bad"),VLOOKUP(DATE($K$1,$K$2,QX$4),Table1[],(MATCH(Calendar!$A18,DB!$1:$1,0)),FALSE)),"")</f>
        <v/>
      </c>
      <c r="QY18" s="28" t="str">
        <f>IFERROR(IF(RH3="No",IF(VLOOKUP(DATE($K$1,$K$2,QY$4),Table1[],(MATCH(Calendar!$A18,DB!$1:$1,0)),FALSE)&gt;=5,"Good","Bad"),VLOOKUP(DATE($K$1,$K$2,QY$4),Table1[],(MATCH(Calendar!$A18,DB!$1:$1,0)),FALSE)),"")</f>
        <v/>
      </c>
      <c r="QZ18" s="28" t="str">
        <f>IFERROR(IF(RI3="No",IF(VLOOKUP(DATE($K$1,$K$2,QZ$4),Table1[],(MATCH(Calendar!$A18,DB!$1:$1,0)),FALSE)&gt;=5,"Good","Bad"),VLOOKUP(DATE($K$1,$K$2,QZ$4),Table1[],(MATCH(Calendar!$A18,DB!$1:$1,0)),FALSE)),"")</f>
        <v/>
      </c>
      <c r="RA18" s="28" t="str">
        <f>IFERROR(IF(RJ3="No",IF(VLOOKUP(DATE($K$1,$K$2,RA$4),Table1[],(MATCH(Calendar!$A18,DB!$1:$1,0)),FALSE)&gt;=5,"Good","Bad"),VLOOKUP(DATE($K$1,$K$2,RA$4),Table1[],(MATCH(Calendar!$A18,DB!$1:$1,0)),FALSE)),"")</f>
        <v/>
      </c>
      <c r="RB18" s="28" t="str">
        <f>IFERROR(IF(RK3="No",IF(VLOOKUP(DATE($K$1,$K$2,RB$4),Table1[],(MATCH(Calendar!$A18,DB!$1:$1,0)),FALSE)&gt;=5,"Good","Bad"),VLOOKUP(DATE($K$1,$K$2,RB$4),Table1[],(MATCH(Calendar!$A18,DB!$1:$1,0)),FALSE)),"")</f>
        <v/>
      </c>
      <c r="RC18" s="28" t="str">
        <f>IFERROR(IF(RL3="No",IF(VLOOKUP(DATE($K$1,$K$2,RC$4),Table1[],(MATCH(Calendar!$A18,DB!$1:$1,0)),FALSE)&gt;=5,"Good","Bad"),VLOOKUP(DATE($K$1,$K$2,RC$4),Table1[],(MATCH(Calendar!$A18,DB!$1:$1,0)),FALSE)),"")</f>
        <v/>
      </c>
      <c r="RD18" s="28" t="str">
        <f>IFERROR(IF(RM3="No",IF(VLOOKUP(DATE($K$1,$K$2,RD$4),Table1[],(MATCH(Calendar!$A18,DB!$1:$1,0)),FALSE)&gt;=5,"Good","Bad"),VLOOKUP(DATE($K$1,$K$2,RD$4),Table1[],(MATCH(Calendar!$A18,DB!$1:$1,0)),FALSE)),"")</f>
        <v/>
      </c>
      <c r="RE18" s="28" t="str">
        <f>IFERROR(IF(RN3="No",IF(VLOOKUP(DATE($K$1,$K$2,RE$4),Table1[],(MATCH(Calendar!$A18,DB!$1:$1,0)),FALSE)&gt;=5,"Good","Bad"),VLOOKUP(DATE($K$1,$K$2,RE$4),Table1[],(MATCH(Calendar!$A18,DB!$1:$1,0)),FALSE)),"")</f>
        <v/>
      </c>
      <c r="RF18" s="28" t="str">
        <f>IFERROR(IF(RO3="No",IF(VLOOKUP(DATE($K$1,$K$2,RF$4),Table1[],(MATCH(Calendar!$A18,DB!$1:$1,0)),FALSE)&gt;=5,"Good","Bad"),VLOOKUP(DATE($K$1,$K$2,RF$4),Table1[],(MATCH(Calendar!$A18,DB!$1:$1,0)),FALSE)),"")</f>
        <v/>
      </c>
      <c r="RG18" s="28" t="str">
        <f>IFERROR(IF(RP3="No",IF(VLOOKUP(DATE($K$1,$K$2,RG$4),Table1[],(MATCH(Calendar!$A18,DB!$1:$1,0)),FALSE)&gt;=5,"Good","Bad"),VLOOKUP(DATE($K$1,$K$2,RG$4),Table1[],(MATCH(Calendar!$A18,DB!$1:$1,0)),FALSE)),"")</f>
        <v/>
      </c>
      <c r="RH18" s="28" t="str">
        <f>IFERROR(IF(RQ3="No",IF(VLOOKUP(DATE($K$1,$K$2,RH$4),Table1[],(MATCH(Calendar!$A18,DB!$1:$1,0)),FALSE)&gt;=5,"Good","Bad"),VLOOKUP(DATE($K$1,$K$2,RH$4),Table1[],(MATCH(Calendar!$A18,DB!$1:$1,0)),FALSE)),"")</f>
        <v/>
      </c>
      <c r="RI18" s="28" t="str">
        <f>IFERROR(IF(RR3="No",IF(VLOOKUP(DATE($K$1,$K$2,RI$4),Table1[],(MATCH(Calendar!$A18,DB!$1:$1,0)),FALSE)&gt;=5,"Good","Bad"),VLOOKUP(DATE($K$1,$K$2,RI$4),Table1[],(MATCH(Calendar!$A18,DB!$1:$1,0)),FALSE)),"")</f>
        <v/>
      </c>
      <c r="RJ18" s="28" t="str">
        <f>IFERROR(IF(RS3="No",IF(VLOOKUP(DATE($K$1,$K$2,RJ$4),Table1[],(MATCH(Calendar!$A18,DB!$1:$1,0)),FALSE)&gt;=5,"Good","Bad"),VLOOKUP(DATE($K$1,$K$2,RJ$4),Table1[],(MATCH(Calendar!$A18,DB!$1:$1,0)),FALSE)),"")</f>
        <v/>
      </c>
      <c r="RK18" s="28" t="str">
        <f>IFERROR(IF(RT3="No",IF(VLOOKUP(DATE($K$1,$K$2,RK$4),Table1[],(MATCH(Calendar!$A18,DB!$1:$1,0)),FALSE)&gt;=5,"Good","Bad"),VLOOKUP(DATE($K$1,$K$2,RK$4),Table1[],(MATCH(Calendar!$A18,DB!$1:$1,0)),FALSE)),"")</f>
        <v/>
      </c>
      <c r="RL18" s="28" t="str">
        <f>IFERROR(IF(RU3="No",IF(VLOOKUP(DATE($K$1,$K$2,RL$4),Table1[],(MATCH(Calendar!$A18,DB!$1:$1,0)),FALSE)&gt;=5,"Good","Bad"),VLOOKUP(DATE($K$1,$K$2,RL$4),Table1[],(MATCH(Calendar!$A18,DB!$1:$1,0)),FALSE)),"")</f>
        <v/>
      </c>
      <c r="RM18" s="28" t="str">
        <f>IFERROR(IF(RV3="No",IF(VLOOKUP(DATE($K$1,$K$2,RM$4),Table1[],(MATCH(Calendar!$A18,DB!$1:$1,0)),FALSE)&gt;=5,"Good","Bad"),VLOOKUP(DATE($K$1,$K$2,RM$4),Table1[],(MATCH(Calendar!$A18,DB!$1:$1,0)),FALSE)),"")</f>
        <v/>
      </c>
      <c r="RN18" s="28" t="str">
        <f>IFERROR(IF(RW3="No",IF(VLOOKUP(DATE($K$1,$K$2,RN$4),Table1[],(MATCH(Calendar!$A18,DB!$1:$1,0)),FALSE)&gt;=5,"Good","Bad"),VLOOKUP(DATE($K$1,$K$2,RN$4),Table1[],(MATCH(Calendar!$A18,DB!$1:$1,0)),FALSE)),"")</f>
        <v/>
      </c>
      <c r="RO18" s="28" t="str">
        <f>IFERROR(IF(RX3="No",IF(VLOOKUP(DATE($K$1,$K$2,RO$4),Table1[],(MATCH(Calendar!$A18,DB!$1:$1,0)),FALSE)&gt;=5,"Good","Bad"),VLOOKUP(DATE($K$1,$K$2,RO$4),Table1[],(MATCH(Calendar!$A18,DB!$1:$1,0)),FALSE)),"")</f>
        <v/>
      </c>
      <c r="RP18" s="28" t="str">
        <f>IFERROR(IF(RY3="No",IF(VLOOKUP(DATE($K$1,$K$2,RP$4),Table1[],(MATCH(Calendar!$A18,DB!$1:$1,0)),FALSE)&gt;=5,"Good","Bad"),VLOOKUP(DATE($K$1,$K$2,RP$4),Table1[],(MATCH(Calendar!$A18,DB!$1:$1,0)),FALSE)),"")</f>
        <v/>
      </c>
      <c r="RQ18" s="28" t="str">
        <f>IFERROR(IF(RZ3="No",IF(VLOOKUP(DATE($K$1,$K$2,RQ$4),Table1[],(MATCH(Calendar!$A18,DB!$1:$1,0)),FALSE)&gt;=5,"Good","Bad"),VLOOKUP(DATE($K$1,$K$2,RQ$4),Table1[],(MATCH(Calendar!$A18,DB!$1:$1,0)),FALSE)),"")</f>
        <v/>
      </c>
      <c r="RR18" s="28" t="str">
        <f>IFERROR(IF(SA3="No",IF(VLOOKUP(DATE($K$1,$K$2,RR$4),Table1[],(MATCH(Calendar!$A18,DB!$1:$1,0)),FALSE)&gt;=5,"Good","Bad"),VLOOKUP(DATE($K$1,$K$2,RR$4),Table1[],(MATCH(Calendar!$A18,DB!$1:$1,0)),FALSE)),"")</f>
        <v/>
      </c>
      <c r="RS18" s="28" t="str">
        <f>IFERROR(IF(SB3="No",IF(VLOOKUP(DATE($K$1,$K$2,RS$4),Table1[],(MATCH(Calendar!$A18,DB!$1:$1,0)),FALSE)&gt;=5,"Good","Bad"),VLOOKUP(DATE($K$1,$K$2,RS$4),Table1[],(MATCH(Calendar!$A18,DB!$1:$1,0)),FALSE)),"")</f>
        <v/>
      </c>
      <c r="RT18" s="28" t="str">
        <f>IFERROR(IF(SC3="No",IF(VLOOKUP(DATE($K$1,$K$2,RT$4),Table1[],(MATCH(Calendar!$A18,DB!$1:$1,0)),FALSE)&gt;=5,"Good","Bad"),VLOOKUP(DATE($K$1,$K$2,RT$4),Table1[],(MATCH(Calendar!$A18,DB!$1:$1,0)),FALSE)),"")</f>
        <v/>
      </c>
      <c r="RU18" s="28" t="str">
        <f>IFERROR(IF(SD3="No",IF(VLOOKUP(DATE($K$1,$K$2,RU$4),Table1[],(MATCH(Calendar!$A18,DB!$1:$1,0)),FALSE)&gt;=5,"Good","Bad"),VLOOKUP(DATE($K$1,$K$2,RU$4),Table1[],(MATCH(Calendar!$A18,DB!$1:$1,0)),FALSE)),"")</f>
        <v/>
      </c>
      <c r="RV18" s="28" t="str">
        <f>IFERROR(IF(SE3="No",IF(VLOOKUP(DATE($K$1,$K$2,RV$4),Table1[],(MATCH(Calendar!$A18,DB!$1:$1,0)),FALSE)&gt;=5,"Good","Bad"),VLOOKUP(DATE($K$1,$K$2,RV$4),Table1[],(MATCH(Calendar!$A18,DB!$1:$1,0)),FALSE)),"")</f>
        <v/>
      </c>
      <c r="RW18" s="28" t="str">
        <f>IFERROR(IF(SF3="No",IF(VLOOKUP(DATE($K$1,$K$2,RW$4),Table1[],(MATCH(Calendar!$A18,DB!$1:$1,0)),FALSE)&gt;=5,"Good","Bad"),VLOOKUP(DATE($K$1,$K$2,RW$4),Table1[],(MATCH(Calendar!$A18,DB!$1:$1,0)),FALSE)),"")</f>
        <v/>
      </c>
      <c r="RX18" s="28" t="str">
        <f>IFERROR(IF(SG3="No",IF(VLOOKUP(DATE($K$1,$K$2,RX$4),Table1[],(MATCH(Calendar!$A18,DB!$1:$1,0)),FALSE)&gt;=5,"Good","Bad"),VLOOKUP(DATE($K$1,$K$2,RX$4),Table1[],(MATCH(Calendar!$A18,DB!$1:$1,0)),FALSE)),"")</f>
        <v/>
      </c>
      <c r="RY18" s="28" t="str">
        <f>IFERROR(IF(SH3="No",IF(VLOOKUP(DATE($K$1,$K$2,RY$4),Table1[],(MATCH(Calendar!$A18,DB!$1:$1,0)),FALSE)&gt;=5,"Good","Bad"),VLOOKUP(DATE($K$1,$K$2,RY$4),Table1[],(MATCH(Calendar!$A18,DB!$1:$1,0)),FALSE)),"")</f>
        <v/>
      </c>
      <c r="RZ18" s="28" t="str">
        <f>IFERROR(IF(SI3="No",IF(VLOOKUP(DATE($K$1,$K$2,RZ$4),Table1[],(MATCH(Calendar!$A18,DB!$1:$1,0)),FALSE)&gt;=5,"Good","Bad"),VLOOKUP(DATE($K$1,$K$2,RZ$4),Table1[],(MATCH(Calendar!$A18,DB!$1:$1,0)),FALSE)),"")</f>
        <v/>
      </c>
      <c r="SA18" s="28" t="str">
        <f>IFERROR(IF(SJ3="No",IF(VLOOKUP(DATE($K$1,$K$2,SA$4),Table1[],(MATCH(Calendar!$A18,DB!$1:$1,0)),FALSE)&gt;=5,"Good","Bad"),VLOOKUP(DATE($K$1,$K$2,SA$4),Table1[],(MATCH(Calendar!$A18,DB!$1:$1,0)),FALSE)),"")</f>
        <v/>
      </c>
      <c r="SB18" s="28" t="str">
        <f>IFERROR(IF(SK3="No",IF(VLOOKUP(DATE($K$1,$K$2,SB$4),Table1[],(MATCH(Calendar!$A18,DB!$1:$1,0)),FALSE)&gt;=5,"Good","Bad"),VLOOKUP(DATE($K$1,$K$2,SB$4),Table1[],(MATCH(Calendar!$A18,DB!$1:$1,0)),FALSE)),"")</f>
        <v/>
      </c>
      <c r="SC18" s="28" t="str">
        <f>IFERROR(IF(SL3="No",IF(VLOOKUP(DATE($K$1,$K$2,SC$4),Table1[],(MATCH(Calendar!$A18,DB!$1:$1,0)),FALSE)&gt;=5,"Good","Bad"),VLOOKUP(DATE($K$1,$K$2,SC$4),Table1[],(MATCH(Calendar!$A18,DB!$1:$1,0)),FALSE)),"")</f>
        <v/>
      </c>
      <c r="SD18" s="28" t="str">
        <f>IFERROR(IF(SM3="No",IF(VLOOKUP(DATE($K$1,$K$2,SD$4),Table1[],(MATCH(Calendar!$A18,DB!$1:$1,0)),FALSE)&gt;=5,"Good","Bad"),VLOOKUP(DATE($K$1,$K$2,SD$4),Table1[],(MATCH(Calendar!$A18,DB!$1:$1,0)),FALSE)),"")</f>
        <v/>
      </c>
      <c r="SE18" s="28" t="str">
        <f>IFERROR(IF(SN3="No",IF(VLOOKUP(DATE($K$1,$K$2,SE$4),Table1[],(MATCH(Calendar!$A18,DB!$1:$1,0)),FALSE)&gt;=5,"Good","Bad"),VLOOKUP(DATE($K$1,$K$2,SE$4),Table1[],(MATCH(Calendar!$A18,DB!$1:$1,0)),FALSE)),"")</f>
        <v/>
      </c>
      <c r="SF18" s="28" t="str">
        <f>IFERROR(IF(SO3="No",IF(VLOOKUP(DATE($K$1,$K$2,SF$4),Table1[],(MATCH(Calendar!$A18,DB!$1:$1,0)),FALSE)&gt;=5,"Good","Bad"),VLOOKUP(DATE($K$1,$K$2,SF$4),Table1[],(MATCH(Calendar!$A18,DB!$1:$1,0)),FALSE)),"")</f>
        <v/>
      </c>
      <c r="SG18" s="28" t="str">
        <f>IFERROR(IF(SP3="No",IF(VLOOKUP(DATE($K$1,$K$2,SG$4),Table1[],(MATCH(Calendar!$A18,DB!$1:$1,0)),FALSE)&gt;=5,"Good","Bad"),VLOOKUP(DATE($K$1,$K$2,SG$4),Table1[],(MATCH(Calendar!$A18,DB!$1:$1,0)),FALSE)),"")</f>
        <v/>
      </c>
      <c r="SH18" s="28" t="str">
        <f>IFERROR(IF(SQ3="No",IF(VLOOKUP(DATE($K$1,$K$2,SH$4),Table1[],(MATCH(Calendar!$A18,DB!$1:$1,0)),FALSE)&gt;=5,"Good","Bad"),VLOOKUP(DATE($K$1,$K$2,SH$4),Table1[],(MATCH(Calendar!$A18,DB!$1:$1,0)),FALSE)),"")</f>
        <v/>
      </c>
      <c r="SI18" s="28" t="str">
        <f>IFERROR(IF(SR3="No",IF(VLOOKUP(DATE($K$1,$K$2,SI$4),Table1[],(MATCH(Calendar!$A18,DB!$1:$1,0)),FALSE)&gt;=5,"Good","Bad"),VLOOKUP(DATE($K$1,$K$2,SI$4),Table1[],(MATCH(Calendar!$A18,DB!$1:$1,0)),FALSE)),"")</f>
        <v/>
      </c>
      <c r="SJ18" s="28" t="str">
        <f>IFERROR(IF(SS3="No",IF(VLOOKUP(DATE($K$1,$K$2,SJ$4),Table1[],(MATCH(Calendar!$A18,DB!$1:$1,0)),FALSE)&gt;=5,"Good","Bad"),VLOOKUP(DATE($K$1,$K$2,SJ$4),Table1[],(MATCH(Calendar!$A18,DB!$1:$1,0)),FALSE)),"")</f>
        <v/>
      </c>
      <c r="SK18" s="28" t="str">
        <f>IFERROR(IF(ST3="No",IF(VLOOKUP(DATE($K$1,$K$2,SK$4),Table1[],(MATCH(Calendar!$A18,DB!$1:$1,0)),FALSE)&gt;=5,"Good","Bad"),VLOOKUP(DATE($K$1,$K$2,SK$4),Table1[],(MATCH(Calendar!$A18,DB!$1:$1,0)),FALSE)),"")</f>
        <v/>
      </c>
      <c r="SL18" s="28" t="str">
        <f>IFERROR(IF(SU3="No",IF(VLOOKUP(DATE($K$1,$K$2,SL$4),Table1[],(MATCH(Calendar!$A18,DB!$1:$1,0)),FALSE)&gt;=5,"Good","Bad"),VLOOKUP(DATE($K$1,$K$2,SL$4),Table1[],(MATCH(Calendar!$A18,DB!$1:$1,0)),FALSE)),"")</f>
        <v/>
      </c>
      <c r="SM18" s="28" t="str">
        <f>IFERROR(IF(SV3="No",IF(VLOOKUP(DATE($K$1,$K$2,SM$4),Table1[],(MATCH(Calendar!$A18,DB!$1:$1,0)),FALSE)&gt;=5,"Good","Bad"),VLOOKUP(DATE($K$1,$K$2,SM$4),Table1[],(MATCH(Calendar!$A18,DB!$1:$1,0)),FALSE)),"")</f>
        <v/>
      </c>
      <c r="SN18" s="28" t="str">
        <f>IFERROR(IF(SW3="No",IF(VLOOKUP(DATE($K$1,$K$2,SN$4),Table1[],(MATCH(Calendar!$A18,DB!$1:$1,0)),FALSE)&gt;=5,"Good","Bad"),VLOOKUP(DATE($K$1,$K$2,SN$4),Table1[],(MATCH(Calendar!$A18,DB!$1:$1,0)),FALSE)),"")</f>
        <v/>
      </c>
      <c r="SO18" s="28" t="str">
        <f>IFERROR(IF(SX3="No",IF(VLOOKUP(DATE($K$1,$K$2,SO$4),Table1[],(MATCH(Calendar!$A18,DB!$1:$1,0)),FALSE)&gt;=5,"Good","Bad"),VLOOKUP(DATE($K$1,$K$2,SO$4),Table1[],(MATCH(Calendar!$A18,DB!$1:$1,0)),FALSE)),"")</f>
        <v/>
      </c>
      <c r="SP18" s="28" t="str">
        <f>IFERROR(IF(SY3="No",IF(VLOOKUP(DATE($K$1,$K$2,SP$4),Table1[],(MATCH(Calendar!$A18,DB!$1:$1,0)),FALSE)&gt;=5,"Good","Bad"),VLOOKUP(DATE($K$1,$K$2,SP$4),Table1[],(MATCH(Calendar!$A18,DB!$1:$1,0)),FALSE)),"")</f>
        <v/>
      </c>
      <c r="SQ18" s="28" t="str">
        <f>IFERROR(IF(SZ3="No",IF(VLOOKUP(DATE($K$1,$K$2,SQ$4),Table1[],(MATCH(Calendar!$A18,DB!$1:$1,0)),FALSE)&gt;=5,"Good","Bad"),VLOOKUP(DATE($K$1,$K$2,SQ$4),Table1[],(MATCH(Calendar!$A18,DB!$1:$1,0)),FALSE)),"")</f>
        <v/>
      </c>
      <c r="SR18" s="28" t="str">
        <f>IFERROR(IF(TA3="No",IF(VLOOKUP(DATE($K$1,$K$2,SR$4),Table1[],(MATCH(Calendar!$A18,DB!$1:$1,0)),FALSE)&gt;=5,"Good","Bad"),VLOOKUP(DATE($K$1,$K$2,SR$4),Table1[],(MATCH(Calendar!$A18,DB!$1:$1,0)),FALSE)),"")</f>
        <v/>
      </c>
      <c r="SS18" s="28" t="str">
        <f>IFERROR(IF(TB3="No",IF(VLOOKUP(DATE($K$1,$K$2,SS$4),Table1[],(MATCH(Calendar!$A18,DB!$1:$1,0)),FALSE)&gt;=5,"Good","Bad"),VLOOKUP(DATE($K$1,$K$2,SS$4),Table1[],(MATCH(Calendar!$A18,DB!$1:$1,0)),FALSE)),"")</f>
        <v/>
      </c>
      <c r="ST18" s="28" t="str">
        <f>IFERROR(IF(TC3="No",IF(VLOOKUP(DATE($K$1,$K$2,ST$4),Table1[],(MATCH(Calendar!$A18,DB!$1:$1,0)),FALSE)&gt;=5,"Good","Bad"),VLOOKUP(DATE($K$1,$K$2,ST$4),Table1[],(MATCH(Calendar!$A18,DB!$1:$1,0)),FALSE)),"")</f>
        <v/>
      </c>
      <c r="SU18" s="28" t="str">
        <f>IFERROR(IF(TD3="No",IF(VLOOKUP(DATE($K$1,$K$2,SU$4),Table1[],(MATCH(Calendar!$A18,DB!$1:$1,0)),FALSE)&gt;=5,"Good","Bad"),VLOOKUP(DATE($K$1,$K$2,SU$4),Table1[],(MATCH(Calendar!$A18,DB!$1:$1,0)),FALSE)),"")</f>
        <v/>
      </c>
      <c r="SV18" s="28" t="str">
        <f>IFERROR(IF(TE3="No",IF(VLOOKUP(DATE($K$1,$K$2,SV$4),Table1[],(MATCH(Calendar!$A18,DB!$1:$1,0)),FALSE)&gt;=5,"Good","Bad"),VLOOKUP(DATE($K$1,$K$2,SV$4),Table1[],(MATCH(Calendar!$A18,DB!$1:$1,0)),FALSE)),"")</f>
        <v/>
      </c>
      <c r="SW18" s="28" t="str">
        <f>IFERROR(IF(TF3="No",IF(VLOOKUP(DATE($K$1,$K$2,SW$4),Table1[],(MATCH(Calendar!$A18,DB!$1:$1,0)),FALSE)&gt;=5,"Good","Bad"),VLOOKUP(DATE($K$1,$K$2,SW$4),Table1[],(MATCH(Calendar!$A18,DB!$1:$1,0)),FALSE)),"")</f>
        <v/>
      </c>
      <c r="SX18" s="28" t="str">
        <f>IFERROR(IF(TG3="No",IF(VLOOKUP(DATE($K$1,$K$2,SX$4),Table1[],(MATCH(Calendar!$A18,DB!$1:$1,0)),FALSE)&gt;=5,"Good","Bad"),VLOOKUP(DATE($K$1,$K$2,SX$4),Table1[],(MATCH(Calendar!$A18,DB!$1:$1,0)),FALSE)),"")</f>
        <v/>
      </c>
      <c r="SY18" s="28" t="str">
        <f>IFERROR(IF(TH3="No",IF(VLOOKUP(DATE($K$1,$K$2,SY$4),Table1[],(MATCH(Calendar!$A18,DB!$1:$1,0)),FALSE)&gt;=5,"Good","Bad"),VLOOKUP(DATE($K$1,$K$2,SY$4),Table1[],(MATCH(Calendar!$A18,DB!$1:$1,0)),FALSE)),"")</f>
        <v/>
      </c>
      <c r="SZ18" s="28" t="str">
        <f>IFERROR(IF(TI3="No",IF(VLOOKUP(DATE($K$1,$K$2,SZ$4),Table1[],(MATCH(Calendar!$A18,DB!$1:$1,0)),FALSE)&gt;=5,"Good","Bad"),VLOOKUP(DATE($K$1,$K$2,SZ$4),Table1[],(MATCH(Calendar!$A18,DB!$1:$1,0)),FALSE)),"")</f>
        <v/>
      </c>
      <c r="TA18" s="28" t="str">
        <f>IFERROR(IF(TJ3="No",IF(VLOOKUP(DATE($K$1,$K$2,TA$4),Table1[],(MATCH(Calendar!$A18,DB!$1:$1,0)),FALSE)&gt;=5,"Good","Bad"),VLOOKUP(DATE($K$1,$K$2,TA$4),Table1[],(MATCH(Calendar!$A18,DB!$1:$1,0)),FALSE)),"")</f>
        <v/>
      </c>
      <c r="TB18" s="28" t="str">
        <f>IFERROR(IF(TK3="No",IF(VLOOKUP(DATE($K$1,$K$2,TB$4),Table1[],(MATCH(Calendar!$A18,DB!$1:$1,0)),FALSE)&gt;=5,"Good","Bad"),VLOOKUP(DATE($K$1,$K$2,TB$4),Table1[],(MATCH(Calendar!$A18,DB!$1:$1,0)),FALSE)),"")</f>
        <v/>
      </c>
      <c r="TC18" s="28" t="str">
        <f>IFERROR(IF(TL3="No",IF(VLOOKUP(DATE($K$1,$K$2,TC$4),Table1[],(MATCH(Calendar!$A18,DB!$1:$1,0)),FALSE)&gt;=5,"Good","Bad"),VLOOKUP(DATE($K$1,$K$2,TC$4),Table1[],(MATCH(Calendar!$A18,DB!$1:$1,0)),FALSE)),"")</f>
        <v/>
      </c>
      <c r="TD18" s="28" t="str">
        <f>IFERROR(IF(TM3="No",IF(VLOOKUP(DATE($K$1,$K$2,TD$4),Table1[],(MATCH(Calendar!$A18,DB!$1:$1,0)),FALSE)&gt;=5,"Good","Bad"),VLOOKUP(DATE($K$1,$K$2,TD$4),Table1[],(MATCH(Calendar!$A18,DB!$1:$1,0)),FALSE)),"")</f>
        <v/>
      </c>
      <c r="TE18" s="28" t="str">
        <f>IFERROR(IF(TN3="No",IF(VLOOKUP(DATE($K$1,$K$2,TE$4),Table1[],(MATCH(Calendar!$A18,DB!$1:$1,0)),FALSE)&gt;=5,"Good","Bad"),VLOOKUP(DATE($K$1,$K$2,TE$4),Table1[],(MATCH(Calendar!$A18,DB!$1:$1,0)),FALSE)),"")</f>
        <v/>
      </c>
      <c r="TF18" s="28" t="str">
        <f>IFERROR(IF(TO3="No",IF(VLOOKUP(DATE($K$1,$K$2,TF$4),Table1[],(MATCH(Calendar!$A18,DB!$1:$1,0)),FALSE)&gt;=5,"Good","Bad"),VLOOKUP(DATE($K$1,$K$2,TF$4),Table1[],(MATCH(Calendar!$A18,DB!$1:$1,0)),FALSE)),"")</f>
        <v/>
      </c>
      <c r="TG18" s="28" t="str">
        <f>IFERROR(IF(TP3="No",IF(VLOOKUP(DATE($K$1,$K$2,TG$4),Table1[],(MATCH(Calendar!$A18,DB!$1:$1,0)),FALSE)&gt;=5,"Good","Bad"),VLOOKUP(DATE($K$1,$K$2,TG$4),Table1[],(MATCH(Calendar!$A18,DB!$1:$1,0)),FALSE)),"")</f>
        <v/>
      </c>
      <c r="TH18" s="28" t="str">
        <f>IFERROR(IF(TQ3="No",IF(VLOOKUP(DATE($K$1,$K$2,TH$4),Table1[],(MATCH(Calendar!$A18,DB!$1:$1,0)),FALSE)&gt;=5,"Good","Bad"),VLOOKUP(DATE($K$1,$K$2,TH$4),Table1[],(MATCH(Calendar!$A18,DB!$1:$1,0)),FALSE)),"")</f>
        <v/>
      </c>
      <c r="TI18" s="28" t="str">
        <f>IFERROR(IF(TR3="No",IF(VLOOKUP(DATE($K$1,$K$2,TI$4),Table1[],(MATCH(Calendar!$A18,DB!$1:$1,0)),FALSE)&gt;=5,"Good","Bad"),VLOOKUP(DATE($K$1,$K$2,TI$4),Table1[],(MATCH(Calendar!$A18,DB!$1:$1,0)),FALSE)),"")</f>
        <v/>
      </c>
      <c r="TJ18" s="28" t="str">
        <f>IFERROR(IF(TS3="No",IF(VLOOKUP(DATE($K$1,$K$2,TJ$4),Table1[],(MATCH(Calendar!$A18,DB!$1:$1,0)),FALSE)&gt;=5,"Good","Bad"),VLOOKUP(DATE($K$1,$K$2,TJ$4),Table1[],(MATCH(Calendar!$A18,DB!$1:$1,0)),FALSE)),"")</f>
        <v/>
      </c>
      <c r="TK18" s="28" t="str">
        <f>IFERROR(IF(TT3="No",IF(VLOOKUP(DATE($K$1,$K$2,TK$4),Table1[],(MATCH(Calendar!$A18,DB!$1:$1,0)),FALSE)&gt;=5,"Good","Bad"),VLOOKUP(DATE($K$1,$K$2,TK$4),Table1[],(MATCH(Calendar!$A18,DB!$1:$1,0)),FALSE)),"")</f>
        <v/>
      </c>
      <c r="TL18" s="28" t="str">
        <f>IFERROR(IF(TU3="No",IF(VLOOKUP(DATE($K$1,$K$2,TL$4),Table1[],(MATCH(Calendar!$A18,DB!$1:$1,0)),FALSE)&gt;=5,"Good","Bad"),VLOOKUP(DATE($K$1,$K$2,TL$4),Table1[],(MATCH(Calendar!$A18,DB!$1:$1,0)),FALSE)),"")</f>
        <v/>
      </c>
      <c r="TM18" s="28" t="str">
        <f>IFERROR(IF(TV3="No",IF(VLOOKUP(DATE($K$1,$K$2,TM$4),Table1[],(MATCH(Calendar!$A18,DB!$1:$1,0)),FALSE)&gt;=5,"Good","Bad"),VLOOKUP(DATE($K$1,$K$2,TM$4),Table1[],(MATCH(Calendar!$A18,DB!$1:$1,0)),FALSE)),"")</f>
        <v/>
      </c>
      <c r="TN18" s="28" t="str">
        <f>IFERROR(IF(TW3="No",IF(VLOOKUP(DATE($K$1,$K$2,TN$4),Table1[],(MATCH(Calendar!$A18,DB!$1:$1,0)),FALSE)&gt;=5,"Good","Bad"),VLOOKUP(DATE($K$1,$K$2,TN$4),Table1[],(MATCH(Calendar!$A18,DB!$1:$1,0)),FALSE)),"")</f>
        <v/>
      </c>
      <c r="TO18" s="28" t="str">
        <f>IFERROR(IF(TX3="No",IF(VLOOKUP(DATE($K$1,$K$2,TO$4),Table1[],(MATCH(Calendar!$A18,DB!$1:$1,0)),FALSE)&gt;=5,"Good","Bad"),VLOOKUP(DATE($K$1,$K$2,TO$4),Table1[],(MATCH(Calendar!$A18,DB!$1:$1,0)),FALSE)),"")</f>
        <v/>
      </c>
      <c r="TP18" s="28" t="str">
        <f>IFERROR(IF(TY3="No",IF(VLOOKUP(DATE($K$1,$K$2,TP$4),Table1[],(MATCH(Calendar!$A18,DB!$1:$1,0)),FALSE)&gt;=5,"Good","Bad"),VLOOKUP(DATE($K$1,$K$2,TP$4),Table1[],(MATCH(Calendar!$A18,DB!$1:$1,0)),FALSE)),"")</f>
        <v/>
      </c>
      <c r="TQ18" s="28" t="str">
        <f>IFERROR(IF(TZ3="No",IF(VLOOKUP(DATE($K$1,$K$2,TQ$4),Table1[],(MATCH(Calendar!$A18,DB!$1:$1,0)),FALSE)&gt;=5,"Good","Bad"),VLOOKUP(DATE($K$1,$K$2,TQ$4),Table1[],(MATCH(Calendar!$A18,DB!$1:$1,0)),FALSE)),"")</f>
        <v/>
      </c>
      <c r="TR18" s="28" t="str">
        <f>IFERROR(IF(UA3="No",IF(VLOOKUP(DATE($K$1,$K$2,TR$4),Table1[],(MATCH(Calendar!$A18,DB!$1:$1,0)),FALSE)&gt;=5,"Good","Bad"),VLOOKUP(DATE($K$1,$K$2,TR$4),Table1[],(MATCH(Calendar!$A18,DB!$1:$1,0)),FALSE)),"")</f>
        <v/>
      </c>
      <c r="TS18" s="28" t="str">
        <f>IFERROR(IF(UB3="No",IF(VLOOKUP(DATE($K$1,$K$2,TS$4),Table1[],(MATCH(Calendar!$A18,DB!$1:$1,0)),FALSE)&gt;=5,"Good","Bad"),VLOOKUP(DATE($K$1,$K$2,TS$4),Table1[],(MATCH(Calendar!$A18,DB!$1:$1,0)),FALSE)),"")</f>
        <v/>
      </c>
      <c r="TT18" s="28" t="str">
        <f>IFERROR(IF(UC3="No",IF(VLOOKUP(DATE($K$1,$K$2,TT$4),Table1[],(MATCH(Calendar!$A18,DB!$1:$1,0)),FALSE)&gt;=5,"Good","Bad"),VLOOKUP(DATE($K$1,$K$2,TT$4),Table1[],(MATCH(Calendar!$A18,DB!$1:$1,0)),FALSE)),"")</f>
        <v/>
      </c>
      <c r="TU18" s="28" t="str">
        <f>IFERROR(IF(UD3="No",IF(VLOOKUP(DATE($K$1,$K$2,TU$4),Table1[],(MATCH(Calendar!$A18,DB!$1:$1,0)),FALSE)&gt;=5,"Good","Bad"),VLOOKUP(DATE($K$1,$K$2,TU$4),Table1[],(MATCH(Calendar!$A18,DB!$1:$1,0)),FALSE)),"")</f>
        <v/>
      </c>
      <c r="TV18" s="28" t="str">
        <f>IFERROR(IF(UE3="No",IF(VLOOKUP(DATE($K$1,$K$2,TV$4),Table1[],(MATCH(Calendar!$A18,DB!$1:$1,0)),FALSE)&gt;=5,"Good","Bad"),VLOOKUP(DATE($K$1,$K$2,TV$4),Table1[],(MATCH(Calendar!$A18,DB!$1:$1,0)),FALSE)),"")</f>
        <v/>
      </c>
      <c r="TW18" s="28" t="str">
        <f>IFERROR(IF(UF3="No",IF(VLOOKUP(DATE($K$1,$K$2,TW$4),Table1[],(MATCH(Calendar!$A18,DB!$1:$1,0)),FALSE)&gt;=5,"Good","Bad"),VLOOKUP(DATE($K$1,$K$2,TW$4),Table1[],(MATCH(Calendar!$A18,DB!$1:$1,0)),FALSE)),"")</f>
        <v/>
      </c>
      <c r="TX18" s="28" t="str">
        <f>IFERROR(IF(UG3="No",IF(VLOOKUP(DATE($K$1,$K$2,TX$4),Table1[],(MATCH(Calendar!$A18,DB!$1:$1,0)),FALSE)&gt;=5,"Good","Bad"),VLOOKUP(DATE($K$1,$K$2,TX$4),Table1[],(MATCH(Calendar!$A18,DB!$1:$1,0)),FALSE)),"")</f>
        <v/>
      </c>
      <c r="TY18" s="28" t="str">
        <f>IFERROR(IF(UH3="No",IF(VLOOKUP(DATE($K$1,$K$2,TY$4),Table1[],(MATCH(Calendar!$A18,DB!$1:$1,0)),FALSE)&gt;=5,"Good","Bad"),VLOOKUP(DATE($K$1,$K$2,TY$4),Table1[],(MATCH(Calendar!$A18,DB!$1:$1,0)),FALSE)),"")</f>
        <v/>
      </c>
      <c r="TZ18" s="28" t="str">
        <f>IFERROR(IF(UI3="No",IF(VLOOKUP(DATE($K$1,$K$2,TZ$4),Table1[],(MATCH(Calendar!$A18,DB!$1:$1,0)),FALSE)&gt;=5,"Good","Bad"),VLOOKUP(DATE($K$1,$K$2,TZ$4),Table1[],(MATCH(Calendar!$A18,DB!$1:$1,0)),FALSE)),"")</f>
        <v/>
      </c>
      <c r="UA18" s="28" t="str">
        <f>IFERROR(IF(UJ3="No",IF(VLOOKUP(DATE($K$1,$K$2,UA$4),Table1[],(MATCH(Calendar!$A18,DB!$1:$1,0)),FALSE)&gt;=5,"Good","Bad"),VLOOKUP(DATE($K$1,$K$2,UA$4),Table1[],(MATCH(Calendar!$A18,DB!$1:$1,0)),FALSE)),"")</f>
        <v/>
      </c>
      <c r="UB18" s="28" t="str">
        <f>IFERROR(IF(UK3="No",IF(VLOOKUP(DATE($K$1,$K$2,UB$4),Table1[],(MATCH(Calendar!$A18,DB!$1:$1,0)),FALSE)&gt;=5,"Good","Bad"),VLOOKUP(DATE($K$1,$K$2,UB$4),Table1[],(MATCH(Calendar!$A18,DB!$1:$1,0)),FALSE)),"")</f>
        <v/>
      </c>
      <c r="UC18" s="28" t="str">
        <f>IFERROR(IF(UL3="No",IF(VLOOKUP(DATE($K$1,$K$2,UC$4),Table1[],(MATCH(Calendar!$A18,DB!$1:$1,0)),FALSE)&gt;=5,"Good","Bad"),VLOOKUP(DATE($K$1,$K$2,UC$4),Table1[],(MATCH(Calendar!$A18,DB!$1:$1,0)),FALSE)),"")</f>
        <v/>
      </c>
      <c r="UD18" s="28" t="str">
        <f>IFERROR(IF(UM3="No",IF(VLOOKUP(DATE($K$1,$K$2,UD$4),Table1[],(MATCH(Calendar!$A18,DB!$1:$1,0)),FALSE)&gt;=5,"Good","Bad"),VLOOKUP(DATE($K$1,$K$2,UD$4),Table1[],(MATCH(Calendar!$A18,DB!$1:$1,0)),FALSE)),"")</f>
        <v/>
      </c>
      <c r="UE18" s="28" t="str">
        <f>IFERROR(IF(UN3="No",IF(VLOOKUP(DATE($K$1,$K$2,UE$4),Table1[],(MATCH(Calendar!$A18,DB!$1:$1,0)),FALSE)&gt;=5,"Good","Bad"),VLOOKUP(DATE($K$1,$K$2,UE$4),Table1[],(MATCH(Calendar!$A18,DB!$1:$1,0)),FALSE)),"")</f>
        <v/>
      </c>
      <c r="UF18" s="28" t="str">
        <f>IFERROR(IF(UO3="No",IF(VLOOKUP(DATE($K$1,$K$2,UF$4),Table1[],(MATCH(Calendar!$A18,DB!$1:$1,0)),FALSE)&gt;=5,"Good","Bad"),VLOOKUP(DATE($K$1,$K$2,UF$4),Table1[],(MATCH(Calendar!$A18,DB!$1:$1,0)),FALSE)),"")</f>
        <v/>
      </c>
      <c r="UG18" s="28" t="str">
        <f>IFERROR(IF(UP3="No",IF(VLOOKUP(DATE($K$1,$K$2,UG$4),Table1[],(MATCH(Calendar!$A18,DB!$1:$1,0)),FALSE)&gt;=5,"Good","Bad"),VLOOKUP(DATE($K$1,$K$2,UG$4),Table1[],(MATCH(Calendar!$A18,DB!$1:$1,0)),FALSE)),"")</f>
        <v/>
      </c>
      <c r="UH18" s="28" t="str">
        <f>IFERROR(IF(UQ3="No",IF(VLOOKUP(DATE($K$1,$K$2,UH$4),Table1[],(MATCH(Calendar!$A18,DB!$1:$1,0)),FALSE)&gt;=5,"Good","Bad"),VLOOKUP(DATE($K$1,$K$2,UH$4),Table1[],(MATCH(Calendar!$A18,DB!$1:$1,0)),FALSE)),"")</f>
        <v/>
      </c>
      <c r="UI18" s="28" t="str">
        <f>IFERROR(IF(UR3="No",IF(VLOOKUP(DATE($K$1,$K$2,UI$4),Table1[],(MATCH(Calendar!$A18,DB!$1:$1,0)),FALSE)&gt;=5,"Good","Bad"),VLOOKUP(DATE($K$1,$K$2,UI$4),Table1[],(MATCH(Calendar!$A18,DB!$1:$1,0)),FALSE)),"")</f>
        <v/>
      </c>
      <c r="UJ18" s="28" t="str">
        <f>IFERROR(IF(US3="No",IF(VLOOKUP(DATE($K$1,$K$2,UJ$4),Table1[],(MATCH(Calendar!$A18,DB!$1:$1,0)),FALSE)&gt;=5,"Good","Bad"),VLOOKUP(DATE($K$1,$K$2,UJ$4),Table1[],(MATCH(Calendar!$A18,DB!$1:$1,0)),FALSE)),"")</f>
        <v/>
      </c>
      <c r="UK18" s="28" t="str">
        <f>IFERROR(IF(UT3="No",IF(VLOOKUP(DATE($K$1,$K$2,UK$4),Table1[],(MATCH(Calendar!$A18,DB!$1:$1,0)),FALSE)&gt;=5,"Good","Bad"),VLOOKUP(DATE($K$1,$K$2,UK$4),Table1[],(MATCH(Calendar!$A18,DB!$1:$1,0)),FALSE)),"")</f>
        <v/>
      </c>
      <c r="UL18" s="28" t="str">
        <f>IFERROR(IF(UU3="No",IF(VLOOKUP(DATE($K$1,$K$2,UL$4),Table1[],(MATCH(Calendar!$A18,DB!$1:$1,0)),FALSE)&gt;=5,"Good","Bad"),VLOOKUP(DATE($K$1,$K$2,UL$4),Table1[],(MATCH(Calendar!$A18,DB!$1:$1,0)),FALSE)),"")</f>
        <v/>
      </c>
      <c r="UM18" s="28" t="str">
        <f>IFERROR(IF(UV3="No",IF(VLOOKUP(DATE($K$1,$K$2,UM$4),Table1[],(MATCH(Calendar!$A18,DB!$1:$1,0)),FALSE)&gt;=5,"Good","Bad"),VLOOKUP(DATE($K$1,$K$2,UM$4),Table1[],(MATCH(Calendar!$A18,DB!$1:$1,0)),FALSE)),"")</f>
        <v/>
      </c>
      <c r="UN18" s="28" t="str">
        <f>IFERROR(IF(UW3="No",IF(VLOOKUP(DATE($K$1,$K$2,UN$4),Table1[],(MATCH(Calendar!$A18,DB!$1:$1,0)),FALSE)&gt;=5,"Good","Bad"),VLOOKUP(DATE($K$1,$K$2,UN$4),Table1[],(MATCH(Calendar!$A18,DB!$1:$1,0)),FALSE)),"")</f>
        <v/>
      </c>
      <c r="UO18" s="28" t="str">
        <f>IFERROR(IF(UX3="No",IF(VLOOKUP(DATE($K$1,$K$2,UO$4),Table1[],(MATCH(Calendar!$A18,DB!$1:$1,0)),FALSE)&gt;=5,"Good","Bad"),VLOOKUP(DATE($K$1,$K$2,UO$4),Table1[],(MATCH(Calendar!$A18,DB!$1:$1,0)),FALSE)),"")</f>
        <v/>
      </c>
      <c r="UP18" s="28" t="str">
        <f>IFERROR(IF(UY3="No",IF(VLOOKUP(DATE($K$1,$K$2,UP$4),Table1[],(MATCH(Calendar!$A18,DB!$1:$1,0)),FALSE)&gt;=5,"Good","Bad"),VLOOKUP(DATE($K$1,$K$2,UP$4),Table1[],(MATCH(Calendar!$A18,DB!$1:$1,0)),FALSE)),"")</f>
        <v/>
      </c>
      <c r="UQ18" s="28" t="str">
        <f>IFERROR(IF(UZ3="No",IF(VLOOKUP(DATE($K$1,$K$2,UQ$4),Table1[],(MATCH(Calendar!$A18,DB!$1:$1,0)),FALSE)&gt;=5,"Good","Bad"),VLOOKUP(DATE($K$1,$K$2,UQ$4),Table1[],(MATCH(Calendar!$A18,DB!$1:$1,0)),FALSE)),"")</f>
        <v/>
      </c>
      <c r="UR18" s="28" t="str">
        <f>IFERROR(IF(VA3="No",IF(VLOOKUP(DATE($K$1,$K$2,UR$4),Table1[],(MATCH(Calendar!$A18,DB!$1:$1,0)),FALSE)&gt;=5,"Good","Bad"),VLOOKUP(DATE($K$1,$K$2,UR$4),Table1[],(MATCH(Calendar!$A18,DB!$1:$1,0)),FALSE)),"")</f>
        <v/>
      </c>
      <c r="US18" s="28" t="str">
        <f>IFERROR(IF(VB3="No",IF(VLOOKUP(DATE($K$1,$K$2,US$4),Table1[],(MATCH(Calendar!$A18,DB!$1:$1,0)),FALSE)&gt;=5,"Good","Bad"),VLOOKUP(DATE($K$1,$K$2,US$4),Table1[],(MATCH(Calendar!$A18,DB!$1:$1,0)),FALSE)),"")</f>
        <v/>
      </c>
      <c r="UT18" s="28" t="str">
        <f>IFERROR(IF(VC3="No",IF(VLOOKUP(DATE($K$1,$K$2,UT$4),Table1[],(MATCH(Calendar!$A18,DB!$1:$1,0)),FALSE)&gt;=5,"Good","Bad"),VLOOKUP(DATE($K$1,$K$2,UT$4),Table1[],(MATCH(Calendar!$A18,DB!$1:$1,0)),FALSE)),"")</f>
        <v/>
      </c>
      <c r="UU18" s="28" t="str">
        <f>IFERROR(IF(VD3="No",IF(VLOOKUP(DATE($K$1,$K$2,UU$4),Table1[],(MATCH(Calendar!$A18,DB!$1:$1,0)),FALSE)&gt;=5,"Good","Bad"),VLOOKUP(DATE($K$1,$K$2,UU$4),Table1[],(MATCH(Calendar!$A18,DB!$1:$1,0)),FALSE)),"")</f>
        <v/>
      </c>
      <c r="UV18" s="28" t="str">
        <f>IFERROR(IF(VE3="No",IF(VLOOKUP(DATE($K$1,$K$2,UV$4),Table1[],(MATCH(Calendar!$A18,DB!$1:$1,0)),FALSE)&gt;=5,"Good","Bad"),VLOOKUP(DATE($K$1,$K$2,UV$4),Table1[],(MATCH(Calendar!$A18,DB!$1:$1,0)),FALSE)),"")</f>
        <v/>
      </c>
      <c r="UW18" s="28" t="str">
        <f>IFERROR(IF(VF3="No",IF(VLOOKUP(DATE($K$1,$K$2,UW$4),Table1[],(MATCH(Calendar!$A18,DB!$1:$1,0)),FALSE)&gt;=5,"Good","Bad"),VLOOKUP(DATE($K$1,$K$2,UW$4),Table1[],(MATCH(Calendar!$A18,DB!$1:$1,0)),FALSE)),"")</f>
        <v/>
      </c>
      <c r="UX18" s="28" t="str">
        <f>IFERROR(IF(VG3="No",IF(VLOOKUP(DATE($K$1,$K$2,UX$4),Table1[],(MATCH(Calendar!$A18,DB!$1:$1,0)),FALSE)&gt;=5,"Good","Bad"),VLOOKUP(DATE($K$1,$K$2,UX$4),Table1[],(MATCH(Calendar!$A18,DB!$1:$1,0)),FALSE)),"")</f>
        <v/>
      </c>
      <c r="UY18" s="28" t="str">
        <f>IFERROR(IF(VH3="No",IF(VLOOKUP(DATE($K$1,$K$2,UY$4),Table1[],(MATCH(Calendar!$A18,DB!$1:$1,0)),FALSE)&gt;=5,"Good","Bad"),VLOOKUP(DATE($K$1,$K$2,UY$4),Table1[],(MATCH(Calendar!$A18,DB!$1:$1,0)),FALSE)),"")</f>
        <v/>
      </c>
      <c r="UZ18" s="28" t="str">
        <f>IFERROR(IF(VI3="No",IF(VLOOKUP(DATE($K$1,$K$2,UZ$4),Table1[],(MATCH(Calendar!$A18,DB!$1:$1,0)),FALSE)&gt;=5,"Good","Bad"),VLOOKUP(DATE($K$1,$K$2,UZ$4),Table1[],(MATCH(Calendar!$A18,DB!$1:$1,0)),FALSE)),"")</f>
        <v/>
      </c>
      <c r="VA18" s="28" t="str">
        <f>IFERROR(IF(VJ3="No",IF(VLOOKUP(DATE($K$1,$K$2,VA$4),Table1[],(MATCH(Calendar!$A18,DB!$1:$1,0)),FALSE)&gt;=5,"Good","Bad"),VLOOKUP(DATE($K$1,$K$2,VA$4),Table1[],(MATCH(Calendar!$A18,DB!$1:$1,0)),FALSE)),"")</f>
        <v/>
      </c>
      <c r="VB18" s="28" t="str">
        <f>IFERROR(IF(VK3="No",IF(VLOOKUP(DATE($K$1,$K$2,VB$4),Table1[],(MATCH(Calendar!$A18,DB!$1:$1,0)),FALSE)&gt;=5,"Good","Bad"),VLOOKUP(DATE($K$1,$K$2,VB$4),Table1[],(MATCH(Calendar!$A18,DB!$1:$1,0)),FALSE)),"")</f>
        <v/>
      </c>
      <c r="VC18" s="28" t="str">
        <f>IFERROR(IF(VL3="No",IF(VLOOKUP(DATE($K$1,$K$2,VC$4),Table1[],(MATCH(Calendar!$A18,DB!$1:$1,0)),FALSE)&gt;=5,"Good","Bad"),VLOOKUP(DATE($K$1,$K$2,VC$4),Table1[],(MATCH(Calendar!$A18,DB!$1:$1,0)),FALSE)),"")</f>
        <v/>
      </c>
      <c r="VD18" s="28" t="str">
        <f>IFERROR(IF(VM3="No",IF(VLOOKUP(DATE($K$1,$K$2,VD$4),Table1[],(MATCH(Calendar!$A18,DB!$1:$1,0)),FALSE)&gt;=5,"Good","Bad"),VLOOKUP(DATE($K$1,$K$2,VD$4),Table1[],(MATCH(Calendar!$A18,DB!$1:$1,0)),FALSE)),"")</f>
        <v/>
      </c>
      <c r="VE18" s="28" t="str">
        <f>IFERROR(IF(VN3="No",IF(VLOOKUP(DATE($K$1,$K$2,VE$4),Table1[],(MATCH(Calendar!$A18,DB!$1:$1,0)),FALSE)&gt;=5,"Good","Bad"),VLOOKUP(DATE($K$1,$K$2,VE$4),Table1[],(MATCH(Calendar!$A18,DB!$1:$1,0)),FALSE)),"")</f>
        <v/>
      </c>
      <c r="VF18" s="28" t="str">
        <f>IFERROR(IF(VO3="No",IF(VLOOKUP(DATE($K$1,$K$2,VF$4),Table1[],(MATCH(Calendar!$A18,DB!$1:$1,0)),FALSE)&gt;=5,"Good","Bad"),VLOOKUP(DATE($K$1,$K$2,VF$4),Table1[],(MATCH(Calendar!$A18,DB!$1:$1,0)),FALSE)),"")</f>
        <v/>
      </c>
      <c r="VG18" s="28" t="str">
        <f>IFERROR(IF(VP3="No",IF(VLOOKUP(DATE($K$1,$K$2,VG$4),Table1[],(MATCH(Calendar!$A18,DB!$1:$1,0)),FALSE)&gt;=5,"Good","Bad"),VLOOKUP(DATE($K$1,$K$2,VG$4),Table1[],(MATCH(Calendar!$A18,DB!$1:$1,0)),FALSE)),"")</f>
        <v/>
      </c>
      <c r="VH18" s="28" t="str">
        <f>IFERROR(IF(VQ3="No",IF(VLOOKUP(DATE($K$1,$K$2,VH$4),Table1[],(MATCH(Calendar!$A18,DB!$1:$1,0)),FALSE)&gt;=5,"Good","Bad"),VLOOKUP(DATE($K$1,$K$2,VH$4),Table1[],(MATCH(Calendar!$A18,DB!$1:$1,0)),FALSE)),"")</f>
        <v/>
      </c>
      <c r="VI18" s="28" t="str">
        <f>IFERROR(IF(VR3="No",IF(VLOOKUP(DATE($K$1,$K$2,VI$4),Table1[],(MATCH(Calendar!$A18,DB!$1:$1,0)),FALSE)&gt;=5,"Good","Bad"),VLOOKUP(DATE($K$1,$K$2,VI$4),Table1[],(MATCH(Calendar!$A18,DB!$1:$1,0)),FALSE)),"")</f>
        <v/>
      </c>
      <c r="VJ18" s="28" t="str">
        <f>IFERROR(IF(VS3="No",IF(VLOOKUP(DATE($K$1,$K$2,VJ$4),Table1[],(MATCH(Calendar!$A18,DB!$1:$1,0)),FALSE)&gt;=5,"Good","Bad"),VLOOKUP(DATE($K$1,$K$2,VJ$4),Table1[],(MATCH(Calendar!$A18,DB!$1:$1,0)),FALSE)),"")</f>
        <v/>
      </c>
      <c r="VK18" s="28" t="str">
        <f>IFERROR(IF(VT3="No",IF(VLOOKUP(DATE($K$1,$K$2,VK$4),Table1[],(MATCH(Calendar!$A18,DB!$1:$1,0)),FALSE)&gt;=5,"Good","Bad"),VLOOKUP(DATE($K$1,$K$2,VK$4),Table1[],(MATCH(Calendar!$A18,DB!$1:$1,0)),FALSE)),"")</f>
        <v/>
      </c>
      <c r="VL18" s="28" t="str">
        <f>IFERROR(IF(VU3="No",IF(VLOOKUP(DATE($K$1,$K$2,VL$4),Table1[],(MATCH(Calendar!$A18,DB!$1:$1,0)),FALSE)&gt;=5,"Good","Bad"),VLOOKUP(DATE($K$1,$K$2,VL$4),Table1[],(MATCH(Calendar!$A18,DB!$1:$1,0)),FALSE)),"")</f>
        <v/>
      </c>
      <c r="VM18" s="28" t="str">
        <f>IFERROR(IF(VV3="No",IF(VLOOKUP(DATE($K$1,$K$2,VM$4),Table1[],(MATCH(Calendar!$A18,DB!$1:$1,0)),FALSE)&gt;=5,"Good","Bad"),VLOOKUP(DATE($K$1,$K$2,VM$4),Table1[],(MATCH(Calendar!$A18,DB!$1:$1,0)),FALSE)),"")</f>
        <v/>
      </c>
      <c r="VN18" s="28" t="str">
        <f>IFERROR(IF(VW3="No",IF(VLOOKUP(DATE($K$1,$K$2,VN$4),Table1[],(MATCH(Calendar!$A18,DB!$1:$1,0)),FALSE)&gt;=5,"Good","Bad"),VLOOKUP(DATE($K$1,$K$2,VN$4),Table1[],(MATCH(Calendar!$A18,DB!$1:$1,0)),FALSE)),"")</f>
        <v/>
      </c>
      <c r="VO18" s="28" t="str">
        <f>IFERROR(IF(VX3="No",IF(VLOOKUP(DATE($K$1,$K$2,VO$4),Table1[],(MATCH(Calendar!$A18,DB!$1:$1,0)),FALSE)&gt;=5,"Good","Bad"),VLOOKUP(DATE($K$1,$K$2,VO$4),Table1[],(MATCH(Calendar!$A18,DB!$1:$1,0)),FALSE)),"")</f>
        <v/>
      </c>
      <c r="VP18" s="28" t="str">
        <f>IFERROR(IF(VY3="No",IF(VLOOKUP(DATE($K$1,$K$2,VP$4),Table1[],(MATCH(Calendar!$A18,DB!$1:$1,0)),FALSE)&gt;=5,"Good","Bad"),VLOOKUP(DATE($K$1,$K$2,VP$4),Table1[],(MATCH(Calendar!$A18,DB!$1:$1,0)),FALSE)),"")</f>
        <v/>
      </c>
      <c r="VQ18" s="28" t="str">
        <f>IFERROR(IF(VZ3="No",IF(VLOOKUP(DATE($K$1,$K$2,VQ$4),Table1[],(MATCH(Calendar!$A18,DB!$1:$1,0)),FALSE)&gt;=5,"Good","Bad"),VLOOKUP(DATE($K$1,$K$2,VQ$4),Table1[],(MATCH(Calendar!$A18,DB!$1:$1,0)),FALSE)),"")</f>
        <v/>
      </c>
      <c r="VR18" s="28" t="str">
        <f>IFERROR(IF(WA3="No",IF(VLOOKUP(DATE($K$1,$K$2,VR$4),Table1[],(MATCH(Calendar!$A18,DB!$1:$1,0)),FALSE)&gt;=5,"Good","Bad"),VLOOKUP(DATE($K$1,$K$2,VR$4),Table1[],(MATCH(Calendar!$A18,DB!$1:$1,0)),FALSE)),"")</f>
        <v/>
      </c>
      <c r="VS18" s="28" t="str">
        <f>IFERROR(IF(WB3="No",IF(VLOOKUP(DATE($K$1,$K$2,VS$4),Table1[],(MATCH(Calendar!$A18,DB!$1:$1,0)),FALSE)&gt;=5,"Good","Bad"),VLOOKUP(DATE($K$1,$K$2,VS$4),Table1[],(MATCH(Calendar!$A18,DB!$1:$1,0)),FALSE)),"")</f>
        <v/>
      </c>
      <c r="VT18" s="28" t="str">
        <f>IFERROR(IF(WC3="No",IF(VLOOKUP(DATE($K$1,$K$2,VT$4),Table1[],(MATCH(Calendar!$A18,DB!$1:$1,0)),FALSE)&gt;=5,"Good","Bad"),VLOOKUP(DATE($K$1,$K$2,VT$4),Table1[],(MATCH(Calendar!$A18,DB!$1:$1,0)),FALSE)),"")</f>
        <v/>
      </c>
      <c r="VU18" s="28" t="str">
        <f>IFERROR(IF(WD3="No",IF(VLOOKUP(DATE($K$1,$K$2,VU$4),Table1[],(MATCH(Calendar!$A18,DB!$1:$1,0)),FALSE)&gt;=5,"Good","Bad"),VLOOKUP(DATE($K$1,$K$2,VU$4),Table1[],(MATCH(Calendar!$A18,DB!$1:$1,0)),FALSE)),"")</f>
        <v/>
      </c>
      <c r="VV18" s="28" t="str">
        <f>IFERROR(IF(WE3="No",IF(VLOOKUP(DATE($K$1,$K$2,VV$4),Table1[],(MATCH(Calendar!$A18,DB!$1:$1,0)),FALSE)&gt;=5,"Good","Bad"),VLOOKUP(DATE($K$1,$K$2,VV$4),Table1[],(MATCH(Calendar!$A18,DB!$1:$1,0)),FALSE)),"")</f>
        <v/>
      </c>
      <c r="VW18" s="28" t="str">
        <f>IFERROR(IF(WF3="No",IF(VLOOKUP(DATE($K$1,$K$2,VW$4),Table1[],(MATCH(Calendar!$A18,DB!$1:$1,0)),FALSE)&gt;=5,"Good","Bad"),VLOOKUP(DATE($K$1,$K$2,VW$4),Table1[],(MATCH(Calendar!$A18,DB!$1:$1,0)),FALSE)),"")</f>
        <v/>
      </c>
      <c r="VX18" s="28" t="str">
        <f>IFERROR(IF(WG3="No",IF(VLOOKUP(DATE($K$1,$K$2,VX$4),Table1[],(MATCH(Calendar!$A18,DB!$1:$1,0)),FALSE)&gt;=5,"Good","Bad"),VLOOKUP(DATE($K$1,$K$2,VX$4),Table1[],(MATCH(Calendar!$A18,DB!$1:$1,0)),FALSE)),"")</f>
        <v/>
      </c>
      <c r="VY18" s="28" t="str">
        <f>IFERROR(IF(WH3="No",IF(VLOOKUP(DATE($K$1,$K$2,VY$4),Table1[],(MATCH(Calendar!$A18,DB!$1:$1,0)),FALSE)&gt;=5,"Good","Bad"),VLOOKUP(DATE($K$1,$K$2,VY$4),Table1[],(MATCH(Calendar!$A18,DB!$1:$1,0)),FALSE)),"")</f>
        <v/>
      </c>
      <c r="VZ18" s="28" t="str">
        <f>IFERROR(IF(WI3="No",IF(VLOOKUP(DATE($K$1,$K$2,VZ$4),Table1[],(MATCH(Calendar!$A18,DB!$1:$1,0)),FALSE)&gt;=5,"Good","Bad"),VLOOKUP(DATE($K$1,$K$2,VZ$4),Table1[],(MATCH(Calendar!$A18,DB!$1:$1,0)),FALSE)),"")</f>
        <v/>
      </c>
      <c r="WA18" s="28" t="str">
        <f>IFERROR(IF(WJ3="No",IF(VLOOKUP(DATE($K$1,$K$2,WA$4),Table1[],(MATCH(Calendar!$A18,DB!$1:$1,0)),FALSE)&gt;=5,"Good","Bad"),VLOOKUP(DATE($K$1,$K$2,WA$4),Table1[],(MATCH(Calendar!$A18,DB!$1:$1,0)),FALSE)),"")</f>
        <v/>
      </c>
      <c r="WB18" s="28" t="str">
        <f>IFERROR(IF(WK3="No",IF(VLOOKUP(DATE($K$1,$K$2,WB$4),Table1[],(MATCH(Calendar!$A18,DB!$1:$1,0)),FALSE)&gt;=5,"Good","Bad"),VLOOKUP(DATE($K$1,$K$2,WB$4),Table1[],(MATCH(Calendar!$A18,DB!$1:$1,0)),FALSE)),"")</f>
        <v/>
      </c>
      <c r="WC18" s="28" t="str">
        <f>IFERROR(IF(WL3="No",IF(VLOOKUP(DATE($K$1,$K$2,WC$4),Table1[],(MATCH(Calendar!$A18,DB!$1:$1,0)),FALSE)&gt;=5,"Good","Bad"),VLOOKUP(DATE($K$1,$K$2,WC$4),Table1[],(MATCH(Calendar!$A18,DB!$1:$1,0)),FALSE)),"")</f>
        <v/>
      </c>
      <c r="WD18" s="28" t="str">
        <f>IFERROR(IF(WM3="No",IF(VLOOKUP(DATE($K$1,$K$2,WD$4),Table1[],(MATCH(Calendar!$A18,DB!$1:$1,0)),FALSE)&gt;=5,"Good","Bad"),VLOOKUP(DATE($K$1,$K$2,WD$4),Table1[],(MATCH(Calendar!$A18,DB!$1:$1,0)),FALSE)),"")</f>
        <v/>
      </c>
      <c r="WE18" s="28" t="str">
        <f>IFERROR(IF(WN3="No",IF(VLOOKUP(DATE($K$1,$K$2,WE$4),Table1[],(MATCH(Calendar!$A18,DB!$1:$1,0)),FALSE)&gt;=5,"Good","Bad"),VLOOKUP(DATE($K$1,$K$2,WE$4),Table1[],(MATCH(Calendar!$A18,DB!$1:$1,0)),FALSE)),"")</f>
        <v/>
      </c>
      <c r="WF18" s="28" t="str">
        <f>IFERROR(IF(WO3="No",IF(VLOOKUP(DATE($K$1,$K$2,WF$4),Table1[],(MATCH(Calendar!$A18,DB!$1:$1,0)),FALSE)&gt;=5,"Good","Bad"),VLOOKUP(DATE($K$1,$K$2,WF$4),Table1[],(MATCH(Calendar!$A18,DB!$1:$1,0)),FALSE)),"")</f>
        <v/>
      </c>
      <c r="WG18" s="28" t="str">
        <f>IFERROR(IF(WP3="No",IF(VLOOKUP(DATE($K$1,$K$2,WG$4),Table1[],(MATCH(Calendar!$A18,DB!$1:$1,0)),FALSE)&gt;=5,"Good","Bad"),VLOOKUP(DATE($K$1,$K$2,WG$4),Table1[],(MATCH(Calendar!$A18,DB!$1:$1,0)),FALSE)),"")</f>
        <v/>
      </c>
      <c r="WH18" s="28" t="str">
        <f>IFERROR(IF(WQ3="No",IF(VLOOKUP(DATE($K$1,$K$2,WH$4),Table1[],(MATCH(Calendar!$A18,DB!$1:$1,0)),FALSE)&gt;=5,"Good","Bad"),VLOOKUP(DATE($K$1,$K$2,WH$4),Table1[],(MATCH(Calendar!$A18,DB!$1:$1,0)),FALSE)),"")</f>
        <v/>
      </c>
      <c r="WI18" s="28" t="str">
        <f>IFERROR(IF(WR3="No",IF(VLOOKUP(DATE($K$1,$K$2,WI$4),Table1[],(MATCH(Calendar!$A18,DB!$1:$1,0)),FALSE)&gt;=5,"Good","Bad"),VLOOKUP(DATE($K$1,$K$2,WI$4),Table1[],(MATCH(Calendar!$A18,DB!$1:$1,0)),FALSE)),"")</f>
        <v/>
      </c>
      <c r="WJ18" s="28" t="str">
        <f>IFERROR(IF(WS3="No",IF(VLOOKUP(DATE($K$1,$K$2,WJ$4),Table1[],(MATCH(Calendar!$A18,DB!$1:$1,0)),FALSE)&gt;=5,"Good","Bad"),VLOOKUP(DATE($K$1,$K$2,WJ$4),Table1[],(MATCH(Calendar!$A18,DB!$1:$1,0)),FALSE)),"")</f>
        <v/>
      </c>
      <c r="WK18" s="28" t="str">
        <f>IFERROR(IF(WT3="No",IF(VLOOKUP(DATE($K$1,$K$2,WK$4),Table1[],(MATCH(Calendar!$A18,DB!$1:$1,0)),FALSE)&gt;=5,"Good","Bad"),VLOOKUP(DATE($K$1,$K$2,WK$4),Table1[],(MATCH(Calendar!$A18,DB!$1:$1,0)),FALSE)),"")</f>
        <v/>
      </c>
      <c r="WL18" s="28" t="str">
        <f>IFERROR(IF(WU3="No",IF(VLOOKUP(DATE($K$1,$K$2,WL$4),Table1[],(MATCH(Calendar!$A18,DB!$1:$1,0)),FALSE)&gt;=5,"Good","Bad"),VLOOKUP(DATE($K$1,$K$2,WL$4),Table1[],(MATCH(Calendar!$A18,DB!$1:$1,0)),FALSE)),"")</f>
        <v/>
      </c>
      <c r="WM18" s="28" t="str">
        <f>IFERROR(IF(WV3="No",IF(VLOOKUP(DATE($K$1,$K$2,WM$4),Table1[],(MATCH(Calendar!$A18,DB!$1:$1,0)),FALSE)&gt;=5,"Good","Bad"),VLOOKUP(DATE($K$1,$K$2,WM$4),Table1[],(MATCH(Calendar!$A18,DB!$1:$1,0)),FALSE)),"")</f>
        <v/>
      </c>
      <c r="WN18" s="28" t="str">
        <f>IFERROR(IF(WW3="No",IF(VLOOKUP(DATE($K$1,$K$2,WN$4),Table1[],(MATCH(Calendar!$A18,DB!$1:$1,0)),FALSE)&gt;=5,"Good","Bad"),VLOOKUP(DATE($K$1,$K$2,WN$4),Table1[],(MATCH(Calendar!$A18,DB!$1:$1,0)),FALSE)),"")</f>
        <v/>
      </c>
      <c r="WO18" s="28" t="str">
        <f>IFERROR(IF(WX3="No",IF(VLOOKUP(DATE($K$1,$K$2,WO$4),Table1[],(MATCH(Calendar!$A18,DB!$1:$1,0)),FALSE)&gt;=5,"Good","Bad"),VLOOKUP(DATE($K$1,$K$2,WO$4),Table1[],(MATCH(Calendar!$A18,DB!$1:$1,0)),FALSE)),"")</f>
        <v/>
      </c>
      <c r="WP18" s="28" t="str">
        <f>IFERROR(IF(WY3="No",IF(VLOOKUP(DATE($K$1,$K$2,WP$4),Table1[],(MATCH(Calendar!$A18,DB!$1:$1,0)),FALSE)&gt;=5,"Good","Bad"),VLOOKUP(DATE($K$1,$K$2,WP$4),Table1[],(MATCH(Calendar!$A18,DB!$1:$1,0)),FALSE)),"")</f>
        <v/>
      </c>
      <c r="WQ18" s="28" t="str">
        <f>IFERROR(IF(WZ3="No",IF(VLOOKUP(DATE($K$1,$K$2,WQ$4),Table1[],(MATCH(Calendar!$A18,DB!$1:$1,0)),FALSE)&gt;=5,"Good","Bad"),VLOOKUP(DATE($K$1,$K$2,WQ$4),Table1[],(MATCH(Calendar!$A18,DB!$1:$1,0)),FALSE)),"")</f>
        <v/>
      </c>
      <c r="WR18" s="28" t="str">
        <f>IFERROR(IF(XA3="No",IF(VLOOKUP(DATE($K$1,$K$2,WR$4),Table1[],(MATCH(Calendar!$A18,DB!$1:$1,0)),FALSE)&gt;=5,"Good","Bad"),VLOOKUP(DATE($K$1,$K$2,WR$4),Table1[],(MATCH(Calendar!$A18,DB!$1:$1,0)),FALSE)),"")</f>
        <v/>
      </c>
      <c r="WS18" s="28" t="str">
        <f>IFERROR(IF(XB3="No",IF(VLOOKUP(DATE($K$1,$K$2,WS$4),Table1[],(MATCH(Calendar!$A18,DB!$1:$1,0)),FALSE)&gt;=5,"Good","Bad"),VLOOKUP(DATE($K$1,$K$2,WS$4),Table1[],(MATCH(Calendar!$A18,DB!$1:$1,0)),FALSE)),"")</f>
        <v/>
      </c>
      <c r="WT18" s="28" t="str">
        <f>IFERROR(IF(XC3="No",IF(VLOOKUP(DATE($K$1,$K$2,WT$4),Table1[],(MATCH(Calendar!$A18,DB!$1:$1,0)),FALSE)&gt;=5,"Good","Bad"),VLOOKUP(DATE($K$1,$K$2,WT$4),Table1[],(MATCH(Calendar!$A18,DB!$1:$1,0)),FALSE)),"")</f>
        <v/>
      </c>
      <c r="WU18" s="28" t="str">
        <f>IFERROR(IF(XD3="No",IF(VLOOKUP(DATE($K$1,$K$2,WU$4),Table1[],(MATCH(Calendar!$A18,DB!$1:$1,0)),FALSE)&gt;=5,"Good","Bad"),VLOOKUP(DATE($K$1,$K$2,WU$4),Table1[],(MATCH(Calendar!$A18,DB!$1:$1,0)),FALSE)),"")</f>
        <v/>
      </c>
      <c r="WV18" s="28" t="str">
        <f>IFERROR(IF(XE3="No",IF(VLOOKUP(DATE($K$1,$K$2,WV$4),Table1[],(MATCH(Calendar!$A18,DB!$1:$1,0)),FALSE)&gt;=5,"Good","Bad"),VLOOKUP(DATE($K$1,$K$2,WV$4),Table1[],(MATCH(Calendar!$A18,DB!$1:$1,0)),FALSE)),"")</f>
        <v/>
      </c>
      <c r="WW18" s="28" t="str">
        <f>IFERROR(IF(XF3="No",IF(VLOOKUP(DATE($K$1,$K$2,WW$4),Table1[],(MATCH(Calendar!$A18,DB!$1:$1,0)),FALSE)&gt;=5,"Good","Bad"),VLOOKUP(DATE($K$1,$K$2,WW$4),Table1[],(MATCH(Calendar!$A18,DB!$1:$1,0)),FALSE)),"")</f>
        <v/>
      </c>
      <c r="WX18" s="28" t="str">
        <f>IFERROR(IF(XG3="No",IF(VLOOKUP(DATE($K$1,$K$2,WX$4),Table1[],(MATCH(Calendar!$A18,DB!$1:$1,0)),FALSE)&gt;=5,"Good","Bad"),VLOOKUP(DATE($K$1,$K$2,WX$4),Table1[],(MATCH(Calendar!$A18,DB!$1:$1,0)),FALSE)),"")</f>
        <v/>
      </c>
      <c r="WY18" s="28" t="str">
        <f>IFERROR(IF(XH3="No",IF(VLOOKUP(DATE($K$1,$K$2,WY$4),Table1[],(MATCH(Calendar!$A18,DB!$1:$1,0)),FALSE)&gt;=5,"Good","Bad"),VLOOKUP(DATE($K$1,$K$2,WY$4),Table1[],(MATCH(Calendar!$A18,DB!$1:$1,0)),FALSE)),"")</f>
        <v/>
      </c>
      <c r="WZ18" s="28" t="str">
        <f>IFERROR(IF(XI3="No",IF(VLOOKUP(DATE($K$1,$K$2,WZ$4),Table1[],(MATCH(Calendar!$A18,DB!$1:$1,0)),FALSE)&gt;=5,"Good","Bad"),VLOOKUP(DATE($K$1,$K$2,WZ$4),Table1[],(MATCH(Calendar!$A18,DB!$1:$1,0)),FALSE)),"")</f>
        <v/>
      </c>
      <c r="XA18" s="28" t="str">
        <f>IFERROR(IF(XJ3="No",IF(VLOOKUP(DATE($K$1,$K$2,XA$4),Table1[],(MATCH(Calendar!$A18,DB!$1:$1,0)),FALSE)&gt;=5,"Good","Bad"),VLOOKUP(DATE($K$1,$K$2,XA$4),Table1[],(MATCH(Calendar!$A18,DB!$1:$1,0)),FALSE)),"")</f>
        <v/>
      </c>
      <c r="XB18" s="28" t="str">
        <f>IFERROR(IF(XK3="No",IF(VLOOKUP(DATE($K$1,$K$2,XB$4),Table1[],(MATCH(Calendar!$A18,DB!$1:$1,0)),FALSE)&gt;=5,"Good","Bad"),VLOOKUP(DATE($K$1,$K$2,XB$4),Table1[],(MATCH(Calendar!$A18,DB!$1:$1,0)),FALSE)),"")</f>
        <v/>
      </c>
      <c r="XC18" s="28" t="str">
        <f>IFERROR(IF(XL3="No",IF(VLOOKUP(DATE($K$1,$K$2,XC$4),Table1[],(MATCH(Calendar!$A18,DB!$1:$1,0)),FALSE)&gt;=5,"Good","Bad"),VLOOKUP(DATE($K$1,$K$2,XC$4),Table1[],(MATCH(Calendar!$A18,DB!$1:$1,0)),FALSE)),"")</f>
        <v/>
      </c>
      <c r="XD18" s="28" t="str">
        <f>IFERROR(IF(XM3="No",IF(VLOOKUP(DATE($K$1,$K$2,XD$4),Table1[],(MATCH(Calendar!$A18,DB!$1:$1,0)),FALSE)&gt;=5,"Good","Bad"),VLOOKUP(DATE($K$1,$K$2,XD$4),Table1[],(MATCH(Calendar!$A18,DB!$1:$1,0)),FALSE)),"")</f>
        <v/>
      </c>
      <c r="XE18" s="28" t="str">
        <f>IFERROR(IF(XN3="No",IF(VLOOKUP(DATE($K$1,$K$2,XE$4),Table1[],(MATCH(Calendar!$A18,DB!$1:$1,0)),FALSE)&gt;=5,"Good","Bad"),VLOOKUP(DATE($K$1,$K$2,XE$4),Table1[],(MATCH(Calendar!$A18,DB!$1:$1,0)),FALSE)),"")</f>
        <v/>
      </c>
      <c r="XF18" s="28" t="str">
        <f>IFERROR(IF(XO3="No",IF(VLOOKUP(DATE($K$1,$K$2,XF$4),Table1[],(MATCH(Calendar!$A18,DB!$1:$1,0)),FALSE)&gt;=5,"Good","Bad"),VLOOKUP(DATE($K$1,$K$2,XF$4),Table1[],(MATCH(Calendar!$A18,DB!$1:$1,0)),FALSE)),"")</f>
        <v/>
      </c>
      <c r="XG18" s="28" t="str">
        <f>IFERROR(IF(XP3="No",IF(VLOOKUP(DATE($K$1,$K$2,XG$4),Table1[],(MATCH(Calendar!$A18,DB!$1:$1,0)),FALSE)&gt;=5,"Good","Bad"),VLOOKUP(DATE($K$1,$K$2,XG$4),Table1[],(MATCH(Calendar!$A18,DB!$1:$1,0)),FALSE)),"")</f>
        <v/>
      </c>
      <c r="XH18" s="28" t="str">
        <f>IFERROR(IF(XQ3="No",IF(VLOOKUP(DATE($K$1,$K$2,XH$4),Table1[],(MATCH(Calendar!$A18,DB!$1:$1,0)),FALSE)&gt;=5,"Good","Bad"),VLOOKUP(DATE($K$1,$K$2,XH$4),Table1[],(MATCH(Calendar!$A18,DB!$1:$1,0)),FALSE)),"")</f>
        <v/>
      </c>
      <c r="XI18" s="28" t="str">
        <f>IFERROR(IF(XR3="No",IF(VLOOKUP(DATE($K$1,$K$2,XI$4),Table1[],(MATCH(Calendar!$A18,DB!$1:$1,0)),FALSE)&gt;=5,"Good","Bad"),VLOOKUP(DATE($K$1,$K$2,XI$4),Table1[],(MATCH(Calendar!$A18,DB!$1:$1,0)),FALSE)),"")</f>
        <v/>
      </c>
      <c r="XJ18" s="28" t="str">
        <f>IFERROR(IF(XS3="No",IF(VLOOKUP(DATE($K$1,$K$2,XJ$4),Table1[],(MATCH(Calendar!$A18,DB!$1:$1,0)),FALSE)&gt;=5,"Good","Bad"),VLOOKUP(DATE($K$1,$K$2,XJ$4),Table1[],(MATCH(Calendar!$A18,DB!$1:$1,0)),FALSE)),"")</f>
        <v/>
      </c>
      <c r="XK18" s="28" t="str">
        <f>IFERROR(IF(XT3="No",IF(VLOOKUP(DATE($K$1,$K$2,XK$4),Table1[],(MATCH(Calendar!$A18,DB!$1:$1,0)),FALSE)&gt;=5,"Good","Bad"),VLOOKUP(DATE($K$1,$K$2,XK$4),Table1[],(MATCH(Calendar!$A18,DB!$1:$1,0)),FALSE)),"")</f>
        <v/>
      </c>
      <c r="XL18" s="28" t="str">
        <f>IFERROR(IF(XU3="No",IF(VLOOKUP(DATE($K$1,$K$2,XL$4),Table1[],(MATCH(Calendar!$A18,DB!$1:$1,0)),FALSE)&gt;=5,"Good","Bad"),VLOOKUP(DATE($K$1,$K$2,XL$4),Table1[],(MATCH(Calendar!$A18,DB!$1:$1,0)),FALSE)),"")</f>
        <v/>
      </c>
      <c r="XM18" s="28" t="str">
        <f>IFERROR(IF(XV3="No",IF(VLOOKUP(DATE($K$1,$K$2,XM$4),Table1[],(MATCH(Calendar!$A18,DB!$1:$1,0)),FALSE)&gt;=5,"Good","Bad"),VLOOKUP(DATE($K$1,$K$2,XM$4),Table1[],(MATCH(Calendar!$A18,DB!$1:$1,0)),FALSE)),"")</f>
        <v/>
      </c>
      <c r="XN18" s="28" t="str">
        <f>IFERROR(IF(XW3="No",IF(VLOOKUP(DATE($K$1,$K$2,XN$4),Table1[],(MATCH(Calendar!$A18,DB!$1:$1,0)),FALSE)&gt;=5,"Good","Bad"),VLOOKUP(DATE($K$1,$K$2,XN$4),Table1[],(MATCH(Calendar!$A18,DB!$1:$1,0)),FALSE)),"")</f>
        <v/>
      </c>
      <c r="XO18" s="28" t="str">
        <f>IFERROR(IF(XX3="No",IF(VLOOKUP(DATE($K$1,$K$2,XO$4),Table1[],(MATCH(Calendar!$A18,DB!$1:$1,0)),FALSE)&gt;=5,"Good","Bad"),VLOOKUP(DATE($K$1,$K$2,XO$4),Table1[],(MATCH(Calendar!$A18,DB!$1:$1,0)),FALSE)),"")</f>
        <v/>
      </c>
      <c r="XP18" s="28" t="str">
        <f>IFERROR(IF(XY3="No",IF(VLOOKUP(DATE($K$1,$K$2,XP$4),Table1[],(MATCH(Calendar!$A18,DB!$1:$1,0)),FALSE)&gt;=5,"Good","Bad"),VLOOKUP(DATE($K$1,$K$2,XP$4),Table1[],(MATCH(Calendar!$A18,DB!$1:$1,0)),FALSE)),"")</f>
        <v/>
      </c>
      <c r="XQ18" s="28" t="str">
        <f>IFERROR(IF(XZ3="No",IF(VLOOKUP(DATE($K$1,$K$2,XQ$4),Table1[],(MATCH(Calendar!$A18,DB!$1:$1,0)),FALSE)&gt;=5,"Good","Bad"),VLOOKUP(DATE($K$1,$K$2,XQ$4),Table1[],(MATCH(Calendar!$A18,DB!$1:$1,0)),FALSE)),"")</f>
        <v/>
      </c>
      <c r="XR18" s="28" t="str">
        <f>IFERROR(IF(YA3="No",IF(VLOOKUP(DATE($K$1,$K$2,XR$4),Table1[],(MATCH(Calendar!$A18,DB!$1:$1,0)),FALSE)&gt;=5,"Good","Bad"),VLOOKUP(DATE($K$1,$K$2,XR$4),Table1[],(MATCH(Calendar!$A18,DB!$1:$1,0)),FALSE)),"")</f>
        <v/>
      </c>
      <c r="XS18" s="28" t="str">
        <f>IFERROR(IF(YB3="No",IF(VLOOKUP(DATE($K$1,$K$2,XS$4),Table1[],(MATCH(Calendar!$A18,DB!$1:$1,0)),FALSE)&gt;=5,"Good","Bad"),VLOOKUP(DATE($K$1,$K$2,XS$4),Table1[],(MATCH(Calendar!$A18,DB!$1:$1,0)),FALSE)),"")</f>
        <v/>
      </c>
      <c r="XT18" s="28" t="str">
        <f>IFERROR(IF(YC3="No",IF(VLOOKUP(DATE($K$1,$K$2,XT$4),Table1[],(MATCH(Calendar!$A18,DB!$1:$1,0)),FALSE)&gt;=5,"Good","Bad"),VLOOKUP(DATE($K$1,$K$2,XT$4),Table1[],(MATCH(Calendar!$A18,DB!$1:$1,0)),FALSE)),"")</f>
        <v/>
      </c>
      <c r="XU18" s="28" t="str">
        <f>IFERROR(IF(YD3="No",IF(VLOOKUP(DATE($K$1,$K$2,XU$4),Table1[],(MATCH(Calendar!$A18,DB!$1:$1,0)),FALSE)&gt;=5,"Good","Bad"),VLOOKUP(DATE($K$1,$K$2,XU$4),Table1[],(MATCH(Calendar!$A18,DB!$1:$1,0)),FALSE)),"")</f>
        <v/>
      </c>
      <c r="XV18" s="28" t="str">
        <f>IFERROR(IF(YE3="No",IF(VLOOKUP(DATE($K$1,$K$2,XV$4),Table1[],(MATCH(Calendar!$A18,DB!$1:$1,0)),FALSE)&gt;=5,"Good","Bad"),VLOOKUP(DATE($K$1,$K$2,XV$4),Table1[],(MATCH(Calendar!$A18,DB!$1:$1,0)),FALSE)),"")</f>
        <v/>
      </c>
      <c r="XW18" s="28" t="str">
        <f>IFERROR(IF(YF3="No",IF(VLOOKUP(DATE($K$1,$K$2,XW$4),Table1[],(MATCH(Calendar!$A18,DB!$1:$1,0)),FALSE)&gt;=5,"Good","Bad"),VLOOKUP(DATE($K$1,$K$2,XW$4),Table1[],(MATCH(Calendar!$A18,DB!$1:$1,0)),FALSE)),"")</f>
        <v/>
      </c>
      <c r="XX18" s="28" t="str">
        <f>IFERROR(IF(YG3="No",IF(VLOOKUP(DATE($K$1,$K$2,XX$4),Table1[],(MATCH(Calendar!$A18,DB!$1:$1,0)),FALSE)&gt;=5,"Good","Bad"),VLOOKUP(DATE($K$1,$K$2,XX$4),Table1[],(MATCH(Calendar!$A18,DB!$1:$1,0)),FALSE)),"")</f>
        <v/>
      </c>
      <c r="XY18" s="28" t="str">
        <f>IFERROR(IF(YH3="No",IF(VLOOKUP(DATE($K$1,$K$2,XY$4),Table1[],(MATCH(Calendar!$A18,DB!$1:$1,0)),FALSE)&gt;=5,"Good","Bad"),VLOOKUP(DATE($K$1,$K$2,XY$4),Table1[],(MATCH(Calendar!$A18,DB!$1:$1,0)),FALSE)),"")</f>
        <v/>
      </c>
      <c r="XZ18" s="28" t="str">
        <f>IFERROR(IF(YI3="No",IF(VLOOKUP(DATE($K$1,$K$2,XZ$4),Table1[],(MATCH(Calendar!$A18,DB!$1:$1,0)),FALSE)&gt;=5,"Good","Bad"),VLOOKUP(DATE($K$1,$K$2,XZ$4),Table1[],(MATCH(Calendar!$A18,DB!$1:$1,0)),FALSE)),"")</f>
        <v/>
      </c>
      <c r="YA18" s="28" t="str">
        <f>IFERROR(IF(YJ3="No",IF(VLOOKUP(DATE($K$1,$K$2,YA$4),Table1[],(MATCH(Calendar!$A18,DB!$1:$1,0)),FALSE)&gt;=5,"Good","Bad"),VLOOKUP(DATE($K$1,$K$2,YA$4),Table1[],(MATCH(Calendar!$A18,DB!$1:$1,0)),FALSE)),"")</f>
        <v/>
      </c>
      <c r="YB18" s="28" t="str">
        <f>IFERROR(IF(YK3="No",IF(VLOOKUP(DATE($K$1,$K$2,YB$4),Table1[],(MATCH(Calendar!$A18,DB!$1:$1,0)),FALSE)&gt;=5,"Good","Bad"),VLOOKUP(DATE($K$1,$K$2,YB$4),Table1[],(MATCH(Calendar!$A18,DB!$1:$1,0)),FALSE)),"")</f>
        <v/>
      </c>
      <c r="YC18" s="28" t="str">
        <f>IFERROR(IF(YL3="No",IF(VLOOKUP(DATE($K$1,$K$2,YC$4),Table1[],(MATCH(Calendar!$A18,DB!$1:$1,0)),FALSE)&gt;=5,"Good","Bad"),VLOOKUP(DATE($K$1,$K$2,YC$4),Table1[],(MATCH(Calendar!$A18,DB!$1:$1,0)),FALSE)),"")</f>
        <v/>
      </c>
      <c r="YD18" s="28" t="str">
        <f>IFERROR(IF(YM3="No",IF(VLOOKUP(DATE($K$1,$K$2,YD$4),Table1[],(MATCH(Calendar!$A18,DB!$1:$1,0)),FALSE)&gt;=5,"Good","Bad"),VLOOKUP(DATE($K$1,$K$2,YD$4),Table1[],(MATCH(Calendar!$A18,DB!$1:$1,0)),FALSE)),"")</f>
        <v/>
      </c>
      <c r="YE18" s="28" t="str">
        <f>IFERROR(IF(YN3="No",IF(VLOOKUP(DATE($K$1,$K$2,YE$4),Table1[],(MATCH(Calendar!$A18,DB!$1:$1,0)),FALSE)&gt;=5,"Good","Bad"),VLOOKUP(DATE($K$1,$K$2,YE$4),Table1[],(MATCH(Calendar!$A18,DB!$1:$1,0)),FALSE)),"")</f>
        <v/>
      </c>
      <c r="YF18" s="28" t="str">
        <f>IFERROR(IF(YO3="No",IF(VLOOKUP(DATE($K$1,$K$2,YF$4),Table1[],(MATCH(Calendar!$A18,DB!$1:$1,0)),FALSE)&gt;=5,"Good","Bad"),VLOOKUP(DATE($K$1,$K$2,YF$4),Table1[],(MATCH(Calendar!$A18,DB!$1:$1,0)),FALSE)),"")</f>
        <v/>
      </c>
      <c r="YG18" s="28" t="str">
        <f>IFERROR(IF(YP3="No",IF(VLOOKUP(DATE($K$1,$K$2,YG$4),Table1[],(MATCH(Calendar!$A18,DB!$1:$1,0)),FALSE)&gt;=5,"Good","Bad"),VLOOKUP(DATE($K$1,$K$2,YG$4),Table1[],(MATCH(Calendar!$A18,DB!$1:$1,0)),FALSE)),"")</f>
        <v/>
      </c>
      <c r="YH18" s="28" t="str">
        <f>IFERROR(IF(YQ3="No",IF(VLOOKUP(DATE($K$1,$K$2,YH$4),Table1[],(MATCH(Calendar!$A18,DB!$1:$1,0)),FALSE)&gt;=5,"Good","Bad"),VLOOKUP(DATE($K$1,$K$2,YH$4),Table1[],(MATCH(Calendar!$A18,DB!$1:$1,0)),FALSE)),"")</f>
        <v/>
      </c>
      <c r="YI18" s="28" t="str">
        <f>IFERROR(IF(YR3="No",IF(VLOOKUP(DATE($K$1,$K$2,YI$4),Table1[],(MATCH(Calendar!$A18,DB!$1:$1,0)),FALSE)&gt;=5,"Good","Bad"),VLOOKUP(DATE($K$1,$K$2,YI$4),Table1[],(MATCH(Calendar!$A18,DB!$1:$1,0)),FALSE)),"")</f>
        <v/>
      </c>
      <c r="YJ18" s="28" t="str">
        <f>IFERROR(IF(YS3="No",IF(VLOOKUP(DATE($K$1,$K$2,YJ$4),Table1[],(MATCH(Calendar!$A18,DB!$1:$1,0)),FALSE)&gt;=5,"Good","Bad"),VLOOKUP(DATE($K$1,$K$2,YJ$4),Table1[],(MATCH(Calendar!$A18,DB!$1:$1,0)),FALSE)),"")</f>
        <v/>
      </c>
      <c r="YK18" s="28" t="str">
        <f>IFERROR(IF(YT3="No",IF(VLOOKUP(DATE($K$1,$K$2,YK$4),Table1[],(MATCH(Calendar!$A18,DB!$1:$1,0)),FALSE)&gt;=5,"Good","Bad"),VLOOKUP(DATE($K$1,$K$2,YK$4),Table1[],(MATCH(Calendar!$A18,DB!$1:$1,0)),FALSE)),"")</f>
        <v/>
      </c>
      <c r="YL18" s="28" t="str">
        <f>IFERROR(IF(YU3="No",IF(VLOOKUP(DATE($K$1,$K$2,YL$4),Table1[],(MATCH(Calendar!$A18,DB!$1:$1,0)),FALSE)&gt;=5,"Good","Bad"),VLOOKUP(DATE($K$1,$K$2,YL$4),Table1[],(MATCH(Calendar!$A18,DB!$1:$1,0)),FALSE)),"")</f>
        <v/>
      </c>
      <c r="YM18" s="28" t="str">
        <f>IFERROR(IF(YV3="No",IF(VLOOKUP(DATE($K$1,$K$2,YM$4),Table1[],(MATCH(Calendar!$A18,DB!$1:$1,0)),FALSE)&gt;=5,"Good","Bad"),VLOOKUP(DATE($K$1,$K$2,YM$4),Table1[],(MATCH(Calendar!$A18,DB!$1:$1,0)),FALSE)),"")</f>
        <v/>
      </c>
      <c r="YN18" s="28" t="str">
        <f>IFERROR(IF(YW3="No",IF(VLOOKUP(DATE($K$1,$K$2,YN$4),Table1[],(MATCH(Calendar!$A18,DB!$1:$1,0)),FALSE)&gt;=5,"Good","Bad"),VLOOKUP(DATE($K$1,$K$2,YN$4),Table1[],(MATCH(Calendar!$A18,DB!$1:$1,0)),FALSE)),"")</f>
        <v/>
      </c>
      <c r="YO18" s="28" t="str">
        <f>IFERROR(IF(YX3="No",IF(VLOOKUP(DATE($K$1,$K$2,YO$4),Table1[],(MATCH(Calendar!$A18,DB!$1:$1,0)),FALSE)&gt;=5,"Good","Bad"),VLOOKUP(DATE($K$1,$K$2,YO$4),Table1[],(MATCH(Calendar!$A18,DB!$1:$1,0)),FALSE)),"")</f>
        <v/>
      </c>
      <c r="YP18" s="28" t="str">
        <f>IFERROR(IF(YY3="No",IF(VLOOKUP(DATE($K$1,$K$2,YP$4),Table1[],(MATCH(Calendar!$A18,DB!$1:$1,0)),FALSE)&gt;=5,"Good","Bad"),VLOOKUP(DATE($K$1,$K$2,YP$4),Table1[],(MATCH(Calendar!$A18,DB!$1:$1,0)),FALSE)),"")</f>
        <v/>
      </c>
      <c r="YQ18" s="28" t="str">
        <f>IFERROR(IF(YZ3="No",IF(VLOOKUP(DATE($K$1,$K$2,YQ$4),Table1[],(MATCH(Calendar!$A18,DB!$1:$1,0)),FALSE)&gt;=5,"Good","Bad"),VLOOKUP(DATE($K$1,$K$2,YQ$4),Table1[],(MATCH(Calendar!$A18,DB!$1:$1,0)),FALSE)),"")</f>
        <v/>
      </c>
      <c r="YR18" s="28" t="str">
        <f>IFERROR(IF(ZA3="No",IF(VLOOKUP(DATE($K$1,$K$2,YR$4),Table1[],(MATCH(Calendar!$A18,DB!$1:$1,0)),FALSE)&gt;=5,"Good","Bad"),VLOOKUP(DATE($K$1,$K$2,YR$4),Table1[],(MATCH(Calendar!$A18,DB!$1:$1,0)),FALSE)),"")</f>
        <v/>
      </c>
      <c r="YS18" s="28" t="str">
        <f>IFERROR(IF(ZB3="No",IF(VLOOKUP(DATE($K$1,$K$2,YS$4),Table1[],(MATCH(Calendar!$A18,DB!$1:$1,0)),FALSE)&gt;=5,"Good","Bad"),VLOOKUP(DATE($K$1,$K$2,YS$4),Table1[],(MATCH(Calendar!$A18,DB!$1:$1,0)),FALSE)),"")</f>
        <v/>
      </c>
      <c r="YT18" s="28" t="str">
        <f>IFERROR(IF(ZC3="No",IF(VLOOKUP(DATE($K$1,$K$2,YT$4),Table1[],(MATCH(Calendar!$A18,DB!$1:$1,0)),FALSE)&gt;=5,"Good","Bad"),VLOOKUP(DATE($K$1,$K$2,YT$4),Table1[],(MATCH(Calendar!$A18,DB!$1:$1,0)),FALSE)),"")</f>
        <v/>
      </c>
      <c r="YU18" s="28" t="str">
        <f>IFERROR(IF(ZD3="No",IF(VLOOKUP(DATE($K$1,$K$2,YU$4),Table1[],(MATCH(Calendar!$A18,DB!$1:$1,0)),FALSE)&gt;=5,"Good","Bad"),VLOOKUP(DATE($K$1,$K$2,YU$4),Table1[],(MATCH(Calendar!$A18,DB!$1:$1,0)),FALSE)),"")</f>
        <v/>
      </c>
      <c r="YV18" s="28" t="str">
        <f>IFERROR(IF(ZE3="No",IF(VLOOKUP(DATE($K$1,$K$2,YV$4),Table1[],(MATCH(Calendar!$A18,DB!$1:$1,0)),FALSE)&gt;=5,"Good","Bad"),VLOOKUP(DATE($K$1,$K$2,YV$4),Table1[],(MATCH(Calendar!$A18,DB!$1:$1,0)),FALSE)),"")</f>
        <v/>
      </c>
      <c r="YW18" s="28" t="str">
        <f>IFERROR(IF(ZF3="No",IF(VLOOKUP(DATE($K$1,$K$2,YW$4),Table1[],(MATCH(Calendar!$A18,DB!$1:$1,0)),FALSE)&gt;=5,"Good","Bad"),VLOOKUP(DATE($K$1,$K$2,YW$4),Table1[],(MATCH(Calendar!$A18,DB!$1:$1,0)),FALSE)),"")</f>
        <v/>
      </c>
      <c r="YX18" s="28" t="str">
        <f>IFERROR(IF(ZG3="No",IF(VLOOKUP(DATE($K$1,$K$2,YX$4),Table1[],(MATCH(Calendar!$A18,DB!$1:$1,0)),FALSE)&gt;=5,"Good","Bad"),VLOOKUP(DATE($K$1,$K$2,YX$4),Table1[],(MATCH(Calendar!$A18,DB!$1:$1,0)),FALSE)),"")</f>
        <v/>
      </c>
      <c r="YY18" s="28" t="str">
        <f>IFERROR(IF(ZH3="No",IF(VLOOKUP(DATE($K$1,$K$2,YY$4),Table1[],(MATCH(Calendar!$A18,DB!$1:$1,0)),FALSE)&gt;=5,"Good","Bad"),VLOOKUP(DATE($K$1,$K$2,YY$4),Table1[],(MATCH(Calendar!$A18,DB!$1:$1,0)),FALSE)),"")</f>
        <v/>
      </c>
      <c r="YZ18" s="28" t="str">
        <f>IFERROR(IF(ZI3="No",IF(VLOOKUP(DATE($K$1,$K$2,YZ$4),Table1[],(MATCH(Calendar!$A18,DB!$1:$1,0)),FALSE)&gt;=5,"Good","Bad"),VLOOKUP(DATE($K$1,$K$2,YZ$4),Table1[],(MATCH(Calendar!$A18,DB!$1:$1,0)),FALSE)),"")</f>
        <v/>
      </c>
      <c r="ZA18" s="28" t="str">
        <f>IFERROR(IF(ZJ3="No",IF(VLOOKUP(DATE($K$1,$K$2,ZA$4),Table1[],(MATCH(Calendar!$A18,DB!$1:$1,0)),FALSE)&gt;=5,"Good","Bad"),VLOOKUP(DATE($K$1,$K$2,ZA$4),Table1[],(MATCH(Calendar!$A18,DB!$1:$1,0)),FALSE)),"")</f>
        <v/>
      </c>
      <c r="ZB18" s="28" t="str">
        <f>IFERROR(IF(ZK3="No",IF(VLOOKUP(DATE($K$1,$K$2,ZB$4),Table1[],(MATCH(Calendar!$A18,DB!$1:$1,0)),FALSE)&gt;=5,"Good","Bad"),VLOOKUP(DATE($K$1,$K$2,ZB$4),Table1[],(MATCH(Calendar!$A18,DB!$1:$1,0)),FALSE)),"")</f>
        <v/>
      </c>
      <c r="ZC18" s="28" t="str">
        <f>IFERROR(IF(ZL3="No",IF(VLOOKUP(DATE($K$1,$K$2,ZC$4),Table1[],(MATCH(Calendar!$A18,DB!$1:$1,0)),FALSE)&gt;=5,"Good","Bad"),VLOOKUP(DATE($K$1,$K$2,ZC$4),Table1[],(MATCH(Calendar!$A18,DB!$1:$1,0)),FALSE)),"")</f>
        <v/>
      </c>
      <c r="ZD18" s="28" t="str">
        <f>IFERROR(IF(ZM3="No",IF(VLOOKUP(DATE($K$1,$K$2,ZD$4),Table1[],(MATCH(Calendar!$A18,DB!$1:$1,0)),FALSE)&gt;=5,"Good","Bad"),VLOOKUP(DATE($K$1,$K$2,ZD$4),Table1[],(MATCH(Calendar!$A18,DB!$1:$1,0)),FALSE)),"")</f>
        <v/>
      </c>
      <c r="ZE18" s="28" t="str">
        <f>IFERROR(IF(ZN3="No",IF(VLOOKUP(DATE($K$1,$K$2,ZE$4),Table1[],(MATCH(Calendar!$A18,DB!$1:$1,0)),FALSE)&gt;=5,"Good","Bad"),VLOOKUP(DATE($K$1,$K$2,ZE$4),Table1[],(MATCH(Calendar!$A18,DB!$1:$1,0)),FALSE)),"")</f>
        <v/>
      </c>
      <c r="ZF18" s="28" t="str">
        <f>IFERROR(IF(ZO3="No",IF(VLOOKUP(DATE($K$1,$K$2,ZF$4),Table1[],(MATCH(Calendar!$A18,DB!$1:$1,0)),FALSE)&gt;=5,"Good","Bad"),VLOOKUP(DATE($K$1,$K$2,ZF$4),Table1[],(MATCH(Calendar!$A18,DB!$1:$1,0)),FALSE)),"")</f>
        <v/>
      </c>
      <c r="ZG18" s="28" t="str">
        <f>IFERROR(IF(ZP3="No",IF(VLOOKUP(DATE($K$1,$K$2,ZG$4),Table1[],(MATCH(Calendar!$A18,DB!$1:$1,0)),FALSE)&gt;=5,"Good","Bad"),VLOOKUP(DATE($K$1,$K$2,ZG$4),Table1[],(MATCH(Calendar!$A18,DB!$1:$1,0)),FALSE)),"")</f>
        <v/>
      </c>
      <c r="ZH18" s="28" t="str">
        <f>IFERROR(IF(ZQ3="No",IF(VLOOKUP(DATE($K$1,$K$2,ZH$4),Table1[],(MATCH(Calendar!$A18,DB!$1:$1,0)),FALSE)&gt;=5,"Good","Bad"),VLOOKUP(DATE($K$1,$K$2,ZH$4),Table1[],(MATCH(Calendar!$A18,DB!$1:$1,0)),FALSE)),"")</f>
        <v/>
      </c>
      <c r="ZI18" s="28" t="str">
        <f>IFERROR(IF(ZR3="No",IF(VLOOKUP(DATE($K$1,$K$2,ZI$4),Table1[],(MATCH(Calendar!$A18,DB!$1:$1,0)),FALSE)&gt;=5,"Good","Bad"),VLOOKUP(DATE($K$1,$K$2,ZI$4),Table1[],(MATCH(Calendar!$A18,DB!$1:$1,0)),FALSE)),"")</f>
        <v/>
      </c>
      <c r="ZJ18" s="28" t="str">
        <f>IFERROR(IF(ZS3="No",IF(VLOOKUP(DATE($K$1,$K$2,ZJ$4),Table1[],(MATCH(Calendar!$A18,DB!$1:$1,0)),FALSE)&gt;=5,"Good","Bad"),VLOOKUP(DATE($K$1,$K$2,ZJ$4),Table1[],(MATCH(Calendar!$A18,DB!$1:$1,0)),FALSE)),"")</f>
        <v/>
      </c>
      <c r="ZK18" s="28" t="str">
        <f>IFERROR(IF(ZT3="No",IF(VLOOKUP(DATE($K$1,$K$2,ZK$4),Table1[],(MATCH(Calendar!$A18,DB!$1:$1,0)),FALSE)&gt;=5,"Good","Bad"),VLOOKUP(DATE($K$1,$K$2,ZK$4),Table1[],(MATCH(Calendar!$A18,DB!$1:$1,0)),FALSE)),"")</f>
        <v/>
      </c>
      <c r="ZL18" s="28" t="str">
        <f>IFERROR(IF(ZU3="No",IF(VLOOKUP(DATE($K$1,$K$2,ZL$4),Table1[],(MATCH(Calendar!$A18,DB!$1:$1,0)),FALSE)&gt;=5,"Good","Bad"),VLOOKUP(DATE($K$1,$K$2,ZL$4),Table1[],(MATCH(Calendar!$A18,DB!$1:$1,0)),FALSE)),"")</f>
        <v/>
      </c>
      <c r="ZM18" s="28" t="str">
        <f>IFERROR(IF(ZV3="No",IF(VLOOKUP(DATE($K$1,$K$2,ZM$4),Table1[],(MATCH(Calendar!$A18,DB!$1:$1,0)),FALSE)&gt;=5,"Good","Bad"),VLOOKUP(DATE($K$1,$K$2,ZM$4),Table1[],(MATCH(Calendar!$A18,DB!$1:$1,0)),FALSE)),"")</f>
        <v/>
      </c>
      <c r="ZN18" s="28" t="str">
        <f>IFERROR(IF(ZW3="No",IF(VLOOKUP(DATE($K$1,$K$2,ZN$4),Table1[],(MATCH(Calendar!$A18,DB!$1:$1,0)),FALSE)&gt;=5,"Good","Bad"),VLOOKUP(DATE($K$1,$K$2,ZN$4),Table1[],(MATCH(Calendar!$A18,DB!$1:$1,0)),FALSE)),"")</f>
        <v/>
      </c>
      <c r="ZO18" s="28" t="str">
        <f>IFERROR(IF(ZX3="No",IF(VLOOKUP(DATE($K$1,$K$2,ZO$4),Table1[],(MATCH(Calendar!$A18,DB!$1:$1,0)),FALSE)&gt;=5,"Good","Bad"),VLOOKUP(DATE($K$1,$K$2,ZO$4),Table1[],(MATCH(Calendar!$A18,DB!$1:$1,0)),FALSE)),"")</f>
        <v/>
      </c>
      <c r="ZP18" s="28" t="str">
        <f>IFERROR(IF(ZY3="No",IF(VLOOKUP(DATE($K$1,$K$2,ZP$4),Table1[],(MATCH(Calendar!$A18,DB!$1:$1,0)),FALSE)&gt;=5,"Good","Bad"),VLOOKUP(DATE($K$1,$K$2,ZP$4),Table1[],(MATCH(Calendar!$A18,DB!$1:$1,0)),FALSE)),"")</f>
        <v/>
      </c>
      <c r="ZQ18" s="28" t="str">
        <f>IFERROR(IF(ZZ3="No",IF(VLOOKUP(DATE($K$1,$K$2,ZQ$4),Table1[],(MATCH(Calendar!$A18,DB!$1:$1,0)),FALSE)&gt;=5,"Good","Bad"),VLOOKUP(DATE($K$1,$K$2,ZQ$4),Table1[],(MATCH(Calendar!$A18,DB!$1:$1,0)),FALSE)),"")</f>
        <v/>
      </c>
      <c r="ZR18" s="28" t="str">
        <f>IFERROR(IF(AAA3="No",IF(VLOOKUP(DATE($K$1,$K$2,ZR$4),Table1[],(MATCH(Calendar!$A18,DB!$1:$1,0)),FALSE)&gt;=5,"Good","Bad"),VLOOKUP(DATE($K$1,$K$2,ZR$4),Table1[],(MATCH(Calendar!$A18,DB!$1:$1,0)),FALSE)),"")</f>
        <v/>
      </c>
      <c r="ZS18" s="28" t="str">
        <f>IFERROR(IF(AAB3="No",IF(VLOOKUP(DATE($K$1,$K$2,ZS$4),Table1[],(MATCH(Calendar!$A18,DB!$1:$1,0)),FALSE)&gt;=5,"Good","Bad"),VLOOKUP(DATE($K$1,$K$2,ZS$4),Table1[],(MATCH(Calendar!$A18,DB!$1:$1,0)),FALSE)),"")</f>
        <v/>
      </c>
      <c r="ZT18" s="28" t="str">
        <f>IFERROR(IF(AAC3="No",IF(VLOOKUP(DATE($K$1,$K$2,ZT$4),Table1[],(MATCH(Calendar!$A18,DB!$1:$1,0)),FALSE)&gt;=5,"Good","Bad"),VLOOKUP(DATE($K$1,$K$2,ZT$4),Table1[],(MATCH(Calendar!$A18,DB!$1:$1,0)),FALSE)),"")</f>
        <v/>
      </c>
      <c r="ZU18" s="28" t="str">
        <f>IFERROR(IF(AAD3="No",IF(VLOOKUP(DATE($K$1,$K$2,ZU$4),Table1[],(MATCH(Calendar!$A18,DB!$1:$1,0)),FALSE)&gt;=5,"Good","Bad"),VLOOKUP(DATE($K$1,$K$2,ZU$4),Table1[],(MATCH(Calendar!$A18,DB!$1:$1,0)),FALSE)),"")</f>
        <v/>
      </c>
      <c r="ZV18" s="28" t="str">
        <f>IFERROR(IF(AAE3="No",IF(VLOOKUP(DATE($K$1,$K$2,ZV$4),Table1[],(MATCH(Calendar!$A18,DB!$1:$1,0)),FALSE)&gt;=5,"Good","Bad"),VLOOKUP(DATE($K$1,$K$2,ZV$4),Table1[],(MATCH(Calendar!$A18,DB!$1:$1,0)),FALSE)),"")</f>
        <v/>
      </c>
      <c r="ZW18" s="28" t="str">
        <f>IFERROR(IF(AAF3="No",IF(VLOOKUP(DATE($K$1,$K$2,ZW$4),Table1[],(MATCH(Calendar!$A18,DB!$1:$1,0)),FALSE)&gt;=5,"Good","Bad"),VLOOKUP(DATE($K$1,$K$2,ZW$4),Table1[],(MATCH(Calendar!$A18,DB!$1:$1,0)),FALSE)),"")</f>
        <v/>
      </c>
      <c r="ZX18" s="28" t="str">
        <f>IFERROR(IF(AAG3="No",IF(VLOOKUP(DATE($K$1,$K$2,ZX$4),Table1[],(MATCH(Calendar!$A18,DB!$1:$1,0)),FALSE)&gt;=5,"Good","Bad"),VLOOKUP(DATE($K$1,$K$2,ZX$4),Table1[],(MATCH(Calendar!$A18,DB!$1:$1,0)),FALSE)),"")</f>
        <v/>
      </c>
      <c r="ZY18" s="28" t="str">
        <f>IFERROR(IF(AAH3="No",IF(VLOOKUP(DATE($K$1,$K$2,ZY$4),Table1[],(MATCH(Calendar!$A18,DB!$1:$1,0)),FALSE)&gt;=5,"Good","Bad"),VLOOKUP(DATE($K$1,$K$2,ZY$4),Table1[],(MATCH(Calendar!$A18,DB!$1:$1,0)),FALSE)),"")</f>
        <v/>
      </c>
      <c r="ZZ18" s="28" t="str">
        <f>IFERROR(IF(AAI3="No",IF(VLOOKUP(DATE($K$1,$K$2,ZZ$4),Table1[],(MATCH(Calendar!$A18,DB!$1:$1,0)),FALSE)&gt;=5,"Good","Bad"),VLOOKUP(DATE($K$1,$K$2,ZZ$4),Table1[],(MATCH(Calendar!$A18,DB!$1:$1,0)),FALSE)),"")</f>
        <v/>
      </c>
      <c r="AAA18" s="28" t="str">
        <f>IFERROR(IF(AAJ3="No",IF(VLOOKUP(DATE($K$1,$K$2,AAA$4),Table1[],(MATCH(Calendar!$A18,DB!$1:$1,0)),FALSE)&gt;=5,"Good","Bad"),VLOOKUP(DATE($K$1,$K$2,AAA$4),Table1[],(MATCH(Calendar!$A18,DB!$1:$1,0)),FALSE)),"")</f>
        <v/>
      </c>
      <c r="AAB18" s="28" t="str">
        <f>IFERROR(IF(AAK3="No",IF(VLOOKUP(DATE($K$1,$K$2,AAB$4),Table1[],(MATCH(Calendar!$A18,DB!$1:$1,0)),FALSE)&gt;=5,"Good","Bad"),VLOOKUP(DATE($K$1,$K$2,AAB$4),Table1[],(MATCH(Calendar!$A18,DB!$1:$1,0)),FALSE)),"")</f>
        <v/>
      </c>
      <c r="AAC18" s="28" t="str">
        <f>IFERROR(IF(AAL3="No",IF(VLOOKUP(DATE($K$1,$K$2,AAC$4),Table1[],(MATCH(Calendar!$A18,DB!$1:$1,0)),FALSE)&gt;=5,"Good","Bad"),VLOOKUP(DATE($K$1,$K$2,AAC$4),Table1[],(MATCH(Calendar!$A18,DB!$1:$1,0)),FALSE)),"")</f>
        <v/>
      </c>
      <c r="AAD18" s="28" t="str">
        <f>IFERROR(IF(AAM3="No",IF(VLOOKUP(DATE($K$1,$K$2,AAD$4),Table1[],(MATCH(Calendar!$A18,DB!$1:$1,0)),FALSE)&gt;=5,"Good","Bad"),VLOOKUP(DATE($K$1,$K$2,AAD$4),Table1[],(MATCH(Calendar!$A18,DB!$1:$1,0)),FALSE)),"")</f>
        <v/>
      </c>
      <c r="AAE18" s="28" t="str">
        <f>IFERROR(IF(AAN3="No",IF(VLOOKUP(DATE($K$1,$K$2,AAE$4),Table1[],(MATCH(Calendar!$A18,DB!$1:$1,0)),FALSE)&gt;=5,"Good","Bad"),VLOOKUP(DATE($K$1,$K$2,AAE$4),Table1[],(MATCH(Calendar!$A18,DB!$1:$1,0)),FALSE)),"")</f>
        <v/>
      </c>
      <c r="AAF18" s="28" t="str">
        <f>IFERROR(IF(AAO3="No",IF(VLOOKUP(DATE($K$1,$K$2,AAF$4),Table1[],(MATCH(Calendar!$A18,DB!$1:$1,0)),FALSE)&gt;=5,"Good","Bad"),VLOOKUP(DATE($K$1,$K$2,AAF$4),Table1[],(MATCH(Calendar!$A18,DB!$1:$1,0)),FALSE)),"")</f>
        <v/>
      </c>
      <c r="AAG18" s="28" t="str">
        <f>IFERROR(IF(AAP3="No",IF(VLOOKUP(DATE($K$1,$K$2,AAG$4),Table1[],(MATCH(Calendar!$A18,DB!$1:$1,0)),FALSE)&gt;=5,"Good","Bad"),VLOOKUP(DATE($K$1,$K$2,AAG$4),Table1[],(MATCH(Calendar!$A18,DB!$1:$1,0)),FALSE)),"")</f>
        <v/>
      </c>
      <c r="AAH18" s="28" t="str">
        <f>IFERROR(IF(AAQ3="No",IF(VLOOKUP(DATE($K$1,$K$2,AAH$4),Table1[],(MATCH(Calendar!$A18,DB!$1:$1,0)),FALSE)&gt;=5,"Good","Bad"),VLOOKUP(DATE($K$1,$K$2,AAH$4),Table1[],(MATCH(Calendar!$A18,DB!$1:$1,0)),FALSE)),"")</f>
        <v/>
      </c>
      <c r="AAI18" s="28" t="str">
        <f>IFERROR(IF(AAR3="No",IF(VLOOKUP(DATE($K$1,$K$2,AAI$4),Table1[],(MATCH(Calendar!$A18,DB!$1:$1,0)),FALSE)&gt;=5,"Good","Bad"),VLOOKUP(DATE($K$1,$K$2,AAI$4),Table1[],(MATCH(Calendar!$A18,DB!$1:$1,0)),FALSE)),"")</f>
        <v/>
      </c>
      <c r="AAJ18" s="28" t="str">
        <f>IFERROR(IF(AAS3="No",IF(VLOOKUP(DATE($K$1,$K$2,AAJ$4),Table1[],(MATCH(Calendar!$A18,DB!$1:$1,0)),FALSE)&gt;=5,"Good","Bad"),VLOOKUP(DATE($K$1,$K$2,AAJ$4),Table1[],(MATCH(Calendar!$A18,DB!$1:$1,0)),FALSE)),"")</f>
        <v/>
      </c>
      <c r="AAK18" s="28" t="str">
        <f>IFERROR(IF(AAT3="No",IF(VLOOKUP(DATE($K$1,$K$2,AAK$4),Table1[],(MATCH(Calendar!$A18,DB!$1:$1,0)),FALSE)&gt;=5,"Good","Bad"),VLOOKUP(DATE($K$1,$K$2,AAK$4),Table1[],(MATCH(Calendar!$A18,DB!$1:$1,0)),FALSE)),"")</f>
        <v/>
      </c>
      <c r="AAL18" s="28" t="str">
        <f>IFERROR(IF(AAU3="No",IF(VLOOKUP(DATE($K$1,$K$2,AAL$4),Table1[],(MATCH(Calendar!$A18,DB!$1:$1,0)),FALSE)&gt;=5,"Good","Bad"),VLOOKUP(DATE($K$1,$K$2,AAL$4),Table1[],(MATCH(Calendar!$A18,DB!$1:$1,0)),FALSE)),"")</f>
        <v/>
      </c>
      <c r="AAM18" s="28" t="str">
        <f>IFERROR(IF(AAV3="No",IF(VLOOKUP(DATE($K$1,$K$2,AAM$4),Table1[],(MATCH(Calendar!$A18,DB!$1:$1,0)),FALSE)&gt;=5,"Good","Bad"),VLOOKUP(DATE($K$1,$K$2,AAM$4),Table1[],(MATCH(Calendar!$A18,DB!$1:$1,0)),FALSE)),"")</f>
        <v/>
      </c>
      <c r="AAN18" s="28" t="str">
        <f>IFERROR(IF(AAW3="No",IF(VLOOKUP(DATE($K$1,$K$2,AAN$4),Table1[],(MATCH(Calendar!$A18,DB!$1:$1,0)),FALSE)&gt;=5,"Good","Bad"),VLOOKUP(DATE($K$1,$K$2,AAN$4),Table1[],(MATCH(Calendar!$A18,DB!$1:$1,0)),FALSE)),"")</f>
        <v/>
      </c>
      <c r="AAO18" s="28" t="str">
        <f>IFERROR(IF(AAX3="No",IF(VLOOKUP(DATE($K$1,$K$2,AAO$4),Table1[],(MATCH(Calendar!$A18,DB!$1:$1,0)),FALSE)&gt;=5,"Good","Bad"),VLOOKUP(DATE($K$1,$K$2,AAO$4),Table1[],(MATCH(Calendar!$A18,DB!$1:$1,0)),FALSE)),"")</f>
        <v/>
      </c>
      <c r="AAP18" s="28" t="str">
        <f>IFERROR(IF(AAY3="No",IF(VLOOKUP(DATE($K$1,$K$2,AAP$4),Table1[],(MATCH(Calendar!$A18,DB!$1:$1,0)),FALSE)&gt;=5,"Good","Bad"),VLOOKUP(DATE($K$1,$K$2,AAP$4),Table1[],(MATCH(Calendar!$A18,DB!$1:$1,0)),FALSE)),"")</f>
        <v/>
      </c>
      <c r="AAQ18" s="28" t="str">
        <f>IFERROR(IF(AAZ3="No",IF(VLOOKUP(DATE($K$1,$K$2,AAQ$4),Table1[],(MATCH(Calendar!$A18,DB!$1:$1,0)),FALSE)&gt;=5,"Good","Bad"),VLOOKUP(DATE($K$1,$K$2,AAQ$4),Table1[],(MATCH(Calendar!$A18,DB!$1:$1,0)),FALSE)),"")</f>
        <v/>
      </c>
      <c r="AAR18" s="28" t="str">
        <f>IFERROR(IF(ABA3="No",IF(VLOOKUP(DATE($K$1,$K$2,AAR$4),Table1[],(MATCH(Calendar!$A18,DB!$1:$1,0)),FALSE)&gt;=5,"Good","Bad"),VLOOKUP(DATE($K$1,$K$2,AAR$4),Table1[],(MATCH(Calendar!$A18,DB!$1:$1,0)),FALSE)),"")</f>
        <v/>
      </c>
      <c r="AAS18" s="28" t="str">
        <f>IFERROR(IF(ABB3="No",IF(VLOOKUP(DATE($K$1,$K$2,AAS$4),Table1[],(MATCH(Calendar!$A18,DB!$1:$1,0)),FALSE)&gt;=5,"Good","Bad"),VLOOKUP(DATE($K$1,$K$2,AAS$4),Table1[],(MATCH(Calendar!$A18,DB!$1:$1,0)),FALSE)),"")</f>
        <v/>
      </c>
      <c r="AAT18" s="28" t="str">
        <f>IFERROR(IF(ABC3="No",IF(VLOOKUP(DATE($K$1,$K$2,AAT$4),Table1[],(MATCH(Calendar!$A18,DB!$1:$1,0)),FALSE)&gt;=5,"Good","Bad"),VLOOKUP(DATE($K$1,$K$2,AAT$4),Table1[],(MATCH(Calendar!$A18,DB!$1:$1,0)),FALSE)),"")</f>
        <v/>
      </c>
      <c r="AAU18" s="28" t="str">
        <f>IFERROR(IF(ABD3="No",IF(VLOOKUP(DATE($K$1,$K$2,AAU$4),Table1[],(MATCH(Calendar!$A18,DB!$1:$1,0)),FALSE)&gt;=5,"Good","Bad"),VLOOKUP(DATE($K$1,$K$2,AAU$4),Table1[],(MATCH(Calendar!$A18,DB!$1:$1,0)),FALSE)),"")</f>
        <v/>
      </c>
      <c r="AAV18" s="28" t="str">
        <f>IFERROR(IF(ABE3="No",IF(VLOOKUP(DATE($K$1,$K$2,AAV$4),Table1[],(MATCH(Calendar!$A18,DB!$1:$1,0)),FALSE)&gt;=5,"Good","Bad"),VLOOKUP(DATE($K$1,$K$2,AAV$4),Table1[],(MATCH(Calendar!$A18,DB!$1:$1,0)),FALSE)),"")</f>
        <v/>
      </c>
      <c r="AAW18" s="28" t="str">
        <f>IFERROR(IF(ABF3="No",IF(VLOOKUP(DATE($K$1,$K$2,AAW$4),Table1[],(MATCH(Calendar!$A18,DB!$1:$1,0)),FALSE)&gt;=5,"Good","Bad"),VLOOKUP(DATE($K$1,$K$2,AAW$4),Table1[],(MATCH(Calendar!$A18,DB!$1:$1,0)),FALSE)),"")</f>
        <v/>
      </c>
      <c r="AAX18" s="28" t="str">
        <f>IFERROR(IF(ABG3="No",IF(VLOOKUP(DATE($K$1,$K$2,AAX$4),Table1[],(MATCH(Calendar!$A18,DB!$1:$1,0)),FALSE)&gt;=5,"Good","Bad"),VLOOKUP(DATE($K$1,$K$2,AAX$4),Table1[],(MATCH(Calendar!$A18,DB!$1:$1,0)),FALSE)),"")</f>
        <v/>
      </c>
      <c r="AAY18" s="28" t="str">
        <f>IFERROR(IF(ABH3="No",IF(VLOOKUP(DATE($K$1,$K$2,AAY$4),Table1[],(MATCH(Calendar!$A18,DB!$1:$1,0)),FALSE)&gt;=5,"Good","Bad"),VLOOKUP(DATE($K$1,$K$2,AAY$4),Table1[],(MATCH(Calendar!$A18,DB!$1:$1,0)),FALSE)),"")</f>
        <v/>
      </c>
      <c r="AAZ18" s="28" t="str">
        <f>IFERROR(IF(ABI3="No",IF(VLOOKUP(DATE($K$1,$K$2,AAZ$4),Table1[],(MATCH(Calendar!$A18,DB!$1:$1,0)),FALSE)&gt;=5,"Good","Bad"),VLOOKUP(DATE($K$1,$K$2,AAZ$4),Table1[],(MATCH(Calendar!$A18,DB!$1:$1,0)),FALSE)),"")</f>
        <v/>
      </c>
      <c r="ABA18" s="28" t="str">
        <f>IFERROR(IF(ABJ3="No",IF(VLOOKUP(DATE($K$1,$K$2,ABA$4),Table1[],(MATCH(Calendar!$A18,DB!$1:$1,0)),FALSE)&gt;=5,"Good","Bad"),VLOOKUP(DATE($K$1,$K$2,ABA$4),Table1[],(MATCH(Calendar!$A18,DB!$1:$1,0)),FALSE)),"")</f>
        <v/>
      </c>
      <c r="ABB18" s="28" t="str">
        <f>IFERROR(IF(ABK3="No",IF(VLOOKUP(DATE($K$1,$K$2,ABB$4),Table1[],(MATCH(Calendar!$A18,DB!$1:$1,0)),FALSE)&gt;=5,"Good","Bad"),VLOOKUP(DATE($K$1,$K$2,ABB$4),Table1[],(MATCH(Calendar!$A18,DB!$1:$1,0)),FALSE)),"")</f>
        <v/>
      </c>
      <c r="ABC18" s="28" t="str">
        <f>IFERROR(IF(ABL3="No",IF(VLOOKUP(DATE($K$1,$K$2,ABC$4),Table1[],(MATCH(Calendar!$A18,DB!$1:$1,0)),FALSE)&gt;=5,"Good","Bad"),VLOOKUP(DATE($K$1,$K$2,ABC$4),Table1[],(MATCH(Calendar!$A18,DB!$1:$1,0)),FALSE)),"")</f>
        <v/>
      </c>
      <c r="ABD18" s="28" t="str">
        <f>IFERROR(IF(ABM3="No",IF(VLOOKUP(DATE($K$1,$K$2,ABD$4),Table1[],(MATCH(Calendar!$A18,DB!$1:$1,0)),FALSE)&gt;=5,"Good","Bad"),VLOOKUP(DATE($K$1,$K$2,ABD$4),Table1[],(MATCH(Calendar!$A18,DB!$1:$1,0)),FALSE)),"")</f>
        <v/>
      </c>
      <c r="ABE18" s="28" t="str">
        <f>IFERROR(IF(ABN3="No",IF(VLOOKUP(DATE($K$1,$K$2,ABE$4),Table1[],(MATCH(Calendar!$A18,DB!$1:$1,0)),FALSE)&gt;=5,"Good","Bad"),VLOOKUP(DATE($K$1,$K$2,ABE$4),Table1[],(MATCH(Calendar!$A18,DB!$1:$1,0)),FALSE)),"")</f>
        <v/>
      </c>
      <c r="ABF18" s="28" t="str">
        <f>IFERROR(IF(ABO3="No",IF(VLOOKUP(DATE($K$1,$K$2,ABF$4),Table1[],(MATCH(Calendar!$A18,DB!$1:$1,0)),FALSE)&gt;=5,"Good","Bad"),VLOOKUP(DATE($K$1,$K$2,ABF$4),Table1[],(MATCH(Calendar!$A18,DB!$1:$1,0)),FALSE)),"")</f>
        <v/>
      </c>
      <c r="ABG18" s="28" t="str">
        <f>IFERROR(IF(ABP3="No",IF(VLOOKUP(DATE($K$1,$K$2,ABG$4),Table1[],(MATCH(Calendar!$A18,DB!$1:$1,0)),FALSE)&gt;=5,"Good","Bad"),VLOOKUP(DATE($K$1,$K$2,ABG$4),Table1[],(MATCH(Calendar!$A18,DB!$1:$1,0)),FALSE)),"")</f>
        <v/>
      </c>
      <c r="ABH18" s="28" t="str">
        <f>IFERROR(IF(ABQ3="No",IF(VLOOKUP(DATE($K$1,$K$2,ABH$4),Table1[],(MATCH(Calendar!$A18,DB!$1:$1,0)),FALSE)&gt;=5,"Good","Bad"),VLOOKUP(DATE($K$1,$K$2,ABH$4),Table1[],(MATCH(Calendar!$A18,DB!$1:$1,0)),FALSE)),"")</f>
        <v/>
      </c>
      <c r="ABI18" s="28" t="str">
        <f>IFERROR(IF(ABR3="No",IF(VLOOKUP(DATE($K$1,$K$2,ABI$4),Table1[],(MATCH(Calendar!$A18,DB!$1:$1,0)),FALSE)&gt;=5,"Good","Bad"),VLOOKUP(DATE($K$1,$K$2,ABI$4),Table1[],(MATCH(Calendar!$A18,DB!$1:$1,0)),FALSE)),"")</f>
        <v/>
      </c>
      <c r="ABJ18" s="28" t="str">
        <f>IFERROR(IF(ABS3="No",IF(VLOOKUP(DATE($K$1,$K$2,ABJ$4),Table1[],(MATCH(Calendar!$A18,DB!$1:$1,0)),FALSE)&gt;=5,"Good","Bad"),VLOOKUP(DATE($K$1,$K$2,ABJ$4),Table1[],(MATCH(Calendar!$A18,DB!$1:$1,0)),FALSE)),"")</f>
        <v/>
      </c>
      <c r="ABK18" s="28" t="str">
        <f>IFERROR(IF(ABT3="No",IF(VLOOKUP(DATE($K$1,$K$2,ABK$4),Table1[],(MATCH(Calendar!$A18,DB!$1:$1,0)),FALSE)&gt;=5,"Good","Bad"),VLOOKUP(DATE($K$1,$K$2,ABK$4),Table1[],(MATCH(Calendar!$A18,DB!$1:$1,0)),FALSE)),"")</f>
        <v/>
      </c>
      <c r="ABL18" s="28" t="str">
        <f>IFERROR(IF(ABU3="No",IF(VLOOKUP(DATE($K$1,$K$2,ABL$4),Table1[],(MATCH(Calendar!$A18,DB!$1:$1,0)),FALSE)&gt;=5,"Good","Bad"),VLOOKUP(DATE($K$1,$K$2,ABL$4),Table1[],(MATCH(Calendar!$A18,DB!$1:$1,0)),FALSE)),"")</f>
        <v/>
      </c>
      <c r="ABM18" s="28" t="str">
        <f>IFERROR(IF(ABV3="No",IF(VLOOKUP(DATE($K$1,$K$2,ABM$4),Table1[],(MATCH(Calendar!$A18,DB!$1:$1,0)),FALSE)&gt;=5,"Good","Bad"),VLOOKUP(DATE($K$1,$K$2,ABM$4),Table1[],(MATCH(Calendar!$A18,DB!$1:$1,0)),FALSE)),"")</f>
        <v/>
      </c>
      <c r="ABN18" s="28" t="str">
        <f>IFERROR(IF(ABW3="No",IF(VLOOKUP(DATE($K$1,$K$2,ABN$4),Table1[],(MATCH(Calendar!$A18,DB!$1:$1,0)),FALSE)&gt;=5,"Good","Bad"),VLOOKUP(DATE($K$1,$K$2,ABN$4),Table1[],(MATCH(Calendar!$A18,DB!$1:$1,0)),FALSE)),"")</f>
        <v/>
      </c>
      <c r="ABO18" s="28" t="str">
        <f>IFERROR(IF(ABX3="No",IF(VLOOKUP(DATE($K$1,$K$2,ABO$4),Table1[],(MATCH(Calendar!$A18,DB!$1:$1,0)),FALSE)&gt;=5,"Good","Bad"),VLOOKUP(DATE($K$1,$K$2,ABO$4),Table1[],(MATCH(Calendar!$A18,DB!$1:$1,0)),FALSE)),"")</f>
        <v/>
      </c>
      <c r="ABP18" s="28" t="str">
        <f>IFERROR(IF(ABY3="No",IF(VLOOKUP(DATE($K$1,$K$2,ABP$4),Table1[],(MATCH(Calendar!$A18,DB!$1:$1,0)),FALSE)&gt;=5,"Good","Bad"),VLOOKUP(DATE($K$1,$K$2,ABP$4),Table1[],(MATCH(Calendar!$A18,DB!$1:$1,0)),FALSE)),"")</f>
        <v/>
      </c>
      <c r="ABQ18" s="28" t="str">
        <f>IFERROR(IF(ABZ3="No",IF(VLOOKUP(DATE($K$1,$K$2,ABQ$4),Table1[],(MATCH(Calendar!$A18,DB!$1:$1,0)),FALSE)&gt;=5,"Good","Bad"),VLOOKUP(DATE($K$1,$K$2,ABQ$4),Table1[],(MATCH(Calendar!$A18,DB!$1:$1,0)),FALSE)),"")</f>
        <v/>
      </c>
      <c r="ABR18" s="28" t="str">
        <f>IFERROR(IF(ACA3="No",IF(VLOOKUP(DATE($K$1,$K$2,ABR$4),Table1[],(MATCH(Calendar!$A18,DB!$1:$1,0)),FALSE)&gt;=5,"Good","Bad"),VLOOKUP(DATE($K$1,$K$2,ABR$4),Table1[],(MATCH(Calendar!$A18,DB!$1:$1,0)),FALSE)),"")</f>
        <v/>
      </c>
      <c r="ABS18" s="28" t="str">
        <f>IFERROR(IF(ACB3="No",IF(VLOOKUP(DATE($K$1,$K$2,ABS$4),Table1[],(MATCH(Calendar!$A18,DB!$1:$1,0)),FALSE)&gt;=5,"Good","Bad"),VLOOKUP(DATE($K$1,$K$2,ABS$4),Table1[],(MATCH(Calendar!$A18,DB!$1:$1,0)),FALSE)),"")</f>
        <v/>
      </c>
      <c r="ABT18" s="28" t="str">
        <f>IFERROR(IF(ACC3="No",IF(VLOOKUP(DATE($K$1,$K$2,ABT$4),Table1[],(MATCH(Calendar!$A18,DB!$1:$1,0)),FALSE)&gt;=5,"Good","Bad"),VLOOKUP(DATE($K$1,$K$2,ABT$4),Table1[],(MATCH(Calendar!$A18,DB!$1:$1,0)),FALSE)),"")</f>
        <v/>
      </c>
      <c r="ABU18" s="28" t="str">
        <f>IFERROR(IF(ACD3="No",IF(VLOOKUP(DATE($K$1,$K$2,ABU$4),Table1[],(MATCH(Calendar!$A18,DB!$1:$1,0)),FALSE)&gt;=5,"Good","Bad"),VLOOKUP(DATE($K$1,$K$2,ABU$4),Table1[],(MATCH(Calendar!$A18,DB!$1:$1,0)),FALSE)),"")</f>
        <v/>
      </c>
      <c r="ABV18" s="28" t="str">
        <f>IFERROR(IF(ACE3="No",IF(VLOOKUP(DATE($K$1,$K$2,ABV$4),Table1[],(MATCH(Calendar!$A18,DB!$1:$1,0)),FALSE)&gt;=5,"Good","Bad"),VLOOKUP(DATE($K$1,$K$2,ABV$4),Table1[],(MATCH(Calendar!$A18,DB!$1:$1,0)),FALSE)),"")</f>
        <v/>
      </c>
      <c r="ABW18" s="28" t="str">
        <f>IFERROR(IF(ACF3="No",IF(VLOOKUP(DATE($K$1,$K$2,ABW$4),Table1[],(MATCH(Calendar!$A18,DB!$1:$1,0)),FALSE)&gt;=5,"Good","Bad"),VLOOKUP(DATE($K$1,$K$2,ABW$4),Table1[],(MATCH(Calendar!$A18,DB!$1:$1,0)),FALSE)),"")</f>
        <v/>
      </c>
      <c r="ABX18" s="28" t="str">
        <f>IFERROR(IF(ACG3="No",IF(VLOOKUP(DATE($K$1,$K$2,ABX$4),Table1[],(MATCH(Calendar!$A18,DB!$1:$1,0)),FALSE)&gt;=5,"Good","Bad"),VLOOKUP(DATE($K$1,$K$2,ABX$4),Table1[],(MATCH(Calendar!$A18,DB!$1:$1,0)),FALSE)),"")</f>
        <v/>
      </c>
      <c r="ABY18" s="28" t="str">
        <f>IFERROR(IF(ACH3="No",IF(VLOOKUP(DATE($K$1,$K$2,ABY$4),Table1[],(MATCH(Calendar!$A18,DB!$1:$1,0)),FALSE)&gt;=5,"Good","Bad"),VLOOKUP(DATE($K$1,$K$2,ABY$4),Table1[],(MATCH(Calendar!$A18,DB!$1:$1,0)),FALSE)),"")</f>
        <v/>
      </c>
      <c r="ABZ18" s="28" t="str">
        <f>IFERROR(IF(ACI3="No",IF(VLOOKUP(DATE($K$1,$K$2,ABZ$4),Table1[],(MATCH(Calendar!$A18,DB!$1:$1,0)),FALSE)&gt;=5,"Good","Bad"),VLOOKUP(DATE($K$1,$K$2,ABZ$4),Table1[],(MATCH(Calendar!$A18,DB!$1:$1,0)),FALSE)),"")</f>
        <v/>
      </c>
      <c r="ACA18" s="28" t="str">
        <f>IFERROR(IF(ACJ3="No",IF(VLOOKUP(DATE($K$1,$K$2,ACA$4),Table1[],(MATCH(Calendar!$A18,DB!$1:$1,0)),FALSE)&gt;=5,"Good","Bad"),VLOOKUP(DATE($K$1,$K$2,ACA$4),Table1[],(MATCH(Calendar!$A18,DB!$1:$1,0)),FALSE)),"")</f>
        <v/>
      </c>
      <c r="ACB18" s="28" t="str">
        <f>IFERROR(IF(ACK3="No",IF(VLOOKUP(DATE($K$1,$K$2,ACB$4),Table1[],(MATCH(Calendar!$A18,DB!$1:$1,0)),FALSE)&gt;=5,"Good","Bad"),VLOOKUP(DATE($K$1,$K$2,ACB$4),Table1[],(MATCH(Calendar!$A18,DB!$1:$1,0)),FALSE)),"")</f>
        <v/>
      </c>
      <c r="ACC18" s="28" t="str">
        <f>IFERROR(IF(ACL3="No",IF(VLOOKUP(DATE($K$1,$K$2,ACC$4),Table1[],(MATCH(Calendar!$A18,DB!$1:$1,0)),FALSE)&gt;=5,"Good","Bad"),VLOOKUP(DATE($K$1,$K$2,ACC$4),Table1[],(MATCH(Calendar!$A18,DB!$1:$1,0)),FALSE)),"")</f>
        <v/>
      </c>
      <c r="ACD18" s="28" t="str">
        <f>IFERROR(IF(ACM3="No",IF(VLOOKUP(DATE($K$1,$K$2,ACD$4),Table1[],(MATCH(Calendar!$A18,DB!$1:$1,0)),FALSE)&gt;=5,"Good","Bad"),VLOOKUP(DATE($K$1,$K$2,ACD$4),Table1[],(MATCH(Calendar!$A18,DB!$1:$1,0)),FALSE)),"")</f>
        <v/>
      </c>
      <c r="ACE18" s="28" t="str">
        <f>IFERROR(IF(ACN3="No",IF(VLOOKUP(DATE($K$1,$K$2,ACE$4),Table1[],(MATCH(Calendar!$A18,DB!$1:$1,0)),FALSE)&gt;=5,"Good","Bad"),VLOOKUP(DATE($K$1,$K$2,ACE$4),Table1[],(MATCH(Calendar!$A18,DB!$1:$1,0)),FALSE)),"")</f>
        <v/>
      </c>
      <c r="ACF18" s="28" t="str">
        <f>IFERROR(IF(ACO3="No",IF(VLOOKUP(DATE($K$1,$K$2,ACF$4),Table1[],(MATCH(Calendar!$A18,DB!$1:$1,0)),FALSE)&gt;=5,"Good","Bad"),VLOOKUP(DATE($K$1,$K$2,ACF$4),Table1[],(MATCH(Calendar!$A18,DB!$1:$1,0)),FALSE)),"")</f>
        <v/>
      </c>
      <c r="ACG18" s="28" t="str">
        <f>IFERROR(IF(ACP3="No",IF(VLOOKUP(DATE($K$1,$K$2,ACG$4),Table1[],(MATCH(Calendar!$A18,DB!$1:$1,0)),FALSE)&gt;=5,"Good","Bad"),VLOOKUP(DATE($K$1,$K$2,ACG$4),Table1[],(MATCH(Calendar!$A18,DB!$1:$1,0)),FALSE)),"")</f>
        <v/>
      </c>
      <c r="ACH18" s="28" t="str">
        <f>IFERROR(IF(ACQ3="No",IF(VLOOKUP(DATE($K$1,$K$2,ACH$4),Table1[],(MATCH(Calendar!$A18,DB!$1:$1,0)),FALSE)&gt;=5,"Good","Bad"),VLOOKUP(DATE($K$1,$K$2,ACH$4),Table1[],(MATCH(Calendar!$A18,DB!$1:$1,0)),FALSE)),"")</f>
        <v/>
      </c>
      <c r="ACI18" s="28" t="str">
        <f>IFERROR(IF(ACR3="No",IF(VLOOKUP(DATE($K$1,$K$2,ACI$4),Table1[],(MATCH(Calendar!$A18,DB!$1:$1,0)),FALSE)&gt;=5,"Good","Bad"),VLOOKUP(DATE($K$1,$K$2,ACI$4),Table1[],(MATCH(Calendar!$A18,DB!$1:$1,0)),FALSE)),"")</f>
        <v/>
      </c>
      <c r="ACJ18" s="28" t="str">
        <f>IFERROR(IF(ACS3="No",IF(VLOOKUP(DATE($K$1,$K$2,ACJ$4),Table1[],(MATCH(Calendar!$A18,DB!$1:$1,0)),FALSE)&gt;=5,"Good","Bad"),VLOOKUP(DATE($K$1,$K$2,ACJ$4),Table1[],(MATCH(Calendar!$A18,DB!$1:$1,0)),FALSE)),"")</f>
        <v/>
      </c>
      <c r="ACK18" s="28" t="str">
        <f>IFERROR(IF(ACT3="No",IF(VLOOKUP(DATE($K$1,$K$2,ACK$4),Table1[],(MATCH(Calendar!$A18,DB!$1:$1,0)),FALSE)&gt;=5,"Good","Bad"),VLOOKUP(DATE($K$1,$K$2,ACK$4),Table1[],(MATCH(Calendar!$A18,DB!$1:$1,0)),FALSE)),"")</f>
        <v/>
      </c>
      <c r="ACL18" s="28" t="str">
        <f>IFERROR(IF(ACU3="No",IF(VLOOKUP(DATE($K$1,$K$2,ACL$4),Table1[],(MATCH(Calendar!$A18,DB!$1:$1,0)),FALSE)&gt;=5,"Good","Bad"),VLOOKUP(DATE($K$1,$K$2,ACL$4),Table1[],(MATCH(Calendar!$A18,DB!$1:$1,0)),FALSE)),"")</f>
        <v/>
      </c>
      <c r="ACM18" s="28" t="str">
        <f>IFERROR(IF(ACV3="No",IF(VLOOKUP(DATE($K$1,$K$2,ACM$4),Table1[],(MATCH(Calendar!$A18,DB!$1:$1,0)),FALSE)&gt;=5,"Good","Bad"),VLOOKUP(DATE($K$1,$K$2,ACM$4),Table1[],(MATCH(Calendar!$A18,DB!$1:$1,0)),FALSE)),"")</f>
        <v/>
      </c>
      <c r="ACN18" s="28" t="str">
        <f>IFERROR(IF(ACW3="No",IF(VLOOKUP(DATE($K$1,$K$2,ACN$4),Table1[],(MATCH(Calendar!$A18,DB!$1:$1,0)),FALSE)&gt;=5,"Good","Bad"),VLOOKUP(DATE($K$1,$K$2,ACN$4),Table1[],(MATCH(Calendar!$A18,DB!$1:$1,0)),FALSE)),"")</f>
        <v/>
      </c>
      <c r="ACO18" s="28" t="str">
        <f>IFERROR(IF(ACX3="No",IF(VLOOKUP(DATE($K$1,$K$2,ACO$4),Table1[],(MATCH(Calendar!$A18,DB!$1:$1,0)),FALSE)&gt;=5,"Good","Bad"),VLOOKUP(DATE($K$1,$K$2,ACO$4),Table1[],(MATCH(Calendar!$A18,DB!$1:$1,0)),FALSE)),"")</f>
        <v/>
      </c>
      <c r="ACP18" s="28" t="str">
        <f>IFERROR(IF(ACY3="No",IF(VLOOKUP(DATE($K$1,$K$2,ACP$4),Table1[],(MATCH(Calendar!$A18,DB!$1:$1,0)),FALSE)&gt;=5,"Good","Bad"),VLOOKUP(DATE($K$1,$K$2,ACP$4),Table1[],(MATCH(Calendar!$A18,DB!$1:$1,0)),FALSE)),"")</f>
        <v/>
      </c>
      <c r="ACQ18" s="28" t="str">
        <f>IFERROR(IF(ACZ3="No",IF(VLOOKUP(DATE($K$1,$K$2,ACQ$4),Table1[],(MATCH(Calendar!$A18,DB!$1:$1,0)),FALSE)&gt;=5,"Good","Bad"),VLOOKUP(DATE($K$1,$K$2,ACQ$4),Table1[],(MATCH(Calendar!$A18,DB!$1:$1,0)),FALSE)),"")</f>
        <v/>
      </c>
      <c r="ACR18" s="28" t="str">
        <f>IFERROR(IF(ADA3="No",IF(VLOOKUP(DATE($K$1,$K$2,ACR$4),Table1[],(MATCH(Calendar!$A18,DB!$1:$1,0)),FALSE)&gt;=5,"Good","Bad"),VLOOKUP(DATE($K$1,$K$2,ACR$4),Table1[],(MATCH(Calendar!$A18,DB!$1:$1,0)),FALSE)),"")</f>
        <v/>
      </c>
      <c r="ACS18" s="28" t="str">
        <f>IFERROR(IF(ADB3="No",IF(VLOOKUP(DATE($K$1,$K$2,ACS$4),Table1[],(MATCH(Calendar!$A18,DB!$1:$1,0)),FALSE)&gt;=5,"Good","Bad"),VLOOKUP(DATE($K$1,$K$2,ACS$4),Table1[],(MATCH(Calendar!$A18,DB!$1:$1,0)),FALSE)),"")</f>
        <v/>
      </c>
      <c r="ACT18" s="28" t="str">
        <f>IFERROR(IF(ADC3="No",IF(VLOOKUP(DATE($K$1,$K$2,ACT$4),Table1[],(MATCH(Calendar!$A18,DB!$1:$1,0)),FALSE)&gt;=5,"Good","Bad"),VLOOKUP(DATE($K$1,$K$2,ACT$4),Table1[],(MATCH(Calendar!$A18,DB!$1:$1,0)),FALSE)),"")</f>
        <v/>
      </c>
      <c r="ACU18" s="28" t="str">
        <f>IFERROR(IF(ADD3="No",IF(VLOOKUP(DATE($K$1,$K$2,ACU$4),Table1[],(MATCH(Calendar!$A18,DB!$1:$1,0)),FALSE)&gt;=5,"Good","Bad"),VLOOKUP(DATE($K$1,$K$2,ACU$4),Table1[],(MATCH(Calendar!$A18,DB!$1:$1,0)),FALSE)),"")</f>
        <v/>
      </c>
      <c r="ACV18" s="28" t="str">
        <f>IFERROR(IF(ADE3="No",IF(VLOOKUP(DATE($K$1,$K$2,ACV$4),Table1[],(MATCH(Calendar!$A18,DB!$1:$1,0)),FALSE)&gt;=5,"Good","Bad"),VLOOKUP(DATE($K$1,$K$2,ACV$4),Table1[],(MATCH(Calendar!$A18,DB!$1:$1,0)),FALSE)),"")</f>
        <v/>
      </c>
      <c r="ACW18" s="28" t="str">
        <f>IFERROR(IF(ADF3="No",IF(VLOOKUP(DATE($K$1,$K$2,ACW$4),Table1[],(MATCH(Calendar!$A18,DB!$1:$1,0)),FALSE)&gt;=5,"Good","Bad"),VLOOKUP(DATE($K$1,$K$2,ACW$4),Table1[],(MATCH(Calendar!$A18,DB!$1:$1,0)),FALSE)),"")</f>
        <v/>
      </c>
      <c r="ACX18" s="28" t="str">
        <f>IFERROR(IF(ADG3="No",IF(VLOOKUP(DATE($K$1,$K$2,ACX$4),Table1[],(MATCH(Calendar!$A18,DB!$1:$1,0)),FALSE)&gt;=5,"Good","Bad"),VLOOKUP(DATE($K$1,$K$2,ACX$4),Table1[],(MATCH(Calendar!$A18,DB!$1:$1,0)),FALSE)),"")</f>
        <v/>
      </c>
      <c r="ACY18" s="28" t="str">
        <f>IFERROR(IF(ADH3="No",IF(VLOOKUP(DATE($K$1,$K$2,ACY$4),Table1[],(MATCH(Calendar!$A18,DB!$1:$1,0)),FALSE)&gt;=5,"Good","Bad"),VLOOKUP(DATE($K$1,$K$2,ACY$4),Table1[],(MATCH(Calendar!$A18,DB!$1:$1,0)),FALSE)),"")</f>
        <v/>
      </c>
      <c r="ACZ18" s="28" t="str">
        <f>IFERROR(IF(ADI3="No",IF(VLOOKUP(DATE($K$1,$K$2,ACZ$4),Table1[],(MATCH(Calendar!$A18,DB!$1:$1,0)),FALSE)&gt;=5,"Good","Bad"),VLOOKUP(DATE($K$1,$K$2,ACZ$4),Table1[],(MATCH(Calendar!$A18,DB!$1:$1,0)),FALSE)),"")</f>
        <v/>
      </c>
      <c r="ADA18" s="28" t="str">
        <f>IFERROR(IF(ADJ3="No",IF(VLOOKUP(DATE($K$1,$K$2,ADA$4),Table1[],(MATCH(Calendar!$A18,DB!$1:$1,0)),FALSE)&gt;=5,"Good","Bad"),VLOOKUP(DATE($K$1,$K$2,ADA$4),Table1[],(MATCH(Calendar!$A18,DB!$1:$1,0)),FALSE)),"")</f>
        <v/>
      </c>
      <c r="ADB18" s="28" t="str">
        <f>IFERROR(IF(ADK3="No",IF(VLOOKUP(DATE($K$1,$K$2,ADB$4),Table1[],(MATCH(Calendar!$A18,DB!$1:$1,0)),FALSE)&gt;=5,"Good","Bad"),VLOOKUP(DATE($K$1,$K$2,ADB$4),Table1[],(MATCH(Calendar!$A18,DB!$1:$1,0)),FALSE)),"")</f>
        <v/>
      </c>
      <c r="ADC18" s="28" t="str">
        <f>IFERROR(IF(ADL3="No",IF(VLOOKUP(DATE($K$1,$K$2,ADC$4),Table1[],(MATCH(Calendar!$A18,DB!$1:$1,0)),FALSE)&gt;=5,"Good","Bad"),VLOOKUP(DATE($K$1,$K$2,ADC$4),Table1[],(MATCH(Calendar!$A18,DB!$1:$1,0)),FALSE)),"")</f>
        <v/>
      </c>
      <c r="ADD18" s="28" t="str">
        <f>IFERROR(IF(ADM3="No",IF(VLOOKUP(DATE($K$1,$K$2,ADD$4),Table1[],(MATCH(Calendar!$A18,DB!$1:$1,0)),FALSE)&gt;=5,"Good","Bad"),VLOOKUP(DATE($K$1,$K$2,ADD$4),Table1[],(MATCH(Calendar!$A18,DB!$1:$1,0)),FALSE)),"")</f>
        <v/>
      </c>
      <c r="ADE18" s="28" t="str">
        <f>IFERROR(IF(ADN3="No",IF(VLOOKUP(DATE($K$1,$K$2,ADE$4),Table1[],(MATCH(Calendar!$A18,DB!$1:$1,0)),FALSE)&gt;=5,"Good","Bad"),VLOOKUP(DATE($K$1,$K$2,ADE$4),Table1[],(MATCH(Calendar!$A18,DB!$1:$1,0)),FALSE)),"")</f>
        <v/>
      </c>
      <c r="ADF18" s="28" t="str">
        <f>IFERROR(IF(ADO3="No",IF(VLOOKUP(DATE($K$1,$K$2,ADF$4),Table1[],(MATCH(Calendar!$A18,DB!$1:$1,0)),FALSE)&gt;=5,"Good","Bad"),VLOOKUP(DATE($K$1,$K$2,ADF$4),Table1[],(MATCH(Calendar!$A18,DB!$1:$1,0)),FALSE)),"")</f>
        <v/>
      </c>
      <c r="ADG18" s="28" t="str">
        <f>IFERROR(IF(ADP3="No",IF(VLOOKUP(DATE($K$1,$K$2,ADG$4),Table1[],(MATCH(Calendar!$A18,DB!$1:$1,0)),FALSE)&gt;=5,"Good","Bad"),VLOOKUP(DATE($K$1,$K$2,ADG$4),Table1[],(MATCH(Calendar!$A18,DB!$1:$1,0)),FALSE)),"")</f>
        <v/>
      </c>
      <c r="ADH18" s="28" t="str">
        <f>IFERROR(IF(ADQ3="No",IF(VLOOKUP(DATE($K$1,$K$2,ADH$4),Table1[],(MATCH(Calendar!$A18,DB!$1:$1,0)),FALSE)&gt;=5,"Good","Bad"),VLOOKUP(DATE($K$1,$K$2,ADH$4),Table1[],(MATCH(Calendar!$A18,DB!$1:$1,0)),FALSE)),"")</f>
        <v/>
      </c>
      <c r="ADI18" s="28" t="str">
        <f>IFERROR(IF(ADR3="No",IF(VLOOKUP(DATE($K$1,$K$2,ADI$4),Table1[],(MATCH(Calendar!$A18,DB!$1:$1,0)),FALSE)&gt;=5,"Good","Bad"),VLOOKUP(DATE($K$1,$K$2,ADI$4),Table1[],(MATCH(Calendar!$A18,DB!$1:$1,0)),FALSE)),"")</f>
        <v/>
      </c>
      <c r="ADJ18" s="28" t="str">
        <f>IFERROR(IF(ADS3="No",IF(VLOOKUP(DATE($K$1,$K$2,ADJ$4),Table1[],(MATCH(Calendar!$A18,DB!$1:$1,0)),FALSE)&gt;=5,"Good","Bad"),VLOOKUP(DATE($K$1,$K$2,ADJ$4),Table1[],(MATCH(Calendar!$A18,DB!$1:$1,0)),FALSE)),"")</f>
        <v/>
      </c>
      <c r="ADK18" s="28" t="str">
        <f>IFERROR(IF(ADT3="No",IF(VLOOKUP(DATE($K$1,$K$2,ADK$4),Table1[],(MATCH(Calendar!$A18,DB!$1:$1,0)),FALSE)&gt;=5,"Good","Bad"),VLOOKUP(DATE($K$1,$K$2,ADK$4),Table1[],(MATCH(Calendar!$A18,DB!$1:$1,0)),FALSE)),"")</f>
        <v/>
      </c>
      <c r="ADL18" s="28" t="str">
        <f>IFERROR(IF(ADU3="No",IF(VLOOKUP(DATE($K$1,$K$2,ADL$4),Table1[],(MATCH(Calendar!$A18,DB!$1:$1,0)),FALSE)&gt;=5,"Good","Bad"),VLOOKUP(DATE($K$1,$K$2,ADL$4),Table1[],(MATCH(Calendar!$A18,DB!$1:$1,0)),FALSE)),"")</f>
        <v/>
      </c>
      <c r="ADM18" s="28" t="str">
        <f>IFERROR(IF(ADV3="No",IF(VLOOKUP(DATE($K$1,$K$2,ADM$4),Table1[],(MATCH(Calendar!$A18,DB!$1:$1,0)),FALSE)&gt;=5,"Good","Bad"),VLOOKUP(DATE($K$1,$K$2,ADM$4),Table1[],(MATCH(Calendar!$A18,DB!$1:$1,0)),FALSE)),"")</f>
        <v/>
      </c>
      <c r="ADN18" s="28" t="str">
        <f>IFERROR(IF(ADW3="No",IF(VLOOKUP(DATE($K$1,$K$2,ADN$4),Table1[],(MATCH(Calendar!$A18,DB!$1:$1,0)),FALSE)&gt;=5,"Good","Bad"),VLOOKUP(DATE($K$1,$K$2,ADN$4),Table1[],(MATCH(Calendar!$A18,DB!$1:$1,0)),FALSE)),"")</f>
        <v/>
      </c>
      <c r="ADO18" s="28" t="str">
        <f>IFERROR(IF(ADX3="No",IF(VLOOKUP(DATE($K$1,$K$2,ADO$4),Table1[],(MATCH(Calendar!$A18,DB!$1:$1,0)),FALSE)&gt;=5,"Good","Bad"),VLOOKUP(DATE($K$1,$K$2,ADO$4),Table1[],(MATCH(Calendar!$A18,DB!$1:$1,0)),FALSE)),"")</f>
        <v/>
      </c>
      <c r="ADP18" s="28" t="str">
        <f>IFERROR(IF(ADY3="No",IF(VLOOKUP(DATE($K$1,$K$2,ADP$4),Table1[],(MATCH(Calendar!$A18,DB!$1:$1,0)),FALSE)&gt;=5,"Good","Bad"),VLOOKUP(DATE($K$1,$K$2,ADP$4),Table1[],(MATCH(Calendar!$A18,DB!$1:$1,0)),FALSE)),"")</f>
        <v/>
      </c>
      <c r="ADQ18" s="28" t="str">
        <f>IFERROR(IF(ADZ3="No",IF(VLOOKUP(DATE($K$1,$K$2,ADQ$4),Table1[],(MATCH(Calendar!$A18,DB!$1:$1,0)),FALSE)&gt;=5,"Good","Bad"),VLOOKUP(DATE($K$1,$K$2,ADQ$4),Table1[],(MATCH(Calendar!$A18,DB!$1:$1,0)),FALSE)),"")</f>
        <v/>
      </c>
      <c r="ADR18" s="28" t="str">
        <f>IFERROR(IF(AEA3="No",IF(VLOOKUP(DATE($K$1,$K$2,ADR$4),Table1[],(MATCH(Calendar!$A18,DB!$1:$1,0)),FALSE)&gt;=5,"Good","Bad"),VLOOKUP(DATE($K$1,$K$2,ADR$4),Table1[],(MATCH(Calendar!$A18,DB!$1:$1,0)),FALSE)),"")</f>
        <v/>
      </c>
      <c r="ADS18" s="28" t="str">
        <f>IFERROR(IF(AEB3="No",IF(VLOOKUP(DATE($K$1,$K$2,ADS$4),Table1[],(MATCH(Calendar!$A18,DB!$1:$1,0)),FALSE)&gt;=5,"Good","Bad"),VLOOKUP(DATE($K$1,$K$2,ADS$4),Table1[],(MATCH(Calendar!$A18,DB!$1:$1,0)),FALSE)),"")</f>
        <v/>
      </c>
      <c r="ADT18" s="28" t="str">
        <f>IFERROR(IF(AEC3="No",IF(VLOOKUP(DATE($K$1,$K$2,ADT$4),Table1[],(MATCH(Calendar!$A18,DB!$1:$1,0)),FALSE)&gt;=5,"Good","Bad"),VLOOKUP(DATE($K$1,$K$2,ADT$4),Table1[],(MATCH(Calendar!$A18,DB!$1:$1,0)),FALSE)),"")</f>
        <v/>
      </c>
      <c r="ADU18" s="28" t="str">
        <f>IFERROR(IF(AED3="No",IF(VLOOKUP(DATE($K$1,$K$2,ADU$4),Table1[],(MATCH(Calendar!$A18,DB!$1:$1,0)),FALSE)&gt;=5,"Good","Bad"),VLOOKUP(DATE($K$1,$K$2,ADU$4),Table1[],(MATCH(Calendar!$A18,DB!$1:$1,0)),FALSE)),"")</f>
        <v/>
      </c>
      <c r="ADV18" s="28" t="str">
        <f>IFERROR(IF(AEE3="No",IF(VLOOKUP(DATE($K$1,$K$2,ADV$4),Table1[],(MATCH(Calendar!$A18,DB!$1:$1,0)),FALSE)&gt;=5,"Good","Bad"),VLOOKUP(DATE($K$1,$K$2,ADV$4),Table1[],(MATCH(Calendar!$A18,DB!$1:$1,0)),FALSE)),"")</f>
        <v/>
      </c>
      <c r="ADW18" s="28" t="str">
        <f>IFERROR(IF(AEF3="No",IF(VLOOKUP(DATE($K$1,$K$2,ADW$4),Table1[],(MATCH(Calendar!$A18,DB!$1:$1,0)),FALSE)&gt;=5,"Good","Bad"),VLOOKUP(DATE($K$1,$K$2,ADW$4),Table1[],(MATCH(Calendar!$A18,DB!$1:$1,0)),FALSE)),"")</f>
        <v/>
      </c>
      <c r="ADX18" s="28" t="str">
        <f>IFERROR(IF(AEG3="No",IF(VLOOKUP(DATE($K$1,$K$2,ADX$4),Table1[],(MATCH(Calendar!$A18,DB!$1:$1,0)),FALSE)&gt;=5,"Good","Bad"),VLOOKUP(DATE($K$1,$K$2,ADX$4),Table1[],(MATCH(Calendar!$A18,DB!$1:$1,0)),FALSE)),"")</f>
        <v/>
      </c>
      <c r="ADY18" s="28" t="str">
        <f>IFERROR(IF(AEH3="No",IF(VLOOKUP(DATE($K$1,$K$2,ADY$4),Table1[],(MATCH(Calendar!$A18,DB!$1:$1,0)),FALSE)&gt;=5,"Good","Bad"),VLOOKUP(DATE($K$1,$K$2,ADY$4),Table1[],(MATCH(Calendar!$A18,DB!$1:$1,0)),FALSE)),"")</f>
        <v/>
      </c>
      <c r="ADZ18" s="28" t="str">
        <f>IFERROR(IF(AEI3="No",IF(VLOOKUP(DATE($K$1,$K$2,ADZ$4),Table1[],(MATCH(Calendar!$A18,DB!$1:$1,0)),FALSE)&gt;=5,"Good","Bad"),VLOOKUP(DATE($K$1,$K$2,ADZ$4),Table1[],(MATCH(Calendar!$A18,DB!$1:$1,0)),FALSE)),"")</f>
        <v/>
      </c>
      <c r="AEA18" s="28" t="str">
        <f>IFERROR(IF(AEJ3="No",IF(VLOOKUP(DATE($K$1,$K$2,AEA$4),Table1[],(MATCH(Calendar!$A18,DB!$1:$1,0)),FALSE)&gt;=5,"Good","Bad"),VLOOKUP(DATE($K$1,$K$2,AEA$4),Table1[],(MATCH(Calendar!$A18,DB!$1:$1,0)),FALSE)),"")</f>
        <v/>
      </c>
      <c r="AEB18" s="28" t="str">
        <f>IFERROR(IF(AEK3="No",IF(VLOOKUP(DATE($K$1,$K$2,AEB$4),Table1[],(MATCH(Calendar!$A18,DB!$1:$1,0)),FALSE)&gt;=5,"Good","Bad"),VLOOKUP(DATE($K$1,$K$2,AEB$4),Table1[],(MATCH(Calendar!$A18,DB!$1:$1,0)),FALSE)),"")</f>
        <v/>
      </c>
      <c r="AEC18" s="28" t="str">
        <f>IFERROR(IF(AEL3="No",IF(VLOOKUP(DATE($K$1,$K$2,AEC$4),Table1[],(MATCH(Calendar!$A18,DB!$1:$1,0)),FALSE)&gt;=5,"Good","Bad"),VLOOKUP(DATE($K$1,$K$2,AEC$4),Table1[],(MATCH(Calendar!$A18,DB!$1:$1,0)),FALSE)),"")</f>
        <v/>
      </c>
      <c r="AED18" s="28" t="str">
        <f>IFERROR(IF(AEM3="No",IF(VLOOKUP(DATE($K$1,$K$2,AED$4),Table1[],(MATCH(Calendar!$A18,DB!$1:$1,0)),FALSE)&gt;=5,"Good","Bad"),VLOOKUP(DATE($K$1,$K$2,AED$4),Table1[],(MATCH(Calendar!$A18,DB!$1:$1,0)),FALSE)),"")</f>
        <v/>
      </c>
      <c r="AEE18" s="28" t="str">
        <f>IFERROR(IF(AEN3="No",IF(VLOOKUP(DATE($K$1,$K$2,AEE$4),Table1[],(MATCH(Calendar!$A18,DB!$1:$1,0)),FALSE)&gt;=5,"Good","Bad"),VLOOKUP(DATE($K$1,$K$2,AEE$4),Table1[],(MATCH(Calendar!$A18,DB!$1:$1,0)),FALSE)),"")</f>
        <v/>
      </c>
      <c r="AEF18" s="28" t="str">
        <f>IFERROR(IF(AEO3="No",IF(VLOOKUP(DATE($K$1,$K$2,AEF$4),Table1[],(MATCH(Calendar!$A18,DB!$1:$1,0)),FALSE)&gt;=5,"Good","Bad"),VLOOKUP(DATE($K$1,$K$2,AEF$4),Table1[],(MATCH(Calendar!$A18,DB!$1:$1,0)),FALSE)),"")</f>
        <v/>
      </c>
      <c r="AEG18" s="28" t="str">
        <f>IFERROR(IF(AEP3="No",IF(VLOOKUP(DATE($K$1,$K$2,AEG$4),Table1[],(MATCH(Calendar!$A18,DB!$1:$1,0)),FALSE)&gt;=5,"Good","Bad"),VLOOKUP(DATE($K$1,$K$2,AEG$4),Table1[],(MATCH(Calendar!$A18,DB!$1:$1,0)),FALSE)),"")</f>
        <v/>
      </c>
      <c r="AEH18" s="28" t="str">
        <f>IFERROR(IF(AEQ3="No",IF(VLOOKUP(DATE($K$1,$K$2,AEH$4),Table1[],(MATCH(Calendar!$A18,DB!$1:$1,0)),FALSE)&gt;=5,"Good","Bad"),VLOOKUP(DATE($K$1,$K$2,AEH$4),Table1[],(MATCH(Calendar!$A18,DB!$1:$1,0)),FALSE)),"")</f>
        <v/>
      </c>
      <c r="AEI18" s="28" t="str">
        <f>IFERROR(IF(AER3="No",IF(VLOOKUP(DATE($K$1,$K$2,AEI$4),Table1[],(MATCH(Calendar!$A18,DB!$1:$1,0)),FALSE)&gt;=5,"Good","Bad"),VLOOKUP(DATE($K$1,$K$2,AEI$4),Table1[],(MATCH(Calendar!$A18,DB!$1:$1,0)),FALSE)),"")</f>
        <v/>
      </c>
      <c r="AEJ18" s="28" t="str">
        <f>IFERROR(IF(AES3="No",IF(VLOOKUP(DATE($K$1,$K$2,AEJ$4),Table1[],(MATCH(Calendar!$A18,DB!$1:$1,0)),FALSE)&gt;=5,"Good","Bad"),VLOOKUP(DATE($K$1,$K$2,AEJ$4),Table1[],(MATCH(Calendar!$A18,DB!$1:$1,0)),FALSE)),"")</f>
        <v/>
      </c>
      <c r="AEK18" s="28" t="str">
        <f>IFERROR(IF(AET3="No",IF(VLOOKUP(DATE($K$1,$K$2,AEK$4),Table1[],(MATCH(Calendar!$A18,DB!$1:$1,0)),FALSE)&gt;=5,"Good","Bad"),VLOOKUP(DATE($K$1,$K$2,AEK$4),Table1[],(MATCH(Calendar!$A18,DB!$1:$1,0)),FALSE)),"")</f>
        <v/>
      </c>
      <c r="AEL18" s="28" t="str">
        <f>IFERROR(IF(AEU3="No",IF(VLOOKUP(DATE($K$1,$K$2,AEL$4),Table1[],(MATCH(Calendar!$A18,DB!$1:$1,0)),FALSE)&gt;=5,"Good","Bad"),VLOOKUP(DATE($K$1,$K$2,AEL$4),Table1[],(MATCH(Calendar!$A18,DB!$1:$1,0)),FALSE)),"")</f>
        <v/>
      </c>
      <c r="AEM18" s="28" t="str">
        <f>IFERROR(IF(AEV3="No",IF(VLOOKUP(DATE($K$1,$K$2,AEM$4),Table1[],(MATCH(Calendar!$A18,DB!$1:$1,0)),FALSE)&gt;=5,"Good","Bad"),VLOOKUP(DATE($K$1,$K$2,AEM$4),Table1[],(MATCH(Calendar!$A18,DB!$1:$1,0)),FALSE)),"")</f>
        <v/>
      </c>
      <c r="AEN18" s="28" t="str">
        <f>IFERROR(IF(AEW3="No",IF(VLOOKUP(DATE($K$1,$K$2,AEN$4),Table1[],(MATCH(Calendar!$A18,DB!$1:$1,0)),FALSE)&gt;=5,"Good","Bad"),VLOOKUP(DATE($K$1,$K$2,AEN$4),Table1[],(MATCH(Calendar!$A18,DB!$1:$1,0)),FALSE)),"")</f>
        <v/>
      </c>
      <c r="AEO18" s="28" t="str">
        <f>IFERROR(IF(AEX3="No",IF(VLOOKUP(DATE($K$1,$K$2,AEO$4),Table1[],(MATCH(Calendar!$A18,DB!$1:$1,0)),FALSE)&gt;=5,"Good","Bad"),VLOOKUP(DATE($K$1,$K$2,AEO$4),Table1[],(MATCH(Calendar!$A18,DB!$1:$1,0)),FALSE)),"")</f>
        <v/>
      </c>
      <c r="AEP18" s="28" t="str">
        <f>IFERROR(IF(AEY3="No",IF(VLOOKUP(DATE($K$1,$K$2,AEP$4),Table1[],(MATCH(Calendar!$A18,DB!$1:$1,0)),FALSE)&gt;=5,"Good","Bad"),VLOOKUP(DATE($K$1,$K$2,AEP$4),Table1[],(MATCH(Calendar!$A18,DB!$1:$1,0)),FALSE)),"")</f>
        <v/>
      </c>
      <c r="AEQ18" s="28" t="str">
        <f>IFERROR(IF(AEZ3="No",IF(VLOOKUP(DATE($K$1,$K$2,AEQ$4),Table1[],(MATCH(Calendar!$A18,DB!$1:$1,0)),FALSE)&gt;=5,"Good","Bad"),VLOOKUP(DATE($K$1,$K$2,AEQ$4),Table1[],(MATCH(Calendar!$A18,DB!$1:$1,0)),FALSE)),"")</f>
        <v/>
      </c>
      <c r="AER18" s="28" t="str">
        <f>IFERROR(IF(AFA3="No",IF(VLOOKUP(DATE($K$1,$K$2,AER$4),Table1[],(MATCH(Calendar!$A18,DB!$1:$1,0)),FALSE)&gt;=5,"Good","Bad"),VLOOKUP(DATE($K$1,$K$2,AER$4),Table1[],(MATCH(Calendar!$A18,DB!$1:$1,0)),FALSE)),"")</f>
        <v/>
      </c>
      <c r="AES18" s="28" t="str">
        <f>IFERROR(IF(AFB3="No",IF(VLOOKUP(DATE($K$1,$K$2,AES$4),Table1[],(MATCH(Calendar!$A18,DB!$1:$1,0)),FALSE)&gt;=5,"Good","Bad"),VLOOKUP(DATE($K$1,$K$2,AES$4),Table1[],(MATCH(Calendar!$A18,DB!$1:$1,0)),FALSE)),"")</f>
        <v/>
      </c>
      <c r="AET18" s="28" t="str">
        <f>IFERROR(IF(AFC3="No",IF(VLOOKUP(DATE($K$1,$K$2,AET$4),Table1[],(MATCH(Calendar!$A18,DB!$1:$1,0)),FALSE)&gt;=5,"Good","Bad"),VLOOKUP(DATE($K$1,$K$2,AET$4),Table1[],(MATCH(Calendar!$A18,DB!$1:$1,0)),FALSE)),"")</f>
        <v/>
      </c>
      <c r="AEU18" s="28" t="str">
        <f>IFERROR(IF(AFD3="No",IF(VLOOKUP(DATE($K$1,$K$2,AEU$4),Table1[],(MATCH(Calendar!$A18,DB!$1:$1,0)),FALSE)&gt;=5,"Good","Bad"),VLOOKUP(DATE($K$1,$K$2,AEU$4),Table1[],(MATCH(Calendar!$A18,DB!$1:$1,0)),FALSE)),"")</f>
        <v/>
      </c>
      <c r="AEV18" s="28" t="str">
        <f>IFERROR(IF(AFE3="No",IF(VLOOKUP(DATE($K$1,$K$2,AEV$4),Table1[],(MATCH(Calendar!$A18,DB!$1:$1,0)),FALSE)&gt;=5,"Good","Bad"),VLOOKUP(DATE($K$1,$K$2,AEV$4),Table1[],(MATCH(Calendar!$A18,DB!$1:$1,0)),FALSE)),"")</f>
        <v/>
      </c>
      <c r="AEW18" s="28" t="str">
        <f>IFERROR(IF(AFF3="No",IF(VLOOKUP(DATE($K$1,$K$2,AEW$4),Table1[],(MATCH(Calendar!$A18,DB!$1:$1,0)),FALSE)&gt;=5,"Good","Bad"),VLOOKUP(DATE($K$1,$K$2,AEW$4),Table1[],(MATCH(Calendar!$A18,DB!$1:$1,0)),FALSE)),"")</f>
        <v/>
      </c>
      <c r="AEX18" s="28" t="str">
        <f>IFERROR(IF(AFG3="No",IF(VLOOKUP(DATE($K$1,$K$2,AEX$4),Table1[],(MATCH(Calendar!$A18,DB!$1:$1,0)),FALSE)&gt;=5,"Good","Bad"),VLOOKUP(DATE($K$1,$K$2,AEX$4),Table1[],(MATCH(Calendar!$A18,DB!$1:$1,0)),FALSE)),"")</f>
        <v/>
      </c>
      <c r="AEY18" s="28" t="str">
        <f>IFERROR(IF(AFH3="No",IF(VLOOKUP(DATE($K$1,$K$2,AEY$4),Table1[],(MATCH(Calendar!$A18,DB!$1:$1,0)),FALSE)&gt;=5,"Good","Bad"),VLOOKUP(DATE($K$1,$K$2,AEY$4),Table1[],(MATCH(Calendar!$A18,DB!$1:$1,0)),FALSE)),"")</f>
        <v/>
      </c>
      <c r="AEZ18" s="28" t="str">
        <f>IFERROR(IF(AFI3="No",IF(VLOOKUP(DATE($K$1,$K$2,AEZ$4),Table1[],(MATCH(Calendar!$A18,DB!$1:$1,0)),FALSE)&gt;=5,"Good","Bad"),VLOOKUP(DATE($K$1,$K$2,AEZ$4),Table1[],(MATCH(Calendar!$A18,DB!$1:$1,0)),FALSE)),"")</f>
        <v/>
      </c>
      <c r="AFA18" s="28" t="str">
        <f>IFERROR(IF(AFJ3="No",IF(VLOOKUP(DATE($K$1,$K$2,AFA$4),Table1[],(MATCH(Calendar!$A18,DB!$1:$1,0)),FALSE)&gt;=5,"Good","Bad"),VLOOKUP(DATE($K$1,$K$2,AFA$4),Table1[],(MATCH(Calendar!$A18,DB!$1:$1,0)),FALSE)),"")</f>
        <v/>
      </c>
      <c r="AFB18" s="28" t="str">
        <f>IFERROR(IF(AFK3="No",IF(VLOOKUP(DATE($K$1,$K$2,AFB$4),Table1[],(MATCH(Calendar!$A18,DB!$1:$1,0)),FALSE)&gt;=5,"Good","Bad"),VLOOKUP(DATE($K$1,$K$2,AFB$4),Table1[],(MATCH(Calendar!$A18,DB!$1:$1,0)),FALSE)),"")</f>
        <v/>
      </c>
      <c r="AFC18" s="28" t="str">
        <f>IFERROR(IF(AFL3="No",IF(VLOOKUP(DATE($K$1,$K$2,AFC$4),Table1[],(MATCH(Calendar!$A18,DB!$1:$1,0)),FALSE)&gt;=5,"Good","Bad"),VLOOKUP(DATE($K$1,$K$2,AFC$4),Table1[],(MATCH(Calendar!$A18,DB!$1:$1,0)),FALSE)),"")</f>
        <v/>
      </c>
      <c r="AFD18" s="28" t="str">
        <f>IFERROR(IF(AFM3="No",IF(VLOOKUP(DATE($K$1,$K$2,AFD$4),Table1[],(MATCH(Calendar!$A18,DB!$1:$1,0)),FALSE)&gt;=5,"Good","Bad"),VLOOKUP(DATE($K$1,$K$2,AFD$4),Table1[],(MATCH(Calendar!$A18,DB!$1:$1,0)),FALSE)),"")</f>
        <v/>
      </c>
      <c r="AFE18" s="28" t="str">
        <f>IFERROR(IF(AFN3="No",IF(VLOOKUP(DATE($K$1,$K$2,AFE$4),Table1[],(MATCH(Calendar!$A18,DB!$1:$1,0)),FALSE)&gt;=5,"Good","Bad"),VLOOKUP(DATE($K$1,$K$2,AFE$4),Table1[],(MATCH(Calendar!$A18,DB!$1:$1,0)),FALSE)),"")</f>
        <v/>
      </c>
      <c r="AFF18" s="28" t="str">
        <f>IFERROR(IF(AFO3="No",IF(VLOOKUP(DATE($K$1,$K$2,AFF$4),Table1[],(MATCH(Calendar!$A18,DB!$1:$1,0)),FALSE)&gt;=5,"Good","Bad"),VLOOKUP(DATE($K$1,$K$2,AFF$4),Table1[],(MATCH(Calendar!$A18,DB!$1:$1,0)),FALSE)),"")</f>
        <v/>
      </c>
      <c r="AFG18" s="28" t="str">
        <f>IFERROR(IF(AFP3="No",IF(VLOOKUP(DATE($K$1,$K$2,AFG$4),Table1[],(MATCH(Calendar!$A18,DB!$1:$1,0)),FALSE)&gt;=5,"Good","Bad"),VLOOKUP(DATE($K$1,$K$2,AFG$4),Table1[],(MATCH(Calendar!$A18,DB!$1:$1,0)),FALSE)),"")</f>
        <v/>
      </c>
      <c r="AFH18" s="28" t="str">
        <f>IFERROR(IF(AFQ3="No",IF(VLOOKUP(DATE($K$1,$K$2,AFH$4),Table1[],(MATCH(Calendar!$A18,DB!$1:$1,0)),FALSE)&gt;=5,"Good","Bad"),VLOOKUP(DATE($K$1,$K$2,AFH$4),Table1[],(MATCH(Calendar!$A18,DB!$1:$1,0)),FALSE)),"")</f>
        <v/>
      </c>
      <c r="AFI18" s="28" t="str">
        <f>IFERROR(IF(AFR3="No",IF(VLOOKUP(DATE($K$1,$K$2,AFI$4),Table1[],(MATCH(Calendar!$A18,DB!$1:$1,0)),FALSE)&gt;=5,"Good","Bad"),VLOOKUP(DATE($K$1,$K$2,AFI$4),Table1[],(MATCH(Calendar!$A18,DB!$1:$1,0)),FALSE)),"")</f>
        <v/>
      </c>
      <c r="AFJ18" s="28" t="str">
        <f>IFERROR(IF(AFS3="No",IF(VLOOKUP(DATE($K$1,$K$2,AFJ$4),Table1[],(MATCH(Calendar!$A18,DB!$1:$1,0)),FALSE)&gt;=5,"Good","Bad"),VLOOKUP(DATE($K$1,$K$2,AFJ$4),Table1[],(MATCH(Calendar!$A18,DB!$1:$1,0)),FALSE)),"")</f>
        <v/>
      </c>
      <c r="AFK18" s="28" t="str">
        <f>IFERROR(IF(AFT3="No",IF(VLOOKUP(DATE($K$1,$K$2,AFK$4),Table1[],(MATCH(Calendar!$A18,DB!$1:$1,0)),FALSE)&gt;=5,"Good","Bad"),VLOOKUP(DATE($K$1,$K$2,AFK$4),Table1[],(MATCH(Calendar!$A18,DB!$1:$1,0)),FALSE)),"")</f>
        <v/>
      </c>
      <c r="AFL18" s="28" t="str">
        <f>IFERROR(IF(AFU3="No",IF(VLOOKUP(DATE($K$1,$K$2,AFL$4),Table1[],(MATCH(Calendar!$A18,DB!$1:$1,0)),FALSE)&gt;=5,"Good","Bad"),VLOOKUP(DATE($K$1,$K$2,AFL$4),Table1[],(MATCH(Calendar!$A18,DB!$1:$1,0)),FALSE)),"")</f>
        <v/>
      </c>
      <c r="AFM18" s="28" t="str">
        <f>IFERROR(IF(AFV3="No",IF(VLOOKUP(DATE($K$1,$K$2,AFM$4),Table1[],(MATCH(Calendar!$A18,DB!$1:$1,0)),FALSE)&gt;=5,"Good","Bad"),VLOOKUP(DATE($K$1,$K$2,AFM$4),Table1[],(MATCH(Calendar!$A18,DB!$1:$1,0)),FALSE)),"")</f>
        <v/>
      </c>
      <c r="AFN18" s="28" t="str">
        <f>IFERROR(IF(AFW3="No",IF(VLOOKUP(DATE($K$1,$K$2,AFN$4),Table1[],(MATCH(Calendar!$A18,DB!$1:$1,0)),FALSE)&gt;=5,"Good","Bad"),VLOOKUP(DATE($K$1,$K$2,AFN$4),Table1[],(MATCH(Calendar!$A18,DB!$1:$1,0)),FALSE)),"")</f>
        <v/>
      </c>
      <c r="AFO18" s="28" t="str">
        <f>IFERROR(IF(AFX3="No",IF(VLOOKUP(DATE($K$1,$K$2,AFO$4),Table1[],(MATCH(Calendar!$A18,DB!$1:$1,0)),FALSE)&gt;=5,"Good","Bad"),VLOOKUP(DATE($K$1,$K$2,AFO$4),Table1[],(MATCH(Calendar!$A18,DB!$1:$1,0)),FALSE)),"")</f>
        <v/>
      </c>
      <c r="AFP18" s="28" t="str">
        <f>IFERROR(IF(AFY3="No",IF(VLOOKUP(DATE($K$1,$K$2,AFP$4),Table1[],(MATCH(Calendar!$A18,DB!$1:$1,0)),FALSE)&gt;=5,"Good","Bad"),VLOOKUP(DATE($K$1,$K$2,AFP$4),Table1[],(MATCH(Calendar!$A18,DB!$1:$1,0)),FALSE)),"")</f>
        <v/>
      </c>
      <c r="AFQ18" s="28" t="str">
        <f>IFERROR(IF(AFZ3="No",IF(VLOOKUP(DATE($K$1,$K$2,AFQ$4),Table1[],(MATCH(Calendar!$A18,DB!$1:$1,0)),FALSE)&gt;=5,"Good","Bad"),VLOOKUP(DATE($K$1,$K$2,AFQ$4),Table1[],(MATCH(Calendar!$A18,DB!$1:$1,0)),FALSE)),"")</f>
        <v/>
      </c>
      <c r="AFR18" s="28" t="str">
        <f>IFERROR(IF(AGA3="No",IF(VLOOKUP(DATE($K$1,$K$2,AFR$4),Table1[],(MATCH(Calendar!$A18,DB!$1:$1,0)),FALSE)&gt;=5,"Good","Bad"),VLOOKUP(DATE($K$1,$K$2,AFR$4),Table1[],(MATCH(Calendar!$A18,DB!$1:$1,0)),FALSE)),"")</f>
        <v/>
      </c>
      <c r="AFS18" s="28" t="str">
        <f>IFERROR(IF(AGB3="No",IF(VLOOKUP(DATE($K$1,$K$2,AFS$4),Table1[],(MATCH(Calendar!$A18,DB!$1:$1,0)),FALSE)&gt;=5,"Good","Bad"),VLOOKUP(DATE($K$1,$K$2,AFS$4),Table1[],(MATCH(Calendar!$A18,DB!$1:$1,0)),FALSE)),"")</f>
        <v/>
      </c>
      <c r="AFT18" s="28" t="str">
        <f>IFERROR(IF(AGC3="No",IF(VLOOKUP(DATE($K$1,$K$2,AFT$4),Table1[],(MATCH(Calendar!$A18,DB!$1:$1,0)),FALSE)&gt;=5,"Good","Bad"),VLOOKUP(DATE($K$1,$K$2,AFT$4),Table1[],(MATCH(Calendar!$A18,DB!$1:$1,0)),FALSE)),"")</f>
        <v/>
      </c>
      <c r="AFU18" s="28" t="str">
        <f>IFERROR(IF(AGD3="No",IF(VLOOKUP(DATE($K$1,$K$2,AFU$4),Table1[],(MATCH(Calendar!$A18,DB!$1:$1,0)),FALSE)&gt;=5,"Good","Bad"),VLOOKUP(DATE($K$1,$K$2,AFU$4),Table1[],(MATCH(Calendar!$A18,DB!$1:$1,0)),FALSE)),"")</f>
        <v/>
      </c>
      <c r="AFV18" s="28" t="str">
        <f>IFERROR(IF(AGE3="No",IF(VLOOKUP(DATE($K$1,$K$2,AFV$4),Table1[],(MATCH(Calendar!$A18,DB!$1:$1,0)),FALSE)&gt;=5,"Good","Bad"),VLOOKUP(DATE($K$1,$K$2,AFV$4),Table1[],(MATCH(Calendar!$A18,DB!$1:$1,0)),FALSE)),"")</f>
        <v/>
      </c>
      <c r="AFW18" s="28" t="str">
        <f>IFERROR(IF(AGF3="No",IF(VLOOKUP(DATE($K$1,$K$2,AFW$4),Table1[],(MATCH(Calendar!$A18,DB!$1:$1,0)),FALSE)&gt;=5,"Good","Bad"),VLOOKUP(DATE($K$1,$K$2,AFW$4),Table1[],(MATCH(Calendar!$A18,DB!$1:$1,0)),FALSE)),"")</f>
        <v/>
      </c>
      <c r="AFX18" s="28" t="str">
        <f>IFERROR(IF(AGG3="No",IF(VLOOKUP(DATE($K$1,$K$2,AFX$4),Table1[],(MATCH(Calendar!$A18,DB!$1:$1,0)),FALSE)&gt;=5,"Good","Bad"),VLOOKUP(DATE($K$1,$K$2,AFX$4),Table1[],(MATCH(Calendar!$A18,DB!$1:$1,0)),FALSE)),"")</f>
        <v/>
      </c>
      <c r="AFY18" s="28" t="str">
        <f>IFERROR(IF(AGH3="No",IF(VLOOKUP(DATE($K$1,$K$2,AFY$4),Table1[],(MATCH(Calendar!$A18,DB!$1:$1,0)),FALSE)&gt;=5,"Good","Bad"),VLOOKUP(DATE($K$1,$K$2,AFY$4),Table1[],(MATCH(Calendar!$A18,DB!$1:$1,0)),FALSE)),"")</f>
        <v/>
      </c>
      <c r="AFZ18" s="28" t="str">
        <f>IFERROR(IF(AGI3="No",IF(VLOOKUP(DATE($K$1,$K$2,AFZ$4),Table1[],(MATCH(Calendar!$A18,DB!$1:$1,0)),FALSE)&gt;=5,"Good","Bad"),VLOOKUP(DATE($K$1,$K$2,AFZ$4),Table1[],(MATCH(Calendar!$A18,DB!$1:$1,0)),FALSE)),"")</f>
        <v/>
      </c>
      <c r="AGA18" s="28" t="str">
        <f>IFERROR(IF(AGJ3="No",IF(VLOOKUP(DATE($K$1,$K$2,AGA$4),Table1[],(MATCH(Calendar!$A18,DB!$1:$1,0)),FALSE)&gt;=5,"Good","Bad"),VLOOKUP(DATE($K$1,$K$2,AGA$4),Table1[],(MATCH(Calendar!$A18,DB!$1:$1,0)),FALSE)),"")</f>
        <v/>
      </c>
      <c r="AGB18" s="28" t="str">
        <f>IFERROR(IF(AGK3="No",IF(VLOOKUP(DATE($K$1,$K$2,AGB$4),Table1[],(MATCH(Calendar!$A18,DB!$1:$1,0)),FALSE)&gt;=5,"Good","Bad"),VLOOKUP(DATE($K$1,$K$2,AGB$4),Table1[],(MATCH(Calendar!$A18,DB!$1:$1,0)),FALSE)),"")</f>
        <v/>
      </c>
      <c r="AGC18" s="28" t="str">
        <f>IFERROR(IF(AGL3="No",IF(VLOOKUP(DATE($K$1,$K$2,AGC$4),Table1[],(MATCH(Calendar!$A18,DB!$1:$1,0)),FALSE)&gt;=5,"Good","Bad"),VLOOKUP(DATE($K$1,$K$2,AGC$4),Table1[],(MATCH(Calendar!$A18,DB!$1:$1,0)),FALSE)),"")</f>
        <v/>
      </c>
      <c r="AGD18" s="28" t="str">
        <f>IFERROR(IF(AGM3="No",IF(VLOOKUP(DATE($K$1,$K$2,AGD$4),Table1[],(MATCH(Calendar!$A18,DB!$1:$1,0)),FALSE)&gt;=5,"Good","Bad"),VLOOKUP(DATE($K$1,$K$2,AGD$4),Table1[],(MATCH(Calendar!$A18,DB!$1:$1,0)),FALSE)),"")</f>
        <v/>
      </c>
      <c r="AGE18" s="28" t="str">
        <f>IFERROR(IF(AGN3="No",IF(VLOOKUP(DATE($K$1,$K$2,AGE$4),Table1[],(MATCH(Calendar!$A18,DB!$1:$1,0)),FALSE)&gt;=5,"Good","Bad"),VLOOKUP(DATE($K$1,$K$2,AGE$4),Table1[],(MATCH(Calendar!$A18,DB!$1:$1,0)),FALSE)),"")</f>
        <v/>
      </c>
      <c r="AGF18" s="28" t="str">
        <f>IFERROR(IF(AGO3="No",IF(VLOOKUP(DATE($K$1,$K$2,AGF$4),Table1[],(MATCH(Calendar!$A18,DB!$1:$1,0)),FALSE)&gt;=5,"Good","Bad"),VLOOKUP(DATE($K$1,$K$2,AGF$4),Table1[],(MATCH(Calendar!$A18,DB!$1:$1,0)),FALSE)),"")</f>
        <v/>
      </c>
      <c r="AGG18" s="28" t="str">
        <f>IFERROR(IF(AGP3="No",IF(VLOOKUP(DATE($K$1,$K$2,AGG$4),Table1[],(MATCH(Calendar!$A18,DB!$1:$1,0)),FALSE)&gt;=5,"Good","Bad"),VLOOKUP(DATE($K$1,$K$2,AGG$4),Table1[],(MATCH(Calendar!$A18,DB!$1:$1,0)),FALSE)),"")</f>
        <v/>
      </c>
      <c r="AGH18" s="28" t="str">
        <f>IFERROR(IF(AGQ3="No",IF(VLOOKUP(DATE($K$1,$K$2,AGH$4),Table1[],(MATCH(Calendar!$A18,DB!$1:$1,0)),FALSE)&gt;=5,"Good","Bad"),VLOOKUP(DATE($K$1,$K$2,AGH$4),Table1[],(MATCH(Calendar!$A18,DB!$1:$1,0)),FALSE)),"")</f>
        <v/>
      </c>
      <c r="AGI18" s="28" t="str">
        <f>IFERROR(IF(AGR3="No",IF(VLOOKUP(DATE($K$1,$K$2,AGI$4),Table1[],(MATCH(Calendar!$A18,DB!$1:$1,0)),FALSE)&gt;=5,"Good","Bad"),VLOOKUP(DATE($K$1,$K$2,AGI$4),Table1[],(MATCH(Calendar!$A18,DB!$1:$1,0)),FALSE)),"")</f>
        <v/>
      </c>
      <c r="AGJ18" s="28" t="str">
        <f>IFERROR(IF(AGS3="No",IF(VLOOKUP(DATE($K$1,$K$2,AGJ$4),Table1[],(MATCH(Calendar!$A18,DB!$1:$1,0)),FALSE)&gt;=5,"Good","Bad"),VLOOKUP(DATE($K$1,$K$2,AGJ$4),Table1[],(MATCH(Calendar!$A18,DB!$1:$1,0)),FALSE)),"")</f>
        <v/>
      </c>
      <c r="AGK18" s="28" t="str">
        <f>IFERROR(IF(AGT3="No",IF(VLOOKUP(DATE($K$1,$K$2,AGK$4),Table1[],(MATCH(Calendar!$A18,DB!$1:$1,0)),FALSE)&gt;=5,"Good","Bad"),VLOOKUP(DATE($K$1,$K$2,AGK$4),Table1[],(MATCH(Calendar!$A18,DB!$1:$1,0)),FALSE)),"")</f>
        <v/>
      </c>
      <c r="AGL18" s="28" t="str">
        <f>IFERROR(IF(AGU3="No",IF(VLOOKUP(DATE($K$1,$K$2,AGL$4),Table1[],(MATCH(Calendar!$A18,DB!$1:$1,0)),FALSE)&gt;=5,"Good","Bad"),VLOOKUP(DATE($K$1,$K$2,AGL$4),Table1[],(MATCH(Calendar!$A18,DB!$1:$1,0)),FALSE)),"")</f>
        <v/>
      </c>
      <c r="AGM18" s="28" t="str">
        <f>IFERROR(IF(AGV3="No",IF(VLOOKUP(DATE($K$1,$K$2,AGM$4),Table1[],(MATCH(Calendar!$A18,DB!$1:$1,0)),FALSE)&gt;=5,"Good","Bad"),VLOOKUP(DATE($K$1,$K$2,AGM$4),Table1[],(MATCH(Calendar!$A18,DB!$1:$1,0)),FALSE)),"")</f>
        <v/>
      </c>
      <c r="AGN18" s="28" t="str">
        <f>IFERROR(IF(AGW3="No",IF(VLOOKUP(DATE($K$1,$K$2,AGN$4),Table1[],(MATCH(Calendar!$A18,DB!$1:$1,0)),FALSE)&gt;=5,"Good","Bad"),VLOOKUP(DATE($K$1,$K$2,AGN$4),Table1[],(MATCH(Calendar!$A18,DB!$1:$1,0)),FALSE)),"")</f>
        <v/>
      </c>
      <c r="AGO18" s="28" t="str">
        <f>IFERROR(IF(AGX3="No",IF(VLOOKUP(DATE($K$1,$K$2,AGO$4),Table1[],(MATCH(Calendar!$A18,DB!$1:$1,0)),FALSE)&gt;=5,"Good","Bad"),VLOOKUP(DATE($K$1,$K$2,AGO$4),Table1[],(MATCH(Calendar!$A18,DB!$1:$1,0)),FALSE)),"")</f>
        <v/>
      </c>
      <c r="AGP18" s="28" t="str">
        <f>IFERROR(IF(AGY3="No",IF(VLOOKUP(DATE($K$1,$K$2,AGP$4),Table1[],(MATCH(Calendar!$A18,DB!$1:$1,0)),FALSE)&gt;=5,"Good","Bad"),VLOOKUP(DATE($K$1,$K$2,AGP$4),Table1[],(MATCH(Calendar!$A18,DB!$1:$1,0)),FALSE)),"")</f>
        <v/>
      </c>
      <c r="AGQ18" s="28" t="str">
        <f>IFERROR(IF(AGZ3="No",IF(VLOOKUP(DATE($K$1,$K$2,AGQ$4),Table1[],(MATCH(Calendar!$A18,DB!$1:$1,0)),FALSE)&gt;=5,"Good","Bad"),VLOOKUP(DATE($K$1,$K$2,AGQ$4),Table1[],(MATCH(Calendar!$A18,DB!$1:$1,0)),FALSE)),"")</f>
        <v/>
      </c>
      <c r="AGR18" s="28" t="str">
        <f>IFERROR(IF(AHA3="No",IF(VLOOKUP(DATE($K$1,$K$2,AGR$4),Table1[],(MATCH(Calendar!$A18,DB!$1:$1,0)),FALSE)&gt;=5,"Good","Bad"),VLOOKUP(DATE($K$1,$K$2,AGR$4),Table1[],(MATCH(Calendar!$A18,DB!$1:$1,0)),FALSE)),"")</f>
        <v/>
      </c>
      <c r="AGS18" s="28" t="str">
        <f>IFERROR(IF(AHB3="No",IF(VLOOKUP(DATE($K$1,$K$2,AGS$4),Table1[],(MATCH(Calendar!$A18,DB!$1:$1,0)),FALSE)&gt;=5,"Good","Bad"),VLOOKUP(DATE($K$1,$K$2,AGS$4),Table1[],(MATCH(Calendar!$A18,DB!$1:$1,0)),FALSE)),"")</f>
        <v/>
      </c>
      <c r="AGT18" s="28" t="str">
        <f>IFERROR(IF(AHC3="No",IF(VLOOKUP(DATE($K$1,$K$2,AGT$4),Table1[],(MATCH(Calendar!$A18,DB!$1:$1,0)),FALSE)&gt;=5,"Good","Bad"),VLOOKUP(DATE($K$1,$K$2,AGT$4),Table1[],(MATCH(Calendar!$A18,DB!$1:$1,0)),FALSE)),"")</f>
        <v/>
      </c>
      <c r="AGU18" s="28" t="str">
        <f>IFERROR(IF(AHD3="No",IF(VLOOKUP(DATE($K$1,$K$2,AGU$4),Table1[],(MATCH(Calendar!$A18,DB!$1:$1,0)),FALSE)&gt;=5,"Good","Bad"),VLOOKUP(DATE($K$1,$K$2,AGU$4),Table1[],(MATCH(Calendar!$A18,DB!$1:$1,0)),FALSE)),"")</f>
        <v/>
      </c>
      <c r="AGV18" s="28" t="str">
        <f>IFERROR(IF(AHE3="No",IF(VLOOKUP(DATE($K$1,$K$2,AGV$4),Table1[],(MATCH(Calendar!$A18,DB!$1:$1,0)),FALSE)&gt;=5,"Good","Bad"),VLOOKUP(DATE($K$1,$K$2,AGV$4),Table1[],(MATCH(Calendar!$A18,DB!$1:$1,0)),FALSE)),"")</f>
        <v/>
      </c>
      <c r="AGW18" s="28" t="str">
        <f>IFERROR(IF(AHF3="No",IF(VLOOKUP(DATE($K$1,$K$2,AGW$4),Table1[],(MATCH(Calendar!$A18,DB!$1:$1,0)),FALSE)&gt;=5,"Good","Bad"),VLOOKUP(DATE($K$1,$K$2,AGW$4),Table1[],(MATCH(Calendar!$A18,DB!$1:$1,0)),FALSE)),"")</f>
        <v/>
      </c>
      <c r="AGX18" s="28" t="str">
        <f>IFERROR(IF(AHG3="No",IF(VLOOKUP(DATE($K$1,$K$2,AGX$4),Table1[],(MATCH(Calendar!$A18,DB!$1:$1,0)),FALSE)&gt;=5,"Good","Bad"),VLOOKUP(DATE($K$1,$K$2,AGX$4),Table1[],(MATCH(Calendar!$A18,DB!$1:$1,0)),FALSE)),"")</f>
        <v/>
      </c>
      <c r="AGY18" s="28" t="str">
        <f>IFERROR(IF(AHH3="No",IF(VLOOKUP(DATE($K$1,$K$2,AGY$4),Table1[],(MATCH(Calendar!$A18,DB!$1:$1,0)),FALSE)&gt;=5,"Good","Bad"),VLOOKUP(DATE($K$1,$K$2,AGY$4),Table1[],(MATCH(Calendar!$A18,DB!$1:$1,0)),FALSE)),"")</f>
        <v/>
      </c>
      <c r="AGZ18" s="28" t="str">
        <f>IFERROR(IF(AHI3="No",IF(VLOOKUP(DATE($K$1,$K$2,AGZ$4),Table1[],(MATCH(Calendar!$A18,DB!$1:$1,0)),FALSE)&gt;=5,"Good","Bad"),VLOOKUP(DATE($K$1,$K$2,AGZ$4),Table1[],(MATCH(Calendar!$A18,DB!$1:$1,0)),FALSE)),"")</f>
        <v/>
      </c>
      <c r="AHA18" s="28" t="str">
        <f>IFERROR(IF(AHJ3="No",IF(VLOOKUP(DATE($K$1,$K$2,AHA$4),Table1[],(MATCH(Calendar!$A18,DB!$1:$1,0)),FALSE)&gt;=5,"Good","Bad"),VLOOKUP(DATE($K$1,$K$2,AHA$4),Table1[],(MATCH(Calendar!$A18,DB!$1:$1,0)),FALSE)),"")</f>
        <v/>
      </c>
      <c r="AHB18" s="28" t="str">
        <f>IFERROR(IF(AHK3="No",IF(VLOOKUP(DATE($K$1,$K$2,AHB$4),Table1[],(MATCH(Calendar!$A18,DB!$1:$1,0)),FALSE)&gt;=5,"Good","Bad"),VLOOKUP(DATE($K$1,$K$2,AHB$4),Table1[],(MATCH(Calendar!$A18,DB!$1:$1,0)),FALSE)),"")</f>
        <v/>
      </c>
      <c r="AHC18" s="28" t="str">
        <f>IFERROR(IF(AHL3="No",IF(VLOOKUP(DATE($K$1,$K$2,AHC$4),Table1[],(MATCH(Calendar!$A18,DB!$1:$1,0)),FALSE)&gt;=5,"Good","Bad"),VLOOKUP(DATE($K$1,$K$2,AHC$4),Table1[],(MATCH(Calendar!$A18,DB!$1:$1,0)),FALSE)),"")</f>
        <v/>
      </c>
      <c r="AHD18" s="28" t="str">
        <f>IFERROR(IF(AHM3="No",IF(VLOOKUP(DATE($K$1,$K$2,AHD$4),Table1[],(MATCH(Calendar!$A18,DB!$1:$1,0)),FALSE)&gt;=5,"Good","Bad"),VLOOKUP(DATE($K$1,$K$2,AHD$4),Table1[],(MATCH(Calendar!$A18,DB!$1:$1,0)),FALSE)),"")</f>
        <v/>
      </c>
      <c r="AHE18" s="28" t="str">
        <f>IFERROR(IF(AHN3="No",IF(VLOOKUP(DATE($K$1,$K$2,AHE$4),Table1[],(MATCH(Calendar!$A18,DB!$1:$1,0)),FALSE)&gt;=5,"Good","Bad"),VLOOKUP(DATE($K$1,$K$2,AHE$4),Table1[],(MATCH(Calendar!$A18,DB!$1:$1,0)),FALSE)),"")</f>
        <v/>
      </c>
      <c r="AHF18" s="28" t="str">
        <f>IFERROR(IF(AHO3="No",IF(VLOOKUP(DATE($K$1,$K$2,AHF$4),Table1[],(MATCH(Calendar!$A18,DB!$1:$1,0)),FALSE)&gt;=5,"Good","Bad"),VLOOKUP(DATE($K$1,$K$2,AHF$4),Table1[],(MATCH(Calendar!$A18,DB!$1:$1,0)),FALSE)),"")</f>
        <v/>
      </c>
      <c r="AHG18" s="28" t="str">
        <f>IFERROR(IF(AHP3="No",IF(VLOOKUP(DATE($K$1,$K$2,AHG$4),Table1[],(MATCH(Calendar!$A18,DB!$1:$1,0)),FALSE)&gt;=5,"Good","Bad"),VLOOKUP(DATE($K$1,$K$2,AHG$4),Table1[],(MATCH(Calendar!$A18,DB!$1:$1,0)),FALSE)),"")</f>
        <v/>
      </c>
      <c r="AHH18" s="28" t="str">
        <f>IFERROR(IF(AHQ3="No",IF(VLOOKUP(DATE($K$1,$K$2,AHH$4),Table1[],(MATCH(Calendar!$A18,DB!$1:$1,0)),FALSE)&gt;=5,"Good","Bad"),VLOOKUP(DATE($K$1,$K$2,AHH$4),Table1[],(MATCH(Calendar!$A18,DB!$1:$1,0)),FALSE)),"")</f>
        <v/>
      </c>
      <c r="AHI18" s="28" t="str">
        <f>IFERROR(IF(AHR3="No",IF(VLOOKUP(DATE($K$1,$K$2,AHI$4),Table1[],(MATCH(Calendar!$A18,DB!$1:$1,0)),FALSE)&gt;=5,"Good","Bad"),VLOOKUP(DATE($K$1,$K$2,AHI$4),Table1[],(MATCH(Calendar!$A18,DB!$1:$1,0)),FALSE)),"")</f>
        <v/>
      </c>
      <c r="AHJ18" s="28" t="str">
        <f>IFERROR(IF(AHS3="No",IF(VLOOKUP(DATE($K$1,$K$2,AHJ$4),Table1[],(MATCH(Calendar!$A18,DB!$1:$1,0)),FALSE)&gt;=5,"Good","Bad"),VLOOKUP(DATE($K$1,$K$2,AHJ$4),Table1[],(MATCH(Calendar!$A18,DB!$1:$1,0)),FALSE)),"")</f>
        <v/>
      </c>
      <c r="AHK18" s="28" t="str">
        <f>IFERROR(IF(AHT3="No",IF(VLOOKUP(DATE($K$1,$K$2,AHK$4),Table1[],(MATCH(Calendar!$A18,DB!$1:$1,0)),FALSE)&gt;=5,"Good","Bad"),VLOOKUP(DATE($K$1,$K$2,AHK$4),Table1[],(MATCH(Calendar!$A18,DB!$1:$1,0)),FALSE)),"")</f>
        <v/>
      </c>
      <c r="AHL18" s="28" t="str">
        <f>IFERROR(IF(AHU3="No",IF(VLOOKUP(DATE($K$1,$K$2,AHL$4),Table1[],(MATCH(Calendar!$A18,DB!$1:$1,0)),FALSE)&gt;=5,"Good","Bad"),VLOOKUP(DATE($K$1,$K$2,AHL$4),Table1[],(MATCH(Calendar!$A18,DB!$1:$1,0)),FALSE)),"")</f>
        <v/>
      </c>
      <c r="AHM18" s="28" t="str">
        <f>IFERROR(IF(AHV3="No",IF(VLOOKUP(DATE($K$1,$K$2,AHM$4),Table1[],(MATCH(Calendar!$A18,DB!$1:$1,0)),FALSE)&gt;=5,"Good","Bad"),VLOOKUP(DATE($K$1,$K$2,AHM$4),Table1[],(MATCH(Calendar!$A18,DB!$1:$1,0)),FALSE)),"")</f>
        <v/>
      </c>
      <c r="AHN18" s="28" t="str">
        <f>IFERROR(IF(AHW3="No",IF(VLOOKUP(DATE($K$1,$K$2,AHN$4),Table1[],(MATCH(Calendar!$A18,DB!$1:$1,0)),FALSE)&gt;=5,"Good","Bad"),VLOOKUP(DATE($K$1,$K$2,AHN$4),Table1[],(MATCH(Calendar!$A18,DB!$1:$1,0)),FALSE)),"")</f>
        <v/>
      </c>
      <c r="AHO18" s="28" t="str">
        <f>IFERROR(IF(AHX3="No",IF(VLOOKUP(DATE($K$1,$K$2,AHO$4),Table1[],(MATCH(Calendar!$A18,DB!$1:$1,0)),FALSE)&gt;=5,"Good","Bad"),VLOOKUP(DATE($K$1,$K$2,AHO$4),Table1[],(MATCH(Calendar!$A18,DB!$1:$1,0)),FALSE)),"")</f>
        <v/>
      </c>
      <c r="AHP18" s="28" t="str">
        <f>IFERROR(IF(AHY3="No",IF(VLOOKUP(DATE($K$1,$K$2,AHP$4),Table1[],(MATCH(Calendar!$A18,DB!$1:$1,0)),FALSE)&gt;=5,"Good","Bad"),VLOOKUP(DATE($K$1,$K$2,AHP$4),Table1[],(MATCH(Calendar!$A18,DB!$1:$1,0)),FALSE)),"")</f>
        <v/>
      </c>
      <c r="AHQ18" s="28" t="str">
        <f>IFERROR(IF(AHZ3="No",IF(VLOOKUP(DATE($K$1,$K$2,AHQ$4),Table1[],(MATCH(Calendar!$A18,DB!$1:$1,0)),FALSE)&gt;=5,"Good","Bad"),VLOOKUP(DATE($K$1,$K$2,AHQ$4),Table1[],(MATCH(Calendar!$A18,DB!$1:$1,0)),FALSE)),"")</f>
        <v/>
      </c>
      <c r="AHR18" s="28" t="str">
        <f>IFERROR(IF(AIA3="No",IF(VLOOKUP(DATE($K$1,$K$2,AHR$4),Table1[],(MATCH(Calendar!$A18,DB!$1:$1,0)),FALSE)&gt;=5,"Good","Bad"),VLOOKUP(DATE($K$1,$K$2,AHR$4),Table1[],(MATCH(Calendar!$A18,DB!$1:$1,0)),FALSE)),"")</f>
        <v/>
      </c>
      <c r="AHS18" s="28" t="str">
        <f>IFERROR(IF(AIB3="No",IF(VLOOKUP(DATE($K$1,$K$2,AHS$4),Table1[],(MATCH(Calendar!$A18,DB!$1:$1,0)),FALSE)&gt;=5,"Good","Bad"),VLOOKUP(DATE($K$1,$K$2,AHS$4),Table1[],(MATCH(Calendar!$A18,DB!$1:$1,0)),FALSE)),"")</f>
        <v/>
      </c>
      <c r="AHT18" s="28" t="str">
        <f>IFERROR(IF(AIC3="No",IF(VLOOKUP(DATE($K$1,$K$2,AHT$4),Table1[],(MATCH(Calendar!$A18,DB!$1:$1,0)),FALSE)&gt;=5,"Good","Bad"),VLOOKUP(DATE($K$1,$K$2,AHT$4),Table1[],(MATCH(Calendar!$A18,DB!$1:$1,0)),FALSE)),"")</f>
        <v/>
      </c>
      <c r="AHU18" s="28" t="str">
        <f>IFERROR(IF(AID3="No",IF(VLOOKUP(DATE($K$1,$K$2,AHU$4),Table1[],(MATCH(Calendar!$A18,DB!$1:$1,0)),FALSE)&gt;=5,"Good","Bad"),VLOOKUP(DATE($K$1,$K$2,AHU$4),Table1[],(MATCH(Calendar!$A18,DB!$1:$1,0)),FALSE)),"")</f>
        <v/>
      </c>
      <c r="AHV18" s="28" t="str">
        <f>IFERROR(IF(AIE3="No",IF(VLOOKUP(DATE($K$1,$K$2,AHV$4),Table1[],(MATCH(Calendar!$A18,DB!$1:$1,0)),FALSE)&gt;=5,"Good","Bad"),VLOOKUP(DATE($K$1,$K$2,AHV$4),Table1[],(MATCH(Calendar!$A18,DB!$1:$1,0)),FALSE)),"")</f>
        <v/>
      </c>
      <c r="AHW18" s="28" t="str">
        <f>IFERROR(IF(AIF3="No",IF(VLOOKUP(DATE($K$1,$K$2,AHW$4),Table1[],(MATCH(Calendar!$A18,DB!$1:$1,0)),FALSE)&gt;=5,"Good","Bad"),VLOOKUP(DATE($K$1,$K$2,AHW$4),Table1[],(MATCH(Calendar!$A18,DB!$1:$1,0)),FALSE)),"")</f>
        <v/>
      </c>
      <c r="AHX18" s="28" t="str">
        <f>IFERROR(IF(AIG3="No",IF(VLOOKUP(DATE($K$1,$K$2,AHX$4),Table1[],(MATCH(Calendar!$A18,DB!$1:$1,0)),FALSE)&gt;=5,"Good","Bad"),VLOOKUP(DATE($K$1,$K$2,AHX$4),Table1[],(MATCH(Calendar!$A18,DB!$1:$1,0)),FALSE)),"")</f>
        <v/>
      </c>
      <c r="AHY18" s="28" t="str">
        <f>IFERROR(IF(AIH3="No",IF(VLOOKUP(DATE($K$1,$K$2,AHY$4),Table1[],(MATCH(Calendar!$A18,DB!$1:$1,0)),FALSE)&gt;=5,"Good","Bad"),VLOOKUP(DATE($K$1,$K$2,AHY$4),Table1[],(MATCH(Calendar!$A18,DB!$1:$1,0)),FALSE)),"")</f>
        <v/>
      </c>
      <c r="AHZ18" s="28" t="str">
        <f>IFERROR(IF(AII3="No",IF(VLOOKUP(DATE($K$1,$K$2,AHZ$4),Table1[],(MATCH(Calendar!$A18,DB!$1:$1,0)),FALSE)&gt;=5,"Good","Bad"),VLOOKUP(DATE($K$1,$K$2,AHZ$4),Table1[],(MATCH(Calendar!$A18,DB!$1:$1,0)),FALSE)),"")</f>
        <v/>
      </c>
      <c r="AIA18" s="28" t="str">
        <f>IFERROR(IF(AIJ3="No",IF(VLOOKUP(DATE($K$1,$K$2,AIA$4),Table1[],(MATCH(Calendar!$A18,DB!$1:$1,0)),FALSE)&gt;=5,"Good","Bad"),VLOOKUP(DATE($K$1,$K$2,AIA$4),Table1[],(MATCH(Calendar!$A18,DB!$1:$1,0)),FALSE)),"")</f>
        <v/>
      </c>
      <c r="AIB18" s="28" t="str">
        <f>IFERROR(IF(AIK3="No",IF(VLOOKUP(DATE($K$1,$K$2,AIB$4),Table1[],(MATCH(Calendar!$A18,DB!$1:$1,0)),FALSE)&gt;=5,"Good","Bad"),VLOOKUP(DATE($K$1,$K$2,AIB$4),Table1[],(MATCH(Calendar!$A18,DB!$1:$1,0)),FALSE)),"")</f>
        <v/>
      </c>
      <c r="AIC18" s="28" t="str">
        <f>IFERROR(IF(AIL3="No",IF(VLOOKUP(DATE($K$1,$K$2,AIC$4),Table1[],(MATCH(Calendar!$A18,DB!$1:$1,0)),FALSE)&gt;=5,"Good","Bad"),VLOOKUP(DATE($K$1,$K$2,AIC$4),Table1[],(MATCH(Calendar!$A18,DB!$1:$1,0)),FALSE)),"")</f>
        <v/>
      </c>
      <c r="AID18" s="28" t="str">
        <f>IFERROR(IF(AIM3="No",IF(VLOOKUP(DATE($K$1,$K$2,AID$4),Table1[],(MATCH(Calendar!$A18,DB!$1:$1,0)),FALSE)&gt;=5,"Good","Bad"),VLOOKUP(DATE($K$1,$K$2,AID$4),Table1[],(MATCH(Calendar!$A18,DB!$1:$1,0)),FALSE)),"")</f>
        <v/>
      </c>
      <c r="AIE18" s="28" t="str">
        <f>IFERROR(IF(AIN3="No",IF(VLOOKUP(DATE($K$1,$K$2,AIE$4),Table1[],(MATCH(Calendar!$A18,DB!$1:$1,0)),FALSE)&gt;=5,"Good","Bad"),VLOOKUP(DATE($K$1,$K$2,AIE$4),Table1[],(MATCH(Calendar!$A18,DB!$1:$1,0)),FALSE)),"")</f>
        <v/>
      </c>
      <c r="AIF18" s="28" t="str">
        <f>IFERROR(IF(AIO3="No",IF(VLOOKUP(DATE($K$1,$K$2,AIF$4),Table1[],(MATCH(Calendar!$A18,DB!$1:$1,0)),FALSE)&gt;=5,"Good","Bad"),VLOOKUP(DATE($K$1,$K$2,AIF$4),Table1[],(MATCH(Calendar!$A18,DB!$1:$1,0)),FALSE)),"")</f>
        <v/>
      </c>
      <c r="AIG18" s="28" t="str">
        <f>IFERROR(IF(AIP3="No",IF(VLOOKUP(DATE($K$1,$K$2,AIG$4),Table1[],(MATCH(Calendar!$A18,DB!$1:$1,0)),FALSE)&gt;=5,"Good","Bad"),VLOOKUP(DATE($K$1,$K$2,AIG$4),Table1[],(MATCH(Calendar!$A18,DB!$1:$1,0)),FALSE)),"")</f>
        <v/>
      </c>
      <c r="AIH18" s="28" t="str">
        <f>IFERROR(IF(AIQ3="No",IF(VLOOKUP(DATE($K$1,$K$2,AIH$4),Table1[],(MATCH(Calendar!$A18,DB!$1:$1,0)),FALSE)&gt;=5,"Good","Bad"),VLOOKUP(DATE($K$1,$K$2,AIH$4),Table1[],(MATCH(Calendar!$A18,DB!$1:$1,0)),FALSE)),"")</f>
        <v/>
      </c>
      <c r="AII18" s="28" t="str">
        <f>IFERROR(IF(AIR3="No",IF(VLOOKUP(DATE($K$1,$K$2,AII$4),Table1[],(MATCH(Calendar!$A18,DB!$1:$1,0)),FALSE)&gt;=5,"Good","Bad"),VLOOKUP(DATE($K$1,$K$2,AII$4),Table1[],(MATCH(Calendar!$A18,DB!$1:$1,0)),FALSE)),"")</f>
        <v/>
      </c>
      <c r="AIJ18" s="28" t="str">
        <f>IFERROR(IF(AIS3="No",IF(VLOOKUP(DATE($K$1,$K$2,AIJ$4),Table1[],(MATCH(Calendar!$A18,DB!$1:$1,0)),FALSE)&gt;=5,"Good","Bad"),VLOOKUP(DATE($K$1,$K$2,AIJ$4),Table1[],(MATCH(Calendar!$A18,DB!$1:$1,0)),FALSE)),"")</f>
        <v/>
      </c>
      <c r="AIK18" s="28" t="str">
        <f>IFERROR(IF(AIT3="No",IF(VLOOKUP(DATE($K$1,$K$2,AIK$4),Table1[],(MATCH(Calendar!$A18,DB!$1:$1,0)),FALSE)&gt;=5,"Good","Bad"),VLOOKUP(DATE($K$1,$K$2,AIK$4),Table1[],(MATCH(Calendar!$A18,DB!$1:$1,0)),FALSE)),"")</f>
        <v/>
      </c>
      <c r="AIL18" s="28" t="str">
        <f>IFERROR(IF(AIU3="No",IF(VLOOKUP(DATE($K$1,$K$2,AIL$4),Table1[],(MATCH(Calendar!$A18,DB!$1:$1,0)),FALSE)&gt;=5,"Good","Bad"),VLOOKUP(DATE($K$1,$K$2,AIL$4),Table1[],(MATCH(Calendar!$A18,DB!$1:$1,0)),FALSE)),"")</f>
        <v/>
      </c>
      <c r="AIM18" s="28" t="str">
        <f>IFERROR(IF(AIV3="No",IF(VLOOKUP(DATE($K$1,$K$2,AIM$4),Table1[],(MATCH(Calendar!$A18,DB!$1:$1,0)),FALSE)&gt;=5,"Good","Bad"),VLOOKUP(DATE($K$1,$K$2,AIM$4),Table1[],(MATCH(Calendar!$A18,DB!$1:$1,0)),FALSE)),"")</f>
        <v/>
      </c>
      <c r="AIN18" s="28" t="str">
        <f>IFERROR(IF(AIW3="No",IF(VLOOKUP(DATE($K$1,$K$2,AIN$4),Table1[],(MATCH(Calendar!$A18,DB!$1:$1,0)),FALSE)&gt;=5,"Good","Bad"),VLOOKUP(DATE($K$1,$K$2,AIN$4),Table1[],(MATCH(Calendar!$A18,DB!$1:$1,0)),FALSE)),"")</f>
        <v/>
      </c>
      <c r="AIO18" s="28" t="str">
        <f>IFERROR(IF(AIX3="No",IF(VLOOKUP(DATE($K$1,$K$2,AIO$4),Table1[],(MATCH(Calendar!$A18,DB!$1:$1,0)),FALSE)&gt;=5,"Good","Bad"),VLOOKUP(DATE($K$1,$K$2,AIO$4),Table1[],(MATCH(Calendar!$A18,DB!$1:$1,0)),FALSE)),"")</f>
        <v/>
      </c>
      <c r="AIP18" s="28" t="str">
        <f>IFERROR(IF(AIY3="No",IF(VLOOKUP(DATE($K$1,$K$2,AIP$4),Table1[],(MATCH(Calendar!$A18,DB!$1:$1,0)),FALSE)&gt;=5,"Good","Bad"),VLOOKUP(DATE($K$1,$K$2,AIP$4),Table1[],(MATCH(Calendar!$A18,DB!$1:$1,0)),FALSE)),"")</f>
        <v/>
      </c>
      <c r="AIQ18" s="28" t="str">
        <f>IFERROR(IF(AIZ3="No",IF(VLOOKUP(DATE($K$1,$K$2,AIQ$4),Table1[],(MATCH(Calendar!$A18,DB!$1:$1,0)),FALSE)&gt;=5,"Good","Bad"),VLOOKUP(DATE($K$1,$K$2,AIQ$4),Table1[],(MATCH(Calendar!$A18,DB!$1:$1,0)),FALSE)),"")</f>
        <v/>
      </c>
      <c r="AIR18" s="28" t="str">
        <f>IFERROR(IF(AJA3="No",IF(VLOOKUP(DATE($K$1,$K$2,AIR$4),Table1[],(MATCH(Calendar!$A18,DB!$1:$1,0)),FALSE)&gt;=5,"Good","Bad"),VLOOKUP(DATE($K$1,$K$2,AIR$4),Table1[],(MATCH(Calendar!$A18,DB!$1:$1,0)),FALSE)),"")</f>
        <v/>
      </c>
      <c r="AIS18" s="28" t="str">
        <f>IFERROR(IF(AJB3="No",IF(VLOOKUP(DATE($K$1,$K$2,AIS$4),Table1[],(MATCH(Calendar!$A18,DB!$1:$1,0)),FALSE)&gt;=5,"Good","Bad"),VLOOKUP(DATE($K$1,$K$2,AIS$4),Table1[],(MATCH(Calendar!$A18,DB!$1:$1,0)),FALSE)),"")</f>
        <v/>
      </c>
      <c r="AIT18" s="28" t="str">
        <f>IFERROR(IF(AJC3="No",IF(VLOOKUP(DATE($K$1,$K$2,AIT$4),Table1[],(MATCH(Calendar!$A18,DB!$1:$1,0)),FALSE)&gt;=5,"Good","Bad"),VLOOKUP(DATE($K$1,$K$2,AIT$4),Table1[],(MATCH(Calendar!$A18,DB!$1:$1,0)),FALSE)),"")</f>
        <v/>
      </c>
      <c r="AIU18" s="28" t="str">
        <f>IFERROR(IF(AJD3="No",IF(VLOOKUP(DATE($K$1,$K$2,AIU$4),Table1[],(MATCH(Calendar!$A18,DB!$1:$1,0)),FALSE)&gt;=5,"Good","Bad"),VLOOKUP(DATE($K$1,$K$2,AIU$4),Table1[],(MATCH(Calendar!$A18,DB!$1:$1,0)),FALSE)),"")</f>
        <v/>
      </c>
      <c r="AIV18" s="28" t="str">
        <f>IFERROR(IF(AJE3="No",IF(VLOOKUP(DATE($K$1,$K$2,AIV$4),Table1[],(MATCH(Calendar!$A18,DB!$1:$1,0)),FALSE)&gt;=5,"Good","Bad"),VLOOKUP(DATE($K$1,$K$2,AIV$4),Table1[],(MATCH(Calendar!$A18,DB!$1:$1,0)),FALSE)),"")</f>
        <v/>
      </c>
      <c r="AIW18" s="28" t="str">
        <f>IFERROR(IF(AJF3="No",IF(VLOOKUP(DATE($K$1,$K$2,AIW$4),Table1[],(MATCH(Calendar!$A18,DB!$1:$1,0)),FALSE)&gt;=5,"Good","Bad"),VLOOKUP(DATE($K$1,$K$2,AIW$4),Table1[],(MATCH(Calendar!$A18,DB!$1:$1,0)),FALSE)),"")</f>
        <v/>
      </c>
      <c r="AIX18" s="28" t="str">
        <f>IFERROR(IF(AJG3="No",IF(VLOOKUP(DATE($K$1,$K$2,AIX$4),Table1[],(MATCH(Calendar!$A18,DB!$1:$1,0)),FALSE)&gt;=5,"Good","Bad"),VLOOKUP(DATE($K$1,$K$2,AIX$4),Table1[],(MATCH(Calendar!$A18,DB!$1:$1,0)),FALSE)),"")</f>
        <v/>
      </c>
      <c r="AIY18" s="28" t="str">
        <f>IFERROR(IF(AJH3="No",IF(VLOOKUP(DATE($K$1,$K$2,AIY$4),Table1[],(MATCH(Calendar!$A18,DB!$1:$1,0)),FALSE)&gt;=5,"Good","Bad"),VLOOKUP(DATE($K$1,$K$2,AIY$4),Table1[],(MATCH(Calendar!$A18,DB!$1:$1,0)),FALSE)),"")</f>
        <v/>
      </c>
      <c r="AIZ18" s="28" t="str">
        <f>IFERROR(IF(AJI3="No",IF(VLOOKUP(DATE($K$1,$K$2,AIZ$4),Table1[],(MATCH(Calendar!$A18,DB!$1:$1,0)),FALSE)&gt;=5,"Good","Bad"),VLOOKUP(DATE($K$1,$K$2,AIZ$4),Table1[],(MATCH(Calendar!$A18,DB!$1:$1,0)),FALSE)),"")</f>
        <v/>
      </c>
      <c r="AJA18" s="28" t="str">
        <f>IFERROR(IF(AJJ3="No",IF(VLOOKUP(DATE($K$1,$K$2,AJA$4),Table1[],(MATCH(Calendar!$A18,DB!$1:$1,0)),FALSE)&gt;=5,"Good","Bad"),VLOOKUP(DATE($K$1,$K$2,AJA$4),Table1[],(MATCH(Calendar!$A18,DB!$1:$1,0)),FALSE)),"")</f>
        <v/>
      </c>
      <c r="AJB18" s="28" t="str">
        <f>IFERROR(IF(AJK3="No",IF(VLOOKUP(DATE($K$1,$K$2,AJB$4),Table1[],(MATCH(Calendar!$A18,DB!$1:$1,0)),FALSE)&gt;=5,"Good","Bad"),VLOOKUP(DATE($K$1,$K$2,AJB$4),Table1[],(MATCH(Calendar!$A18,DB!$1:$1,0)),FALSE)),"")</f>
        <v/>
      </c>
      <c r="AJC18" s="28" t="str">
        <f>IFERROR(IF(AJL3="No",IF(VLOOKUP(DATE($K$1,$K$2,AJC$4),Table1[],(MATCH(Calendar!$A18,DB!$1:$1,0)),FALSE)&gt;=5,"Good","Bad"),VLOOKUP(DATE($K$1,$K$2,AJC$4),Table1[],(MATCH(Calendar!$A18,DB!$1:$1,0)),FALSE)),"")</f>
        <v/>
      </c>
      <c r="AJD18" s="28" t="str">
        <f>IFERROR(IF(AJM3="No",IF(VLOOKUP(DATE($K$1,$K$2,AJD$4),Table1[],(MATCH(Calendar!$A18,DB!$1:$1,0)),FALSE)&gt;=5,"Good","Bad"),VLOOKUP(DATE($K$1,$K$2,AJD$4),Table1[],(MATCH(Calendar!$A18,DB!$1:$1,0)),FALSE)),"")</f>
        <v/>
      </c>
      <c r="AJE18" s="28" t="str">
        <f>IFERROR(IF(AJN3="No",IF(VLOOKUP(DATE($K$1,$K$2,AJE$4),Table1[],(MATCH(Calendar!$A18,DB!$1:$1,0)),FALSE)&gt;=5,"Good","Bad"),VLOOKUP(DATE($K$1,$K$2,AJE$4),Table1[],(MATCH(Calendar!$A18,DB!$1:$1,0)),FALSE)),"")</f>
        <v/>
      </c>
      <c r="AJF18" s="28" t="str">
        <f>IFERROR(IF(AJO3="No",IF(VLOOKUP(DATE($K$1,$K$2,AJF$4),Table1[],(MATCH(Calendar!$A18,DB!$1:$1,0)),FALSE)&gt;=5,"Good","Bad"),VLOOKUP(DATE($K$1,$K$2,AJF$4),Table1[],(MATCH(Calendar!$A18,DB!$1:$1,0)),FALSE)),"")</f>
        <v/>
      </c>
      <c r="AJG18" s="28" t="str">
        <f>IFERROR(IF(AJP3="No",IF(VLOOKUP(DATE($K$1,$K$2,AJG$4),Table1[],(MATCH(Calendar!$A18,DB!$1:$1,0)),FALSE)&gt;=5,"Good","Bad"),VLOOKUP(DATE($K$1,$K$2,AJG$4),Table1[],(MATCH(Calendar!$A18,DB!$1:$1,0)),FALSE)),"")</f>
        <v/>
      </c>
      <c r="AJH18" s="28" t="str">
        <f>IFERROR(IF(AJQ3="No",IF(VLOOKUP(DATE($K$1,$K$2,AJH$4),Table1[],(MATCH(Calendar!$A18,DB!$1:$1,0)),FALSE)&gt;=5,"Good","Bad"),VLOOKUP(DATE($K$1,$K$2,AJH$4),Table1[],(MATCH(Calendar!$A18,DB!$1:$1,0)),FALSE)),"")</f>
        <v/>
      </c>
      <c r="AJI18" s="28" t="str">
        <f>IFERROR(IF(AJR3="No",IF(VLOOKUP(DATE($K$1,$K$2,AJI$4),Table1[],(MATCH(Calendar!$A18,DB!$1:$1,0)),FALSE)&gt;=5,"Good","Bad"),VLOOKUP(DATE($K$1,$K$2,AJI$4),Table1[],(MATCH(Calendar!$A18,DB!$1:$1,0)),FALSE)),"")</f>
        <v/>
      </c>
      <c r="AJJ18" s="28" t="str">
        <f>IFERROR(IF(AJS3="No",IF(VLOOKUP(DATE($K$1,$K$2,AJJ$4),Table1[],(MATCH(Calendar!$A18,DB!$1:$1,0)),FALSE)&gt;=5,"Good","Bad"),VLOOKUP(DATE($K$1,$K$2,AJJ$4),Table1[],(MATCH(Calendar!$A18,DB!$1:$1,0)),FALSE)),"")</f>
        <v/>
      </c>
      <c r="AJK18" s="28" t="str">
        <f>IFERROR(IF(AJT3="No",IF(VLOOKUP(DATE($K$1,$K$2,AJK$4),Table1[],(MATCH(Calendar!$A18,DB!$1:$1,0)),FALSE)&gt;=5,"Good","Bad"),VLOOKUP(DATE($K$1,$K$2,AJK$4),Table1[],(MATCH(Calendar!$A18,DB!$1:$1,0)),FALSE)),"")</f>
        <v/>
      </c>
      <c r="AJL18" s="28" t="str">
        <f>IFERROR(IF(AJU3="No",IF(VLOOKUP(DATE($K$1,$K$2,AJL$4),Table1[],(MATCH(Calendar!$A18,DB!$1:$1,0)),FALSE)&gt;=5,"Good","Bad"),VLOOKUP(DATE($K$1,$K$2,AJL$4),Table1[],(MATCH(Calendar!$A18,DB!$1:$1,0)),FALSE)),"")</f>
        <v/>
      </c>
      <c r="AJM18" s="28" t="str">
        <f>IFERROR(IF(AJV3="No",IF(VLOOKUP(DATE($K$1,$K$2,AJM$4),Table1[],(MATCH(Calendar!$A18,DB!$1:$1,0)),FALSE)&gt;=5,"Good","Bad"),VLOOKUP(DATE($K$1,$K$2,AJM$4),Table1[],(MATCH(Calendar!$A18,DB!$1:$1,0)),FALSE)),"")</f>
        <v/>
      </c>
      <c r="AJN18" s="28" t="str">
        <f>IFERROR(IF(AJW3="No",IF(VLOOKUP(DATE($K$1,$K$2,AJN$4),Table1[],(MATCH(Calendar!$A18,DB!$1:$1,0)),FALSE)&gt;=5,"Good","Bad"),VLOOKUP(DATE($K$1,$K$2,AJN$4),Table1[],(MATCH(Calendar!$A18,DB!$1:$1,0)),FALSE)),"")</f>
        <v/>
      </c>
      <c r="AJO18" s="28" t="str">
        <f>IFERROR(IF(AJX3="No",IF(VLOOKUP(DATE($K$1,$K$2,AJO$4),Table1[],(MATCH(Calendar!$A18,DB!$1:$1,0)),FALSE)&gt;=5,"Good","Bad"),VLOOKUP(DATE($K$1,$K$2,AJO$4),Table1[],(MATCH(Calendar!$A18,DB!$1:$1,0)),FALSE)),"")</f>
        <v/>
      </c>
      <c r="AJP18" s="28" t="str">
        <f>IFERROR(IF(AJY3="No",IF(VLOOKUP(DATE($K$1,$K$2,AJP$4),Table1[],(MATCH(Calendar!$A18,DB!$1:$1,0)),FALSE)&gt;=5,"Good","Bad"),VLOOKUP(DATE($K$1,$K$2,AJP$4),Table1[],(MATCH(Calendar!$A18,DB!$1:$1,0)),FALSE)),"")</f>
        <v/>
      </c>
      <c r="AJQ18" s="28" t="str">
        <f>IFERROR(IF(AJZ3="No",IF(VLOOKUP(DATE($K$1,$K$2,AJQ$4),Table1[],(MATCH(Calendar!$A18,DB!$1:$1,0)),FALSE)&gt;=5,"Good","Bad"),VLOOKUP(DATE($K$1,$K$2,AJQ$4),Table1[],(MATCH(Calendar!$A18,DB!$1:$1,0)),FALSE)),"")</f>
        <v/>
      </c>
      <c r="AJR18" s="28" t="str">
        <f>IFERROR(IF(AKA3="No",IF(VLOOKUP(DATE($K$1,$K$2,AJR$4),Table1[],(MATCH(Calendar!$A18,DB!$1:$1,0)),FALSE)&gt;=5,"Good","Bad"),VLOOKUP(DATE($K$1,$K$2,AJR$4),Table1[],(MATCH(Calendar!$A18,DB!$1:$1,0)),FALSE)),"")</f>
        <v/>
      </c>
      <c r="AJS18" s="28" t="str">
        <f>IFERROR(IF(AKB3="No",IF(VLOOKUP(DATE($K$1,$K$2,AJS$4),Table1[],(MATCH(Calendar!$A18,DB!$1:$1,0)),FALSE)&gt;=5,"Good","Bad"),VLOOKUP(DATE($K$1,$K$2,AJS$4),Table1[],(MATCH(Calendar!$A18,DB!$1:$1,0)),FALSE)),"")</f>
        <v/>
      </c>
      <c r="AJT18" s="28" t="str">
        <f>IFERROR(IF(AKC3="No",IF(VLOOKUP(DATE($K$1,$K$2,AJT$4),Table1[],(MATCH(Calendar!$A18,DB!$1:$1,0)),FALSE)&gt;=5,"Good","Bad"),VLOOKUP(DATE($K$1,$K$2,AJT$4),Table1[],(MATCH(Calendar!$A18,DB!$1:$1,0)),FALSE)),"")</f>
        <v/>
      </c>
      <c r="AJU18" s="28" t="str">
        <f>IFERROR(IF(AKD3="No",IF(VLOOKUP(DATE($K$1,$K$2,AJU$4),Table1[],(MATCH(Calendar!$A18,DB!$1:$1,0)),FALSE)&gt;=5,"Good","Bad"),VLOOKUP(DATE($K$1,$K$2,AJU$4),Table1[],(MATCH(Calendar!$A18,DB!$1:$1,0)),FALSE)),"")</f>
        <v/>
      </c>
      <c r="AJV18" s="28" t="str">
        <f>IFERROR(IF(AKE3="No",IF(VLOOKUP(DATE($K$1,$K$2,AJV$4),Table1[],(MATCH(Calendar!$A18,DB!$1:$1,0)),FALSE)&gt;=5,"Good","Bad"),VLOOKUP(DATE($K$1,$K$2,AJV$4),Table1[],(MATCH(Calendar!$A18,DB!$1:$1,0)),FALSE)),"")</f>
        <v/>
      </c>
      <c r="AJW18" s="28" t="str">
        <f>IFERROR(IF(AKF3="No",IF(VLOOKUP(DATE($K$1,$K$2,AJW$4),Table1[],(MATCH(Calendar!$A18,DB!$1:$1,0)),FALSE)&gt;=5,"Good","Bad"),VLOOKUP(DATE($K$1,$K$2,AJW$4),Table1[],(MATCH(Calendar!$A18,DB!$1:$1,0)),FALSE)),"")</f>
        <v/>
      </c>
      <c r="AJX18" s="28" t="str">
        <f>IFERROR(IF(AKG3="No",IF(VLOOKUP(DATE($K$1,$K$2,AJX$4),Table1[],(MATCH(Calendar!$A18,DB!$1:$1,0)),FALSE)&gt;=5,"Good","Bad"),VLOOKUP(DATE($K$1,$K$2,AJX$4),Table1[],(MATCH(Calendar!$A18,DB!$1:$1,0)),FALSE)),"")</f>
        <v/>
      </c>
      <c r="AJY18" s="28" t="str">
        <f>IFERROR(IF(AKH3="No",IF(VLOOKUP(DATE($K$1,$K$2,AJY$4),Table1[],(MATCH(Calendar!$A18,DB!$1:$1,0)),FALSE)&gt;=5,"Good","Bad"),VLOOKUP(DATE($K$1,$K$2,AJY$4),Table1[],(MATCH(Calendar!$A18,DB!$1:$1,0)),FALSE)),"")</f>
        <v/>
      </c>
      <c r="AJZ18" s="28" t="str">
        <f>IFERROR(IF(AKI3="No",IF(VLOOKUP(DATE($K$1,$K$2,AJZ$4),Table1[],(MATCH(Calendar!$A18,DB!$1:$1,0)),FALSE)&gt;=5,"Good","Bad"),VLOOKUP(DATE($K$1,$K$2,AJZ$4),Table1[],(MATCH(Calendar!$A18,DB!$1:$1,0)),FALSE)),"")</f>
        <v/>
      </c>
      <c r="AKA18" s="28" t="str">
        <f>IFERROR(IF(AKJ3="No",IF(VLOOKUP(DATE($K$1,$K$2,AKA$4),Table1[],(MATCH(Calendar!$A18,DB!$1:$1,0)),FALSE)&gt;=5,"Good","Bad"),VLOOKUP(DATE($K$1,$K$2,AKA$4),Table1[],(MATCH(Calendar!$A18,DB!$1:$1,0)),FALSE)),"")</f>
        <v/>
      </c>
      <c r="AKB18" s="28" t="str">
        <f>IFERROR(IF(AKK3="No",IF(VLOOKUP(DATE($K$1,$K$2,AKB$4),Table1[],(MATCH(Calendar!$A18,DB!$1:$1,0)),FALSE)&gt;=5,"Good","Bad"),VLOOKUP(DATE($K$1,$K$2,AKB$4),Table1[],(MATCH(Calendar!$A18,DB!$1:$1,0)),FALSE)),"")</f>
        <v/>
      </c>
      <c r="AKC18" s="28" t="str">
        <f>IFERROR(IF(AKL3="No",IF(VLOOKUP(DATE($K$1,$K$2,AKC$4),Table1[],(MATCH(Calendar!$A18,DB!$1:$1,0)),FALSE)&gt;=5,"Good","Bad"),VLOOKUP(DATE($K$1,$K$2,AKC$4),Table1[],(MATCH(Calendar!$A18,DB!$1:$1,0)),FALSE)),"")</f>
        <v/>
      </c>
      <c r="AKD18" s="28" t="str">
        <f>IFERROR(IF(AKM3="No",IF(VLOOKUP(DATE($K$1,$K$2,AKD$4),Table1[],(MATCH(Calendar!$A18,DB!$1:$1,0)),FALSE)&gt;=5,"Good","Bad"),VLOOKUP(DATE($K$1,$K$2,AKD$4),Table1[],(MATCH(Calendar!$A18,DB!$1:$1,0)),FALSE)),"")</f>
        <v/>
      </c>
      <c r="AKE18" s="28" t="str">
        <f>IFERROR(IF(AKN3="No",IF(VLOOKUP(DATE($K$1,$K$2,AKE$4),Table1[],(MATCH(Calendar!$A18,DB!$1:$1,0)),FALSE)&gt;=5,"Good","Bad"),VLOOKUP(DATE($K$1,$K$2,AKE$4),Table1[],(MATCH(Calendar!$A18,DB!$1:$1,0)),FALSE)),"")</f>
        <v/>
      </c>
      <c r="AKF18" s="28" t="str">
        <f>IFERROR(IF(AKO3="No",IF(VLOOKUP(DATE($K$1,$K$2,AKF$4),Table1[],(MATCH(Calendar!$A18,DB!$1:$1,0)),FALSE)&gt;=5,"Good","Bad"),VLOOKUP(DATE($K$1,$K$2,AKF$4),Table1[],(MATCH(Calendar!$A18,DB!$1:$1,0)),FALSE)),"")</f>
        <v/>
      </c>
      <c r="AKG18" s="28" t="str">
        <f>IFERROR(IF(AKP3="No",IF(VLOOKUP(DATE($K$1,$K$2,AKG$4),Table1[],(MATCH(Calendar!$A18,DB!$1:$1,0)),FALSE)&gt;=5,"Good","Bad"),VLOOKUP(DATE($K$1,$K$2,AKG$4),Table1[],(MATCH(Calendar!$A18,DB!$1:$1,0)),FALSE)),"")</f>
        <v/>
      </c>
      <c r="AKH18" s="28" t="str">
        <f>IFERROR(IF(AKQ3="No",IF(VLOOKUP(DATE($K$1,$K$2,AKH$4),Table1[],(MATCH(Calendar!$A18,DB!$1:$1,0)),FALSE)&gt;=5,"Good","Bad"),VLOOKUP(DATE($K$1,$K$2,AKH$4),Table1[],(MATCH(Calendar!$A18,DB!$1:$1,0)),FALSE)),"")</f>
        <v/>
      </c>
      <c r="AKI18" s="28" t="str">
        <f>IFERROR(IF(AKR3="No",IF(VLOOKUP(DATE($K$1,$K$2,AKI$4),Table1[],(MATCH(Calendar!$A18,DB!$1:$1,0)),FALSE)&gt;=5,"Good","Bad"),VLOOKUP(DATE($K$1,$K$2,AKI$4),Table1[],(MATCH(Calendar!$A18,DB!$1:$1,0)),FALSE)),"")</f>
        <v/>
      </c>
      <c r="AKJ18" s="28" t="str">
        <f>IFERROR(IF(AKS3="No",IF(VLOOKUP(DATE($K$1,$K$2,AKJ$4),Table1[],(MATCH(Calendar!$A18,DB!$1:$1,0)),FALSE)&gt;=5,"Good","Bad"),VLOOKUP(DATE($K$1,$K$2,AKJ$4),Table1[],(MATCH(Calendar!$A18,DB!$1:$1,0)),FALSE)),"")</f>
        <v/>
      </c>
      <c r="AKK18" s="28" t="str">
        <f>IFERROR(IF(AKT3="No",IF(VLOOKUP(DATE($K$1,$K$2,AKK$4),Table1[],(MATCH(Calendar!$A18,DB!$1:$1,0)),FALSE)&gt;=5,"Good","Bad"),VLOOKUP(DATE($K$1,$K$2,AKK$4),Table1[],(MATCH(Calendar!$A18,DB!$1:$1,0)),FALSE)),"")</f>
        <v/>
      </c>
      <c r="AKL18" s="28" t="str">
        <f>IFERROR(IF(AKU3="No",IF(VLOOKUP(DATE($K$1,$K$2,AKL$4),Table1[],(MATCH(Calendar!$A18,DB!$1:$1,0)),FALSE)&gt;=5,"Good","Bad"),VLOOKUP(DATE($K$1,$K$2,AKL$4),Table1[],(MATCH(Calendar!$A18,DB!$1:$1,0)),FALSE)),"")</f>
        <v/>
      </c>
      <c r="AKM18" s="28" t="str">
        <f>IFERROR(IF(AKV3="No",IF(VLOOKUP(DATE($K$1,$K$2,AKM$4),Table1[],(MATCH(Calendar!$A18,DB!$1:$1,0)),FALSE)&gt;=5,"Good","Bad"),VLOOKUP(DATE($K$1,$K$2,AKM$4),Table1[],(MATCH(Calendar!$A18,DB!$1:$1,0)),FALSE)),"")</f>
        <v/>
      </c>
      <c r="AKN18" s="28" t="str">
        <f>IFERROR(IF(AKW3="No",IF(VLOOKUP(DATE($K$1,$K$2,AKN$4),Table1[],(MATCH(Calendar!$A18,DB!$1:$1,0)),FALSE)&gt;=5,"Good","Bad"),VLOOKUP(DATE($K$1,$K$2,AKN$4),Table1[],(MATCH(Calendar!$A18,DB!$1:$1,0)),FALSE)),"")</f>
        <v/>
      </c>
      <c r="AKO18" s="28" t="str">
        <f>IFERROR(IF(AKX3="No",IF(VLOOKUP(DATE($K$1,$K$2,AKO$4),Table1[],(MATCH(Calendar!$A18,DB!$1:$1,0)),FALSE)&gt;=5,"Good","Bad"),VLOOKUP(DATE($K$1,$K$2,AKO$4),Table1[],(MATCH(Calendar!$A18,DB!$1:$1,0)),FALSE)),"")</f>
        <v/>
      </c>
      <c r="AKP18" s="28" t="str">
        <f>IFERROR(IF(AKY3="No",IF(VLOOKUP(DATE($K$1,$K$2,AKP$4),Table1[],(MATCH(Calendar!$A18,DB!$1:$1,0)),FALSE)&gt;=5,"Good","Bad"),VLOOKUP(DATE($K$1,$K$2,AKP$4),Table1[],(MATCH(Calendar!$A18,DB!$1:$1,0)),FALSE)),"")</f>
        <v/>
      </c>
      <c r="AKQ18" s="28" t="str">
        <f>IFERROR(IF(AKZ3="No",IF(VLOOKUP(DATE($K$1,$K$2,AKQ$4),Table1[],(MATCH(Calendar!$A18,DB!$1:$1,0)),FALSE)&gt;=5,"Good","Bad"),VLOOKUP(DATE($K$1,$K$2,AKQ$4),Table1[],(MATCH(Calendar!$A18,DB!$1:$1,0)),FALSE)),"")</f>
        <v/>
      </c>
      <c r="AKR18" s="28" t="str">
        <f>IFERROR(IF(ALA3="No",IF(VLOOKUP(DATE($K$1,$K$2,AKR$4),Table1[],(MATCH(Calendar!$A18,DB!$1:$1,0)),FALSE)&gt;=5,"Good","Bad"),VLOOKUP(DATE($K$1,$K$2,AKR$4),Table1[],(MATCH(Calendar!$A18,DB!$1:$1,0)),FALSE)),"")</f>
        <v/>
      </c>
      <c r="AKS18" s="28" t="str">
        <f>IFERROR(IF(ALB3="No",IF(VLOOKUP(DATE($K$1,$K$2,AKS$4),Table1[],(MATCH(Calendar!$A18,DB!$1:$1,0)),FALSE)&gt;=5,"Good","Bad"),VLOOKUP(DATE($K$1,$K$2,AKS$4),Table1[],(MATCH(Calendar!$A18,DB!$1:$1,0)),FALSE)),"")</f>
        <v/>
      </c>
      <c r="AKT18" s="28" t="str">
        <f>IFERROR(IF(ALC3="No",IF(VLOOKUP(DATE($K$1,$K$2,AKT$4),Table1[],(MATCH(Calendar!$A18,DB!$1:$1,0)),FALSE)&gt;=5,"Good","Bad"),VLOOKUP(DATE($K$1,$K$2,AKT$4),Table1[],(MATCH(Calendar!$A18,DB!$1:$1,0)),FALSE)),"")</f>
        <v/>
      </c>
      <c r="AKU18" s="28" t="str">
        <f>IFERROR(IF(ALD3="No",IF(VLOOKUP(DATE($K$1,$K$2,AKU$4),Table1[],(MATCH(Calendar!$A18,DB!$1:$1,0)),FALSE)&gt;=5,"Good","Bad"),VLOOKUP(DATE($K$1,$K$2,AKU$4),Table1[],(MATCH(Calendar!$A18,DB!$1:$1,0)),FALSE)),"")</f>
        <v/>
      </c>
      <c r="AKV18" s="28" t="str">
        <f>IFERROR(IF(ALE3="No",IF(VLOOKUP(DATE($K$1,$K$2,AKV$4),Table1[],(MATCH(Calendar!$A18,DB!$1:$1,0)),FALSE)&gt;=5,"Good","Bad"),VLOOKUP(DATE($K$1,$K$2,AKV$4),Table1[],(MATCH(Calendar!$A18,DB!$1:$1,0)),FALSE)),"")</f>
        <v/>
      </c>
      <c r="AKW18" s="28" t="str">
        <f>IFERROR(IF(ALF3="No",IF(VLOOKUP(DATE($K$1,$K$2,AKW$4),Table1[],(MATCH(Calendar!$A18,DB!$1:$1,0)),FALSE)&gt;=5,"Good","Bad"),VLOOKUP(DATE($K$1,$K$2,AKW$4),Table1[],(MATCH(Calendar!$A18,DB!$1:$1,0)),FALSE)),"")</f>
        <v/>
      </c>
      <c r="AKX18" s="28" t="str">
        <f>IFERROR(IF(ALG3="No",IF(VLOOKUP(DATE($K$1,$K$2,AKX$4),Table1[],(MATCH(Calendar!$A18,DB!$1:$1,0)),FALSE)&gt;=5,"Good","Bad"),VLOOKUP(DATE($K$1,$K$2,AKX$4),Table1[],(MATCH(Calendar!$A18,DB!$1:$1,0)),FALSE)),"")</f>
        <v/>
      </c>
      <c r="AKY18" s="28" t="str">
        <f>IFERROR(IF(ALH3="No",IF(VLOOKUP(DATE($K$1,$K$2,AKY$4),Table1[],(MATCH(Calendar!$A18,DB!$1:$1,0)),FALSE)&gt;=5,"Good","Bad"),VLOOKUP(DATE($K$1,$K$2,AKY$4),Table1[],(MATCH(Calendar!$A18,DB!$1:$1,0)),FALSE)),"")</f>
        <v/>
      </c>
      <c r="AKZ18" s="28" t="str">
        <f>IFERROR(IF(ALI3="No",IF(VLOOKUP(DATE($K$1,$K$2,AKZ$4),Table1[],(MATCH(Calendar!$A18,DB!$1:$1,0)),FALSE)&gt;=5,"Good","Bad"),VLOOKUP(DATE($K$1,$K$2,AKZ$4),Table1[],(MATCH(Calendar!$A18,DB!$1:$1,0)),FALSE)),"")</f>
        <v/>
      </c>
      <c r="ALA18" s="28" t="str">
        <f>IFERROR(IF(ALJ3="No",IF(VLOOKUP(DATE($K$1,$K$2,ALA$4),Table1[],(MATCH(Calendar!$A18,DB!$1:$1,0)),FALSE)&gt;=5,"Good","Bad"),VLOOKUP(DATE($K$1,$K$2,ALA$4),Table1[],(MATCH(Calendar!$A18,DB!$1:$1,0)),FALSE)),"")</f>
        <v/>
      </c>
      <c r="ALB18" s="28" t="str">
        <f>IFERROR(IF(ALK3="No",IF(VLOOKUP(DATE($K$1,$K$2,ALB$4),Table1[],(MATCH(Calendar!$A18,DB!$1:$1,0)),FALSE)&gt;=5,"Good","Bad"),VLOOKUP(DATE($K$1,$K$2,ALB$4),Table1[],(MATCH(Calendar!$A18,DB!$1:$1,0)),FALSE)),"")</f>
        <v/>
      </c>
      <c r="ALC18" s="28" t="str">
        <f>IFERROR(IF(ALL3="No",IF(VLOOKUP(DATE($K$1,$K$2,ALC$4),Table1[],(MATCH(Calendar!$A18,DB!$1:$1,0)),FALSE)&gt;=5,"Good","Bad"),VLOOKUP(DATE($K$1,$K$2,ALC$4),Table1[],(MATCH(Calendar!$A18,DB!$1:$1,0)),FALSE)),"")</f>
        <v/>
      </c>
      <c r="ALD18" s="28" t="str">
        <f>IFERROR(IF(ALM3="No",IF(VLOOKUP(DATE($K$1,$K$2,ALD$4),Table1[],(MATCH(Calendar!$A18,DB!$1:$1,0)),FALSE)&gt;=5,"Good","Bad"),VLOOKUP(DATE($K$1,$K$2,ALD$4),Table1[],(MATCH(Calendar!$A18,DB!$1:$1,0)),FALSE)),"")</f>
        <v/>
      </c>
      <c r="ALE18" s="28" t="str">
        <f>IFERROR(IF(ALN3="No",IF(VLOOKUP(DATE($K$1,$K$2,ALE$4),Table1[],(MATCH(Calendar!$A18,DB!$1:$1,0)),FALSE)&gt;=5,"Good","Bad"),VLOOKUP(DATE($K$1,$K$2,ALE$4),Table1[],(MATCH(Calendar!$A18,DB!$1:$1,0)),FALSE)),"")</f>
        <v/>
      </c>
      <c r="ALF18" s="28" t="str">
        <f>IFERROR(IF(ALO3="No",IF(VLOOKUP(DATE($K$1,$K$2,ALF$4),Table1[],(MATCH(Calendar!$A18,DB!$1:$1,0)),FALSE)&gt;=5,"Good","Bad"),VLOOKUP(DATE($K$1,$K$2,ALF$4),Table1[],(MATCH(Calendar!$A18,DB!$1:$1,0)),FALSE)),"")</f>
        <v/>
      </c>
      <c r="ALG18" s="28" t="str">
        <f>IFERROR(IF(ALP3="No",IF(VLOOKUP(DATE($K$1,$K$2,ALG$4),Table1[],(MATCH(Calendar!$A18,DB!$1:$1,0)),FALSE)&gt;=5,"Good","Bad"),VLOOKUP(DATE($K$1,$K$2,ALG$4),Table1[],(MATCH(Calendar!$A18,DB!$1:$1,0)),FALSE)),"")</f>
        <v/>
      </c>
      <c r="ALH18" s="28" t="str">
        <f>IFERROR(IF(ALQ3="No",IF(VLOOKUP(DATE($K$1,$K$2,ALH$4),Table1[],(MATCH(Calendar!$A18,DB!$1:$1,0)),FALSE)&gt;=5,"Good","Bad"),VLOOKUP(DATE($K$1,$K$2,ALH$4),Table1[],(MATCH(Calendar!$A18,DB!$1:$1,0)),FALSE)),"")</f>
        <v/>
      </c>
      <c r="ALI18" s="28" t="str">
        <f>IFERROR(IF(ALR3="No",IF(VLOOKUP(DATE($K$1,$K$2,ALI$4),Table1[],(MATCH(Calendar!$A18,DB!$1:$1,0)),FALSE)&gt;=5,"Good","Bad"),VLOOKUP(DATE($K$1,$K$2,ALI$4),Table1[],(MATCH(Calendar!$A18,DB!$1:$1,0)),FALSE)),"")</f>
        <v/>
      </c>
      <c r="ALJ18" s="28" t="str">
        <f>IFERROR(IF(ALS3="No",IF(VLOOKUP(DATE($K$1,$K$2,ALJ$4),Table1[],(MATCH(Calendar!$A18,DB!$1:$1,0)),FALSE)&gt;=5,"Good","Bad"),VLOOKUP(DATE($K$1,$K$2,ALJ$4),Table1[],(MATCH(Calendar!$A18,DB!$1:$1,0)),FALSE)),"")</f>
        <v/>
      </c>
      <c r="ALK18" s="28" t="str">
        <f>IFERROR(IF(ALT3="No",IF(VLOOKUP(DATE($K$1,$K$2,ALK$4),Table1[],(MATCH(Calendar!$A18,DB!$1:$1,0)),FALSE)&gt;=5,"Good","Bad"),VLOOKUP(DATE($K$1,$K$2,ALK$4),Table1[],(MATCH(Calendar!$A18,DB!$1:$1,0)),FALSE)),"")</f>
        <v/>
      </c>
      <c r="ALL18" s="28" t="str">
        <f>IFERROR(IF(ALU3="No",IF(VLOOKUP(DATE($K$1,$K$2,ALL$4),Table1[],(MATCH(Calendar!$A18,DB!$1:$1,0)),FALSE)&gt;=5,"Good","Bad"),VLOOKUP(DATE($K$1,$K$2,ALL$4),Table1[],(MATCH(Calendar!$A18,DB!$1:$1,0)),FALSE)),"")</f>
        <v/>
      </c>
      <c r="ALM18" s="28" t="str">
        <f>IFERROR(IF(ALV3="No",IF(VLOOKUP(DATE($K$1,$K$2,ALM$4),Table1[],(MATCH(Calendar!$A18,DB!$1:$1,0)),FALSE)&gt;=5,"Good","Bad"),VLOOKUP(DATE($K$1,$K$2,ALM$4),Table1[],(MATCH(Calendar!$A18,DB!$1:$1,0)),FALSE)),"")</f>
        <v/>
      </c>
      <c r="ALN18" s="28" t="str">
        <f>IFERROR(IF(ALW3="No",IF(VLOOKUP(DATE($K$1,$K$2,ALN$4),Table1[],(MATCH(Calendar!$A18,DB!$1:$1,0)),FALSE)&gt;=5,"Good","Bad"),VLOOKUP(DATE($K$1,$K$2,ALN$4),Table1[],(MATCH(Calendar!$A18,DB!$1:$1,0)),FALSE)),"")</f>
        <v/>
      </c>
      <c r="ALO18" s="28" t="str">
        <f>IFERROR(IF(ALX3="No",IF(VLOOKUP(DATE($K$1,$K$2,ALO$4),Table1[],(MATCH(Calendar!$A18,DB!$1:$1,0)),FALSE)&gt;=5,"Good","Bad"),VLOOKUP(DATE($K$1,$K$2,ALO$4),Table1[],(MATCH(Calendar!$A18,DB!$1:$1,0)),FALSE)),"")</f>
        <v/>
      </c>
      <c r="ALP18" s="28" t="str">
        <f>IFERROR(IF(ALY3="No",IF(VLOOKUP(DATE($K$1,$K$2,ALP$4),Table1[],(MATCH(Calendar!$A18,DB!$1:$1,0)),FALSE)&gt;=5,"Good","Bad"),VLOOKUP(DATE($K$1,$K$2,ALP$4),Table1[],(MATCH(Calendar!$A18,DB!$1:$1,0)),FALSE)),"")</f>
        <v/>
      </c>
      <c r="ALQ18" s="28" t="str">
        <f>IFERROR(IF(ALZ3="No",IF(VLOOKUP(DATE($K$1,$K$2,ALQ$4),Table1[],(MATCH(Calendar!$A18,DB!$1:$1,0)),FALSE)&gt;=5,"Good","Bad"),VLOOKUP(DATE($K$1,$K$2,ALQ$4),Table1[],(MATCH(Calendar!$A18,DB!$1:$1,0)),FALSE)),"")</f>
        <v/>
      </c>
      <c r="ALR18" s="28" t="str">
        <f>IFERROR(IF(AMA3="No",IF(VLOOKUP(DATE($K$1,$K$2,ALR$4),Table1[],(MATCH(Calendar!$A18,DB!$1:$1,0)),FALSE)&gt;=5,"Good","Bad"),VLOOKUP(DATE($K$1,$K$2,ALR$4),Table1[],(MATCH(Calendar!$A18,DB!$1:$1,0)),FALSE)),"")</f>
        <v/>
      </c>
      <c r="ALS18" s="28" t="str">
        <f>IFERROR(IF(AMB3="No",IF(VLOOKUP(DATE($K$1,$K$2,ALS$4),Table1[],(MATCH(Calendar!$A18,DB!$1:$1,0)),FALSE)&gt;=5,"Good","Bad"),VLOOKUP(DATE($K$1,$K$2,ALS$4),Table1[],(MATCH(Calendar!$A18,DB!$1:$1,0)),FALSE)),"")</f>
        <v/>
      </c>
      <c r="ALT18" s="28" t="str">
        <f>IFERROR(IF(AMC3="No",IF(VLOOKUP(DATE($K$1,$K$2,ALT$4),Table1[],(MATCH(Calendar!$A18,DB!$1:$1,0)),FALSE)&gt;=5,"Good","Bad"),VLOOKUP(DATE($K$1,$K$2,ALT$4),Table1[],(MATCH(Calendar!$A18,DB!$1:$1,0)),FALSE)),"")</f>
        <v/>
      </c>
      <c r="ALU18" s="28" t="str">
        <f>IFERROR(IF(AMD3="No",IF(VLOOKUP(DATE($K$1,$K$2,ALU$4),Table1[],(MATCH(Calendar!$A18,DB!$1:$1,0)),FALSE)&gt;=5,"Good","Bad"),VLOOKUP(DATE($K$1,$K$2,ALU$4),Table1[],(MATCH(Calendar!$A18,DB!$1:$1,0)),FALSE)),"")</f>
        <v/>
      </c>
      <c r="ALV18" s="28" t="str">
        <f>IFERROR(IF(AME3="No",IF(VLOOKUP(DATE($K$1,$K$2,ALV$4),Table1[],(MATCH(Calendar!$A18,DB!$1:$1,0)),FALSE)&gt;=5,"Good","Bad"),VLOOKUP(DATE($K$1,$K$2,ALV$4),Table1[],(MATCH(Calendar!$A18,DB!$1:$1,0)),FALSE)),"")</f>
        <v/>
      </c>
      <c r="ALW18" s="28" t="str">
        <f>IFERROR(IF(AMF3="No",IF(VLOOKUP(DATE($K$1,$K$2,ALW$4),Table1[],(MATCH(Calendar!$A18,DB!$1:$1,0)),FALSE)&gt;=5,"Good","Bad"),VLOOKUP(DATE($K$1,$K$2,ALW$4),Table1[],(MATCH(Calendar!$A18,DB!$1:$1,0)),FALSE)),"")</f>
        <v/>
      </c>
      <c r="ALX18" s="28" t="str">
        <f>IFERROR(IF(AMG3="No",IF(VLOOKUP(DATE($K$1,$K$2,ALX$4),Table1[],(MATCH(Calendar!$A18,DB!$1:$1,0)),FALSE)&gt;=5,"Good","Bad"),VLOOKUP(DATE($K$1,$K$2,ALX$4),Table1[],(MATCH(Calendar!$A18,DB!$1:$1,0)),FALSE)),"")</f>
        <v/>
      </c>
      <c r="ALY18" s="28" t="str">
        <f>IFERROR(IF(AMH3="No",IF(VLOOKUP(DATE($K$1,$K$2,ALY$4),Table1[],(MATCH(Calendar!$A18,DB!$1:$1,0)),FALSE)&gt;=5,"Good","Bad"),VLOOKUP(DATE($K$1,$K$2,ALY$4),Table1[],(MATCH(Calendar!$A18,DB!$1:$1,0)),FALSE)),"")</f>
        <v/>
      </c>
      <c r="ALZ18" s="28" t="str">
        <f>IFERROR(IF(AMI3="No",IF(VLOOKUP(DATE($K$1,$K$2,ALZ$4),Table1[],(MATCH(Calendar!$A18,DB!$1:$1,0)),FALSE)&gt;=5,"Good","Bad"),VLOOKUP(DATE($K$1,$K$2,ALZ$4),Table1[],(MATCH(Calendar!$A18,DB!$1:$1,0)),FALSE)),"")</f>
        <v/>
      </c>
      <c r="AMA18" s="28" t="str">
        <f>IFERROR(IF(AMJ3="No",IF(VLOOKUP(DATE($K$1,$K$2,AMA$4),Table1[],(MATCH(Calendar!$A18,DB!$1:$1,0)),FALSE)&gt;=5,"Good","Bad"),VLOOKUP(DATE($K$1,$K$2,AMA$4),Table1[],(MATCH(Calendar!$A18,DB!$1:$1,0)),FALSE)),"")</f>
        <v/>
      </c>
      <c r="AMB18" s="28" t="str">
        <f>IFERROR(IF(AMK3="No",IF(VLOOKUP(DATE($K$1,$K$2,AMB$4),Table1[],(MATCH(Calendar!$A18,DB!$1:$1,0)),FALSE)&gt;=5,"Good","Bad"),VLOOKUP(DATE($K$1,$K$2,AMB$4),Table1[],(MATCH(Calendar!$A18,DB!$1:$1,0)),FALSE)),"")</f>
        <v/>
      </c>
      <c r="AMC18" s="28" t="str">
        <f>IFERROR(IF(AML3="No",IF(VLOOKUP(DATE($K$1,$K$2,AMC$4),Table1[],(MATCH(Calendar!$A18,DB!$1:$1,0)),FALSE)&gt;=5,"Good","Bad"),VLOOKUP(DATE($K$1,$K$2,AMC$4),Table1[],(MATCH(Calendar!$A18,DB!$1:$1,0)),FALSE)),"")</f>
        <v/>
      </c>
      <c r="AMD18" s="28" t="str">
        <f>IFERROR(IF(AMM3="No",IF(VLOOKUP(DATE($K$1,$K$2,AMD$4),Table1[],(MATCH(Calendar!$A18,DB!$1:$1,0)),FALSE)&gt;=5,"Good","Bad"),VLOOKUP(DATE($K$1,$K$2,AMD$4),Table1[],(MATCH(Calendar!$A18,DB!$1:$1,0)),FALSE)),"")</f>
        <v/>
      </c>
      <c r="AME18" s="28" t="str">
        <f>IFERROR(IF(AMN3="No",IF(VLOOKUP(DATE($K$1,$K$2,AME$4),Table1[],(MATCH(Calendar!$A18,DB!$1:$1,0)),FALSE)&gt;=5,"Good","Bad"),VLOOKUP(DATE($K$1,$K$2,AME$4),Table1[],(MATCH(Calendar!$A18,DB!$1:$1,0)),FALSE)),"")</f>
        <v/>
      </c>
      <c r="AMF18" s="28" t="str">
        <f>IFERROR(IF(AMO3="No",IF(VLOOKUP(DATE($K$1,$K$2,AMF$4),Table1[],(MATCH(Calendar!$A18,DB!$1:$1,0)),FALSE)&gt;=5,"Good","Bad"),VLOOKUP(DATE($K$1,$K$2,AMF$4),Table1[],(MATCH(Calendar!$A18,DB!$1:$1,0)),FALSE)),"")</f>
        <v/>
      </c>
      <c r="AMG18" s="28" t="str">
        <f>IFERROR(IF(AMP3="No",IF(VLOOKUP(DATE($K$1,$K$2,AMG$4),Table1[],(MATCH(Calendar!$A18,DB!$1:$1,0)),FALSE)&gt;=5,"Good","Bad"),VLOOKUP(DATE($K$1,$K$2,AMG$4),Table1[],(MATCH(Calendar!$A18,DB!$1:$1,0)),FALSE)),"")</f>
        <v/>
      </c>
      <c r="AMH18" s="28" t="str">
        <f>IFERROR(IF(AMQ3="No",IF(VLOOKUP(DATE($K$1,$K$2,AMH$4),Table1[],(MATCH(Calendar!$A18,DB!$1:$1,0)),FALSE)&gt;=5,"Good","Bad"),VLOOKUP(DATE($K$1,$K$2,AMH$4),Table1[],(MATCH(Calendar!$A18,DB!$1:$1,0)),FALSE)),"")</f>
        <v/>
      </c>
      <c r="AMI18" s="28" t="str">
        <f>IFERROR(IF(AMR3="No",IF(VLOOKUP(DATE($K$1,$K$2,AMI$4),Table1[],(MATCH(Calendar!$A18,DB!$1:$1,0)),FALSE)&gt;=5,"Good","Bad"),VLOOKUP(DATE($K$1,$K$2,AMI$4),Table1[],(MATCH(Calendar!$A18,DB!$1:$1,0)),FALSE)),"")</f>
        <v/>
      </c>
      <c r="AMJ18" s="28" t="str">
        <f>IFERROR(IF(AMS3="No",IF(VLOOKUP(DATE($K$1,$K$2,AMJ$4),Table1[],(MATCH(Calendar!$A18,DB!$1:$1,0)),FALSE)&gt;=5,"Good","Bad"),VLOOKUP(DATE($K$1,$K$2,AMJ$4),Table1[],(MATCH(Calendar!$A18,DB!$1:$1,0)),FALSE)),"")</f>
        <v/>
      </c>
      <c r="AMK18" s="28" t="str">
        <f>IFERROR(IF(AMT3="No",IF(VLOOKUP(DATE($K$1,$K$2,AMK$4),Table1[],(MATCH(Calendar!$A18,DB!$1:$1,0)),FALSE)&gt;=5,"Good","Bad"),VLOOKUP(DATE($K$1,$K$2,AMK$4),Table1[],(MATCH(Calendar!$A18,DB!$1:$1,0)),FALSE)),"")</f>
        <v/>
      </c>
      <c r="AML18" s="28" t="str">
        <f>IFERROR(IF(AMU3="No",IF(VLOOKUP(DATE($K$1,$K$2,AML$4),Table1[],(MATCH(Calendar!$A18,DB!$1:$1,0)),FALSE)&gt;=5,"Good","Bad"),VLOOKUP(DATE($K$1,$K$2,AML$4),Table1[],(MATCH(Calendar!$A18,DB!$1:$1,0)),FALSE)),"")</f>
        <v/>
      </c>
      <c r="AMM18" s="28" t="str">
        <f>IFERROR(IF(AMV3="No",IF(VLOOKUP(DATE($K$1,$K$2,AMM$4),Table1[],(MATCH(Calendar!$A18,DB!$1:$1,0)),FALSE)&gt;=5,"Good","Bad"),VLOOKUP(DATE($K$1,$K$2,AMM$4),Table1[],(MATCH(Calendar!$A18,DB!$1:$1,0)),FALSE)),"")</f>
        <v/>
      </c>
      <c r="AMN18" s="28" t="str">
        <f>IFERROR(IF(AMW3="No",IF(VLOOKUP(DATE($K$1,$K$2,AMN$4),Table1[],(MATCH(Calendar!$A18,DB!$1:$1,0)),FALSE)&gt;=5,"Good","Bad"),VLOOKUP(DATE($K$1,$K$2,AMN$4),Table1[],(MATCH(Calendar!$A18,DB!$1:$1,0)),FALSE)),"")</f>
        <v/>
      </c>
      <c r="AMO18" s="28" t="str">
        <f>IFERROR(IF(AMX3="No",IF(VLOOKUP(DATE($K$1,$K$2,AMO$4),Table1[],(MATCH(Calendar!$A18,DB!$1:$1,0)),FALSE)&gt;=5,"Good","Bad"),VLOOKUP(DATE($K$1,$K$2,AMO$4),Table1[],(MATCH(Calendar!$A18,DB!$1:$1,0)),FALSE)),"")</f>
        <v/>
      </c>
      <c r="AMP18" s="28" t="str">
        <f>IFERROR(IF(AMY3="No",IF(VLOOKUP(DATE($K$1,$K$2,AMP$4),Table1[],(MATCH(Calendar!$A18,DB!$1:$1,0)),FALSE)&gt;=5,"Good","Bad"),VLOOKUP(DATE($K$1,$K$2,AMP$4),Table1[],(MATCH(Calendar!$A18,DB!$1:$1,0)),FALSE)),"")</f>
        <v/>
      </c>
      <c r="AMQ18" s="28" t="str">
        <f>IFERROR(IF(AMZ3="No",IF(VLOOKUP(DATE($K$1,$K$2,AMQ$4),Table1[],(MATCH(Calendar!$A18,DB!$1:$1,0)),FALSE)&gt;=5,"Good","Bad"),VLOOKUP(DATE($K$1,$K$2,AMQ$4),Table1[],(MATCH(Calendar!$A18,DB!$1:$1,0)),FALSE)),"")</f>
        <v/>
      </c>
      <c r="AMR18" s="28" t="str">
        <f>IFERROR(IF(ANA3="No",IF(VLOOKUP(DATE($K$1,$K$2,AMR$4),Table1[],(MATCH(Calendar!$A18,DB!$1:$1,0)),FALSE)&gt;=5,"Good","Bad"),VLOOKUP(DATE($K$1,$K$2,AMR$4),Table1[],(MATCH(Calendar!$A18,DB!$1:$1,0)),FALSE)),"")</f>
        <v/>
      </c>
      <c r="AMS18" s="28" t="str">
        <f>IFERROR(IF(ANB3="No",IF(VLOOKUP(DATE($K$1,$K$2,AMS$4),Table1[],(MATCH(Calendar!$A18,DB!$1:$1,0)),FALSE)&gt;=5,"Good","Bad"),VLOOKUP(DATE($K$1,$K$2,AMS$4),Table1[],(MATCH(Calendar!$A18,DB!$1:$1,0)),FALSE)),"")</f>
        <v/>
      </c>
      <c r="AMT18" s="28" t="str">
        <f>IFERROR(IF(ANC3="No",IF(VLOOKUP(DATE($K$1,$K$2,AMT$4),Table1[],(MATCH(Calendar!$A18,DB!$1:$1,0)),FALSE)&gt;=5,"Good","Bad"),VLOOKUP(DATE($K$1,$K$2,AMT$4),Table1[],(MATCH(Calendar!$A18,DB!$1:$1,0)),FALSE)),"")</f>
        <v/>
      </c>
      <c r="AMU18" s="28" t="str">
        <f>IFERROR(IF(AND3="No",IF(VLOOKUP(DATE($K$1,$K$2,AMU$4),Table1[],(MATCH(Calendar!$A18,DB!$1:$1,0)),FALSE)&gt;=5,"Good","Bad"),VLOOKUP(DATE($K$1,$K$2,AMU$4),Table1[],(MATCH(Calendar!$A18,DB!$1:$1,0)),FALSE)),"")</f>
        <v/>
      </c>
      <c r="AMV18" s="28" t="str">
        <f>IFERROR(IF(ANE3="No",IF(VLOOKUP(DATE($K$1,$K$2,AMV$4),Table1[],(MATCH(Calendar!$A18,DB!$1:$1,0)),FALSE)&gt;=5,"Good","Bad"),VLOOKUP(DATE($K$1,$K$2,AMV$4),Table1[],(MATCH(Calendar!$A18,DB!$1:$1,0)),FALSE)),"")</f>
        <v/>
      </c>
      <c r="AMW18" s="28" t="str">
        <f>IFERROR(IF(ANF3="No",IF(VLOOKUP(DATE($K$1,$K$2,AMW$4),Table1[],(MATCH(Calendar!$A18,DB!$1:$1,0)),FALSE)&gt;=5,"Good","Bad"),VLOOKUP(DATE($K$1,$K$2,AMW$4),Table1[],(MATCH(Calendar!$A18,DB!$1:$1,0)),FALSE)),"")</f>
        <v/>
      </c>
      <c r="AMX18" s="28" t="str">
        <f>IFERROR(IF(ANG3="No",IF(VLOOKUP(DATE($K$1,$K$2,AMX$4),Table1[],(MATCH(Calendar!$A18,DB!$1:$1,0)),FALSE)&gt;=5,"Good","Bad"),VLOOKUP(DATE($K$1,$K$2,AMX$4),Table1[],(MATCH(Calendar!$A18,DB!$1:$1,0)),FALSE)),"")</f>
        <v/>
      </c>
      <c r="AMY18" s="28" t="str">
        <f>IFERROR(IF(ANH3="No",IF(VLOOKUP(DATE($K$1,$K$2,AMY$4),Table1[],(MATCH(Calendar!$A18,DB!$1:$1,0)),FALSE)&gt;=5,"Good","Bad"),VLOOKUP(DATE($K$1,$K$2,AMY$4),Table1[],(MATCH(Calendar!$A18,DB!$1:$1,0)),FALSE)),"")</f>
        <v/>
      </c>
      <c r="AMZ18" s="28" t="str">
        <f>IFERROR(IF(ANI3="No",IF(VLOOKUP(DATE($K$1,$K$2,AMZ$4),Table1[],(MATCH(Calendar!$A18,DB!$1:$1,0)),FALSE)&gt;=5,"Good","Bad"),VLOOKUP(DATE($K$1,$K$2,AMZ$4),Table1[],(MATCH(Calendar!$A18,DB!$1:$1,0)),FALSE)),"")</f>
        <v/>
      </c>
      <c r="ANA18" s="28" t="str">
        <f>IFERROR(IF(ANJ3="No",IF(VLOOKUP(DATE($K$1,$K$2,ANA$4),Table1[],(MATCH(Calendar!$A18,DB!$1:$1,0)),FALSE)&gt;=5,"Good","Bad"),VLOOKUP(DATE($K$1,$K$2,ANA$4),Table1[],(MATCH(Calendar!$A18,DB!$1:$1,0)),FALSE)),"")</f>
        <v/>
      </c>
      <c r="ANB18" s="28" t="str">
        <f>IFERROR(IF(ANK3="No",IF(VLOOKUP(DATE($K$1,$K$2,ANB$4),Table1[],(MATCH(Calendar!$A18,DB!$1:$1,0)),FALSE)&gt;=5,"Good","Bad"),VLOOKUP(DATE($K$1,$K$2,ANB$4),Table1[],(MATCH(Calendar!$A18,DB!$1:$1,0)),FALSE)),"")</f>
        <v/>
      </c>
      <c r="ANC18" s="28" t="str">
        <f>IFERROR(IF(ANL3="No",IF(VLOOKUP(DATE($K$1,$K$2,ANC$4),Table1[],(MATCH(Calendar!$A18,DB!$1:$1,0)),FALSE)&gt;=5,"Good","Bad"),VLOOKUP(DATE($K$1,$K$2,ANC$4),Table1[],(MATCH(Calendar!$A18,DB!$1:$1,0)),FALSE)),"")</f>
        <v/>
      </c>
      <c r="AND18" s="28" t="str">
        <f>IFERROR(IF(ANM3="No",IF(VLOOKUP(DATE($K$1,$K$2,AND$4),Table1[],(MATCH(Calendar!$A18,DB!$1:$1,0)),FALSE)&gt;=5,"Good","Bad"),VLOOKUP(DATE($K$1,$K$2,AND$4),Table1[],(MATCH(Calendar!$A18,DB!$1:$1,0)),FALSE)),"")</f>
        <v/>
      </c>
      <c r="ANE18" s="28" t="str">
        <f>IFERROR(IF(ANN3="No",IF(VLOOKUP(DATE($K$1,$K$2,ANE$4),Table1[],(MATCH(Calendar!$A18,DB!$1:$1,0)),FALSE)&gt;=5,"Good","Bad"),VLOOKUP(DATE($K$1,$K$2,ANE$4),Table1[],(MATCH(Calendar!$A18,DB!$1:$1,0)),FALSE)),"")</f>
        <v/>
      </c>
      <c r="ANF18" s="28" t="str">
        <f>IFERROR(IF(ANO3="No",IF(VLOOKUP(DATE($K$1,$K$2,ANF$4),Table1[],(MATCH(Calendar!$A18,DB!$1:$1,0)),FALSE)&gt;=5,"Good","Bad"),VLOOKUP(DATE($K$1,$K$2,ANF$4),Table1[],(MATCH(Calendar!$A18,DB!$1:$1,0)),FALSE)),"")</f>
        <v/>
      </c>
      <c r="ANG18" s="28" t="str">
        <f>IFERROR(IF(ANP3="No",IF(VLOOKUP(DATE($K$1,$K$2,ANG$4),Table1[],(MATCH(Calendar!$A18,DB!$1:$1,0)),FALSE)&gt;=5,"Good","Bad"),VLOOKUP(DATE($K$1,$K$2,ANG$4),Table1[],(MATCH(Calendar!$A18,DB!$1:$1,0)),FALSE)),"")</f>
        <v/>
      </c>
      <c r="ANH18" s="28" t="str">
        <f>IFERROR(IF(ANQ3="No",IF(VLOOKUP(DATE($K$1,$K$2,ANH$4),Table1[],(MATCH(Calendar!$A18,DB!$1:$1,0)),FALSE)&gt;=5,"Good","Bad"),VLOOKUP(DATE($K$1,$K$2,ANH$4),Table1[],(MATCH(Calendar!$A18,DB!$1:$1,0)),FALSE)),"")</f>
        <v/>
      </c>
      <c r="ANI18" s="28" t="str">
        <f>IFERROR(IF(ANR3="No",IF(VLOOKUP(DATE($K$1,$K$2,ANI$4),Table1[],(MATCH(Calendar!$A18,DB!$1:$1,0)),FALSE)&gt;=5,"Good","Bad"),VLOOKUP(DATE($K$1,$K$2,ANI$4),Table1[],(MATCH(Calendar!$A18,DB!$1:$1,0)),FALSE)),"")</f>
        <v/>
      </c>
      <c r="ANJ18" s="28" t="str">
        <f>IFERROR(IF(ANS3="No",IF(VLOOKUP(DATE($K$1,$K$2,ANJ$4),Table1[],(MATCH(Calendar!$A18,DB!$1:$1,0)),FALSE)&gt;=5,"Good","Bad"),VLOOKUP(DATE($K$1,$K$2,ANJ$4),Table1[],(MATCH(Calendar!$A18,DB!$1:$1,0)),FALSE)),"")</f>
        <v/>
      </c>
      <c r="ANK18" s="28" t="str">
        <f>IFERROR(IF(ANT3="No",IF(VLOOKUP(DATE($K$1,$K$2,ANK$4),Table1[],(MATCH(Calendar!$A18,DB!$1:$1,0)),FALSE)&gt;=5,"Good","Bad"),VLOOKUP(DATE($K$1,$K$2,ANK$4),Table1[],(MATCH(Calendar!$A18,DB!$1:$1,0)),FALSE)),"")</f>
        <v/>
      </c>
      <c r="ANL18" s="28" t="str">
        <f>IFERROR(IF(ANU3="No",IF(VLOOKUP(DATE($K$1,$K$2,ANL$4),Table1[],(MATCH(Calendar!$A18,DB!$1:$1,0)),FALSE)&gt;=5,"Good","Bad"),VLOOKUP(DATE($K$1,$K$2,ANL$4),Table1[],(MATCH(Calendar!$A18,DB!$1:$1,0)),FALSE)),"")</f>
        <v/>
      </c>
      <c r="ANM18" s="28" t="str">
        <f>IFERROR(IF(ANV3="No",IF(VLOOKUP(DATE($K$1,$K$2,ANM$4),Table1[],(MATCH(Calendar!$A18,DB!$1:$1,0)),FALSE)&gt;=5,"Good","Bad"),VLOOKUP(DATE($K$1,$K$2,ANM$4),Table1[],(MATCH(Calendar!$A18,DB!$1:$1,0)),FALSE)),"")</f>
        <v/>
      </c>
      <c r="ANN18" s="28" t="str">
        <f>IFERROR(IF(ANW3="No",IF(VLOOKUP(DATE($K$1,$K$2,ANN$4),Table1[],(MATCH(Calendar!$A18,DB!$1:$1,0)),FALSE)&gt;=5,"Good","Bad"),VLOOKUP(DATE($K$1,$K$2,ANN$4),Table1[],(MATCH(Calendar!$A18,DB!$1:$1,0)),FALSE)),"")</f>
        <v/>
      </c>
      <c r="ANO18" s="28" t="str">
        <f>IFERROR(IF(ANX3="No",IF(VLOOKUP(DATE($K$1,$K$2,ANO$4),Table1[],(MATCH(Calendar!$A18,DB!$1:$1,0)),FALSE)&gt;=5,"Good","Bad"),VLOOKUP(DATE($K$1,$K$2,ANO$4),Table1[],(MATCH(Calendar!$A18,DB!$1:$1,0)),FALSE)),"")</f>
        <v/>
      </c>
      <c r="ANP18" s="28" t="str">
        <f>IFERROR(IF(ANY3="No",IF(VLOOKUP(DATE($K$1,$K$2,ANP$4),Table1[],(MATCH(Calendar!$A18,DB!$1:$1,0)),FALSE)&gt;=5,"Good","Bad"),VLOOKUP(DATE($K$1,$K$2,ANP$4),Table1[],(MATCH(Calendar!$A18,DB!$1:$1,0)),FALSE)),"")</f>
        <v/>
      </c>
      <c r="ANQ18" s="28" t="str">
        <f>IFERROR(IF(ANZ3="No",IF(VLOOKUP(DATE($K$1,$K$2,ANQ$4),Table1[],(MATCH(Calendar!$A18,DB!$1:$1,0)),FALSE)&gt;=5,"Good","Bad"),VLOOKUP(DATE($K$1,$K$2,ANQ$4),Table1[],(MATCH(Calendar!$A18,DB!$1:$1,0)),FALSE)),"")</f>
        <v/>
      </c>
      <c r="ANR18" s="28" t="str">
        <f>IFERROR(IF(AOA3="No",IF(VLOOKUP(DATE($K$1,$K$2,ANR$4),Table1[],(MATCH(Calendar!$A18,DB!$1:$1,0)),FALSE)&gt;=5,"Good","Bad"),VLOOKUP(DATE($K$1,$K$2,ANR$4),Table1[],(MATCH(Calendar!$A18,DB!$1:$1,0)),FALSE)),"")</f>
        <v/>
      </c>
      <c r="ANS18" s="28" t="str">
        <f>IFERROR(IF(AOB3="No",IF(VLOOKUP(DATE($K$1,$K$2,ANS$4),Table1[],(MATCH(Calendar!$A18,DB!$1:$1,0)),FALSE)&gt;=5,"Good","Bad"),VLOOKUP(DATE($K$1,$K$2,ANS$4),Table1[],(MATCH(Calendar!$A18,DB!$1:$1,0)),FALSE)),"")</f>
        <v/>
      </c>
      <c r="ANT18" s="28" t="str">
        <f>IFERROR(IF(AOC3="No",IF(VLOOKUP(DATE($K$1,$K$2,ANT$4),Table1[],(MATCH(Calendar!$A18,DB!$1:$1,0)),FALSE)&gt;=5,"Good","Bad"),VLOOKUP(DATE($K$1,$K$2,ANT$4),Table1[],(MATCH(Calendar!$A18,DB!$1:$1,0)),FALSE)),"")</f>
        <v/>
      </c>
      <c r="ANU18" s="28" t="str">
        <f>IFERROR(IF(AOD3="No",IF(VLOOKUP(DATE($K$1,$K$2,ANU$4),Table1[],(MATCH(Calendar!$A18,DB!$1:$1,0)),FALSE)&gt;=5,"Good","Bad"),VLOOKUP(DATE($K$1,$K$2,ANU$4),Table1[],(MATCH(Calendar!$A18,DB!$1:$1,0)),FALSE)),"")</f>
        <v/>
      </c>
      <c r="ANV18" s="28" t="str">
        <f>IFERROR(IF(AOE3="No",IF(VLOOKUP(DATE($K$1,$K$2,ANV$4),Table1[],(MATCH(Calendar!$A18,DB!$1:$1,0)),FALSE)&gt;=5,"Good","Bad"),VLOOKUP(DATE($K$1,$K$2,ANV$4),Table1[],(MATCH(Calendar!$A18,DB!$1:$1,0)),FALSE)),"")</f>
        <v/>
      </c>
      <c r="ANW18" s="28" t="str">
        <f>IFERROR(IF(AOF3="No",IF(VLOOKUP(DATE($K$1,$K$2,ANW$4),Table1[],(MATCH(Calendar!$A18,DB!$1:$1,0)),FALSE)&gt;=5,"Good","Bad"),VLOOKUP(DATE($K$1,$K$2,ANW$4),Table1[],(MATCH(Calendar!$A18,DB!$1:$1,0)),FALSE)),"")</f>
        <v/>
      </c>
      <c r="ANX18" s="28" t="str">
        <f>IFERROR(IF(AOG3="No",IF(VLOOKUP(DATE($K$1,$K$2,ANX$4),Table1[],(MATCH(Calendar!$A18,DB!$1:$1,0)),FALSE)&gt;=5,"Good","Bad"),VLOOKUP(DATE($K$1,$K$2,ANX$4),Table1[],(MATCH(Calendar!$A18,DB!$1:$1,0)),FALSE)),"")</f>
        <v/>
      </c>
      <c r="ANY18" s="28" t="str">
        <f>IFERROR(IF(AOH3="No",IF(VLOOKUP(DATE($K$1,$K$2,ANY$4),Table1[],(MATCH(Calendar!$A18,DB!$1:$1,0)),FALSE)&gt;=5,"Good","Bad"),VLOOKUP(DATE($K$1,$K$2,ANY$4),Table1[],(MATCH(Calendar!$A18,DB!$1:$1,0)),FALSE)),"")</f>
        <v/>
      </c>
      <c r="ANZ18" s="28" t="str">
        <f>IFERROR(IF(AOI3="No",IF(VLOOKUP(DATE($K$1,$K$2,ANZ$4),Table1[],(MATCH(Calendar!$A18,DB!$1:$1,0)),FALSE)&gt;=5,"Good","Bad"),VLOOKUP(DATE($K$1,$K$2,ANZ$4),Table1[],(MATCH(Calendar!$A18,DB!$1:$1,0)),FALSE)),"")</f>
        <v/>
      </c>
      <c r="AOA18" s="28" t="str">
        <f>IFERROR(IF(AOJ3="No",IF(VLOOKUP(DATE($K$1,$K$2,AOA$4),Table1[],(MATCH(Calendar!$A18,DB!$1:$1,0)),FALSE)&gt;=5,"Good","Bad"),VLOOKUP(DATE($K$1,$K$2,AOA$4),Table1[],(MATCH(Calendar!$A18,DB!$1:$1,0)),FALSE)),"")</f>
        <v/>
      </c>
      <c r="AOB18" s="28" t="str">
        <f>IFERROR(IF(AOK3="No",IF(VLOOKUP(DATE($K$1,$K$2,AOB$4),Table1[],(MATCH(Calendar!$A18,DB!$1:$1,0)),FALSE)&gt;=5,"Good","Bad"),VLOOKUP(DATE($K$1,$K$2,AOB$4),Table1[],(MATCH(Calendar!$A18,DB!$1:$1,0)),FALSE)),"")</f>
        <v/>
      </c>
      <c r="AOC18" s="28" t="str">
        <f>IFERROR(IF(AOL3="No",IF(VLOOKUP(DATE($K$1,$K$2,AOC$4),Table1[],(MATCH(Calendar!$A18,DB!$1:$1,0)),FALSE)&gt;=5,"Good","Bad"),VLOOKUP(DATE($K$1,$K$2,AOC$4),Table1[],(MATCH(Calendar!$A18,DB!$1:$1,0)),FALSE)),"")</f>
        <v/>
      </c>
      <c r="AOD18" s="28" t="str">
        <f>IFERROR(IF(AOM3="No",IF(VLOOKUP(DATE($K$1,$K$2,AOD$4),Table1[],(MATCH(Calendar!$A18,DB!$1:$1,0)),FALSE)&gt;=5,"Good","Bad"),VLOOKUP(DATE($K$1,$K$2,AOD$4),Table1[],(MATCH(Calendar!$A18,DB!$1:$1,0)),FALSE)),"")</f>
        <v/>
      </c>
      <c r="AOE18" s="28" t="str">
        <f>IFERROR(IF(AON3="No",IF(VLOOKUP(DATE($K$1,$K$2,AOE$4),Table1[],(MATCH(Calendar!$A18,DB!$1:$1,0)),FALSE)&gt;=5,"Good","Bad"),VLOOKUP(DATE($K$1,$K$2,AOE$4),Table1[],(MATCH(Calendar!$A18,DB!$1:$1,0)),FALSE)),"")</f>
        <v/>
      </c>
      <c r="AOF18" s="28" t="str">
        <f>IFERROR(IF(AOO3="No",IF(VLOOKUP(DATE($K$1,$K$2,AOF$4),Table1[],(MATCH(Calendar!$A18,DB!$1:$1,0)),FALSE)&gt;=5,"Good","Bad"),VLOOKUP(DATE($K$1,$K$2,AOF$4),Table1[],(MATCH(Calendar!$A18,DB!$1:$1,0)),FALSE)),"")</f>
        <v/>
      </c>
      <c r="AOG18" s="28" t="str">
        <f>IFERROR(IF(AOP3="No",IF(VLOOKUP(DATE($K$1,$K$2,AOG$4),Table1[],(MATCH(Calendar!$A18,DB!$1:$1,0)),FALSE)&gt;=5,"Good","Bad"),VLOOKUP(DATE($K$1,$K$2,AOG$4),Table1[],(MATCH(Calendar!$A18,DB!$1:$1,0)),FALSE)),"")</f>
        <v/>
      </c>
      <c r="AOH18" s="28" t="str">
        <f>IFERROR(IF(AOQ3="No",IF(VLOOKUP(DATE($K$1,$K$2,AOH$4),Table1[],(MATCH(Calendar!$A18,DB!$1:$1,0)),FALSE)&gt;=5,"Good","Bad"),VLOOKUP(DATE($K$1,$K$2,AOH$4),Table1[],(MATCH(Calendar!$A18,DB!$1:$1,0)),FALSE)),"")</f>
        <v/>
      </c>
      <c r="AOI18" s="28" t="str">
        <f>IFERROR(IF(AOR3="No",IF(VLOOKUP(DATE($K$1,$K$2,AOI$4),Table1[],(MATCH(Calendar!$A18,DB!$1:$1,0)),FALSE)&gt;=5,"Good","Bad"),VLOOKUP(DATE($K$1,$K$2,AOI$4),Table1[],(MATCH(Calendar!$A18,DB!$1:$1,0)),FALSE)),"")</f>
        <v/>
      </c>
      <c r="AOJ18" s="28" t="str">
        <f>IFERROR(IF(AOS3="No",IF(VLOOKUP(DATE($K$1,$K$2,AOJ$4),Table1[],(MATCH(Calendar!$A18,DB!$1:$1,0)),FALSE)&gt;=5,"Good","Bad"),VLOOKUP(DATE($K$1,$K$2,AOJ$4),Table1[],(MATCH(Calendar!$A18,DB!$1:$1,0)),FALSE)),"")</f>
        <v/>
      </c>
      <c r="AOK18" s="28" t="str">
        <f>IFERROR(IF(AOT3="No",IF(VLOOKUP(DATE($K$1,$K$2,AOK$4),Table1[],(MATCH(Calendar!$A18,DB!$1:$1,0)),FALSE)&gt;=5,"Good","Bad"),VLOOKUP(DATE($K$1,$K$2,AOK$4),Table1[],(MATCH(Calendar!$A18,DB!$1:$1,0)),FALSE)),"")</f>
        <v/>
      </c>
      <c r="AOL18" s="28" t="str">
        <f>IFERROR(IF(AOU3="No",IF(VLOOKUP(DATE($K$1,$K$2,AOL$4),Table1[],(MATCH(Calendar!$A18,DB!$1:$1,0)),FALSE)&gt;=5,"Good","Bad"),VLOOKUP(DATE($K$1,$K$2,AOL$4),Table1[],(MATCH(Calendar!$A18,DB!$1:$1,0)),FALSE)),"")</f>
        <v/>
      </c>
      <c r="AOM18" s="28" t="str">
        <f>IFERROR(IF(AOV3="No",IF(VLOOKUP(DATE($K$1,$K$2,AOM$4),Table1[],(MATCH(Calendar!$A18,DB!$1:$1,0)),FALSE)&gt;=5,"Good","Bad"),VLOOKUP(DATE($K$1,$K$2,AOM$4),Table1[],(MATCH(Calendar!$A18,DB!$1:$1,0)),FALSE)),"")</f>
        <v/>
      </c>
      <c r="AON18" s="28" t="str">
        <f>IFERROR(IF(AOW3="No",IF(VLOOKUP(DATE($K$1,$K$2,AON$4),Table1[],(MATCH(Calendar!$A18,DB!$1:$1,0)),FALSE)&gt;=5,"Good","Bad"),VLOOKUP(DATE($K$1,$K$2,AON$4),Table1[],(MATCH(Calendar!$A18,DB!$1:$1,0)),FALSE)),"")</f>
        <v/>
      </c>
      <c r="AOO18" s="28" t="str">
        <f>IFERROR(IF(AOX3="No",IF(VLOOKUP(DATE($K$1,$K$2,AOO$4),Table1[],(MATCH(Calendar!$A18,DB!$1:$1,0)),FALSE)&gt;=5,"Good","Bad"),VLOOKUP(DATE($K$1,$K$2,AOO$4),Table1[],(MATCH(Calendar!$A18,DB!$1:$1,0)),FALSE)),"")</f>
        <v/>
      </c>
      <c r="AOP18" s="28" t="str">
        <f>IFERROR(IF(AOY3="No",IF(VLOOKUP(DATE($K$1,$K$2,AOP$4),Table1[],(MATCH(Calendar!$A18,DB!$1:$1,0)),FALSE)&gt;=5,"Good","Bad"),VLOOKUP(DATE($K$1,$K$2,AOP$4),Table1[],(MATCH(Calendar!$A18,DB!$1:$1,0)),FALSE)),"")</f>
        <v/>
      </c>
      <c r="AOQ18" s="28" t="str">
        <f>IFERROR(IF(AOZ3="No",IF(VLOOKUP(DATE($K$1,$K$2,AOQ$4),Table1[],(MATCH(Calendar!$A18,DB!$1:$1,0)),FALSE)&gt;=5,"Good","Bad"),VLOOKUP(DATE($K$1,$K$2,AOQ$4),Table1[],(MATCH(Calendar!$A18,DB!$1:$1,0)),FALSE)),"")</f>
        <v/>
      </c>
      <c r="AOR18" s="28" t="str">
        <f>IFERROR(IF(APA3="No",IF(VLOOKUP(DATE($K$1,$K$2,AOR$4),Table1[],(MATCH(Calendar!$A18,DB!$1:$1,0)),FALSE)&gt;=5,"Good","Bad"),VLOOKUP(DATE($K$1,$K$2,AOR$4),Table1[],(MATCH(Calendar!$A18,DB!$1:$1,0)),FALSE)),"")</f>
        <v/>
      </c>
      <c r="AOS18" s="28" t="str">
        <f>IFERROR(IF(APB3="No",IF(VLOOKUP(DATE($K$1,$K$2,AOS$4),Table1[],(MATCH(Calendar!$A18,DB!$1:$1,0)),FALSE)&gt;=5,"Good","Bad"),VLOOKUP(DATE($K$1,$K$2,AOS$4),Table1[],(MATCH(Calendar!$A18,DB!$1:$1,0)),FALSE)),"")</f>
        <v/>
      </c>
      <c r="AOT18" s="28" t="str">
        <f>IFERROR(IF(APC3="No",IF(VLOOKUP(DATE($K$1,$K$2,AOT$4),Table1[],(MATCH(Calendar!$A18,DB!$1:$1,0)),FALSE)&gt;=5,"Good","Bad"),VLOOKUP(DATE($K$1,$K$2,AOT$4),Table1[],(MATCH(Calendar!$A18,DB!$1:$1,0)),FALSE)),"")</f>
        <v/>
      </c>
      <c r="AOU18" s="28" t="str">
        <f>IFERROR(IF(APD3="No",IF(VLOOKUP(DATE($K$1,$K$2,AOU$4),Table1[],(MATCH(Calendar!$A18,DB!$1:$1,0)),FALSE)&gt;=5,"Good","Bad"),VLOOKUP(DATE($K$1,$K$2,AOU$4),Table1[],(MATCH(Calendar!$A18,DB!$1:$1,0)),FALSE)),"")</f>
        <v/>
      </c>
      <c r="AOV18" s="28" t="str">
        <f>IFERROR(IF(APE3="No",IF(VLOOKUP(DATE($K$1,$K$2,AOV$4),Table1[],(MATCH(Calendar!$A18,DB!$1:$1,0)),FALSE)&gt;=5,"Good","Bad"),VLOOKUP(DATE($K$1,$K$2,AOV$4),Table1[],(MATCH(Calendar!$A18,DB!$1:$1,0)),FALSE)),"")</f>
        <v/>
      </c>
      <c r="AOW18" s="28" t="str">
        <f>IFERROR(IF(APF3="No",IF(VLOOKUP(DATE($K$1,$K$2,AOW$4),Table1[],(MATCH(Calendar!$A18,DB!$1:$1,0)),FALSE)&gt;=5,"Good","Bad"),VLOOKUP(DATE($K$1,$K$2,AOW$4),Table1[],(MATCH(Calendar!$A18,DB!$1:$1,0)),FALSE)),"")</f>
        <v/>
      </c>
      <c r="AOX18" s="28" t="str">
        <f>IFERROR(IF(APG3="No",IF(VLOOKUP(DATE($K$1,$K$2,AOX$4),Table1[],(MATCH(Calendar!$A18,DB!$1:$1,0)),FALSE)&gt;=5,"Good","Bad"),VLOOKUP(DATE($K$1,$K$2,AOX$4),Table1[],(MATCH(Calendar!$A18,DB!$1:$1,0)),FALSE)),"")</f>
        <v/>
      </c>
      <c r="AOY18" s="28" t="str">
        <f>IFERROR(IF(APH3="No",IF(VLOOKUP(DATE($K$1,$K$2,AOY$4),Table1[],(MATCH(Calendar!$A18,DB!$1:$1,0)),FALSE)&gt;=5,"Good","Bad"),VLOOKUP(DATE($K$1,$K$2,AOY$4),Table1[],(MATCH(Calendar!$A18,DB!$1:$1,0)),FALSE)),"")</f>
        <v/>
      </c>
      <c r="AOZ18" s="28" t="str">
        <f>IFERROR(IF(API3="No",IF(VLOOKUP(DATE($K$1,$K$2,AOZ$4),Table1[],(MATCH(Calendar!$A18,DB!$1:$1,0)),FALSE)&gt;=5,"Good","Bad"),VLOOKUP(DATE($K$1,$K$2,AOZ$4),Table1[],(MATCH(Calendar!$A18,DB!$1:$1,0)),FALSE)),"")</f>
        <v/>
      </c>
      <c r="APA18" s="28" t="str">
        <f>IFERROR(IF(APJ3="No",IF(VLOOKUP(DATE($K$1,$K$2,APA$4),Table1[],(MATCH(Calendar!$A18,DB!$1:$1,0)),FALSE)&gt;=5,"Good","Bad"),VLOOKUP(DATE($K$1,$K$2,APA$4),Table1[],(MATCH(Calendar!$A18,DB!$1:$1,0)),FALSE)),"")</f>
        <v/>
      </c>
      <c r="APB18" s="28" t="str">
        <f>IFERROR(IF(APK3="No",IF(VLOOKUP(DATE($K$1,$K$2,APB$4),Table1[],(MATCH(Calendar!$A18,DB!$1:$1,0)),FALSE)&gt;=5,"Good","Bad"),VLOOKUP(DATE($K$1,$K$2,APB$4),Table1[],(MATCH(Calendar!$A18,DB!$1:$1,0)),FALSE)),"")</f>
        <v/>
      </c>
      <c r="APC18" s="28" t="str">
        <f>IFERROR(IF(APL3="No",IF(VLOOKUP(DATE($K$1,$K$2,APC$4),Table1[],(MATCH(Calendar!$A18,DB!$1:$1,0)),FALSE)&gt;=5,"Good","Bad"),VLOOKUP(DATE($K$1,$K$2,APC$4),Table1[],(MATCH(Calendar!$A18,DB!$1:$1,0)),FALSE)),"")</f>
        <v/>
      </c>
      <c r="APD18" s="28" t="str">
        <f>IFERROR(IF(APM3="No",IF(VLOOKUP(DATE($K$1,$K$2,APD$4),Table1[],(MATCH(Calendar!$A18,DB!$1:$1,0)),FALSE)&gt;=5,"Good","Bad"),VLOOKUP(DATE($K$1,$K$2,APD$4),Table1[],(MATCH(Calendar!$A18,DB!$1:$1,0)),FALSE)),"")</f>
        <v/>
      </c>
      <c r="APE18" s="28" t="str">
        <f>IFERROR(IF(APN3="No",IF(VLOOKUP(DATE($K$1,$K$2,APE$4),Table1[],(MATCH(Calendar!$A18,DB!$1:$1,0)),FALSE)&gt;=5,"Good","Bad"),VLOOKUP(DATE($K$1,$K$2,APE$4),Table1[],(MATCH(Calendar!$A18,DB!$1:$1,0)),FALSE)),"")</f>
        <v/>
      </c>
      <c r="APF18" s="28" t="str">
        <f>IFERROR(IF(APO3="No",IF(VLOOKUP(DATE($K$1,$K$2,APF$4),Table1[],(MATCH(Calendar!$A18,DB!$1:$1,0)),FALSE)&gt;=5,"Good","Bad"),VLOOKUP(DATE($K$1,$K$2,APF$4),Table1[],(MATCH(Calendar!$A18,DB!$1:$1,0)),FALSE)),"")</f>
        <v/>
      </c>
      <c r="APG18" s="28" t="str">
        <f>IFERROR(IF(APP3="No",IF(VLOOKUP(DATE($K$1,$K$2,APG$4),Table1[],(MATCH(Calendar!$A18,DB!$1:$1,0)),FALSE)&gt;=5,"Good","Bad"),VLOOKUP(DATE($K$1,$K$2,APG$4),Table1[],(MATCH(Calendar!$A18,DB!$1:$1,0)),FALSE)),"")</f>
        <v/>
      </c>
      <c r="APH18" s="28" t="str">
        <f>IFERROR(IF(APQ3="No",IF(VLOOKUP(DATE($K$1,$K$2,APH$4),Table1[],(MATCH(Calendar!$A18,DB!$1:$1,0)),FALSE)&gt;=5,"Good","Bad"),VLOOKUP(DATE($K$1,$K$2,APH$4),Table1[],(MATCH(Calendar!$A18,DB!$1:$1,0)),FALSE)),"")</f>
        <v/>
      </c>
      <c r="API18" s="28" t="str">
        <f>IFERROR(IF(APR3="No",IF(VLOOKUP(DATE($K$1,$K$2,API$4),Table1[],(MATCH(Calendar!$A18,DB!$1:$1,0)),FALSE)&gt;=5,"Good","Bad"),VLOOKUP(DATE($K$1,$K$2,API$4),Table1[],(MATCH(Calendar!$A18,DB!$1:$1,0)),FALSE)),"")</f>
        <v/>
      </c>
      <c r="APJ18" s="28" t="str">
        <f>IFERROR(IF(APS3="No",IF(VLOOKUP(DATE($K$1,$K$2,APJ$4),Table1[],(MATCH(Calendar!$A18,DB!$1:$1,0)),FALSE)&gt;=5,"Good","Bad"),VLOOKUP(DATE($K$1,$K$2,APJ$4),Table1[],(MATCH(Calendar!$A18,DB!$1:$1,0)),FALSE)),"")</f>
        <v/>
      </c>
      <c r="APK18" s="28" t="str">
        <f>IFERROR(IF(APT3="No",IF(VLOOKUP(DATE($K$1,$K$2,APK$4),Table1[],(MATCH(Calendar!$A18,DB!$1:$1,0)),FALSE)&gt;=5,"Good","Bad"),VLOOKUP(DATE($K$1,$K$2,APK$4),Table1[],(MATCH(Calendar!$A18,DB!$1:$1,0)),FALSE)),"")</f>
        <v/>
      </c>
      <c r="APL18" s="28" t="str">
        <f>IFERROR(IF(APU3="No",IF(VLOOKUP(DATE($K$1,$K$2,APL$4),Table1[],(MATCH(Calendar!$A18,DB!$1:$1,0)),FALSE)&gt;=5,"Good","Bad"),VLOOKUP(DATE($K$1,$K$2,APL$4),Table1[],(MATCH(Calendar!$A18,DB!$1:$1,0)),FALSE)),"")</f>
        <v/>
      </c>
      <c r="APM18" s="28" t="str">
        <f>IFERROR(IF(APV3="No",IF(VLOOKUP(DATE($K$1,$K$2,APM$4),Table1[],(MATCH(Calendar!$A18,DB!$1:$1,0)),FALSE)&gt;=5,"Good","Bad"),VLOOKUP(DATE($K$1,$K$2,APM$4),Table1[],(MATCH(Calendar!$A18,DB!$1:$1,0)),FALSE)),"")</f>
        <v/>
      </c>
      <c r="APN18" s="28" t="str">
        <f>IFERROR(IF(APW3="No",IF(VLOOKUP(DATE($K$1,$K$2,APN$4),Table1[],(MATCH(Calendar!$A18,DB!$1:$1,0)),FALSE)&gt;=5,"Good","Bad"),VLOOKUP(DATE($K$1,$K$2,APN$4),Table1[],(MATCH(Calendar!$A18,DB!$1:$1,0)),FALSE)),"")</f>
        <v/>
      </c>
      <c r="APO18" s="28" t="str">
        <f>IFERROR(IF(APX3="No",IF(VLOOKUP(DATE($K$1,$K$2,APO$4),Table1[],(MATCH(Calendar!$A18,DB!$1:$1,0)),FALSE)&gt;=5,"Good","Bad"),VLOOKUP(DATE($K$1,$K$2,APO$4),Table1[],(MATCH(Calendar!$A18,DB!$1:$1,0)),FALSE)),"")</f>
        <v/>
      </c>
      <c r="APP18" s="28" t="str">
        <f>IFERROR(IF(APY3="No",IF(VLOOKUP(DATE($K$1,$K$2,APP$4),Table1[],(MATCH(Calendar!$A18,DB!$1:$1,0)),FALSE)&gt;=5,"Good","Bad"),VLOOKUP(DATE($K$1,$K$2,APP$4),Table1[],(MATCH(Calendar!$A18,DB!$1:$1,0)),FALSE)),"")</f>
        <v/>
      </c>
      <c r="APQ18" s="28" t="str">
        <f>IFERROR(IF(APZ3="No",IF(VLOOKUP(DATE($K$1,$K$2,APQ$4),Table1[],(MATCH(Calendar!$A18,DB!$1:$1,0)),FALSE)&gt;=5,"Good","Bad"),VLOOKUP(DATE($K$1,$K$2,APQ$4),Table1[],(MATCH(Calendar!$A18,DB!$1:$1,0)),FALSE)),"")</f>
        <v/>
      </c>
      <c r="APR18" s="28" t="str">
        <f>IFERROR(IF(AQA3="No",IF(VLOOKUP(DATE($K$1,$K$2,APR$4),Table1[],(MATCH(Calendar!$A18,DB!$1:$1,0)),FALSE)&gt;=5,"Good","Bad"),VLOOKUP(DATE($K$1,$K$2,APR$4),Table1[],(MATCH(Calendar!$A18,DB!$1:$1,0)),FALSE)),"")</f>
        <v/>
      </c>
      <c r="APS18" s="28" t="str">
        <f>IFERROR(IF(AQB3="No",IF(VLOOKUP(DATE($K$1,$K$2,APS$4),Table1[],(MATCH(Calendar!$A18,DB!$1:$1,0)),FALSE)&gt;=5,"Good","Bad"),VLOOKUP(DATE($K$1,$K$2,APS$4),Table1[],(MATCH(Calendar!$A18,DB!$1:$1,0)),FALSE)),"")</f>
        <v/>
      </c>
      <c r="APT18" s="28" t="str">
        <f>IFERROR(IF(AQC3="No",IF(VLOOKUP(DATE($K$1,$K$2,APT$4),Table1[],(MATCH(Calendar!$A18,DB!$1:$1,0)),FALSE)&gt;=5,"Good","Bad"),VLOOKUP(DATE($K$1,$K$2,APT$4),Table1[],(MATCH(Calendar!$A18,DB!$1:$1,0)),FALSE)),"")</f>
        <v/>
      </c>
      <c r="APU18" s="28" t="str">
        <f>IFERROR(IF(AQD3="No",IF(VLOOKUP(DATE($K$1,$K$2,APU$4),Table1[],(MATCH(Calendar!$A18,DB!$1:$1,0)),FALSE)&gt;=5,"Good","Bad"),VLOOKUP(DATE($K$1,$K$2,APU$4),Table1[],(MATCH(Calendar!$A18,DB!$1:$1,0)),FALSE)),"")</f>
        <v/>
      </c>
      <c r="APV18" s="28" t="str">
        <f>IFERROR(IF(AQE3="No",IF(VLOOKUP(DATE($K$1,$K$2,APV$4),Table1[],(MATCH(Calendar!$A18,DB!$1:$1,0)),FALSE)&gt;=5,"Good","Bad"),VLOOKUP(DATE($K$1,$K$2,APV$4),Table1[],(MATCH(Calendar!$A18,DB!$1:$1,0)),FALSE)),"")</f>
        <v/>
      </c>
      <c r="APW18" s="28" t="str">
        <f>IFERROR(IF(AQF3="No",IF(VLOOKUP(DATE($K$1,$K$2,APW$4),Table1[],(MATCH(Calendar!$A18,DB!$1:$1,0)),FALSE)&gt;=5,"Good","Bad"),VLOOKUP(DATE($K$1,$K$2,APW$4),Table1[],(MATCH(Calendar!$A18,DB!$1:$1,0)),FALSE)),"")</f>
        <v/>
      </c>
      <c r="APX18" s="28" t="str">
        <f>IFERROR(IF(AQG3="No",IF(VLOOKUP(DATE($K$1,$K$2,APX$4),Table1[],(MATCH(Calendar!$A18,DB!$1:$1,0)),FALSE)&gt;=5,"Good","Bad"),VLOOKUP(DATE($K$1,$K$2,APX$4),Table1[],(MATCH(Calendar!$A18,DB!$1:$1,0)),FALSE)),"")</f>
        <v/>
      </c>
      <c r="APY18" s="28" t="str">
        <f>IFERROR(IF(AQH3="No",IF(VLOOKUP(DATE($K$1,$K$2,APY$4),Table1[],(MATCH(Calendar!$A18,DB!$1:$1,0)),FALSE)&gt;=5,"Good","Bad"),VLOOKUP(DATE($K$1,$K$2,APY$4),Table1[],(MATCH(Calendar!$A18,DB!$1:$1,0)),FALSE)),"")</f>
        <v/>
      </c>
      <c r="APZ18" s="28" t="str">
        <f>IFERROR(IF(AQI3="No",IF(VLOOKUP(DATE($K$1,$K$2,APZ$4),Table1[],(MATCH(Calendar!$A18,DB!$1:$1,0)),FALSE)&gt;=5,"Good","Bad"),VLOOKUP(DATE($K$1,$K$2,APZ$4),Table1[],(MATCH(Calendar!$A18,DB!$1:$1,0)),FALSE)),"")</f>
        <v/>
      </c>
      <c r="AQA18" s="28" t="str">
        <f>IFERROR(IF(AQJ3="No",IF(VLOOKUP(DATE($K$1,$K$2,AQA$4),Table1[],(MATCH(Calendar!$A18,DB!$1:$1,0)),FALSE)&gt;=5,"Good","Bad"),VLOOKUP(DATE($K$1,$K$2,AQA$4),Table1[],(MATCH(Calendar!$A18,DB!$1:$1,0)),FALSE)),"")</f>
        <v/>
      </c>
      <c r="AQB18" s="28" t="str">
        <f>IFERROR(IF(AQK3="No",IF(VLOOKUP(DATE($K$1,$K$2,AQB$4),Table1[],(MATCH(Calendar!$A18,DB!$1:$1,0)),FALSE)&gt;=5,"Good","Bad"),VLOOKUP(DATE($K$1,$K$2,AQB$4),Table1[],(MATCH(Calendar!$A18,DB!$1:$1,0)),FALSE)),"")</f>
        <v/>
      </c>
      <c r="AQC18" s="28" t="str">
        <f>IFERROR(IF(AQL3="No",IF(VLOOKUP(DATE($K$1,$K$2,AQC$4),Table1[],(MATCH(Calendar!$A18,DB!$1:$1,0)),FALSE)&gt;=5,"Good","Bad"),VLOOKUP(DATE($K$1,$K$2,AQC$4),Table1[],(MATCH(Calendar!$A18,DB!$1:$1,0)),FALSE)),"")</f>
        <v/>
      </c>
      <c r="AQD18" s="28" t="str">
        <f>IFERROR(IF(AQM3="No",IF(VLOOKUP(DATE($K$1,$K$2,AQD$4),Table1[],(MATCH(Calendar!$A18,DB!$1:$1,0)),FALSE)&gt;=5,"Good","Bad"),VLOOKUP(DATE($K$1,$K$2,AQD$4),Table1[],(MATCH(Calendar!$A18,DB!$1:$1,0)),FALSE)),"")</f>
        <v/>
      </c>
      <c r="AQE18" s="28" t="str">
        <f>IFERROR(IF(AQN3="No",IF(VLOOKUP(DATE($K$1,$K$2,AQE$4),Table1[],(MATCH(Calendar!$A18,DB!$1:$1,0)),FALSE)&gt;=5,"Good","Bad"),VLOOKUP(DATE($K$1,$K$2,AQE$4),Table1[],(MATCH(Calendar!$A18,DB!$1:$1,0)),FALSE)),"")</f>
        <v/>
      </c>
      <c r="AQF18" s="28" t="str">
        <f>IFERROR(IF(AQO3="No",IF(VLOOKUP(DATE($K$1,$K$2,AQF$4),Table1[],(MATCH(Calendar!$A18,DB!$1:$1,0)),FALSE)&gt;=5,"Good","Bad"),VLOOKUP(DATE($K$1,$K$2,AQF$4),Table1[],(MATCH(Calendar!$A18,DB!$1:$1,0)),FALSE)),"")</f>
        <v/>
      </c>
      <c r="AQG18" s="28" t="str">
        <f>IFERROR(IF(AQP3="No",IF(VLOOKUP(DATE($K$1,$K$2,AQG$4),Table1[],(MATCH(Calendar!$A18,DB!$1:$1,0)),FALSE)&gt;=5,"Good","Bad"),VLOOKUP(DATE($K$1,$K$2,AQG$4),Table1[],(MATCH(Calendar!$A18,DB!$1:$1,0)),FALSE)),"")</f>
        <v/>
      </c>
      <c r="AQH18" s="28" t="str">
        <f>IFERROR(IF(AQQ3="No",IF(VLOOKUP(DATE($K$1,$K$2,AQH$4),Table1[],(MATCH(Calendar!$A18,DB!$1:$1,0)),FALSE)&gt;=5,"Good","Bad"),VLOOKUP(DATE($K$1,$K$2,AQH$4),Table1[],(MATCH(Calendar!$A18,DB!$1:$1,0)),FALSE)),"")</f>
        <v/>
      </c>
      <c r="AQI18" s="28" t="str">
        <f>IFERROR(IF(AQR3="No",IF(VLOOKUP(DATE($K$1,$K$2,AQI$4),Table1[],(MATCH(Calendar!$A18,DB!$1:$1,0)),FALSE)&gt;=5,"Good","Bad"),VLOOKUP(DATE($K$1,$K$2,AQI$4),Table1[],(MATCH(Calendar!$A18,DB!$1:$1,0)),FALSE)),"")</f>
        <v/>
      </c>
      <c r="AQJ18" s="28" t="str">
        <f>IFERROR(IF(AQS3="No",IF(VLOOKUP(DATE($K$1,$K$2,AQJ$4),Table1[],(MATCH(Calendar!$A18,DB!$1:$1,0)),FALSE)&gt;=5,"Good","Bad"),VLOOKUP(DATE($K$1,$K$2,AQJ$4),Table1[],(MATCH(Calendar!$A18,DB!$1:$1,0)),FALSE)),"")</f>
        <v/>
      </c>
      <c r="AQK18" s="28" t="str">
        <f>IFERROR(IF(AQT3="No",IF(VLOOKUP(DATE($K$1,$K$2,AQK$4),Table1[],(MATCH(Calendar!$A18,DB!$1:$1,0)),FALSE)&gt;=5,"Good","Bad"),VLOOKUP(DATE($K$1,$K$2,AQK$4),Table1[],(MATCH(Calendar!$A18,DB!$1:$1,0)),FALSE)),"")</f>
        <v/>
      </c>
      <c r="AQL18" s="28" t="str">
        <f>IFERROR(IF(AQU3="No",IF(VLOOKUP(DATE($K$1,$K$2,AQL$4),Table1[],(MATCH(Calendar!$A18,DB!$1:$1,0)),FALSE)&gt;=5,"Good","Bad"),VLOOKUP(DATE($K$1,$K$2,AQL$4),Table1[],(MATCH(Calendar!$A18,DB!$1:$1,0)),FALSE)),"")</f>
        <v/>
      </c>
      <c r="AQM18" s="28" t="str">
        <f>IFERROR(IF(AQV3="No",IF(VLOOKUP(DATE($K$1,$K$2,AQM$4),Table1[],(MATCH(Calendar!$A18,DB!$1:$1,0)),FALSE)&gt;=5,"Good","Bad"),VLOOKUP(DATE($K$1,$K$2,AQM$4),Table1[],(MATCH(Calendar!$A18,DB!$1:$1,0)),FALSE)),"")</f>
        <v/>
      </c>
      <c r="AQN18" s="28" t="str">
        <f>IFERROR(IF(AQW3="No",IF(VLOOKUP(DATE($K$1,$K$2,AQN$4),Table1[],(MATCH(Calendar!$A18,DB!$1:$1,0)),FALSE)&gt;=5,"Good","Bad"),VLOOKUP(DATE($K$1,$K$2,AQN$4),Table1[],(MATCH(Calendar!$A18,DB!$1:$1,0)),FALSE)),"")</f>
        <v/>
      </c>
      <c r="AQO18" s="28" t="str">
        <f>IFERROR(IF(AQX3="No",IF(VLOOKUP(DATE($K$1,$K$2,AQO$4),Table1[],(MATCH(Calendar!$A18,DB!$1:$1,0)),FALSE)&gt;=5,"Good","Bad"),VLOOKUP(DATE($K$1,$K$2,AQO$4),Table1[],(MATCH(Calendar!$A18,DB!$1:$1,0)),FALSE)),"")</f>
        <v/>
      </c>
      <c r="AQP18" s="28" t="str">
        <f>IFERROR(IF(AQY3="No",IF(VLOOKUP(DATE($K$1,$K$2,AQP$4),Table1[],(MATCH(Calendar!$A18,DB!$1:$1,0)),FALSE)&gt;=5,"Good","Bad"),VLOOKUP(DATE($K$1,$K$2,AQP$4),Table1[],(MATCH(Calendar!$A18,DB!$1:$1,0)),FALSE)),"")</f>
        <v/>
      </c>
      <c r="AQQ18" s="28" t="str">
        <f>IFERROR(IF(AQZ3="No",IF(VLOOKUP(DATE($K$1,$K$2,AQQ$4),Table1[],(MATCH(Calendar!$A18,DB!$1:$1,0)),FALSE)&gt;=5,"Good","Bad"),VLOOKUP(DATE($K$1,$K$2,AQQ$4),Table1[],(MATCH(Calendar!$A18,DB!$1:$1,0)),FALSE)),"")</f>
        <v/>
      </c>
      <c r="AQR18" s="28" t="str">
        <f>IFERROR(IF(ARA3="No",IF(VLOOKUP(DATE($K$1,$K$2,AQR$4),Table1[],(MATCH(Calendar!$A18,DB!$1:$1,0)),FALSE)&gt;=5,"Good","Bad"),VLOOKUP(DATE($K$1,$K$2,AQR$4),Table1[],(MATCH(Calendar!$A18,DB!$1:$1,0)),FALSE)),"")</f>
        <v/>
      </c>
      <c r="AQS18" s="28" t="str">
        <f>IFERROR(IF(ARB3="No",IF(VLOOKUP(DATE($K$1,$K$2,AQS$4),Table1[],(MATCH(Calendar!$A18,DB!$1:$1,0)),FALSE)&gt;=5,"Good","Bad"),VLOOKUP(DATE($K$1,$K$2,AQS$4),Table1[],(MATCH(Calendar!$A18,DB!$1:$1,0)),FALSE)),"")</f>
        <v/>
      </c>
      <c r="AQT18" s="28" t="str">
        <f>IFERROR(IF(ARC3="No",IF(VLOOKUP(DATE($K$1,$K$2,AQT$4),Table1[],(MATCH(Calendar!$A18,DB!$1:$1,0)),FALSE)&gt;=5,"Good","Bad"),VLOOKUP(DATE($K$1,$K$2,AQT$4),Table1[],(MATCH(Calendar!$A18,DB!$1:$1,0)),FALSE)),"")</f>
        <v/>
      </c>
      <c r="AQU18" s="28" t="str">
        <f>IFERROR(IF(ARD3="No",IF(VLOOKUP(DATE($K$1,$K$2,AQU$4),Table1[],(MATCH(Calendar!$A18,DB!$1:$1,0)),FALSE)&gt;=5,"Good","Bad"),VLOOKUP(DATE($K$1,$K$2,AQU$4),Table1[],(MATCH(Calendar!$A18,DB!$1:$1,0)),FALSE)),"")</f>
        <v/>
      </c>
      <c r="AQV18" s="28" t="str">
        <f>IFERROR(IF(ARE3="No",IF(VLOOKUP(DATE($K$1,$K$2,AQV$4),Table1[],(MATCH(Calendar!$A18,DB!$1:$1,0)),FALSE)&gt;=5,"Good","Bad"),VLOOKUP(DATE($K$1,$K$2,AQV$4),Table1[],(MATCH(Calendar!$A18,DB!$1:$1,0)),FALSE)),"")</f>
        <v/>
      </c>
      <c r="AQW18" s="28" t="str">
        <f>IFERROR(IF(ARF3="No",IF(VLOOKUP(DATE($K$1,$K$2,AQW$4),Table1[],(MATCH(Calendar!$A18,DB!$1:$1,0)),FALSE)&gt;=5,"Good","Bad"),VLOOKUP(DATE($K$1,$K$2,AQW$4),Table1[],(MATCH(Calendar!$A18,DB!$1:$1,0)),FALSE)),"")</f>
        <v/>
      </c>
      <c r="AQX18" s="28" t="str">
        <f>IFERROR(IF(ARG3="No",IF(VLOOKUP(DATE($K$1,$K$2,AQX$4),Table1[],(MATCH(Calendar!$A18,DB!$1:$1,0)),FALSE)&gt;=5,"Good","Bad"),VLOOKUP(DATE($K$1,$K$2,AQX$4),Table1[],(MATCH(Calendar!$A18,DB!$1:$1,0)),FALSE)),"")</f>
        <v/>
      </c>
      <c r="AQY18" s="28" t="str">
        <f>IFERROR(IF(ARH3="No",IF(VLOOKUP(DATE($K$1,$K$2,AQY$4),Table1[],(MATCH(Calendar!$A18,DB!$1:$1,0)),FALSE)&gt;=5,"Good","Bad"),VLOOKUP(DATE($K$1,$K$2,AQY$4),Table1[],(MATCH(Calendar!$A18,DB!$1:$1,0)),FALSE)),"")</f>
        <v/>
      </c>
      <c r="AQZ18" s="28" t="str">
        <f>IFERROR(IF(ARI3="No",IF(VLOOKUP(DATE($K$1,$K$2,AQZ$4),Table1[],(MATCH(Calendar!$A18,DB!$1:$1,0)),FALSE)&gt;=5,"Good","Bad"),VLOOKUP(DATE($K$1,$K$2,AQZ$4),Table1[],(MATCH(Calendar!$A18,DB!$1:$1,0)),FALSE)),"")</f>
        <v/>
      </c>
      <c r="ARA18" s="28" t="str">
        <f>IFERROR(IF(ARJ3="No",IF(VLOOKUP(DATE($K$1,$K$2,ARA$4),Table1[],(MATCH(Calendar!$A18,DB!$1:$1,0)),FALSE)&gt;=5,"Good","Bad"),VLOOKUP(DATE($K$1,$K$2,ARA$4),Table1[],(MATCH(Calendar!$A18,DB!$1:$1,0)),FALSE)),"")</f>
        <v/>
      </c>
      <c r="ARB18" s="28" t="str">
        <f>IFERROR(IF(ARK3="No",IF(VLOOKUP(DATE($K$1,$K$2,ARB$4),Table1[],(MATCH(Calendar!$A18,DB!$1:$1,0)),FALSE)&gt;=5,"Good","Bad"),VLOOKUP(DATE($K$1,$K$2,ARB$4),Table1[],(MATCH(Calendar!$A18,DB!$1:$1,0)),FALSE)),"")</f>
        <v/>
      </c>
      <c r="ARC18" s="28" t="str">
        <f>IFERROR(IF(ARL3="No",IF(VLOOKUP(DATE($K$1,$K$2,ARC$4),Table1[],(MATCH(Calendar!$A18,DB!$1:$1,0)),FALSE)&gt;=5,"Good","Bad"),VLOOKUP(DATE($K$1,$K$2,ARC$4),Table1[],(MATCH(Calendar!$A18,DB!$1:$1,0)),FALSE)),"")</f>
        <v/>
      </c>
      <c r="ARD18" s="28" t="str">
        <f>IFERROR(IF(ARM3="No",IF(VLOOKUP(DATE($K$1,$K$2,ARD$4),Table1[],(MATCH(Calendar!$A18,DB!$1:$1,0)),FALSE)&gt;=5,"Good","Bad"),VLOOKUP(DATE($K$1,$K$2,ARD$4),Table1[],(MATCH(Calendar!$A18,DB!$1:$1,0)),FALSE)),"")</f>
        <v/>
      </c>
      <c r="ARE18" s="28" t="str">
        <f>IFERROR(IF(ARN3="No",IF(VLOOKUP(DATE($K$1,$K$2,ARE$4),Table1[],(MATCH(Calendar!$A18,DB!$1:$1,0)),FALSE)&gt;=5,"Good","Bad"),VLOOKUP(DATE($K$1,$K$2,ARE$4),Table1[],(MATCH(Calendar!$A18,DB!$1:$1,0)),FALSE)),"")</f>
        <v/>
      </c>
      <c r="ARF18" s="28" t="str">
        <f>IFERROR(IF(ARO3="No",IF(VLOOKUP(DATE($K$1,$K$2,ARF$4),Table1[],(MATCH(Calendar!$A18,DB!$1:$1,0)),FALSE)&gt;=5,"Good","Bad"),VLOOKUP(DATE($K$1,$K$2,ARF$4),Table1[],(MATCH(Calendar!$A18,DB!$1:$1,0)),FALSE)),"")</f>
        <v/>
      </c>
      <c r="ARG18" s="28" t="str">
        <f>IFERROR(IF(ARP3="No",IF(VLOOKUP(DATE($K$1,$K$2,ARG$4),Table1[],(MATCH(Calendar!$A18,DB!$1:$1,0)),FALSE)&gt;=5,"Good","Bad"),VLOOKUP(DATE($K$1,$K$2,ARG$4),Table1[],(MATCH(Calendar!$A18,DB!$1:$1,0)),FALSE)),"")</f>
        <v/>
      </c>
      <c r="ARH18" s="28" t="str">
        <f>IFERROR(IF(ARQ3="No",IF(VLOOKUP(DATE($K$1,$K$2,ARH$4),Table1[],(MATCH(Calendar!$A18,DB!$1:$1,0)),FALSE)&gt;=5,"Good","Bad"),VLOOKUP(DATE($K$1,$K$2,ARH$4),Table1[],(MATCH(Calendar!$A18,DB!$1:$1,0)),FALSE)),"")</f>
        <v/>
      </c>
      <c r="ARI18" s="28" t="str">
        <f>IFERROR(IF(ARR3="No",IF(VLOOKUP(DATE($K$1,$K$2,ARI$4),Table1[],(MATCH(Calendar!$A18,DB!$1:$1,0)),FALSE)&gt;=5,"Good","Bad"),VLOOKUP(DATE($K$1,$K$2,ARI$4),Table1[],(MATCH(Calendar!$A18,DB!$1:$1,0)),FALSE)),"")</f>
        <v/>
      </c>
      <c r="ARJ18" s="28" t="str">
        <f>IFERROR(IF(ARS3="No",IF(VLOOKUP(DATE($K$1,$K$2,ARJ$4),Table1[],(MATCH(Calendar!$A18,DB!$1:$1,0)),FALSE)&gt;=5,"Good","Bad"),VLOOKUP(DATE($K$1,$K$2,ARJ$4),Table1[],(MATCH(Calendar!$A18,DB!$1:$1,0)),FALSE)),"")</f>
        <v/>
      </c>
      <c r="ARK18" s="28" t="str">
        <f>IFERROR(IF(ART3="No",IF(VLOOKUP(DATE($K$1,$K$2,ARK$4),Table1[],(MATCH(Calendar!$A18,DB!$1:$1,0)),FALSE)&gt;=5,"Good","Bad"),VLOOKUP(DATE($K$1,$K$2,ARK$4),Table1[],(MATCH(Calendar!$A18,DB!$1:$1,0)),FALSE)),"")</f>
        <v/>
      </c>
      <c r="ARL18" s="28" t="str">
        <f>IFERROR(IF(ARU3="No",IF(VLOOKUP(DATE($K$1,$K$2,ARL$4),Table1[],(MATCH(Calendar!$A18,DB!$1:$1,0)),FALSE)&gt;=5,"Good","Bad"),VLOOKUP(DATE($K$1,$K$2,ARL$4),Table1[],(MATCH(Calendar!$A18,DB!$1:$1,0)),FALSE)),"")</f>
        <v/>
      </c>
      <c r="ARM18" s="28" t="str">
        <f>IFERROR(IF(ARV3="No",IF(VLOOKUP(DATE($K$1,$K$2,ARM$4),Table1[],(MATCH(Calendar!$A18,DB!$1:$1,0)),FALSE)&gt;=5,"Good","Bad"),VLOOKUP(DATE($K$1,$K$2,ARM$4),Table1[],(MATCH(Calendar!$A18,DB!$1:$1,0)),FALSE)),"")</f>
        <v/>
      </c>
      <c r="ARN18" s="28" t="str">
        <f>IFERROR(IF(ARW3="No",IF(VLOOKUP(DATE($K$1,$K$2,ARN$4),Table1[],(MATCH(Calendar!$A18,DB!$1:$1,0)),FALSE)&gt;=5,"Good","Bad"),VLOOKUP(DATE($K$1,$K$2,ARN$4),Table1[],(MATCH(Calendar!$A18,DB!$1:$1,0)),FALSE)),"")</f>
        <v/>
      </c>
      <c r="ARO18" s="28" t="str">
        <f>IFERROR(IF(ARX3="No",IF(VLOOKUP(DATE($K$1,$K$2,ARO$4),Table1[],(MATCH(Calendar!$A18,DB!$1:$1,0)),FALSE)&gt;=5,"Good","Bad"),VLOOKUP(DATE($K$1,$K$2,ARO$4),Table1[],(MATCH(Calendar!$A18,DB!$1:$1,0)),FALSE)),"")</f>
        <v/>
      </c>
      <c r="ARP18" s="28" t="str">
        <f>IFERROR(IF(ARY3="No",IF(VLOOKUP(DATE($K$1,$K$2,ARP$4),Table1[],(MATCH(Calendar!$A18,DB!$1:$1,0)),FALSE)&gt;=5,"Good","Bad"),VLOOKUP(DATE($K$1,$K$2,ARP$4),Table1[],(MATCH(Calendar!$A18,DB!$1:$1,0)),FALSE)),"")</f>
        <v/>
      </c>
      <c r="ARQ18" s="28" t="str">
        <f>IFERROR(IF(ARZ3="No",IF(VLOOKUP(DATE($K$1,$K$2,ARQ$4),Table1[],(MATCH(Calendar!$A18,DB!$1:$1,0)),FALSE)&gt;=5,"Good","Bad"),VLOOKUP(DATE($K$1,$K$2,ARQ$4),Table1[],(MATCH(Calendar!$A18,DB!$1:$1,0)),FALSE)),"")</f>
        <v/>
      </c>
      <c r="ARR18" s="28" t="str">
        <f>IFERROR(IF(ASA3="No",IF(VLOOKUP(DATE($K$1,$K$2,ARR$4),Table1[],(MATCH(Calendar!$A18,DB!$1:$1,0)),FALSE)&gt;=5,"Good","Bad"),VLOOKUP(DATE($K$1,$K$2,ARR$4),Table1[],(MATCH(Calendar!$A18,DB!$1:$1,0)),FALSE)),"")</f>
        <v/>
      </c>
      <c r="ARS18" s="28" t="str">
        <f>IFERROR(IF(ASB3="No",IF(VLOOKUP(DATE($K$1,$K$2,ARS$4),Table1[],(MATCH(Calendar!$A18,DB!$1:$1,0)),FALSE)&gt;=5,"Good","Bad"),VLOOKUP(DATE($K$1,$K$2,ARS$4),Table1[],(MATCH(Calendar!$A18,DB!$1:$1,0)),FALSE)),"")</f>
        <v/>
      </c>
      <c r="ART18" s="28" t="str">
        <f>IFERROR(IF(ASC3="No",IF(VLOOKUP(DATE($K$1,$K$2,ART$4),Table1[],(MATCH(Calendar!$A18,DB!$1:$1,0)),FALSE)&gt;=5,"Good","Bad"),VLOOKUP(DATE($K$1,$K$2,ART$4),Table1[],(MATCH(Calendar!$A18,DB!$1:$1,0)),FALSE)),"")</f>
        <v/>
      </c>
      <c r="ARU18" s="28" t="str">
        <f>IFERROR(IF(ASD3="No",IF(VLOOKUP(DATE($K$1,$K$2,ARU$4),Table1[],(MATCH(Calendar!$A18,DB!$1:$1,0)),FALSE)&gt;=5,"Good","Bad"),VLOOKUP(DATE($K$1,$K$2,ARU$4),Table1[],(MATCH(Calendar!$A18,DB!$1:$1,0)),FALSE)),"")</f>
        <v/>
      </c>
      <c r="ARV18" s="28" t="str">
        <f>IFERROR(IF(ASE3="No",IF(VLOOKUP(DATE($K$1,$K$2,ARV$4),Table1[],(MATCH(Calendar!$A18,DB!$1:$1,0)),FALSE)&gt;=5,"Good","Bad"),VLOOKUP(DATE($K$1,$K$2,ARV$4),Table1[],(MATCH(Calendar!$A18,DB!$1:$1,0)),FALSE)),"")</f>
        <v/>
      </c>
      <c r="ARW18" s="28" t="str">
        <f>IFERROR(IF(ASF3="No",IF(VLOOKUP(DATE($K$1,$K$2,ARW$4),Table1[],(MATCH(Calendar!$A18,DB!$1:$1,0)),FALSE)&gt;=5,"Good","Bad"),VLOOKUP(DATE($K$1,$K$2,ARW$4),Table1[],(MATCH(Calendar!$A18,DB!$1:$1,0)),FALSE)),"")</f>
        <v/>
      </c>
      <c r="ARX18" s="28" t="str">
        <f>IFERROR(IF(ASG3="No",IF(VLOOKUP(DATE($K$1,$K$2,ARX$4),Table1[],(MATCH(Calendar!$A18,DB!$1:$1,0)),FALSE)&gt;=5,"Good","Bad"),VLOOKUP(DATE($K$1,$K$2,ARX$4),Table1[],(MATCH(Calendar!$A18,DB!$1:$1,0)),FALSE)),"")</f>
        <v/>
      </c>
      <c r="ARY18" s="28" t="str">
        <f>IFERROR(IF(ASH3="No",IF(VLOOKUP(DATE($K$1,$K$2,ARY$4),Table1[],(MATCH(Calendar!$A18,DB!$1:$1,0)),FALSE)&gt;=5,"Good","Bad"),VLOOKUP(DATE($K$1,$K$2,ARY$4),Table1[],(MATCH(Calendar!$A18,DB!$1:$1,0)),FALSE)),"")</f>
        <v/>
      </c>
      <c r="ARZ18" s="28" t="str">
        <f>IFERROR(IF(ASI3="No",IF(VLOOKUP(DATE($K$1,$K$2,ARZ$4),Table1[],(MATCH(Calendar!$A18,DB!$1:$1,0)),FALSE)&gt;=5,"Good","Bad"),VLOOKUP(DATE($K$1,$K$2,ARZ$4),Table1[],(MATCH(Calendar!$A18,DB!$1:$1,0)),FALSE)),"")</f>
        <v/>
      </c>
      <c r="ASA18" s="28" t="str">
        <f>IFERROR(IF(ASJ3="No",IF(VLOOKUP(DATE($K$1,$K$2,ASA$4),Table1[],(MATCH(Calendar!$A18,DB!$1:$1,0)),FALSE)&gt;=5,"Good","Bad"),VLOOKUP(DATE($K$1,$K$2,ASA$4),Table1[],(MATCH(Calendar!$A18,DB!$1:$1,0)),FALSE)),"")</f>
        <v/>
      </c>
      <c r="ASB18" s="28" t="str">
        <f>IFERROR(IF(ASK3="No",IF(VLOOKUP(DATE($K$1,$K$2,ASB$4),Table1[],(MATCH(Calendar!$A18,DB!$1:$1,0)),FALSE)&gt;=5,"Good","Bad"),VLOOKUP(DATE($K$1,$K$2,ASB$4),Table1[],(MATCH(Calendar!$A18,DB!$1:$1,0)),FALSE)),"")</f>
        <v/>
      </c>
      <c r="ASC18" s="28" t="str">
        <f>IFERROR(IF(ASL3="No",IF(VLOOKUP(DATE($K$1,$K$2,ASC$4),Table1[],(MATCH(Calendar!$A18,DB!$1:$1,0)),FALSE)&gt;=5,"Good","Bad"),VLOOKUP(DATE($K$1,$K$2,ASC$4),Table1[],(MATCH(Calendar!$A18,DB!$1:$1,0)),FALSE)),"")</f>
        <v/>
      </c>
      <c r="ASD18" s="28" t="str">
        <f>IFERROR(IF(ASM3="No",IF(VLOOKUP(DATE($K$1,$K$2,ASD$4),Table1[],(MATCH(Calendar!$A18,DB!$1:$1,0)),FALSE)&gt;=5,"Good","Bad"),VLOOKUP(DATE($K$1,$K$2,ASD$4),Table1[],(MATCH(Calendar!$A18,DB!$1:$1,0)),FALSE)),"")</f>
        <v/>
      </c>
      <c r="ASE18" s="28" t="str">
        <f>IFERROR(IF(ASN3="No",IF(VLOOKUP(DATE($K$1,$K$2,ASE$4),Table1[],(MATCH(Calendar!$A18,DB!$1:$1,0)),FALSE)&gt;=5,"Good","Bad"),VLOOKUP(DATE($K$1,$K$2,ASE$4),Table1[],(MATCH(Calendar!$A18,DB!$1:$1,0)),FALSE)),"")</f>
        <v/>
      </c>
      <c r="ASF18" s="28" t="str">
        <f>IFERROR(IF(ASO3="No",IF(VLOOKUP(DATE($K$1,$K$2,ASF$4),Table1[],(MATCH(Calendar!$A18,DB!$1:$1,0)),FALSE)&gt;=5,"Good","Bad"),VLOOKUP(DATE($K$1,$K$2,ASF$4),Table1[],(MATCH(Calendar!$A18,DB!$1:$1,0)),FALSE)),"")</f>
        <v/>
      </c>
      <c r="ASG18" s="28" t="str">
        <f>IFERROR(IF(ASP3="No",IF(VLOOKUP(DATE($K$1,$K$2,ASG$4),Table1[],(MATCH(Calendar!$A18,DB!$1:$1,0)),FALSE)&gt;=5,"Good","Bad"),VLOOKUP(DATE($K$1,$K$2,ASG$4),Table1[],(MATCH(Calendar!$A18,DB!$1:$1,0)),FALSE)),"")</f>
        <v/>
      </c>
      <c r="ASH18" s="28" t="str">
        <f>IFERROR(IF(ASQ3="No",IF(VLOOKUP(DATE($K$1,$K$2,ASH$4),Table1[],(MATCH(Calendar!$A18,DB!$1:$1,0)),FALSE)&gt;=5,"Good","Bad"),VLOOKUP(DATE($K$1,$K$2,ASH$4),Table1[],(MATCH(Calendar!$A18,DB!$1:$1,0)),FALSE)),"")</f>
        <v/>
      </c>
      <c r="ASI18" s="28" t="str">
        <f>IFERROR(IF(ASR3="No",IF(VLOOKUP(DATE($K$1,$K$2,ASI$4),Table1[],(MATCH(Calendar!$A18,DB!$1:$1,0)),FALSE)&gt;=5,"Good","Bad"),VLOOKUP(DATE($K$1,$K$2,ASI$4),Table1[],(MATCH(Calendar!$A18,DB!$1:$1,0)),FALSE)),"")</f>
        <v/>
      </c>
      <c r="ASJ18" s="28" t="str">
        <f>IFERROR(IF(ASS3="No",IF(VLOOKUP(DATE($K$1,$K$2,ASJ$4),Table1[],(MATCH(Calendar!$A18,DB!$1:$1,0)),FALSE)&gt;=5,"Good","Bad"),VLOOKUP(DATE($K$1,$K$2,ASJ$4),Table1[],(MATCH(Calendar!$A18,DB!$1:$1,0)),FALSE)),"")</f>
        <v/>
      </c>
      <c r="ASK18" s="28" t="str">
        <f>IFERROR(IF(AST3="No",IF(VLOOKUP(DATE($K$1,$K$2,ASK$4),Table1[],(MATCH(Calendar!$A18,DB!$1:$1,0)),FALSE)&gt;=5,"Good","Bad"),VLOOKUP(DATE($K$1,$K$2,ASK$4),Table1[],(MATCH(Calendar!$A18,DB!$1:$1,0)),FALSE)),"")</f>
        <v/>
      </c>
      <c r="ASL18" s="28" t="str">
        <f>IFERROR(IF(ASU3="No",IF(VLOOKUP(DATE($K$1,$K$2,ASL$4),Table1[],(MATCH(Calendar!$A18,DB!$1:$1,0)),FALSE)&gt;=5,"Good","Bad"),VLOOKUP(DATE($K$1,$K$2,ASL$4),Table1[],(MATCH(Calendar!$A18,DB!$1:$1,0)),FALSE)),"")</f>
        <v/>
      </c>
      <c r="ASM18" s="28" t="str">
        <f>IFERROR(IF(ASV3="No",IF(VLOOKUP(DATE($K$1,$K$2,ASM$4),Table1[],(MATCH(Calendar!$A18,DB!$1:$1,0)),FALSE)&gt;=5,"Good","Bad"),VLOOKUP(DATE($K$1,$K$2,ASM$4),Table1[],(MATCH(Calendar!$A18,DB!$1:$1,0)),FALSE)),"")</f>
        <v/>
      </c>
      <c r="ASN18" s="28" t="str">
        <f>IFERROR(IF(ASW3="No",IF(VLOOKUP(DATE($K$1,$K$2,ASN$4),Table1[],(MATCH(Calendar!$A18,DB!$1:$1,0)),FALSE)&gt;=5,"Good","Bad"),VLOOKUP(DATE($K$1,$K$2,ASN$4),Table1[],(MATCH(Calendar!$A18,DB!$1:$1,0)),FALSE)),"")</f>
        <v/>
      </c>
      <c r="ASO18" s="28" t="str">
        <f>IFERROR(IF(ASX3="No",IF(VLOOKUP(DATE($K$1,$K$2,ASO$4),Table1[],(MATCH(Calendar!$A18,DB!$1:$1,0)),FALSE)&gt;=5,"Good","Bad"),VLOOKUP(DATE($K$1,$K$2,ASO$4),Table1[],(MATCH(Calendar!$A18,DB!$1:$1,0)),FALSE)),"")</f>
        <v/>
      </c>
      <c r="ASP18" s="28" t="str">
        <f>IFERROR(IF(ASY3="No",IF(VLOOKUP(DATE($K$1,$K$2,ASP$4),Table1[],(MATCH(Calendar!$A18,DB!$1:$1,0)),FALSE)&gt;=5,"Good","Bad"),VLOOKUP(DATE($K$1,$K$2,ASP$4),Table1[],(MATCH(Calendar!$A18,DB!$1:$1,0)),FALSE)),"")</f>
        <v/>
      </c>
      <c r="ASQ18" s="28" t="str">
        <f>IFERROR(IF(ASZ3="No",IF(VLOOKUP(DATE($K$1,$K$2,ASQ$4),Table1[],(MATCH(Calendar!$A18,DB!$1:$1,0)),FALSE)&gt;=5,"Good","Bad"),VLOOKUP(DATE($K$1,$K$2,ASQ$4),Table1[],(MATCH(Calendar!$A18,DB!$1:$1,0)),FALSE)),"")</f>
        <v/>
      </c>
      <c r="ASR18" s="28" t="str">
        <f>IFERROR(IF(ATA3="No",IF(VLOOKUP(DATE($K$1,$K$2,ASR$4),Table1[],(MATCH(Calendar!$A18,DB!$1:$1,0)),FALSE)&gt;=5,"Good","Bad"),VLOOKUP(DATE($K$1,$K$2,ASR$4),Table1[],(MATCH(Calendar!$A18,DB!$1:$1,0)),FALSE)),"")</f>
        <v/>
      </c>
      <c r="ASS18" s="28" t="str">
        <f>IFERROR(IF(ATB3="No",IF(VLOOKUP(DATE($K$1,$K$2,ASS$4),Table1[],(MATCH(Calendar!$A18,DB!$1:$1,0)),FALSE)&gt;=5,"Good","Bad"),VLOOKUP(DATE($K$1,$K$2,ASS$4),Table1[],(MATCH(Calendar!$A18,DB!$1:$1,0)),FALSE)),"")</f>
        <v/>
      </c>
      <c r="AST18" s="28" t="str">
        <f>IFERROR(IF(ATC3="No",IF(VLOOKUP(DATE($K$1,$K$2,AST$4),Table1[],(MATCH(Calendar!$A18,DB!$1:$1,0)),FALSE)&gt;=5,"Good","Bad"),VLOOKUP(DATE($K$1,$K$2,AST$4),Table1[],(MATCH(Calendar!$A18,DB!$1:$1,0)),FALSE)),"")</f>
        <v/>
      </c>
      <c r="ASU18" s="28" t="str">
        <f>IFERROR(IF(ATD3="No",IF(VLOOKUP(DATE($K$1,$K$2,ASU$4),Table1[],(MATCH(Calendar!$A18,DB!$1:$1,0)),FALSE)&gt;=5,"Good","Bad"),VLOOKUP(DATE($K$1,$K$2,ASU$4),Table1[],(MATCH(Calendar!$A18,DB!$1:$1,0)),FALSE)),"")</f>
        <v/>
      </c>
      <c r="ASV18" s="28" t="str">
        <f>IFERROR(IF(ATE3="No",IF(VLOOKUP(DATE($K$1,$K$2,ASV$4),Table1[],(MATCH(Calendar!$A18,DB!$1:$1,0)),FALSE)&gt;=5,"Good","Bad"),VLOOKUP(DATE($K$1,$K$2,ASV$4),Table1[],(MATCH(Calendar!$A18,DB!$1:$1,0)),FALSE)),"")</f>
        <v/>
      </c>
      <c r="ASW18" s="28" t="str">
        <f>IFERROR(IF(ATF3="No",IF(VLOOKUP(DATE($K$1,$K$2,ASW$4),Table1[],(MATCH(Calendar!$A18,DB!$1:$1,0)),FALSE)&gt;=5,"Good","Bad"),VLOOKUP(DATE($K$1,$K$2,ASW$4),Table1[],(MATCH(Calendar!$A18,DB!$1:$1,0)),FALSE)),"")</f>
        <v/>
      </c>
      <c r="ASX18" s="28" t="str">
        <f>IFERROR(IF(ATG3="No",IF(VLOOKUP(DATE($K$1,$K$2,ASX$4),Table1[],(MATCH(Calendar!$A18,DB!$1:$1,0)),FALSE)&gt;=5,"Good","Bad"),VLOOKUP(DATE($K$1,$K$2,ASX$4),Table1[],(MATCH(Calendar!$A18,DB!$1:$1,0)),FALSE)),"")</f>
        <v/>
      </c>
      <c r="ASY18" s="28" t="str">
        <f>IFERROR(IF(ATH3="No",IF(VLOOKUP(DATE($K$1,$K$2,ASY$4),Table1[],(MATCH(Calendar!$A18,DB!$1:$1,0)),FALSE)&gt;=5,"Good","Bad"),VLOOKUP(DATE($K$1,$K$2,ASY$4),Table1[],(MATCH(Calendar!$A18,DB!$1:$1,0)),FALSE)),"")</f>
        <v/>
      </c>
      <c r="ASZ18" s="28" t="str">
        <f>IFERROR(IF(ATI3="No",IF(VLOOKUP(DATE($K$1,$K$2,ASZ$4),Table1[],(MATCH(Calendar!$A18,DB!$1:$1,0)),FALSE)&gt;=5,"Good","Bad"),VLOOKUP(DATE($K$1,$K$2,ASZ$4),Table1[],(MATCH(Calendar!$A18,DB!$1:$1,0)),FALSE)),"")</f>
        <v/>
      </c>
      <c r="ATA18" s="28" t="str">
        <f>IFERROR(IF(ATJ3="No",IF(VLOOKUP(DATE($K$1,$K$2,ATA$4),Table1[],(MATCH(Calendar!$A18,DB!$1:$1,0)),FALSE)&gt;=5,"Good","Bad"),VLOOKUP(DATE($K$1,$K$2,ATA$4),Table1[],(MATCH(Calendar!$A18,DB!$1:$1,0)),FALSE)),"")</f>
        <v/>
      </c>
      <c r="ATB18" s="28" t="str">
        <f>IFERROR(IF(ATK3="No",IF(VLOOKUP(DATE($K$1,$K$2,ATB$4),Table1[],(MATCH(Calendar!$A18,DB!$1:$1,0)),FALSE)&gt;=5,"Good","Bad"),VLOOKUP(DATE($K$1,$K$2,ATB$4),Table1[],(MATCH(Calendar!$A18,DB!$1:$1,0)),FALSE)),"")</f>
        <v/>
      </c>
      <c r="ATC18" s="28" t="str">
        <f>IFERROR(IF(ATL3="No",IF(VLOOKUP(DATE($K$1,$K$2,ATC$4),Table1[],(MATCH(Calendar!$A18,DB!$1:$1,0)),FALSE)&gt;=5,"Good","Bad"),VLOOKUP(DATE($K$1,$K$2,ATC$4),Table1[],(MATCH(Calendar!$A18,DB!$1:$1,0)),FALSE)),"")</f>
        <v/>
      </c>
      <c r="ATD18" s="28" t="str">
        <f>IFERROR(IF(ATM3="No",IF(VLOOKUP(DATE($K$1,$K$2,ATD$4),Table1[],(MATCH(Calendar!$A18,DB!$1:$1,0)),FALSE)&gt;=5,"Good","Bad"),VLOOKUP(DATE($K$1,$K$2,ATD$4),Table1[],(MATCH(Calendar!$A18,DB!$1:$1,0)),FALSE)),"")</f>
        <v/>
      </c>
      <c r="ATE18" s="28" t="str">
        <f>IFERROR(IF(ATN3="No",IF(VLOOKUP(DATE($K$1,$K$2,ATE$4),Table1[],(MATCH(Calendar!$A18,DB!$1:$1,0)),FALSE)&gt;=5,"Good","Bad"),VLOOKUP(DATE($K$1,$K$2,ATE$4),Table1[],(MATCH(Calendar!$A18,DB!$1:$1,0)),FALSE)),"")</f>
        <v/>
      </c>
      <c r="ATF18" s="28" t="str">
        <f>IFERROR(IF(ATO3="No",IF(VLOOKUP(DATE($K$1,$K$2,ATF$4),Table1[],(MATCH(Calendar!$A18,DB!$1:$1,0)),FALSE)&gt;=5,"Good","Bad"),VLOOKUP(DATE($K$1,$K$2,ATF$4),Table1[],(MATCH(Calendar!$A18,DB!$1:$1,0)),FALSE)),"")</f>
        <v/>
      </c>
      <c r="ATG18" s="28" t="str">
        <f>IFERROR(IF(ATP3="No",IF(VLOOKUP(DATE($K$1,$K$2,ATG$4),Table1[],(MATCH(Calendar!$A18,DB!$1:$1,0)),FALSE)&gt;=5,"Good","Bad"),VLOOKUP(DATE($K$1,$K$2,ATG$4),Table1[],(MATCH(Calendar!$A18,DB!$1:$1,0)),FALSE)),"")</f>
        <v/>
      </c>
      <c r="ATH18" s="28" t="str">
        <f>IFERROR(IF(ATQ3="No",IF(VLOOKUP(DATE($K$1,$K$2,ATH$4),Table1[],(MATCH(Calendar!$A18,DB!$1:$1,0)),FALSE)&gt;=5,"Good","Bad"),VLOOKUP(DATE($K$1,$K$2,ATH$4),Table1[],(MATCH(Calendar!$A18,DB!$1:$1,0)),FALSE)),"")</f>
        <v/>
      </c>
      <c r="ATI18" s="28" t="str">
        <f>IFERROR(IF(ATR3="No",IF(VLOOKUP(DATE($K$1,$K$2,ATI$4),Table1[],(MATCH(Calendar!$A18,DB!$1:$1,0)),FALSE)&gt;=5,"Good","Bad"),VLOOKUP(DATE($K$1,$K$2,ATI$4),Table1[],(MATCH(Calendar!$A18,DB!$1:$1,0)),FALSE)),"")</f>
        <v/>
      </c>
      <c r="ATJ18" s="28" t="str">
        <f>IFERROR(IF(ATS3="No",IF(VLOOKUP(DATE($K$1,$K$2,ATJ$4),Table1[],(MATCH(Calendar!$A18,DB!$1:$1,0)),FALSE)&gt;=5,"Good","Bad"),VLOOKUP(DATE($K$1,$K$2,ATJ$4),Table1[],(MATCH(Calendar!$A18,DB!$1:$1,0)),FALSE)),"")</f>
        <v/>
      </c>
      <c r="ATK18" s="28" t="str">
        <f>IFERROR(IF(ATT3="No",IF(VLOOKUP(DATE($K$1,$K$2,ATK$4),Table1[],(MATCH(Calendar!$A18,DB!$1:$1,0)),FALSE)&gt;=5,"Good","Bad"),VLOOKUP(DATE($K$1,$K$2,ATK$4),Table1[],(MATCH(Calendar!$A18,DB!$1:$1,0)),FALSE)),"")</f>
        <v/>
      </c>
      <c r="ATL18" s="28" t="str">
        <f>IFERROR(IF(ATU3="No",IF(VLOOKUP(DATE($K$1,$K$2,ATL$4),Table1[],(MATCH(Calendar!$A18,DB!$1:$1,0)),FALSE)&gt;=5,"Good","Bad"),VLOOKUP(DATE($K$1,$K$2,ATL$4),Table1[],(MATCH(Calendar!$A18,DB!$1:$1,0)),FALSE)),"")</f>
        <v/>
      </c>
      <c r="ATM18" s="28" t="str">
        <f>IFERROR(IF(ATV3="No",IF(VLOOKUP(DATE($K$1,$K$2,ATM$4),Table1[],(MATCH(Calendar!$A18,DB!$1:$1,0)),FALSE)&gt;=5,"Good","Bad"),VLOOKUP(DATE($K$1,$K$2,ATM$4),Table1[],(MATCH(Calendar!$A18,DB!$1:$1,0)),FALSE)),"")</f>
        <v/>
      </c>
      <c r="ATN18" s="28" t="str">
        <f>IFERROR(IF(ATW3="No",IF(VLOOKUP(DATE($K$1,$K$2,ATN$4),Table1[],(MATCH(Calendar!$A18,DB!$1:$1,0)),FALSE)&gt;=5,"Good","Bad"),VLOOKUP(DATE($K$1,$K$2,ATN$4),Table1[],(MATCH(Calendar!$A18,DB!$1:$1,0)),FALSE)),"")</f>
        <v/>
      </c>
      <c r="ATO18" s="28" t="str">
        <f>IFERROR(IF(ATX3="No",IF(VLOOKUP(DATE($K$1,$K$2,ATO$4),Table1[],(MATCH(Calendar!$A18,DB!$1:$1,0)),FALSE)&gt;=5,"Good","Bad"),VLOOKUP(DATE($K$1,$K$2,ATO$4),Table1[],(MATCH(Calendar!$A18,DB!$1:$1,0)),FALSE)),"")</f>
        <v/>
      </c>
      <c r="ATP18" s="28" t="str">
        <f>IFERROR(IF(ATY3="No",IF(VLOOKUP(DATE($K$1,$K$2,ATP$4),Table1[],(MATCH(Calendar!$A18,DB!$1:$1,0)),FALSE)&gt;=5,"Good","Bad"),VLOOKUP(DATE($K$1,$K$2,ATP$4),Table1[],(MATCH(Calendar!$A18,DB!$1:$1,0)),FALSE)),"")</f>
        <v/>
      </c>
      <c r="ATQ18" s="28" t="str">
        <f>IFERROR(IF(ATZ3="No",IF(VLOOKUP(DATE($K$1,$K$2,ATQ$4),Table1[],(MATCH(Calendar!$A18,DB!$1:$1,0)),FALSE)&gt;=5,"Good","Bad"),VLOOKUP(DATE($K$1,$K$2,ATQ$4),Table1[],(MATCH(Calendar!$A18,DB!$1:$1,0)),FALSE)),"")</f>
        <v/>
      </c>
      <c r="ATR18" s="28" t="str">
        <f>IFERROR(IF(AUA3="No",IF(VLOOKUP(DATE($K$1,$K$2,ATR$4),Table1[],(MATCH(Calendar!$A18,DB!$1:$1,0)),FALSE)&gt;=5,"Good","Bad"),VLOOKUP(DATE($K$1,$K$2,ATR$4),Table1[],(MATCH(Calendar!$A18,DB!$1:$1,0)),FALSE)),"")</f>
        <v/>
      </c>
      <c r="ATS18" s="28" t="str">
        <f>IFERROR(IF(AUB3="No",IF(VLOOKUP(DATE($K$1,$K$2,ATS$4),Table1[],(MATCH(Calendar!$A18,DB!$1:$1,0)),FALSE)&gt;=5,"Good","Bad"),VLOOKUP(DATE($K$1,$K$2,ATS$4),Table1[],(MATCH(Calendar!$A18,DB!$1:$1,0)),FALSE)),"")</f>
        <v/>
      </c>
      <c r="ATT18" s="28" t="str">
        <f>IFERROR(IF(AUC3="No",IF(VLOOKUP(DATE($K$1,$K$2,ATT$4),Table1[],(MATCH(Calendar!$A18,DB!$1:$1,0)),FALSE)&gt;=5,"Good","Bad"),VLOOKUP(DATE($K$1,$K$2,ATT$4),Table1[],(MATCH(Calendar!$A18,DB!$1:$1,0)),FALSE)),"")</f>
        <v/>
      </c>
      <c r="ATU18" s="28" t="str">
        <f>IFERROR(IF(AUD3="No",IF(VLOOKUP(DATE($K$1,$K$2,ATU$4),Table1[],(MATCH(Calendar!$A18,DB!$1:$1,0)),FALSE)&gt;=5,"Good","Bad"),VLOOKUP(DATE($K$1,$K$2,ATU$4),Table1[],(MATCH(Calendar!$A18,DB!$1:$1,0)),FALSE)),"")</f>
        <v/>
      </c>
      <c r="ATV18" s="28" t="str">
        <f>IFERROR(IF(AUE3="No",IF(VLOOKUP(DATE($K$1,$K$2,ATV$4),Table1[],(MATCH(Calendar!$A18,DB!$1:$1,0)),FALSE)&gt;=5,"Good","Bad"),VLOOKUP(DATE($K$1,$K$2,ATV$4),Table1[],(MATCH(Calendar!$A18,DB!$1:$1,0)),FALSE)),"")</f>
        <v/>
      </c>
      <c r="ATW18" s="28" t="str">
        <f>IFERROR(IF(AUF3="No",IF(VLOOKUP(DATE($K$1,$K$2,ATW$4),Table1[],(MATCH(Calendar!$A18,DB!$1:$1,0)),FALSE)&gt;=5,"Good","Bad"),VLOOKUP(DATE($K$1,$K$2,ATW$4),Table1[],(MATCH(Calendar!$A18,DB!$1:$1,0)),FALSE)),"")</f>
        <v/>
      </c>
      <c r="ATX18" s="28" t="str">
        <f>IFERROR(IF(AUG3="No",IF(VLOOKUP(DATE($K$1,$K$2,ATX$4),Table1[],(MATCH(Calendar!$A18,DB!$1:$1,0)),FALSE)&gt;=5,"Good","Bad"),VLOOKUP(DATE($K$1,$K$2,ATX$4),Table1[],(MATCH(Calendar!$A18,DB!$1:$1,0)),FALSE)),"")</f>
        <v/>
      </c>
      <c r="ATY18" s="28" t="str">
        <f>IFERROR(IF(AUH3="No",IF(VLOOKUP(DATE($K$1,$K$2,ATY$4),Table1[],(MATCH(Calendar!$A18,DB!$1:$1,0)),FALSE)&gt;=5,"Good","Bad"),VLOOKUP(DATE($K$1,$K$2,ATY$4),Table1[],(MATCH(Calendar!$A18,DB!$1:$1,0)),FALSE)),"")</f>
        <v/>
      </c>
      <c r="ATZ18" s="28" t="str">
        <f>IFERROR(IF(AUI3="No",IF(VLOOKUP(DATE($K$1,$K$2,ATZ$4),Table1[],(MATCH(Calendar!$A18,DB!$1:$1,0)),FALSE)&gt;=5,"Good","Bad"),VLOOKUP(DATE($K$1,$K$2,ATZ$4),Table1[],(MATCH(Calendar!$A18,DB!$1:$1,0)),FALSE)),"")</f>
        <v/>
      </c>
      <c r="AUA18" s="28" t="str">
        <f>IFERROR(IF(AUJ3="No",IF(VLOOKUP(DATE($K$1,$K$2,AUA$4),Table1[],(MATCH(Calendar!$A18,DB!$1:$1,0)),FALSE)&gt;=5,"Good","Bad"),VLOOKUP(DATE($K$1,$K$2,AUA$4),Table1[],(MATCH(Calendar!$A18,DB!$1:$1,0)),FALSE)),"")</f>
        <v/>
      </c>
      <c r="AUB18" s="28" t="str">
        <f>IFERROR(IF(AUK3="No",IF(VLOOKUP(DATE($K$1,$K$2,AUB$4),Table1[],(MATCH(Calendar!$A18,DB!$1:$1,0)),FALSE)&gt;=5,"Good","Bad"),VLOOKUP(DATE($K$1,$K$2,AUB$4),Table1[],(MATCH(Calendar!$A18,DB!$1:$1,0)),FALSE)),"")</f>
        <v/>
      </c>
      <c r="AUC18" s="28" t="str">
        <f>IFERROR(IF(AUL3="No",IF(VLOOKUP(DATE($K$1,$K$2,AUC$4),Table1[],(MATCH(Calendar!$A18,DB!$1:$1,0)),FALSE)&gt;=5,"Good","Bad"),VLOOKUP(DATE($K$1,$K$2,AUC$4),Table1[],(MATCH(Calendar!$A18,DB!$1:$1,0)),FALSE)),"")</f>
        <v/>
      </c>
      <c r="AUD18" s="28" t="str">
        <f>IFERROR(IF(AUM3="No",IF(VLOOKUP(DATE($K$1,$K$2,AUD$4),Table1[],(MATCH(Calendar!$A18,DB!$1:$1,0)),FALSE)&gt;=5,"Good","Bad"),VLOOKUP(DATE($K$1,$K$2,AUD$4),Table1[],(MATCH(Calendar!$A18,DB!$1:$1,0)),FALSE)),"")</f>
        <v/>
      </c>
      <c r="AUE18" s="28" t="str">
        <f>IFERROR(IF(AUN3="No",IF(VLOOKUP(DATE($K$1,$K$2,AUE$4),Table1[],(MATCH(Calendar!$A18,DB!$1:$1,0)),FALSE)&gt;=5,"Good","Bad"),VLOOKUP(DATE($K$1,$K$2,AUE$4),Table1[],(MATCH(Calendar!$A18,DB!$1:$1,0)),FALSE)),"")</f>
        <v/>
      </c>
      <c r="AUF18" s="28" t="str">
        <f>IFERROR(IF(AUO3="No",IF(VLOOKUP(DATE($K$1,$K$2,AUF$4),Table1[],(MATCH(Calendar!$A18,DB!$1:$1,0)),FALSE)&gt;=5,"Good","Bad"),VLOOKUP(DATE($K$1,$K$2,AUF$4),Table1[],(MATCH(Calendar!$A18,DB!$1:$1,0)),FALSE)),"")</f>
        <v/>
      </c>
      <c r="AUG18" s="28" t="str">
        <f>IFERROR(IF(AUP3="No",IF(VLOOKUP(DATE($K$1,$K$2,AUG$4),Table1[],(MATCH(Calendar!$A18,DB!$1:$1,0)),FALSE)&gt;=5,"Good","Bad"),VLOOKUP(DATE($K$1,$K$2,AUG$4),Table1[],(MATCH(Calendar!$A18,DB!$1:$1,0)),FALSE)),"")</f>
        <v/>
      </c>
      <c r="AUH18" s="28" t="str">
        <f>IFERROR(IF(AUQ3="No",IF(VLOOKUP(DATE($K$1,$K$2,AUH$4),Table1[],(MATCH(Calendar!$A18,DB!$1:$1,0)),FALSE)&gt;=5,"Good","Bad"),VLOOKUP(DATE($K$1,$K$2,AUH$4),Table1[],(MATCH(Calendar!$A18,DB!$1:$1,0)),FALSE)),"")</f>
        <v/>
      </c>
      <c r="AUI18" s="28" t="str">
        <f>IFERROR(IF(AUR3="No",IF(VLOOKUP(DATE($K$1,$K$2,AUI$4),Table1[],(MATCH(Calendar!$A18,DB!$1:$1,0)),FALSE)&gt;=5,"Good","Bad"),VLOOKUP(DATE($K$1,$K$2,AUI$4),Table1[],(MATCH(Calendar!$A18,DB!$1:$1,0)),FALSE)),"")</f>
        <v/>
      </c>
      <c r="AUJ18" s="28" t="str">
        <f>IFERROR(IF(AUS3="No",IF(VLOOKUP(DATE($K$1,$K$2,AUJ$4),Table1[],(MATCH(Calendar!$A18,DB!$1:$1,0)),FALSE)&gt;=5,"Good","Bad"),VLOOKUP(DATE($K$1,$K$2,AUJ$4),Table1[],(MATCH(Calendar!$A18,DB!$1:$1,0)),FALSE)),"")</f>
        <v/>
      </c>
      <c r="AUK18" s="28" t="str">
        <f>IFERROR(IF(AUT3="No",IF(VLOOKUP(DATE($K$1,$K$2,AUK$4),Table1[],(MATCH(Calendar!$A18,DB!$1:$1,0)),FALSE)&gt;=5,"Good","Bad"),VLOOKUP(DATE($K$1,$K$2,AUK$4),Table1[],(MATCH(Calendar!$A18,DB!$1:$1,0)),FALSE)),"")</f>
        <v/>
      </c>
      <c r="AUL18" s="28" t="str">
        <f>IFERROR(IF(AUU3="No",IF(VLOOKUP(DATE($K$1,$K$2,AUL$4),Table1[],(MATCH(Calendar!$A18,DB!$1:$1,0)),FALSE)&gt;=5,"Good","Bad"),VLOOKUP(DATE($K$1,$K$2,AUL$4),Table1[],(MATCH(Calendar!$A18,DB!$1:$1,0)),FALSE)),"")</f>
        <v/>
      </c>
      <c r="AUM18" s="28" t="str">
        <f>IFERROR(IF(AUV3="No",IF(VLOOKUP(DATE($K$1,$K$2,AUM$4),Table1[],(MATCH(Calendar!$A18,DB!$1:$1,0)),FALSE)&gt;=5,"Good","Bad"),VLOOKUP(DATE($K$1,$K$2,AUM$4),Table1[],(MATCH(Calendar!$A18,DB!$1:$1,0)),FALSE)),"")</f>
        <v/>
      </c>
      <c r="AUN18" s="28" t="str">
        <f>IFERROR(IF(AUW3="No",IF(VLOOKUP(DATE($K$1,$K$2,AUN$4),Table1[],(MATCH(Calendar!$A18,DB!$1:$1,0)),FALSE)&gt;=5,"Good","Bad"),VLOOKUP(DATE($K$1,$K$2,AUN$4),Table1[],(MATCH(Calendar!$A18,DB!$1:$1,0)),FALSE)),"")</f>
        <v/>
      </c>
      <c r="AUO18" s="28" t="str">
        <f>IFERROR(IF(AUX3="No",IF(VLOOKUP(DATE($K$1,$K$2,AUO$4),Table1[],(MATCH(Calendar!$A18,DB!$1:$1,0)),FALSE)&gt;=5,"Good","Bad"),VLOOKUP(DATE($K$1,$K$2,AUO$4),Table1[],(MATCH(Calendar!$A18,DB!$1:$1,0)),FALSE)),"")</f>
        <v/>
      </c>
      <c r="AUP18" s="28" t="str">
        <f>IFERROR(IF(AUY3="No",IF(VLOOKUP(DATE($K$1,$K$2,AUP$4),Table1[],(MATCH(Calendar!$A18,DB!$1:$1,0)),FALSE)&gt;=5,"Good","Bad"),VLOOKUP(DATE($K$1,$K$2,AUP$4),Table1[],(MATCH(Calendar!$A18,DB!$1:$1,0)),FALSE)),"")</f>
        <v/>
      </c>
      <c r="AUQ18" s="28" t="str">
        <f>IFERROR(IF(AUZ3="No",IF(VLOOKUP(DATE($K$1,$K$2,AUQ$4),Table1[],(MATCH(Calendar!$A18,DB!$1:$1,0)),FALSE)&gt;=5,"Good","Bad"),VLOOKUP(DATE($K$1,$K$2,AUQ$4),Table1[],(MATCH(Calendar!$A18,DB!$1:$1,0)),FALSE)),"")</f>
        <v/>
      </c>
      <c r="AUR18" s="28" t="str">
        <f>IFERROR(IF(AVA3="No",IF(VLOOKUP(DATE($K$1,$K$2,AUR$4),Table1[],(MATCH(Calendar!$A18,DB!$1:$1,0)),FALSE)&gt;=5,"Good","Bad"),VLOOKUP(DATE($K$1,$K$2,AUR$4),Table1[],(MATCH(Calendar!$A18,DB!$1:$1,0)),FALSE)),"")</f>
        <v/>
      </c>
      <c r="AUS18" s="28" t="str">
        <f>IFERROR(IF(AVB3="No",IF(VLOOKUP(DATE($K$1,$K$2,AUS$4),Table1[],(MATCH(Calendar!$A18,DB!$1:$1,0)),FALSE)&gt;=5,"Good","Bad"),VLOOKUP(DATE($K$1,$K$2,AUS$4),Table1[],(MATCH(Calendar!$A18,DB!$1:$1,0)),FALSE)),"")</f>
        <v/>
      </c>
      <c r="AUT18" s="28" t="str">
        <f>IFERROR(IF(AVC3="No",IF(VLOOKUP(DATE($K$1,$K$2,AUT$4),Table1[],(MATCH(Calendar!$A18,DB!$1:$1,0)),FALSE)&gt;=5,"Good","Bad"),VLOOKUP(DATE($K$1,$K$2,AUT$4),Table1[],(MATCH(Calendar!$A18,DB!$1:$1,0)),FALSE)),"")</f>
        <v/>
      </c>
      <c r="AUU18" s="28" t="str">
        <f>IFERROR(IF(AVD3="No",IF(VLOOKUP(DATE($K$1,$K$2,AUU$4),Table1[],(MATCH(Calendar!$A18,DB!$1:$1,0)),FALSE)&gt;=5,"Good","Bad"),VLOOKUP(DATE($K$1,$K$2,AUU$4),Table1[],(MATCH(Calendar!$A18,DB!$1:$1,0)),FALSE)),"")</f>
        <v/>
      </c>
      <c r="AUV18" s="28" t="str">
        <f>IFERROR(IF(AVE3="No",IF(VLOOKUP(DATE($K$1,$K$2,AUV$4),Table1[],(MATCH(Calendar!$A18,DB!$1:$1,0)),FALSE)&gt;=5,"Good","Bad"),VLOOKUP(DATE($K$1,$K$2,AUV$4),Table1[],(MATCH(Calendar!$A18,DB!$1:$1,0)),FALSE)),"")</f>
        <v/>
      </c>
      <c r="AUW18" s="28" t="str">
        <f>IFERROR(IF(AVF3="No",IF(VLOOKUP(DATE($K$1,$K$2,AUW$4),Table1[],(MATCH(Calendar!$A18,DB!$1:$1,0)),FALSE)&gt;=5,"Good","Bad"),VLOOKUP(DATE($K$1,$K$2,AUW$4),Table1[],(MATCH(Calendar!$A18,DB!$1:$1,0)),FALSE)),"")</f>
        <v/>
      </c>
      <c r="AUX18" s="28" t="str">
        <f>IFERROR(IF(AVG3="No",IF(VLOOKUP(DATE($K$1,$K$2,AUX$4),Table1[],(MATCH(Calendar!$A18,DB!$1:$1,0)),FALSE)&gt;=5,"Good","Bad"),VLOOKUP(DATE($K$1,$K$2,AUX$4),Table1[],(MATCH(Calendar!$A18,DB!$1:$1,0)),FALSE)),"")</f>
        <v/>
      </c>
      <c r="AUY18" s="28" t="str">
        <f>IFERROR(IF(AVH3="No",IF(VLOOKUP(DATE($K$1,$K$2,AUY$4),Table1[],(MATCH(Calendar!$A18,DB!$1:$1,0)),FALSE)&gt;=5,"Good","Bad"),VLOOKUP(DATE($K$1,$K$2,AUY$4),Table1[],(MATCH(Calendar!$A18,DB!$1:$1,0)),FALSE)),"")</f>
        <v/>
      </c>
      <c r="AUZ18" s="28" t="str">
        <f>IFERROR(IF(AVI3="No",IF(VLOOKUP(DATE($K$1,$K$2,AUZ$4),Table1[],(MATCH(Calendar!$A18,DB!$1:$1,0)),FALSE)&gt;=5,"Good","Bad"),VLOOKUP(DATE($K$1,$K$2,AUZ$4),Table1[],(MATCH(Calendar!$A18,DB!$1:$1,0)),FALSE)),"")</f>
        <v/>
      </c>
      <c r="AVA18" s="28" t="str">
        <f>IFERROR(IF(AVJ3="No",IF(VLOOKUP(DATE($K$1,$K$2,AVA$4),Table1[],(MATCH(Calendar!$A18,DB!$1:$1,0)),FALSE)&gt;=5,"Good","Bad"),VLOOKUP(DATE($K$1,$K$2,AVA$4),Table1[],(MATCH(Calendar!$A18,DB!$1:$1,0)),FALSE)),"")</f>
        <v/>
      </c>
      <c r="AVB18" s="28" t="str">
        <f>IFERROR(IF(AVK3="No",IF(VLOOKUP(DATE($K$1,$K$2,AVB$4),Table1[],(MATCH(Calendar!$A18,DB!$1:$1,0)),FALSE)&gt;=5,"Good","Bad"),VLOOKUP(DATE($K$1,$K$2,AVB$4),Table1[],(MATCH(Calendar!$A18,DB!$1:$1,0)),FALSE)),"")</f>
        <v/>
      </c>
      <c r="AVC18" s="28" t="str">
        <f>IFERROR(IF(AVL3="No",IF(VLOOKUP(DATE($K$1,$K$2,AVC$4),Table1[],(MATCH(Calendar!$A18,DB!$1:$1,0)),FALSE)&gt;=5,"Good","Bad"),VLOOKUP(DATE($K$1,$K$2,AVC$4),Table1[],(MATCH(Calendar!$A18,DB!$1:$1,0)),FALSE)),"")</f>
        <v/>
      </c>
      <c r="AVD18" s="28" t="str">
        <f>IFERROR(IF(AVM3="No",IF(VLOOKUP(DATE($K$1,$K$2,AVD$4),Table1[],(MATCH(Calendar!$A18,DB!$1:$1,0)),FALSE)&gt;=5,"Good","Bad"),VLOOKUP(DATE($K$1,$K$2,AVD$4),Table1[],(MATCH(Calendar!$A18,DB!$1:$1,0)),FALSE)),"")</f>
        <v/>
      </c>
      <c r="AVE18" s="28" t="str">
        <f>IFERROR(IF(AVN3="No",IF(VLOOKUP(DATE($K$1,$K$2,AVE$4),Table1[],(MATCH(Calendar!$A18,DB!$1:$1,0)),FALSE)&gt;=5,"Good","Bad"),VLOOKUP(DATE($K$1,$K$2,AVE$4),Table1[],(MATCH(Calendar!$A18,DB!$1:$1,0)),FALSE)),"")</f>
        <v/>
      </c>
      <c r="AVF18" s="28" t="str">
        <f>IFERROR(IF(AVO3="No",IF(VLOOKUP(DATE($K$1,$K$2,AVF$4),Table1[],(MATCH(Calendar!$A18,DB!$1:$1,0)),FALSE)&gt;=5,"Good","Bad"),VLOOKUP(DATE($K$1,$K$2,AVF$4),Table1[],(MATCH(Calendar!$A18,DB!$1:$1,0)),FALSE)),"")</f>
        <v/>
      </c>
      <c r="AVG18" s="28" t="str">
        <f>IFERROR(IF(AVP3="No",IF(VLOOKUP(DATE($K$1,$K$2,AVG$4),Table1[],(MATCH(Calendar!$A18,DB!$1:$1,0)),FALSE)&gt;=5,"Good","Bad"),VLOOKUP(DATE($K$1,$K$2,AVG$4),Table1[],(MATCH(Calendar!$A18,DB!$1:$1,0)),FALSE)),"")</f>
        <v/>
      </c>
      <c r="AVH18" s="28" t="str">
        <f>IFERROR(IF(AVQ3="No",IF(VLOOKUP(DATE($K$1,$K$2,AVH$4),Table1[],(MATCH(Calendar!$A18,DB!$1:$1,0)),FALSE)&gt;=5,"Good","Bad"),VLOOKUP(DATE($K$1,$K$2,AVH$4),Table1[],(MATCH(Calendar!$A18,DB!$1:$1,0)),FALSE)),"")</f>
        <v/>
      </c>
      <c r="AVI18" s="28" t="str">
        <f>IFERROR(IF(AVR3="No",IF(VLOOKUP(DATE($K$1,$K$2,AVI$4),Table1[],(MATCH(Calendar!$A18,DB!$1:$1,0)),FALSE)&gt;=5,"Good","Bad"),VLOOKUP(DATE($K$1,$K$2,AVI$4),Table1[],(MATCH(Calendar!$A18,DB!$1:$1,0)),FALSE)),"")</f>
        <v/>
      </c>
      <c r="AVJ18" s="28" t="str">
        <f>IFERROR(IF(AVS3="No",IF(VLOOKUP(DATE($K$1,$K$2,AVJ$4),Table1[],(MATCH(Calendar!$A18,DB!$1:$1,0)),FALSE)&gt;=5,"Good","Bad"),VLOOKUP(DATE($K$1,$K$2,AVJ$4),Table1[],(MATCH(Calendar!$A18,DB!$1:$1,0)),FALSE)),"")</f>
        <v/>
      </c>
      <c r="AVK18" s="28" t="str">
        <f>IFERROR(IF(AVT3="No",IF(VLOOKUP(DATE($K$1,$K$2,AVK$4),Table1[],(MATCH(Calendar!$A18,DB!$1:$1,0)),FALSE)&gt;=5,"Good","Bad"),VLOOKUP(DATE($K$1,$K$2,AVK$4),Table1[],(MATCH(Calendar!$A18,DB!$1:$1,0)),FALSE)),"")</f>
        <v/>
      </c>
      <c r="AVL18" s="28" t="str">
        <f>IFERROR(IF(AVU3="No",IF(VLOOKUP(DATE($K$1,$K$2,AVL$4),Table1[],(MATCH(Calendar!$A18,DB!$1:$1,0)),FALSE)&gt;=5,"Good","Bad"),VLOOKUP(DATE($K$1,$K$2,AVL$4),Table1[],(MATCH(Calendar!$A18,DB!$1:$1,0)),FALSE)),"")</f>
        <v/>
      </c>
      <c r="AVM18" s="28" t="str">
        <f>IFERROR(IF(AVV3="No",IF(VLOOKUP(DATE($K$1,$K$2,AVM$4),Table1[],(MATCH(Calendar!$A18,DB!$1:$1,0)),FALSE)&gt;=5,"Good","Bad"),VLOOKUP(DATE($K$1,$K$2,AVM$4),Table1[],(MATCH(Calendar!$A18,DB!$1:$1,0)),FALSE)),"")</f>
        <v/>
      </c>
      <c r="AVN18" s="28" t="str">
        <f>IFERROR(IF(AVW3="No",IF(VLOOKUP(DATE($K$1,$K$2,AVN$4),Table1[],(MATCH(Calendar!$A18,DB!$1:$1,0)),FALSE)&gt;=5,"Good","Bad"),VLOOKUP(DATE($K$1,$K$2,AVN$4),Table1[],(MATCH(Calendar!$A18,DB!$1:$1,0)),FALSE)),"")</f>
        <v/>
      </c>
      <c r="AVO18" s="28" t="str">
        <f>IFERROR(IF(AVX3="No",IF(VLOOKUP(DATE($K$1,$K$2,AVO$4),Table1[],(MATCH(Calendar!$A18,DB!$1:$1,0)),FALSE)&gt;=5,"Good","Bad"),VLOOKUP(DATE($K$1,$K$2,AVO$4),Table1[],(MATCH(Calendar!$A18,DB!$1:$1,0)),FALSE)),"")</f>
        <v/>
      </c>
      <c r="AVP18" s="28" t="str">
        <f>IFERROR(IF(AVY3="No",IF(VLOOKUP(DATE($K$1,$K$2,AVP$4),Table1[],(MATCH(Calendar!$A18,DB!$1:$1,0)),FALSE)&gt;=5,"Good","Bad"),VLOOKUP(DATE($K$1,$K$2,AVP$4),Table1[],(MATCH(Calendar!$A18,DB!$1:$1,0)),FALSE)),"")</f>
        <v/>
      </c>
      <c r="AVQ18" s="28" t="str">
        <f>IFERROR(IF(AVZ3="No",IF(VLOOKUP(DATE($K$1,$K$2,AVQ$4),Table1[],(MATCH(Calendar!$A18,DB!$1:$1,0)),FALSE)&gt;=5,"Good","Bad"),VLOOKUP(DATE($K$1,$K$2,AVQ$4),Table1[],(MATCH(Calendar!$A18,DB!$1:$1,0)),FALSE)),"")</f>
        <v/>
      </c>
      <c r="AVR18" s="28" t="str">
        <f>IFERROR(IF(AWA3="No",IF(VLOOKUP(DATE($K$1,$K$2,AVR$4),Table1[],(MATCH(Calendar!$A18,DB!$1:$1,0)),FALSE)&gt;=5,"Good","Bad"),VLOOKUP(DATE($K$1,$K$2,AVR$4),Table1[],(MATCH(Calendar!$A18,DB!$1:$1,0)),FALSE)),"")</f>
        <v/>
      </c>
      <c r="AVS18" s="28" t="str">
        <f>IFERROR(IF(AWB3="No",IF(VLOOKUP(DATE($K$1,$K$2,AVS$4),Table1[],(MATCH(Calendar!$A18,DB!$1:$1,0)),FALSE)&gt;=5,"Good","Bad"),VLOOKUP(DATE($K$1,$K$2,AVS$4),Table1[],(MATCH(Calendar!$A18,DB!$1:$1,0)),FALSE)),"")</f>
        <v/>
      </c>
      <c r="AVT18" s="28" t="str">
        <f>IFERROR(IF(AWC3="No",IF(VLOOKUP(DATE($K$1,$K$2,AVT$4),Table1[],(MATCH(Calendar!$A18,DB!$1:$1,0)),FALSE)&gt;=5,"Good","Bad"),VLOOKUP(DATE($K$1,$K$2,AVT$4),Table1[],(MATCH(Calendar!$A18,DB!$1:$1,0)),FALSE)),"")</f>
        <v/>
      </c>
      <c r="AVU18" s="28" t="str">
        <f>IFERROR(IF(AWD3="No",IF(VLOOKUP(DATE($K$1,$K$2,AVU$4),Table1[],(MATCH(Calendar!$A18,DB!$1:$1,0)),FALSE)&gt;=5,"Good","Bad"),VLOOKUP(DATE($K$1,$K$2,AVU$4),Table1[],(MATCH(Calendar!$A18,DB!$1:$1,0)),FALSE)),"")</f>
        <v/>
      </c>
      <c r="AVV18" s="28" t="str">
        <f>IFERROR(IF(AWE3="No",IF(VLOOKUP(DATE($K$1,$K$2,AVV$4),Table1[],(MATCH(Calendar!$A18,DB!$1:$1,0)),FALSE)&gt;=5,"Good","Bad"),VLOOKUP(DATE($K$1,$K$2,AVV$4),Table1[],(MATCH(Calendar!$A18,DB!$1:$1,0)),FALSE)),"")</f>
        <v/>
      </c>
      <c r="AVW18" s="28" t="str">
        <f>IFERROR(IF(AWF3="No",IF(VLOOKUP(DATE($K$1,$K$2,AVW$4),Table1[],(MATCH(Calendar!$A18,DB!$1:$1,0)),FALSE)&gt;=5,"Good","Bad"),VLOOKUP(DATE($K$1,$K$2,AVW$4),Table1[],(MATCH(Calendar!$A18,DB!$1:$1,0)),FALSE)),"")</f>
        <v/>
      </c>
      <c r="AVX18" s="28" t="str">
        <f>IFERROR(IF(AWG3="No",IF(VLOOKUP(DATE($K$1,$K$2,AVX$4),Table1[],(MATCH(Calendar!$A18,DB!$1:$1,0)),FALSE)&gt;=5,"Good","Bad"),VLOOKUP(DATE($K$1,$K$2,AVX$4),Table1[],(MATCH(Calendar!$A18,DB!$1:$1,0)),FALSE)),"")</f>
        <v/>
      </c>
      <c r="AVY18" s="28" t="str">
        <f>IFERROR(IF(AWH3="No",IF(VLOOKUP(DATE($K$1,$K$2,AVY$4),Table1[],(MATCH(Calendar!$A18,DB!$1:$1,0)),FALSE)&gt;=5,"Good","Bad"),VLOOKUP(DATE($K$1,$K$2,AVY$4),Table1[],(MATCH(Calendar!$A18,DB!$1:$1,0)),FALSE)),"")</f>
        <v/>
      </c>
      <c r="AVZ18" s="28" t="str">
        <f>IFERROR(IF(AWI3="No",IF(VLOOKUP(DATE($K$1,$K$2,AVZ$4),Table1[],(MATCH(Calendar!$A18,DB!$1:$1,0)),FALSE)&gt;=5,"Good","Bad"),VLOOKUP(DATE($K$1,$K$2,AVZ$4),Table1[],(MATCH(Calendar!$A18,DB!$1:$1,0)),FALSE)),"")</f>
        <v/>
      </c>
      <c r="AWA18" s="28" t="str">
        <f>IFERROR(IF(AWJ3="No",IF(VLOOKUP(DATE($K$1,$K$2,AWA$4),Table1[],(MATCH(Calendar!$A18,DB!$1:$1,0)),FALSE)&gt;=5,"Good","Bad"),VLOOKUP(DATE($K$1,$K$2,AWA$4),Table1[],(MATCH(Calendar!$A18,DB!$1:$1,0)),FALSE)),"")</f>
        <v/>
      </c>
      <c r="AWB18" s="28" t="str">
        <f>IFERROR(IF(AWK3="No",IF(VLOOKUP(DATE($K$1,$K$2,AWB$4),Table1[],(MATCH(Calendar!$A18,DB!$1:$1,0)),FALSE)&gt;=5,"Good","Bad"),VLOOKUP(DATE($K$1,$K$2,AWB$4),Table1[],(MATCH(Calendar!$A18,DB!$1:$1,0)),FALSE)),"")</f>
        <v/>
      </c>
      <c r="AWC18" s="28" t="str">
        <f>IFERROR(IF(AWL3="No",IF(VLOOKUP(DATE($K$1,$K$2,AWC$4),Table1[],(MATCH(Calendar!$A18,DB!$1:$1,0)),FALSE)&gt;=5,"Good","Bad"),VLOOKUP(DATE($K$1,$K$2,AWC$4),Table1[],(MATCH(Calendar!$A18,DB!$1:$1,0)),FALSE)),"")</f>
        <v/>
      </c>
      <c r="AWD18" s="28" t="str">
        <f>IFERROR(IF(AWM3="No",IF(VLOOKUP(DATE($K$1,$K$2,AWD$4),Table1[],(MATCH(Calendar!$A18,DB!$1:$1,0)),FALSE)&gt;=5,"Good","Bad"),VLOOKUP(DATE($K$1,$K$2,AWD$4),Table1[],(MATCH(Calendar!$A18,DB!$1:$1,0)),FALSE)),"")</f>
        <v/>
      </c>
      <c r="AWE18" s="28" t="str">
        <f>IFERROR(IF(AWN3="No",IF(VLOOKUP(DATE($K$1,$K$2,AWE$4),Table1[],(MATCH(Calendar!$A18,DB!$1:$1,0)),FALSE)&gt;=5,"Good","Bad"),VLOOKUP(DATE($K$1,$K$2,AWE$4),Table1[],(MATCH(Calendar!$A18,DB!$1:$1,0)),FALSE)),"")</f>
        <v/>
      </c>
      <c r="AWF18" s="28" t="str">
        <f>IFERROR(IF(AWO3="No",IF(VLOOKUP(DATE($K$1,$K$2,AWF$4),Table1[],(MATCH(Calendar!$A18,DB!$1:$1,0)),FALSE)&gt;=5,"Good","Bad"),VLOOKUP(DATE($K$1,$K$2,AWF$4),Table1[],(MATCH(Calendar!$A18,DB!$1:$1,0)),FALSE)),"")</f>
        <v/>
      </c>
      <c r="AWG18" s="28" t="str">
        <f>IFERROR(IF(AWP3="No",IF(VLOOKUP(DATE($K$1,$K$2,AWG$4),Table1[],(MATCH(Calendar!$A18,DB!$1:$1,0)),FALSE)&gt;=5,"Good","Bad"),VLOOKUP(DATE($K$1,$K$2,AWG$4),Table1[],(MATCH(Calendar!$A18,DB!$1:$1,0)),FALSE)),"")</f>
        <v/>
      </c>
      <c r="AWH18" s="28" t="str">
        <f>IFERROR(IF(AWQ3="No",IF(VLOOKUP(DATE($K$1,$K$2,AWH$4),Table1[],(MATCH(Calendar!$A18,DB!$1:$1,0)),FALSE)&gt;=5,"Good","Bad"),VLOOKUP(DATE($K$1,$K$2,AWH$4),Table1[],(MATCH(Calendar!$A18,DB!$1:$1,0)),FALSE)),"")</f>
        <v/>
      </c>
      <c r="AWI18" s="28" t="str">
        <f>IFERROR(IF(AWR3="No",IF(VLOOKUP(DATE($K$1,$K$2,AWI$4),Table1[],(MATCH(Calendar!$A18,DB!$1:$1,0)),FALSE)&gt;=5,"Good","Bad"),VLOOKUP(DATE($K$1,$K$2,AWI$4),Table1[],(MATCH(Calendar!$A18,DB!$1:$1,0)),FALSE)),"")</f>
        <v/>
      </c>
      <c r="AWJ18" s="28" t="str">
        <f>IFERROR(IF(AWS3="No",IF(VLOOKUP(DATE($K$1,$K$2,AWJ$4),Table1[],(MATCH(Calendar!$A18,DB!$1:$1,0)),FALSE)&gt;=5,"Good","Bad"),VLOOKUP(DATE($K$1,$K$2,AWJ$4),Table1[],(MATCH(Calendar!$A18,DB!$1:$1,0)),FALSE)),"")</f>
        <v/>
      </c>
      <c r="AWK18" s="28" t="str">
        <f>IFERROR(IF(AWT3="No",IF(VLOOKUP(DATE($K$1,$K$2,AWK$4),Table1[],(MATCH(Calendar!$A18,DB!$1:$1,0)),FALSE)&gt;=5,"Good","Bad"),VLOOKUP(DATE($K$1,$K$2,AWK$4),Table1[],(MATCH(Calendar!$A18,DB!$1:$1,0)),FALSE)),"")</f>
        <v/>
      </c>
      <c r="AWL18" s="28" t="str">
        <f>IFERROR(IF(AWU3="No",IF(VLOOKUP(DATE($K$1,$K$2,AWL$4),Table1[],(MATCH(Calendar!$A18,DB!$1:$1,0)),FALSE)&gt;=5,"Good","Bad"),VLOOKUP(DATE($K$1,$K$2,AWL$4),Table1[],(MATCH(Calendar!$A18,DB!$1:$1,0)),FALSE)),"")</f>
        <v/>
      </c>
      <c r="AWM18" s="28" t="str">
        <f>IFERROR(IF(AWV3="No",IF(VLOOKUP(DATE($K$1,$K$2,AWM$4),Table1[],(MATCH(Calendar!$A18,DB!$1:$1,0)),FALSE)&gt;=5,"Good","Bad"),VLOOKUP(DATE($K$1,$K$2,AWM$4),Table1[],(MATCH(Calendar!$A18,DB!$1:$1,0)),FALSE)),"")</f>
        <v/>
      </c>
      <c r="AWN18" s="28" t="str">
        <f>IFERROR(IF(AWW3="No",IF(VLOOKUP(DATE($K$1,$K$2,AWN$4),Table1[],(MATCH(Calendar!$A18,DB!$1:$1,0)),FALSE)&gt;=5,"Good","Bad"),VLOOKUP(DATE($K$1,$K$2,AWN$4),Table1[],(MATCH(Calendar!$A18,DB!$1:$1,0)),FALSE)),"")</f>
        <v/>
      </c>
      <c r="AWO18" s="28" t="str">
        <f>IFERROR(IF(AWX3="No",IF(VLOOKUP(DATE($K$1,$K$2,AWO$4),Table1[],(MATCH(Calendar!$A18,DB!$1:$1,0)),FALSE)&gt;=5,"Good","Bad"),VLOOKUP(DATE($K$1,$K$2,AWO$4),Table1[],(MATCH(Calendar!$A18,DB!$1:$1,0)),FALSE)),"")</f>
        <v/>
      </c>
      <c r="AWP18" s="28" t="str">
        <f>IFERROR(IF(AWY3="No",IF(VLOOKUP(DATE($K$1,$K$2,AWP$4),Table1[],(MATCH(Calendar!$A18,DB!$1:$1,0)),FALSE)&gt;=5,"Good","Bad"),VLOOKUP(DATE($K$1,$K$2,AWP$4),Table1[],(MATCH(Calendar!$A18,DB!$1:$1,0)),FALSE)),"")</f>
        <v/>
      </c>
      <c r="AWQ18" s="28" t="str">
        <f>IFERROR(IF(AWZ3="No",IF(VLOOKUP(DATE($K$1,$K$2,AWQ$4),Table1[],(MATCH(Calendar!$A18,DB!$1:$1,0)),FALSE)&gt;=5,"Good","Bad"),VLOOKUP(DATE($K$1,$K$2,AWQ$4),Table1[],(MATCH(Calendar!$A18,DB!$1:$1,0)),FALSE)),"")</f>
        <v/>
      </c>
      <c r="AWR18" s="28" t="str">
        <f>IFERROR(IF(AXA3="No",IF(VLOOKUP(DATE($K$1,$K$2,AWR$4),Table1[],(MATCH(Calendar!$A18,DB!$1:$1,0)),FALSE)&gt;=5,"Good","Bad"),VLOOKUP(DATE($K$1,$K$2,AWR$4),Table1[],(MATCH(Calendar!$A18,DB!$1:$1,0)),FALSE)),"")</f>
        <v/>
      </c>
      <c r="AWS18" s="28" t="str">
        <f>IFERROR(IF(AXB3="No",IF(VLOOKUP(DATE($K$1,$K$2,AWS$4),Table1[],(MATCH(Calendar!$A18,DB!$1:$1,0)),FALSE)&gt;=5,"Good","Bad"),VLOOKUP(DATE($K$1,$K$2,AWS$4),Table1[],(MATCH(Calendar!$A18,DB!$1:$1,0)),FALSE)),"")</f>
        <v/>
      </c>
      <c r="AWT18" s="28" t="str">
        <f>IFERROR(IF(AXC3="No",IF(VLOOKUP(DATE($K$1,$K$2,AWT$4),Table1[],(MATCH(Calendar!$A18,DB!$1:$1,0)),FALSE)&gt;=5,"Good","Bad"),VLOOKUP(DATE($K$1,$K$2,AWT$4),Table1[],(MATCH(Calendar!$A18,DB!$1:$1,0)),FALSE)),"")</f>
        <v/>
      </c>
      <c r="AWU18" s="28" t="str">
        <f>IFERROR(IF(AXD3="No",IF(VLOOKUP(DATE($K$1,$K$2,AWU$4),Table1[],(MATCH(Calendar!$A18,DB!$1:$1,0)),FALSE)&gt;=5,"Good","Bad"),VLOOKUP(DATE($K$1,$K$2,AWU$4),Table1[],(MATCH(Calendar!$A18,DB!$1:$1,0)),FALSE)),"")</f>
        <v/>
      </c>
      <c r="AWV18" s="28" t="str">
        <f>IFERROR(IF(AXE3="No",IF(VLOOKUP(DATE($K$1,$K$2,AWV$4),Table1[],(MATCH(Calendar!$A18,DB!$1:$1,0)),FALSE)&gt;=5,"Good","Bad"),VLOOKUP(DATE($K$1,$K$2,AWV$4),Table1[],(MATCH(Calendar!$A18,DB!$1:$1,0)),FALSE)),"")</f>
        <v/>
      </c>
      <c r="AWW18" s="28" t="str">
        <f>IFERROR(IF(AXF3="No",IF(VLOOKUP(DATE($K$1,$K$2,AWW$4),Table1[],(MATCH(Calendar!$A18,DB!$1:$1,0)),FALSE)&gt;=5,"Good","Bad"),VLOOKUP(DATE($K$1,$K$2,AWW$4),Table1[],(MATCH(Calendar!$A18,DB!$1:$1,0)),FALSE)),"")</f>
        <v/>
      </c>
      <c r="AWX18" s="28" t="str">
        <f>IFERROR(IF(AXG3="No",IF(VLOOKUP(DATE($K$1,$K$2,AWX$4),Table1[],(MATCH(Calendar!$A18,DB!$1:$1,0)),FALSE)&gt;=5,"Good","Bad"),VLOOKUP(DATE($K$1,$K$2,AWX$4),Table1[],(MATCH(Calendar!$A18,DB!$1:$1,0)),FALSE)),"")</f>
        <v/>
      </c>
      <c r="AWY18" s="28" t="str">
        <f>IFERROR(IF(AXH3="No",IF(VLOOKUP(DATE($K$1,$K$2,AWY$4),Table1[],(MATCH(Calendar!$A18,DB!$1:$1,0)),FALSE)&gt;=5,"Good","Bad"),VLOOKUP(DATE($K$1,$K$2,AWY$4),Table1[],(MATCH(Calendar!$A18,DB!$1:$1,0)),FALSE)),"")</f>
        <v/>
      </c>
      <c r="AWZ18" s="28" t="str">
        <f>IFERROR(IF(AXI3="No",IF(VLOOKUP(DATE($K$1,$K$2,AWZ$4),Table1[],(MATCH(Calendar!$A18,DB!$1:$1,0)),FALSE)&gt;=5,"Good","Bad"),VLOOKUP(DATE($K$1,$K$2,AWZ$4),Table1[],(MATCH(Calendar!$A18,DB!$1:$1,0)),FALSE)),"")</f>
        <v/>
      </c>
      <c r="AXA18" s="28" t="str">
        <f>IFERROR(IF(AXJ3="No",IF(VLOOKUP(DATE($K$1,$K$2,AXA$4),Table1[],(MATCH(Calendar!$A18,DB!$1:$1,0)),FALSE)&gt;=5,"Good","Bad"),VLOOKUP(DATE($K$1,$K$2,AXA$4),Table1[],(MATCH(Calendar!$A18,DB!$1:$1,0)),FALSE)),"")</f>
        <v/>
      </c>
      <c r="AXB18" s="28" t="str">
        <f>IFERROR(IF(AXK3="No",IF(VLOOKUP(DATE($K$1,$K$2,AXB$4),Table1[],(MATCH(Calendar!$A18,DB!$1:$1,0)),FALSE)&gt;=5,"Good","Bad"),VLOOKUP(DATE($K$1,$K$2,AXB$4),Table1[],(MATCH(Calendar!$A18,DB!$1:$1,0)),FALSE)),"")</f>
        <v/>
      </c>
      <c r="AXC18" s="28" t="str">
        <f>IFERROR(IF(AXL3="No",IF(VLOOKUP(DATE($K$1,$K$2,AXC$4),Table1[],(MATCH(Calendar!$A18,DB!$1:$1,0)),FALSE)&gt;=5,"Good","Bad"),VLOOKUP(DATE($K$1,$K$2,AXC$4),Table1[],(MATCH(Calendar!$A18,DB!$1:$1,0)),FALSE)),"")</f>
        <v/>
      </c>
      <c r="AXD18" s="28" t="str">
        <f>IFERROR(IF(AXM3="No",IF(VLOOKUP(DATE($K$1,$K$2,AXD$4),Table1[],(MATCH(Calendar!$A18,DB!$1:$1,0)),FALSE)&gt;=5,"Good","Bad"),VLOOKUP(DATE($K$1,$K$2,AXD$4),Table1[],(MATCH(Calendar!$A18,DB!$1:$1,0)),FALSE)),"")</f>
        <v/>
      </c>
      <c r="AXE18" s="28" t="str">
        <f>IFERROR(IF(AXN3="No",IF(VLOOKUP(DATE($K$1,$K$2,AXE$4),Table1[],(MATCH(Calendar!$A18,DB!$1:$1,0)),FALSE)&gt;=5,"Good","Bad"),VLOOKUP(DATE($K$1,$K$2,AXE$4),Table1[],(MATCH(Calendar!$A18,DB!$1:$1,0)),FALSE)),"")</f>
        <v/>
      </c>
      <c r="AXF18" s="28" t="str">
        <f>IFERROR(IF(AXO3="No",IF(VLOOKUP(DATE($K$1,$K$2,AXF$4),Table1[],(MATCH(Calendar!$A18,DB!$1:$1,0)),FALSE)&gt;=5,"Good","Bad"),VLOOKUP(DATE($K$1,$K$2,AXF$4),Table1[],(MATCH(Calendar!$A18,DB!$1:$1,0)),FALSE)),"")</f>
        <v/>
      </c>
      <c r="AXG18" s="28" t="str">
        <f>IFERROR(IF(AXP3="No",IF(VLOOKUP(DATE($K$1,$K$2,AXG$4),Table1[],(MATCH(Calendar!$A18,DB!$1:$1,0)),FALSE)&gt;=5,"Good","Bad"),VLOOKUP(DATE($K$1,$K$2,AXG$4),Table1[],(MATCH(Calendar!$A18,DB!$1:$1,0)),FALSE)),"")</f>
        <v/>
      </c>
      <c r="AXH18" s="28" t="str">
        <f>IFERROR(IF(AXQ3="No",IF(VLOOKUP(DATE($K$1,$K$2,AXH$4),Table1[],(MATCH(Calendar!$A18,DB!$1:$1,0)),FALSE)&gt;=5,"Good","Bad"),VLOOKUP(DATE($K$1,$K$2,AXH$4),Table1[],(MATCH(Calendar!$A18,DB!$1:$1,0)),FALSE)),"")</f>
        <v/>
      </c>
      <c r="AXI18" s="28" t="str">
        <f>IFERROR(IF(AXR3="No",IF(VLOOKUP(DATE($K$1,$K$2,AXI$4),Table1[],(MATCH(Calendar!$A18,DB!$1:$1,0)),FALSE)&gt;=5,"Good","Bad"),VLOOKUP(DATE($K$1,$K$2,AXI$4),Table1[],(MATCH(Calendar!$A18,DB!$1:$1,0)),FALSE)),"")</f>
        <v/>
      </c>
      <c r="AXJ18" s="28" t="str">
        <f>IFERROR(IF(AXS3="No",IF(VLOOKUP(DATE($K$1,$K$2,AXJ$4),Table1[],(MATCH(Calendar!$A18,DB!$1:$1,0)),FALSE)&gt;=5,"Good","Bad"),VLOOKUP(DATE($K$1,$K$2,AXJ$4),Table1[],(MATCH(Calendar!$A18,DB!$1:$1,0)),FALSE)),"")</f>
        <v/>
      </c>
      <c r="AXK18" s="28" t="str">
        <f>IFERROR(IF(AXT3="No",IF(VLOOKUP(DATE($K$1,$K$2,AXK$4),Table1[],(MATCH(Calendar!$A18,DB!$1:$1,0)),FALSE)&gt;=5,"Good","Bad"),VLOOKUP(DATE($K$1,$K$2,AXK$4),Table1[],(MATCH(Calendar!$A18,DB!$1:$1,0)),FALSE)),"")</f>
        <v/>
      </c>
      <c r="AXL18" s="28" t="str">
        <f>IFERROR(IF(AXU3="No",IF(VLOOKUP(DATE($K$1,$K$2,AXL$4),Table1[],(MATCH(Calendar!$A18,DB!$1:$1,0)),FALSE)&gt;=5,"Good","Bad"),VLOOKUP(DATE($K$1,$K$2,AXL$4),Table1[],(MATCH(Calendar!$A18,DB!$1:$1,0)),FALSE)),"")</f>
        <v/>
      </c>
      <c r="AXM18" s="28" t="str">
        <f>IFERROR(IF(AXV3="No",IF(VLOOKUP(DATE($K$1,$K$2,AXM$4),Table1[],(MATCH(Calendar!$A18,DB!$1:$1,0)),FALSE)&gt;=5,"Good","Bad"),VLOOKUP(DATE($K$1,$K$2,AXM$4),Table1[],(MATCH(Calendar!$A18,DB!$1:$1,0)),FALSE)),"")</f>
        <v/>
      </c>
      <c r="AXN18" s="28" t="str">
        <f>IFERROR(IF(AXW3="No",IF(VLOOKUP(DATE($K$1,$K$2,AXN$4),Table1[],(MATCH(Calendar!$A18,DB!$1:$1,0)),FALSE)&gt;=5,"Good","Bad"),VLOOKUP(DATE($K$1,$K$2,AXN$4),Table1[],(MATCH(Calendar!$A18,DB!$1:$1,0)),FALSE)),"")</f>
        <v/>
      </c>
      <c r="AXO18" s="28" t="str">
        <f>IFERROR(IF(AXX3="No",IF(VLOOKUP(DATE($K$1,$K$2,AXO$4),Table1[],(MATCH(Calendar!$A18,DB!$1:$1,0)),FALSE)&gt;=5,"Good","Bad"),VLOOKUP(DATE($K$1,$K$2,AXO$4),Table1[],(MATCH(Calendar!$A18,DB!$1:$1,0)),FALSE)),"")</f>
        <v/>
      </c>
      <c r="AXP18" s="28" t="str">
        <f>IFERROR(IF(AXY3="No",IF(VLOOKUP(DATE($K$1,$K$2,AXP$4),Table1[],(MATCH(Calendar!$A18,DB!$1:$1,0)),FALSE)&gt;=5,"Good","Bad"),VLOOKUP(DATE($K$1,$K$2,AXP$4),Table1[],(MATCH(Calendar!$A18,DB!$1:$1,0)),FALSE)),"")</f>
        <v/>
      </c>
      <c r="AXQ18" s="28" t="str">
        <f>IFERROR(IF(AXZ3="No",IF(VLOOKUP(DATE($K$1,$K$2,AXQ$4),Table1[],(MATCH(Calendar!$A18,DB!$1:$1,0)),FALSE)&gt;=5,"Good","Bad"),VLOOKUP(DATE($K$1,$K$2,AXQ$4),Table1[],(MATCH(Calendar!$A18,DB!$1:$1,0)),FALSE)),"")</f>
        <v/>
      </c>
      <c r="AXR18" s="28" t="str">
        <f>IFERROR(IF(AYA3="No",IF(VLOOKUP(DATE($K$1,$K$2,AXR$4),Table1[],(MATCH(Calendar!$A18,DB!$1:$1,0)),FALSE)&gt;=5,"Good","Bad"),VLOOKUP(DATE($K$1,$K$2,AXR$4),Table1[],(MATCH(Calendar!$A18,DB!$1:$1,0)),FALSE)),"")</f>
        <v/>
      </c>
      <c r="AXS18" s="28" t="str">
        <f>IFERROR(IF(AYB3="No",IF(VLOOKUP(DATE($K$1,$K$2,AXS$4),Table1[],(MATCH(Calendar!$A18,DB!$1:$1,0)),FALSE)&gt;=5,"Good","Bad"),VLOOKUP(DATE($K$1,$K$2,AXS$4),Table1[],(MATCH(Calendar!$A18,DB!$1:$1,0)),FALSE)),"")</f>
        <v/>
      </c>
      <c r="AXT18" s="28" t="str">
        <f>IFERROR(IF(AYC3="No",IF(VLOOKUP(DATE($K$1,$K$2,AXT$4),Table1[],(MATCH(Calendar!$A18,DB!$1:$1,0)),FALSE)&gt;=5,"Good","Bad"),VLOOKUP(DATE($K$1,$K$2,AXT$4),Table1[],(MATCH(Calendar!$A18,DB!$1:$1,0)),FALSE)),"")</f>
        <v/>
      </c>
      <c r="AXU18" s="28" t="str">
        <f>IFERROR(IF(AYD3="No",IF(VLOOKUP(DATE($K$1,$K$2,AXU$4),Table1[],(MATCH(Calendar!$A18,DB!$1:$1,0)),FALSE)&gt;=5,"Good","Bad"),VLOOKUP(DATE($K$1,$K$2,AXU$4),Table1[],(MATCH(Calendar!$A18,DB!$1:$1,0)),FALSE)),"")</f>
        <v/>
      </c>
      <c r="AXV18" s="28" t="str">
        <f>IFERROR(IF(AYE3="No",IF(VLOOKUP(DATE($K$1,$K$2,AXV$4),Table1[],(MATCH(Calendar!$A18,DB!$1:$1,0)),FALSE)&gt;=5,"Good","Bad"),VLOOKUP(DATE($K$1,$K$2,AXV$4),Table1[],(MATCH(Calendar!$A18,DB!$1:$1,0)),FALSE)),"")</f>
        <v/>
      </c>
      <c r="AXW18" s="28" t="str">
        <f>IFERROR(IF(AYF3="No",IF(VLOOKUP(DATE($K$1,$K$2,AXW$4),Table1[],(MATCH(Calendar!$A18,DB!$1:$1,0)),FALSE)&gt;=5,"Good","Bad"),VLOOKUP(DATE($K$1,$K$2,AXW$4),Table1[],(MATCH(Calendar!$A18,DB!$1:$1,0)),FALSE)),"")</f>
        <v/>
      </c>
      <c r="AXX18" s="28" t="str">
        <f>IFERROR(IF(AYG3="No",IF(VLOOKUP(DATE($K$1,$K$2,AXX$4),Table1[],(MATCH(Calendar!$A18,DB!$1:$1,0)),FALSE)&gt;=5,"Good","Bad"),VLOOKUP(DATE($K$1,$K$2,AXX$4),Table1[],(MATCH(Calendar!$A18,DB!$1:$1,0)),FALSE)),"")</f>
        <v/>
      </c>
      <c r="AXY18" s="28" t="str">
        <f>IFERROR(IF(AYH3="No",IF(VLOOKUP(DATE($K$1,$K$2,AXY$4),Table1[],(MATCH(Calendar!$A18,DB!$1:$1,0)),FALSE)&gt;=5,"Good","Bad"),VLOOKUP(DATE($K$1,$K$2,AXY$4),Table1[],(MATCH(Calendar!$A18,DB!$1:$1,0)),FALSE)),"")</f>
        <v/>
      </c>
      <c r="AXZ18" s="28" t="str">
        <f>IFERROR(IF(AYI3="No",IF(VLOOKUP(DATE($K$1,$K$2,AXZ$4),Table1[],(MATCH(Calendar!$A18,DB!$1:$1,0)),FALSE)&gt;=5,"Good","Bad"),VLOOKUP(DATE($K$1,$K$2,AXZ$4),Table1[],(MATCH(Calendar!$A18,DB!$1:$1,0)),FALSE)),"")</f>
        <v/>
      </c>
      <c r="AYA18" s="28" t="str">
        <f>IFERROR(IF(AYJ3="No",IF(VLOOKUP(DATE($K$1,$K$2,AYA$4),Table1[],(MATCH(Calendar!$A18,DB!$1:$1,0)),FALSE)&gt;=5,"Good","Bad"),VLOOKUP(DATE($K$1,$K$2,AYA$4),Table1[],(MATCH(Calendar!$A18,DB!$1:$1,0)),FALSE)),"")</f>
        <v/>
      </c>
      <c r="AYB18" s="28" t="str">
        <f>IFERROR(IF(AYK3="No",IF(VLOOKUP(DATE($K$1,$K$2,AYB$4),Table1[],(MATCH(Calendar!$A18,DB!$1:$1,0)),FALSE)&gt;=5,"Good","Bad"),VLOOKUP(DATE($K$1,$K$2,AYB$4),Table1[],(MATCH(Calendar!$A18,DB!$1:$1,0)),FALSE)),"")</f>
        <v/>
      </c>
      <c r="AYC18" s="28" t="str">
        <f>IFERROR(IF(AYL3="No",IF(VLOOKUP(DATE($K$1,$K$2,AYC$4),Table1[],(MATCH(Calendar!$A18,DB!$1:$1,0)),FALSE)&gt;=5,"Good","Bad"),VLOOKUP(DATE($K$1,$K$2,AYC$4),Table1[],(MATCH(Calendar!$A18,DB!$1:$1,0)),FALSE)),"")</f>
        <v/>
      </c>
      <c r="AYD18" s="28" t="str">
        <f>IFERROR(IF(AYM3="No",IF(VLOOKUP(DATE($K$1,$K$2,AYD$4),Table1[],(MATCH(Calendar!$A18,DB!$1:$1,0)),FALSE)&gt;=5,"Good","Bad"),VLOOKUP(DATE($K$1,$K$2,AYD$4),Table1[],(MATCH(Calendar!$A18,DB!$1:$1,0)),FALSE)),"")</f>
        <v/>
      </c>
      <c r="AYE18" s="28" t="str">
        <f>IFERROR(IF(AYN3="No",IF(VLOOKUP(DATE($K$1,$K$2,AYE$4),Table1[],(MATCH(Calendar!$A18,DB!$1:$1,0)),FALSE)&gt;=5,"Good","Bad"),VLOOKUP(DATE($K$1,$K$2,AYE$4),Table1[],(MATCH(Calendar!$A18,DB!$1:$1,0)),FALSE)),"")</f>
        <v/>
      </c>
      <c r="AYF18" s="28" t="str">
        <f>IFERROR(IF(AYO3="No",IF(VLOOKUP(DATE($K$1,$K$2,AYF$4),Table1[],(MATCH(Calendar!$A18,DB!$1:$1,0)),FALSE)&gt;=5,"Good","Bad"),VLOOKUP(DATE($K$1,$K$2,AYF$4),Table1[],(MATCH(Calendar!$A18,DB!$1:$1,0)),FALSE)),"")</f>
        <v/>
      </c>
      <c r="AYG18" s="28" t="str">
        <f>IFERROR(IF(AYP3="No",IF(VLOOKUP(DATE($K$1,$K$2,AYG$4),Table1[],(MATCH(Calendar!$A18,DB!$1:$1,0)),FALSE)&gt;=5,"Good","Bad"),VLOOKUP(DATE($K$1,$K$2,AYG$4),Table1[],(MATCH(Calendar!$A18,DB!$1:$1,0)),FALSE)),"")</f>
        <v/>
      </c>
      <c r="AYH18" s="28" t="str">
        <f>IFERROR(IF(AYQ3="No",IF(VLOOKUP(DATE($K$1,$K$2,AYH$4),Table1[],(MATCH(Calendar!$A18,DB!$1:$1,0)),FALSE)&gt;=5,"Good","Bad"),VLOOKUP(DATE($K$1,$K$2,AYH$4),Table1[],(MATCH(Calendar!$A18,DB!$1:$1,0)),FALSE)),"")</f>
        <v/>
      </c>
      <c r="AYI18" s="28" t="str">
        <f>IFERROR(IF(AYR3="No",IF(VLOOKUP(DATE($K$1,$K$2,AYI$4),Table1[],(MATCH(Calendar!$A18,DB!$1:$1,0)),FALSE)&gt;=5,"Good","Bad"),VLOOKUP(DATE($K$1,$K$2,AYI$4),Table1[],(MATCH(Calendar!$A18,DB!$1:$1,0)),FALSE)),"")</f>
        <v/>
      </c>
      <c r="AYJ18" s="28" t="str">
        <f>IFERROR(IF(AYS3="No",IF(VLOOKUP(DATE($K$1,$K$2,AYJ$4),Table1[],(MATCH(Calendar!$A18,DB!$1:$1,0)),FALSE)&gt;=5,"Good","Bad"),VLOOKUP(DATE($K$1,$K$2,AYJ$4),Table1[],(MATCH(Calendar!$A18,DB!$1:$1,0)),FALSE)),"")</f>
        <v/>
      </c>
      <c r="AYK18" s="28" t="str">
        <f>IFERROR(IF(AYT3="No",IF(VLOOKUP(DATE($K$1,$K$2,AYK$4),Table1[],(MATCH(Calendar!$A18,DB!$1:$1,0)),FALSE)&gt;=5,"Good","Bad"),VLOOKUP(DATE($K$1,$K$2,AYK$4),Table1[],(MATCH(Calendar!$A18,DB!$1:$1,0)),FALSE)),"")</f>
        <v/>
      </c>
      <c r="AYL18" s="28" t="str">
        <f>IFERROR(IF(AYU3="No",IF(VLOOKUP(DATE($K$1,$K$2,AYL$4),Table1[],(MATCH(Calendar!$A18,DB!$1:$1,0)),FALSE)&gt;=5,"Good","Bad"),VLOOKUP(DATE($K$1,$K$2,AYL$4),Table1[],(MATCH(Calendar!$A18,DB!$1:$1,0)),FALSE)),"")</f>
        <v/>
      </c>
      <c r="AYM18" s="28" t="str">
        <f>IFERROR(IF(AYV3="No",IF(VLOOKUP(DATE($K$1,$K$2,AYM$4),Table1[],(MATCH(Calendar!$A18,DB!$1:$1,0)),FALSE)&gt;=5,"Good","Bad"),VLOOKUP(DATE($K$1,$K$2,AYM$4),Table1[],(MATCH(Calendar!$A18,DB!$1:$1,0)),FALSE)),"")</f>
        <v/>
      </c>
      <c r="AYN18" s="28" t="str">
        <f>IFERROR(IF(AYW3="No",IF(VLOOKUP(DATE($K$1,$K$2,AYN$4),Table1[],(MATCH(Calendar!$A18,DB!$1:$1,0)),FALSE)&gt;=5,"Good","Bad"),VLOOKUP(DATE($K$1,$K$2,AYN$4),Table1[],(MATCH(Calendar!$A18,DB!$1:$1,0)),FALSE)),"")</f>
        <v/>
      </c>
      <c r="AYO18" s="28" t="str">
        <f>IFERROR(IF(AYX3="No",IF(VLOOKUP(DATE($K$1,$K$2,AYO$4),Table1[],(MATCH(Calendar!$A18,DB!$1:$1,0)),FALSE)&gt;=5,"Good","Bad"),VLOOKUP(DATE($K$1,$K$2,AYO$4),Table1[],(MATCH(Calendar!$A18,DB!$1:$1,0)),FALSE)),"")</f>
        <v/>
      </c>
      <c r="AYP18" s="28" t="str">
        <f>IFERROR(IF(AYY3="No",IF(VLOOKUP(DATE($K$1,$K$2,AYP$4),Table1[],(MATCH(Calendar!$A18,DB!$1:$1,0)),FALSE)&gt;=5,"Good","Bad"),VLOOKUP(DATE($K$1,$K$2,AYP$4),Table1[],(MATCH(Calendar!$A18,DB!$1:$1,0)),FALSE)),"")</f>
        <v/>
      </c>
      <c r="AYQ18" s="28" t="str">
        <f>IFERROR(IF(AYZ3="No",IF(VLOOKUP(DATE($K$1,$K$2,AYQ$4),Table1[],(MATCH(Calendar!$A18,DB!$1:$1,0)),FALSE)&gt;=5,"Good","Bad"),VLOOKUP(DATE($K$1,$K$2,AYQ$4),Table1[],(MATCH(Calendar!$A18,DB!$1:$1,0)),FALSE)),"")</f>
        <v/>
      </c>
      <c r="AYR18" s="28" t="str">
        <f>IFERROR(IF(AZA3="No",IF(VLOOKUP(DATE($K$1,$K$2,AYR$4),Table1[],(MATCH(Calendar!$A18,DB!$1:$1,0)),FALSE)&gt;=5,"Good","Bad"),VLOOKUP(DATE($K$1,$K$2,AYR$4),Table1[],(MATCH(Calendar!$A18,DB!$1:$1,0)),FALSE)),"")</f>
        <v/>
      </c>
      <c r="AYS18" s="28" t="str">
        <f>IFERROR(IF(AZB3="No",IF(VLOOKUP(DATE($K$1,$K$2,AYS$4),Table1[],(MATCH(Calendar!$A18,DB!$1:$1,0)),FALSE)&gt;=5,"Good","Bad"),VLOOKUP(DATE($K$1,$K$2,AYS$4),Table1[],(MATCH(Calendar!$A18,DB!$1:$1,0)),FALSE)),"")</f>
        <v/>
      </c>
      <c r="AYT18" s="28" t="str">
        <f>IFERROR(IF(AZC3="No",IF(VLOOKUP(DATE($K$1,$K$2,AYT$4),Table1[],(MATCH(Calendar!$A18,DB!$1:$1,0)),FALSE)&gt;=5,"Good","Bad"),VLOOKUP(DATE($K$1,$K$2,AYT$4),Table1[],(MATCH(Calendar!$A18,DB!$1:$1,0)),FALSE)),"")</f>
        <v/>
      </c>
      <c r="AYU18" s="28" t="str">
        <f>IFERROR(IF(AZD3="No",IF(VLOOKUP(DATE($K$1,$K$2,AYU$4),Table1[],(MATCH(Calendar!$A18,DB!$1:$1,0)),FALSE)&gt;=5,"Good","Bad"),VLOOKUP(DATE($K$1,$K$2,AYU$4),Table1[],(MATCH(Calendar!$A18,DB!$1:$1,0)),FALSE)),"")</f>
        <v/>
      </c>
      <c r="AYV18" s="28" t="str">
        <f>IFERROR(IF(AZE3="No",IF(VLOOKUP(DATE($K$1,$K$2,AYV$4),Table1[],(MATCH(Calendar!$A18,DB!$1:$1,0)),FALSE)&gt;=5,"Good","Bad"),VLOOKUP(DATE($K$1,$K$2,AYV$4),Table1[],(MATCH(Calendar!$A18,DB!$1:$1,0)),FALSE)),"")</f>
        <v/>
      </c>
      <c r="AYW18" s="28" t="str">
        <f>IFERROR(IF(AZF3="No",IF(VLOOKUP(DATE($K$1,$K$2,AYW$4),Table1[],(MATCH(Calendar!$A18,DB!$1:$1,0)),FALSE)&gt;=5,"Good","Bad"),VLOOKUP(DATE($K$1,$K$2,AYW$4),Table1[],(MATCH(Calendar!$A18,DB!$1:$1,0)),FALSE)),"")</f>
        <v/>
      </c>
      <c r="AYX18" s="28" t="str">
        <f>IFERROR(IF(AZG3="No",IF(VLOOKUP(DATE($K$1,$K$2,AYX$4),Table1[],(MATCH(Calendar!$A18,DB!$1:$1,0)),FALSE)&gt;=5,"Good","Bad"),VLOOKUP(DATE($K$1,$K$2,AYX$4),Table1[],(MATCH(Calendar!$A18,DB!$1:$1,0)),FALSE)),"")</f>
        <v/>
      </c>
      <c r="AYY18" s="28" t="str">
        <f>IFERROR(IF(AZH3="No",IF(VLOOKUP(DATE($K$1,$K$2,AYY$4),Table1[],(MATCH(Calendar!$A18,DB!$1:$1,0)),FALSE)&gt;=5,"Good","Bad"),VLOOKUP(DATE($K$1,$K$2,AYY$4),Table1[],(MATCH(Calendar!$A18,DB!$1:$1,0)),FALSE)),"")</f>
        <v/>
      </c>
      <c r="AYZ18" s="28" t="str">
        <f>IFERROR(IF(AZI3="No",IF(VLOOKUP(DATE($K$1,$K$2,AYZ$4),Table1[],(MATCH(Calendar!$A18,DB!$1:$1,0)),FALSE)&gt;=5,"Good","Bad"),VLOOKUP(DATE($K$1,$K$2,AYZ$4),Table1[],(MATCH(Calendar!$A18,DB!$1:$1,0)),FALSE)),"")</f>
        <v/>
      </c>
      <c r="AZA18" s="28" t="str">
        <f>IFERROR(IF(AZJ3="No",IF(VLOOKUP(DATE($K$1,$K$2,AZA$4),Table1[],(MATCH(Calendar!$A18,DB!$1:$1,0)),FALSE)&gt;=5,"Good","Bad"),VLOOKUP(DATE($K$1,$K$2,AZA$4),Table1[],(MATCH(Calendar!$A18,DB!$1:$1,0)),FALSE)),"")</f>
        <v/>
      </c>
      <c r="AZB18" s="28" t="str">
        <f>IFERROR(IF(AZK3="No",IF(VLOOKUP(DATE($K$1,$K$2,AZB$4),Table1[],(MATCH(Calendar!$A18,DB!$1:$1,0)),FALSE)&gt;=5,"Good","Bad"),VLOOKUP(DATE($K$1,$K$2,AZB$4),Table1[],(MATCH(Calendar!$A18,DB!$1:$1,0)),FALSE)),"")</f>
        <v/>
      </c>
      <c r="AZC18" s="28" t="str">
        <f>IFERROR(IF(AZL3="No",IF(VLOOKUP(DATE($K$1,$K$2,AZC$4),Table1[],(MATCH(Calendar!$A18,DB!$1:$1,0)),FALSE)&gt;=5,"Good","Bad"),VLOOKUP(DATE($K$1,$K$2,AZC$4),Table1[],(MATCH(Calendar!$A18,DB!$1:$1,0)),FALSE)),"")</f>
        <v/>
      </c>
      <c r="AZD18" s="28" t="str">
        <f>IFERROR(IF(AZM3="No",IF(VLOOKUP(DATE($K$1,$K$2,AZD$4),Table1[],(MATCH(Calendar!$A18,DB!$1:$1,0)),FALSE)&gt;=5,"Good","Bad"),VLOOKUP(DATE($K$1,$K$2,AZD$4),Table1[],(MATCH(Calendar!$A18,DB!$1:$1,0)),FALSE)),"")</f>
        <v/>
      </c>
      <c r="AZE18" s="28" t="str">
        <f>IFERROR(IF(AZN3="No",IF(VLOOKUP(DATE($K$1,$K$2,AZE$4),Table1[],(MATCH(Calendar!$A18,DB!$1:$1,0)),FALSE)&gt;=5,"Good","Bad"),VLOOKUP(DATE($K$1,$K$2,AZE$4),Table1[],(MATCH(Calendar!$A18,DB!$1:$1,0)),FALSE)),"")</f>
        <v/>
      </c>
      <c r="AZF18" s="28" t="str">
        <f>IFERROR(IF(AZO3="No",IF(VLOOKUP(DATE($K$1,$K$2,AZF$4),Table1[],(MATCH(Calendar!$A18,DB!$1:$1,0)),FALSE)&gt;=5,"Good","Bad"),VLOOKUP(DATE($K$1,$K$2,AZF$4),Table1[],(MATCH(Calendar!$A18,DB!$1:$1,0)),FALSE)),"")</f>
        <v/>
      </c>
      <c r="AZG18" s="28" t="str">
        <f>IFERROR(IF(AZP3="No",IF(VLOOKUP(DATE($K$1,$K$2,AZG$4),Table1[],(MATCH(Calendar!$A18,DB!$1:$1,0)),FALSE)&gt;=5,"Good","Bad"),VLOOKUP(DATE($K$1,$K$2,AZG$4),Table1[],(MATCH(Calendar!$A18,DB!$1:$1,0)),FALSE)),"")</f>
        <v/>
      </c>
      <c r="AZH18" s="28" t="str">
        <f>IFERROR(IF(AZQ3="No",IF(VLOOKUP(DATE($K$1,$K$2,AZH$4),Table1[],(MATCH(Calendar!$A18,DB!$1:$1,0)),FALSE)&gt;=5,"Good","Bad"),VLOOKUP(DATE($K$1,$K$2,AZH$4),Table1[],(MATCH(Calendar!$A18,DB!$1:$1,0)),FALSE)),"")</f>
        <v/>
      </c>
      <c r="AZI18" s="28" t="str">
        <f>IFERROR(IF(AZR3="No",IF(VLOOKUP(DATE($K$1,$K$2,AZI$4),Table1[],(MATCH(Calendar!$A18,DB!$1:$1,0)),FALSE)&gt;=5,"Good","Bad"),VLOOKUP(DATE($K$1,$K$2,AZI$4),Table1[],(MATCH(Calendar!$A18,DB!$1:$1,0)),FALSE)),"")</f>
        <v/>
      </c>
      <c r="AZJ18" s="28" t="str">
        <f>IFERROR(IF(AZS3="No",IF(VLOOKUP(DATE($K$1,$K$2,AZJ$4),Table1[],(MATCH(Calendar!$A18,DB!$1:$1,0)),FALSE)&gt;=5,"Good","Bad"),VLOOKUP(DATE($K$1,$K$2,AZJ$4),Table1[],(MATCH(Calendar!$A18,DB!$1:$1,0)),FALSE)),"")</f>
        <v/>
      </c>
      <c r="AZK18" s="28" t="str">
        <f>IFERROR(IF(AZT3="No",IF(VLOOKUP(DATE($K$1,$K$2,AZK$4),Table1[],(MATCH(Calendar!$A18,DB!$1:$1,0)),FALSE)&gt;=5,"Good","Bad"),VLOOKUP(DATE($K$1,$K$2,AZK$4),Table1[],(MATCH(Calendar!$A18,DB!$1:$1,0)),FALSE)),"")</f>
        <v/>
      </c>
      <c r="AZL18" s="28" t="str">
        <f>IFERROR(IF(AZU3="No",IF(VLOOKUP(DATE($K$1,$K$2,AZL$4),Table1[],(MATCH(Calendar!$A18,DB!$1:$1,0)),FALSE)&gt;=5,"Good","Bad"),VLOOKUP(DATE($K$1,$K$2,AZL$4),Table1[],(MATCH(Calendar!$A18,DB!$1:$1,0)),FALSE)),"")</f>
        <v/>
      </c>
      <c r="AZM18" s="28" t="str">
        <f>IFERROR(IF(AZV3="No",IF(VLOOKUP(DATE($K$1,$K$2,AZM$4),Table1[],(MATCH(Calendar!$A18,DB!$1:$1,0)),FALSE)&gt;=5,"Good","Bad"),VLOOKUP(DATE($K$1,$K$2,AZM$4),Table1[],(MATCH(Calendar!$A18,DB!$1:$1,0)),FALSE)),"")</f>
        <v/>
      </c>
      <c r="AZN18" s="28" t="str">
        <f>IFERROR(IF(AZW3="No",IF(VLOOKUP(DATE($K$1,$K$2,AZN$4),Table1[],(MATCH(Calendar!$A18,DB!$1:$1,0)),FALSE)&gt;=5,"Good","Bad"),VLOOKUP(DATE($K$1,$K$2,AZN$4),Table1[],(MATCH(Calendar!$A18,DB!$1:$1,0)),FALSE)),"")</f>
        <v/>
      </c>
      <c r="AZO18" s="28" t="str">
        <f>IFERROR(IF(AZX3="No",IF(VLOOKUP(DATE($K$1,$K$2,AZO$4),Table1[],(MATCH(Calendar!$A18,DB!$1:$1,0)),FALSE)&gt;=5,"Good","Bad"),VLOOKUP(DATE($K$1,$K$2,AZO$4),Table1[],(MATCH(Calendar!$A18,DB!$1:$1,0)),FALSE)),"")</f>
        <v/>
      </c>
      <c r="AZP18" s="28" t="str">
        <f>IFERROR(IF(AZY3="No",IF(VLOOKUP(DATE($K$1,$K$2,AZP$4),Table1[],(MATCH(Calendar!$A18,DB!$1:$1,0)),FALSE)&gt;=5,"Good","Bad"),VLOOKUP(DATE($K$1,$K$2,AZP$4),Table1[],(MATCH(Calendar!$A18,DB!$1:$1,0)),FALSE)),"")</f>
        <v/>
      </c>
      <c r="AZQ18" s="28" t="str">
        <f>IFERROR(IF(AZZ3="No",IF(VLOOKUP(DATE($K$1,$K$2,AZQ$4),Table1[],(MATCH(Calendar!$A18,DB!$1:$1,0)),FALSE)&gt;=5,"Good","Bad"),VLOOKUP(DATE($K$1,$K$2,AZQ$4),Table1[],(MATCH(Calendar!$A18,DB!$1:$1,0)),FALSE)),"")</f>
        <v/>
      </c>
      <c r="AZR18" s="28" t="str">
        <f>IFERROR(IF(BAA3="No",IF(VLOOKUP(DATE($K$1,$K$2,AZR$4),Table1[],(MATCH(Calendar!$A18,DB!$1:$1,0)),FALSE)&gt;=5,"Good","Bad"),VLOOKUP(DATE($K$1,$K$2,AZR$4),Table1[],(MATCH(Calendar!$A18,DB!$1:$1,0)),FALSE)),"")</f>
        <v/>
      </c>
      <c r="AZS18" s="28" t="str">
        <f>IFERROR(IF(BAB3="No",IF(VLOOKUP(DATE($K$1,$K$2,AZS$4),Table1[],(MATCH(Calendar!$A18,DB!$1:$1,0)),FALSE)&gt;=5,"Good","Bad"),VLOOKUP(DATE($K$1,$K$2,AZS$4),Table1[],(MATCH(Calendar!$A18,DB!$1:$1,0)),FALSE)),"")</f>
        <v/>
      </c>
      <c r="AZT18" s="28" t="str">
        <f>IFERROR(IF(BAC3="No",IF(VLOOKUP(DATE($K$1,$K$2,AZT$4),Table1[],(MATCH(Calendar!$A18,DB!$1:$1,0)),FALSE)&gt;=5,"Good","Bad"),VLOOKUP(DATE($K$1,$K$2,AZT$4),Table1[],(MATCH(Calendar!$A18,DB!$1:$1,0)),FALSE)),"")</f>
        <v/>
      </c>
      <c r="AZU18" s="28" t="str">
        <f>IFERROR(IF(BAD3="No",IF(VLOOKUP(DATE($K$1,$K$2,AZU$4),Table1[],(MATCH(Calendar!$A18,DB!$1:$1,0)),FALSE)&gt;=5,"Good","Bad"),VLOOKUP(DATE($K$1,$K$2,AZU$4),Table1[],(MATCH(Calendar!$A18,DB!$1:$1,0)),FALSE)),"")</f>
        <v/>
      </c>
      <c r="AZV18" s="28" t="str">
        <f>IFERROR(IF(BAE3="No",IF(VLOOKUP(DATE($K$1,$K$2,AZV$4),Table1[],(MATCH(Calendar!$A18,DB!$1:$1,0)),FALSE)&gt;=5,"Good","Bad"),VLOOKUP(DATE($K$1,$K$2,AZV$4),Table1[],(MATCH(Calendar!$A18,DB!$1:$1,0)),FALSE)),"")</f>
        <v/>
      </c>
      <c r="AZW18" s="28" t="str">
        <f>IFERROR(IF(BAF3="No",IF(VLOOKUP(DATE($K$1,$K$2,AZW$4),Table1[],(MATCH(Calendar!$A18,DB!$1:$1,0)),FALSE)&gt;=5,"Good","Bad"),VLOOKUP(DATE($K$1,$K$2,AZW$4),Table1[],(MATCH(Calendar!$A18,DB!$1:$1,0)),FALSE)),"")</f>
        <v/>
      </c>
      <c r="AZX18" s="28" t="str">
        <f>IFERROR(IF(BAG3="No",IF(VLOOKUP(DATE($K$1,$K$2,AZX$4),Table1[],(MATCH(Calendar!$A18,DB!$1:$1,0)),FALSE)&gt;=5,"Good","Bad"),VLOOKUP(DATE($K$1,$K$2,AZX$4),Table1[],(MATCH(Calendar!$A18,DB!$1:$1,0)),FALSE)),"")</f>
        <v/>
      </c>
      <c r="AZY18" s="28" t="str">
        <f>IFERROR(IF(BAH3="No",IF(VLOOKUP(DATE($K$1,$K$2,AZY$4),Table1[],(MATCH(Calendar!$A18,DB!$1:$1,0)),FALSE)&gt;=5,"Good","Bad"),VLOOKUP(DATE($K$1,$K$2,AZY$4),Table1[],(MATCH(Calendar!$A18,DB!$1:$1,0)),FALSE)),"")</f>
        <v/>
      </c>
      <c r="AZZ18" s="28" t="str">
        <f>IFERROR(IF(BAI3="No",IF(VLOOKUP(DATE($K$1,$K$2,AZZ$4),Table1[],(MATCH(Calendar!$A18,DB!$1:$1,0)),FALSE)&gt;=5,"Good","Bad"),VLOOKUP(DATE($K$1,$K$2,AZZ$4),Table1[],(MATCH(Calendar!$A18,DB!$1:$1,0)),FALSE)),"")</f>
        <v/>
      </c>
      <c r="BAA18" s="28" t="str">
        <f>IFERROR(IF(BAJ3="No",IF(VLOOKUP(DATE($K$1,$K$2,BAA$4),Table1[],(MATCH(Calendar!$A18,DB!$1:$1,0)),FALSE)&gt;=5,"Good","Bad"),VLOOKUP(DATE($K$1,$K$2,BAA$4),Table1[],(MATCH(Calendar!$A18,DB!$1:$1,0)),FALSE)),"")</f>
        <v/>
      </c>
      <c r="BAB18" s="28" t="str">
        <f>IFERROR(IF(BAK3="No",IF(VLOOKUP(DATE($K$1,$K$2,BAB$4),Table1[],(MATCH(Calendar!$A18,DB!$1:$1,0)),FALSE)&gt;=5,"Good","Bad"),VLOOKUP(DATE($K$1,$K$2,BAB$4),Table1[],(MATCH(Calendar!$A18,DB!$1:$1,0)),FALSE)),"")</f>
        <v/>
      </c>
      <c r="BAC18" s="28" t="str">
        <f>IFERROR(IF(BAL3="No",IF(VLOOKUP(DATE($K$1,$K$2,BAC$4),Table1[],(MATCH(Calendar!$A18,DB!$1:$1,0)),FALSE)&gt;=5,"Good","Bad"),VLOOKUP(DATE($K$1,$K$2,BAC$4),Table1[],(MATCH(Calendar!$A18,DB!$1:$1,0)),FALSE)),"")</f>
        <v/>
      </c>
      <c r="BAD18" s="28" t="str">
        <f>IFERROR(IF(BAM3="No",IF(VLOOKUP(DATE($K$1,$K$2,BAD$4),Table1[],(MATCH(Calendar!$A18,DB!$1:$1,0)),FALSE)&gt;=5,"Good","Bad"),VLOOKUP(DATE($K$1,$K$2,BAD$4),Table1[],(MATCH(Calendar!$A18,DB!$1:$1,0)),FALSE)),"")</f>
        <v/>
      </c>
      <c r="BAE18" s="28" t="str">
        <f>IFERROR(IF(BAN3="No",IF(VLOOKUP(DATE($K$1,$K$2,BAE$4),Table1[],(MATCH(Calendar!$A18,DB!$1:$1,0)),FALSE)&gt;=5,"Good","Bad"),VLOOKUP(DATE($K$1,$K$2,BAE$4),Table1[],(MATCH(Calendar!$A18,DB!$1:$1,0)),FALSE)),"")</f>
        <v/>
      </c>
      <c r="BAF18" s="28" t="str">
        <f>IFERROR(IF(BAO3="No",IF(VLOOKUP(DATE($K$1,$K$2,BAF$4),Table1[],(MATCH(Calendar!$A18,DB!$1:$1,0)),FALSE)&gt;=5,"Good","Bad"),VLOOKUP(DATE($K$1,$K$2,BAF$4),Table1[],(MATCH(Calendar!$A18,DB!$1:$1,0)),FALSE)),"")</f>
        <v/>
      </c>
      <c r="BAG18" s="28" t="str">
        <f>IFERROR(IF(BAP3="No",IF(VLOOKUP(DATE($K$1,$K$2,BAG$4),Table1[],(MATCH(Calendar!$A18,DB!$1:$1,0)),FALSE)&gt;=5,"Good","Bad"),VLOOKUP(DATE($K$1,$K$2,BAG$4),Table1[],(MATCH(Calendar!$A18,DB!$1:$1,0)),FALSE)),"")</f>
        <v/>
      </c>
      <c r="BAH18" s="28" t="str">
        <f>IFERROR(IF(BAQ3="No",IF(VLOOKUP(DATE($K$1,$K$2,BAH$4),Table1[],(MATCH(Calendar!$A18,DB!$1:$1,0)),FALSE)&gt;=5,"Good","Bad"),VLOOKUP(DATE($K$1,$K$2,BAH$4),Table1[],(MATCH(Calendar!$A18,DB!$1:$1,0)),FALSE)),"")</f>
        <v/>
      </c>
      <c r="BAI18" s="28" t="str">
        <f>IFERROR(IF(BAR3="No",IF(VLOOKUP(DATE($K$1,$K$2,BAI$4),Table1[],(MATCH(Calendar!$A18,DB!$1:$1,0)),FALSE)&gt;=5,"Good","Bad"),VLOOKUP(DATE($K$1,$K$2,BAI$4),Table1[],(MATCH(Calendar!$A18,DB!$1:$1,0)),FALSE)),"")</f>
        <v/>
      </c>
      <c r="BAJ18" s="28" t="str">
        <f>IFERROR(IF(BAS3="No",IF(VLOOKUP(DATE($K$1,$K$2,BAJ$4),Table1[],(MATCH(Calendar!$A18,DB!$1:$1,0)),FALSE)&gt;=5,"Good","Bad"),VLOOKUP(DATE($K$1,$K$2,BAJ$4),Table1[],(MATCH(Calendar!$A18,DB!$1:$1,0)),FALSE)),"")</f>
        <v/>
      </c>
      <c r="BAK18" s="28" t="str">
        <f>IFERROR(IF(BAT3="No",IF(VLOOKUP(DATE($K$1,$K$2,BAK$4),Table1[],(MATCH(Calendar!$A18,DB!$1:$1,0)),FALSE)&gt;=5,"Good","Bad"),VLOOKUP(DATE($K$1,$K$2,BAK$4),Table1[],(MATCH(Calendar!$A18,DB!$1:$1,0)),FALSE)),"")</f>
        <v/>
      </c>
      <c r="BAL18" s="28" t="str">
        <f>IFERROR(IF(BAU3="No",IF(VLOOKUP(DATE($K$1,$K$2,BAL$4),Table1[],(MATCH(Calendar!$A18,DB!$1:$1,0)),FALSE)&gt;=5,"Good","Bad"),VLOOKUP(DATE($K$1,$K$2,BAL$4),Table1[],(MATCH(Calendar!$A18,DB!$1:$1,0)),FALSE)),"")</f>
        <v/>
      </c>
      <c r="BAM18" s="28" t="str">
        <f>IFERROR(IF(BAV3="No",IF(VLOOKUP(DATE($K$1,$K$2,BAM$4),Table1[],(MATCH(Calendar!$A18,DB!$1:$1,0)),FALSE)&gt;=5,"Good","Bad"),VLOOKUP(DATE($K$1,$K$2,BAM$4),Table1[],(MATCH(Calendar!$A18,DB!$1:$1,0)),FALSE)),"")</f>
        <v/>
      </c>
      <c r="BAN18" s="28" t="str">
        <f>IFERROR(IF(BAW3="No",IF(VLOOKUP(DATE($K$1,$K$2,BAN$4),Table1[],(MATCH(Calendar!$A18,DB!$1:$1,0)),FALSE)&gt;=5,"Good","Bad"),VLOOKUP(DATE($K$1,$K$2,BAN$4),Table1[],(MATCH(Calendar!$A18,DB!$1:$1,0)),FALSE)),"")</f>
        <v/>
      </c>
      <c r="BAO18" s="28" t="str">
        <f>IFERROR(IF(BAX3="No",IF(VLOOKUP(DATE($K$1,$K$2,BAO$4),Table1[],(MATCH(Calendar!$A18,DB!$1:$1,0)),FALSE)&gt;=5,"Good","Bad"),VLOOKUP(DATE($K$1,$K$2,BAO$4),Table1[],(MATCH(Calendar!$A18,DB!$1:$1,0)),FALSE)),"")</f>
        <v/>
      </c>
      <c r="BAP18" s="28" t="str">
        <f>IFERROR(IF(BAY3="No",IF(VLOOKUP(DATE($K$1,$K$2,BAP$4),Table1[],(MATCH(Calendar!$A18,DB!$1:$1,0)),FALSE)&gt;=5,"Good","Bad"),VLOOKUP(DATE($K$1,$K$2,BAP$4),Table1[],(MATCH(Calendar!$A18,DB!$1:$1,0)),FALSE)),"")</f>
        <v/>
      </c>
      <c r="BAQ18" s="28" t="str">
        <f>IFERROR(IF(BAZ3="No",IF(VLOOKUP(DATE($K$1,$K$2,BAQ$4),Table1[],(MATCH(Calendar!$A18,DB!$1:$1,0)),FALSE)&gt;=5,"Good","Bad"),VLOOKUP(DATE($K$1,$K$2,BAQ$4),Table1[],(MATCH(Calendar!$A18,DB!$1:$1,0)),FALSE)),"")</f>
        <v/>
      </c>
      <c r="BAR18" s="28" t="str">
        <f>IFERROR(IF(BBA3="No",IF(VLOOKUP(DATE($K$1,$K$2,BAR$4),Table1[],(MATCH(Calendar!$A18,DB!$1:$1,0)),FALSE)&gt;=5,"Good","Bad"),VLOOKUP(DATE($K$1,$K$2,BAR$4),Table1[],(MATCH(Calendar!$A18,DB!$1:$1,0)),FALSE)),"")</f>
        <v/>
      </c>
      <c r="BAS18" s="28" t="str">
        <f>IFERROR(IF(BBB3="No",IF(VLOOKUP(DATE($K$1,$K$2,BAS$4),Table1[],(MATCH(Calendar!$A18,DB!$1:$1,0)),FALSE)&gt;=5,"Good","Bad"),VLOOKUP(DATE($K$1,$K$2,BAS$4),Table1[],(MATCH(Calendar!$A18,DB!$1:$1,0)),FALSE)),"")</f>
        <v/>
      </c>
      <c r="BAT18" s="28" t="str">
        <f>IFERROR(IF(BBC3="No",IF(VLOOKUP(DATE($K$1,$K$2,BAT$4),Table1[],(MATCH(Calendar!$A18,DB!$1:$1,0)),FALSE)&gt;=5,"Good","Bad"),VLOOKUP(DATE($K$1,$K$2,BAT$4),Table1[],(MATCH(Calendar!$A18,DB!$1:$1,0)),FALSE)),"")</f>
        <v/>
      </c>
      <c r="BAU18" s="28" t="str">
        <f>IFERROR(IF(BBD3="No",IF(VLOOKUP(DATE($K$1,$K$2,BAU$4),Table1[],(MATCH(Calendar!$A18,DB!$1:$1,0)),FALSE)&gt;=5,"Good","Bad"),VLOOKUP(DATE($K$1,$K$2,BAU$4),Table1[],(MATCH(Calendar!$A18,DB!$1:$1,0)),FALSE)),"")</f>
        <v/>
      </c>
      <c r="BAV18" s="28" t="str">
        <f>IFERROR(IF(BBE3="No",IF(VLOOKUP(DATE($K$1,$K$2,BAV$4),Table1[],(MATCH(Calendar!$A18,DB!$1:$1,0)),FALSE)&gt;=5,"Good","Bad"),VLOOKUP(DATE($K$1,$K$2,BAV$4),Table1[],(MATCH(Calendar!$A18,DB!$1:$1,0)),FALSE)),"")</f>
        <v/>
      </c>
      <c r="BAW18" s="28" t="str">
        <f>IFERROR(IF(BBF3="No",IF(VLOOKUP(DATE($K$1,$K$2,BAW$4),Table1[],(MATCH(Calendar!$A18,DB!$1:$1,0)),FALSE)&gt;=5,"Good","Bad"),VLOOKUP(DATE($K$1,$K$2,BAW$4),Table1[],(MATCH(Calendar!$A18,DB!$1:$1,0)),FALSE)),"")</f>
        <v/>
      </c>
      <c r="BAX18" s="28" t="str">
        <f>IFERROR(IF(BBG3="No",IF(VLOOKUP(DATE($K$1,$K$2,BAX$4),Table1[],(MATCH(Calendar!$A18,DB!$1:$1,0)),FALSE)&gt;=5,"Good","Bad"),VLOOKUP(DATE($K$1,$K$2,BAX$4),Table1[],(MATCH(Calendar!$A18,DB!$1:$1,0)),FALSE)),"")</f>
        <v/>
      </c>
      <c r="BAY18" s="28" t="str">
        <f>IFERROR(IF(BBH3="No",IF(VLOOKUP(DATE($K$1,$K$2,BAY$4),Table1[],(MATCH(Calendar!$A18,DB!$1:$1,0)),FALSE)&gt;=5,"Good","Bad"),VLOOKUP(DATE($K$1,$K$2,BAY$4),Table1[],(MATCH(Calendar!$A18,DB!$1:$1,0)),FALSE)),"")</f>
        <v/>
      </c>
      <c r="BAZ18" s="28" t="str">
        <f>IFERROR(IF(BBI3="No",IF(VLOOKUP(DATE($K$1,$K$2,BAZ$4),Table1[],(MATCH(Calendar!$A18,DB!$1:$1,0)),FALSE)&gt;=5,"Good","Bad"),VLOOKUP(DATE($K$1,$K$2,BAZ$4),Table1[],(MATCH(Calendar!$A18,DB!$1:$1,0)),FALSE)),"")</f>
        <v/>
      </c>
      <c r="BBA18" s="28" t="str">
        <f>IFERROR(IF(BBJ3="No",IF(VLOOKUP(DATE($K$1,$K$2,BBA$4),Table1[],(MATCH(Calendar!$A18,DB!$1:$1,0)),FALSE)&gt;=5,"Good","Bad"),VLOOKUP(DATE($K$1,$K$2,BBA$4),Table1[],(MATCH(Calendar!$A18,DB!$1:$1,0)),FALSE)),"")</f>
        <v/>
      </c>
      <c r="BBB18" s="28" t="str">
        <f>IFERROR(IF(BBK3="No",IF(VLOOKUP(DATE($K$1,$K$2,BBB$4),Table1[],(MATCH(Calendar!$A18,DB!$1:$1,0)),FALSE)&gt;=5,"Good","Bad"),VLOOKUP(DATE($K$1,$K$2,BBB$4),Table1[],(MATCH(Calendar!$A18,DB!$1:$1,0)),FALSE)),"")</f>
        <v/>
      </c>
      <c r="BBC18" s="28" t="str">
        <f>IFERROR(IF(BBL3="No",IF(VLOOKUP(DATE($K$1,$K$2,BBC$4),Table1[],(MATCH(Calendar!$A18,DB!$1:$1,0)),FALSE)&gt;=5,"Good","Bad"),VLOOKUP(DATE($K$1,$K$2,BBC$4),Table1[],(MATCH(Calendar!$A18,DB!$1:$1,0)),FALSE)),"")</f>
        <v/>
      </c>
      <c r="BBD18" s="28" t="str">
        <f>IFERROR(IF(BBM3="No",IF(VLOOKUP(DATE($K$1,$K$2,BBD$4),Table1[],(MATCH(Calendar!$A18,DB!$1:$1,0)),FALSE)&gt;=5,"Good","Bad"),VLOOKUP(DATE($K$1,$K$2,BBD$4),Table1[],(MATCH(Calendar!$A18,DB!$1:$1,0)),FALSE)),"")</f>
        <v/>
      </c>
      <c r="BBE18" s="28" t="str">
        <f>IFERROR(IF(BBN3="No",IF(VLOOKUP(DATE($K$1,$K$2,BBE$4),Table1[],(MATCH(Calendar!$A18,DB!$1:$1,0)),FALSE)&gt;=5,"Good","Bad"),VLOOKUP(DATE($K$1,$K$2,BBE$4),Table1[],(MATCH(Calendar!$A18,DB!$1:$1,0)),FALSE)),"")</f>
        <v/>
      </c>
      <c r="BBF18" s="28" t="str">
        <f>IFERROR(IF(BBO3="No",IF(VLOOKUP(DATE($K$1,$K$2,BBF$4),Table1[],(MATCH(Calendar!$A18,DB!$1:$1,0)),FALSE)&gt;=5,"Good","Bad"),VLOOKUP(DATE($K$1,$K$2,BBF$4),Table1[],(MATCH(Calendar!$A18,DB!$1:$1,0)),FALSE)),"")</f>
        <v/>
      </c>
      <c r="BBG18" s="28" t="str">
        <f>IFERROR(IF(BBP3="No",IF(VLOOKUP(DATE($K$1,$K$2,BBG$4),Table1[],(MATCH(Calendar!$A18,DB!$1:$1,0)),FALSE)&gt;=5,"Good","Bad"),VLOOKUP(DATE($K$1,$K$2,BBG$4),Table1[],(MATCH(Calendar!$A18,DB!$1:$1,0)),FALSE)),"")</f>
        <v/>
      </c>
      <c r="BBH18" s="28" t="str">
        <f>IFERROR(IF(BBQ3="No",IF(VLOOKUP(DATE($K$1,$K$2,BBH$4),Table1[],(MATCH(Calendar!$A18,DB!$1:$1,0)),FALSE)&gt;=5,"Good","Bad"),VLOOKUP(DATE($K$1,$K$2,BBH$4),Table1[],(MATCH(Calendar!$A18,DB!$1:$1,0)),FALSE)),"")</f>
        <v/>
      </c>
      <c r="BBI18" s="28" t="str">
        <f>IFERROR(IF(BBR3="No",IF(VLOOKUP(DATE($K$1,$K$2,BBI$4),Table1[],(MATCH(Calendar!$A18,DB!$1:$1,0)),FALSE)&gt;=5,"Good","Bad"),VLOOKUP(DATE($K$1,$K$2,BBI$4),Table1[],(MATCH(Calendar!$A18,DB!$1:$1,0)),FALSE)),"")</f>
        <v/>
      </c>
      <c r="BBJ18" s="28" t="str">
        <f>IFERROR(IF(BBS3="No",IF(VLOOKUP(DATE($K$1,$K$2,BBJ$4),Table1[],(MATCH(Calendar!$A18,DB!$1:$1,0)),FALSE)&gt;=5,"Good","Bad"),VLOOKUP(DATE($K$1,$K$2,BBJ$4),Table1[],(MATCH(Calendar!$A18,DB!$1:$1,0)),FALSE)),"")</f>
        <v/>
      </c>
      <c r="BBK18" s="28" t="str">
        <f>IFERROR(IF(BBT3="No",IF(VLOOKUP(DATE($K$1,$K$2,BBK$4),Table1[],(MATCH(Calendar!$A18,DB!$1:$1,0)),FALSE)&gt;=5,"Good","Bad"),VLOOKUP(DATE($K$1,$K$2,BBK$4),Table1[],(MATCH(Calendar!$A18,DB!$1:$1,0)),FALSE)),"")</f>
        <v/>
      </c>
      <c r="BBL18" s="28" t="str">
        <f>IFERROR(IF(BBU3="No",IF(VLOOKUP(DATE($K$1,$K$2,BBL$4),Table1[],(MATCH(Calendar!$A18,DB!$1:$1,0)),FALSE)&gt;=5,"Good","Bad"),VLOOKUP(DATE($K$1,$K$2,BBL$4),Table1[],(MATCH(Calendar!$A18,DB!$1:$1,0)),FALSE)),"")</f>
        <v/>
      </c>
      <c r="BBM18" s="28" t="str">
        <f>IFERROR(IF(BBV3="No",IF(VLOOKUP(DATE($K$1,$K$2,BBM$4),Table1[],(MATCH(Calendar!$A18,DB!$1:$1,0)),FALSE)&gt;=5,"Good","Bad"),VLOOKUP(DATE($K$1,$K$2,BBM$4),Table1[],(MATCH(Calendar!$A18,DB!$1:$1,0)),FALSE)),"")</f>
        <v/>
      </c>
      <c r="BBN18" s="28" t="str">
        <f>IFERROR(IF(BBW3="No",IF(VLOOKUP(DATE($K$1,$K$2,BBN$4),Table1[],(MATCH(Calendar!$A18,DB!$1:$1,0)),FALSE)&gt;=5,"Good","Bad"),VLOOKUP(DATE($K$1,$K$2,BBN$4),Table1[],(MATCH(Calendar!$A18,DB!$1:$1,0)),FALSE)),"")</f>
        <v/>
      </c>
      <c r="BBO18" s="28" t="str">
        <f>IFERROR(IF(BBX3="No",IF(VLOOKUP(DATE($K$1,$K$2,BBO$4),Table1[],(MATCH(Calendar!$A18,DB!$1:$1,0)),FALSE)&gt;=5,"Good","Bad"),VLOOKUP(DATE($K$1,$K$2,BBO$4),Table1[],(MATCH(Calendar!$A18,DB!$1:$1,0)),FALSE)),"")</f>
        <v/>
      </c>
      <c r="BBP18" s="28" t="str">
        <f>IFERROR(IF(BBY3="No",IF(VLOOKUP(DATE($K$1,$K$2,BBP$4),Table1[],(MATCH(Calendar!$A18,DB!$1:$1,0)),FALSE)&gt;=5,"Good","Bad"),VLOOKUP(DATE($K$1,$K$2,BBP$4),Table1[],(MATCH(Calendar!$A18,DB!$1:$1,0)),FALSE)),"")</f>
        <v/>
      </c>
      <c r="BBQ18" s="28" t="str">
        <f>IFERROR(IF(BBZ3="No",IF(VLOOKUP(DATE($K$1,$K$2,BBQ$4),Table1[],(MATCH(Calendar!$A18,DB!$1:$1,0)),FALSE)&gt;=5,"Good","Bad"),VLOOKUP(DATE($K$1,$K$2,BBQ$4),Table1[],(MATCH(Calendar!$A18,DB!$1:$1,0)),FALSE)),"")</f>
        <v/>
      </c>
      <c r="BBR18" s="28" t="str">
        <f>IFERROR(IF(BCA3="No",IF(VLOOKUP(DATE($K$1,$K$2,BBR$4),Table1[],(MATCH(Calendar!$A18,DB!$1:$1,0)),FALSE)&gt;=5,"Good","Bad"),VLOOKUP(DATE($K$1,$K$2,BBR$4),Table1[],(MATCH(Calendar!$A18,DB!$1:$1,0)),FALSE)),"")</f>
        <v/>
      </c>
      <c r="BBS18" s="28" t="str">
        <f>IFERROR(IF(BCB3="No",IF(VLOOKUP(DATE($K$1,$K$2,BBS$4),Table1[],(MATCH(Calendar!$A18,DB!$1:$1,0)),FALSE)&gt;=5,"Good","Bad"),VLOOKUP(DATE($K$1,$K$2,BBS$4),Table1[],(MATCH(Calendar!$A18,DB!$1:$1,0)),FALSE)),"")</f>
        <v/>
      </c>
      <c r="BBT18" s="28" t="str">
        <f>IFERROR(IF(BCC3="No",IF(VLOOKUP(DATE($K$1,$K$2,BBT$4),Table1[],(MATCH(Calendar!$A18,DB!$1:$1,0)),FALSE)&gt;=5,"Good","Bad"),VLOOKUP(DATE($K$1,$K$2,BBT$4),Table1[],(MATCH(Calendar!$A18,DB!$1:$1,0)),FALSE)),"")</f>
        <v/>
      </c>
      <c r="BBU18" s="28" t="str">
        <f>IFERROR(IF(BCD3="No",IF(VLOOKUP(DATE($K$1,$K$2,BBU$4),Table1[],(MATCH(Calendar!$A18,DB!$1:$1,0)),FALSE)&gt;=5,"Good","Bad"),VLOOKUP(DATE($K$1,$K$2,BBU$4),Table1[],(MATCH(Calendar!$A18,DB!$1:$1,0)),FALSE)),"")</f>
        <v/>
      </c>
      <c r="BBV18" s="28" t="str">
        <f>IFERROR(IF(BCE3="No",IF(VLOOKUP(DATE($K$1,$K$2,BBV$4),Table1[],(MATCH(Calendar!$A18,DB!$1:$1,0)),FALSE)&gt;=5,"Good","Bad"),VLOOKUP(DATE($K$1,$K$2,BBV$4),Table1[],(MATCH(Calendar!$A18,DB!$1:$1,0)),FALSE)),"")</f>
        <v/>
      </c>
      <c r="BBW18" s="28" t="str">
        <f>IFERROR(IF(BCF3="No",IF(VLOOKUP(DATE($K$1,$K$2,BBW$4),Table1[],(MATCH(Calendar!$A18,DB!$1:$1,0)),FALSE)&gt;=5,"Good","Bad"),VLOOKUP(DATE($K$1,$K$2,BBW$4),Table1[],(MATCH(Calendar!$A18,DB!$1:$1,0)),FALSE)),"")</f>
        <v/>
      </c>
      <c r="BBX18" s="28" t="str">
        <f>IFERROR(IF(BCG3="No",IF(VLOOKUP(DATE($K$1,$K$2,BBX$4),Table1[],(MATCH(Calendar!$A18,DB!$1:$1,0)),FALSE)&gt;=5,"Good","Bad"),VLOOKUP(DATE($K$1,$K$2,BBX$4),Table1[],(MATCH(Calendar!$A18,DB!$1:$1,0)),FALSE)),"")</f>
        <v/>
      </c>
      <c r="BBY18" s="28" t="str">
        <f>IFERROR(IF(BCH3="No",IF(VLOOKUP(DATE($K$1,$K$2,BBY$4),Table1[],(MATCH(Calendar!$A18,DB!$1:$1,0)),FALSE)&gt;=5,"Good","Bad"),VLOOKUP(DATE($K$1,$K$2,BBY$4),Table1[],(MATCH(Calendar!$A18,DB!$1:$1,0)),FALSE)),"")</f>
        <v/>
      </c>
      <c r="BBZ18" s="28" t="str">
        <f>IFERROR(IF(BCI3="No",IF(VLOOKUP(DATE($K$1,$K$2,BBZ$4),Table1[],(MATCH(Calendar!$A18,DB!$1:$1,0)),FALSE)&gt;=5,"Good","Bad"),VLOOKUP(DATE($K$1,$K$2,BBZ$4),Table1[],(MATCH(Calendar!$A18,DB!$1:$1,0)),FALSE)),"")</f>
        <v/>
      </c>
      <c r="BCA18" s="28" t="str">
        <f>IFERROR(IF(BCJ3="No",IF(VLOOKUP(DATE($K$1,$K$2,BCA$4),Table1[],(MATCH(Calendar!$A18,DB!$1:$1,0)),FALSE)&gt;=5,"Good","Bad"),VLOOKUP(DATE($K$1,$K$2,BCA$4),Table1[],(MATCH(Calendar!$A18,DB!$1:$1,0)),FALSE)),"")</f>
        <v/>
      </c>
      <c r="BCB18" s="28" t="str">
        <f>IFERROR(IF(BCK3="No",IF(VLOOKUP(DATE($K$1,$K$2,BCB$4),Table1[],(MATCH(Calendar!$A18,DB!$1:$1,0)),FALSE)&gt;=5,"Good","Bad"),VLOOKUP(DATE($K$1,$K$2,BCB$4),Table1[],(MATCH(Calendar!$A18,DB!$1:$1,0)),FALSE)),"")</f>
        <v/>
      </c>
      <c r="BCC18" s="28" t="str">
        <f>IFERROR(IF(BCL3="No",IF(VLOOKUP(DATE($K$1,$K$2,BCC$4),Table1[],(MATCH(Calendar!$A18,DB!$1:$1,0)),FALSE)&gt;=5,"Good","Bad"),VLOOKUP(DATE($K$1,$K$2,BCC$4),Table1[],(MATCH(Calendar!$A18,DB!$1:$1,0)),FALSE)),"")</f>
        <v/>
      </c>
      <c r="BCD18" s="28" t="str">
        <f>IFERROR(IF(BCM3="No",IF(VLOOKUP(DATE($K$1,$K$2,BCD$4),Table1[],(MATCH(Calendar!$A18,DB!$1:$1,0)),FALSE)&gt;=5,"Good","Bad"),VLOOKUP(DATE($K$1,$K$2,BCD$4),Table1[],(MATCH(Calendar!$A18,DB!$1:$1,0)),FALSE)),"")</f>
        <v/>
      </c>
      <c r="BCE18" s="28" t="str">
        <f>IFERROR(IF(BCN3="No",IF(VLOOKUP(DATE($K$1,$K$2,BCE$4),Table1[],(MATCH(Calendar!$A18,DB!$1:$1,0)),FALSE)&gt;=5,"Good","Bad"),VLOOKUP(DATE($K$1,$K$2,BCE$4),Table1[],(MATCH(Calendar!$A18,DB!$1:$1,0)),FALSE)),"")</f>
        <v/>
      </c>
      <c r="BCF18" s="28" t="str">
        <f>IFERROR(IF(BCO3="No",IF(VLOOKUP(DATE($K$1,$K$2,BCF$4),Table1[],(MATCH(Calendar!$A18,DB!$1:$1,0)),FALSE)&gt;=5,"Good","Bad"),VLOOKUP(DATE($K$1,$K$2,BCF$4),Table1[],(MATCH(Calendar!$A18,DB!$1:$1,0)),FALSE)),"")</f>
        <v/>
      </c>
      <c r="BCG18" s="28" t="str">
        <f>IFERROR(IF(BCP3="No",IF(VLOOKUP(DATE($K$1,$K$2,BCG$4),Table1[],(MATCH(Calendar!$A18,DB!$1:$1,0)),FALSE)&gt;=5,"Good","Bad"),VLOOKUP(DATE($K$1,$K$2,BCG$4),Table1[],(MATCH(Calendar!$A18,DB!$1:$1,0)),FALSE)),"")</f>
        <v/>
      </c>
      <c r="BCH18" s="28" t="str">
        <f>IFERROR(IF(BCQ3="No",IF(VLOOKUP(DATE($K$1,$K$2,BCH$4),Table1[],(MATCH(Calendar!$A18,DB!$1:$1,0)),FALSE)&gt;=5,"Good","Bad"),VLOOKUP(DATE($K$1,$K$2,BCH$4),Table1[],(MATCH(Calendar!$A18,DB!$1:$1,0)),FALSE)),"")</f>
        <v/>
      </c>
      <c r="BCI18" s="28" t="str">
        <f>IFERROR(IF(BCR3="No",IF(VLOOKUP(DATE($K$1,$K$2,BCI$4),Table1[],(MATCH(Calendar!$A18,DB!$1:$1,0)),FALSE)&gt;=5,"Good","Bad"),VLOOKUP(DATE($K$1,$K$2,BCI$4),Table1[],(MATCH(Calendar!$A18,DB!$1:$1,0)),FALSE)),"")</f>
        <v/>
      </c>
      <c r="BCJ18" s="28" t="str">
        <f>IFERROR(IF(BCS3="No",IF(VLOOKUP(DATE($K$1,$K$2,BCJ$4),Table1[],(MATCH(Calendar!$A18,DB!$1:$1,0)),FALSE)&gt;=5,"Good","Bad"),VLOOKUP(DATE($K$1,$K$2,BCJ$4),Table1[],(MATCH(Calendar!$A18,DB!$1:$1,0)),FALSE)),"")</f>
        <v/>
      </c>
      <c r="BCK18" s="28" t="str">
        <f>IFERROR(IF(BCT3="No",IF(VLOOKUP(DATE($K$1,$K$2,BCK$4),Table1[],(MATCH(Calendar!$A18,DB!$1:$1,0)),FALSE)&gt;=5,"Good","Bad"),VLOOKUP(DATE($K$1,$K$2,BCK$4),Table1[],(MATCH(Calendar!$A18,DB!$1:$1,0)),FALSE)),"")</f>
        <v/>
      </c>
      <c r="BCL18" s="28" t="str">
        <f>IFERROR(IF(BCU3="No",IF(VLOOKUP(DATE($K$1,$K$2,BCL$4),Table1[],(MATCH(Calendar!$A18,DB!$1:$1,0)),FALSE)&gt;=5,"Good","Bad"),VLOOKUP(DATE($K$1,$K$2,BCL$4),Table1[],(MATCH(Calendar!$A18,DB!$1:$1,0)),FALSE)),"")</f>
        <v/>
      </c>
      <c r="BCM18" s="28" t="str">
        <f>IFERROR(IF(BCV3="No",IF(VLOOKUP(DATE($K$1,$K$2,BCM$4),Table1[],(MATCH(Calendar!$A18,DB!$1:$1,0)),FALSE)&gt;=5,"Good","Bad"),VLOOKUP(DATE($K$1,$K$2,BCM$4),Table1[],(MATCH(Calendar!$A18,DB!$1:$1,0)),FALSE)),"")</f>
        <v/>
      </c>
      <c r="BCN18" s="28" t="str">
        <f>IFERROR(IF(BCW3="No",IF(VLOOKUP(DATE($K$1,$K$2,BCN$4),Table1[],(MATCH(Calendar!$A18,DB!$1:$1,0)),FALSE)&gt;=5,"Good","Bad"),VLOOKUP(DATE($K$1,$K$2,BCN$4),Table1[],(MATCH(Calendar!$A18,DB!$1:$1,0)),FALSE)),"")</f>
        <v/>
      </c>
      <c r="BCO18" s="28" t="str">
        <f>IFERROR(IF(BCX3="No",IF(VLOOKUP(DATE($K$1,$K$2,BCO$4),Table1[],(MATCH(Calendar!$A18,DB!$1:$1,0)),FALSE)&gt;=5,"Good","Bad"),VLOOKUP(DATE($K$1,$K$2,BCO$4),Table1[],(MATCH(Calendar!$A18,DB!$1:$1,0)),FALSE)),"")</f>
        <v/>
      </c>
      <c r="BCP18" s="28" t="str">
        <f>IFERROR(IF(BCY3="No",IF(VLOOKUP(DATE($K$1,$K$2,BCP$4),Table1[],(MATCH(Calendar!$A18,DB!$1:$1,0)),FALSE)&gt;=5,"Good","Bad"),VLOOKUP(DATE($K$1,$K$2,BCP$4),Table1[],(MATCH(Calendar!$A18,DB!$1:$1,0)),FALSE)),"")</f>
        <v/>
      </c>
      <c r="BCQ18" s="28" t="str">
        <f>IFERROR(IF(BCZ3="No",IF(VLOOKUP(DATE($K$1,$K$2,BCQ$4),Table1[],(MATCH(Calendar!$A18,DB!$1:$1,0)),FALSE)&gt;=5,"Good","Bad"),VLOOKUP(DATE($K$1,$K$2,BCQ$4),Table1[],(MATCH(Calendar!$A18,DB!$1:$1,0)),FALSE)),"")</f>
        <v/>
      </c>
      <c r="BCR18" s="28" t="str">
        <f>IFERROR(IF(BDA3="No",IF(VLOOKUP(DATE($K$1,$K$2,BCR$4),Table1[],(MATCH(Calendar!$A18,DB!$1:$1,0)),FALSE)&gt;=5,"Good","Bad"),VLOOKUP(DATE($K$1,$K$2,BCR$4),Table1[],(MATCH(Calendar!$A18,DB!$1:$1,0)),FALSE)),"")</f>
        <v/>
      </c>
      <c r="BCS18" s="28" t="str">
        <f>IFERROR(IF(BDB3="No",IF(VLOOKUP(DATE($K$1,$K$2,BCS$4),Table1[],(MATCH(Calendar!$A18,DB!$1:$1,0)),FALSE)&gt;=5,"Good","Bad"),VLOOKUP(DATE($K$1,$K$2,BCS$4),Table1[],(MATCH(Calendar!$A18,DB!$1:$1,0)),FALSE)),"")</f>
        <v/>
      </c>
      <c r="BCT18" s="28" t="str">
        <f>IFERROR(IF(BDC3="No",IF(VLOOKUP(DATE($K$1,$K$2,BCT$4),Table1[],(MATCH(Calendar!$A18,DB!$1:$1,0)),FALSE)&gt;=5,"Good","Bad"),VLOOKUP(DATE($K$1,$K$2,BCT$4),Table1[],(MATCH(Calendar!$A18,DB!$1:$1,0)),FALSE)),"")</f>
        <v/>
      </c>
      <c r="BCU18" s="28" t="str">
        <f>IFERROR(IF(BDD3="No",IF(VLOOKUP(DATE($K$1,$K$2,BCU$4),Table1[],(MATCH(Calendar!$A18,DB!$1:$1,0)),FALSE)&gt;=5,"Good","Bad"),VLOOKUP(DATE($K$1,$K$2,BCU$4),Table1[],(MATCH(Calendar!$A18,DB!$1:$1,0)),FALSE)),"")</f>
        <v/>
      </c>
      <c r="BCV18" s="28" t="str">
        <f>IFERROR(IF(BDE3="No",IF(VLOOKUP(DATE($K$1,$K$2,BCV$4),Table1[],(MATCH(Calendar!$A18,DB!$1:$1,0)),FALSE)&gt;=5,"Good","Bad"),VLOOKUP(DATE($K$1,$K$2,BCV$4),Table1[],(MATCH(Calendar!$A18,DB!$1:$1,0)),FALSE)),"")</f>
        <v/>
      </c>
      <c r="BCW18" s="28" t="str">
        <f>IFERROR(IF(BDF3="No",IF(VLOOKUP(DATE($K$1,$K$2,BCW$4),Table1[],(MATCH(Calendar!$A18,DB!$1:$1,0)),FALSE)&gt;=5,"Good","Bad"),VLOOKUP(DATE($K$1,$K$2,BCW$4),Table1[],(MATCH(Calendar!$A18,DB!$1:$1,0)),FALSE)),"")</f>
        <v/>
      </c>
      <c r="BCX18" s="28" t="str">
        <f>IFERROR(IF(BDG3="No",IF(VLOOKUP(DATE($K$1,$K$2,BCX$4),Table1[],(MATCH(Calendar!$A18,DB!$1:$1,0)),FALSE)&gt;=5,"Good","Bad"),VLOOKUP(DATE($K$1,$K$2,BCX$4),Table1[],(MATCH(Calendar!$A18,DB!$1:$1,0)),FALSE)),"")</f>
        <v/>
      </c>
      <c r="BCY18" s="28" t="str">
        <f>IFERROR(IF(BDH3="No",IF(VLOOKUP(DATE($K$1,$K$2,BCY$4),Table1[],(MATCH(Calendar!$A18,DB!$1:$1,0)),FALSE)&gt;=5,"Good","Bad"),VLOOKUP(DATE($K$1,$K$2,BCY$4),Table1[],(MATCH(Calendar!$A18,DB!$1:$1,0)),FALSE)),"")</f>
        <v/>
      </c>
      <c r="BCZ18" s="28" t="str">
        <f>IFERROR(IF(BDI3="No",IF(VLOOKUP(DATE($K$1,$K$2,BCZ$4),Table1[],(MATCH(Calendar!$A18,DB!$1:$1,0)),FALSE)&gt;=5,"Good","Bad"),VLOOKUP(DATE($K$1,$K$2,BCZ$4),Table1[],(MATCH(Calendar!$A18,DB!$1:$1,0)),FALSE)),"")</f>
        <v/>
      </c>
      <c r="BDA18" s="28" t="str">
        <f>IFERROR(IF(BDJ3="No",IF(VLOOKUP(DATE($K$1,$K$2,BDA$4),Table1[],(MATCH(Calendar!$A18,DB!$1:$1,0)),FALSE)&gt;=5,"Good","Bad"),VLOOKUP(DATE($K$1,$K$2,BDA$4),Table1[],(MATCH(Calendar!$A18,DB!$1:$1,0)),FALSE)),"")</f>
        <v/>
      </c>
      <c r="BDB18" s="28" t="str">
        <f>IFERROR(IF(BDK3="No",IF(VLOOKUP(DATE($K$1,$K$2,BDB$4),Table1[],(MATCH(Calendar!$A18,DB!$1:$1,0)),FALSE)&gt;=5,"Good","Bad"),VLOOKUP(DATE($K$1,$K$2,BDB$4),Table1[],(MATCH(Calendar!$A18,DB!$1:$1,0)),FALSE)),"")</f>
        <v/>
      </c>
      <c r="BDC18" s="28" t="str">
        <f>IFERROR(IF(BDL3="No",IF(VLOOKUP(DATE($K$1,$K$2,BDC$4),Table1[],(MATCH(Calendar!$A18,DB!$1:$1,0)),FALSE)&gt;=5,"Good","Bad"),VLOOKUP(DATE($K$1,$K$2,BDC$4),Table1[],(MATCH(Calendar!$A18,DB!$1:$1,0)),FALSE)),"")</f>
        <v/>
      </c>
      <c r="BDD18" s="28" t="str">
        <f>IFERROR(IF(BDM3="No",IF(VLOOKUP(DATE($K$1,$K$2,BDD$4),Table1[],(MATCH(Calendar!$A18,DB!$1:$1,0)),FALSE)&gt;=5,"Good","Bad"),VLOOKUP(DATE($K$1,$K$2,BDD$4),Table1[],(MATCH(Calendar!$A18,DB!$1:$1,0)),FALSE)),"")</f>
        <v/>
      </c>
      <c r="BDE18" s="28" t="str">
        <f>IFERROR(IF(BDN3="No",IF(VLOOKUP(DATE($K$1,$K$2,BDE$4),Table1[],(MATCH(Calendar!$A18,DB!$1:$1,0)),FALSE)&gt;=5,"Good","Bad"),VLOOKUP(DATE($K$1,$K$2,BDE$4),Table1[],(MATCH(Calendar!$A18,DB!$1:$1,0)),FALSE)),"")</f>
        <v/>
      </c>
      <c r="BDF18" s="28" t="str">
        <f>IFERROR(IF(BDO3="No",IF(VLOOKUP(DATE($K$1,$K$2,BDF$4),Table1[],(MATCH(Calendar!$A18,DB!$1:$1,0)),FALSE)&gt;=5,"Good","Bad"),VLOOKUP(DATE($K$1,$K$2,BDF$4),Table1[],(MATCH(Calendar!$A18,DB!$1:$1,0)),FALSE)),"")</f>
        <v/>
      </c>
      <c r="BDG18" s="28" t="str">
        <f>IFERROR(IF(BDP3="No",IF(VLOOKUP(DATE($K$1,$K$2,BDG$4),Table1[],(MATCH(Calendar!$A18,DB!$1:$1,0)),FALSE)&gt;=5,"Good","Bad"),VLOOKUP(DATE($K$1,$K$2,BDG$4),Table1[],(MATCH(Calendar!$A18,DB!$1:$1,0)),FALSE)),"")</f>
        <v/>
      </c>
      <c r="BDH18" s="28" t="str">
        <f>IFERROR(IF(BDQ3="No",IF(VLOOKUP(DATE($K$1,$K$2,BDH$4),Table1[],(MATCH(Calendar!$A18,DB!$1:$1,0)),FALSE)&gt;=5,"Good","Bad"),VLOOKUP(DATE($K$1,$K$2,BDH$4),Table1[],(MATCH(Calendar!$A18,DB!$1:$1,0)),FALSE)),"")</f>
        <v/>
      </c>
      <c r="BDI18" s="28" t="str">
        <f>IFERROR(IF(BDR3="No",IF(VLOOKUP(DATE($K$1,$K$2,BDI$4),Table1[],(MATCH(Calendar!$A18,DB!$1:$1,0)),FALSE)&gt;=5,"Good","Bad"),VLOOKUP(DATE($K$1,$K$2,BDI$4),Table1[],(MATCH(Calendar!$A18,DB!$1:$1,0)),FALSE)),"")</f>
        <v/>
      </c>
      <c r="BDJ18" s="28" t="str">
        <f>IFERROR(IF(BDS3="No",IF(VLOOKUP(DATE($K$1,$K$2,BDJ$4),Table1[],(MATCH(Calendar!$A18,DB!$1:$1,0)),FALSE)&gt;=5,"Good","Bad"),VLOOKUP(DATE($K$1,$K$2,BDJ$4),Table1[],(MATCH(Calendar!$A18,DB!$1:$1,0)),FALSE)),"")</f>
        <v/>
      </c>
      <c r="BDK18" s="28" t="str">
        <f>IFERROR(IF(BDT3="No",IF(VLOOKUP(DATE($K$1,$K$2,BDK$4),Table1[],(MATCH(Calendar!$A18,DB!$1:$1,0)),FALSE)&gt;=5,"Good","Bad"),VLOOKUP(DATE($K$1,$K$2,BDK$4),Table1[],(MATCH(Calendar!$A18,DB!$1:$1,0)),FALSE)),"")</f>
        <v/>
      </c>
      <c r="BDL18" s="28" t="str">
        <f>IFERROR(IF(BDU3="No",IF(VLOOKUP(DATE($K$1,$K$2,BDL$4),Table1[],(MATCH(Calendar!$A18,DB!$1:$1,0)),FALSE)&gt;=5,"Good","Bad"),VLOOKUP(DATE($K$1,$K$2,BDL$4),Table1[],(MATCH(Calendar!$A18,DB!$1:$1,0)),FALSE)),"")</f>
        <v/>
      </c>
      <c r="BDM18" s="28" t="str">
        <f>IFERROR(IF(BDV3="No",IF(VLOOKUP(DATE($K$1,$K$2,BDM$4),Table1[],(MATCH(Calendar!$A18,DB!$1:$1,0)),FALSE)&gt;=5,"Good","Bad"),VLOOKUP(DATE($K$1,$K$2,BDM$4),Table1[],(MATCH(Calendar!$A18,DB!$1:$1,0)),FALSE)),"")</f>
        <v/>
      </c>
      <c r="BDN18" s="28" t="str">
        <f>IFERROR(IF(BDW3="No",IF(VLOOKUP(DATE($K$1,$K$2,BDN$4),Table1[],(MATCH(Calendar!$A18,DB!$1:$1,0)),FALSE)&gt;=5,"Good","Bad"),VLOOKUP(DATE($K$1,$K$2,BDN$4),Table1[],(MATCH(Calendar!$A18,DB!$1:$1,0)),FALSE)),"")</f>
        <v/>
      </c>
      <c r="BDO18" s="28" t="str">
        <f>IFERROR(IF(BDX3="No",IF(VLOOKUP(DATE($K$1,$K$2,BDO$4),Table1[],(MATCH(Calendar!$A18,DB!$1:$1,0)),FALSE)&gt;=5,"Good","Bad"),VLOOKUP(DATE($K$1,$K$2,BDO$4),Table1[],(MATCH(Calendar!$A18,DB!$1:$1,0)),FALSE)),"")</f>
        <v/>
      </c>
      <c r="BDP18" s="28" t="str">
        <f>IFERROR(IF(BDY3="No",IF(VLOOKUP(DATE($K$1,$K$2,BDP$4),Table1[],(MATCH(Calendar!$A18,DB!$1:$1,0)),FALSE)&gt;=5,"Good","Bad"),VLOOKUP(DATE($K$1,$K$2,BDP$4),Table1[],(MATCH(Calendar!$A18,DB!$1:$1,0)),FALSE)),"")</f>
        <v/>
      </c>
      <c r="BDQ18" s="28" t="str">
        <f>IFERROR(IF(BDZ3="No",IF(VLOOKUP(DATE($K$1,$K$2,BDQ$4),Table1[],(MATCH(Calendar!$A18,DB!$1:$1,0)),FALSE)&gt;=5,"Good","Bad"),VLOOKUP(DATE($K$1,$K$2,BDQ$4),Table1[],(MATCH(Calendar!$A18,DB!$1:$1,0)),FALSE)),"")</f>
        <v/>
      </c>
      <c r="BDR18" s="28" t="str">
        <f>IFERROR(IF(BEA3="No",IF(VLOOKUP(DATE($K$1,$K$2,BDR$4),Table1[],(MATCH(Calendar!$A18,DB!$1:$1,0)),FALSE)&gt;=5,"Good","Bad"),VLOOKUP(DATE($K$1,$K$2,BDR$4),Table1[],(MATCH(Calendar!$A18,DB!$1:$1,0)),FALSE)),"")</f>
        <v/>
      </c>
      <c r="BDS18" s="28" t="str">
        <f>IFERROR(IF(BEB3="No",IF(VLOOKUP(DATE($K$1,$K$2,BDS$4),Table1[],(MATCH(Calendar!$A18,DB!$1:$1,0)),FALSE)&gt;=5,"Good","Bad"),VLOOKUP(DATE($K$1,$K$2,BDS$4),Table1[],(MATCH(Calendar!$A18,DB!$1:$1,0)),FALSE)),"")</f>
        <v/>
      </c>
      <c r="BDT18" s="28" t="str">
        <f>IFERROR(IF(BEC3="No",IF(VLOOKUP(DATE($K$1,$K$2,BDT$4),Table1[],(MATCH(Calendar!$A18,DB!$1:$1,0)),FALSE)&gt;=5,"Good","Bad"),VLOOKUP(DATE($K$1,$K$2,BDT$4),Table1[],(MATCH(Calendar!$A18,DB!$1:$1,0)),FALSE)),"")</f>
        <v/>
      </c>
      <c r="BDU18" s="28" t="str">
        <f>IFERROR(IF(BED3="No",IF(VLOOKUP(DATE($K$1,$K$2,BDU$4),Table1[],(MATCH(Calendar!$A18,DB!$1:$1,0)),FALSE)&gt;=5,"Good","Bad"),VLOOKUP(DATE($K$1,$K$2,BDU$4),Table1[],(MATCH(Calendar!$A18,DB!$1:$1,0)),FALSE)),"")</f>
        <v/>
      </c>
      <c r="BDV18" s="28" t="str">
        <f>IFERROR(IF(BEE3="No",IF(VLOOKUP(DATE($K$1,$K$2,BDV$4),Table1[],(MATCH(Calendar!$A18,DB!$1:$1,0)),FALSE)&gt;=5,"Good","Bad"),VLOOKUP(DATE($K$1,$K$2,BDV$4),Table1[],(MATCH(Calendar!$A18,DB!$1:$1,0)),FALSE)),"")</f>
        <v/>
      </c>
      <c r="BDW18" s="28" t="str">
        <f>IFERROR(IF(BEF3="No",IF(VLOOKUP(DATE($K$1,$K$2,BDW$4),Table1[],(MATCH(Calendar!$A18,DB!$1:$1,0)),FALSE)&gt;=5,"Good","Bad"),VLOOKUP(DATE($K$1,$K$2,BDW$4),Table1[],(MATCH(Calendar!$A18,DB!$1:$1,0)),FALSE)),"")</f>
        <v/>
      </c>
      <c r="BDX18" s="28" t="str">
        <f>IFERROR(IF(BEG3="No",IF(VLOOKUP(DATE($K$1,$K$2,BDX$4),Table1[],(MATCH(Calendar!$A18,DB!$1:$1,0)),FALSE)&gt;=5,"Good","Bad"),VLOOKUP(DATE($K$1,$K$2,BDX$4),Table1[],(MATCH(Calendar!$A18,DB!$1:$1,0)),FALSE)),"")</f>
        <v/>
      </c>
      <c r="BDY18" s="28" t="str">
        <f>IFERROR(IF(BEH3="No",IF(VLOOKUP(DATE($K$1,$K$2,BDY$4),Table1[],(MATCH(Calendar!$A18,DB!$1:$1,0)),FALSE)&gt;=5,"Good","Bad"),VLOOKUP(DATE($K$1,$K$2,BDY$4),Table1[],(MATCH(Calendar!$A18,DB!$1:$1,0)),FALSE)),"")</f>
        <v/>
      </c>
      <c r="BDZ18" s="28" t="str">
        <f>IFERROR(IF(BEI3="No",IF(VLOOKUP(DATE($K$1,$K$2,BDZ$4),Table1[],(MATCH(Calendar!$A18,DB!$1:$1,0)),FALSE)&gt;=5,"Good","Bad"),VLOOKUP(DATE($K$1,$K$2,BDZ$4),Table1[],(MATCH(Calendar!$A18,DB!$1:$1,0)),FALSE)),"")</f>
        <v/>
      </c>
      <c r="BEA18" s="28" t="str">
        <f>IFERROR(IF(BEJ3="No",IF(VLOOKUP(DATE($K$1,$K$2,BEA$4),Table1[],(MATCH(Calendar!$A18,DB!$1:$1,0)),FALSE)&gt;=5,"Good","Bad"),VLOOKUP(DATE($K$1,$K$2,BEA$4),Table1[],(MATCH(Calendar!$A18,DB!$1:$1,0)),FALSE)),"")</f>
        <v/>
      </c>
      <c r="BEB18" s="28" t="str">
        <f>IFERROR(IF(BEK3="No",IF(VLOOKUP(DATE($K$1,$K$2,BEB$4),Table1[],(MATCH(Calendar!$A18,DB!$1:$1,0)),FALSE)&gt;=5,"Good","Bad"),VLOOKUP(DATE($K$1,$K$2,BEB$4),Table1[],(MATCH(Calendar!$A18,DB!$1:$1,0)),FALSE)),"")</f>
        <v/>
      </c>
      <c r="BEC18" s="28" t="str">
        <f>IFERROR(IF(BEL3="No",IF(VLOOKUP(DATE($K$1,$K$2,BEC$4),Table1[],(MATCH(Calendar!$A18,DB!$1:$1,0)),FALSE)&gt;=5,"Good","Bad"),VLOOKUP(DATE($K$1,$K$2,BEC$4),Table1[],(MATCH(Calendar!$A18,DB!$1:$1,0)),FALSE)),"")</f>
        <v/>
      </c>
      <c r="BED18" s="28" t="str">
        <f>IFERROR(IF(BEM3="No",IF(VLOOKUP(DATE($K$1,$K$2,BED$4),Table1[],(MATCH(Calendar!$A18,DB!$1:$1,0)),FALSE)&gt;=5,"Good","Bad"),VLOOKUP(DATE($K$1,$K$2,BED$4),Table1[],(MATCH(Calendar!$A18,DB!$1:$1,0)),FALSE)),"")</f>
        <v/>
      </c>
      <c r="BEE18" s="28" t="str">
        <f>IFERROR(IF(BEN3="No",IF(VLOOKUP(DATE($K$1,$K$2,BEE$4),Table1[],(MATCH(Calendar!$A18,DB!$1:$1,0)),FALSE)&gt;=5,"Good","Bad"),VLOOKUP(DATE($K$1,$K$2,BEE$4),Table1[],(MATCH(Calendar!$A18,DB!$1:$1,0)),FALSE)),"")</f>
        <v/>
      </c>
      <c r="BEF18" s="28" t="str">
        <f>IFERROR(IF(BEO3="No",IF(VLOOKUP(DATE($K$1,$K$2,BEF$4),Table1[],(MATCH(Calendar!$A18,DB!$1:$1,0)),FALSE)&gt;=5,"Good","Bad"),VLOOKUP(DATE($K$1,$K$2,BEF$4),Table1[],(MATCH(Calendar!$A18,DB!$1:$1,0)),FALSE)),"")</f>
        <v/>
      </c>
      <c r="BEG18" s="28" t="str">
        <f>IFERROR(IF(BEP3="No",IF(VLOOKUP(DATE($K$1,$K$2,BEG$4),Table1[],(MATCH(Calendar!$A18,DB!$1:$1,0)),FALSE)&gt;=5,"Good","Bad"),VLOOKUP(DATE($K$1,$K$2,BEG$4),Table1[],(MATCH(Calendar!$A18,DB!$1:$1,0)),FALSE)),"")</f>
        <v/>
      </c>
      <c r="BEH18" s="28" t="str">
        <f>IFERROR(IF(BEQ3="No",IF(VLOOKUP(DATE($K$1,$K$2,BEH$4),Table1[],(MATCH(Calendar!$A18,DB!$1:$1,0)),FALSE)&gt;=5,"Good","Bad"),VLOOKUP(DATE($K$1,$K$2,BEH$4),Table1[],(MATCH(Calendar!$A18,DB!$1:$1,0)),FALSE)),"")</f>
        <v/>
      </c>
      <c r="BEI18" s="28" t="str">
        <f>IFERROR(IF(BER3="No",IF(VLOOKUP(DATE($K$1,$K$2,BEI$4),Table1[],(MATCH(Calendar!$A18,DB!$1:$1,0)),FALSE)&gt;=5,"Good","Bad"),VLOOKUP(DATE($K$1,$K$2,BEI$4),Table1[],(MATCH(Calendar!$A18,DB!$1:$1,0)),FALSE)),"")</f>
        <v/>
      </c>
      <c r="BEJ18" s="28" t="str">
        <f>IFERROR(IF(BES3="No",IF(VLOOKUP(DATE($K$1,$K$2,BEJ$4),Table1[],(MATCH(Calendar!$A18,DB!$1:$1,0)),FALSE)&gt;=5,"Good","Bad"),VLOOKUP(DATE($K$1,$K$2,BEJ$4),Table1[],(MATCH(Calendar!$A18,DB!$1:$1,0)),FALSE)),"")</f>
        <v/>
      </c>
      <c r="BEK18" s="28" t="str">
        <f>IFERROR(IF(BET3="No",IF(VLOOKUP(DATE($K$1,$K$2,BEK$4),Table1[],(MATCH(Calendar!$A18,DB!$1:$1,0)),FALSE)&gt;=5,"Good","Bad"),VLOOKUP(DATE($K$1,$K$2,BEK$4),Table1[],(MATCH(Calendar!$A18,DB!$1:$1,0)),FALSE)),"")</f>
        <v/>
      </c>
      <c r="BEL18" s="28" t="str">
        <f>IFERROR(IF(BEU3="No",IF(VLOOKUP(DATE($K$1,$K$2,BEL$4),Table1[],(MATCH(Calendar!$A18,DB!$1:$1,0)),FALSE)&gt;=5,"Good","Bad"),VLOOKUP(DATE($K$1,$K$2,BEL$4),Table1[],(MATCH(Calendar!$A18,DB!$1:$1,0)),FALSE)),"")</f>
        <v/>
      </c>
      <c r="BEM18" s="28" t="str">
        <f>IFERROR(IF(BEV3="No",IF(VLOOKUP(DATE($K$1,$K$2,BEM$4),Table1[],(MATCH(Calendar!$A18,DB!$1:$1,0)),FALSE)&gt;=5,"Good","Bad"),VLOOKUP(DATE($K$1,$K$2,BEM$4),Table1[],(MATCH(Calendar!$A18,DB!$1:$1,0)),FALSE)),"")</f>
        <v/>
      </c>
      <c r="BEN18" s="28" t="str">
        <f>IFERROR(IF(BEW3="No",IF(VLOOKUP(DATE($K$1,$K$2,BEN$4),Table1[],(MATCH(Calendar!$A18,DB!$1:$1,0)),FALSE)&gt;=5,"Good","Bad"),VLOOKUP(DATE($K$1,$K$2,BEN$4),Table1[],(MATCH(Calendar!$A18,DB!$1:$1,0)),FALSE)),"")</f>
        <v/>
      </c>
      <c r="BEO18" s="28" t="str">
        <f>IFERROR(IF(BEX3="No",IF(VLOOKUP(DATE($K$1,$K$2,BEO$4),Table1[],(MATCH(Calendar!$A18,DB!$1:$1,0)),FALSE)&gt;=5,"Good","Bad"),VLOOKUP(DATE($K$1,$K$2,BEO$4),Table1[],(MATCH(Calendar!$A18,DB!$1:$1,0)),FALSE)),"")</f>
        <v/>
      </c>
      <c r="BEP18" s="28" t="str">
        <f>IFERROR(IF(BEY3="No",IF(VLOOKUP(DATE($K$1,$K$2,BEP$4),Table1[],(MATCH(Calendar!$A18,DB!$1:$1,0)),FALSE)&gt;=5,"Good","Bad"),VLOOKUP(DATE($K$1,$K$2,BEP$4),Table1[],(MATCH(Calendar!$A18,DB!$1:$1,0)),FALSE)),"")</f>
        <v/>
      </c>
      <c r="BEQ18" s="28" t="str">
        <f>IFERROR(IF(BEZ3="No",IF(VLOOKUP(DATE($K$1,$K$2,BEQ$4),Table1[],(MATCH(Calendar!$A18,DB!$1:$1,0)),FALSE)&gt;=5,"Good","Bad"),VLOOKUP(DATE($K$1,$K$2,BEQ$4),Table1[],(MATCH(Calendar!$A18,DB!$1:$1,0)),FALSE)),"")</f>
        <v/>
      </c>
      <c r="BER18" s="28" t="str">
        <f>IFERROR(IF(BFA3="No",IF(VLOOKUP(DATE($K$1,$K$2,BER$4),Table1[],(MATCH(Calendar!$A18,DB!$1:$1,0)),FALSE)&gt;=5,"Good","Bad"),VLOOKUP(DATE($K$1,$K$2,BER$4),Table1[],(MATCH(Calendar!$A18,DB!$1:$1,0)),FALSE)),"")</f>
        <v/>
      </c>
      <c r="BES18" s="28" t="str">
        <f>IFERROR(IF(BFB3="No",IF(VLOOKUP(DATE($K$1,$K$2,BES$4),Table1[],(MATCH(Calendar!$A18,DB!$1:$1,0)),FALSE)&gt;=5,"Good","Bad"),VLOOKUP(DATE($K$1,$K$2,BES$4),Table1[],(MATCH(Calendar!$A18,DB!$1:$1,0)),FALSE)),"")</f>
        <v/>
      </c>
      <c r="BET18" s="28" t="str">
        <f>IFERROR(IF(BFC3="No",IF(VLOOKUP(DATE($K$1,$K$2,BET$4),Table1[],(MATCH(Calendar!$A18,DB!$1:$1,0)),FALSE)&gt;=5,"Good","Bad"),VLOOKUP(DATE($K$1,$K$2,BET$4),Table1[],(MATCH(Calendar!$A18,DB!$1:$1,0)),FALSE)),"")</f>
        <v/>
      </c>
      <c r="BEU18" s="28" t="str">
        <f>IFERROR(IF(BFD3="No",IF(VLOOKUP(DATE($K$1,$K$2,BEU$4),Table1[],(MATCH(Calendar!$A18,DB!$1:$1,0)),FALSE)&gt;=5,"Good","Bad"),VLOOKUP(DATE($K$1,$K$2,BEU$4),Table1[],(MATCH(Calendar!$A18,DB!$1:$1,0)),FALSE)),"")</f>
        <v/>
      </c>
      <c r="BEV18" s="28" t="str">
        <f>IFERROR(IF(BFE3="No",IF(VLOOKUP(DATE($K$1,$K$2,BEV$4),Table1[],(MATCH(Calendar!$A18,DB!$1:$1,0)),FALSE)&gt;=5,"Good","Bad"),VLOOKUP(DATE($K$1,$K$2,BEV$4),Table1[],(MATCH(Calendar!$A18,DB!$1:$1,0)),FALSE)),"")</f>
        <v/>
      </c>
      <c r="BEW18" s="28" t="str">
        <f>IFERROR(IF(BFF3="No",IF(VLOOKUP(DATE($K$1,$K$2,BEW$4),Table1[],(MATCH(Calendar!$A18,DB!$1:$1,0)),FALSE)&gt;=5,"Good","Bad"),VLOOKUP(DATE($K$1,$K$2,BEW$4),Table1[],(MATCH(Calendar!$A18,DB!$1:$1,0)),FALSE)),"")</f>
        <v/>
      </c>
      <c r="BEX18" s="28" t="str">
        <f>IFERROR(IF(BFG3="No",IF(VLOOKUP(DATE($K$1,$K$2,BEX$4),Table1[],(MATCH(Calendar!$A18,DB!$1:$1,0)),FALSE)&gt;=5,"Good","Bad"),VLOOKUP(DATE($K$1,$K$2,BEX$4),Table1[],(MATCH(Calendar!$A18,DB!$1:$1,0)),FALSE)),"")</f>
        <v/>
      </c>
      <c r="BEY18" s="28" t="str">
        <f>IFERROR(IF(BFH3="No",IF(VLOOKUP(DATE($K$1,$K$2,BEY$4),Table1[],(MATCH(Calendar!$A18,DB!$1:$1,0)),FALSE)&gt;=5,"Good","Bad"),VLOOKUP(DATE($K$1,$K$2,BEY$4),Table1[],(MATCH(Calendar!$A18,DB!$1:$1,0)),FALSE)),"")</f>
        <v/>
      </c>
      <c r="BEZ18" s="28" t="str">
        <f>IFERROR(IF(BFI3="No",IF(VLOOKUP(DATE($K$1,$K$2,BEZ$4),Table1[],(MATCH(Calendar!$A18,DB!$1:$1,0)),FALSE)&gt;=5,"Good","Bad"),VLOOKUP(DATE($K$1,$K$2,BEZ$4),Table1[],(MATCH(Calendar!$A18,DB!$1:$1,0)),FALSE)),"")</f>
        <v/>
      </c>
      <c r="BFA18" s="28" t="str">
        <f>IFERROR(IF(BFJ3="No",IF(VLOOKUP(DATE($K$1,$K$2,BFA$4),Table1[],(MATCH(Calendar!$A18,DB!$1:$1,0)),FALSE)&gt;=5,"Good","Bad"),VLOOKUP(DATE($K$1,$K$2,BFA$4),Table1[],(MATCH(Calendar!$A18,DB!$1:$1,0)),FALSE)),"")</f>
        <v/>
      </c>
      <c r="BFB18" s="28" t="str">
        <f>IFERROR(IF(BFK3="No",IF(VLOOKUP(DATE($K$1,$K$2,BFB$4),Table1[],(MATCH(Calendar!$A18,DB!$1:$1,0)),FALSE)&gt;=5,"Good","Bad"),VLOOKUP(DATE($K$1,$K$2,BFB$4),Table1[],(MATCH(Calendar!$A18,DB!$1:$1,0)),FALSE)),"")</f>
        <v/>
      </c>
      <c r="BFC18" s="28" t="str">
        <f>IFERROR(IF(BFL3="No",IF(VLOOKUP(DATE($K$1,$K$2,BFC$4),Table1[],(MATCH(Calendar!$A18,DB!$1:$1,0)),FALSE)&gt;=5,"Good","Bad"),VLOOKUP(DATE($K$1,$K$2,BFC$4),Table1[],(MATCH(Calendar!$A18,DB!$1:$1,0)),FALSE)),"")</f>
        <v/>
      </c>
      <c r="BFD18" s="28" t="str">
        <f>IFERROR(IF(BFM3="No",IF(VLOOKUP(DATE($K$1,$K$2,BFD$4),Table1[],(MATCH(Calendar!$A18,DB!$1:$1,0)),FALSE)&gt;=5,"Good","Bad"),VLOOKUP(DATE($K$1,$K$2,BFD$4),Table1[],(MATCH(Calendar!$A18,DB!$1:$1,0)),FALSE)),"")</f>
        <v/>
      </c>
      <c r="BFE18" s="28" t="str">
        <f>IFERROR(IF(BFN3="No",IF(VLOOKUP(DATE($K$1,$K$2,BFE$4),Table1[],(MATCH(Calendar!$A18,DB!$1:$1,0)),FALSE)&gt;=5,"Good","Bad"),VLOOKUP(DATE($K$1,$K$2,BFE$4),Table1[],(MATCH(Calendar!$A18,DB!$1:$1,0)),FALSE)),"")</f>
        <v/>
      </c>
      <c r="BFF18" s="28" t="str">
        <f>IFERROR(IF(BFO3="No",IF(VLOOKUP(DATE($K$1,$K$2,BFF$4),Table1[],(MATCH(Calendar!$A18,DB!$1:$1,0)),FALSE)&gt;=5,"Good","Bad"),VLOOKUP(DATE($K$1,$K$2,BFF$4),Table1[],(MATCH(Calendar!$A18,DB!$1:$1,0)),FALSE)),"")</f>
        <v/>
      </c>
      <c r="BFG18" s="28" t="str">
        <f>IFERROR(IF(BFP3="No",IF(VLOOKUP(DATE($K$1,$K$2,BFG$4),Table1[],(MATCH(Calendar!$A18,DB!$1:$1,0)),FALSE)&gt;=5,"Good","Bad"),VLOOKUP(DATE($K$1,$K$2,BFG$4),Table1[],(MATCH(Calendar!$A18,DB!$1:$1,0)),FALSE)),"")</f>
        <v/>
      </c>
      <c r="BFH18" s="28" t="str">
        <f>IFERROR(IF(BFQ3="No",IF(VLOOKUP(DATE($K$1,$K$2,BFH$4),Table1[],(MATCH(Calendar!$A18,DB!$1:$1,0)),FALSE)&gt;=5,"Good","Bad"),VLOOKUP(DATE($K$1,$K$2,BFH$4),Table1[],(MATCH(Calendar!$A18,DB!$1:$1,0)),FALSE)),"")</f>
        <v/>
      </c>
      <c r="BFI18" s="28" t="str">
        <f>IFERROR(IF(BFR3="No",IF(VLOOKUP(DATE($K$1,$K$2,BFI$4),Table1[],(MATCH(Calendar!$A18,DB!$1:$1,0)),FALSE)&gt;=5,"Good","Bad"),VLOOKUP(DATE($K$1,$K$2,BFI$4),Table1[],(MATCH(Calendar!$A18,DB!$1:$1,0)),FALSE)),"")</f>
        <v/>
      </c>
      <c r="BFJ18" s="28" t="str">
        <f>IFERROR(IF(BFS3="No",IF(VLOOKUP(DATE($K$1,$K$2,BFJ$4),Table1[],(MATCH(Calendar!$A18,DB!$1:$1,0)),FALSE)&gt;=5,"Good","Bad"),VLOOKUP(DATE($K$1,$K$2,BFJ$4),Table1[],(MATCH(Calendar!$A18,DB!$1:$1,0)),FALSE)),"")</f>
        <v/>
      </c>
      <c r="BFK18" s="28" t="str">
        <f>IFERROR(IF(BFT3="No",IF(VLOOKUP(DATE($K$1,$K$2,BFK$4),Table1[],(MATCH(Calendar!$A18,DB!$1:$1,0)),FALSE)&gt;=5,"Good","Bad"),VLOOKUP(DATE($K$1,$K$2,BFK$4),Table1[],(MATCH(Calendar!$A18,DB!$1:$1,0)),FALSE)),"")</f>
        <v/>
      </c>
      <c r="BFL18" s="28" t="str">
        <f>IFERROR(IF(BFU3="No",IF(VLOOKUP(DATE($K$1,$K$2,BFL$4),Table1[],(MATCH(Calendar!$A18,DB!$1:$1,0)),FALSE)&gt;=5,"Good","Bad"),VLOOKUP(DATE($K$1,$K$2,BFL$4),Table1[],(MATCH(Calendar!$A18,DB!$1:$1,0)),FALSE)),"")</f>
        <v/>
      </c>
      <c r="BFM18" s="28" t="str">
        <f>IFERROR(IF(BFV3="No",IF(VLOOKUP(DATE($K$1,$K$2,BFM$4),Table1[],(MATCH(Calendar!$A18,DB!$1:$1,0)),FALSE)&gt;=5,"Good","Bad"),VLOOKUP(DATE($K$1,$K$2,BFM$4),Table1[],(MATCH(Calendar!$A18,DB!$1:$1,0)),FALSE)),"")</f>
        <v/>
      </c>
      <c r="BFN18" s="28" t="str">
        <f>IFERROR(IF(BFW3="No",IF(VLOOKUP(DATE($K$1,$K$2,BFN$4),Table1[],(MATCH(Calendar!$A18,DB!$1:$1,0)),FALSE)&gt;=5,"Good","Bad"),VLOOKUP(DATE($K$1,$K$2,BFN$4),Table1[],(MATCH(Calendar!$A18,DB!$1:$1,0)),FALSE)),"")</f>
        <v/>
      </c>
      <c r="BFO18" s="28" t="str">
        <f>IFERROR(IF(BFX3="No",IF(VLOOKUP(DATE($K$1,$K$2,BFO$4),Table1[],(MATCH(Calendar!$A18,DB!$1:$1,0)),FALSE)&gt;=5,"Good","Bad"),VLOOKUP(DATE($K$1,$K$2,BFO$4),Table1[],(MATCH(Calendar!$A18,DB!$1:$1,0)),FALSE)),"")</f>
        <v/>
      </c>
      <c r="BFP18" s="28" t="str">
        <f>IFERROR(IF(BFY3="No",IF(VLOOKUP(DATE($K$1,$K$2,BFP$4),Table1[],(MATCH(Calendar!$A18,DB!$1:$1,0)),FALSE)&gt;=5,"Good","Bad"),VLOOKUP(DATE($K$1,$K$2,BFP$4),Table1[],(MATCH(Calendar!$A18,DB!$1:$1,0)),FALSE)),"")</f>
        <v/>
      </c>
      <c r="BFQ18" s="28" t="str">
        <f>IFERROR(IF(BFZ3="No",IF(VLOOKUP(DATE($K$1,$K$2,BFQ$4),Table1[],(MATCH(Calendar!$A18,DB!$1:$1,0)),FALSE)&gt;=5,"Good","Bad"),VLOOKUP(DATE($K$1,$K$2,BFQ$4),Table1[],(MATCH(Calendar!$A18,DB!$1:$1,0)),FALSE)),"")</f>
        <v/>
      </c>
      <c r="BFR18" s="28" t="str">
        <f>IFERROR(IF(BGA3="No",IF(VLOOKUP(DATE($K$1,$K$2,BFR$4),Table1[],(MATCH(Calendar!$A18,DB!$1:$1,0)),FALSE)&gt;=5,"Good","Bad"),VLOOKUP(DATE($K$1,$K$2,BFR$4),Table1[],(MATCH(Calendar!$A18,DB!$1:$1,0)),FALSE)),"")</f>
        <v/>
      </c>
      <c r="BFS18" s="28" t="str">
        <f>IFERROR(IF(BGB3="No",IF(VLOOKUP(DATE($K$1,$K$2,BFS$4),Table1[],(MATCH(Calendar!$A18,DB!$1:$1,0)),FALSE)&gt;=5,"Good","Bad"),VLOOKUP(DATE($K$1,$K$2,BFS$4),Table1[],(MATCH(Calendar!$A18,DB!$1:$1,0)),FALSE)),"")</f>
        <v/>
      </c>
      <c r="BFT18" s="28" t="str">
        <f>IFERROR(IF(BGC3="No",IF(VLOOKUP(DATE($K$1,$K$2,BFT$4),Table1[],(MATCH(Calendar!$A18,DB!$1:$1,0)),FALSE)&gt;=5,"Good","Bad"),VLOOKUP(DATE($K$1,$K$2,BFT$4),Table1[],(MATCH(Calendar!$A18,DB!$1:$1,0)),FALSE)),"")</f>
        <v/>
      </c>
      <c r="BFU18" s="28" t="str">
        <f>IFERROR(IF(BGD3="No",IF(VLOOKUP(DATE($K$1,$K$2,BFU$4),Table1[],(MATCH(Calendar!$A18,DB!$1:$1,0)),FALSE)&gt;=5,"Good","Bad"),VLOOKUP(DATE($K$1,$K$2,BFU$4),Table1[],(MATCH(Calendar!$A18,DB!$1:$1,0)),FALSE)),"")</f>
        <v/>
      </c>
      <c r="BFV18" s="28" t="str">
        <f>IFERROR(IF(BGE3="No",IF(VLOOKUP(DATE($K$1,$K$2,BFV$4),Table1[],(MATCH(Calendar!$A18,DB!$1:$1,0)),FALSE)&gt;=5,"Good","Bad"),VLOOKUP(DATE($K$1,$K$2,BFV$4),Table1[],(MATCH(Calendar!$A18,DB!$1:$1,0)),FALSE)),"")</f>
        <v/>
      </c>
      <c r="BFW18" s="28" t="str">
        <f>IFERROR(IF(BGF3="No",IF(VLOOKUP(DATE($K$1,$K$2,BFW$4),Table1[],(MATCH(Calendar!$A18,DB!$1:$1,0)),FALSE)&gt;=5,"Good","Bad"),VLOOKUP(DATE($K$1,$K$2,BFW$4),Table1[],(MATCH(Calendar!$A18,DB!$1:$1,0)),FALSE)),"")</f>
        <v/>
      </c>
      <c r="BFX18" s="28" t="str">
        <f>IFERROR(IF(BGG3="No",IF(VLOOKUP(DATE($K$1,$K$2,BFX$4),Table1[],(MATCH(Calendar!$A18,DB!$1:$1,0)),FALSE)&gt;=5,"Good","Bad"),VLOOKUP(DATE($K$1,$K$2,BFX$4),Table1[],(MATCH(Calendar!$A18,DB!$1:$1,0)),FALSE)),"")</f>
        <v/>
      </c>
      <c r="BFY18" s="28" t="str">
        <f>IFERROR(IF(BGH3="No",IF(VLOOKUP(DATE($K$1,$K$2,BFY$4),Table1[],(MATCH(Calendar!$A18,DB!$1:$1,0)),FALSE)&gt;=5,"Good","Bad"),VLOOKUP(DATE($K$1,$K$2,BFY$4),Table1[],(MATCH(Calendar!$A18,DB!$1:$1,0)),FALSE)),"")</f>
        <v/>
      </c>
      <c r="BFZ18" s="28" t="str">
        <f>IFERROR(IF(BGI3="No",IF(VLOOKUP(DATE($K$1,$K$2,BFZ$4),Table1[],(MATCH(Calendar!$A18,DB!$1:$1,0)),FALSE)&gt;=5,"Good","Bad"),VLOOKUP(DATE($K$1,$K$2,BFZ$4),Table1[],(MATCH(Calendar!$A18,DB!$1:$1,0)),FALSE)),"")</f>
        <v/>
      </c>
      <c r="BGA18" s="28" t="str">
        <f>IFERROR(IF(BGJ3="No",IF(VLOOKUP(DATE($K$1,$K$2,BGA$4),Table1[],(MATCH(Calendar!$A18,DB!$1:$1,0)),FALSE)&gt;=5,"Good","Bad"),VLOOKUP(DATE($K$1,$K$2,BGA$4),Table1[],(MATCH(Calendar!$A18,DB!$1:$1,0)),FALSE)),"")</f>
        <v/>
      </c>
      <c r="BGB18" s="28" t="str">
        <f>IFERROR(IF(BGK3="No",IF(VLOOKUP(DATE($K$1,$K$2,BGB$4),Table1[],(MATCH(Calendar!$A18,DB!$1:$1,0)),FALSE)&gt;=5,"Good","Bad"),VLOOKUP(DATE($K$1,$K$2,BGB$4),Table1[],(MATCH(Calendar!$A18,DB!$1:$1,0)),FALSE)),"")</f>
        <v/>
      </c>
      <c r="BGC18" s="28" t="str">
        <f>IFERROR(IF(BGL3="No",IF(VLOOKUP(DATE($K$1,$K$2,BGC$4),Table1[],(MATCH(Calendar!$A18,DB!$1:$1,0)),FALSE)&gt;=5,"Good","Bad"),VLOOKUP(DATE($K$1,$K$2,BGC$4),Table1[],(MATCH(Calendar!$A18,DB!$1:$1,0)),FALSE)),"")</f>
        <v/>
      </c>
      <c r="BGD18" s="28" t="str">
        <f>IFERROR(IF(BGM3="No",IF(VLOOKUP(DATE($K$1,$K$2,BGD$4),Table1[],(MATCH(Calendar!$A18,DB!$1:$1,0)),FALSE)&gt;=5,"Good","Bad"),VLOOKUP(DATE($K$1,$K$2,BGD$4),Table1[],(MATCH(Calendar!$A18,DB!$1:$1,0)),FALSE)),"")</f>
        <v/>
      </c>
      <c r="BGE18" s="28" t="str">
        <f>IFERROR(IF(BGN3="No",IF(VLOOKUP(DATE($K$1,$K$2,BGE$4),Table1[],(MATCH(Calendar!$A18,DB!$1:$1,0)),FALSE)&gt;=5,"Good","Bad"),VLOOKUP(DATE($K$1,$K$2,BGE$4),Table1[],(MATCH(Calendar!$A18,DB!$1:$1,0)),FALSE)),"")</f>
        <v/>
      </c>
      <c r="BGF18" s="28" t="str">
        <f>IFERROR(IF(BGO3="No",IF(VLOOKUP(DATE($K$1,$K$2,BGF$4),Table1[],(MATCH(Calendar!$A18,DB!$1:$1,0)),FALSE)&gt;=5,"Good","Bad"),VLOOKUP(DATE($K$1,$K$2,BGF$4),Table1[],(MATCH(Calendar!$A18,DB!$1:$1,0)),FALSE)),"")</f>
        <v/>
      </c>
      <c r="BGG18" s="28" t="str">
        <f>IFERROR(IF(BGP3="No",IF(VLOOKUP(DATE($K$1,$K$2,BGG$4),Table1[],(MATCH(Calendar!$A18,DB!$1:$1,0)),FALSE)&gt;=5,"Good","Bad"),VLOOKUP(DATE($K$1,$K$2,BGG$4),Table1[],(MATCH(Calendar!$A18,DB!$1:$1,0)),FALSE)),"")</f>
        <v/>
      </c>
      <c r="BGH18" s="28" t="str">
        <f>IFERROR(IF(BGQ3="No",IF(VLOOKUP(DATE($K$1,$K$2,BGH$4),Table1[],(MATCH(Calendar!$A18,DB!$1:$1,0)),FALSE)&gt;=5,"Good","Bad"),VLOOKUP(DATE($K$1,$K$2,BGH$4),Table1[],(MATCH(Calendar!$A18,DB!$1:$1,0)),FALSE)),"")</f>
        <v/>
      </c>
      <c r="BGI18" s="28" t="str">
        <f>IFERROR(IF(BGR3="No",IF(VLOOKUP(DATE($K$1,$K$2,BGI$4),Table1[],(MATCH(Calendar!$A18,DB!$1:$1,0)),FALSE)&gt;=5,"Good","Bad"),VLOOKUP(DATE($K$1,$K$2,BGI$4),Table1[],(MATCH(Calendar!$A18,DB!$1:$1,0)),FALSE)),"")</f>
        <v/>
      </c>
      <c r="BGJ18" s="28" t="str">
        <f>IFERROR(IF(BGS3="No",IF(VLOOKUP(DATE($K$1,$K$2,BGJ$4),Table1[],(MATCH(Calendar!$A18,DB!$1:$1,0)),FALSE)&gt;=5,"Good","Bad"),VLOOKUP(DATE($K$1,$K$2,BGJ$4),Table1[],(MATCH(Calendar!$A18,DB!$1:$1,0)),FALSE)),"")</f>
        <v/>
      </c>
      <c r="BGK18" s="28" t="str">
        <f>IFERROR(IF(BGT3="No",IF(VLOOKUP(DATE($K$1,$K$2,BGK$4),Table1[],(MATCH(Calendar!$A18,DB!$1:$1,0)),FALSE)&gt;=5,"Good","Bad"),VLOOKUP(DATE($K$1,$K$2,BGK$4),Table1[],(MATCH(Calendar!$A18,DB!$1:$1,0)),FALSE)),"")</f>
        <v/>
      </c>
      <c r="BGL18" s="28" t="str">
        <f>IFERROR(IF(BGU3="No",IF(VLOOKUP(DATE($K$1,$K$2,BGL$4),Table1[],(MATCH(Calendar!$A18,DB!$1:$1,0)),FALSE)&gt;=5,"Good","Bad"),VLOOKUP(DATE($K$1,$K$2,BGL$4),Table1[],(MATCH(Calendar!$A18,DB!$1:$1,0)),FALSE)),"")</f>
        <v/>
      </c>
      <c r="BGM18" s="28" t="str">
        <f>IFERROR(IF(BGV3="No",IF(VLOOKUP(DATE($K$1,$K$2,BGM$4),Table1[],(MATCH(Calendar!$A18,DB!$1:$1,0)),FALSE)&gt;=5,"Good","Bad"),VLOOKUP(DATE($K$1,$K$2,BGM$4),Table1[],(MATCH(Calendar!$A18,DB!$1:$1,0)),FALSE)),"")</f>
        <v/>
      </c>
      <c r="BGN18" s="28" t="str">
        <f>IFERROR(IF(BGW3="No",IF(VLOOKUP(DATE($K$1,$K$2,BGN$4),Table1[],(MATCH(Calendar!$A18,DB!$1:$1,0)),FALSE)&gt;=5,"Good","Bad"),VLOOKUP(DATE($K$1,$K$2,BGN$4),Table1[],(MATCH(Calendar!$A18,DB!$1:$1,0)),FALSE)),"")</f>
        <v/>
      </c>
      <c r="BGO18" s="28" t="str">
        <f>IFERROR(IF(BGX3="No",IF(VLOOKUP(DATE($K$1,$K$2,BGO$4),Table1[],(MATCH(Calendar!$A18,DB!$1:$1,0)),FALSE)&gt;=5,"Good","Bad"),VLOOKUP(DATE($K$1,$K$2,BGO$4),Table1[],(MATCH(Calendar!$A18,DB!$1:$1,0)),FALSE)),"")</f>
        <v/>
      </c>
      <c r="BGP18" s="28" t="str">
        <f>IFERROR(IF(BGY3="No",IF(VLOOKUP(DATE($K$1,$K$2,BGP$4),Table1[],(MATCH(Calendar!$A18,DB!$1:$1,0)),FALSE)&gt;=5,"Good","Bad"),VLOOKUP(DATE($K$1,$K$2,BGP$4),Table1[],(MATCH(Calendar!$A18,DB!$1:$1,0)),FALSE)),"")</f>
        <v/>
      </c>
      <c r="BGQ18" s="28" t="str">
        <f>IFERROR(IF(BGZ3="No",IF(VLOOKUP(DATE($K$1,$K$2,BGQ$4),Table1[],(MATCH(Calendar!$A18,DB!$1:$1,0)),FALSE)&gt;=5,"Good","Bad"),VLOOKUP(DATE($K$1,$K$2,BGQ$4),Table1[],(MATCH(Calendar!$A18,DB!$1:$1,0)),FALSE)),"")</f>
        <v/>
      </c>
      <c r="BGR18" s="28" t="str">
        <f>IFERROR(IF(BHA3="No",IF(VLOOKUP(DATE($K$1,$K$2,BGR$4),Table1[],(MATCH(Calendar!$A18,DB!$1:$1,0)),FALSE)&gt;=5,"Good","Bad"),VLOOKUP(DATE($K$1,$K$2,BGR$4),Table1[],(MATCH(Calendar!$A18,DB!$1:$1,0)),FALSE)),"")</f>
        <v/>
      </c>
      <c r="BGS18" s="28" t="str">
        <f>IFERROR(IF(BHB3="No",IF(VLOOKUP(DATE($K$1,$K$2,BGS$4),Table1[],(MATCH(Calendar!$A18,DB!$1:$1,0)),FALSE)&gt;=5,"Good","Bad"),VLOOKUP(DATE($K$1,$K$2,BGS$4),Table1[],(MATCH(Calendar!$A18,DB!$1:$1,0)),FALSE)),"")</f>
        <v/>
      </c>
      <c r="BGT18" s="28" t="str">
        <f>IFERROR(IF(BHC3="No",IF(VLOOKUP(DATE($K$1,$K$2,BGT$4),Table1[],(MATCH(Calendar!$A18,DB!$1:$1,0)),FALSE)&gt;=5,"Good","Bad"),VLOOKUP(DATE($K$1,$K$2,BGT$4),Table1[],(MATCH(Calendar!$A18,DB!$1:$1,0)),FALSE)),"")</f>
        <v/>
      </c>
      <c r="BGU18" s="28" t="str">
        <f>IFERROR(IF(BHD3="No",IF(VLOOKUP(DATE($K$1,$K$2,BGU$4),Table1[],(MATCH(Calendar!$A18,DB!$1:$1,0)),FALSE)&gt;=5,"Good","Bad"),VLOOKUP(DATE($K$1,$K$2,BGU$4),Table1[],(MATCH(Calendar!$A18,DB!$1:$1,0)),FALSE)),"")</f>
        <v/>
      </c>
      <c r="BGV18" s="28" t="str">
        <f>IFERROR(IF(BHE3="No",IF(VLOOKUP(DATE($K$1,$K$2,BGV$4),Table1[],(MATCH(Calendar!$A18,DB!$1:$1,0)),FALSE)&gt;=5,"Good","Bad"),VLOOKUP(DATE($K$1,$K$2,BGV$4),Table1[],(MATCH(Calendar!$A18,DB!$1:$1,0)),FALSE)),"")</f>
        <v/>
      </c>
      <c r="BGW18" s="28" t="str">
        <f>IFERROR(IF(BHF3="No",IF(VLOOKUP(DATE($K$1,$K$2,BGW$4),Table1[],(MATCH(Calendar!$A18,DB!$1:$1,0)),FALSE)&gt;=5,"Good","Bad"),VLOOKUP(DATE($K$1,$K$2,BGW$4),Table1[],(MATCH(Calendar!$A18,DB!$1:$1,0)),FALSE)),"")</f>
        <v/>
      </c>
      <c r="BGX18" s="28" t="str">
        <f>IFERROR(IF(BHG3="No",IF(VLOOKUP(DATE($K$1,$K$2,BGX$4),Table1[],(MATCH(Calendar!$A18,DB!$1:$1,0)),FALSE)&gt;=5,"Good","Bad"),VLOOKUP(DATE($K$1,$K$2,BGX$4),Table1[],(MATCH(Calendar!$A18,DB!$1:$1,0)),FALSE)),"")</f>
        <v/>
      </c>
      <c r="BGY18" s="28" t="str">
        <f>IFERROR(IF(BHH3="No",IF(VLOOKUP(DATE($K$1,$K$2,BGY$4),Table1[],(MATCH(Calendar!$A18,DB!$1:$1,0)),FALSE)&gt;=5,"Good","Bad"),VLOOKUP(DATE($K$1,$K$2,BGY$4),Table1[],(MATCH(Calendar!$A18,DB!$1:$1,0)),FALSE)),"")</f>
        <v/>
      </c>
      <c r="BGZ18" s="28" t="str">
        <f>IFERROR(IF(BHI3="No",IF(VLOOKUP(DATE($K$1,$K$2,BGZ$4),Table1[],(MATCH(Calendar!$A18,DB!$1:$1,0)),FALSE)&gt;=5,"Good","Bad"),VLOOKUP(DATE($K$1,$K$2,BGZ$4),Table1[],(MATCH(Calendar!$A18,DB!$1:$1,0)),FALSE)),"")</f>
        <v/>
      </c>
      <c r="BHA18" s="28" t="str">
        <f>IFERROR(IF(BHJ3="No",IF(VLOOKUP(DATE($K$1,$K$2,BHA$4),Table1[],(MATCH(Calendar!$A18,DB!$1:$1,0)),FALSE)&gt;=5,"Good","Bad"),VLOOKUP(DATE($K$1,$K$2,BHA$4),Table1[],(MATCH(Calendar!$A18,DB!$1:$1,0)),FALSE)),"")</f>
        <v/>
      </c>
      <c r="BHB18" s="28" t="str">
        <f>IFERROR(IF(BHK3="No",IF(VLOOKUP(DATE($K$1,$K$2,BHB$4),Table1[],(MATCH(Calendar!$A18,DB!$1:$1,0)),FALSE)&gt;=5,"Good","Bad"),VLOOKUP(DATE($K$1,$K$2,BHB$4),Table1[],(MATCH(Calendar!$A18,DB!$1:$1,0)),FALSE)),"")</f>
        <v/>
      </c>
      <c r="BHC18" s="28" t="str">
        <f>IFERROR(IF(BHL3="No",IF(VLOOKUP(DATE($K$1,$K$2,BHC$4),Table1[],(MATCH(Calendar!$A18,DB!$1:$1,0)),FALSE)&gt;=5,"Good","Bad"),VLOOKUP(DATE($K$1,$K$2,BHC$4),Table1[],(MATCH(Calendar!$A18,DB!$1:$1,0)),FALSE)),"")</f>
        <v/>
      </c>
      <c r="BHD18" s="28" t="str">
        <f>IFERROR(IF(BHM3="No",IF(VLOOKUP(DATE($K$1,$K$2,BHD$4),Table1[],(MATCH(Calendar!$A18,DB!$1:$1,0)),FALSE)&gt;=5,"Good","Bad"),VLOOKUP(DATE($K$1,$K$2,BHD$4),Table1[],(MATCH(Calendar!$A18,DB!$1:$1,0)),FALSE)),"")</f>
        <v/>
      </c>
      <c r="BHE18" s="28" t="str">
        <f>IFERROR(IF(BHN3="No",IF(VLOOKUP(DATE($K$1,$K$2,BHE$4),Table1[],(MATCH(Calendar!$A18,DB!$1:$1,0)),FALSE)&gt;=5,"Good","Bad"),VLOOKUP(DATE($K$1,$K$2,BHE$4),Table1[],(MATCH(Calendar!$A18,DB!$1:$1,0)),FALSE)),"")</f>
        <v/>
      </c>
      <c r="BHF18" s="28" t="str">
        <f>IFERROR(IF(BHO3="No",IF(VLOOKUP(DATE($K$1,$K$2,BHF$4),Table1[],(MATCH(Calendar!$A18,DB!$1:$1,0)),FALSE)&gt;=5,"Good","Bad"),VLOOKUP(DATE($K$1,$K$2,BHF$4),Table1[],(MATCH(Calendar!$A18,DB!$1:$1,0)),FALSE)),"")</f>
        <v/>
      </c>
      <c r="BHG18" s="28" t="str">
        <f>IFERROR(IF(BHP3="No",IF(VLOOKUP(DATE($K$1,$K$2,BHG$4),Table1[],(MATCH(Calendar!$A18,DB!$1:$1,0)),FALSE)&gt;=5,"Good","Bad"),VLOOKUP(DATE($K$1,$K$2,BHG$4),Table1[],(MATCH(Calendar!$A18,DB!$1:$1,0)),FALSE)),"")</f>
        <v/>
      </c>
      <c r="BHH18" s="28" t="str">
        <f>IFERROR(IF(BHQ3="No",IF(VLOOKUP(DATE($K$1,$K$2,BHH$4),Table1[],(MATCH(Calendar!$A18,DB!$1:$1,0)),FALSE)&gt;=5,"Good","Bad"),VLOOKUP(DATE($K$1,$K$2,BHH$4),Table1[],(MATCH(Calendar!$A18,DB!$1:$1,0)),FALSE)),"")</f>
        <v/>
      </c>
      <c r="BHI18" s="28" t="str">
        <f>IFERROR(IF(BHR3="No",IF(VLOOKUP(DATE($K$1,$K$2,BHI$4),Table1[],(MATCH(Calendar!$A18,DB!$1:$1,0)),FALSE)&gt;=5,"Good","Bad"),VLOOKUP(DATE($K$1,$K$2,BHI$4),Table1[],(MATCH(Calendar!$A18,DB!$1:$1,0)),FALSE)),"")</f>
        <v/>
      </c>
      <c r="BHJ18" s="28" t="str">
        <f>IFERROR(IF(BHS3="No",IF(VLOOKUP(DATE($K$1,$K$2,BHJ$4),Table1[],(MATCH(Calendar!$A18,DB!$1:$1,0)),FALSE)&gt;=5,"Good","Bad"),VLOOKUP(DATE($K$1,$K$2,BHJ$4),Table1[],(MATCH(Calendar!$A18,DB!$1:$1,0)),FALSE)),"")</f>
        <v/>
      </c>
      <c r="BHK18" s="28" t="str">
        <f>IFERROR(IF(BHT3="No",IF(VLOOKUP(DATE($K$1,$K$2,BHK$4),Table1[],(MATCH(Calendar!$A18,DB!$1:$1,0)),FALSE)&gt;=5,"Good","Bad"),VLOOKUP(DATE($K$1,$K$2,BHK$4),Table1[],(MATCH(Calendar!$A18,DB!$1:$1,0)),FALSE)),"")</f>
        <v/>
      </c>
      <c r="BHL18" s="28" t="str">
        <f>IFERROR(IF(BHU3="No",IF(VLOOKUP(DATE($K$1,$K$2,BHL$4),Table1[],(MATCH(Calendar!$A18,DB!$1:$1,0)),FALSE)&gt;=5,"Good","Bad"),VLOOKUP(DATE($K$1,$K$2,BHL$4),Table1[],(MATCH(Calendar!$A18,DB!$1:$1,0)),FALSE)),"")</f>
        <v/>
      </c>
      <c r="BHM18" s="28" t="str">
        <f>IFERROR(IF(BHV3="No",IF(VLOOKUP(DATE($K$1,$K$2,BHM$4),Table1[],(MATCH(Calendar!$A18,DB!$1:$1,0)),FALSE)&gt;=5,"Good","Bad"),VLOOKUP(DATE($K$1,$K$2,BHM$4),Table1[],(MATCH(Calendar!$A18,DB!$1:$1,0)),FALSE)),"")</f>
        <v/>
      </c>
      <c r="BHN18" s="28" t="str">
        <f>IFERROR(IF(BHW3="No",IF(VLOOKUP(DATE($K$1,$K$2,BHN$4),Table1[],(MATCH(Calendar!$A18,DB!$1:$1,0)),FALSE)&gt;=5,"Good","Bad"),VLOOKUP(DATE($K$1,$K$2,BHN$4),Table1[],(MATCH(Calendar!$A18,DB!$1:$1,0)),FALSE)),"")</f>
        <v/>
      </c>
      <c r="BHO18" s="28" t="str">
        <f>IFERROR(IF(BHX3="No",IF(VLOOKUP(DATE($K$1,$K$2,BHO$4),Table1[],(MATCH(Calendar!$A18,DB!$1:$1,0)),FALSE)&gt;=5,"Good","Bad"),VLOOKUP(DATE($K$1,$K$2,BHO$4),Table1[],(MATCH(Calendar!$A18,DB!$1:$1,0)),FALSE)),"")</f>
        <v/>
      </c>
      <c r="BHP18" s="28" t="str">
        <f>IFERROR(IF(BHY3="No",IF(VLOOKUP(DATE($K$1,$K$2,BHP$4),Table1[],(MATCH(Calendar!$A18,DB!$1:$1,0)),FALSE)&gt;=5,"Good","Bad"),VLOOKUP(DATE($K$1,$K$2,BHP$4),Table1[],(MATCH(Calendar!$A18,DB!$1:$1,0)),FALSE)),"")</f>
        <v/>
      </c>
      <c r="BHQ18" s="28" t="str">
        <f>IFERROR(IF(BHZ3="No",IF(VLOOKUP(DATE($K$1,$K$2,BHQ$4),Table1[],(MATCH(Calendar!$A18,DB!$1:$1,0)),FALSE)&gt;=5,"Good","Bad"),VLOOKUP(DATE($K$1,$K$2,BHQ$4),Table1[],(MATCH(Calendar!$A18,DB!$1:$1,0)),FALSE)),"")</f>
        <v/>
      </c>
      <c r="BHR18" s="28" t="str">
        <f>IFERROR(IF(BIA3="No",IF(VLOOKUP(DATE($K$1,$K$2,BHR$4),Table1[],(MATCH(Calendar!$A18,DB!$1:$1,0)),FALSE)&gt;=5,"Good","Bad"),VLOOKUP(DATE($K$1,$K$2,BHR$4),Table1[],(MATCH(Calendar!$A18,DB!$1:$1,0)),FALSE)),"")</f>
        <v/>
      </c>
      <c r="BHS18" s="28" t="str">
        <f>IFERROR(IF(BIB3="No",IF(VLOOKUP(DATE($K$1,$K$2,BHS$4),Table1[],(MATCH(Calendar!$A18,DB!$1:$1,0)),FALSE)&gt;=5,"Good","Bad"),VLOOKUP(DATE($K$1,$K$2,BHS$4),Table1[],(MATCH(Calendar!$A18,DB!$1:$1,0)),FALSE)),"")</f>
        <v/>
      </c>
      <c r="BHT18" s="28" t="str">
        <f>IFERROR(IF(BIC3="No",IF(VLOOKUP(DATE($K$1,$K$2,BHT$4),Table1[],(MATCH(Calendar!$A18,DB!$1:$1,0)),FALSE)&gt;=5,"Good","Bad"),VLOOKUP(DATE($K$1,$K$2,BHT$4),Table1[],(MATCH(Calendar!$A18,DB!$1:$1,0)),FALSE)),"")</f>
        <v/>
      </c>
      <c r="BHU18" s="28" t="str">
        <f>IFERROR(IF(BID3="No",IF(VLOOKUP(DATE($K$1,$K$2,BHU$4),Table1[],(MATCH(Calendar!$A18,DB!$1:$1,0)),FALSE)&gt;=5,"Good","Bad"),VLOOKUP(DATE($K$1,$K$2,BHU$4),Table1[],(MATCH(Calendar!$A18,DB!$1:$1,0)),FALSE)),"")</f>
        <v/>
      </c>
      <c r="BHV18" s="28" t="str">
        <f>IFERROR(IF(BIE3="No",IF(VLOOKUP(DATE($K$1,$K$2,BHV$4),Table1[],(MATCH(Calendar!$A18,DB!$1:$1,0)),FALSE)&gt;=5,"Good","Bad"),VLOOKUP(DATE($K$1,$K$2,BHV$4),Table1[],(MATCH(Calendar!$A18,DB!$1:$1,0)),FALSE)),"")</f>
        <v/>
      </c>
      <c r="BHW18" s="28" t="str">
        <f>IFERROR(IF(BIF3="No",IF(VLOOKUP(DATE($K$1,$K$2,BHW$4),Table1[],(MATCH(Calendar!$A18,DB!$1:$1,0)),FALSE)&gt;=5,"Good","Bad"),VLOOKUP(DATE($K$1,$K$2,BHW$4),Table1[],(MATCH(Calendar!$A18,DB!$1:$1,0)),FALSE)),"")</f>
        <v/>
      </c>
      <c r="BHX18" s="28" t="str">
        <f>IFERROR(IF(BIG3="No",IF(VLOOKUP(DATE($K$1,$K$2,BHX$4),Table1[],(MATCH(Calendar!$A18,DB!$1:$1,0)),FALSE)&gt;=5,"Good","Bad"),VLOOKUP(DATE($K$1,$K$2,BHX$4),Table1[],(MATCH(Calendar!$A18,DB!$1:$1,0)),FALSE)),"")</f>
        <v/>
      </c>
      <c r="BHY18" s="28" t="str">
        <f>IFERROR(IF(BIH3="No",IF(VLOOKUP(DATE($K$1,$K$2,BHY$4),Table1[],(MATCH(Calendar!$A18,DB!$1:$1,0)),FALSE)&gt;=5,"Good","Bad"),VLOOKUP(DATE($K$1,$K$2,BHY$4),Table1[],(MATCH(Calendar!$A18,DB!$1:$1,0)),FALSE)),"")</f>
        <v/>
      </c>
      <c r="BHZ18" s="28" t="str">
        <f>IFERROR(IF(BII3="No",IF(VLOOKUP(DATE($K$1,$K$2,BHZ$4),Table1[],(MATCH(Calendar!$A18,DB!$1:$1,0)),FALSE)&gt;=5,"Good","Bad"),VLOOKUP(DATE($K$1,$K$2,BHZ$4),Table1[],(MATCH(Calendar!$A18,DB!$1:$1,0)),FALSE)),"")</f>
        <v/>
      </c>
      <c r="BIA18" s="28" t="str">
        <f>IFERROR(IF(BIJ3="No",IF(VLOOKUP(DATE($K$1,$K$2,BIA$4),Table1[],(MATCH(Calendar!$A18,DB!$1:$1,0)),FALSE)&gt;=5,"Good","Bad"),VLOOKUP(DATE($K$1,$K$2,BIA$4),Table1[],(MATCH(Calendar!$A18,DB!$1:$1,0)),FALSE)),"")</f>
        <v/>
      </c>
      <c r="BIB18" s="28" t="str">
        <f>IFERROR(IF(BIK3="No",IF(VLOOKUP(DATE($K$1,$K$2,BIB$4),Table1[],(MATCH(Calendar!$A18,DB!$1:$1,0)),FALSE)&gt;=5,"Good","Bad"),VLOOKUP(DATE($K$1,$K$2,BIB$4),Table1[],(MATCH(Calendar!$A18,DB!$1:$1,0)),FALSE)),"")</f>
        <v/>
      </c>
      <c r="BIC18" s="28" t="str">
        <f>IFERROR(IF(BIL3="No",IF(VLOOKUP(DATE($K$1,$K$2,BIC$4),Table1[],(MATCH(Calendar!$A18,DB!$1:$1,0)),FALSE)&gt;=5,"Good","Bad"),VLOOKUP(DATE($K$1,$K$2,BIC$4),Table1[],(MATCH(Calendar!$A18,DB!$1:$1,0)),FALSE)),"")</f>
        <v/>
      </c>
      <c r="BID18" s="28" t="str">
        <f>IFERROR(IF(BIM3="No",IF(VLOOKUP(DATE($K$1,$K$2,BID$4),Table1[],(MATCH(Calendar!$A18,DB!$1:$1,0)),FALSE)&gt;=5,"Good","Bad"),VLOOKUP(DATE($K$1,$K$2,BID$4),Table1[],(MATCH(Calendar!$A18,DB!$1:$1,0)),FALSE)),"")</f>
        <v/>
      </c>
      <c r="BIE18" s="28" t="str">
        <f>IFERROR(IF(BIN3="No",IF(VLOOKUP(DATE($K$1,$K$2,BIE$4),Table1[],(MATCH(Calendar!$A18,DB!$1:$1,0)),FALSE)&gt;=5,"Good","Bad"),VLOOKUP(DATE($K$1,$K$2,BIE$4),Table1[],(MATCH(Calendar!$A18,DB!$1:$1,0)),FALSE)),"")</f>
        <v/>
      </c>
      <c r="BIF18" s="28" t="str">
        <f>IFERROR(IF(BIO3="No",IF(VLOOKUP(DATE($K$1,$K$2,BIF$4),Table1[],(MATCH(Calendar!$A18,DB!$1:$1,0)),FALSE)&gt;=5,"Good","Bad"),VLOOKUP(DATE($K$1,$K$2,BIF$4),Table1[],(MATCH(Calendar!$A18,DB!$1:$1,0)),FALSE)),"")</f>
        <v/>
      </c>
      <c r="BIG18" s="28" t="str">
        <f>IFERROR(IF(BIP3="No",IF(VLOOKUP(DATE($K$1,$K$2,BIG$4),Table1[],(MATCH(Calendar!$A18,DB!$1:$1,0)),FALSE)&gt;=5,"Good","Bad"),VLOOKUP(DATE($K$1,$K$2,BIG$4),Table1[],(MATCH(Calendar!$A18,DB!$1:$1,0)),FALSE)),"")</f>
        <v/>
      </c>
      <c r="BIH18" s="28" t="str">
        <f>IFERROR(IF(BIQ3="No",IF(VLOOKUP(DATE($K$1,$K$2,BIH$4),Table1[],(MATCH(Calendar!$A18,DB!$1:$1,0)),FALSE)&gt;=5,"Good","Bad"),VLOOKUP(DATE($K$1,$K$2,BIH$4),Table1[],(MATCH(Calendar!$A18,DB!$1:$1,0)),FALSE)),"")</f>
        <v/>
      </c>
      <c r="BII18" s="28" t="str">
        <f>IFERROR(IF(BIR3="No",IF(VLOOKUP(DATE($K$1,$K$2,BII$4),Table1[],(MATCH(Calendar!$A18,DB!$1:$1,0)),FALSE)&gt;=5,"Good","Bad"),VLOOKUP(DATE($K$1,$K$2,BII$4),Table1[],(MATCH(Calendar!$A18,DB!$1:$1,0)),FALSE)),"")</f>
        <v/>
      </c>
      <c r="BIJ18" s="28" t="str">
        <f>IFERROR(IF(BIS3="No",IF(VLOOKUP(DATE($K$1,$K$2,BIJ$4),Table1[],(MATCH(Calendar!$A18,DB!$1:$1,0)),FALSE)&gt;=5,"Good","Bad"),VLOOKUP(DATE($K$1,$K$2,BIJ$4),Table1[],(MATCH(Calendar!$A18,DB!$1:$1,0)),FALSE)),"")</f>
        <v/>
      </c>
      <c r="BIK18" s="28" t="str">
        <f>IFERROR(IF(BIT3="No",IF(VLOOKUP(DATE($K$1,$K$2,BIK$4),Table1[],(MATCH(Calendar!$A18,DB!$1:$1,0)),FALSE)&gt;=5,"Good","Bad"),VLOOKUP(DATE($K$1,$K$2,BIK$4),Table1[],(MATCH(Calendar!$A18,DB!$1:$1,0)),FALSE)),"")</f>
        <v/>
      </c>
      <c r="BIL18" s="28" t="str">
        <f>IFERROR(IF(BIU3="No",IF(VLOOKUP(DATE($K$1,$K$2,BIL$4),Table1[],(MATCH(Calendar!$A18,DB!$1:$1,0)),FALSE)&gt;=5,"Good","Bad"),VLOOKUP(DATE($K$1,$K$2,BIL$4),Table1[],(MATCH(Calendar!$A18,DB!$1:$1,0)),FALSE)),"")</f>
        <v/>
      </c>
      <c r="BIM18" s="28" t="str">
        <f>IFERROR(IF(BIV3="No",IF(VLOOKUP(DATE($K$1,$K$2,BIM$4),Table1[],(MATCH(Calendar!$A18,DB!$1:$1,0)),FALSE)&gt;=5,"Good","Bad"),VLOOKUP(DATE($K$1,$K$2,BIM$4),Table1[],(MATCH(Calendar!$A18,DB!$1:$1,0)),FALSE)),"")</f>
        <v/>
      </c>
      <c r="BIN18" s="28" t="str">
        <f>IFERROR(IF(BIW3="No",IF(VLOOKUP(DATE($K$1,$K$2,BIN$4),Table1[],(MATCH(Calendar!$A18,DB!$1:$1,0)),FALSE)&gt;=5,"Good","Bad"),VLOOKUP(DATE($K$1,$K$2,BIN$4),Table1[],(MATCH(Calendar!$A18,DB!$1:$1,0)),FALSE)),"")</f>
        <v/>
      </c>
      <c r="BIO18" s="28" t="str">
        <f>IFERROR(IF(BIX3="No",IF(VLOOKUP(DATE($K$1,$K$2,BIO$4),Table1[],(MATCH(Calendar!$A18,DB!$1:$1,0)),FALSE)&gt;=5,"Good","Bad"),VLOOKUP(DATE($K$1,$K$2,BIO$4),Table1[],(MATCH(Calendar!$A18,DB!$1:$1,0)),FALSE)),"")</f>
        <v/>
      </c>
      <c r="BIP18" s="28" t="str">
        <f>IFERROR(IF(BIY3="No",IF(VLOOKUP(DATE($K$1,$K$2,BIP$4),Table1[],(MATCH(Calendar!$A18,DB!$1:$1,0)),FALSE)&gt;=5,"Good","Bad"),VLOOKUP(DATE($K$1,$K$2,BIP$4),Table1[],(MATCH(Calendar!$A18,DB!$1:$1,0)),FALSE)),"")</f>
        <v/>
      </c>
      <c r="BIQ18" s="28" t="str">
        <f>IFERROR(IF(BIZ3="No",IF(VLOOKUP(DATE($K$1,$K$2,BIQ$4),Table1[],(MATCH(Calendar!$A18,DB!$1:$1,0)),FALSE)&gt;=5,"Good","Bad"),VLOOKUP(DATE($K$1,$K$2,BIQ$4),Table1[],(MATCH(Calendar!$A18,DB!$1:$1,0)),FALSE)),"")</f>
        <v/>
      </c>
      <c r="BIR18" s="28" t="str">
        <f>IFERROR(IF(BJA3="No",IF(VLOOKUP(DATE($K$1,$K$2,BIR$4),Table1[],(MATCH(Calendar!$A18,DB!$1:$1,0)),FALSE)&gt;=5,"Good","Bad"),VLOOKUP(DATE($K$1,$K$2,BIR$4),Table1[],(MATCH(Calendar!$A18,DB!$1:$1,0)),FALSE)),"")</f>
        <v/>
      </c>
      <c r="BIS18" s="28" t="str">
        <f>IFERROR(IF(BJB3="No",IF(VLOOKUP(DATE($K$1,$K$2,BIS$4),Table1[],(MATCH(Calendar!$A18,DB!$1:$1,0)),FALSE)&gt;=5,"Good","Bad"),VLOOKUP(DATE($K$1,$K$2,BIS$4),Table1[],(MATCH(Calendar!$A18,DB!$1:$1,0)),FALSE)),"")</f>
        <v/>
      </c>
      <c r="BIT18" s="28" t="str">
        <f>IFERROR(IF(BJC3="No",IF(VLOOKUP(DATE($K$1,$K$2,BIT$4),Table1[],(MATCH(Calendar!$A18,DB!$1:$1,0)),FALSE)&gt;=5,"Good","Bad"),VLOOKUP(DATE($K$1,$K$2,BIT$4),Table1[],(MATCH(Calendar!$A18,DB!$1:$1,0)),FALSE)),"")</f>
        <v/>
      </c>
      <c r="BIU18" s="28" t="str">
        <f>IFERROR(IF(BJD3="No",IF(VLOOKUP(DATE($K$1,$K$2,BIU$4),Table1[],(MATCH(Calendar!$A18,DB!$1:$1,0)),FALSE)&gt;=5,"Good","Bad"),VLOOKUP(DATE($K$1,$K$2,BIU$4),Table1[],(MATCH(Calendar!$A18,DB!$1:$1,0)),FALSE)),"")</f>
        <v/>
      </c>
      <c r="BIV18" s="28" t="str">
        <f>IFERROR(IF(BJE3="No",IF(VLOOKUP(DATE($K$1,$K$2,BIV$4),Table1[],(MATCH(Calendar!$A18,DB!$1:$1,0)),FALSE)&gt;=5,"Good","Bad"),VLOOKUP(DATE($K$1,$K$2,BIV$4),Table1[],(MATCH(Calendar!$A18,DB!$1:$1,0)),FALSE)),"")</f>
        <v/>
      </c>
      <c r="BIW18" s="28" t="str">
        <f>IFERROR(IF(BJF3="No",IF(VLOOKUP(DATE($K$1,$K$2,BIW$4),Table1[],(MATCH(Calendar!$A18,DB!$1:$1,0)),FALSE)&gt;=5,"Good","Bad"),VLOOKUP(DATE($K$1,$K$2,BIW$4),Table1[],(MATCH(Calendar!$A18,DB!$1:$1,0)),FALSE)),"")</f>
        <v/>
      </c>
      <c r="BIX18" s="28" t="str">
        <f>IFERROR(IF(BJG3="No",IF(VLOOKUP(DATE($K$1,$K$2,BIX$4),Table1[],(MATCH(Calendar!$A18,DB!$1:$1,0)),FALSE)&gt;=5,"Good","Bad"),VLOOKUP(DATE($K$1,$K$2,BIX$4),Table1[],(MATCH(Calendar!$A18,DB!$1:$1,0)),FALSE)),"")</f>
        <v/>
      </c>
      <c r="BIY18" s="28" t="str">
        <f>IFERROR(IF(BJH3="No",IF(VLOOKUP(DATE($K$1,$K$2,BIY$4),Table1[],(MATCH(Calendar!$A18,DB!$1:$1,0)),FALSE)&gt;=5,"Good","Bad"),VLOOKUP(DATE($K$1,$K$2,BIY$4),Table1[],(MATCH(Calendar!$A18,DB!$1:$1,0)),FALSE)),"")</f>
        <v/>
      </c>
      <c r="BIZ18" s="28" t="str">
        <f>IFERROR(IF(BJI3="No",IF(VLOOKUP(DATE($K$1,$K$2,BIZ$4),Table1[],(MATCH(Calendar!$A18,DB!$1:$1,0)),FALSE)&gt;=5,"Good","Bad"),VLOOKUP(DATE($K$1,$K$2,BIZ$4),Table1[],(MATCH(Calendar!$A18,DB!$1:$1,0)),FALSE)),"")</f>
        <v/>
      </c>
      <c r="BJA18" s="28" t="str">
        <f>IFERROR(IF(BJJ3="No",IF(VLOOKUP(DATE($K$1,$K$2,BJA$4),Table1[],(MATCH(Calendar!$A18,DB!$1:$1,0)),FALSE)&gt;=5,"Good","Bad"),VLOOKUP(DATE($K$1,$K$2,BJA$4),Table1[],(MATCH(Calendar!$A18,DB!$1:$1,0)),FALSE)),"")</f>
        <v/>
      </c>
      <c r="BJB18" s="28" t="str">
        <f>IFERROR(IF(BJK3="No",IF(VLOOKUP(DATE($K$1,$K$2,BJB$4),Table1[],(MATCH(Calendar!$A18,DB!$1:$1,0)),FALSE)&gt;=5,"Good","Bad"),VLOOKUP(DATE($K$1,$K$2,BJB$4),Table1[],(MATCH(Calendar!$A18,DB!$1:$1,0)),FALSE)),"")</f>
        <v/>
      </c>
      <c r="BJC18" s="28" t="str">
        <f>IFERROR(IF(BJL3="No",IF(VLOOKUP(DATE($K$1,$K$2,BJC$4),Table1[],(MATCH(Calendar!$A18,DB!$1:$1,0)),FALSE)&gt;=5,"Good","Bad"),VLOOKUP(DATE($K$1,$K$2,BJC$4),Table1[],(MATCH(Calendar!$A18,DB!$1:$1,0)),FALSE)),"")</f>
        <v/>
      </c>
      <c r="BJD18" s="28" t="str">
        <f>IFERROR(IF(BJM3="No",IF(VLOOKUP(DATE($K$1,$K$2,BJD$4),Table1[],(MATCH(Calendar!$A18,DB!$1:$1,0)),FALSE)&gt;=5,"Good","Bad"),VLOOKUP(DATE($K$1,$K$2,BJD$4),Table1[],(MATCH(Calendar!$A18,DB!$1:$1,0)),FALSE)),"")</f>
        <v/>
      </c>
      <c r="BJE18" s="28" t="str">
        <f>IFERROR(IF(BJN3="No",IF(VLOOKUP(DATE($K$1,$K$2,BJE$4),Table1[],(MATCH(Calendar!$A18,DB!$1:$1,0)),FALSE)&gt;=5,"Good","Bad"),VLOOKUP(DATE($K$1,$K$2,BJE$4),Table1[],(MATCH(Calendar!$A18,DB!$1:$1,0)),FALSE)),"")</f>
        <v/>
      </c>
      <c r="BJF18" s="28" t="str">
        <f>IFERROR(IF(BJO3="No",IF(VLOOKUP(DATE($K$1,$K$2,BJF$4),Table1[],(MATCH(Calendar!$A18,DB!$1:$1,0)),FALSE)&gt;=5,"Good","Bad"),VLOOKUP(DATE($K$1,$K$2,BJF$4),Table1[],(MATCH(Calendar!$A18,DB!$1:$1,0)),FALSE)),"")</f>
        <v/>
      </c>
      <c r="BJG18" s="28" t="str">
        <f>IFERROR(IF(BJP3="No",IF(VLOOKUP(DATE($K$1,$K$2,BJG$4),Table1[],(MATCH(Calendar!$A18,DB!$1:$1,0)),FALSE)&gt;=5,"Good","Bad"),VLOOKUP(DATE($K$1,$K$2,BJG$4),Table1[],(MATCH(Calendar!$A18,DB!$1:$1,0)),FALSE)),"")</f>
        <v/>
      </c>
      <c r="BJH18" s="28" t="str">
        <f>IFERROR(IF(BJQ3="No",IF(VLOOKUP(DATE($K$1,$K$2,BJH$4),Table1[],(MATCH(Calendar!$A18,DB!$1:$1,0)),FALSE)&gt;=5,"Good","Bad"),VLOOKUP(DATE($K$1,$K$2,BJH$4),Table1[],(MATCH(Calendar!$A18,DB!$1:$1,0)),FALSE)),"")</f>
        <v/>
      </c>
      <c r="BJI18" s="28" t="str">
        <f>IFERROR(IF(BJR3="No",IF(VLOOKUP(DATE($K$1,$K$2,BJI$4),Table1[],(MATCH(Calendar!$A18,DB!$1:$1,0)),FALSE)&gt;=5,"Good","Bad"),VLOOKUP(DATE($K$1,$K$2,BJI$4),Table1[],(MATCH(Calendar!$A18,DB!$1:$1,0)),FALSE)),"")</f>
        <v/>
      </c>
      <c r="BJJ18" s="28" t="str">
        <f>IFERROR(IF(BJS3="No",IF(VLOOKUP(DATE($K$1,$K$2,BJJ$4),Table1[],(MATCH(Calendar!$A18,DB!$1:$1,0)),FALSE)&gt;=5,"Good","Bad"),VLOOKUP(DATE($K$1,$K$2,BJJ$4),Table1[],(MATCH(Calendar!$A18,DB!$1:$1,0)),FALSE)),"")</f>
        <v/>
      </c>
      <c r="BJK18" s="28" t="str">
        <f>IFERROR(IF(BJT3="No",IF(VLOOKUP(DATE($K$1,$K$2,BJK$4),Table1[],(MATCH(Calendar!$A18,DB!$1:$1,0)),FALSE)&gt;=5,"Good","Bad"),VLOOKUP(DATE($K$1,$K$2,BJK$4),Table1[],(MATCH(Calendar!$A18,DB!$1:$1,0)),FALSE)),"")</f>
        <v/>
      </c>
      <c r="BJL18" s="28" t="str">
        <f>IFERROR(IF(BJU3="No",IF(VLOOKUP(DATE($K$1,$K$2,BJL$4),Table1[],(MATCH(Calendar!$A18,DB!$1:$1,0)),FALSE)&gt;=5,"Good","Bad"),VLOOKUP(DATE($K$1,$K$2,BJL$4),Table1[],(MATCH(Calendar!$A18,DB!$1:$1,0)),FALSE)),"")</f>
        <v/>
      </c>
      <c r="BJM18" s="28" t="str">
        <f>IFERROR(IF(BJV3="No",IF(VLOOKUP(DATE($K$1,$K$2,BJM$4),Table1[],(MATCH(Calendar!$A18,DB!$1:$1,0)),FALSE)&gt;=5,"Good","Bad"),VLOOKUP(DATE($K$1,$K$2,BJM$4),Table1[],(MATCH(Calendar!$A18,DB!$1:$1,0)),FALSE)),"")</f>
        <v/>
      </c>
      <c r="BJN18" s="28" t="str">
        <f>IFERROR(IF(BJW3="No",IF(VLOOKUP(DATE($K$1,$K$2,BJN$4),Table1[],(MATCH(Calendar!$A18,DB!$1:$1,0)),FALSE)&gt;=5,"Good","Bad"),VLOOKUP(DATE($K$1,$K$2,BJN$4),Table1[],(MATCH(Calendar!$A18,DB!$1:$1,0)),FALSE)),"")</f>
        <v/>
      </c>
      <c r="BJO18" s="28" t="str">
        <f>IFERROR(IF(BJX3="No",IF(VLOOKUP(DATE($K$1,$K$2,BJO$4),Table1[],(MATCH(Calendar!$A18,DB!$1:$1,0)),FALSE)&gt;=5,"Good","Bad"),VLOOKUP(DATE($K$1,$K$2,BJO$4),Table1[],(MATCH(Calendar!$A18,DB!$1:$1,0)),FALSE)),"")</f>
        <v/>
      </c>
      <c r="BJP18" s="28" t="str">
        <f>IFERROR(IF(BJY3="No",IF(VLOOKUP(DATE($K$1,$K$2,BJP$4),Table1[],(MATCH(Calendar!$A18,DB!$1:$1,0)),FALSE)&gt;=5,"Good","Bad"),VLOOKUP(DATE($K$1,$K$2,BJP$4),Table1[],(MATCH(Calendar!$A18,DB!$1:$1,0)),FALSE)),"")</f>
        <v/>
      </c>
      <c r="BJQ18" s="28" t="str">
        <f>IFERROR(IF(BJZ3="No",IF(VLOOKUP(DATE($K$1,$K$2,BJQ$4),Table1[],(MATCH(Calendar!$A18,DB!$1:$1,0)),FALSE)&gt;=5,"Good","Bad"),VLOOKUP(DATE($K$1,$K$2,BJQ$4),Table1[],(MATCH(Calendar!$A18,DB!$1:$1,0)),FALSE)),"")</f>
        <v/>
      </c>
      <c r="BJR18" s="28" t="str">
        <f>IFERROR(IF(BKA3="No",IF(VLOOKUP(DATE($K$1,$K$2,BJR$4),Table1[],(MATCH(Calendar!$A18,DB!$1:$1,0)),FALSE)&gt;=5,"Good","Bad"),VLOOKUP(DATE($K$1,$K$2,BJR$4),Table1[],(MATCH(Calendar!$A18,DB!$1:$1,0)),FALSE)),"")</f>
        <v/>
      </c>
      <c r="BJS18" s="28" t="str">
        <f>IFERROR(IF(BKB3="No",IF(VLOOKUP(DATE($K$1,$K$2,BJS$4),Table1[],(MATCH(Calendar!$A18,DB!$1:$1,0)),FALSE)&gt;=5,"Good","Bad"),VLOOKUP(DATE($K$1,$K$2,BJS$4),Table1[],(MATCH(Calendar!$A18,DB!$1:$1,0)),FALSE)),"")</f>
        <v/>
      </c>
      <c r="BJT18" s="28" t="str">
        <f>IFERROR(IF(BKC3="No",IF(VLOOKUP(DATE($K$1,$K$2,BJT$4),Table1[],(MATCH(Calendar!$A18,DB!$1:$1,0)),FALSE)&gt;=5,"Good","Bad"),VLOOKUP(DATE($K$1,$K$2,BJT$4),Table1[],(MATCH(Calendar!$A18,DB!$1:$1,0)),FALSE)),"")</f>
        <v/>
      </c>
      <c r="BJU18" s="28" t="str">
        <f>IFERROR(IF(BKD3="No",IF(VLOOKUP(DATE($K$1,$K$2,BJU$4),Table1[],(MATCH(Calendar!$A18,DB!$1:$1,0)),FALSE)&gt;=5,"Good","Bad"),VLOOKUP(DATE($K$1,$K$2,BJU$4),Table1[],(MATCH(Calendar!$A18,DB!$1:$1,0)),FALSE)),"")</f>
        <v/>
      </c>
      <c r="BJV18" s="28" t="str">
        <f>IFERROR(IF(BKE3="No",IF(VLOOKUP(DATE($K$1,$K$2,BJV$4),Table1[],(MATCH(Calendar!$A18,DB!$1:$1,0)),FALSE)&gt;=5,"Good","Bad"),VLOOKUP(DATE($K$1,$K$2,BJV$4),Table1[],(MATCH(Calendar!$A18,DB!$1:$1,0)),FALSE)),"")</f>
        <v/>
      </c>
      <c r="BJW18" s="28" t="str">
        <f>IFERROR(IF(BKF3="No",IF(VLOOKUP(DATE($K$1,$K$2,BJW$4),Table1[],(MATCH(Calendar!$A18,DB!$1:$1,0)),FALSE)&gt;=5,"Good","Bad"),VLOOKUP(DATE($K$1,$K$2,BJW$4),Table1[],(MATCH(Calendar!$A18,DB!$1:$1,0)),FALSE)),"")</f>
        <v/>
      </c>
      <c r="BJX18" s="28" t="str">
        <f>IFERROR(IF(BKG3="No",IF(VLOOKUP(DATE($K$1,$K$2,BJX$4),Table1[],(MATCH(Calendar!$A18,DB!$1:$1,0)),FALSE)&gt;=5,"Good","Bad"),VLOOKUP(DATE($K$1,$K$2,BJX$4),Table1[],(MATCH(Calendar!$A18,DB!$1:$1,0)),FALSE)),"")</f>
        <v/>
      </c>
      <c r="BJY18" s="28" t="str">
        <f>IFERROR(IF(BKH3="No",IF(VLOOKUP(DATE($K$1,$K$2,BJY$4),Table1[],(MATCH(Calendar!$A18,DB!$1:$1,0)),FALSE)&gt;=5,"Good","Bad"),VLOOKUP(DATE($K$1,$K$2,BJY$4),Table1[],(MATCH(Calendar!$A18,DB!$1:$1,0)),FALSE)),"")</f>
        <v/>
      </c>
      <c r="BJZ18" s="28" t="str">
        <f>IFERROR(IF(BKI3="No",IF(VLOOKUP(DATE($K$1,$K$2,BJZ$4),Table1[],(MATCH(Calendar!$A18,DB!$1:$1,0)),FALSE)&gt;=5,"Good","Bad"),VLOOKUP(DATE($K$1,$K$2,BJZ$4),Table1[],(MATCH(Calendar!$A18,DB!$1:$1,0)),FALSE)),"")</f>
        <v/>
      </c>
      <c r="BKA18" s="28" t="str">
        <f>IFERROR(IF(BKJ3="No",IF(VLOOKUP(DATE($K$1,$K$2,BKA$4),Table1[],(MATCH(Calendar!$A18,DB!$1:$1,0)),FALSE)&gt;=5,"Good","Bad"),VLOOKUP(DATE($K$1,$K$2,BKA$4),Table1[],(MATCH(Calendar!$A18,DB!$1:$1,0)),FALSE)),"")</f>
        <v/>
      </c>
      <c r="BKB18" s="28" t="str">
        <f>IFERROR(IF(BKK3="No",IF(VLOOKUP(DATE($K$1,$K$2,BKB$4),Table1[],(MATCH(Calendar!$A18,DB!$1:$1,0)),FALSE)&gt;=5,"Good","Bad"),VLOOKUP(DATE($K$1,$K$2,BKB$4),Table1[],(MATCH(Calendar!$A18,DB!$1:$1,0)),FALSE)),"")</f>
        <v/>
      </c>
      <c r="BKC18" s="28" t="str">
        <f>IFERROR(IF(BKL3="No",IF(VLOOKUP(DATE($K$1,$K$2,BKC$4),Table1[],(MATCH(Calendar!$A18,DB!$1:$1,0)),FALSE)&gt;=5,"Good","Bad"),VLOOKUP(DATE($K$1,$K$2,BKC$4),Table1[],(MATCH(Calendar!$A18,DB!$1:$1,0)),FALSE)),"")</f>
        <v/>
      </c>
      <c r="BKD18" s="28" t="str">
        <f>IFERROR(IF(BKM3="No",IF(VLOOKUP(DATE($K$1,$K$2,BKD$4),Table1[],(MATCH(Calendar!$A18,DB!$1:$1,0)),FALSE)&gt;=5,"Good","Bad"),VLOOKUP(DATE($K$1,$K$2,BKD$4),Table1[],(MATCH(Calendar!$A18,DB!$1:$1,0)),FALSE)),"")</f>
        <v/>
      </c>
      <c r="BKE18" s="28" t="str">
        <f>IFERROR(IF(BKN3="No",IF(VLOOKUP(DATE($K$1,$K$2,BKE$4),Table1[],(MATCH(Calendar!$A18,DB!$1:$1,0)),FALSE)&gt;=5,"Good","Bad"),VLOOKUP(DATE($K$1,$K$2,BKE$4),Table1[],(MATCH(Calendar!$A18,DB!$1:$1,0)),FALSE)),"")</f>
        <v/>
      </c>
      <c r="BKF18" s="28" t="str">
        <f>IFERROR(IF(BKO3="No",IF(VLOOKUP(DATE($K$1,$K$2,BKF$4),Table1[],(MATCH(Calendar!$A18,DB!$1:$1,0)),FALSE)&gt;=5,"Good","Bad"),VLOOKUP(DATE($K$1,$K$2,BKF$4),Table1[],(MATCH(Calendar!$A18,DB!$1:$1,0)),FALSE)),"")</f>
        <v/>
      </c>
      <c r="BKG18" s="28" t="str">
        <f>IFERROR(IF(BKP3="No",IF(VLOOKUP(DATE($K$1,$K$2,BKG$4),Table1[],(MATCH(Calendar!$A18,DB!$1:$1,0)),FALSE)&gt;=5,"Good","Bad"),VLOOKUP(DATE($K$1,$K$2,BKG$4),Table1[],(MATCH(Calendar!$A18,DB!$1:$1,0)),FALSE)),"")</f>
        <v/>
      </c>
      <c r="BKH18" s="28" t="str">
        <f>IFERROR(IF(BKQ3="No",IF(VLOOKUP(DATE($K$1,$K$2,BKH$4),Table1[],(MATCH(Calendar!$A18,DB!$1:$1,0)),FALSE)&gt;=5,"Good","Bad"),VLOOKUP(DATE($K$1,$K$2,BKH$4),Table1[],(MATCH(Calendar!$A18,DB!$1:$1,0)),FALSE)),"")</f>
        <v/>
      </c>
      <c r="BKI18" s="28" t="str">
        <f>IFERROR(IF(BKR3="No",IF(VLOOKUP(DATE($K$1,$K$2,BKI$4),Table1[],(MATCH(Calendar!$A18,DB!$1:$1,0)),FALSE)&gt;=5,"Good","Bad"),VLOOKUP(DATE($K$1,$K$2,BKI$4),Table1[],(MATCH(Calendar!$A18,DB!$1:$1,0)),FALSE)),"")</f>
        <v/>
      </c>
      <c r="BKJ18" s="28" t="str">
        <f>IFERROR(IF(BKS3="No",IF(VLOOKUP(DATE($K$1,$K$2,BKJ$4),Table1[],(MATCH(Calendar!$A18,DB!$1:$1,0)),FALSE)&gt;=5,"Good","Bad"),VLOOKUP(DATE($K$1,$K$2,BKJ$4),Table1[],(MATCH(Calendar!$A18,DB!$1:$1,0)),FALSE)),"")</f>
        <v/>
      </c>
      <c r="BKK18" s="28" t="str">
        <f>IFERROR(IF(BKT3="No",IF(VLOOKUP(DATE($K$1,$K$2,BKK$4),Table1[],(MATCH(Calendar!$A18,DB!$1:$1,0)),FALSE)&gt;=5,"Good","Bad"),VLOOKUP(DATE($K$1,$K$2,BKK$4),Table1[],(MATCH(Calendar!$A18,DB!$1:$1,0)),FALSE)),"")</f>
        <v/>
      </c>
      <c r="BKL18" s="28" t="str">
        <f>IFERROR(IF(BKU3="No",IF(VLOOKUP(DATE($K$1,$K$2,BKL$4),Table1[],(MATCH(Calendar!$A18,DB!$1:$1,0)),FALSE)&gt;=5,"Good","Bad"),VLOOKUP(DATE($K$1,$K$2,BKL$4),Table1[],(MATCH(Calendar!$A18,DB!$1:$1,0)),FALSE)),"")</f>
        <v/>
      </c>
      <c r="BKM18" s="28" t="str">
        <f>IFERROR(IF(BKV3="No",IF(VLOOKUP(DATE($K$1,$K$2,BKM$4),Table1[],(MATCH(Calendar!$A18,DB!$1:$1,0)),FALSE)&gt;=5,"Good","Bad"),VLOOKUP(DATE($K$1,$K$2,BKM$4),Table1[],(MATCH(Calendar!$A18,DB!$1:$1,0)),FALSE)),"")</f>
        <v/>
      </c>
      <c r="BKN18" s="28" t="str">
        <f>IFERROR(IF(BKW3="No",IF(VLOOKUP(DATE($K$1,$K$2,BKN$4),Table1[],(MATCH(Calendar!$A18,DB!$1:$1,0)),FALSE)&gt;=5,"Good","Bad"),VLOOKUP(DATE($K$1,$K$2,BKN$4),Table1[],(MATCH(Calendar!$A18,DB!$1:$1,0)),FALSE)),"")</f>
        <v/>
      </c>
      <c r="BKO18" s="28" t="str">
        <f>IFERROR(IF(BKX3="No",IF(VLOOKUP(DATE($K$1,$K$2,BKO$4),Table1[],(MATCH(Calendar!$A18,DB!$1:$1,0)),FALSE)&gt;=5,"Good","Bad"),VLOOKUP(DATE($K$1,$K$2,BKO$4),Table1[],(MATCH(Calendar!$A18,DB!$1:$1,0)),FALSE)),"")</f>
        <v/>
      </c>
      <c r="BKP18" s="28" t="str">
        <f>IFERROR(IF(BKY3="No",IF(VLOOKUP(DATE($K$1,$K$2,BKP$4),Table1[],(MATCH(Calendar!$A18,DB!$1:$1,0)),FALSE)&gt;=5,"Good","Bad"),VLOOKUP(DATE($K$1,$K$2,BKP$4),Table1[],(MATCH(Calendar!$A18,DB!$1:$1,0)),FALSE)),"")</f>
        <v/>
      </c>
      <c r="BKQ18" s="28" t="str">
        <f>IFERROR(IF(BKZ3="No",IF(VLOOKUP(DATE($K$1,$K$2,BKQ$4),Table1[],(MATCH(Calendar!$A18,DB!$1:$1,0)),FALSE)&gt;=5,"Good","Bad"),VLOOKUP(DATE($K$1,$K$2,BKQ$4),Table1[],(MATCH(Calendar!$A18,DB!$1:$1,0)),FALSE)),"")</f>
        <v/>
      </c>
      <c r="BKR18" s="28" t="str">
        <f>IFERROR(IF(BLA3="No",IF(VLOOKUP(DATE($K$1,$K$2,BKR$4),Table1[],(MATCH(Calendar!$A18,DB!$1:$1,0)),FALSE)&gt;=5,"Good","Bad"),VLOOKUP(DATE($K$1,$K$2,BKR$4),Table1[],(MATCH(Calendar!$A18,DB!$1:$1,0)),FALSE)),"")</f>
        <v/>
      </c>
      <c r="BKS18" s="28" t="str">
        <f>IFERROR(IF(BLB3="No",IF(VLOOKUP(DATE($K$1,$K$2,BKS$4),Table1[],(MATCH(Calendar!$A18,DB!$1:$1,0)),FALSE)&gt;=5,"Good","Bad"),VLOOKUP(DATE($K$1,$K$2,BKS$4),Table1[],(MATCH(Calendar!$A18,DB!$1:$1,0)),FALSE)),"")</f>
        <v/>
      </c>
      <c r="BKT18" s="28" t="str">
        <f>IFERROR(IF(BLC3="No",IF(VLOOKUP(DATE($K$1,$K$2,BKT$4),Table1[],(MATCH(Calendar!$A18,DB!$1:$1,0)),FALSE)&gt;=5,"Good","Bad"),VLOOKUP(DATE($K$1,$K$2,BKT$4),Table1[],(MATCH(Calendar!$A18,DB!$1:$1,0)),FALSE)),"")</f>
        <v/>
      </c>
      <c r="BKU18" s="28" t="str">
        <f>IFERROR(IF(BLD3="No",IF(VLOOKUP(DATE($K$1,$K$2,BKU$4),Table1[],(MATCH(Calendar!$A18,DB!$1:$1,0)),FALSE)&gt;=5,"Good","Bad"),VLOOKUP(DATE($K$1,$K$2,BKU$4),Table1[],(MATCH(Calendar!$A18,DB!$1:$1,0)),FALSE)),"")</f>
        <v/>
      </c>
      <c r="BKV18" s="28" t="str">
        <f>IFERROR(IF(BLE3="No",IF(VLOOKUP(DATE($K$1,$K$2,BKV$4),Table1[],(MATCH(Calendar!$A18,DB!$1:$1,0)),FALSE)&gt;=5,"Good","Bad"),VLOOKUP(DATE($K$1,$K$2,BKV$4),Table1[],(MATCH(Calendar!$A18,DB!$1:$1,0)),FALSE)),"")</f>
        <v/>
      </c>
      <c r="BKW18" s="28" t="str">
        <f>IFERROR(IF(BLF3="No",IF(VLOOKUP(DATE($K$1,$K$2,BKW$4),Table1[],(MATCH(Calendar!$A18,DB!$1:$1,0)),FALSE)&gt;=5,"Good","Bad"),VLOOKUP(DATE($K$1,$K$2,BKW$4),Table1[],(MATCH(Calendar!$A18,DB!$1:$1,0)),FALSE)),"")</f>
        <v/>
      </c>
      <c r="BKX18" s="28" t="str">
        <f>IFERROR(IF(BLG3="No",IF(VLOOKUP(DATE($K$1,$K$2,BKX$4),Table1[],(MATCH(Calendar!$A18,DB!$1:$1,0)),FALSE)&gt;=5,"Good","Bad"),VLOOKUP(DATE($K$1,$K$2,BKX$4),Table1[],(MATCH(Calendar!$A18,DB!$1:$1,0)),FALSE)),"")</f>
        <v/>
      </c>
      <c r="BKY18" s="28" t="str">
        <f>IFERROR(IF(BLH3="No",IF(VLOOKUP(DATE($K$1,$K$2,BKY$4),Table1[],(MATCH(Calendar!$A18,DB!$1:$1,0)),FALSE)&gt;=5,"Good","Bad"),VLOOKUP(DATE($K$1,$K$2,BKY$4),Table1[],(MATCH(Calendar!$A18,DB!$1:$1,0)),FALSE)),"")</f>
        <v/>
      </c>
      <c r="BKZ18" s="28" t="str">
        <f>IFERROR(IF(BLI3="No",IF(VLOOKUP(DATE($K$1,$K$2,BKZ$4),Table1[],(MATCH(Calendar!$A18,DB!$1:$1,0)),FALSE)&gt;=5,"Good","Bad"),VLOOKUP(DATE($K$1,$K$2,BKZ$4),Table1[],(MATCH(Calendar!$A18,DB!$1:$1,0)),FALSE)),"")</f>
        <v/>
      </c>
      <c r="BLA18" s="28" t="str">
        <f>IFERROR(IF(BLJ3="No",IF(VLOOKUP(DATE($K$1,$K$2,BLA$4),Table1[],(MATCH(Calendar!$A18,DB!$1:$1,0)),FALSE)&gt;=5,"Good","Bad"),VLOOKUP(DATE($K$1,$K$2,BLA$4),Table1[],(MATCH(Calendar!$A18,DB!$1:$1,0)),FALSE)),"")</f>
        <v/>
      </c>
      <c r="BLB18" s="28" t="str">
        <f>IFERROR(IF(BLK3="No",IF(VLOOKUP(DATE($K$1,$K$2,BLB$4),Table1[],(MATCH(Calendar!$A18,DB!$1:$1,0)),FALSE)&gt;=5,"Good","Bad"),VLOOKUP(DATE($K$1,$K$2,BLB$4),Table1[],(MATCH(Calendar!$A18,DB!$1:$1,0)),FALSE)),"")</f>
        <v/>
      </c>
      <c r="BLC18" s="28" t="str">
        <f>IFERROR(IF(BLL3="No",IF(VLOOKUP(DATE($K$1,$K$2,BLC$4),Table1[],(MATCH(Calendar!$A18,DB!$1:$1,0)),FALSE)&gt;=5,"Good","Bad"),VLOOKUP(DATE($K$1,$K$2,BLC$4),Table1[],(MATCH(Calendar!$A18,DB!$1:$1,0)),FALSE)),"")</f>
        <v/>
      </c>
      <c r="BLD18" s="28" t="str">
        <f>IFERROR(IF(BLM3="No",IF(VLOOKUP(DATE($K$1,$K$2,BLD$4),Table1[],(MATCH(Calendar!$A18,DB!$1:$1,0)),FALSE)&gt;=5,"Good","Bad"),VLOOKUP(DATE($K$1,$K$2,BLD$4),Table1[],(MATCH(Calendar!$A18,DB!$1:$1,0)),FALSE)),"")</f>
        <v/>
      </c>
      <c r="BLE18" s="28" t="str">
        <f>IFERROR(IF(BLN3="No",IF(VLOOKUP(DATE($K$1,$K$2,BLE$4),Table1[],(MATCH(Calendar!$A18,DB!$1:$1,0)),FALSE)&gt;=5,"Good","Bad"),VLOOKUP(DATE($K$1,$K$2,BLE$4),Table1[],(MATCH(Calendar!$A18,DB!$1:$1,0)),FALSE)),"")</f>
        <v/>
      </c>
      <c r="BLF18" s="28" t="str">
        <f>IFERROR(IF(BLO3="No",IF(VLOOKUP(DATE($K$1,$K$2,BLF$4),Table1[],(MATCH(Calendar!$A18,DB!$1:$1,0)),FALSE)&gt;=5,"Good","Bad"),VLOOKUP(DATE($K$1,$K$2,BLF$4),Table1[],(MATCH(Calendar!$A18,DB!$1:$1,0)),FALSE)),"")</f>
        <v/>
      </c>
      <c r="BLG18" s="28" t="str">
        <f>IFERROR(IF(BLP3="No",IF(VLOOKUP(DATE($K$1,$K$2,BLG$4),Table1[],(MATCH(Calendar!$A18,DB!$1:$1,0)),FALSE)&gt;=5,"Good","Bad"),VLOOKUP(DATE($K$1,$K$2,BLG$4),Table1[],(MATCH(Calendar!$A18,DB!$1:$1,0)),FALSE)),"")</f>
        <v/>
      </c>
      <c r="BLH18" s="28" t="str">
        <f>IFERROR(IF(BLQ3="No",IF(VLOOKUP(DATE($K$1,$K$2,BLH$4),Table1[],(MATCH(Calendar!$A18,DB!$1:$1,0)),FALSE)&gt;=5,"Good","Bad"),VLOOKUP(DATE($K$1,$K$2,BLH$4),Table1[],(MATCH(Calendar!$A18,DB!$1:$1,0)),FALSE)),"")</f>
        <v/>
      </c>
      <c r="BLI18" s="28" t="str">
        <f>IFERROR(IF(BLR3="No",IF(VLOOKUP(DATE($K$1,$K$2,BLI$4),Table1[],(MATCH(Calendar!$A18,DB!$1:$1,0)),FALSE)&gt;=5,"Good","Bad"),VLOOKUP(DATE($K$1,$K$2,BLI$4),Table1[],(MATCH(Calendar!$A18,DB!$1:$1,0)),FALSE)),"")</f>
        <v/>
      </c>
      <c r="BLJ18" s="28" t="str">
        <f>IFERROR(IF(BLS3="No",IF(VLOOKUP(DATE($K$1,$K$2,BLJ$4),Table1[],(MATCH(Calendar!$A18,DB!$1:$1,0)),FALSE)&gt;=5,"Good","Bad"),VLOOKUP(DATE($K$1,$K$2,BLJ$4),Table1[],(MATCH(Calendar!$A18,DB!$1:$1,0)),FALSE)),"")</f>
        <v/>
      </c>
      <c r="BLK18" s="28" t="str">
        <f>IFERROR(IF(BLT3="No",IF(VLOOKUP(DATE($K$1,$K$2,BLK$4),Table1[],(MATCH(Calendar!$A18,DB!$1:$1,0)),FALSE)&gt;=5,"Good","Bad"),VLOOKUP(DATE($K$1,$K$2,BLK$4),Table1[],(MATCH(Calendar!$A18,DB!$1:$1,0)),FALSE)),"")</f>
        <v/>
      </c>
      <c r="BLL18" s="28" t="str">
        <f>IFERROR(IF(BLU3="No",IF(VLOOKUP(DATE($K$1,$K$2,BLL$4),Table1[],(MATCH(Calendar!$A18,DB!$1:$1,0)),FALSE)&gt;=5,"Good","Bad"),VLOOKUP(DATE($K$1,$K$2,BLL$4),Table1[],(MATCH(Calendar!$A18,DB!$1:$1,0)),FALSE)),"")</f>
        <v/>
      </c>
      <c r="BLM18" s="28" t="str">
        <f>IFERROR(IF(BLV3="No",IF(VLOOKUP(DATE($K$1,$K$2,BLM$4),Table1[],(MATCH(Calendar!$A18,DB!$1:$1,0)),FALSE)&gt;=5,"Good","Bad"),VLOOKUP(DATE($K$1,$K$2,BLM$4),Table1[],(MATCH(Calendar!$A18,DB!$1:$1,0)),FALSE)),"")</f>
        <v/>
      </c>
      <c r="BLN18" s="28" t="str">
        <f>IFERROR(IF(BLW3="No",IF(VLOOKUP(DATE($K$1,$K$2,BLN$4),Table1[],(MATCH(Calendar!$A18,DB!$1:$1,0)),FALSE)&gt;=5,"Good","Bad"),VLOOKUP(DATE($K$1,$K$2,BLN$4),Table1[],(MATCH(Calendar!$A18,DB!$1:$1,0)),FALSE)),"")</f>
        <v/>
      </c>
      <c r="BLO18" s="28" t="str">
        <f>IFERROR(IF(BLX3="No",IF(VLOOKUP(DATE($K$1,$K$2,BLO$4),Table1[],(MATCH(Calendar!$A18,DB!$1:$1,0)),FALSE)&gt;=5,"Good","Bad"),VLOOKUP(DATE($K$1,$K$2,BLO$4),Table1[],(MATCH(Calendar!$A18,DB!$1:$1,0)),FALSE)),"")</f>
        <v/>
      </c>
      <c r="BLP18" s="28" t="str">
        <f>IFERROR(IF(BLY3="No",IF(VLOOKUP(DATE($K$1,$K$2,BLP$4),Table1[],(MATCH(Calendar!$A18,DB!$1:$1,0)),FALSE)&gt;=5,"Good","Bad"),VLOOKUP(DATE($K$1,$K$2,BLP$4),Table1[],(MATCH(Calendar!$A18,DB!$1:$1,0)),FALSE)),"")</f>
        <v/>
      </c>
      <c r="BLQ18" s="28" t="str">
        <f>IFERROR(IF(BLZ3="No",IF(VLOOKUP(DATE($K$1,$K$2,BLQ$4),Table1[],(MATCH(Calendar!$A18,DB!$1:$1,0)),FALSE)&gt;=5,"Good","Bad"),VLOOKUP(DATE($K$1,$K$2,BLQ$4),Table1[],(MATCH(Calendar!$A18,DB!$1:$1,0)),FALSE)),"")</f>
        <v/>
      </c>
      <c r="BLR18" s="28" t="str">
        <f>IFERROR(IF(BMA3="No",IF(VLOOKUP(DATE($K$1,$K$2,BLR$4),Table1[],(MATCH(Calendar!$A18,DB!$1:$1,0)),FALSE)&gt;=5,"Good","Bad"),VLOOKUP(DATE($K$1,$K$2,BLR$4),Table1[],(MATCH(Calendar!$A18,DB!$1:$1,0)),FALSE)),"")</f>
        <v/>
      </c>
      <c r="BLS18" s="28" t="str">
        <f>IFERROR(IF(BMB3="No",IF(VLOOKUP(DATE($K$1,$K$2,BLS$4),Table1[],(MATCH(Calendar!$A18,DB!$1:$1,0)),FALSE)&gt;=5,"Good","Bad"),VLOOKUP(DATE($K$1,$K$2,BLS$4),Table1[],(MATCH(Calendar!$A18,DB!$1:$1,0)),FALSE)),"")</f>
        <v/>
      </c>
      <c r="BLT18" s="28" t="str">
        <f>IFERROR(IF(BMC3="No",IF(VLOOKUP(DATE($K$1,$K$2,BLT$4),Table1[],(MATCH(Calendar!$A18,DB!$1:$1,0)),FALSE)&gt;=5,"Good","Bad"),VLOOKUP(DATE($K$1,$K$2,BLT$4),Table1[],(MATCH(Calendar!$A18,DB!$1:$1,0)),FALSE)),"")</f>
        <v/>
      </c>
      <c r="BLU18" s="28" t="str">
        <f>IFERROR(IF(BMD3="No",IF(VLOOKUP(DATE($K$1,$K$2,BLU$4),Table1[],(MATCH(Calendar!$A18,DB!$1:$1,0)),FALSE)&gt;=5,"Good","Bad"),VLOOKUP(DATE($K$1,$K$2,BLU$4),Table1[],(MATCH(Calendar!$A18,DB!$1:$1,0)),FALSE)),"")</f>
        <v/>
      </c>
      <c r="BLV18" s="28" t="str">
        <f>IFERROR(IF(BME3="No",IF(VLOOKUP(DATE($K$1,$K$2,BLV$4),Table1[],(MATCH(Calendar!$A18,DB!$1:$1,0)),FALSE)&gt;=5,"Good","Bad"),VLOOKUP(DATE($K$1,$K$2,BLV$4),Table1[],(MATCH(Calendar!$A18,DB!$1:$1,0)),FALSE)),"")</f>
        <v/>
      </c>
      <c r="BLW18" s="28" t="str">
        <f>IFERROR(IF(BMF3="No",IF(VLOOKUP(DATE($K$1,$K$2,BLW$4),Table1[],(MATCH(Calendar!$A18,DB!$1:$1,0)),FALSE)&gt;=5,"Good","Bad"),VLOOKUP(DATE($K$1,$K$2,BLW$4),Table1[],(MATCH(Calendar!$A18,DB!$1:$1,0)),FALSE)),"")</f>
        <v/>
      </c>
      <c r="BLX18" s="28" t="str">
        <f>IFERROR(IF(BMG3="No",IF(VLOOKUP(DATE($K$1,$K$2,BLX$4),Table1[],(MATCH(Calendar!$A18,DB!$1:$1,0)),FALSE)&gt;=5,"Good","Bad"),VLOOKUP(DATE($K$1,$K$2,BLX$4),Table1[],(MATCH(Calendar!$A18,DB!$1:$1,0)),FALSE)),"")</f>
        <v/>
      </c>
      <c r="BLY18" s="28" t="str">
        <f>IFERROR(IF(BMH3="No",IF(VLOOKUP(DATE($K$1,$K$2,BLY$4),Table1[],(MATCH(Calendar!$A18,DB!$1:$1,0)),FALSE)&gt;=5,"Good","Bad"),VLOOKUP(DATE($K$1,$K$2,BLY$4),Table1[],(MATCH(Calendar!$A18,DB!$1:$1,0)),FALSE)),"")</f>
        <v/>
      </c>
      <c r="BLZ18" s="28" t="str">
        <f>IFERROR(IF(BMI3="No",IF(VLOOKUP(DATE($K$1,$K$2,BLZ$4),Table1[],(MATCH(Calendar!$A18,DB!$1:$1,0)),FALSE)&gt;=5,"Good","Bad"),VLOOKUP(DATE($K$1,$K$2,BLZ$4),Table1[],(MATCH(Calendar!$A18,DB!$1:$1,0)),FALSE)),"")</f>
        <v/>
      </c>
      <c r="BMA18" s="28" t="str">
        <f>IFERROR(IF(BMJ3="No",IF(VLOOKUP(DATE($K$1,$K$2,BMA$4),Table1[],(MATCH(Calendar!$A18,DB!$1:$1,0)),FALSE)&gt;=5,"Good","Bad"),VLOOKUP(DATE($K$1,$K$2,BMA$4),Table1[],(MATCH(Calendar!$A18,DB!$1:$1,0)),FALSE)),"")</f>
        <v/>
      </c>
      <c r="BMB18" s="28" t="str">
        <f>IFERROR(IF(BMK3="No",IF(VLOOKUP(DATE($K$1,$K$2,BMB$4),Table1[],(MATCH(Calendar!$A18,DB!$1:$1,0)),FALSE)&gt;=5,"Good","Bad"),VLOOKUP(DATE($K$1,$K$2,BMB$4),Table1[],(MATCH(Calendar!$A18,DB!$1:$1,0)),FALSE)),"")</f>
        <v/>
      </c>
      <c r="BMC18" s="28" t="str">
        <f>IFERROR(IF(BML3="No",IF(VLOOKUP(DATE($K$1,$K$2,BMC$4),Table1[],(MATCH(Calendar!$A18,DB!$1:$1,0)),FALSE)&gt;=5,"Good","Bad"),VLOOKUP(DATE($K$1,$K$2,BMC$4),Table1[],(MATCH(Calendar!$A18,DB!$1:$1,0)),FALSE)),"")</f>
        <v/>
      </c>
      <c r="BMD18" s="28" t="str">
        <f>IFERROR(IF(BMM3="No",IF(VLOOKUP(DATE($K$1,$K$2,BMD$4),Table1[],(MATCH(Calendar!$A18,DB!$1:$1,0)),FALSE)&gt;=5,"Good","Bad"),VLOOKUP(DATE($K$1,$K$2,BMD$4),Table1[],(MATCH(Calendar!$A18,DB!$1:$1,0)),FALSE)),"")</f>
        <v/>
      </c>
      <c r="BME18" s="28" t="str">
        <f>IFERROR(IF(BMN3="No",IF(VLOOKUP(DATE($K$1,$K$2,BME$4),Table1[],(MATCH(Calendar!$A18,DB!$1:$1,0)),FALSE)&gt;=5,"Good","Bad"),VLOOKUP(DATE($K$1,$K$2,BME$4),Table1[],(MATCH(Calendar!$A18,DB!$1:$1,0)),FALSE)),"")</f>
        <v/>
      </c>
      <c r="BMF18" s="28" t="str">
        <f>IFERROR(IF(BMO3="No",IF(VLOOKUP(DATE($K$1,$K$2,BMF$4),Table1[],(MATCH(Calendar!$A18,DB!$1:$1,0)),FALSE)&gt;=5,"Good","Bad"),VLOOKUP(DATE($K$1,$K$2,BMF$4),Table1[],(MATCH(Calendar!$A18,DB!$1:$1,0)),FALSE)),"")</f>
        <v/>
      </c>
      <c r="BMG18" s="28" t="str">
        <f>IFERROR(IF(BMP3="No",IF(VLOOKUP(DATE($K$1,$K$2,BMG$4),Table1[],(MATCH(Calendar!$A18,DB!$1:$1,0)),FALSE)&gt;=5,"Good","Bad"),VLOOKUP(DATE($K$1,$K$2,BMG$4),Table1[],(MATCH(Calendar!$A18,DB!$1:$1,0)),FALSE)),"")</f>
        <v/>
      </c>
      <c r="BMH18" s="28" t="str">
        <f>IFERROR(IF(BMQ3="No",IF(VLOOKUP(DATE($K$1,$K$2,BMH$4),Table1[],(MATCH(Calendar!$A18,DB!$1:$1,0)),FALSE)&gt;=5,"Good","Bad"),VLOOKUP(DATE($K$1,$K$2,BMH$4),Table1[],(MATCH(Calendar!$A18,DB!$1:$1,0)),FALSE)),"")</f>
        <v/>
      </c>
      <c r="BMI18" s="28" t="str">
        <f>IFERROR(IF(BMR3="No",IF(VLOOKUP(DATE($K$1,$K$2,BMI$4),Table1[],(MATCH(Calendar!$A18,DB!$1:$1,0)),FALSE)&gt;=5,"Good","Bad"),VLOOKUP(DATE($K$1,$K$2,BMI$4),Table1[],(MATCH(Calendar!$A18,DB!$1:$1,0)),FALSE)),"")</f>
        <v/>
      </c>
      <c r="BMJ18" s="28" t="str">
        <f>IFERROR(IF(BMS3="No",IF(VLOOKUP(DATE($K$1,$K$2,BMJ$4),Table1[],(MATCH(Calendar!$A18,DB!$1:$1,0)),FALSE)&gt;=5,"Good","Bad"),VLOOKUP(DATE($K$1,$K$2,BMJ$4),Table1[],(MATCH(Calendar!$A18,DB!$1:$1,0)),FALSE)),"")</f>
        <v/>
      </c>
      <c r="BMK18" s="28" t="str">
        <f>IFERROR(IF(BMT3="No",IF(VLOOKUP(DATE($K$1,$K$2,BMK$4),Table1[],(MATCH(Calendar!$A18,DB!$1:$1,0)),FALSE)&gt;=5,"Good","Bad"),VLOOKUP(DATE($K$1,$K$2,BMK$4),Table1[],(MATCH(Calendar!$A18,DB!$1:$1,0)),FALSE)),"")</f>
        <v/>
      </c>
      <c r="BML18" s="28" t="str">
        <f>IFERROR(IF(BMU3="No",IF(VLOOKUP(DATE($K$1,$K$2,BML$4),Table1[],(MATCH(Calendar!$A18,DB!$1:$1,0)),FALSE)&gt;=5,"Good","Bad"),VLOOKUP(DATE($K$1,$K$2,BML$4),Table1[],(MATCH(Calendar!$A18,DB!$1:$1,0)),FALSE)),"")</f>
        <v/>
      </c>
      <c r="BMM18" s="28" t="str">
        <f>IFERROR(IF(BMV3="No",IF(VLOOKUP(DATE($K$1,$K$2,BMM$4),Table1[],(MATCH(Calendar!$A18,DB!$1:$1,0)),FALSE)&gt;=5,"Good","Bad"),VLOOKUP(DATE($K$1,$K$2,BMM$4),Table1[],(MATCH(Calendar!$A18,DB!$1:$1,0)),FALSE)),"")</f>
        <v/>
      </c>
      <c r="BMN18" s="28" t="str">
        <f>IFERROR(IF(BMW3="No",IF(VLOOKUP(DATE($K$1,$K$2,BMN$4),Table1[],(MATCH(Calendar!$A18,DB!$1:$1,0)),FALSE)&gt;=5,"Good","Bad"),VLOOKUP(DATE($K$1,$K$2,BMN$4),Table1[],(MATCH(Calendar!$A18,DB!$1:$1,0)),FALSE)),"")</f>
        <v/>
      </c>
      <c r="BMO18" s="28" t="str">
        <f>IFERROR(IF(BMX3="No",IF(VLOOKUP(DATE($K$1,$K$2,BMO$4),Table1[],(MATCH(Calendar!$A18,DB!$1:$1,0)),FALSE)&gt;=5,"Good","Bad"),VLOOKUP(DATE($K$1,$K$2,BMO$4),Table1[],(MATCH(Calendar!$A18,DB!$1:$1,0)),FALSE)),"")</f>
        <v/>
      </c>
      <c r="BMP18" s="28" t="str">
        <f>IFERROR(IF(BMY3="No",IF(VLOOKUP(DATE($K$1,$K$2,BMP$4),Table1[],(MATCH(Calendar!$A18,DB!$1:$1,0)),FALSE)&gt;=5,"Good","Bad"),VLOOKUP(DATE($K$1,$K$2,BMP$4),Table1[],(MATCH(Calendar!$A18,DB!$1:$1,0)),FALSE)),"")</f>
        <v/>
      </c>
      <c r="BMQ18" s="28" t="str">
        <f>IFERROR(IF(BMZ3="No",IF(VLOOKUP(DATE($K$1,$K$2,BMQ$4),Table1[],(MATCH(Calendar!$A18,DB!$1:$1,0)),FALSE)&gt;=5,"Good","Bad"),VLOOKUP(DATE($K$1,$K$2,BMQ$4),Table1[],(MATCH(Calendar!$A18,DB!$1:$1,0)),FALSE)),"")</f>
        <v/>
      </c>
      <c r="BMR18" s="28" t="str">
        <f>IFERROR(IF(BNA3="No",IF(VLOOKUP(DATE($K$1,$K$2,BMR$4),Table1[],(MATCH(Calendar!$A18,DB!$1:$1,0)),FALSE)&gt;=5,"Good","Bad"),VLOOKUP(DATE($K$1,$K$2,BMR$4),Table1[],(MATCH(Calendar!$A18,DB!$1:$1,0)),FALSE)),"")</f>
        <v/>
      </c>
      <c r="BMS18" s="28" t="str">
        <f>IFERROR(IF(BNB3="No",IF(VLOOKUP(DATE($K$1,$K$2,BMS$4),Table1[],(MATCH(Calendar!$A18,DB!$1:$1,0)),FALSE)&gt;=5,"Good","Bad"),VLOOKUP(DATE($K$1,$K$2,BMS$4),Table1[],(MATCH(Calendar!$A18,DB!$1:$1,0)),FALSE)),"")</f>
        <v/>
      </c>
      <c r="BMT18" s="28" t="str">
        <f>IFERROR(IF(BNC3="No",IF(VLOOKUP(DATE($K$1,$K$2,BMT$4),Table1[],(MATCH(Calendar!$A18,DB!$1:$1,0)),FALSE)&gt;=5,"Good","Bad"),VLOOKUP(DATE($K$1,$K$2,BMT$4),Table1[],(MATCH(Calendar!$A18,DB!$1:$1,0)),FALSE)),"")</f>
        <v/>
      </c>
      <c r="BMU18" s="28" t="str">
        <f>IFERROR(IF(BND3="No",IF(VLOOKUP(DATE($K$1,$K$2,BMU$4),Table1[],(MATCH(Calendar!$A18,DB!$1:$1,0)),FALSE)&gt;=5,"Good","Bad"),VLOOKUP(DATE($K$1,$K$2,BMU$4),Table1[],(MATCH(Calendar!$A18,DB!$1:$1,0)),FALSE)),"")</f>
        <v/>
      </c>
      <c r="BMV18" s="28" t="str">
        <f>IFERROR(IF(BNE3="No",IF(VLOOKUP(DATE($K$1,$K$2,BMV$4),Table1[],(MATCH(Calendar!$A18,DB!$1:$1,0)),FALSE)&gt;=5,"Good","Bad"),VLOOKUP(DATE($K$1,$K$2,BMV$4),Table1[],(MATCH(Calendar!$A18,DB!$1:$1,0)),FALSE)),"")</f>
        <v/>
      </c>
      <c r="BMW18" s="28" t="str">
        <f>IFERROR(IF(BNF3="No",IF(VLOOKUP(DATE($K$1,$K$2,BMW$4),Table1[],(MATCH(Calendar!$A18,DB!$1:$1,0)),FALSE)&gt;=5,"Good","Bad"),VLOOKUP(DATE($K$1,$K$2,BMW$4),Table1[],(MATCH(Calendar!$A18,DB!$1:$1,0)),FALSE)),"")</f>
        <v/>
      </c>
      <c r="BMX18" s="28" t="str">
        <f>IFERROR(IF(BNG3="No",IF(VLOOKUP(DATE($K$1,$K$2,BMX$4),Table1[],(MATCH(Calendar!$A18,DB!$1:$1,0)),FALSE)&gt;=5,"Good","Bad"),VLOOKUP(DATE($K$1,$K$2,BMX$4),Table1[],(MATCH(Calendar!$A18,DB!$1:$1,0)),FALSE)),"")</f>
        <v/>
      </c>
      <c r="BMY18" s="28" t="str">
        <f>IFERROR(IF(BNH3="No",IF(VLOOKUP(DATE($K$1,$K$2,BMY$4),Table1[],(MATCH(Calendar!$A18,DB!$1:$1,0)),FALSE)&gt;=5,"Good","Bad"),VLOOKUP(DATE($K$1,$K$2,BMY$4),Table1[],(MATCH(Calendar!$A18,DB!$1:$1,0)),FALSE)),"")</f>
        <v/>
      </c>
      <c r="BMZ18" s="28" t="str">
        <f>IFERROR(IF(BNI3="No",IF(VLOOKUP(DATE($K$1,$K$2,BMZ$4),Table1[],(MATCH(Calendar!$A18,DB!$1:$1,0)),FALSE)&gt;=5,"Good","Bad"),VLOOKUP(DATE($K$1,$K$2,BMZ$4),Table1[],(MATCH(Calendar!$A18,DB!$1:$1,0)),FALSE)),"")</f>
        <v/>
      </c>
      <c r="BNA18" s="28" t="str">
        <f>IFERROR(IF(BNJ3="No",IF(VLOOKUP(DATE($K$1,$K$2,BNA$4),Table1[],(MATCH(Calendar!$A18,DB!$1:$1,0)),FALSE)&gt;=5,"Good","Bad"),VLOOKUP(DATE($K$1,$K$2,BNA$4),Table1[],(MATCH(Calendar!$A18,DB!$1:$1,0)),FALSE)),"")</f>
        <v/>
      </c>
      <c r="BNB18" s="28" t="str">
        <f>IFERROR(IF(BNK3="No",IF(VLOOKUP(DATE($K$1,$K$2,BNB$4),Table1[],(MATCH(Calendar!$A18,DB!$1:$1,0)),FALSE)&gt;=5,"Good","Bad"),VLOOKUP(DATE($K$1,$K$2,BNB$4),Table1[],(MATCH(Calendar!$A18,DB!$1:$1,0)),FALSE)),"")</f>
        <v/>
      </c>
      <c r="BNC18" s="28" t="str">
        <f>IFERROR(IF(BNL3="No",IF(VLOOKUP(DATE($K$1,$K$2,BNC$4),Table1[],(MATCH(Calendar!$A18,DB!$1:$1,0)),FALSE)&gt;=5,"Good","Bad"),VLOOKUP(DATE($K$1,$K$2,BNC$4),Table1[],(MATCH(Calendar!$A18,DB!$1:$1,0)),FALSE)),"")</f>
        <v/>
      </c>
      <c r="BND18" s="28" t="str">
        <f>IFERROR(IF(BNM3="No",IF(VLOOKUP(DATE($K$1,$K$2,BND$4),Table1[],(MATCH(Calendar!$A18,DB!$1:$1,0)),FALSE)&gt;=5,"Good","Bad"),VLOOKUP(DATE($K$1,$K$2,BND$4),Table1[],(MATCH(Calendar!$A18,DB!$1:$1,0)),FALSE)),"")</f>
        <v/>
      </c>
      <c r="BNE18" s="28" t="str">
        <f>IFERROR(IF(BNN3="No",IF(VLOOKUP(DATE($K$1,$K$2,BNE$4),Table1[],(MATCH(Calendar!$A18,DB!$1:$1,0)),FALSE)&gt;=5,"Good","Bad"),VLOOKUP(DATE($K$1,$K$2,BNE$4),Table1[],(MATCH(Calendar!$A18,DB!$1:$1,0)),FALSE)),"")</f>
        <v/>
      </c>
      <c r="BNF18" s="28" t="str">
        <f>IFERROR(IF(BNO3="No",IF(VLOOKUP(DATE($K$1,$K$2,BNF$4),Table1[],(MATCH(Calendar!$A18,DB!$1:$1,0)),FALSE)&gt;=5,"Good","Bad"),VLOOKUP(DATE($K$1,$K$2,BNF$4),Table1[],(MATCH(Calendar!$A18,DB!$1:$1,0)),FALSE)),"")</f>
        <v/>
      </c>
      <c r="BNG18" s="28" t="str">
        <f>IFERROR(IF(BNP3="No",IF(VLOOKUP(DATE($K$1,$K$2,BNG$4),Table1[],(MATCH(Calendar!$A18,DB!$1:$1,0)),FALSE)&gt;=5,"Good","Bad"),VLOOKUP(DATE($K$1,$K$2,BNG$4),Table1[],(MATCH(Calendar!$A18,DB!$1:$1,0)),FALSE)),"")</f>
        <v/>
      </c>
      <c r="BNH18" s="28" t="str">
        <f>IFERROR(IF(BNQ3="No",IF(VLOOKUP(DATE($K$1,$K$2,BNH$4),Table1[],(MATCH(Calendar!$A18,DB!$1:$1,0)),FALSE)&gt;=5,"Good","Bad"),VLOOKUP(DATE($K$1,$K$2,BNH$4),Table1[],(MATCH(Calendar!$A18,DB!$1:$1,0)),FALSE)),"")</f>
        <v/>
      </c>
      <c r="BNI18" s="28" t="str">
        <f>IFERROR(IF(BNR3="No",IF(VLOOKUP(DATE($K$1,$K$2,BNI$4),Table1[],(MATCH(Calendar!$A18,DB!$1:$1,0)),FALSE)&gt;=5,"Good","Bad"),VLOOKUP(DATE($K$1,$K$2,BNI$4),Table1[],(MATCH(Calendar!$A18,DB!$1:$1,0)),FALSE)),"")</f>
        <v/>
      </c>
      <c r="BNJ18" s="28" t="str">
        <f>IFERROR(IF(BNS3="No",IF(VLOOKUP(DATE($K$1,$K$2,BNJ$4),Table1[],(MATCH(Calendar!$A18,DB!$1:$1,0)),FALSE)&gt;=5,"Good","Bad"),VLOOKUP(DATE($K$1,$K$2,BNJ$4),Table1[],(MATCH(Calendar!$A18,DB!$1:$1,0)),FALSE)),"")</f>
        <v/>
      </c>
      <c r="BNK18" s="28" t="str">
        <f>IFERROR(IF(BNT3="No",IF(VLOOKUP(DATE($K$1,$K$2,BNK$4),Table1[],(MATCH(Calendar!$A18,DB!$1:$1,0)),FALSE)&gt;=5,"Good","Bad"),VLOOKUP(DATE($K$1,$K$2,BNK$4),Table1[],(MATCH(Calendar!$A18,DB!$1:$1,0)),FALSE)),"")</f>
        <v/>
      </c>
      <c r="BNL18" s="28" t="str">
        <f>IFERROR(IF(BNU3="No",IF(VLOOKUP(DATE($K$1,$K$2,BNL$4),Table1[],(MATCH(Calendar!$A18,DB!$1:$1,0)),FALSE)&gt;=5,"Good","Bad"),VLOOKUP(DATE($K$1,$K$2,BNL$4),Table1[],(MATCH(Calendar!$A18,DB!$1:$1,0)),FALSE)),"")</f>
        <v/>
      </c>
      <c r="BNM18" s="28" t="str">
        <f>IFERROR(IF(BNV3="No",IF(VLOOKUP(DATE($K$1,$K$2,BNM$4),Table1[],(MATCH(Calendar!$A18,DB!$1:$1,0)),FALSE)&gt;=5,"Good","Bad"),VLOOKUP(DATE($K$1,$K$2,BNM$4),Table1[],(MATCH(Calendar!$A18,DB!$1:$1,0)),FALSE)),"")</f>
        <v/>
      </c>
      <c r="BNN18" s="28" t="str">
        <f>IFERROR(IF(BNW3="No",IF(VLOOKUP(DATE($K$1,$K$2,BNN$4),Table1[],(MATCH(Calendar!$A18,DB!$1:$1,0)),FALSE)&gt;=5,"Good","Bad"),VLOOKUP(DATE($K$1,$K$2,BNN$4),Table1[],(MATCH(Calendar!$A18,DB!$1:$1,0)),FALSE)),"")</f>
        <v/>
      </c>
      <c r="BNO18" s="28" t="str">
        <f>IFERROR(IF(BNX3="No",IF(VLOOKUP(DATE($K$1,$K$2,BNO$4),Table1[],(MATCH(Calendar!$A18,DB!$1:$1,0)),FALSE)&gt;=5,"Good","Bad"),VLOOKUP(DATE($K$1,$K$2,BNO$4),Table1[],(MATCH(Calendar!$A18,DB!$1:$1,0)),FALSE)),"")</f>
        <v/>
      </c>
      <c r="BNP18" s="28" t="str">
        <f>IFERROR(IF(BNY3="No",IF(VLOOKUP(DATE($K$1,$K$2,BNP$4),Table1[],(MATCH(Calendar!$A18,DB!$1:$1,0)),FALSE)&gt;=5,"Good","Bad"),VLOOKUP(DATE($K$1,$K$2,BNP$4),Table1[],(MATCH(Calendar!$A18,DB!$1:$1,0)),FALSE)),"")</f>
        <v/>
      </c>
      <c r="BNQ18" s="28" t="str">
        <f>IFERROR(IF(BNZ3="No",IF(VLOOKUP(DATE($K$1,$K$2,BNQ$4),Table1[],(MATCH(Calendar!$A18,DB!$1:$1,0)),FALSE)&gt;=5,"Good","Bad"),VLOOKUP(DATE($K$1,$K$2,BNQ$4),Table1[],(MATCH(Calendar!$A18,DB!$1:$1,0)),FALSE)),"")</f>
        <v/>
      </c>
      <c r="BNR18" s="28" t="str">
        <f>IFERROR(IF(BOA3="No",IF(VLOOKUP(DATE($K$1,$K$2,BNR$4),Table1[],(MATCH(Calendar!$A18,DB!$1:$1,0)),FALSE)&gt;=5,"Good","Bad"),VLOOKUP(DATE($K$1,$K$2,BNR$4),Table1[],(MATCH(Calendar!$A18,DB!$1:$1,0)),FALSE)),"")</f>
        <v/>
      </c>
      <c r="BNS18" s="28" t="str">
        <f>IFERROR(IF(BOB3="No",IF(VLOOKUP(DATE($K$1,$K$2,BNS$4),Table1[],(MATCH(Calendar!$A18,DB!$1:$1,0)),FALSE)&gt;=5,"Good","Bad"),VLOOKUP(DATE($K$1,$K$2,BNS$4),Table1[],(MATCH(Calendar!$A18,DB!$1:$1,0)),FALSE)),"")</f>
        <v/>
      </c>
      <c r="BNT18" s="28" t="str">
        <f>IFERROR(IF(BOC3="No",IF(VLOOKUP(DATE($K$1,$K$2,BNT$4),Table1[],(MATCH(Calendar!$A18,DB!$1:$1,0)),FALSE)&gt;=5,"Good","Bad"),VLOOKUP(DATE($K$1,$K$2,BNT$4),Table1[],(MATCH(Calendar!$A18,DB!$1:$1,0)),FALSE)),"")</f>
        <v/>
      </c>
      <c r="BNU18" s="28" t="str">
        <f>IFERROR(IF(BOD3="No",IF(VLOOKUP(DATE($K$1,$K$2,BNU$4),Table1[],(MATCH(Calendar!$A18,DB!$1:$1,0)),FALSE)&gt;=5,"Good","Bad"),VLOOKUP(DATE($K$1,$K$2,BNU$4),Table1[],(MATCH(Calendar!$A18,DB!$1:$1,0)),FALSE)),"")</f>
        <v/>
      </c>
      <c r="BNV18" s="28" t="str">
        <f>IFERROR(IF(BOE3="No",IF(VLOOKUP(DATE($K$1,$K$2,BNV$4),Table1[],(MATCH(Calendar!$A18,DB!$1:$1,0)),FALSE)&gt;=5,"Good","Bad"),VLOOKUP(DATE($K$1,$K$2,BNV$4),Table1[],(MATCH(Calendar!$A18,DB!$1:$1,0)),FALSE)),"")</f>
        <v/>
      </c>
      <c r="BNW18" s="28" t="str">
        <f>IFERROR(IF(BOF3="No",IF(VLOOKUP(DATE($K$1,$K$2,BNW$4),Table1[],(MATCH(Calendar!$A18,DB!$1:$1,0)),FALSE)&gt;=5,"Good","Bad"),VLOOKUP(DATE($K$1,$K$2,BNW$4),Table1[],(MATCH(Calendar!$A18,DB!$1:$1,0)),FALSE)),"")</f>
        <v/>
      </c>
      <c r="BNX18" s="28" t="str">
        <f>IFERROR(IF(BOG3="No",IF(VLOOKUP(DATE($K$1,$K$2,BNX$4),Table1[],(MATCH(Calendar!$A18,DB!$1:$1,0)),FALSE)&gt;=5,"Good","Bad"),VLOOKUP(DATE($K$1,$K$2,BNX$4),Table1[],(MATCH(Calendar!$A18,DB!$1:$1,0)),FALSE)),"")</f>
        <v/>
      </c>
      <c r="BNY18" s="28" t="str">
        <f>IFERROR(IF(BOH3="No",IF(VLOOKUP(DATE($K$1,$K$2,BNY$4),Table1[],(MATCH(Calendar!$A18,DB!$1:$1,0)),FALSE)&gt;=5,"Good","Bad"),VLOOKUP(DATE($K$1,$K$2,BNY$4),Table1[],(MATCH(Calendar!$A18,DB!$1:$1,0)),FALSE)),"")</f>
        <v/>
      </c>
      <c r="BNZ18" s="28" t="str">
        <f>IFERROR(IF(BOI3="No",IF(VLOOKUP(DATE($K$1,$K$2,BNZ$4),Table1[],(MATCH(Calendar!$A18,DB!$1:$1,0)),FALSE)&gt;=5,"Good","Bad"),VLOOKUP(DATE($K$1,$K$2,BNZ$4),Table1[],(MATCH(Calendar!$A18,DB!$1:$1,0)),FALSE)),"")</f>
        <v/>
      </c>
      <c r="BOA18" s="28" t="str">
        <f>IFERROR(IF(BOJ3="No",IF(VLOOKUP(DATE($K$1,$K$2,BOA$4),Table1[],(MATCH(Calendar!$A18,DB!$1:$1,0)),FALSE)&gt;=5,"Good","Bad"),VLOOKUP(DATE($K$1,$K$2,BOA$4),Table1[],(MATCH(Calendar!$A18,DB!$1:$1,0)),FALSE)),"")</f>
        <v/>
      </c>
      <c r="BOB18" s="28" t="str">
        <f>IFERROR(IF(BOK3="No",IF(VLOOKUP(DATE($K$1,$K$2,BOB$4),Table1[],(MATCH(Calendar!$A18,DB!$1:$1,0)),FALSE)&gt;=5,"Good","Bad"),VLOOKUP(DATE($K$1,$K$2,BOB$4),Table1[],(MATCH(Calendar!$A18,DB!$1:$1,0)),FALSE)),"")</f>
        <v/>
      </c>
      <c r="BOC18" s="28" t="str">
        <f>IFERROR(IF(BOL3="No",IF(VLOOKUP(DATE($K$1,$K$2,BOC$4),Table1[],(MATCH(Calendar!$A18,DB!$1:$1,0)),FALSE)&gt;=5,"Good","Bad"),VLOOKUP(DATE($K$1,$K$2,BOC$4),Table1[],(MATCH(Calendar!$A18,DB!$1:$1,0)),FALSE)),"")</f>
        <v/>
      </c>
      <c r="BOD18" s="28" t="str">
        <f>IFERROR(IF(BOM3="No",IF(VLOOKUP(DATE($K$1,$K$2,BOD$4),Table1[],(MATCH(Calendar!$A18,DB!$1:$1,0)),FALSE)&gt;=5,"Good","Bad"),VLOOKUP(DATE($K$1,$K$2,BOD$4),Table1[],(MATCH(Calendar!$A18,DB!$1:$1,0)),FALSE)),"")</f>
        <v/>
      </c>
      <c r="BOE18" s="28" t="str">
        <f>IFERROR(IF(BON3="No",IF(VLOOKUP(DATE($K$1,$K$2,BOE$4),Table1[],(MATCH(Calendar!$A18,DB!$1:$1,0)),FALSE)&gt;=5,"Good","Bad"),VLOOKUP(DATE($K$1,$K$2,BOE$4),Table1[],(MATCH(Calendar!$A18,DB!$1:$1,0)),FALSE)),"")</f>
        <v/>
      </c>
      <c r="BOF18" s="28" t="str">
        <f>IFERROR(IF(BOO3="No",IF(VLOOKUP(DATE($K$1,$K$2,BOF$4),Table1[],(MATCH(Calendar!$A18,DB!$1:$1,0)),FALSE)&gt;=5,"Good","Bad"),VLOOKUP(DATE($K$1,$K$2,BOF$4),Table1[],(MATCH(Calendar!$A18,DB!$1:$1,0)),FALSE)),"")</f>
        <v/>
      </c>
      <c r="BOG18" s="28" t="str">
        <f>IFERROR(IF(BOP3="No",IF(VLOOKUP(DATE($K$1,$K$2,BOG$4),Table1[],(MATCH(Calendar!$A18,DB!$1:$1,0)),FALSE)&gt;=5,"Good","Bad"),VLOOKUP(DATE($K$1,$K$2,BOG$4),Table1[],(MATCH(Calendar!$A18,DB!$1:$1,0)),FALSE)),"")</f>
        <v/>
      </c>
      <c r="BOH18" s="28" t="str">
        <f>IFERROR(IF(BOQ3="No",IF(VLOOKUP(DATE($K$1,$K$2,BOH$4),Table1[],(MATCH(Calendar!$A18,DB!$1:$1,0)),FALSE)&gt;=5,"Good","Bad"),VLOOKUP(DATE($K$1,$K$2,BOH$4),Table1[],(MATCH(Calendar!$A18,DB!$1:$1,0)),FALSE)),"")</f>
        <v/>
      </c>
      <c r="BOI18" s="28" t="str">
        <f>IFERROR(IF(BOR3="No",IF(VLOOKUP(DATE($K$1,$K$2,BOI$4),Table1[],(MATCH(Calendar!$A18,DB!$1:$1,0)),FALSE)&gt;=5,"Good","Bad"),VLOOKUP(DATE($K$1,$K$2,BOI$4),Table1[],(MATCH(Calendar!$A18,DB!$1:$1,0)),FALSE)),"")</f>
        <v/>
      </c>
      <c r="BOJ18" s="28" t="str">
        <f>IFERROR(IF(BOS3="No",IF(VLOOKUP(DATE($K$1,$K$2,BOJ$4),Table1[],(MATCH(Calendar!$A18,DB!$1:$1,0)),FALSE)&gt;=5,"Good","Bad"),VLOOKUP(DATE($K$1,$K$2,BOJ$4),Table1[],(MATCH(Calendar!$A18,DB!$1:$1,0)),FALSE)),"")</f>
        <v/>
      </c>
      <c r="BOK18" s="28" t="str">
        <f>IFERROR(IF(BOT3="No",IF(VLOOKUP(DATE($K$1,$K$2,BOK$4),Table1[],(MATCH(Calendar!$A18,DB!$1:$1,0)),FALSE)&gt;=5,"Good","Bad"),VLOOKUP(DATE($K$1,$K$2,BOK$4),Table1[],(MATCH(Calendar!$A18,DB!$1:$1,0)),FALSE)),"")</f>
        <v/>
      </c>
      <c r="BOL18" s="28" t="str">
        <f>IFERROR(IF(BOU3="No",IF(VLOOKUP(DATE($K$1,$K$2,BOL$4),Table1[],(MATCH(Calendar!$A18,DB!$1:$1,0)),FALSE)&gt;=5,"Good","Bad"),VLOOKUP(DATE($K$1,$K$2,BOL$4),Table1[],(MATCH(Calendar!$A18,DB!$1:$1,0)),FALSE)),"")</f>
        <v/>
      </c>
      <c r="BOM18" s="28" t="str">
        <f>IFERROR(IF(BOV3="No",IF(VLOOKUP(DATE($K$1,$K$2,BOM$4),Table1[],(MATCH(Calendar!$A18,DB!$1:$1,0)),FALSE)&gt;=5,"Good","Bad"),VLOOKUP(DATE($K$1,$K$2,BOM$4),Table1[],(MATCH(Calendar!$A18,DB!$1:$1,0)),FALSE)),"")</f>
        <v/>
      </c>
      <c r="BON18" s="28" t="str">
        <f>IFERROR(IF(BOW3="No",IF(VLOOKUP(DATE($K$1,$K$2,BON$4),Table1[],(MATCH(Calendar!$A18,DB!$1:$1,0)),FALSE)&gt;=5,"Good","Bad"),VLOOKUP(DATE($K$1,$K$2,BON$4),Table1[],(MATCH(Calendar!$A18,DB!$1:$1,0)),FALSE)),"")</f>
        <v/>
      </c>
      <c r="BOO18" s="28" t="str">
        <f>IFERROR(IF(BOX3="No",IF(VLOOKUP(DATE($K$1,$K$2,BOO$4),Table1[],(MATCH(Calendar!$A18,DB!$1:$1,0)),FALSE)&gt;=5,"Good","Bad"),VLOOKUP(DATE($K$1,$K$2,BOO$4),Table1[],(MATCH(Calendar!$A18,DB!$1:$1,0)),FALSE)),"")</f>
        <v/>
      </c>
      <c r="BOP18" s="28" t="str">
        <f>IFERROR(IF(BOY3="No",IF(VLOOKUP(DATE($K$1,$K$2,BOP$4),Table1[],(MATCH(Calendar!$A18,DB!$1:$1,0)),FALSE)&gt;=5,"Good","Bad"),VLOOKUP(DATE($K$1,$K$2,BOP$4),Table1[],(MATCH(Calendar!$A18,DB!$1:$1,0)),FALSE)),"")</f>
        <v/>
      </c>
      <c r="BOQ18" s="28" t="str">
        <f>IFERROR(IF(BOZ3="No",IF(VLOOKUP(DATE($K$1,$K$2,BOQ$4),Table1[],(MATCH(Calendar!$A18,DB!$1:$1,0)),FALSE)&gt;=5,"Good","Bad"),VLOOKUP(DATE($K$1,$K$2,BOQ$4),Table1[],(MATCH(Calendar!$A18,DB!$1:$1,0)),FALSE)),"")</f>
        <v/>
      </c>
      <c r="BOR18" s="28" t="str">
        <f>IFERROR(IF(BPA3="No",IF(VLOOKUP(DATE($K$1,$K$2,BOR$4),Table1[],(MATCH(Calendar!$A18,DB!$1:$1,0)),FALSE)&gt;=5,"Good","Bad"),VLOOKUP(DATE($K$1,$K$2,BOR$4),Table1[],(MATCH(Calendar!$A18,DB!$1:$1,0)),FALSE)),"")</f>
        <v/>
      </c>
      <c r="BOS18" s="28" t="str">
        <f>IFERROR(IF(BPB3="No",IF(VLOOKUP(DATE($K$1,$K$2,BOS$4),Table1[],(MATCH(Calendar!$A18,DB!$1:$1,0)),FALSE)&gt;=5,"Good","Bad"),VLOOKUP(DATE($K$1,$K$2,BOS$4),Table1[],(MATCH(Calendar!$A18,DB!$1:$1,0)),FALSE)),"")</f>
        <v/>
      </c>
      <c r="BOT18" s="28" t="str">
        <f>IFERROR(IF(BPC3="No",IF(VLOOKUP(DATE($K$1,$K$2,BOT$4),Table1[],(MATCH(Calendar!$A18,DB!$1:$1,0)),FALSE)&gt;=5,"Good","Bad"),VLOOKUP(DATE($K$1,$K$2,BOT$4),Table1[],(MATCH(Calendar!$A18,DB!$1:$1,0)),FALSE)),"")</f>
        <v/>
      </c>
      <c r="BOU18" s="28" t="str">
        <f>IFERROR(IF(BPD3="No",IF(VLOOKUP(DATE($K$1,$K$2,BOU$4),Table1[],(MATCH(Calendar!$A18,DB!$1:$1,0)),FALSE)&gt;=5,"Good","Bad"),VLOOKUP(DATE($K$1,$K$2,BOU$4),Table1[],(MATCH(Calendar!$A18,DB!$1:$1,0)),FALSE)),"")</f>
        <v/>
      </c>
      <c r="BOV18" s="28" t="str">
        <f>IFERROR(IF(BPE3="No",IF(VLOOKUP(DATE($K$1,$K$2,BOV$4),Table1[],(MATCH(Calendar!$A18,DB!$1:$1,0)),FALSE)&gt;=5,"Good","Bad"),VLOOKUP(DATE($K$1,$K$2,BOV$4),Table1[],(MATCH(Calendar!$A18,DB!$1:$1,0)),FALSE)),"")</f>
        <v/>
      </c>
      <c r="BOW18" s="28" t="str">
        <f>IFERROR(IF(BPF3="No",IF(VLOOKUP(DATE($K$1,$K$2,BOW$4),Table1[],(MATCH(Calendar!$A18,DB!$1:$1,0)),FALSE)&gt;=5,"Good","Bad"),VLOOKUP(DATE($K$1,$K$2,BOW$4),Table1[],(MATCH(Calendar!$A18,DB!$1:$1,0)),FALSE)),"")</f>
        <v/>
      </c>
      <c r="BOX18" s="28" t="str">
        <f>IFERROR(IF(BPG3="No",IF(VLOOKUP(DATE($K$1,$K$2,BOX$4),Table1[],(MATCH(Calendar!$A18,DB!$1:$1,0)),FALSE)&gt;=5,"Good","Bad"),VLOOKUP(DATE($K$1,$K$2,BOX$4),Table1[],(MATCH(Calendar!$A18,DB!$1:$1,0)),FALSE)),"")</f>
        <v/>
      </c>
      <c r="BOY18" s="28" t="str">
        <f>IFERROR(IF(BPH3="No",IF(VLOOKUP(DATE($K$1,$K$2,BOY$4),Table1[],(MATCH(Calendar!$A18,DB!$1:$1,0)),FALSE)&gt;=5,"Good","Bad"),VLOOKUP(DATE($K$1,$K$2,BOY$4),Table1[],(MATCH(Calendar!$A18,DB!$1:$1,0)),FALSE)),"")</f>
        <v/>
      </c>
      <c r="BOZ18" s="28" t="str">
        <f>IFERROR(IF(BPI3="No",IF(VLOOKUP(DATE($K$1,$K$2,BOZ$4),Table1[],(MATCH(Calendar!$A18,DB!$1:$1,0)),FALSE)&gt;=5,"Good","Bad"),VLOOKUP(DATE($K$1,$K$2,BOZ$4),Table1[],(MATCH(Calendar!$A18,DB!$1:$1,0)),FALSE)),"")</f>
        <v/>
      </c>
      <c r="BPA18" s="28" t="str">
        <f>IFERROR(IF(BPJ3="No",IF(VLOOKUP(DATE($K$1,$K$2,BPA$4),Table1[],(MATCH(Calendar!$A18,DB!$1:$1,0)),FALSE)&gt;=5,"Good","Bad"),VLOOKUP(DATE($K$1,$K$2,BPA$4),Table1[],(MATCH(Calendar!$A18,DB!$1:$1,0)),FALSE)),"")</f>
        <v/>
      </c>
      <c r="BPB18" s="28" t="str">
        <f>IFERROR(IF(BPK3="No",IF(VLOOKUP(DATE($K$1,$K$2,BPB$4),Table1[],(MATCH(Calendar!$A18,DB!$1:$1,0)),FALSE)&gt;=5,"Good","Bad"),VLOOKUP(DATE($K$1,$K$2,BPB$4),Table1[],(MATCH(Calendar!$A18,DB!$1:$1,0)),FALSE)),"")</f>
        <v/>
      </c>
      <c r="BPC18" s="28" t="str">
        <f>IFERROR(IF(BPL3="No",IF(VLOOKUP(DATE($K$1,$K$2,BPC$4),Table1[],(MATCH(Calendar!$A18,DB!$1:$1,0)),FALSE)&gt;=5,"Good","Bad"),VLOOKUP(DATE($K$1,$K$2,BPC$4),Table1[],(MATCH(Calendar!$A18,DB!$1:$1,0)),FALSE)),"")</f>
        <v/>
      </c>
      <c r="BPD18" s="28" t="str">
        <f>IFERROR(IF(BPM3="No",IF(VLOOKUP(DATE($K$1,$K$2,BPD$4),Table1[],(MATCH(Calendar!$A18,DB!$1:$1,0)),FALSE)&gt;=5,"Good","Bad"),VLOOKUP(DATE($K$1,$K$2,BPD$4),Table1[],(MATCH(Calendar!$A18,DB!$1:$1,0)),FALSE)),"")</f>
        <v/>
      </c>
      <c r="BPE18" s="28" t="str">
        <f>IFERROR(IF(BPN3="No",IF(VLOOKUP(DATE($K$1,$K$2,BPE$4),Table1[],(MATCH(Calendar!$A18,DB!$1:$1,0)),FALSE)&gt;=5,"Good","Bad"),VLOOKUP(DATE($K$1,$K$2,BPE$4),Table1[],(MATCH(Calendar!$A18,DB!$1:$1,0)),FALSE)),"")</f>
        <v/>
      </c>
      <c r="BPF18" s="28" t="str">
        <f>IFERROR(IF(BPO3="No",IF(VLOOKUP(DATE($K$1,$K$2,BPF$4),Table1[],(MATCH(Calendar!$A18,DB!$1:$1,0)),FALSE)&gt;=5,"Good","Bad"),VLOOKUP(DATE($K$1,$K$2,BPF$4),Table1[],(MATCH(Calendar!$A18,DB!$1:$1,0)),FALSE)),"")</f>
        <v/>
      </c>
      <c r="BPG18" s="28" t="str">
        <f>IFERROR(IF(BPP3="No",IF(VLOOKUP(DATE($K$1,$K$2,BPG$4),Table1[],(MATCH(Calendar!$A18,DB!$1:$1,0)),FALSE)&gt;=5,"Good","Bad"),VLOOKUP(DATE($K$1,$K$2,BPG$4),Table1[],(MATCH(Calendar!$A18,DB!$1:$1,0)),FALSE)),"")</f>
        <v/>
      </c>
      <c r="BPH18" s="28" t="str">
        <f>IFERROR(IF(BPQ3="No",IF(VLOOKUP(DATE($K$1,$K$2,BPH$4),Table1[],(MATCH(Calendar!$A18,DB!$1:$1,0)),FALSE)&gt;=5,"Good","Bad"),VLOOKUP(DATE($K$1,$K$2,BPH$4),Table1[],(MATCH(Calendar!$A18,DB!$1:$1,0)),FALSE)),"")</f>
        <v/>
      </c>
      <c r="BPI18" s="28" t="str">
        <f>IFERROR(IF(BPR3="No",IF(VLOOKUP(DATE($K$1,$K$2,BPI$4),Table1[],(MATCH(Calendar!$A18,DB!$1:$1,0)),FALSE)&gt;=5,"Good","Bad"),VLOOKUP(DATE($K$1,$K$2,BPI$4),Table1[],(MATCH(Calendar!$A18,DB!$1:$1,0)),FALSE)),"")</f>
        <v/>
      </c>
      <c r="BPJ18" s="28" t="str">
        <f>IFERROR(IF(BPS3="No",IF(VLOOKUP(DATE($K$1,$K$2,BPJ$4),Table1[],(MATCH(Calendar!$A18,DB!$1:$1,0)),FALSE)&gt;=5,"Good","Bad"),VLOOKUP(DATE($K$1,$K$2,BPJ$4),Table1[],(MATCH(Calendar!$A18,DB!$1:$1,0)),FALSE)),"")</f>
        <v/>
      </c>
      <c r="BPK18" s="28" t="str">
        <f>IFERROR(IF(BPT3="No",IF(VLOOKUP(DATE($K$1,$K$2,BPK$4),Table1[],(MATCH(Calendar!$A18,DB!$1:$1,0)),FALSE)&gt;=5,"Good","Bad"),VLOOKUP(DATE($K$1,$K$2,BPK$4),Table1[],(MATCH(Calendar!$A18,DB!$1:$1,0)),FALSE)),"")</f>
        <v/>
      </c>
      <c r="BPL18" s="28" t="str">
        <f>IFERROR(IF(BPU3="No",IF(VLOOKUP(DATE($K$1,$K$2,BPL$4),Table1[],(MATCH(Calendar!$A18,DB!$1:$1,0)),FALSE)&gt;=5,"Good","Bad"),VLOOKUP(DATE($K$1,$K$2,BPL$4),Table1[],(MATCH(Calendar!$A18,DB!$1:$1,0)),FALSE)),"")</f>
        <v/>
      </c>
      <c r="BPM18" s="28" t="str">
        <f>IFERROR(IF(BPV3="No",IF(VLOOKUP(DATE($K$1,$K$2,BPM$4),Table1[],(MATCH(Calendar!$A18,DB!$1:$1,0)),FALSE)&gt;=5,"Good","Bad"),VLOOKUP(DATE($K$1,$K$2,BPM$4),Table1[],(MATCH(Calendar!$A18,DB!$1:$1,0)),FALSE)),"")</f>
        <v/>
      </c>
      <c r="BPN18" s="28" t="str">
        <f>IFERROR(IF(BPW3="No",IF(VLOOKUP(DATE($K$1,$K$2,BPN$4),Table1[],(MATCH(Calendar!$A18,DB!$1:$1,0)),FALSE)&gt;=5,"Good","Bad"),VLOOKUP(DATE($K$1,$K$2,BPN$4),Table1[],(MATCH(Calendar!$A18,DB!$1:$1,0)),FALSE)),"")</f>
        <v/>
      </c>
      <c r="BPO18" s="28" t="str">
        <f>IFERROR(IF(BPX3="No",IF(VLOOKUP(DATE($K$1,$K$2,BPO$4),Table1[],(MATCH(Calendar!$A18,DB!$1:$1,0)),FALSE)&gt;=5,"Good","Bad"),VLOOKUP(DATE($K$1,$K$2,BPO$4),Table1[],(MATCH(Calendar!$A18,DB!$1:$1,0)),FALSE)),"")</f>
        <v/>
      </c>
      <c r="BPP18" s="28" t="str">
        <f>IFERROR(IF(BPY3="No",IF(VLOOKUP(DATE($K$1,$K$2,BPP$4),Table1[],(MATCH(Calendar!$A18,DB!$1:$1,0)),FALSE)&gt;=5,"Good","Bad"),VLOOKUP(DATE($K$1,$K$2,BPP$4),Table1[],(MATCH(Calendar!$A18,DB!$1:$1,0)),FALSE)),"")</f>
        <v/>
      </c>
      <c r="BPQ18" s="28" t="str">
        <f>IFERROR(IF(BPZ3="No",IF(VLOOKUP(DATE($K$1,$K$2,BPQ$4),Table1[],(MATCH(Calendar!$A18,DB!$1:$1,0)),FALSE)&gt;=5,"Good","Bad"),VLOOKUP(DATE($K$1,$K$2,BPQ$4),Table1[],(MATCH(Calendar!$A18,DB!$1:$1,0)),FALSE)),"")</f>
        <v/>
      </c>
      <c r="BPR18" s="28" t="str">
        <f>IFERROR(IF(BQA3="No",IF(VLOOKUP(DATE($K$1,$K$2,BPR$4),Table1[],(MATCH(Calendar!$A18,DB!$1:$1,0)),FALSE)&gt;=5,"Good","Bad"),VLOOKUP(DATE($K$1,$K$2,BPR$4),Table1[],(MATCH(Calendar!$A18,DB!$1:$1,0)),FALSE)),"")</f>
        <v/>
      </c>
      <c r="BPS18" s="28" t="str">
        <f>IFERROR(IF(BQB3="No",IF(VLOOKUP(DATE($K$1,$K$2,BPS$4),Table1[],(MATCH(Calendar!$A18,DB!$1:$1,0)),FALSE)&gt;=5,"Good","Bad"),VLOOKUP(DATE($K$1,$K$2,BPS$4),Table1[],(MATCH(Calendar!$A18,DB!$1:$1,0)),FALSE)),"")</f>
        <v/>
      </c>
      <c r="BPT18" s="28" t="str">
        <f>IFERROR(IF(BQC3="No",IF(VLOOKUP(DATE($K$1,$K$2,BPT$4),Table1[],(MATCH(Calendar!$A18,DB!$1:$1,0)),FALSE)&gt;=5,"Good","Bad"),VLOOKUP(DATE($K$1,$K$2,BPT$4),Table1[],(MATCH(Calendar!$A18,DB!$1:$1,0)),FALSE)),"")</f>
        <v/>
      </c>
      <c r="BPU18" s="28" t="str">
        <f>IFERROR(IF(BQD3="No",IF(VLOOKUP(DATE($K$1,$K$2,BPU$4),Table1[],(MATCH(Calendar!$A18,DB!$1:$1,0)),FALSE)&gt;=5,"Good","Bad"),VLOOKUP(DATE($K$1,$K$2,BPU$4),Table1[],(MATCH(Calendar!$A18,DB!$1:$1,0)),FALSE)),"")</f>
        <v/>
      </c>
      <c r="BPV18" s="28" t="str">
        <f>IFERROR(IF(BQE3="No",IF(VLOOKUP(DATE($K$1,$K$2,BPV$4),Table1[],(MATCH(Calendar!$A18,DB!$1:$1,0)),FALSE)&gt;=5,"Good","Bad"),VLOOKUP(DATE($K$1,$K$2,BPV$4),Table1[],(MATCH(Calendar!$A18,DB!$1:$1,0)),FALSE)),"")</f>
        <v/>
      </c>
      <c r="BPW18" s="28" t="str">
        <f>IFERROR(IF(BQF3="No",IF(VLOOKUP(DATE($K$1,$K$2,BPW$4),Table1[],(MATCH(Calendar!$A18,DB!$1:$1,0)),FALSE)&gt;=5,"Good","Bad"),VLOOKUP(DATE($K$1,$K$2,BPW$4),Table1[],(MATCH(Calendar!$A18,DB!$1:$1,0)),FALSE)),"")</f>
        <v/>
      </c>
      <c r="BPX18" s="28" t="str">
        <f>IFERROR(IF(BQG3="No",IF(VLOOKUP(DATE($K$1,$K$2,BPX$4),Table1[],(MATCH(Calendar!$A18,DB!$1:$1,0)),FALSE)&gt;=5,"Good","Bad"),VLOOKUP(DATE($K$1,$K$2,BPX$4),Table1[],(MATCH(Calendar!$A18,DB!$1:$1,0)),FALSE)),"")</f>
        <v/>
      </c>
      <c r="BPY18" s="28" t="str">
        <f>IFERROR(IF(BQH3="No",IF(VLOOKUP(DATE($K$1,$K$2,BPY$4),Table1[],(MATCH(Calendar!$A18,DB!$1:$1,0)),FALSE)&gt;=5,"Good","Bad"),VLOOKUP(DATE($K$1,$K$2,BPY$4),Table1[],(MATCH(Calendar!$A18,DB!$1:$1,0)),FALSE)),"")</f>
        <v/>
      </c>
      <c r="BPZ18" s="28" t="str">
        <f>IFERROR(IF(BQI3="No",IF(VLOOKUP(DATE($K$1,$K$2,BPZ$4),Table1[],(MATCH(Calendar!$A18,DB!$1:$1,0)),FALSE)&gt;=5,"Good","Bad"),VLOOKUP(DATE($K$1,$K$2,BPZ$4),Table1[],(MATCH(Calendar!$A18,DB!$1:$1,0)),FALSE)),"")</f>
        <v/>
      </c>
      <c r="BQA18" s="28" t="str">
        <f>IFERROR(IF(BQJ3="No",IF(VLOOKUP(DATE($K$1,$K$2,BQA$4),Table1[],(MATCH(Calendar!$A18,DB!$1:$1,0)),FALSE)&gt;=5,"Good","Bad"),VLOOKUP(DATE($K$1,$K$2,BQA$4),Table1[],(MATCH(Calendar!$A18,DB!$1:$1,0)),FALSE)),"")</f>
        <v/>
      </c>
      <c r="BQB18" s="28" t="str">
        <f>IFERROR(IF(BQK3="No",IF(VLOOKUP(DATE($K$1,$K$2,BQB$4),Table1[],(MATCH(Calendar!$A18,DB!$1:$1,0)),FALSE)&gt;=5,"Good","Bad"),VLOOKUP(DATE($K$1,$K$2,BQB$4),Table1[],(MATCH(Calendar!$A18,DB!$1:$1,0)),FALSE)),"")</f>
        <v/>
      </c>
      <c r="BQC18" s="28" t="str">
        <f>IFERROR(IF(BQL3="No",IF(VLOOKUP(DATE($K$1,$K$2,BQC$4),Table1[],(MATCH(Calendar!$A18,DB!$1:$1,0)),FALSE)&gt;=5,"Good","Bad"),VLOOKUP(DATE($K$1,$K$2,BQC$4),Table1[],(MATCH(Calendar!$A18,DB!$1:$1,0)),FALSE)),"")</f>
        <v/>
      </c>
      <c r="BQD18" s="28" t="str">
        <f>IFERROR(IF(BQM3="No",IF(VLOOKUP(DATE($K$1,$K$2,BQD$4),Table1[],(MATCH(Calendar!$A18,DB!$1:$1,0)),FALSE)&gt;=5,"Good","Bad"),VLOOKUP(DATE($K$1,$K$2,BQD$4),Table1[],(MATCH(Calendar!$A18,DB!$1:$1,0)),FALSE)),"")</f>
        <v/>
      </c>
      <c r="BQE18" s="28" t="str">
        <f>IFERROR(IF(BQN3="No",IF(VLOOKUP(DATE($K$1,$K$2,BQE$4),Table1[],(MATCH(Calendar!$A18,DB!$1:$1,0)),FALSE)&gt;=5,"Good","Bad"),VLOOKUP(DATE($K$1,$K$2,BQE$4),Table1[],(MATCH(Calendar!$A18,DB!$1:$1,0)),FALSE)),"")</f>
        <v/>
      </c>
      <c r="BQF18" s="28" t="str">
        <f>IFERROR(IF(BQO3="No",IF(VLOOKUP(DATE($K$1,$K$2,BQF$4),Table1[],(MATCH(Calendar!$A18,DB!$1:$1,0)),FALSE)&gt;=5,"Good","Bad"),VLOOKUP(DATE($K$1,$K$2,BQF$4),Table1[],(MATCH(Calendar!$A18,DB!$1:$1,0)),FALSE)),"")</f>
        <v/>
      </c>
      <c r="BQG18" s="28" t="str">
        <f>IFERROR(IF(BQP3="No",IF(VLOOKUP(DATE($K$1,$K$2,BQG$4),Table1[],(MATCH(Calendar!$A18,DB!$1:$1,0)),FALSE)&gt;=5,"Good","Bad"),VLOOKUP(DATE($K$1,$K$2,BQG$4),Table1[],(MATCH(Calendar!$A18,DB!$1:$1,0)),FALSE)),"")</f>
        <v/>
      </c>
      <c r="BQH18" s="28" t="str">
        <f>IFERROR(IF(BQQ3="No",IF(VLOOKUP(DATE($K$1,$K$2,BQH$4),Table1[],(MATCH(Calendar!$A18,DB!$1:$1,0)),FALSE)&gt;=5,"Good","Bad"),VLOOKUP(DATE($K$1,$K$2,BQH$4),Table1[],(MATCH(Calendar!$A18,DB!$1:$1,0)),FALSE)),"")</f>
        <v/>
      </c>
      <c r="BQI18" s="28" t="str">
        <f>IFERROR(IF(BQR3="No",IF(VLOOKUP(DATE($K$1,$K$2,BQI$4),Table1[],(MATCH(Calendar!$A18,DB!$1:$1,0)),FALSE)&gt;=5,"Good","Bad"),VLOOKUP(DATE($K$1,$K$2,BQI$4),Table1[],(MATCH(Calendar!$A18,DB!$1:$1,0)),FALSE)),"")</f>
        <v/>
      </c>
      <c r="BQJ18" s="28" t="str">
        <f>IFERROR(IF(BQS3="No",IF(VLOOKUP(DATE($K$1,$K$2,BQJ$4),Table1[],(MATCH(Calendar!$A18,DB!$1:$1,0)),FALSE)&gt;=5,"Good","Bad"),VLOOKUP(DATE($K$1,$K$2,BQJ$4),Table1[],(MATCH(Calendar!$A18,DB!$1:$1,0)),FALSE)),"")</f>
        <v/>
      </c>
      <c r="BQK18" s="28" t="str">
        <f>IFERROR(IF(BQT3="No",IF(VLOOKUP(DATE($K$1,$K$2,BQK$4),Table1[],(MATCH(Calendar!$A18,DB!$1:$1,0)),FALSE)&gt;=5,"Good","Bad"),VLOOKUP(DATE($K$1,$K$2,BQK$4),Table1[],(MATCH(Calendar!$A18,DB!$1:$1,0)),FALSE)),"")</f>
        <v/>
      </c>
      <c r="BQL18" s="28" t="str">
        <f>IFERROR(IF(BQU3="No",IF(VLOOKUP(DATE($K$1,$K$2,BQL$4),Table1[],(MATCH(Calendar!$A18,DB!$1:$1,0)),FALSE)&gt;=5,"Good","Bad"),VLOOKUP(DATE($K$1,$K$2,BQL$4),Table1[],(MATCH(Calendar!$A18,DB!$1:$1,0)),FALSE)),"")</f>
        <v/>
      </c>
      <c r="BQM18" s="28" t="str">
        <f>IFERROR(IF(BQV3="No",IF(VLOOKUP(DATE($K$1,$K$2,BQM$4),Table1[],(MATCH(Calendar!$A18,DB!$1:$1,0)),FALSE)&gt;=5,"Good","Bad"),VLOOKUP(DATE($K$1,$K$2,BQM$4),Table1[],(MATCH(Calendar!$A18,DB!$1:$1,0)),FALSE)),"")</f>
        <v/>
      </c>
      <c r="BQN18" s="28" t="str">
        <f>IFERROR(IF(BQW3="No",IF(VLOOKUP(DATE($K$1,$K$2,BQN$4),Table1[],(MATCH(Calendar!$A18,DB!$1:$1,0)),FALSE)&gt;=5,"Good","Bad"),VLOOKUP(DATE($K$1,$K$2,BQN$4),Table1[],(MATCH(Calendar!$A18,DB!$1:$1,0)),FALSE)),"")</f>
        <v/>
      </c>
      <c r="BQO18" s="28" t="str">
        <f>IFERROR(IF(BQX3="No",IF(VLOOKUP(DATE($K$1,$K$2,BQO$4),Table1[],(MATCH(Calendar!$A18,DB!$1:$1,0)),FALSE)&gt;=5,"Good","Bad"),VLOOKUP(DATE($K$1,$K$2,BQO$4),Table1[],(MATCH(Calendar!$A18,DB!$1:$1,0)),FALSE)),"")</f>
        <v/>
      </c>
      <c r="BQP18" s="28" t="str">
        <f>IFERROR(IF(BQY3="No",IF(VLOOKUP(DATE($K$1,$K$2,BQP$4),Table1[],(MATCH(Calendar!$A18,DB!$1:$1,0)),FALSE)&gt;=5,"Good","Bad"),VLOOKUP(DATE($K$1,$K$2,BQP$4),Table1[],(MATCH(Calendar!$A18,DB!$1:$1,0)),FALSE)),"")</f>
        <v/>
      </c>
      <c r="BQQ18" s="28" t="str">
        <f>IFERROR(IF(BQZ3="No",IF(VLOOKUP(DATE($K$1,$K$2,BQQ$4),Table1[],(MATCH(Calendar!$A18,DB!$1:$1,0)),FALSE)&gt;=5,"Good","Bad"),VLOOKUP(DATE($K$1,$K$2,BQQ$4),Table1[],(MATCH(Calendar!$A18,DB!$1:$1,0)),FALSE)),"")</f>
        <v/>
      </c>
      <c r="BQR18" s="28" t="str">
        <f>IFERROR(IF(BRA3="No",IF(VLOOKUP(DATE($K$1,$K$2,BQR$4),Table1[],(MATCH(Calendar!$A18,DB!$1:$1,0)),FALSE)&gt;=5,"Good","Bad"),VLOOKUP(DATE($K$1,$K$2,BQR$4),Table1[],(MATCH(Calendar!$A18,DB!$1:$1,0)),FALSE)),"")</f>
        <v/>
      </c>
      <c r="BQS18" s="28" t="str">
        <f>IFERROR(IF(BRB3="No",IF(VLOOKUP(DATE($K$1,$K$2,BQS$4),Table1[],(MATCH(Calendar!$A18,DB!$1:$1,0)),FALSE)&gt;=5,"Good","Bad"),VLOOKUP(DATE($K$1,$K$2,BQS$4),Table1[],(MATCH(Calendar!$A18,DB!$1:$1,0)),FALSE)),"")</f>
        <v/>
      </c>
      <c r="BQT18" s="28" t="str">
        <f>IFERROR(IF(BRC3="No",IF(VLOOKUP(DATE($K$1,$K$2,BQT$4),Table1[],(MATCH(Calendar!$A18,DB!$1:$1,0)),FALSE)&gt;=5,"Good","Bad"),VLOOKUP(DATE($K$1,$K$2,BQT$4),Table1[],(MATCH(Calendar!$A18,DB!$1:$1,0)),FALSE)),"")</f>
        <v/>
      </c>
      <c r="BQU18" s="28" t="str">
        <f>IFERROR(IF(BRD3="No",IF(VLOOKUP(DATE($K$1,$K$2,BQU$4),Table1[],(MATCH(Calendar!$A18,DB!$1:$1,0)),FALSE)&gt;=5,"Good","Bad"),VLOOKUP(DATE($K$1,$K$2,BQU$4),Table1[],(MATCH(Calendar!$A18,DB!$1:$1,0)),FALSE)),"")</f>
        <v/>
      </c>
      <c r="BQV18" s="28" t="str">
        <f>IFERROR(IF(BRE3="No",IF(VLOOKUP(DATE($K$1,$K$2,BQV$4),Table1[],(MATCH(Calendar!$A18,DB!$1:$1,0)),FALSE)&gt;=5,"Good","Bad"),VLOOKUP(DATE($K$1,$K$2,BQV$4),Table1[],(MATCH(Calendar!$A18,DB!$1:$1,0)),FALSE)),"")</f>
        <v/>
      </c>
      <c r="BQW18" s="28" t="str">
        <f>IFERROR(IF(BRF3="No",IF(VLOOKUP(DATE($K$1,$K$2,BQW$4),Table1[],(MATCH(Calendar!$A18,DB!$1:$1,0)),FALSE)&gt;=5,"Good","Bad"),VLOOKUP(DATE($K$1,$K$2,BQW$4),Table1[],(MATCH(Calendar!$A18,DB!$1:$1,0)),FALSE)),"")</f>
        <v/>
      </c>
      <c r="BQX18" s="28" t="str">
        <f>IFERROR(IF(BRG3="No",IF(VLOOKUP(DATE($K$1,$K$2,BQX$4),Table1[],(MATCH(Calendar!$A18,DB!$1:$1,0)),FALSE)&gt;=5,"Good","Bad"),VLOOKUP(DATE($K$1,$K$2,BQX$4),Table1[],(MATCH(Calendar!$A18,DB!$1:$1,0)),FALSE)),"")</f>
        <v/>
      </c>
      <c r="BQY18" s="28" t="str">
        <f>IFERROR(IF(BRH3="No",IF(VLOOKUP(DATE($K$1,$K$2,BQY$4),Table1[],(MATCH(Calendar!$A18,DB!$1:$1,0)),FALSE)&gt;=5,"Good","Bad"),VLOOKUP(DATE($K$1,$K$2,BQY$4),Table1[],(MATCH(Calendar!$A18,DB!$1:$1,0)),FALSE)),"")</f>
        <v/>
      </c>
      <c r="BQZ18" s="28" t="str">
        <f>IFERROR(IF(BRI3="No",IF(VLOOKUP(DATE($K$1,$K$2,BQZ$4),Table1[],(MATCH(Calendar!$A18,DB!$1:$1,0)),FALSE)&gt;=5,"Good","Bad"),VLOOKUP(DATE($K$1,$K$2,BQZ$4),Table1[],(MATCH(Calendar!$A18,DB!$1:$1,0)),FALSE)),"")</f>
        <v/>
      </c>
      <c r="BRA18" s="28" t="str">
        <f>IFERROR(IF(BRJ3="No",IF(VLOOKUP(DATE($K$1,$K$2,BRA$4),Table1[],(MATCH(Calendar!$A18,DB!$1:$1,0)),FALSE)&gt;=5,"Good","Bad"),VLOOKUP(DATE($K$1,$K$2,BRA$4),Table1[],(MATCH(Calendar!$A18,DB!$1:$1,0)),FALSE)),"")</f>
        <v/>
      </c>
      <c r="BRB18" s="28" t="str">
        <f>IFERROR(IF(BRK3="No",IF(VLOOKUP(DATE($K$1,$K$2,BRB$4),Table1[],(MATCH(Calendar!$A18,DB!$1:$1,0)),FALSE)&gt;=5,"Good","Bad"),VLOOKUP(DATE($K$1,$K$2,BRB$4),Table1[],(MATCH(Calendar!$A18,DB!$1:$1,0)),FALSE)),"")</f>
        <v/>
      </c>
      <c r="BRC18" s="28" t="str">
        <f>IFERROR(IF(BRL3="No",IF(VLOOKUP(DATE($K$1,$K$2,BRC$4),Table1[],(MATCH(Calendar!$A18,DB!$1:$1,0)),FALSE)&gt;=5,"Good","Bad"),VLOOKUP(DATE($K$1,$K$2,BRC$4),Table1[],(MATCH(Calendar!$A18,DB!$1:$1,0)),FALSE)),"")</f>
        <v/>
      </c>
      <c r="BRD18" s="28" t="str">
        <f>IFERROR(IF(BRM3="No",IF(VLOOKUP(DATE($K$1,$K$2,BRD$4),Table1[],(MATCH(Calendar!$A18,DB!$1:$1,0)),FALSE)&gt;=5,"Good","Bad"),VLOOKUP(DATE($K$1,$K$2,BRD$4),Table1[],(MATCH(Calendar!$A18,DB!$1:$1,0)),FALSE)),"")</f>
        <v/>
      </c>
      <c r="BRE18" s="28" t="str">
        <f>IFERROR(IF(BRN3="No",IF(VLOOKUP(DATE($K$1,$K$2,BRE$4),Table1[],(MATCH(Calendar!$A18,DB!$1:$1,0)),FALSE)&gt;=5,"Good","Bad"),VLOOKUP(DATE($K$1,$K$2,BRE$4),Table1[],(MATCH(Calendar!$A18,DB!$1:$1,0)),FALSE)),"")</f>
        <v/>
      </c>
      <c r="BRF18" s="28" t="str">
        <f>IFERROR(IF(BRO3="No",IF(VLOOKUP(DATE($K$1,$K$2,BRF$4),Table1[],(MATCH(Calendar!$A18,DB!$1:$1,0)),FALSE)&gt;=5,"Good","Bad"),VLOOKUP(DATE($K$1,$K$2,BRF$4),Table1[],(MATCH(Calendar!$A18,DB!$1:$1,0)),FALSE)),"")</f>
        <v/>
      </c>
      <c r="BRG18" s="28" t="str">
        <f>IFERROR(IF(BRP3="No",IF(VLOOKUP(DATE($K$1,$K$2,BRG$4),Table1[],(MATCH(Calendar!$A18,DB!$1:$1,0)),FALSE)&gt;=5,"Good","Bad"),VLOOKUP(DATE($K$1,$K$2,BRG$4),Table1[],(MATCH(Calendar!$A18,DB!$1:$1,0)),FALSE)),"")</f>
        <v/>
      </c>
      <c r="BRH18" s="28" t="str">
        <f>IFERROR(IF(BRQ3="No",IF(VLOOKUP(DATE($K$1,$K$2,BRH$4),Table1[],(MATCH(Calendar!$A18,DB!$1:$1,0)),FALSE)&gt;=5,"Good","Bad"),VLOOKUP(DATE($K$1,$K$2,BRH$4),Table1[],(MATCH(Calendar!$A18,DB!$1:$1,0)),FALSE)),"")</f>
        <v/>
      </c>
      <c r="BRI18" s="28" t="str">
        <f>IFERROR(IF(BRR3="No",IF(VLOOKUP(DATE($K$1,$K$2,BRI$4),Table1[],(MATCH(Calendar!$A18,DB!$1:$1,0)),FALSE)&gt;=5,"Good","Bad"),VLOOKUP(DATE($K$1,$K$2,BRI$4),Table1[],(MATCH(Calendar!$A18,DB!$1:$1,0)),FALSE)),"")</f>
        <v/>
      </c>
      <c r="BRJ18" s="28" t="str">
        <f>IFERROR(IF(BRS3="No",IF(VLOOKUP(DATE($K$1,$K$2,BRJ$4),Table1[],(MATCH(Calendar!$A18,DB!$1:$1,0)),FALSE)&gt;=5,"Good","Bad"),VLOOKUP(DATE($K$1,$K$2,BRJ$4),Table1[],(MATCH(Calendar!$A18,DB!$1:$1,0)),FALSE)),"")</f>
        <v/>
      </c>
      <c r="BRK18" s="28" t="str">
        <f>IFERROR(IF(BRT3="No",IF(VLOOKUP(DATE($K$1,$K$2,BRK$4),Table1[],(MATCH(Calendar!$A18,DB!$1:$1,0)),FALSE)&gt;=5,"Good","Bad"),VLOOKUP(DATE($K$1,$K$2,BRK$4),Table1[],(MATCH(Calendar!$A18,DB!$1:$1,0)),FALSE)),"")</f>
        <v/>
      </c>
      <c r="BRL18" s="28" t="str">
        <f>IFERROR(IF(BRU3="No",IF(VLOOKUP(DATE($K$1,$K$2,BRL$4),Table1[],(MATCH(Calendar!$A18,DB!$1:$1,0)),FALSE)&gt;=5,"Good","Bad"),VLOOKUP(DATE($K$1,$K$2,BRL$4),Table1[],(MATCH(Calendar!$A18,DB!$1:$1,0)),FALSE)),"")</f>
        <v/>
      </c>
      <c r="BRM18" s="28" t="str">
        <f>IFERROR(IF(BRV3="No",IF(VLOOKUP(DATE($K$1,$K$2,BRM$4),Table1[],(MATCH(Calendar!$A18,DB!$1:$1,0)),FALSE)&gt;=5,"Good","Bad"),VLOOKUP(DATE($K$1,$K$2,BRM$4),Table1[],(MATCH(Calendar!$A18,DB!$1:$1,0)),FALSE)),"")</f>
        <v/>
      </c>
      <c r="BRN18" s="28" t="str">
        <f>IFERROR(IF(BRW3="No",IF(VLOOKUP(DATE($K$1,$K$2,BRN$4),Table1[],(MATCH(Calendar!$A18,DB!$1:$1,0)),FALSE)&gt;=5,"Good","Bad"),VLOOKUP(DATE($K$1,$K$2,BRN$4),Table1[],(MATCH(Calendar!$A18,DB!$1:$1,0)),FALSE)),"")</f>
        <v/>
      </c>
      <c r="BRO18" s="28" t="str">
        <f>IFERROR(IF(BRX3="No",IF(VLOOKUP(DATE($K$1,$K$2,BRO$4),Table1[],(MATCH(Calendar!$A18,DB!$1:$1,0)),FALSE)&gt;=5,"Good","Bad"),VLOOKUP(DATE($K$1,$K$2,BRO$4),Table1[],(MATCH(Calendar!$A18,DB!$1:$1,0)),FALSE)),"")</f>
        <v/>
      </c>
      <c r="BRP18" s="28" t="str">
        <f>IFERROR(IF(BRY3="No",IF(VLOOKUP(DATE($K$1,$K$2,BRP$4),Table1[],(MATCH(Calendar!$A18,DB!$1:$1,0)),FALSE)&gt;=5,"Good","Bad"),VLOOKUP(DATE($K$1,$K$2,BRP$4),Table1[],(MATCH(Calendar!$A18,DB!$1:$1,0)),FALSE)),"")</f>
        <v/>
      </c>
      <c r="BRQ18" s="28" t="str">
        <f>IFERROR(IF(BRZ3="No",IF(VLOOKUP(DATE($K$1,$K$2,BRQ$4),Table1[],(MATCH(Calendar!$A18,DB!$1:$1,0)),FALSE)&gt;=5,"Good","Bad"),VLOOKUP(DATE($K$1,$K$2,BRQ$4),Table1[],(MATCH(Calendar!$A18,DB!$1:$1,0)),FALSE)),"")</f>
        <v/>
      </c>
      <c r="BRR18" s="28" t="str">
        <f>IFERROR(IF(BSA3="No",IF(VLOOKUP(DATE($K$1,$K$2,BRR$4),Table1[],(MATCH(Calendar!$A18,DB!$1:$1,0)),FALSE)&gt;=5,"Good","Bad"),VLOOKUP(DATE($K$1,$K$2,BRR$4),Table1[],(MATCH(Calendar!$A18,DB!$1:$1,0)),FALSE)),"")</f>
        <v/>
      </c>
      <c r="BRS18" s="28" t="str">
        <f>IFERROR(IF(BSB3="No",IF(VLOOKUP(DATE($K$1,$K$2,BRS$4),Table1[],(MATCH(Calendar!$A18,DB!$1:$1,0)),FALSE)&gt;=5,"Good","Bad"),VLOOKUP(DATE($K$1,$K$2,BRS$4),Table1[],(MATCH(Calendar!$A18,DB!$1:$1,0)),FALSE)),"")</f>
        <v/>
      </c>
      <c r="BRT18" s="28" t="str">
        <f>IFERROR(IF(BSC3="No",IF(VLOOKUP(DATE($K$1,$K$2,BRT$4),Table1[],(MATCH(Calendar!$A18,DB!$1:$1,0)),FALSE)&gt;=5,"Good","Bad"),VLOOKUP(DATE($K$1,$K$2,BRT$4),Table1[],(MATCH(Calendar!$A18,DB!$1:$1,0)),FALSE)),"")</f>
        <v/>
      </c>
      <c r="BRU18" s="28" t="str">
        <f>IFERROR(IF(BSD3="No",IF(VLOOKUP(DATE($K$1,$K$2,BRU$4),Table1[],(MATCH(Calendar!$A18,DB!$1:$1,0)),FALSE)&gt;=5,"Good","Bad"),VLOOKUP(DATE($K$1,$K$2,BRU$4),Table1[],(MATCH(Calendar!$A18,DB!$1:$1,0)),FALSE)),"")</f>
        <v/>
      </c>
      <c r="BRV18" s="28" t="str">
        <f>IFERROR(IF(BSE3="No",IF(VLOOKUP(DATE($K$1,$K$2,BRV$4),Table1[],(MATCH(Calendar!$A18,DB!$1:$1,0)),FALSE)&gt;=5,"Good","Bad"),VLOOKUP(DATE($K$1,$K$2,BRV$4),Table1[],(MATCH(Calendar!$A18,DB!$1:$1,0)),FALSE)),"")</f>
        <v/>
      </c>
      <c r="BRW18" s="28" t="str">
        <f>IFERROR(IF(BSF3="No",IF(VLOOKUP(DATE($K$1,$K$2,BRW$4),Table1[],(MATCH(Calendar!$A18,DB!$1:$1,0)),FALSE)&gt;=5,"Good","Bad"),VLOOKUP(DATE($K$1,$K$2,BRW$4),Table1[],(MATCH(Calendar!$A18,DB!$1:$1,0)),FALSE)),"")</f>
        <v/>
      </c>
      <c r="BRX18" s="28" t="str">
        <f>IFERROR(IF(BSG3="No",IF(VLOOKUP(DATE($K$1,$K$2,BRX$4),Table1[],(MATCH(Calendar!$A18,DB!$1:$1,0)),FALSE)&gt;=5,"Good","Bad"),VLOOKUP(DATE($K$1,$K$2,BRX$4),Table1[],(MATCH(Calendar!$A18,DB!$1:$1,0)),FALSE)),"")</f>
        <v/>
      </c>
      <c r="BRY18" s="28" t="str">
        <f>IFERROR(IF(BSH3="No",IF(VLOOKUP(DATE($K$1,$K$2,BRY$4),Table1[],(MATCH(Calendar!$A18,DB!$1:$1,0)),FALSE)&gt;=5,"Good","Bad"),VLOOKUP(DATE($K$1,$K$2,BRY$4),Table1[],(MATCH(Calendar!$A18,DB!$1:$1,0)),FALSE)),"")</f>
        <v/>
      </c>
      <c r="BRZ18" s="28" t="str">
        <f>IFERROR(IF(BSI3="No",IF(VLOOKUP(DATE($K$1,$K$2,BRZ$4),Table1[],(MATCH(Calendar!$A18,DB!$1:$1,0)),FALSE)&gt;=5,"Good","Bad"),VLOOKUP(DATE($K$1,$K$2,BRZ$4),Table1[],(MATCH(Calendar!$A18,DB!$1:$1,0)),FALSE)),"")</f>
        <v/>
      </c>
      <c r="BSA18" s="28" t="str">
        <f>IFERROR(IF(BSJ3="No",IF(VLOOKUP(DATE($K$1,$K$2,BSA$4),Table1[],(MATCH(Calendar!$A18,DB!$1:$1,0)),FALSE)&gt;=5,"Good","Bad"),VLOOKUP(DATE($K$1,$K$2,BSA$4),Table1[],(MATCH(Calendar!$A18,DB!$1:$1,0)),FALSE)),"")</f>
        <v/>
      </c>
      <c r="BSB18" s="28" t="str">
        <f>IFERROR(IF(BSK3="No",IF(VLOOKUP(DATE($K$1,$K$2,BSB$4),Table1[],(MATCH(Calendar!$A18,DB!$1:$1,0)),FALSE)&gt;=5,"Good","Bad"),VLOOKUP(DATE($K$1,$K$2,BSB$4),Table1[],(MATCH(Calendar!$A18,DB!$1:$1,0)),FALSE)),"")</f>
        <v/>
      </c>
      <c r="BSC18" s="28" t="str">
        <f>IFERROR(IF(BSL3="No",IF(VLOOKUP(DATE($K$1,$K$2,BSC$4),Table1[],(MATCH(Calendar!$A18,DB!$1:$1,0)),FALSE)&gt;=5,"Good","Bad"),VLOOKUP(DATE($K$1,$K$2,BSC$4),Table1[],(MATCH(Calendar!$A18,DB!$1:$1,0)),FALSE)),"")</f>
        <v/>
      </c>
      <c r="BSD18" s="28" t="str">
        <f>IFERROR(IF(BSM3="No",IF(VLOOKUP(DATE($K$1,$K$2,BSD$4),Table1[],(MATCH(Calendar!$A18,DB!$1:$1,0)),FALSE)&gt;=5,"Good","Bad"),VLOOKUP(DATE($K$1,$K$2,BSD$4),Table1[],(MATCH(Calendar!$A18,DB!$1:$1,0)),FALSE)),"")</f>
        <v/>
      </c>
      <c r="BSE18" s="28" t="str">
        <f>IFERROR(IF(BSN3="No",IF(VLOOKUP(DATE($K$1,$K$2,BSE$4),Table1[],(MATCH(Calendar!$A18,DB!$1:$1,0)),FALSE)&gt;=5,"Good","Bad"),VLOOKUP(DATE($K$1,$K$2,BSE$4),Table1[],(MATCH(Calendar!$A18,DB!$1:$1,0)),FALSE)),"")</f>
        <v/>
      </c>
      <c r="BSF18" s="28" t="str">
        <f>IFERROR(IF(BSO3="No",IF(VLOOKUP(DATE($K$1,$K$2,BSF$4),Table1[],(MATCH(Calendar!$A18,DB!$1:$1,0)),FALSE)&gt;=5,"Good","Bad"),VLOOKUP(DATE($K$1,$K$2,BSF$4),Table1[],(MATCH(Calendar!$A18,DB!$1:$1,0)),FALSE)),"")</f>
        <v/>
      </c>
      <c r="BSG18" s="28" t="str">
        <f>IFERROR(IF(BSP3="No",IF(VLOOKUP(DATE($K$1,$K$2,BSG$4),Table1[],(MATCH(Calendar!$A18,DB!$1:$1,0)),FALSE)&gt;=5,"Good","Bad"),VLOOKUP(DATE($K$1,$K$2,BSG$4),Table1[],(MATCH(Calendar!$A18,DB!$1:$1,0)),FALSE)),"")</f>
        <v/>
      </c>
      <c r="BSH18" s="28" t="str">
        <f>IFERROR(IF(BSQ3="No",IF(VLOOKUP(DATE($K$1,$K$2,BSH$4),Table1[],(MATCH(Calendar!$A18,DB!$1:$1,0)),FALSE)&gt;=5,"Good","Bad"),VLOOKUP(DATE($K$1,$K$2,BSH$4),Table1[],(MATCH(Calendar!$A18,DB!$1:$1,0)),FALSE)),"")</f>
        <v/>
      </c>
      <c r="BSI18" s="28" t="str">
        <f>IFERROR(IF(BSR3="No",IF(VLOOKUP(DATE($K$1,$K$2,BSI$4),Table1[],(MATCH(Calendar!$A18,DB!$1:$1,0)),FALSE)&gt;=5,"Good","Bad"),VLOOKUP(DATE($K$1,$K$2,BSI$4),Table1[],(MATCH(Calendar!$A18,DB!$1:$1,0)),FALSE)),"")</f>
        <v/>
      </c>
      <c r="BSJ18" s="28" t="str">
        <f>IFERROR(IF(BSS3="No",IF(VLOOKUP(DATE($K$1,$K$2,BSJ$4),Table1[],(MATCH(Calendar!$A18,DB!$1:$1,0)),FALSE)&gt;=5,"Good","Bad"),VLOOKUP(DATE($K$1,$K$2,BSJ$4),Table1[],(MATCH(Calendar!$A18,DB!$1:$1,0)),FALSE)),"")</f>
        <v/>
      </c>
      <c r="BSK18" s="28" t="str">
        <f>IFERROR(IF(BST3="No",IF(VLOOKUP(DATE($K$1,$K$2,BSK$4),Table1[],(MATCH(Calendar!$A18,DB!$1:$1,0)),FALSE)&gt;=5,"Good","Bad"),VLOOKUP(DATE($K$1,$K$2,BSK$4),Table1[],(MATCH(Calendar!$A18,DB!$1:$1,0)),FALSE)),"")</f>
        <v/>
      </c>
      <c r="BSL18" s="28" t="str">
        <f>IFERROR(IF(BSU3="No",IF(VLOOKUP(DATE($K$1,$K$2,BSL$4),Table1[],(MATCH(Calendar!$A18,DB!$1:$1,0)),FALSE)&gt;=5,"Good","Bad"),VLOOKUP(DATE($K$1,$K$2,BSL$4),Table1[],(MATCH(Calendar!$A18,DB!$1:$1,0)),FALSE)),"")</f>
        <v/>
      </c>
      <c r="BSM18" s="28" t="str">
        <f>IFERROR(IF(BSV3="No",IF(VLOOKUP(DATE($K$1,$K$2,BSM$4),Table1[],(MATCH(Calendar!$A18,DB!$1:$1,0)),FALSE)&gt;=5,"Good","Bad"),VLOOKUP(DATE($K$1,$K$2,BSM$4),Table1[],(MATCH(Calendar!$A18,DB!$1:$1,0)),FALSE)),"")</f>
        <v/>
      </c>
      <c r="BSN18" s="28" t="str">
        <f>IFERROR(IF(BSW3="No",IF(VLOOKUP(DATE($K$1,$K$2,BSN$4),Table1[],(MATCH(Calendar!$A18,DB!$1:$1,0)),FALSE)&gt;=5,"Good","Bad"),VLOOKUP(DATE($K$1,$K$2,BSN$4),Table1[],(MATCH(Calendar!$A18,DB!$1:$1,0)),FALSE)),"")</f>
        <v/>
      </c>
      <c r="BSO18" s="28" t="str">
        <f>IFERROR(IF(BSX3="No",IF(VLOOKUP(DATE($K$1,$K$2,BSO$4),Table1[],(MATCH(Calendar!$A18,DB!$1:$1,0)),FALSE)&gt;=5,"Good","Bad"),VLOOKUP(DATE($K$1,$K$2,BSO$4),Table1[],(MATCH(Calendar!$A18,DB!$1:$1,0)),FALSE)),"")</f>
        <v/>
      </c>
      <c r="BSP18" s="28" t="str">
        <f>IFERROR(IF(BSY3="No",IF(VLOOKUP(DATE($K$1,$K$2,BSP$4),Table1[],(MATCH(Calendar!$A18,DB!$1:$1,0)),FALSE)&gt;=5,"Good","Bad"),VLOOKUP(DATE($K$1,$K$2,BSP$4),Table1[],(MATCH(Calendar!$A18,DB!$1:$1,0)),FALSE)),"")</f>
        <v/>
      </c>
      <c r="BSQ18" s="28" t="str">
        <f>IFERROR(IF(BSZ3="No",IF(VLOOKUP(DATE($K$1,$K$2,BSQ$4),Table1[],(MATCH(Calendar!$A18,DB!$1:$1,0)),FALSE)&gt;=5,"Good","Bad"),VLOOKUP(DATE($K$1,$K$2,BSQ$4),Table1[],(MATCH(Calendar!$A18,DB!$1:$1,0)),FALSE)),"")</f>
        <v/>
      </c>
      <c r="BSR18" s="28" t="str">
        <f>IFERROR(IF(BTA3="No",IF(VLOOKUP(DATE($K$1,$K$2,BSR$4),Table1[],(MATCH(Calendar!$A18,DB!$1:$1,0)),FALSE)&gt;=5,"Good","Bad"),VLOOKUP(DATE($K$1,$K$2,BSR$4),Table1[],(MATCH(Calendar!$A18,DB!$1:$1,0)),FALSE)),"")</f>
        <v/>
      </c>
      <c r="BSS18" s="28" t="str">
        <f>IFERROR(IF(BTB3="No",IF(VLOOKUP(DATE($K$1,$K$2,BSS$4),Table1[],(MATCH(Calendar!$A18,DB!$1:$1,0)),FALSE)&gt;=5,"Good","Bad"),VLOOKUP(DATE($K$1,$K$2,BSS$4),Table1[],(MATCH(Calendar!$A18,DB!$1:$1,0)),FALSE)),"")</f>
        <v/>
      </c>
      <c r="BST18" s="28" t="str">
        <f>IFERROR(IF(BTC3="No",IF(VLOOKUP(DATE($K$1,$K$2,BST$4),Table1[],(MATCH(Calendar!$A18,DB!$1:$1,0)),FALSE)&gt;=5,"Good","Bad"),VLOOKUP(DATE($K$1,$K$2,BST$4),Table1[],(MATCH(Calendar!$A18,DB!$1:$1,0)),FALSE)),"")</f>
        <v/>
      </c>
      <c r="BSU18" s="28" t="str">
        <f>IFERROR(IF(BTD3="No",IF(VLOOKUP(DATE($K$1,$K$2,BSU$4),Table1[],(MATCH(Calendar!$A18,DB!$1:$1,0)),FALSE)&gt;=5,"Good","Bad"),VLOOKUP(DATE($K$1,$K$2,BSU$4),Table1[],(MATCH(Calendar!$A18,DB!$1:$1,0)),FALSE)),"")</f>
        <v/>
      </c>
      <c r="BSV18" s="28" t="str">
        <f>IFERROR(IF(BTE3="No",IF(VLOOKUP(DATE($K$1,$K$2,BSV$4),Table1[],(MATCH(Calendar!$A18,DB!$1:$1,0)),FALSE)&gt;=5,"Good","Bad"),VLOOKUP(DATE($K$1,$K$2,BSV$4),Table1[],(MATCH(Calendar!$A18,DB!$1:$1,0)),FALSE)),"")</f>
        <v/>
      </c>
      <c r="BSW18" s="28" t="str">
        <f>IFERROR(IF(BTF3="No",IF(VLOOKUP(DATE($K$1,$K$2,BSW$4),Table1[],(MATCH(Calendar!$A18,DB!$1:$1,0)),FALSE)&gt;=5,"Good","Bad"),VLOOKUP(DATE($K$1,$K$2,BSW$4),Table1[],(MATCH(Calendar!$A18,DB!$1:$1,0)),FALSE)),"")</f>
        <v/>
      </c>
      <c r="BSX18" s="28" t="str">
        <f>IFERROR(IF(BTG3="No",IF(VLOOKUP(DATE($K$1,$K$2,BSX$4),Table1[],(MATCH(Calendar!$A18,DB!$1:$1,0)),FALSE)&gt;=5,"Good","Bad"),VLOOKUP(DATE($K$1,$K$2,BSX$4),Table1[],(MATCH(Calendar!$A18,DB!$1:$1,0)),FALSE)),"")</f>
        <v/>
      </c>
      <c r="BSY18" s="28" t="str">
        <f>IFERROR(IF(BTH3="No",IF(VLOOKUP(DATE($K$1,$K$2,BSY$4),Table1[],(MATCH(Calendar!$A18,DB!$1:$1,0)),FALSE)&gt;=5,"Good","Bad"),VLOOKUP(DATE($K$1,$K$2,BSY$4),Table1[],(MATCH(Calendar!$A18,DB!$1:$1,0)),FALSE)),"")</f>
        <v/>
      </c>
      <c r="BSZ18" s="28" t="str">
        <f>IFERROR(IF(BTI3="No",IF(VLOOKUP(DATE($K$1,$K$2,BSZ$4),Table1[],(MATCH(Calendar!$A18,DB!$1:$1,0)),FALSE)&gt;=5,"Good","Bad"),VLOOKUP(DATE($K$1,$K$2,BSZ$4),Table1[],(MATCH(Calendar!$A18,DB!$1:$1,0)),FALSE)),"")</f>
        <v/>
      </c>
      <c r="BTA18" s="28" t="str">
        <f>IFERROR(IF(BTJ3="No",IF(VLOOKUP(DATE($K$1,$K$2,BTA$4),Table1[],(MATCH(Calendar!$A18,DB!$1:$1,0)),FALSE)&gt;=5,"Good","Bad"),VLOOKUP(DATE($K$1,$K$2,BTA$4),Table1[],(MATCH(Calendar!$A18,DB!$1:$1,0)),FALSE)),"")</f>
        <v/>
      </c>
      <c r="BTB18" s="28" t="str">
        <f>IFERROR(IF(BTK3="No",IF(VLOOKUP(DATE($K$1,$K$2,BTB$4),Table1[],(MATCH(Calendar!$A18,DB!$1:$1,0)),FALSE)&gt;=5,"Good","Bad"),VLOOKUP(DATE($K$1,$K$2,BTB$4),Table1[],(MATCH(Calendar!$A18,DB!$1:$1,0)),FALSE)),"")</f>
        <v/>
      </c>
      <c r="BTC18" s="28" t="str">
        <f>IFERROR(IF(BTL3="No",IF(VLOOKUP(DATE($K$1,$K$2,BTC$4),Table1[],(MATCH(Calendar!$A18,DB!$1:$1,0)),FALSE)&gt;=5,"Good","Bad"),VLOOKUP(DATE($K$1,$K$2,BTC$4),Table1[],(MATCH(Calendar!$A18,DB!$1:$1,0)),FALSE)),"")</f>
        <v/>
      </c>
      <c r="BTD18" s="28" t="str">
        <f>IFERROR(IF(BTM3="No",IF(VLOOKUP(DATE($K$1,$K$2,BTD$4),Table1[],(MATCH(Calendar!$A18,DB!$1:$1,0)),FALSE)&gt;=5,"Good","Bad"),VLOOKUP(DATE($K$1,$K$2,BTD$4),Table1[],(MATCH(Calendar!$A18,DB!$1:$1,0)),FALSE)),"")</f>
        <v/>
      </c>
      <c r="BTE18" s="28" t="str">
        <f>IFERROR(IF(BTN3="No",IF(VLOOKUP(DATE($K$1,$K$2,BTE$4),Table1[],(MATCH(Calendar!$A18,DB!$1:$1,0)),FALSE)&gt;=5,"Good","Bad"),VLOOKUP(DATE($K$1,$K$2,BTE$4),Table1[],(MATCH(Calendar!$A18,DB!$1:$1,0)),FALSE)),"")</f>
        <v/>
      </c>
      <c r="BTF18" s="28" t="str">
        <f>IFERROR(IF(BTO3="No",IF(VLOOKUP(DATE($K$1,$K$2,BTF$4),Table1[],(MATCH(Calendar!$A18,DB!$1:$1,0)),FALSE)&gt;=5,"Good","Bad"),VLOOKUP(DATE($K$1,$K$2,BTF$4),Table1[],(MATCH(Calendar!$A18,DB!$1:$1,0)),FALSE)),"")</f>
        <v/>
      </c>
      <c r="BTG18" s="28" t="str">
        <f>IFERROR(IF(BTP3="No",IF(VLOOKUP(DATE($K$1,$K$2,BTG$4),Table1[],(MATCH(Calendar!$A18,DB!$1:$1,0)),FALSE)&gt;=5,"Good","Bad"),VLOOKUP(DATE($K$1,$K$2,BTG$4),Table1[],(MATCH(Calendar!$A18,DB!$1:$1,0)),FALSE)),"")</f>
        <v/>
      </c>
      <c r="BTH18" s="28" t="str">
        <f>IFERROR(IF(BTQ3="No",IF(VLOOKUP(DATE($K$1,$K$2,BTH$4),Table1[],(MATCH(Calendar!$A18,DB!$1:$1,0)),FALSE)&gt;=5,"Good","Bad"),VLOOKUP(DATE($K$1,$K$2,BTH$4),Table1[],(MATCH(Calendar!$A18,DB!$1:$1,0)),FALSE)),"")</f>
        <v/>
      </c>
      <c r="BTI18" s="28" t="str">
        <f>IFERROR(IF(BTR3="No",IF(VLOOKUP(DATE($K$1,$K$2,BTI$4),Table1[],(MATCH(Calendar!$A18,DB!$1:$1,0)),FALSE)&gt;=5,"Good","Bad"),VLOOKUP(DATE($K$1,$K$2,BTI$4),Table1[],(MATCH(Calendar!$A18,DB!$1:$1,0)),FALSE)),"")</f>
        <v/>
      </c>
      <c r="BTJ18" s="28" t="str">
        <f>IFERROR(IF(BTS3="No",IF(VLOOKUP(DATE($K$1,$K$2,BTJ$4),Table1[],(MATCH(Calendar!$A18,DB!$1:$1,0)),FALSE)&gt;=5,"Good","Bad"),VLOOKUP(DATE($K$1,$K$2,BTJ$4),Table1[],(MATCH(Calendar!$A18,DB!$1:$1,0)),FALSE)),"")</f>
        <v/>
      </c>
      <c r="BTK18" s="28" t="str">
        <f>IFERROR(IF(BTT3="No",IF(VLOOKUP(DATE($K$1,$K$2,BTK$4),Table1[],(MATCH(Calendar!$A18,DB!$1:$1,0)),FALSE)&gt;=5,"Good","Bad"),VLOOKUP(DATE($K$1,$K$2,BTK$4),Table1[],(MATCH(Calendar!$A18,DB!$1:$1,0)),FALSE)),"")</f>
        <v/>
      </c>
      <c r="BTL18" s="28" t="str">
        <f>IFERROR(IF(BTU3="No",IF(VLOOKUP(DATE($K$1,$K$2,BTL$4),Table1[],(MATCH(Calendar!$A18,DB!$1:$1,0)),FALSE)&gt;=5,"Good","Bad"),VLOOKUP(DATE($K$1,$K$2,BTL$4),Table1[],(MATCH(Calendar!$A18,DB!$1:$1,0)),FALSE)),"")</f>
        <v/>
      </c>
      <c r="BTM18" s="28" t="str">
        <f>IFERROR(IF(BTV3="No",IF(VLOOKUP(DATE($K$1,$K$2,BTM$4),Table1[],(MATCH(Calendar!$A18,DB!$1:$1,0)),FALSE)&gt;=5,"Good","Bad"),VLOOKUP(DATE($K$1,$K$2,BTM$4),Table1[],(MATCH(Calendar!$A18,DB!$1:$1,0)),FALSE)),"")</f>
        <v/>
      </c>
      <c r="BTN18" s="28" t="str">
        <f>IFERROR(IF(BTW3="No",IF(VLOOKUP(DATE($K$1,$K$2,BTN$4),Table1[],(MATCH(Calendar!$A18,DB!$1:$1,0)),FALSE)&gt;=5,"Good","Bad"),VLOOKUP(DATE($K$1,$K$2,BTN$4),Table1[],(MATCH(Calendar!$A18,DB!$1:$1,0)),FALSE)),"")</f>
        <v/>
      </c>
      <c r="BTO18" s="28" t="str">
        <f>IFERROR(IF(BTX3="No",IF(VLOOKUP(DATE($K$1,$K$2,BTO$4),Table1[],(MATCH(Calendar!$A18,DB!$1:$1,0)),FALSE)&gt;=5,"Good","Bad"),VLOOKUP(DATE($K$1,$K$2,BTO$4),Table1[],(MATCH(Calendar!$A18,DB!$1:$1,0)),FALSE)),"")</f>
        <v/>
      </c>
      <c r="BTP18" s="28" t="str">
        <f>IFERROR(IF(BTY3="No",IF(VLOOKUP(DATE($K$1,$K$2,BTP$4),Table1[],(MATCH(Calendar!$A18,DB!$1:$1,0)),FALSE)&gt;=5,"Good","Bad"),VLOOKUP(DATE($K$1,$K$2,BTP$4),Table1[],(MATCH(Calendar!$A18,DB!$1:$1,0)),FALSE)),"")</f>
        <v/>
      </c>
      <c r="BTQ18" s="28" t="str">
        <f>IFERROR(IF(BTZ3="No",IF(VLOOKUP(DATE($K$1,$K$2,BTQ$4),Table1[],(MATCH(Calendar!$A18,DB!$1:$1,0)),FALSE)&gt;=5,"Good","Bad"),VLOOKUP(DATE($K$1,$K$2,BTQ$4),Table1[],(MATCH(Calendar!$A18,DB!$1:$1,0)),FALSE)),"")</f>
        <v/>
      </c>
      <c r="BTR18" s="28" t="str">
        <f>IFERROR(IF(BUA3="No",IF(VLOOKUP(DATE($K$1,$K$2,BTR$4),Table1[],(MATCH(Calendar!$A18,DB!$1:$1,0)),FALSE)&gt;=5,"Good","Bad"),VLOOKUP(DATE($K$1,$K$2,BTR$4),Table1[],(MATCH(Calendar!$A18,DB!$1:$1,0)),FALSE)),"")</f>
        <v/>
      </c>
      <c r="BTS18" s="28" t="str">
        <f>IFERROR(IF(BUB3="No",IF(VLOOKUP(DATE($K$1,$K$2,BTS$4),Table1[],(MATCH(Calendar!$A18,DB!$1:$1,0)),FALSE)&gt;=5,"Good","Bad"),VLOOKUP(DATE($K$1,$K$2,BTS$4),Table1[],(MATCH(Calendar!$A18,DB!$1:$1,0)),FALSE)),"")</f>
        <v/>
      </c>
      <c r="BTT18" s="28" t="str">
        <f>IFERROR(IF(BUC3="No",IF(VLOOKUP(DATE($K$1,$K$2,BTT$4),Table1[],(MATCH(Calendar!$A18,DB!$1:$1,0)),FALSE)&gt;=5,"Good","Bad"),VLOOKUP(DATE($K$1,$K$2,BTT$4),Table1[],(MATCH(Calendar!$A18,DB!$1:$1,0)),FALSE)),"")</f>
        <v/>
      </c>
      <c r="BTU18" s="28" t="str">
        <f>IFERROR(IF(BUD3="No",IF(VLOOKUP(DATE($K$1,$K$2,BTU$4),Table1[],(MATCH(Calendar!$A18,DB!$1:$1,0)),FALSE)&gt;=5,"Good","Bad"),VLOOKUP(DATE($K$1,$K$2,BTU$4),Table1[],(MATCH(Calendar!$A18,DB!$1:$1,0)),FALSE)),"")</f>
        <v/>
      </c>
      <c r="BTV18" s="28" t="str">
        <f>IFERROR(IF(BUE3="No",IF(VLOOKUP(DATE($K$1,$K$2,BTV$4),Table1[],(MATCH(Calendar!$A18,DB!$1:$1,0)),FALSE)&gt;=5,"Good","Bad"),VLOOKUP(DATE($K$1,$K$2,BTV$4),Table1[],(MATCH(Calendar!$A18,DB!$1:$1,0)),FALSE)),"")</f>
        <v/>
      </c>
      <c r="BTW18" s="28" t="str">
        <f>IFERROR(IF(BUF3="No",IF(VLOOKUP(DATE($K$1,$K$2,BTW$4),Table1[],(MATCH(Calendar!$A18,DB!$1:$1,0)),FALSE)&gt;=5,"Good","Bad"),VLOOKUP(DATE($K$1,$K$2,BTW$4),Table1[],(MATCH(Calendar!$A18,DB!$1:$1,0)),FALSE)),"")</f>
        <v/>
      </c>
      <c r="BTX18" s="28" t="str">
        <f>IFERROR(IF(BUG3="No",IF(VLOOKUP(DATE($K$1,$K$2,BTX$4),Table1[],(MATCH(Calendar!$A18,DB!$1:$1,0)),FALSE)&gt;=5,"Good","Bad"),VLOOKUP(DATE($K$1,$K$2,BTX$4),Table1[],(MATCH(Calendar!$A18,DB!$1:$1,0)),FALSE)),"")</f>
        <v/>
      </c>
      <c r="BTY18" s="28" t="str">
        <f>IFERROR(IF(BUH3="No",IF(VLOOKUP(DATE($K$1,$K$2,BTY$4),Table1[],(MATCH(Calendar!$A18,DB!$1:$1,0)),FALSE)&gt;=5,"Good","Bad"),VLOOKUP(DATE($K$1,$K$2,BTY$4),Table1[],(MATCH(Calendar!$A18,DB!$1:$1,0)),FALSE)),"")</f>
        <v/>
      </c>
      <c r="BTZ18" s="28" t="str">
        <f>IFERROR(IF(BUI3="No",IF(VLOOKUP(DATE($K$1,$K$2,BTZ$4),Table1[],(MATCH(Calendar!$A18,DB!$1:$1,0)),FALSE)&gt;=5,"Good","Bad"),VLOOKUP(DATE($K$1,$K$2,BTZ$4),Table1[],(MATCH(Calendar!$A18,DB!$1:$1,0)),FALSE)),"")</f>
        <v/>
      </c>
      <c r="BUA18" s="28" t="str">
        <f>IFERROR(IF(BUJ3="No",IF(VLOOKUP(DATE($K$1,$K$2,BUA$4),Table1[],(MATCH(Calendar!$A18,DB!$1:$1,0)),FALSE)&gt;=5,"Good","Bad"),VLOOKUP(DATE($K$1,$K$2,BUA$4),Table1[],(MATCH(Calendar!$A18,DB!$1:$1,0)),FALSE)),"")</f>
        <v/>
      </c>
      <c r="BUB18" s="28" t="str">
        <f>IFERROR(IF(BUK3="No",IF(VLOOKUP(DATE($K$1,$K$2,BUB$4),Table1[],(MATCH(Calendar!$A18,DB!$1:$1,0)),FALSE)&gt;=5,"Good","Bad"),VLOOKUP(DATE($K$1,$K$2,BUB$4),Table1[],(MATCH(Calendar!$A18,DB!$1:$1,0)),FALSE)),"")</f>
        <v/>
      </c>
      <c r="BUC18" s="28" t="str">
        <f>IFERROR(IF(BUL3="No",IF(VLOOKUP(DATE($K$1,$K$2,BUC$4),Table1[],(MATCH(Calendar!$A18,DB!$1:$1,0)),FALSE)&gt;=5,"Good","Bad"),VLOOKUP(DATE($K$1,$K$2,BUC$4),Table1[],(MATCH(Calendar!$A18,DB!$1:$1,0)),FALSE)),"")</f>
        <v/>
      </c>
      <c r="BUD18" s="28" t="str">
        <f>IFERROR(IF(BUM3="No",IF(VLOOKUP(DATE($K$1,$K$2,BUD$4),Table1[],(MATCH(Calendar!$A18,DB!$1:$1,0)),FALSE)&gt;=5,"Good","Bad"),VLOOKUP(DATE($K$1,$K$2,BUD$4),Table1[],(MATCH(Calendar!$A18,DB!$1:$1,0)),FALSE)),"")</f>
        <v/>
      </c>
      <c r="BUE18" s="28" t="str">
        <f>IFERROR(IF(BUN3="No",IF(VLOOKUP(DATE($K$1,$K$2,BUE$4),Table1[],(MATCH(Calendar!$A18,DB!$1:$1,0)),FALSE)&gt;=5,"Good","Bad"),VLOOKUP(DATE($K$1,$K$2,BUE$4),Table1[],(MATCH(Calendar!$A18,DB!$1:$1,0)),FALSE)),"")</f>
        <v/>
      </c>
      <c r="BUF18" s="28" t="str">
        <f>IFERROR(IF(BUO3="No",IF(VLOOKUP(DATE($K$1,$K$2,BUF$4),Table1[],(MATCH(Calendar!$A18,DB!$1:$1,0)),FALSE)&gt;=5,"Good","Bad"),VLOOKUP(DATE($K$1,$K$2,BUF$4),Table1[],(MATCH(Calendar!$A18,DB!$1:$1,0)),FALSE)),"")</f>
        <v/>
      </c>
      <c r="BUG18" s="28" t="str">
        <f>IFERROR(IF(BUP3="No",IF(VLOOKUP(DATE($K$1,$K$2,BUG$4),Table1[],(MATCH(Calendar!$A18,DB!$1:$1,0)),FALSE)&gt;=5,"Good","Bad"),VLOOKUP(DATE($K$1,$K$2,BUG$4),Table1[],(MATCH(Calendar!$A18,DB!$1:$1,0)),FALSE)),"")</f>
        <v/>
      </c>
      <c r="BUH18" s="28" t="str">
        <f>IFERROR(IF(BUQ3="No",IF(VLOOKUP(DATE($K$1,$K$2,BUH$4),Table1[],(MATCH(Calendar!$A18,DB!$1:$1,0)),FALSE)&gt;=5,"Good","Bad"),VLOOKUP(DATE($K$1,$K$2,BUH$4),Table1[],(MATCH(Calendar!$A18,DB!$1:$1,0)),FALSE)),"")</f>
        <v/>
      </c>
      <c r="BUI18" s="28" t="str">
        <f>IFERROR(IF(BUR3="No",IF(VLOOKUP(DATE($K$1,$K$2,BUI$4),Table1[],(MATCH(Calendar!$A18,DB!$1:$1,0)),FALSE)&gt;=5,"Good","Bad"),VLOOKUP(DATE($K$1,$K$2,BUI$4),Table1[],(MATCH(Calendar!$A18,DB!$1:$1,0)),FALSE)),"")</f>
        <v/>
      </c>
      <c r="BUJ18" s="28" t="str">
        <f>IFERROR(IF(BUS3="No",IF(VLOOKUP(DATE($K$1,$K$2,BUJ$4),Table1[],(MATCH(Calendar!$A18,DB!$1:$1,0)),FALSE)&gt;=5,"Good","Bad"),VLOOKUP(DATE($K$1,$K$2,BUJ$4),Table1[],(MATCH(Calendar!$A18,DB!$1:$1,0)),FALSE)),"")</f>
        <v/>
      </c>
      <c r="BUK18" s="28" t="str">
        <f>IFERROR(IF(BUT3="No",IF(VLOOKUP(DATE($K$1,$K$2,BUK$4),Table1[],(MATCH(Calendar!$A18,DB!$1:$1,0)),FALSE)&gt;=5,"Good","Bad"),VLOOKUP(DATE($K$1,$K$2,BUK$4),Table1[],(MATCH(Calendar!$A18,DB!$1:$1,0)),FALSE)),"")</f>
        <v/>
      </c>
      <c r="BUL18" s="28" t="str">
        <f>IFERROR(IF(BUU3="No",IF(VLOOKUP(DATE($K$1,$K$2,BUL$4),Table1[],(MATCH(Calendar!$A18,DB!$1:$1,0)),FALSE)&gt;=5,"Good","Bad"),VLOOKUP(DATE($K$1,$K$2,BUL$4),Table1[],(MATCH(Calendar!$A18,DB!$1:$1,0)),FALSE)),"")</f>
        <v/>
      </c>
      <c r="BUM18" s="28" t="str">
        <f>IFERROR(IF(BUV3="No",IF(VLOOKUP(DATE($K$1,$K$2,BUM$4),Table1[],(MATCH(Calendar!$A18,DB!$1:$1,0)),FALSE)&gt;=5,"Good","Bad"),VLOOKUP(DATE($K$1,$K$2,BUM$4),Table1[],(MATCH(Calendar!$A18,DB!$1:$1,0)),FALSE)),"")</f>
        <v/>
      </c>
      <c r="BUN18" s="28" t="str">
        <f>IFERROR(IF(BUW3="No",IF(VLOOKUP(DATE($K$1,$K$2,BUN$4),Table1[],(MATCH(Calendar!$A18,DB!$1:$1,0)),FALSE)&gt;=5,"Good","Bad"),VLOOKUP(DATE($K$1,$K$2,BUN$4),Table1[],(MATCH(Calendar!$A18,DB!$1:$1,0)),FALSE)),"")</f>
        <v/>
      </c>
      <c r="BUO18" s="28" t="str">
        <f>IFERROR(IF(BUX3="No",IF(VLOOKUP(DATE($K$1,$K$2,BUO$4),Table1[],(MATCH(Calendar!$A18,DB!$1:$1,0)),FALSE)&gt;=5,"Good","Bad"),VLOOKUP(DATE($K$1,$K$2,BUO$4),Table1[],(MATCH(Calendar!$A18,DB!$1:$1,0)),FALSE)),"")</f>
        <v/>
      </c>
      <c r="BUP18" s="28" t="str">
        <f>IFERROR(IF(BUY3="No",IF(VLOOKUP(DATE($K$1,$K$2,BUP$4),Table1[],(MATCH(Calendar!$A18,DB!$1:$1,0)),FALSE)&gt;=5,"Good","Bad"),VLOOKUP(DATE($K$1,$K$2,BUP$4),Table1[],(MATCH(Calendar!$A18,DB!$1:$1,0)),FALSE)),"")</f>
        <v/>
      </c>
      <c r="BUQ18" s="28" t="str">
        <f>IFERROR(IF(BUZ3="No",IF(VLOOKUP(DATE($K$1,$K$2,BUQ$4),Table1[],(MATCH(Calendar!$A18,DB!$1:$1,0)),FALSE)&gt;=5,"Good","Bad"),VLOOKUP(DATE($K$1,$K$2,BUQ$4),Table1[],(MATCH(Calendar!$A18,DB!$1:$1,0)),FALSE)),"")</f>
        <v/>
      </c>
      <c r="BUR18" s="28" t="str">
        <f>IFERROR(IF(BVA3="No",IF(VLOOKUP(DATE($K$1,$K$2,BUR$4),Table1[],(MATCH(Calendar!$A18,DB!$1:$1,0)),FALSE)&gt;=5,"Good","Bad"),VLOOKUP(DATE($K$1,$K$2,BUR$4),Table1[],(MATCH(Calendar!$A18,DB!$1:$1,0)),FALSE)),"")</f>
        <v/>
      </c>
      <c r="BUS18" s="28" t="str">
        <f>IFERROR(IF(BVB3="No",IF(VLOOKUP(DATE($K$1,$K$2,BUS$4),Table1[],(MATCH(Calendar!$A18,DB!$1:$1,0)),FALSE)&gt;=5,"Good","Bad"),VLOOKUP(DATE($K$1,$K$2,BUS$4),Table1[],(MATCH(Calendar!$A18,DB!$1:$1,0)),FALSE)),"")</f>
        <v/>
      </c>
      <c r="BUT18" s="28" t="str">
        <f>IFERROR(IF(BVC3="No",IF(VLOOKUP(DATE($K$1,$K$2,BUT$4),Table1[],(MATCH(Calendar!$A18,DB!$1:$1,0)),FALSE)&gt;=5,"Good","Bad"),VLOOKUP(DATE($K$1,$K$2,BUT$4),Table1[],(MATCH(Calendar!$A18,DB!$1:$1,0)),FALSE)),"")</f>
        <v/>
      </c>
      <c r="BUU18" s="28" t="str">
        <f>IFERROR(IF(BVD3="No",IF(VLOOKUP(DATE($K$1,$K$2,BUU$4),Table1[],(MATCH(Calendar!$A18,DB!$1:$1,0)),FALSE)&gt;=5,"Good","Bad"),VLOOKUP(DATE($K$1,$K$2,BUU$4),Table1[],(MATCH(Calendar!$A18,DB!$1:$1,0)),FALSE)),"")</f>
        <v/>
      </c>
      <c r="BUV18" s="28" t="str">
        <f>IFERROR(IF(BVE3="No",IF(VLOOKUP(DATE($K$1,$K$2,BUV$4),Table1[],(MATCH(Calendar!$A18,DB!$1:$1,0)),FALSE)&gt;=5,"Good","Bad"),VLOOKUP(DATE($K$1,$K$2,BUV$4),Table1[],(MATCH(Calendar!$A18,DB!$1:$1,0)),FALSE)),"")</f>
        <v/>
      </c>
      <c r="BUW18" s="28" t="str">
        <f>IFERROR(IF(BVF3="No",IF(VLOOKUP(DATE($K$1,$K$2,BUW$4),Table1[],(MATCH(Calendar!$A18,DB!$1:$1,0)),FALSE)&gt;=5,"Good","Bad"),VLOOKUP(DATE($K$1,$K$2,BUW$4),Table1[],(MATCH(Calendar!$A18,DB!$1:$1,0)),FALSE)),"")</f>
        <v/>
      </c>
      <c r="BUX18" s="28" t="str">
        <f>IFERROR(IF(BVG3="No",IF(VLOOKUP(DATE($K$1,$K$2,BUX$4),Table1[],(MATCH(Calendar!$A18,DB!$1:$1,0)),FALSE)&gt;=5,"Good","Bad"),VLOOKUP(DATE($K$1,$K$2,BUX$4),Table1[],(MATCH(Calendar!$A18,DB!$1:$1,0)),FALSE)),"")</f>
        <v/>
      </c>
      <c r="BUY18" s="28" t="str">
        <f>IFERROR(IF(BVH3="No",IF(VLOOKUP(DATE($K$1,$K$2,BUY$4),Table1[],(MATCH(Calendar!$A18,DB!$1:$1,0)),FALSE)&gt;=5,"Good","Bad"),VLOOKUP(DATE($K$1,$K$2,BUY$4),Table1[],(MATCH(Calendar!$A18,DB!$1:$1,0)),FALSE)),"")</f>
        <v/>
      </c>
      <c r="BUZ18" s="28" t="str">
        <f>IFERROR(IF(BVI3="No",IF(VLOOKUP(DATE($K$1,$K$2,BUZ$4),Table1[],(MATCH(Calendar!$A18,DB!$1:$1,0)),FALSE)&gt;=5,"Good","Bad"),VLOOKUP(DATE($K$1,$K$2,BUZ$4),Table1[],(MATCH(Calendar!$A18,DB!$1:$1,0)),FALSE)),"")</f>
        <v/>
      </c>
      <c r="BVA18" s="28" t="str">
        <f>IFERROR(IF(BVJ3="No",IF(VLOOKUP(DATE($K$1,$K$2,BVA$4),Table1[],(MATCH(Calendar!$A18,DB!$1:$1,0)),FALSE)&gt;=5,"Good","Bad"),VLOOKUP(DATE($K$1,$K$2,BVA$4),Table1[],(MATCH(Calendar!$A18,DB!$1:$1,0)),FALSE)),"")</f>
        <v/>
      </c>
      <c r="BVB18" s="28" t="str">
        <f>IFERROR(IF(BVK3="No",IF(VLOOKUP(DATE($K$1,$K$2,BVB$4),Table1[],(MATCH(Calendar!$A18,DB!$1:$1,0)),FALSE)&gt;=5,"Good","Bad"),VLOOKUP(DATE($K$1,$K$2,BVB$4),Table1[],(MATCH(Calendar!$A18,DB!$1:$1,0)),FALSE)),"")</f>
        <v/>
      </c>
      <c r="BVC18" s="28" t="str">
        <f>IFERROR(IF(BVL3="No",IF(VLOOKUP(DATE($K$1,$K$2,BVC$4),Table1[],(MATCH(Calendar!$A18,DB!$1:$1,0)),FALSE)&gt;=5,"Good","Bad"),VLOOKUP(DATE($K$1,$K$2,BVC$4),Table1[],(MATCH(Calendar!$A18,DB!$1:$1,0)),FALSE)),"")</f>
        <v/>
      </c>
      <c r="BVD18" s="28" t="str">
        <f>IFERROR(IF(BVM3="No",IF(VLOOKUP(DATE($K$1,$K$2,BVD$4),Table1[],(MATCH(Calendar!$A18,DB!$1:$1,0)),FALSE)&gt;=5,"Good","Bad"),VLOOKUP(DATE($K$1,$K$2,BVD$4),Table1[],(MATCH(Calendar!$A18,DB!$1:$1,0)),FALSE)),"")</f>
        <v/>
      </c>
      <c r="BVE18" s="28" t="str">
        <f>IFERROR(IF(BVN3="No",IF(VLOOKUP(DATE($K$1,$K$2,BVE$4),Table1[],(MATCH(Calendar!$A18,DB!$1:$1,0)),FALSE)&gt;=5,"Good","Bad"),VLOOKUP(DATE($K$1,$K$2,BVE$4),Table1[],(MATCH(Calendar!$A18,DB!$1:$1,0)),FALSE)),"")</f>
        <v/>
      </c>
      <c r="BVF18" s="28" t="str">
        <f>IFERROR(IF(BVO3="No",IF(VLOOKUP(DATE($K$1,$K$2,BVF$4),Table1[],(MATCH(Calendar!$A18,DB!$1:$1,0)),FALSE)&gt;=5,"Good","Bad"),VLOOKUP(DATE($K$1,$K$2,BVF$4),Table1[],(MATCH(Calendar!$A18,DB!$1:$1,0)),FALSE)),"")</f>
        <v/>
      </c>
      <c r="BVG18" s="28" t="str">
        <f>IFERROR(IF(BVP3="No",IF(VLOOKUP(DATE($K$1,$K$2,BVG$4),Table1[],(MATCH(Calendar!$A18,DB!$1:$1,0)),FALSE)&gt;=5,"Good","Bad"),VLOOKUP(DATE($K$1,$K$2,BVG$4),Table1[],(MATCH(Calendar!$A18,DB!$1:$1,0)),FALSE)),"")</f>
        <v/>
      </c>
      <c r="BVH18" s="28" t="str">
        <f>IFERROR(IF(BVQ3="No",IF(VLOOKUP(DATE($K$1,$K$2,BVH$4),Table1[],(MATCH(Calendar!$A18,DB!$1:$1,0)),FALSE)&gt;=5,"Good","Bad"),VLOOKUP(DATE($K$1,$K$2,BVH$4),Table1[],(MATCH(Calendar!$A18,DB!$1:$1,0)),FALSE)),"")</f>
        <v/>
      </c>
      <c r="BVI18" s="28" t="str">
        <f>IFERROR(IF(BVR3="No",IF(VLOOKUP(DATE($K$1,$K$2,BVI$4),Table1[],(MATCH(Calendar!$A18,DB!$1:$1,0)),FALSE)&gt;=5,"Good","Bad"),VLOOKUP(DATE($K$1,$K$2,BVI$4),Table1[],(MATCH(Calendar!$A18,DB!$1:$1,0)),FALSE)),"")</f>
        <v/>
      </c>
      <c r="BVJ18" s="28" t="str">
        <f>IFERROR(IF(BVS3="No",IF(VLOOKUP(DATE($K$1,$K$2,BVJ$4),Table1[],(MATCH(Calendar!$A18,DB!$1:$1,0)),FALSE)&gt;=5,"Good","Bad"),VLOOKUP(DATE($K$1,$K$2,BVJ$4),Table1[],(MATCH(Calendar!$A18,DB!$1:$1,0)),FALSE)),"")</f>
        <v/>
      </c>
      <c r="BVK18" s="28" t="str">
        <f>IFERROR(IF(BVT3="No",IF(VLOOKUP(DATE($K$1,$K$2,BVK$4),Table1[],(MATCH(Calendar!$A18,DB!$1:$1,0)),FALSE)&gt;=5,"Good","Bad"),VLOOKUP(DATE($K$1,$K$2,BVK$4),Table1[],(MATCH(Calendar!$A18,DB!$1:$1,0)),FALSE)),"")</f>
        <v/>
      </c>
      <c r="BVL18" s="28" t="str">
        <f>IFERROR(IF(BVU3="No",IF(VLOOKUP(DATE($K$1,$K$2,BVL$4),Table1[],(MATCH(Calendar!$A18,DB!$1:$1,0)),FALSE)&gt;=5,"Good","Bad"),VLOOKUP(DATE($K$1,$K$2,BVL$4),Table1[],(MATCH(Calendar!$A18,DB!$1:$1,0)),FALSE)),"")</f>
        <v/>
      </c>
      <c r="BVM18" s="28" t="str">
        <f>IFERROR(IF(BVV3="No",IF(VLOOKUP(DATE($K$1,$K$2,BVM$4),Table1[],(MATCH(Calendar!$A18,DB!$1:$1,0)),FALSE)&gt;=5,"Good","Bad"),VLOOKUP(DATE($K$1,$K$2,BVM$4),Table1[],(MATCH(Calendar!$A18,DB!$1:$1,0)),FALSE)),"")</f>
        <v/>
      </c>
      <c r="BVN18" s="28" t="str">
        <f>IFERROR(IF(BVW3="No",IF(VLOOKUP(DATE($K$1,$K$2,BVN$4),Table1[],(MATCH(Calendar!$A18,DB!$1:$1,0)),FALSE)&gt;=5,"Good","Bad"),VLOOKUP(DATE($K$1,$K$2,BVN$4),Table1[],(MATCH(Calendar!$A18,DB!$1:$1,0)),FALSE)),"")</f>
        <v/>
      </c>
      <c r="BVO18" s="28" t="str">
        <f>IFERROR(IF(BVX3="No",IF(VLOOKUP(DATE($K$1,$K$2,BVO$4),Table1[],(MATCH(Calendar!$A18,DB!$1:$1,0)),FALSE)&gt;=5,"Good","Bad"),VLOOKUP(DATE($K$1,$K$2,BVO$4),Table1[],(MATCH(Calendar!$A18,DB!$1:$1,0)),FALSE)),"")</f>
        <v/>
      </c>
      <c r="BVP18" s="28" t="str">
        <f>IFERROR(IF(BVY3="No",IF(VLOOKUP(DATE($K$1,$K$2,BVP$4),Table1[],(MATCH(Calendar!$A18,DB!$1:$1,0)),FALSE)&gt;=5,"Good","Bad"),VLOOKUP(DATE($K$1,$K$2,BVP$4),Table1[],(MATCH(Calendar!$A18,DB!$1:$1,0)),FALSE)),"")</f>
        <v/>
      </c>
      <c r="BVQ18" s="28" t="str">
        <f>IFERROR(IF(BVZ3="No",IF(VLOOKUP(DATE($K$1,$K$2,BVQ$4),Table1[],(MATCH(Calendar!$A18,DB!$1:$1,0)),FALSE)&gt;=5,"Good","Bad"),VLOOKUP(DATE($K$1,$K$2,BVQ$4),Table1[],(MATCH(Calendar!$A18,DB!$1:$1,0)),FALSE)),"")</f>
        <v/>
      </c>
      <c r="BVR18" s="28" t="str">
        <f>IFERROR(IF(BWA3="No",IF(VLOOKUP(DATE($K$1,$K$2,BVR$4),Table1[],(MATCH(Calendar!$A18,DB!$1:$1,0)),FALSE)&gt;=5,"Good","Bad"),VLOOKUP(DATE($K$1,$K$2,BVR$4),Table1[],(MATCH(Calendar!$A18,DB!$1:$1,0)),FALSE)),"")</f>
        <v/>
      </c>
      <c r="BVS18" s="28" t="str">
        <f>IFERROR(IF(BWB3="No",IF(VLOOKUP(DATE($K$1,$K$2,BVS$4),Table1[],(MATCH(Calendar!$A18,DB!$1:$1,0)),FALSE)&gt;=5,"Good","Bad"),VLOOKUP(DATE($K$1,$K$2,BVS$4),Table1[],(MATCH(Calendar!$A18,DB!$1:$1,0)),FALSE)),"")</f>
        <v/>
      </c>
      <c r="BVT18" s="28" t="str">
        <f>IFERROR(IF(BWC3="No",IF(VLOOKUP(DATE($K$1,$K$2,BVT$4),Table1[],(MATCH(Calendar!$A18,DB!$1:$1,0)),FALSE)&gt;=5,"Good","Bad"),VLOOKUP(DATE($K$1,$K$2,BVT$4),Table1[],(MATCH(Calendar!$A18,DB!$1:$1,0)),FALSE)),"")</f>
        <v/>
      </c>
      <c r="BVU18" s="28" t="str">
        <f>IFERROR(IF(BWD3="No",IF(VLOOKUP(DATE($K$1,$K$2,BVU$4),Table1[],(MATCH(Calendar!$A18,DB!$1:$1,0)),FALSE)&gt;=5,"Good","Bad"),VLOOKUP(DATE($K$1,$K$2,BVU$4),Table1[],(MATCH(Calendar!$A18,DB!$1:$1,0)),FALSE)),"")</f>
        <v/>
      </c>
      <c r="BVV18" s="28" t="str">
        <f>IFERROR(IF(BWE3="No",IF(VLOOKUP(DATE($K$1,$K$2,BVV$4),Table1[],(MATCH(Calendar!$A18,DB!$1:$1,0)),FALSE)&gt;=5,"Good","Bad"),VLOOKUP(DATE($K$1,$K$2,BVV$4),Table1[],(MATCH(Calendar!$A18,DB!$1:$1,0)),FALSE)),"")</f>
        <v/>
      </c>
      <c r="BVW18" s="28" t="str">
        <f>IFERROR(IF(BWF3="No",IF(VLOOKUP(DATE($K$1,$K$2,BVW$4),Table1[],(MATCH(Calendar!$A18,DB!$1:$1,0)),FALSE)&gt;=5,"Good","Bad"),VLOOKUP(DATE($K$1,$K$2,BVW$4),Table1[],(MATCH(Calendar!$A18,DB!$1:$1,0)),FALSE)),"")</f>
        <v/>
      </c>
      <c r="BVX18" s="28" t="str">
        <f>IFERROR(IF(BWG3="No",IF(VLOOKUP(DATE($K$1,$K$2,BVX$4),Table1[],(MATCH(Calendar!$A18,DB!$1:$1,0)),FALSE)&gt;=5,"Good","Bad"),VLOOKUP(DATE($K$1,$K$2,BVX$4),Table1[],(MATCH(Calendar!$A18,DB!$1:$1,0)),FALSE)),"")</f>
        <v/>
      </c>
      <c r="BVY18" s="28" t="str">
        <f>IFERROR(IF(BWH3="No",IF(VLOOKUP(DATE($K$1,$K$2,BVY$4),Table1[],(MATCH(Calendar!$A18,DB!$1:$1,0)),FALSE)&gt;=5,"Good","Bad"),VLOOKUP(DATE($K$1,$K$2,BVY$4),Table1[],(MATCH(Calendar!$A18,DB!$1:$1,0)),FALSE)),"")</f>
        <v/>
      </c>
      <c r="BVZ18" s="28" t="str">
        <f>IFERROR(IF(BWI3="No",IF(VLOOKUP(DATE($K$1,$K$2,BVZ$4),Table1[],(MATCH(Calendar!$A18,DB!$1:$1,0)),FALSE)&gt;=5,"Good","Bad"),VLOOKUP(DATE($K$1,$K$2,BVZ$4),Table1[],(MATCH(Calendar!$A18,DB!$1:$1,0)),FALSE)),"")</f>
        <v/>
      </c>
      <c r="BWA18" s="28" t="str">
        <f>IFERROR(IF(BWJ3="No",IF(VLOOKUP(DATE($K$1,$K$2,BWA$4),Table1[],(MATCH(Calendar!$A18,DB!$1:$1,0)),FALSE)&gt;=5,"Good","Bad"),VLOOKUP(DATE($K$1,$K$2,BWA$4),Table1[],(MATCH(Calendar!$A18,DB!$1:$1,0)),FALSE)),"")</f>
        <v/>
      </c>
      <c r="BWB18" s="28" t="str">
        <f>IFERROR(IF(BWK3="No",IF(VLOOKUP(DATE($K$1,$K$2,BWB$4),Table1[],(MATCH(Calendar!$A18,DB!$1:$1,0)),FALSE)&gt;=5,"Good","Bad"),VLOOKUP(DATE($K$1,$K$2,BWB$4),Table1[],(MATCH(Calendar!$A18,DB!$1:$1,0)),FALSE)),"")</f>
        <v/>
      </c>
      <c r="BWC18" s="28" t="str">
        <f>IFERROR(IF(BWL3="No",IF(VLOOKUP(DATE($K$1,$K$2,BWC$4),Table1[],(MATCH(Calendar!$A18,DB!$1:$1,0)),FALSE)&gt;=5,"Good","Bad"),VLOOKUP(DATE($K$1,$K$2,BWC$4),Table1[],(MATCH(Calendar!$A18,DB!$1:$1,0)),FALSE)),"")</f>
        <v/>
      </c>
      <c r="BWD18" s="28" t="str">
        <f>IFERROR(IF(BWM3="No",IF(VLOOKUP(DATE($K$1,$K$2,BWD$4),Table1[],(MATCH(Calendar!$A18,DB!$1:$1,0)),FALSE)&gt;=5,"Good","Bad"),VLOOKUP(DATE($K$1,$K$2,BWD$4),Table1[],(MATCH(Calendar!$A18,DB!$1:$1,0)),FALSE)),"")</f>
        <v/>
      </c>
      <c r="BWE18" s="28" t="str">
        <f>IFERROR(IF(BWN3="No",IF(VLOOKUP(DATE($K$1,$K$2,BWE$4),Table1[],(MATCH(Calendar!$A18,DB!$1:$1,0)),FALSE)&gt;=5,"Good","Bad"),VLOOKUP(DATE($K$1,$K$2,BWE$4),Table1[],(MATCH(Calendar!$A18,DB!$1:$1,0)),FALSE)),"")</f>
        <v/>
      </c>
      <c r="BWF18" s="28" t="str">
        <f>IFERROR(IF(BWO3="No",IF(VLOOKUP(DATE($K$1,$K$2,BWF$4),Table1[],(MATCH(Calendar!$A18,DB!$1:$1,0)),FALSE)&gt;=5,"Good","Bad"),VLOOKUP(DATE($K$1,$K$2,BWF$4),Table1[],(MATCH(Calendar!$A18,DB!$1:$1,0)),FALSE)),"")</f>
        <v/>
      </c>
      <c r="BWG18" s="28" t="str">
        <f>IFERROR(IF(BWP3="No",IF(VLOOKUP(DATE($K$1,$K$2,BWG$4),Table1[],(MATCH(Calendar!$A18,DB!$1:$1,0)),FALSE)&gt;=5,"Good","Bad"),VLOOKUP(DATE($K$1,$K$2,BWG$4),Table1[],(MATCH(Calendar!$A18,DB!$1:$1,0)),FALSE)),"")</f>
        <v/>
      </c>
      <c r="BWH18" s="28" t="str">
        <f>IFERROR(IF(BWQ3="No",IF(VLOOKUP(DATE($K$1,$K$2,BWH$4),Table1[],(MATCH(Calendar!$A18,DB!$1:$1,0)),FALSE)&gt;=5,"Good","Bad"),VLOOKUP(DATE($K$1,$K$2,BWH$4),Table1[],(MATCH(Calendar!$A18,DB!$1:$1,0)),FALSE)),"")</f>
        <v/>
      </c>
      <c r="BWI18" s="28" t="str">
        <f>IFERROR(IF(BWR3="No",IF(VLOOKUP(DATE($K$1,$K$2,BWI$4),Table1[],(MATCH(Calendar!$A18,DB!$1:$1,0)),FALSE)&gt;=5,"Good","Bad"),VLOOKUP(DATE($K$1,$K$2,BWI$4),Table1[],(MATCH(Calendar!$A18,DB!$1:$1,0)),FALSE)),"")</f>
        <v/>
      </c>
      <c r="BWJ18" s="28" t="str">
        <f>IFERROR(IF(BWS3="No",IF(VLOOKUP(DATE($K$1,$K$2,BWJ$4),Table1[],(MATCH(Calendar!$A18,DB!$1:$1,0)),FALSE)&gt;=5,"Good","Bad"),VLOOKUP(DATE($K$1,$K$2,BWJ$4),Table1[],(MATCH(Calendar!$A18,DB!$1:$1,0)),FALSE)),"")</f>
        <v/>
      </c>
      <c r="BWK18" s="28" t="str">
        <f>IFERROR(IF(BWT3="No",IF(VLOOKUP(DATE($K$1,$K$2,BWK$4),Table1[],(MATCH(Calendar!$A18,DB!$1:$1,0)),FALSE)&gt;=5,"Good","Bad"),VLOOKUP(DATE($K$1,$K$2,BWK$4),Table1[],(MATCH(Calendar!$A18,DB!$1:$1,0)),FALSE)),"")</f>
        <v/>
      </c>
      <c r="BWL18" s="28" t="str">
        <f>IFERROR(IF(BWU3="No",IF(VLOOKUP(DATE($K$1,$K$2,BWL$4),Table1[],(MATCH(Calendar!$A18,DB!$1:$1,0)),FALSE)&gt;=5,"Good","Bad"),VLOOKUP(DATE($K$1,$K$2,BWL$4),Table1[],(MATCH(Calendar!$A18,DB!$1:$1,0)),FALSE)),"")</f>
        <v/>
      </c>
      <c r="BWM18" s="28" t="str">
        <f>IFERROR(IF(BWV3="No",IF(VLOOKUP(DATE($K$1,$K$2,BWM$4),Table1[],(MATCH(Calendar!$A18,DB!$1:$1,0)),FALSE)&gt;=5,"Good","Bad"),VLOOKUP(DATE($K$1,$K$2,BWM$4),Table1[],(MATCH(Calendar!$A18,DB!$1:$1,0)),FALSE)),"")</f>
        <v/>
      </c>
      <c r="BWN18" s="28" t="str">
        <f>IFERROR(IF(BWW3="No",IF(VLOOKUP(DATE($K$1,$K$2,BWN$4),Table1[],(MATCH(Calendar!$A18,DB!$1:$1,0)),FALSE)&gt;=5,"Good","Bad"),VLOOKUP(DATE($K$1,$K$2,BWN$4),Table1[],(MATCH(Calendar!$A18,DB!$1:$1,0)),FALSE)),"")</f>
        <v/>
      </c>
      <c r="BWO18" s="28" t="str">
        <f>IFERROR(IF(BWX3="No",IF(VLOOKUP(DATE($K$1,$K$2,BWO$4),Table1[],(MATCH(Calendar!$A18,DB!$1:$1,0)),FALSE)&gt;=5,"Good","Bad"),VLOOKUP(DATE($K$1,$K$2,BWO$4),Table1[],(MATCH(Calendar!$A18,DB!$1:$1,0)),FALSE)),"")</f>
        <v/>
      </c>
      <c r="BWP18" s="28" t="str">
        <f>IFERROR(IF(BWY3="No",IF(VLOOKUP(DATE($K$1,$K$2,BWP$4),Table1[],(MATCH(Calendar!$A18,DB!$1:$1,0)),FALSE)&gt;=5,"Good","Bad"),VLOOKUP(DATE($K$1,$K$2,BWP$4),Table1[],(MATCH(Calendar!$A18,DB!$1:$1,0)),FALSE)),"")</f>
        <v/>
      </c>
      <c r="BWQ18" s="28" t="str">
        <f>IFERROR(IF(BWZ3="No",IF(VLOOKUP(DATE($K$1,$K$2,BWQ$4),Table1[],(MATCH(Calendar!$A18,DB!$1:$1,0)),FALSE)&gt;=5,"Good","Bad"),VLOOKUP(DATE($K$1,$K$2,BWQ$4),Table1[],(MATCH(Calendar!$A18,DB!$1:$1,0)),FALSE)),"")</f>
        <v/>
      </c>
      <c r="BWR18" s="28" t="str">
        <f>IFERROR(IF(BXA3="No",IF(VLOOKUP(DATE($K$1,$K$2,BWR$4),Table1[],(MATCH(Calendar!$A18,DB!$1:$1,0)),FALSE)&gt;=5,"Good","Bad"),VLOOKUP(DATE($K$1,$K$2,BWR$4),Table1[],(MATCH(Calendar!$A18,DB!$1:$1,0)),FALSE)),"")</f>
        <v/>
      </c>
      <c r="BWS18" s="28" t="str">
        <f>IFERROR(IF(BXB3="No",IF(VLOOKUP(DATE($K$1,$K$2,BWS$4),Table1[],(MATCH(Calendar!$A18,DB!$1:$1,0)),FALSE)&gt;=5,"Good","Bad"),VLOOKUP(DATE($K$1,$K$2,BWS$4),Table1[],(MATCH(Calendar!$A18,DB!$1:$1,0)),FALSE)),"")</f>
        <v/>
      </c>
      <c r="BWT18" s="28" t="str">
        <f>IFERROR(IF(BXC3="No",IF(VLOOKUP(DATE($K$1,$K$2,BWT$4),Table1[],(MATCH(Calendar!$A18,DB!$1:$1,0)),FALSE)&gt;=5,"Good","Bad"),VLOOKUP(DATE($K$1,$K$2,BWT$4),Table1[],(MATCH(Calendar!$A18,DB!$1:$1,0)),FALSE)),"")</f>
        <v/>
      </c>
      <c r="BWU18" s="28" t="str">
        <f>IFERROR(IF(BXD3="No",IF(VLOOKUP(DATE($K$1,$K$2,BWU$4),Table1[],(MATCH(Calendar!$A18,DB!$1:$1,0)),FALSE)&gt;=5,"Good","Bad"),VLOOKUP(DATE($K$1,$K$2,BWU$4),Table1[],(MATCH(Calendar!$A18,DB!$1:$1,0)),FALSE)),"")</f>
        <v/>
      </c>
      <c r="BWV18" s="28" t="str">
        <f>IFERROR(IF(BXE3="No",IF(VLOOKUP(DATE($K$1,$K$2,BWV$4),Table1[],(MATCH(Calendar!$A18,DB!$1:$1,0)),FALSE)&gt;=5,"Good","Bad"),VLOOKUP(DATE($K$1,$K$2,BWV$4),Table1[],(MATCH(Calendar!$A18,DB!$1:$1,0)),FALSE)),"")</f>
        <v/>
      </c>
      <c r="BWW18" s="28" t="str">
        <f>IFERROR(IF(BXF3="No",IF(VLOOKUP(DATE($K$1,$K$2,BWW$4),Table1[],(MATCH(Calendar!$A18,DB!$1:$1,0)),FALSE)&gt;=5,"Good","Bad"),VLOOKUP(DATE($K$1,$K$2,BWW$4),Table1[],(MATCH(Calendar!$A18,DB!$1:$1,0)),FALSE)),"")</f>
        <v/>
      </c>
      <c r="BWX18" s="28" t="str">
        <f>IFERROR(IF(BXG3="No",IF(VLOOKUP(DATE($K$1,$K$2,BWX$4),Table1[],(MATCH(Calendar!$A18,DB!$1:$1,0)),FALSE)&gt;=5,"Good","Bad"),VLOOKUP(DATE($K$1,$K$2,BWX$4),Table1[],(MATCH(Calendar!$A18,DB!$1:$1,0)),FALSE)),"")</f>
        <v/>
      </c>
      <c r="BWY18" s="28" t="str">
        <f>IFERROR(IF(BXH3="No",IF(VLOOKUP(DATE($K$1,$K$2,BWY$4),Table1[],(MATCH(Calendar!$A18,DB!$1:$1,0)),FALSE)&gt;=5,"Good","Bad"),VLOOKUP(DATE($K$1,$K$2,BWY$4),Table1[],(MATCH(Calendar!$A18,DB!$1:$1,0)),FALSE)),"")</f>
        <v/>
      </c>
      <c r="BWZ18" s="28" t="str">
        <f>IFERROR(IF(BXI3="No",IF(VLOOKUP(DATE($K$1,$K$2,BWZ$4),Table1[],(MATCH(Calendar!$A18,DB!$1:$1,0)),FALSE)&gt;=5,"Good","Bad"),VLOOKUP(DATE($K$1,$K$2,BWZ$4),Table1[],(MATCH(Calendar!$A18,DB!$1:$1,0)),FALSE)),"")</f>
        <v/>
      </c>
      <c r="BXA18" s="28" t="str">
        <f>IFERROR(IF(BXJ3="No",IF(VLOOKUP(DATE($K$1,$K$2,BXA$4),Table1[],(MATCH(Calendar!$A18,DB!$1:$1,0)),FALSE)&gt;=5,"Good","Bad"),VLOOKUP(DATE($K$1,$K$2,BXA$4),Table1[],(MATCH(Calendar!$A18,DB!$1:$1,0)),FALSE)),"")</f>
        <v/>
      </c>
      <c r="BXB18" s="28" t="str">
        <f>IFERROR(IF(BXK3="No",IF(VLOOKUP(DATE($K$1,$K$2,BXB$4),Table1[],(MATCH(Calendar!$A18,DB!$1:$1,0)),FALSE)&gt;=5,"Good","Bad"),VLOOKUP(DATE($K$1,$K$2,BXB$4),Table1[],(MATCH(Calendar!$A18,DB!$1:$1,0)),FALSE)),"")</f>
        <v/>
      </c>
      <c r="BXC18" s="28" t="str">
        <f>IFERROR(IF(BXL3="No",IF(VLOOKUP(DATE($K$1,$K$2,BXC$4),Table1[],(MATCH(Calendar!$A18,DB!$1:$1,0)),FALSE)&gt;=5,"Good","Bad"),VLOOKUP(DATE($K$1,$K$2,BXC$4),Table1[],(MATCH(Calendar!$A18,DB!$1:$1,0)),FALSE)),"")</f>
        <v/>
      </c>
      <c r="BXD18" s="28" t="str">
        <f>IFERROR(IF(BXM3="No",IF(VLOOKUP(DATE($K$1,$K$2,BXD$4),Table1[],(MATCH(Calendar!$A18,DB!$1:$1,0)),FALSE)&gt;=5,"Good","Bad"),VLOOKUP(DATE($K$1,$K$2,BXD$4),Table1[],(MATCH(Calendar!$A18,DB!$1:$1,0)),FALSE)),"")</f>
        <v/>
      </c>
      <c r="BXE18" s="28" t="str">
        <f>IFERROR(IF(BXN3="No",IF(VLOOKUP(DATE($K$1,$K$2,BXE$4),Table1[],(MATCH(Calendar!$A18,DB!$1:$1,0)),FALSE)&gt;=5,"Good","Bad"),VLOOKUP(DATE($K$1,$K$2,BXE$4),Table1[],(MATCH(Calendar!$A18,DB!$1:$1,0)),FALSE)),"")</f>
        <v/>
      </c>
      <c r="BXF18" s="28" t="str">
        <f>IFERROR(IF(BXO3="No",IF(VLOOKUP(DATE($K$1,$K$2,BXF$4),Table1[],(MATCH(Calendar!$A18,DB!$1:$1,0)),FALSE)&gt;=5,"Good","Bad"),VLOOKUP(DATE($K$1,$K$2,BXF$4),Table1[],(MATCH(Calendar!$A18,DB!$1:$1,0)),FALSE)),"")</f>
        <v/>
      </c>
      <c r="BXG18" s="28" t="str">
        <f>IFERROR(IF(BXP3="No",IF(VLOOKUP(DATE($K$1,$K$2,BXG$4),Table1[],(MATCH(Calendar!$A18,DB!$1:$1,0)),FALSE)&gt;=5,"Good","Bad"),VLOOKUP(DATE($K$1,$K$2,BXG$4),Table1[],(MATCH(Calendar!$A18,DB!$1:$1,0)),FALSE)),"")</f>
        <v/>
      </c>
      <c r="BXH18" s="28" t="str">
        <f>IFERROR(IF(BXQ3="No",IF(VLOOKUP(DATE($K$1,$K$2,BXH$4),Table1[],(MATCH(Calendar!$A18,DB!$1:$1,0)),FALSE)&gt;=5,"Good","Bad"),VLOOKUP(DATE($K$1,$K$2,BXH$4),Table1[],(MATCH(Calendar!$A18,DB!$1:$1,0)),FALSE)),"")</f>
        <v/>
      </c>
      <c r="BXI18" s="28" t="str">
        <f>IFERROR(IF(BXR3="No",IF(VLOOKUP(DATE($K$1,$K$2,BXI$4),Table1[],(MATCH(Calendar!$A18,DB!$1:$1,0)),FALSE)&gt;=5,"Good","Bad"),VLOOKUP(DATE($K$1,$K$2,BXI$4),Table1[],(MATCH(Calendar!$A18,DB!$1:$1,0)),FALSE)),"")</f>
        <v/>
      </c>
      <c r="BXJ18" s="28" t="str">
        <f>IFERROR(IF(BXS3="No",IF(VLOOKUP(DATE($K$1,$K$2,BXJ$4),Table1[],(MATCH(Calendar!$A18,DB!$1:$1,0)),FALSE)&gt;=5,"Good","Bad"),VLOOKUP(DATE($K$1,$K$2,BXJ$4),Table1[],(MATCH(Calendar!$A18,DB!$1:$1,0)),FALSE)),"")</f>
        <v/>
      </c>
      <c r="BXK18" s="28" t="str">
        <f>IFERROR(IF(BXT3="No",IF(VLOOKUP(DATE($K$1,$K$2,BXK$4),Table1[],(MATCH(Calendar!$A18,DB!$1:$1,0)),FALSE)&gt;=5,"Good","Bad"),VLOOKUP(DATE($K$1,$K$2,BXK$4),Table1[],(MATCH(Calendar!$A18,DB!$1:$1,0)),FALSE)),"")</f>
        <v/>
      </c>
      <c r="BXL18" s="28" t="str">
        <f>IFERROR(IF(BXU3="No",IF(VLOOKUP(DATE($K$1,$K$2,BXL$4),Table1[],(MATCH(Calendar!$A18,DB!$1:$1,0)),FALSE)&gt;=5,"Good","Bad"),VLOOKUP(DATE($K$1,$K$2,BXL$4),Table1[],(MATCH(Calendar!$A18,DB!$1:$1,0)),FALSE)),"")</f>
        <v/>
      </c>
      <c r="BXM18" s="28" t="str">
        <f>IFERROR(IF(BXV3="No",IF(VLOOKUP(DATE($K$1,$K$2,BXM$4),Table1[],(MATCH(Calendar!$A18,DB!$1:$1,0)),FALSE)&gt;=5,"Good","Bad"),VLOOKUP(DATE($K$1,$K$2,BXM$4),Table1[],(MATCH(Calendar!$A18,DB!$1:$1,0)),FALSE)),"")</f>
        <v/>
      </c>
      <c r="BXN18" s="28" t="str">
        <f>IFERROR(IF(BXW3="No",IF(VLOOKUP(DATE($K$1,$K$2,BXN$4),Table1[],(MATCH(Calendar!$A18,DB!$1:$1,0)),FALSE)&gt;=5,"Good","Bad"),VLOOKUP(DATE($K$1,$K$2,BXN$4),Table1[],(MATCH(Calendar!$A18,DB!$1:$1,0)),FALSE)),"")</f>
        <v/>
      </c>
      <c r="BXO18" s="28" t="str">
        <f>IFERROR(IF(BXX3="No",IF(VLOOKUP(DATE($K$1,$K$2,BXO$4),Table1[],(MATCH(Calendar!$A18,DB!$1:$1,0)),FALSE)&gt;=5,"Good","Bad"),VLOOKUP(DATE($K$1,$K$2,BXO$4),Table1[],(MATCH(Calendar!$A18,DB!$1:$1,0)),FALSE)),"")</f>
        <v/>
      </c>
      <c r="BXP18" s="28" t="str">
        <f>IFERROR(IF(BXY3="No",IF(VLOOKUP(DATE($K$1,$K$2,BXP$4),Table1[],(MATCH(Calendar!$A18,DB!$1:$1,0)),FALSE)&gt;=5,"Good","Bad"),VLOOKUP(DATE($K$1,$K$2,BXP$4),Table1[],(MATCH(Calendar!$A18,DB!$1:$1,0)),FALSE)),"")</f>
        <v/>
      </c>
      <c r="BXQ18" s="28" t="str">
        <f>IFERROR(IF(BXZ3="No",IF(VLOOKUP(DATE($K$1,$K$2,BXQ$4),Table1[],(MATCH(Calendar!$A18,DB!$1:$1,0)),FALSE)&gt;=5,"Good","Bad"),VLOOKUP(DATE($K$1,$K$2,BXQ$4),Table1[],(MATCH(Calendar!$A18,DB!$1:$1,0)),FALSE)),"")</f>
        <v/>
      </c>
      <c r="BXR18" s="28" t="str">
        <f>IFERROR(IF(BYA3="No",IF(VLOOKUP(DATE($K$1,$K$2,BXR$4),Table1[],(MATCH(Calendar!$A18,DB!$1:$1,0)),FALSE)&gt;=5,"Good","Bad"),VLOOKUP(DATE($K$1,$K$2,BXR$4),Table1[],(MATCH(Calendar!$A18,DB!$1:$1,0)),FALSE)),"")</f>
        <v/>
      </c>
      <c r="BXS18" s="28" t="str">
        <f>IFERROR(IF(BYB3="No",IF(VLOOKUP(DATE($K$1,$K$2,BXS$4),Table1[],(MATCH(Calendar!$A18,DB!$1:$1,0)),FALSE)&gt;=5,"Good","Bad"),VLOOKUP(DATE($K$1,$K$2,BXS$4),Table1[],(MATCH(Calendar!$A18,DB!$1:$1,0)),FALSE)),"")</f>
        <v/>
      </c>
      <c r="BXT18" s="28" t="str">
        <f>IFERROR(IF(BYC3="No",IF(VLOOKUP(DATE($K$1,$K$2,BXT$4),Table1[],(MATCH(Calendar!$A18,DB!$1:$1,0)),FALSE)&gt;=5,"Good","Bad"),VLOOKUP(DATE($K$1,$K$2,BXT$4),Table1[],(MATCH(Calendar!$A18,DB!$1:$1,0)),FALSE)),"")</f>
        <v/>
      </c>
      <c r="BXU18" s="28" t="str">
        <f>IFERROR(IF(BYD3="No",IF(VLOOKUP(DATE($K$1,$K$2,BXU$4),Table1[],(MATCH(Calendar!$A18,DB!$1:$1,0)),FALSE)&gt;=5,"Good","Bad"),VLOOKUP(DATE($K$1,$K$2,BXU$4),Table1[],(MATCH(Calendar!$A18,DB!$1:$1,0)),FALSE)),"")</f>
        <v/>
      </c>
      <c r="BXV18" s="28" t="str">
        <f>IFERROR(IF(BYE3="No",IF(VLOOKUP(DATE($K$1,$K$2,BXV$4),Table1[],(MATCH(Calendar!$A18,DB!$1:$1,0)),FALSE)&gt;=5,"Good","Bad"),VLOOKUP(DATE($K$1,$K$2,BXV$4),Table1[],(MATCH(Calendar!$A18,DB!$1:$1,0)),FALSE)),"")</f>
        <v/>
      </c>
      <c r="BXW18" s="28" t="str">
        <f>IFERROR(IF(BYF3="No",IF(VLOOKUP(DATE($K$1,$K$2,BXW$4),Table1[],(MATCH(Calendar!$A18,DB!$1:$1,0)),FALSE)&gt;=5,"Good","Bad"),VLOOKUP(DATE($K$1,$K$2,BXW$4),Table1[],(MATCH(Calendar!$A18,DB!$1:$1,0)),FALSE)),"")</f>
        <v/>
      </c>
      <c r="BXX18" s="28" t="str">
        <f>IFERROR(IF(BYG3="No",IF(VLOOKUP(DATE($K$1,$K$2,BXX$4),Table1[],(MATCH(Calendar!$A18,DB!$1:$1,0)),FALSE)&gt;=5,"Good","Bad"),VLOOKUP(DATE($K$1,$K$2,BXX$4),Table1[],(MATCH(Calendar!$A18,DB!$1:$1,0)),FALSE)),"")</f>
        <v/>
      </c>
      <c r="BXY18" s="28" t="str">
        <f>IFERROR(IF(BYH3="No",IF(VLOOKUP(DATE($K$1,$K$2,BXY$4),Table1[],(MATCH(Calendar!$A18,DB!$1:$1,0)),FALSE)&gt;=5,"Good","Bad"),VLOOKUP(DATE($K$1,$K$2,BXY$4),Table1[],(MATCH(Calendar!$A18,DB!$1:$1,0)),FALSE)),"")</f>
        <v/>
      </c>
      <c r="BXZ18" s="28" t="str">
        <f>IFERROR(IF(BYI3="No",IF(VLOOKUP(DATE($K$1,$K$2,BXZ$4),Table1[],(MATCH(Calendar!$A18,DB!$1:$1,0)),FALSE)&gt;=5,"Good","Bad"),VLOOKUP(DATE($K$1,$K$2,BXZ$4),Table1[],(MATCH(Calendar!$A18,DB!$1:$1,0)),FALSE)),"")</f>
        <v/>
      </c>
      <c r="BYA18" s="28" t="str">
        <f>IFERROR(IF(BYJ3="No",IF(VLOOKUP(DATE($K$1,$K$2,BYA$4),Table1[],(MATCH(Calendar!$A18,DB!$1:$1,0)),FALSE)&gt;=5,"Good","Bad"),VLOOKUP(DATE($K$1,$K$2,BYA$4),Table1[],(MATCH(Calendar!$A18,DB!$1:$1,0)),FALSE)),"")</f>
        <v/>
      </c>
      <c r="BYB18" s="28" t="str">
        <f>IFERROR(IF(BYK3="No",IF(VLOOKUP(DATE($K$1,$K$2,BYB$4),Table1[],(MATCH(Calendar!$A18,DB!$1:$1,0)),FALSE)&gt;=5,"Good","Bad"),VLOOKUP(DATE($K$1,$K$2,BYB$4),Table1[],(MATCH(Calendar!$A18,DB!$1:$1,0)),FALSE)),"")</f>
        <v/>
      </c>
      <c r="BYC18" s="28" t="str">
        <f>IFERROR(IF(BYL3="No",IF(VLOOKUP(DATE($K$1,$K$2,BYC$4),Table1[],(MATCH(Calendar!$A18,DB!$1:$1,0)),FALSE)&gt;=5,"Good","Bad"),VLOOKUP(DATE($K$1,$K$2,BYC$4),Table1[],(MATCH(Calendar!$A18,DB!$1:$1,0)),FALSE)),"")</f>
        <v/>
      </c>
      <c r="BYD18" s="28" t="str">
        <f>IFERROR(IF(BYM3="No",IF(VLOOKUP(DATE($K$1,$K$2,BYD$4),Table1[],(MATCH(Calendar!$A18,DB!$1:$1,0)),FALSE)&gt;=5,"Good","Bad"),VLOOKUP(DATE($K$1,$K$2,BYD$4),Table1[],(MATCH(Calendar!$A18,DB!$1:$1,0)),FALSE)),"")</f>
        <v/>
      </c>
      <c r="BYE18" s="28" t="str">
        <f>IFERROR(IF(BYN3="No",IF(VLOOKUP(DATE($K$1,$K$2,BYE$4),Table1[],(MATCH(Calendar!$A18,DB!$1:$1,0)),FALSE)&gt;=5,"Good","Bad"),VLOOKUP(DATE($K$1,$K$2,BYE$4),Table1[],(MATCH(Calendar!$A18,DB!$1:$1,0)),FALSE)),"")</f>
        <v/>
      </c>
      <c r="BYF18" s="28" t="str">
        <f>IFERROR(IF(BYO3="No",IF(VLOOKUP(DATE($K$1,$K$2,BYF$4),Table1[],(MATCH(Calendar!$A18,DB!$1:$1,0)),FALSE)&gt;=5,"Good","Bad"),VLOOKUP(DATE($K$1,$K$2,BYF$4),Table1[],(MATCH(Calendar!$A18,DB!$1:$1,0)),FALSE)),"")</f>
        <v/>
      </c>
      <c r="BYG18" s="28" t="str">
        <f>IFERROR(IF(BYP3="No",IF(VLOOKUP(DATE($K$1,$K$2,BYG$4),Table1[],(MATCH(Calendar!$A18,DB!$1:$1,0)),FALSE)&gt;=5,"Good","Bad"),VLOOKUP(DATE($K$1,$K$2,BYG$4),Table1[],(MATCH(Calendar!$A18,DB!$1:$1,0)),FALSE)),"")</f>
        <v/>
      </c>
      <c r="BYH18" s="28" t="str">
        <f>IFERROR(IF(BYQ3="No",IF(VLOOKUP(DATE($K$1,$K$2,BYH$4),Table1[],(MATCH(Calendar!$A18,DB!$1:$1,0)),FALSE)&gt;=5,"Good","Bad"),VLOOKUP(DATE($K$1,$K$2,BYH$4),Table1[],(MATCH(Calendar!$A18,DB!$1:$1,0)),FALSE)),"")</f>
        <v/>
      </c>
      <c r="BYI18" s="28" t="str">
        <f>IFERROR(IF(BYR3="No",IF(VLOOKUP(DATE($K$1,$K$2,BYI$4),Table1[],(MATCH(Calendar!$A18,DB!$1:$1,0)),FALSE)&gt;=5,"Good","Bad"),VLOOKUP(DATE($K$1,$K$2,BYI$4),Table1[],(MATCH(Calendar!$A18,DB!$1:$1,0)),FALSE)),"")</f>
        <v/>
      </c>
      <c r="BYJ18" s="28" t="str">
        <f>IFERROR(IF(BYS3="No",IF(VLOOKUP(DATE($K$1,$K$2,BYJ$4),Table1[],(MATCH(Calendar!$A18,DB!$1:$1,0)),FALSE)&gt;=5,"Good","Bad"),VLOOKUP(DATE($K$1,$K$2,BYJ$4),Table1[],(MATCH(Calendar!$A18,DB!$1:$1,0)),FALSE)),"")</f>
        <v/>
      </c>
      <c r="BYK18" s="28" t="str">
        <f>IFERROR(IF(BYT3="No",IF(VLOOKUP(DATE($K$1,$K$2,BYK$4),Table1[],(MATCH(Calendar!$A18,DB!$1:$1,0)),FALSE)&gt;=5,"Good","Bad"),VLOOKUP(DATE($K$1,$K$2,BYK$4),Table1[],(MATCH(Calendar!$A18,DB!$1:$1,0)),FALSE)),"")</f>
        <v/>
      </c>
      <c r="BYL18" s="28" t="str">
        <f>IFERROR(IF(BYU3="No",IF(VLOOKUP(DATE($K$1,$K$2,BYL$4),Table1[],(MATCH(Calendar!$A18,DB!$1:$1,0)),FALSE)&gt;=5,"Good","Bad"),VLOOKUP(DATE($K$1,$K$2,BYL$4),Table1[],(MATCH(Calendar!$A18,DB!$1:$1,0)),FALSE)),"")</f>
        <v/>
      </c>
      <c r="BYM18" s="28" t="str">
        <f>IFERROR(IF(BYV3="No",IF(VLOOKUP(DATE($K$1,$K$2,BYM$4),Table1[],(MATCH(Calendar!$A18,DB!$1:$1,0)),FALSE)&gt;=5,"Good","Bad"),VLOOKUP(DATE($K$1,$K$2,BYM$4),Table1[],(MATCH(Calendar!$A18,DB!$1:$1,0)),FALSE)),"")</f>
        <v/>
      </c>
      <c r="BYN18" s="28" t="str">
        <f>IFERROR(IF(BYW3="No",IF(VLOOKUP(DATE($K$1,$K$2,BYN$4),Table1[],(MATCH(Calendar!$A18,DB!$1:$1,0)),FALSE)&gt;=5,"Good","Bad"),VLOOKUP(DATE($K$1,$K$2,BYN$4),Table1[],(MATCH(Calendar!$A18,DB!$1:$1,0)),FALSE)),"")</f>
        <v/>
      </c>
      <c r="BYO18" s="28" t="str">
        <f>IFERROR(IF(BYX3="No",IF(VLOOKUP(DATE($K$1,$K$2,BYO$4),Table1[],(MATCH(Calendar!$A18,DB!$1:$1,0)),FALSE)&gt;=5,"Good","Bad"),VLOOKUP(DATE($K$1,$K$2,BYO$4),Table1[],(MATCH(Calendar!$A18,DB!$1:$1,0)),FALSE)),"")</f>
        <v/>
      </c>
      <c r="BYP18" s="28" t="str">
        <f>IFERROR(IF(BYY3="No",IF(VLOOKUP(DATE($K$1,$K$2,BYP$4),Table1[],(MATCH(Calendar!$A18,DB!$1:$1,0)),FALSE)&gt;=5,"Good","Bad"),VLOOKUP(DATE($K$1,$K$2,BYP$4),Table1[],(MATCH(Calendar!$A18,DB!$1:$1,0)),FALSE)),"")</f>
        <v/>
      </c>
      <c r="BYQ18" s="28" t="str">
        <f>IFERROR(IF(BYZ3="No",IF(VLOOKUP(DATE($K$1,$K$2,BYQ$4),Table1[],(MATCH(Calendar!$A18,DB!$1:$1,0)),FALSE)&gt;=5,"Good","Bad"),VLOOKUP(DATE($K$1,$K$2,BYQ$4),Table1[],(MATCH(Calendar!$A18,DB!$1:$1,0)),FALSE)),"")</f>
        <v/>
      </c>
      <c r="BYR18" s="28" t="str">
        <f>IFERROR(IF(BZA3="No",IF(VLOOKUP(DATE($K$1,$K$2,BYR$4),Table1[],(MATCH(Calendar!$A18,DB!$1:$1,0)),FALSE)&gt;=5,"Good","Bad"),VLOOKUP(DATE($K$1,$K$2,BYR$4),Table1[],(MATCH(Calendar!$A18,DB!$1:$1,0)),FALSE)),"")</f>
        <v/>
      </c>
      <c r="BYS18" s="28" t="str">
        <f>IFERROR(IF(BZB3="No",IF(VLOOKUP(DATE($K$1,$K$2,BYS$4),Table1[],(MATCH(Calendar!$A18,DB!$1:$1,0)),FALSE)&gt;=5,"Good","Bad"),VLOOKUP(DATE($K$1,$K$2,BYS$4),Table1[],(MATCH(Calendar!$A18,DB!$1:$1,0)),FALSE)),"")</f>
        <v/>
      </c>
      <c r="BYT18" s="28" t="str">
        <f>IFERROR(IF(BZC3="No",IF(VLOOKUP(DATE($K$1,$K$2,BYT$4),Table1[],(MATCH(Calendar!$A18,DB!$1:$1,0)),FALSE)&gt;=5,"Good","Bad"),VLOOKUP(DATE($K$1,$K$2,BYT$4),Table1[],(MATCH(Calendar!$A18,DB!$1:$1,0)),FALSE)),"")</f>
        <v/>
      </c>
      <c r="BYU18" s="28" t="str">
        <f>IFERROR(IF(BZD3="No",IF(VLOOKUP(DATE($K$1,$K$2,BYU$4),Table1[],(MATCH(Calendar!$A18,DB!$1:$1,0)),FALSE)&gt;=5,"Good","Bad"),VLOOKUP(DATE($K$1,$K$2,BYU$4),Table1[],(MATCH(Calendar!$A18,DB!$1:$1,0)),FALSE)),"")</f>
        <v/>
      </c>
      <c r="BYV18" s="28" t="str">
        <f>IFERROR(IF(BZE3="No",IF(VLOOKUP(DATE($K$1,$K$2,BYV$4),Table1[],(MATCH(Calendar!$A18,DB!$1:$1,0)),FALSE)&gt;=5,"Good","Bad"),VLOOKUP(DATE($K$1,$K$2,BYV$4),Table1[],(MATCH(Calendar!$A18,DB!$1:$1,0)),FALSE)),"")</f>
        <v/>
      </c>
      <c r="BYW18" s="28" t="str">
        <f>IFERROR(IF(BZF3="No",IF(VLOOKUP(DATE($K$1,$K$2,BYW$4),Table1[],(MATCH(Calendar!$A18,DB!$1:$1,0)),FALSE)&gt;=5,"Good","Bad"),VLOOKUP(DATE($K$1,$K$2,BYW$4),Table1[],(MATCH(Calendar!$A18,DB!$1:$1,0)),FALSE)),"")</f>
        <v/>
      </c>
      <c r="BYX18" s="28" t="str">
        <f>IFERROR(IF(BZG3="No",IF(VLOOKUP(DATE($K$1,$K$2,BYX$4),Table1[],(MATCH(Calendar!$A18,DB!$1:$1,0)),FALSE)&gt;=5,"Good","Bad"),VLOOKUP(DATE($K$1,$K$2,BYX$4),Table1[],(MATCH(Calendar!$A18,DB!$1:$1,0)),FALSE)),"")</f>
        <v/>
      </c>
      <c r="BYY18" s="28" t="str">
        <f>IFERROR(IF(BZH3="No",IF(VLOOKUP(DATE($K$1,$K$2,BYY$4),Table1[],(MATCH(Calendar!$A18,DB!$1:$1,0)),FALSE)&gt;=5,"Good","Bad"),VLOOKUP(DATE($K$1,$K$2,BYY$4),Table1[],(MATCH(Calendar!$A18,DB!$1:$1,0)),FALSE)),"")</f>
        <v/>
      </c>
      <c r="BYZ18" s="28" t="str">
        <f>IFERROR(IF(BZI3="No",IF(VLOOKUP(DATE($K$1,$K$2,BYZ$4),Table1[],(MATCH(Calendar!$A18,DB!$1:$1,0)),FALSE)&gt;=5,"Good","Bad"),VLOOKUP(DATE($K$1,$K$2,BYZ$4),Table1[],(MATCH(Calendar!$A18,DB!$1:$1,0)),FALSE)),"")</f>
        <v/>
      </c>
      <c r="BZA18" s="28" t="str">
        <f>IFERROR(IF(BZJ3="No",IF(VLOOKUP(DATE($K$1,$K$2,BZA$4),Table1[],(MATCH(Calendar!$A18,DB!$1:$1,0)),FALSE)&gt;=5,"Good","Bad"),VLOOKUP(DATE($K$1,$K$2,BZA$4),Table1[],(MATCH(Calendar!$A18,DB!$1:$1,0)),FALSE)),"")</f>
        <v/>
      </c>
      <c r="BZB18" s="28" t="str">
        <f>IFERROR(IF(BZK3="No",IF(VLOOKUP(DATE($K$1,$K$2,BZB$4),Table1[],(MATCH(Calendar!$A18,DB!$1:$1,0)),FALSE)&gt;=5,"Good","Bad"),VLOOKUP(DATE($K$1,$K$2,BZB$4),Table1[],(MATCH(Calendar!$A18,DB!$1:$1,0)),FALSE)),"")</f>
        <v/>
      </c>
      <c r="BZC18" s="28" t="str">
        <f>IFERROR(IF(BZL3="No",IF(VLOOKUP(DATE($K$1,$K$2,BZC$4),Table1[],(MATCH(Calendar!$A18,DB!$1:$1,0)),FALSE)&gt;=5,"Good","Bad"),VLOOKUP(DATE($K$1,$K$2,BZC$4),Table1[],(MATCH(Calendar!$A18,DB!$1:$1,0)),FALSE)),"")</f>
        <v/>
      </c>
      <c r="BZD18" s="28" t="str">
        <f>IFERROR(IF(BZM3="No",IF(VLOOKUP(DATE($K$1,$K$2,BZD$4),Table1[],(MATCH(Calendar!$A18,DB!$1:$1,0)),FALSE)&gt;=5,"Good","Bad"),VLOOKUP(DATE($K$1,$K$2,BZD$4),Table1[],(MATCH(Calendar!$A18,DB!$1:$1,0)),FALSE)),"")</f>
        <v/>
      </c>
      <c r="BZE18" s="28" t="str">
        <f>IFERROR(IF(BZN3="No",IF(VLOOKUP(DATE($K$1,$K$2,BZE$4),Table1[],(MATCH(Calendar!$A18,DB!$1:$1,0)),FALSE)&gt;=5,"Good","Bad"),VLOOKUP(DATE($K$1,$K$2,BZE$4),Table1[],(MATCH(Calendar!$A18,DB!$1:$1,0)),FALSE)),"")</f>
        <v/>
      </c>
      <c r="BZF18" s="28" t="str">
        <f>IFERROR(IF(BZO3="No",IF(VLOOKUP(DATE($K$1,$K$2,BZF$4),Table1[],(MATCH(Calendar!$A18,DB!$1:$1,0)),FALSE)&gt;=5,"Good","Bad"),VLOOKUP(DATE($K$1,$K$2,BZF$4),Table1[],(MATCH(Calendar!$A18,DB!$1:$1,0)),FALSE)),"")</f>
        <v/>
      </c>
      <c r="BZG18" s="28" t="str">
        <f>IFERROR(IF(BZP3="No",IF(VLOOKUP(DATE($K$1,$K$2,BZG$4),Table1[],(MATCH(Calendar!$A18,DB!$1:$1,0)),FALSE)&gt;=5,"Good","Bad"),VLOOKUP(DATE($K$1,$K$2,BZG$4),Table1[],(MATCH(Calendar!$A18,DB!$1:$1,0)),FALSE)),"")</f>
        <v/>
      </c>
      <c r="BZH18" s="28" t="str">
        <f>IFERROR(IF(BZQ3="No",IF(VLOOKUP(DATE($K$1,$K$2,BZH$4),Table1[],(MATCH(Calendar!$A18,DB!$1:$1,0)),FALSE)&gt;=5,"Good","Bad"),VLOOKUP(DATE($K$1,$K$2,BZH$4),Table1[],(MATCH(Calendar!$A18,DB!$1:$1,0)),FALSE)),"")</f>
        <v/>
      </c>
      <c r="BZI18" s="28" t="str">
        <f>IFERROR(IF(BZR3="No",IF(VLOOKUP(DATE($K$1,$K$2,BZI$4),Table1[],(MATCH(Calendar!$A18,DB!$1:$1,0)),FALSE)&gt;=5,"Good","Bad"),VLOOKUP(DATE($K$1,$K$2,BZI$4),Table1[],(MATCH(Calendar!$A18,DB!$1:$1,0)),FALSE)),"")</f>
        <v/>
      </c>
      <c r="BZJ18" s="28" t="str">
        <f>IFERROR(IF(BZS3="No",IF(VLOOKUP(DATE($K$1,$K$2,BZJ$4),Table1[],(MATCH(Calendar!$A18,DB!$1:$1,0)),FALSE)&gt;=5,"Good","Bad"),VLOOKUP(DATE($K$1,$K$2,BZJ$4),Table1[],(MATCH(Calendar!$A18,DB!$1:$1,0)),FALSE)),"")</f>
        <v/>
      </c>
      <c r="BZK18" s="28" t="str">
        <f>IFERROR(IF(BZT3="No",IF(VLOOKUP(DATE($K$1,$K$2,BZK$4),Table1[],(MATCH(Calendar!$A18,DB!$1:$1,0)),FALSE)&gt;=5,"Good","Bad"),VLOOKUP(DATE($K$1,$K$2,BZK$4),Table1[],(MATCH(Calendar!$A18,DB!$1:$1,0)),FALSE)),"")</f>
        <v/>
      </c>
      <c r="BZL18" s="28" t="str">
        <f>IFERROR(IF(BZU3="No",IF(VLOOKUP(DATE($K$1,$K$2,BZL$4),Table1[],(MATCH(Calendar!$A18,DB!$1:$1,0)),FALSE)&gt;=5,"Good","Bad"),VLOOKUP(DATE($K$1,$K$2,BZL$4),Table1[],(MATCH(Calendar!$A18,DB!$1:$1,0)),FALSE)),"")</f>
        <v/>
      </c>
      <c r="BZM18" s="28" t="str">
        <f>IFERROR(IF(BZV3="No",IF(VLOOKUP(DATE($K$1,$K$2,BZM$4),Table1[],(MATCH(Calendar!$A18,DB!$1:$1,0)),FALSE)&gt;=5,"Good","Bad"),VLOOKUP(DATE($K$1,$K$2,BZM$4),Table1[],(MATCH(Calendar!$A18,DB!$1:$1,0)),FALSE)),"")</f>
        <v/>
      </c>
      <c r="BZN18" s="28" t="str">
        <f>IFERROR(IF(BZW3="No",IF(VLOOKUP(DATE($K$1,$K$2,BZN$4),Table1[],(MATCH(Calendar!$A18,DB!$1:$1,0)),FALSE)&gt;=5,"Good","Bad"),VLOOKUP(DATE($K$1,$K$2,BZN$4),Table1[],(MATCH(Calendar!$A18,DB!$1:$1,0)),FALSE)),"")</f>
        <v/>
      </c>
      <c r="BZO18" s="28" t="str">
        <f>IFERROR(IF(BZX3="No",IF(VLOOKUP(DATE($K$1,$K$2,BZO$4),Table1[],(MATCH(Calendar!$A18,DB!$1:$1,0)),FALSE)&gt;=5,"Good","Bad"),VLOOKUP(DATE($K$1,$K$2,BZO$4),Table1[],(MATCH(Calendar!$A18,DB!$1:$1,0)),FALSE)),"")</f>
        <v/>
      </c>
      <c r="BZP18" s="28" t="str">
        <f>IFERROR(IF(BZY3="No",IF(VLOOKUP(DATE($K$1,$K$2,BZP$4),Table1[],(MATCH(Calendar!$A18,DB!$1:$1,0)),FALSE)&gt;=5,"Good","Bad"),VLOOKUP(DATE($K$1,$K$2,BZP$4),Table1[],(MATCH(Calendar!$A18,DB!$1:$1,0)),FALSE)),"")</f>
        <v/>
      </c>
      <c r="BZQ18" s="28" t="str">
        <f>IFERROR(IF(BZZ3="No",IF(VLOOKUP(DATE($K$1,$K$2,BZQ$4),Table1[],(MATCH(Calendar!$A18,DB!$1:$1,0)),FALSE)&gt;=5,"Good","Bad"),VLOOKUP(DATE($K$1,$K$2,BZQ$4),Table1[],(MATCH(Calendar!$A18,DB!$1:$1,0)),FALSE)),"")</f>
        <v/>
      </c>
      <c r="BZR18" s="28" t="str">
        <f>IFERROR(IF(CAA3="No",IF(VLOOKUP(DATE($K$1,$K$2,BZR$4),Table1[],(MATCH(Calendar!$A18,DB!$1:$1,0)),FALSE)&gt;=5,"Good","Bad"),VLOOKUP(DATE($K$1,$K$2,BZR$4),Table1[],(MATCH(Calendar!$A18,DB!$1:$1,0)),FALSE)),"")</f>
        <v/>
      </c>
      <c r="BZS18" s="28" t="str">
        <f>IFERROR(IF(CAB3="No",IF(VLOOKUP(DATE($K$1,$K$2,BZS$4),Table1[],(MATCH(Calendar!$A18,DB!$1:$1,0)),FALSE)&gt;=5,"Good","Bad"),VLOOKUP(DATE($K$1,$K$2,BZS$4),Table1[],(MATCH(Calendar!$A18,DB!$1:$1,0)),FALSE)),"")</f>
        <v/>
      </c>
      <c r="BZT18" s="28" t="str">
        <f>IFERROR(IF(CAC3="No",IF(VLOOKUP(DATE($K$1,$K$2,BZT$4),Table1[],(MATCH(Calendar!$A18,DB!$1:$1,0)),FALSE)&gt;=5,"Good","Bad"),VLOOKUP(DATE($K$1,$K$2,BZT$4),Table1[],(MATCH(Calendar!$A18,DB!$1:$1,0)),FALSE)),"")</f>
        <v/>
      </c>
      <c r="BZU18" s="28" t="str">
        <f>IFERROR(IF(CAD3="No",IF(VLOOKUP(DATE($K$1,$K$2,BZU$4),Table1[],(MATCH(Calendar!$A18,DB!$1:$1,0)),FALSE)&gt;=5,"Good","Bad"),VLOOKUP(DATE($K$1,$K$2,BZU$4),Table1[],(MATCH(Calendar!$A18,DB!$1:$1,0)),FALSE)),"")</f>
        <v/>
      </c>
      <c r="BZV18" s="28" t="str">
        <f>IFERROR(IF(CAE3="No",IF(VLOOKUP(DATE($K$1,$K$2,BZV$4),Table1[],(MATCH(Calendar!$A18,DB!$1:$1,0)),FALSE)&gt;=5,"Good","Bad"),VLOOKUP(DATE($K$1,$K$2,BZV$4),Table1[],(MATCH(Calendar!$A18,DB!$1:$1,0)),FALSE)),"")</f>
        <v/>
      </c>
      <c r="BZW18" s="28" t="str">
        <f>IFERROR(IF(CAF3="No",IF(VLOOKUP(DATE($K$1,$K$2,BZW$4),Table1[],(MATCH(Calendar!$A18,DB!$1:$1,0)),FALSE)&gt;=5,"Good","Bad"),VLOOKUP(DATE($K$1,$K$2,BZW$4),Table1[],(MATCH(Calendar!$A18,DB!$1:$1,0)),FALSE)),"")</f>
        <v/>
      </c>
      <c r="BZX18" s="28" t="str">
        <f>IFERROR(IF(CAG3="No",IF(VLOOKUP(DATE($K$1,$K$2,BZX$4),Table1[],(MATCH(Calendar!$A18,DB!$1:$1,0)),FALSE)&gt;=5,"Good","Bad"),VLOOKUP(DATE($K$1,$K$2,BZX$4),Table1[],(MATCH(Calendar!$A18,DB!$1:$1,0)),FALSE)),"")</f>
        <v/>
      </c>
      <c r="BZY18" s="28" t="str">
        <f>IFERROR(IF(CAH3="No",IF(VLOOKUP(DATE($K$1,$K$2,BZY$4),Table1[],(MATCH(Calendar!$A18,DB!$1:$1,0)),FALSE)&gt;=5,"Good","Bad"),VLOOKUP(DATE($K$1,$K$2,BZY$4),Table1[],(MATCH(Calendar!$A18,DB!$1:$1,0)),FALSE)),"")</f>
        <v/>
      </c>
      <c r="BZZ18" s="28" t="str">
        <f>IFERROR(IF(CAI3="No",IF(VLOOKUP(DATE($K$1,$K$2,BZZ$4),Table1[],(MATCH(Calendar!$A18,DB!$1:$1,0)),FALSE)&gt;=5,"Good","Bad"),VLOOKUP(DATE($K$1,$K$2,BZZ$4),Table1[],(MATCH(Calendar!$A18,DB!$1:$1,0)),FALSE)),"")</f>
        <v/>
      </c>
      <c r="CAA18" s="28" t="str">
        <f>IFERROR(IF(CAJ3="No",IF(VLOOKUP(DATE($K$1,$K$2,CAA$4),Table1[],(MATCH(Calendar!$A18,DB!$1:$1,0)),FALSE)&gt;=5,"Good","Bad"),VLOOKUP(DATE($K$1,$K$2,CAA$4),Table1[],(MATCH(Calendar!$A18,DB!$1:$1,0)),FALSE)),"")</f>
        <v/>
      </c>
      <c r="CAB18" s="28" t="str">
        <f>IFERROR(IF(CAK3="No",IF(VLOOKUP(DATE($K$1,$K$2,CAB$4),Table1[],(MATCH(Calendar!$A18,DB!$1:$1,0)),FALSE)&gt;=5,"Good","Bad"),VLOOKUP(DATE($K$1,$K$2,CAB$4),Table1[],(MATCH(Calendar!$A18,DB!$1:$1,0)),FALSE)),"")</f>
        <v/>
      </c>
      <c r="CAC18" s="28" t="str">
        <f>IFERROR(IF(CAL3="No",IF(VLOOKUP(DATE($K$1,$K$2,CAC$4),Table1[],(MATCH(Calendar!$A18,DB!$1:$1,0)),FALSE)&gt;=5,"Good","Bad"),VLOOKUP(DATE($K$1,$K$2,CAC$4),Table1[],(MATCH(Calendar!$A18,DB!$1:$1,0)),FALSE)),"")</f>
        <v/>
      </c>
      <c r="CAD18" s="28" t="str">
        <f>IFERROR(IF(CAM3="No",IF(VLOOKUP(DATE($K$1,$K$2,CAD$4),Table1[],(MATCH(Calendar!$A18,DB!$1:$1,0)),FALSE)&gt;=5,"Good","Bad"),VLOOKUP(DATE($K$1,$K$2,CAD$4),Table1[],(MATCH(Calendar!$A18,DB!$1:$1,0)),FALSE)),"")</f>
        <v/>
      </c>
      <c r="CAE18" s="28" t="str">
        <f>IFERROR(IF(CAN3="No",IF(VLOOKUP(DATE($K$1,$K$2,CAE$4),Table1[],(MATCH(Calendar!$A18,DB!$1:$1,0)),FALSE)&gt;=5,"Good","Bad"),VLOOKUP(DATE($K$1,$K$2,CAE$4),Table1[],(MATCH(Calendar!$A18,DB!$1:$1,0)),FALSE)),"")</f>
        <v/>
      </c>
      <c r="CAF18" s="28" t="str">
        <f>IFERROR(IF(CAO3="No",IF(VLOOKUP(DATE($K$1,$K$2,CAF$4),Table1[],(MATCH(Calendar!$A18,DB!$1:$1,0)),FALSE)&gt;=5,"Good","Bad"),VLOOKUP(DATE($K$1,$K$2,CAF$4),Table1[],(MATCH(Calendar!$A18,DB!$1:$1,0)),FALSE)),"")</f>
        <v/>
      </c>
      <c r="CAG18" s="28" t="str">
        <f>IFERROR(IF(CAP3="No",IF(VLOOKUP(DATE($K$1,$K$2,CAG$4),Table1[],(MATCH(Calendar!$A18,DB!$1:$1,0)),FALSE)&gt;=5,"Good","Bad"),VLOOKUP(DATE($K$1,$K$2,CAG$4),Table1[],(MATCH(Calendar!$A18,DB!$1:$1,0)),FALSE)),"")</f>
        <v/>
      </c>
      <c r="CAH18" s="28" t="str">
        <f>IFERROR(IF(CAQ3="No",IF(VLOOKUP(DATE($K$1,$K$2,CAH$4),Table1[],(MATCH(Calendar!$A18,DB!$1:$1,0)),FALSE)&gt;=5,"Good","Bad"),VLOOKUP(DATE($K$1,$K$2,CAH$4),Table1[],(MATCH(Calendar!$A18,DB!$1:$1,0)),FALSE)),"")</f>
        <v/>
      </c>
      <c r="CAI18" s="28" t="str">
        <f>IFERROR(IF(CAR3="No",IF(VLOOKUP(DATE($K$1,$K$2,CAI$4),Table1[],(MATCH(Calendar!$A18,DB!$1:$1,0)),FALSE)&gt;=5,"Good","Bad"),VLOOKUP(DATE($K$1,$K$2,CAI$4),Table1[],(MATCH(Calendar!$A18,DB!$1:$1,0)),FALSE)),"")</f>
        <v/>
      </c>
      <c r="CAJ18" s="28" t="str">
        <f>IFERROR(IF(CAS3="No",IF(VLOOKUP(DATE($K$1,$K$2,CAJ$4),Table1[],(MATCH(Calendar!$A18,DB!$1:$1,0)),FALSE)&gt;=5,"Good","Bad"),VLOOKUP(DATE($K$1,$K$2,CAJ$4),Table1[],(MATCH(Calendar!$A18,DB!$1:$1,0)),FALSE)),"")</f>
        <v/>
      </c>
      <c r="CAK18" s="28" t="str">
        <f>IFERROR(IF(CAT3="No",IF(VLOOKUP(DATE($K$1,$K$2,CAK$4),Table1[],(MATCH(Calendar!$A18,DB!$1:$1,0)),FALSE)&gt;=5,"Good","Bad"),VLOOKUP(DATE($K$1,$K$2,CAK$4),Table1[],(MATCH(Calendar!$A18,DB!$1:$1,0)),FALSE)),"")</f>
        <v/>
      </c>
      <c r="CAL18" s="28" t="str">
        <f>IFERROR(IF(CAU3="No",IF(VLOOKUP(DATE($K$1,$K$2,CAL$4),Table1[],(MATCH(Calendar!$A18,DB!$1:$1,0)),FALSE)&gt;=5,"Good","Bad"),VLOOKUP(DATE($K$1,$K$2,CAL$4),Table1[],(MATCH(Calendar!$A18,DB!$1:$1,0)),FALSE)),"")</f>
        <v/>
      </c>
      <c r="CAM18" s="28" t="str">
        <f>IFERROR(IF(CAV3="No",IF(VLOOKUP(DATE($K$1,$K$2,CAM$4),Table1[],(MATCH(Calendar!$A18,DB!$1:$1,0)),FALSE)&gt;=5,"Good","Bad"),VLOOKUP(DATE($K$1,$K$2,CAM$4),Table1[],(MATCH(Calendar!$A18,DB!$1:$1,0)),FALSE)),"")</f>
        <v/>
      </c>
      <c r="CAN18" s="28" t="str">
        <f>IFERROR(IF(CAW3="No",IF(VLOOKUP(DATE($K$1,$K$2,CAN$4),Table1[],(MATCH(Calendar!$A18,DB!$1:$1,0)),FALSE)&gt;=5,"Good","Bad"),VLOOKUP(DATE($K$1,$K$2,CAN$4),Table1[],(MATCH(Calendar!$A18,DB!$1:$1,0)),FALSE)),"")</f>
        <v/>
      </c>
      <c r="CAO18" s="28" t="str">
        <f>IFERROR(IF(CAX3="No",IF(VLOOKUP(DATE($K$1,$K$2,CAO$4),Table1[],(MATCH(Calendar!$A18,DB!$1:$1,0)),FALSE)&gt;=5,"Good","Bad"),VLOOKUP(DATE($K$1,$K$2,CAO$4),Table1[],(MATCH(Calendar!$A18,DB!$1:$1,0)),FALSE)),"")</f>
        <v/>
      </c>
      <c r="CAP18" s="28" t="str">
        <f>IFERROR(IF(CAY3="No",IF(VLOOKUP(DATE($K$1,$K$2,CAP$4),Table1[],(MATCH(Calendar!$A18,DB!$1:$1,0)),FALSE)&gt;=5,"Good","Bad"),VLOOKUP(DATE($K$1,$K$2,CAP$4),Table1[],(MATCH(Calendar!$A18,DB!$1:$1,0)),FALSE)),"")</f>
        <v/>
      </c>
      <c r="CAQ18" s="28" t="str">
        <f>IFERROR(IF(CAZ3="No",IF(VLOOKUP(DATE($K$1,$K$2,CAQ$4),Table1[],(MATCH(Calendar!$A18,DB!$1:$1,0)),FALSE)&gt;=5,"Good","Bad"),VLOOKUP(DATE($K$1,$K$2,CAQ$4),Table1[],(MATCH(Calendar!$A18,DB!$1:$1,0)),FALSE)),"")</f>
        <v/>
      </c>
      <c r="CAR18" s="28" t="str">
        <f>IFERROR(IF(CBA3="No",IF(VLOOKUP(DATE($K$1,$K$2,CAR$4),Table1[],(MATCH(Calendar!$A18,DB!$1:$1,0)),FALSE)&gt;=5,"Good","Bad"),VLOOKUP(DATE($K$1,$K$2,CAR$4),Table1[],(MATCH(Calendar!$A18,DB!$1:$1,0)),FALSE)),"")</f>
        <v/>
      </c>
      <c r="CAS18" s="28" t="str">
        <f>IFERROR(IF(CBB3="No",IF(VLOOKUP(DATE($K$1,$K$2,CAS$4),Table1[],(MATCH(Calendar!$A18,DB!$1:$1,0)),FALSE)&gt;=5,"Good","Bad"),VLOOKUP(DATE($K$1,$K$2,CAS$4),Table1[],(MATCH(Calendar!$A18,DB!$1:$1,0)),FALSE)),"")</f>
        <v/>
      </c>
      <c r="CAT18" s="28" t="str">
        <f>IFERROR(IF(CBC3="No",IF(VLOOKUP(DATE($K$1,$K$2,CAT$4),Table1[],(MATCH(Calendar!$A18,DB!$1:$1,0)),FALSE)&gt;=5,"Good","Bad"),VLOOKUP(DATE($K$1,$K$2,CAT$4),Table1[],(MATCH(Calendar!$A18,DB!$1:$1,0)),FALSE)),"")</f>
        <v/>
      </c>
      <c r="CAU18" s="28" t="str">
        <f>IFERROR(IF(CBD3="No",IF(VLOOKUP(DATE($K$1,$K$2,CAU$4),Table1[],(MATCH(Calendar!$A18,DB!$1:$1,0)),FALSE)&gt;=5,"Good","Bad"),VLOOKUP(DATE($K$1,$K$2,CAU$4),Table1[],(MATCH(Calendar!$A18,DB!$1:$1,0)),FALSE)),"")</f>
        <v/>
      </c>
      <c r="CAV18" s="28" t="str">
        <f>IFERROR(IF(CBE3="No",IF(VLOOKUP(DATE($K$1,$K$2,CAV$4),Table1[],(MATCH(Calendar!$A18,DB!$1:$1,0)),FALSE)&gt;=5,"Good","Bad"),VLOOKUP(DATE($K$1,$K$2,CAV$4),Table1[],(MATCH(Calendar!$A18,DB!$1:$1,0)),FALSE)),"")</f>
        <v/>
      </c>
      <c r="CAW18" s="28" t="str">
        <f>IFERROR(IF(CBF3="No",IF(VLOOKUP(DATE($K$1,$K$2,CAW$4),Table1[],(MATCH(Calendar!$A18,DB!$1:$1,0)),FALSE)&gt;=5,"Good","Bad"),VLOOKUP(DATE($K$1,$K$2,CAW$4),Table1[],(MATCH(Calendar!$A18,DB!$1:$1,0)),FALSE)),"")</f>
        <v/>
      </c>
      <c r="CAX18" s="28" t="str">
        <f>IFERROR(IF(CBG3="No",IF(VLOOKUP(DATE($K$1,$K$2,CAX$4),Table1[],(MATCH(Calendar!$A18,DB!$1:$1,0)),FALSE)&gt;=5,"Good","Bad"),VLOOKUP(DATE($K$1,$K$2,CAX$4),Table1[],(MATCH(Calendar!$A18,DB!$1:$1,0)),FALSE)),"")</f>
        <v/>
      </c>
      <c r="CAY18" s="28" t="str">
        <f>IFERROR(IF(CBH3="No",IF(VLOOKUP(DATE($K$1,$K$2,CAY$4),Table1[],(MATCH(Calendar!$A18,DB!$1:$1,0)),FALSE)&gt;=5,"Good","Bad"),VLOOKUP(DATE($K$1,$K$2,CAY$4),Table1[],(MATCH(Calendar!$A18,DB!$1:$1,0)),FALSE)),"")</f>
        <v/>
      </c>
      <c r="CAZ18" s="28" t="str">
        <f>IFERROR(IF(CBI3="No",IF(VLOOKUP(DATE($K$1,$K$2,CAZ$4),Table1[],(MATCH(Calendar!$A18,DB!$1:$1,0)),FALSE)&gt;=5,"Good","Bad"),VLOOKUP(DATE($K$1,$K$2,CAZ$4),Table1[],(MATCH(Calendar!$A18,DB!$1:$1,0)),FALSE)),"")</f>
        <v/>
      </c>
      <c r="CBA18" s="28" t="str">
        <f>IFERROR(IF(CBJ3="No",IF(VLOOKUP(DATE($K$1,$K$2,CBA$4),Table1[],(MATCH(Calendar!$A18,DB!$1:$1,0)),FALSE)&gt;=5,"Good","Bad"),VLOOKUP(DATE($K$1,$K$2,CBA$4),Table1[],(MATCH(Calendar!$A18,DB!$1:$1,0)),FALSE)),"")</f>
        <v/>
      </c>
      <c r="CBB18" s="28" t="str">
        <f>IFERROR(IF(CBK3="No",IF(VLOOKUP(DATE($K$1,$K$2,CBB$4),Table1[],(MATCH(Calendar!$A18,DB!$1:$1,0)),FALSE)&gt;=5,"Good","Bad"),VLOOKUP(DATE($K$1,$K$2,CBB$4),Table1[],(MATCH(Calendar!$A18,DB!$1:$1,0)),FALSE)),"")</f>
        <v/>
      </c>
      <c r="CBC18" s="28" t="str">
        <f>IFERROR(IF(CBL3="No",IF(VLOOKUP(DATE($K$1,$K$2,CBC$4),Table1[],(MATCH(Calendar!$A18,DB!$1:$1,0)),FALSE)&gt;=5,"Good","Bad"),VLOOKUP(DATE($K$1,$K$2,CBC$4),Table1[],(MATCH(Calendar!$A18,DB!$1:$1,0)),FALSE)),"")</f>
        <v/>
      </c>
      <c r="CBD18" s="28" t="str">
        <f>IFERROR(IF(CBM3="No",IF(VLOOKUP(DATE($K$1,$K$2,CBD$4),Table1[],(MATCH(Calendar!$A18,DB!$1:$1,0)),FALSE)&gt;=5,"Good","Bad"),VLOOKUP(DATE($K$1,$K$2,CBD$4),Table1[],(MATCH(Calendar!$A18,DB!$1:$1,0)),FALSE)),"")</f>
        <v/>
      </c>
      <c r="CBE18" s="28" t="str">
        <f>IFERROR(IF(CBN3="No",IF(VLOOKUP(DATE($K$1,$K$2,CBE$4),Table1[],(MATCH(Calendar!$A18,DB!$1:$1,0)),FALSE)&gt;=5,"Good","Bad"),VLOOKUP(DATE($K$1,$K$2,CBE$4),Table1[],(MATCH(Calendar!$A18,DB!$1:$1,0)),FALSE)),"")</f>
        <v/>
      </c>
      <c r="CBF18" s="28" t="str">
        <f>IFERROR(IF(CBO3="No",IF(VLOOKUP(DATE($K$1,$K$2,CBF$4),Table1[],(MATCH(Calendar!$A18,DB!$1:$1,0)),FALSE)&gt;=5,"Good","Bad"),VLOOKUP(DATE($K$1,$K$2,CBF$4),Table1[],(MATCH(Calendar!$A18,DB!$1:$1,0)),FALSE)),"")</f>
        <v/>
      </c>
      <c r="CBG18" s="28" t="str">
        <f>IFERROR(IF(CBP3="No",IF(VLOOKUP(DATE($K$1,$K$2,CBG$4),Table1[],(MATCH(Calendar!$A18,DB!$1:$1,0)),FALSE)&gt;=5,"Good","Bad"),VLOOKUP(DATE($K$1,$K$2,CBG$4),Table1[],(MATCH(Calendar!$A18,DB!$1:$1,0)),FALSE)),"")</f>
        <v/>
      </c>
      <c r="CBH18" s="28" t="str">
        <f>IFERROR(IF(CBQ3="No",IF(VLOOKUP(DATE($K$1,$K$2,CBH$4),Table1[],(MATCH(Calendar!$A18,DB!$1:$1,0)),FALSE)&gt;=5,"Good","Bad"),VLOOKUP(DATE($K$1,$K$2,CBH$4),Table1[],(MATCH(Calendar!$A18,DB!$1:$1,0)),FALSE)),"")</f>
        <v/>
      </c>
      <c r="CBI18" s="28" t="str">
        <f>IFERROR(IF(CBR3="No",IF(VLOOKUP(DATE($K$1,$K$2,CBI$4),Table1[],(MATCH(Calendar!$A18,DB!$1:$1,0)),FALSE)&gt;=5,"Good","Bad"),VLOOKUP(DATE($K$1,$K$2,CBI$4),Table1[],(MATCH(Calendar!$A18,DB!$1:$1,0)),FALSE)),"")</f>
        <v/>
      </c>
      <c r="CBJ18" s="28" t="str">
        <f>IFERROR(IF(CBS3="No",IF(VLOOKUP(DATE($K$1,$K$2,CBJ$4),Table1[],(MATCH(Calendar!$A18,DB!$1:$1,0)),FALSE)&gt;=5,"Good","Bad"),VLOOKUP(DATE($K$1,$K$2,CBJ$4),Table1[],(MATCH(Calendar!$A18,DB!$1:$1,0)),FALSE)),"")</f>
        <v/>
      </c>
      <c r="CBK18" s="28" t="str">
        <f>IFERROR(IF(CBT3="No",IF(VLOOKUP(DATE($K$1,$K$2,CBK$4),Table1[],(MATCH(Calendar!$A18,DB!$1:$1,0)),FALSE)&gt;=5,"Good","Bad"),VLOOKUP(DATE($K$1,$K$2,CBK$4),Table1[],(MATCH(Calendar!$A18,DB!$1:$1,0)),FALSE)),"")</f>
        <v/>
      </c>
      <c r="CBL18" s="28" t="str">
        <f>IFERROR(IF(CBU3="No",IF(VLOOKUP(DATE($K$1,$K$2,CBL$4),Table1[],(MATCH(Calendar!$A18,DB!$1:$1,0)),FALSE)&gt;=5,"Good","Bad"),VLOOKUP(DATE($K$1,$K$2,CBL$4),Table1[],(MATCH(Calendar!$A18,DB!$1:$1,0)),FALSE)),"")</f>
        <v/>
      </c>
      <c r="CBM18" s="28" t="str">
        <f>IFERROR(IF(CBV3="No",IF(VLOOKUP(DATE($K$1,$K$2,CBM$4),Table1[],(MATCH(Calendar!$A18,DB!$1:$1,0)),FALSE)&gt;=5,"Good","Bad"),VLOOKUP(DATE($K$1,$K$2,CBM$4),Table1[],(MATCH(Calendar!$A18,DB!$1:$1,0)),FALSE)),"")</f>
        <v/>
      </c>
      <c r="CBN18" s="28" t="str">
        <f>IFERROR(IF(CBW3="No",IF(VLOOKUP(DATE($K$1,$K$2,CBN$4),Table1[],(MATCH(Calendar!$A18,DB!$1:$1,0)),FALSE)&gt;=5,"Good","Bad"),VLOOKUP(DATE($K$1,$K$2,CBN$4),Table1[],(MATCH(Calendar!$A18,DB!$1:$1,0)),FALSE)),"")</f>
        <v/>
      </c>
      <c r="CBO18" s="28" t="str">
        <f>IFERROR(IF(CBX3="No",IF(VLOOKUP(DATE($K$1,$K$2,CBO$4),Table1[],(MATCH(Calendar!$A18,DB!$1:$1,0)),FALSE)&gt;=5,"Good","Bad"),VLOOKUP(DATE($K$1,$K$2,CBO$4),Table1[],(MATCH(Calendar!$A18,DB!$1:$1,0)),FALSE)),"")</f>
        <v/>
      </c>
      <c r="CBP18" s="28" t="str">
        <f>IFERROR(IF(CBY3="No",IF(VLOOKUP(DATE($K$1,$K$2,CBP$4),Table1[],(MATCH(Calendar!$A18,DB!$1:$1,0)),FALSE)&gt;=5,"Good","Bad"),VLOOKUP(DATE($K$1,$K$2,CBP$4),Table1[],(MATCH(Calendar!$A18,DB!$1:$1,0)),FALSE)),"")</f>
        <v/>
      </c>
      <c r="CBQ18" s="28" t="str">
        <f>IFERROR(IF(CBZ3="No",IF(VLOOKUP(DATE($K$1,$K$2,CBQ$4),Table1[],(MATCH(Calendar!$A18,DB!$1:$1,0)),FALSE)&gt;=5,"Good","Bad"),VLOOKUP(DATE($K$1,$K$2,CBQ$4),Table1[],(MATCH(Calendar!$A18,DB!$1:$1,0)),FALSE)),"")</f>
        <v/>
      </c>
      <c r="CBR18" s="28" t="str">
        <f>IFERROR(IF(CCA3="No",IF(VLOOKUP(DATE($K$1,$K$2,CBR$4),Table1[],(MATCH(Calendar!$A18,DB!$1:$1,0)),FALSE)&gt;=5,"Good","Bad"),VLOOKUP(DATE($K$1,$K$2,CBR$4),Table1[],(MATCH(Calendar!$A18,DB!$1:$1,0)),FALSE)),"")</f>
        <v/>
      </c>
      <c r="CBS18" s="28" t="str">
        <f>IFERROR(IF(CCB3="No",IF(VLOOKUP(DATE($K$1,$K$2,CBS$4),Table1[],(MATCH(Calendar!$A18,DB!$1:$1,0)),FALSE)&gt;=5,"Good","Bad"),VLOOKUP(DATE($K$1,$K$2,CBS$4),Table1[],(MATCH(Calendar!$A18,DB!$1:$1,0)),FALSE)),"")</f>
        <v/>
      </c>
      <c r="CBT18" s="28" t="str">
        <f>IFERROR(IF(CCC3="No",IF(VLOOKUP(DATE($K$1,$K$2,CBT$4),Table1[],(MATCH(Calendar!$A18,DB!$1:$1,0)),FALSE)&gt;=5,"Good","Bad"),VLOOKUP(DATE($K$1,$K$2,CBT$4),Table1[],(MATCH(Calendar!$A18,DB!$1:$1,0)),FALSE)),"")</f>
        <v/>
      </c>
      <c r="CBU18" s="28" t="str">
        <f>IFERROR(IF(CCD3="No",IF(VLOOKUP(DATE($K$1,$K$2,CBU$4),Table1[],(MATCH(Calendar!$A18,DB!$1:$1,0)),FALSE)&gt;=5,"Good","Bad"),VLOOKUP(DATE($K$1,$K$2,CBU$4),Table1[],(MATCH(Calendar!$A18,DB!$1:$1,0)),FALSE)),"")</f>
        <v/>
      </c>
      <c r="CBV18" s="28" t="str">
        <f>IFERROR(IF(CCE3="No",IF(VLOOKUP(DATE($K$1,$K$2,CBV$4),Table1[],(MATCH(Calendar!$A18,DB!$1:$1,0)),FALSE)&gt;=5,"Good","Bad"),VLOOKUP(DATE($K$1,$K$2,CBV$4),Table1[],(MATCH(Calendar!$A18,DB!$1:$1,0)),FALSE)),"")</f>
        <v/>
      </c>
      <c r="CBW18" s="28" t="str">
        <f>IFERROR(IF(CCF3="No",IF(VLOOKUP(DATE($K$1,$K$2,CBW$4),Table1[],(MATCH(Calendar!$A18,DB!$1:$1,0)),FALSE)&gt;=5,"Good","Bad"),VLOOKUP(DATE($K$1,$K$2,CBW$4),Table1[],(MATCH(Calendar!$A18,DB!$1:$1,0)),FALSE)),"")</f>
        <v/>
      </c>
      <c r="CBX18" s="28" t="str">
        <f>IFERROR(IF(CCG3="No",IF(VLOOKUP(DATE($K$1,$K$2,CBX$4),Table1[],(MATCH(Calendar!$A18,DB!$1:$1,0)),FALSE)&gt;=5,"Good","Bad"),VLOOKUP(DATE($K$1,$K$2,CBX$4),Table1[],(MATCH(Calendar!$A18,DB!$1:$1,0)),FALSE)),"")</f>
        <v/>
      </c>
      <c r="CBY18" s="28" t="str">
        <f>IFERROR(IF(CCH3="No",IF(VLOOKUP(DATE($K$1,$K$2,CBY$4),Table1[],(MATCH(Calendar!$A18,DB!$1:$1,0)),FALSE)&gt;=5,"Good","Bad"),VLOOKUP(DATE($K$1,$K$2,CBY$4),Table1[],(MATCH(Calendar!$A18,DB!$1:$1,0)),FALSE)),"")</f>
        <v/>
      </c>
      <c r="CBZ18" s="28" t="str">
        <f>IFERROR(IF(CCI3="No",IF(VLOOKUP(DATE($K$1,$K$2,CBZ$4),Table1[],(MATCH(Calendar!$A18,DB!$1:$1,0)),FALSE)&gt;=5,"Good","Bad"),VLOOKUP(DATE($K$1,$K$2,CBZ$4),Table1[],(MATCH(Calendar!$A18,DB!$1:$1,0)),FALSE)),"")</f>
        <v/>
      </c>
      <c r="CCA18" s="28" t="str">
        <f>IFERROR(IF(CCJ3="No",IF(VLOOKUP(DATE($K$1,$K$2,CCA$4),Table1[],(MATCH(Calendar!$A18,DB!$1:$1,0)),FALSE)&gt;=5,"Good","Bad"),VLOOKUP(DATE($K$1,$K$2,CCA$4),Table1[],(MATCH(Calendar!$A18,DB!$1:$1,0)),FALSE)),"")</f>
        <v/>
      </c>
      <c r="CCB18" s="28" t="str">
        <f>IFERROR(IF(CCK3="No",IF(VLOOKUP(DATE($K$1,$K$2,CCB$4),Table1[],(MATCH(Calendar!$A18,DB!$1:$1,0)),FALSE)&gt;=5,"Good","Bad"),VLOOKUP(DATE($K$1,$K$2,CCB$4),Table1[],(MATCH(Calendar!$A18,DB!$1:$1,0)),FALSE)),"")</f>
        <v/>
      </c>
      <c r="CCC18" s="28" t="str">
        <f>IFERROR(IF(CCL3="No",IF(VLOOKUP(DATE($K$1,$K$2,CCC$4),Table1[],(MATCH(Calendar!$A18,DB!$1:$1,0)),FALSE)&gt;=5,"Good","Bad"),VLOOKUP(DATE($K$1,$K$2,CCC$4),Table1[],(MATCH(Calendar!$A18,DB!$1:$1,0)),FALSE)),"")</f>
        <v/>
      </c>
      <c r="CCD18" s="28" t="str">
        <f>IFERROR(IF(CCM3="No",IF(VLOOKUP(DATE($K$1,$K$2,CCD$4),Table1[],(MATCH(Calendar!$A18,DB!$1:$1,0)),FALSE)&gt;=5,"Good","Bad"),VLOOKUP(DATE($K$1,$K$2,CCD$4),Table1[],(MATCH(Calendar!$A18,DB!$1:$1,0)),FALSE)),"")</f>
        <v/>
      </c>
      <c r="CCE18" s="28" t="str">
        <f>IFERROR(IF(CCN3="No",IF(VLOOKUP(DATE($K$1,$K$2,CCE$4),Table1[],(MATCH(Calendar!$A18,DB!$1:$1,0)),FALSE)&gt;=5,"Good","Bad"),VLOOKUP(DATE($K$1,$K$2,CCE$4),Table1[],(MATCH(Calendar!$A18,DB!$1:$1,0)),FALSE)),"")</f>
        <v/>
      </c>
      <c r="CCF18" s="28" t="str">
        <f>IFERROR(IF(CCO3="No",IF(VLOOKUP(DATE($K$1,$K$2,CCF$4),Table1[],(MATCH(Calendar!$A18,DB!$1:$1,0)),FALSE)&gt;=5,"Good","Bad"),VLOOKUP(DATE($K$1,$K$2,CCF$4),Table1[],(MATCH(Calendar!$A18,DB!$1:$1,0)),FALSE)),"")</f>
        <v/>
      </c>
      <c r="CCG18" s="28" t="str">
        <f>IFERROR(IF(CCP3="No",IF(VLOOKUP(DATE($K$1,$K$2,CCG$4),Table1[],(MATCH(Calendar!$A18,DB!$1:$1,0)),FALSE)&gt;=5,"Good","Bad"),VLOOKUP(DATE($K$1,$K$2,CCG$4),Table1[],(MATCH(Calendar!$A18,DB!$1:$1,0)),FALSE)),"")</f>
        <v/>
      </c>
      <c r="CCH18" s="28" t="str">
        <f>IFERROR(IF(CCQ3="No",IF(VLOOKUP(DATE($K$1,$K$2,CCH$4),Table1[],(MATCH(Calendar!$A18,DB!$1:$1,0)),FALSE)&gt;=5,"Good","Bad"),VLOOKUP(DATE($K$1,$K$2,CCH$4),Table1[],(MATCH(Calendar!$A18,DB!$1:$1,0)),FALSE)),"")</f>
        <v/>
      </c>
      <c r="CCI18" s="28" t="str">
        <f>IFERROR(IF(CCR3="No",IF(VLOOKUP(DATE($K$1,$K$2,CCI$4),Table1[],(MATCH(Calendar!$A18,DB!$1:$1,0)),FALSE)&gt;=5,"Good","Bad"),VLOOKUP(DATE($K$1,$K$2,CCI$4),Table1[],(MATCH(Calendar!$A18,DB!$1:$1,0)),FALSE)),"")</f>
        <v/>
      </c>
      <c r="CCJ18" s="28" t="str">
        <f>IFERROR(IF(CCS3="No",IF(VLOOKUP(DATE($K$1,$K$2,CCJ$4),Table1[],(MATCH(Calendar!$A18,DB!$1:$1,0)),FALSE)&gt;=5,"Good","Bad"),VLOOKUP(DATE($K$1,$K$2,CCJ$4),Table1[],(MATCH(Calendar!$A18,DB!$1:$1,0)),FALSE)),"")</f>
        <v/>
      </c>
      <c r="CCK18" s="28" t="str">
        <f>IFERROR(IF(CCT3="No",IF(VLOOKUP(DATE($K$1,$K$2,CCK$4),Table1[],(MATCH(Calendar!$A18,DB!$1:$1,0)),FALSE)&gt;=5,"Good","Bad"),VLOOKUP(DATE($K$1,$K$2,CCK$4),Table1[],(MATCH(Calendar!$A18,DB!$1:$1,0)),FALSE)),"")</f>
        <v/>
      </c>
      <c r="CCL18" s="28" t="str">
        <f>IFERROR(IF(CCU3="No",IF(VLOOKUP(DATE($K$1,$K$2,CCL$4),Table1[],(MATCH(Calendar!$A18,DB!$1:$1,0)),FALSE)&gt;=5,"Good","Bad"),VLOOKUP(DATE($K$1,$K$2,CCL$4),Table1[],(MATCH(Calendar!$A18,DB!$1:$1,0)),FALSE)),"")</f>
        <v/>
      </c>
      <c r="CCM18" s="28" t="str">
        <f>IFERROR(IF(CCV3="No",IF(VLOOKUP(DATE($K$1,$K$2,CCM$4),Table1[],(MATCH(Calendar!$A18,DB!$1:$1,0)),FALSE)&gt;=5,"Good","Bad"),VLOOKUP(DATE($K$1,$K$2,CCM$4),Table1[],(MATCH(Calendar!$A18,DB!$1:$1,0)),FALSE)),"")</f>
        <v/>
      </c>
      <c r="CCN18" s="28" t="str">
        <f>IFERROR(IF(CCW3="No",IF(VLOOKUP(DATE($K$1,$K$2,CCN$4),Table1[],(MATCH(Calendar!$A18,DB!$1:$1,0)),FALSE)&gt;=5,"Good","Bad"),VLOOKUP(DATE($K$1,$K$2,CCN$4),Table1[],(MATCH(Calendar!$A18,DB!$1:$1,0)),FALSE)),"")</f>
        <v/>
      </c>
      <c r="CCO18" s="28" t="str">
        <f>IFERROR(IF(CCX3="No",IF(VLOOKUP(DATE($K$1,$K$2,CCO$4),Table1[],(MATCH(Calendar!$A18,DB!$1:$1,0)),FALSE)&gt;=5,"Good","Bad"),VLOOKUP(DATE($K$1,$K$2,CCO$4),Table1[],(MATCH(Calendar!$A18,DB!$1:$1,0)),FALSE)),"")</f>
        <v/>
      </c>
      <c r="CCP18" s="28" t="str">
        <f>IFERROR(IF(CCY3="No",IF(VLOOKUP(DATE($K$1,$K$2,CCP$4),Table1[],(MATCH(Calendar!$A18,DB!$1:$1,0)),FALSE)&gt;=5,"Good","Bad"),VLOOKUP(DATE($K$1,$K$2,CCP$4),Table1[],(MATCH(Calendar!$A18,DB!$1:$1,0)),FALSE)),"")</f>
        <v/>
      </c>
      <c r="CCQ18" s="28" t="str">
        <f>IFERROR(IF(CCZ3="No",IF(VLOOKUP(DATE($K$1,$K$2,CCQ$4),Table1[],(MATCH(Calendar!$A18,DB!$1:$1,0)),FALSE)&gt;=5,"Good","Bad"),VLOOKUP(DATE($K$1,$K$2,CCQ$4),Table1[],(MATCH(Calendar!$A18,DB!$1:$1,0)),FALSE)),"")</f>
        <v/>
      </c>
      <c r="CCR18" s="28" t="str">
        <f>IFERROR(IF(CDA3="No",IF(VLOOKUP(DATE($K$1,$K$2,CCR$4),Table1[],(MATCH(Calendar!$A18,DB!$1:$1,0)),FALSE)&gt;=5,"Good","Bad"),VLOOKUP(DATE($K$1,$K$2,CCR$4),Table1[],(MATCH(Calendar!$A18,DB!$1:$1,0)),FALSE)),"")</f>
        <v/>
      </c>
      <c r="CCS18" s="28" t="str">
        <f>IFERROR(IF(CDB3="No",IF(VLOOKUP(DATE($K$1,$K$2,CCS$4),Table1[],(MATCH(Calendar!$A18,DB!$1:$1,0)),FALSE)&gt;=5,"Good","Bad"),VLOOKUP(DATE($K$1,$K$2,CCS$4),Table1[],(MATCH(Calendar!$A18,DB!$1:$1,0)),FALSE)),"")</f>
        <v/>
      </c>
      <c r="CCT18" s="28" t="str">
        <f>IFERROR(IF(CDC3="No",IF(VLOOKUP(DATE($K$1,$K$2,CCT$4),Table1[],(MATCH(Calendar!$A18,DB!$1:$1,0)),FALSE)&gt;=5,"Good","Bad"),VLOOKUP(DATE($K$1,$K$2,CCT$4),Table1[],(MATCH(Calendar!$A18,DB!$1:$1,0)),FALSE)),"")</f>
        <v/>
      </c>
      <c r="CCU18" s="28" t="str">
        <f>IFERROR(IF(CDD3="No",IF(VLOOKUP(DATE($K$1,$K$2,CCU$4),Table1[],(MATCH(Calendar!$A18,DB!$1:$1,0)),FALSE)&gt;=5,"Good","Bad"),VLOOKUP(DATE($K$1,$K$2,CCU$4),Table1[],(MATCH(Calendar!$A18,DB!$1:$1,0)),FALSE)),"")</f>
        <v/>
      </c>
      <c r="CCV18" s="28" t="str">
        <f>IFERROR(IF(CDE3="No",IF(VLOOKUP(DATE($K$1,$K$2,CCV$4),Table1[],(MATCH(Calendar!$A18,DB!$1:$1,0)),FALSE)&gt;=5,"Good","Bad"),VLOOKUP(DATE($K$1,$K$2,CCV$4),Table1[],(MATCH(Calendar!$A18,DB!$1:$1,0)),FALSE)),"")</f>
        <v/>
      </c>
      <c r="CCW18" s="28" t="str">
        <f>IFERROR(IF(CDF3="No",IF(VLOOKUP(DATE($K$1,$K$2,CCW$4),Table1[],(MATCH(Calendar!$A18,DB!$1:$1,0)),FALSE)&gt;=5,"Good","Bad"),VLOOKUP(DATE($K$1,$K$2,CCW$4),Table1[],(MATCH(Calendar!$A18,DB!$1:$1,0)),FALSE)),"")</f>
        <v/>
      </c>
      <c r="CCX18" s="28" t="str">
        <f>IFERROR(IF(CDG3="No",IF(VLOOKUP(DATE($K$1,$K$2,CCX$4),Table1[],(MATCH(Calendar!$A18,DB!$1:$1,0)),FALSE)&gt;=5,"Good","Bad"),VLOOKUP(DATE($K$1,$K$2,CCX$4),Table1[],(MATCH(Calendar!$A18,DB!$1:$1,0)),FALSE)),"")</f>
        <v/>
      </c>
      <c r="CCY18" s="28" t="str">
        <f>IFERROR(IF(CDH3="No",IF(VLOOKUP(DATE($K$1,$K$2,CCY$4),Table1[],(MATCH(Calendar!$A18,DB!$1:$1,0)),FALSE)&gt;=5,"Good","Bad"),VLOOKUP(DATE($K$1,$K$2,CCY$4),Table1[],(MATCH(Calendar!$A18,DB!$1:$1,0)),FALSE)),"")</f>
        <v/>
      </c>
      <c r="CCZ18" s="28" t="str">
        <f>IFERROR(IF(CDI3="No",IF(VLOOKUP(DATE($K$1,$K$2,CCZ$4),Table1[],(MATCH(Calendar!$A18,DB!$1:$1,0)),FALSE)&gt;=5,"Good","Bad"),VLOOKUP(DATE($K$1,$K$2,CCZ$4),Table1[],(MATCH(Calendar!$A18,DB!$1:$1,0)),FALSE)),"")</f>
        <v/>
      </c>
      <c r="CDA18" s="28" t="str">
        <f>IFERROR(IF(CDJ3="No",IF(VLOOKUP(DATE($K$1,$K$2,CDA$4),Table1[],(MATCH(Calendar!$A18,DB!$1:$1,0)),FALSE)&gt;=5,"Good","Bad"),VLOOKUP(DATE($K$1,$K$2,CDA$4),Table1[],(MATCH(Calendar!$A18,DB!$1:$1,0)),FALSE)),"")</f>
        <v/>
      </c>
      <c r="CDB18" s="28" t="str">
        <f>IFERROR(IF(CDK3="No",IF(VLOOKUP(DATE($K$1,$K$2,CDB$4),Table1[],(MATCH(Calendar!$A18,DB!$1:$1,0)),FALSE)&gt;=5,"Good","Bad"),VLOOKUP(DATE($K$1,$K$2,CDB$4),Table1[],(MATCH(Calendar!$A18,DB!$1:$1,0)),FALSE)),"")</f>
        <v/>
      </c>
      <c r="CDC18" s="28" t="str">
        <f>IFERROR(IF(CDL3="No",IF(VLOOKUP(DATE($K$1,$K$2,CDC$4),Table1[],(MATCH(Calendar!$A18,DB!$1:$1,0)),FALSE)&gt;=5,"Good","Bad"),VLOOKUP(DATE($K$1,$K$2,CDC$4),Table1[],(MATCH(Calendar!$A18,DB!$1:$1,0)),FALSE)),"")</f>
        <v/>
      </c>
      <c r="CDD18" s="28" t="str">
        <f>IFERROR(IF(CDM3="No",IF(VLOOKUP(DATE($K$1,$K$2,CDD$4),Table1[],(MATCH(Calendar!$A18,DB!$1:$1,0)),FALSE)&gt;=5,"Good","Bad"),VLOOKUP(DATE($K$1,$K$2,CDD$4),Table1[],(MATCH(Calendar!$A18,DB!$1:$1,0)),FALSE)),"")</f>
        <v/>
      </c>
      <c r="CDE18" s="28" t="str">
        <f>IFERROR(IF(CDN3="No",IF(VLOOKUP(DATE($K$1,$K$2,CDE$4),Table1[],(MATCH(Calendar!$A18,DB!$1:$1,0)),FALSE)&gt;=5,"Good","Bad"),VLOOKUP(DATE($K$1,$K$2,CDE$4),Table1[],(MATCH(Calendar!$A18,DB!$1:$1,0)),FALSE)),"")</f>
        <v/>
      </c>
      <c r="CDF18" s="28" t="str">
        <f>IFERROR(IF(CDO3="No",IF(VLOOKUP(DATE($K$1,$K$2,CDF$4),Table1[],(MATCH(Calendar!$A18,DB!$1:$1,0)),FALSE)&gt;=5,"Good","Bad"),VLOOKUP(DATE($K$1,$K$2,CDF$4),Table1[],(MATCH(Calendar!$A18,DB!$1:$1,0)),FALSE)),"")</f>
        <v/>
      </c>
      <c r="CDG18" s="28" t="str">
        <f>IFERROR(IF(CDP3="No",IF(VLOOKUP(DATE($K$1,$K$2,CDG$4),Table1[],(MATCH(Calendar!$A18,DB!$1:$1,0)),FALSE)&gt;=5,"Good","Bad"),VLOOKUP(DATE($K$1,$K$2,CDG$4),Table1[],(MATCH(Calendar!$A18,DB!$1:$1,0)),FALSE)),"")</f>
        <v/>
      </c>
      <c r="CDH18" s="28" t="str">
        <f>IFERROR(IF(CDQ3="No",IF(VLOOKUP(DATE($K$1,$K$2,CDH$4),Table1[],(MATCH(Calendar!$A18,DB!$1:$1,0)),FALSE)&gt;=5,"Good","Bad"),VLOOKUP(DATE($K$1,$K$2,CDH$4),Table1[],(MATCH(Calendar!$A18,DB!$1:$1,0)),FALSE)),"")</f>
        <v/>
      </c>
      <c r="CDI18" s="28" t="str">
        <f>IFERROR(IF(CDR3="No",IF(VLOOKUP(DATE($K$1,$K$2,CDI$4),Table1[],(MATCH(Calendar!$A18,DB!$1:$1,0)),FALSE)&gt;=5,"Good","Bad"),VLOOKUP(DATE($K$1,$K$2,CDI$4),Table1[],(MATCH(Calendar!$A18,DB!$1:$1,0)),FALSE)),"")</f>
        <v/>
      </c>
      <c r="CDJ18" s="28" t="str">
        <f>IFERROR(IF(CDS3="No",IF(VLOOKUP(DATE($K$1,$K$2,CDJ$4),Table1[],(MATCH(Calendar!$A18,DB!$1:$1,0)),FALSE)&gt;=5,"Good","Bad"),VLOOKUP(DATE($K$1,$K$2,CDJ$4),Table1[],(MATCH(Calendar!$A18,DB!$1:$1,0)),FALSE)),"")</f>
        <v/>
      </c>
      <c r="CDK18" s="28" t="str">
        <f>IFERROR(IF(CDT3="No",IF(VLOOKUP(DATE($K$1,$K$2,CDK$4),Table1[],(MATCH(Calendar!$A18,DB!$1:$1,0)),FALSE)&gt;=5,"Good","Bad"),VLOOKUP(DATE($K$1,$K$2,CDK$4),Table1[],(MATCH(Calendar!$A18,DB!$1:$1,0)),FALSE)),"")</f>
        <v/>
      </c>
      <c r="CDL18" s="28" t="str">
        <f>IFERROR(IF(CDU3="No",IF(VLOOKUP(DATE($K$1,$K$2,CDL$4),Table1[],(MATCH(Calendar!$A18,DB!$1:$1,0)),FALSE)&gt;=5,"Good","Bad"),VLOOKUP(DATE($K$1,$K$2,CDL$4),Table1[],(MATCH(Calendar!$A18,DB!$1:$1,0)),FALSE)),"")</f>
        <v/>
      </c>
      <c r="CDM18" s="28" t="str">
        <f>IFERROR(IF(CDV3="No",IF(VLOOKUP(DATE($K$1,$K$2,CDM$4),Table1[],(MATCH(Calendar!$A18,DB!$1:$1,0)),FALSE)&gt;=5,"Good","Bad"),VLOOKUP(DATE($K$1,$K$2,CDM$4),Table1[],(MATCH(Calendar!$A18,DB!$1:$1,0)),FALSE)),"")</f>
        <v/>
      </c>
      <c r="CDN18" s="28" t="str">
        <f>IFERROR(IF(CDW3="No",IF(VLOOKUP(DATE($K$1,$K$2,CDN$4),Table1[],(MATCH(Calendar!$A18,DB!$1:$1,0)),FALSE)&gt;=5,"Good","Bad"),VLOOKUP(DATE($K$1,$K$2,CDN$4),Table1[],(MATCH(Calendar!$A18,DB!$1:$1,0)),FALSE)),"")</f>
        <v/>
      </c>
      <c r="CDO18" s="28" t="str">
        <f>IFERROR(IF(CDX3="No",IF(VLOOKUP(DATE($K$1,$K$2,CDO$4),Table1[],(MATCH(Calendar!$A18,DB!$1:$1,0)),FALSE)&gt;=5,"Good","Bad"),VLOOKUP(DATE($K$1,$K$2,CDO$4),Table1[],(MATCH(Calendar!$A18,DB!$1:$1,0)),FALSE)),"")</f>
        <v/>
      </c>
      <c r="CDP18" s="28" t="str">
        <f>IFERROR(IF(CDY3="No",IF(VLOOKUP(DATE($K$1,$K$2,CDP$4),Table1[],(MATCH(Calendar!$A18,DB!$1:$1,0)),FALSE)&gt;=5,"Good","Bad"),VLOOKUP(DATE($K$1,$K$2,CDP$4),Table1[],(MATCH(Calendar!$A18,DB!$1:$1,0)),FALSE)),"")</f>
        <v/>
      </c>
      <c r="CDQ18" s="28" t="str">
        <f>IFERROR(IF(CDZ3="No",IF(VLOOKUP(DATE($K$1,$K$2,CDQ$4),Table1[],(MATCH(Calendar!$A18,DB!$1:$1,0)),FALSE)&gt;=5,"Good","Bad"),VLOOKUP(DATE($K$1,$K$2,CDQ$4),Table1[],(MATCH(Calendar!$A18,DB!$1:$1,0)),FALSE)),"")</f>
        <v/>
      </c>
      <c r="CDR18" s="28" t="str">
        <f>IFERROR(IF(CEA3="No",IF(VLOOKUP(DATE($K$1,$K$2,CDR$4),Table1[],(MATCH(Calendar!$A18,DB!$1:$1,0)),FALSE)&gt;=5,"Good","Bad"),VLOOKUP(DATE($K$1,$K$2,CDR$4),Table1[],(MATCH(Calendar!$A18,DB!$1:$1,0)),FALSE)),"")</f>
        <v/>
      </c>
      <c r="CDS18" s="28" t="str">
        <f>IFERROR(IF(CEB3="No",IF(VLOOKUP(DATE($K$1,$K$2,CDS$4),Table1[],(MATCH(Calendar!$A18,DB!$1:$1,0)),FALSE)&gt;=5,"Good","Bad"),VLOOKUP(DATE($K$1,$K$2,CDS$4),Table1[],(MATCH(Calendar!$A18,DB!$1:$1,0)),FALSE)),"")</f>
        <v/>
      </c>
      <c r="CDT18" s="28" t="str">
        <f>IFERROR(IF(CEC3="No",IF(VLOOKUP(DATE($K$1,$K$2,CDT$4),Table1[],(MATCH(Calendar!$A18,DB!$1:$1,0)),FALSE)&gt;=5,"Good","Bad"),VLOOKUP(DATE($K$1,$K$2,CDT$4),Table1[],(MATCH(Calendar!$A18,DB!$1:$1,0)),FALSE)),"")</f>
        <v/>
      </c>
      <c r="CDU18" s="28" t="str">
        <f>IFERROR(IF(CED3="No",IF(VLOOKUP(DATE($K$1,$K$2,CDU$4),Table1[],(MATCH(Calendar!$A18,DB!$1:$1,0)),FALSE)&gt;=5,"Good","Bad"),VLOOKUP(DATE($K$1,$K$2,CDU$4),Table1[],(MATCH(Calendar!$A18,DB!$1:$1,0)),FALSE)),"")</f>
        <v/>
      </c>
      <c r="CDV18" s="28" t="str">
        <f>IFERROR(IF(CEE3="No",IF(VLOOKUP(DATE($K$1,$K$2,CDV$4),Table1[],(MATCH(Calendar!$A18,DB!$1:$1,0)),FALSE)&gt;=5,"Good","Bad"),VLOOKUP(DATE($K$1,$K$2,CDV$4),Table1[],(MATCH(Calendar!$A18,DB!$1:$1,0)),FALSE)),"")</f>
        <v/>
      </c>
      <c r="CDW18" s="28" t="str">
        <f>IFERROR(IF(CEF3="No",IF(VLOOKUP(DATE($K$1,$K$2,CDW$4),Table1[],(MATCH(Calendar!$A18,DB!$1:$1,0)),FALSE)&gt;=5,"Good","Bad"),VLOOKUP(DATE($K$1,$K$2,CDW$4),Table1[],(MATCH(Calendar!$A18,DB!$1:$1,0)),FALSE)),"")</f>
        <v/>
      </c>
      <c r="CDX18" s="28" t="str">
        <f>IFERROR(IF(CEG3="No",IF(VLOOKUP(DATE($K$1,$K$2,CDX$4),Table1[],(MATCH(Calendar!$A18,DB!$1:$1,0)),FALSE)&gt;=5,"Good","Bad"),VLOOKUP(DATE($K$1,$K$2,CDX$4),Table1[],(MATCH(Calendar!$A18,DB!$1:$1,0)),FALSE)),"")</f>
        <v/>
      </c>
      <c r="CDY18" s="28" t="str">
        <f>IFERROR(IF(CEH3="No",IF(VLOOKUP(DATE($K$1,$K$2,CDY$4),Table1[],(MATCH(Calendar!$A18,DB!$1:$1,0)),FALSE)&gt;=5,"Good","Bad"),VLOOKUP(DATE($K$1,$K$2,CDY$4),Table1[],(MATCH(Calendar!$A18,DB!$1:$1,0)),FALSE)),"")</f>
        <v/>
      </c>
      <c r="CDZ18" s="28" t="str">
        <f>IFERROR(IF(CEI3="No",IF(VLOOKUP(DATE($K$1,$K$2,CDZ$4),Table1[],(MATCH(Calendar!$A18,DB!$1:$1,0)),FALSE)&gt;=5,"Good","Bad"),VLOOKUP(DATE($K$1,$K$2,CDZ$4),Table1[],(MATCH(Calendar!$A18,DB!$1:$1,0)),FALSE)),"")</f>
        <v/>
      </c>
      <c r="CEA18" s="28" t="str">
        <f>IFERROR(IF(CEJ3="No",IF(VLOOKUP(DATE($K$1,$K$2,CEA$4),Table1[],(MATCH(Calendar!$A18,DB!$1:$1,0)),FALSE)&gt;=5,"Good","Bad"),VLOOKUP(DATE($K$1,$K$2,CEA$4),Table1[],(MATCH(Calendar!$A18,DB!$1:$1,0)),FALSE)),"")</f>
        <v/>
      </c>
      <c r="CEB18" s="28" t="str">
        <f>IFERROR(IF(CEK3="No",IF(VLOOKUP(DATE($K$1,$K$2,CEB$4),Table1[],(MATCH(Calendar!$A18,DB!$1:$1,0)),FALSE)&gt;=5,"Good","Bad"),VLOOKUP(DATE($K$1,$K$2,CEB$4),Table1[],(MATCH(Calendar!$A18,DB!$1:$1,0)),FALSE)),"")</f>
        <v/>
      </c>
      <c r="CEC18" s="28" t="str">
        <f>IFERROR(IF(CEL3="No",IF(VLOOKUP(DATE($K$1,$K$2,CEC$4),Table1[],(MATCH(Calendar!$A18,DB!$1:$1,0)),FALSE)&gt;=5,"Good","Bad"),VLOOKUP(DATE($K$1,$K$2,CEC$4),Table1[],(MATCH(Calendar!$A18,DB!$1:$1,0)),FALSE)),"")</f>
        <v/>
      </c>
      <c r="CED18" s="28" t="str">
        <f>IFERROR(IF(CEM3="No",IF(VLOOKUP(DATE($K$1,$K$2,CED$4),Table1[],(MATCH(Calendar!$A18,DB!$1:$1,0)),FALSE)&gt;=5,"Good","Bad"),VLOOKUP(DATE($K$1,$K$2,CED$4),Table1[],(MATCH(Calendar!$A18,DB!$1:$1,0)),FALSE)),"")</f>
        <v/>
      </c>
      <c r="CEE18" s="28" t="str">
        <f>IFERROR(IF(CEN3="No",IF(VLOOKUP(DATE($K$1,$K$2,CEE$4),Table1[],(MATCH(Calendar!$A18,DB!$1:$1,0)),FALSE)&gt;=5,"Good","Bad"),VLOOKUP(DATE($K$1,$K$2,CEE$4),Table1[],(MATCH(Calendar!$A18,DB!$1:$1,0)),FALSE)),"")</f>
        <v/>
      </c>
      <c r="CEF18" s="28" t="str">
        <f>IFERROR(IF(CEO3="No",IF(VLOOKUP(DATE($K$1,$K$2,CEF$4),Table1[],(MATCH(Calendar!$A18,DB!$1:$1,0)),FALSE)&gt;=5,"Good","Bad"),VLOOKUP(DATE($K$1,$K$2,CEF$4),Table1[],(MATCH(Calendar!$A18,DB!$1:$1,0)),FALSE)),"")</f>
        <v/>
      </c>
      <c r="CEG18" s="28" t="str">
        <f>IFERROR(IF(CEP3="No",IF(VLOOKUP(DATE($K$1,$K$2,CEG$4),Table1[],(MATCH(Calendar!$A18,DB!$1:$1,0)),FALSE)&gt;=5,"Good","Bad"),VLOOKUP(DATE($K$1,$K$2,CEG$4),Table1[],(MATCH(Calendar!$A18,DB!$1:$1,0)),FALSE)),"")</f>
        <v/>
      </c>
      <c r="CEH18" s="28" t="str">
        <f>IFERROR(IF(CEQ3="No",IF(VLOOKUP(DATE($K$1,$K$2,CEH$4),Table1[],(MATCH(Calendar!$A18,DB!$1:$1,0)),FALSE)&gt;=5,"Good","Bad"),VLOOKUP(DATE($K$1,$K$2,CEH$4),Table1[],(MATCH(Calendar!$A18,DB!$1:$1,0)),FALSE)),"")</f>
        <v/>
      </c>
      <c r="CEI18" s="28" t="str">
        <f>IFERROR(IF(CER3="No",IF(VLOOKUP(DATE($K$1,$K$2,CEI$4),Table1[],(MATCH(Calendar!$A18,DB!$1:$1,0)),FALSE)&gt;=5,"Good","Bad"),VLOOKUP(DATE($K$1,$K$2,CEI$4),Table1[],(MATCH(Calendar!$A18,DB!$1:$1,0)),FALSE)),"")</f>
        <v/>
      </c>
      <c r="CEJ18" s="28" t="str">
        <f>IFERROR(IF(CES3="No",IF(VLOOKUP(DATE($K$1,$K$2,CEJ$4),Table1[],(MATCH(Calendar!$A18,DB!$1:$1,0)),FALSE)&gt;=5,"Good","Bad"),VLOOKUP(DATE($K$1,$K$2,CEJ$4),Table1[],(MATCH(Calendar!$A18,DB!$1:$1,0)),FALSE)),"")</f>
        <v/>
      </c>
      <c r="CEK18" s="28" t="str">
        <f>IFERROR(IF(CET3="No",IF(VLOOKUP(DATE($K$1,$K$2,CEK$4),Table1[],(MATCH(Calendar!$A18,DB!$1:$1,0)),FALSE)&gt;=5,"Good","Bad"),VLOOKUP(DATE($K$1,$K$2,CEK$4),Table1[],(MATCH(Calendar!$A18,DB!$1:$1,0)),FALSE)),"")</f>
        <v/>
      </c>
      <c r="CEL18" s="28" t="str">
        <f>IFERROR(IF(CEU3="No",IF(VLOOKUP(DATE($K$1,$K$2,CEL$4),Table1[],(MATCH(Calendar!$A18,DB!$1:$1,0)),FALSE)&gt;=5,"Good","Bad"),VLOOKUP(DATE($K$1,$K$2,CEL$4),Table1[],(MATCH(Calendar!$A18,DB!$1:$1,0)),FALSE)),"")</f>
        <v/>
      </c>
      <c r="CEM18" s="28" t="str">
        <f>IFERROR(IF(CEV3="No",IF(VLOOKUP(DATE($K$1,$K$2,CEM$4),Table1[],(MATCH(Calendar!$A18,DB!$1:$1,0)),FALSE)&gt;=5,"Good","Bad"),VLOOKUP(DATE($K$1,$K$2,CEM$4),Table1[],(MATCH(Calendar!$A18,DB!$1:$1,0)),FALSE)),"")</f>
        <v/>
      </c>
      <c r="CEN18" s="28" t="str">
        <f>IFERROR(IF(CEW3="No",IF(VLOOKUP(DATE($K$1,$K$2,CEN$4),Table1[],(MATCH(Calendar!$A18,DB!$1:$1,0)),FALSE)&gt;=5,"Good","Bad"),VLOOKUP(DATE($K$1,$K$2,CEN$4),Table1[],(MATCH(Calendar!$A18,DB!$1:$1,0)),FALSE)),"")</f>
        <v/>
      </c>
      <c r="CEO18" s="28" t="str">
        <f>IFERROR(IF(CEX3="No",IF(VLOOKUP(DATE($K$1,$K$2,CEO$4),Table1[],(MATCH(Calendar!$A18,DB!$1:$1,0)),FALSE)&gt;=5,"Good","Bad"),VLOOKUP(DATE($K$1,$K$2,CEO$4),Table1[],(MATCH(Calendar!$A18,DB!$1:$1,0)),FALSE)),"")</f>
        <v/>
      </c>
      <c r="CEP18" s="28" t="str">
        <f>IFERROR(IF(CEY3="No",IF(VLOOKUP(DATE($K$1,$K$2,CEP$4),Table1[],(MATCH(Calendar!$A18,DB!$1:$1,0)),FALSE)&gt;=5,"Good","Bad"),VLOOKUP(DATE($K$1,$K$2,CEP$4),Table1[],(MATCH(Calendar!$A18,DB!$1:$1,0)),FALSE)),"")</f>
        <v/>
      </c>
      <c r="CEQ18" s="28" t="str">
        <f>IFERROR(IF(CEZ3="No",IF(VLOOKUP(DATE($K$1,$K$2,CEQ$4),Table1[],(MATCH(Calendar!$A18,DB!$1:$1,0)),FALSE)&gt;=5,"Good","Bad"),VLOOKUP(DATE($K$1,$K$2,CEQ$4),Table1[],(MATCH(Calendar!$A18,DB!$1:$1,0)),FALSE)),"")</f>
        <v/>
      </c>
      <c r="CER18" s="28" t="str">
        <f>IFERROR(IF(CFA3="No",IF(VLOOKUP(DATE($K$1,$K$2,CER$4),Table1[],(MATCH(Calendar!$A18,DB!$1:$1,0)),FALSE)&gt;=5,"Good","Bad"),VLOOKUP(DATE($K$1,$K$2,CER$4),Table1[],(MATCH(Calendar!$A18,DB!$1:$1,0)),FALSE)),"")</f>
        <v/>
      </c>
      <c r="CES18" s="28" t="str">
        <f>IFERROR(IF(CFB3="No",IF(VLOOKUP(DATE($K$1,$K$2,CES$4),Table1[],(MATCH(Calendar!$A18,DB!$1:$1,0)),FALSE)&gt;=5,"Good","Bad"),VLOOKUP(DATE($K$1,$K$2,CES$4),Table1[],(MATCH(Calendar!$A18,DB!$1:$1,0)),FALSE)),"")</f>
        <v/>
      </c>
      <c r="CET18" s="28" t="str">
        <f>IFERROR(IF(CFC3="No",IF(VLOOKUP(DATE($K$1,$K$2,CET$4),Table1[],(MATCH(Calendar!$A18,DB!$1:$1,0)),FALSE)&gt;=5,"Good","Bad"),VLOOKUP(DATE($K$1,$K$2,CET$4),Table1[],(MATCH(Calendar!$A18,DB!$1:$1,0)),FALSE)),"")</f>
        <v/>
      </c>
      <c r="CEU18" s="28" t="str">
        <f>IFERROR(IF(CFD3="No",IF(VLOOKUP(DATE($K$1,$K$2,CEU$4),Table1[],(MATCH(Calendar!$A18,DB!$1:$1,0)),FALSE)&gt;=5,"Good","Bad"),VLOOKUP(DATE($K$1,$K$2,CEU$4),Table1[],(MATCH(Calendar!$A18,DB!$1:$1,0)),FALSE)),"")</f>
        <v/>
      </c>
      <c r="CEV18" s="28" t="str">
        <f>IFERROR(IF(CFE3="No",IF(VLOOKUP(DATE($K$1,$K$2,CEV$4),Table1[],(MATCH(Calendar!$A18,DB!$1:$1,0)),FALSE)&gt;=5,"Good","Bad"),VLOOKUP(DATE($K$1,$K$2,CEV$4),Table1[],(MATCH(Calendar!$A18,DB!$1:$1,0)),FALSE)),"")</f>
        <v/>
      </c>
      <c r="CEW18" s="28" t="str">
        <f>IFERROR(IF(CFF3="No",IF(VLOOKUP(DATE($K$1,$K$2,CEW$4),Table1[],(MATCH(Calendar!$A18,DB!$1:$1,0)),FALSE)&gt;=5,"Good","Bad"),VLOOKUP(DATE($K$1,$K$2,CEW$4),Table1[],(MATCH(Calendar!$A18,DB!$1:$1,0)),FALSE)),"")</f>
        <v/>
      </c>
      <c r="CEX18" s="28" t="str">
        <f>IFERROR(IF(CFG3="No",IF(VLOOKUP(DATE($K$1,$K$2,CEX$4),Table1[],(MATCH(Calendar!$A18,DB!$1:$1,0)),FALSE)&gt;=5,"Good","Bad"),VLOOKUP(DATE($K$1,$K$2,CEX$4),Table1[],(MATCH(Calendar!$A18,DB!$1:$1,0)),FALSE)),"")</f>
        <v/>
      </c>
      <c r="CEY18" s="28" t="str">
        <f>IFERROR(IF(CFH3="No",IF(VLOOKUP(DATE($K$1,$K$2,CEY$4),Table1[],(MATCH(Calendar!$A18,DB!$1:$1,0)),FALSE)&gt;=5,"Good","Bad"),VLOOKUP(DATE($K$1,$K$2,CEY$4),Table1[],(MATCH(Calendar!$A18,DB!$1:$1,0)),FALSE)),"")</f>
        <v/>
      </c>
      <c r="CEZ18" s="28" t="str">
        <f>IFERROR(IF(CFI3="No",IF(VLOOKUP(DATE($K$1,$K$2,CEZ$4),Table1[],(MATCH(Calendar!$A18,DB!$1:$1,0)),FALSE)&gt;=5,"Good","Bad"),VLOOKUP(DATE($K$1,$K$2,CEZ$4),Table1[],(MATCH(Calendar!$A18,DB!$1:$1,0)),FALSE)),"")</f>
        <v/>
      </c>
      <c r="CFA18" s="28" t="str">
        <f>IFERROR(IF(CFJ3="No",IF(VLOOKUP(DATE($K$1,$K$2,CFA$4),Table1[],(MATCH(Calendar!$A18,DB!$1:$1,0)),FALSE)&gt;=5,"Good","Bad"),VLOOKUP(DATE($K$1,$K$2,CFA$4),Table1[],(MATCH(Calendar!$A18,DB!$1:$1,0)),FALSE)),"")</f>
        <v/>
      </c>
      <c r="CFB18" s="28" t="str">
        <f>IFERROR(IF(CFK3="No",IF(VLOOKUP(DATE($K$1,$K$2,CFB$4),Table1[],(MATCH(Calendar!$A18,DB!$1:$1,0)),FALSE)&gt;=5,"Good","Bad"),VLOOKUP(DATE($K$1,$K$2,CFB$4),Table1[],(MATCH(Calendar!$A18,DB!$1:$1,0)),FALSE)),"")</f>
        <v/>
      </c>
      <c r="CFC18" s="28" t="str">
        <f>IFERROR(IF(CFL3="No",IF(VLOOKUP(DATE($K$1,$K$2,CFC$4),Table1[],(MATCH(Calendar!$A18,DB!$1:$1,0)),FALSE)&gt;=5,"Good","Bad"),VLOOKUP(DATE($K$1,$K$2,CFC$4),Table1[],(MATCH(Calendar!$A18,DB!$1:$1,0)),FALSE)),"")</f>
        <v/>
      </c>
      <c r="CFD18" s="28" t="str">
        <f>IFERROR(IF(CFM3="No",IF(VLOOKUP(DATE($K$1,$K$2,CFD$4),Table1[],(MATCH(Calendar!$A18,DB!$1:$1,0)),FALSE)&gt;=5,"Good","Bad"),VLOOKUP(DATE($K$1,$K$2,CFD$4),Table1[],(MATCH(Calendar!$A18,DB!$1:$1,0)),FALSE)),"")</f>
        <v/>
      </c>
      <c r="CFE18" s="28" t="str">
        <f>IFERROR(IF(CFN3="No",IF(VLOOKUP(DATE($K$1,$K$2,CFE$4),Table1[],(MATCH(Calendar!$A18,DB!$1:$1,0)),FALSE)&gt;=5,"Good","Bad"),VLOOKUP(DATE($K$1,$K$2,CFE$4),Table1[],(MATCH(Calendar!$A18,DB!$1:$1,0)),FALSE)),"")</f>
        <v/>
      </c>
      <c r="CFF18" s="28" t="str">
        <f>IFERROR(IF(CFO3="No",IF(VLOOKUP(DATE($K$1,$K$2,CFF$4),Table1[],(MATCH(Calendar!$A18,DB!$1:$1,0)),FALSE)&gt;=5,"Good","Bad"),VLOOKUP(DATE($K$1,$K$2,CFF$4),Table1[],(MATCH(Calendar!$A18,DB!$1:$1,0)),FALSE)),"")</f>
        <v/>
      </c>
      <c r="CFG18" s="28" t="str">
        <f>IFERROR(IF(CFP3="No",IF(VLOOKUP(DATE($K$1,$K$2,CFG$4),Table1[],(MATCH(Calendar!$A18,DB!$1:$1,0)),FALSE)&gt;=5,"Good","Bad"),VLOOKUP(DATE($K$1,$K$2,CFG$4),Table1[],(MATCH(Calendar!$A18,DB!$1:$1,0)),FALSE)),"")</f>
        <v/>
      </c>
      <c r="CFH18" s="28" t="str">
        <f>IFERROR(IF(CFQ3="No",IF(VLOOKUP(DATE($K$1,$K$2,CFH$4),Table1[],(MATCH(Calendar!$A18,DB!$1:$1,0)),FALSE)&gt;=5,"Good","Bad"),VLOOKUP(DATE($K$1,$K$2,CFH$4),Table1[],(MATCH(Calendar!$A18,DB!$1:$1,0)),FALSE)),"")</f>
        <v/>
      </c>
      <c r="CFI18" s="28" t="str">
        <f>IFERROR(IF(CFR3="No",IF(VLOOKUP(DATE($K$1,$K$2,CFI$4),Table1[],(MATCH(Calendar!$A18,DB!$1:$1,0)),FALSE)&gt;=5,"Good","Bad"),VLOOKUP(DATE($K$1,$K$2,CFI$4),Table1[],(MATCH(Calendar!$A18,DB!$1:$1,0)),FALSE)),"")</f>
        <v/>
      </c>
      <c r="CFJ18" s="28" t="str">
        <f>IFERROR(IF(CFS3="No",IF(VLOOKUP(DATE($K$1,$K$2,CFJ$4),Table1[],(MATCH(Calendar!$A18,DB!$1:$1,0)),FALSE)&gt;=5,"Good","Bad"),VLOOKUP(DATE($K$1,$K$2,CFJ$4),Table1[],(MATCH(Calendar!$A18,DB!$1:$1,0)),FALSE)),"")</f>
        <v/>
      </c>
      <c r="CFK18" s="28" t="str">
        <f>IFERROR(IF(CFT3="No",IF(VLOOKUP(DATE($K$1,$K$2,CFK$4),Table1[],(MATCH(Calendar!$A18,DB!$1:$1,0)),FALSE)&gt;=5,"Good","Bad"),VLOOKUP(DATE($K$1,$K$2,CFK$4),Table1[],(MATCH(Calendar!$A18,DB!$1:$1,0)),FALSE)),"")</f>
        <v/>
      </c>
      <c r="CFL18" s="28" t="str">
        <f>IFERROR(IF(CFU3="No",IF(VLOOKUP(DATE($K$1,$K$2,CFL$4),Table1[],(MATCH(Calendar!$A18,DB!$1:$1,0)),FALSE)&gt;=5,"Good","Bad"),VLOOKUP(DATE($K$1,$K$2,CFL$4),Table1[],(MATCH(Calendar!$A18,DB!$1:$1,0)),FALSE)),"")</f>
        <v/>
      </c>
      <c r="CFM18" s="28" t="str">
        <f>IFERROR(IF(CFV3="No",IF(VLOOKUP(DATE($K$1,$K$2,CFM$4),Table1[],(MATCH(Calendar!$A18,DB!$1:$1,0)),FALSE)&gt;=5,"Good","Bad"),VLOOKUP(DATE($K$1,$K$2,CFM$4),Table1[],(MATCH(Calendar!$A18,DB!$1:$1,0)),FALSE)),"")</f>
        <v/>
      </c>
      <c r="CFN18" s="28" t="str">
        <f>IFERROR(IF(CFW3="No",IF(VLOOKUP(DATE($K$1,$K$2,CFN$4),Table1[],(MATCH(Calendar!$A18,DB!$1:$1,0)),FALSE)&gt;=5,"Good","Bad"),VLOOKUP(DATE($K$1,$K$2,CFN$4),Table1[],(MATCH(Calendar!$A18,DB!$1:$1,0)),FALSE)),"")</f>
        <v/>
      </c>
      <c r="CFO18" s="28" t="str">
        <f>IFERROR(IF(CFX3="No",IF(VLOOKUP(DATE($K$1,$K$2,CFO$4),Table1[],(MATCH(Calendar!$A18,DB!$1:$1,0)),FALSE)&gt;=5,"Good","Bad"),VLOOKUP(DATE($K$1,$K$2,CFO$4),Table1[],(MATCH(Calendar!$A18,DB!$1:$1,0)),FALSE)),"")</f>
        <v/>
      </c>
      <c r="CFP18" s="28" t="str">
        <f>IFERROR(IF(CFY3="No",IF(VLOOKUP(DATE($K$1,$K$2,CFP$4),Table1[],(MATCH(Calendar!$A18,DB!$1:$1,0)),FALSE)&gt;=5,"Good","Bad"),VLOOKUP(DATE($K$1,$K$2,CFP$4),Table1[],(MATCH(Calendar!$A18,DB!$1:$1,0)),FALSE)),"")</f>
        <v/>
      </c>
      <c r="CFQ18" s="28" t="str">
        <f>IFERROR(IF(CFZ3="No",IF(VLOOKUP(DATE($K$1,$K$2,CFQ$4),Table1[],(MATCH(Calendar!$A18,DB!$1:$1,0)),FALSE)&gt;=5,"Good","Bad"),VLOOKUP(DATE($K$1,$K$2,CFQ$4),Table1[],(MATCH(Calendar!$A18,DB!$1:$1,0)),FALSE)),"")</f>
        <v/>
      </c>
      <c r="CFR18" s="28" t="str">
        <f>IFERROR(IF(CGA3="No",IF(VLOOKUP(DATE($K$1,$K$2,CFR$4),Table1[],(MATCH(Calendar!$A18,DB!$1:$1,0)),FALSE)&gt;=5,"Good","Bad"),VLOOKUP(DATE($K$1,$K$2,CFR$4),Table1[],(MATCH(Calendar!$A18,DB!$1:$1,0)),FALSE)),"")</f>
        <v/>
      </c>
      <c r="CFS18" s="28" t="str">
        <f>IFERROR(IF(CGB3="No",IF(VLOOKUP(DATE($K$1,$K$2,CFS$4),Table1[],(MATCH(Calendar!$A18,DB!$1:$1,0)),FALSE)&gt;=5,"Good","Bad"),VLOOKUP(DATE($K$1,$K$2,CFS$4),Table1[],(MATCH(Calendar!$A18,DB!$1:$1,0)),FALSE)),"")</f>
        <v/>
      </c>
      <c r="CFT18" s="28" t="str">
        <f>IFERROR(IF(CGC3="No",IF(VLOOKUP(DATE($K$1,$K$2,CFT$4),Table1[],(MATCH(Calendar!$A18,DB!$1:$1,0)),FALSE)&gt;=5,"Good","Bad"),VLOOKUP(DATE($K$1,$K$2,CFT$4),Table1[],(MATCH(Calendar!$A18,DB!$1:$1,0)),FALSE)),"")</f>
        <v/>
      </c>
      <c r="CFU18" s="28" t="str">
        <f>IFERROR(IF(CGD3="No",IF(VLOOKUP(DATE($K$1,$K$2,CFU$4),Table1[],(MATCH(Calendar!$A18,DB!$1:$1,0)),FALSE)&gt;=5,"Good","Bad"),VLOOKUP(DATE($K$1,$K$2,CFU$4),Table1[],(MATCH(Calendar!$A18,DB!$1:$1,0)),FALSE)),"")</f>
        <v/>
      </c>
      <c r="CFV18" s="28" t="str">
        <f>IFERROR(IF(CGE3="No",IF(VLOOKUP(DATE($K$1,$K$2,CFV$4),Table1[],(MATCH(Calendar!$A18,DB!$1:$1,0)),FALSE)&gt;=5,"Good","Bad"),VLOOKUP(DATE($K$1,$K$2,CFV$4),Table1[],(MATCH(Calendar!$A18,DB!$1:$1,0)),FALSE)),"")</f>
        <v/>
      </c>
      <c r="CFW18" s="28" t="str">
        <f>IFERROR(IF(CGF3="No",IF(VLOOKUP(DATE($K$1,$K$2,CFW$4),Table1[],(MATCH(Calendar!$A18,DB!$1:$1,0)),FALSE)&gt;=5,"Good","Bad"),VLOOKUP(DATE($K$1,$K$2,CFW$4),Table1[],(MATCH(Calendar!$A18,DB!$1:$1,0)),FALSE)),"")</f>
        <v/>
      </c>
      <c r="CFX18" s="28" t="str">
        <f>IFERROR(IF(CGG3="No",IF(VLOOKUP(DATE($K$1,$K$2,CFX$4),Table1[],(MATCH(Calendar!$A18,DB!$1:$1,0)),FALSE)&gt;=5,"Good","Bad"),VLOOKUP(DATE($K$1,$K$2,CFX$4),Table1[],(MATCH(Calendar!$A18,DB!$1:$1,0)),FALSE)),"")</f>
        <v/>
      </c>
      <c r="CFY18" s="28" t="str">
        <f>IFERROR(IF(CGH3="No",IF(VLOOKUP(DATE($K$1,$K$2,CFY$4),Table1[],(MATCH(Calendar!$A18,DB!$1:$1,0)),FALSE)&gt;=5,"Good","Bad"),VLOOKUP(DATE($K$1,$K$2,CFY$4),Table1[],(MATCH(Calendar!$A18,DB!$1:$1,0)),FALSE)),"")</f>
        <v/>
      </c>
      <c r="CFZ18" s="28" t="str">
        <f>IFERROR(IF(CGI3="No",IF(VLOOKUP(DATE($K$1,$K$2,CFZ$4),Table1[],(MATCH(Calendar!$A18,DB!$1:$1,0)),FALSE)&gt;=5,"Good","Bad"),VLOOKUP(DATE($K$1,$K$2,CFZ$4),Table1[],(MATCH(Calendar!$A18,DB!$1:$1,0)),FALSE)),"")</f>
        <v/>
      </c>
      <c r="CGA18" s="28" t="str">
        <f>IFERROR(IF(CGJ3="No",IF(VLOOKUP(DATE($K$1,$K$2,CGA$4),Table1[],(MATCH(Calendar!$A18,DB!$1:$1,0)),FALSE)&gt;=5,"Good","Bad"),VLOOKUP(DATE($K$1,$K$2,CGA$4),Table1[],(MATCH(Calendar!$A18,DB!$1:$1,0)),FALSE)),"")</f>
        <v/>
      </c>
      <c r="CGB18" s="28" t="str">
        <f>IFERROR(IF(CGK3="No",IF(VLOOKUP(DATE($K$1,$K$2,CGB$4),Table1[],(MATCH(Calendar!$A18,DB!$1:$1,0)),FALSE)&gt;=5,"Good","Bad"),VLOOKUP(DATE($K$1,$K$2,CGB$4),Table1[],(MATCH(Calendar!$A18,DB!$1:$1,0)),FALSE)),"")</f>
        <v/>
      </c>
      <c r="CGC18" s="28" t="str">
        <f>IFERROR(IF(CGL3="No",IF(VLOOKUP(DATE($K$1,$K$2,CGC$4),Table1[],(MATCH(Calendar!$A18,DB!$1:$1,0)),FALSE)&gt;=5,"Good","Bad"),VLOOKUP(DATE($K$1,$K$2,CGC$4),Table1[],(MATCH(Calendar!$A18,DB!$1:$1,0)),FALSE)),"")</f>
        <v/>
      </c>
      <c r="CGD18" s="28" t="str">
        <f>IFERROR(IF(CGM3="No",IF(VLOOKUP(DATE($K$1,$K$2,CGD$4),Table1[],(MATCH(Calendar!$A18,DB!$1:$1,0)),FALSE)&gt;=5,"Good","Bad"),VLOOKUP(DATE($K$1,$K$2,CGD$4),Table1[],(MATCH(Calendar!$A18,DB!$1:$1,0)),FALSE)),"")</f>
        <v/>
      </c>
      <c r="CGE18" s="28" t="str">
        <f>IFERROR(IF(CGN3="No",IF(VLOOKUP(DATE($K$1,$K$2,CGE$4),Table1[],(MATCH(Calendar!$A18,DB!$1:$1,0)),FALSE)&gt;=5,"Good","Bad"),VLOOKUP(DATE($K$1,$K$2,CGE$4),Table1[],(MATCH(Calendar!$A18,DB!$1:$1,0)),FALSE)),"")</f>
        <v/>
      </c>
      <c r="CGF18" s="28" t="str">
        <f>IFERROR(IF(CGO3="No",IF(VLOOKUP(DATE($K$1,$K$2,CGF$4),Table1[],(MATCH(Calendar!$A18,DB!$1:$1,0)),FALSE)&gt;=5,"Good","Bad"),VLOOKUP(DATE($K$1,$K$2,CGF$4),Table1[],(MATCH(Calendar!$A18,DB!$1:$1,0)),FALSE)),"")</f>
        <v/>
      </c>
      <c r="CGG18" s="28" t="str">
        <f>IFERROR(IF(CGP3="No",IF(VLOOKUP(DATE($K$1,$K$2,CGG$4),Table1[],(MATCH(Calendar!$A18,DB!$1:$1,0)),FALSE)&gt;=5,"Good","Bad"),VLOOKUP(DATE($K$1,$K$2,CGG$4),Table1[],(MATCH(Calendar!$A18,DB!$1:$1,0)),FALSE)),"")</f>
        <v/>
      </c>
      <c r="CGH18" s="28" t="str">
        <f>IFERROR(IF(CGQ3="No",IF(VLOOKUP(DATE($K$1,$K$2,CGH$4),Table1[],(MATCH(Calendar!$A18,DB!$1:$1,0)),FALSE)&gt;=5,"Good","Bad"),VLOOKUP(DATE($K$1,$K$2,CGH$4),Table1[],(MATCH(Calendar!$A18,DB!$1:$1,0)),FALSE)),"")</f>
        <v/>
      </c>
      <c r="CGI18" s="28" t="str">
        <f>IFERROR(IF(CGR3="No",IF(VLOOKUP(DATE($K$1,$K$2,CGI$4),Table1[],(MATCH(Calendar!$A18,DB!$1:$1,0)),FALSE)&gt;=5,"Good","Bad"),VLOOKUP(DATE($K$1,$K$2,CGI$4),Table1[],(MATCH(Calendar!$A18,DB!$1:$1,0)),FALSE)),"")</f>
        <v/>
      </c>
      <c r="CGJ18" s="28" t="str">
        <f>IFERROR(IF(CGS3="No",IF(VLOOKUP(DATE($K$1,$K$2,CGJ$4),Table1[],(MATCH(Calendar!$A18,DB!$1:$1,0)),FALSE)&gt;=5,"Good","Bad"),VLOOKUP(DATE($K$1,$K$2,CGJ$4),Table1[],(MATCH(Calendar!$A18,DB!$1:$1,0)),FALSE)),"")</f>
        <v/>
      </c>
      <c r="CGK18" s="28" t="str">
        <f>IFERROR(IF(CGT3="No",IF(VLOOKUP(DATE($K$1,$K$2,CGK$4),Table1[],(MATCH(Calendar!$A18,DB!$1:$1,0)),FALSE)&gt;=5,"Good","Bad"),VLOOKUP(DATE($K$1,$K$2,CGK$4),Table1[],(MATCH(Calendar!$A18,DB!$1:$1,0)),FALSE)),"")</f>
        <v/>
      </c>
      <c r="CGL18" s="28" t="str">
        <f>IFERROR(IF(CGU3="No",IF(VLOOKUP(DATE($K$1,$K$2,CGL$4),Table1[],(MATCH(Calendar!$A18,DB!$1:$1,0)),FALSE)&gt;=5,"Good","Bad"),VLOOKUP(DATE($K$1,$K$2,CGL$4),Table1[],(MATCH(Calendar!$A18,DB!$1:$1,0)),FALSE)),"")</f>
        <v/>
      </c>
      <c r="CGM18" s="28" t="str">
        <f>IFERROR(IF(CGV3="No",IF(VLOOKUP(DATE($K$1,$K$2,CGM$4),Table1[],(MATCH(Calendar!$A18,DB!$1:$1,0)),FALSE)&gt;=5,"Good","Bad"),VLOOKUP(DATE($K$1,$K$2,CGM$4),Table1[],(MATCH(Calendar!$A18,DB!$1:$1,0)),FALSE)),"")</f>
        <v/>
      </c>
      <c r="CGN18" s="28" t="str">
        <f>IFERROR(IF(CGW3="No",IF(VLOOKUP(DATE($K$1,$K$2,CGN$4),Table1[],(MATCH(Calendar!$A18,DB!$1:$1,0)),FALSE)&gt;=5,"Good","Bad"),VLOOKUP(DATE($K$1,$K$2,CGN$4),Table1[],(MATCH(Calendar!$A18,DB!$1:$1,0)),FALSE)),"")</f>
        <v/>
      </c>
      <c r="CGO18" s="28" t="str">
        <f>IFERROR(IF(CGX3="No",IF(VLOOKUP(DATE($K$1,$K$2,CGO$4),Table1[],(MATCH(Calendar!$A18,DB!$1:$1,0)),FALSE)&gt;=5,"Good","Bad"),VLOOKUP(DATE($K$1,$K$2,CGO$4),Table1[],(MATCH(Calendar!$A18,DB!$1:$1,0)),FALSE)),"")</f>
        <v/>
      </c>
      <c r="CGP18" s="28" t="str">
        <f>IFERROR(IF(CGY3="No",IF(VLOOKUP(DATE($K$1,$K$2,CGP$4),Table1[],(MATCH(Calendar!$A18,DB!$1:$1,0)),FALSE)&gt;=5,"Good","Bad"),VLOOKUP(DATE($K$1,$K$2,CGP$4),Table1[],(MATCH(Calendar!$A18,DB!$1:$1,0)),FALSE)),"")</f>
        <v/>
      </c>
      <c r="CGQ18" s="28" t="str">
        <f>IFERROR(IF(CGZ3="No",IF(VLOOKUP(DATE($K$1,$K$2,CGQ$4),Table1[],(MATCH(Calendar!$A18,DB!$1:$1,0)),FALSE)&gt;=5,"Good","Bad"),VLOOKUP(DATE($K$1,$K$2,CGQ$4),Table1[],(MATCH(Calendar!$A18,DB!$1:$1,0)),FALSE)),"")</f>
        <v/>
      </c>
      <c r="CGR18" s="28" t="str">
        <f>IFERROR(IF(CHA3="No",IF(VLOOKUP(DATE($K$1,$K$2,CGR$4),Table1[],(MATCH(Calendar!$A18,DB!$1:$1,0)),FALSE)&gt;=5,"Good","Bad"),VLOOKUP(DATE($K$1,$K$2,CGR$4),Table1[],(MATCH(Calendar!$A18,DB!$1:$1,0)),FALSE)),"")</f>
        <v/>
      </c>
      <c r="CGS18" s="28" t="str">
        <f>IFERROR(IF(CHB3="No",IF(VLOOKUP(DATE($K$1,$K$2,CGS$4),Table1[],(MATCH(Calendar!$A18,DB!$1:$1,0)),FALSE)&gt;=5,"Good","Bad"),VLOOKUP(DATE($K$1,$K$2,CGS$4),Table1[],(MATCH(Calendar!$A18,DB!$1:$1,0)),FALSE)),"")</f>
        <v/>
      </c>
      <c r="CGT18" s="28" t="str">
        <f>IFERROR(IF(CHC3="No",IF(VLOOKUP(DATE($K$1,$K$2,CGT$4),Table1[],(MATCH(Calendar!$A18,DB!$1:$1,0)),FALSE)&gt;=5,"Good","Bad"),VLOOKUP(DATE($K$1,$K$2,CGT$4),Table1[],(MATCH(Calendar!$A18,DB!$1:$1,0)),FALSE)),"")</f>
        <v/>
      </c>
      <c r="CGU18" s="28" t="str">
        <f>IFERROR(IF(CHD3="No",IF(VLOOKUP(DATE($K$1,$K$2,CGU$4),Table1[],(MATCH(Calendar!$A18,DB!$1:$1,0)),FALSE)&gt;=5,"Good","Bad"),VLOOKUP(DATE($K$1,$K$2,CGU$4),Table1[],(MATCH(Calendar!$A18,DB!$1:$1,0)),FALSE)),"")</f>
        <v/>
      </c>
      <c r="CGV18" s="28" t="str">
        <f>IFERROR(IF(CHE3="No",IF(VLOOKUP(DATE($K$1,$K$2,CGV$4),Table1[],(MATCH(Calendar!$A18,DB!$1:$1,0)),FALSE)&gt;=5,"Good","Bad"),VLOOKUP(DATE($K$1,$K$2,CGV$4),Table1[],(MATCH(Calendar!$A18,DB!$1:$1,0)),FALSE)),"")</f>
        <v/>
      </c>
      <c r="CGW18" s="28" t="str">
        <f>IFERROR(IF(CHF3="No",IF(VLOOKUP(DATE($K$1,$K$2,CGW$4),Table1[],(MATCH(Calendar!$A18,DB!$1:$1,0)),FALSE)&gt;=5,"Good","Bad"),VLOOKUP(DATE($K$1,$K$2,CGW$4),Table1[],(MATCH(Calendar!$A18,DB!$1:$1,0)),FALSE)),"")</f>
        <v/>
      </c>
      <c r="CGX18" s="28" t="str">
        <f>IFERROR(IF(CHG3="No",IF(VLOOKUP(DATE($K$1,$K$2,CGX$4),Table1[],(MATCH(Calendar!$A18,DB!$1:$1,0)),FALSE)&gt;=5,"Good","Bad"),VLOOKUP(DATE($K$1,$K$2,CGX$4),Table1[],(MATCH(Calendar!$A18,DB!$1:$1,0)),FALSE)),"")</f>
        <v/>
      </c>
      <c r="CGY18" s="28" t="str">
        <f>IFERROR(IF(CHH3="No",IF(VLOOKUP(DATE($K$1,$K$2,CGY$4),Table1[],(MATCH(Calendar!$A18,DB!$1:$1,0)),FALSE)&gt;=5,"Good","Bad"),VLOOKUP(DATE($K$1,$K$2,CGY$4),Table1[],(MATCH(Calendar!$A18,DB!$1:$1,0)),FALSE)),"")</f>
        <v/>
      </c>
      <c r="CGZ18" s="28" t="str">
        <f>IFERROR(IF(CHI3="No",IF(VLOOKUP(DATE($K$1,$K$2,CGZ$4),Table1[],(MATCH(Calendar!$A18,DB!$1:$1,0)),FALSE)&gt;=5,"Good","Bad"),VLOOKUP(DATE($K$1,$K$2,CGZ$4),Table1[],(MATCH(Calendar!$A18,DB!$1:$1,0)),FALSE)),"")</f>
        <v/>
      </c>
      <c r="CHA18" s="28" t="str">
        <f>IFERROR(IF(CHJ3="No",IF(VLOOKUP(DATE($K$1,$K$2,CHA$4),Table1[],(MATCH(Calendar!$A18,DB!$1:$1,0)),FALSE)&gt;=5,"Good","Bad"),VLOOKUP(DATE($K$1,$K$2,CHA$4),Table1[],(MATCH(Calendar!$A18,DB!$1:$1,0)),FALSE)),"")</f>
        <v/>
      </c>
      <c r="CHB18" s="28" t="str">
        <f>IFERROR(IF(CHK3="No",IF(VLOOKUP(DATE($K$1,$K$2,CHB$4),Table1[],(MATCH(Calendar!$A18,DB!$1:$1,0)),FALSE)&gt;=5,"Good","Bad"),VLOOKUP(DATE($K$1,$K$2,CHB$4),Table1[],(MATCH(Calendar!$A18,DB!$1:$1,0)),FALSE)),"")</f>
        <v/>
      </c>
      <c r="CHC18" s="28" t="str">
        <f>IFERROR(IF(CHL3="No",IF(VLOOKUP(DATE($K$1,$K$2,CHC$4),Table1[],(MATCH(Calendar!$A18,DB!$1:$1,0)),FALSE)&gt;=5,"Good","Bad"),VLOOKUP(DATE($K$1,$K$2,CHC$4),Table1[],(MATCH(Calendar!$A18,DB!$1:$1,0)),FALSE)),"")</f>
        <v/>
      </c>
      <c r="CHD18" s="28" t="str">
        <f>IFERROR(IF(CHM3="No",IF(VLOOKUP(DATE($K$1,$K$2,CHD$4),Table1[],(MATCH(Calendar!$A18,DB!$1:$1,0)),FALSE)&gt;=5,"Good","Bad"),VLOOKUP(DATE($K$1,$K$2,CHD$4),Table1[],(MATCH(Calendar!$A18,DB!$1:$1,0)),FALSE)),"")</f>
        <v/>
      </c>
      <c r="CHE18" s="28" t="str">
        <f>IFERROR(IF(CHN3="No",IF(VLOOKUP(DATE($K$1,$K$2,CHE$4),Table1[],(MATCH(Calendar!$A18,DB!$1:$1,0)),FALSE)&gt;=5,"Good","Bad"),VLOOKUP(DATE($K$1,$K$2,CHE$4),Table1[],(MATCH(Calendar!$A18,DB!$1:$1,0)),FALSE)),"")</f>
        <v/>
      </c>
      <c r="CHF18" s="28" t="str">
        <f>IFERROR(IF(CHO3="No",IF(VLOOKUP(DATE($K$1,$K$2,CHF$4),Table1[],(MATCH(Calendar!$A18,DB!$1:$1,0)),FALSE)&gt;=5,"Good","Bad"),VLOOKUP(DATE($K$1,$K$2,CHF$4),Table1[],(MATCH(Calendar!$A18,DB!$1:$1,0)),FALSE)),"")</f>
        <v/>
      </c>
      <c r="CHG18" s="28" t="str">
        <f>IFERROR(IF(CHP3="No",IF(VLOOKUP(DATE($K$1,$K$2,CHG$4),Table1[],(MATCH(Calendar!$A18,DB!$1:$1,0)),FALSE)&gt;=5,"Good","Bad"),VLOOKUP(DATE($K$1,$K$2,CHG$4),Table1[],(MATCH(Calendar!$A18,DB!$1:$1,0)),FALSE)),"")</f>
        <v/>
      </c>
      <c r="CHH18" s="28" t="str">
        <f>IFERROR(IF(CHQ3="No",IF(VLOOKUP(DATE($K$1,$K$2,CHH$4),Table1[],(MATCH(Calendar!$A18,DB!$1:$1,0)),FALSE)&gt;=5,"Good","Bad"),VLOOKUP(DATE($K$1,$K$2,CHH$4),Table1[],(MATCH(Calendar!$A18,DB!$1:$1,0)),FALSE)),"")</f>
        <v/>
      </c>
      <c r="CHI18" s="28" t="str">
        <f>IFERROR(IF(CHR3="No",IF(VLOOKUP(DATE($K$1,$K$2,CHI$4),Table1[],(MATCH(Calendar!$A18,DB!$1:$1,0)),FALSE)&gt;=5,"Good","Bad"),VLOOKUP(DATE($K$1,$K$2,CHI$4),Table1[],(MATCH(Calendar!$A18,DB!$1:$1,0)),FALSE)),"")</f>
        <v/>
      </c>
      <c r="CHJ18" s="28" t="str">
        <f>IFERROR(IF(CHS3="No",IF(VLOOKUP(DATE($K$1,$K$2,CHJ$4),Table1[],(MATCH(Calendar!$A18,DB!$1:$1,0)),FALSE)&gt;=5,"Good","Bad"),VLOOKUP(DATE($K$1,$K$2,CHJ$4),Table1[],(MATCH(Calendar!$A18,DB!$1:$1,0)),FALSE)),"")</f>
        <v/>
      </c>
      <c r="CHK18" s="28" t="str">
        <f>IFERROR(IF(CHT3="No",IF(VLOOKUP(DATE($K$1,$K$2,CHK$4),Table1[],(MATCH(Calendar!$A18,DB!$1:$1,0)),FALSE)&gt;=5,"Good","Bad"),VLOOKUP(DATE($K$1,$K$2,CHK$4),Table1[],(MATCH(Calendar!$A18,DB!$1:$1,0)),FALSE)),"")</f>
        <v/>
      </c>
      <c r="CHL18" s="28" t="str">
        <f>IFERROR(IF(CHU3="No",IF(VLOOKUP(DATE($K$1,$K$2,CHL$4),Table1[],(MATCH(Calendar!$A18,DB!$1:$1,0)),FALSE)&gt;=5,"Good","Bad"),VLOOKUP(DATE($K$1,$K$2,CHL$4),Table1[],(MATCH(Calendar!$A18,DB!$1:$1,0)),FALSE)),"")</f>
        <v/>
      </c>
      <c r="CHM18" s="28" t="str">
        <f>IFERROR(IF(CHV3="No",IF(VLOOKUP(DATE($K$1,$K$2,CHM$4),Table1[],(MATCH(Calendar!$A18,DB!$1:$1,0)),FALSE)&gt;=5,"Good","Bad"),VLOOKUP(DATE($K$1,$K$2,CHM$4),Table1[],(MATCH(Calendar!$A18,DB!$1:$1,0)),FALSE)),"")</f>
        <v/>
      </c>
      <c r="CHN18" s="28" t="str">
        <f>IFERROR(IF(CHW3="No",IF(VLOOKUP(DATE($K$1,$K$2,CHN$4),Table1[],(MATCH(Calendar!$A18,DB!$1:$1,0)),FALSE)&gt;=5,"Good","Bad"),VLOOKUP(DATE($K$1,$K$2,CHN$4),Table1[],(MATCH(Calendar!$A18,DB!$1:$1,0)),FALSE)),"")</f>
        <v/>
      </c>
      <c r="CHO18" s="28" t="str">
        <f>IFERROR(IF(CHX3="No",IF(VLOOKUP(DATE($K$1,$K$2,CHO$4),Table1[],(MATCH(Calendar!$A18,DB!$1:$1,0)),FALSE)&gt;=5,"Good","Bad"),VLOOKUP(DATE($K$1,$K$2,CHO$4),Table1[],(MATCH(Calendar!$A18,DB!$1:$1,0)),FALSE)),"")</f>
        <v/>
      </c>
      <c r="CHP18" s="28" t="str">
        <f>IFERROR(IF(CHY3="No",IF(VLOOKUP(DATE($K$1,$K$2,CHP$4),Table1[],(MATCH(Calendar!$A18,DB!$1:$1,0)),FALSE)&gt;=5,"Good","Bad"),VLOOKUP(DATE($K$1,$K$2,CHP$4),Table1[],(MATCH(Calendar!$A18,DB!$1:$1,0)),FALSE)),"")</f>
        <v/>
      </c>
      <c r="CHQ18" s="28" t="str">
        <f>IFERROR(IF(CHZ3="No",IF(VLOOKUP(DATE($K$1,$K$2,CHQ$4),Table1[],(MATCH(Calendar!$A18,DB!$1:$1,0)),FALSE)&gt;=5,"Good","Bad"),VLOOKUP(DATE($K$1,$K$2,CHQ$4),Table1[],(MATCH(Calendar!$A18,DB!$1:$1,0)),FALSE)),"")</f>
        <v/>
      </c>
      <c r="CHR18" s="28" t="str">
        <f>IFERROR(IF(CIA3="No",IF(VLOOKUP(DATE($K$1,$K$2,CHR$4),Table1[],(MATCH(Calendar!$A18,DB!$1:$1,0)),FALSE)&gt;=5,"Good","Bad"),VLOOKUP(DATE($K$1,$K$2,CHR$4),Table1[],(MATCH(Calendar!$A18,DB!$1:$1,0)),FALSE)),"")</f>
        <v/>
      </c>
      <c r="CHS18" s="28" t="str">
        <f>IFERROR(IF(CIB3="No",IF(VLOOKUP(DATE($K$1,$K$2,CHS$4),Table1[],(MATCH(Calendar!$A18,DB!$1:$1,0)),FALSE)&gt;=5,"Good","Bad"),VLOOKUP(DATE($K$1,$K$2,CHS$4),Table1[],(MATCH(Calendar!$A18,DB!$1:$1,0)),FALSE)),"")</f>
        <v/>
      </c>
      <c r="CHT18" s="28" t="str">
        <f>IFERROR(IF(CIC3="No",IF(VLOOKUP(DATE($K$1,$K$2,CHT$4),Table1[],(MATCH(Calendar!$A18,DB!$1:$1,0)),FALSE)&gt;=5,"Good","Bad"),VLOOKUP(DATE($K$1,$K$2,CHT$4),Table1[],(MATCH(Calendar!$A18,DB!$1:$1,0)),FALSE)),"")</f>
        <v/>
      </c>
      <c r="CHU18" s="28" t="str">
        <f>IFERROR(IF(CID3="No",IF(VLOOKUP(DATE($K$1,$K$2,CHU$4),Table1[],(MATCH(Calendar!$A18,DB!$1:$1,0)),FALSE)&gt;=5,"Good","Bad"),VLOOKUP(DATE($K$1,$K$2,CHU$4),Table1[],(MATCH(Calendar!$A18,DB!$1:$1,0)),FALSE)),"")</f>
        <v/>
      </c>
      <c r="CHV18" s="28" t="str">
        <f>IFERROR(IF(CIE3="No",IF(VLOOKUP(DATE($K$1,$K$2,CHV$4),Table1[],(MATCH(Calendar!$A18,DB!$1:$1,0)),FALSE)&gt;=5,"Good","Bad"),VLOOKUP(DATE($K$1,$K$2,CHV$4),Table1[],(MATCH(Calendar!$A18,DB!$1:$1,0)),FALSE)),"")</f>
        <v/>
      </c>
      <c r="CHW18" s="28" t="str">
        <f>IFERROR(IF(CIF3="No",IF(VLOOKUP(DATE($K$1,$K$2,CHW$4),Table1[],(MATCH(Calendar!$A18,DB!$1:$1,0)),FALSE)&gt;=5,"Good","Bad"),VLOOKUP(DATE($K$1,$K$2,CHW$4),Table1[],(MATCH(Calendar!$A18,DB!$1:$1,0)),FALSE)),"")</f>
        <v/>
      </c>
      <c r="CHX18" s="28" t="str">
        <f>IFERROR(IF(CIG3="No",IF(VLOOKUP(DATE($K$1,$K$2,CHX$4),Table1[],(MATCH(Calendar!$A18,DB!$1:$1,0)),FALSE)&gt;=5,"Good","Bad"),VLOOKUP(DATE($K$1,$K$2,CHX$4),Table1[],(MATCH(Calendar!$A18,DB!$1:$1,0)),FALSE)),"")</f>
        <v/>
      </c>
      <c r="CHY18" s="28" t="str">
        <f>IFERROR(IF(CIH3="No",IF(VLOOKUP(DATE($K$1,$K$2,CHY$4),Table1[],(MATCH(Calendar!$A18,DB!$1:$1,0)),FALSE)&gt;=5,"Good","Bad"),VLOOKUP(DATE($K$1,$K$2,CHY$4),Table1[],(MATCH(Calendar!$A18,DB!$1:$1,0)),FALSE)),"")</f>
        <v/>
      </c>
      <c r="CHZ18" s="28" t="str">
        <f>IFERROR(IF(CII3="No",IF(VLOOKUP(DATE($K$1,$K$2,CHZ$4),Table1[],(MATCH(Calendar!$A18,DB!$1:$1,0)),FALSE)&gt;=5,"Good","Bad"),VLOOKUP(DATE($K$1,$K$2,CHZ$4),Table1[],(MATCH(Calendar!$A18,DB!$1:$1,0)),FALSE)),"")</f>
        <v/>
      </c>
      <c r="CIA18" s="28" t="str">
        <f>IFERROR(IF(CIJ3="No",IF(VLOOKUP(DATE($K$1,$K$2,CIA$4),Table1[],(MATCH(Calendar!$A18,DB!$1:$1,0)),FALSE)&gt;=5,"Good","Bad"),VLOOKUP(DATE($K$1,$K$2,CIA$4),Table1[],(MATCH(Calendar!$A18,DB!$1:$1,0)),FALSE)),"")</f>
        <v/>
      </c>
      <c r="CIB18" s="28" t="str">
        <f>IFERROR(IF(CIK3="No",IF(VLOOKUP(DATE($K$1,$K$2,CIB$4),Table1[],(MATCH(Calendar!$A18,DB!$1:$1,0)),FALSE)&gt;=5,"Good","Bad"),VLOOKUP(DATE($K$1,$K$2,CIB$4),Table1[],(MATCH(Calendar!$A18,DB!$1:$1,0)),FALSE)),"")</f>
        <v/>
      </c>
      <c r="CIC18" s="28" t="str">
        <f>IFERROR(IF(CIL3="No",IF(VLOOKUP(DATE($K$1,$K$2,CIC$4),Table1[],(MATCH(Calendar!$A18,DB!$1:$1,0)),FALSE)&gt;=5,"Good","Bad"),VLOOKUP(DATE($K$1,$K$2,CIC$4),Table1[],(MATCH(Calendar!$A18,DB!$1:$1,0)),FALSE)),"")</f>
        <v/>
      </c>
      <c r="CID18" s="28" t="str">
        <f>IFERROR(IF(CIM3="No",IF(VLOOKUP(DATE($K$1,$K$2,CID$4),Table1[],(MATCH(Calendar!$A18,DB!$1:$1,0)),FALSE)&gt;=5,"Good","Bad"),VLOOKUP(DATE($K$1,$K$2,CID$4),Table1[],(MATCH(Calendar!$A18,DB!$1:$1,0)),FALSE)),"")</f>
        <v/>
      </c>
      <c r="CIE18" s="28" t="str">
        <f>IFERROR(IF(CIN3="No",IF(VLOOKUP(DATE($K$1,$K$2,CIE$4),Table1[],(MATCH(Calendar!$A18,DB!$1:$1,0)),FALSE)&gt;=5,"Good","Bad"),VLOOKUP(DATE($K$1,$K$2,CIE$4),Table1[],(MATCH(Calendar!$A18,DB!$1:$1,0)),FALSE)),"")</f>
        <v/>
      </c>
      <c r="CIF18" s="28" t="str">
        <f>IFERROR(IF(CIO3="No",IF(VLOOKUP(DATE($K$1,$K$2,CIF$4),Table1[],(MATCH(Calendar!$A18,DB!$1:$1,0)),FALSE)&gt;=5,"Good","Bad"),VLOOKUP(DATE($K$1,$K$2,CIF$4),Table1[],(MATCH(Calendar!$A18,DB!$1:$1,0)),FALSE)),"")</f>
        <v/>
      </c>
      <c r="CIG18" s="28" t="str">
        <f>IFERROR(IF(CIP3="No",IF(VLOOKUP(DATE($K$1,$K$2,CIG$4),Table1[],(MATCH(Calendar!$A18,DB!$1:$1,0)),FALSE)&gt;=5,"Good","Bad"),VLOOKUP(DATE($K$1,$K$2,CIG$4),Table1[],(MATCH(Calendar!$A18,DB!$1:$1,0)),FALSE)),"")</f>
        <v/>
      </c>
      <c r="CIH18" s="28" t="str">
        <f>IFERROR(IF(CIQ3="No",IF(VLOOKUP(DATE($K$1,$K$2,CIH$4),Table1[],(MATCH(Calendar!$A18,DB!$1:$1,0)),FALSE)&gt;=5,"Good","Bad"),VLOOKUP(DATE($K$1,$K$2,CIH$4),Table1[],(MATCH(Calendar!$A18,DB!$1:$1,0)),FALSE)),"")</f>
        <v/>
      </c>
      <c r="CII18" s="28" t="str">
        <f>IFERROR(IF(CIR3="No",IF(VLOOKUP(DATE($K$1,$K$2,CII$4),Table1[],(MATCH(Calendar!$A18,DB!$1:$1,0)),FALSE)&gt;=5,"Good","Bad"),VLOOKUP(DATE($K$1,$K$2,CII$4),Table1[],(MATCH(Calendar!$A18,DB!$1:$1,0)),FALSE)),"")</f>
        <v/>
      </c>
      <c r="CIJ18" s="28" t="str">
        <f>IFERROR(IF(CIS3="No",IF(VLOOKUP(DATE($K$1,$K$2,CIJ$4),Table1[],(MATCH(Calendar!$A18,DB!$1:$1,0)),FALSE)&gt;=5,"Good","Bad"),VLOOKUP(DATE($K$1,$K$2,CIJ$4),Table1[],(MATCH(Calendar!$A18,DB!$1:$1,0)),FALSE)),"")</f>
        <v/>
      </c>
      <c r="CIK18" s="28" t="str">
        <f>IFERROR(IF(CIT3="No",IF(VLOOKUP(DATE($K$1,$K$2,CIK$4),Table1[],(MATCH(Calendar!$A18,DB!$1:$1,0)),FALSE)&gt;=5,"Good","Bad"),VLOOKUP(DATE($K$1,$K$2,CIK$4),Table1[],(MATCH(Calendar!$A18,DB!$1:$1,0)),FALSE)),"")</f>
        <v/>
      </c>
      <c r="CIL18" s="28" t="str">
        <f>IFERROR(IF(CIU3="No",IF(VLOOKUP(DATE($K$1,$K$2,CIL$4),Table1[],(MATCH(Calendar!$A18,DB!$1:$1,0)),FALSE)&gt;=5,"Good","Bad"),VLOOKUP(DATE($K$1,$K$2,CIL$4),Table1[],(MATCH(Calendar!$A18,DB!$1:$1,0)),FALSE)),"")</f>
        <v/>
      </c>
      <c r="CIM18" s="28" t="str">
        <f>IFERROR(IF(CIV3="No",IF(VLOOKUP(DATE($K$1,$K$2,CIM$4),Table1[],(MATCH(Calendar!$A18,DB!$1:$1,0)),FALSE)&gt;=5,"Good","Bad"),VLOOKUP(DATE($K$1,$K$2,CIM$4),Table1[],(MATCH(Calendar!$A18,DB!$1:$1,0)),FALSE)),"")</f>
        <v/>
      </c>
      <c r="CIN18" s="28" t="str">
        <f>IFERROR(IF(CIW3="No",IF(VLOOKUP(DATE($K$1,$K$2,CIN$4),Table1[],(MATCH(Calendar!$A18,DB!$1:$1,0)),FALSE)&gt;=5,"Good","Bad"),VLOOKUP(DATE($K$1,$K$2,CIN$4),Table1[],(MATCH(Calendar!$A18,DB!$1:$1,0)),FALSE)),"")</f>
        <v/>
      </c>
      <c r="CIO18" s="28" t="str">
        <f>IFERROR(IF(CIX3="No",IF(VLOOKUP(DATE($K$1,$K$2,CIO$4),Table1[],(MATCH(Calendar!$A18,DB!$1:$1,0)),FALSE)&gt;=5,"Good","Bad"),VLOOKUP(DATE($K$1,$K$2,CIO$4),Table1[],(MATCH(Calendar!$A18,DB!$1:$1,0)),FALSE)),"")</f>
        <v/>
      </c>
      <c r="CIP18" s="28" t="str">
        <f>IFERROR(IF(CIY3="No",IF(VLOOKUP(DATE($K$1,$K$2,CIP$4),Table1[],(MATCH(Calendar!$A18,DB!$1:$1,0)),FALSE)&gt;=5,"Good","Bad"),VLOOKUP(DATE($K$1,$K$2,CIP$4),Table1[],(MATCH(Calendar!$A18,DB!$1:$1,0)),FALSE)),"")</f>
        <v/>
      </c>
      <c r="CIQ18" s="28" t="str">
        <f>IFERROR(IF(CIZ3="No",IF(VLOOKUP(DATE($K$1,$K$2,CIQ$4),Table1[],(MATCH(Calendar!$A18,DB!$1:$1,0)),FALSE)&gt;=5,"Good","Bad"),VLOOKUP(DATE($K$1,$K$2,CIQ$4),Table1[],(MATCH(Calendar!$A18,DB!$1:$1,0)),FALSE)),"")</f>
        <v/>
      </c>
      <c r="CIR18" s="28" t="str">
        <f>IFERROR(IF(CJA3="No",IF(VLOOKUP(DATE($K$1,$K$2,CIR$4),Table1[],(MATCH(Calendar!$A18,DB!$1:$1,0)),FALSE)&gt;=5,"Good","Bad"),VLOOKUP(DATE($K$1,$K$2,CIR$4),Table1[],(MATCH(Calendar!$A18,DB!$1:$1,0)),FALSE)),"")</f>
        <v/>
      </c>
      <c r="CIS18" s="28" t="str">
        <f>IFERROR(IF(CJB3="No",IF(VLOOKUP(DATE($K$1,$K$2,CIS$4),Table1[],(MATCH(Calendar!$A18,DB!$1:$1,0)),FALSE)&gt;=5,"Good","Bad"),VLOOKUP(DATE($K$1,$K$2,CIS$4),Table1[],(MATCH(Calendar!$A18,DB!$1:$1,0)),FALSE)),"")</f>
        <v/>
      </c>
      <c r="CIT18" s="28" t="str">
        <f>IFERROR(IF(CJC3="No",IF(VLOOKUP(DATE($K$1,$K$2,CIT$4),Table1[],(MATCH(Calendar!$A18,DB!$1:$1,0)),FALSE)&gt;=5,"Good","Bad"),VLOOKUP(DATE($K$1,$K$2,CIT$4),Table1[],(MATCH(Calendar!$A18,DB!$1:$1,0)),FALSE)),"")</f>
        <v/>
      </c>
      <c r="CIU18" s="28" t="str">
        <f>IFERROR(IF(CJD3="No",IF(VLOOKUP(DATE($K$1,$K$2,CIU$4),Table1[],(MATCH(Calendar!$A18,DB!$1:$1,0)),FALSE)&gt;=5,"Good","Bad"),VLOOKUP(DATE($K$1,$K$2,CIU$4),Table1[],(MATCH(Calendar!$A18,DB!$1:$1,0)),FALSE)),"")</f>
        <v/>
      </c>
      <c r="CIV18" s="28" t="str">
        <f>IFERROR(IF(CJE3="No",IF(VLOOKUP(DATE($K$1,$K$2,CIV$4),Table1[],(MATCH(Calendar!$A18,DB!$1:$1,0)),FALSE)&gt;=5,"Good","Bad"),VLOOKUP(DATE($K$1,$K$2,CIV$4),Table1[],(MATCH(Calendar!$A18,DB!$1:$1,0)),FALSE)),"")</f>
        <v/>
      </c>
      <c r="CIW18" s="28" t="str">
        <f>IFERROR(IF(CJF3="No",IF(VLOOKUP(DATE($K$1,$K$2,CIW$4),Table1[],(MATCH(Calendar!$A18,DB!$1:$1,0)),FALSE)&gt;=5,"Good","Bad"),VLOOKUP(DATE($K$1,$K$2,CIW$4),Table1[],(MATCH(Calendar!$A18,DB!$1:$1,0)),FALSE)),"")</f>
        <v/>
      </c>
      <c r="CIX18" s="28" t="str">
        <f>IFERROR(IF(CJG3="No",IF(VLOOKUP(DATE($K$1,$K$2,CIX$4),Table1[],(MATCH(Calendar!$A18,DB!$1:$1,0)),FALSE)&gt;=5,"Good","Bad"),VLOOKUP(DATE($K$1,$K$2,CIX$4),Table1[],(MATCH(Calendar!$A18,DB!$1:$1,0)),FALSE)),"")</f>
        <v/>
      </c>
      <c r="CIY18" s="28" t="str">
        <f>IFERROR(IF(CJH3="No",IF(VLOOKUP(DATE($K$1,$K$2,CIY$4),Table1[],(MATCH(Calendar!$A18,DB!$1:$1,0)),FALSE)&gt;=5,"Good","Bad"),VLOOKUP(DATE($K$1,$K$2,CIY$4),Table1[],(MATCH(Calendar!$A18,DB!$1:$1,0)),FALSE)),"")</f>
        <v/>
      </c>
      <c r="CIZ18" s="28" t="str">
        <f>IFERROR(IF(CJI3="No",IF(VLOOKUP(DATE($K$1,$K$2,CIZ$4),Table1[],(MATCH(Calendar!$A18,DB!$1:$1,0)),FALSE)&gt;=5,"Good","Bad"),VLOOKUP(DATE($K$1,$K$2,CIZ$4),Table1[],(MATCH(Calendar!$A18,DB!$1:$1,0)),FALSE)),"")</f>
        <v/>
      </c>
      <c r="CJA18" s="28" t="str">
        <f>IFERROR(IF(CJJ3="No",IF(VLOOKUP(DATE($K$1,$K$2,CJA$4),Table1[],(MATCH(Calendar!$A18,DB!$1:$1,0)),FALSE)&gt;=5,"Good","Bad"),VLOOKUP(DATE($K$1,$K$2,CJA$4),Table1[],(MATCH(Calendar!$A18,DB!$1:$1,0)),FALSE)),"")</f>
        <v/>
      </c>
      <c r="CJB18" s="28" t="str">
        <f>IFERROR(IF(CJK3="No",IF(VLOOKUP(DATE($K$1,$K$2,CJB$4),Table1[],(MATCH(Calendar!$A18,DB!$1:$1,0)),FALSE)&gt;=5,"Good","Bad"),VLOOKUP(DATE($K$1,$K$2,CJB$4),Table1[],(MATCH(Calendar!$A18,DB!$1:$1,0)),FALSE)),"")</f>
        <v/>
      </c>
      <c r="CJC18" s="28" t="str">
        <f>IFERROR(IF(CJL3="No",IF(VLOOKUP(DATE($K$1,$K$2,CJC$4),Table1[],(MATCH(Calendar!$A18,DB!$1:$1,0)),FALSE)&gt;=5,"Good","Bad"),VLOOKUP(DATE($K$1,$K$2,CJC$4),Table1[],(MATCH(Calendar!$A18,DB!$1:$1,0)),FALSE)),"")</f>
        <v/>
      </c>
      <c r="CJD18" s="28" t="str">
        <f>IFERROR(IF(CJM3="No",IF(VLOOKUP(DATE($K$1,$K$2,CJD$4),Table1[],(MATCH(Calendar!$A18,DB!$1:$1,0)),FALSE)&gt;=5,"Good","Bad"),VLOOKUP(DATE($K$1,$K$2,CJD$4),Table1[],(MATCH(Calendar!$A18,DB!$1:$1,0)),FALSE)),"")</f>
        <v/>
      </c>
      <c r="CJE18" s="28" t="str">
        <f>IFERROR(IF(CJN3="No",IF(VLOOKUP(DATE($K$1,$K$2,CJE$4),Table1[],(MATCH(Calendar!$A18,DB!$1:$1,0)),FALSE)&gt;=5,"Good","Bad"),VLOOKUP(DATE($K$1,$K$2,CJE$4),Table1[],(MATCH(Calendar!$A18,DB!$1:$1,0)),FALSE)),"")</f>
        <v/>
      </c>
      <c r="CJF18" s="28" t="str">
        <f>IFERROR(IF(CJO3="No",IF(VLOOKUP(DATE($K$1,$K$2,CJF$4),Table1[],(MATCH(Calendar!$A18,DB!$1:$1,0)),FALSE)&gt;=5,"Good","Bad"),VLOOKUP(DATE($K$1,$K$2,CJF$4),Table1[],(MATCH(Calendar!$A18,DB!$1:$1,0)),FALSE)),"")</f>
        <v/>
      </c>
      <c r="CJG18" s="28" t="str">
        <f>IFERROR(IF(CJP3="No",IF(VLOOKUP(DATE($K$1,$K$2,CJG$4),Table1[],(MATCH(Calendar!$A18,DB!$1:$1,0)),FALSE)&gt;=5,"Good","Bad"),VLOOKUP(DATE($K$1,$K$2,CJG$4),Table1[],(MATCH(Calendar!$A18,DB!$1:$1,0)),FALSE)),"")</f>
        <v/>
      </c>
      <c r="CJH18" s="28" t="str">
        <f>IFERROR(IF(CJQ3="No",IF(VLOOKUP(DATE($K$1,$K$2,CJH$4),Table1[],(MATCH(Calendar!$A18,DB!$1:$1,0)),FALSE)&gt;=5,"Good","Bad"),VLOOKUP(DATE($K$1,$K$2,CJH$4),Table1[],(MATCH(Calendar!$A18,DB!$1:$1,0)),FALSE)),"")</f>
        <v/>
      </c>
      <c r="CJI18" s="28" t="str">
        <f>IFERROR(IF(CJR3="No",IF(VLOOKUP(DATE($K$1,$K$2,CJI$4),Table1[],(MATCH(Calendar!$A18,DB!$1:$1,0)),FALSE)&gt;=5,"Good","Bad"),VLOOKUP(DATE($K$1,$K$2,CJI$4),Table1[],(MATCH(Calendar!$A18,DB!$1:$1,0)),FALSE)),"")</f>
        <v/>
      </c>
      <c r="CJJ18" s="28" t="str">
        <f>IFERROR(IF(CJS3="No",IF(VLOOKUP(DATE($K$1,$K$2,CJJ$4),Table1[],(MATCH(Calendar!$A18,DB!$1:$1,0)),FALSE)&gt;=5,"Good","Bad"),VLOOKUP(DATE($K$1,$K$2,CJJ$4),Table1[],(MATCH(Calendar!$A18,DB!$1:$1,0)),FALSE)),"")</f>
        <v/>
      </c>
      <c r="CJK18" s="28" t="str">
        <f>IFERROR(IF(CJT3="No",IF(VLOOKUP(DATE($K$1,$K$2,CJK$4),Table1[],(MATCH(Calendar!$A18,DB!$1:$1,0)),FALSE)&gt;=5,"Good","Bad"),VLOOKUP(DATE($K$1,$K$2,CJK$4),Table1[],(MATCH(Calendar!$A18,DB!$1:$1,0)),FALSE)),"")</f>
        <v/>
      </c>
      <c r="CJL18" s="28" t="str">
        <f>IFERROR(IF(CJU3="No",IF(VLOOKUP(DATE($K$1,$K$2,CJL$4),Table1[],(MATCH(Calendar!$A18,DB!$1:$1,0)),FALSE)&gt;=5,"Good","Bad"),VLOOKUP(DATE($K$1,$K$2,CJL$4),Table1[],(MATCH(Calendar!$A18,DB!$1:$1,0)),FALSE)),"")</f>
        <v/>
      </c>
      <c r="CJM18" s="28" t="str">
        <f>IFERROR(IF(CJV3="No",IF(VLOOKUP(DATE($K$1,$K$2,CJM$4),Table1[],(MATCH(Calendar!$A18,DB!$1:$1,0)),FALSE)&gt;=5,"Good","Bad"),VLOOKUP(DATE($K$1,$K$2,CJM$4),Table1[],(MATCH(Calendar!$A18,DB!$1:$1,0)),FALSE)),"")</f>
        <v/>
      </c>
      <c r="CJN18" s="28" t="str">
        <f>IFERROR(IF(CJW3="No",IF(VLOOKUP(DATE($K$1,$K$2,CJN$4),Table1[],(MATCH(Calendar!$A18,DB!$1:$1,0)),FALSE)&gt;=5,"Good","Bad"),VLOOKUP(DATE($K$1,$K$2,CJN$4),Table1[],(MATCH(Calendar!$A18,DB!$1:$1,0)),FALSE)),"")</f>
        <v/>
      </c>
      <c r="CJO18" s="28" t="str">
        <f>IFERROR(IF(CJX3="No",IF(VLOOKUP(DATE($K$1,$K$2,CJO$4),Table1[],(MATCH(Calendar!$A18,DB!$1:$1,0)),FALSE)&gt;=5,"Good","Bad"),VLOOKUP(DATE($K$1,$K$2,CJO$4),Table1[],(MATCH(Calendar!$A18,DB!$1:$1,0)),FALSE)),"")</f>
        <v/>
      </c>
      <c r="CJP18" s="28" t="str">
        <f>IFERROR(IF(CJY3="No",IF(VLOOKUP(DATE($K$1,$K$2,CJP$4),Table1[],(MATCH(Calendar!$A18,DB!$1:$1,0)),FALSE)&gt;=5,"Good","Bad"),VLOOKUP(DATE($K$1,$K$2,CJP$4),Table1[],(MATCH(Calendar!$A18,DB!$1:$1,0)),FALSE)),"")</f>
        <v/>
      </c>
      <c r="CJQ18" s="28" t="str">
        <f>IFERROR(IF(CJZ3="No",IF(VLOOKUP(DATE($K$1,$K$2,CJQ$4),Table1[],(MATCH(Calendar!$A18,DB!$1:$1,0)),FALSE)&gt;=5,"Good","Bad"),VLOOKUP(DATE($K$1,$K$2,CJQ$4),Table1[],(MATCH(Calendar!$A18,DB!$1:$1,0)),FALSE)),"")</f>
        <v/>
      </c>
      <c r="CJR18" s="28" t="str">
        <f>IFERROR(IF(CKA3="No",IF(VLOOKUP(DATE($K$1,$K$2,CJR$4),Table1[],(MATCH(Calendar!$A18,DB!$1:$1,0)),FALSE)&gt;=5,"Good","Bad"),VLOOKUP(DATE($K$1,$K$2,CJR$4),Table1[],(MATCH(Calendar!$A18,DB!$1:$1,0)),FALSE)),"")</f>
        <v/>
      </c>
      <c r="CJS18" s="28" t="str">
        <f>IFERROR(IF(CKB3="No",IF(VLOOKUP(DATE($K$1,$K$2,CJS$4),Table1[],(MATCH(Calendar!$A18,DB!$1:$1,0)),FALSE)&gt;=5,"Good","Bad"),VLOOKUP(DATE($K$1,$K$2,CJS$4),Table1[],(MATCH(Calendar!$A18,DB!$1:$1,0)),FALSE)),"")</f>
        <v/>
      </c>
      <c r="CJT18" s="28" t="str">
        <f>IFERROR(IF(CKC3="No",IF(VLOOKUP(DATE($K$1,$K$2,CJT$4),Table1[],(MATCH(Calendar!$A18,DB!$1:$1,0)),FALSE)&gt;=5,"Good","Bad"),VLOOKUP(DATE($K$1,$K$2,CJT$4),Table1[],(MATCH(Calendar!$A18,DB!$1:$1,0)),FALSE)),"")</f>
        <v/>
      </c>
      <c r="CJU18" s="28" t="str">
        <f>IFERROR(IF(CKD3="No",IF(VLOOKUP(DATE($K$1,$K$2,CJU$4),Table1[],(MATCH(Calendar!$A18,DB!$1:$1,0)),FALSE)&gt;=5,"Good","Bad"),VLOOKUP(DATE($K$1,$K$2,CJU$4),Table1[],(MATCH(Calendar!$A18,DB!$1:$1,0)),FALSE)),"")</f>
        <v/>
      </c>
      <c r="CJV18" s="28" t="str">
        <f>IFERROR(IF(CKE3="No",IF(VLOOKUP(DATE($K$1,$K$2,CJV$4),Table1[],(MATCH(Calendar!$A18,DB!$1:$1,0)),FALSE)&gt;=5,"Good","Bad"),VLOOKUP(DATE($K$1,$K$2,CJV$4),Table1[],(MATCH(Calendar!$A18,DB!$1:$1,0)),FALSE)),"")</f>
        <v/>
      </c>
      <c r="CJW18" s="28" t="str">
        <f>IFERROR(IF(CKF3="No",IF(VLOOKUP(DATE($K$1,$K$2,CJW$4),Table1[],(MATCH(Calendar!$A18,DB!$1:$1,0)),FALSE)&gt;=5,"Good","Bad"),VLOOKUP(DATE($K$1,$K$2,CJW$4),Table1[],(MATCH(Calendar!$A18,DB!$1:$1,0)),FALSE)),"")</f>
        <v/>
      </c>
      <c r="CJX18" s="28" t="str">
        <f>IFERROR(IF(CKG3="No",IF(VLOOKUP(DATE($K$1,$K$2,CJX$4),Table1[],(MATCH(Calendar!$A18,DB!$1:$1,0)),FALSE)&gt;=5,"Good","Bad"),VLOOKUP(DATE($K$1,$K$2,CJX$4),Table1[],(MATCH(Calendar!$A18,DB!$1:$1,0)),FALSE)),"")</f>
        <v/>
      </c>
      <c r="CJY18" s="28" t="str">
        <f>IFERROR(IF(CKH3="No",IF(VLOOKUP(DATE($K$1,$K$2,CJY$4),Table1[],(MATCH(Calendar!$A18,DB!$1:$1,0)),FALSE)&gt;=5,"Good","Bad"),VLOOKUP(DATE($K$1,$K$2,CJY$4),Table1[],(MATCH(Calendar!$A18,DB!$1:$1,0)),FALSE)),"")</f>
        <v/>
      </c>
      <c r="CJZ18" s="28" t="str">
        <f>IFERROR(IF(CKI3="No",IF(VLOOKUP(DATE($K$1,$K$2,CJZ$4),Table1[],(MATCH(Calendar!$A18,DB!$1:$1,0)),FALSE)&gt;=5,"Good","Bad"),VLOOKUP(DATE($K$1,$K$2,CJZ$4),Table1[],(MATCH(Calendar!$A18,DB!$1:$1,0)),FALSE)),"")</f>
        <v/>
      </c>
      <c r="CKA18" s="28" t="str">
        <f>IFERROR(IF(CKJ3="No",IF(VLOOKUP(DATE($K$1,$K$2,CKA$4),Table1[],(MATCH(Calendar!$A18,DB!$1:$1,0)),FALSE)&gt;=5,"Good","Bad"),VLOOKUP(DATE($K$1,$K$2,CKA$4),Table1[],(MATCH(Calendar!$A18,DB!$1:$1,0)),FALSE)),"")</f>
        <v/>
      </c>
      <c r="CKB18" s="28" t="str">
        <f>IFERROR(IF(CKK3="No",IF(VLOOKUP(DATE($K$1,$K$2,CKB$4),Table1[],(MATCH(Calendar!$A18,DB!$1:$1,0)),FALSE)&gt;=5,"Good","Bad"),VLOOKUP(DATE($K$1,$K$2,CKB$4),Table1[],(MATCH(Calendar!$A18,DB!$1:$1,0)),FALSE)),"")</f>
        <v/>
      </c>
      <c r="CKC18" s="28" t="str">
        <f>IFERROR(IF(CKL3="No",IF(VLOOKUP(DATE($K$1,$K$2,CKC$4),Table1[],(MATCH(Calendar!$A18,DB!$1:$1,0)),FALSE)&gt;=5,"Good","Bad"),VLOOKUP(DATE($K$1,$K$2,CKC$4),Table1[],(MATCH(Calendar!$A18,DB!$1:$1,0)),FALSE)),"")</f>
        <v/>
      </c>
      <c r="CKD18" s="28" t="str">
        <f>IFERROR(IF(CKM3="No",IF(VLOOKUP(DATE($K$1,$K$2,CKD$4),Table1[],(MATCH(Calendar!$A18,DB!$1:$1,0)),FALSE)&gt;=5,"Good","Bad"),VLOOKUP(DATE($K$1,$K$2,CKD$4),Table1[],(MATCH(Calendar!$A18,DB!$1:$1,0)),FALSE)),"")</f>
        <v/>
      </c>
      <c r="CKE18" s="28" t="str">
        <f>IFERROR(IF(CKN3="No",IF(VLOOKUP(DATE($K$1,$K$2,CKE$4),Table1[],(MATCH(Calendar!$A18,DB!$1:$1,0)),FALSE)&gt;=5,"Good","Bad"),VLOOKUP(DATE($K$1,$K$2,CKE$4),Table1[],(MATCH(Calendar!$A18,DB!$1:$1,0)),FALSE)),"")</f>
        <v/>
      </c>
      <c r="CKF18" s="28" t="str">
        <f>IFERROR(IF(CKO3="No",IF(VLOOKUP(DATE($K$1,$K$2,CKF$4),Table1[],(MATCH(Calendar!$A18,DB!$1:$1,0)),FALSE)&gt;=5,"Good","Bad"),VLOOKUP(DATE($K$1,$K$2,CKF$4),Table1[],(MATCH(Calendar!$A18,DB!$1:$1,0)),FALSE)),"")</f>
        <v/>
      </c>
      <c r="CKG18" s="28" t="str">
        <f>IFERROR(IF(CKP3="No",IF(VLOOKUP(DATE($K$1,$K$2,CKG$4),Table1[],(MATCH(Calendar!$A18,DB!$1:$1,0)),FALSE)&gt;=5,"Good","Bad"),VLOOKUP(DATE($K$1,$K$2,CKG$4),Table1[],(MATCH(Calendar!$A18,DB!$1:$1,0)),FALSE)),"")</f>
        <v/>
      </c>
      <c r="CKH18" s="28" t="str">
        <f>IFERROR(IF(CKQ3="No",IF(VLOOKUP(DATE($K$1,$K$2,CKH$4),Table1[],(MATCH(Calendar!$A18,DB!$1:$1,0)),FALSE)&gt;=5,"Good","Bad"),VLOOKUP(DATE($K$1,$K$2,CKH$4),Table1[],(MATCH(Calendar!$A18,DB!$1:$1,0)),FALSE)),"")</f>
        <v/>
      </c>
      <c r="CKI18" s="28" t="str">
        <f>IFERROR(IF(CKR3="No",IF(VLOOKUP(DATE($K$1,$K$2,CKI$4),Table1[],(MATCH(Calendar!$A18,DB!$1:$1,0)),FALSE)&gt;=5,"Good","Bad"),VLOOKUP(DATE($K$1,$K$2,CKI$4),Table1[],(MATCH(Calendar!$A18,DB!$1:$1,0)),FALSE)),"")</f>
        <v/>
      </c>
      <c r="CKJ18" s="28" t="str">
        <f>IFERROR(IF(CKS3="No",IF(VLOOKUP(DATE($K$1,$K$2,CKJ$4),Table1[],(MATCH(Calendar!$A18,DB!$1:$1,0)),FALSE)&gt;=5,"Good","Bad"),VLOOKUP(DATE($K$1,$K$2,CKJ$4),Table1[],(MATCH(Calendar!$A18,DB!$1:$1,0)),FALSE)),"")</f>
        <v/>
      </c>
      <c r="CKK18" s="28" t="str">
        <f>IFERROR(IF(CKT3="No",IF(VLOOKUP(DATE($K$1,$K$2,CKK$4),Table1[],(MATCH(Calendar!$A18,DB!$1:$1,0)),FALSE)&gt;=5,"Good","Bad"),VLOOKUP(DATE($K$1,$K$2,CKK$4),Table1[],(MATCH(Calendar!$A18,DB!$1:$1,0)),FALSE)),"")</f>
        <v/>
      </c>
      <c r="CKL18" s="28" t="str">
        <f>IFERROR(IF(CKU3="No",IF(VLOOKUP(DATE($K$1,$K$2,CKL$4),Table1[],(MATCH(Calendar!$A18,DB!$1:$1,0)),FALSE)&gt;=5,"Good","Bad"),VLOOKUP(DATE($K$1,$K$2,CKL$4),Table1[],(MATCH(Calendar!$A18,DB!$1:$1,0)),FALSE)),"")</f>
        <v/>
      </c>
      <c r="CKM18" s="28" t="str">
        <f>IFERROR(IF(CKV3="No",IF(VLOOKUP(DATE($K$1,$K$2,CKM$4),Table1[],(MATCH(Calendar!$A18,DB!$1:$1,0)),FALSE)&gt;=5,"Good","Bad"),VLOOKUP(DATE($K$1,$K$2,CKM$4),Table1[],(MATCH(Calendar!$A18,DB!$1:$1,0)),FALSE)),"")</f>
        <v/>
      </c>
      <c r="CKN18" s="28" t="str">
        <f>IFERROR(IF(CKW3="No",IF(VLOOKUP(DATE($K$1,$K$2,CKN$4),Table1[],(MATCH(Calendar!$A18,DB!$1:$1,0)),FALSE)&gt;=5,"Good","Bad"),VLOOKUP(DATE($K$1,$K$2,CKN$4),Table1[],(MATCH(Calendar!$A18,DB!$1:$1,0)),FALSE)),"")</f>
        <v/>
      </c>
      <c r="CKO18" s="28" t="str">
        <f>IFERROR(IF(CKX3="No",IF(VLOOKUP(DATE($K$1,$K$2,CKO$4),Table1[],(MATCH(Calendar!$A18,DB!$1:$1,0)),FALSE)&gt;=5,"Good","Bad"),VLOOKUP(DATE($K$1,$K$2,CKO$4),Table1[],(MATCH(Calendar!$A18,DB!$1:$1,0)),FALSE)),"")</f>
        <v/>
      </c>
      <c r="CKP18" s="28" t="str">
        <f>IFERROR(IF(CKY3="No",IF(VLOOKUP(DATE($K$1,$K$2,CKP$4),Table1[],(MATCH(Calendar!$A18,DB!$1:$1,0)),FALSE)&gt;=5,"Good","Bad"),VLOOKUP(DATE($K$1,$K$2,CKP$4),Table1[],(MATCH(Calendar!$A18,DB!$1:$1,0)),FALSE)),"")</f>
        <v/>
      </c>
      <c r="CKQ18" s="28" t="str">
        <f>IFERROR(IF(CKZ3="No",IF(VLOOKUP(DATE($K$1,$K$2,CKQ$4),Table1[],(MATCH(Calendar!$A18,DB!$1:$1,0)),FALSE)&gt;=5,"Good","Bad"),VLOOKUP(DATE($K$1,$K$2,CKQ$4),Table1[],(MATCH(Calendar!$A18,DB!$1:$1,0)),FALSE)),"")</f>
        <v/>
      </c>
      <c r="CKR18" s="28" t="str">
        <f>IFERROR(IF(CLA3="No",IF(VLOOKUP(DATE($K$1,$K$2,CKR$4),Table1[],(MATCH(Calendar!$A18,DB!$1:$1,0)),FALSE)&gt;=5,"Good","Bad"),VLOOKUP(DATE($K$1,$K$2,CKR$4),Table1[],(MATCH(Calendar!$A18,DB!$1:$1,0)),FALSE)),"")</f>
        <v/>
      </c>
      <c r="CKS18" s="28" t="str">
        <f>IFERROR(IF(CLB3="No",IF(VLOOKUP(DATE($K$1,$K$2,CKS$4),Table1[],(MATCH(Calendar!$A18,DB!$1:$1,0)),FALSE)&gt;=5,"Good","Bad"),VLOOKUP(DATE($K$1,$K$2,CKS$4),Table1[],(MATCH(Calendar!$A18,DB!$1:$1,0)),FALSE)),"")</f>
        <v/>
      </c>
      <c r="CKT18" s="28" t="str">
        <f>IFERROR(IF(CLC3="No",IF(VLOOKUP(DATE($K$1,$K$2,CKT$4),Table1[],(MATCH(Calendar!$A18,DB!$1:$1,0)),FALSE)&gt;=5,"Good","Bad"),VLOOKUP(DATE($K$1,$K$2,CKT$4),Table1[],(MATCH(Calendar!$A18,DB!$1:$1,0)),FALSE)),"")</f>
        <v/>
      </c>
      <c r="CKU18" s="28" t="str">
        <f>IFERROR(IF(CLD3="No",IF(VLOOKUP(DATE($K$1,$K$2,CKU$4),Table1[],(MATCH(Calendar!$A18,DB!$1:$1,0)),FALSE)&gt;=5,"Good","Bad"),VLOOKUP(DATE($K$1,$K$2,CKU$4),Table1[],(MATCH(Calendar!$A18,DB!$1:$1,0)),FALSE)),"")</f>
        <v/>
      </c>
      <c r="CKV18" s="28" t="str">
        <f>IFERROR(IF(CLE3="No",IF(VLOOKUP(DATE($K$1,$K$2,CKV$4),Table1[],(MATCH(Calendar!$A18,DB!$1:$1,0)),FALSE)&gt;=5,"Good","Bad"),VLOOKUP(DATE($K$1,$K$2,CKV$4),Table1[],(MATCH(Calendar!$A18,DB!$1:$1,0)),FALSE)),"")</f>
        <v/>
      </c>
      <c r="CKW18" s="28" t="str">
        <f>IFERROR(IF(CLF3="No",IF(VLOOKUP(DATE($K$1,$K$2,CKW$4),Table1[],(MATCH(Calendar!$A18,DB!$1:$1,0)),FALSE)&gt;=5,"Good","Bad"),VLOOKUP(DATE($K$1,$K$2,CKW$4),Table1[],(MATCH(Calendar!$A18,DB!$1:$1,0)),FALSE)),"")</f>
        <v/>
      </c>
      <c r="CKX18" s="28" t="str">
        <f>IFERROR(IF(CLG3="No",IF(VLOOKUP(DATE($K$1,$K$2,CKX$4),Table1[],(MATCH(Calendar!$A18,DB!$1:$1,0)),FALSE)&gt;=5,"Good","Bad"),VLOOKUP(DATE($K$1,$K$2,CKX$4),Table1[],(MATCH(Calendar!$A18,DB!$1:$1,0)),FALSE)),"")</f>
        <v/>
      </c>
      <c r="CKY18" s="28" t="str">
        <f>IFERROR(IF(CLH3="No",IF(VLOOKUP(DATE($K$1,$K$2,CKY$4),Table1[],(MATCH(Calendar!$A18,DB!$1:$1,0)),FALSE)&gt;=5,"Good","Bad"),VLOOKUP(DATE($K$1,$K$2,CKY$4),Table1[],(MATCH(Calendar!$A18,DB!$1:$1,0)),FALSE)),"")</f>
        <v/>
      </c>
      <c r="CKZ18" s="28" t="str">
        <f>IFERROR(IF(CLI3="No",IF(VLOOKUP(DATE($K$1,$K$2,CKZ$4),Table1[],(MATCH(Calendar!$A18,DB!$1:$1,0)),FALSE)&gt;=5,"Good","Bad"),VLOOKUP(DATE($K$1,$K$2,CKZ$4),Table1[],(MATCH(Calendar!$A18,DB!$1:$1,0)),FALSE)),"")</f>
        <v/>
      </c>
      <c r="CLA18" s="28" t="str">
        <f>IFERROR(IF(CLJ3="No",IF(VLOOKUP(DATE($K$1,$K$2,CLA$4),Table1[],(MATCH(Calendar!$A18,DB!$1:$1,0)),FALSE)&gt;=5,"Good","Bad"),VLOOKUP(DATE($K$1,$K$2,CLA$4),Table1[],(MATCH(Calendar!$A18,DB!$1:$1,0)),FALSE)),"")</f>
        <v/>
      </c>
      <c r="CLB18" s="28" t="str">
        <f>IFERROR(IF(CLK3="No",IF(VLOOKUP(DATE($K$1,$K$2,CLB$4),Table1[],(MATCH(Calendar!$A18,DB!$1:$1,0)),FALSE)&gt;=5,"Good","Bad"),VLOOKUP(DATE($K$1,$K$2,CLB$4),Table1[],(MATCH(Calendar!$A18,DB!$1:$1,0)),FALSE)),"")</f>
        <v/>
      </c>
      <c r="CLC18" s="28" t="str">
        <f>IFERROR(IF(CLL3="No",IF(VLOOKUP(DATE($K$1,$K$2,CLC$4),Table1[],(MATCH(Calendar!$A18,DB!$1:$1,0)),FALSE)&gt;=5,"Good","Bad"),VLOOKUP(DATE($K$1,$K$2,CLC$4),Table1[],(MATCH(Calendar!$A18,DB!$1:$1,0)),FALSE)),"")</f>
        <v/>
      </c>
      <c r="CLD18" s="28" t="str">
        <f>IFERROR(IF(CLM3="No",IF(VLOOKUP(DATE($K$1,$K$2,CLD$4),Table1[],(MATCH(Calendar!$A18,DB!$1:$1,0)),FALSE)&gt;=5,"Good","Bad"),VLOOKUP(DATE($K$1,$K$2,CLD$4),Table1[],(MATCH(Calendar!$A18,DB!$1:$1,0)),FALSE)),"")</f>
        <v/>
      </c>
      <c r="CLE18" s="28" t="str">
        <f>IFERROR(IF(CLN3="No",IF(VLOOKUP(DATE($K$1,$K$2,CLE$4),Table1[],(MATCH(Calendar!$A18,DB!$1:$1,0)),FALSE)&gt;=5,"Good","Bad"),VLOOKUP(DATE($K$1,$K$2,CLE$4),Table1[],(MATCH(Calendar!$A18,DB!$1:$1,0)),FALSE)),"")</f>
        <v/>
      </c>
      <c r="CLF18" s="28" t="str">
        <f>IFERROR(IF(CLO3="No",IF(VLOOKUP(DATE($K$1,$K$2,CLF$4),Table1[],(MATCH(Calendar!$A18,DB!$1:$1,0)),FALSE)&gt;=5,"Good","Bad"),VLOOKUP(DATE($K$1,$K$2,CLF$4),Table1[],(MATCH(Calendar!$A18,DB!$1:$1,0)),FALSE)),"")</f>
        <v/>
      </c>
      <c r="CLG18" s="28" t="str">
        <f>IFERROR(IF(CLP3="No",IF(VLOOKUP(DATE($K$1,$K$2,CLG$4),Table1[],(MATCH(Calendar!$A18,DB!$1:$1,0)),FALSE)&gt;=5,"Good","Bad"),VLOOKUP(DATE($K$1,$K$2,CLG$4),Table1[],(MATCH(Calendar!$A18,DB!$1:$1,0)),FALSE)),"")</f>
        <v/>
      </c>
      <c r="CLH18" s="28" t="str">
        <f>IFERROR(IF(CLQ3="No",IF(VLOOKUP(DATE($K$1,$K$2,CLH$4),Table1[],(MATCH(Calendar!$A18,DB!$1:$1,0)),FALSE)&gt;=5,"Good","Bad"),VLOOKUP(DATE($K$1,$K$2,CLH$4),Table1[],(MATCH(Calendar!$A18,DB!$1:$1,0)),FALSE)),"")</f>
        <v/>
      </c>
      <c r="CLI18" s="28" t="str">
        <f>IFERROR(IF(CLR3="No",IF(VLOOKUP(DATE($K$1,$K$2,CLI$4),Table1[],(MATCH(Calendar!$A18,DB!$1:$1,0)),FALSE)&gt;=5,"Good","Bad"),VLOOKUP(DATE($K$1,$K$2,CLI$4),Table1[],(MATCH(Calendar!$A18,DB!$1:$1,0)),FALSE)),"")</f>
        <v/>
      </c>
      <c r="CLJ18" s="28" t="str">
        <f>IFERROR(IF(CLS3="No",IF(VLOOKUP(DATE($K$1,$K$2,CLJ$4),Table1[],(MATCH(Calendar!$A18,DB!$1:$1,0)),FALSE)&gt;=5,"Good","Bad"),VLOOKUP(DATE($K$1,$K$2,CLJ$4),Table1[],(MATCH(Calendar!$A18,DB!$1:$1,0)),FALSE)),"")</f>
        <v/>
      </c>
      <c r="CLK18" s="28" t="str">
        <f>IFERROR(IF(CLT3="No",IF(VLOOKUP(DATE($K$1,$K$2,CLK$4),Table1[],(MATCH(Calendar!$A18,DB!$1:$1,0)),FALSE)&gt;=5,"Good","Bad"),VLOOKUP(DATE($K$1,$K$2,CLK$4),Table1[],(MATCH(Calendar!$A18,DB!$1:$1,0)),FALSE)),"")</f>
        <v/>
      </c>
      <c r="CLL18" s="28" t="str">
        <f>IFERROR(IF(CLU3="No",IF(VLOOKUP(DATE($K$1,$K$2,CLL$4),Table1[],(MATCH(Calendar!$A18,DB!$1:$1,0)),FALSE)&gt;=5,"Good","Bad"),VLOOKUP(DATE($K$1,$K$2,CLL$4),Table1[],(MATCH(Calendar!$A18,DB!$1:$1,0)),FALSE)),"")</f>
        <v/>
      </c>
      <c r="CLM18" s="28" t="str">
        <f>IFERROR(IF(CLV3="No",IF(VLOOKUP(DATE($K$1,$K$2,CLM$4),Table1[],(MATCH(Calendar!$A18,DB!$1:$1,0)),FALSE)&gt;=5,"Good","Bad"),VLOOKUP(DATE($K$1,$K$2,CLM$4),Table1[],(MATCH(Calendar!$A18,DB!$1:$1,0)),FALSE)),"")</f>
        <v/>
      </c>
      <c r="CLN18" s="28" t="str">
        <f>IFERROR(IF(CLW3="No",IF(VLOOKUP(DATE($K$1,$K$2,CLN$4),Table1[],(MATCH(Calendar!$A18,DB!$1:$1,0)),FALSE)&gt;=5,"Good","Bad"),VLOOKUP(DATE($K$1,$K$2,CLN$4),Table1[],(MATCH(Calendar!$A18,DB!$1:$1,0)),FALSE)),"")</f>
        <v/>
      </c>
      <c r="CLO18" s="28" t="str">
        <f>IFERROR(IF(CLX3="No",IF(VLOOKUP(DATE($K$1,$K$2,CLO$4),Table1[],(MATCH(Calendar!$A18,DB!$1:$1,0)),FALSE)&gt;=5,"Good","Bad"),VLOOKUP(DATE($K$1,$K$2,CLO$4),Table1[],(MATCH(Calendar!$A18,DB!$1:$1,0)),FALSE)),"")</f>
        <v/>
      </c>
      <c r="CLP18" s="28" t="str">
        <f>IFERROR(IF(CLY3="No",IF(VLOOKUP(DATE($K$1,$K$2,CLP$4),Table1[],(MATCH(Calendar!$A18,DB!$1:$1,0)),FALSE)&gt;=5,"Good","Bad"),VLOOKUP(DATE($K$1,$K$2,CLP$4),Table1[],(MATCH(Calendar!$A18,DB!$1:$1,0)),FALSE)),"")</f>
        <v/>
      </c>
      <c r="CLQ18" s="28" t="str">
        <f>IFERROR(IF(CLZ3="No",IF(VLOOKUP(DATE($K$1,$K$2,CLQ$4),Table1[],(MATCH(Calendar!$A18,DB!$1:$1,0)),FALSE)&gt;=5,"Good","Bad"),VLOOKUP(DATE($K$1,$K$2,CLQ$4),Table1[],(MATCH(Calendar!$A18,DB!$1:$1,0)),FALSE)),"")</f>
        <v/>
      </c>
      <c r="CLR18" s="28" t="str">
        <f>IFERROR(IF(CMA3="No",IF(VLOOKUP(DATE($K$1,$K$2,CLR$4),Table1[],(MATCH(Calendar!$A18,DB!$1:$1,0)),FALSE)&gt;=5,"Good","Bad"),VLOOKUP(DATE($K$1,$K$2,CLR$4),Table1[],(MATCH(Calendar!$A18,DB!$1:$1,0)),FALSE)),"")</f>
        <v/>
      </c>
      <c r="CLS18" s="28" t="str">
        <f>IFERROR(IF(CMB3="No",IF(VLOOKUP(DATE($K$1,$K$2,CLS$4),Table1[],(MATCH(Calendar!$A18,DB!$1:$1,0)),FALSE)&gt;=5,"Good","Bad"),VLOOKUP(DATE($K$1,$K$2,CLS$4),Table1[],(MATCH(Calendar!$A18,DB!$1:$1,0)),FALSE)),"")</f>
        <v/>
      </c>
      <c r="CLT18" s="28" t="str">
        <f>IFERROR(IF(CMC3="No",IF(VLOOKUP(DATE($K$1,$K$2,CLT$4),Table1[],(MATCH(Calendar!$A18,DB!$1:$1,0)),FALSE)&gt;=5,"Good","Bad"),VLOOKUP(DATE($K$1,$K$2,CLT$4),Table1[],(MATCH(Calendar!$A18,DB!$1:$1,0)),FALSE)),"")</f>
        <v/>
      </c>
      <c r="CLU18" s="28" t="str">
        <f>IFERROR(IF(CMD3="No",IF(VLOOKUP(DATE($K$1,$K$2,CLU$4),Table1[],(MATCH(Calendar!$A18,DB!$1:$1,0)),FALSE)&gt;=5,"Good","Bad"),VLOOKUP(DATE($K$1,$K$2,CLU$4),Table1[],(MATCH(Calendar!$A18,DB!$1:$1,0)),FALSE)),"")</f>
        <v/>
      </c>
      <c r="CLV18" s="28" t="str">
        <f>IFERROR(IF(CME3="No",IF(VLOOKUP(DATE($K$1,$K$2,CLV$4),Table1[],(MATCH(Calendar!$A18,DB!$1:$1,0)),FALSE)&gt;=5,"Good","Bad"),VLOOKUP(DATE($K$1,$K$2,CLV$4),Table1[],(MATCH(Calendar!$A18,DB!$1:$1,0)),FALSE)),"")</f>
        <v/>
      </c>
      <c r="CLW18" s="28" t="str">
        <f>IFERROR(IF(CMF3="No",IF(VLOOKUP(DATE($K$1,$K$2,CLW$4),Table1[],(MATCH(Calendar!$A18,DB!$1:$1,0)),FALSE)&gt;=5,"Good","Bad"),VLOOKUP(DATE($K$1,$K$2,CLW$4),Table1[],(MATCH(Calendar!$A18,DB!$1:$1,0)),FALSE)),"")</f>
        <v/>
      </c>
      <c r="CLX18" s="28" t="str">
        <f>IFERROR(IF(CMG3="No",IF(VLOOKUP(DATE($K$1,$K$2,CLX$4),Table1[],(MATCH(Calendar!$A18,DB!$1:$1,0)),FALSE)&gt;=5,"Good","Bad"),VLOOKUP(DATE($K$1,$K$2,CLX$4),Table1[],(MATCH(Calendar!$A18,DB!$1:$1,0)),FALSE)),"")</f>
        <v/>
      </c>
      <c r="CLY18" s="28" t="str">
        <f>IFERROR(IF(CMH3="No",IF(VLOOKUP(DATE($K$1,$K$2,CLY$4),Table1[],(MATCH(Calendar!$A18,DB!$1:$1,0)),FALSE)&gt;=5,"Good","Bad"),VLOOKUP(DATE($K$1,$K$2,CLY$4),Table1[],(MATCH(Calendar!$A18,DB!$1:$1,0)),FALSE)),"")</f>
        <v/>
      </c>
      <c r="CLZ18" s="28" t="str">
        <f>IFERROR(IF(CMI3="No",IF(VLOOKUP(DATE($K$1,$K$2,CLZ$4),Table1[],(MATCH(Calendar!$A18,DB!$1:$1,0)),FALSE)&gt;=5,"Good","Bad"),VLOOKUP(DATE($K$1,$K$2,CLZ$4),Table1[],(MATCH(Calendar!$A18,DB!$1:$1,0)),FALSE)),"")</f>
        <v/>
      </c>
      <c r="CMA18" s="28" t="str">
        <f>IFERROR(IF(CMJ3="No",IF(VLOOKUP(DATE($K$1,$K$2,CMA$4),Table1[],(MATCH(Calendar!$A18,DB!$1:$1,0)),FALSE)&gt;=5,"Good","Bad"),VLOOKUP(DATE($K$1,$K$2,CMA$4),Table1[],(MATCH(Calendar!$A18,DB!$1:$1,0)),FALSE)),"")</f>
        <v/>
      </c>
      <c r="CMB18" s="28" t="str">
        <f>IFERROR(IF(CMK3="No",IF(VLOOKUP(DATE($K$1,$K$2,CMB$4),Table1[],(MATCH(Calendar!$A18,DB!$1:$1,0)),FALSE)&gt;=5,"Good","Bad"),VLOOKUP(DATE($K$1,$K$2,CMB$4),Table1[],(MATCH(Calendar!$A18,DB!$1:$1,0)),FALSE)),"")</f>
        <v/>
      </c>
      <c r="CMC18" s="28" t="str">
        <f>IFERROR(IF(CML3="No",IF(VLOOKUP(DATE($K$1,$K$2,CMC$4),Table1[],(MATCH(Calendar!$A18,DB!$1:$1,0)),FALSE)&gt;=5,"Good","Bad"),VLOOKUP(DATE($K$1,$K$2,CMC$4),Table1[],(MATCH(Calendar!$A18,DB!$1:$1,0)),FALSE)),"")</f>
        <v/>
      </c>
      <c r="CMD18" s="28" t="str">
        <f>IFERROR(IF(CMM3="No",IF(VLOOKUP(DATE($K$1,$K$2,CMD$4),Table1[],(MATCH(Calendar!$A18,DB!$1:$1,0)),FALSE)&gt;=5,"Good","Bad"),VLOOKUP(DATE($K$1,$K$2,CMD$4),Table1[],(MATCH(Calendar!$A18,DB!$1:$1,0)),FALSE)),"")</f>
        <v/>
      </c>
      <c r="CME18" s="28" t="str">
        <f>IFERROR(IF(CMN3="No",IF(VLOOKUP(DATE($K$1,$K$2,CME$4),Table1[],(MATCH(Calendar!$A18,DB!$1:$1,0)),FALSE)&gt;=5,"Good","Bad"),VLOOKUP(DATE($K$1,$K$2,CME$4),Table1[],(MATCH(Calendar!$A18,DB!$1:$1,0)),FALSE)),"")</f>
        <v/>
      </c>
      <c r="CMF18" s="28" t="str">
        <f>IFERROR(IF(CMO3="No",IF(VLOOKUP(DATE($K$1,$K$2,CMF$4),Table1[],(MATCH(Calendar!$A18,DB!$1:$1,0)),FALSE)&gt;=5,"Good","Bad"),VLOOKUP(DATE($K$1,$K$2,CMF$4),Table1[],(MATCH(Calendar!$A18,DB!$1:$1,0)),FALSE)),"")</f>
        <v/>
      </c>
      <c r="CMG18" s="28" t="str">
        <f>IFERROR(IF(CMP3="No",IF(VLOOKUP(DATE($K$1,$K$2,CMG$4),Table1[],(MATCH(Calendar!$A18,DB!$1:$1,0)),FALSE)&gt;=5,"Good","Bad"),VLOOKUP(DATE($K$1,$K$2,CMG$4),Table1[],(MATCH(Calendar!$A18,DB!$1:$1,0)),FALSE)),"")</f>
        <v/>
      </c>
      <c r="CMH18" s="28" t="str">
        <f>IFERROR(IF(CMQ3="No",IF(VLOOKUP(DATE($K$1,$K$2,CMH$4),Table1[],(MATCH(Calendar!$A18,DB!$1:$1,0)),FALSE)&gt;=5,"Good","Bad"),VLOOKUP(DATE($K$1,$K$2,CMH$4),Table1[],(MATCH(Calendar!$A18,DB!$1:$1,0)),FALSE)),"")</f>
        <v/>
      </c>
      <c r="CMI18" s="28" t="str">
        <f>IFERROR(IF(CMR3="No",IF(VLOOKUP(DATE($K$1,$K$2,CMI$4),Table1[],(MATCH(Calendar!$A18,DB!$1:$1,0)),FALSE)&gt;=5,"Good","Bad"),VLOOKUP(DATE($K$1,$K$2,CMI$4),Table1[],(MATCH(Calendar!$A18,DB!$1:$1,0)),FALSE)),"")</f>
        <v/>
      </c>
      <c r="CMJ18" s="28" t="str">
        <f>IFERROR(IF(CMS3="No",IF(VLOOKUP(DATE($K$1,$K$2,CMJ$4),Table1[],(MATCH(Calendar!$A18,DB!$1:$1,0)),FALSE)&gt;=5,"Good","Bad"),VLOOKUP(DATE($K$1,$K$2,CMJ$4),Table1[],(MATCH(Calendar!$A18,DB!$1:$1,0)),FALSE)),"")</f>
        <v/>
      </c>
      <c r="CMK18" s="28" t="str">
        <f>IFERROR(IF(CMT3="No",IF(VLOOKUP(DATE($K$1,$K$2,CMK$4),Table1[],(MATCH(Calendar!$A18,DB!$1:$1,0)),FALSE)&gt;=5,"Good","Bad"),VLOOKUP(DATE($K$1,$K$2,CMK$4),Table1[],(MATCH(Calendar!$A18,DB!$1:$1,0)),FALSE)),"")</f>
        <v/>
      </c>
      <c r="CML18" s="28" t="str">
        <f>IFERROR(IF(CMU3="No",IF(VLOOKUP(DATE($K$1,$K$2,CML$4),Table1[],(MATCH(Calendar!$A18,DB!$1:$1,0)),FALSE)&gt;=5,"Good","Bad"),VLOOKUP(DATE($K$1,$K$2,CML$4),Table1[],(MATCH(Calendar!$A18,DB!$1:$1,0)),FALSE)),"")</f>
        <v/>
      </c>
      <c r="CMM18" s="28" t="str">
        <f>IFERROR(IF(CMV3="No",IF(VLOOKUP(DATE($K$1,$K$2,CMM$4),Table1[],(MATCH(Calendar!$A18,DB!$1:$1,0)),FALSE)&gt;=5,"Good","Bad"),VLOOKUP(DATE($K$1,$K$2,CMM$4),Table1[],(MATCH(Calendar!$A18,DB!$1:$1,0)),FALSE)),"")</f>
        <v/>
      </c>
      <c r="CMN18" s="28" t="str">
        <f>IFERROR(IF(CMW3="No",IF(VLOOKUP(DATE($K$1,$K$2,CMN$4),Table1[],(MATCH(Calendar!$A18,DB!$1:$1,0)),FALSE)&gt;=5,"Good","Bad"),VLOOKUP(DATE($K$1,$K$2,CMN$4),Table1[],(MATCH(Calendar!$A18,DB!$1:$1,0)),FALSE)),"")</f>
        <v/>
      </c>
      <c r="CMO18" s="28" t="str">
        <f>IFERROR(IF(CMX3="No",IF(VLOOKUP(DATE($K$1,$K$2,CMO$4),Table1[],(MATCH(Calendar!$A18,DB!$1:$1,0)),FALSE)&gt;=5,"Good","Bad"),VLOOKUP(DATE($K$1,$K$2,CMO$4),Table1[],(MATCH(Calendar!$A18,DB!$1:$1,0)),FALSE)),"")</f>
        <v/>
      </c>
      <c r="CMP18" s="28" t="str">
        <f>IFERROR(IF(CMY3="No",IF(VLOOKUP(DATE($K$1,$K$2,CMP$4),Table1[],(MATCH(Calendar!$A18,DB!$1:$1,0)),FALSE)&gt;=5,"Good","Bad"),VLOOKUP(DATE($K$1,$K$2,CMP$4),Table1[],(MATCH(Calendar!$A18,DB!$1:$1,0)),FALSE)),"")</f>
        <v/>
      </c>
      <c r="CMQ18" s="28" t="str">
        <f>IFERROR(IF(CMZ3="No",IF(VLOOKUP(DATE($K$1,$K$2,CMQ$4),Table1[],(MATCH(Calendar!$A18,DB!$1:$1,0)),FALSE)&gt;=5,"Good","Bad"),VLOOKUP(DATE($K$1,$K$2,CMQ$4),Table1[],(MATCH(Calendar!$A18,DB!$1:$1,0)),FALSE)),"")</f>
        <v/>
      </c>
      <c r="CMR18" s="28" t="str">
        <f>IFERROR(IF(CNA3="No",IF(VLOOKUP(DATE($K$1,$K$2,CMR$4),Table1[],(MATCH(Calendar!$A18,DB!$1:$1,0)),FALSE)&gt;=5,"Good","Bad"),VLOOKUP(DATE($K$1,$K$2,CMR$4),Table1[],(MATCH(Calendar!$A18,DB!$1:$1,0)),FALSE)),"")</f>
        <v/>
      </c>
      <c r="CMS18" s="28" t="str">
        <f>IFERROR(IF(CNB3="No",IF(VLOOKUP(DATE($K$1,$K$2,CMS$4),Table1[],(MATCH(Calendar!$A18,DB!$1:$1,0)),FALSE)&gt;=5,"Good","Bad"),VLOOKUP(DATE($K$1,$K$2,CMS$4),Table1[],(MATCH(Calendar!$A18,DB!$1:$1,0)),FALSE)),"")</f>
        <v/>
      </c>
      <c r="CMT18" s="28" t="str">
        <f>IFERROR(IF(CNC3="No",IF(VLOOKUP(DATE($K$1,$K$2,CMT$4),Table1[],(MATCH(Calendar!$A18,DB!$1:$1,0)),FALSE)&gt;=5,"Good","Bad"),VLOOKUP(DATE($K$1,$K$2,CMT$4),Table1[],(MATCH(Calendar!$A18,DB!$1:$1,0)),FALSE)),"")</f>
        <v/>
      </c>
      <c r="CMU18" s="28" t="str">
        <f>IFERROR(IF(CND3="No",IF(VLOOKUP(DATE($K$1,$K$2,CMU$4),Table1[],(MATCH(Calendar!$A18,DB!$1:$1,0)),FALSE)&gt;=5,"Good","Bad"),VLOOKUP(DATE($K$1,$K$2,CMU$4),Table1[],(MATCH(Calendar!$A18,DB!$1:$1,0)),FALSE)),"")</f>
        <v/>
      </c>
      <c r="CMV18" s="28" t="str">
        <f>IFERROR(IF(CNE3="No",IF(VLOOKUP(DATE($K$1,$K$2,CMV$4),Table1[],(MATCH(Calendar!$A18,DB!$1:$1,0)),FALSE)&gt;=5,"Good","Bad"),VLOOKUP(DATE($K$1,$K$2,CMV$4),Table1[],(MATCH(Calendar!$A18,DB!$1:$1,0)),FALSE)),"")</f>
        <v/>
      </c>
      <c r="CMW18" s="28" t="str">
        <f>IFERROR(IF(CNF3="No",IF(VLOOKUP(DATE($K$1,$K$2,CMW$4),Table1[],(MATCH(Calendar!$A18,DB!$1:$1,0)),FALSE)&gt;=5,"Good","Bad"),VLOOKUP(DATE($K$1,$K$2,CMW$4),Table1[],(MATCH(Calendar!$A18,DB!$1:$1,0)),FALSE)),"")</f>
        <v/>
      </c>
      <c r="CMX18" s="28" t="str">
        <f>IFERROR(IF(CNG3="No",IF(VLOOKUP(DATE($K$1,$K$2,CMX$4),Table1[],(MATCH(Calendar!$A18,DB!$1:$1,0)),FALSE)&gt;=5,"Good","Bad"),VLOOKUP(DATE($K$1,$K$2,CMX$4),Table1[],(MATCH(Calendar!$A18,DB!$1:$1,0)),FALSE)),"")</f>
        <v/>
      </c>
      <c r="CMY18" s="28" t="str">
        <f>IFERROR(IF(CNH3="No",IF(VLOOKUP(DATE($K$1,$K$2,CMY$4),Table1[],(MATCH(Calendar!$A18,DB!$1:$1,0)),FALSE)&gt;=5,"Good","Bad"),VLOOKUP(DATE($K$1,$K$2,CMY$4),Table1[],(MATCH(Calendar!$A18,DB!$1:$1,0)),FALSE)),"")</f>
        <v/>
      </c>
      <c r="CMZ18" s="28" t="str">
        <f>IFERROR(IF(CNI3="No",IF(VLOOKUP(DATE($K$1,$K$2,CMZ$4),Table1[],(MATCH(Calendar!$A18,DB!$1:$1,0)),FALSE)&gt;=5,"Good","Bad"),VLOOKUP(DATE($K$1,$K$2,CMZ$4),Table1[],(MATCH(Calendar!$A18,DB!$1:$1,0)),FALSE)),"")</f>
        <v/>
      </c>
      <c r="CNA18" s="28" t="str">
        <f>IFERROR(IF(CNJ3="No",IF(VLOOKUP(DATE($K$1,$K$2,CNA$4),Table1[],(MATCH(Calendar!$A18,DB!$1:$1,0)),FALSE)&gt;=5,"Good","Bad"),VLOOKUP(DATE($K$1,$K$2,CNA$4),Table1[],(MATCH(Calendar!$A18,DB!$1:$1,0)),FALSE)),"")</f>
        <v/>
      </c>
      <c r="CNB18" s="28" t="str">
        <f>IFERROR(IF(CNK3="No",IF(VLOOKUP(DATE($K$1,$K$2,CNB$4),Table1[],(MATCH(Calendar!$A18,DB!$1:$1,0)),FALSE)&gt;=5,"Good","Bad"),VLOOKUP(DATE($K$1,$K$2,CNB$4),Table1[],(MATCH(Calendar!$A18,DB!$1:$1,0)),FALSE)),"")</f>
        <v/>
      </c>
      <c r="CNC18" s="28" t="str">
        <f>IFERROR(IF(CNL3="No",IF(VLOOKUP(DATE($K$1,$K$2,CNC$4),Table1[],(MATCH(Calendar!$A18,DB!$1:$1,0)),FALSE)&gt;=5,"Good","Bad"),VLOOKUP(DATE($K$1,$K$2,CNC$4),Table1[],(MATCH(Calendar!$A18,DB!$1:$1,0)),FALSE)),"")</f>
        <v/>
      </c>
      <c r="CND18" s="28" t="str">
        <f>IFERROR(IF(CNM3="No",IF(VLOOKUP(DATE($K$1,$K$2,CND$4),Table1[],(MATCH(Calendar!$A18,DB!$1:$1,0)),FALSE)&gt;=5,"Good","Bad"),VLOOKUP(DATE($K$1,$K$2,CND$4),Table1[],(MATCH(Calendar!$A18,DB!$1:$1,0)),FALSE)),"")</f>
        <v/>
      </c>
      <c r="CNE18" s="28" t="str">
        <f>IFERROR(IF(CNN3="No",IF(VLOOKUP(DATE($K$1,$K$2,CNE$4),Table1[],(MATCH(Calendar!$A18,DB!$1:$1,0)),FALSE)&gt;=5,"Good","Bad"),VLOOKUP(DATE($K$1,$K$2,CNE$4),Table1[],(MATCH(Calendar!$A18,DB!$1:$1,0)),FALSE)),"")</f>
        <v/>
      </c>
      <c r="CNF18" s="28" t="str">
        <f>IFERROR(IF(CNO3="No",IF(VLOOKUP(DATE($K$1,$K$2,CNF$4),Table1[],(MATCH(Calendar!$A18,DB!$1:$1,0)),FALSE)&gt;=5,"Good","Bad"),VLOOKUP(DATE($K$1,$K$2,CNF$4),Table1[],(MATCH(Calendar!$A18,DB!$1:$1,0)),FALSE)),"")</f>
        <v/>
      </c>
      <c r="CNG18" s="28" t="str">
        <f>IFERROR(IF(CNP3="No",IF(VLOOKUP(DATE($K$1,$K$2,CNG$4),Table1[],(MATCH(Calendar!$A18,DB!$1:$1,0)),FALSE)&gt;=5,"Good","Bad"),VLOOKUP(DATE($K$1,$K$2,CNG$4),Table1[],(MATCH(Calendar!$A18,DB!$1:$1,0)),FALSE)),"")</f>
        <v/>
      </c>
      <c r="CNH18" s="28" t="str">
        <f>IFERROR(IF(CNQ3="No",IF(VLOOKUP(DATE($K$1,$K$2,CNH$4),Table1[],(MATCH(Calendar!$A18,DB!$1:$1,0)),FALSE)&gt;=5,"Good","Bad"),VLOOKUP(DATE($K$1,$K$2,CNH$4),Table1[],(MATCH(Calendar!$A18,DB!$1:$1,0)),FALSE)),"")</f>
        <v/>
      </c>
      <c r="CNI18" s="28" t="str">
        <f>IFERROR(IF(CNR3="No",IF(VLOOKUP(DATE($K$1,$K$2,CNI$4),Table1[],(MATCH(Calendar!$A18,DB!$1:$1,0)),FALSE)&gt;=5,"Good","Bad"),VLOOKUP(DATE($K$1,$K$2,CNI$4),Table1[],(MATCH(Calendar!$A18,DB!$1:$1,0)),FALSE)),"")</f>
        <v/>
      </c>
      <c r="CNJ18" s="28" t="str">
        <f>IFERROR(IF(CNS3="No",IF(VLOOKUP(DATE($K$1,$K$2,CNJ$4),Table1[],(MATCH(Calendar!$A18,DB!$1:$1,0)),FALSE)&gt;=5,"Good","Bad"),VLOOKUP(DATE($K$1,$K$2,CNJ$4),Table1[],(MATCH(Calendar!$A18,DB!$1:$1,0)),FALSE)),"")</f>
        <v/>
      </c>
      <c r="CNK18" s="28" t="str">
        <f>IFERROR(IF(CNT3="No",IF(VLOOKUP(DATE($K$1,$K$2,CNK$4),Table1[],(MATCH(Calendar!$A18,DB!$1:$1,0)),FALSE)&gt;=5,"Good","Bad"),VLOOKUP(DATE($K$1,$K$2,CNK$4),Table1[],(MATCH(Calendar!$A18,DB!$1:$1,0)),FALSE)),"")</f>
        <v/>
      </c>
      <c r="CNL18" s="28" t="str">
        <f>IFERROR(IF(CNU3="No",IF(VLOOKUP(DATE($K$1,$K$2,CNL$4),Table1[],(MATCH(Calendar!$A18,DB!$1:$1,0)),FALSE)&gt;=5,"Good","Bad"),VLOOKUP(DATE($K$1,$K$2,CNL$4),Table1[],(MATCH(Calendar!$A18,DB!$1:$1,0)),FALSE)),"")</f>
        <v/>
      </c>
      <c r="CNM18" s="28" t="str">
        <f>IFERROR(IF(CNV3="No",IF(VLOOKUP(DATE($K$1,$K$2,CNM$4),Table1[],(MATCH(Calendar!$A18,DB!$1:$1,0)),FALSE)&gt;=5,"Good","Bad"),VLOOKUP(DATE($K$1,$K$2,CNM$4),Table1[],(MATCH(Calendar!$A18,DB!$1:$1,0)),FALSE)),"")</f>
        <v/>
      </c>
      <c r="CNN18" s="28" t="str">
        <f>IFERROR(IF(CNW3="No",IF(VLOOKUP(DATE($K$1,$K$2,CNN$4),Table1[],(MATCH(Calendar!$A18,DB!$1:$1,0)),FALSE)&gt;=5,"Good","Bad"),VLOOKUP(DATE($K$1,$K$2,CNN$4),Table1[],(MATCH(Calendar!$A18,DB!$1:$1,0)),FALSE)),"")</f>
        <v/>
      </c>
      <c r="CNO18" s="28" t="str">
        <f>IFERROR(IF(CNX3="No",IF(VLOOKUP(DATE($K$1,$K$2,CNO$4),Table1[],(MATCH(Calendar!$A18,DB!$1:$1,0)),FALSE)&gt;=5,"Good","Bad"),VLOOKUP(DATE($K$1,$K$2,CNO$4),Table1[],(MATCH(Calendar!$A18,DB!$1:$1,0)),FALSE)),"")</f>
        <v/>
      </c>
      <c r="CNP18" s="28" t="str">
        <f>IFERROR(IF(CNY3="No",IF(VLOOKUP(DATE($K$1,$K$2,CNP$4),Table1[],(MATCH(Calendar!$A18,DB!$1:$1,0)),FALSE)&gt;=5,"Good","Bad"),VLOOKUP(DATE($K$1,$K$2,CNP$4),Table1[],(MATCH(Calendar!$A18,DB!$1:$1,0)),FALSE)),"")</f>
        <v/>
      </c>
      <c r="CNQ18" s="28" t="str">
        <f>IFERROR(IF(CNZ3="No",IF(VLOOKUP(DATE($K$1,$K$2,CNQ$4),Table1[],(MATCH(Calendar!$A18,DB!$1:$1,0)),FALSE)&gt;=5,"Good","Bad"),VLOOKUP(DATE($K$1,$K$2,CNQ$4),Table1[],(MATCH(Calendar!$A18,DB!$1:$1,0)),FALSE)),"")</f>
        <v/>
      </c>
      <c r="CNR18" s="28" t="str">
        <f>IFERROR(IF(COA3="No",IF(VLOOKUP(DATE($K$1,$K$2,CNR$4),Table1[],(MATCH(Calendar!$A18,DB!$1:$1,0)),FALSE)&gt;=5,"Good","Bad"),VLOOKUP(DATE($K$1,$K$2,CNR$4),Table1[],(MATCH(Calendar!$A18,DB!$1:$1,0)),FALSE)),"")</f>
        <v/>
      </c>
      <c r="CNS18" s="28" t="str">
        <f>IFERROR(IF(COB3="No",IF(VLOOKUP(DATE($K$1,$K$2,CNS$4),Table1[],(MATCH(Calendar!$A18,DB!$1:$1,0)),FALSE)&gt;=5,"Good","Bad"),VLOOKUP(DATE($K$1,$K$2,CNS$4),Table1[],(MATCH(Calendar!$A18,DB!$1:$1,0)),FALSE)),"")</f>
        <v/>
      </c>
      <c r="CNT18" s="28" t="str">
        <f>IFERROR(IF(COC3="No",IF(VLOOKUP(DATE($K$1,$K$2,CNT$4),Table1[],(MATCH(Calendar!$A18,DB!$1:$1,0)),FALSE)&gt;=5,"Good","Bad"),VLOOKUP(DATE($K$1,$K$2,CNT$4),Table1[],(MATCH(Calendar!$A18,DB!$1:$1,0)),FALSE)),"")</f>
        <v/>
      </c>
      <c r="CNU18" s="28" t="str">
        <f>IFERROR(IF(COD3="No",IF(VLOOKUP(DATE($K$1,$K$2,CNU$4),Table1[],(MATCH(Calendar!$A18,DB!$1:$1,0)),FALSE)&gt;=5,"Good","Bad"),VLOOKUP(DATE($K$1,$K$2,CNU$4),Table1[],(MATCH(Calendar!$A18,DB!$1:$1,0)),FALSE)),"")</f>
        <v/>
      </c>
      <c r="CNV18" s="28" t="str">
        <f>IFERROR(IF(COE3="No",IF(VLOOKUP(DATE($K$1,$K$2,CNV$4),Table1[],(MATCH(Calendar!$A18,DB!$1:$1,0)),FALSE)&gt;=5,"Good","Bad"),VLOOKUP(DATE($K$1,$K$2,CNV$4),Table1[],(MATCH(Calendar!$A18,DB!$1:$1,0)),FALSE)),"")</f>
        <v/>
      </c>
      <c r="CNW18" s="28" t="str">
        <f>IFERROR(IF(COF3="No",IF(VLOOKUP(DATE($K$1,$K$2,CNW$4),Table1[],(MATCH(Calendar!$A18,DB!$1:$1,0)),FALSE)&gt;=5,"Good","Bad"),VLOOKUP(DATE($K$1,$K$2,CNW$4),Table1[],(MATCH(Calendar!$A18,DB!$1:$1,0)),FALSE)),"")</f>
        <v/>
      </c>
      <c r="CNX18" s="28" t="str">
        <f>IFERROR(IF(COG3="No",IF(VLOOKUP(DATE($K$1,$K$2,CNX$4),Table1[],(MATCH(Calendar!$A18,DB!$1:$1,0)),FALSE)&gt;=5,"Good","Bad"),VLOOKUP(DATE($K$1,$K$2,CNX$4),Table1[],(MATCH(Calendar!$A18,DB!$1:$1,0)),FALSE)),"")</f>
        <v/>
      </c>
      <c r="CNY18" s="28" t="str">
        <f>IFERROR(IF(COH3="No",IF(VLOOKUP(DATE($K$1,$K$2,CNY$4),Table1[],(MATCH(Calendar!$A18,DB!$1:$1,0)),FALSE)&gt;=5,"Good","Bad"),VLOOKUP(DATE($K$1,$K$2,CNY$4),Table1[],(MATCH(Calendar!$A18,DB!$1:$1,0)),FALSE)),"")</f>
        <v/>
      </c>
      <c r="CNZ18" s="28" t="str">
        <f>IFERROR(IF(COI3="No",IF(VLOOKUP(DATE($K$1,$K$2,CNZ$4),Table1[],(MATCH(Calendar!$A18,DB!$1:$1,0)),FALSE)&gt;=5,"Good","Bad"),VLOOKUP(DATE($K$1,$K$2,CNZ$4),Table1[],(MATCH(Calendar!$A18,DB!$1:$1,0)),FALSE)),"")</f>
        <v/>
      </c>
      <c r="COA18" s="28" t="str">
        <f>IFERROR(IF(COJ3="No",IF(VLOOKUP(DATE($K$1,$K$2,COA$4),Table1[],(MATCH(Calendar!$A18,DB!$1:$1,0)),FALSE)&gt;=5,"Good","Bad"),VLOOKUP(DATE($K$1,$K$2,COA$4),Table1[],(MATCH(Calendar!$A18,DB!$1:$1,0)),FALSE)),"")</f>
        <v/>
      </c>
      <c r="COB18" s="28" t="str">
        <f>IFERROR(IF(COK3="No",IF(VLOOKUP(DATE($K$1,$K$2,COB$4),Table1[],(MATCH(Calendar!$A18,DB!$1:$1,0)),FALSE)&gt;=5,"Good","Bad"),VLOOKUP(DATE($K$1,$K$2,COB$4),Table1[],(MATCH(Calendar!$A18,DB!$1:$1,0)),FALSE)),"")</f>
        <v/>
      </c>
      <c r="COC18" s="28" t="str">
        <f>IFERROR(IF(COL3="No",IF(VLOOKUP(DATE($K$1,$K$2,COC$4),Table1[],(MATCH(Calendar!$A18,DB!$1:$1,0)),FALSE)&gt;=5,"Good","Bad"),VLOOKUP(DATE($K$1,$K$2,COC$4),Table1[],(MATCH(Calendar!$A18,DB!$1:$1,0)),FALSE)),"")</f>
        <v/>
      </c>
      <c r="COD18" s="28" t="str">
        <f>IFERROR(IF(COM3="No",IF(VLOOKUP(DATE($K$1,$K$2,COD$4),Table1[],(MATCH(Calendar!$A18,DB!$1:$1,0)),FALSE)&gt;=5,"Good","Bad"),VLOOKUP(DATE($K$1,$K$2,COD$4),Table1[],(MATCH(Calendar!$A18,DB!$1:$1,0)),FALSE)),"")</f>
        <v/>
      </c>
      <c r="COE18" s="28" t="str">
        <f>IFERROR(IF(CON3="No",IF(VLOOKUP(DATE($K$1,$K$2,COE$4),Table1[],(MATCH(Calendar!$A18,DB!$1:$1,0)),FALSE)&gt;=5,"Good","Bad"),VLOOKUP(DATE($K$1,$K$2,COE$4),Table1[],(MATCH(Calendar!$A18,DB!$1:$1,0)),FALSE)),"")</f>
        <v/>
      </c>
      <c r="COF18" s="28" t="str">
        <f>IFERROR(IF(COO3="No",IF(VLOOKUP(DATE($K$1,$K$2,COF$4),Table1[],(MATCH(Calendar!$A18,DB!$1:$1,0)),FALSE)&gt;=5,"Good","Bad"),VLOOKUP(DATE($K$1,$K$2,COF$4),Table1[],(MATCH(Calendar!$A18,DB!$1:$1,0)),FALSE)),"")</f>
        <v/>
      </c>
      <c r="COG18" s="28" t="str">
        <f>IFERROR(IF(COP3="No",IF(VLOOKUP(DATE($K$1,$K$2,COG$4),Table1[],(MATCH(Calendar!$A18,DB!$1:$1,0)),FALSE)&gt;=5,"Good","Bad"),VLOOKUP(DATE($K$1,$K$2,COG$4),Table1[],(MATCH(Calendar!$A18,DB!$1:$1,0)),FALSE)),"")</f>
        <v/>
      </c>
      <c r="COH18" s="28" t="str">
        <f>IFERROR(IF(COQ3="No",IF(VLOOKUP(DATE($K$1,$K$2,COH$4),Table1[],(MATCH(Calendar!$A18,DB!$1:$1,0)),FALSE)&gt;=5,"Good","Bad"),VLOOKUP(DATE($K$1,$K$2,COH$4),Table1[],(MATCH(Calendar!$A18,DB!$1:$1,0)),FALSE)),"")</f>
        <v/>
      </c>
      <c r="COI18" s="28" t="str">
        <f>IFERROR(IF(COR3="No",IF(VLOOKUP(DATE($K$1,$K$2,COI$4),Table1[],(MATCH(Calendar!$A18,DB!$1:$1,0)),FALSE)&gt;=5,"Good","Bad"),VLOOKUP(DATE($K$1,$K$2,COI$4),Table1[],(MATCH(Calendar!$A18,DB!$1:$1,0)),FALSE)),"")</f>
        <v/>
      </c>
      <c r="COJ18" s="28" t="str">
        <f>IFERROR(IF(COS3="No",IF(VLOOKUP(DATE($K$1,$K$2,COJ$4),Table1[],(MATCH(Calendar!$A18,DB!$1:$1,0)),FALSE)&gt;=5,"Good","Bad"),VLOOKUP(DATE($K$1,$K$2,COJ$4),Table1[],(MATCH(Calendar!$A18,DB!$1:$1,0)),FALSE)),"")</f>
        <v/>
      </c>
      <c r="COK18" s="28" t="str">
        <f>IFERROR(IF(COT3="No",IF(VLOOKUP(DATE($K$1,$K$2,COK$4),Table1[],(MATCH(Calendar!$A18,DB!$1:$1,0)),FALSE)&gt;=5,"Good","Bad"),VLOOKUP(DATE($K$1,$K$2,COK$4),Table1[],(MATCH(Calendar!$A18,DB!$1:$1,0)),FALSE)),"")</f>
        <v/>
      </c>
      <c r="COL18" s="28" t="str">
        <f>IFERROR(IF(COU3="No",IF(VLOOKUP(DATE($K$1,$K$2,COL$4),Table1[],(MATCH(Calendar!$A18,DB!$1:$1,0)),FALSE)&gt;=5,"Good","Bad"),VLOOKUP(DATE($K$1,$K$2,COL$4),Table1[],(MATCH(Calendar!$A18,DB!$1:$1,0)),FALSE)),"")</f>
        <v/>
      </c>
      <c r="COM18" s="28" t="str">
        <f>IFERROR(IF(COV3="No",IF(VLOOKUP(DATE($K$1,$K$2,COM$4),Table1[],(MATCH(Calendar!$A18,DB!$1:$1,0)),FALSE)&gt;=5,"Good","Bad"),VLOOKUP(DATE($K$1,$K$2,COM$4),Table1[],(MATCH(Calendar!$A18,DB!$1:$1,0)),FALSE)),"")</f>
        <v/>
      </c>
      <c r="CON18" s="28" t="str">
        <f>IFERROR(IF(COW3="No",IF(VLOOKUP(DATE($K$1,$K$2,CON$4),Table1[],(MATCH(Calendar!$A18,DB!$1:$1,0)),FALSE)&gt;=5,"Good","Bad"),VLOOKUP(DATE($K$1,$K$2,CON$4),Table1[],(MATCH(Calendar!$A18,DB!$1:$1,0)),FALSE)),"")</f>
        <v/>
      </c>
      <c r="COO18" s="28" t="str">
        <f>IFERROR(IF(COX3="No",IF(VLOOKUP(DATE($K$1,$K$2,COO$4),Table1[],(MATCH(Calendar!$A18,DB!$1:$1,0)),FALSE)&gt;=5,"Good","Bad"),VLOOKUP(DATE($K$1,$K$2,COO$4),Table1[],(MATCH(Calendar!$A18,DB!$1:$1,0)),FALSE)),"")</f>
        <v/>
      </c>
      <c r="COP18" s="28" t="str">
        <f>IFERROR(IF(COY3="No",IF(VLOOKUP(DATE($K$1,$K$2,COP$4),Table1[],(MATCH(Calendar!$A18,DB!$1:$1,0)),FALSE)&gt;=5,"Good","Bad"),VLOOKUP(DATE($K$1,$K$2,COP$4),Table1[],(MATCH(Calendar!$A18,DB!$1:$1,0)),FALSE)),"")</f>
        <v/>
      </c>
      <c r="COQ18" s="28" t="str">
        <f>IFERROR(IF(COZ3="No",IF(VLOOKUP(DATE($K$1,$K$2,COQ$4),Table1[],(MATCH(Calendar!$A18,DB!$1:$1,0)),FALSE)&gt;=5,"Good","Bad"),VLOOKUP(DATE($K$1,$K$2,COQ$4),Table1[],(MATCH(Calendar!$A18,DB!$1:$1,0)),FALSE)),"")</f>
        <v/>
      </c>
      <c r="COR18" s="28" t="str">
        <f>IFERROR(IF(CPA3="No",IF(VLOOKUP(DATE($K$1,$K$2,COR$4),Table1[],(MATCH(Calendar!$A18,DB!$1:$1,0)),FALSE)&gt;=5,"Good","Bad"),VLOOKUP(DATE($K$1,$K$2,COR$4),Table1[],(MATCH(Calendar!$A18,DB!$1:$1,0)),FALSE)),"")</f>
        <v/>
      </c>
      <c r="COS18" s="28" t="str">
        <f>IFERROR(IF(CPB3="No",IF(VLOOKUP(DATE($K$1,$K$2,COS$4),Table1[],(MATCH(Calendar!$A18,DB!$1:$1,0)),FALSE)&gt;=5,"Good","Bad"),VLOOKUP(DATE($K$1,$K$2,COS$4),Table1[],(MATCH(Calendar!$A18,DB!$1:$1,0)),FALSE)),"")</f>
        <v/>
      </c>
      <c r="COT18" s="28" t="str">
        <f>IFERROR(IF(CPC3="No",IF(VLOOKUP(DATE($K$1,$K$2,COT$4),Table1[],(MATCH(Calendar!$A18,DB!$1:$1,0)),FALSE)&gt;=5,"Good","Bad"),VLOOKUP(DATE($K$1,$K$2,COT$4),Table1[],(MATCH(Calendar!$A18,DB!$1:$1,0)),FALSE)),"")</f>
        <v/>
      </c>
      <c r="COU18" s="28" t="str">
        <f>IFERROR(IF(CPD3="No",IF(VLOOKUP(DATE($K$1,$K$2,COU$4),Table1[],(MATCH(Calendar!$A18,DB!$1:$1,0)),FALSE)&gt;=5,"Good","Bad"),VLOOKUP(DATE($K$1,$K$2,COU$4),Table1[],(MATCH(Calendar!$A18,DB!$1:$1,0)),FALSE)),"")</f>
        <v/>
      </c>
      <c r="COV18" s="28" t="str">
        <f>IFERROR(IF(CPE3="No",IF(VLOOKUP(DATE($K$1,$K$2,COV$4),Table1[],(MATCH(Calendar!$A18,DB!$1:$1,0)),FALSE)&gt;=5,"Good","Bad"),VLOOKUP(DATE($K$1,$K$2,COV$4),Table1[],(MATCH(Calendar!$A18,DB!$1:$1,0)),FALSE)),"")</f>
        <v/>
      </c>
      <c r="COW18" s="28" t="str">
        <f>IFERROR(IF(CPF3="No",IF(VLOOKUP(DATE($K$1,$K$2,COW$4),Table1[],(MATCH(Calendar!$A18,DB!$1:$1,0)),FALSE)&gt;=5,"Good","Bad"),VLOOKUP(DATE($K$1,$K$2,COW$4),Table1[],(MATCH(Calendar!$A18,DB!$1:$1,0)),FALSE)),"")</f>
        <v/>
      </c>
      <c r="COX18" s="28" t="str">
        <f>IFERROR(IF(CPG3="No",IF(VLOOKUP(DATE($K$1,$K$2,COX$4),Table1[],(MATCH(Calendar!$A18,DB!$1:$1,0)),FALSE)&gt;=5,"Good","Bad"),VLOOKUP(DATE($K$1,$K$2,COX$4),Table1[],(MATCH(Calendar!$A18,DB!$1:$1,0)),FALSE)),"")</f>
        <v/>
      </c>
      <c r="COY18" s="28" t="str">
        <f>IFERROR(IF(CPH3="No",IF(VLOOKUP(DATE($K$1,$K$2,COY$4),Table1[],(MATCH(Calendar!$A18,DB!$1:$1,0)),FALSE)&gt;=5,"Good","Bad"),VLOOKUP(DATE($K$1,$K$2,COY$4),Table1[],(MATCH(Calendar!$A18,DB!$1:$1,0)),FALSE)),"")</f>
        <v/>
      </c>
      <c r="COZ18" s="28" t="str">
        <f>IFERROR(IF(CPI3="No",IF(VLOOKUP(DATE($K$1,$K$2,COZ$4),Table1[],(MATCH(Calendar!$A18,DB!$1:$1,0)),FALSE)&gt;=5,"Good","Bad"),VLOOKUP(DATE($K$1,$K$2,COZ$4),Table1[],(MATCH(Calendar!$A18,DB!$1:$1,0)),FALSE)),"")</f>
        <v/>
      </c>
      <c r="CPA18" s="28" t="str">
        <f>IFERROR(IF(CPJ3="No",IF(VLOOKUP(DATE($K$1,$K$2,CPA$4),Table1[],(MATCH(Calendar!$A18,DB!$1:$1,0)),FALSE)&gt;=5,"Good","Bad"),VLOOKUP(DATE($K$1,$K$2,CPA$4),Table1[],(MATCH(Calendar!$A18,DB!$1:$1,0)),FALSE)),"")</f>
        <v/>
      </c>
      <c r="CPB18" s="28" t="str">
        <f>IFERROR(IF(CPK3="No",IF(VLOOKUP(DATE($K$1,$K$2,CPB$4),Table1[],(MATCH(Calendar!$A18,DB!$1:$1,0)),FALSE)&gt;=5,"Good","Bad"),VLOOKUP(DATE($K$1,$K$2,CPB$4),Table1[],(MATCH(Calendar!$A18,DB!$1:$1,0)),FALSE)),"")</f>
        <v/>
      </c>
      <c r="CPC18" s="28" t="str">
        <f>IFERROR(IF(CPL3="No",IF(VLOOKUP(DATE($K$1,$K$2,CPC$4),Table1[],(MATCH(Calendar!$A18,DB!$1:$1,0)),FALSE)&gt;=5,"Good","Bad"),VLOOKUP(DATE($K$1,$K$2,CPC$4),Table1[],(MATCH(Calendar!$A18,DB!$1:$1,0)),FALSE)),"")</f>
        <v/>
      </c>
      <c r="CPD18" s="28" t="str">
        <f>IFERROR(IF(CPM3="No",IF(VLOOKUP(DATE($K$1,$K$2,CPD$4),Table1[],(MATCH(Calendar!$A18,DB!$1:$1,0)),FALSE)&gt;=5,"Good","Bad"),VLOOKUP(DATE($K$1,$K$2,CPD$4),Table1[],(MATCH(Calendar!$A18,DB!$1:$1,0)),FALSE)),"")</f>
        <v/>
      </c>
      <c r="CPE18" s="28" t="str">
        <f>IFERROR(IF(CPN3="No",IF(VLOOKUP(DATE($K$1,$K$2,CPE$4),Table1[],(MATCH(Calendar!$A18,DB!$1:$1,0)),FALSE)&gt;=5,"Good","Bad"),VLOOKUP(DATE($K$1,$K$2,CPE$4),Table1[],(MATCH(Calendar!$A18,DB!$1:$1,0)),FALSE)),"")</f>
        <v/>
      </c>
      <c r="CPF18" s="28" t="str">
        <f>IFERROR(IF(CPO3="No",IF(VLOOKUP(DATE($K$1,$K$2,CPF$4),Table1[],(MATCH(Calendar!$A18,DB!$1:$1,0)),FALSE)&gt;=5,"Good","Bad"),VLOOKUP(DATE($K$1,$K$2,CPF$4),Table1[],(MATCH(Calendar!$A18,DB!$1:$1,0)),FALSE)),"")</f>
        <v/>
      </c>
      <c r="CPG18" s="28" t="str">
        <f>IFERROR(IF(CPP3="No",IF(VLOOKUP(DATE($K$1,$K$2,CPG$4),Table1[],(MATCH(Calendar!$A18,DB!$1:$1,0)),FALSE)&gt;=5,"Good","Bad"),VLOOKUP(DATE($K$1,$K$2,CPG$4),Table1[],(MATCH(Calendar!$A18,DB!$1:$1,0)),FALSE)),"")</f>
        <v/>
      </c>
      <c r="CPH18" s="28" t="str">
        <f>IFERROR(IF(CPQ3="No",IF(VLOOKUP(DATE($K$1,$K$2,CPH$4),Table1[],(MATCH(Calendar!$A18,DB!$1:$1,0)),FALSE)&gt;=5,"Good","Bad"),VLOOKUP(DATE($K$1,$K$2,CPH$4),Table1[],(MATCH(Calendar!$A18,DB!$1:$1,0)),FALSE)),"")</f>
        <v/>
      </c>
      <c r="CPI18" s="28" t="str">
        <f>IFERROR(IF(CPR3="No",IF(VLOOKUP(DATE($K$1,$K$2,CPI$4),Table1[],(MATCH(Calendar!$A18,DB!$1:$1,0)),FALSE)&gt;=5,"Good","Bad"),VLOOKUP(DATE($K$1,$K$2,CPI$4),Table1[],(MATCH(Calendar!$A18,DB!$1:$1,0)),FALSE)),"")</f>
        <v/>
      </c>
      <c r="CPJ18" s="28" t="str">
        <f>IFERROR(IF(CPS3="No",IF(VLOOKUP(DATE($K$1,$K$2,CPJ$4),Table1[],(MATCH(Calendar!$A18,DB!$1:$1,0)),FALSE)&gt;=5,"Good","Bad"),VLOOKUP(DATE($K$1,$K$2,CPJ$4),Table1[],(MATCH(Calendar!$A18,DB!$1:$1,0)),FALSE)),"")</f>
        <v/>
      </c>
      <c r="CPK18" s="28" t="str">
        <f>IFERROR(IF(CPT3="No",IF(VLOOKUP(DATE($K$1,$K$2,CPK$4),Table1[],(MATCH(Calendar!$A18,DB!$1:$1,0)),FALSE)&gt;=5,"Good","Bad"),VLOOKUP(DATE($K$1,$K$2,CPK$4),Table1[],(MATCH(Calendar!$A18,DB!$1:$1,0)),FALSE)),"")</f>
        <v/>
      </c>
      <c r="CPL18" s="28" t="str">
        <f>IFERROR(IF(CPU3="No",IF(VLOOKUP(DATE($K$1,$K$2,CPL$4),Table1[],(MATCH(Calendar!$A18,DB!$1:$1,0)),FALSE)&gt;=5,"Good","Bad"),VLOOKUP(DATE($K$1,$K$2,CPL$4),Table1[],(MATCH(Calendar!$A18,DB!$1:$1,0)),FALSE)),"")</f>
        <v/>
      </c>
      <c r="CPM18" s="28" t="str">
        <f>IFERROR(IF(CPV3="No",IF(VLOOKUP(DATE($K$1,$K$2,CPM$4),Table1[],(MATCH(Calendar!$A18,DB!$1:$1,0)),FALSE)&gt;=5,"Good","Bad"),VLOOKUP(DATE($K$1,$K$2,CPM$4),Table1[],(MATCH(Calendar!$A18,DB!$1:$1,0)),FALSE)),"")</f>
        <v/>
      </c>
      <c r="CPN18" s="28" t="str">
        <f>IFERROR(IF(CPW3="No",IF(VLOOKUP(DATE($K$1,$K$2,CPN$4),Table1[],(MATCH(Calendar!$A18,DB!$1:$1,0)),FALSE)&gt;=5,"Good","Bad"),VLOOKUP(DATE($K$1,$K$2,CPN$4),Table1[],(MATCH(Calendar!$A18,DB!$1:$1,0)),FALSE)),"")</f>
        <v/>
      </c>
      <c r="CPO18" s="28" t="str">
        <f>IFERROR(IF(CPX3="No",IF(VLOOKUP(DATE($K$1,$K$2,CPO$4),Table1[],(MATCH(Calendar!$A18,DB!$1:$1,0)),FALSE)&gt;=5,"Good","Bad"),VLOOKUP(DATE($K$1,$K$2,CPO$4),Table1[],(MATCH(Calendar!$A18,DB!$1:$1,0)),FALSE)),"")</f>
        <v/>
      </c>
      <c r="CPP18" s="28" t="str">
        <f>IFERROR(IF(CPY3="No",IF(VLOOKUP(DATE($K$1,$K$2,CPP$4),Table1[],(MATCH(Calendar!$A18,DB!$1:$1,0)),FALSE)&gt;=5,"Good","Bad"),VLOOKUP(DATE($K$1,$K$2,CPP$4),Table1[],(MATCH(Calendar!$A18,DB!$1:$1,0)),FALSE)),"")</f>
        <v/>
      </c>
      <c r="CPQ18" s="28" t="str">
        <f>IFERROR(IF(CPZ3="No",IF(VLOOKUP(DATE($K$1,$K$2,CPQ$4),Table1[],(MATCH(Calendar!$A18,DB!$1:$1,0)),FALSE)&gt;=5,"Good","Bad"),VLOOKUP(DATE($K$1,$K$2,CPQ$4),Table1[],(MATCH(Calendar!$A18,DB!$1:$1,0)),FALSE)),"")</f>
        <v/>
      </c>
      <c r="CPR18" s="28" t="str">
        <f>IFERROR(IF(CQA3="No",IF(VLOOKUP(DATE($K$1,$K$2,CPR$4),Table1[],(MATCH(Calendar!$A18,DB!$1:$1,0)),FALSE)&gt;=5,"Good","Bad"),VLOOKUP(DATE($K$1,$K$2,CPR$4),Table1[],(MATCH(Calendar!$A18,DB!$1:$1,0)),FALSE)),"")</f>
        <v/>
      </c>
      <c r="CPS18" s="28" t="str">
        <f>IFERROR(IF(CQB3="No",IF(VLOOKUP(DATE($K$1,$K$2,CPS$4),Table1[],(MATCH(Calendar!$A18,DB!$1:$1,0)),FALSE)&gt;=5,"Good","Bad"),VLOOKUP(DATE($K$1,$K$2,CPS$4),Table1[],(MATCH(Calendar!$A18,DB!$1:$1,0)),FALSE)),"")</f>
        <v/>
      </c>
      <c r="CPT18" s="28" t="str">
        <f>IFERROR(IF(CQC3="No",IF(VLOOKUP(DATE($K$1,$K$2,CPT$4),Table1[],(MATCH(Calendar!$A18,DB!$1:$1,0)),FALSE)&gt;=5,"Good","Bad"),VLOOKUP(DATE($K$1,$K$2,CPT$4),Table1[],(MATCH(Calendar!$A18,DB!$1:$1,0)),FALSE)),"")</f>
        <v/>
      </c>
      <c r="CPU18" s="28" t="str">
        <f>IFERROR(IF(CQD3="No",IF(VLOOKUP(DATE($K$1,$K$2,CPU$4),Table1[],(MATCH(Calendar!$A18,DB!$1:$1,0)),FALSE)&gt;=5,"Good","Bad"),VLOOKUP(DATE($K$1,$K$2,CPU$4),Table1[],(MATCH(Calendar!$A18,DB!$1:$1,0)),FALSE)),"")</f>
        <v/>
      </c>
      <c r="CPV18" s="28" t="str">
        <f>IFERROR(IF(CQE3="No",IF(VLOOKUP(DATE($K$1,$K$2,CPV$4),Table1[],(MATCH(Calendar!$A18,DB!$1:$1,0)),FALSE)&gt;=5,"Good","Bad"),VLOOKUP(DATE($K$1,$K$2,CPV$4),Table1[],(MATCH(Calendar!$A18,DB!$1:$1,0)),FALSE)),"")</f>
        <v/>
      </c>
      <c r="CPW18" s="28" t="str">
        <f>IFERROR(IF(CQF3="No",IF(VLOOKUP(DATE($K$1,$K$2,CPW$4),Table1[],(MATCH(Calendar!$A18,DB!$1:$1,0)),FALSE)&gt;=5,"Good","Bad"),VLOOKUP(DATE($K$1,$K$2,CPW$4),Table1[],(MATCH(Calendar!$A18,DB!$1:$1,0)),FALSE)),"")</f>
        <v/>
      </c>
      <c r="CPX18" s="28" t="str">
        <f>IFERROR(IF(CQG3="No",IF(VLOOKUP(DATE($K$1,$K$2,CPX$4),Table1[],(MATCH(Calendar!$A18,DB!$1:$1,0)),FALSE)&gt;=5,"Good","Bad"),VLOOKUP(DATE($K$1,$K$2,CPX$4),Table1[],(MATCH(Calendar!$A18,DB!$1:$1,0)),FALSE)),"")</f>
        <v/>
      </c>
      <c r="CPY18" s="28" t="str">
        <f>IFERROR(IF(CQH3="No",IF(VLOOKUP(DATE($K$1,$K$2,CPY$4),Table1[],(MATCH(Calendar!$A18,DB!$1:$1,0)),FALSE)&gt;=5,"Good","Bad"),VLOOKUP(DATE($K$1,$K$2,CPY$4),Table1[],(MATCH(Calendar!$A18,DB!$1:$1,0)),FALSE)),"")</f>
        <v/>
      </c>
      <c r="CPZ18" s="28" t="str">
        <f>IFERROR(IF(CQI3="No",IF(VLOOKUP(DATE($K$1,$K$2,CPZ$4),Table1[],(MATCH(Calendar!$A18,DB!$1:$1,0)),FALSE)&gt;=5,"Good","Bad"),VLOOKUP(DATE($K$1,$K$2,CPZ$4),Table1[],(MATCH(Calendar!$A18,DB!$1:$1,0)),FALSE)),"")</f>
        <v/>
      </c>
      <c r="CQA18" s="28" t="str">
        <f>IFERROR(IF(CQJ3="No",IF(VLOOKUP(DATE($K$1,$K$2,CQA$4),Table1[],(MATCH(Calendar!$A18,DB!$1:$1,0)),FALSE)&gt;=5,"Good","Bad"),VLOOKUP(DATE($K$1,$K$2,CQA$4),Table1[],(MATCH(Calendar!$A18,DB!$1:$1,0)),FALSE)),"")</f>
        <v/>
      </c>
      <c r="CQB18" s="28" t="str">
        <f>IFERROR(IF(CQK3="No",IF(VLOOKUP(DATE($K$1,$K$2,CQB$4),Table1[],(MATCH(Calendar!$A18,DB!$1:$1,0)),FALSE)&gt;=5,"Good","Bad"),VLOOKUP(DATE($K$1,$K$2,CQB$4),Table1[],(MATCH(Calendar!$A18,DB!$1:$1,0)),FALSE)),"")</f>
        <v/>
      </c>
      <c r="CQC18" s="28" t="str">
        <f>IFERROR(IF(CQL3="No",IF(VLOOKUP(DATE($K$1,$K$2,CQC$4),Table1[],(MATCH(Calendar!$A18,DB!$1:$1,0)),FALSE)&gt;=5,"Good","Bad"),VLOOKUP(DATE($K$1,$K$2,CQC$4),Table1[],(MATCH(Calendar!$A18,DB!$1:$1,0)),FALSE)),"")</f>
        <v/>
      </c>
      <c r="CQD18" s="28" t="str">
        <f>IFERROR(IF(CQM3="No",IF(VLOOKUP(DATE($K$1,$K$2,CQD$4),Table1[],(MATCH(Calendar!$A18,DB!$1:$1,0)),FALSE)&gt;=5,"Good","Bad"),VLOOKUP(DATE($K$1,$K$2,CQD$4),Table1[],(MATCH(Calendar!$A18,DB!$1:$1,0)),FALSE)),"")</f>
        <v/>
      </c>
      <c r="CQE18" s="28" t="str">
        <f>IFERROR(IF(CQN3="No",IF(VLOOKUP(DATE($K$1,$K$2,CQE$4),Table1[],(MATCH(Calendar!$A18,DB!$1:$1,0)),FALSE)&gt;=5,"Good","Bad"),VLOOKUP(DATE($K$1,$K$2,CQE$4),Table1[],(MATCH(Calendar!$A18,DB!$1:$1,0)),FALSE)),"")</f>
        <v/>
      </c>
      <c r="CQF18" s="28" t="str">
        <f>IFERROR(IF(CQO3="No",IF(VLOOKUP(DATE($K$1,$K$2,CQF$4),Table1[],(MATCH(Calendar!$A18,DB!$1:$1,0)),FALSE)&gt;=5,"Good","Bad"),VLOOKUP(DATE($K$1,$K$2,CQF$4),Table1[],(MATCH(Calendar!$A18,DB!$1:$1,0)),FALSE)),"")</f>
        <v/>
      </c>
      <c r="CQG18" s="28" t="str">
        <f>IFERROR(IF(CQP3="No",IF(VLOOKUP(DATE($K$1,$K$2,CQG$4),Table1[],(MATCH(Calendar!$A18,DB!$1:$1,0)),FALSE)&gt;=5,"Good","Bad"),VLOOKUP(DATE($K$1,$K$2,CQG$4),Table1[],(MATCH(Calendar!$A18,DB!$1:$1,0)),FALSE)),"")</f>
        <v/>
      </c>
      <c r="CQH18" s="28" t="str">
        <f>IFERROR(IF(CQQ3="No",IF(VLOOKUP(DATE($K$1,$K$2,CQH$4),Table1[],(MATCH(Calendar!$A18,DB!$1:$1,0)),FALSE)&gt;=5,"Good","Bad"),VLOOKUP(DATE($K$1,$K$2,CQH$4),Table1[],(MATCH(Calendar!$A18,DB!$1:$1,0)),FALSE)),"")</f>
        <v/>
      </c>
      <c r="CQI18" s="28" t="str">
        <f>IFERROR(IF(CQR3="No",IF(VLOOKUP(DATE($K$1,$K$2,CQI$4),Table1[],(MATCH(Calendar!$A18,DB!$1:$1,0)),FALSE)&gt;=5,"Good","Bad"),VLOOKUP(DATE($K$1,$K$2,CQI$4),Table1[],(MATCH(Calendar!$A18,DB!$1:$1,0)),FALSE)),"")</f>
        <v/>
      </c>
      <c r="CQJ18" s="28" t="str">
        <f>IFERROR(IF(CQS3="No",IF(VLOOKUP(DATE($K$1,$K$2,CQJ$4),Table1[],(MATCH(Calendar!$A18,DB!$1:$1,0)),FALSE)&gt;=5,"Good","Bad"),VLOOKUP(DATE($K$1,$K$2,CQJ$4),Table1[],(MATCH(Calendar!$A18,DB!$1:$1,0)),FALSE)),"")</f>
        <v/>
      </c>
      <c r="CQK18" s="28" t="str">
        <f>IFERROR(IF(CQT3="No",IF(VLOOKUP(DATE($K$1,$K$2,CQK$4),Table1[],(MATCH(Calendar!$A18,DB!$1:$1,0)),FALSE)&gt;=5,"Good","Bad"),VLOOKUP(DATE($K$1,$K$2,CQK$4),Table1[],(MATCH(Calendar!$A18,DB!$1:$1,0)),FALSE)),"")</f>
        <v/>
      </c>
      <c r="CQL18" s="28" t="str">
        <f>IFERROR(IF(CQU3="No",IF(VLOOKUP(DATE($K$1,$K$2,CQL$4),Table1[],(MATCH(Calendar!$A18,DB!$1:$1,0)),FALSE)&gt;=5,"Good","Bad"),VLOOKUP(DATE($K$1,$K$2,CQL$4),Table1[],(MATCH(Calendar!$A18,DB!$1:$1,0)),FALSE)),"")</f>
        <v/>
      </c>
      <c r="CQM18" s="28" t="str">
        <f>IFERROR(IF(CQV3="No",IF(VLOOKUP(DATE($K$1,$K$2,CQM$4),Table1[],(MATCH(Calendar!$A18,DB!$1:$1,0)),FALSE)&gt;=5,"Good","Bad"),VLOOKUP(DATE($K$1,$K$2,CQM$4),Table1[],(MATCH(Calendar!$A18,DB!$1:$1,0)),FALSE)),"")</f>
        <v/>
      </c>
      <c r="CQN18" s="28" t="str">
        <f>IFERROR(IF(CQW3="No",IF(VLOOKUP(DATE($K$1,$K$2,CQN$4),Table1[],(MATCH(Calendar!$A18,DB!$1:$1,0)),FALSE)&gt;=5,"Good","Bad"),VLOOKUP(DATE($K$1,$K$2,CQN$4),Table1[],(MATCH(Calendar!$A18,DB!$1:$1,0)),FALSE)),"")</f>
        <v/>
      </c>
      <c r="CQO18" s="28" t="str">
        <f>IFERROR(IF(CQX3="No",IF(VLOOKUP(DATE($K$1,$K$2,CQO$4),Table1[],(MATCH(Calendar!$A18,DB!$1:$1,0)),FALSE)&gt;=5,"Good","Bad"),VLOOKUP(DATE($K$1,$K$2,CQO$4),Table1[],(MATCH(Calendar!$A18,DB!$1:$1,0)),FALSE)),"")</f>
        <v/>
      </c>
      <c r="CQP18" s="28" t="str">
        <f>IFERROR(IF(CQY3="No",IF(VLOOKUP(DATE($K$1,$K$2,CQP$4),Table1[],(MATCH(Calendar!$A18,DB!$1:$1,0)),FALSE)&gt;=5,"Good","Bad"),VLOOKUP(DATE($K$1,$K$2,CQP$4),Table1[],(MATCH(Calendar!$A18,DB!$1:$1,0)),FALSE)),"")</f>
        <v/>
      </c>
      <c r="CQQ18" s="28" t="str">
        <f>IFERROR(IF(CQZ3="No",IF(VLOOKUP(DATE($K$1,$K$2,CQQ$4),Table1[],(MATCH(Calendar!$A18,DB!$1:$1,0)),FALSE)&gt;=5,"Good","Bad"),VLOOKUP(DATE($K$1,$K$2,CQQ$4),Table1[],(MATCH(Calendar!$A18,DB!$1:$1,0)),FALSE)),"")</f>
        <v/>
      </c>
      <c r="CQR18" s="28" t="str">
        <f>IFERROR(IF(CRA3="No",IF(VLOOKUP(DATE($K$1,$K$2,CQR$4),Table1[],(MATCH(Calendar!$A18,DB!$1:$1,0)),FALSE)&gt;=5,"Good","Bad"),VLOOKUP(DATE($K$1,$K$2,CQR$4),Table1[],(MATCH(Calendar!$A18,DB!$1:$1,0)),FALSE)),"")</f>
        <v/>
      </c>
      <c r="CQS18" s="28" t="str">
        <f>IFERROR(IF(CRB3="No",IF(VLOOKUP(DATE($K$1,$K$2,CQS$4),Table1[],(MATCH(Calendar!$A18,DB!$1:$1,0)),FALSE)&gt;=5,"Good","Bad"),VLOOKUP(DATE($K$1,$K$2,CQS$4),Table1[],(MATCH(Calendar!$A18,DB!$1:$1,0)),FALSE)),"")</f>
        <v/>
      </c>
      <c r="CQT18" s="28" t="str">
        <f>IFERROR(IF(CRC3="No",IF(VLOOKUP(DATE($K$1,$K$2,CQT$4),Table1[],(MATCH(Calendar!$A18,DB!$1:$1,0)),FALSE)&gt;=5,"Good","Bad"),VLOOKUP(DATE($K$1,$K$2,CQT$4),Table1[],(MATCH(Calendar!$A18,DB!$1:$1,0)),FALSE)),"")</f>
        <v/>
      </c>
      <c r="CQU18" s="28" t="str">
        <f>IFERROR(IF(CRD3="No",IF(VLOOKUP(DATE($K$1,$K$2,CQU$4),Table1[],(MATCH(Calendar!$A18,DB!$1:$1,0)),FALSE)&gt;=5,"Good","Bad"),VLOOKUP(DATE($K$1,$K$2,CQU$4),Table1[],(MATCH(Calendar!$A18,DB!$1:$1,0)),FALSE)),"")</f>
        <v/>
      </c>
      <c r="CQV18" s="28" t="str">
        <f>IFERROR(IF(CRE3="No",IF(VLOOKUP(DATE($K$1,$K$2,CQV$4),Table1[],(MATCH(Calendar!$A18,DB!$1:$1,0)),FALSE)&gt;=5,"Good","Bad"),VLOOKUP(DATE($K$1,$K$2,CQV$4),Table1[],(MATCH(Calendar!$A18,DB!$1:$1,0)),FALSE)),"")</f>
        <v/>
      </c>
      <c r="CQW18" s="28" t="str">
        <f>IFERROR(IF(CRF3="No",IF(VLOOKUP(DATE($K$1,$K$2,CQW$4),Table1[],(MATCH(Calendar!$A18,DB!$1:$1,0)),FALSE)&gt;=5,"Good","Bad"),VLOOKUP(DATE($K$1,$K$2,CQW$4),Table1[],(MATCH(Calendar!$A18,DB!$1:$1,0)),FALSE)),"")</f>
        <v/>
      </c>
      <c r="CQX18" s="28" t="str">
        <f>IFERROR(IF(CRG3="No",IF(VLOOKUP(DATE($K$1,$K$2,CQX$4),Table1[],(MATCH(Calendar!$A18,DB!$1:$1,0)),FALSE)&gt;=5,"Good","Bad"),VLOOKUP(DATE($K$1,$K$2,CQX$4),Table1[],(MATCH(Calendar!$A18,DB!$1:$1,0)),FALSE)),"")</f>
        <v/>
      </c>
      <c r="CQY18" s="28" t="str">
        <f>IFERROR(IF(CRH3="No",IF(VLOOKUP(DATE($K$1,$K$2,CQY$4),Table1[],(MATCH(Calendar!$A18,DB!$1:$1,0)),FALSE)&gt;=5,"Good","Bad"),VLOOKUP(DATE($K$1,$K$2,CQY$4),Table1[],(MATCH(Calendar!$A18,DB!$1:$1,0)),FALSE)),"")</f>
        <v/>
      </c>
      <c r="CQZ18" s="28" t="str">
        <f>IFERROR(IF(CRI3="No",IF(VLOOKUP(DATE($K$1,$K$2,CQZ$4),Table1[],(MATCH(Calendar!$A18,DB!$1:$1,0)),FALSE)&gt;=5,"Good","Bad"),VLOOKUP(DATE($K$1,$K$2,CQZ$4),Table1[],(MATCH(Calendar!$A18,DB!$1:$1,0)),FALSE)),"")</f>
        <v/>
      </c>
      <c r="CRA18" s="28" t="str">
        <f>IFERROR(IF(CRJ3="No",IF(VLOOKUP(DATE($K$1,$K$2,CRA$4),Table1[],(MATCH(Calendar!$A18,DB!$1:$1,0)),FALSE)&gt;=5,"Good","Bad"),VLOOKUP(DATE($K$1,$K$2,CRA$4),Table1[],(MATCH(Calendar!$A18,DB!$1:$1,0)),FALSE)),"")</f>
        <v/>
      </c>
      <c r="CRB18" s="28" t="str">
        <f>IFERROR(IF(CRK3="No",IF(VLOOKUP(DATE($K$1,$K$2,CRB$4),Table1[],(MATCH(Calendar!$A18,DB!$1:$1,0)),FALSE)&gt;=5,"Good","Bad"),VLOOKUP(DATE($K$1,$K$2,CRB$4),Table1[],(MATCH(Calendar!$A18,DB!$1:$1,0)),FALSE)),"")</f>
        <v/>
      </c>
      <c r="CRC18" s="28" t="str">
        <f>IFERROR(IF(CRL3="No",IF(VLOOKUP(DATE($K$1,$K$2,CRC$4),Table1[],(MATCH(Calendar!$A18,DB!$1:$1,0)),FALSE)&gt;=5,"Good","Bad"),VLOOKUP(DATE($K$1,$K$2,CRC$4),Table1[],(MATCH(Calendar!$A18,DB!$1:$1,0)),FALSE)),"")</f>
        <v/>
      </c>
      <c r="CRD18" s="28" t="str">
        <f>IFERROR(IF(CRM3="No",IF(VLOOKUP(DATE($K$1,$K$2,CRD$4),Table1[],(MATCH(Calendar!$A18,DB!$1:$1,0)),FALSE)&gt;=5,"Good","Bad"),VLOOKUP(DATE($K$1,$K$2,CRD$4),Table1[],(MATCH(Calendar!$A18,DB!$1:$1,0)),FALSE)),"")</f>
        <v/>
      </c>
      <c r="CRE18" s="28" t="str">
        <f>IFERROR(IF(CRN3="No",IF(VLOOKUP(DATE($K$1,$K$2,CRE$4),Table1[],(MATCH(Calendar!$A18,DB!$1:$1,0)),FALSE)&gt;=5,"Good","Bad"),VLOOKUP(DATE($K$1,$K$2,CRE$4),Table1[],(MATCH(Calendar!$A18,DB!$1:$1,0)),FALSE)),"")</f>
        <v/>
      </c>
      <c r="CRF18" s="28" t="str">
        <f>IFERROR(IF(CRO3="No",IF(VLOOKUP(DATE($K$1,$K$2,CRF$4),Table1[],(MATCH(Calendar!$A18,DB!$1:$1,0)),FALSE)&gt;=5,"Good","Bad"),VLOOKUP(DATE($K$1,$K$2,CRF$4),Table1[],(MATCH(Calendar!$A18,DB!$1:$1,0)),FALSE)),"")</f>
        <v/>
      </c>
      <c r="CRG18" s="28" t="str">
        <f>IFERROR(IF(CRP3="No",IF(VLOOKUP(DATE($K$1,$K$2,CRG$4),Table1[],(MATCH(Calendar!$A18,DB!$1:$1,0)),FALSE)&gt;=5,"Good","Bad"),VLOOKUP(DATE($K$1,$K$2,CRG$4),Table1[],(MATCH(Calendar!$A18,DB!$1:$1,0)),FALSE)),"")</f>
        <v/>
      </c>
      <c r="CRH18" s="28" t="str">
        <f>IFERROR(IF(CRQ3="No",IF(VLOOKUP(DATE($K$1,$K$2,CRH$4),Table1[],(MATCH(Calendar!$A18,DB!$1:$1,0)),FALSE)&gt;=5,"Good","Bad"),VLOOKUP(DATE($K$1,$K$2,CRH$4),Table1[],(MATCH(Calendar!$A18,DB!$1:$1,0)),FALSE)),"")</f>
        <v/>
      </c>
      <c r="CRI18" s="28" t="str">
        <f>IFERROR(IF(CRR3="No",IF(VLOOKUP(DATE($K$1,$K$2,CRI$4),Table1[],(MATCH(Calendar!$A18,DB!$1:$1,0)),FALSE)&gt;=5,"Good","Bad"),VLOOKUP(DATE($K$1,$K$2,CRI$4),Table1[],(MATCH(Calendar!$A18,DB!$1:$1,0)),FALSE)),"")</f>
        <v/>
      </c>
      <c r="CRJ18" s="28" t="str">
        <f>IFERROR(IF(CRS3="No",IF(VLOOKUP(DATE($K$1,$K$2,CRJ$4),Table1[],(MATCH(Calendar!$A18,DB!$1:$1,0)),FALSE)&gt;=5,"Good","Bad"),VLOOKUP(DATE($K$1,$K$2,CRJ$4),Table1[],(MATCH(Calendar!$A18,DB!$1:$1,0)),FALSE)),"")</f>
        <v/>
      </c>
      <c r="CRK18" s="28" t="str">
        <f>IFERROR(IF(CRT3="No",IF(VLOOKUP(DATE($K$1,$K$2,CRK$4),Table1[],(MATCH(Calendar!$A18,DB!$1:$1,0)),FALSE)&gt;=5,"Good","Bad"),VLOOKUP(DATE($K$1,$K$2,CRK$4),Table1[],(MATCH(Calendar!$A18,DB!$1:$1,0)),FALSE)),"")</f>
        <v/>
      </c>
      <c r="CRL18" s="28" t="str">
        <f>IFERROR(IF(CRU3="No",IF(VLOOKUP(DATE($K$1,$K$2,CRL$4),Table1[],(MATCH(Calendar!$A18,DB!$1:$1,0)),FALSE)&gt;=5,"Good","Bad"),VLOOKUP(DATE($K$1,$K$2,CRL$4),Table1[],(MATCH(Calendar!$A18,DB!$1:$1,0)),FALSE)),"")</f>
        <v/>
      </c>
      <c r="CRM18" s="28" t="str">
        <f>IFERROR(IF(CRV3="No",IF(VLOOKUP(DATE($K$1,$K$2,CRM$4),Table1[],(MATCH(Calendar!$A18,DB!$1:$1,0)),FALSE)&gt;=5,"Good","Bad"),VLOOKUP(DATE($K$1,$K$2,CRM$4),Table1[],(MATCH(Calendar!$A18,DB!$1:$1,0)),FALSE)),"")</f>
        <v/>
      </c>
      <c r="CRN18" s="28" t="str">
        <f>IFERROR(IF(CRW3="No",IF(VLOOKUP(DATE($K$1,$K$2,CRN$4),Table1[],(MATCH(Calendar!$A18,DB!$1:$1,0)),FALSE)&gt;=5,"Good","Bad"),VLOOKUP(DATE($K$1,$K$2,CRN$4),Table1[],(MATCH(Calendar!$A18,DB!$1:$1,0)),FALSE)),"")</f>
        <v/>
      </c>
      <c r="CRO18" s="28" t="str">
        <f>IFERROR(IF(CRX3="No",IF(VLOOKUP(DATE($K$1,$K$2,CRO$4),Table1[],(MATCH(Calendar!$A18,DB!$1:$1,0)),FALSE)&gt;=5,"Good","Bad"),VLOOKUP(DATE($K$1,$K$2,CRO$4),Table1[],(MATCH(Calendar!$A18,DB!$1:$1,0)),FALSE)),"")</f>
        <v/>
      </c>
      <c r="CRP18" s="28" t="str">
        <f>IFERROR(IF(CRY3="No",IF(VLOOKUP(DATE($K$1,$K$2,CRP$4),Table1[],(MATCH(Calendar!$A18,DB!$1:$1,0)),FALSE)&gt;=5,"Good","Bad"),VLOOKUP(DATE($K$1,$K$2,CRP$4),Table1[],(MATCH(Calendar!$A18,DB!$1:$1,0)),FALSE)),"")</f>
        <v/>
      </c>
      <c r="CRQ18" s="28" t="str">
        <f>IFERROR(IF(CRZ3="No",IF(VLOOKUP(DATE($K$1,$K$2,CRQ$4),Table1[],(MATCH(Calendar!$A18,DB!$1:$1,0)),FALSE)&gt;=5,"Good","Bad"),VLOOKUP(DATE($K$1,$K$2,CRQ$4),Table1[],(MATCH(Calendar!$A18,DB!$1:$1,0)),FALSE)),"")</f>
        <v/>
      </c>
      <c r="CRR18" s="28" t="str">
        <f>IFERROR(IF(CSA3="No",IF(VLOOKUP(DATE($K$1,$K$2,CRR$4),Table1[],(MATCH(Calendar!$A18,DB!$1:$1,0)),FALSE)&gt;=5,"Good","Bad"),VLOOKUP(DATE($K$1,$K$2,CRR$4),Table1[],(MATCH(Calendar!$A18,DB!$1:$1,0)),FALSE)),"")</f>
        <v/>
      </c>
      <c r="CRS18" s="28" t="str">
        <f>IFERROR(IF(CSB3="No",IF(VLOOKUP(DATE($K$1,$K$2,CRS$4),Table1[],(MATCH(Calendar!$A18,DB!$1:$1,0)),FALSE)&gt;=5,"Good","Bad"),VLOOKUP(DATE($K$1,$K$2,CRS$4),Table1[],(MATCH(Calendar!$A18,DB!$1:$1,0)),FALSE)),"")</f>
        <v/>
      </c>
      <c r="CRT18" s="28" t="str">
        <f>IFERROR(IF(CSC3="No",IF(VLOOKUP(DATE($K$1,$K$2,CRT$4),Table1[],(MATCH(Calendar!$A18,DB!$1:$1,0)),FALSE)&gt;=5,"Good","Bad"),VLOOKUP(DATE($K$1,$K$2,CRT$4),Table1[],(MATCH(Calendar!$A18,DB!$1:$1,0)),FALSE)),"")</f>
        <v/>
      </c>
      <c r="CRU18" s="28" t="str">
        <f>IFERROR(IF(CSD3="No",IF(VLOOKUP(DATE($K$1,$K$2,CRU$4),Table1[],(MATCH(Calendar!$A18,DB!$1:$1,0)),FALSE)&gt;=5,"Good","Bad"),VLOOKUP(DATE($K$1,$K$2,CRU$4),Table1[],(MATCH(Calendar!$A18,DB!$1:$1,0)),FALSE)),"")</f>
        <v/>
      </c>
      <c r="CRV18" s="28" t="str">
        <f>IFERROR(IF(CSE3="No",IF(VLOOKUP(DATE($K$1,$K$2,CRV$4),Table1[],(MATCH(Calendar!$A18,DB!$1:$1,0)),FALSE)&gt;=5,"Good","Bad"),VLOOKUP(DATE($K$1,$K$2,CRV$4),Table1[],(MATCH(Calendar!$A18,DB!$1:$1,0)),FALSE)),"")</f>
        <v/>
      </c>
      <c r="CRW18" s="28" t="str">
        <f>IFERROR(IF(CSF3="No",IF(VLOOKUP(DATE($K$1,$K$2,CRW$4),Table1[],(MATCH(Calendar!$A18,DB!$1:$1,0)),FALSE)&gt;=5,"Good","Bad"),VLOOKUP(DATE($K$1,$K$2,CRW$4),Table1[],(MATCH(Calendar!$A18,DB!$1:$1,0)),FALSE)),"")</f>
        <v/>
      </c>
      <c r="CRX18" s="28" t="str">
        <f>IFERROR(IF(CSG3="No",IF(VLOOKUP(DATE($K$1,$K$2,CRX$4),Table1[],(MATCH(Calendar!$A18,DB!$1:$1,0)),FALSE)&gt;=5,"Good","Bad"),VLOOKUP(DATE($K$1,$K$2,CRX$4),Table1[],(MATCH(Calendar!$A18,DB!$1:$1,0)),FALSE)),"")</f>
        <v/>
      </c>
      <c r="CRY18" s="28" t="str">
        <f>IFERROR(IF(CSH3="No",IF(VLOOKUP(DATE($K$1,$K$2,CRY$4),Table1[],(MATCH(Calendar!$A18,DB!$1:$1,0)),FALSE)&gt;=5,"Good","Bad"),VLOOKUP(DATE($K$1,$K$2,CRY$4),Table1[],(MATCH(Calendar!$A18,DB!$1:$1,0)),FALSE)),"")</f>
        <v/>
      </c>
      <c r="CRZ18" s="28" t="str">
        <f>IFERROR(IF(CSI3="No",IF(VLOOKUP(DATE($K$1,$K$2,CRZ$4),Table1[],(MATCH(Calendar!$A18,DB!$1:$1,0)),FALSE)&gt;=5,"Good","Bad"),VLOOKUP(DATE($K$1,$K$2,CRZ$4),Table1[],(MATCH(Calendar!$A18,DB!$1:$1,0)),FALSE)),"")</f>
        <v/>
      </c>
      <c r="CSA18" s="28" t="str">
        <f>IFERROR(IF(CSJ3="No",IF(VLOOKUP(DATE($K$1,$K$2,CSA$4),Table1[],(MATCH(Calendar!$A18,DB!$1:$1,0)),FALSE)&gt;=5,"Good","Bad"),VLOOKUP(DATE($K$1,$K$2,CSA$4),Table1[],(MATCH(Calendar!$A18,DB!$1:$1,0)),FALSE)),"")</f>
        <v/>
      </c>
      <c r="CSB18" s="28" t="str">
        <f>IFERROR(IF(CSK3="No",IF(VLOOKUP(DATE($K$1,$K$2,CSB$4),Table1[],(MATCH(Calendar!$A18,DB!$1:$1,0)),FALSE)&gt;=5,"Good","Bad"),VLOOKUP(DATE($K$1,$K$2,CSB$4),Table1[],(MATCH(Calendar!$A18,DB!$1:$1,0)),FALSE)),"")</f>
        <v/>
      </c>
      <c r="CSC18" s="28" t="str">
        <f>IFERROR(IF(CSL3="No",IF(VLOOKUP(DATE($K$1,$K$2,CSC$4),Table1[],(MATCH(Calendar!$A18,DB!$1:$1,0)),FALSE)&gt;=5,"Good","Bad"),VLOOKUP(DATE($K$1,$K$2,CSC$4),Table1[],(MATCH(Calendar!$A18,DB!$1:$1,0)),FALSE)),"")</f>
        <v/>
      </c>
      <c r="CSD18" s="28" t="str">
        <f>IFERROR(IF(CSM3="No",IF(VLOOKUP(DATE($K$1,$K$2,CSD$4),Table1[],(MATCH(Calendar!$A18,DB!$1:$1,0)),FALSE)&gt;=5,"Good","Bad"),VLOOKUP(DATE($K$1,$K$2,CSD$4),Table1[],(MATCH(Calendar!$A18,DB!$1:$1,0)),FALSE)),"")</f>
        <v/>
      </c>
      <c r="CSE18" s="28" t="str">
        <f>IFERROR(IF(CSN3="No",IF(VLOOKUP(DATE($K$1,$K$2,CSE$4),Table1[],(MATCH(Calendar!$A18,DB!$1:$1,0)),FALSE)&gt;=5,"Good","Bad"),VLOOKUP(DATE($K$1,$K$2,CSE$4),Table1[],(MATCH(Calendar!$A18,DB!$1:$1,0)),FALSE)),"")</f>
        <v/>
      </c>
      <c r="CSF18" s="28" t="str">
        <f>IFERROR(IF(CSO3="No",IF(VLOOKUP(DATE($K$1,$K$2,CSF$4),Table1[],(MATCH(Calendar!$A18,DB!$1:$1,0)),FALSE)&gt;=5,"Good","Bad"),VLOOKUP(DATE($K$1,$K$2,CSF$4),Table1[],(MATCH(Calendar!$A18,DB!$1:$1,0)),FALSE)),"")</f>
        <v/>
      </c>
      <c r="CSG18" s="28" t="str">
        <f>IFERROR(IF(CSP3="No",IF(VLOOKUP(DATE($K$1,$K$2,CSG$4),Table1[],(MATCH(Calendar!$A18,DB!$1:$1,0)),FALSE)&gt;=5,"Good","Bad"),VLOOKUP(DATE($K$1,$K$2,CSG$4),Table1[],(MATCH(Calendar!$A18,DB!$1:$1,0)),FALSE)),"")</f>
        <v/>
      </c>
      <c r="CSH18" s="28" t="str">
        <f>IFERROR(IF(CSQ3="No",IF(VLOOKUP(DATE($K$1,$K$2,CSH$4),Table1[],(MATCH(Calendar!$A18,DB!$1:$1,0)),FALSE)&gt;=5,"Good","Bad"),VLOOKUP(DATE($K$1,$K$2,CSH$4),Table1[],(MATCH(Calendar!$A18,DB!$1:$1,0)),FALSE)),"")</f>
        <v/>
      </c>
      <c r="CSI18" s="28" t="str">
        <f>IFERROR(IF(CSR3="No",IF(VLOOKUP(DATE($K$1,$K$2,CSI$4),Table1[],(MATCH(Calendar!$A18,DB!$1:$1,0)),FALSE)&gt;=5,"Good","Bad"),VLOOKUP(DATE($K$1,$K$2,CSI$4),Table1[],(MATCH(Calendar!$A18,DB!$1:$1,0)),FALSE)),"")</f>
        <v/>
      </c>
      <c r="CSJ18" s="28" t="str">
        <f>IFERROR(IF(CSS3="No",IF(VLOOKUP(DATE($K$1,$K$2,CSJ$4),Table1[],(MATCH(Calendar!$A18,DB!$1:$1,0)),FALSE)&gt;=5,"Good","Bad"),VLOOKUP(DATE($K$1,$K$2,CSJ$4),Table1[],(MATCH(Calendar!$A18,DB!$1:$1,0)),FALSE)),"")</f>
        <v/>
      </c>
      <c r="CSK18" s="28" t="str">
        <f>IFERROR(IF(CST3="No",IF(VLOOKUP(DATE($K$1,$K$2,CSK$4),Table1[],(MATCH(Calendar!$A18,DB!$1:$1,0)),FALSE)&gt;=5,"Good","Bad"),VLOOKUP(DATE($K$1,$K$2,CSK$4),Table1[],(MATCH(Calendar!$A18,DB!$1:$1,0)),FALSE)),"")</f>
        <v/>
      </c>
      <c r="CSL18" s="28" t="str">
        <f>IFERROR(IF(CSU3="No",IF(VLOOKUP(DATE($K$1,$K$2,CSL$4),Table1[],(MATCH(Calendar!$A18,DB!$1:$1,0)),FALSE)&gt;=5,"Good","Bad"),VLOOKUP(DATE($K$1,$K$2,CSL$4),Table1[],(MATCH(Calendar!$A18,DB!$1:$1,0)),FALSE)),"")</f>
        <v/>
      </c>
      <c r="CSM18" s="28" t="str">
        <f>IFERROR(IF(CSV3="No",IF(VLOOKUP(DATE($K$1,$K$2,CSM$4),Table1[],(MATCH(Calendar!$A18,DB!$1:$1,0)),FALSE)&gt;=5,"Good","Bad"),VLOOKUP(DATE($K$1,$K$2,CSM$4),Table1[],(MATCH(Calendar!$A18,DB!$1:$1,0)),FALSE)),"")</f>
        <v/>
      </c>
      <c r="CSN18" s="28" t="str">
        <f>IFERROR(IF(CSW3="No",IF(VLOOKUP(DATE($K$1,$K$2,CSN$4),Table1[],(MATCH(Calendar!$A18,DB!$1:$1,0)),FALSE)&gt;=5,"Good","Bad"),VLOOKUP(DATE($K$1,$K$2,CSN$4),Table1[],(MATCH(Calendar!$A18,DB!$1:$1,0)),FALSE)),"")</f>
        <v/>
      </c>
      <c r="CSO18" s="28" t="str">
        <f>IFERROR(IF(CSX3="No",IF(VLOOKUP(DATE($K$1,$K$2,CSO$4),Table1[],(MATCH(Calendar!$A18,DB!$1:$1,0)),FALSE)&gt;=5,"Good","Bad"),VLOOKUP(DATE($K$1,$K$2,CSO$4),Table1[],(MATCH(Calendar!$A18,DB!$1:$1,0)),FALSE)),"")</f>
        <v/>
      </c>
      <c r="CSP18" s="28" t="str">
        <f>IFERROR(IF(CSY3="No",IF(VLOOKUP(DATE($K$1,$K$2,CSP$4),Table1[],(MATCH(Calendar!$A18,DB!$1:$1,0)),FALSE)&gt;=5,"Good","Bad"),VLOOKUP(DATE($K$1,$K$2,CSP$4),Table1[],(MATCH(Calendar!$A18,DB!$1:$1,0)),FALSE)),"")</f>
        <v/>
      </c>
      <c r="CSQ18" s="28" t="str">
        <f>IFERROR(IF(CSZ3="No",IF(VLOOKUP(DATE($K$1,$K$2,CSQ$4),Table1[],(MATCH(Calendar!$A18,DB!$1:$1,0)),FALSE)&gt;=5,"Good","Bad"),VLOOKUP(DATE($K$1,$K$2,CSQ$4),Table1[],(MATCH(Calendar!$A18,DB!$1:$1,0)),FALSE)),"")</f>
        <v/>
      </c>
      <c r="CSR18" s="28" t="str">
        <f>IFERROR(IF(CTA3="No",IF(VLOOKUP(DATE($K$1,$K$2,CSR$4),Table1[],(MATCH(Calendar!$A18,DB!$1:$1,0)),FALSE)&gt;=5,"Good","Bad"),VLOOKUP(DATE($K$1,$K$2,CSR$4),Table1[],(MATCH(Calendar!$A18,DB!$1:$1,0)),FALSE)),"")</f>
        <v/>
      </c>
      <c r="CSS18" s="28" t="str">
        <f>IFERROR(IF(CTB3="No",IF(VLOOKUP(DATE($K$1,$K$2,CSS$4),Table1[],(MATCH(Calendar!$A18,DB!$1:$1,0)),FALSE)&gt;=5,"Good","Bad"),VLOOKUP(DATE($K$1,$K$2,CSS$4),Table1[],(MATCH(Calendar!$A18,DB!$1:$1,0)),FALSE)),"")</f>
        <v/>
      </c>
      <c r="CST18" s="28" t="str">
        <f>IFERROR(IF(CTC3="No",IF(VLOOKUP(DATE($K$1,$K$2,CST$4),Table1[],(MATCH(Calendar!$A18,DB!$1:$1,0)),FALSE)&gt;=5,"Good","Bad"),VLOOKUP(DATE($K$1,$K$2,CST$4),Table1[],(MATCH(Calendar!$A18,DB!$1:$1,0)),FALSE)),"")</f>
        <v/>
      </c>
      <c r="CSU18" s="28" t="str">
        <f>IFERROR(IF(CTD3="No",IF(VLOOKUP(DATE($K$1,$K$2,CSU$4),Table1[],(MATCH(Calendar!$A18,DB!$1:$1,0)),FALSE)&gt;=5,"Good","Bad"),VLOOKUP(DATE($K$1,$K$2,CSU$4),Table1[],(MATCH(Calendar!$A18,DB!$1:$1,0)),FALSE)),"")</f>
        <v/>
      </c>
      <c r="CSV18" s="28" t="str">
        <f>IFERROR(IF(CTE3="No",IF(VLOOKUP(DATE($K$1,$K$2,CSV$4),Table1[],(MATCH(Calendar!$A18,DB!$1:$1,0)),FALSE)&gt;=5,"Good","Bad"),VLOOKUP(DATE($K$1,$K$2,CSV$4),Table1[],(MATCH(Calendar!$A18,DB!$1:$1,0)),FALSE)),"")</f>
        <v/>
      </c>
      <c r="CSW18" s="28" t="str">
        <f>IFERROR(IF(CTF3="No",IF(VLOOKUP(DATE($K$1,$K$2,CSW$4),Table1[],(MATCH(Calendar!$A18,DB!$1:$1,0)),FALSE)&gt;=5,"Good","Bad"),VLOOKUP(DATE($K$1,$K$2,CSW$4),Table1[],(MATCH(Calendar!$A18,DB!$1:$1,0)),FALSE)),"")</f>
        <v/>
      </c>
      <c r="CSX18" s="28" t="str">
        <f>IFERROR(IF(CTG3="No",IF(VLOOKUP(DATE($K$1,$K$2,CSX$4),Table1[],(MATCH(Calendar!$A18,DB!$1:$1,0)),FALSE)&gt;=5,"Good","Bad"),VLOOKUP(DATE($K$1,$K$2,CSX$4),Table1[],(MATCH(Calendar!$A18,DB!$1:$1,0)),FALSE)),"")</f>
        <v/>
      </c>
      <c r="CSY18" s="28" t="str">
        <f>IFERROR(IF(CTH3="No",IF(VLOOKUP(DATE($K$1,$K$2,CSY$4),Table1[],(MATCH(Calendar!$A18,DB!$1:$1,0)),FALSE)&gt;=5,"Good","Bad"),VLOOKUP(DATE($K$1,$K$2,CSY$4),Table1[],(MATCH(Calendar!$A18,DB!$1:$1,0)),FALSE)),"")</f>
        <v/>
      </c>
      <c r="CSZ18" s="28" t="str">
        <f>IFERROR(IF(CTI3="No",IF(VLOOKUP(DATE($K$1,$K$2,CSZ$4),Table1[],(MATCH(Calendar!$A18,DB!$1:$1,0)),FALSE)&gt;=5,"Good","Bad"),VLOOKUP(DATE($K$1,$K$2,CSZ$4),Table1[],(MATCH(Calendar!$A18,DB!$1:$1,0)),FALSE)),"")</f>
        <v/>
      </c>
      <c r="CTA18" s="28" t="str">
        <f>IFERROR(IF(CTJ3="No",IF(VLOOKUP(DATE($K$1,$K$2,CTA$4),Table1[],(MATCH(Calendar!$A18,DB!$1:$1,0)),FALSE)&gt;=5,"Good","Bad"),VLOOKUP(DATE($K$1,$K$2,CTA$4),Table1[],(MATCH(Calendar!$A18,DB!$1:$1,0)),FALSE)),"")</f>
        <v/>
      </c>
      <c r="CTB18" s="28" t="str">
        <f>IFERROR(IF(CTK3="No",IF(VLOOKUP(DATE($K$1,$K$2,CTB$4),Table1[],(MATCH(Calendar!$A18,DB!$1:$1,0)),FALSE)&gt;=5,"Good","Bad"),VLOOKUP(DATE($K$1,$K$2,CTB$4),Table1[],(MATCH(Calendar!$A18,DB!$1:$1,0)),FALSE)),"")</f>
        <v/>
      </c>
      <c r="CTC18" s="28" t="str">
        <f>IFERROR(IF(CTL3="No",IF(VLOOKUP(DATE($K$1,$K$2,CTC$4),Table1[],(MATCH(Calendar!$A18,DB!$1:$1,0)),FALSE)&gt;=5,"Good","Bad"),VLOOKUP(DATE($K$1,$K$2,CTC$4),Table1[],(MATCH(Calendar!$A18,DB!$1:$1,0)),FALSE)),"")</f>
        <v/>
      </c>
      <c r="CTD18" s="28" t="str">
        <f>IFERROR(IF(CTM3="No",IF(VLOOKUP(DATE($K$1,$K$2,CTD$4),Table1[],(MATCH(Calendar!$A18,DB!$1:$1,0)),FALSE)&gt;=5,"Good","Bad"),VLOOKUP(DATE($K$1,$K$2,CTD$4),Table1[],(MATCH(Calendar!$A18,DB!$1:$1,0)),FALSE)),"")</f>
        <v/>
      </c>
      <c r="CTE18" s="28" t="str">
        <f>IFERROR(IF(CTN3="No",IF(VLOOKUP(DATE($K$1,$K$2,CTE$4),Table1[],(MATCH(Calendar!$A18,DB!$1:$1,0)),FALSE)&gt;=5,"Good","Bad"),VLOOKUP(DATE($K$1,$K$2,CTE$4),Table1[],(MATCH(Calendar!$A18,DB!$1:$1,0)),FALSE)),"")</f>
        <v/>
      </c>
      <c r="CTF18" s="28" t="str">
        <f>IFERROR(IF(CTO3="No",IF(VLOOKUP(DATE($K$1,$K$2,CTF$4),Table1[],(MATCH(Calendar!$A18,DB!$1:$1,0)),FALSE)&gt;=5,"Good","Bad"),VLOOKUP(DATE($K$1,$K$2,CTF$4),Table1[],(MATCH(Calendar!$A18,DB!$1:$1,0)),FALSE)),"")</f>
        <v/>
      </c>
      <c r="CTG18" s="28" t="str">
        <f>IFERROR(IF(CTP3="No",IF(VLOOKUP(DATE($K$1,$K$2,CTG$4),Table1[],(MATCH(Calendar!$A18,DB!$1:$1,0)),FALSE)&gt;=5,"Good","Bad"),VLOOKUP(DATE($K$1,$K$2,CTG$4),Table1[],(MATCH(Calendar!$A18,DB!$1:$1,0)),FALSE)),"")</f>
        <v/>
      </c>
      <c r="CTH18" s="28" t="str">
        <f>IFERROR(IF(CTQ3="No",IF(VLOOKUP(DATE($K$1,$K$2,CTH$4),Table1[],(MATCH(Calendar!$A18,DB!$1:$1,0)),FALSE)&gt;=5,"Good","Bad"),VLOOKUP(DATE($K$1,$K$2,CTH$4),Table1[],(MATCH(Calendar!$A18,DB!$1:$1,0)),FALSE)),"")</f>
        <v/>
      </c>
      <c r="CTI18" s="28" t="str">
        <f>IFERROR(IF(CTR3="No",IF(VLOOKUP(DATE($K$1,$K$2,CTI$4),Table1[],(MATCH(Calendar!$A18,DB!$1:$1,0)),FALSE)&gt;=5,"Good","Bad"),VLOOKUP(DATE($K$1,$K$2,CTI$4),Table1[],(MATCH(Calendar!$A18,DB!$1:$1,0)),FALSE)),"")</f>
        <v/>
      </c>
      <c r="CTJ18" s="28" t="str">
        <f>IFERROR(IF(CTS3="No",IF(VLOOKUP(DATE($K$1,$K$2,CTJ$4),Table1[],(MATCH(Calendar!$A18,DB!$1:$1,0)),FALSE)&gt;=5,"Good","Bad"),VLOOKUP(DATE($K$1,$K$2,CTJ$4),Table1[],(MATCH(Calendar!$A18,DB!$1:$1,0)),FALSE)),"")</f>
        <v/>
      </c>
      <c r="CTK18" s="28" t="str">
        <f>IFERROR(IF(CTT3="No",IF(VLOOKUP(DATE($K$1,$K$2,CTK$4),Table1[],(MATCH(Calendar!$A18,DB!$1:$1,0)),FALSE)&gt;=5,"Good","Bad"),VLOOKUP(DATE($K$1,$K$2,CTK$4),Table1[],(MATCH(Calendar!$A18,DB!$1:$1,0)),FALSE)),"")</f>
        <v/>
      </c>
      <c r="CTL18" s="28" t="str">
        <f>IFERROR(IF(CTU3="No",IF(VLOOKUP(DATE($K$1,$K$2,CTL$4),Table1[],(MATCH(Calendar!$A18,DB!$1:$1,0)),FALSE)&gt;=5,"Good","Bad"),VLOOKUP(DATE($K$1,$K$2,CTL$4),Table1[],(MATCH(Calendar!$A18,DB!$1:$1,0)),FALSE)),"")</f>
        <v/>
      </c>
      <c r="CTM18" s="28" t="str">
        <f>IFERROR(IF(CTV3="No",IF(VLOOKUP(DATE($K$1,$K$2,CTM$4),Table1[],(MATCH(Calendar!$A18,DB!$1:$1,0)),FALSE)&gt;=5,"Good","Bad"),VLOOKUP(DATE($K$1,$K$2,CTM$4),Table1[],(MATCH(Calendar!$A18,DB!$1:$1,0)),FALSE)),"")</f>
        <v/>
      </c>
      <c r="CTN18" s="28" t="str">
        <f>IFERROR(IF(CTW3="No",IF(VLOOKUP(DATE($K$1,$K$2,CTN$4),Table1[],(MATCH(Calendar!$A18,DB!$1:$1,0)),FALSE)&gt;=5,"Good","Bad"),VLOOKUP(DATE($K$1,$K$2,CTN$4),Table1[],(MATCH(Calendar!$A18,DB!$1:$1,0)),FALSE)),"")</f>
        <v/>
      </c>
      <c r="CTO18" s="28" t="str">
        <f>IFERROR(IF(CTX3="No",IF(VLOOKUP(DATE($K$1,$K$2,CTO$4),Table1[],(MATCH(Calendar!$A18,DB!$1:$1,0)),FALSE)&gt;=5,"Good","Bad"),VLOOKUP(DATE($K$1,$K$2,CTO$4),Table1[],(MATCH(Calendar!$A18,DB!$1:$1,0)),FALSE)),"")</f>
        <v/>
      </c>
      <c r="CTP18" s="28" t="str">
        <f>IFERROR(IF(CTY3="No",IF(VLOOKUP(DATE($K$1,$K$2,CTP$4),Table1[],(MATCH(Calendar!$A18,DB!$1:$1,0)),FALSE)&gt;=5,"Good","Bad"),VLOOKUP(DATE($K$1,$K$2,CTP$4),Table1[],(MATCH(Calendar!$A18,DB!$1:$1,0)),FALSE)),"")</f>
        <v/>
      </c>
      <c r="CTQ18" s="28" t="str">
        <f>IFERROR(IF(CTZ3="No",IF(VLOOKUP(DATE($K$1,$K$2,CTQ$4),Table1[],(MATCH(Calendar!$A18,DB!$1:$1,0)),FALSE)&gt;=5,"Good","Bad"),VLOOKUP(DATE($K$1,$K$2,CTQ$4),Table1[],(MATCH(Calendar!$A18,DB!$1:$1,0)),FALSE)),"")</f>
        <v/>
      </c>
      <c r="CTR18" s="28" t="str">
        <f>IFERROR(IF(CUA3="No",IF(VLOOKUP(DATE($K$1,$K$2,CTR$4),Table1[],(MATCH(Calendar!$A18,DB!$1:$1,0)),FALSE)&gt;=5,"Good","Bad"),VLOOKUP(DATE($K$1,$K$2,CTR$4),Table1[],(MATCH(Calendar!$A18,DB!$1:$1,0)),FALSE)),"")</f>
        <v/>
      </c>
      <c r="CTS18" s="28" t="str">
        <f>IFERROR(IF(CUB3="No",IF(VLOOKUP(DATE($K$1,$K$2,CTS$4),Table1[],(MATCH(Calendar!$A18,DB!$1:$1,0)),FALSE)&gt;=5,"Good","Bad"),VLOOKUP(DATE($K$1,$K$2,CTS$4),Table1[],(MATCH(Calendar!$A18,DB!$1:$1,0)),FALSE)),"")</f>
        <v/>
      </c>
      <c r="CTT18" s="28" t="str">
        <f>IFERROR(IF(CUC3="No",IF(VLOOKUP(DATE($K$1,$K$2,CTT$4),Table1[],(MATCH(Calendar!$A18,DB!$1:$1,0)),FALSE)&gt;=5,"Good","Bad"),VLOOKUP(DATE($K$1,$K$2,CTT$4),Table1[],(MATCH(Calendar!$A18,DB!$1:$1,0)),FALSE)),"")</f>
        <v/>
      </c>
      <c r="CTU18" s="28" t="str">
        <f>IFERROR(IF(CUD3="No",IF(VLOOKUP(DATE($K$1,$K$2,CTU$4),Table1[],(MATCH(Calendar!$A18,DB!$1:$1,0)),FALSE)&gt;=5,"Good","Bad"),VLOOKUP(DATE($K$1,$K$2,CTU$4),Table1[],(MATCH(Calendar!$A18,DB!$1:$1,0)),FALSE)),"")</f>
        <v/>
      </c>
      <c r="CTV18" s="28" t="str">
        <f>IFERROR(IF(CUE3="No",IF(VLOOKUP(DATE($K$1,$K$2,CTV$4),Table1[],(MATCH(Calendar!$A18,DB!$1:$1,0)),FALSE)&gt;=5,"Good","Bad"),VLOOKUP(DATE($K$1,$K$2,CTV$4),Table1[],(MATCH(Calendar!$A18,DB!$1:$1,0)),FALSE)),"")</f>
        <v/>
      </c>
      <c r="CTW18" s="28" t="str">
        <f>IFERROR(IF(CUF3="No",IF(VLOOKUP(DATE($K$1,$K$2,CTW$4),Table1[],(MATCH(Calendar!$A18,DB!$1:$1,0)),FALSE)&gt;=5,"Good","Bad"),VLOOKUP(DATE($K$1,$K$2,CTW$4),Table1[],(MATCH(Calendar!$A18,DB!$1:$1,0)),FALSE)),"")</f>
        <v/>
      </c>
      <c r="CTX18" s="28" t="str">
        <f>IFERROR(IF(CUG3="No",IF(VLOOKUP(DATE($K$1,$K$2,CTX$4),Table1[],(MATCH(Calendar!$A18,DB!$1:$1,0)),FALSE)&gt;=5,"Good","Bad"),VLOOKUP(DATE($K$1,$K$2,CTX$4),Table1[],(MATCH(Calendar!$A18,DB!$1:$1,0)),FALSE)),"")</f>
        <v/>
      </c>
      <c r="CTY18" s="28" t="str">
        <f>IFERROR(IF(CUH3="No",IF(VLOOKUP(DATE($K$1,$K$2,CTY$4),Table1[],(MATCH(Calendar!$A18,DB!$1:$1,0)),FALSE)&gt;=5,"Good","Bad"),VLOOKUP(DATE($K$1,$K$2,CTY$4),Table1[],(MATCH(Calendar!$A18,DB!$1:$1,0)),FALSE)),"")</f>
        <v/>
      </c>
      <c r="CTZ18" s="28" t="str">
        <f>IFERROR(IF(CUI3="No",IF(VLOOKUP(DATE($K$1,$K$2,CTZ$4),Table1[],(MATCH(Calendar!$A18,DB!$1:$1,0)),FALSE)&gt;=5,"Good","Bad"),VLOOKUP(DATE($K$1,$K$2,CTZ$4),Table1[],(MATCH(Calendar!$A18,DB!$1:$1,0)),FALSE)),"")</f>
        <v/>
      </c>
      <c r="CUA18" s="28" t="str">
        <f>IFERROR(IF(CUJ3="No",IF(VLOOKUP(DATE($K$1,$K$2,CUA$4),Table1[],(MATCH(Calendar!$A18,DB!$1:$1,0)),FALSE)&gt;=5,"Good","Bad"),VLOOKUP(DATE($K$1,$K$2,CUA$4),Table1[],(MATCH(Calendar!$A18,DB!$1:$1,0)),FALSE)),"")</f>
        <v/>
      </c>
      <c r="CUB18" s="28" t="str">
        <f>IFERROR(IF(CUK3="No",IF(VLOOKUP(DATE($K$1,$K$2,CUB$4),Table1[],(MATCH(Calendar!$A18,DB!$1:$1,0)),FALSE)&gt;=5,"Good","Bad"),VLOOKUP(DATE($K$1,$K$2,CUB$4),Table1[],(MATCH(Calendar!$A18,DB!$1:$1,0)),FALSE)),"")</f>
        <v/>
      </c>
      <c r="CUC18" s="28" t="str">
        <f>IFERROR(IF(CUL3="No",IF(VLOOKUP(DATE($K$1,$K$2,CUC$4),Table1[],(MATCH(Calendar!$A18,DB!$1:$1,0)),FALSE)&gt;=5,"Good","Bad"),VLOOKUP(DATE($K$1,$K$2,CUC$4),Table1[],(MATCH(Calendar!$A18,DB!$1:$1,0)),FALSE)),"")</f>
        <v/>
      </c>
      <c r="CUD18" s="28" t="str">
        <f>IFERROR(IF(CUM3="No",IF(VLOOKUP(DATE($K$1,$K$2,CUD$4),Table1[],(MATCH(Calendar!$A18,DB!$1:$1,0)),FALSE)&gt;=5,"Good","Bad"),VLOOKUP(DATE($K$1,$K$2,CUD$4),Table1[],(MATCH(Calendar!$A18,DB!$1:$1,0)),FALSE)),"")</f>
        <v/>
      </c>
      <c r="CUE18" s="28" t="str">
        <f>IFERROR(IF(CUN3="No",IF(VLOOKUP(DATE($K$1,$K$2,CUE$4),Table1[],(MATCH(Calendar!$A18,DB!$1:$1,0)),FALSE)&gt;=5,"Good","Bad"),VLOOKUP(DATE($K$1,$K$2,CUE$4),Table1[],(MATCH(Calendar!$A18,DB!$1:$1,0)),FALSE)),"")</f>
        <v/>
      </c>
      <c r="CUF18" s="28" t="str">
        <f>IFERROR(IF(CUO3="No",IF(VLOOKUP(DATE($K$1,$K$2,CUF$4),Table1[],(MATCH(Calendar!$A18,DB!$1:$1,0)),FALSE)&gt;=5,"Good","Bad"),VLOOKUP(DATE($K$1,$K$2,CUF$4),Table1[],(MATCH(Calendar!$A18,DB!$1:$1,0)),FALSE)),"")</f>
        <v/>
      </c>
      <c r="CUG18" s="28" t="str">
        <f>IFERROR(IF(CUP3="No",IF(VLOOKUP(DATE($K$1,$K$2,CUG$4),Table1[],(MATCH(Calendar!$A18,DB!$1:$1,0)),FALSE)&gt;=5,"Good","Bad"),VLOOKUP(DATE($K$1,$K$2,CUG$4),Table1[],(MATCH(Calendar!$A18,DB!$1:$1,0)),FALSE)),"")</f>
        <v/>
      </c>
      <c r="CUH18" s="28" t="str">
        <f>IFERROR(IF(CUQ3="No",IF(VLOOKUP(DATE($K$1,$K$2,CUH$4),Table1[],(MATCH(Calendar!$A18,DB!$1:$1,0)),FALSE)&gt;=5,"Good","Bad"),VLOOKUP(DATE($K$1,$K$2,CUH$4),Table1[],(MATCH(Calendar!$A18,DB!$1:$1,0)),FALSE)),"")</f>
        <v/>
      </c>
      <c r="CUI18" s="28" t="str">
        <f>IFERROR(IF(CUR3="No",IF(VLOOKUP(DATE($K$1,$K$2,CUI$4),Table1[],(MATCH(Calendar!$A18,DB!$1:$1,0)),FALSE)&gt;=5,"Good","Bad"),VLOOKUP(DATE($K$1,$K$2,CUI$4),Table1[],(MATCH(Calendar!$A18,DB!$1:$1,0)),FALSE)),"")</f>
        <v/>
      </c>
      <c r="CUJ18" s="28" t="str">
        <f>IFERROR(IF(CUS3="No",IF(VLOOKUP(DATE($K$1,$K$2,CUJ$4),Table1[],(MATCH(Calendar!$A18,DB!$1:$1,0)),FALSE)&gt;=5,"Good","Bad"),VLOOKUP(DATE($K$1,$K$2,CUJ$4),Table1[],(MATCH(Calendar!$A18,DB!$1:$1,0)),FALSE)),"")</f>
        <v/>
      </c>
      <c r="CUK18" s="28" t="str">
        <f>IFERROR(IF(CUT3="No",IF(VLOOKUP(DATE($K$1,$K$2,CUK$4),Table1[],(MATCH(Calendar!$A18,DB!$1:$1,0)),FALSE)&gt;=5,"Good","Bad"),VLOOKUP(DATE($K$1,$K$2,CUK$4),Table1[],(MATCH(Calendar!$A18,DB!$1:$1,0)),FALSE)),"")</f>
        <v/>
      </c>
      <c r="CUL18" s="28" t="str">
        <f>IFERROR(IF(CUU3="No",IF(VLOOKUP(DATE($K$1,$K$2,CUL$4),Table1[],(MATCH(Calendar!$A18,DB!$1:$1,0)),FALSE)&gt;=5,"Good","Bad"),VLOOKUP(DATE($K$1,$K$2,CUL$4),Table1[],(MATCH(Calendar!$A18,DB!$1:$1,0)),FALSE)),"")</f>
        <v/>
      </c>
      <c r="CUM18" s="28" t="str">
        <f>IFERROR(IF(CUV3="No",IF(VLOOKUP(DATE($K$1,$K$2,CUM$4),Table1[],(MATCH(Calendar!$A18,DB!$1:$1,0)),FALSE)&gt;=5,"Good","Bad"),VLOOKUP(DATE($K$1,$K$2,CUM$4),Table1[],(MATCH(Calendar!$A18,DB!$1:$1,0)),FALSE)),"")</f>
        <v/>
      </c>
      <c r="CUN18" s="28" t="str">
        <f>IFERROR(IF(CUW3="No",IF(VLOOKUP(DATE($K$1,$K$2,CUN$4),Table1[],(MATCH(Calendar!$A18,DB!$1:$1,0)),FALSE)&gt;=5,"Good","Bad"),VLOOKUP(DATE($K$1,$K$2,CUN$4),Table1[],(MATCH(Calendar!$A18,DB!$1:$1,0)),FALSE)),"")</f>
        <v/>
      </c>
      <c r="CUO18" s="28" t="str">
        <f>IFERROR(IF(CUX3="No",IF(VLOOKUP(DATE($K$1,$K$2,CUO$4),Table1[],(MATCH(Calendar!$A18,DB!$1:$1,0)),FALSE)&gt;=5,"Good","Bad"),VLOOKUP(DATE($K$1,$K$2,CUO$4),Table1[],(MATCH(Calendar!$A18,DB!$1:$1,0)),FALSE)),"")</f>
        <v/>
      </c>
      <c r="CUP18" s="28" t="str">
        <f>IFERROR(IF(CUY3="No",IF(VLOOKUP(DATE($K$1,$K$2,CUP$4),Table1[],(MATCH(Calendar!$A18,DB!$1:$1,0)),FALSE)&gt;=5,"Good","Bad"),VLOOKUP(DATE($K$1,$K$2,CUP$4),Table1[],(MATCH(Calendar!$A18,DB!$1:$1,0)),FALSE)),"")</f>
        <v/>
      </c>
      <c r="CUQ18" s="28" t="str">
        <f>IFERROR(IF(CUZ3="No",IF(VLOOKUP(DATE($K$1,$K$2,CUQ$4),Table1[],(MATCH(Calendar!$A18,DB!$1:$1,0)),FALSE)&gt;=5,"Good","Bad"),VLOOKUP(DATE($K$1,$K$2,CUQ$4),Table1[],(MATCH(Calendar!$A18,DB!$1:$1,0)),FALSE)),"")</f>
        <v/>
      </c>
      <c r="CUR18" s="28" t="str">
        <f>IFERROR(IF(CVA3="No",IF(VLOOKUP(DATE($K$1,$K$2,CUR$4),Table1[],(MATCH(Calendar!$A18,DB!$1:$1,0)),FALSE)&gt;=5,"Good","Bad"),VLOOKUP(DATE($K$1,$K$2,CUR$4),Table1[],(MATCH(Calendar!$A18,DB!$1:$1,0)),FALSE)),"")</f>
        <v/>
      </c>
      <c r="CUS18" s="28" t="str">
        <f>IFERROR(IF(CVB3="No",IF(VLOOKUP(DATE($K$1,$K$2,CUS$4),Table1[],(MATCH(Calendar!$A18,DB!$1:$1,0)),FALSE)&gt;=5,"Good","Bad"),VLOOKUP(DATE($K$1,$K$2,CUS$4),Table1[],(MATCH(Calendar!$A18,DB!$1:$1,0)),FALSE)),"")</f>
        <v/>
      </c>
      <c r="CUT18" s="28" t="str">
        <f>IFERROR(IF(CVC3="No",IF(VLOOKUP(DATE($K$1,$K$2,CUT$4),Table1[],(MATCH(Calendar!$A18,DB!$1:$1,0)),FALSE)&gt;=5,"Good","Bad"),VLOOKUP(DATE($K$1,$K$2,CUT$4),Table1[],(MATCH(Calendar!$A18,DB!$1:$1,0)),FALSE)),"")</f>
        <v/>
      </c>
      <c r="CUU18" s="28" t="str">
        <f>IFERROR(IF(CVD3="No",IF(VLOOKUP(DATE($K$1,$K$2,CUU$4),Table1[],(MATCH(Calendar!$A18,DB!$1:$1,0)),FALSE)&gt;=5,"Good","Bad"),VLOOKUP(DATE($K$1,$K$2,CUU$4),Table1[],(MATCH(Calendar!$A18,DB!$1:$1,0)),FALSE)),"")</f>
        <v/>
      </c>
      <c r="CUV18" s="28" t="str">
        <f>IFERROR(IF(CVE3="No",IF(VLOOKUP(DATE($K$1,$K$2,CUV$4),Table1[],(MATCH(Calendar!$A18,DB!$1:$1,0)),FALSE)&gt;=5,"Good","Bad"),VLOOKUP(DATE($K$1,$K$2,CUV$4),Table1[],(MATCH(Calendar!$A18,DB!$1:$1,0)),FALSE)),"")</f>
        <v/>
      </c>
      <c r="CUW18" s="28" t="str">
        <f>IFERROR(IF(CVF3="No",IF(VLOOKUP(DATE($K$1,$K$2,CUW$4),Table1[],(MATCH(Calendar!$A18,DB!$1:$1,0)),FALSE)&gt;=5,"Good","Bad"),VLOOKUP(DATE($K$1,$K$2,CUW$4),Table1[],(MATCH(Calendar!$A18,DB!$1:$1,0)),FALSE)),"")</f>
        <v/>
      </c>
      <c r="CUX18" s="28" t="str">
        <f>IFERROR(IF(CVG3="No",IF(VLOOKUP(DATE($K$1,$K$2,CUX$4),Table1[],(MATCH(Calendar!$A18,DB!$1:$1,0)),FALSE)&gt;=5,"Good","Bad"),VLOOKUP(DATE($K$1,$K$2,CUX$4),Table1[],(MATCH(Calendar!$A18,DB!$1:$1,0)),FALSE)),"")</f>
        <v/>
      </c>
      <c r="CUY18" s="28" t="str">
        <f>IFERROR(IF(CVH3="No",IF(VLOOKUP(DATE($K$1,$K$2,CUY$4),Table1[],(MATCH(Calendar!$A18,DB!$1:$1,0)),FALSE)&gt;=5,"Good","Bad"),VLOOKUP(DATE($K$1,$K$2,CUY$4),Table1[],(MATCH(Calendar!$A18,DB!$1:$1,0)),FALSE)),"")</f>
        <v/>
      </c>
      <c r="CUZ18" s="28" t="str">
        <f>IFERROR(IF(CVI3="No",IF(VLOOKUP(DATE($K$1,$K$2,CUZ$4),Table1[],(MATCH(Calendar!$A18,DB!$1:$1,0)),FALSE)&gt;=5,"Good","Bad"),VLOOKUP(DATE($K$1,$K$2,CUZ$4),Table1[],(MATCH(Calendar!$A18,DB!$1:$1,0)),FALSE)),"")</f>
        <v/>
      </c>
      <c r="CVA18" s="28" t="str">
        <f>IFERROR(IF(CVJ3="No",IF(VLOOKUP(DATE($K$1,$K$2,CVA$4),Table1[],(MATCH(Calendar!$A18,DB!$1:$1,0)),FALSE)&gt;=5,"Good","Bad"),VLOOKUP(DATE($K$1,$K$2,CVA$4),Table1[],(MATCH(Calendar!$A18,DB!$1:$1,0)),FALSE)),"")</f>
        <v/>
      </c>
      <c r="CVB18" s="28" t="str">
        <f>IFERROR(IF(CVK3="No",IF(VLOOKUP(DATE($K$1,$K$2,CVB$4),Table1[],(MATCH(Calendar!$A18,DB!$1:$1,0)),FALSE)&gt;=5,"Good","Bad"),VLOOKUP(DATE($K$1,$K$2,CVB$4),Table1[],(MATCH(Calendar!$A18,DB!$1:$1,0)),FALSE)),"")</f>
        <v/>
      </c>
      <c r="CVC18" s="28" t="str">
        <f>IFERROR(IF(CVL3="No",IF(VLOOKUP(DATE($K$1,$K$2,CVC$4),Table1[],(MATCH(Calendar!$A18,DB!$1:$1,0)),FALSE)&gt;=5,"Good","Bad"),VLOOKUP(DATE($K$1,$K$2,CVC$4),Table1[],(MATCH(Calendar!$A18,DB!$1:$1,0)),FALSE)),"")</f>
        <v/>
      </c>
      <c r="CVD18" s="28" t="str">
        <f>IFERROR(IF(CVM3="No",IF(VLOOKUP(DATE($K$1,$K$2,CVD$4),Table1[],(MATCH(Calendar!$A18,DB!$1:$1,0)),FALSE)&gt;=5,"Good","Bad"),VLOOKUP(DATE($K$1,$K$2,CVD$4),Table1[],(MATCH(Calendar!$A18,DB!$1:$1,0)),FALSE)),"")</f>
        <v/>
      </c>
      <c r="CVE18" s="28" t="str">
        <f>IFERROR(IF(CVN3="No",IF(VLOOKUP(DATE($K$1,$K$2,CVE$4),Table1[],(MATCH(Calendar!$A18,DB!$1:$1,0)),FALSE)&gt;=5,"Good","Bad"),VLOOKUP(DATE($K$1,$K$2,CVE$4),Table1[],(MATCH(Calendar!$A18,DB!$1:$1,0)),FALSE)),"")</f>
        <v/>
      </c>
      <c r="CVF18" s="28" t="str">
        <f>IFERROR(IF(CVO3="No",IF(VLOOKUP(DATE($K$1,$K$2,CVF$4),Table1[],(MATCH(Calendar!$A18,DB!$1:$1,0)),FALSE)&gt;=5,"Good","Bad"),VLOOKUP(DATE($K$1,$K$2,CVF$4),Table1[],(MATCH(Calendar!$A18,DB!$1:$1,0)),FALSE)),"")</f>
        <v/>
      </c>
      <c r="CVG18" s="28" t="str">
        <f>IFERROR(IF(CVP3="No",IF(VLOOKUP(DATE($K$1,$K$2,CVG$4),Table1[],(MATCH(Calendar!$A18,DB!$1:$1,0)),FALSE)&gt;=5,"Good","Bad"),VLOOKUP(DATE($K$1,$K$2,CVG$4),Table1[],(MATCH(Calendar!$A18,DB!$1:$1,0)),FALSE)),"")</f>
        <v/>
      </c>
      <c r="CVH18" s="28" t="str">
        <f>IFERROR(IF(CVQ3="No",IF(VLOOKUP(DATE($K$1,$K$2,CVH$4),Table1[],(MATCH(Calendar!$A18,DB!$1:$1,0)),FALSE)&gt;=5,"Good","Bad"),VLOOKUP(DATE($K$1,$K$2,CVH$4),Table1[],(MATCH(Calendar!$A18,DB!$1:$1,0)),FALSE)),"")</f>
        <v/>
      </c>
      <c r="CVI18" s="28" t="str">
        <f>IFERROR(IF(CVR3="No",IF(VLOOKUP(DATE($K$1,$K$2,CVI$4),Table1[],(MATCH(Calendar!$A18,DB!$1:$1,0)),FALSE)&gt;=5,"Good","Bad"),VLOOKUP(DATE($K$1,$K$2,CVI$4),Table1[],(MATCH(Calendar!$A18,DB!$1:$1,0)),FALSE)),"")</f>
        <v/>
      </c>
      <c r="CVJ18" s="28" t="str">
        <f>IFERROR(IF(CVS3="No",IF(VLOOKUP(DATE($K$1,$K$2,CVJ$4),Table1[],(MATCH(Calendar!$A18,DB!$1:$1,0)),FALSE)&gt;=5,"Good","Bad"),VLOOKUP(DATE($K$1,$K$2,CVJ$4),Table1[],(MATCH(Calendar!$A18,DB!$1:$1,0)),FALSE)),"")</f>
        <v/>
      </c>
      <c r="CVK18" s="28" t="str">
        <f>IFERROR(IF(CVT3="No",IF(VLOOKUP(DATE($K$1,$K$2,CVK$4),Table1[],(MATCH(Calendar!$A18,DB!$1:$1,0)),FALSE)&gt;=5,"Good","Bad"),VLOOKUP(DATE($K$1,$K$2,CVK$4),Table1[],(MATCH(Calendar!$A18,DB!$1:$1,0)),FALSE)),"")</f>
        <v/>
      </c>
      <c r="CVL18" s="28" t="str">
        <f>IFERROR(IF(CVU3="No",IF(VLOOKUP(DATE($K$1,$K$2,CVL$4),Table1[],(MATCH(Calendar!$A18,DB!$1:$1,0)),FALSE)&gt;=5,"Good","Bad"),VLOOKUP(DATE($K$1,$K$2,CVL$4),Table1[],(MATCH(Calendar!$A18,DB!$1:$1,0)),FALSE)),"")</f>
        <v/>
      </c>
      <c r="CVM18" s="28" t="str">
        <f>IFERROR(IF(CVV3="No",IF(VLOOKUP(DATE($K$1,$K$2,CVM$4),Table1[],(MATCH(Calendar!$A18,DB!$1:$1,0)),FALSE)&gt;=5,"Good","Bad"),VLOOKUP(DATE($K$1,$K$2,CVM$4),Table1[],(MATCH(Calendar!$A18,DB!$1:$1,0)),FALSE)),"")</f>
        <v/>
      </c>
      <c r="CVN18" s="28" t="str">
        <f>IFERROR(IF(CVW3="No",IF(VLOOKUP(DATE($K$1,$K$2,CVN$4),Table1[],(MATCH(Calendar!$A18,DB!$1:$1,0)),FALSE)&gt;=5,"Good","Bad"),VLOOKUP(DATE($K$1,$K$2,CVN$4),Table1[],(MATCH(Calendar!$A18,DB!$1:$1,0)),FALSE)),"")</f>
        <v/>
      </c>
      <c r="CVO18" s="28" t="str">
        <f>IFERROR(IF(CVX3="No",IF(VLOOKUP(DATE($K$1,$K$2,CVO$4),Table1[],(MATCH(Calendar!$A18,DB!$1:$1,0)),FALSE)&gt;=5,"Good","Bad"),VLOOKUP(DATE($K$1,$K$2,CVO$4),Table1[],(MATCH(Calendar!$A18,DB!$1:$1,0)),FALSE)),"")</f>
        <v/>
      </c>
      <c r="CVP18" s="28" t="str">
        <f>IFERROR(IF(CVY3="No",IF(VLOOKUP(DATE($K$1,$K$2,CVP$4),Table1[],(MATCH(Calendar!$A18,DB!$1:$1,0)),FALSE)&gt;=5,"Good","Bad"),VLOOKUP(DATE($K$1,$K$2,CVP$4),Table1[],(MATCH(Calendar!$A18,DB!$1:$1,0)),FALSE)),"")</f>
        <v/>
      </c>
      <c r="CVQ18" s="28" t="str">
        <f>IFERROR(IF(CVZ3="No",IF(VLOOKUP(DATE($K$1,$K$2,CVQ$4),Table1[],(MATCH(Calendar!$A18,DB!$1:$1,0)),FALSE)&gt;=5,"Good","Bad"),VLOOKUP(DATE($K$1,$K$2,CVQ$4),Table1[],(MATCH(Calendar!$A18,DB!$1:$1,0)),FALSE)),"")</f>
        <v/>
      </c>
      <c r="CVR18" s="28" t="str">
        <f>IFERROR(IF(CWA3="No",IF(VLOOKUP(DATE($K$1,$K$2,CVR$4),Table1[],(MATCH(Calendar!$A18,DB!$1:$1,0)),FALSE)&gt;=5,"Good","Bad"),VLOOKUP(DATE($K$1,$K$2,CVR$4),Table1[],(MATCH(Calendar!$A18,DB!$1:$1,0)),FALSE)),"")</f>
        <v/>
      </c>
      <c r="CVS18" s="28" t="str">
        <f>IFERROR(IF(CWB3="No",IF(VLOOKUP(DATE($K$1,$K$2,CVS$4),Table1[],(MATCH(Calendar!$A18,DB!$1:$1,0)),FALSE)&gt;=5,"Good","Bad"),VLOOKUP(DATE($K$1,$K$2,CVS$4),Table1[],(MATCH(Calendar!$A18,DB!$1:$1,0)),FALSE)),"")</f>
        <v/>
      </c>
      <c r="CVT18" s="28" t="str">
        <f>IFERROR(IF(CWC3="No",IF(VLOOKUP(DATE($K$1,$K$2,CVT$4),Table1[],(MATCH(Calendar!$A18,DB!$1:$1,0)),FALSE)&gt;=5,"Good","Bad"),VLOOKUP(DATE($K$1,$K$2,CVT$4),Table1[],(MATCH(Calendar!$A18,DB!$1:$1,0)),FALSE)),"")</f>
        <v/>
      </c>
      <c r="CVU18" s="28" t="str">
        <f>IFERROR(IF(CWD3="No",IF(VLOOKUP(DATE($K$1,$K$2,CVU$4),Table1[],(MATCH(Calendar!$A18,DB!$1:$1,0)),FALSE)&gt;=5,"Good","Bad"),VLOOKUP(DATE($K$1,$K$2,CVU$4),Table1[],(MATCH(Calendar!$A18,DB!$1:$1,0)),FALSE)),"")</f>
        <v/>
      </c>
      <c r="CVV18" s="28" t="str">
        <f>IFERROR(IF(CWE3="No",IF(VLOOKUP(DATE($K$1,$K$2,CVV$4),Table1[],(MATCH(Calendar!$A18,DB!$1:$1,0)),FALSE)&gt;=5,"Good","Bad"),VLOOKUP(DATE($K$1,$K$2,CVV$4),Table1[],(MATCH(Calendar!$A18,DB!$1:$1,0)),FALSE)),"")</f>
        <v/>
      </c>
      <c r="CVW18" s="28" t="str">
        <f>IFERROR(IF(CWF3="No",IF(VLOOKUP(DATE($K$1,$K$2,CVW$4),Table1[],(MATCH(Calendar!$A18,DB!$1:$1,0)),FALSE)&gt;=5,"Good","Bad"),VLOOKUP(DATE($K$1,$K$2,CVW$4),Table1[],(MATCH(Calendar!$A18,DB!$1:$1,0)),FALSE)),"")</f>
        <v/>
      </c>
      <c r="CVX18" s="28" t="str">
        <f>IFERROR(IF(CWG3="No",IF(VLOOKUP(DATE($K$1,$K$2,CVX$4),Table1[],(MATCH(Calendar!$A18,DB!$1:$1,0)),FALSE)&gt;=5,"Good","Bad"),VLOOKUP(DATE($K$1,$K$2,CVX$4),Table1[],(MATCH(Calendar!$A18,DB!$1:$1,0)),FALSE)),"")</f>
        <v/>
      </c>
      <c r="CVY18" s="28" t="str">
        <f>IFERROR(IF(CWH3="No",IF(VLOOKUP(DATE($K$1,$K$2,CVY$4),Table1[],(MATCH(Calendar!$A18,DB!$1:$1,0)),FALSE)&gt;=5,"Good","Bad"),VLOOKUP(DATE($K$1,$K$2,CVY$4),Table1[],(MATCH(Calendar!$A18,DB!$1:$1,0)),FALSE)),"")</f>
        <v/>
      </c>
      <c r="CVZ18" s="28" t="str">
        <f>IFERROR(IF(CWI3="No",IF(VLOOKUP(DATE($K$1,$K$2,CVZ$4),Table1[],(MATCH(Calendar!$A18,DB!$1:$1,0)),FALSE)&gt;=5,"Good","Bad"),VLOOKUP(DATE($K$1,$K$2,CVZ$4),Table1[],(MATCH(Calendar!$A18,DB!$1:$1,0)),FALSE)),"")</f>
        <v/>
      </c>
      <c r="CWA18" s="28" t="str">
        <f>IFERROR(IF(CWJ3="No",IF(VLOOKUP(DATE($K$1,$K$2,CWA$4),Table1[],(MATCH(Calendar!$A18,DB!$1:$1,0)),FALSE)&gt;=5,"Good","Bad"),VLOOKUP(DATE($K$1,$K$2,CWA$4),Table1[],(MATCH(Calendar!$A18,DB!$1:$1,0)),FALSE)),"")</f>
        <v/>
      </c>
      <c r="CWB18" s="28" t="str">
        <f>IFERROR(IF(CWK3="No",IF(VLOOKUP(DATE($K$1,$K$2,CWB$4),Table1[],(MATCH(Calendar!$A18,DB!$1:$1,0)),FALSE)&gt;=5,"Good","Bad"),VLOOKUP(DATE($K$1,$K$2,CWB$4),Table1[],(MATCH(Calendar!$A18,DB!$1:$1,0)),FALSE)),"")</f>
        <v/>
      </c>
      <c r="CWC18" s="28" t="str">
        <f>IFERROR(IF(CWL3="No",IF(VLOOKUP(DATE($K$1,$K$2,CWC$4),Table1[],(MATCH(Calendar!$A18,DB!$1:$1,0)),FALSE)&gt;=5,"Good","Bad"),VLOOKUP(DATE($K$1,$K$2,CWC$4),Table1[],(MATCH(Calendar!$A18,DB!$1:$1,0)),FALSE)),"")</f>
        <v/>
      </c>
      <c r="CWD18" s="28" t="str">
        <f>IFERROR(IF(CWM3="No",IF(VLOOKUP(DATE($K$1,$K$2,CWD$4),Table1[],(MATCH(Calendar!$A18,DB!$1:$1,0)),FALSE)&gt;=5,"Good","Bad"),VLOOKUP(DATE($K$1,$K$2,CWD$4),Table1[],(MATCH(Calendar!$A18,DB!$1:$1,0)),FALSE)),"")</f>
        <v/>
      </c>
      <c r="CWE18" s="28" t="str">
        <f>IFERROR(IF(CWN3="No",IF(VLOOKUP(DATE($K$1,$K$2,CWE$4),Table1[],(MATCH(Calendar!$A18,DB!$1:$1,0)),FALSE)&gt;=5,"Good","Bad"),VLOOKUP(DATE($K$1,$K$2,CWE$4),Table1[],(MATCH(Calendar!$A18,DB!$1:$1,0)),FALSE)),"")</f>
        <v/>
      </c>
      <c r="CWF18" s="28" t="str">
        <f>IFERROR(IF(CWO3="No",IF(VLOOKUP(DATE($K$1,$K$2,CWF$4),Table1[],(MATCH(Calendar!$A18,DB!$1:$1,0)),FALSE)&gt;=5,"Good","Bad"),VLOOKUP(DATE($K$1,$K$2,CWF$4),Table1[],(MATCH(Calendar!$A18,DB!$1:$1,0)),FALSE)),"")</f>
        <v/>
      </c>
      <c r="CWG18" s="28" t="str">
        <f>IFERROR(IF(CWP3="No",IF(VLOOKUP(DATE($K$1,$K$2,CWG$4),Table1[],(MATCH(Calendar!$A18,DB!$1:$1,0)),FALSE)&gt;=5,"Good","Bad"),VLOOKUP(DATE($K$1,$K$2,CWG$4),Table1[],(MATCH(Calendar!$A18,DB!$1:$1,0)),FALSE)),"")</f>
        <v/>
      </c>
      <c r="CWH18" s="28" t="str">
        <f>IFERROR(IF(CWQ3="No",IF(VLOOKUP(DATE($K$1,$K$2,CWH$4),Table1[],(MATCH(Calendar!$A18,DB!$1:$1,0)),FALSE)&gt;=5,"Good","Bad"),VLOOKUP(DATE($K$1,$K$2,CWH$4),Table1[],(MATCH(Calendar!$A18,DB!$1:$1,0)),FALSE)),"")</f>
        <v/>
      </c>
      <c r="CWI18" s="28" t="str">
        <f>IFERROR(IF(CWR3="No",IF(VLOOKUP(DATE($K$1,$K$2,CWI$4),Table1[],(MATCH(Calendar!$A18,DB!$1:$1,0)),FALSE)&gt;=5,"Good","Bad"),VLOOKUP(DATE($K$1,$K$2,CWI$4),Table1[],(MATCH(Calendar!$A18,DB!$1:$1,0)),FALSE)),"")</f>
        <v/>
      </c>
      <c r="CWJ18" s="28" t="str">
        <f>IFERROR(IF(CWS3="No",IF(VLOOKUP(DATE($K$1,$K$2,CWJ$4),Table1[],(MATCH(Calendar!$A18,DB!$1:$1,0)),FALSE)&gt;=5,"Good","Bad"),VLOOKUP(DATE($K$1,$K$2,CWJ$4),Table1[],(MATCH(Calendar!$A18,DB!$1:$1,0)),FALSE)),"")</f>
        <v/>
      </c>
      <c r="CWK18" s="28" t="str">
        <f>IFERROR(IF(CWT3="No",IF(VLOOKUP(DATE($K$1,$K$2,CWK$4),Table1[],(MATCH(Calendar!$A18,DB!$1:$1,0)),FALSE)&gt;=5,"Good","Bad"),VLOOKUP(DATE($K$1,$K$2,CWK$4),Table1[],(MATCH(Calendar!$A18,DB!$1:$1,0)),FALSE)),"")</f>
        <v/>
      </c>
      <c r="CWL18" s="28" t="str">
        <f>IFERROR(IF(CWU3="No",IF(VLOOKUP(DATE($K$1,$K$2,CWL$4),Table1[],(MATCH(Calendar!$A18,DB!$1:$1,0)),FALSE)&gt;=5,"Good","Bad"),VLOOKUP(DATE($K$1,$K$2,CWL$4),Table1[],(MATCH(Calendar!$A18,DB!$1:$1,0)),FALSE)),"")</f>
        <v/>
      </c>
      <c r="CWM18" s="28" t="str">
        <f>IFERROR(IF(CWV3="No",IF(VLOOKUP(DATE($K$1,$K$2,CWM$4),Table1[],(MATCH(Calendar!$A18,DB!$1:$1,0)),FALSE)&gt;=5,"Good","Bad"),VLOOKUP(DATE($K$1,$K$2,CWM$4),Table1[],(MATCH(Calendar!$A18,DB!$1:$1,0)),FALSE)),"")</f>
        <v/>
      </c>
      <c r="CWN18" s="28" t="str">
        <f>IFERROR(IF(CWW3="No",IF(VLOOKUP(DATE($K$1,$K$2,CWN$4),Table1[],(MATCH(Calendar!$A18,DB!$1:$1,0)),FALSE)&gt;=5,"Good","Bad"),VLOOKUP(DATE($K$1,$K$2,CWN$4),Table1[],(MATCH(Calendar!$A18,DB!$1:$1,0)),FALSE)),"")</f>
        <v/>
      </c>
      <c r="CWO18" s="28" t="str">
        <f>IFERROR(IF(CWX3="No",IF(VLOOKUP(DATE($K$1,$K$2,CWO$4),Table1[],(MATCH(Calendar!$A18,DB!$1:$1,0)),FALSE)&gt;=5,"Good","Bad"),VLOOKUP(DATE($K$1,$K$2,CWO$4),Table1[],(MATCH(Calendar!$A18,DB!$1:$1,0)),FALSE)),"")</f>
        <v/>
      </c>
      <c r="CWP18" s="28" t="str">
        <f>IFERROR(IF(CWY3="No",IF(VLOOKUP(DATE($K$1,$K$2,CWP$4),Table1[],(MATCH(Calendar!$A18,DB!$1:$1,0)),FALSE)&gt;=5,"Good","Bad"),VLOOKUP(DATE($K$1,$K$2,CWP$4),Table1[],(MATCH(Calendar!$A18,DB!$1:$1,0)),FALSE)),"")</f>
        <v/>
      </c>
      <c r="CWQ18" s="28" t="str">
        <f>IFERROR(IF(CWZ3="No",IF(VLOOKUP(DATE($K$1,$K$2,CWQ$4),Table1[],(MATCH(Calendar!$A18,DB!$1:$1,0)),FALSE)&gt;=5,"Good","Bad"),VLOOKUP(DATE($K$1,$K$2,CWQ$4),Table1[],(MATCH(Calendar!$A18,DB!$1:$1,0)),FALSE)),"")</f>
        <v/>
      </c>
      <c r="CWR18" s="28" t="str">
        <f>IFERROR(IF(CXA3="No",IF(VLOOKUP(DATE($K$1,$K$2,CWR$4),Table1[],(MATCH(Calendar!$A18,DB!$1:$1,0)),FALSE)&gt;=5,"Good","Bad"),VLOOKUP(DATE($K$1,$K$2,CWR$4),Table1[],(MATCH(Calendar!$A18,DB!$1:$1,0)),FALSE)),"")</f>
        <v/>
      </c>
      <c r="CWS18" s="28" t="str">
        <f>IFERROR(IF(CXB3="No",IF(VLOOKUP(DATE($K$1,$K$2,CWS$4),Table1[],(MATCH(Calendar!$A18,DB!$1:$1,0)),FALSE)&gt;=5,"Good","Bad"),VLOOKUP(DATE($K$1,$K$2,CWS$4),Table1[],(MATCH(Calendar!$A18,DB!$1:$1,0)),FALSE)),"")</f>
        <v/>
      </c>
      <c r="CWT18" s="28" t="str">
        <f>IFERROR(IF(CXC3="No",IF(VLOOKUP(DATE($K$1,$K$2,CWT$4),Table1[],(MATCH(Calendar!$A18,DB!$1:$1,0)),FALSE)&gt;=5,"Good","Bad"),VLOOKUP(DATE($K$1,$K$2,CWT$4),Table1[],(MATCH(Calendar!$A18,DB!$1:$1,0)),FALSE)),"")</f>
        <v/>
      </c>
      <c r="CWU18" s="28" t="str">
        <f>IFERROR(IF(CXD3="No",IF(VLOOKUP(DATE($K$1,$K$2,CWU$4),Table1[],(MATCH(Calendar!$A18,DB!$1:$1,0)),FALSE)&gt;=5,"Good","Bad"),VLOOKUP(DATE($K$1,$K$2,CWU$4),Table1[],(MATCH(Calendar!$A18,DB!$1:$1,0)),FALSE)),"")</f>
        <v/>
      </c>
      <c r="CWV18" s="28" t="str">
        <f>IFERROR(IF(CXE3="No",IF(VLOOKUP(DATE($K$1,$K$2,CWV$4),Table1[],(MATCH(Calendar!$A18,DB!$1:$1,0)),FALSE)&gt;=5,"Good","Bad"),VLOOKUP(DATE($K$1,$K$2,CWV$4),Table1[],(MATCH(Calendar!$A18,DB!$1:$1,0)),FALSE)),"")</f>
        <v/>
      </c>
      <c r="CWW18" s="28" t="str">
        <f>IFERROR(IF(CXF3="No",IF(VLOOKUP(DATE($K$1,$K$2,CWW$4),Table1[],(MATCH(Calendar!$A18,DB!$1:$1,0)),FALSE)&gt;=5,"Good","Bad"),VLOOKUP(DATE($K$1,$K$2,CWW$4),Table1[],(MATCH(Calendar!$A18,DB!$1:$1,0)),FALSE)),"")</f>
        <v/>
      </c>
      <c r="CWX18" s="28" t="str">
        <f>IFERROR(IF(CXG3="No",IF(VLOOKUP(DATE($K$1,$K$2,CWX$4),Table1[],(MATCH(Calendar!$A18,DB!$1:$1,0)),FALSE)&gt;=5,"Good","Bad"),VLOOKUP(DATE($K$1,$K$2,CWX$4),Table1[],(MATCH(Calendar!$A18,DB!$1:$1,0)),FALSE)),"")</f>
        <v/>
      </c>
      <c r="CWY18" s="28" t="str">
        <f>IFERROR(IF(CXH3="No",IF(VLOOKUP(DATE($K$1,$K$2,CWY$4),Table1[],(MATCH(Calendar!$A18,DB!$1:$1,0)),FALSE)&gt;=5,"Good","Bad"),VLOOKUP(DATE($K$1,$K$2,CWY$4),Table1[],(MATCH(Calendar!$A18,DB!$1:$1,0)),FALSE)),"")</f>
        <v/>
      </c>
      <c r="CWZ18" s="28" t="str">
        <f>IFERROR(IF(CXI3="No",IF(VLOOKUP(DATE($K$1,$K$2,CWZ$4),Table1[],(MATCH(Calendar!$A18,DB!$1:$1,0)),FALSE)&gt;=5,"Good","Bad"),VLOOKUP(DATE($K$1,$K$2,CWZ$4),Table1[],(MATCH(Calendar!$A18,DB!$1:$1,0)),FALSE)),"")</f>
        <v/>
      </c>
      <c r="CXA18" s="28" t="str">
        <f>IFERROR(IF(CXJ3="No",IF(VLOOKUP(DATE($K$1,$K$2,CXA$4),Table1[],(MATCH(Calendar!$A18,DB!$1:$1,0)),FALSE)&gt;=5,"Good","Bad"),VLOOKUP(DATE($K$1,$K$2,CXA$4),Table1[],(MATCH(Calendar!$A18,DB!$1:$1,0)),FALSE)),"")</f>
        <v/>
      </c>
      <c r="CXB18" s="28" t="str">
        <f>IFERROR(IF(CXK3="No",IF(VLOOKUP(DATE($K$1,$K$2,CXB$4),Table1[],(MATCH(Calendar!$A18,DB!$1:$1,0)),FALSE)&gt;=5,"Good","Bad"),VLOOKUP(DATE($K$1,$K$2,CXB$4),Table1[],(MATCH(Calendar!$A18,DB!$1:$1,0)),FALSE)),"")</f>
        <v/>
      </c>
      <c r="CXC18" s="28" t="str">
        <f>IFERROR(IF(CXL3="No",IF(VLOOKUP(DATE($K$1,$K$2,CXC$4),Table1[],(MATCH(Calendar!$A18,DB!$1:$1,0)),FALSE)&gt;=5,"Good","Bad"),VLOOKUP(DATE($K$1,$K$2,CXC$4),Table1[],(MATCH(Calendar!$A18,DB!$1:$1,0)),FALSE)),"")</f>
        <v/>
      </c>
      <c r="CXD18" s="28" t="str">
        <f>IFERROR(IF(CXM3="No",IF(VLOOKUP(DATE($K$1,$K$2,CXD$4),Table1[],(MATCH(Calendar!$A18,DB!$1:$1,0)),FALSE)&gt;=5,"Good","Bad"),VLOOKUP(DATE($K$1,$K$2,CXD$4),Table1[],(MATCH(Calendar!$A18,DB!$1:$1,0)),FALSE)),"")</f>
        <v/>
      </c>
      <c r="CXE18" s="28" t="str">
        <f>IFERROR(IF(CXN3="No",IF(VLOOKUP(DATE($K$1,$K$2,CXE$4),Table1[],(MATCH(Calendar!$A18,DB!$1:$1,0)),FALSE)&gt;=5,"Good","Bad"),VLOOKUP(DATE($K$1,$K$2,CXE$4),Table1[],(MATCH(Calendar!$A18,DB!$1:$1,0)),FALSE)),"")</f>
        <v/>
      </c>
      <c r="CXF18" s="28" t="str">
        <f>IFERROR(IF(CXO3="No",IF(VLOOKUP(DATE($K$1,$K$2,CXF$4),Table1[],(MATCH(Calendar!$A18,DB!$1:$1,0)),FALSE)&gt;=5,"Good","Bad"),VLOOKUP(DATE($K$1,$K$2,CXF$4),Table1[],(MATCH(Calendar!$A18,DB!$1:$1,0)),FALSE)),"")</f>
        <v/>
      </c>
      <c r="CXG18" s="28" t="str">
        <f>IFERROR(IF(CXP3="No",IF(VLOOKUP(DATE($K$1,$K$2,CXG$4),Table1[],(MATCH(Calendar!$A18,DB!$1:$1,0)),FALSE)&gt;=5,"Good","Bad"),VLOOKUP(DATE($K$1,$K$2,CXG$4),Table1[],(MATCH(Calendar!$A18,DB!$1:$1,0)),FALSE)),"")</f>
        <v/>
      </c>
      <c r="CXH18" s="28" t="str">
        <f>IFERROR(IF(CXQ3="No",IF(VLOOKUP(DATE($K$1,$K$2,CXH$4),Table1[],(MATCH(Calendar!$A18,DB!$1:$1,0)),FALSE)&gt;=5,"Good","Bad"),VLOOKUP(DATE($K$1,$K$2,CXH$4),Table1[],(MATCH(Calendar!$A18,DB!$1:$1,0)),FALSE)),"")</f>
        <v/>
      </c>
      <c r="CXI18" s="28" t="str">
        <f>IFERROR(IF(CXR3="No",IF(VLOOKUP(DATE($K$1,$K$2,CXI$4),Table1[],(MATCH(Calendar!$A18,DB!$1:$1,0)),FALSE)&gt;=5,"Good","Bad"),VLOOKUP(DATE($K$1,$K$2,CXI$4),Table1[],(MATCH(Calendar!$A18,DB!$1:$1,0)),FALSE)),"")</f>
        <v/>
      </c>
      <c r="CXJ18" s="28" t="str">
        <f>IFERROR(IF(CXS3="No",IF(VLOOKUP(DATE($K$1,$K$2,CXJ$4),Table1[],(MATCH(Calendar!$A18,DB!$1:$1,0)),FALSE)&gt;=5,"Good","Bad"),VLOOKUP(DATE($K$1,$K$2,CXJ$4),Table1[],(MATCH(Calendar!$A18,DB!$1:$1,0)),FALSE)),"")</f>
        <v/>
      </c>
      <c r="CXK18" s="28" t="str">
        <f>IFERROR(IF(CXT3="No",IF(VLOOKUP(DATE($K$1,$K$2,CXK$4),Table1[],(MATCH(Calendar!$A18,DB!$1:$1,0)),FALSE)&gt;=5,"Good","Bad"),VLOOKUP(DATE($K$1,$K$2,CXK$4),Table1[],(MATCH(Calendar!$A18,DB!$1:$1,0)),FALSE)),"")</f>
        <v/>
      </c>
      <c r="CXL18" s="28" t="str">
        <f>IFERROR(IF(CXU3="No",IF(VLOOKUP(DATE($K$1,$K$2,CXL$4),Table1[],(MATCH(Calendar!$A18,DB!$1:$1,0)),FALSE)&gt;=5,"Good","Bad"),VLOOKUP(DATE($K$1,$K$2,CXL$4),Table1[],(MATCH(Calendar!$A18,DB!$1:$1,0)),FALSE)),"")</f>
        <v/>
      </c>
      <c r="CXM18" s="28" t="str">
        <f>IFERROR(IF(CXV3="No",IF(VLOOKUP(DATE($K$1,$K$2,CXM$4),Table1[],(MATCH(Calendar!$A18,DB!$1:$1,0)),FALSE)&gt;=5,"Good","Bad"),VLOOKUP(DATE($K$1,$K$2,CXM$4),Table1[],(MATCH(Calendar!$A18,DB!$1:$1,0)),FALSE)),"")</f>
        <v/>
      </c>
      <c r="CXN18" s="28" t="str">
        <f>IFERROR(IF(CXW3="No",IF(VLOOKUP(DATE($K$1,$K$2,CXN$4),Table1[],(MATCH(Calendar!$A18,DB!$1:$1,0)),FALSE)&gt;=5,"Good","Bad"),VLOOKUP(DATE($K$1,$K$2,CXN$4),Table1[],(MATCH(Calendar!$A18,DB!$1:$1,0)),FALSE)),"")</f>
        <v/>
      </c>
      <c r="CXO18" s="28" t="str">
        <f>IFERROR(IF(CXX3="No",IF(VLOOKUP(DATE($K$1,$K$2,CXO$4),Table1[],(MATCH(Calendar!$A18,DB!$1:$1,0)),FALSE)&gt;=5,"Good","Bad"),VLOOKUP(DATE($K$1,$K$2,CXO$4),Table1[],(MATCH(Calendar!$A18,DB!$1:$1,0)),FALSE)),"")</f>
        <v/>
      </c>
      <c r="CXP18" s="28" t="str">
        <f>IFERROR(IF(CXY3="No",IF(VLOOKUP(DATE($K$1,$K$2,CXP$4),Table1[],(MATCH(Calendar!$A18,DB!$1:$1,0)),FALSE)&gt;=5,"Good","Bad"),VLOOKUP(DATE($K$1,$K$2,CXP$4),Table1[],(MATCH(Calendar!$A18,DB!$1:$1,0)),FALSE)),"")</f>
        <v/>
      </c>
      <c r="CXQ18" s="28" t="str">
        <f>IFERROR(IF(CXZ3="No",IF(VLOOKUP(DATE($K$1,$K$2,CXQ$4),Table1[],(MATCH(Calendar!$A18,DB!$1:$1,0)),FALSE)&gt;=5,"Good","Bad"),VLOOKUP(DATE($K$1,$K$2,CXQ$4),Table1[],(MATCH(Calendar!$A18,DB!$1:$1,0)),FALSE)),"")</f>
        <v/>
      </c>
      <c r="CXR18" s="28" t="str">
        <f>IFERROR(IF(CYA3="No",IF(VLOOKUP(DATE($K$1,$K$2,CXR$4),Table1[],(MATCH(Calendar!$A18,DB!$1:$1,0)),FALSE)&gt;=5,"Good","Bad"),VLOOKUP(DATE($K$1,$K$2,CXR$4),Table1[],(MATCH(Calendar!$A18,DB!$1:$1,0)),FALSE)),"")</f>
        <v/>
      </c>
      <c r="CXS18" s="28" t="str">
        <f>IFERROR(IF(CYB3="No",IF(VLOOKUP(DATE($K$1,$K$2,CXS$4),Table1[],(MATCH(Calendar!$A18,DB!$1:$1,0)),FALSE)&gt;=5,"Good","Bad"),VLOOKUP(DATE($K$1,$K$2,CXS$4),Table1[],(MATCH(Calendar!$A18,DB!$1:$1,0)),FALSE)),"")</f>
        <v/>
      </c>
      <c r="CXT18" s="28" t="str">
        <f>IFERROR(IF(CYC3="No",IF(VLOOKUP(DATE($K$1,$K$2,CXT$4),Table1[],(MATCH(Calendar!$A18,DB!$1:$1,0)),FALSE)&gt;=5,"Good","Bad"),VLOOKUP(DATE($K$1,$K$2,CXT$4),Table1[],(MATCH(Calendar!$A18,DB!$1:$1,0)),FALSE)),"")</f>
        <v/>
      </c>
      <c r="CXU18" s="28" t="str">
        <f>IFERROR(IF(CYD3="No",IF(VLOOKUP(DATE($K$1,$K$2,CXU$4),Table1[],(MATCH(Calendar!$A18,DB!$1:$1,0)),FALSE)&gt;=5,"Good","Bad"),VLOOKUP(DATE($K$1,$K$2,CXU$4),Table1[],(MATCH(Calendar!$A18,DB!$1:$1,0)),FALSE)),"")</f>
        <v/>
      </c>
      <c r="CXV18" s="28" t="str">
        <f>IFERROR(IF(CYE3="No",IF(VLOOKUP(DATE($K$1,$K$2,CXV$4),Table1[],(MATCH(Calendar!$A18,DB!$1:$1,0)),FALSE)&gt;=5,"Good","Bad"),VLOOKUP(DATE($K$1,$K$2,CXV$4),Table1[],(MATCH(Calendar!$A18,DB!$1:$1,0)),FALSE)),"")</f>
        <v/>
      </c>
      <c r="CXW18" s="28" t="str">
        <f>IFERROR(IF(CYF3="No",IF(VLOOKUP(DATE($K$1,$K$2,CXW$4),Table1[],(MATCH(Calendar!$A18,DB!$1:$1,0)),FALSE)&gt;=5,"Good","Bad"),VLOOKUP(DATE($K$1,$K$2,CXW$4),Table1[],(MATCH(Calendar!$A18,DB!$1:$1,0)),FALSE)),"")</f>
        <v/>
      </c>
      <c r="CXX18" s="28" t="str">
        <f>IFERROR(IF(CYG3="No",IF(VLOOKUP(DATE($K$1,$K$2,CXX$4),Table1[],(MATCH(Calendar!$A18,DB!$1:$1,0)),FALSE)&gt;=5,"Good","Bad"),VLOOKUP(DATE($K$1,$K$2,CXX$4),Table1[],(MATCH(Calendar!$A18,DB!$1:$1,0)),FALSE)),"")</f>
        <v/>
      </c>
      <c r="CXY18" s="28" t="str">
        <f>IFERROR(IF(CYH3="No",IF(VLOOKUP(DATE($K$1,$K$2,CXY$4),Table1[],(MATCH(Calendar!$A18,DB!$1:$1,0)),FALSE)&gt;=5,"Good","Bad"),VLOOKUP(DATE($K$1,$K$2,CXY$4),Table1[],(MATCH(Calendar!$A18,DB!$1:$1,0)),FALSE)),"")</f>
        <v/>
      </c>
      <c r="CXZ18" s="28" t="str">
        <f>IFERROR(IF(CYI3="No",IF(VLOOKUP(DATE($K$1,$K$2,CXZ$4),Table1[],(MATCH(Calendar!$A18,DB!$1:$1,0)),FALSE)&gt;=5,"Good","Bad"),VLOOKUP(DATE($K$1,$K$2,CXZ$4),Table1[],(MATCH(Calendar!$A18,DB!$1:$1,0)),FALSE)),"")</f>
        <v/>
      </c>
      <c r="CYA18" s="28" t="str">
        <f>IFERROR(IF(CYJ3="No",IF(VLOOKUP(DATE($K$1,$K$2,CYA$4),Table1[],(MATCH(Calendar!$A18,DB!$1:$1,0)),FALSE)&gt;=5,"Good","Bad"),VLOOKUP(DATE($K$1,$K$2,CYA$4),Table1[],(MATCH(Calendar!$A18,DB!$1:$1,0)),FALSE)),"")</f>
        <v/>
      </c>
      <c r="CYB18" s="28" t="str">
        <f>IFERROR(IF(CYK3="No",IF(VLOOKUP(DATE($K$1,$K$2,CYB$4),Table1[],(MATCH(Calendar!$A18,DB!$1:$1,0)),FALSE)&gt;=5,"Good","Bad"),VLOOKUP(DATE($K$1,$K$2,CYB$4),Table1[],(MATCH(Calendar!$A18,DB!$1:$1,0)),FALSE)),"")</f>
        <v/>
      </c>
      <c r="CYC18" s="28" t="str">
        <f>IFERROR(IF(CYL3="No",IF(VLOOKUP(DATE($K$1,$K$2,CYC$4),Table1[],(MATCH(Calendar!$A18,DB!$1:$1,0)),FALSE)&gt;=5,"Good","Bad"),VLOOKUP(DATE($K$1,$K$2,CYC$4),Table1[],(MATCH(Calendar!$A18,DB!$1:$1,0)),FALSE)),"")</f>
        <v/>
      </c>
      <c r="CYD18" s="28" t="str">
        <f>IFERROR(IF(CYM3="No",IF(VLOOKUP(DATE($K$1,$K$2,CYD$4),Table1[],(MATCH(Calendar!$A18,DB!$1:$1,0)),FALSE)&gt;=5,"Good","Bad"),VLOOKUP(DATE($K$1,$K$2,CYD$4),Table1[],(MATCH(Calendar!$A18,DB!$1:$1,0)),FALSE)),"")</f>
        <v/>
      </c>
      <c r="CYE18" s="28" t="str">
        <f>IFERROR(IF(CYN3="No",IF(VLOOKUP(DATE($K$1,$K$2,CYE$4),Table1[],(MATCH(Calendar!$A18,DB!$1:$1,0)),FALSE)&gt;=5,"Good","Bad"),VLOOKUP(DATE($K$1,$K$2,CYE$4),Table1[],(MATCH(Calendar!$A18,DB!$1:$1,0)),FALSE)),"")</f>
        <v/>
      </c>
      <c r="CYF18" s="28" t="str">
        <f>IFERROR(IF(CYO3="No",IF(VLOOKUP(DATE($K$1,$K$2,CYF$4),Table1[],(MATCH(Calendar!$A18,DB!$1:$1,0)),FALSE)&gt;=5,"Good","Bad"),VLOOKUP(DATE($K$1,$K$2,CYF$4),Table1[],(MATCH(Calendar!$A18,DB!$1:$1,0)),FALSE)),"")</f>
        <v/>
      </c>
      <c r="CYG18" s="28" t="str">
        <f>IFERROR(IF(CYP3="No",IF(VLOOKUP(DATE($K$1,$K$2,CYG$4),Table1[],(MATCH(Calendar!$A18,DB!$1:$1,0)),FALSE)&gt;=5,"Good","Bad"),VLOOKUP(DATE($K$1,$K$2,CYG$4),Table1[],(MATCH(Calendar!$A18,DB!$1:$1,0)),FALSE)),"")</f>
        <v/>
      </c>
      <c r="CYH18" s="28" t="str">
        <f>IFERROR(IF(CYQ3="No",IF(VLOOKUP(DATE($K$1,$K$2,CYH$4),Table1[],(MATCH(Calendar!$A18,DB!$1:$1,0)),FALSE)&gt;=5,"Good","Bad"),VLOOKUP(DATE($K$1,$K$2,CYH$4),Table1[],(MATCH(Calendar!$A18,DB!$1:$1,0)),FALSE)),"")</f>
        <v/>
      </c>
      <c r="CYI18" s="28" t="str">
        <f>IFERROR(IF(CYR3="No",IF(VLOOKUP(DATE($K$1,$K$2,CYI$4),Table1[],(MATCH(Calendar!$A18,DB!$1:$1,0)),FALSE)&gt;=5,"Good","Bad"),VLOOKUP(DATE($K$1,$K$2,CYI$4),Table1[],(MATCH(Calendar!$A18,DB!$1:$1,0)),FALSE)),"")</f>
        <v/>
      </c>
      <c r="CYJ18" s="28" t="str">
        <f>IFERROR(IF(CYS3="No",IF(VLOOKUP(DATE($K$1,$K$2,CYJ$4),Table1[],(MATCH(Calendar!$A18,DB!$1:$1,0)),FALSE)&gt;=5,"Good","Bad"),VLOOKUP(DATE($K$1,$K$2,CYJ$4),Table1[],(MATCH(Calendar!$A18,DB!$1:$1,0)),FALSE)),"")</f>
        <v/>
      </c>
      <c r="CYK18" s="28" t="str">
        <f>IFERROR(IF(CYT3="No",IF(VLOOKUP(DATE($K$1,$K$2,CYK$4),Table1[],(MATCH(Calendar!$A18,DB!$1:$1,0)),FALSE)&gt;=5,"Good","Bad"),VLOOKUP(DATE($K$1,$K$2,CYK$4),Table1[],(MATCH(Calendar!$A18,DB!$1:$1,0)),FALSE)),"")</f>
        <v/>
      </c>
      <c r="CYL18" s="28" t="str">
        <f>IFERROR(IF(CYU3="No",IF(VLOOKUP(DATE($K$1,$K$2,CYL$4),Table1[],(MATCH(Calendar!$A18,DB!$1:$1,0)),FALSE)&gt;=5,"Good","Bad"),VLOOKUP(DATE($K$1,$K$2,CYL$4),Table1[],(MATCH(Calendar!$A18,DB!$1:$1,0)),FALSE)),"")</f>
        <v/>
      </c>
      <c r="CYM18" s="28" t="str">
        <f>IFERROR(IF(CYV3="No",IF(VLOOKUP(DATE($K$1,$K$2,CYM$4),Table1[],(MATCH(Calendar!$A18,DB!$1:$1,0)),FALSE)&gt;=5,"Good","Bad"),VLOOKUP(DATE($K$1,$K$2,CYM$4),Table1[],(MATCH(Calendar!$A18,DB!$1:$1,0)),FALSE)),"")</f>
        <v/>
      </c>
      <c r="CYN18" s="28" t="str">
        <f>IFERROR(IF(CYW3="No",IF(VLOOKUP(DATE($K$1,$K$2,CYN$4),Table1[],(MATCH(Calendar!$A18,DB!$1:$1,0)),FALSE)&gt;=5,"Good","Bad"),VLOOKUP(DATE($K$1,$K$2,CYN$4),Table1[],(MATCH(Calendar!$A18,DB!$1:$1,0)),FALSE)),"")</f>
        <v/>
      </c>
      <c r="CYO18" s="28" t="str">
        <f>IFERROR(IF(CYX3="No",IF(VLOOKUP(DATE($K$1,$K$2,CYO$4),Table1[],(MATCH(Calendar!$A18,DB!$1:$1,0)),FALSE)&gt;=5,"Good","Bad"),VLOOKUP(DATE($K$1,$K$2,CYO$4),Table1[],(MATCH(Calendar!$A18,DB!$1:$1,0)),FALSE)),"")</f>
        <v/>
      </c>
      <c r="CYP18" s="28" t="str">
        <f>IFERROR(IF(CYY3="No",IF(VLOOKUP(DATE($K$1,$K$2,CYP$4),Table1[],(MATCH(Calendar!$A18,DB!$1:$1,0)),FALSE)&gt;=5,"Good","Bad"),VLOOKUP(DATE($K$1,$K$2,CYP$4),Table1[],(MATCH(Calendar!$A18,DB!$1:$1,0)),FALSE)),"")</f>
        <v/>
      </c>
      <c r="CYQ18" s="28" t="str">
        <f>IFERROR(IF(CYZ3="No",IF(VLOOKUP(DATE($K$1,$K$2,CYQ$4),Table1[],(MATCH(Calendar!$A18,DB!$1:$1,0)),FALSE)&gt;=5,"Good","Bad"),VLOOKUP(DATE($K$1,$K$2,CYQ$4),Table1[],(MATCH(Calendar!$A18,DB!$1:$1,0)),FALSE)),"")</f>
        <v/>
      </c>
      <c r="CYR18" s="28" t="str">
        <f>IFERROR(IF(CZA3="No",IF(VLOOKUP(DATE($K$1,$K$2,CYR$4),Table1[],(MATCH(Calendar!$A18,DB!$1:$1,0)),FALSE)&gt;=5,"Good","Bad"),VLOOKUP(DATE($K$1,$K$2,CYR$4),Table1[],(MATCH(Calendar!$A18,DB!$1:$1,0)),FALSE)),"")</f>
        <v/>
      </c>
      <c r="CYS18" s="28" t="str">
        <f>IFERROR(IF(CZB3="No",IF(VLOOKUP(DATE($K$1,$K$2,CYS$4),Table1[],(MATCH(Calendar!$A18,DB!$1:$1,0)),FALSE)&gt;=5,"Good","Bad"),VLOOKUP(DATE($K$1,$K$2,CYS$4),Table1[],(MATCH(Calendar!$A18,DB!$1:$1,0)),FALSE)),"")</f>
        <v/>
      </c>
      <c r="CYT18" s="28" t="str">
        <f>IFERROR(IF(CZC3="No",IF(VLOOKUP(DATE($K$1,$K$2,CYT$4),Table1[],(MATCH(Calendar!$A18,DB!$1:$1,0)),FALSE)&gt;=5,"Good","Bad"),VLOOKUP(DATE($K$1,$K$2,CYT$4),Table1[],(MATCH(Calendar!$A18,DB!$1:$1,0)),FALSE)),"")</f>
        <v/>
      </c>
      <c r="CYU18" s="28" t="str">
        <f>IFERROR(IF(CZD3="No",IF(VLOOKUP(DATE($K$1,$K$2,CYU$4),Table1[],(MATCH(Calendar!$A18,DB!$1:$1,0)),FALSE)&gt;=5,"Good","Bad"),VLOOKUP(DATE($K$1,$K$2,CYU$4),Table1[],(MATCH(Calendar!$A18,DB!$1:$1,0)),FALSE)),"")</f>
        <v/>
      </c>
      <c r="CYV18" s="28" t="str">
        <f>IFERROR(IF(CZE3="No",IF(VLOOKUP(DATE($K$1,$K$2,CYV$4),Table1[],(MATCH(Calendar!$A18,DB!$1:$1,0)),FALSE)&gt;=5,"Good","Bad"),VLOOKUP(DATE($K$1,$K$2,CYV$4),Table1[],(MATCH(Calendar!$A18,DB!$1:$1,0)),FALSE)),"")</f>
        <v/>
      </c>
      <c r="CYW18" s="28" t="str">
        <f>IFERROR(IF(CZF3="No",IF(VLOOKUP(DATE($K$1,$K$2,CYW$4),Table1[],(MATCH(Calendar!$A18,DB!$1:$1,0)),FALSE)&gt;=5,"Good","Bad"),VLOOKUP(DATE($K$1,$K$2,CYW$4),Table1[],(MATCH(Calendar!$A18,DB!$1:$1,0)),FALSE)),"")</f>
        <v/>
      </c>
      <c r="CYX18" s="28" t="str">
        <f>IFERROR(IF(CZG3="No",IF(VLOOKUP(DATE($K$1,$K$2,CYX$4),Table1[],(MATCH(Calendar!$A18,DB!$1:$1,0)),FALSE)&gt;=5,"Good","Bad"),VLOOKUP(DATE($K$1,$K$2,CYX$4),Table1[],(MATCH(Calendar!$A18,DB!$1:$1,0)),FALSE)),"")</f>
        <v/>
      </c>
      <c r="CYY18" s="28" t="str">
        <f>IFERROR(IF(CZH3="No",IF(VLOOKUP(DATE($K$1,$K$2,CYY$4),Table1[],(MATCH(Calendar!$A18,DB!$1:$1,0)),FALSE)&gt;=5,"Good","Bad"),VLOOKUP(DATE($K$1,$K$2,CYY$4),Table1[],(MATCH(Calendar!$A18,DB!$1:$1,0)),FALSE)),"")</f>
        <v/>
      </c>
      <c r="CYZ18" s="28" t="str">
        <f>IFERROR(IF(CZI3="No",IF(VLOOKUP(DATE($K$1,$K$2,CYZ$4),Table1[],(MATCH(Calendar!$A18,DB!$1:$1,0)),FALSE)&gt;=5,"Good","Bad"),VLOOKUP(DATE($K$1,$K$2,CYZ$4),Table1[],(MATCH(Calendar!$A18,DB!$1:$1,0)),FALSE)),"")</f>
        <v/>
      </c>
      <c r="CZA18" s="28" t="str">
        <f>IFERROR(IF(CZJ3="No",IF(VLOOKUP(DATE($K$1,$K$2,CZA$4),Table1[],(MATCH(Calendar!$A18,DB!$1:$1,0)),FALSE)&gt;=5,"Good","Bad"),VLOOKUP(DATE($K$1,$K$2,CZA$4),Table1[],(MATCH(Calendar!$A18,DB!$1:$1,0)),FALSE)),"")</f>
        <v/>
      </c>
      <c r="CZB18" s="28" t="str">
        <f>IFERROR(IF(CZK3="No",IF(VLOOKUP(DATE($K$1,$K$2,CZB$4),Table1[],(MATCH(Calendar!$A18,DB!$1:$1,0)),FALSE)&gt;=5,"Good","Bad"),VLOOKUP(DATE($K$1,$K$2,CZB$4),Table1[],(MATCH(Calendar!$A18,DB!$1:$1,0)),FALSE)),"")</f>
        <v/>
      </c>
      <c r="CZC18" s="28" t="str">
        <f>IFERROR(IF(CZL3="No",IF(VLOOKUP(DATE($K$1,$K$2,CZC$4),Table1[],(MATCH(Calendar!$A18,DB!$1:$1,0)),FALSE)&gt;=5,"Good","Bad"),VLOOKUP(DATE($K$1,$K$2,CZC$4),Table1[],(MATCH(Calendar!$A18,DB!$1:$1,0)),FALSE)),"")</f>
        <v/>
      </c>
      <c r="CZD18" s="28" t="str">
        <f>IFERROR(IF(CZM3="No",IF(VLOOKUP(DATE($K$1,$K$2,CZD$4),Table1[],(MATCH(Calendar!$A18,DB!$1:$1,0)),FALSE)&gt;=5,"Good","Bad"),VLOOKUP(DATE($K$1,$K$2,CZD$4),Table1[],(MATCH(Calendar!$A18,DB!$1:$1,0)),FALSE)),"")</f>
        <v/>
      </c>
      <c r="CZE18" s="28" t="str">
        <f>IFERROR(IF(CZN3="No",IF(VLOOKUP(DATE($K$1,$K$2,CZE$4),Table1[],(MATCH(Calendar!$A18,DB!$1:$1,0)),FALSE)&gt;=5,"Good","Bad"),VLOOKUP(DATE($K$1,$K$2,CZE$4),Table1[],(MATCH(Calendar!$A18,DB!$1:$1,0)),FALSE)),"")</f>
        <v/>
      </c>
      <c r="CZF18" s="28" t="str">
        <f>IFERROR(IF(CZO3="No",IF(VLOOKUP(DATE($K$1,$K$2,CZF$4),Table1[],(MATCH(Calendar!$A18,DB!$1:$1,0)),FALSE)&gt;=5,"Good","Bad"),VLOOKUP(DATE($K$1,$K$2,CZF$4),Table1[],(MATCH(Calendar!$A18,DB!$1:$1,0)),FALSE)),"")</f>
        <v/>
      </c>
      <c r="CZG18" s="28" t="str">
        <f>IFERROR(IF(CZP3="No",IF(VLOOKUP(DATE($K$1,$K$2,CZG$4),Table1[],(MATCH(Calendar!$A18,DB!$1:$1,0)),FALSE)&gt;=5,"Good","Bad"),VLOOKUP(DATE($K$1,$K$2,CZG$4),Table1[],(MATCH(Calendar!$A18,DB!$1:$1,0)),FALSE)),"")</f>
        <v/>
      </c>
      <c r="CZH18" s="28" t="str">
        <f>IFERROR(IF(CZQ3="No",IF(VLOOKUP(DATE($K$1,$K$2,CZH$4),Table1[],(MATCH(Calendar!$A18,DB!$1:$1,0)),FALSE)&gt;=5,"Good","Bad"),VLOOKUP(DATE($K$1,$K$2,CZH$4),Table1[],(MATCH(Calendar!$A18,DB!$1:$1,0)),FALSE)),"")</f>
        <v/>
      </c>
      <c r="CZI18" s="28" t="str">
        <f>IFERROR(IF(CZR3="No",IF(VLOOKUP(DATE($K$1,$K$2,CZI$4),Table1[],(MATCH(Calendar!$A18,DB!$1:$1,0)),FALSE)&gt;=5,"Good","Bad"),VLOOKUP(DATE($K$1,$K$2,CZI$4),Table1[],(MATCH(Calendar!$A18,DB!$1:$1,0)),FALSE)),"")</f>
        <v/>
      </c>
      <c r="CZJ18" s="28" t="str">
        <f>IFERROR(IF(CZS3="No",IF(VLOOKUP(DATE($K$1,$K$2,CZJ$4),Table1[],(MATCH(Calendar!$A18,DB!$1:$1,0)),FALSE)&gt;=5,"Good","Bad"),VLOOKUP(DATE($K$1,$K$2,CZJ$4),Table1[],(MATCH(Calendar!$A18,DB!$1:$1,0)),FALSE)),"")</f>
        <v/>
      </c>
      <c r="CZK18" s="28" t="str">
        <f>IFERROR(IF(CZT3="No",IF(VLOOKUP(DATE($K$1,$K$2,CZK$4),Table1[],(MATCH(Calendar!$A18,DB!$1:$1,0)),FALSE)&gt;=5,"Good","Bad"),VLOOKUP(DATE($K$1,$K$2,CZK$4),Table1[],(MATCH(Calendar!$A18,DB!$1:$1,0)),FALSE)),"")</f>
        <v/>
      </c>
      <c r="CZL18" s="28" t="str">
        <f>IFERROR(IF(CZU3="No",IF(VLOOKUP(DATE($K$1,$K$2,CZL$4),Table1[],(MATCH(Calendar!$A18,DB!$1:$1,0)),FALSE)&gt;=5,"Good","Bad"),VLOOKUP(DATE($K$1,$K$2,CZL$4),Table1[],(MATCH(Calendar!$A18,DB!$1:$1,0)),FALSE)),"")</f>
        <v/>
      </c>
      <c r="CZM18" s="28" t="str">
        <f>IFERROR(IF(CZV3="No",IF(VLOOKUP(DATE($K$1,$K$2,CZM$4),Table1[],(MATCH(Calendar!$A18,DB!$1:$1,0)),FALSE)&gt;=5,"Good","Bad"),VLOOKUP(DATE($K$1,$K$2,CZM$4),Table1[],(MATCH(Calendar!$A18,DB!$1:$1,0)),FALSE)),"")</f>
        <v/>
      </c>
      <c r="CZN18" s="28" t="str">
        <f>IFERROR(IF(CZW3="No",IF(VLOOKUP(DATE($K$1,$K$2,CZN$4),Table1[],(MATCH(Calendar!$A18,DB!$1:$1,0)),FALSE)&gt;=5,"Good","Bad"),VLOOKUP(DATE($K$1,$K$2,CZN$4),Table1[],(MATCH(Calendar!$A18,DB!$1:$1,0)),FALSE)),"")</f>
        <v/>
      </c>
      <c r="CZO18" s="28" t="str">
        <f>IFERROR(IF(CZX3="No",IF(VLOOKUP(DATE($K$1,$K$2,CZO$4),Table1[],(MATCH(Calendar!$A18,DB!$1:$1,0)),FALSE)&gt;=5,"Good","Bad"),VLOOKUP(DATE($K$1,$K$2,CZO$4),Table1[],(MATCH(Calendar!$A18,DB!$1:$1,0)),FALSE)),"")</f>
        <v/>
      </c>
      <c r="CZP18" s="28" t="str">
        <f>IFERROR(IF(CZY3="No",IF(VLOOKUP(DATE($K$1,$K$2,CZP$4),Table1[],(MATCH(Calendar!$A18,DB!$1:$1,0)),FALSE)&gt;=5,"Good","Bad"),VLOOKUP(DATE($K$1,$K$2,CZP$4),Table1[],(MATCH(Calendar!$A18,DB!$1:$1,0)),FALSE)),"")</f>
        <v/>
      </c>
      <c r="CZQ18" s="28" t="str">
        <f>IFERROR(IF(CZZ3="No",IF(VLOOKUP(DATE($K$1,$K$2,CZQ$4),Table1[],(MATCH(Calendar!$A18,DB!$1:$1,0)),FALSE)&gt;=5,"Good","Bad"),VLOOKUP(DATE($K$1,$K$2,CZQ$4),Table1[],(MATCH(Calendar!$A18,DB!$1:$1,0)),FALSE)),"")</f>
        <v/>
      </c>
      <c r="CZR18" s="28" t="str">
        <f>IFERROR(IF(DAA3="No",IF(VLOOKUP(DATE($K$1,$K$2,CZR$4),Table1[],(MATCH(Calendar!$A18,DB!$1:$1,0)),FALSE)&gt;=5,"Good","Bad"),VLOOKUP(DATE($K$1,$K$2,CZR$4),Table1[],(MATCH(Calendar!$A18,DB!$1:$1,0)),FALSE)),"")</f>
        <v/>
      </c>
      <c r="CZS18" s="28" t="str">
        <f>IFERROR(IF(DAB3="No",IF(VLOOKUP(DATE($K$1,$K$2,CZS$4),Table1[],(MATCH(Calendar!$A18,DB!$1:$1,0)),FALSE)&gt;=5,"Good","Bad"),VLOOKUP(DATE($K$1,$K$2,CZS$4),Table1[],(MATCH(Calendar!$A18,DB!$1:$1,0)),FALSE)),"")</f>
        <v/>
      </c>
      <c r="CZT18" s="28" t="str">
        <f>IFERROR(IF(DAC3="No",IF(VLOOKUP(DATE($K$1,$K$2,CZT$4),Table1[],(MATCH(Calendar!$A18,DB!$1:$1,0)),FALSE)&gt;=5,"Good","Bad"),VLOOKUP(DATE($K$1,$K$2,CZT$4),Table1[],(MATCH(Calendar!$A18,DB!$1:$1,0)),FALSE)),"")</f>
        <v/>
      </c>
      <c r="CZU18" s="28" t="str">
        <f>IFERROR(IF(DAD3="No",IF(VLOOKUP(DATE($K$1,$K$2,CZU$4),Table1[],(MATCH(Calendar!$A18,DB!$1:$1,0)),FALSE)&gt;=5,"Good","Bad"),VLOOKUP(DATE($K$1,$K$2,CZU$4),Table1[],(MATCH(Calendar!$A18,DB!$1:$1,0)),FALSE)),"")</f>
        <v/>
      </c>
      <c r="CZV18" s="28" t="str">
        <f>IFERROR(IF(DAE3="No",IF(VLOOKUP(DATE($K$1,$K$2,CZV$4),Table1[],(MATCH(Calendar!$A18,DB!$1:$1,0)),FALSE)&gt;=5,"Good","Bad"),VLOOKUP(DATE($K$1,$K$2,CZV$4),Table1[],(MATCH(Calendar!$A18,DB!$1:$1,0)),FALSE)),"")</f>
        <v/>
      </c>
      <c r="CZW18" s="28" t="str">
        <f>IFERROR(IF(DAF3="No",IF(VLOOKUP(DATE($K$1,$K$2,CZW$4),Table1[],(MATCH(Calendar!$A18,DB!$1:$1,0)),FALSE)&gt;=5,"Good","Bad"),VLOOKUP(DATE($K$1,$K$2,CZW$4),Table1[],(MATCH(Calendar!$A18,DB!$1:$1,0)),FALSE)),"")</f>
        <v/>
      </c>
      <c r="CZX18" s="28" t="str">
        <f>IFERROR(IF(DAG3="No",IF(VLOOKUP(DATE($K$1,$K$2,CZX$4),Table1[],(MATCH(Calendar!$A18,DB!$1:$1,0)),FALSE)&gt;=5,"Good","Bad"),VLOOKUP(DATE($K$1,$K$2,CZX$4),Table1[],(MATCH(Calendar!$A18,DB!$1:$1,0)),FALSE)),"")</f>
        <v/>
      </c>
      <c r="CZY18" s="28" t="str">
        <f>IFERROR(IF(DAH3="No",IF(VLOOKUP(DATE($K$1,$K$2,CZY$4),Table1[],(MATCH(Calendar!$A18,DB!$1:$1,0)),FALSE)&gt;=5,"Good","Bad"),VLOOKUP(DATE($K$1,$K$2,CZY$4),Table1[],(MATCH(Calendar!$A18,DB!$1:$1,0)),FALSE)),"")</f>
        <v/>
      </c>
      <c r="CZZ18" s="28" t="str">
        <f>IFERROR(IF(DAI3="No",IF(VLOOKUP(DATE($K$1,$K$2,CZZ$4),Table1[],(MATCH(Calendar!$A18,DB!$1:$1,0)),FALSE)&gt;=5,"Good","Bad"),VLOOKUP(DATE($K$1,$K$2,CZZ$4),Table1[],(MATCH(Calendar!$A18,DB!$1:$1,0)),FALSE)),"")</f>
        <v/>
      </c>
      <c r="DAA18" s="28" t="str">
        <f>IFERROR(IF(DAJ3="No",IF(VLOOKUP(DATE($K$1,$K$2,DAA$4),Table1[],(MATCH(Calendar!$A18,DB!$1:$1,0)),FALSE)&gt;=5,"Good","Bad"),VLOOKUP(DATE($K$1,$K$2,DAA$4),Table1[],(MATCH(Calendar!$A18,DB!$1:$1,0)),FALSE)),"")</f>
        <v/>
      </c>
      <c r="DAB18" s="28" t="str">
        <f>IFERROR(IF(DAK3="No",IF(VLOOKUP(DATE($K$1,$K$2,DAB$4),Table1[],(MATCH(Calendar!$A18,DB!$1:$1,0)),FALSE)&gt;=5,"Good","Bad"),VLOOKUP(DATE($K$1,$K$2,DAB$4),Table1[],(MATCH(Calendar!$A18,DB!$1:$1,0)),FALSE)),"")</f>
        <v/>
      </c>
      <c r="DAC18" s="28" t="str">
        <f>IFERROR(IF(DAL3="No",IF(VLOOKUP(DATE($K$1,$K$2,DAC$4),Table1[],(MATCH(Calendar!$A18,DB!$1:$1,0)),FALSE)&gt;=5,"Good","Bad"),VLOOKUP(DATE($K$1,$K$2,DAC$4),Table1[],(MATCH(Calendar!$A18,DB!$1:$1,0)),FALSE)),"")</f>
        <v/>
      </c>
      <c r="DAD18" s="28" t="str">
        <f>IFERROR(IF(DAM3="No",IF(VLOOKUP(DATE($K$1,$K$2,DAD$4),Table1[],(MATCH(Calendar!$A18,DB!$1:$1,0)),FALSE)&gt;=5,"Good","Bad"),VLOOKUP(DATE($K$1,$K$2,DAD$4),Table1[],(MATCH(Calendar!$A18,DB!$1:$1,0)),FALSE)),"")</f>
        <v/>
      </c>
      <c r="DAE18" s="28" t="str">
        <f>IFERROR(IF(DAN3="No",IF(VLOOKUP(DATE($K$1,$K$2,DAE$4),Table1[],(MATCH(Calendar!$A18,DB!$1:$1,0)),FALSE)&gt;=5,"Good","Bad"),VLOOKUP(DATE($K$1,$K$2,DAE$4),Table1[],(MATCH(Calendar!$A18,DB!$1:$1,0)),FALSE)),"")</f>
        <v/>
      </c>
      <c r="DAF18" s="28" t="str">
        <f>IFERROR(IF(DAO3="No",IF(VLOOKUP(DATE($K$1,$K$2,DAF$4),Table1[],(MATCH(Calendar!$A18,DB!$1:$1,0)),FALSE)&gt;=5,"Good","Bad"),VLOOKUP(DATE($K$1,$K$2,DAF$4),Table1[],(MATCH(Calendar!$A18,DB!$1:$1,0)),FALSE)),"")</f>
        <v/>
      </c>
      <c r="DAG18" s="28" t="str">
        <f>IFERROR(IF(DAP3="No",IF(VLOOKUP(DATE($K$1,$K$2,DAG$4),Table1[],(MATCH(Calendar!$A18,DB!$1:$1,0)),FALSE)&gt;=5,"Good","Bad"),VLOOKUP(DATE($K$1,$K$2,DAG$4),Table1[],(MATCH(Calendar!$A18,DB!$1:$1,0)),FALSE)),"")</f>
        <v/>
      </c>
      <c r="DAH18" s="28" t="str">
        <f>IFERROR(IF(DAQ3="No",IF(VLOOKUP(DATE($K$1,$K$2,DAH$4),Table1[],(MATCH(Calendar!$A18,DB!$1:$1,0)),FALSE)&gt;=5,"Good","Bad"),VLOOKUP(DATE($K$1,$K$2,DAH$4),Table1[],(MATCH(Calendar!$A18,DB!$1:$1,0)),FALSE)),"")</f>
        <v/>
      </c>
      <c r="DAI18" s="28" t="str">
        <f>IFERROR(IF(DAR3="No",IF(VLOOKUP(DATE($K$1,$K$2,DAI$4),Table1[],(MATCH(Calendar!$A18,DB!$1:$1,0)),FALSE)&gt;=5,"Good","Bad"),VLOOKUP(DATE($K$1,$K$2,DAI$4),Table1[],(MATCH(Calendar!$A18,DB!$1:$1,0)),FALSE)),"")</f>
        <v/>
      </c>
      <c r="DAJ18" s="28" t="str">
        <f>IFERROR(IF(DAS3="No",IF(VLOOKUP(DATE($K$1,$K$2,DAJ$4),Table1[],(MATCH(Calendar!$A18,DB!$1:$1,0)),FALSE)&gt;=5,"Good","Bad"),VLOOKUP(DATE($K$1,$K$2,DAJ$4),Table1[],(MATCH(Calendar!$A18,DB!$1:$1,0)),FALSE)),"")</f>
        <v/>
      </c>
      <c r="DAK18" s="28" t="str">
        <f>IFERROR(IF(DAT3="No",IF(VLOOKUP(DATE($K$1,$K$2,DAK$4),Table1[],(MATCH(Calendar!$A18,DB!$1:$1,0)),FALSE)&gt;=5,"Good","Bad"),VLOOKUP(DATE($K$1,$K$2,DAK$4),Table1[],(MATCH(Calendar!$A18,DB!$1:$1,0)),FALSE)),"")</f>
        <v/>
      </c>
      <c r="DAL18" s="28" t="str">
        <f>IFERROR(IF(DAU3="No",IF(VLOOKUP(DATE($K$1,$K$2,DAL$4),Table1[],(MATCH(Calendar!$A18,DB!$1:$1,0)),FALSE)&gt;=5,"Good","Bad"),VLOOKUP(DATE($K$1,$K$2,DAL$4),Table1[],(MATCH(Calendar!$A18,DB!$1:$1,0)),FALSE)),"")</f>
        <v/>
      </c>
      <c r="DAM18" s="28" t="str">
        <f>IFERROR(IF(DAV3="No",IF(VLOOKUP(DATE($K$1,$K$2,DAM$4),Table1[],(MATCH(Calendar!$A18,DB!$1:$1,0)),FALSE)&gt;=5,"Good","Bad"),VLOOKUP(DATE($K$1,$K$2,DAM$4),Table1[],(MATCH(Calendar!$A18,DB!$1:$1,0)),FALSE)),"")</f>
        <v/>
      </c>
      <c r="DAN18" s="28" t="str">
        <f>IFERROR(IF(DAW3="No",IF(VLOOKUP(DATE($K$1,$K$2,DAN$4),Table1[],(MATCH(Calendar!$A18,DB!$1:$1,0)),FALSE)&gt;=5,"Good","Bad"),VLOOKUP(DATE($K$1,$K$2,DAN$4),Table1[],(MATCH(Calendar!$A18,DB!$1:$1,0)),FALSE)),"")</f>
        <v/>
      </c>
      <c r="DAO18" s="28" t="str">
        <f>IFERROR(IF(DAX3="No",IF(VLOOKUP(DATE($K$1,$K$2,DAO$4),Table1[],(MATCH(Calendar!$A18,DB!$1:$1,0)),FALSE)&gt;=5,"Good","Bad"),VLOOKUP(DATE($K$1,$K$2,DAO$4),Table1[],(MATCH(Calendar!$A18,DB!$1:$1,0)),FALSE)),"")</f>
        <v/>
      </c>
      <c r="DAP18" s="28" t="str">
        <f>IFERROR(IF(DAY3="No",IF(VLOOKUP(DATE($K$1,$K$2,DAP$4),Table1[],(MATCH(Calendar!$A18,DB!$1:$1,0)),FALSE)&gt;=5,"Good","Bad"),VLOOKUP(DATE($K$1,$K$2,DAP$4),Table1[],(MATCH(Calendar!$A18,DB!$1:$1,0)),FALSE)),"")</f>
        <v/>
      </c>
      <c r="DAQ18" s="28" t="str">
        <f>IFERROR(IF(DAZ3="No",IF(VLOOKUP(DATE($K$1,$K$2,DAQ$4),Table1[],(MATCH(Calendar!$A18,DB!$1:$1,0)),FALSE)&gt;=5,"Good","Bad"),VLOOKUP(DATE($K$1,$K$2,DAQ$4),Table1[],(MATCH(Calendar!$A18,DB!$1:$1,0)),FALSE)),"")</f>
        <v/>
      </c>
      <c r="DAR18" s="28" t="str">
        <f>IFERROR(IF(DBA3="No",IF(VLOOKUP(DATE($K$1,$K$2,DAR$4),Table1[],(MATCH(Calendar!$A18,DB!$1:$1,0)),FALSE)&gt;=5,"Good","Bad"),VLOOKUP(DATE($K$1,$K$2,DAR$4),Table1[],(MATCH(Calendar!$A18,DB!$1:$1,0)),FALSE)),"")</f>
        <v/>
      </c>
      <c r="DAS18" s="28" t="str">
        <f>IFERROR(IF(DBB3="No",IF(VLOOKUP(DATE($K$1,$K$2,DAS$4),Table1[],(MATCH(Calendar!$A18,DB!$1:$1,0)),FALSE)&gt;=5,"Good","Bad"),VLOOKUP(DATE($K$1,$K$2,DAS$4),Table1[],(MATCH(Calendar!$A18,DB!$1:$1,0)),FALSE)),"")</f>
        <v/>
      </c>
      <c r="DAT18" s="28" t="str">
        <f>IFERROR(IF(DBC3="No",IF(VLOOKUP(DATE($K$1,$K$2,DAT$4),Table1[],(MATCH(Calendar!$A18,DB!$1:$1,0)),FALSE)&gt;=5,"Good","Bad"),VLOOKUP(DATE($K$1,$K$2,DAT$4),Table1[],(MATCH(Calendar!$A18,DB!$1:$1,0)),FALSE)),"")</f>
        <v/>
      </c>
      <c r="DAU18" s="28" t="str">
        <f>IFERROR(IF(DBD3="No",IF(VLOOKUP(DATE($K$1,$K$2,DAU$4),Table1[],(MATCH(Calendar!$A18,DB!$1:$1,0)),FALSE)&gt;=5,"Good","Bad"),VLOOKUP(DATE($K$1,$K$2,DAU$4),Table1[],(MATCH(Calendar!$A18,DB!$1:$1,0)),FALSE)),"")</f>
        <v/>
      </c>
      <c r="DAV18" s="28" t="str">
        <f>IFERROR(IF(DBE3="No",IF(VLOOKUP(DATE($K$1,$K$2,DAV$4),Table1[],(MATCH(Calendar!$A18,DB!$1:$1,0)),FALSE)&gt;=5,"Good","Bad"),VLOOKUP(DATE($K$1,$K$2,DAV$4),Table1[],(MATCH(Calendar!$A18,DB!$1:$1,0)),FALSE)),"")</f>
        <v/>
      </c>
      <c r="DAW18" s="28" t="str">
        <f>IFERROR(IF(DBF3="No",IF(VLOOKUP(DATE($K$1,$K$2,DAW$4),Table1[],(MATCH(Calendar!$A18,DB!$1:$1,0)),FALSE)&gt;=5,"Good","Bad"),VLOOKUP(DATE($K$1,$K$2,DAW$4),Table1[],(MATCH(Calendar!$A18,DB!$1:$1,0)),FALSE)),"")</f>
        <v/>
      </c>
      <c r="DAX18" s="28" t="str">
        <f>IFERROR(IF(DBG3="No",IF(VLOOKUP(DATE($K$1,$K$2,DAX$4),Table1[],(MATCH(Calendar!$A18,DB!$1:$1,0)),FALSE)&gt;=5,"Good","Bad"),VLOOKUP(DATE($K$1,$K$2,DAX$4),Table1[],(MATCH(Calendar!$A18,DB!$1:$1,0)),FALSE)),"")</f>
        <v/>
      </c>
      <c r="DAY18" s="28" t="str">
        <f>IFERROR(IF(DBH3="No",IF(VLOOKUP(DATE($K$1,$K$2,DAY$4),Table1[],(MATCH(Calendar!$A18,DB!$1:$1,0)),FALSE)&gt;=5,"Good","Bad"),VLOOKUP(DATE($K$1,$K$2,DAY$4),Table1[],(MATCH(Calendar!$A18,DB!$1:$1,0)),FALSE)),"")</f>
        <v/>
      </c>
      <c r="DAZ18" s="28" t="str">
        <f>IFERROR(IF(DBI3="No",IF(VLOOKUP(DATE($K$1,$K$2,DAZ$4),Table1[],(MATCH(Calendar!$A18,DB!$1:$1,0)),FALSE)&gt;=5,"Good","Bad"),VLOOKUP(DATE($K$1,$K$2,DAZ$4),Table1[],(MATCH(Calendar!$A18,DB!$1:$1,0)),FALSE)),"")</f>
        <v/>
      </c>
      <c r="DBA18" s="28" t="str">
        <f>IFERROR(IF(DBJ3="No",IF(VLOOKUP(DATE($K$1,$K$2,DBA$4),Table1[],(MATCH(Calendar!$A18,DB!$1:$1,0)),FALSE)&gt;=5,"Good","Bad"),VLOOKUP(DATE($K$1,$K$2,DBA$4),Table1[],(MATCH(Calendar!$A18,DB!$1:$1,0)),FALSE)),"")</f>
        <v/>
      </c>
      <c r="DBB18" s="28" t="str">
        <f>IFERROR(IF(DBK3="No",IF(VLOOKUP(DATE($K$1,$K$2,DBB$4),Table1[],(MATCH(Calendar!$A18,DB!$1:$1,0)),FALSE)&gt;=5,"Good","Bad"),VLOOKUP(DATE($K$1,$K$2,DBB$4),Table1[],(MATCH(Calendar!$A18,DB!$1:$1,0)),FALSE)),"")</f>
        <v/>
      </c>
      <c r="DBC18" s="28" t="str">
        <f>IFERROR(IF(DBL3="No",IF(VLOOKUP(DATE($K$1,$K$2,DBC$4),Table1[],(MATCH(Calendar!$A18,DB!$1:$1,0)),FALSE)&gt;=5,"Good","Bad"),VLOOKUP(DATE($K$1,$K$2,DBC$4),Table1[],(MATCH(Calendar!$A18,DB!$1:$1,0)),FALSE)),"")</f>
        <v/>
      </c>
      <c r="DBD18" s="28" t="str">
        <f>IFERROR(IF(DBM3="No",IF(VLOOKUP(DATE($K$1,$K$2,DBD$4),Table1[],(MATCH(Calendar!$A18,DB!$1:$1,0)),FALSE)&gt;=5,"Good","Bad"),VLOOKUP(DATE($K$1,$K$2,DBD$4),Table1[],(MATCH(Calendar!$A18,DB!$1:$1,0)),FALSE)),"")</f>
        <v/>
      </c>
      <c r="DBE18" s="28" t="str">
        <f>IFERROR(IF(DBN3="No",IF(VLOOKUP(DATE($K$1,$K$2,DBE$4),Table1[],(MATCH(Calendar!$A18,DB!$1:$1,0)),FALSE)&gt;=5,"Good","Bad"),VLOOKUP(DATE($K$1,$K$2,DBE$4),Table1[],(MATCH(Calendar!$A18,DB!$1:$1,0)),FALSE)),"")</f>
        <v/>
      </c>
      <c r="DBF18" s="28" t="str">
        <f>IFERROR(IF(DBO3="No",IF(VLOOKUP(DATE($K$1,$K$2,DBF$4),Table1[],(MATCH(Calendar!$A18,DB!$1:$1,0)),FALSE)&gt;=5,"Good","Bad"),VLOOKUP(DATE($K$1,$K$2,DBF$4),Table1[],(MATCH(Calendar!$A18,DB!$1:$1,0)),FALSE)),"")</f>
        <v/>
      </c>
      <c r="DBG18" s="28" t="str">
        <f>IFERROR(IF(DBP3="No",IF(VLOOKUP(DATE($K$1,$K$2,DBG$4),Table1[],(MATCH(Calendar!$A18,DB!$1:$1,0)),FALSE)&gt;=5,"Good","Bad"),VLOOKUP(DATE($K$1,$K$2,DBG$4),Table1[],(MATCH(Calendar!$A18,DB!$1:$1,0)),FALSE)),"")</f>
        <v/>
      </c>
      <c r="DBH18" s="28" t="str">
        <f>IFERROR(IF(DBQ3="No",IF(VLOOKUP(DATE($K$1,$K$2,DBH$4),Table1[],(MATCH(Calendar!$A18,DB!$1:$1,0)),FALSE)&gt;=5,"Good","Bad"),VLOOKUP(DATE($K$1,$K$2,DBH$4),Table1[],(MATCH(Calendar!$A18,DB!$1:$1,0)),FALSE)),"")</f>
        <v/>
      </c>
      <c r="DBI18" s="28" t="str">
        <f>IFERROR(IF(DBR3="No",IF(VLOOKUP(DATE($K$1,$K$2,DBI$4),Table1[],(MATCH(Calendar!$A18,DB!$1:$1,0)),FALSE)&gt;=5,"Good","Bad"),VLOOKUP(DATE($K$1,$K$2,DBI$4),Table1[],(MATCH(Calendar!$A18,DB!$1:$1,0)),FALSE)),"")</f>
        <v/>
      </c>
      <c r="DBJ18" s="28" t="str">
        <f>IFERROR(IF(DBS3="No",IF(VLOOKUP(DATE($K$1,$K$2,DBJ$4),Table1[],(MATCH(Calendar!$A18,DB!$1:$1,0)),FALSE)&gt;=5,"Good","Bad"),VLOOKUP(DATE($K$1,$K$2,DBJ$4),Table1[],(MATCH(Calendar!$A18,DB!$1:$1,0)),FALSE)),"")</f>
        <v/>
      </c>
      <c r="DBK18" s="28" t="str">
        <f>IFERROR(IF(DBT3="No",IF(VLOOKUP(DATE($K$1,$K$2,DBK$4),Table1[],(MATCH(Calendar!$A18,DB!$1:$1,0)),FALSE)&gt;=5,"Good","Bad"),VLOOKUP(DATE($K$1,$K$2,DBK$4),Table1[],(MATCH(Calendar!$A18,DB!$1:$1,0)),FALSE)),"")</f>
        <v/>
      </c>
      <c r="DBL18" s="28" t="str">
        <f>IFERROR(IF(DBU3="No",IF(VLOOKUP(DATE($K$1,$K$2,DBL$4),Table1[],(MATCH(Calendar!$A18,DB!$1:$1,0)),FALSE)&gt;=5,"Good","Bad"),VLOOKUP(DATE($K$1,$K$2,DBL$4),Table1[],(MATCH(Calendar!$A18,DB!$1:$1,0)),FALSE)),"")</f>
        <v/>
      </c>
      <c r="DBM18" s="28" t="str">
        <f>IFERROR(IF(DBV3="No",IF(VLOOKUP(DATE($K$1,$K$2,DBM$4),Table1[],(MATCH(Calendar!$A18,DB!$1:$1,0)),FALSE)&gt;=5,"Good","Bad"),VLOOKUP(DATE($K$1,$K$2,DBM$4),Table1[],(MATCH(Calendar!$A18,DB!$1:$1,0)),FALSE)),"")</f>
        <v/>
      </c>
      <c r="DBN18" s="28" t="str">
        <f>IFERROR(IF(DBW3="No",IF(VLOOKUP(DATE($K$1,$K$2,DBN$4),Table1[],(MATCH(Calendar!$A18,DB!$1:$1,0)),FALSE)&gt;=5,"Good","Bad"),VLOOKUP(DATE($K$1,$K$2,DBN$4),Table1[],(MATCH(Calendar!$A18,DB!$1:$1,0)),FALSE)),"")</f>
        <v/>
      </c>
      <c r="DBO18" s="28" t="str">
        <f>IFERROR(IF(DBX3="No",IF(VLOOKUP(DATE($K$1,$K$2,DBO$4),Table1[],(MATCH(Calendar!$A18,DB!$1:$1,0)),FALSE)&gt;=5,"Good","Bad"),VLOOKUP(DATE($K$1,$K$2,DBO$4),Table1[],(MATCH(Calendar!$A18,DB!$1:$1,0)),FALSE)),"")</f>
        <v/>
      </c>
      <c r="DBP18" s="28" t="str">
        <f>IFERROR(IF(DBY3="No",IF(VLOOKUP(DATE($K$1,$K$2,DBP$4),Table1[],(MATCH(Calendar!$A18,DB!$1:$1,0)),FALSE)&gt;=5,"Good","Bad"),VLOOKUP(DATE($K$1,$K$2,DBP$4),Table1[],(MATCH(Calendar!$A18,DB!$1:$1,0)),FALSE)),"")</f>
        <v/>
      </c>
      <c r="DBQ18" s="28" t="str">
        <f>IFERROR(IF(DBZ3="No",IF(VLOOKUP(DATE($K$1,$K$2,DBQ$4),Table1[],(MATCH(Calendar!$A18,DB!$1:$1,0)),FALSE)&gt;=5,"Good","Bad"),VLOOKUP(DATE($K$1,$K$2,DBQ$4),Table1[],(MATCH(Calendar!$A18,DB!$1:$1,0)),FALSE)),"")</f>
        <v/>
      </c>
      <c r="DBR18" s="28" t="str">
        <f>IFERROR(IF(DCA3="No",IF(VLOOKUP(DATE($K$1,$K$2,DBR$4),Table1[],(MATCH(Calendar!$A18,DB!$1:$1,0)),FALSE)&gt;=5,"Good","Bad"),VLOOKUP(DATE($K$1,$K$2,DBR$4),Table1[],(MATCH(Calendar!$A18,DB!$1:$1,0)),FALSE)),"")</f>
        <v/>
      </c>
      <c r="DBS18" s="28" t="str">
        <f>IFERROR(IF(DCB3="No",IF(VLOOKUP(DATE($K$1,$K$2,DBS$4),Table1[],(MATCH(Calendar!$A18,DB!$1:$1,0)),FALSE)&gt;=5,"Good","Bad"),VLOOKUP(DATE($K$1,$K$2,DBS$4),Table1[],(MATCH(Calendar!$A18,DB!$1:$1,0)),FALSE)),"")</f>
        <v/>
      </c>
      <c r="DBT18" s="28" t="str">
        <f>IFERROR(IF(DCC3="No",IF(VLOOKUP(DATE($K$1,$K$2,DBT$4),Table1[],(MATCH(Calendar!$A18,DB!$1:$1,0)),FALSE)&gt;=5,"Good","Bad"),VLOOKUP(DATE($K$1,$K$2,DBT$4),Table1[],(MATCH(Calendar!$A18,DB!$1:$1,0)),FALSE)),"")</f>
        <v/>
      </c>
      <c r="DBU18" s="28" t="str">
        <f>IFERROR(IF(DCD3="No",IF(VLOOKUP(DATE($K$1,$K$2,DBU$4),Table1[],(MATCH(Calendar!$A18,DB!$1:$1,0)),FALSE)&gt;=5,"Good","Bad"),VLOOKUP(DATE($K$1,$K$2,DBU$4),Table1[],(MATCH(Calendar!$A18,DB!$1:$1,0)),FALSE)),"")</f>
        <v/>
      </c>
      <c r="DBV18" s="28" t="str">
        <f>IFERROR(IF(DCE3="No",IF(VLOOKUP(DATE($K$1,$K$2,DBV$4),Table1[],(MATCH(Calendar!$A18,DB!$1:$1,0)),FALSE)&gt;=5,"Good","Bad"),VLOOKUP(DATE($K$1,$K$2,DBV$4),Table1[],(MATCH(Calendar!$A18,DB!$1:$1,0)),FALSE)),"")</f>
        <v/>
      </c>
      <c r="DBW18" s="28" t="str">
        <f>IFERROR(IF(DCF3="No",IF(VLOOKUP(DATE($K$1,$K$2,DBW$4),Table1[],(MATCH(Calendar!$A18,DB!$1:$1,0)),FALSE)&gt;=5,"Good","Bad"),VLOOKUP(DATE($K$1,$K$2,DBW$4),Table1[],(MATCH(Calendar!$A18,DB!$1:$1,0)),FALSE)),"")</f>
        <v/>
      </c>
      <c r="DBX18" s="28" t="str">
        <f>IFERROR(IF(DCG3="No",IF(VLOOKUP(DATE($K$1,$K$2,DBX$4),Table1[],(MATCH(Calendar!$A18,DB!$1:$1,0)),FALSE)&gt;=5,"Good","Bad"),VLOOKUP(DATE($K$1,$K$2,DBX$4),Table1[],(MATCH(Calendar!$A18,DB!$1:$1,0)),FALSE)),"")</f>
        <v/>
      </c>
      <c r="DBY18" s="28" t="str">
        <f>IFERROR(IF(DCH3="No",IF(VLOOKUP(DATE($K$1,$K$2,DBY$4),Table1[],(MATCH(Calendar!$A18,DB!$1:$1,0)),FALSE)&gt;=5,"Good","Bad"),VLOOKUP(DATE($K$1,$K$2,DBY$4),Table1[],(MATCH(Calendar!$A18,DB!$1:$1,0)),FALSE)),"")</f>
        <v/>
      </c>
      <c r="DBZ18" s="28" t="str">
        <f>IFERROR(IF(DCI3="No",IF(VLOOKUP(DATE($K$1,$K$2,DBZ$4),Table1[],(MATCH(Calendar!$A18,DB!$1:$1,0)),FALSE)&gt;=5,"Good","Bad"),VLOOKUP(DATE($K$1,$K$2,DBZ$4),Table1[],(MATCH(Calendar!$A18,DB!$1:$1,0)),FALSE)),"")</f>
        <v/>
      </c>
      <c r="DCA18" s="28" t="str">
        <f>IFERROR(IF(DCJ3="No",IF(VLOOKUP(DATE($K$1,$K$2,DCA$4),Table1[],(MATCH(Calendar!$A18,DB!$1:$1,0)),FALSE)&gt;=5,"Good","Bad"),VLOOKUP(DATE($K$1,$K$2,DCA$4),Table1[],(MATCH(Calendar!$A18,DB!$1:$1,0)),FALSE)),"")</f>
        <v/>
      </c>
      <c r="DCB18" s="28" t="str">
        <f>IFERROR(IF(DCK3="No",IF(VLOOKUP(DATE($K$1,$K$2,DCB$4),Table1[],(MATCH(Calendar!$A18,DB!$1:$1,0)),FALSE)&gt;=5,"Good","Bad"),VLOOKUP(DATE($K$1,$K$2,DCB$4),Table1[],(MATCH(Calendar!$A18,DB!$1:$1,0)),FALSE)),"")</f>
        <v/>
      </c>
      <c r="DCC18" s="28" t="str">
        <f>IFERROR(IF(DCL3="No",IF(VLOOKUP(DATE($K$1,$K$2,DCC$4),Table1[],(MATCH(Calendar!$A18,DB!$1:$1,0)),FALSE)&gt;=5,"Good","Bad"),VLOOKUP(DATE($K$1,$K$2,DCC$4),Table1[],(MATCH(Calendar!$A18,DB!$1:$1,0)),FALSE)),"")</f>
        <v/>
      </c>
      <c r="DCD18" s="28" t="str">
        <f>IFERROR(IF(DCM3="No",IF(VLOOKUP(DATE($K$1,$K$2,DCD$4),Table1[],(MATCH(Calendar!$A18,DB!$1:$1,0)),FALSE)&gt;=5,"Good","Bad"),VLOOKUP(DATE($K$1,$K$2,DCD$4),Table1[],(MATCH(Calendar!$A18,DB!$1:$1,0)),FALSE)),"")</f>
        <v/>
      </c>
      <c r="DCE18" s="28" t="str">
        <f>IFERROR(IF(DCN3="No",IF(VLOOKUP(DATE($K$1,$K$2,DCE$4),Table1[],(MATCH(Calendar!$A18,DB!$1:$1,0)),FALSE)&gt;=5,"Good","Bad"),VLOOKUP(DATE($K$1,$K$2,DCE$4),Table1[],(MATCH(Calendar!$A18,DB!$1:$1,0)),FALSE)),"")</f>
        <v/>
      </c>
      <c r="DCF18" s="28" t="str">
        <f>IFERROR(IF(DCO3="No",IF(VLOOKUP(DATE($K$1,$K$2,DCF$4),Table1[],(MATCH(Calendar!$A18,DB!$1:$1,0)),FALSE)&gt;=5,"Good","Bad"),VLOOKUP(DATE($K$1,$K$2,DCF$4),Table1[],(MATCH(Calendar!$A18,DB!$1:$1,0)),FALSE)),"")</f>
        <v/>
      </c>
      <c r="DCG18" s="28" t="str">
        <f>IFERROR(IF(DCP3="No",IF(VLOOKUP(DATE($K$1,$K$2,DCG$4),Table1[],(MATCH(Calendar!$A18,DB!$1:$1,0)),FALSE)&gt;=5,"Good","Bad"),VLOOKUP(DATE($K$1,$K$2,DCG$4),Table1[],(MATCH(Calendar!$A18,DB!$1:$1,0)),FALSE)),"")</f>
        <v/>
      </c>
      <c r="DCH18" s="28" t="str">
        <f>IFERROR(IF(DCQ3="No",IF(VLOOKUP(DATE($K$1,$K$2,DCH$4),Table1[],(MATCH(Calendar!$A18,DB!$1:$1,0)),FALSE)&gt;=5,"Good","Bad"),VLOOKUP(DATE($K$1,$K$2,DCH$4),Table1[],(MATCH(Calendar!$A18,DB!$1:$1,0)),FALSE)),"")</f>
        <v/>
      </c>
      <c r="DCI18" s="28" t="str">
        <f>IFERROR(IF(DCR3="No",IF(VLOOKUP(DATE($K$1,$K$2,DCI$4),Table1[],(MATCH(Calendar!$A18,DB!$1:$1,0)),FALSE)&gt;=5,"Good","Bad"),VLOOKUP(DATE($K$1,$K$2,DCI$4),Table1[],(MATCH(Calendar!$A18,DB!$1:$1,0)),FALSE)),"")</f>
        <v/>
      </c>
      <c r="DCJ18" s="28" t="str">
        <f>IFERROR(IF(DCS3="No",IF(VLOOKUP(DATE($K$1,$K$2,DCJ$4),Table1[],(MATCH(Calendar!$A18,DB!$1:$1,0)),FALSE)&gt;=5,"Good","Bad"),VLOOKUP(DATE($K$1,$K$2,DCJ$4),Table1[],(MATCH(Calendar!$A18,DB!$1:$1,0)),FALSE)),"")</f>
        <v/>
      </c>
      <c r="DCK18" s="28" t="str">
        <f>IFERROR(IF(DCT3="No",IF(VLOOKUP(DATE($K$1,$K$2,DCK$4),Table1[],(MATCH(Calendar!$A18,DB!$1:$1,0)),FALSE)&gt;=5,"Good","Bad"),VLOOKUP(DATE($K$1,$K$2,DCK$4),Table1[],(MATCH(Calendar!$A18,DB!$1:$1,0)),FALSE)),"")</f>
        <v/>
      </c>
      <c r="DCL18" s="28" t="str">
        <f>IFERROR(IF(DCU3="No",IF(VLOOKUP(DATE($K$1,$K$2,DCL$4),Table1[],(MATCH(Calendar!$A18,DB!$1:$1,0)),FALSE)&gt;=5,"Good","Bad"),VLOOKUP(DATE($K$1,$K$2,DCL$4),Table1[],(MATCH(Calendar!$A18,DB!$1:$1,0)),FALSE)),"")</f>
        <v/>
      </c>
      <c r="DCM18" s="28" t="str">
        <f>IFERROR(IF(DCV3="No",IF(VLOOKUP(DATE($K$1,$K$2,DCM$4),Table1[],(MATCH(Calendar!$A18,DB!$1:$1,0)),FALSE)&gt;=5,"Good","Bad"),VLOOKUP(DATE($K$1,$K$2,DCM$4),Table1[],(MATCH(Calendar!$A18,DB!$1:$1,0)),FALSE)),"")</f>
        <v/>
      </c>
      <c r="DCN18" s="28" t="str">
        <f>IFERROR(IF(DCW3="No",IF(VLOOKUP(DATE($K$1,$K$2,DCN$4),Table1[],(MATCH(Calendar!$A18,DB!$1:$1,0)),FALSE)&gt;=5,"Good","Bad"),VLOOKUP(DATE($K$1,$K$2,DCN$4),Table1[],(MATCH(Calendar!$A18,DB!$1:$1,0)),FALSE)),"")</f>
        <v/>
      </c>
      <c r="DCO18" s="28" t="str">
        <f>IFERROR(IF(DCX3="No",IF(VLOOKUP(DATE($K$1,$K$2,DCO$4),Table1[],(MATCH(Calendar!$A18,DB!$1:$1,0)),FALSE)&gt;=5,"Good","Bad"),VLOOKUP(DATE($K$1,$K$2,DCO$4),Table1[],(MATCH(Calendar!$A18,DB!$1:$1,0)),FALSE)),"")</f>
        <v/>
      </c>
      <c r="DCP18" s="28" t="str">
        <f>IFERROR(IF(DCY3="No",IF(VLOOKUP(DATE($K$1,$K$2,DCP$4),Table1[],(MATCH(Calendar!$A18,DB!$1:$1,0)),FALSE)&gt;=5,"Good","Bad"),VLOOKUP(DATE($K$1,$K$2,DCP$4),Table1[],(MATCH(Calendar!$A18,DB!$1:$1,0)),FALSE)),"")</f>
        <v/>
      </c>
      <c r="DCQ18" s="28" t="str">
        <f>IFERROR(IF(DCZ3="No",IF(VLOOKUP(DATE($K$1,$K$2,DCQ$4),Table1[],(MATCH(Calendar!$A18,DB!$1:$1,0)),FALSE)&gt;=5,"Good","Bad"),VLOOKUP(DATE($K$1,$K$2,DCQ$4),Table1[],(MATCH(Calendar!$A18,DB!$1:$1,0)),FALSE)),"")</f>
        <v/>
      </c>
      <c r="DCR18" s="28" t="str">
        <f>IFERROR(IF(DDA3="No",IF(VLOOKUP(DATE($K$1,$K$2,DCR$4),Table1[],(MATCH(Calendar!$A18,DB!$1:$1,0)),FALSE)&gt;=5,"Good","Bad"),VLOOKUP(DATE($K$1,$K$2,DCR$4),Table1[],(MATCH(Calendar!$A18,DB!$1:$1,0)),FALSE)),"")</f>
        <v/>
      </c>
      <c r="DCS18" s="28" t="str">
        <f>IFERROR(IF(DDB3="No",IF(VLOOKUP(DATE($K$1,$K$2,DCS$4),Table1[],(MATCH(Calendar!$A18,DB!$1:$1,0)),FALSE)&gt;=5,"Good","Bad"),VLOOKUP(DATE($K$1,$K$2,DCS$4),Table1[],(MATCH(Calendar!$A18,DB!$1:$1,0)),FALSE)),"")</f>
        <v/>
      </c>
      <c r="DCT18" s="28" t="str">
        <f>IFERROR(IF(DDC3="No",IF(VLOOKUP(DATE($K$1,$K$2,DCT$4),Table1[],(MATCH(Calendar!$A18,DB!$1:$1,0)),FALSE)&gt;=5,"Good","Bad"),VLOOKUP(DATE($K$1,$K$2,DCT$4),Table1[],(MATCH(Calendar!$A18,DB!$1:$1,0)),FALSE)),"")</f>
        <v/>
      </c>
      <c r="DCU18" s="28" t="str">
        <f>IFERROR(IF(DDD3="No",IF(VLOOKUP(DATE($K$1,$K$2,DCU$4),Table1[],(MATCH(Calendar!$A18,DB!$1:$1,0)),FALSE)&gt;=5,"Good","Bad"),VLOOKUP(DATE($K$1,$K$2,DCU$4),Table1[],(MATCH(Calendar!$A18,DB!$1:$1,0)),FALSE)),"")</f>
        <v/>
      </c>
      <c r="DCV18" s="28" t="str">
        <f>IFERROR(IF(DDE3="No",IF(VLOOKUP(DATE($K$1,$K$2,DCV$4),Table1[],(MATCH(Calendar!$A18,DB!$1:$1,0)),FALSE)&gt;=5,"Good","Bad"),VLOOKUP(DATE($K$1,$K$2,DCV$4),Table1[],(MATCH(Calendar!$A18,DB!$1:$1,0)),FALSE)),"")</f>
        <v/>
      </c>
      <c r="DCW18" s="28" t="str">
        <f>IFERROR(IF(DDF3="No",IF(VLOOKUP(DATE($K$1,$K$2,DCW$4),Table1[],(MATCH(Calendar!$A18,DB!$1:$1,0)),FALSE)&gt;=5,"Good","Bad"),VLOOKUP(DATE($K$1,$K$2,DCW$4),Table1[],(MATCH(Calendar!$A18,DB!$1:$1,0)),FALSE)),"")</f>
        <v/>
      </c>
      <c r="DCX18" s="28" t="str">
        <f>IFERROR(IF(DDG3="No",IF(VLOOKUP(DATE($K$1,$K$2,DCX$4),Table1[],(MATCH(Calendar!$A18,DB!$1:$1,0)),FALSE)&gt;=5,"Good","Bad"),VLOOKUP(DATE($K$1,$K$2,DCX$4),Table1[],(MATCH(Calendar!$A18,DB!$1:$1,0)),FALSE)),"")</f>
        <v/>
      </c>
      <c r="DCY18" s="28" t="str">
        <f>IFERROR(IF(DDH3="No",IF(VLOOKUP(DATE($K$1,$K$2,DCY$4),Table1[],(MATCH(Calendar!$A18,DB!$1:$1,0)),FALSE)&gt;=5,"Good","Bad"),VLOOKUP(DATE($K$1,$K$2,DCY$4),Table1[],(MATCH(Calendar!$A18,DB!$1:$1,0)),FALSE)),"")</f>
        <v/>
      </c>
      <c r="DCZ18" s="28" t="str">
        <f>IFERROR(IF(DDI3="No",IF(VLOOKUP(DATE($K$1,$K$2,DCZ$4),Table1[],(MATCH(Calendar!$A18,DB!$1:$1,0)),FALSE)&gt;=5,"Good","Bad"),VLOOKUP(DATE($K$1,$K$2,DCZ$4),Table1[],(MATCH(Calendar!$A18,DB!$1:$1,0)),FALSE)),"")</f>
        <v/>
      </c>
      <c r="DDA18" s="28" t="str">
        <f>IFERROR(IF(DDJ3="No",IF(VLOOKUP(DATE($K$1,$K$2,DDA$4),Table1[],(MATCH(Calendar!$A18,DB!$1:$1,0)),FALSE)&gt;=5,"Good","Bad"),VLOOKUP(DATE($K$1,$K$2,DDA$4),Table1[],(MATCH(Calendar!$A18,DB!$1:$1,0)),FALSE)),"")</f>
        <v/>
      </c>
      <c r="DDB18" s="28" t="str">
        <f>IFERROR(IF(DDK3="No",IF(VLOOKUP(DATE($K$1,$K$2,DDB$4),Table1[],(MATCH(Calendar!$A18,DB!$1:$1,0)),FALSE)&gt;=5,"Good","Bad"),VLOOKUP(DATE($K$1,$K$2,DDB$4),Table1[],(MATCH(Calendar!$A18,DB!$1:$1,0)),FALSE)),"")</f>
        <v/>
      </c>
      <c r="DDC18" s="28" t="str">
        <f>IFERROR(IF(DDL3="No",IF(VLOOKUP(DATE($K$1,$K$2,DDC$4),Table1[],(MATCH(Calendar!$A18,DB!$1:$1,0)),FALSE)&gt;=5,"Good","Bad"),VLOOKUP(DATE($K$1,$K$2,DDC$4),Table1[],(MATCH(Calendar!$A18,DB!$1:$1,0)),FALSE)),"")</f>
        <v/>
      </c>
      <c r="DDD18" s="28" t="str">
        <f>IFERROR(IF(DDM3="No",IF(VLOOKUP(DATE($K$1,$K$2,DDD$4),Table1[],(MATCH(Calendar!$A18,DB!$1:$1,0)),FALSE)&gt;=5,"Good","Bad"),VLOOKUP(DATE($K$1,$K$2,DDD$4),Table1[],(MATCH(Calendar!$A18,DB!$1:$1,0)),FALSE)),"")</f>
        <v/>
      </c>
      <c r="DDE18" s="28" t="str">
        <f>IFERROR(IF(DDN3="No",IF(VLOOKUP(DATE($K$1,$K$2,DDE$4),Table1[],(MATCH(Calendar!$A18,DB!$1:$1,0)),FALSE)&gt;=5,"Good","Bad"),VLOOKUP(DATE($K$1,$K$2,DDE$4),Table1[],(MATCH(Calendar!$A18,DB!$1:$1,0)),FALSE)),"")</f>
        <v/>
      </c>
      <c r="DDF18" s="28" t="str">
        <f>IFERROR(IF(DDO3="No",IF(VLOOKUP(DATE($K$1,$K$2,DDF$4),Table1[],(MATCH(Calendar!$A18,DB!$1:$1,0)),FALSE)&gt;=5,"Good","Bad"),VLOOKUP(DATE($K$1,$K$2,DDF$4),Table1[],(MATCH(Calendar!$A18,DB!$1:$1,0)),FALSE)),"")</f>
        <v/>
      </c>
      <c r="DDG18" s="28" t="str">
        <f>IFERROR(IF(DDP3="No",IF(VLOOKUP(DATE($K$1,$K$2,DDG$4),Table1[],(MATCH(Calendar!$A18,DB!$1:$1,0)),FALSE)&gt;=5,"Good","Bad"),VLOOKUP(DATE($K$1,$K$2,DDG$4),Table1[],(MATCH(Calendar!$A18,DB!$1:$1,0)),FALSE)),"")</f>
        <v/>
      </c>
      <c r="DDH18" s="28" t="str">
        <f>IFERROR(IF(DDQ3="No",IF(VLOOKUP(DATE($K$1,$K$2,DDH$4),Table1[],(MATCH(Calendar!$A18,DB!$1:$1,0)),FALSE)&gt;=5,"Good","Bad"),VLOOKUP(DATE($K$1,$K$2,DDH$4),Table1[],(MATCH(Calendar!$A18,DB!$1:$1,0)),FALSE)),"")</f>
        <v/>
      </c>
      <c r="DDI18" s="28" t="str">
        <f>IFERROR(IF(DDR3="No",IF(VLOOKUP(DATE($K$1,$K$2,DDI$4),Table1[],(MATCH(Calendar!$A18,DB!$1:$1,0)),FALSE)&gt;=5,"Good","Bad"),VLOOKUP(DATE($K$1,$K$2,DDI$4),Table1[],(MATCH(Calendar!$A18,DB!$1:$1,0)),FALSE)),"")</f>
        <v/>
      </c>
      <c r="DDJ18" s="28" t="str">
        <f>IFERROR(IF(DDS3="No",IF(VLOOKUP(DATE($K$1,$K$2,DDJ$4),Table1[],(MATCH(Calendar!$A18,DB!$1:$1,0)),FALSE)&gt;=5,"Good","Bad"),VLOOKUP(DATE($K$1,$K$2,DDJ$4),Table1[],(MATCH(Calendar!$A18,DB!$1:$1,0)),FALSE)),"")</f>
        <v/>
      </c>
      <c r="DDK18" s="28" t="str">
        <f>IFERROR(IF(DDT3="No",IF(VLOOKUP(DATE($K$1,$K$2,DDK$4),Table1[],(MATCH(Calendar!$A18,DB!$1:$1,0)),FALSE)&gt;=5,"Good","Bad"),VLOOKUP(DATE($K$1,$K$2,DDK$4),Table1[],(MATCH(Calendar!$A18,DB!$1:$1,0)),FALSE)),"")</f>
        <v/>
      </c>
      <c r="DDL18" s="28" t="str">
        <f>IFERROR(IF(DDU3="No",IF(VLOOKUP(DATE($K$1,$K$2,DDL$4),Table1[],(MATCH(Calendar!$A18,DB!$1:$1,0)),FALSE)&gt;=5,"Good","Bad"),VLOOKUP(DATE($K$1,$K$2,DDL$4),Table1[],(MATCH(Calendar!$A18,DB!$1:$1,0)),FALSE)),"")</f>
        <v/>
      </c>
      <c r="DDM18" s="28" t="str">
        <f>IFERROR(IF(DDV3="No",IF(VLOOKUP(DATE($K$1,$K$2,DDM$4),Table1[],(MATCH(Calendar!$A18,DB!$1:$1,0)),FALSE)&gt;=5,"Good","Bad"),VLOOKUP(DATE($K$1,$K$2,DDM$4),Table1[],(MATCH(Calendar!$A18,DB!$1:$1,0)),FALSE)),"")</f>
        <v/>
      </c>
      <c r="DDN18" s="28" t="str">
        <f>IFERROR(IF(DDW3="No",IF(VLOOKUP(DATE($K$1,$K$2,DDN$4),Table1[],(MATCH(Calendar!$A18,DB!$1:$1,0)),FALSE)&gt;=5,"Good","Bad"),VLOOKUP(DATE($K$1,$K$2,DDN$4),Table1[],(MATCH(Calendar!$A18,DB!$1:$1,0)),FALSE)),"")</f>
        <v/>
      </c>
      <c r="DDO18" s="28" t="str">
        <f>IFERROR(IF(DDX3="No",IF(VLOOKUP(DATE($K$1,$K$2,DDO$4),Table1[],(MATCH(Calendar!$A18,DB!$1:$1,0)),FALSE)&gt;=5,"Good","Bad"),VLOOKUP(DATE($K$1,$K$2,DDO$4),Table1[],(MATCH(Calendar!$A18,DB!$1:$1,0)),FALSE)),"")</f>
        <v/>
      </c>
      <c r="DDP18" s="28" t="str">
        <f>IFERROR(IF(DDY3="No",IF(VLOOKUP(DATE($K$1,$K$2,DDP$4),Table1[],(MATCH(Calendar!$A18,DB!$1:$1,0)),FALSE)&gt;=5,"Good","Bad"),VLOOKUP(DATE($K$1,$K$2,DDP$4),Table1[],(MATCH(Calendar!$A18,DB!$1:$1,0)),FALSE)),"")</f>
        <v/>
      </c>
      <c r="DDQ18" s="28" t="str">
        <f>IFERROR(IF(DDZ3="No",IF(VLOOKUP(DATE($K$1,$K$2,DDQ$4),Table1[],(MATCH(Calendar!$A18,DB!$1:$1,0)),FALSE)&gt;=5,"Good","Bad"),VLOOKUP(DATE($K$1,$K$2,DDQ$4),Table1[],(MATCH(Calendar!$A18,DB!$1:$1,0)),FALSE)),"")</f>
        <v/>
      </c>
      <c r="DDR18" s="28" t="str">
        <f>IFERROR(IF(DEA3="No",IF(VLOOKUP(DATE($K$1,$K$2,DDR$4),Table1[],(MATCH(Calendar!$A18,DB!$1:$1,0)),FALSE)&gt;=5,"Good","Bad"),VLOOKUP(DATE($K$1,$K$2,DDR$4),Table1[],(MATCH(Calendar!$A18,DB!$1:$1,0)),FALSE)),"")</f>
        <v/>
      </c>
      <c r="DDS18" s="28" t="str">
        <f>IFERROR(IF(DEB3="No",IF(VLOOKUP(DATE($K$1,$K$2,DDS$4),Table1[],(MATCH(Calendar!$A18,DB!$1:$1,0)),FALSE)&gt;=5,"Good","Bad"),VLOOKUP(DATE($K$1,$K$2,DDS$4),Table1[],(MATCH(Calendar!$A18,DB!$1:$1,0)),FALSE)),"")</f>
        <v/>
      </c>
      <c r="DDT18" s="28" t="str">
        <f>IFERROR(IF(DEC3="No",IF(VLOOKUP(DATE($K$1,$K$2,DDT$4),Table1[],(MATCH(Calendar!$A18,DB!$1:$1,0)),FALSE)&gt;=5,"Good","Bad"),VLOOKUP(DATE($K$1,$K$2,DDT$4),Table1[],(MATCH(Calendar!$A18,DB!$1:$1,0)),FALSE)),"")</f>
        <v/>
      </c>
      <c r="DDU18" s="28" t="str">
        <f>IFERROR(IF(DED3="No",IF(VLOOKUP(DATE($K$1,$K$2,DDU$4),Table1[],(MATCH(Calendar!$A18,DB!$1:$1,0)),FALSE)&gt;=5,"Good","Bad"),VLOOKUP(DATE($K$1,$K$2,DDU$4),Table1[],(MATCH(Calendar!$A18,DB!$1:$1,0)),FALSE)),"")</f>
        <v/>
      </c>
      <c r="DDV18" s="28" t="str">
        <f>IFERROR(IF(DEE3="No",IF(VLOOKUP(DATE($K$1,$K$2,DDV$4),Table1[],(MATCH(Calendar!$A18,DB!$1:$1,0)),FALSE)&gt;=5,"Good","Bad"),VLOOKUP(DATE($K$1,$K$2,DDV$4),Table1[],(MATCH(Calendar!$A18,DB!$1:$1,0)),FALSE)),"")</f>
        <v/>
      </c>
      <c r="DDW18" s="28" t="str">
        <f>IFERROR(IF(DEF3="No",IF(VLOOKUP(DATE($K$1,$K$2,DDW$4),Table1[],(MATCH(Calendar!$A18,DB!$1:$1,0)),FALSE)&gt;=5,"Good","Bad"),VLOOKUP(DATE($K$1,$K$2,DDW$4),Table1[],(MATCH(Calendar!$A18,DB!$1:$1,0)),FALSE)),"")</f>
        <v/>
      </c>
      <c r="DDX18" s="28" t="str">
        <f>IFERROR(IF(DEG3="No",IF(VLOOKUP(DATE($K$1,$K$2,DDX$4),Table1[],(MATCH(Calendar!$A18,DB!$1:$1,0)),FALSE)&gt;=5,"Good","Bad"),VLOOKUP(DATE($K$1,$K$2,DDX$4),Table1[],(MATCH(Calendar!$A18,DB!$1:$1,0)),FALSE)),"")</f>
        <v/>
      </c>
      <c r="DDY18" s="28" t="str">
        <f>IFERROR(IF(DEH3="No",IF(VLOOKUP(DATE($K$1,$K$2,DDY$4),Table1[],(MATCH(Calendar!$A18,DB!$1:$1,0)),FALSE)&gt;=5,"Good","Bad"),VLOOKUP(DATE($K$1,$K$2,DDY$4),Table1[],(MATCH(Calendar!$A18,DB!$1:$1,0)),FALSE)),"")</f>
        <v/>
      </c>
      <c r="DDZ18" s="28" t="str">
        <f>IFERROR(IF(DEI3="No",IF(VLOOKUP(DATE($K$1,$K$2,DDZ$4),Table1[],(MATCH(Calendar!$A18,DB!$1:$1,0)),FALSE)&gt;=5,"Good","Bad"),VLOOKUP(DATE($K$1,$K$2,DDZ$4),Table1[],(MATCH(Calendar!$A18,DB!$1:$1,0)),FALSE)),"")</f>
        <v/>
      </c>
      <c r="DEA18" s="28" t="str">
        <f>IFERROR(IF(DEJ3="No",IF(VLOOKUP(DATE($K$1,$K$2,DEA$4),Table1[],(MATCH(Calendar!$A18,DB!$1:$1,0)),FALSE)&gt;=5,"Good","Bad"),VLOOKUP(DATE($K$1,$K$2,DEA$4),Table1[],(MATCH(Calendar!$A18,DB!$1:$1,0)),FALSE)),"")</f>
        <v/>
      </c>
      <c r="DEB18" s="28" t="str">
        <f>IFERROR(IF(DEK3="No",IF(VLOOKUP(DATE($K$1,$K$2,DEB$4),Table1[],(MATCH(Calendar!$A18,DB!$1:$1,0)),FALSE)&gt;=5,"Good","Bad"),VLOOKUP(DATE($K$1,$K$2,DEB$4),Table1[],(MATCH(Calendar!$A18,DB!$1:$1,0)),FALSE)),"")</f>
        <v/>
      </c>
      <c r="DEC18" s="28" t="str">
        <f>IFERROR(IF(DEL3="No",IF(VLOOKUP(DATE($K$1,$K$2,DEC$4),Table1[],(MATCH(Calendar!$A18,DB!$1:$1,0)),FALSE)&gt;=5,"Good","Bad"),VLOOKUP(DATE($K$1,$K$2,DEC$4),Table1[],(MATCH(Calendar!$A18,DB!$1:$1,0)),FALSE)),"")</f>
        <v/>
      </c>
      <c r="DED18" s="28" t="str">
        <f>IFERROR(IF(DEM3="No",IF(VLOOKUP(DATE($K$1,$K$2,DED$4),Table1[],(MATCH(Calendar!$A18,DB!$1:$1,0)),FALSE)&gt;=5,"Good","Bad"),VLOOKUP(DATE($K$1,$K$2,DED$4),Table1[],(MATCH(Calendar!$A18,DB!$1:$1,0)),FALSE)),"")</f>
        <v/>
      </c>
      <c r="DEE18" s="28" t="str">
        <f>IFERROR(IF(DEN3="No",IF(VLOOKUP(DATE($K$1,$K$2,DEE$4),Table1[],(MATCH(Calendar!$A18,DB!$1:$1,0)),FALSE)&gt;=5,"Good","Bad"),VLOOKUP(DATE($K$1,$K$2,DEE$4),Table1[],(MATCH(Calendar!$A18,DB!$1:$1,0)),FALSE)),"")</f>
        <v/>
      </c>
      <c r="DEF18" s="28" t="str">
        <f>IFERROR(IF(DEO3="No",IF(VLOOKUP(DATE($K$1,$K$2,DEF$4),Table1[],(MATCH(Calendar!$A18,DB!$1:$1,0)),FALSE)&gt;=5,"Good","Bad"),VLOOKUP(DATE($K$1,$K$2,DEF$4),Table1[],(MATCH(Calendar!$A18,DB!$1:$1,0)),FALSE)),"")</f>
        <v/>
      </c>
      <c r="DEG18" s="28" t="str">
        <f>IFERROR(IF(DEP3="No",IF(VLOOKUP(DATE($K$1,$K$2,DEG$4),Table1[],(MATCH(Calendar!$A18,DB!$1:$1,0)),FALSE)&gt;=5,"Good","Bad"),VLOOKUP(DATE($K$1,$K$2,DEG$4),Table1[],(MATCH(Calendar!$A18,DB!$1:$1,0)),FALSE)),"")</f>
        <v/>
      </c>
      <c r="DEH18" s="28" t="str">
        <f>IFERROR(IF(DEQ3="No",IF(VLOOKUP(DATE($K$1,$K$2,DEH$4),Table1[],(MATCH(Calendar!$A18,DB!$1:$1,0)),FALSE)&gt;=5,"Good","Bad"),VLOOKUP(DATE($K$1,$K$2,DEH$4),Table1[],(MATCH(Calendar!$A18,DB!$1:$1,0)),FALSE)),"")</f>
        <v/>
      </c>
      <c r="DEI18" s="28" t="str">
        <f>IFERROR(IF(DER3="No",IF(VLOOKUP(DATE($K$1,$K$2,DEI$4),Table1[],(MATCH(Calendar!$A18,DB!$1:$1,0)),FALSE)&gt;=5,"Good","Bad"),VLOOKUP(DATE($K$1,$K$2,DEI$4),Table1[],(MATCH(Calendar!$A18,DB!$1:$1,0)),FALSE)),"")</f>
        <v/>
      </c>
      <c r="DEJ18" s="28" t="str">
        <f>IFERROR(IF(DES3="No",IF(VLOOKUP(DATE($K$1,$K$2,DEJ$4),Table1[],(MATCH(Calendar!$A18,DB!$1:$1,0)),FALSE)&gt;=5,"Good","Bad"),VLOOKUP(DATE($K$1,$K$2,DEJ$4),Table1[],(MATCH(Calendar!$A18,DB!$1:$1,0)),FALSE)),"")</f>
        <v/>
      </c>
      <c r="DEK18" s="28" t="str">
        <f>IFERROR(IF(DET3="No",IF(VLOOKUP(DATE($K$1,$K$2,DEK$4),Table1[],(MATCH(Calendar!$A18,DB!$1:$1,0)),FALSE)&gt;=5,"Good","Bad"),VLOOKUP(DATE($K$1,$K$2,DEK$4),Table1[],(MATCH(Calendar!$A18,DB!$1:$1,0)),FALSE)),"")</f>
        <v/>
      </c>
      <c r="DEL18" s="28" t="str">
        <f>IFERROR(IF(DEU3="No",IF(VLOOKUP(DATE($K$1,$K$2,DEL$4),Table1[],(MATCH(Calendar!$A18,DB!$1:$1,0)),FALSE)&gt;=5,"Good","Bad"),VLOOKUP(DATE($K$1,$K$2,DEL$4),Table1[],(MATCH(Calendar!$A18,DB!$1:$1,0)),FALSE)),"")</f>
        <v/>
      </c>
      <c r="DEM18" s="28" t="str">
        <f>IFERROR(IF(DEV3="No",IF(VLOOKUP(DATE($K$1,$K$2,DEM$4),Table1[],(MATCH(Calendar!$A18,DB!$1:$1,0)),FALSE)&gt;=5,"Good","Bad"),VLOOKUP(DATE($K$1,$K$2,DEM$4),Table1[],(MATCH(Calendar!$A18,DB!$1:$1,0)),FALSE)),"")</f>
        <v/>
      </c>
      <c r="DEN18" s="28" t="str">
        <f>IFERROR(IF(DEW3="No",IF(VLOOKUP(DATE($K$1,$K$2,DEN$4),Table1[],(MATCH(Calendar!$A18,DB!$1:$1,0)),FALSE)&gt;=5,"Good","Bad"),VLOOKUP(DATE($K$1,$K$2,DEN$4),Table1[],(MATCH(Calendar!$A18,DB!$1:$1,0)),FALSE)),"")</f>
        <v/>
      </c>
      <c r="DEO18" s="28" t="str">
        <f>IFERROR(IF(DEX3="No",IF(VLOOKUP(DATE($K$1,$K$2,DEO$4),Table1[],(MATCH(Calendar!$A18,DB!$1:$1,0)),FALSE)&gt;=5,"Good","Bad"),VLOOKUP(DATE($K$1,$K$2,DEO$4),Table1[],(MATCH(Calendar!$A18,DB!$1:$1,0)),FALSE)),"")</f>
        <v/>
      </c>
      <c r="DEP18" s="28" t="str">
        <f>IFERROR(IF(DEY3="No",IF(VLOOKUP(DATE($K$1,$K$2,DEP$4),Table1[],(MATCH(Calendar!$A18,DB!$1:$1,0)),FALSE)&gt;=5,"Good","Bad"),VLOOKUP(DATE($K$1,$K$2,DEP$4),Table1[],(MATCH(Calendar!$A18,DB!$1:$1,0)),FALSE)),"")</f>
        <v/>
      </c>
      <c r="DEQ18" s="28" t="str">
        <f>IFERROR(IF(DEZ3="No",IF(VLOOKUP(DATE($K$1,$K$2,DEQ$4),Table1[],(MATCH(Calendar!$A18,DB!$1:$1,0)),FALSE)&gt;=5,"Good","Bad"),VLOOKUP(DATE($K$1,$K$2,DEQ$4),Table1[],(MATCH(Calendar!$A18,DB!$1:$1,0)),FALSE)),"")</f>
        <v/>
      </c>
      <c r="DER18" s="28" t="str">
        <f>IFERROR(IF(DFA3="No",IF(VLOOKUP(DATE($K$1,$K$2,DER$4),Table1[],(MATCH(Calendar!$A18,DB!$1:$1,0)),FALSE)&gt;=5,"Good","Bad"),VLOOKUP(DATE($K$1,$K$2,DER$4),Table1[],(MATCH(Calendar!$A18,DB!$1:$1,0)),FALSE)),"")</f>
        <v/>
      </c>
      <c r="DES18" s="28" t="str">
        <f>IFERROR(IF(DFB3="No",IF(VLOOKUP(DATE($K$1,$K$2,DES$4),Table1[],(MATCH(Calendar!$A18,DB!$1:$1,0)),FALSE)&gt;=5,"Good","Bad"),VLOOKUP(DATE($K$1,$K$2,DES$4),Table1[],(MATCH(Calendar!$A18,DB!$1:$1,0)),FALSE)),"")</f>
        <v/>
      </c>
      <c r="DET18" s="28" t="str">
        <f>IFERROR(IF(DFC3="No",IF(VLOOKUP(DATE($K$1,$K$2,DET$4),Table1[],(MATCH(Calendar!$A18,DB!$1:$1,0)),FALSE)&gt;=5,"Good","Bad"),VLOOKUP(DATE($K$1,$K$2,DET$4),Table1[],(MATCH(Calendar!$A18,DB!$1:$1,0)),FALSE)),"")</f>
        <v/>
      </c>
      <c r="DEU18" s="28" t="str">
        <f>IFERROR(IF(DFD3="No",IF(VLOOKUP(DATE($K$1,$K$2,DEU$4),Table1[],(MATCH(Calendar!$A18,DB!$1:$1,0)),FALSE)&gt;=5,"Good","Bad"),VLOOKUP(DATE($K$1,$K$2,DEU$4),Table1[],(MATCH(Calendar!$A18,DB!$1:$1,0)),FALSE)),"")</f>
        <v/>
      </c>
      <c r="DEV18" s="28" t="str">
        <f>IFERROR(IF(DFE3="No",IF(VLOOKUP(DATE($K$1,$K$2,DEV$4),Table1[],(MATCH(Calendar!$A18,DB!$1:$1,0)),FALSE)&gt;=5,"Good","Bad"),VLOOKUP(DATE($K$1,$K$2,DEV$4),Table1[],(MATCH(Calendar!$A18,DB!$1:$1,0)),FALSE)),"")</f>
        <v/>
      </c>
      <c r="DEW18" s="28" t="str">
        <f>IFERROR(IF(DFF3="No",IF(VLOOKUP(DATE($K$1,$K$2,DEW$4),Table1[],(MATCH(Calendar!$A18,DB!$1:$1,0)),FALSE)&gt;=5,"Good","Bad"),VLOOKUP(DATE($K$1,$K$2,DEW$4),Table1[],(MATCH(Calendar!$A18,DB!$1:$1,0)),FALSE)),"")</f>
        <v/>
      </c>
      <c r="DEX18" s="28" t="str">
        <f>IFERROR(IF(DFG3="No",IF(VLOOKUP(DATE($K$1,$K$2,DEX$4),Table1[],(MATCH(Calendar!$A18,DB!$1:$1,0)),FALSE)&gt;=5,"Good","Bad"),VLOOKUP(DATE($K$1,$K$2,DEX$4),Table1[],(MATCH(Calendar!$A18,DB!$1:$1,0)),FALSE)),"")</f>
        <v/>
      </c>
      <c r="DEY18" s="28" t="str">
        <f>IFERROR(IF(DFH3="No",IF(VLOOKUP(DATE($K$1,$K$2,DEY$4),Table1[],(MATCH(Calendar!$A18,DB!$1:$1,0)),FALSE)&gt;=5,"Good","Bad"),VLOOKUP(DATE($K$1,$K$2,DEY$4),Table1[],(MATCH(Calendar!$A18,DB!$1:$1,0)),FALSE)),"")</f>
        <v/>
      </c>
      <c r="DEZ18" s="28" t="str">
        <f>IFERROR(IF(DFI3="No",IF(VLOOKUP(DATE($K$1,$K$2,DEZ$4),Table1[],(MATCH(Calendar!$A18,DB!$1:$1,0)),FALSE)&gt;=5,"Good","Bad"),VLOOKUP(DATE($K$1,$K$2,DEZ$4),Table1[],(MATCH(Calendar!$A18,DB!$1:$1,0)),FALSE)),"")</f>
        <v/>
      </c>
      <c r="DFA18" s="28" t="str">
        <f>IFERROR(IF(DFJ3="No",IF(VLOOKUP(DATE($K$1,$K$2,DFA$4),Table1[],(MATCH(Calendar!$A18,DB!$1:$1,0)),FALSE)&gt;=5,"Good","Bad"),VLOOKUP(DATE($K$1,$K$2,DFA$4),Table1[],(MATCH(Calendar!$A18,DB!$1:$1,0)),FALSE)),"")</f>
        <v/>
      </c>
      <c r="DFB18" s="28" t="str">
        <f>IFERROR(IF(DFK3="No",IF(VLOOKUP(DATE($K$1,$K$2,DFB$4),Table1[],(MATCH(Calendar!$A18,DB!$1:$1,0)),FALSE)&gt;=5,"Good","Bad"),VLOOKUP(DATE($K$1,$K$2,DFB$4),Table1[],(MATCH(Calendar!$A18,DB!$1:$1,0)),FALSE)),"")</f>
        <v/>
      </c>
      <c r="DFC18" s="28" t="str">
        <f>IFERROR(IF(DFL3="No",IF(VLOOKUP(DATE($K$1,$K$2,DFC$4),Table1[],(MATCH(Calendar!$A18,DB!$1:$1,0)),FALSE)&gt;=5,"Good","Bad"),VLOOKUP(DATE($K$1,$K$2,DFC$4),Table1[],(MATCH(Calendar!$A18,DB!$1:$1,0)),FALSE)),"")</f>
        <v/>
      </c>
      <c r="DFD18" s="28" t="str">
        <f>IFERROR(IF(DFM3="No",IF(VLOOKUP(DATE($K$1,$K$2,DFD$4),Table1[],(MATCH(Calendar!$A18,DB!$1:$1,0)),FALSE)&gt;=5,"Good","Bad"),VLOOKUP(DATE($K$1,$K$2,DFD$4),Table1[],(MATCH(Calendar!$A18,DB!$1:$1,0)),FALSE)),"")</f>
        <v/>
      </c>
      <c r="DFE18" s="28" t="str">
        <f>IFERROR(IF(DFN3="No",IF(VLOOKUP(DATE($K$1,$K$2,DFE$4),Table1[],(MATCH(Calendar!$A18,DB!$1:$1,0)),FALSE)&gt;=5,"Good","Bad"),VLOOKUP(DATE($K$1,$K$2,DFE$4),Table1[],(MATCH(Calendar!$A18,DB!$1:$1,0)),FALSE)),"")</f>
        <v/>
      </c>
      <c r="DFF18" s="28" t="str">
        <f>IFERROR(IF(DFO3="No",IF(VLOOKUP(DATE($K$1,$K$2,DFF$4),Table1[],(MATCH(Calendar!$A18,DB!$1:$1,0)),FALSE)&gt;=5,"Good","Bad"),VLOOKUP(DATE($K$1,$K$2,DFF$4),Table1[],(MATCH(Calendar!$A18,DB!$1:$1,0)),FALSE)),"")</f>
        <v/>
      </c>
      <c r="DFG18" s="28" t="str">
        <f>IFERROR(IF(DFP3="No",IF(VLOOKUP(DATE($K$1,$K$2,DFG$4),Table1[],(MATCH(Calendar!$A18,DB!$1:$1,0)),FALSE)&gt;=5,"Good","Bad"),VLOOKUP(DATE($K$1,$K$2,DFG$4),Table1[],(MATCH(Calendar!$A18,DB!$1:$1,0)),FALSE)),"")</f>
        <v/>
      </c>
      <c r="DFH18" s="28" t="str">
        <f>IFERROR(IF(DFQ3="No",IF(VLOOKUP(DATE($K$1,$K$2,DFH$4),Table1[],(MATCH(Calendar!$A18,DB!$1:$1,0)),FALSE)&gt;=5,"Good","Bad"),VLOOKUP(DATE($K$1,$K$2,DFH$4),Table1[],(MATCH(Calendar!$A18,DB!$1:$1,0)),FALSE)),"")</f>
        <v/>
      </c>
      <c r="DFI18" s="28" t="str">
        <f>IFERROR(IF(DFR3="No",IF(VLOOKUP(DATE($K$1,$K$2,DFI$4),Table1[],(MATCH(Calendar!$A18,DB!$1:$1,0)),FALSE)&gt;=5,"Good","Bad"),VLOOKUP(DATE($K$1,$K$2,DFI$4),Table1[],(MATCH(Calendar!$A18,DB!$1:$1,0)),FALSE)),"")</f>
        <v/>
      </c>
      <c r="DFJ18" s="28" t="str">
        <f>IFERROR(IF(DFS3="No",IF(VLOOKUP(DATE($K$1,$K$2,DFJ$4),Table1[],(MATCH(Calendar!$A18,DB!$1:$1,0)),FALSE)&gt;=5,"Good","Bad"),VLOOKUP(DATE($K$1,$K$2,DFJ$4),Table1[],(MATCH(Calendar!$A18,DB!$1:$1,0)),FALSE)),"")</f>
        <v/>
      </c>
      <c r="DFK18" s="28" t="str">
        <f>IFERROR(IF(DFT3="No",IF(VLOOKUP(DATE($K$1,$K$2,DFK$4),Table1[],(MATCH(Calendar!$A18,DB!$1:$1,0)),FALSE)&gt;=5,"Good","Bad"),VLOOKUP(DATE($K$1,$K$2,DFK$4),Table1[],(MATCH(Calendar!$A18,DB!$1:$1,0)),FALSE)),"")</f>
        <v/>
      </c>
      <c r="DFL18" s="28" t="str">
        <f>IFERROR(IF(DFU3="No",IF(VLOOKUP(DATE($K$1,$K$2,DFL$4),Table1[],(MATCH(Calendar!$A18,DB!$1:$1,0)),FALSE)&gt;=5,"Good","Bad"),VLOOKUP(DATE($K$1,$K$2,DFL$4),Table1[],(MATCH(Calendar!$A18,DB!$1:$1,0)),FALSE)),"")</f>
        <v/>
      </c>
      <c r="DFM18" s="28" t="str">
        <f>IFERROR(IF(DFV3="No",IF(VLOOKUP(DATE($K$1,$K$2,DFM$4),Table1[],(MATCH(Calendar!$A18,DB!$1:$1,0)),FALSE)&gt;=5,"Good","Bad"),VLOOKUP(DATE($K$1,$K$2,DFM$4),Table1[],(MATCH(Calendar!$A18,DB!$1:$1,0)),FALSE)),"")</f>
        <v/>
      </c>
      <c r="DFN18" s="28" t="str">
        <f>IFERROR(IF(DFW3="No",IF(VLOOKUP(DATE($K$1,$K$2,DFN$4),Table1[],(MATCH(Calendar!$A18,DB!$1:$1,0)),FALSE)&gt;=5,"Good","Bad"),VLOOKUP(DATE($K$1,$K$2,DFN$4),Table1[],(MATCH(Calendar!$A18,DB!$1:$1,0)),FALSE)),"")</f>
        <v/>
      </c>
      <c r="DFO18" s="28" t="str">
        <f>IFERROR(IF(DFX3="No",IF(VLOOKUP(DATE($K$1,$K$2,DFO$4),Table1[],(MATCH(Calendar!$A18,DB!$1:$1,0)),FALSE)&gt;=5,"Good","Bad"),VLOOKUP(DATE($K$1,$K$2,DFO$4),Table1[],(MATCH(Calendar!$A18,DB!$1:$1,0)),FALSE)),"")</f>
        <v/>
      </c>
      <c r="DFP18" s="28" t="str">
        <f>IFERROR(IF(DFY3="No",IF(VLOOKUP(DATE($K$1,$K$2,DFP$4),Table1[],(MATCH(Calendar!$A18,DB!$1:$1,0)),FALSE)&gt;=5,"Good","Bad"),VLOOKUP(DATE($K$1,$K$2,DFP$4),Table1[],(MATCH(Calendar!$A18,DB!$1:$1,0)),FALSE)),"")</f>
        <v/>
      </c>
      <c r="DFQ18" s="28" t="str">
        <f>IFERROR(IF(DFZ3="No",IF(VLOOKUP(DATE($K$1,$K$2,DFQ$4),Table1[],(MATCH(Calendar!$A18,DB!$1:$1,0)),FALSE)&gt;=5,"Good","Bad"),VLOOKUP(DATE($K$1,$K$2,DFQ$4),Table1[],(MATCH(Calendar!$A18,DB!$1:$1,0)),FALSE)),"")</f>
        <v/>
      </c>
      <c r="DFR18" s="28" t="str">
        <f>IFERROR(IF(DGA3="No",IF(VLOOKUP(DATE($K$1,$K$2,DFR$4),Table1[],(MATCH(Calendar!$A18,DB!$1:$1,0)),FALSE)&gt;=5,"Good","Bad"),VLOOKUP(DATE($K$1,$K$2,DFR$4),Table1[],(MATCH(Calendar!$A18,DB!$1:$1,0)),FALSE)),"")</f>
        <v/>
      </c>
      <c r="DFS18" s="28" t="str">
        <f>IFERROR(IF(DGB3="No",IF(VLOOKUP(DATE($K$1,$K$2,DFS$4),Table1[],(MATCH(Calendar!$A18,DB!$1:$1,0)),FALSE)&gt;=5,"Good","Bad"),VLOOKUP(DATE($K$1,$K$2,DFS$4),Table1[],(MATCH(Calendar!$A18,DB!$1:$1,0)),FALSE)),"")</f>
        <v/>
      </c>
      <c r="DFT18" s="28" t="str">
        <f>IFERROR(IF(DGC3="No",IF(VLOOKUP(DATE($K$1,$K$2,DFT$4),Table1[],(MATCH(Calendar!$A18,DB!$1:$1,0)),FALSE)&gt;=5,"Good","Bad"),VLOOKUP(DATE($K$1,$K$2,DFT$4),Table1[],(MATCH(Calendar!$A18,DB!$1:$1,0)),FALSE)),"")</f>
        <v/>
      </c>
      <c r="DFU18" s="28" t="str">
        <f>IFERROR(IF(DGD3="No",IF(VLOOKUP(DATE($K$1,$K$2,DFU$4),Table1[],(MATCH(Calendar!$A18,DB!$1:$1,0)),FALSE)&gt;=5,"Good","Bad"),VLOOKUP(DATE($K$1,$K$2,DFU$4),Table1[],(MATCH(Calendar!$A18,DB!$1:$1,0)),FALSE)),"")</f>
        <v/>
      </c>
      <c r="DFV18" s="28" t="str">
        <f>IFERROR(IF(DGE3="No",IF(VLOOKUP(DATE($K$1,$K$2,DFV$4),Table1[],(MATCH(Calendar!$A18,DB!$1:$1,0)),FALSE)&gt;=5,"Good","Bad"),VLOOKUP(DATE($K$1,$K$2,DFV$4),Table1[],(MATCH(Calendar!$A18,DB!$1:$1,0)),FALSE)),"")</f>
        <v/>
      </c>
      <c r="DFW18" s="28" t="str">
        <f>IFERROR(IF(DGF3="No",IF(VLOOKUP(DATE($K$1,$K$2,DFW$4),Table1[],(MATCH(Calendar!$A18,DB!$1:$1,0)),FALSE)&gt;=5,"Good","Bad"),VLOOKUP(DATE($K$1,$K$2,DFW$4),Table1[],(MATCH(Calendar!$A18,DB!$1:$1,0)),FALSE)),"")</f>
        <v/>
      </c>
      <c r="DFX18" s="28" t="str">
        <f>IFERROR(IF(DGG3="No",IF(VLOOKUP(DATE($K$1,$K$2,DFX$4),Table1[],(MATCH(Calendar!$A18,DB!$1:$1,0)),FALSE)&gt;=5,"Good","Bad"),VLOOKUP(DATE($K$1,$K$2,DFX$4),Table1[],(MATCH(Calendar!$A18,DB!$1:$1,0)),FALSE)),"")</f>
        <v/>
      </c>
      <c r="DFY18" s="28" t="str">
        <f>IFERROR(IF(DGH3="No",IF(VLOOKUP(DATE($K$1,$K$2,DFY$4),Table1[],(MATCH(Calendar!$A18,DB!$1:$1,0)),FALSE)&gt;=5,"Good","Bad"),VLOOKUP(DATE($K$1,$K$2,DFY$4),Table1[],(MATCH(Calendar!$A18,DB!$1:$1,0)),FALSE)),"")</f>
        <v/>
      </c>
      <c r="DFZ18" s="28" t="str">
        <f>IFERROR(IF(DGI3="No",IF(VLOOKUP(DATE($K$1,$K$2,DFZ$4),Table1[],(MATCH(Calendar!$A18,DB!$1:$1,0)),FALSE)&gt;=5,"Good","Bad"),VLOOKUP(DATE($K$1,$K$2,DFZ$4),Table1[],(MATCH(Calendar!$A18,DB!$1:$1,0)),FALSE)),"")</f>
        <v/>
      </c>
      <c r="DGA18" s="28" t="str">
        <f>IFERROR(IF(DGJ3="No",IF(VLOOKUP(DATE($K$1,$K$2,DGA$4),Table1[],(MATCH(Calendar!$A18,DB!$1:$1,0)),FALSE)&gt;=5,"Good","Bad"),VLOOKUP(DATE($K$1,$K$2,DGA$4),Table1[],(MATCH(Calendar!$A18,DB!$1:$1,0)),FALSE)),"")</f>
        <v/>
      </c>
      <c r="DGB18" s="28" t="str">
        <f>IFERROR(IF(DGK3="No",IF(VLOOKUP(DATE($K$1,$K$2,DGB$4),Table1[],(MATCH(Calendar!$A18,DB!$1:$1,0)),FALSE)&gt;=5,"Good","Bad"),VLOOKUP(DATE($K$1,$K$2,DGB$4),Table1[],(MATCH(Calendar!$A18,DB!$1:$1,0)),FALSE)),"")</f>
        <v/>
      </c>
      <c r="DGC18" s="28" t="str">
        <f>IFERROR(IF(DGL3="No",IF(VLOOKUP(DATE($K$1,$K$2,DGC$4),Table1[],(MATCH(Calendar!$A18,DB!$1:$1,0)),FALSE)&gt;=5,"Good","Bad"),VLOOKUP(DATE($K$1,$K$2,DGC$4),Table1[],(MATCH(Calendar!$A18,DB!$1:$1,0)),FALSE)),"")</f>
        <v/>
      </c>
      <c r="DGD18" s="28" t="str">
        <f>IFERROR(IF(DGM3="No",IF(VLOOKUP(DATE($K$1,$K$2,DGD$4),Table1[],(MATCH(Calendar!$A18,DB!$1:$1,0)),FALSE)&gt;=5,"Good","Bad"),VLOOKUP(DATE($K$1,$K$2,DGD$4),Table1[],(MATCH(Calendar!$A18,DB!$1:$1,0)),FALSE)),"")</f>
        <v/>
      </c>
      <c r="DGE18" s="28" t="str">
        <f>IFERROR(IF(DGN3="No",IF(VLOOKUP(DATE($K$1,$K$2,DGE$4),Table1[],(MATCH(Calendar!$A18,DB!$1:$1,0)),FALSE)&gt;=5,"Good","Bad"),VLOOKUP(DATE($K$1,$K$2,DGE$4),Table1[],(MATCH(Calendar!$A18,DB!$1:$1,0)),FALSE)),"")</f>
        <v/>
      </c>
      <c r="DGF18" s="28" t="str">
        <f>IFERROR(IF(DGO3="No",IF(VLOOKUP(DATE($K$1,$K$2,DGF$4),Table1[],(MATCH(Calendar!$A18,DB!$1:$1,0)),FALSE)&gt;=5,"Good","Bad"),VLOOKUP(DATE($K$1,$K$2,DGF$4),Table1[],(MATCH(Calendar!$A18,DB!$1:$1,0)),FALSE)),"")</f>
        <v/>
      </c>
      <c r="DGG18" s="28" t="str">
        <f>IFERROR(IF(DGP3="No",IF(VLOOKUP(DATE($K$1,$K$2,DGG$4),Table1[],(MATCH(Calendar!$A18,DB!$1:$1,0)),FALSE)&gt;=5,"Good","Bad"),VLOOKUP(DATE($K$1,$K$2,DGG$4),Table1[],(MATCH(Calendar!$A18,DB!$1:$1,0)),FALSE)),"")</f>
        <v/>
      </c>
      <c r="DGH18" s="28" t="str">
        <f>IFERROR(IF(DGQ3="No",IF(VLOOKUP(DATE($K$1,$K$2,DGH$4),Table1[],(MATCH(Calendar!$A18,DB!$1:$1,0)),FALSE)&gt;=5,"Good","Bad"),VLOOKUP(DATE($K$1,$K$2,DGH$4),Table1[],(MATCH(Calendar!$A18,DB!$1:$1,0)),FALSE)),"")</f>
        <v/>
      </c>
      <c r="DGI18" s="28" t="str">
        <f>IFERROR(IF(DGR3="No",IF(VLOOKUP(DATE($K$1,$K$2,DGI$4),Table1[],(MATCH(Calendar!$A18,DB!$1:$1,0)),FALSE)&gt;=5,"Good","Bad"),VLOOKUP(DATE($K$1,$K$2,DGI$4),Table1[],(MATCH(Calendar!$A18,DB!$1:$1,0)),FALSE)),"")</f>
        <v/>
      </c>
      <c r="DGJ18" s="28" t="str">
        <f>IFERROR(IF(DGS3="No",IF(VLOOKUP(DATE($K$1,$K$2,DGJ$4),Table1[],(MATCH(Calendar!$A18,DB!$1:$1,0)),FALSE)&gt;=5,"Good","Bad"),VLOOKUP(DATE($K$1,$K$2,DGJ$4),Table1[],(MATCH(Calendar!$A18,DB!$1:$1,0)),FALSE)),"")</f>
        <v/>
      </c>
      <c r="DGK18" s="28" t="str">
        <f>IFERROR(IF(DGT3="No",IF(VLOOKUP(DATE($K$1,$K$2,DGK$4),Table1[],(MATCH(Calendar!$A18,DB!$1:$1,0)),FALSE)&gt;=5,"Good","Bad"),VLOOKUP(DATE($K$1,$K$2,DGK$4),Table1[],(MATCH(Calendar!$A18,DB!$1:$1,0)),FALSE)),"")</f>
        <v/>
      </c>
      <c r="DGL18" s="28" t="str">
        <f>IFERROR(IF(DGU3="No",IF(VLOOKUP(DATE($K$1,$K$2,DGL$4),Table1[],(MATCH(Calendar!$A18,DB!$1:$1,0)),FALSE)&gt;=5,"Good","Bad"),VLOOKUP(DATE($K$1,$K$2,DGL$4),Table1[],(MATCH(Calendar!$A18,DB!$1:$1,0)),FALSE)),"")</f>
        <v/>
      </c>
      <c r="DGM18" s="28" t="str">
        <f>IFERROR(IF(DGV3="No",IF(VLOOKUP(DATE($K$1,$K$2,DGM$4),Table1[],(MATCH(Calendar!$A18,DB!$1:$1,0)),FALSE)&gt;=5,"Good","Bad"),VLOOKUP(DATE($K$1,$K$2,DGM$4),Table1[],(MATCH(Calendar!$A18,DB!$1:$1,0)),FALSE)),"")</f>
        <v/>
      </c>
      <c r="DGN18" s="28" t="str">
        <f>IFERROR(IF(DGW3="No",IF(VLOOKUP(DATE($K$1,$K$2,DGN$4),Table1[],(MATCH(Calendar!$A18,DB!$1:$1,0)),FALSE)&gt;=5,"Good","Bad"),VLOOKUP(DATE($K$1,$K$2,DGN$4),Table1[],(MATCH(Calendar!$A18,DB!$1:$1,0)),FALSE)),"")</f>
        <v/>
      </c>
      <c r="DGO18" s="28" t="str">
        <f>IFERROR(IF(DGX3="No",IF(VLOOKUP(DATE($K$1,$K$2,DGO$4),Table1[],(MATCH(Calendar!$A18,DB!$1:$1,0)),FALSE)&gt;=5,"Good","Bad"),VLOOKUP(DATE($K$1,$K$2,DGO$4),Table1[],(MATCH(Calendar!$A18,DB!$1:$1,0)),FALSE)),"")</f>
        <v/>
      </c>
      <c r="DGP18" s="28" t="str">
        <f>IFERROR(IF(DGY3="No",IF(VLOOKUP(DATE($K$1,$K$2,DGP$4),Table1[],(MATCH(Calendar!$A18,DB!$1:$1,0)),FALSE)&gt;=5,"Good","Bad"),VLOOKUP(DATE($K$1,$K$2,DGP$4),Table1[],(MATCH(Calendar!$A18,DB!$1:$1,0)),FALSE)),"")</f>
        <v/>
      </c>
      <c r="DGQ18" s="28" t="str">
        <f>IFERROR(IF(DGZ3="No",IF(VLOOKUP(DATE($K$1,$K$2,DGQ$4),Table1[],(MATCH(Calendar!$A18,DB!$1:$1,0)),FALSE)&gt;=5,"Good","Bad"),VLOOKUP(DATE($K$1,$K$2,DGQ$4),Table1[],(MATCH(Calendar!$A18,DB!$1:$1,0)),FALSE)),"")</f>
        <v/>
      </c>
      <c r="DGR18" s="28" t="str">
        <f>IFERROR(IF(DHA3="No",IF(VLOOKUP(DATE($K$1,$K$2,DGR$4),Table1[],(MATCH(Calendar!$A18,DB!$1:$1,0)),FALSE)&gt;=5,"Good","Bad"),VLOOKUP(DATE($K$1,$K$2,DGR$4),Table1[],(MATCH(Calendar!$A18,DB!$1:$1,0)),FALSE)),"")</f>
        <v/>
      </c>
      <c r="DGS18" s="28" t="str">
        <f>IFERROR(IF(DHB3="No",IF(VLOOKUP(DATE($K$1,$K$2,DGS$4),Table1[],(MATCH(Calendar!$A18,DB!$1:$1,0)),FALSE)&gt;=5,"Good","Bad"),VLOOKUP(DATE($K$1,$K$2,DGS$4),Table1[],(MATCH(Calendar!$A18,DB!$1:$1,0)),FALSE)),"")</f>
        <v/>
      </c>
      <c r="DGT18" s="28" t="str">
        <f>IFERROR(IF(DHC3="No",IF(VLOOKUP(DATE($K$1,$K$2,DGT$4),Table1[],(MATCH(Calendar!$A18,DB!$1:$1,0)),FALSE)&gt;=5,"Good","Bad"),VLOOKUP(DATE($K$1,$K$2,DGT$4),Table1[],(MATCH(Calendar!$A18,DB!$1:$1,0)),FALSE)),"")</f>
        <v/>
      </c>
      <c r="DGU18" s="28" t="str">
        <f>IFERROR(IF(DHD3="No",IF(VLOOKUP(DATE($K$1,$K$2,DGU$4),Table1[],(MATCH(Calendar!$A18,DB!$1:$1,0)),FALSE)&gt;=5,"Good","Bad"),VLOOKUP(DATE($K$1,$K$2,DGU$4),Table1[],(MATCH(Calendar!$A18,DB!$1:$1,0)),FALSE)),"")</f>
        <v/>
      </c>
      <c r="DGV18" s="28" t="str">
        <f>IFERROR(IF(DHE3="No",IF(VLOOKUP(DATE($K$1,$K$2,DGV$4),Table1[],(MATCH(Calendar!$A18,DB!$1:$1,0)),FALSE)&gt;=5,"Good","Bad"),VLOOKUP(DATE($K$1,$K$2,DGV$4),Table1[],(MATCH(Calendar!$A18,DB!$1:$1,0)),FALSE)),"")</f>
        <v/>
      </c>
      <c r="DGW18" s="28" t="str">
        <f>IFERROR(IF(DHF3="No",IF(VLOOKUP(DATE($K$1,$K$2,DGW$4),Table1[],(MATCH(Calendar!$A18,DB!$1:$1,0)),FALSE)&gt;=5,"Good","Bad"),VLOOKUP(DATE($K$1,$K$2,DGW$4),Table1[],(MATCH(Calendar!$A18,DB!$1:$1,0)),FALSE)),"")</f>
        <v/>
      </c>
      <c r="DGX18" s="28" t="str">
        <f>IFERROR(IF(DHG3="No",IF(VLOOKUP(DATE($K$1,$K$2,DGX$4),Table1[],(MATCH(Calendar!$A18,DB!$1:$1,0)),FALSE)&gt;=5,"Good","Bad"),VLOOKUP(DATE($K$1,$K$2,DGX$4),Table1[],(MATCH(Calendar!$A18,DB!$1:$1,0)),FALSE)),"")</f>
        <v/>
      </c>
      <c r="DGY18" s="28" t="str">
        <f>IFERROR(IF(DHH3="No",IF(VLOOKUP(DATE($K$1,$K$2,DGY$4),Table1[],(MATCH(Calendar!$A18,DB!$1:$1,0)),FALSE)&gt;=5,"Good","Bad"),VLOOKUP(DATE($K$1,$K$2,DGY$4),Table1[],(MATCH(Calendar!$A18,DB!$1:$1,0)),FALSE)),"")</f>
        <v/>
      </c>
      <c r="DGZ18" s="28" t="str">
        <f>IFERROR(IF(DHI3="No",IF(VLOOKUP(DATE($K$1,$K$2,DGZ$4),Table1[],(MATCH(Calendar!$A18,DB!$1:$1,0)),FALSE)&gt;=5,"Good","Bad"),VLOOKUP(DATE($K$1,$K$2,DGZ$4),Table1[],(MATCH(Calendar!$A18,DB!$1:$1,0)),FALSE)),"")</f>
        <v/>
      </c>
      <c r="DHA18" s="28" t="str">
        <f>IFERROR(IF(DHJ3="No",IF(VLOOKUP(DATE($K$1,$K$2,DHA$4),Table1[],(MATCH(Calendar!$A18,DB!$1:$1,0)),FALSE)&gt;=5,"Good","Bad"),VLOOKUP(DATE($K$1,$K$2,DHA$4),Table1[],(MATCH(Calendar!$A18,DB!$1:$1,0)),FALSE)),"")</f>
        <v/>
      </c>
      <c r="DHB18" s="28" t="str">
        <f>IFERROR(IF(DHK3="No",IF(VLOOKUP(DATE($K$1,$K$2,DHB$4),Table1[],(MATCH(Calendar!$A18,DB!$1:$1,0)),FALSE)&gt;=5,"Good","Bad"),VLOOKUP(DATE($K$1,$K$2,DHB$4),Table1[],(MATCH(Calendar!$A18,DB!$1:$1,0)),FALSE)),"")</f>
        <v/>
      </c>
      <c r="DHC18" s="28" t="str">
        <f>IFERROR(IF(DHL3="No",IF(VLOOKUP(DATE($K$1,$K$2,DHC$4),Table1[],(MATCH(Calendar!$A18,DB!$1:$1,0)),FALSE)&gt;=5,"Good","Bad"),VLOOKUP(DATE($K$1,$K$2,DHC$4),Table1[],(MATCH(Calendar!$A18,DB!$1:$1,0)),FALSE)),"")</f>
        <v/>
      </c>
      <c r="DHD18" s="28" t="str">
        <f>IFERROR(IF(DHM3="No",IF(VLOOKUP(DATE($K$1,$K$2,DHD$4),Table1[],(MATCH(Calendar!$A18,DB!$1:$1,0)),FALSE)&gt;=5,"Good","Bad"),VLOOKUP(DATE($K$1,$K$2,DHD$4),Table1[],(MATCH(Calendar!$A18,DB!$1:$1,0)),FALSE)),"")</f>
        <v/>
      </c>
      <c r="DHE18" s="28" t="str">
        <f>IFERROR(IF(DHN3="No",IF(VLOOKUP(DATE($K$1,$K$2,DHE$4),Table1[],(MATCH(Calendar!$A18,DB!$1:$1,0)),FALSE)&gt;=5,"Good","Bad"),VLOOKUP(DATE($K$1,$K$2,DHE$4),Table1[],(MATCH(Calendar!$A18,DB!$1:$1,0)),FALSE)),"")</f>
        <v/>
      </c>
      <c r="DHF18" s="28" t="str">
        <f>IFERROR(IF(DHO3="No",IF(VLOOKUP(DATE($K$1,$K$2,DHF$4),Table1[],(MATCH(Calendar!$A18,DB!$1:$1,0)),FALSE)&gt;=5,"Good","Bad"),VLOOKUP(DATE($K$1,$K$2,DHF$4),Table1[],(MATCH(Calendar!$A18,DB!$1:$1,0)),FALSE)),"")</f>
        <v/>
      </c>
      <c r="DHG18" s="28" t="str">
        <f>IFERROR(IF(DHP3="No",IF(VLOOKUP(DATE($K$1,$K$2,DHG$4),Table1[],(MATCH(Calendar!$A18,DB!$1:$1,0)),FALSE)&gt;=5,"Good","Bad"),VLOOKUP(DATE($K$1,$K$2,DHG$4),Table1[],(MATCH(Calendar!$A18,DB!$1:$1,0)),FALSE)),"")</f>
        <v/>
      </c>
      <c r="DHH18" s="28" t="str">
        <f>IFERROR(IF(DHQ3="No",IF(VLOOKUP(DATE($K$1,$K$2,DHH$4),Table1[],(MATCH(Calendar!$A18,DB!$1:$1,0)),FALSE)&gt;=5,"Good","Bad"),VLOOKUP(DATE($K$1,$K$2,DHH$4),Table1[],(MATCH(Calendar!$A18,DB!$1:$1,0)),FALSE)),"")</f>
        <v/>
      </c>
      <c r="DHI18" s="28" t="str">
        <f>IFERROR(IF(DHR3="No",IF(VLOOKUP(DATE($K$1,$K$2,DHI$4),Table1[],(MATCH(Calendar!$A18,DB!$1:$1,0)),FALSE)&gt;=5,"Good","Bad"),VLOOKUP(DATE($K$1,$K$2,DHI$4),Table1[],(MATCH(Calendar!$A18,DB!$1:$1,0)),FALSE)),"")</f>
        <v/>
      </c>
      <c r="DHJ18" s="28" t="str">
        <f>IFERROR(IF(DHS3="No",IF(VLOOKUP(DATE($K$1,$K$2,DHJ$4),Table1[],(MATCH(Calendar!$A18,DB!$1:$1,0)),FALSE)&gt;=5,"Good","Bad"),VLOOKUP(DATE($K$1,$K$2,DHJ$4),Table1[],(MATCH(Calendar!$A18,DB!$1:$1,0)),FALSE)),"")</f>
        <v/>
      </c>
      <c r="DHK18" s="28" t="str">
        <f>IFERROR(IF(DHT3="No",IF(VLOOKUP(DATE($K$1,$K$2,DHK$4),Table1[],(MATCH(Calendar!$A18,DB!$1:$1,0)),FALSE)&gt;=5,"Good","Bad"),VLOOKUP(DATE($K$1,$K$2,DHK$4),Table1[],(MATCH(Calendar!$A18,DB!$1:$1,0)),FALSE)),"")</f>
        <v/>
      </c>
      <c r="DHL18" s="28" t="str">
        <f>IFERROR(IF(DHU3="No",IF(VLOOKUP(DATE($K$1,$K$2,DHL$4),Table1[],(MATCH(Calendar!$A18,DB!$1:$1,0)),FALSE)&gt;=5,"Good","Bad"),VLOOKUP(DATE($K$1,$K$2,DHL$4),Table1[],(MATCH(Calendar!$A18,DB!$1:$1,0)),FALSE)),"")</f>
        <v/>
      </c>
      <c r="DHM18" s="28" t="str">
        <f>IFERROR(IF(DHV3="No",IF(VLOOKUP(DATE($K$1,$K$2,DHM$4),Table1[],(MATCH(Calendar!$A18,DB!$1:$1,0)),FALSE)&gt;=5,"Good","Bad"),VLOOKUP(DATE($K$1,$K$2,DHM$4),Table1[],(MATCH(Calendar!$A18,DB!$1:$1,0)),FALSE)),"")</f>
        <v/>
      </c>
      <c r="DHN18" s="28" t="str">
        <f>IFERROR(IF(DHW3="No",IF(VLOOKUP(DATE($K$1,$K$2,DHN$4),Table1[],(MATCH(Calendar!$A18,DB!$1:$1,0)),FALSE)&gt;=5,"Good","Bad"),VLOOKUP(DATE($K$1,$K$2,DHN$4),Table1[],(MATCH(Calendar!$A18,DB!$1:$1,0)),FALSE)),"")</f>
        <v/>
      </c>
      <c r="DHO18" s="28" t="str">
        <f>IFERROR(IF(DHX3="No",IF(VLOOKUP(DATE($K$1,$K$2,DHO$4),Table1[],(MATCH(Calendar!$A18,DB!$1:$1,0)),FALSE)&gt;=5,"Good","Bad"),VLOOKUP(DATE($K$1,$K$2,DHO$4),Table1[],(MATCH(Calendar!$A18,DB!$1:$1,0)),FALSE)),"")</f>
        <v/>
      </c>
      <c r="DHP18" s="28" t="str">
        <f>IFERROR(IF(DHY3="No",IF(VLOOKUP(DATE($K$1,$K$2,DHP$4),Table1[],(MATCH(Calendar!$A18,DB!$1:$1,0)),FALSE)&gt;=5,"Good","Bad"),VLOOKUP(DATE($K$1,$K$2,DHP$4),Table1[],(MATCH(Calendar!$A18,DB!$1:$1,0)),FALSE)),"")</f>
        <v/>
      </c>
      <c r="DHQ18" s="28" t="str">
        <f>IFERROR(IF(DHZ3="No",IF(VLOOKUP(DATE($K$1,$K$2,DHQ$4),Table1[],(MATCH(Calendar!$A18,DB!$1:$1,0)),FALSE)&gt;=5,"Good","Bad"),VLOOKUP(DATE($K$1,$K$2,DHQ$4),Table1[],(MATCH(Calendar!$A18,DB!$1:$1,0)),FALSE)),"")</f>
        <v/>
      </c>
      <c r="DHR18" s="28" t="str">
        <f>IFERROR(IF(DIA3="No",IF(VLOOKUP(DATE($K$1,$K$2,DHR$4),Table1[],(MATCH(Calendar!$A18,DB!$1:$1,0)),FALSE)&gt;=5,"Good","Bad"),VLOOKUP(DATE($K$1,$K$2,DHR$4),Table1[],(MATCH(Calendar!$A18,DB!$1:$1,0)),FALSE)),"")</f>
        <v/>
      </c>
      <c r="DHS18" s="28" t="str">
        <f>IFERROR(IF(DIB3="No",IF(VLOOKUP(DATE($K$1,$K$2,DHS$4),Table1[],(MATCH(Calendar!$A18,DB!$1:$1,0)),FALSE)&gt;=5,"Good","Bad"),VLOOKUP(DATE($K$1,$K$2,DHS$4),Table1[],(MATCH(Calendar!$A18,DB!$1:$1,0)),FALSE)),"")</f>
        <v/>
      </c>
      <c r="DHT18" s="28" t="str">
        <f>IFERROR(IF(DIC3="No",IF(VLOOKUP(DATE($K$1,$K$2,DHT$4),Table1[],(MATCH(Calendar!$A18,DB!$1:$1,0)),FALSE)&gt;=5,"Good","Bad"),VLOOKUP(DATE($K$1,$K$2,DHT$4),Table1[],(MATCH(Calendar!$A18,DB!$1:$1,0)),FALSE)),"")</f>
        <v/>
      </c>
      <c r="DHU18" s="28" t="str">
        <f>IFERROR(IF(DID3="No",IF(VLOOKUP(DATE($K$1,$K$2,DHU$4),Table1[],(MATCH(Calendar!$A18,DB!$1:$1,0)),FALSE)&gt;=5,"Good","Bad"),VLOOKUP(DATE($K$1,$K$2,DHU$4),Table1[],(MATCH(Calendar!$A18,DB!$1:$1,0)),FALSE)),"")</f>
        <v/>
      </c>
      <c r="DHV18" s="28" t="str">
        <f>IFERROR(IF(DIE3="No",IF(VLOOKUP(DATE($K$1,$K$2,DHV$4),Table1[],(MATCH(Calendar!$A18,DB!$1:$1,0)),FALSE)&gt;=5,"Good","Bad"),VLOOKUP(DATE($K$1,$K$2,DHV$4),Table1[],(MATCH(Calendar!$A18,DB!$1:$1,0)),FALSE)),"")</f>
        <v/>
      </c>
      <c r="DHW18" s="28" t="str">
        <f>IFERROR(IF(DIF3="No",IF(VLOOKUP(DATE($K$1,$K$2,DHW$4),Table1[],(MATCH(Calendar!$A18,DB!$1:$1,0)),FALSE)&gt;=5,"Good","Bad"),VLOOKUP(DATE($K$1,$K$2,DHW$4),Table1[],(MATCH(Calendar!$A18,DB!$1:$1,0)),FALSE)),"")</f>
        <v/>
      </c>
      <c r="DHX18" s="28" t="str">
        <f>IFERROR(IF(DIG3="No",IF(VLOOKUP(DATE($K$1,$K$2,DHX$4),Table1[],(MATCH(Calendar!$A18,DB!$1:$1,0)),FALSE)&gt;=5,"Good","Bad"),VLOOKUP(DATE($K$1,$K$2,DHX$4),Table1[],(MATCH(Calendar!$A18,DB!$1:$1,0)),FALSE)),"")</f>
        <v/>
      </c>
      <c r="DHY18" s="28" t="str">
        <f>IFERROR(IF(DIH3="No",IF(VLOOKUP(DATE($K$1,$K$2,DHY$4),Table1[],(MATCH(Calendar!$A18,DB!$1:$1,0)),FALSE)&gt;=5,"Good","Bad"),VLOOKUP(DATE($K$1,$K$2,DHY$4),Table1[],(MATCH(Calendar!$A18,DB!$1:$1,0)),FALSE)),"")</f>
        <v/>
      </c>
      <c r="DHZ18" s="28" t="str">
        <f>IFERROR(IF(DII3="No",IF(VLOOKUP(DATE($K$1,$K$2,DHZ$4),Table1[],(MATCH(Calendar!$A18,DB!$1:$1,0)),FALSE)&gt;=5,"Good","Bad"),VLOOKUP(DATE($K$1,$K$2,DHZ$4),Table1[],(MATCH(Calendar!$A18,DB!$1:$1,0)),FALSE)),"")</f>
        <v/>
      </c>
      <c r="DIA18" s="28" t="str">
        <f>IFERROR(IF(DIJ3="No",IF(VLOOKUP(DATE($K$1,$K$2,DIA$4),Table1[],(MATCH(Calendar!$A18,DB!$1:$1,0)),FALSE)&gt;=5,"Good","Bad"),VLOOKUP(DATE($K$1,$K$2,DIA$4),Table1[],(MATCH(Calendar!$A18,DB!$1:$1,0)),FALSE)),"")</f>
        <v/>
      </c>
      <c r="DIB18" s="28" t="str">
        <f>IFERROR(IF(DIK3="No",IF(VLOOKUP(DATE($K$1,$K$2,DIB$4),Table1[],(MATCH(Calendar!$A18,DB!$1:$1,0)),FALSE)&gt;=5,"Good","Bad"),VLOOKUP(DATE($K$1,$K$2,DIB$4),Table1[],(MATCH(Calendar!$A18,DB!$1:$1,0)),FALSE)),"")</f>
        <v/>
      </c>
      <c r="DIC18" s="28" t="str">
        <f>IFERROR(IF(DIL3="No",IF(VLOOKUP(DATE($K$1,$K$2,DIC$4),Table1[],(MATCH(Calendar!$A18,DB!$1:$1,0)),FALSE)&gt;=5,"Good","Bad"),VLOOKUP(DATE($K$1,$K$2,DIC$4),Table1[],(MATCH(Calendar!$A18,DB!$1:$1,0)),FALSE)),"")</f>
        <v/>
      </c>
      <c r="DID18" s="28" t="str">
        <f>IFERROR(IF(DIM3="No",IF(VLOOKUP(DATE($K$1,$K$2,DID$4),Table1[],(MATCH(Calendar!$A18,DB!$1:$1,0)),FALSE)&gt;=5,"Good","Bad"),VLOOKUP(DATE($K$1,$K$2,DID$4),Table1[],(MATCH(Calendar!$A18,DB!$1:$1,0)),FALSE)),"")</f>
        <v/>
      </c>
      <c r="DIE18" s="28" t="str">
        <f>IFERROR(IF(DIN3="No",IF(VLOOKUP(DATE($K$1,$K$2,DIE$4),Table1[],(MATCH(Calendar!$A18,DB!$1:$1,0)),FALSE)&gt;=5,"Good","Bad"),VLOOKUP(DATE($K$1,$K$2,DIE$4),Table1[],(MATCH(Calendar!$A18,DB!$1:$1,0)),FALSE)),"")</f>
        <v/>
      </c>
      <c r="DIF18" s="28" t="str">
        <f>IFERROR(IF(DIO3="No",IF(VLOOKUP(DATE($K$1,$K$2,DIF$4),Table1[],(MATCH(Calendar!$A18,DB!$1:$1,0)),FALSE)&gt;=5,"Good","Bad"),VLOOKUP(DATE($K$1,$K$2,DIF$4),Table1[],(MATCH(Calendar!$A18,DB!$1:$1,0)),FALSE)),"")</f>
        <v/>
      </c>
      <c r="DIG18" s="28" t="str">
        <f>IFERROR(IF(DIP3="No",IF(VLOOKUP(DATE($K$1,$K$2,DIG$4),Table1[],(MATCH(Calendar!$A18,DB!$1:$1,0)),FALSE)&gt;=5,"Good","Bad"),VLOOKUP(DATE($K$1,$K$2,DIG$4),Table1[],(MATCH(Calendar!$A18,DB!$1:$1,0)),FALSE)),"")</f>
        <v/>
      </c>
      <c r="DIH18" s="28" t="str">
        <f>IFERROR(IF(DIQ3="No",IF(VLOOKUP(DATE($K$1,$K$2,DIH$4),Table1[],(MATCH(Calendar!$A18,DB!$1:$1,0)),FALSE)&gt;=5,"Good","Bad"),VLOOKUP(DATE($K$1,$K$2,DIH$4),Table1[],(MATCH(Calendar!$A18,DB!$1:$1,0)),FALSE)),"")</f>
        <v/>
      </c>
      <c r="DII18" s="28" t="str">
        <f>IFERROR(IF(DIR3="No",IF(VLOOKUP(DATE($K$1,$K$2,DII$4),Table1[],(MATCH(Calendar!$A18,DB!$1:$1,0)),FALSE)&gt;=5,"Good","Bad"),VLOOKUP(DATE($K$1,$K$2,DII$4),Table1[],(MATCH(Calendar!$A18,DB!$1:$1,0)),FALSE)),"")</f>
        <v/>
      </c>
      <c r="DIJ18" s="28" t="str">
        <f>IFERROR(IF(DIS3="No",IF(VLOOKUP(DATE($K$1,$K$2,DIJ$4),Table1[],(MATCH(Calendar!$A18,DB!$1:$1,0)),FALSE)&gt;=5,"Good","Bad"),VLOOKUP(DATE($K$1,$K$2,DIJ$4),Table1[],(MATCH(Calendar!$A18,DB!$1:$1,0)),FALSE)),"")</f>
        <v/>
      </c>
      <c r="DIK18" s="28" t="str">
        <f>IFERROR(IF(DIT3="No",IF(VLOOKUP(DATE($K$1,$K$2,DIK$4),Table1[],(MATCH(Calendar!$A18,DB!$1:$1,0)),FALSE)&gt;=5,"Good","Bad"),VLOOKUP(DATE($K$1,$K$2,DIK$4),Table1[],(MATCH(Calendar!$A18,DB!$1:$1,0)),FALSE)),"")</f>
        <v/>
      </c>
      <c r="DIL18" s="28" t="str">
        <f>IFERROR(IF(DIU3="No",IF(VLOOKUP(DATE($K$1,$K$2,DIL$4),Table1[],(MATCH(Calendar!$A18,DB!$1:$1,0)),FALSE)&gt;=5,"Good","Bad"),VLOOKUP(DATE($K$1,$K$2,DIL$4),Table1[],(MATCH(Calendar!$A18,DB!$1:$1,0)),FALSE)),"")</f>
        <v/>
      </c>
      <c r="DIM18" s="28" t="str">
        <f>IFERROR(IF(DIV3="No",IF(VLOOKUP(DATE($K$1,$K$2,DIM$4),Table1[],(MATCH(Calendar!$A18,DB!$1:$1,0)),FALSE)&gt;=5,"Good","Bad"),VLOOKUP(DATE($K$1,$K$2,DIM$4),Table1[],(MATCH(Calendar!$A18,DB!$1:$1,0)),FALSE)),"")</f>
        <v/>
      </c>
      <c r="DIN18" s="28" t="str">
        <f>IFERROR(IF(DIW3="No",IF(VLOOKUP(DATE($K$1,$K$2,DIN$4),Table1[],(MATCH(Calendar!$A18,DB!$1:$1,0)),FALSE)&gt;=5,"Good","Bad"),VLOOKUP(DATE($K$1,$K$2,DIN$4),Table1[],(MATCH(Calendar!$A18,DB!$1:$1,0)),FALSE)),"")</f>
        <v/>
      </c>
      <c r="DIO18" s="28" t="str">
        <f>IFERROR(IF(DIX3="No",IF(VLOOKUP(DATE($K$1,$K$2,DIO$4),Table1[],(MATCH(Calendar!$A18,DB!$1:$1,0)),FALSE)&gt;=5,"Good","Bad"),VLOOKUP(DATE($K$1,$K$2,DIO$4),Table1[],(MATCH(Calendar!$A18,DB!$1:$1,0)),FALSE)),"")</f>
        <v/>
      </c>
      <c r="DIP18" s="28" t="str">
        <f>IFERROR(IF(DIY3="No",IF(VLOOKUP(DATE($K$1,$K$2,DIP$4),Table1[],(MATCH(Calendar!$A18,DB!$1:$1,0)),FALSE)&gt;=5,"Good","Bad"),VLOOKUP(DATE($K$1,$K$2,DIP$4),Table1[],(MATCH(Calendar!$A18,DB!$1:$1,0)),FALSE)),"")</f>
        <v/>
      </c>
      <c r="DIQ18" s="28" t="str">
        <f>IFERROR(IF(DIZ3="No",IF(VLOOKUP(DATE($K$1,$K$2,DIQ$4),Table1[],(MATCH(Calendar!$A18,DB!$1:$1,0)),FALSE)&gt;=5,"Good","Bad"),VLOOKUP(DATE($K$1,$K$2,DIQ$4),Table1[],(MATCH(Calendar!$A18,DB!$1:$1,0)),FALSE)),"")</f>
        <v/>
      </c>
      <c r="DIR18" s="28" t="str">
        <f>IFERROR(IF(DJA3="No",IF(VLOOKUP(DATE($K$1,$K$2,DIR$4),Table1[],(MATCH(Calendar!$A18,DB!$1:$1,0)),FALSE)&gt;=5,"Good","Bad"),VLOOKUP(DATE($K$1,$K$2,DIR$4),Table1[],(MATCH(Calendar!$A18,DB!$1:$1,0)),FALSE)),"")</f>
        <v/>
      </c>
      <c r="DIS18" s="28" t="str">
        <f>IFERROR(IF(DJB3="No",IF(VLOOKUP(DATE($K$1,$K$2,DIS$4),Table1[],(MATCH(Calendar!$A18,DB!$1:$1,0)),FALSE)&gt;=5,"Good","Bad"),VLOOKUP(DATE($K$1,$K$2,DIS$4),Table1[],(MATCH(Calendar!$A18,DB!$1:$1,0)),FALSE)),"")</f>
        <v/>
      </c>
      <c r="DIT18" s="28" t="str">
        <f>IFERROR(IF(DJC3="No",IF(VLOOKUP(DATE($K$1,$K$2,DIT$4),Table1[],(MATCH(Calendar!$A18,DB!$1:$1,0)),FALSE)&gt;=5,"Good","Bad"),VLOOKUP(DATE($K$1,$K$2,DIT$4),Table1[],(MATCH(Calendar!$A18,DB!$1:$1,0)),FALSE)),"")</f>
        <v/>
      </c>
      <c r="DIU18" s="28" t="str">
        <f>IFERROR(IF(DJD3="No",IF(VLOOKUP(DATE($K$1,$K$2,DIU$4),Table1[],(MATCH(Calendar!$A18,DB!$1:$1,0)),FALSE)&gt;=5,"Good","Bad"),VLOOKUP(DATE($K$1,$K$2,DIU$4),Table1[],(MATCH(Calendar!$A18,DB!$1:$1,0)),FALSE)),"")</f>
        <v/>
      </c>
      <c r="DIV18" s="28" t="str">
        <f>IFERROR(IF(DJE3="No",IF(VLOOKUP(DATE($K$1,$K$2,DIV$4),Table1[],(MATCH(Calendar!$A18,DB!$1:$1,0)),FALSE)&gt;=5,"Good","Bad"),VLOOKUP(DATE($K$1,$K$2,DIV$4),Table1[],(MATCH(Calendar!$A18,DB!$1:$1,0)),FALSE)),"")</f>
        <v/>
      </c>
      <c r="DIW18" s="28" t="str">
        <f>IFERROR(IF(DJF3="No",IF(VLOOKUP(DATE($K$1,$K$2,DIW$4),Table1[],(MATCH(Calendar!$A18,DB!$1:$1,0)),FALSE)&gt;=5,"Good","Bad"),VLOOKUP(DATE($K$1,$K$2,DIW$4),Table1[],(MATCH(Calendar!$A18,DB!$1:$1,0)),FALSE)),"")</f>
        <v/>
      </c>
      <c r="DIX18" s="28" t="str">
        <f>IFERROR(IF(DJG3="No",IF(VLOOKUP(DATE($K$1,$K$2,DIX$4),Table1[],(MATCH(Calendar!$A18,DB!$1:$1,0)),FALSE)&gt;=5,"Good","Bad"),VLOOKUP(DATE($K$1,$K$2,DIX$4),Table1[],(MATCH(Calendar!$A18,DB!$1:$1,0)),FALSE)),"")</f>
        <v/>
      </c>
      <c r="DIY18" s="28" t="str">
        <f>IFERROR(IF(DJH3="No",IF(VLOOKUP(DATE($K$1,$K$2,DIY$4),Table1[],(MATCH(Calendar!$A18,DB!$1:$1,0)),FALSE)&gt;=5,"Good","Bad"),VLOOKUP(DATE($K$1,$K$2,DIY$4),Table1[],(MATCH(Calendar!$A18,DB!$1:$1,0)),FALSE)),"")</f>
        <v/>
      </c>
      <c r="DIZ18" s="28" t="str">
        <f>IFERROR(IF(DJI3="No",IF(VLOOKUP(DATE($K$1,$K$2,DIZ$4),Table1[],(MATCH(Calendar!$A18,DB!$1:$1,0)),FALSE)&gt;=5,"Good","Bad"),VLOOKUP(DATE($K$1,$K$2,DIZ$4),Table1[],(MATCH(Calendar!$A18,DB!$1:$1,0)),FALSE)),"")</f>
        <v/>
      </c>
      <c r="DJA18" s="28" t="str">
        <f>IFERROR(IF(DJJ3="No",IF(VLOOKUP(DATE($K$1,$K$2,DJA$4),Table1[],(MATCH(Calendar!$A18,DB!$1:$1,0)),FALSE)&gt;=5,"Good","Bad"),VLOOKUP(DATE($K$1,$K$2,DJA$4),Table1[],(MATCH(Calendar!$A18,DB!$1:$1,0)),FALSE)),"")</f>
        <v/>
      </c>
      <c r="DJB18" s="28" t="str">
        <f>IFERROR(IF(DJK3="No",IF(VLOOKUP(DATE($K$1,$K$2,DJB$4),Table1[],(MATCH(Calendar!$A18,DB!$1:$1,0)),FALSE)&gt;=5,"Good","Bad"),VLOOKUP(DATE($K$1,$K$2,DJB$4),Table1[],(MATCH(Calendar!$A18,DB!$1:$1,0)),FALSE)),"")</f>
        <v/>
      </c>
      <c r="DJC18" s="28" t="str">
        <f>IFERROR(IF(DJL3="No",IF(VLOOKUP(DATE($K$1,$K$2,DJC$4),Table1[],(MATCH(Calendar!$A18,DB!$1:$1,0)),FALSE)&gt;=5,"Good","Bad"),VLOOKUP(DATE($K$1,$K$2,DJC$4),Table1[],(MATCH(Calendar!$A18,DB!$1:$1,0)),FALSE)),"")</f>
        <v/>
      </c>
      <c r="DJD18" s="28" t="str">
        <f>IFERROR(IF(DJM3="No",IF(VLOOKUP(DATE($K$1,$K$2,DJD$4),Table1[],(MATCH(Calendar!$A18,DB!$1:$1,0)),FALSE)&gt;=5,"Good","Bad"),VLOOKUP(DATE($K$1,$K$2,DJD$4),Table1[],(MATCH(Calendar!$A18,DB!$1:$1,0)),FALSE)),"")</f>
        <v/>
      </c>
      <c r="DJE18" s="28" t="str">
        <f>IFERROR(IF(DJN3="No",IF(VLOOKUP(DATE($K$1,$K$2,DJE$4),Table1[],(MATCH(Calendar!$A18,DB!$1:$1,0)),FALSE)&gt;=5,"Good","Bad"),VLOOKUP(DATE($K$1,$K$2,DJE$4),Table1[],(MATCH(Calendar!$A18,DB!$1:$1,0)),FALSE)),"")</f>
        <v/>
      </c>
      <c r="DJF18" s="28" t="str">
        <f>IFERROR(IF(DJO3="No",IF(VLOOKUP(DATE($K$1,$K$2,DJF$4),Table1[],(MATCH(Calendar!$A18,DB!$1:$1,0)),FALSE)&gt;=5,"Good","Bad"),VLOOKUP(DATE($K$1,$K$2,DJF$4),Table1[],(MATCH(Calendar!$A18,DB!$1:$1,0)),FALSE)),"")</f>
        <v/>
      </c>
      <c r="DJG18" s="28" t="str">
        <f>IFERROR(IF(DJP3="No",IF(VLOOKUP(DATE($K$1,$K$2,DJG$4),Table1[],(MATCH(Calendar!$A18,DB!$1:$1,0)),FALSE)&gt;=5,"Good","Bad"),VLOOKUP(DATE($K$1,$K$2,DJG$4),Table1[],(MATCH(Calendar!$A18,DB!$1:$1,0)),FALSE)),"")</f>
        <v/>
      </c>
      <c r="DJH18" s="28" t="str">
        <f>IFERROR(IF(DJQ3="No",IF(VLOOKUP(DATE($K$1,$K$2,DJH$4),Table1[],(MATCH(Calendar!$A18,DB!$1:$1,0)),FALSE)&gt;=5,"Good","Bad"),VLOOKUP(DATE($K$1,$K$2,DJH$4),Table1[],(MATCH(Calendar!$A18,DB!$1:$1,0)),FALSE)),"")</f>
        <v/>
      </c>
      <c r="DJI18" s="28" t="str">
        <f>IFERROR(IF(DJR3="No",IF(VLOOKUP(DATE($K$1,$K$2,DJI$4),Table1[],(MATCH(Calendar!$A18,DB!$1:$1,0)),FALSE)&gt;=5,"Good","Bad"),VLOOKUP(DATE($K$1,$K$2,DJI$4),Table1[],(MATCH(Calendar!$A18,DB!$1:$1,0)),FALSE)),"")</f>
        <v/>
      </c>
      <c r="DJJ18" s="28" t="str">
        <f>IFERROR(IF(DJS3="No",IF(VLOOKUP(DATE($K$1,$K$2,DJJ$4),Table1[],(MATCH(Calendar!$A18,DB!$1:$1,0)),FALSE)&gt;=5,"Good","Bad"),VLOOKUP(DATE($K$1,$K$2,DJJ$4),Table1[],(MATCH(Calendar!$A18,DB!$1:$1,0)),FALSE)),"")</f>
        <v/>
      </c>
      <c r="DJK18" s="28" t="str">
        <f>IFERROR(IF(DJT3="No",IF(VLOOKUP(DATE($K$1,$K$2,DJK$4),Table1[],(MATCH(Calendar!$A18,DB!$1:$1,0)),FALSE)&gt;=5,"Good","Bad"),VLOOKUP(DATE($K$1,$K$2,DJK$4),Table1[],(MATCH(Calendar!$A18,DB!$1:$1,0)),FALSE)),"")</f>
        <v/>
      </c>
      <c r="DJL18" s="28" t="str">
        <f>IFERROR(IF(DJU3="No",IF(VLOOKUP(DATE($K$1,$K$2,DJL$4),Table1[],(MATCH(Calendar!$A18,DB!$1:$1,0)),FALSE)&gt;=5,"Good","Bad"),VLOOKUP(DATE($K$1,$K$2,DJL$4),Table1[],(MATCH(Calendar!$A18,DB!$1:$1,0)),FALSE)),"")</f>
        <v/>
      </c>
      <c r="DJM18" s="28" t="str">
        <f>IFERROR(IF(DJV3="No",IF(VLOOKUP(DATE($K$1,$K$2,DJM$4),Table1[],(MATCH(Calendar!$A18,DB!$1:$1,0)),FALSE)&gt;=5,"Good","Bad"),VLOOKUP(DATE($K$1,$K$2,DJM$4),Table1[],(MATCH(Calendar!$A18,DB!$1:$1,0)),FALSE)),"")</f>
        <v/>
      </c>
      <c r="DJN18" s="28" t="str">
        <f>IFERROR(IF(DJW3="No",IF(VLOOKUP(DATE($K$1,$K$2,DJN$4),Table1[],(MATCH(Calendar!$A18,DB!$1:$1,0)),FALSE)&gt;=5,"Good","Bad"),VLOOKUP(DATE($K$1,$K$2,DJN$4),Table1[],(MATCH(Calendar!$A18,DB!$1:$1,0)),FALSE)),"")</f>
        <v/>
      </c>
      <c r="DJO18" s="28" t="str">
        <f>IFERROR(IF(DJX3="No",IF(VLOOKUP(DATE($K$1,$K$2,DJO$4),Table1[],(MATCH(Calendar!$A18,DB!$1:$1,0)),FALSE)&gt;=5,"Good","Bad"),VLOOKUP(DATE($K$1,$K$2,DJO$4),Table1[],(MATCH(Calendar!$A18,DB!$1:$1,0)),FALSE)),"")</f>
        <v/>
      </c>
      <c r="DJP18" s="28" t="str">
        <f>IFERROR(IF(DJY3="No",IF(VLOOKUP(DATE($K$1,$K$2,DJP$4),Table1[],(MATCH(Calendar!$A18,DB!$1:$1,0)),FALSE)&gt;=5,"Good","Bad"),VLOOKUP(DATE($K$1,$K$2,DJP$4),Table1[],(MATCH(Calendar!$A18,DB!$1:$1,0)),FALSE)),"")</f>
        <v/>
      </c>
      <c r="DJQ18" s="28" t="str">
        <f>IFERROR(IF(DJZ3="No",IF(VLOOKUP(DATE($K$1,$K$2,DJQ$4),Table1[],(MATCH(Calendar!$A18,DB!$1:$1,0)),FALSE)&gt;=5,"Good","Bad"),VLOOKUP(DATE($K$1,$K$2,DJQ$4),Table1[],(MATCH(Calendar!$A18,DB!$1:$1,0)),FALSE)),"")</f>
        <v/>
      </c>
      <c r="DJR18" s="28" t="str">
        <f>IFERROR(IF(DKA3="No",IF(VLOOKUP(DATE($K$1,$K$2,DJR$4),Table1[],(MATCH(Calendar!$A18,DB!$1:$1,0)),FALSE)&gt;=5,"Good","Bad"),VLOOKUP(DATE($K$1,$K$2,DJR$4),Table1[],(MATCH(Calendar!$A18,DB!$1:$1,0)),FALSE)),"")</f>
        <v/>
      </c>
      <c r="DJS18" s="28" t="str">
        <f>IFERROR(IF(DKB3="No",IF(VLOOKUP(DATE($K$1,$K$2,DJS$4),Table1[],(MATCH(Calendar!$A18,DB!$1:$1,0)),FALSE)&gt;=5,"Good","Bad"),VLOOKUP(DATE($K$1,$K$2,DJS$4),Table1[],(MATCH(Calendar!$A18,DB!$1:$1,0)),FALSE)),"")</f>
        <v/>
      </c>
      <c r="DJT18" s="28" t="str">
        <f>IFERROR(IF(DKC3="No",IF(VLOOKUP(DATE($K$1,$K$2,DJT$4),Table1[],(MATCH(Calendar!$A18,DB!$1:$1,0)),FALSE)&gt;=5,"Good","Bad"),VLOOKUP(DATE($K$1,$K$2,DJT$4),Table1[],(MATCH(Calendar!$A18,DB!$1:$1,0)),FALSE)),"")</f>
        <v/>
      </c>
      <c r="DJU18" s="28" t="str">
        <f>IFERROR(IF(DKD3="No",IF(VLOOKUP(DATE($K$1,$K$2,DJU$4),Table1[],(MATCH(Calendar!$A18,DB!$1:$1,0)),FALSE)&gt;=5,"Good","Bad"),VLOOKUP(DATE($K$1,$K$2,DJU$4),Table1[],(MATCH(Calendar!$A18,DB!$1:$1,0)),FALSE)),"")</f>
        <v/>
      </c>
      <c r="DJV18" s="28" t="str">
        <f>IFERROR(IF(DKE3="No",IF(VLOOKUP(DATE($K$1,$K$2,DJV$4),Table1[],(MATCH(Calendar!$A18,DB!$1:$1,0)),FALSE)&gt;=5,"Good","Bad"),VLOOKUP(DATE($K$1,$K$2,DJV$4),Table1[],(MATCH(Calendar!$A18,DB!$1:$1,0)),FALSE)),"")</f>
        <v/>
      </c>
      <c r="DJW18" s="28" t="str">
        <f>IFERROR(IF(DKF3="No",IF(VLOOKUP(DATE($K$1,$K$2,DJW$4),Table1[],(MATCH(Calendar!$A18,DB!$1:$1,0)),FALSE)&gt;=5,"Good","Bad"),VLOOKUP(DATE($K$1,$K$2,DJW$4),Table1[],(MATCH(Calendar!$A18,DB!$1:$1,0)),FALSE)),"")</f>
        <v/>
      </c>
      <c r="DJX18" s="28" t="str">
        <f>IFERROR(IF(DKG3="No",IF(VLOOKUP(DATE($K$1,$K$2,DJX$4),Table1[],(MATCH(Calendar!$A18,DB!$1:$1,0)),FALSE)&gt;=5,"Good","Bad"),VLOOKUP(DATE($K$1,$K$2,DJX$4),Table1[],(MATCH(Calendar!$A18,DB!$1:$1,0)),FALSE)),"")</f>
        <v/>
      </c>
      <c r="DJY18" s="28" t="str">
        <f>IFERROR(IF(DKH3="No",IF(VLOOKUP(DATE($K$1,$K$2,DJY$4),Table1[],(MATCH(Calendar!$A18,DB!$1:$1,0)),FALSE)&gt;=5,"Good","Bad"),VLOOKUP(DATE($K$1,$K$2,DJY$4),Table1[],(MATCH(Calendar!$A18,DB!$1:$1,0)),FALSE)),"")</f>
        <v/>
      </c>
      <c r="DJZ18" s="28" t="str">
        <f>IFERROR(IF(DKI3="No",IF(VLOOKUP(DATE($K$1,$K$2,DJZ$4),Table1[],(MATCH(Calendar!$A18,DB!$1:$1,0)),FALSE)&gt;=5,"Good","Bad"),VLOOKUP(DATE($K$1,$K$2,DJZ$4),Table1[],(MATCH(Calendar!$A18,DB!$1:$1,0)),FALSE)),"")</f>
        <v/>
      </c>
      <c r="DKA18" s="28" t="str">
        <f>IFERROR(IF(DKJ3="No",IF(VLOOKUP(DATE($K$1,$K$2,DKA$4),Table1[],(MATCH(Calendar!$A18,DB!$1:$1,0)),FALSE)&gt;=5,"Good","Bad"),VLOOKUP(DATE($K$1,$K$2,DKA$4),Table1[],(MATCH(Calendar!$A18,DB!$1:$1,0)),FALSE)),"")</f>
        <v/>
      </c>
      <c r="DKB18" s="28" t="str">
        <f>IFERROR(IF(DKK3="No",IF(VLOOKUP(DATE($K$1,$K$2,DKB$4),Table1[],(MATCH(Calendar!$A18,DB!$1:$1,0)),FALSE)&gt;=5,"Good","Bad"),VLOOKUP(DATE($K$1,$K$2,DKB$4),Table1[],(MATCH(Calendar!$A18,DB!$1:$1,0)),FALSE)),"")</f>
        <v/>
      </c>
      <c r="DKC18" s="28" t="str">
        <f>IFERROR(IF(DKL3="No",IF(VLOOKUP(DATE($K$1,$K$2,DKC$4),Table1[],(MATCH(Calendar!$A18,DB!$1:$1,0)),FALSE)&gt;=5,"Good","Bad"),VLOOKUP(DATE($K$1,$K$2,DKC$4),Table1[],(MATCH(Calendar!$A18,DB!$1:$1,0)),FALSE)),"")</f>
        <v/>
      </c>
      <c r="DKD18" s="28" t="str">
        <f>IFERROR(IF(DKM3="No",IF(VLOOKUP(DATE($K$1,$K$2,DKD$4),Table1[],(MATCH(Calendar!$A18,DB!$1:$1,0)),FALSE)&gt;=5,"Good","Bad"),VLOOKUP(DATE($K$1,$K$2,DKD$4),Table1[],(MATCH(Calendar!$A18,DB!$1:$1,0)),FALSE)),"")</f>
        <v/>
      </c>
      <c r="DKE18" s="28" t="str">
        <f>IFERROR(IF(DKN3="No",IF(VLOOKUP(DATE($K$1,$K$2,DKE$4),Table1[],(MATCH(Calendar!$A18,DB!$1:$1,0)),FALSE)&gt;=5,"Good","Bad"),VLOOKUP(DATE($K$1,$K$2,DKE$4),Table1[],(MATCH(Calendar!$A18,DB!$1:$1,0)),FALSE)),"")</f>
        <v/>
      </c>
      <c r="DKF18" s="28" t="str">
        <f>IFERROR(IF(DKO3="No",IF(VLOOKUP(DATE($K$1,$K$2,DKF$4),Table1[],(MATCH(Calendar!$A18,DB!$1:$1,0)),FALSE)&gt;=5,"Good","Bad"),VLOOKUP(DATE($K$1,$K$2,DKF$4),Table1[],(MATCH(Calendar!$A18,DB!$1:$1,0)),FALSE)),"")</f>
        <v/>
      </c>
      <c r="DKG18" s="28" t="str">
        <f>IFERROR(IF(DKP3="No",IF(VLOOKUP(DATE($K$1,$K$2,DKG$4),Table1[],(MATCH(Calendar!$A18,DB!$1:$1,0)),FALSE)&gt;=5,"Good","Bad"),VLOOKUP(DATE($K$1,$K$2,DKG$4),Table1[],(MATCH(Calendar!$A18,DB!$1:$1,0)),FALSE)),"")</f>
        <v/>
      </c>
      <c r="DKH18" s="28" t="str">
        <f>IFERROR(IF(DKQ3="No",IF(VLOOKUP(DATE($K$1,$K$2,DKH$4),Table1[],(MATCH(Calendar!$A18,DB!$1:$1,0)),FALSE)&gt;=5,"Good","Bad"),VLOOKUP(DATE($K$1,$K$2,DKH$4),Table1[],(MATCH(Calendar!$A18,DB!$1:$1,0)),FALSE)),"")</f>
        <v/>
      </c>
      <c r="DKI18" s="28" t="str">
        <f>IFERROR(IF(DKR3="No",IF(VLOOKUP(DATE($K$1,$K$2,DKI$4),Table1[],(MATCH(Calendar!$A18,DB!$1:$1,0)),FALSE)&gt;=5,"Good","Bad"),VLOOKUP(DATE($K$1,$K$2,DKI$4),Table1[],(MATCH(Calendar!$A18,DB!$1:$1,0)),FALSE)),"")</f>
        <v/>
      </c>
      <c r="DKJ18" s="28" t="str">
        <f>IFERROR(IF(DKS3="No",IF(VLOOKUP(DATE($K$1,$K$2,DKJ$4),Table1[],(MATCH(Calendar!$A18,DB!$1:$1,0)),FALSE)&gt;=5,"Good","Bad"),VLOOKUP(DATE($K$1,$K$2,DKJ$4),Table1[],(MATCH(Calendar!$A18,DB!$1:$1,0)),FALSE)),"")</f>
        <v/>
      </c>
      <c r="DKK18" s="28" t="str">
        <f>IFERROR(IF(DKT3="No",IF(VLOOKUP(DATE($K$1,$K$2,DKK$4),Table1[],(MATCH(Calendar!$A18,DB!$1:$1,0)),FALSE)&gt;=5,"Good","Bad"),VLOOKUP(DATE($K$1,$K$2,DKK$4),Table1[],(MATCH(Calendar!$A18,DB!$1:$1,0)),FALSE)),"")</f>
        <v/>
      </c>
      <c r="DKL18" s="28" t="str">
        <f>IFERROR(IF(DKU3="No",IF(VLOOKUP(DATE($K$1,$K$2,DKL$4),Table1[],(MATCH(Calendar!$A18,DB!$1:$1,0)),FALSE)&gt;=5,"Good","Bad"),VLOOKUP(DATE($K$1,$K$2,DKL$4),Table1[],(MATCH(Calendar!$A18,DB!$1:$1,0)),FALSE)),"")</f>
        <v/>
      </c>
      <c r="DKM18" s="28" t="str">
        <f>IFERROR(IF(DKV3="No",IF(VLOOKUP(DATE($K$1,$K$2,DKM$4),Table1[],(MATCH(Calendar!$A18,DB!$1:$1,0)),FALSE)&gt;=5,"Good","Bad"),VLOOKUP(DATE($K$1,$K$2,DKM$4),Table1[],(MATCH(Calendar!$A18,DB!$1:$1,0)),FALSE)),"")</f>
        <v/>
      </c>
      <c r="DKN18" s="28" t="str">
        <f>IFERROR(IF(DKW3="No",IF(VLOOKUP(DATE($K$1,$K$2,DKN$4),Table1[],(MATCH(Calendar!$A18,DB!$1:$1,0)),FALSE)&gt;=5,"Good","Bad"),VLOOKUP(DATE($K$1,$K$2,DKN$4),Table1[],(MATCH(Calendar!$A18,DB!$1:$1,0)),FALSE)),"")</f>
        <v/>
      </c>
      <c r="DKO18" s="28" t="str">
        <f>IFERROR(IF(DKX3="No",IF(VLOOKUP(DATE($K$1,$K$2,DKO$4),Table1[],(MATCH(Calendar!$A18,DB!$1:$1,0)),FALSE)&gt;=5,"Good","Bad"),VLOOKUP(DATE($K$1,$K$2,DKO$4),Table1[],(MATCH(Calendar!$A18,DB!$1:$1,0)),FALSE)),"")</f>
        <v/>
      </c>
      <c r="DKP18" s="28" t="str">
        <f>IFERROR(IF(DKY3="No",IF(VLOOKUP(DATE($K$1,$K$2,DKP$4),Table1[],(MATCH(Calendar!$A18,DB!$1:$1,0)),FALSE)&gt;=5,"Good","Bad"),VLOOKUP(DATE($K$1,$K$2,DKP$4),Table1[],(MATCH(Calendar!$A18,DB!$1:$1,0)),FALSE)),"")</f>
        <v/>
      </c>
      <c r="DKQ18" s="28" t="str">
        <f>IFERROR(IF(DKZ3="No",IF(VLOOKUP(DATE($K$1,$K$2,DKQ$4),Table1[],(MATCH(Calendar!$A18,DB!$1:$1,0)),FALSE)&gt;=5,"Good","Bad"),VLOOKUP(DATE($K$1,$K$2,DKQ$4),Table1[],(MATCH(Calendar!$A18,DB!$1:$1,0)),FALSE)),"")</f>
        <v/>
      </c>
      <c r="DKR18" s="28" t="str">
        <f>IFERROR(IF(DLA3="No",IF(VLOOKUP(DATE($K$1,$K$2,DKR$4),Table1[],(MATCH(Calendar!$A18,DB!$1:$1,0)),FALSE)&gt;=5,"Good","Bad"),VLOOKUP(DATE($K$1,$K$2,DKR$4),Table1[],(MATCH(Calendar!$A18,DB!$1:$1,0)),FALSE)),"")</f>
        <v/>
      </c>
      <c r="DKS18" s="28" t="str">
        <f>IFERROR(IF(DLB3="No",IF(VLOOKUP(DATE($K$1,$K$2,DKS$4),Table1[],(MATCH(Calendar!$A18,DB!$1:$1,0)),FALSE)&gt;=5,"Good","Bad"),VLOOKUP(DATE($K$1,$K$2,DKS$4),Table1[],(MATCH(Calendar!$A18,DB!$1:$1,0)),FALSE)),"")</f>
        <v/>
      </c>
      <c r="DKT18" s="28" t="str">
        <f>IFERROR(IF(DLC3="No",IF(VLOOKUP(DATE($K$1,$K$2,DKT$4),Table1[],(MATCH(Calendar!$A18,DB!$1:$1,0)),FALSE)&gt;=5,"Good","Bad"),VLOOKUP(DATE($K$1,$K$2,DKT$4),Table1[],(MATCH(Calendar!$A18,DB!$1:$1,0)),FALSE)),"")</f>
        <v/>
      </c>
      <c r="DKU18" s="28" t="str">
        <f>IFERROR(IF(DLD3="No",IF(VLOOKUP(DATE($K$1,$K$2,DKU$4),Table1[],(MATCH(Calendar!$A18,DB!$1:$1,0)),FALSE)&gt;=5,"Good","Bad"),VLOOKUP(DATE($K$1,$K$2,DKU$4),Table1[],(MATCH(Calendar!$A18,DB!$1:$1,0)),FALSE)),"")</f>
        <v/>
      </c>
      <c r="DKV18" s="28" t="str">
        <f>IFERROR(IF(DLE3="No",IF(VLOOKUP(DATE($K$1,$K$2,DKV$4),Table1[],(MATCH(Calendar!$A18,DB!$1:$1,0)),FALSE)&gt;=5,"Good","Bad"),VLOOKUP(DATE($K$1,$K$2,DKV$4),Table1[],(MATCH(Calendar!$A18,DB!$1:$1,0)),FALSE)),"")</f>
        <v/>
      </c>
      <c r="DKW18" s="28" t="str">
        <f>IFERROR(IF(DLF3="No",IF(VLOOKUP(DATE($K$1,$K$2,DKW$4),Table1[],(MATCH(Calendar!$A18,DB!$1:$1,0)),FALSE)&gt;=5,"Good","Bad"),VLOOKUP(DATE($K$1,$K$2,DKW$4),Table1[],(MATCH(Calendar!$A18,DB!$1:$1,0)),FALSE)),"")</f>
        <v/>
      </c>
      <c r="DKX18" s="28" t="str">
        <f>IFERROR(IF(DLG3="No",IF(VLOOKUP(DATE($K$1,$K$2,DKX$4),Table1[],(MATCH(Calendar!$A18,DB!$1:$1,0)),FALSE)&gt;=5,"Good","Bad"),VLOOKUP(DATE($K$1,$K$2,DKX$4),Table1[],(MATCH(Calendar!$A18,DB!$1:$1,0)),FALSE)),"")</f>
        <v/>
      </c>
      <c r="DKY18" s="28" t="str">
        <f>IFERROR(IF(DLH3="No",IF(VLOOKUP(DATE($K$1,$K$2,DKY$4),Table1[],(MATCH(Calendar!$A18,DB!$1:$1,0)),FALSE)&gt;=5,"Good","Bad"),VLOOKUP(DATE($K$1,$K$2,DKY$4),Table1[],(MATCH(Calendar!$A18,DB!$1:$1,0)),FALSE)),"")</f>
        <v/>
      </c>
      <c r="DKZ18" s="28" t="str">
        <f>IFERROR(IF(DLI3="No",IF(VLOOKUP(DATE($K$1,$K$2,DKZ$4),Table1[],(MATCH(Calendar!$A18,DB!$1:$1,0)),FALSE)&gt;=5,"Good","Bad"),VLOOKUP(DATE($K$1,$K$2,DKZ$4),Table1[],(MATCH(Calendar!$A18,DB!$1:$1,0)),FALSE)),"")</f>
        <v/>
      </c>
      <c r="DLA18" s="28" t="str">
        <f>IFERROR(IF(DLJ3="No",IF(VLOOKUP(DATE($K$1,$K$2,DLA$4),Table1[],(MATCH(Calendar!$A18,DB!$1:$1,0)),FALSE)&gt;=5,"Good","Bad"),VLOOKUP(DATE($K$1,$K$2,DLA$4),Table1[],(MATCH(Calendar!$A18,DB!$1:$1,0)),FALSE)),"")</f>
        <v/>
      </c>
      <c r="DLB18" s="28" t="str">
        <f>IFERROR(IF(DLK3="No",IF(VLOOKUP(DATE($K$1,$K$2,DLB$4),Table1[],(MATCH(Calendar!$A18,DB!$1:$1,0)),FALSE)&gt;=5,"Good","Bad"),VLOOKUP(DATE($K$1,$K$2,DLB$4),Table1[],(MATCH(Calendar!$A18,DB!$1:$1,0)),FALSE)),"")</f>
        <v/>
      </c>
      <c r="DLC18" s="28" t="str">
        <f>IFERROR(IF(DLL3="No",IF(VLOOKUP(DATE($K$1,$K$2,DLC$4),Table1[],(MATCH(Calendar!$A18,DB!$1:$1,0)),FALSE)&gt;=5,"Good","Bad"),VLOOKUP(DATE($K$1,$K$2,DLC$4),Table1[],(MATCH(Calendar!$A18,DB!$1:$1,0)),FALSE)),"")</f>
        <v/>
      </c>
      <c r="DLD18" s="28" t="str">
        <f>IFERROR(IF(DLM3="No",IF(VLOOKUP(DATE($K$1,$K$2,DLD$4),Table1[],(MATCH(Calendar!$A18,DB!$1:$1,0)),FALSE)&gt;=5,"Good","Bad"),VLOOKUP(DATE($K$1,$K$2,DLD$4),Table1[],(MATCH(Calendar!$A18,DB!$1:$1,0)),FALSE)),"")</f>
        <v/>
      </c>
      <c r="DLE18" s="28" t="str">
        <f>IFERROR(IF(DLN3="No",IF(VLOOKUP(DATE($K$1,$K$2,DLE$4),Table1[],(MATCH(Calendar!$A18,DB!$1:$1,0)),FALSE)&gt;=5,"Good","Bad"),VLOOKUP(DATE($K$1,$K$2,DLE$4),Table1[],(MATCH(Calendar!$A18,DB!$1:$1,0)),FALSE)),"")</f>
        <v/>
      </c>
      <c r="DLF18" s="28" t="str">
        <f>IFERROR(IF(DLO3="No",IF(VLOOKUP(DATE($K$1,$K$2,DLF$4),Table1[],(MATCH(Calendar!$A18,DB!$1:$1,0)),FALSE)&gt;=5,"Good","Bad"),VLOOKUP(DATE($K$1,$K$2,DLF$4),Table1[],(MATCH(Calendar!$A18,DB!$1:$1,0)),FALSE)),"")</f>
        <v/>
      </c>
      <c r="DLG18" s="28" t="str">
        <f>IFERROR(IF(DLP3="No",IF(VLOOKUP(DATE($K$1,$K$2,DLG$4),Table1[],(MATCH(Calendar!$A18,DB!$1:$1,0)),FALSE)&gt;=5,"Good","Bad"),VLOOKUP(DATE($K$1,$K$2,DLG$4),Table1[],(MATCH(Calendar!$A18,DB!$1:$1,0)),FALSE)),"")</f>
        <v/>
      </c>
      <c r="DLH18" s="28" t="str">
        <f>IFERROR(IF(DLQ3="No",IF(VLOOKUP(DATE($K$1,$K$2,DLH$4),Table1[],(MATCH(Calendar!$A18,DB!$1:$1,0)),FALSE)&gt;=5,"Good","Bad"),VLOOKUP(DATE($K$1,$K$2,DLH$4),Table1[],(MATCH(Calendar!$A18,DB!$1:$1,0)),FALSE)),"")</f>
        <v/>
      </c>
      <c r="DLI18" s="28" t="str">
        <f>IFERROR(IF(DLR3="No",IF(VLOOKUP(DATE($K$1,$K$2,DLI$4),Table1[],(MATCH(Calendar!$A18,DB!$1:$1,0)),FALSE)&gt;=5,"Good","Bad"),VLOOKUP(DATE($K$1,$K$2,DLI$4),Table1[],(MATCH(Calendar!$A18,DB!$1:$1,0)),FALSE)),"")</f>
        <v/>
      </c>
      <c r="DLJ18" s="28" t="str">
        <f>IFERROR(IF(DLS3="No",IF(VLOOKUP(DATE($K$1,$K$2,DLJ$4),Table1[],(MATCH(Calendar!$A18,DB!$1:$1,0)),FALSE)&gt;=5,"Good","Bad"),VLOOKUP(DATE($K$1,$K$2,DLJ$4),Table1[],(MATCH(Calendar!$A18,DB!$1:$1,0)),FALSE)),"")</f>
        <v/>
      </c>
      <c r="DLK18" s="28" t="str">
        <f>IFERROR(IF(DLT3="No",IF(VLOOKUP(DATE($K$1,$K$2,DLK$4),Table1[],(MATCH(Calendar!$A18,DB!$1:$1,0)),FALSE)&gt;=5,"Good","Bad"),VLOOKUP(DATE($K$1,$K$2,DLK$4),Table1[],(MATCH(Calendar!$A18,DB!$1:$1,0)),FALSE)),"")</f>
        <v/>
      </c>
      <c r="DLL18" s="28" t="str">
        <f>IFERROR(IF(DLU3="No",IF(VLOOKUP(DATE($K$1,$K$2,DLL$4),Table1[],(MATCH(Calendar!$A18,DB!$1:$1,0)),FALSE)&gt;=5,"Good","Bad"),VLOOKUP(DATE($K$1,$K$2,DLL$4),Table1[],(MATCH(Calendar!$A18,DB!$1:$1,0)),FALSE)),"")</f>
        <v/>
      </c>
      <c r="DLM18" s="28" t="str">
        <f>IFERROR(IF(DLV3="No",IF(VLOOKUP(DATE($K$1,$K$2,DLM$4),Table1[],(MATCH(Calendar!$A18,DB!$1:$1,0)),FALSE)&gt;=5,"Good","Bad"),VLOOKUP(DATE($K$1,$K$2,DLM$4),Table1[],(MATCH(Calendar!$A18,DB!$1:$1,0)),FALSE)),"")</f>
        <v/>
      </c>
      <c r="DLN18" s="28" t="str">
        <f>IFERROR(IF(DLW3="No",IF(VLOOKUP(DATE($K$1,$K$2,DLN$4),Table1[],(MATCH(Calendar!$A18,DB!$1:$1,0)),FALSE)&gt;=5,"Good","Bad"),VLOOKUP(DATE($K$1,$K$2,DLN$4),Table1[],(MATCH(Calendar!$A18,DB!$1:$1,0)),FALSE)),"")</f>
        <v/>
      </c>
      <c r="DLO18" s="28" t="str">
        <f>IFERROR(IF(DLX3="No",IF(VLOOKUP(DATE($K$1,$K$2,DLO$4),Table1[],(MATCH(Calendar!$A18,DB!$1:$1,0)),FALSE)&gt;=5,"Good","Bad"),VLOOKUP(DATE($K$1,$K$2,DLO$4),Table1[],(MATCH(Calendar!$A18,DB!$1:$1,0)),FALSE)),"")</f>
        <v/>
      </c>
      <c r="DLP18" s="28" t="str">
        <f>IFERROR(IF(DLY3="No",IF(VLOOKUP(DATE($K$1,$K$2,DLP$4),Table1[],(MATCH(Calendar!$A18,DB!$1:$1,0)),FALSE)&gt;=5,"Good","Bad"),VLOOKUP(DATE($K$1,$K$2,DLP$4),Table1[],(MATCH(Calendar!$A18,DB!$1:$1,0)),FALSE)),"")</f>
        <v/>
      </c>
      <c r="DLQ18" s="28" t="str">
        <f>IFERROR(IF(DLZ3="No",IF(VLOOKUP(DATE($K$1,$K$2,DLQ$4),Table1[],(MATCH(Calendar!$A18,DB!$1:$1,0)),FALSE)&gt;=5,"Good","Bad"),VLOOKUP(DATE($K$1,$K$2,DLQ$4),Table1[],(MATCH(Calendar!$A18,DB!$1:$1,0)),FALSE)),"")</f>
        <v/>
      </c>
      <c r="DLR18" s="28" t="str">
        <f>IFERROR(IF(DMA3="No",IF(VLOOKUP(DATE($K$1,$K$2,DLR$4),Table1[],(MATCH(Calendar!$A18,DB!$1:$1,0)),FALSE)&gt;=5,"Good","Bad"),VLOOKUP(DATE($K$1,$K$2,DLR$4),Table1[],(MATCH(Calendar!$A18,DB!$1:$1,0)),FALSE)),"")</f>
        <v/>
      </c>
      <c r="DLS18" s="28" t="str">
        <f>IFERROR(IF(DMB3="No",IF(VLOOKUP(DATE($K$1,$K$2,DLS$4),Table1[],(MATCH(Calendar!$A18,DB!$1:$1,0)),FALSE)&gt;=5,"Good","Bad"),VLOOKUP(DATE($K$1,$K$2,DLS$4),Table1[],(MATCH(Calendar!$A18,DB!$1:$1,0)),FALSE)),"")</f>
        <v/>
      </c>
      <c r="DLT18" s="28" t="str">
        <f>IFERROR(IF(DMC3="No",IF(VLOOKUP(DATE($K$1,$K$2,DLT$4),Table1[],(MATCH(Calendar!$A18,DB!$1:$1,0)),FALSE)&gt;=5,"Good","Bad"),VLOOKUP(DATE($K$1,$K$2,DLT$4),Table1[],(MATCH(Calendar!$A18,DB!$1:$1,0)),FALSE)),"")</f>
        <v/>
      </c>
      <c r="DLU18" s="28" t="str">
        <f>IFERROR(IF(DMD3="No",IF(VLOOKUP(DATE($K$1,$K$2,DLU$4),Table1[],(MATCH(Calendar!$A18,DB!$1:$1,0)),FALSE)&gt;=5,"Good","Bad"),VLOOKUP(DATE($K$1,$K$2,DLU$4),Table1[],(MATCH(Calendar!$A18,DB!$1:$1,0)),FALSE)),"")</f>
        <v/>
      </c>
      <c r="DLV18" s="28" t="str">
        <f>IFERROR(IF(DME3="No",IF(VLOOKUP(DATE($K$1,$K$2,DLV$4),Table1[],(MATCH(Calendar!$A18,DB!$1:$1,0)),FALSE)&gt;=5,"Good","Bad"),VLOOKUP(DATE($K$1,$K$2,DLV$4),Table1[],(MATCH(Calendar!$A18,DB!$1:$1,0)),FALSE)),"")</f>
        <v/>
      </c>
      <c r="DLW18" s="28" t="str">
        <f>IFERROR(IF(DMF3="No",IF(VLOOKUP(DATE($K$1,$K$2,DLW$4),Table1[],(MATCH(Calendar!$A18,DB!$1:$1,0)),FALSE)&gt;=5,"Good","Bad"),VLOOKUP(DATE($K$1,$K$2,DLW$4),Table1[],(MATCH(Calendar!$A18,DB!$1:$1,0)),FALSE)),"")</f>
        <v/>
      </c>
      <c r="DLX18" s="28" t="str">
        <f>IFERROR(IF(DMG3="No",IF(VLOOKUP(DATE($K$1,$K$2,DLX$4),Table1[],(MATCH(Calendar!$A18,DB!$1:$1,0)),FALSE)&gt;=5,"Good","Bad"),VLOOKUP(DATE($K$1,$K$2,DLX$4),Table1[],(MATCH(Calendar!$A18,DB!$1:$1,0)),FALSE)),"")</f>
        <v/>
      </c>
      <c r="DLY18" s="28" t="str">
        <f>IFERROR(IF(DMH3="No",IF(VLOOKUP(DATE($K$1,$K$2,DLY$4),Table1[],(MATCH(Calendar!$A18,DB!$1:$1,0)),FALSE)&gt;=5,"Good","Bad"),VLOOKUP(DATE($K$1,$K$2,DLY$4),Table1[],(MATCH(Calendar!$A18,DB!$1:$1,0)),FALSE)),"")</f>
        <v/>
      </c>
      <c r="DLZ18" s="28" t="str">
        <f>IFERROR(IF(DMI3="No",IF(VLOOKUP(DATE($K$1,$K$2,DLZ$4),Table1[],(MATCH(Calendar!$A18,DB!$1:$1,0)),FALSE)&gt;=5,"Good","Bad"),VLOOKUP(DATE($K$1,$K$2,DLZ$4),Table1[],(MATCH(Calendar!$A18,DB!$1:$1,0)),FALSE)),"")</f>
        <v/>
      </c>
      <c r="DMA18" s="28" t="str">
        <f>IFERROR(IF(DMJ3="No",IF(VLOOKUP(DATE($K$1,$K$2,DMA$4),Table1[],(MATCH(Calendar!$A18,DB!$1:$1,0)),FALSE)&gt;=5,"Good","Bad"),VLOOKUP(DATE($K$1,$K$2,DMA$4),Table1[],(MATCH(Calendar!$A18,DB!$1:$1,0)),FALSE)),"")</f>
        <v/>
      </c>
      <c r="DMB18" s="28" t="str">
        <f>IFERROR(IF(DMK3="No",IF(VLOOKUP(DATE($K$1,$K$2,DMB$4),Table1[],(MATCH(Calendar!$A18,DB!$1:$1,0)),FALSE)&gt;=5,"Good","Bad"),VLOOKUP(DATE($K$1,$K$2,DMB$4),Table1[],(MATCH(Calendar!$A18,DB!$1:$1,0)),FALSE)),"")</f>
        <v/>
      </c>
      <c r="DMC18" s="28" t="str">
        <f>IFERROR(IF(DML3="No",IF(VLOOKUP(DATE($K$1,$K$2,DMC$4),Table1[],(MATCH(Calendar!$A18,DB!$1:$1,0)),FALSE)&gt;=5,"Good","Bad"),VLOOKUP(DATE($K$1,$K$2,DMC$4),Table1[],(MATCH(Calendar!$A18,DB!$1:$1,0)),FALSE)),"")</f>
        <v/>
      </c>
      <c r="DMD18" s="28" t="str">
        <f>IFERROR(IF(DMM3="No",IF(VLOOKUP(DATE($K$1,$K$2,DMD$4),Table1[],(MATCH(Calendar!$A18,DB!$1:$1,0)),FALSE)&gt;=5,"Good","Bad"),VLOOKUP(DATE($K$1,$K$2,DMD$4),Table1[],(MATCH(Calendar!$A18,DB!$1:$1,0)),FALSE)),"")</f>
        <v/>
      </c>
      <c r="DME18" s="28" t="str">
        <f>IFERROR(IF(DMN3="No",IF(VLOOKUP(DATE($K$1,$K$2,DME$4),Table1[],(MATCH(Calendar!$A18,DB!$1:$1,0)),FALSE)&gt;=5,"Good","Bad"),VLOOKUP(DATE($K$1,$K$2,DME$4),Table1[],(MATCH(Calendar!$A18,DB!$1:$1,0)),FALSE)),"")</f>
        <v/>
      </c>
      <c r="DMF18" s="28" t="str">
        <f>IFERROR(IF(DMO3="No",IF(VLOOKUP(DATE($K$1,$K$2,DMF$4),Table1[],(MATCH(Calendar!$A18,DB!$1:$1,0)),FALSE)&gt;=5,"Good","Bad"),VLOOKUP(DATE($K$1,$K$2,DMF$4),Table1[],(MATCH(Calendar!$A18,DB!$1:$1,0)),FALSE)),"")</f>
        <v/>
      </c>
      <c r="DMG18" s="28" t="str">
        <f>IFERROR(IF(DMP3="No",IF(VLOOKUP(DATE($K$1,$K$2,DMG$4),Table1[],(MATCH(Calendar!$A18,DB!$1:$1,0)),FALSE)&gt;=5,"Good","Bad"),VLOOKUP(DATE($K$1,$K$2,DMG$4),Table1[],(MATCH(Calendar!$A18,DB!$1:$1,0)),FALSE)),"")</f>
        <v/>
      </c>
      <c r="DMH18" s="28" t="str">
        <f>IFERROR(IF(DMQ3="No",IF(VLOOKUP(DATE($K$1,$K$2,DMH$4),Table1[],(MATCH(Calendar!$A18,DB!$1:$1,0)),FALSE)&gt;=5,"Good","Bad"),VLOOKUP(DATE($K$1,$K$2,DMH$4),Table1[],(MATCH(Calendar!$A18,DB!$1:$1,0)),FALSE)),"")</f>
        <v/>
      </c>
      <c r="DMI18" s="28" t="str">
        <f>IFERROR(IF(DMR3="No",IF(VLOOKUP(DATE($K$1,$K$2,DMI$4),Table1[],(MATCH(Calendar!$A18,DB!$1:$1,0)),FALSE)&gt;=5,"Good","Bad"),VLOOKUP(DATE($K$1,$K$2,DMI$4),Table1[],(MATCH(Calendar!$A18,DB!$1:$1,0)),FALSE)),"")</f>
        <v/>
      </c>
      <c r="DMJ18" s="28" t="str">
        <f>IFERROR(IF(DMS3="No",IF(VLOOKUP(DATE($K$1,$K$2,DMJ$4),Table1[],(MATCH(Calendar!$A18,DB!$1:$1,0)),FALSE)&gt;=5,"Good","Bad"),VLOOKUP(DATE($K$1,$K$2,DMJ$4),Table1[],(MATCH(Calendar!$A18,DB!$1:$1,0)),FALSE)),"")</f>
        <v/>
      </c>
      <c r="DMK18" s="28" t="str">
        <f>IFERROR(IF(DMT3="No",IF(VLOOKUP(DATE($K$1,$K$2,DMK$4),Table1[],(MATCH(Calendar!$A18,DB!$1:$1,0)),FALSE)&gt;=5,"Good","Bad"),VLOOKUP(DATE($K$1,$K$2,DMK$4),Table1[],(MATCH(Calendar!$A18,DB!$1:$1,0)),FALSE)),"")</f>
        <v/>
      </c>
      <c r="DML18" s="28" t="str">
        <f>IFERROR(IF(DMU3="No",IF(VLOOKUP(DATE($K$1,$K$2,DML$4),Table1[],(MATCH(Calendar!$A18,DB!$1:$1,0)),FALSE)&gt;=5,"Good","Bad"),VLOOKUP(DATE($K$1,$K$2,DML$4),Table1[],(MATCH(Calendar!$A18,DB!$1:$1,0)),FALSE)),"")</f>
        <v/>
      </c>
      <c r="DMM18" s="28" t="str">
        <f>IFERROR(IF(DMV3="No",IF(VLOOKUP(DATE($K$1,$K$2,DMM$4),Table1[],(MATCH(Calendar!$A18,DB!$1:$1,0)),FALSE)&gt;=5,"Good","Bad"),VLOOKUP(DATE($K$1,$K$2,DMM$4),Table1[],(MATCH(Calendar!$A18,DB!$1:$1,0)),FALSE)),"")</f>
        <v/>
      </c>
      <c r="DMN18" s="28" t="str">
        <f>IFERROR(IF(DMW3="No",IF(VLOOKUP(DATE($K$1,$K$2,DMN$4),Table1[],(MATCH(Calendar!$A18,DB!$1:$1,0)),FALSE)&gt;=5,"Good","Bad"),VLOOKUP(DATE($K$1,$K$2,DMN$4),Table1[],(MATCH(Calendar!$A18,DB!$1:$1,0)),FALSE)),"")</f>
        <v/>
      </c>
      <c r="DMO18" s="28" t="str">
        <f>IFERROR(IF(DMX3="No",IF(VLOOKUP(DATE($K$1,$K$2,DMO$4),Table1[],(MATCH(Calendar!$A18,DB!$1:$1,0)),FALSE)&gt;=5,"Good","Bad"),VLOOKUP(DATE($K$1,$K$2,DMO$4),Table1[],(MATCH(Calendar!$A18,DB!$1:$1,0)),FALSE)),"")</f>
        <v/>
      </c>
      <c r="DMP18" s="28" t="str">
        <f>IFERROR(IF(DMY3="No",IF(VLOOKUP(DATE($K$1,$K$2,DMP$4),Table1[],(MATCH(Calendar!$A18,DB!$1:$1,0)),FALSE)&gt;=5,"Good","Bad"),VLOOKUP(DATE($K$1,$K$2,DMP$4),Table1[],(MATCH(Calendar!$A18,DB!$1:$1,0)),FALSE)),"")</f>
        <v/>
      </c>
      <c r="DMQ18" s="28" t="str">
        <f>IFERROR(IF(DMZ3="No",IF(VLOOKUP(DATE($K$1,$K$2,DMQ$4),Table1[],(MATCH(Calendar!$A18,DB!$1:$1,0)),FALSE)&gt;=5,"Good","Bad"),VLOOKUP(DATE($K$1,$K$2,DMQ$4),Table1[],(MATCH(Calendar!$A18,DB!$1:$1,0)),FALSE)),"")</f>
        <v/>
      </c>
      <c r="DMR18" s="28" t="str">
        <f>IFERROR(IF(DNA3="No",IF(VLOOKUP(DATE($K$1,$K$2,DMR$4),Table1[],(MATCH(Calendar!$A18,DB!$1:$1,0)),FALSE)&gt;=5,"Good","Bad"),VLOOKUP(DATE($K$1,$K$2,DMR$4),Table1[],(MATCH(Calendar!$A18,DB!$1:$1,0)),FALSE)),"")</f>
        <v/>
      </c>
      <c r="DMS18" s="28" t="str">
        <f>IFERROR(IF(DNB3="No",IF(VLOOKUP(DATE($K$1,$K$2,DMS$4),Table1[],(MATCH(Calendar!$A18,DB!$1:$1,0)),FALSE)&gt;=5,"Good","Bad"),VLOOKUP(DATE($K$1,$K$2,DMS$4),Table1[],(MATCH(Calendar!$A18,DB!$1:$1,0)),FALSE)),"")</f>
        <v/>
      </c>
      <c r="DMT18" s="28" t="str">
        <f>IFERROR(IF(DNC3="No",IF(VLOOKUP(DATE($K$1,$K$2,DMT$4),Table1[],(MATCH(Calendar!$A18,DB!$1:$1,0)),FALSE)&gt;=5,"Good","Bad"),VLOOKUP(DATE($K$1,$K$2,DMT$4),Table1[],(MATCH(Calendar!$A18,DB!$1:$1,0)),FALSE)),"")</f>
        <v/>
      </c>
      <c r="DMU18" s="28" t="str">
        <f>IFERROR(IF(DND3="No",IF(VLOOKUP(DATE($K$1,$K$2,DMU$4),Table1[],(MATCH(Calendar!$A18,DB!$1:$1,0)),FALSE)&gt;=5,"Good","Bad"),VLOOKUP(DATE($K$1,$K$2,DMU$4),Table1[],(MATCH(Calendar!$A18,DB!$1:$1,0)),FALSE)),"")</f>
        <v/>
      </c>
      <c r="DMV18" s="28" t="str">
        <f>IFERROR(IF(DNE3="No",IF(VLOOKUP(DATE($K$1,$K$2,DMV$4),Table1[],(MATCH(Calendar!$A18,DB!$1:$1,0)),FALSE)&gt;=5,"Good","Bad"),VLOOKUP(DATE($K$1,$K$2,DMV$4),Table1[],(MATCH(Calendar!$A18,DB!$1:$1,0)),FALSE)),"")</f>
        <v/>
      </c>
      <c r="DMW18" s="28" t="str">
        <f>IFERROR(IF(DNF3="No",IF(VLOOKUP(DATE($K$1,$K$2,DMW$4),Table1[],(MATCH(Calendar!$A18,DB!$1:$1,0)),FALSE)&gt;=5,"Good","Bad"),VLOOKUP(DATE($K$1,$K$2,DMW$4),Table1[],(MATCH(Calendar!$A18,DB!$1:$1,0)),FALSE)),"")</f>
        <v/>
      </c>
      <c r="DMX18" s="28" t="str">
        <f>IFERROR(IF(DNG3="No",IF(VLOOKUP(DATE($K$1,$K$2,DMX$4),Table1[],(MATCH(Calendar!$A18,DB!$1:$1,0)),FALSE)&gt;=5,"Good","Bad"),VLOOKUP(DATE($K$1,$K$2,DMX$4),Table1[],(MATCH(Calendar!$A18,DB!$1:$1,0)),FALSE)),"")</f>
        <v/>
      </c>
      <c r="DMY18" s="28" t="str">
        <f>IFERROR(IF(DNH3="No",IF(VLOOKUP(DATE($K$1,$K$2,DMY$4),Table1[],(MATCH(Calendar!$A18,DB!$1:$1,0)),FALSE)&gt;=5,"Good","Bad"),VLOOKUP(DATE($K$1,$K$2,DMY$4),Table1[],(MATCH(Calendar!$A18,DB!$1:$1,0)),FALSE)),"")</f>
        <v/>
      </c>
      <c r="DMZ18" s="28" t="str">
        <f>IFERROR(IF(DNI3="No",IF(VLOOKUP(DATE($K$1,$K$2,DMZ$4),Table1[],(MATCH(Calendar!$A18,DB!$1:$1,0)),FALSE)&gt;=5,"Good","Bad"),VLOOKUP(DATE($K$1,$K$2,DMZ$4),Table1[],(MATCH(Calendar!$A18,DB!$1:$1,0)),FALSE)),"")</f>
        <v/>
      </c>
      <c r="DNA18" s="28" t="str">
        <f>IFERROR(IF(DNJ3="No",IF(VLOOKUP(DATE($K$1,$K$2,DNA$4),Table1[],(MATCH(Calendar!$A18,DB!$1:$1,0)),FALSE)&gt;=5,"Good","Bad"),VLOOKUP(DATE($K$1,$K$2,DNA$4),Table1[],(MATCH(Calendar!$A18,DB!$1:$1,0)),FALSE)),"")</f>
        <v/>
      </c>
      <c r="DNB18" s="28" t="str">
        <f>IFERROR(IF(DNK3="No",IF(VLOOKUP(DATE($K$1,$K$2,DNB$4),Table1[],(MATCH(Calendar!$A18,DB!$1:$1,0)),FALSE)&gt;=5,"Good","Bad"),VLOOKUP(DATE($K$1,$K$2,DNB$4),Table1[],(MATCH(Calendar!$A18,DB!$1:$1,0)),FALSE)),"")</f>
        <v/>
      </c>
      <c r="DNC18" s="28" t="str">
        <f>IFERROR(IF(DNL3="No",IF(VLOOKUP(DATE($K$1,$K$2,DNC$4),Table1[],(MATCH(Calendar!$A18,DB!$1:$1,0)),FALSE)&gt;=5,"Good","Bad"),VLOOKUP(DATE($K$1,$K$2,DNC$4),Table1[],(MATCH(Calendar!$A18,DB!$1:$1,0)),FALSE)),"")</f>
        <v/>
      </c>
      <c r="DND18" s="28" t="str">
        <f>IFERROR(IF(DNM3="No",IF(VLOOKUP(DATE($K$1,$K$2,DND$4),Table1[],(MATCH(Calendar!$A18,DB!$1:$1,0)),FALSE)&gt;=5,"Good","Bad"),VLOOKUP(DATE($K$1,$K$2,DND$4),Table1[],(MATCH(Calendar!$A18,DB!$1:$1,0)),FALSE)),"")</f>
        <v/>
      </c>
      <c r="DNE18" s="28" t="str">
        <f>IFERROR(IF(DNN3="No",IF(VLOOKUP(DATE($K$1,$K$2,DNE$4),Table1[],(MATCH(Calendar!$A18,DB!$1:$1,0)),FALSE)&gt;=5,"Good","Bad"),VLOOKUP(DATE($K$1,$K$2,DNE$4),Table1[],(MATCH(Calendar!$A18,DB!$1:$1,0)),FALSE)),"")</f>
        <v/>
      </c>
      <c r="DNF18" s="28" t="str">
        <f>IFERROR(IF(DNO3="No",IF(VLOOKUP(DATE($K$1,$K$2,DNF$4),Table1[],(MATCH(Calendar!$A18,DB!$1:$1,0)),FALSE)&gt;=5,"Good","Bad"),VLOOKUP(DATE($K$1,$K$2,DNF$4),Table1[],(MATCH(Calendar!$A18,DB!$1:$1,0)),FALSE)),"")</f>
        <v/>
      </c>
      <c r="DNG18" s="28" t="str">
        <f>IFERROR(IF(DNP3="No",IF(VLOOKUP(DATE($K$1,$K$2,DNG$4),Table1[],(MATCH(Calendar!$A18,DB!$1:$1,0)),FALSE)&gt;=5,"Good","Bad"),VLOOKUP(DATE($K$1,$K$2,DNG$4),Table1[],(MATCH(Calendar!$A18,DB!$1:$1,0)),FALSE)),"")</f>
        <v/>
      </c>
      <c r="DNH18" s="28" t="str">
        <f>IFERROR(IF(DNQ3="No",IF(VLOOKUP(DATE($K$1,$K$2,DNH$4),Table1[],(MATCH(Calendar!$A18,DB!$1:$1,0)),FALSE)&gt;=5,"Good","Bad"),VLOOKUP(DATE($K$1,$K$2,DNH$4),Table1[],(MATCH(Calendar!$A18,DB!$1:$1,0)),FALSE)),"")</f>
        <v/>
      </c>
      <c r="DNI18" s="28" t="str">
        <f>IFERROR(IF(DNR3="No",IF(VLOOKUP(DATE($K$1,$K$2,DNI$4),Table1[],(MATCH(Calendar!$A18,DB!$1:$1,0)),FALSE)&gt;=5,"Good","Bad"),VLOOKUP(DATE($K$1,$K$2,DNI$4),Table1[],(MATCH(Calendar!$A18,DB!$1:$1,0)),FALSE)),"")</f>
        <v/>
      </c>
      <c r="DNJ18" s="28" t="str">
        <f>IFERROR(IF(DNS3="No",IF(VLOOKUP(DATE($K$1,$K$2,DNJ$4),Table1[],(MATCH(Calendar!$A18,DB!$1:$1,0)),FALSE)&gt;=5,"Good","Bad"),VLOOKUP(DATE($K$1,$K$2,DNJ$4),Table1[],(MATCH(Calendar!$A18,DB!$1:$1,0)),FALSE)),"")</f>
        <v/>
      </c>
      <c r="DNK18" s="28" t="str">
        <f>IFERROR(IF(DNT3="No",IF(VLOOKUP(DATE($K$1,$K$2,DNK$4),Table1[],(MATCH(Calendar!$A18,DB!$1:$1,0)),FALSE)&gt;=5,"Good","Bad"),VLOOKUP(DATE($K$1,$K$2,DNK$4),Table1[],(MATCH(Calendar!$A18,DB!$1:$1,0)),FALSE)),"")</f>
        <v/>
      </c>
      <c r="DNL18" s="28" t="str">
        <f>IFERROR(IF(DNU3="No",IF(VLOOKUP(DATE($K$1,$K$2,DNL$4),Table1[],(MATCH(Calendar!$A18,DB!$1:$1,0)),FALSE)&gt;=5,"Good","Bad"),VLOOKUP(DATE($K$1,$K$2,DNL$4),Table1[],(MATCH(Calendar!$A18,DB!$1:$1,0)),FALSE)),"")</f>
        <v/>
      </c>
      <c r="DNM18" s="28" t="str">
        <f>IFERROR(IF(DNV3="No",IF(VLOOKUP(DATE($K$1,$K$2,DNM$4),Table1[],(MATCH(Calendar!$A18,DB!$1:$1,0)),FALSE)&gt;=5,"Good","Bad"),VLOOKUP(DATE($K$1,$K$2,DNM$4),Table1[],(MATCH(Calendar!$A18,DB!$1:$1,0)),FALSE)),"")</f>
        <v/>
      </c>
      <c r="DNN18" s="28" t="str">
        <f>IFERROR(IF(DNW3="No",IF(VLOOKUP(DATE($K$1,$K$2,DNN$4),Table1[],(MATCH(Calendar!$A18,DB!$1:$1,0)),FALSE)&gt;=5,"Good","Bad"),VLOOKUP(DATE($K$1,$K$2,DNN$4),Table1[],(MATCH(Calendar!$A18,DB!$1:$1,0)),FALSE)),"")</f>
        <v/>
      </c>
      <c r="DNO18" s="28" t="str">
        <f>IFERROR(IF(DNX3="No",IF(VLOOKUP(DATE($K$1,$K$2,DNO$4),Table1[],(MATCH(Calendar!$A18,DB!$1:$1,0)),FALSE)&gt;=5,"Good","Bad"),VLOOKUP(DATE($K$1,$K$2,DNO$4),Table1[],(MATCH(Calendar!$A18,DB!$1:$1,0)),FALSE)),"")</f>
        <v/>
      </c>
      <c r="DNP18" s="28" t="str">
        <f>IFERROR(IF(DNY3="No",IF(VLOOKUP(DATE($K$1,$K$2,DNP$4),Table1[],(MATCH(Calendar!$A18,DB!$1:$1,0)),FALSE)&gt;=5,"Good","Bad"),VLOOKUP(DATE($K$1,$K$2,DNP$4),Table1[],(MATCH(Calendar!$A18,DB!$1:$1,0)),FALSE)),"")</f>
        <v/>
      </c>
      <c r="DNQ18" s="28" t="str">
        <f>IFERROR(IF(DNZ3="No",IF(VLOOKUP(DATE($K$1,$K$2,DNQ$4),Table1[],(MATCH(Calendar!$A18,DB!$1:$1,0)),FALSE)&gt;=5,"Good","Bad"),VLOOKUP(DATE($K$1,$K$2,DNQ$4),Table1[],(MATCH(Calendar!$A18,DB!$1:$1,0)),FALSE)),"")</f>
        <v/>
      </c>
      <c r="DNR18" s="28" t="str">
        <f>IFERROR(IF(DOA3="No",IF(VLOOKUP(DATE($K$1,$K$2,DNR$4),Table1[],(MATCH(Calendar!$A18,DB!$1:$1,0)),FALSE)&gt;=5,"Good","Bad"),VLOOKUP(DATE($K$1,$K$2,DNR$4),Table1[],(MATCH(Calendar!$A18,DB!$1:$1,0)),FALSE)),"")</f>
        <v/>
      </c>
      <c r="DNS18" s="28" t="str">
        <f>IFERROR(IF(DOB3="No",IF(VLOOKUP(DATE($K$1,$K$2,DNS$4),Table1[],(MATCH(Calendar!$A18,DB!$1:$1,0)),FALSE)&gt;=5,"Good","Bad"),VLOOKUP(DATE($K$1,$K$2,DNS$4),Table1[],(MATCH(Calendar!$A18,DB!$1:$1,0)),FALSE)),"")</f>
        <v/>
      </c>
      <c r="DNT18" s="28" t="str">
        <f>IFERROR(IF(DOC3="No",IF(VLOOKUP(DATE($K$1,$K$2,DNT$4),Table1[],(MATCH(Calendar!$A18,DB!$1:$1,0)),FALSE)&gt;=5,"Good","Bad"),VLOOKUP(DATE($K$1,$K$2,DNT$4),Table1[],(MATCH(Calendar!$A18,DB!$1:$1,0)),FALSE)),"")</f>
        <v/>
      </c>
      <c r="DNU18" s="28" t="str">
        <f>IFERROR(IF(DOD3="No",IF(VLOOKUP(DATE($K$1,$K$2,DNU$4),Table1[],(MATCH(Calendar!$A18,DB!$1:$1,0)),FALSE)&gt;=5,"Good","Bad"),VLOOKUP(DATE($K$1,$K$2,DNU$4),Table1[],(MATCH(Calendar!$A18,DB!$1:$1,0)),FALSE)),"")</f>
        <v/>
      </c>
      <c r="DNV18" s="28" t="str">
        <f>IFERROR(IF(DOE3="No",IF(VLOOKUP(DATE($K$1,$K$2,DNV$4),Table1[],(MATCH(Calendar!$A18,DB!$1:$1,0)),FALSE)&gt;=5,"Good","Bad"),VLOOKUP(DATE($K$1,$K$2,DNV$4),Table1[],(MATCH(Calendar!$A18,DB!$1:$1,0)),FALSE)),"")</f>
        <v/>
      </c>
      <c r="DNW18" s="28" t="str">
        <f>IFERROR(IF(DOF3="No",IF(VLOOKUP(DATE($K$1,$K$2,DNW$4),Table1[],(MATCH(Calendar!$A18,DB!$1:$1,0)),FALSE)&gt;=5,"Good","Bad"),VLOOKUP(DATE($K$1,$K$2,DNW$4),Table1[],(MATCH(Calendar!$A18,DB!$1:$1,0)),FALSE)),"")</f>
        <v/>
      </c>
      <c r="DNX18" s="28" t="str">
        <f>IFERROR(IF(DOG3="No",IF(VLOOKUP(DATE($K$1,$K$2,DNX$4),Table1[],(MATCH(Calendar!$A18,DB!$1:$1,0)),FALSE)&gt;=5,"Good","Bad"),VLOOKUP(DATE($K$1,$K$2,DNX$4),Table1[],(MATCH(Calendar!$A18,DB!$1:$1,0)),FALSE)),"")</f>
        <v/>
      </c>
      <c r="DNY18" s="28" t="str">
        <f>IFERROR(IF(DOH3="No",IF(VLOOKUP(DATE($K$1,$K$2,DNY$4),Table1[],(MATCH(Calendar!$A18,DB!$1:$1,0)),FALSE)&gt;=5,"Good","Bad"),VLOOKUP(DATE($K$1,$K$2,DNY$4),Table1[],(MATCH(Calendar!$A18,DB!$1:$1,0)),FALSE)),"")</f>
        <v/>
      </c>
      <c r="DNZ18" s="28" t="str">
        <f>IFERROR(IF(DOI3="No",IF(VLOOKUP(DATE($K$1,$K$2,DNZ$4),Table1[],(MATCH(Calendar!$A18,DB!$1:$1,0)),FALSE)&gt;=5,"Good","Bad"),VLOOKUP(DATE($K$1,$K$2,DNZ$4),Table1[],(MATCH(Calendar!$A18,DB!$1:$1,0)),FALSE)),"")</f>
        <v/>
      </c>
      <c r="DOA18" s="28" t="str">
        <f>IFERROR(IF(DOJ3="No",IF(VLOOKUP(DATE($K$1,$K$2,DOA$4),Table1[],(MATCH(Calendar!$A18,DB!$1:$1,0)),FALSE)&gt;=5,"Good","Bad"),VLOOKUP(DATE($K$1,$K$2,DOA$4),Table1[],(MATCH(Calendar!$A18,DB!$1:$1,0)),FALSE)),"")</f>
        <v/>
      </c>
      <c r="DOB18" s="28" t="str">
        <f>IFERROR(IF(DOK3="No",IF(VLOOKUP(DATE($K$1,$K$2,DOB$4),Table1[],(MATCH(Calendar!$A18,DB!$1:$1,0)),FALSE)&gt;=5,"Good","Bad"),VLOOKUP(DATE($K$1,$K$2,DOB$4),Table1[],(MATCH(Calendar!$A18,DB!$1:$1,0)),FALSE)),"")</f>
        <v/>
      </c>
      <c r="DOC18" s="28" t="str">
        <f>IFERROR(IF(DOL3="No",IF(VLOOKUP(DATE($K$1,$K$2,DOC$4),Table1[],(MATCH(Calendar!$A18,DB!$1:$1,0)),FALSE)&gt;=5,"Good","Bad"),VLOOKUP(DATE($K$1,$K$2,DOC$4),Table1[],(MATCH(Calendar!$A18,DB!$1:$1,0)),FALSE)),"")</f>
        <v/>
      </c>
      <c r="DOD18" s="28" t="str">
        <f>IFERROR(IF(DOM3="No",IF(VLOOKUP(DATE($K$1,$K$2,DOD$4),Table1[],(MATCH(Calendar!$A18,DB!$1:$1,0)),FALSE)&gt;=5,"Good","Bad"),VLOOKUP(DATE($K$1,$K$2,DOD$4),Table1[],(MATCH(Calendar!$A18,DB!$1:$1,0)),FALSE)),"")</f>
        <v/>
      </c>
      <c r="DOE18" s="28" t="str">
        <f>IFERROR(IF(DON3="No",IF(VLOOKUP(DATE($K$1,$K$2,DOE$4),Table1[],(MATCH(Calendar!$A18,DB!$1:$1,0)),FALSE)&gt;=5,"Good","Bad"),VLOOKUP(DATE($K$1,$K$2,DOE$4),Table1[],(MATCH(Calendar!$A18,DB!$1:$1,0)),FALSE)),"")</f>
        <v/>
      </c>
      <c r="DOF18" s="28" t="str">
        <f>IFERROR(IF(DOO3="No",IF(VLOOKUP(DATE($K$1,$K$2,DOF$4),Table1[],(MATCH(Calendar!$A18,DB!$1:$1,0)),FALSE)&gt;=5,"Good","Bad"),VLOOKUP(DATE($K$1,$K$2,DOF$4),Table1[],(MATCH(Calendar!$A18,DB!$1:$1,0)),FALSE)),"")</f>
        <v/>
      </c>
      <c r="DOG18" s="28" t="str">
        <f>IFERROR(IF(DOP3="No",IF(VLOOKUP(DATE($K$1,$K$2,DOG$4),Table1[],(MATCH(Calendar!$A18,DB!$1:$1,0)),FALSE)&gt;=5,"Good","Bad"),VLOOKUP(DATE($K$1,$K$2,DOG$4),Table1[],(MATCH(Calendar!$A18,DB!$1:$1,0)),FALSE)),"")</f>
        <v/>
      </c>
      <c r="DOH18" s="28" t="str">
        <f>IFERROR(IF(DOQ3="No",IF(VLOOKUP(DATE($K$1,$K$2,DOH$4),Table1[],(MATCH(Calendar!$A18,DB!$1:$1,0)),FALSE)&gt;=5,"Good","Bad"),VLOOKUP(DATE($K$1,$K$2,DOH$4),Table1[],(MATCH(Calendar!$A18,DB!$1:$1,0)),FALSE)),"")</f>
        <v/>
      </c>
      <c r="DOI18" s="28" t="str">
        <f>IFERROR(IF(DOR3="No",IF(VLOOKUP(DATE($K$1,$K$2,DOI$4),Table1[],(MATCH(Calendar!$A18,DB!$1:$1,0)),FALSE)&gt;=5,"Good","Bad"),VLOOKUP(DATE($K$1,$K$2,DOI$4),Table1[],(MATCH(Calendar!$A18,DB!$1:$1,0)),FALSE)),"")</f>
        <v/>
      </c>
      <c r="DOJ18" s="28" t="str">
        <f>IFERROR(IF(DOS3="No",IF(VLOOKUP(DATE($K$1,$K$2,DOJ$4),Table1[],(MATCH(Calendar!$A18,DB!$1:$1,0)),FALSE)&gt;=5,"Good","Bad"),VLOOKUP(DATE($K$1,$K$2,DOJ$4),Table1[],(MATCH(Calendar!$A18,DB!$1:$1,0)),FALSE)),"")</f>
        <v/>
      </c>
      <c r="DOK18" s="28" t="str">
        <f>IFERROR(IF(DOT3="No",IF(VLOOKUP(DATE($K$1,$K$2,DOK$4),Table1[],(MATCH(Calendar!$A18,DB!$1:$1,0)),FALSE)&gt;=5,"Good","Bad"),VLOOKUP(DATE($K$1,$K$2,DOK$4),Table1[],(MATCH(Calendar!$A18,DB!$1:$1,0)),FALSE)),"")</f>
        <v/>
      </c>
      <c r="DOL18" s="28" t="str">
        <f>IFERROR(IF(DOU3="No",IF(VLOOKUP(DATE($K$1,$K$2,DOL$4),Table1[],(MATCH(Calendar!$A18,DB!$1:$1,0)),FALSE)&gt;=5,"Good","Bad"),VLOOKUP(DATE($K$1,$K$2,DOL$4),Table1[],(MATCH(Calendar!$A18,DB!$1:$1,0)),FALSE)),"")</f>
        <v/>
      </c>
      <c r="DOM18" s="28" t="str">
        <f>IFERROR(IF(DOV3="No",IF(VLOOKUP(DATE($K$1,$K$2,DOM$4),Table1[],(MATCH(Calendar!$A18,DB!$1:$1,0)),FALSE)&gt;=5,"Good","Bad"),VLOOKUP(DATE($K$1,$K$2,DOM$4),Table1[],(MATCH(Calendar!$A18,DB!$1:$1,0)),FALSE)),"")</f>
        <v/>
      </c>
      <c r="DON18" s="28" t="str">
        <f>IFERROR(IF(DOW3="No",IF(VLOOKUP(DATE($K$1,$K$2,DON$4),Table1[],(MATCH(Calendar!$A18,DB!$1:$1,0)),FALSE)&gt;=5,"Good","Bad"),VLOOKUP(DATE($K$1,$K$2,DON$4),Table1[],(MATCH(Calendar!$A18,DB!$1:$1,0)),FALSE)),"")</f>
        <v/>
      </c>
      <c r="DOO18" s="28" t="str">
        <f>IFERROR(IF(DOX3="No",IF(VLOOKUP(DATE($K$1,$K$2,DOO$4),Table1[],(MATCH(Calendar!$A18,DB!$1:$1,0)),FALSE)&gt;=5,"Good","Bad"),VLOOKUP(DATE($K$1,$K$2,DOO$4),Table1[],(MATCH(Calendar!$A18,DB!$1:$1,0)),FALSE)),"")</f>
        <v/>
      </c>
      <c r="DOP18" s="28" t="str">
        <f>IFERROR(IF(DOY3="No",IF(VLOOKUP(DATE($K$1,$K$2,DOP$4),Table1[],(MATCH(Calendar!$A18,DB!$1:$1,0)),FALSE)&gt;=5,"Good","Bad"),VLOOKUP(DATE($K$1,$K$2,DOP$4),Table1[],(MATCH(Calendar!$A18,DB!$1:$1,0)),FALSE)),"")</f>
        <v/>
      </c>
      <c r="DOQ18" s="28" t="str">
        <f>IFERROR(IF(DOZ3="No",IF(VLOOKUP(DATE($K$1,$K$2,DOQ$4),Table1[],(MATCH(Calendar!$A18,DB!$1:$1,0)),FALSE)&gt;=5,"Good","Bad"),VLOOKUP(DATE($K$1,$K$2,DOQ$4),Table1[],(MATCH(Calendar!$A18,DB!$1:$1,0)),FALSE)),"")</f>
        <v/>
      </c>
      <c r="DOR18" s="28" t="str">
        <f>IFERROR(IF(DPA3="No",IF(VLOOKUP(DATE($K$1,$K$2,DOR$4),Table1[],(MATCH(Calendar!$A18,DB!$1:$1,0)),FALSE)&gt;=5,"Good","Bad"),VLOOKUP(DATE($K$1,$K$2,DOR$4),Table1[],(MATCH(Calendar!$A18,DB!$1:$1,0)),FALSE)),"")</f>
        <v/>
      </c>
      <c r="DOS18" s="28" t="str">
        <f>IFERROR(IF(DPB3="No",IF(VLOOKUP(DATE($K$1,$K$2,DOS$4),Table1[],(MATCH(Calendar!$A18,DB!$1:$1,0)),FALSE)&gt;=5,"Good","Bad"),VLOOKUP(DATE($K$1,$K$2,DOS$4),Table1[],(MATCH(Calendar!$A18,DB!$1:$1,0)),FALSE)),"")</f>
        <v/>
      </c>
      <c r="DOT18" s="28" t="str">
        <f>IFERROR(IF(DPC3="No",IF(VLOOKUP(DATE($K$1,$K$2,DOT$4),Table1[],(MATCH(Calendar!$A18,DB!$1:$1,0)),FALSE)&gt;=5,"Good","Bad"),VLOOKUP(DATE($K$1,$K$2,DOT$4),Table1[],(MATCH(Calendar!$A18,DB!$1:$1,0)),FALSE)),"")</f>
        <v/>
      </c>
      <c r="DOU18" s="28" t="str">
        <f>IFERROR(IF(DPD3="No",IF(VLOOKUP(DATE($K$1,$K$2,DOU$4),Table1[],(MATCH(Calendar!$A18,DB!$1:$1,0)),FALSE)&gt;=5,"Good","Bad"),VLOOKUP(DATE($K$1,$K$2,DOU$4),Table1[],(MATCH(Calendar!$A18,DB!$1:$1,0)),FALSE)),"")</f>
        <v/>
      </c>
      <c r="DOV18" s="28" t="str">
        <f>IFERROR(IF(DPE3="No",IF(VLOOKUP(DATE($K$1,$K$2,DOV$4),Table1[],(MATCH(Calendar!$A18,DB!$1:$1,0)),FALSE)&gt;=5,"Good","Bad"),VLOOKUP(DATE($K$1,$K$2,DOV$4),Table1[],(MATCH(Calendar!$A18,DB!$1:$1,0)),FALSE)),"")</f>
        <v/>
      </c>
      <c r="DOW18" s="28" t="str">
        <f>IFERROR(IF(DPF3="No",IF(VLOOKUP(DATE($K$1,$K$2,DOW$4),Table1[],(MATCH(Calendar!$A18,DB!$1:$1,0)),FALSE)&gt;=5,"Good","Bad"),VLOOKUP(DATE($K$1,$K$2,DOW$4),Table1[],(MATCH(Calendar!$A18,DB!$1:$1,0)),FALSE)),"")</f>
        <v/>
      </c>
      <c r="DOX18" s="28" t="str">
        <f>IFERROR(IF(DPG3="No",IF(VLOOKUP(DATE($K$1,$K$2,DOX$4),Table1[],(MATCH(Calendar!$A18,DB!$1:$1,0)),FALSE)&gt;=5,"Good","Bad"),VLOOKUP(DATE($K$1,$K$2,DOX$4),Table1[],(MATCH(Calendar!$A18,DB!$1:$1,0)),FALSE)),"")</f>
        <v/>
      </c>
      <c r="DOY18" s="28" t="str">
        <f>IFERROR(IF(DPH3="No",IF(VLOOKUP(DATE($K$1,$K$2,DOY$4),Table1[],(MATCH(Calendar!$A18,DB!$1:$1,0)),FALSE)&gt;=5,"Good","Bad"),VLOOKUP(DATE($K$1,$K$2,DOY$4),Table1[],(MATCH(Calendar!$A18,DB!$1:$1,0)),FALSE)),"")</f>
        <v/>
      </c>
      <c r="DOZ18" s="28" t="str">
        <f>IFERROR(IF(DPI3="No",IF(VLOOKUP(DATE($K$1,$K$2,DOZ$4),Table1[],(MATCH(Calendar!$A18,DB!$1:$1,0)),FALSE)&gt;=5,"Good","Bad"),VLOOKUP(DATE($K$1,$K$2,DOZ$4),Table1[],(MATCH(Calendar!$A18,DB!$1:$1,0)),FALSE)),"")</f>
        <v/>
      </c>
      <c r="DPA18" s="28" t="str">
        <f>IFERROR(IF(DPJ3="No",IF(VLOOKUP(DATE($K$1,$K$2,DPA$4),Table1[],(MATCH(Calendar!$A18,DB!$1:$1,0)),FALSE)&gt;=5,"Good","Bad"),VLOOKUP(DATE($K$1,$K$2,DPA$4),Table1[],(MATCH(Calendar!$A18,DB!$1:$1,0)),FALSE)),"")</f>
        <v/>
      </c>
      <c r="DPB18" s="28" t="str">
        <f>IFERROR(IF(DPK3="No",IF(VLOOKUP(DATE($K$1,$K$2,DPB$4),Table1[],(MATCH(Calendar!$A18,DB!$1:$1,0)),FALSE)&gt;=5,"Good","Bad"),VLOOKUP(DATE($K$1,$K$2,DPB$4),Table1[],(MATCH(Calendar!$A18,DB!$1:$1,0)),FALSE)),"")</f>
        <v/>
      </c>
      <c r="DPC18" s="28" t="str">
        <f>IFERROR(IF(DPL3="No",IF(VLOOKUP(DATE($K$1,$K$2,DPC$4),Table1[],(MATCH(Calendar!$A18,DB!$1:$1,0)),FALSE)&gt;=5,"Good","Bad"),VLOOKUP(DATE($K$1,$K$2,DPC$4),Table1[],(MATCH(Calendar!$A18,DB!$1:$1,0)),FALSE)),"")</f>
        <v/>
      </c>
      <c r="DPD18" s="28" t="str">
        <f>IFERROR(IF(DPM3="No",IF(VLOOKUP(DATE($K$1,$K$2,DPD$4),Table1[],(MATCH(Calendar!$A18,DB!$1:$1,0)),FALSE)&gt;=5,"Good","Bad"),VLOOKUP(DATE($K$1,$K$2,DPD$4),Table1[],(MATCH(Calendar!$A18,DB!$1:$1,0)),FALSE)),"")</f>
        <v/>
      </c>
      <c r="DPE18" s="28" t="str">
        <f>IFERROR(IF(DPN3="No",IF(VLOOKUP(DATE($K$1,$K$2,DPE$4),Table1[],(MATCH(Calendar!$A18,DB!$1:$1,0)),FALSE)&gt;=5,"Good","Bad"),VLOOKUP(DATE($K$1,$K$2,DPE$4),Table1[],(MATCH(Calendar!$A18,DB!$1:$1,0)),FALSE)),"")</f>
        <v/>
      </c>
      <c r="DPF18" s="28" t="str">
        <f>IFERROR(IF(DPO3="No",IF(VLOOKUP(DATE($K$1,$K$2,DPF$4),Table1[],(MATCH(Calendar!$A18,DB!$1:$1,0)),FALSE)&gt;=5,"Good","Bad"),VLOOKUP(DATE($K$1,$K$2,DPF$4),Table1[],(MATCH(Calendar!$A18,DB!$1:$1,0)),FALSE)),"")</f>
        <v/>
      </c>
      <c r="DPG18" s="28" t="str">
        <f>IFERROR(IF(DPP3="No",IF(VLOOKUP(DATE($K$1,$K$2,DPG$4),Table1[],(MATCH(Calendar!$A18,DB!$1:$1,0)),FALSE)&gt;=5,"Good","Bad"),VLOOKUP(DATE($K$1,$K$2,DPG$4),Table1[],(MATCH(Calendar!$A18,DB!$1:$1,0)),FALSE)),"")</f>
        <v/>
      </c>
      <c r="DPH18" s="28" t="str">
        <f>IFERROR(IF(DPQ3="No",IF(VLOOKUP(DATE($K$1,$K$2,DPH$4),Table1[],(MATCH(Calendar!$A18,DB!$1:$1,0)),FALSE)&gt;=5,"Good","Bad"),VLOOKUP(DATE($K$1,$K$2,DPH$4),Table1[],(MATCH(Calendar!$A18,DB!$1:$1,0)),FALSE)),"")</f>
        <v/>
      </c>
      <c r="DPI18" s="28" t="str">
        <f>IFERROR(IF(DPR3="No",IF(VLOOKUP(DATE($K$1,$K$2,DPI$4),Table1[],(MATCH(Calendar!$A18,DB!$1:$1,0)),FALSE)&gt;=5,"Good","Bad"),VLOOKUP(DATE($K$1,$K$2,DPI$4),Table1[],(MATCH(Calendar!$A18,DB!$1:$1,0)),FALSE)),"")</f>
        <v/>
      </c>
      <c r="DPJ18" s="28" t="str">
        <f>IFERROR(IF(DPS3="No",IF(VLOOKUP(DATE($K$1,$K$2,DPJ$4),Table1[],(MATCH(Calendar!$A18,DB!$1:$1,0)),FALSE)&gt;=5,"Good","Bad"),VLOOKUP(DATE($K$1,$K$2,DPJ$4),Table1[],(MATCH(Calendar!$A18,DB!$1:$1,0)),FALSE)),"")</f>
        <v/>
      </c>
      <c r="DPK18" s="28" t="str">
        <f>IFERROR(IF(DPT3="No",IF(VLOOKUP(DATE($K$1,$K$2,DPK$4),Table1[],(MATCH(Calendar!$A18,DB!$1:$1,0)),FALSE)&gt;=5,"Good","Bad"),VLOOKUP(DATE($K$1,$K$2,DPK$4),Table1[],(MATCH(Calendar!$A18,DB!$1:$1,0)),FALSE)),"")</f>
        <v/>
      </c>
      <c r="DPL18" s="28" t="str">
        <f>IFERROR(IF(DPU3="No",IF(VLOOKUP(DATE($K$1,$K$2,DPL$4),Table1[],(MATCH(Calendar!$A18,DB!$1:$1,0)),FALSE)&gt;=5,"Good","Bad"),VLOOKUP(DATE($K$1,$K$2,DPL$4),Table1[],(MATCH(Calendar!$A18,DB!$1:$1,0)),FALSE)),"")</f>
        <v/>
      </c>
      <c r="DPM18" s="28" t="str">
        <f>IFERROR(IF(DPV3="No",IF(VLOOKUP(DATE($K$1,$K$2,DPM$4),Table1[],(MATCH(Calendar!$A18,DB!$1:$1,0)),FALSE)&gt;=5,"Good","Bad"),VLOOKUP(DATE($K$1,$K$2,DPM$4),Table1[],(MATCH(Calendar!$A18,DB!$1:$1,0)),FALSE)),"")</f>
        <v/>
      </c>
      <c r="DPN18" s="28" t="str">
        <f>IFERROR(IF(DPW3="No",IF(VLOOKUP(DATE($K$1,$K$2,DPN$4),Table1[],(MATCH(Calendar!$A18,DB!$1:$1,0)),FALSE)&gt;=5,"Good","Bad"),VLOOKUP(DATE($K$1,$K$2,DPN$4),Table1[],(MATCH(Calendar!$A18,DB!$1:$1,0)),FALSE)),"")</f>
        <v/>
      </c>
      <c r="DPO18" s="28" t="str">
        <f>IFERROR(IF(DPX3="No",IF(VLOOKUP(DATE($K$1,$K$2,DPO$4),Table1[],(MATCH(Calendar!$A18,DB!$1:$1,0)),FALSE)&gt;=5,"Good","Bad"),VLOOKUP(DATE($K$1,$K$2,DPO$4),Table1[],(MATCH(Calendar!$A18,DB!$1:$1,0)),FALSE)),"")</f>
        <v/>
      </c>
      <c r="DPP18" s="28" t="str">
        <f>IFERROR(IF(DPY3="No",IF(VLOOKUP(DATE($K$1,$K$2,DPP$4),Table1[],(MATCH(Calendar!$A18,DB!$1:$1,0)),FALSE)&gt;=5,"Good","Bad"),VLOOKUP(DATE($K$1,$K$2,DPP$4),Table1[],(MATCH(Calendar!$A18,DB!$1:$1,0)),FALSE)),"")</f>
        <v/>
      </c>
      <c r="DPQ18" s="28" t="str">
        <f>IFERROR(IF(DPZ3="No",IF(VLOOKUP(DATE($K$1,$K$2,DPQ$4),Table1[],(MATCH(Calendar!$A18,DB!$1:$1,0)),FALSE)&gt;=5,"Good","Bad"),VLOOKUP(DATE($K$1,$K$2,DPQ$4),Table1[],(MATCH(Calendar!$A18,DB!$1:$1,0)),FALSE)),"")</f>
        <v/>
      </c>
      <c r="DPR18" s="28" t="str">
        <f>IFERROR(IF(DQA3="No",IF(VLOOKUP(DATE($K$1,$K$2,DPR$4),Table1[],(MATCH(Calendar!$A18,DB!$1:$1,0)),FALSE)&gt;=5,"Good","Bad"),VLOOKUP(DATE($K$1,$K$2,DPR$4),Table1[],(MATCH(Calendar!$A18,DB!$1:$1,0)),FALSE)),"")</f>
        <v/>
      </c>
      <c r="DPS18" s="28" t="str">
        <f>IFERROR(IF(DQB3="No",IF(VLOOKUP(DATE($K$1,$K$2,DPS$4),Table1[],(MATCH(Calendar!$A18,DB!$1:$1,0)),FALSE)&gt;=5,"Good","Bad"),VLOOKUP(DATE($K$1,$K$2,DPS$4),Table1[],(MATCH(Calendar!$A18,DB!$1:$1,0)),FALSE)),"")</f>
        <v/>
      </c>
      <c r="DPT18" s="28" t="str">
        <f>IFERROR(IF(DQC3="No",IF(VLOOKUP(DATE($K$1,$K$2,DPT$4),Table1[],(MATCH(Calendar!$A18,DB!$1:$1,0)),FALSE)&gt;=5,"Good","Bad"),VLOOKUP(DATE($K$1,$K$2,DPT$4),Table1[],(MATCH(Calendar!$A18,DB!$1:$1,0)),FALSE)),"")</f>
        <v/>
      </c>
      <c r="DPU18" s="28" t="str">
        <f>IFERROR(IF(DQD3="No",IF(VLOOKUP(DATE($K$1,$K$2,DPU$4),Table1[],(MATCH(Calendar!$A18,DB!$1:$1,0)),FALSE)&gt;=5,"Good","Bad"),VLOOKUP(DATE($K$1,$K$2,DPU$4),Table1[],(MATCH(Calendar!$A18,DB!$1:$1,0)),FALSE)),"")</f>
        <v/>
      </c>
      <c r="DPV18" s="28" t="str">
        <f>IFERROR(IF(DQE3="No",IF(VLOOKUP(DATE($K$1,$K$2,DPV$4),Table1[],(MATCH(Calendar!$A18,DB!$1:$1,0)),FALSE)&gt;=5,"Good","Bad"),VLOOKUP(DATE($K$1,$K$2,DPV$4),Table1[],(MATCH(Calendar!$A18,DB!$1:$1,0)),FALSE)),"")</f>
        <v/>
      </c>
      <c r="DPW18" s="28" t="str">
        <f>IFERROR(IF(DQF3="No",IF(VLOOKUP(DATE($K$1,$K$2,DPW$4),Table1[],(MATCH(Calendar!$A18,DB!$1:$1,0)),FALSE)&gt;=5,"Good","Bad"),VLOOKUP(DATE($K$1,$K$2,DPW$4),Table1[],(MATCH(Calendar!$A18,DB!$1:$1,0)),FALSE)),"")</f>
        <v/>
      </c>
      <c r="DPX18" s="28" t="str">
        <f>IFERROR(IF(DQG3="No",IF(VLOOKUP(DATE($K$1,$K$2,DPX$4),Table1[],(MATCH(Calendar!$A18,DB!$1:$1,0)),FALSE)&gt;=5,"Good","Bad"),VLOOKUP(DATE($K$1,$K$2,DPX$4),Table1[],(MATCH(Calendar!$A18,DB!$1:$1,0)),FALSE)),"")</f>
        <v/>
      </c>
      <c r="DPY18" s="28" t="str">
        <f>IFERROR(IF(DQH3="No",IF(VLOOKUP(DATE($K$1,$K$2,DPY$4),Table1[],(MATCH(Calendar!$A18,DB!$1:$1,0)),FALSE)&gt;=5,"Good","Bad"),VLOOKUP(DATE($K$1,$K$2,DPY$4),Table1[],(MATCH(Calendar!$A18,DB!$1:$1,0)),FALSE)),"")</f>
        <v/>
      </c>
      <c r="DPZ18" s="28" t="str">
        <f>IFERROR(IF(DQI3="No",IF(VLOOKUP(DATE($K$1,$K$2,DPZ$4),Table1[],(MATCH(Calendar!$A18,DB!$1:$1,0)),FALSE)&gt;=5,"Good","Bad"),VLOOKUP(DATE($K$1,$K$2,DPZ$4),Table1[],(MATCH(Calendar!$A18,DB!$1:$1,0)),FALSE)),"")</f>
        <v/>
      </c>
      <c r="DQA18" s="28" t="str">
        <f>IFERROR(IF(DQJ3="No",IF(VLOOKUP(DATE($K$1,$K$2,DQA$4),Table1[],(MATCH(Calendar!$A18,DB!$1:$1,0)),FALSE)&gt;=5,"Good","Bad"),VLOOKUP(DATE($K$1,$K$2,DQA$4),Table1[],(MATCH(Calendar!$A18,DB!$1:$1,0)),FALSE)),"")</f>
        <v/>
      </c>
      <c r="DQB18" s="28" t="str">
        <f>IFERROR(IF(DQK3="No",IF(VLOOKUP(DATE($K$1,$K$2,DQB$4),Table1[],(MATCH(Calendar!$A18,DB!$1:$1,0)),FALSE)&gt;=5,"Good","Bad"),VLOOKUP(DATE($K$1,$K$2,DQB$4),Table1[],(MATCH(Calendar!$A18,DB!$1:$1,0)),FALSE)),"")</f>
        <v/>
      </c>
      <c r="DQC18" s="28" t="str">
        <f>IFERROR(IF(DQL3="No",IF(VLOOKUP(DATE($K$1,$K$2,DQC$4),Table1[],(MATCH(Calendar!$A18,DB!$1:$1,0)),FALSE)&gt;=5,"Good","Bad"),VLOOKUP(DATE($K$1,$K$2,DQC$4),Table1[],(MATCH(Calendar!$A18,DB!$1:$1,0)),FALSE)),"")</f>
        <v/>
      </c>
      <c r="DQD18" s="28" t="str">
        <f>IFERROR(IF(DQM3="No",IF(VLOOKUP(DATE($K$1,$K$2,DQD$4),Table1[],(MATCH(Calendar!$A18,DB!$1:$1,0)),FALSE)&gt;=5,"Good","Bad"),VLOOKUP(DATE($K$1,$K$2,DQD$4),Table1[],(MATCH(Calendar!$A18,DB!$1:$1,0)),FALSE)),"")</f>
        <v/>
      </c>
      <c r="DQE18" s="28" t="str">
        <f>IFERROR(IF(DQN3="No",IF(VLOOKUP(DATE($K$1,$K$2,DQE$4),Table1[],(MATCH(Calendar!$A18,DB!$1:$1,0)),FALSE)&gt;=5,"Good","Bad"),VLOOKUP(DATE($K$1,$K$2,DQE$4),Table1[],(MATCH(Calendar!$A18,DB!$1:$1,0)),FALSE)),"")</f>
        <v/>
      </c>
      <c r="DQF18" s="28" t="str">
        <f>IFERROR(IF(DQO3="No",IF(VLOOKUP(DATE($K$1,$K$2,DQF$4),Table1[],(MATCH(Calendar!$A18,DB!$1:$1,0)),FALSE)&gt;=5,"Good","Bad"),VLOOKUP(DATE($K$1,$K$2,DQF$4),Table1[],(MATCH(Calendar!$A18,DB!$1:$1,0)),FALSE)),"")</f>
        <v/>
      </c>
      <c r="DQG18" s="28" t="str">
        <f>IFERROR(IF(DQP3="No",IF(VLOOKUP(DATE($K$1,$K$2,DQG$4),Table1[],(MATCH(Calendar!$A18,DB!$1:$1,0)),FALSE)&gt;=5,"Good","Bad"),VLOOKUP(DATE($K$1,$K$2,DQG$4),Table1[],(MATCH(Calendar!$A18,DB!$1:$1,0)),FALSE)),"")</f>
        <v/>
      </c>
      <c r="DQH18" s="28" t="str">
        <f>IFERROR(IF(DQQ3="No",IF(VLOOKUP(DATE($K$1,$K$2,DQH$4),Table1[],(MATCH(Calendar!$A18,DB!$1:$1,0)),FALSE)&gt;=5,"Good","Bad"),VLOOKUP(DATE($K$1,$K$2,DQH$4),Table1[],(MATCH(Calendar!$A18,DB!$1:$1,0)),FALSE)),"")</f>
        <v/>
      </c>
      <c r="DQI18" s="28" t="str">
        <f>IFERROR(IF(DQR3="No",IF(VLOOKUP(DATE($K$1,$K$2,DQI$4),Table1[],(MATCH(Calendar!$A18,DB!$1:$1,0)),FALSE)&gt;=5,"Good","Bad"),VLOOKUP(DATE($K$1,$K$2,DQI$4),Table1[],(MATCH(Calendar!$A18,DB!$1:$1,0)),FALSE)),"")</f>
        <v/>
      </c>
      <c r="DQJ18" s="28" t="str">
        <f>IFERROR(IF(DQS3="No",IF(VLOOKUP(DATE($K$1,$K$2,DQJ$4),Table1[],(MATCH(Calendar!$A18,DB!$1:$1,0)),FALSE)&gt;=5,"Good","Bad"),VLOOKUP(DATE($K$1,$K$2,DQJ$4),Table1[],(MATCH(Calendar!$A18,DB!$1:$1,0)),FALSE)),"")</f>
        <v/>
      </c>
      <c r="DQK18" s="28" t="str">
        <f>IFERROR(IF(DQT3="No",IF(VLOOKUP(DATE($K$1,$K$2,DQK$4),Table1[],(MATCH(Calendar!$A18,DB!$1:$1,0)),FALSE)&gt;=5,"Good","Bad"),VLOOKUP(DATE($K$1,$K$2,DQK$4),Table1[],(MATCH(Calendar!$A18,DB!$1:$1,0)),FALSE)),"")</f>
        <v/>
      </c>
      <c r="DQL18" s="28" t="str">
        <f>IFERROR(IF(DQU3="No",IF(VLOOKUP(DATE($K$1,$K$2,DQL$4),Table1[],(MATCH(Calendar!$A18,DB!$1:$1,0)),FALSE)&gt;=5,"Good","Bad"),VLOOKUP(DATE($K$1,$K$2,DQL$4),Table1[],(MATCH(Calendar!$A18,DB!$1:$1,0)),FALSE)),"")</f>
        <v/>
      </c>
      <c r="DQM18" s="28" t="str">
        <f>IFERROR(IF(DQV3="No",IF(VLOOKUP(DATE($K$1,$K$2,DQM$4),Table1[],(MATCH(Calendar!$A18,DB!$1:$1,0)),FALSE)&gt;=5,"Good","Bad"),VLOOKUP(DATE($K$1,$K$2,DQM$4),Table1[],(MATCH(Calendar!$A18,DB!$1:$1,0)),FALSE)),"")</f>
        <v/>
      </c>
      <c r="DQN18" s="28" t="str">
        <f>IFERROR(IF(DQW3="No",IF(VLOOKUP(DATE($K$1,$K$2,DQN$4),Table1[],(MATCH(Calendar!$A18,DB!$1:$1,0)),FALSE)&gt;=5,"Good","Bad"),VLOOKUP(DATE($K$1,$K$2,DQN$4),Table1[],(MATCH(Calendar!$A18,DB!$1:$1,0)),FALSE)),"")</f>
        <v/>
      </c>
      <c r="DQO18" s="28" t="str">
        <f>IFERROR(IF(DQX3="No",IF(VLOOKUP(DATE($K$1,$K$2,DQO$4),Table1[],(MATCH(Calendar!$A18,DB!$1:$1,0)),FALSE)&gt;=5,"Good","Bad"),VLOOKUP(DATE($K$1,$K$2,DQO$4),Table1[],(MATCH(Calendar!$A18,DB!$1:$1,0)),FALSE)),"")</f>
        <v/>
      </c>
      <c r="DQP18" s="28" t="str">
        <f>IFERROR(IF(DQY3="No",IF(VLOOKUP(DATE($K$1,$K$2,DQP$4),Table1[],(MATCH(Calendar!$A18,DB!$1:$1,0)),FALSE)&gt;=5,"Good","Bad"),VLOOKUP(DATE($K$1,$K$2,DQP$4),Table1[],(MATCH(Calendar!$A18,DB!$1:$1,0)),FALSE)),"")</f>
        <v/>
      </c>
      <c r="DQQ18" s="28" t="str">
        <f>IFERROR(IF(DQZ3="No",IF(VLOOKUP(DATE($K$1,$K$2,DQQ$4),Table1[],(MATCH(Calendar!$A18,DB!$1:$1,0)),FALSE)&gt;=5,"Good","Bad"),VLOOKUP(DATE($K$1,$K$2,DQQ$4),Table1[],(MATCH(Calendar!$A18,DB!$1:$1,0)),FALSE)),"")</f>
        <v/>
      </c>
      <c r="DQR18" s="28" t="str">
        <f>IFERROR(IF(DRA3="No",IF(VLOOKUP(DATE($K$1,$K$2,DQR$4),Table1[],(MATCH(Calendar!$A18,DB!$1:$1,0)),FALSE)&gt;=5,"Good","Bad"),VLOOKUP(DATE($K$1,$K$2,DQR$4),Table1[],(MATCH(Calendar!$A18,DB!$1:$1,0)),FALSE)),"")</f>
        <v/>
      </c>
      <c r="DQS18" s="28" t="str">
        <f>IFERROR(IF(DRB3="No",IF(VLOOKUP(DATE($K$1,$K$2,DQS$4),Table1[],(MATCH(Calendar!$A18,DB!$1:$1,0)),FALSE)&gt;=5,"Good","Bad"),VLOOKUP(DATE($K$1,$K$2,DQS$4),Table1[],(MATCH(Calendar!$A18,DB!$1:$1,0)),FALSE)),"")</f>
        <v/>
      </c>
      <c r="DQT18" s="28" t="str">
        <f>IFERROR(IF(DRC3="No",IF(VLOOKUP(DATE($K$1,$K$2,DQT$4),Table1[],(MATCH(Calendar!$A18,DB!$1:$1,0)),FALSE)&gt;=5,"Good","Bad"),VLOOKUP(DATE($K$1,$K$2,DQT$4),Table1[],(MATCH(Calendar!$A18,DB!$1:$1,0)),FALSE)),"")</f>
        <v/>
      </c>
      <c r="DQU18" s="28" t="str">
        <f>IFERROR(IF(DRD3="No",IF(VLOOKUP(DATE($K$1,$K$2,DQU$4),Table1[],(MATCH(Calendar!$A18,DB!$1:$1,0)),FALSE)&gt;=5,"Good","Bad"),VLOOKUP(DATE($K$1,$K$2,DQU$4),Table1[],(MATCH(Calendar!$A18,DB!$1:$1,0)),FALSE)),"")</f>
        <v/>
      </c>
      <c r="DQV18" s="28" t="str">
        <f>IFERROR(IF(DRE3="No",IF(VLOOKUP(DATE($K$1,$K$2,DQV$4),Table1[],(MATCH(Calendar!$A18,DB!$1:$1,0)),FALSE)&gt;=5,"Good","Bad"),VLOOKUP(DATE($K$1,$K$2,DQV$4),Table1[],(MATCH(Calendar!$A18,DB!$1:$1,0)),FALSE)),"")</f>
        <v/>
      </c>
      <c r="DQW18" s="28" t="str">
        <f>IFERROR(IF(DRF3="No",IF(VLOOKUP(DATE($K$1,$K$2,DQW$4),Table1[],(MATCH(Calendar!$A18,DB!$1:$1,0)),FALSE)&gt;=5,"Good","Bad"),VLOOKUP(DATE($K$1,$K$2,DQW$4),Table1[],(MATCH(Calendar!$A18,DB!$1:$1,0)),FALSE)),"")</f>
        <v/>
      </c>
      <c r="DQX18" s="28" t="str">
        <f>IFERROR(IF(DRG3="No",IF(VLOOKUP(DATE($K$1,$K$2,DQX$4),Table1[],(MATCH(Calendar!$A18,DB!$1:$1,0)),FALSE)&gt;=5,"Good","Bad"),VLOOKUP(DATE($K$1,$K$2,DQX$4),Table1[],(MATCH(Calendar!$A18,DB!$1:$1,0)),FALSE)),"")</f>
        <v/>
      </c>
      <c r="DQY18" s="28" t="str">
        <f>IFERROR(IF(DRH3="No",IF(VLOOKUP(DATE($K$1,$K$2,DQY$4),Table1[],(MATCH(Calendar!$A18,DB!$1:$1,0)),FALSE)&gt;=5,"Good","Bad"),VLOOKUP(DATE($K$1,$K$2,DQY$4),Table1[],(MATCH(Calendar!$A18,DB!$1:$1,0)),FALSE)),"")</f>
        <v/>
      </c>
      <c r="DQZ18" s="28" t="str">
        <f>IFERROR(IF(DRI3="No",IF(VLOOKUP(DATE($K$1,$K$2,DQZ$4),Table1[],(MATCH(Calendar!$A18,DB!$1:$1,0)),FALSE)&gt;=5,"Good","Bad"),VLOOKUP(DATE($K$1,$K$2,DQZ$4),Table1[],(MATCH(Calendar!$A18,DB!$1:$1,0)),FALSE)),"")</f>
        <v/>
      </c>
      <c r="DRA18" s="28" t="str">
        <f>IFERROR(IF(DRJ3="No",IF(VLOOKUP(DATE($K$1,$K$2,DRA$4),Table1[],(MATCH(Calendar!$A18,DB!$1:$1,0)),FALSE)&gt;=5,"Good","Bad"),VLOOKUP(DATE($K$1,$K$2,DRA$4),Table1[],(MATCH(Calendar!$A18,DB!$1:$1,0)),FALSE)),"")</f>
        <v/>
      </c>
      <c r="DRB18" s="28" t="str">
        <f>IFERROR(IF(DRK3="No",IF(VLOOKUP(DATE($K$1,$K$2,DRB$4),Table1[],(MATCH(Calendar!$A18,DB!$1:$1,0)),FALSE)&gt;=5,"Good","Bad"),VLOOKUP(DATE($K$1,$K$2,DRB$4),Table1[],(MATCH(Calendar!$A18,DB!$1:$1,0)),FALSE)),"")</f>
        <v/>
      </c>
      <c r="DRC18" s="28" t="str">
        <f>IFERROR(IF(DRL3="No",IF(VLOOKUP(DATE($K$1,$K$2,DRC$4),Table1[],(MATCH(Calendar!$A18,DB!$1:$1,0)),FALSE)&gt;=5,"Good","Bad"),VLOOKUP(DATE($K$1,$K$2,DRC$4),Table1[],(MATCH(Calendar!$A18,DB!$1:$1,0)),FALSE)),"")</f>
        <v/>
      </c>
      <c r="DRD18" s="28" t="str">
        <f>IFERROR(IF(DRM3="No",IF(VLOOKUP(DATE($K$1,$K$2,DRD$4),Table1[],(MATCH(Calendar!$A18,DB!$1:$1,0)),FALSE)&gt;=5,"Good","Bad"),VLOOKUP(DATE($K$1,$K$2,DRD$4),Table1[],(MATCH(Calendar!$A18,DB!$1:$1,0)),FALSE)),"")</f>
        <v/>
      </c>
      <c r="DRE18" s="28" t="str">
        <f>IFERROR(IF(DRN3="No",IF(VLOOKUP(DATE($K$1,$K$2,DRE$4),Table1[],(MATCH(Calendar!$A18,DB!$1:$1,0)),FALSE)&gt;=5,"Good","Bad"),VLOOKUP(DATE($K$1,$K$2,DRE$4),Table1[],(MATCH(Calendar!$A18,DB!$1:$1,0)),FALSE)),"")</f>
        <v/>
      </c>
      <c r="DRF18" s="28" t="str">
        <f>IFERROR(IF(DRO3="No",IF(VLOOKUP(DATE($K$1,$K$2,DRF$4),Table1[],(MATCH(Calendar!$A18,DB!$1:$1,0)),FALSE)&gt;=5,"Good","Bad"),VLOOKUP(DATE($K$1,$K$2,DRF$4),Table1[],(MATCH(Calendar!$A18,DB!$1:$1,0)),FALSE)),"")</f>
        <v/>
      </c>
      <c r="DRG18" s="28" t="str">
        <f>IFERROR(IF(DRP3="No",IF(VLOOKUP(DATE($K$1,$K$2,DRG$4),Table1[],(MATCH(Calendar!$A18,DB!$1:$1,0)),FALSE)&gt;=5,"Good","Bad"),VLOOKUP(DATE($K$1,$K$2,DRG$4),Table1[],(MATCH(Calendar!$A18,DB!$1:$1,0)),FALSE)),"")</f>
        <v/>
      </c>
      <c r="DRH18" s="28" t="str">
        <f>IFERROR(IF(DRQ3="No",IF(VLOOKUP(DATE($K$1,$K$2,DRH$4),Table1[],(MATCH(Calendar!$A18,DB!$1:$1,0)),FALSE)&gt;=5,"Good","Bad"),VLOOKUP(DATE($K$1,$K$2,DRH$4),Table1[],(MATCH(Calendar!$A18,DB!$1:$1,0)),FALSE)),"")</f>
        <v/>
      </c>
      <c r="DRI18" s="28" t="str">
        <f>IFERROR(IF(DRR3="No",IF(VLOOKUP(DATE($K$1,$K$2,DRI$4),Table1[],(MATCH(Calendar!$A18,DB!$1:$1,0)),FALSE)&gt;=5,"Good","Bad"),VLOOKUP(DATE($K$1,$K$2,DRI$4),Table1[],(MATCH(Calendar!$A18,DB!$1:$1,0)),FALSE)),"")</f>
        <v/>
      </c>
      <c r="DRJ18" s="28" t="str">
        <f>IFERROR(IF(DRS3="No",IF(VLOOKUP(DATE($K$1,$K$2,DRJ$4),Table1[],(MATCH(Calendar!$A18,DB!$1:$1,0)),FALSE)&gt;=5,"Good","Bad"),VLOOKUP(DATE($K$1,$K$2,DRJ$4),Table1[],(MATCH(Calendar!$A18,DB!$1:$1,0)),FALSE)),"")</f>
        <v/>
      </c>
      <c r="DRK18" s="28" t="str">
        <f>IFERROR(IF(DRT3="No",IF(VLOOKUP(DATE($K$1,$K$2,DRK$4),Table1[],(MATCH(Calendar!$A18,DB!$1:$1,0)),FALSE)&gt;=5,"Good","Bad"),VLOOKUP(DATE($K$1,$K$2,DRK$4),Table1[],(MATCH(Calendar!$A18,DB!$1:$1,0)),FALSE)),"")</f>
        <v/>
      </c>
      <c r="DRL18" s="28" t="str">
        <f>IFERROR(IF(DRU3="No",IF(VLOOKUP(DATE($K$1,$K$2,DRL$4),Table1[],(MATCH(Calendar!$A18,DB!$1:$1,0)),FALSE)&gt;=5,"Good","Bad"),VLOOKUP(DATE($K$1,$K$2,DRL$4),Table1[],(MATCH(Calendar!$A18,DB!$1:$1,0)),FALSE)),"")</f>
        <v/>
      </c>
      <c r="DRM18" s="28" t="str">
        <f>IFERROR(IF(DRV3="No",IF(VLOOKUP(DATE($K$1,$K$2,DRM$4),Table1[],(MATCH(Calendar!$A18,DB!$1:$1,0)),FALSE)&gt;=5,"Good","Bad"),VLOOKUP(DATE($K$1,$K$2,DRM$4),Table1[],(MATCH(Calendar!$A18,DB!$1:$1,0)),FALSE)),"")</f>
        <v/>
      </c>
      <c r="DRN18" s="28" t="str">
        <f>IFERROR(IF(DRW3="No",IF(VLOOKUP(DATE($K$1,$K$2,DRN$4),Table1[],(MATCH(Calendar!$A18,DB!$1:$1,0)),FALSE)&gt;=5,"Good","Bad"),VLOOKUP(DATE($K$1,$K$2,DRN$4),Table1[],(MATCH(Calendar!$A18,DB!$1:$1,0)),FALSE)),"")</f>
        <v/>
      </c>
      <c r="DRO18" s="28" t="str">
        <f>IFERROR(IF(DRX3="No",IF(VLOOKUP(DATE($K$1,$K$2,DRO$4),Table1[],(MATCH(Calendar!$A18,DB!$1:$1,0)),FALSE)&gt;=5,"Good","Bad"),VLOOKUP(DATE($K$1,$K$2,DRO$4),Table1[],(MATCH(Calendar!$A18,DB!$1:$1,0)),FALSE)),"")</f>
        <v/>
      </c>
      <c r="DRP18" s="28" t="str">
        <f>IFERROR(IF(DRY3="No",IF(VLOOKUP(DATE($K$1,$K$2,DRP$4),Table1[],(MATCH(Calendar!$A18,DB!$1:$1,0)),FALSE)&gt;=5,"Good","Bad"),VLOOKUP(DATE($K$1,$K$2,DRP$4),Table1[],(MATCH(Calendar!$A18,DB!$1:$1,0)),FALSE)),"")</f>
        <v/>
      </c>
      <c r="DRQ18" s="28" t="str">
        <f>IFERROR(IF(DRZ3="No",IF(VLOOKUP(DATE($K$1,$K$2,DRQ$4),Table1[],(MATCH(Calendar!$A18,DB!$1:$1,0)),FALSE)&gt;=5,"Good","Bad"),VLOOKUP(DATE($K$1,$K$2,DRQ$4),Table1[],(MATCH(Calendar!$A18,DB!$1:$1,0)),FALSE)),"")</f>
        <v/>
      </c>
      <c r="DRR18" s="28" t="str">
        <f>IFERROR(IF(DSA3="No",IF(VLOOKUP(DATE($K$1,$K$2,DRR$4),Table1[],(MATCH(Calendar!$A18,DB!$1:$1,0)),FALSE)&gt;=5,"Good","Bad"),VLOOKUP(DATE($K$1,$K$2,DRR$4),Table1[],(MATCH(Calendar!$A18,DB!$1:$1,0)),FALSE)),"")</f>
        <v/>
      </c>
      <c r="DRS18" s="28" t="str">
        <f>IFERROR(IF(DSB3="No",IF(VLOOKUP(DATE($K$1,$K$2,DRS$4),Table1[],(MATCH(Calendar!$A18,DB!$1:$1,0)),FALSE)&gt;=5,"Good","Bad"),VLOOKUP(DATE($K$1,$K$2,DRS$4),Table1[],(MATCH(Calendar!$A18,DB!$1:$1,0)),FALSE)),"")</f>
        <v/>
      </c>
      <c r="DRT18" s="28" t="str">
        <f>IFERROR(IF(DSC3="No",IF(VLOOKUP(DATE($K$1,$K$2,DRT$4),Table1[],(MATCH(Calendar!$A18,DB!$1:$1,0)),FALSE)&gt;=5,"Good","Bad"),VLOOKUP(DATE($K$1,$K$2,DRT$4),Table1[],(MATCH(Calendar!$A18,DB!$1:$1,0)),FALSE)),"")</f>
        <v/>
      </c>
      <c r="DRU18" s="28" t="str">
        <f>IFERROR(IF(DSD3="No",IF(VLOOKUP(DATE($K$1,$K$2,DRU$4),Table1[],(MATCH(Calendar!$A18,DB!$1:$1,0)),FALSE)&gt;=5,"Good","Bad"),VLOOKUP(DATE($K$1,$K$2,DRU$4),Table1[],(MATCH(Calendar!$A18,DB!$1:$1,0)),FALSE)),"")</f>
        <v/>
      </c>
      <c r="DRV18" s="28" t="str">
        <f>IFERROR(IF(DSE3="No",IF(VLOOKUP(DATE($K$1,$K$2,DRV$4),Table1[],(MATCH(Calendar!$A18,DB!$1:$1,0)),FALSE)&gt;=5,"Good","Bad"),VLOOKUP(DATE($K$1,$K$2,DRV$4),Table1[],(MATCH(Calendar!$A18,DB!$1:$1,0)),FALSE)),"")</f>
        <v/>
      </c>
      <c r="DRW18" s="28" t="str">
        <f>IFERROR(IF(DSF3="No",IF(VLOOKUP(DATE($K$1,$K$2,DRW$4),Table1[],(MATCH(Calendar!$A18,DB!$1:$1,0)),FALSE)&gt;=5,"Good","Bad"),VLOOKUP(DATE($K$1,$K$2,DRW$4),Table1[],(MATCH(Calendar!$A18,DB!$1:$1,0)),FALSE)),"")</f>
        <v/>
      </c>
      <c r="DRX18" s="28" t="str">
        <f>IFERROR(IF(DSG3="No",IF(VLOOKUP(DATE($K$1,$K$2,DRX$4),Table1[],(MATCH(Calendar!$A18,DB!$1:$1,0)),FALSE)&gt;=5,"Good","Bad"),VLOOKUP(DATE($K$1,$K$2,DRX$4),Table1[],(MATCH(Calendar!$A18,DB!$1:$1,0)),FALSE)),"")</f>
        <v/>
      </c>
      <c r="DRY18" s="28" t="str">
        <f>IFERROR(IF(DSH3="No",IF(VLOOKUP(DATE($K$1,$K$2,DRY$4),Table1[],(MATCH(Calendar!$A18,DB!$1:$1,0)),FALSE)&gt;=5,"Good","Bad"),VLOOKUP(DATE($K$1,$K$2,DRY$4),Table1[],(MATCH(Calendar!$A18,DB!$1:$1,0)),FALSE)),"")</f>
        <v/>
      </c>
      <c r="DRZ18" s="28" t="str">
        <f>IFERROR(IF(DSI3="No",IF(VLOOKUP(DATE($K$1,$K$2,DRZ$4),Table1[],(MATCH(Calendar!$A18,DB!$1:$1,0)),FALSE)&gt;=5,"Good","Bad"),VLOOKUP(DATE($K$1,$K$2,DRZ$4),Table1[],(MATCH(Calendar!$A18,DB!$1:$1,0)),FALSE)),"")</f>
        <v/>
      </c>
      <c r="DSA18" s="28" t="str">
        <f>IFERROR(IF(DSJ3="No",IF(VLOOKUP(DATE($K$1,$K$2,DSA$4),Table1[],(MATCH(Calendar!$A18,DB!$1:$1,0)),FALSE)&gt;=5,"Good","Bad"),VLOOKUP(DATE($K$1,$K$2,DSA$4),Table1[],(MATCH(Calendar!$A18,DB!$1:$1,0)),FALSE)),"")</f>
        <v/>
      </c>
      <c r="DSB18" s="28" t="str">
        <f>IFERROR(IF(DSK3="No",IF(VLOOKUP(DATE($K$1,$K$2,DSB$4),Table1[],(MATCH(Calendar!$A18,DB!$1:$1,0)),FALSE)&gt;=5,"Good","Bad"),VLOOKUP(DATE($K$1,$K$2,DSB$4),Table1[],(MATCH(Calendar!$A18,DB!$1:$1,0)),FALSE)),"")</f>
        <v/>
      </c>
      <c r="DSC18" s="28" t="str">
        <f>IFERROR(IF(DSL3="No",IF(VLOOKUP(DATE($K$1,$K$2,DSC$4),Table1[],(MATCH(Calendar!$A18,DB!$1:$1,0)),FALSE)&gt;=5,"Good","Bad"),VLOOKUP(DATE($K$1,$K$2,DSC$4),Table1[],(MATCH(Calendar!$A18,DB!$1:$1,0)),FALSE)),"")</f>
        <v/>
      </c>
      <c r="DSD18" s="28" t="str">
        <f>IFERROR(IF(DSM3="No",IF(VLOOKUP(DATE($K$1,$K$2,DSD$4),Table1[],(MATCH(Calendar!$A18,DB!$1:$1,0)),FALSE)&gt;=5,"Good","Bad"),VLOOKUP(DATE($K$1,$K$2,DSD$4),Table1[],(MATCH(Calendar!$A18,DB!$1:$1,0)),FALSE)),"")</f>
        <v/>
      </c>
      <c r="DSE18" s="28" t="str">
        <f>IFERROR(IF(DSN3="No",IF(VLOOKUP(DATE($K$1,$K$2,DSE$4),Table1[],(MATCH(Calendar!$A18,DB!$1:$1,0)),FALSE)&gt;=5,"Good","Bad"),VLOOKUP(DATE($K$1,$K$2,DSE$4),Table1[],(MATCH(Calendar!$A18,DB!$1:$1,0)),FALSE)),"")</f>
        <v/>
      </c>
      <c r="DSF18" s="28" t="str">
        <f>IFERROR(IF(DSO3="No",IF(VLOOKUP(DATE($K$1,$K$2,DSF$4),Table1[],(MATCH(Calendar!$A18,DB!$1:$1,0)),FALSE)&gt;=5,"Good","Bad"),VLOOKUP(DATE($K$1,$K$2,DSF$4),Table1[],(MATCH(Calendar!$A18,DB!$1:$1,0)),FALSE)),"")</f>
        <v/>
      </c>
      <c r="DSG18" s="28" t="str">
        <f>IFERROR(IF(DSP3="No",IF(VLOOKUP(DATE($K$1,$K$2,DSG$4),Table1[],(MATCH(Calendar!$A18,DB!$1:$1,0)),FALSE)&gt;=5,"Good","Bad"),VLOOKUP(DATE($K$1,$K$2,DSG$4),Table1[],(MATCH(Calendar!$A18,DB!$1:$1,0)),FALSE)),"")</f>
        <v/>
      </c>
      <c r="DSH18" s="28" t="str">
        <f>IFERROR(IF(DSQ3="No",IF(VLOOKUP(DATE($K$1,$K$2,DSH$4),Table1[],(MATCH(Calendar!$A18,DB!$1:$1,0)),FALSE)&gt;=5,"Good","Bad"),VLOOKUP(DATE($K$1,$K$2,DSH$4),Table1[],(MATCH(Calendar!$A18,DB!$1:$1,0)),FALSE)),"")</f>
        <v/>
      </c>
      <c r="DSI18" s="28" t="str">
        <f>IFERROR(IF(DSR3="No",IF(VLOOKUP(DATE($K$1,$K$2,DSI$4),Table1[],(MATCH(Calendar!$A18,DB!$1:$1,0)),FALSE)&gt;=5,"Good","Bad"),VLOOKUP(DATE($K$1,$K$2,DSI$4),Table1[],(MATCH(Calendar!$A18,DB!$1:$1,0)),FALSE)),"")</f>
        <v/>
      </c>
      <c r="DSJ18" s="28" t="str">
        <f>IFERROR(IF(DSS3="No",IF(VLOOKUP(DATE($K$1,$K$2,DSJ$4),Table1[],(MATCH(Calendar!$A18,DB!$1:$1,0)),FALSE)&gt;=5,"Good","Bad"),VLOOKUP(DATE($K$1,$K$2,DSJ$4),Table1[],(MATCH(Calendar!$A18,DB!$1:$1,0)),FALSE)),"")</f>
        <v/>
      </c>
      <c r="DSK18" s="28" t="str">
        <f>IFERROR(IF(DST3="No",IF(VLOOKUP(DATE($K$1,$K$2,DSK$4),Table1[],(MATCH(Calendar!$A18,DB!$1:$1,0)),FALSE)&gt;=5,"Good","Bad"),VLOOKUP(DATE($K$1,$K$2,DSK$4),Table1[],(MATCH(Calendar!$A18,DB!$1:$1,0)),FALSE)),"")</f>
        <v/>
      </c>
      <c r="DSL18" s="28" t="str">
        <f>IFERROR(IF(DSU3="No",IF(VLOOKUP(DATE($K$1,$K$2,DSL$4),Table1[],(MATCH(Calendar!$A18,DB!$1:$1,0)),FALSE)&gt;=5,"Good","Bad"),VLOOKUP(DATE($K$1,$K$2,DSL$4),Table1[],(MATCH(Calendar!$A18,DB!$1:$1,0)),FALSE)),"")</f>
        <v/>
      </c>
      <c r="DSM18" s="28" t="str">
        <f>IFERROR(IF(DSV3="No",IF(VLOOKUP(DATE($K$1,$K$2,DSM$4),Table1[],(MATCH(Calendar!$A18,DB!$1:$1,0)),FALSE)&gt;=5,"Good","Bad"),VLOOKUP(DATE($K$1,$K$2,DSM$4),Table1[],(MATCH(Calendar!$A18,DB!$1:$1,0)),FALSE)),"")</f>
        <v/>
      </c>
      <c r="DSN18" s="28" t="str">
        <f>IFERROR(IF(DSW3="No",IF(VLOOKUP(DATE($K$1,$K$2,DSN$4),Table1[],(MATCH(Calendar!$A18,DB!$1:$1,0)),FALSE)&gt;=5,"Good","Bad"),VLOOKUP(DATE($K$1,$K$2,DSN$4),Table1[],(MATCH(Calendar!$A18,DB!$1:$1,0)),FALSE)),"")</f>
        <v/>
      </c>
      <c r="DSO18" s="28" t="str">
        <f>IFERROR(IF(DSX3="No",IF(VLOOKUP(DATE($K$1,$K$2,DSO$4),Table1[],(MATCH(Calendar!$A18,DB!$1:$1,0)),FALSE)&gt;=5,"Good","Bad"),VLOOKUP(DATE($K$1,$K$2,DSO$4),Table1[],(MATCH(Calendar!$A18,DB!$1:$1,0)),FALSE)),"")</f>
        <v/>
      </c>
      <c r="DSP18" s="28" t="str">
        <f>IFERROR(IF(DSY3="No",IF(VLOOKUP(DATE($K$1,$K$2,DSP$4),Table1[],(MATCH(Calendar!$A18,DB!$1:$1,0)),FALSE)&gt;=5,"Good","Bad"),VLOOKUP(DATE($K$1,$K$2,DSP$4),Table1[],(MATCH(Calendar!$A18,DB!$1:$1,0)),FALSE)),"")</f>
        <v/>
      </c>
      <c r="DSQ18" s="28" t="str">
        <f>IFERROR(IF(DSZ3="No",IF(VLOOKUP(DATE($K$1,$K$2,DSQ$4),Table1[],(MATCH(Calendar!$A18,DB!$1:$1,0)),FALSE)&gt;=5,"Good","Bad"),VLOOKUP(DATE($K$1,$K$2,DSQ$4),Table1[],(MATCH(Calendar!$A18,DB!$1:$1,0)),FALSE)),"")</f>
        <v/>
      </c>
      <c r="DSR18" s="28" t="str">
        <f>IFERROR(IF(DTA3="No",IF(VLOOKUP(DATE($K$1,$K$2,DSR$4),Table1[],(MATCH(Calendar!$A18,DB!$1:$1,0)),FALSE)&gt;=5,"Good","Bad"),VLOOKUP(DATE($K$1,$K$2,DSR$4),Table1[],(MATCH(Calendar!$A18,DB!$1:$1,0)),FALSE)),"")</f>
        <v/>
      </c>
      <c r="DSS18" s="28" t="str">
        <f>IFERROR(IF(DTB3="No",IF(VLOOKUP(DATE($K$1,$K$2,DSS$4),Table1[],(MATCH(Calendar!$A18,DB!$1:$1,0)),FALSE)&gt;=5,"Good","Bad"),VLOOKUP(DATE($K$1,$K$2,DSS$4),Table1[],(MATCH(Calendar!$A18,DB!$1:$1,0)),FALSE)),"")</f>
        <v/>
      </c>
      <c r="DST18" s="28" t="str">
        <f>IFERROR(IF(DTC3="No",IF(VLOOKUP(DATE($K$1,$K$2,DST$4),Table1[],(MATCH(Calendar!$A18,DB!$1:$1,0)),FALSE)&gt;=5,"Good","Bad"),VLOOKUP(DATE($K$1,$K$2,DST$4),Table1[],(MATCH(Calendar!$A18,DB!$1:$1,0)),FALSE)),"")</f>
        <v/>
      </c>
      <c r="DSU18" s="28" t="str">
        <f>IFERROR(IF(DTD3="No",IF(VLOOKUP(DATE($K$1,$K$2,DSU$4),Table1[],(MATCH(Calendar!$A18,DB!$1:$1,0)),FALSE)&gt;=5,"Good","Bad"),VLOOKUP(DATE($K$1,$K$2,DSU$4),Table1[],(MATCH(Calendar!$A18,DB!$1:$1,0)),FALSE)),"")</f>
        <v/>
      </c>
      <c r="DSV18" s="28" t="str">
        <f>IFERROR(IF(DTE3="No",IF(VLOOKUP(DATE($K$1,$K$2,DSV$4),Table1[],(MATCH(Calendar!$A18,DB!$1:$1,0)),FALSE)&gt;=5,"Good","Bad"),VLOOKUP(DATE($K$1,$K$2,DSV$4),Table1[],(MATCH(Calendar!$A18,DB!$1:$1,0)),FALSE)),"")</f>
        <v/>
      </c>
      <c r="DSW18" s="28" t="str">
        <f>IFERROR(IF(DTF3="No",IF(VLOOKUP(DATE($K$1,$K$2,DSW$4),Table1[],(MATCH(Calendar!$A18,DB!$1:$1,0)),FALSE)&gt;=5,"Good","Bad"),VLOOKUP(DATE($K$1,$K$2,DSW$4),Table1[],(MATCH(Calendar!$A18,DB!$1:$1,0)),FALSE)),"")</f>
        <v/>
      </c>
      <c r="DSX18" s="28" t="str">
        <f>IFERROR(IF(DTG3="No",IF(VLOOKUP(DATE($K$1,$K$2,DSX$4),Table1[],(MATCH(Calendar!$A18,DB!$1:$1,0)),FALSE)&gt;=5,"Good","Bad"),VLOOKUP(DATE($K$1,$K$2,DSX$4),Table1[],(MATCH(Calendar!$A18,DB!$1:$1,0)),FALSE)),"")</f>
        <v/>
      </c>
      <c r="DSY18" s="28" t="str">
        <f>IFERROR(IF(DTH3="No",IF(VLOOKUP(DATE($K$1,$K$2,DSY$4),Table1[],(MATCH(Calendar!$A18,DB!$1:$1,0)),FALSE)&gt;=5,"Good","Bad"),VLOOKUP(DATE($K$1,$K$2,DSY$4),Table1[],(MATCH(Calendar!$A18,DB!$1:$1,0)),FALSE)),"")</f>
        <v/>
      </c>
      <c r="DSZ18" s="28" t="str">
        <f>IFERROR(IF(DTI3="No",IF(VLOOKUP(DATE($K$1,$K$2,DSZ$4),Table1[],(MATCH(Calendar!$A18,DB!$1:$1,0)),FALSE)&gt;=5,"Good","Bad"),VLOOKUP(DATE($K$1,$K$2,DSZ$4),Table1[],(MATCH(Calendar!$A18,DB!$1:$1,0)),FALSE)),"")</f>
        <v/>
      </c>
      <c r="DTA18" s="28" t="str">
        <f>IFERROR(IF(DTJ3="No",IF(VLOOKUP(DATE($K$1,$K$2,DTA$4),Table1[],(MATCH(Calendar!$A18,DB!$1:$1,0)),FALSE)&gt;=5,"Good","Bad"),VLOOKUP(DATE($K$1,$K$2,DTA$4),Table1[],(MATCH(Calendar!$A18,DB!$1:$1,0)),FALSE)),"")</f>
        <v/>
      </c>
      <c r="DTB18" s="28" t="str">
        <f>IFERROR(IF(DTK3="No",IF(VLOOKUP(DATE($K$1,$K$2,DTB$4),Table1[],(MATCH(Calendar!$A18,DB!$1:$1,0)),FALSE)&gt;=5,"Good","Bad"),VLOOKUP(DATE($K$1,$K$2,DTB$4),Table1[],(MATCH(Calendar!$A18,DB!$1:$1,0)),FALSE)),"")</f>
        <v/>
      </c>
      <c r="DTC18" s="28" t="str">
        <f>IFERROR(IF(DTL3="No",IF(VLOOKUP(DATE($K$1,$K$2,DTC$4),Table1[],(MATCH(Calendar!$A18,DB!$1:$1,0)),FALSE)&gt;=5,"Good","Bad"),VLOOKUP(DATE($K$1,$K$2,DTC$4),Table1[],(MATCH(Calendar!$A18,DB!$1:$1,0)),FALSE)),"")</f>
        <v/>
      </c>
      <c r="DTD18" s="28" t="str">
        <f>IFERROR(IF(DTM3="No",IF(VLOOKUP(DATE($K$1,$K$2,DTD$4),Table1[],(MATCH(Calendar!$A18,DB!$1:$1,0)),FALSE)&gt;=5,"Good","Bad"),VLOOKUP(DATE($K$1,$K$2,DTD$4),Table1[],(MATCH(Calendar!$A18,DB!$1:$1,0)),FALSE)),"")</f>
        <v/>
      </c>
      <c r="DTE18" s="28" t="str">
        <f>IFERROR(IF(DTN3="No",IF(VLOOKUP(DATE($K$1,$K$2,DTE$4),Table1[],(MATCH(Calendar!$A18,DB!$1:$1,0)),FALSE)&gt;=5,"Good","Bad"),VLOOKUP(DATE($K$1,$K$2,DTE$4),Table1[],(MATCH(Calendar!$A18,DB!$1:$1,0)),FALSE)),"")</f>
        <v/>
      </c>
      <c r="DTF18" s="28" t="str">
        <f>IFERROR(IF(DTO3="No",IF(VLOOKUP(DATE($K$1,$K$2,DTF$4),Table1[],(MATCH(Calendar!$A18,DB!$1:$1,0)),FALSE)&gt;=5,"Good","Bad"),VLOOKUP(DATE($K$1,$K$2,DTF$4),Table1[],(MATCH(Calendar!$A18,DB!$1:$1,0)),FALSE)),"")</f>
        <v/>
      </c>
      <c r="DTG18" s="28" t="str">
        <f>IFERROR(IF(DTP3="No",IF(VLOOKUP(DATE($K$1,$K$2,DTG$4),Table1[],(MATCH(Calendar!$A18,DB!$1:$1,0)),FALSE)&gt;=5,"Good","Bad"),VLOOKUP(DATE($K$1,$K$2,DTG$4),Table1[],(MATCH(Calendar!$A18,DB!$1:$1,0)),FALSE)),"")</f>
        <v/>
      </c>
      <c r="DTH18" s="28" t="str">
        <f>IFERROR(IF(DTQ3="No",IF(VLOOKUP(DATE($K$1,$K$2,DTH$4),Table1[],(MATCH(Calendar!$A18,DB!$1:$1,0)),FALSE)&gt;=5,"Good","Bad"),VLOOKUP(DATE($K$1,$K$2,DTH$4),Table1[],(MATCH(Calendar!$A18,DB!$1:$1,0)),FALSE)),"")</f>
        <v/>
      </c>
      <c r="DTI18" s="28" t="str">
        <f>IFERROR(IF(DTR3="No",IF(VLOOKUP(DATE($K$1,$K$2,DTI$4),Table1[],(MATCH(Calendar!$A18,DB!$1:$1,0)),FALSE)&gt;=5,"Good","Bad"),VLOOKUP(DATE($K$1,$K$2,DTI$4),Table1[],(MATCH(Calendar!$A18,DB!$1:$1,0)),FALSE)),"")</f>
        <v/>
      </c>
      <c r="DTJ18" s="28" t="str">
        <f>IFERROR(IF(DTS3="No",IF(VLOOKUP(DATE($K$1,$K$2,DTJ$4),Table1[],(MATCH(Calendar!$A18,DB!$1:$1,0)),FALSE)&gt;=5,"Good","Bad"),VLOOKUP(DATE($K$1,$K$2,DTJ$4),Table1[],(MATCH(Calendar!$A18,DB!$1:$1,0)),FALSE)),"")</f>
        <v/>
      </c>
      <c r="DTK18" s="28" t="str">
        <f>IFERROR(IF(DTT3="No",IF(VLOOKUP(DATE($K$1,$K$2,DTK$4),Table1[],(MATCH(Calendar!$A18,DB!$1:$1,0)),FALSE)&gt;=5,"Good","Bad"),VLOOKUP(DATE($K$1,$K$2,DTK$4),Table1[],(MATCH(Calendar!$A18,DB!$1:$1,0)),FALSE)),"")</f>
        <v/>
      </c>
      <c r="DTL18" s="28" t="str">
        <f>IFERROR(IF(DTU3="No",IF(VLOOKUP(DATE($K$1,$K$2,DTL$4),Table1[],(MATCH(Calendar!$A18,DB!$1:$1,0)),FALSE)&gt;=5,"Good","Bad"),VLOOKUP(DATE($K$1,$K$2,DTL$4),Table1[],(MATCH(Calendar!$A18,DB!$1:$1,0)),FALSE)),"")</f>
        <v/>
      </c>
      <c r="DTM18" s="28" t="str">
        <f>IFERROR(IF(DTV3="No",IF(VLOOKUP(DATE($K$1,$K$2,DTM$4),Table1[],(MATCH(Calendar!$A18,DB!$1:$1,0)),FALSE)&gt;=5,"Good","Bad"),VLOOKUP(DATE($K$1,$K$2,DTM$4),Table1[],(MATCH(Calendar!$A18,DB!$1:$1,0)),FALSE)),"")</f>
        <v/>
      </c>
      <c r="DTN18" s="28" t="str">
        <f>IFERROR(IF(DTW3="No",IF(VLOOKUP(DATE($K$1,$K$2,DTN$4),Table1[],(MATCH(Calendar!$A18,DB!$1:$1,0)),FALSE)&gt;=5,"Good","Bad"),VLOOKUP(DATE($K$1,$K$2,DTN$4),Table1[],(MATCH(Calendar!$A18,DB!$1:$1,0)),FALSE)),"")</f>
        <v/>
      </c>
      <c r="DTO18" s="28" t="str">
        <f>IFERROR(IF(DTX3="No",IF(VLOOKUP(DATE($K$1,$K$2,DTO$4),Table1[],(MATCH(Calendar!$A18,DB!$1:$1,0)),FALSE)&gt;=5,"Good","Bad"),VLOOKUP(DATE($K$1,$K$2,DTO$4),Table1[],(MATCH(Calendar!$A18,DB!$1:$1,0)),FALSE)),"")</f>
        <v/>
      </c>
      <c r="DTP18" s="28" t="str">
        <f>IFERROR(IF(DTY3="No",IF(VLOOKUP(DATE($K$1,$K$2,DTP$4),Table1[],(MATCH(Calendar!$A18,DB!$1:$1,0)),FALSE)&gt;=5,"Good","Bad"),VLOOKUP(DATE($K$1,$K$2,DTP$4),Table1[],(MATCH(Calendar!$A18,DB!$1:$1,0)),FALSE)),"")</f>
        <v/>
      </c>
      <c r="DTQ18" s="28" t="str">
        <f>IFERROR(IF(DTZ3="No",IF(VLOOKUP(DATE($K$1,$K$2,DTQ$4),Table1[],(MATCH(Calendar!$A18,DB!$1:$1,0)),FALSE)&gt;=5,"Good","Bad"),VLOOKUP(DATE($K$1,$K$2,DTQ$4),Table1[],(MATCH(Calendar!$A18,DB!$1:$1,0)),FALSE)),"")</f>
        <v/>
      </c>
      <c r="DTR18" s="28" t="str">
        <f>IFERROR(IF(DUA3="No",IF(VLOOKUP(DATE($K$1,$K$2,DTR$4),Table1[],(MATCH(Calendar!$A18,DB!$1:$1,0)),FALSE)&gt;=5,"Good","Bad"),VLOOKUP(DATE($K$1,$K$2,DTR$4),Table1[],(MATCH(Calendar!$A18,DB!$1:$1,0)),FALSE)),"")</f>
        <v/>
      </c>
      <c r="DTS18" s="28" t="str">
        <f>IFERROR(IF(DUB3="No",IF(VLOOKUP(DATE($K$1,$K$2,DTS$4),Table1[],(MATCH(Calendar!$A18,DB!$1:$1,0)),FALSE)&gt;=5,"Good","Bad"),VLOOKUP(DATE($K$1,$K$2,DTS$4),Table1[],(MATCH(Calendar!$A18,DB!$1:$1,0)),FALSE)),"")</f>
        <v/>
      </c>
      <c r="DTT18" s="28" t="str">
        <f>IFERROR(IF(DUC3="No",IF(VLOOKUP(DATE($K$1,$K$2,DTT$4),Table1[],(MATCH(Calendar!$A18,DB!$1:$1,0)),FALSE)&gt;=5,"Good","Bad"),VLOOKUP(DATE($K$1,$K$2,DTT$4),Table1[],(MATCH(Calendar!$A18,DB!$1:$1,0)),FALSE)),"")</f>
        <v/>
      </c>
      <c r="DTU18" s="28" t="str">
        <f>IFERROR(IF(DUD3="No",IF(VLOOKUP(DATE($K$1,$K$2,DTU$4),Table1[],(MATCH(Calendar!$A18,DB!$1:$1,0)),FALSE)&gt;=5,"Good","Bad"),VLOOKUP(DATE($K$1,$K$2,DTU$4),Table1[],(MATCH(Calendar!$A18,DB!$1:$1,0)),FALSE)),"")</f>
        <v/>
      </c>
      <c r="DTV18" s="28" t="str">
        <f>IFERROR(IF(DUE3="No",IF(VLOOKUP(DATE($K$1,$K$2,DTV$4),Table1[],(MATCH(Calendar!$A18,DB!$1:$1,0)),FALSE)&gt;=5,"Good","Bad"),VLOOKUP(DATE($K$1,$K$2,DTV$4),Table1[],(MATCH(Calendar!$A18,DB!$1:$1,0)),FALSE)),"")</f>
        <v/>
      </c>
      <c r="DTW18" s="28" t="str">
        <f>IFERROR(IF(DUF3="No",IF(VLOOKUP(DATE($K$1,$K$2,DTW$4),Table1[],(MATCH(Calendar!$A18,DB!$1:$1,0)),FALSE)&gt;=5,"Good","Bad"),VLOOKUP(DATE($K$1,$K$2,DTW$4),Table1[],(MATCH(Calendar!$A18,DB!$1:$1,0)),FALSE)),"")</f>
        <v/>
      </c>
      <c r="DTX18" s="28" t="str">
        <f>IFERROR(IF(DUG3="No",IF(VLOOKUP(DATE($K$1,$K$2,DTX$4),Table1[],(MATCH(Calendar!$A18,DB!$1:$1,0)),FALSE)&gt;=5,"Good","Bad"),VLOOKUP(DATE($K$1,$K$2,DTX$4),Table1[],(MATCH(Calendar!$A18,DB!$1:$1,0)),FALSE)),"")</f>
        <v/>
      </c>
      <c r="DTY18" s="28" t="str">
        <f>IFERROR(IF(DUH3="No",IF(VLOOKUP(DATE($K$1,$K$2,DTY$4),Table1[],(MATCH(Calendar!$A18,DB!$1:$1,0)),FALSE)&gt;=5,"Good","Bad"),VLOOKUP(DATE($K$1,$K$2,DTY$4),Table1[],(MATCH(Calendar!$A18,DB!$1:$1,0)),FALSE)),"")</f>
        <v/>
      </c>
      <c r="DTZ18" s="28" t="str">
        <f>IFERROR(IF(DUI3="No",IF(VLOOKUP(DATE($K$1,$K$2,DTZ$4),Table1[],(MATCH(Calendar!$A18,DB!$1:$1,0)),FALSE)&gt;=5,"Good","Bad"),VLOOKUP(DATE($K$1,$K$2,DTZ$4),Table1[],(MATCH(Calendar!$A18,DB!$1:$1,0)),FALSE)),"")</f>
        <v/>
      </c>
      <c r="DUA18" s="28" t="str">
        <f>IFERROR(IF(DUJ3="No",IF(VLOOKUP(DATE($K$1,$K$2,DUA$4),Table1[],(MATCH(Calendar!$A18,DB!$1:$1,0)),FALSE)&gt;=5,"Good","Bad"),VLOOKUP(DATE($K$1,$K$2,DUA$4),Table1[],(MATCH(Calendar!$A18,DB!$1:$1,0)),FALSE)),"")</f>
        <v/>
      </c>
      <c r="DUB18" s="28" t="str">
        <f>IFERROR(IF(DUK3="No",IF(VLOOKUP(DATE($K$1,$K$2,DUB$4),Table1[],(MATCH(Calendar!$A18,DB!$1:$1,0)),FALSE)&gt;=5,"Good","Bad"),VLOOKUP(DATE($K$1,$K$2,DUB$4),Table1[],(MATCH(Calendar!$A18,DB!$1:$1,0)),FALSE)),"")</f>
        <v/>
      </c>
      <c r="DUC18" s="28" t="str">
        <f>IFERROR(IF(DUL3="No",IF(VLOOKUP(DATE($K$1,$K$2,DUC$4),Table1[],(MATCH(Calendar!$A18,DB!$1:$1,0)),FALSE)&gt;=5,"Good","Bad"),VLOOKUP(DATE($K$1,$K$2,DUC$4),Table1[],(MATCH(Calendar!$A18,DB!$1:$1,0)),FALSE)),"")</f>
        <v/>
      </c>
      <c r="DUD18" s="28" t="str">
        <f>IFERROR(IF(DUM3="No",IF(VLOOKUP(DATE($K$1,$K$2,DUD$4),Table1[],(MATCH(Calendar!$A18,DB!$1:$1,0)),FALSE)&gt;=5,"Good","Bad"),VLOOKUP(DATE($K$1,$K$2,DUD$4),Table1[],(MATCH(Calendar!$A18,DB!$1:$1,0)),FALSE)),"")</f>
        <v/>
      </c>
      <c r="DUE18" s="28" t="str">
        <f>IFERROR(IF(DUN3="No",IF(VLOOKUP(DATE($K$1,$K$2,DUE$4),Table1[],(MATCH(Calendar!$A18,DB!$1:$1,0)),FALSE)&gt;=5,"Good","Bad"),VLOOKUP(DATE($K$1,$K$2,DUE$4),Table1[],(MATCH(Calendar!$A18,DB!$1:$1,0)),FALSE)),"")</f>
        <v/>
      </c>
      <c r="DUF18" s="28" t="str">
        <f>IFERROR(IF(DUO3="No",IF(VLOOKUP(DATE($K$1,$K$2,DUF$4),Table1[],(MATCH(Calendar!$A18,DB!$1:$1,0)),FALSE)&gt;=5,"Good","Bad"),VLOOKUP(DATE($K$1,$K$2,DUF$4),Table1[],(MATCH(Calendar!$A18,DB!$1:$1,0)),FALSE)),"")</f>
        <v/>
      </c>
      <c r="DUG18" s="28" t="str">
        <f>IFERROR(IF(DUP3="No",IF(VLOOKUP(DATE($K$1,$K$2,DUG$4),Table1[],(MATCH(Calendar!$A18,DB!$1:$1,0)),FALSE)&gt;=5,"Good","Bad"),VLOOKUP(DATE($K$1,$K$2,DUG$4),Table1[],(MATCH(Calendar!$A18,DB!$1:$1,0)),FALSE)),"")</f>
        <v/>
      </c>
      <c r="DUH18" s="28" t="str">
        <f>IFERROR(IF(DUQ3="No",IF(VLOOKUP(DATE($K$1,$K$2,DUH$4),Table1[],(MATCH(Calendar!$A18,DB!$1:$1,0)),FALSE)&gt;=5,"Good","Bad"),VLOOKUP(DATE($K$1,$K$2,DUH$4),Table1[],(MATCH(Calendar!$A18,DB!$1:$1,0)),FALSE)),"")</f>
        <v/>
      </c>
      <c r="DUI18" s="28" t="str">
        <f>IFERROR(IF(DUR3="No",IF(VLOOKUP(DATE($K$1,$K$2,DUI$4),Table1[],(MATCH(Calendar!$A18,DB!$1:$1,0)),FALSE)&gt;=5,"Good","Bad"),VLOOKUP(DATE($K$1,$K$2,DUI$4),Table1[],(MATCH(Calendar!$A18,DB!$1:$1,0)),FALSE)),"")</f>
        <v/>
      </c>
      <c r="DUJ18" s="28" t="str">
        <f>IFERROR(IF(DUS3="No",IF(VLOOKUP(DATE($K$1,$K$2,DUJ$4),Table1[],(MATCH(Calendar!$A18,DB!$1:$1,0)),FALSE)&gt;=5,"Good","Bad"),VLOOKUP(DATE($K$1,$K$2,DUJ$4),Table1[],(MATCH(Calendar!$A18,DB!$1:$1,0)),FALSE)),"")</f>
        <v/>
      </c>
      <c r="DUK18" s="28" t="str">
        <f>IFERROR(IF(DUT3="No",IF(VLOOKUP(DATE($K$1,$K$2,DUK$4),Table1[],(MATCH(Calendar!$A18,DB!$1:$1,0)),FALSE)&gt;=5,"Good","Bad"),VLOOKUP(DATE($K$1,$K$2,DUK$4),Table1[],(MATCH(Calendar!$A18,DB!$1:$1,0)),FALSE)),"")</f>
        <v/>
      </c>
      <c r="DUL18" s="28" t="str">
        <f>IFERROR(IF(DUU3="No",IF(VLOOKUP(DATE($K$1,$K$2,DUL$4),Table1[],(MATCH(Calendar!$A18,DB!$1:$1,0)),FALSE)&gt;=5,"Good","Bad"),VLOOKUP(DATE($K$1,$K$2,DUL$4),Table1[],(MATCH(Calendar!$A18,DB!$1:$1,0)),FALSE)),"")</f>
        <v/>
      </c>
      <c r="DUM18" s="28" t="str">
        <f>IFERROR(IF(DUV3="No",IF(VLOOKUP(DATE($K$1,$K$2,DUM$4),Table1[],(MATCH(Calendar!$A18,DB!$1:$1,0)),FALSE)&gt;=5,"Good","Bad"),VLOOKUP(DATE($K$1,$K$2,DUM$4),Table1[],(MATCH(Calendar!$A18,DB!$1:$1,0)),FALSE)),"")</f>
        <v/>
      </c>
      <c r="DUN18" s="28" t="str">
        <f>IFERROR(IF(DUW3="No",IF(VLOOKUP(DATE($K$1,$K$2,DUN$4),Table1[],(MATCH(Calendar!$A18,DB!$1:$1,0)),FALSE)&gt;=5,"Good","Bad"),VLOOKUP(DATE($K$1,$K$2,DUN$4),Table1[],(MATCH(Calendar!$A18,DB!$1:$1,0)),FALSE)),"")</f>
        <v/>
      </c>
      <c r="DUO18" s="28" t="str">
        <f>IFERROR(IF(DUX3="No",IF(VLOOKUP(DATE($K$1,$K$2,DUO$4),Table1[],(MATCH(Calendar!$A18,DB!$1:$1,0)),FALSE)&gt;=5,"Good","Bad"),VLOOKUP(DATE($K$1,$K$2,DUO$4),Table1[],(MATCH(Calendar!$A18,DB!$1:$1,0)),FALSE)),"")</f>
        <v/>
      </c>
      <c r="DUP18" s="28" t="str">
        <f>IFERROR(IF(DUY3="No",IF(VLOOKUP(DATE($K$1,$K$2,DUP$4),Table1[],(MATCH(Calendar!$A18,DB!$1:$1,0)),FALSE)&gt;=5,"Good","Bad"),VLOOKUP(DATE($K$1,$K$2,DUP$4),Table1[],(MATCH(Calendar!$A18,DB!$1:$1,0)),FALSE)),"")</f>
        <v/>
      </c>
      <c r="DUQ18" s="28" t="str">
        <f>IFERROR(IF(DUZ3="No",IF(VLOOKUP(DATE($K$1,$K$2,DUQ$4),Table1[],(MATCH(Calendar!$A18,DB!$1:$1,0)),FALSE)&gt;=5,"Good","Bad"),VLOOKUP(DATE($K$1,$K$2,DUQ$4),Table1[],(MATCH(Calendar!$A18,DB!$1:$1,0)),FALSE)),"")</f>
        <v/>
      </c>
      <c r="DUR18" s="28" t="str">
        <f>IFERROR(IF(DVA3="No",IF(VLOOKUP(DATE($K$1,$K$2,DUR$4),Table1[],(MATCH(Calendar!$A18,DB!$1:$1,0)),FALSE)&gt;=5,"Good","Bad"),VLOOKUP(DATE($K$1,$K$2,DUR$4),Table1[],(MATCH(Calendar!$A18,DB!$1:$1,0)),FALSE)),"")</f>
        <v/>
      </c>
      <c r="DUS18" s="28" t="str">
        <f>IFERROR(IF(DVB3="No",IF(VLOOKUP(DATE($K$1,$K$2,DUS$4),Table1[],(MATCH(Calendar!$A18,DB!$1:$1,0)),FALSE)&gt;=5,"Good","Bad"),VLOOKUP(DATE($K$1,$K$2,DUS$4),Table1[],(MATCH(Calendar!$A18,DB!$1:$1,0)),FALSE)),"")</f>
        <v/>
      </c>
      <c r="DUT18" s="28" t="str">
        <f>IFERROR(IF(DVC3="No",IF(VLOOKUP(DATE($K$1,$K$2,DUT$4),Table1[],(MATCH(Calendar!$A18,DB!$1:$1,0)),FALSE)&gt;=5,"Good","Bad"),VLOOKUP(DATE($K$1,$K$2,DUT$4),Table1[],(MATCH(Calendar!$A18,DB!$1:$1,0)),FALSE)),"")</f>
        <v/>
      </c>
      <c r="DUU18" s="28" t="str">
        <f>IFERROR(IF(DVD3="No",IF(VLOOKUP(DATE($K$1,$K$2,DUU$4),Table1[],(MATCH(Calendar!$A18,DB!$1:$1,0)),FALSE)&gt;=5,"Good","Bad"),VLOOKUP(DATE($K$1,$K$2,DUU$4),Table1[],(MATCH(Calendar!$A18,DB!$1:$1,0)),FALSE)),"")</f>
        <v/>
      </c>
      <c r="DUV18" s="28" t="str">
        <f>IFERROR(IF(DVE3="No",IF(VLOOKUP(DATE($K$1,$K$2,DUV$4),Table1[],(MATCH(Calendar!$A18,DB!$1:$1,0)),FALSE)&gt;=5,"Good","Bad"),VLOOKUP(DATE($K$1,$K$2,DUV$4),Table1[],(MATCH(Calendar!$A18,DB!$1:$1,0)),FALSE)),"")</f>
        <v/>
      </c>
      <c r="DUW18" s="28" t="str">
        <f>IFERROR(IF(DVF3="No",IF(VLOOKUP(DATE($K$1,$K$2,DUW$4),Table1[],(MATCH(Calendar!$A18,DB!$1:$1,0)),FALSE)&gt;=5,"Good","Bad"),VLOOKUP(DATE($K$1,$K$2,DUW$4),Table1[],(MATCH(Calendar!$A18,DB!$1:$1,0)),FALSE)),"")</f>
        <v/>
      </c>
      <c r="DUX18" s="28" t="str">
        <f>IFERROR(IF(DVG3="No",IF(VLOOKUP(DATE($K$1,$K$2,DUX$4),Table1[],(MATCH(Calendar!$A18,DB!$1:$1,0)),FALSE)&gt;=5,"Good","Bad"),VLOOKUP(DATE($K$1,$K$2,DUX$4),Table1[],(MATCH(Calendar!$A18,DB!$1:$1,0)),FALSE)),"")</f>
        <v/>
      </c>
      <c r="DUY18" s="28" t="str">
        <f>IFERROR(IF(DVH3="No",IF(VLOOKUP(DATE($K$1,$K$2,DUY$4),Table1[],(MATCH(Calendar!$A18,DB!$1:$1,0)),FALSE)&gt;=5,"Good","Bad"),VLOOKUP(DATE($K$1,$K$2,DUY$4),Table1[],(MATCH(Calendar!$A18,DB!$1:$1,0)),FALSE)),"")</f>
        <v/>
      </c>
      <c r="DUZ18" s="28" t="str">
        <f>IFERROR(IF(DVI3="No",IF(VLOOKUP(DATE($K$1,$K$2,DUZ$4),Table1[],(MATCH(Calendar!$A18,DB!$1:$1,0)),FALSE)&gt;=5,"Good","Bad"),VLOOKUP(DATE($K$1,$K$2,DUZ$4),Table1[],(MATCH(Calendar!$A18,DB!$1:$1,0)),FALSE)),"")</f>
        <v/>
      </c>
      <c r="DVA18" s="28" t="str">
        <f>IFERROR(IF(DVJ3="No",IF(VLOOKUP(DATE($K$1,$K$2,DVA$4),Table1[],(MATCH(Calendar!$A18,DB!$1:$1,0)),FALSE)&gt;=5,"Good","Bad"),VLOOKUP(DATE($K$1,$K$2,DVA$4),Table1[],(MATCH(Calendar!$A18,DB!$1:$1,0)),FALSE)),"")</f>
        <v/>
      </c>
      <c r="DVB18" s="28" t="str">
        <f>IFERROR(IF(DVK3="No",IF(VLOOKUP(DATE($K$1,$K$2,DVB$4),Table1[],(MATCH(Calendar!$A18,DB!$1:$1,0)),FALSE)&gt;=5,"Good","Bad"),VLOOKUP(DATE($K$1,$K$2,DVB$4),Table1[],(MATCH(Calendar!$A18,DB!$1:$1,0)),FALSE)),"")</f>
        <v/>
      </c>
      <c r="DVC18" s="28" t="str">
        <f>IFERROR(IF(DVL3="No",IF(VLOOKUP(DATE($K$1,$K$2,DVC$4),Table1[],(MATCH(Calendar!$A18,DB!$1:$1,0)),FALSE)&gt;=5,"Good","Bad"),VLOOKUP(DATE($K$1,$K$2,DVC$4),Table1[],(MATCH(Calendar!$A18,DB!$1:$1,0)),FALSE)),"")</f>
        <v/>
      </c>
      <c r="DVD18" s="28" t="str">
        <f>IFERROR(IF(DVM3="No",IF(VLOOKUP(DATE($K$1,$K$2,DVD$4),Table1[],(MATCH(Calendar!$A18,DB!$1:$1,0)),FALSE)&gt;=5,"Good","Bad"),VLOOKUP(DATE($K$1,$K$2,DVD$4),Table1[],(MATCH(Calendar!$A18,DB!$1:$1,0)),FALSE)),"")</f>
        <v/>
      </c>
      <c r="DVE18" s="28" t="str">
        <f>IFERROR(IF(DVN3="No",IF(VLOOKUP(DATE($K$1,$K$2,DVE$4),Table1[],(MATCH(Calendar!$A18,DB!$1:$1,0)),FALSE)&gt;=5,"Good","Bad"),VLOOKUP(DATE($K$1,$K$2,DVE$4),Table1[],(MATCH(Calendar!$A18,DB!$1:$1,0)),FALSE)),"")</f>
        <v/>
      </c>
      <c r="DVF18" s="28" t="str">
        <f>IFERROR(IF(DVO3="No",IF(VLOOKUP(DATE($K$1,$K$2,DVF$4),Table1[],(MATCH(Calendar!$A18,DB!$1:$1,0)),FALSE)&gt;=5,"Good","Bad"),VLOOKUP(DATE($K$1,$K$2,DVF$4),Table1[],(MATCH(Calendar!$A18,DB!$1:$1,0)),FALSE)),"")</f>
        <v/>
      </c>
      <c r="DVG18" s="28" t="str">
        <f>IFERROR(IF(DVP3="No",IF(VLOOKUP(DATE($K$1,$K$2,DVG$4),Table1[],(MATCH(Calendar!$A18,DB!$1:$1,0)),FALSE)&gt;=5,"Good","Bad"),VLOOKUP(DATE($K$1,$K$2,DVG$4),Table1[],(MATCH(Calendar!$A18,DB!$1:$1,0)),FALSE)),"")</f>
        <v/>
      </c>
      <c r="DVH18" s="28" t="str">
        <f>IFERROR(IF(DVQ3="No",IF(VLOOKUP(DATE($K$1,$K$2,DVH$4),Table1[],(MATCH(Calendar!$A18,DB!$1:$1,0)),FALSE)&gt;=5,"Good","Bad"),VLOOKUP(DATE($K$1,$K$2,DVH$4),Table1[],(MATCH(Calendar!$A18,DB!$1:$1,0)),FALSE)),"")</f>
        <v/>
      </c>
      <c r="DVI18" s="28" t="str">
        <f>IFERROR(IF(DVR3="No",IF(VLOOKUP(DATE($K$1,$K$2,DVI$4),Table1[],(MATCH(Calendar!$A18,DB!$1:$1,0)),FALSE)&gt;=5,"Good","Bad"),VLOOKUP(DATE($K$1,$K$2,DVI$4),Table1[],(MATCH(Calendar!$A18,DB!$1:$1,0)),FALSE)),"")</f>
        <v/>
      </c>
      <c r="DVJ18" s="28" t="str">
        <f>IFERROR(IF(DVS3="No",IF(VLOOKUP(DATE($K$1,$K$2,DVJ$4),Table1[],(MATCH(Calendar!$A18,DB!$1:$1,0)),FALSE)&gt;=5,"Good","Bad"),VLOOKUP(DATE($K$1,$K$2,DVJ$4),Table1[],(MATCH(Calendar!$A18,DB!$1:$1,0)),FALSE)),"")</f>
        <v/>
      </c>
      <c r="DVK18" s="28" t="str">
        <f>IFERROR(IF(DVT3="No",IF(VLOOKUP(DATE($K$1,$K$2,DVK$4),Table1[],(MATCH(Calendar!$A18,DB!$1:$1,0)),FALSE)&gt;=5,"Good","Bad"),VLOOKUP(DATE($K$1,$K$2,DVK$4),Table1[],(MATCH(Calendar!$A18,DB!$1:$1,0)),FALSE)),"")</f>
        <v/>
      </c>
      <c r="DVL18" s="28" t="str">
        <f>IFERROR(IF(DVU3="No",IF(VLOOKUP(DATE($K$1,$K$2,DVL$4),Table1[],(MATCH(Calendar!$A18,DB!$1:$1,0)),FALSE)&gt;=5,"Good","Bad"),VLOOKUP(DATE($K$1,$K$2,DVL$4),Table1[],(MATCH(Calendar!$A18,DB!$1:$1,0)),FALSE)),"")</f>
        <v/>
      </c>
      <c r="DVM18" s="28" t="str">
        <f>IFERROR(IF(DVV3="No",IF(VLOOKUP(DATE($K$1,$K$2,DVM$4),Table1[],(MATCH(Calendar!$A18,DB!$1:$1,0)),FALSE)&gt;=5,"Good","Bad"),VLOOKUP(DATE($K$1,$K$2,DVM$4),Table1[],(MATCH(Calendar!$A18,DB!$1:$1,0)),FALSE)),"")</f>
        <v/>
      </c>
      <c r="DVN18" s="28" t="str">
        <f>IFERROR(IF(DVW3="No",IF(VLOOKUP(DATE($K$1,$K$2,DVN$4),Table1[],(MATCH(Calendar!$A18,DB!$1:$1,0)),FALSE)&gt;=5,"Good","Bad"),VLOOKUP(DATE($K$1,$K$2,DVN$4),Table1[],(MATCH(Calendar!$A18,DB!$1:$1,0)),FALSE)),"")</f>
        <v/>
      </c>
      <c r="DVO18" s="28" t="str">
        <f>IFERROR(IF(DVX3="No",IF(VLOOKUP(DATE($K$1,$K$2,DVO$4),Table1[],(MATCH(Calendar!$A18,DB!$1:$1,0)),FALSE)&gt;=5,"Good","Bad"),VLOOKUP(DATE($K$1,$K$2,DVO$4),Table1[],(MATCH(Calendar!$A18,DB!$1:$1,0)),FALSE)),"")</f>
        <v/>
      </c>
      <c r="DVP18" s="28" t="str">
        <f>IFERROR(IF(DVY3="No",IF(VLOOKUP(DATE($K$1,$K$2,DVP$4),Table1[],(MATCH(Calendar!$A18,DB!$1:$1,0)),FALSE)&gt;=5,"Good","Bad"),VLOOKUP(DATE($K$1,$K$2,DVP$4),Table1[],(MATCH(Calendar!$A18,DB!$1:$1,0)),FALSE)),"")</f>
        <v/>
      </c>
      <c r="DVQ18" s="28" t="str">
        <f>IFERROR(IF(DVZ3="No",IF(VLOOKUP(DATE($K$1,$K$2,DVQ$4),Table1[],(MATCH(Calendar!$A18,DB!$1:$1,0)),FALSE)&gt;=5,"Good","Bad"),VLOOKUP(DATE($K$1,$K$2,DVQ$4),Table1[],(MATCH(Calendar!$A18,DB!$1:$1,0)),FALSE)),"")</f>
        <v/>
      </c>
      <c r="DVR18" s="28" t="str">
        <f>IFERROR(IF(DWA3="No",IF(VLOOKUP(DATE($K$1,$K$2,DVR$4),Table1[],(MATCH(Calendar!$A18,DB!$1:$1,0)),FALSE)&gt;=5,"Good","Bad"),VLOOKUP(DATE($K$1,$K$2,DVR$4),Table1[],(MATCH(Calendar!$A18,DB!$1:$1,0)),FALSE)),"")</f>
        <v/>
      </c>
      <c r="DVS18" s="28" t="str">
        <f>IFERROR(IF(DWB3="No",IF(VLOOKUP(DATE($K$1,$K$2,DVS$4),Table1[],(MATCH(Calendar!$A18,DB!$1:$1,0)),FALSE)&gt;=5,"Good","Bad"),VLOOKUP(DATE($K$1,$K$2,DVS$4),Table1[],(MATCH(Calendar!$A18,DB!$1:$1,0)),FALSE)),"")</f>
        <v/>
      </c>
      <c r="DVT18" s="28" t="str">
        <f>IFERROR(IF(DWC3="No",IF(VLOOKUP(DATE($K$1,$K$2,DVT$4),Table1[],(MATCH(Calendar!$A18,DB!$1:$1,0)),FALSE)&gt;=5,"Good","Bad"),VLOOKUP(DATE($K$1,$K$2,DVT$4),Table1[],(MATCH(Calendar!$A18,DB!$1:$1,0)),FALSE)),"")</f>
        <v/>
      </c>
      <c r="DVU18" s="28" t="str">
        <f>IFERROR(IF(DWD3="No",IF(VLOOKUP(DATE($K$1,$K$2,DVU$4),Table1[],(MATCH(Calendar!$A18,DB!$1:$1,0)),FALSE)&gt;=5,"Good","Bad"),VLOOKUP(DATE($K$1,$K$2,DVU$4),Table1[],(MATCH(Calendar!$A18,DB!$1:$1,0)),FALSE)),"")</f>
        <v/>
      </c>
      <c r="DVV18" s="28" t="str">
        <f>IFERROR(IF(DWE3="No",IF(VLOOKUP(DATE($K$1,$K$2,DVV$4),Table1[],(MATCH(Calendar!$A18,DB!$1:$1,0)),FALSE)&gt;=5,"Good","Bad"),VLOOKUP(DATE($K$1,$K$2,DVV$4),Table1[],(MATCH(Calendar!$A18,DB!$1:$1,0)),FALSE)),"")</f>
        <v/>
      </c>
      <c r="DVW18" s="28" t="str">
        <f>IFERROR(IF(DWF3="No",IF(VLOOKUP(DATE($K$1,$K$2,DVW$4),Table1[],(MATCH(Calendar!$A18,DB!$1:$1,0)),FALSE)&gt;=5,"Good","Bad"),VLOOKUP(DATE($K$1,$K$2,DVW$4),Table1[],(MATCH(Calendar!$A18,DB!$1:$1,0)),FALSE)),"")</f>
        <v/>
      </c>
      <c r="DVX18" s="28" t="str">
        <f>IFERROR(IF(DWG3="No",IF(VLOOKUP(DATE($K$1,$K$2,DVX$4),Table1[],(MATCH(Calendar!$A18,DB!$1:$1,0)),FALSE)&gt;=5,"Good","Bad"),VLOOKUP(DATE($K$1,$K$2,DVX$4),Table1[],(MATCH(Calendar!$A18,DB!$1:$1,0)),FALSE)),"")</f>
        <v/>
      </c>
      <c r="DVY18" s="28" t="str">
        <f>IFERROR(IF(DWH3="No",IF(VLOOKUP(DATE($K$1,$K$2,DVY$4),Table1[],(MATCH(Calendar!$A18,DB!$1:$1,0)),FALSE)&gt;=5,"Good","Bad"),VLOOKUP(DATE($K$1,$K$2,DVY$4),Table1[],(MATCH(Calendar!$A18,DB!$1:$1,0)),FALSE)),"")</f>
        <v/>
      </c>
      <c r="DVZ18" s="28" t="str">
        <f>IFERROR(IF(DWI3="No",IF(VLOOKUP(DATE($K$1,$K$2,DVZ$4),Table1[],(MATCH(Calendar!$A18,DB!$1:$1,0)),FALSE)&gt;=5,"Good","Bad"),VLOOKUP(DATE($K$1,$K$2,DVZ$4),Table1[],(MATCH(Calendar!$A18,DB!$1:$1,0)),FALSE)),"")</f>
        <v/>
      </c>
      <c r="DWA18" s="28" t="str">
        <f>IFERROR(IF(DWJ3="No",IF(VLOOKUP(DATE($K$1,$K$2,DWA$4),Table1[],(MATCH(Calendar!$A18,DB!$1:$1,0)),FALSE)&gt;=5,"Good","Bad"),VLOOKUP(DATE($K$1,$K$2,DWA$4),Table1[],(MATCH(Calendar!$A18,DB!$1:$1,0)),FALSE)),"")</f>
        <v/>
      </c>
      <c r="DWB18" s="28" t="str">
        <f>IFERROR(IF(DWK3="No",IF(VLOOKUP(DATE($K$1,$K$2,DWB$4),Table1[],(MATCH(Calendar!$A18,DB!$1:$1,0)),FALSE)&gt;=5,"Good","Bad"),VLOOKUP(DATE($K$1,$K$2,DWB$4),Table1[],(MATCH(Calendar!$A18,DB!$1:$1,0)),FALSE)),"")</f>
        <v/>
      </c>
      <c r="DWC18" s="28" t="str">
        <f>IFERROR(IF(DWL3="No",IF(VLOOKUP(DATE($K$1,$K$2,DWC$4),Table1[],(MATCH(Calendar!$A18,DB!$1:$1,0)),FALSE)&gt;=5,"Good","Bad"),VLOOKUP(DATE($K$1,$K$2,DWC$4),Table1[],(MATCH(Calendar!$A18,DB!$1:$1,0)),FALSE)),"")</f>
        <v/>
      </c>
      <c r="DWD18" s="28" t="str">
        <f>IFERROR(IF(DWM3="No",IF(VLOOKUP(DATE($K$1,$K$2,DWD$4),Table1[],(MATCH(Calendar!$A18,DB!$1:$1,0)),FALSE)&gt;=5,"Good","Bad"),VLOOKUP(DATE($K$1,$K$2,DWD$4),Table1[],(MATCH(Calendar!$A18,DB!$1:$1,0)),FALSE)),"")</f>
        <v/>
      </c>
      <c r="DWE18" s="28" t="str">
        <f>IFERROR(IF(DWN3="No",IF(VLOOKUP(DATE($K$1,$K$2,DWE$4),Table1[],(MATCH(Calendar!$A18,DB!$1:$1,0)),FALSE)&gt;=5,"Good","Bad"),VLOOKUP(DATE($K$1,$K$2,DWE$4),Table1[],(MATCH(Calendar!$A18,DB!$1:$1,0)),FALSE)),"")</f>
        <v/>
      </c>
      <c r="DWF18" s="28" t="str">
        <f>IFERROR(IF(DWO3="No",IF(VLOOKUP(DATE($K$1,$K$2,DWF$4),Table1[],(MATCH(Calendar!$A18,DB!$1:$1,0)),FALSE)&gt;=5,"Good","Bad"),VLOOKUP(DATE($K$1,$K$2,DWF$4),Table1[],(MATCH(Calendar!$A18,DB!$1:$1,0)),FALSE)),"")</f>
        <v/>
      </c>
      <c r="DWG18" s="28" t="str">
        <f>IFERROR(IF(DWP3="No",IF(VLOOKUP(DATE($K$1,$K$2,DWG$4),Table1[],(MATCH(Calendar!$A18,DB!$1:$1,0)),FALSE)&gt;=5,"Good","Bad"),VLOOKUP(DATE($K$1,$K$2,DWG$4),Table1[],(MATCH(Calendar!$A18,DB!$1:$1,0)),FALSE)),"")</f>
        <v/>
      </c>
      <c r="DWH18" s="28" t="str">
        <f>IFERROR(IF(DWQ3="No",IF(VLOOKUP(DATE($K$1,$K$2,DWH$4),Table1[],(MATCH(Calendar!$A18,DB!$1:$1,0)),FALSE)&gt;=5,"Good","Bad"),VLOOKUP(DATE($K$1,$K$2,DWH$4),Table1[],(MATCH(Calendar!$A18,DB!$1:$1,0)),FALSE)),"")</f>
        <v/>
      </c>
      <c r="DWI18" s="28" t="str">
        <f>IFERROR(IF(DWR3="No",IF(VLOOKUP(DATE($K$1,$K$2,DWI$4),Table1[],(MATCH(Calendar!$A18,DB!$1:$1,0)),FALSE)&gt;=5,"Good","Bad"),VLOOKUP(DATE($K$1,$K$2,DWI$4),Table1[],(MATCH(Calendar!$A18,DB!$1:$1,0)),FALSE)),"")</f>
        <v/>
      </c>
      <c r="DWJ18" s="28" t="str">
        <f>IFERROR(IF(DWS3="No",IF(VLOOKUP(DATE($K$1,$K$2,DWJ$4),Table1[],(MATCH(Calendar!$A18,DB!$1:$1,0)),FALSE)&gt;=5,"Good","Bad"),VLOOKUP(DATE($K$1,$K$2,DWJ$4),Table1[],(MATCH(Calendar!$A18,DB!$1:$1,0)),FALSE)),"")</f>
        <v/>
      </c>
      <c r="DWK18" s="28" t="str">
        <f>IFERROR(IF(DWT3="No",IF(VLOOKUP(DATE($K$1,$K$2,DWK$4),Table1[],(MATCH(Calendar!$A18,DB!$1:$1,0)),FALSE)&gt;=5,"Good","Bad"),VLOOKUP(DATE($K$1,$K$2,DWK$4),Table1[],(MATCH(Calendar!$A18,DB!$1:$1,0)),FALSE)),"")</f>
        <v/>
      </c>
      <c r="DWL18" s="28" t="str">
        <f>IFERROR(IF(DWU3="No",IF(VLOOKUP(DATE($K$1,$K$2,DWL$4),Table1[],(MATCH(Calendar!$A18,DB!$1:$1,0)),FALSE)&gt;=5,"Good","Bad"),VLOOKUP(DATE($K$1,$K$2,DWL$4),Table1[],(MATCH(Calendar!$A18,DB!$1:$1,0)),FALSE)),"")</f>
        <v/>
      </c>
      <c r="DWM18" s="28" t="str">
        <f>IFERROR(IF(DWV3="No",IF(VLOOKUP(DATE($K$1,$K$2,DWM$4),Table1[],(MATCH(Calendar!$A18,DB!$1:$1,0)),FALSE)&gt;=5,"Good","Bad"),VLOOKUP(DATE($K$1,$K$2,DWM$4),Table1[],(MATCH(Calendar!$A18,DB!$1:$1,0)),FALSE)),"")</f>
        <v/>
      </c>
      <c r="DWN18" s="28" t="str">
        <f>IFERROR(IF(DWW3="No",IF(VLOOKUP(DATE($K$1,$K$2,DWN$4),Table1[],(MATCH(Calendar!$A18,DB!$1:$1,0)),FALSE)&gt;=5,"Good","Bad"),VLOOKUP(DATE($K$1,$K$2,DWN$4),Table1[],(MATCH(Calendar!$A18,DB!$1:$1,0)),FALSE)),"")</f>
        <v/>
      </c>
      <c r="DWO18" s="28" t="str">
        <f>IFERROR(IF(DWX3="No",IF(VLOOKUP(DATE($K$1,$K$2,DWO$4),Table1[],(MATCH(Calendar!$A18,DB!$1:$1,0)),FALSE)&gt;=5,"Good","Bad"),VLOOKUP(DATE($K$1,$K$2,DWO$4),Table1[],(MATCH(Calendar!$A18,DB!$1:$1,0)),FALSE)),"")</f>
        <v/>
      </c>
      <c r="DWP18" s="28" t="str">
        <f>IFERROR(IF(DWY3="No",IF(VLOOKUP(DATE($K$1,$K$2,DWP$4),Table1[],(MATCH(Calendar!$A18,DB!$1:$1,0)),FALSE)&gt;=5,"Good","Bad"),VLOOKUP(DATE($K$1,$K$2,DWP$4),Table1[],(MATCH(Calendar!$A18,DB!$1:$1,0)),FALSE)),"")</f>
        <v/>
      </c>
      <c r="DWQ18" s="28" t="str">
        <f>IFERROR(IF(DWZ3="No",IF(VLOOKUP(DATE($K$1,$K$2,DWQ$4),Table1[],(MATCH(Calendar!$A18,DB!$1:$1,0)),FALSE)&gt;=5,"Good","Bad"),VLOOKUP(DATE($K$1,$K$2,DWQ$4),Table1[],(MATCH(Calendar!$A18,DB!$1:$1,0)),FALSE)),"")</f>
        <v/>
      </c>
      <c r="DWR18" s="28" t="str">
        <f>IFERROR(IF(DXA3="No",IF(VLOOKUP(DATE($K$1,$K$2,DWR$4),Table1[],(MATCH(Calendar!$A18,DB!$1:$1,0)),FALSE)&gt;=5,"Good","Bad"),VLOOKUP(DATE($K$1,$K$2,DWR$4),Table1[],(MATCH(Calendar!$A18,DB!$1:$1,0)),FALSE)),"")</f>
        <v/>
      </c>
      <c r="DWS18" s="28" t="str">
        <f>IFERROR(IF(DXB3="No",IF(VLOOKUP(DATE($K$1,$K$2,DWS$4),Table1[],(MATCH(Calendar!$A18,DB!$1:$1,0)),FALSE)&gt;=5,"Good","Bad"),VLOOKUP(DATE($K$1,$K$2,DWS$4),Table1[],(MATCH(Calendar!$A18,DB!$1:$1,0)),FALSE)),"")</f>
        <v/>
      </c>
      <c r="DWT18" s="28" t="str">
        <f>IFERROR(IF(DXC3="No",IF(VLOOKUP(DATE($K$1,$K$2,DWT$4),Table1[],(MATCH(Calendar!$A18,DB!$1:$1,0)),FALSE)&gt;=5,"Good","Bad"),VLOOKUP(DATE($K$1,$K$2,DWT$4),Table1[],(MATCH(Calendar!$A18,DB!$1:$1,0)),FALSE)),"")</f>
        <v/>
      </c>
      <c r="DWU18" s="28" t="str">
        <f>IFERROR(IF(DXD3="No",IF(VLOOKUP(DATE($K$1,$K$2,DWU$4),Table1[],(MATCH(Calendar!$A18,DB!$1:$1,0)),FALSE)&gt;=5,"Good","Bad"),VLOOKUP(DATE($K$1,$K$2,DWU$4),Table1[],(MATCH(Calendar!$A18,DB!$1:$1,0)),FALSE)),"")</f>
        <v/>
      </c>
      <c r="DWV18" s="28" t="str">
        <f>IFERROR(IF(DXE3="No",IF(VLOOKUP(DATE($K$1,$K$2,DWV$4),Table1[],(MATCH(Calendar!$A18,DB!$1:$1,0)),FALSE)&gt;=5,"Good","Bad"),VLOOKUP(DATE($K$1,$K$2,DWV$4),Table1[],(MATCH(Calendar!$A18,DB!$1:$1,0)),FALSE)),"")</f>
        <v/>
      </c>
      <c r="DWW18" s="28" t="str">
        <f>IFERROR(IF(DXF3="No",IF(VLOOKUP(DATE($K$1,$K$2,DWW$4),Table1[],(MATCH(Calendar!$A18,DB!$1:$1,0)),FALSE)&gt;=5,"Good","Bad"),VLOOKUP(DATE($K$1,$K$2,DWW$4),Table1[],(MATCH(Calendar!$A18,DB!$1:$1,0)),FALSE)),"")</f>
        <v/>
      </c>
      <c r="DWX18" s="28" t="str">
        <f>IFERROR(IF(DXG3="No",IF(VLOOKUP(DATE($K$1,$K$2,DWX$4),Table1[],(MATCH(Calendar!$A18,DB!$1:$1,0)),FALSE)&gt;=5,"Good","Bad"),VLOOKUP(DATE($K$1,$K$2,DWX$4),Table1[],(MATCH(Calendar!$A18,DB!$1:$1,0)),FALSE)),"")</f>
        <v/>
      </c>
      <c r="DWY18" s="28" t="str">
        <f>IFERROR(IF(DXH3="No",IF(VLOOKUP(DATE($K$1,$K$2,DWY$4),Table1[],(MATCH(Calendar!$A18,DB!$1:$1,0)),FALSE)&gt;=5,"Good","Bad"),VLOOKUP(DATE($K$1,$K$2,DWY$4),Table1[],(MATCH(Calendar!$A18,DB!$1:$1,0)),FALSE)),"")</f>
        <v/>
      </c>
      <c r="DWZ18" s="28" t="str">
        <f>IFERROR(IF(DXI3="No",IF(VLOOKUP(DATE($K$1,$K$2,DWZ$4),Table1[],(MATCH(Calendar!$A18,DB!$1:$1,0)),FALSE)&gt;=5,"Good","Bad"),VLOOKUP(DATE($K$1,$K$2,DWZ$4),Table1[],(MATCH(Calendar!$A18,DB!$1:$1,0)),FALSE)),"")</f>
        <v/>
      </c>
      <c r="DXA18" s="28" t="str">
        <f>IFERROR(IF(DXJ3="No",IF(VLOOKUP(DATE($K$1,$K$2,DXA$4),Table1[],(MATCH(Calendar!$A18,DB!$1:$1,0)),FALSE)&gt;=5,"Good","Bad"),VLOOKUP(DATE($K$1,$K$2,DXA$4),Table1[],(MATCH(Calendar!$A18,DB!$1:$1,0)),FALSE)),"")</f>
        <v/>
      </c>
      <c r="DXB18" s="28" t="str">
        <f>IFERROR(IF(DXK3="No",IF(VLOOKUP(DATE($K$1,$K$2,DXB$4),Table1[],(MATCH(Calendar!$A18,DB!$1:$1,0)),FALSE)&gt;=5,"Good","Bad"),VLOOKUP(DATE($K$1,$K$2,DXB$4),Table1[],(MATCH(Calendar!$A18,DB!$1:$1,0)),FALSE)),"")</f>
        <v/>
      </c>
      <c r="DXC18" s="28" t="str">
        <f>IFERROR(IF(DXL3="No",IF(VLOOKUP(DATE($K$1,$K$2,DXC$4),Table1[],(MATCH(Calendar!$A18,DB!$1:$1,0)),FALSE)&gt;=5,"Good","Bad"),VLOOKUP(DATE($K$1,$K$2,DXC$4),Table1[],(MATCH(Calendar!$A18,DB!$1:$1,0)),FALSE)),"")</f>
        <v/>
      </c>
      <c r="DXD18" s="28" t="str">
        <f>IFERROR(IF(DXM3="No",IF(VLOOKUP(DATE($K$1,$K$2,DXD$4),Table1[],(MATCH(Calendar!$A18,DB!$1:$1,0)),FALSE)&gt;=5,"Good","Bad"),VLOOKUP(DATE($K$1,$K$2,DXD$4),Table1[],(MATCH(Calendar!$A18,DB!$1:$1,0)),FALSE)),"")</f>
        <v/>
      </c>
      <c r="DXE18" s="28" t="str">
        <f>IFERROR(IF(DXN3="No",IF(VLOOKUP(DATE($K$1,$K$2,DXE$4),Table1[],(MATCH(Calendar!$A18,DB!$1:$1,0)),FALSE)&gt;=5,"Good","Bad"),VLOOKUP(DATE($K$1,$K$2,DXE$4),Table1[],(MATCH(Calendar!$A18,DB!$1:$1,0)),FALSE)),"")</f>
        <v/>
      </c>
      <c r="DXF18" s="28" t="str">
        <f>IFERROR(IF(DXO3="No",IF(VLOOKUP(DATE($K$1,$K$2,DXF$4),Table1[],(MATCH(Calendar!$A18,DB!$1:$1,0)),FALSE)&gt;=5,"Good","Bad"),VLOOKUP(DATE($K$1,$K$2,DXF$4),Table1[],(MATCH(Calendar!$A18,DB!$1:$1,0)),FALSE)),"")</f>
        <v/>
      </c>
      <c r="DXG18" s="28" t="str">
        <f>IFERROR(IF(DXP3="No",IF(VLOOKUP(DATE($K$1,$K$2,DXG$4),Table1[],(MATCH(Calendar!$A18,DB!$1:$1,0)),FALSE)&gt;=5,"Good","Bad"),VLOOKUP(DATE($K$1,$K$2,DXG$4),Table1[],(MATCH(Calendar!$A18,DB!$1:$1,0)),FALSE)),"")</f>
        <v/>
      </c>
      <c r="DXH18" s="28" t="str">
        <f>IFERROR(IF(DXQ3="No",IF(VLOOKUP(DATE($K$1,$K$2,DXH$4),Table1[],(MATCH(Calendar!$A18,DB!$1:$1,0)),FALSE)&gt;=5,"Good","Bad"),VLOOKUP(DATE($K$1,$K$2,DXH$4),Table1[],(MATCH(Calendar!$A18,DB!$1:$1,0)),FALSE)),"")</f>
        <v/>
      </c>
      <c r="DXI18" s="28" t="str">
        <f>IFERROR(IF(DXR3="No",IF(VLOOKUP(DATE($K$1,$K$2,DXI$4),Table1[],(MATCH(Calendar!$A18,DB!$1:$1,0)),FALSE)&gt;=5,"Good","Bad"),VLOOKUP(DATE($K$1,$K$2,DXI$4),Table1[],(MATCH(Calendar!$A18,DB!$1:$1,0)),FALSE)),"")</f>
        <v/>
      </c>
      <c r="DXJ18" s="28" t="str">
        <f>IFERROR(IF(DXS3="No",IF(VLOOKUP(DATE($K$1,$K$2,DXJ$4),Table1[],(MATCH(Calendar!$A18,DB!$1:$1,0)),FALSE)&gt;=5,"Good","Bad"),VLOOKUP(DATE($K$1,$K$2,DXJ$4),Table1[],(MATCH(Calendar!$A18,DB!$1:$1,0)),FALSE)),"")</f>
        <v/>
      </c>
      <c r="DXK18" s="28" t="str">
        <f>IFERROR(IF(DXT3="No",IF(VLOOKUP(DATE($K$1,$K$2,DXK$4),Table1[],(MATCH(Calendar!$A18,DB!$1:$1,0)),FALSE)&gt;=5,"Good","Bad"),VLOOKUP(DATE($K$1,$K$2,DXK$4),Table1[],(MATCH(Calendar!$A18,DB!$1:$1,0)),FALSE)),"")</f>
        <v/>
      </c>
      <c r="DXL18" s="28" t="str">
        <f>IFERROR(IF(DXU3="No",IF(VLOOKUP(DATE($K$1,$K$2,DXL$4),Table1[],(MATCH(Calendar!$A18,DB!$1:$1,0)),FALSE)&gt;=5,"Good","Bad"),VLOOKUP(DATE($K$1,$K$2,DXL$4),Table1[],(MATCH(Calendar!$A18,DB!$1:$1,0)),FALSE)),"")</f>
        <v/>
      </c>
      <c r="DXM18" s="28" t="str">
        <f>IFERROR(IF(DXV3="No",IF(VLOOKUP(DATE($K$1,$K$2,DXM$4),Table1[],(MATCH(Calendar!$A18,DB!$1:$1,0)),FALSE)&gt;=5,"Good","Bad"),VLOOKUP(DATE($K$1,$K$2,DXM$4),Table1[],(MATCH(Calendar!$A18,DB!$1:$1,0)),FALSE)),"")</f>
        <v/>
      </c>
      <c r="DXN18" s="28" t="str">
        <f>IFERROR(IF(DXW3="No",IF(VLOOKUP(DATE($K$1,$K$2,DXN$4),Table1[],(MATCH(Calendar!$A18,DB!$1:$1,0)),FALSE)&gt;=5,"Good","Bad"),VLOOKUP(DATE($K$1,$K$2,DXN$4),Table1[],(MATCH(Calendar!$A18,DB!$1:$1,0)),FALSE)),"")</f>
        <v/>
      </c>
      <c r="DXO18" s="28" t="str">
        <f>IFERROR(IF(DXX3="No",IF(VLOOKUP(DATE($K$1,$K$2,DXO$4),Table1[],(MATCH(Calendar!$A18,DB!$1:$1,0)),FALSE)&gt;=5,"Good","Bad"),VLOOKUP(DATE($K$1,$K$2,DXO$4),Table1[],(MATCH(Calendar!$A18,DB!$1:$1,0)),FALSE)),"")</f>
        <v/>
      </c>
      <c r="DXP18" s="28" t="str">
        <f>IFERROR(IF(DXY3="No",IF(VLOOKUP(DATE($K$1,$K$2,DXP$4),Table1[],(MATCH(Calendar!$A18,DB!$1:$1,0)),FALSE)&gt;=5,"Good","Bad"),VLOOKUP(DATE($K$1,$K$2,DXP$4),Table1[],(MATCH(Calendar!$A18,DB!$1:$1,0)),FALSE)),"")</f>
        <v/>
      </c>
      <c r="DXQ18" s="28" t="str">
        <f>IFERROR(IF(DXZ3="No",IF(VLOOKUP(DATE($K$1,$K$2,DXQ$4),Table1[],(MATCH(Calendar!$A18,DB!$1:$1,0)),FALSE)&gt;=5,"Good","Bad"),VLOOKUP(DATE($K$1,$K$2,DXQ$4),Table1[],(MATCH(Calendar!$A18,DB!$1:$1,0)),FALSE)),"")</f>
        <v/>
      </c>
      <c r="DXR18" s="28" t="str">
        <f>IFERROR(IF(DYA3="No",IF(VLOOKUP(DATE($K$1,$K$2,DXR$4),Table1[],(MATCH(Calendar!$A18,DB!$1:$1,0)),FALSE)&gt;=5,"Good","Bad"),VLOOKUP(DATE($K$1,$K$2,DXR$4),Table1[],(MATCH(Calendar!$A18,DB!$1:$1,0)),FALSE)),"")</f>
        <v/>
      </c>
      <c r="DXS18" s="28" t="str">
        <f>IFERROR(IF(DYB3="No",IF(VLOOKUP(DATE($K$1,$K$2,DXS$4),Table1[],(MATCH(Calendar!$A18,DB!$1:$1,0)),FALSE)&gt;=5,"Good","Bad"),VLOOKUP(DATE($K$1,$K$2,DXS$4),Table1[],(MATCH(Calendar!$A18,DB!$1:$1,0)),FALSE)),"")</f>
        <v/>
      </c>
      <c r="DXT18" s="28" t="str">
        <f>IFERROR(IF(DYC3="No",IF(VLOOKUP(DATE($K$1,$K$2,DXT$4),Table1[],(MATCH(Calendar!$A18,DB!$1:$1,0)),FALSE)&gt;=5,"Good","Bad"),VLOOKUP(DATE($K$1,$K$2,DXT$4),Table1[],(MATCH(Calendar!$A18,DB!$1:$1,0)),FALSE)),"")</f>
        <v/>
      </c>
      <c r="DXU18" s="28" t="str">
        <f>IFERROR(IF(DYD3="No",IF(VLOOKUP(DATE($K$1,$K$2,DXU$4),Table1[],(MATCH(Calendar!$A18,DB!$1:$1,0)),FALSE)&gt;=5,"Good","Bad"),VLOOKUP(DATE($K$1,$K$2,DXU$4),Table1[],(MATCH(Calendar!$A18,DB!$1:$1,0)),FALSE)),"")</f>
        <v/>
      </c>
      <c r="DXV18" s="28" t="str">
        <f>IFERROR(IF(DYE3="No",IF(VLOOKUP(DATE($K$1,$K$2,DXV$4),Table1[],(MATCH(Calendar!$A18,DB!$1:$1,0)),FALSE)&gt;=5,"Good","Bad"),VLOOKUP(DATE($K$1,$K$2,DXV$4),Table1[],(MATCH(Calendar!$A18,DB!$1:$1,0)),FALSE)),"")</f>
        <v/>
      </c>
      <c r="DXW18" s="28" t="str">
        <f>IFERROR(IF(DYF3="No",IF(VLOOKUP(DATE($K$1,$K$2,DXW$4),Table1[],(MATCH(Calendar!$A18,DB!$1:$1,0)),FALSE)&gt;=5,"Good","Bad"),VLOOKUP(DATE($K$1,$K$2,DXW$4),Table1[],(MATCH(Calendar!$A18,DB!$1:$1,0)),FALSE)),"")</f>
        <v/>
      </c>
      <c r="DXX18" s="28" t="str">
        <f>IFERROR(IF(DYG3="No",IF(VLOOKUP(DATE($K$1,$K$2,DXX$4),Table1[],(MATCH(Calendar!$A18,DB!$1:$1,0)),FALSE)&gt;=5,"Good","Bad"),VLOOKUP(DATE($K$1,$K$2,DXX$4),Table1[],(MATCH(Calendar!$A18,DB!$1:$1,0)),FALSE)),"")</f>
        <v/>
      </c>
      <c r="DXY18" s="28" t="str">
        <f>IFERROR(IF(DYH3="No",IF(VLOOKUP(DATE($K$1,$K$2,DXY$4),Table1[],(MATCH(Calendar!$A18,DB!$1:$1,0)),FALSE)&gt;=5,"Good","Bad"),VLOOKUP(DATE($K$1,$K$2,DXY$4),Table1[],(MATCH(Calendar!$A18,DB!$1:$1,0)),FALSE)),"")</f>
        <v/>
      </c>
      <c r="DXZ18" s="28" t="str">
        <f>IFERROR(IF(DYI3="No",IF(VLOOKUP(DATE($K$1,$K$2,DXZ$4),Table1[],(MATCH(Calendar!$A18,DB!$1:$1,0)),FALSE)&gt;=5,"Good","Bad"),VLOOKUP(DATE($K$1,$K$2,DXZ$4),Table1[],(MATCH(Calendar!$A18,DB!$1:$1,0)),FALSE)),"")</f>
        <v/>
      </c>
      <c r="DYA18" s="28" t="str">
        <f>IFERROR(IF(DYJ3="No",IF(VLOOKUP(DATE($K$1,$K$2,DYA$4),Table1[],(MATCH(Calendar!$A18,DB!$1:$1,0)),FALSE)&gt;=5,"Good","Bad"),VLOOKUP(DATE($K$1,$K$2,DYA$4),Table1[],(MATCH(Calendar!$A18,DB!$1:$1,0)),FALSE)),"")</f>
        <v/>
      </c>
      <c r="DYB18" s="28" t="str">
        <f>IFERROR(IF(DYK3="No",IF(VLOOKUP(DATE($K$1,$K$2,DYB$4),Table1[],(MATCH(Calendar!$A18,DB!$1:$1,0)),FALSE)&gt;=5,"Good","Bad"),VLOOKUP(DATE($K$1,$K$2,DYB$4),Table1[],(MATCH(Calendar!$A18,DB!$1:$1,0)),FALSE)),"")</f>
        <v/>
      </c>
      <c r="DYC18" s="28" t="str">
        <f>IFERROR(IF(DYL3="No",IF(VLOOKUP(DATE($K$1,$K$2,DYC$4),Table1[],(MATCH(Calendar!$A18,DB!$1:$1,0)),FALSE)&gt;=5,"Good","Bad"),VLOOKUP(DATE($K$1,$K$2,DYC$4),Table1[],(MATCH(Calendar!$A18,DB!$1:$1,0)),FALSE)),"")</f>
        <v/>
      </c>
      <c r="DYD18" s="28" t="str">
        <f>IFERROR(IF(DYM3="No",IF(VLOOKUP(DATE($K$1,$K$2,DYD$4),Table1[],(MATCH(Calendar!$A18,DB!$1:$1,0)),FALSE)&gt;=5,"Good","Bad"),VLOOKUP(DATE($K$1,$K$2,DYD$4),Table1[],(MATCH(Calendar!$A18,DB!$1:$1,0)),FALSE)),"")</f>
        <v/>
      </c>
      <c r="DYE18" s="28" t="str">
        <f>IFERROR(IF(DYN3="No",IF(VLOOKUP(DATE($K$1,$K$2,DYE$4),Table1[],(MATCH(Calendar!$A18,DB!$1:$1,0)),FALSE)&gt;=5,"Good","Bad"),VLOOKUP(DATE($K$1,$K$2,DYE$4),Table1[],(MATCH(Calendar!$A18,DB!$1:$1,0)),FALSE)),"")</f>
        <v/>
      </c>
      <c r="DYF18" s="28" t="str">
        <f>IFERROR(IF(DYO3="No",IF(VLOOKUP(DATE($K$1,$K$2,DYF$4),Table1[],(MATCH(Calendar!$A18,DB!$1:$1,0)),FALSE)&gt;=5,"Good","Bad"),VLOOKUP(DATE($K$1,$K$2,DYF$4),Table1[],(MATCH(Calendar!$A18,DB!$1:$1,0)),FALSE)),"")</f>
        <v/>
      </c>
      <c r="DYG18" s="28" t="str">
        <f>IFERROR(IF(DYP3="No",IF(VLOOKUP(DATE($K$1,$K$2,DYG$4),Table1[],(MATCH(Calendar!$A18,DB!$1:$1,0)),FALSE)&gt;=5,"Good","Bad"),VLOOKUP(DATE($K$1,$K$2,DYG$4),Table1[],(MATCH(Calendar!$A18,DB!$1:$1,0)),FALSE)),"")</f>
        <v/>
      </c>
      <c r="DYH18" s="28" t="str">
        <f>IFERROR(IF(DYQ3="No",IF(VLOOKUP(DATE($K$1,$K$2,DYH$4),Table1[],(MATCH(Calendar!$A18,DB!$1:$1,0)),FALSE)&gt;=5,"Good","Bad"),VLOOKUP(DATE($K$1,$K$2,DYH$4),Table1[],(MATCH(Calendar!$A18,DB!$1:$1,0)),FALSE)),"")</f>
        <v/>
      </c>
      <c r="DYI18" s="28" t="str">
        <f>IFERROR(IF(DYR3="No",IF(VLOOKUP(DATE($K$1,$K$2,DYI$4),Table1[],(MATCH(Calendar!$A18,DB!$1:$1,0)),FALSE)&gt;=5,"Good","Bad"),VLOOKUP(DATE($K$1,$K$2,DYI$4),Table1[],(MATCH(Calendar!$A18,DB!$1:$1,0)),FALSE)),"")</f>
        <v/>
      </c>
      <c r="DYJ18" s="28" t="str">
        <f>IFERROR(IF(DYS3="No",IF(VLOOKUP(DATE($K$1,$K$2,DYJ$4),Table1[],(MATCH(Calendar!$A18,DB!$1:$1,0)),FALSE)&gt;=5,"Good","Bad"),VLOOKUP(DATE($K$1,$K$2,DYJ$4),Table1[],(MATCH(Calendar!$A18,DB!$1:$1,0)),FALSE)),"")</f>
        <v/>
      </c>
      <c r="DYK18" s="28" t="str">
        <f>IFERROR(IF(DYT3="No",IF(VLOOKUP(DATE($K$1,$K$2,DYK$4),Table1[],(MATCH(Calendar!$A18,DB!$1:$1,0)),FALSE)&gt;=5,"Good","Bad"),VLOOKUP(DATE($K$1,$K$2,DYK$4),Table1[],(MATCH(Calendar!$A18,DB!$1:$1,0)),FALSE)),"")</f>
        <v/>
      </c>
      <c r="DYL18" s="28" t="str">
        <f>IFERROR(IF(DYU3="No",IF(VLOOKUP(DATE($K$1,$K$2,DYL$4),Table1[],(MATCH(Calendar!$A18,DB!$1:$1,0)),FALSE)&gt;=5,"Good","Bad"),VLOOKUP(DATE($K$1,$K$2,DYL$4),Table1[],(MATCH(Calendar!$A18,DB!$1:$1,0)),FALSE)),"")</f>
        <v/>
      </c>
      <c r="DYM18" s="28" t="str">
        <f>IFERROR(IF(DYV3="No",IF(VLOOKUP(DATE($K$1,$K$2,DYM$4),Table1[],(MATCH(Calendar!$A18,DB!$1:$1,0)),FALSE)&gt;=5,"Good","Bad"),VLOOKUP(DATE($K$1,$K$2,DYM$4),Table1[],(MATCH(Calendar!$A18,DB!$1:$1,0)),FALSE)),"")</f>
        <v/>
      </c>
      <c r="DYN18" s="28" t="str">
        <f>IFERROR(IF(DYW3="No",IF(VLOOKUP(DATE($K$1,$K$2,DYN$4),Table1[],(MATCH(Calendar!$A18,DB!$1:$1,0)),FALSE)&gt;=5,"Good","Bad"),VLOOKUP(DATE($K$1,$K$2,DYN$4),Table1[],(MATCH(Calendar!$A18,DB!$1:$1,0)),FALSE)),"")</f>
        <v/>
      </c>
      <c r="DYO18" s="28" t="str">
        <f>IFERROR(IF(DYX3="No",IF(VLOOKUP(DATE($K$1,$K$2,DYO$4),Table1[],(MATCH(Calendar!$A18,DB!$1:$1,0)),FALSE)&gt;=5,"Good","Bad"),VLOOKUP(DATE($K$1,$K$2,DYO$4),Table1[],(MATCH(Calendar!$A18,DB!$1:$1,0)),FALSE)),"")</f>
        <v/>
      </c>
      <c r="DYP18" s="28" t="str">
        <f>IFERROR(IF(DYY3="No",IF(VLOOKUP(DATE($K$1,$K$2,DYP$4),Table1[],(MATCH(Calendar!$A18,DB!$1:$1,0)),FALSE)&gt;=5,"Good","Bad"),VLOOKUP(DATE($K$1,$K$2,DYP$4),Table1[],(MATCH(Calendar!$A18,DB!$1:$1,0)),FALSE)),"")</f>
        <v/>
      </c>
      <c r="DYQ18" s="28" t="str">
        <f>IFERROR(IF(DYZ3="No",IF(VLOOKUP(DATE($K$1,$K$2,DYQ$4),Table1[],(MATCH(Calendar!$A18,DB!$1:$1,0)),FALSE)&gt;=5,"Good","Bad"),VLOOKUP(DATE($K$1,$K$2,DYQ$4),Table1[],(MATCH(Calendar!$A18,DB!$1:$1,0)),FALSE)),"")</f>
        <v/>
      </c>
      <c r="DYR18" s="28" t="str">
        <f>IFERROR(IF(DZA3="No",IF(VLOOKUP(DATE($K$1,$K$2,DYR$4),Table1[],(MATCH(Calendar!$A18,DB!$1:$1,0)),FALSE)&gt;=5,"Good","Bad"),VLOOKUP(DATE($K$1,$K$2,DYR$4),Table1[],(MATCH(Calendar!$A18,DB!$1:$1,0)),FALSE)),"")</f>
        <v/>
      </c>
      <c r="DYS18" s="28" t="str">
        <f>IFERROR(IF(DZB3="No",IF(VLOOKUP(DATE($K$1,$K$2,DYS$4),Table1[],(MATCH(Calendar!$A18,DB!$1:$1,0)),FALSE)&gt;=5,"Good","Bad"),VLOOKUP(DATE($K$1,$K$2,DYS$4),Table1[],(MATCH(Calendar!$A18,DB!$1:$1,0)),FALSE)),"")</f>
        <v/>
      </c>
      <c r="DYT18" s="28" t="str">
        <f>IFERROR(IF(DZC3="No",IF(VLOOKUP(DATE($K$1,$K$2,DYT$4),Table1[],(MATCH(Calendar!$A18,DB!$1:$1,0)),FALSE)&gt;=5,"Good","Bad"),VLOOKUP(DATE($K$1,$K$2,DYT$4),Table1[],(MATCH(Calendar!$A18,DB!$1:$1,0)),FALSE)),"")</f>
        <v/>
      </c>
      <c r="DYU18" s="28" t="str">
        <f>IFERROR(IF(DZD3="No",IF(VLOOKUP(DATE($K$1,$K$2,DYU$4),Table1[],(MATCH(Calendar!$A18,DB!$1:$1,0)),FALSE)&gt;=5,"Good","Bad"),VLOOKUP(DATE($K$1,$K$2,DYU$4),Table1[],(MATCH(Calendar!$A18,DB!$1:$1,0)),FALSE)),"")</f>
        <v/>
      </c>
      <c r="DYV18" s="28" t="str">
        <f>IFERROR(IF(DZE3="No",IF(VLOOKUP(DATE($K$1,$K$2,DYV$4),Table1[],(MATCH(Calendar!$A18,DB!$1:$1,0)),FALSE)&gt;=5,"Good","Bad"),VLOOKUP(DATE($K$1,$K$2,DYV$4),Table1[],(MATCH(Calendar!$A18,DB!$1:$1,0)),FALSE)),"")</f>
        <v/>
      </c>
      <c r="DYW18" s="28" t="str">
        <f>IFERROR(IF(DZF3="No",IF(VLOOKUP(DATE($K$1,$K$2,DYW$4),Table1[],(MATCH(Calendar!$A18,DB!$1:$1,0)),FALSE)&gt;=5,"Good","Bad"),VLOOKUP(DATE($K$1,$K$2,DYW$4),Table1[],(MATCH(Calendar!$A18,DB!$1:$1,0)),FALSE)),"")</f>
        <v/>
      </c>
      <c r="DYX18" s="28" t="str">
        <f>IFERROR(IF(DZG3="No",IF(VLOOKUP(DATE($K$1,$K$2,DYX$4),Table1[],(MATCH(Calendar!$A18,DB!$1:$1,0)),FALSE)&gt;=5,"Good","Bad"),VLOOKUP(DATE($K$1,$K$2,DYX$4),Table1[],(MATCH(Calendar!$A18,DB!$1:$1,0)),FALSE)),"")</f>
        <v/>
      </c>
      <c r="DYY18" s="28" t="str">
        <f>IFERROR(IF(DZH3="No",IF(VLOOKUP(DATE($K$1,$K$2,DYY$4),Table1[],(MATCH(Calendar!$A18,DB!$1:$1,0)),FALSE)&gt;=5,"Good","Bad"),VLOOKUP(DATE($K$1,$K$2,DYY$4),Table1[],(MATCH(Calendar!$A18,DB!$1:$1,0)),FALSE)),"")</f>
        <v/>
      </c>
      <c r="DYZ18" s="28" t="str">
        <f>IFERROR(IF(DZI3="No",IF(VLOOKUP(DATE($K$1,$K$2,DYZ$4),Table1[],(MATCH(Calendar!$A18,DB!$1:$1,0)),FALSE)&gt;=5,"Good","Bad"),VLOOKUP(DATE($K$1,$K$2,DYZ$4),Table1[],(MATCH(Calendar!$A18,DB!$1:$1,0)),FALSE)),"")</f>
        <v/>
      </c>
      <c r="DZA18" s="28" t="str">
        <f>IFERROR(IF(DZJ3="No",IF(VLOOKUP(DATE($K$1,$K$2,DZA$4),Table1[],(MATCH(Calendar!$A18,DB!$1:$1,0)),FALSE)&gt;=5,"Good","Bad"),VLOOKUP(DATE($K$1,$K$2,DZA$4),Table1[],(MATCH(Calendar!$A18,DB!$1:$1,0)),FALSE)),"")</f>
        <v/>
      </c>
      <c r="DZB18" s="28" t="str">
        <f>IFERROR(IF(DZK3="No",IF(VLOOKUP(DATE($K$1,$K$2,DZB$4),Table1[],(MATCH(Calendar!$A18,DB!$1:$1,0)),FALSE)&gt;=5,"Good","Bad"),VLOOKUP(DATE($K$1,$K$2,DZB$4),Table1[],(MATCH(Calendar!$A18,DB!$1:$1,0)),FALSE)),"")</f>
        <v/>
      </c>
      <c r="DZC18" s="28" t="str">
        <f>IFERROR(IF(DZL3="No",IF(VLOOKUP(DATE($K$1,$K$2,DZC$4),Table1[],(MATCH(Calendar!$A18,DB!$1:$1,0)),FALSE)&gt;=5,"Good","Bad"),VLOOKUP(DATE($K$1,$K$2,DZC$4),Table1[],(MATCH(Calendar!$A18,DB!$1:$1,0)),FALSE)),"")</f>
        <v/>
      </c>
      <c r="DZD18" s="28" t="str">
        <f>IFERROR(IF(DZM3="No",IF(VLOOKUP(DATE($K$1,$K$2,DZD$4),Table1[],(MATCH(Calendar!$A18,DB!$1:$1,0)),FALSE)&gt;=5,"Good","Bad"),VLOOKUP(DATE($K$1,$K$2,DZD$4),Table1[],(MATCH(Calendar!$A18,DB!$1:$1,0)),FALSE)),"")</f>
        <v/>
      </c>
      <c r="DZE18" s="28" t="str">
        <f>IFERROR(IF(DZN3="No",IF(VLOOKUP(DATE($K$1,$K$2,DZE$4),Table1[],(MATCH(Calendar!$A18,DB!$1:$1,0)),FALSE)&gt;=5,"Good","Bad"),VLOOKUP(DATE($K$1,$K$2,DZE$4),Table1[],(MATCH(Calendar!$A18,DB!$1:$1,0)),FALSE)),"")</f>
        <v/>
      </c>
      <c r="DZF18" s="28" t="str">
        <f>IFERROR(IF(DZO3="No",IF(VLOOKUP(DATE($K$1,$K$2,DZF$4),Table1[],(MATCH(Calendar!$A18,DB!$1:$1,0)),FALSE)&gt;=5,"Good","Bad"),VLOOKUP(DATE($K$1,$K$2,DZF$4),Table1[],(MATCH(Calendar!$A18,DB!$1:$1,0)),FALSE)),"")</f>
        <v/>
      </c>
      <c r="DZG18" s="28" t="str">
        <f>IFERROR(IF(DZP3="No",IF(VLOOKUP(DATE($K$1,$K$2,DZG$4),Table1[],(MATCH(Calendar!$A18,DB!$1:$1,0)),FALSE)&gt;=5,"Good","Bad"),VLOOKUP(DATE($K$1,$K$2,DZG$4),Table1[],(MATCH(Calendar!$A18,DB!$1:$1,0)),FALSE)),"")</f>
        <v/>
      </c>
      <c r="DZH18" s="28" t="str">
        <f>IFERROR(IF(DZQ3="No",IF(VLOOKUP(DATE($K$1,$K$2,DZH$4),Table1[],(MATCH(Calendar!$A18,DB!$1:$1,0)),FALSE)&gt;=5,"Good","Bad"),VLOOKUP(DATE($K$1,$K$2,DZH$4),Table1[],(MATCH(Calendar!$A18,DB!$1:$1,0)),FALSE)),"")</f>
        <v/>
      </c>
      <c r="DZI18" s="28" t="str">
        <f>IFERROR(IF(DZR3="No",IF(VLOOKUP(DATE($K$1,$K$2,DZI$4),Table1[],(MATCH(Calendar!$A18,DB!$1:$1,0)),FALSE)&gt;=5,"Good","Bad"),VLOOKUP(DATE($K$1,$K$2,DZI$4),Table1[],(MATCH(Calendar!$A18,DB!$1:$1,0)),FALSE)),"")</f>
        <v/>
      </c>
      <c r="DZJ18" s="28" t="str">
        <f>IFERROR(IF(DZS3="No",IF(VLOOKUP(DATE($K$1,$K$2,DZJ$4),Table1[],(MATCH(Calendar!$A18,DB!$1:$1,0)),FALSE)&gt;=5,"Good","Bad"),VLOOKUP(DATE($K$1,$K$2,DZJ$4),Table1[],(MATCH(Calendar!$A18,DB!$1:$1,0)),FALSE)),"")</f>
        <v/>
      </c>
      <c r="DZK18" s="28" t="str">
        <f>IFERROR(IF(DZT3="No",IF(VLOOKUP(DATE($K$1,$K$2,DZK$4),Table1[],(MATCH(Calendar!$A18,DB!$1:$1,0)),FALSE)&gt;=5,"Good","Bad"),VLOOKUP(DATE($K$1,$K$2,DZK$4),Table1[],(MATCH(Calendar!$A18,DB!$1:$1,0)),FALSE)),"")</f>
        <v/>
      </c>
      <c r="DZL18" s="28" t="str">
        <f>IFERROR(IF(DZU3="No",IF(VLOOKUP(DATE($K$1,$K$2,DZL$4),Table1[],(MATCH(Calendar!$A18,DB!$1:$1,0)),FALSE)&gt;=5,"Good","Bad"),VLOOKUP(DATE($K$1,$K$2,DZL$4),Table1[],(MATCH(Calendar!$A18,DB!$1:$1,0)),FALSE)),"")</f>
        <v/>
      </c>
      <c r="DZM18" s="28" t="str">
        <f>IFERROR(IF(DZV3="No",IF(VLOOKUP(DATE($K$1,$K$2,DZM$4),Table1[],(MATCH(Calendar!$A18,DB!$1:$1,0)),FALSE)&gt;=5,"Good","Bad"),VLOOKUP(DATE($K$1,$K$2,DZM$4),Table1[],(MATCH(Calendar!$A18,DB!$1:$1,0)),FALSE)),"")</f>
        <v/>
      </c>
      <c r="DZN18" s="28" t="str">
        <f>IFERROR(IF(DZW3="No",IF(VLOOKUP(DATE($K$1,$K$2,DZN$4),Table1[],(MATCH(Calendar!$A18,DB!$1:$1,0)),FALSE)&gt;=5,"Good","Bad"),VLOOKUP(DATE($K$1,$K$2,DZN$4),Table1[],(MATCH(Calendar!$A18,DB!$1:$1,0)),FALSE)),"")</f>
        <v/>
      </c>
      <c r="DZO18" s="28" t="str">
        <f>IFERROR(IF(DZX3="No",IF(VLOOKUP(DATE($K$1,$K$2,DZO$4),Table1[],(MATCH(Calendar!$A18,DB!$1:$1,0)),FALSE)&gt;=5,"Good","Bad"),VLOOKUP(DATE($K$1,$K$2,DZO$4),Table1[],(MATCH(Calendar!$A18,DB!$1:$1,0)),FALSE)),"")</f>
        <v/>
      </c>
      <c r="DZP18" s="28" t="str">
        <f>IFERROR(IF(DZY3="No",IF(VLOOKUP(DATE($K$1,$K$2,DZP$4),Table1[],(MATCH(Calendar!$A18,DB!$1:$1,0)),FALSE)&gt;=5,"Good","Bad"),VLOOKUP(DATE($K$1,$K$2,DZP$4),Table1[],(MATCH(Calendar!$A18,DB!$1:$1,0)),FALSE)),"")</f>
        <v/>
      </c>
      <c r="DZQ18" s="28" t="str">
        <f>IFERROR(IF(DZZ3="No",IF(VLOOKUP(DATE($K$1,$K$2,DZQ$4),Table1[],(MATCH(Calendar!$A18,DB!$1:$1,0)),FALSE)&gt;=5,"Good","Bad"),VLOOKUP(DATE($K$1,$K$2,DZQ$4),Table1[],(MATCH(Calendar!$A18,DB!$1:$1,0)),FALSE)),"")</f>
        <v/>
      </c>
      <c r="DZR18" s="28" t="str">
        <f>IFERROR(IF(EAA3="No",IF(VLOOKUP(DATE($K$1,$K$2,DZR$4),Table1[],(MATCH(Calendar!$A18,DB!$1:$1,0)),FALSE)&gt;=5,"Good","Bad"),VLOOKUP(DATE($K$1,$K$2,DZR$4),Table1[],(MATCH(Calendar!$A18,DB!$1:$1,0)),FALSE)),"")</f>
        <v/>
      </c>
      <c r="DZS18" s="28" t="str">
        <f>IFERROR(IF(EAB3="No",IF(VLOOKUP(DATE($K$1,$K$2,DZS$4),Table1[],(MATCH(Calendar!$A18,DB!$1:$1,0)),FALSE)&gt;=5,"Good","Bad"),VLOOKUP(DATE($K$1,$K$2,DZS$4),Table1[],(MATCH(Calendar!$A18,DB!$1:$1,0)),FALSE)),"")</f>
        <v/>
      </c>
      <c r="DZT18" s="28" t="str">
        <f>IFERROR(IF(EAC3="No",IF(VLOOKUP(DATE($K$1,$K$2,DZT$4),Table1[],(MATCH(Calendar!$A18,DB!$1:$1,0)),FALSE)&gt;=5,"Good","Bad"),VLOOKUP(DATE($K$1,$K$2,DZT$4),Table1[],(MATCH(Calendar!$A18,DB!$1:$1,0)),FALSE)),"")</f>
        <v/>
      </c>
      <c r="DZU18" s="28" t="str">
        <f>IFERROR(IF(EAD3="No",IF(VLOOKUP(DATE($K$1,$K$2,DZU$4),Table1[],(MATCH(Calendar!$A18,DB!$1:$1,0)),FALSE)&gt;=5,"Good","Bad"),VLOOKUP(DATE($K$1,$K$2,DZU$4),Table1[],(MATCH(Calendar!$A18,DB!$1:$1,0)),FALSE)),"")</f>
        <v/>
      </c>
      <c r="DZV18" s="28" t="str">
        <f>IFERROR(IF(EAE3="No",IF(VLOOKUP(DATE($K$1,$K$2,DZV$4),Table1[],(MATCH(Calendar!$A18,DB!$1:$1,0)),FALSE)&gt;=5,"Good","Bad"),VLOOKUP(DATE($K$1,$K$2,DZV$4),Table1[],(MATCH(Calendar!$A18,DB!$1:$1,0)),FALSE)),"")</f>
        <v/>
      </c>
      <c r="DZW18" s="28" t="str">
        <f>IFERROR(IF(EAF3="No",IF(VLOOKUP(DATE($K$1,$K$2,DZW$4),Table1[],(MATCH(Calendar!$A18,DB!$1:$1,0)),FALSE)&gt;=5,"Good","Bad"),VLOOKUP(DATE($K$1,$K$2,DZW$4),Table1[],(MATCH(Calendar!$A18,DB!$1:$1,0)),FALSE)),"")</f>
        <v/>
      </c>
      <c r="DZX18" s="28" t="str">
        <f>IFERROR(IF(EAG3="No",IF(VLOOKUP(DATE($K$1,$K$2,DZX$4),Table1[],(MATCH(Calendar!$A18,DB!$1:$1,0)),FALSE)&gt;=5,"Good","Bad"),VLOOKUP(DATE($K$1,$K$2,DZX$4),Table1[],(MATCH(Calendar!$A18,DB!$1:$1,0)),FALSE)),"")</f>
        <v/>
      </c>
      <c r="DZY18" s="28" t="str">
        <f>IFERROR(IF(EAH3="No",IF(VLOOKUP(DATE($K$1,$K$2,DZY$4),Table1[],(MATCH(Calendar!$A18,DB!$1:$1,0)),FALSE)&gt;=5,"Good","Bad"),VLOOKUP(DATE($K$1,$K$2,DZY$4),Table1[],(MATCH(Calendar!$A18,DB!$1:$1,0)),FALSE)),"")</f>
        <v/>
      </c>
      <c r="DZZ18" s="28" t="str">
        <f>IFERROR(IF(EAI3="No",IF(VLOOKUP(DATE($K$1,$K$2,DZZ$4),Table1[],(MATCH(Calendar!$A18,DB!$1:$1,0)),FALSE)&gt;=5,"Good","Bad"),VLOOKUP(DATE($K$1,$K$2,DZZ$4),Table1[],(MATCH(Calendar!$A18,DB!$1:$1,0)),FALSE)),"")</f>
        <v/>
      </c>
      <c r="EAA18" s="28" t="str">
        <f>IFERROR(IF(EAJ3="No",IF(VLOOKUP(DATE($K$1,$K$2,EAA$4),Table1[],(MATCH(Calendar!$A18,DB!$1:$1,0)),FALSE)&gt;=5,"Good","Bad"),VLOOKUP(DATE($K$1,$K$2,EAA$4),Table1[],(MATCH(Calendar!$A18,DB!$1:$1,0)),FALSE)),"")</f>
        <v/>
      </c>
      <c r="EAB18" s="28" t="str">
        <f>IFERROR(IF(EAK3="No",IF(VLOOKUP(DATE($K$1,$K$2,EAB$4),Table1[],(MATCH(Calendar!$A18,DB!$1:$1,0)),FALSE)&gt;=5,"Good","Bad"),VLOOKUP(DATE($K$1,$K$2,EAB$4),Table1[],(MATCH(Calendar!$A18,DB!$1:$1,0)),FALSE)),"")</f>
        <v/>
      </c>
      <c r="EAC18" s="28" t="str">
        <f>IFERROR(IF(EAL3="No",IF(VLOOKUP(DATE($K$1,$K$2,EAC$4),Table1[],(MATCH(Calendar!$A18,DB!$1:$1,0)),FALSE)&gt;=5,"Good","Bad"),VLOOKUP(DATE($K$1,$K$2,EAC$4),Table1[],(MATCH(Calendar!$A18,DB!$1:$1,0)),FALSE)),"")</f>
        <v/>
      </c>
      <c r="EAD18" s="28" t="str">
        <f>IFERROR(IF(EAM3="No",IF(VLOOKUP(DATE($K$1,$K$2,EAD$4),Table1[],(MATCH(Calendar!$A18,DB!$1:$1,0)),FALSE)&gt;=5,"Good","Bad"),VLOOKUP(DATE($K$1,$K$2,EAD$4),Table1[],(MATCH(Calendar!$A18,DB!$1:$1,0)),FALSE)),"")</f>
        <v/>
      </c>
      <c r="EAE18" s="28" t="str">
        <f>IFERROR(IF(EAN3="No",IF(VLOOKUP(DATE($K$1,$K$2,EAE$4),Table1[],(MATCH(Calendar!$A18,DB!$1:$1,0)),FALSE)&gt;=5,"Good","Bad"),VLOOKUP(DATE($K$1,$K$2,EAE$4),Table1[],(MATCH(Calendar!$A18,DB!$1:$1,0)),FALSE)),"")</f>
        <v/>
      </c>
      <c r="EAF18" s="28" t="str">
        <f>IFERROR(IF(EAO3="No",IF(VLOOKUP(DATE($K$1,$K$2,EAF$4),Table1[],(MATCH(Calendar!$A18,DB!$1:$1,0)),FALSE)&gt;=5,"Good","Bad"),VLOOKUP(DATE($K$1,$K$2,EAF$4),Table1[],(MATCH(Calendar!$A18,DB!$1:$1,0)),FALSE)),"")</f>
        <v/>
      </c>
      <c r="EAG18" s="28" t="str">
        <f>IFERROR(IF(EAP3="No",IF(VLOOKUP(DATE($K$1,$K$2,EAG$4),Table1[],(MATCH(Calendar!$A18,DB!$1:$1,0)),FALSE)&gt;=5,"Good","Bad"),VLOOKUP(DATE($K$1,$K$2,EAG$4),Table1[],(MATCH(Calendar!$A18,DB!$1:$1,0)),FALSE)),"")</f>
        <v/>
      </c>
      <c r="EAH18" s="28" t="str">
        <f>IFERROR(IF(EAQ3="No",IF(VLOOKUP(DATE($K$1,$K$2,EAH$4),Table1[],(MATCH(Calendar!$A18,DB!$1:$1,0)),FALSE)&gt;=5,"Good","Bad"),VLOOKUP(DATE($K$1,$K$2,EAH$4),Table1[],(MATCH(Calendar!$A18,DB!$1:$1,0)),FALSE)),"")</f>
        <v/>
      </c>
      <c r="EAI18" s="28" t="str">
        <f>IFERROR(IF(EAR3="No",IF(VLOOKUP(DATE($K$1,$K$2,EAI$4),Table1[],(MATCH(Calendar!$A18,DB!$1:$1,0)),FALSE)&gt;=5,"Good","Bad"),VLOOKUP(DATE($K$1,$K$2,EAI$4),Table1[],(MATCH(Calendar!$A18,DB!$1:$1,0)),FALSE)),"")</f>
        <v/>
      </c>
      <c r="EAJ18" s="28" t="str">
        <f>IFERROR(IF(EAS3="No",IF(VLOOKUP(DATE($K$1,$K$2,EAJ$4),Table1[],(MATCH(Calendar!$A18,DB!$1:$1,0)),FALSE)&gt;=5,"Good","Bad"),VLOOKUP(DATE($K$1,$K$2,EAJ$4),Table1[],(MATCH(Calendar!$A18,DB!$1:$1,0)),FALSE)),"")</f>
        <v/>
      </c>
      <c r="EAK18" s="28" t="str">
        <f>IFERROR(IF(EAT3="No",IF(VLOOKUP(DATE($K$1,$K$2,EAK$4),Table1[],(MATCH(Calendar!$A18,DB!$1:$1,0)),FALSE)&gt;=5,"Good","Bad"),VLOOKUP(DATE($K$1,$K$2,EAK$4),Table1[],(MATCH(Calendar!$A18,DB!$1:$1,0)),FALSE)),"")</f>
        <v/>
      </c>
      <c r="EAL18" s="28" t="str">
        <f>IFERROR(IF(EAU3="No",IF(VLOOKUP(DATE($K$1,$K$2,EAL$4),Table1[],(MATCH(Calendar!$A18,DB!$1:$1,0)),FALSE)&gt;=5,"Good","Bad"),VLOOKUP(DATE($K$1,$K$2,EAL$4),Table1[],(MATCH(Calendar!$A18,DB!$1:$1,0)),FALSE)),"")</f>
        <v/>
      </c>
      <c r="EAM18" s="28" t="str">
        <f>IFERROR(IF(EAV3="No",IF(VLOOKUP(DATE($K$1,$K$2,EAM$4),Table1[],(MATCH(Calendar!$A18,DB!$1:$1,0)),FALSE)&gt;=5,"Good","Bad"),VLOOKUP(DATE($K$1,$K$2,EAM$4),Table1[],(MATCH(Calendar!$A18,DB!$1:$1,0)),FALSE)),"")</f>
        <v/>
      </c>
      <c r="EAN18" s="28" t="str">
        <f>IFERROR(IF(EAW3="No",IF(VLOOKUP(DATE($K$1,$K$2,EAN$4),Table1[],(MATCH(Calendar!$A18,DB!$1:$1,0)),FALSE)&gt;=5,"Good","Bad"),VLOOKUP(DATE($K$1,$K$2,EAN$4),Table1[],(MATCH(Calendar!$A18,DB!$1:$1,0)),FALSE)),"")</f>
        <v/>
      </c>
      <c r="EAO18" s="28" t="str">
        <f>IFERROR(IF(EAX3="No",IF(VLOOKUP(DATE($K$1,$K$2,EAO$4),Table1[],(MATCH(Calendar!$A18,DB!$1:$1,0)),FALSE)&gt;=5,"Good","Bad"),VLOOKUP(DATE($K$1,$K$2,EAO$4),Table1[],(MATCH(Calendar!$A18,DB!$1:$1,0)),FALSE)),"")</f>
        <v/>
      </c>
      <c r="EAP18" s="28" t="str">
        <f>IFERROR(IF(EAY3="No",IF(VLOOKUP(DATE($K$1,$K$2,EAP$4),Table1[],(MATCH(Calendar!$A18,DB!$1:$1,0)),FALSE)&gt;=5,"Good","Bad"),VLOOKUP(DATE($K$1,$K$2,EAP$4),Table1[],(MATCH(Calendar!$A18,DB!$1:$1,0)),FALSE)),"")</f>
        <v/>
      </c>
      <c r="EAQ18" s="28" t="str">
        <f>IFERROR(IF(EAZ3="No",IF(VLOOKUP(DATE($K$1,$K$2,EAQ$4),Table1[],(MATCH(Calendar!$A18,DB!$1:$1,0)),FALSE)&gt;=5,"Good","Bad"),VLOOKUP(DATE($K$1,$K$2,EAQ$4),Table1[],(MATCH(Calendar!$A18,DB!$1:$1,0)),FALSE)),"")</f>
        <v/>
      </c>
      <c r="EAR18" s="28" t="str">
        <f>IFERROR(IF(EBA3="No",IF(VLOOKUP(DATE($K$1,$K$2,EAR$4),Table1[],(MATCH(Calendar!$A18,DB!$1:$1,0)),FALSE)&gt;=5,"Good","Bad"),VLOOKUP(DATE($K$1,$K$2,EAR$4),Table1[],(MATCH(Calendar!$A18,DB!$1:$1,0)),FALSE)),"")</f>
        <v/>
      </c>
      <c r="EAS18" s="28" t="str">
        <f>IFERROR(IF(EBB3="No",IF(VLOOKUP(DATE($K$1,$K$2,EAS$4),Table1[],(MATCH(Calendar!$A18,DB!$1:$1,0)),FALSE)&gt;=5,"Good","Bad"),VLOOKUP(DATE($K$1,$K$2,EAS$4),Table1[],(MATCH(Calendar!$A18,DB!$1:$1,0)),FALSE)),"")</f>
        <v/>
      </c>
      <c r="EAT18" s="28" t="str">
        <f>IFERROR(IF(EBC3="No",IF(VLOOKUP(DATE($K$1,$K$2,EAT$4),Table1[],(MATCH(Calendar!$A18,DB!$1:$1,0)),FALSE)&gt;=5,"Good","Bad"),VLOOKUP(DATE($K$1,$K$2,EAT$4),Table1[],(MATCH(Calendar!$A18,DB!$1:$1,0)),FALSE)),"")</f>
        <v/>
      </c>
      <c r="EAU18" s="28" t="str">
        <f>IFERROR(IF(EBD3="No",IF(VLOOKUP(DATE($K$1,$K$2,EAU$4),Table1[],(MATCH(Calendar!$A18,DB!$1:$1,0)),FALSE)&gt;=5,"Good","Bad"),VLOOKUP(DATE($K$1,$K$2,EAU$4),Table1[],(MATCH(Calendar!$A18,DB!$1:$1,0)),FALSE)),"")</f>
        <v/>
      </c>
      <c r="EAV18" s="28" t="str">
        <f>IFERROR(IF(EBE3="No",IF(VLOOKUP(DATE($K$1,$K$2,EAV$4),Table1[],(MATCH(Calendar!$A18,DB!$1:$1,0)),FALSE)&gt;=5,"Good","Bad"),VLOOKUP(DATE($K$1,$K$2,EAV$4),Table1[],(MATCH(Calendar!$A18,DB!$1:$1,0)),FALSE)),"")</f>
        <v/>
      </c>
      <c r="EAW18" s="28" t="str">
        <f>IFERROR(IF(EBF3="No",IF(VLOOKUP(DATE($K$1,$K$2,EAW$4),Table1[],(MATCH(Calendar!$A18,DB!$1:$1,0)),FALSE)&gt;=5,"Good","Bad"),VLOOKUP(DATE($K$1,$K$2,EAW$4),Table1[],(MATCH(Calendar!$A18,DB!$1:$1,0)),FALSE)),"")</f>
        <v/>
      </c>
      <c r="EAX18" s="28" t="str">
        <f>IFERROR(IF(EBG3="No",IF(VLOOKUP(DATE($K$1,$K$2,EAX$4),Table1[],(MATCH(Calendar!$A18,DB!$1:$1,0)),FALSE)&gt;=5,"Good","Bad"),VLOOKUP(DATE($K$1,$K$2,EAX$4),Table1[],(MATCH(Calendar!$A18,DB!$1:$1,0)),FALSE)),"")</f>
        <v/>
      </c>
      <c r="EAY18" s="28" t="str">
        <f>IFERROR(IF(EBH3="No",IF(VLOOKUP(DATE($K$1,$K$2,EAY$4),Table1[],(MATCH(Calendar!$A18,DB!$1:$1,0)),FALSE)&gt;=5,"Good","Bad"),VLOOKUP(DATE($K$1,$K$2,EAY$4),Table1[],(MATCH(Calendar!$A18,DB!$1:$1,0)),FALSE)),"")</f>
        <v/>
      </c>
      <c r="EAZ18" s="28" t="str">
        <f>IFERROR(IF(EBI3="No",IF(VLOOKUP(DATE($K$1,$K$2,EAZ$4),Table1[],(MATCH(Calendar!$A18,DB!$1:$1,0)),FALSE)&gt;=5,"Good","Bad"),VLOOKUP(DATE($K$1,$K$2,EAZ$4),Table1[],(MATCH(Calendar!$A18,DB!$1:$1,0)),FALSE)),"")</f>
        <v/>
      </c>
      <c r="EBA18" s="28" t="str">
        <f>IFERROR(IF(EBJ3="No",IF(VLOOKUP(DATE($K$1,$K$2,EBA$4),Table1[],(MATCH(Calendar!$A18,DB!$1:$1,0)),FALSE)&gt;=5,"Good","Bad"),VLOOKUP(DATE($K$1,$K$2,EBA$4),Table1[],(MATCH(Calendar!$A18,DB!$1:$1,0)),FALSE)),"")</f>
        <v/>
      </c>
      <c r="EBB18" s="28" t="str">
        <f>IFERROR(IF(EBK3="No",IF(VLOOKUP(DATE($K$1,$K$2,EBB$4),Table1[],(MATCH(Calendar!$A18,DB!$1:$1,0)),FALSE)&gt;=5,"Good","Bad"),VLOOKUP(DATE($K$1,$K$2,EBB$4),Table1[],(MATCH(Calendar!$A18,DB!$1:$1,0)),FALSE)),"")</f>
        <v/>
      </c>
      <c r="EBC18" s="28" t="str">
        <f>IFERROR(IF(EBL3="No",IF(VLOOKUP(DATE($K$1,$K$2,EBC$4),Table1[],(MATCH(Calendar!$A18,DB!$1:$1,0)),FALSE)&gt;=5,"Good","Bad"),VLOOKUP(DATE($K$1,$K$2,EBC$4),Table1[],(MATCH(Calendar!$A18,DB!$1:$1,0)),FALSE)),"")</f>
        <v/>
      </c>
      <c r="EBD18" s="28" t="str">
        <f>IFERROR(IF(EBM3="No",IF(VLOOKUP(DATE($K$1,$K$2,EBD$4),Table1[],(MATCH(Calendar!$A18,DB!$1:$1,0)),FALSE)&gt;=5,"Good","Bad"),VLOOKUP(DATE($K$1,$K$2,EBD$4),Table1[],(MATCH(Calendar!$A18,DB!$1:$1,0)),FALSE)),"")</f>
        <v/>
      </c>
      <c r="EBE18" s="28" t="str">
        <f>IFERROR(IF(EBN3="No",IF(VLOOKUP(DATE($K$1,$K$2,EBE$4),Table1[],(MATCH(Calendar!$A18,DB!$1:$1,0)),FALSE)&gt;=5,"Good","Bad"),VLOOKUP(DATE($K$1,$K$2,EBE$4),Table1[],(MATCH(Calendar!$A18,DB!$1:$1,0)),FALSE)),"")</f>
        <v/>
      </c>
      <c r="EBF18" s="28" t="str">
        <f>IFERROR(IF(EBO3="No",IF(VLOOKUP(DATE($K$1,$K$2,EBF$4),Table1[],(MATCH(Calendar!$A18,DB!$1:$1,0)),FALSE)&gt;=5,"Good","Bad"),VLOOKUP(DATE($K$1,$K$2,EBF$4),Table1[],(MATCH(Calendar!$A18,DB!$1:$1,0)),FALSE)),"")</f>
        <v/>
      </c>
      <c r="EBG18" s="28" t="str">
        <f>IFERROR(IF(EBP3="No",IF(VLOOKUP(DATE($K$1,$K$2,EBG$4),Table1[],(MATCH(Calendar!$A18,DB!$1:$1,0)),FALSE)&gt;=5,"Good","Bad"),VLOOKUP(DATE($K$1,$K$2,EBG$4),Table1[],(MATCH(Calendar!$A18,DB!$1:$1,0)),FALSE)),"")</f>
        <v/>
      </c>
      <c r="EBH18" s="28" t="str">
        <f>IFERROR(IF(EBQ3="No",IF(VLOOKUP(DATE($K$1,$K$2,EBH$4),Table1[],(MATCH(Calendar!$A18,DB!$1:$1,0)),FALSE)&gt;=5,"Good","Bad"),VLOOKUP(DATE($K$1,$K$2,EBH$4),Table1[],(MATCH(Calendar!$A18,DB!$1:$1,0)),FALSE)),"")</f>
        <v/>
      </c>
      <c r="EBI18" s="28" t="str">
        <f>IFERROR(IF(EBR3="No",IF(VLOOKUP(DATE($K$1,$K$2,EBI$4),Table1[],(MATCH(Calendar!$A18,DB!$1:$1,0)),FALSE)&gt;=5,"Good","Bad"),VLOOKUP(DATE($K$1,$K$2,EBI$4),Table1[],(MATCH(Calendar!$A18,DB!$1:$1,0)),FALSE)),"")</f>
        <v/>
      </c>
      <c r="EBJ18" s="28" t="str">
        <f>IFERROR(IF(EBS3="No",IF(VLOOKUP(DATE($K$1,$K$2,EBJ$4),Table1[],(MATCH(Calendar!$A18,DB!$1:$1,0)),FALSE)&gt;=5,"Good","Bad"),VLOOKUP(DATE($K$1,$K$2,EBJ$4),Table1[],(MATCH(Calendar!$A18,DB!$1:$1,0)),FALSE)),"")</f>
        <v/>
      </c>
      <c r="EBK18" s="28" t="str">
        <f>IFERROR(IF(EBT3="No",IF(VLOOKUP(DATE($K$1,$K$2,EBK$4),Table1[],(MATCH(Calendar!$A18,DB!$1:$1,0)),FALSE)&gt;=5,"Good","Bad"),VLOOKUP(DATE($K$1,$K$2,EBK$4),Table1[],(MATCH(Calendar!$A18,DB!$1:$1,0)),FALSE)),"")</f>
        <v/>
      </c>
      <c r="EBL18" s="28" t="str">
        <f>IFERROR(IF(EBU3="No",IF(VLOOKUP(DATE($K$1,$K$2,EBL$4),Table1[],(MATCH(Calendar!$A18,DB!$1:$1,0)),FALSE)&gt;=5,"Good","Bad"),VLOOKUP(DATE($K$1,$K$2,EBL$4),Table1[],(MATCH(Calendar!$A18,DB!$1:$1,0)),FALSE)),"")</f>
        <v/>
      </c>
      <c r="EBM18" s="28" t="str">
        <f>IFERROR(IF(EBV3="No",IF(VLOOKUP(DATE($K$1,$K$2,EBM$4),Table1[],(MATCH(Calendar!$A18,DB!$1:$1,0)),FALSE)&gt;=5,"Good","Bad"),VLOOKUP(DATE($K$1,$K$2,EBM$4),Table1[],(MATCH(Calendar!$A18,DB!$1:$1,0)),FALSE)),"")</f>
        <v/>
      </c>
      <c r="EBN18" s="28" t="str">
        <f>IFERROR(IF(EBW3="No",IF(VLOOKUP(DATE($K$1,$K$2,EBN$4),Table1[],(MATCH(Calendar!$A18,DB!$1:$1,0)),FALSE)&gt;=5,"Good","Bad"),VLOOKUP(DATE($K$1,$K$2,EBN$4),Table1[],(MATCH(Calendar!$A18,DB!$1:$1,0)),FALSE)),"")</f>
        <v/>
      </c>
      <c r="EBO18" s="28" t="str">
        <f>IFERROR(IF(EBX3="No",IF(VLOOKUP(DATE($K$1,$K$2,EBO$4),Table1[],(MATCH(Calendar!$A18,DB!$1:$1,0)),FALSE)&gt;=5,"Good","Bad"),VLOOKUP(DATE($K$1,$K$2,EBO$4),Table1[],(MATCH(Calendar!$A18,DB!$1:$1,0)),FALSE)),"")</f>
        <v/>
      </c>
      <c r="EBP18" s="28" t="str">
        <f>IFERROR(IF(EBY3="No",IF(VLOOKUP(DATE($K$1,$K$2,EBP$4),Table1[],(MATCH(Calendar!$A18,DB!$1:$1,0)),FALSE)&gt;=5,"Good","Bad"),VLOOKUP(DATE($K$1,$K$2,EBP$4),Table1[],(MATCH(Calendar!$A18,DB!$1:$1,0)),FALSE)),"")</f>
        <v/>
      </c>
      <c r="EBQ18" s="28" t="str">
        <f>IFERROR(IF(EBZ3="No",IF(VLOOKUP(DATE($K$1,$K$2,EBQ$4),Table1[],(MATCH(Calendar!$A18,DB!$1:$1,0)),FALSE)&gt;=5,"Good","Bad"),VLOOKUP(DATE($K$1,$K$2,EBQ$4),Table1[],(MATCH(Calendar!$A18,DB!$1:$1,0)),FALSE)),"")</f>
        <v/>
      </c>
      <c r="EBR18" s="28" t="str">
        <f>IFERROR(IF(ECA3="No",IF(VLOOKUP(DATE($K$1,$K$2,EBR$4),Table1[],(MATCH(Calendar!$A18,DB!$1:$1,0)),FALSE)&gt;=5,"Good","Bad"),VLOOKUP(DATE($K$1,$K$2,EBR$4),Table1[],(MATCH(Calendar!$A18,DB!$1:$1,0)),FALSE)),"")</f>
        <v/>
      </c>
      <c r="EBS18" s="28" t="str">
        <f>IFERROR(IF(ECB3="No",IF(VLOOKUP(DATE($K$1,$K$2,EBS$4),Table1[],(MATCH(Calendar!$A18,DB!$1:$1,0)),FALSE)&gt;=5,"Good","Bad"),VLOOKUP(DATE($K$1,$K$2,EBS$4),Table1[],(MATCH(Calendar!$A18,DB!$1:$1,0)),FALSE)),"")</f>
        <v/>
      </c>
      <c r="EBT18" s="28" t="str">
        <f>IFERROR(IF(ECC3="No",IF(VLOOKUP(DATE($K$1,$K$2,EBT$4),Table1[],(MATCH(Calendar!$A18,DB!$1:$1,0)),FALSE)&gt;=5,"Good","Bad"),VLOOKUP(DATE($K$1,$K$2,EBT$4),Table1[],(MATCH(Calendar!$A18,DB!$1:$1,0)),FALSE)),"")</f>
        <v/>
      </c>
      <c r="EBU18" s="28" t="str">
        <f>IFERROR(IF(ECD3="No",IF(VLOOKUP(DATE($K$1,$K$2,EBU$4),Table1[],(MATCH(Calendar!$A18,DB!$1:$1,0)),FALSE)&gt;=5,"Good","Bad"),VLOOKUP(DATE($K$1,$K$2,EBU$4),Table1[],(MATCH(Calendar!$A18,DB!$1:$1,0)),FALSE)),"")</f>
        <v/>
      </c>
      <c r="EBV18" s="28" t="str">
        <f>IFERROR(IF(ECE3="No",IF(VLOOKUP(DATE($K$1,$K$2,EBV$4),Table1[],(MATCH(Calendar!$A18,DB!$1:$1,0)),FALSE)&gt;=5,"Good","Bad"),VLOOKUP(DATE($K$1,$K$2,EBV$4),Table1[],(MATCH(Calendar!$A18,DB!$1:$1,0)),FALSE)),"")</f>
        <v/>
      </c>
      <c r="EBW18" s="28" t="str">
        <f>IFERROR(IF(ECF3="No",IF(VLOOKUP(DATE($K$1,$K$2,EBW$4),Table1[],(MATCH(Calendar!$A18,DB!$1:$1,0)),FALSE)&gt;=5,"Good","Bad"),VLOOKUP(DATE($K$1,$K$2,EBW$4),Table1[],(MATCH(Calendar!$A18,DB!$1:$1,0)),FALSE)),"")</f>
        <v/>
      </c>
      <c r="EBX18" s="28" t="str">
        <f>IFERROR(IF(ECG3="No",IF(VLOOKUP(DATE($K$1,$K$2,EBX$4),Table1[],(MATCH(Calendar!$A18,DB!$1:$1,0)),FALSE)&gt;=5,"Good","Bad"),VLOOKUP(DATE($K$1,$K$2,EBX$4),Table1[],(MATCH(Calendar!$A18,DB!$1:$1,0)),FALSE)),"")</f>
        <v/>
      </c>
      <c r="EBY18" s="28" t="str">
        <f>IFERROR(IF(ECH3="No",IF(VLOOKUP(DATE($K$1,$K$2,EBY$4),Table1[],(MATCH(Calendar!$A18,DB!$1:$1,0)),FALSE)&gt;=5,"Good","Bad"),VLOOKUP(DATE($K$1,$K$2,EBY$4),Table1[],(MATCH(Calendar!$A18,DB!$1:$1,0)),FALSE)),"")</f>
        <v/>
      </c>
      <c r="EBZ18" s="28" t="str">
        <f>IFERROR(IF(ECI3="No",IF(VLOOKUP(DATE($K$1,$K$2,EBZ$4),Table1[],(MATCH(Calendar!$A18,DB!$1:$1,0)),FALSE)&gt;=5,"Good","Bad"),VLOOKUP(DATE($K$1,$K$2,EBZ$4),Table1[],(MATCH(Calendar!$A18,DB!$1:$1,0)),FALSE)),"")</f>
        <v/>
      </c>
      <c r="ECA18" s="28" t="str">
        <f>IFERROR(IF(ECJ3="No",IF(VLOOKUP(DATE($K$1,$K$2,ECA$4),Table1[],(MATCH(Calendar!$A18,DB!$1:$1,0)),FALSE)&gt;=5,"Good","Bad"),VLOOKUP(DATE($K$1,$K$2,ECA$4),Table1[],(MATCH(Calendar!$A18,DB!$1:$1,0)),FALSE)),"")</f>
        <v/>
      </c>
      <c r="ECB18" s="28" t="str">
        <f>IFERROR(IF(ECK3="No",IF(VLOOKUP(DATE($K$1,$K$2,ECB$4),Table1[],(MATCH(Calendar!$A18,DB!$1:$1,0)),FALSE)&gt;=5,"Good","Bad"),VLOOKUP(DATE($K$1,$K$2,ECB$4),Table1[],(MATCH(Calendar!$A18,DB!$1:$1,0)),FALSE)),"")</f>
        <v/>
      </c>
      <c r="ECC18" s="28" t="str">
        <f>IFERROR(IF(ECL3="No",IF(VLOOKUP(DATE($K$1,$K$2,ECC$4),Table1[],(MATCH(Calendar!$A18,DB!$1:$1,0)),FALSE)&gt;=5,"Good","Bad"),VLOOKUP(DATE($K$1,$K$2,ECC$4),Table1[],(MATCH(Calendar!$A18,DB!$1:$1,0)),FALSE)),"")</f>
        <v/>
      </c>
      <c r="ECD18" s="28" t="str">
        <f>IFERROR(IF(ECM3="No",IF(VLOOKUP(DATE($K$1,$K$2,ECD$4),Table1[],(MATCH(Calendar!$A18,DB!$1:$1,0)),FALSE)&gt;=5,"Good","Bad"),VLOOKUP(DATE($K$1,$K$2,ECD$4),Table1[],(MATCH(Calendar!$A18,DB!$1:$1,0)),FALSE)),"")</f>
        <v/>
      </c>
      <c r="ECE18" s="28" t="str">
        <f>IFERROR(IF(ECN3="No",IF(VLOOKUP(DATE($K$1,$K$2,ECE$4),Table1[],(MATCH(Calendar!$A18,DB!$1:$1,0)),FALSE)&gt;=5,"Good","Bad"),VLOOKUP(DATE($K$1,$K$2,ECE$4),Table1[],(MATCH(Calendar!$A18,DB!$1:$1,0)),FALSE)),"")</f>
        <v/>
      </c>
      <c r="ECF18" s="28" t="str">
        <f>IFERROR(IF(ECO3="No",IF(VLOOKUP(DATE($K$1,$K$2,ECF$4),Table1[],(MATCH(Calendar!$A18,DB!$1:$1,0)),FALSE)&gt;=5,"Good","Bad"),VLOOKUP(DATE($K$1,$K$2,ECF$4),Table1[],(MATCH(Calendar!$A18,DB!$1:$1,0)),FALSE)),"")</f>
        <v/>
      </c>
      <c r="ECG18" s="28" t="str">
        <f>IFERROR(IF(ECP3="No",IF(VLOOKUP(DATE($K$1,$K$2,ECG$4),Table1[],(MATCH(Calendar!$A18,DB!$1:$1,0)),FALSE)&gt;=5,"Good","Bad"),VLOOKUP(DATE($K$1,$K$2,ECG$4),Table1[],(MATCH(Calendar!$A18,DB!$1:$1,0)),FALSE)),"")</f>
        <v/>
      </c>
      <c r="ECH18" s="28" t="str">
        <f>IFERROR(IF(ECQ3="No",IF(VLOOKUP(DATE($K$1,$K$2,ECH$4),Table1[],(MATCH(Calendar!$A18,DB!$1:$1,0)),FALSE)&gt;=5,"Good","Bad"),VLOOKUP(DATE($K$1,$K$2,ECH$4),Table1[],(MATCH(Calendar!$A18,DB!$1:$1,0)),FALSE)),"")</f>
        <v/>
      </c>
      <c r="ECI18" s="28" t="str">
        <f>IFERROR(IF(ECR3="No",IF(VLOOKUP(DATE($K$1,$K$2,ECI$4),Table1[],(MATCH(Calendar!$A18,DB!$1:$1,0)),FALSE)&gt;=5,"Good","Bad"),VLOOKUP(DATE($K$1,$K$2,ECI$4),Table1[],(MATCH(Calendar!$A18,DB!$1:$1,0)),FALSE)),"")</f>
        <v/>
      </c>
      <c r="ECJ18" s="28" t="str">
        <f>IFERROR(IF(ECS3="No",IF(VLOOKUP(DATE($K$1,$K$2,ECJ$4),Table1[],(MATCH(Calendar!$A18,DB!$1:$1,0)),FALSE)&gt;=5,"Good","Bad"),VLOOKUP(DATE($K$1,$K$2,ECJ$4),Table1[],(MATCH(Calendar!$A18,DB!$1:$1,0)),FALSE)),"")</f>
        <v/>
      </c>
      <c r="ECK18" s="28" t="str">
        <f>IFERROR(IF(ECT3="No",IF(VLOOKUP(DATE($K$1,$K$2,ECK$4),Table1[],(MATCH(Calendar!$A18,DB!$1:$1,0)),FALSE)&gt;=5,"Good","Bad"),VLOOKUP(DATE($K$1,$K$2,ECK$4),Table1[],(MATCH(Calendar!$A18,DB!$1:$1,0)),FALSE)),"")</f>
        <v/>
      </c>
      <c r="ECL18" s="28" t="str">
        <f>IFERROR(IF(ECU3="No",IF(VLOOKUP(DATE($K$1,$K$2,ECL$4),Table1[],(MATCH(Calendar!$A18,DB!$1:$1,0)),FALSE)&gt;=5,"Good","Bad"),VLOOKUP(DATE($K$1,$K$2,ECL$4),Table1[],(MATCH(Calendar!$A18,DB!$1:$1,0)),FALSE)),"")</f>
        <v/>
      </c>
      <c r="ECM18" s="28" t="str">
        <f>IFERROR(IF(ECV3="No",IF(VLOOKUP(DATE($K$1,$K$2,ECM$4),Table1[],(MATCH(Calendar!$A18,DB!$1:$1,0)),FALSE)&gt;=5,"Good","Bad"),VLOOKUP(DATE($K$1,$K$2,ECM$4),Table1[],(MATCH(Calendar!$A18,DB!$1:$1,0)),FALSE)),"")</f>
        <v/>
      </c>
      <c r="ECN18" s="28" t="str">
        <f>IFERROR(IF(ECW3="No",IF(VLOOKUP(DATE($K$1,$K$2,ECN$4),Table1[],(MATCH(Calendar!$A18,DB!$1:$1,0)),FALSE)&gt;=5,"Good","Bad"),VLOOKUP(DATE($K$1,$K$2,ECN$4),Table1[],(MATCH(Calendar!$A18,DB!$1:$1,0)),FALSE)),"")</f>
        <v/>
      </c>
      <c r="ECO18" s="28" t="str">
        <f>IFERROR(IF(ECX3="No",IF(VLOOKUP(DATE($K$1,$K$2,ECO$4),Table1[],(MATCH(Calendar!$A18,DB!$1:$1,0)),FALSE)&gt;=5,"Good","Bad"),VLOOKUP(DATE($K$1,$K$2,ECO$4),Table1[],(MATCH(Calendar!$A18,DB!$1:$1,0)),FALSE)),"")</f>
        <v/>
      </c>
      <c r="ECP18" s="28" t="str">
        <f>IFERROR(IF(ECY3="No",IF(VLOOKUP(DATE($K$1,$K$2,ECP$4),Table1[],(MATCH(Calendar!$A18,DB!$1:$1,0)),FALSE)&gt;=5,"Good","Bad"),VLOOKUP(DATE($K$1,$K$2,ECP$4),Table1[],(MATCH(Calendar!$A18,DB!$1:$1,0)),FALSE)),"")</f>
        <v/>
      </c>
      <c r="ECQ18" s="28" t="str">
        <f>IFERROR(IF(ECZ3="No",IF(VLOOKUP(DATE($K$1,$K$2,ECQ$4),Table1[],(MATCH(Calendar!$A18,DB!$1:$1,0)),FALSE)&gt;=5,"Good","Bad"),VLOOKUP(DATE($K$1,$K$2,ECQ$4),Table1[],(MATCH(Calendar!$A18,DB!$1:$1,0)),FALSE)),"")</f>
        <v/>
      </c>
      <c r="ECR18" s="28" t="str">
        <f>IFERROR(IF(EDA3="No",IF(VLOOKUP(DATE($K$1,$K$2,ECR$4),Table1[],(MATCH(Calendar!$A18,DB!$1:$1,0)),FALSE)&gt;=5,"Good","Bad"),VLOOKUP(DATE($K$1,$K$2,ECR$4),Table1[],(MATCH(Calendar!$A18,DB!$1:$1,0)),FALSE)),"")</f>
        <v/>
      </c>
      <c r="ECS18" s="28" t="str">
        <f>IFERROR(IF(EDB3="No",IF(VLOOKUP(DATE($K$1,$K$2,ECS$4),Table1[],(MATCH(Calendar!$A18,DB!$1:$1,0)),FALSE)&gt;=5,"Good","Bad"),VLOOKUP(DATE($K$1,$K$2,ECS$4),Table1[],(MATCH(Calendar!$A18,DB!$1:$1,0)),FALSE)),"")</f>
        <v/>
      </c>
      <c r="ECT18" s="28" t="str">
        <f>IFERROR(IF(EDC3="No",IF(VLOOKUP(DATE($K$1,$K$2,ECT$4),Table1[],(MATCH(Calendar!$A18,DB!$1:$1,0)),FALSE)&gt;=5,"Good","Bad"),VLOOKUP(DATE($K$1,$K$2,ECT$4),Table1[],(MATCH(Calendar!$A18,DB!$1:$1,0)),FALSE)),"")</f>
        <v/>
      </c>
      <c r="ECU18" s="28" t="str">
        <f>IFERROR(IF(EDD3="No",IF(VLOOKUP(DATE($K$1,$K$2,ECU$4),Table1[],(MATCH(Calendar!$A18,DB!$1:$1,0)),FALSE)&gt;=5,"Good","Bad"),VLOOKUP(DATE($K$1,$K$2,ECU$4),Table1[],(MATCH(Calendar!$A18,DB!$1:$1,0)),FALSE)),"")</f>
        <v/>
      </c>
      <c r="ECV18" s="28" t="str">
        <f>IFERROR(IF(EDE3="No",IF(VLOOKUP(DATE($K$1,$K$2,ECV$4),Table1[],(MATCH(Calendar!$A18,DB!$1:$1,0)),FALSE)&gt;=5,"Good","Bad"),VLOOKUP(DATE($K$1,$K$2,ECV$4),Table1[],(MATCH(Calendar!$A18,DB!$1:$1,0)),FALSE)),"")</f>
        <v/>
      </c>
      <c r="ECW18" s="28" t="str">
        <f>IFERROR(IF(EDF3="No",IF(VLOOKUP(DATE($K$1,$K$2,ECW$4),Table1[],(MATCH(Calendar!$A18,DB!$1:$1,0)),FALSE)&gt;=5,"Good","Bad"),VLOOKUP(DATE($K$1,$K$2,ECW$4),Table1[],(MATCH(Calendar!$A18,DB!$1:$1,0)),FALSE)),"")</f>
        <v/>
      </c>
      <c r="ECX18" s="28" t="str">
        <f>IFERROR(IF(EDG3="No",IF(VLOOKUP(DATE($K$1,$K$2,ECX$4),Table1[],(MATCH(Calendar!$A18,DB!$1:$1,0)),FALSE)&gt;=5,"Good","Bad"),VLOOKUP(DATE($K$1,$K$2,ECX$4),Table1[],(MATCH(Calendar!$A18,DB!$1:$1,0)),FALSE)),"")</f>
        <v/>
      </c>
      <c r="ECY18" s="28" t="str">
        <f>IFERROR(IF(EDH3="No",IF(VLOOKUP(DATE($K$1,$K$2,ECY$4),Table1[],(MATCH(Calendar!$A18,DB!$1:$1,0)),FALSE)&gt;=5,"Good","Bad"),VLOOKUP(DATE($K$1,$K$2,ECY$4),Table1[],(MATCH(Calendar!$A18,DB!$1:$1,0)),FALSE)),"")</f>
        <v/>
      </c>
      <c r="ECZ18" s="28" t="str">
        <f>IFERROR(IF(EDI3="No",IF(VLOOKUP(DATE($K$1,$K$2,ECZ$4),Table1[],(MATCH(Calendar!$A18,DB!$1:$1,0)),FALSE)&gt;=5,"Good","Bad"),VLOOKUP(DATE($K$1,$K$2,ECZ$4),Table1[],(MATCH(Calendar!$A18,DB!$1:$1,0)),FALSE)),"")</f>
        <v/>
      </c>
      <c r="EDA18" s="28" t="str">
        <f>IFERROR(IF(EDJ3="No",IF(VLOOKUP(DATE($K$1,$K$2,EDA$4),Table1[],(MATCH(Calendar!$A18,DB!$1:$1,0)),FALSE)&gt;=5,"Good","Bad"),VLOOKUP(DATE($K$1,$K$2,EDA$4),Table1[],(MATCH(Calendar!$A18,DB!$1:$1,0)),FALSE)),"")</f>
        <v/>
      </c>
      <c r="EDB18" s="28" t="str">
        <f>IFERROR(IF(EDK3="No",IF(VLOOKUP(DATE($K$1,$K$2,EDB$4),Table1[],(MATCH(Calendar!$A18,DB!$1:$1,0)),FALSE)&gt;=5,"Good","Bad"),VLOOKUP(DATE($K$1,$K$2,EDB$4),Table1[],(MATCH(Calendar!$A18,DB!$1:$1,0)),FALSE)),"")</f>
        <v/>
      </c>
      <c r="EDC18" s="28" t="str">
        <f>IFERROR(IF(EDL3="No",IF(VLOOKUP(DATE($K$1,$K$2,EDC$4),Table1[],(MATCH(Calendar!$A18,DB!$1:$1,0)),FALSE)&gt;=5,"Good","Bad"),VLOOKUP(DATE($K$1,$K$2,EDC$4),Table1[],(MATCH(Calendar!$A18,DB!$1:$1,0)),FALSE)),"")</f>
        <v/>
      </c>
      <c r="EDD18" s="28" t="str">
        <f>IFERROR(IF(EDM3="No",IF(VLOOKUP(DATE($K$1,$K$2,EDD$4),Table1[],(MATCH(Calendar!$A18,DB!$1:$1,0)),FALSE)&gt;=5,"Good","Bad"),VLOOKUP(DATE($K$1,$K$2,EDD$4),Table1[],(MATCH(Calendar!$A18,DB!$1:$1,0)),FALSE)),"")</f>
        <v/>
      </c>
      <c r="EDE18" s="28" t="str">
        <f>IFERROR(IF(EDN3="No",IF(VLOOKUP(DATE($K$1,$K$2,EDE$4),Table1[],(MATCH(Calendar!$A18,DB!$1:$1,0)),FALSE)&gt;=5,"Good","Bad"),VLOOKUP(DATE($K$1,$K$2,EDE$4),Table1[],(MATCH(Calendar!$A18,DB!$1:$1,0)),FALSE)),"")</f>
        <v/>
      </c>
      <c r="EDF18" s="28" t="str">
        <f>IFERROR(IF(EDO3="No",IF(VLOOKUP(DATE($K$1,$K$2,EDF$4),Table1[],(MATCH(Calendar!$A18,DB!$1:$1,0)),FALSE)&gt;=5,"Good","Bad"),VLOOKUP(DATE($K$1,$K$2,EDF$4),Table1[],(MATCH(Calendar!$A18,DB!$1:$1,0)),FALSE)),"")</f>
        <v/>
      </c>
      <c r="EDG18" s="28" t="str">
        <f>IFERROR(IF(EDP3="No",IF(VLOOKUP(DATE($K$1,$K$2,EDG$4),Table1[],(MATCH(Calendar!$A18,DB!$1:$1,0)),FALSE)&gt;=5,"Good","Bad"),VLOOKUP(DATE($K$1,$K$2,EDG$4),Table1[],(MATCH(Calendar!$A18,DB!$1:$1,0)),FALSE)),"")</f>
        <v/>
      </c>
      <c r="EDH18" s="28" t="str">
        <f>IFERROR(IF(EDQ3="No",IF(VLOOKUP(DATE($K$1,$K$2,EDH$4),Table1[],(MATCH(Calendar!$A18,DB!$1:$1,0)),FALSE)&gt;=5,"Good","Bad"),VLOOKUP(DATE($K$1,$K$2,EDH$4),Table1[],(MATCH(Calendar!$A18,DB!$1:$1,0)),FALSE)),"")</f>
        <v/>
      </c>
      <c r="EDI18" s="28" t="str">
        <f>IFERROR(IF(EDR3="No",IF(VLOOKUP(DATE($K$1,$K$2,EDI$4),Table1[],(MATCH(Calendar!$A18,DB!$1:$1,0)),FALSE)&gt;=5,"Good","Bad"),VLOOKUP(DATE($K$1,$K$2,EDI$4),Table1[],(MATCH(Calendar!$A18,DB!$1:$1,0)),FALSE)),"")</f>
        <v/>
      </c>
      <c r="EDJ18" s="28" t="str">
        <f>IFERROR(IF(EDS3="No",IF(VLOOKUP(DATE($K$1,$K$2,EDJ$4),Table1[],(MATCH(Calendar!$A18,DB!$1:$1,0)),FALSE)&gt;=5,"Good","Bad"),VLOOKUP(DATE($K$1,$K$2,EDJ$4),Table1[],(MATCH(Calendar!$A18,DB!$1:$1,0)),FALSE)),"")</f>
        <v/>
      </c>
      <c r="EDK18" s="28" t="str">
        <f>IFERROR(IF(EDT3="No",IF(VLOOKUP(DATE($K$1,$K$2,EDK$4),Table1[],(MATCH(Calendar!$A18,DB!$1:$1,0)),FALSE)&gt;=5,"Good","Bad"),VLOOKUP(DATE($K$1,$K$2,EDK$4),Table1[],(MATCH(Calendar!$A18,DB!$1:$1,0)),FALSE)),"")</f>
        <v/>
      </c>
      <c r="EDL18" s="28" t="str">
        <f>IFERROR(IF(EDU3="No",IF(VLOOKUP(DATE($K$1,$K$2,EDL$4),Table1[],(MATCH(Calendar!$A18,DB!$1:$1,0)),FALSE)&gt;=5,"Good","Bad"),VLOOKUP(DATE($K$1,$K$2,EDL$4),Table1[],(MATCH(Calendar!$A18,DB!$1:$1,0)),FALSE)),"")</f>
        <v/>
      </c>
      <c r="EDM18" s="28" t="str">
        <f>IFERROR(IF(EDV3="No",IF(VLOOKUP(DATE($K$1,$K$2,EDM$4),Table1[],(MATCH(Calendar!$A18,DB!$1:$1,0)),FALSE)&gt;=5,"Good","Bad"),VLOOKUP(DATE($K$1,$K$2,EDM$4),Table1[],(MATCH(Calendar!$A18,DB!$1:$1,0)),FALSE)),"")</f>
        <v/>
      </c>
      <c r="EDN18" s="28" t="str">
        <f>IFERROR(IF(EDW3="No",IF(VLOOKUP(DATE($K$1,$K$2,EDN$4),Table1[],(MATCH(Calendar!$A18,DB!$1:$1,0)),FALSE)&gt;=5,"Good","Bad"),VLOOKUP(DATE($K$1,$K$2,EDN$4),Table1[],(MATCH(Calendar!$A18,DB!$1:$1,0)),FALSE)),"")</f>
        <v/>
      </c>
      <c r="EDO18" s="28" t="str">
        <f>IFERROR(IF(EDX3="No",IF(VLOOKUP(DATE($K$1,$K$2,EDO$4),Table1[],(MATCH(Calendar!$A18,DB!$1:$1,0)),FALSE)&gt;=5,"Good","Bad"),VLOOKUP(DATE($K$1,$K$2,EDO$4),Table1[],(MATCH(Calendar!$A18,DB!$1:$1,0)),FALSE)),"")</f>
        <v/>
      </c>
      <c r="EDP18" s="28" t="str">
        <f>IFERROR(IF(EDY3="No",IF(VLOOKUP(DATE($K$1,$K$2,EDP$4),Table1[],(MATCH(Calendar!$A18,DB!$1:$1,0)),FALSE)&gt;=5,"Good","Bad"),VLOOKUP(DATE($K$1,$K$2,EDP$4),Table1[],(MATCH(Calendar!$A18,DB!$1:$1,0)),FALSE)),"")</f>
        <v/>
      </c>
      <c r="EDQ18" s="28" t="str">
        <f>IFERROR(IF(EDZ3="No",IF(VLOOKUP(DATE($K$1,$K$2,EDQ$4),Table1[],(MATCH(Calendar!$A18,DB!$1:$1,0)),FALSE)&gt;=5,"Good","Bad"),VLOOKUP(DATE($K$1,$K$2,EDQ$4),Table1[],(MATCH(Calendar!$A18,DB!$1:$1,0)),FALSE)),"")</f>
        <v/>
      </c>
      <c r="EDR18" s="28" t="str">
        <f>IFERROR(IF(EEA3="No",IF(VLOOKUP(DATE($K$1,$K$2,EDR$4),Table1[],(MATCH(Calendar!$A18,DB!$1:$1,0)),FALSE)&gt;=5,"Good","Bad"),VLOOKUP(DATE($K$1,$K$2,EDR$4),Table1[],(MATCH(Calendar!$A18,DB!$1:$1,0)),FALSE)),"")</f>
        <v/>
      </c>
      <c r="EDS18" s="28" t="str">
        <f>IFERROR(IF(EEB3="No",IF(VLOOKUP(DATE($K$1,$K$2,EDS$4),Table1[],(MATCH(Calendar!$A18,DB!$1:$1,0)),FALSE)&gt;=5,"Good","Bad"),VLOOKUP(DATE($K$1,$K$2,EDS$4),Table1[],(MATCH(Calendar!$A18,DB!$1:$1,0)),FALSE)),"")</f>
        <v/>
      </c>
      <c r="EDT18" s="28" t="str">
        <f>IFERROR(IF(EEC3="No",IF(VLOOKUP(DATE($K$1,$K$2,EDT$4),Table1[],(MATCH(Calendar!$A18,DB!$1:$1,0)),FALSE)&gt;=5,"Good","Bad"),VLOOKUP(DATE($K$1,$K$2,EDT$4),Table1[],(MATCH(Calendar!$A18,DB!$1:$1,0)),FALSE)),"")</f>
        <v/>
      </c>
      <c r="EDU18" s="28" t="str">
        <f>IFERROR(IF(EED3="No",IF(VLOOKUP(DATE($K$1,$K$2,EDU$4),Table1[],(MATCH(Calendar!$A18,DB!$1:$1,0)),FALSE)&gt;=5,"Good","Bad"),VLOOKUP(DATE($K$1,$K$2,EDU$4),Table1[],(MATCH(Calendar!$A18,DB!$1:$1,0)),FALSE)),"")</f>
        <v/>
      </c>
      <c r="EDV18" s="28" t="str">
        <f>IFERROR(IF(EEE3="No",IF(VLOOKUP(DATE($K$1,$K$2,EDV$4),Table1[],(MATCH(Calendar!$A18,DB!$1:$1,0)),FALSE)&gt;=5,"Good","Bad"),VLOOKUP(DATE($K$1,$K$2,EDV$4),Table1[],(MATCH(Calendar!$A18,DB!$1:$1,0)),FALSE)),"")</f>
        <v/>
      </c>
      <c r="EDW18" s="28" t="str">
        <f>IFERROR(IF(EEF3="No",IF(VLOOKUP(DATE($K$1,$K$2,EDW$4),Table1[],(MATCH(Calendar!$A18,DB!$1:$1,0)),FALSE)&gt;=5,"Good","Bad"),VLOOKUP(DATE($K$1,$K$2,EDW$4),Table1[],(MATCH(Calendar!$A18,DB!$1:$1,0)),FALSE)),"")</f>
        <v/>
      </c>
      <c r="EDX18" s="28" t="str">
        <f>IFERROR(IF(EEG3="No",IF(VLOOKUP(DATE($K$1,$K$2,EDX$4),Table1[],(MATCH(Calendar!$A18,DB!$1:$1,0)),FALSE)&gt;=5,"Good","Bad"),VLOOKUP(DATE($K$1,$K$2,EDX$4),Table1[],(MATCH(Calendar!$A18,DB!$1:$1,0)),FALSE)),"")</f>
        <v/>
      </c>
      <c r="EDY18" s="28" t="str">
        <f>IFERROR(IF(EEH3="No",IF(VLOOKUP(DATE($K$1,$K$2,EDY$4),Table1[],(MATCH(Calendar!$A18,DB!$1:$1,0)),FALSE)&gt;=5,"Good","Bad"),VLOOKUP(DATE($K$1,$K$2,EDY$4),Table1[],(MATCH(Calendar!$A18,DB!$1:$1,0)),FALSE)),"")</f>
        <v/>
      </c>
      <c r="EDZ18" s="28" t="str">
        <f>IFERROR(IF(EEI3="No",IF(VLOOKUP(DATE($K$1,$K$2,EDZ$4),Table1[],(MATCH(Calendar!$A18,DB!$1:$1,0)),FALSE)&gt;=5,"Good","Bad"),VLOOKUP(DATE($K$1,$K$2,EDZ$4),Table1[],(MATCH(Calendar!$A18,DB!$1:$1,0)),FALSE)),"")</f>
        <v/>
      </c>
      <c r="EEA18" s="28" t="str">
        <f>IFERROR(IF(EEJ3="No",IF(VLOOKUP(DATE($K$1,$K$2,EEA$4),Table1[],(MATCH(Calendar!$A18,DB!$1:$1,0)),FALSE)&gt;=5,"Good","Bad"),VLOOKUP(DATE($K$1,$K$2,EEA$4),Table1[],(MATCH(Calendar!$A18,DB!$1:$1,0)),FALSE)),"")</f>
        <v/>
      </c>
      <c r="EEB18" s="28" t="str">
        <f>IFERROR(IF(EEK3="No",IF(VLOOKUP(DATE($K$1,$K$2,EEB$4),Table1[],(MATCH(Calendar!$A18,DB!$1:$1,0)),FALSE)&gt;=5,"Good","Bad"),VLOOKUP(DATE($K$1,$K$2,EEB$4),Table1[],(MATCH(Calendar!$A18,DB!$1:$1,0)),FALSE)),"")</f>
        <v/>
      </c>
      <c r="EEC18" s="28" t="str">
        <f>IFERROR(IF(EEL3="No",IF(VLOOKUP(DATE($K$1,$K$2,EEC$4),Table1[],(MATCH(Calendar!$A18,DB!$1:$1,0)),FALSE)&gt;=5,"Good","Bad"),VLOOKUP(DATE($K$1,$K$2,EEC$4),Table1[],(MATCH(Calendar!$A18,DB!$1:$1,0)),FALSE)),"")</f>
        <v/>
      </c>
      <c r="EED18" s="28" t="str">
        <f>IFERROR(IF(EEM3="No",IF(VLOOKUP(DATE($K$1,$K$2,EED$4),Table1[],(MATCH(Calendar!$A18,DB!$1:$1,0)),FALSE)&gt;=5,"Good","Bad"),VLOOKUP(DATE($K$1,$K$2,EED$4),Table1[],(MATCH(Calendar!$A18,DB!$1:$1,0)),FALSE)),"")</f>
        <v/>
      </c>
      <c r="EEE18" s="28" t="str">
        <f>IFERROR(IF(EEN3="No",IF(VLOOKUP(DATE($K$1,$K$2,EEE$4),Table1[],(MATCH(Calendar!$A18,DB!$1:$1,0)),FALSE)&gt;=5,"Good","Bad"),VLOOKUP(DATE($K$1,$K$2,EEE$4),Table1[],(MATCH(Calendar!$A18,DB!$1:$1,0)),FALSE)),"")</f>
        <v/>
      </c>
      <c r="EEF18" s="28" t="str">
        <f>IFERROR(IF(EEO3="No",IF(VLOOKUP(DATE($K$1,$K$2,EEF$4),Table1[],(MATCH(Calendar!$A18,DB!$1:$1,0)),FALSE)&gt;=5,"Good","Bad"),VLOOKUP(DATE($K$1,$K$2,EEF$4),Table1[],(MATCH(Calendar!$A18,DB!$1:$1,0)),FALSE)),"")</f>
        <v/>
      </c>
      <c r="EEG18" s="28" t="str">
        <f>IFERROR(IF(EEP3="No",IF(VLOOKUP(DATE($K$1,$K$2,EEG$4),Table1[],(MATCH(Calendar!$A18,DB!$1:$1,0)),FALSE)&gt;=5,"Good","Bad"),VLOOKUP(DATE($K$1,$K$2,EEG$4),Table1[],(MATCH(Calendar!$A18,DB!$1:$1,0)),FALSE)),"")</f>
        <v/>
      </c>
      <c r="EEH18" s="28" t="str">
        <f>IFERROR(IF(EEQ3="No",IF(VLOOKUP(DATE($K$1,$K$2,EEH$4),Table1[],(MATCH(Calendar!$A18,DB!$1:$1,0)),FALSE)&gt;=5,"Good","Bad"),VLOOKUP(DATE($K$1,$K$2,EEH$4),Table1[],(MATCH(Calendar!$A18,DB!$1:$1,0)),FALSE)),"")</f>
        <v/>
      </c>
      <c r="EEI18" s="28" t="str">
        <f>IFERROR(IF(EER3="No",IF(VLOOKUP(DATE($K$1,$K$2,EEI$4),Table1[],(MATCH(Calendar!$A18,DB!$1:$1,0)),FALSE)&gt;=5,"Good","Bad"),VLOOKUP(DATE($K$1,$K$2,EEI$4),Table1[],(MATCH(Calendar!$A18,DB!$1:$1,0)),FALSE)),"")</f>
        <v/>
      </c>
      <c r="EEJ18" s="28" t="str">
        <f>IFERROR(IF(EES3="No",IF(VLOOKUP(DATE($K$1,$K$2,EEJ$4),Table1[],(MATCH(Calendar!$A18,DB!$1:$1,0)),FALSE)&gt;=5,"Good","Bad"),VLOOKUP(DATE($K$1,$K$2,EEJ$4),Table1[],(MATCH(Calendar!$A18,DB!$1:$1,0)),FALSE)),"")</f>
        <v/>
      </c>
      <c r="EEK18" s="28" t="str">
        <f>IFERROR(IF(EET3="No",IF(VLOOKUP(DATE($K$1,$K$2,EEK$4),Table1[],(MATCH(Calendar!$A18,DB!$1:$1,0)),FALSE)&gt;=5,"Good","Bad"),VLOOKUP(DATE($K$1,$K$2,EEK$4),Table1[],(MATCH(Calendar!$A18,DB!$1:$1,0)),FALSE)),"")</f>
        <v/>
      </c>
      <c r="EEL18" s="28" t="str">
        <f>IFERROR(IF(EEU3="No",IF(VLOOKUP(DATE($K$1,$K$2,EEL$4),Table1[],(MATCH(Calendar!$A18,DB!$1:$1,0)),FALSE)&gt;=5,"Good","Bad"),VLOOKUP(DATE($K$1,$K$2,EEL$4),Table1[],(MATCH(Calendar!$A18,DB!$1:$1,0)),FALSE)),"")</f>
        <v/>
      </c>
      <c r="EEM18" s="28" t="str">
        <f>IFERROR(IF(EEV3="No",IF(VLOOKUP(DATE($K$1,$K$2,EEM$4),Table1[],(MATCH(Calendar!$A18,DB!$1:$1,0)),FALSE)&gt;=5,"Good","Bad"),VLOOKUP(DATE($K$1,$K$2,EEM$4),Table1[],(MATCH(Calendar!$A18,DB!$1:$1,0)),FALSE)),"")</f>
        <v/>
      </c>
      <c r="EEN18" s="28" t="str">
        <f>IFERROR(IF(EEW3="No",IF(VLOOKUP(DATE($K$1,$K$2,EEN$4),Table1[],(MATCH(Calendar!$A18,DB!$1:$1,0)),FALSE)&gt;=5,"Good","Bad"),VLOOKUP(DATE($K$1,$K$2,EEN$4),Table1[],(MATCH(Calendar!$A18,DB!$1:$1,0)),FALSE)),"")</f>
        <v/>
      </c>
      <c r="EEO18" s="28" t="str">
        <f>IFERROR(IF(EEX3="No",IF(VLOOKUP(DATE($K$1,$K$2,EEO$4),Table1[],(MATCH(Calendar!$A18,DB!$1:$1,0)),FALSE)&gt;=5,"Good","Bad"),VLOOKUP(DATE($K$1,$K$2,EEO$4),Table1[],(MATCH(Calendar!$A18,DB!$1:$1,0)),FALSE)),"")</f>
        <v/>
      </c>
      <c r="EEP18" s="28" t="str">
        <f>IFERROR(IF(EEY3="No",IF(VLOOKUP(DATE($K$1,$K$2,EEP$4),Table1[],(MATCH(Calendar!$A18,DB!$1:$1,0)),FALSE)&gt;=5,"Good","Bad"),VLOOKUP(DATE($K$1,$K$2,EEP$4),Table1[],(MATCH(Calendar!$A18,DB!$1:$1,0)),FALSE)),"")</f>
        <v/>
      </c>
      <c r="EEQ18" s="28" t="str">
        <f>IFERROR(IF(EEZ3="No",IF(VLOOKUP(DATE($K$1,$K$2,EEQ$4),Table1[],(MATCH(Calendar!$A18,DB!$1:$1,0)),FALSE)&gt;=5,"Good","Bad"),VLOOKUP(DATE($K$1,$K$2,EEQ$4),Table1[],(MATCH(Calendar!$A18,DB!$1:$1,0)),FALSE)),"")</f>
        <v/>
      </c>
      <c r="EER18" s="28" t="str">
        <f>IFERROR(IF(EFA3="No",IF(VLOOKUP(DATE($K$1,$K$2,EER$4),Table1[],(MATCH(Calendar!$A18,DB!$1:$1,0)),FALSE)&gt;=5,"Good","Bad"),VLOOKUP(DATE($K$1,$K$2,EER$4),Table1[],(MATCH(Calendar!$A18,DB!$1:$1,0)),FALSE)),"")</f>
        <v/>
      </c>
      <c r="EES18" s="28" t="str">
        <f>IFERROR(IF(EFB3="No",IF(VLOOKUP(DATE($K$1,$K$2,EES$4),Table1[],(MATCH(Calendar!$A18,DB!$1:$1,0)),FALSE)&gt;=5,"Good","Bad"),VLOOKUP(DATE($K$1,$K$2,EES$4),Table1[],(MATCH(Calendar!$A18,DB!$1:$1,0)),FALSE)),"")</f>
        <v/>
      </c>
      <c r="EET18" s="28" t="str">
        <f>IFERROR(IF(EFC3="No",IF(VLOOKUP(DATE($K$1,$K$2,EET$4),Table1[],(MATCH(Calendar!$A18,DB!$1:$1,0)),FALSE)&gt;=5,"Good","Bad"),VLOOKUP(DATE($K$1,$K$2,EET$4),Table1[],(MATCH(Calendar!$A18,DB!$1:$1,0)),FALSE)),"")</f>
        <v/>
      </c>
      <c r="EEU18" s="28" t="str">
        <f>IFERROR(IF(EFD3="No",IF(VLOOKUP(DATE($K$1,$K$2,EEU$4),Table1[],(MATCH(Calendar!$A18,DB!$1:$1,0)),FALSE)&gt;=5,"Good","Bad"),VLOOKUP(DATE($K$1,$K$2,EEU$4),Table1[],(MATCH(Calendar!$A18,DB!$1:$1,0)),FALSE)),"")</f>
        <v/>
      </c>
      <c r="EEV18" s="28" t="str">
        <f>IFERROR(IF(EFE3="No",IF(VLOOKUP(DATE($K$1,$K$2,EEV$4),Table1[],(MATCH(Calendar!$A18,DB!$1:$1,0)),FALSE)&gt;=5,"Good","Bad"),VLOOKUP(DATE($K$1,$K$2,EEV$4),Table1[],(MATCH(Calendar!$A18,DB!$1:$1,0)),FALSE)),"")</f>
        <v/>
      </c>
      <c r="EEW18" s="28" t="str">
        <f>IFERROR(IF(EFF3="No",IF(VLOOKUP(DATE($K$1,$K$2,EEW$4),Table1[],(MATCH(Calendar!$A18,DB!$1:$1,0)),FALSE)&gt;=5,"Good","Bad"),VLOOKUP(DATE($K$1,$K$2,EEW$4),Table1[],(MATCH(Calendar!$A18,DB!$1:$1,0)),FALSE)),"")</f>
        <v/>
      </c>
      <c r="EEX18" s="28" t="str">
        <f>IFERROR(IF(EFG3="No",IF(VLOOKUP(DATE($K$1,$K$2,EEX$4),Table1[],(MATCH(Calendar!$A18,DB!$1:$1,0)),FALSE)&gt;=5,"Good","Bad"),VLOOKUP(DATE($K$1,$K$2,EEX$4),Table1[],(MATCH(Calendar!$A18,DB!$1:$1,0)),FALSE)),"")</f>
        <v/>
      </c>
      <c r="EEY18" s="28" t="str">
        <f>IFERROR(IF(EFH3="No",IF(VLOOKUP(DATE($K$1,$K$2,EEY$4),Table1[],(MATCH(Calendar!$A18,DB!$1:$1,0)),FALSE)&gt;=5,"Good","Bad"),VLOOKUP(DATE($K$1,$K$2,EEY$4),Table1[],(MATCH(Calendar!$A18,DB!$1:$1,0)),FALSE)),"")</f>
        <v/>
      </c>
      <c r="EEZ18" s="28" t="str">
        <f>IFERROR(IF(EFI3="No",IF(VLOOKUP(DATE($K$1,$K$2,EEZ$4),Table1[],(MATCH(Calendar!$A18,DB!$1:$1,0)),FALSE)&gt;=5,"Good","Bad"),VLOOKUP(DATE($K$1,$K$2,EEZ$4),Table1[],(MATCH(Calendar!$A18,DB!$1:$1,0)),FALSE)),"")</f>
        <v/>
      </c>
      <c r="EFA18" s="28" t="str">
        <f>IFERROR(IF(EFJ3="No",IF(VLOOKUP(DATE($K$1,$K$2,EFA$4),Table1[],(MATCH(Calendar!$A18,DB!$1:$1,0)),FALSE)&gt;=5,"Good","Bad"),VLOOKUP(DATE($K$1,$K$2,EFA$4),Table1[],(MATCH(Calendar!$A18,DB!$1:$1,0)),FALSE)),"")</f>
        <v/>
      </c>
      <c r="EFB18" s="28" t="str">
        <f>IFERROR(IF(EFK3="No",IF(VLOOKUP(DATE($K$1,$K$2,EFB$4),Table1[],(MATCH(Calendar!$A18,DB!$1:$1,0)),FALSE)&gt;=5,"Good","Bad"),VLOOKUP(DATE($K$1,$K$2,EFB$4),Table1[],(MATCH(Calendar!$A18,DB!$1:$1,0)),FALSE)),"")</f>
        <v/>
      </c>
      <c r="EFC18" s="28" t="str">
        <f>IFERROR(IF(EFL3="No",IF(VLOOKUP(DATE($K$1,$K$2,EFC$4),Table1[],(MATCH(Calendar!$A18,DB!$1:$1,0)),FALSE)&gt;=5,"Good","Bad"),VLOOKUP(DATE($K$1,$K$2,EFC$4),Table1[],(MATCH(Calendar!$A18,DB!$1:$1,0)),FALSE)),"")</f>
        <v/>
      </c>
      <c r="EFD18" s="28" t="str">
        <f>IFERROR(IF(EFM3="No",IF(VLOOKUP(DATE($K$1,$K$2,EFD$4),Table1[],(MATCH(Calendar!$A18,DB!$1:$1,0)),FALSE)&gt;=5,"Good","Bad"),VLOOKUP(DATE($K$1,$K$2,EFD$4),Table1[],(MATCH(Calendar!$A18,DB!$1:$1,0)),FALSE)),"")</f>
        <v/>
      </c>
      <c r="EFE18" s="28" t="str">
        <f>IFERROR(IF(EFN3="No",IF(VLOOKUP(DATE($K$1,$K$2,EFE$4),Table1[],(MATCH(Calendar!$A18,DB!$1:$1,0)),FALSE)&gt;=5,"Good","Bad"),VLOOKUP(DATE($K$1,$K$2,EFE$4),Table1[],(MATCH(Calendar!$A18,DB!$1:$1,0)),FALSE)),"")</f>
        <v/>
      </c>
      <c r="EFF18" s="28" t="str">
        <f>IFERROR(IF(EFO3="No",IF(VLOOKUP(DATE($K$1,$K$2,EFF$4),Table1[],(MATCH(Calendar!$A18,DB!$1:$1,0)),FALSE)&gt;=5,"Good","Bad"),VLOOKUP(DATE($K$1,$K$2,EFF$4),Table1[],(MATCH(Calendar!$A18,DB!$1:$1,0)),FALSE)),"")</f>
        <v/>
      </c>
      <c r="EFG18" s="28" t="str">
        <f>IFERROR(IF(EFP3="No",IF(VLOOKUP(DATE($K$1,$K$2,EFG$4),Table1[],(MATCH(Calendar!$A18,DB!$1:$1,0)),FALSE)&gt;=5,"Good","Bad"),VLOOKUP(DATE($K$1,$K$2,EFG$4),Table1[],(MATCH(Calendar!$A18,DB!$1:$1,0)),FALSE)),"")</f>
        <v/>
      </c>
      <c r="EFH18" s="28" t="str">
        <f>IFERROR(IF(EFQ3="No",IF(VLOOKUP(DATE($K$1,$K$2,EFH$4),Table1[],(MATCH(Calendar!$A18,DB!$1:$1,0)),FALSE)&gt;=5,"Good","Bad"),VLOOKUP(DATE($K$1,$K$2,EFH$4),Table1[],(MATCH(Calendar!$A18,DB!$1:$1,0)),FALSE)),"")</f>
        <v/>
      </c>
      <c r="EFI18" s="28" t="str">
        <f>IFERROR(IF(EFR3="No",IF(VLOOKUP(DATE($K$1,$K$2,EFI$4),Table1[],(MATCH(Calendar!$A18,DB!$1:$1,0)),FALSE)&gt;=5,"Good","Bad"),VLOOKUP(DATE($K$1,$K$2,EFI$4),Table1[],(MATCH(Calendar!$A18,DB!$1:$1,0)),FALSE)),"")</f>
        <v/>
      </c>
      <c r="EFJ18" s="28" t="str">
        <f>IFERROR(IF(EFS3="No",IF(VLOOKUP(DATE($K$1,$K$2,EFJ$4),Table1[],(MATCH(Calendar!$A18,DB!$1:$1,0)),FALSE)&gt;=5,"Good","Bad"),VLOOKUP(DATE($K$1,$K$2,EFJ$4),Table1[],(MATCH(Calendar!$A18,DB!$1:$1,0)),FALSE)),"")</f>
        <v/>
      </c>
      <c r="EFK18" s="28" t="str">
        <f>IFERROR(IF(EFT3="No",IF(VLOOKUP(DATE($K$1,$K$2,EFK$4),Table1[],(MATCH(Calendar!$A18,DB!$1:$1,0)),FALSE)&gt;=5,"Good","Bad"),VLOOKUP(DATE($K$1,$K$2,EFK$4),Table1[],(MATCH(Calendar!$A18,DB!$1:$1,0)),FALSE)),"")</f>
        <v/>
      </c>
      <c r="EFL18" s="28" t="str">
        <f>IFERROR(IF(EFU3="No",IF(VLOOKUP(DATE($K$1,$K$2,EFL$4),Table1[],(MATCH(Calendar!$A18,DB!$1:$1,0)),FALSE)&gt;=5,"Good","Bad"),VLOOKUP(DATE($K$1,$K$2,EFL$4),Table1[],(MATCH(Calendar!$A18,DB!$1:$1,0)),FALSE)),"")</f>
        <v/>
      </c>
      <c r="EFM18" s="28" t="str">
        <f>IFERROR(IF(EFV3="No",IF(VLOOKUP(DATE($K$1,$K$2,EFM$4),Table1[],(MATCH(Calendar!$A18,DB!$1:$1,0)),FALSE)&gt;=5,"Good","Bad"),VLOOKUP(DATE($K$1,$K$2,EFM$4),Table1[],(MATCH(Calendar!$A18,DB!$1:$1,0)),FALSE)),"")</f>
        <v/>
      </c>
      <c r="EFN18" s="28" t="str">
        <f>IFERROR(IF(EFW3="No",IF(VLOOKUP(DATE($K$1,$K$2,EFN$4),Table1[],(MATCH(Calendar!$A18,DB!$1:$1,0)),FALSE)&gt;=5,"Good","Bad"),VLOOKUP(DATE($K$1,$K$2,EFN$4),Table1[],(MATCH(Calendar!$A18,DB!$1:$1,0)),FALSE)),"")</f>
        <v/>
      </c>
      <c r="EFO18" s="28" t="str">
        <f>IFERROR(IF(EFX3="No",IF(VLOOKUP(DATE($K$1,$K$2,EFO$4),Table1[],(MATCH(Calendar!$A18,DB!$1:$1,0)),FALSE)&gt;=5,"Good","Bad"),VLOOKUP(DATE($K$1,$K$2,EFO$4),Table1[],(MATCH(Calendar!$A18,DB!$1:$1,0)),FALSE)),"")</f>
        <v/>
      </c>
      <c r="EFP18" s="28" t="str">
        <f>IFERROR(IF(EFY3="No",IF(VLOOKUP(DATE($K$1,$K$2,EFP$4),Table1[],(MATCH(Calendar!$A18,DB!$1:$1,0)),FALSE)&gt;=5,"Good","Bad"),VLOOKUP(DATE($K$1,$K$2,EFP$4),Table1[],(MATCH(Calendar!$A18,DB!$1:$1,0)),FALSE)),"")</f>
        <v/>
      </c>
      <c r="EFQ18" s="28" t="str">
        <f>IFERROR(IF(EFZ3="No",IF(VLOOKUP(DATE($K$1,$K$2,EFQ$4),Table1[],(MATCH(Calendar!$A18,DB!$1:$1,0)),FALSE)&gt;=5,"Good","Bad"),VLOOKUP(DATE($K$1,$K$2,EFQ$4),Table1[],(MATCH(Calendar!$A18,DB!$1:$1,0)),FALSE)),"")</f>
        <v/>
      </c>
      <c r="EFR18" s="28" t="str">
        <f>IFERROR(IF(EGA3="No",IF(VLOOKUP(DATE($K$1,$K$2,EFR$4),Table1[],(MATCH(Calendar!$A18,DB!$1:$1,0)),FALSE)&gt;=5,"Good","Bad"),VLOOKUP(DATE($K$1,$K$2,EFR$4),Table1[],(MATCH(Calendar!$A18,DB!$1:$1,0)),FALSE)),"")</f>
        <v/>
      </c>
      <c r="EFS18" s="28" t="str">
        <f>IFERROR(IF(EGB3="No",IF(VLOOKUP(DATE($K$1,$K$2,EFS$4),Table1[],(MATCH(Calendar!$A18,DB!$1:$1,0)),FALSE)&gt;=5,"Good","Bad"),VLOOKUP(DATE($K$1,$K$2,EFS$4),Table1[],(MATCH(Calendar!$A18,DB!$1:$1,0)),FALSE)),"")</f>
        <v/>
      </c>
      <c r="EFT18" s="28" t="str">
        <f>IFERROR(IF(EGC3="No",IF(VLOOKUP(DATE($K$1,$K$2,EFT$4),Table1[],(MATCH(Calendar!$A18,DB!$1:$1,0)),FALSE)&gt;=5,"Good","Bad"),VLOOKUP(DATE($K$1,$K$2,EFT$4),Table1[],(MATCH(Calendar!$A18,DB!$1:$1,0)),FALSE)),"")</f>
        <v/>
      </c>
      <c r="EFU18" s="28" t="str">
        <f>IFERROR(IF(EGD3="No",IF(VLOOKUP(DATE($K$1,$K$2,EFU$4),Table1[],(MATCH(Calendar!$A18,DB!$1:$1,0)),FALSE)&gt;=5,"Good","Bad"),VLOOKUP(DATE($K$1,$K$2,EFU$4),Table1[],(MATCH(Calendar!$A18,DB!$1:$1,0)),FALSE)),"")</f>
        <v/>
      </c>
      <c r="EFV18" s="28" t="str">
        <f>IFERROR(IF(EGE3="No",IF(VLOOKUP(DATE($K$1,$K$2,EFV$4),Table1[],(MATCH(Calendar!$A18,DB!$1:$1,0)),FALSE)&gt;=5,"Good","Bad"),VLOOKUP(DATE($K$1,$K$2,EFV$4),Table1[],(MATCH(Calendar!$A18,DB!$1:$1,0)),FALSE)),"")</f>
        <v/>
      </c>
      <c r="EFW18" s="28" t="str">
        <f>IFERROR(IF(EGF3="No",IF(VLOOKUP(DATE($K$1,$K$2,EFW$4),Table1[],(MATCH(Calendar!$A18,DB!$1:$1,0)),FALSE)&gt;=5,"Good","Bad"),VLOOKUP(DATE($K$1,$K$2,EFW$4),Table1[],(MATCH(Calendar!$A18,DB!$1:$1,0)),FALSE)),"")</f>
        <v/>
      </c>
      <c r="EFX18" s="28" t="str">
        <f>IFERROR(IF(EGG3="No",IF(VLOOKUP(DATE($K$1,$K$2,EFX$4),Table1[],(MATCH(Calendar!$A18,DB!$1:$1,0)),FALSE)&gt;=5,"Good","Bad"),VLOOKUP(DATE($K$1,$K$2,EFX$4),Table1[],(MATCH(Calendar!$A18,DB!$1:$1,0)),FALSE)),"")</f>
        <v/>
      </c>
      <c r="EFY18" s="28" t="str">
        <f>IFERROR(IF(EGH3="No",IF(VLOOKUP(DATE($K$1,$K$2,EFY$4),Table1[],(MATCH(Calendar!$A18,DB!$1:$1,0)),FALSE)&gt;=5,"Good","Bad"),VLOOKUP(DATE($K$1,$K$2,EFY$4),Table1[],(MATCH(Calendar!$A18,DB!$1:$1,0)),FALSE)),"")</f>
        <v/>
      </c>
      <c r="EFZ18" s="28" t="str">
        <f>IFERROR(IF(EGI3="No",IF(VLOOKUP(DATE($K$1,$K$2,EFZ$4),Table1[],(MATCH(Calendar!$A18,DB!$1:$1,0)),FALSE)&gt;=5,"Good","Bad"),VLOOKUP(DATE($K$1,$K$2,EFZ$4),Table1[],(MATCH(Calendar!$A18,DB!$1:$1,0)),FALSE)),"")</f>
        <v/>
      </c>
      <c r="EGA18" s="28" t="str">
        <f>IFERROR(IF(EGJ3="No",IF(VLOOKUP(DATE($K$1,$K$2,EGA$4),Table1[],(MATCH(Calendar!$A18,DB!$1:$1,0)),FALSE)&gt;=5,"Good","Bad"),VLOOKUP(DATE($K$1,$K$2,EGA$4),Table1[],(MATCH(Calendar!$A18,DB!$1:$1,0)),FALSE)),"")</f>
        <v/>
      </c>
      <c r="EGB18" s="28" t="str">
        <f>IFERROR(IF(EGK3="No",IF(VLOOKUP(DATE($K$1,$K$2,EGB$4),Table1[],(MATCH(Calendar!$A18,DB!$1:$1,0)),FALSE)&gt;=5,"Good","Bad"),VLOOKUP(DATE($K$1,$K$2,EGB$4),Table1[],(MATCH(Calendar!$A18,DB!$1:$1,0)),FALSE)),"")</f>
        <v/>
      </c>
      <c r="EGC18" s="28" t="str">
        <f>IFERROR(IF(EGL3="No",IF(VLOOKUP(DATE($K$1,$K$2,EGC$4),Table1[],(MATCH(Calendar!$A18,DB!$1:$1,0)),FALSE)&gt;=5,"Good","Bad"),VLOOKUP(DATE($K$1,$K$2,EGC$4),Table1[],(MATCH(Calendar!$A18,DB!$1:$1,0)),FALSE)),"")</f>
        <v/>
      </c>
      <c r="EGD18" s="28" t="str">
        <f>IFERROR(IF(EGM3="No",IF(VLOOKUP(DATE($K$1,$K$2,EGD$4),Table1[],(MATCH(Calendar!$A18,DB!$1:$1,0)),FALSE)&gt;=5,"Good","Bad"),VLOOKUP(DATE($K$1,$K$2,EGD$4),Table1[],(MATCH(Calendar!$A18,DB!$1:$1,0)),FALSE)),"")</f>
        <v/>
      </c>
      <c r="EGE18" s="28" t="str">
        <f>IFERROR(IF(EGN3="No",IF(VLOOKUP(DATE($K$1,$K$2,EGE$4),Table1[],(MATCH(Calendar!$A18,DB!$1:$1,0)),FALSE)&gt;=5,"Good","Bad"),VLOOKUP(DATE($K$1,$K$2,EGE$4),Table1[],(MATCH(Calendar!$A18,DB!$1:$1,0)),FALSE)),"")</f>
        <v/>
      </c>
      <c r="EGF18" s="28" t="str">
        <f>IFERROR(IF(EGO3="No",IF(VLOOKUP(DATE($K$1,$K$2,EGF$4),Table1[],(MATCH(Calendar!$A18,DB!$1:$1,0)),FALSE)&gt;=5,"Good","Bad"),VLOOKUP(DATE($K$1,$K$2,EGF$4),Table1[],(MATCH(Calendar!$A18,DB!$1:$1,0)),FALSE)),"")</f>
        <v/>
      </c>
      <c r="EGG18" s="28" t="str">
        <f>IFERROR(IF(EGP3="No",IF(VLOOKUP(DATE($K$1,$K$2,EGG$4),Table1[],(MATCH(Calendar!$A18,DB!$1:$1,0)),FALSE)&gt;=5,"Good","Bad"),VLOOKUP(DATE($K$1,$K$2,EGG$4),Table1[],(MATCH(Calendar!$A18,DB!$1:$1,0)),FALSE)),"")</f>
        <v/>
      </c>
      <c r="EGH18" s="28" t="str">
        <f>IFERROR(IF(EGQ3="No",IF(VLOOKUP(DATE($K$1,$K$2,EGH$4),Table1[],(MATCH(Calendar!$A18,DB!$1:$1,0)),FALSE)&gt;=5,"Good","Bad"),VLOOKUP(DATE($K$1,$K$2,EGH$4),Table1[],(MATCH(Calendar!$A18,DB!$1:$1,0)),FALSE)),"")</f>
        <v/>
      </c>
      <c r="EGI18" s="28" t="str">
        <f>IFERROR(IF(EGR3="No",IF(VLOOKUP(DATE($K$1,$K$2,EGI$4),Table1[],(MATCH(Calendar!$A18,DB!$1:$1,0)),FALSE)&gt;=5,"Good","Bad"),VLOOKUP(DATE($K$1,$K$2,EGI$4),Table1[],(MATCH(Calendar!$A18,DB!$1:$1,0)),FALSE)),"")</f>
        <v/>
      </c>
      <c r="EGJ18" s="28" t="str">
        <f>IFERROR(IF(EGS3="No",IF(VLOOKUP(DATE($K$1,$K$2,EGJ$4),Table1[],(MATCH(Calendar!$A18,DB!$1:$1,0)),FALSE)&gt;=5,"Good","Bad"),VLOOKUP(DATE($K$1,$K$2,EGJ$4),Table1[],(MATCH(Calendar!$A18,DB!$1:$1,0)),FALSE)),"")</f>
        <v/>
      </c>
      <c r="EGK18" s="28" t="str">
        <f>IFERROR(IF(EGT3="No",IF(VLOOKUP(DATE($K$1,$K$2,EGK$4),Table1[],(MATCH(Calendar!$A18,DB!$1:$1,0)),FALSE)&gt;=5,"Good","Bad"),VLOOKUP(DATE($K$1,$K$2,EGK$4),Table1[],(MATCH(Calendar!$A18,DB!$1:$1,0)),FALSE)),"")</f>
        <v/>
      </c>
      <c r="EGL18" s="28" t="str">
        <f>IFERROR(IF(EGU3="No",IF(VLOOKUP(DATE($K$1,$K$2,EGL$4),Table1[],(MATCH(Calendar!$A18,DB!$1:$1,0)),FALSE)&gt;=5,"Good","Bad"),VLOOKUP(DATE($K$1,$K$2,EGL$4),Table1[],(MATCH(Calendar!$A18,DB!$1:$1,0)),FALSE)),"")</f>
        <v/>
      </c>
      <c r="EGM18" s="28" t="str">
        <f>IFERROR(IF(EGV3="No",IF(VLOOKUP(DATE($K$1,$K$2,EGM$4),Table1[],(MATCH(Calendar!$A18,DB!$1:$1,0)),FALSE)&gt;=5,"Good","Bad"),VLOOKUP(DATE($K$1,$K$2,EGM$4),Table1[],(MATCH(Calendar!$A18,DB!$1:$1,0)),FALSE)),"")</f>
        <v/>
      </c>
      <c r="EGN18" s="28" t="str">
        <f>IFERROR(IF(EGW3="No",IF(VLOOKUP(DATE($K$1,$K$2,EGN$4),Table1[],(MATCH(Calendar!$A18,DB!$1:$1,0)),FALSE)&gt;=5,"Good","Bad"),VLOOKUP(DATE($K$1,$K$2,EGN$4),Table1[],(MATCH(Calendar!$A18,DB!$1:$1,0)),FALSE)),"")</f>
        <v/>
      </c>
      <c r="EGO18" s="28" t="str">
        <f>IFERROR(IF(EGX3="No",IF(VLOOKUP(DATE($K$1,$K$2,EGO$4),Table1[],(MATCH(Calendar!$A18,DB!$1:$1,0)),FALSE)&gt;=5,"Good","Bad"),VLOOKUP(DATE($K$1,$K$2,EGO$4),Table1[],(MATCH(Calendar!$A18,DB!$1:$1,0)),FALSE)),"")</f>
        <v/>
      </c>
      <c r="EGP18" s="28" t="str">
        <f>IFERROR(IF(EGY3="No",IF(VLOOKUP(DATE($K$1,$K$2,EGP$4),Table1[],(MATCH(Calendar!$A18,DB!$1:$1,0)),FALSE)&gt;=5,"Good","Bad"),VLOOKUP(DATE($K$1,$K$2,EGP$4),Table1[],(MATCH(Calendar!$A18,DB!$1:$1,0)),FALSE)),"")</f>
        <v/>
      </c>
      <c r="EGQ18" s="28" t="str">
        <f>IFERROR(IF(EGZ3="No",IF(VLOOKUP(DATE($K$1,$K$2,EGQ$4),Table1[],(MATCH(Calendar!$A18,DB!$1:$1,0)),FALSE)&gt;=5,"Good","Bad"),VLOOKUP(DATE($K$1,$K$2,EGQ$4),Table1[],(MATCH(Calendar!$A18,DB!$1:$1,0)),FALSE)),"")</f>
        <v/>
      </c>
      <c r="EGR18" s="28" t="str">
        <f>IFERROR(IF(EHA3="No",IF(VLOOKUP(DATE($K$1,$K$2,EGR$4),Table1[],(MATCH(Calendar!$A18,DB!$1:$1,0)),FALSE)&gt;=5,"Good","Bad"),VLOOKUP(DATE($K$1,$K$2,EGR$4),Table1[],(MATCH(Calendar!$A18,DB!$1:$1,0)),FALSE)),"")</f>
        <v/>
      </c>
      <c r="EGS18" s="28" t="str">
        <f>IFERROR(IF(EHB3="No",IF(VLOOKUP(DATE($K$1,$K$2,EGS$4),Table1[],(MATCH(Calendar!$A18,DB!$1:$1,0)),FALSE)&gt;=5,"Good","Bad"),VLOOKUP(DATE($K$1,$K$2,EGS$4),Table1[],(MATCH(Calendar!$A18,DB!$1:$1,0)),FALSE)),"")</f>
        <v/>
      </c>
      <c r="EGT18" s="28" t="str">
        <f>IFERROR(IF(EHC3="No",IF(VLOOKUP(DATE($K$1,$K$2,EGT$4),Table1[],(MATCH(Calendar!$A18,DB!$1:$1,0)),FALSE)&gt;=5,"Good","Bad"),VLOOKUP(DATE($K$1,$K$2,EGT$4),Table1[],(MATCH(Calendar!$A18,DB!$1:$1,0)),FALSE)),"")</f>
        <v/>
      </c>
      <c r="EGU18" s="28" t="str">
        <f>IFERROR(IF(EHD3="No",IF(VLOOKUP(DATE($K$1,$K$2,EGU$4),Table1[],(MATCH(Calendar!$A18,DB!$1:$1,0)),FALSE)&gt;=5,"Good","Bad"),VLOOKUP(DATE($K$1,$K$2,EGU$4),Table1[],(MATCH(Calendar!$A18,DB!$1:$1,0)),FALSE)),"")</f>
        <v/>
      </c>
      <c r="EGV18" s="28" t="str">
        <f>IFERROR(IF(EHE3="No",IF(VLOOKUP(DATE($K$1,$K$2,EGV$4),Table1[],(MATCH(Calendar!$A18,DB!$1:$1,0)),FALSE)&gt;=5,"Good","Bad"),VLOOKUP(DATE($K$1,$K$2,EGV$4),Table1[],(MATCH(Calendar!$A18,DB!$1:$1,0)),FALSE)),"")</f>
        <v/>
      </c>
      <c r="EGW18" s="28" t="str">
        <f>IFERROR(IF(EHF3="No",IF(VLOOKUP(DATE($K$1,$K$2,EGW$4),Table1[],(MATCH(Calendar!$A18,DB!$1:$1,0)),FALSE)&gt;=5,"Good","Bad"),VLOOKUP(DATE($K$1,$K$2,EGW$4),Table1[],(MATCH(Calendar!$A18,DB!$1:$1,0)),FALSE)),"")</f>
        <v/>
      </c>
      <c r="EGX18" s="28" t="str">
        <f>IFERROR(IF(EHG3="No",IF(VLOOKUP(DATE($K$1,$K$2,EGX$4),Table1[],(MATCH(Calendar!$A18,DB!$1:$1,0)),FALSE)&gt;=5,"Good","Bad"),VLOOKUP(DATE($K$1,$K$2,EGX$4),Table1[],(MATCH(Calendar!$A18,DB!$1:$1,0)),FALSE)),"")</f>
        <v/>
      </c>
      <c r="EGY18" s="28" t="str">
        <f>IFERROR(IF(EHH3="No",IF(VLOOKUP(DATE($K$1,$K$2,EGY$4),Table1[],(MATCH(Calendar!$A18,DB!$1:$1,0)),FALSE)&gt;=5,"Good","Bad"),VLOOKUP(DATE($K$1,$K$2,EGY$4),Table1[],(MATCH(Calendar!$A18,DB!$1:$1,0)),FALSE)),"")</f>
        <v/>
      </c>
      <c r="EGZ18" s="28" t="str">
        <f>IFERROR(IF(EHI3="No",IF(VLOOKUP(DATE($K$1,$K$2,EGZ$4),Table1[],(MATCH(Calendar!$A18,DB!$1:$1,0)),FALSE)&gt;=5,"Good","Bad"),VLOOKUP(DATE($K$1,$K$2,EGZ$4),Table1[],(MATCH(Calendar!$A18,DB!$1:$1,0)),FALSE)),"")</f>
        <v/>
      </c>
      <c r="EHA18" s="28" t="str">
        <f>IFERROR(IF(EHJ3="No",IF(VLOOKUP(DATE($K$1,$K$2,EHA$4),Table1[],(MATCH(Calendar!$A18,DB!$1:$1,0)),FALSE)&gt;=5,"Good","Bad"),VLOOKUP(DATE($K$1,$K$2,EHA$4),Table1[],(MATCH(Calendar!$A18,DB!$1:$1,0)),FALSE)),"")</f>
        <v/>
      </c>
      <c r="EHB18" s="28" t="str">
        <f>IFERROR(IF(EHK3="No",IF(VLOOKUP(DATE($K$1,$K$2,EHB$4),Table1[],(MATCH(Calendar!$A18,DB!$1:$1,0)),FALSE)&gt;=5,"Good","Bad"),VLOOKUP(DATE($K$1,$K$2,EHB$4),Table1[],(MATCH(Calendar!$A18,DB!$1:$1,0)),FALSE)),"")</f>
        <v/>
      </c>
      <c r="EHC18" s="28" t="str">
        <f>IFERROR(IF(EHL3="No",IF(VLOOKUP(DATE($K$1,$K$2,EHC$4),Table1[],(MATCH(Calendar!$A18,DB!$1:$1,0)),FALSE)&gt;=5,"Good","Bad"),VLOOKUP(DATE($K$1,$K$2,EHC$4),Table1[],(MATCH(Calendar!$A18,DB!$1:$1,0)),FALSE)),"")</f>
        <v/>
      </c>
      <c r="EHD18" s="28" t="str">
        <f>IFERROR(IF(EHM3="No",IF(VLOOKUP(DATE($K$1,$K$2,EHD$4),Table1[],(MATCH(Calendar!$A18,DB!$1:$1,0)),FALSE)&gt;=5,"Good","Bad"),VLOOKUP(DATE($K$1,$K$2,EHD$4),Table1[],(MATCH(Calendar!$A18,DB!$1:$1,0)),FALSE)),"")</f>
        <v/>
      </c>
      <c r="EHE18" s="28" t="str">
        <f>IFERROR(IF(EHN3="No",IF(VLOOKUP(DATE($K$1,$K$2,EHE$4),Table1[],(MATCH(Calendar!$A18,DB!$1:$1,0)),FALSE)&gt;=5,"Good","Bad"),VLOOKUP(DATE($K$1,$K$2,EHE$4),Table1[],(MATCH(Calendar!$A18,DB!$1:$1,0)),FALSE)),"")</f>
        <v/>
      </c>
      <c r="EHF18" s="28" t="str">
        <f>IFERROR(IF(EHO3="No",IF(VLOOKUP(DATE($K$1,$K$2,EHF$4),Table1[],(MATCH(Calendar!$A18,DB!$1:$1,0)),FALSE)&gt;=5,"Good","Bad"),VLOOKUP(DATE($K$1,$K$2,EHF$4),Table1[],(MATCH(Calendar!$A18,DB!$1:$1,0)),FALSE)),"")</f>
        <v/>
      </c>
      <c r="EHG18" s="28" t="str">
        <f>IFERROR(IF(EHP3="No",IF(VLOOKUP(DATE($K$1,$K$2,EHG$4),Table1[],(MATCH(Calendar!$A18,DB!$1:$1,0)),FALSE)&gt;=5,"Good","Bad"),VLOOKUP(DATE($K$1,$K$2,EHG$4),Table1[],(MATCH(Calendar!$A18,DB!$1:$1,0)),FALSE)),"")</f>
        <v/>
      </c>
      <c r="EHH18" s="28" t="str">
        <f>IFERROR(IF(EHQ3="No",IF(VLOOKUP(DATE($K$1,$K$2,EHH$4),Table1[],(MATCH(Calendar!$A18,DB!$1:$1,0)),FALSE)&gt;=5,"Good","Bad"),VLOOKUP(DATE($K$1,$K$2,EHH$4),Table1[],(MATCH(Calendar!$A18,DB!$1:$1,0)),FALSE)),"")</f>
        <v/>
      </c>
      <c r="EHI18" s="28" t="str">
        <f>IFERROR(IF(EHR3="No",IF(VLOOKUP(DATE($K$1,$K$2,EHI$4),Table1[],(MATCH(Calendar!$A18,DB!$1:$1,0)),FALSE)&gt;=5,"Good","Bad"),VLOOKUP(DATE($K$1,$K$2,EHI$4),Table1[],(MATCH(Calendar!$A18,DB!$1:$1,0)),FALSE)),"")</f>
        <v/>
      </c>
      <c r="EHJ18" s="28" t="str">
        <f>IFERROR(IF(EHS3="No",IF(VLOOKUP(DATE($K$1,$K$2,EHJ$4),Table1[],(MATCH(Calendar!$A18,DB!$1:$1,0)),FALSE)&gt;=5,"Good","Bad"),VLOOKUP(DATE($K$1,$K$2,EHJ$4),Table1[],(MATCH(Calendar!$A18,DB!$1:$1,0)),FALSE)),"")</f>
        <v/>
      </c>
      <c r="EHK18" s="28" t="str">
        <f>IFERROR(IF(EHT3="No",IF(VLOOKUP(DATE($K$1,$K$2,EHK$4),Table1[],(MATCH(Calendar!$A18,DB!$1:$1,0)),FALSE)&gt;=5,"Good","Bad"),VLOOKUP(DATE($K$1,$K$2,EHK$4),Table1[],(MATCH(Calendar!$A18,DB!$1:$1,0)),FALSE)),"")</f>
        <v/>
      </c>
      <c r="EHL18" s="28" t="str">
        <f>IFERROR(IF(EHU3="No",IF(VLOOKUP(DATE($K$1,$K$2,EHL$4),Table1[],(MATCH(Calendar!$A18,DB!$1:$1,0)),FALSE)&gt;=5,"Good","Bad"),VLOOKUP(DATE($K$1,$K$2,EHL$4),Table1[],(MATCH(Calendar!$A18,DB!$1:$1,0)),FALSE)),"")</f>
        <v/>
      </c>
      <c r="EHM18" s="28" t="str">
        <f>IFERROR(IF(EHV3="No",IF(VLOOKUP(DATE($K$1,$K$2,EHM$4),Table1[],(MATCH(Calendar!$A18,DB!$1:$1,0)),FALSE)&gt;=5,"Good","Bad"),VLOOKUP(DATE($K$1,$K$2,EHM$4),Table1[],(MATCH(Calendar!$A18,DB!$1:$1,0)),FALSE)),"")</f>
        <v/>
      </c>
      <c r="EHN18" s="28" t="str">
        <f>IFERROR(IF(EHW3="No",IF(VLOOKUP(DATE($K$1,$K$2,EHN$4),Table1[],(MATCH(Calendar!$A18,DB!$1:$1,0)),FALSE)&gt;=5,"Good","Bad"),VLOOKUP(DATE($K$1,$K$2,EHN$4),Table1[],(MATCH(Calendar!$A18,DB!$1:$1,0)),FALSE)),"")</f>
        <v/>
      </c>
      <c r="EHO18" s="28" t="str">
        <f>IFERROR(IF(EHX3="No",IF(VLOOKUP(DATE($K$1,$K$2,EHO$4),Table1[],(MATCH(Calendar!$A18,DB!$1:$1,0)),FALSE)&gt;=5,"Good","Bad"),VLOOKUP(DATE($K$1,$K$2,EHO$4),Table1[],(MATCH(Calendar!$A18,DB!$1:$1,0)),FALSE)),"")</f>
        <v/>
      </c>
      <c r="EHP18" s="28" t="str">
        <f>IFERROR(IF(EHY3="No",IF(VLOOKUP(DATE($K$1,$K$2,EHP$4),Table1[],(MATCH(Calendar!$A18,DB!$1:$1,0)),FALSE)&gt;=5,"Good","Bad"),VLOOKUP(DATE($K$1,$K$2,EHP$4),Table1[],(MATCH(Calendar!$A18,DB!$1:$1,0)),FALSE)),"")</f>
        <v/>
      </c>
      <c r="EHQ18" s="28" t="str">
        <f>IFERROR(IF(EHZ3="No",IF(VLOOKUP(DATE($K$1,$K$2,EHQ$4),Table1[],(MATCH(Calendar!$A18,DB!$1:$1,0)),FALSE)&gt;=5,"Good","Bad"),VLOOKUP(DATE($K$1,$K$2,EHQ$4),Table1[],(MATCH(Calendar!$A18,DB!$1:$1,0)),FALSE)),"")</f>
        <v/>
      </c>
      <c r="EHR18" s="28" t="str">
        <f>IFERROR(IF(EIA3="No",IF(VLOOKUP(DATE($K$1,$K$2,EHR$4),Table1[],(MATCH(Calendar!$A18,DB!$1:$1,0)),FALSE)&gt;=5,"Good","Bad"),VLOOKUP(DATE($K$1,$K$2,EHR$4),Table1[],(MATCH(Calendar!$A18,DB!$1:$1,0)),FALSE)),"")</f>
        <v/>
      </c>
      <c r="EHS18" s="28" t="str">
        <f>IFERROR(IF(EIB3="No",IF(VLOOKUP(DATE($K$1,$K$2,EHS$4),Table1[],(MATCH(Calendar!$A18,DB!$1:$1,0)),FALSE)&gt;=5,"Good","Bad"),VLOOKUP(DATE($K$1,$K$2,EHS$4),Table1[],(MATCH(Calendar!$A18,DB!$1:$1,0)),FALSE)),"")</f>
        <v/>
      </c>
      <c r="EHT18" s="28" t="str">
        <f>IFERROR(IF(EIC3="No",IF(VLOOKUP(DATE($K$1,$K$2,EHT$4),Table1[],(MATCH(Calendar!$A18,DB!$1:$1,0)),FALSE)&gt;=5,"Good","Bad"),VLOOKUP(DATE($K$1,$K$2,EHT$4),Table1[],(MATCH(Calendar!$A18,DB!$1:$1,0)),FALSE)),"")</f>
        <v/>
      </c>
      <c r="EHU18" s="28" t="str">
        <f>IFERROR(IF(EID3="No",IF(VLOOKUP(DATE($K$1,$K$2,EHU$4),Table1[],(MATCH(Calendar!$A18,DB!$1:$1,0)),FALSE)&gt;=5,"Good","Bad"),VLOOKUP(DATE($K$1,$K$2,EHU$4),Table1[],(MATCH(Calendar!$A18,DB!$1:$1,0)),FALSE)),"")</f>
        <v/>
      </c>
      <c r="EHV18" s="28" t="str">
        <f>IFERROR(IF(EIE3="No",IF(VLOOKUP(DATE($K$1,$K$2,EHV$4),Table1[],(MATCH(Calendar!$A18,DB!$1:$1,0)),FALSE)&gt;=5,"Good","Bad"),VLOOKUP(DATE($K$1,$K$2,EHV$4),Table1[],(MATCH(Calendar!$A18,DB!$1:$1,0)),FALSE)),"")</f>
        <v/>
      </c>
      <c r="EHW18" s="28" t="str">
        <f>IFERROR(IF(EIF3="No",IF(VLOOKUP(DATE($K$1,$K$2,EHW$4),Table1[],(MATCH(Calendar!$A18,DB!$1:$1,0)),FALSE)&gt;=5,"Good","Bad"),VLOOKUP(DATE($K$1,$K$2,EHW$4),Table1[],(MATCH(Calendar!$A18,DB!$1:$1,0)),FALSE)),"")</f>
        <v/>
      </c>
      <c r="EHX18" s="28" t="str">
        <f>IFERROR(IF(EIG3="No",IF(VLOOKUP(DATE($K$1,$K$2,EHX$4),Table1[],(MATCH(Calendar!$A18,DB!$1:$1,0)),FALSE)&gt;=5,"Good","Bad"),VLOOKUP(DATE($K$1,$K$2,EHX$4),Table1[],(MATCH(Calendar!$A18,DB!$1:$1,0)),FALSE)),"")</f>
        <v/>
      </c>
      <c r="EHY18" s="28" t="str">
        <f>IFERROR(IF(EIH3="No",IF(VLOOKUP(DATE($K$1,$K$2,EHY$4),Table1[],(MATCH(Calendar!$A18,DB!$1:$1,0)),FALSE)&gt;=5,"Good","Bad"),VLOOKUP(DATE($K$1,$K$2,EHY$4),Table1[],(MATCH(Calendar!$A18,DB!$1:$1,0)),FALSE)),"")</f>
        <v/>
      </c>
      <c r="EHZ18" s="28" t="str">
        <f>IFERROR(IF(EII3="No",IF(VLOOKUP(DATE($K$1,$K$2,EHZ$4),Table1[],(MATCH(Calendar!$A18,DB!$1:$1,0)),FALSE)&gt;=5,"Good","Bad"),VLOOKUP(DATE($K$1,$K$2,EHZ$4),Table1[],(MATCH(Calendar!$A18,DB!$1:$1,0)),FALSE)),"")</f>
        <v/>
      </c>
      <c r="EIA18" s="28" t="str">
        <f>IFERROR(IF(EIJ3="No",IF(VLOOKUP(DATE($K$1,$K$2,EIA$4),Table1[],(MATCH(Calendar!$A18,DB!$1:$1,0)),FALSE)&gt;=5,"Good","Bad"),VLOOKUP(DATE($K$1,$K$2,EIA$4),Table1[],(MATCH(Calendar!$A18,DB!$1:$1,0)),FALSE)),"")</f>
        <v/>
      </c>
      <c r="EIB18" s="28" t="str">
        <f>IFERROR(IF(EIK3="No",IF(VLOOKUP(DATE($K$1,$K$2,EIB$4),Table1[],(MATCH(Calendar!$A18,DB!$1:$1,0)),FALSE)&gt;=5,"Good","Bad"),VLOOKUP(DATE($K$1,$K$2,EIB$4),Table1[],(MATCH(Calendar!$A18,DB!$1:$1,0)),FALSE)),"")</f>
        <v/>
      </c>
      <c r="EIC18" s="28" t="str">
        <f>IFERROR(IF(EIL3="No",IF(VLOOKUP(DATE($K$1,$K$2,EIC$4),Table1[],(MATCH(Calendar!$A18,DB!$1:$1,0)),FALSE)&gt;=5,"Good","Bad"),VLOOKUP(DATE($K$1,$K$2,EIC$4),Table1[],(MATCH(Calendar!$A18,DB!$1:$1,0)),FALSE)),"")</f>
        <v/>
      </c>
      <c r="EID18" s="28" t="str">
        <f>IFERROR(IF(EIM3="No",IF(VLOOKUP(DATE($K$1,$K$2,EID$4),Table1[],(MATCH(Calendar!$A18,DB!$1:$1,0)),FALSE)&gt;=5,"Good","Bad"),VLOOKUP(DATE($K$1,$K$2,EID$4),Table1[],(MATCH(Calendar!$A18,DB!$1:$1,0)),FALSE)),"")</f>
        <v/>
      </c>
      <c r="EIE18" s="28" t="str">
        <f>IFERROR(IF(EIN3="No",IF(VLOOKUP(DATE($K$1,$K$2,EIE$4),Table1[],(MATCH(Calendar!$A18,DB!$1:$1,0)),FALSE)&gt;=5,"Good","Bad"),VLOOKUP(DATE($K$1,$K$2,EIE$4),Table1[],(MATCH(Calendar!$A18,DB!$1:$1,0)),FALSE)),"")</f>
        <v/>
      </c>
      <c r="EIF18" s="28" t="str">
        <f>IFERROR(IF(EIO3="No",IF(VLOOKUP(DATE($K$1,$K$2,EIF$4),Table1[],(MATCH(Calendar!$A18,DB!$1:$1,0)),FALSE)&gt;=5,"Good","Bad"),VLOOKUP(DATE($K$1,$K$2,EIF$4),Table1[],(MATCH(Calendar!$A18,DB!$1:$1,0)),FALSE)),"")</f>
        <v/>
      </c>
      <c r="EIG18" s="28" t="str">
        <f>IFERROR(IF(EIP3="No",IF(VLOOKUP(DATE($K$1,$K$2,EIG$4),Table1[],(MATCH(Calendar!$A18,DB!$1:$1,0)),FALSE)&gt;=5,"Good","Bad"),VLOOKUP(DATE($K$1,$K$2,EIG$4),Table1[],(MATCH(Calendar!$A18,DB!$1:$1,0)),FALSE)),"")</f>
        <v/>
      </c>
      <c r="EIH18" s="28" t="str">
        <f>IFERROR(IF(EIQ3="No",IF(VLOOKUP(DATE($K$1,$K$2,EIH$4),Table1[],(MATCH(Calendar!$A18,DB!$1:$1,0)),FALSE)&gt;=5,"Good","Bad"),VLOOKUP(DATE($K$1,$K$2,EIH$4),Table1[],(MATCH(Calendar!$A18,DB!$1:$1,0)),FALSE)),"")</f>
        <v/>
      </c>
      <c r="EII18" s="28" t="str">
        <f>IFERROR(IF(EIR3="No",IF(VLOOKUP(DATE($K$1,$K$2,EII$4),Table1[],(MATCH(Calendar!$A18,DB!$1:$1,0)),FALSE)&gt;=5,"Good","Bad"),VLOOKUP(DATE($K$1,$K$2,EII$4),Table1[],(MATCH(Calendar!$A18,DB!$1:$1,0)),FALSE)),"")</f>
        <v/>
      </c>
      <c r="EIJ18" s="28" t="str">
        <f>IFERROR(IF(EIS3="No",IF(VLOOKUP(DATE($K$1,$K$2,EIJ$4),Table1[],(MATCH(Calendar!$A18,DB!$1:$1,0)),FALSE)&gt;=5,"Good","Bad"),VLOOKUP(DATE($K$1,$K$2,EIJ$4),Table1[],(MATCH(Calendar!$A18,DB!$1:$1,0)),FALSE)),"")</f>
        <v/>
      </c>
      <c r="EIK18" s="28" t="str">
        <f>IFERROR(IF(EIT3="No",IF(VLOOKUP(DATE($K$1,$K$2,EIK$4),Table1[],(MATCH(Calendar!$A18,DB!$1:$1,0)),FALSE)&gt;=5,"Good","Bad"),VLOOKUP(DATE($K$1,$K$2,EIK$4),Table1[],(MATCH(Calendar!$A18,DB!$1:$1,0)),FALSE)),"")</f>
        <v/>
      </c>
      <c r="EIL18" s="28" t="str">
        <f>IFERROR(IF(EIU3="No",IF(VLOOKUP(DATE($K$1,$K$2,EIL$4),Table1[],(MATCH(Calendar!$A18,DB!$1:$1,0)),FALSE)&gt;=5,"Good","Bad"),VLOOKUP(DATE($K$1,$K$2,EIL$4),Table1[],(MATCH(Calendar!$A18,DB!$1:$1,0)),FALSE)),"")</f>
        <v/>
      </c>
      <c r="EIM18" s="28" t="str">
        <f>IFERROR(IF(EIV3="No",IF(VLOOKUP(DATE($K$1,$K$2,EIM$4),Table1[],(MATCH(Calendar!$A18,DB!$1:$1,0)),FALSE)&gt;=5,"Good","Bad"),VLOOKUP(DATE($K$1,$K$2,EIM$4),Table1[],(MATCH(Calendar!$A18,DB!$1:$1,0)),FALSE)),"")</f>
        <v/>
      </c>
      <c r="EIN18" s="28" t="str">
        <f>IFERROR(IF(EIW3="No",IF(VLOOKUP(DATE($K$1,$K$2,EIN$4),Table1[],(MATCH(Calendar!$A18,DB!$1:$1,0)),FALSE)&gt;=5,"Good","Bad"),VLOOKUP(DATE($K$1,$K$2,EIN$4),Table1[],(MATCH(Calendar!$A18,DB!$1:$1,0)),FALSE)),"")</f>
        <v/>
      </c>
      <c r="EIO18" s="28" t="str">
        <f>IFERROR(IF(EIX3="No",IF(VLOOKUP(DATE($K$1,$K$2,EIO$4),Table1[],(MATCH(Calendar!$A18,DB!$1:$1,0)),FALSE)&gt;=5,"Good","Bad"),VLOOKUP(DATE($K$1,$K$2,EIO$4),Table1[],(MATCH(Calendar!$A18,DB!$1:$1,0)),FALSE)),"")</f>
        <v/>
      </c>
      <c r="EIP18" s="28" t="str">
        <f>IFERROR(IF(EIY3="No",IF(VLOOKUP(DATE($K$1,$K$2,EIP$4),Table1[],(MATCH(Calendar!$A18,DB!$1:$1,0)),FALSE)&gt;=5,"Good","Bad"),VLOOKUP(DATE($K$1,$K$2,EIP$4),Table1[],(MATCH(Calendar!$A18,DB!$1:$1,0)),FALSE)),"")</f>
        <v/>
      </c>
      <c r="EIQ18" s="28" t="str">
        <f>IFERROR(IF(EIZ3="No",IF(VLOOKUP(DATE($K$1,$K$2,EIQ$4),Table1[],(MATCH(Calendar!$A18,DB!$1:$1,0)),FALSE)&gt;=5,"Good","Bad"),VLOOKUP(DATE($K$1,$K$2,EIQ$4),Table1[],(MATCH(Calendar!$A18,DB!$1:$1,0)),FALSE)),"")</f>
        <v/>
      </c>
      <c r="EIR18" s="28" t="str">
        <f>IFERROR(IF(EJA3="No",IF(VLOOKUP(DATE($K$1,$K$2,EIR$4),Table1[],(MATCH(Calendar!$A18,DB!$1:$1,0)),FALSE)&gt;=5,"Good","Bad"),VLOOKUP(DATE($K$1,$K$2,EIR$4),Table1[],(MATCH(Calendar!$A18,DB!$1:$1,0)),FALSE)),"")</f>
        <v/>
      </c>
      <c r="EIS18" s="28" t="str">
        <f>IFERROR(IF(EJB3="No",IF(VLOOKUP(DATE($K$1,$K$2,EIS$4),Table1[],(MATCH(Calendar!$A18,DB!$1:$1,0)),FALSE)&gt;=5,"Good","Bad"),VLOOKUP(DATE($K$1,$K$2,EIS$4),Table1[],(MATCH(Calendar!$A18,DB!$1:$1,0)),FALSE)),"")</f>
        <v/>
      </c>
      <c r="EIT18" s="28" t="str">
        <f>IFERROR(IF(EJC3="No",IF(VLOOKUP(DATE($K$1,$K$2,EIT$4),Table1[],(MATCH(Calendar!$A18,DB!$1:$1,0)),FALSE)&gt;=5,"Good","Bad"),VLOOKUP(DATE($K$1,$K$2,EIT$4),Table1[],(MATCH(Calendar!$A18,DB!$1:$1,0)),FALSE)),"")</f>
        <v/>
      </c>
      <c r="EIU18" s="28" t="str">
        <f>IFERROR(IF(EJD3="No",IF(VLOOKUP(DATE($K$1,$K$2,EIU$4),Table1[],(MATCH(Calendar!$A18,DB!$1:$1,0)),FALSE)&gt;=5,"Good","Bad"),VLOOKUP(DATE($K$1,$K$2,EIU$4),Table1[],(MATCH(Calendar!$A18,DB!$1:$1,0)),FALSE)),"")</f>
        <v/>
      </c>
      <c r="EIV18" s="28" t="str">
        <f>IFERROR(IF(EJE3="No",IF(VLOOKUP(DATE($K$1,$K$2,EIV$4),Table1[],(MATCH(Calendar!$A18,DB!$1:$1,0)),FALSE)&gt;=5,"Good","Bad"),VLOOKUP(DATE($K$1,$K$2,EIV$4),Table1[],(MATCH(Calendar!$A18,DB!$1:$1,0)),FALSE)),"")</f>
        <v/>
      </c>
      <c r="EIW18" s="28" t="str">
        <f>IFERROR(IF(EJF3="No",IF(VLOOKUP(DATE($K$1,$K$2,EIW$4),Table1[],(MATCH(Calendar!$A18,DB!$1:$1,0)),FALSE)&gt;=5,"Good","Bad"),VLOOKUP(DATE($K$1,$K$2,EIW$4),Table1[],(MATCH(Calendar!$A18,DB!$1:$1,0)),FALSE)),"")</f>
        <v/>
      </c>
      <c r="EIX18" s="28" t="str">
        <f>IFERROR(IF(EJG3="No",IF(VLOOKUP(DATE($K$1,$K$2,EIX$4),Table1[],(MATCH(Calendar!$A18,DB!$1:$1,0)),FALSE)&gt;=5,"Good","Bad"),VLOOKUP(DATE($K$1,$K$2,EIX$4),Table1[],(MATCH(Calendar!$A18,DB!$1:$1,0)),FALSE)),"")</f>
        <v/>
      </c>
      <c r="EIY18" s="28" t="str">
        <f>IFERROR(IF(EJH3="No",IF(VLOOKUP(DATE($K$1,$K$2,EIY$4),Table1[],(MATCH(Calendar!$A18,DB!$1:$1,0)),FALSE)&gt;=5,"Good","Bad"),VLOOKUP(DATE($K$1,$K$2,EIY$4),Table1[],(MATCH(Calendar!$A18,DB!$1:$1,0)),FALSE)),"")</f>
        <v/>
      </c>
      <c r="EIZ18" s="28" t="str">
        <f>IFERROR(IF(EJI3="No",IF(VLOOKUP(DATE($K$1,$K$2,EIZ$4),Table1[],(MATCH(Calendar!$A18,DB!$1:$1,0)),FALSE)&gt;=5,"Good","Bad"),VLOOKUP(DATE($K$1,$K$2,EIZ$4),Table1[],(MATCH(Calendar!$A18,DB!$1:$1,0)),FALSE)),"")</f>
        <v/>
      </c>
      <c r="EJA18" s="28" t="str">
        <f>IFERROR(IF(EJJ3="No",IF(VLOOKUP(DATE($K$1,$K$2,EJA$4),Table1[],(MATCH(Calendar!$A18,DB!$1:$1,0)),FALSE)&gt;=5,"Good","Bad"),VLOOKUP(DATE($K$1,$K$2,EJA$4),Table1[],(MATCH(Calendar!$A18,DB!$1:$1,0)),FALSE)),"")</f>
        <v/>
      </c>
      <c r="EJB18" s="28" t="str">
        <f>IFERROR(IF(EJK3="No",IF(VLOOKUP(DATE($K$1,$K$2,EJB$4),Table1[],(MATCH(Calendar!$A18,DB!$1:$1,0)),FALSE)&gt;=5,"Good","Bad"),VLOOKUP(DATE($K$1,$K$2,EJB$4),Table1[],(MATCH(Calendar!$A18,DB!$1:$1,0)),FALSE)),"")</f>
        <v/>
      </c>
      <c r="EJC18" s="28" t="str">
        <f>IFERROR(IF(EJL3="No",IF(VLOOKUP(DATE($K$1,$K$2,EJC$4),Table1[],(MATCH(Calendar!$A18,DB!$1:$1,0)),FALSE)&gt;=5,"Good","Bad"),VLOOKUP(DATE($K$1,$K$2,EJC$4),Table1[],(MATCH(Calendar!$A18,DB!$1:$1,0)),FALSE)),"")</f>
        <v/>
      </c>
      <c r="EJD18" s="28" t="str">
        <f>IFERROR(IF(EJM3="No",IF(VLOOKUP(DATE($K$1,$K$2,EJD$4),Table1[],(MATCH(Calendar!$A18,DB!$1:$1,0)),FALSE)&gt;=5,"Good","Bad"),VLOOKUP(DATE($K$1,$K$2,EJD$4),Table1[],(MATCH(Calendar!$A18,DB!$1:$1,0)),FALSE)),"")</f>
        <v/>
      </c>
      <c r="EJE18" s="28" t="str">
        <f>IFERROR(IF(EJN3="No",IF(VLOOKUP(DATE($K$1,$K$2,EJE$4),Table1[],(MATCH(Calendar!$A18,DB!$1:$1,0)),FALSE)&gt;=5,"Good","Bad"),VLOOKUP(DATE($K$1,$K$2,EJE$4),Table1[],(MATCH(Calendar!$A18,DB!$1:$1,0)),FALSE)),"")</f>
        <v/>
      </c>
      <c r="EJF18" s="28" t="str">
        <f>IFERROR(IF(EJO3="No",IF(VLOOKUP(DATE($K$1,$K$2,EJF$4),Table1[],(MATCH(Calendar!$A18,DB!$1:$1,0)),FALSE)&gt;=5,"Good","Bad"),VLOOKUP(DATE($K$1,$K$2,EJF$4),Table1[],(MATCH(Calendar!$A18,DB!$1:$1,0)),FALSE)),"")</f>
        <v/>
      </c>
      <c r="EJG18" s="28" t="str">
        <f>IFERROR(IF(EJP3="No",IF(VLOOKUP(DATE($K$1,$K$2,EJG$4),Table1[],(MATCH(Calendar!$A18,DB!$1:$1,0)),FALSE)&gt;=5,"Good","Bad"),VLOOKUP(DATE($K$1,$K$2,EJG$4),Table1[],(MATCH(Calendar!$A18,DB!$1:$1,0)),FALSE)),"")</f>
        <v/>
      </c>
      <c r="EJH18" s="28" t="str">
        <f>IFERROR(IF(EJQ3="No",IF(VLOOKUP(DATE($K$1,$K$2,EJH$4),Table1[],(MATCH(Calendar!$A18,DB!$1:$1,0)),FALSE)&gt;=5,"Good","Bad"),VLOOKUP(DATE($K$1,$K$2,EJH$4),Table1[],(MATCH(Calendar!$A18,DB!$1:$1,0)),FALSE)),"")</f>
        <v/>
      </c>
      <c r="EJI18" s="28" t="str">
        <f>IFERROR(IF(EJR3="No",IF(VLOOKUP(DATE($K$1,$K$2,EJI$4),Table1[],(MATCH(Calendar!$A18,DB!$1:$1,0)),FALSE)&gt;=5,"Good","Bad"),VLOOKUP(DATE($K$1,$K$2,EJI$4),Table1[],(MATCH(Calendar!$A18,DB!$1:$1,0)),FALSE)),"")</f>
        <v/>
      </c>
      <c r="EJJ18" s="28" t="str">
        <f>IFERROR(IF(EJS3="No",IF(VLOOKUP(DATE($K$1,$K$2,EJJ$4),Table1[],(MATCH(Calendar!$A18,DB!$1:$1,0)),FALSE)&gt;=5,"Good","Bad"),VLOOKUP(DATE($K$1,$K$2,EJJ$4),Table1[],(MATCH(Calendar!$A18,DB!$1:$1,0)),FALSE)),"")</f>
        <v/>
      </c>
      <c r="EJK18" s="28" t="str">
        <f>IFERROR(IF(EJT3="No",IF(VLOOKUP(DATE($K$1,$K$2,EJK$4),Table1[],(MATCH(Calendar!$A18,DB!$1:$1,0)),FALSE)&gt;=5,"Good","Bad"),VLOOKUP(DATE($K$1,$K$2,EJK$4),Table1[],(MATCH(Calendar!$A18,DB!$1:$1,0)),FALSE)),"")</f>
        <v/>
      </c>
      <c r="EJL18" s="28" t="str">
        <f>IFERROR(IF(EJU3="No",IF(VLOOKUP(DATE($K$1,$K$2,EJL$4),Table1[],(MATCH(Calendar!$A18,DB!$1:$1,0)),FALSE)&gt;=5,"Good","Bad"),VLOOKUP(DATE($K$1,$K$2,EJL$4),Table1[],(MATCH(Calendar!$A18,DB!$1:$1,0)),FALSE)),"")</f>
        <v/>
      </c>
      <c r="EJM18" s="28" t="str">
        <f>IFERROR(IF(EJV3="No",IF(VLOOKUP(DATE($K$1,$K$2,EJM$4),Table1[],(MATCH(Calendar!$A18,DB!$1:$1,0)),FALSE)&gt;=5,"Good","Bad"),VLOOKUP(DATE($K$1,$K$2,EJM$4),Table1[],(MATCH(Calendar!$A18,DB!$1:$1,0)),FALSE)),"")</f>
        <v/>
      </c>
      <c r="EJN18" s="28" t="str">
        <f>IFERROR(IF(EJW3="No",IF(VLOOKUP(DATE($K$1,$K$2,EJN$4),Table1[],(MATCH(Calendar!$A18,DB!$1:$1,0)),FALSE)&gt;=5,"Good","Bad"),VLOOKUP(DATE($K$1,$K$2,EJN$4),Table1[],(MATCH(Calendar!$A18,DB!$1:$1,0)),FALSE)),"")</f>
        <v/>
      </c>
      <c r="EJO18" s="28" t="str">
        <f>IFERROR(IF(EJX3="No",IF(VLOOKUP(DATE($K$1,$K$2,EJO$4),Table1[],(MATCH(Calendar!$A18,DB!$1:$1,0)),FALSE)&gt;=5,"Good","Bad"),VLOOKUP(DATE($K$1,$K$2,EJO$4),Table1[],(MATCH(Calendar!$A18,DB!$1:$1,0)),FALSE)),"")</f>
        <v/>
      </c>
      <c r="EJP18" s="28" t="str">
        <f>IFERROR(IF(EJY3="No",IF(VLOOKUP(DATE($K$1,$K$2,EJP$4),Table1[],(MATCH(Calendar!$A18,DB!$1:$1,0)),FALSE)&gt;=5,"Good","Bad"),VLOOKUP(DATE($K$1,$K$2,EJP$4),Table1[],(MATCH(Calendar!$A18,DB!$1:$1,0)),FALSE)),"")</f>
        <v/>
      </c>
      <c r="EJQ18" s="28" t="str">
        <f>IFERROR(IF(EJZ3="No",IF(VLOOKUP(DATE($K$1,$K$2,EJQ$4),Table1[],(MATCH(Calendar!$A18,DB!$1:$1,0)),FALSE)&gt;=5,"Good","Bad"),VLOOKUP(DATE($K$1,$K$2,EJQ$4),Table1[],(MATCH(Calendar!$A18,DB!$1:$1,0)),FALSE)),"")</f>
        <v/>
      </c>
      <c r="EJR18" s="28" t="str">
        <f>IFERROR(IF(EKA3="No",IF(VLOOKUP(DATE($K$1,$K$2,EJR$4),Table1[],(MATCH(Calendar!$A18,DB!$1:$1,0)),FALSE)&gt;=5,"Good","Bad"),VLOOKUP(DATE($K$1,$K$2,EJR$4),Table1[],(MATCH(Calendar!$A18,DB!$1:$1,0)),FALSE)),"")</f>
        <v/>
      </c>
      <c r="EJS18" s="28" t="str">
        <f>IFERROR(IF(EKB3="No",IF(VLOOKUP(DATE($K$1,$K$2,EJS$4),Table1[],(MATCH(Calendar!$A18,DB!$1:$1,0)),FALSE)&gt;=5,"Good","Bad"),VLOOKUP(DATE($K$1,$K$2,EJS$4),Table1[],(MATCH(Calendar!$A18,DB!$1:$1,0)),FALSE)),"")</f>
        <v/>
      </c>
      <c r="EJT18" s="28" t="str">
        <f>IFERROR(IF(EKC3="No",IF(VLOOKUP(DATE($K$1,$K$2,EJT$4),Table1[],(MATCH(Calendar!$A18,DB!$1:$1,0)),FALSE)&gt;=5,"Good","Bad"),VLOOKUP(DATE($K$1,$K$2,EJT$4),Table1[],(MATCH(Calendar!$A18,DB!$1:$1,0)),FALSE)),"")</f>
        <v/>
      </c>
      <c r="EJU18" s="28" t="str">
        <f>IFERROR(IF(EKD3="No",IF(VLOOKUP(DATE($K$1,$K$2,EJU$4),Table1[],(MATCH(Calendar!$A18,DB!$1:$1,0)),FALSE)&gt;=5,"Good","Bad"),VLOOKUP(DATE($K$1,$K$2,EJU$4),Table1[],(MATCH(Calendar!$A18,DB!$1:$1,0)),FALSE)),"")</f>
        <v/>
      </c>
      <c r="EJV18" s="28" t="str">
        <f>IFERROR(IF(EKE3="No",IF(VLOOKUP(DATE($K$1,$K$2,EJV$4),Table1[],(MATCH(Calendar!$A18,DB!$1:$1,0)),FALSE)&gt;=5,"Good","Bad"),VLOOKUP(DATE($K$1,$K$2,EJV$4),Table1[],(MATCH(Calendar!$A18,DB!$1:$1,0)),FALSE)),"")</f>
        <v/>
      </c>
      <c r="EJW18" s="28" t="str">
        <f>IFERROR(IF(EKF3="No",IF(VLOOKUP(DATE($K$1,$K$2,EJW$4),Table1[],(MATCH(Calendar!$A18,DB!$1:$1,0)),FALSE)&gt;=5,"Good","Bad"),VLOOKUP(DATE($K$1,$K$2,EJW$4),Table1[],(MATCH(Calendar!$A18,DB!$1:$1,0)),FALSE)),"")</f>
        <v/>
      </c>
      <c r="EJX18" s="28" t="str">
        <f>IFERROR(IF(EKG3="No",IF(VLOOKUP(DATE($K$1,$K$2,EJX$4),Table1[],(MATCH(Calendar!$A18,DB!$1:$1,0)),FALSE)&gt;=5,"Good","Bad"),VLOOKUP(DATE($K$1,$K$2,EJX$4),Table1[],(MATCH(Calendar!$A18,DB!$1:$1,0)),FALSE)),"")</f>
        <v/>
      </c>
      <c r="EJY18" s="28" t="str">
        <f>IFERROR(IF(EKH3="No",IF(VLOOKUP(DATE($K$1,$K$2,EJY$4),Table1[],(MATCH(Calendar!$A18,DB!$1:$1,0)),FALSE)&gt;=5,"Good","Bad"),VLOOKUP(DATE($K$1,$K$2,EJY$4),Table1[],(MATCH(Calendar!$A18,DB!$1:$1,0)),FALSE)),"")</f>
        <v/>
      </c>
      <c r="EJZ18" s="28" t="str">
        <f>IFERROR(IF(EKI3="No",IF(VLOOKUP(DATE($K$1,$K$2,EJZ$4),Table1[],(MATCH(Calendar!$A18,DB!$1:$1,0)),FALSE)&gt;=5,"Good","Bad"),VLOOKUP(DATE($K$1,$K$2,EJZ$4),Table1[],(MATCH(Calendar!$A18,DB!$1:$1,0)),FALSE)),"")</f>
        <v/>
      </c>
      <c r="EKA18" s="28" t="str">
        <f>IFERROR(IF(EKJ3="No",IF(VLOOKUP(DATE($K$1,$K$2,EKA$4),Table1[],(MATCH(Calendar!$A18,DB!$1:$1,0)),FALSE)&gt;=5,"Good","Bad"),VLOOKUP(DATE($K$1,$K$2,EKA$4),Table1[],(MATCH(Calendar!$A18,DB!$1:$1,0)),FALSE)),"")</f>
        <v/>
      </c>
      <c r="EKB18" s="28" t="str">
        <f>IFERROR(IF(EKK3="No",IF(VLOOKUP(DATE($K$1,$K$2,EKB$4),Table1[],(MATCH(Calendar!$A18,DB!$1:$1,0)),FALSE)&gt;=5,"Good","Bad"),VLOOKUP(DATE($K$1,$K$2,EKB$4),Table1[],(MATCH(Calendar!$A18,DB!$1:$1,0)),FALSE)),"")</f>
        <v/>
      </c>
      <c r="EKC18" s="28" t="str">
        <f>IFERROR(IF(EKL3="No",IF(VLOOKUP(DATE($K$1,$K$2,EKC$4),Table1[],(MATCH(Calendar!$A18,DB!$1:$1,0)),FALSE)&gt;=5,"Good","Bad"),VLOOKUP(DATE($K$1,$K$2,EKC$4),Table1[],(MATCH(Calendar!$A18,DB!$1:$1,0)),FALSE)),"")</f>
        <v/>
      </c>
      <c r="EKD18" s="28" t="str">
        <f>IFERROR(IF(EKM3="No",IF(VLOOKUP(DATE($K$1,$K$2,EKD$4),Table1[],(MATCH(Calendar!$A18,DB!$1:$1,0)),FALSE)&gt;=5,"Good","Bad"),VLOOKUP(DATE($K$1,$K$2,EKD$4),Table1[],(MATCH(Calendar!$A18,DB!$1:$1,0)),FALSE)),"")</f>
        <v/>
      </c>
      <c r="EKE18" s="28" t="str">
        <f>IFERROR(IF(EKN3="No",IF(VLOOKUP(DATE($K$1,$K$2,EKE$4),Table1[],(MATCH(Calendar!$A18,DB!$1:$1,0)),FALSE)&gt;=5,"Good","Bad"),VLOOKUP(DATE($K$1,$K$2,EKE$4),Table1[],(MATCH(Calendar!$A18,DB!$1:$1,0)),FALSE)),"")</f>
        <v/>
      </c>
      <c r="EKF18" s="28" t="str">
        <f>IFERROR(IF(EKO3="No",IF(VLOOKUP(DATE($K$1,$K$2,EKF$4),Table1[],(MATCH(Calendar!$A18,DB!$1:$1,0)),FALSE)&gt;=5,"Good","Bad"),VLOOKUP(DATE($K$1,$K$2,EKF$4),Table1[],(MATCH(Calendar!$A18,DB!$1:$1,0)),FALSE)),"")</f>
        <v/>
      </c>
      <c r="EKG18" s="28" t="str">
        <f>IFERROR(IF(EKP3="No",IF(VLOOKUP(DATE($K$1,$K$2,EKG$4),Table1[],(MATCH(Calendar!$A18,DB!$1:$1,0)),FALSE)&gt;=5,"Good","Bad"),VLOOKUP(DATE($K$1,$K$2,EKG$4),Table1[],(MATCH(Calendar!$A18,DB!$1:$1,0)),FALSE)),"")</f>
        <v/>
      </c>
      <c r="EKH18" s="28" t="str">
        <f>IFERROR(IF(EKQ3="No",IF(VLOOKUP(DATE($K$1,$K$2,EKH$4),Table1[],(MATCH(Calendar!$A18,DB!$1:$1,0)),FALSE)&gt;=5,"Good","Bad"),VLOOKUP(DATE($K$1,$K$2,EKH$4),Table1[],(MATCH(Calendar!$A18,DB!$1:$1,0)),FALSE)),"")</f>
        <v/>
      </c>
      <c r="EKI18" s="28" t="str">
        <f>IFERROR(IF(EKR3="No",IF(VLOOKUP(DATE($K$1,$K$2,EKI$4),Table1[],(MATCH(Calendar!$A18,DB!$1:$1,0)),FALSE)&gt;=5,"Good","Bad"),VLOOKUP(DATE($K$1,$K$2,EKI$4),Table1[],(MATCH(Calendar!$A18,DB!$1:$1,0)),FALSE)),"")</f>
        <v/>
      </c>
      <c r="EKJ18" s="28" t="str">
        <f>IFERROR(IF(EKS3="No",IF(VLOOKUP(DATE($K$1,$K$2,EKJ$4),Table1[],(MATCH(Calendar!$A18,DB!$1:$1,0)),FALSE)&gt;=5,"Good","Bad"),VLOOKUP(DATE($K$1,$K$2,EKJ$4),Table1[],(MATCH(Calendar!$A18,DB!$1:$1,0)),FALSE)),"")</f>
        <v/>
      </c>
      <c r="EKK18" s="28" t="str">
        <f>IFERROR(IF(EKT3="No",IF(VLOOKUP(DATE($K$1,$K$2,EKK$4),Table1[],(MATCH(Calendar!$A18,DB!$1:$1,0)),FALSE)&gt;=5,"Good","Bad"),VLOOKUP(DATE($K$1,$K$2,EKK$4),Table1[],(MATCH(Calendar!$A18,DB!$1:$1,0)),FALSE)),"")</f>
        <v/>
      </c>
      <c r="EKL18" s="28" t="str">
        <f>IFERROR(IF(EKU3="No",IF(VLOOKUP(DATE($K$1,$K$2,EKL$4),Table1[],(MATCH(Calendar!$A18,DB!$1:$1,0)),FALSE)&gt;=5,"Good","Bad"),VLOOKUP(DATE($K$1,$K$2,EKL$4),Table1[],(MATCH(Calendar!$A18,DB!$1:$1,0)),FALSE)),"")</f>
        <v/>
      </c>
      <c r="EKM18" s="28" t="str">
        <f>IFERROR(IF(EKV3="No",IF(VLOOKUP(DATE($K$1,$K$2,EKM$4),Table1[],(MATCH(Calendar!$A18,DB!$1:$1,0)),FALSE)&gt;=5,"Good","Bad"),VLOOKUP(DATE($K$1,$K$2,EKM$4),Table1[],(MATCH(Calendar!$A18,DB!$1:$1,0)),FALSE)),"")</f>
        <v/>
      </c>
      <c r="EKN18" s="28" t="str">
        <f>IFERROR(IF(EKW3="No",IF(VLOOKUP(DATE($K$1,$K$2,EKN$4),Table1[],(MATCH(Calendar!$A18,DB!$1:$1,0)),FALSE)&gt;=5,"Good","Bad"),VLOOKUP(DATE($K$1,$K$2,EKN$4),Table1[],(MATCH(Calendar!$A18,DB!$1:$1,0)),FALSE)),"")</f>
        <v/>
      </c>
      <c r="EKO18" s="28" t="str">
        <f>IFERROR(IF(EKX3="No",IF(VLOOKUP(DATE($K$1,$K$2,EKO$4),Table1[],(MATCH(Calendar!$A18,DB!$1:$1,0)),FALSE)&gt;=5,"Good","Bad"),VLOOKUP(DATE($K$1,$K$2,EKO$4),Table1[],(MATCH(Calendar!$A18,DB!$1:$1,0)),FALSE)),"")</f>
        <v/>
      </c>
      <c r="EKP18" s="28" t="str">
        <f>IFERROR(IF(EKY3="No",IF(VLOOKUP(DATE($K$1,$K$2,EKP$4),Table1[],(MATCH(Calendar!$A18,DB!$1:$1,0)),FALSE)&gt;=5,"Good","Bad"),VLOOKUP(DATE($K$1,$K$2,EKP$4),Table1[],(MATCH(Calendar!$A18,DB!$1:$1,0)),FALSE)),"")</f>
        <v/>
      </c>
      <c r="EKQ18" s="28" t="str">
        <f>IFERROR(IF(EKZ3="No",IF(VLOOKUP(DATE($K$1,$K$2,EKQ$4),Table1[],(MATCH(Calendar!$A18,DB!$1:$1,0)),FALSE)&gt;=5,"Good","Bad"),VLOOKUP(DATE($K$1,$K$2,EKQ$4),Table1[],(MATCH(Calendar!$A18,DB!$1:$1,0)),FALSE)),"")</f>
        <v/>
      </c>
      <c r="EKR18" s="28" t="str">
        <f>IFERROR(IF(ELA3="No",IF(VLOOKUP(DATE($K$1,$K$2,EKR$4),Table1[],(MATCH(Calendar!$A18,DB!$1:$1,0)),FALSE)&gt;=5,"Good","Bad"),VLOOKUP(DATE($K$1,$K$2,EKR$4),Table1[],(MATCH(Calendar!$A18,DB!$1:$1,0)),FALSE)),"")</f>
        <v/>
      </c>
      <c r="EKS18" s="28" t="str">
        <f>IFERROR(IF(ELB3="No",IF(VLOOKUP(DATE($K$1,$K$2,EKS$4),Table1[],(MATCH(Calendar!$A18,DB!$1:$1,0)),FALSE)&gt;=5,"Good","Bad"),VLOOKUP(DATE($K$1,$K$2,EKS$4),Table1[],(MATCH(Calendar!$A18,DB!$1:$1,0)),FALSE)),"")</f>
        <v/>
      </c>
      <c r="EKT18" s="28" t="str">
        <f>IFERROR(IF(ELC3="No",IF(VLOOKUP(DATE($K$1,$K$2,EKT$4),Table1[],(MATCH(Calendar!$A18,DB!$1:$1,0)),FALSE)&gt;=5,"Good","Bad"),VLOOKUP(DATE($K$1,$K$2,EKT$4),Table1[],(MATCH(Calendar!$A18,DB!$1:$1,0)),FALSE)),"")</f>
        <v/>
      </c>
      <c r="EKU18" s="28" t="str">
        <f>IFERROR(IF(ELD3="No",IF(VLOOKUP(DATE($K$1,$K$2,EKU$4),Table1[],(MATCH(Calendar!$A18,DB!$1:$1,0)),FALSE)&gt;=5,"Good","Bad"),VLOOKUP(DATE($K$1,$K$2,EKU$4),Table1[],(MATCH(Calendar!$A18,DB!$1:$1,0)),FALSE)),"")</f>
        <v/>
      </c>
      <c r="EKV18" s="28" t="str">
        <f>IFERROR(IF(ELE3="No",IF(VLOOKUP(DATE($K$1,$K$2,EKV$4),Table1[],(MATCH(Calendar!$A18,DB!$1:$1,0)),FALSE)&gt;=5,"Good","Bad"),VLOOKUP(DATE($K$1,$K$2,EKV$4),Table1[],(MATCH(Calendar!$A18,DB!$1:$1,0)),FALSE)),"")</f>
        <v/>
      </c>
      <c r="EKW18" s="28" t="str">
        <f>IFERROR(IF(ELF3="No",IF(VLOOKUP(DATE($K$1,$K$2,EKW$4),Table1[],(MATCH(Calendar!$A18,DB!$1:$1,0)),FALSE)&gt;=5,"Good","Bad"),VLOOKUP(DATE($K$1,$K$2,EKW$4),Table1[],(MATCH(Calendar!$A18,DB!$1:$1,0)),FALSE)),"")</f>
        <v/>
      </c>
      <c r="EKX18" s="28" t="str">
        <f>IFERROR(IF(ELG3="No",IF(VLOOKUP(DATE($K$1,$K$2,EKX$4),Table1[],(MATCH(Calendar!$A18,DB!$1:$1,0)),FALSE)&gt;=5,"Good","Bad"),VLOOKUP(DATE($K$1,$K$2,EKX$4),Table1[],(MATCH(Calendar!$A18,DB!$1:$1,0)),FALSE)),"")</f>
        <v/>
      </c>
      <c r="EKY18" s="28" t="str">
        <f>IFERROR(IF(ELH3="No",IF(VLOOKUP(DATE($K$1,$K$2,EKY$4),Table1[],(MATCH(Calendar!$A18,DB!$1:$1,0)),FALSE)&gt;=5,"Good","Bad"),VLOOKUP(DATE($K$1,$K$2,EKY$4),Table1[],(MATCH(Calendar!$A18,DB!$1:$1,0)),FALSE)),"")</f>
        <v/>
      </c>
      <c r="EKZ18" s="28" t="str">
        <f>IFERROR(IF(ELI3="No",IF(VLOOKUP(DATE($K$1,$K$2,EKZ$4),Table1[],(MATCH(Calendar!$A18,DB!$1:$1,0)),FALSE)&gt;=5,"Good","Bad"),VLOOKUP(DATE($K$1,$K$2,EKZ$4),Table1[],(MATCH(Calendar!$A18,DB!$1:$1,0)),FALSE)),"")</f>
        <v/>
      </c>
      <c r="ELA18" s="28" t="str">
        <f>IFERROR(IF(ELJ3="No",IF(VLOOKUP(DATE($K$1,$K$2,ELA$4),Table1[],(MATCH(Calendar!$A18,DB!$1:$1,0)),FALSE)&gt;=5,"Good","Bad"),VLOOKUP(DATE($K$1,$K$2,ELA$4),Table1[],(MATCH(Calendar!$A18,DB!$1:$1,0)),FALSE)),"")</f>
        <v/>
      </c>
      <c r="ELB18" s="28" t="str">
        <f>IFERROR(IF(ELK3="No",IF(VLOOKUP(DATE($K$1,$K$2,ELB$4),Table1[],(MATCH(Calendar!$A18,DB!$1:$1,0)),FALSE)&gt;=5,"Good","Bad"),VLOOKUP(DATE($K$1,$K$2,ELB$4),Table1[],(MATCH(Calendar!$A18,DB!$1:$1,0)),FALSE)),"")</f>
        <v/>
      </c>
      <c r="ELC18" s="28" t="str">
        <f>IFERROR(IF(ELL3="No",IF(VLOOKUP(DATE($K$1,$K$2,ELC$4),Table1[],(MATCH(Calendar!$A18,DB!$1:$1,0)),FALSE)&gt;=5,"Good","Bad"),VLOOKUP(DATE($K$1,$K$2,ELC$4),Table1[],(MATCH(Calendar!$A18,DB!$1:$1,0)),FALSE)),"")</f>
        <v/>
      </c>
      <c r="ELD18" s="28" t="str">
        <f>IFERROR(IF(ELM3="No",IF(VLOOKUP(DATE($K$1,$K$2,ELD$4),Table1[],(MATCH(Calendar!$A18,DB!$1:$1,0)),FALSE)&gt;=5,"Good","Bad"),VLOOKUP(DATE($K$1,$K$2,ELD$4),Table1[],(MATCH(Calendar!$A18,DB!$1:$1,0)),FALSE)),"")</f>
        <v/>
      </c>
      <c r="ELE18" s="28" t="str">
        <f>IFERROR(IF(ELN3="No",IF(VLOOKUP(DATE($K$1,$K$2,ELE$4),Table1[],(MATCH(Calendar!$A18,DB!$1:$1,0)),FALSE)&gt;=5,"Good","Bad"),VLOOKUP(DATE($K$1,$K$2,ELE$4),Table1[],(MATCH(Calendar!$A18,DB!$1:$1,0)),FALSE)),"")</f>
        <v/>
      </c>
      <c r="ELF18" s="28" t="str">
        <f>IFERROR(IF(ELO3="No",IF(VLOOKUP(DATE($K$1,$K$2,ELF$4),Table1[],(MATCH(Calendar!$A18,DB!$1:$1,0)),FALSE)&gt;=5,"Good","Bad"),VLOOKUP(DATE($K$1,$K$2,ELF$4),Table1[],(MATCH(Calendar!$A18,DB!$1:$1,0)),FALSE)),"")</f>
        <v/>
      </c>
      <c r="ELG18" s="28" t="str">
        <f>IFERROR(IF(ELP3="No",IF(VLOOKUP(DATE($K$1,$K$2,ELG$4),Table1[],(MATCH(Calendar!$A18,DB!$1:$1,0)),FALSE)&gt;=5,"Good","Bad"),VLOOKUP(DATE($K$1,$K$2,ELG$4),Table1[],(MATCH(Calendar!$A18,DB!$1:$1,0)),FALSE)),"")</f>
        <v/>
      </c>
      <c r="ELH18" s="28" t="str">
        <f>IFERROR(IF(ELQ3="No",IF(VLOOKUP(DATE($K$1,$K$2,ELH$4),Table1[],(MATCH(Calendar!$A18,DB!$1:$1,0)),FALSE)&gt;=5,"Good","Bad"),VLOOKUP(DATE($K$1,$K$2,ELH$4),Table1[],(MATCH(Calendar!$A18,DB!$1:$1,0)),FALSE)),"")</f>
        <v/>
      </c>
      <c r="ELI18" s="28" t="str">
        <f>IFERROR(IF(ELR3="No",IF(VLOOKUP(DATE($K$1,$K$2,ELI$4),Table1[],(MATCH(Calendar!$A18,DB!$1:$1,0)),FALSE)&gt;=5,"Good","Bad"),VLOOKUP(DATE($K$1,$K$2,ELI$4),Table1[],(MATCH(Calendar!$A18,DB!$1:$1,0)),FALSE)),"")</f>
        <v/>
      </c>
      <c r="ELJ18" s="28" t="str">
        <f>IFERROR(IF(ELS3="No",IF(VLOOKUP(DATE($K$1,$K$2,ELJ$4),Table1[],(MATCH(Calendar!$A18,DB!$1:$1,0)),FALSE)&gt;=5,"Good","Bad"),VLOOKUP(DATE($K$1,$K$2,ELJ$4),Table1[],(MATCH(Calendar!$A18,DB!$1:$1,0)),FALSE)),"")</f>
        <v/>
      </c>
      <c r="ELK18" s="28" t="str">
        <f>IFERROR(IF(ELT3="No",IF(VLOOKUP(DATE($K$1,$K$2,ELK$4),Table1[],(MATCH(Calendar!$A18,DB!$1:$1,0)),FALSE)&gt;=5,"Good","Bad"),VLOOKUP(DATE($K$1,$K$2,ELK$4),Table1[],(MATCH(Calendar!$A18,DB!$1:$1,0)),FALSE)),"")</f>
        <v/>
      </c>
      <c r="ELL18" s="28" t="str">
        <f>IFERROR(IF(ELU3="No",IF(VLOOKUP(DATE($K$1,$K$2,ELL$4),Table1[],(MATCH(Calendar!$A18,DB!$1:$1,0)),FALSE)&gt;=5,"Good","Bad"),VLOOKUP(DATE($K$1,$K$2,ELL$4),Table1[],(MATCH(Calendar!$A18,DB!$1:$1,0)),FALSE)),"")</f>
        <v/>
      </c>
      <c r="ELM18" s="28" t="str">
        <f>IFERROR(IF(ELV3="No",IF(VLOOKUP(DATE($K$1,$K$2,ELM$4),Table1[],(MATCH(Calendar!$A18,DB!$1:$1,0)),FALSE)&gt;=5,"Good","Bad"),VLOOKUP(DATE($K$1,$K$2,ELM$4),Table1[],(MATCH(Calendar!$A18,DB!$1:$1,0)),FALSE)),"")</f>
        <v/>
      </c>
      <c r="ELN18" s="28" t="str">
        <f>IFERROR(IF(ELW3="No",IF(VLOOKUP(DATE($K$1,$K$2,ELN$4),Table1[],(MATCH(Calendar!$A18,DB!$1:$1,0)),FALSE)&gt;=5,"Good","Bad"),VLOOKUP(DATE($K$1,$K$2,ELN$4),Table1[],(MATCH(Calendar!$A18,DB!$1:$1,0)),FALSE)),"")</f>
        <v/>
      </c>
      <c r="ELO18" s="28" t="str">
        <f>IFERROR(IF(ELX3="No",IF(VLOOKUP(DATE($K$1,$K$2,ELO$4),Table1[],(MATCH(Calendar!$A18,DB!$1:$1,0)),FALSE)&gt;=5,"Good","Bad"),VLOOKUP(DATE($K$1,$K$2,ELO$4),Table1[],(MATCH(Calendar!$A18,DB!$1:$1,0)),FALSE)),"")</f>
        <v/>
      </c>
      <c r="ELP18" s="28" t="str">
        <f>IFERROR(IF(ELY3="No",IF(VLOOKUP(DATE($K$1,$K$2,ELP$4),Table1[],(MATCH(Calendar!$A18,DB!$1:$1,0)),FALSE)&gt;=5,"Good","Bad"),VLOOKUP(DATE($K$1,$K$2,ELP$4),Table1[],(MATCH(Calendar!$A18,DB!$1:$1,0)),FALSE)),"")</f>
        <v/>
      </c>
      <c r="ELQ18" s="28" t="str">
        <f>IFERROR(IF(ELZ3="No",IF(VLOOKUP(DATE($K$1,$K$2,ELQ$4),Table1[],(MATCH(Calendar!$A18,DB!$1:$1,0)),FALSE)&gt;=5,"Good","Bad"),VLOOKUP(DATE($K$1,$K$2,ELQ$4),Table1[],(MATCH(Calendar!$A18,DB!$1:$1,0)),FALSE)),"")</f>
        <v/>
      </c>
      <c r="ELR18" s="28" t="str">
        <f>IFERROR(IF(EMA3="No",IF(VLOOKUP(DATE($K$1,$K$2,ELR$4),Table1[],(MATCH(Calendar!$A18,DB!$1:$1,0)),FALSE)&gt;=5,"Good","Bad"),VLOOKUP(DATE($K$1,$K$2,ELR$4),Table1[],(MATCH(Calendar!$A18,DB!$1:$1,0)),FALSE)),"")</f>
        <v/>
      </c>
      <c r="ELS18" s="28" t="str">
        <f>IFERROR(IF(EMB3="No",IF(VLOOKUP(DATE($K$1,$K$2,ELS$4),Table1[],(MATCH(Calendar!$A18,DB!$1:$1,0)),FALSE)&gt;=5,"Good","Bad"),VLOOKUP(DATE($K$1,$K$2,ELS$4),Table1[],(MATCH(Calendar!$A18,DB!$1:$1,0)),FALSE)),"")</f>
        <v/>
      </c>
      <c r="ELT18" s="28" t="str">
        <f>IFERROR(IF(EMC3="No",IF(VLOOKUP(DATE($K$1,$K$2,ELT$4),Table1[],(MATCH(Calendar!$A18,DB!$1:$1,0)),FALSE)&gt;=5,"Good","Bad"),VLOOKUP(DATE($K$1,$K$2,ELT$4),Table1[],(MATCH(Calendar!$A18,DB!$1:$1,0)),FALSE)),"")</f>
        <v/>
      </c>
      <c r="ELU18" s="28" t="str">
        <f>IFERROR(IF(EMD3="No",IF(VLOOKUP(DATE($K$1,$K$2,ELU$4),Table1[],(MATCH(Calendar!$A18,DB!$1:$1,0)),FALSE)&gt;=5,"Good","Bad"),VLOOKUP(DATE($K$1,$K$2,ELU$4),Table1[],(MATCH(Calendar!$A18,DB!$1:$1,0)),FALSE)),"")</f>
        <v/>
      </c>
      <c r="ELV18" s="28" t="str">
        <f>IFERROR(IF(EME3="No",IF(VLOOKUP(DATE($K$1,$K$2,ELV$4),Table1[],(MATCH(Calendar!$A18,DB!$1:$1,0)),FALSE)&gt;=5,"Good","Bad"),VLOOKUP(DATE($K$1,$K$2,ELV$4),Table1[],(MATCH(Calendar!$A18,DB!$1:$1,0)),FALSE)),"")</f>
        <v/>
      </c>
      <c r="ELW18" s="28" t="str">
        <f>IFERROR(IF(EMF3="No",IF(VLOOKUP(DATE($K$1,$K$2,ELW$4),Table1[],(MATCH(Calendar!$A18,DB!$1:$1,0)),FALSE)&gt;=5,"Good","Bad"),VLOOKUP(DATE($K$1,$K$2,ELW$4),Table1[],(MATCH(Calendar!$A18,DB!$1:$1,0)),FALSE)),"")</f>
        <v/>
      </c>
      <c r="ELX18" s="28" t="str">
        <f>IFERROR(IF(EMG3="No",IF(VLOOKUP(DATE($K$1,$K$2,ELX$4),Table1[],(MATCH(Calendar!$A18,DB!$1:$1,0)),FALSE)&gt;=5,"Good","Bad"),VLOOKUP(DATE($K$1,$K$2,ELX$4),Table1[],(MATCH(Calendar!$A18,DB!$1:$1,0)),FALSE)),"")</f>
        <v/>
      </c>
      <c r="ELY18" s="28" t="str">
        <f>IFERROR(IF(EMH3="No",IF(VLOOKUP(DATE($K$1,$K$2,ELY$4),Table1[],(MATCH(Calendar!$A18,DB!$1:$1,0)),FALSE)&gt;=5,"Good","Bad"),VLOOKUP(DATE($K$1,$K$2,ELY$4),Table1[],(MATCH(Calendar!$A18,DB!$1:$1,0)),FALSE)),"")</f>
        <v/>
      </c>
      <c r="ELZ18" s="28" t="str">
        <f>IFERROR(IF(EMI3="No",IF(VLOOKUP(DATE($K$1,$K$2,ELZ$4),Table1[],(MATCH(Calendar!$A18,DB!$1:$1,0)),FALSE)&gt;=5,"Good","Bad"),VLOOKUP(DATE($K$1,$K$2,ELZ$4),Table1[],(MATCH(Calendar!$A18,DB!$1:$1,0)),FALSE)),"")</f>
        <v/>
      </c>
      <c r="EMA18" s="28" t="str">
        <f>IFERROR(IF(EMJ3="No",IF(VLOOKUP(DATE($K$1,$K$2,EMA$4),Table1[],(MATCH(Calendar!$A18,DB!$1:$1,0)),FALSE)&gt;=5,"Good","Bad"),VLOOKUP(DATE($K$1,$K$2,EMA$4),Table1[],(MATCH(Calendar!$A18,DB!$1:$1,0)),FALSE)),"")</f>
        <v/>
      </c>
      <c r="EMB18" s="28" t="str">
        <f>IFERROR(IF(EMK3="No",IF(VLOOKUP(DATE($K$1,$K$2,EMB$4),Table1[],(MATCH(Calendar!$A18,DB!$1:$1,0)),FALSE)&gt;=5,"Good","Bad"),VLOOKUP(DATE($K$1,$K$2,EMB$4),Table1[],(MATCH(Calendar!$A18,DB!$1:$1,0)),FALSE)),"")</f>
        <v/>
      </c>
      <c r="EMC18" s="28" t="str">
        <f>IFERROR(IF(EML3="No",IF(VLOOKUP(DATE($K$1,$K$2,EMC$4),Table1[],(MATCH(Calendar!$A18,DB!$1:$1,0)),FALSE)&gt;=5,"Good","Bad"),VLOOKUP(DATE($K$1,$K$2,EMC$4),Table1[],(MATCH(Calendar!$A18,DB!$1:$1,0)),FALSE)),"")</f>
        <v/>
      </c>
      <c r="EMD18" s="28" t="str">
        <f>IFERROR(IF(EMM3="No",IF(VLOOKUP(DATE($K$1,$K$2,EMD$4),Table1[],(MATCH(Calendar!$A18,DB!$1:$1,0)),FALSE)&gt;=5,"Good","Bad"),VLOOKUP(DATE($K$1,$K$2,EMD$4),Table1[],(MATCH(Calendar!$A18,DB!$1:$1,0)),FALSE)),"")</f>
        <v/>
      </c>
      <c r="EME18" s="28" t="str">
        <f>IFERROR(IF(EMN3="No",IF(VLOOKUP(DATE($K$1,$K$2,EME$4),Table1[],(MATCH(Calendar!$A18,DB!$1:$1,0)),FALSE)&gt;=5,"Good","Bad"),VLOOKUP(DATE($K$1,$K$2,EME$4),Table1[],(MATCH(Calendar!$A18,DB!$1:$1,0)),FALSE)),"")</f>
        <v/>
      </c>
      <c r="EMF18" s="28" t="str">
        <f>IFERROR(IF(EMO3="No",IF(VLOOKUP(DATE($K$1,$K$2,EMF$4),Table1[],(MATCH(Calendar!$A18,DB!$1:$1,0)),FALSE)&gt;=5,"Good","Bad"),VLOOKUP(DATE($K$1,$K$2,EMF$4),Table1[],(MATCH(Calendar!$A18,DB!$1:$1,0)),FALSE)),"")</f>
        <v/>
      </c>
      <c r="EMG18" s="28" t="str">
        <f>IFERROR(IF(EMP3="No",IF(VLOOKUP(DATE($K$1,$K$2,EMG$4),Table1[],(MATCH(Calendar!$A18,DB!$1:$1,0)),FALSE)&gt;=5,"Good","Bad"),VLOOKUP(DATE($K$1,$K$2,EMG$4),Table1[],(MATCH(Calendar!$A18,DB!$1:$1,0)),FALSE)),"")</f>
        <v/>
      </c>
      <c r="EMH18" s="28" t="str">
        <f>IFERROR(IF(EMQ3="No",IF(VLOOKUP(DATE($K$1,$K$2,EMH$4),Table1[],(MATCH(Calendar!$A18,DB!$1:$1,0)),FALSE)&gt;=5,"Good","Bad"),VLOOKUP(DATE($K$1,$K$2,EMH$4),Table1[],(MATCH(Calendar!$A18,DB!$1:$1,0)),FALSE)),"")</f>
        <v/>
      </c>
      <c r="EMI18" s="28" t="str">
        <f>IFERROR(IF(EMR3="No",IF(VLOOKUP(DATE($K$1,$K$2,EMI$4),Table1[],(MATCH(Calendar!$A18,DB!$1:$1,0)),FALSE)&gt;=5,"Good","Bad"),VLOOKUP(DATE($K$1,$K$2,EMI$4),Table1[],(MATCH(Calendar!$A18,DB!$1:$1,0)),FALSE)),"")</f>
        <v/>
      </c>
      <c r="EMJ18" s="28" t="str">
        <f>IFERROR(IF(EMS3="No",IF(VLOOKUP(DATE($K$1,$K$2,EMJ$4),Table1[],(MATCH(Calendar!$A18,DB!$1:$1,0)),FALSE)&gt;=5,"Good","Bad"),VLOOKUP(DATE($K$1,$K$2,EMJ$4),Table1[],(MATCH(Calendar!$A18,DB!$1:$1,0)),FALSE)),"")</f>
        <v/>
      </c>
      <c r="EMK18" s="28" t="str">
        <f>IFERROR(IF(EMT3="No",IF(VLOOKUP(DATE($K$1,$K$2,EMK$4),Table1[],(MATCH(Calendar!$A18,DB!$1:$1,0)),FALSE)&gt;=5,"Good","Bad"),VLOOKUP(DATE($K$1,$K$2,EMK$4),Table1[],(MATCH(Calendar!$A18,DB!$1:$1,0)),FALSE)),"")</f>
        <v/>
      </c>
      <c r="EML18" s="28" t="str">
        <f>IFERROR(IF(EMU3="No",IF(VLOOKUP(DATE($K$1,$K$2,EML$4),Table1[],(MATCH(Calendar!$A18,DB!$1:$1,0)),FALSE)&gt;=5,"Good","Bad"),VLOOKUP(DATE($K$1,$K$2,EML$4),Table1[],(MATCH(Calendar!$A18,DB!$1:$1,0)),FALSE)),"")</f>
        <v/>
      </c>
      <c r="EMM18" s="28" t="str">
        <f>IFERROR(IF(EMV3="No",IF(VLOOKUP(DATE($K$1,$K$2,EMM$4),Table1[],(MATCH(Calendar!$A18,DB!$1:$1,0)),FALSE)&gt;=5,"Good","Bad"),VLOOKUP(DATE($K$1,$K$2,EMM$4),Table1[],(MATCH(Calendar!$A18,DB!$1:$1,0)),FALSE)),"")</f>
        <v/>
      </c>
      <c r="EMN18" s="28" t="str">
        <f>IFERROR(IF(EMW3="No",IF(VLOOKUP(DATE($K$1,$K$2,EMN$4),Table1[],(MATCH(Calendar!$A18,DB!$1:$1,0)),FALSE)&gt;=5,"Good","Bad"),VLOOKUP(DATE($K$1,$K$2,EMN$4),Table1[],(MATCH(Calendar!$A18,DB!$1:$1,0)),FALSE)),"")</f>
        <v/>
      </c>
      <c r="EMO18" s="28" t="str">
        <f>IFERROR(IF(EMX3="No",IF(VLOOKUP(DATE($K$1,$K$2,EMO$4),Table1[],(MATCH(Calendar!$A18,DB!$1:$1,0)),FALSE)&gt;=5,"Good","Bad"),VLOOKUP(DATE($K$1,$K$2,EMO$4),Table1[],(MATCH(Calendar!$A18,DB!$1:$1,0)),FALSE)),"")</f>
        <v/>
      </c>
      <c r="EMP18" s="28" t="str">
        <f>IFERROR(IF(EMY3="No",IF(VLOOKUP(DATE($K$1,$K$2,EMP$4),Table1[],(MATCH(Calendar!$A18,DB!$1:$1,0)),FALSE)&gt;=5,"Good","Bad"),VLOOKUP(DATE($K$1,$K$2,EMP$4),Table1[],(MATCH(Calendar!$A18,DB!$1:$1,0)),FALSE)),"")</f>
        <v/>
      </c>
      <c r="EMQ18" s="28" t="str">
        <f>IFERROR(IF(EMZ3="No",IF(VLOOKUP(DATE($K$1,$K$2,EMQ$4),Table1[],(MATCH(Calendar!$A18,DB!$1:$1,0)),FALSE)&gt;=5,"Good","Bad"),VLOOKUP(DATE($K$1,$K$2,EMQ$4),Table1[],(MATCH(Calendar!$A18,DB!$1:$1,0)),FALSE)),"")</f>
        <v/>
      </c>
      <c r="EMR18" s="28" t="str">
        <f>IFERROR(IF(ENA3="No",IF(VLOOKUP(DATE($K$1,$K$2,EMR$4),Table1[],(MATCH(Calendar!$A18,DB!$1:$1,0)),FALSE)&gt;=5,"Good","Bad"),VLOOKUP(DATE($K$1,$K$2,EMR$4),Table1[],(MATCH(Calendar!$A18,DB!$1:$1,0)),FALSE)),"")</f>
        <v/>
      </c>
      <c r="EMS18" s="28" t="str">
        <f>IFERROR(IF(ENB3="No",IF(VLOOKUP(DATE($K$1,$K$2,EMS$4),Table1[],(MATCH(Calendar!$A18,DB!$1:$1,0)),FALSE)&gt;=5,"Good","Bad"),VLOOKUP(DATE($K$1,$K$2,EMS$4),Table1[],(MATCH(Calendar!$A18,DB!$1:$1,0)),FALSE)),"")</f>
        <v/>
      </c>
      <c r="EMT18" s="28" t="str">
        <f>IFERROR(IF(ENC3="No",IF(VLOOKUP(DATE($K$1,$K$2,EMT$4),Table1[],(MATCH(Calendar!$A18,DB!$1:$1,0)),FALSE)&gt;=5,"Good","Bad"),VLOOKUP(DATE($K$1,$K$2,EMT$4),Table1[],(MATCH(Calendar!$A18,DB!$1:$1,0)),FALSE)),"")</f>
        <v/>
      </c>
      <c r="EMU18" s="28" t="str">
        <f>IFERROR(IF(END3="No",IF(VLOOKUP(DATE($K$1,$K$2,EMU$4),Table1[],(MATCH(Calendar!$A18,DB!$1:$1,0)),FALSE)&gt;=5,"Good","Bad"),VLOOKUP(DATE($K$1,$K$2,EMU$4),Table1[],(MATCH(Calendar!$A18,DB!$1:$1,0)),FALSE)),"")</f>
        <v/>
      </c>
      <c r="EMV18" s="28" t="str">
        <f>IFERROR(IF(ENE3="No",IF(VLOOKUP(DATE($K$1,$K$2,EMV$4),Table1[],(MATCH(Calendar!$A18,DB!$1:$1,0)),FALSE)&gt;=5,"Good","Bad"),VLOOKUP(DATE($K$1,$K$2,EMV$4),Table1[],(MATCH(Calendar!$A18,DB!$1:$1,0)),FALSE)),"")</f>
        <v/>
      </c>
      <c r="EMW18" s="28" t="str">
        <f>IFERROR(IF(ENF3="No",IF(VLOOKUP(DATE($K$1,$K$2,EMW$4),Table1[],(MATCH(Calendar!$A18,DB!$1:$1,0)),FALSE)&gt;=5,"Good","Bad"),VLOOKUP(DATE($K$1,$K$2,EMW$4),Table1[],(MATCH(Calendar!$A18,DB!$1:$1,0)),FALSE)),"")</f>
        <v/>
      </c>
      <c r="EMX18" s="28" t="str">
        <f>IFERROR(IF(ENG3="No",IF(VLOOKUP(DATE($K$1,$K$2,EMX$4),Table1[],(MATCH(Calendar!$A18,DB!$1:$1,0)),FALSE)&gt;=5,"Good","Bad"),VLOOKUP(DATE($K$1,$K$2,EMX$4),Table1[],(MATCH(Calendar!$A18,DB!$1:$1,0)),FALSE)),"")</f>
        <v/>
      </c>
      <c r="EMY18" s="28" t="str">
        <f>IFERROR(IF(ENH3="No",IF(VLOOKUP(DATE($K$1,$K$2,EMY$4),Table1[],(MATCH(Calendar!$A18,DB!$1:$1,0)),FALSE)&gt;=5,"Good","Bad"),VLOOKUP(DATE($K$1,$K$2,EMY$4),Table1[],(MATCH(Calendar!$A18,DB!$1:$1,0)),FALSE)),"")</f>
        <v/>
      </c>
      <c r="EMZ18" s="28" t="str">
        <f>IFERROR(IF(ENI3="No",IF(VLOOKUP(DATE($K$1,$K$2,EMZ$4),Table1[],(MATCH(Calendar!$A18,DB!$1:$1,0)),FALSE)&gt;=5,"Good","Bad"),VLOOKUP(DATE($K$1,$K$2,EMZ$4),Table1[],(MATCH(Calendar!$A18,DB!$1:$1,0)),FALSE)),"")</f>
        <v/>
      </c>
      <c r="ENA18" s="28" t="str">
        <f>IFERROR(IF(ENJ3="No",IF(VLOOKUP(DATE($K$1,$K$2,ENA$4),Table1[],(MATCH(Calendar!$A18,DB!$1:$1,0)),FALSE)&gt;=5,"Good","Bad"),VLOOKUP(DATE($K$1,$K$2,ENA$4),Table1[],(MATCH(Calendar!$A18,DB!$1:$1,0)),FALSE)),"")</f>
        <v/>
      </c>
      <c r="ENB18" s="28" t="str">
        <f>IFERROR(IF(ENK3="No",IF(VLOOKUP(DATE($K$1,$K$2,ENB$4),Table1[],(MATCH(Calendar!$A18,DB!$1:$1,0)),FALSE)&gt;=5,"Good","Bad"),VLOOKUP(DATE($K$1,$K$2,ENB$4),Table1[],(MATCH(Calendar!$A18,DB!$1:$1,0)),FALSE)),"")</f>
        <v/>
      </c>
      <c r="ENC18" s="28" t="str">
        <f>IFERROR(IF(ENL3="No",IF(VLOOKUP(DATE($K$1,$K$2,ENC$4),Table1[],(MATCH(Calendar!$A18,DB!$1:$1,0)),FALSE)&gt;=5,"Good","Bad"),VLOOKUP(DATE($K$1,$K$2,ENC$4),Table1[],(MATCH(Calendar!$A18,DB!$1:$1,0)),FALSE)),"")</f>
        <v/>
      </c>
      <c r="END18" s="28" t="str">
        <f>IFERROR(IF(ENM3="No",IF(VLOOKUP(DATE($K$1,$K$2,END$4),Table1[],(MATCH(Calendar!$A18,DB!$1:$1,0)),FALSE)&gt;=5,"Good","Bad"),VLOOKUP(DATE($K$1,$K$2,END$4),Table1[],(MATCH(Calendar!$A18,DB!$1:$1,0)),FALSE)),"")</f>
        <v/>
      </c>
      <c r="ENE18" s="28" t="str">
        <f>IFERROR(IF(ENN3="No",IF(VLOOKUP(DATE($K$1,$K$2,ENE$4),Table1[],(MATCH(Calendar!$A18,DB!$1:$1,0)),FALSE)&gt;=5,"Good","Bad"),VLOOKUP(DATE($K$1,$K$2,ENE$4),Table1[],(MATCH(Calendar!$A18,DB!$1:$1,0)),FALSE)),"")</f>
        <v/>
      </c>
      <c r="ENF18" s="28" t="str">
        <f>IFERROR(IF(ENO3="No",IF(VLOOKUP(DATE($K$1,$K$2,ENF$4),Table1[],(MATCH(Calendar!$A18,DB!$1:$1,0)),FALSE)&gt;=5,"Good","Bad"),VLOOKUP(DATE($K$1,$K$2,ENF$4),Table1[],(MATCH(Calendar!$A18,DB!$1:$1,0)),FALSE)),"")</f>
        <v/>
      </c>
      <c r="ENG18" s="28" t="str">
        <f>IFERROR(IF(ENP3="No",IF(VLOOKUP(DATE($K$1,$K$2,ENG$4),Table1[],(MATCH(Calendar!$A18,DB!$1:$1,0)),FALSE)&gt;=5,"Good","Bad"),VLOOKUP(DATE($K$1,$K$2,ENG$4),Table1[],(MATCH(Calendar!$A18,DB!$1:$1,0)),FALSE)),"")</f>
        <v/>
      </c>
      <c r="ENH18" s="28" t="str">
        <f>IFERROR(IF(ENQ3="No",IF(VLOOKUP(DATE($K$1,$K$2,ENH$4),Table1[],(MATCH(Calendar!$A18,DB!$1:$1,0)),FALSE)&gt;=5,"Good","Bad"),VLOOKUP(DATE($K$1,$K$2,ENH$4),Table1[],(MATCH(Calendar!$A18,DB!$1:$1,0)),FALSE)),"")</f>
        <v/>
      </c>
      <c r="ENI18" s="28" t="str">
        <f>IFERROR(IF(ENR3="No",IF(VLOOKUP(DATE($K$1,$K$2,ENI$4),Table1[],(MATCH(Calendar!$A18,DB!$1:$1,0)),FALSE)&gt;=5,"Good","Bad"),VLOOKUP(DATE($K$1,$K$2,ENI$4),Table1[],(MATCH(Calendar!$A18,DB!$1:$1,0)),FALSE)),"")</f>
        <v/>
      </c>
      <c r="ENJ18" s="28" t="str">
        <f>IFERROR(IF(ENS3="No",IF(VLOOKUP(DATE($K$1,$K$2,ENJ$4),Table1[],(MATCH(Calendar!$A18,DB!$1:$1,0)),FALSE)&gt;=5,"Good","Bad"),VLOOKUP(DATE($K$1,$K$2,ENJ$4),Table1[],(MATCH(Calendar!$A18,DB!$1:$1,0)),FALSE)),"")</f>
        <v/>
      </c>
      <c r="ENK18" s="28" t="str">
        <f>IFERROR(IF(ENT3="No",IF(VLOOKUP(DATE($K$1,$K$2,ENK$4),Table1[],(MATCH(Calendar!$A18,DB!$1:$1,0)),FALSE)&gt;=5,"Good","Bad"),VLOOKUP(DATE($K$1,$K$2,ENK$4),Table1[],(MATCH(Calendar!$A18,DB!$1:$1,0)),FALSE)),"")</f>
        <v/>
      </c>
      <c r="ENL18" s="28" t="str">
        <f>IFERROR(IF(ENU3="No",IF(VLOOKUP(DATE($K$1,$K$2,ENL$4),Table1[],(MATCH(Calendar!$A18,DB!$1:$1,0)),FALSE)&gt;=5,"Good","Bad"),VLOOKUP(DATE($K$1,$K$2,ENL$4),Table1[],(MATCH(Calendar!$A18,DB!$1:$1,0)),FALSE)),"")</f>
        <v/>
      </c>
      <c r="ENM18" s="28" t="str">
        <f>IFERROR(IF(ENV3="No",IF(VLOOKUP(DATE($K$1,$K$2,ENM$4),Table1[],(MATCH(Calendar!$A18,DB!$1:$1,0)),FALSE)&gt;=5,"Good","Bad"),VLOOKUP(DATE($K$1,$K$2,ENM$4),Table1[],(MATCH(Calendar!$A18,DB!$1:$1,0)),FALSE)),"")</f>
        <v/>
      </c>
      <c r="ENN18" s="28" t="str">
        <f>IFERROR(IF(ENW3="No",IF(VLOOKUP(DATE($K$1,$K$2,ENN$4),Table1[],(MATCH(Calendar!$A18,DB!$1:$1,0)),FALSE)&gt;=5,"Good","Bad"),VLOOKUP(DATE($K$1,$K$2,ENN$4),Table1[],(MATCH(Calendar!$A18,DB!$1:$1,0)),FALSE)),"")</f>
        <v/>
      </c>
      <c r="ENO18" s="28" t="str">
        <f>IFERROR(IF(ENX3="No",IF(VLOOKUP(DATE($K$1,$K$2,ENO$4),Table1[],(MATCH(Calendar!$A18,DB!$1:$1,0)),FALSE)&gt;=5,"Good","Bad"),VLOOKUP(DATE($K$1,$K$2,ENO$4),Table1[],(MATCH(Calendar!$A18,DB!$1:$1,0)),FALSE)),"")</f>
        <v/>
      </c>
      <c r="ENP18" s="28" t="str">
        <f>IFERROR(IF(ENY3="No",IF(VLOOKUP(DATE($K$1,$K$2,ENP$4),Table1[],(MATCH(Calendar!$A18,DB!$1:$1,0)),FALSE)&gt;=5,"Good","Bad"),VLOOKUP(DATE($K$1,$K$2,ENP$4),Table1[],(MATCH(Calendar!$A18,DB!$1:$1,0)),FALSE)),"")</f>
        <v/>
      </c>
      <c r="ENQ18" s="28" t="str">
        <f>IFERROR(IF(ENZ3="No",IF(VLOOKUP(DATE($K$1,$K$2,ENQ$4),Table1[],(MATCH(Calendar!$A18,DB!$1:$1,0)),FALSE)&gt;=5,"Good","Bad"),VLOOKUP(DATE($K$1,$K$2,ENQ$4),Table1[],(MATCH(Calendar!$A18,DB!$1:$1,0)),FALSE)),"")</f>
        <v/>
      </c>
      <c r="ENR18" s="28" t="str">
        <f>IFERROR(IF(EOA3="No",IF(VLOOKUP(DATE($K$1,$K$2,ENR$4),Table1[],(MATCH(Calendar!$A18,DB!$1:$1,0)),FALSE)&gt;=5,"Good","Bad"),VLOOKUP(DATE($K$1,$K$2,ENR$4),Table1[],(MATCH(Calendar!$A18,DB!$1:$1,0)),FALSE)),"")</f>
        <v/>
      </c>
      <c r="ENS18" s="28" t="str">
        <f>IFERROR(IF(EOB3="No",IF(VLOOKUP(DATE($K$1,$K$2,ENS$4),Table1[],(MATCH(Calendar!$A18,DB!$1:$1,0)),FALSE)&gt;=5,"Good","Bad"),VLOOKUP(DATE($K$1,$K$2,ENS$4),Table1[],(MATCH(Calendar!$A18,DB!$1:$1,0)),FALSE)),"")</f>
        <v/>
      </c>
      <c r="ENT18" s="28" t="str">
        <f>IFERROR(IF(EOC3="No",IF(VLOOKUP(DATE($K$1,$K$2,ENT$4),Table1[],(MATCH(Calendar!$A18,DB!$1:$1,0)),FALSE)&gt;=5,"Good","Bad"),VLOOKUP(DATE($K$1,$K$2,ENT$4),Table1[],(MATCH(Calendar!$A18,DB!$1:$1,0)),FALSE)),"")</f>
        <v/>
      </c>
      <c r="ENU18" s="28" t="str">
        <f>IFERROR(IF(EOD3="No",IF(VLOOKUP(DATE($K$1,$K$2,ENU$4),Table1[],(MATCH(Calendar!$A18,DB!$1:$1,0)),FALSE)&gt;=5,"Good","Bad"),VLOOKUP(DATE($K$1,$K$2,ENU$4),Table1[],(MATCH(Calendar!$A18,DB!$1:$1,0)),FALSE)),"")</f>
        <v/>
      </c>
      <c r="ENV18" s="28" t="str">
        <f>IFERROR(IF(EOE3="No",IF(VLOOKUP(DATE($K$1,$K$2,ENV$4),Table1[],(MATCH(Calendar!$A18,DB!$1:$1,0)),FALSE)&gt;=5,"Good","Bad"),VLOOKUP(DATE($K$1,$K$2,ENV$4),Table1[],(MATCH(Calendar!$A18,DB!$1:$1,0)),FALSE)),"")</f>
        <v/>
      </c>
      <c r="ENW18" s="28" t="str">
        <f>IFERROR(IF(EOF3="No",IF(VLOOKUP(DATE($K$1,$K$2,ENW$4),Table1[],(MATCH(Calendar!$A18,DB!$1:$1,0)),FALSE)&gt;=5,"Good","Bad"),VLOOKUP(DATE($K$1,$K$2,ENW$4),Table1[],(MATCH(Calendar!$A18,DB!$1:$1,0)),FALSE)),"")</f>
        <v/>
      </c>
      <c r="ENX18" s="28" t="str">
        <f>IFERROR(IF(EOG3="No",IF(VLOOKUP(DATE($K$1,$K$2,ENX$4),Table1[],(MATCH(Calendar!$A18,DB!$1:$1,0)),FALSE)&gt;=5,"Good","Bad"),VLOOKUP(DATE($K$1,$K$2,ENX$4),Table1[],(MATCH(Calendar!$A18,DB!$1:$1,0)),FALSE)),"")</f>
        <v/>
      </c>
      <c r="ENY18" s="28" t="str">
        <f>IFERROR(IF(EOH3="No",IF(VLOOKUP(DATE($K$1,$K$2,ENY$4),Table1[],(MATCH(Calendar!$A18,DB!$1:$1,0)),FALSE)&gt;=5,"Good","Bad"),VLOOKUP(DATE($K$1,$K$2,ENY$4),Table1[],(MATCH(Calendar!$A18,DB!$1:$1,0)),FALSE)),"")</f>
        <v/>
      </c>
      <c r="ENZ18" s="28" t="str">
        <f>IFERROR(IF(EOI3="No",IF(VLOOKUP(DATE($K$1,$K$2,ENZ$4),Table1[],(MATCH(Calendar!$A18,DB!$1:$1,0)),FALSE)&gt;=5,"Good","Bad"),VLOOKUP(DATE($K$1,$K$2,ENZ$4),Table1[],(MATCH(Calendar!$A18,DB!$1:$1,0)),FALSE)),"")</f>
        <v/>
      </c>
      <c r="EOA18" s="28" t="str">
        <f>IFERROR(IF(EOJ3="No",IF(VLOOKUP(DATE($K$1,$K$2,EOA$4),Table1[],(MATCH(Calendar!$A18,DB!$1:$1,0)),FALSE)&gt;=5,"Good","Bad"),VLOOKUP(DATE($K$1,$K$2,EOA$4),Table1[],(MATCH(Calendar!$A18,DB!$1:$1,0)),FALSE)),"")</f>
        <v/>
      </c>
      <c r="EOB18" s="28" t="str">
        <f>IFERROR(IF(EOK3="No",IF(VLOOKUP(DATE($K$1,$K$2,EOB$4),Table1[],(MATCH(Calendar!$A18,DB!$1:$1,0)),FALSE)&gt;=5,"Good","Bad"),VLOOKUP(DATE($K$1,$K$2,EOB$4),Table1[],(MATCH(Calendar!$A18,DB!$1:$1,0)),FALSE)),"")</f>
        <v/>
      </c>
      <c r="EOC18" s="28" t="str">
        <f>IFERROR(IF(EOL3="No",IF(VLOOKUP(DATE($K$1,$K$2,EOC$4),Table1[],(MATCH(Calendar!$A18,DB!$1:$1,0)),FALSE)&gt;=5,"Good","Bad"),VLOOKUP(DATE($K$1,$K$2,EOC$4),Table1[],(MATCH(Calendar!$A18,DB!$1:$1,0)),FALSE)),"")</f>
        <v/>
      </c>
      <c r="EOD18" s="28" t="str">
        <f>IFERROR(IF(EOM3="No",IF(VLOOKUP(DATE($K$1,$K$2,EOD$4),Table1[],(MATCH(Calendar!$A18,DB!$1:$1,0)),FALSE)&gt;=5,"Good","Bad"),VLOOKUP(DATE($K$1,$K$2,EOD$4),Table1[],(MATCH(Calendar!$A18,DB!$1:$1,0)),FALSE)),"")</f>
        <v/>
      </c>
      <c r="EOE18" s="28" t="str">
        <f>IFERROR(IF(EON3="No",IF(VLOOKUP(DATE($K$1,$K$2,EOE$4),Table1[],(MATCH(Calendar!$A18,DB!$1:$1,0)),FALSE)&gt;=5,"Good","Bad"),VLOOKUP(DATE($K$1,$K$2,EOE$4),Table1[],(MATCH(Calendar!$A18,DB!$1:$1,0)),FALSE)),"")</f>
        <v/>
      </c>
      <c r="EOF18" s="28" t="str">
        <f>IFERROR(IF(EOO3="No",IF(VLOOKUP(DATE($K$1,$K$2,EOF$4),Table1[],(MATCH(Calendar!$A18,DB!$1:$1,0)),FALSE)&gt;=5,"Good","Bad"),VLOOKUP(DATE($K$1,$K$2,EOF$4),Table1[],(MATCH(Calendar!$A18,DB!$1:$1,0)),FALSE)),"")</f>
        <v/>
      </c>
      <c r="EOG18" s="28" t="str">
        <f>IFERROR(IF(EOP3="No",IF(VLOOKUP(DATE($K$1,$K$2,EOG$4),Table1[],(MATCH(Calendar!$A18,DB!$1:$1,0)),FALSE)&gt;=5,"Good","Bad"),VLOOKUP(DATE($K$1,$K$2,EOG$4),Table1[],(MATCH(Calendar!$A18,DB!$1:$1,0)),FALSE)),"")</f>
        <v/>
      </c>
      <c r="EOH18" s="28" t="str">
        <f>IFERROR(IF(EOQ3="No",IF(VLOOKUP(DATE($K$1,$K$2,EOH$4),Table1[],(MATCH(Calendar!$A18,DB!$1:$1,0)),FALSE)&gt;=5,"Good","Bad"),VLOOKUP(DATE($K$1,$K$2,EOH$4),Table1[],(MATCH(Calendar!$A18,DB!$1:$1,0)),FALSE)),"")</f>
        <v/>
      </c>
      <c r="EOI18" s="28" t="str">
        <f>IFERROR(IF(EOR3="No",IF(VLOOKUP(DATE($K$1,$K$2,EOI$4),Table1[],(MATCH(Calendar!$A18,DB!$1:$1,0)),FALSE)&gt;=5,"Good","Bad"),VLOOKUP(DATE($K$1,$K$2,EOI$4),Table1[],(MATCH(Calendar!$A18,DB!$1:$1,0)),FALSE)),"")</f>
        <v/>
      </c>
      <c r="EOJ18" s="28" t="str">
        <f>IFERROR(IF(EOS3="No",IF(VLOOKUP(DATE($K$1,$K$2,EOJ$4),Table1[],(MATCH(Calendar!$A18,DB!$1:$1,0)),FALSE)&gt;=5,"Good","Bad"),VLOOKUP(DATE($K$1,$K$2,EOJ$4),Table1[],(MATCH(Calendar!$A18,DB!$1:$1,0)),FALSE)),"")</f>
        <v/>
      </c>
      <c r="EOK18" s="28" t="str">
        <f>IFERROR(IF(EOT3="No",IF(VLOOKUP(DATE($K$1,$K$2,EOK$4),Table1[],(MATCH(Calendar!$A18,DB!$1:$1,0)),FALSE)&gt;=5,"Good","Bad"),VLOOKUP(DATE($K$1,$K$2,EOK$4),Table1[],(MATCH(Calendar!$A18,DB!$1:$1,0)),FALSE)),"")</f>
        <v/>
      </c>
      <c r="EOL18" s="28" t="str">
        <f>IFERROR(IF(EOU3="No",IF(VLOOKUP(DATE($K$1,$K$2,EOL$4),Table1[],(MATCH(Calendar!$A18,DB!$1:$1,0)),FALSE)&gt;=5,"Good","Bad"),VLOOKUP(DATE($K$1,$K$2,EOL$4),Table1[],(MATCH(Calendar!$A18,DB!$1:$1,0)),FALSE)),"")</f>
        <v/>
      </c>
      <c r="EOM18" s="28" t="str">
        <f>IFERROR(IF(EOV3="No",IF(VLOOKUP(DATE($K$1,$K$2,EOM$4),Table1[],(MATCH(Calendar!$A18,DB!$1:$1,0)),FALSE)&gt;=5,"Good","Bad"),VLOOKUP(DATE($K$1,$K$2,EOM$4),Table1[],(MATCH(Calendar!$A18,DB!$1:$1,0)),FALSE)),"")</f>
        <v/>
      </c>
      <c r="EON18" s="28" t="str">
        <f>IFERROR(IF(EOW3="No",IF(VLOOKUP(DATE($K$1,$K$2,EON$4),Table1[],(MATCH(Calendar!$A18,DB!$1:$1,0)),FALSE)&gt;=5,"Good","Bad"),VLOOKUP(DATE($K$1,$K$2,EON$4),Table1[],(MATCH(Calendar!$A18,DB!$1:$1,0)),FALSE)),"")</f>
        <v/>
      </c>
      <c r="EOO18" s="28" t="str">
        <f>IFERROR(IF(EOX3="No",IF(VLOOKUP(DATE($K$1,$K$2,EOO$4),Table1[],(MATCH(Calendar!$A18,DB!$1:$1,0)),FALSE)&gt;=5,"Good","Bad"),VLOOKUP(DATE($K$1,$K$2,EOO$4),Table1[],(MATCH(Calendar!$A18,DB!$1:$1,0)),FALSE)),"")</f>
        <v/>
      </c>
      <c r="EOP18" s="28" t="str">
        <f>IFERROR(IF(EOY3="No",IF(VLOOKUP(DATE($K$1,$K$2,EOP$4),Table1[],(MATCH(Calendar!$A18,DB!$1:$1,0)),FALSE)&gt;=5,"Good","Bad"),VLOOKUP(DATE($K$1,$K$2,EOP$4),Table1[],(MATCH(Calendar!$A18,DB!$1:$1,0)),FALSE)),"")</f>
        <v/>
      </c>
      <c r="EOQ18" s="28" t="str">
        <f>IFERROR(IF(EOZ3="No",IF(VLOOKUP(DATE($K$1,$K$2,EOQ$4),Table1[],(MATCH(Calendar!$A18,DB!$1:$1,0)),FALSE)&gt;=5,"Good","Bad"),VLOOKUP(DATE($K$1,$K$2,EOQ$4),Table1[],(MATCH(Calendar!$A18,DB!$1:$1,0)),FALSE)),"")</f>
        <v/>
      </c>
      <c r="EOR18" s="28" t="str">
        <f>IFERROR(IF(EPA3="No",IF(VLOOKUP(DATE($K$1,$K$2,EOR$4),Table1[],(MATCH(Calendar!$A18,DB!$1:$1,0)),FALSE)&gt;=5,"Good","Bad"),VLOOKUP(DATE($K$1,$K$2,EOR$4),Table1[],(MATCH(Calendar!$A18,DB!$1:$1,0)),FALSE)),"")</f>
        <v/>
      </c>
      <c r="EOS18" s="28" t="str">
        <f>IFERROR(IF(EPB3="No",IF(VLOOKUP(DATE($K$1,$K$2,EOS$4),Table1[],(MATCH(Calendar!$A18,DB!$1:$1,0)),FALSE)&gt;=5,"Good","Bad"),VLOOKUP(DATE($K$1,$K$2,EOS$4),Table1[],(MATCH(Calendar!$A18,DB!$1:$1,0)),FALSE)),"")</f>
        <v/>
      </c>
      <c r="EOT18" s="28" t="str">
        <f>IFERROR(IF(EPC3="No",IF(VLOOKUP(DATE($K$1,$K$2,EOT$4),Table1[],(MATCH(Calendar!$A18,DB!$1:$1,0)),FALSE)&gt;=5,"Good","Bad"),VLOOKUP(DATE($K$1,$K$2,EOT$4),Table1[],(MATCH(Calendar!$A18,DB!$1:$1,0)),FALSE)),"")</f>
        <v/>
      </c>
      <c r="EOU18" s="28" t="str">
        <f>IFERROR(IF(EPD3="No",IF(VLOOKUP(DATE($K$1,$K$2,EOU$4),Table1[],(MATCH(Calendar!$A18,DB!$1:$1,0)),FALSE)&gt;=5,"Good","Bad"),VLOOKUP(DATE($K$1,$K$2,EOU$4),Table1[],(MATCH(Calendar!$A18,DB!$1:$1,0)),FALSE)),"")</f>
        <v/>
      </c>
      <c r="EOV18" s="28" t="str">
        <f>IFERROR(IF(EPE3="No",IF(VLOOKUP(DATE($K$1,$K$2,EOV$4),Table1[],(MATCH(Calendar!$A18,DB!$1:$1,0)),FALSE)&gt;=5,"Good","Bad"),VLOOKUP(DATE($K$1,$K$2,EOV$4),Table1[],(MATCH(Calendar!$A18,DB!$1:$1,0)),FALSE)),"")</f>
        <v/>
      </c>
      <c r="EOW18" s="28" t="str">
        <f>IFERROR(IF(EPF3="No",IF(VLOOKUP(DATE($K$1,$K$2,EOW$4),Table1[],(MATCH(Calendar!$A18,DB!$1:$1,0)),FALSE)&gt;=5,"Good","Bad"),VLOOKUP(DATE($K$1,$K$2,EOW$4),Table1[],(MATCH(Calendar!$A18,DB!$1:$1,0)),FALSE)),"")</f>
        <v/>
      </c>
      <c r="EOX18" s="28" t="str">
        <f>IFERROR(IF(EPG3="No",IF(VLOOKUP(DATE($K$1,$K$2,EOX$4),Table1[],(MATCH(Calendar!$A18,DB!$1:$1,0)),FALSE)&gt;=5,"Good","Bad"),VLOOKUP(DATE($K$1,$K$2,EOX$4),Table1[],(MATCH(Calendar!$A18,DB!$1:$1,0)),FALSE)),"")</f>
        <v/>
      </c>
      <c r="EOY18" s="28" t="str">
        <f>IFERROR(IF(EPH3="No",IF(VLOOKUP(DATE($K$1,$K$2,EOY$4),Table1[],(MATCH(Calendar!$A18,DB!$1:$1,0)),FALSE)&gt;=5,"Good","Bad"),VLOOKUP(DATE($K$1,$K$2,EOY$4),Table1[],(MATCH(Calendar!$A18,DB!$1:$1,0)),FALSE)),"")</f>
        <v/>
      </c>
      <c r="EOZ18" s="28" t="str">
        <f>IFERROR(IF(EPI3="No",IF(VLOOKUP(DATE($K$1,$K$2,EOZ$4),Table1[],(MATCH(Calendar!$A18,DB!$1:$1,0)),FALSE)&gt;=5,"Good","Bad"),VLOOKUP(DATE($K$1,$K$2,EOZ$4),Table1[],(MATCH(Calendar!$A18,DB!$1:$1,0)),FALSE)),"")</f>
        <v/>
      </c>
      <c r="EPA18" s="28" t="str">
        <f>IFERROR(IF(EPJ3="No",IF(VLOOKUP(DATE($K$1,$K$2,EPA$4),Table1[],(MATCH(Calendar!$A18,DB!$1:$1,0)),FALSE)&gt;=5,"Good","Bad"),VLOOKUP(DATE($K$1,$K$2,EPA$4),Table1[],(MATCH(Calendar!$A18,DB!$1:$1,0)),FALSE)),"")</f>
        <v/>
      </c>
      <c r="EPB18" s="28" t="str">
        <f>IFERROR(IF(EPK3="No",IF(VLOOKUP(DATE($K$1,$K$2,EPB$4),Table1[],(MATCH(Calendar!$A18,DB!$1:$1,0)),FALSE)&gt;=5,"Good","Bad"),VLOOKUP(DATE($K$1,$K$2,EPB$4),Table1[],(MATCH(Calendar!$A18,DB!$1:$1,0)),FALSE)),"")</f>
        <v/>
      </c>
      <c r="EPC18" s="28" t="str">
        <f>IFERROR(IF(EPL3="No",IF(VLOOKUP(DATE($K$1,$K$2,EPC$4),Table1[],(MATCH(Calendar!$A18,DB!$1:$1,0)),FALSE)&gt;=5,"Good","Bad"),VLOOKUP(DATE($K$1,$K$2,EPC$4),Table1[],(MATCH(Calendar!$A18,DB!$1:$1,0)),FALSE)),"")</f>
        <v/>
      </c>
      <c r="EPD18" s="28" t="str">
        <f>IFERROR(IF(EPM3="No",IF(VLOOKUP(DATE($K$1,$K$2,EPD$4),Table1[],(MATCH(Calendar!$A18,DB!$1:$1,0)),FALSE)&gt;=5,"Good","Bad"),VLOOKUP(DATE($K$1,$K$2,EPD$4),Table1[],(MATCH(Calendar!$A18,DB!$1:$1,0)),FALSE)),"")</f>
        <v/>
      </c>
      <c r="EPE18" s="28" t="str">
        <f>IFERROR(IF(EPN3="No",IF(VLOOKUP(DATE($K$1,$K$2,EPE$4),Table1[],(MATCH(Calendar!$A18,DB!$1:$1,0)),FALSE)&gt;=5,"Good","Bad"),VLOOKUP(DATE($K$1,$K$2,EPE$4),Table1[],(MATCH(Calendar!$A18,DB!$1:$1,0)),FALSE)),"")</f>
        <v/>
      </c>
      <c r="EPF18" s="28" t="str">
        <f>IFERROR(IF(EPO3="No",IF(VLOOKUP(DATE($K$1,$K$2,EPF$4),Table1[],(MATCH(Calendar!$A18,DB!$1:$1,0)),FALSE)&gt;=5,"Good","Bad"),VLOOKUP(DATE($K$1,$K$2,EPF$4),Table1[],(MATCH(Calendar!$A18,DB!$1:$1,0)),FALSE)),"")</f>
        <v/>
      </c>
      <c r="EPG18" s="28" t="str">
        <f>IFERROR(IF(EPP3="No",IF(VLOOKUP(DATE($K$1,$K$2,EPG$4),Table1[],(MATCH(Calendar!$A18,DB!$1:$1,0)),FALSE)&gt;=5,"Good","Bad"),VLOOKUP(DATE($K$1,$K$2,EPG$4),Table1[],(MATCH(Calendar!$A18,DB!$1:$1,0)),FALSE)),"")</f>
        <v/>
      </c>
      <c r="EPH18" s="28" t="str">
        <f>IFERROR(IF(EPQ3="No",IF(VLOOKUP(DATE($K$1,$K$2,EPH$4),Table1[],(MATCH(Calendar!$A18,DB!$1:$1,0)),FALSE)&gt;=5,"Good","Bad"),VLOOKUP(DATE($K$1,$K$2,EPH$4),Table1[],(MATCH(Calendar!$A18,DB!$1:$1,0)),FALSE)),"")</f>
        <v/>
      </c>
      <c r="EPI18" s="28" t="str">
        <f>IFERROR(IF(EPR3="No",IF(VLOOKUP(DATE($K$1,$K$2,EPI$4),Table1[],(MATCH(Calendar!$A18,DB!$1:$1,0)),FALSE)&gt;=5,"Good","Bad"),VLOOKUP(DATE($K$1,$K$2,EPI$4),Table1[],(MATCH(Calendar!$A18,DB!$1:$1,0)),FALSE)),"")</f>
        <v/>
      </c>
      <c r="EPJ18" s="28" t="str">
        <f>IFERROR(IF(EPS3="No",IF(VLOOKUP(DATE($K$1,$K$2,EPJ$4),Table1[],(MATCH(Calendar!$A18,DB!$1:$1,0)),FALSE)&gt;=5,"Good","Bad"),VLOOKUP(DATE($K$1,$K$2,EPJ$4),Table1[],(MATCH(Calendar!$A18,DB!$1:$1,0)),FALSE)),"")</f>
        <v/>
      </c>
      <c r="EPK18" s="28" t="str">
        <f>IFERROR(IF(EPT3="No",IF(VLOOKUP(DATE($K$1,$K$2,EPK$4),Table1[],(MATCH(Calendar!$A18,DB!$1:$1,0)),FALSE)&gt;=5,"Good","Bad"),VLOOKUP(DATE($K$1,$K$2,EPK$4),Table1[],(MATCH(Calendar!$A18,DB!$1:$1,0)),FALSE)),"")</f>
        <v/>
      </c>
      <c r="EPL18" s="28" t="str">
        <f>IFERROR(IF(EPU3="No",IF(VLOOKUP(DATE($K$1,$K$2,EPL$4),Table1[],(MATCH(Calendar!$A18,DB!$1:$1,0)),FALSE)&gt;=5,"Good","Bad"),VLOOKUP(DATE($K$1,$K$2,EPL$4),Table1[],(MATCH(Calendar!$A18,DB!$1:$1,0)),FALSE)),"")</f>
        <v/>
      </c>
      <c r="EPM18" s="28" t="str">
        <f>IFERROR(IF(EPV3="No",IF(VLOOKUP(DATE($K$1,$K$2,EPM$4),Table1[],(MATCH(Calendar!$A18,DB!$1:$1,0)),FALSE)&gt;=5,"Good","Bad"),VLOOKUP(DATE($K$1,$K$2,EPM$4),Table1[],(MATCH(Calendar!$A18,DB!$1:$1,0)),FALSE)),"")</f>
        <v/>
      </c>
      <c r="EPN18" s="28" t="str">
        <f>IFERROR(IF(EPW3="No",IF(VLOOKUP(DATE($K$1,$K$2,EPN$4),Table1[],(MATCH(Calendar!$A18,DB!$1:$1,0)),FALSE)&gt;=5,"Good","Bad"),VLOOKUP(DATE($K$1,$K$2,EPN$4),Table1[],(MATCH(Calendar!$A18,DB!$1:$1,0)),FALSE)),"")</f>
        <v/>
      </c>
      <c r="EPO18" s="28" t="str">
        <f>IFERROR(IF(EPX3="No",IF(VLOOKUP(DATE($K$1,$K$2,EPO$4),Table1[],(MATCH(Calendar!$A18,DB!$1:$1,0)),FALSE)&gt;=5,"Good","Bad"),VLOOKUP(DATE($K$1,$K$2,EPO$4),Table1[],(MATCH(Calendar!$A18,DB!$1:$1,0)),FALSE)),"")</f>
        <v/>
      </c>
      <c r="EPP18" s="28" t="str">
        <f>IFERROR(IF(EPY3="No",IF(VLOOKUP(DATE($K$1,$K$2,EPP$4),Table1[],(MATCH(Calendar!$A18,DB!$1:$1,0)),FALSE)&gt;=5,"Good","Bad"),VLOOKUP(DATE($K$1,$K$2,EPP$4),Table1[],(MATCH(Calendar!$A18,DB!$1:$1,0)),FALSE)),"")</f>
        <v/>
      </c>
      <c r="EPQ18" s="28" t="str">
        <f>IFERROR(IF(EPZ3="No",IF(VLOOKUP(DATE($K$1,$K$2,EPQ$4),Table1[],(MATCH(Calendar!$A18,DB!$1:$1,0)),FALSE)&gt;=5,"Good","Bad"),VLOOKUP(DATE($K$1,$K$2,EPQ$4),Table1[],(MATCH(Calendar!$A18,DB!$1:$1,0)),FALSE)),"")</f>
        <v/>
      </c>
      <c r="EPR18" s="28" t="str">
        <f>IFERROR(IF(EQA3="No",IF(VLOOKUP(DATE($K$1,$K$2,EPR$4),Table1[],(MATCH(Calendar!$A18,DB!$1:$1,0)),FALSE)&gt;=5,"Good","Bad"),VLOOKUP(DATE($K$1,$K$2,EPR$4),Table1[],(MATCH(Calendar!$A18,DB!$1:$1,0)),FALSE)),"")</f>
        <v/>
      </c>
      <c r="EPS18" s="28" t="str">
        <f>IFERROR(IF(EQB3="No",IF(VLOOKUP(DATE($K$1,$K$2,EPS$4),Table1[],(MATCH(Calendar!$A18,DB!$1:$1,0)),FALSE)&gt;=5,"Good","Bad"),VLOOKUP(DATE($K$1,$K$2,EPS$4),Table1[],(MATCH(Calendar!$A18,DB!$1:$1,0)),FALSE)),"")</f>
        <v/>
      </c>
      <c r="EPT18" s="28" t="str">
        <f>IFERROR(IF(EQC3="No",IF(VLOOKUP(DATE($K$1,$K$2,EPT$4),Table1[],(MATCH(Calendar!$A18,DB!$1:$1,0)),FALSE)&gt;=5,"Good","Bad"),VLOOKUP(DATE($K$1,$K$2,EPT$4),Table1[],(MATCH(Calendar!$A18,DB!$1:$1,0)),FALSE)),"")</f>
        <v/>
      </c>
      <c r="EPU18" s="28" t="str">
        <f>IFERROR(IF(EQD3="No",IF(VLOOKUP(DATE($K$1,$K$2,EPU$4),Table1[],(MATCH(Calendar!$A18,DB!$1:$1,0)),FALSE)&gt;=5,"Good","Bad"),VLOOKUP(DATE($K$1,$K$2,EPU$4),Table1[],(MATCH(Calendar!$A18,DB!$1:$1,0)),FALSE)),"")</f>
        <v/>
      </c>
      <c r="EPV18" s="28" t="str">
        <f>IFERROR(IF(EQE3="No",IF(VLOOKUP(DATE($K$1,$K$2,EPV$4),Table1[],(MATCH(Calendar!$A18,DB!$1:$1,0)),FALSE)&gt;=5,"Good","Bad"),VLOOKUP(DATE($K$1,$K$2,EPV$4),Table1[],(MATCH(Calendar!$A18,DB!$1:$1,0)),FALSE)),"")</f>
        <v/>
      </c>
      <c r="EPW18" s="28" t="str">
        <f>IFERROR(IF(EQF3="No",IF(VLOOKUP(DATE($K$1,$K$2,EPW$4),Table1[],(MATCH(Calendar!$A18,DB!$1:$1,0)),FALSE)&gt;=5,"Good","Bad"),VLOOKUP(DATE($K$1,$K$2,EPW$4),Table1[],(MATCH(Calendar!$A18,DB!$1:$1,0)),FALSE)),"")</f>
        <v/>
      </c>
      <c r="EPX18" s="28" t="str">
        <f>IFERROR(IF(EQG3="No",IF(VLOOKUP(DATE($K$1,$K$2,EPX$4),Table1[],(MATCH(Calendar!$A18,DB!$1:$1,0)),FALSE)&gt;=5,"Good","Bad"),VLOOKUP(DATE($K$1,$K$2,EPX$4),Table1[],(MATCH(Calendar!$A18,DB!$1:$1,0)),FALSE)),"")</f>
        <v/>
      </c>
      <c r="EPY18" s="28" t="str">
        <f>IFERROR(IF(EQH3="No",IF(VLOOKUP(DATE($K$1,$K$2,EPY$4),Table1[],(MATCH(Calendar!$A18,DB!$1:$1,0)),FALSE)&gt;=5,"Good","Bad"),VLOOKUP(DATE($K$1,$K$2,EPY$4),Table1[],(MATCH(Calendar!$A18,DB!$1:$1,0)),FALSE)),"")</f>
        <v/>
      </c>
      <c r="EPZ18" s="28" t="str">
        <f>IFERROR(IF(EQI3="No",IF(VLOOKUP(DATE($K$1,$K$2,EPZ$4),Table1[],(MATCH(Calendar!$A18,DB!$1:$1,0)),FALSE)&gt;=5,"Good","Bad"),VLOOKUP(DATE($K$1,$K$2,EPZ$4),Table1[],(MATCH(Calendar!$A18,DB!$1:$1,0)),FALSE)),"")</f>
        <v/>
      </c>
      <c r="EQA18" s="28" t="str">
        <f>IFERROR(IF(EQJ3="No",IF(VLOOKUP(DATE($K$1,$K$2,EQA$4),Table1[],(MATCH(Calendar!$A18,DB!$1:$1,0)),FALSE)&gt;=5,"Good","Bad"),VLOOKUP(DATE($K$1,$K$2,EQA$4),Table1[],(MATCH(Calendar!$A18,DB!$1:$1,0)),FALSE)),"")</f>
        <v/>
      </c>
      <c r="EQB18" s="28" t="str">
        <f>IFERROR(IF(EQK3="No",IF(VLOOKUP(DATE($K$1,$K$2,EQB$4),Table1[],(MATCH(Calendar!$A18,DB!$1:$1,0)),FALSE)&gt;=5,"Good","Bad"),VLOOKUP(DATE($K$1,$K$2,EQB$4),Table1[],(MATCH(Calendar!$A18,DB!$1:$1,0)),FALSE)),"")</f>
        <v/>
      </c>
      <c r="EQC18" s="28" t="str">
        <f>IFERROR(IF(EQL3="No",IF(VLOOKUP(DATE($K$1,$K$2,EQC$4),Table1[],(MATCH(Calendar!$A18,DB!$1:$1,0)),FALSE)&gt;=5,"Good","Bad"),VLOOKUP(DATE($K$1,$K$2,EQC$4),Table1[],(MATCH(Calendar!$A18,DB!$1:$1,0)),FALSE)),"")</f>
        <v/>
      </c>
      <c r="EQD18" s="28" t="str">
        <f>IFERROR(IF(EQM3="No",IF(VLOOKUP(DATE($K$1,$K$2,EQD$4),Table1[],(MATCH(Calendar!$A18,DB!$1:$1,0)),FALSE)&gt;=5,"Good","Bad"),VLOOKUP(DATE($K$1,$K$2,EQD$4),Table1[],(MATCH(Calendar!$A18,DB!$1:$1,0)),FALSE)),"")</f>
        <v/>
      </c>
      <c r="EQE18" s="28" t="str">
        <f>IFERROR(IF(EQN3="No",IF(VLOOKUP(DATE($K$1,$K$2,EQE$4),Table1[],(MATCH(Calendar!$A18,DB!$1:$1,0)),FALSE)&gt;=5,"Good","Bad"),VLOOKUP(DATE($K$1,$K$2,EQE$4),Table1[],(MATCH(Calendar!$A18,DB!$1:$1,0)),FALSE)),"")</f>
        <v/>
      </c>
      <c r="EQF18" s="28" t="str">
        <f>IFERROR(IF(EQO3="No",IF(VLOOKUP(DATE($K$1,$K$2,EQF$4),Table1[],(MATCH(Calendar!$A18,DB!$1:$1,0)),FALSE)&gt;=5,"Good","Bad"),VLOOKUP(DATE($K$1,$K$2,EQF$4),Table1[],(MATCH(Calendar!$A18,DB!$1:$1,0)),FALSE)),"")</f>
        <v/>
      </c>
      <c r="EQG18" s="28" t="str">
        <f>IFERROR(IF(EQP3="No",IF(VLOOKUP(DATE($K$1,$K$2,EQG$4),Table1[],(MATCH(Calendar!$A18,DB!$1:$1,0)),FALSE)&gt;=5,"Good","Bad"),VLOOKUP(DATE($K$1,$K$2,EQG$4),Table1[],(MATCH(Calendar!$A18,DB!$1:$1,0)),FALSE)),"")</f>
        <v/>
      </c>
      <c r="EQH18" s="28" t="str">
        <f>IFERROR(IF(EQQ3="No",IF(VLOOKUP(DATE($K$1,$K$2,EQH$4),Table1[],(MATCH(Calendar!$A18,DB!$1:$1,0)),FALSE)&gt;=5,"Good","Bad"),VLOOKUP(DATE($K$1,$K$2,EQH$4),Table1[],(MATCH(Calendar!$A18,DB!$1:$1,0)),FALSE)),"")</f>
        <v/>
      </c>
      <c r="EQI18" s="28" t="str">
        <f>IFERROR(IF(EQR3="No",IF(VLOOKUP(DATE($K$1,$K$2,EQI$4),Table1[],(MATCH(Calendar!$A18,DB!$1:$1,0)),FALSE)&gt;=5,"Good","Bad"),VLOOKUP(DATE($K$1,$K$2,EQI$4),Table1[],(MATCH(Calendar!$A18,DB!$1:$1,0)),FALSE)),"")</f>
        <v/>
      </c>
      <c r="EQJ18" s="28" t="str">
        <f>IFERROR(IF(EQS3="No",IF(VLOOKUP(DATE($K$1,$K$2,EQJ$4),Table1[],(MATCH(Calendar!$A18,DB!$1:$1,0)),FALSE)&gt;=5,"Good","Bad"),VLOOKUP(DATE($K$1,$K$2,EQJ$4),Table1[],(MATCH(Calendar!$A18,DB!$1:$1,0)),FALSE)),"")</f>
        <v/>
      </c>
      <c r="EQK18" s="28" t="str">
        <f>IFERROR(IF(EQT3="No",IF(VLOOKUP(DATE($K$1,$K$2,EQK$4),Table1[],(MATCH(Calendar!$A18,DB!$1:$1,0)),FALSE)&gt;=5,"Good","Bad"),VLOOKUP(DATE($K$1,$K$2,EQK$4),Table1[],(MATCH(Calendar!$A18,DB!$1:$1,0)),FALSE)),"")</f>
        <v/>
      </c>
      <c r="EQL18" s="28" t="str">
        <f>IFERROR(IF(EQU3="No",IF(VLOOKUP(DATE($K$1,$K$2,EQL$4),Table1[],(MATCH(Calendar!$A18,DB!$1:$1,0)),FALSE)&gt;=5,"Good","Bad"),VLOOKUP(DATE($K$1,$K$2,EQL$4),Table1[],(MATCH(Calendar!$A18,DB!$1:$1,0)),FALSE)),"")</f>
        <v/>
      </c>
      <c r="EQM18" s="28" t="str">
        <f>IFERROR(IF(EQV3="No",IF(VLOOKUP(DATE($K$1,$K$2,EQM$4),Table1[],(MATCH(Calendar!$A18,DB!$1:$1,0)),FALSE)&gt;=5,"Good","Bad"),VLOOKUP(DATE($K$1,$K$2,EQM$4),Table1[],(MATCH(Calendar!$A18,DB!$1:$1,0)),FALSE)),"")</f>
        <v/>
      </c>
      <c r="EQN18" s="28" t="str">
        <f>IFERROR(IF(EQW3="No",IF(VLOOKUP(DATE($K$1,$K$2,EQN$4),Table1[],(MATCH(Calendar!$A18,DB!$1:$1,0)),FALSE)&gt;=5,"Good","Bad"),VLOOKUP(DATE($K$1,$K$2,EQN$4),Table1[],(MATCH(Calendar!$A18,DB!$1:$1,0)),FALSE)),"")</f>
        <v/>
      </c>
      <c r="EQO18" s="28" t="str">
        <f>IFERROR(IF(EQX3="No",IF(VLOOKUP(DATE($K$1,$K$2,EQO$4),Table1[],(MATCH(Calendar!$A18,DB!$1:$1,0)),FALSE)&gt;=5,"Good","Bad"),VLOOKUP(DATE($K$1,$K$2,EQO$4),Table1[],(MATCH(Calendar!$A18,DB!$1:$1,0)),FALSE)),"")</f>
        <v/>
      </c>
      <c r="EQP18" s="28" t="str">
        <f>IFERROR(IF(EQY3="No",IF(VLOOKUP(DATE($K$1,$K$2,EQP$4),Table1[],(MATCH(Calendar!$A18,DB!$1:$1,0)),FALSE)&gt;=5,"Good","Bad"),VLOOKUP(DATE($K$1,$K$2,EQP$4),Table1[],(MATCH(Calendar!$A18,DB!$1:$1,0)),FALSE)),"")</f>
        <v/>
      </c>
      <c r="EQQ18" s="28" t="str">
        <f>IFERROR(IF(EQZ3="No",IF(VLOOKUP(DATE($K$1,$K$2,EQQ$4),Table1[],(MATCH(Calendar!$A18,DB!$1:$1,0)),FALSE)&gt;=5,"Good","Bad"),VLOOKUP(DATE($K$1,$K$2,EQQ$4),Table1[],(MATCH(Calendar!$A18,DB!$1:$1,0)),FALSE)),"")</f>
        <v/>
      </c>
      <c r="EQR18" s="28" t="str">
        <f>IFERROR(IF(ERA3="No",IF(VLOOKUP(DATE($K$1,$K$2,EQR$4),Table1[],(MATCH(Calendar!$A18,DB!$1:$1,0)),FALSE)&gt;=5,"Good","Bad"),VLOOKUP(DATE($K$1,$K$2,EQR$4),Table1[],(MATCH(Calendar!$A18,DB!$1:$1,0)),FALSE)),"")</f>
        <v/>
      </c>
      <c r="EQS18" s="28" t="str">
        <f>IFERROR(IF(ERB3="No",IF(VLOOKUP(DATE($K$1,$K$2,EQS$4),Table1[],(MATCH(Calendar!$A18,DB!$1:$1,0)),FALSE)&gt;=5,"Good","Bad"),VLOOKUP(DATE($K$1,$K$2,EQS$4),Table1[],(MATCH(Calendar!$A18,DB!$1:$1,0)),FALSE)),"")</f>
        <v/>
      </c>
      <c r="EQT18" s="28" t="str">
        <f>IFERROR(IF(ERC3="No",IF(VLOOKUP(DATE($K$1,$K$2,EQT$4),Table1[],(MATCH(Calendar!$A18,DB!$1:$1,0)),FALSE)&gt;=5,"Good","Bad"),VLOOKUP(DATE($K$1,$K$2,EQT$4),Table1[],(MATCH(Calendar!$A18,DB!$1:$1,0)),FALSE)),"")</f>
        <v/>
      </c>
      <c r="EQU18" s="28" t="str">
        <f>IFERROR(IF(ERD3="No",IF(VLOOKUP(DATE($K$1,$K$2,EQU$4),Table1[],(MATCH(Calendar!$A18,DB!$1:$1,0)),FALSE)&gt;=5,"Good","Bad"),VLOOKUP(DATE($K$1,$K$2,EQU$4),Table1[],(MATCH(Calendar!$A18,DB!$1:$1,0)),FALSE)),"")</f>
        <v/>
      </c>
      <c r="EQV18" s="28" t="str">
        <f>IFERROR(IF(ERE3="No",IF(VLOOKUP(DATE($K$1,$K$2,EQV$4),Table1[],(MATCH(Calendar!$A18,DB!$1:$1,0)),FALSE)&gt;=5,"Good","Bad"),VLOOKUP(DATE($K$1,$K$2,EQV$4),Table1[],(MATCH(Calendar!$A18,DB!$1:$1,0)),FALSE)),"")</f>
        <v/>
      </c>
      <c r="EQW18" s="28" t="str">
        <f>IFERROR(IF(ERF3="No",IF(VLOOKUP(DATE($K$1,$K$2,EQW$4),Table1[],(MATCH(Calendar!$A18,DB!$1:$1,0)),FALSE)&gt;=5,"Good","Bad"),VLOOKUP(DATE($K$1,$K$2,EQW$4),Table1[],(MATCH(Calendar!$A18,DB!$1:$1,0)),FALSE)),"")</f>
        <v/>
      </c>
      <c r="EQX18" s="28" t="str">
        <f>IFERROR(IF(ERG3="No",IF(VLOOKUP(DATE($K$1,$K$2,EQX$4),Table1[],(MATCH(Calendar!$A18,DB!$1:$1,0)),FALSE)&gt;=5,"Good","Bad"),VLOOKUP(DATE($K$1,$K$2,EQX$4),Table1[],(MATCH(Calendar!$A18,DB!$1:$1,0)),FALSE)),"")</f>
        <v/>
      </c>
      <c r="EQY18" s="28" t="str">
        <f>IFERROR(IF(ERH3="No",IF(VLOOKUP(DATE($K$1,$K$2,EQY$4),Table1[],(MATCH(Calendar!$A18,DB!$1:$1,0)),FALSE)&gt;=5,"Good","Bad"),VLOOKUP(DATE($K$1,$K$2,EQY$4),Table1[],(MATCH(Calendar!$A18,DB!$1:$1,0)),FALSE)),"")</f>
        <v/>
      </c>
      <c r="EQZ18" s="28" t="str">
        <f>IFERROR(IF(ERI3="No",IF(VLOOKUP(DATE($K$1,$K$2,EQZ$4),Table1[],(MATCH(Calendar!$A18,DB!$1:$1,0)),FALSE)&gt;=5,"Good","Bad"),VLOOKUP(DATE($K$1,$K$2,EQZ$4),Table1[],(MATCH(Calendar!$A18,DB!$1:$1,0)),FALSE)),"")</f>
        <v/>
      </c>
      <c r="ERA18" s="28" t="str">
        <f>IFERROR(IF(ERJ3="No",IF(VLOOKUP(DATE($K$1,$K$2,ERA$4),Table1[],(MATCH(Calendar!$A18,DB!$1:$1,0)),FALSE)&gt;=5,"Good","Bad"),VLOOKUP(DATE($K$1,$K$2,ERA$4),Table1[],(MATCH(Calendar!$A18,DB!$1:$1,0)),FALSE)),"")</f>
        <v/>
      </c>
      <c r="ERB18" s="28" t="str">
        <f>IFERROR(IF(ERK3="No",IF(VLOOKUP(DATE($K$1,$K$2,ERB$4),Table1[],(MATCH(Calendar!$A18,DB!$1:$1,0)),FALSE)&gt;=5,"Good","Bad"),VLOOKUP(DATE($K$1,$K$2,ERB$4),Table1[],(MATCH(Calendar!$A18,DB!$1:$1,0)),FALSE)),"")</f>
        <v/>
      </c>
      <c r="ERC18" s="28" t="str">
        <f>IFERROR(IF(ERL3="No",IF(VLOOKUP(DATE($K$1,$K$2,ERC$4),Table1[],(MATCH(Calendar!$A18,DB!$1:$1,0)),FALSE)&gt;=5,"Good","Bad"),VLOOKUP(DATE($K$1,$K$2,ERC$4),Table1[],(MATCH(Calendar!$A18,DB!$1:$1,0)),FALSE)),"")</f>
        <v/>
      </c>
      <c r="ERD18" s="28" t="str">
        <f>IFERROR(IF(ERM3="No",IF(VLOOKUP(DATE($K$1,$K$2,ERD$4),Table1[],(MATCH(Calendar!$A18,DB!$1:$1,0)),FALSE)&gt;=5,"Good","Bad"),VLOOKUP(DATE($K$1,$K$2,ERD$4),Table1[],(MATCH(Calendar!$A18,DB!$1:$1,0)),FALSE)),"")</f>
        <v/>
      </c>
      <c r="ERE18" s="28" t="str">
        <f>IFERROR(IF(ERN3="No",IF(VLOOKUP(DATE($K$1,$K$2,ERE$4),Table1[],(MATCH(Calendar!$A18,DB!$1:$1,0)),FALSE)&gt;=5,"Good","Bad"),VLOOKUP(DATE($K$1,$K$2,ERE$4),Table1[],(MATCH(Calendar!$A18,DB!$1:$1,0)),FALSE)),"")</f>
        <v/>
      </c>
      <c r="ERF18" s="28" t="str">
        <f>IFERROR(IF(ERO3="No",IF(VLOOKUP(DATE($K$1,$K$2,ERF$4),Table1[],(MATCH(Calendar!$A18,DB!$1:$1,0)),FALSE)&gt;=5,"Good","Bad"),VLOOKUP(DATE($K$1,$K$2,ERF$4),Table1[],(MATCH(Calendar!$A18,DB!$1:$1,0)),FALSE)),"")</f>
        <v/>
      </c>
      <c r="ERG18" s="28" t="str">
        <f>IFERROR(IF(ERP3="No",IF(VLOOKUP(DATE($K$1,$K$2,ERG$4),Table1[],(MATCH(Calendar!$A18,DB!$1:$1,0)),FALSE)&gt;=5,"Good","Bad"),VLOOKUP(DATE($K$1,$K$2,ERG$4),Table1[],(MATCH(Calendar!$A18,DB!$1:$1,0)),FALSE)),"")</f>
        <v/>
      </c>
      <c r="ERH18" s="28" t="str">
        <f>IFERROR(IF(ERQ3="No",IF(VLOOKUP(DATE($K$1,$K$2,ERH$4),Table1[],(MATCH(Calendar!$A18,DB!$1:$1,0)),FALSE)&gt;=5,"Good","Bad"),VLOOKUP(DATE($K$1,$K$2,ERH$4),Table1[],(MATCH(Calendar!$A18,DB!$1:$1,0)),FALSE)),"")</f>
        <v/>
      </c>
      <c r="ERI18" s="28" t="str">
        <f>IFERROR(IF(ERR3="No",IF(VLOOKUP(DATE($K$1,$K$2,ERI$4),Table1[],(MATCH(Calendar!$A18,DB!$1:$1,0)),FALSE)&gt;=5,"Good","Bad"),VLOOKUP(DATE($K$1,$K$2,ERI$4),Table1[],(MATCH(Calendar!$A18,DB!$1:$1,0)),FALSE)),"")</f>
        <v/>
      </c>
      <c r="ERJ18" s="28" t="str">
        <f>IFERROR(IF(ERS3="No",IF(VLOOKUP(DATE($K$1,$K$2,ERJ$4),Table1[],(MATCH(Calendar!$A18,DB!$1:$1,0)),FALSE)&gt;=5,"Good","Bad"),VLOOKUP(DATE($K$1,$K$2,ERJ$4),Table1[],(MATCH(Calendar!$A18,DB!$1:$1,0)),FALSE)),"")</f>
        <v/>
      </c>
      <c r="ERK18" s="28" t="str">
        <f>IFERROR(IF(ERT3="No",IF(VLOOKUP(DATE($K$1,$K$2,ERK$4),Table1[],(MATCH(Calendar!$A18,DB!$1:$1,0)),FALSE)&gt;=5,"Good","Bad"),VLOOKUP(DATE($K$1,$K$2,ERK$4),Table1[],(MATCH(Calendar!$A18,DB!$1:$1,0)),FALSE)),"")</f>
        <v/>
      </c>
      <c r="ERL18" s="28" t="str">
        <f>IFERROR(IF(ERU3="No",IF(VLOOKUP(DATE($K$1,$K$2,ERL$4),Table1[],(MATCH(Calendar!$A18,DB!$1:$1,0)),FALSE)&gt;=5,"Good","Bad"),VLOOKUP(DATE($K$1,$K$2,ERL$4),Table1[],(MATCH(Calendar!$A18,DB!$1:$1,0)),FALSE)),"")</f>
        <v/>
      </c>
      <c r="ERM18" s="28" t="str">
        <f>IFERROR(IF(ERV3="No",IF(VLOOKUP(DATE($K$1,$K$2,ERM$4),Table1[],(MATCH(Calendar!$A18,DB!$1:$1,0)),FALSE)&gt;=5,"Good","Bad"),VLOOKUP(DATE($K$1,$K$2,ERM$4),Table1[],(MATCH(Calendar!$A18,DB!$1:$1,0)),FALSE)),"")</f>
        <v/>
      </c>
      <c r="ERN18" s="28" t="str">
        <f>IFERROR(IF(ERW3="No",IF(VLOOKUP(DATE($K$1,$K$2,ERN$4),Table1[],(MATCH(Calendar!$A18,DB!$1:$1,0)),FALSE)&gt;=5,"Good","Bad"),VLOOKUP(DATE($K$1,$K$2,ERN$4),Table1[],(MATCH(Calendar!$A18,DB!$1:$1,0)),FALSE)),"")</f>
        <v/>
      </c>
      <c r="ERO18" s="28" t="str">
        <f>IFERROR(IF(ERX3="No",IF(VLOOKUP(DATE($K$1,$K$2,ERO$4),Table1[],(MATCH(Calendar!$A18,DB!$1:$1,0)),FALSE)&gt;=5,"Good","Bad"),VLOOKUP(DATE($K$1,$K$2,ERO$4),Table1[],(MATCH(Calendar!$A18,DB!$1:$1,0)),FALSE)),"")</f>
        <v/>
      </c>
      <c r="ERP18" s="28" t="str">
        <f>IFERROR(IF(ERY3="No",IF(VLOOKUP(DATE($K$1,$K$2,ERP$4),Table1[],(MATCH(Calendar!$A18,DB!$1:$1,0)),FALSE)&gt;=5,"Good","Bad"),VLOOKUP(DATE($K$1,$K$2,ERP$4),Table1[],(MATCH(Calendar!$A18,DB!$1:$1,0)),FALSE)),"")</f>
        <v/>
      </c>
      <c r="ERQ18" s="28" t="str">
        <f>IFERROR(IF(ERZ3="No",IF(VLOOKUP(DATE($K$1,$K$2,ERQ$4),Table1[],(MATCH(Calendar!$A18,DB!$1:$1,0)),FALSE)&gt;=5,"Good","Bad"),VLOOKUP(DATE($K$1,$K$2,ERQ$4),Table1[],(MATCH(Calendar!$A18,DB!$1:$1,0)),FALSE)),"")</f>
        <v/>
      </c>
      <c r="ERR18" s="28" t="str">
        <f>IFERROR(IF(ESA3="No",IF(VLOOKUP(DATE($K$1,$K$2,ERR$4),Table1[],(MATCH(Calendar!$A18,DB!$1:$1,0)),FALSE)&gt;=5,"Good","Bad"),VLOOKUP(DATE($K$1,$K$2,ERR$4),Table1[],(MATCH(Calendar!$A18,DB!$1:$1,0)),FALSE)),"")</f>
        <v/>
      </c>
      <c r="ERS18" s="28" t="str">
        <f>IFERROR(IF(ESB3="No",IF(VLOOKUP(DATE($K$1,$K$2,ERS$4),Table1[],(MATCH(Calendar!$A18,DB!$1:$1,0)),FALSE)&gt;=5,"Good","Bad"),VLOOKUP(DATE($K$1,$K$2,ERS$4),Table1[],(MATCH(Calendar!$A18,DB!$1:$1,0)),FALSE)),"")</f>
        <v/>
      </c>
      <c r="ERT18" s="28" t="str">
        <f>IFERROR(IF(ESC3="No",IF(VLOOKUP(DATE($K$1,$K$2,ERT$4),Table1[],(MATCH(Calendar!$A18,DB!$1:$1,0)),FALSE)&gt;=5,"Good","Bad"),VLOOKUP(DATE($K$1,$K$2,ERT$4),Table1[],(MATCH(Calendar!$A18,DB!$1:$1,0)),FALSE)),"")</f>
        <v/>
      </c>
      <c r="ERU18" s="28" t="str">
        <f>IFERROR(IF(ESD3="No",IF(VLOOKUP(DATE($K$1,$K$2,ERU$4),Table1[],(MATCH(Calendar!$A18,DB!$1:$1,0)),FALSE)&gt;=5,"Good","Bad"),VLOOKUP(DATE($K$1,$K$2,ERU$4),Table1[],(MATCH(Calendar!$A18,DB!$1:$1,0)),FALSE)),"")</f>
        <v/>
      </c>
      <c r="ERV18" s="28" t="str">
        <f>IFERROR(IF(ESE3="No",IF(VLOOKUP(DATE($K$1,$K$2,ERV$4),Table1[],(MATCH(Calendar!$A18,DB!$1:$1,0)),FALSE)&gt;=5,"Good","Bad"),VLOOKUP(DATE($K$1,$K$2,ERV$4),Table1[],(MATCH(Calendar!$A18,DB!$1:$1,0)),FALSE)),"")</f>
        <v/>
      </c>
      <c r="ERW18" s="28" t="str">
        <f>IFERROR(IF(ESF3="No",IF(VLOOKUP(DATE($K$1,$K$2,ERW$4),Table1[],(MATCH(Calendar!$A18,DB!$1:$1,0)),FALSE)&gt;=5,"Good","Bad"),VLOOKUP(DATE($K$1,$K$2,ERW$4),Table1[],(MATCH(Calendar!$A18,DB!$1:$1,0)),FALSE)),"")</f>
        <v/>
      </c>
      <c r="ERX18" s="28" t="str">
        <f>IFERROR(IF(ESG3="No",IF(VLOOKUP(DATE($K$1,$K$2,ERX$4),Table1[],(MATCH(Calendar!$A18,DB!$1:$1,0)),FALSE)&gt;=5,"Good","Bad"),VLOOKUP(DATE($K$1,$K$2,ERX$4),Table1[],(MATCH(Calendar!$A18,DB!$1:$1,0)),FALSE)),"")</f>
        <v/>
      </c>
      <c r="ERY18" s="28" t="str">
        <f>IFERROR(IF(ESH3="No",IF(VLOOKUP(DATE($K$1,$K$2,ERY$4),Table1[],(MATCH(Calendar!$A18,DB!$1:$1,0)),FALSE)&gt;=5,"Good","Bad"),VLOOKUP(DATE($K$1,$K$2,ERY$4),Table1[],(MATCH(Calendar!$A18,DB!$1:$1,0)),FALSE)),"")</f>
        <v/>
      </c>
      <c r="ERZ18" s="28" t="str">
        <f>IFERROR(IF(ESI3="No",IF(VLOOKUP(DATE($K$1,$K$2,ERZ$4),Table1[],(MATCH(Calendar!$A18,DB!$1:$1,0)),FALSE)&gt;=5,"Good","Bad"),VLOOKUP(DATE($K$1,$K$2,ERZ$4),Table1[],(MATCH(Calendar!$A18,DB!$1:$1,0)),FALSE)),"")</f>
        <v/>
      </c>
      <c r="ESA18" s="28" t="str">
        <f>IFERROR(IF(ESJ3="No",IF(VLOOKUP(DATE($K$1,$K$2,ESA$4),Table1[],(MATCH(Calendar!$A18,DB!$1:$1,0)),FALSE)&gt;=5,"Good","Bad"),VLOOKUP(DATE($K$1,$K$2,ESA$4),Table1[],(MATCH(Calendar!$A18,DB!$1:$1,0)),FALSE)),"")</f>
        <v/>
      </c>
      <c r="ESB18" s="28" t="str">
        <f>IFERROR(IF(ESK3="No",IF(VLOOKUP(DATE($K$1,$K$2,ESB$4),Table1[],(MATCH(Calendar!$A18,DB!$1:$1,0)),FALSE)&gt;=5,"Good","Bad"),VLOOKUP(DATE($K$1,$K$2,ESB$4),Table1[],(MATCH(Calendar!$A18,DB!$1:$1,0)),FALSE)),"")</f>
        <v/>
      </c>
      <c r="ESC18" s="28" t="str">
        <f>IFERROR(IF(ESL3="No",IF(VLOOKUP(DATE($K$1,$K$2,ESC$4),Table1[],(MATCH(Calendar!$A18,DB!$1:$1,0)),FALSE)&gt;=5,"Good","Bad"),VLOOKUP(DATE($K$1,$K$2,ESC$4),Table1[],(MATCH(Calendar!$A18,DB!$1:$1,0)),FALSE)),"")</f>
        <v/>
      </c>
      <c r="ESD18" s="28" t="str">
        <f>IFERROR(IF(ESM3="No",IF(VLOOKUP(DATE($K$1,$K$2,ESD$4),Table1[],(MATCH(Calendar!$A18,DB!$1:$1,0)),FALSE)&gt;=5,"Good","Bad"),VLOOKUP(DATE($K$1,$K$2,ESD$4),Table1[],(MATCH(Calendar!$A18,DB!$1:$1,0)),FALSE)),"")</f>
        <v/>
      </c>
      <c r="ESE18" s="28" t="str">
        <f>IFERROR(IF(ESN3="No",IF(VLOOKUP(DATE($K$1,$K$2,ESE$4),Table1[],(MATCH(Calendar!$A18,DB!$1:$1,0)),FALSE)&gt;=5,"Good","Bad"),VLOOKUP(DATE($K$1,$K$2,ESE$4),Table1[],(MATCH(Calendar!$A18,DB!$1:$1,0)),FALSE)),"")</f>
        <v/>
      </c>
      <c r="ESF18" s="28" t="str">
        <f>IFERROR(IF(ESO3="No",IF(VLOOKUP(DATE($K$1,$K$2,ESF$4),Table1[],(MATCH(Calendar!$A18,DB!$1:$1,0)),FALSE)&gt;=5,"Good","Bad"),VLOOKUP(DATE($K$1,$K$2,ESF$4),Table1[],(MATCH(Calendar!$A18,DB!$1:$1,0)),FALSE)),"")</f>
        <v/>
      </c>
      <c r="ESG18" s="28" t="str">
        <f>IFERROR(IF(ESP3="No",IF(VLOOKUP(DATE($K$1,$K$2,ESG$4),Table1[],(MATCH(Calendar!$A18,DB!$1:$1,0)),FALSE)&gt;=5,"Good","Bad"),VLOOKUP(DATE($K$1,$K$2,ESG$4),Table1[],(MATCH(Calendar!$A18,DB!$1:$1,0)),FALSE)),"")</f>
        <v/>
      </c>
      <c r="ESH18" s="28" t="str">
        <f>IFERROR(IF(ESQ3="No",IF(VLOOKUP(DATE($K$1,$K$2,ESH$4),Table1[],(MATCH(Calendar!$A18,DB!$1:$1,0)),FALSE)&gt;=5,"Good","Bad"),VLOOKUP(DATE($K$1,$K$2,ESH$4),Table1[],(MATCH(Calendar!$A18,DB!$1:$1,0)),FALSE)),"")</f>
        <v/>
      </c>
      <c r="ESI18" s="28" t="str">
        <f>IFERROR(IF(ESR3="No",IF(VLOOKUP(DATE($K$1,$K$2,ESI$4),Table1[],(MATCH(Calendar!$A18,DB!$1:$1,0)),FALSE)&gt;=5,"Good","Bad"),VLOOKUP(DATE($K$1,$K$2,ESI$4),Table1[],(MATCH(Calendar!$A18,DB!$1:$1,0)),FALSE)),"")</f>
        <v/>
      </c>
      <c r="ESJ18" s="28" t="str">
        <f>IFERROR(IF(ESS3="No",IF(VLOOKUP(DATE($K$1,$K$2,ESJ$4),Table1[],(MATCH(Calendar!$A18,DB!$1:$1,0)),FALSE)&gt;=5,"Good","Bad"),VLOOKUP(DATE($K$1,$K$2,ESJ$4),Table1[],(MATCH(Calendar!$A18,DB!$1:$1,0)),FALSE)),"")</f>
        <v/>
      </c>
      <c r="ESK18" s="28" t="str">
        <f>IFERROR(IF(EST3="No",IF(VLOOKUP(DATE($K$1,$K$2,ESK$4),Table1[],(MATCH(Calendar!$A18,DB!$1:$1,0)),FALSE)&gt;=5,"Good","Bad"),VLOOKUP(DATE($K$1,$K$2,ESK$4),Table1[],(MATCH(Calendar!$A18,DB!$1:$1,0)),FALSE)),"")</f>
        <v/>
      </c>
      <c r="ESL18" s="28" t="str">
        <f>IFERROR(IF(ESU3="No",IF(VLOOKUP(DATE($K$1,$K$2,ESL$4),Table1[],(MATCH(Calendar!$A18,DB!$1:$1,0)),FALSE)&gt;=5,"Good","Bad"),VLOOKUP(DATE($K$1,$K$2,ESL$4),Table1[],(MATCH(Calendar!$A18,DB!$1:$1,0)),FALSE)),"")</f>
        <v/>
      </c>
      <c r="ESM18" s="28" t="str">
        <f>IFERROR(IF(ESV3="No",IF(VLOOKUP(DATE($K$1,$K$2,ESM$4),Table1[],(MATCH(Calendar!$A18,DB!$1:$1,0)),FALSE)&gt;=5,"Good","Bad"),VLOOKUP(DATE($K$1,$K$2,ESM$4),Table1[],(MATCH(Calendar!$A18,DB!$1:$1,0)),FALSE)),"")</f>
        <v/>
      </c>
      <c r="ESN18" s="28" t="str">
        <f>IFERROR(IF(ESW3="No",IF(VLOOKUP(DATE($K$1,$K$2,ESN$4),Table1[],(MATCH(Calendar!$A18,DB!$1:$1,0)),FALSE)&gt;=5,"Good","Bad"),VLOOKUP(DATE($K$1,$K$2,ESN$4),Table1[],(MATCH(Calendar!$A18,DB!$1:$1,0)),FALSE)),"")</f>
        <v/>
      </c>
      <c r="ESO18" s="28" t="str">
        <f>IFERROR(IF(ESX3="No",IF(VLOOKUP(DATE($K$1,$K$2,ESO$4),Table1[],(MATCH(Calendar!$A18,DB!$1:$1,0)),FALSE)&gt;=5,"Good","Bad"),VLOOKUP(DATE($K$1,$K$2,ESO$4),Table1[],(MATCH(Calendar!$A18,DB!$1:$1,0)),FALSE)),"")</f>
        <v/>
      </c>
      <c r="ESP18" s="28" t="str">
        <f>IFERROR(IF(ESY3="No",IF(VLOOKUP(DATE($K$1,$K$2,ESP$4),Table1[],(MATCH(Calendar!$A18,DB!$1:$1,0)),FALSE)&gt;=5,"Good","Bad"),VLOOKUP(DATE($K$1,$K$2,ESP$4),Table1[],(MATCH(Calendar!$A18,DB!$1:$1,0)),FALSE)),"")</f>
        <v/>
      </c>
      <c r="ESQ18" s="28" t="str">
        <f>IFERROR(IF(ESZ3="No",IF(VLOOKUP(DATE($K$1,$K$2,ESQ$4),Table1[],(MATCH(Calendar!$A18,DB!$1:$1,0)),FALSE)&gt;=5,"Good","Bad"),VLOOKUP(DATE($K$1,$K$2,ESQ$4),Table1[],(MATCH(Calendar!$A18,DB!$1:$1,0)),FALSE)),"")</f>
        <v/>
      </c>
      <c r="ESR18" s="28" t="str">
        <f>IFERROR(IF(ETA3="No",IF(VLOOKUP(DATE($K$1,$K$2,ESR$4),Table1[],(MATCH(Calendar!$A18,DB!$1:$1,0)),FALSE)&gt;=5,"Good","Bad"),VLOOKUP(DATE($K$1,$K$2,ESR$4),Table1[],(MATCH(Calendar!$A18,DB!$1:$1,0)),FALSE)),"")</f>
        <v/>
      </c>
      <c r="ESS18" s="28" t="str">
        <f>IFERROR(IF(ETB3="No",IF(VLOOKUP(DATE($K$1,$K$2,ESS$4),Table1[],(MATCH(Calendar!$A18,DB!$1:$1,0)),FALSE)&gt;=5,"Good","Bad"),VLOOKUP(DATE($K$1,$K$2,ESS$4),Table1[],(MATCH(Calendar!$A18,DB!$1:$1,0)),FALSE)),"")</f>
        <v/>
      </c>
      <c r="EST18" s="28" t="str">
        <f>IFERROR(IF(ETC3="No",IF(VLOOKUP(DATE($K$1,$K$2,EST$4),Table1[],(MATCH(Calendar!$A18,DB!$1:$1,0)),FALSE)&gt;=5,"Good","Bad"),VLOOKUP(DATE($K$1,$K$2,EST$4),Table1[],(MATCH(Calendar!$A18,DB!$1:$1,0)),FALSE)),"")</f>
        <v/>
      </c>
      <c r="ESU18" s="28" t="str">
        <f>IFERROR(IF(ETD3="No",IF(VLOOKUP(DATE($K$1,$K$2,ESU$4),Table1[],(MATCH(Calendar!$A18,DB!$1:$1,0)),FALSE)&gt;=5,"Good","Bad"),VLOOKUP(DATE($K$1,$K$2,ESU$4),Table1[],(MATCH(Calendar!$A18,DB!$1:$1,0)),FALSE)),"")</f>
        <v/>
      </c>
      <c r="ESV18" s="28" t="str">
        <f>IFERROR(IF(ETE3="No",IF(VLOOKUP(DATE($K$1,$K$2,ESV$4),Table1[],(MATCH(Calendar!$A18,DB!$1:$1,0)),FALSE)&gt;=5,"Good","Bad"),VLOOKUP(DATE($K$1,$K$2,ESV$4),Table1[],(MATCH(Calendar!$A18,DB!$1:$1,0)),FALSE)),"")</f>
        <v/>
      </c>
      <c r="ESW18" s="28" t="str">
        <f>IFERROR(IF(ETF3="No",IF(VLOOKUP(DATE($K$1,$K$2,ESW$4),Table1[],(MATCH(Calendar!$A18,DB!$1:$1,0)),FALSE)&gt;=5,"Good","Bad"),VLOOKUP(DATE($K$1,$K$2,ESW$4),Table1[],(MATCH(Calendar!$A18,DB!$1:$1,0)),FALSE)),"")</f>
        <v/>
      </c>
      <c r="ESX18" s="28" t="str">
        <f>IFERROR(IF(ETG3="No",IF(VLOOKUP(DATE($K$1,$K$2,ESX$4),Table1[],(MATCH(Calendar!$A18,DB!$1:$1,0)),FALSE)&gt;=5,"Good","Bad"),VLOOKUP(DATE($K$1,$K$2,ESX$4),Table1[],(MATCH(Calendar!$A18,DB!$1:$1,0)),FALSE)),"")</f>
        <v/>
      </c>
      <c r="ESY18" s="28" t="str">
        <f>IFERROR(IF(ETH3="No",IF(VLOOKUP(DATE($K$1,$K$2,ESY$4),Table1[],(MATCH(Calendar!$A18,DB!$1:$1,0)),FALSE)&gt;=5,"Good","Bad"),VLOOKUP(DATE($K$1,$K$2,ESY$4),Table1[],(MATCH(Calendar!$A18,DB!$1:$1,0)),FALSE)),"")</f>
        <v/>
      </c>
      <c r="ESZ18" s="28" t="str">
        <f>IFERROR(IF(ETI3="No",IF(VLOOKUP(DATE($K$1,$K$2,ESZ$4),Table1[],(MATCH(Calendar!$A18,DB!$1:$1,0)),FALSE)&gt;=5,"Good","Bad"),VLOOKUP(DATE($K$1,$K$2,ESZ$4),Table1[],(MATCH(Calendar!$A18,DB!$1:$1,0)),FALSE)),"")</f>
        <v/>
      </c>
      <c r="ETA18" s="28" t="str">
        <f>IFERROR(IF(ETJ3="No",IF(VLOOKUP(DATE($K$1,$K$2,ETA$4),Table1[],(MATCH(Calendar!$A18,DB!$1:$1,0)),FALSE)&gt;=5,"Good","Bad"),VLOOKUP(DATE($K$1,$K$2,ETA$4),Table1[],(MATCH(Calendar!$A18,DB!$1:$1,0)),FALSE)),"")</f>
        <v/>
      </c>
      <c r="ETB18" s="28" t="str">
        <f>IFERROR(IF(ETK3="No",IF(VLOOKUP(DATE($K$1,$K$2,ETB$4),Table1[],(MATCH(Calendar!$A18,DB!$1:$1,0)),FALSE)&gt;=5,"Good","Bad"),VLOOKUP(DATE($K$1,$K$2,ETB$4),Table1[],(MATCH(Calendar!$A18,DB!$1:$1,0)),FALSE)),"")</f>
        <v/>
      </c>
      <c r="ETC18" s="28" t="str">
        <f>IFERROR(IF(ETL3="No",IF(VLOOKUP(DATE($K$1,$K$2,ETC$4),Table1[],(MATCH(Calendar!$A18,DB!$1:$1,0)),FALSE)&gt;=5,"Good","Bad"),VLOOKUP(DATE($K$1,$K$2,ETC$4),Table1[],(MATCH(Calendar!$A18,DB!$1:$1,0)),FALSE)),"")</f>
        <v/>
      </c>
      <c r="ETD18" s="28" t="str">
        <f>IFERROR(IF(ETM3="No",IF(VLOOKUP(DATE($K$1,$K$2,ETD$4),Table1[],(MATCH(Calendar!$A18,DB!$1:$1,0)),FALSE)&gt;=5,"Good","Bad"),VLOOKUP(DATE($K$1,$K$2,ETD$4),Table1[],(MATCH(Calendar!$A18,DB!$1:$1,0)),FALSE)),"")</f>
        <v/>
      </c>
      <c r="ETE18" s="28" t="str">
        <f>IFERROR(IF(ETN3="No",IF(VLOOKUP(DATE($K$1,$K$2,ETE$4),Table1[],(MATCH(Calendar!$A18,DB!$1:$1,0)),FALSE)&gt;=5,"Good","Bad"),VLOOKUP(DATE($K$1,$K$2,ETE$4),Table1[],(MATCH(Calendar!$A18,DB!$1:$1,0)),FALSE)),"")</f>
        <v/>
      </c>
      <c r="ETF18" s="28" t="str">
        <f>IFERROR(IF(ETO3="No",IF(VLOOKUP(DATE($K$1,$K$2,ETF$4),Table1[],(MATCH(Calendar!$A18,DB!$1:$1,0)),FALSE)&gt;=5,"Good","Bad"),VLOOKUP(DATE($K$1,$K$2,ETF$4),Table1[],(MATCH(Calendar!$A18,DB!$1:$1,0)),FALSE)),"")</f>
        <v/>
      </c>
      <c r="ETG18" s="28" t="str">
        <f>IFERROR(IF(ETP3="No",IF(VLOOKUP(DATE($K$1,$K$2,ETG$4),Table1[],(MATCH(Calendar!$A18,DB!$1:$1,0)),FALSE)&gt;=5,"Good","Bad"),VLOOKUP(DATE($K$1,$K$2,ETG$4),Table1[],(MATCH(Calendar!$A18,DB!$1:$1,0)),FALSE)),"")</f>
        <v/>
      </c>
      <c r="ETH18" s="28" t="str">
        <f>IFERROR(IF(ETQ3="No",IF(VLOOKUP(DATE($K$1,$K$2,ETH$4),Table1[],(MATCH(Calendar!$A18,DB!$1:$1,0)),FALSE)&gt;=5,"Good","Bad"),VLOOKUP(DATE($K$1,$K$2,ETH$4),Table1[],(MATCH(Calendar!$A18,DB!$1:$1,0)),FALSE)),"")</f>
        <v/>
      </c>
      <c r="ETI18" s="28" t="str">
        <f>IFERROR(IF(ETR3="No",IF(VLOOKUP(DATE($K$1,$K$2,ETI$4),Table1[],(MATCH(Calendar!$A18,DB!$1:$1,0)),FALSE)&gt;=5,"Good","Bad"),VLOOKUP(DATE($K$1,$K$2,ETI$4),Table1[],(MATCH(Calendar!$A18,DB!$1:$1,0)),FALSE)),"")</f>
        <v/>
      </c>
      <c r="ETJ18" s="28" t="str">
        <f>IFERROR(IF(ETS3="No",IF(VLOOKUP(DATE($K$1,$K$2,ETJ$4),Table1[],(MATCH(Calendar!$A18,DB!$1:$1,0)),FALSE)&gt;=5,"Good","Bad"),VLOOKUP(DATE($K$1,$K$2,ETJ$4),Table1[],(MATCH(Calendar!$A18,DB!$1:$1,0)),FALSE)),"")</f>
        <v/>
      </c>
      <c r="ETK18" s="28" t="str">
        <f>IFERROR(IF(ETT3="No",IF(VLOOKUP(DATE($K$1,$K$2,ETK$4),Table1[],(MATCH(Calendar!$A18,DB!$1:$1,0)),FALSE)&gt;=5,"Good","Bad"),VLOOKUP(DATE($K$1,$K$2,ETK$4),Table1[],(MATCH(Calendar!$A18,DB!$1:$1,0)),FALSE)),"")</f>
        <v/>
      </c>
      <c r="ETL18" s="28" t="str">
        <f>IFERROR(IF(ETU3="No",IF(VLOOKUP(DATE($K$1,$K$2,ETL$4),Table1[],(MATCH(Calendar!$A18,DB!$1:$1,0)),FALSE)&gt;=5,"Good","Bad"),VLOOKUP(DATE($K$1,$K$2,ETL$4),Table1[],(MATCH(Calendar!$A18,DB!$1:$1,0)),FALSE)),"")</f>
        <v/>
      </c>
      <c r="ETM18" s="28" t="str">
        <f>IFERROR(IF(ETV3="No",IF(VLOOKUP(DATE($K$1,$K$2,ETM$4),Table1[],(MATCH(Calendar!$A18,DB!$1:$1,0)),FALSE)&gt;=5,"Good","Bad"),VLOOKUP(DATE($K$1,$K$2,ETM$4),Table1[],(MATCH(Calendar!$A18,DB!$1:$1,0)),FALSE)),"")</f>
        <v/>
      </c>
      <c r="ETN18" s="28" t="str">
        <f>IFERROR(IF(ETW3="No",IF(VLOOKUP(DATE($K$1,$K$2,ETN$4),Table1[],(MATCH(Calendar!$A18,DB!$1:$1,0)),FALSE)&gt;=5,"Good","Bad"),VLOOKUP(DATE($K$1,$K$2,ETN$4),Table1[],(MATCH(Calendar!$A18,DB!$1:$1,0)),FALSE)),"")</f>
        <v/>
      </c>
      <c r="ETO18" s="28" t="str">
        <f>IFERROR(IF(ETX3="No",IF(VLOOKUP(DATE($K$1,$K$2,ETO$4),Table1[],(MATCH(Calendar!$A18,DB!$1:$1,0)),FALSE)&gt;=5,"Good","Bad"),VLOOKUP(DATE($K$1,$K$2,ETO$4),Table1[],(MATCH(Calendar!$A18,DB!$1:$1,0)),FALSE)),"")</f>
        <v/>
      </c>
      <c r="ETP18" s="28" t="str">
        <f>IFERROR(IF(ETY3="No",IF(VLOOKUP(DATE($K$1,$K$2,ETP$4),Table1[],(MATCH(Calendar!$A18,DB!$1:$1,0)),FALSE)&gt;=5,"Good","Bad"),VLOOKUP(DATE($K$1,$K$2,ETP$4),Table1[],(MATCH(Calendar!$A18,DB!$1:$1,0)),FALSE)),"")</f>
        <v/>
      </c>
      <c r="ETQ18" s="28" t="str">
        <f>IFERROR(IF(ETZ3="No",IF(VLOOKUP(DATE($K$1,$K$2,ETQ$4),Table1[],(MATCH(Calendar!$A18,DB!$1:$1,0)),FALSE)&gt;=5,"Good","Bad"),VLOOKUP(DATE($K$1,$K$2,ETQ$4),Table1[],(MATCH(Calendar!$A18,DB!$1:$1,0)),FALSE)),"")</f>
        <v/>
      </c>
      <c r="ETR18" s="28" t="str">
        <f>IFERROR(IF(EUA3="No",IF(VLOOKUP(DATE($K$1,$K$2,ETR$4),Table1[],(MATCH(Calendar!$A18,DB!$1:$1,0)),FALSE)&gt;=5,"Good","Bad"),VLOOKUP(DATE($K$1,$K$2,ETR$4),Table1[],(MATCH(Calendar!$A18,DB!$1:$1,0)),FALSE)),"")</f>
        <v/>
      </c>
      <c r="ETS18" s="28" t="str">
        <f>IFERROR(IF(EUB3="No",IF(VLOOKUP(DATE($K$1,$K$2,ETS$4),Table1[],(MATCH(Calendar!$A18,DB!$1:$1,0)),FALSE)&gt;=5,"Good","Bad"),VLOOKUP(DATE($K$1,$K$2,ETS$4),Table1[],(MATCH(Calendar!$A18,DB!$1:$1,0)),FALSE)),"")</f>
        <v/>
      </c>
      <c r="ETT18" s="28" t="str">
        <f>IFERROR(IF(EUC3="No",IF(VLOOKUP(DATE($K$1,$K$2,ETT$4),Table1[],(MATCH(Calendar!$A18,DB!$1:$1,0)),FALSE)&gt;=5,"Good","Bad"),VLOOKUP(DATE($K$1,$K$2,ETT$4),Table1[],(MATCH(Calendar!$A18,DB!$1:$1,0)),FALSE)),"")</f>
        <v/>
      </c>
      <c r="ETU18" s="28" t="str">
        <f>IFERROR(IF(EUD3="No",IF(VLOOKUP(DATE($K$1,$K$2,ETU$4),Table1[],(MATCH(Calendar!$A18,DB!$1:$1,0)),FALSE)&gt;=5,"Good","Bad"),VLOOKUP(DATE($K$1,$K$2,ETU$4),Table1[],(MATCH(Calendar!$A18,DB!$1:$1,0)),FALSE)),"")</f>
        <v/>
      </c>
      <c r="ETV18" s="28" t="str">
        <f>IFERROR(IF(EUE3="No",IF(VLOOKUP(DATE($K$1,$K$2,ETV$4),Table1[],(MATCH(Calendar!$A18,DB!$1:$1,0)),FALSE)&gt;=5,"Good","Bad"),VLOOKUP(DATE($K$1,$K$2,ETV$4),Table1[],(MATCH(Calendar!$A18,DB!$1:$1,0)),FALSE)),"")</f>
        <v/>
      </c>
      <c r="ETW18" s="28" t="str">
        <f>IFERROR(IF(EUF3="No",IF(VLOOKUP(DATE($K$1,$K$2,ETW$4),Table1[],(MATCH(Calendar!$A18,DB!$1:$1,0)),FALSE)&gt;=5,"Good","Bad"),VLOOKUP(DATE($K$1,$K$2,ETW$4),Table1[],(MATCH(Calendar!$A18,DB!$1:$1,0)),FALSE)),"")</f>
        <v/>
      </c>
      <c r="ETX18" s="28" t="str">
        <f>IFERROR(IF(EUG3="No",IF(VLOOKUP(DATE($K$1,$K$2,ETX$4),Table1[],(MATCH(Calendar!$A18,DB!$1:$1,0)),FALSE)&gt;=5,"Good","Bad"),VLOOKUP(DATE($K$1,$K$2,ETX$4),Table1[],(MATCH(Calendar!$A18,DB!$1:$1,0)),FALSE)),"")</f>
        <v/>
      </c>
      <c r="ETY18" s="28" t="str">
        <f>IFERROR(IF(EUH3="No",IF(VLOOKUP(DATE($K$1,$K$2,ETY$4),Table1[],(MATCH(Calendar!$A18,DB!$1:$1,0)),FALSE)&gt;=5,"Good","Bad"),VLOOKUP(DATE($K$1,$K$2,ETY$4),Table1[],(MATCH(Calendar!$A18,DB!$1:$1,0)),FALSE)),"")</f>
        <v/>
      </c>
      <c r="ETZ18" s="28" t="str">
        <f>IFERROR(IF(EUI3="No",IF(VLOOKUP(DATE($K$1,$K$2,ETZ$4),Table1[],(MATCH(Calendar!$A18,DB!$1:$1,0)),FALSE)&gt;=5,"Good","Bad"),VLOOKUP(DATE($K$1,$K$2,ETZ$4),Table1[],(MATCH(Calendar!$A18,DB!$1:$1,0)),FALSE)),"")</f>
        <v/>
      </c>
      <c r="EUA18" s="28" t="str">
        <f>IFERROR(IF(EUJ3="No",IF(VLOOKUP(DATE($K$1,$K$2,EUA$4),Table1[],(MATCH(Calendar!$A18,DB!$1:$1,0)),FALSE)&gt;=5,"Good","Bad"),VLOOKUP(DATE($K$1,$K$2,EUA$4),Table1[],(MATCH(Calendar!$A18,DB!$1:$1,0)),FALSE)),"")</f>
        <v/>
      </c>
      <c r="EUB18" s="28" t="str">
        <f>IFERROR(IF(EUK3="No",IF(VLOOKUP(DATE($K$1,$K$2,EUB$4),Table1[],(MATCH(Calendar!$A18,DB!$1:$1,0)),FALSE)&gt;=5,"Good","Bad"),VLOOKUP(DATE($K$1,$K$2,EUB$4),Table1[],(MATCH(Calendar!$A18,DB!$1:$1,0)),FALSE)),"")</f>
        <v/>
      </c>
      <c r="EUC18" s="28" t="str">
        <f>IFERROR(IF(EUL3="No",IF(VLOOKUP(DATE($K$1,$K$2,EUC$4),Table1[],(MATCH(Calendar!$A18,DB!$1:$1,0)),FALSE)&gt;=5,"Good","Bad"),VLOOKUP(DATE($K$1,$K$2,EUC$4),Table1[],(MATCH(Calendar!$A18,DB!$1:$1,0)),FALSE)),"")</f>
        <v/>
      </c>
      <c r="EUD18" s="28" t="str">
        <f>IFERROR(IF(EUM3="No",IF(VLOOKUP(DATE($K$1,$K$2,EUD$4),Table1[],(MATCH(Calendar!$A18,DB!$1:$1,0)),FALSE)&gt;=5,"Good","Bad"),VLOOKUP(DATE($K$1,$K$2,EUD$4),Table1[],(MATCH(Calendar!$A18,DB!$1:$1,0)),FALSE)),"")</f>
        <v/>
      </c>
      <c r="EUE18" s="28" t="str">
        <f>IFERROR(IF(EUN3="No",IF(VLOOKUP(DATE($K$1,$K$2,EUE$4),Table1[],(MATCH(Calendar!$A18,DB!$1:$1,0)),FALSE)&gt;=5,"Good","Bad"),VLOOKUP(DATE($K$1,$K$2,EUE$4),Table1[],(MATCH(Calendar!$A18,DB!$1:$1,0)),FALSE)),"")</f>
        <v/>
      </c>
      <c r="EUF18" s="28" t="str">
        <f>IFERROR(IF(EUO3="No",IF(VLOOKUP(DATE($K$1,$K$2,EUF$4),Table1[],(MATCH(Calendar!$A18,DB!$1:$1,0)),FALSE)&gt;=5,"Good","Bad"),VLOOKUP(DATE($K$1,$K$2,EUF$4),Table1[],(MATCH(Calendar!$A18,DB!$1:$1,0)),FALSE)),"")</f>
        <v/>
      </c>
      <c r="EUG18" s="28" t="str">
        <f>IFERROR(IF(EUP3="No",IF(VLOOKUP(DATE($K$1,$K$2,EUG$4),Table1[],(MATCH(Calendar!$A18,DB!$1:$1,0)),FALSE)&gt;=5,"Good","Bad"),VLOOKUP(DATE($K$1,$K$2,EUG$4),Table1[],(MATCH(Calendar!$A18,DB!$1:$1,0)),FALSE)),"")</f>
        <v/>
      </c>
      <c r="EUH18" s="28" t="str">
        <f>IFERROR(IF(EUQ3="No",IF(VLOOKUP(DATE($K$1,$K$2,EUH$4),Table1[],(MATCH(Calendar!$A18,DB!$1:$1,0)),FALSE)&gt;=5,"Good","Bad"),VLOOKUP(DATE($K$1,$K$2,EUH$4),Table1[],(MATCH(Calendar!$A18,DB!$1:$1,0)),FALSE)),"")</f>
        <v/>
      </c>
      <c r="EUI18" s="28" t="str">
        <f>IFERROR(IF(EUR3="No",IF(VLOOKUP(DATE($K$1,$K$2,EUI$4),Table1[],(MATCH(Calendar!$A18,DB!$1:$1,0)),FALSE)&gt;=5,"Good","Bad"),VLOOKUP(DATE($K$1,$K$2,EUI$4),Table1[],(MATCH(Calendar!$A18,DB!$1:$1,0)),FALSE)),"")</f>
        <v/>
      </c>
      <c r="EUJ18" s="28" t="str">
        <f>IFERROR(IF(EUS3="No",IF(VLOOKUP(DATE($K$1,$K$2,EUJ$4),Table1[],(MATCH(Calendar!$A18,DB!$1:$1,0)),FALSE)&gt;=5,"Good","Bad"),VLOOKUP(DATE($K$1,$K$2,EUJ$4),Table1[],(MATCH(Calendar!$A18,DB!$1:$1,0)),FALSE)),"")</f>
        <v/>
      </c>
      <c r="EUK18" s="28" t="str">
        <f>IFERROR(IF(EUT3="No",IF(VLOOKUP(DATE($K$1,$K$2,EUK$4),Table1[],(MATCH(Calendar!$A18,DB!$1:$1,0)),FALSE)&gt;=5,"Good","Bad"),VLOOKUP(DATE($K$1,$K$2,EUK$4),Table1[],(MATCH(Calendar!$A18,DB!$1:$1,0)),FALSE)),"")</f>
        <v/>
      </c>
      <c r="EUL18" s="28" t="str">
        <f>IFERROR(IF(EUU3="No",IF(VLOOKUP(DATE($K$1,$K$2,EUL$4),Table1[],(MATCH(Calendar!$A18,DB!$1:$1,0)),FALSE)&gt;=5,"Good","Bad"),VLOOKUP(DATE($K$1,$K$2,EUL$4),Table1[],(MATCH(Calendar!$A18,DB!$1:$1,0)),FALSE)),"")</f>
        <v/>
      </c>
      <c r="EUM18" s="28" t="str">
        <f>IFERROR(IF(EUV3="No",IF(VLOOKUP(DATE($K$1,$K$2,EUM$4),Table1[],(MATCH(Calendar!$A18,DB!$1:$1,0)),FALSE)&gt;=5,"Good","Bad"),VLOOKUP(DATE($K$1,$K$2,EUM$4),Table1[],(MATCH(Calendar!$A18,DB!$1:$1,0)),FALSE)),"")</f>
        <v/>
      </c>
      <c r="EUN18" s="28" t="str">
        <f>IFERROR(IF(EUW3="No",IF(VLOOKUP(DATE($K$1,$K$2,EUN$4),Table1[],(MATCH(Calendar!$A18,DB!$1:$1,0)),FALSE)&gt;=5,"Good","Bad"),VLOOKUP(DATE($K$1,$K$2,EUN$4),Table1[],(MATCH(Calendar!$A18,DB!$1:$1,0)),FALSE)),"")</f>
        <v/>
      </c>
      <c r="EUO18" s="28" t="str">
        <f>IFERROR(IF(EUX3="No",IF(VLOOKUP(DATE($K$1,$K$2,EUO$4),Table1[],(MATCH(Calendar!$A18,DB!$1:$1,0)),FALSE)&gt;=5,"Good","Bad"),VLOOKUP(DATE($K$1,$K$2,EUO$4),Table1[],(MATCH(Calendar!$A18,DB!$1:$1,0)),FALSE)),"")</f>
        <v/>
      </c>
      <c r="EUP18" s="28" t="str">
        <f>IFERROR(IF(EUY3="No",IF(VLOOKUP(DATE($K$1,$K$2,EUP$4),Table1[],(MATCH(Calendar!$A18,DB!$1:$1,0)),FALSE)&gt;=5,"Good","Bad"),VLOOKUP(DATE($K$1,$K$2,EUP$4),Table1[],(MATCH(Calendar!$A18,DB!$1:$1,0)),FALSE)),"")</f>
        <v/>
      </c>
      <c r="EUQ18" s="28" t="str">
        <f>IFERROR(IF(EUZ3="No",IF(VLOOKUP(DATE($K$1,$K$2,EUQ$4),Table1[],(MATCH(Calendar!$A18,DB!$1:$1,0)),FALSE)&gt;=5,"Good","Bad"),VLOOKUP(DATE($K$1,$K$2,EUQ$4),Table1[],(MATCH(Calendar!$A18,DB!$1:$1,0)),FALSE)),"")</f>
        <v/>
      </c>
      <c r="EUR18" s="28" t="str">
        <f>IFERROR(IF(EVA3="No",IF(VLOOKUP(DATE($K$1,$K$2,EUR$4),Table1[],(MATCH(Calendar!$A18,DB!$1:$1,0)),FALSE)&gt;=5,"Good","Bad"),VLOOKUP(DATE($K$1,$K$2,EUR$4),Table1[],(MATCH(Calendar!$A18,DB!$1:$1,0)),FALSE)),"")</f>
        <v/>
      </c>
      <c r="EUS18" s="28" t="str">
        <f>IFERROR(IF(EVB3="No",IF(VLOOKUP(DATE($K$1,$K$2,EUS$4),Table1[],(MATCH(Calendar!$A18,DB!$1:$1,0)),FALSE)&gt;=5,"Good","Bad"),VLOOKUP(DATE($K$1,$K$2,EUS$4),Table1[],(MATCH(Calendar!$A18,DB!$1:$1,0)),FALSE)),"")</f>
        <v/>
      </c>
      <c r="EUT18" s="28" t="str">
        <f>IFERROR(IF(EVC3="No",IF(VLOOKUP(DATE($K$1,$K$2,EUT$4),Table1[],(MATCH(Calendar!$A18,DB!$1:$1,0)),FALSE)&gt;=5,"Good","Bad"),VLOOKUP(DATE($K$1,$K$2,EUT$4),Table1[],(MATCH(Calendar!$A18,DB!$1:$1,0)),FALSE)),"")</f>
        <v/>
      </c>
      <c r="EUU18" s="28" t="str">
        <f>IFERROR(IF(EVD3="No",IF(VLOOKUP(DATE($K$1,$K$2,EUU$4),Table1[],(MATCH(Calendar!$A18,DB!$1:$1,0)),FALSE)&gt;=5,"Good","Bad"),VLOOKUP(DATE($K$1,$K$2,EUU$4),Table1[],(MATCH(Calendar!$A18,DB!$1:$1,0)),FALSE)),"")</f>
        <v/>
      </c>
      <c r="EUV18" s="28" t="str">
        <f>IFERROR(IF(EVE3="No",IF(VLOOKUP(DATE($K$1,$K$2,EUV$4),Table1[],(MATCH(Calendar!$A18,DB!$1:$1,0)),FALSE)&gt;=5,"Good","Bad"),VLOOKUP(DATE($K$1,$K$2,EUV$4),Table1[],(MATCH(Calendar!$A18,DB!$1:$1,0)),FALSE)),"")</f>
        <v/>
      </c>
      <c r="EUW18" s="28" t="str">
        <f>IFERROR(IF(EVF3="No",IF(VLOOKUP(DATE($K$1,$K$2,EUW$4),Table1[],(MATCH(Calendar!$A18,DB!$1:$1,0)),FALSE)&gt;=5,"Good","Bad"),VLOOKUP(DATE($K$1,$K$2,EUW$4),Table1[],(MATCH(Calendar!$A18,DB!$1:$1,0)),FALSE)),"")</f>
        <v/>
      </c>
      <c r="EUX18" s="28" t="str">
        <f>IFERROR(IF(EVG3="No",IF(VLOOKUP(DATE($K$1,$K$2,EUX$4),Table1[],(MATCH(Calendar!$A18,DB!$1:$1,0)),FALSE)&gt;=5,"Good","Bad"),VLOOKUP(DATE($K$1,$K$2,EUX$4),Table1[],(MATCH(Calendar!$A18,DB!$1:$1,0)),FALSE)),"")</f>
        <v/>
      </c>
      <c r="EUY18" s="28" t="str">
        <f>IFERROR(IF(EVH3="No",IF(VLOOKUP(DATE($K$1,$K$2,EUY$4),Table1[],(MATCH(Calendar!$A18,DB!$1:$1,0)),FALSE)&gt;=5,"Good","Bad"),VLOOKUP(DATE($K$1,$K$2,EUY$4),Table1[],(MATCH(Calendar!$A18,DB!$1:$1,0)),FALSE)),"")</f>
        <v/>
      </c>
      <c r="EUZ18" s="28" t="str">
        <f>IFERROR(IF(EVI3="No",IF(VLOOKUP(DATE($K$1,$K$2,EUZ$4),Table1[],(MATCH(Calendar!$A18,DB!$1:$1,0)),FALSE)&gt;=5,"Good","Bad"),VLOOKUP(DATE($K$1,$K$2,EUZ$4),Table1[],(MATCH(Calendar!$A18,DB!$1:$1,0)),FALSE)),"")</f>
        <v/>
      </c>
      <c r="EVA18" s="28" t="str">
        <f>IFERROR(IF(EVJ3="No",IF(VLOOKUP(DATE($K$1,$K$2,EVA$4),Table1[],(MATCH(Calendar!$A18,DB!$1:$1,0)),FALSE)&gt;=5,"Good","Bad"),VLOOKUP(DATE($K$1,$K$2,EVA$4),Table1[],(MATCH(Calendar!$A18,DB!$1:$1,0)),FALSE)),"")</f>
        <v/>
      </c>
      <c r="EVB18" s="28" t="str">
        <f>IFERROR(IF(EVK3="No",IF(VLOOKUP(DATE($K$1,$K$2,EVB$4),Table1[],(MATCH(Calendar!$A18,DB!$1:$1,0)),FALSE)&gt;=5,"Good","Bad"),VLOOKUP(DATE($K$1,$K$2,EVB$4),Table1[],(MATCH(Calendar!$A18,DB!$1:$1,0)),FALSE)),"")</f>
        <v/>
      </c>
      <c r="EVC18" s="28" t="str">
        <f>IFERROR(IF(EVL3="No",IF(VLOOKUP(DATE($K$1,$K$2,EVC$4),Table1[],(MATCH(Calendar!$A18,DB!$1:$1,0)),FALSE)&gt;=5,"Good","Bad"),VLOOKUP(DATE($K$1,$K$2,EVC$4),Table1[],(MATCH(Calendar!$A18,DB!$1:$1,0)),FALSE)),"")</f>
        <v/>
      </c>
      <c r="EVD18" s="28" t="str">
        <f>IFERROR(IF(EVM3="No",IF(VLOOKUP(DATE($K$1,$K$2,EVD$4),Table1[],(MATCH(Calendar!$A18,DB!$1:$1,0)),FALSE)&gt;=5,"Good","Bad"),VLOOKUP(DATE($K$1,$K$2,EVD$4),Table1[],(MATCH(Calendar!$A18,DB!$1:$1,0)),FALSE)),"")</f>
        <v/>
      </c>
      <c r="EVE18" s="28" t="str">
        <f>IFERROR(IF(EVN3="No",IF(VLOOKUP(DATE($K$1,$K$2,EVE$4),Table1[],(MATCH(Calendar!$A18,DB!$1:$1,0)),FALSE)&gt;=5,"Good","Bad"),VLOOKUP(DATE($K$1,$K$2,EVE$4),Table1[],(MATCH(Calendar!$A18,DB!$1:$1,0)),FALSE)),"")</f>
        <v/>
      </c>
      <c r="EVF18" s="28" t="str">
        <f>IFERROR(IF(EVO3="No",IF(VLOOKUP(DATE($K$1,$K$2,EVF$4),Table1[],(MATCH(Calendar!$A18,DB!$1:$1,0)),FALSE)&gt;=5,"Good","Bad"),VLOOKUP(DATE($K$1,$K$2,EVF$4),Table1[],(MATCH(Calendar!$A18,DB!$1:$1,0)),FALSE)),"")</f>
        <v/>
      </c>
      <c r="EVG18" s="28" t="str">
        <f>IFERROR(IF(EVP3="No",IF(VLOOKUP(DATE($K$1,$K$2,EVG$4),Table1[],(MATCH(Calendar!$A18,DB!$1:$1,0)),FALSE)&gt;=5,"Good","Bad"),VLOOKUP(DATE($K$1,$K$2,EVG$4),Table1[],(MATCH(Calendar!$A18,DB!$1:$1,0)),FALSE)),"")</f>
        <v/>
      </c>
      <c r="EVH18" s="28" t="str">
        <f>IFERROR(IF(EVQ3="No",IF(VLOOKUP(DATE($K$1,$K$2,EVH$4),Table1[],(MATCH(Calendar!$A18,DB!$1:$1,0)),FALSE)&gt;=5,"Good","Bad"),VLOOKUP(DATE($K$1,$K$2,EVH$4),Table1[],(MATCH(Calendar!$A18,DB!$1:$1,0)),FALSE)),"")</f>
        <v/>
      </c>
      <c r="EVI18" s="28" t="str">
        <f>IFERROR(IF(EVR3="No",IF(VLOOKUP(DATE($K$1,$K$2,EVI$4),Table1[],(MATCH(Calendar!$A18,DB!$1:$1,0)),FALSE)&gt;=5,"Good","Bad"),VLOOKUP(DATE($K$1,$K$2,EVI$4),Table1[],(MATCH(Calendar!$A18,DB!$1:$1,0)),FALSE)),"")</f>
        <v/>
      </c>
      <c r="EVJ18" s="28" t="str">
        <f>IFERROR(IF(EVS3="No",IF(VLOOKUP(DATE($K$1,$K$2,EVJ$4),Table1[],(MATCH(Calendar!$A18,DB!$1:$1,0)),FALSE)&gt;=5,"Good","Bad"),VLOOKUP(DATE($K$1,$K$2,EVJ$4),Table1[],(MATCH(Calendar!$A18,DB!$1:$1,0)),FALSE)),"")</f>
        <v/>
      </c>
      <c r="EVK18" s="28" t="str">
        <f>IFERROR(IF(EVT3="No",IF(VLOOKUP(DATE($K$1,$K$2,EVK$4),Table1[],(MATCH(Calendar!$A18,DB!$1:$1,0)),FALSE)&gt;=5,"Good","Bad"),VLOOKUP(DATE($K$1,$K$2,EVK$4),Table1[],(MATCH(Calendar!$A18,DB!$1:$1,0)),FALSE)),"")</f>
        <v/>
      </c>
      <c r="EVL18" s="28" t="str">
        <f>IFERROR(IF(EVU3="No",IF(VLOOKUP(DATE($K$1,$K$2,EVL$4),Table1[],(MATCH(Calendar!$A18,DB!$1:$1,0)),FALSE)&gt;=5,"Good","Bad"),VLOOKUP(DATE($K$1,$K$2,EVL$4),Table1[],(MATCH(Calendar!$A18,DB!$1:$1,0)),FALSE)),"")</f>
        <v/>
      </c>
      <c r="EVM18" s="28" t="str">
        <f>IFERROR(IF(EVV3="No",IF(VLOOKUP(DATE($K$1,$K$2,EVM$4),Table1[],(MATCH(Calendar!$A18,DB!$1:$1,0)),FALSE)&gt;=5,"Good","Bad"),VLOOKUP(DATE($K$1,$K$2,EVM$4),Table1[],(MATCH(Calendar!$A18,DB!$1:$1,0)),FALSE)),"")</f>
        <v/>
      </c>
      <c r="EVN18" s="28" t="str">
        <f>IFERROR(IF(EVW3="No",IF(VLOOKUP(DATE($K$1,$K$2,EVN$4),Table1[],(MATCH(Calendar!$A18,DB!$1:$1,0)),FALSE)&gt;=5,"Good","Bad"),VLOOKUP(DATE($K$1,$K$2,EVN$4),Table1[],(MATCH(Calendar!$A18,DB!$1:$1,0)),FALSE)),"")</f>
        <v/>
      </c>
      <c r="EVO18" s="28" t="str">
        <f>IFERROR(IF(EVX3="No",IF(VLOOKUP(DATE($K$1,$K$2,EVO$4),Table1[],(MATCH(Calendar!$A18,DB!$1:$1,0)),FALSE)&gt;=5,"Good","Bad"),VLOOKUP(DATE($K$1,$K$2,EVO$4),Table1[],(MATCH(Calendar!$A18,DB!$1:$1,0)),FALSE)),"")</f>
        <v/>
      </c>
      <c r="EVP18" s="28" t="str">
        <f>IFERROR(IF(EVY3="No",IF(VLOOKUP(DATE($K$1,$K$2,EVP$4),Table1[],(MATCH(Calendar!$A18,DB!$1:$1,0)),FALSE)&gt;=5,"Good","Bad"),VLOOKUP(DATE($K$1,$K$2,EVP$4),Table1[],(MATCH(Calendar!$A18,DB!$1:$1,0)),FALSE)),"")</f>
        <v/>
      </c>
      <c r="EVQ18" s="28" t="str">
        <f>IFERROR(IF(EVZ3="No",IF(VLOOKUP(DATE($K$1,$K$2,EVQ$4),Table1[],(MATCH(Calendar!$A18,DB!$1:$1,0)),FALSE)&gt;=5,"Good","Bad"),VLOOKUP(DATE($K$1,$K$2,EVQ$4),Table1[],(MATCH(Calendar!$A18,DB!$1:$1,0)),FALSE)),"")</f>
        <v/>
      </c>
      <c r="EVR18" s="28" t="str">
        <f>IFERROR(IF(EWA3="No",IF(VLOOKUP(DATE($K$1,$K$2,EVR$4),Table1[],(MATCH(Calendar!$A18,DB!$1:$1,0)),FALSE)&gt;=5,"Good","Bad"),VLOOKUP(DATE($K$1,$K$2,EVR$4),Table1[],(MATCH(Calendar!$A18,DB!$1:$1,0)),FALSE)),"")</f>
        <v/>
      </c>
      <c r="EVS18" s="28" t="str">
        <f>IFERROR(IF(EWB3="No",IF(VLOOKUP(DATE($K$1,$K$2,EVS$4),Table1[],(MATCH(Calendar!$A18,DB!$1:$1,0)),FALSE)&gt;=5,"Good","Bad"),VLOOKUP(DATE($K$1,$K$2,EVS$4),Table1[],(MATCH(Calendar!$A18,DB!$1:$1,0)),FALSE)),"")</f>
        <v/>
      </c>
      <c r="EVT18" s="28" t="str">
        <f>IFERROR(IF(EWC3="No",IF(VLOOKUP(DATE($K$1,$K$2,EVT$4),Table1[],(MATCH(Calendar!$A18,DB!$1:$1,0)),FALSE)&gt;=5,"Good","Bad"),VLOOKUP(DATE($K$1,$K$2,EVT$4),Table1[],(MATCH(Calendar!$A18,DB!$1:$1,0)),FALSE)),"")</f>
        <v/>
      </c>
      <c r="EVU18" s="28" t="str">
        <f>IFERROR(IF(EWD3="No",IF(VLOOKUP(DATE($K$1,$K$2,EVU$4),Table1[],(MATCH(Calendar!$A18,DB!$1:$1,0)),FALSE)&gt;=5,"Good","Bad"),VLOOKUP(DATE($K$1,$K$2,EVU$4),Table1[],(MATCH(Calendar!$A18,DB!$1:$1,0)),FALSE)),"")</f>
        <v/>
      </c>
      <c r="EVV18" s="28" t="str">
        <f>IFERROR(IF(EWE3="No",IF(VLOOKUP(DATE($K$1,$K$2,EVV$4),Table1[],(MATCH(Calendar!$A18,DB!$1:$1,0)),FALSE)&gt;=5,"Good","Bad"),VLOOKUP(DATE($K$1,$K$2,EVV$4),Table1[],(MATCH(Calendar!$A18,DB!$1:$1,0)),FALSE)),"")</f>
        <v/>
      </c>
      <c r="EVW18" s="28" t="str">
        <f>IFERROR(IF(EWF3="No",IF(VLOOKUP(DATE($K$1,$K$2,EVW$4),Table1[],(MATCH(Calendar!$A18,DB!$1:$1,0)),FALSE)&gt;=5,"Good","Bad"),VLOOKUP(DATE($K$1,$K$2,EVW$4),Table1[],(MATCH(Calendar!$A18,DB!$1:$1,0)),FALSE)),"")</f>
        <v/>
      </c>
      <c r="EVX18" s="28" t="str">
        <f>IFERROR(IF(EWG3="No",IF(VLOOKUP(DATE($K$1,$K$2,EVX$4),Table1[],(MATCH(Calendar!$A18,DB!$1:$1,0)),FALSE)&gt;=5,"Good","Bad"),VLOOKUP(DATE($K$1,$K$2,EVX$4),Table1[],(MATCH(Calendar!$A18,DB!$1:$1,0)),FALSE)),"")</f>
        <v/>
      </c>
      <c r="EVY18" s="28" t="str">
        <f>IFERROR(IF(EWH3="No",IF(VLOOKUP(DATE($K$1,$K$2,EVY$4),Table1[],(MATCH(Calendar!$A18,DB!$1:$1,0)),FALSE)&gt;=5,"Good","Bad"),VLOOKUP(DATE($K$1,$K$2,EVY$4),Table1[],(MATCH(Calendar!$A18,DB!$1:$1,0)),FALSE)),"")</f>
        <v/>
      </c>
      <c r="EVZ18" s="28" t="str">
        <f>IFERROR(IF(EWI3="No",IF(VLOOKUP(DATE($K$1,$K$2,EVZ$4),Table1[],(MATCH(Calendar!$A18,DB!$1:$1,0)),FALSE)&gt;=5,"Good","Bad"),VLOOKUP(DATE($K$1,$K$2,EVZ$4),Table1[],(MATCH(Calendar!$A18,DB!$1:$1,0)),FALSE)),"")</f>
        <v/>
      </c>
      <c r="EWA18" s="28" t="str">
        <f>IFERROR(IF(EWJ3="No",IF(VLOOKUP(DATE($K$1,$K$2,EWA$4),Table1[],(MATCH(Calendar!$A18,DB!$1:$1,0)),FALSE)&gt;=5,"Good","Bad"),VLOOKUP(DATE($K$1,$K$2,EWA$4),Table1[],(MATCH(Calendar!$A18,DB!$1:$1,0)),FALSE)),"")</f>
        <v/>
      </c>
      <c r="EWB18" s="28" t="str">
        <f>IFERROR(IF(EWK3="No",IF(VLOOKUP(DATE($K$1,$K$2,EWB$4),Table1[],(MATCH(Calendar!$A18,DB!$1:$1,0)),FALSE)&gt;=5,"Good","Bad"),VLOOKUP(DATE($K$1,$K$2,EWB$4),Table1[],(MATCH(Calendar!$A18,DB!$1:$1,0)),FALSE)),"")</f>
        <v/>
      </c>
      <c r="EWC18" s="28" t="str">
        <f>IFERROR(IF(EWL3="No",IF(VLOOKUP(DATE($K$1,$K$2,EWC$4),Table1[],(MATCH(Calendar!$A18,DB!$1:$1,0)),FALSE)&gt;=5,"Good","Bad"),VLOOKUP(DATE($K$1,$K$2,EWC$4),Table1[],(MATCH(Calendar!$A18,DB!$1:$1,0)),FALSE)),"")</f>
        <v/>
      </c>
      <c r="EWD18" s="28" t="str">
        <f>IFERROR(IF(EWM3="No",IF(VLOOKUP(DATE($K$1,$K$2,EWD$4),Table1[],(MATCH(Calendar!$A18,DB!$1:$1,0)),FALSE)&gt;=5,"Good","Bad"),VLOOKUP(DATE($K$1,$K$2,EWD$4),Table1[],(MATCH(Calendar!$A18,DB!$1:$1,0)),FALSE)),"")</f>
        <v/>
      </c>
      <c r="EWE18" s="28" t="str">
        <f>IFERROR(IF(EWN3="No",IF(VLOOKUP(DATE($K$1,$K$2,EWE$4),Table1[],(MATCH(Calendar!$A18,DB!$1:$1,0)),FALSE)&gt;=5,"Good","Bad"),VLOOKUP(DATE($K$1,$K$2,EWE$4),Table1[],(MATCH(Calendar!$A18,DB!$1:$1,0)),FALSE)),"")</f>
        <v/>
      </c>
      <c r="EWF18" s="28" t="str">
        <f>IFERROR(IF(EWO3="No",IF(VLOOKUP(DATE($K$1,$K$2,EWF$4),Table1[],(MATCH(Calendar!$A18,DB!$1:$1,0)),FALSE)&gt;=5,"Good","Bad"),VLOOKUP(DATE($K$1,$K$2,EWF$4),Table1[],(MATCH(Calendar!$A18,DB!$1:$1,0)),FALSE)),"")</f>
        <v/>
      </c>
      <c r="EWG18" s="28" t="str">
        <f>IFERROR(IF(EWP3="No",IF(VLOOKUP(DATE($K$1,$K$2,EWG$4),Table1[],(MATCH(Calendar!$A18,DB!$1:$1,0)),FALSE)&gt;=5,"Good","Bad"),VLOOKUP(DATE($K$1,$K$2,EWG$4),Table1[],(MATCH(Calendar!$A18,DB!$1:$1,0)),FALSE)),"")</f>
        <v/>
      </c>
      <c r="EWH18" s="28" t="str">
        <f>IFERROR(IF(EWQ3="No",IF(VLOOKUP(DATE($K$1,$K$2,EWH$4),Table1[],(MATCH(Calendar!$A18,DB!$1:$1,0)),FALSE)&gt;=5,"Good","Bad"),VLOOKUP(DATE($K$1,$K$2,EWH$4),Table1[],(MATCH(Calendar!$A18,DB!$1:$1,0)),FALSE)),"")</f>
        <v/>
      </c>
      <c r="EWI18" s="28" t="str">
        <f>IFERROR(IF(EWR3="No",IF(VLOOKUP(DATE($K$1,$K$2,EWI$4),Table1[],(MATCH(Calendar!$A18,DB!$1:$1,0)),FALSE)&gt;=5,"Good","Bad"),VLOOKUP(DATE($K$1,$K$2,EWI$4),Table1[],(MATCH(Calendar!$A18,DB!$1:$1,0)),FALSE)),"")</f>
        <v/>
      </c>
      <c r="EWJ18" s="28" t="str">
        <f>IFERROR(IF(EWS3="No",IF(VLOOKUP(DATE($K$1,$K$2,EWJ$4),Table1[],(MATCH(Calendar!$A18,DB!$1:$1,0)),FALSE)&gt;=5,"Good","Bad"),VLOOKUP(DATE($K$1,$K$2,EWJ$4),Table1[],(MATCH(Calendar!$A18,DB!$1:$1,0)),FALSE)),"")</f>
        <v/>
      </c>
      <c r="EWK18" s="28" t="str">
        <f>IFERROR(IF(EWT3="No",IF(VLOOKUP(DATE($K$1,$K$2,EWK$4),Table1[],(MATCH(Calendar!$A18,DB!$1:$1,0)),FALSE)&gt;=5,"Good","Bad"),VLOOKUP(DATE($K$1,$K$2,EWK$4),Table1[],(MATCH(Calendar!$A18,DB!$1:$1,0)),FALSE)),"")</f>
        <v/>
      </c>
      <c r="EWL18" s="28" t="str">
        <f>IFERROR(IF(EWU3="No",IF(VLOOKUP(DATE($K$1,$K$2,EWL$4),Table1[],(MATCH(Calendar!$A18,DB!$1:$1,0)),FALSE)&gt;=5,"Good","Bad"),VLOOKUP(DATE($K$1,$K$2,EWL$4),Table1[],(MATCH(Calendar!$A18,DB!$1:$1,0)),FALSE)),"")</f>
        <v/>
      </c>
      <c r="EWM18" s="28" t="str">
        <f>IFERROR(IF(EWV3="No",IF(VLOOKUP(DATE($K$1,$K$2,EWM$4),Table1[],(MATCH(Calendar!$A18,DB!$1:$1,0)),FALSE)&gt;=5,"Good","Bad"),VLOOKUP(DATE($K$1,$K$2,EWM$4),Table1[],(MATCH(Calendar!$A18,DB!$1:$1,0)),FALSE)),"")</f>
        <v/>
      </c>
      <c r="EWN18" s="28" t="str">
        <f>IFERROR(IF(EWW3="No",IF(VLOOKUP(DATE($K$1,$K$2,EWN$4),Table1[],(MATCH(Calendar!$A18,DB!$1:$1,0)),FALSE)&gt;=5,"Good","Bad"),VLOOKUP(DATE($K$1,$K$2,EWN$4),Table1[],(MATCH(Calendar!$A18,DB!$1:$1,0)),FALSE)),"")</f>
        <v/>
      </c>
      <c r="EWO18" s="28" t="str">
        <f>IFERROR(IF(EWX3="No",IF(VLOOKUP(DATE($K$1,$K$2,EWO$4),Table1[],(MATCH(Calendar!$A18,DB!$1:$1,0)),FALSE)&gt;=5,"Good","Bad"),VLOOKUP(DATE($K$1,$K$2,EWO$4),Table1[],(MATCH(Calendar!$A18,DB!$1:$1,0)),FALSE)),"")</f>
        <v/>
      </c>
      <c r="EWP18" s="28" t="str">
        <f>IFERROR(IF(EWY3="No",IF(VLOOKUP(DATE($K$1,$K$2,EWP$4),Table1[],(MATCH(Calendar!$A18,DB!$1:$1,0)),FALSE)&gt;=5,"Good","Bad"),VLOOKUP(DATE($K$1,$K$2,EWP$4),Table1[],(MATCH(Calendar!$A18,DB!$1:$1,0)),FALSE)),"")</f>
        <v/>
      </c>
      <c r="EWQ18" s="28" t="str">
        <f>IFERROR(IF(EWZ3="No",IF(VLOOKUP(DATE($K$1,$K$2,EWQ$4),Table1[],(MATCH(Calendar!$A18,DB!$1:$1,0)),FALSE)&gt;=5,"Good","Bad"),VLOOKUP(DATE($K$1,$K$2,EWQ$4),Table1[],(MATCH(Calendar!$A18,DB!$1:$1,0)),FALSE)),"")</f>
        <v/>
      </c>
      <c r="EWR18" s="28" t="str">
        <f>IFERROR(IF(EXA3="No",IF(VLOOKUP(DATE($K$1,$K$2,EWR$4),Table1[],(MATCH(Calendar!$A18,DB!$1:$1,0)),FALSE)&gt;=5,"Good","Bad"),VLOOKUP(DATE($K$1,$K$2,EWR$4),Table1[],(MATCH(Calendar!$A18,DB!$1:$1,0)),FALSE)),"")</f>
        <v/>
      </c>
      <c r="EWS18" s="28" t="str">
        <f>IFERROR(IF(EXB3="No",IF(VLOOKUP(DATE($K$1,$K$2,EWS$4),Table1[],(MATCH(Calendar!$A18,DB!$1:$1,0)),FALSE)&gt;=5,"Good","Bad"),VLOOKUP(DATE($K$1,$K$2,EWS$4),Table1[],(MATCH(Calendar!$A18,DB!$1:$1,0)),FALSE)),"")</f>
        <v/>
      </c>
      <c r="EWT18" s="28" t="str">
        <f>IFERROR(IF(EXC3="No",IF(VLOOKUP(DATE($K$1,$K$2,EWT$4),Table1[],(MATCH(Calendar!$A18,DB!$1:$1,0)),FALSE)&gt;=5,"Good","Bad"),VLOOKUP(DATE($K$1,$K$2,EWT$4),Table1[],(MATCH(Calendar!$A18,DB!$1:$1,0)),FALSE)),"")</f>
        <v/>
      </c>
      <c r="EWU18" s="28" t="str">
        <f>IFERROR(IF(EXD3="No",IF(VLOOKUP(DATE($K$1,$K$2,EWU$4),Table1[],(MATCH(Calendar!$A18,DB!$1:$1,0)),FALSE)&gt;=5,"Good","Bad"),VLOOKUP(DATE($K$1,$K$2,EWU$4),Table1[],(MATCH(Calendar!$A18,DB!$1:$1,0)),FALSE)),"")</f>
        <v/>
      </c>
      <c r="EWV18" s="28" t="str">
        <f>IFERROR(IF(EXE3="No",IF(VLOOKUP(DATE($K$1,$K$2,EWV$4),Table1[],(MATCH(Calendar!$A18,DB!$1:$1,0)),FALSE)&gt;=5,"Good","Bad"),VLOOKUP(DATE($K$1,$K$2,EWV$4),Table1[],(MATCH(Calendar!$A18,DB!$1:$1,0)),FALSE)),"")</f>
        <v/>
      </c>
      <c r="EWW18" s="28" t="str">
        <f>IFERROR(IF(EXF3="No",IF(VLOOKUP(DATE($K$1,$K$2,EWW$4),Table1[],(MATCH(Calendar!$A18,DB!$1:$1,0)),FALSE)&gt;=5,"Good","Bad"),VLOOKUP(DATE($K$1,$K$2,EWW$4),Table1[],(MATCH(Calendar!$A18,DB!$1:$1,0)),FALSE)),"")</f>
        <v/>
      </c>
      <c r="EWX18" s="28" t="str">
        <f>IFERROR(IF(EXG3="No",IF(VLOOKUP(DATE($K$1,$K$2,EWX$4),Table1[],(MATCH(Calendar!$A18,DB!$1:$1,0)),FALSE)&gt;=5,"Good","Bad"),VLOOKUP(DATE($K$1,$K$2,EWX$4),Table1[],(MATCH(Calendar!$A18,DB!$1:$1,0)),FALSE)),"")</f>
        <v/>
      </c>
      <c r="EWY18" s="28" t="str">
        <f>IFERROR(IF(EXH3="No",IF(VLOOKUP(DATE($K$1,$K$2,EWY$4),Table1[],(MATCH(Calendar!$A18,DB!$1:$1,0)),FALSE)&gt;=5,"Good","Bad"),VLOOKUP(DATE($K$1,$K$2,EWY$4),Table1[],(MATCH(Calendar!$A18,DB!$1:$1,0)),FALSE)),"")</f>
        <v/>
      </c>
      <c r="EWZ18" s="28" t="str">
        <f>IFERROR(IF(EXI3="No",IF(VLOOKUP(DATE($K$1,$K$2,EWZ$4),Table1[],(MATCH(Calendar!$A18,DB!$1:$1,0)),FALSE)&gt;=5,"Good","Bad"),VLOOKUP(DATE($K$1,$K$2,EWZ$4),Table1[],(MATCH(Calendar!$A18,DB!$1:$1,0)),FALSE)),"")</f>
        <v/>
      </c>
      <c r="EXA18" s="28" t="str">
        <f>IFERROR(IF(EXJ3="No",IF(VLOOKUP(DATE($K$1,$K$2,EXA$4),Table1[],(MATCH(Calendar!$A18,DB!$1:$1,0)),FALSE)&gt;=5,"Good","Bad"),VLOOKUP(DATE($K$1,$K$2,EXA$4),Table1[],(MATCH(Calendar!$A18,DB!$1:$1,0)),FALSE)),"")</f>
        <v/>
      </c>
      <c r="EXB18" s="28" t="str">
        <f>IFERROR(IF(EXK3="No",IF(VLOOKUP(DATE($K$1,$K$2,EXB$4),Table1[],(MATCH(Calendar!$A18,DB!$1:$1,0)),FALSE)&gt;=5,"Good","Bad"),VLOOKUP(DATE($K$1,$K$2,EXB$4),Table1[],(MATCH(Calendar!$A18,DB!$1:$1,0)),FALSE)),"")</f>
        <v/>
      </c>
      <c r="EXC18" s="28" t="str">
        <f>IFERROR(IF(EXL3="No",IF(VLOOKUP(DATE($K$1,$K$2,EXC$4),Table1[],(MATCH(Calendar!$A18,DB!$1:$1,0)),FALSE)&gt;=5,"Good","Bad"),VLOOKUP(DATE($K$1,$K$2,EXC$4),Table1[],(MATCH(Calendar!$A18,DB!$1:$1,0)),FALSE)),"")</f>
        <v/>
      </c>
      <c r="EXD18" s="28" t="str">
        <f>IFERROR(IF(EXM3="No",IF(VLOOKUP(DATE($K$1,$K$2,EXD$4),Table1[],(MATCH(Calendar!$A18,DB!$1:$1,0)),FALSE)&gt;=5,"Good","Bad"),VLOOKUP(DATE($K$1,$K$2,EXD$4),Table1[],(MATCH(Calendar!$A18,DB!$1:$1,0)),FALSE)),"")</f>
        <v/>
      </c>
      <c r="EXE18" s="28" t="str">
        <f>IFERROR(IF(EXN3="No",IF(VLOOKUP(DATE($K$1,$K$2,EXE$4),Table1[],(MATCH(Calendar!$A18,DB!$1:$1,0)),FALSE)&gt;=5,"Good","Bad"),VLOOKUP(DATE($K$1,$K$2,EXE$4),Table1[],(MATCH(Calendar!$A18,DB!$1:$1,0)),FALSE)),"")</f>
        <v/>
      </c>
      <c r="EXF18" s="28" t="str">
        <f>IFERROR(IF(EXO3="No",IF(VLOOKUP(DATE($K$1,$K$2,EXF$4),Table1[],(MATCH(Calendar!$A18,DB!$1:$1,0)),FALSE)&gt;=5,"Good","Bad"),VLOOKUP(DATE($K$1,$K$2,EXF$4),Table1[],(MATCH(Calendar!$A18,DB!$1:$1,0)),FALSE)),"")</f>
        <v/>
      </c>
      <c r="EXG18" s="28" t="str">
        <f>IFERROR(IF(EXP3="No",IF(VLOOKUP(DATE($K$1,$K$2,EXG$4),Table1[],(MATCH(Calendar!$A18,DB!$1:$1,0)),FALSE)&gt;=5,"Good","Bad"),VLOOKUP(DATE($K$1,$K$2,EXG$4),Table1[],(MATCH(Calendar!$A18,DB!$1:$1,0)),FALSE)),"")</f>
        <v/>
      </c>
      <c r="EXH18" s="28" t="str">
        <f>IFERROR(IF(EXQ3="No",IF(VLOOKUP(DATE($K$1,$K$2,EXH$4),Table1[],(MATCH(Calendar!$A18,DB!$1:$1,0)),FALSE)&gt;=5,"Good","Bad"),VLOOKUP(DATE($K$1,$K$2,EXH$4),Table1[],(MATCH(Calendar!$A18,DB!$1:$1,0)),FALSE)),"")</f>
        <v/>
      </c>
      <c r="EXI18" s="28" t="str">
        <f>IFERROR(IF(EXR3="No",IF(VLOOKUP(DATE($K$1,$K$2,EXI$4),Table1[],(MATCH(Calendar!$A18,DB!$1:$1,0)),FALSE)&gt;=5,"Good","Bad"),VLOOKUP(DATE($K$1,$K$2,EXI$4),Table1[],(MATCH(Calendar!$A18,DB!$1:$1,0)),FALSE)),"")</f>
        <v/>
      </c>
      <c r="EXJ18" s="28" t="str">
        <f>IFERROR(IF(EXS3="No",IF(VLOOKUP(DATE($K$1,$K$2,EXJ$4),Table1[],(MATCH(Calendar!$A18,DB!$1:$1,0)),FALSE)&gt;=5,"Good","Bad"),VLOOKUP(DATE($K$1,$K$2,EXJ$4),Table1[],(MATCH(Calendar!$A18,DB!$1:$1,0)),FALSE)),"")</f>
        <v/>
      </c>
      <c r="EXK18" s="28" t="str">
        <f>IFERROR(IF(EXT3="No",IF(VLOOKUP(DATE($K$1,$K$2,EXK$4),Table1[],(MATCH(Calendar!$A18,DB!$1:$1,0)),FALSE)&gt;=5,"Good","Bad"),VLOOKUP(DATE($K$1,$K$2,EXK$4),Table1[],(MATCH(Calendar!$A18,DB!$1:$1,0)),FALSE)),"")</f>
        <v/>
      </c>
      <c r="EXL18" s="28" t="str">
        <f>IFERROR(IF(EXU3="No",IF(VLOOKUP(DATE($K$1,$K$2,EXL$4),Table1[],(MATCH(Calendar!$A18,DB!$1:$1,0)),FALSE)&gt;=5,"Good","Bad"),VLOOKUP(DATE($K$1,$K$2,EXL$4),Table1[],(MATCH(Calendar!$A18,DB!$1:$1,0)),FALSE)),"")</f>
        <v/>
      </c>
      <c r="EXM18" s="28" t="str">
        <f>IFERROR(IF(EXV3="No",IF(VLOOKUP(DATE($K$1,$K$2,EXM$4),Table1[],(MATCH(Calendar!$A18,DB!$1:$1,0)),FALSE)&gt;=5,"Good","Bad"),VLOOKUP(DATE($K$1,$K$2,EXM$4),Table1[],(MATCH(Calendar!$A18,DB!$1:$1,0)),FALSE)),"")</f>
        <v/>
      </c>
      <c r="EXN18" s="28" t="str">
        <f>IFERROR(IF(EXW3="No",IF(VLOOKUP(DATE($K$1,$K$2,EXN$4),Table1[],(MATCH(Calendar!$A18,DB!$1:$1,0)),FALSE)&gt;=5,"Good","Bad"),VLOOKUP(DATE($K$1,$K$2,EXN$4),Table1[],(MATCH(Calendar!$A18,DB!$1:$1,0)),FALSE)),"")</f>
        <v/>
      </c>
      <c r="EXO18" s="28" t="str">
        <f>IFERROR(IF(EXX3="No",IF(VLOOKUP(DATE($K$1,$K$2,EXO$4),Table1[],(MATCH(Calendar!$A18,DB!$1:$1,0)),FALSE)&gt;=5,"Good","Bad"),VLOOKUP(DATE($K$1,$K$2,EXO$4),Table1[],(MATCH(Calendar!$A18,DB!$1:$1,0)),FALSE)),"")</f>
        <v/>
      </c>
      <c r="EXP18" s="28" t="str">
        <f>IFERROR(IF(EXY3="No",IF(VLOOKUP(DATE($K$1,$K$2,EXP$4),Table1[],(MATCH(Calendar!$A18,DB!$1:$1,0)),FALSE)&gt;=5,"Good","Bad"),VLOOKUP(DATE($K$1,$K$2,EXP$4),Table1[],(MATCH(Calendar!$A18,DB!$1:$1,0)),FALSE)),"")</f>
        <v/>
      </c>
      <c r="EXQ18" s="28" t="str">
        <f>IFERROR(IF(EXZ3="No",IF(VLOOKUP(DATE($K$1,$K$2,EXQ$4),Table1[],(MATCH(Calendar!$A18,DB!$1:$1,0)),FALSE)&gt;=5,"Good","Bad"),VLOOKUP(DATE($K$1,$K$2,EXQ$4),Table1[],(MATCH(Calendar!$A18,DB!$1:$1,0)),FALSE)),"")</f>
        <v/>
      </c>
      <c r="EXR18" s="28" t="str">
        <f>IFERROR(IF(EYA3="No",IF(VLOOKUP(DATE($K$1,$K$2,EXR$4),Table1[],(MATCH(Calendar!$A18,DB!$1:$1,0)),FALSE)&gt;=5,"Good","Bad"),VLOOKUP(DATE($K$1,$K$2,EXR$4),Table1[],(MATCH(Calendar!$A18,DB!$1:$1,0)),FALSE)),"")</f>
        <v/>
      </c>
      <c r="EXS18" s="28" t="str">
        <f>IFERROR(IF(EYB3="No",IF(VLOOKUP(DATE($K$1,$K$2,EXS$4),Table1[],(MATCH(Calendar!$A18,DB!$1:$1,0)),FALSE)&gt;=5,"Good","Bad"),VLOOKUP(DATE($K$1,$K$2,EXS$4),Table1[],(MATCH(Calendar!$A18,DB!$1:$1,0)),FALSE)),"")</f>
        <v/>
      </c>
      <c r="EXT18" s="28" t="str">
        <f>IFERROR(IF(EYC3="No",IF(VLOOKUP(DATE($K$1,$K$2,EXT$4),Table1[],(MATCH(Calendar!$A18,DB!$1:$1,0)),FALSE)&gt;=5,"Good","Bad"),VLOOKUP(DATE($K$1,$K$2,EXT$4),Table1[],(MATCH(Calendar!$A18,DB!$1:$1,0)),FALSE)),"")</f>
        <v/>
      </c>
      <c r="EXU18" s="28" t="str">
        <f>IFERROR(IF(EYD3="No",IF(VLOOKUP(DATE($K$1,$K$2,EXU$4),Table1[],(MATCH(Calendar!$A18,DB!$1:$1,0)),FALSE)&gt;=5,"Good","Bad"),VLOOKUP(DATE($K$1,$K$2,EXU$4),Table1[],(MATCH(Calendar!$A18,DB!$1:$1,0)),FALSE)),"")</f>
        <v/>
      </c>
      <c r="EXV18" s="28" t="str">
        <f>IFERROR(IF(EYE3="No",IF(VLOOKUP(DATE($K$1,$K$2,EXV$4),Table1[],(MATCH(Calendar!$A18,DB!$1:$1,0)),FALSE)&gt;=5,"Good","Bad"),VLOOKUP(DATE($K$1,$K$2,EXV$4),Table1[],(MATCH(Calendar!$A18,DB!$1:$1,0)),FALSE)),"")</f>
        <v/>
      </c>
      <c r="EXW18" s="28" t="str">
        <f>IFERROR(IF(EYF3="No",IF(VLOOKUP(DATE($K$1,$K$2,EXW$4),Table1[],(MATCH(Calendar!$A18,DB!$1:$1,0)),FALSE)&gt;=5,"Good","Bad"),VLOOKUP(DATE($K$1,$K$2,EXW$4),Table1[],(MATCH(Calendar!$A18,DB!$1:$1,0)),FALSE)),"")</f>
        <v/>
      </c>
      <c r="EXX18" s="28" t="str">
        <f>IFERROR(IF(EYG3="No",IF(VLOOKUP(DATE($K$1,$K$2,EXX$4),Table1[],(MATCH(Calendar!$A18,DB!$1:$1,0)),FALSE)&gt;=5,"Good","Bad"),VLOOKUP(DATE($K$1,$K$2,EXX$4),Table1[],(MATCH(Calendar!$A18,DB!$1:$1,0)),FALSE)),"")</f>
        <v/>
      </c>
      <c r="EXY18" s="28" t="str">
        <f>IFERROR(IF(EYH3="No",IF(VLOOKUP(DATE($K$1,$K$2,EXY$4),Table1[],(MATCH(Calendar!$A18,DB!$1:$1,0)),FALSE)&gt;=5,"Good","Bad"),VLOOKUP(DATE($K$1,$K$2,EXY$4),Table1[],(MATCH(Calendar!$A18,DB!$1:$1,0)),FALSE)),"")</f>
        <v/>
      </c>
      <c r="EXZ18" s="28" t="str">
        <f>IFERROR(IF(EYI3="No",IF(VLOOKUP(DATE($K$1,$K$2,EXZ$4),Table1[],(MATCH(Calendar!$A18,DB!$1:$1,0)),FALSE)&gt;=5,"Good","Bad"),VLOOKUP(DATE($K$1,$K$2,EXZ$4),Table1[],(MATCH(Calendar!$A18,DB!$1:$1,0)),FALSE)),"")</f>
        <v/>
      </c>
      <c r="EYA18" s="28" t="str">
        <f>IFERROR(IF(EYJ3="No",IF(VLOOKUP(DATE($K$1,$K$2,EYA$4),Table1[],(MATCH(Calendar!$A18,DB!$1:$1,0)),FALSE)&gt;=5,"Good","Bad"),VLOOKUP(DATE($K$1,$K$2,EYA$4),Table1[],(MATCH(Calendar!$A18,DB!$1:$1,0)),FALSE)),"")</f>
        <v/>
      </c>
      <c r="EYB18" s="28" t="str">
        <f>IFERROR(IF(EYK3="No",IF(VLOOKUP(DATE($K$1,$K$2,EYB$4),Table1[],(MATCH(Calendar!$A18,DB!$1:$1,0)),FALSE)&gt;=5,"Good","Bad"),VLOOKUP(DATE($K$1,$K$2,EYB$4),Table1[],(MATCH(Calendar!$A18,DB!$1:$1,0)),FALSE)),"")</f>
        <v/>
      </c>
      <c r="EYC18" s="28" t="str">
        <f>IFERROR(IF(EYL3="No",IF(VLOOKUP(DATE($K$1,$K$2,EYC$4),Table1[],(MATCH(Calendar!$A18,DB!$1:$1,0)),FALSE)&gt;=5,"Good","Bad"),VLOOKUP(DATE($K$1,$K$2,EYC$4),Table1[],(MATCH(Calendar!$A18,DB!$1:$1,0)),FALSE)),"")</f>
        <v/>
      </c>
      <c r="EYD18" s="28" t="str">
        <f>IFERROR(IF(EYM3="No",IF(VLOOKUP(DATE($K$1,$K$2,EYD$4),Table1[],(MATCH(Calendar!$A18,DB!$1:$1,0)),FALSE)&gt;=5,"Good","Bad"),VLOOKUP(DATE($K$1,$K$2,EYD$4),Table1[],(MATCH(Calendar!$A18,DB!$1:$1,0)),FALSE)),"")</f>
        <v/>
      </c>
      <c r="EYE18" s="28" t="str">
        <f>IFERROR(IF(EYN3="No",IF(VLOOKUP(DATE($K$1,$K$2,EYE$4),Table1[],(MATCH(Calendar!$A18,DB!$1:$1,0)),FALSE)&gt;=5,"Good","Bad"),VLOOKUP(DATE($K$1,$K$2,EYE$4),Table1[],(MATCH(Calendar!$A18,DB!$1:$1,0)),FALSE)),"")</f>
        <v/>
      </c>
      <c r="EYF18" s="28" t="str">
        <f>IFERROR(IF(EYO3="No",IF(VLOOKUP(DATE($K$1,$K$2,EYF$4),Table1[],(MATCH(Calendar!$A18,DB!$1:$1,0)),FALSE)&gt;=5,"Good","Bad"),VLOOKUP(DATE($K$1,$K$2,EYF$4),Table1[],(MATCH(Calendar!$A18,DB!$1:$1,0)),FALSE)),"")</f>
        <v/>
      </c>
      <c r="EYG18" s="28" t="str">
        <f>IFERROR(IF(EYP3="No",IF(VLOOKUP(DATE($K$1,$K$2,EYG$4),Table1[],(MATCH(Calendar!$A18,DB!$1:$1,0)),FALSE)&gt;=5,"Good","Bad"),VLOOKUP(DATE($K$1,$K$2,EYG$4),Table1[],(MATCH(Calendar!$A18,DB!$1:$1,0)),FALSE)),"")</f>
        <v/>
      </c>
      <c r="EYH18" s="28" t="str">
        <f>IFERROR(IF(EYQ3="No",IF(VLOOKUP(DATE($K$1,$K$2,EYH$4),Table1[],(MATCH(Calendar!$A18,DB!$1:$1,0)),FALSE)&gt;=5,"Good","Bad"),VLOOKUP(DATE($K$1,$K$2,EYH$4),Table1[],(MATCH(Calendar!$A18,DB!$1:$1,0)),FALSE)),"")</f>
        <v/>
      </c>
      <c r="EYI18" s="28" t="str">
        <f>IFERROR(IF(EYR3="No",IF(VLOOKUP(DATE($K$1,$K$2,EYI$4),Table1[],(MATCH(Calendar!$A18,DB!$1:$1,0)),FALSE)&gt;=5,"Good","Bad"),VLOOKUP(DATE($K$1,$K$2,EYI$4),Table1[],(MATCH(Calendar!$A18,DB!$1:$1,0)),FALSE)),"")</f>
        <v/>
      </c>
      <c r="EYJ18" s="28" t="str">
        <f>IFERROR(IF(EYS3="No",IF(VLOOKUP(DATE($K$1,$K$2,EYJ$4),Table1[],(MATCH(Calendar!$A18,DB!$1:$1,0)),FALSE)&gt;=5,"Good","Bad"),VLOOKUP(DATE($K$1,$K$2,EYJ$4),Table1[],(MATCH(Calendar!$A18,DB!$1:$1,0)),FALSE)),"")</f>
        <v/>
      </c>
      <c r="EYK18" s="28" t="str">
        <f>IFERROR(IF(EYT3="No",IF(VLOOKUP(DATE($K$1,$K$2,EYK$4),Table1[],(MATCH(Calendar!$A18,DB!$1:$1,0)),FALSE)&gt;=5,"Good","Bad"),VLOOKUP(DATE($K$1,$K$2,EYK$4),Table1[],(MATCH(Calendar!$A18,DB!$1:$1,0)),FALSE)),"")</f>
        <v/>
      </c>
      <c r="EYL18" s="28" t="str">
        <f>IFERROR(IF(EYU3="No",IF(VLOOKUP(DATE($K$1,$K$2,EYL$4),Table1[],(MATCH(Calendar!$A18,DB!$1:$1,0)),FALSE)&gt;=5,"Good","Bad"),VLOOKUP(DATE($K$1,$K$2,EYL$4),Table1[],(MATCH(Calendar!$A18,DB!$1:$1,0)),FALSE)),"")</f>
        <v/>
      </c>
      <c r="EYM18" s="28" t="str">
        <f>IFERROR(IF(EYV3="No",IF(VLOOKUP(DATE($K$1,$K$2,EYM$4),Table1[],(MATCH(Calendar!$A18,DB!$1:$1,0)),FALSE)&gt;=5,"Good","Bad"),VLOOKUP(DATE($K$1,$K$2,EYM$4),Table1[],(MATCH(Calendar!$A18,DB!$1:$1,0)),FALSE)),"")</f>
        <v/>
      </c>
      <c r="EYN18" s="28" t="str">
        <f>IFERROR(IF(EYW3="No",IF(VLOOKUP(DATE($K$1,$K$2,EYN$4),Table1[],(MATCH(Calendar!$A18,DB!$1:$1,0)),FALSE)&gt;=5,"Good","Bad"),VLOOKUP(DATE($K$1,$K$2,EYN$4),Table1[],(MATCH(Calendar!$A18,DB!$1:$1,0)),FALSE)),"")</f>
        <v/>
      </c>
      <c r="EYO18" s="28" t="str">
        <f>IFERROR(IF(EYX3="No",IF(VLOOKUP(DATE($K$1,$K$2,EYO$4),Table1[],(MATCH(Calendar!$A18,DB!$1:$1,0)),FALSE)&gt;=5,"Good","Bad"),VLOOKUP(DATE($K$1,$K$2,EYO$4),Table1[],(MATCH(Calendar!$A18,DB!$1:$1,0)),FALSE)),"")</f>
        <v/>
      </c>
      <c r="EYP18" s="28" t="str">
        <f>IFERROR(IF(EYY3="No",IF(VLOOKUP(DATE($K$1,$K$2,EYP$4),Table1[],(MATCH(Calendar!$A18,DB!$1:$1,0)),FALSE)&gt;=5,"Good","Bad"),VLOOKUP(DATE($K$1,$K$2,EYP$4),Table1[],(MATCH(Calendar!$A18,DB!$1:$1,0)),FALSE)),"")</f>
        <v/>
      </c>
      <c r="EYQ18" s="28" t="str">
        <f>IFERROR(IF(EYZ3="No",IF(VLOOKUP(DATE($K$1,$K$2,EYQ$4),Table1[],(MATCH(Calendar!$A18,DB!$1:$1,0)),FALSE)&gt;=5,"Good","Bad"),VLOOKUP(DATE($K$1,$K$2,EYQ$4),Table1[],(MATCH(Calendar!$A18,DB!$1:$1,0)),FALSE)),"")</f>
        <v/>
      </c>
      <c r="EYR18" s="28" t="str">
        <f>IFERROR(IF(EZA3="No",IF(VLOOKUP(DATE($K$1,$K$2,EYR$4),Table1[],(MATCH(Calendar!$A18,DB!$1:$1,0)),FALSE)&gt;=5,"Good","Bad"),VLOOKUP(DATE($K$1,$K$2,EYR$4),Table1[],(MATCH(Calendar!$A18,DB!$1:$1,0)),FALSE)),"")</f>
        <v/>
      </c>
      <c r="EYS18" s="28" t="str">
        <f>IFERROR(IF(EZB3="No",IF(VLOOKUP(DATE($K$1,$K$2,EYS$4),Table1[],(MATCH(Calendar!$A18,DB!$1:$1,0)),FALSE)&gt;=5,"Good","Bad"),VLOOKUP(DATE($K$1,$K$2,EYS$4),Table1[],(MATCH(Calendar!$A18,DB!$1:$1,0)),FALSE)),"")</f>
        <v/>
      </c>
      <c r="EYT18" s="28" t="str">
        <f>IFERROR(IF(EZC3="No",IF(VLOOKUP(DATE($K$1,$K$2,EYT$4),Table1[],(MATCH(Calendar!$A18,DB!$1:$1,0)),FALSE)&gt;=5,"Good","Bad"),VLOOKUP(DATE($K$1,$K$2,EYT$4),Table1[],(MATCH(Calendar!$A18,DB!$1:$1,0)),FALSE)),"")</f>
        <v/>
      </c>
      <c r="EYU18" s="28" t="str">
        <f>IFERROR(IF(EZD3="No",IF(VLOOKUP(DATE($K$1,$K$2,EYU$4),Table1[],(MATCH(Calendar!$A18,DB!$1:$1,0)),FALSE)&gt;=5,"Good","Bad"),VLOOKUP(DATE($K$1,$K$2,EYU$4),Table1[],(MATCH(Calendar!$A18,DB!$1:$1,0)),FALSE)),"")</f>
        <v/>
      </c>
      <c r="EYV18" s="28" t="str">
        <f>IFERROR(IF(EZE3="No",IF(VLOOKUP(DATE($K$1,$K$2,EYV$4),Table1[],(MATCH(Calendar!$A18,DB!$1:$1,0)),FALSE)&gt;=5,"Good","Bad"),VLOOKUP(DATE($K$1,$K$2,EYV$4),Table1[],(MATCH(Calendar!$A18,DB!$1:$1,0)),FALSE)),"")</f>
        <v/>
      </c>
      <c r="EYW18" s="28" t="str">
        <f>IFERROR(IF(EZF3="No",IF(VLOOKUP(DATE($K$1,$K$2,EYW$4),Table1[],(MATCH(Calendar!$A18,DB!$1:$1,0)),FALSE)&gt;=5,"Good","Bad"),VLOOKUP(DATE($K$1,$K$2,EYW$4),Table1[],(MATCH(Calendar!$A18,DB!$1:$1,0)),FALSE)),"")</f>
        <v/>
      </c>
      <c r="EYX18" s="28" t="str">
        <f>IFERROR(IF(EZG3="No",IF(VLOOKUP(DATE($K$1,$K$2,EYX$4),Table1[],(MATCH(Calendar!$A18,DB!$1:$1,0)),FALSE)&gt;=5,"Good","Bad"),VLOOKUP(DATE($K$1,$K$2,EYX$4),Table1[],(MATCH(Calendar!$A18,DB!$1:$1,0)),FALSE)),"")</f>
        <v/>
      </c>
      <c r="EYY18" s="28" t="str">
        <f>IFERROR(IF(EZH3="No",IF(VLOOKUP(DATE($K$1,$K$2,EYY$4),Table1[],(MATCH(Calendar!$A18,DB!$1:$1,0)),FALSE)&gt;=5,"Good","Bad"),VLOOKUP(DATE($K$1,$K$2,EYY$4),Table1[],(MATCH(Calendar!$A18,DB!$1:$1,0)),FALSE)),"")</f>
        <v/>
      </c>
      <c r="EYZ18" s="28" t="str">
        <f>IFERROR(IF(EZI3="No",IF(VLOOKUP(DATE($K$1,$K$2,EYZ$4),Table1[],(MATCH(Calendar!$A18,DB!$1:$1,0)),FALSE)&gt;=5,"Good","Bad"),VLOOKUP(DATE($K$1,$K$2,EYZ$4),Table1[],(MATCH(Calendar!$A18,DB!$1:$1,0)),FALSE)),"")</f>
        <v/>
      </c>
      <c r="EZA18" s="28" t="str">
        <f>IFERROR(IF(EZJ3="No",IF(VLOOKUP(DATE($K$1,$K$2,EZA$4),Table1[],(MATCH(Calendar!$A18,DB!$1:$1,0)),FALSE)&gt;=5,"Good","Bad"),VLOOKUP(DATE($K$1,$K$2,EZA$4),Table1[],(MATCH(Calendar!$A18,DB!$1:$1,0)),FALSE)),"")</f>
        <v/>
      </c>
      <c r="EZB18" s="28" t="str">
        <f>IFERROR(IF(EZK3="No",IF(VLOOKUP(DATE($K$1,$K$2,EZB$4),Table1[],(MATCH(Calendar!$A18,DB!$1:$1,0)),FALSE)&gt;=5,"Good","Bad"),VLOOKUP(DATE($K$1,$K$2,EZB$4),Table1[],(MATCH(Calendar!$A18,DB!$1:$1,0)),FALSE)),"")</f>
        <v/>
      </c>
      <c r="EZC18" s="28" t="str">
        <f>IFERROR(IF(EZL3="No",IF(VLOOKUP(DATE($K$1,$K$2,EZC$4),Table1[],(MATCH(Calendar!$A18,DB!$1:$1,0)),FALSE)&gt;=5,"Good","Bad"),VLOOKUP(DATE($K$1,$K$2,EZC$4),Table1[],(MATCH(Calendar!$A18,DB!$1:$1,0)),FALSE)),"")</f>
        <v/>
      </c>
      <c r="EZD18" s="28" t="str">
        <f>IFERROR(IF(EZM3="No",IF(VLOOKUP(DATE($K$1,$K$2,EZD$4),Table1[],(MATCH(Calendar!$A18,DB!$1:$1,0)),FALSE)&gt;=5,"Good","Bad"),VLOOKUP(DATE($K$1,$K$2,EZD$4),Table1[],(MATCH(Calendar!$A18,DB!$1:$1,0)),FALSE)),"")</f>
        <v/>
      </c>
      <c r="EZE18" s="28" t="str">
        <f>IFERROR(IF(EZN3="No",IF(VLOOKUP(DATE($K$1,$K$2,EZE$4),Table1[],(MATCH(Calendar!$A18,DB!$1:$1,0)),FALSE)&gt;=5,"Good","Bad"),VLOOKUP(DATE($K$1,$K$2,EZE$4),Table1[],(MATCH(Calendar!$A18,DB!$1:$1,0)),FALSE)),"")</f>
        <v/>
      </c>
      <c r="EZF18" s="28" t="str">
        <f>IFERROR(IF(EZO3="No",IF(VLOOKUP(DATE($K$1,$K$2,EZF$4),Table1[],(MATCH(Calendar!$A18,DB!$1:$1,0)),FALSE)&gt;=5,"Good","Bad"),VLOOKUP(DATE($K$1,$K$2,EZF$4),Table1[],(MATCH(Calendar!$A18,DB!$1:$1,0)),FALSE)),"")</f>
        <v/>
      </c>
      <c r="EZG18" s="28" t="str">
        <f>IFERROR(IF(EZP3="No",IF(VLOOKUP(DATE($K$1,$K$2,EZG$4),Table1[],(MATCH(Calendar!$A18,DB!$1:$1,0)),FALSE)&gt;=5,"Good","Bad"),VLOOKUP(DATE($K$1,$K$2,EZG$4),Table1[],(MATCH(Calendar!$A18,DB!$1:$1,0)),FALSE)),"")</f>
        <v/>
      </c>
      <c r="EZH18" s="28" t="str">
        <f>IFERROR(IF(EZQ3="No",IF(VLOOKUP(DATE($K$1,$K$2,EZH$4),Table1[],(MATCH(Calendar!$A18,DB!$1:$1,0)),FALSE)&gt;=5,"Good","Bad"),VLOOKUP(DATE($K$1,$K$2,EZH$4),Table1[],(MATCH(Calendar!$A18,DB!$1:$1,0)),FALSE)),"")</f>
        <v/>
      </c>
      <c r="EZI18" s="28" t="str">
        <f>IFERROR(IF(EZR3="No",IF(VLOOKUP(DATE($K$1,$K$2,EZI$4),Table1[],(MATCH(Calendar!$A18,DB!$1:$1,0)),FALSE)&gt;=5,"Good","Bad"),VLOOKUP(DATE($K$1,$K$2,EZI$4),Table1[],(MATCH(Calendar!$A18,DB!$1:$1,0)),FALSE)),"")</f>
        <v/>
      </c>
      <c r="EZJ18" s="28" t="str">
        <f>IFERROR(IF(EZS3="No",IF(VLOOKUP(DATE($K$1,$K$2,EZJ$4),Table1[],(MATCH(Calendar!$A18,DB!$1:$1,0)),FALSE)&gt;=5,"Good","Bad"),VLOOKUP(DATE($K$1,$K$2,EZJ$4),Table1[],(MATCH(Calendar!$A18,DB!$1:$1,0)),FALSE)),"")</f>
        <v/>
      </c>
      <c r="EZK18" s="28" t="str">
        <f>IFERROR(IF(EZT3="No",IF(VLOOKUP(DATE($K$1,$K$2,EZK$4),Table1[],(MATCH(Calendar!$A18,DB!$1:$1,0)),FALSE)&gt;=5,"Good","Bad"),VLOOKUP(DATE($K$1,$K$2,EZK$4),Table1[],(MATCH(Calendar!$A18,DB!$1:$1,0)),FALSE)),"")</f>
        <v/>
      </c>
      <c r="EZL18" s="28" t="str">
        <f>IFERROR(IF(EZU3="No",IF(VLOOKUP(DATE($K$1,$K$2,EZL$4),Table1[],(MATCH(Calendar!$A18,DB!$1:$1,0)),FALSE)&gt;=5,"Good","Bad"),VLOOKUP(DATE($K$1,$K$2,EZL$4),Table1[],(MATCH(Calendar!$A18,DB!$1:$1,0)),FALSE)),"")</f>
        <v/>
      </c>
      <c r="EZM18" s="28" t="str">
        <f>IFERROR(IF(EZV3="No",IF(VLOOKUP(DATE($K$1,$K$2,EZM$4),Table1[],(MATCH(Calendar!$A18,DB!$1:$1,0)),FALSE)&gt;=5,"Good","Bad"),VLOOKUP(DATE($K$1,$K$2,EZM$4),Table1[],(MATCH(Calendar!$A18,DB!$1:$1,0)),FALSE)),"")</f>
        <v/>
      </c>
      <c r="EZN18" s="28" t="str">
        <f>IFERROR(IF(EZW3="No",IF(VLOOKUP(DATE($K$1,$K$2,EZN$4),Table1[],(MATCH(Calendar!$A18,DB!$1:$1,0)),FALSE)&gt;=5,"Good","Bad"),VLOOKUP(DATE($K$1,$K$2,EZN$4),Table1[],(MATCH(Calendar!$A18,DB!$1:$1,0)),FALSE)),"")</f>
        <v/>
      </c>
      <c r="EZO18" s="28" t="str">
        <f>IFERROR(IF(EZX3="No",IF(VLOOKUP(DATE($K$1,$K$2,EZO$4),Table1[],(MATCH(Calendar!$A18,DB!$1:$1,0)),FALSE)&gt;=5,"Good","Bad"),VLOOKUP(DATE($K$1,$K$2,EZO$4),Table1[],(MATCH(Calendar!$A18,DB!$1:$1,0)),FALSE)),"")</f>
        <v/>
      </c>
      <c r="EZP18" s="28" t="str">
        <f>IFERROR(IF(EZY3="No",IF(VLOOKUP(DATE($K$1,$K$2,EZP$4),Table1[],(MATCH(Calendar!$A18,DB!$1:$1,0)),FALSE)&gt;=5,"Good","Bad"),VLOOKUP(DATE($K$1,$K$2,EZP$4),Table1[],(MATCH(Calendar!$A18,DB!$1:$1,0)),FALSE)),"")</f>
        <v/>
      </c>
      <c r="EZQ18" s="28" t="str">
        <f>IFERROR(IF(EZZ3="No",IF(VLOOKUP(DATE($K$1,$K$2,EZQ$4),Table1[],(MATCH(Calendar!$A18,DB!$1:$1,0)),FALSE)&gt;=5,"Good","Bad"),VLOOKUP(DATE($K$1,$K$2,EZQ$4),Table1[],(MATCH(Calendar!$A18,DB!$1:$1,0)),FALSE)),"")</f>
        <v/>
      </c>
      <c r="EZR18" s="28" t="str">
        <f>IFERROR(IF(FAA3="No",IF(VLOOKUP(DATE($K$1,$K$2,EZR$4),Table1[],(MATCH(Calendar!$A18,DB!$1:$1,0)),FALSE)&gt;=5,"Good","Bad"),VLOOKUP(DATE($K$1,$K$2,EZR$4),Table1[],(MATCH(Calendar!$A18,DB!$1:$1,0)),FALSE)),"")</f>
        <v/>
      </c>
      <c r="EZS18" s="28" t="str">
        <f>IFERROR(IF(FAB3="No",IF(VLOOKUP(DATE($K$1,$K$2,EZS$4),Table1[],(MATCH(Calendar!$A18,DB!$1:$1,0)),FALSE)&gt;=5,"Good","Bad"),VLOOKUP(DATE($K$1,$K$2,EZS$4),Table1[],(MATCH(Calendar!$A18,DB!$1:$1,0)),FALSE)),"")</f>
        <v/>
      </c>
      <c r="EZT18" s="28" t="str">
        <f>IFERROR(IF(FAC3="No",IF(VLOOKUP(DATE($K$1,$K$2,EZT$4),Table1[],(MATCH(Calendar!$A18,DB!$1:$1,0)),FALSE)&gt;=5,"Good","Bad"),VLOOKUP(DATE($K$1,$K$2,EZT$4),Table1[],(MATCH(Calendar!$A18,DB!$1:$1,0)),FALSE)),"")</f>
        <v/>
      </c>
      <c r="EZU18" s="28" t="str">
        <f>IFERROR(IF(FAD3="No",IF(VLOOKUP(DATE($K$1,$K$2,EZU$4),Table1[],(MATCH(Calendar!$A18,DB!$1:$1,0)),FALSE)&gt;=5,"Good","Bad"),VLOOKUP(DATE($K$1,$K$2,EZU$4),Table1[],(MATCH(Calendar!$A18,DB!$1:$1,0)),FALSE)),"")</f>
        <v/>
      </c>
      <c r="EZV18" s="28" t="str">
        <f>IFERROR(IF(FAE3="No",IF(VLOOKUP(DATE($K$1,$K$2,EZV$4),Table1[],(MATCH(Calendar!$A18,DB!$1:$1,0)),FALSE)&gt;=5,"Good","Bad"),VLOOKUP(DATE($K$1,$K$2,EZV$4),Table1[],(MATCH(Calendar!$A18,DB!$1:$1,0)),FALSE)),"")</f>
        <v/>
      </c>
      <c r="EZW18" s="28" t="str">
        <f>IFERROR(IF(FAF3="No",IF(VLOOKUP(DATE($K$1,$K$2,EZW$4),Table1[],(MATCH(Calendar!$A18,DB!$1:$1,0)),FALSE)&gt;=5,"Good","Bad"),VLOOKUP(DATE($K$1,$K$2,EZW$4),Table1[],(MATCH(Calendar!$A18,DB!$1:$1,0)),FALSE)),"")</f>
        <v/>
      </c>
      <c r="EZX18" s="28" t="str">
        <f>IFERROR(IF(FAG3="No",IF(VLOOKUP(DATE($K$1,$K$2,EZX$4),Table1[],(MATCH(Calendar!$A18,DB!$1:$1,0)),FALSE)&gt;=5,"Good","Bad"),VLOOKUP(DATE($K$1,$K$2,EZX$4),Table1[],(MATCH(Calendar!$A18,DB!$1:$1,0)),FALSE)),"")</f>
        <v/>
      </c>
      <c r="EZY18" s="28" t="str">
        <f>IFERROR(IF(FAH3="No",IF(VLOOKUP(DATE($K$1,$K$2,EZY$4),Table1[],(MATCH(Calendar!$A18,DB!$1:$1,0)),FALSE)&gt;=5,"Good","Bad"),VLOOKUP(DATE($K$1,$K$2,EZY$4),Table1[],(MATCH(Calendar!$A18,DB!$1:$1,0)),FALSE)),"")</f>
        <v/>
      </c>
      <c r="EZZ18" s="28" t="str">
        <f>IFERROR(IF(FAI3="No",IF(VLOOKUP(DATE($K$1,$K$2,EZZ$4),Table1[],(MATCH(Calendar!$A18,DB!$1:$1,0)),FALSE)&gt;=5,"Good","Bad"),VLOOKUP(DATE($K$1,$K$2,EZZ$4),Table1[],(MATCH(Calendar!$A18,DB!$1:$1,0)),FALSE)),"")</f>
        <v/>
      </c>
      <c r="FAA18" s="28" t="str">
        <f>IFERROR(IF(FAJ3="No",IF(VLOOKUP(DATE($K$1,$K$2,FAA$4),Table1[],(MATCH(Calendar!$A18,DB!$1:$1,0)),FALSE)&gt;=5,"Good","Bad"),VLOOKUP(DATE($K$1,$K$2,FAA$4),Table1[],(MATCH(Calendar!$A18,DB!$1:$1,0)),FALSE)),"")</f>
        <v/>
      </c>
      <c r="FAB18" s="28" t="str">
        <f>IFERROR(IF(FAK3="No",IF(VLOOKUP(DATE($K$1,$K$2,FAB$4),Table1[],(MATCH(Calendar!$A18,DB!$1:$1,0)),FALSE)&gt;=5,"Good","Bad"),VLOOKUP(DATE($K$1,$K$2,FAB$4),Table1[],(MATCH(Calendar!$A18,DB!$1:$1,0)),FALSE)),"")</f>
        <v/>
      </c>
      <c r="FAC18" s="28" t="str">
        <f>IFERROR(IF(FAL3="No",IF(VLOOKUP(DATE($K$1,$K$2,FAC$4),Table1[],(MATCH(Calendar!$A18,DB!$1:$1,0)),FALSE)&gt;=5,"Good","Bad"),VLOOKUP(DATE($K$1,$K$2,FAC$4),Table1[],(MATCH(Calendar!$A18,DB!$1:$1,0)),FALSE)),"")</f>
        <v/>
      </c>
      <c r="FAD18" s="28" t="str">
        <f>IFERROR(IF(FAM3="No",IF(VLOOKUP(DATE($K$1,$K$2,FAD$4),Table1[],(MATCH(Calendar!$A18,DB!$1:$1,0)),FALSE)&gt;=5,"Good","Bad"),VLOOKUP(DATE($K$1,$K$2,FAD$4),Table1[],(MATCH(Calendar!$A18,DB!$1:$1,0)),FALSE)),"")</f>
        <v/>
      </c>
      <c r="FAE18" s="28" t="str">
        <f>IFERROR(IF(FAN3="No",IF(VLOOKUP(DATE($K$1,$K$2,FAE$4),Table1[],(MATCH(Calendar!$A18,DB!$1:$1,0)),FALSE)&gt;=5,"Good","Bad"),VLOOKUP(DATE($K$1,$K$2,FAE$4),Table1[],(MATCH(Calendar!$A18,DB!$1:$1,0)),FALSE)),"")</f>
        <v/>
      </c>
      <c r="FAF18" s="28" t="str">
        <f>IFERROR(IF(FAO3="No",IF(VLOOKUP(DATE($K$1,$K$2,FAF$4),Table1[],(MATCH(Calendar!$A18,DB!$1:$1,0)),FALSE)&gt;=5,"Good","Bad"),VLOOKUP(DATE($K$1,$K$2,FAF$4),Table1[],(MATCH(Calendar!$A18,DB!$1:$1,0)),FALSE)),"")</f>
        <v/>
      </c>
      <c r="FAG18" s="28" t="str">
        <f>IFERROR(IF(FAP3="No",IF(VLOOKUP(DATE($K$1,$K$2,FAG$4),Table1[],(MATCH(Calendar!$A18,DB!$1:$1,0)),FALSE)&gt;=5,"Good","Bad"),VLOOKUP(DATE($K$1,$K$2,FAG$4),Table1[],(MATCH(Calendar!$A18,DB!$1:$1,0)),FALSE)),"")</f>
        <v/>
      </c>
      <c r="FAH18" s="28" t="str">
        <f>IFERROR(IF(FAQ3="No",IF(VLOOKUP(DATE($K$1,$K$2,FAH$4),Table1[],(MATCH(Calendar!$A18,DB!$1:$1,0)),FALSE)&gt;=5,"Good","Bad"),VLOOKUP(DATE($K$1,$K$2,FAH$4),Table1[],(MATCH(Calendar!$A18,DB!$1:$1,0)),FALSE)),"")</f>
        <v/>
      </c>
      <c r="FAI18" s="28" t="str">
        <f>IFERROR(IF(FAR3="No",IF(VLOOKUP(DATE($K$1,$K$2,FAI$4),Table1[],(MATCH(Calendar!$A18,DB!$1:$1,0)),FALSE)&gt;=5,"Good","Bad"),VLOOKUP(DATE($K$1,$K$2,FAI$4),Table1[],(MATCH(Calendar!$A18,DB!$1:$1,0)),FALSE)),"")</f>
        <v/>
      </c>
      <c r="FAJ18" s="28" t="str">
        <f>IFERROR(IF(FAS3="No",IF(VLOOKUP(DATE($K$1,$K$2,FAJ$4),Table1[],(MATCH(Calendar!$A18,DB!$1:$1,0)),FALSE)&gt;=5,"Good","Bad"),VLOOKUP(DATE($K$1,$K$2,FAJ$4),Table1[],(MATCH(Calendar!$A18,DB!$1:$1,0)),FALSE)),"")</f>
        <v/>
      </c>
      <c r="FAK18" s="28" t="str">
        <f>IFERROR(IF(FAT3="No",IF(VLOOKUP(DATE($K$1,$K$2,FAK$4),Table1[],(MATCH(Calendar!$A18,DB!$1:$1,0)),FALSE)&gt;=5,"Good","Bad"),VLOOKUP(DATE($K$1,$K$2,FAK$4),Table1[],(MATCH(Calendar!$A18,DB!$1:$1,0)),FALSE)),"")</f>
        <v/>
      </c>
      <c r="FAL18" s="28" t="str">
        <f>IFERROR(IF(FAU3="No",IF(VLOOKUP(DATE($K$1,$K$2,FAL$4),Table1[],(MATCH(Calendar!$A18,DB!$1:$1,0)),FALSE)&gt;=5,"Good","Bad"),VLOOKUP(DATE($K$1,$K$2,FAL$4),Table1[],(MATCH(Calendar!$A18,DB!$1:$1,0)),FALSE)),"")</f>
        <v/>
      </c>
      <c r="FAM18" s="28" t="str">
        <f>IFERROR(IF(FAV3="No",IF(VLOOKUP(DATE($K$1,$K$2,FAM$4),Table1[],(MATCH(Calendar!$A18,DB!$1:$1,0)),FALSE)&gt;=5,"Good","Bad"),VLOOKUP(DATE($K$1,$K$2,FAM$4),Table1[],(MATCH(Calendar!$A18,DB!$1:$1,0)),FALSE)),"")</f>
        <v/>
      </c>
      <c r="FAN18" s="28" t="str">
        <f>IFERROR(IF(FAW3="No",IF(VLOOKUP(DATE($K$1,$K$2,FAN$4),Table1[],(MATCH(Calendar!$A18,DB!$1:$1,0)),FALSE)&gt;=5,"Good","Bad"),VLOOKUP(DATE($K$1,$K$2,FAN$4),Table1[],(MATCH(Calendar!$A18,DB!$1:$1,0)),FALSE)),"")</f>
        <v/>
      </c>
      <c r="FAO18" s="28" t="str">
        <f>IFERROR(IF(FAX3="No",IF(VLOOKUP(DATE($K$1,$K$2,FAO$4),Table1[],(MATCH(Calendar!$A18,DB!$1:$1,0)),FALSE)&gt;=5,"Good","Bad"),VLOOKUP(DATE($K$1,$K$2,FAO$4),Table1[],(MATCH(Calendar!$A18,DB!$1:$1,0)),FALSE)),"")</f>
        <v/>
      </c>
      <c r="FAP18" s="28" t="str">
        <f>IFERROR(IF(FAY3="No",IF(VLOOKUP(DATE($K$1,$K$2,FAP$4),Table1[],(MATCH(Calendar!$A18,DB!$1:$1,0)),FALSE)&gt;=5,"Good","Bad"),VLOOKUP(DATE($K$1,$K$2,FAP$4),Table1[],(MATCH(Calendar!$A18,DB!$1:$1,0)),FALSE)),"")</f>
        <v/>
      </c>
      <c r="FAQ18" s="28" t="str">
        <f>IFERROR(IF(FAZ3="No",IF(VLOOKUP(DATE($K$1,$K$2,FAQ$4),Table1[],(MATCH(Calendar!$A18,DB!$1:$1,0)),FALSE)&gt;=5,"Good","Bad"),VLOOKUP(DATE($K$1,$K$2,FAQ$4),Table1[],(MATCH(Calendar!$A18,DB!$1:$1,0)),FALSE)),"")</f>
        <v/>
      </c>
      <c r="FAR18" s="28" t="str">
        <f>IFERROR(IF(FBA3="No",IF(VLOOKUP(DATE($K$1,$K$2,FAR$4),Table1[],(MATCH(Calendar!$A18,DB!$1:$1,0)),FALSE)&gt;=5,"Good","Bad"),VLOOKUP(DATE($K$1,$K$2,FAR$4),Table1[],(MATCH(Calendar!$A18,DB!$1:$1,0)),FALSE)),"")</f>
        <v/>
      </c>
      <c r="FAS18" s="28" t="str">
        <f>IFERROR(IF(FBB3="No",IF(VLOOKUP(DATE($K$1,$K$2,FAS$4),Table1[],(MATCH(Calendar!$A18,DB!$1:$1,0)),FALSE)&gt;=5,"Good","Bad"),VLOOKUP(DATE($K$1,$K$2,FAS$4),Table1[],(MATCH(Calendar!$A18,DB!$1:$1,0)),FALSE)),"")</f>
        <v/>
      </c>
      <c r="FAT18" s="28" t="str">
        <f>IFERROR(IF(FBC3="No",IF(VLOOKUP(DATE($K$1,$K$2,FAT$4),Table1[],(MATCH(Calendar!$A18,DB!$1:$1,0)),FALSE)&gt;=5,"Good","Bad"),VLOOKUP(DATE($K$1,$K$2,FAT$4),Table1[],(MATCH(Calendar!$A18,DB!$1:$1,0)),FALSE)),"")</f>
        <v/>
      </c>
      <c r="FAU18" s="28" t="str">
        <f>IFERROR(IF(FBD3="No",IF(VLOOKUP(DATE($K$1,$K$2,FAU$4),Table1[],(MATCH(Calendar!$A18,DB!$1:$1,0)),FALSE)&gt;=5,"Good","Bad"),VLOOKUP(DATE($K$1,$K$2,FAU$4),Table1[],(MATCH(Calendar!$A18,DB!$1:$1,0)),FALSE)),"")</f>
        <v/>
      </c>
      <c r="FAV18" s="28" t="str">
        <f>IFERROR(IF(FBE3="No",IF(VLOOKUP(DATE($K$1,$K$2,FAV$4),Table1[],(MATCH(Calendar!$A18,DB!$1:$1,0)),FALSE)&gt;=5,"Good","Bad"),VLOOKUP(DATE($K$1,$K$2,FAV$4),Table1[],(MATCH(Calendar!$A18,DB!$1:$1,0)),FALSE)),"")</f>
        <v/>
      </c>
      <c r="FAW18" s="28" t="str">
        <f>IFERROR(IF(FBF3="No",IF(VLOOKUP(DATE($K$1,$K$2,FAW$4),Table1[],(MATCH(Calendar!$A18,DB!$1:$1,0)),FALSE)&gt;=5,"Good","Bad"),VLOOKUP(DATE($K$1,$K$2,FAW$4),Table1[],(MATCH(Calendar!$A18,DB!$1:$1,0)),FALSE)),"")</f>
        <v/>
      </c>
      <c r="FAX18" s="28" t="str">
        <f>IFERROR(IF(FBG3="No",IF(VLOOKUP(DATE($K$1,$K$2,FAX$4),Table1[],(MATCH(Calendar!$A18,DB!$1:$1,0)),FALSE)&gt;=5,"Good","Bad"),VLOOKUP(DATE($K$1,$K$2,FAX$4),Table1[],(MATCH(Calendar!$A18,DB!$1:$1,0)),FALSE)),"")</f>
        <v/>
      </c>
      <c r="FAY18" s="28" t="str">
        <f>IFERROR(IF(FBH3="No",IF(VLOOKUP(DATE($K$1,$K$2,FAY$4),Table1[],(MATCH(Calendar!$A18,DB!$1:$1,0)),FALSE)&gt;=5,"Good","Bad"),VLOOKUP(DATE($K$1,$K$2,FAY$4),Table1[],(MATCH(Calendar!$A18,DB!$1:$1,0)),FALSE)),"")</f>
        <v/>
      </c>
      <c r="FAZ18" s="28" t="str">
        <f>IFERROR(IF(FBI3="No",IF(VLOOKUP(DATE($K$1,$K$2,FAZ$4),Table1[],(MATCH(Calendar!$A18,DB!$1:$1,0)),FALSE)&gt;=5,"Good","Bad"),VLOOKUP(DATE($K$1,$K$2,FAZ$4),Table1[],(MATCH(Calendar!$A18,DB!$1:$1,0)),FALSE)),"")</f>
        <v/>
      </c>
      <c r="FBA18" s="28" t="str">
        <f>IFERROR(IF(FBJ3="No",IF(VLOOKUP(DATE($K$1,$K$2,FBA$4),Table1[],(MATCH(Calendar!$A18,DB!$1:$1,0)),FALSE)&gt;=5,"Good","Bad"),VLOOKUP(DATE($K$1,$K$2,FBA$4),Table1[],(MATCH(Calendar!$A18,DB!$1:$1,0)),FALSE)),"")</f>
        <v/>
      </c>
      <c r="FBB18" s="28" t="str">
        <f>IFERROR(IF(FBK3="No",IF(VLOOKUP(DATE($K$1,$K$2,FBB$4),Table1[],(MATCH(Calendar!$A18,DB!$1:$1,0)),FALSE)&gt;=5,"Good","Bad"),VLOOKUP(DATE($K$1,$K$2,FBB$4),Table1[],(MATCH(Calendar!$A18,DB!$1:$1,0)),FALSE)),"")</f>
        <v/>
      </c>
      <c r="FBC18" s="28" t="str">
        <f>IFERROR(IF(FBL3="No",IF(VLOOKUP(DATE($K$1,$K$2,FBC$4),Table1[],(MATCH(Calendar!$A18,DB!$1:$1,0)),FALSE)&gt;=5,"Good","Bad"),VLOOKUP(DATE($K$1,$K$2,FBC$4),Table1[],(MATCH(Calendar!$A18,DB!$1:$1,0)),FALSE)),"")</f>
        <v/>
      </c>
      <c r="FBD18" s="28" t="str">
        <f>IFERROR(IF(FBM3="No",IF(VLOOKUP(DATE($K$1,$K$2,FBD$4),Table1[],(MATCH(Calendar!$A18,DB!$1:$1,0)),FALSE)&gt;=5,"Good","Bad"),VLOOKUP(DATE($K$1,$K$2,FBD$4),Table1[],(MATCH(Calendar!$A18,DB!$1:$1,0)),FALSE)),"")</f>
        <v/>
      </c>
      <c r="FBE18" s="28" t="str">
        <f>IFERROR(IF(FBN3="No",IF(VLOOKUP(DATE($K$1,$K$2,FBE$4),Table1[],(MATCH(Calendar!$A18,DB!$1:$1,0)),FALSE)&gt;=5,"Good","Bad"),VLOOKUP(DATE($K$1,$K$2,FBE$4),Table1[],(MATCH(Calendar!$A18,DB!$1:$1,0)),FALSE)),"")</f>
        <v/>
      </c>
      <c r="FBF18" s="28" t="str">
        <f>IFERROR(IF(FBO3="No",IF(VLOOKUP(DATE($K$1,$K$2,FBF$4),Table1[],(MATCH(Calendar!$A18,DB!$1:$1,0)),FALSE)&gt;=5,"Good","Bad"),VLOOKUP(DATE($K$1,$K$2,FBF$4),Table1[],(MATCH(Calendar!$A18,DB!$1:$1,0)),FALSE)),"")</f>
        <v/>
      </c>
      <c r="FBG18" s="28" t="str">
        <f>IFERROR(IF(FBP3="No",IF(VLOOKUP(DATE($K$1,$K$2,FBG$4),Table1[],(MATCH(Calendar!$A18,DB!$1:$1,0)),FALSE)&gt;=5,"Good","Bad"),VLOOKUP(DATE($K$1,$K$2,FBG$4),Table1[],(MATCH(Calendar!$A18,DB!$1:$1,0)),FALSE)),"")</f>
        <v/>
      </c>
      <c r="FBH18" s="28" t="str">
        <f>IFERROR(IF(FBQ3="No",IF(VLOOKUP(DATE($K$1,$K$2,FBH$4),Table1[],(MATCH(Calendar!$A18,DB!$1:$1,0)),FALSE)&gt;=5,"Good","Bad"),VLOOKUP(DATE($K$1,$K$2,FBH$4),Table1[],(MATCH(Calendar!$A18,DB!$1:$1,0)),FALSE)),"")</f>
        <v/>
      </c>
      <c r="FBI18" s="28" t="str">
        <f>IFERROR(IF(FBR3="No",IF(VLOOKUP(DATE($K$1,$K$2,FBI$4),Table1[],(MATCH(Calendar!$A18,DB!$1:$1,0)),FALSE)&gt;=5,"Good","Bad"),VLOOKUP(DATE($K$1,$K$2,FBI$4),Table1[],(MATCH(Calendar!$A18,DB!$1:$1,0)),FALSE)),"")</f>
        <v/>
      </c>
      <c r="FBJ18" s="28" t="str">
        <f>IFERROR(IF(FBS3="No",IF(VLOOKUP(DATE($K$1,$K$2,FBJ$4),Table1[],(MATCH(Calendar!$A18,DB!$1:$1,0)),FALSE)&gt;=5,"Good","Bad"),VLOOKUP(DATE($K$1,$K$2,FBJ$4),Table1[],(MATCH(Calendar!$A18,DB!$1:$1,0)),FALSE)),"")</f>
        <v/>
      </c>
      <c r="FBK18" s="28" t="str">
        <f>IFERROR(IF(FBT3="No",IF(VLOOKUP(DATE($K$1,$K$2,FBK$4),Table1[],(MATCH(Calendar!$A18,DB!$1:$1,0)),FALSE)&gt;=5,"Good","Bad"),VLOOKUP(DATE($K$1,$K$2,FBK$4),Table1[],(MATCH(Calendar!$A18,DB!$1:$1,0)),FALSE)),"")</f>
        <v/>
      </c>
      <c r="FBL18" s="28" t="str">
        <f>IFERROR(IF(FBU3="No",IF(VLOOKUP(DATE($K$1,$K$2,FBL$4),Table1[],(MATCH(Calendar!$A18,DB!$1:$1,0)),FALSE)&gt;=5,"Good","Bad"),VLOOKUP(DATE($K$1,$K$2,FBL$4),Table1[],(MATCH(Calendar!$A18,DB!$1:$1,0)),FALSE)),"")</f>
        <v/>
      </c>
      <c r="FBM18" s="28" t="str">
        <f>IFERROR(IF(FBV3="No",IF(VLOOKUP(DATE($K$1,$K$2,FBM$4),Table1[],(MATCH(Calendar!$A18,DB!$1:$1,0)),FALSE)&gt;=5,"Good","Bad"),VLOOKUP(DATE($K$1,$K$2,FBM$4),Table1[],(MATCH(Calendar!$A18,DB!$1:$1,0)),FALSE)),"")</f>
        <v/>
      </c>
      <c r="FBN18" s="28" t="str">
        <f>IFERROR(IF(FBW3="No",IF(VLOOKUP(DATE($K$1,$K$2,FBN$4),Table1[],(MATCH(Calendar!$A18,DB!$1:$1,0)),FALSE)&gt;=5,"Good","Bad"),VLOOKUP(DATE($K$1,$K$2,FBN$4),Table1[],(MATCH(Calendar!$A18,DB!$1:$1,0)),FALSE)),"")</f>
        <v/>
      </c>
      <c r="FBO18" s="28" t="str">
        <f>IFERROR(IF(FBX3="No",IF(VLOOKUP(DATE($K$1,$K$2,FBO$4),Table1[],(MATCH(Calendar!$A18,DB!$1:$1,0)),FALSE)&gt;=5,"Good","Bad"),VLOOKUP(DATE($K$1,$K$2,FBO$4),Table1[],(MATCH(Calendar!$A18,DB!$1:$1,0)),FALSE)),"")</f>
        <v/>
      </c>
      <c r="FBP18" s="28" t="str">
        <f>IFERROR(IF(FBY3="No",IF(VLOOKUP(DATE($K$1,$K$2,FBP$4),Table1[],(MATCH(Calendar!$A18,DB!$1:$1,0)),FALSE)&gt;=5,"Good","Bad"),VLOOKUP(DATE($K$1,$K$2,FBP$4),Table1[],(MATCH(Calendar!$A18,DB!$1:$1,0)),FALSE)),"")</f>
        <v/>
      </c>
      <c r="FBQ18" s="28" t="str">
        <f>IFERROR(IF(FBZ3="No",IF(VLOOKUP(DATE($K$1,$K$2,FBQ$4),Table1[],(MATCH(Calendar!$A18,DB!$1:$1,0)),FALSE)&gt;=5,"Good","Bad"),VLOOKUP(DATE($K$1,$K$2,FBQ$4),Table1[],(MATCH(Calendar!$A18,DB!$1:$1,0)),FALSE)),"")</f>
        <v/>
      </c>
      <c r="FBR18" s="28" t="str">
        <f>IFERROR(IF(FCA3="No",IF(VLOOKUP(DATE($K$1,$K$2,FBR$4),Table1[],(MATCH(Calendar!$A18,DB!$1:$1,0)),FALSE)&gt;=5,"Good","Bad"),VLOOKUP(DATE($K$1,$K$2,FBR$4),Table1[],(MATCH(Calendar!$A18,DB!$1:$1,0)),FALSE)),"")</f>
        <v/>
      </c>
      <c r="FBS18" s="28" t="str">
        <f>IFERROR(IF(FCB3="No",IF(VLOOKUP(DATE($K$1,$K$2,FBS$4),Table1[],(MATCH(Calendar!$A18,DB!$1:$1,0)),FALSE)&gt;=5,"Good","Bad"),VLOOKUP(DATE($K$1,$K$2,FBS$4),Table1[],(MATCH(Calendar!$A18,DB!$1:$1,0)),FALSE)),"")</f>
        <v/>
      </c>
      <c r="FBT18" s="28" t="str">
        <f>IFERROR(IF(FCC3="No",IF(VLOOKUP(DATE($K$1,$K$2,FBT$4),Table1[],(MATCH(Calendar!$A18,DB!$1:$1,0)),FALSE)&gt;=5,"Good","Bad"),VLOOKUP(DATE($K$1,$K$2,FBT$4),Table1[],(MATCH(Calendar!$A18,DB!$1:$1,0)),FALSE)),"")</f>
        <v/>
      </c>
      <c r="FBU18" s="28" t="str">
        <f>IFERROR(IF(FCD3="No",IF(VLOOKUP(DATE($K$1,$K$2,FBU$4),Table1[],(MATCH(Calendar!$A18,DB!$1:$1,0)),FALSE)&gt;=5,"Good","Bad"),VLOOKUP(DATE($K$1,$K$2,FBU$4),Table1[],(MATCH(Calendar!$A18,DB!$1:$1,0)),FALSE)),"")</f>
        <v/>
      </c>
      <c r="FBV18" s="28" t="str">
        <f>IFERROR(IF(FCE3="No",IF(VLOOKUP(DATE($K$1,$K$2,FBV$4),Table1[],(MATCH(Calendar!$A18,DB!$1:$1,0)),FALSE)&gt;=5,"Good","Bad"),VLOOKUP(DATE($K$1,$K$2,FBV$4),Table1[],(MATCH(Calendar!$A18,DB!$1:$1,0)),FALSE)),"")</f>
        <v/>
      </c>
      <c r="FBW18" s="28" t="str">
        <f>IFERROR(IF(FCF3="No",IF(VLOOKUP(DATE($K$1,$K$2,FBW$4),Table1[],(MATCH(Calendar!$A18,DB!$1:$1,0)),FALSE)&gt;=5,"Good","Bad"),VLOOKUP(DATE($K$1,$K$2,FBW$4),Table1[],(MATCH(Calendar!$A18,DB!$1:$1,0)),FALSE)),"")</f>
        <v/>
      </c>
      <c r="FBX18" s="28" t="str">
        <f>IFERROR(IF(FCG3="No",IF(VLOOKUP(DATE($K$1,$K$2,FBX$4),Table1[],(MATCH(Calendar!$A18,DB!$1:$1,0)),FALSE)&gt;=5,"Good","Bad"),VLOOKUP(DATE($K$1,$K$2,FBX$4),Table1[],(MATCH(Calendar!$A18,DB!$1:$1,0)),FALSE)),"")</f>
        <v/>
      </c>
      <c r="FBY18" s="28" t="str">
        <f>IFERROR(IF(FCH3="No",IF(VLOOKUP(DATE($K$1,$K$2,FBY$4),Table1[],(MATCH(Calendar!$A18,DB!$1:$1,0)),FALSE)&gt;=5,"Good","Bad"),VLOOKUP(DATE($K$1,$K$2,FBY$4),Table1[],(MATCH(Calendar!$A18,DB!$1:$1,0)),FALSE)),"")</f>
        <v/>
      </c>
      <c r="FBZ18" s="28" t="str">
        <f>IFERROR(IF(FCI3="No",IF(VLOOKUP(DATE($K$1,$K$2,FBZ$4),Table1[],(MATCH(Calendar!$A18,DB!$1:$1,0)),FALSE)&gt;=5,"Good","Bad"),VLOOKUP(DATE($K$1,$K$2,FBZ$4),Table1[],(MATCH(Calendar!$A18,DB!$1:$1,0)),FALSE)),"")</f>
        <v/>
      </c>
      <c r="FCA18" s="28" t="str">
        <f>IFERROR(IF(FCJ3="No",IF(VLOOKUP(DATE($K$1,$K$2,FCA$4),Table1[],(MATCH(Calendar!$A18,DB!$1:$1,0)),FALSE)&gt;=5,"Good","Bad"),VLOOKUP(DATE($K$1,$K$2,FCA$4),Table1[],(MATCH(Calendar!$A18,DB!$1:$1,0)),FALSE)),"")</f>
        <v/>
      </c>
      <c r="FCB18" s="28" t="str">
        <f>IFERROR(IF(FCK3="No",IF(VLOOKUP(DATE($K$1,$K$2,FCB$4),Table1[],(MATCH(Calendar!$A18,DB!$1:$1,0)),FALSE)&gt;=5,"Good","Bad"),VLOOKUP(DATE($K$1,$K$2,FCB$4),Table1[],(MATCH(Calendar!$A18,DB!$1:$1,0)),FALSE)),"")</f>
        <v/>
      </c>
      <c r="FCC18" s="28" t="str">
        <f>IFERROR(IF(FCL3="No",IF(VLOOKUP(DATE($K$1,$K$2,FCC$4),Table1[],(MATCH(Calendar!$A18,DB!$1:$1,0)),FALSE)&gt;=5,"Good","Bad"),VLOOKUP(DATE($K$1,$K$2,FCC$4),Table1[],(MATCH(Calendar!$A18,DB!$1:$1,0)),FALSE)),"")</f>
        <v/>
      </c>
      <c r="FCD18" s="28" t="str">
        <f>IFERROR(IF(FCM3="No",IF(VLOOKUP(DATE($K$1,$K$2,FCD$4),Table1[],(MATCH(Calendar!$A18,DB!$1:$1,0)),FALSE)&gt;=5,"Good","Bad"),VLOOKUP(DATE($K$1,$K$2,FCD$4),Table1[],(MATCH(Calendar!$A18,DB!$1:$1,0)),FALSE)),"")</f>
        <v/>
      </c>
      <c r="FCE18" s="28" t="str">
        <f>IFERROR(IF(FCN3="No",IF(VLOOKUP(DATE($K$1,$K$2,FCE$4),Table1[],(MATCH(Calendar!$A18,DB!$1:$1,0)),FALSE)&gt;=5,"Good","Bad"),VLOOKUP(DATE($K$1,$K$2,FCE$4),Table1[],(MATCH(Calendar!$A18,DB!$1:$1,0)),FALSE)),"")</f>
        <v/>
      </c>
      <c r="FCF18" s="28" t="str">
        <f>IFERROR(IF(FCO3="No",IF(VLOOKUP(DATE($K$1,$K$2,FCF$4),Table1[],(MATCH(Calendar!$A18,DB!$1:$1,0)),FALSE)&gt;=5,"Good","Bad"),VLOOKUP(DATE($K$1,$K$2,FCF$4),Table1[],(MATCH(Calendar!$A18,DB!$1:$1,0)),FALSE)),"")</f>
        <v/>
      </c>
      <c r="FCG18" s="28" t="str">
        <f>IFERROR(IF(FCP3="No",IF(VLOOKUP(DATE($K$1,$K$2,FCG$4),Table1[],(MATCH(Calendar!$A18,DB!$1:$1,0)),FALSE)&gt;=5,"Good","Bad"),VLOOKUP(DATE($K$1,$K$2,FCG$4),Table1[],(MATCH(Calendar!$A18,DB!$1:$1,0)),FALSE)),"")</f>
        <v/>
      </c>
      <c r="FCH18" s="28" t="str">
        <f>IFERROR(IF(FCQ3="No",IF(VLOOKUP(DATE($K$1,$K$2,FCH$4),Table1[],(MATCH(Calendar!$A18,DB!$1:$1,0)),FALSE)&gt;=5,"Good","Bad"),VLOOKUP(DATE($K$1,$K$2,FCH$4),Table1[],(MATCH(Calendar!$A18,DB!$1:$1,0)),FALSE)),"")</f>
        <v/>
      </c>
      <c r="FCI18" s="28" t="str">
        <f>IFERROR(IF(FCR3="No",IF(VLOOKUP(DATE($K$1,$K$2,FCI$4),Table1[],(MATCH(Calendar!$A18,DB!$1:$1,0)),FALSE)&gt;=5,"Good","Bad"),VLOOKUP(DATE($K$1,$K$2,FCI$4),Table1[],(MATCH(Calendar!$A18,DB!$1:$1,0)),FALSE)),"")</f>
        <v/>
      </c>
      <c r="FCJ18" s="28" t="str">
        <f>IFERROR(IF(FCS3="No",IF(VLOOKUP(DATE($K$1,$K$2,FCJ$4),Table1[],(MATCH(Calendar!$A18,DB!$1:$1,0)),FALSE)&gt;=5,"Good","Bad"),VLOOKUP(DATE($K$1,$K$2,FCJ$4),Table1[],(MATCH(Calendar!$A18,DB!$1:$1,0)),FALSE)),"")</f>
        <v/>
      </c>
      <c r="FCK18" s="28" t="str">
        <f>IFERROR(IF(FCT3="No",IF(VLOOKUP(DATE($K$1,$K$2,FCK$4),Table1[],(MATCH(Calendar!$A18,DB!$1:$1,0)),FALSE)&gt;=5,"Good","Bad"),VLOOKUP(DATE($K$1,$K$2,FCK$4),Table1[],(MATCH(Calendar!$A18,DB!$1:$1,0)),FALSE)),"")</f>
        <v/>
      </c>
      <c r="FCL18" s="28" t="str">
        <f>IFERROR(IF(FCU3="No",IF(VLOOKUP(DATE($K$1,$K$2,FCL$4),Table1[],(MATCH(Calendar!$A18,DB!$1:$1,0)),FALSE)&gt;=5,"Good","Bad"),VLOOKUP(DATE($K$1,$K$2,FCL$4),Table1[],(MATCH(Calendar!$A18,DB!$1:$1,0)),FALSE)),"")</f>
        <v/>
      </c>
      <c r="FCM18" s="28" t="str">
        <f>IFERROR(IF(FCV3="No",IF(VLOOKUP(DATE($K$1,$K$2,FCM$4),Table1[],(MATCH(Calendar!$A18,DB!$1:$1,0)),FALSE)&gt;=5,"Good","Bad"),VLOOKUP(DATE($K$1,$K$2,FCM$4),Table1[],(MATCH(Calendar!$A18,DB!$1:$1,0)),FALSE)),"")</f>
        <v/>
      </c>
      <c r="FCN18" s="28" t="str">
        <f>IFERROR(IF(FCW3="No",IF(VLOOKUP(DATE($K$1,$K$2,FCN$4),Table1[],(MATCH(Calendar!$A18,DB!$1:$1,0)),FALSE)&gt;=5,"Good","Bad"),VLOOKUP(DATE($K$1,$K$2,FCN$4),Table1[],(MATCH(Calendar!$A18,DB!$1:$1,0)),FALSE)),"")</f>
        <v/>
      </c>
      <c r="FCO18" s="28" t="str">
        <f>IFERROR(IF(FCX3="No",IF(VLOOKUP(DATE($K$1,$K$2,FCO$4),Table1[],(MATCH(Calendar!$A18,DB!$1:$1,0)),FALSE)&gt;=5,"Good","Bad"),VLOOKUP(DATE($K$1,$K$2,FCO$4),Table1[],(MATCH(Calendar!$A18,DB!$1:$1,0)),FALSE)),"")</f>
        <v/>
      </c>
      <c r="FCP18" s="28" t="str">
        <f>IFERROR(IF(FCY3="No",IF(VLOOKUP(DATE($K$1,$K$2,FCP$4),Table1[],(MATCH(Calendar!$A18,DB!$1:$1,0)),FALSE)&gt;=5,"Good","Bad"),VLOOKUP(DATE($K$1,$K$2,FCP$4),Table1[],(MATCH(Calendar!$A18,DB!$1:$1,0)),FALSE)),"")</f>
        <v/>
      </c>
      <c r="FCQ18" s="28" t="str">
        <f>IFERROR(IF(FCZ3="No",IF(VLOOKUP(DATE($K$1,$K$2,FCQ$4),Table1[],(MATCH(Calendar!$A18,DB!$1:$1,0)),FALSE)&gt;=5,"Good","Bad"),VLOOKUP(DATE($K$1,$K$2,FCQ$4),Table1[],(MATCH(Calendar!$A18,DB!$1:$1,0)),FALSE)),"")</f>
        <v/>
      </c>
      <c r="FCR18" s="28" t="str">
        <f>IFERROR(IF(FDA3="No",IF(VLOOKUP(DATE($K$1,$K$2,FCR$4),Table1[],(MATCH(Calendar!$A18,DB!$1:$1,0)),FALSE)&gt;=5,"Good","Bad"),VLOOKUP(DATE($K$1,$K$2,FCR$4),Table1[],(MATCH(Calendar!$A18,DB!$1:$1,0)),FALSE)),"")</f>
        <v/>
      </c>
      <c r="FCS18" s="28" t="str">
        <f>IFERROR(IF(FDB3="No",IF(VLOOKUP(DATE($K$1,$K$2,FCS$4),Table1[],(MATCH(Calendar!$A18,DB!$1:$1,0)),FALSE)&gt;=5,"Good","Bad"),VLOOKUP(DATE($K$1,$K$2,FCS$4),Table1[],(MATCH(Calendar!$A18,DB!$1:$1,0)),FALSE)),"")</f>
        <v/>
      </c>
      <c r="FCT18" s="28" t="str">
        <f>IFERROR(IF(FDC3="No",IF(VLOOKUP(DATE($K$1,$K$2,FCT$4),Table1[],(MATCH(Calendar!$A18,DB!$1:$1,0)),FALSE)&gt;=5,"Good","Bad"),VLOOKUP(DATE($K$1,$K$2,FCT$4),Table1[],(MATCH(Calendar!$A18,DB!$1:$1,0)),FALSE)),"")</f>
        <v/>
      </c>
      <c r="FCU18" s="28" t="str">
        <f>IFERROR(IF(FDD3="No",IF(VLOOKUP(DATE($K$1,$K$2,FCU$4),Table1[],(MATCH(Calendar!$A18,DB!$1:$1,0)),FALSE)&gt;=5,"Good","Bad"),VLOOKUP(DATE($K$1,$K$2,FCU$4),Table1[],(MATCH(Calendar!$A18,DB!$1:$1,0)),FALSE)),"")</f>
        <v/>
      </c>
      <c r="FCV18" s="28" t="str">
        <f>IFERROR(IF(FDE3="No",IF(VLOOKUP(DATE($K$1,$K$2,FCV$4),Table1[],(MATCH(Calendar!$A18,DB!$1:$1,0)),FALSE)&gt;=5,"Good","Bad"),VLOOKUP(DATE($K$1,$K$2,FCV$4),Table1[],(MATCH(Calendar!$A18,DB!$1:$1,0)),FALSE)),"")</f>
        <v/>
      </c>
      <c r="FCW18" s="28" t="str">
        <f>IFERROR(IF(FDF3="No",IF(VLOOKUP(DATE($K$1,$K$2,FCW$4),Table1[],(MATCH(Calendar!$A18,DB!$1:$1,0)),FALSE)&gt;=5,"Good","Bad"),VLOOKUP(DATE($K$1,$K$2,FCW$4),Table1[],(MATCH(Calendar!$A18,DB!$1:$1,0)),FALSE)),"")</f>
        <v/>
      </c>
      <c r="FCX18" s="28" t="str">
        <f>IFERROR(IF(FDG3="No",IF(VLOOKUP(DATE($K$1,$K$2,FCX$4),Table1[],(MATCH(Calendar!$A18,DB!$1:$1,0)),FALSE)&gt;=5,"Good","Bad"),VLOOKUP(DATE($K$1,$K$2,FCX$4),Table1[],(MATCH(Calendar!$A18,DB!$1:$1,0)),FALSE)),"")</f>
        <v/>
      </c>
      <c r="FCY18" s="28" t="str">
        <f>IFERROR(IF(FDH3="No",IF(VLOOKUP(DATE($K$1,$K$2,FCY$4),Table1[],(MATCH(Calendar!$A18,DB!$1:$1,0)),FALSE)&gt;=5,"Good","Bad"),VLOOKUP(DATE($K$1,$K$2,FCY$4),Table1[],(MATCH(Calendar!$A18,DB!$1:$1,0)),FALSE)),"")</f>
        <v/>
      </c>
      <c r="FCZ18" s="28" t="str">
        <f>IFERROR(IF(FDI3="No",IF(VLOOKUP(DATE($K$1,$K$2,FCZ$4),Table1[],(MATCH(Calendar!$A18,DB!$1:$1,0)),FALSE)&gt;=5,"Good","Bad"),VLOOKUP(DATE($K$1,$K$2,FCZ$4),Table1[],(MATCH(Calendar!$A18,DB!$1:$1,0)),FALSE)),"")</f>
        <v/>
      </c>
      <c r="FDA18" s="28" t="str">
        <f>IFERROR(IF(FDJ3="No",IF(VLOOKUP(DATE($K$1,$K$2,FDA$4),Table1[],(MATCH(Calendar!$A18,DB!$1:$1,0)),FALSE)&gt;=5,"Good","Bad"),VLOOKUP(DATE($K$1,$K$2,FDA$4),Table1[],(MATCH(Calendar!$A18,DB!$1:$1,0)),FALSE)),"")</f>
        <v/>
      </c>
      <c r="FDB18" s="28" t="str">
        <f>IFERROR(IF(FDK3="No",IF(VLOOKUP(DATE($K$1,$K$2,FDB$4),Table1[],(MATCH(Calendar!$A18,DB!$1:$1,0)),FALSE)&gt;=5,"Good","Bad"),VLOOKUP(DATE($K$1,$K$2,FDB$4),Table1[],(MATCH(Calendar!$A18,DB!$1:$1,0)),FALSE)),"")</f>
        <v/>
      </c>
      <c r="FDC18" s="28" t="str">
        <f>IFERROR(IF(FDL3="No",IF(VLOOKUP(DATE($K$1,$K$2,FDC$4),Table1[],(MATCH(Calendar!$A18,DB!$1:$1,0)),FALSE)&gt;=5,"Good","Bad"),VLOOKUP(DATE($K$1,$K$2,FDC$4),Table1[],(MATCH(Calendar!$A18,DB!$1:$1,0)),FALSE)),"")</f>
        <v/>
      </c>
      <c r="FDD18" s="28" t="str">
        <f>IFERROR(IF(FDM3="No",IF(VLOOKUP(DATE($K$1,$K$2,FDD$4),Table1[],(MATCH(Calendar!$A18,DB!$1:$1,0)),FALSE)&gt;=5,"Good","Bad"),VLOOKUP(DATE($K$1,$K$2,FDD$4),Table1[],(MATCH(Calendar!$A18,DB!$1:$1,0)),FALSE)),"")</f>
        <v/>
      </c>
      <c r="FDE18" s="28" t="str">
        <f>IFERROR(IF(FDN3="No",IF(VLOOKUP(DATE($K$1,$K$2,FDE$4),Table1[],(MATCH(Calendar!$A18,DB!$1:$1,0)),FALSE)&gt;=5,"Good","Bad"),VLOOKUP(DATE($K$1,$K$2,FDE$4),Table1[],(MATCH(Calendar!$A18,DB!$1:$1,0)),FALSE)),"")</f>
        <v/>
      </c>
      <c r="FDF18" s="28" t="str">
        <f>IFERROR(IF(FDO3="No",IF(VLOOKUP(DATE($K$1,$K$2,FDF$4),Table1[],(MATCH(Calendar!$A18,DB!$1:$1,0)),FALSE)&gt;=5,"Good","Bad"),VLOOKUP(DATE($K$1,$K$2,FDF$4),Table1[],(MATCH(Calendar!$A18,DB!$1:$1,0)),FALSE)),"")</f>
        <v/>
      </c>
      <c r="FDG18" s="28" t="str">
        <f>IFERROR(IF(FDP3="No",IF(VLOOKUP(DATE($K$1,$K$2,FDG$4),Table1[],(MATCH(Calendar!$A18,DB!$1:$1,0)),FALSE)&gt;=5,"Good","Bad"),VLOOKUP(DATE($K$1,$K$2,FDG$4),Table1[],(MATCH(Calendar!$A18,DB!$1:$1,0)),FALSE)),"")</f>
        <v/>
      </c>
      <c r="FDH18" s="28" t="str">
        <f>IFERROR(IF(FDQ3="No",IF(VLOOKUP(DATE($K$1,$K$2,FDH$4),Table1[],(MATCH(Calendar!$A18,DB!$1:$1,0)),FALSE)&gt;=5,"Good","Bad"),VLOOKUP(DATE($K$1,$K$2,FDH$4),Table1[],(MATCH(Calendar!$A18,DB!$1:$1,0)),FALSE)),"")</f>
        <v/>
      </c>
      <c r="FDI18" s="28" t="str">
        <f>IFERROR(IF(FDR3="No",IF(VLOOKUP(DATE($K$1,$K$2,FDI$4),Table1[],(MATCH(Calendar!$A18,DB!$1:$1,0)),FALSE)&gt;=5,"Good","Bad"),VLOOKUP(DATE($K$1,$K$2,FDI$4),Table1[],(MATCH(Calendar!$A18,DB!$1:$1,0)),FALSE)),"")</f>
        <v/>
      </c>
      <c r="FDJ18" s="28" t="str">
        <f>IFERROR(IF(FDS3="No",IF(VLOOKUP(DATE($K$1,$K$2,FDJ$4),Table1[],(MATCH(Calendar!$A18,DB!$1:$1,0)),FALSE)&gt;=5,"Good","Bad"),VLOOKUP(DATE($K$1,$K$2,FDJ$4),Table1[],(MATCH(Calendar!$A18,DB!$1:$1,0)),FALSE)),"")</f>
        <v/>
      </c>
      <c r="FDK18" s="28" t="str">
        <f>IFERROR(IF(FDT3="No",IF(VLOOKUP(DATE($K$1,$K$2,FDK$4),Table1[],(MATCH(Calendar!$A18,DB!$1:$1,0)),FALSE)&gt;=5,"Good","Bad"),VLOOKUP(DATE($K$1,$K$2,FDK$4),Table1[],(MATCH(Calendar!$A18,DB!$1:$1,0)),FALSE)),"")</f>
        <v/>
      </c>
      <c r="FDL18" s="28" t="str">
        <f>IFERROR(IF(FDU3="No",IF(VLOOKUP(DATE($K$1,$K$2,FDL$4),Table1[],(MATCH(Calendar!$A18,DB!$1:$1,0)),FALSE)&gt;=5,"Good","Bad"),VLOOKUP(DATE($K$1,$K$2,FDL$4),Table1[],(MATCH(Calendar!$A18,DB!$1:$1,0)),FALSE)),"")</f>
        <v/>
      </c>
      <c r="FDM18" s="28" t="str">
        <f>IFERROR(IF(FDV3="No",IF(VLOOKUP(DATE($K$1,$K$2,FDM$4),Table1[],(MATCH(Calendar!$A18,DB!$1:$1,0)),FALSE)&gt;=5,"Good","Bad"),VLOOKUP(DATE($K$1,$K$2,FDM$4),Table1[],(MATCH(Calendar!$A18,DB!$1:$1,0)),FALSE)),"")</f>
        <v/>
      </c>
      <c r="FDN18" s="28" t="str">
        <f>IFERROR(IF(FDW3="No",IF(VLOOKUP(DATE($K$1,$K$2,FDN$4),Table1[],(MATCH(Calendar!$A18,DB!$1:$1,0)),FALSE)&gt;=5,"Good","Bad"),VLOOKUP(DATE($K$1,$K$2,FDN$4),Table1[],(MATCH(Calendar!$A18,DB!$1:$1,0)),FALSE)),"")</f>
        <v/>
      </c>
      <c r="FDO18" s="28" t="str">
        <f>IFERROR(IF(FDX3="No",IF(VLOOKUP(DATE($K$1,$K$2,FDO$4),Table1[],(MATCH(Calendar!$A18,DB!$1:$1,0)),FALSE)&gt;=5,"Good","Bad"),VLOOKUP(DATE($K$1,$K$2,FDO$4),Table1[],(MATCH(Calendar!$A18,DB!$1:$1,0)),FALSE)),"")</f>
        <v/>
      </c>
      <c r="FDP18" s="28" t="str">
        <f>IFERROR(IF(FDY3="No",IF(VLOOKUP(DATE($K$1,$K$2,FDP$4),Table1[],(MATCH(Calendar!$A18,DB!$1:$1,0)),FALSE)&gt;=5,"Good","Bad"),VLOOKUP(DATE($K$1,$K$2,FDP$4),Table1[],(MATCH(Calendar!$A18,DB!$1:$1,0)),FALSE)),"")</f>
        <v/>
      </c>
      <c r="FDQ18" s="28" t="str">
        <f>IFERROR(IF(FDZ3="No",IF(VLOOKUP(DATE($K$1,$K$2,FDQ$4),Table1[],(MATCH(Calendar!$A18,DB!$1:$1,0)),FALSE)&gt;=5,"Good","Bad"),VLOOKUP(DATE($K$1,$K$2,FDQ$4),Table1[],(MATCH(Calendar!$A18,DB!$1:$1,0)),FALSE)),"")</f>
        <v/>
      </c>
      <c r="FDR18" s="28" t="str">
        <f>IFERROR(IF(FEA3="No",IF(VLOOKUP(DATE($K$1,$K$2,FDR$4),Table1[],(MATCH(Calendar!$A18,DB!$1:$1,0)),FALSE)&gt;=5,"Good","Bad"),VLOOKUP(DATE($K$1,$K$2,FDR$4),Table1[],(MATCH(Calendar!$A18,DB!$1:$1,0)),FALSE)),"")</f>
        <v/>
      </c>
      <c r="FDS18" s="28" t="str">
        <f>IFERROR(IF(FEB3="No",IF(VLOOKUP(DATE($K$1,$K$2,FDS$4),Table1[],(MATCH(Calendar!$A18,DB!$1:$1,0)),FALSE)&gt;=5,"Good","Bad"),VLOOKUP(DATE($K$1,$K$2,FDS$4),Table1[],(MATCH(Calendar!$A18,DB!$1:$1,0)),FALSE)),"")</f>
        <v/>
      </c>
      <c r="FDT18" s="28" t="str">
        <f>IFERROR(IF(FEC3="No",IF(VLOOKUP(DATE($K$1,$K$2,FDT$4),Table1[],(MATCH(Calendar!$A18,DB!$1:$1,0)),FALSE)&gt;=5,"Good","Bad"),VLOOKUP(DATE($K$1,$K$2,FDT$4),Table1[],(MATCH(Calendar!$A18,DB!$1:$1,0)),FALSE)),"")</f>
        <v/>
      </c>
      <c r="FDU18" s="28" t="str">
        <f>IFERROR(IF(FED3="No",IF(VLOOKUP(DATE($K$1,$K$2,FDU$4),Table1[],(MATCH(Calendar!$A18,DB!$1:$1,0)),FALSE)&gt;=5,"Good","Bad"),VLOOKUP(DATE($K$1,$K$2,FDU$4),Table1[],(MATCH(Calendar!$A18,DB!$1:$1,0)),FALSE)),"")</f>
        <v/>
      </c>
      <c r="FDV18" s="28" t="str">
        <f>IFERROR(IF(FEE3="No",IF(VLOOKUP(DATE($K$1,$K$2,FDV$4),Table1[],(MATCH(Calendar!$A18,DB!$1:$1,0)),FALSE)&gt;=5,"Good","Bad"),VLOOKUP(DATE($K$1,$K$2,FDV$4),Table1[],(MATCH(Calendar!$A18,DB!$1:$1,0)),FALSE)),"")</f>
        <v/>
      </c>
      <c r="FDW18" s="28" t="str">
        <f>IFERROR(IF(FEF3="No",IF(VLOOKUP(DATE($K$1,$K$2,FDW$4),Table1[],(MATCH(Calendar!$A18,DB!$1:$1,0)),FALSE)&gt;=5,"Good","Bad"),VLOOKUP(DATE($K$1,$K$2,FDW$4),Table1[],(MATCH(Calendar!$A18,DB!$1:$1,0)),FALSE)),"")</f>
        <v/>
      </c>
      <c r="FDX18" s="28" t="str">
        <f>IFERROR(IF(FEG3="No",IF(VLOOKUP(DATE($K$1,$K$2,FDX$4),Table1[],(MATCH(Calendar!$A18,DB!$1:$1,0)),FALSE)&gt;=5,"Good","Bad"),VLOOKUP(DATE($K$1,$K$2,FDX$4),Table1[],(MATCH(Calendar!$A18,DB!$1:$1,0)),FALSE)),"")</f>
        <v/>
      </c>
      <c r="FDY18" s="28" t="str">
        <f>IFERROR(IF(FEH3="No",IF(VLOOKUP(DATE($K$1,$K$2,FDY$4),Table1[],(MATCH(Calendar!$A18,DB!$1:$1,0)),FALSE)&gt;=5,"Good","Bad"),VLOOKUP(DATE($K$1,$K$2,FDY$4),Table1[],(MATCH(Calendar!$A18,DB!$1:$1,0)),FALSE)),"")</f>
        <v/>
      </c>
      <c r="FDZ18" s="28" t="str">
        <f>IFERROR(IF(FEI3="No",IF(VLOOKUP(DATE($K$1,$K$2,FDZ$4),Table1[],(MATCH(Calendar!$A18,DB!$1:$1,0)),FALSE)&gt;=5,"Good","Bad"),VLOOKUP(DATE($K$1,$K$2,FDZ$4),Table1[],(MATCH(Calendar!$A18,DB!$1:$1,0)),FALSE)),"")</f>
        <v/>
      </c>
      <c r="FEA18" s="28" t="str">
        <f>IFERROR(IF(FEJ3="No",IF(VLOOKUP(DATE($K$1,$K$2,FEA$4),Table1[],(MATCH(Calendar!$A18,DB!$1:$1,0)),FALSE)&gt;=5,"Good","Bad"),VLOOKUP(DATE($K$1,$K$2,FEA$4),Table1[],(MATCH(Calendar!$A18,DB!$1:$1,0)),FALSE)),"")</f>
        <v/>
      </c>
      <c r="FEB18" s="28" t="str">
        <f>IFERROR(IF(FEK3="No",IF(VLOOKUP(DATE($K$1,$K$2,FEB$4),Table1[],(MATCH(Calendar!$A18,DB!$1:$1,0)),FALSE)&gt;=5,"Good","Bad"),VLOOKUP(DATE($K$1,$K$2,FEB$4),Table1[],(MATCH(Calendar!$A18,DB!$1:$1,0)),FALSE)),"")</f>
        <v/>
      </c>
      <c r="FEC18" s="28" t="str">
        <f>IFERROR(IF(FEL3="No",IF(VLOOKUP(DATE($K$1,$K$2,FEC$4),Table1[],(MATCH(Calendar!$A18,DB!$1:$1,0)),FALSE)&gt;=5,"Good","Bad"),VLOOKUP(DATE($K$1,$K$2,FEC$4),Table1[],(MATCH(Calendar!$A18,DB!$1:$1,0)),FALSE)),"")</f>
        <v/>
      </c>
      <c r="FED18" s="28" t="str">
        <f>IFERROR(IF(FEM3="No",IF(VLOOKUP(DATE($K$1,$K$2,FED$4),Table1[],(MATCH(Calendar!$A18,DB!$1:$1,0)),FALSE)&gt;=5,"Good","Bad"),VLOOKUP(DATE($K$1,$K$2,FED$4),Table1[],(MATCH(Calendar!$A18,DB!$1:$1,0)),FALSE)),"")</f>
        <v/>
      </c>
      <c r="FEE18" s="28" t="str">
        <f>IFERROR(IF(FEN3="No",IF(VLOOKUP(DATE($K$1,$K$2,FEE$4),Table1[],(MATCH(Calendar!$A18,DB!$1:$1,0)),FALSE)&gt;=5,"Good","Bad"),VLOOKUP(DATE($K$1,$K$2,FEE$4),Table1[],(MATCH(Calendar!$A18,DB!$1:$1,0)),FALSE)),"")</f>
        <v/>
      </c>
      <c r="FEF18" s="28" t="str">
        <f>IFERROR(IF(FEO3="No",IF(VLOOKUP(DATE($K$1,$K$2,FEF$4),Table1[],(MATCH(Calendar!$A18,DB!$1:$1,0)),FALSE)&gt;=5,"Good","Bad"),VLOOKUP(DATE($K$1,$K$2,FEF$4),Table1[],(MATCH(Calendar!$A18,DB!$1:$1,0)),FALSE)),"")</f>
        <v/>
      </c>
      <c r="FEG18" s="28" t="str">
        <f>IFERROR(IF(FEP3="No",IF(VLOOKUP(DATE($K$1,$K$2,FEG$4),Table1[],(MATCH(Calendar!$A18,DB!$1:$1,0)),FALSE)&gt;=5,"Good","Bad"),VLOOKUP(DATE($K$1,$K$2,FEG$4),Table1[],(MATCH(Calendar!$A18,DB!$1:$1,0)),FALSE)),"")</f>
        <v/>
      </c>
      <c r="FEH18" s="28" t="str">
        <f>IFERROR(IF(FEQ3="No",IF(VLOOKUP(DATE($K$1,$K$2,FEH$4),Table1[],(MATCH(Calendar!$A18,DB!$1:$1,0)),FALSE)&gt;=5,"Good","Bad"),VLOOKUP(DATE($K$1,$K$2,FEH$4),Table1[],(MATCH(Calendar!$A18,DB!$1:$1,0)),FALSE)),"")</f>
        <v/>
      </c>
      <c r="FEI18" s="28" t="str">
        <f>IFERROR(IF(FER3="No",IF(VLOOKUP(DATE($K$1,$K$2,FEI$4),Table1[],(MATCH(Calendar!$A18,DB!$1:$1,0)),FALSE)&gt;=5,"Good","Bad"),VLOOKUP(DATE($K$1,$K$2,FEI$4),Table1[],(MATCH(Calendar!$A18,DB!$1:$1,0)),FALSE)),"")</f>
        <v/>
      </c>
      <c r="FEJ18" s="28" t="str">
        <f>IFERROR(IF(FES3="No",IF(VLOOKUP(DATE($K$1,$K$2,FEJ$4),Table1[],(MATCH(Calendar!$A18,DB!$1:$1,0)),FALSE)&gt;=5,"Good","Bad"),VLOOKUP(DATE($K$1,$K$2,FEJ$4),Table1[],(MATCH(Calendar!$A18,DB!$1:$1,0)),FALSE)),"")</f>
        <v/>
      </c>
      <c r="FEK18" s="28" t="str">
        <f>IFERROR(IF(FET3="No",IF(VLOOKUP(DATE($K$1,$K$2,FEK$4),Table1[],(MATCH(Calendar!$A18,DB!$1:$1,0)),FALSE)&gt;=5,"Good","Bad"),VLOOKUP(DATE($K$1,$K$2,FEK$4),Table1[],(MATCH(Calendar!$A18,DB!$1:$1,0)),FALSE)),"")</f>
        <v/>
      </c>
      <c r="FEL18" s="28" t="str">
        <f>IFERROR(IF(FEU3="No",IF(VLOOKUP(DATE($K$1,$K$2,FEL$4),Table1[],(MATCH(Calendar!$A18,DB!$1:$1,0)),FALSE)&gt;=5,"Good","Bad"),VLOOKUP(DATE($K$1,$K$2,FEL$4),Table1[],(MATCH(Calendar!$A18,DB!$1:$1,0)),FALSE)),"")</f>
        <v/>
      </c>
      <c r="FEM18" s="28" t="str">
        <f>IFERROR(IF(FEV3="No",IF(VLOOKUP(DATE($K$1,$K$2,FEM$4),Table1[],(MATCH(Calendar!$A18,DB!$1:$1,0)),FALSE)&gt;=5,"Good","Bad"),VLOOKUP(DATE($K$1,$K$2,FEM$4),Table1[],(MATCH(Calendar!$A18,DB!$1:$1,0)),FALSE)),"")</f>
        <v/>
      </c>
      <c r="FEN18" s="28" t="str">
        <f>IFERROR(IF(FEW3="No",IF(VLOOKUP(DATE($K$1,$K$2,FEN$4),Table1[],(MATCH(Calendar!$A18,DB!$1:$1,0)),FALSE)&gt;=5,"Good","Bad"),VLOOKUP(DATE($K$1,$K$2,FEN$4),Table1[],(MATCH(Calendar!$A18,DB!$1:$1,0)),FALSE)),"")</f>
        <v/>
      </c>
      <c r="FEO18" s="28" t="str">
        <f>IFERROR(IF(FEX3="No",IF(VLOOKUP(DATE($K$1,$K$2,FEO$4),Table1[],(MATCH(Calendar!$A18,DB!$1:$1,0)),FALSE)&gt;=5,"Good","Bad"),VLOOKUP(DATE($K$1,$K$2,FEO$4),Table1[],(MATCH(Calendar!$A18,DB!$1:$1,0)),FALSE)),"")</f>
        <v/>
      </c>
      <c r="FEP18" s="28" t="str">
        <f>IFERROR(IF(FEY3="No",IF(VLOOKUP(DATE($K$1,$K$2,FEP$4),Table1[],(MATCH(Calendar!$A18,DB!$1:$1,0)),FALSE)&gt;=5,"Good","Bad"),VLOOKUP(DATE($K$1,$K$2,FEP$4),Table1[],(MATCH(Calendar!$A18,DB!$1:$1,0)),FALSE)),"")</f>
        <v/>
      </c>
      <c r="FEQ18" s="28" t="str">
        <f>IFERROR(IF(FEZ3="No",IF(VLOOKUP(DATE($K$1,$K$2,FEQ$4),Table1[],(MATCH(Calendar!$A18,DB!$1:$1,0)),FALSE)&gt;=5,"Good","Bad"),VLOOKUP(DATE($K$1,$K$2,FEQ$4),Table1[],(MATCH(Calendar!$A18,DB!$1:$1,0)),FALSE)),"")</f>
        <v/>
      </c>
      <c r="FER18" s="28" t="str">
        <f>IFERROR(IF(FFA3="No",IF(VLOOKUP(DATE($K$1,$K$2,FER$4),Table1[],(MATCH(Calendar!$A18,DB!$1:$1,0)),FALSE)&gt;=5,"Good","Bad"),VLOOKUP(DATE($K$1,$K$2,FER$4),Table1[],(MATCH(Calendar!$A18,DB!$1:$1,0)),FALSE)),"")</f>
        <v/>
      </c>
      <c r="FES18" s="28" t="str">
        <f>IFERROR(IF(FFB3="No",IF(VLOOKUP(DATE($K$1,$K$2,FES$4),Table1[],(MATCH(Calendar!$A18,DB!$1:$1,0)),FALSE)&gt;=5,"Good","Bad"),VLOOKUP(DATE($K$1,$K$2,FES$4),Table1[],(MATCH(Calendar!$A18,DB!$1:$1,0)),FALSE)),"")</f>
        <v/>
      </c>
      <c r="FET18" s="28" t="str">
        <f>IFERROR(IF(FFC3="No",IF(VLOOKUP(DATE($K$1,$K$2,FET$4),Table1[],(MATCH(Calendar!$A18,DB!$1:$1,0)),FALSE)&gt;=5,"Good","Bad"),VLOOKUP(DATE($K$1,$K$2,FET$4),Table1[],(MATCH(Calendar!$A18,DB!$1:$1,0)),FALSE)),"")</f>
        <v/>
      </c>
      <c r="FEU18" s="28" t="str">
        <f>IFERROR(IF(FFD3="No",IF(VLOOKUP(DATE($K$1,$K$2,FEU$4),Table1[],(MATCH(Calendar!$A18,DB!$1:$1,0)),FALSE)&gt;=5,"Good","Bad"),VLOOKUP(DATE($K$1,$K$2,FEU$4),Table1[],(MATCH(Calendar!$A18,DB!$1:$1,0)),FALSE)),"")</f>
        <v/>
      </c>
      <c r="FEV18" s="28" t="str">
        <f>IFERROR(IF(FFE3="No",IF(VLOOKUP(DATE($K$1,$K$2,FEV$4),Table1[],(MATCH(Calendar!$A18,DB!$1:$1,0)),FALSE)&gt;=5,"Good","Bad"),VLOOKUP(DATE($K$1,$K$2,FEV$4),Table1[],(MATCH(Calendar!$A18,DB!$1:$1,0)),FALSE)),"")</f>
        <v/>
      </c>
      <c r="FEW18" s="28" t="str">
        <f>IFERROR(IF(FFF3="No",IF(VLOOKUP(DATE($K$1,$K$2,FEW$4),Table1[],(MATCH(Calendar!$A18,DB!$1:$1,0)),FALSE)&gt;=5,"Good","Bad"),VLOOKUP(DATE($K$1,$K$2,FEW$4),Table1[],(MATCH(Calendar!$A18,DB!$1:$1,0)),FALSE)),"")</f>
        <v/>
      </c>
      <c r="FEX18" s="28" t="str">
        <f>IFERROR(IF(FFG3="No",IF(VLOOKUP(DATE($K$1,$K$2,FEX$4),Table1[],(MATCH(Calendar!$A18,DB!$1:$1,0)),FALSE)&gt;=5,"Good","Bad"),VLOOKUP(DATE($K$1,$K$2,FEX$4),Table1[],(MATCH(Calendar!$A18,DB!$1:$1,0)),FALSE)),"")</f>
        <v/>
      </c>
      <c r="FEY18" s="28" t="str">
        <f>IFERROR(IF(FFH3="No",IF(VLOOKUP(DATE($K$1,$K$2,FEY$4),Table1[],(MATCH(Calendar!$A18,DB!$1:$1,0)),FALSE)&gt;=5,"Good","Bad"),VLOOKUP(DATE($K$1,$K$2,FEY$4),Table1[],(MATCH(Calendar!$A18,DB!$1:$1,0)),FALSE)),"")</f>
        <v/>
      </c>
      <c r="FEZ18" s="28" t="str">
        <f>IFERROR(IF(FFI3="No",IF(VLOOKUP(DATE($K$1,$K$2,FEZ$4),Table1[],(MATCH(Calendar!$A18,DB!$1:$1,0)),FALSE)&gt;=5,"Good","Bad"),VLOOKUP(DATE($K$1,$K$2,FEZ$4),Table1[],(MATCH(Calendar!$A18,DB!$1:$1,0)),FALSE)),"")</f>
        <v/>
      </c>
      <c r="FFA18" s="28" t="str">
        <f>IFERROR(IF(FFJ3="No",IF(VLOOKUP(DATE($K$1,$K$2,FFA$4),Table1[],(MATCH(Calendar!$A18,DB!$1:$1,0)),FALSE)&gt;=5,"Good","Bad"),VLOOKUP(DATE($K$1,$K$2,FFA$4),Table1[],(MATCH(Calendar!$A18,DB!$1:$1,0)),FALSE)),"")</f>
        <v/>
      </c>
      <c r="FFB18" s="28" t="str">
        <f>IFERROR(IF(FFK3="No",IF(VLOOKUP(DATE($K$1,$K$2,FFB$4),Table1[],(MATCH(Calendar!$A18,DB!$1:$1,0)),FALSE)&gt;=5,"Good","Bad"),VLOOKUP(DATE($K$1,$K$2,FFB$4),Table1[],(MATCH(Calendar!$A18,DB!$1:$1,0)),FALSE)),"")</f>
        <v/>
      </c>
      <c r="FFC18" s="28" t="str">
        <f>IFERROR(IF(FFL3="No",IF(VLOOKUP(DATE($K$1,$K$2,FFC$4),Table1[],(MATCH(Calendar!$A18,DB!$1:$1,0)),FALSE)&gt;=5,"Good","Bad"),VLOOKUP(DATE($K$1,$K$2,FFC$4),Table1[],(MATCH(Calendar!$A18,DB!$1:$1,0)),FALSE)),"")</f>
        <v/>
      </c>
      <c r="FFD18" s="28" t="str">
        <f>IFERROR(IF(FFM3="No",IF(VLOOKUP(DATE($K$1,$K$2,FFD$4),Table1[],(MATCH(Calendar!$A18,DB!$1:$1,0)),FALSE)&gt;=5,"Good","Bad"),VLOOKUP(DATE($K$1,$K$2,FFD$4),Table1[],(MATCH(Calendar!$A18,DB!$1:$1,0)),FALSE)),"")</f>
        <v/>
      </c>
      <c r="FFE18" s="28" t="str">
        <f>IFERROR(IF(FFN3="No",IF(VLOOKUP(DATE($K$1,$K$2,FFE$4),Table1[],(MATCH(Calendar!$A18,DB!$1:$1,0)),FALSE)&gt;=5,"Good","Bad"),VLOOKUP(DATE($K$1,$K$2,FFE$4),Table1[],(MATCH(Calendar!$A18,DB!$1:$1,0)),FALSE)),"")</f>
        <v/>
      </c>
      <c r="FFF18" s="28" t="str">
        <f>IFERROR(IF(FFO3="No",IF(VLOOKUP(DATE($K$1,$K$2,FFF$4),Table1[],(MATCH(Calendar!$A18,DB!$1:$1,0)),FALSE)&gt;=5,"Good","Bad"),VLOOKUP(DATE($K$1,$K$2,FFF$4),Table1[],(MATCH(Calendar!$A18,DB!$1:$1,0)),FALSE)),"")</f>
        <v/>
      </c>
      <c r="FFG18" s="28" t="str">
        <f>IFERROR(IF(FFP3="No",IF(VLOOKUP(DATE($K$1,$K$2,FFG$4),Table1[],(MATCH(Calendar!$A18,DB!$1:$1,0)),FALSE)&gt;=5,"Good","Bad"),VLOOKUP(DATE($K$1,$K$2,FFG$4),Table1[],(MATCH(Calendar!$A18,DB!$1:$1,0)),FALSE)),"")</f>
        <v/>
      </c>
      <c r="FFH18" s="28" t="str">
        <f>IFERROR(IF(FFQ3="No",IF(VLOOKUP(DATE($K$1,$K$2,FFH$4),Table1[],(MATCH(Calendar!$A18,DB!$1:$1,0)),FALSE)&gt;=5,"Good","Bad"),VLOOKUP(DATE($K$1,$K$2,FFH$4),Table1[],(MATCH(Calendar!$A18,DB!$1:$1,0)),FALSE)),"")</f>
        <v/>
      </c>
      <c r="FFI18" s="28" t="str">
        <f>IFERROR(IF(FFR3="No",IF(VLOOKUP(DATE($K$1,$K$2,FFI$4),Table1[],(MATCH(Calendar!$A18,DB!$1:$1,0)),FALSE)&gt;=5,"Good","Bad"),VLOOKUP(DATE($K$1,$K$2,FFI$4),Table1[],(MATCH(Calendar!$A18,DB!$1:$1,0)),FALSE)),"")</f>
        <v/>
      </c>
      <c r="FFJ18" s="28" t="str">
        <f>IFERROR(IF(FFS3="No",IF(VLOOKUP(DATE($K$1,$K$2,FFJ$4),Table1[],(MATCH(Calendar!$A18,DB!$1:$1,0)),FALSE)&gt;=5,"Good","Bad"),VLOOKUP(DATE($K$1,$K$2,FFJ$4),Table1[],(MATCH(Calendar!$A18,DB!$1:$1,0)),FALSE)),"")</f>
        <v/>
      </c>
      <c r="FFK18" s="28" t="str">
        <f>IFERROR(IF(FFT3="No",IF(VLOOKUP(DATE($K$1,$K$2,FFK$4),Table1[],(MATCH(Calendar!$A18,DB!$1:$1,0)),FALSE)&gt;=5,"Good","Bad"),VLOOKUP(DATE($K$1,$K$2,FFK$4),Table1[],(MATCH(Calendar!$A18,DB!$1:$1,0)),FALSE)),"")</f>
        <v/>
      </c>
      <c r="FFL18" s="28" t="str">
        <f>IFERROR(IF(FFU3="No",IF(VLOOKUP(DATE($K$1,$K$2,FFL$4),Table1[],(MATCH(Calendar!$A18,DB!$1:$1,0)),FALSE)&gt;=5,"Good","Bad"),VLOOKUP(DATE($K$1,$K$2,FFL$4),Table1[],(MATCH(Calendar!$A18,DB!$1:$1,0)),FALSE)),"")</f>
        <v/>
      </c>
      <c r="FFM18" s="28" t="str">
        <f>IFERROR(IF(FFV3="No",IF(VLOOKUP(DATE($K$1,$K$2,FFM$4),Table1[],(MATCH(Calendar!$A18,DB!$1:$1,0)),FALSE)&gt;=5,"Good","Bad"),VLOOKUP(DATE($K$1,$K$2,FFM$4),Table1[],(MATCH(Calendar!$A18,DB!$1:$1,0)),FALSE)),"")</f>
        <v/>
      </c>
      <c r="FFN18" s="28" t="str">
        <f>IFERROR(IF(FFW3="No",IF(VLOOKUP(DATE($K$1,$K$2,FFN$4),Table1[],(MATCH(Calendar!$A18,DB!$1:$1,0)),FALSE)&gt;=5,"Good","Bad"),VLOOKUP(DATE($K$1,$K$2,FFN$4),Table1[],(MATCH(Calendar!$A18,DB!$1:$1,0)),FALSE)),"")</f>
        <v/>
      </c>
      <c r="FFO18" s="28" t="str">
        <f>IFERROR(IF(FFX3="No",IF(VLOOKUP(DATE($K$1,$K$2,FFO$4),Table1[],(MATCH(Calendar!$A18,DB!$1:$1,0)),FALSE)&gt;=5,"Good","Bad"),VLOOKUP(DATE($K$1,$K$2,FFO$4),Table1[],(MATCH(Calendar!$A18,DB!$1:$1,0)),FALSE)),"")</f>
        <v/>
      </c>
      <c r="FFP18" s="28" t="str">
        <f>IFERROR(IF(FFY3="No",IF(VLOOKUP(DATE($K$1,$K$2,FFP$4),Table1[],(MATCH(Calendar!$A18,DB!$1:$1,0)),FALSE)&gt;=5,"Good","Bad"),VLOOKUP(DATE($K$1,$K$2,FFP$4),Table1[],(MATCH(Calendar!$A18,DB!$1:$1,0)),FALSE)),"")</f>
        <v/>
      </c>
      <c r="FFQ18" s="28" t="str">
        <f>IFERROR(IF(FFZ3="No",IF(VLOOKUP(DATE($K$1,$K$2,FFQ$4),Table1[],(MATCH(Calendar!$A18,DB!$1:$1,0)),FALSE)&gt;=5,"Good","Bad"),VLOOKUP(DATE($K$1,$K$2,FFQ$4),Table1[],(MATCH(Calendar!$A18,DB!$1:$1,0)),FALSE)),"")</f>
        <v/>
      </c>
      <c r="FFR18" s="28" t="str">
        <f>IFERROR(IF(FGA3="No",IF(VLOOKUP(DATE($K$1,$K$2,FFR$4),Table1[],(MATCH(Calendar!$A18,DB!$1:$1,0)),FALSE)&gt;=5,"Good","Bad"),VLOOKUP(DATE($K$1,$K$2,FFR$4),Table1[],(MATCH(Calendar!$A18,DB!$1:$1,0)),FALSE)),"")</f>
        <v/>
      </c>
      <c r="FFS18" s="28" t="str">
        <f>IFERROR(IF(FGB3="No",IF(VLOOKUP(DATE($K$1,$K$2,FFS$4),Table1[],(MATCH(Calendar!$A18,DB!$1:$1,0)),FALSE)&gt;=5,"Good","Bad"),VLOOKUP(DATE($K$1,$K$2,FFS$4),Table1[],(MATCH(Calendar!$A18,DB!$1:$1,0)),FALSE)),"")</f>
        <v/>
      </c>
      <c r="FFT18" s="28" t="str">
        <f>IFERROR(IF(FGC3="No",IF(VLOOKUP(DATE($K$1,$K$2,FFT$4),Table1[],(MATCH(Calendar!$A18,DB!$1:$1,0)),FALSE)&gt;=5,"Good","Bad"),VLOOKUP(DATE($K$1,$K$2,FFT$4),Table1[],(MATCH(Calendar!$A18,DB!$1:$1,0)),FALSE)),"")</f>
        <v/>
      </c>
      <c r="FFU18" s="28" t="str">
        <f>IFERROR(IF(FGD3="No",IF(VLOOKUP(DATE($K$1,$K$2,FFU$4),Table1[],(MATCH(Calendar!$A18,DB!$1:$1,0)),FALSE)&gt;=5,"Good","Bad"),VLOOKUP(DATE($K$1,$K$2,FFU$4),Table1[],(MATCH(Calendar!$A18,DB!$1:$1,0)),FALSE)),"")</f>
        <v/>
      </c>
      <c r="FFV18" s="28" t="str">
        <f>IFERROR(IF(FGE3="No",IF(VLOOKUP(DATE($K$1,$K$2,FFV$4),Table1[],(MATCH(Calendar!$A18,DB!$1:$1,0)),FALSE)&gt;=5,"Good","Bad"),VLOOKUP(DATE($K$1,$K$2,FFV$4),Table1[],(MATCH(Calendar!$A18,DB!$1:$1,0)),FALSE)),"")</f>
        <v/>
      </c>
      <c r="FFW18" s="28" t="str">
        <f>IFERROR(IF(FGF3="No",IF(VLOOKUP(DATE($K$1,$K$2,FFW$4),Table1[],(MATCH(Calendar!$A18,DB!$1:$1,0)),FALSE)&gt;=5,"Good","Bad"),VLOOKUP(DATE($K$1,$K$2,FFW$4),Table1[],(MATCH(Calendar!$A18,DB!$1:$1,0)),FALSE)),"")</f>
        <v/>
      </c>
      <c r="FFX18" s="28" t="str">
        <f>IFERROR(IF(FGG3="No",IF(VLOOKUP(DATE($K$1,$K$2,FFX$4),Table1[],(MATCH(Calendar!$A18,DB!$1:$1,0)),FALSE)&gt;=5,"Good","Bad"),VLOOKUP(DATE($K$1,$K$2,FFX$4),Table1[],(MATCH(Calendar!$A18,DB!$1:$1,0)),FALSE)),"")</f>
        <v/>
      </c>
      <c r="FFY18" s="28" t="str">
        <f>IFERROR(IF(FGH3="No",IF(VLOOKUP(DATE($K$1,$K$2,FFY$4),Table1[],(MATCH(Calendar!$A18,DB!$1:$1,0)),FALSE)&gt;=5,"Good","Bad"),VLOOKUP(DATE($K$1,$K$2,FFY$4),Table1[],(MATCH(Calendar!$A18,DB!$1:$1,0)),FALSE)),"")</f>
        <v/>
      </c>
      <c r="FFZ18" s="28" t="str">
        <f>IFERROR(IF(FGI3="No",IF(VLOOKUP(DATE($K$1,$K$2,FFZ$4),Table1[],(MATCH(Calendar!$A18,DB!$1:$1,0)),FALSE)&gt;=5,"Good","Bad"),VLOOKUP(DATE($K$1,$K$2,FFZ$4),Table1[],(MATCH(Calendar!$A18,DB!$1:$1,0)),FALSE)),"")</f>
        <v/>
      </c>
      <c r="FGA18" s="28" t="str">
        <f>IFERROR(IF(FGJ3="No",IF(VLOOKUP(DATE($K$1,$K$2,FGA$4),Table1[],(MATCH(Calendar!$A18,DB!$1:$1,0)),FALSE)&gt;=5,"Good","Bad"),VLOOKUP(DATE($K$1,$K$2,FGA$4),Table1[],(MATCH(Calendar!$A18,DB!$1:$1,0)),FALSE)),"")</f>
        <v/>
      </c>
      <c r="FGB18" s="28" t="str">
        <f>IFERROR(IF(FGK3="No",IF(VLOOKUP(DATE($K$1,$K$2,FGB$4),Table1[],(MATCH(Calendar!$A18,DB!$1:$1,0)),FALSE)&gt;=5,"Good","Bad"),VLOOKUP(DATE($K$1,$K$2,FGB$4),Table1[],(MATCH(Calendar!$A18,DB!$1:$1,0)),FALSE)),"")</f>
        <v/>
      </c>
      <c r="FGC18" s="28" t="str">
        <f>IFERROR(IF(FGL3="No",IF(VLOOKUP(DATE($K$1,$K$2,FGC$4),Table1[],(MATCH(Calendar!$A18,DB!$1:$1,0)),FALSE)&gt;=5,"Good","Bad"),VLOOKUP(DATE($K$1,$K$2,FGC$4),Table1[],(MATCH(Calendar!$A18,DB!$1:$1,0)),FALSE)),"")</f>
        <v/>
      </c>
      <c r="FGD18" s="28" t="str">
        <f>IFERROR(IF(FGM3="No",IF(VLOOKUP(DATE($K$1,$K$2,FGD$4),Table1[],(MATCH(Calendar!$A18,DB!$1:$1,0)),FALSE)&gt;=5,"Good","Bad"),VLOOKUP(DATE($K$1,$K$2,FGD$4),Table1[],(MATCH(Calendar!$A18,DB!$1:$1,0)),FALSE)),"")</f>
        <v/>
      </c>
      <c r="FGE18" s="28" t="str">
        <f>IFERROR(IF(FGN3="No",IF(VLOOKUP(DATE($K$1,$K$2,FGE$4),Table1[],(MATCH(Calendar!$A18,DB!$1:$1,0)),FALSE)&gt;=5,"Good","Bad"),VLOOKUP(DATE($K$1,$K$2,FGE$4),Table1[],(MATCH(Calendar!$A18,DB!$1:$1,0)),FALSE)),"")</f>
        <v/>
      </c>
      <c r="FGF18" s="28" t="str">
        <f>IFERROR(IF(FGO3="No",IF(VLOOKUP(DATE($K$1,$K$2,FGF$4),Table1[],(MATCH(Calendar!$A18,DB!$1:$1,0)),FALSE)&gt;=5,"Good","Bad"),VLOOKUP(DATE($K$1,$K$2,FGF$4),Table1[],(MATCH(Calendar!$A18,DB!$1:$1,0)),FALSE)),"")</f>
        <v/>
      </c>
      <c r="FGG18" s="28" t="str">
        <f>IFERROR(IF(FGP3="No",IF(VLOOKUP(DATE($K$1,$K$2,FGG$4),Table1[],(MATCH(Calendar!$A18,DB!$1:$1,0)),FALSE)&gt;=5,"Good","Bad"),VLOOKUP(DATE($K$1,$K$2,FGG$4),Table1[],(MATCH(Calendar!$A18,DB!$1:$1,0)),FALSE)),"")</f>
        <v/>
      </c>
      <c r="FGH18" s="28" t="str">
        <f>IFERROR(IF(FGQ3="No",IF(VLOOKUP(DATE($K$1,$K$2,FGH$4),Table1[],(MATCH(Calendar!$A18,DB!$1:$1,0)),FALSE)&gt;=5,"Good","Bad"),VLOOKUP(DATE($K$1,$K$2,FGH$4),Table1[],(MATCH(Calendar!$A18,DB!$1:$1,0)),FALSE)),"")</f>
        <v/>
      </c>
      <c r="FGI18" s="28" t="str">
        <f>IFERROR(IF(FGR3="No",IF(VLOOKUP(DATE($K$1,$K$2,FGI$4),Table1[],(MATCH(Calendar!$A18,DB!$1:$1,0)),FALSE)&gt;=5,"Good","Bad"),VLOOKUP(DATE($K$1,$K$2,FGI$4),Table1[],(MATCH(Calendar!$A18,DB!$1:$1,0)),FALSE)),"")</f>
        <v/>
      </c>
      <c r="FGJ18" s="28" t="str">
        <f>IFERROR(IF(FGS3="No",IF(VLOOKUP(DATE($K$1,$K$2,FGJ$4),Table1[],(MATCH(Calendar!$A18,DB!$1:$1,0)),FALSE)&gt;=5,"Good","Bad"),VLOOKUP(DATE($K$1,$K$2,FGJ$4),Table1[],(MATCH(Calendar!$A18,DB!$1:$1,0)),FALSE)),"")</f>
        <v/>
      </c>
      <c r="FGK18" s="28" t="str">
        <f>IFERROR(IF(FGT3="No",IF(VLOOKUP(DATE($K$1,$K$2,FGK$4),Table1[],(MATCH(Calendar!$A18,DB!$1:$1,0)),FALSE)&gt;=5,"Good","Bad"),VLOOKUP(DATE($K$1,$K$2,FGK$4),Table1[],(MATCH(Calendar!$A18,DB!$1:$1,0)),FALSE)),"")</f>
        <v/>
      </c>
      <c r="FGL18" s="28" t="str">
        <f>IFERROR(IF(FGU3="No",IF(VLOOKUP(DATE($K$1,$K$2,FGL$4),Table1[],(MATCH(Calendar!$A18,DB!$1:$1,0)),FALSE)&gt;=5,"Good","Bad"),VLOOKUP(DATE($K$1,$K$2,FGL$4),Table1[],(MATCH(Calendar!$A18,DB!$1:$1,0)),FALSE)),"")</f>
        <v/>
      </c>
      <c r="FGM18" s="28" t="str">
        <f>IFERROR(IF(FGV3="No",IF(VLOOKUP(DATE($K$1,$K$2,FGM$4),Table1[],(MATCH(Calendar!$A18,DB!$1:$1,0)),FALSE)&gt;=5,"Good","Bad"),VLOOKUP(DATE($K$1,$K$2,FGM$4),Table1[],(MATCH(Calendar!$A18,DB!$1:$1,0)),FALSE)),"")</f>
        <v/>
      </c>
      <c r="FGN18" s="28" t="str">
        <f>IFERROR(IF(FGW3="No",IF(VLOOKUP(DATE($K$1,$K$2,FGN$4),Table1[],(MATCH(Calendar!$A18,DB!$1:$1,0)),FALSE)&gt;=5,"Good","Bad"),VLOOKUP(DATE($K$1,$K$2,FGN$4),Table1[],(MATCH(Calendar!$A18,DB!$1:$1,0)),FALSE)),"")</f>
        <v/>
      </c>
      <c r="FGO18" s="28" t="str">
        <f>IFERROR(IF(FGX3="No",IF(VLOOKUP(DATE($K$1,$K$2,FGO$4),Table1[],(MATCH(Calendar!$A18,DB!$1:$1,0)),FALSE)&gt;=5,"Good","Bad"),VLOOKUP(DATE($K$1,$K$2,FGO$4),Table1[],(MATCH(Calendar!$A18,DB!$1:$1,0)),FALSE)),"")</f>
        <v/>
      </c>
      <c r="FGP18" s="28" t="str">
        <f>IFERROR(IF(FGY3="No",IF(VLOOKUP(DATE($K$1,$K$2,FGP$4),Table1[],(MATCH(Calendar!$A18,DB!$1:$1,0)),FALSE)&gt;=5,"Good","Bad"),VLOOKUP(DATE($K$1,$K$2,FGP$4),Table1[],(MATCH(Calendar!$A18,DB!$1:$1,0)),FALSE)),"")</f>
        <v/>
      </c>
      <c r="FGQ18" s="28" t="str">
        <f>IFERROR(IF(FGZ3="No",IF(VLOOKUP(DATE($K$1,$K$2,FGQ$4),Table1[],(MATCH(Calendar!$A18,DB!$1:$1,0)),FALSE)&gt;=5,"Good","Bad"),VLOOKUP(DATE($K$1,$K$2,FGQ$4),Table1[],(MATCH(Calendar!$A18,DB!$1:$1,0)),FALSE)),"")</f>
        <v/>
      </c>
      <c r="FGR18" s="28" t="str">
        <f>IFERROR(IF(FHA3="No",IF(VLOOKUP(DATE($K$1,$K$2,FGR$4),Table1[],(MATCH(Calendar!$A18,DB!$1:$1,0)),FALSE)&gt;=5,"Good","Bad"),VLOOKUP(DATE($K$1,$K$2,FGR$4),Table1[],(MATCH(Calendar!$A18,DB!$1:$1,0)),FALSE)),"")</f>
        <v/>
      </c>
      <c r="FGS18" s="28" t="str">
        <f>IFERROR(IF(FHB3="No",IF(VLOOKUP(DATE($K$1,$K$2,FGS$4),Table1[],(MATCH(Calendar!$A18,DB!$1:$1,0)),FALSE)&gt;=5,"Good","Bad"),VLOOKUP(DATE($K$1,$K$2,FGS$4),Table1[],(MATCH(Calendar!$A18,DB!$1:$1,0)),FALSE)),"")</f>
        <v/>
      </c>
      <c r="FGT18" s="28" t="str">
        <f>IFERROR(IF(FHC3="No",IF(VLOOKUP(DATE($K$1,$K$2,FGT$4),Table1[],(MATCH(Calendar!$A18,DB!$1:$1,0)),FALSE)&gt;=5,"Good","Bad"),VLOOKUP(DATE($K$1,$K$2,FGT$4),Table1[],(MATCH(Calendar!$A18,DB!$1:$1,0)),FALSE)),"")</f>
        <v/>
      </c>
      <c r="FGU18" s="28" t="str">
        <f>IFERROR(IF(FHD3="No",IF(VLOOKUP(DATE($K$1,$K$2,FGU$4),Table1[],(MATCH(Calendar!$A18,DB!$1:$1,0)),FALSE)&gt;=5,"Good","Bad"),VLOOKUP(DATE($K$1,$K$2,FGU$4),Table1[],(MATCH(Calendar!$A18,DB!$1:$1,0)),FALSE)),"")</f>
        <v/>
      </c>
      <c r="FGV18" s="28" t="str">
        <f>IFERROR(IF(FHE3="No",IF(VLOOKUP(DATE($K$1,$K$2,FGV$4),Table1[],(MATCH(Calendar!$A18,DB!$1:$1,0)),FALSE)&gt;=5,"Good","Bad"),VLOOKUP(DATE($K$1,$K$2,FGV$4),Table1[],(MATCH(Calendar!$A18,DB!$1:$1,0)),FALSE)),"")</f>
        <v/>
      </c>
      <c r="FGW18" s="28" t="str">
        <f>IFERROR(IF(FHF3="No",IF(VLOOKUP(DATE($K$1,$K$2,FGW$4),Table1[],(MATCH(Calendar!$A18,DB!$1:$1,0)),FALSE)&gt;=5,"Good","Bad"),VLOOKUP(DATE($K$1,$K$2,FGW$4),Table1[],(MATCH(Calendar!$A18,DB!$1:$1,0)),FALSE)),"")</f>
        <v/>
      </c>
      <c r="FGX18" s="28" t="str">
        <f>IFERROR(IF(FHG3="No",IF(VLOOKUP(DATE($K$1,$K$2,FGX$4),Table1[],(MATCH(Calendar!$A18,DB!$1:$1,0)),FALSE)&gt;=5,"Good","Bad"),VLOOKUP(DATE($K$1,$K$2,FGX$4),Table1[],(MATCH(Calendar!$A18,DB!$1:$1,0)),FALSE)),"")</f>
        <v/>
      </c>
      <c r="FGY18" s="28" t="str">
        <f>IFERROR(IF(FHH3="No",IF(VLOOKUP(DATE($K$1,$K$2,FGY$4),Table1[],(MATCH(Calendar!$A18,DB!$1:$1,0)),FALSE)&gt;=5,"Good","Bad"),VLOOKUP(DATE($K$1,$K$2,FGY$4),Table1[],(MATCH(Calendar!$A18,DB!$1:$1,0)),FALSE)),"")</f>
        <v/>
      </c>
      <c r="FGZ18" s="28" t="str">
        <f>IFERROR(IF(FHI3="No",IF(VLOOKUP(DATE($K$1,$K$2,FGZ$4),Table1[],(MATCH(Calendar!$A18,DB!$1:$1,0)),FALSE)&gt;=5,"Good","Bad"),VLOOKUP(DATE($K$1,$K$2,FGZ$4),Table1[],(MATCH(Calendar!$A18,DB!$1:$1,0)),FALSE)),"")</f>
        <v/>
      </c>
      <c r="FHA18" s="28" t="str">
        <f>IFERROR(IF(FHJ3="No",IF(VLOOKUP(DATE($K$1,$K$2,FHA$4),Table1[],(MATCH(Calendar!$A18,DB!$1:$1,0)),FALSE)&gt;=5,"Good","Bad"),VLOOKUP(DATE($K$1,$K$2,FHA$4),Table1[],(MATCH(Calendar!$A18,DB!$1:$1,0)),FALSE)),"")</f>
        <v/>
      </c>
      <c r="FHB18" s="28" t="str">
        <f>IFERROR(IF(FHK3="No",IF(VLOOKUP(DATE($K$1,$K$2,FHB$4),Table1[],(MATCH(Calendar!$A18,DB!$1:$1,0)),FALSE)&gt;=5,"Good","Bad"),VLOOKUP(DATE($K$1,$K$2,FHB$4),Table1[],(MATCH(Calendar!$A18,DB!$1:$1,0)),FALSE)),"")</f>
        <v/>
      </c>
      <c r="FHC18" s="28" t="str">
        <f>IFERROR(IF(FHL3="No",IF(VLOOKUP(DATE($K$1,$K$2,FHC$4),Table1[],(MATCH(Calendar!$A18,DB!$1:$1,0)),FALSE)&gt;=5,"Good","Bad"),VLOOKUP(DATE($K$1,$K$2,FHC$4),Table1[],(MATCH(Calendar!$A18,DB!$1:$1,0)),FALSE)),"")</f>
        <v/>
      </c>
      <c r="FHD18" s="28" t="str">
        <f>IFERROR(IF(FHM3="No",IF(VLOOKUP(DATE($K$1,$K$2,FHD$4),Table1[],(MATCH(Calendar!$A18,DB!$1:$1,0)),FALSE)&gt;=5,"Good","Bad"),VLOOKUP(DATE($K$1,$K$2,FHD$4),Table1[],(MATCH(Calendar!$A18,DB!$1:$1,0)),FALSE)),"")</f>
        <v/>
      </c>
      <c r="FHE18" s="28" t="str">
        <f>IFERROR(IF(FHN3="No",IF(VLOOKUP(DATE($K$1,$K$2,FHE$4),Table1[],(MATCH(Calendar!$A18,DB!$1:$1,0)),FALSE)&gt;=5,"Good","Bad"),VLOOKUP(DATE($K$1,$K$2,FHE$4),Table1[],(MATCH(Calendar!$A18,DB!$1:$1,0)),FALSE)),"")</f>
        <v/>
      </c>
      <c r="FHF18" s="28" t="str">
        <f>IFERROR(IF(FHO3="No",IF(VLOOKUP(DATE($K$1,$K$2,FHF$4),Table1[],(MATCH(Calendar!$A18,DB!$1:$1,0)),FALSE)&gt;=5,"Good","Bad"),VLOOKUP(DATE($K$1,$K$2,FHF$4),Table1[],(MATCH(Calendar!$A18,DB!$1:$1,0)),FALSE)),"")</f>
        <v/>
      </c>
      <c r="FHG18" s="28" t="str">
        <f>IFERROR(IF(FHP3="No",IF(VLOOKUP(DATE($K$1,$K$2,FHG$4),Table1[],(MATCH(Calendar!$A18,DB!$1:$1,0)),FALSE)&gt;=5,"Good","Bad"),VLOOKUP(DATE($K$1,$K$2,FHG$4),Table1[],(MATCH(Calendar!$A18,DB!$1:$1,0)),FALSE)),"")</f>
        <v/>
      </c>
      <c r="FHH18" s="28" t="str">
        <f>IFERROR(IF(FHQ3="No",IF(VLOOKUP(DATE($K$1,$K$2,FHH$4),Table1[],(MATCH(Calendar!$A18,DB!$1:$1,0)),FALSE)&gt;=5,"Good","Bad"),VLOOKUP(DATE($K$1,$K$2,FHH$4),Table1[],(MATCH(Calendar!$A18,DB!$1:$1,0)),FALSE)),"")</f>
        <v/>
      </c>
      <c r="FHI18" s="28" t="str">
        <f>IFERROR(IF(FHR3="No",IF(VLOOKUP(DATE($K$1,$K$2,FHI$4),Table1[],(MATCH(Calendar!$A18,DB!$1:$1,0)),FALSE)&gt;=5,"Good","Bad"),VLOOKUP(DATE($K$1,$K$2,FHI$4),Table1[],(MATCH(Calendar!$A18,DB!$1:$1,0)),FALSE)),"")</f>
        <v/>
      </c>
      <c r="FHJ18" s="28" t="str">
        <f>IFERROR(IF(FHS3="No",IF(VLOOKUP(DATE($K$1,$K$2,FHJ$4),Table1[],(MATCH(Calendar!$A18,DB!$1:$1,0)),FALSE)&gt;=5,"Good","Bad"),VLOOKUP(DATE($K$1,$K$2,FHJ$4),Table1[],(MATCH(Calendar!$A18,DB!$1:$1,0)),FALSE)),"")</f>
        <v/>
      </c>
      <c r="FHK18" s="28" t="str">
        <f>IFERROR(IF(FHT3="No",IF(VLOOKUP(DATE($K$1,$K$2,FHK$4),Table1[],(MATCH(Calendar!$A18,DB!$1:$1,0)),FALSE)&gt;=5,"Good","Bad"),VLOOKUP(DATE($K$1,$K$2,FHK$4),Table1[],(MATCH(Calendar!$A18,DB!$1:$1,0)),FALSE)),"")</f>
        <v/>
      </c>
      <c r="FHL18" s="28" t="str">
        <f>IFERROR(IF(FHU3="No",IF(VLOOKUP(DATE($K$1,$K$2,FHL$4),Table1[],(MATCH(Calendar!$A18,DB!$1:$1,0)),FALSE)&gt;=5,"Good","Bad"),VLOOKUP(DATE($K$1,$K$2,FHL$4),Table1[],(MATCH(Calendar!$A18,DB!$1:$1,0)),FALSE)),"")</f>
        <v/>
      </c>
      <c r="FHM18" s="28" t="str">
        <f>IFERROR(IF(FHV3="No",IF(VLOOKUP(DATE($K$1,$K$2,FHM$4),Table1[],(MATCH(Calendar!$A18,DB!$1:$1,0)),FALSE)&gt;=5,"Good","Bad"),VLOOKUP(DATE($K$1,$K$2,FHM$4),Table1[],(MATCH(Calendar!$A18,DB!$1:$1,0)),FALSE)),"")</f>
        <v/>
      </c>
      <c r="FHN18" s="28" t="str">
        <f>IFERROR(IF(FHW3="No",IF(VLOOKUP(DATE($K$1,$K$2,FHN$4),Table1[],(MATCH(Calendar!$A18,DB!$1:$1,0)),FALSE)&gt;=5,"Good","Bad"),VLOOKUP(DATE($K$1,$K$2,FHN$4),Table1[],(MATCH(Calendar!$A18,DB!$1:$1,0)),FALSE)),"")</f>
        <v/>
      </c>
      <c r="FHO18" s="28" t="str">
        <f>IFERROR(IF(FHX3="No",IF(VLOOKUP(DATE($K$1,$K$2,FHO$4),Table1[],(MATCH(Calendar!$A18,DB!$1:$1,0)),FALSE)&gt;=5,"Good","Bad"),VLOOKUP(DATE($K$1,$K$2,FHO$4),Table1[],(MATCH(Calendar!$A18,DB!$1:$1,0)),FALSE)),"")</f>
        <v/>
      </c>
      <c r="FHP18" s="28" t="str">
        <f>IFERROR(IF(FHY3="No",IF(VLOOKUP(DATE($K$1,$K$2,FHP$4),Table1[],(MATCH(Calendar!$A18,DB!$1:$1,0)),FALSE)&gt;=5,"Good","Bad"),VLOOKUP(DATE($K$1,$K$2,FHP$4),Table1[],(MATCH(Calendar!$A18,DB!$1:$1,0)),FALSE)),"")</f>
        <v/>
      </c>
      <c r="FHQ18" s="28" t="str">
        <f>IFERROR(IF(FHZ3="No",IF(VLOOKUP(DATE($K$1,$K$2,FHQ$4),Table1[],(MATCH(Calendar!$A18,DB!$1:$1,0)),FALSE)&gt;=5,"Good","Bad"),VLOOKUP(DATE($K$1,$K$2,FHQ$4),Table1[],(MATCH(Calendar!$A18,DB!$1:$1,0)),FALSE)),"")</f>
        <v/>
      </c>
      <c r="FHR18" s="28" t="str">
        <f>IFERROR(IF(FIA3="No",IF(VLOOKUP(DATE($K$1,$K$2,FHR$4),Table1[],(MATCH(Calendar!$A18,DB!$1:$1,0)),FALSE)&gt;=5,"Good","Bad"),VLOOKUP(DATE($K$1,$K$2,FHR$4),Table1[],(MATCH(Calendar!$A18,DB!$1:$1,0)),FALSE)),"")</f>
        <v/>
      </c>
      <c r="FHS18" s="28" t="str">
        <f>IFERROR(IF(FIB3="No",IF(VLOOKUP(DATE($K$1,$K$2,FHS$4),Table1[],(MATCH(Calendar!$A18,DB!$1:$1,0)),FALSE)&gt;=5,"Good","Bad"),VLOOKUP(DATE($K$1,$K$2,FHS$4),Table1[],(MATCH(Calendar!$A18,DB!$1:$1,0)),FALSE)),"")</f>
        <v/>
      </c>
      <c r="FHT18" s="28" t="str">
        <f>IFERROR(IF(FIC3="No",IF(VLOOKUP(DATE($K$1,$K$2,FHT$4),Table1[],(MATCH(Calendar!$A18,DB!$1:$1,0)),FALSE)&gt;=5,"Good","Bad"),VLOOKUP(DATE($K$1,$K$2,FHT$4),Table1[],(MATCH(Calendar!$A18,DB!$1:$1,0)),FALSE)),"")</f>
        <v/>
      </c>
      <c r="FHU18" s="28" t="str">
        <f>IFERROR(IF(FID3="No",IF(VLOOKUP(DATE($K$1,$K$2,FHU$4),Table1[],(MATCH(Calendar!$A18,DB!$1:$1,0)),FALSE)&gt;=5,"Good","Bad"),VLOOKUP(DATE($K$1,$K$2,FHU$4),Table1[],(MATCH(Calendar!$A18,DB!$1:$1,0)),FALSE)),"")</f>
        <v/>
      </c>
      <c r="FHV18" s="28" t="str">
        <f>IFERROR(IF(FIE3="No",IF(VLOOKUP(DATE($K$1,$K$2,FHV$4),Table1[],(MATCH(Calendar!$A18,DB!$1:$1,0)),FALSE)&gt;=5,"Good","Bad"),VLOOKUP(DATE($K$1,$K$2,FHV$4),Table1[],(MATCH(Calendar!$A18,DB!$1:$1,0)),FALSE)),"")</f>
        <v/>
      </c>
      <c r="FHW18" s="28" t="str">
        <f>IFERROR(IF(FIF3="No",IF(VLOOKUP(DATE($K$1,$K$2,FHW$4),Table1[],(MATCH(Calendar!$A18,DB!$1:$1,0)),FALSE)&gt;=5,"Good","Bad"),VLOOKUP(DATE($K$1,$K$2,FHW$4),Table1[],(MATCH(Calendar!$A18,DB!$1:$1,0)),FALSE)),"")</f>
        <v/>
      </c>
      <c r="FHX18" s="28" t="str">
        <f>IFERROR(IF(FIG3="No",IF(VLOOKUP(DATE($K$1,$K$2,FHX$4),Table1[],(MATCH(Calendar!$A18,DB!$1:$1,0)),FALSE)&gt;=5,"Good","Bad"),VLOOKUP(DATE($K$1,$K$2,FHX$4),Table1[],(MATCH(Calendar!$A18,DB!$1:$1,0)),FALSE)),"")</f>
        <v/>
      </c>
      <c r="FHY18" s="28" t="str">
        <f>IFERROR(IF(FIH3="No",IF(VLOOKUP(DATE($K$1,$K$2,FHY$4),Table1[],(MATCH(Calendar!$A18,DB!$1:$1,0)),FALSE)&gt;=5,"Good","Bad"),VLOOKUP(DATE($K$1,$K$2,FHY$4),Table1[],(MATCH(Calendar!$A18,DB!$1:$1,0)),FALSE)),"")</f>
        <v/>
      </c>
      <c r="FHZ18" s="28" t="str">
        <f>IFERROR(IF(FII3="No",IF(VLOOKUP(DATE($K$1,$K$2,FHZ$4),Table1[],(MATCH(Calendar!$A18,DB!$1:$1,0)),FALSE)&gt;=5,"Good","Bad"),VLOOKUP(DATE($K$1,$K$2,FHZ$4),Table1[],(MATCH(Calendar!$A18,DB!$1:$1,0)),FALSE)),"")</f>
        <v/>
      </c>
      <c r="FIA18" s="28" t="str">
        <f>IFERROR(IF(FIJ3="No",IF(VLOOKUP(DATE($K$1,$K$2,FIA$4),Table1[],(MATCH(Calendar!$A18,DB!$1:$1,0)),FALSE)&gt;=5,"Good","Bad"),VLOOKUP(DATE($K$1,$K$2,FIA$4),Table1[],(MATCH(Calendar!$A18,DB!$1:$1,0)),FALSE)),"")</f>
        <v/>
      </c>
      <c r="FIB18" s="28" t="str">
        <f>IFERROR(IF(FIK3="No",IF(VLOOKUP(DATE($K$1,$K$2,FIB$4),Table1[],(MATCH(Calendar!$A18,DB!$1:$1,0)),FALSE)&gt;=5,"Good","Bad"),VLOOKUP(DATE($K$1,$K$2,FIB$4),Table1[],(MATCH(Calendar!$A18,DB!$1:$1,0)),FALSE)),"")</f>
        <v/>
      </c>
      <c r="FIC18" s="28" t="str">
        <f>IFERROR(IF(FIL3="No",IF(VLOOKUP(DATE($K$1,$K$2,FIC$4),Table1[],(MATCH(Calendar!$A18,DB!$1:$1,0)),FALSE)&gt;=5,"Good","Bad"),VLOOKUP(DATE($K$1,$K$2,FIC$4),Table1[],(MATCH(Calendar!$A18,DB!$1:$1,0)),FALSE)),"")</f>
        <v/>
      </c>
      <c r="FID18" s="28" t="str">
        <f>IFERROR(IF(FIM3="No",IF(VLOOKUP(DATE($K$1,$K$2,FID$4),Table1[],(MATCH(Calendar!$A18,DB!$1:$1,0)),FALSE)&gt;=5,"Good","Bad"),VLOOKUP(DATE($K$1,$K$2,FID$4),Table1[],(MATCH(Calendar!$A18,DB!$1:$1,0)),FALSE)),"")</f>
        <v/>
      </c>
      <c r="FIE18" s="28" t="str">
        <f>IFERROR(IF(FIN3="No",IF(VLOOKUP(DATE($K$1,$K$2,FIE$4),Table1[],(MATCH(Calendar!$A18,DB!$1:$1,0)),FALSE)&gt;=5,"Good","Bad"),VLOOKUP(DATE($K$1,$K$2,FIE$4),Table1[],(MATCH(Calendar!$A18,DB!$1:$1,0)),FALSE)),"")</f>
        <v/>
      </c>
      <c r="FIF18" s="28" t="str">
        <f>IFERROR(IF(FIO3="No",IF(VLOOKUP(DATE($K$1,$K$2,FIF$4),Table1[],(MATCH(Calendar!$A18,DB!$1:$1,0)),FALSE)&gt;=5,"Good","Bad"),VLOOKUP(DATE($K$1,$K$2,FIF$4),Table1[],(MATCH(Calendar!$A18,DB!$1:$1,0)),FALSE)),"")</f>
        <v/>
      </c>
      <c r="FIG18" s="28" t="str">
        <f>IFERROR(IF(FIP3="No",IF(VLOOKUP(DATE($K$1,$K$2,FIG$4),Table1[],(MATCH(Calendar!$A18,DB!$1:$1,0)),FALSE)&gt;=5,"Good","Bad"),VLOOKUP(DATE($K$1,$K$2,FIG$4),Table1[],(MATCH(Calendar!$A18,DB!$1:$1,0)),FALSE)),"")</f>
        <v/>
      </c>
      <c r="FIH18" s="28" t="str">
        <f>IFERROR(IF(FIQ3="No",IF(VLOOKUP(DATE($K$1,$K$2,FIH$4),Table1[],(MATCH(Calendar!$A18,DB!$1:$1,0)),FALSE)&gt;=5,"Good","Bad"),VLOOKUP(DATE($K$1,$K$2,FIH$4),Table1[],(MATCH(Calendar!$A18,DB!$1:$1,0)),FALSE)),"")</f>
        <v/>
      </c>
      <c r="FII18" s="28" t="str">
        <f>IFERROR(IF(FIR3="No",IF(VLOOKUP(DATE($K$1,$K$2,FII$4),Table1[],(MATCH(Calendar!$A18,DB!$1:$1,0)),FALSE)&gt;=5,"Good","Bad"),VLOOKUP(DATE($K$1,$K$2,FII$4),Table1[],(MATCH(Calendar!$A18,DB!$1:$1,0)),FALSE)),"")</f>
        <v/>
      </c>
      <c r="FIJ18" s="28" t="str">
        <f>IFERROR(IF(FIS3="No",IF(VLOOKUP(DATE($K$1,$K$2,FIJ$4),Table1[],(MATCH(Calendar!$A18,DB!$1:$1,0)),FALSE)&gt;=5,"Good","Bad"),VLOOKUP(DATE($K$1,$K$2,FIJ$4),Table1[],(MATCH(Calendar!$A18,DB!$1:$1,0)),FALSE)),"")</f>
        <v/>
      </c>
      <c r="FIK18" s="28" t="str">
        <f>IFERROR(IF(FIT3="No",IF(VLOOKUP(DATE($K$1,$K$2,FIK$4),Table1[],(MATCH(Calendar!$A18,DB!$1:$1,0)),FALSE)&gt;=5,"Good","Bad"),VLOOKUP(DATE($K$1,$K$2,FIK$4),Table1[],(MATCH(Calendar!$A18,DB!$1:$1,0)),FALSE)),"")</f>
        <v/>
      </c>
      <c r="FIL18" s="28" t="str">
        <f>IFERROR(IF(FIU3="No",IF(VLOOKUP(DATE($K$1,$K$2,FIL$4),Table1[],(MATCH(Calendar!$A18,DB!$1:$1,0)),FALSE)&gt;=5,"Good","Bad"),VLOOKUP(DATE($K$1,$K$2,FIL$4),Table1[],(MATCH(Calendar!$A18,DB!$1:$1,0)),FALSE)),"")</f>
        <v/>
      </c>
      <c r="FIM18" s="28" t="str">
        <f>IFERROR(IF(FIV3="No",IF(VLOOKUP(DATE($K$1,$K$2,FIM$4),Table1[],(MATCH(Calendar!$A18,DB!$1:$1,0)),FALSE)&gt;=5,"Good","Bad"),VLOOKUP(DATE($K$1,$K$2,FIM$4),Table1[],(MATCH(Calendar!$A18,DB!$1:$1,0)),FALSE)),"")</f>
        <v/>
      </c>
      <c r="FIN18" s="28" t="str">
        <f>IFERROR(IF(FIW3="No",IF(VLOOKUP(DATE($K$1,$K$2,FIN$4),Table1[],(MATCH(Calendar!$A18,DB!$1:$1,0)),FALSE)&gt;=5,"Good","Bad"),VLOOKUP(DATE($K$1,$K$2,FIN$4),Table1[],(MATCH(Calendar!$A18,DB!$1:$1,0)),FALSE)),"")</f>
        <v/>
      </c>
      <c r="FIO18" s="28" t="str">
        <f>IFERROR(IF(FIX3="No",IF(VLOOKUP(DATE($K$1,$K$2,FIO$4),Table1[],(MATCH(Calendar!$A18,DB!$1:$1,0)),FALSE)&gt;=5,"Good","Bad"),VLOOKUP(DATE($K$1,$K$2,FIO$4),Table1[],(MATCH(Calendar!$A18,DB!$1:$1,0)),FALSE)),"")</f>
        <v/>
      </c>
      <c r="FIP18" s="28" t="str">
        <f>IFERROR(IF(FIY3="No",IF(VLOOKUP(DATE($K$1,$K$2,FIP$4),Table1[],(MATCH(Calendar!$A18,DB!$1:$1,0)),FALSE)&gt;=5,"Good","Bad"),VLOOKUP(DATE($K$1,$K$2,FIP$4),Table1[],(MATCH(Calendar!$A18,DB!$1:$1,0)),FALSE)),"")</f>
        <v/>
      </c>
      <c r="FIQ18" s="28" t="str">
        <f>IFERROR(IF(FIZ3="No",IF(VLOOKUP(DATE($K$1,$K$2,FIQ$4),Table1[],(MATCH(Calendar!$A18,DB!$1:$1,0)),FALSE)&gt;=5,"Good","Bad"),VLOOKUP(DATE($K$1,$K$2,FIQ$4),Table1[],(MATCH(Calendar!$A18,DB!$1:$1,0)),FALSE)),"")</f>
        <v/>
      </c>
      <c r="FIR18" s="28" t="str">
        <f>IFERROR(IF(FJA3="No",IF(VLOOKUP(DATE($K$1,$K$2,FIR$4),Table1[],(MATCH(Calendar!$A18,DB!$1:$1,0)),FALSE)&gt;=5,"Good","Bad"),VLOOKUP(DATE($K$1,$K$2,FIR$4),Table1[],(MATCH(Calendar!$A18,DB!$1:$1,0)),FALSE)),"")</f>
        <v/>
      </c>
      <c r="FIS18" s="28" t="str">
        <f>IFERROR(IF(FJB3="No",IF(VLOOKUP(DATE($K$1,$K$2,FIS$4),Table1[],(MATCH(Calendar!$A18,DB!$1:$1,0)),FALSE)&gt;=5,"Good","Bad"),VLOOKUP(DATE($K$1,$K$2,FIS$4),Table1[],(MATCH(Calendar!$A18,DB!$1:$1,0)),FALSE)),"")</f>
        <v/>
      </c>
      <c r="FIT18" s="28" t="str">
        <f>IFERROR(IF(FJC3="No",IF(VLOOKUP(DATE($K$1,$K$2,FIT$4),Table1[],(MATCH(Calendar!$A18,DB!$1:$1,0)),FALSE)&gt;=5,"Good","Bad"),VLOOKUP(DATE($K$1,$K$2,FIT$4),Table1[],(MATCH(Calendar!$A18,DB!$1:$1,0)),FALSE)),"")</f>
        <v/>
      </c>
      <c r="FIU18" s="28" t="str">
        <f>IFERROR(IF(FJD3="No",IF(VLOOKUP(DATE($K$1,$K$2,FIU$4),Table1[],(MATCH(Calendar!$A18,DB!$1:$1,0)),FALSE)&gt;=5,"Good","Bad"),VLOOKUP(DATE($K$1,$K$2,FIU$4),Table1[],(MATCH(Calendar!$A18,DB!$1:$1,0)),FALSE)),"")</f>
        <v/>
      </c>
      <c r="FIV18" s="28" t="str">
        <f>IFERROR(IF(FJE3="No",IF(VLOOKUP(DATE($K$1,$K$2,FIV$4),Table1[],(MATCH(Calendar!$A18,DB!$1:$1,0)),FALSE)&gt;=5,"Good","Bad"),VLOOKUP(DATE($K$1,$K$2,FIV$4),Table1[],(MATCH(Calendar!$A18,DB!$1:$1,0)),FALSE)),"")</f>
        <v/>
      </c>
      <c r="FIW18" s="28" t="str">
        <f>IFERROR(IF(FJF3="No",IF(VLOOKUP(DATE($K$1,$K$2,FIW$4),Table1[],(MATCH(Calendar!$A18,DB!$1:$1,0)),FALSE)&gt;=5,"Good","Bad"),VLOOKUP(DATE($K$1,$K$2,FIW$4),Table1[],(MATCH(Calendar!$A18,DB!$1:$1,0)),FALSE)),"")</f>
        <v/>
      </c>
      <c r="FIX18" s="28" t="str">
        <f>IFERROR(IF(FJG3="No",IF(VLOOKUP(DATE($K$1,$K$2,FIX$4),Table1[],(MATCH(Calendar!$A18,DB!$1:$1,0)),FALSE)&gt;=5,"Good","Bad"),VLOOKUP(DATE($K$1,$K$2,FIX$4),Table1[],(MATCH(Calendar!$A18,DB!$1:$1,0)),FALSE)),"")</f>
        <v/>
      </c>
      <c r="FIY18" s="28" t="str">
        <f>IFERROR(IF(FJH3="No",IF(VLOOKUP(DATE($K$1,$K$2,FIY$4),Table1[],(MATCH(Calendar!$A18,DB!$1:$1,0)),FALSE)&gt;=5,"Good","Bad"),VLOOKUP(DATE($K$1,$K$2,FIY$4),Table1[],(MATCH(Calendar!$A18,DB!$1:$1,0)),FALSE)),"")</f>
        <v/>
      </c>
      <c r="FIZ18" s="28" t="str">
        <f>IFERROR(IF(FJI3="No",IF(VLOOKUP(DATE($K$1,$K$2,FIZ$4),Table1[],(MATCH(Calendar!$A18,DB!$1:$1,0)),FALSE)&gt;=5,"Good","Bad"),VLOOKUP(DATE($K$1,$K$2,FIZ$4),Table1[],(MATCH(Calendar!$A18,DB!$1:$1,0)),FALSE)),"")</f>
        <v/>
      </c>
      <c r="FJA18" s="28" t="str">
        <f>IFERROR(IF(FJJ3="No",IF(VLOOKUP(DATE($K$1,$K$2,FJA$4),Table1[],(MATCH(Calendar!$A18,DB!$1:$1,0)),FALSE)&gt;=5,"Good","Bad"),VLOOKUP(DATE($K$1,$K$2,FJA$4),Table1[],(MATCH(Calendar!$A18,DB!$1:$1,0)),FALSE)),"")</f>
        <v/>
      </c>
      <c r="FJB18" s="28" t="str">
        <f>IFERROR(IF(FJK3="No",IF(VLOOKUP(DATE($K$1,$K$2,FJB$4),Table1[],(MATCH(Calendar!$A18,DB!$1:$1,0)),FALSE)&gt;=5,"Good","Bad"),VLOOKUP(DATE($K$1,$K$2,FJB$4),Table1[],(MATCH(Calendar!$A18,DB!$1:$1,0)),FALSE)),"")</f>
        <v/>
      </c>
      <c r="FJC18" s="28" t="str">
        <f>IFERROR(IF(FJL3="No",IF(VLOOKUP(DATE($K$1,$K$2,FJC$4),Table1[],(MATCH(Calendar!$A18,DB!$1:$1,0)),FALSE)&gt;=5,"Good","Bad"),VLOOKUP(DATE($K$1,$K$2,FJC$4),Table1[],(MATCH(Calendar!$A18,DB!$1:$1,0)),FALSE)),"")</f>
        <v/>
      </c>
      <c r="FJD18" s="28" t="str">
        <f>IFERROR(IF(FJM3="No",IF(VLOOKUP(DATE($K$1,$K$2,FJD$4),Table1[],(MATCH(Calendar!$A18,DB!$1:$1,0)),FALSE)&gt;=5,"Good","Bad"),VLOOKUP(DATE($K$1,$K$2,FJD$4),Table1[],(MATCH(Calendar!$A18,DB!$1:$1,0)),FALSE)),"")</f>
        <v/>
      </c>
      <c r="FJE18" s="28" t="str">
        <f>IFERROR(IF(FJN3="No",IF(VLOOKUP(DATE($K$1,$K$2,FJE$4),Table1[],(MATCH(Calendar!$A18,DB!$1:$1,0)),FALSE)&gt;=5,"Good","Bad"),VLOOKUP(DATE($K$1,$K$2,FJE$4),Table1[],(MATCH(Calendar!$A18,DB!$1:$1,0)),FALSE)),"")</f>
        <v/>
      </c>
      <c r="FJF18" s="28" t="str">
        <f>IFERROR(IF(FJO3="No",IF(VLOOKUP(DATE($K$1,$K$2,FJF$4),Table1[],(MATCH(Calendar!$A18,DB!$1:$1,0)),FALSE)&gt;=5,"Good","Bad"),VLOOKUP(DATE($K$1,$K$2,FJF$4),Table1[],(MATCH(Calendar!$A18,DB!$1:$1,0)),FALSE)),"")</f>
        <v/>
      </c>
      <c r="FJG18" s="28" t="str">
        <f>IFERROR(IF(FJP3="No",IF(VLOOKUP(DATE($K$1,$K$2,FJG$4),Table1[],(MATCH(Calendar!$A18,DB!$1:$1,0)),FALSE)&gt;=5,"Good","Bad"),VLOOKUP(DATE($K$1,$K$2,FJG$4),Table1[],(MATCH(Calendar!$A18,DB!$1:$1,0)),FALSE)),"")</f>
        <v/>
      </c>
      <c r="FJH18" s="28" t="str">
        <f>IFERROR(IF(FJQ3="No",IF(VLOOKUP(DATE($K$1,$K$2,FJH$4),Table1[],(MATCH(Calendar!$A18,DB!$1:$1,0)),FALSE)&gt;=5,"Good","Bad"),VLOOKUP(DATE($K$1,$K$2,FJH$4),Table1[],(MATCH(Calendar!$A18,DB!$1:$1,0)),FALSE)),"")</f>
        <v/>
      </c>
      <c r="FJI18" s="28" t="str">
        <f>IFERROR(IF(FJR3="No",IF(VLOOKUP(DATE($K$1,$K$2,FJI$4),Table1[],(MATCH(Calendar!$A18,DB!$1:$1,0)),FALSE)&gt;=5,"Good","Bad"),VLOOKUP(DATE($K$1,$K$2,FJI$4),Table1[],(MATCH(Calendar!$A18,DB!$1:$1,0)),FALSE)),"")</f>
        <v/>
      </c>
      <c r="FJJ18" s="28" t="str">
        <f>IFERROR(IF(FJS3="No",IF(VLOOKUP(DATE($K$1,$K$2,FJJ$4),Table1[],(MATCH(Calendar!$A18,DB!$1:$1,0)),FALSE)&gt;=5,"Good","Bad"),VLOOKUP(DATE($K$1,$K$2,FJJ$4),Table1[],(MATCH(Calendar!$A18,DB!$1:$1,0)),FALSE)),"")</f>
        <v/>
      </c>
      <c r="FJK18" s="28" t="str">
        <f>IFERROR(IF(FJT3="No",IF(VLOOKUP(DATE($K$1,$K$2,FJK$4),Table1[],(MATCH(Calendar!$A18,DB!$1:$1,0)),FALSE)&gt;=5,"Good","Bad"),VLOOKUP(DATE($K$1,$K$2,FJK$4),Table1[],(MATCH(Calendar!$A18,DB!$1:$1,0)),FALSE)),"")</f>
        <v/>
      </c>
      <c r="FJL18" s="28" t="str">
        <f>IFERROR(IF(FJU3="No",IF(VLOOKUP(DATE($K$1,$K$2,FJL$4),Table1[],(MATCH(Calendar!$A18,DB!$1:$1,0)),FALSE)&gt;=5,"Good","Bad"),VLOOKUP(DATE($K$1,$K$2,FJL$4),Table1[],(MATCH(Calendar!$A18,DB!$1:$1,0)),FALSE)),"")</f>
        <v/>
      </c>
      <c r="FJM18" s="28" t="str">
        <f>IFERROR(IF(FJV3="No",IF(VLOOKUP(DATE($K$1,$K$2,FJM$4),Table1[],(MATCH(Calendar!$A18,DB!$1:$1,0)),FALSE)&gt;=5,"Good","Bad"),VLOOKUP(DATE($K$1,$K$2,FJM$4),Table1[],(MATCH(Calendar!$A18,DB!$1:$1,0)),FALSE)),"")</f>
        <v/>
      </c>
      <c r="FJN18" s="28" t="str">
        <f>IFERROR(IF(FJW3="No",IF(VLOOKUP(DATE($K$1,$K$2,FJN$4),Table1[],(MATCH(Calendar!$A18,DB!$1:$1,0)),FALSE)&gt;=5,"Good","Bad"),VLOOKUP(DATE($K$1,$K$2,FJN$4),Table1[],(MATCH(Calendar!$A18,DB!$1:$1,0)),FALSE)),"")</f>
        <v/>
      </c>
      <c r="FJO18" s="28" t="str">
        <f>IFERROR(IF(FJX3="No",IF(VLOOKUP(DATE($K$1,$K$2,FJO$4),Table1[],(MATCH(Calendar!$A18,DB!$1:$1,0)),FALSE)&gt;=5,"Good","Bad"),VLOOKUP(DATE($K$1,$K$2,FJO$4),Table1[],(MATCH(Calendar!$A18,DB!$1:$1,0)),FALSE)),"")</f>
        <v/>
      </c>
      <c r="FJP18" s="28" t="str">
        <f>IFERROR(IF(FJY3="No",IF(VLOOKUP(DATE($K$1,$K$2,FJP$4),Table1[],(MATCH(Calendar!$A18,DB!$1:$1,0)),FALSE)&gt;=5,"Good","Bad"),VLOOKUP(DATE($K$1,$K$2,FJP$4),Table1[],(MATCH(Calendar!$A18,DB!$1:$1,0)),FALSE)),"")</f>
        <v/>
      </c>
      <c r="FJQ18" s="28" t="str">
        <f>IFERROR(IF(FJZ3="No",IF(VLOOKUP(DATE($K$1,$K$2,FJQ$4),Table1[],(MATCH(Calendar!$A18,DB!$1:$1,0)),FALSE)&gt;=5,"Good","Bad"),VLOOKUP(DATE($K$1,$K$2,FJQ$4),Table1[],(MATCH(Calendar!$A18,DB!$1:$1,0)),FALSE)),"")</f>
        <v/>
      </c>
      <c r="FJR18" s="28" t="str">
        <f>IFERROR(IF(FKA3="No",IF(VLOOKUP(DATE($K$1,$K$2,FJR$4),Table1[],(MATCH(Calendar!$A18,DB!$1:$1,0)),FALSE)&gt;=5,"Good","Bad"),VLOOKUP(DATE($K$1,$K$2,FJR$4),Table1[],(MATCH(Calendar!$A18,DB!$1:$1,0)),FALSE)),"")</f>
        <v/>
      </c>
      <c r="FJS18" s="28" t="str">
        <f>IFERROR(IF(FKB3="No",IF(VLOOKUP(DATE($K$1,$K$2,FJS$4),Table1[],(MATCH(Calendar!$A18,DB!$1:$1,0)),FALSE)&gt;=5,"Good","Bad"),VLOOKUP(DATE($K$1,$K$2,FJS$4),Table1[],(MATCH(Calendar!$A18,DB!$1:$1,0)),FALSE)),"")</f>
        <v/>
      </c>
      <c r="FJT18" s="28" t="str">
        <f>IFERROR(IF(FKC3="No",IF(VLOOKUP(DATE($K$1,$K$2,FJT$4),Table1[],(MATCH(Calendar!$A18,DB!$1:$1,0)),FALSE)&gt;=5,"Good","Bad"),VLOOKUP(DATE($K$1,$K$2,FJT$4),Table1[],(MATCH(Calendar!$A18,DB!$1:$1,0)),FALSE)),"")</f>
        <v/>
      </c>
      <c r="FJU18" s="28" t="str">
        <f>IFERROR(IF(FKD3="No",IF(VLOOKUP(DATE($K$1,$K$2,FJU$4),Table1[],(MATCH(Calendar!$A18,DB!$1:$1,0)),FALSE)&gt;=5,"Good","Bad"),VLOOKUP(DATE($K$1,$K$2,FJU$4),Table1[],(MATCH(Calendar!$A18,DB!$1:$1,0)),FALSE)),"")</f>
        <v/>
      </c>
      <c r="FJV18" s="28" t="str">
        <f>IFERROR(IF(FKE3="No",IF(VLOOKUP(DATE($K$1,$K$2,FJV$4),Table1[],(MATCH(Calendar!$A18,DB!$1:$1,0)),FALSE)&gt;=5,"Good","Bad"),VLOOKUP(DATE($K$1,$K$2,FJV$4),Table1[],(MATCH(Calendar!$A18,DB!$1:$1,0)),FALSE)),"")</f>
        <v/>
      </c>
      <c r="FJW18" s="28" t="str">
        <f>IFERROR(IF(FKF3="No",IF(VLOOKUP(DATE($K$1,$K$2,FJW$4),Table1[],(MATCH(Calendar!$A18,DB!$1:$1,0)),FALSE)&gt;=5,"Good","Bad"),VLOOKUP(DATE($K$1,$K$2,FJW$4),Table1[],(MATCH(Calendar!$A18,DB!$1:$1,0)),FALSE)),"")</f>
        <v/>
      </c>
      <c r="FJX18" s="28" t="str">
        <f>IFERROR(IF(FKG3="No",IF(VLOOKUP(DATE($K$1,$K$2,FJX$4),Table1[],(MATCH(Calendar!$A18,DB!$1:$1,0)),FALSE)&gt;=5,"Good","Bad"),VLOOKUP(DATE($K$1,$K$2,FJX$4),Table1[],(MATCH(Calendar!$A18,DB!$1:$1,0)),FALSE)),"")</f>
        <v/>
      </c>
      <c r="FJY18" s="28" t="str">
        <f>IFERROR(IF(FKH3="No",IF(VLOOKUP(DATE($K$1,$K$2,FJY$4),Table1[],(MATCH(Calendar!$A18,DB!$1:$1,0)),FALSE)&gt;=5,"Good","Bad"),VLOOKUP(DATE($K$1,$K$2,FJY$4),Table1[],(MATCH(Calendar!$A18,DB!$1:$1,0)),FALSE)),"")</f>
        <v/>
      </c>
      <c r="FJZ18" s="28" t="str">
        <f>IFERROR(IF(FKI3="No",IF(VLOOKUP(DATE($K$1,$K$2,FJZ$4),Table1[],(MATCH(Calendar!$A18,DB!$1:$1,0)),FALSE)&gt;=5,"Good","Bad"),VLOOKUP(DATE($K$1,$K$2,FJZ$4),Table1[],(MATCH(Calendar!$A18,DB!$1:$1,0)),FALSE)),"")</f>
        <v/>
      </c>
      <c r="FKA18" s="28" t="str">
        <f>IFERROR(IF(FKJ3="No",IF(VLOOKUP(DATE($K$1,$K$2,FKA$4),Table1[],(MATCH(Calendar!$A18,DB!$1:$1,0)),FALSE)&gt;=5,"Good","Bad"),VLOOKUP(DATE($K$1,$K$2,FKA$4),Table1[],(MATCH(Calendar!$A18,DB!$1:$1,0)),FALSE)),"")</f>
        <v/>
      </c>
      <c r="FKB18" s="28" t="str">
        <f>IFERROR(IF(FKK3="No",IF(VLOOKUP(DATE($K$1,$K$2,FKB$4),Table1[],(MATCH(Calendar!$A18,DB!$1:$1,0)),FALSE)&gt;=5,"Good","Bad"),VLOOKUP(DATE($K$1,$K$2,FKB$4),Table1[],(MATCH(Calendar!$A18,DB!$1:$1,0)),FALSE)),"")</f>
        <v/>
      </c>
      <c r="FKC18" s="28" t="str">
        <f>IFERROR(IF(FKL3="No",IF(VLOOKUP(DATE($K$1,$K$2,FKC$4),Table1[],(MATCH(Calendar!$A18,DB!$1:$1,0)),FALSE)&gt;=5,"Good","Bad"),VLOOKUP(DATE($K$1,$K$2,FKC$4),Table1[],(MATCH(Calendar!$A18,DB!$1:$1,0)),FALSE)),"")</f>
        <v/>
      </c>
      <c r="FKD18" s="28" t="str">
        <f>IFERROR(IF(FKM3="No",IF(VLOOKUP(DATE($K$1,$K$2,FKD$4),Table1[],(MATCH(Calendar!$A18,DB!$1:$1,0)),FALSE)&gt;=5,"Good","Bad"),VLOOKUP(DATE($K$1,$K$2,FKD$4),Table1[],(MATCH(Calendar!$A18,DB!$1:$1,0)),FALSE)),"")</f>
        <v/>
      </c>
      <c r="FKE18" s="28" t="str">
        <f>IFERROR(IF(FKN3="No",IF(VLOOKUP(DATE($K$1,$K$2,FKE$4),Table1[],(MATCH(Calendar!$A18,DB!$1:$1,0)),FALSE)&gt;=5,"Good","Bad"),VLOOKUP(DATE($K$1,$K$2,FKE$4),Table1[],(MATCH(Calendar!$A18,DB!$1:$1,0)),FALSE)),"")</f>
        <v/>
      </c>
      <c r="FKF18" s="28" t="str">
        <f>IFERROR(IF(FKO3="No",IF(VLOOKUP(DATE($K$1,$K$2,FKF$4),Table1[],(MATCH(Calendar!$A18,DB!$1:$1,0)),FALSE)&gt;=5,"Good","Bad"),VLOOKUP(DATE($K$1,$K$2,FKF$4),Table1[],(MATCH(Calendar!$A18,DB!$1:$1,0)),FALSE)),"")</f>
        <v/>
      </c>
      <c r="FKG18" s="28" t="str">
        <f>IFERROR(IF(FKP3="No",IF(VLOOKUP(DATE($K$1,$K$2,FKG$4),Table1[],(MATCH(Calendar!$A18,DB!$1:$1,0)),FALSE)&gt;=5,"Good","Bad"),VLOOKUP(DATE($K$1,$K$2,FKG$4),Table1[],(MATCH(Calendar!$A18,DB!$1:$1,0)),FALSE)),"")</f>
        <v/>
      </c>
      <c r="FKH18" s="28" t="str">
        <f>IFERROR(IF(FKQ3="No",IF(VLOOKUP(DATE($K$1,$K$2,FKH$4),Table1[],(MATCH(Calendar!$A18,DB!$1:$1,0)),FALSE)&gt;=5,"Good","Bad"),VLOOKUP(DATE($K$1,$K$2,FKH$4),Table1[],(MATCH(Calendar!$A18,DB!$1:$1,0)),FALSE)),"")</f>
        <v/>
      </c>
      <c r="FKI18" s="28" t="str">
        <f>IFERROR(IF(FKR3="No",IF(VLOOKUP(DATE($K$1,$K$2,FKI$4),Table1[],(MATCH(Calendar!$A18,DB!$1:$1,0)),FALSE)&gt;=5,"Good","Bad"),VLOOKUP(DATE($K$1,$K$2,FKI$4),Table1[],(MATCH(Calendar!$A18,DB!$1:$1,0)),FALSE)),"")</f>
        <v/>
      </c>
      <c r="FKJ18" s="28" t="str">
        <f>IFERROR(IF(FKS3="No",IF(VLOOKUP(DATE($K$1,$K$2,FKJ$4),Table1[],(MATCH(Calendar!$A18,DB!$1:$1,0)),FALSE)&gt;=5,"Good","Bad"),VLOOKUP(DATE($K$1,$K$2,FKJ$4),Table1[],(MATCH(Calendar!$A18,DB!$1:$1,0)),FALSE)),"")</f>
        <v/>
      </c>
      <c r="FKK18" s="28" t="str">
        <f>IFERROR(IF(FKT3="No",IF(VLOOKUP(DATE($K$1,$K$2,FKK$4),Table1[],(MATCH(Calendar!$A18,DB!$1:$1,0)),FALSE)&gt;=5,"Good","Bad"),VLOOKUP(DATE($K$1,$K$2,FKK$4),Table1[],(MATCH(Calendar!$A18,DB!$1:$1,0)),FALSE)),"")</f>
        <v/>
      </c>
      <c r="FKL18" s="28" t="str">
        <f>IFERROR(IF(FKU3="No",IF(VLOOKUP(DATE($K$1,$K$2,FKL$4),Table1[],(MATCH(Calendar!$A18,DB!$1:$1,0)),FALSE)&gt;=5,"Good","Bad"),VLOOKUP(DATE($K$1,$K$2,FKL$4),Table1[],(MATCH(Calendar!$A18,DB!$1:$1,0)),FALSE)),"")</f>
        <v/>
      </c>
      <c r="FKM18" s="28" t="str">
        <f>IFERROR(IF(FKV3="No",IF(VLOOKUP(DATE($K$1,$K$2,FKM$4),Table1[],(MATCH(Calendar!$A18,DB!$1:$1,0)),FALSE)&gt;=5,"Good","Bad"),VLOOKUP(DATE($K$1,$K$2,FKM$4),Table1[],(MATCH(Calendar!$A18,DB!$1:$1,0)),FALSE)),"")</f>
        <v/>
      </c>
      <c r="FKN18" s="28" t="str">
        <f>IFERROR(IF(FKW3="No",IF(VLOOKUP(DATE($K$1,$K$2,FKN$4),Table1[],(MATCH(Calendar!$A18,DB!$1:$1,0)),FALSE)&gt;=5,"Good","Bad"),VLOOKUP(DATE($K$1,$K$2,FKN$4),Table1[],(MATCH(Calendar!$A18,DB!$1:$1,0)),FALSE)),"")</f>
        <v/>
      </c>
      <c r="FKO18" s="28" t="str">
        <f>IFERROR(IF(FKX3="No",IF(VLOOKUP(DATE($K$1,$K$2,FKO$4),Table1[],(MATCH(Calendar!$A18,DB!$1:$1,0)),FALSE)&gt;=5,"Good","Bad"),VLOOKUP(DATE($K$1,$K$2,FKO$4),Table1[],(MATCH(Calendar!$A18,DB!$1:$1,0)),FALSE)),"")</f>
        <v/>
      </c>
      <c r="FKP18" s="28" t="str">
        <f>IFERROR(IF(FKY3="No",IF(VLOOKUP(DATE($K$1,$K$2,FKP$4),Table1[],(MATCH(Calendar!$A18,DB!$1:$1,0)),FALSE)&gt;=5,"Good","Bad"),VLOOKUP(DATE($K$1,$K$2,FKP$4),Table1[],(MATCH(Calendar!$A18,DB!$1:$1,0)),FALSE)),"")</f>
        <v/>
      </c>
      <c r="FKQ18" s="28" t="str">
        <f>IFERROR(IF(FKZ3="No",IF(VLOOKUP(DATE($K$1,$K$2,FKQ$4),Table1[],(MATCH(Calendar!$A18,DB!$1:$1,0)),FALSE)&gt;=5,"Good","Bad"),VLOOKUP(DATE($K$1,$K$2,FKQ$4),Table1[],(MATCH(Calendar!$A18,DB!$1:$1,0)),FALSE)),"")</f>
        <v/>
      </c>
      <c r="FKR18" s="28" t="str">
        <f>IFERROR(IF(FLA3="No",IF(VLOOKUP(DATE($K$1,$K$2,FKR$4),Table1[],(MATCH(Calendar!$A18,DB!$1:$1,0)),FALSE)&gt;=5,"Good","Bad"),VLOOKUP(DATE($K$1,$K$2,FKR$4),Table1[],(MATCH(Calendar!$A18,DB!$1:$1,0)),FALSE)),"")</f>
        <v/>
      </c>
      <c r="FKS18" s="28" t="str">
        <f>IFERROR(IF(FLB3="No",IF(VLOOKUP(DATE($K$1,$K$2,FKS$4),Table1[],(MATCH(Calendar!$A18,DB!$1:$1,0)),FALSE)&gt;=5,"Good","Bad"),VLOOKUP(DATE($K$1,$K$2,FKS$4),Table1[],(MATCH(Calendar!$A18,DB!$1:$1,0)),FALSE)),"")</f>
        <v/>
      </c>
      <c r="FKT18" s="28" t="str">
        <f>IFERROR(IF(FLC3="No",IF(VLOOKUP(DATE($K$1,$K$2,FKT$4),Table1[],(MATCH(Calendar!$A18,DB!$1:$1,0)),FALSE)&gt;=5,"Good","Bad"),VLOOKUP(DATE($K$1,$K$2,FKT$4),Table1[],(MATCH(Calendar!$A18,DB!$1:$1,0)),FALSE)),"")</f>
        <v/>
      </c>
      <c r="FKU18" s="28" t="str">
        <f>IFERROR(IF(FLD3="No",IF(VLOOKUP(DATE($K$1,$K$2,FKU$4),Table1[],(MATCH(Calendar!$A18,DB!$1:$1,0)),FALSE)&gt;=5,"Good","Bad"),VLOOKUP(DATE($K$1,$K$2,FKU$4),Table1[],(MATCH(Calendar!$A18,DB!$1:$1,0)),FALSE)),"")</f>
        <v/>
      </c>
      <c r="FKV18" s="28" t="str">
        <f>IFERROR(IF(FLE3="No",IF(VLOOKUP(DATE($K$1,$K$2,FKV$4),Table1[],(MATCH(Calendar!$A18,DB!$1:$1,0)),FALSE)&gt;=5,"Good","Bad"),VLOOKUP(DATE($K$1,$K$2,FKV$4),Table1[],(MATCH(Calendar!$A18,DB!$1:$1,0)),FALSE)),"")</f>
        <v/>
      </c>
      <c r="FKW18" s="28" t="str">
        <f>IFERROR(IF(FLF3="No",IF(VLOOKUP(DATE($K$1,$K$2,FKW$4),Table1[],(MATCH(Calendar!$A18,DB!$1:$1,0)),FALSE)&gt;=5,"Good","Bad"),VLOOKUP(DATE($K$1,$K$2,FKW$4),Table1[],(MATCH(Calendar!$A18,DB!$1:$1,0)),FALSE)),"")</f>
        <v/>
      </c>
      <c r="FKX18" s="28" t="str">
        <f>IFERROR(IF(FLG3="No",IF(VLOOKUP(DATE($K$1,$K$2,FKX$4),Table1[],(MATCH(Calendar!$A18,DB!$1:$1,0)),FALSE)&gt;=5,"Good","Bad"),VLOOKUP(DATE($K$1,$K$2,FKX$4),Table1[],(MATCH(Calendar!$A18,DB!$1:$1,0)),FALSE)),"")</f>
        <v/>
      </c>
      <c r="FKY18" s="28" t="str">
        <f>IFERROR(IF(FLH3="No",IF(VLOOKUP(DATE($K$1,$K$2,FKY$4),Table1[],(MATCH(Calendar!$A18,DB!$1:$1,0)),FALSE)&gt;=5,"Good","Bad"),VLOOKUP(DATE($K$1,$K$2,FKY$4),Table1[],(MATCH(Calendar!$A18,DB!$1:$1,0)),FALSE)),"")</f>
        <v/>
      </c>
      <c r="FKZ18" s="28" t="str">
        <f>IFERROR(IF(FLI3="No",IF(VLOOKUP(DATE($K$1,$K$2,FKZ$4),Table1[],(MATCH(Calendar!$A18,DB!$1:$1,0)),FALSE)&gt;=5,"Good","Bad"),VLOOKUP(DATE($K$1,$K$2,FKZ$4),Table1[],(MATCH(Calendar!$A18,DB!$1:$1,0)),FALSE)),"")</f>
        <v/>
      </c>
      <c r="FLA18" s="28" t="str">
        <f>IFERROR(IF(FLJ3="No",IF(VLOOKUP(DATE($K$1,$K$2,FLA$4),Table1[],(MATCH(Calendar!$A18,DB!$1:$1,0)),FALSE)&gt;=5,"Good","Bad"),VLOOKUP(DATE($K$1,$K$2,FLA$4),Table1[],(MATCH(Calendar!$A18,DB!$1:$1,0)),FALSE)),"")</f>
        <v/>
      </c>
      <c r="FLB18" s="28" t="str">
        <f>IFERROR(IF(FLK3="No",IF(VLOOKUP(DATE($K$1,$K$2,FLB$4),Table1[],(MATCH(Calendar!$A18,DB!$1:$1,0)),FALSE)&gt;=5,"Good","Bad"),VLOOKUP(DATE($K$1,$K$2,FLB$4),Table1[],(MATCH(Calendar!$A18,DB!$1:$1,0)),FALSE)),"")</f>
        <v/>
      </c>
      <c r="FLC18" s="28" t="str">
        <f>IFERROR(IF(FLL3="No",IF(VLOOKUP(DATE($K$1,$K$2,FLC$4),Table1[],(MATCH(Calendar!$A18,DB!$1:$1,0)),FALSE)&gt;=5,"Good","Bad"),VLOOKUP(DATE($K$1,$K$2,FLC$4),Table1[],(MATCH(Calendar!$A18,DB!$1:$1,0)),FALSE)),"")</f>
        <v/>
      </c>
      <c r="FLD18" s="28" t="str">
        <f>IFERROR(IF(FLM3="No",IF(VLOOKUP(DATE($K$1,$K$2,FLD$4),Table1[],(MATCH(Calendar!$A18,DB!$1:$1,0)),FALSE)&gt;=5,"Good","Bad"),VLOOKUP(DATE($K$1,$K$2,FLD$4),Table1[],(MATCH(Calendar!$A18,DB!$1:$1,0)),FALSE)),"")</f>
        <v/>
      </c>
      <c r="FLE18" s="28" t="str">
        <f>IFERROR(IF(FLN3="No",IF(VLOOKUP(DATE($K$1,$K$2,FLE$4),Table1[],(MATCH(Calendar!$A18,DB!$1:$1,0)),FALSE)&gt;=5,"Good","Bad"),VLOOKUP(DATE($K$1,$K$2,FLE$4),Table1[],(MATCH(Calendar!$A18,DB!$1:$1,0)),FALSE)),"")</f>
        <v/>
      </c>
      <c r="FLF18" s="28" t="str">
        <f>IFERROR(IF(FLO3="No",IF(VLOOKUP(DATE($K$1,$K$2,FLF$4),Table1[],(MATCH(Calendar!$A18,DB!$1:$1,0)),FALSE)&gt;=5,"Good","Bad"),VLOOKUP(DATE($K$1,$K$2,FLF$4),Table1[],(MATCH(Calendar!$A18,DB!$1:$1,0)),FALSE)),"")</f>
        <v/>
      </c>
      <c r="FLG18" s="28" t="str">
        <f>IFERROR(IF(FLP3="No",IF(VLOOKUP(DATE($K$1,$K$2,FLG$4),Table1[],(MATCH(Calendar!$A18,DB!$1:$1,0)),FALSE)&gt;=5,"Good","Bad"),VLOOKUP(DATE($K$1,$K$2,FLG$4),Table1[],(MATCH(Calendar!$A18,DB!$1:$1,0)),FALSE)),"")</f>
        <v/>
      </c>
      <c r="FLH18" s="28" t="str">
        <f>IFERROR(IF(FLQ3="No",IF(VLOOKUP(DATE($K$1,$K$2,FLH$4),Table1[],(MATCH(Calendar!$A18,DB!$1:$1,0)),FALSE)&gt;=5,"Good","Bad"),VLOOKUP(DATE($K$1,$K$2,FLH$4),Table1[],(MATCH(Calendar!$A18,DB!$1:$1,0)),FALSE)),"")</f>
        <v/>
      </c>
      <c r="FLI18" s="28" t="str">
        <f>IFERROR(IF(FLR3="No",IF(VLOOKUP(DATE($K$1,$K$2,FLI$4),Table1[],(MATCH(Calendar!$A18,DB!$1:$1,0)),FALSE)&gt;=5,"Good","Bad"),VLOOKUP(DATE($K$1,$K$2,FLI$4),Table1[],(MATCH(Calendar!$A18,DB!$1:$1,0)),FALSE)),"")</f>
        <v/>
      </c>
      <c r="FLJ18" s="28" t="str">
        <f>IFERROR(IF(FLS3="No",IF(VLOOKUP(DATE($K$1,$K$2,FLJ$4),Table1[],(MATCH(Calendar!$A18,DB!$1:$1,0)),FALSE)&gt;=5,"Good","Bad"),VLOOKUP(DATE($K$1,$K$2,FLJ$4),Table1[],(MATCH(Calendar!$A18,DB!$1:$1,0)),FALSE)),"")</f>
        <v/>
      </c>
      <c r="FLK18" s="28" t="str">
        <f>IFERROR(IF(FLT3="No",IF(VLOOKUP(DATE($K$1,$K$2,FLK$4),Table1[],(MATCH(Calendar!$A18,DB!$1:$1,0)),FALSE)&gt;=5,"Good","Bad"),VLOOKUP(DATE($K$1,$K$2,FLK$4),Table1[],(MATCH(Calendar!$A18,DB!$1:$1,0)),FALSE)),"")</f>
        <v/>
      </c>
      <c r="FLL18" s="28" t="str">
        <f>IFERROR(IF(FLU3="No",IF(VLOOKUP(DATE($K$1,$K$2,FLL$4),Table1[],(MATCH(Calendar!$A18,DB!$1:$1,0)),FALSE)&gt;=5,"Good","Bad"),VLOOKUP(DATE($K$1,$K$2,FLL$4),Table1[],(MATCH(Calendar!$A18,DB!$1:$1,0)),FALSE)),"")</f>
        <v/>
      </c>
      <c r="FLM18" s="28" t="str">
        <f>IFERROR(IF(FLV3="No",IF(VLOOKUP(DATE($K$1,$K$2,FLM$4),Table1[],(MATCH(Calendar!$A18,DB!$1:$1,0)),FALSE)&gt;=5,"Good","Bad"),VLOOKUP(DATE($K$1,$K$2,FLM$4),Table1[],(MATCH(Calendar!$A18,DB!$1:$1,0)),FALSE)),"")</f>
        <v/>
      </c>
      <c r="FLN18" s="28" t="str">
        <f>IFERROR(IF(FLW3="No",IF(VLOOKUP(DATE($K$1,$K$2,FLN$4),Table1[],(MATCH(Calendar!$A18,DB!$1:$1,0)),FALSE)&gt;=5,"Good","Bad"),VLOOKUP(DATE($K$1,$K$2,FLN$4),Table1[],(MATCH(Calendar!$A18,DB!$1:$1,0)),FALSE)),"")</f>
        <v/>
      </c>
      <c r="FLO18" s="28" t="str">
        <f>IFERROR(IF(FLX3="No",IF(VLOOKUP(DATE($K$1,$K$2,FLO$4),Table1[],(MATCH(Calendar!$A18,DB!$1:$1,0)),FALSE)&gt;=5,"Good","Bad"),VLOOKUP(DATE($K$1,$K$2,FLO$4),Table1[],(MATCH(Calendar!$A18,DB!$1:$1,0)),FALSE)),"")</f>
        <v/>
      </c>
      <c r="FLP18" s="28" t="str">
        <f>IFERROR(IF(FLY3="No",IF(VLOOKUP(DATE($K$1,$K$2,FLP$4),Table1[],(MATCH(Calendar!$A18,DB!$1:$1,0)),FALSE)&gt;=5,"Good","Bad"),VLOOKUP(DATE($K$1,$K$2,FLP$4),Table1[],(MATCH(Calendar!$A18,DB!$1:$1,0)),FALSE)),"")</f>
        <v/>
      </c>
      <c r="FLQ18" s="28" t="str">
        <f>IFERROR(IF(FLZ3="No",IF(VLOOKUP(DATE($K$1,$K$2,FLQ$4),Table1[],(MATCH(Calendar!$A18,DB!$1:$1,0)),FALSE)&gt;=5,"Good","Bad"),VLOOKUP(DATE($K$1,$K$2,FLQ$4),Table1[],(MATCH(Calendar!$A18,DB!$1:$1,0)),FALSE)),"")</f>
        <v/>
      </c>
      <c r="FLR18" s="28" t="str">
        <f>IFERROR(IF(FMA3="No",IF(VLOOKUP(DATE($K$1,$K$2,FLR$4),Table1[],(MATCH(Calendar!$A18,DB!$1:$1,0)),FALSE)&gt;=5,"Good","Bad"),VLOOKUP(DATE($K$1,$K$2,FLR$4),Table1[],(MATCH(Calendar!$A18,DB!$1:$1,0)),FALSE)),"")</f>
        <v/>
      </c>
      <c r="FLS18" s="28" t="str">
        <f>IFERROR(IF(FMB3="No",IF(VLOOKUP(DATE($K$1,$K$2,FLS$4),Table1[],(MATCH(Calendar!$A18,DB!$1:$1,0)),FALSE)&gt;=5,"Good","Bad"),VLOOKUP(DATE($K$1,$K$2,FLS$4),Table1[],(MATCH(Calendar!$A18,DB!$1:$1,0)),FALSE)),"")</f>
        <v/>
      </c>
      <c r="FLT18" s="28" t="str">
        <f>IFERROR(IF(FMC3="No",IF(VLOOKUP(DATE($K$1,$K$2,FLT$4),Table1[],(MATCH(Calendar!$A18,DB!$1:$1,0)),FALSE)&gt;=5,"Good","Bad"),VLOOKUP(DATE($K$1,$K$2,FLT$4),Table1[],(MATCH(Calendar!$A18,DB!$1:$1,0)),FALSE)),"")</f>
        <v/>
      </c>
      <c r="FLU18" s="28" t="str">
        <f>IFERROR(IF(FMD3="No",IF(VLOOKUP(DATE($K$1,$K$2,FLU$4),Table1[],(MATCH(Calendar!$A18,DB!$1:$1,0)),FALSE)&gt;=5,"Good","Bad"),VLOOKUP(DATE($K$1,$K$2,FLU$4),Table1[],(MATCH(Calendar!$A18,DB!$1:$1,0)),FALSE)),"")</f>
        <v/>
      </c>
      <c r="FLV18" s="28" t="str">
        <f>IFERROR(IF(FME3="No",IF(VLOOKUP(DATE($K$1,$K$2,FLV$4),Table1[],(MATCH(Calendar!$A18,DB!$1:$1,0)),FALSE)&gt;=5,"Good","Bad"),VLOOKUP(DATE($K$1,$K$2,FLV$4),Table1[],(MATCH(Calendar!$A18,DB!$1:$1,0)),FALSE)),"")</f>
        <v/>
      </c>
      <c r="FLW18" s="28" t="str">
        <f>IFERROR(IF(FMF3="No",IF(VLOOKUP(DATE($K$1,$K$2,FLW$4),Table1[],(MATCH(Calendar!$A18,DB!$1:$1,0)),FALSE)&gt;=5,"Good","Bad"),VLOOKUP(DATE($K$1,$K$2,FLW$4),Table1[],(MATCH(Calendar!$A18,DB!$1:$1,0)),FALSE)),"")</f>
        <v/>
      </c>
      <c r="FLX18" s="28" t="str">
        <f>IFERROR(IF(FMG3="No",IF(VLOOKUP(DATE($K$1,$K$2,FLX$4),Table1[],(MATCH(Calendar!$A18,DB!$1:$1,0)),FALSE)&gt;=5,"Good","Bad"),VLOOKUP(DATE($K$1,$K$2,FLX$4),Table1[],(MATCH(Calendar!$A18,DB!$1:$1,0)),FALSE)),"")</f>
        <v/>
      </c>
      <c r="FLY18" s="28" t="str">
        <f>IFERROR(IF(FMH3="No",IF(VLOOKUP(DATE($K$1,$K$2,FLY$4),Table1[],(MATCH(Calendar!$A18,DB!$1:$1,0)),FALSE)&gt;=5,"Good","Bad"),VLOOKUP(DATE($K$1,$K$2,FLY$4),Table1[],(MATCH(Calendar!$A18,DB!$1:$1,0)),FALSE)),"")</f>
        <v/>
      </c>
      <c r="FLZ18" s="28" t="str">
        <f>IFERROR(IF(FMI3="No",IF(VLOOKUP(DATE($K$1,$K$2,FLZ$4),Table1[],(MATCH(Calendar!$A18,DB!$1:$1,0)),FALSE)&gt;=5,"Good","Bad"),VLOOKUP(DATE($K$1,$K$2,FLZ$4),Table1[],(MATCH(Calendar!$A18,DB!$1:$1,0)),FALSE)),"")</f>
        <v/>
      </c>
      <c r="FMA18" s="28" t="str">
        <f>IFERROR(IF(FMJ3="No",IF(VLOOKUP(DATE($K$1,$K$2,FMA$4),Table1[],(MATCH(Calendar!$A18,DB!$1:$1,0)),FALSE)&gt;=5,"Good","Bad"),VLOOKUP(DATE($K$1,$K$2,FMA$4),Table1[],(MATCH(Calendar!$A18,DB!$1:$1,0)),FALSE)),"")</f>
        <v/>
      </c>
      <c r="FMB18" s="28" t="str">
        <f>IFERROR(IF(FMK3="No",IF(VLOOKUP(DATE($K$1,$K$2,FMB$4),Table1[],(MATCH(Calendar!$A18,DB!$1:$1,0)),FALSE)&gt;=5,"Good","Bad"),VLOOKUP(DATE($K$1,$K$2,FMB$4),Table1[],(MATCH(Calendar!$A18,DB!$1:$1,0)),FALSE)),"")</f>
        <v/>
      </c>
      <c r="FMC18" s="28" t="str">
        <f>IFERROR(IF(FML3="No",IF(VLOOKUP(DATE($K$1,$K$2,FMC$4),Table1[],(MATCH(Calendar!$A18,DB!$1:$1,0)),FALSE)&gt;=5,"Good","Bad"),VLOOKUP(DATE($K$1,$K$2,FMC$4),Table1[],(MATCH(Calendar!$A18,DB!$1:$1,0)),FALSE)),"")</f>
        <v/>
      </c>
      <c r="FMD18" s="28" t="str">
        <f>IFERROR(IF(FMM3="No",IF(VLOOKUP(DATE($K$1,$K$2,FMD$4),Table1[],(MATCH(Calendar!$A18,DB!$1:$1,0)),FALSE)&gt;=5,"Good","Bad"),VLOOKUP(DATE($K$1,$K$2,FMD$4),Table1[],(MATCH(Calendar!$A18,DB!$1:$1,0)),FALSE)),"")</f>
        <v/>
      </c>
      <c r="FME18" s="28" t="str">
        <f>IFERROR(IF(FMN3="No",IF(VLOOKUP(DATE($K$1,$K$2,FME$4),Table1[],(MATCH(Calendar!$A18,DB!$1:$1,0)),FALSE)&gt;=5,"Good","Bad"),VLOOKUP(DATE($K$1,$K$2,FME$4),Table1[],(MATCH(Calendar!$A18,DB!$1:$1,0)),FALSE)),"")</f>
        <v/>
      </c>
      <c r="FMF18" s="28" t="str">
        <f>IFERROR(IF(FMO3="No",IF(VLOOKUP(DATE($K$1,$K$2,FMF$4),Table1[],(MATCH(Calendar!$A18,DB!$1:$1,0)),FALSE)&gt;=5,"Good","Bad"),VLOOKUP(DATE($K$1,$K$2,FMF$4),Table1[],(MATCH(Calendar!$A18,DB!$1:$1,0)),FALSE)),"")</f>
        <v/>
      </c>
      <c r="FMG18" s="28" t="str">
        <f>IFERROR(IF(FMP3="No",IF(VLOOKUP(DATE($K$1,$K$2,FMG$4),Table1[],(MATCH(Calendar!$A18,DB!$1:$1,0)),FALSE)&gt;=5,"Good","Bad"),VLOOKUP(DATE($K$1,$K$2,FMG$4),Table1[],(MATCH(Calendar!$A18,DB!$1:$1,0)),FALSE)),"")</f>
        <v/>
      </c>
      <c r="FMH18" s="28" t="str">
        <f>IFERROR(IF(FMQ3="No",IF(VLOOKUP(DATE($K$1,$K$2,FMH$4),Table1[],(MATCH(Calendar!$A18,DB!$1:$1,0)),FALSE)&gt;=5,"Good","Bad"),VLOOKUP(DATE($K$1,$K$2,FMH$4),Table1[],(MATCH(Calendar!$A18,DB!$1:$1,0)),FALSE)),"")</f>
        <v/>
      </c>
      <c r="FMI18" s="28" t="str">
        <f>IFERROR(IF(FMR3="No",IF(VLOOKUP(DATE($K$1,$K$2,FMI$4),Table1[],(MATCH(Calendar!$A18,DB!$1:$1,0)),FALSE)&gt;=5,"Good","Bad"),VLOOKUP(DATE($K$1,$K$2,FMI$4),Table1[],(MATCH(Calendar!$A18,DB!$1:$1,0)),FALSE)),"")</f>
        <v/>
      </c>
      <c r="FMJ18" s="28" t="str">
        <f>IFERROR(IF(FMS3="No",IF(VLOOKUP(DATE($K$1,$K$2,FMJ$4),Table1[],(MATCH(Calendar!$A18,DB!$1:$1,0)),FALSE)&gt;=5,"Good","Bad"),VLOOKUP(DATE($K$1,$K$2,FMJ$4),Table1[],(MATCH(Calendar!$A18,DB!$1:$1,0)),FALSE)),"")</f>
        <v/>
      </c>
      <c r="FMK18" s="28" t="str">
        <f>IFERROR(IF(FMT3="No",IF(VLOOKUP(DATE($K$1,$K$2,FMK$4),Table1[],(MATCH(Calendar!$A18,DB!$1:$1,0)),FALSE)&gt;=5,"Good","Bad"),VLOOKUP(DATE($K$1,$K$2,FMK$4),Table1[],(MATCH(Calendar!$A18,DB!$1:$1,0)),FALSE)),"")</f>
        <v/>
      </c>
      <c r="FML18" s="28" t="str">
        <f>IFERROR(IF(FMU3="No",IF(VLOOKUP(DATE($K$1,$K$2,FML$4),Table1[],(MATCH(Calendar!$A18,DB!$1:$1,0)),FALSE)&gt;=5,"Good","Bad"),VLOOKUP(DATE($K$1,$K$2,FML$4),Table1[],(MATCH(Calendar!$A18,DB!$1:$1,0)),FALSE)),"")</f>
        <v/>
      </c>
      <c r="FMM18" s="28" t="str">
        <f>IFERROR(IF(FMV3="No",IF(VLOOKUP(DATE($K$1,$K$2,FMM$4),Table1[],(MATCH(Calendar!$A18,DB!$1:$1,0)),FALSE)&gt;=5,"Good","Bad"),VLOOKUP(DATE($K$1,$K$2,FMM$4),Table1[],(MATCH(Calendar!$A18,DB!$1:$1,0)),FALSE)),"")</f>
        <v/>
      </c>
      <c r="FMN18" s="28" t="str">
        <f>IFERROR(IF(FMW3="No",IF(VLOOKUP(DATE($K$1,$K$2,FMN$4),Table1[],(MATCH(Calendar!$A18,DB!$1:$1,0)),FALSE)&gt;=5,"Good","Bad"),VLOOKUP(DATE($K$1,$K$2,FMN$4),Table1[],(MATCH(Calendar!$A18,DB!$1:$1,0)),FALSE)),"")</f>
        <v/>
      </c>
      <c r="FMO18" s="28" t="str">
        <f>IFERROR(IF(FMX3="No",IF(VLOOKUP(DATE($K$1,$K$2,FMO$4),Table1[],(MATCH(Calendar!$A18,DB!$1:$1,0)),FALSE)&gt;=5,"Good","Bad"),VLOOKUP(DATE($K$1,$K$2,FMO$4),Table1[],(MATCH(Calendar!$A18,DB!$1:$1,0)),FALSE)),"")</f>
        <v/>
      </c>
      <c r="FMP18" s="28" t="str">
        <f>IFERROR(IF(FMY3="No",IF(VLOOKUP(DATE($K$1,$K$2,FMP$4),Table1[],(MATCH(Calendar!$A18,DB!$1:$1,0)),FALSE)&gt;=5,"Good","Bad"),VLOOKUP(DATE($K$1,$K$2,FMP$4),Table1[],(MATCH(Calendar!$A18,DB!$1:$1,0)),FALSE)),"")</f>
        <v/>
      </c>
      <c r="FMQ18" s="28" t="str">
        <f>IFERROR(IF(FMZ3="No",IF(VLOOKUP(DATE($K$1,$K$2,FMQ$4),Table1[],(MATCH(Calendar!$A18,DB!$1:$1,0)),FALSE)&gt;=5,"Good","Bad"),VLOOKUP(DATE($K$1,$K$2,FMQ$4),Table1[],(MATCH(Calendar!$A18,DB!$1:$1,0)),FALSE)),"")</f>
        <v/>
      </c>
      <c r="FMR18" s="28" t="str">
        <f>IFERROR(IF(FNA3="No",IF(VLOOKUP(DATE($K$1,$K$2,FMR$4),Table1[],(MATCH(Calendar!$A18,DB!$1:$1,0)),FALSE)&gt;=5,"Good","Bad"),VLOOKUP(DATE($K$1,$K$2,FMR$4),Table1[],(MATCH(Calendar!$A18,DB!$1:$1,0)),FALSE)),"")</f>
        <v/>
      </c>
      <c r="FMS18" s="28" t="str">
        <f>IFERROR(IF(FNB3="No",IF(VLOOKUP(DATE($K$1,$K$2,FMS$4),Table1[],(MATCH(Calendar!$A18,DB!$1:$1,0)),FALSE)&gt;=5,"Good","Bad"),VLOOKUP(DATE($K$1,$K$2,FMS$4),Table1[],(MATCH(Calendar!$A18,DB!$1:$1,0)),FALSE)),"")</f>
        <v/>
      </c>
      <c r="FMT18" s="28" t="str">
        <f>IFERROR(IF(FNC3="No",IF(VLOOKUP(DATE($K$1,$K$2,FMT$4),Table1[],(MATCH(Calendar!$A18,DB!$1:$1,0)),FALSE)&gt;=5,"Good","Bad"),VLOOKUP(DATE($K$1,$K$2,FMT$4),Table1[],(MATCH(Calendar!$A18,DB!$1:$1,0)),FALSE)),"")</f>
        <v/>
      </c>
      <c r="FMU18" s="28" t="str">
        <f>IFERROR(IF(FND3="No",IF(VLOOKUP(DATE($K$1,$K$2,FMU$4),Table1[],(MATCH(Calendar!$A18,DB!$1:$1,0)),FALSE)&gt;=5,"Good","Bad"),VLOOKUP(DATE($K$1,$K$2,FMU$4),Table1[],(MATCH(Calendar!$A18,DB!$1:$1,0)),FALSE)),"")</f>
        <v/>
      </c>
      <c r="FMV18" s="28" t="str">
        <f>IFERROR(IF(FNE3="No",IF(VLOOKUP(DATE($K$1,$K$2,FMV$4),Table1[],(MATCH(Calendar!$A18,DB!$1:$1,0)),FALSE)&gt;=5,"Good","Bad"),VLOOKUP(DATE($K$1,$K$2,FMV$4),Table1[],(MATCH(Calendar!$A18,DB!$1:$1,0)),FALSE)),"")</f>
        <v/>
      </c>
      <c r="FMW18" s="28" t="str">
        <f>IFERROR(IF(FNF3="No",IF(VLOOKUP(DATE($K$1,$K$2,FMW$4),Table1[],(MATCH(Calendar!$A18,DB!$1:$1,0)),FALSE)&gt;=5,"Good","Bad"),VLOOKUP(DATE($K$1,$K$2,FMW$4),Table1[],(MATCH(Calendar!$A18,DB!$1:$1,0)),FALSE)),"")</f>
        <v/>
      </c>
      <c r="FMX18" s="28" t="str">
        <f>IFERROR(IF(FNG3="No",IF(VLOOKUP(DATE($K$1,$K$2,FMX$4),Table1[],(MATCH(Calendar!$A18,DB!$1:$1,0)),FALSE)&gt;=5,"Good","Bad"),VLOOKUP(DATE($K$1,$K$2,FMX$4),Table1[],(MATCH(Calendar!$A18,DB!$1:$1,0)),FALSE)),"")</f>
        <v/>
      </c>
      <c r="FMY18" s="28" t="str">
        <f>IFERROR(IF(FNH3="No",IF(VLOOKUP(DATE($K$1,$K$2,FMY$4),Table1[],(MATCH(Calendar!$A18,DB!$1:$1,0)),FALSE)&gt;=5,"Good","Bad"),VLOOKUP(DATE($K$1,$K$2,FMY$4),Table1[],(MATCH(Calendar!$A18,DB!$1:$1,0)),FALSE)),"")</f>
        <v/>
      </c>
      <c r="FMZ18" s="28" t="str">
        <f>IFERROR(IF(FNI3="No",IF(VLOOKUP(DATE($K$1,$K$2,FMZ$4),Table1[],(MATCH(Calendar!$A18,DB!$1:$1,0)),FALSE)&gt;=5,"Good","Bad"),VLOOKUP(DATE($K$1,$K$2,FMZ$4),Table1[],(MATCH(Calendar!$A18,DB!$1:$1,0)),FALSE)),"")</f>
        <v/>
      </c>
      <c r="FNA18" s="28" t="str">
        <f>IFERROR(IF(FNJ3="No",IF(VLOOKUP(DATE($K$1,$K$2,FNA$4),Table1[],(MATCH(Calendar!$A18,DB!$1:$1,0)),FALSE)&gt;=5,"Good","Bad"),VLOOKUP(DATE($K$1,$K$2,FNA$4),Table1[],(MATCH(Calendar!$A18,DB!$1:$1,0)),FALSE)),"")</f>
        <v/>
      </c>
      <c r="FNB18" s="28" t="str">
        <f>IFERROR(IF(FNK3="No",IF(VLOOKUP(DATE($K$1,$K$2,FNB$4),Table1[],(MATCH(Calendar!$A18,DB!$1:$1,0)),FALSE)&gt;=5,"Good","Bad"),VLOOKUP(DATE($K$1,$K$2,FNB$4),Table1[],(MATCH(Calendar!$A18,DB!$1:$1,0)),FALSE)),"")</f>
        <v/>
      </c>
      <c r="FNC18" s="28" t="str">
        <f>IFERROR(IF(FNL3="No",IF(VLOOKUP(DATE($K$1,$K$2,FNC$4),Table1[],(MATCH(Calendar!$A18,DB!$1:$1,0)),FALSE)&gt;=5,"Good","Bad"),VLOOKUP(DATE($K$1,$K$2,FNC$4),Table1[],(MATCH(Calendar!$A18,DB!$1:$1,0)),FALSE)),"")</f>
        <v/>
      </c>
      <c r="FND18" s="28" t="str">
        <f>IFERROR(IF(FNM3="No",IF(VLOOKUP(DATE($K$1,$K$2,FND$4),Table1[],(MATCH(Calendar!$A18,DB!$1:$1,0)),FALSE)&gt;=5,"Good","Bad"),VLOOKUP(DATE($K$1,$K$2,FND$4),Table1[],(MATCH(Calendar!$A18,DB!$1:$1,0)),FALSE)),"")</f>
        <v/>
      </c>
      <c r="FNE18" s="28" t="str">
        <f>IFERROR(IF(FNN3="No",IF(VLOOKUP(DATE($K$1,$K$2,FNE$4),Table1[],(MATCH(Calendar!$A18,DB!$1:$1,0)),FALSE)&gt;=5,"Good","Bad"),VLOOKUP(DATE($K$1,$K$2,FNE$4),Table1[],(MATCH(Calendar!$A18,DB!$1:$1,0)),FALSE)),"")</f>
        <v/>
      </c>
      <c r="FNF18" s="28" t="str">
        <f>IFERROR(IF(FNO3="No",IF(VLOOKUP(DATE($K$1,$K$2,FNF$4),Table1[],(MATCH(Calendar!$A18,DB!$1:$1,0)),FALSE)&gt;=5,"Good","Bad"),VLOOKUP(DATE($K$1,$K$2,FNF$4),Table1[],(MATCH(Calendar!$A18,DB!$1:$1,0)),FALSE)),"")</f>
        <v/>
      </c>
      <c r="FNG18" s="28" t="str">
        <f>IFERROR(IF(FNP3="No",IF(VLOOKUP(DATE($K$1,$K$2,FNG$4),Table1[],(MATCH(Calendar!$A18,DB!$1:$1,0)),FALSE)&gt;=5,"Good","Bad"),VLOOKUP(DATE($K$1,$K$2,FNG$4),Table1[],(MATCH(Calendar!$A18,DB!$1:$1,0)),FALSE)),"")</f>
        <v/>
      </c>
      <c r="FNH18" s="28" t="str">
        <f>IFERROR(IF(FNQ3="No",IF(VLOOKUP(DATE($K$1,$K$2,FNH$4),Table1[],(MATCH(Calendar!$A18,DB!$1:$1,0)),FALSE)&gt;=5,"Good","Bad"),VLOOKUP(DATE($K$1,$K$2,FNH$4),Table1[],(MATCH(Calendar!$A18,DB!$1:$1,0)),FALSE)),"")</f>
        <v/>
      </c>
      <c r="FNI18" s="28" t="str">
        <f>IFERROR(IF(FNR3="No",IF(VLOOKUP(DATE($K$1,$K$2,FNI$4),Table1[],(MATCH(Calendar!$A18,DB!$1:$1,0)),FALSE)&gt;=5,"Good","Bad"),VLOOKUP(DATE($K$1,$K$2,FNI$4),Table1[],(MATCH(Calendar!$A18,DB!$1:$1,0)),FALSE)),"")</f>
        <v/>
      </c>
      <c r="FNJ18" s="28" t="str">
        <f>IFERROR(IF(FNS3="No",IF(VLOOKUP(DATE($K$1,$K$2,FNJ$4),Table1[],(MATCH(Calendar!$A18,DB!$1:$1,0)),FALSE)&gt;=5,"Good","Bad"),VLOOKUP(DATE($K$1,$K$2,FNJ$4),Table1[],(MATCH(Calendar!$A18,DB!$1:$1,0)),FALSE)),"")</f>
        <v/>
      </c>
      <c r="FNK18" s="28" t="str">
        <f>IFERROR(IF(FNT3="No",IF(VLOOKUP(DATE($K$1,$K$2,FNK$4),Table1[],(MATCH(Calendar!$A18,DB!$1:$1,0)),FALSE)&gt;=5,"Good","Bad"),VLOOKUP(DATE($K$1,$K$2,FNK$4),Table1[],(MATCH(Calendar!$A18,DB!$1:$1,0)),FALSE)),"")</f>
        <v/>
      </c>
      <c r="FNL18" s="28" t="str">
        <f>IFERROR(IF(FNU3="No",IF(VLOOKUP(DATE($K$1,$K$2,FNL$4),Table1[],(MATCH(Calendar!$A18,DB!$1:$1,0)),FALSE)&gt;=5,"Good","Bad"),VLOOKUP(DATE($K$1,$K$2,FNL$4),Table1[],(MATCH(Calendar!$A18,DB!$1:$1,0)),FALSE)),"")</f>
        <v/>
      </c>
      <c r="FNM18" s="28" t="str">
        <f>IFERROR(IF(FNV3="No",IF(VLOOKUP(DATE($K$1,$K$2,FNM$4),Table1[],(MATCH(Calendar!$A18,DB!$1:$1,0)),FALSE)&gt;=5,"Good","Bad"),VLOOKUP(DATE($K$1,$K$2,FNM$4),Table1[],(MATCH(Calendar!$A18,DB!$1:$1,0)),FALSE)),"")</f>
        <v/>
      </c>
      <c r="FNN18" s="28" t="str">
        <f>IFERROR(IF(FNW3="No",IF(VLOOKUP(DATE($K$1,$K$2,FNN$4),Table1[],(MATCH(Calendar!$A18,DB!$1:$1,0)),FALSE)&gt;=5,"Good","Bad"),VLOOKUP(DATE($K$1,$K$2,FNN$4),Table1[],(MATCH(Calendar!$A18,DB!$1:$1,0)),FALSE)),"")</f>
        <v/>
      </c>
      <c r="FNO18" s="28" t="str">
        <f>IFERROR(IF(FNX3="No",IF(VLOOKUP(DATE($K$1,$K$2,FNO$4),Table1[],(MATCH(Calendar!$A18,DB!$1:$1,0)),FALSE)&gt;=5,"Good","Bad"),VLOOKUP(DATE($K$1,$K$2,FNO$4),Table1[],(MATCH(Calendar!$A18,DB!$1:$1,0)),FALSE)),"")</f>
        <v/>
      </c>
      <c r="FNP18" s="28" t="str">
        <f>IFERROR(IF(FNY3="No",IF(VLOOKUP(DATE($K$1,$K$2,FNP$4),Table1[],(MATCH(Calendar!$A18,DB!$1:$1,0)),FALSE)&gt;=5,"Good","Bad"),VLOOKUP(DATE($K$1,$K$2,FNP$4),Table1[],(MATCH(Calendar!$A18,DB!$1:$1,0)),FALSE)),"")</f>
        <v/>
      </c>
      <c r="FNQ18" s="28" t="str">
        <f>IFERROR(IF(FNZ3="No",IF(VLOOKUP(DATE($K$1,$K$2,FNQ$4),Table1[],(MATCH(Calendar!$A18,DB!$1:$1,0)),FALSE)&gt;=5,"Good","Bad"),VLOOKUP(DATE($K$1,$K$2,FNQ$4),Table1[],(MATCH(Calendar!$A18,DB!$1:$1,0)),FALSE)),"")</f>
        <v/>
      </c>
      <c r="FNR18" s="28" t="str">
        <f>IFERROR(IF(FOA3="No",IF(VLOOKUP(DATE($K$1,$K$2,FNR$4),Table1[],(MATCH(Calendar!$A18,DB!$1:$1,0)),FALSE)&gt;=5,"Good","Bad"),VLOOKUP(DATE($K$1,$K$2,FNR$4),Table1[],(MATCH(Calendar!$A18,DB!$1:$1,0)),FALSE)),"")</f>
        <v/>
      </c>
      <c r="FNS18" s="28" t="str">
        <f>IFERROR(IF(FOB3="No",IF(VLOOKUP(DATE($K$1,$K$2,FNS$4),Table1[],(MATCH(Calendar!$A18,DB!$1:$1,0)),FALSE)&gt;=5,"Good","Bad"),VLOOKUP(DATE($K$1,$K$2,FNS$4),Table1[],(MATCH(Calendar!$A18,DB!$1:$1,0)),FALSE)),"")</f>
        <v/>
      </c>
      <c r="FNT18" s="28" t="str">
        <f>IFERROR(IF(FOC3="No",IF(VLOOKUP(DATE($K$1,$K$2,FNT$4),Table1[],(MATCH(Calendar!$A18,DB!$1:$1,0)),FALSE)&gt;=5,"Good","Bad"),VLOOKUP(DATE($K$1,$K$2,FNT$4),Table1[],(MATCH(Calendar!$A18,DB!$1:$1,0)),FALSE)),"")</f>
        <v/>
      </c>
      <c r="FNU18" s="28" t="str">
        <f>IFERROR(IF(FOD3="No",IF(VLOOKUP(DATE($K$1,$K$2,FNU$4),Table1[],(MATCH(Calendar!$A18,DB!$1:$1,0)),FALSE)&gt;=5,"Good","Bad"),VLOOKUP(DATE($K$1,$K$2,FNU$4),Table1[],(MATCH(Calendar!$A18,DB!$1:$1,0)),FALSE)),"")</f>
        <v/>
      </c>
      <c r="FNV18" s="28" t="str">
        <f>IFERROR(IF(FOE3="No",IF(VLOOKUP(DATE($K$1,$K$2,FNV$4),Table1[],(MATCH(Calendar!$A18,DB!$1:$1,0)),FALSE)&gt;=5,"Good","Bad"),VLOOKUP(DATE($K$1,$K$2,FNV$4),Table1[],(MATCH(Calendar!$A18,DB!$1:$1,0)),FALSE)),"")</f>
        <v/>
      </c>
      <c r="FNW18" s="28" t="str">
        <f>IFERROR(IF(FOF3="No",IF(VLOOKUP(DATE($K$1,$K$2,FNW$4),Table1[],(MATCH(Calendar!$A18,DB!$1:$1,0)),FALSE)&gt;=5,"Good","Bad"),VLOOKUP(DATE($K$1,$K$2,FNW$4),Table1[],(MATCH(Calendar!$A18,DB!$1:$1,0)),FALSE)),"")</f>
        <v/>
      </c>
      <c r="FNX18" s="28" t="str">
        <f>IFERROR(IF(FOG3="No",IF(VLOOKUP(DATE($K$1,$K$2,FNX$4),Table1[],(MATCH(Calendar!$A18,DB!$1:$1,0)),FALSE)&gt;=5,"Good","Bad"),VLOOKUP(DATE($K$1,$K$2,FNX$4),Table1[],(MATCH(Calendar!$A18,DB!$1:$1,0)),FALSE)),"")</f>
        <v/>
      </c>
      <c r="FNY18" s="28" t="str">
        <f>IFERROR(IF(FOH3="No",IF(VLOOKUP(DATE($K$1,$K$2,FNY$4),Table1[],(MATCH(Calendar!$A18,DB!$1:$1,0)),FALSE)&gt;=5,"Good","Bad"),VLOOKUP(DATE($K$1,$K$2,FNY$4),Table1[],(MATCH(Calendar!$A18,DB!$1:$1,0)),FALSE)),"")</f>
        <v/>
      </c>
      <c r="FNZ18" s="28" t="str">
        <f>IFERROR(IF(FOI3="No",IF(VLOOKUP(DATE($K$1,$K$2,FNZ$4),Table1[],(MATCH(Calendar!$A18,DB!$1:$1,0)),FALSE)&gt;=5,"Good","Bad"),VLOOKUP(DATE($K$1,$K$2,FNZ$4),Table1[],(MATCH(Calendar!$A18,DB!$1:$1,0)),FALSE)),"")</f>
        <v/>
      </c>
      <c r="FOA18" s="28" t="str">
        <f>IFERROR(IF(FOJ3="No",IF(VLOOKUP(DATE($K$1,$K$2,FOA$4),Table1[],(MATCH(Calendar!$A18,DB!$1:$1,0)),FALSE)&gt;=5,"Good","Bad"),VLOOKUP(DATE($K$1,$K$2,FOA$4),Table1[],(MATCH(Calendar!$A18,DB!$1:$1,0)),FALSE)),"")</f>
        <v/>
      </c>
      <c r="FOB18" s="28" t="str">
        <f>IFERROR(IF(FOK3="No",IF(VLOOKUP(DATE($K$1,$K$2,FOB$4),Table1[],(MATCH(Calendar!$A18,DB!$1:$1,0)),FALSE)&gt;=5,"Good","Bad"),VLOOKUP(DATE($K$1,$K$2,FOB$4),Table1[],(MATCH(Calendar!$A18,DB!$1:$1,0)),FALSE)),"")</f>
        <v/>
      </c>
      <c r="FOC18" s="28" t="str">
        <f>IFERROR(IF(FOL3="No",IF(VLOOKUP(DATE($K$1,$K$2,FOC$4),Table1[],(MATCH(Calendar!$A18,DB!$1:$1,0)),FALSE)&gt;=5,"Good","Bad"),VLOOKUP(DATE($K$1,$K$2,FOC$4),Table1[],(MATCH(Calendar!$A18,DB!$1:$1,0)),FALSE)),"")</f>
        <v/>
      </c>
      <c r="FOD18" s="28" t="str">
        <f>IFERROR(IF(FOM3="No",IF(VLOOKUP(DATE($K$1,$K$2,FOD$4),Table1[],(MATCH(Calendar!$A18,DB!$1:$1,0)),FALSE)&gt;=5,"Good","Bad"),VLOOKUP(DATE($K$1,$K$2,FOD$4),Table1[],(MATCH(Calendar!$A18,DB!$1:$1,0)),FALSE)),"")</f>
        <v/>
      </c>
      <c r="FOE18" s="28" t="str">
        <f>IFERROR(IF(FON3="No",IF(VLOOKUP(DATE($K$1,$K$2,FOE$4),Table1[],(MATCH(Calendar!$A18,DB!$1:$1,0)),FALSE)&gt;=5,"Good","Bad"),VLOOKUP(DATE($K$1,$K$2,FOE$4),Table1[],(MATCH(Calendar!$A18,DB!$1:$1,0)),FALSE)),"")</f>
        <v/>
      </c>
      <c r="FOF18" s="28" t="str">
        <f>IFERROR(IF(FOO3="No",IF(VLOOKUP(DATE($K$1,$K$2,FOF$4),Table1[],(MATCH(Calendar!$A18,DB!$1:$1,0)),FALSE)&gt;=5,"Good","Bad"),VLOOKUP(DATE($K$1,$K$2,FOF$4),Table1[],(MATCH(Calendar!$A18,DB!$1:$1,0)),FALSE)),"")</f>
        <v/>
      </c>
      <c r="FOG18" s="28" t="str">
        <f>IFERROR(IF(FOP3="No",IF(VLOOKUP(DATE($K$1,$K$2,FOG$4),Table1[],(MATCH(Calendar!$A18,DB!$1:$1,0)),FALSE)&gt;=5,"Good","Bad"),VLOOKUP(DATE($K$1,$K$2,FOG$4),Table1[],(MATCH(Calendar!$A18,DB!$1:$1,0)),FALSE)),"")</f>
        <v/>
      </c>
      <c r="FOH18" s="28" t="str">
        <f>IFERROR(IF(FOQ3="No",IF(VLOOKUP(DATE($K$1,$K$2,FOH$4),Table1[],(MATCH(Calendar!$A18,DB!$1:$1,0)),FALSE)&gt;=5,"Good","Bad"),VLOOKUP(DATE($K$1,$K$2,FOH$4),Table1[],(MATCH(Calendar!$A18,DB!$1:$1,0)),FALSE)),"")</f>
        <v/>
      </c>
      <c r="FOI18" s="28" t="str">
        <f>IFERROR(IF(FOR3="No",IF(VLOOKUP(DATE($K$1,$K$2,FOI$4),Table1[],(MATCH(Calendar!$A18,DB!$1:$1,0)),FALSE)&gt;=5,"Good","Bad"),VLOOKUP(DATE($K$1,$K$2,FOI$4),Table1[],(MATCH(Calendar!$A18,DB!$1:$1,0)),FALSE)),"")</f>
        <v/>
      </c>
      <c r="FOJ18" s="28" t="str">
        <f>IFERROR(IF(FOS3="No",IF(VLOOKUP(DATE($K$1,$K$2,FOJ$4),Table1[],(MATCH(Calendar!$A18,DB!$1:$1,0)),FALSE)&gt;=5,"Good","Bad"),VLOOKUP(DATE($K$1,$K$2,FOJ$4),Table1[],(MATCH(Calendar!$A18,DB!$1:$1,0)),FALSE)),"")</f>
        <v/>
      </c>
      <c r="FOK18" s="28" t="str">
        <f>IFERROR(IF(FOT3="No",IF(VLOOKUP(DATE($K$1,$K$2,FOK$4),Table1[],(MATCH(Calendar!$A18,DB!$1:$1,0)),FALSE)&gt;=5,"Good","Bad"),VLOOKUP(DATE($K$1,$K$2,FOK$4),Table1[],(MATCH(Calendar!$A18,DB!$1:$1,0)),FALSE)),"")</f>
        <v/>
      </c>
      <c r="FOL18" s="28" t="str">
        <f>IFERROR(IF(FOU3="No",IF(VLOOKUP(DATE($K$1,$K$2,FOL$4),Table1[],(MATCH(Calendar!$A18,DB!$1:$1,0)),FALSE)&gt;=5,"Good","Bad"),VLOOKUP(DATE($K$1,$K$2,FOL$4),Table1[],(MATCH(Calendar!$A18,DB!$1:$1,0)),FALSE)),"")</f>
        <v/>
      </c>
      <c r="FOM18" s="28" t="str">
        <f>IFERROR(IF(FOV3="No",IF(VLOOKUP(DATE($K$1,$K$2,FOM$4),Table1[],(MATCH(Calendar!$A18,DB!$1:$1,0)),FALSE)&gt;=5,"Good","Bad"),VLOOKUP(DATE($K$1,$K$2,FOM$4),Table1[],(MATCH(Calendar!$A18,DB!$1:$1,0)),FALSE)),"")</f>
        <v/>
      </c>
      <c r="FON18" s="28" t="str">
        <f>IFERROR(IF(FOW3="No",IF(VLOOKUP(DATE($K$1,$K$2,FON$4),Table1[],(MATCH(Calendar!$A18,DB!$1:$1,0)),FALSE)&gt;=5,"Good","Bad"),VLOOKUP(DATE($K$1,$K$2,FON$4),Table1[],(MATCH(Calendar!$A18,DB!$1:$1,0)),FALSE)),"")</f>
        <v/>
      </c>
      <c r="FOO18" s="28" t="str">
        <f>IFERROR(IF(FOX3="No",IF(VLOOKUP(DATE($K$1,$K$2,FOO$4),Table1[],(MATCH(Calendar!$A18,DB!$1:$1,0)),FALSE)&gt;=5,"Good","Bad"),VLOOKUP(DATE($K$1,$K$2,FOO$4),Table1[],(MATCH(Calendar!$A18,DB!$1:$1,0)),FALSE)),"")</f>
        <v/>
      </c>
      <c r="FOP18" s="28" t="str">
        <f>IFERROR(IF(FOY3="No",IF(VLOOKUP(DATE($K$1,$K$2,FOP$4),Table1[],(MATCH(Calendar!$A18,DB!$1:$1,0)),FALSE)&gt;=5,"Good","Bad"),VLOOKUP(DATE($K$1,$K$2,FOP$4),Table1[],(MATCH(Calendar!$A18,DB!$1:$1,0)),FALSE)),"")</f>
        <v/>
      </c>
      <c r="FOQ18" s="28" t="str">
        <f>IFERROR(IF(FOZ3="No",IF(VLOOKUP(DATE($K$1,$K$2,FOQ$4),Table1[],(MATCH(Calendar!$A18,DB!$1:$1,0)),FALSE)&gt;=5,"Good","Bad"),VLOOKUP(DATE($K$1,$K$2,FOQ$4),Table1[],(MATCH(Calendar!$A18,DB!$1:$1,0)),FALSE)),"")</f>
        <v/>
      </c>
      <c r="FOR18" s="28" t="str">
        <f>IFERROR(IF(FPA3="No",IF(VLOOKUP(DATE($K$1,$K$2,FOR$4),Table1[],(MATCH(Calendar!$A18,DB!$1:$1,0)),FALSE)&gt;=5,"Good","Bad"),VLOOKUP(DATE($K$1,$K$2,FOR$4),Table1[],(MATCH(Calendar!$A18,DB!$1:$1,0)),FALSE)),"")</f>
        <v/>
      </c>
      <c r="FOS18" s="28" t="str">
        <f>IFERROR(IF(FPB3="No",IF(VLOOKUP(DATE($K$1,$K$2,FOS$4),Table1[],(MATCH(Calendar!$A18,DB!$1:$1,0)),FALSE)&gt;=5,"Good","Bad"),VLOOKUP(DATE($K$1,$K$2,FOS$4),Table1[],(MATCH(Calendar!$A18,DB!$1:$1,0)),FALSE)),"")</f>
        <v/>
      </c>
      <c r="FOT18" s="28" t="str">
        <f>IFERROR(IF(FPC3="No",IF(VLOOKUP(DATE($K$1,$K$2,FOT$4),Table1[],(MATCH(Calendar!$A18,DB!$1:$1,0)),FALSE)&gt;=5,"Good","Bad"),VLOOKUP(DATE($K$1,$K$2,FOT$4),Table1[],(MATCH(Calendar!$A18,DB!$1:$1,0)),FALSE)),"")</f>
        <v/>
      </c>
      <c r="FOU18" s="28" t="str">
        <f>IFERROR(IF(FPD3="No",IF(VLOOKUP(DATE($K$1,$K$2,FOU$4),Table1[],(MATCH(Calendar!$A18,DB!$1:$1,0)),FALSE)&gt;=5,"Good","Bad"),VLOOKUP(DATE($K$1,$K$2,FOU$4),Table1[],(MATCH(Calendar!$A18,DB!$1:$1,0)),FALSE)),"")</f>
        <v/>
      </c>
      <c r="FOV18" s="28" t="str">
        <f>IFERROR(IF(FPE3="No",IF(VLOOKUP(DATE($K$1,$K$2,FOV$4),Table1[],(MATCH(Calendar!$A18,DB!$1:$1,0)),FALSE)&gt;=5,"Good","Bad"),VLOOKUP(DATE($K$1,$K$2,FOV$4),Table1[],(MATCH(Calendar!$A18,DB!$1:$1,0)),FALSE)),"")</f>
        <v/>
      </c>
      <c r="FOW18" s="28" t="str">
        <f>IFERROR(IF(FPF3="No",IF(VLOOKUP(DATE($K$1,$K$2,FOW$4),Table1[],(MATCH(Calendar!$A18,DB!$1:$1,0)),FALSE)&gt;=5,"Good","Bad"),VLOOKUP(DATE($K$1,$K$2,FOW$4),Table1[],(MATCH(Calendar!$A18,DB!$1:$1,0)),FALSE)),"")</f>
        <v/>
      </c>
      <c r="FOX18" s="28" t="str">
        <f>IFERROR(IF(FPG3="No",IF(VLOOKUP(DATE($K$1,$K$2,FOX$4),Table1[],(MATCH(Calendar!$A18,DB!$1:$1,0)),FALSE)&gt;=5,"Good","Bad"),VLOOKUP(DATE($K$1,$K$2,FOX$4),Table1[],(MATCH(Calendar!$A18,DB!$1:$1,0)),FALSE)),"")</f>
        <v/>
      </c>
      <c r="FOY18" s="28" t="str">
        <f>IFERROR(IF(FPH3="No",IF(VLOOKUP(DATE($K$1,$K$2,FOY$4),Table1[],(MATCH(Calendar!$A18,DB!$1:$1,0)),FALSE)&gt;=5,"Good","Bad"),VLOOKUP(DATE($K$1,$K$2,FOY$4),Table1[],(MATCH(Calendar!$A18,DB!$1:$1,0)),FALSE)),"")</f>
        <v/>
      </c>
      <c r="FOZ18" s="28" t="str">
        <f>IFERROR(IF(FPI3="No",IF(VLOOKUP(DATE($K$1,$K$2,FOZ$4),Table1[],(MATCH(Calendar!$A18,DB!$1:$1,0)),FALSE)&gt;=5,"Good","Bad"),VLOOKUP(DATE($K$1,$K$2,FOZ$4),Table1[],(MATCH(Calendar!$A18,DB!$1:$1,0)),FALSE)),"")</f>
        <v/>
      </c>
      <c r="FPA18" s="28" t="str">
        <f>IFERROR(IF(FPJ3="No",IF(VLOOKUP(DATE($K$1,$K$2,FPA$4),Table1[],(MATCH(Calendar!$A18,DB!$1:$1,0)),FALSE)&gt;=5,"Good","Bad"),VLOOKUP(DATE($K$1,$K$2,FPA$4),Table1[],(MATCH(Calendar!$A18,DB!$1:$1,0)),FALSE)),"")</f>
        <v/>
      </c>
      <c r="FPB18" s="28" t="str">
        <f>IFERROR(IF(FPK3="No",IF(VLOOKUP(DATE($K$1,$K$2,FPB$4),Table1[],(MATCH(Calendar!$A18,DB!$1:$1,0)),FALSE)&gt;=5,"Good","Bad"),VLOOKUP(DATE($K$1,$K$2,FPB$4),Table1[],(MATCH(Calendar!$A18,DB!$1:$1,0)),FALSE)),"")</f>
        <v/>
      </c>
      <c r="FPC18" s="28" t="str">
        <f>IFERROR(IF(FPL3="No",IF(VLOOKUP(DATE($K$1,$K$2,FPC$4),Table1[],(MATCH(Calendar!$A18,DB!$1:$1,0)),FALSE)&gt;=5,"Good","Bad"),VLOOKUP(DATE($K$1,$K$2,FPC$4),Table1[],(MATCH(Calendar!$A18,DB!$1:$1,0)),FALSE)),"")</f>
        <v/>
      </c>
      <c r="FPD18" s="28" t="str">
        <f>IFERROR(IF(FPM3="No",IF(VLOOKUP(DATE($K$1,$K$2,FPD$4),Table1[],(MATCH(Calendar!$A18,DB!$1:$1,0)),FALSE)&gt;=5,"Good","Bad"),VLOOKUP(DATE($K$1,$K$2,FPD$4),Table1[],(MATCH(Calendar!$A18,DB!$1:$1,0)),FALSE)),"")</f>
        <v/>
      </c>
      <c r="FPE18" s="28" t="str">
        <f>IFERROR(IF(FPN3="No",IF(VLOOKUP(DATE($K$1,$K$2,FPE$4),Table1[],(MATCH(Calendar!$A18,DB!$1:$1,0)),FALSE)&gt;=5,"Good","Bad"),VLOOKUP(DATE($K$1,$K$2,FPE$4),Table1[],(MATCH(Calendar!$A18,DB!$1:$1,0)),FALSE)),"")</f>
        <v/>
      </c>
      <c r="FPF18" s="28" t="str">
        <f>IFERROR(IF(FPO3="No",IF(VLOOKUP(DATE($K$1,$K$2,FPF$4),Table1[],(MATCH(Calendar!$A18,DB!$1:$1,0)),FALSE)&gt;=5,"Good","Bad"),VLOOKUP(DATE($K$1,$K$2,FPF$4),Table1[],(MATCH(Calendar!$A18,DB!$1:$1,0)),FALSE)),"")</f>
        <v/>
      </c>
      <c r="FPG18" s="28" t="str">
        <f>IFERROR(IF(FPP3="No",IF(VLOOKUP(DATE($K$1,$K$2,FPG$4),Table1[],(MATCH(Calendar!$A18,DB!$1:$1,0)),FALSE)&gt;=5,"Good","Bad"),VLOOKUP(DATE($K$1,$K$2,FPG$4),Table1[],(MATCH(Calendar!$A18,DB!$1:$1,0)),FALSE)),"")</f>
        <v/>
      </c>
      <c r="FPH18" s="28" t="str">
        <f>IFERROR(IF(FPQ3="No",IF(VLOOKUP(DATE($K$1,$K$2,FPH$4),Table1[],(MATCH(Calendar!$A18,DB!$1:$1,0)),FALSE)&gt;=5,"Good","Bad"),VLOOKUP(DATE($K$1,$K$2,FPH$4),Table1[],(MATCH(Calendar!$A18,DB!$1:$1,0)),FALSE)),"")</f>
        <v/>
      </c>
      <c r="FPI18" s="28" t="str">
        <f>IFERROR(IF(FPR3="No",IF(VLOOKUP(DATE($K$1,$K$2,FPI$4),Table1[],(MATCH(Calendar!$A18,DB!$1:$1,0)),FALSE)&gt;=5,"Good","Bad"),VLOOKUP(DATE($K$1,$K$2,FPI$4),Table1[],(MATCH(Calendar!$A18,DB!$1:$1,0)),FALSE)),"")</f>
        <v/>
      </c>
      <c r="FPJ18" s="28" t="str">
        <f>IFERROR(IF(FPS3="No",IF(VLOOKUP(DATE($K$1,$K$2,FPJ$4),Table1[],(MATCH(Calendar!$A18,DB!$1:$1,0)),FALSE)&gt;=5,"Good","Bad"),VLOOKUP(DATE($K$1,$K$2,FPJ$4),Table1[],(MATCH(Calendar!$A18,DB!$1:$1,0)),FALSE)),"")</f>
        <v/>
      </c>
      <c r="FPK18" s="28" t="str">
        <f>IFERROR(IF(FPT3="No",IF(VLOOKUP(DATE($K$1,$K$2,FPK$4),Table1[],(MATCH(Calendar!$A18,DB!$1:$1,0)),FALSE)&gt;=5,"Good","Bad"),VLOOKUP(DATE($K$1,$K$2,FPK$4),Table1[],(MATCH(Calendar!$A18,DB!$1:$1,0)),FALSE)),"")</f>
        <v/>
      </c>
      <c r="FPL18" s="28" t="str">
        <f>IFERROR(IF(FPU3="No",IF(VLOOKUP(DATE($K$1,$K$2,FPL$4),Table1[],(MATCH(Calendar!$A18,DB!$1:$1,0)),FALSE)&gt;=5,"Good","Bad"),VLOOKUP(DATE($K$1,$K$2,FPL$4),Table1[],(MATCH(Calendar!$A18,DB!$1:$1,0)),FALSE)),"")</f>
        <v/>
      </c>
      <c r="FPM18" s="28" t="str">
        <f>IFERROR(IF(FPV3="No",IF(VLOOKUP(DATE($K$1,$K$2,FPM$4),Table1[],(MATCH(Calendar!$A18,DB!$1:$1,0)),FALSE)&gt;=5,"Good","Bad"),VLOOKUP(DATE($K$1,$K$2,FPM$4),Table1[],(MATCH(Calendar!$A18,DB!$1:$1,0)),FALSE)),"")</f>
        <v/>
      </c>
      <c r="FPN18" s="28" t="str">
        <f>IFERROR(IF(FPW3="No",IF(VLOOKUP(DATE($K$1,$K$2,FPN$4),Table1[],(MATCH(Calendar!$A18,DB!$1:$1,0)),FALSE)&gt;=5,"Good","Bad"),VLOOKUP(DATE($K$1,$K$2,FPN$4),Table1[],(MATCH(Calendar!$A18,DB!$1:$1,0)),FALSE)),"")</f>
        <v/>
      </c>
      <c r="FPO18" s="28" t="str">
        <f>IFERROR(IF(FPX3="No",IF(VLOOKUP(DATE($K$1,$K$2,FPO$4),Table1[],(MATCH(Calendar!$A18,DB!$1:$1,0)),FALSE)&gt;=5,"Good","Bad"),VLOOKUP(DATE($K$1,$K$2,FPO$4),Table1[],(MATCH(Calendar!$A18,DB!$1:$1,0)),FALSE)),"")</f>
        <v/>
      </c>
      <c r="FPP18" s="28" t="str">
        <f>IFERROR(IF(FPY3="No",IF(VLOOKUP(DATE($K$1,$K$2,FPP$4),Table1[],(MATCH(Calendar!$A18,DB!$1:$1,0)),FALSE)&gt;=5,"Good","Bad"),VLOOKUP(DATE($K$1,$K$2,FPP$4),Table1[],(MATCH(Calendar!$A18,DB!$1:$1,0)),FALSE)),"")</f>
        <v/>
      </c>
      <c r="FPQ18" s="28" t="str">
        <f>IFERROR(IF(FPZ3="No",IF(VLOOKUP(DATE($K$1,$K$2,FPQ$4),Table1[],(MATCH(Calendar!$A18,DB!$1:$1,0)),FALSE)&gt;=5,"Good","Bad"),VLOOKUP(DATE($K$1,$K$2,FPQ$4),Table1[],(MATCH(Calendar!$A18,DB!$1:$1,0)),FALSE)),"")</f>
        <v/>
      </c>
      <c r="FPR18" s="28" t="str">
        <f>IFERROR(IF(FQA3="No",IF(VLOOKUP(DATE($K$1,$K$2,FPR$4),Table1[],(MATCH(Calendar!$A18,DB!$1:$1,0)),FALSE)&gt;=5,"Good","Bad"),VLOOKUP(DATE($K$1,$K$2,FPR$4),Table1[],(MATCH(Calendar!$A18,DB!$1:$1,0)),FALSE)),"")</f>
        <v/>
      </c>
      <c r="FPS18" s="28" t="str">
        <f>IFERROR(IF(FQB3="No",IF(VLOOKUP(DATE($K$1,$K$2,FPS$4),Table1[],(MATCH(Calendar!$A18,DB!$1:$1,0)),FALSE)&gt;=5,"Good","Bad"),VLOOKUP(DATE($K$1,$K$2,FPS$4),Table1[],(MATCH(Calendar!$A18,DB!$1:$1,0)),FALSE)),"")</f>
        <v/>
      </c>
      <c r="FPT18" s="28" t="str">
        <f>IFERROR(IF(FQC3="No",IF(VLOOKUP(DATE($K$1,$K$2,FPT$4),Table1[],(MATCH(Calendar!$A18,DB!$1:$1,0)),FALSE)&gt;=5,"Good","Bad"),VLOOKUP(DATE($K$1,$K$2,FPT$4),Table1[],(MATCH(Calendar!$A18,DB!$1:$1,0)),FALSE)),"")</f>
        <v/>
      </c>
      <c r="FPU18" s="28" t="str">
        <f>IFERROR(IF(FQD3="No",IF(VLOOKUP(DATE($K$1,$K$2,FPU$4),Table1[],(MATCH(Calendar!$A18,DB!$1:$1,0)),FALSE)&gt;=5,"Good","Bad"),VLOOKUP(DATE($K$1,$K$2,FPU$4),Table1[],(MATCH(Calendar!$A18,DB!$1:$1,0)),FALSE)),"")</f>
        <v/>
      </c>
      <c r="FPV18" s="28" t="str">
        <f>IFERROR(IF(FQE3="No",IF(VLOOKUP(DATE($K$1,$K$2,FPV$4),Table1[],(MATCH(Calendar!$A18,DB!$1:$1,0)),FALSE)&gt;=5,"Good","Bad"),VLOOKUP(DATE($K$1,$K$2,FPV$4),Table1[],(MATCH(Calendar!$A18,DB!$1:$1,0)),FALSE)),"")</f>
        <v/>
      </c>
      <c r="FPW18" s="28" t="str">
        <f>IFERROR(IF(FQF3="No",IF(VLOOKUP(DATE($K$1,$K$2,FPW$4),Table1[],(MATCH(Calendar!$A18,DB!$1:$1,0)),FALSE)&gt;=5,"Good","Bad"),VLOOKUP(DATE($K$1,$K$2,FPW$4),Table1[],(MATCH(Calendar!$A18,DB!$1:$1,0)),FALSE)),"")</f>
        <v/>
      </c>
      <c r="FPX18" s="28" t="str">
        <f>IFERROR(IF(FQG3="No",IF(VLOOKUP(DATE($K$1,$K$2,FPX$4),Table1[],(MATCH(Calendar!$A18,DB!$1:$1,0)),FALSE)&gt;=5,"Good","Bad"),VLOOKUP(DATE($K$1,$K$2,FPX$4),Table1[],(MATCH(Calendar!$A18,DB!$1:$1,0)),FALSE)),"")</f>
        <v/>
      </c>
      <c r="FPY18" s="28" t="str">
        <f>IFERROR(IF(FQH3="No",IF(VLOOKUP(DATE($K$1,$K$2,FPY$4),Table1[],(MATCH(Calendar!$A18,DB!$1:$1,0)),FALSE)&gt;=5,"Good","Bad"),VLOOKUP(DATE($K$1,$K$2,FPY$4),Table1[],(MATCH(Calendar!$A18,DB!$1:$1,0)),FALSE)),"")</f>
        <v/>
      </c>
      <c r="FPZ18" s="28" t="str">
        <f>IFERROR(IF(FQI3="No",IF(VLOOKUP(DATE($K$1,$K$2,FPZ$4),Table1[],(MATCH(Calendar!$A18,DB!$1:$1,0)),FALSE)&gt;=5,"Good","Bad"),VLOOKUP(DATE($K$1,$K$2,FPZ$4),Table1[],(MATCH(Calendar!$A18,DB!$1:$1,0)),FALSE)),"")</f>
        <v/>
      </c>
      <c r="FQA18" s="28" t="str">
        <f>IFERROR(IF(FQJ3="No",IF(VLOOKUP(DATE($K$1,$K$2,FQA$4),Table1[],(MATCH(Calendar!$A18,DB!$1:$1,0)),FALSE)&gt;=5,"Good","Bad"),VLOOKUP(DATE($K$1,$K$2,FQA$4),Table1[],(MATCH(Calendar!$A18,DB!$1:$1,0)),FALSE)),"")</f>
        <v/>
      </c>
      <c r="FQB18" s="28" t="str">
        <f>IFERROR(IF(FQK3="No",IF(VLOOKUP(DATE($K$1,$K$2,FQB$4),Table1[],(MATCH(Calendar!$A18,DB!$1:$1,0)),FALSE)&gt;=5,"Good","Bad"),VLOOKUP(DATE($K$1,$K$2,FQB$4),Table1[],(MATCH(Calendar!$A18,DB!$1:$1,0)),FALSE)),"")</f>
        <v/>
      </c>
      <c r="FQC18" s="28" t="str">
        <f>IFERROR(IF(FQL3="No",IF(VLOOKUP(DATE($K$1,$K$2,FQC$4),Table1[],(MATCH(Calendar!$A18,DB!$1:$1,0)),FALSE)&gt;=5,"Good","Bad"),VLOOKUP(DATE($K$1,$K$2,FQC$4),Table1[],(MATCH(Calendar!$A18,DB!$1:$1,0)),FALSE)),"")</f>
        <v/>
      </c>
      <c r="FQD18" s="28" t="str">
        <f>IFERROR(IF(FQM3="No",IF(VLOOKUP(DATE($K$1,$K$2,FQD$4),Table1[],(MATCH(Calendar!$A18,DB!$1:$1,0)),FALSE)&gt;=5,"Good","Bad"),VLOOKUP(DATE($K$1,$K$2,FQD$4),Table1[],(MATCH(Calendar!$A18,DB!$1:$1,0)),FALSE)),"")</f>
        <v/>
      </c>
      <c r="FQE18" s="28" t="str">
        <f>IFERROR(IF(FQN3="No",IF(VLOOKUP(DATE($K$1,$K$2,FQE$4),Table1[],(MATCH(Calendar!$A18,DB!$1:$1,0)),FALSE)&gt;=5,"Good","Bad"),VLOOKUP(DATE($K$1,$K$2,FQE$4),Table1[],(MATCH(Calendar!$A18,DB!$1:$1,0)),FALSE)),"")</f>
        <v/>
      </c>
      <c r="FQF18" s="28" t="str">
        <f>IFERROR(IF(FQO3="No",IF(VLOOKUP(DATE($K$1,$K$2,FQF$4),Table1[],(MATCH(Calendar!$A18,DB!$1:$1,0)),FALSE)&gt;=5,"Good","Bad"),VLOOKUP(DATE($K$1,$K$2,FQF$4),Table1[],(MATCH(Calendar!$A18,DB!$1:$1,0)),FALSE)),"")</f>
        <v/>
      </c>
      <c r="FQG18" s="28" t="str">
        <f>IFERROR(IF(FQP3="No",IF(VLOOKUP(DATE($K$1,$K$2,FQG$4),Table1[],(MATCH(Calendar!$A18,DB!$1:$1,0)),FALSE)&gt;=5,"Good","Bad"),VLOOKUP(DATE($K$1,$K$2,FQG$4),Table1[],(MATCH(Calendar!$A18,DB!$1:$1,0)),FALSE)),"")</f>
        <v/>
      </c>
      <c r="FQH18" s="28" t="str">
        <f>IFERROR(IF(FQQ3="No",IF(VLOOKUP(DATE($K$1,$K$2,FQH$4),Table1[],(MATCH(Calendar!$A18,DB!$1:$1,0)),FALSE)&gt;=5,"Good","Bad"),VLOOKUP(DATE($K$1,$K$2,FQH$4),Table1[],(MATCH(Calendar!$A18,DB!$1:$1,0)),FALSE)),"")</f>
        <v/>
      </c>
      <c r="FQI18" s="28" t="str">
        <f>IFERROR(IF(FQR3="No",IF(VLOOKUP(DATE($K$1,$K$2,FQI$4),Table1[],(MATCH(Calendar!$A18,DB!$1:$1,0)),FALSE)&gt;=5,"Good","Bad"),VLOOKUP(DATE($K$1,$K$2,FQI$4),Table1[],(MATCH(Calendar!$A18,DB!$1:$1,0)),FALSE)),"")</f>
        <v/>
      </c>
      <c r="FQJ18" s="28" t="str">
        <f>IFERROR(IF(FQS3="No",IF(VLOOKUP(DATE($K$1,$K$2,FQJ$4),Table1[],(MATCH(Calendar!$A18,DB!$1:$1,0)),FALSE)&gt;=5,"Good","Bad"),VLOOKUP(DATE($K$1,$K$2,FQJ$4),Table1[],(MATCH(Calendar!$A18,DB!$1:$1,0)),FALSE)),"")</f>
        <v/>
      </c>
      <c r="FQK18" s="28" t="str">
        <f>IFERROR(IF(FQT3="No",IF(VLOOKUP(DATE($K$1,$K$2,FQK$4),Table1[],(MATCH(Calendar!$A18,DB!$1:$1,0)),FALSE)&gt;=5,"Good","Bad"),VLOOKUP(DATE($K$1,$K$2,FQK$4),Table1[],(MATCH(Calendar!$A18,DB!$1:$1,0)),FALSE)),"")</f>
        <v/>
      </c>
      <c r="FQL18" s="28" t="str">
        <f>IFERROR(IF(FQU3="No",IF(VLOOKUP(DATE($K$1,$K$2,FQL$4),Table1[],(MATCH(Calendar!$A18,DB!$1:$1,0)),FALSE)&gt;=5,"Good","Bad"),VLOOKUP(DATE($K$1,$K$2,FQL$4),Table1[],(MATCH(Calendar!$A18,DB!$1:$1,0)),FALSE)),"")</f>
        <v/>
      </c>
      <c r="FQM18" s="28" t="str">
        <f>IFERROR(IF(FQV3="No",IF(VLOOKUP(DATE($K$1,$K$2,FQM$4),Table1[],(MATCH(Calendar!$A18,DB!$1:$1,0)),FALSE)&gt;=5,"Good","Bad"),VLOOKUP(DATE($K$1,$K$2,FQM$4),Table1[],(MATCH(Calendar!$A18,DB!$1:$1,0)),FALSE)),"")</f>
        <v/>
      </c>
      <c r="FQN18" s="28" t="str">
        <f>IFERROR(IF(FQW3="No",IF(VLOOKUP(DATE($K$1,$K$2,FQN$4),Table1[],(MATCH(Calendar!$A18,DB!$1:$1,0)),FALSE)&gt;=5,"Good","Bad"),VLOOKUP(DATE($K$1,$K$2,FQN$4),Table1[],(MATCH(Calendar!$A18,DB!$1:$1,0)),FALSE)),"")</f>
        <v/>
      </c>
      <c r="FQO18" s="28" t="str">
        <f>IFERROR(IF(FQX3="No",IF(VLOOKUP(DATE($K$1,$K$2,FQO$4),Table1[],(MATCH(Calendar!$A18,DB!$1:$1,0)),FALSE)&gt;=5,"Good","Bad"),VLOOKUP(DATE($K$1,$K$2,FQO$4),Table1[],(MATCH(Calendar!$A18,DB!$1:$1,0)),FALSE)),"")</f>
        <v/>
      </c>
      <c r="FQP18" s="28" t="str">
        <f>IFERROR(IF(FQY3="No",IF(VLOOKUP(DATE($K$1,$K$2,FQP$4),Table1[],(MATCH(Calendar!$A18,DB!$1:$1,0)),FALSE)&gt;=5,"Good","Bad"),VLOOKUP(DATE($K$1,$K$2,FQP$4),Table1[],(MATCH(Calendar!$A18,DB!$1:$1,0)),FALSE)),"")</f>
        <v/>
      </c>
      <c r="FQQ18" s="28" t="str">
        <f>IFERROR(IF(FQZ3="No",IF(VLOOKUP(DATE($K$1,$K$2,FQQ$4),Table1[],(MATCH(Calendar!$A18,DB!$1:$1,0)),FALSE)&gt;=5,"Good","Bad"),VLOOKUP(DATE($K$1,$K$2,FQQ$4),Table1[],(MATCH(Calendar!$A18,DB!$1:$1,0)),FALSE)),"")</f>
        <v/>
      </c>
      <c r="FQR18" s="28" t="str">
        <f>IFERROR(IF(FRA3="No",IF(VLOOKUP(DATE($K$1,$K$2,FQR$4),Table1[],(MATCH(Calendar!$A18,DB!$1:$1,0)),FALSE)&gt;=5,"Good","Bad"),VLOOKUP(DATE($K$1,$K$2,FQR$4),Table1[],(MATCH(Calendar!$A18,DB!$1:$1,0)),FALSE)),"")</f>
        <v/>
      </c>
      <c r="FQS18" s="28" t="str">
        <f>IFERROR(IF(FRB3="No",IF(VLOOKUP(DATE($K$1,$K$2,FQS$4),Table1[],(MATCH(Calendar!$A18,DB!$1:$1,0)),FALSE)&gt;=5,"Good","Bad"),VLOOKUP(DATE($K$1,$K$2,FQS$4),Table1[],(MATCH(Calendar!$A18,DB!$1:$1,0)),FALSE)),"")</f>
        <v/>
      </c>
      <c r="FQT18" s="28" t="str">
        <f>IFERROR(IF(FRC3="No",IF(VLOOKUP(DATE($K$1,$K$2,FQT$4),Table1[],(MATCH(Calendar!$A18,DB!$1:$1,0)),FALSE)&gt;=5,"Good","Bad"),VLOOKUP(DATE($K$1,$K$2,FQT$4),Table1[],(MATCH(Calendar!$A18,DB!$1:$1,0)),FALSE)),"")</f>
        <v/>
      </c>
      <c r="FQU18" s="28" t="str">
        <f>IFERROR(IF(FRD3="No",IF(VLOOKUP(DATE($K$1,$K$2,FQU$4),Table1[],(MATCH(Calendar!$A18,DB!$1:$1,0)),FALSE)&gt;=5,"Good","Bad"),VLOOKUP(DATE($K$1,$K$2,FQU$4),Table1[],(MATCH(Calendar!$A18,DB!$1:$1,0)),FALSE)),"")</f>
        <v/>
      </c>
      <c r="FQV18" s="28" t="str">
        <f>IFERROR(IF(FRE3="No",IF(VLOOKUP(DATE($K$1,$K$2,FQV$4),Table1[],(MATCH(Calendar!$A18,DB!$1:$1,0)),FALSE)&gt;=5,"Good","Bad"),VLOOKUP(DATE($K$1,$K$2,FQV$4),Table1[],(MATCH(Calendar!$A18,DB!$1:$1,0)),FALSE)),"")</f>
        <v/>
      </c>
      <c r="FQW18" s="28" t="str">
        <f>IFERROR(IF(FRF3="No",IF(VLOOKUP(DATE($K$1,$K$2,FQW$4),Table1[],(MATCH(Calendar!$A18,DB!$1:$1,0)),FALSE)&gt;=5,"Good","Bad"),VLOOKUP(DATE($K$1,$K$2,FQW$4),Table1[],(MATCH(Calendar!$A18,DB!$1:$1,0)),FALSE)),"")</f>
        <v/>
      </c>
      <c r="FQX18" s="28" t="str">
        <f>IFERROR(IF(FRG3="No",IF(VLOOKUP(DATE($K$1,$K$2,FQX$4),Table1[],(MATCH(Calendar!$A18,DB!$1:$1,0)),FALSE)&gt;=5,"Good","Bad"),VLOOKUP(DATE($K$1,$K$2,FQX$4),Table1[],(MATCH(Calendar!$A18,DB!$1:$1,0)),FALSE)),"")</f>
        <v/>
      </c>
      <c r="FQY18" s="28" t="str">
        <f>IFERROR(IF(FRH3="No",IF(VLOOKUP(DATE($K$1,$K$2,FQY$4),Table1[],(MATCH(Calendar!$A18,DB!$1:$1,0)),FALSE)&gt;=5,"Good","Bad"),VLOOKUP(DATE($K$1,$K$2,FQY$4),Table1[],(MATCH(Calendar!$A18,DB!$1:$1,0)),FALSE)),"")</f>
        <v/>
      </c>
      <c r="FQZ18" s="28" t="str">
        <f>IFERROR(IF(FRI3="No",IF(VLOOKUP(DATE($K$1,$K$2,FQZ$4),Table1[],(MATCH(Calendar!$A18,DB!$1:$1,0)),FALSE)&gt;=5,"Good","Bad"),VLOOKUP(DATE($K$1,$K$2,FQZ$4),Table1[],(MATCH(Calendar!$A18,DB!$1:$1,0)),FALSE)),"")</f>
        <v/>
      </c>
      <c r="FRA18" s="28" t="str">
        <f>IFERROR(IF(FRJ3="No",IF(VLOOKUP(DATE($K$1,$K$2,FRA$4),Table1[],(MATCH(Calendar!$A18,DB!$1:$1,0)),FALSE)&gt;=5,"Good","Bad"),VLOOKUP(DATE($K$1,$K$2,FRA$4),Table1[],(MATCH(Calendar!$A18,DB!$1:$1,0)),FALSE)),"")</f>
        <v/>
      </c>
      <c r="FRB18" s="28" t="str">
        <f>IFERROR(IF(FRK3="No",IF(VLOOKUP(DATE($K$1,$K$2,FRB$4),Table1[],(MATCH(Calendar!$A18,DB!$1:$1,0)),FALSE)&gt;=5,"Good","Bad"),VLOOKUP(DATE($K$1,$K$2,FRB$4),Table1[],(MATCH(Calendar!$A18,DB!$1:$1,0)),FALSE)),"")</f>
        <v/>
      </c>
      <c r="FRC18" s="28" t="str">
        <f>IFERROR(IF(FRL3="No",IF(VLOOKUP(DATE($K$1,$K$2,FRC$4),Table1[],(MATCH(Calendar!$A18,DB!$1:$1,0)),FALSE)&gt;=5,"Good","Bad"),VLOOKUP(DATE($K$1,$K$2,FRC$4),Table1[],(MATCH(Calendar!$A18,DB!$1:$1,0)),FALSE)),"")</f>
        <v/>
      </c>
      <c r="FRD18" s="28" t="str">
        <f>IFERROR(IF(FRM3="No",IF(VLOOKUP(DATE($K$1,$K$2,FRD$4),Table1[],(MATCH(Calendar!$A18,DB!$1:$1,0)),FALSE)&gt;=5,"Good","Bad"),VLOOKUP(DATE($K$1,$K$2,FRD$4),Table1[],(MATCH(Calendar!$A18,DB!$1:$1,0)),FALSE)),"")</f>
        <v/>
      </c>
      <c r="FRE18" s="28" t="str">
        <f>IFERROR(IF(FRN3="No",IF(VLOOKUP(DATE($K$1,$K$2,FRE$4),Table1[],(MATCH(Calendar!$A18,DB!$1:$1,0)),FALSE)&gt;=5,"Good","Bad"),VLOOKUP(DATE($K$1,$K$2,FRE$4),Table1[],(MATCH(Calendar!$A18,DB!$1:$1,0)),FALSE)),"")</f>
        <v/>
      </c>
      <c r="FRF18" s="28" t="str">
        <f>IFERROR(IF(FRO3="No",IF(VLOOKUP(DATE($K$1,$K$2,FRF$4),Table1[],(MATCH(Calendar!$A18,DB!$1:$1,0)),FALSE)&gt;=5,"Good","Bad"),VLOOKUP(DATE($K$1,$K$2,FRF$4),Table1[],(MATCH(Calendar!$A18,DB!$1:$1,0)),FALSE)),"")</f>
        <v/>
      </c>
      <c r="FRG18" s="28" t="str">
        <f>IFERROR(IF(FRP3="No",IF(VLOOKUP(DATE($K$1,$K$2,FRG$4),Table1[],(MATCH(Calendar!$A18,DB!$1:$1,0)),FALSE)&gt;=5,"Good","Bad"),VLOOKUP(DATE($K$1,$K$2,FRG$4),Table1[],(MATCH(Calendar!$A18,DB!$1:$1,0)),FALSE)),"")</f>
        <v/>
      </c>
      <c r="FRH18" s="28" t="str">
        <f>IFERROR(IF(FRQ3="No",IF(VLOOKUP(DATE($K$1,$K$2,FRH$4),Table1[],(MATCH(Calendar!$A18,DB!$1:$1,0)),FALSE)&gt;=5,"Good","Bad"),VLOOKUP(DATE($K$1,$K$2,FRH$4),Table1[],(MATCH(Calendar!$A18,DB!$1:$1,0)),FALSE)),"")</f>
        <v/>
      </c>
      <c r="FRI18" s="28" t="str">
        <f>IFERROR(IF(FRR3="No",IF(VLOOKUP(DATE($K$1,$K$2,FRI$4),Table1[],(MATCH(Calendar!$A18,DB!$1:$1,0)),FALSE)&gt;=5,"Good","Bad"),VLOOKUP(DATE($K$1,$K$2,FRI$4),Table1[],(MATCH(Calendar!$A18,DB!$1:$1,0)),FALSE)),"")</f>
        <v/>
      </c>
      <c r="FRJ18" s="28" t="str">
        <f>IFERROR(IF(FRS3="No",IF(VLOOKUP(DATE($K$1,$K$2,FRJ$4),Table1[],(MATCH(Calendar!$A18,DB!$1:$1,0)),FALSE)&gt;=5,"Good","Bad"),VLOOKUP(DATE($K$1,$K$2,FRJ$4),Table1[],(MATCH(Calendar!$A18,DB!$1:$1,0)),FALSE)),"")</f>
        <v/>
      </c>
      <c r="FRK18" s="28" t="str">
        <f>IFERROR(IF(FRT3="No",IF(VLOOKUP(DATE($K$1,$K$2,FRK$4),Table1[],(MATCH(Calendar!$A18,DB!$1:$1,0)),FALSE)&gt;=5,"Good","Bad"),VLOOKUP(DATE($K$1,$K$2,FRK$4),Table1[],(MATCH(Calendar!$A18,DB!$1:$1,0)),FALSE)),"")</f>
        <v/>
      </c>
      <c r="FRL18" s="28" t="str">
        <f>IFERROR(IF(FRU3="No",IF(VLOOKUP(DATE($K$1,$K$2,FRL$4),Table1[],(MATCH(Calendar!$A18,DB!$1:$1,0)),FALSE)&gt;=5,"Good","Bad"),VLOOKUP(DATE($K$1,$K$2,FRL$4),Table1[],(MATCH(Calendar!$A18,DB!$1:$1,0)),FALSE)),"")</f>
        <v/>
      </c>
      <c r="FRM18" s="28" t="str">
        <f>IFERROR(IF(FRV3="No",IF(VLOOKUP(DATE($K$1,$K$2,FRM$4),Table1[],(MATCH(Calendar!$A18,DB!$1:$1,0)),FALSE)&gt;=5,"Good","Bad"),VLOOKUP(DATE($K$1,$K$2,FRM$4),Table1[],(MATCH(Calendar!$A18,DB!$1:$1,0)),FALSE)),"")</f>
        <v/>
      </c>
      <c r="FRN18" s="28" t="str">
        <f>IFERROR(IF(FRW3="No",IF(VLOOKUP(DATE($K$1,$K$2,FRN$4),Table1[],(MATCH(Calendar!$A18,DB!$1:$1,0)),FALSE)&gt;=5,"Good","Bad"),VLOOKUP(DATE($K$1,$K$2,FRN$4),Table1[],(MATCH(Calendar!$A18,DB!$1:$1,0)),FALSE)),"")</f>
        <v/>
      </c>
      <c r="FRO18" s="28" t="str">
        <f>IFERROR(IF(FRX3="No",IF(VLOOKUP(DATE($K$1,$K$2,FRO$4),Table1[],(MATCH(Calendar!$A18,DB!$1:$1,0)),FALSE)&gt;=5,"Good","Bad"),VLOOKUP(DATE($K$1,$K$2,FRO$4),Table1[],(MATCH(Calendar!$A18,DB!$1:$1,0)),FALSE)),"")</f>
        <v/>
      </c>
      <c r="FRP18" s="28" t="str">
        <f>IFERROR(IF(FRY3="No",IF(VLOOKUP(DATE($K$1,$K$2,FRP$4),Table1[],(MATCH(Calendar!$A18,DB!$1:$1,0)),FALSE)&gt;=5,"Good","Bad"),VLOOKUP(DATE($K$1,$K$2,FRP$4),Table1[],(MATCH(Calendar!$A18,DB!$1:$1,0)),FALSE)),"")</f>
        <v/>
      </c>
      <c r="FRQ18" s="28" t="str">
        <f>IFERROR(IF(FRZ3="No",IF(VLOOKUP(DATE($K$1,$K$2,FRQ$4),Table1[],(MATCH(Calendar!$A18,DB!$1:$1,0)),FALSE)&gt;=5,"Good","Bad"),VLOOKUP(DATE($K$1,$K$2,FRQ$4),Table1[],(MATCH(Calendar!$A18,DB!$1:$1,0)),FALSE)),"")</f>
        <v/>
      </c>
      <c r="FRR18" s="28" t="str">
        <f>IFERROR(IF(FSA3="No",IF(VLOOKUP(DATE($K$1,$K$2,FRR$4),Table1[],(MATCH(Calendar!$A18,DB!$1:$1,0)),FALSE)&gt;=5,"Good","Bad"),VLOOKUP(DATE($K$1,$K$2,FRR$4),Table1[],(MATCH(Calendar!$A18,DB!$1:$1,0)),FALSE)),"")</f>
        <v/>
      </c>
      <c r="FRS18" s="28" t="str">
        <f>IFERROR(IF(FSB3="No",IF(VLOOKUP(DATE($K$1,$K$2,FRS$4),Table1[],(MATCH(Calendar!$A18,DB!$1:$1,0)),FALSE)&gt;=5,"Good","Bad"),VLOOKUP(DATE($K$1,$K$2,FRS$4),Table1[],(MATCH(Calendar!$A18,DB!$1:$1,0)),FALSE)),"")</f>
        <v/>
      </c>
      <c r="FRT18" s="28" t="str">
        <f>IFERROR(IF(FSC3="No",IF(VLOOKUP(DATE($K$1,$K$2,FRT$4),Table1[],(MATCH(Calendar!$A18,DB!$1:$1,0)),FALSE)&gt;=5,"Good","Bad"),VLOOKUP(DATE($K$1,$K$2,FRT$4),Table1[],(MATCH(Calendar!$A18,DB!$1:$1,0)),FALSE)),"")</f>
        <v/>
      </c>
      <c r="FRU18" s="28" t="str">
        <f>IFERROR(IF(FSD3="No",IF(VLOOKUP(DATE($K$1,$K$2,FRU$4),Table1[],(MATCH(Calendar!$A18,DB!$1:$1,0)),FALSE)&gt;=5,"Good","Bad"),VLOOKUP(DATE($K$1,$K$2,FRU$4),Table1[],(MATCH(Calendar!$A18,DB!$1:$1,0)),FALSE)),"")</f>
        <v/>
      </c>
      <c r="FRV18" s="28" t="str">
        <f>IFERROR(IF(FSE3="No",IF(VLOOKUP(DATE($K$1,$K$2,FRV$4),Table1[],(MATCH(Calendar!$A18,DB!$1:$1,0)),FALSE)&gt;=5,"Good","Bad"),VLOOKUP(DATE($K$1,$K$2,FRV$4),Table1[],(MATCH(Calendar!$A18,DB!$1:$1,0)),FALSE)),"")</f>
        <v/>
      </c>
      <c r="FRW18" s="28" t="str">
        <f>IFERROR(IF(FSF3="No",IF(VLOOKUP(DATE($K$1,$K$2,FRW$4),Table1[],(MATCH(Calendar!$A18,DB!$1:$1,0)),FALSE)&gt;=5,"Good","Bad"),VLOOKUP(DATE($K$1,$K$2,FRW$4),Table1[],(MATCH(Calendar!$A18,DB!$1:$1,0)),FALSE)),"")</f>
        <v/>
      </c>
      <c r="FRX18" s="28" t="str">
        <f>IFERROR(IF(FSG3="No",IF(VLOOKUP(DATE($K$1,$K$2,FRX$4),Table1[],(MATCH(Calendar!$A18,DB!$1:$1,0)),FALSE)&gt;=5,"Good","Bad"),VLOOKUP(DATE($K$1,$K$2,FRX$4),Table1[],(MATCH(Calendar!$A18,DB!$1:$1,0)),FALSE)),"")</f>
        <v/>
      </c>
      <c r="FRY18" s="28" t="str">
        <f>IFERROR(IF(FSH3="No",IF(VLOOKUP(DATE($K$1,$K$2,FRY$4),Table1[],(MATCH(Calendar!$A18,DB!$1:$1,0)),FALSE)&gt;=5,"Good","Bad"),VLOOKUP(DATE($K$1,$K$2,FRY$4),Table1[],(MATCH(Calendar!$A18,DB!$1:$1,0)),FALSE)),"")</f>
        <v/>
      </c>
      <c r="FRZ18" s="28" t="str">
        <f>IFERROR(IF(FSI3="No",IF(VLOOKUP(DATE($K$1,$K$2,FRZ$4),Table1[],(MATCH(Calendar!$A18,DB!$1:$1,0)),FALSE)&gt;=5,"Good","Bad"),VLOOKUP(DATE($K$1,$K$2,FRZ$4),Table1[],(MATCH(Calendar!$A18,DB!$1:$1,0)),FALSE)),"")</f>
        <v/>
      </c>
      <c r="FSA18" s="28" t="str">
        <f>IFERROR(IF(FSJ3="No",IF(VLOOKUP(DATE($K$1,$K$2,FSA$4),Table1[],(MATCH(Calendar!$A18,DB!$1:$1,0)),FALSE)&gt;=5,"Good","Bad"),VLOOKUP(DATE($K$1,$K$2,FSA$4),Table1[],(MATCH(Calendar!$A18,DB!$1:$1,0)),FALSE)),"")</f>
        <v/>
      </c>
      <c r="FSB18" s="28" t="str">
        <f>IFERROR(IF(FSK3="No",IF(VLOOKUP(DATE($K$1,$K$2,FSB$4),Table1[],(MATCH(Calendar!$A18,DB!$1:$1,0)),FALSE)&gt;=5,"Good","Bad"),VLOOKUP(DATE($K$1,$K$2,FSB$4),Table1[],(MATCH(Calendar!$A18,DB!$1:$1,0)),FALSE)),"")</f>
        <v/>
      </c>
      <c r="FSC18" s="28" t="str">
        <f>IFERROR(IF(FSL3="No",IF(VLOOKUP(DATE($K$1,$K$2,FSC$4),Table1[],(MATCH(Calendar!$A18,DB!$1:$1,0)),FALSE)&gt;=5,"Good","Bad"),VLOOKUP(DATE($K$1,$K$2,FSC$4),Table1[],(MATCH(Calendar!$A18,DB!$1:$1,0)),FALSE)),"")</f>
        <v/>
      </c>
      <c r="FSD18" s="28" t="str">
        <f>IFERROR(IF(FSM3="No",IF(VLOOKUP(DATE($K$1,$K$2,FSD$4),Table1[],(MATCH(Calendar!$A18,DB!$1:$1,0)),FALSE)&gt;=5,"Good","Bad"),VLOOKUP(DATE($K$1,$K$2,FSD$4),Table1[],(MATCH(Calendar!$A18,DB!$1:$1,0)),FALSE)),"")</f>
        <v/>
      </c>
      <c r="FSE18" s="28" t="str">
        <f>IFERROR(IF(FSN3="No",IF(VLOOKUP(DATE($K$1,$K$2,FSE$4),Table1[],(MATCH(Calendar!$A18,DB!$1:$1,0)),FALSE)&gt;=5,"Good","Bad"),VLOOKUP(DATE($K$1,$K$2,FSE$4),Table1[],(MATCH(Calendar!$A18,DB!$1:$1,0)),FALSE)),"")</f>
        <v/>
      </c>
      <c r="FSF18" s="28" t="str">
        <f>IFERROR(IF(FSO3="No",IF(VLOOKUP(DATE($K$1,$K$2,FSF$4),Table1[],(MATCH(Calendar!$A18,DB!$1:$1,0)),FALSE)&gt;=5,"Good","Bad"),VLOOKUP(DATE($K$1,$K$2,FSF$4),Table1[],(MATCH(Calendar!$A18,DB!$1:$1,0)),FALSE)),"")</f>
        <v/>
      </c>
      <c r="FSG18" s="28" t="str">
        <f>IFERROR(IF(FSP3="No",IF(VLOOKUP(DATE($K$1,$K$2,FSG$4),Table1[],(MATCH(Calendar!$A18,DB!$1:$1,0)),FALSE)&gt;=5,"Good","Bad"),VLOOKUP(DATE($K$1,$K$2,FSG$4),Table1[],(MATCH(Calendar!$A18,DB!$1:$1,0)),FALSE)),"")</f>
        <v/>
      </c>
      <c r="FSH18" s="28" t="str">
        <f>IFERROR(IF(FSQ3="No",IF(VLOOKUP(DATE($K$1,$K$2,FSH$4),Table1[],(MATCH(Calendar!$A18,DB!$1:$1,0)),FALSE)&gt;=5,"Good","Bad"),VLOOKUP(DATE($K$1,$K$2,FSH$4),Table1[],(MATCH(Calendar!$A18,DB!$1:$1,0)),FALSE)),"")</f>
        <v/>
      </c>
      <c r="FSI18" s="28" t="str">
        <f>IFERROR(IF(FSR3="No",IF(VLOOKUP(DATE($K$1,$K$2,FSI$4),Table1[],(MATCH(Calendar!$A18,DB!$1:$1,0)),FALSE)&gt;=5,"Good","Bad"),VLOOKUP(DATE($K$1,$K$2,FSI$4),Table1[],(MATCH(Calendar!$A18,DB!$1:$1,0)),FALSE)),"")</f>
        <v/>
      </c>
      <c r="FSJ18" s="28" t="str">
        <f>IFERROR(IF(FSS3="No",IF(VLOOKUP(DATE($K$1,$K$2,FSJ$4),Table1[],(MATCH(Calendar!$A18,DB!$1:$1,0)),FALSE)&gt;=5,"Good","Bad"),VLOOKUP(DATE($K$1,$K$2,FSJ$4),Table1[],(MATCH(Calendar!$A18,DB!$1:$1,0)),FALSE)),"")</f>
        <v/>
      </c>
      <c r="FSK18" s="28" t="str">
        <f>IFERROR(IF(FST3="No",IF(VLOOKUP(DATE($K$1,$K$2,FSK$4),Table1[],(MATCH(Calendar!$A18,DB!$1:$1,0)),FALSE)&gt;=5,"Good","Bad"),VLOOKUP(DATE($K$1,$K$2,FSK$4),Table1[],(MATCH(Calendar!$A18,DB!$1:$1,0)),FALSE)),"")</f>
        <v/>
      </c>
      <c r="FSL18" s="28" t="str">
        <f>IFERROR(IF(FSU3="No",IF(VLOOKUP(DATE($K$1,$K$2,FSL$4),Table1[],(MATCH(Calendar!$A18,DB!$1:$1,0)),FALSE)&gt;=5,"Good","Bad"),VLOOKUP(DATE($K$1,$K$2,FSL$4),Table1[],(MATCH(Calendar!$A18,DB!$1:$1,0)),FALSE)),"")</f>
        <v/>
      </c>
      <c r="FSM18" s="28" t="str">
        <f>IFERROR(IF(FSV3="No",IF(VLOOKUP(DATE($K$1,$K$2,FSM$4),Table1[],(MATCH(Calendar!$A18,DB!$1:$1,0)),FALSE)&gt;=5,"Good","Bad"),VLOOKUP(DATE($K$1,$K$2,FSM$4),Table1[],(MATCH(Calendar!$A18,DB!$1:$1,0)),FALSE)),"")</f>
        <v/>
      </c>
      <c r="FSN18" s="28" t="str">
        <f>IFERROR(IF(FSW3="No",IF(VLOOKUP(DATE($K$1,$K$2,FSN$4),Table1[],(MATCH(Calendar!$A18,DB!$1:$1,0)),FALSE)&gt;=5,"Good","Bad"),VLOOKUP(DATE($K$1,$K$2,FSN$4),Table1[],(MATCH(Calendar!$A18,DB!$1:$1,0)),FALSE)),"")</f>
        <v/>
      </c>
      <c r="FSO18" s="28" t="str">
        <f>IFERROR(IF(FSX3="No",IF(VLOOKUP(DATE($K$1,$K$2,FSO$4),Table1[],(MATCH(Calendar!$A18,DB!$1:$1,0)),FALSE)&gt;=5,"Good","Bad"),VLOOKUP(DATE($K$1,$K$2,FSO$4),Table1[],(MATCH(Calendar!$A18,DB!$1:$1,0)),FALSE)),"")</f>
        <v/>
      </c>
      <c r="FSP18" s="28" t="str">
        <f>IFERROR(IF(FSY3="No",IF(VLOOKUP(DATE($K$1,$K$2,FSP$4),Table1[],(MATCH(Calendar!$A18,DB!$1:$1,0)),FALSE)&gt;=5,"Good","Bad"),VLOOKUP(DATE($K$1,$K$2,FSP$4),Table1[],(MATCH(Calendar!$A18,DB!$1:$1,0)),FALSE)),"")</f>
        <v/>
      </c>
      <c r="FSQ18" s="28" t="str">
        <f>IFERROR(IF(FSZ3="No",IF(VLOOKUP(DATE($K$1,$K$2,FSQ$4),Table1[],(MATCH(Calendar!$A18,DB!$1:$1,0)),FALSE)&gt;=5,"Good","Bad"),VLOOKUP(DATE($K$1,$K$2,FSQ$4),Table1[],(MATCH(Calendar!$A18,DB!$1:$1,0)),FALSE)),"")</f>
        <v/>
      </c>
      <c r="FSR18" s="28" t="str">
        <f>IFERROR(IF(FTA3="No",IF(VLOOKUP(DATE($K$1,$K$2,FSR$4),Table1[],(MATCH(Calendar!$A18,DB!$1:$1,0)),FALSE)&gt;=5,"Good","Bad"),VLOOKUP(DATE($K$1,$K$2,FSR$4),Table1[],(MATCH(Calendar!$A18,DB!$1:$1,0)),FALSE)),"")</f>
        <v/>
      </c>
      <c r="FSS18" s="28" t="str">
        <f>IFERROR(IF(FTB3="No",IF(VLOOKUP(DATE($K$1,$K$2,FSS$4),Table1[],(MATCH(Calendar!$A18,DB!$1:$1,0)),FALSE)&gt;=5,"Good","Bad"),VLOOKUP(DATE($K$1,$K$2,FSS$4),Table1[],(MATCH(Calendar!$A18,DB!$1:$1,0)),FALSE)),"")</f>
        <v/>
      </c>
      <c r="FST18" s="28" t="str">
        <f>IFERROR(IF(FTC3="No",IF(VLOOKUP(DATE($K$1,$K$2,FST$4),Table1[],(MATCH(Calendar!$A18,DB!$1:$1,0)),FALSE)&gt;=5,"Good","Bad"),VLOOKUP(DATE($K$1,$K$2,FST$4),Table1[],(MATCH(Calendar!$A18,DB!$1:$1,0)),FALSE)),"")</f>
        <v/>
      </c>
      <c r="FSU18" s="28" t="str">
        <f>IFERROR(IF(FTD3="No",IF(VLOOKUP(DATE($K$1,$K$2,FSU$4),Table1[],(MATCH(Calendar!$A18,DB!$1:$1,0)),FALSE)&gt;=5,"Good","Bad"),VLOOKUP(DATE($K$1,$K$2,FSU$4),Table1[],(MATCH(Calendar!$A18,DB!$1:$1,0)),FALSE)),"")</f>
        <v/>
      </c>
      <c r="FSV18" s="28" t="str">
        <f>IFERROR(IF(FTE3="No",IF(VLOOKUP(DATE($K$1,$K$2,FSV$4),Table1[],(MATCH(Calendar!$A18,DB!$1:$1,0)),FALSE)&gt;=5,"Good","Bad"),VLOOKUP(DATE($K$1,$K$2,FSV$4),Table1[],(MATCH(Calendar!$A18,DB!$1:$1,0)),FALSE)),"")</f>
        <v/>
      </c>
      <c r="FSW18" s="28" t="str">
        <f>IFERROR(IF(FTF3="No",IF(VLOOKUP(DATE($K$1,$K$2,FSW$4),Table1[],(MATCH(Calendar!$A18,DB!$1:$1,0)),FALSE)&gt;=5,"Good","Bad"),VLOOKUP(DATE($K$1,$K$2,FSW$4),Table1[],(MATCH(Calendar!$A18,DB!$1:$1,0)),FALSE)),"")</f>
        <v/>
      </c>
      <c r="FSX18" s="28" t="str">
        <f>IFERROR(IF(FTG3="No",IF(VLOOKUP(DATE($K$1,$K$2,FSX$4),Table1[],(MATCH(Calendar!$A18,DB!$1:$1,0)),FALSE)&gt;=5,"Good","Bad"),VLOOKUP(DATE($K$1,$K$2,FSX$4),Table1[],(MATCH(Calendar!$A18,DB!$1:$1,0)),FALSE)),"")</f>
        <v/>
      </c>
      <c r="FSY18" s="28" t="str">
        <f>IFERROR(IF(FTH3="No",IF(VLOOKUP(DATE($K$1,$K$2,FSY$4),Table1[],(MATCH(Calendar!$A18,DB!$1:$1,0)),FALSE)&gt;=5,"Good","Bad"),VLOOKUP(DATE($K$1,$K$2,FSY$4),Table1[],(MATCH(Calendar!$A18,DB!$1:$1,0)),FALSE)),"")</f>
        <v/>
      </c>
      <c r="FSZ18" s="28" t="str">
        <f>IFERROR(IF(FTI3="No",IF(VLOOKUP(DATE($K$1,$K$2,FSZ$4),Table1[],(MATCH(Calendar!$A18,DB!$1:$1,0)),FALSE)&gt;=5,"Good","Bad"),VLOOKUP(DATE($K$1,$K$2,FSZ$4),Table1[],(MATCH(Calendar!$A18,DB!$1:$1,0)),FALSE)),"")</f>
        <v/>
      </c>
      <c r="FTA18" s="28" t="str">
        <f>IFERROR(IF(FTJ3="No",IF(VLOOKUP(DATE($K$1,$K$2,FTA$4),Table1[],(MATCH(Calendar!$A18,DB!$1:$1,0)),FALSE)&gt;=5,"Good","Bad"),VLOOKUP(DATE($K$1,$K$2,FTA$4),Table1[],(MATCH(Calendar!$A18,DB!$1:$1,0)),FALSE)),"")</f>
        <v/>
      </c>
      <c r="FTB18" s="28" t="str">
        <f>IFERROR(IF(FTK3="No",IF(VLOOKUP(DATE($K$1,$K$2,FTB$4),Table1[],(MATCH(Calendar!$A18,DB!$1:$1,0)),FALSE)&gt;=5,"Good","Bad"),VLOOKUP(DATE($K$1,$K$2,FTB$4),Table1[],(MATCH(Calendar!$A18,DB!$1:$1,0)),FALSE)),"")</f>
        <v/>
      </c>
      <c r="FTC18" s="28" t="str">
        <f>IFERROR(IF(FTL3="No",IF(VLOOKUP(DATE($K$1,$K$2,FTC$4),Table1[],(MATCH(Calendar!$A18,DB!$1:$1,0)),FALSE)&gt;=5,"Good","Bad"),VLOOKUP(DATE($K$1,$K$2,FTC$4),Table1[],(MATCH(Calendar!$A18,DB!$1:$1,0)),FALSE)),"")</f>
        <v/>
      </c>
      <c r="FTD18" s="28" t="str">
        <f>IFERROR(IF(FTM3="No",IF(VLOOKUP(DATE($K$1,$K$2,FTD$4),Table1[],(MATCH(Calendar!$A18,DB!$1:$1,0)),FALSE)&gt;=5,"Good","Bad"),VLOOKUP(DATE($K$1,$K$2,FTD$4),Table1[],(MATCH(Calendar!$A18,DB!$1:$1,0)),FALSE)),"")</f>
        <v/>
      </c>
      <c r="FTE18" s="28" t="str">
        <f>IFERROR(IF(FTN3="No",IF(VLOOKUP(DATE($K$1,$K$2,FTE$4),Table1[],(MATCH(Calendar!$A18,DB!$1:$1,0)),FALSE)&gt;=5,"Good","Bad"),VLOOKUP(DATE($K$1,$K$2,FTE$4),Table1[],(MATCH(Calendar!$A18,DB!$1:$1,0)),FALSE)),"")</f>
        <v/>
      </c>
      <c r="FTF18" s="28" t="str">
        <f>IFERROR(IF(FTO3="No",IF(VLOOKUP(DATE($K$1,$K$2,FTF$4),Table1[],(MATCH(Calendar!$A18,DB!$1:$1,0)),FALSE)&gt;=5,"Good","Bad"),VLOOKUP(DATE($K$1,$K$2,FTF$4),Table1[],(MATCH(Calendar!$A18,DB!$1:$1,0)),FALSE)),"")</f>
        <v/>
      </c>
      <c r="FTG18" s="28" t="str">
        <f>IFERROR(IF(FTP3="No",IF(VLOOKUP(DATE($K$1,$K$2,FTG$4),Table1[],(MATCH(Calendar!$A18,DB!$1:$1,0)),FALSE)&gt;=5,"Good","Bad"),VLOOKUP(DATE($K$1,$K$2,FTG$4),Table1[],(MATCH(Calendar!$A18,DB!$1:$1,0)),FALSE)),"")</f>
        <v/>
      </c>
      <c r="FTH18" s="28" t="str">
        <f>IFERROR(IF(FTQ3="No",IF(VLOOKUP(DATE($K$1,$K$2,FTH$4),Table1[],(MATCH(Calendar!$A18,DB!$1:$1,0)),FALSE)&gt;=5,"Good","Bad"),VLOOKUP(DATE($K$1,$K$2,FTH$4),Table1[],(MATCH(Calendar!$A18,DB!$1:$1,0)),FALSE)),"")</f>
        <v/>
      </c>
      <c r="FTI18" s="28" t="str">
        <f>IFERROR(IF(FTR3="No",IF(VLOOKUP(DATE($K$1,$K$2,FTI$4),Table1[],(MATCH(Calendar!$A18,DB!$1:$1,0)),FALSE)&gt;=5,"Good","Bad"),VLOOKUP(DATE($K$1,$K$2,FTI$4),Table1[],(MATCH(Calendar!$A18,DB!$1:$1,0)),FALSE)),"")</f>
        <v/>
      </c>
      <c r="FTJ18" s="28" t="str">
        <f>IFERROR(IF(FTS3="No",IF(VLOOKUP(DATE($K$1,$K$2,FTJ$4),Table1[],(MATCH(Calendar!$A18,DB!$1:$1,0)),FALSE)&gt;=5,"Good","Bad"),VLOOKUP(DATE($K$1,$K$2,FTJ$4),Table1[],(MATCH(Calendar!$A18,DB!$1:$1,0)),FALSE)),"")</f>
        <v/>
      </c>
      <c r="FTK18" s="28" t="str">
        <f>IFERROR(IF(FTT3="No",IF(VLOOKUP(DATE($K$1,$K$2,FTK$4),Table1[],(MATCH(Calendar!$A18,DB!$1:$1,0)),FALSE)&gt;=5,"Good","Bad"),VLOOKUP(DATE($K$1,$K$2,FTK$4),Table1[],(MATCH(Calendar!$A18,DB!$1:$1,0)),FALSE)),"")</f>
        <v/>
      </c>
      <c r="FTL18" s="28" t="str">
        <f>IFERROR(IF(FTU3="No",IF(VLOOKUP(DATE($K$1,$K$2,FTL$4),Table1[],(MATCH(Calendar!$A18,DB!$1:$1,0)),FALSE)&gt;=5,"Good","Bad"),VLOOKUP(DATE($K$1,$K$2,FTL$4),Table1[],(MATCH(Calendar!$A18,DB!$1:$1,0)),FALSE)),"")</f>
        <v/>
      </c>
      <c r="FTM18" s="28" t="str">
        <f>IFERROR(IF(FTV3="No",IF(VLOOKUP(DATE($K$1,$K$2,FTM$4),Table1[],(MATCH(Calendar!$A18,DB!$1:$1,0)),FALSE)&gt;=5,"Good","Bad"),VLOOKUP(DATE($K$1,$K$2,FTM$4),Table1[],(MATCH(Calendar!$A18,DB!$1:$1,0)),FALSE)),"")</f>
        <v/>
      </c>
      <c r="FTN18" s="28" t="str">
        <f>IFERROR(IF(FTW3="No",IF(VLOOKUP(DATE($K$1,$K$2,FTN$4),Table1[],(MATCH(Calendar!$A18,DB!$1:$1,0)),FALSE)&gt;=5,"Good","Bad"),VLOOKUP(DATE($K$1,$K$2,FTN$4),Table1[],(MATCH(Calendar!$A18,DB!$1:$1,0)),FALSE)),"")</f>
        <v/>
      </c>
      <c r="FTO18" s="28" t="str">
        <f>IFERROR(IF(FTX3="No",IF(VLOOKUP(DATE($K$1,$K$2,FTO$4),Table1[],(MATCH(Calendar!$A18,DB!$1:$1,0)),FALSE)&gt;=5,"Good","Bad"),VLOOKUP(DATE($K$1,$K$2,FTO$4),Table1[],(MATCH(Calendar!$A18,DB!$1:$1,0)),FALSE)),"")</f>
        <v/>
      </c>
      <c r="FTP18" s="28" t="str">
        <f>IFERROR(IF(FTY3="No",IF(VLOOKUP(DATE($K$1,$K$2,FTP$4),Table1[],(MATCH(Calendar!$A18,DB!$1:$1,0)),FALSE)&gt;=5,"Good","Bad"),VLOOKUP(DATE($K$1,$K$2,FTP$4),Table1[],(MATCH(Calendar!$A18,DB!$1:$1,0)),FALSE)),"")</f>
        <v/>
      </c>
      <c r="FTQ18" s="28" t="str">
        <f>IFERROR(IF(FTZ3="No",IF(VLOOKUP(DATE($K$1,$K$2,FTQ$4),Table1[],(MATCH(Calendar!$A18,DB!$1:$1,0)),FALSE)&gt;=5,"Good","Bad"),VLOOKUP(DATE($K$1,$K$2,FTQ$4),Table1[],(MATCH(Calendar!$A18,DB!$1:$1,0)),FALSE)),"")</f>
        <v/>
      </c>
      <c r="FTR18" s="28" t="str">
        <f>IFERROR(IF(FUA3="No",IF(VLOOKUP(DATE($K$1,$K$2,FTR$4),Table1[],(MATCH(Calendar!$A18,DB!$1:$1,0)),FALSE)&gt;=5,"Good","Bad"),VLOOKUP(DATE($K$1,$K$2,FTR$4),Table1[],(MATCH(Calendar!$A18,DB!$1:$1,0)),FALSE)),"")</f>
        <v/>
      </c>
      <c r="FTS18" s="28" t="str">
        <f>IFERROR(IF(FUB3="No",IF(VLOOKUP(DATE($K$1,$K$2,FTS$4),Table1[],(MATCH(Calendar!$A18,DB!$1:$1,0)),FALSE)&gt;=5,"Good","Bad"),VLOOKUP(DATE($K$1,$K$2,FTS$4),Table1[],(MATCH(Calendar!$A18,DB!$1:$1,0)),FALSE)),"")</f>
        <v/>
      </c>
      <c r="FTT18" s="28" t="str">
        <f>IFERROR(IF(FUC3="No",IF(VLOOKUP(DATE($K$1,$K$2,FTT$4),Table1[],(MATCH(Calendar!$A18,DB!$1:$1,0)),FALSE)&gt;=5,"Good","Bad"),VLOOKUP(DATE($K$1,$K$2,FTT$4),Table1[],(MATCH(Calendar!$A18,DB!$1:$1,0)),FALSE)),"")</f>
        <v/>
      </c>
      <c r="FTU18" s="28" t="str">
        <f>IFERROR(IF(FUD3="No",IF(VLOOKUP(DATE($K$1,$K$2,FTU$4),Table1[],(MATCH(Calendar!$A18,DB!$1:$1,0)),FALSE)&gt;=5,"Good","Bad"),VLOOKUP(DATE($K$1,$K$2,FTU$4),Table1[],(MATCH(Calendar!$A18,DB!$1:$1,0)),FALSE)),"")</f>
        <v/>
      </c>
      <c r="FTV18" s="28" t="str">
        <f>IFERROR(IF(FUE3="No",IF(VLOOKUP(DATE($K$1,$K$2,FTV$4),Table1[],(MATCH(Calendar!$A18,DB!$1:$1,0)),FALSE)&gt;=5,"Good","Bad"),VLOOKUP(DATE($K$1,$K$2,FTV$4),Table1[],(MATCH(Calendar!$A18,DB!$1:$1,0)),FALSE)),"")</f>
        <v/>
      </c>
      <c r="FTW18" s="28" t="str">
        <f>IFERROR(IF(FUF3="No",IF(VLOOKUP(DATE($K$1,$K$2,FTW$4),Table1[],(MATCH(Calendar!$A18,DB!$1:$1,0)),FALSE)&gt;=5,"Good","Bad"),VLOOKUP(DATE($K$1,$K$2,FTW$4),Table1[],(MATCH(Calendar!$A18,DB!$1:$1,0)),FALSE)),"")</f>
        <v/>
      </c>
      <c r="FTX18" s="28" t="str">
        <f>IFERROR(IF(FUG3="No",IF(VLOOKUP(DATE($K$1,$K$2,FTX$4),Table1[],(MATCH(Calendar!$A18,DB!$1:$1,0)),FALSE)&gt;=5,"Good","Bad"),VLOOKUP(DATE($K$1,$K$2,FTX$4),Table1[],(MATCH(Calendar!$A18,DB!$1:$1,0)),FALSE)),"")</f>
        <v/>
      </c>
      <c r="FTY18" s="28" t="str">
        <f>IFERROR(IF(FUH3="No",IF(VLOOKUP(DATE($K$1,$K$2,FTY$4),Table1[],(MATCH(Calendar!$A18,DB!$1:$1,0)),FALSE)&gt;=5,"Good","Bad"),VLOOKUP(DATE($K$1,$K$2,FTY$4),Table1[],(MATCH(Calendar!$A18,DB!$1:$1,0)),FALSE)),"")</f>
        <v/>
      </c>
      <c r="FTZ18" s="28" t="str">
        <f>IFERROR(IF(FUI3="No",IF(VLOOKUP(DATE($K$1,$K$2,FTZ$4),Table1[],(MATCH(Calendar!$A18,DB!$1:$1,0)),FALSE)&gt;=5,"Good","Bad"),VLOOKUP(DATE($K$1,$K$2,FTZ$4),Table1[],(MATCH(Calendar!$A18,DB!$1:$1,0)),FALSE)),"")</f>
        <v/>
      </c>
      <c r="FUA18" s="28" t="str">
        <f>IFERROR(IF(FUJ3="No",IF(VLOOKUP(DATE($K$1,$K$2,FUA$4),Table1[],(MATCH(Calendar!$A18,DB!$1:$1,0)),FALSE)&gt;=5,"Good","Bad"),VLOOKUP(DATE($K$1,$K$2,FUA$4),Table1[],(MATCH(Calendar!$A18,DB!$1:$1,0)),FALSE)),"")</f>
        <v/>
      </c>
      <c r="FUB18" s="28" t="str">
        <f>IFERROR(IF(FUK3="No",IF(VLOOKUP(DATE($K$1,$K$2,FUB$4),Table1[],(MATCH(Calendar!$A18,DB!$1:$1,0)),FALSE)&gt;=5,"Good","Bad"),VLOOKUP(DATE($K$1,$K$2,FUB$4),Table1[],(MATCH(Calendar!$A18,DB!$1:$1,0)),FALSE)),"")</f>
        <v/>
      </c>
      <c r="FUC18" s="28" t="str">
        <f>IFERROR(IF(FUL3="No",IF(VLOOKUP(DATE($K$1,$K$2,FUC$4),Table1[],(MATCH(Calendar!$A18,DB!$1:$1,0)),FALSE)&gt;=5,"Good","Bad"),VLOOKUP(DATE($K$1,$K$2,FUC$4),Table1[],(MATCH(Calendar!$A18,DB!$1:$1,0)),FALSE)),"")</f>
        <v/>
      </c>
      <c r="FUD18" s="28" t="str">
        <f>IFERROR(IF(FUM3="No",IF(VLOOKUP(DATE($K$1,$K$2,FUD$4),Table1[],(MATCH(Calendar!$A18,DB!$1:$1,0)),FALSE)&gt;=5,"Good","Bad"),VLOOKUP(DATE($K$1,$K$2,FUD$4),Table1[],(MATCH(Calendar!$A18,DB!$1:$1,0)),FALSE)),"")</f>
        <v/>
      </c>
      <c r="FUE18" s="28" t="str">
        <f>IFERROR(IF(FUN3="No",IF(VLOOKUP(DATE($K$1,$K$2,FUE$4),Table1[],(MATCH(Calendar!$A18,DB!$1:$1,0)),FALSE)&gt;=5,"Good","Bad"),VLOOKUP(DATE($K$1,$K$2,FUE$4),Table1[],(MATCH(Calendar!$A18,DB!$1:$1,0)),FALSE)),"")</f>
        <v/>
      </c>
      <c r="FUF18" s="28" t="str">
        <f>IFERROR(IF(FUO3="No",IF(VLOOKUP(DATE($K$1,$K$2,FUF$4),Table1[],(MATCH(Calendar!$A18,DB!$1:$1,0)),FALSE)&gt;=5,"Good","Bad"),VLOOKUP(DATE($K$1,$K$2,FUF$4),Table1[],(MATCH(Calendar!$A18,DB!$1:$1,0)),FALSE)),"")</f>
        <v/>
      </c>
      <c r="FUG18" s="28" t="str">
        <f>IFERROR(IF(FUP3="No",IF(VLOOKUP(DATE($K$1,$K$2,FUG$4),Table1[],(MATCH(Calendar!$A18,DB!$1:$1,0)),FALSE)&gt;=5,"Good","Bad"),VLOOKUP(DATE($K$1,$K$2,FUG$4),Table1[],(MATCH(Calendar!$A18,DB!$1:$1,0)),FALSE)),"")</f>
        <v/>
      </c>
      <c r="FUH18" s="28" t="str">
        <f>IFERROR(IF(FUQ3="No",IF(VLOOKUP(DATE($K$1,$K$2,FUH$4),Table1[],(MATCH(Calendar!$A18,DB!$1:$1,0)),FALSE)&gt;=5,"Good","Bad"),VLOOKUP(DATE($K$1,$K$2,FUH$4),Table1[],(MATCH(Calendar!$A18,DB!$1:$1,0)),FALSE)),"")</f>
        <v/>
      </c>
      <c r="FUI18" s="28" t="str">
        <f>IFERROR(IF(FUR3="No",IF(VLOOKUP(DATE($K$1,$K$2,FUI$4),Table1[],(MATCH(Calendar!$A18,DB!$1:$1,0)),FALSE)&gt;=5,"Good","Bad"),VLOOKUP(DATE($K$1,$K$2,FUI$4),Table1[],(MATCH(Calendar!$A18,DB!$1:$1,0)),FALSE)),"")</f>
        <v/>
      </c>
      <c r="FUJ18" s="28" t="str">
        <f>IFERROR(IF(FUS3="No",IF(VLOOKUP(DATE($K$1,$K$2,FUJ$4),Table1[],(MATCH(Calendar!$A18,DB!$1:$1,0)),FALSE)&gt;=5,"Good","Bad"),VLOOKUP(DATE($K$1,$K$2,FUJ$4),Table1[],(MATCH(Calendar!$A18,DB!$1:$1,0)),FALSE)),"")</f>
        <v/>
      </c>
      <c r="FUK18" s="28" t="str">
        <f>IFERROR(IF(FUT3="No",IF(VLOOKUP(DATE($K$1,$K$2,FUK$4),Table1[],(MATCH(Calendar!$A18,DB!$1:$1,0)),FALSE)&gt;=5,"Good","Bad"),VLOOKUP(DATE($K$1,$K$2,FUK$4),Table1[],(MATCH(Calendar!$A18,DB!$1:$1,0)),FALSE)),"")</f>
        <v/>
      </c>
      <c r="FUL18" s="28" t="str">
        <f>IFERROR(IF(FUU3="No",IF(VLOOKUP(DATE($K$1,$K$2,FUL$4),Table1[],(MATCH(Calendar!$A18,DB!$1:$1,0)),FALSE)&gt;=5,"Good","Bad"),VLOOKUP(DATE($K$1,$K$2,FUL$4),Table1[],(MATCH(Calendar!$A18,DB!$1:$1,0)),FALSE)),"")</f>
        <v/>
      </c>
      <c r="FUM18" s="28" t="str">
        <f>IFERROR(IF(FUV3="No",IF(VLOOKUP(DATE($K$1,$K$2,FUM$4),Table1[],(MATCH(Calendar!$A18,DB!$1:$1,0)),FALSE)&gt;=5,"Good","Bad"),VLOOKUP(DATE($K$1,$K$2,FUM$4),Table1[],(MATCH(Calendar!$A18,DB!$1:$1,0)),FALSE)),"")</f>
        <v/>
      </c>
      <c r="FUN18" s="28" t="str">
        <f>IFERROR(IF(FUW3="No",IF(VLOOKUP(DATE($K$1,$K$2,FUN$4),Table1[],(MATCH(Calendar!$A18,DB!$1:$1,0)),FALSE)&gt;=5,"Good","Bad"),VLOOKUP(DATE($K$1,$K$2,FUN$4),Table1[],(MATCH(Calendar!$A18,DB!$1:$1,0)),FALSE)),"")</f>
        <v/>
      </c>
      <c r="FUO18" s="28" t="str">
        <f>IFERROR(IF(FUX3="No",IF(VLOOKUP(DATE($K$1,$K$2,FUO$4),Table1[],(MATCH(Calendar!$A18,DB!$1:$1,0)),FALSE)&gt;=5,"Good","Bad"),VLOOKUP(DATE($K$1,$K$2,FUO$4),Table1[],(MATCH(Calendar!$A18,DB!$1:$1,0)),FALSE)),"")</f>
        <v/>
      </c>
      <c r="FUP18" s="28" t="str">
        <f>IFERROR(IF(FUY3="No",IF(VLOOKUP(DATE($K$1,$K$2,FUP$4),Table1[],(MATCH(Calendar!$A18,DB!$1:$1,0)),FALSE)&gt;=5,"Good","Bad"),VLOOKUP(DATE($K$1,$K$2,FUP$4),Table1[],(MATCH(Calendar!$A18,DB!$1:$1,0)),FALSE)),"")</f>
        <v/>
      </c>
      <c r="FUQ18" s="28" t="str">
        <f>IFERROR(IF(FUZ3="No",IF(VLOOKUP(DATE($K$1,$K$2,FUQ$4),Table1[],(MATCH(Calendar!$A18,DB!$1:$1,0)),FALSE)&gt;=5,"Good","Bad"),VLOOKUP(DATE($K$1,$K$2,FUQ$4),Table1[],(MATCH(Calendar!$A18,DB!$1:$1,0)),FALSE)),"")</f>
        <v/>
      </c>
      <c r="FUR18" s="28" t="str">
        <f>IFERROR(IF(FVA3="No",IF(VLOOKUP(DATE($K$1,$K$2,FUR$4),Table1[],(MATCH(Calendar!$A18,DB!$1:$1,0)),FALSE)&gt;=5,"Good","Bad"),VLOOKUP(DATE($K$1,$K$2,FUR$4),Table1[],(MATCH(Calendar!$A18,DB!$1:$1,0)),FALSE)),"")</f>
        <v/>
      </c>
      <c r="FUS18" s="28" t="str">
        <f>IFERROR(IF(FVB3="No",IF(VLOOKUP(DATE($K$1,$K$2,FUS$4),Table1[],(MATCH(Calendar!$A18,DB!$1:$1,0)),FALSE)&gt;=5,"Good","Bad"),VLOOKUP(DATE($K$1,$K$2,FUS$4),Table1[],(MATCH(Calendar!$A18,DB!$1:$1,0)),FALSE)),"")</f>
        <v/>
      </c>
      <c r="FUT18" s="28" t="str">
        <f>IFERROR(IF(FVC3="No",IF(VLOOKUP(DATE($K$1,$K$2,FUT$4),Table1[],(MATCH(Calendar!$A18,DB!$1:$1,0)),FALSE)&gt;=5,"Good","Bad"),VLOOKUP(DATE($K$1,$K$2,FUT$4),Table1[],(MATCH(Calendar!$A18,DB!$1:$1,0)),FALSE)),"")</f>
        <v/>
      </c>
      <c r="FUU18" s="28" t="str">
        <f>IFERROR(IF(FVD3="No",IF(VLOOKUP(DATE($K$1,$K$2,FUU$4),Table1[],(MATCH(Calendar!$A18,DB!$1:$1,0)),FALSE)&gt;=5,"Good","Bad"),VLOOKUP(DATE($K$1,$K$2,FUU$4),Table1[],(MATCH(Calendar!$A18,DB!$1:$1,0)),FALSE)),"")</f>
        <v/>
      </c>
      <c r="FUV18" s="28" t="str">
        <f>IFERROR(IF(FVE3="No",IF(VLOOKUP(DATE($K$1,$K$2,FUV$4),Table1[],(MATCH(Calendar!$A18,DB!$1:$1,0)),FALSE)&gt;=5,"Good","Bad"),VLOOKUP(DATE($K$1,$K$2,FUV$4),Table1[],(MATCH(Calendar!$A18,DB!$1:$1,0)),FALSE)),"")</f>
        <v/>
      </c>
      <c r="FUW18" s="28" t="str">
        <f>IFERROR(IF(FVF3="No",IF(VLOOKUP(DATE($K$1,$K$2,FUW$4),Table1[],(MATCH(Calendar!$A18,DB!$1:$1,0)),FALSE)&gt;=5,"Good","Bad"),VLOOKUP(DATE($K$1,$K$2,FUW$4),Table1[],(MATCH(Calendar!$A18,DB!$1:$1,0)),FALSE)),"")</f>
        <v/>
      </c>
      <c r="FUX18" s="28" t="str">
        <f>IFERROR(IF(FVG3="No",IF(VLOOKUP(DATE($K$1,$K$2,FUX$4),Table1[],(MATCH(Calendar!$A18,DB!$1:$1,0)),FALSE)&gt;=5,"Good","Bad"),VLOOKUP(DATE($K$1,$K$2,FUX$4),Table1[],(MATCH(Calendar!$A18,DB!$1:$1,0)),FALSE)),"")</f>
        <v/>
      </c>
      <c r="FUY18" s="28" t="str">
        <f>IFERROR(IF(FVH3="No",IF(VLOOKUP(DATE($K$1,$K$2,FUY$4),Table1[],(MATCH(Calendar!$A18,DB!$1:$1,0)),FALSE)&gt;=5,"Good","Bad"),VLOOKUP(DATE($K$1,$K$2,FUY$4),Table1[],(MATCH(Calendar!$A18,DB!$1:$1,0)),FALSE)),"")</f>
        <v/>
      </c>
      <c r="FUZ18" s="28" t="str">
        <f>IFERROR(IF(FVI3="No",IF(VLOOKUP(DATE($K$1,$K$2,FUZ$4),Table1[],(MATCH(Calendar!$A18,DB!$1:$1,0)),FALSE)&gt;=5,"Good","Bad"),VLOOKUP(DATE($K$1,$K$2,FUZ$4),Table1[],(MATCH(Calendar!$A18,DB!$1:$1,0)),FALSE)),"")</f>
        <v/>
      </c>
      <c r="FVA18" s="28" t="str">
        <f>IFERROR(IF(FVJ3="No",IF(VLOOKUP(DATE($K$1,$K$2,FVA$4),Table1[],(MATCH(Calendar!$A18,DB!$1:$1,0)),FALSE)&gt;=5,"Good","Bad"),VLOOKUP(DATE($K$1,$K$2,FVA$4),Table1[],(MATCH(Calendar!$A18,DB!$1:$1,0)),FALSE)),"")</f>
        <v/>
      </c>
      <c r="FVB18" s="28" t="str">
        <f>IFERROR(IF(FVK3="No",IF(VLOOKUP(DATE($K$1,$K$2,FVB$4),Table1[],(MATCH(Calendar!$A18,DB!$1:$1,0)),FALSE)&gt;=5,"Good","Bad"),VLOOKUP(DATE($K$1,$K$2,FVB$4),Table1[],(MATCH(Calendar!$A18,DB!$1:$1,0)),FALSE)),"")</f>
        <v/>
      </c>
      <c r="FVC18" s="28" t="str">
        <f>IFERROR(IF(FVL3="No",IF(VLOOKUP(DATE($K$1,$K$2,FVC$4),Table1[],(MATCH(Calendar!$A18,DB!$1:$1,0)),FALSE)&gt;=5,"Good","Bad"),VLOOKUP(DATE($K$1,$K$2,FVC$4),Table1[],(MATCH(Calendar!$A18,DB!$1:$1,0)),FALSE)),"")</f>
        <v/>
      </c>
      <c r="FVD18" s="28" t="str">
        <f>IFERROR(IF(FVM3="No",IF(VLOOKUP(DATE($K$1,$K$2,FVD$4),Table1[],(MATCH(Calendar!$A18,DB!$1:$1,0)),FALSE)&gt;=5,"Good","Bad"),VLOOKUP(DATE($K$1,$K$2,FVD$4),Table1[],(MATCH(Calendar!$A18,DB!$1:$1,0)),FALSE)),"")</f>
        <v/>
      </c>
      <c r="FVE18" s="28" t="str">
        <f>IFERROR(IF(FVN3="No",IF(VLOOKUP(DATE($K$1,$K$2,FVE$4),Table1[],(MATCH(Calendar!$A18,DB!$1:$1,0)),FALSE)&gt;=5,"Good","Bad"),VLOOKUP(DATE($K$1,$K$2,FVE$4),Table1[],(MATCH(Calendar!$A18,DB!$1:$1,0)),FALSE)),"")</f>
        <v/>
      </c>
      <c r="FVF18" s="28" t="str">
        <f>IFERROR(IF(FVO3="No",IF(VLOOKUP(DATE($K$1,$K$2,FVF$4),Table1[],(MATCH(Calendar!$A18,DB!$1:$1,0)),FALSE)&gt;=5,"Good","Bad"),VLOOKUP(DATE($K$1,$K$2,FVF$4),Table1[],(MATCH(Calendar!$A18,DB!$1:$1,0)),FALSE)),"")</f>
        <v/>
      </c>
      <c r="FVG18" s="28" t="str">
        <f>IFERROR(IF(FVP3="No",IF(VLOOKUP(DATE($K$1,$K$2,FVG$4),Table1[],(MATCH(Calendar!$A18,DB!$1:$1,0)),FALSE)&gt;=5,"Good","Bad"),VLOOKUP(DATE($K$1,$K$2,FVG$4),Table1[],(MATCH(Calendar!$A18,DB!$1:$1,0)),FALSE)),"")</f>
        <v/>
      </c>
      <c r="FVH18" s="28" t="str">
        <f>IFERROR(IF(FVQ3="No",IF(VLOOKUP(DATE($K$1,$K$2,FVH$4),Table1[],(MATCH(Calendar!$A18,DB!$1:$1,0)),FALSE)&gt;=5,"Good","Bad"),VLOOKUP(DATE($K$1,$K$2,FVH$4),Table1[],(MATCH(Calendar!$A18,DB!$1:$1,0)),FALSE)),"")</f>
        <v/>
      </c>
      <c r="FVI18" s="28" t="str">
        <f>IFERROR(IF(FVR3="No",IF(VLOOKUP(DATE($K$1,$K$2,FVI$4),Table1[],(MATCH(Calendar!$A18,DB!$1:$1,0)),FALSE)&gt;=5,"Good","Bad"),VLOOKUP(DATE($K$1,$K$2,FVI$4),Table1[],(MATCH(Calendar!$A18,DB!$1:$1,0)),FALSE)),"")</f>
        <v/>
      </c>
      <c r="FVJ18" s="28" t="str">
        <f>IFERROR(IF(FVS3="No",IF(VLOOKUP(DATE($K$1,$K$2,FVJ$4),Table1[],(MATCH(Calendar!$A18,DB!$1:$1,0)),FALSE)&gt;=5,"Good","Bad"),VLOOKUP(DATE($K$1,$K$2,FVJ$4),Table1[],(MATCH(Calendar!$A18,DB!$1:$1,0)),FALSE)),"")</f>
        <v/>
      </c>
      <c r="FVK18" s="28" t="str">
        <f>IFERROR(IF(FVT3="No",IF(VLOOKUP(DATE($K$1,$K$2,FVK$4),Table1[],(MATCH(Calendar!$A18,DB!$1:$1,0)),FALSE)&gt;=5,"Good","Bad"),VLOOKUP(DATE($K$1,$K$2,FVK$4),Table1[],(MATCH(Calendar!$A18,DB!$1:$1,0)),FALSE)),"")</f>
        <v/>
      </c>
      <c r="FVL18" s="28" t="str">
        <f>IFERROR(IF(FVU3="No",IF(VLOOKUP(DATE($K$1,$K$2,FVL$4),Table1[],(MATCH(Calendar!$A18,DB!$1:$1,0)),FALSE)&gt;=5,"Good","Bad"),VLOOKUP(DATE($K$1,$K$2,FVL$4),Table1[],(MATCH(Calendar!$A18,DB!$1:$1,0)),FALSE)),"")</f>
        <v/>
      </c>
      <c r="FVM18" s="28" t="str">
        <f>IFERROR(IF(FVV3="No",IF(VLOOKUP(DATE($K$1,$K$2,FVM$4),Table1[],(MATCH(Calendar!$A18,DB!$1:$1,0)),FALSE)&gt;=5,"Good","Bad"),VLOOKUP(DATE($K$1,$K$2,FVM$4),Table1[],(MATCH(Calendar!$A18,DB!$1:$1,0)),FALSE)),"")</f>
        <v/>
      </c>
      <c r="FVN18" s="28" t="str">
        <f>IFERROR(IF(FVW3="No",IF(VLOOKUP(DATE($K$1,$K$2,FVN$4),Table1[],(MATCH(Calendar!$A18,DB!$1:$1,0)),FALSE)&gt;=5,"Good","Bad"),VLOOKUP(DATE($K$1,$K$2,FVN$4),Table1[],(MATCH(Calendar!$A18,DB!$1:$1,0)),FALSE)),"")</f>
        <v/>
      </c>
      <c r="FVO18" s="28" t="str">
        <f>IFERROR(IF(FVX3="No",IF(VLOOKUP(DATE($K$1,$K$2,FVO$4),Table1[],(MATCH(Calendar!$A18,DB!$1:$1,0)),FALSE)&gt;=5,"Good","Bad"),VLOOKUP(DATE($K$1,$K$2,FVO$4),Table1[],(MATCH(Calendar!$A18,DB!$1:$1,0)),FALSE)),"")</f>
        <v/>
      </c>
      <c r="FVP18" s="28" t="str">
        <f>IFERROR(IF(FVY3="No",IF(VLOOKUP(DATE($K$1,$K$2,FVP$4),Table1[],(MATCH(Calendar!$A18,DB!$1:$1,0)),FALSE)&gt;=5,"Good","Bad"),VLOOKUP(DATE($K$1,$K$2,FVP$4),Table1[],(MATCH(Calendar!$A18,DB!$1:$1,0)),FALSE)),"")</f>
        <v/>
      </c>
      <c r="FVQ18" s="28" t="str">
        <f>IFERROR(IF(FVZ3="No",IF(VLOOKUP(DATE($K$1,$K$2,FVQ$4),Table1[],(MATCH(Calendar!$A18,DB!$1:$1,0)),FALSE)&gt;=5,"Good","Bad"),VLOOKUP(DATE($K$1,$K$2,FVQ$4),Table1[],(MATCH(Calendar!$A18,DB!$1:$1,0)),FALSE)),"")</f>
        <v/>
      </c>
      <c r="FVR18" s="28" t="str">
        <f>IFERROR(IF(FWA3="No",IF(VLOOKUP(DATE($K$1,$K$2,FVR$4),Table1[],(MATCH(Calendar!$A18,DB!$1:$1,0)),FALSE)&gt;=5,"Good","Bad"),VLOOKUP(DATE($K$1,$K$2,FVR$4),Table1[],(MATCH(Calendar!$A18,DB!$1:$1,0)),FALSE)),"")</f>
        <v/>
      </c>
      <c r="FVS18" s="28" t="str">
        <f>IFERROR(IF(FWB3="No",IF(VLOOKUP(DATE($K$1,$K$2,FVS$4),Table1[],(MATCH(Calendar!$A18,DB!$1:$1,0)),FALSE)&gt;=5,"Good","Bad"),VLOOKUP(DATE($K$1,$K$2,FVS$4),Table1[],(MATCH(Calendar!$A18,DB!$1:$1,0)),FALSE)),"")</f>
        <v/>
      </c>
      <c r="FVT18" s="28" t="str">
        <f>IFERROR(IF(FWC3="No",IF(VLOOKUP(DATE($K$1,$K$2,FVT$4),Table1[],(MATCH(Calendar!$A18,DB!$1:$1,0)),FALSE)&gt;=5,"Good","Bad"),VLOOKUP(DATE($K$1,$K$2,FVT$4),Table1[],(MATCH(Calendar!$A18,DB!$1:$1,0)),FALSE)),"")</f>
        <v/>
      </c>
      <c r="FVU18" s="28" t="str">
        <f>IFERROR(IF(FWD3="No",IF(VLOOKUP(DATE($K$1,$K$2,FVU$4),Table1[],(MATCH(Calendar!$A18,DB!$1:$1,0)),FALSE)&gt;=5,"Good","Bad"),VLOOKUP(DATE($K$1,$K$2,FVU$4),Table1[],(MATCH(Calendar!$A18,DB!$1:$1,0)),FALSE)),"")</f>
        <v/>
      </c>
      <c r="FVV18" s="28" t="str">
        <f>IFERROR(IF(FWE3="No",IF(VLOOKUP(DATE($K$1,$K$2,FVV$4),Table1[],(MATCH(Calendar!$A18,DB!$1:$1,0)),FALSE)&gt;=5,"Good","Bad"),VLOOKUP(DATE($K$1,$K$2,FVV$4),Table1[],(MATCH(Calendar!$A18,DB!$1:$1,0)),FALSE)),"")</f>
        <v/>
      </c>
      <c r="FVW18" s="28" t="str">
        <f>IFERROR(IF(FWF3="No",IF(VLOOKUP(DATE($K$1,$K$2,FVW$4),Table1[],(MATCH(Calendar!$A18,DB!$1:$1,0)),FALSE)&gt;=5,"Good","Bad"),VLOOKUP(DATE($K$1,$K$2,FVW$4),Table1[],(MATCH(Calendar!$A18,DB!$1:$1,0)),FALSE)),"")</f>
        <v/>
      </c>
      <c r="FVX18" s="28" t="str">
        <f>IFERROR(IF(FWG3="No",IF(VLOOKUP(DATE($K$1,$K$2,FVX$4),Table1[],(MATCH(Calendar!$A18,DB!$1:$1,0)),FALSE)&gt;=5,"Good","Bad"),VLOOKUP(DATE($K$1,$K$2,FVX$4),Table1[],(MATCH(Calendar!$A18,DB!$1:$1,0)),FALSE)),"")</f>
        <v/>
      </c>
      <c r="FVY18" s="28" t="str">
        <f>IFERROR(IF(FWH3="No",IF(VLOOKUP(DATE($K$1,$K$2,FVY$4),Table1[],(MATCH(Calendar!$A18,DB!$1:$1,0)),FALSE)&gt;=5,"Good","Bad"),VLOOKUP(DATE($K$1,$K$2,FVY$4),Table1[],(MATCH(Calendar!$A18,DB!$1:$1,0)),FALSE)),"")</f>
        <v/>
      </c>
      <c r="FVZ18" s="28" t="str">
        <f>IFERROR(IF(FWI3="No",IF(VLOOKUP(DATE($K$1,$K$2,FVZ$4),Table1[],(MATCH(Calendar!$A18,DB!$1:$1,0)),FALSE)&gt;=5,"Good","Bad"),VLOOKUP(DATE($K$1,$K$2,FVZ$4),Table1[],(MATCH(Calendar!$A18,DB!$1:$1,0)),FALSE)),"")</f>
        <v/>
      </c>
      <c r="FWA18" s="28" t="str">
        <f>IFERROR(IF(FWJ3="No",IF(VLOOKUP(DATE($K$1,$K$2,FWA$4),Table1[],(MATCH(Calendar!$A18,DB!$1:$1,0)),FALSE)&gt;=5,"Good","Bad"),VLOOKUP(DATE($K$1,$K$2,FWA$4),Table1[],(MATCH(Calendar!$A18,DB!$1:$1,0)),FALSE)),"")</f>
        <v/>
      </c>
      <c r="FWB18" s="28" t="str">
        <f>IFERROR(IF(FWK3="No",IF(VLOOKUP(DATE($K$1,$K$2,FWB$4),Table1[],(MATCH(Calendar!$A18,DB!$1:$1,0)),FALSE)&gt;=5,"Good","Bad"),VLOOKUP(DATE($K$1,$K$2,FWB$4),Table1[],(MATCH(Calendar!$A18,DB!$1:$1,0)),FALSE)),"")</f>
        <v/>
      </c>
      <c r="FWC18" s="28" t="str">
        <f>IFERROR(IF(FWL3="No",IF(VLOOKUP(DATE($K$1,$K$2,FWC$4),Table1[],(MATCH(Calendar!$A18,DB!$1:$1,0)),FALSE)&gt;=5,"Good","Bad"),VLOOKUP(DATE($K$1,$K$2,FWC$4),Table1[],(MATCH(Calendar!$A18,DB!$1:$1,0)),FALSE)),"")</f>
        <v/>
      </c>
      <c r="FWD18" s="28" t="str">
        <f>IFERROR(IF(FWM3="No",IF(VLOOKUP(DATE($K$1,$K$2,FWD$4),Table1[],(MATCH(Calendar!$A18,DB!$1:$1,0)),FALSE)&gt;=5,"Good","Bad"),VLOOKUP(DATE($K$1,$K$2,FWD$4),Table1[],(MATCH(Calendar!$A18,DB!$1:$1,0)),FALSE)),"")</f>
        <v/>
      </c>
      <c r="FWE18" s="28" t="str">
        <f>IFERROR(IF(FWN3="No",IF(VLOOKUP(DATE($K$1,$K$2,FWE$4),Table1[],(MATCH(Calendar!$A18,DB!$1:$1,0)),FALSE)&gt;=5,"Good","Bad"),VLOOKUP(DATE($K$1,$K$2,FWE$4),Table1[],(MATCH(Calendar!$A18,DB!$1:$1,0)),FALSE)),"")</f>
        <v/>
      </c>
      <c r="FWF18" s="28" t="str">
        <f>IFERROR(IF(FWO3="No",IF(VLOOKUP(DATE($K$1,$K$2,FWF$4),Table1[],(MATCH(Calendar!$A18,DB!$1:$1,0)),FALSE)&gt;=5,"Good","Bad"),VLOOKUP(DATE($K$1,$K$2,FWF$4),Table1[],(MATCH(Calendar!$A18,DB!$1:$1,0)),FALSE)),"")</f>
        <v/>
      </c>
      <c r="FWG18" s="28" t="str">
        <f>IFERROR(IF(FWP3="No",IF(VLOOKUP(DATE($K$1,$K$2,FWG$4),Table1[],(MATCH(Calendar!$A18,DB!$1:$1,0)),FALSE)&gt;=5,"Good","Bad"),VLOOKUP(DATE($K$1,$K$2,FWG$4),Table1[],(MATCH(Calendar!$A18,DB!$1:$1,0)),FALSE)),"")</f>
        <v/>
      </c>
      <c r="FWH18" s="28" t="str">
        <f>IFERROR(IF(FWQ3="No",IF(VLOOKUP(DATE($K$1,$K$2,FWH$4),Table1[],(MATCH(Calendar!$A18,DB!$1:$1,0)),FALSE)&gt;=5,"Good","Bad"),VLOOKUP(DATE($K$1,$K$2,FWH$4),Table1[],(MATCH(Calendar!$A18,DB!$1:$1,0)),FALSE)),"")</f>
        <v/>
      </c>
      <c r="FWI18" s="28" t="str">
        <f>IFERROR(IF(FWR3="No",IF(VLOOKUP(DATE($K$1,$K$2,FWI$4),Table1[],(MATCH(Calendar!$A18,DB!$1:$1,0)),FALSE)&gt;=5,"Good","Bad"),VLOOKUP(DATE($K$1,$K$2,FWI$4),Table1[],(MATCH(Calendar!$A18,DB!$1:$1,0)),FALSE)),"")</f>
        <v/>
      </c>
      <c r="FWJ18" s="28" t="str">
        <f>IFERROR(IF(FWS3="No",IF(VLOOKUP(DATE($K$1,$K$2,FWJ$4),Table1[],(MATCH(Calendar!$A18,DB!$1:$1,0)),FALSE)&gt;=5,"Good","Bad"),VLOOKUP(DATE($K$1,$K$2,FWJ$4),Table1[],(MATCH(Calendar!$A18,DB!$1:$1,0)),FALSE)),"")</f>
        <v/>
      </c>
      <c r="FWK18" s="28" t="str">
        <f>IFERROR(IF(FWT3="No",IF(VLOOKUP(DATE($K$1,$K$2,FWK$4),Table1[],(MATCH(Calendar!$A18,DB!$1:$1,0)),FALSE)&gt;=5,"Good","Bad"),VLOOKUP(DATE($K$1,$K$2,FWK$4),Table1[],(MATCH(Calendar!$A18,DB!$1:$1,0)),FALSE)),"")</f>
        <v/>
      </c>
      <c r="FWL18" s="28" t="str">
        <f>IFERROR(IF(FWU3="No",IF(VLOOKUP(DATE($K$1,$K$2,FWL$4),Table1[],(MATCH(Calendar!$A18,DB!$1:$1,0)),FALSE)&gt;=5,"Good","Bad"),VLOOKUP(DATE($K$1,$K$2,FWL$4),Table1[],(MATCH(Calendar!$A18,DB!$1:$1,0)),FALSE)),"")</f>
        <v/>
      </c>
      <c r="FWM18" s="28" t="str">
        <f>IFERROR(IF(FWV3="No",IF(VLOOKUP(DATE($K$1,$K$2,FWM$4),Table1[],(MATCH(Calendar!$A18,DB!$1:$1,0)),FALSE)&gt;=5,"Good","Bad"),VLOOKUP(DATE($K$1,$K$2,FWM$4),Table1[],(MATCH(Calendar!$A18,DB!$1:$1,0)),FALSE)),"")</f>
        <v/>
      </c>
      <c r="FWN18" s="28" t="str">
        <f>IFERROR(IF(FWW3="No",IF(VLOOKUP(DATE($K$1,$K$2,FWN$4),Table1[],(MATCH(Calendar!$A18,DB!$1:$1,0)),FALSE)&gt;=5,"Good","Bad"),VLOOKUP(DATE($K$1,$K$2,FWN$4),Table1[],(MATCH(Calendar!$A18,DB!$1:$1,0)),FALSE)),"")</f>
        <v/>
      </c>
      <c r="FWO18" s="28" t="str">
        <f>IFERROR(IF(FWX3="No",IF(VLOOKUP(DATE($K$1,$K$2,FWO$4),Table1[],(MATCH(Calendar!$A18,DB!$1:$1,0)),FALSE)&gt;=5,"Good","Bad"),VLOOKUP(DATE($K$1,$K$2,FWO$4),Table1[],(MATCH(Calendar!$A18,DB!$1:$1,0)),FALSE)),"")</f>
        <v/>
      </c>
      <c r="FWP18" s="28" t="str">
        <f>IFERROR(IF(FWY3="No",IF(VLOOKUP(DATE($K$1,$K$2,FWP$4),Table1[],(MATCH(Calendar!$A18,DB!$1:$1,0)),FALSE)&gt;=5,"Good","Bad"),VLOOKUP(DATE($K$1,$K$2,FWP$4),Table1[],(MATCH(Calendar!$A18,DB!$1:$1,0)),FALSE)),"")</f>
        <v/>
      </c>
      <c r="FWQ18" s="28" t="str">
        <f>IFERROR(IF(FWZ3="No",IF(VLOOKUP(DATE($K$1,$K$2,FWQ$4),Table1[],(MATCH(Calendar!$A18,DB!$1:$1,0)),FALSE)&gt;=5,"Good","Bad"),VLOOKUP(DATE($K$1,$K$2,FWQ$4),Table1[],(MATCH(Calendar!$A18,DB!$1:$1,0)),FALSE)),"")</f>
        <v/>
      </c>
      <c r="FWR18" s="28" t="str">
        <f>IFERROR(IF(FXA3="No",IF(VLOOKUP(DATE($K$1,$K$2,FWR$4),Table1[],(MATCH(Calendar!$A18,DB!$1:$1,0)),FALSE)&gt;=5,"Good","Bad"),VLOOKUP(DATE($K$1,$K$2,FWR$4),Table1[],(MATCH(Calendar!$A18,DB!$1:$1,0)),FALSE)),"")</f>
        <v/>
      </c>
      <c r="FWS18" s="28" t="str">
        <f>IFERROR(IF(FXB3="No",IF(VLOOKUP(DATE($K$1,$K$2,FWS$4),Table1[],(MATCH(Calendar!$A18,DB!$1:$1,0)),FALSE)&gt;=5,"Good","Bad"),VLOOKUP(DATE($K$1,$K$2,FWS$4),Table1[],(MATCH(Calendar!$A18,DB!$1:$1,0)),FALSE)),"")</f>
        <v/>
      </c>
      <c r="FWT18" s="28" t="str">
        <f>IFERROR(IF(FXC3="No",IF(VLOOKUP(DATE($K$1,$K$2,FWT$4),Table1[],(MATCH(Calendar!$A18,DB!$1:$1,0)),FALSE)&gt;=5,"Good","Bad"),VLOOKUP(DATE($K$1,$K$2,FWT$4),Table1[],(MATCH(Calendar!$A18,DB!$1:$1,0)),FALSE)),"")</f>
        <v/>
      </c>
      <c r="FWU18" s="28" t="str">
        <f>IFERROR(IF(FXD3="No",IF(VLOOKUP(DATE($K$1,$K$2,FWU$4),Table1[],(MATCH(Calendar!$A18,DB!$1:$1,0)),FALSE)&gt;=5,"Good","Bad"),VLOOKUP(DATE($K$1,$K$2,FWU$4),Table1[],(MATCH(Calendar!$A18,DB!$1:$1,0)),FALSE)),"")</f>
        <v/>
      </c>
      <c r="FWV18" s="28" t="str">
        <f>IFERROR(IF(FXE3="No",IF(VLOOKUP(DATE($K$1,$K$2,FWV$4),Table1[],(MATCH(Calendar!$A18,DB!$1:$1,0)),FALSE)&gt;=5,"Good","Bad"),VLOOKUP(DATE($K$1,$K$2,FWV$4),Table1[],(MATCH(Calendar!$A18,DB!$1:$1,0)),FALSE)),"")</f>
        <v/>
      </c>
      <c r="FWW18" s="28" t="str">
        <f>IFERROR(IF(FXF3="No",IF(VLOOKUP(DATE($K$1,$K$2,FWW$4),Table1[],(MATCH(Calendar!$A18,DB!$1:$1,0)),FALSE)&gt;=5,"Good","Bad"),VLOOKUP(DATE($K$1,$K$2,FWW$4),Table1[],(MATCH(Calendar!$A18,DB!$1:$1,0)),FALSE)),"")</f>
        <v/>
      </c>
      <c r="FWX18" s="28" t="str">
        <f>IFERROR(IF(FXG3="No",IF(VLOOKUP(DATE($K$1,$K$2,FWX$4),Table1[],(MATCH(Calendar!$A18,DB!$1:$1,0)),FALSE)&gt;=5,"Good","Bad"),VLOOKUP(DATE($K$1,$K$2,FWX$4),Table1[],(MATCH(Calendar!$A18,DB!$1:$1,0)),FALSE)),"")</f>
        <v/>
      </c>
      <c r="FWY18" s="28" t="str">
        <f>IFERROR(IF(FXH3="No",IF(VLOOKUP(DATE($K$1,$K$2,FWY$4),Table1[],(MATCH(Calendar!$A18,DB!$1:$1,0)),FALSE)&gt;=5,"Good","Bad"),VLOOKUP(DATE($K$1,$K$2,FWY$4),Table1[],(MATCH(Calendar!$A18,DB!$1:$1,0)),FALSE)),"")</f>
        <v/>
      </c>
      <c r="FWZ18" s="28" t="str">
        <f>IFERROR(IF(FXI3="No",IF(VLOOKUP(DATE($K$1,$K$2,FWZ$4),Table1[],(MATCH(Calendar!$A18,DB!$1:$1,0)),FALSE)&gt;=5,"Good","Bad"),VLOOKUP(DATE($K$1,$K$2,FWZ$4),Table1[],(MATCH(Calendar!$A18,DB!$1:$1,0)),FALSE)),"")</f>
        <v/>
      </c>
      <c r="FXA18" s="28" t="str">
        <f>IFERROR(IF(FXJ3="No",IF(VLOOKUP(DATE($K$1,$K$2,FXA$4),Table1[],(MATCH(Calendar!$A18,DB!$1:$1,0)),FALSE)&gt;=5,"Good","Bad"),VLOOKUP(DATE($K$1,$K$2,FXA$4),Table1[],(MATCH(Calendar!$A18,DB!$1:$1,0)),FALSE)),"")</f>
        <v/>
      </c>
      <c r="FXB18" s="28" t="str">
        <f>IFERROR(IF(FXK3="No",IF(VLOOKUP(DATE($K$1,$K$2,FXB$4),Table1[],(MATCH(Calendar!$A18,DB!$1:$1,0)),FALSE)&gt;=5,"Good","Bad"),VLOOKUP(DATE($K$1,$K$2,FXB$4),Table1[],(MATCH(Calendar!$A18,DB!$1:$1,0)),FALSE)),"")</f>
        <v/>
      </c>
      <c r="FXC18" s="28" t="str">
        <f>IFERROR(IF(FXL3="No",IF(VLOOKUP(DATE($K$1,$K$2,FXC$4),Table1[],(MATCH(Calendar!$A18,DB!$1:$1,0)),FALSE)&gt;=5,"Good","Bad"),VLOOKUP(DATE($K$1,$K$2,FXC$4),Table1[],(MATCH(Calendar!$A18,DB!$1:$1,0)),FALSE)),"")</f>
        <v/>
      </c>
      <c r="FXD18" s="28" t="str">
        <f>IFERROR(IF(FXM3="No",IF(VLOOKUP(DATE($K$1,$K$2,FXD$4),Table1[],(MATCH(Calendar!$A18,DB!$1:$1,0)),FALSE)&gt;=5,"Good","Bad"),VLOOKUP(DATE($K$1,$K$2,FXD$4),Table1[],(MATCH(Calendar!$A18,DB!$1:$1,0)),FALSE)),"")</f>
        <v/>
      </c>
      <c r="FXE18" s="28" t="str">
        <f>IFERROR(IF(FXN3="No",IF(VLOOKUP(DATE($K$1,$K$2,FXE$4),Table1[],(MATCH(Calendar!$A18,DB!$1:$1,0)),FALSE)&gt;=5,"Good","Bad"),VLOOKUP(DATE($K$1,$K$2,FXE$4),Table1[],(MATCH(Calendar!$A18,DB!$1:$1,0)),FALSE)),"")</f>
        <v/>
      </c>
      <c r="FXF18" s="28" t="str">
        <f>IFERROR(IF(FXO3="No",IF(VLOOKUP(DATE($K$1,$K$2,FXF$4),Table1[],(MATCH(Calendar!$A18,DB!$1:$1,0)),FALSE)&gt;=5,"Good","Bad"),VLOOKUP(DATE($K$1,$K$2,FXF$4),Table1[],(MATCH(Calendar!$A18,DB!$1:$1,0)),FALSE)),"")</f>
        <v/>
      </c>
      <c r="FXG18" s="28" t="str">
        <f>IFERROR(IF(FXP3="No",IF(VLOOKUP(DATE($K$1,$K$2,FXG$4),Table1[],(MATCH(Calendar!$A18,DB!$1:$1,0)),FALSE)&gt;=5,"Good","Bad"),VLOOKUP(DATE($K$1,$K$2,FXG$4),Table1[],(MATCH(Calendar!$A18,DB!$1:$1,0)),FALSE)),"")</f>
        <v/>
      </c>
      <c r="FXH18" s="28" t="str">
        <f>IFERROR(IF(FXQ3="No",IF(VLOOKUP(DATE($K$1,$K$2,FXH$4),Table1[],(MATCH(Calendar!$A18,DB!$1:$1,0)),FALSE)&gt;=5,"Good","Bad"),VLOOKUP(DATE($K$1,$K$2,FXH$4),Table1[],(MATCH(Calendar!$A18,DB!$1:$1,0)),FALSE)),"")</f>
        <v/>
      </c>
      <c r="FXI18" s="28" t="str">
        <f>IFERROR(IF(FXR3="No",IF(VLOOKUP(DATE($K$1,$K$2,FXI$4),Table1[],(MATCH(Calendar!$A18,DB!$1:$1,0)),FALSE)&gt;=5,"Good","Bad"),VLOOKUP(DATE($K$1,$K$2,FXI$4),Table1[],(MATCH(Calendar!$A18,DB!$1:$1,0)),FALSE)),"")</f>
        <v/>
      </c>
      <c r="FXJ18" s="28" t="str">
        <f>IFERROR(IF(FXS3="No",IF(VLOOKUP(DATE($K$1,$K$2,FXJ$4),Table1[],(MATCH(Calendar!$A18,DB!$1:$1,0)),FALSE)&gt;=5,"Good","Bad"),VLOOKUP(DATE($K$1,$K$2,FXJ$4),Table1[],(MATCH(Calendar!$A18,DB!$1:$1,0)),FALSE)),"")</f>
        <v/>
      </c>
      <c r="FXK18" s="28" t="str">
        <f>IFERROR(IF(FXT3="No",IF(VLOOKUP(DATE($K$1,$K$2,FXK$4),Table1[],(MATCH(Calendar!$A18,DB!$1:$1,0)),FALSE)&gt;=5,"Good","Bad"),VLOOKUP(DATE($K$1,$K$2,FXK$4),Table1[],(MATCH(Calendar!$A18,DB!$1:$1,0)),FALSE)),"")</f>
        <v/>
      </c>
      <c r="FXL18" s="28" t="str">
        <f>IFERROR(IF(FXU3="No",IF(VLOOKUP(DATE($K$1,$K$2,FXL$4),Table1[],(MATCH(Calendar!$A18,DB!$1:$1,0)),FALSE)&gt;=5,"Good","Bad"),VLOOKUP(DATE($K$1,$K$2,FXL$4),Table1[],(MATCH(Calendar!$A18,DB!$1:$1,0)),FALSE)),"")</f>
        <v/>
      </c>
      <c r="FXM18" s="28" t="str">
        <f>IFERROR(IF(FXV3="No",IF(VLOOKUP(DATE($K$1,$K$2,FXM$4),Table1[],(MATCH(Calendar!$A18,DB!$1:$1,0)),FALSE)&gt;=5,"Good","Bad"),VLOOKUP(DATE($K$1,$K$2,FXM$4),Table1[],(MATCH(Calendar!$A18,DB!$1:$1,0)),FALSE)),"")</f>
        <v/>
      </c>
      <c r="FXN18" s="28" t="str">
        <f>IFERROR(IF(FXW3="No",IF(VLOOKUP(DATE($K$1,$K$2,FXN$4),Table1[],(MATCH(Calendar!$A18,DB!$1:$1,0)),FALSE)&gt;=5,"Good","Bad"),VLOOKUP(DATE($K$1,$K$2,FXN$4),Table1[],(MATCH(Calendar!$A18,DB!$1:$1,0)),FALSE)),"")</f>
        <v/>
      </c>
      <c r="FXO18" s="28" t="str">
        <f>IFERROR(IF(FXX3="No",IF(VLOOKUP(DATE($K$1,$K$2,FXO$4),Table1[],(MATCH(Calendar!$A18,DB!$1:$1,0)),FALSE)&gt;=5,"Good","Bad"),VLOOKUP(DATE($K$1,$K$2,FXO$4),Table1[],(MATCH(Calendar!$A18,DB!$1:$1,0)),FALSE)),"")</f>
        <v/>
      </c>
      <c r="FXP18" s="28" t="str">
        <f>IFERROR(IF(FXY3="No",IF(VLOOKUP(DATE($K$1,$K$2,FXP$4),Table1[],(MATCH(Calendar!$A18,DB!$1:$1,0)),FALSE)&gt;=5,"Good","Bad"),VLOOKUP(DATE($K$1,$K$2,FXP$4),Table1[],(MATCH(Calendar!$A18,DB!$1:$1,0)),FALSE)),"")</f>
        <v/>
      </c>
      <c r="FXQ18" s="28" t="str">
        <f>IFERROR(IF(FXZ3="No",IF(VLOOKUP(DATE($K$1,$K$2,FXQ$4),Table1[],(MATCH(Calendar!$A18,DB!$1:$1,0)),FALSE)&gt;=5,"Good","Bad"),VLOOKUP(DATE($K$1,$K$2,FXQ$4),Table1[],(MATCH(Calendar!$A18,DB!$1:$1,0)),FALSE)),"")</f>
        <v/>
      </c>
      <c r="FXR18" s="28" t="str">
        <f>IFERROR(IF(FYA3="No",IF(VLOOKUP(DATE($K$1,$K$2,FXR$4),Table1[],(MATCH(Calendar!$A18,DB!$1:$1,0)),FALSE)&gt;=5,"Good","Bad"),VLOOKUP(DATE($K$1,$K$2,FXR$4),Table1[],(MATCH(Calendar!$A18,DB!$1:$1,0)),FALSE)),"")</f>
        <v/>
      </c>
      <c r="FXS18" s="28" t="str">
        <f>IFERROR(IF(FYB3="No",IF(VLOOKUP(DATE($K$1,$K$2,FXS$4),Table1[],(MATCH(Calendar!$A18,DB!$1:$1,0)),FALSE)&gt;=5,"Good","Bad"),VLOOKUP(DATE($K$1,$K$2,FXS$4),Table1[],(MATCH(Calendar!$A18,DB!$1:$1,0)),FALSE)),"")</f>
        <v/>
      </c>
      <c r="FXT18" s="28" t="str">
        <f>IFERROR(IF(FYC3="No",IF(VLOOKUP(DATE($K$1,$K$2,FXT$4),Table1[],(MATCH(Calendar!$A18,DB!$1:$1,0)),FALSE)&gt;=5,"Good","Bad"),VLOOKUP(DATE($K$1,$K$2,FXT$4),Table1[],(MATCH(Calendar!$A18,DB!$1:$1,0)),FALSE)),"")</f>
        <v/>
      </c>
      <c r="FXU18" s="28" t="str">
        <f>IFERROR(IF(FYD3="No",IF(VLOOKUP(DATE($K$1,$K$2,FXU$4),Table1[],(MATCH(Calendar!$A18,DB!$1:$1,0)),FALSE)&gt;=5,"Good","Bad"),VLOOKUP(DATE($K$1,$K$2,FXU$4),Table1[],(MATCH(Calendar!$A18,DB!$1:$1,0)),FALSE)),"")</f>
        <v/>
      </c>
      <c r="FXV18" s="28" t="str">
        <f>IFERROR(IF(FYE3="No",IF(VLOOKUP(DATE($K$1,$K$2,FXV$4),Table1[],(MATCH(Calendar!$A18,DB!$1:$1,0)),FALSE)&gt;=5,"Good","Bad"),VLOOKUP(DATE($K$1,$K$2,FXV$4),Table1[],(MATCH(Calendar!$A18,DB!$1:$1,0)),FALSE)),"")</f>
        <v/>
      </c>
      <c r="FXW18" s="28" t="str">
        <f>IFERROR(IF(FYF3="No",IF(VLOOKUP(DATE($K$1,$K$2,FXW$4),Table1[],(MATCH(Calendar!$A18,DB!$1:$1,0)),FALSE)&gt;=5,"Good","Bad"),VLOOKUP(DATE($K$1,$K$2,FXW$4),Table1[],(MATCH(Calendar!$A18,DB!$1:$1,0)),FALSE)),"")</f>
        <v/>
      </c>
      <c r="FXX18" s="28" t="str">
        <f>IFERROR(IF(FYG3="No",IF(VLOOKUP(DATE($K$1,$K$2,FXX$4),Table1[],(MATCH(Calendar!$A18,DB!$1:$1,0)),FALSE)&gt;=5,"Good","Bad"),VLOOKUP(DATE($K$1,$K$2,FXX$4),Table1[],(MATCH(Calendar!$A18,DB!$1:$1,0)),FALSE)),"")</f>
        <v/>
      </c>
      <c r="FXY18" s="28" t="str">
        <f>IFERROR(IF(FYH3="No",IF(VLOOKUP(DATE($K$1,$K$2,FXY$4),Table1[],(MATCH(Calendar!$A18,DB!$1:$1,0)),FALSE)&gt;=5,"Good","Bad"),VLOOKUP(DATE($K$1,$K$2,FXY$4),Table1[],(MATCH(Calendar!$A18,DB!$1:$1,0)),FALSE)),"")</f>
        <v/>
      </c>
      <c r="FXZ18" s="28" t="str">
        <f>IFERROR(IF(FYI3="No",IF(VLOOKUP(DATE($K$1,$K$2,FXZ$4),Table1[],(MATCH(Calendar!$A18,DB!$1:$1,0)),FALSE)&gt;=5,"Good","Bad"),VLOOKUP(DATE($K$1,$K$2,FXZ$4),Table1[],(MATCH(Calendar!$A18,DB!$1:$1,0)),FALSE)),"")</f>
        <v/>
      </c>
      <c r="FYA18" s="28" t="str">
        <f>IFERROR(IF(FYJ3="No",IF(VLOOKUP(DATE($K$1,$K$2,FYA$4),Table1[],(MATCH(Calendar!$A18,DB!$1:$1,0)),FALSE)&gt;=5,"Good","Bad"),VLOOKUP(DATE($K$1,$K$2,FYA$4),Table1[],(MATCH(Calendar!$A18,DB!$1:$1,0)),FALSE)),"")</f>
        <v/>
      </c>
      <c r="FYB18" s="28" t="str">
        <f>IFERROR(IF(FYK3="No",IF(VLOOKUP(DATE($K$1,$K$2,FYB$4),Table1[],(MATCH(Calendar!$A18,DB!$1:$1,0)),FALSE)&gt;=5,"Good","Bad"),VLOOKUP(DATE($K$1,$K$2,FYB$4),Table1[],(MATCH(Calendar!$A18,DB!$1:$1,0)),FALSE)),"")</f>
        <v/>
      </c>
      <c r="FYC18" s="28" t="str">
        <f>IFERROR(IF(FYL3="No",IF(VLOOKUP(DATE($K$1,$K$2,FYC$4),Table1[],(MATCH(Calendar!$A18,DB!$1:$1,0)),FALSE)&gt;=5,"Good","Bad"),VLOOKUP(DATE($K$1,$K$2,FYC$4),Table1[],(MATCH(Calendar!$A18,DB!$1:$1,0)),FALSE)),"")</f>
        <v/>
      </c>
      <c r="FYD18" s="28" t="str">
        <f>IFERROR(IF(FYM3="No",IF(VLOOKUP(DATE($K$1,$K$2,FYD$4),Table1[],(MATCH(Calendar!$A18,DB!$1:$1,0)),FALSE)&gt;=5,"Good","Bad"),VLOOKUP(DATE($K$1,$K$2,FYD$4),Table1[],(MATCH(Calendar!$A18,DB!$1:$1,0)),FALSE)),"")</f>
        <v/>
      </c>
      <c r="FYE18" s="28" t="str">
        <f>IFERROR(IF(FYN3="No",IF(VLOOKUP(DATE($K$1,$K$2,FYE$4),Table1[],(MATCH(Calendar!$A18,DB!$1:$1,0)),FALSE)&gt;=5,"Good","Bad"),VLOOKUP(DATE($K$1,$K$2,FYE$4),Table1[],(MATCH(Calendar!$A18,DB!$1:$1,0)),FALSE)),"")</f>
        <v/>
      </c>
      <c r="FYF18" s="28" t="str">
        <f>IFERROR(IF(FYO3="No",IF(VLOOKUP(DATE($K$1,$K$2,FYF$4),Table1[],(MATCH(Calendar!$A18,DB!$1:$1,0)),FALSE)&gt;=5,"Good","Bad"),VLOOKUP(DATE($K$1,$K$2,FYF$4),Table1[],(MATCH(Calendar!$A18,DB!$1:$1,0)),FALSE)),"")</f>
        <v/>
      </c>
      <c r="FYG18" s="28" t="str">
        <f>IFERROR(IF(FYP3="No",IF(VLOOKUP(DATE($K$1,$K$2,FYG$4),Table1[],(MATCH(Calendar!$A18,DB!$1:$1,0)),FALSE)&gt;=5,"Good","Bad"),VLOOKUP(DATE($K$1,$K$2,FYG$4),Table1[],(MATCH(Calendar!$A18,DB!$1:$1,0)),FALSE)),"")</f>
        <v/>
      </c>
      <c r="FYH18" s="28" t="str">
        <f>IFERROR(IF(FYQ3="No",IF(VLOOKUP(DATE($K$1,$K$2,FYH$4),Table1[],(MATCH(Calendar!$A18,DB!$1:$1,0)),FALSE)&gt;=5,"Good","Bad"),VLOOKUP(DATE($K$1,$K$2,FYH$4),Table1[],(MATCH(Calendar!$A18,DB!$1:$1,0)),FALSE)),"")</f>
        <v/>
      </c>
      <c r="FYI18" s="28" t="str">
        <f>IFERROR(IF(FYR3="No",IF(VLOOKUP(DATE($K$1,$K$2,FYI$4),Table1[],(MATCH(Calendar!$A18,DB!$1:$1,0)),FALSE)&gt;=5,"Good","Bad"),VLOOKUP(DATE($K$1,$K$2,FYI$4),Table1[],(MATCH(Calendar!$A18,DB!$1:$1,0)),FALSE)),"")</f>
        <v/>
      </c>
      <c r="FYJ18" s="28" t="str">
        <f>IFERROR(IF(FYS3="No",IF(VLOOKUP(DATE($K$1,$K$2,FYJ$4),Table1[],(MATCH(Calendar!$A18,DB!$1:$1,0)),FALSE)&gt;=5,"Good","Bad"),VLOOKUP(DATE($K$1,$K$2,FYJ$4),Table1[],(MATCH(Calendar!$A18,DB!$1:$1,0)),FALSE)),"")</f>
        <v/>
      </c>
      <c r="FYK18" s="28" t="str">
        <f>IFERROR(IF(FYT3="No",IF(VLOOKUP(DATE($K$1,$K$2,FYK$4),Table1[],(MATCH(Calendar!$A18,DB!$1:$1,0)),FALSE)&gt;=5,"Good","Bad"),VLOOKUP(DATE($K$1,$K$2,FYK$4),Table1[],(MATCH(Calendar!$A18,DB!$1:$1,0)),FALSE)),"")</f>
        <v/>
      </c>
      <c r="FYL18" s="28" t="str">
        <f>IFERROR(IF(FYU3="No",IF(VLOOKUP(DATE($K$1,$K$2,FYL$4),Table1[],(MATCH(Calendar!$A18,DB!$1:$1,0)),FALSE)&gt;=5,"Good","Bad"),VLOOKUP(DATE($K$1,$K$2,FYL$4),Table1[],(MATCH(Calendar!$A18,DB!$1:$1,0)),FALSE)),"")</f>
        <v/>
      </c>
      <c r="FYM18" s="28" t="str">
        <f>IFERROR(IF(FYV3="No",IF(VLOOKUP(DATE($K$1,$K$2,FYM$4),Table1[],(MATCH(Calendar!$A18,DB!$1:$1,0)),FALSE)&gt;=5,"Good","Bad"),VLOOKUP(DATE($K$1,$K$2,FYM$4),Table1[],(MATCH(Calendar!$A18,DB!$1:$1,0)),FALSE)),"")</f>
        <v/>
      </c>
      <c r="FYN18" s="28" t="str">
        <f>IFERROR(IF(FYW3="No",IF(VLOOKUP(DATE($K$1,$K$2,FYN$4),Table1[],(MATCH(Calendar!$A18,DB!$1:$1,0)),FALSE)&gt;=5,"Good","Bad"),VLOOKUP(DATE($K$1,$K$2,FYN$4),Table1[],(MATCH(Calendar!$A18,DB!$1:$1,0)),FALSE)),"")</f>
        <v/>
      </c>
      <c r="FYO18" s="28" t="str">
        <f>IFERROR(IF(FYX3="No",IF(VLOOKUP(DATE($K$1,$K$2,FYO$4),Table1[],(MATCH(Calendar!$A18,DB!$1:$1,0)),FALSE)&gt;=5,"Good","Bad"),VLOOKUP(DATE($K$1,$K$2,FYO$4),Table1[],(MATCH(Calendar!$A18,DB!$1:$1,0)),FALSE)),"")</f>
        <v/>
      </c>
      <c r="FYP18" s="28" t="str">
        <f>IFERROR(IF(FYY3="No",IF(VLOOKUP(DATE($K$1,$K$2,FYP$4),Table1[],(MATCH(Calendar!$A18,DB!$1:$1,0)),FALSE)&gt;=5,"Good","Bad"),VLOOKUP(DATE($K$1,$K$2,FYP$4),Table1[],(MATCH(Calendar!$A18,DB!$1:$1,0)),FALSE)),"")</f>
        <v/>
      </c>
      <c r="FYQ18" s="28" t="str">
        <f>IFERROR(IF(FYZ3="No",IF(VLOOKUP(DATE($K$1,$K$2,FYQ$4),Table1[],(MATCH(Calendar!$A18,DB!$1:$1,0)),FALSE)&gt;=5,"Good","Bad"),VLOOKUP(DATE($K$1,$K$2,FYQ$4),Table1[],(MATCH(Calendar!$A18,DB!$1:$1,0)),FALSE)),"")</f>
        <v/>
      </c>
      <c r="FYR18" s="28" t="str">
        <f>IFERROR(IF(FZA3="No",IF(VLOOKUP(DATE($K$1,$K$2,FYR$4),Table1[],(MATCH(Calendar!$A18,DB!$1:$1,0)),FALSE)&gt;=5,"Good","Bad"),VLOOKUP(DATE($K$1,$K$2,FYR$4),Table1[],(MATCH(Calendar!$A18,DB!$1:$1,0)),FALSE)),"")</f>
        <v/>
      </c>
      <c r="FYS18" s="28" t="str">
        <f>IFERROR(IF(FZB3="No",IF(VLOOKUP(DATE($K$1,$K$2,FYS$4),Table1[],(MATCH(Calendar!$A18,DB!$1:$1,0)),FALSE)&gt;=5,"Good","Bad"),VLOOKUP(DATE($K$1,$K$2,FYS$4),Table1[],(MATCH(Calendar!$A18,DB!$1:$1,0)),FALSE)),"")</f>
        <v/>
      </c>
      <c r="FYT18" s="28" t="str">
        <f>IFERROR(IF(FZC3="No",IF(VLOOKUP(DATE($K$1,$K$2,FYT$4),Table1[],(MATCH(Calendar!$A18,DB!$1:$1,0)),FALSE)&gt;=5,"Good","Bad"),VLOOKUP(DATE($K$1,$K$2,FYT$4),Table1[],(MATCH(Calendar!$A18,DB!$1:$1,0)),FALSE)),"")</f>
        <v/>
      </c>
      <c r="FYU18" s="28" t="str">
        <f>IFERROR(IF(FZD3="No",IF(VLOOKUP(DATE($K$1,$K$2,FYU$4),Table1[],(MATCH(Calendar!$A18,DB!$1:$1,0)),FALSE)&gt;=5,"Good","Bad"),VLOOKUP(DATE($K$1,$K$2,FYU$4),Table1[],(MATCH(Calendar!$A18,DB!$1:$1,0)),FALSE)),"")</f>
        <v/>
      </c>
      <c r="FYV18" s="28" t="str">
        <f>IFERROR(IF(FZE3="No",IF(VLOOKUP(DATE($K$1,$K$2,FYV$4),Table1[],(MATCH(Calendar!$A18,DB!$1:$1,0)),FALSE)&gt;=5,"Good","Bad"),VLOOKUP(DATE($K$1,$K$2,FYV$4),Table1[],(MATCH(Calendar!$A18,DB!$1:$1,0)),FALSE)),"")</f>
        <v/>
      </c>
      <c r="FYW18" s="28" t="str">
        <f>IFERROR(IF(FZF3="No",IF(VLOOKUP(DATE($K$1,$K$2,FYW$4),Table1[],(MATCH(Calendar!$A18,DB!$1:$1,0)),FALSE)&gt;=5,"Good","Bad"),VLOOKUP(DATE($K$1,$K$2,FYW$4),Table1[],(MATCH(Calendar!$A18,DB!$1:$1,0)),FALSE)),"")</f>
        <v/>
      </c>
      <c r="FYX18" s="28" t="str">
        <f>IFERROR(IF(FZG3="No",IF(VLOOKUP(DATE($K$1,$K$2,FYX$4),Table1[],(MATCH(Calendar!$A18,DB!$1:$1,0)),FALSE)&gt;=5,"Good","Bad"),VLOOKUP(DATE($K$1,$K$2,FYX$4),Table1[],(MATCH(Calendar!$A18,DB!$1:$1,0)),FALSE)),"")</f>
        <v/>
      </c>
      <c r="FYY18" s="28" t="str">
        <f>IFERROR(IF(FZH3="No",IF(VLOOKUP(DATE($K$1,$K$2,FYY$4),Table1[],(MATCH(Calendar!$A18,DB!$1:$1,0)),FALSE)&gt;=5,"Good","Bad"),VLOOKUP(DATE($K$1,$K$2,FYY$4),Table1[],(MATCH(Calendar!$A18,DB!$1:$1,0)),FALSE)),"")</f>
        <v/>
      </c>
      <c r="FYZ18" s="28" t="str">
        <f>IFERROR(IF(FZI3="No",IF(VLOOKUP(DATE($K$1,$K$2,FYZ$4),Table1[],(MATCH(Calendar!$A18,DB!$1:$1,0)),FALSE)&gt;=5,"Good","Bad"),VLOOKUP(DATE($K$1,$K$2,FYZ$4),Table1[],(MATCH(Calendar!$A18,DB!$1:$1,0)),FALSE)),"")</f>
        <v/>
      </c>
      <c r="FZA18" s="28" t="str">
        <f>IFERROR(IF(FZJ3="No",IF(VLOOKUP(DATE($K$1,$K$2,FZA$4),Table1[],(MATCH(Calendar!$A18,DB!$1:$1,0)),FALSE)&gt;=5,"Good","Bad"),VLOOKUP(DATE($K$1,$K$2,FZA$4),Table1[],(MATCH(Calendar!$A18,DB!$1:$1,0)),FALSE)),"")</f>
        <v/>
      </c>
      <c r="FZB18" s="28" t="str">
        <f>IFERROR(IF(FZK3="No",IF(VLOOKUP(DATE($K$1,$K$2,FZB$4),Table1[],(MATCH(Calendar!$A18,DB!$1:$1,0)),FALSE)&gt;=5,"Good","Bad"),VLOOKUP(DATE($K$1,$K$2,FZB$4),Table1[],(MATCH(Calendar!$A18,DB!$1:$1,0)),FALSE)),"")</f>
        <v/>
      </c>
      <c r="FZC18" s="28" t="str">
        <f>IFERROR(IF(FZL3="No",IF(VLOOKUP(DATE($K$1,$K$2,FZC$4),Table1[],(MATCH(Calendar!$A18,DB!$1:$1,0)),FALSE)&gt;=5,"Good","Bad"),VLOOKUP(DATE($K$1,$K$2,FZC$4),Table1[],(MATCH(Calendar!$A18,DB!$1:$1,0)),FALSE)),"")</f>
        <v/>
      </c>
      <c r="FZD18" s="28" t="str">
        <f>IFERROR(IF(FZM3="No",IF(VLOOKUP(DATE($K$1,$K$2,FZD$4),Table1[],(MATCH(Calendar!$A18,DB!$1:$1,0)),FALSE)&gt;=5,"Good","Bad"),VLOOKUP(DATE($K$1,$K$2,FZD$4),Table1[],(MATCH(Calendar!$A18,DB!$1:$1,0)),FALSE)),"")</f>
        <v/>
      </c>
      <c r="FZE18" s="28" t="str">
        <f>IFERROR(IF(FZN3="No",IF(VLOOKUP(DATE($K$1,$K$2,FZE$4),Table1[],(MATCH(Calendar!$A18,DB!$1:$1,0)),FALSE)&gt;=5,"Good","Bad"),VLOOKUP(DATE($K$1,$K$2,FZE$4),Table1[],(MATCH(Calendar!$A18,DB!$1:$1,0)),FALSE)),"")</f>
        <v/>
      </c>
      <c r="FZF18" s="28" t="str">
        <f>IFERROR(IF(FZO3="No",IF(VLOOKUP(DATE($K$1,$K$2,FZF$4),Table1[],(MATCH(Calendar!$A18,DB!$1:$1,0)),FALSE)&gt;=5,"Good","Bad"),VLOOKUP(DATE($K$1,$K$2,FZF$4),Table1[],(MATCH(Calendar!$A18,DB!$1:$1,0)),FALSE)),"")</f>
        <v/>
      </c>
      <c r="FZG18" s="28" t="str">
        <f>IFERROR(IF(FZP3="No",IF(VLOOKUP(DATE($K$1,$K$2,FZG$4),Table1[],(MATCH(Calendar!$A18,DB!$1:$1,0)),FALSE)&gt;=5,"Good","Bad"),VLOOKUP(DATE($K$1,$K$2,FZG$4),Table1[],(MATCH(Calendar!$A18,DB!$1:$1,0)),FALSE)),"")</f>
        <v/>
      </c>
      <c r="FZH18" s="28" t="str">
        <f>IFERROR(IF(FZQ3="No",IF(VLOOKUP(DATE($K$1,$K$2,FZH$4),Table1[],(MATCH(Calendar!$A18,DB!$1:$1,0)),FALSE)&gt;=5,"Good","Bad"),VLOOKUP(DATE($K$1,$K$2,FZH$4),Table1[],(MATCH(Calendar!$A18,DB!$1:$1,0)),FALSE)),"")</f>
        <v/>
      </c>
      <c r="FZI18" s="28" t="str">
        <f>IFERROR(IF(FZR3="No",IF(VLOOKUP(DATE($K$1,$K$2,FZI$4),Table1[],(MATCH(Calendar!$A18,DB!$1:$1,0)),FALSE)&gt;=5,"Good","Bad"),VLOOKUP(DATE($K$1,$K$2,FZI$4),Table1[],(MATCH(Calendar!$A18,DB!$1:$1,0)),FALSE)),"")</f>
        <v/>
      </c>
      <c r="FZJ18" s="28" t="str">
        <f>IFERROR(IF(FZS3="No",IF(VLOOKUP(DATE($K$1,$K$2,FZJ$4),Table1[],(MATCH(Calendar!$A18,DB!$1:$1,0)),FALSE)&gt;=5,"Good","Bad"),VLOOKUP(DATE($K$1,$K$2,FZJ$4),Table1[],(MATCH(Calendar!$A18,DB!$1:$1,0)),FALSE)),"")</f>
        <v/>
      </c>
      <c r="FZK18" s="28" t="str">
        <f>IFERROR(IF(FZT3="No",IF(VLOOKUP(DATE($K$1,$K$2,FZK$4),Table1[],(MATCH(Calendar!$A18,DB!$1:$1,0)),FALSE)&gt;=5,"Good","Bad"),VLOOKUP(DATE($K$1,$K$2,FZK$4),Table1[],(MATCH(Calendar!$A18,DB!$1:$1,0)),FALSE)),"")</f>
        <v/>
      </c>
      <c r="FZL18" s="28" t="str">
        <f>IFERROR(IF(FZU3="No",IF(VLOOKUP(DATE($K$1,$K$2,FZL$4),Table1[],(MATCH(Calendar!$A18,DB!$1:$1,0)),FALSE)&gt;=5,"Good","Bad"),VLOOKUP(DATE($K$1,$K$2,FZL$4),Table1[],(MATCH(Calendar!$A18,DB!$1:$1,0)),FALSE)),"")</f>
        <v/>
      </c>
      <c r="FZM18" s="28" t="str">
        <f>IFERROR(IF(FZV3="No",IF(VLOOKUP(DATE($K$1,$K$2,FZM$4),Table1[],(MATCH(Calendar!$A18,DB!$1:$1,0)),FALSE)&gt;=5,"Good","Bad"),VLOOKUP(DATE($K$1,$K$2,FZM$4),Table1[],(MATCH(Calendar!$A18,DB!$1:$1,0)),FALSE)),"")</f>
        <v/>
      </c>
      <c r="FZN18" s="28" t="str">
        <f>IFERROR(IF(FZW3="No",IF(VLOOKUP(DATE($K$1,$K$2,FZN$4),Table1[],(MATCH(Calendar!$A18,DB!$1:$1,0)),FALSE)&gt;=5,"Good","Bad"),VLOOKUP(DATE($K$1,$K$2,FZN$4),Table1[],(MATCH(Calendar!$A18,DB!$1:$1,0)),FALSE)),"")</f>
        <v/>
      </c>
      <c r="FZO18" s="28" t="str">
        <f>IFERROR(IF(FZX3="No",IF(VLOOKUP(DATE($K$1,$K$2,FZO$4),Table1[],(MATCH(Calendar!$A18,DB!$1:$1,0)),FALSE)&gt;=5,"Good","Bad"),VLOOKUP(DATE($K$1,$K$2,FZO$4),Table1[],(MATCH(Calendar!$A18,DB!$1:$1,0)),FALSE)),"")</f>
        <v/>
      </c>
      <c r="FZP18" s="28" t="str">
        <f>IFERROR(IF(FZY3="No",IF(VLOOKUP(DATE($K$1,$K$2,FZP$4),Table1[],(MATCH(Calendar!$A18,DB!$1:$1,0)),FALSE)&gt;=5,"Good","Bad"),VLOOKUP(DATE($K$1,$K$2,FZP$4),Table1[],(MATCH(Calendar!$A18,DB!$1:$1,0)),FALSE)),"")</f>
        <v/>
      </c>
      <c r="FZQ18" s="28" t="str">
        <f>IFERROR(IF(FZZ3="No",IF(VLOOKUP(DATE($K$1,$K$2,FZQ$4),Table1[],(MATCH(Calendar!$A18,DB!$1:$1,0)),FALSE)&gt;=5,"Good","Bad"),VLOOKUP(DATE($K$1,$K$2,FZQ$4),Table1[],(MATCH(Calendar!$A18,DB!$1:$1,0)),FALSE)),"")</f>
        <v/>
      </c>
      <c r="FZR18" s="28" t="str">
        <f>IFERROR(IF(GAA3="No",IF(VLOOKUP(DATE($K$1,$K$2,FZR$4),Table1[],(MATCH(Calendar!$A18,DB!$1:$1,0)),FALSE)&gt;=5,"Good","Bad"),VLOOKUP(DATE($K$1,$K$2,FZR$4),Table1[],(MATCH(Calendar!$A18,DB!$1:$1,0)),FALSE)),"")</f>
        <v/>
      </c>
      <c r="FZS18" s="28" t="str">
        <f>IFERROR(IF(GAB3="No",IF(VLOOKUP(DATE($K$1,$K$2,FZS$4),Table1[],(MATCH(Calendar!$A18,DB!$1:$1,0)),FALSE)&gt;=5,"Good","Bad"),VLOOKUP(DATE($K$1,$K$2,FZS$4),Table1[],(MATCH(Calendar!$A18,DB!$1:$1,0)),FALSE)),"")</f>
        <v/>
      </c>
      <c r="FZT18" s="28" t="str">
        <f>IFERROR(IF(GAC3="No",IF(VLOOKUP(DATE($K$1,$K$2,FZT$4),Table1[],(MATCH(Calendar!$A18,DB!$1:$1,0)),FALSE)&gt;=5,"Good","Bad"),VLOOKUP(DATE($K$1,$K$2,FZT$4),Table1[],(MATCH(Calendar!$A18,DB!$1:$1,0)),FALSE)),"")</f>
        <v/>
      </c>
      <c r="FZU18" s="28" t="str">
        <f>IFERROR(IF(GAD3="No",IF(VLOOKUP(DATE($K$1,$K$2,FZU$4),Table1[],(MATCH(Calendar!$A18,DB!$1:$1,0)),FALSE)&gt;=5,"Good","Bad"),VLOOKUP(DATE($K$1,$K$2,FZU$4),Table1[],(MATCH(Calendar!$A18,DB!$1:$1,0)),FALSE)),"")</f>
        <v/>
      </c>
      <c r="FZV18" s="28" t="str">
        <f>IFERROR(IF(GAE3="No",IF(VLOOKUP(DATE($K$1,$K$2,FZV$4),Table1[],(MATCH(Calendar!$A18,DB!$1:$1,0)),FALSE)&gt;=5,"Good","Bad"),VLOOKUP(DATE($K$1,$K$2,FZV$4),Table1[],(MATCH(Calendar!$A18,DB!$1:$1,0)),FALSE)),"")</f>
        <v/>
      </c>
      <c r="FZW18" s="28" t="str">
        <f>IFERROR(IF(GAF3="No",IF(VLOOKUP(DATE($K$1,$K$2,FZW$4),Table1[],(MATCH(Calendar!$A18,DB!$1:$1,0)),FALSE)&gt;=5,"Good","Bad"),VLOOKUP(DATE($K$1,$K$2,FZW$4),Table1[],(MATCH(Calendar!$A18,DB!$1:$1,0)),FALSE)),"")</f>
        <v/>
      </c>
      <c r="FZX18" s="28" t="str">
        <f>IFERROR(IF(GAG3="No",IF(VLOOKUP(DATE($K$1,$K$2,FZX$4),Table1[],(MATCH(Calendar!$A18,DB!$1:$1,0)),FALSE)&gt;=5,"Good","Bad"),VLOOKUP(DATE($K$1,$K$2,FZX$4),Table1[],(MATCH(Calendar!$A18,DB!$1:$1,0)),FALSE)),"")</f>
        <v/>
      </c>
      <c r="FZY18" s="28" t="str">
        <f>IFERROR(IF(GAH3="No",IF(VLOOKUP(DATE($K$1,$K$2,FZY$4),Table1[],(MATCH(Calendar!$A18,DB!$1:$1,0)),FALSE)&gt;=5,"Good","Bad"),VLOOKUP(DATE($K$1,$K$2,FZY$4),Table1[],(MATCH(Calendar!$A18,DB!$1:$1,0)),FALSE)),"")</f>
        <v/>
      </c>
      <c r="FZZ18" s="28" t="str">
        <f>IFERROR(IF(GAI3="No",IF(VLOOKUP(DATE($K$1,$K$2,FZZ$4),Table1[],(MATCH(Calendar!$A18,DB!$1:$1,0)),FALSE)&gt;=5,"Good","Bad"),VLOOKUP(DATE($K$1,$K$2,FZZ$4),Table1[],(MATCH(Calendar!$A18,DB!$1:$1,0)),FALSE)),"")</f>
        <v/>
      </c>
      <c r="GAA18" s="28" t="str">
        <f>IFERROR(IF(GAJ3="No",IF(VLOOKUP(DATE($K$1,$K$2,GAA$4),Table1[],(MATCH(Calendar!$A18,DB!$1:$1,0)),FALSE)&gt;=5,"Good","Bad"),VLOOKUP(DATE($K$1,$K$2,GAA$4),Table1[],(MATCH(Calendar!$A18,DB!$1:$1,0)),FALSE)),"")</f>
        <v/>
      </c>
      <c r="GAB18" s="28" t="str">
        <f>IFERROR(IF(GAK3="No",IF(VLOOKUP(DATE($K$1,$K$2,GAB$4),Table1[],(MATCH(Calendar!$A18,DB!$1:$1,0)),FALSE)&gt;=5,"Good","Bad"),VLOOKUP(DATE($K$1,$K$2,GAB$4),Table1[],(MATCH(Calendar!$A18,DB!$1:$1,0)),FALSE)),"")</f>
        <v/>
      </c>
      <c r="GAC18" s="28" t="str">
        <f>IFERROR(IF(GAL3="No",IF(VLOOKUP(DATE($K$1,$K$2,GAC$4),Table1[],(MATCH(Calendar!$A18,DB!$1:$1,0)),FALSE)&gt;=5,"Good","Bad"),VLOOKUP(DATE($K$1,$K$2,GAC$4),Table1[],(MATCH(Calendar!$A18,DB!$1:$1,0)),FALSE)),"")</f>
        <v/>
      </c>
      <c r="GAD18" s="28" t="str">
        <f>IFERROR(IF(GAM3="No",IF(VLOOKUP(DATE($K$1,$K$2,GAD$4),Table1[],(MATCH(Calendar!$A18,DB!$1:$1,0)),FALSE)&gt;=5,"Good","Bad"),VLOOKUP(DATE($K$1,$K$2,GAD$4),Table1[],(MATCH(Calendar!$A18,DB!$1:$1,0)),FALSE)),"")</f>
        <v/>
      </c>
      <c r="GAE18" s="28" t="str">
        <f>IFERROR(IF(GAN3="No",IF(VLOOKUP(DATE($K$1,$K$2,GAE$4),Table1[],(MATCH(Calendar!$A18,DB!$1:$1,0)),FALSE)&gt;=5,"Good","Bad"),VLOOKUP(DATE($K$1,$K$2,GAE$4),Table1[],(MATCH(Calendar!$A18,DB!$1:$1,0)),FALSE)),"")</f>
        <v/>
      </c>
      <c r="GAF18" s="28" t="str">
        <f>IFERROR(IF(GAO3="No",IF(VLOOKUP(DATE($K$1,$K$2,GAF$4),Table1[],(MATCH(Calendar!$A18,DB!$1:$1,0)),FALSE)&gt;=5,"Good","Bad"),VLOOKUP(DATE($K$1,$K$2,GAF$4),Table1[],(MATCH(Calendar!$A18,DB!$1:$1,0)),FALSE)),"")</f>
        <v/>
      </c>
      <c r="GAG18" s="28" t="str">
        <f>IFERROR(IF(GAP3="No",IF(VLOOKUP(DATE($K$1,$K$2,GAG$4),Table1[],(MATCH(Calendar!$A18,DB!$1:$1,0)),FALSE)&gt;=5,"Good","Bad"),VLOOKUP(DATE($K$1,$K$2,GAG$4),Table1[],(MATCH(Calendar!$A18,DB!$1:$1,0)),FALSE)),"")</f>
        <v/>
      </c>
      <c r="GAH18" s="28" t="str">
        <f>IFERROR(IF(GAQ3="No",IF(VLOOKUP(DATE($K$1,$K$2,GAH$4),Table1[],(MATCH(Calendar!$A18,DB!$1:$1,0)),FALSE)&gt;=5,"Good","Bad"),VLOOKUP(DATE($K$1,$K$2,GAH$4),Table1[],(MATCH(Calendar!$A18,DB!$1:$1,0)),FALSE)),"")</f>
        <v/>
      </c>
      <c r="GAI18" s="28" t="str">
        <f>IFERROR(IF(GAR3="No",IF(VLOOKUP(DATE($K$1,$K$2,GAI$4),Table1[],(MATCH(Calendar!$A18,DB!$1:$1,0)),FALSE)&gt;=5,"Good","Bad"),VLOOKUP(DATE($K$1,$K$2,GAI$4),Table1[],(MATCH(Calendar!$A18,DB!$1:$1,0)),FALSE)),"")</f>
        <v/>
      </c>
      <c r="GAJ18" s="28" t="str">
        <f>IFERROR(IF(GAS3="No",IF(VLOOKUP(DATE($K$1,$K$2,GAJ$4),Table1[],(MATCH(Calendar!$A18,DB!$1:$1,0)),FALSE)&gt;=5,"Good","Bad"),VLOOKUP(DATE($K$1,$K$2,GAJ$4),Table1[],(MATCH(Calendar!$A18,DB!$1:$1,0)),FALSE)),"")</f>
        <v/>
      </c>
      <c r="GAK18" s="28" t="str">
        <f>IFERROR(IF(GAT3="No",IF(VLOOKUP(DATE($K$1,$K$2,GAK$4),Table1[],(MATCH(Calendar!$A18,DB!$1:$1,0)),FALSE)&gt;=5,"Good","Bad"),VLOOKUP(DATE($K$1,$K$2,GAK$4),Table1[],(MATCH(Calendar!$A18,DB!$1:$1,0)),FALSE)),"")</f>
        <v/>
      </c>
      <c r="GAL18" s="28" t="str">
        <f>IFERROR(IF(GAU3="No",IF(VLOOKUP(DATE($K$1,$K$2,GAL$4),Table1[],(MATCH(Calendar!$A18,DB!$1:$1,0)),FALSE)&gt;=5,"Good","Bad"),VLOOKUP(DATE($K$1,$K$2,GAL$4),Table1[],(MATCH(Calendar!$A18,DB!$1:$1,0)),FALSE)),"")</f>
        <v/>
      </c>
      <c r="GAM18" s="28" t="str">
        <f>IFERROR(IF(GAV3="No",IF(VLOOKUP(DATE($K$1,$K$2,GAM$4),Table1[],(MATCH(Calendar!$A18,DB!$1:$1,0)),FALSE)&gt;=5,"Good","Bad"),VLOOKUP(DATE($K$1,$K$2,GAM$4),Table1[],(MATCH(Calendar!$A18,DB!$1:$1,0)),FALSE)),"")</f>
        <v/>
      </c>
      <c r="GAN18" s="28" t="str">
        <f>IFERROR(IF(GAW3="No",IF(VLOOKUP(DATE($K$1,$K$2,GAN$4),Table1[],(MATCH(Calendar!$A18,DB!$1:$1,0)),FALSE)&gt;=5,"Good","Bad"),VLOOKUP(DATE($K$1,$K$2,GAN$4),Table1[],(MATCH(Calendar!$A18,DB!$1:$1,0)),FALSE)),"")</f>
        <v/>
      </c>
      <c r="GAO18" s="28" t="str">
        <f>IFERROR(IF(GAX3="No",IF(VLOOKUP(DATE($K$1,$K$2,GAO$4),Table1[],(MATCH(Calendar!$A18,DB!$1:$1,0)),FALSE)&gt;=5,"Good","Bad"),VLOOKUP(DATE($K$1,$K$2,GAO$4),Table1[],(MATCH(Calendar!$A18,DB!$1:$1,0)),FALSE)),"")</f>
        <v/>
      </c>
      <c r="GAP18" s="28" t="str">
        <f>IFERROR(IF(GAY3="No",IF(VLOOKUP(DATE($K$1,$K$2,GAP$4),Table1[],(MATCH(Calendar!$A18,DB!$1:$1,0)),FALSE)&gt;=5,"Good","Bad"),VLOOKUP(DATE($K$1,$K$2,GAP$4),Table1[],(MATCH(Calendar!$A18,DB!$1:$1,0)),FALSE)),"")</f>
        <v/>
      </c>
      <c r="GAQ18" s="28" t="str">
        <f>IFERROR(IF(GAZ3="No",IF(VLOOKUP(DATE($K$1,$K$2,GAQ$4),Table1[],(MATCH(Calendar!$A18,DB!$1:$1,0)),FALSE)&gt;=5,"Good","Bad"),VLOOKUP(DATE($K$1,$K$2,GAQ$4),Table1[],(MATCH(Calendar!$A18,DB!$1:$1,0)),FALSE)),"")</f>
        <v/>
      </c>
      <c r="GAR18" s="28" t="str">
        <f>IFERROR(IF(GBA3="No",IF(VLOOKUP(DATE($K$1,$K$2,GAR$4),Table1[],(MATCH(Calendar!$A18,DB!$1:$1,0)),FALSE)&gt;=5,"Good","Bad"),VLOOKUP(DATE($K$1,$K$2,GAR$4),Table1[],(MATCH(Calendar!$A18,DB!$1:$1,0)),FALSE)),"")</f>
        <v/>
      </c>
      <c r="GAS18" s="28" t="str">
        <f>IFERROR(IF(GBB3="No",IF(VLOOKUP(DATE($K$1,$K$2,GAS$4),Table1[],(MATCH(Calendar!$A18,DB!$1:$1,0)),FALSE)&gt;=5,"Good","Bad"),VLOOKUP(DATE($K$1,$K$2,GAS$4),Table1[],(MATCH(Calendar!$A18,DB!$1:$1,0)),FALSE)),"")</f>
        <v/>
      </c>
      <c r="GAT18" s="28" t="str">
        <f>IFERROR(IF(GBC3="No",IF(VLOOKUP(DATE($K$1,$K$2,GAT$4),Table1[],(MATCH(Calendar!$A18,DB!$1:$1,0)),FALSE)&gt;=5,"Good","Bad"),VLOOKUP(DATE($K$1,$K$2,GAT$4),Table1[],(MATCH(Calendar!$A18,DB!$1:$1,0)),FALSE)),"")</f>
        <v/>
      </c>
      <c r="GAU18" s="28" t="str">
        <f>IFERROR(IF(GBD3="No",IF(VLOOKUP(DATE($K$1,$K$2,GAU$4),Table1[],(MATCH(Calendar!$A18,DB!$1:$1,0)),FALSE)&gt;=5,"Good","Bad"),VLOOKUP(DATE($K$1,$K$2,GAU$4),Table1[],(MATCH(Calendar!$A18,DB!$1:$1,0)),FALSE)),"")</f>
        <v/>
      </c>
      <c r="GAV18" s="28" t="str">
        <f>IFERROR(IF(GBE3="No",IF(VLOOKUP(DATE($K$1,$K$2,GAV$4),Table1[],(MATCH(Calendar!$A18,DB!$1:$1,0)),FALSE)&gt;=5,"Good","Bad"),VLOOKUP(DATE($K$1,$K$2,GAV$4),Table1[],(MATCH(Calendar!$A18,DB!$1:$1,0)),FALSE)),"")</f>
        <v/>
      </c>
      <c r="GAW18" s="28" t="str">
        <f>IFERROR(IF(GBF3="No",IF(VLOOKUP(DATE($K$1,$K$2,GAW$4),Table1[],(MATCH(Calendar!$A18,DB!$1:$1,0)),FALSE)&gt;=5,"Good","Bad"),VLOOKUP(DATE($K$1,$K$2,GAW$4),Table1[],(MATCH(Calendar!$A18,DB!$1:$1,0)),FALSE)),"")</f>
        <v/>
      </c>
      <c r="GAX18" s="28" t="str">
        <f>IFERROR(IF(GBG3="No",IF(VLOOKUP(DATE($K$1,$K$2,GAX$4),Table1[],(MATCH(Calendar!$A18,DB!$1:$1,0)),FALSE)&gt;=5,"Good","Bad"),VLOOKUP(DATE($K$1,$K$2,GAX$4),Table1[],(MATCH(Calendar!$A18,DB!$1:$1,0)),FALSE)),"")</f>
        <v/>
      </c>
      <c r="GAY18" s="28" t="str">
        <f>IFERROR(IF(GBH3="No",IF(VLOOKUP(DATE($K$1,$K$2,GAY$4),Table1[],(MATCH(Calendar!$A18,DB!$1:$1,0)),FALSE)&gt;=5,"Good","Bad"),VLOOKUP(DATE($K$1,$K$2,GAY$4),Table1[],(MATCH(Calendar!$A18,DB!$1:$1,0)),FALSE)),"")</f>
        <v/>
      </c>
      <c r="GAZ18" s="28" t="str">
        <f>IFERROR(IF(GBI3="No",IF(VLOOKUP(DATE($K$1,$K$2,GAZ$4),Table1[],(MATCH(Calendar!$A18,DB!$1:$1,0)),FALSE)&gt;=5,"Good","Bad"),VLOOKUP(DATE($K$1,$K$2,GAZ$4),Table1[],(MATCH(Calendar!$A18,DB!$1:$1,0)),FALSE)),"")</f>
        <v/>
      </c>
      <c r="GBA18" s="28" t="str">
        <f>IFERROR(IF(GBJ3="No",IF(VLOOKUP(DATE($K$1,$K$2,GBA$4),Table1[],(MATCH(Calendar!$A18,DB!$1:$1,0)),FALSE)&gt;=5,"Good","Bad"),VLOOKUP(DATE($K$1,$K$2,GBA$4),Table1[],(MATCH(Calendar!$A18,DB!$1:$1,0)),FALSE)),"")</f>
        <v/>
      </c>
      <c r="GBB18" s="28" t="str">
        <f>IFERROR(IF(GBK3="No",IF(VLOOKUP(DATE($K$1,$K$2,GBB$4),Table1[],(MATCH(Calendar!$A18,DB!$1:$1,0)),FALSE)&gt;=5,"Good","Bad"),VLOOKUP(DATE($K$1,$K$2,GBB$4),Table1[],(MATCH(Calendar!$A18,DB!$1:$1,0)),FALSE)),"")</f>
        <v/>
      </c>
      <c r="GBC18" s="28" t="str">
        <f>IFERROR(IF(GBL3="No",IF(VLOOKUP(DATE($K$1,$K$2,GBC$4),Table1[],(MATCH(Calendar!$A18,DB!$1:$1,0)),FALSE)&gt;=5,"Good","Bad"),VLOOKUP(DATE($K$1,$K$2,GBC$4),Table1[],(MATCH(Calendar!$A18,DB!$1:$1,0)),FALSE)),"")</f>
        <v/>
      </c>
      <c r="GBD18" s="28" t="str">
        <f>IFERROR(IF(GBM3="No",IF(VLOOKUP(DATE($K$1,$K$2,GBD$4),Table1[],(MATCH(Calendar!$A18,DB!$1:$1,0)),FALSE)&gt;=5,"Good","Bad"),VLOOKUP(DATE($K$1,$K$2,GBD$4),Table1[],(MATCH(Calendar!$A18,DB!$1:$1,0)),FALSE)),"")</f>
        <v/>
      </c>
      <c r="GBE18" s="28" t="str">
        <f>IFERROR(IF(GBN3="No",IF(VLOOKUP(DATE($K$1,$K$2,GBE$4),Table1[],(MATCH(Calendar!$A18,DB!$1:$1,0)),FALSE)&gt;=5,"Good","Bad"),VLOOKUP(DATE($K$1,$K$2,GBE$4),Table1[],(MATCH(Calendar!$A18,DB!$1:$1,0)),FALSE)),"")</f>
        <v/>
      </c>
      <c r="GBF18" s="28" t="str">
        <f>IFERROR(IF(GBO3="No",IF(VLOOKUP(DATE($K$1,$K$2,GBF$4),Table1[],(MATCH(Calendar!$A18,DB!$1:$1,0)),FALSE)&gt;=5,"Good","Bad"),VLOOKUP(DATE($K$1,$K$2,GBF$4),Table1[],(MATCH(Calendar!$A18,DB!$1:$1,0)),FALSE)),"")</f>
        <v/>
      </c>
      <c r="GBG18" s="28" t="str">
        <f>IFERROR(IF(GBP3="No",IF(VLOOKUP(DATE($K$1,$K$2,GBG$4),Table1[],(MATCH(Calendar!$A18,DB!$1:$1,0)),FALSE)&gt;=5,"Good","Bad"),VLOOKUP(DATE($K$1,$K$2,GBG$4),Table1[],(MATCH(Calendar!$A18,DB!$1:$1,0)),FALSE)),"")</f>
        <v/>
      </c>
      <c r="GBH18" s="28" t="str">
        <f>IFERROR(IF(GBQ3="No",IF(VLOOKUP(DATE($K$1,$K$2,GBH$4),Table1[],(MATCH(Calendar!$A18,DB!$1:$1,0)),FALSE)&gt;=5,"Good","Bad"),VLOOKUP(DATE($K$1,$K$2,GBH$4),Table1[],(MATCH(Calendar!$A18,DB!$1:$1,0)),FALSE)),"")</f>
        <v/>
      </c>
      <c r="GBI18" s="28" t="str">
        <f>IFERROR(IF(GBR3="No",IF(VLOOKUP(DATE($K$1,$K$2,GBI$4),Table1[],(MATCH(Calendar!$A18,DB!$1:$1,0)),FALSE)&gt;=5,"Good","Bad"),VLOOKUP(DATE($K$1,$K$2,GBI$4),Table1[],(MATCH(Calendar!$A18,DB!$1:$1,0)),FALSE)),"")</f>
        <v/>
      </c>
      <c r="GBJ18" s="28" t="str">
        <f>IFERROR(IF(GBS3="No",IF(VLOOKUP(DATE($K$1,$K$2,GBJ$4),Table1[],(MATCH(Calendar!$A18,DB!$1:$1,0)),FALSE)&gt;=5,"Good","Bad"),VLOOKUP(DATE($K$1,$K$2,GBJ$4),Table1[],(MATCH(Calendar!$A18,DB!$1:$1,0)),FALSE)),"")</f>
        <v/>
      </c>
      <c r="GBK18" s="28" t="str">
        <f>IFERROR(IF(GBT3="No",IF(VLOOKUP(DATE($K$1,$K$2,GBK$4),Table1[],(MATCH(Calendar!$A18,DB!$1:$1,0)),FALSE)&gt;=5,"Good","Bad"),VLOOKUP(DATE($K$1,$K$2,GBK$4),Table1[],(MATCH(Calendar!$A18,DB!$1:$1,0)),FALSE)),"")</f>
        <v/>
      </c>
      <c r="GBL18" s="28" t="str">
        <f>IFERROR(IF(GBU3="No",IF(VLOOKUP(DATE($K$1,$K$2,GBL$4),Table1[],(MATCH(Calendar!$A18,DB!$1:$1,0)),FALSE)&gt;=5,"Good","Bad"),VLOOKUP(DATE($K$1,$K$2,GBL$4),Table1[],(MATCH(Calendar!$A18,DB!$1:$1,0)),FALSE)),"")</f>
        <v/>
      </c>
      <c r="GBM18" s="28" t="str">
        <f>IFERROR(IF(GBV3="No",IF(VLOOKUP(DATE($K$1,$K$2,GBM$4),Table1[],(MATCH(Calendar!$A18,DB!$1:$1,0)),FALSE)&gt;=5,"Good","Bad"),VLOOKUP(DATE($K$1,$K$2,GBM$4),Table1[],(MATCH(Calendar!$A18,DB!$1:$1,0)),FALSE)),"")</f>
        <v/>
      </c>
      <c r="GBN18" s="28" t="str">
        <f>IFERROR(IF(GBW3="No",IF(VLOOKUP(DATE($K$1,$K$2,GBN$4),Table1[],(MATCH(Calendar!$A18,DB!$1:$1,0)),FALSE)&gt;=5,"Good","Bad"),VLOOKUP(DATE($K$1,$K$2,GBN$4),Table1[],(MATCH(Calendar!$A18,DB!$1:$1,0)),FALSE)),"")</f>
        <v/>
      </c>
      <c r="GBO18" s="28" t="str">
        <f>IFERROR(IF(GBX3="No",IF(VLOOKUP(DATE($K$1,$K$2,GBO$4),Table1[],(MATCH(Calendar!$A18,DB!$1:$1,0)),FALSE)&gt;=5,"Good","Bad"),VLOOKUP(DATE($K$1,$K$2,GBO$4),Table1[],(MATCH(Calendar!$A18,DB!$1:$1,0)),FALSE)),"")</f>
        <v/>
      </c>
      <c r="GBP18" s="28" t="str">
        <f>IFERROR(IF(GBY3="No",IF(VLOOKUP(DATE($K$1,$K$2,GBP$4),Table1[],(MATCH(Calendar!$A18,DB!$1:$1,0)),FALSE)&gt;=5,"Good","Bad"),VLOOKUP(DATE($K$1,$K$2,GBP$4),Table1[],(MATCH(Calendar!$A18,DB!$1:$1,0)),FALSE)),"")</f>
        <v/>
      </c>
      <c r="GBQ18" s="28" t="str">
        <f>IFERROR(IF(GBZ3="No",IF(VLOOKUP(DATE($K$1,$K$2,GBQ$4),Table1[],(MATCH(Calendar!$A18,DB!$1:$1,0)),FALSE)&gt;=5,"Good","Bad"),VLOOKUP(DATE($K$1,$K$2,GBQ$4),Table1[],(MATCH(Calendar!$A18,DB!$1:$1,0)),FALSE)),"")</f>
        <v/>
      </c>
      <c r="GBR18" s="28" t="str">
        <f>IFERROR(IF(GCA3="No",IF(VLOOKUP(DATE($K$1,$K$2,GBR$4),Table1[],(MATCH(Calendar!$A18,DB!$1:$1,0)),FALSE)&gt;=5,"Good","Bad"),VLOOKUP(DATE($K$1,$K$2,GBR$4),Table1[],(MATCH(Calendar!$A18,DB!$1:$1,0)),FALSE)),"")</f>
        <v/>
      </c>
      <c r="GBS18" s="28" t="str">
        <f>IFERROR(IF(GCB3="No",IF(VLOOKUP(DATE($K$1,$K$2,GBS$4),Table1[],(MATCH(Calendar!$A18,DB!$1:$1,0)),FALSE)&gt;=5,"Good","Bad"),VLOOKUP(DATE($K$1,$K$2,GBS$4),Table1[],(MATCH(Calendar!$A18,DB!$1:$1,0)),FALSE)),"")</f>
        <v/>
      </c>
      <c r="GBT18" s="28" t="str">
        <f>IFERROR(IF(GCC3="No",IF(VLOOKUP(DATE($K$1,$K$2,GBT$4),Table1[],(MATCH(Calendar!$A18,DB!$1:$1,0)),FALSE)&gt;=5,"Good","Bad"),VLOOKUP(DATE($K$1,$K$2,GBT$4),Table1[],(MATCH(Calendar!$A18,DB!$1:$1,0)),FALSE)),"")</f>
        <v/>
      </c>
      <c r="GBU18" s="28" t="str">
        <f>IFERROR(IF(GCD3="No",IF(VLOOKUP(DATE($K$1,$K$2,GBU$4),Table1[],(MATCH(Calendar!$A18,DB!$1:$1,0)),FALSE)&gt;=5,"Good","Bad"),VLOOKUP(DATE($K$1,$K$2,GBU$4),Table1[],(MATCH(Calendar!$A18,DB!$1:$1,0)),FALSE)),"")</f>
        <v/>
      </c>
      <c r="GBV18" s="28" t="str">
        <f>IFERROR(IF(GCE3="No",IF(VLOOKUP(DATE($K$1,$K$2,GBV$4),Table1[],(MATCH(Calendar!$A18,DB!$1:$1,0)),FALSE)&gt;=5,"Good","Bad"),VLOOKUP(DATE($K$1,$K$2,GBV$4),Table1[],(MATCH(Calendar!$A18,DB!$1:$1,0)),FALSE)),"")</f>
        <v/>
      </c>
      <c r="GBW18" s="28" t="str">
        <f>IFERROR(IF(GCF3="No",IF(VLOOKUP(DATE($K$1,$K$2,GBW$4),Table1[],(MATCH(Calendar!$A18,DB!$1:$1,0)),FALSE)&gt;=5,"Good","Bad"),VLOOKUP(DATE($K$1,$K$2,GBW$4),Table1[],(MATCH(Calendar!$A18,DB!$1:$1,0)),FALSE)),"")</f>
        <v/>
      </c>
      <c r="GBX18" s="28" t="str">
        <f>IFERROR(IF(GCG3="No",IF(VLOOKUP(DATE($K$1,$K$2,GBX$4),Table1[],(MATCH(Calendar!$A18,DB!$1:$1,0)),FALSE)&gt;=5,"Good","Bad"),VLOOKUP(DATE($K$1,$K$2,GBX$4),Table1[],(MATCH(Calendar!$A18,DB!$1:$1,0)),FALSE)),"")</f>
        <v/>
      </c>
      <c r="GBY18" s="28" t="str">
        <f>IFERROR(IF(GCH3="No",IF(VLOOKUP(DATE($K$1,$K$2,GBY$4),Table1[],(MATCH(Calendar!$A18,DB!$1:$1,0)),FALSE)&gt;=5,"Good","Bad"),VLOOKUP(DATE($K$1,$K$2,GBY$4),Table1[],(MATCH(Calendar!$A18,DB!$1:$1,0)),FALSE)),"")</f>
        <v/>
      </c>
      <c r="GBZ18" s="28" t="str">
        <f>IFERROR(IF(GCI3="No",IF(VLOOKUP(DATE($K$1,$K$2,GBZ$4),Table1[],(MATCH(Calendar!$A18,DB!$1:$1,0)),FALSE)&gt;=5,"Good","Bad"),VLOOKUP(DATE($K$1,$K$2,GBZ$4),Table1[],(MATCH(Calendar!$A18,DB!$1:$1,0)),FALSE)),"")</f>
        <v/>
      </c>
      <c r="GCA18" s="28" t="str">
        <f>IFERROR(IF(GCJ3="No",IF(VLOOKUP(DATE($K$1,$K$2,GCA$4),Table1[],(MATCH(Calendar!$A18,DB!$1:$1,0)),FALSE)&gt;=5,"Good","Bad"),VLOOKUP(DATE($K$1,$K$2,GCA$4),Table1[],(MATCH(Calendar!$A18,DB!$1:$1,0)),FALSE)),"")</f>
        <v/>
      </c>
      <c r="GCB18" s="28" t="str">
        <f>IFERROR(IF(GCK3="No",IF(VLOOKUP(DATE($K$1,$K$2,GCB$4),Table1[],(MATCH(Calendar!$A18,DB!$1:$1,0)),FALSE)&gt;=5,"Good","Bad"),VLOOKUP(DATE($K$1,$K$2,GCB$4),Table1[],(MATCH(Calendar!$A18,DB!$1:$1,0)),FALSE)),"")</f>
        <v/>
      </c>
      <c r="GCC18" s="28" t="str">
        <f>IFERROR(IF(GCL3="No",IF(VLOOKUP(DATE($K$1,$K$2,GCC$4),Table1[],(MATCH(Calendar!$A18,DB!$1:$1,0)),FALSE)&gt;=5,"Good","Bad"),VLOOKUP(DATE($K$1,$K$2,GCC$4),Table1[],(MATCH(Calendar!$A18,DB!$1:$1,0)),FALSE)),"")</f>
        <v/>
      </c>
      <c r="GCD18" s="28" t="str">
        <f>IFERROR(IF(GCM3="No",IF(VLOOKUP(DATE($K$1,$K$2,GCD$4),Table1[],(MATCH(Calendar!$A18,DB!$1:$1,0)),FALSE)&gt;=5,"Good","Bad"),VLOOKUP(DATE($K$1,$K$2,GCD$4),Table1[],(MATCH(Calendar!$A18,DB!$1:$1,0)),FALSE)),"")</f>
        <v/>
      </c>
      <c r="GCE18" s="28" t="str">
        <f>IFERROR(IF(GCN3="No",IF(VLOOKUP(DATE($K$1,$K$2,GCE$4),Table1[],(MATCH(Calendar!$A18,DB!$1:$1,0)),FALSE)&gt;=5,"Good","Bad"),VLOOKUP(DATE($K$1,$K$2,GCE$4),Table1[],(MATCH(Calendar!$A18,DB!$1:$1,0)),FALSE)),"")</f>
        <v/>
      </c>
      <c r="GCF18" s="28" t="str">
        <f>IFERROR(IF(GCO3="No",IF(VLOOKUP(DATE($K$1,$K$2,GCF$4),Table1[],(MATCH(Calendar!$A18,DB!$1:$1,0)),FALSE)&gt;=5,"Good","Bad"),VLOOKUP(DATE($K$1,$K$2,GCF$4),Table1[],(MATCH(Calendar!$A18,DB!$1:$1,0)),FALSE)),"")</f>
        <v/>
      </c>
      <c r="GCG18" s="28" t="str">
        <f>IFERROR(IF(GCP3="No",IF(VLOOKUP(DATE($K$1,$K$2,GCG$4),Table1[],(MATCH(Calendar!$A18,DB!$1:$1,0)),FALSE)&gt;=5,"Good","Bad"),VLOOKUP(DATE($K$1,$K$2,GCG$4),Table1[],(MATCH(Calendar!$A18,DB!$1:$1,0)),FALSE)),"")</f>
        <v/>
      </c>
      <c r="GCH18" s="28" t="str">
        <f>IFERROR(IF(GCQ3="No",IF(VLOOKUP(DATE($K$1,$K$2,GCH$4),Table1[],(MATCH(Calendar!$A18,DB!$1:$1,0)),FALSE)&gt;=5,"Good","Bad"),VLOOKUP(DATE($K$1,$K$2,GCH$4),Table1[],(MATCH(Calendar!$A18,DB!$1:$1,0)),FALSE)),"")</f>
        <v/>
      </c>
      <c r="GCI18" s="28" t="str">
        <f>IFERROR(IF(GCR3="No",IF(VLOOKUP(DATE($K$1,$K$2,GCI$4),Table1[],(MATCH(Calendar!$A18,DB!$1:$1,0)),FALSE)&gt;=5,"Good","Bad"),VLOOKUP(DATE($K$1,$K$2,GCI$4),Table1[],(MATCH(Calendar!$A18,DB!$1:$1,0)),FALSE)),"")</f>
        <v/>
      </c>
      <c r="GCJ18" s="28" t="str">
        <f>IFERROR(IF(GCS3="No",IF(VLOOKUP(DATE($K$1,$K$2,GCJ$4),Table1[],(MATCH(Calendar!$A18,DB!$1:$1,0)),FALSE)&gt;=5,"Good","Bad"),VLOOKUP(DATE($K$1,$K$2,GCJ$4),Table1[],(MATCH(Calendar!$A18,DB!$1:$1,0)),FALSE)),"")</f>
        <v/>
      </c>
      <c r="GCK18" s="28" t="str">
        <f>IFERROR(IF(GCT3="No",IF(VLOOKUP(DATE($K$1,$K$2,GCK$4),Table1[],(MATCH(Calendar!$A18,DB!$1:$1,0)),FALSE)&gt;=5,"Good","Bad"),VLOOKUP(DATE($K$1,$K$2,GCK$4),Table1[],(MATCH(Calendar!$A18,DB!$1:$1,0)),FALSE)),"")</f>
        <v/>
      </c>
      <c r="GCL18" s="28" t="str">
        <f>IFERROR(IF(GCU3="No",IF(VLOOKUP(DATE($K$1,$K$2,GCL$4),Table1[],(MATCH(Calendar!$A18,DB!$1:$1,0)),FALSE)&gt;=5,"Good","Bad"),VLOOKUP(DATE($K$1,$K$2,GCL$4),Table1[],(MATCH(Calendar!$A18,DB!$1:$1,0)),FALSE)),"")</f>
        <v/>
      </c>
      <c r="GCM18" s="28" t="str">
        <f>IFERROR(IF(GCV3="No",IF(VLOOKUP(DATE($K$1,$K$2,GCM$4),Table1[],(MATCH(Calendar!$A18,DB!$1:$1,0)),FALSE)&gt;=5,"Good","Bad"),VLOOKUP(DATE($K$1,$K$2,GCM$4),Table1[],(MATCH(Calendar!$A18,DB!$1:$1,0)),FALSE)),"")</f>
        <v/>
      </c>
      <c r="GCN18" s="28" t="str">
        <f>IFERROR(IF(GCW3="No",IF(VLOOKUP(DATE($K$1,$K$2,GCN$4),Table1[],(MATCH(Calendar!$A18,DB!$1:$1,0)),FALSE)&gt;=5,"Good","Bad"),VLOOKUP(DATE($K$1,$K$2,GCN$4),Table1[],(MATCH(Calendar!$A18,DB!$1:$1,0)),FALSE)),"")</f>
        <v/>
      </c>
      <c r="GCO18" s="28" t="str">
        <f>IFERROR(IF(GCX3="No",IF(VLOOKUP(DATE($K$1,$K$2,GCO$4),Table1[],(MATCH(Calendar!$A18,DB!$1:$1,0)),FALSE)&gt;=5,"Good","Bad"),VLOOKUP(DATE($K$1,$K$2,GCO$4),Table1[],(MATCH(Calendar!$A18,DB!$1:$1,0)),FALSE)),"")</f>
        <v/>
      </c>
      <c r="GCP18" s="28" t="str">
        <f>IFERROR(IF(GCY3="No",IF(VLOOKUP(DATE($K$1,$K$2,GCP$4),Table1[],(MATCH(Calendar!$A18,DB!$1:$1,0)),FALSE)&gt;=5,"Good","Bad"),VLOOKUP(DATE($K$1,$K$2,GCP$4),Table1[],(MATCH(Calendar!$A18,DB!$1:$1,0)),FALSE)),"")</f>
        <v/>
      </c>
      <c r="GCQ18" s="28" t="str">
        <f>IFERROR(IF(GCZ3="No",IF(VLOOKUP(DATE($K$1,$K$2,GCQ$4),Table1[],(MATCH(Calendar!$A18,DB!$1:$1,0)),FALSE)&gt;=5,"Good","Bad"),VLOOKUP(DATE($K$1,$K$2,GCQ$4),Table1[],(MATCH(Calendar!$A18,DB!$1:$1,0)),FALSE)),"")</f>
        <v/>
      </c>
      <c r="GCR18" s="28" t="str">
        <f>IFERROR(IF(GDA3="No",IF(VLOOKUP(DATE($K$1,$K$2,GCR$4),Table1[],(MATCH(Calendar!$A18,DB!$1:$1,0)),FALSE)&gt;=5,"Good","Bad"),VLOOKUP(DATE($K$1,$K$2,GCR$4),Table1[],(MATCH(Calendar!$A18,DB!$1:$1,0)),FALSE)),"")</f>
        <v/>
      </c>
      <c r="GCS18" s="28" t="str">
        <f>IFERROR(IF(GDB3="No",IF(VLOOKUP(DATE($K$1,$K$2,GCS$4),Table1[],(MATCH(Calendar!$A18,DB!$1:$1,0)),FALSE)&gt;=5,"Good","Bad"),VLOOKUP(DATE($K$1,$K$2,GCS$4),Table1[],(MATCH(Calendar!$A18,DB!$1:$1,0)),FALSE)),"")</f>
        <v/>
      </c>
      <c r="GCT18" s="28" t="str">
        <f>IFERROR(IF(GDC3="No",IF(VLOOKUP(DATE($K$1,$K$2,GCT$4),Table1[],(MATCH(Calendar!$A18,DB!$1:$1,0)),FALSE)&gt;=5,"Good","Bad"),VLOOKUP(DATE($K$1,$K$2,GCT$4),Table1[],(MATCH(Calendar!$A18,DB!$1:$1,0)),FALSE)),"")</f>
        <v/>
      </c>
      <c r="GCU18" s="28" t="str">
        <f>IFERROR(IF(GDD3="No",IF(VLOOKUP(DATE($K$1,$K$2,GCU$4),Table1[],(MATCH(Calendar!$A18,DB!$1:$1,0)),FALSE)&gt;=5,"Good","Bad"),VLOOKUP(DATE($K$1,$K$2,GCU$4),Table1[],(MATCH(Calendar!$A18,DB!$1:$1,0)),FALSE)),"")</f>
        <v/>
      </c>
      <c r="GCV18" s="28" t="str">
        <f>IFERROR(IF(GDE3="No",IF(VLOOKUP(DATE($K$1,$K$2,GCV$4),Table1[],(MATCH(Calendar!$A18,DB!$1:$1,0)),FALSE)&gt;=5,"Good","Bad"),VLOOKUP(DATE($K$1,$K$2,GCV$4),Table1[],(MATCH(Calendar!$A18,DB!$1:$1,0)),FALSE)),"")</f>
        <v/>
      </c>
      <c r="GCW18" s="28" t="str">
        <f>IFERROR(IF(GDF3="No",IF(VLOOKUP(DATE($K$1,$K$2,GCW$4),Table1[],(MATCH(Calendar!$A18,DB!$1:$1,0)),FALSE)&gt;=5,"Good","Bad"),VLOOKUP(DATE($K$1,$K$2,GCW$4),Table1[],(MATCH(Calendar!$A18,DB!$1:$1,0)),FALSE)),"")</f>
        <v/>
      </c>
      <c r="GCX18" s="28" t="str">
        <f>IFERROR(IF(GDG3="No",IF(VLOOKUP(DATE($K$1,$K$2,GCX$4),Table1[],(MATCH(Calendar!$A18,DB!$1:$1,0)),FALSE)&gt;=5,"Good","Bad"),VLOOKUP(DATE($K$1,$K$2,GCX$4),Table1[],(MATCH(Calendar!$A18,DB!$1:$1,0)),FALSE)),"")</f>
        <v/>
      </c>
      <c r="GCY18" s="28" t="str">
        <f>IFERROR(IF(GDH3="No",IF(VLOOKUP(DATE($K$1,$K$2,GCY$4),Table1[],(MATCH(Calendar!$A18,DB!$1:$1,0)),FALSE)&gt;=5,"Good","Bad"),VLOOKUP(DATE($K$1,$K$2,GCY$4),Table1[],(MATCH(Calendar!$A18,DB!$1:$1,0)),FALSE)),"")</f>
        <v/>
      </c>
      <c r="GCZ18" s="28" t="str">
        <f>IFERROR(IF(GDI3="No",IF(VLOOKUP(DATE($K$1,$K$2,GCZ$4),Table1[],(MATCH(Calendar!$A18,DB!$1:$1,0)),FALSE)&gt;=5,"Good","Bad"),VLOOKUP(DATE($K$1,$K$2,GCZ$4),Table1[],(MATCH(Calendar!$A18,DB!$1:$1,0)),FALSE)),"")</f>
        <v/>
      </c>
      <c r="GDA18" s="28" t="str">
        <f>IFERROR(IF(GDJ3="No",IF(VLOOKUP(DATE($K$1,$K$2,GDA$4),Table1[],(MATCH(Calendar!$A18,DB!$1:$1,0)),FALSE)&gt;=5,"Good","Bad"),VLOOKUP(DATE($K$1,$K$2,GDA$4),Table1[],(MATCH(Calendar!$A18,DB!$1:$1,0)),FALSE)),"")</f>
        <v/>
      </c>
      <c r="GDB18" s="28" t="str">
        <f>IFERROR(IF(GDK3="No",IF(VLOOKUP(DATE($K$1,$K$2,GDB$4),Table1[],(MATCH(Calendar!$A18,DB!$1:$1,0)),FALSE)&gt;=5,"Good","Bad"),VLOOKUP(DATE($K$1,$K$2,GDB$4),Table1[],(MATCH(Calendar!$A18,DB!$1:$1,0)),FALSE)),"")</f>
        <v/>
      </c>
      <c r="GDC18" s="28" t="str">
        <f>IFERROR(IF(GDL3="No",IF(VLOOKUP(DATE($K$1,$K$2,GDC$4),Table1[],(MATCH(Calendar!$A18,DB!$1:$1,0)),FALSE)&gt;=5,"Good","Bad"),VLOOKUP(DATE($K$1,$K$2,GDC$4),Table1[],(MATCH(Calendar!$A18,DB!$1:$1,0)),FALSE)),"")</f>
        <v/>
      </c>
      <c r="GDD18" s="28" t="str">
        <f>IFERROR(IF(GDM3="No",IF(VLOOKUP(DATE($K$1,$K$2,GDD$4),Table1[],(MATCH(Calendar!$A18,DB!$1:$1,0)),FALSE)&gt;=5,"Good","Bad"),VLOOKUP(DATE($K$1,$K$2,GDD$4),Table1[],(MATCH(Calendar!$A18,DB!$1:$1,0)),FALSE)),"")</f>
        <v/>
      </c>
      <c r="GDE18" s="28" t="str">
        <f>IFERROR(IF(GDN3="No",IF(VLOOKUP(DATE($K$1,$K$2,GDE$4),Table1[],(MATCH(Calendar!$A18,DB!$1:$1,0)),FALSE)&gt;=5,"Good","Bad"),VLOOKUP(DATE($K$1,$K$2,GDE$4),Table1[],(MATCH(Calendar!$A18,DB!$1:$1,0)),FALSE)),"")</f>
        <v/>
      </c>
      <c r="GDF18" s="28" t="str">
        <f>IFERROR(IF(GDO3="No",IF(VLOOKUP(DATE($K$1,$K$2,GDF$4),Table1[],(MATCH(Calendar!$A18,DB!$1:$1,0)),FALSE)&gt;=5,"Good","Bad"),VLOOKUP(DATE($K$1,$K$2,GDF$4),Table1[],(MATCH(Calendar!$A18,DB!$1:$1,0)),FALSE)),"")</f>
        <v/>
      </c>
      <c r="GDG18" s="28" t="str">
        <f>IFERROR(IF(GDP3="No",IF(VLOOKUP(DATE($K$1,$K$2,GDG$4),Table1[],(MATCH(Calendar!$A18,DB!$1:$1,0)),FALSE)&gt;=5,"Good","Bad"),VLOOKUP(DATE($K$1,$K$2,GDG$4),Table1[],(MATCH(Calendar!$A18,DB!$1:$1,0)),FALSE)),"")</f>
        <v/>
      </c>
      <c r="GDH18" s="28" t="str">
        <f>IFERROR(IF(GDQ3="No",IF(VLOOKUP(DATE($K$1,$K$2,GDH$4),Table1[],(MATCH(Calendar!$A18,DB!$1:$1,0)),FALSE)&gt;=5,"Good","Bad"),VLOOKUP(DATE($K$1,$K$2,GDH$4),Table1[],(MATCH(Calendar!$A18,DB!$1:$1,0)),FALSE)),"")</f>
        <v/>
      </c>
      <c r="GDI18" s="28" t="str">
        <f>IFERROR(IF(GDR3="No",IF(VLOOKUP(DATE($K$1,$K$2,GDI$4),Table1[],(MATCH(Calendar!$A18,DB!$1:$1,0)),FALSE)&gt;=5,"Good","Bad"),VLOOKUP(DATE($K$1,$K$2,GDI$4),Table1[],(MATCH(Calendar!$A18,DB!$1:$1,0)),FALSE)),"")</f>
        <v/>
      </c>
      <c r="GDJ18" s="28" t="str">
        <f>IFERROR(IF(GDS3="No",IF(VLOOKUP(DATE($K$1,$K$2,GDJ$4),Table1[],(MATCH(Calendar!$A18,DB!$1:$1,0)),FALSE)&gt;=5,"Good","Bad"),VLOOKUP(DATE($K$1,$K$2,GDJ$4),Table1[],(MATCH(Calendar!$A18,DB!$1:$1,0)),FALSE)),"")</f>
        <v/>
      </c>
      <c r="GDK18" s="28" t="str">
        <f>IFERROR(IF(GDT3="No",IF(VLOOKUP(DATE($K$1,$K$2,GDK$4),Table1[],(MATCH(Calendar!$A18,DB!$1:$1,0)),FALSE)&gt;=5,"Good","Bad"),VLOOKUP(DATE($K$1,$K$2,GDK$4),Table1[],(MATCH(Calendar!$A18,DB!$1:$1,0)),FALSE)),"")</f>
        <v/>
      </c>
      <c r="GDL18" s="28" t="str">
        <f>IFERROR(IF(GDU3="No",IF(VLOOKUP(DATE($K$1,$K$2,GDL$4),Table1[],(MATCH(Calendar!$A18,DB!$1:$1,0)),FALSE)&gt;=5,"Good","Bad"),VLOOKUP(DATE($K$1,$K$2,GDL$4),Table1[],(MATCH(Calendar!$A18,DB!$1:$1,0)),FALSE)),"")</f>
        <v/>
      </c>
      <c r="GDM18" s="28" t="str">
        <f>IFERROR(IF(GDV3="No",IF(VLOOKUP(DATE($K$1,$K$2,GDM$4),Table1[],(MATCH(Calendar!$A18,DB!$1:$1,0)),FALSE)&gt;=5,"Good","Bad"),VLOOKUP(DATE($K$1,$K$2,GDM$4),Table1[],(MATCH(Calendar!$A18,DB!$1:$1,0)),FALSE)),"")</f>
        <v/>
      </c>
      <c r="GDN18" s="28" t="str">
        <f>IFERROR(IF(GDW3="No",IF(VLOOKUP(DATE($K$1,$K$2,GDN$4),Table1[],(MATCH(Calendar!$A18,DB!$1:$1,0)),FALSE)&gt;=5,"Good","Bad"),VLOOKUP(DATE($K$1,$K$2,GDN$4),Table1[],(MATCH(Calendar!$A18,DB!$1:$1,0)),FALSE)),"")</f>
        <v/>
      </c>
      <c r="GDO18" s="28" t="str">
        <f>IFERROR(IF(GDX3="No",IF(VLOOKUP(DATE($K$1,$K$2,GDO$4),Table1[],(MATCH(Calendar!$A18,DB!$1:$1,0)),FALSE)&gt;=5,"Good","Bad"),VLOOKUP(DATE($K$1,$K$2,GDO$4),Table1[],(MATCH(Calendar!$A18,DB!$1:$1,0)),FALSE)),"")</f>
        <v/>
      </c>
      <c r="GDP18" s="28" t="str">
        <f>IFERROR(IF(GDY3="No",IF(VLOOKUP(DATE($K$1,$K$2,GDP$4),Table1[],(MATCH(Calendar!$A18,DB!$1:$1,0)),FALSE)&gt;=5,"Good","Bad"),VLOOKUP(DATE($K$1,$K$2,GDP$4),Table1[],(MATCH(Calendar!$A18,DB!$1:$1,0)),FALSE)),"")</f>
        <v/>
      </c>
      <c r="GDQ18" s="28" t="str">
        <f>IFERROR(IF(GDZ3="No",IF(VLOOKUP(DATE($K$1,$K$2,GDQ$4),Table1[],(MATCH(Calendar!$A18,DB!$1:$1,0)),FALSE)&gt;=5,"Good","Bad"),VLOOKUP(DATE($K$1,$K$2,GDQ$4),Table1[],(MATCH(Calendar!$A18,DB!$1:$1,0)),FALSE)),"")</f>
        <v/>
      </c>
      <c r="GDR18" s="28" t="str">
        <f>IFERROR(IF(GEA3="No",IF(VLOOKUP(DATE($K$1,$K$2,GDR$4),Table1[],(MATCH(Calendar!$A18,DB!$1:$1,0)),FALSE)&gt;=5,"Good","Bad"),VLOOKUP(DATE($K$1,$K$2,GDR$4),Table1[],(MATCH(Calendar!$A18,DB!$1:$1,0)),FALSE)),"")</f>
        <v/>
      </c>
      <c r="GDS18" s="28" t="str">
        <f>IFERROR(IF(GEB3="No",IF(VLOOKUP(DATE($K$1,$K$2,GDS$4),Table1[],(MATCH(Calendar!$A18,DB!$1:$1,0)),FALSE)&gt;=5,"Good","Bad"),VLOOKUP(DATE($K$1,$K$2,GDS$4),Table1[],(MATCH(Calendar!$A18,DB!$1:$1,0)),FALSE)),"")</f>
        <v/>
      </c>
      <c r="GDT18" s="28" t="str">
        <f>IFERROR(IF(GEC3="No",IF(VLOOKUP(DATE($K$1,$K$2,GDT$4),Table1[],(MATCH(Calendar!$A18,DB!$1:$1,0)),FALSE)&gt;=5,"Good","Bad"),VLOOKUP(DATE($K$1,$K$2,GDT$4),Table1[],(MATCH(Calendar!$A18,DB!$1:$1,0)),FALSE)),"")</f>
        <v/>
      </c>
      <c r="GDU18" s="28" t="str">
        <f>IFERROR(IF(GED3="No",IF(VLOOKUP(DATE($K$1,$K$2,GDU$4),Table1[],(MATCH(Calendar!$A18,DB!$1:$1,0)),FALSE)&gt;=5,"Good","Bad"),VLOOKUP(DATE($K$1,$K$2,GDU$4),Table1[],(MATCH(Calendar!$A18,DB!$1:$1,0)),FALSE)),"")</f>
        <v/>
      </c>
      <c r="GDV18" s="28" t="str">
        <f>IFERROR(IF(GEE3="No",IF(VLOOKUP(DATE($K$1,$K$2,GDV$4),Table1[],(MATCH(Calendar!$A18,DB!$1:$1,0)),FALSE)&gt;=5,"Good","Bad"),VLOOKUP(DATE($K$1,$K$2,GDV$4),Table1[],(MATCH(Calendar!$A18,DB!$1:$1,0)),FALSE)),"")</f>
        <v/>
      </c>
      <c r="GDW18" s="28" t="str">
        <f>IFERROR(IF(GEF3="No",IF(VLOOKUP(DATE($K$1,$K$2,GDW$4),Table1[],(MATCH(Calendar!$A18,DB!$1:$1,0)),FALSE)&gt;=5,"Good","Bad"),VLOOKUP(DATE($K$1,$K$2,GDW$4),Table1[],(MATCH(Calendar!$A18,DB!$1:$1,0)),FALSE)),"")</f>
        <v/>
      </c>
      <c r="GDX18" s="28" t="str">
        <f>IFERROR(IF(GEG3="No",IF(VLOOKUP(DATE($K$1,$K$2,GDX$4),Table1[],(MATCH(Calendar!$A18,DB!$1:$1,0)),FALSE)&gt;=5,"Good","Bad"),VLOOKUP(DATE($K$1,$K$2,GDX$4),Table1[],(MATCH(Calendar!$A18,DB!$1:$1,0)),FALSE)),"")</f>
        <v/>
      </c>
      <c r="GDY18" s="28" t="str">
        <f>IFERROR(IF(GEH3="No",IF(VLOOKUP(DATE($K$1,$K$2,GDY$4),Table1[],(MATCH(Calendar!$A18,DB!$1:$1,0)),FALSE)&gt;=5,"Good","Bad"),VLOOKUP(DATE($K$1,$K$2,GDY$4),Table1[],(MATCH(Calendar!$A18,DB!$1:$1,0)),FALSE)),"")</f>
        <v/>
      </c>
      <c r="GDZ18" s="28" t="str">
        <f>IFERROR(IF(GEI3="No",IF(VLOOKUP(DATE($K$1,$K$2,GDZ$4),Table1[],(MATCH(Calendar!$A18,DB!$1:$1,0)),FALSE)&gt;=5,"Good","Bad"),VLOOKUP(DATE($K$1,$K$2,GDZ$4),Table1[],(MATCH(Calendar!$A18,DB!$1:$1,0)),FALSE)),"")</f>
        <v/>
      </c>
      <c r="GEA18" s="28" t="str">
        <f>IFERROR(IF(GEJ3="No",IF(VLOOKUP(DATE($K$1,$K$2,GEA$4),Table1[],(MATCH(Calendar!$A18,DB!$1:$1,0)),FALSE)&gt;=5,"Good","Bad"),VLOOKUP(DATE($K$1,$K$2,GEA$4),Table1[],(MATCH(Calendar!$A18,DB!$1:$1,0)),FALSE)),"")</f>
        <v/>
      </c>
      <c r="GEB18" s="28" t="str">
        <f>IFERROR(IF(GEK3="No",IF(VLOOKUP(DATE($K$1,$K$2,GEB$4),Table1[],(MATCH(Calendar!$A18,DB!$1:$1,0)),FALSE)&gt;=5,"Good","Bad"),VLOOKUP(DATE($K$1,$K$2,GEB$4),Table1[],(MATCH(Calendar!$A18,DB!$1:$1,0)),FALSE)),"")</f>
        <v/>
      </c>
      <c r="GEC18" s="28" t="str">
        <f>IFERROR(IF(GEL3="No",IF(VLOOKUP(DATE($K$1,$K$2,GEC$4),Table1[],(MATCH(Calendar!$A18,DB!$1:$1,0)),FALSE)&gt;=5,"Good","Bad"),VLOOKUP(DATE($K$1,$K$2,GEC$4),Table1[],(MATCH(Calendar!$A18,DB!$1:$1,0)),FALSE)),"")</f>
        <v/>
      </c>
      <c r="GED18" s="28" t="str">
        <f>IFERROR(IF(GEM3="No",IF(VLOOKUP(DATE($K$1,$K$2,GED$4),Table1[],(MATCH(Calendar!$A18,DB!$1:$1,0)),FALSE)&gt;=5,"Good","Bad"),VLOOKUP(DATE($K$1,$K$2,GED$4),Table1[],(MATCH(Calendar!$A18,DB!$1:$1,0)),FALSE)),"")</f>
        <v/>
      </c>
      <c r="GEE18" s="28" t="str">
        <f>IFERROR(IF(GEN3="No",IF(VLOOKUP(DATE($K$1,$K$2,GEE$4),Table1[],(MATCH(Calendar!$A18,DB!$1:$1,0)),FALSE)&gt;=5,"Good","Bad"),VLOOKUP(DATE($K$1,$K$2,GEE$4),Table1[],(MATCH(Calendar!$A18,DB!$1:$1,0)),FALSE)),"")</f>
        <v/>
      </c>
      <c r="GEF18" s="28" t="str">
        <f>IFERROR(IF(GEO3="No",IF(VLOOKUP(DATE($K$1,$K$2,GEF$4),Table1[],(MATCH(Calendar!$A18,DB!$1:$1,0)),FALSE)&gt;=5,"Good","Bad"),VLOOKUP(DATE($K$1,$K$2,GEF$4),Table1[],(MATCH(Calendar!$A18,DB!$1:$1,0)),FALSE)),"")</f>
        <v/>
      </c>
      <c r="GEG18" s="28" t="str">
        <f>IFERROR(IF(GEP3="No",IF(VLOOKUP(DATE($K$1,$K$2,GEG$4),Table1[],(MATCH(Calendar!$A18,DB!$1:$1,0)),FALSE)&gt;=5,"Good","Bad"),VLOOKUP(DATE($K$1,$K$2,GEG$4),Table1[],(MATCH(Calendar!$A18,DB!$1:$1,0)),FALSE)),"")</f>
        <v/>
      </c>
      <c r="GEH18" s="28" t="str">
        <f>IFERROR(IF(GEQ3="No",IF(VLOOKUP(DATE($K$1,$K$2,GEH$4),Table1[],(MATCH(Calendar!$A18,DB!$1:$1,0)),FALSE)&gt;=5,"Good","Bad"),VLOOKUP(DATE($K$1,$K$2,GEH$4),Table1[],(MATCH(Calendar!$A18,DB!$1:$1,0)),FALSE)),"")</f>
        <v/>
      </c>
      <c r="GEI18" s="28" t="str">
        <f>IFERROR(IF(GER3="No",IF(VLOOKUP(DATE($K$1,$K$2,GEI$4),Table1[],(MATCH(Calendar!$A18,DB!$1:$1,0)),FALSE)&gt;=5,"Good","Bad"),VLOOKUP(DATE($K$1,$K$2,GEI$4),Table1[],(MATCH(Calendar!$A18,DB!$1:$1,0)),FALSE)),"")</f>
        <v/>
      </c>
      <c r="GEJ18" s="28" t="str">
        <f>IFERROR(IF(GES3="No",IF(VLOOKUP(DATE($K$1,$K$2,GEJ$4),Table1[],(MATCH(Calendar!$A18,DB!$1:$1,0)),FALSE)&gt;=5,"Good","Bad"),VLOOKUP(DATE($K$1,$K$2,GEJ$4),Table1[],(MATCH(Calendar!$A18,DB!$1:$1,0)),FALSE)),"")</f>
        <v/>
      </c>
      <c r="GEK18" s="28" t="str">
        <f>IFERROR(IF(GET3="No",IF(VLOOKUP(DATE($K$1,$K$2,GEK$4),Table1[],(MATCH(Calendar!$A18,DB!$1:$1,0)),FALSE)&gt;=5,"Good","Bad"),VLOOKUP(DATE($K$1,$K$2,GEK$4),Table1[],(MATCH(Calendar!$A18,DB!$1:$1,0)),FALSE)),"")</f>
        <v/>
      </c>
      <c r="GEL18" s="28" t="str">
        <f>IFERROR(IF(GEU3="No",IF(VLOOKUP(DATE($K$1,$K$2,GEL$4),Table1[],(MATCH(Calendar!$A18,DB!$1:$1,0)),FALSE)&gt;=5,"Good","Bad"),VLOOKUP(DATE($K$1,$K$2,GEL$4),Table1[],(MATCH(Calendar!$A18,DB!$1:$1,0)),FALSE)),"")</f>
        <v/>
      </c>
      <c r="GEM18" s="28" t="str">
        <f>IFERROR(IF(GEV3="No",IF(VLOOKUP(DATE($K$1,$K$2,GEM$4),Table1[],(MATCH(Calendar!$A18,DB!$1:$1,0)),FALSE)&gt;=5,"Good","Bad"),VLOOKUP(DATE($K$1,$K$2,GEM$4),Table1[],(MATCH(Calendar!$A18,DB!$1:$1,0)),FALSE)),"")</f>
        <v/>
      </c>
      <c r="GEN18" s="28" t="str">
        <f>IFERROR(IF(GEW3="No",IF(VLOOKUP(DATE($K$1,$K$2,GEN$4),Table1[],(MATCH(Calendar!$A18,DB!$1:$1,0)),FALSE)&gt;=5,"Good","Bad"),VLOOKUP(DATE($K$1,$K$2,GEN$4),Table1[],(MATCH(Calendar!$A18,DB!$1:$1,0)),FALSE)),"")</f>
        <v/>
      </c>
      <c r="GEO18" s="28" t="str">
        <f>IFERROR(IF(GEX3="No",IF(VLOOKUP(DATE($K$1,$K$2,GEO$4),Table1[],(MATCH(Calendar!$A18,DB!$1:$1,0)),FALSE)&gt;=5,"Good","Bad"),VLOOKUP(DATE($K$1,$K$2,GEO$4),Table1[],(MATCH(Calendar!$A18,DB!$1:$1,0)),FALSE)),"")</f>
        <v/>
      </c>
      <c r="GEP18" s="28" t="str">
        <f>IFERROR(IF(GEY3="No",IF(VLOOKUP(DATE($K$1,$K$2,GEP$4),Table1[],(MATCH(Calendar!$A18,DB!$1:$1,0)),FALSE)&gt;=5,"Good","Bad"),VLOOKUP(DATE($K$1,$K$2,GEP$4),Table1[],(MATCH(Calendar!$A18,DB!$1:$1,0)),FALSE)),"")</f>
        <v/>
      </c>
      <c r="GEQ18" s="28" t="str">
        <f>IFERROR(IF(GEZ3="No",IF(VLOOKUP(DATE($K$1,$K$2,GEQ$4),Table1[],(MATCH(Calendar!$A18,DB!$1:$1,0)),FALSE)&gt;=5,"Good","Bad"),VLOOKUP(DATE($K$1,$K$2,GEQ$4),Table1[],(MATCH(Calendar!$A18,DB!$1:$1,0)),FALSE)),"")</f>
        <v/>
      </c>
      <c r="GER18" s="28" t="str">
        <f>IFERROR(IF(GFA3="No",IF(VLOOKUP(DATE($K$1,$K$2,GER$4),Table1[],(MATCH(Calendar!$A18,DB!$1:$1,0)),FALSE)&gt;=5,"Good","Bad"),VLOOKUP(DATE($K$1,$K$2,GER$4),Table1[],(MATCH(Calendar!$A18,DB!$1:$1,0)),FALSE)),"")</f>
        <v/>
      </c>
      <c r="GES18" s="28" t="str">
        <f>IFERROR(IF(GFB3="No",IF(VLOOKUP(DATE($K$1,$K$2,GES$4),Table1[],(MATCH(Calendar!$A18,DB!$1:$1,0)),FALSE)&gt;=5,"Good","Bad"),VLOOKUP(DATE($K$1,$K$2,GES$4),Table1[],(MATCH(Calendar!$A18,DB!$1:$1,0)),FALSE)),"")</f>
        <v/>
      </c>
      <c r="GET18" s="28" t="str">
        <f>IFERROR(IF(GFC3="No",IF(VLOOKUP(DATE($K$1,$K$2,GET$4),Table1[],(MATCH(Calendar!$A18,DB!$1:$1,0)),FALSE)&gt;=5,"Good","Bad"),VLOOKUP(DATE($K$1,$K$2,GET$4),Table1[],(MATCH(Calendar!$A18,DB!$1:$1,0)),FALSE)),"")</f>
        <v/>
      </c>
      <c r="GEU18" s="28" t="str">
        <f>IFERROR(IF(GFD3="No",IF(VLOOKUP(DATE($K$1,$K$2,GEU$4),Table1[],(MATCH(Calendar!$A18,DB!$1:$1,0)),FALSE)&gt;=5,"Good","Bad"),VLOOKUP(DATE($K$1,$K$2,GEU$4),Table1[],(MATCH(Calendar!$A18,DB!$1:$1,0)),FALSE)),"")</f>
        <v/>
      </c>
      <c r="GEV18" s="28" t="str">
        <f>IFERROR(IF(GFE3="No",IF(VLOOKUP(DATE($K$1,$K$2,GEV$4),Table1[],(MATCH(Calendar!$A18,DB!$1:$1,0)),FALSE)&gt;=5,"Good","Bad"),VLOOKUP(DATE($K$1,$K$2,GEV$4),Table1[],(MATCH(Calendar!$A18,DB!$1:$1,0)),FALSE)),"")</f>
        <v/>
      </c>
      <c r="GEW18" s="28" t="str">
        <f>IFERROR(IF(GFF3="No",IF(VLOOKUP(DATE($K$1,$K$2,GEW$4),Table1[],(MATCH(Calendar!$A18,DB!$1:$1,0)),FALSE)&gt;=5,"Good","Bad"),VLOOKUP(DATE($K$1,$K$2,GEW$4),Table1[],(MATCH(Calendar!$A18,DB!$1:$1,0)),FALSE)),"")</f>
        <v/>
      </c>
      <c r="GEX18" s="28" t="str">
        <f>IFERROR(IF(GFG3="No",IF(VLOOKUP(DATE($K$1,$K$2,GEX$4),Table1[],(MATCH(Calendar!$A18,DB!$1:$1,0)),FALSE)&gt;=5,"Good","Bad"),VLOOKUP(DATE($K$1,$K$2,GEX$4),Table1[],(MATCH(Calendar!$A18,DB!$1:$1,0)),FALSE)),"")</f>
        <v/>
      </c>
      <c r="GEY18" s="28" t="str">
        <f>IFERROR(IF(GFH3="No",IF(VLOOKUP(DATE($K$1,$K$2,GEY$4),Table1[],(MATCH(Calendar!$A18,DB!$1:$1,0)),FALSE)&gt;=5,"Good","Bad"),VLOOKUP(DATE($K$1,$K$2,GEY$4),Table1[],(MATCH(Calendar!$A18,DB!$1:$1,0)),FALSE)),"")</f>
        <v/>
      </c>
      <c r="GEZ18" s="28" t="str">
        <f>IFERROR(IF(GFI3="No",IF(VLOOKUP(DATE($K$1,$K$2,GEZ$4),Table1[],(MATCH(Calendar!$A18,DB!$1:$1,0)),FALSE)&gt;=5,"Good","Bad"),VLOOKUP(DATE($K$1,$K$2,GEZ$4),Table1[],(MATCH(Calendar!$A18,DB!$1:$1,0)),FALSE)),"")</f>
        <v/>
      </c>
      <c r="GFA18" s="28" t="str">
        <f>IFERROR(IF(GFJ3="No",IF(VLOOKUP(DATE($K$1,$K$2,GFA$4),Table1[],(MATCH(Calendar!$A18,DB!$1:$1,0)),FALSE)&gt;=5,"Good","Bad"),VLOOKUP(DATE($K$1,$K$2,GFA$4),Table1[],(MATCH(Calendar!$A18,DB!$1:$1,0)),FALSE)),"")</f>
        <v/>
      </c>
      <c r="GFB18" s="28" t="str">
        <f>IFERROR(IF(GFK3="No",IF(VLOOKUP(DATE($K$1,$K$2,GFB$4),Table1[],(MATCH(Calendar!$A18,DB!$1:$1,0)),FALSE)&gt;=5,"Good","Bad"),VLOOKUP(DATE($K$1,$K$2,GFB$4),Table1[],(MATCH(Calendar!$A18,DB!$1:$1,0)),FALSE)),"")</f>
        <v/>
      </c>
      <c r="GFC18" s="28" t="str">
        <f>IFERROR(IF(GFL3="No",IF(VLOOKUP(DATE($K$1,$K$2,GFC$4),Table1[],(MATCH(Calendar!$A18,DB!$1:$1,0)),FALSE)&gt;=5,"Good","Bad"),VLOOKUP(DATE($K$1,$K$2,GFC$4),Table1[],(MATCH(Calendar!$A18,DB!$1:$1,0)),FALSE)),"")</f>
        <v/>
      </c>
      <c r="GFD18" s="28" t="str">
        <f>IFERROR(IF(GFM3="No",IF(VLOOKUP(DATE($K$1,$K$2,GFD$4),Table1[],(MATCH(Calendar!$A18,DB!$1:$1,0)),FALSE)&gt;=5,"Good","Bad"),VLOOKUP(DATE($K$1,$K$2,GFD$4),Table1[],(MATCH(Calendar!$A18,DB!$1:$1,0)),FALSE)),"")</f>
        <v/>
      </c>
      <c r="GFE18" s="28" t="str">
        <f>IFERROR(IF(GFN3="No",IF(VLOOKUP(DATE($K$1,$K$2,GFE$4),Table1[],(MATCH(Calendar!$A18,DB!$1:$1,0)),FALSE)&gt;=5,"Good","Bad"),VLOOKUP(DATE($K$1,$K$2,GFE$4),Table1[],(MATCH(Calendar!$A18,DB!$1:$1,0)),FALSE)),"")</f>
        <v/>
      </c>
      <c r="GFF18" s="28" t="str">
        <f>IFERROR(IF(GFO3="No",IF(VLOOKUP(DATE($K$1,$K$2,GFF$4),Table1[],(MATCH(Calendar!$A18,DB!$1:$1,0)),FALSE)&gt;=5,"Good","Bad"),VLOOKUP(DATE($K$1,$K$2,GFF$4),Table1[],(MATCH(Calendar!$A18,DB!$1:$1,0)),FALSE)),"")</f>
        <v/>
      </c>
      <c r="GFG18" s="28" t="str">
        <f>IFERROR(IF(GFP3="No",IF(VLOOKUP(DATE($K$1,$K$2,GFG$4),Table1[],(MATCH(Calendar!$A18,DB!$1:$1,0)),FALSE)&gt;=5,"Good","Bad"),VLOOKUP(DATE($K$1,$K$2,GFG$4),Table1[],(MATCH(Calendar!$A18,DB!$1:$1,0)),FALSE)),"")</f>
        <v/>
      </c>
      <c r="GFH18" s="28" t="str">
        <f>IFERROR(IF(GFQ3="No",IF(VLOOKUP(DATE($K$1,$K$2,GFH$4),Table1[],(MATCH(Calendar!$A18,DB!$1:$1,0)),FALSE)&gt;=5,"Good","Bad"),VLOOKUP(DATE($K$1,$K$2,GFH$4),Table1[],(MATCH(Calendar!$A18,DB!$1:$1,0)),FALSE)),"")</f>
        <v/>
      </c>
      <c r="GFI18" s="28" t="str">
        <f>IFERROR(IF(GFR3="No",IF(VLOOKUP(DATE($K$1,$K$2,GFI$4),Table1[],(MATCH(Calendar!$A18,DB!$1:$1,0)),FALSE)&gt;=5,"Good","Bad"),VLOOKUP(DATE($K$1,$K$2,GFI$4),Table1[],(MATCH(Calendar!$A18,DB!$1:$1,0)),FALSE)),"")</f>
        <v/>
      </c>
      <c r="GFJ18" s="28" t="str">
        <f>IFERROR(IF(GFS3="No",IF(VLOOKUP(DATE($K$1,$K$2,GFJ$4),Table1[],(MATCH(Calendar!$A18,DB!$1:$1,0)),FALSE)&gt;=5,"Good","Bad"),VLOOKUP(DATE($K$1,$K$2,GFJ$4),Table1[],(MATCH(Calendar!$A18,DB!$1:$1,0)),FALSE)),"")</f>
        <v/>
      </c>
      <c r="GFK18" s="28" t="str">
        <f>IFERROR(IF(GFT3="No",IF(VLOOKUP(DATE($K$1,$K$2,GFK$4),Table1[],(MATCH(Calendar!$A18,DB!$1:$1,0)),FALSE)&gt;=5,"Good","Bad"),VLOOKUP(DATE($K$1,$K$2,GFK$4),Table1[],(MATCH(Calendar!$A18,DB!$1:$1,0)),FALSE)),"")</f>
        <v/>
      </c>
      <c r="GFL18" s="28" t="str">
        <f>IFERROR(IF(GFU3="No",IF(VLOOKUP(DATE($K$1,$K$2,GFL$4),Table1[],(MATCH(Calendar!$A18,DB!$1:$1,0)),FALSE)&gt;=5,"Good","Bad"),VLOOKUP(DATE($K$1,$K$2,GFL$4),Table1[],(MATCH(Calendar!$A18,DB!$1:$1,0)),FALSE)),"")</f>
        <v/>
      </c>
      <c r="GFM18" s="28" t="str">
        <f>IFERROR(IF(GFV3="No",IF(VLOOKUP(DATE($K$1,$K$2,GFM$4),Table1[],(MATCH(Calendar!$A18,DB!$1:$1,0)),FALSE)&gt;=5,"Good","Bad"),VLOOKUP(DATE($K$1,$K$2,GFM$4),Table1[],(MATCH(Calendar!$A18,DB!$1:$1,0)),FALSE)),"")</f>
        <v/>
      </c>
      <c r="GFN18" s="28" t="str">
        <f>IFERROR(IF(GFW3="No",IF(VLOOKUP(DATE($K$1,$K$2,GFN$4),Table1[],(MATCH(Calendar!$A18,DB!$1:$1,0)),FALSE)&gt;=5,"Good","Bad"),VLOOKUP(DATE($K$1,$K$2,GFN$4),Table1[],(MATCH(Calendar!$A18,DB!$1:$1,0)),FALSE)),"")</f>
        <v/>
      </c>
      <c r="GFO18" s="28" t="str">
        <f>IFERROR(IF(GFX3="No",IF(VLOOKUP(DATE($K$1,$K$2,GFO$4),Table1[],(MATCH(Calendar!$A18,DB!$1:$1,0)),FALSE)&gt;=5,"Good","Bad"),VLOOKUP(DATE($K$1,$K$2,GFO$4),Table1[],(MATCH(Calendar!$A18,DB!$1:$1,0)),FALSE)),"")</f>
        <v/>
      </c>
      <c r="GFP18" s="28" t="str">
        <f>IFERROR(IF(GFY3="No",IF(VLOOKUP(DATE($K$1,$K$2,GFP$4),Table1[],(MATCH(Calendar!$A18,DB!$1:$1,0)),FALSE)&gt;=5,"Good","Bad"),VLOOKUP(DATE($K$1,$K$2,GFP$4),Table1[],(MATCH(Calendar!$A18,DB!$1:$1,0)),FALSE)),"")</f>
        <v/>
      </c>
      <c r="GFQ18" s="28" t="str">
        <f>IFERROR(IF(GFZ3="No",IF(VLOOKUP(DATE($K$1,$K$2,GFQ$4),Table1[],(MATCH(Calendar!$A18,DB!$1:$1,0)),FALSE)&gt;=5,"Good","Bad"),VLOOKUP(DATE($K$1,$K$2,GFQ$4),Table1[],(MATCH(Calendar!$A18,DB!$1:$1,0)),FALSE)),"")</f>
        <v/>
      </c>
      <c r="GFR18" s="28" t="str">
        <f>IFERROR(IF(GGA3="No",IF(VLOOKUP(DATE($K$1,$K$2,GFR$4),Table1[],(MATCH(Calendar!$A18,DB!$1:$1,0)),FALSE)&gt;=5,"Good","Bad"),VLOOKUP(DATE($K$1,$K$2,GFR$4),Table1[],(MATCH(Calendar!$A18,DB!$1:$1,0)),FALSE)),"")</f>
        <v/>
      </c>
      <c r="GFS18" s="28" t="str">
        <f>IFERROR(IF(GGB3="No",IF(VLOOKUP(DATE($K$1,$K$2,GFS$4),Table1[],(MATCH(Calendar!$A18,DB!$1:$1,0)),FALSE)&gt;=5,"Good","Bad"),VLOOKUP(DATE($K$1,$K$2,GFS$4),Table1[],(MATCH(Calendar!$A18,DB!$1:$1,0)),FALSE)),"")</f>
        <v/>
      </c>
      <c r="GFT18" s="28" t="str">
        <f>IFERROR(IF(GGC3="No",IF(VLOOKUP(DATE($K$1,$K$2,GFT$4),Table1[],(MATCH(Calendar!$A18,DB!$1:$1,0)),FALSE)&gt;=5,"Good","Bad"),VLOOKUP(DATE($K$1,$K$2,GFT$4),Table1[],(MATCH(Calendar!$A18,DB!$1:$1,0)),FALSE)),"")</f>
        <v/>
      </c>
      <c r="GFU18" s="28" t="str">
        <f>IFERROR(IF(GGD3="No",IF(VLOOKUP(DATE($K$1,$K$2,GFU$4),Table1[],(MATCH(Calendar!$A18,DB!$1:$1,0)),FALSE)&gt;=5,"Good","Bad"),VLOOKUP(DATE($K$1,$K$2,GFU$4),Table1[],(MATCH(Calendar!$A18,DB!$1:$1,0)),FALSE)),"")</f>
        <v/>
      </c>
      <c r="GFV18" s="28" t="str">
        <f>IFERROR(IF(GGE3="No",IF(VLOOKUP(DATE($K$1,$K$2,GFV$4),Table1[],(MATCH(Calendar!$A18,DB!$1:$1,0)),FALSE)&gt;=5,"Good","Bad"),VLOOKUP(DATE($K$1,$K$2,GFV$4),Table1[],(MATCH(Calendar!$A18,DB!$1:$1,0)),FALSE)),"")</f>
        <v/>
      </c>
      <c r="GFW18" s="28" t="str">
        <f>IFERROR(IF(GGF3="No",IF(VLOOKUP(DATE($K$1,$K$2,GFW$4),Table1[],(MATCH(Calendar!$A18,DB!$1:$1,0)),FALSE)&gt;=5,"Good","Bad"),VLOOKUP(DATE($K$1,$K$2,GFW$4),Table1[],(MATCH(Calendar!$A18,DB!$1:$1,0)),FALSE)),"")</f>
        <v/>
      </c>
      <c r="GFX18" s="28" t="str">
        <f>IFERROR(IF(GGG3="No",IF(VLOOKUP(DATE($K$1,$K$2,GFX$4),Table1[],(MATCH(Calendar!$A18,DB!$1:$1,0)),FALSE)&gt;=5,"Good","Bad"),VLOOKUP(DATE($K$1,$K$2,GFX$4),Table1[],(MATCH(Calendar!$A18,DB!$1:$1,0)),FALSE)),"")</f>
        <v/>
      </c>
      <c r="GFY18" s="28" t="str">
        <f>IFERROR(IF(GGH3="No",IF(VLOOKUP(DATE($K$1,$K$2,GFY$4),Table1[],(MATCH(Calendar!$A18,DB!$1:$1,0)),FALSE)&gt;=5,"Good","Bad"),VLOOKUP(DATE($K$1,$K$2,GFY$4),Table1[],(MATCH(Calendar!$A18,DB!$1:$1,0)),FALSE)),"")</f>
        <v/>
      </c>
      <c r="GFZ18" s="28" t="str">
        <f>IFERROR(IF(GGI3="No",IF(VLOOKUP(DATE($K$1,$K$2,GFZ$4),Table1[],(MATCH(Calendar!$A18,DB!$1:$1,0)),FALSE)&gt;=5,"Good","Bad"),VLOOKUP(DATE($K$1,$K$2,GFZ$4),Table1[],(MATCH(Calendar!$A18,DB!$1:$1,0)),FALSE)),"")</f>
        <v/>
      </c>
      <c r="GGA18" s="28" t="str">
        <f>IFERROR(IF(GGJ3="No",IF(VLOOKUP(DATE($K$1,$K$2,GGA$4),Table1[],(MATCH(Calendar!$A18,DB!$1:$1,0)),FALSE)&gt;=5,"Good","Bad"),VLOOKUP(DATE($K$1,$K$2,GGA$4),Table1[],(MATCH(Calendar!$A18,DB!$1:$1,0)),FALSE)),"")</f>
        <v/>
      </c>
      <c r="GGB18" s="28" t="str">
        <f>IFERROR(IF(GGK3="No",IF(VLOOKUP(DATE($K$1,$K$2,GGB$4),Table1[],(MATCH(Calendar!$A18,DB!$1:$1,0)),FALSE)&gt;=5,"Good","Bad"),VLOOKUP(DATE($K$1,$K$2,GGB$4),Table1[],(MATCH(Calendar!$A18,DB!$1:$1,0)),FALSE)),"")</f>
        <v/>
      </c>
      <c r="GGC18" s="28" t="str">
        <f>IFERROR(IF(GGL3="No",IF(VLOOKUP(DATE($K$1,$K$2,GGC$4),Table1[],(MATCH(Calendar!$A18,DB!$1:$1,0)),FALSE)&gt;=5,"Good","Bad"),VLOOKUP(DATE($K$1,$K$2,GGC$4),Table1[],(MATCH(Calendar!$A18,DB!$1:$1,0)),FALSE)),"")</f>
        <v/>
      </c>
      <c r="GGD18" s="28" t="str">
        <f>IFERROR(IF(GGM3="No",IF(VLOOKUP(DATE($K$1,$K$2,GGD$4),Table1[],(MATCH(Calendar!$A18,DB!$1:$1,0)),FALSE)&gt;=5,"Good","Bad"),VLOOKUP(DATE($K$1,$K$2,GGD$4),Table1[],(MATCH(Calendar!$A18,DB!$1:$1,0)),FALSE)),"")</f>
        <v/>
      </c>
      <c r="GGE18" s="28" t="str">
        <f>IFERROR(IF(GGN3="No",IF(VLOOKUP(DATE($K$1,$K$2,GGE$4),Table1[],(MATCH(Calendar!$A18,DB!$1:$1,0)),FALSE)&gt;=5,"Good","Bad"),VLOOKUP(DATE($K$1,$K$2,GGE$4),Table1[],(MATCH(Calendar!$A18,DB!$1:$1,0)),FALSE)),"")</f>
        <v/>
      </c>
      <c r="GGF18" s="28" t="str">
        <f>IFERROR(IF(GGO3="No",IF(VLOOKUP(DATE($K$1,$K$2,GGF$4),Table1[],(MATCH(Calendar!$A18,DB!$1:$1,0)),FALSE)&gt;=5,"Good","Bad"),VLOOKUP(DATE($K$1,$K$2,GGF$4),Table1[],(MATCH(Calendar!$A18,DB!$1:$1,0)),FALSE)),"")</f>
        <v/>
      </c>
      <c r="GGG18" s="28" t="str">
        <f>IFERROR(IF(GGP3="No",IF(VLOOKUP(DATE($K$1,$K$2,GGG$4),Table1[],(MATCH(Calendar!$A18,DB!$1:$1,0)),FALSE)&gt;=5,"Good","Bad"),VLOOKUP(DATE($K$1,$K$2,GGG$4),Table1[],(MATCH(Calendar!$A18,DB!$1:$1,0)),FALSE)),"")</f>
        <v/>
      </c>
      <c r="GGH18" s="28" t="str">
        <f>IFERROR(IF(GGQ3="No",IF(VLOOKUP(DATE($K$1,$K$2,GGH$4),Table1[],(MATCH(Calendar!$A18,DB!$1:$1,0)),FALSE)&gt;=5,"Good","Bad"),VLOOKUP(DATE($K$1,$K$2,GGH$4),Table1[],(MATCH(Calendar!$A18,DB!$1:$1,0)),FALSE)),"")</f>
        <v/>
      </c>
      <c r="GGI18" s="28" t="str">
        <f>IFERROR(IF(GGR3="No",IF(VLOOKUP(DATE($K$1,$K$2,GGI$4),Table1[],(MATCH(Calendar!$A18,DB!$1:$1,0)),FALSE)&gt;=5,"Good","Bad"),VLOOKUP(DATE($K$1,$K$2,GGI$4),Table1[],(MATCH(Calendar!$A18,DB!$1:$1,0)),FALSE)),"")</f>
        <v/>
      </c>
      <c r="GGJ18" s="28" t="str">
        <f>IFERROR(IF(GGS3="No",IF(VLOOKUP(DATE($K$1,$K$2,GGJ$4),Table1[],(MATCH(Calendar!$A18,DB!$1:$1,0)),FALSE)&gt;=5,"Good","Bad"),VLOOKUP(DATE($K$1,$K$2,GGJ$4),Table1[],(MATCH(Calendar!$A18,DB!$1:$1,0)),FALSE)),"")</f>
        <v/>
      </c>
      <c r="GGK18" s="28" t="str">
        <f>IFERROR(IF(GGT3="No",IF(VLOOKUP(DATE($K$1,$K$2,GGK$4),Table1[],(MATCH(Calendar!$A18,DB!$1:$1,0)),FALSE)&gt;=5,"Good","Bad"),VLOOKUP(DATE($K$1,$K$2,GGK$4),Table1[],(MATCH(Calendar!$A18,DB!$1:$1,0)),FALSE)),"")</f>
        <v/>
      </c>
      <c r="GGL18" s="28" t="str">
        <f>IFERROR(IF(GGU3="No",IF(VLOOKUP(DATE($K$1,$K$2,GGL$4),Table1[],(MATCH(Calendar!$A18,DB!$1:$1,0)),FALSE)&gt;=5,"Good","Bad"),VLOOKUP(DATE($K$1,$K$2,GGL$4),Table1[],(MATCH(Calendar!$A18,DB!$1:$1,0)),FALSE)),"")</f>
        <v/>
      </c>
      <c r="GGM18" s="28" t="str">
        <f>IFERROR(IF(GGV3="No",IF(VLOOKUP(DATE($K$1,$K$2,GGM$4),Table1[],(MATCH(Calendar!$A18,DB!$1:$1,0)),FALSE)&gt;=5,"Good","Bad"),VLOOKUP(DATE($K$1,$K$2,GGM$4),Table1[],(MATCH(Calendar!$A18,DB!$1:$1,0)),FALSE)),"")</f>
        <v/>
      </c>
      <c r="GGN18" s="28" t="str">
        <f>IFERROR(IF(GGW3="No",IF(VLOOKUP(DATE($K$1,$K$2,GGN$4),Table1[],(MATCH(Calendar!$A18,DB!$1:$1,0)),FALSE)&gt;=5,"Good","Bad"),VLOOKUP(DATE($K$1,$K$2,GGN$4),Table1[],(MATCH(Calendar!$A18,DB!$1:$1,0)),FALSE)),"")</f>
        <v/>
      </c>
      <c r="GGO18" s="28" t="str">
        <f>IFERROR(IF(GGX3="No",IF(VLOOKUP(DATE($K$1,$K$2,GGO$4),Table1[],(MATCH(Calendar!$A18,DB!$1:$1,0)),FALSE)&gt;=5,"Good","Bad"),VLOOKUP(DATE($K$1,$K$2,GGO$4),Table1[],(MATCH(Calendar!$A18,DB!$1:$1,0)),FALSE)),"")</f>
        <v/>
      </c>
      <c r="GGP18" s="28" t="str">
        <f>IFERROR(IF(GGY3="No",IF(VLOOKUP(DATE($K$1,$K$2,GGP$4),Table1[],(MATCH(Calendar!$A18,DB!$1:$1,0)),FALSE)&gt;=5,"Good","Bad"),VLOOKUP(DATE($K$1,$K$2,GGP$4),Table1[],(MATCH(Calendar!$A18,DB!$1:$1,0)),FALSE)),"")</f>
        <v/>
      </c>
      <c r="GGQ18" s="28" t="str">
        <f>IFERROR(IF(GGZ3="No",IF(VLOOKUP(DATE($K$1,$K$2,GGQ$4),Table1[],(MATCH(Calendar!$A18,DB!$1:$1,0)),FALSE)&gt;=5,"Good","Bad"),VLOOKUP(DATE($K$1,$K$2,GGQ$4),Table1[],(MATCH(Calendar!$A18,DB!$1:$1,0)),FALSE)),"")</f>
        <v/>
      </c>
      <c r="GGR18" s="28" t="str">
        <f>IFERROR(IF(GHA3="No",IF(VLOOKUP(DATE($K$1,$K$2,GGR$4),Table1[],(MATCH(Calendar!$A18,DB!$1:$1,0)),FALSE)&gt;=5,"Good","Bad"),VLOOKUP(DATE($K$1,$K$2,GGR$4),Table1[],(MATCH(Calendar!$A18,DB!$1:$1,0)),FALSE)),"")</f>
        <v/>
      </c>
      <c r="GGS18" s="28" t="str">
        <f>IFERROR(IF(GHB3="No",IF(VLOOKUP(DATE($K$1,$K$2,GGS$4),Table1[],(MATCH(Calendar!$A18,DB!$1:$1,0)),FALSE)&gt;=5,"Good","Bad"),VLOOKUP(DATE($K$1,$K$2,GGS$4),Table1[],(MATCH(Calendar!$A18,DB!$1:$1,0)),FALSE)),"")</f>
        <v/>
      </c>
      <c r="GGT18" s="28" t="str">
        <f>IFERROR(IF(GHC3="No",IF(VLOOKUP(DATE($K$1,$K$2,GGT$4),Table1[],(MATCH(Calendar!$A18,DB!$1:$1,0)),FALSE)&gt;=5,"Good","Bad"),VLOOKUP(DATE($K$1,$K$2,GGT$4),Table1[],(MATCH(Calendar!$A18,DB!$1:$1,0)),FALSE)),"")</f>
        <v/>
      </c>
      <c r="GGU18" s="28" t="str">
        <f>IFERROR(IF(GHD3="No",IF(VLOOKUP(DATE($K$1,$K$2,GGU$4),Table1[],(MATCH(Calendar!$A18,DB!$1:$1,0)),FALSE)&gt;=5,"Good","Bad"),VLOOKUP(DATE($K$1,$K$2,GGU$4),Table1[],(MATCH(Calendar!$A18,DB!$1:$1,0)),FALSE)),"")</f>
        <v/>
      </c>
      <c r="GGV18" s="28" t="str">
        <f>IFERROR(IF(GHE3="No",IF(VLOOKUP(DATE($K$1,$K$2,GGV$4),Table1[],(MATCH(Calendar!$A18,DB!$1:$1,0)),FALSE)&gt;=5,"Good","Bad"),VLOOKUP(DATE($K$1,$K$2,GGV$4),Table1[],(MATCH(Calendar!$A18,DB!$1:$1,0)),FALSE)),"")</f>
        <v/>
      </c>
      <c r="GGW18" s="28" t="str">
        <f>IFERROR(IF(GHF3="No",IF(VLOOKUP(DATE($K$1,$K$2,GGW$4),Table1[],(MATCH(Calendar!$A18,DB!$1:$1,0)),FALSE)&gt;=5,"Good","Bad"),VLOOKUP(DATE($K$1,$K$2,GGW$4),Table1[],(MATCH(Calendar!$A18,DB!$1:$1,0)),FALSE)),"")</f>
        <v/>
      </c>
      <c r="GGX18" s="28" t="str">
        <f>IFERROR(IF(GHG3="No",IF(VLOOKUP(DATE($K$1,$K$2,GGX$4),Table1[],(MATCH(Calendar!$A18,DB!$1:$1,0)),FALSE)&gt;=5,"Good","Bad"),VLOOKUP(DATE($K$1,$K$2,GGX$4),Table1[],(MATCH(Calendar!$A18,DB!$1:$1,0)),FALSE)),"")</f>
        <v/>
      </c>
      <c r="GGY18" s="28" t="str">
        <f>IFERROR(IF(GHH3="No",IF(VLOOKUP(DATE($K$1,$K$2,GGY$4),Table1[],(MATCH(Calendar!$A18,DB!$1:$1,0)),FALSE)&gt;=5,"Good","Bad"),VLOOKUP(DATE($K$1,$K$2,GGY$4),Table1[],(MATCH(Calendar!$A18,DB!$1:$1,0)),FALSE)),"")</f>
        <v/>
      </c>
      <c r="GGZ18" s="28" t="str">
        <f>IFERROR(IF(GHI3="No",IF(VLOOKUP(DATE($K$1,$K$2,GGZ$4),Table1[],(MATCH(Calendar!$A18,DB!$1:$1,0)),FALSE)&gt;=5,"Good","Bad"),VLOOKUP(DATE($K$1,$K$2,GGZ$4),Table1[],(MATCH(Calendar!$A18,DB!$1:$1,0)),FALSE)),"")</f>
        <v/>
      </c>
      <c r="GHA18" s="28" t="str">
        <f>IFERROR(IF(GHJ3="No",IF(VLOOKUP(DATE($K$1,$K$2,GHA$4),Table1[],(MATCH(Calendar!$A18,DB!$1:$1,0)),FALSE)&gt;=5,"Good","Bad"),VLOOKUP(DATE($K$1,$K$2,GHA$4),Table1[],(MATCH(Calendar!$A18,DB!$1:$1,0)),FALSE)),"")</f>
        <v/>
      </c>
      <c r="GHB18" s="28" t="str">
        <f>IFERROR(IF(GHK3="No",IF(VLOOKUP(DATE($K$1,$K$2,GHB$4),Table1[],(MATCH(Calendar!$A18,DB!$1:$1,0)),FALSE)&gt;=5,"Good","Bad"),VLOOKUP(DATE($K$1,$K$2,GHB$4),Table1[],(MATCH(Calendar!$A18,DB!$1:$1,0)),FALSE)),"")</f>
        <v/>
      </c>
      <c r="GHC18" s="28" t="str">
        <f>IFERROR(IF(GHL3="No",IF(VLOOKUP(DATE($K$1,$K$2,GHC$4),Table1[],(MATCH(Calendar!$A18,DB!$1:$1,0)),FALSE)&gt;=5,"Good","Bad"),VLOOKUP(DATE($K$1,$K$2,GHC$4),Table1[],(MATCH(Calendar!$A18,DB!$1:$1,0)),FALSE)),"")</f>
        <v/>
      </c>
      <c r="GHD18" s="28" t="str">
        <f>IFERROR(IF(GHM3="No",IF(VLOOKUP(DATE($K$1,$K$2,GHD$4),Table1[],(MATCH(Calendar!$A18,DB!$1:$1,0)),FALSE)&gt;=5,"Good","Bad"),VLOOKUP(DATE($K$1,$K$2,GHD$4),Table1[],(MATCH(Calendar!$A18,DB!$1:$1,0)),FALSE)),"")</f>
        <v/>
      </c>
      <c r="GHE18" s="28" t="str">
        <f>IFERROR(IF(GHN3="No",IF(VLOOKUP(DATE($K$1,$K$2,GHE$4),Table1[],(MATCH(Calendar!$A18,DB!$1:$1,0)),FALSE)&gt;=5,"Good","Bad"),VLOOKUP(DATE($K$1,$K$2,GHE$4),Table1[],(MATCH(Calendar!$A18,DB!$1:$1,0)),FALSE)),"")</f>
        <v/>
      </c>
      <c r="GHF18" s="28" t="str">
        <f>IFERROR(IF(GHO3="No",IF(VLOOKUP(DATE($K$1,$K$2,GHF$4),Table1[],(MATCH(Calendar!$A18,DB!$1:$1,0)),FALSE)&gt;=5,"Good","Bad"),VLOOKUP(DATE($K$1,$K$2,GHF$4),Table1[],(MATCH(Calendar!$A18,DB!$1:$1,0)),FALSE)),"")</f>
        <v/>
      </c>
      <c r="GHG18" s="28" t="str">
        <f>IFERROR(IF(GHP3="No",IF(VLOOKUP(DATE($K$1,$K$2,GHG$4),Table1[],(MATCH(Calendar!$A18,DB!$1:$1,0)),FALSE)&gt;=5,"Good","Bad"),VLOOKUP(DATE($K$1,$K$2,GHG$4),Table1[],(MATCH(Calendar!$A18,DB!$1:$1,0)),FALSE)),"")</f>
        <v/>
      </c>
      <c r="GHH18" s="28" t="str">
        <f>IFERROR(IF(GHQ3="No",IF(VLOOKUP(DATE($K$1,$K$2,GHH$4),Table1[],(MATCH(Calendar!$A18,DB!$1:$1,0)),FALSE)&gt;=5,"Good","Bad"),VLOOKUP(DATE($K$1,$K$2,GHH$4),Table1[],(MATCH(Calendar!$A18,DB!$1:$1,0)),FALSE)),"")</f>
        <v/>
      </c>
      <c r="GHI18" s="28" t="str">
        <f>IFERROR(IF(GHR3="No",IF(VLOOKUP(DATE($K$1,$K$2,GHI$4),Table1[],(MATCH(Calendar!$A18,DB!$1:$1,0)),FALSE)&gt;=5,"Good","Bad"),VLOOKUP(DATE($K$1,$K$2,GHI$4),Table1[],(MATCH(Calendar!$A18,DB!$1:$1,0)),FALSE)),"")</f>
        <v/>
      </c>
      <c r="GHJ18" s="28" t="str">
        <f>IFERROR(IF(GHS3="No",IF(VLOOKUP(DATE($K$1,$K$2,GHJ$4),Table1[],(MATCH(Calendar!$A18,DB!$1:$1,0)),FALSE)&gt;=5,"Good","Bad"),VLOOKUP(DATE($K$1,$K$2,GHJ$4),Table1[],(MATCH(Calendar!$A18,DB!$1:$1,0)),FALSE)),"")</f>
        <v/>
      </c>
      <c r="GHK18" s="28" t="str">
        <f>IFERROR(IF(GHT3="No",IF(VLOOKUP(DATE($K$1,$K$2,GHK$4),Table1[],(MATCH(Calendar!$A18,DB!$1:$1,0)),FALSE)&gt;=5,"Good","Bad"),VLOOKUP(DATE($K$1,$K$2,GHK$4),Table1[],(MATCH(Calendar!$A18,DB!$1:$1,0)),FALSE)),"")</f>
        <v/>
      </c>
      <c r="GHL18" s="28" t="str">
        <f>IFERROR(IF(GHU3="No",IF(VLOOKUP(DATE($K$1,$K$2,GHL$4),Table1[],(MATCH(Calendar!$A18,DB!$1:$1,0)),FALSE)&gt;=5,"Good","Bad"),VLOOKUP(DATE($K$1,$K$2,GHL$4),Table1[],(MATCH(Calendar!$A18,DB!$1:$1,0)),FALSE)),"")</f>
        <v/>
      </c>
      <c r="GHM18" s="28" t="str">
        <f>IFERROR(IF(GHV3="No",IF(VLOOKUP(DATE($K$1,$K$2,GHM$4),Table1[],(MATCH(Calendar!$A18,DB!$1:$1,0)),FALSE)&gt;=5,"Good","Bad"),VLOOKUP(DATE($K$1,$K$2,GHM$4),Table1[],(MATCH(Calendar!$A18,DB!$1:$1,0)),FALSE)),"")</f>
        <v/>
      </c>
      <c r="GHN18" s="28" t="str">
        <f>IFERROR(IF(GHW3="No",IF(VLOOKUP(DATE($K$1,$K$2,GHN$4),Table1[],(MATCH(Calendar!$A18,DB!$1:$1,0)),FALSE)&gt;=5,"Good","Bad"),VLOOKUP(DATE($K$1,$K$2,GHN$4),Table1[],(MATCH(Calendar!$A18,DB!$1:$1,0)),FALSE)),"")</f>
        <v/>
      </c>
      <c r="GHO18" s="28" t="str">
        <f>IFERROR(IF(GHX3="No",IF(VLOOKUP(DATE($K$1,$K$2,GHO$4),Table1[],(MATCH(Calendar!$A18,DB!$1:$1,0)),FALSE)&gt;=5,"Good","Bad"),VLOOKUP(DATE($K$1,$K$2,GHO$4),Table1[],(MATCH(Calendar!$A18,DB!$1:$1,0)),FALSE)),"")</f>
        <v/>
      </c>
      <c r="GHP18" s="28" t="str">
        <f>IFERROR(IF(GHY3="No",IF(VLOOKUP(DATE($K$1,$K$2,GHP$4),Table1[],(MATCH(Calendar!$A18,DB!$1:$1,0)),FALSE)&gt;=5,"Good","Bad"),VLOOKUP(DATE($K$1,$K$2,GHP$4),Table1[],(MATCH(Calendar!$A18,DB!$1:$1,0)),FALSE)),"")</f>
        <v/>
      </c>
      <c r="GHQ18" s="28" t="str">
        <f>IFERROR(IF(GHZ3="No",IF(VLOOKUP(DATE($K$1,$K$2,GHQ$4),Table1[],(MATCH(Calendar!$A18,DB!$1:$1,0)),FALSE)&gt;=5,"Good","Bad"),VLOOKUP(DATE($K$1,$K$2,GHQ$4),Table1[],(MATCH(Calendar!$A18,DB!$1:$1,0)),FALSE)),"")</f>
        <v/>
      </c>
      <c r="GHR18" s="28" t="str">
        <f>IFERROR(IF(GIA3="No",IF(VLOOKUP(DATE($K$1,$K$2,GHR$4),Table1[],(MATCH(Calendar!$A18,DB!$1:$1,0)),FALSE)&gt;=5,"Good","Bad"),VLOOKUP(DATE($K$1,$K$2,GHR$4),Table1[],(MATCH(Calendar!$A18,DB!$1:$1,0)),FALSE)),"")</f>
        <v/>
      </c>
      <c r="GHS18" s="28" t="str">
        <f>IFERROR(IF(GIB3="No",IF(VLOOKUP(DATE($K$1,$K$2,GHS$4),Table1[],(MATCH(Calendar!$A18,DB!$1:$1,0)),FALSE)&gt;=5,"Good","Bad"),VLOOKUP(DATE($K$1,$K$2,GHS$4),Table1[],(MATCH(Calendar!$A18,DB!$1:$1,0)),FALSE)),"")</f>
        <v/>
      </c>
      <c r="GHT18" s="28" t="str">
        <f>IFERROR(IF(GIC3="No",IF(VLOOKUP(DATE($K$1,$K$2,GHT$4),Table1[],(MATCH(Calendar!$A18,DB!$1:$1,0)),FALSE)&gt;=5,"Good","Bad"),VLOOKUP(DATE($K$1,$K$2,GHT$4),Table1[],(MATCH(Calendar!$A18,DB!$1:$1,0)),FALSE)),"")</f>
        <v/>
      </c>
      <c r="GHU18" s="28" t="str">
        <f>IFERROR(IF(GID3="No",IF(VLOOKUP(DATE($K$1,$K$2,GHU$4),Table1[],(MATCH(Calendar!$A18,DB!$1:$1,0)),FALSE)&gt;=5,"Good","Bad"),VLOOKUP(DATE($K$1,$K$2,GHU$4),Table1[],(MATCH(Calendar!$A18,DB!$1:$1,0)),FALSE)),"")</f>
        <v/>
      </c>
      <c r="GHV18" s="28" t="str">
        <f>IFERROR(IF(GIE3="No",IF(VLOOKUP(DATE($K$1,$K$2,GHV$4),Table1[],(MATCH(Calendar!$A18,DB!$1:$1,0)),FALSE)&gt;=5,"Good","Bad"),VLOOKUP(DATE($K$1,$K$2,GHV$4),Table1[],(MATCH(Calendar!$A18,DB!$1:$1,0)),FALSE)),"")</f>
        <v/>
      </c>
      <c r="GHW18" s="28" t="str">
        <f>IFERROR(IF(GIF3="No",IF(VLOOKUP(DATE($K$1,$K$2,GHW$4),Table1[],(MATCH(Calendar!$A18,DB!$1:$1,0)),FALSE)&gt;=5,"Good","Bad"),VLOOKUP(DATE($K$1,$K$2,GHW$4),Table1[],(MATCH(Calendar!$A18,DB!$1:$1,0)),FALSE)),"")</f>
        <v/>
      </c>
      <c r="GHX18" s="28" t="str">
        <f>IFERROR(IF(GIG3="No",IF(VLOOKUP(DATE($K$1,$K$2,GHX$4),Table1[],(MATCH(Calendar!$A18,DB!$1:$1,0)),FALSE)&gt;=5,"Good","Bad"),VLOOKUP(DATE($K$1,$K$2,GHX$4),Table1[],(MATCH(Calendar!$A18,DB!$1:$1,0)),FALSE)),"")</f>
        <v/>
      </c>
      <c r="GHY18" s="28" t="str">
        <f>IFERROR(IF(GIH3="No",IF(VLOOKUP(DATE($K$1,$K$2,GHY$4),Table1[],(MATCH(Calendar!$A18,DB!$1:$1,0)),FALSE)&gt;=5,"Good","Bad"),VLOOKUP(DATE($K$1,$K$2,GHY$4),Table1[],(MATCH(Calendar!$A18,DB!$1:$1,0)),FALSE)),"")</f>
        <v/>
      </c>
      <c r="GHZ18" s="28" t="str">
        <f>IFERROR(IF(GII3="No",IF(VLOOKUP(DATE($K$1,$K$2,GHZ$4),Table1[],(MATCH(Calendar!$A18,DB!$1:$1,0)),FALSE)&gt;=5,"Good","Bad"),VLOOKUP(DATE($K$1,$K$2,GHZ$4),Table1[],(MATCH(Calendar!$A18,DB!$1:$1,0)),FALSE)),"")</f>
        <v/>
      </c>
      <c r="GIA18" s="28" t="str">
        <f>IFERROR(IF(GIJ3="No",IF(VLOOKUP(DATE($K$1,$K$2,GIA$4),Table1[],(MATCH(Calendar!$A18,DB!$1:$1,0)),FALSE)&gt;=5,"Good","Bad"),VLOOKUP(DATE($K$1,$K$2,GIA$4),Table1[],(MATCH(Calendar!$A18,DB!$1:$1,0)),FALSE)),"")</f>
        <v/>
      </c>
      <c r="GIB18" s="28" t="str">
        <f>IFERROR(IF(GIK3="No",IF(VLOOKUP(DATE($K$1,$K$2,GIB$4),Table1[],(MATCH(Calendar!$A18,DB!$1:$1,0)),FALSE)&gt;=5,"Good","Bad"),VLOOKUP(DATE($K$1,$K$2,GIB$4),Table1[],(MATCH(Calendar!$A18,DB!$1:$1,0)),FALSE)),"")</f>
        <v/>
      </c>
      <c r="GIC18" s="28" t="str">
        <f>IFERROR(IF(GIL3="No",IF(VLOOKUP(DATE($K$1,$K$2,GIC$4),Table1[],(MATCH(Calendar!$A18,DB!$1:$1,0)),FALSE)&gt;=5,"Good","Bad"),VLOOKUP(DATE($K$1,$K$2,GIC$4),Table1[],(MATCH(Calendar!$A18,DB!$1:$1,0)),FALSE)),"")</f>
        <v/>
      </c>
      <c r="GID18" s="28" t="str">
        <f>IFERROR(IF(GIM3="No",IF(VLOOKUP(DATE($K$1,$K$2,GID$4),Table1[],(MATCH(Calendar!$A18,DB!$1:$1,0)),FALSE)&gt;=5,"Good","Bad"),VLOOKUP(DATE($K$1,$K$2,GID$4),Table1[],(MATCH(Calendar!$A18,DB!$1:$1,0)),FALSE)),"")</f>
        <v/>
      </c>
      <c r="GIE18" s="28" t="str">
        <f>IFERROR(IF(GIN3="No",IF(VLOOKUP(DATE($K$1,$K$2,GIE$4),Table1[],(MATCH(Calendar!$A18,DB!$1:$1,0)),FALSE)&gt;=5,"Good","Bad"),VLOOKUP(DATE($K$1,$K$2,GIE$4),Table1[],(MATCH(Calendar!$A18,DB!$1:$1,0)),FALSE)),"")</f>
        <v/>
      </c>
      <c r="GIF18" s="28" t="str">
        <f>IFERROR(IF(GIO3="No",IF(VLOOKUP(DATE($K$1,$K$2,GIF$4),Table1[],(MATCH(Calendar!$A18,DB!$1:$1,0)),FALSE)&gt;=5,"Good","Bad"),VLOOKUP(DATE($K$1,$K$2,GIF$4),Table1[],(MATCH(Calendar!$A18,DB!$1:$1,0)),FALSE)),"")</f>
        <v/>
      </c>
      <c r="GIG18" s="28" t="str">
        <f>IFERROR(IF(GIP3="No",IF(VLOOKUP(DATE($K$1,$K$2,GIG$4),Table1[],(MATCH(Calendar!$A18,DB!$1:$1,0)),FALSE)&gt;=5,"Good","Bad"),VLOOKUP(DATE($K$1,$K$2,GIG$4),Table1[],(MATCH(Calendar!$A18,DB!$1:$1,0)),FALSE)),"")</f>
        <v/>
      </c>
      <c r="GIH18" s="28" t="str">
        <f>IFERROR(IF(GIQ3="No",IF(VLOOKUP(DATE($K$1,$K$2,GIH$4),Table1[],(MATCH(Calendar!$A18,DB!$1:$1,0)),FALSE)&gt;=5,"Good","Bad"),VLOOKUP(DATE($K$1,$K$2,GIH$4),Table1[],(MATCH(Calendar!$A18,DB!$1:$1,0)),FALSE)),"")</f>
        <v/>
      </c>
      <c r="GII18" s="28" t="str">
        <f>IFERROR(IF(GIR3="No",IF(VLOOKUP(DATE($K$1,$K$2,GII$4),Table1[],(MATCH(Calendar!$A18,DB!$1:$1,0)),FALSE)&gt;=5,"Good","Bad"),VLOOKUP(DATE($K$1,$K$2,GII$4),Table1[],(MATCH(Calendar!$A18,DB!$1:$1,0)),FALSE)),"")</f>
        <v/>
      </c>
      <c r="GIJ18" s="28" t="str">
        <f>IFERROR(IF(GIS3="No",IF(VLOOKUP(DATE($K$1,$K$2,GIJ$4),Table1[],(MATCH(Calendar!$A18,DB!$1:$1,0)),FALSE)&gt;=5,"Good","Bad"),VLOOKUP(DATE($K$1,$K$2,GIJ$4),Table1[],(MATCH(Calendar!$A18,DB!$1:$1,0)),FALSE)),"")</f>
        <v/>
      </c>
      <c r="GIK18" s="28" t="str">
        <f>IFERROR(IF(GIT3="No",IF(VLOOKUP(DATE($K$1,$K$2,GIK$4),Table1[],(MATCH(Calendar!$A18,DB!$1:$1,0)),FALSE)&gt;=5,"Good","Bad"),VLOOKUP(DATE($K$1,$K$2,GIK$4),Table1[],(MATCH(Calendar!$A18,DB!$1:$1,0)),FALSE)),"")</f>
        <v/>
      </c>
      <c r="GIL18" s="28" t="str">
        <f>IFERROR(IF(GIU3="No",IF(VLOOKUP(DATE($K$1,$K$2,GIL$4),Table1[],(MATCH(Calendar!$A18,DB!$1:$1,0)),FALSE)&gt;=5,"Good","Bad"),VLOOKUP(DATE($K$1,$K$2,GIL$4),Table1[],(MATCH(Calendar!$A18,DB!$1:$1,0)),FALSE)),"")</f>
        <v/>
      </c>
      <c r="GIM18" s="28" t="str">
        <f>IFERROR(IF(GIV3="No",IF(VLOOKUP(DATE($K$1,$K$2,GIM$4),Table1[],(MATCH(Calendar!$A18,DB!$1:$1,0)),FALSE)&gt;=5,"Good","Bad"),VLOOKUP(DATE($K$1,$K$2,GIM$4),Table1[],(MATCH(Calendar!$A18,DB!$1:$1,0)),FALSE)),"")</f>
        <v/>
      </c>
      <c r="GIN18" s="28" t="str">
        <f>IFERROR(IF(GIW3="No",IF(VLOOKUP(DATE($K$1,$K$2,GIN$4),Table1[],(MATCH(Calendar!$A18,DB!$1:$1,0)),FALSE)&gt;=5,"Good","Bad"),VLOOKUP(DATE($K$1,$K$2,GIN$4),Table1[],(MATCH(Calendar!$A18,DB!$1:$1,0)),FALSE)),"")</f>
        <v/>
      </c>
      <c r="GIO18" s="28" t="str">
        <f>IFERROR(IF(GIX3="No",IF(VLOOKUP(DATE($K$1,$K$2,GIO$4),Table1[],(MATCH(Calendar!$A18,DB!$1:$1,0)),FALSE)&gt;=5,"Good","Bad"),VLOOKUP(DATE($K$1,$K$2,GIO$4),Table1[],(MATCH(Calendar!$A18,DB!$1:$1,0)),FALSE)),"")</f>
        <v/>
      </c>
      <c r="GIP18" s="28" t="str">
        <f>IFERROR(IF(GIY3="No",IF(VLOOKUP(DATE($K$1,$K$2,GIP$4),Table1[],(MATCH(Calendar!$A18,DB!$1:$1,0)),FALSE)&gt;=5,"Good","Bad"),VLOOKUP(DATE($K$1,$K$2,GIP$4),Table1[],(MATCH(Calendar!$A18,DB!$1:$1,0)),FALSE)),"")</f>
        <v/>
      </c>
      <c r="GIQ18" s="28" t="str">
        <f>IFERROR(IF(GIZ3="No",IF(VLOOKUP(DATE($K$1,$K$2,GIQ$4),Table1[],(MATCH(Calendar!$A18,DB!$1:$1,0)),FALSE)&gt;=5,"Good","Bad"),VLOOKUP(DATE($K$1,$K$2,GIQ$4),Table1[],(MATCH(Calendar!$A18,DB!$1:$1,0)),FALSE)),"")</f>
        <v/>
      </c>
      <c r="GIR18" s="28" t="str">
        <f>IFERROR(IF(GJA3="No",IF(VLOOKUP(DATE($K$1,$K$2,GIR$4),Table1[],(MATCH(Calendar!$A18,DB!$1:$1,0)),FALSE)&gt;=5,"Good","Bad"),VLOOKUP(DATE($K$1,$K$2,GIR$4),Table1[],(MATCH(Calendar!$A18,DB!$1:$1,0)),FALSE)),"")</f>
        <v/>
      </c>
      <c r="GIS18" s="28" t="str">
        <f>IFERROR(IF(GJB3="No",IF(VLOOKUP(DATE($K$1,$K$2,GIS$4),Table1[],(MATCH(Calendar!$A18,DB!$1:$1,0)),FALSE)&gt;=5,"Good","Bad"),VLOOKUP(DATE($K$1,$K$2,GIS$4),Table1[],(MATCH(Calendar!$A18,DB!$1:$1,0)),FALSE)),"")</f>
        <v/>
      </c>
      <c r="GIT18" s="28" t="str">
        <f>IFERROR(IF(GJC3="No",IF(VLOOKUP(DATE($K$1,$K$2,GIT$4),Table1[],(MATCH(Calendar!$A18,DB!$1:$1,0)),FALSE)&gt;=5,"Good","Bad"),VLOOKUP(DATE($K$1,$K$2,GIT$4),Table1[],(MATCH(Calendar!$A18,DB!$1:$1,0)),FALSE)),"")</f>
        <v/>
      </c>
      <c r="GIU18" s="28" t="str">
        <f>IFERROR(IF(GJD3="No",IF(VLOOKUP(DATE($K$1,$K$2,GIU$4),Table1[],(MATCH(Calendar!$A18,DB!$1:$1,0)),FALSE)&gt;=5,"Good","Bad"),VLOOKUP(DATE($K$1,$K$2,GIU$4),Table1[],(MATCH(Calendar!$A18,DB!$1:$1,0)),FALSE)),"")</f>
        <v/>
      </c>
      <c r="GIV18" s="28" t="str">
        <f>IFERROR(IF(GJE3="No",IF(VLOOKUP(DATE($K$1,$K$2,GIV$4),Table1[],(MATCH(Calendar!$A18,DB!$1:$1,0)),FALSE)&gt;=5,"Good","Bad"),VLOOKUP(DATE($K$1,$K$2,GIV$4),Table1[],(MATCH(Calendar!$A18,DB!$1:$1,0)),FALSE)),"")</f>
        <v/>
      </c>
      <c r="GIW18" s="28" t="str">
        <f>IFERROR(IF(GJF3="No",IF(VLOOKUP(DATE($K$1,$K$2,GIW$4),Table1[],(MATCH(Calendar!$A18,DB!$1:$1,0)),FALSE)&gt;=5,"Good","Bad"),VLOOKUP(DATE($K$1,$K$2,GIW$4),Table1[],(MATCH(Calendar!$A18,DB!$1:$1,0)),FALSE)),"")</f>
        <v/>
      </c>
      <c r="GIX18" s="28" t="str">
        <f>IFERROR(IF(GJG3="No",IF(VLOOKUP(DATE($K$1,$K$2,GIX$4),Table1[],(MATCH(Calendar!$A18,DB!$1:$1,0)),FALSE)&gt;=5,"Good","Bad"),VLOOKUP(DATE($K$1,$K$2,GIX$4),Table1[],(MATCH(Calendar!$A18,DB!$1:$1,0)),FALSE)),"")</f>
        <v/>
      </c>
      <c r="GIY18" s="28" t="str">
        <f>IFERROR(IF(GJH3="No",IF(VLOOKUP(DATE($K$1,$K$2,GIY$4),Table1[],(MATCH(Calendar!$A18,DB!$1:$1,0)),FALSE)&gt;=5,"Good","Bad"),VLOOKUP(DATE($K$1,$K$2,GIY$4),Table1[],(MATCH(Calendar!$A18,DB!$1:$1,0)),FALSE)),"")</f>
        <v/>
      </c>
      <c r="GIZ18" s="28" t="str">
        <f>IFERROR(IF(GJI3="No",IF(VLOOKUP(DATE($K$1,$K$2,GIZ$4),Table1[],(MATCH(Calendar!$A18,DB!$1:$1,0)),FALSE)&gt;=5,"Good","Bad"),VLOOKUP(DATE($K$1,$K$2,GIZ$4),Table1[],(MATCH(Calendar!$A18,DB!$1:$1,0)),FALSE)),"")</f>
        <v/>
      </c>
      <c r="GJA18" s="28" t="str">
        <f>IFERROR(IF(GJJ3="No",IF(VLOOKUP(DATE($K$1,$K$2,GJA$4),Table1[],(MATCH(Calendar!$A18,DB!$1:$1,0)),FALSE)&gt;=5,"Good","Bad"),VLOOKUP(DATE($K$1,$K$2,GJA$4),Table1[],(MATCH(Calendar!$A18,DB!$1:$1,0)),FALSE)),"")</f>
        <v/>
      </c>
      <c r="GJB18" s="28" t="str">
        <f>IFERROR(IF(GJK3="No",IF(VLOOKUP(DATE($K$1,$K$2,GJB$4),Table1[],(MATCH(Calendar!$A18,DB!$1:$1,0)),FALSE)&gt;=5,"Good","Bad"),VLOOKUP(DATE($K$1,$K$2,GJB$4),Table1[],(MATCH(Calendar!$A18,DB!$1:$1,0)),FALSE)),"")</f>
        <v/>
      </c>
      <c r="GJC18" s="28" t="str">
        <f>IFERROR(IF(GJL3="No",IF(VLOOKUP(DATE($K$1,$K$2,GJC$4),Table1[],(MATCH(Calendar!$A18,DB!$1:$1,0)),FALSE)&gt;=5,"Good","Bad"),VLOOKUP(DATE($K$1,$K$2,GJC$4),Table1[],(MATCH(Calendar!$A18,DB!$1:$1,0)),FALSE)),"")</f>
        <v/>
      </c>
      <c r="GJD18" s="28" t="str">
        <f>IFERROR(IF(GJM3="No",IF(VLOOKUP(DATE($K$1,$K$2,GJD$4),Table1[],(MATCH(Calendar!$A18,DB!$1:$1,0)),FALSE)&gt;=5,"Good","Bad"),VLOOKUP(DATE($K$1,$K$2,GJD$4),Table1[],(MATCH(Calendar!$A18,DB!$1:$1,0)),FALSE)),"")</f>
        <v/>
      </c>
      <c r="GJE18" s="28" t="str">
        <f>IFERROR(IF(GJN3="No",IF(VLOOKUP(DATE($K$1,$K$2,GJE$4),Table1[],(MATCH(Calendar!$A18,DB!$1:$1,0)),FALSE)&gt;=5,"Good","Bad"),VLOOKUP(DATE($K$1,$K$2,GJE$4),Table1[],(MATCH(Calendar!$A18,DB!$1:$1,0)),FALSE)),"")</f>
        <v/>
      </c>
      <c r="GJF18" s="28" t="str">
        <f>IFERROR(IF(GJO3="No",IF(VLOOKUP(DATE($K$1,$K$2,GJF$4),Table1[],(MATCH(Calendar!$A18,DB!$1:$1,0)),FALSE)&gt;=5,"Good","Bad"),VLOOKUP(DATE($K$1,$K$2,GJF$4),Table1[],(MATCH(Calendar!$A18,DB!$1:$1,0)),FALSE)),"")</f>
        <v/>
      </c>
      <c r="GJG18" s="28" t="str">
        <f>IFERROR(IF(GJP3="No",IF(VLOOKUP(DATE($K$1,$K$2,GJG$4),Table1[],(MATCH(Calendar!$A18,DB!$1:$1,0)),FALSE)&gt;=5,"Good","Bad"),VLOOKUP(DATE($K$1,$K$2,GJG$4),Table1[],(MATCH(Calendar!$A18,DB!$1:$1,0)),FALSE)),"")</f>
        <v/>
      </c>
      <c r="GJH18" s="28" t="str">
        <f>IFERROR(IF(GJQ3="No",IF(VLOOKUP(DATE($K$1,$K$2,GJH$4),Table1[],(MATCH(Calendar!$A18,DB!$1:$1,0)),FALSE)&gt;=5,"Good","Bad"),VLOOKUP(DATE($K$1,$K$2,GJH$4),Table1[],(MATCH(Calendar!$A18,DB!$1:$1,0)),FALSE)),"")</f>
        <v/>
      </c>
      <c r="GJI18" s="28" t="str">
        <f>IFERROR(IF(GJR3="No",IF(VLOOKUP(DATE($K$1,$K$2,GJI$4),Table1[],(MATCH(Calendar!$A18,DB!$1:$1,0)),FALSE)&gt;=5,"Good","Bad"),VLOOKUP(DATE($K$1,$K$2,GJI$4),Table1[],(MATCH(Calendar!$A18,DB!$1:$1,0)),FALSE)),"")</f>
        <v/>
      </c>
      <c r="GJJ18" s="28" t="str">
        <f>IFERROR(IF(GJS3="No",IF(VLOOKUP(DATE($K$1,$K$2,GJJ$4),Table1[],(MATCH(Calendar!$A18,DB!$1:$1,0)),FALSE)&gt;=5,"Good","Bad"),VLOOKUP(DATE($K$1,$K$2,GJJ$4),Table1[],(MATCH(Calendar!$A18,DB!$1:$1,0)),FALSE)),"")</f>
        <v/>
      </c>
      <c r="GJK18" s="28" t="str">
        <f>IFERROR(IF(GJT3="No",IF(VLOOKUP(DATE($K$1,$K$2,GJK$4),Table1[],(MATCH(Calendar!$A18,DB!$1:$1,0)),FALSE)&gt;=5,"Good","Bad"),VLOOKUP(DATE($K$1,$K$2,GJK$4),Table1[],(MATCH(Calendar!$A18,DB!$1:$1,0)),FALSE)),"")</f>
        <v/>
      </c>
      <c r="GJL18" s="28" t="str">
        <f>IFERROR(IF(GJU3="No",IF(VLOOKUP(DATE($K$1,$K$2,GJL$4),Table1[],(MATCH(Calendar!$A18,DB!$1:$1,0)),FALSE)&gt;=5,"Good","Bad"),VLOOKUP(DATE($K$1,$K$2,GJL$4),Table1[],(MATCH(Calendar!$A18,DB!$1:$1,0)),FALSE)),"")</f>
        <v/>
      </c>
      <c r="GJM18" s="28" t="str">
        <f>IFERROR(IF(GJV3="No",IF(VLOOKUP(DATE($K$1,$K$2,GJM$4),Table1[],(MATCH(Calendar!$A18,DB!$1:$1,0)),FALSE)&gt;=5,"Good","Bad"),VLOOKUP(DATE($K$1,$K$2,GJM$4),Table1[],(MATCH(Calendar!$A18,DB!$1:$1,0)),FALSE)),"")</f>
        <v/>
      </c>
      <c r="GJN18" s="28" t="str">
        <f>IFERROR(IF(GJW3="No",IF(VLOOKUP(DATE($K$1,$K$2,GJN$4),Table1[],(MATCH(Calendar!$A18,DB!$1:$1,0)),FALSE)&gt;=5,"Good","Bad"),VLOOKUP(DATE($K$1,$K$2,GJN$4),Table1[],(MATCH(Calendar!$A18,DB!$1:$1,0)),FALSE)),"")</f>
        <v/>
      </c>
      <c r="GJO18" s="28" t="str">
        <f>IFERROR(IF(GJX3="No",IF(VLOOKUP(DATE($K$1,$K$2,GJO$4),Table1[],(MATCH(Calendar!$A18,DB!$1:$1,0)),FALSE)&gt;=5,"Good","Bad"),VLOOKUP(DATE($K$1,$K$2,GJO$4),Table1[],(MATCH(Calendar!$A18,DB!$1:$1,0)),FALSE)),"")</f>
        <v/>
      </c>
      <c r="GJP18" s="28" t="str">
        <f>IFERROR(IF(GJY3="No",IF(VLOOKUP(DATE($K$1,$K$2,GJP$4),Table1[],(MATCH(Calendar!$A18,DB!$1:$1,0)),FALSE)&gt;=5,"Good","Bad"),VLOOKUP(DATE($K$1,$K$2,GJP$4),Table1[],(MATCH(Calendar!$A18,DB!$1:$1,0)),FALSE)),"")</f>
        <v/>
      </c>
      <c r="GJQ18" s="28" t="str">
        <f>IFERROR(IF(GJZ3="No",IF(VLOOKUP(DATE($K$1,$K$2,GJQ$4),Table1[],(MATCH(Calendar!$A18,DB!$1:$1,0)),FALSE)&gt;=5,"Good","Bad"),VLOOKUP(DATE($K$1,$K$2,GJQ$4),Table1[],(MATCH(Calendar!$A18,DB!$1:$1,0)),FALSE)),"")</f>
        <v/>
      </c>
      <c r="GJR18" s="28" t="str">
        <f>IFERROR(IF(GKA3="No",IF(VLOOKUP(DATE($K$1,$K$2,GJR$4),Table1[],(MATCH(Calendar!$A18,DB!$1:$1,0)),FALSE)&gt;=5,"Good","Bad"),VLOOKUP(DATE($K$1,$K$2,GJR$4),Table1[],(MATCH(Calendar!$A18,DB!$1:$1,0)),FALSE)),"")</f>
        <v/>
      </c>
      <c r="GJS18" s="28" t="str">
        <f>IFERROR(IF(GKB3="No",IF(VLOOKUP(DATE($K$1,$K$2,GJS$4),Table1[],(MATCH(Calendar!$A18,DB!$1:$1,0)),FALSE)&gt;=5,"Good","Bad"),VLOOKUP(DATE($K$1,$K$2,GJS$4),Table1[],(MATCH(Calendar!$A18,DB!$1:$1,0)),FALSE)),"")</f>
        <v/>
      </c>
      <c r="GJT18" s="28" t="str">
        <f>IFERROR(IF(GKC3="No",IF(VLOOKUP(DATE($K$1,$K$2,GJT$4),Table1[],(MATCH(Calendar!$A18,DB!$1:$1,0)),FALSE)&gt;=5,"Good","Bad"),VLOOKUP(DATE($K$1,$K$2,GJT$4),Table1[],(MATCH(Calendar!$A18,DB!$1:$1,0)),FALSE)),"")</f>
        <v/>
      </c>
      <c r="GJU18" s="28" t="str">
        <f>IFERROR(IF(GKD3="No",IF(VLOOKUP(DATE($K$1,$K$2,GJU$4),Table1[],(MATCH(Calendar!$A18,DB!$1:$1,0)),FALSE)&gt;=5,"Good","Bad"),VLOOKUP(DATE($K$1,$K$2,GJU$4),Table1[],(MATCH(Calendar!$A18,DB!$1:$1,0)),FALSE)),"")</f>
        <v/>
      </c>
      <c r="GJV18" s="28" t="str">
        <f>IFERROR(IF(GKE3="No",IF(VLOOKUP(DATE($K$1,$K$2,GJV$4),Table1[],(MATCH(Calendar!$A18,DB!$1:$1,0)),FALSE)&gt;=5,"Good","Bad"),VLOOKUP(DATE($K$1,$K$2,GJV$4),Table1[],(MATCH(Calendar!$A18,DB!$1:$1,0)),FALSE)),"")</f>
        <v/>
      </c>
      <c r="GJW18" s="28" t="str">
        <f>IFERROR(IF(GKF3="No",IF(VLOOKUP(DATE($K$1,$K$2,GJW$4),Table1[],(MATCH(Calendar!$A18,DB!$1:$1,0)),FALSE)&gt;=5,"Good","Bad"),VLOOKUP(DATE($K$1,$K$2,GJW$4),Table1[],(MATCH(Calendar!$A18,DB!$1:$1,0)),FALSE)),"")</f>
        <v/>
      </c>
      <c r="GJX18" s="28" t="str">
        <f>IFERROR(IF(GKG3="No",IF(VLOOKUP(DATE($K$1,$K$2,GJX$4),Table1[],(MATCH(Calendar!$A18,DB!$1:$1,0)),FALSE)&gt;=5,"Good","Bad"),VLOOKUP(DATE($K$1,$K$2,GJX$4),Table1[],(MATCH(Calendar!$A18,DB!$1:$1,0)),FALSE)),"")</f>
        <v/>
      </c>
      <c r="GJY18" s="28" t="str">
        <f>IFERROR(IF(GKH3="No",IF(VLOOKUP(DATE($K$1,$K$2,GJY$4),Table1[],(MATCH(Calendar!$A18,DB!$1:$1,0)),FALSE)&gt;=5,"Good","Bad"),VLOOKUP(DATE($K$1,$K$2,GJY$4),Table1[],(MATCH(Calendar!$A18,DB!$1:$1,0)),FALSE)),"")</f>
        <v/>
      </c>
      <c r="GJZ18" s="28" t="str">
        <f>IFERROR(IF(GKI3="No",IF(VLOOKUP(DATE($K$1,$K$2,GJZ$4),Table1[],(MATCH(Calendar!$A18,DB!$1:$1,0)),FALSE)&gt;=5,"Good","Bad"),VLOOKUP(DATE($K$1,$K$2,GJZ$4),Table1[],(MATCH(Calendar!$A18,DB!$1:$1,0)),FALSE)),"")</f>
        <v/>
      </c>
      <c r="GKA18" s="28" t="str">
        <f>IFERROR(IF(GKJ3="No",IF(VLOOKUP(DATE($K$1,$K$2,GKA$4),Table1[],(MATCH(Calendar!$A18,DB!$1:$1,0)),FALSE)&gt;=5,"Good","Bad"),VLOOKUP(DATE($K$1,$K$2,GKA$4),Table1[],(MATCH(Calendar!$A18,DB!$1:$1,0)),FALSE)),"")</f>
        <v/>
      </c>
      <c r="GKB18" s="28" t="str">
        <f>IFERROR(IF(GKK3="No",IF(VLOOKUP(DATE($K$1,$K$2,GKB$4),Table1[],(MATCH(Calendar!$A18,DB!$1:$1,0)),FALSE)&gt;=5,"Good","Bad"),VLOOKUP(DATE($K$1,$K$2,GKB$4),Table1[],(MATCH(Calendar!$A18,DB!$1:$1,0)),FALSE)),"")</f>
        <v/>
      </c>
      <c r="GKC18" s="28" t="str">
        <f>IFERROR(IF(GKL3="No",IF(VLOOKUP(DATE($K$1,$K$2,GKC$4),Table1[],(MATCH(Calendar!$A18,DB!$1:$1,0)),FALSE)&gt;=5,"Good","Bad"),VLOOKUP(DATE($K$1,$K$2,GKC$4),Table1[],(MATCH(Calendar!$A18,DB!$1:$1,0)),FALSE)),"")</f>
        <v/>
      </c>
      <c r="GKD18" s="28" t="str">
        <f>IFERROR(IF(GKM3="No",IF(VLOOKUP(DATE($K$1,$K$2,GKD$4),Table1[],(MATCH(Calendar!$A18,DB!$1:$1,0)),FALSE)&gt;=5,"Good","Bad"),VLOOKUP(DATE($K$1,$K$2,GKD$4),Table1[],(MATCH(Calendar!$A18,DB!$1:$1,0)),FALSE)),"")</f>
        <v/>
      </c>
      <c r="GKE18" s="28" t="str">
        <f>IFERROR(IF(GKN3="No",IF(VLOOKUP(DATE($K$1,$K$2,GKE$4),Table1[],(MATCH(Calendar!$A18,DB!$1:$1,0)),FALSE)&gt;=5,"Good","Bad"),VLOOKUP(DATE($K$1,$K$2,GKE$4),Table1[],(MATCH(Calendar!$A18,DB!$1:$1,0)),FALSE)),"")</f>
        <v/>
      </c>
      <c r="GKF18" s="28" t="str">
        <f>IFERROR(IF(GKO3="No",IF(VLOOKUP(DATE($K$1,$K$2,GKF$4),Table1[],(MATCH(Calendar!$A18,DB!$1:$1,0)),FALSE)&gt;=5,"Good","Bad"),VLOOKUP(DATE($K$1,$K$2,GKF$4),Table1[],(MATCH(Calendar!$A18,DB!$1:$1,0)),FALSE)),"")</f>
        <v/>
      </c>
      <c r="GKG18" s="28" t="str">
        <f>IFERROR(IF(GKP3="No",IF(VLOOKUP(DATE($K$1,$K$2,GKG$4),Table1[],(MATCH(Calendar!$A18,DB!$1:$1,0)),FALSE)&gt;=5,"Good","Bad"),VLOOKUP(DATE($K$1,$K$2,GKG$4),Table1[],(MATCH(Calendar!$A18,DB!$1:$1,0)),FALSE)),"")</f>
        <v/>
      </c>
      <c r="GKH18" s="28" t="str">
        <f>IFERROR(IF(GKQ3="No",IF(VLOOKUP(DATE($K$1,$K$2,GKH$4),Table1[],(MATCH(Calendar!$A18,DB!$1:$1,0)),FALSE)&gt;=5,"Good","Bad"),VLOOKUP(DATE($K$1,$K$2,GKH$4),Table1[],(MATCH(Calendar!$A18,DB!$1:$1,0)),FALSE)),"")</f>
        <v/>
      </c>
      <c r="GKI18" s="28" t="str">
        <f>IFERROR(IF(GKR3="No",IF(VLOOKUP(DATE($K$1,$K$2,GKI$4),Table1[],(MATCH(Calendar!$A18,DB!$1:$1,0)),FALSE)&gt;=5,"Good","Bad"),VLOOKUP(DATE($K$1,$K$2,GKI$4),Table1[],(MATCH(Calendar!$A18,DB!$1:$1,0)),FALSE)),"")</f>
        <v/>
      </c>
      <c r="GKJ18" s="28" t="str">
        <f>IFERROR(IF(GKS3="No",IF(VLOOKUP(DATE($K$1,$K$2,GKJ$4),Table1[],(MATCH(Calendar!$A18,DB!$1:$1,0)),FALSE)&gt;=5,"Good","Bad"),VLOOKUP(DATE($K$1,$K$2,GKJ$4),Table1[],(MATCH(Calendar!$A18,DB!$1:$1,0)),FALSE)),"")</f>
        <v/>
      </c>
      <c r="GKK18" s="28" t="str">
        <f>IFERROR(IF(GKT3="No",IF(VLOOKUP(DATE($K$1,$K$2,GKK$4),Table1[],(MATCH(Calendar!$A18,DB!$1:$1,0)),FALSE)&gt;=5,"Good","Bad"),VLOOKUP(DATE($K$1,$K$2,GKK$4),Table1[],(MATCH(Calendar!$A18,DB!$1:$1,0)),FALSE)),"")</f>
        <v/>
      </c>
      <c r="GKL18" s="28" t="str">
        <f>IFERROR(IF(GKU3="No",IF(VLOOKUP(DATE($K$1,$K$2,GKL$4),Table1[],(MATCH(Calendar!$A18,DB!$1:$1,0)),FALSE)&gt;=5,"Good","Bad"),VLOOKUP(DATE($K$1,$K$2,GKL$4),Table1[],(MATCH(Calendar!$A18,DB!$1:$1,0)),FALSE)),"")</f>
        <v/>
      </c>
      <c r="GKM18" s="28" t="str">
        <f>IFERROR(IF(GKV3="No",IF(VLOOKUP(DATE($K$1,$K$2,GKM$4),Table1[],(MATCH(Calendar!$A18,DB!$1:$1,0)),FALSE)&gt;=5,"Good","Bad"),VLOOKUP(DATE($K$1,$K$2,GKM$4),Table1[],(MATCH(Calendar!$A18,DB!$1:$1,0)),FALSE)),"")</f>
        <v/>
      </c>
      <c r="GKN18" s="28" t="str">
        <f>IFERROR(IF(GKW3="No",IF(VLOOKUP(DATE($K$1,$K$2,GKN$4),Table1[],(MATCH(Calendar!$A18,DB!$1:$1,0)),FALSE)&gt;=5,"Good","Bad"),VLOOKUP(DATE($K$1,$K$2,GKN$4),Table1[],(MATCH(Calendar!$A18,DB!$1:$1,0)),FALSE)),"")</f>
        <v/>
      </c>
      <c r="GKO18" s="28" t="str">
        <f>IFERROR(IF(GKX3="No",IF(VLOOKUP(DATE($K$1,$K$2,GKO$4),Table1[],(MATCH(Calendar!$A18,DB!$1:$1,0)),FALSE)&gt;=5,"Good","Bad"),VLOOKUP(DATE($K$1,$K$2,GKO$4),Table1[],(MATCH(Calendar!$A18,DB!$1:$1,0)),FALSE)),"")</f>
        <v/>
      </c>
      <c r="GKP18" s="28" t="str">
        <f>IFERROR(IF(GKY3="No",IF(VLOOKUP(DATE($K$1,$K$2,GKP$4),Table1[],(MATCH(Calendar!$A18,DB!$1:$1,0)),FALSE)&gt;=5,"Good","Bad"),VLOOKUP(DATE($K$1,$K$2,GKP$4),Table1[],(MATCH(Calendar!$A18,DB!$1:$1,0)),FALSE)),"")</f>
        <v/>
      </c>
      <c r="GKQ18" s="28" t="str">
        <f>IFERROR(IF(GKZ3="No",IF(VLOOKUP(DATE($K$1,$K$2,GKQ$4),Table1[],(MATCH(Calendar!$A18,DB!$1:$1,0)),FALSE)&gt;=5,"Good","Bad"),VLOOKUP(DATE($K$1,$K$2,GKQ$4),Table1[],(MATCH(Calendar!$A18,DB!$1:$1,0)),FALSE)),"")</f>
        <v/>
      </c>
      <c r="GKR18" s="28" t="str">
        <f>IFERROR(IF(GLA3="No",IF(VLOOKUP(DATE($K$1,$K$2,GKR$4),Table1[],(MATCH(Calendar!$A18,DB!$1:$1,0)),FALSE)&gt;=5,"Good","Bad"),VLOOKUP(DATE($K$1,$K$2,GKR$4),Table1[],(MATCH(Calendar!$A18,DB!$1:$1,0)),FALSE)),"")</f>
        <v/>
      </c>
      <c r="GKS18" s="28" t="str">
        <f>IFERROR(IF(GLB3="No",IF(VLOOKUP(DATE($K$1,$K$2,GKS$4),Table1[],(MATCH(Calendar!$A18,DB!$1:$1,0)),FALSE)&gt;=5,"Good","Bad"),VLOOKUP(DATE($K$1,$K$2,GKS$4),Table1[],(MATCH(Calendar!$A18,DB!$1:$1,0)),FALSE)),"")</f>
        <v/>
      </c>
      <c r="GKT18" s="28" t="str">
        <f>IFERROR(IF(GLC3="No",IF(VLOOKUP(DATE($K$1,$K$2,GKT$4),Table1[],(MATCH(Calendar!$A18,DB!$1:$1,0)),FALSE)&gt;=5,"Good","Bad"),VLOOKUP(DATE($K$1,$K$2,GKT$4),Table1[],(MATCH(Calendar!$A18,DB!$1:$1,0)),FALSE)),"")</f>
        <v/>
      </c>
      <c r="GKU18" s="28" t="str">
        <f>IFERROR(IF(GLD3="No",IF(VLOOKUP(DATE($K$1,$K$2,GKU$4),Table1[],(MATCH(Calendar!$A18,DB!$1:$1,0)),FALSE)&gt;=5,"Good","Bad"),VLOOKUP(DATE($K$1,$K$2,GKU$4),Table1[],(MATCH(Calendar!$A18,DB!$1:$1,0)),FALSE)),"")</f>
        <v/>
      </c>
      <c r="GKV18" s="28" t="str">
        <f>IFERROR(IF(GLE3="No",IF(VLOOKUP(DATE($K$1,$K$2,GKV$4),Table1[],(MATCH(Calendar!$A18,DB!$1:$1,0)),FALSE)&gt;=5,"Good","Bad"),VLOOKUP(DATE($K$1,$K$2,GKV$4),Table1[],(MATCH(Calendar!$A18,DB!$1:$1,0)),FALSE)),"")</f>
        <v/>
      </c>
      <c r="GKW18" s="28" t="str">
        <f>IFERROR(IF(GLF3="No",IF(VLOOKUP(DATE($K$1,$K$2,GKW$4),Table1[],(MATCH(Calendar!$A18,DB!$1:$1,0)),FALSE)&gt;=5,"Good","Bad"),VLOOKUP(DATE($K$1,$K$2,GKW$4),Table1[],(MATCH(Calendar!$A18,DB!$1:$1,0)),FALSE)),"")</f>
        <v/>
      </c>
      <c r="GKX18" s="28" t="str">
        <f>IFERROR(IF(GLG3="No",IF(VLOOKUP(DATE($K$1,$K$2,GKX$4),Table1[],(MATCH(Calendar!$A18,DB!$1:$1,0)),FALSE)&gt;=5,"Good","Bad"),VLOOKUP(DATE($K$1,$K$2,GKX$4),Table1[],(MATCH(Calendar!$A18,DB!$1:$1,0)),FALSE)),"")</f>
        <v/>
      </c>
      <c r="GKY18" s="28" t="str">
        <f>IFERROR(IF(GLH3="No",IF(VLOOKUP(DATE($K$1,$K$2,GKY$4),Table1[],(MATCH(Calendar!$A18,DB!$1:$1,0)),FALSE)&gt;=5,"Good","Bad"),VLOOKUP(DATE($K$1,$K$2,GKY$4),Table1[],(MATCH(Calendar!$A18,DB!$1:$1,0)),FALSE)),"")</f>
        <v/>
      </c>
      <c r="GKZ18" s="28" t="str">
        <f>IFERROR(IF(GLI3="No",IF(VLOOKUP(DATE($K$1,$K$2,GKZ$4),Table1[],(MATCH(Calendar!$A18,DB!$1:$1,0)),FALSE)&gt;=5,"Good","Bad"),VLOOKUP(DATE($K$1,$K$2,GKZ$4),Table1[],(MATCH(Calendar!$A18,DB!$1:$1,0)),FALSE)),"")</f>
        <v/>
      </c>
      <c r="GLA18" s="28" t="str">
        <f>IFERROR(IF(GLJ3="No",IF(VLOOKUP(DATE($K$1,$K$2,GLA$4),Table1[],(MATCH(Calendar!$A18,DB!$1:$1,0)),FALSE)&gt;=5,"Good","Bad"),VLOOKUP(DATE($K$1,$K$2,GLA$4),Table1[],(MATCH(Calendar!$A18,DB!$1:$1,0)),FALSE)),"")</f>
        <v/>
      </c>
      <c r="GLB18" s="28" t="str">
        <f>IFERROR(IF(GLK3="No",IF(VLOOKUP(DATE($K$1,$K$2,GLB$4),Table1[],(MATCH(Calendar!$A18,DB!$1:$1,0)),FALSE)&gt;=5,"Good","Bad"),VLOOKUP(DATE($K$1,$K$2,GLB$4),Table1[],(MATCH(Calendar!$A18,DB!$1:$1,0)),FALSE)),"")</f>
        <v/>
      </c>
      <c r="GLC18" s="28" t="str">
        <f>IFERROR(IF(GLL3="No",IF(VLOOKUP(DATE($K$1,$K$2,GLC$4),Table1[],(MATCH(Calendar!$A18,DB!$1:$1,0)),FALSE)&gt;=5,"Good","Bad"),VLOOKUP(DATE($K$1,$K$2,GLC$4),Table1[],(MATCH(Calendar!$A18,DB!$1:$1,0)),FALSE)),"")</f>
        <v/>
      </c>
      <c r="GLD18" s="28" t="str">
        <f>IFERROR(IF(GLM3="No",IF(VLOOKUP(DATE($K$1,$K$2,GLD$4),Table1[],(MATCH(Calendar!$A18,DB!$1:$1,0)),FALSE)&gt;=5,"Good","Bad"),VLOOKUP(DATE($K$1,$K$2,GLD$4),Table1[],(MATCH(Calendar!$A18,DB!$1:$1,0)),FALSE)),"")</f>
        <v/>
      </c>
      <c r="GLE18" s="28" t="str">
        <f>IFERROR(IF(GLN3="No",IF(VLOOKUP(DATE($K$1,$K$2,GLE$4),Table1[],(MATCH(Calendar!$A18,DB!$1:$1,0)),FALSE)&gt;=5,"Good","Bad"),VLOOKUP(DATE($K$1,$K$2,GLE$4),Table1[],(MATCH(Calendar!$A18,DB!$1:$1,0)),FALSE)),"")</f>
        <v/>
      </c>
      <c r="GLF18" s="28" t="str">
        <f>IFERROR(IF(GLO3="No",IF(VLOOKUP(DATE($K$1,$K$2,GLF$4),Table1[],(MATCH(Calendar!$A18,DB!$1:$1,0)),FALSE)&gt;=5,"Good","Bad"),VLOOKUP(DATE($K$1,$K$2,GLF$4),Table1[],(MATCH(Calendar!$A18,DB!$1:$1,0)),FALSE)),"")</f>
        <v/>
      </c>
      <c r="GLG18" s="28" t="str">
        <f>IFERROR(IF(GLP3="No",IF(VLOOKUP(DATE($K$1,$K$2,GLG$4),Table1[],(MATCH(Calendar!$A18,DB!$1:$1,0)),FALSE)&gt;=5,"Good","Bad"),VLOOKUP(DATE($K$1,$K$2,GLG$4),Table1[],(MATCH(Calendar!$A18,DB!$1:$1,0)),FALSE)),"")</f>
        <v/>
      </c>
      <c r="GLH18" s="28" t="str">
        <f>IFERROR(IF(GLQ3="No",IF(VLOOKUP(DATE($K$1,$K$2,GLH$4),Table1[],(MATCH(Calendar!$A18,DB!$1:$1,0)),FALSE)&gt;=5,"Good","Bad"),VLOOKUP(DATE($K$1,$K$2,GLH$4),Table1[],(MATCH(Calendar!$A18,DB!$1:$1,0)),FALSE)),"")</f>
        <v/>
      </c>
      <c r="GLI18" s="28" t="str">
        <f>IFERROR(IF(GLR3="No",IF(VLOOKUP(DATE($K$1,$K$2,GLI$4),Table1[],(MATCH(Calendar!$A18,DB!$1:$1,0)),FALSE)&gt;=5,"Good","Bad"),VLOOKUP(DATE($K$1,$K$2,GLI$4),Table1[],(MATCH(Calendar!$A18,DB!$1:$1,0)),FALSE)),"")</f>
        <v/>
      </c>
      <c r="GLJ18" s="28" t="str">
        <f>IFERROR(IF(GLS3="No",IF(VLOOKUP(DATE($K$1,$K$2,GLJ$4),Table1[],(MATCH(Calendar!$A18,DB!$1:$1,0)),FALSE)&gt;=5,"Good","Bad"),VLOOKUP(DATE($K$1,$K$2,GLJ$4),Table1[],(MATCH(Calendar!$A18,DB!$1:$1,0)),FALSE)),"")</f>
        <v/>
      </c>
      <c r="GLK18" s="28" t="str">
        <f>IFERROR(IF(GLT3="No",IF(VLOOKUP(DATE($K$1,$K$2,GLK$4),Table1[],(MATCH(Calendar!$A18,DB!$1:$1,0)),FALSE)&gt;=5,"Good","Bad"),VLOOKUP(DATE($K$1,$K$2,GLK$4),Table1[],(MATCH(Calendar!$A18,DB!$1:$1,0)),FALSE)),"")</f>
        <v/>
      </c>
      <c r="GLL18" s="28" t="str">
        <f>IFERROR(IF(GLU3="No",IF(VLOOKUP(DATE($K$1,$K$2,GLL$4),Table1[],(MATCH(Calendar!$A18,DB!$1:$1,0)),FALSE)&gt;=5,"Good","Bad"),VLOOKUP(DATE($K$1,$K$2,GLL$4),Table1[],(MATCH(Calendar!$A18,DB!$1:$1,0)),FALSE)),"")</f>
        <v/>
      </c>
      <c r="GLM18" s="28" t="str">
        <f>IFERROR(IF(GLV3="No",IF(VLOOKUP(DATE($K$1,$K$2,GLM$4),Table1[],(MATCH(Calendar!$A18,DB!$1:$1,0)),FALSE)&gt;=5,"Good","Bad"),VLOOKUP(DATE($K$1,$K$2,GLM$4),Table1[],(MATCH(Calendar!$A18,DB!$1:$1,0)),FALSE)),"")</f>
        <v/>
      </c>
      <c r="GLN18" s="28" t="str">
        <f>IFERROR(IF(GLW3="No",IF(VLOOKUP(DATE($K$1,$K$2,GLN$4),Table1[],(MATCH(Calendar!$A18,DB!$1:$1,0)),FALSE)&gt;=5,"Good","Bad"),VLOOKUP(DATE($K$1,$K$2,GLN$4),Table1[],(MATCH(Calendar!$A18,DB!$1:$1,0)),FALSE)),"")</f>
        <v/>
      </c>
      <c r="GLO18" s="28" t="str">
        <f>IFERROR(IF(GLX3="No",IF(VLOOKUP(DATE($K$1,$K$2,GLO$4),Table1[],(MATCH(Calendar!$A18,DB!$1:$1,0)),FALSE)&gt;=5,"Good","Bad"),VLOOKUP(DATE($K$1,$K$2,GLO$4),Table1[],(MATCH(Calendar!$A18,DB!$1:$1,0)),FALSE)),"")</f>
        <v/>
      </c>
      <c r="GLP18" s="28" t="str">
        <f>IFERROR(IF(GLY3="No",IF(VLOOKUP(DATE($K$1,$K$2,GLP$4),Table1[],(MATCH(Calendar!$A18,DB!$1:$1,0)),FALSE)&gt;=5,"Good","Bad"),VLOOKUP(DATE($K$1,$K$2,GLP$4),Table1[],(MATCH(Calendar!$A18,DB!$1:$1,0)),FALSE)),"")</f>
        <v/>
      </c>
      <c r="GLQ18" s="28" t="str">
        <f>IFERROR(IF(GLZ3="No",IF(VLOOKUP(DATE($K$1,$K$2,GLQ$4),Table1[],(MATCH(Calendar!$A18,DB!$1:$1,0)),FALSE)&gt;=5,"Good","Bad"),VLOOKUP(DATE($K$1,$K$2,GLQ$4),Table1[],(MATCH(Calendar!$A18,DB!$1:$1,0)),FALSE)),"")</f>
        <v/>
      </c>
      <c r="GLR18" s="28" t="str">
        <f>IFERROR(IF(GMA3="No",IF(VLOOKUP(DATE($K$1,$K$2,GLR$4),Table1[],(MATCH(Calendar!$A18,DB!$1:$1,0)),FALSE)&gt;=5,"Good","Bad"),VLOOKUP(DATE($K$1,$K$2,GLR$4),Table1[],(MATCH(Calendar!$A18,DB!$1:$1,0)),FALSE)),"")</f>
        <v/>
      </c>
      <c r="GLS18" s="28" t="str">
        <f>IFERROR(IF(GMB3="No",IF(VLOOKUP(DATE($K$1,$K$2,GLS$4),Table1[],(MATCH(Calendar!$A18,DB!$1:$1,0)),FALSE)&gt;=5,"Good","Bad"),VLOOKUP(DATE($K$1,$K$2,GLS$4),Table1[],(MATCH(Calendar!$A18,DB!$1:$1,0)),FALSE)),"")</f>
        <v/>
      </c>
      <c r="GLT18" s="28" t="str">
        <f>IFERROR(IF(GMC3="No",IF(VLOOKUP(DATE($K$1,$K$2,GLT$4),Table1[],(MATCH(Calendar!$A18,DB!$1:$1,0)),FALSE)&gt;=5,"Good","Bad"),VLOOKUP(DATE($K$1,$K$2,GLT$4),Table1[],(MATCH(Calendar!$A18,DB!$1:$1,0)),FALSE)),"")</f>
        <v/>
      </c>
      <c r="GLU18" s="28" t="str">
        <f>IFERROR(IF(GMD3="No",IF(VLOOKUP(DATE($K$1,$K$2,GLU$4),Table1[],(MATCH(Calendar!$A18,DB!$1:$1,0)),FALSE)&gt;=5,"Good","Bad"),VLOOKUP(DATE($K$1,$K$2,GLU$4),Table1[],(MATCH(Calendar!$A18,DB!$1:$1,0)),FALSE)),"")</f>
        <v/>
      </c>
      <c r="GLV18" s="28" t="str">
        <f>IFERROR(IF(GME3="No",IF(VLOOKUP(DATE($K$1,$K$2,GLV$4),Table1[],(MATCH(Calendar!$A18,DB!$1:$1,0)),FALSE)&gt;=5,"Good","Bad"),VLOOKUP(DATE($K$1,$K$2,GLV$4),Table1[],(MATCH(Calendar!$A18,DB!$1:$1,0)),FALSE)),"")</f>
        <v/>
      </c>
      <c r="GLW18" s="28" t="str">
        <f>IFERROR(IF(GMF3="No",IF(VLOOKUP(DATE($K$1,$K$2,GLW$4),Table1[],(MATCH(Calendar!$A18,DB!$1:$1,0)),FALSE)&gt;=5,"Good","Bad"),VLOOKUP(DATE($K$1,$K$2,GLW$4),Table1[],(MATCH(Calendar!$A18,DB!$1:$1,0)),FALSE)),"")</f>
        <v/>
      </c>
      <c r="GLX18" s="28" t="str">
        <f>IFERROR(IF(GMG3="No",IF(VLOOKUP(DATE($K$1,$K$2,GLX$4),Table1[],(MATCH(Calendar!$A18,DB!$1:$1,0)),FALSE)&gt;=5,"Good","Bad"),VLOOKUP(DATE($K$1,$K$2,GLX$4),Table1[],(MATCH(Calendar!$A18,DB!$1:$1,0)),FALSE)),"")</f>
        <v/>
      </c>
      <c r="GLY18" s="28" t="str">
        <f>IFERROR(IF(GMH3="No",IF(VLOOKUP(DATE($K$1,$K$2,GLY$4),Table1[],(MATCH(Calendar!$A18,DB!$1:$1,0)),FALSE)&gt;=5,"Good","Bad"),VLOOKUP(DATE($K$1,$K$2,GLY$4),Table1[],(MATCH(Calendar!$A18,DB!$1:$1,0)),FALSE)),"")</f>
        <v/>
      </c>
      <c r="GLZ18" s="28" t="str">
        <f>IFERROR(IF(GMI3="No",IF(VLOOKUP(DATE($K$1,$K$2,GLZ$4),Table1[],(MATCH(Calendar!$A18,DB!$1:$1,0)),FALSE)&gt;=5,"Good","Bad"),VLOOKUP(DATE($K$1,$K$2,GLZ$4),Table1[],(MATCH(Calendar!$A18,DB!$1:$1,0)),FALSE)),"")</f>
        <v/>
      </c>
      <c r="GMA18" s="28" t="str">
        <f>IFERROR(IF(GMJ3="No",IF(VLOOKUP(DATE($K$1,$K$2,GMA$4),Table1[],(MATCH(Calendar!$A18,DB!$1:$1,0)),FALSE)&gt;=5,"Good","Bad"),VLOOKUP(DATE($K$1,$K$2,GMA$4),Table1[],(MATCH(Calendar!$A18,DB!$1:$1,0)),FALSE)),"")</f>
        <v/>
      </c>
      <c r="GMB18" s="28" t="str">
        <f>IFERROR(IF(GMK3="No",IF(VLOOKUP(DATE($K$1,$K$2,GMB$4),Table1[],(MATCH(Calendar!$A18,DB!$1:$1,0)),FALSE)&gt;=5,"Good","Bad"),VLOOKUP(DATE($K$1,$K$2,GMB$4),Table1[],(MATCH(Calendar!$A18,DB!$1:$1,0)),FALSE)),"")</f>
        <v/>
      </c>
      <c r="GMC18" s="28" t="str">
        <f>IFERROR(IF(GML3="No",IF(VLOOKUP(DATE($K$1,$K$2,GMC$4),Table1[],(MATCH(Calendar!$A18,DB!$1:$1,0)),FALSE)&gt;=5,"Good","Bad"),VLOOKUP(DATE($K$1,$K$2,GMC$4),Table1[],(MATCH(Calendar!$A18,DB!$1:$1,0)),FALSE)),"")</f>
        <v/>
      </c>
      <c r="GMD18" s="28" t="str">
        <f>IFERROR(IF(GMM3="No",IF(VLOOKUP(DATE($K$1,$K$2,GMD$4),Table1[],(MATCH(Calendar!$A18,DB!$1:$1,0)),FALSE)&gt;=5,"Good","Bad"),VLOOKUP(DATE($K$1,$K$2,GMD$4),Table1[],(MATCH(Calendar!$A18,DB!$1:$1,0)),FALSE)),"")</f>
        <v/>
      </c>
      <c r="GME18" s="28" t="str">
        <f>IFERROR(IF(GMN3="No",IF(VLOOKUP(DATE($K$1,$K$2,GME$4),Table1[],(MATCH(Calendar!$A18,DB!$1:$1,0)),FALSE)&gt;=5,"Good","Bad"),VLOOKUP(DATE($K$1,$K$2,GME$4),Table1[],(MATCH(Calendar!$A18,DB!$1:$1,0)),FALSE)),"")</f>
        <v/>
      </c>
      <c r="GMF18" s="28" t="str">
        <f>IFERROR(IF(GMO3="No",IF(VLOOKUP(DATE($K$1,$K$2,GMF$4),Table1[],(MATCH(Calendar!$A18,DB!$1:$1,0)),FALSE)&gt;=5,"Good","Bad"),VLOOKUP(DATE($K$1,$K$2,GMF$4),Table1[],(MATCH(Calendar!$A18,DB!$1:$1,0)),FALSE)),"")</f>
        <v/>
      </c>
      <c r="GMG18" s="28" t="str">
        <f>IFERROR(IF(GMP3="No",IF(VLOOKUP(DATE($K$1,$K$2,GMG$4),Table1[],(MATCH(Calendar!$A18,DB!$1:$1,0)),FALSE)&gt;=5,"Good","Bad"),VLOOKUP(DATE($K$1,$K$2,GMG$4),Table1[],(MATCH(Calendar!$A18,DB!$1:$1,0)),FALSE)),"")</f>
        <v/>
      </c>
      <c r="GMH18" s="28" t="str">
        <f>IFERROR(IF(GMQ3="No",IF(VLOOKUP(DATE($K$1,$K$2,GMH$4),Table1[],(MATCH(Calendar!$A18,DB!$1:$1,0)),FALSE)&gt;=5,"Good","Bad"),VLOOKUP(DATE($K$1,$K$2,GMH$4),Table1[],(MATCH(Calendar!$A18,DB!$1:$1,0)),FALSE)),"")</f>
        <v/>
      </c>
      <c r="GMI18" s="28" t="str">
        <f>IFERROR(IF(GMR3="No",IF(VLOOKUP(DATE($K$1,$K$2,GMI$4),Table1[],(MATCH(Calendar!$A18,DB!$1:$1,0)),FALSE)&gt;=5,"Good","Bad"),VLOOKUP(DATE($K$1,$K$2,GMI$4),Table1[],(MATCH(Calendar!$A18,DB!$1:$1,0)),FALSE)),"")</f>
        <v/>
      </c>
      <c r="GMJ18" s="28" t="str">
        <f>IFERROR(IF(GMS3="No",IF(VLOOKUP(DATE($K$1,$K$2,GMJ$4),Table1[],(MATCH(Calendar!$A18,DB!$1:$1,0)),FALSE)&gt;=5,"Good","Bad"),VLOOKUP(DATE($K$1,$K$2,GMJ$4),Table1[],(MATCH(Calendar!$A18,DB!$1:$1,0)),FALSE)),"")</f>
        <v/>
      </c>
      <c r="GMK18" s="28" t="str">
        <f>IFERROR(IF(GMT3="No",IF(VLOOKUP(DATE($K$1,$K$2,GMK$4),Table1[],(MATCH(Calendar!$A18,DB!$1:$1,0)),FALSE)&gt;=5,"Good","Bad"),VLOOKUP(DATE($K$1,$K$2,GMK$4),Table1[],(MATCH(Calendar!$A18,DB!$1:$1,0)),FALSE)),"")</f>
        <v/>
      </c>
      <c r="GML18" s="28" t="str">
        <f>IFERROR(IF(GMU3="No",IF(VLOOKUP(DATE($K$1,$K$2,GML$4),Table1[],(MATCH(Calendar!$A18,DB!$1:$1,0)),FALSE)&gt;=5,"Good","Bad"),VLOOKUP(DATE($K$1,$K$2,GML$4),Table1[],(MATCH(Calendar!$A18,DB!$1:$1,0)),FALSE)),"")</f>
        <v/>
      </c>
      <c r="GMM18" s="28" t="str">
        <f>IFERROR(IF(GMV3="No",IF(VLOOKUP(DATE($K$1,$K$2,GMM$4),Table1[],(MATCH(Calendar!$A18,DB!$1:$1,0)),FALSE)&gt;=5,"Good","Bad"),VLOOKUP(DATE($K$1,$K$2,GMM$4),Table1[],(MATCH(Calendar!$A18,DB!$1:$1,0)),FALSE)),"")</f>
        <v/>
      </c>
      <c r="GMN18" s="28" t="str">
        <f>IFERROR(IF(GMW3="No",IF(VLOOKUP(DATE($K$1,$K$2,GMN$4),Table1[],(MATCH(Calendar!$A18,DB!$1:$1,0)),FALSE)&gt;=5,"Good","Bad"),VLOOKUP(DATE($K$1,$K$2,GMN$4),Table1[],(MATCH(Calendar!$A18,DB!$1:$1,0)),FALSE)),"")</f>
        <v/>
      </c>
      <c r="GMO18" s="28" t="str">
        <f>IFERROR(IF(GMX3="No",IF(VLOOKUP(DATE($K$1,$K$2,GMO$4),Table1[],(MATCH(Calendar!$A18,DB!$1:$1,0)),FALSE)&gt;=5,"Good","Bad"),VLOOKUP(DATE($K$1,$K$2,GMO$4),Table1[],(MATCH(Calendar!$A18,DB!$1:$1,0)),FALSE)),"")</f>
        <v/>
      </c>
      <c r="GMP18" s="28" t="str">
        <f>IFERROR(IF(GMY3="No",IF(VLOOKUP(DATE($K$1,$K$2,GMP$4),Table1[],(MATCH(Calendar!$A18,DB!$1:$1,0)),FALSE)&gt;=5,"Good","Bad"),VLOOKUP(DATE($K$1,$K$2,GMP$4),Table1[],(MATCH(Calendar!$A18,DB!$1:$1,0)),FALSE)),"")</f>
        <v/>
      </c>
      <c r="GMQ18" s="28" t="str">
        <f>IFERROR(IF(GMZ3="No",IF(VLOOKUP(DATE($K$1,$K$2,GMQ$4),Table1[],(MATCH(Calendar!$A18,DB!$1:$1,0)),FALSE)&gt;=5,"Good","Bad"),VLOOKUP(DATE($K$1,$K$2,GMQ$4),Table1[],(MATCH(Calendar!$A18,DB!$1:$1,0)),FALSE)),"")</f>
        <v/>
      </c>
      <c r="GMR18" s="28" t="str">
        <f>IFERROR(IF(GNA3="No",IF(VLOOKUP(DATE($K$1,$K$2,GMR$4),Table1[],(MATCH(Calendar!$A18,DB!$1:$1,0)),FALSE)&gt;=5,"Good","Bad"),VLOOKUP(DATE($K$1,$K$2,GMR$4),Table1[],(MATCH(Calendar!$A18,DB!$1:$1,0)),FALSE)),"")</f>
        <v/>
      </c>
      <c r="GMS18" s="28" t="str">
        <f>IFERROR(IF(GNB3="No",IF(VLOOKUP(DATE($K$1,$K$2,GMS$4),Table1[],(MATCH(Calendar!$A18,DB!$1:$1,0)),FALSE)&gt;=5,"Good","Bad"),VLOOKUP(DATE($K$1,$K$2,GMS$4),Table1[],(MATCH(Calendar!$A18,DB!$1:$1,0)),FALSE)),"")</f>
        <v/>
      </c>
      <c r="GMT18" s="28" t="str">
        <f>IFERROR(IF(GNC3="No",IF(VLOOKUP(DATE($K$1,$K$2,GMT$4),Table1[],(MATCH(Calendar!$A18,DB!$1:$1,0)),FALSE)&gt;=5,"Good","Bad"),VLOOKUP(DATE($K$1,$K$2,GMT$4),Table1[],(MATCH(Calendar!$A18,DB!$1:$1,0)),FALSE)),"")</f>
        <v/>
      </c>
      <c r="GMU18" s="28" t="str">
        <f>IFERROR(IF(GND3="No",IF(VLOOKUP(DATE($K$1,$K$2,GMU$4),Table1[],(MATCH(Calendar!$A18,DB!$1:$1,0)),FALSE)&gt;=5,"Good","Bad"),VLOOKUP(DATE($K$1,$K$2,GMU$4),Table1[],(MATCH(Calendar!$A18,DB!$1:$1,0)),FALSE)),"")</f>
        <v/>
      </c>
      <c r="GMV18" s="28" t="str">
        <f>IFERROR(IF(GNE3="No",IF(VLOOKUP(DATE($K$1,$K$2,GMV$4),Table1[],(MATCH(Calendar!$A18,DB!$1:$1,0)),FALSE)&gt;=5,"Good","Bad"),VLOOKUP(DATE($K$1,$K$2,GMV$4),Table1[],(MATCH(Calendar!$A18,DB!$1:$1,0)),FALSE)),"")</f>
        <v/>
      </c>
      <c r="GMW18" s="28" t="str">
        <f>IFERROR(IF(GNF3="No",IF(VLOOKUP(DATE($K$1,$K$2,GMW$4),Table1[],(MATCH(Calendar!$A18,DB!$1:$1,0)),FALSE)&gt;=5,"Good","Bad"),VLOOKUP(DATE($K$1,$K$2,GMW$4),Table1[],(MATCH(Calendar!$A18,DB!$1:$1,0)),FALSE)),"")</f>
        <v/>
      </c>
      <c r="GMX18" s="28" t="str">
        <f>IFERROR(IF(GNG3="No",IF(VLOOKUP(DATE($K$1,$K$2,GMX$4),Table1[],(MATCH(Calendar!$A18,DB!$1:$1,0)),FALSE)&gt;=5,"Good","Bad"),VLOOKUP(DATE($K$1,$K$2,GMX$4),Table1[],(MATCH(Calendar!$A18,DB!$1:$1,0)),FALSE)),"")</f>
        <v/>
      </c>
      <c r="GMY18" s="28" t="str">
        <f>IFERROR(IF(GNH3="No",IF(VLOOKUP(DATE($K$1,$K$2,GMY$4),Table1[],(MATCH(Calendar!$A18,DB!$1:$1,0)),FALSE)&gt;=5,"Good","Bad"),VLOOKUP(DATE($K$1,$K$2,GMY$4),Table1[],(MATCH(Calendar!$A18,DB!$1:$1,0)),FALSE)),"")</f>
        <v/>
      </c>
      <c r="GMZ18" s="28" t="str">
        <f>IFERROR(IF(GNI3="No",IF(VLOOKUP(DATE($K$1,$K$2,GMZ$4),Table1[],(MATCH(Calendar!$A18,DB!$1:$1,0)),FALSE)&gt;=5,"Good","Bad"),VLOOKUP(DATE($K$1,$K$2,GMZ$4),Table1[],(MATCH(Calendar!$A18,DB!$1:$1,0)),FALSE)),"")</f>
        <v/>
      </c>
      <c r="GNA18" s="28" t="str">
        <f>IFERROR(IF(GNJ3="No",IF(VLOOKUP(DATE($K$1,$K$2,GNA$4),Table1[],(MATCH(Calendar!$A18,DB!$1:$1,0)),FALSE)&gt;=5,"Good","Bad"),VLOOKUP(DATE($K$1,$K$2,GNA$4),Table1[],(MATCH(Calendar!$A18,DB!$1:$1,0)),FALSE)),"")</f>
        <v/>
      </c>
      <c r="GNB18" s="28" t="str">
        <f>IFERROR(IF(GNK3="No",IF(VLOOKUP(DATE($K$1,$K$2,GNB$4),Table1[],(MATCH(Calendar!$A18,DB!$1:$1,0)),FALSE)&gt;=5,"Good","Bad"),VLOOKUP(DATE($K$1,$K$2,GNB$4),Table1[],(MATCH(Calendar!$A18,DB!$1:$1,0)),FALSE)),"")</f>
        <v/>
      </c>
      <c r="GNC18" s="28" t="str">
        <f>IFERROR(IF(GNL3="No",IF(VLOOKUP(DATE($K$1,$K$2,GNC$4),Table1[],(MATCH(Calendar!$A18,DB!$1:$1,0)),FALSE)&gt;=5,"Good","Bad"),VLOOKUP(DATE($K$1,$K$2,GNC$4),Table1[],(MATCH(Calendar!$A18,DB!$1:$1,0)),FALSE)),"")</f>
        <v/>
      </c>
      <c r="GND18" s="28" t="str">
        <f>IFERROR(IF(GNM3="No",IF(VLOOKUP(DATE($K$1,$K$2,GND$4),Table1[],(MATCH(Calendar!$A18,DB!$1:$1,0)),FALSE)&gt;=5,"Good","Bad"),VLOOKUP(DATE($K$1,$K$2,GND$4),Table1[],(MATCH(Calendar!$A18,DB!$1:$1,0)),FALSE)),"")</f>
        <v/>
      </c>
      <c r="GNE18" s="28" t="str">
        <f>IFERROR(IF(GNN3="No",IF(VLOOKUP(DATE($K$1,$K$2,GNE$4),Table1[],(MATCH(Calendar!$A18,DB!$1:$1,0)),FALSE)&gt;=5,"Good","Bad"),VLOOKUP(DATE($K$1,$K$2,GNE$4),Table1[],(MATCH(Calendar!$A18,DB!$1:$1,0)),FALSE)),"")</f>
        <v/>
      </c>
      <c r="GNF18" s="28" t="str">
        <f>IFERROR(IF(GNO3="No",IF(VLOOKUP(DATE($K$1,$K$2,GNF$4),Table1[],(MATCH(Calendar!$A18,DB!$1:$1,0)),FALSE)&gt;=5,"Good","Bad"),VLOOKUP(DATE($K$1,$K$2,GNF$4),Table1[],(MATCH(Calendar!$A18,DB!$1:$1,0)),FALSE)),"")</f>
        <v/>
      </c>
      <c r="GNG18" s="28" t="str">
        <f>IFERROR(IF(GNP3="No",IF(VLOOKUP(DATE($K$1,$K$2,GNG$4),Table1[],(MATCH(Calendar!$A18,DB!$1:$1,0)),FALSE)&gt;=5,"Good","Bad"),VLOOKUP(DATE($K$1,$K$2,GNG$4),Table1[],(MATCH(Calendar!$A18,DB!$1:$1,0)),FALSE)),"")</f>
        <v/>
      </c>
      <c r="GNH18" s="28" t="str">
        <f>IFERROR(IF(GNQ3="No",IF(VLOOKUP(DATE($K$1,$K$2,GNH$4),Table1[],(MATCH(Calendar!$A18,DB!$1:$1,0)),FALSE)&gt;=5,"Good","Bad"),VLOOKUP(DATE($K$1,$K$2,GNH$4),Table1[],(MATCH(Calendar!$A18,DB!$1:$1,0)),FALSE)),"")</f>
        <v/>
      </c>
      <c r="GNI18" s="28" t="str">
        <f>IFERROR(IF(GNR3="No",IF(VLOOKUP(DATE($K$1,$K$2,GNI$4),Table1[],(MATCH(Calendar!$A18,DB!$1:$1,0)),FALSE)&gt;=5,"Good","Bad"),VLOOKUP(DATE($K$1,$K$2,GNI$4),Table1[],(MATCH(Calendar!$A18,DB!$1:$1,0)),FALSE)),"")</f>
        <v/>
      </c>
      <c r="GNJ18" s="28" t="str">
        <f>IFERROR(IF(GNS3="No",IF(VLOOKUP(DATE($K$1,$K$2,GNJ$4),Table1[],(MATCH(Calendar!$A18,DB!$1:$1,0)),FALSE)&gt;=5,"Good","Bad"),VLOOKUP(DATE($K$1,$K$2,GNJ$4),Table1[],(MATCH(Calendar!$A18,DB!$1:$1,0)),FALSE)),"")</f>
        <v/>
      </c>
      <c r="GNK18" s="28" t="str">
        <f>IFERROR(IF(GNT3="No",IF(VLOOKUP(DATE($K$1,$K$2,GNK$4),Table1[],(MATCH(Calendar!$A18,DB!$1:$1,0)),FALSE)&gt;=5,"Good","Bad"),VLOOKUP(DATE($K$1,$K$2,GNK$4),Table1[],(MATCH(Calendar!$A18,DB!$1:$1,0)),FALSE)),"")</f>
        <v/>
      </c>
      <c r="GNL18" s="28" t="str">
        <f>IFERROR(IF(GNU3="No",IF(VLOOKUP(DATE($K$1,$K$2,GNL$4),Table1[],(MATCH(Calendar!$A18,DB!$1:$1,0)),FALSE)&gt;=5,"Good","Bad"),VLOOKUP(DATE($K$1,$K$2,GNL$4),Table1[],(MATCH(Calendar!$A18,DB!$1:$1,0)),FALSE)),"")</f>
        <v/>
      </c>
      <c r="GNM18" s="28" t="str">
        <f>IFERROR(IF(GNV3="No",IF(VLOOKUP(DATE($K$1,$K$2,GNM$4),Table1[],(MATCH(Calendar!$A18,DB!$1:$1,0)),FALSE)&gt;=5,"Good","Bad"),VLOOKUP(DATE($K$1,$K$2,GNM$4),Table1[],(MATCH(Calendar!$A18,DB!$1:$1,0)),FALSE)),"")</f>
        <v/>
      </c>
      <c r="GNN18" s="28" t="str">
        <f>IFERROR(IF(GNW3="No",IF(VLOOKUP(DATE($K$1,$K$2,GNN$4),Table1[],(MATCH(Calendar!$A18,DB!$1:$1,0)),FALSE)&gt;=5,"Good","Bad"),VLOOKUP(DATE($K$1,$K$2,GNN$4),Table1[],(MATCH(Calendar!$A18,DB!$1:$1,0)),FALSE)),"")</f>
        <v/>
      </c>
      <c r="GNO18" s="28" t="str">
        <f>IFERROR(IF(GNX3="No",IF(VLOOKUP(DATE($K$1,$K$2,GNO$4),Table1[],(MATCH(Calendar!$A18,DB!$1:$1,0)),FALSE)&gt;=5,"Good","Bad"),VLOOKUP(DATE($K$1,$K$2,GNO$4),Table1[],(MATCH(Calendar!$A18,DB!$1:$1,0)),FALSE)),"")</f>
        <v/>
      </c>
      <c r="GNP18" s="28" t="str">
        <f>IFERROR(IF(GNY3="No",IF(VLOOKUP(DATE($K$1,$K$2,GNP$4),Table1[],(MATCH(Calendar!$A18,DB!$1:$1,0)),FALSE)&gt;=5,"Good","Bad"),VLOOKUP(DATE($K$1,$K$2,GNP$4),Table1[],(MATCH(Calendar!$A18,DB!$1:$1,0)),FALSE)),"")</f>
        <v/>
      </c>
      <c r="GNQ18" s="28" t="str">
        <f>IFERROR(IF(GNZ3="No",IF(VLOOKUP(DATE($K$1,$K$2,GNQ$4),Table1[],(MATCH(Calendar!$A18,DB!$1:$1,0)),FALSE)&gt;=5,"Good","Bad"),VLOOKUP(DATE($K$1,$K$2,GNQ$4),Table1[],(MATCH(Calendar!$A18,DB!$1:$1,0)),FALSE)),"")</f>
        <v/>
      </c>
      <c r="GNR18" s="28" t="str">
        <f>IFERROR(IF(GOA3="No",IF(VLOOKUP(DATE($K$1,$K$2,GNR$4),Table1[],(MATCH(Calendar!$A18,DB!$1:$1,0)),FALSE)&gt;=5,"Good","Bad"),VLOOKUP(DATE($K$1,$K$2,GNR$4),Table1[],(MATCH(Calendar!$A18,DB!$1:$1,0)),FALSE)),"")</f>
        <v/>
      </c>
      <c r="GNS18" s="28" t="str">
        <f>IFERROR(IF(GOB3="No",IF(VLOOKUP(DATE($K$1,$K$2,GNS$4),Table1[],(MATCH(Calendar!$A18,DB!$1:$1,0)),FALSE)&gt;=5,"Good","Bad"),VLOOKUP(DATE($K$1,$K$2,GNS$4),Table1[],(MATCH(Calendar!$A18,DB!$1:$1,0)),FALSE)),"")</f>
        <v/>
      </c>
      <c r="GNT18" s="28" t="str">
        <f>IFERROR(IF(GOC3="No",IF(VLOOKUP(DATE($K$1,$K$2,GNT$4),Table1[],(MATCH(Calendar!$A18,DB!$1:$1,0)),FALSE)&gt;=5,"Good","Bad"),VLOOKUP(DATE($K$1,$K$2,GNT$4),Table1[],(MATCH(Calendar!$A18,DB!$1:$1,0)),FALSE)),"")</f>
        <v/>
      </c>
      <c r="GNU18" s="28" t="str">
        <f>IFERROR(IF(GOD3="No",IF(VLOOKUP(DATE($K$1,$K$2,GNU$4),Table1[],(MATCH(Calendar!$A18,DB!$1:$1,0)),FALSE)&gt;=5,"Good","Bad"),VLOOKUP(DATE($K$1,$K$2,GNU$4),Table1[],(MATCH(Calendar!$A18,DB!$1:$1,0)),FALSE)),"")</f>
        <v/>
      </c>
      <c r="GNV18" s="28" t="str">
        <f>IFERROR(IF(GOE3="No",IF(VLOOKUP(DATE($K$1,$K$2,GNV$4),Table1[],(MATCH(Calendar!$A18,DB!$1:$1,0)),FALSE)&gt;=5,"Good","Bad"),VLOOKUP(DATE($K$1,$K$2,GNV$4),Table1[],(MATCH(Calendar!$A18,DB!$1:$1,0)),FALSE)),"")</f>
        <v/>
      </c>
      <c r="GNW18" s="28" t="str">
        <f>IFERROR(IF(GOF3="No",IF(VLOOKUP(DATE($K$1,$K$2,GNW$4),Table1[],(MATCH(Calendar!$A18,DB!$1:$1,0)),FALSE)&gt;=5,"Good","Bad"),VLOOKUP(DATE($K$1,$K$2,GNW$4),Table1[],(MATCH(Calendar!$A18,DB!$1:$1,0)),FALSE)),"")</f>
        <v/>
      </c>
      <c r="GNX18" s="28" t="str">
        <f>IFERROR(IF(GOG3="No",IF(VLOOKUP(DATE($K$1,$K$2,GNX$4),Table1[],(MATCH(Calendar!$A18,DB!$1:$1,0)),FALSE)&gt;=5,"Good","Bad"),VLOOKUP(DATE($K$1,$K$2,GNX$4),Table1[],(MATCH(Calendar!$A18,DB!$1:$1,0)),FALSE)),"")</f>
        <v/>
      </c>
      <c r="GNY18" s="28" t="str">
        <f>IFERROR(IF(GOH3="No",IF(VLOOKUP(DATE($K$1,$K$2,GNY$4),Table1[],(MATCH(Calendar!$A18,DB!$1:$1,0)),FALSE)&gt;=5,"Good","Bad"),VLOOKUP(DATE($K$1,$K$2,GNY$4),Table1[],(MATCH(Calendar!$A18,DB!$1:$1,0)),FALSE)),"")</f>
        <v/>
      </c>
      <c r="GNZ18" s="28" t="str">
        <f>IFERROR(IF(GOI3="No",IF(VLOOKUP(DATE($K$1,$K$2,GNZ$4),Table1[],(MATCH(Calendar!$A18,DB!$1:$1,0)),FALSE)&gt;=5,"Good","Bad"),VLOOKUP(DATE($K$1,$K$2,GNZ$4),Table1[],(MATCH(Calendar!$A18,DB!$1:$1,0)),FALSE)),"")</f>
        <v/>
      </c>
      <c r="GOA18" s="28" t="str">
        <f>IFERROR(IF(GOJ3="No",IF(VLOOKUP(DATE($K$1,$K$2,GOA$4),Table1[],(MATCH(Calendar!$A18,DB!$1:$1,0)),FALSE)&gt;=5,"Good","Bad"),VLOOKUP(DATE($K$1,$K$2,GOA$4),Table1[],(MATCH(Calendar!$A18,DB!$1:$1,0)),FALSE)),"")</f>
        <v/>
      </c>
      <c r="GOB18" s="28" t="str">
        <f>IFERROR(IF(GOK3="No",IF(VLOOKUP(DATE($K$1,$K$2,GOB$4),Table1[],(MATCH(Calendar!$A18,DB!$1:$1,0)),FALSE)&gt;=5,"Good","Bad"),VLOOKUP(DATE($K$1,$K$2,GOB$4),Table1[],(MATCH(Calendar!$A18,DB!$1:$1,0)),FALSE)),"")</f>
        <v/>
      </c>
      <c r="GOC18" s="28" t="str">
        <f>IFERROR(IF(GOL3="No",IF(VLOOKUP(DATE($K$1,$K$2,GOC$4),Table1[],(MATCH(Calendar!$A18,DB!$1:$1,0)),FALSE)&gt;=5,"Good","Bad"),VLOOKUP(DATE($K$1,$K$2,GOC$4),Table1[],(MATCH(Calendar!$A18,DB!$1:$1,0)),FALSE)),"")</f>
        <v/>
      </c>
      <c r="GOD18" s="28" t="str">
        <f>IFERROR(IF(GOM3="No",IF(VLOOKUP(DATE($K$1,$K$2,GOD$4),Table1[],(MATCH(Calendar!$A18,DB!$1:$1,0)),FALSE)&gt;=5,"Good","Bad"),VLOOKUP(DATE($K$1,$K$2,GOD$4),Table1[],(MATCH(Calendar!$A18,DB!$1:$1,0)),FALSE)),"")</f>
        <v/>
      </c>
      <c r="GOE18" s="28" t="str">
        <f>IFERROR(IF(GON3="No",IF(VLOOKUP(DATE($K$1,$K$2,GOE$4),Table1[],(MATCH(Calendar!$A18,DB!$1:$1,0)),FALSE)&gt;=5,"Good","Bad"),VLOOKUP(DATE($K$1,$K$2,GOE$4),Table1[],(MATCH(Calendar!$A18,DB!$1:$1,0)),FALSE)),"")</f>
        <v/>
      </c>
      <c r="GOF18" s="28" t="str">
        <f>IFERROR(IF(GOO3="No",IF(VLOOKUP(DATE($K$1,$K$2,GOF$4),Table1[],(MATCH(Calendar!$A18,DB!$1:$1,0)),FALSE)&gt;=5,"Good","Bad"),VLOOKUP(DATE($K$1,$K$2,GOF$4),Table1[],(MATCH(Calendar!$A18,DB!$1:$1,0)),FALSE)),"")</f>
        <v/>
      </c>
      <c r="GOG18" s="28" t="str">
        <f>IFERROR(IF(GOP3="No",IF(VLOOKUP(DATE($K$1,$K$2,GOG$4),Table1[],(MATCH(Calendar!$A18,DB!$1:$1,0)),FALSE)&gt;=5,"Good","Bad"),VLOOKUP(DATE($K$1,$K$2,GOG$4),Table1[],(MATCH(Calendar!$A18,DB!$1:$1,0)),FALSE)),"")</f>
        <v/>
      </c>
      <c r="GOH18" s="28" t="str">
        <f>IFERROR(IF(GOQ3="No",IF(VLOOKUP(DATE($K$1,$K$2,GOH$4),Table1[],(MATCH(Calendar!$A18,DB!$1:$1,0)),FALSE)&gt;=5,"Good","Bad"),VLOOKUP(DATE($K$1,$K$2,GOH$4),Table1[],(MATCH(Calendar!$A18,DB!$1:$1,0)),FALSE)),"")</f>
        <v/>
      </c>
      <c r="GOI18" s="28" t="str">
        <f>IFERROR(IF(GOR3="No",IF(VLOOKUP(DATE($K$1,$K$2,GOI$4),Table1[],(MATCH(Calendar!$A18,DB!$1:$1,0)),FALSE)&gt;=5,"Good","Bad"),VLOOKUP(DATE($K$1,$K$2,GOI$4),Table1[],(MATCH(Calendar!$A18,DB!$1:$1,0)),FALSE)),"")</f>
        <v/>
      </c>
      <c r="GOJ18" s="28" t="str">
        <f>IFERROR(IF(GOS3="No",IF(VLOOKUP(DATE($K$1,$K$2,GOJ$4),Table1[],(MATCH(Calendar!$A18,DB!$1:$1,0)),FALSE)&gt;=5,"Good","Bad"),VLOOKUP(DATE($K$1,$K$2,GOJ$4),Table1[],(MATCH(Calendar!$A18,DB!$1:$1,0)),FALSE)),"")</f>
        <v/>
      </c>
      <c r="GOK18" s="28" t="str">
        <f>IFERROR(IF(GOT3="No",IF(VLOOKUP(DATE($K$1,$K$2,GOK$4),Table1[],(MATCH(Calendar!$A18,DB!$1:$1,0)),FALSE)&gt;=5,"Good","Bad"),VLOOKUP(DATE($K$1,$K$2,GOK$4),Table1[],(MATCH(Calendar!$A18,DB!$1:$1,0)),FALSE)),"")</f>
        <v/>
      </c>
      <c r="GOL18" s="28" t="str">
        <f>IFERROR(IF(GOU3="No",IF(VLOOKUP(DATE($K$1,$K$2,GOL$4),Table1[],(MATCH(Calendar!$A18,DB!$1:$1,0)),FALSE)&gt;=5,"Good","Bad"),VLOOKUP(DATE($K$1,$K$2,GOL$4),Table1[],(MATCH(Calendar!$A18,DB!$1:$1,0)),FALSE)),"")</f>
        <v/>
      </c>
      <c r="GOM18" s="28" t="str">
        <f>IFERROR(IF(GOV3="No",IF(VLOOKUP(DATE($K$1,$K$2,GOM$4),Table1[],(MATCH(Calendar!$A18,DB!$1:$1,0)),FALSE)&gt;=5,"Good","Bad"),VLOOKUP(DATE($K$1,$K$2,GOM$4),Table1[],(MATCH(Calendar!$A18,DB!$1:$1,0)),FALSE)),"")</f>
        <v/>
      </c>
      <c r="GON18" s="28" t="str">
        <f>IFERROR(IF(GOW3="No",IF(VLOOKUP(DATE($K$1,$K$2,GON$4),Table1[],(MATCH(Calendar!$A18,DB!$1:$1,0)),FALSE)&gt;=5,"Good","Bad"),VLOOKUP(DATE($K$1,$K$2,GON$4),Table1[],(MATCH(Calendar!$A18,DB!$1:$1,0)),FALSE)),"")</f>
        <v/>
      </c>
      <c r="GOO18" s="28" t="str">
        <f>IFERROR(IF(GOX3="No",IF(VLOOKUP(DATE($K$1,$K$2,GOO$4),Table1[],(MATCH(Calendar!$A18,DB!$1:$1,0)),FALSE)&gt;=5,"Good","Bad"),VLOOKUP(DATE($K$1,$K$2,GOO$4),Table1[],(MATCH(Calendar!$A18,DB!$1:$1,0)),FALSE)),"")</f>
        <v/>
      </c>
      <c r="GOP18" s="28" t="str">
        <f>IFERROR(IF(GOY3="No",IF(VLOOKUP(DATE($K$1,$K$2,GOP$4),Table1[],(MATCH(Calendar!$A18,DB!$1:$1,0)),FALSE)&gt;=5,"Good","Bad"),VLOOKUP(DATE($K$1,$K$2,GOP$4),Table1[],(MATCH(Calendar!$A18,DB!$1:$1,0)),FALSE)),"")</f>
        <v/>
      </c>
      <c r="GOQ18" s="28" t="str">
        <f>IFERROR(IF(GOZ3="No",IF(VLOOKUP(DATE($K$1,$K$2,GOQ$4),Table1[],(MATCH(Calendar!$A18,DB!$1:$1,0)),FALSE)&gt;=5,"Good","Bad"),VLOOKUP(DATE($K$1,$K$2,GOQ$4),Table1[],(MATCH(Calendar!$A18,DB!$1:$1,0)),FALSE)),"")</f>
        <v/>
      </c>
      <c r="GOR18" s="28" t="str">
        <f>IFERROR(IF(GPA3="No",IF(VLOOKUP(DATE($K$1,$K$2,GOR$4),Table1[],(MATCH(Calendar!$A18,DB!$1:$1,0)),FALSE)&gt;=5,"Good","Bad"),VLOOKUP(DATE($K$1,$K$2,GOR$4),Table1[],(MATCH(Calendar!$A18,DB!$1:$1,0)),FALSE)),"")</f>
        <v/>
      </c>
      <c r="GOS18" s="28" t="str">
        <f>IFERROR(IF(GPB3="No",IF(VLOOKUP(DATE($K$1,$K$2,GOS$4),Table1[],(MATCH(Calendar!$A18,DB!$1:$1,0)),FALSE)&gt;=5,"Good","Bad"),VLOOKUP(DATE($K$1,$K$2,GOS$4),Table1[],(MATCH(Calendar!$A18,DB!$1:$1,0)),FALSE)),"")</f>
        <v/>
      </c>
      <c r="GOT18" s="28" t="str">
        <f>IFERROR(IF(GPC3="No",IF(VLOOKUP(DATE($K$1,$K$2,GOT$4),Table1[],(MATCH(Calendar!$A18,DB!$1:$1,0)),FALSE)&gt;=5,"Good","Bad"),VLOOKUP(DATE($K$1,$K$2,GOT$4),Table1[],(MATCH(Calendar!$A18,DB!$1:$1,0)),FALSE)),"")</f>
        <v/>
      </c>
      <c r="GOU18" s="28" t="str">
        <f>IFERROR(IF(GPD3="No",IF(VLOOKUP(DATE($K$1,$K$2,GOU$4),Table1[],(MATCH(Calendar!$A18,DB!$1:$1,0)),FALSE)&gt;=5,"Good","Bad"),VLOOKUP(DATE($K$1,$K$2,GOU$4),Table1[],(MATCH(Calendar!$A18,DB!$1:$1,0)),FALSE)),"")</f>
        <v/>
      </c>
      <c r="GOV18" s="28" t="str">
        <f>IFERROR(IF(GPE3="No",IF(VLOOKUP(DATE($K$1,$K$2,GOV$4),Table1[],(MATCH(Calendar!$A18,DB!$1:$1,0)),FALSE)&gt;=5,"Good","Bad"),VLOOKUP(DATE($K$1,$K$2,GOV$4),Table1[],(MATCH(Calendar!$A18,DB!$1:$1,0)),FALSE)),"")</f>
        <v/>
      </c>
      <c r="GOW18" s="28" t="str">
        <f>IFERROR(IF(GPF3="No",IF(VLOOKUP(DATE($K$1,$K$2,GOW$4),Table1[],(MATCH(Calendar!$A18,DB!$1:$1,0)),FALSE)&gt;=5,"Good","Bad"),VLOOKUP(DATE($K$1,$K$2,GOW$4),Table1[],(MATCH(Calendar!$A18,DB!$1:$1,0)),FALSE)),"")</f>
        <v/>
      </c>
      <c r="GOX18" s="28" t="str">
        <f>IFERROR(IF(GPG3="No",IF(VLOOKUP(DATE($K$1,$K$2,GOX$4),Table1[],(MATCH(Calendar!$A18,DB!$1:$1,0)),FALSE)&gt;=5,"Good","Bad"),VLOOKUP(DATE($K$1,$K$2,GOX$4),Table1[],(MATCH(Calendar!$A18,DB!$1:$1,0)),FALSE)),"")</f>
        <v/>
      </c>
      <c r="GOY18" s="28" t="str">
        <f>IFERROR(IF(GPH3="No",IF(VLOOKUP(DATE($K$1,$K$2,GOY$4),Table1[],(MATCH(Calendar!$A18,DB!$1:$1,0)),FALSE)&gt;=5,"Good","Bad"),VLOOKUP(DATE($K$1,$K$2,GOY$4),Table1[],(MATCH(Calendar!$A18,DB!$1:$1,0)),FALSE)),"")</f>
        <v/>
      </c>
      <c r="GOZ18" s="28" t="str">
        <f>IFERROR(IF(GPI3="No",IF(VLOOKUP(DATE($K$1,$K$2,GOZ$4),Table1[],(MATCH(Calendar!$A18,DB!$1:$1,0)),FALSE)&gt;=5,"Good","Bad"),VLOOKUP(DATE($K$1,$K$2,GOZ$4),Table1[],(MATCH(Calendar!$A18,DB!$1:$1,0)),FALSE)),"")</f>
        <v/>
      </c>
      <c r="GPA18" s="28" t="str">
        <f>IFERROR(IF(GPJ3="No",IF(VLOOKUP(DATE($K$1,$K$2,GPA$4),Table1[],(MATCH(Calendar!$A18,DB!$1:$1,0)),FALSE)&gt;=5,"Good","Bad"),VLOOKUP(DATE($K$1,$K$2,GPA$4),Table1[],(MATCH(Calendar!$A18,DB!$1:$1,0)),FALSE)),"")</f>
        <v/>
      </c>
      <c r="GPB18" s="28" t="str">
        <f>IFERROR(IF(GPK3="No",IF(VLOOKUP(DATE($K$1,$K$2,GPB$4),Table1[],(MATCH(Calendar!$A18,DB!$1:$1,0)),FALSE)&gt;=5,"Good","Bad"),VLOOKUP(DATE($K$1,$K$2,GPB$4),Table1[],(MATCH(Calendar!$A18,DB!$1:$1,0)),FALSE)),"")</f>
        <v/>
      </c>
      <c r="GPC18" s="28" t="str">
        <f>IFERROR(IF(GPL3="No",IF(VLOOKUP(DATE($K$1,$K$2,GPC$4),Table1[],(MATCH(Calendar!$A18,DB!$1:$1,0)),FALSE)&gt;=5,"Good","Bad"),VLOOKUP(DATE($K$1,$K$2,GPC$4),Table1[],(MATCH(Calendar!$A18,DB!$1:$1,0)),FALSE)),"")</f>
        <v/>
      </c>
      <c r="GPD18" s="28" t="str">
        <f>IFERROR(IF(GPM3="No",IF(VLOOKUP(DATE($K$1,$K$2,GPD$4),Table1[],(MATCH(Calendar!$A18,DB!$1:$1,0)),FALSE)&gt;=5,"Good","Bad"),VLOOKUP(DATE($K$1,$K$2,GPD$4),Table1[],(MATCH(Calendar!$A18,DB!$1:$1,0)),FALSE)),"")</f>
        <v/>
      </c>
      <c r="GPE18" s="28" t="str">
        <f>IFERROR(IF(GPN3="No",IF(VLOOKUP(DATE($K$1,$K$2,GPE$4),Table1[],(MATCH(Calendar!$A18,DB!$1:$1,0)),FALSE)&gt;=5,"Good","Bad"),VLOOKUP(DATE($K$1,$K$2,GPE$4),Table1[],(MATCH(Calendar!$A18,DB!$1:$1,0)),FALSE)),"")</f>
        <v/>
      </c>
      <c r="GPF18" s="28" t="str">
        <f>IFERROR(IF(GPO3="No",IF(VLOOKUP(DATE($K$1,$K$2,GPF$4),Table1[],(MATCH(Calendar!$A18,DB!$1:$1,0)),FALSE)&gt;=5,"Good","Bad"),VLOOKUP(DATE($K$1,$K$2,GPF$4),Table1[],(MATCH(Calendar!$A18,DB!$1:$1,0)),FALSE)),"")</f>
        <v/>
      </c>
      <c r="GPG18" s="28" t="str">
        <f>IFERROR(IF(GPP3="No",IF(VLOOKUP(DATE($K$1,$K$2,GPG$4),Table1[],(MATCH(Calendar!$A18,DB!$1:$1,0)),FALSE)&gt;=5,"Good","Bad"),VLOOKUP(DATE($K$1,$K$2,GPG$4),Table1[],(MATCH(Calendar!$A18,DB!$1:$1,0)),FALSE)),"")</f>
        <v/>
      </c>
      <c r="GPH18" s="28" t="str">
        <f>IFERROR(IF(GPQ3="No",IF(VLOOKUP(DATE($K$1,$K$2,GPH$4),Table1[],(MATCH(Calendar!$A18,DB!$1:$1,0)),FALSE)&gt;=5,"Good","Bad"),VLOOKUP(DATE($K$1,$K$2,GPH$4),Table1[],(MATCH(Calendar!$A18,DB!$1:$1,0)),FALSE)),"")</f>
        <v/>
      </c>
      <c r="GPI18" s="28" t="str">
        <f>IFERROR(IF(GPR3="No",IF(VLOOKUP(DATE($K$1,$K$2,GPI$4),Table1[],(MATCH(Calendar!$A18,DB!$1:$1,0)),FALSE)&gt;=5,"Good","Bad"),VLOOKUP(DATE($K$1,$K$2,GPI$4),Table1[],(MATCH(Calendar!$A18,DB!$1:$1,0)),FALSE)),"")</f>
        <v/>
      </c>
      <c r="GPJ18" s="28" t="str">
        <f>IFERROR(IF(GPS3="No",IF(VLOOKUP(DATE($K$1,$K$2,GPJ$4),Table1[],(MATCH(Calendar!$A18,DB!$1:$1,0)),FALSE)&gt;=5,"Good","Bad"),VLOOKUP(DATE($K$1,$K$2,GPJ$4),Table1[],(MATCH(Calendar!$A18,DB!$1:$1,0)),FALSE)),"")</f>
        <v/>
      </c>
      <c r="GPK18" s="28" t="str">
        <f>IFERROR(IF(GPT3="No",IF(VLOOKUP(DATE($K$1,$K$2,GPK$4),Table1[],(MATCH(Calendar!$A18,DB!$1:$1,0)),FALSE)&gt;=5,"Good","Bad"),VLOOKUP(DATE($K$1,$K$2,GPK$4),Table1[],(MATCH(Calendar!$A18,DB!$1:$1,0)),FALSE)),"")</f>
        <v/>
      </c>
      <c r="GPL18" s="28" t="str">
        <f>IFERROR(IF(GPU3="No",IF(VLOOKUP(DATE($K$1,$K$2,GPL$4),Table1[],(MATCH(Calendar!$A18,DB!$1:$1,0)),FALSE)&gt;=5,"Good","Bad"),VLOOKUP(DATE($K$1,$K$2,GPL$4),Table1[],(MATCH(Calendar!$A18,DB!$1:$1,0)),FALSE)),"")</f>
        <v/>
      </c>
      <c r="GPM18" s="28" t="str">
        <f>IFERROR(IF(GPV3="No",IF(VLOOKUP(DATE($K$1,$K$2,GPM$4),Table1[],(MATCH(Calendar!$A18,DB!$1:$1,0)),FALSE)&gt;=5,"Good","Bad"),VLOOKUP(DATE($K$1,$K$2,GPM$4),Table1[],(MATCH(Calendar!$A18,DB!$1:$1,0)),FALSE)),"")</f>
        <v/>
      </c>
      <c r="GPN18" s="28" t="str">
        <f>IFERROR(IF(GPW3="No",IF(VLOOKUP(DATE($K$1,$K$2,GPN$4),Table1[],(MATCH(Calendar!$A18,DB!$1:$1,0)),FALSE)&gt;=5,"Good","Bad"),VLOOKUP(DATE($K$1,$K$2,GPN$4),Table1[],(MATCH(Calendar!$A18,DB!$1:$1,0)),FALSE)),"")</f>
        <v/>
      </c>
      <c r="GPO18" s="28" t="str">
        <f>IFERROR(IF(GPX3="No",IF(VLOOKUP(DATE($K$1,$K$2,GPO$4),Table1[],(MATCH(Calendar!$A18,DB!$1:$1,0)),FALSE)&gt;=5,"Good","Bad"),VLOOKUP(DATE($K$1,$K$2,GPO$4),Table1[],(MATCH(Calendar!$A18,DB!$1:$1,0)),FALSE)),"")</f>
        <v/>
      </c>
      <c r="GPP18" s="28" t="str">
        <f>IFERROR(IF(GPY3="No",IF(VLOOKUP(DATE($K$1,$K$2,GPP$4),Table1[],(MATCH(Calendar!$A18,DB!$1:$1,0)),FALSE)&gt;=5,"Good","Bad"),VLOOKUP(DATE($K$1,$K$2,GPP$4),Table1[],(MATCH(Calendar!$A18,DB!$1:$1,0)),FALSE)),"")</f>
        <v/>
      </c>
      <c r="GPQ18" s="28" t="str">
        <f>IFERROR(IF(GPZ3="No",IF(VLOOKUP(DATE($K$1,$K$2,GPQ$4),Table1[],(MATCH(Calendar!$A18,DB!$1:$1,0)),FALSE)&gt;=5,"Good","Bad"),VLOOKUP(DATE($K$1,$K$2,GPQ$4),Table1[],(MATCH(Calendar!$A18,DB!$1:$1,0)),FALSE)),"")</f>
        <v/>
      </c>
      <c r="GPR18" s="28" t="str">
        <f>IFERROR(IF(GQA3="No",IF(VLOOKUP(DATE($K$1,$K$2,GPR$4),Table1[],(MATCH(Calendar!$A18,DB!$1:$1,0)),FALSE)&gt;=5,"Good","Bad"),VLOOKUP(DATE($K$1,$K$2,GPR$4),Table1[],(MATCH(Calendar!$A18,DB!$1:$1,0)),FALSE)),"")</f>
        <v/>
      </c>
      <c r="GPS18" s="28" t="str">
        <f>IFERROR(IF(GQB3="No",IF(VLOOKUP(DATE($K$1,$K$2,GPS$4),Table1[],(MATCH(Calendar!$A18,DB!$1:$1,0)),FALSE)&gt;=5,"Good","Bad"),VLOOKUP(DATE($K$1,$K$2,GPS$4),Table1[],(MATCH(Calendar!$A18,DB!$1:$1,0)),FALSE)),"")</f>
        <v/>
      </c>
      <c r="GPT18" s="28" t="str">
        <f>IFERROR(IF(GQC3="No",IF(VLOOKUP(DATE($K$1,$K$2,GPT$4),Table1[],(MATCH(Calendar!$A18,DB!$1:$1,0)),FALSE)&gt;=5,"Good","Bad"),VLOOKUP(DATE($K$1,$K$2,GPT$4),Table1[],(MATCH(Calendar!$A18,DB!$1:$1,0)),FALSE)),"")</f>
        <v/>
      </c>
      <c r="GPU18" s="28" t="str">
        <f>IFERROR(IF(GQD3="No",IF(VLOOKUP(DATE($K$1,$K$2,GPU$4),Table1[],(MATCH(Calendar!$A18,DB!$1:$1,0)),FALSE)&gt;=5,"Good","Bad"),VLOOKUP(DATE($K$1,$K$2,GPU$4),Table1[],(MATCH(Calendar!$A18,DB!$1:$1,0)),FALSE)),"")</f>
        <v/>
      </c>
      <c r="GPV18" s="28" t="str">
        <f>IFERROR(IF(GQE3="No",IF(VLOOKUP(DATE($K$1,$K$2,GPV$4),Table1[],(MATCH(Calendar!$A18,DB!$1:$1,0)),FALSE)&gt;=5,"Good","Bad"),VLOOKUP(DATE($K$1,$K$2,GPV$4),Table1[],(MATCH(Calendar!$A18,DB!$1:$1,0)),FALSE)),"")</f>
        <v/>
      </c>
      <c r="GPW18" s="28" t="str">
        <f>IFERROR(IF(GQF3="No",IF(VLOOKUP(DATE($K$1,$K$2,GPW$4),Table1[],(MATCH(Calendar!$A18,DB!$1:$1,0)),FALSE)&gt;=5,"Good","Bad"),VLOOKUP(DATE($K$1,$K$2,GPW$4),Table1[],(MATCH(Calendar!$A18,DB!$1:$1,0)),FALSE)),"")</f>
        <v/>
      </c>
      <c r="GPX18" s="28" t="str">
        <f>IFERROR(IF(GQG3="No",IF(VLOOKUP(DATE($K$1,$K$2,GPX$4),Table1[],(MATCH(Calendar!$A18,DB!$1:$1,0)),FALSE)&gt;=5,"Good","Bad"),VLOOKUP(DATE($K$1,$K$2,GPX$4),Table1[],(MATCH(Calendar!$A18,DB!$1:$1,0)),FALSE)),"")</f>
        <v/>
      </c>
      <c r="GPY18" s="28" t="str">
        <f>IFERROR(IF(GQH3="No",IF(VLOOKUP(DATE($K$1,$K$2,GPY$4),Table1[],(MATCH(Calendar!$A18,DB!$1:$1,0)),FALSE)&gt;=5,"Good","Bad"),VLOOKUP(DATE($K$1,$K$2,GPY$4),Table1[],(MATCH(Calendar!$A18,DB!$1:$1,0)),FALSE)),"")</f>
        <v/>
      </c>
      <c r="GPZ18" s="28" t="str">
        <f>IFERROR(IF(GQI3="No",IF(VLOOKUP(DATE($K$1,$K$2,GPZ$4),Table1[],(MATCH(Calendar!$A18,DB!$1:$1,0)),FALSE)&gt;=5,"Good","Bad"),VLOOKUP(DATE($K$1,$K$2,GPZ$4),Table1[],(MATCH(Calendar!$A18,DB!$1:$1,0)),FALSE)),"")</f>
        <v/>
      </c>
      <c r="GQA18" s="28" t="str">
        <f>IFERROR(IF(GQJ3="No",IF(VLOOKUP(DATE($K$1,$K$2,GQA$4),Table1[],(MATCH(Calendar!$A18,DB!$1:$1,0)),FALSE)&gt;=5,"Good","Bad"),VLOOKUP(DATE($K$1,$K$2,GQA$4),Table1[],(MATCH(Calendar!$A18,DB!$1:$1,0)),FALSE)),"")</f>
        <v/>
      </c>
      <c r="GQB18" s="28" t="str">
        <f>IFERROR(IF(GQK3="No",IF(VLOOKUP(DATE($K$1,$K$2,GQB$4),Table1[],(MATCH(Calendar!$A18,DB!$1:$1,0)),FALSE)&gt;=5,"Good","Bad"),VLOOKUP(DATE($K$1,$K$2,GQB$4),Table1[],(MATCH(Calendar!$A18,DB!$1:$1,0)),FALSE)),"")</f>
        <v/>
      </c>
      <c r="GQC18" s="28" t="str">
        <f>IFERROR(IF(GQL3="No",IF(VLOOKUP(DATE($K$1,$K$2,GQC$4),Table1[],(MATCH(Calendar!$A18,DB!$1:$1,0)),FALSE)&gt;=5,"Good","Bad"),VLOOKUP(DATE($K$1,$K$2,GQC$4),Table1[],(MATCH(Calendar!$A18,DB!$1:$1,0)),FALSE)),"")</f>
        <v/>
      </c>
      <c r="GQD18" s="28" t="str">
        <f>IFERROR(IF(GQM3="No",IF(VLOOKUP(DATE($K$1,$K$2,GQD$4),Table1[],(MATCH(Calendar!$A18,DB!$1:$1,0)),FALSE)&gt;=5,"Good","Bad"),VLOOKUP(DATE($K$1,$K$2,GQD$4),Table1[],(MATCH(Calendar!$A18,DB!$1:$1,0)),FALSE)),"")</f>
        <v/>
      </c>
      <c r="GQE18" s="28" t="str">
        <f>IFERROR(IF(GQN3="No",IF(VLOOKUP(DATE($K$1,$K$2,GQE$4),Table1[],(MATCH(Calendar!$A18,DB!$1:$1,0)),FALSE)&gt;=5,"Good","Bad"),VLOOKUP(DATE($K$1,$K$2,GQE$4),Table1[],(MATCH(Calendar!$A18,DB!$1:$1,0)),FALSE)),"")</f>
        <v/>
      </c>
      <c r="GQF18" s="28" t="str">
        <f>IFERROR(IF(GQO3="No",IF(VLOOKUP(DATE($K$1,$K$2,GQF$4),Table1[],(MATCH(Calendar!$A18,DB!$1:$1,0)),FALSE)&gt;=5,"Good","Bad"),VLOOKUP(DATE($K$1,$K$2,GQF$4),Table1[],(MATCH(Calendar!$A18,DB!$1:$1,0)),FALSE)),"")</f>
        <v/>
      </c>
      <c r="GQG18" s="28" t="str">
        <f>IFERROR(IF(GQP3="No",IF(VLOOKUP(DATE($K$1,$K$2,GQG$4),Table1[],(MATCH(Calendar!$A18,DB!$1:$1,0)),FALSE)&gt;=5,"Good","Bad"),VLOOKUP(DATE($K$1,$K$2,GQG$4),Table1[],(MATCH(Calendar!$A18,DB!$1:$1,0)),FALSE)),"")</f>
        <v/>
      </c>
      <c r="GQH18" s="28" t="str">
        <f>IFERROR(IF(GQQ3="No",IF(VLOOKUP(DATE($K$1,$K$2,GQH$4),Table1[],(MATCH(Calendar!$A18,DB!$1:$1,0)),FALSE)&gt;=5,"Good","Bad"),VLOOKUP(DATE($K$1,$K$2,GQH$4),Table1[],(MATCH(Calendar!$A18,DB!$1:$1,0)),FALSE)),"")</f>
        <v/>
      </c>
      <c r="GQI18" s="28" t="str">
        <f>IFERROR(IF(GQR3="No",IF(VLOOKUP(DATE($K$1,$K$2,GQI$4),Table1[],(MATCH(Calendar!$A18,DB!$1:$1,0)),FALSE)&gt;=5,"Good","Bad"),VLOOKUP(DATE($K$1,$K$2,GQI$4),Table1[],(MATCH(Calendar!$A18,DB!$1:$1,0)),FALSE)),"")</f>
        <v/>
      </c>
      <c r="GQJ18" s="28" t="str">
        <f>IFERROR(IF(GQS3="No",IF(VLOOKUP(DATE($K$1,$K$2,GQJ$4),Table1[],(MATCH(Calendar!$A18,DB!$1:$1,0)),FALSE)&gt;=5,"Good","Bad"),VLOOKUP(DATE($K$1,$K$2,GQJ$4),Table1[],(MATCH(Calendar!$A18,DB!$1:$1,0)),FALSE)),"")</f>
        <v/>
      </c>
      <c r="GQK18" s="28" t="str">
        <f>IFERROR(IF(GQT3="No",IF(VLOOKUP(DATE($K$1,$K$2,GQK$4),Table1[],(MATCH(Calendar!$A18,DB!$1:$1,0)),FALSE)&gt;=5,"Good","Bad"),VLOOKUP(DATE($K$1,$K$2,GQK$4),Table1[],(MATCH(Calendar!$A18,DB!$1:$1,0)),FALSE)),"")</f>
        <v/>
      </c>
      <c r="GQL18" s="28" t="str">
        <f>IFERROR(IF(GQU3="No",IF(VLOOKUP(DATE($K$1,$K$2,GQL$4),Table1[],(MATCH(Calendar!$A18,DB!$1:$1,0)),FALSE)&gt;=5,"Good","Bad"),VLOOKUP(DATE($K$1,$K$2,GQL$4),Table1[],(MATCH(Calendar!$A18,DB!$1:$1,0)),FALSE)),"")</f>
        <v/>
      </c>
      <c r="GQM18" s="28" t="str">
        <f>IFERROR(IF(GQV3="No",IF(VLOOKUP(DATE($K$1,$K$2,GQM$4),Table1[],(MATCH(Calendar!$A18,DB!$1:$1,0)),FALSE)&gt;=5,"Good","Bad"),VLOOKUP(DATE($K$1,$K$2,GQM$4),Table1[],(MATCH(Calendar!$A18,DB!$1:$1,0)),FALSE)),"")</f>
        <v/>
      </c>
      <c r="GQN18" s="28" t="str">
        <f>IFERROR(IF(GQW3="No",IF(VLOOKUP(DATE($K$1,$K$2,GQN$4),Table1[],(MATCH(Calendar!$A18,DB!$1:$1,0)),FALSE)&gt;=5,"Good","Bad"),VLOOKUP(DATE($K$1,$K$2,GQN$4),Table1[],(MATCH(Calendar!$A18,DB!$1:$1,0)),FALSE)),"")</f>
        <v/>
      </c>
      <c r="GQO18" s="28" t="str">
        <f>IFERROR(IF(GQX3="No",IF(VLOOKUP(DATE($K$1,$K$2,GQO$4),Table1[],(MATCH(Calendar!$A18,DB!$1:$1,0)),FALSE)&gt;=5,"Good","Bad"),VLOOKUP(DATE($K$1,$K$2,GQO$4),Table1[],(MATCH(Calendar!$A18,DB!$1:$1,0)),FALSE)),"")</f>
        <v/>
      </c>
      <c r="GQP18" s="28" t="str">
        <f>IFERROR(IF(GQY3="No",IF(VLOOKUP(DATE($K$1,$K$2,GQP$4),Table1[],(MATCH(Calendar!$A18,DB!$1:$1,0)),FALSE)&gt;=5,"Good","Bad"),VLOOKUP(DATE($K$1,$K$2,GQP$4),Table1[],(MATCH(Calendar!$A18,DB!$1:$1,0)),FALSE)),"")</f>
        <v/>
      </c>
      <c r="GQQ18" s="28" t="str">
        <f>IFERROR(IF(GQZ3="No",IF(VLOOKUP(DATE($K$1,$K$2,GQQ$4),Table1[],(MATCH(Calendar!$A18,DB!$1:$1,0)),FALSE)&gt;=5,"Good","Bad"),VLOOKUP(DATE($K$1,$K$2,GQQ$4),Table1[],(MATCH(Calendar!$A18,DB!$1:$1,0)),FALSE)),"")</f>
        <v/>
      </c>
      <c r="GQR18" s="28" t="str">
        <f>IFERROR(IF(GRA3="No",IF(VLOOKUP(DATE($K$1,$K$2,GQR$4),Table1[],(MATCH(Calendar!$A18,DB!$1:$1,0)),FALSE)&gt;=5,"Good","Bad"),VLOOKUP(DATE($K$1,$K$2,GQR$4),Table1[],(MATCH(Calendar!$A18,DB!$1:$1,0)),FALSE)),"")</f>
        <v/>
      </c>
      <c r="GQS18" s="28" t="str">
        <f>IFERROR(IF(GRB3="No",IF(VLOOKUP(DATE($K$1,$K$2,GQS$4),Table1[],(MATCH(Calendar!$A18,DB!$1:$1,0)),FALSE)&gt;=5,"Good","Bad"),VLOOKUP(DATE($K$1,$K$2,GQS$4),Table1[],(MATCH(Calendar!$A18,DB!$1:$1,0)),FALSE)),"")</f>
        <v/>
      </c>
      <c r="GQT18" s="28" t="str">
        <f>IFERROR(IF(GRC3="No",IF(VLOOKUP(DATE($K$1,$K$2,GQT$4),Table1[],(MATCH(Calendar!$A18,DB!$1:$1,0)),FALSE)&gt;=5,"Good","Bad"),VLOOKUP(DATE($K$1,$K$2,GQT$4),Table1[],(MATCH(Calendar!$A18,DB!$1:$1,0)),FALSE)),"")</f>
        <v/>
      </c>
      <c r="GQU18" s="28" t="str">
        <f>IFERROR(IF(GRD3="No",IF(VLOOKUP(DATE($K$1,$K$2,GQU$4),Table1[],(MATCH(Calendar!$A18,DB!$1:$1,0)),FALSE)&gt;=5,"Good","Bad"),VLOOKUP(DATE($K$1,$K$2,GQU$4),Table1[],(MATCH(Calendar!$A18,DB!$1:$1,0)),FALSE)),"")</f>
        <v/>
      </c>
      <c r="GQV18" s="28" t="str">
        <f>IFERROR(IF(GRE3="No",IF(VLOOKUP(DATE($K$1,$K$2,GQV$4),Table1[],(MATCH(Calendar!$A18,DB!$1:$1,0)),FALSE)&gt;=5,"Good","Bad"),VLOOKUP(DATE($K$1,$K$2,GQV$4),Table1[],(MATCH(Calendar!$A18,DB!$1:$1,0)),FALSE)),"")</f>
        <v/>
      </c>
      <c r="GQW18" s="28" t="str">
        <f>IFERROR(IF(GRF3="No",IF(VLOOKUP(DATE($K$1,$K$2,GQW$4),Table1[],(MATCH(Calendar!$A18,DB!$1:$1,0)),FALSE)&gt;=5,"Good","Bad"),VLOOKUP(DATE($K$1,$K$2,GQW$4),Table1[],(MATCH(Calendar!$A18,DB!$1:$1,0)),FALSE)),"")</f>
        <v/>
      </c>
      <c r="GQX18" s="28" t="str">
        <f>IFERROR(IF(GRG3="No",IF(VLOOKUP(DATE($K$1,$K$2,GQX$4),Table1[],(MATCH(Calendar!$A18,DB!$1:$1,0)),FALSE)&gt;=5,"Good","Bad"),VLOOKUP(DATE($K$1,$K$2,GQX$4),Table1[],(MATCH(Calendar!$A18,DB!$1:$1,0)),FALSE)),"")</f>
        <v/>
      </c>
      <c r="GQY18" s="28" t="str">
        <f>IFERROR(IF(GRH3="No",IF(VLOOKUP(DATE($K$1,$K$2,GQY$4),Table1[],(MATCH(Calendar!$A18,DB!$1:$1,0)),FALSE)&gt;=5,"Good","Bad"),VLOOKUP(DATE($K$1,$K$2,GQY$4),Table1[],(MATCH(Calendar!$A18,DB!$1:$1,0)),FALSE)),"")</f>
        <v/>
      </c>
      <c r="GQZ18" s="28" t="str">
        <f>IFERROR(IF(GRI3="No",IF(VLOOKUP(DATE($K$1,$K$2,GQZ$4),Table1[],(MATCH(Calendar!$A18,DB!$1:$1,0)),FALSE)&gt;=5,"Good","Bad"),VLOOKUP(DATE($K$1,$K$2,GQZ$4),Table1[],(MATCH(Calendar!$A18,DB!$1:$1,0)),FALSE)),"")</f>
        <v/>
      </c>
      <c r="GRA18" s="28" t="str">
        <f>IFERROR(IF(GRJ3="No",IF(VLOOKUP(DATE($K$1,$K$2,GRA$4),Table1[],(MATCH(Calendar!$A18,DB!$1:$1,0)),FALSE)&gt;=5,"Good","Bad"),VLOOKUP(DATE($K$1,$K$2,GRA$4),Table1[],(MATCH(Calendar!$A18,DB!$1:$1,0)),FALSE)),"")</f>
        <v/>
      </c>
      <c r="GRB18" s="28" t="str">
        <f>IFERROR(IF(GRK3="No",IF(VLOOKUP(DATE($K$1,$K$2,GRB$4),Table1[],(MATCH(Calendar!$A18,DB!$1:$1,0)),FALSE)&gt;=5,"Good","Bad"),VLOOKUP(DATE($K$1,$K$2,GRB$4),Table1[],(MATCH(Calendar!$A18,DB!$1:$1,0)),FALSE)),"")</f>
        <v/>
      </c>
      <c r="GRC18" s="28" t="str">
        <f>IFERROR(IF(GRL3="No",IF(VLOOKUP(DATE($K$1,$K$2,GRC$4),Table1[],(MATCH(Calendar!$A18,DB!$1:$1,0)),FALSE)&gt;=5,"Good","Bad"),VLOOKUP(DATE($K$1,$K$2,GRC$4),Table1[],(MATCH(Calendar!$A18,DB!$1:$1,0)),FALSE)),"")</f>
        <v/>
      </c>
      <c r="GRD18" s="28" t="str">
        <f>IFERROR(IF(GRM3="No",IF(VLOOKUP(DATE($K$1,$K$2,GRD$4),Table1[],(MATCH(Calendar!$A18,DB!$1:$1,0)),FALSE)&gt;=5,"Good","Bad"),VLOOKUP(DATE($K$1,$K$2,GRD$4),Table1[],(MATCH(Calendar!$A18,DB!$1:$1,0)),FALSE)),"")</f>
        <v/>
      </c>
      <c r="GRE18" s="28" t="str">
        <f>IFERROR(IF(GRN3="No",IF(VLOOKUP(DATE($K$1,$K$2,GRE$4),Table1[],(MATCH(Calendar!$A18,DB!$1:$1,0)),FALSE)&gt;=5,"Good","Bad"),VLOOKUP(DATE($K$1,$K$2,GRE$4),Table1[],(MATCH(Calendar!$A18,DB!$1:$1,0)),FALSE)),"")</f>
        <v/>
      </c>
      <c r="GRF18" s="28" t="str">
        <f>IFERROR(IF(GRO3="No",IF(VLOOKUP(DATE($K$1,$K$2,GRF$4),Table1[],(MATCH(Calendar!$A18,DB!$1:$1,0)),FALSE)&gt;=5,"Good","Bad"),VLOOKUP(DATE($K$1,$K$2,GRF$4),Table1[],(MATCH(Calendar!$A18,DB!$1:$1,0)),FALSE)),"")</f>
        <v/>
      </c>
      <c r="GRG18" s="28" t="str">
        <f>IFERROR(IF(GRP3="No",IF(VLOOKUP(DATE($K$1,$K$2,GRG$4),Table1[],(MATCH(Calendar!$A18,DB!$1:$1,0)),FALSE)&gt;=5,"Good","Bad"),VLOOKUP(DATE($K$1,$K$2,GRG$4),Table1[],(MATCH(Calendar!$A18,DB!$1:$1,0)),FALSE)),"")</f>
        <v/>
      </c>
      <c r="GRH18" s="28" t="str">
        <f>IFERROR(IF(GRQ3="No",IF(VLOOKUP(DATE($K$1,$K$2,GRH$4),Table1[],(MATCH(Calendar!$A18,DB!$1:$1,0)),FALSE)&gt;=5,"Good","Bad"),VLOOKUP(DATE($K$1,$K$2,GRH$4),Table1[],(MATCH(Calendar!$A18,DB!$1:$1,0)),FALSE)),"")</f>
        <v/>
      </c>
      <c r="GRI18" s="28" t="str">
        <f>IFERROR(IF(GRR3="No",IF(VLOOKUP(DATE($K$1,$K$2,GRI$4),Table1[],(MATCH(Calendar!$A18,DB!$1:$1,0)),FALSE)&gt;=5,"Good","Bad"),VLOOKUP(DATE($K$1,$K$2,GRI$4),Table1[],(MATCH(Calendar!$A18,DB!$1:$1,0)),FALSE)),"")</f>
        <v/>
      </c>
      <c r="GRJ18" s="28" t="str">
        <f>IFERROR(IF(GRS3="No",IF(VLOOKUP(DATE($K$1,$K$2,GRJ$4),Table1[],(MATCH(Calendar!$A18,DB!$1:$1,0)),FALSE)&gt;=5,"Good","Bad"),VLOOKUP(DATE($K$1,$K$2,GRJ$4),Table1[],(MATCH(Calendar!$A18,DB!$1:$1,0)),FALSE)),"")</f>
        <v/>
      </c>
      <c r="GRK18" s="28" t="str">
        <f>IFERROR(IF(GRT3="No",IF(VLOOKUP(DATE($K$1,$K$2,GRK$4),Table1[],(MATCH(Calendar!$A18,DB!$1:$1,0)),FALSE)&gt;=5,"Good","Bad"),VLOOKUP(DATE($K$1,$K$2,GRK$4),Table1[],(MATCH(Calendar!$A18,DB!$1:$1,0)),FALSE)),"")</f>
        <v/>
      </c>
      <c r="GRL18" s="28" t="str">
        <f>IFERROR(IF(GRU3="No",IF(VLOOKUP(DATE($K$1,$K$2,GRL$4),Table1[],(MATCH(Calendar!$A18,DB!$1:$1,0)),FALSE)&gt;=5,"Good","Bad"),VLOOKUP(DATE($K$1,$K$2,GRL$4),Table1[],(MATCH(Calendar!$A18,DB!$1:$1,0)),FALSE)),"")</f>
        <v/>
      </c>
      <c r="GRM18" s="28" t="str">
        <f>IFERROR(IF(GRV3="No",IF(VLOOKUP(DATE($K$1,$K$2,GRM$4),Table1[],(MATCH(Calendar!$A18,DB!$1:$1,0)),FALSE)&gt;=5,"Good","Bad"),VLOOKUP(DATE($K$1,$K$2,GRM$4),Table1[],(MATCH(Calendar!$A18,DB!$1:$1,0)),FALSE)),"")</f>
        <v/>
      </c>
      <c r="GRN18" s="28" t="str">
        <f>IFERROR(IF(GRW3="No",IF(VLOOKUP(DATE($K$1,$K$2,GRN$4),Table1[],(MATCH(Calendar!$A18,DB!$1:$1,0)),FALSE)&gt;=5,"Good","Bad"),VLOOKUP(DATE($K$1,$K$2,GRN$4),Table1[],(MATCH(Calendar!$A18,DB!$1:$1,0)),FALSE)),"")</f>
        <v/>
      </c>
      <c r="GRO18" s="28" t="str">
        <f>IFERROR(IF(GRX3="No",IF(VLOOKUP(DATE($K$1,$K$2,GRO$4),Table1[],(MATCH(Calendar!$A18,DB!$1:$1,0)),FALSE)&gt;=5,"Good","Bad"),VLOOKUP(DATE($K$1,$K$2,GRO$4),Table1[],(MATCH(Calendar!$A18,DB!$1:$1,0)),FALSE)),"")</f>
        <v/>
      </c>
      <c r="GRP18" s="28" t="str">
        <f>IFERROR(IF(GRY3="No",IF(VLOOKUP(DATE($K$1,$K$2,GRP$4),Table1[],(MATCH(Calendar!$A18,DB!$1:$1,0)),FALSE)&gt;=5,"Good","Bad"),VLOOKUP(DATE($K$1,$K$2,GRP$4),Table1[],(MATCH(Calendar!$A18,DB!$1:$1,0)),FALSE)),"")</f>
        <v/>
      </c>
      <c r="GRQ18" s="28" t="str">
        <f>IFERROR(IF(GRZ3="No",IF(VLOOKUP(DATE($K$1,$K$2,GRQ$4),Table1[],(MATCH(Calendar!$A18,DB!$1:$1,0)),FALSE)&gt;=5,"Good","Bad"),VLOOKUP(DATE($K$1,$K$2,GRQ$4),Table1[],(MATCH(Calendar!$A18,DB!$1:$1,0)),FALSE)),"")</f>
        <v/>
      </c>
      <c r="GRR18" s="28" t="str">
        <f>IFERROR(IF(GSA3="No",IF(VLOOKUP(DATE($K$1,$K$2,GRR$4),Table1[],(MATCH(Calendar!$A18,DB!$1:$1,0)),FALSE)&gt;=5,"Good","Bad"),VLOOKUP(DATE($K$1,$K$2,GRR$4),Table1[],(MATCH(Calendar!$A18,DB!$1:$1,0)),FALSE)),"")</f>
        <v/>
      </c>
      <c r="GRS18" s="28" t="str">
        <f>IFERROR(IF(GSB3="No",IF(VLOOKUP(DATE($K$1,$K$2,GRS$4),Table1[],(MATCH(Calendar!$A18,DB!$1:$1,0)),FALSE)&gt;=5,"Good","Bad"),VLOOKUP(DATE($K$1,$K$2,GRS$4),Table1[],(MATCH(Calendar!$A18,DB!$1:$1,0)),FALSE)),"")</f>
        <v/>
      </c>
      <c r="GRT18" s="28" t="str">
        <f>IFERROR(IF(GSC3="No",IF(VLOOKUP(DATE($K$1,$K$2,GRT$4),Table1[],(MATCH(Calendar!$A18,DB!$1:$1,0)),FALSE)&gt;=5,"Good","Bad"),VLOOKUP(DATE($K$1,$K$2,GRT$4),Table1[],(MATCH(Calendar!$A18,DB!$1:$1,0)),FALSE)),"")</f>
        <v/>
      </c>
      <c r="GRU18" s="28" t="str">
        <f>IFERROR(IF(GSD3="No",IF(VLOOKUP(DATE($K$1,$K$2,GRU$4),Table1[],(MATCH(Calendar!$A18,DB!$1:$1,0)),FALSE)&gt;=5,"Good","Bad"),VLOOKUP(DATE($K$1,$K$2,GRU$4),Table1[],(MATCH(Calendar!$A18,DB!$1:$1,0)),FALSE)),"")</f>
        <v/>
      </c>
      <c r="GRV18" s="28" t="str">
        <f>IFERROR(IF(GSE3="No",IF(VLOOKUP(DATE($K$1,$K$2,GRV$4),Table1[],(MATCH(Calendar!$A18,DB!$1:$1,0)),FALSE)&gt;=5,"Good","Bad"),VLOOKUP(DATE($K$1,$K$2,GRV$4),Table1[],(MATCH(Calendar!$A18,DB!$1:$1,0)),FALSE)),"")</f>
        <v/>
      </c>
      <c r="GRW18" s="28" t="str">
        <f>IFERROR(IF(GSF3="No",IF(VLOOKUP(DATE($K$1,$K$2,GRW$4),Table1[],(MATCH(Calendar!$A18,DB!$1:$1,0)),FALSE)&gt;=5,"Good","Bad"),VLOOKUP(DATE($K$1,$K$2,GRW$4),Table1[],(MATCH(Calendar!$A18,DB!$1:$1,0)),FALSE)),"")</f>
        <v/>
      </c>
      <c r="GRX18" s="28" t="str">
        <f>IFERROR(IF(GSG3="No",IF(VLOOKUP(DATE($K$1,$K$2,GRX$4),Table1[],(MATCH(Calendar!$A18,DB!$1:$1,0)),FALSE)&gt;=5,"Good","Bad"),VLOOKUP(DATE($K$1,$K$2,GRX$4),Table1[],(MATCH(Calendar!$A18,DB!$1:$1,0)),FALSE)),"")</f>
        <v/>
      </c>
      <c r="GRY18" s="28" t="str">
        <f>IFERROR(IF(GSH3="No",IF(VLOOKUP(DATE($K$1,$K$2,GRY$4),Table1[],(MATCH(Calendar!$A18,DB!$1:$1,0)),FALSE)&gt;=5,"Good","Bad"),VLOOKUP(DATE($K$1,$K$2,GRY$4),Table1[],(MATCH(Calendar!$A18,DB!$1:$1,0)),FALSE)),"")</f>
        <v/>
      </c>
      <c r="GRZ18" s="28" t="str">
        <f>IFERROR(IF(GSI3="No",IF(VLOOKUP(DATE($K$1,$K$2,GRZ$4),Table1[],(MATCH(Calendar!$A18,DB!$1:$1,0)),FALSE)&gt;=5,"Good","Bad"),VLOOKUP(DATE($K$1,$K$2,GRZ$4),Table1[],(MATCH(Calendar!$A18,DB!$1:$1,0)),FALSE)),"")</f>
        <v/>
      </c>
      <c r="GSA18" s="28" t="str">
        <f>IFERROR(IF(GSJ3="No",IF(VLOOKUP(DATE($K$1,$K$2,GSA$4),Table1[],(MATCH(Calendar!$A18,DB!$1:$1,0)),FALSE)&gt;=5,"Good","Bad"),VLOOKUP(DATE($K$1,$K$2,GSA$4),Table1[],(MATCH(Calendar!$A18,DB!$1:$1,0)),FALSE)),"")</f>
        <v/>
      </c>
      <c r="GSB18" s="28" t="str">
        <f>IFERROR(IF(GSK3="No",IF(VLOOKUP(DATE($K$1,$K$2,GSB$4),Table1[],(MATCH(Calendar!$A18,DB!$1:$1,0)),FALSE)&gt;=5,"Good","Bad"),VLOOKUP(DATE($K$1,$K$2,GSB$4),Table1[],(MATCH(Calendar!$A18,DB!$1:$1,0)),FALSE)),"")</f>
        <v/>
      </c>
      <c r="GSC18" s="28" t="str">
        <f>IFERROR(IF(GSL3="No",IF(VLOOKUP(DATE($K$1,$K$2,GSC$4),Table1[],(MATCH(Calendar!$A18,DB!$1:$1,0)),FALSE)&gt;=5,"Good","Bad"),VLOOKUP(DATE($K$1,$K$2,GSC$4),Table1[],(MATCH(Calendar!$A18,DB!$1:$1,0)),FALSE)),"")</f>
        <v/>
      </c>
      <c r="GSD18" s="28" t="str">
        <f>IFERROR(IF(GSM3="No",IF(VLOOKUP(DATE($K$1,$K$2,GSD$4),Table1[],(MATCH(Calendar!$A18,DB!$1:$1,0)),FALSE)&gt;=5,"Good","Bad"),VLOOKUP(DATE($K$1,$K$2,GSD$4),Table1[],(MATCH(Calendar!$A18,DB!$1:$1,0)),FALSE)),"")</f>
        <v/>
      </c>
      <c r="GSE18" s="28" t="str">
        <f>IFERROR(IF(GSN3="No",IF(VLOOKUP(DATE($K$1,$K$2,GSE$4),Table1[],(MATCH(Calendar!$A18,DB!$1:$1,0)),FALSE)&gt;=5,"Good","Bad"),VLOOKUP(DATE($K$1,$K$2,GSE$4),Table1[],(MATCH(Calendar!$A18,DB!$1:$1,0)),FALSE)),"")</f>
        <v/>
      </c>
      <c r="GSF18" s="28" t="str">
        <f>IFERROR(IF(GSO3="No",IF(VLOOKUP(DATE($K$1,$K$2,GSF$4),Table1[],(MATCH(Calendar!$A18,DB!$1:$1,0)),FALSE)&gt;=5,"Good","Bad"),VLOOKUP(DATE($K$1,$K$2,GSF$4),Table1[],(MATCH(Calendar!$A18,DB!$1:$1,0)),FALSE)),"")</f>
        <v/>
      </c>
      <c r="GSG18" s="28" t="str">
        <f>IFERROR(IF(GSP3="No",IF(VLOOKUP(DATE($K$1,$K$2,GSG$4),Table1[],(MATCH(Calendar!$A18,DB!$1:$1,0)),FALSE)&gt;=5,"Good","Bad"),VLOOKUP(DATE($K$1,$K$2,GSG$4),Table1[],(MATCH(Calendar!$A18,DB!$1:$1,0)),FALSE)),"")</f>
        <v/>
      </c>
      <c r="GSH18" s="28" t="str">
        <f>IFERROR(IF(GSQ3="No",IF(VLOOKUP(DATE($K$1,$K$2,GSH$4),Table1[],(MATCH(Calendar!$A18,DB!$1:$1,0)),FALSE)&gt;=5,"Good","Bad"),VLOOKUP(DATE($K$1,$K$2,GSH$4),Table1[],(MATCH(Calendar!$A18,DB!$1:$1,0)),FALSE)),"")</f>
        <v/>
      </c>
      <c r="GSI18" s="28" t="str">
        <f>IFERROR(IF(GSR3="No",IF(VLOOKUP(DATE($K$1,$K$2,GSI$4),Table1[],(MATCH(Calendar!$A18,DB!$1:$1,0)),FALSE)&gt;=5,"Good","Bad"),VLOOKUP(DATE($K$1,$K$2,GSI$4),Table1[],(MATCH(Calendar!$A18,DB!$1:$1,0)),FALSE)),"")</f>
        <v/>
      </c>
      <c r="GSJ18" s="28" t="str">
        <f>IFERROR(IF(GSS3="No",IF(VLOOKUP(DATE($K$1,$K$2,GSJ$4),Table1[],(MATCH(Calendar!$A18,DB!$1:$1,0)),FALSE)&gt;=5,"Good","Bad"),VLOOKUP(DATE($K$1,$K$2,GSJ$4),Table1[],(MATCH(Calendar!$A18,DB!$1:$1,0)),FALSE)),"")</f>
        <v/>
      </c>
      <c r="GSK18" s="28" t="str">
        <f>IFERROR(IF(GST3="No",IF(VLOOKUP(DATE($K$1,$K$2,GSK$4),Table1[],(MATCH(Calendar!$A18,DB!$1:$1,0)),FALSE)&gt;=5,"Good","Bad"),VLOOKUP(DATE($K$1,$K$2,GSK$4),Table1[],(MATCH(Calendar!$A18,DB!$1:$1,0)),FALSE)),"")</f>
        <v/>
      </c>
      <c r="GSL18" s="28" t="str">
        <f>IFERROR(IF(GSU3="No",IF(VLOOKUP(DATE($K$1,$K$2,GSL$4),Table1[],(MATCH(Calendar!$A18,DB!$1:$1,0)),FALSE)&gt;=5,"Good","Bad"),VLOOKUP(DATE($K$1,$K$2,GSL$4),Table1[],(MATCH(Calendar!$A18,DB!$1:$1,0)),FALSE)),"")</f>
        <v/>
      </c>
      <c r="GSM18" s="28" t="str">
        <f>IFERROR(IF(GSV3="No",IF(VLOOKUP(DATE($K$1,$K$2,GSM$4),Table1[],(MATCH(Calendar!$A18,DB!$1:$1,0)),FALSE)&gt;=5,"Good","Bad"),VLOOKUP(DATE($K$1,$K$2,GSM$4),Table1[],(MATCH(Calendar!$A18,DB!$1:$1,0)),FALSE)),"")</f>
        <v/>
      </c>
      <c r="GSN18" s="28" t="str">
        <f>IFERROR(IF(GSW3="No",IF(VLOOKUP(DATE($K$1,$K$2,GSN$4),Table1[],(MATCH(Calendar!$A18,DB!$1:$1,0)),FALSE)&gt;=5,"Good","Bad"),VLOOKUP(DATE($K$1,$K$2,GSN$4),Table1[],(MATCH(Calendar!$A18,DB!$1:$1,0)),FALSE)),"")</f>
        <v/>
      </c>
      <c r="GSO18" s="28" t="str">
        <f>IFERROR(IF(GSX3="No",IF(VLOOKUP(DATE($K$1,$K$2,GSO$4),Table1[],(MATCH(Calendar!$A18,DB!$1:$1,0)),FALSE)&gt;=5,"Good","Bad"),VLOOKUP(DATE($K$1,$K$2,GSO$4),Table1[],(MATCH(Calendar!$A18,DB!$1:$1,0)),FALSE)),"")</f>
        <v/>
      </c>
      <c r="GSP18" s="28" t="str">
        <f>IFERROR(IF(GSY3="No",IF(VLOOKUP(DATE($K$1,$K$2,GSP$4),Table1[],(MATCH(Calendar!$A18,DB!$1:$1,0)),FALSE)&gt;=5,"Good","Bad"),VLOOKUP(DATE($K$1,$K$2,GSP$4),Table1[],(MATCH(Calendar!$A18,DB!$1:$1,0)),FALSE)),"")</f>
        <v/>
      </c>
      <c r="GSQ18" s="28" t="str">
        <f>IFERROR(IF(GSZ3="No",IF(VLOOKUP(DATE($K$1,$K$2,GSQ$4),Table1[],(MATCH(Calendar!$A18,DB!$1:$1,0)),FALSE)&gt;=5,"Good","Bad"),VLOOKUP(DATE($K$1,$K$2,GSQ$4),Table1[],(MATCH(Calendar!$A18,DB!$1:$1,0)),FALSE)),"")</f>
        <v/>
      </c>
      <c r="GSR18" s="28" t="str">
        <f>IFERROR(IF(GTA3="No",IF(VLOOKUP(DATE($K$1,$K$2,GSR$4),Table1[],(MATCH(Calendar!$A18,DB!$1:$1,0)),FALSE)&gt;=5,"Good","Bad"),VLOOKUP(DATE($K$1,$K$2,GSR$4),Table1[],(MATCH(Calendar!$A18,DB!$1:$1,0)),FALSE)),"")</f>
        <v/>
      </c>
      <c r="GSS18" s="28" t="str">
        <f>IFERROR(IF(GTB3="No",IF(VLOOKUP(DATE($K$1,$K$2,GSS$4),Table1[],(MATCH(Calendar!$A18,DB!$1:$1,0)),FALSE)&gt;=5,"Good","Bad"),VLOOKUP(DATE($K$1,$K$2,GSS$4),Table1[],(MATCH(Calendar!$A18,DB!$1:$1,0)),FALSE)),"")</f>
        <v/>
      </c>
      <c r="GST18" s="28" t="str">
        <f>IFERROR(IF(GTC3="No",IF(VLOOKUP(DATE($K$1,$K$2,GST$4),Table1[],(MATCH(Calendar!$A18,DB!$1:$1,0)),FALSE)&gt;=5,"Good","Bad"),VLOOKUP(DATE($K$1,$K$2,GST$4),Table1[],(MATCH(Calendar!$A18,DB!$1:$1,0)),FALSE)),"")</f>
        <v/>
      </c>
      <c r="GSU18" s="28" t="str">
        <f>IFERROR(IF(GTD3="No",IF(VLOOKUP(DATE($K$1,$K$2,GSU$4),Table1[],(MATCH(Calendar!$A18,DB!$1:$1,0)),FALSE)&gt;=5,"Good","Bad"),VLOOKUP(DATE($K$1,$K$2,GSU$4),Table1[],(MATCH(Calendar!$A18,DB!$1:$1,0)),FALSE)),"")</f>
        <v/>
      </c>
      <c r="GSV18" s="28" t="str">
        <f>IFERROR(IF(GTE3="No",IF(VLOOKUP(DATE($K$1,$K$2,GSV$4),Table1[],(MATCH(Calendar!$A18,DB!$1:$1,0)),FALSE)&gt;=5,"Good","Bad"),VLOOKUP(DATE($K$1,$K$2,GSV$4),Table1[],(MATCH(Calendar!$A18,DB!$1:$1,0)),FALSE)),"")</f>
        <v/>
      </c>
      <c r="GSW18" s="28" t="str">
        <f>IFERROR(IF(GTF3="No",IF(VLOOKUP(DATE($K$1,$K$2,GSW$4),Table1[],(MATCH(Calendar!$A18,DB!$1:$1,0)),FALSE)&gt;=5,"Good","Bad"),VLOOKUP(DATE($K$1,$K$2,GSW$4),Table1[],(MATCH(Calendar!$A18,DB!$1:$1,0)),FALSE)),"")</f>
        <v/>
      </c>
      <c r="GSX18" s="28" t="str">
        <f>IFERROR(IF(GTG3="No",IF(VLOOKUP(DATE($K$1,$K$2,GSX$4),Table1[],(MATCH(Calendar!$A18,DB!$1:$1,0)),FALSE)&gt;=5,"Good","Bad"),VLOOKUP(DATE($K$1,$K$2,GSX$4),Table1[],(MATCH(Calendar!$A18,DB!$1:$1,0)),FALSE)),"")</f>
        <v/>
      </c>
      <c r="GSY18" s="28" t="str">
        <f>IFERROR(IF(GTH3="No",IF(VLOOKUP(DATE($K$1,$K$2,GSY$4),Table1[],(MATCH(Calendar!$A18,DB!$1:$1,0)),FALSE)&gt;=5,"Good","Bad"),VLOOKUP(DATE($K$1,$K$2,GSY$4),Table1[],(MATCH(Calendar!$A18,DB!$1:$1,0)),FALSE)),"")</f>
        <v/>
      </c>
      <c r="GSZ18" s="28" t="str">
        <f>IFERROR(IF(GTI3="No",IF(VLOOKUP(DATE($K$1,$K$2,GSZ$4),Table1[],(MATCH(Calendar!$A18,DB!$1:$1,0)),FALSE)&gt;=5,"Good","Bad"),VLOOKUP(DATE($K$1,$K$2,GSZ$4),Table1[],(MATCH(Calendar!$A18,DB!$1:$1,0)),FALSE)),"")</f>
        <v/>
      </c>
      <c r="GTA18" s="28" t="str">
        <f>IFERROR(IF(GTJ3="No",IF(VLOOKUP(DATE($K$1,$K$2,GTA$4),Table1[],(MATCH(Calendar!$A18,DB!$1:$1,0)),FALSE)&gt;=5,"Good","Bad"),VLOOKUP(DATE($K$1,$K$2,GTA$4),Table1[],(MATCH(Calendar!$A18,DB!$1:$1,0)),FALSE)),"")</f>
        <v/>
      </c>
      <c r="GTB18" s="28" t="str">
        <f>IFERROR(IF(GTK3="No",IF(VLOOKUP(DATE($K$1,$K$2,GTB$4),Table1[],(MATCH(Calendar!$A18,DB!$1:$1,0)),FALSE)&gt;=5,"Good","Bad"),VLOOKUP(DATE($K$1,$K$2,GTB$4),Table1[],(MATCH(Calendar!$A18,DB!$1:$1,0)),FALSE)),"")</f>
        <v/>
      </c>
      <c r="GTC18" s="28" t="str">
        <f>IFERROR(IF(GTL3="No",IF(VLOOKUP(DATE($K$1,$K$2,GTC$4),Table1[],(MATCH(Calendar!$A18,DB!$1:$1,0)),FALSE)&gt;=5,"Good","Bad"),VLOOKUP(DATE($K$1,$K$2,GTC$4),Table1[],(MATCH(Calendar!$A18,DB!$1:$1,0)),FALSE)),"")</f>
        <v/>
      </c>
      <c r="GTD18" s="28" t="str">
        <f>IFERROR(IF(GTM3="No",IF(VLOOKUP(DATE($K$1,$K$2,GTD$4),Table1[],(MATCH(Calendar!$A18,DB!$1:$1,0)),FALSE)&gt;=5,"Good","Bad"),VLOOKUP(DATE($K$1,$K$2,GTD$4),Table1[],(MATCH(Calendar!$A18,DB!$1:$1,0)),FALSE)),"")</f>
        <v/>
      </c>
      <c r="GTE18" s="28" t="str">
        <f>IFERROR(IF(GTN3="No",IF(VLOOKUP(DATE($K$1,$K$2,GTE$4),Table1[],(MATCH(Calendar!$A18,DB!$1:$1,0)),FALSE)&gt;=5,"Good","Bad"),VLOOKUP(DATE($K$1,$K$2,GTE$4),Table1[],(MATCH(Calendar!$A18,DB!$1:$1,0)),FALSE)),"")</f>
        <v/>
      </c>
      <c r="GTF18" s="28" t="str">
        <f>IFERROR(IF(GTO3="No",IF(VLOOKUP(DATE($K$1,$K$2,GTF$4),Table1[],(MATCH(Calendar!$A18,DB!$1:$1,0)),FALSE)&gt;=5,"Good","Bad"),VLOOKUP(DATE($K$1,$K$2,GTF$4),Table1[],(MATCH(Calendar!$A18,DB!$1:$1,0)),FALSE)),"")</f>
        <v/>
      </c>
      <c r="GTG18" s="28" t="str">
        <f>IFERROR(IF(GTP3="No",IF(VLOOKUP(DATE($K$1,$K$2,GTG$4),Table1[],(MATCH(Calendar!$A18,DB!$1:$1,0)),FALSE)&gt;=5,"Good","Bad"),VLOOKUP(DATE($K$1,$K$2,GTG$4),Table1[],(MATCH(Calendar!$A18,DB!$1:$1,0)),FALSE)),"")</f>
        <v/>
      </c>
      <c r="GTH18" s="28" t="str">
        <f>IFERROR(IF(GTQ3="No",IF(VLOOKUP(DATE($K$1,$K$2,GTH$4),Table1[],(MATCH(Calendar!$A18,DB!$1:$1,0)),FALSE)&gt;=5,"Good","Bad"),VLOOKUP(DATE($K$1,$K$2,GTH$4),Table1[],(MATCH(Calendar!$A18,DB!$1:$1,0)),FALSE)),"")</f>
        <v/>
      </c>
      <c r="GTI18" s="28" t="str">
        <f>IFERROR(IF(GTR3="No",IF(VLOOKUP(DATE($K$1,$K$2,GTI$4),Table1[],(MATCH(Calendar!$A18,DB!$1:$1,0)),FALSE)&gt;=5,"Good","Bad"),VLOOKUP(DATE($K$1,$K$2,GTI$4),Table1[],(MATCH(Calendar!$A18,DB!$1:$1,0)),FALSE)),"")</f>
        <v/>
      </c>
      <c r="GTJ18" s="28" t="str">
        <f>IFERROR(IF(GTS3="No",IF(VLOOKUP(DATE($K$1,$K$2,GTJ$4),Table1[],(MATCH(Calendar!$A18,DB!$1:$1,0)),FALSE)&gt;=5,"Good","Bad"),VLOOKUP(DATE($K$1,$K$2,GTJ$4),Table1[],(MATCH(Calendar!$A18,DB!$1:$1,0)),FALSE)),"")</f>
        <v/>
      </c>
      <c r="GTK18" s="28" t="str">
        <f>IFERROR(IF(GTT3="No",IF(VLOOKUP(DATE($K$1,$K$2,GTK$4),Table1[],(MATCH(Calendar!$A18,DB!$1:$1,0)),FALSE)&gt;=5,"Good","Bad"),VLOOKUP(DATE($K$1,$K$2,GTK$4),Table1[],(MATCH(Calendar!$A18,DB!$1:$1,0)),FALSE)),"")</f>
        <v/>
      </c>
      <c r="GTL18" s="28" t="str">
        <f>IFERROR(IF(GTU3="No",IF(VLOOKUP(DATE($K$1,$K$2,GTL$4),Table1[],(MATCH(Calendar!$A18,DB!$1:$1,0)),FALSE)&gt;=5,"Good","Bad"),VLOOKUP(DATE($K$1,$K$2,GTL$4),Table1[],(MATCH(Calendar!$A18,DB!$1:$1,0)),FALSE)),"")</f>
        <v/>
      </c>
      <c r="GTM18" s="28" t="str">
        <f>IFERROR(IF(GTV3="No",IF(VLOOKUP(DATE($K$1,$K$2,GTM$4),Table1[],(MATCH(Calendar!$A18,DB!$1:$1,0)),FALSE)&gt;=5,"Good","Bad"),VLOOKUP(DATE($K$1,$K$2,GTM$4),Table1[],(MATCH(Calendar!$A18,DB!$1:$1,0)),FALSE)),"")</f>
        <v/>
      </c>
      <c r="GTN18" s="28" t="str">
        <f>IFERROR(IF(GTW3="No",IF(VLOOKUP(DATE($K$1,$K$2,GTN$4),Table1[],(MATCH(Calendar!$A18,DB!$1:$1,0)),FALSE)&gt;=5,"Good","Bad"),VLOOKUP(DATE($K$1,$K$2,GTN$4),Table1[],(MATCH(Calendar!$A18,DB!$1:$1,0)),FALSE)),"")</f>
        <v/>
      </c>
      <c r="GTO18" s="28" t="str">
        <f>IFERROR(IF(GTX3="No",IF(VLOOKUP(DATE($K$1,$K$2,GTO$4),Table1[],(MATCH(Calendar!$A18,DB!$1:$1,0)),FALSE)&gt;=5,"Good","Bad"),VLOOKUP(DATE($K$1,$K$2,GTO$4),Table1[],(MATCH(Calendar!$A18,DB!$1:$1,0)),FALSE)),"")</f>
        <v/>
      </c>
      <c r="GTP18" s="28" t="str">
        <f>IFERROR(IF(GTY3="No",IF(VLOOKUP(DATE($K$1,$K$2,GTP$4),Table1[],(MATCH(Calendar!$A18,DB!$1:$1,0)),FALSE)&gt;=5,"Good","Bad"),VLOOKUP(DATE($K$1,$K$2,GTP$4),Table1[],(MATCH(Calendar!$A18,DB!$1:$1,0)),FALSE)),"")</f>
        <v/>
      </c>
      <c r="GTQ18" s="28" t="str">
        <f>IFERROR(IF(GTZ3="No",IF(VLOOKUP(DATE($K$1,$K$2,GTQ$4),Table1[],(MATCH(Calendar!$A18,DB!$1:$1,0)),FALSE)&gt;=5,"Good","Bad"),VLOOKUP(DATE($K$1,$K$2,GTQ$4),Table1[],(MATCH(Calendar!$A18,DB!$1:$1,0)),FALSE)),"")</f>
        <v/>
      </c>
      <c r="GTR18" s="28" t="str">
        <f>IFERROR(IF(GUA3="No",IF(VLOOKUP(DATE($K$1,$K$2,GTR$4),Table1[],(MATCH(Calendar!$A18,DB!$1:$1,0)),FALSE)&gt;=5,"Good","Bad"),VLOOKUP(DATE($K$1,$K$2,GTR$4),Table1[],(MATCH(Calendar!$A18,DB!$1:$1,0)),FALSE)),"")</f>
        <v/>
      </c>
      <c r="GTS18" s="28" t="str">
        <f>IFERROR(IF(GUB3="No",IF(VLOOKUP(DATE($K$1,$K$2,GTS$4),Table1[],(MATCH(Calendar!$A18,DB!$1:$1,0)),FALSE)&gt;=5,"Good","Bad"),VLOOKUP(DATE($K$1,$K$2,GTS$4),Table1[],(MATCH(Calendar!$A18,DB!$1:$1,0)),FALSE)),"")</f>
        <v/>
      </c>
      <c r="GTT18" s="28" t="str">
        <f>IFERROR(IF(GUC3="No",IF(VLOOKUP(DATE($K$1,$K$2,GTT$4),Table1[],(MATCH(Calendar!$A18,DB!$1:$1,0)),FALSE)&gt;=5,"Good","Bad"),VLOOKUP(DATE($K$1,$K$2,GTT$4),Table1[],(MATCH(Calendar!$A18,DB!$1:$1,0)),FALSE)),"")</f>
        <v/>
      </c>
      <c r="GTU18" s="28" t="str">
        <f>IFERROR(IF(GUD3="No",IF(VLOOKUP(DATE($K$1,$K$2,GTU$4),Table1[],(MATCH(Calendar!$A18,DB!$1:$1,0)),FALSE)&gt;=5,"Good","Bad"),VLOOKUP(DATE($K$1,$K$2,GTU$4),Table1[],(MATCH(Calendar!$A18,DB!$1:$1,0)),FALSE)),"")</f>
        <v/>
      </c>
      <c r="GTV18" s="28" t="str">
        <f>IFERROR(IF(GUE3="No",IF(VLOOKUP(DATE($K$1,$K$2,GTV$4),Table1[],(MATCH(Calendar!$A18,DB!$1:$1,0)),FALSE)&gt;=5,"Good","Bad"),VLOOKUP(DATE($K$1,$K$2,GTV$4),Table1[],(MATCH(Calendar!$A18,DB!$1:$1,0)),FALSE)),"")</f>
        <v/>
      </c>
      <c r="GTW18" s="28" t="str">
        <f>IFERROR(IF(GUF3="No",IF(VLOOKUP(DATE($K$1,$K$2,GTW$4),Table1[],(MATCH(Calendar!$A18,DB!$1:$1,0)),FALSE)&gt;=5,"Good","Bad"),VLOOKUP(DATE($K$1,$K$2,GTW$4),Table1[],(MATCH(Calendar!$A18,DB!$1:$1,0)),FALSE)),"")</f>
        <v/>
      </c>
      <c r="GTX18" s="28" t="str">
        <f>IFERROR(IF(GUG3="No",IF(VLOOKUP(DATE($K$1,$K$2,GTX$4),Table1[],(MATCH(Calendar!$A18,DB!$1:$1,0)),FALSE)&gt;=5,"Good","Bad"),VLOOKUP(DATE($K$1,$K$2,GTX$4),Table1[],(MATCH(Calendar!$A18,DB!$1:$1,0)),FALSE)),"")</f>
        <v/>
      </c>
      <c r="GTY18" s="28" t="str">
        <f>IFERROR(IF(GUH3="No",IF(VLOOKUP(DATE($K$1,$K$2,GTY$4),Table1[],(MATCH(Calendar!$A18,DB!$1:$1,0)),FALSE)&gt;=5,"Good","Bad"),VLOOKUP(DATE($K$1,$K$2,GTY$4),Table1[],(MATCH(Calendar!$A18,DB!$1:$1,0)),FALSE)),"")</f>
        <v/>
      </c>
      <c r="GTZ18" s="28" t="str">
        <f>IFERROR(IF(GUI3="No",IF(VLOOKUP(DATE($K$1,$K$2,GTZ$4),Table1[],(MATCH(Calendar!$A18,DB!$1:$1,0)),FALSE)&gt;=5,"Good","Bad"),VLOOKUP(DATE($K$1,$K$2,GTZ$4),Table1[],(MATCH(Calendar!$A18,DB!$1:$1,0)),FALSE)),"")</f>
        <v/>
      </c>
      <c r="GUA18" s="28" t="str">
        <f>IFERROR(IF(GUJ3="No",IF(VLOOKUP(DATE($K$1,$K$2,GUA$4),Table1[],(MATCH(Calendar!$A18,DB!$1:$1,0)),FALSE)&gt;=5,"Good","Bad"),VLOOKUP(DATE($K$1,$K$2,GUA$4),Table1[],(MATCH(Calendar!$A18,DB!$1:$1,0)),FALSE)),"")</f>
        <v/>
      </c>
      <c r="GUB18" s="28" t="str">
        <f>IFERROR(IF(GUK3="No",IF(VLOOKUP(DATE($K$1,$K$2,GUB$4),Table1[],(MATCH(Calendar!$A18,DB!$1:$1,0)),FALSE)&gt;=5,"Good","Bad"),VLOOKUP(DATE($K$1,$K$2,GUB$4),Table1[],(MATCH(Calendar!$A18,DB!$1:$1,0)),FALSE)),"")</f>
        <v/>
      </c>
      <c r="GUC18" s="28" t="str">
        <f>IFERROR(IF(GUL3="No",IF(VLOOKUP(DATE($K$1,$K$2,GUC$4),Table1[],(MATCH(Calendar!$A18,DB!$1:$1,0)),FALSE)&gt;=5,"Good","Bad"),VLOOKUP(DATE($K$1,$K$2,GUC$4),Table1[],(MATCH(Calendar!$A18,DB!$1:$1,0)),FALSE)),"")</f>
        <v/>
      </c>
      <c r="GUD18" s="28" t="str">
        <f>IFERROR(IF(GUM3="No",IF(VLOOKUP(DATE($K$1,$K$2,GUD$4),Table1[],(MATCH(Calendar!$A18,DB!$1:$1,0)),FALSE)&gt;=5,"Good","Bad"),VLOOKUP(DATE($K$1,$K$2,GUD$4),Table1[],(MATCH(Calendar!$A18,DB!$1:$1,0)),FALSE)),"")</f>
        <v/>
      </c>
      <c r="GUE18" s="28" t="str">
        <f>IFERROR(IF(GUN3="No",IF(VLOOKUP(DATE($K$1,$K$2,GUE$4),Table1[],(MATCH(Calendar!$A18,DB!$1:$1,0)),FALSE)&gt;=5,"Good","Bad"),VLOOKUP(DATE($K$1,$K$2,GUE$4),Table1[],(MATCH(Calendar!$A18,DB!$1:$1,0)),FALSE)),"")</f>
        <v/>
      </c>
      <c r="GUF18" s="28" t="str">
        <f>IFERROR(IF(GUO3="No",IF(VLOOKUP(DATE($K$1,$K$2,GUF$4),Table1[],(MATCH(Calendar!$A18,DB!$1:$1,0)),FALSE)&gt;=5,"Good","Bad"),VLOOKUP(DATE($K$1,$K$2,GUF$4),Table1[],(MATCH(Calendar!$A18,DB!$1:$1,0)),FALSE)),"")</f>
        <v/>
      </c>
      <c r="GUG18" s="28" t="str">
        <f>IFERROR(IF(GUP3="No",IF(VLOOKUP(DATE($K$1,$K$2,GUG$4),Table1[],(MATCH(Calendar!$A18,DB!$1:$1,0)),FALSE)&gt;=5,"Good","Bad"),VLOOKUP(DATE($K$1,$K$2,GUG$4),Table1[],(MATCH(Calendar!$A18,DB!$1:$1,0)),FALSE)),"")</f>
        <v/>
      </c>
      <c r="GUH18" s="28" t="str">
        <f>IFERROR(IF(GUQ3="No",IF(VLOOKUP(DATE($K$1,$K$2,GUH$4),Table1[],(MATCH(Calendar!$A18,DB!$1:$1,0)),FALSE)&gt;=5,"Good","Bad"),VLOOKUP(DATE($K$1,$K$2,GUH$4),Table1[],(MATCH(Calendar!$A18,DB!$1:$1,0)),FALSE)),"")</f>
        <v/>
      </c>
      <c r="GUI18" s="28" t="str">
        <f>IFERROR(IF(GUR3="No",IF(VLOOKUP(DATE($K$1,$K$2,GUI$4),Table1[],(MATCH(Calendar!$A18,DB!$1:$1,0)),FALSE)&gt;=5,"Good","Bad"),VLOOKUP(DATE($K$1,$K$2,GUI$4),Table1[],(MATCH(Calendar!$A18,DB!$1:$1,0)),FALSE)),"")</f>
        <v/>
      </c>
      <c r="GUJ18" s="28" t="str">
        <f>IFERROR(IF(GUS3="No",IF(VLOOKUP(DATE($K$1,$K$2,GUJ$4),Table1[],(MATCH(Calendar!$A18,DB!$1:$1,0)),FALSE)&gt;=5,"Good","Bad"),VLOOKUP(DATE($K$1,$K$2,GUJ$4),Table1[],(MATCH(Calendar!$A18,DB!$1:$1,0)),FALSE)),"")</f>
        <v/>
      </c>
      <c r="GUK18" s="28" t="str">
        <f>IFERROR(IF(GUT3="No",IF(VLOOKUP(DATE($K$1,$K$2,GUK$4),Table1[],(MATCH(Calendar!$A18,DB!$1:$1,0)),FALSE)&gt;=5,"Good","Bad"),VLOOKUP(DATE($K$1,$K$2,GUK$4),Table1[],(MATCH(Calendar!$A18,DB!$1:$1,0)),FALSE)),"")</f>
        <v/>
      </c>
      <c r="GUL18" s="28" t="str">
        <f>IFERROR(IF(GUU3="No",IF(VLOOKUP(DATE($K$1,$K$2,GUL$4),Table1[],(MATCH(Calendar!$A18,DB!$1:$1,0)),FALSE)&gt;=5,"Good","Bad"),VLOOKUP(DATE($K$1,$K$2,GUL$4),Table1[],(MATCH(Calendar!$A18,DB!$1:$1,0)),FALSE)),"")</f>
        <v/>
      </c>
      <c r="GUM18" s="28" t="str">
        <f>IFERROR(IF(GUV3="No",IF(VLOOKUP(DATE($K$1,$K$2,GUM$4),Table1[],(MATCH(Calendar!$A18,DB!$1:$1,0)),FALSE)&gt;=5,"Good","Bad"),VLOOKUP(DATE($K$1,$K$2,GUM$4),Table1[],(MATCH(Calendar!$A18,DB!$1:$1,0)),FALSE)),"")</f>
        <v/>
      </c>
      <c r="GUN18" s="28" t="str">
        <f>IFERROR(IF(GUW3="No",IF(VLOOKUP(DATE($K$1,$K$2,GUN$4),Table1[],(MATCH(Calendar!$A18,DB!$1:$1,0)),FALSE)&gt;=5,"Good","Bad"),VLOOKUP(DATE($K$1,$K$2,GUN$4),Table1[],(MATCH(Calendar!$A18,DB!$1:$1,0)),FALSE)),"")</f>
        <v/>
      </c>
      <c r="GUO18" s="28" t="str">
        <f>IFERROR(IF(GUX3="No",IF(VLOOKUP(DATE($K$1,$K$2,GUO$4),Table1[],(MATCH(Calendar!$A18,DB!$1:$1,0)),FALSE)&gt;=5,"Good","Bad"),VLOOKUP(DATE($K$1,$K$2,GUO$4),Table1[],(MATCH(Calendar!$A18,DB!$1:$1,0)),FALSE)),"")</f>
        <v/>
      </c>
      <c r="GUP18" s="28" t="str">
        <f>IFERROR(IF(GUY3="No",IF(VLOOKUP(DATE($K$1,$K$2,GUP$4),Table1[],(MATCH(Calendar!$A18,DB!$1:$1,0)),FALSE)&gt;=5,"Good","Bad"),VLOOKUP(DATE($K$1,$K$2,GUP$4),Table1[],(MATCH(Calendar!$A18,DB!$1:$1,0)),FALSE)),"")</f>
        <v/>
      </c>
      <c r="GUQ18" s="28" t="str">
        <f>IFERROR(IF(GUZ3="No",IF(VLOOKUP(DATE($K$1,$K$2,GUQ$4),Table1[],(MATCH(Calendar!$A18,DB!$1:$1,0)),FALSE)&gt;=5,"Good","Bad"),VLOOKUP(DATE($K$1,$K$2,GUQ$4),Table1[],(MATCH(Calendar!$A18,DB!$1:$1,0)),FALSE)),"")</f>
        <v/>
      </c>
      <c r="GUR18" s="28" t="str">
        <f>IFERROR(IF(GVA3="No",IF(VLOOKUP(DATE($K$1,$K$2,GUR$4),Table1[],(MATCH(Calendar!$A18,DB!$1:$1,0)),FALSE)&gt;=5,"Good","Bad"),VLOOKUP(DATE($K$1,$K$2,GUR$4),Table1[],(MATCH(Calendar!$A18,DB!$1:$1,0)),FALSE)),"")</f>
        <v/>
      </c>
      <c r="GUS18" s="28" t="str">
        <f>IFERROR(IF(GVB3="No",IF(VLOOKUP(DATE($K$1,$K$2,GUS$4),Table1[],(MATCH(Calendar!$A18,DB!$1:$1,0)),FALSE)&gt;=5,"Good","Bad"),VLOOKUP(DATE($K$1,$K$2,GUS$4),Table1[],(MATCH(Calendar!$A18,DB!$1:$1,0)),FALSE)),"")</f>
        <v/>
      </c>
      <c r="GUT18" s="28" t="str">
        <f>IFERROR(IF(GVC3="No",IF(VLOOKUP(DATE($K$1,$K$2,GUT$4),Table1[],(MATCH(Calendar!$A18,DB!$1:$1,0)),FALSE)&gt;=5,"Good","Bad"),VLOOKUP(DATE($K$1,$K$2,GUT$4),Table1[],(MATCH(Calendar!$A18,DB!$1:$1,0)),FALSE)),"")</f>
        <v/>
      </c>
      <c r="GUU18" s="28" t="str">
        <f>IFERROR(IF(GVD3="No",IF(VLOOKUP(DATE($K$1,$K$2,GUU$4),Table1[],(MATCH(Calendar!$A18,DB!$1:$1,0)),FALSE)&gt;=5,"Good","Bad"),VLOOKUP(DATE($K$1,$K$2,GUU$4),Table1[],(MATCH(Calendar!$A18,DB!$1:$1,0)),FALSE)),"")</f>
        <v/>
      </c>
      <c r="GUV18" s="28" t="str">
        <f>IFERROR(IF(GVE3="No",IF(VLOOKUP(DATE($K$1,$K$2,GUV$4),Table1[],(MATCH(Calendar!$A18,DB!$1:$1,0)),FALSE)&gt;=5,"Good","Bad"),VLOOKUP(DATE($K$1,$K$2,GUV$4),Table1[],(MATCH(Calendar!$A18,DB!$1:$1,0)),FALSE)),"")</f>
        <v/>
      </c>
      <c r="GUW18" s="28" t="str">
        <f>IFERROR(IF(GVF3="No",IF(VLOOKUP(DATE($K$1,$K$2,GUW$4),Table1[],(MATCH(Calendar!$A18,DB!$1:$1,0)),FALSE)&gt;=5,"Good","Bad"),VLOOKUP(DATE($K$1,$K$2,GUW$4),Table1[],(MATCH(Calendar!$A18,DB!$1:$1,0)),FALSE)),"")</f>
        <v/>
      </c>
      <c r="GUX18" s="28" t="str">
        <f>IFERROR(IF(GVG3="No",IF(VLOOKUP(DATE($K$1,$K$2,GUX$4),Table1[],(MATCH(Calendar!$A18,DB!$1:$1,0)),FALSE)&gt;=5,"Good","Bad"),VLOOKUP(DATE($K$1,$K$2,GUX$4),Table1[],(MATCH(Calendar!$A18,DB!$1:$1,0)),FALSE)),"")</f>
        <v/>
      </c>
      <c r="GUY18" s="28" t="str">
        <f>IFERROR(IF(GVH3="No",IF(VLOOKUP(DATE($K$1,$K$2,GUY$4),Table1[],(MATCH(Calendar!$A18,DB!$1:$1,0)),FALSE)&gt;=5,"Good","Bad"),VLOOKUP(DATE($K$1,$K$2,GUY$4),Table1[],(MATCH(Calendar!$A18,DB!$1:$1,0)),FALSE)),"")</f>
        <v/>
      </c>
      <c r="GUZ18" s="28" t="str">
        <f>IFERROR(IF(GVI3="No",IF(VLOOKUP(DATE($K$1,$K$2,GUZ$4),Table1[],(MATCH(Calendar!$A18,DB!$1:$1,0)),FALSE)&gt;=5,"Good","Bad"),VLOOKUP(DATE($K$1,$K$2,GUZ$4),Table1[],(MATCH(Calendar!$A18,DB!$1:$1,0)),FALSE)),"")</f>
        <v/>
      </c>
      <c r="GVA18" s="28" t="str">
        <f>IFERROR(IF(GVJ3="No",IF(VLOOKUP(DATE($K$1,$K$2,GVA$4),Table1[],(MATCH(Calendar!$A18,DB!$1:$1,0)),FALSE)&gt;=5,"Good","Bad"),VLOOKUP(DATE($K$1,$K$2,GVA$4),Table1[],(MATCH(Calendar!$A18,DB!$1:$1,0)),FALSE)),"")</f>
        <v/>
      </c>
      <c r="GVB18" s="28" t="str">
        <f>IFERROR(IF(GVK3="No",IF(VLOOKUP(DATE($K$1,$K$2,GVB$4),Table1[],(MATCH(Calendar!$A18,DB!$1:$1,0)),FALSE)&gt;=5,"Good","Bad"),VLOOKUP(DATE($K$1,$K$2,GVB$4),Table1[],(MATCH(Calendar!$A18,DB!$1:$1,0)),FALSE)),"")</f>
        <v/>
      </c>
      <c r="GVC18" s="28" t="str">
        <f>IFERROR(IF(GVL3="No",IF(VLOOKUP(DATE($K$1,$K$2,GVC$4),Table1[],(MATCH(Calendar!$A18,DB!$1:$1,0)),FALSE)&gt;=5,"Good","Bad"),VLOOKUP(DATE($K$1,$K$2,GVC$4),Table1[],(MATCH(Calendar!$A18,DB!$1:$1,0)),FALSE)),"")</f>
        <v/>
      </c>
      <c r="GVD18" s="28" t="str">
        <f>IFERROR(IF(GVM3="No",IF(VLOOKUP(DATE($K$1,$K$2,GVD$4),Table1[],(MATCH(Calendar!$A18,DB!$1:$1,0)),FALSE)&gt;=5,"Good","Bad"),VLOOKUP(DATE($K$1,$K$2,GVD$4),Table1[],(MATCH(Calendar!$A18,DB!$1:$1,0)),FALSE)),"")</f>
        <v/>
      </c>
      <c r="GVE18" s="28" t="str">
        <f>IFERROR(IF(GVN3="No",IF(VLOOKUP(DATE($K$1,$K$2,GVE$4),Table1[],(MATCH(Calendar!$A18,DB!$1:$1,0)),FALSE)&gt;=5,"Good","Bad"),VLOOKUP(DATE($K$1,$K$2,GVE$4),Table1[],(MATCH(Calendar!$A18,DB!$1:$1,0)),FALSE)),"")</f>
        <v/>
      </c>
      <c r="GVF18" s="28" t="str">
        <f>IFERROR(IF(GVO3="No",IF(VLOOKUP(DATE($K$1,$K$2,GVF$4),Table1[],(MATCH(Calendar!$A18,DB!$1:$1,0)),FALSE)&gt;=5,"Good","Bad"),VLOOKUP(DATE($K$1,$K$2,GVF$4),Table1[],(MATCH(Calendar!$A18,DB!$1:$1,0)),FALSE)),"")</f>
        <v/>
      </c>
      <c r="GVG18" s="28" t="str">
        <f>IFERROR(IF(GVP3="No",IF(VLOOKUP(DATE($K$1,$K$2,GVG$4),Table1[],(MATCH(Calendar!$A18,DB!$1:$1,0)),FALSE)&gt;=5,"Good","Bad"),VLOOKUP(DATE($K$1,$K$2,GVG$4),Table1[],(MATCH(Calendar!$A18,DB!$1:$1,0)),FALSE)),"")</f>
        <v/>
      </c>
      <c r="GVH18" s="28" t="str">
        <f>IFERROR(IF(GVQ3="No",IF(VLOOKUP(DATE($K$1,$K$2,GVH$4),Table1[],(MATCH(Calendar!$A18,DB!$1:$1,0)),FALSE)&gt;=5,"Good","Bad"),VLOOKUP(DATE($K$1,$K$2,GVH$4),Table1[],(MATCH(Calendar!$A18,DB!$1:$1,0)),FALSE)),"")</f>
        <v/>
      </c>
      <c r="GVI18" s="28" t="str">
        <f>IFERROR(IF(GVR3="No",IF(VLOOKUP(DATE($K$1,$K$2,GVI$4),Table1[],(MATCH(Calendar!$A18,DB!$1:$1,0)),FALSE)&gt;=5,"Good","Bad"),VLOOKUP(DATE($K$1,$K$2,GVI$4),Table1[],(MATCH(Calendar!$A18,DB!$1:$1,0)),FALSE)),"")</f>
        <v/>
      </c>
      <c r="GVJ18" s="28" t="str">
        <f>IFERROR(IF(GVS3="No",IF(VLOOKUP(DATE($K$1,$K$2,GVJ$4),Table1[],(MATCH(Calendar!$A18,DB!$1:$1,0)),FALSE)&gt;=5,"Good","Bad"),VLOOKUP(DATE($K$1,$K$2,GVJ$4),Table1[],(MATCH(Calendar!$A18,DB!$1:$1,0)),FALSE)),"")</f>
        <v/>
      </c>
      <c r="GVK18" s="28" t="str">
        <f>IFERROR(IF(GVT3="No",IF(VLOOKUP(DATE($K$1,$K$2,GVK$4),Table1[],(MATCH(Calendar!$A18,DB!$1:$1,0)),FALSE)&gt;=5,"Good","Bad"),VLOOKUP(DATE($K$1,$K$2,GVK$4),Table1[],(MATCH(Calendar!$A18,DB!$1:$1,0)),FALSE)),"")</f>
        <v/>
      </c>
      <c r="GVL18" s="28" t="str">
        <f>IFERROR(IF(GVU3="No",IF(VLOOKUP(DATE($K$1,$K$2,GVL$4),Table1[],(MATCH(Calendar!$A18,DB!$1:$1,0)),FALSE)&gt;=5,"Good","Bad"),VLOOKUP(DATE($K$1,$K$2,GVL$4),Table1[],(MATCH(Calendar!$A18,DB!$1:$1,0)),FALSE)),"")</f>
        <v/>
      </c>
      <c r="GVM18" s="28" t="str">
        <f>IFERROR(IF(GVV3="No",IF(VLOOKUP(DATE($K$1,$K$2,GVM$4),Table1[],(MATCH(Calendar!$A18,DB!$1:$1,0)),FALSE)&gt;=5,"Good","Bad"),VLOOKUP(DATE($K$1,$K$2,GVM$4),Table1[],(MATCH(Calendar!$A18,DB!$1:$1,0)),FALSE)),"")</f>
        <v/>
      </c>
      <c r="GVN18" s="28" t="str">
        <f>IFERROR(IF(GVW3="No",IF(VLOOKUP(DATE($K$1,$K$2,GVN$4),Table1[],(MATCH(Calendar!$A18,DB!$1:$1,0)),FALSE)&gt;=5,"Good","Bad"),VLOOKUP(DATE($K$1,$K$2,GVN$4),Table1[],(MATCH(Calendar!$A18,DB!$1:$1,0)),FALSE)),"")</f>
        <v/>
      </c>
      <c r="GVO18" s="28" t="str">
        <f>IFERROR(IF(GVX3="No",IF(VLOOKUP(DATE($K$1,$K$2,GVO$4),Table1[],(MATCH(Calendar!$A18,DB!$1:$1,0)),FALSE)&gt;=5,"Good","Bad"),VLOOKUP(DATE($K$1,$K$2,GVO$4),Table1[],(MATCH(Calendar!$A18,DB!$1:$1,0)),FALSE)),"")</f>
        <v/>
      </c>
      <c r="GVP18" s="28" t="str">
        <f>IFERROR(IF(GVY3="No",IF(VLOOKUP(DATE($K$1,$K$2,GVP$4),Table1[],(MATCH(Calendar!$A18,DB!$1:$1,0)),FALSE)&gt;=5,"Good","Bad"),VLOOKUP(DATE($K$1,$K$2,GVP$4),Table1[],(MATCH(Calendar!$A18,DB!$1:$1,0)),FALSE)),"")</f>
        <v/>
      </c>
      <c r="GVQ18" s="28" t="str">
        <f>IFERROR(IF(GVZ3="No",IF(VLOOKUP(DATE($K$1,$K$2,GVQ$4),Table1[],(MATCH(Calendar!$A18,DB!$1:$1,0)),FALSE)&gt;=5,"Good","Bad"),VLOOKUP(DATE($K$1,$K$2,GVQ$4),Table1[],(MATCH(Calendar!$A18,DB!$1:$1,0)),FALSE)),"")</f>
        <v/>
      </c>
      <c r="GVR18" s="28" t="str">
        <f>IFERROR(IF(GWA3="No",IF(VLOOKUP(DATE($K$1,$K$2,GVR$4),Table1[],(MATCH(Calendar!$A18,DB!$1:$1,0)),FALSE)&gt;=5,"Good","Bad"),VLOOKUP(DATE($K$1,$K$2,GVR$4),Table1[],(MATCH(Calendar!$A18,DB!$1:$1,0)),FALSE)),"")</f>
        <v/>
      </c>
      <c r="GVS18" s="28" t="str">
        <f>IFERROR(IF(GWB3="No",IF(VLOOKUP(DATE($K$1,$K$2,GVS$4),Table1[],(MATCH(Calendar!$A18,DB!$1:$1,0)),FALSE)&gt;=5,"Good","Bad"),VLOOKUP(DATE($K$1,$K$2,GVS$4),Table1[],(MATCH(Calendar!$A18,DB!$1:$1,0)),FALSE)),"")</f>
        <v/>
      </c>
      <c r="GVT18" s="28" t="str">
        <f>IFERROR(IF(GWC3="No",IF(VLOOKUP(DATE($K$1,$K$2,GVT$4),Table1[],(MATCH(Calendar!$A18,DB!$1:$1,0)),FALSE)&gt;=5,"Good","Bad"),VLOOKUP(DATE($K$1,$K$2,GVT$4),Table1[],(MATCH(Calendar!$A18,DB!$1:$1,0)),FALSE)),"")</f>
        <v/>
      </c>
      <c r="GVU18" s="28" t="str">
        <f>IFERROR(IF(GWD3="No",IF(VLOOKUP(DATE($K$1,$K$2,GVU$4),Table1[],(MATCH(Calendar!$A18,DB!$1:$1,0)),FALSE)&gt;=5,"Good","Bad"),VLOOKUP(DATE($K$1,$K$2,GVU$4),Table1[],(MATCH(Calendar!$A18,DB!$1:$1,0)),FALSE)),"")</f>
        <v/>
      </c>
      <c r="GVV18" s="28" t="str">
        <f>IFERROR(IF(GWE3="No",IF(VLOOKUP(DATE($K$1,$K$2,GVV$4),Table1[],(MATCH(Calendar!$A18,DB!$1:$1,0)),FALSE)&gt;=5,"Good","Bad"),VLOOKUP(DATE($K$1,$K$2,GVV$4),Table1[],(MATCH(Calendar!$A18,DB!$1:$1,0)),FALSE)),"")</f>
        <v/>
      </c>
      <c r="GVW18" s="28" t="str">
        <f>IFERROR(IF(GWF3="No",IF(VLOOKUP(DATE($K$1,$K$2,GVW$4),Table1[],(MATCH(Calendar!$A18,DB!$1:$1,0)),FALSE)&gt;=5,"Good","Bad"),VLOOKUP(DATE($K$1,$K$2,GVW$4),Table1[],(MATCH(Calendar!$A18,DB!$1:$1,0)),FALSE)),"")</f>
        <v/>
      </c>
      <c r="GVX18" s="28" t="str">
        <f>IFERROR(IF(GWG3="No",IF(VLOOKUP(DATE($K$1,$K$2,GVX$4),Table1[],(MATCH(Calendar!$A18,DB!$1:$1,0)),FALSE)&gt;=5,"Good","Bad"),VLOOKUP(DATE($K$1,$K$2,GVX$4),Table1[],(MATCH(Calendar!$A18,DB!$1:$1,0)),FALSE)),"")</f>
        <v/>
      </c>
      <c r="GVY18" s="28" t="str">
        <f>IFERROR(IF(GWH3="No",IF(VLOOKUP(DATE($K$1,$K$2,GVY$4),Table1[],(MATCH(Calendar!$A18,DB!$1:$1,0)),FALSE)&gt;=5,"Good","Bad"),VLOOKUP(DATE($K$1,$K$2,GVY$4),Table1[],(MATCH(Calendar!$A18,DB!$1:$1,0)),FALSE)),"")</f>
        <v/>
      </c>
      <c r="GVZ18" s="28" t="str">
        <f>IFERROR(IF(GWI3="No",IF(VLOOKUP(DATE($K$1,$K$2,GVZ$4),Table1[],(MATCH(Calendar!$A18,DB!$1:$1,0)),FALSE)&gt;=5,"Good","Bad"),VLOOKUP(DATE($K$1,$K$2,GVZ$4),Table1[],(MATCH(Calendar!$A18,DB!$1:$1,0)),FALSE)),"")</f>
        <v/>
      </c>
      <c r="GWA18" s="28" t="str">
        <f>IFERROR(IF(GWJ3="No",IF(VLOOKUP(DATE($K$1,$K$2,GWA$4),Table1[],(MATCH(Calendar!$A18,DB!$1:$1,0)),FALSE)&gt;=5,"Good","Bad"),VLOOKUP(DATE($K$1,$K$2,GWA$4),Table1[],(MATCH(Calendar!$A18,DB!$1:$1,0)),FALSE)),"")</f>
        <v/>
      </c>
      <c r="GWB18" s="28" t="str">
        <f>IFERROR(IF(GWK3="No",IF(VLOOKUP(DATE($K$1,$K$2,GWB$4),Table1[],(MATCH(Calendar!$A18,DB!$1:$1,0)),FALSE)&gt;=5,"Good","Bad"),VLOOKUP(DATE($K$1,$K$2,GWB$4),Table1[],(MATCH(Calendar!$A18,DB!$1:$1,0)),FALSE)),"")</f>
        <v/>
      </c>
      <c r="GWC18" s="28" t="str">
        <f>IFERROR(IF(GWL3="No",IF(VLOOKUP(DATE($K$1,$K$2,GWC$4),Table1[],(MATCH(Calendar!$A18,DB!$1:$1,0)),FALSE)&gt;=5,"Good","Bad"),VLOOKUP(DATE($K$1,$K$2,GWC$4),Table1[],(MATCH(Calendar!$A18,DB!$1:$1,0)),FALSE)),"")</f>
        <v/>
      </c>
      <c r="GWD18" s="28" t="str">
        <f>IFERROR(IF(GWM3="No",IF(VLOOKUP(DATE($K$1,$K$2,GWD$4),Table1[],(MATCH(Calendar!$A18,DB!$1:$1,0)),FALSE)&gt;=5,"Good","Bad"),VLOOKUP(DATE($K$1,$K$2,GWD$4),Table1[],(MATCH(Calendar!$A18,DB!$1:$1,0)),FALSE)),"")</f>
        <v/>
      </c>
      <c r="GWE18" s="28" t="str">
        <f>IFERROR(IF(GWN3="No",IF(VLOOKUP(DATE($K$1,$K$2,GWE$4),Table1[],(MATCH(Calendar!$A18,DB!$1:$1,0)),FALSE)&gt;=5,"Good","Bad"),VLOOKUP(DATE($K$1,$K$2,GWE$4),Table1[],(MATCH(Calendar!$A18,DB!$1:$1,0)),FALSE)),"")</f>
        <v/>
      </c>
      <c r="GWF18" s="28" t="str">
        <f>IFERROR(IF(GWO3="No",IF(VLOOKUP(DATE($K$1,$K$2,GWF$4),Table1[],(MATCH(Calendar!$A18,DB!$1:$1,0)),FALSE)&gt;=5,"Good","Bad"),VLOOKUP(DATE($K$1,$K$2,GWF$4),Table1[],(MATCH(Calendar!$A18,DB!$1:$1,0)),FALSE)),"")</f>
        <v/>
      </c>
      <c r="GWG18" s="28" t="str">
        <f>IFERROR(IF(GWP3="No",IF(VLOOKUP(DATE($K$1,$K$2,GWG$4),Table1[],(MATCH(Calendar!$A18,DB!$1:$1,0)),FALSE)&gt;=5,"Good","Bad"),VLOOKUP(DATE($K$1,$K$2,GWG$4),Table1[],(MATCH(Calendar!$A18,DB!$1:$1,0)),FALSE)),"")</f>
        <v/>
      </c>
      <c r="GWH18" s="28" t="str">
        <f>IFERROR(IF(GWQ3="No",IF(VLOOKUP(DATE($K$1,$K$2,GWH$4),Table1[],(MATCH(Calendar!$A18,DB!$1:$1,0)),FALSE)&gt;=5,"Good","Bad"),VLOOKUP(DATE($K$1,$K$2,GWH$4),Table1[],(MATCH(Calendar!$A18,DB!$1:$1,0)),FALSE)),"")</f>
        <v/>
      </c>
      <c r="GWI18" s="28" t="str">
        <f>IFERROR(IF(GWR3="No",IF(VLOOKUP(DATE($K$1,$K$2,GWI$4),Table1[],(MATCH(Calendar!$A18,DB!$1:$1,0)),FALSE)&gt;=5,"Good","Bad"),VLOOKUP(DATE($K$1,$K$2,GWI$4),Table1[],(MATCH(Calendar!$A18,DB!$1:$1,0)),FALSE)),"")</f>
        <v/>
      </c>
      <c r="GWJ18" s="28" t="str">
        <f>IFERROR(IF(GWS3="No",IF(VLOOKUP(DATE($K$1,$K$2,GWJ$4),Table1[],(MATCH(Calendar!$A18,DB!$1:$1,0)),FALSE)&gt;=5,"Good","Bad"),VLOOKUP(DATE($K$1,$K$2,GWJ$4),Table1[],(MATCH(Calendar!$A18,DB!$1:$1,0)),FALSE)),"")</f>
        <v/>
      </c>
      <c r="GWK18" s="28" t="str">
        <f>IFERROR(IF(GWT3="No",IF(VLOOKUP(DATE($K$1,$K$2,GWK$4),Table1[],(MATCH(Calendar!$A18,DB!$1:$1,0)),FALSE)&gt;=5,"Good","Bad"),VLOOKUP(DATE($K$1,$K$2,GWK$4),Table1[],(MATCH(Calendar!$A18,DB!$1:$1,0)),FALSE)),"")</f>
        <v/>
      </c>
      <c r="GWL18" s="28" t="str">
        <f>IFERROR(IF(GWU3="No",IF(VLOOKUP(DATE($K$1,$K$2,GWL$4),Table1[],(MATCH(Calendar!$A18,DB!$1:$1,0)),FALSE)&gt;=5,"Good","Bad"),VLOOKUP(DATE($K$1,$K$2,GWL$4),Table1[],(MATCH(Calendar!$A18,DB!$1:$1,0)),FALSE)),"")</f>
        <v/>
      </c>
      <c r="GWM18" s="28" t="str">
        <f>IFERROR(IF(GWV3="No",IF(VLOOKUP(DATE($K$1,$K$2,GWM$4),Table1[],(MATCH(Calendar!$A18,DB!$1:$1,0)),FALSE)&gt;=5,"Good","Bad"),VLOOKUP(DATE($K$1,$K$2,GWM$4),Table1[],(MATCH(Calendar!$A18,DB!$1:$1,0)),FALSE)),"")</f>
        <v/>
      </c>
      <c r="GWN18" s="28" t="str">
        <f>IFERROR(IF(GWW3="No",IF(VLOOKUP(DATE($K$1,$K$2,GWN$4),Table1[],(MATCH(Calendar!$A18,DB!$1:$1,0)),FALSE)&gt;=5,"Good","Bad"),VLOOKUP(DATE($K$1,$K$2,GWN$4),Table1[],(MATCH(Calendar!$A18,DB!$1:$1,0)),FALSE)),"")</f>
        <v/>
      </c>
      <c r="GWO18" s="28" t="str">
        <f>IFERROR(IF(GWX3="No",IF(VLOOKUP(DATE($K$1,$K$2,GWO$4),Table1[],(MATCH(Calendar!$A18,DB!$1:$1,0)),FALSE)&gt;=5,"Good","Bad"),VLOOKUP(DATE($K$1,$K$2,GWO$4),Table1[],(MATCH(Calendar!$A18,DB!$1:$1,0)),FALSE)),"")</f>
        <v/>
      </c>
      <c r="GWP18" s="28" t="str">
        <f>IFERROR(IF(GWY3="No",IF(VLOOKUP(DATE($K$1,$K$2,GWP$4),Table1[],(MATCH(Calendar!$A18,DB!$1:$1,0)),FALSE)&gt;=5,"Good","Bad"),VLOOKUP(DATE($K$1,$K$2,GWP$4),Table1[],(MATCH(Calendar!$A18,DB!$1:$1,0)),FALSE)),"")</f>
        <v/>
      </c>
      <c r="GWQ18" s="28" t="str">
        <f>IFERROR(IF(GWZ3="No",IF(VLOOKUP(DATE($K$1,$K$2,GWQ$4),Table1[],(MATCH(Calendar!$A18,DB!$1:$1,0)),FALSE)&gt;=5,"Good","Bad"),VLOOKUP(DATE($K$1,$K$2,GWQ$4),Table1[],(MATCH(Calendar!$A18,DB!$1:$1,0)),FALSE)),"")</f>
        <v/>
      </c>
      <c r="GWR18" s="28" t="str">
        <f>IFERROR(IF(GXA3="No",IF(VLOOKUP(DATE($K$1,$K$2,GWR$4),Table1[],(MATCH(Calendar!$A18,DB!$1:$1,0)),FALSE)&gt;=5,"Good","Bad"),VLOOKUP(DATE($K$1,$K$2,GWR$4),Table1[],(MATCH(Calendar!$A18,DB!$1:$1,0)),FALSE)),"")</f>
        <v/>
      </c>
      <c r="GWS18" s="28" t="str">
        <f>IFERROR(IF(GXB3="No",IF(VLOOKUP(DATE($K$1,$K$2,GWS$4),Table1[],(MATCH(Calendar!$A18,DB!$1:$1,0)),FALSE)&gt;=5,"Good","Bad"),VLOOKUP(DATE($K$1,$K$2,GWS$4),Table1[],(MATCH(Calendar!$A18,DB!$1:$1,0)),FALSE)),"")</f>
        <v/>
      </c>
      <c r="GWT18" s="28" t="str">
        <f>IFERROR(IF(GXC3="No",IF(VLOOKUP(DATE($K$1,$K$2,GWT$4),Table1[],(MATCH(Calendar!$A18,DB!$1:$1,0)),FALSE)&gt;=5,"Good","Bad"),VLOOKUP(DATE($K$1,$K$2,GWT$4),Table1[],(MATCH(Calendar!$A18,DB!$1:$1,0)),FALSE)),"")</f>
        <v/>
      </c>
      <c r="GWU18" s="28" t="str">
        <f>IFERROR(IF(GXD3="No",IF(VLOOKUP(DATE($K$1,$K$2,GWU$4),Table1[],(MATCH(Calendar!$A18,DB!$1:$1,0)),FALSE)&gt;=5,"Good","Bad"),VLOOKUP(DATE($K$1,$K$2,GWU$4),Table1[],(MATCH(Calendar!$A18,DB!$1:$1,0)),FALSE)),"")</f>
        <v/>
      </c>
      <c r="GWV18" s="28" t="str">
        <f>IFERROR(IF(GXE3="No",IF(VLOOKUP(DATE($K$1,$K$2,GWV$4),Table1[],(MATCH(Calendar!$A18,DB!$1:$1,0)),FALSE)&gt;=5,"Good","Bad"),VLOOKUP(DATE($K$1,$K$2,GWV$4),Table1[],(MATCH(Calendar!$A18,DB!$1:$1,0)),FALSE)),"")</f>
        <v/>
      </c>
      <c r="GWW18" s="28" t="str">
        <f>IFERROR(IF(GXF3="No",IF(VLOOKUP(DATE($K$1,$K$2,GWW$4),Table1[],(MATCH(Calendar!$A18,DB!$1:$1,0)),FALSE)&gt;=5,"Good","Bad"),VLOOKUP(DATE($K$1,$K$2,GWW$4),Table1[],(MATCH(Calendar!$A18,DB!$1:$1,0)),FALSE)),"")</f>
        <v/>
      </c>
      <c r="GWX18" s="28" t="str">
        <f>IFERROR(IF(GXG3="No",IF(VLOOKUP(DATE($K$1,$K$2,GWX$4),Table1[],(MATCH(Calendar!$A18,DB!$1:$1,0)),FALSE)&gt;=5,"Good","Bad"),VLOOKUP(DATE($K$1,$K$2,GWX$4),Table1[],(MATCH(Calendar!$A18,DB!$1:$1,0)),FALSE)),"")</f>
        <v/>
      </c>
      <c r="GWY18" s="28" t="str">
        <f>IFERROR(IF(GXH3="No",IF(VLOOKUP(DATE($K$1,$K$2,GWY$4),Table1[],(MATCH(Calendar!$A18,DB!$1:$1,0)),FALSE)&gt;=5,"Good","Bad"),VLOOKUP(DATE($K$1,$K$2,GWY$4),Table1[],(MATCH(Calendar!$A18,DB!$1:$1,0)),FALSE)),"")</f>
        <v/>
      </c>
      <c r="GWZ18" s="28" t="str">
        <f>IFERROR(IF(GXI3="No",IF(VLOOKUP(DATE($K$1,$K$2,GWZ$4),Table1[],(MATCH(Calendar!$A18,DB!$1:$1,0)),FALSE)&gt;=5,"Good","Bad"),VLOOKUP(DATE($K$1,$K$2,GWZ$4),Table1[],(MATCH(Calendar!$A18,DB!$1:$1,0)),FALSE)),"")</f>
        <v/>
      </c>
      <c r="GXA18" s="28" t="str">
        <f>IFERROR(IF(GXJ3="No",IF(VLOOKUP(DATE($K$1,$K$2,GXA$4),Table1[],(MATCH(Calendar!$A18,DB!$1:$1,0)),FALSE)&gt;=5,"Good","Bad"),VLOOKUP(DATE($K$1,$K$2,GXA$4),Table1[],(MATCH(Calendar!$A18,DB!$1:$1,0)),FALSE)),"")</f>
        <v/>
      </c>
      <c r="GXB18" s="28" t="str">
        <f>IFERROR(IF(GXK3="No",IF(VLOOKUP(DATE($K$1,$K$2,GXB$4),Table1[],(MATCH(Calendar!$A18,DB!$1:$1,0)),FALSE)&gt;=5,"Good","Bad"),VLOOKUP(DATE($K$1,$K$2,GXB$4),Table1[],(MATCH(Calendar!$A18,DB!$1:$1,0)),FALSE)),"")</f>
        <v/>
      </c>
      <c r="GXC18" s="28" t="str">
        <f>IFERROR(IF(GXL3="No",IF(VLOOKUP(DATE($K$1,$K$2,GXC$4),Table1[],(MATCH(Calendar!$A18,DB!$1:$1,0)),FALSE)&gt;=5,"Good","Bad"),VLOOKUP(DATE($K$1,$K$2,GXC$4),Table1[],(MATCH(Calendar!$A18,DB!$1:$1,0)),FALSE)),"")</f>
        <v/>
      </c>
      <c r="GXD18" s="28" t="str">
        <f>IFERROR(IF(GXM3="No",IF(VLOOKUP(DATE($K$1,$K$2,GXD$4),Table1[],(MATCH(Calendar!$A18,DB!$1:$1,0)),FALSE)&gt;=5,"Good","Bad"),VLOOKUP(DATE($K$1,$K$2,GXD$4),Table1[],(MATCH(Calendar!$A18,DB!$1:$1,0)),FALSE)),"")</f>
        <v/>
      </c>
      <c r="GXE18" s="28" t="str">
        <f>IFERROR(IF(GXN3="No",IF(VLOOKUP(DATE($K$1,$K$2,GXE$4),Table1[],(MATCH(Calendar!$A18,DB!$1:$1,0)),FALSE)&gt;=5,"Good","Bad"),VLOOKUP(DATE($K$1,$K$2,GXE$4),Table1[],(MATCH(Calendar!$A18,DB!$1:$1,0)),FALSE)),"")</f>
        <v/>
      </c>
      <c r="GXF18" s="28" t="str">
        <f>IFERROR(IF(GXO3="No",IF(VLOOKUP(DATE($K$1,$K$2,GXF$4),Table1[],(MATCH(Calendar!$A18,DB!$1:$1,0)),FALSE)&gt;=5,"Good","Bad"),VLOOKUP(DATE($K$1,$K$2,GXF$4),Table1[],(MATCH(Calendar!$A18,DB!$1:$1,0)),FALSE)),"")</f>
        <v/>
      </c>
      <c r="GXG18" s="28" t="str">
        <f>IFERROR(IF(GXP3="No",IF(VLOOKUP(DATE($K$1,$K$2,GXG$4),Table1[],(MATCH(Calendar!$A18,DB!$1:$1,0)),FALSE)&gt;=5,"Good","Bad"),VLOOKUP(DATE($K$1,$K$2,GXG$4),Table1[],(MATCH(Calendar!$A18,DB!$1:$1,0)),FALSE)),"")</f>
        <v/>
      </c>
      <c r="GXH18" s="28" t="str">
        <f>IFERROR(IF(GXQ3="No",IF(VLOOKUP(DATE($K$1,$K$2,GXH$4),Table1[],(MATCH(Calendar!$A18,DB!$1:$1,0)),FALSE)&gt;=5,"Good","Bad"),VLOOKUP(DATE($K$1,$K$2,GXH$4),Table1[],(MATCH(Calendar!$A18,DB!$1:$1,0)),FALSE)),"")</f>
        <v/>
      </c>
      <c r="GXI18" s="28" t="str">
        <f>IFERROR(IF(GXR3="No",IF(VLOOKUP(DATE($K$1,$K$2,GXI$4),Table1[],(MATCH(Calendar!$A18,DB!$1:$1,0)),FALSE)&gt;=5,"Good","Bad"),VLOOKUP(DATE($K$1,$K$2,GXI$4),Table1[],(MATCH(Calendar!$A18,DB!$1:$1,0)),FALSE)),"")</f>
        <v/>
      </c>
      <c r="GXJ18" s="28" t="str">
        <f>IFERROR(IF(GXS3="No",IF(VLOOKUP(DATE($K$1,$K$2,GXJ$4),Table1[],(MATCH(Calendar!$A18,DB!$1:$1,0)),FALSE)&gt;=5,"Good","Bad"),VLOOKUP(DATE($K$1,$K$2,GXJ$4),Table1[],(MATCH(Calendar!$A18,DB!$1:$1,0)),FALSE)),"")</f>
        <v/>
      </c>
      <c r="GXK18" s="28" t="str">
        <f>IFERROR(IF(GXT3="No",IF(VLOOKUP(DATE($K$1,$K$2,GXK$4),Table1[],(MATCH(Calendar!$A18,DB!$1:$1,0)),FALSE)&gt;=5,"Good","Bad"),VLOOKUP(DATE($K$1,$K$2,GXK$4),Table1[],(MATCH(Calendar!$A18,DB!$1:$1,0)),FALSE)),"")</f>
        <v/>
      </c>
      <c r="GXL18" s="28" t="str">
        <f>IFERROR(IF(GXU3="No",IF(VLOOKUP(DATE($K$1,$K$2,GXL$4),Table1[],(MATCH(Calendar!$A18,DB!$1:$1,0)),FALSE)&gt;=5,"Good","Bad"),VLOOKUP(DATE($K$1,$K$2,GXL$4),Table1[],(MATCH(Calendar!$A18,DB!$1:$1,0)),FALSE)),"")</f>
        <v/>
      </c>
      <c r="GXM18" s="28" t="str">
        <f>IFERROR(IF(GXV3="No",IF(VLOOKUP(DATE($K$1,$K$2,GXM$4),Table1[],(MATCH(Calendar!$A18,DB!$1:$1,0)),FALSE)&gt;=5,"Good","Bad"),VLOOKUP(DATE($K$1,$K$2,GXM$4),Table1[],(MATCH(Calendar!$A18,DB!$1:$1,0)),FALSE)),"")</f>
        <v/>
      </c>
      <c r="GXN18" s="28" t="str">
        <f>IFERROR(IF(GXW3="No",IF(VLOOKUP(DATE($K$1,$K$2,GXN$4),Table1[],(MATCH(Calendar!$A18,DB!$1:$1,0)),FALSE)&gt;=5,"Good","Bad"),VLOOKUP(DATE($K$1,$K$2,GXN$4),Table1[],(MATCH(Calendar!$A18,DB!$1:$1,0)),FALSE)),"")</f>
        <v/>
      </c>
      <c r="GXO18" s="28" t="str">
        <f>IFERROR(IF(GXX3="No",IF(VLOOKUP(DATE($K$1,$K$2,GXO$4),Table1[],(MATCH(Calendar!$A18,DB!$1:$1,0)),FALSE)&gt;=5,"Good","Bad"),VLOOKUP(DATE($K$1,$K$2,GXO$4),Table1[],(MATCH(Calendar!$A18,DB!$1:$1,0)),FALSE)),"")</f>
        <v/>
      </c>
      <c r="GXP18" s="28" t="str">
        <f>IFERROR(IF(GXY3="No",IF(VLOOKUP(DATE($K$1,$K$2,GXP$4),Table1[],(MATCH(Calendar!$A18,DB!$1:$1,0)),FALSE)&gt;=5,"Good","Bad"),VLOOKUP(DATE($K$1,$K$2,GXP$4),Table1[],(MATCH(Calendar!$A18,DB!$1:$1,0)),FALSE)),"")</f>
        <v/>
      </c>
      <c r="GXQ18" s="28" t="str">
        <f>IFERROR(IF(GXZ3="No",IF(VLOOKUP(DATE($K$1,$K$2,GXQ$4),Table1[],(MATCH(Calendar!$A18,DB!$1:$1,0)),FALSE)&gt;=5,"Good","Bad"),VLOOKUP(DATE($K$1,$K$2,GXQ$4),Table1[],(MATCH(Calendar!$A18,DB!$1:$1,0)),FALSE)),"")</f>
        <v/>
      </c>
      <c r="GXR18" s="28" t="str">
        <f>IFERROR(IF(GYA3="No",IF(VLOOKUP(DATE($K$1,$K$2,GXR$4),Table1[],(MATCH(Calendar!$A18,DB!$1:$1,0)),FALSE)&gt;=5,"Good","Bad"),VLOOKUP(DATE($K$1,$K$2,GXR$4),Table1[],(MATCH(Calendar!$A18,DB!$1:$1,0)),FALSE)),"")</f>
        <v/>
      </c>
      <c r="GXS18" s="28" t="str">
        <f>IFERROR(IF(GYB3="No",IF(VLOOKUP(DATE($K$1,$K$2,GXS$4),Table1[],(MATCH(Calendar!$A18,DB!$1:$1,0)),FALSE)&gt;=5,"Good","Bad"),VLOOKUP(DATE($K$1,$K$2,GXS$4),Table1[],(MATCH(Calendar!$A18,DB!$1:$1,0)),FALSE)),"")</f>
        <v/>
      </c>
      <c r="GXT18" s="28" t="str">
        <f>IFERROR(IF(GYC3="No",IF(VLOOKUP(DATE($K$1,$K$2,GXT$4),Table1[],(MATCH(Calendar!$A18,DB!$1:$1,0)),FALSE)&gt;=5,"Good","Bad"),VLOOKUP(DATE($K$1,$K$2,GXT$4),Table1[],(MATCH(Calendar!$A18,DB!$1:$1,0)),FALSE)),"")</f>
        <v/>
      </c>
      <c r="GXU18" s="28" t="str">
        <f>IFERROR(IF(GYD3="No",IF(VLOOKUP(DATE($K$1,$K$2,GXU$4),Table1[],(MATCH(Calendar!$A18,DB!$1:$1,0)),FALSE)&gt;=5,"Good","Bad"),VLOOKUP(DATE($K$1,$K$2,GXU$4),Table1[],(MATCH(Calendar!$A18,DB!$1:$1,0)),FALSE)),"")</f>
        <v/>
      </c>
      <c r="GXV18" s="28" t="str">
        <f>IFERROR(IF(GYE3="No",IF(VLOOKUP(DATE($K$1,$K$2,GXV$4),Table1[],(MATCH(Calendar!$A18,DB!$1:$1,0)),FALSE)&gt;=5,"Good","Bad"),VLOOKUP(DATE($K$1,$K$2,GXV$4),Table1[],(MATCH(Calendar!$A18,DB!$1:$1,0)),FALSE)),"")</f>
        <v/>
      </c>
      <c r="GXW18" s="28" t="str">
        <f>IFERROR(IF(GYF3="No",IF(VLOOKUP(DATE($K$1,$K$2,GXW$4),Table1[],(MATCH(Calendar!$A18,DB!$1:$1,0)),FALSE)&gt;=5,"Good","Bad"),VLOOKUP(DATE($K$1,$K$2,GXW$4),Table1[],(MATCH(Calendar!$A18,DB!$1:$1,0)),FALSE)),"")</f>
        <v/>
      </c>
      <c r="GXX18" s="28" t="str">
        <f>IFERROR(IF(GYG3="No",IF(VLOOKUP(DATE($K$1,$K$2,GXX$4),Table1[],(MATCH(Calendar!$A18,DB!$1:$1,0)),FALSE)&gt;=5,"Good","Bad"),VLOOKUP(DATE($K$1,$K$2,GXX$4),Table1[],(MATCH(Calendar!$A18,DB!$1:$1,0)),FALSE)),"")</f>
        <v/>
      </c>
      <c r="GXY18" s="28" t="str">
        <f>IFERROR(IF(GYH3="No",IF(VLOOKUP(DATE($K$1,$K$2,GXY$4),Table1[],(MATCH(Calendar!$A18,DB!$1:$1,0)),FALSE)&gt;=5,"Good","Bad"),VLOOKUP(DATE($K$1,$K$2,GXY$4),Table1[],(MATCH(Calendar!$A18,DB!$1:$1,0)),FALSE)),"")</f>
        <v/>
      </c>
      <c r="GXZ18" s="28" t="str">
        <f>IFERROR(IF(GYI3="No",IF(VLOOKUP(DATE($K$1,$K$2,GXZ$4),Table1[],(MATCH(Calendar!$A18,DB!$1:$1,0)),FALSE)&gt;=5,"Good","Bad"),VLOOKUP(DATE($K$1,$K$2,GXZ$4),Table1[],(MATCH(Calendar!$A18,DB!$1:$1,0)),FALSE)),"")</f>
        <v/>
      </c>
      <c r="GYA18" s="28" t="str">
        <f>IFERROR(IF(GYJ3="No",IF(VLOOKUP(DATE($K$1,$K$2,GYA$4),Table1[],(MATCH(Calendar!$A18,DB!$1:$1,0)),FALSE)&gt;=5,"Good","Bad"),VLOOKUP(DATE($K$1,$K$2,GYA$4),Table1[],(MATCH(Calendar!$A18,DB!$1:$1,0)),FALSE)),"")</f>
        <v/>
      </c>
      <c r="GYB18" s="28" t="str">
        <f>IFERROR(IF(GYK3="No",IF(VLOOKUP(DATE($K$1,$K$2,GYB$4),Table1[],(MATCH(Calendar!$A18,DB!$1:$1,0)),FALSE)&gt;=5,"Good","Bad"),VLOOKUP(DATE($K$1,$K$2,GYB$4),Table1[],(MATCH(Calendar!$A18,DB!$1:$1,0)),FALSE)),"")</f>
        <v/>
      </c>
      <c r="GYC18" s="28" t="str">
        <f>IFERROR(IF(GYL3="No",IF(VLOOKUP(DATE($K$1,$K$2,GYC$4),Table1[],(MATCH(Calendar!$A18,DB!$1:$1,0)),FALSE)&gt;=5,"Good","Bad"),VLOOKUP(DATE($K$1,$K$2,GYC$4),Table1[],(MATCH(Calendar!$A18,DB!$1:$1,0)),FALSE)),"")</f>
        <v/>
      </c>
      <c r="GYD18" s="28" t="str">
        <f>IFERROR(IF(GYM3="No",IF(VLOOKUP(DATE($K$1,$K$2,GYD$4),Table1[],(MATCH(Calendar!$A18,DB!$1:$1,0)),FALSE)&gt;=5,"Good","Bad"),VLOOKUP(DATE($K$1,$K$2,GYD$4),Table1[],(MATCH(Calendar!$A18,DB!$1:$1,0)),FALSE)),"")</f>
        <v/>
      </c>
      <c r="GYE18" s="28" t="str">
        <f>IFERROR(IF(GYN3="No",IF(VLOOKUP(DATE($K$1,$K$2,GYE$4),Table1[],(MATCH(Calendar!$A18,DB!$1:$1,0)),FALSE)&gt;=5,"Good","Bad"),VLOOKUP(DATE($K$1,$K$2,GYE$4),Table1[],(MATCH(Calendar!$A18,DB!$1:$1,0)),FALSE)),"")</f>
        <v/>
      </c>
      <c r="GYF18" s="28" t="str">
        <f>IFERROR(IF(GYO3="No",IF(VLOOKUP(DATE($K$1,$K$2,GYF$4),Table1[],(MATCH(Calendar!$A18,DB!$1:$1,0)),FALSE)&gt;=5,"Good","Bad"),VLOOKUP(DATE($K$1,$K$2,GYF$4),Table1[],(MATCH(Calendar!$A18,DB!$1:$1,0)),FALSE)),"")</f>
        <v/>
      </c>
      <c r="GYG18" s="28" t="str">
        <f>IFERROR(IF(GYP3="No",IF(VLOOKUP(DATE($K$1,$K$2,GYG$4),Table1[],(MATCH(Calendar!$A18,DB!$1:$1,0)),FALSE)&gt;=5,"Good","Bad"),VLOOKUP(DATE($K$1,$K$2,GYG$4),Table1[],(MATCH(Calendar!$A18,DB!$1:$1,0)),FALSE)),"")</f>
        <v/>
      </c>
      <c r="GYH18" s="28" t="str">
        <f>IFERROR(IF(GYQ3="No",IF(VLOOKUP(DATE($K$1,$K$2,GYH$4),Table1[],(MATCH(Calendar!$A18,DB!$1:$1,0)),FALSE)&gt;=5,"Good","Bad"),VLOOKUP(DATE($K$1,$K$2,GYH$4),Table1[],(MATCH(Calendar!$A18,DB!$1:$1,0)),FALSE)),"")</f>
        <v/>
      </c>
      <c r="GYI18" s="28" t="str">
        <f>IFERROR(IF(GYR3="No",IF(VLOOKUP(DATE($K$1,$K$2,GYI$4),Table1[],(MATCH(Calendar!$A18,DB!$1:$1,0)),FALSE)&gt;=5,"Good","Bad"),VLOOKUP(DATE($K$1,$K$2,GYI$4),Table1[],(MATCH(Calendar!$A18,DB!$1:$1,0)),FALSE)),"")</f>
        <v/>
      </c>
      <c r="GYJ18" s="28" t="str">
        <f>IFERROR(IF(GYS3="No",IF(VLOOKUP(DATE($K$1,$K$2,GYJ$4),Table1[],(MATCH(Calendar!$A18,DB!$1:$1,0)),FALSE)&gt;=5,"Good","Bad"),VLOOKUP(DATE($K$1,$K$2,GYJ$4),Table1[],(MATCH(Calendar!$A18,DB!$1:$1,0)),FALSE)),"")</f>
        <v/>
      </c>
      <c r="GYK18" s="28" t="str">
        <f>IFERROR(IF(GYT3="No",IF(VLOOKUP(DATE($K$1,$K$2,GYK$4),Table1[],(MATCH(Calendar!$A18,DB!$1:$1,0)),FALSE)&gt;=5,"Good","Bad"),VLOOKUP(DATE($K$1,$K$2,GYK$4),Table1[],(MATCH(Calendar!$A18,DB!$1:$1,0)),FALSE)),"")</f>
        <v/>
      </c>
      <c r="GYL18" s="28" t="str">
        <f>IFERROR(IF(GYU3="No",IF(VLOOKUP(DATE($K$1,$K$2,GYL$4),Table1[],(MATCH(Calendar!$A18,DB!$1:$1,0)),FALSE)&gt;=5,"Good","Bad"),VLOOKUP(DATE($K$1,$K$2,GYL$4),Table1[],(MATCH(Calendar!$A18,DB!$1:$1,0)),FALSE)),"")</f>
        <v/>
      </c>
      <c r="GYM18" s="28" t="str">
        <f>IFERROR(IF(GYV3="No",IF(VLOOKUP(DATE($K$1,$K$2,GYM$4),Table1[],(MATCH(Calendar!$A18,DB!$1:$1,0)),FALSE)&gt;=5,"Good","Bad"),VLOOKUP(DATE($K$1,$K$2,GYM$4),Table1[],(MATCH(Calendar!$A18,DB!$1:$1,0)),FALSE)),"")</f>
        <v/>
      </c>
      <c r="GYN18" s="28" t="str">
        <f>IFERROR(IF(GYW3="No",IF(VLOOKUP(DATE($K$1,$K$2,GYN$4),Table1[],(MATCH(Calendar!$A18,DB!$1:$1,0)),FALSE)&gt;=5,"Good","Bad"),VLOOKUP(DATE($K$1,$K$2,GYN$4),Table1[],(MATCH(Calendar!$A18,DB!$1:$1,0)),FALSE)),"")</f>
        <v/>
      </c>
      <c r="GYO18" s="28" t="str">
        <f>IFERROR(IF(GYX3="No",IF(VLOOKUP(DATE($K$1,$K$2,GYO$4),Table1[],(MATCH(Calendar!$A18,DB!$1:$1,0)),FALSE)&gt;=5,"Good","Bad"),VLOOKUP(DATE($K$1,$K$2,GYO$4),Table1[],(MATCH(Calendar!$A18,DB!$1:$1,0)),FALSE)),"")</f>
        <v/>
      </c>
      <c r="GYP18" s="28" t="str">
        <f>IFERROR(IF(GYY3="No",IF(VLOOKUP(DATE($K$1,$K$2,GYP$4),Table1[],(MATCH(Calendar!$A18,DB!$1:$1,0)),FALSE)&gt;=5,"Good","Bad"),VLOOKUP(DATE($K$1,$K$2,GYP$4),Table1[],(MATCH(Calendar!$A18,DB!$1:$1,0)),FALSE)),"")</f>
        <v/>
      </c>
      <c r="GYQ18" s="28" t="str">
        <f>IFERROR(IF(GYZ3="No",IF(VLOOKUP(DATE($K$1,$K$2,GYQ$4),Table1[],(MATCH(Calendar!$A18,DB!$1:$1,0)),FALSE)&gt;=5,"Good","Bad"),VLOOKUP(DATE($K$1,$K$2,GYQ$4),Table1[],(MATCH(Calendar!$A18,DB!$1:$1,0)),FALSE)),"")</f>
        <v/>
      </c>
      <c r="GYR18" s="28" t="str">
        <f>IFERROR(IF(GZA3="No",IF(VLOOKUP(DATE($K$1,$K$2,GYR$4),Table1[],(MATCH(Calendar!$A18,DB!$1:$1,0)),FALSE)&gt;=5,"Good","Bad"),VLOOKUP(DATE($K$1,$K$2,GYR$4),Table1[],(MATCH(Calendar!$A18,DB!$1:$1,0)),FALSE)),"")</f>
        <v/>
      </c>
      <c r="GYS18" s="28" t="str">
        <f>IFERROR(IF(GZB3="No",IF(VLOOKUP(DATE($K$1,$K$2,GYS$4),Table1[],(MATCH(Calendar!$A18,DB!$1:$1,0)),FALSE)&gt;=5,"Good","Bad"),VLOOKUP(DATE($K$1,$K$2,GYS$4),Table1[],(MATCH(Calendar!$A18,DB!$1:$1,0)),FALSE)),"")</f>
        <v/>
      </c>
      <c r="GYT18" s="28" t="str">
        <f>IFERROR(IF(GZC3="No",IF(VLOOKUP(DATE($K$1,$K$2,GYT$4),Table1[],(MATCH(Calendar!$A18,DB!$1:$1,0)),FALSE)&gt;=5,"Good","Bad"),VLOOKUP(DATE($K$1,$K$2,GYT$4),Table1[],(MATCH(Calendar!$A18,DB!$1:$1,0)),FALSE)),"")</f>
        <v/>
      </c>
      <c r="GYU18" s="28" t="str">
        <f>IFERROR(IF(GZD3="No",IF(VLOOKUP(DATE($K$1,$K$2,GYU$4),Table1[],(MATCH(Calendar!$A18,DB!$1:$1,0)),FALSE)&gt;=5,"Good","Bad"),VLOOKUP(DATE($K$1,$K$2,GYU$4),Table1[],(MATCH(Calendar!$A18,DB!$1:$1,0)),FALSE)),"")</f>
        <v/>
      </c>
      <c r="GYV18" s="28" t="str">
        <f>IFERROR(IF(GZE3="No",IF(VLOOKUP(DATE($K$1,$K$2,GYV$4),Table1[],(MATCH(Calendar!$A18,DB!$1:$1,0)),FALSE)&gt;=5,"Good","Bad"),VLOOKUP(DATE($K$1,$K$2,GYV$4),Table1[],(MATCH(Calendar!$A18,DB!$1:$1,0)),FALSE)),"")</f>
        <v/>
      </c>
      <c r="GYW18" s="28" t="str">
        <f>IFERROR(IF(GZF3="No",IF(VLOOKUP(DATE($K$1,$K$2,GYW$4),Table1[],(MATCH(Calendar!$A18,DB!$1:$1,0)),FALSE)&gt;=5,"Good","Bad"),VLOOKUP(DATE($K$1,$K$2,GYW$4),Table1[],(MATCH(Calendar!$A18,DB!$1:$1,0)),FALSE)),"")</f>
        <v/>
      </c>
      <c r="GYX18" s="28" t="str">
        <f>IFERROR(IF(GZG3="No",IF(VLOOKUP(DATE($K$1,$K$2,GYX$4),Table1[],(MATCH(Calendar!$A18,DB!$1:$1,0)),FALSE)&gt;=5,"Good","Bad"),VLOOKUP(DATE($K$1,$K$2,GYX$4),Table1[],(MATCH(Calendar!$A18,DB!$1:$1,0)),FALSE)),"")</f>
        <v/>
      </c>
      <c r="GYY18" s="28" t="str">
        <f>IFERROR(IF(GZH3="No",IF(VLOOKUP(DATE($K$1,$K$2,GYY$4),Table1[],(MATCH(Calendar!$A18,DB!$1:$1,0)),FALSE)&gt;=5,"Good","Bad"),VLOOKUP(DATE($K$1,$K$2,GYY$4),Table1[],(MATCH(Calendar!$A18,DB!$1:$1,0)),FALSE)),"")</f>
        <v/>
      </c>
      <c r="GYZ18" s="28" t="str">
        <f>IFERROR(IF(GZI3="No",IF(VLOOKUP(DATE($K$1,$K$2,GYZ$4),Table1[],(MATCH(Calendar!$A18,DB!$1:$1,0)),FALSE)&gt;=5,"Good","Bad"),VLOOKUP(DATE($K$1,$K$2,GYZ$4),Table1[],(MATCH(Calendar!$A18,DB!$1:$1,0)),FALSE)),"")</f>
        <v/>
      </c>
      <c r="GZA18" s="28" t="str">
        <f>IFERROR(IF(GZJ3="No",IF(VLOOKUP(DATE($K$1,$K$2,GZA$4),Table1[],(MATCH(Calendar!$A18,DB!$1:$1,0)),FALSE)&gt;=5,"Good","Bad"),VLOOKUP(DATE($K$1,$K$2,GZA$4),Table1[],(MATCH(Calendar!$A18,DB!$1:$1,0)),FALSE)),"")</f>
        <v/>
      </c>
      <c r="GZB18" s="28" t="str">
        <f>IFERROR(IF(GZK3="No",IF(VLOOKUP(DATE($K$1,$K$2,GZB$4),Table1[],(MATCH(Calendar!$A18,DB!$1:$1,0)),FALSE)&gt;=5,"Good","Bad"),VLOOKUP(DATE($K$1,$K$2,GZB$4),Table1[],(MATCH(Calendar!$A18,DB!$1:$1,0)),FALSE)),"")</f>
        <v/>
      </c>
      <c r="GZC18" s="28" t="str">
        <f>IFERROR(IF(GZL3="No",IF(VLOOKUP(DATE($K$1,$K$2,GZC$4),Table1[],(MATCH(Calendar!$A18,DB!$1:$1,0)),FALSE)&gt;=5,"Good","Bad"),VLOOKUP(DATE($K$1,$K$2,GZC$4),Table1[],(MATCH(Calendar!$A18,DB!$1:$1,0)),FALSE)),"")</f>
        <v/>
      </c>
      <c r="GZD18" s="28" t="str">
        <f>IFERROR(IF(GZM3="No",IF(VLOOKUP(DATE($K$1,$K$2,GZD$4),Table1[],(MATCH(Calendar!$A18,DB!$1:$1,0)),FALSE)&gt;=5,"Good","Bad"),VLOOKUP(DATE($K$1,$K$2,GZD$4),Table1[],(MATCH(Calendar!$A18,DB!$1:$1,0)),FALSE)),"")</f>
        <v/>
      </c>
      <c r="GZE18" s="28" t="str">
        <f>IFERROR(IF(GZN3="No",IF(VLOOKUP(DATE($K$1,$K$2,GZE$4),Table1[],(MATCH(Calendar!$A18,DB!$1:$1,0)),FALSE)&gt;=5,"Good","Bad"),VLOOKUP(DATE($K$1,$K$2,GZE$4),Table1[],(MATCH(Calendar!$A18,DB!$1:$1,0)),FALSE)),"")</f>
        <v/>
      </c>
      <c r="GZF18" s="28" t="str">
        <f>IFERROR(IF(GZO3="No",IF(VLOOKUP(DATE($K$1,$K$2,GZF$4),Table1[],(MATCH(Calendar!$A18,DB!$1:$1,0)),FALSE)&gt;=5,"Good","Bad"),VLOOKUP(DATE($K$1,$K$2,GZF$4),Table1[],(MATCH(Calendar!$A18,DB!$1:$1,0)),FALSE)),"")</f>
        <v/>
      </c>
      <c r="GZG18" s="28" t="str">
        <f>IFERROR(IF(GZP3="No",IF(VLOOKUP(DATE($K$1,$K$2,GZG$4),Table1[],(MATCH(Calendar!$A18,DB!$1:$1,0)),FALSE)&gt;=5,"Good","Bad"),VLOOKUP(DATE($K$1,$K$2,GZG$4),Table1[],(MATCH(Calendar!$A18,DB!$1:$1,0)),FALSE)),"")</f>
        <v/>
      </c>
      <c r="GZH18" s="28" t="str">
        <f>IFERROR(IF(GZQ3="No",IF(VLOOKUP(DATE($K$1,$K$2,GZH$4),Table1[],(MATCH(Calendar!$A18,DB!$1:$1,0)),FALSE)&gt;=5,"Good","Bad"),VLOOKUP(DATE($K$1,$K$2,GZH$4),Table1[],(MATCH(Calendar!$A18,DB!$1:$1,0)),FALSE)),"")</f>
        <v/>
      </c>
      <c r="GZI18" s="28" t="str">
        <f>IFERROR(IF(GZR3="No",IF(VLOOKUP(DATE($K$1,$K$2,GZI$4),Table1[],(MATCH(Calendar!$A18,DB!$1:$1,0)),FALSE)&gt;=5,"Good","Bad"),VLOOKUP(DATE($K$1,$K$2,GZI$4),Table1[],(MATCH(Calendar!$A18,DB!$1:$1,0)),FALSE)),"")</f>
        <v/>
      </c>
      <c r="GZJ18" s="28" t="str">
        <f>IFERROR(IF(GZS3="No",IF(VLOOKUP(DATE($K$1,$K$2,GZJ$4),Table1[],(MATCH(Calendar!$A18,DB!$1:$1,0)),FALSE)&gt;=5,"Good","Bad"),VLOOKUP(DATE($K$1,$K$2,GZJ$4),Table1[],(MATCH(Calendar!$A18,DB!$1:$1,0)),FALSE)),"")</f>
        <v/>
      </c>
      <c r="GZK18" s="28" t="str">
        <f>IFERROR(IF(GZT3="No",IF(VLOOKUP(DATE($K$1,$K$2,GZK$4),Table1[],(MATCH(Calendar!$A18,DB!$1:$1,0)),FALSE)&gt;=5,"Good","Bad"),VLOOKUP(DATE($K$1,$K$2,GZK$4),Table1[],(MATCH(Calendar!$A18,DB!$1:$1,0)),FALSE)),"")</f>
        <v/>
      </c>
      <c r="GZL18" s="28" t="str">
        <f>IFERROR(IF(GZU3="No",IF(VLOOKUP(DATE($K$1,$K$2,GZL$4),Table1[],(MATCH(Calendar!$A18,DB!$1:$1,0)),FALSE)&gt;=5,"Good","Bad"),VLOOKUP(DATE($K$1,$K$2,GZL$4),Table1[],(MATCH(Calendar!$A18,DB!$1:$1,0)),FALSE)),"")</f>
        <v/>
      </c>
      <c r="GZM18" s="28" t="str">
        <f>IFERROR(IF(GZV3="No",IF(VLOOKUP(DATE($K$1,$K$2,GZM$4),Table1[],(MATCH(Calendar!$A18,DB!$1:$1,0)),FALSE)&gt;=5,"Good","Bad"),VLOOKUP(DATE($K$1,$K$2,GZM$4),Table1[],(MATCH(Calendar!$A18,DB!$1:$1,0)),FALSE)),"")</f>
        <v/>
      </c>
      <c r="GZN18" s="28" t="str">
        <f>IFERROR(IF(GZW3="No",IF(VLOOKUP(DATE($K$1,$K$2,GZN$4),Table1[],(MATCH(Calendar!$A18,DB!$1:$1,0)),FALSE)&gt;=5,"Good","Bad"),VLOOKUP(DATE($K$1,$K$2,GZN$4),Table1[],(MATCH(Calendar!$A18,DB!$1:$1,0)),FALSE)),"")</f>
        <v/>
      </c>
      <c r="GZO18" s="28" t="str">
        <f>IFERROR(IF(GZX3="No",IF(VLOOKUP(DATE($K$1,$K$2,GZO$4),Table1[],(MATCH(Calendar!$A18,DB!$1:$1,0)),FALSE)&gt;=5,"Good","Bad"),VLOOKUP(DATE($K$1,$K$2,GZO$4),Table1[],(MATCH(Calendar!$A18,DB!$1:$1,0)),FALSE)),"")</f>
        <v/>
      </c>
      <c r="GZP18" s="28" t="str">
        <f>IFERROR(IF(GZY3="No",IF(VLOOKUP(DATE($K$1,$K$2,GZP$4),Table1[],(MATCH(Calendar!$A18,DB!$1:$1,0)),FALSE)&gt;=5,"Good","Bad"),VLOOKUP(DATE($K$1,$K$2,GZP$4),Table1[],(MATCH(Calendar!$A18,DB!$1:$1,0)),FALSE)),"")</f>
        <v/>
      </c>
      <c r="GZQ18" s="28" t="str">
        <f>IFERROR(IF(GZZ3="No",IF(VLOOKUP(DATE($K$1,$K$2,GZQ$4),Table1[],(MATCH(Calendar!$A18,DB!$1:$1,0)),FALSE)&gt;=5,"Good","Bad"),VLOOKUP(DATE($K$1,$K$2,GZQ$4),Table1[],(MATCH(Calendar!$A18,DB!$1:$1,0)),FALSE)),"")</f>
        <v/>
      </c>
      <c r="GZR18" s="28" t="str">
        <f>IFERROR(IF(HAA3="No",IF(VLOOKUP(DATE($K$1,$K$2,GZR$4),Table1[],(MATCH(Calendar!$A18,DB!$1:$1,0)),FALSE)&gt;=5,"Good","Bad"),VLOOKUP(DATE($K$1,$K$2,GZR$4),Table1[],(MATCH(Calendar!$A18,DB!$1:$1,0)),FALSE)),"")</f>
        <v/>
      </c>
      <c r="GZS18" s="28" t="str">
        <f>IFERROR(IF(HAB3="No",IF(VLOOKUP(DATE($K$1,$K$2,GZS$4),Table1[],(MATCH(Calendar!$A18,DB!$1:$1,0)),FALSE)&gt;=5,"Good","Bad"),VLOOKUP(DATE($K$1,$K$2,GZS$4),Table1[],(MATCH(Calendar!$A18,DB!$1:$1,0)),FALSE)),"")</f>
        <v/>
      </c>
      <c r="GZT18" s="28" t="str">
        <f>IFERROR(IF(HAC3="No",IF(VLOOKUP(DATE($K$1,$K$2,GZT$4),Table1[],(MATCH(Calendar!$A18,DB!$1:$1,0)),FALSE)&gt;=5,"Good","Bad"),VLOOKUP(DATE($K$1,$K$2,GZT$4),Table1[],(MATCH(Calendar!$A18,DB!$1:$1,0)),FALSE)),"")</f>
        <v/>
      </c>
      <c r="GZU18" s="28" t="str">
        <f>IFERROR(IF(HAD3="No",IF(VLOOKUP(DATE($K$1,$K$2,GZU$4),Table1[],(MATCH(Calendar!$A18,DB!$1:$1,0)),FALSE)&gt;=5,"Good","Bad"),VLOOKUP(DATE($K$1,$K$2,GZU$4),Table1[],(MATCH(Calendar!$A18,DB!$1:$1,0)),FALSE)),"")</f>
        <v/>
      </c>
      <c r="GZV18" s="28" t="str">
        <f>IFERROR(IF(HAE3="No",IF(VLOOKUP(DATE($K$1,$K$2,GZV$4),Table1[],(MATCH(Calendar!$A18,DB!$1:$1,0)),FALSE)&gt;=5,"Good","Bad"),VLOOKUP(DATE($K$1,$K$2,GZV$4),Table1[],(MATCH(Calendar!$A18,DB!$1:$1,0)),FALSE)),"")</f>
        <v/>
      </c>
      <c r="GZW18" s="28" t="str">
        <f>IFERROR(IF(HAF3="No",IF(VLOOKUP(DATE($K$1,$K$2,GZW$4),Table1[],(MATCH(Calendar!$A18,DB!$1:$1,0)),FALSE)&gt;=5,"Good","Bad"),VLOOKUP(DATE($K$1,$K$2,GZW$4),Table1[],(MATCH(Calendar!$A18,DB!$1:$1,0)),FALSE)),"")</f>
        <v/>
      </c>
      <c r="GZX18" s="28" t="str">
        <f>IFERROR(IF(HAG3="No",IF(VLOOKUP(DATE($K$1,$K$2,GZX$4),Table1[],(MATCH(Calendar!$A18,DB!$1:$1,0)),FALSE)&gt;=5,"Good","Bad"),VLOOKUP(DATE($K$1,$K$2,GZX$4),Table1[],(MATCH(Calendar!$A18,DB!$1:$1,0)),FALSE)),"")</f>
        <v/>
      </c>
      <c r="GZY18" s="28" t="str">
        <f>IFERROR(IF(HAH3="No",IF(VLOOKUP(DATE($K$1,$K$2,GZY$4),Table1[],(MATCH(Calendar!$A18,DB!$1:$1,0)),FALSE)&gt;=5,"Good","Bad"),VLOOKUP(DATE($K$1,$K$2,GZY$4),Table1[],(MATCH(Calendar!$A18,DB!$1:$1,0)),FALSE)),"")</f>
        <v/>
      </c>
      <c r="GZZ18" s="28" t="str">
        <f>IFERROR(IF(HAI3="No",IF(VLOOKUP(DATE($K$1,$K$2,GZZ$4),Table1[],(MATCH(Calendar!$A18,DB!$1:$1,0)),FALSE)&gt;=5,"Good","Bad"),VLOOKUP(DATE($K$1,$K$2,GZZ$4),Table1[],(MATCH(Calendar!$A18,DB!$1:$1,0)),FALSE)),"")</f>
        <v/>
      </c>
      <c r="HAA18" s="28" t="str">
        <f>IFERROR(IF(HAJ3="No",IF(VLOOKUP(DATE($K$1,$K$2,HAA$4),Table1[],(MATCH(Calendar!$A18,DB!$1:$1,0)),FALSE)&gt;=5,"Good","Bad"),VLOOKUP(DATE($K$1,$K$2,HAA$4),Table1[],(MATCH(Calendar!$A18,DB!$1:$1,0)),FALSE)),"")</f>
        <v/>
      </c>
      <c r="HAB18" s="28" t="str">
        <f>IFERROR(IF(HAK3="No",IF(VLOOKUP(DATE($K$1,$K$2,HAB$4),Table1[],(MATCH(Calendar!$A18,DB!$1:$1,0)),FALSE)&gt;=5,"Good","Bad"),VLOOKUP(DATE($K$1,$K$2,HAB$4),Table1[],(MATCH(Calendar!$A18,DB!$1:$1,0)),FALSE)),"")</f>
        <v/>
      </c>
      <c r="HAC18" s="28" t="str">
        <f>IFERROR(IF(HAL3="No",IF(VLOOKUP(DATE($K$1,$K$2,HAC$4),Table1[],(MATCH(Calendar!$A18,DB!$1:$1,0)),FALSE)&gt;=5,"Good","Bad"),VLOOKUP(DATE($K$1,$K$2,HAC$4),Table1[],(MATCH(Calendar!$A18,DB!$1:$1,0)),FALSE)),"")</f>
        <v/>
      </c>
      <c r="HAD18" s="28" t="str">
        <f>IFERROR(IF(HAM3="No",IF(VLOOKUP(DATE($K$1,$K$2,HAD$4),Table1[],(MATCH(Calendar!$A18,DB!$1:$1,0)),FALSE)&gt;=5,"Good","Bad"),VLOOKUP(DATE($K$1,$K$2,HAD$4),Table1[],(MATCH(Calendar!$A18,DB!$1:$1,0)),FALSE)),"")</f>
        <v/>
      </c>
      <c r="HAE18" s="28" t="str">
        <f>IFERROR(IF(HAN3="No",IF(VLOOKUP(DATE($K$1,$K$2,HAE$4),Table1[],(MATCH(Calendar!$A18,DB!$1:$1,0)),FALSE)&gt;=5,"Good","Bad"),VLOOKUP(DATE($K$1,$K$2,HAE$4),Table1[],(MATCH(Calendar!$A18,DB!$1:$1,0)),FALSE)),"")</f>
        <v/>
      </c>
      <c r="HAF18" s="28" t="str">
        <f>IFERROR(IF(HAO3="No",IF(VLOOKUP(DATE($K$1,$K$2,HAF$4),Table1[],(MATCH(Calendar!$A18,DB!$1:$1,0)),FALSE)&gt;=5,"Good","Bad"),VLOOKUP(DATE($K$1,$K$2,HAF$4),Table1[],(MATCH(Calendar!$A18,DB!$1:$1,0)),FALSE)),"")</f>
        <v/>
      </c>
      <c r="HAG18" s="28" t="str">
        <f>IFERROR(IF(HAP3="No",IF(VLOOKUP(DATE($K$1,$K$2,HAG$4),Table1[],(MATCH(Calendar!$A18,DB!$1:$1,0)),FALSE)&gt;=5,"Good","Bad"),VLOOKUP(DATE($K$1,$K$2,HAG$4),Table1[],(MATCH(Calendar!$A18,DB!$1:$1,0)),FALSE)),"")</f>
        <v/>
      </c>
      <c r="HAH18" s="28" t="str">
        <f>IFERROR(IF(HAQ3="No",IF(VLOOKUP(DATE($K$1,$K$2,HAH$4),Table1[],(MATCH(Calendar!$A18,DB!$1:$1,0)),FALSE)&gt;=5,"Good","Bad"),VLOOKUP(DATE($K$1,$K$2,HAH$4),Table1[],(MATCH(Calendar!$A18,DB!$1:$1,0)),FALSE)),"")</f>
        <v/>
      </c>
      <c r="HAI18" s="28" t="str">
        <f>IFERROR(IF(HAR3="No",IF(VLOOKUP(DATE($K$1,$K$2,HAI$4),Table1[],(MATCH(Calendar!$A18,DB!$1:$1,0)),FALSE)&gt;=5,"Good","Bad"),VLOOKUP(DATE($K$1,$K$2,HAI$4),Table1[],(MATCH(Calendar!$A18,DB!$1:$1,0)),FALSE)),"")</f>
        <v/>
      </c>
      <c r="HAJ18" s="28" t="str">
        <f>IFERROR(IF(HAS3="No",IF(VLOOKUP(DATE($K$1,$K$2,HAJ$4),Table1[],(MATCH(Calendar!$A18,DB!$1:$1,0)),FALSE)&gt;=5,"Good","Bad"),VLOOKUP(DATE($K$1,$K$2,HAJ$4),Table1[],(MATCH(Calendar!$A18,DB!$1:$1,0)),FALSE)),"")</f>
        <v/>
      </c>
      <c r="HAK18" s="28" t="str">
        <f>IFERROR(IF(HAT3="No",IF(VLOOKUP(DATE($K$1,$K$2,HAK$4),Table1[],(MATCH(Calendar!$A18,DB!$1:$1,0)),FALSE)&gt;=5,"Good","Bad"),VLOOKUP(DATE($K$1,$K$2,HAK$4),Table1[],(MATCH(Calendar!$A18,DB!$1:$1,0)),FALSE)),"")</f>
        <v/>
      </c>
      <c r="HAL18" s="28" t="str">
        <f>IFERROR(IF(HAU3="No",IF(VLOOKUP(DATE($K$1,$K$2,HAL$4),Table1[],(MATCH(Calendar!$A18,DB!$1:$1,0)),FALSE)&gt;=5,"Good","Bad"),VLOOKUP(DATE($K$1,$K$2,HAL$4),Table1[],(MATCH(Calendar!$A18,DB!$1:$1,0)),FALSE)),"")</f>
        <v/>
      </c>
      <c r="HAM18" s="28" t="str">
        <f>IFERROR(IF(HAV3="No",IF(VLOOKUP(DATE($K$1,$K$2,HAM$4),Table1[],(MATCH(Calendar!$A18,DB!$1:$1,0)),FALSE)&gt;=5,"Good","Bad"),VLOOKUP(DATE($K$1,$K$2,HAM$4),Table1[],(MATCH(Calendar!$A18,DB!$1:$1,0)),FALSE)),"")</f>
        <v/>
      </c>
      <c r="HAN18" s="28" t="str">
        <f>IFERROR(IF(HAW3="No",IF(VLOOKUP(DATE($K$1,$K$2,HAN$4),Table1[],(MATCH(Calendar!$A18,DB!$1:$1,0)),FALSE)&gt;=5,"Good","Bad"),VLOOKUP(DATE($K$1,$K$2,HAN$4),Table1[],(MATCH(Calendar!$A18,DB!$1:$1,0)),FALSE)),"")</f>
        <v/>
      </c>
      <c r="HAO18" s="28" t="str">
        <f>IFERROR(IF(HAX3="No",IF(VLOOKUP(DATE($K$1,$K$2,HAO$4),Table1[],(MATCH(Calendar!$A18,DB!$1:$1,0)),FALSE)&gt;=5,"Good","Bad"),VLOOKUP(DATE($K$1,$K$2,HAO$4),Table1[],(MATCH(Calendar!$A18,DB!$1:$1,0)),FALSE)),"")</f>
        <v/>
      </c>
      <c r="HAP18" s="28" t="str">
        <f>IFERROR(IF(HAY3="No",IF(VLOOKUP(DATE($K$1,$K$2,HAP$4),Table1[],(MATCH(Calendar!$A18,DB!$1:$1,0)),FALSE)&gt;=5,"Good","Bad"),VLOOKUP(DATE($K$1,$K$2,HAP$4),Table1[],(MATCH(Calendar!$A18,DB!$1:$1,0)),FALSE)),"")</f>
        <v/>
      </c>
      <c r="HAQ18" s="28" t="str">
        <f>IFERROR(IF(HAZ3="No",IF(VLOOKUP(DATE($K$1,$K$2,HAQ$4),Table1[],(MATCH(Calendar!$A18,DB!$1:$1,0)),FALSE)&gt;=5,"Good","Bad"),VLOOKUP(DATE($K$1,$K$2,HAQ$4),Table1[],(MATCH(Calendar!$A18,DB!$1:$1,0)),FALSE)),"")</f>
        <v/>
      </c>
      <c r="HAR18" s="28" t="str">
        <f>IFERROR(IF(HBA3="No",IF(VLOOKUP(DATE($K$1,$K$2,HAR$4),Table1[],(MATCH(Calendar!$A18,DB!$1:$1,0)),FALSE)&gt;=5,"Good","Bad"),VLOOKUP(DATE($K$1,$K$2,HAR$4),Table1[],(MATCH(Calendar!$A18,DB!$1:$1,0)),FALSE)),"")</f>
        <v/>
      </c>
      <c r="HAS18" s="28" t="str">
        <f>IFERROR(IF(HBB3="No",IF(VLOOKUP(DATE($K$1,$K$2,HAS$4),Table1[],(MATCH(Calendar!$A18,DB!$1:$1,0)),FALSE)&gt;=5,"Good","Bad"),VLOOKUP(DATE($K$1,$K$2,HAS$4),Table1[],(MATCH(Calendar!$A18,DB!$1:$1,0)),FALSE)),"")</f>
        <v/>
      </c>
      <c r="HAT18" s="28" t="str">
        <f>IFERROR(IF(HBC3="No",IF(VLOOKUP(DATE($K$1,$K$2,HAT$4),Table1[],(MATCH(Calendar!$A18,DB!$1:$1,0)),FALSE)&gt;=5,"Good","Bad"),VLOOKUP(DATE($K$1,$K$2,HAT$4),Table1[],(MATCH(Calendar!$A18,DB!$1:$1,0)),FALSE)),"")</f>
        <v/>
      </c>
      <c r="HAU18" s="28" t="str">
        <f>IFERROR(IF(HBD3="No",IF(VLOOKUP(DATE($K$1,$K$2,HAU$4),Table1[],(MATCH(Calendar!$A18,DB!$1:$1,0)),FALSE)&gt;=5,"Good","Bad"),VLOOKUP(DATE($K$1,$K$2,HAU$4),Table1[],(MATCH(Calendar!$A18,DB!$1:$1,0)),FALSE)),"")</f>
        <v/>
      </c>
      <c r="HAV18" s="28" t="str">
        <f>IFERROR(IF(HBE3="No",IF(VLOOKUP(DATE($K$1,$K$2,HAV$4),Table1[],(MATCH(Calendar!$A18,DB!$1:$1,0)),FALSE)&gt;=5,"Good","Bad"),VLOOKUP(DATE($K$1,$K$2,HAV$4),Table1[],(MATCH(Calendar!$A18,DB!$1:$1,0)),FALSE)),"")</f>
        <v/>
      </c>
      <c r="HAW18" s="28" t="str">
        <f>IFERROR(IF(HBF3="No",IF(VLOOKUP(DATE($K$1,$K$2,HAW$4),Table1[],(MATCH(Calendar!$A18,DB!$1:$1,0)),FALSE)&gt;=5,"Good","Bad"),VLOOKUP(DATE($K$1,$K$2,HAW$4),Table1[],(MATCH(Calendar!$A18,DB!$1:$1,0)),FALSE)),"")</f>
        <v/>
      </c>
      <c r="HAX18" s="28" t="str">
        <f>IFERROR(IF(HBG3="No",IF(VLOOKUP(DATE($K$1,$K$2,HAX$4),Table1[],(MATCH(Calendar!$A18,DB!$1:$1,0)),FALSE)&gt;=5,"Good","Bad"),VLOOKUP(DATE($K$1,$K$2,HAX$4),Table1[],(MATCH(Calendar!$A18,DB!$1:$1,0)),FALSE)),"")</f>
        <v/>
      </c>
      <c r="HAY18" s="28" t="str">
        <f>IFERROR(IF(HBH3="No",IF(VLOOKUP(DATE($K$1,$K$2,HAY$4),Table1[],(MATCH(Calendar!$A18,DB!$1:$1,0)),FALSE)&gt;=5,"Good","Bad"),VLOOKUP(DATE($K$1,$K$2,HAY$4),Table1[],(MATCH(Calendar!$A18,DB!$1:$1,0)),FALSE)),"")</f>
        <v/>
      </c>
      <c r="HAZ18" s="28" t="str">
        <f>IFERROR(IF(HBI3="No",IF(VLOOKUP(DATE($K$1,$K$2,HAZ$4),Table1[],(MATCH(Calendar!$A18,DB!$1:$1,0)),FALSE)&gt;=5,"Good","Bad"),VLOOKUP(DATE($K$1,$K$2,HAZ$4),Table1[],(MATCH(Calendar!$A18,DB!$1:$1,0)),FALSE)),"")</f>
        <v/>
      </c>
      <c r="HBA18" s="28" t="str">
        <f>IFERROR(IF(HBJ3="No",IF(VLOOKUP(DATE($K$1,$K$2,HBA$4),Table1[],(MATCH(Calendar!$A18,DB!$1:$1,0)),FALSE)&gt;=5,"Good","Bad"),VLOOKUP(DATE($K$1,$K$2,HBA$4),Table1[],(MATCH(Calendar!$A18,DB!$1:$1,0)),FALSE)),"")</f>
        <v/>
      </c>
      <c r="HBB18" s="28" t="str">
        <f>IFERROR(IF(HBK3="No",IF(VLOOKUP(DATE($K$1,$K$2,HBB$4),Table1[],(MATCH(Calendar!$A18,DB!$1:$1,0)),FALSE)&gt;=5,"Good","Bad"),VLOOKUP(DATE($K$1,$K$2,HBB$4),Table1[],(MATCH(Calendar!$A18,DB!$1:$1,0)),FALSE)),"")</f>
        <v/>
      </c>
      <c r="HBC18" s="28" t="str">
        <f>IFERROR(IF(HBL3="No",IF(VLOOKUP(DATE($K$1,$K$2,HBC$4),Table1[],(MATCH(Calendar!$A18,DB!$1:$1,0)),FALSE)&gt;=5,"Good","Bad"),VLOOKUP(DATE($K$1,$K$2,HBC$4),Table1[],(MATCH(Calendar!$A18,DB!$1:$1,0)),FALSE)),"")</f>
        <v/>
      </c>
      <c r="HBD18" s="28" t="str">
        <f>IFERROR(IF(HBM3="No",IF(VLOOKUP(DATE($K$1,$K$2,HBD$4),Table1[],(MATCH(Calendar!$A18,DB!$1:$1,0)),FALSE)&gt;=5,"Good","Bad"),VLOOKUP(DATE($K$1,$K$2,HBD$4),Table1[],(MATCH(Calendar!$A18,DB!$1:$1,0)),FALSE)),"")</f>
        <v/>
      </c>
      <c r="HBE18" s="28" t="str">
        <f>IFERROR(IF(HBN3="No",IF(VLOOKUP(DATE($K$1,$K$2,HBE$4),Table1[],(MATCH(Calendar!$A18,DB!$1:$1,0)),FALSE)&gt;=5,"Good","Bad"),VLOOKUP(DATE($K$1,$K$2,HBE$4),Table1[],(MATCH(Calendar!$A18,DB!$1:$1,0)),FALSE)),"")</f>
        <v/>
      </c>
      <c r="HBF18" s="28" t="str">
        <f>IFERROR(IF(HBO3="No",IF(VLOOKUP(DATE($K$1,$K$2,HBF$4),Table1[],(MATCH(Calendar!$A18,DB!$1:$1,0)),FALSE)&gt;=5,"Good","Bad"),VLOOKUP(DATE($K$1,$K$2,HBF$4),Table1[],(MATCH(Calendar!$A18,DB!$1:$1,0)),FALSE)),"")</f>
        <v/>
      </c>
      <c r="HBG18" s="28" t="str">
        <f>IFERROR(IF(HBP3="No",IF(VLOOKUP(DATE($K$1,$K$2,HBG$4),Table1[],(MATCH(Calendar!$A18,DB!$1:$1,0)),FALSE)&gt;=5,"Good","Bad"),VLOOKUP(DATE($K$1,$K$2,HBG$4),Table1[],(MATCH(Calendar!$A18,DB!$1:$1,0)),FALSE)),"")</f>
        <v/>
      </c>
      <c r="HBH18" s="28" t="str">
        <f>IFERROR(IF(HBQ3="No",IF(VLOOKUP(DATE($K$1,$K$2,HBH$4),Table1[],(MATCH(Calendar!$A18,DB!$1:$1,0)),FALSE)&gt;=5,"Good","Bad"),VLOOKUP(DATE($K$1,$K$2,HBH$4),Table1[],(MATCH(Calendar!$A18,DB!$1:$1,0)),FALSE)),"")</f>
        <v/>
      </c>
      <c r="HBI18" s="28" t="str">
        <f>IFERROR(IF(HBR3="No",IF(VLOOKUP(DATE($K$1,$K$2,HBI$4),Table1[],(MATCH(Calendar!$A18,DB!$1:$1,0)),FALSE)&gt;=5,"Good","Bad"),VLOOKUP(DATE($K$1,$K$2,HBI$4),Table1[],(MATCH(Calendar!$A18,DB!$1:$1,0)),FALSE)),"")</f>
        <v/>
      </c>
      <c r="HBJ18" s="28" t="str">
        <f>IFERROR(IF(HBS3="No",IF(VLOOKUP(DATE($K$1,$K$2,HBJ$4),Table1[],(MATCH(Calendar!$A18,DB!$1:$1,0)),FALSE)&gt;=5,"Good","Bad"),VLOOKUP(DATE($K$1,$K$2,HBJ$4),Table1[],(MATCH(Calendar!$A18,DB!$1:$1,0)),FALSE)),"")</f>
        <v/>
      </c>
      <c r="HBK18" s="28" t="str">
        <f>IFERROR(IF(HBT3="No",IF(VLOOKUP(DATE($K$1,$K$2,HBK$4),Table1[],(MATCH(Calendar!$A18,DB!$1:$1,0)),FALSE)&gt;=5,"Good","Bad"),VLOOKUP(DATE($K$1,$K$2,HBK$4),Table1[],(MATCH(Calendar!$A18,DB!$1:$1,0)),FALSE)),"")</f>
        <v/>
      </c>
      <c r="HBL18" s="28" t="str">
        <f>IFERROR(IF(HBU3="No",IF(VLOOKUP(DATE($K$1,$K$2,HBL$4),Table1[],(MATCH(Calendar!$A18,DB!$1:$1,0)),FALSE)&gt;=5,"Good","Bad"),VLOOKUP(DATE($K$1,$K$2,HBL$4),Table1[],(MATCH(Calendar!$A18,DB!$1:$1,0)),FALSE)),"")</f>
        <v/>
      </c>
      <c r="HBM18" s="28" t="str">
        <f>IFERROR(IF(HBV3="No",IF(VLOOKUP(DATE($K$1,$K$2,HBM$4),Table1[],(MATCH(Calendar!$A18,DB!$1:$1,0)),FALSE)&gt;=5,"Good","Bad"),VLOOKUP(DATE($K$1,$K$2,HBM$4),Table1[],(MATCH(Calendar!$A18,DB!$1:$1,0)),FALSE)),"")</f>
        <v/>
      </c>
      <c r="HBN18" s="28" t="str">
        <f>IFERROR(IF(HBW3="No",IF(VLOOKUP(DATE($K$1,$K$2,HBN$4),Table1[],(MATCH(Calendar!$A18,DB!$1:$1,0)),FALSE)&gt;=5,"Good","Bad"),VLOOKUP(DATE($K$1,$K$2,HBN$4),Table1[],(MATCH(Calendar!$A18,DB!$1:$1,0)),FALSE)),"")</f>
        <v/>
      </c>
      <c r="HBO18" s="28" t="str">
        <f>IFERROR(IF(HBX3="No",IF(VLOOKUP(DATE($K$1,$K$2,HBO$4),Table1[],(MATCH(Calendar!$A18,DB!$1:$1,0)),FALSE)&gt;=5,"Good","Bad"),VLOOKUP(DATE($K$1,$K$2,HBO$4),Table1[],(MATCH(Calendar!$A18,DB!$1:$1,0)),FALSE)),"")</f>
        <v/>
      </c>
      <c r="HBP18" s="28" t="str">
        <f>IFERROR(IF(HBY3="No",IF(VLOOKUP(DATE($K$1,$K$2,HBP$4),Table1[],(MATCH(Calendar!$A18,DB!$1:$1,0)),FALSE)&gt;=5,"Good","Bad"),VLOOKUP(DATE($K$1,$K$2,HBP$4),Table1[],(MATCH(Calendar!$A18,DB!$1:$1,0)),FALSE)),"")</f>
        <v/>
      </c>
      <c r="HBQ18" s="28" t="str">
        <f>IFERROR(IF(HBZ3="No",IF(VLOOKUP(DATE($K$1,$K$2,HBQ$4),Table1[],(MATCH(Calendar!$A18,DB!$1:$1,0)),FALSE)&gt;=5,"Good","Bad"),VLOOKUP(DATE($K$1,$K$2,HBQ$4),Table1[],(MATCH(Calendar!$A18,DB!$1:$1,0)),FALSE)),"")</f>
        <v/>
      </c>
      <c r="HBR18" s="28" t="str">
        <f>IFERROR(IF(HCA3="No",IF(VLOOKUP(DATE($K$1,$K$2,HBR$4),Table1[],(MATCH(Calendar!$A18,DB!$1:$1,0)),FALSE)&gt;=5,"Good","Bad"),VLOOKUP(DATE($K$1,$K$2,HBR$4),Table1[],(MATCH(Calendar!$A18,DB!$1:$1,0)),FALSE)),"")</f>
        <v/>
      </c>
      <c r="HBS18" s="28" t="str">
        <f>IFERROR(IF(HCB3="No",IF(VLOOKUP(DATE($K$1,$K$2,HBS$4),Table1[],(MATCH(Calendar!$A18,DB!$1:$1,0)),FALSE)&gt;=5,"Good","Bad"),VLOOKUP(DATE($K$1,$K$2,HBS$4),Table1[],(MATCH(Calendar!$A18,DB!$1:$1,0)),FALSE)),"")</f>
        <v/>
      </c>
      <c r="HBT18" s="28" t="str">
        <f>IFERROR(IF(HCC3="No",IF(VLOOKUP(DATE($K$1,$K$2,HBT$4),Table1[],(MATCH(Calendar!$A18,DB!$1:$1,0)),FALSE)&gt;=5,"Good","Bad"),VLOOKUP(DATE($K$1,$K$2,HBT$4),Table1[],(MATCH(Calendar!$A18,DB!$1:$1,0)),FALSE)),"")</f>
        <v/>
      </c>
      <c r="HBU18" s="28" t="str">
        <f>IFERROR(IF(HCD3="No",IF(VLOOKUP(DATE($K$1,$K$2,HBU$4),Table1[],(MATCH(Calendar!$A18,DB!$1:$1,0)),FALSE)&gt;=5,"Good","Bad"),VLOOKUP(DATE($K$1,$K$2,HBU$4),Table1[],(MATCH(Calendar!$A18,DB!$1:$1,0)),FALSE)),"")</f>
        <v/>
      </c>
      <c r="HBV18" s="28" t="str">
        <f>IFERROR(IF(HCE3="No",IF(VLOOKUP(DATE($K$1,$K$2,HBV$4),Table1[],(MATCH(Calendar!$A18,DB!$1:$1,0)),FALSE)&gt;=5,"Good","Bad"),VLOOKUP(DATE($K$1,$K$2,HBV$4),Table1[],(MATCH(Calendar!$A18,DB!$1:$1,0)),FALSE)),"")</f>
        <v/>
      </c>
      <c r="HBW18" s="28" t="str">
        <f>IFERROR(IF(HCF3="No",IF(VLOOKUP(DATE($K$1,$K$2,HBW$4),Table1[],(MATCH(Calendar!$A18,DB!$1:$1,0)),FALSE)&gt;=5,"Good","Bad"),VLOOKUP(DATE($K$1,$K$2,HBW$4),Table1[],(MATCH(Calendar!$A18,DB!$1:$1,0)),FALSE)),"")</f>
        <v/>
      </c>
      <c r="HBX18" s="28" t="str">
        <f>IFERROR(IF(HCG3="No",IF(VLOOKUP(DATE($K$1,$K$2,HBX$4),Table1[],(MATCH(Calendar!$A18,DB!$1:$1,0)),FALSE)&gt;=5,"Good","Bad"),VLOOKUP(DATE($K$1,$K$2,HBX$4),Table1[],(MATCH(Calendar!$A18,DB!$1:$1,0)),FALSE)),"")</f>
        <v/>
      </c>
      <c r="HBY18" s="28" t="str">
        <f>IFERROR(IF(HCH3="No",IF(VLOOKUP(DATE($K$1,$K$2,HBY$4),Table1[],(MATCH(Calendar!$A18,DB!$1:$1,0)),FALSE)&gt;=5,"Good","Bad"),VLOOKUP(DATE($K$1,$K$2,HBY$4),Table1[],(MATCH(Calendar!$A18,DB!$1:$1,0)),FALSE)),"")</f>
        <v/>
      </c>
      <c r="HBZ18" s="28" t="str">
        <f>IFERROR(IF(HCI3="No",IF(VLOOKUP(DATE($K$1,$K$2,HBZ$4),Table1[],(MATCH(Calendar!$A18,DB!$1:$1,0)),FALSE)&gt;=5,"Good","Bad"),VLOOKUP(DATE($K$1,$K$2,HBZ$4),Table1[],(MATCH(Calendar!$A18,DB!$1:$1,0)),FALSE)),"")</f>
        <v/>
      </c>
      <c r="HCA18" s="28" t="str">
        <f>IFERROR(IF(HCJ3="No",IF(VLOOKUP(DATE($K$1,$K$2,HCA$4),Table1[],(MATCH(Calendar!$A18,DB!$1:$1,0)),FALSE)&gt;=5,"Good","Bad"),VLOOKUP(DATE($K$1,$K$2,HCA$4),Table1[],(MATCH(Calendar!$A18,DB!$1:$1,0)),FALSE)),"")</f>
        <v/>
      </c>
      <c r="HCB18" s="28" t="str">
        <f>IFERROR(IF(HCK3="No",IF(VLOOKUP(DATE($K$1,$K$2,HCB$4),Table1[],(MATCH(Calendar!$A18,DB!$1:$1,0)),FALSE)&gt;=5,"Good","Bad"),VLOOKUP(DATE($K$1,$K$2,HCB$4),Table1[],(MATCH(Calendar!$A18,DB!$1:$1,0)),FALSE)),"")</f>
        <v/>
      </c>
      <c r="HCC18" s="28" t="str">
        <f>IFERROR(IF(HCL3="No",IF(VLOOKUP(DATE($K$1,$K$2,HCC$4),Table1[],(MATCH(Calendar!$A18,DB!$1:$1,0)),FALSE)&gt;=5,"Good","Bad"),VLOOKUP(DATE($K$1,$K$2,HCC$4),Table1[],(MATCH(Calendar!$A18,DB!$1:$1,0)),FALSE)),"")</f>
        <v/>
      </c>
      <c r="HCD18" s="28" t="str">
        <f>IFERROR(IF(HCM3="No",IF(VLOOKUP(DATE($K$1,$K$2,HCD$4),Table1[],(MATCH(Calendar!$A18,DB!$1:$1,0)),FALSE)&gt;=5,"Good","Bad"),VLOOKUP(DATE($K$1,$K$2,HCD$4),Table1[],(MATCH(Calendar!$A18,DB!$1:$1,0)),FALSE)),"")</f>
        <v/>
      </c>
      <c r="HCE18" s="28" t="str">
        <f>IFERROR(IF(HCN3="No",IF(VLOOKUP(DATE($K$1,$K$2,HCE$4),Table1[],(MATCH(Calendar!$A18,DB!$1:$1,0)),FALSE)&gt;=5,"Good","Bad"),VLOOKUP(DATE($K$1,$K$2,HCE$4),Table1[],(MATCH(Calendar!$A18,DB!$1:$1,0)),FALSE)),"")</f>
        <v/>
      </c>
      <c r="HCF18" s="28" t="str">
        <f>IFERROR(IF(HCO3="No",IF(VLOOKUP(DATE($K$1,$K$2,HCF$4),Table1[],(MATCH(Calendar!$A18,DB!$1:$1,0)),FALSE)&gt;=5,"Good","Bad"),VLOOKUP(DATE($K$1,$K$2,HCF$4),Table1[],(MATCH(Calendar!$A18,DB!$1:$1,0)),FALSE)),"")</f>
        <v/>
      </c>
      <c r="HCG18" s="28" t="str">
        <f>IFERROR(IF(HCP3="No",IF(VLOOKUP(DATE($K$1,$K$2,HCG$4),Table1[],(MATCH(Calendar!$A18,DB!$1:$1,0)),FALSE)&gt;=5,"Good","Bad"),VLOOKUP(DATE($K$1,$K$2,HCG$4),Table1[],(MATCH(Calendar!$A18,DB!$1:$1,0)),FALSE)),"")</f>
        <v/>
      </c>
      <c r="HCH18" s="28" t="str">
        <f>IFERROR(IF(HCQ3="No",IF(VLOOKUP(DATE($K$1,$K$2,HCH$4),Table1[],(MATCH(Calendar!$A18,DB!$1:$1,0)),FALSE)&gt;=5,"Good","Bad"),VLOOKUP(DATE($K$1,$K$2,HCH$4),Table1[],(MATCH(Calendar!$A18,DB!$1:$1,0)),FALSE)),"")</f>
        <v/>
      </c>
      <c r="HCI18" s="28" t="str">
        <f>IFERROR(IF(HCR3="No",IF(VLOOKUP(DATE($K$1,$K$2,HCI$4),Table1[],(MATCH(Calendar!$A18,DB!$1:$1,0)),FALSE)&gt;=5,"Good","Bad"),VLOOKUP(DATE($K$1,$K$2,HCI$4),Table1[],(MATCH(Calendar!$A18,DB!$1:$1,0)),FALSE)),"")</f>
        <v/>
      </c>
      <c r="HCJ18" s="28" t="str">
        <f>IFERROR(IF(HCS3="No",IF(VLOOKUP(DATE($K$1,$K$2,HCJ$4),Table1[],(MATCH(Calendar!$A18,DB!$1:$1,0)),FALSE)&gt;=5,"Good","Bad"),VLOOKUP(DATE($K$1,$K$2,HCJ$4),Table1[],(MATCH(Calendar!$A18,DB!$1:$1,0)),FALSE)),"")</f>
        <v/>
      </c>
      <c r="HCK18" s="28" t="str">
        <f>IFERROR(IF(HCT3="No",IF(VLOOKUP(DATE($K$1,$K$2,HCK$4),Table1[],(MATCH(Calendar!$A18,DB!$1:$1,0)),FALSE)&gt;=5,"Good","Bad"),VLOOKUP(DATE($K$1,$K$2,HCK$4),Table1[],(MATCH(Calendar!$A18,DB!$1:$1,0)),FALSE)),"")</f>
        <v/>
      </c>
      <c r="HCL18" s="28" t="str">
        <f>IFERROR(IF(HCU3="No",IF(VLOOKUP(DATE($K$1,$K$2,HCL$4),Table1[],(MATCH(Calendar!$A18,DB!$1:$1,0)),FALSE)&gt;=5,"Good","Bad"),VLOOKUP(DATE($K$1,$K$2,HCL$4),Table1[],(MATCH(Calendar!$A18,DB!$1:$1,0)),FALSE)),"")</f>
        <v/>
      </c>
      <c r="HCM18" s="28" t="str">
        <f>IFERROR(IF(HCV3="No",IF(VLOOKUP(DATE($K$1,$K$2,HCM$4),Table1[],(MATCH(Calendar!$A18,DB!$1:$1,0)),FALSE)&gt;=5,"Good","Bad"),VLOOKUP(DATE($K$1,$K$2,HCM$4),Table1[],(MATCH(Calendar!$A18,DB!$1:$1,0)),FALSE)),"")</f>
        <v/>
      </c>
      <c r="HCN18" s="28" t="str">
        <f>IFERROR(IF(HCW3="No",IF(VLOOKUP(DATE($K$1,$K$2,HCN$4),Table1[],(MATCH(Calendar!$A18,DB!$1:$1,0)),FALSE)&gt;=5,"Good","Bad"),VLOOKUP(DATE($K$1,$K$2,HCN$4),Table1[],(MATCH(Calendar!$A18,DB!$1:$1,0)),FALSE)),"")</f>
        <v/>
      </c>
      <c r="HCO18" s="28" t="str">
        <f>IFERROR(IF(HCX3="No",IF(VLOOKUP(DATE($K$1,$K$2,HCO$4),Table1[],(MATCH(Calendar!$A18,DB!$1:$1,0)),FALSE)&gt;=5,"Good","Bad"),VLOOKUP(DATE($K$1,$K$2,HCO$4),Table1[],(MATCH(Calendar!$A18,DB!$1:$1,0)),FALSE)),"")</f>
        <v/>
      </c>
      <c r="HCP18" s="28" t="str">
        <f>IFERROR(IF(HCY3="No",IF(VLOOKUP(DATE($K$1,$K$2,HCP$4),Table1[],(MATCH(Calendar!$A18,DB!$1:$1,0)),FALSE)&gt;=5,"Good","Bad"),VLOOKUP(DATE($K$1,$K$2,HCP$4),Table1[],(MATCH(Calendar!$A18,DB!$1:$1,0)),FALSE)),"")</f>
        <v/>
      </c>
      <c r="HCQ18" s="28" t="str">
        <f>IFERROR(IF(HCZ3="No",IF(VLOOKUP(DATE($K$1,$K$2,HCQ$4),Table1[],(MATCH(Calendar!$A18,DB!$1:$1,0)),FALSE)&gt;=5,"Good","Bad"),VLOOKUP(DATE($K$1,$K$2,HCQ$4),Table1[],(MATCH(Calendar!$A18,DB!$1:$1,0)),FALSE)),"")</f>
        <v/>
      </c>
      <c r="HCR18" s="28" t="str">
        <f>IFERROR(IF(HDA3="No",IF(VLOOKUP(DATE($K$1,$K$2,HCR$4),Table1[],(MATCH(Calendar!$A18,DB!$1:$1,0)),FALSE)&gt;=5,"Good","Bad"),VLOOKUP(DATE($K$1,$K$2,HCR$4),Table1[],(MATCH(Calendar!$A18,DB!$1:$1,0)),FALSE)),"")</f>
        <v/>
      </c>
      <c r="HCS18" s="28" t="str">
        <f>IFERROR(IF(HDB3="No",IF(VLOOKUP(DATE($K$1,$K$2,HCS$4),Table1[],(MATCH(Calendar!$A18,DB!$1:$1,0)),FALSE)&gt;=5,"Good","Bad"),VLOOKUP(DATE($K$1,$K$2,HCS$4),Table1[],(MATCH(Calendar!$A18,DB!$1:$1,0)),FALSE)),"")</f>
        <v/>
      </c>
      <c r="HCT18" s="28" t="str">
        <f>IFERROR(IF(HDC3="No",IF(VLOOKUP(DATE($K$1,$K$2,HCT$4),Table1[],(MATCH(Calendar!$A18,DB!$1:$1,0)),FALSE)&gt;=5,"Good","Bad"),VLOOKUP(DATE($K$1,$K$2,HCT$4),Table1[],(MATCH(Calendar!$A18,DB!$1:$1,0)),FALSE)),"")</f>
        <v/>
      </c>
      <c r="HCU18" s="28" t="str">
        <f>IFERROR(IF(HDD3="No",IF(VLOOKUP(DATE($K$1,$K$2,HCU$4),Table1[],(MATCH(Calendar!$A18,DB!$1:$1,0)),FALSE)&gt;=5,"Good","Bad"),VLOOKUP(DATE($K$1,$K$2,HCU$4),Table1[],(MATCH(Calendar!$A18,DB!$1:$1,0)),FALSE)),"")</f>
        <v/>
      </c>
      <c r="HCV18" s="28" t="str">
        <f>IFERROR(IF(HDE3="No",IF(VLOOKUP(DATE($K$1,$K$2,HCV$4),Table1[],(MATCH(Calendar!$A18,DB!$1:$1,0)),FALSE)&gt;=5,"Good","Bad"),VLOOKUP(DATE($K$1,$K$2,HCV$4),Table1[],(MATCH(Calendar!$A18,DB!$1:$1,0)),FALSE)),"")</f>
        <v/>
      </c>
      <c r="HCW18" s="28" t="str">
        <f>IFERROR(IF(HDF3="No",IF(VLOOKUP(DATE($K$1,$K$2,HCW$4),Table1[],(MATCH(Calendar!$A18,DB!$1:$1,0)),FALSE)&gt;=5,"Good","Bad"),VLOOKUP(DATE($K$1,$K$2,HCW$4),Table1[],(MATCH(Calendar!$A18,DB!$1:$1,0)),FALSE)),"")</f>
        <v/>
      </c>
      <c r="HCX18" s="28" t="str">
        <f>IFERROR(IF(HDG3="No",IF(VLOOKUP(DATE($K$1,$K$2,HCX$4),Table1[],(MATCH(Calendar!$A18,DB!$1:$1,0)),FALSE)&gt;=5,"Good","Bad"),VLOOKUP(DATE($K$1,$K$2,HCX$4),Table1[],(MATCH(Calendar!$A18,DB!$1:$1,0)),FALSE)),"")</f>
        <v/>
      </c>
      <c r="HCY18" s="28" t="str">
        <f>IFERROR(IF(HDH3="No",IF(VLOOKUP(DATE($K$1,$K$2,HCY$4),Table1[],(MATCH(Calendar!$A18,DB!$1:$1,0)),FALSE)&gt;=5,"Good","Bad"),VLOOKUP(DATE($K$1,$K$2,HCY$4),Table1[],(MATCH(Calendar!$A18,DB!$1:$1,0)),FALSE)),"")</f>
        <v/>
      </c>
      <c r="HCZ18" s="28" t="str">
        <f>IFERROR(IF(HDI3="No",IF(VLOOKUP(DATE($K$1,$K$2,HCZ$4),Table1[],(MATCH(Calendar!$A18,DB!$1:$1,0)),FALSE)&gt;=5,"Good","Bad"),VLOOKUP(DATE($K$1,$K$2,HCZ$4),Table1[],(MATCH(Calendar!$A18,DB!$1:$1,0)),FALSE)),"")</f>
        <v/>
      </c>
      <c r="HDA18" s="28" t="str">
        <f>IFERROR(IF(HDJ3="No",IF(VLOOKUP(DATE($K$1,$K$2,HDA$4),Table1[],(MATCH(Calendar!$A18,DB!$1:$1,0)),FALSE)&gt;=5,"Good","Bad"),VLOOKUP(DATE($K$1,$K$2,HDA$4),Table1[],(MATCH(Calendar!$A18,DB!$1:$1,0)),FALSE)),"")</f>
        <v/>
      </c>
      <c r="HDB18" s="28" t="str">
        <f>IFERROR(IF(HDK3="No",IF(VLOOKUP(DATE($K$1,$K$2,HDB$4),Table1[],(MATCH(Calendar!$A18,DB!$1:$1,0)),FALSE)&gt;=5,"Good","Bad"),VLOOKUP(DATE($K$1,$K$2,HDB$4),Table1[],(MATCH(Calendar!$A18,DB!$1:$1,0)),FALSE)),"")</f>
        <v/>
      </c>
      <c r="HDC18" s="28" t="str">
        <f>IFERROR(IF(HDL3="No",IF(VLOOKUP(DATE($K$1,$K$2,HDC$4),Table1[],(MATCH(Calendar!$A18,DB!$1:$1,0)),FALSE)&gt;=5,"Good","Bad"),VLOOKUP(DATE($K$1,$K$2,HDC$4),Table1[],(MATCH(Calendar!$A18,DB!$1:$1,0)),FALSE)),"")</f>
        <v/>
      </c>
      <c r="HDD18" s="28" t="str">
        <f>IFERROR(IF(HDM3="No",IF(VLOOKUP(DATE($K$1,$K$2,HDD$4),Table1[],(MATCH(Calendar!$A18,DB!$1:$1,0)),FALSE)&gt;=5,"Good","Bad"),VLOOKUP(DATE($K$1,$K$2,HDD$4),Table1[],(MATCH(Calendar!$A18,DB!$1:$1,0)),FALSE)),"")</f>
        <v/>
      </c>
      <c r="HDE18" s="28" t="str">
        <f>IFERROR(IF(HDN3="No",IF(VLOOKUP(DATE($K$1,$K$2,HDE$4),Table1[],(MATCH(Calendar!$A18,DB!$1:$1,0)),FALSE)&gt;=5,"Good","Bad"),VLOOKUP(DATE($K$1,$K$2,HDE$4),Table1[],(MATCH(Calendar!$A18,DB!$1:$1,0)),FALSE)),"")</f>
        <v/>
      </c>
      <c r="HDF18" s="28" t="str">
        <f>IFERROR(IF(HDO3="No",IF(VLOOKUP(DATE($K$1,$K$2,HDF$4),Table1[],(MATCH(Calendar!$A18,DB!$1:$1,0)),FALSE)&gt;=5,"Good","Bad"),VLOOKUP(DATE($K$1,$K$2,HDF$4),Table1[],(MATCH(Calendar!$A18,DB!$1:$1,0)),FALSE)),"")</f>
        <v/>
      </c>
      <c r="HDG18" s="28" t="str">
        <f>IFERROR(IF(HDP3="No",IF(VLOOKUP(DATE($K$1,$K$2,HDG$4),Table1[],(MATCH(Calendar!$A18,DB!$1:$1,0)),FALSE)&gt;=5,"Good","Bad"),VLOOKUP(DATE($K$1,$K$2,HDG$4),Table1[],(MATCH(Calendar!$A18,DB!$1:$1,0)),FALSE)),"")</f>
        <v/>
      </c>
      <c r="HDH18" s="28" t="str">
        <f>IFERROR(IF(HDQ3="No",IF(VLOOKUP(DATE($K$1,$K$2,HDH$4),Table1[],(MATCH(Calendar!$A18,DB!$1:$1,0)),FALSE)&gt;=5,"Good","Bad"),VLOOKUP(DATE($K$1,$K$2,HDH$4),Table1[],(MATCH(Calendar!$A18,DB!$1:$1,0)),FALSE)),"")</f>
        <v/>
      </c>
      <c r="HDI18" s="28" t="str">
        <f>IFERROR(IF(HDR3="No",IF(VLOOKUP(DATE($K$1,$K$2,HDI$4),Table1[],(MATCH(Calendar!$A18,DB!$1:$1,0)),FALSE)&gt;=5,"Good","Bad"),VLOOKUP(DATE($K$1,$K$2,HDI$4),Table1[],(MATCH(Calendar!$A18,DB!$1:$1,0)),FALSE)),"")</f>
        <v/>
      </c>
      <c r="HDJ18" s="28" t="str">
        <f>IFERROR(IF(HDS3="No",IF(VLOOKUP(DATE($K$1,$K$2,HDJ$4),Table1[],(MATCH(Calendar!$A18,DB!$1:$1,0)),FALSE)&gt;=5,"Good","Bad"),VLOOKUP(DATE($K$1,$K$2,HDJ$4),Table1[],(MATCH(Calendar!$A18,DB!$1:$1,0)),FALSE)),"")</f>
        <v/>
      </c>
      <c r="HDK18" s="28" t="str">
        <f>IFERROR(IF(HDT3="No",IF(VLOOKUP(DATE($K$1,$K$2,HDK$4),Table1[],(MATCH(Calendar!$A18,DB!$1:$1,0)),FALSE)&gt;=5,"Good","Bad"),VLOOKUP(DATE($K$1,$K$2,HDK$4),Table1[],(MATCH(Calendar!$A18,DB!$1:$1,0)),FALSE)),"")</f>
        <v/>
      </c>
      <c r="HDL18" s="28" t="str">
        <f>IFERROR(IF(HDU3="No",IF(VLOOKUP(DATE($K$1,$K$2,HDL$4),Table1[],(MATCH(Calendar!$A18,DB!$1:$1,0)),FALSE)&gt;=5,"Good","Bad"),VLOOKUP(DATE($K$1,$K$2,HDL$4),Table1[],(MATCH(Calendar!$A18,DB!$1:$1,0)),FALSE)),"")</f>
        <v/>
      </c>
      <c r="HDM18" s="28" t="str">
        <f>IFERROR(IF(HDV3="No",IF(VLOOKUP(DATE($K$1,$K$2,HDM$4),Table1[],(MATCH(Calendar!$A18,DB!$1:$1,0)),FALSE)&gt;=5,"Good","Bad"),VLOOKUP(DATE($K$1,$K$2,HDM$4),Table1[],(MATCH(Calendar!$A18,DB!$1:$1,0)),FALSE)),"")</f>
        <v/>
      </c>
      <c r="HDN18" s="28" t="str">
        <f>IFERROR(IF(HDW3="No",IF(VLOOKUP(DATE($K$1,$K$2,HDN$4),Table1[],(MATCH(Calendar!$A18,DB!$1:$1,0)),FALSE)&gt;=5,"Good","Bad"),VLOOKUP(DATE($K$1,$K$2,HDN$4),Table1[],(MATCH(Calendar!$A18,DB!$1:$1,0)),FALSE)),"")</f>
        <v/>
      </c>
      <c r="HDO18" s="28" t="str">
        <f>IFERROR(IF(HDX3="No",IF(VLOOKUP(DATE($K$1,$K$2,HDO$4),Table1[],(MATCH(Calendar!$A18,DB!$1:$1,0)),FALSE)&gt;=5,"Good","Bad"),VLOOKUP(DATE($K$1,$K$2,HDO$4),Table1[],(MATCH(Calendar!$A18,DB!$1:$1,0)),FALSE)),"")</f>
        <v/>
      </c>
      <c r="HDP18" s="28" t="str">
        <f>IFERROR(IF(HDY3="No",IF(VLOOKUP(DATE($K$1,$K$2,HDP$4),Table1[],(MATCH(Calendar!$A18,DB!$1:$1,0)),FALSE)&gt;=5,"Good","Bad"),VLOOKUP(DATE($K$1,$K$2,HDP$4),Table1[],(MATCH(Calendar!$A18,DB!$1:$1,0)),FALSE)),"")</f>
        <v/>
      </c>
      <c r="HDQ18" s="28" t="str">
        <f>IFERROR(IF(HDZ3="No",IF(VLOOKUP(DATE($K$1,$K$2,HDQ$4),Table1[],(MATCH(Calendar!$A18,DB!$1:$1,0)),FALSE)&gt;=5,"Good","Bad"),VLOOKUP(DATE($K$1,$K$2,HDQ$4),Table1[],(MATCH(Calendar!$A18,DB!$1:$1,0)),FALSE)),"")</f>
        <v/>
      </c>
      <c r="HDR18" s="28" t="str">
        <f>IFERROR(IF(HEA3="No",IF(VLOOKUP(DATE($K$1,$K$2,HDR$4),Table1[],(MATCH(Calendar!$A18,DB!$1:$1,0)),FALSE)&gt;=5,"Good","Bad"),VLOOKUP(DATE($K$1,$K$2,HDR$4),Table1[],(MATCH(Calendar!$A18,DB!$1:$1,0)),FALSE)),"")</f>
        <v/>
      </c>
      <c r="HDS18" s="28" t="str">
        <f>IFERROR(IF(HEB3="No",IF(VLOOKUP(DATE($K$1,$K$2,HDS$4),Table1[],(MATCH(Calendar!$A18,DB!$1:$1,0)),FALSE)&gt;=5,"Good","Bad"),VLOOKUP(DATE($K$1,$K$2,HDS$4),Table1[],(MATCH(Calendar!$A18,DB!$1:$1,0)),FALSE)),"")</f>
        <v/>
      </c>
      <c r="HDT18" s="28" t="str">
        <f>IFERROR(IF(HEC3="No",IF(VLOOKUP(DATE($K$1,$K$2,HDT$4),Table1[],(MATCH(Calendar!$A18,DB!$1:$1,0)),FALSE)&gt;=5,"Good","Bad"),VLOOKUP(DATE($K$1,$K$2,HDT$4),Table1[],(MATCH(Calendar!$A18,DB!$1:$1,0)),FALSE)),"")</f>
        <v/>
      </c>
      <c r="HDU18" s="28" t="str">
        <f>IFERROR(IF(HED3="No",IF(VLOOKUP(DATE($K$1,$K$2,HDU$4),Table1[],(MATCH(Calendar!$A18,DB!$1:$1,0)),FALSE)&gt;=5,"Good","Bad"),VLOOKUP(DATE($K$1,$K$2,HDU$4),Table1[],(MATCH(Calendar!$A18,DB!$1:$1,0)),FALSE)),"")</f>
        <v/>
      </c>
      <c r="HDV18" s="28" t="str">
        <f>IFERROR(IF(HEE3="No",IF(VLOOKUP(DATE($K$1,$K$2,HDV$4),Table1[],(MATCH(Calendar!$A18,DB!$1:$1,0)),FALSE)&gt;=5,"Good","Bad"),VLOOKUP(DATE($K$1,$K$2,HDV$4),Table1[],(MATCH(Calendar!$A18,DB!$1:$1,0)),FALSE)),"")</f>
        <v/>
      </c>
      <c r="HDW18" s="28" t="str">
        <f>IFERROR(IF(HEF3="No",IF(VLOOKUP(DATE($K$1,$K$2,HDW$4),Table1[],(MATCH(Calendar!$A18,DB!$1:$1,0)),FALSE)&gt;=5,"Good","Bad"),VLOOKUP(DATE($K$1,$K$2,HDW$4),Table1[],(MATCH(Calendar!$A18,DB!$1:$1,0)),FALSE)),"")</f>
        <v/>
      </c>
      <c r="HDX18" s="28" t="str">
        <f>IFERROR(IF(HEG3="No",IF(VLOOKUP(DATE($K$1,$K$2,HDX$4),Table1[],(MATCH(Calendar!$A18,DB!$1:$1,0)),FALSE)&gt;=5,"Good","Bad"),VLOOKUP(DATE($K$1,$K$2,HDX$4),Table1[],(MATCH(Calendar!$A18,DB!$1:$1,0)),FALSE)),"")</f>
        <v/>
      </c>
      <c r="HDY18" s="28" t="str">
        <f>IFERROR(IF(HEH3="No",IF(VLOOKUP(DATE($K$1,$K$2,HDY$4),Table1[],(MATCH(Calendar!$A18,DB!$1:$1,0)),FALSE)&gt;=5,"Good","Bad"),VLOOKUP(DATE($K$1,$K$2,HDY$4),Table1[],(MATCH(Calendar!$A18,DB!$1:$1,0)),FALSE)),"")</f>
        <v/>
      </c>
      <c r="HDZ18" s="28" t="str">
        <f>IFERROR(IF(HEI3="No",IF(VLOOKUP(DATE($K$1,$K$2,HDZ$4),Table1[],(MATCH(Calendar!$A18,DB!$1:$1,0)),FALSE)&gt;=5,"Good","Bad"),VLOOKUP(DATE($K$1,$K$2,HDZ$4),Table1[],(MATCH(Calendar!$A18,DB!$1:$1,0)),FALSE)),"")</f>
        <v/>
      </c>
      <c r="HEA18" s="28" t="str">
        <f>IFERROR(IF(HEJ3="No",IF(VLOOKUP(DATE($K$1,$K$2,HEA$4),Table1[],(MATCH(Calendar!$A18,DB!$1:$1,0)),FALSE)&gt;=5,"Good","Bad"),VLOOKUP(DATE($K$1,$K$2,HEA$4),Table1[],(MATCH(Calendar!$A18,DB!$1:$1,0)),FALSE)),"")</f>
        <v/>
      </c>
      <c r="HEB18" s="28" t="str">
        <f>IFERROR(IF(HEK3="No",IF(VLOOKUP(DATE($K$1,$K$2,HEB$4),Table1[],(MATCH(Calendar!$A18,DB!$1:$1,0)),FALSE)&gt;=5,"Good","Bad"),VLOOKUP(DATE($K$1,$K$2,HEB$4),Table1[],(MATCH(Calendar!$A18,DB!$1:$1,0)),FALSE)),"")</f>
        <v/>
      </c>
      <c r="HEC18" s="28" t="str">
        <f>IFERROR(IF(HEL3="No",IF(VLOOKUP(DATE($K$1,$K$2,HEC$4),Table1[],(MATCH(Calendar!$A18,DB!$1:$1,0)),FALSE)&gt;=5,"Good","Bad"),VLOOKUP(DATE($K$1,$K$2,HEC$4),Table1[],(MATCH(Calendar!$A18,DB!$1:$1,0)),FALSE)),"")</f>
        <v/>
      </c>
      <c r="HED18" s="28" t="str">
        <f>IFERROR(IF(HEM3="No",IF(VLOOKUP(DATE($K$1,$K$2,HED$4),Table1[],(MATCH(Calendar!$A18,DB!$1:$1,0)),FALSE)&gt;=5,"Good","Bad"),VLOOKUP(DATE($K$1,$K$2,HED$4),Table1[],(MATCH(Calendar!$A18,DB!$1:$1,0)),FALSE)),"")</f>
        <v/>
      </c>
      <c r="HEE18" s="28" t="str">
        <f>IFERROR(IF(HEN3="No",IF(VLOOKUP(DATE($K$1,$K$2,HEE$4),Table1[],(MATCH(Calendar!$A18,DB!$1:$1,0)),FALSE)&gt;=5,"Good","Bad"),VLOOKUP(DATE($K$1,$K$2,HEE$4),Table1[],(MATCH(Calendar!$A18,DB!$1:$1,0)),FALSE)),"")</f>
        <v/>
      </c>
      <c r="HEF18" s="28" t="str">
        <f>IFERROR(IF(HEO3="No",IF(VLOOKUP(DATE($K$1,$K$2,HEF$4),Table1[],(MATCH(Calendar!$A18,DB!$1:$1,0)),FALSE)&gt;=5,"Good","Bad"),VLOOKUP(DATE($K$1,$K$2,HEF$4),Table1[],(MATCH(Calendar!$A18,DB!$1:$1,0)),FALSE)),"")</f>
        <v/>
      </c>
      <c r="HEG18" s="28" t="str">
        <f>IFERROR(IF(HEP3="No",IF(VLOOKUP(DATE($K$1,$K$2,HEG$4),Table1[],(MATCH(Calendar!$A18,DB!$1:$1,0)),FALSE)&gt;=5,"Good","Bad"),VLOOKUP(DATE($K$1,$K$2,HEG$4),Table1[],(MATCH(Calendar!$A18,DB!$1:$1,0)),FALSE)),"")</f>
        <v/>
      </c>
      <c r="HEH18" s="28" t="str">
        <f>IFERROR(IF(HEQ3="No",IF(VLOOKUP(DATE($K$1,$K$2,HEH$4),Table1[],(MATCH(Calendar!$A18,DB!$1:$1,0)),FALSE)&gt;=5,"Good","Bad"),VLOOKUP(DATE($K$1,$K$2,HEH$4),Table1[],(MATCH(Calendar!$A18,DB!$1:$1,0)),FALSE)),"")</f>
        <v/>
      </c>
      <c r="HEI18" s="28" t="str">
        <f>IFERROR(IF(HER3="No",IF(VLOOKUP(DATE($K$1,$K$2,HEI$4),Table1[],(MATCH(Calendar!$A18,DB!$1:$1,0)),FALSE)&gt;=5,"Good","Bad"),VLOOKUP(DATE($K$1,$K$2,HEI$4),Table1[],(MATCH(Calendar!$A18,DB!$1:$1,0)),FALSE)),"")</f>
        <v/>
      </c>
      <c r="HEJ18" s="28" t="str">
        <f>IFERROR(IF(HES3="No",IF(VLOOKUP(DATE($K$1,$K$2,HEJ$4),Table1[],(MATCH(Calendar!$A18,DB!$1:$1,0)),FALSE)&gt;=5,"Good","Bad"),VLOOKUP(DATE($K$1,$K$2,HEJ$4),Table1[],(MATCH(Calendar!$A18,DB!$1:$1,0)),FALSE)),"")</f>
        <v/>
      </c>
      <c r="HEK18" s="28" t="str">
        <f>IFERROR(IF(HET3="No",IF(VLOOKUP(DATE($K$1,$K$2,HEK$4),Table1[],(MATCH(Calendar!$A18,DB!$1:$1,0)),FALSE)&gt;=5,"Good","Bad"),VLOOKUP(DATE($K$1,$K$2,HEK$4),Table1[],(MATCH(Calendar!$A18,DB!$1:$1,0)),FALSE)),"")</f>
        <v/>
      </c>
      <c r="HEL18" s="28" t="str">
        <f>IFERROR(IF(HEU3="No",IF(VLOOKUP(DATE($K$1,$K$2,HEL$4),Table1[],(MATCH(Calendar!$A18,DB!$1:$1,0)),FALSE)&gt;=5,"Good","Bad"),VLOOKUP(DATE($K$1,$K$2,HEL$4),Table1[],(MATCH(Calendar!$A18,DB!$1:$1,0)),FALSE)),"")</f>
        <v/>
      </c>
      <c r="HEM18" s="28" t="str">
        <f>IFERROR(IF(HEV3="No",IF(VLOOKUP(DATE($K$1,$K$2,HEM$4),Table1[],(MATCH(Calendar!$A18,DB!$1:$1,0)),FALSE)&gt;=5,"Good","Bad"),VLOOKUP(DATE($K$1,$K$2,HEM$4),Table1[],(MATCH(Calendar!$A18,DB!$1:$1,0)),FALSE)),"")</f>
        <v/>
      </c>
      <c r="HEN18" s="28" t="str">
        <f>IFERROR(IF(HEW3="No",IF(VLOOKUP(DATE($K$1,$K$2,HEN$4),Table1[],(MATCH(Calendar!$A18,DB!$1:$1,0)),FALSE)&gt;=5,"Good","Bad"),VLOOKUP(DATE($K$1,$K$2,HEN$4),Table1[],(MATCH(Calendar!$A18,DB!$1:$1,0)),FALSE)),"")</f>
        <v/>
      </c>
      <c r="HEO18" s="28" t="str">
        <f>IFERROR(IF(HEX3="No",IF(VLOOKUP(DATE($K$1,$K$2,HEO$4),Table1[],(MATCH(Calendar!$A18,DB!$1:$1,0)),FALSE)&gt;=5,"Good","Bad"),VLOOKUP(DATE($K$1,$K$2,HEO$4),Table1[],(MATCH(Calendar!$A18,DB!$1:$1,0)),FALSE)),"")</f>
        <v/>
      </c>
      <c r="HEP18" s="28" t="str">
        <f>IFERROR(IF(HEY3="No",IF(VLOOKUP(DATE($K$1,$K$2,HEP$4),Table1[],(MATCH(Calendar!$A18,DB!$1:$1,0)),FALSE)&gt;=5,"Good","Bad"),VLOOKUP(DATE($K$1,$K$2,HEP$4),Table1[],(MATCH(Calendar!$A18,DB!$1:$1,0)),FALSE)),"")</f>
        <v/>
      </c>
      <c r="HEQ18" s="28" t="str">
        <f>IFERROR(IF(HEZ3="No",IF(VLOOKUP(DATE($K$1,$K$2,HEQ$4),Table1[],(MATCH(Calendar!$A18,DB!$1:$1,0)),FALSE)&gt;=5,"Good","Bad"),VLOOKUP(DATE($K$1,$K$2,HEQ$4),Table1[],(MATCH(Calendar!$A18,DB!$1:$1,0)),FALSE)),"")</f>
        <v/>
      </c>
      <c r="HER18" s="28" t="str">
        <f>IFERROR(IF(HFA3="No",IF(VLOOKUP(DATE($K$1,$K$2,HER$4),Table1[],(MATCH(Calendar!$A18,DB!$1:$1,0)),FALSE)&gt;=5,"Good","Bad"),VLOOKUP(DATE($K$1,$K$2,HER$4),Table1[],(MATCH(Calendar!$A18,DB!$1:$1,0)),FALSE)),"")</f>
        <v/>
      </c>
      <c r="HES18" s="28" t="str">
        <f>IFERROR(IF(HFB3="No",IF(VLOOKUP(DATE($K$1,$K$2,HES$4),Table1[],(MATCH(Calendar!$A18,DB!$1:$1,0)),FALSE)&gt;=5,"Good","Bad"),VLOOKUP(DATE($K$1,$K$2,HES$4),Table1[],(MATCH(Calendar!$A18,DB!$1:$1,0)),FALSE)),"")</f>
        <v/>
      </c>
      <c r="HET18" s="28" t="str">
        <f>IFERROR(IF(HFC3="No",IF(VLOOKUP(DATE($K$1,$K$2,HET$4),Table1[],(MATCH(Calendar!$A18,DB!$1:$1,0)),FALSE)&gt;=5,"Good","Bad"),VLOOKUP(DATE($K$1,$K$2,HET$4),Table1[],(MATCH(Calendar!$A18,DB!$1:$1,0)),FALSE)),"")</f>
        <v/>
      </c>
      <c r="HEU18" s="28" t="str">
        <f>IFERROR(IF(HFD3="No",IF(VLOOKUP(DATE($K$1,$K$2,HEU$4),Table1[],(MATCH(Calendar!$A18,DB!$1:$1,0)),FALSE)&gt;=5,"Good","Bad"),VLOOKUP(DATE($K$1,$K$2,HEU$4),Table1[],(MATCH(Calendar!$A18,DB!$1:$1,0)),FALSE)),"")</f>
        <v/>
      </c>
      <c r="HEV18" s="28" t="str">
        <f>IFERROR(IF(HFE3="No",IF(VLOOKUP(DATE($K$1,$K$2,HEV$4),Table1[],(MATCH(Calendar!$A18,DB!$1:$1,0)),FALSE)&gt;=5,"Good","Bad"),VLOOKUP(DATE($K$1,$K$2,HEV$4),Table1[],(MATCH(Calendar!$A18,DB!$1:$1,0)),FALSE)),"")</f>
        <v/>
      </c>
      <c r="HEW18" s="28" t="str">
        <f>IFERROR(IF(HFF3="No",IF(VLOOKUP(DATE($K$1,$K$2,HEW$4),Table1[],(MATCH(Calendar!$A18,DB!$1:$1,0)),FALSE)&gt;=5,"Good","Bad"),VLOOKUP(DATE($K$1,$K$2,HEW$4),Table1[],(MATCH(Calendar!$A18,DB!$1:$1,0)),FALSE)),"")</f>
        <v/>
      </c>
      <c r="HEX18" s="28" t="str">
        <f>IFERROR(IF(HFG3="No",IF(VLOOKUP(DATE($K$1,$K$2,HEX$4),Table1[],(MATCH(Calendar!$A18,DB!$1:$1,0)),FALSE)&gt;=5,"Good","Bad"),VLOOKUP(DATE($K$1,$K$2,HEX$4),Table1[],(MATCH(Calendar!$A18,DB!$1:$1,0)),FALSE)),"")</f>
        <v/>
      </c>
      <c r="HEY18" s="28" t="str">
        <f>IFERROR(IF(HFH3="No",IF(VLOOKUP(DATE($K$1,$K$2,HEY$4),Table1[],(MATCH(Calendar!$A18,DB!$1:$1,0)),FALSE)&gt;=5,"Good","Bad"),VLOOKUP(DATE($K$1,$K$2,HEY$4),Table1[],(MATCH(Calendar!$A18,DB!$1:$1,0)),FALSE)),"")</f>
        <v/>
      </c>
      <c r="HEZ18" s="28" t="str">
        <f>IFERROR(IF(HFI3="No",IF(VLOOKUP(DATE($K$1,$K$2,HEZ$4),Table1[],(MATCH(Calendar!$A18,DB!$1:$1,0)),FALSE)&gt;=5,"Good","Bad"),VLOOKUP(DATE($K$1,$K$2,HEZ$4),Table1[],(MATCH(Calendar!$A18,DB!$1:$1,0)),FALSE)),"")</f>
        <v/>
      </c>
      <c r="HFA18" s="28" t="str">
        <f>IFERROR(IF(HFJ3="No",IF(VLOOKUP(DATE($K$1,$K$2,HFA$4),Table1[],(MATCH(Calendar!$A18,DB!$1:$1,0)),FALSE)&gt;=5,"Good","Bad"),VLOOKUP(DATE($K$1,$K$2,HFA$4),Table1[],(MATCH(Calendar!$A18,DB!$1:$1,0)),FALSE)),"")</f>
        <v/>
      </c>
      <c r="HFB18" s="28" t="str">
        <f>IFERROR(IF(HFK3="No",IF(VLOOKUP(DATE($K$1,$K$2,HFB$4),Table1[],(MATCH(Calendar!$A18,DB!$1:$1,0)),FALSE)&gt;=5,"Good","Bad"),VLOOKUP(DATE($K$1,$K$2,HFB$4),Table1[],(MATCH(Calendar!$A18,DB!$1:$1,0)),FALSE)),"")</f>
        <v/>
      </c>
      <c r="HFC18" s="28" t="str">
        <f>IFERROR(IF(HFL3="No",IF(VLOOKUP(DATE($K$1,$K$2,HFC$4),Table1[],(MATCH(Calendar!$A18,DB!$1:$1,0)),FALSE)&gt;=5,"Good","Bad"),VLOOKUP(DATE($K$1,$K$2,HFC$4),Table1[],(MATCH(Calendar!$A18,DB!$1:$1,0)),FALSE)),"")</f>
        <v/>
      </c>
      <c r="HFD18" s="28" t="str">
        <f>IFERROR(IF(HFM3="No",IF(VLOOKUP(DATE($K$1,$K$2,HFD$4),Table1[],(MATCH(Calendar!$A18,DB!$1:$1,0)),FALSE)&gt;=5,"Good","Bad"),VLOOKUP(DATE($K$1,$K$2,HFD$4),Table1[],(MATCH(Calendar!$A18,DB!$1:$1,0)),FALSE)),"")</f>
        <v/>
      </c>
      <c r="HFE18" s="28" t="str">
        <f>IFERROR(IF(HFN3="No",IF(VLOOKUP(DATE($K$1,$K$2,HFE$4),Table1[],(MATCH(Calendar!$A18,DB!$1:$1,0)),FALSE)&gt;=5,"Good","Bad"),VLOOKUP(DATE($K$1,$K$2,HFE$4),Table1[],(MATCH(Calendar!$A18,DB!$1:$1,0)),FALSE)),"")</f>
        <v/>
      </c>
      <c r="HFF18" s="28" t="str">
        <f>IFERROR(IF(HFO3="No",IF(VLOOKUP(DATE($K$1,$K$2,HFF$4),Table1[],(MATCH(Calendar!$A18,DB!$1:$1,0)),FALSE)&gt;=5,"Good","Bad"),VLOOKUP(DATE($K$1,$K$2,HFF$4),Table1[],(MATCH(Calendar!$A18,DB!$1:$1,0)),FALSE)),"")</f>
        <v/>
      </c>
      <c r="HFG18" s="28" t="str">
        <f>IFERROR(IF(HFP3="No",IF(VLOOKUP(DATE($K$1,$K$2,HFG$4),Table1[],(MATCH(Calendar!$A18,DB!$1:$1,0)),FALSE)&gt;=5,"Good","Bad"),VLOOKUP(DATE($K$1,$K$2,HFG$4),Table1[],(MATCH(Calendar!$A18,DB!$1:$1,0)),FALSE)),"")</f>
        <v/>
      </c>
      <c r="HFH18" s="28" t="str">
        <f>IFERROR(IF(HFQ3="No",IF(VLOOKUP(DATE($K$1,$K$2,HFH$4),Table1[],(MATCH(Calendar!$A18,DB!$1:$1,0)),FALSE)&gt;=5,"Good","Bad"),VLOOKUP(DATE($K$1,$K$2,HFH$4),Table1[],(MATCH(Calendar!$A18,DB!$1:$1,0)),FALSE)),"")</f>
        <v/>
      </c>
      <c r="HFI18" s="28" t="str">
        <f>IFERROR(IF(HFR3="No",IF(VLOOKUP(DATE($K$1,$K$2,HFI$4),Table1[],(MATCH(Calendar!$A18,DB!$1:$1,0)),FALSE)&gt;=5,"Good","Bad"),VLOOKUP(DATE($K$1,$K$2,HFI$4),Table1[],(MATCH(Calendar!$A18,DB!$1:$1,0)),FALSE)),"")</f>
        <v/>
      </c>
      <c r="HFJ18" s="28" t="str">
        <f>IFERROR(IF(HFS3="No",IF(VLOOKUP(DATE($K$1,$K$2,HFJ$4),Table1[],(MATCH(Calendar!$A18,DB!$1:$1,0)),FALSE)&gt;=5,"Good","Bad"),VLOOKUP(DATE($K$1,$K$2,HFJ$4),Table1[],(MATCH(Calendar!$A18,DB!$1:$1,0)),FALSE)),"")</f>
        <v/>
      </c>
      <c r="HFK18" s="28" t="str">
        <f>IFERROR(IF(HFT3="No",IF(VLOOKUP(DATE($K$1,$K$2,HFK$4),Table1[],(MATCH(Calendar!$A18,DB!$1:$1,0)),FALSE)&gt;=5,"Good","Bad"),VLOOKUP(DATE($K$1,$K$2,HFK$4),Table1[],(MATCH(Calendar!$A18,DB!$1:$1,0)),FALSE)),"")</f>
        <v/>
      </c>
      <c r="HFL18" s="28" t="str">
        <f>IFERROR(IF(HFU3="No",IF(VLOOKUP(DATE($K$1,$K$2,HFL$4),Table1[],(MATCH(Calendar!$A18,DB!$1:$1,0)),FALSE)&gt;=5,"Good","Bad"),VLOOKUP(DATE($K$1,$K$2,HFL$4),Table1[],(MATCH(Calendar!$A18,DB!$1:$1,0)),FALSE)),"")</f>
        <v/>
      </c>
      <c r="HFM18" s="28" t="str">
        <f>IFERROR(IF(HFV3="No",IF(VLOOKUP(DATE($K$1,$K$2,HFM$4),Table1[],(MATCH(Calendar!$A18,DB!$1:$1,0)),FALSE)&gt;=5,"Good","Bad"),VLOOKUP(DATE($K$1,$K$2,HFM$4),Table1[],(MATCH(Calendar!$A18,DB!$1:$1,0)),FALSE)),"")</f>
        <v/>
      </c>
      <c r="HFN18" s="28" t="str">
        <f>IFERROR(IF(HFW3="No",IF(VLOOKUP(DATE($K$1,$K$2,HFN$4),Table1[],(MATCH(Calendar!$A18,DB!$1:$1,0)),FALSE)&gt;=5,"Good","Bad"),VLOOKUP(DATE($K$1,$K$2,HFN$4),Table1[],(MATCH(Calendar!$A18,DB!$1:$1,0)),FALSE)),"")</f>
        <v/>
      </c>
      <c r="HFO18" s="28" t="str">
        <f>IFERROR(IF(HFX3="No",IF(VLOOKUP(DATE($K$1,$K$2,HFO$4),Table1[],(MATCH(Calendar!$A18,DB!$1:$1,0)),FALSE)&gt;=5,"Good","Bad"),VLOOKUP(DATE($K$1,$K$2,HFO$4),Table1[],(MATCH(Calendar!$A18,DB!$1:$1,0)),FALSE)),"")</f>
        <v/>
      </c>
      <c r="HFP18" s="28" t="str">
        <f>IFERROR(IF(HFY3="No",IF(VLOOKUP(DATE($K$1,$K$2,HFP$4),Table1[],(MATCH(Calendar!$A18,DB!$1:$1,0)),FALSE)&gt;=5,"Good","Bad"),VLOOKUP(DATE($K$1,$K$2,HFP$4),Table1[],(MATCH(Calendar!$A18,DB!$1:$1,0)),FALSE)),"")</f>
        <v/>
      </c>
      <c r="HFQ18" s="28" t="str">
        <f>IFERROR(IF(HFZ3="No",IF(VLOOKUP(DATE($K$1,$K$2,HFQ$4),Table1[],(MATCH(Calendar!$A18,DB!$1:$1,0)),FALSE)&gt;=5,"Good","Bad"),VLOOKUP(DATE($K$1,$K$2,HFQ$4),Table1[],(MATCH(Calendar!$A18,DB!$1:$1,0)),FALSE)),"")</f>
        <v/>
      </c>
      <c r="HFR18" s="28" t="str">
        <f>IFERROR(IF(HGA3="No",IF(VLOOKUP(DATE($K$1,$K$2,HFR$4),Table1[],(MATCH(Calendar!$A18,DB!$1:$1,0)),FALSE)&gt;=5,"Good","Bad"),VLOOKUP(DATE($K$1,$K$2,HFR$4),Table1[],(MATCH(Calendar!$A18,DB!$1:$1,0)),FALSE)),"")</f>
        <v/>
      </c>
      <c r="HFS18" s="28" t="str">
        <f>IFERROR(IF(HGB3="No",IF(VLOOKUP(DATE($K$1,$K$2,HFS$4),Table1[],(MATCH(Calendar!$A18,DB!$1:$1,0)),FALSE)&gt;=5,"Good","Bad"),VLOOKUP(DATE($K$1,$K$2,HFS$4),Table1[],(MATCH(Calendar!$A18,DB!$1:$1,0)),FALSE)),"")</f>
        <v/>
      </c>
      <c r="HFT18" s="28" t="str">
        <f>IFERROR(IF(HGC3="No",IF(VLOOKUP(DATE($K$1,$K$2,HFT$4),Table1[],(MATCH(Calendar!$A18,DB!$1:$1,0)),FALSE)&gt;=5,"Good","Bad"),VLOOKUP(DATE($K$1,$K$2,HFT$4),Table1[],(MATCH(Calendar!$A18,DB!$1:$1,0)),FALSE)),"")</f>
        <v/>
      </c>
      <c r="HFU18" s="28" t="str">
        <f>IFERROR(IF(HGD3="No",IF(VLOOKUP(DATE($K$1,$K$2,HFU$4),Table1[],(MATCH(Calendar!$A18,DB!$1:$1,0)),FALSE)&gt;=5,"Good","Bad"),VLOOKUP(DATE($K$1,$K$2,HFU$4),Table1[],(MATCH(Calendar!$A18,DB!$1:$1,0)),FALSE)),"")</f>
        <v/>
      </c>
      <c r="HFV18" s="28" t="str">
        <f>IFERROR(IF(HGE3="No",IF(VLOOKUP(DATE($K$1,$K$2,HFV$4),Table1[],(MATCH(Calendar!$A18,DB!$1:$1,0)),FALSE)&gt;=5,"Good","Bad"),VLOOKUP(DATE($K$1,$K$2,HFV$4),Table1[],(MATCH(Calendar!$A18,DB!$1:$1,0)),FALSE)),"")</f>
        <v/>
      </c>
      <c r="HFW18" s="28" t="str">
        <f>IFERROR(IF(HGF3="No",IF(VLOOKUP(DATE($K$1,$K$2,HFW$4),Table1[],(MATCH(Calendar!$A18,DB!$1:$1,0)),FALSE)&gt;=5,"Good","Bad"),VLOOKUP(DATE($K$1,$K$2,HFW$4),Table1[],(MATCH(Calendar!$A18,DB!$1:$1,0)),FALSE)),"")</f>
        <v/>
      </c>
      <c r="HFX18" s="28" t="str">
        <f>IFERROR(IF(HGG3="No",IF(VLOOKUP(DATE($K$1,$K$2,HFX$4),Table1[],(MATCH(Calendar!$A18,DB!$1:$1,0)),FALSE)&gt;=5,"Good","Bad"),VLOOKUP(DATE($K$1,$K$2,HFX$4),Table1[],(MATCH(Calendar!$A18,DB!$1:$1,0)),FALSE)),"")</f>
        <v/>
      </c>
      <c r="HFY18" s="28" t="str">
        <f>IFERROR(IF(HGH3="No",IF(VLOOKUP(DATE($K$1,$K$2,HFY$4),Table1[],(MATCH(Calendar!$A18,DB!$1:$1,0)),FALSE)&gt;=5,"Good","Bad"),VLOOKUP(DATE($K$1,$K$2,HFY$4),Table1[],(MATCH(Calendar!$A18,DB!$1:$1,0)),FALSE)),"")</f>
        <v/>
      </c>
      <c r="HFZ18" s="28" t="str">
        <f>IFERROR(IF(HGI3="No",IF(VLOOKUP(DATE($K$1,$K$2,HFZ$4),Table1[],(MATCH(Calendar!$A18,DB!$1:$1,0)),FALSE)&gt;=5,"Good","Bad"),VLOOKUP(DATE($K$1,$K$2,HFZ$4),Table1[],(MATCH(Calendar!$A18,DB!$1:$1,0)),FALSE)),"")</f>
        <v/>
      </c>
      <c r="HGA18" s="28" t="str">
        <f>IFERROR(IF(HGJ3="No",IF(VLOOKUP(DATE($K$1,$K$2,HGA$4),Table1[],(MATCH(Calendar!$A18,DB!$1:$1,0)),FALSE)&gt;=5,"Good","Bad"),VLOOKUP(DATE($K$1,$K$2,HGA$4),Table1[],(MATCH(Calendar!$A18,DB!$1:$1,0)),FALSE)),"")</f>
        <v/>
      </c>
      <c r="HGB18" s="28" t="str">
        <f>IFERROR(IF(HGK3="No",IF(VLOOKUP(DATE($K$1,$K$2,HGB$4),Table1[],(MATCH(Calendar!$A18,DB!$1:$1,0)),FALSE)&gt;=5,"Good","Bad"),VLOOKUP(DATE($K$1,$K$2,HGB$4),Table1[],(MATCH(Calendar!$A18,DB!$1:$1,0)),FALSE)),"")</f>
        <v/>
      </c>
      <c r="HGC18" s="28" t="str">
        <f>IFERROR(IF(HGL3="No",IF(VLOOKUP(DATE($K$1,$K$2,HGC$4),Table1[],(MATCH(Calendar!$A18,DB!$1:$1,0)),FALSE)&gt;=5,"Good","Bad"),VLOOKUP(DATE($K$1,$K$2,HGC$4),Table1[],(MATCH(Calendar!$A18,DB!$1:$1,0)),FALSE)),"")</f>
        <v/>
      </c>
      <c r="HGD18" s="28" t="str">
        <f>IFERROR(IF(HGM3="No",IF(VLOOKUP(DATE($K$1,$K$2,HGD$4),Table1[],(MATCH(Calendar!$A18,DB!$1:$1,0)),FALSE)&gt;=5,"Good","Bad"),VLOOKUP(DATE($K$1,$K$2,HGD$4),Table1[],(MATCH(Calendar!$A18,DB!$1:$1,0)),FALSE)),"")</f>
        <v/>
      </c>
      <c r="HGE18" s="28" t="str">
        <f>IFERROR(IF(HGN3="No",IF(VLOOKUP(DATE($K$1,$K$2,HGE$4),Table1[],(MATCH(Calendar!$A18,DB!$1:$1,0)),FALSE)&gt;=5,"Good","Bad"),VLOOKUP(DATE($K$1,$K$2,HGE$4),Table1[],(MATCH(Calendar!$A18,DB!$1:$1,0)),FALSE)),"")</f>
        <v/>
      </c>
      <c r="HGF18" s="28" t="str">
        <f>IFERROR(IF(HGO3="No",IF(VLOOKUP(DATE($K$1,$K$2,HGF$4),Table1[],(MATCH(Calendar!$A18,DB!$1:$1,0)),FALSE)&gt;=5,"Good","Bad"),VLOOKUP(DATE($K$1,$K$2,HGF$4),Table1[],(MATCH(Calendar!$A18,DB!$1:$1,0)),FALSE)),"")</f>
        <v/>
      </c>
      <c r="HGG18" s="28" t="str">
        <f>IFERROR(IF(HGP3="No",IF(VLOOKUP(DATE($K$1,$K$2,HGG$4),Table1[],(MATCH(Calendar!$A18,DB!$1:$1,0)),FALSE)&gt;=5,"Good","Bad"),VLOOKUP(DATE($K$1,$K$2,HGG$4),Table1[],(MATCH(Calendar!$A18,DB!$1:$1,0)),FALSE)),"")</f>
        <v/>
      </c>
      <c r="HGH18" s="28" t="str">
        <f>IFERROR(IF(HGQ3="No",IF(VLOOKUP(DATE($K$1,$K$2,HGH$4),Table1[],(MATCH(Calendar!$A18,DB!$1:$1,0)),FALSE)&gt;=5,"Good","Bad"),VLOOKUP(DATE($K$1,$K$2,HGH$4),Table1[],(MATCH(Calendar!$A18,DB!$1:$1,0)),FALSE)),"")</f>
        <v/>
      </c>
      <c r="HGI18" s="28" t="str">
        <f>IFERROR(IF(HGR3="No",IF(VLOOKUP(DATE($K$1,$K$2,HGI$4),Table1[],(MATCH(Calendar!$A18,DB!$1:$1,0)),FALSE)&gt;=5,"Good","Bad"),VLOOKUP(DATE($K$1,$K$2,HGI$4),Table1[],(MATCH(Calendar!$A18,DB!$1:$1,0)),FALSE)),"")</f>
        <v/>
      </c>
      <c r="HGJ18" s="28" t="str">
        <f>IFERROR(IF(HGS3="No",IF(VLOOKUP(DATE($K$1,$K$2,HGJ$4),Table1[],(MATCH(Calendar!$A18,DB!$1:$1,0)),FALSE)&gt;=5,"Good","Bad"),VLOOKUP(DATE($K$1,$K$2,HGJ$4),Table1[],(MATCH(Calendar!$A18,DB!$1:$1,0)),FALSE)),"")</f>
        <v/>
      </c>
      <c r="HGK18" s="28" t="str">
        <f>IFERROR(IF(HGT3="No",IF(VLOOKUP(DATE($K$1,$K$2,HGK$4),Table1[],(MATCH(Calendar!$A18,DB!$1:$1,0)),FALSE)&gt;=5,"Good","Bad"),VLOOKUP(DATE($K$1,$K$2,HGK$4),Table1[],(MATCH(Calendar!$A18,DB!$1:$1,0)),FALSE)),"")</f>
        <v/>
      </c>
      <c r="HGL18" s="28" t="str">
        <f>IFERROR(IF(HGU3="No",IF(VLOOKUP(DATE($K$1,$K$2,HGL$4),Table1[],(MATCH(Calendar!$A18,DB!$1:$1,0)),FALSE)&gt;=5,"Good","Bad"),VLOOKUP(DATE($K$1,$K$2,HGL$4),Table1[],(MATCH(Calendar!$A18,DB!$1:$1,0)),FALSE)),"")</f>
        <v/>
      </c>
      <c r="HGM18" s="28" t="str">
        <f>IFERROR(IF(HGV3="No",IF(VLOOKUP(DATE($K$1,$K$2,HGM$4),Table1[],(MATCH(Calendar!$A18,DB!$1:$1,0)),FALSE)&gt;=5,"Good","Bad"),VLOOKUP(DATE($K$1,$K$2,HGM$4),Table1[],(MATCH(Calendar!$A18,DB!$1:$1,0)),FALSE)),"")</f>
        <v/>
      </c>
      <c r="HGN18" s="28" t="str">
        <f>IFERROR(IF(HGW3="No",IF(VLOOKUP(DATE($K$1,$K$2,HGN$4),Table1[],(MATCH(Calendar!$A18,DB!$1:$1,0)),FALSE)&gt;=5,"Good","Bad"),VLOOKUP(DATE($K$1,$K$2,HGN$4),Table1[],(MATCH(Calendar!$A18,DB!$1:$1,0)),FALSE)),"")</f>
        <v/>
      </c>
      <c r="HGO18" s="28" t="str">
        <f>IFERROR(IF(HGX3="No",IF(VLOOKUP(DATE($K$1,$K$2,HGO$4),Table1[],(MATCH(Calendar!$A18,DB!$1:$1,0)),FALSE)&gt;=5,"Good","Bad"),VLOOKUP(DATE($K$1,$K$2,HGO$4),Table1[],(MATCH(Calendar!$A18,DB!$1:$1,0)),FALSE)),"")</f>
        <v/>
      </c>
      <c r="HGP18" s="28" t="str">
        <f>IFERROR(IF(HGY3="No",IF(VLOOKUP(DATE($K$1,$K$2,HGP$4),Table1[],(MATCH(Calendar!$A18,DB!$1:$1,0)),FALSE)&gt;=5,"Good","Bad"),VLOOKUP(DATE($K$1,$K$2,HGP$4),Table1[],(MATCH(Calendar!$A18,DB!$1:$1,0)),FALSE)),"")</f>
        <v/>
      </c>
      <c r="HGQ18" s="28" t="str">
        <f>IFERROR(IF(HGZ3="No",IF(VLOOKUP(DATE($K$1,$K$2,HGQ$4),Table1[],(MATCH(Calendar!$A18,DB!$1:$1,0)),FALSE)&gt;=5,"Good","Bad"),VLOOKUP(DATE($K$1,$K$2,HGQ$4),Table1[],(MATCH(Calendar!$A18,DB!$1:$1,0)),FALSE)),"")</f>
        <v/>
      </c>
      <c r="HGR18" s="28" t="str">
        <f>IFERROR(IF(HHA3="No",IF(VLOOKUP(DATE($K$1,$K$2,HGR$4),Table1[],(MATCH(Calendar!$A18,DB!$1:$1,0)),FALSE)&gt;=5,"Good","Bad"),VLOOKUP(DATE($K$1,$K$2,HGR$4),Table1[],(MATCH(Calendar!$A18,DB!$1:$1,0)),FALSE)),"")</f>
        <v/>
      </c>
      <c r="HGS18" s="28" t="str">
        <f>IFERROR(IF(HHB3="No",IF(VLOOKUP(DATE($K$1,$K$2,HGS$4),Table1[],(MATCH(Calendar!$A18,DB!$1:$1,0)),FALSE)&gt;=5,"Good","Bad"),VLOOKUP(DATE($K$1,$K$2,HGS$4),Table1[],(MATCH(Calendar!$A18,DB!$1:$1,0)),FALSE)),"")</f>
        <v/>
      </c>
      <c r="HGT18" s="28" t="str">
        <f>IFERROR(IF(HHC3="No",IF(VLOOKUP(DATE($K$1,$K$2,HGT$4),Table1[],(MATCH(Calendar!$A18,DB!$1:$1,0)),FALSE)&gt;=5,"Good","Bad"),VLOOKUP(DATE($K$1,$K$2,HGT$4),Table1[],(MATCH(Calendar!$A18,DB!$1:$1,0)),FALSE)),"")</f>
        <v/>
      </c>
      <c r="HGU18" s="28" t="str">
        <f>IFERROR(IF(HHD3="No",IF(VLOOKUP(DATE($K$1,$K$2,HGU$4),Table1[],(MATCH(Calendar!$A18,DB!$1:$1,0)),FALSE)&gt;=5,"Good","Bad"),VLOOKUP(DATE($K$1,$K$2,HGU$4),Table1[],(MATCH(Calendar!$A18,DB!$1:$1,0)),FALSE)),"")</f>
        <v/>
      </c>
      <c r="HGV18" s="28" t="str">
        <f>IFERROR(IF(HHE3="No",IF(VLOOKUP(DATE($K$1,$K$2,HGV$4),Table1[],(MATCH(Calendar!$A18,DB!$1:$1,0)),FALSE)&gt;=5,"Good","Bad"),VLOOKUP(DATE($K$1,$K$2,HGV$4),Table1[],(MATCH(Calendar!$A18,DB!$1:$1,0)),FALSE)),"")</f>
        <v/>
      </c>
      <c r="HGW18" s="28" t="str">
        <f>IFERROR(IF(HHF3="No",IF(VLOOKUP(DATE($K$1,$K$2,HGW$4),Table1[],(MATCH(Calendar!$A18,DB!$1:$1,0)),FALSE)&gt;=5,"Good","Bad"),VLOOKUP(DATE($K$1,$K$2,HGW$4),Table1[],(MATCH(Calendar!$A18,DB!$1:$1,0)),FALSE)),"")</f>
        <v/>
      </c>
      <c r="HGX18" s="28" t="str">
        <f>IFERROR(IF(HHG3="No",IF(VLOOKUP(DATE($K$1,$K$2,HGX$4),Table1[],(MATCH(Calendar!$A18,DB!$1:$1,0)),FALSE)&gt;=5,"Good","Bad"),VLOOKUP(DATE($K$1,$K$2,HGX$4),Table1[],(MATCH(Calendar!$A18,DB!$1:$1,0)),FALSE)),"")</f>
        <v/>
      </c>
      <c r="HGY18" s="28" t="str">
        <f>IFERROR(IF(HHH3="No",IF(VLOOKUP(DATE($K$1,$K$2,HGY$4),Table1[],(MATCH(Calendar!$A18,DB!$1:$1,0)),FALSE)&gt;=5,"Good","Bad"),VLOOKUP(DATE($K$1,$K$2,HGY$4),Table1[],(MATCH(Calendar!$A18,DB!$1:$1,0)),FALSE)),"")</f>
        <v/>
      </c>
      <c r="HGZ18" s="28" t="str">
        <f>IFERROR(IF(HHI3="No",IF(VLOOKUP(DATE($K$1,$K$2,HGZ$4),Table1[],(MATCH(Calendar!$A18,DB!$1:$1,0)),FALSE)&gt;=5,"Good","Bad"),VLOOKUP(DATE($K$1,$K$2,HGZ$4),Table1[],(MATCH(Calendar!$A18,DB!$1:$1,0)),FALSE)),"")</f>
        <v/>
      </c>
      <c r="HHA18" s="28" t="str">
        <f>IFERROR(IF(HHJ3="No",IF(VLOOKUP(DATE($K$1,$K$2,HHA$4),Table1[],(MATCH(Calendar!$A18,DB!$1:$1,0)),FALSE)&gt;=5,"Good","Bad"),VLOOKUP(DATE($K$1,$K$2,HHA$4),Table1[],(MATCH(Calendar!$A18,DB!$1:$1,0)),FALSE)),"")</f>
        <v/>
      </c>
      <c r="HHB18" s="28" t="str">
        <f>IFERROR(IF(HHK3="No",IF(VLOOKUP(DATE($K$1,$K$2,HHB$4),Table1[],(MATCH(Calendar!$A18,DB!$1:$1,0)),FALSE)&gt;=5,"Good","Bad"),VLOOKUP(DATE($K$1,$K$2,HHB$4),Table1[],(MATCH(Calendar!$A18,DB!$1:$1,0)),FALSE)),"")</f>
        <v/>
      </c>
      <c r="HHC18" s="28" t="str">
        <f>IFERROR(IF(HHL3="No",IF(VLOOKUP(DATE($K$1,$K$2,HHC$4),Table1[],(MATCH(Calendar!$A18,DB!$1:$1,0)),FALSE)&gt;=5,"Good","Bad"),VLOOKUP(DATE($K$1,$K$2,HHC$4),Table1[],(MATCH(Calendar!$A18,DB!$1:$1,0)),FALSE)),"")</f>
        <v/>
      </c>
      <c r="HHD18" s="28" t="str">
        <f>IFERROR(IF(HHM3="No",IF(VLOOKUP(DATE($K$1,$K$2,HHD$4),Table1[],(MATCH(Calendar!$A18,DB!$1:$1,0)),FALSE)&gt;=5,"Good","Bad"),VLOOKUP(DATE($K$1,$K$2,HHD$4),Table1[],(MATCH(Calendar!$A18,DB!$1:$1,0)),FALSE)),"")</f>
        <v/>
      </c>
      <c r="HHE18" s="28" t="str">
        <f>IFERROR(IF(HHN3="No",IF(VLOOKUP(DATE($K$1,$K$2,HHE$4),Table1[],(MATCH(Calendar!$A18,DB!$1:$1,0)),FALSE)&gt;=5,"Good","Bad"),VLOOKUP(DATE($K$1,$K$2,HHE$4),Table1[],(MATCH(Calendar!$A18,DB!$1:$1,0)),FALSE)),"")</f>
        <v/>
      </c>
      <c r="HHF18" s="28" t="str">
        <f>IFERROR(IF(HHO3="No",IF(VLOOKUP(DATE($K$1,$K$2,HHF$4),Table1[],(MATCH(Calendar!$A18,DB!$1:$1,0)),FALSE)&gt;=5,"Good","Bad"),VLOOKUP(DATE($K$1,$K$2,HHF$4),Table1[],(MATCH(Calendar!$A18,DB!$1:$1,0)),FALSE)),"")</f>
        <v/>
      </c>
      <c r="HHG18" s="28" t="str">
        <f>IFERROR(IF(HHP3="No",IF(VLOOKUP(DATE($K$1,$K$2,HHG$4),Table1[],(MATCH(Calendar!$A18,DB!$1:$1,0)),FALSE)&gt;=5,"Good","Bad"),VLOOKUP(DATE($K$1,$K$2,HHG$4),Table1[],(MATCH(Calendar!$A18,DB!$1:$1,0)),FALSE)),"")</f>
        <v/>
      </c>
      <c r="HHH18" s="28" t="str">
        <f>IFERROR(IF(HHQ3="No",IF(VLOOKUP(DATE($K$1,$K$2,HHH$4),Table1[],(MATCH(Calendar!$A18,DB!$1:$1,0)),FALSE)&gt;=5,"Good","Bad"),VLOOKUP(DATE($K$1,$K$2,HHH$4),Table1[],(MATCH(Calendar!$A18,DB!$1:$1,0)),FALSE)),"")</f>
        <v/>
      </c>
      <c r="HHI18" s="28" t="str">
        <f>IFERROR(IF(HHR3="No",IF(VLOOKUP(DATE($K$1,$K$2,HHI$4),Table1[],(MATCH(Calendar!$A18,DB!$1:$1,0)),FALSE)&gt;=5,"Good","Bad"),VLOOKUP(DATE($K$1,$K$2,HHI$4),Table1[],(MATCH(Calendar!$A18,DB!$1:$1,0)),FALSE)),"")</f>
        <v/>
      </c>
      <c r="HHJ18" s="28" t="str">
        <f>IFERROR(IF(HHS3="No",IF(VLOOKUP(DATE($K$1,$K$2,HHJ$4),Table1[],(MATCH(Calendar!$A18,DB!$1:$1,0)),FALSE)&gt;=5,"Good","Bad"),VLOOKUP(DATE($K$1,$K$2,HHJ$4),Table1[],(MATCH(Calendar!$A18,DB!$1:$1,0)),FALSE)),"")</f>
        <v/>
      </c>
      <c r="HHK18" s="28" t="str">
        <f>IFERROR(IF(HHT3="No",IF(VLOOKUP(DATE($K$1,$K$2,HHK$4),Table1[],(MATCH(Calendar!$A18,DB!$1:$1,0)),FALSE)&gt;=5,"Good","Bad"),VLOOKUP(DATE($K$1,$K$2,HHK$4),Table1[],(MATCH(Calendar!$A18,DB!$1:$1,0)),FALSE)),"")</f>
        <v/>
      </c>
      <c r="HHL18" s="28" t="str">
        <f>IFERROR(IF(HHU3="No",IF(VLOOKUP(DATE($K$1,$K$2,HHL$4),Table1[],(MATCH(Calendar!$A18,DB!$1:$1,0)),FALSE)&gt;=5,"Good","Bad"),VLOOKUP(DATE($K$1,$K$2,HHL$4),Table1[],(MATCH(Calendar!$A18,DB!$1:$1,0)),FALSE)),"")</f>
        <v/>
      </c>
      <c r="HHM18" s="28" t="str">
        <f>IFERROR(IF(HHV3="No",IF(VLOOKUP(DATE($K$1,$K$2,HHM$4),Table1[],(MATCH(Calendar!$A18,DB!$1:$1,0)),FALSE)&gt;=5,"Good","Bad"),VLOOKUP(DATE($K$1,$K$2,HHM$4),Table1[],(MATCH(Calendar!$A18,DB!$1:$1,0)),FALSE)),"")</f>
        <v/>
      </c>
      <c r="HHN18" s="28" t="str">
        <f>IFERROR(IF(HHW3="No",IF(VLOOKUP(DATE($K$1,$K$2,HHN$4),Table1[],(MATCH(Calendar!$A18,DB!$1:$1,0)),FALSE)&gt;=5,"Good","Bad"),VLOOKUP(DATE($K$1,$K$2,HHN$4),Table1[],(MATCH(Calendar!$A18,DB!$1:$1,0)),FALSE)),"")</f>
        <v/>
      </c>
      <c r="HHO18" s="28" t="str">
        <f>IFERROR(IF(HHX3="No",IF(VLOOKUP(DATE($K$1,$K$2,HHO$4),Table1[],(MATCH(Calendar!$A18,DB!$1:$1,0)),FALSE)&gt;=5,"Good","Bad"),VLOOKUP(DATE($K$1,$K$2,HHO$4),Table1[],(MATCH(Calendar!$A18,DB!$1:$1,0)),FALSE)),"")</f>
        <v/>
      </c>
      <c r="HHP18" s="28" t="str">
        <f>IFERROR(IF(HHY3="No",IF(VLOOKUP(DATE($K$1,$K$2,HHP$4),Table1[],(MATCH(Calendar!$A18,DB!$1:$1,0)),FALSE)&gt;=5,"Good","Bad"),VLOOKUP(DATE($K$1,$K$2,HHP$4),Table1[],(MATCH(Calendar!$A18,DB!$1:$1,0)),FALSE)),"")</f>
        <v/>
      </c>
      <c r="HHQ18" s="28" t="str">
        <f>IFERROR(IF(HHZ3="No",IF(VLOOKUP(DATE($K$1,$K$2,HHQ$4),Table1[],(MATCH(Calendar!$A18,DB!$1:$1,0)),FALSE)&gt;=5,"Good","Bad"),VLOOKUP(DATE($K$1,$K$2,HHQ$4),Table1[],(MATCH(Calendar!$A18,DB!$1:$1,0)),FALSE)),"")</f>
        <v/>
      </c>
      <c r="HHR18" s="28" t="str">
        <f>IFERROR(IF(HIA3="No",IF(VLOOKUP(DATE($K$1,$K$2,HHR$4),Table1[],(MATCH(Calendar!$A18,DB!$1:$1,0)),FALSE)&gt;=5,"Good","Bad"),VLOOKUP(DATE($K$1,$K$2,HHR$4),Table1[],(MATCH(Calendar!$A18,DB!$1:$1,0)),FALSE)),"")</f>
        <v/>
      </c>
      <c r="HHS18" s="28" t="str">
        <f>IFERROR(IF(HIB3="No",IF(VLOOKUP(DATE($K$1,$K$2,HHS$4),Table1[],(MATCH(Calendar!$A18,DB!$1:$1,0)),FALSE)&gt;=5,"Good","Bad"),VLOOKUP(DATE($K$1,$K$2,HHS$4),Table1[],(MATCH(Calendar!$A18,DB!$1:$1,0)),FALSE)),"")</f>
        <v/>
      </c>
      <c r="HHT18" s="28" t="str">
        <f>IFERROR(IF(HIC3="No",IF(VLOOKUP(DATE($K$1,$K$2,HHT$4),Table1[],(MATCH(Calendar!$A18,DB!$1:$1,0)),FALSE)&gt;=5,"Good","Bad"),VLOOKUP(DATE($K$1,$K$2,HHT$4),Table1[],(MATCH(Calendar!$A18,DB!$1:$1,0)),FALSE)),"")</f>
        <v/>
      </c>
      <c r="HHU18" s="28" t="str">
        <f>IFERROR(IF(HID3="No",IF(VLOOKUP(DATE($K$1,$K$2,HHU$4),Table1[],(MATCH(Calendar!$A18,DB!$1:$1,0)),FALSE)&gt;=5,"Good","Bad"),VLOOKUP(DATE($K$1,$K$2,HHU$4),Table1[],(MATCH(Calendar!$A18,DB!$1:$1,0)),FALSE)),"")</f>
        <v/>
      </c>
      <c r="HHV18" s="28" t="str">
        <f>IFERROR(IF(HIE3="No",IF(VLOOKUP(DATE($K$1,$K$2,HHV$4),Table1[],(MATCH(Calendar!$A18,DB!$1:$1,0)),FALSE)&gt;=5,"Good","Bad"),VLOOKUP(DATE($K$1,$K$2,HHV$4),Table1[],(MATCH(Calendar!$A18,DB!$1:$1,0)),FALSE)),"")</f>
        <v/>
      </c>
      <c r="HHW18" s="28" t="str">
        <f>IFERROR(IF(HIF3="No",IF(VLOOKUP(DATE($K$1,$K$2,HHW$4),Table1[],(MATCH(Calendar!$A18,DB!$1:$1,0)),FALSE)&gt;=5,"Good","Bad"),VLOOKUP(DATE($K$1,$K$2,HHW$4),Table1[],(MATCH(Calendar!$A18,DB!$1:$1,0)),FALSE)),"")</f>
        <v/>
      </c>
      <c r="HHX18" s="28" t="str">
        <f>IFERROR(IF(HIG3="No",IF(VLOOKUP(DATE($K$1,$K$2,HHX$4),Table1[],(MATCH(Calendar!$A18,DB!$1:$1,0)),FALSE)&gt;=5,"Good","Bad"),VLOOKUP(DATE($K$1,$K$2,HHX$4),Table1[],(MATCH(Calendar!$A18,DB!$1:$1,0)),FALSE)),"")</f>
        <v/>
      </c>
      <c r="HHY18" s="28" t="str">
        <f>IFERROR(IF(HIH3="No",IF(VLOOKUP(DATE($K$1,$K$2,HHY$4),Table1[],(MATCH(Calendar!$A18,DB!$1:$1,0)),FALSE)&gt;=5,"Good","Bad"),VLOOKUP(DATE($K$1,$K$2,HHY$4),Table1[],(MATCH(Calendar!$A18,DB!$1:$1,0)),FALSE)),"")</f>
        <v/>
      </c>
      <c r="HHZ18" s="28" t="str">
        <f>IFERROR(IF(HII3="No",IF(VLOOKUP(DATE($K$1,$K$2,HHZ$4),Table1[],(MATCH(Calendar!$A18,DB!$1:$1,0)),FALSE)&gt;=5,"Good","Bad"),VLOOKUP(DATE($K$1,$K$2,HHZ$4),Table1[],(MATCH(Calendar!$A18,DB!$1:$1,0)),FALSE)),"")</f>
        <v/>
      </c>
      <c r="HIA18" s="28" t="str">
        <f>IFERROR(IF(HIJ3="No",IF(VLOOKUP(DATE($K$1,$K$2,HIA$4),Table1[],(MATCH(Calendar!$A18,DB!$1:$1,0)),FALSE)&gt;=5,"Good","Bad"),VLOOKUP(DATE($K$1,$K$2,HIA$4),Table1[],(MATCH(Calendar!$A18,DB!$1:$1,0)),FALSE)),"")</f>
        <v/>
      </c>
      <c r="HIB18" s="28" t="str">
        <f>IFERROR(IF(HIK3="No",IF(VLOOKUP(DATE($K$1,$K$2,HIB$4),Table1[],(MATCH(Calendar!$A18,DB!$1:$1,0)),FALSE)&gt;=5,"Good","Bad"),VLOOKUP(DATE($K$1,$K$2,HIB$4),Table1[],(MATCH(Calendar!$A18,DB!$1:$1,0)),FALSE)),"")</f>
        <v/>
      </c>
      <c r="HIC18" s="28" t="str">
        <f>IFERROR(IF(HIL3="No",IF(VLOOKUP(DATE($K$1,$K$2,HIC$4),Table1[],(MATCH(Calendar!$A18,DB!$1:$1,0)),FALSE)&gt;=5,"Good","Bad"),VLOOKUP(DATE($K$1,$K$2,HIC$4),Table1[],(MATCH(Calendar!$A18,DB!$1:$1,0)),FALSE)),"")</f>
        <v/>
      </c>
      <c r="HID18" s="28" t="str">
        <f>IFERROR(IF(HIM3="No",IF(VLOOKUP(DATE($K$1,$K$2,HID$4),Table1[],(MATCH(Calendar!$A18,DB!$1:$1,0)),FALSE)&gt;=5,"Good","Bad"),VLOOKUP(DATE($K$1,$K$2,HID$4),Table1[],(MATCH(Calendar!$A18,DB!$1:$1,0)),FALSE)),"")</f>
        <v/>
      </c>
      <c r="HIE18" s="28" t="str">
        <f>IFERROR(IF(HIN3="No",IF(VLOOKUP(DATE($K$1,$K$2,HIE$4),Table1[],(MATCH(Calendar!$A18,DB!$1:$1,0)),FALSE)&gt;=5,"Good","Bad"),VLOOKUP(DATE($K$1,$K$2,HIE$4),Table1[],(MATCH(Calendar!$A18,DB!$1:$1,0)),FALSE)),"")</f>
        <v/>
      </c>
      <c r="HIF18" s="28" t="str">
        <f>IFERROR(IF(HIO3="No",IF(VLOOKUP(DATE($K$1,$K$2,HIF$4),Table1[],(MATCH(Calendar!$A18,DB!$1:$1,0)),FALSE)&gt;=5,"Good","Bad"),VLOOKUP(DATE($K$1,$K$2,HIF$4),Table1[],(MATCH(Calendar!$A18,DB!$1:$1,0)),FALSE)),"")</f>
        <v/>
      </c>
      <c r="HIG18" s="28" t="str">
        <f>IFERROR(IF(HIP3="No",IF(VLOOKUP(DATE($K$1,$K$2,HIG$4),Table1[],(MATCH(Calendar!$A18,DB!$1:$1,0)),FALSE)&gt;=5,"Good","Bad"),VLOOKUP(DATE($K$1,$K$2,HIG$4),Table1[],(MATCH(Calendar!$A18,DB!$1:$1,0)),FALSE)),"")</f>
        <v/>
      </c>
      <c r="HIH18" s="28" t="str">
        <f>IFERROR(IF(HIQ3="No",IF(VLOOKUP(DATE($K$1,$K$2,HIH$4),Table1[],(MATCH(Calendar!$A18,DB!$1:$1,0)),FALSE)&gt;=5,"Good","Bad"),VLOOKUP(DATE($K$1,$K$2,HIH$4),Table1[],(MATCH(Calendar!$A18,DB!$1:$1,0)),FALSE)),"")</f>
        <v/>
      </c>
      <c r="HII18" s="28" t="str">
        <f>IFERROR(IF(HIR3="No",IF(VLOOKUP(DATE($K$1,$K$2,HII$4),Table1[],(MATCH(Calendar!$A18,DB!$1:$1,0)),FALSE)&gt;=5,"Good","Bad"),VLOOKUP(DATE($K$1,$K$2,HII$4),Table1[],(MATCH(Calendar!$A18,DB!$1:$1,0)),FALSE)),"")</f>
        <v/>
      </c>
      <c r="HIJ18" s="28" t="str">
        <f>IFERROR(IF(HIS3="No",IF(VLOOKUP(DATE($K$1,$K$2,HIJ$4),Table1[],(MATCH(Calendar!$A18,DB!$1:$1,0)),FALSE)&gt;=5,"Good","Bad"),VLOOKUP(DATE($K$1,$K$2,HIJ$4),Table1[],(MATCH(Calendar!$A18,DB!$1:$1,0)),FALSE)),"")</f>
        <v/>
      </c>
      <c r="HIK18" s="28" t="str">
        <f>IFERROR(IF(HIT3="No",IF(VLOOKUP(DATE($K$1,$K$2,HIK$4),Table1[],(MATCH(Calendar!$A18,DB!$1:$1,0)),FALSE)&gt;=5,"Good","Bad"),VLOOKUP(DATE($K$1,$K$2,HIK$4),Table1[],(MATCH(Calendar!$A18,DB!$1:$1,0)),FALSE)),"")</f>
        <v/>
      </c>
      <c r="HIL18" s="28" t="str">
        <f>IFERROR(IF(HIU3="No",IF(VLOOKUP(DATE($K$1,$K$2,HIL$4),Table1[],(MATCH(Calendar!$A18,DB!$1:$1,0)),FALSE)&gt;=5,"Good","Bad"),VLOOKUP(DATE($K$1,$K$2,HIL$4),Table1[],(MATCH(Calendar!$A18,DB!$1:$1,0)),FALSE)),"")</f>
        <v/>
      </c>
      <c r="HIM18" s="28" t="str">
        <f>IFERROR(IF(HIV3="No",IF(VLOOKUP(DATE($K$1,$K$2,HIM$4),Table1[],(MATCH(Calendar!$A18,DB!$1:$1,0)),FALSE)&gt;=5,"Good","Bad"),VLOOKUP(DATE($K$1,$K$2,HIM$4),Table1[],(MATCH(Calendar!$A18,DB!$1:$1,0)),FALSE)),"")</f>
        <v/>
      </c>
      <c r="HIN18" s="28" t="str">
        <f>IFERROR(IF(HIW3="No",IF(VLOOKUP(DATE($K$1,$K$2,HIN$4),Table1[],(MATCH(Calendar!$A18,DB!$1:$1,0)),FALSE)&gt;=5,"Good","Bad"),VLOOKUP(DATE($K$1,$K$2,HIN$4),Table1[],(MATCH(Calendar!$A18,DB!$1:$1,0)),FALSE)),"")</f>
        <v/>
      </c>
      <c r="HIO18" s="28" t="str">
        <f>IFERROR(IF(HIX3="No",IF(VLOOKUP(DATE($K$1,$K$2,HIO$4),Table1[],(MATCH(Calendar!$A18,DB!$1:$1,0)),FALSE)&gt;=5,"Good","Bad"),VLOOKUP(DATE($K$1,$K$2,HIO$4),Table1[],(MATCH(Calendar!$A18,DB!$1:$1,0)),FALSE)),"")</f>
        <v/>
      </c>
      <c r="HIP18" s="28" t="str">
        <f>IFERROR(IF(HIY3="No",IF(VLOOKUP(DATE($K$1,$K$2,HIP$4),Table1[],(MATCH(Calendar!$A18,DB!$1:$1,0)),FALSE)&gt;=5,"Good","Bad"),VLOOKUP(DATE($K$1,$K$2,HIP$4),Table1[],(MATCH(Calendar!$A18,DB!$1:$1,0)),FALSE)),"")</f>
        <v/>
      </c>
      <c r="HIQ18" s="28" t="str">
        <f>IFERROR(IF(HIZ3="No",IF(VLOOKUP(DATE($K$1,$K$2,HIQ$4),Table1[],(MATCH(Calendar!$A18,DB!$1:$1,0)),FALSE)&gt;=5,"Good","Bad"),VLOOKUP(DATE($K$1,$K$2,HIQ$4),Table1[],(MATCH(Calendar!$A18,DB!$1:$1,0)),FALSE)),"")</f>
        <v/>
      </c>
      <c r="HIR18" s="28" t="str">
        <f>IFERROR(IF(HJA3="No",IF(VLOOKUP(DATE($K$1,$K$2,HIR$4),Table1[],(MATCH(Calendar!$A18,DB!$1:$1,0)),FALSE)&gt;=5,"Good","Bad"),VLOOKUP(DATE($K$1,$K$2,HIR$4),Table1[],(MATCH(Calendar!$A18,DB!$1:$1,0)),FALSE)),"")</f>
        <v/>
      </c>
      <c r="HIS18" s="28" t="str">
        <f>IFERROR(IF(HJB3="No",IF(VLOOKUP(DATE($K$1,$K$2,HIS$4),Table1[],(MATCH(Calendar!$A18,DB!$1:$1,0)),FALSE)&gt;=5,"Good","Bad"),VLOOKUP(DATE($K$1,$K$2,HIS$4),Table1[],(MATCH(Calendar!$A18,DB!$1:$1,0)),FALSE)),"")</f>
        <v/>
      </c>
      <c r="HIT18" s="28" t="str">
        <f>IFERROR(IF(HJC3="No",IF(VLOOKUP(DATE($K$1,$K$2,HIT$4),Table1[],(MATCH(Calendar!$A18,DB!$1:$1,0)),FALSE)&gt;=5,"Good","Bad"),VLOOKUP(DATE($K$1,$K$2,HIT$4),Table1[],(MATCH(Calendar!$A18,DB!$1:$1,0)),FALSE)),"")</f>
        <v/>
      </c>
      <c r="HIU18" s="28" t="str">
        <f>IFERROR(IF(HJD3="No",IF(VLOOKUP(DATE($K$1,$K$2,HIU$4),Table1[],(MATCH(Calendar!$A18,DB!$1:$1,0)),FALSE)&gt;=5,"Good","Bad"),VLOOKUP(DATE($K$1,$K$2,HIU$4),Table1[],(MATCH(Calendar!$A18,DB!$1:$1,0)),FALSE)),"")</f>
        <v/>
      </c>
      <c r="HIV18" s="28" t="str">
        <f>IFERROR(IF(HJE3="No",IF(VLOOKUP(DATE($K$1,$K$2,HIV$4),Table1[],(MATCH(Calendar!$A18,DB!$1:$1,0)),FALSE)&gt;=5,"Good","Bad"),VLOOKUP(DATE($K$1,$K$2,HIV$4),Table1[],(MATCH(Calendar!$A18,DB!$1:$1,0)),FALSE)),"")</f>
        <v/>
      </c>
      <c r="HIW18" s="28" t="str">
        <f>IFERROR(IF(HJF3="No",IF(VLOOKUP(DATE($K$1,$K$2,HIW$4),Table1[],(MATCH(Calendar!$A18,DB!$1:$1,0)),FALSE)&gt;=5,"Good","Bad"),VLOOKUP(DATE($K$1,$K$2,HIW$4),Table1[],(MATCH(Calendar!$A18,DB!$1:$1,0)),FALSE)),"")</f>
        <v/>
      </c>
      <c r="HIX18" s="28" t="str">
        <f>IFERROR(IF(HJG3="No",IF(VLOOKUP(DATE($K$1,$K$2,HIX$4),Table1[],(MATCH(Calendar!$A18,DB!$1:$1,0)),FALSE)&gt;=5,"Good","Bad"),VLOOKUP(DATE($K$1,$K$2,HIX$4),Table1[],(MATCH(Calendar!$A18,DB!$1:$1,0)),FALSE)),"")</f>
        <v/>
      </c>
      <c r="HIY18" s="28" t="str">
        <f>IFERROR(IF(HJH3="No",IF(VLOOKUP(DATE($K$1,$K$2,HIY$4),Table1[],(MATCH(Calendar!$A18,DB!$1:$1,0)),FALSE)&gt;=5,"Good","Bad"),VLOOKUP(DATE($K$1,$K$2,HIY$4),Table1[],(MATCH(Calendar!$A18,DB!$1:$1,0)),FALSE)),"")</f>
        <v/>
      </c>
      <c r="HIZ18" s="28" t="str">
        <f>IFERROR(IF(HJI3="No",IF(VLOOKUP(DATE($K$1,$K$2,HIZ$4),Table1[],(MATCH(Calendar!$A18,DB!$1:$1,0)),FALSE)&gt;=5,"Good","Bad"),VLOOKUP(DATE($K$1,$K$2,HIZ$4),Table1[],(MATCH(Calendar!$A18,DB!$1:$1,0)),FALSE)),"")</f>
        <v/>
      </c>
      <c r="HJA18" s="28" t="str">
        <f>IFERROR(IF(HJJ3="No",IF(VLOOKUP(DATE($K$1,$K$2,HJA$4),Table1[],(MATCH(Calendar!$A18,DB!$1:$1,0)),FALSE)&gt;=5,"Good","Bad"),VLOOKUP(DATE($K$1,$K$2,HJA$4),Table1[],(MATCH(Calendar!$A18,DB!$1:$1,0)),FALSE)),"")</f>
        <v/>
      </c>
      <c r="HJB18" s="28" t="str">
        <f>IFERROR(IF(HJK3="No",IF(VLOOKUP(DATE($K$1,$K$2,HJB$4),Table1[],(MATCH(Calendar!$A18,DB!$1:$1,0)),FALSE)&gt;=5,"Good","Bad"),VLOOKUP(DATE($K$1,$K$2,HJB$4),Table1[],(MATCH(Calendar!$A18,DB!$1:$1,0)),FALSE)),"")</f>
        <v/>
      </c>
      <c r="HJC18" s="28" t="str">
        <f>IFERROR(IF(HJL3="No",IF(VLOOKUP(DATE($K$1,$K$2,HJC$4),Table1[],(MATCH(Calendar!$A18,DB!$1:$1,0)),FALSE)&gt;=5,"Good","Bad"),VLOOKUP(DATE($K$1,$K$2,HJC$4),Table1[],(MATCH(Calendar!$A18,DB!$1:$1,0)),FALSE)),"")</f>
        <v/>
      </c>
      <c r="HJD18" s="28" t="str">
        <f>IFERROR(IF(HJM3="No",IF(VLOOKUP(DATE($K$1,$K$2,HJD$4),Table1[],(MATCH(Calendar!$A18,DB!$1:$1,0)),FALSE)&gt;=5,"Good","Bad"),VLOOKUP(DATE($K$1,$K$2,HJD$4),Table1[],(MATCH(Calendar!$A18,DB!$1:$1,0)),FALSE)),"")</f>
        <v/>
      </c>
      <c r="HJE18" s="28" t="str">
        <f>IFERROR(IF(HJN3="No",IF(VLOOKUP(DATE($K$1,$K$2,HJE$4),Table1[],(MATCH(Calendar!$A18,DB!$1:$1,0)),FALSE)&gt;=5,"Good","Bad"),VLOOKUP(DATE($K$1,$K$2,HJE$4),Table1[],(MATCH(Calendar!$A18,DB!$1:$1,0)),FALSE)),"")</f>
        <v/>
      </c>
      <c r="HJF18" s="28" t="str">
        <f>IFERROR(IF(HJO3="No",IF(VLOOKUP(DATE($K$1,$K$2,HJF$4),Table1[],(MATCH(Calendar!$A18,DB!$1:$1,0)),FALSE)&gt;=5,"Good","Bad"),VLOOKUP(DATE($K$1,$K$2,HJF$4),Table1[],(MATCH(Calendar!$A18,DB!$1:$1,0)),FALSE)),"")</f>
        <v/>
      </c>
      <c r="HJG18" s="28" t="str">
        <f>IFERROR(IF(HJP3="No",IF(VLOOKUP(DATE($K$1,$K$2,HJG$4),Table1[],(MATCH(Calendar!$A18,DB!$1:$1,0)),FALSE)&gt;=5,"Good","Bad"),VLOOKUP(DATE($K$1,$K$2,HJG$4),Table1[],(MATCH(Calendar!$A18,DB!$1:$1,0)),FALSE)),"")</f>
        <v/>
      </c>
      <c r="HJH18" s="28" t="str">
        <f>IFERROR(IF(HJQ3="No",IF(VLOOKUP(DATE($K$1,$K$2,HJH$4),Table1[],(MATCH(Calendar!$A18,DB!$1:$1,0)),FALSE)&gt;=5,"Good","Bad"),VLOOKUP(DATE($K$1,$K$2,HJH$4),Table1[],(MATCH(Calendar!$A18,DB!$1:$1,0)),FALSE)),"")</f>
        <v/>
      </c>
      <c r="HJI18" s="28" t="str">
        <f>IFERROR(IF(HJR3="No",IF(VLOOKUP(DATE($K$1,$K$2,HJI$4),Table1[],(MATCH(Calendar!$A18,DB!$1:$1,0)),FALSE)&gt;=5,"Good","Bad"),VLOOKUP(DATE($K$1,$K$2,HJI$4),Table1[],(MATCH(Calendar!$A18,DB!$1:$1,0)),FALSE)),"")</f>
        <v/>
      </c>
      <c r="HJJ18" s="28" t="str">
        <f>IFERROR(IF(HJS3="No",IF(VLOOKUP(DATE($K$1,$K$2,HJJ$4),Table1[],(MATCH(Calendar!$A18,DB!$1:$1,0)),FALSE)&gt;=5,"Good","Bad"),VLOOKUP(DATE($K$1,$K$2,HJJ$4),Table1[],(MATCH(Calendar!$A18,DB!$1:$1,0)),FALSE)),"")</f>
        <v/>
      </c>
      <c r="HJK18" s="28" t="str">
        <f>IFERROR(IF(HJT3="No",IF(VLOOKUP(DATE($K$1,$K$2,HJK$4),Table1[],(MATCH(Calendar!$A18,DB!$1:$1,0)),FALSE)&gt;=5,"Good","Bad"),VLOOKUP(DATE($K$1,$K$2,HJK$4),Table1[],(MATCH(Calendar!$A18,DB!$1:$1,0)),FALSE)),"")</f>
        <v/>
      </c>
      <c r="HJL18" s="28" t="str">
        <f>IFERROR(IF(HJU3="No",IF(VLOOKUP(DATE($K$1,$K$2,HJL$4),Table1[],(MATCH(Calendar!$A18,DB!$1:$1,0)),FALSE)&gt;=5,"Good","Bad"),VLOOKUP(DATE($K$1,$K$2,HJL$4),Table1[],(MATCH(Calendar!$A18,DB!$1:$1,0)),FALSE)),"")</f>
        <v/>
      </c>
      <c r="HJM18" s="28" t="str">
        <f>IFERROR(IF(HJV3="No",IF(VLOOKUP(DATE($K$1,$K$2,HJM$4),Table1[],(MATCH(Calendar!$A18,DB!$1:$1,0)),FALSE)&gt;=5,"Good","Bad"),VLOOKUP(DATE($K$1,$K$2,HJM$4),Table1[],(MATCH(Calendar!$A18,DB!$1:$1,0)),FALSE)),"")</f>
        <v/>
      </c>
      <c r="HJN18" s="28" t="str">
        <f>IFERROR(IF(HJW3="No",IF(VLOOKUP(DATE($K$1,$K$2,HJN$4),Table1[],(MATCH(Calendar!$A18,DB!$1:$1,0)),FALSE)&gt;=5,"Good","Bad"),VLOOKUP(DATE($K$1,$K$2,HJN$4),Table1[],(MATCH(Calendar!$A18,DB!$1:$1,0)),FALSE)),"")</f>
        <v/>
      </c>
      <c r="HJO18" s="28" t="str">
        <f>IFERROR(IF(HJX3="No",IF(VLOOKUP(DATE($K$1,$K$2,HJO$4),Table1[],(MATCH(Calendar!$A18,DB!$1:$1,0)),FALSE)&gt;=5,"Good","Bad"),VLOOKUP(DATE($K$1,$K$2,HJO$4),Table1[],(MATCH(Calendar!$A18,DB!$1:$1,0)),FALSE)),"")</f>
        <v/>
      </c>
      <c r="HJP18" s="28" t="str">
        <f>IFERROR(IF(HJY3="No",IF(VLOOKUP(DATE($K$1,$K$2,HJP$4),Table1[],(MATCH(Calendar!$A18,DB!$1:$1,0)),FALSE)&gt;=5,"Good","Bad"),VLOOKUP(DATE($K$1,$K$2,HJP$4),Table1[],(MATCH(Calendar!$A18,DB!$1:$1,0)),FALSE)),"")</f>
        <v/>
      </c>
      <c r="HJQ18" s="28" t="str">
        <f>IFERROR(IF(HJZ3="No",IF(VLOOKUP(DATE($K$1,$K$2,HJQ$4),Table1[],(MATCH(Calendar!$A18,DB!$1:$1,0)),FALSE)&gt;=5,"Good","Bad"),VLOOKUP(DATE($K$1,$K$2,HJQ$4),Table1[],(MATCH(Calendar!$A18,DB!$1:$1,0)),FALSE)),"")</f>
        <v/>
      </c>
      <c r="HJR18" s="28" t="str">
        <f>IFERROR(IF(HKA3="No",IF(VLOOKUP(DATE($K$1,$K$2,HJR$4),Table1[],(MATCH(Calendar!$A18,DB!$1:$1,0)),FALSE)&gt;=5,"Good","Bad"),VLOOKUP(DATE($K$1,$K$2,HJR$4),Table1[],(MATCH(Calendar!$A18,DB!$1:$1,0)),FALSE)),"")</f>
        <v/>
      </c>
      <c r="HJS18" s="28" t="str">
        <f>IFERROR(IF(HKB3="No",IF(VLOOKUP(DATE($K$1,$K$2,HJS$4),Table1[],(MATCH(Calendar!$A18,DB!$1:$1,0)),FALSE)&gt;=5,"Good","Bad"),VLOOKUP(DATE($K$1,$K$2,HJS$4),Table1[],(MATCH(Calendar!$A18,DB!$1:$1,0)),FALSE)),"")</f>
        <v/>
      </c>
      <c r="HJT18" s="28" t="str">
        <f>IFERROR(IF(HKC3="No",IF(VLOOKUP(DATE($K$1,$K$2,HJT$4),Table1[],(MATCH(Calendar!$A18,DB!$1:$1,0)),FALSE)&gt;=5,"Good","Bad"),VLOOKUP(DATE($K$1,$K$2,HJT$4),Table1[],(MATCH(Calendar!$A18,DB!$1:$1,0)),FALSE)),"")</f>
        <v/>
      </c>
      <c r="HJU18" s="28" t="str">
        <f>IFERROR(IF(HKD3="No",IF(VLOOKUP(DATE($K$1,$K$2,HJU$4),Table1[],(MATCH(Calendar!$A18,DB!$1:$1,0)),FALSE)&gt;=5,"Good","Bad"),VLOOKUP(DATE($K$1,$K$2,HJU$4),Table1[],(MATCH(Calendar!$A18,DB!$1:$1,0)),FALSE)),"")</f>
        <v/>
      </c>
      <c r="HJV18" s="28" t="str">
        <f>IFERROR(IF(HKE3="No",IF(VLOOKUP(DATE($K$1,$K$2,HJV$4),Table1[],(MATCH(Calendar!$A18,DB!$1:$1,0)),FALSE)&gt;=5,"Good","Bad"),VLOOKUP(DATE($K$1,$K$2,HJV$4),Table1[],(MATCH(Calendar!$A18,DB!$1:$1,0)),FALSE)),"")</f>
        <v/>
      </c>
      <c r="HJW18" s="28" t="str">
        <f>IFERROR(IF(HKF3="No",IF(VLOOKUP(DATE($K$1,$K$2,HJW$4),Table1[],(MATCH(Calendar!$A18,DB!$1:$1,0)),FALSE)&gt;=5,"Good","Bad"),VLOOKUP(DATE($K$1,$K$2,HJW$4),Table1[],(MATCH(Calendar!$A18,DB!$1:$1,0)),FALSE)),"")</f>
        <v/>
      </c>
      <c r="HJX18" s="28" t="str">
        <f>IFERROR(IF(HKG3="No",IF(VLOOKUP(DATE($K$1,$K$2,HJX$4),Table1[],(MATCH(Calendar!$A18,DB!$1:$1,0)),FALSE)&gt;=5,"Good","Bad"),VLOOKUP(DATE($K$1,$K$2,HJX$4),Table1[],(MATCH(Calendar!$A18,DB!$1:$1,0)),FALSE)),"")</f>
        <v/>
      </c>
      <c r="HJY18" s="28" t="str">
        <f>IFERROR(IF(HKH3="No",IF(VLOOKUP(DATE($K$1,$K$2,HJY$4),Table1[],(MATCH(Calendar!$A18,DB!$1:$1,0)),FALSE)&gt;=5,"Good","Bad"),VLOOKUP(DATE($K$1,$K$2,HJY$4),Table1[],(MATCH(Calendar!$A18,DB!$1:$1,0)),FALSE)),"")</f>
        <v/>
      </c>
      <c r="HJZ18" s="28" t="str">
        <f>IFERROR(IF(HKI3="No",IF(VLOOKUP(DATE($K$1,$K$2,HJZ$4),Table1[],(MATCH(Calendar!$A18,DB!$1:$1,0)),FALSE)&gt;=5,"Good","Bad"),VLOOKUP(DATE($K$1,$K$2,HJZ$4),Table1[],(MATCH(Calendar!$A18,DB!$1:$1,0)),FALSE)),"")</f>
        <v/>
      </c>
      <c r="HKA18" s="28" t="str">
        <f>IFERROR(IF(HKJ3="No",IF(VLOOKUP(DATE($K$1,$K$2,HKA$4),Table1[],(MATCH(Calendar!$A18,DB!$1:$1,0)),FALSE)&gt;=5,"Good","Bad"),VLOOKUP(DATE($K$1,$K$2,HKA$4),Table1[],(MATCH(Calendar!$A18,DB!$1:$1,0)),FALSE)),"")</f>
        <v/>
      </c>
      <c r="HKB18" s="28" t="str">
        <f>IFERROR(IF(HKK3="No",IF(VLOOKUP(DATE($K$1,$K$2,HKB$4),Table1[],(MATCH(Calendar!$A18,DB!$1:$1,0)),FALSE)&gt;=5,"Good","Bad"),VLOOKUP(DATE($K$1,$K$2,HKB$4),Table1[],(MATCH(Calendar!$A18,DB!$1:$1,0)),FALSE)),"")</f>
        <v/>
      </c>
      <c r="HKC18" s="28" t="str">
        <f>IFERROR(IF(HKL3="No",IF(VLOOKUP(DATE($K$1,$K$2,HKC$4),Table1[],(MATCH(Calendar!$A18,DB!$1:$1,0)),FALSE)&gt;=5,"Good","Bad"),VLOOKUP(DATE($K$1,$K$2,HKC$4),Table1[],(MATCH(Calendar!$A18,DB!$1:$1,0)),FALSE)),"")</f>
        <v/>
      </c>
      <c r="HKD18" s="28" t="str">
        <f>IFERROR(IF(HKM3="No",IF(VLOOKUP(DATE($K$1,$K$2,HKD$4),Table1[],(MATCH(Calendar!$A18,DB!$1:$1,0)),FALSE)&gt;=5,"Good","Bad"),VLOOKUP(DATE($K$1,$K$2,HKD$4),Table1[],(MATCH(Calendar!$A18,DB!$1:$1,0)),FALSE)),"")</f>
        <v/>
      </c>
      <c r="HKE18" s="28" t="str">
        <f>IFERROR(IF(HKN3="No",IF(VLOOKUP(DATE($K$1,$K$2,HKE$4),Table1[],(MATCH(Calendar!$A18,DB!$1:$1,0)),FALSE)&gt;=5,"Good","Bad"),VLOOKUP(DATE($K$1,$K$2,HKE$4),Table1[],(MATCH(Calendar!$A18,DB!$1:$1,0)),FALSE)),"")</f>
        <v/>
      </c>
      <c r="HKF18" s="28" t="str">
        <f>IFERROR(IF(HKO3="No",IF(VLOOKUP(DATE($K$1,$K$2,HKF$4),Table1[],(MATCH(Calendar!$A18,DB!$1:$1,0)),FALSE)&gt;=5,"Good","Bad"),VLOOKUP(DATE($K$1,$K$2,HKF$4),Table1[],(MATCH(Calendar!$A18,DB!$1:$1,0)),FALSE)),"")</f>
        <v/>
      </c>
      <c r="HKG18" s="28" t="str">
        <f>IFERROR(IF(HKP3="No",IF(VLOOKUP(DATE($K$1,$K$2,HKG$4),Table1[],(MATCH(Calendar!$A18,DB!$1:$1,0)),FALSE)&gt;=5,"Good","Bad"),VLOOKUP(DATE($K$1,$K$2,HKG$4),Table1[],(MATCH(Calendar!$A18,DB!$1:$1,0)),FALSE)),"")</f>
        <v/>
      </c>
      <c r="HKH18" s="28" t="str">
        <f>IFERROR(IF(HKQ3="No",IF(VLOOKUP(DATE($K$1,$K$2,HKH$4),Table1[],(MATCH(Calendar!$A18,DB!$1:$1,0)),FALSE)&gt;=5,"Good","Bad"),VLOOKUP(DATE($K$1,$K$2,HKH$4),Table1[],(MATCH(Calendar!$A18,DB!$1:$1,0)),FALSE)),"")</f>
        <v/>
      </c>
      <c r="HKI18" s="28" t="str">
        <f>IFERROR(IF(HKR3="No",IF(VLOOKUP(DATE($K$1,$K$2,HKI$4),Table1[],(MATCH(Calendar!$A18,DB!$1:$1,0)),FALSE)&gt;=5,"Good","Bad"),VLOOKUP(DATE($K$1,$K$2,HKI$4),Table1[],(MATCH(Calendar!$A18,DB!$1:$1,0)),FALSE)),"")</f>
        <v/>
      </c>
      <c r="HKJ18" s="28" t="str">
        <f>IFERROR(IF(HKS3="No",IF(VLOOKUP(DATE($K$1,$K$2,HKJ$4),Table1[],(MATCH(Calendar!$A18,DB!$1:$1,0)),FALSE)&gt;=5,"Good","Bad"),VLOOKUP(DATE($K$1,$K$2,HKJ$4),Table1[],(MATCH(Calendar!$A18,DB!$1:$1,0)),FALSE)),"")</f>
        <v/>
      </c>
      <c r="HKK18" s="28" t="str">
        <f>IFERROR(IF(HKT3="No",IF(VLOOKUP(DATE($K$1,$K$2,HKK$4),Table1[],(MATCH(Calendar!$A18,DB!$1:$1,0)),FALSE)&gt;=5,"Good","Bad"),VLOOKUP(DATE($K$1,$K$2,HKK$4),Table1[],(MATCH(Calendar!$A18,DB!$1:$1,0)),FALSE)),"")</f>
        <v/>
      </c>
      <c r="HKL18" s="28" t="str">
        <f>IFERROR(IF(HKU3="No",IF(VLOOKUP(DATE($K$1,$K$2,HKL$4),Table1[],(MATCH(Calendar!$A18,DB!$1:$1,0)),FALSE)&gt;=5,"Good","Bad"),VLOOKUP(DATE($K$1,$K$2,HKL$4),Table1[],(MATCH(Calendar!$A18,DB!$1:$1,0)),FALSE)),"")</f>
        <v/>
      </c>
      <c r="HKM18" s="28" t="str">
        <f>IFERROR(IF(HKV3="No",IF(VLOOKUP(DATE($K$1,$K$2,HKM$4),Table1[],(MATCH(Calendar!$A18,DB!$1:$1,0)),FALSE)&gt;=5,"Good","Bad"),VLOOKUP(DATE($K$1,$K$2,HKM$4),Table1[],(MATCH(Calendar!$A18,DB!$1:$1,0)),FALSE)),"")</f>
        <v/>
      </c>
      <c r="HKN18" s="28" t="str">
        <f>IFERROR(IF(HKW3="No",IF(VLOOKUP(DATE($K$1,$K$2,HKN$4),Table1[],(MATCH(Calendar!$A18,DB!$1:$1,0)),FALSE)&gt;=5,"Good","Bad"),VLOOKUP(DATE($K$1,$K$2,HKN$4),Table1[],(MATCH(Calendar!$A18,DB!$1:$1,0)),FALSE)),"")</f>
        <v/>
      </c>
      <c r="HKO18" s="28" t="str">
        <f>IFERROR(IF(HKX3="No",IF(VLOOKUP(DATE($K$1,$K$2,HKO$4),Table1[],(MATCH(Calendar!$A18,DB!$1:$1,0)),FALSE)&gt;=5,"Good","Bad"),VLOOKUP(DATE($K$1,$K$2,HKO$4),Table1[],(MATCH(Calendar!$A18,DB!$1:$1,0)),FALSE)),"")</f>
        <v/>
      </c>
      <c r="HKP18" s="28" t="str">
        <f>IFERROR(IF(HKY3="No",IF(VLOOKUP(DATE($K$1,$K$2,HKP$4),Table1[],(MATCH(Calendar!$A18,DB!$1:$1,0)),FALSE)&gt;=5,"Good","Bad"),VLOOKUP(DATE($K$1,$K$2,HKP$4),Table1[],(MATCH(Calendar!$A18,DB!$1:$1,0)),FALSE)),"")</f>
        <v/>
      </c>
      <c r="HKQ18" s="28" t="str">
        <f>IFERROR(IF(HKZ3="No",IF(VLOOKUP(DATE($K$1,$K$2,HKQ$4),Table1[],(MATCH(Calendar!$A18,DB!$1:$1,0)),FALSE)&gt;=5,"Good","Bad"),VLOOKUP(DATE($K$1,$K$2,HKQ$4),Table1[],(MATCH(Calendar!$A18,DB!$1:$1,0)),FALSE)),"")</f>
        <v/>
      </c>
      <c r="HKR18" s="28" t="str">
        <f>IFERROR(IF(HLA3="No",IF(VLOOKUP(DATE($K$1,$K$2,HKR$4),Table1[],(MATCH(Calendar!$A18,DB!$1:$1,0)),FALSE)&gt;=5,"Good","Bad"),VLOOKUP(DATE($K$1,$K$2,HKR$4),Table1[],(MATCH(Calendar!$A18,DB!$1:$1,0)),FALSE)),"")</f>
        <v/>
      </c>
      <c r="HKS18" s="28" t="str">
        <f>IFERROR(IF(HLB3="No",IF(VLOOKUP(DATE($K$1,$K$2,HKS$4),Table1[],(MATCH(Calendar!$A18,DB!$1:$1,0)),FALSE)&gt;=5,"Good","Bad"),VLOOKUP(DATE($K$1,$K$2,HKS$4),Table1[],(MATCH(Calendar!$A18,DB!$1:$1,0)),FALSE)),"")</f>
        <v/>
      </c>
      <c r="HKT18" s="28" t="str">
        <f>IFERROR(IF(HLC3="No",IF(VLOOKUP(DATE($K$1,$K$2,HKT$4),Table1[],(MATCH(Calendar!$A18,DB!$1:$1,0)),FALSE)&gt;=5,"Good","Bad"),VLOOKUP(DATE($K$1,$K$2,HKT$4),Table1[],(MATCH(Calendar!$A18,DB!$1:$1,0)),FALSE)),"")</f>
        <v/>
      </c>
      <c r="HKU18" s="28" t="str">
        <f>IFERROR(IF(HLD3="No",IF(VLOOKUP(DATE($K$1,$K$2,HKU$4),Table1[],(MATCH(Calendar!$A18,DB!$1:$1,0)),FALSE)&gt;=5,"Good","Bad"),VLOOKUP(DATE($K$1,$K$2,HKU$4),Table1[],(MATCH(Calendar!$A18,DB!$1:$1,0)),FALSE)),"")</f>
        <v/>
      </c>
      <c r="HKV18" s="28" t="str">
        <f>IFERROR(IF(HLE3="No",IF(VLOOKUP(DATE($K$1,$K$2,HKV$4),Table1[],(MATCH(Calendar!$A18,DB!$1:$1,0)),FALSE)&gt;=5,"Good","Bad"),VLOOKUP(DATE($K$1,$K$2,HKV$4),Table1[],(MATCH(Calendar!$A18,DB!$1:$1,0)),FALSE)),"")</f>
        <v/>
      </c>
      <c r="HKW18" s="28" t="str">
        <f>IFERROR(IF(HLF3="No",IF(VLOOKUP(DATE($K$1,$K$2,HKW$4),Table1[],(MATCH(Calendar!$A18,DB!$1:$1,0)),FALSE)&gt;=5,"Good","Bad"),VLOOKUP(DATE($K$1,$K$2,HKW$4),Table1[],(MATCH(Calendar!$A18,DB!$1:$1,0)),FALSE)),"")</f>
        <v/>
      </c>
      <c r="HKX18" s="28" t="str">
        <f>IFERROR(IF(HLG3="No",IF(VLOOKUP(DATE($K$1,$K$2,HKX$4),Table1[],(MATCH(Calendar!$A18,DB!$1:$1,0)),FALSE)&gt;=5,"Good","Bad"),VLOOKUP(DATE($K$1,$K$2,HKX$4),Table1[],(MATCH(Calendar!$A18,DB!$1:$1,0)),FALSE)),"")</f>
        <v/>
      </c>
      <c r="HKY18" s="28" t="str">
        <f>IFERROR(IF(HLH3="No",IF(VLOOKUP(DATE($K$1,$K$2,HKY$4),Table1[],(MATCH(Calendar!$A18,DB!$1:$1,0)),FALSE)&gt;=5,"Good","Bad"),VLOOKUP(DATE($K$1,$K$2,HKY$4),Table1[],(MATCH(Calendar!$A18,DB!$1:$1,0)),FALSE)),"")</f>
        <v/>
      </c>
      <c r="HKZ18" s="28" t="str">
        <f>IFERROR(IF(HLI3="No",IF(VLOOKUP(DATE($K$1,$K$2,HKZ$4),Table1[],(MATCH(Calendar!$A18,DB!$1:$1,0)),FALSE)&gt;=5,"Good","Bad"),VLOOKUP(DATE($K$1,$K$2,HKZ$4),Table1[],(MATCH(Calendar!$A18,DB!$1:$1,0)),FALSE)),"")</f>
        <v/>
      </c>
      <c r="HLA18" s="28" t="str">
        <f>IFERROR(IF(HLJ3="No",IF(VLOOKUP(DATE($K$1,$K$2,HLA$4),Table1[],(MATCH(Calendar!$A18,DB!$1:$1,0)),FALSE)&gt;=5,"Good","Bad"),VLOOKUP(DATE($K$1,$K$2,HLA$4),Table1[],(MATCH(Calendar!$A18,DB!$1:$1,0)),FALSE)),"")</f>
        <v/>
      </c>
      <c r="HLB18" s="28" t="str">
        <f>IFERROR(IF(HLK3="No",IF(VLOOKUP(DATE($K$1,$K$2,HLB$4),Table1[],(MATCH(Calendar!$A18,DB!$1:$1,0)),FALSE)&gt;=5,"Good","Bad"),VLOOKUP(DATE($K$1,$K$2,HLB$4),Table1[],(MATCH(Calendar!$A18,DB!$1:$1,0)),FALSE)),"")</f>
        <v/>
      </c>
      <c r="HLC18" s="28" t="str">
        <f>IFERROR(IF(HLL3="No",IF(VLOOKUP(DATE($K$1,$K$2,HLC$4),Table1[],(MATCH(Calendar!$A18,DB!$1:$1,0)),FALSE)&gt;=5,"Good","Bad"),VLOOKUP(DATE($K$1,$K$2,HLC$4),Table1[],(MATCH(Calendar!$A18,DB!$1:$1,0)),FALSE)),"")</f>
        <v/>
      </c>
      <c r="HLD18" s="28" t="str">
        <f>IFERROR(IF(HLM3="No",IF(VLOOKUP(DATE($K$1,$K$2,HLD$4),Table1[],(MATCH(Calendar!$A18,DB!$1:$1,0)),FALSE)&gt;=5,"Good","Bad"),VLOOKUP(DATE($K$1,$K$2,HLD$4),Table1[],(MATCH(Calendar!$A18,DB!$1:$1,0)),FALSE)),"")</f>
        <v/>
      </c>
      <c r="HLE18" s="28" t="str">
        <f>IFERROR(IF(HLN3="No",IF(VLOOKUP(DATE($K$1,$K$2,HLE$4),Table1[],(MATCH(Calendar!$A18,DB!$1:$1,0)),FALSE)&gt;=5,"Good","Bad"),VLOOKUP(DATE($K$1,$K$2,HLE$4),Table1[],(MATCH(Calendar!$A18,DB!$1:$1,0)),FALSE)),"")</f>
        <v/>
      </c>
      <c r="HLF18" s="28" t="str">
        <f>IFERROR(IF(HLO3="No",IF(VLOOKUP(DATE($K$1,$K$2,HLF$4),Table1[],(MATCH(Calendar!$A18,DB!$1:$1,0)),FALSE)&gt;=5,"Good","Bad"),VLOOKUP(DATE($K$1,$K$2,HLF$4),Table1[],(MATCH(Calendar!$A18,DB!$1:$1,0)),FALSE)),"")</f>
        <v/>
      </c>
      <c r="HLG18" s="28" t="str">
        <f>IFERROR(IF(HLP3="No",IF(VLOOKUP(DATE($K$1,$K$2,HLG$4),Table1[],(MATCH(Calendar!$A18,DB!$1:$1,0)),FALSE)&gt;=5,"Good","Bad"),VLOOKUP(DATE($K$1,$K$2,HLG$4),Table1[],(MATCH(Calendar!$A18,DB!$1:$1,0)),FALSE)),"")</f>
        <v/>
      </c>
      <c r="HLH18" s="28" t="str">
        <f>IFERROR(IF(HLQ3="No",IF(VLOOKUP(DATE($K$1,$K$2,HLH$4),Table1[],(MATCH(Calendar!$A18,DB!$1:$1,0)),FALSE)&gt;=5,"Good","Bad"),VLOOKUP(DATE($K$1,$K$2,HLH$4),Table1[],(MATCH(Calendar!$A18,DB!$1:$1,0)),FALSE)),"")</f>
        <v/>
      </c>
      <c r="HLI18" s="28" t="str">
        <f>IFERROR(IF(HLR3="No",IF(VLOOKUP(DATE($K$1,$K$2,HLI$4),Table1[],(MATCH(Calendar!$A18,DB!$1:$1,0)),FALSE)&gt;=5,"Good","Bad"),VLOOKUP(DATE($K$1,$K$2,HLI$4),Table1[],(MATCH(Calendar!$A18,DB!$1:$1,0)),FALSE)),"")</f>
        <v/>
      </c>
      <c r="HLJ18" s="28" t="str">
        <f>IFERROR(IF(HLS3="No",IF(VLOOKUP(DATE($K$1,$K$2,HLJ$4),Table1[],(MATCH(Calendar!$A18,DB!$1:$1,0)),FALSE)&gt;=5,"Good","Bad"),VLOOKUP(DATE($K$1,$K$2,HLJ$4),Table1[],(MATCH(Calendar!$A18,DB!$1:$1,0)),FALSE)),"")</f>
        <v/>
      </c>
      <c r="HLK18" s="28" t="str">
        <f>IFERROR(IF(HLT3="No",IF(VLOOKUP(DATE($K$1,$K$2,HLK$4),Table1[],(MATCH(Calendar!$A18,DB!$1:$1,0)),FALSE)&gt;=5,"Good","Bad"),VLOOKUP(DATE($K$1,$K$2,HLK$4),Table1[],(MATCH(Calendar!$A18,DB!$1:$1,0)),FALSE)),"")</f>
        <v/>
      </c>
      <c r="HLL18" s="28" t="str">
        <f>IFERROR(IF(HLU3="No",IF(VLOOKUP(DATE($K$1,$K$2,HLL$4),Table1[],(MATCH(Calendar!$A18,DB!$1:$1,0)),FALSE)&gt;=5,"Good","Bad"),VLOOKUP(DATE($K$1,$K$2,HLL$4),Table1[],(MATCH(Calendar!$A18,DB!$1:$1,0)),FALSE)),"")</f>
        <v/>
      </c>
      <c r="HLM18" s="28" t="str">
        <f>IFERROR(IF(HLV3="No",IF(VLOOKUP(DATE($K$1,$K$2,HLM$4),Table1[],(MATCH(Calendar!$A18,DB!$1:$1,0)),FALSE)&gt;=5,"Good","Bad"),VLOOKUP(DATE($K$1,$K$2,HLM$4),Table1[],(MATCH(Calendar!$A18,DB!$1:$1,0)),FALSE)),"")</f>
        <v/>
      </c>
      <c r="HLN18" s="28" t="str">
        <f>IFERROR(IF(HLW3="No",IF(VLOOKUP(DATE($K$1,$K$2,HLN$4),Table1[],(MATCH(Calendar!$A18,DB!$1:$1,0)),FALSE)&gt;=5,"Good","Bad"),VLOOKUP(DATE($K$1,$K$2,HLN$4),Table1[],(MATCH(Calendar!$A18,DB!$1:$1,0)),FALSE)),"")</f>
        <v/>
      </c>
      <c r="HLO18" s="28" t="str">
        <f>IFERROR(IF(HLX3="No",IF(VLOOKUP(DATE($K$1,$K$2,HLO$4),Table1[],(MATCH(Calendar!$A18,DB!$1:$1,0)),FALSE)&gt;=5,"Good","Bad"),VLOOKUP(DATE($K$1,$K$2,HLO$4),Table1[],(MATCH(Calendar!$A18,DB!$1:$1,0)),FALSE)),"")</f>
        <v/>
      </c>
      <c r="HLP18" s="28" t="str">
        <f>IFERROR(IF(HLY3="No",IF(VLOOKUP(DATE($K$1,$K$2,HLP$4),Table1[],(MATCH(Calendar!$A18,DB!$1:$1,0)),FALSE)&gt;=5,"Good","Bad"),VLOOKUP(DATE($K$1,$K$2,HLP$4),Table1[],(MATCH(Calendar!$A18,DB!$1:$1,0)),FALSE)),"")</f>
        <v/>
      </c>
      <c r="HLQ18" s="28" t="str">
        <f>IFERROR(IF(HLZ3="No",IF(VLOOKUP(DATE($K$1,$K$2,HLQ$4),Table1[],(MATCH(Calendar!$A18,DB!$1:$1,0)),FALSE)&gt;=5,"Good","Bad"),VLOOKUP(DATE($K$1,$K$2,HLQ$4),Table1[],(MATCH(Calendar!$A18,DB!$1:$1,0)),FALSE)),"")</f>
        <v/>
      </c>
      <c r="HLR18" s="28" t="str">
        <f>IFERROR(IF(HMA3="No",IF(VLOOKUP(DATE($K$1,$K$2,HLR$4),Table1[],(MATCH(Calendar!$A18,DB!$1:$1,0)),FALSE)&gt;=5,"Good","Bad"),VLOOKUP(DATE($K$1,$K$2,HLR$4),Table1[],(MATCH(Calendar!$A18,DB!$1:$1,0)),FALSE)),"")</f>
        <v/>
      </c>
      <c r="HLS18" s="28" t="str">
        <f>IFERROR(IF(HMB3="No",IF(VLOOKUP(DATE($K$1,$K$2,HLS$4),Table1[],(MATCH(Calendar!$A18,DB!$1:$1,0)),FALSE)&gt;=5,"Good","Bad"),VLOOKUP(DATE($K$1,$K$2,HLS$4),Table1[],(MATCH(Calendar!$A18,DB!$1:$1,0)),FALSE)),"")</f>
        <v/>
      </c>
      <c r="HLT18" s="28" t="str">
        <f>IFERROR(IF(HMC3="No",IF(VLOOKUP(DATE($K$1,$K$2,HLT$4),Table1[],(MATCH(Calendar!$A18,DB!$1:$1,0)),FALSE)&gt;=5,"Good","Bad"),VLOOKUP(DATE($K$1,$K$2,HLT$4),Table1[],(MATCH(Calendar!$A18,DB!$1:$1,0)),FALSE)),"")</f>
        <v/>
      </c>
      <c r="HLU18" s="28" t="str">
        <f>IFERROR(IF(HMD3="No",IF(VLOOKUP(DATE($K$1,$K$2,HLU$4),Table1[],(MATCH(Calendar!$A18,DB!$1:$1,0)),FALSE)&gt;=5,"Good","Bad"),VLOOKUP(DATE($K$1,$K$2,HLU$4),Table1[],(MATCH(Calendar!$A18,DB!$1:$1,0)),FALSE)),"")</f>
        <v/>
      </c>
      <c r="HLV18" s="28" t="str">
        <f>IFERROR(IF(HME3="No",IF(VLOOKUP(DATE($K$1,$K$2,HLV$4),Table1[],(MATCH(Calendar!$A18,DB!$1:$1,0)),FALSE)&gt;=5,"Good","Bad"),VLOOKUP(DATE($K$1,$K$2,HLV$4),Table1[],(MATCH(Calendar!$A18,DB!$1:$1,0)),FALSE)),"")</f>
        <v/>
      </c>
      <c r="HLW18" s="28" t="str">
        <f>IFERROR(IF(HMF3="No",IF(VLOOKUP(DATE($K$1,$K$2,HLW$4),Table1[],(MATCH(Calendar!$A18,DB!$1:$1,0)),FALSE)&gt;=5,"Good","Bad"),VLOOKUP(DATE($K$1,$K$2,HLW$4),Table1[],(MATCH(Calendar!$A18,DB!$1:$1,0)),FALSE)),"")</f>
        <v/>
      </c>
      <c r="HLX18" s="28" t="str">
        <f>IFERROR(IF(HMG3="No",IF(VLOOKUP(DATE($K$1,$K$2,HLX$4),Table1[],(MATCH(Calendar!$A18,DB!$1:$1,0)),FALSE)&gt;=5,"Good","Bad"),VLOOKUP(DATE($K$1,$K$2,HLX$4),Table1[],(MATCH(Calendar!$A18,DB!$1:$1,0)),FALSE)),"")</f>
        <v/>
      </c>
      <c r="HLY18" s="28" t="str">
        <f>IFERROR(IF(HMH3="No",IF(VLOOKUP(DATE($K$1,$K$2,HLY$4),Table1[],(MATCH(Calendar!$A18,DB!$1:$1,0)),FALSE)&gt;=5,"Good","Bad"),VLOOKUP(DATE($K$1,$K$2,HLY$4),Table1[],(MATCH(Calendar!$A18,DB!$1:$1,0)),FALSE)),"")</f>
        <v/>
      </c>
      <c r="HLZ18" s="28" t="str">
        <f>IFERROR(IF(HMI3="No",IF(VLOOKUP(DATE($K$1,$K$2,HLZ$4),Table1[],(MATCH(Calendar!$A18,DB!$1:$1,0)),FALSE)&gt;=5,"Good","Bad"),VLOOKUP(DATE($K$1,$K$2,HLZ$4),Table1[],(MATCH(Calendar!$A18,DB!$1:$1,0)),FALSE)),"")</f>
        <v/>
      </c>
      <c r="HMA18" s="28" t="str">
        <f>IFERROR(IF(HMJ3="No",IF(VLOOKUP(DATE($K$1,$K$2,HMA$4),Table1[],(MATCH(Calendar!$A18,DB!$1:$1,0)),FALSE)&gt;=5,"Good","Bad"),VLOOKUP(DATE($K$1,$K$2,HMA$4),Table1[],(MATCH(Calendar!$A18,DB!$1:$1,0)),FALSE)),"")</f>
        <v/>
      </c>
      <c r="HMB18" s="28" t="str">
        <f>IFERROR(IF(HMK3="No",IF(VLOOKUP(DATE($K$1,$K$2,HMB$4),Table1[],(MATCH(Calendar!$A18,DB!$1:$1,0)),FALSE)&gt;=5,"Good","Bad"),VLOOKUP(DATE($K$1,$K$2,HMB$4),Table1[],(MATCH(Calendar!$A18,DB!$1:$1,0)),FALSE)),"")</f>
        <v/>
      </c>
      <c r="HMC18" s="28" t="str">
        <f>IFERROR(IF(HML3="No",IF(VLOOKUP(DATE($K$1,$K$2,HMC$4),Table1[],(MATCH(Calendar!$A18,DB!$1:$1,0)),FALSE)&gt;=5,"Good","Bad"),VLOOKUP(DATE($K$1,$K$2,HMC$4),Table1[],(MATCH(Calendar!$A18,DB!$1:$1,0)),FALSE)),"")</f>
        <v/>
      </c>
      <c r="HMD18" s="28" t="str">
        <f>IFERROR(IF(HMM3="No",IF(VLOOKUP(DATE($K$1,$K$2,HMD$4),Table1[],(MATCH(Calendar!$A18,DB!$1:$1,0)),FALSE)&gt;=5,"Good","Bad"),VLOOKUP(DATE($K$1,$K$2,HMD$4),Table1[],(MATCH(Calendar!$A18,DB!$1:$1,0)),FALSE)),"")</f>
        <v/>
      </c>
      <c r="HME18" s="28" t="str">
        <f>IFERROR(IF(HMN3="No",IF(VLOOKUP(DATE($K$1,$K$2,HME$4),Table1[],(MATCH(Calendar!$A18,DB!$1:$1,0)),FALSE)&gt;=5,"Good","Bad"),VLOOKUP(DATE($K$1,$K$2,HME$4),Table1[],(MATCH(Calendar!$A18,DB!$1:$1,0)),FALSE)),"")</f>
        <v/>
      </c>
      <c r="HMF18" s="28" t="str">
        <f>IFERROR(IF(HMO3="No",IF(VLOOKUP(DATE($K$1,$K$2,HMF$4),Table1[],(MATCH(Calendar!$A18,DB!$1:$1,0)),FALSE)&gt;=5,"Good","Bad"),VLOOKUP(DATE($K$1,$K$2,HMF$4),Table1[],(MATCH(Calendar!$A18,DB!$1:$1,0)),FALSE)),"")</f>
        <v/>
      </c>
      <c r="HMG18" s="28" t="str">
        <f>IFERROR(IF(HMP3="No",IF(VLOOKUP(DATE($K$1,$K$2,HMG$4),Table1[],(MATCH(Calendar!$A18,DB!$1:$1,0)),FALSE)&gt;=5,"Good","Bad"),VLOOKUP(DATE($K$1,$K$2,HMG$4),Table1[],(MATCH(Calendar!$A18,DB!$1:$1,0)),FALSE)),"")</f>
        <v/>
      </c>
      <c r="HMH18" s="28" t="str">
        <f>IFERROR(IF(HMQ3="No",IF(VLOOKUP(DATE($K$1,$K$2,HMH$4),Table1[],(MATCH(Calendar!$A18,DB!$1:$1,0)),FALSE)&gt;=5,"Good","Bad"),VLOOKUP(DATE($K$1,$K$2,HMH$4),Table1[],(MATCH(Calendar!$A18,DB!$1:$1,0)),FALSE)),"")</f>
        <v/>
      </c>
      <c r="HMI18" s="28" t="str">
        <f>IFERROR(IF(HMR3="No",IF(VLOOKUP(DATE($K$1,$K$2,HMI$4),Table1[],(MATCH(Calendar!$A18,DB!$1:$1,0)),FALSE)&gt;=5,"Good","Bad"),VLOOKUP(DATE($K$1,$K$2,HMI$4),Table1[],(MATCH(Calendar!$A18,DB!$1:$1,0)),FALSE)),"")</f>
        <v/>
      </c>
      <c r="HMJ18" s="28" t="str">
        <f>IFERROR(IF(HMS3="No",IF(VLOOKUP(DATE($K$1,$K$2,HMJ$4),Table1[],(MATCH(Calendar!$A18,DB!$1:$1,0)),FALSE)&gt;=5,"Good","Bad"),VLOOKUP(DATE($K$1,$K$2,HMJ$4),Table1[],(MATCH(Calendar!$A18,DB!$1:$1,0)),FALSE)),"")</f>
        <v/>
      </c>
      <c r="HMK18" s="28" t="str">
        <f>IFERROR(IF(HMT3="No",IF(VLOOKUP(DATE($K$1,$K$2,HMK$4),Table1[],(MATCH(Calendar!$A18,DB!$1:$1,0)),FALSE)&gt;=5,"Good","Bad"),VLOOKUP(DATE($K$1,$K$2,HMK$4),Table1[],(MATCH(Calendar!$A18,DB!$1:$1,0)),FALSE)),"")</f>
        <v/>
      </c>
      <c r="HML18" s="28" t="str">
        <f>IFERROR(IF(HMU3="No",IF(VLOOKUP(DATE($K$1,$K$2,HML$4),Table1[],(MATCH(Calendar!$A18,DB!$1:$1,0)),FALSE)&gt;=5,"Good","Bad"),VLOOKUP(DATE($K$1,$K$2,HML$4),Table1[],(MATCH(Calendar!$A18,DB!$1:$1,0)),FALSE)),"")</f>
        <v/>
      </c>
      <c r="HMM18" s="28" t="str">
        <f>IFERROR(IF(HMV3="No",IF(VLOOKUP(DATE($K$1,$K$2,HMM$4),Table1[],(MATCH(Calendar!$A18,DB!$1:$1,0)),FALSE)&gt;=5,"Good","Bad"),VLOOKUP(DATE($K$1,$K$2,HMM$4),Table1[],(MATCH(Calendar!$A18,DB!$1:$1,0)),FALSE)),"")</f>
        <v/>
      </c>
      <c r="HMN18" s="28" t="str">
        <f>IFERROR(IF(HMW3="No",IF(VLOOKUP(DATE($K$1,$K$2,HMN$4),Table1[],(MATCH(Calendar!$A18,DB!$1:$1,0)),FALSE)&gt;=5,"Good","Bad"),VLOOKUP(DATE($K$1,$K$2,HMN$4),Table1[],(MATCH(Calendar!$A18,DB!$1:$1,0)),FALSE)),"")</f>
        <v/>
      </c>
      <c r="HMO18" s="28" t="str">
        <f>IFERROR(IF(HMX3="No",IF(VLOOKUP(DATE($K$1,$K$2,HMO$4),Table1[],(MATCH(Calendar!$A18,DB!$1:$1,0)),FALSE)&gt;=5,"Good","Bad"),VLOOKUP(DATE($K$1,$K$2,HMO$4),Table1[],(MATCH(Calendar!$A18,DB!$1:$1,0)),FALSE)),"")</f>
        <v/>
      </c>
      <c r="HMP18" s="28" t="str">
        <f>IFERROR(IF(HMY3="No",IF(VLOOKUP(DATE($K$1,$K$2,HMP$4),Table1[],(MATCH(Calendar!$A18,DB!$1:$1,0)),FALSE)&gt;=5,"Good","Bad"),VLOOKUP(DATE($K$1,$K$2,HMP$4),Table1[],(MATCH(Calendar!$A18,DB!$1:$1,0)),FALSE)),"")</f>
        <v/>
      </c>
      <c r="HMQ18" s="28" t="str">
        <f>IFERROR(IF(HMZ3="No",IF(VLOOKUP(DATE($K$1,$K$2,HMQ$4),Table1[],(MATCH(Calendar!$A18,DB!$1:$1,0)),FALSE)&gt;=5,"Good","Bad"),VLOOKUP(DATE($K$1,$K$2,HMQ$4),Table1[],(MATCH(Calendar!$A18,DB!$1:$1,0)),FALSE)),"")</f>
        <v/>
      </c>
      <c r="HMR18" s="28" t="str">
        <f>IFERROR(IF(HNA3="No",IF(VLOOKUP(DATE($K$1,$K$2,HMR$4),Table1[],(MATCH(Calendar!$A18,DB!$1:$1,0)),FALSE)&gt;=5,"Good","Bad"),VLOOKUP(DATE($K$1,$K$2,HMR$4),Table1[],(MATCH(Calendar!$A18,DB!$1:$1,0)),FALSE)),"")</f>
        <v/>
      </c>
      <c r="HMS18" s="28" t="str">
        <f>IFERROR(IF(HNB3="No",IF(VLOOKUP(DATE($K$1,$K$2,HMS$4),Table1[],(MATCH(Calendar!$A18,DB!$1:$1,0)),FALSE)&gt;=5,"Good","Bad"),VLOOKUP(DATE($K$1,$K$2,HMS$4),Table1[],(MATCH(Calendar!$A18,DB!$1:$1,0)),FALSE)),"")</f>
        <v/>
      </c>
      <c r="HMT18" s="28" t="str">
        <f>IFERROR(IF(HNC3="No",IF(VLOOKUP(DATE($K$1,$K$2,HMT$4),Table1[],(MATCH(Calendar!$A18,DB!$1:$1,0)),FALSE)&gt;=5,"Good","Bad"),VLOOKUP(DATE($K$1,$K$2,HMT$4),Table1[],(MATCH(Calendar!$A18,DB!$1:$1,0)),FALSE)),"")</f>
        <v/>
      </c>
      <c r="HMU18" s="28" t="str">
        <f>IFERROR(IF(HND3="No",IF(VLOOKUP(DATE($K$1,$K$2,HMU$4),Table1[],(MATCH(Calendar!$A18,DB!$1:$1,0)),FALSE)&gt;=5,"Good","Bad"),VLOOKUP(DATE($K$1,$K$2,HMU$4),Table1[],(MATCH(Calendar!$A18,DB!$1:$1,0)),FALSE)),"")</f>
        <v/>
      </c>
      <c r="HMV18" s="28" t="str">
        <f>IFERROR(IF(HNE3="No",IF(VLOOKUP(DATE($K$1,$K$2,HMV$4),Table1[],(MATCH(Calendar!$A18,DB!$1:$1,0)),FALSE)&gt;=5,"Good","Bad"),VLOOKUP(DATE($K$1,$K$2,HMV$4),Table1[],(MATCH(Calendar!$A18,DB!$1:$1,0)),FALSE)),"")</f>
        <v/>
      </c>
      <c r="HMW18" s="28" t="str">
        <f>IFERROR(IF(HNF3="No",IF(VLOOKUP(DATE($K$1,$K$2,HMW$4),Table1[],(MATCH(Calendar!$A18,DB!$1:$1,0)),FALSE)&gt;=5,"Good","Bad"),VLOOKUP(DATE($K$1,$K$2,HMW$4),Table1[],(MATCH(Calendar!$A18,DB!$1:$1,0)),FALSE)),"")</f>
        <v/>
      </c>
      <c r="HMX18" s="28" t="str">
        <f>IFERROR(IF(HNG3="No",IF(VLOOKUP(DATE($K$1,$K$2,HMX$4),Table1[],(MATCH(Calendar!$A18,DB!$1:$1,0)),FALSE)&gt;=5,"Good","Bad"),VLOOKUP(DATE($K$1,$K$2,HMX$4),Table1[],(MATCH(Calendar!$A18,DB!$1:$1,0)),FALSE)),"")</f>
        <v/>
      </c>
      <c r="HMY18" s="28" t="str">
        <f>IFERROR(IF(HNH3="No",IF(VLOOKUP(DATE($K$1,$K$2,HMY$4),Table1[],(MATCH(Calendar!$A18,DB!$1:$1,0)),FALSE)&gt;=5,"Good","Bad"),VLOOKUP(DATE($K$1,$K$2,HMY$4),Table1[],(MATCH(Calendar!$A18,DB!$1:$1,0)),FALSE)),"")</f>
        <v/>
      </c>
      <c r="HMZ18" s="28" t="str">
        <f>IFERROR(IF(HNI3="No",IF(VLOOKUP(DATE($K$1,$K$2,HMZ$4),Table1[],(MATCH(Calendar!$A18,DB!$1:$1,0)),FALSE)&gt;=5,"Good","Bad"),VLOOKUP(DATE($K$1,$K$2,HMZ$4),Table1[],(MATCH(Calendar!$A18,DB!$1:$1,0)),FALSE)),"")</f>
        <v/>
      </c>
      <c r="HNA18" s="28" t="str">
        <f>IFERROR(IF(HNJ3="No",IF(VLOOKUP(DATE($K$1,$K$2,HNA$4),Table1[],(MATCH(Calendar!$A18,DB!$1:$1,0)),FALSE)&gt;=5,"Good","Bad"),VLOOKUP(DATE($K$1,$K$2,HNA$4),Table1[],(MATCH(Calendar!$A18,DB!$1:$1,0)),FALSE)),"")</f>
        <v/>
      </c>
      <c r="HNB18" s="28" t="str">
        <f>IFERROR(IF(HNK3="No",IF(VLOOKUP(DATE($K$1,$K$2,HNB$4),Table1[],(MATCH(Calendar!$A18,DB!$1:$1,0)),FALSE)&gt;=5,"Good","Bad"),VLOOKUP(DATE($K$1,$K$2,HNB$4),Table1[],(MATCH(Calendar!$A18,DB!$1:$1,0)),FALSE)),"")</f>
        <v/>
      </c>
      <c r="HNC18" s="28" t="str">
        <f>IFERROR(IF(HNL3="No",IF(VLOOKUP(DATE($K$1,$K$2,HNC$4),Table1[],(MATCH(Calendar!$A18,DB!$1:$1,0)),FALSE)&gt;=5,"Good","Bad"),VLOOKUP(DATE($K$1,$K$2,HNC$4),Table1[],(MATCH(Calendar!$A18,DB!$1:$1,0)),FALSE)),"")</f>
        <v/>
      </c>
      <c r="HND18" s="28" t="str">
        <f>IFERROR(IF(HNM3="No",IF(VLOOKUP(DATE($K$1,$K$2,HND$4),Table1[],(MATCH(Calendar!$A18,DB!$1:$1,0)),FALSE)&gt;=5,"Good","Bad"),VLOOKUP(DATE($K$1,$K$2,HND$4),Table1[],(MATCH(Calendar!$A18,DB!$1:$1,0)),FALSE)),"")</f>
        <v/>
      </c>
      <c r="HNE18" s="28" t="str">
        <f>IFERROR(IF(HNN3="No",IF(VLOOKUP(DATE($K$1,$K$2,HNE$4),Table1[],(MATCH(Calendar!$A18,DB!$1:$1,0)),FALSE)&gt;=5,"Good","Bad"),VLOOKUP(DATE($K$1,$K$2,HNE$4),Table1[],(MATCH(Calendar!$A18,DB!$1:$1,0)),FALSE)),"")</f>
        <v/>
      </c>
      <c r="HNF18" s="28" t="str">
        <f>IFERROR(IF(HNO3="No",IF(VLOOKUP(DATE($K$1,$K$2,HNF$4),Table1[],(MATCH(Calendar!$A18,DB!$1:$1,0)),FALSE)&gt;=5,"Good","Bad"),VLOOKUP(DATE($K$1,$K$2,HNF$4),Table1[],(MATCH(Calendar!$A18,DB!$1:$1,0)),FALSE)),"")</f>
        <v/>
      </c>
      <c r="HNG18" s="28" t="str">
        <f>IFERROR(IF(HNP3="No",IF(VLOOKUP(DATE($K$1,$K$2,HNG$4),Table1[],(MATCH(Calendar!$A18,DB!$1:$1,0)),FALSE)&gt;=5,"Good","Bad"),VLOOKUP(DATE($K$1,$K$2,HNG$4),Table1[],(MATCH(Calendar!$A18,DB!$1:$1,0)),FALSE)),"")</f>
        <v/>
      </c>
      <c r="HNH18" s="28" t="str">
        <f>IFERROR(IF(HNQ3="No",IF(VLOOKUP(DATE($K$1,$K$2,HNH$4),Table1[],(MATCH(Calendar!$A18,DB!$1:$1,0)),FALSE)&gt;=5,"Good","Bad"),VLOOKUP(DATE($K$1,$K$2,HNH$4),Table1[],(MATCH(Calendar!$A18,DB!$1:$1,0)),FALSE)),"")</f>
        <v/>
      </c>
      <c r="HNI18" s="28" t="str">
        <f>IFERROR(IF(HNR3="No",IF(VLOOKUP(DATE($K$1,$K$2,HNI$4),Table1[],(MATCH(Calendar!$A18,DB!$1:$1,0)),FALSE)&gt;=5,"Good","Bad"),VLOOKUP(DATE($K$1,$K$2,HNI$4),Table1[],(MATCH(Calendar!$A18,DB!$1:$1,0)),FALSE)),"")</f>
        <v/>
      </c>
      <c r="HNJ18" s="28" t="str">
        <f>IFERROR(IF(HNS3="No",IF(VLOOKUP(DATE($K$1,$K$2,HNJ$4),Table1[],(MATCH(Calendar!$A18,DB!$1:$1,0)),FALSE)&gt;=5,"Good","Bad"),VLOOKUP(DATE($K$1,$K$2,HNJ$4),Table1[],(MATCH(Calendar!$A18,DB!$1:$1,0)),FALSE)),"")</f>
        <v/>
      </c>
      <c r="HNK18" s="28" t="str">
        <f>IFERROR(IF(HNT3="No",IF(VLOOKUP(DATE($K$1,$K$2,HNK$4),Table1[],(MATCH(Calendar!$A18,DB!$1:$1,0)),FALSE)&gt;=5,"Good","Bad"),VLOOKUP(DATE($K$1,$K$2,HNK$4),Table1[],(MATCH(Calendar!$A18,DB!$1:$1,0)),FALSE)),"")</f>
        <v/>
      </c>
      <c r="HNL18" s="28" t="str">
        <f>IFERROR(IF(HNU3="No",IF(VLOOKUP(DATE($K$1,$K$2,HNL$4),Table1[],(MATCH(Calendar!$A18,DB!$1:$1,0)),FALSE)&gt;=5,"Good","Bad"),VLOOKUP(DATE($K$1,$K$2,HNL$4),Table1[],(MATCH(Calendar!$A18,DB!$1:$1,0)),FALSE)),"")</f>
        <v/>
      </c>
      <c r="HNM18" s="28" t="str">
        <f>IFERROR(IF(HNV3="No",IF(VLOOKUP(DATE($K$1,$K$2,HNM$4),Table1[],(MATCH(Calendar!$A18,DB!$1:$1,0)),FALSE)&gt;=5,"Good","Bad"),VLOOKUP(DATE($K$1,$K$2,HNM$4),Table1[],(MATCH(Calendar!$A18,DB!$1:$1,0)),FALSE)),"")</f>
        <v/>
      </c>
      <c r="HNN18" s="28" t="str">
        <f>IFERROR(IF(HNW3="No",IF(VLOOKUP(DATE($K$1,$K$2,HNN$4),Table1[],(MATCH(Calendar!$A18,DB!$1:$1,0)),FALSE)&gt;=5,"Good","Bad"),VLOOKUP(DATE($K$1,$K$2,HNN$4),Table1[],(MATCH(Calendar!$A18,DB!$1:$1,0)),FALSE)),"")</f>
        <v/>
      </c>
      <c r="HNO18" s="28" t="str">
        <f>IFERROR(IF(HNX3="No",IF(VLOOKUP(DATE($K$1,$K$2,HNO$4),Table1[],(MATCH(Calendar!$A18,DB!$1:$1,0)),FALSE)&gt;=5,"Good","Bad"),VLOOKUP(DATE($K$1,$K$2,HNO$4),Table1[],(MATCH(Calendar!$A18,DB!$1:$1,0)),FALSE)),"")</f>
        <v/>
      </c>
      <c r="HNP18" s="28" t="str">
        <f>IFERROR(IF(HNY3="No",IF(VLOOKUP(DATE($K$1,$K$2,HNP$4),Table1[],(MATCH(Calendar!$A18,DB!$1:$1,0)),FALSE)&gt;=5,"Good","Bad"),VLOOKUP(DATE($K$1,$K$2,HNP$4),Table1[],(MATCH(Calendar!$A18,DB!$1:$1,0)),FALSE)),"")</f>
        <v/>
      </c>
      <c r="HNQ18" s="28" t="str">
        <f>IFERROR(IF(HNZ3="No",IF(VLOOKUP(DATE($K$1,$K$2,HNQ$4),Table1[],(MATCH(Calendar!$A18,DB!$1:$1,0)),FALSE)&gt;=5,"Good","Bad"),VLOOKUP(DATE($K$1,$K$2,HNQ$4),Table1[],(MATCH(Calendar!$A18,DB!$1:$1,0)),FALSE)),"")</f>
        <v/>
      </c>
      <c r="HNR18" s="28" t="str">
        <f>IFERROR(IF(HOA3="No",IF(VLOOKUP(DATE($K$1,$K$2,HNR$4),Table1[],(MATCH(Calendar!$A18,DB!$1:$1,0)),FALSE)&gt;=5,"Good","Bad"),VLOOKUP(DATE($K$1,$K$2,HNR$4),Table1[],(MATCH(Calendar!$A18,DB!$1:$1,0)),FALSE)),"")</f>
        <v/>
      </c>
      <c r="HNS18" s="28" t="str">
        <f>IFERROR(IF(HOB3="No",IF(VLOOKUP(DATE($K$1,$K$2,HNS$4),Table1[],(MATCH(Calendar!$A18,DB!$1:$1,0)),FALSE)&gt;=5,"Good","Bad"),VLOOKUP(DATE($K$1,$K$2,HNS$4),Table1[],(MATCH(Calendar!$A18,DB!$1:$1,0)),FALSE)),"")</f>
        <v/>
      </c>
      <c r="HNT18" s="28" t="str">
        <f>IFERROR(IF(HOC3="No",IF(VLOOKUP(DATE($K$1,$K$2,HNT$4),Table1[],(MATCH(Calendar!$A18,DB!$1:$1,0)),FALSE)&gt;=5,"Good","Bad"),VLOOKUP(DATE($K$1,$K$2,HNT$4),Table1[],(MATCH(Calendar!$A18,DB!$1:$1,0)),FALSE)),"")</f>
        <v/>
      </c>
      <c r="HNU18" s="28" t="str">
        <f>IFERROR(IF(HOD3="No",IF(VLOOKUP(DATE($K$1,$K$2,HNU$4),Table1[],(MATCH(Calendar!$A18,DB!$1:$1,0)),FALSE)&gt;=5,"Good","Bad"),VLOOKUP(DATE($K$1,$K$2,HNU$4),Table1[],(MATCH(Calendar!$A18,DB!$1:$1,0)),FALSE)),"")</f>
        <v/>
      </c>
      <c r="HNV18" s="28" t="str">
        <f>IFERROR(IF(HOE3="No",IF(VLOOKUP(DATE($K$1,$K$2,HNV$4),Table1[],(MATCH(Calendar!$A18,DB!$1:$1,0)),FALSE)&gt;=5,"Good","Bad"),VLOOKUP(DATE($K$1,$K$2,HNV$4),Table1[],(MATCH(Calendar!$A18,DB!$1:$1,0)),FALSE)),"")</f>
        <v/>
      </c>
      <c r="HNW18" s="28" t="str">
        <f>IFERROR(IF(HOF3="No",IF(VLOOKUP(DATE($K$1,$K$2,HNW$4),Table1[],(MATCH(Calendar!$A18,DB!$1:$1,0)),FALSE)&gt;=5,"Good","Bad"),VLOOKUP(DATE($K$1,$K$2,HNW$4),Table1[],(MATCH(Calendar!$A18,DB!$1:$1,0)),FALSE)),"")</f>
        <v/>
      </c>
      <c r="HNX18" s="28" t="str">
        <f>IFERROR(IF(HOG3="No",IF(VLOOKUP(DATE($K$1,$K$2,HNX$4),Table1[],(MATCH(Calendar!$A18,DB!$1:$1,0)),FALSE)&gt;=5,"Good","Bad"),VLOOKUP(DATE($K$1,$K$2,HNX$4),Table1[],(MATCH(Calendar!$A18,DB!$1:$1,0)),FALSE)),"")</f>
        <v/>
      </c>
      <c r="HNY18" s="28" t="str">
        <f>IFERROR(IF(HOH3="No",IF(VLOOKUP(DATE($K$1,$K$2,HNY$4),Table1[],(MATCH(Calendar!$A18,DB!$1:$1,0)),FALSE)&gt;=5,"Good","Bad"),VLOOKUP(DATE($K$1,$K$2,HNY$4),Table1[],(MATCH(Calendar!$A18,DB!$1:$1,0)),FALSE)),"")</f>
        <v/>
      </c>
      <c r="HNZ18" s="28" t="str">
        <f>IFERROR(IF(HOI3="No",IF(VLOOKUP(DATE($K$1,$K$2,HNZ$4),Table1[],(MATCH(Calendar!$A18,DB!$1:$1,0)),FALSE)&gt;=5,"Good","Bad"),VLOOKUP(DATE($K$1,$K$2,HNZ$4),Table1[],(MATCH(Calendar!$A18,DB!$1:$1,0)),FALSE)),"")</f>
        <v/>
      </c>
      <c r="HOA18" s="28" t="str">
        <f>IFERROR(IF(HOJ3="No",IF(VLOOKUP(DATE($K$1,$K$2,HOA$4),Table1[],(MATCH(Calendar!$A18,DB!$1:$1,0)),FALSE)&gt;=5,"Good","Bad"),VLOOKUP(DATE($K$1,$K$2,HOA$4),Table1[],(MATCH(Calendar!$A18,DB!$1:$1,0)),FALSE)),"")</f>
        <v/>
      </c>
      <c r="HOB18" s="28" t="str">
        <f>IFERROR(IF(HOK3="No",IF(VLOOKUP(DATE($K$1,$K$2,HOB$4),Table1[],(MATCH(Calendar!$A18,DB!$1:$1,0)),FALSE)&gt;=5,"Good","Bad"),VLOOKUP(DATE($K$1,$K$2,HOB$4),Table1[],(MATCH(Calendar!$A18,DB!$1:$1,0)),FALSE)),"")</f>
        <v/>
      </c>
      <c r="HOC18" s="28" t="str">
        <f>IFERROR(IF(HOL3="No",IF(VLOOKUP(DATE($K$1,$K$2,HOC$4),Table1[],(MATCH(Calendar!$A18,DB!$1:$1,0)),FALSE)&gt;=5,"Good","Bad"),VLOOKUP(DATE($K$1,$K$2,HOC$4),Table1[],(MATCH(Calendar!$A18,DB!$1:$1,0)),FALSE)),"")</f>
        <v/>
      </c>
      <c r="HOD18" s="28" t="str">
        <f>IFERROR(IF(HOM3="No",IF(VLOOKUP(DATE($K$1,$K$2,HOD$4),Table1[],(MATCH(Calendar!$A18,DB!$1:$1,0)),FALSE)&gt;=5,"Good","Bad"),VLOOKUP(DATE($K$1,$K$2,HOD$4),Table1[],(MATCH(Calendar!$A18,DB!$1:$1,0)),FALSE)),"")</f>
        <v/>
      </c>
      <c r="HOE18" s="28" t="str">
        <f>IFERROR(IF(HON3="No",IF(VLOOKUP(DATE($K$1,$K$2,HOE$4),Table1[],(MATCH(Calendar!$A18,DB!$1:$1,0)),FALSE)&gt;=5,"Good","Bad"),VLOOKUP(DATE($K$1,$K$2,HOE$4),Table1[],(MATCH(Calendar!$A18,DB!$1:$1,0)),FALSE)),"")</f>
        <v/>
      </c>
      <c r="HOF18" s="28" t="str">
        <f>IFERROR(IF(HOO3="No",IF(VLOOKUP(DATE($K$1,$K$2,HOF$4),Table1[],(MATCH(Calendar!$A18,DB!$1:$1,0)),FALSE)&gt;=5,"Good","Bad"),VLOOKUP(DATE($K$1,$K$2,HOF$4),Table1[],(MATCH(Calendar!$A18,DB!$1:$1,0)),FALSE)),"")</f>
        <v/>
      </c>
      <c r="HOG18" s="28" t="str">
        <f>IFERROR(IF(HOP3="No",IF(VLOOKUP(DATE($K$1,$K$2,HOG$4),Table1[],(MATCH(Calendar!$A18,DB!$1:$1,0)),FALSE)&gt;=5,"Good","Bad"),VLOOKUP(DATE($K$1,$K$2,HOG$4),Table1[],(MATCH(Calendar!$A18,DB!$1:$1,0)),FALSE)),"")</f>
        <v/>
      </c>
      <c r="HOH18" s="28" t="str">
        <f>IFERROR(IF(HOQ3="No",IF(VLOOKUP(DATE($K$1,$K$2,HOH$4),Table1[],(MATCH(Calendar!$A18,DB!$1:$1,0)),FALSE)&gt;=5,"Good","Bad"),VLOOKUP(DATE($K$1,$K$2,HOH$4),Table1[],(MATCH(Calendar!$A18,DB!$1:$1,0)),FALSE)),"")</f>
        <v/>
      </c>
      <c r="HOI18" s="28" t="str">
        <f>IFERROR(IF(HOR3="No",IF(VLOOKUP(DATE($K$1,$K$2,HOI$4),Table1[],(MATCH(Calendar!$A18,DB!$1:$1,0)),FALSE)&gt;=5,"Good","Bad"),VLOOKUP(DATE($K$1,$K$2,HOI$4),Table1[],(MATCH(Calendar!$A18,DB!$1:$1,0)),FALSE)),"")</f>
        <v/>
      </c>
      <c r="HOJ18" s="28" t="str">
        <f>IFERROR(IF(HOS3="No",IF(VLOOKUP(DATE($K$1,$K$2,HOJ$4),Table1[],(MATCH(Calendar!$A18,DB!$1:$1,0)),FALSE)&gt;=5,"Good","Bad"),VLOOKUP(DATE($K$1,$K$2,HOJ$4),Table1[],(MATCH(Calendar!$A18,DB!$1:$1,0)),FALSE)),"")</f>
        <v/>
      </c>
      <c r="HOK18" s="28" t="str">
        <f>IFERROR(IF(HOT3="No",IF(VLOOKUP(DATE($K$1,$K$2,HOK$4),Table1[],(MATCH(Calendar!$A18,DB!$1:$1,0)),FALSE)&gt;=5,"Good","Bad"),VLOOKUP(DATE($K$1,$K$2,HOK$4),Table1[],(MATCH(Calendar!$A18,DB!$1:$1,0)),FALSE)),"")</f>
        <v/>
      </c>
      <c r="HOL18" s="28" t="str">
        <f>IFERROR(IF(HOU3="No",IF(VLOOKUP(DATE($K$1,$K$2,HOL$4),Table1[],(MATCH(Calendar!$A18,DB!$1:$1,0)),FALSE)&gt;=5,"Good","Bad"),VLOOKUP(DATE($K$1,$K$2,HOL$4),Table1[],(MATCH(Calendar!$A18,DB!$1:$1,0)),FALSE)),"")</f>
        <v/>
      </c>
      <c r="HOM18" s="28" t="str">
        <f>IFERROR(IF(HOV3="No",IF(VLOOKUP(DATE($K$1,$K$2,HOM$4),Table1[],(MATCH(Calendar!$A18,DB!$1:$1,0)),FALSE)&gt;=5,"Good","Bad"),VLOOKUP(DATE($K$1,$K$2,HOM$4),Table1[],(MATCH(Calendar!$A18,DB!$1:$1,0)),FALSE)),"")</f>
        <v/>
      </c>
      <c r="HON18" s="28" t="str">
        <f>IFERROR(IF(HOW3="No",IF(VLOOKUP(DATE($K$1,$K$2,HON$4),Table1[],(MATCH(Calendar!$A18,DB!$1:$1,0)),FALSE)&gt;=5,"Good","Bad"),VLOOKUP(DATE($K$1,$K$2,HON$4),Table1[],(MATCH(Calendar!$A18,DB!$1:$1,0)),FALSE)),"")</f>
        <v/>
      </c>
      <c r="HOO18" s="28" t="str">
        <f>IFERROR(IF(HOX3="No",IF(VLOOKUP(DATE($K$1,$K$2,HOO$4),Table1[],(MATCH(Calendar!$A18,DB!$1:$1,0)),FALSE)&gt;=5,"Good","Bad"),VLOOKUP(DATE($K$1,$K$2,HOO$4),Table1[],(MATCH(Calendar!$A18,DB!$1:$1,0)),FALSE)),"")</f>
        <v/>
      </c>
      <c r="HOP18" s="28" t="str">
        <f>IFERROR(IF(HOY3="No",IF(VLOOKUP(DATE($K$1,$K$2,HOP$4),Table1[],(MATCH(Calendar!$A18,DB!$1:$1,0)),FALSE)&gt;=5,"Good","Bad"),VLOOKUP(DATE($K$1,$K$2,HOP$4),Table1[],(MATCH(Calendar!$A18,DB!$1:$1,0)),FALSE)),"")</f>
        <v/>
      </c>
      <c r="HOQ18" s="28" t="str">
        <f>IFERROR(IF(HOZ3="No",IF(VLOOKUP(DATE($K$1,$K$2,HOQ$4),Table1[],(MATCH(Calendar!$A18,DB!$1:$1,0)),FALSE)&gt;=5,"Good","Bad"),VLOOKUP(DATE($K$1,$K$2,HOQ$4),Table1[],(MATCH(Calendar!$A18,DB!$1:$1,0)),FALSE)),"")</f>
        <v/>
      </c>
      <c r="HOR18" s="28" t="str">
        <f>IFERROR(IF(HPA3="No",IF(VLOOKUP(DATE($K$1,$K$2,HOR$4),Table1[],(MATCH(Calendar!$A18,DB!$1:$1,0)),FALSE)&gt;=5,"Good","Bad"),VLOOKUP(DATE($K$1,$K$2,HOR$4),Table1[],(MATCH(Calendar!$A18,DB!$1:$1,0)),FALSE)),"")</f>
        <v/>
      </c>
      <c r="HOS18" s="28" t="str">
        <f>IFERROR(IF(HPB3="No",IF(VLOOKUP(DATE($K$1,$K$2,HOS$4),Table1[],(MATCH(Calendar!$A18,DB!$1:$1,0)),FALSE)&gt;=5,"Good","Bad"),VLOOKUP(DATE($K$1,$K$2,HOS$4),Table1[],(MATCH(Calendar!$A18,DB!$1:$1,0)),FALSE)),"")</f>
        <v/>
      </c>
      <c r="HOT18" s="28" t="str">
        <f>IFERROR(IF(HPC3="No",IF(VLOOKUP(DATE($K$1,$K$2,HOT$4),Table1[],(MATCH(Calendar!$A18,DB!$1:$1,0)),FALSE)&gt;=5,"Good","Bad"),VLOOKUP(DATE($K$1,$K$2,HOT$4),Table1[],(MATCH(Calendar!$A18,DB!$1:$1,0)),FALSE)),"")</f>
        <v/>
      </c>
      <c r="HOU18" s="28" t="str">
        <f>IFERROR(IF(HPD3="No",IF(VLOOKUP(DATE($K$1,$K$2,HOU$4),Table1[],(MATCH(Calendar!$A18,DB!$1:$1,0)),FALSE)&gt;=5,"Good","Bad"),VLOOKUP(DATE($K$1,$K$2,HOU$4),Table1[],(MATCH(Calendar!$A18,DB!$1:$1,0)),FALSE)),"")</f>
        <v/>
      </c>
      <c r="HOV18" s="28" t="str">
        <f>IFERROR(IF(HPE3="No",IF(VLOOKUP(DATE($K$1,$K$2,HOV$4),Table1[],(MATCH(Calendar!$A18,DB!$1:$1,0)),FALSE)&gt;=5,"Good","Bad"),VLOOKUP(DATE($K$1,$K$2,HOV$4),Table1[],(MATCH(Calendar!$A18,DB!$1:$1,0)),FALSE)),"")</f>
        <v/>
      </c>
      <c r="HOW18" s="28" t="str">
        <f>IFERROR(IF(HPF3="No",IF(VLOOKUP(DATE($K$1,$K$2,HOW$4),Table1[],(MATCH(Calendar!$A18,DB!$1:$1,0)),FALSE)&gt;=5,"Good","Bad"),VLOOKUP(DATE($K$1,$K$2,HOW$4),Table1[],(MATCH(Calendar!$A18,DB!$1:$1,0)),FALSE)),"")</f>
        <v/>
      </c>
      <c r="HOX18" s="28" t="str">
        <f>IFERROR(IF(HPG3="No",IF(VLOOKUP(DATE($K$1,$K$2,HOX$4),Table1[],(MATCH(Calendar!$A18,DB!$1:$1,0)),FALSE)&gt;=5,"Good","Bad"),VLOOKUP(DATE($K$1,$K$2,HOX$4),Table1[],(MATCH(Calendar!$A18,DB!$1:$1,0)),FALSE)),"")</f>
        <v/>
      </c>
      <c r="HOY18" s="28" t="str">
        <f>IFERROR(IF(HPH3="No",IF(VLOOKUP(DATE($K$1,$K$2,HOY$4),Table1[],(MATCH(Calendar!$A18,DB!$1:$1,0)),FALSE)&gt;=5,"Good","Bad"),VLOOKUP(DATE($K$1,$K$2,HOY$4),Table1[],(MATCH(Calendar!$A18,DB!$1:$1,0)),FALSE)),"")</f>
        <v/>
      </c>
      <c r="HOZ18" s="28" t="str">
        <f>IFERROR(IF(HPI3="No",IF(VLOOKUP(DATE($K$1,$K$2,HOZ$4),Table1[],(MATCH(Calendar!$A18,DB!$1:$1,0)),FALSE)&gt;=5,"Good","Bad"),VLOOKUP(DATE($K$1,$K$2,HOZ$4),Table1[],(MATCH(Calendar!$A18,DB!$1:$1,0)),FALSE)),"")</f>
        <v/>
      </c>
      <c r="HPA18" s="28" t="str">
        <f>IFERROR(IF(HPJ3="No",IF(VLOOKUP(DATE($K$1,$K$2,HPA$4),Table1[],(MATCH(Calendar!$A18,DB!$1:$1,0)),FALSE)&gt;=5,"Good","Bad"),VLOOKUP(DATE($K$1,$K$2,HPA$4),Table1[],(MATCH(Calendar!$A18,DB!$1:$1,0)),FALSE)),"")</f>
        <v/>
      </c>
      <c r="HPB18" s="28" t="str">
        <f>IFERROR(IF(HPK3="No",IF(VLOOKUP(DATE($K$1,$K$2,HPB$4),Table1[],(MATCH(Calendar!$A18,DB!$1:$1,0)),FALSE)&gt;=5,"Good","Bad"),VLOOKUP(DATE($K$1,$K$2,HPB$4),Table1[],(MATCH(Calendar!$A18,DB!$1:$1,0)),FALSE)),"")</f>
        <v/>
      </c>
      <c r="HPC18" s="28" t="str">
        <f>IFERROR(IF(HPL3="No",IF(VLOOKUP(DATE($K$1,$K$2,HPC$4),Table1[],(MATCH(Calendar!$A18,DB!$1:$1,0)),FALSE)&gt;=5,"Good","Bad"),VLOOKUP(DATE($K$1,$K$2,HPC$4),Table1[],(MATCH(Calendar!$A18,DB!$1:$1,0)),FALSE)),"")</f>
        <v/>
      </c>
      <c r="HPD18" s="28" t="str">
        <f>IFERROR(IF(HPM3="No",IF(VLOOKUP(DATE($K$1,$K$2,HPD$4),Table1[],(MATCH(Calendar!$A18,DB!$1:$1,0)),FALSE)&gt;=5,"Good","Bad"),VLOOKUP(DATE($K$1,$K$2,HPD$4),Table1[],(MATCH(Calendar!$A18,DB!$1:$1,0)),FALSE)),"")</f>
        <v/>
      </c>
      <c r="HPE18" s="28" t="str">
        <f>IFERROR(IF(HPN3="No",IF(VLOOKUP(DATE($K$1,$K$2,HPE$4),Table1[],(MATCH(Calendar!$A18,DB!$1:$1,0)),FALSE)&gt;=5,"Good","Bad"),VLOOKUP(DATE($K$1,$K$2,HPE$4),Table1[],(MATCH(Calendar!$A18,DB!$1:$1,0)),FALSE)),"")</f>
        <v/>
      </c>
      <c r="HPF18" s="28" t="str">
        <f>IFERROR(IF(HPO3="No",IF(VLOOKUP(DATE($K$1,$K$2,HPF$4),Table1[],(MATCH(Calendar!$A18,DB!$1:$1,0)),FALSE)&gt;=5,"Good","Bad"),VLOOKUP(DATE($K$1,$K$2,HPF$4),Table1[],(MATCH(Calendar!$A18,DB!$1:$1,0)),FALSE)),"")</f>
        <v/>
      </c>
      <c r="HPG18" s="28" t="str">
        <f>IFERROR(IF(HPP3="No",IF(VLOOKUP(DATE($K$1,$K$2,HPG$4),Table1[],(MATCH(Calendar!$A18,DB!$1:$1,0)),FALSE)&gt;=5,"Good","Bad"),VLOOKUP(DATE($K$1,$K$2,HPG$4),Table1[],(MATCH(Calendar!$A18,DB!$1:$1,0)),FALSE)),"")</f>
        <v/>
      </c>
      <c r="HPH18" s="28" t="str">
        <f>IFERROR(IF(HPQ3="No",IF(VLOOKUP(DATE($K$1,$K$2,HPH$4),Table1[],(MATCH(Calendar!$A18,DB!$1:$1,0)),FALSE)&gt;=5,"Good","Bad"),VLOOKUP(DATE($K$1,$K$2,HPH$4),Table1[],(MATCH(Calendar!$A18,DB!$1:$1,0)),FALSE)),"")</f>
        <v/>
      </c>
      <c r="HPI18" s="28" t="str">
        <f>IFERROR(IF(HPR3="No",IF(VLOOKUP(DATE($K$1,$K$2,HPI$4),Table1[],(MATCH(Calendar!$A18,DB!$1:$1,0)),FALSE)&gt;=5,"Good","Bad"),VLOOKUP(DATE($K$1,$K$2,HPI$4),Table1[],(MATCH(Calendar!$A18,DB!$1:$1,0)),FALSE)),"")</f>
        <v/>
      </c>
      <c r="HPJ18" s="28" t="str">
        <f>IFERROR(IF(HPS3="No",IF(VLOOKUP(DATE($K$1,$K$2,HPJ$4),Table1[],(MATCH(Calendar!$A18,DB!$1:$1,0)),FALSE)&gt;=5,"Good","Bad"),VLOOKUP(DATE($K$1,$K$2,HPJ$4),Table1[],(MATCH(Calendar!$A18,DB!$1:$1,0)),FALSE)),"")</f>
        <v/>
      </c>
      <c r="HPK18" s="28" t="str">
        <f>IFERROR(IF(HPT3="No",IF(VLOOKUP(DATE($K$1,$K$2,HPK$4),Table1[],(MATCH(Calendar!$A18,DB!$1:$1,0)),FALSE)&gt;=5,"Good","Bad"),VLOOKUP(DATE($K$1,$K$2,HPK$4),Table1[],(MATCH(Calendar!$A18,DB!$1:$1,0)),FALSE)),"")</f>
        <v/>
      </c>
      <c r="HPL18" s="28" t="str">
        <f>IFERROR(IF(HPU3="No",IF(VLOOKUP(DATE($K$1,$K$2,HPL$4),Table1[],(MATCH(Calendar!$A18,DB!$1:$1,0)),FALSE)&gt;=5,"Good","Bad"),VLOOKUP(DATE($K$1,$K$2,HPL$4),Table1[],(MATCH(Calendar!$A18,DB!$1:$1,0)),FALSE)),"")</f>
        <v/>
      </c>
      <c r="HPM18" s="28" t="str">
        <f>IFERROR(IF(HPV3="No",IF(VLOOKUP(DATE($K$1,$K$2,HPM$4),Table1[],(MATCH(Calendar!$A18,DB!$1:$1,0)),FALSE)&gt;=5,"Good","Bad"),VLOOKUP(DATE($K$1,$K$2,HPM$4),Table1[],(MATCH(Calendar!$A18,DB!$1:$1,0)),FALSE)),"")</f>
        <v/>
      </c>
      <c r="HPN18" s="28" t="str">
        <f>IFERROR(IF(HPW3="No",IF(VLOOKUP(DATE($K$1,$K$2,HPN$4),Table1[],(MATCH(Calendar!$A18,DB!$1:$1,0)),FALSE)&gt;=5,"Good","Bad"),VLOOKUP(DATE($K$1,$K$2,HPN$4),Table1[],(MATCH(Calendar!$A18,DB!$1:$1,0)),FALSE)),"")</f>
        <v/>
      </c>
      <c r="HPO18" s="28" t="str">
        <f>IFERROR(IF(HPX3="No",IF(VLOOKUP(DATE($K$1,$K$2,HPO$4),Table1[],(MATCH(Calendar!$A18,DB!$1:$1,0)),FALSE)&gt;=5,"Good","Bad"),VLOOKUP(DATE($K$1,$K$2,HPO$4),Table1[],(MATCH(Calendar!$A18,DB!$1:$1,0)),FALSE)),"")</f>
        <v/>
      </c>
      <c r="HPP18" s="28" t="str">
        <f>IFERROR(IF(HPY3="No",IF(VLOOKUP(DATE($K$1,$K$2,HPP$4),Table1[],(MATCH(Calendar!$A18,DB!$1:$1,0)),FALSE)&gt;=5,"Good","Bad"),VLOOKUP(DATE($K$1,$K$2,HPP$4),Table1[],(MATCH(Calendar!$A18,DB!$1:$1,0)),FALSE)),"")</f>
        <v/>
      </c>
      <c r="HPQ18" s="28" t="str">
        <f>IFERROR(IF(HPZ3="No",IF(VLOOKUP(DATE($K$1,$K$2,HPQ$4),Table1[],(MATCH(Calendar!$A18,DB!$1:$1,0)),FALSE)&gt;=5,"Good","Bad"),VLOOKUP(DATE($K$1,$K$2,HPQ$4),Table1[],(MATCH(Calendar!$A18,DB!$1:$1,0)),FALSE)),"")</f>
        <v/>
      </c>
      <c r="HPR18" s="28" t="str">
        <f>IFERROR(IF(HQA3="No",IF(VLOOKUP(DATE($K$1,$K$2,HPR$4),Table1[],(MATCH(Calendar!$A18,DB!$1:$1,0)),FALSE)&gt;=5,"Good","Bad"),VLOOKUP(DATE($K$1,$K$2,HPR$4),Table1[],(MATCH(Calendar!$A18,DB!$1:$1,0)),FALSE)),"")</f>
        <v/>
      </c>
      <c r="HPS18" s="28" t="str">
        <f>IFERROR(IF(HQB3="No",IF(VLOOKUP(DATE($K$1,$K$2,HPS$4),Table1[],(MATCH(Calendar!$A18,DB!$1:$1,0)),FALSE)&gt;=5,"Good","Bad"),VLOOKUP(DATE($K$1,$K$2,HPS$4),Table1[],(MATCH(Calendar!$A18,DB!$1:$1,0)),FALSE)),"")</f>
        <v/>
      </c>
      <c r="HPT18" s="28" t="str">
        <f>IFERROR(IF(HQC3="No",IF(VLOOKUP(DATE($K$1,$K$2,HPT$4),Table1[],(MATCH(Calendar!$A18,DB!$1:$1,0)),FALSE)&gt;=5,"Good","Bad"),VLOOKUP(DATE($K$1,$K$2,HPT$4),Table1[],(MATCH(Calendar!$A18,DB!$1:$1,0)),FALSE)),"")</f>
        <v/>
      </c>
      <c r="HPU18" s="28" t="str">
        <f>IFERROR(IF(HQD3="No",IF(VLOOKUP(DATE($K$1,$K$2,HPU$4),Table1[],(MATCH(Calendar!$A18,DB!$1:$1,0)),FALSE)&gt;=5,"Good","Bad"),VLOOKUP(DATE($K$1,$K$2,HPU$4),Table1[],(MATCH(Calendar!$A18,DB!$1:$1,0)),FALSE)),"")</f>
        <v/>
      </c>
      <c r="HPV18" s="28" t="str">
        <f>IFERROR(IF(HQE3="No",IF(VLOOKUP(DATE($K$1,$K$2,HPV$4),Table1[],(MATCH(Calendar!$A18,DB!$1:$1,0)),FALSE)&gt;=5,"Good","Bad"),VLOOKUP(DATE($K$1,$K$2,HPV$4),Table1[],(MATCH(Calendar!$A18,DB!$1:$1,0)),FALSE)),"")</f>
        <v/>
      </c>
      <c r="HPW18" s="28" t="str">
        <f>IFERROR(IF(HQF3="No",IF(VLOOKUP(DATE($K$1,$K$2,HPW$4),Table1[],(MATCH(Calendar!$A18,DB!$1:$1,0)),FALSE)&gt;=5,"Good","Bad"),VLOOKUP(DATE($K$1,$K$2,HPW$4),Table1[],(MATCH(Calendar!$A18,DB!$1:$1,0)),FALSE)),"")</f>
        <v/>
      </c>
      <c r="HPX18" s="28" t="str">
        <f>IFERROR(IF(HQG3="No",IF(VLOOKUP(DATE($K$1,$K$2,HPX$4),Table1[],(MATCH(Calendar!$A18,DB!$1:$1,0)),FALSE)&gt;=5,"Good","Bad"),VLOOKUP(DATE($K$1,$K$2,HPX$4),Table1[],(MATCH(Calendar!$A18,DB!$1:$1,0)),FALSE)),"")</f>
        <v/>
      </c>
      <c r="HPY18" s="28" t="str">
        <f>IFERROR(IF(HQH3="No",IF(VLOOKUP(DATE($K$1,$K$2,HPY$4),Table1[],(MATCH(Calendar!$A18,DB!$1:$1,0)),FALSE)&gt;=5,"Good","Bad"),VLOOKUP(DATE($K$1,$K$2,HPY$4),Table1[],(MATCH(Calendar!$A18,DB!$1:$1,0)),FALSE)),"")</f>
        <v/>
      </c>
      <c r="HPZ18" s="28" t="str">
        <f>IFERROR(IF(HQI3="No",IF(VLOOKUP(DATE($K$1,$K$2,HPZ$4),Table1[],(MATCH(Calendar!$A18,DB!$1:$1,0)),FALSE)&gt;=5,"Good","Bad"),VLOOKUP(DATE($K$1,$K$2,HPZ$4),Table1[],(MATCH(Calendar!$A18,DB!$1:$1,0)),FALSE)),"")</f>
        <v/>
      </c>
      <c r="HQA18" s="28" t="str">
        <f>IFERROR(IF(HQJ3="No",IF(VLOOKUP(DATE($K$1,$K$2,HQA$4),Table1[],(MATCH(Calendar!$A18,DB!$1:$1,0)),FALSE)&gt;=5,"Good","Bad"),VLOOKUP(DATE($K$1,$K$2,HQA$4),Table1[],(MATCH(Calendar!$A18,DB!$1:$1,0)),FALSE)),"")</f>
        <v/>
      </c>
      <c r="HQB18" s="28" t="str">
        <f>IFERROR(IF(HQK3="No",IF(VLOOKUP(DATE($K$1,$K$2,HQB$4),Table1[],(MATCH(Calendar!$A18,DB!$1:$1,0)),FALSE)&gt;=5,"Good","Bad"),VLOOKUP(DATE($K$1,$K$2,HQB$4),Table1[],(MATCH(Calendar!$A18,DB!$1:$1,0)),FALSE)),"")</f>
        <v/>
      </c>
      <c r="HQC18" s="28" t="str">
        <f>IFERROR(IF(HQL3="No",IF(VLOOKUP(DATE($K$1,$K$2,HQC$4),Table1[],(MATCH(Calendar!$A18,DB!$1:$1,0)),FALSE)&gt;=5,"Good","Bad"),VLOOKUP(DATE($K$1,$K$2,HQC$4),Table1[],(MATCH(Calendar!$A18,DB!$1:$1,0)),FALSE)),"")</f>
        <v/>
      </c>
      <c r="HQD18" s="28" t="str">
        <f>IFERROR(IF(HQM3="No",IF(VLOOKUP(DATE($K$1,$K$2,HQD$4),Table1[],(MATCH(Calendar!$A18,DB!$1:$1,0)),FALSE)&gt;=5,"Good","Bad"),VLOOKUP(DATE($K$1,$K$2,HQD$4),Table1[],(MATCH(Calendar!$A18,DB!$1:$1,0)),FALSE)),"")</f>
        <v/>
      </c>
      <c r="HQE18" s="28" t="str">
        <f>IFERROR(IF(HQN3="No",IF(VLOOKUP(DATE($K$1,$K$2,HQE$4),Table1[],(MATCH(Calendar!$A18,DB!$1:$1,0)),FALSE)&gt;=5,"Good","Bad"),VLOOKUP(DATE($K$1,$K$2,HQE$4),Table1[],(MATCH(Calendar!$A18,DB!$1:$1,0)),FALSE)),"")</f>
        <v/>
      </c>
      <c r="HQF18" s="28" t="str">
        <f>IFERROR(IF(HQO3="No",IF(VLOOKUP(DATE($K$1,$K$2,HQF$4),Table1[],(MATCH(Calendar!$A18,DB!$1:$1,0)),FALSE)&gt;=5,"Good","Bad"),VLOOKUP(DATE($K$1,$K$2,HQF$4),Table1[],(MATCH(Calendar!$A18,DB!$1:$1,0)),FALSE)),"")</f>
        <v/>
      </c>
      <c r="HQG18" s="28" t="str">
        <f>IFERROR(IF(HQP3="No",IF(VLOOKUP(DATE($K$1,$K$2,HQG$4),Table1[],(MATCH(Calendar!$A18,DB!$1:$1,0)),FALSE)&gt;=5,"Good","Bad"),VLOOKUP(DATE($K$1,$K$2,HQG$4),Table1[],(MATCH(Calendar!$A18,DB!$1:$1,0)),FALSE)),"")</f>
        <v/>
      </c>
      <c r="HQH18" s="28" t="str">
        <f>IFERROR(IF(HQQ3="No",IF(VLOOKUP(DATE($K$1,$K$2,HQH$4),Table1[],(MATCH(Calendar!$A18,DB!$1:$1,0)),FALSE)&gt;=5,"Good","Bad"),VLOOKUP(DATE($K$1,$K$2,HQH$4),Table1[],(MATCH(Calendar!$A18,DB!$1:$1,0)),FALSE)),"")</f>
        <v/>
      </c>
      <c r="HQI18" s="28" t="str">
        <f>IFERROR(IF(HQR3="No",IF(VLOOKUP(DATE($K$1,$K$2,HQI$4),Table1[],(MATCH(Calendar!$A18,DB!$1:$1,0)),FALSE)&gt;=5,"Good","Bad"),VLOOKUP(DATE($K$1,$K$2,HQI$4),Table1[],(MATCH(Calendar!$A18,DB!$1:$1,0)),FALSE)),"")</f>
        <v/>
      </c>
      <c r="HQJ18" s="28" t="str">
        <f>IFERROR(IF(HQS3="No",IF(VLOOKUP(DATE($K$1,$K$2,HQJ$4),Table1[],(MATCH(Calendar!$A18,DB!$1:$1,0)),FALSE)&gt;=5,"Good","Bad"),VLOOKUP(DATE($K$1,$K$2,HQJ$4),Table1[],(MATCH(Calendar!$A18,DB!$1:$1,0)),FALSE)),"")</f>
        <v/>
      </c>
      <c r="HQK18" s="28" t="str">
        <f>IFERROR(IF(HQT3="No",IF(VLOOKUP(DATE($K$1,$K$2,HQK$4),Table1[],(MATCH(Calendar!$A18,DB!$1:$1,0)),FALSE)&gt;=5,"Good","Bad"),VLOOKUP(DATE($K$1,$K$2,HQK$4),Table1[],(MATCH(Calendar!$A18,DB!$1:$1,0)),FALSE)),"")</f>
        <v/>
      </c>
      <c r="HQL18" s="28" t="str">
        <f>IFERROR(IF(HQU3="No",IF(VLOOKUP(DATE($K$1,$K$2,HQL$4),Table1[],(MATCH(Calendar!$A18,DB!$1:$1,0)),FALSE)&gt;=5,"Good","Bad"),VLOOKUP(DATE($K$1,$K$2,HQL$4),Table1[],(MATCH(Calendar!$A18,DB!$1:$1,0)),FALSE)),"")</f>
        <v/>
      </c>
      <c r="HQM18" s="28" t="str">
        <f>IFERROR(IF(HQV3="No",IF(VLOOKUP(DATE($K$1,$K$2,HQM$4),Table1[],(MATCH(Calendar!$A18,DB!$1:$1,0)),FALSE)&gt;=5,"Good","Bad"),VLOOKUP(DATE($K$1,$K$2,HQM$4),Table1[],(MATCH(Calendar!$A18,DB!$1:$1,0)),FALSE)),"")</f>
        <v/>
      </c>
      <c r="HQN18" s="28" t="str">
        <f>IFERROR(IF(HQW3="No",IF(VLOOKUP(DATE($K$1,$K$2,HQN$4),Table1[],(MATCH(Calendar!$A18,DB!$1:$1,0)),FALSE)&gt;=5,"Good","Bad"),VLOOKUP(DATE($K$1,$K$2,HQN$4),Table1[],(MATCH(Calendar!$A18,DB!$1:$1,0)),FALSE)),"")</f>
        <v/>
      </c>
      <c r="HQO18" s="28" t="str">
        <f>IFERROR(IF(HQX3="No",IF(VLOOKUP(DATE($K$1,$K$2,HQO$4),Table1[],(MATCH(Calendar!$A18,DB!$1:$1,0)),FALSE)&gt;=5,"Good","Bad"),VLOOKUP(DATE($K$1,$K$2,HQO$4),Table1[],(MATCH(Calendar!$A18,DB!$1:$1,0)),FALSE)),"")</f>
        <v/>
      </c>
      <c r="HQP18" s="28" t="str">
        <f>IFERROR(IF(HQY3="No",IF(VLOOKUP(DATE($K$1,$K$2,HQP$4),Table1[],(MATCH(Calendar!$A18,DB!$1:$1,0)),FALSE)&gt;=5,"Good","Bad"),VLOOKUP(DATE($K$1,$K$2,HQP$4),Table1[],(MATCH(Calendar!$A18,DB!$1:$1,0)),FALSE)),"")</f>
        <v/>
      </c>
      <c r="HQQ18" s="28" t="str">
        <f>IFERROR(IF(HQZ3="No",IF(VLOOKUP(DATE($K$1,$K$2,HQQ$4),Table1[],(MATCH(Calendar!$A18,DB!$1:$1,0)),FALSE)&gt;=5,"Good","Bad"),VLOOKUP(DATE($K$1,$K$2,HQQ$4),Table1[],(MATCH(Calendar!$A18,DB!$1:$1,0)),FALSE)),"")</f>
        <v/>
      </c>
      <c r="HQR18" s="28" t="str">
        <f>IFERROR(IF(HRA3="No",IF(VLOOKUP(DATE($K$1,$K$2,HQR$4),Table1[],(MATCH(Calendar!$A18,DB!$1:$1,0)),FALSE)&gt;=5,"Good","Bad"),VLOOKUP(DATE($K$1,$K$2,HQR$4),Table1[],(MATCH(Calendar!$A18,DB!$1:$1,0)),FALSE)),"")</f>
        <v/>
      </c>
      <c r="HQS18" s="28" t="str">
        <f>IFERROR(IF(HRB3="No",IF(VLOOKUP(DATE($K$1,$K$2,HQS$4),Table1[],(MATCH(Calendar!$A18,DB!$1:$1,0)),FALSE)&gt;=5,"Good","Bad"),VLOOKUP(DATE($K$1,$K$2,HQS$4),Table1[],(MATCH(Calendar!$A18,DB!$1:$1,0)),FALSE)),"")</f>
        <v/>
      </c>
      <c r="HQT18" s="28" t="str">
        <f>IFERROR(IF(HRC3="No",IF(VLOOKUP(DATE($K$1,$K$2,HQT$4),Table1[],(MATCH(Calendar!$A18,DB!$1:$1,0)),FALSE)&gt;=5,"Good","Bad"),VLOOKUP(DATE($K$1,$K$2,HQT$4),Table1[],(MATCH(Calendar!$A18,DB!$1:$1,0)),FALSE)),"")</f>
        <v/>
      </c>
      <c r="HQU18" s="28" t="str">
        <f>IFERROR(IF(HRD3="No",IF(VLOOKUP(DATE($K$1,$K$2,HQU$4),Table1[],(MATCH(Calendar!$A18,DB!$1:$1,0)),FALSE)&gt;=5,"Good","Bad"),VLOOKUP(DATE($K$1,$K$2,HQU$4),Table1[],(MATCH(Calendar!$A18,DB!$1:$1,0)),FALSE)),"")</f>
        <v/>
      </c>
      <c r="HQV18" s="28" t="str">
        <f>IFERROR(IF(HRE3="No",IF(VLOOKUP(DATE($K$1,$K$2,HQV$4),Table1[],(MATCH(Calendar!$A18,DB!$1:$1,0)),FALSE)&gt;=5,"Good","Bad"),VLOOKUP(DATE($K$1,$K$2,HQV$4),Table1[],(MATCH(Calendar!$A18,DB!$1:$1,0)),FALSE)),"")</f>
        <v/>
      </c>
      <c r="HQW18" s="28" t="str">
        <f>IFERROR(IF(HRF3="No",IF(VLOOKUP(DATE($K$1,$K$2,HQW$4),Table1[],(MATCH(Calendar!$A18,DB!$1:$1,0)),FALSE)&gt;=5,"Good","Bad"),VLOOKUP(DATE($K$1,$K$2,HQW$4),Table1[],(MATCH(Calendar!$A18,DB!$1:$1,0)),FALSE)),"")</f>
        <v/>
      </c>
      <c r="HQX18" s="28" t="str">
        <f>IFERROR(IF(HRG3="No",IF(VLOOKUP(DATE($K$1,$K$2,HQX$4),Table1[],(MATCH(Calendar!$A18,DB!$1:$1,0)),FALSE)&gt;=5,"Good","Bad"),VLOOKUP(DATE($K$1,$K$2,HQX$4),Table1[],(MATCH(Calendar!$A18,DB!$1:$1,0)),FALSE)),"")</f>
        <v/>
      </c>
      <c r="HQY18" s="28" t="str">
        <f>IFERROR(IF(HRH3="No",IF(VLOOKUP(DATE($K$1,$K$2,HQY$4),Table1[],(MATCH(Calendar!$A18,DB!$1:$1,0)),FALSE)&gt;=5,"Good","Bad"),VLOOKUP(DATE($K$1,$K$2,HQY$4),Table1[],(MATCH(Calendar!$A18,DB!$1:$1,0)),FALSE)),"")</f>
        <v/>
      </c>
      <c r="HQZ18" s="28" t="str">
        <f>IFERROR(IF(HRI3="No",IF(VLOOKUP(DATE($K$1,$K$2,HQZ$4),Table1[],(MATCH(Calendar!$A18,DB!$1:$1,0)),FALSE)&gt;=5,"Good","Bad"),VLOOKUP(DATE($K$1,$K$2,HQZ$4),Table1[],(MATCH(Calendar!$A18,DB!$1:$1,0)),FALSE)),"")</f>
        <v/>
      </c>
      <c r="HRA18" s="28" t="str">
        <f>IFERROR(IF(HRJ3="No",IF(VLOOKUP(DATE($K$1,$K$2,HRA$4),Table1[],(MATCH(Calendar!$A18,DB!$1:$1,0)),FALSE)&gt;=5,"Good","Bad"),VLOOKUP(DATE($K$1,$K$2,HRA$4),Table1[],(MATCH(Calendar!$A18,DB!$1:$1,0)),FALSE)),"")</f>
        <v/>
      </c>
      <c r="HRB18" s="28" t="str">
        <f>IFERROR(IF(HRK3="No",IF(VLOOKUP(DATE($K$1,$K$2,HRB$4),Table1[],(MATCH(Calendar!$A18,DB!$1:$1,0)),FALSE)&gt;=5,"Good","Bad"),VLOOKUP(DATE($K$1,$K$2,HRB$4),Table1[],(MATCH(Calendar!$A18,DB!$1:$1,0)),FALSE)),"")</f>
        <v/>
      </c>
      <c r="HRC18" s="28" t="str">
        <f>IFERROR(IF(HRL3="No",IF(VLOOKUP(DATE($K$1,$K$2,HRC$4),Table1[],(MATCH(Calendar!$A18,DB!$1:$1,0)),FALSE)&gt;=5,"Good","Bad"),VLOOKUP(DATE($K$1,$K$2,HRC$4),Table1[],(MATCH(Calendar!$A18,DB!$1:$1,0)),FALSE)),"")</f>
        <v/>
      </c>
      <c r="HRD18" s="28" t="str">
        <f>IFERROR(IF(HRM3="No",IF(VLOOKUP(DATE($K$1,$K$2,HRD$4),Table1[],(MATCH(Calendar!$A18,DB!$1:$1,0)),FALSE)&gt;=5,"Good","Bad"),VLOOKUP(DATE($K$1,$K$2,HRD$4),Table1[],(MATCH(Calendar!$A18,DB!$1:$1,0)),FALSE)),"")</f>
        <v/>
      </c>
      <c r="HRE18" s="28" t="str">
        <f>IFERROR(IF(HRN3="No",IF(VLOOKUP(DATE($K$1,$K$2,HRE$4),Table1[],(MATCH(Calendar!$A18,DB!$1:$1,0)),FALSE)&gt;=5,"Good","Bad"),VLOOKUP(DATE($K$1,$K$2,HRE$4),Table1[],(MATCH(Calendar!$A18,DB!$1:$1,0)),FALSE)),"")</f>
        <v/>
      </c>
      <c r="HRF18" s="28" t="str">
        <f>IFERROR(IF(HRO3="No",IF(VLOOKUP(DATE($K$1,$K$2,HRF$4),Table1[],(MATCH(Calendar!$A18,DB!$1:$1,0)),FALSE)&gt;=5,"Good","Bad"),VLOOKUP(DATE($K$1,$K$2,HRF$4),Table1[],(MATCH(Calendar!$A18,DB!$1:$1,0)),FALSE)),"")</f>
        <v/>
      </c>
      <c r="HRG18" s="28" t="str">
        <f>IFERROR(IF(HRP3="No",IF(VLOOKUP(DATE($K$1,$K$2,HRG$4),Table1[],(MATCH(Calendar!$A18,DB!$1:$1,0)),FALSE)&gt;=5,"Good","Bad"),VLOOKUP(DATE($K$1,$K$2,HRG$4),Table1[],(MATCH(Calendar!$A18,DB!$1:$1,0)),FALSE)),"")</f>
        <v/>
      </c>
      <c r="HRH18" s="28" t="str">
        <f>IFERROR(IF(HRQ3="No",IF(VLOOKUP(DATE($K$1,$K$2,HRH$4),Table1[],(MATCH(Calendar!$A18,DB!$1:$1,0)),FALSE)&gt;=5,"Good","Bad"),VLOOKUP(DATE($K$1,$K$2,HRH$4),Table1[],(MATCH(Calendar!$A18,DB!$1:$1,0)),FALSE)),"")</f>
        <v/>
      </c>
      <c r="HRI18" s="28" t="str">
        <f>IFERROR(IF(HRR3="No",IF(VLOOKUP(DATE($K$1,$K$2,HRI$4),Table1[],(MATCH(Calendar!$A18,DB!$1:$1,0)),FALSE)&gt;=5,"Good","Bad"),VLOOKUP(DATE($K$1,$K$2,HRI$4),Table1[],(MATCH(Calendar!$A18,DB!$1:$1,0)),FALSE)),"")</f>
        <v/>
      </c>
      <c r="HRJ18" s="28" t="str">
        <f>IFERROR(IF(HRS3="No",IF(VLOOKUP(DATE($K$1,$K$2,HRJ$4),Table1[],(MATCH(Calendar!$A18,DB!$1:$1,0)),FALSE)&gt;=5,"Good","Bad"),VLOOKUP(DATE($K$1,$K$2,HRJ$4),Table1[],(MATCH(Calendar!$A18,DB!$1:$1,0)),FALSE)),"")</f>
        <v/>
      </c>
      <c r="HRK18" s="28" t="str">
        <f>IFERROR(IF(HRT3="No",IF(VLOOKUP(DATE($K$1,$K$2,HRK$4),Table1[],(MATCH(Calendar!$A18,DB!$1:$1,0)),FALSE)&gt;=5,"Good","Bad"),VLOOKUP(DATE($K$1,$K$2,HRK$4),Table1[],(MATCH(Calendar!$A18,DB!$1:$1,0)),FALSE)),"")</f>
        <v/>
      </c>
      <c r="HRL18" s="28" t="str">
        <f>IFERROR(IF(HRU3="No",IF(VLOOKUP(DATE($K$1,$K$2,HRL$4),Table1[],(MATCH(Calendar!$A18,DB!$1:$1,0)),FALSE)&gt;=5,"Good","Bad"),VLOOKUP(DATE($K$1,$K$2,HRL$4),Table1[],(MATCH(Calendar!$A18,DB!$1:$1,0)),FALSE)),"")</f>
        <v/>
      </c>
      <c r="HRM18" s="28" t="str">
        <f>IFERROR(IF(HRV3="No",IF(VLOOKUP(DATE($K$1,$K$2,HRM$4),Table1[],(MATCH(Calendar!$A18,DB!$1:$1,0)),FALSE)&gt;=5,"Good","Bad"),VLOOKUP(DATE($K$1,$K$2,HRM$4),Table1[],(MATCH(Calendar!$A18,DB!$1:$1,0)),FALSE)),"")</f>
        <v/>
      </c>
      <c r="HRN18" s="28" t="str">
        <f>IFERROR(IF(HRW3="No",IF(VLOOKUP(DATE($K$1,$K$2,HRN$4),Table1[],(MATCH(Calendar!$A18,DB!$1:$1,0)),FALSE)&gt;=5,"Good","Bad"),VLOOKUP(DATE($K$1,$K$2,HRN$4),Table1[],(MATCH(Calendar!$A18,DB!$1:$1,0)),FALSE)),"")</f>
        <v/>
      </c>
      <c r="HRO18" s="28" t="str">
        <f>IFERROR(IF(HRX3="No",IF(VLOOKUP(DATE($K$1,$K$2,HRO$4),Table1[],(MATCH(Calendar!$A18,DB!$1:$1,0)),FALSE)&gt;=5,"Good","Bad"),VLOOKUP(DATE($K$1,$K$2,HRO$4),Table1[],(MATCH(Calendar!$A18,DB!$1:$1,0)),FALSE)),"")</f>
        <v/>
      </c>
      <c r="HRP18" s="28" t="str">
        <f>IFERROR(IF(HRY3="No",IF(VLOOKUP(DATE($K$1,$K$2,HRP$4),Table1[],(MATCH(Calendar!$A18,DB!$1:$1,0)),FALSE)&gt;=5,"Good","Bad"),VLOOKUP(DATE($K$1,$K$2,HRP$4),Table1[],(MATCH(Calendar!$A18,DB!$1:$1,0)),FALSE)),"")</f>
        <v/>
      </c>
      <c r="HRQ18" s="28" t="str">
        <f>IFERROR(IF(HRZ3="No",IF(VLOOKUP(DATE($K$1,$K$2,HRQ$4),Table1[],(MATCH(Calendar!$A18,DB!$1:$1,0)),FALSE)&gt;=5,"Good","Bad"),VLOOKUP(DATE($K$1,$K$2,HRQ$4),Table1[],(MATCH(Calendar!$A18,DB!$1:$1,0)),FALSE)),"")</f>
        <v/>
      </c>
      <c r="HRR18" s="28" t="str">
        <f>IFERROR(IF(HSA3="No",IF(VLOOKUP(DATE($K$1,$K$2,HRR$4),Table1[],(MATCH(Calendar!$A18,DB!$1:$1,0)),FALSE)&gt;=5,"Good","Bad"),VLOOKUP(DATE($K$1,$K$2,HRR$4),Table1[],(MATCH(Calendar!$A18,DB!$1:$1,0)),FALSE)),"")</f>
        <v/>
      </c>
      <c r="HRS18" s="28" t="str">
        <f>IFERROR(IF(HSB3="No",IF(VLOOKUP(DATE($K$1,$K$2,HRS$4),Table1[],(MATCH(Calendar!$A18,DB!$1:$1,0)),FALSE)&gt;=5,"Good","Bad"),VLOOKUP(DATE($K$1,$K$2,HRS$4),Table1[],(MATCH(Calendar!$A18,DB!$1:$1,0)),FALSE)),"")</f>
        <v/>
      </c>
      <c r="HRT18" s="28" t="str">
        <f>IFERROR(IF(HSC3="No",IF(VLOOKUP(DATE($K$1,$K$2,HRT$4),Table1[],(MATCH(Calendar!$A18,DB!$1:$1,0)),FALSE)&gt;=5,"Good","Bad"),VLOOKUP(DATE($K$1,$K$2,HRT$4),Table1[],(MATCH(Calendar!$A18,DB!$1:$1,0)),FALSE)),"")</f>
        <v/>
      </c>
      <c r="HRU18" s="28" t="str">
        <f>IFERROR(IF(HSD3="No",IF(VLOOKUP(DATE($K$1,$K$2,HRU$4),Table1[],(MATCH(Calendar!$A18,DB!$1:$1,0)),FALSE)&gt;=5,"Good","Bad"),VLOOKUP(DATE($K$1,$K$2,HRU$4),Table1[],(MATCH(Calendar!$A18,DB!$1:$1,0)),FALSE)),"")</f>
        <v/>
      </c>
      <c r="HRV18" s="28" t="str">
        <f>IFERROR(IF(HSE3="No",IF(VLOOKUP(DATE($K$1,$K$2,HRV$4),Table1[],(MATCH(Calendar!$A18,DB!$1:$1,0)),FALSE)&gt;=5,"Good","Bad"),VLOOKUP(DATE($K$1,$K$2,HRV$4),Table1[],(MATCH(Calendar!$A18,DB!$1:$1,0)),FALSE)),"")</f>
        <v/>
      </c>
      <c r="HRW18" s="28" t="str">
        <f>IFERROR(IF(HSF3="No",IF(VLOOKUP(DATE($K$1,$K$2,HRW$4),Table1[],(MATCH(Calendar!$A18,DB!$1:$1,0)),FALSE)&gt;=5,"Good","Bad"),VLOOKUP(DATE($K$1,$K$2,HRW$4),Table1[],(MATCH(Calendar!$A18,DB!$1:$1,0)),FALSE)),"")</f>
        <v/>
      </c>
      <c r="HRX18" s="28" t="str">
        <f>IFERROR(IF(HSG3="No",IF(VLOOKUP(DATE($K$1,$K$2,HRX$4),Table1[],(MATCH(Calendar!$A18,DB!$1:$1,0)),FALSE)&gt;=5,"Good","Bad"),VLOOKUP(DATE($K$1,$K$2,HRX$4),Table1[],(MATCH(Calendar!$A18,DB!$1:$1,0)),FALSE)),"")</f>
        <v/>
      </c>
      <c r="HRY18" s="28" t="str">
        <f>IFERROR(IF(HSH3="No",IF(VLOOKUP(DATE($K$1,$K$2,HRY$4),Table1[],(MATCH(Calendar!$A18,DB!$1:$1,0)),FALSE)&gt;=5,"Good","Bad"),VLOOKUP(DATE($K$1,$K$2,HRY$4),Table1[],(MATCH(Calendar!$A18,DB!$1:$1,0)),FALSE)),"")</f>
        <v/>
      </c>
      <c r="HRZ18" s="28" t="str">
        <f>IFERROR(IF(HSI3="No",IF(VLOOKUP(DATE($K$1,$K$2,HRZ$4),Table1[],(MATCH(Calendar!$A18,DB!$1:$1,0)),FALSE)&gt;=5,"Good","Bad"),VLOOKUP(DATE($K$1,$K$2,HRZ$4),Table1[],(MATCH(Calendar!$A18,DB!$1:$1,0)),FALSE)),"")</f>
        <v/>
      </c>
      <c r="HSA18" s="28" t="str">
        <f>IFERROR(IF(HSJ3="No",IF(VLOOKUP(DATE($K$1,$K$2,HSA$4),Table1[],(MATCH(Calendar!$A18,DB!$1:$1,0)),FALSE)&gt;=5,"Good","Bad"),VLOOKUP(DATE($K$1,$K$2,HSA$4),Table1[],(MATCH(Calendar!$A18,DB!$1:$1,0)),FALSE)),"")</f>
        <v/>
      </c>
      <c r="HSB18" s="28" t="str">
        <f>IFERROR(IF(HSK3="No",IF(VLOOKUP(DATE($K$1,$K$2,HSB$4),Table1[],(MATCH(Calendar!$A18,DB!$1:$1,0)),FALSE)&gt;=5,"Good","Bad"),VLOOKUP(DATE($K$1,$K$2,HSB$4),Table1[],(MATCH(Calendar!$A18,DB!$1:$1,0)),FALSE)),"")</f>
        <v/>
      </c>
      <c r="HSC18" s="28" t="str">
        <f>IFERROR(IF(HSL3="No",IF(VLOOKUP(DATE($K$1,$K$2,HSC$4),Table1[],(MATCH(Calendar!$A18,DB!$1:$1,0)),FALSE)&gt;=5,"Good","Bad"),VLOOKUP(DATE($K$1,$K$2,HSC$4),Table1[],(MATCH(Calendar!$A18,DB!$1:$1,0)),FALSE)),"")</f>
        <v/>
      </c>
      <c r="HSD18" s="28" t="str">
        <f>IFERROR(IF(HSM3="No",IF(VLOOKUP(DATE($K$1,$K$2,HSD$4),Table1[],(MATCH(Calendar!$A18,DB!$1:$1,0)),FALSE)&gt;=5,"Good","Bad"),VLOOKUP(DATE($K$1,$K$2,HSD$4),Table1[],(MATCH(Calendar!$A18,DB!$1:$1,0)),FALSE)),"")</f>
        <v/>
      </c>
      <c r="HSE18" s="28" t="str">
        <f>IFERROR(IF(HSN3="No",IF(VLOOKUP(DATE($K$1,$K$2,HSE$4),Table1[],(MATCH(Calendar!$A18,DB!$1:$1,0)),FALSE)&gt;=5,"Good","Bad"),VLOOKUP(DATE($K$1,$K$2,HSE$4),Table1[],(MATCH(Calendar!$A18,DB!$1:$1,0)),FALSE)),"")</f>
        <v/>
      </c>
      <c r="HSF18" s="28" t="str">
        <f>IFERROR(IF(HSO3="No",IF(VLOOKUP(DATE($K$1,$K$2,HSF$4),Table1[],(MATCH(Calendar!$A18,DB!$1:$1,0)),FALSE)&gt;=5,"Good","Bad"),VLOOKUP(DATE($K$1,$K$2,HSF$4),Table1[],(MATCH(Calendar!$A18,DB!$1:$1,0)),FALSE)),"")</f>
        <v/>
      </c>
      <c r="HSG18" s="28" t="str">
        <f>IFERROR(IF(HSP3="No",IF(VLOOKUP(DATE($K$1,$K$2,HSG$4),Table1[],(MATCH(Calendar!$A18,DB!$1:$1,0)),FALSE)&gt;=5,"Good","Bad"),VLOOKUP(DATE($K$1,$K$2,HSG$4),Table1[],(MATCH(Calendar!$A18,DB!$1:$1,0)),FALSE)),"")</f>
        <v/>
      </c>
      <c r="HSH18" s="28" t="str">
        <f>IFERROR(IF(HSQ3="No",IF(VLOOKUP(DATE($K$1,$K$2,HSH$4),Table1[],(MATCH(Calendar!$A18,DB!$1:$1,0)),FALSE)&gt;=5,"Good","Bad"),VLOOKUP(DATE($K$1,$K$2,HSH$4),Table1[],(MATCH(Calendar!$A18,DB!$1:$1,0)),FALSE)),"")</f>
        <v/>
      </c>
      <c r="HSI18" s="28" t="str">
        <f>IFERROR(IF(HSR3="No",IF(VLOOKUP(DATE($K$1,$K$2,HSI$4),Table1[],(MATCH(Calendar!$A18,DB!$1:$1,0)),FALSE)&gt;=5,"Good","Bad"),VLOOKUP(DATE($K$1,$K$2,HSI$4),Table1[],(MATCH(Calendar!$A18,DB!$1:$1,0)),FALSE)),"")</f>
        <v/>
      </c>
      <c r="HSJ18" s="28" t="str">
        <f>IFERROR(IF(HSS3="No",IF(VLOOKUP(DATE($K$1,$K$2,HSJ$4),Table1[],(MATCH(Calendar!$A18,DB!$1:$1,0)),FALSE)&gt;=5,"Good","Bad"),VLOOKUP(DATE($K$1,$K$2,HSJ$4),Table1[],(MATCH(Calendar!$A18,DB!$1:$1,0)),FALSE)),"")</f>
        <v/>
      </c>
      <c r="HSK18" s="28" t="str">
        <f>IFERROR(IF(HST3="No",IF(VLOOKUP(DATE($K$1,$K$2,HSK$4),Table1[],(MATCH(Calendar!$A18,DB!$1:$1,0)),FALSE)&gt;=5,"Good","Bad"),VLOOKUP(DATE($K$1,$K$2,HSK$4),Table1[],(MATCH(Calendar!$A18,DB!$1:$1,0)),FALSE)),"")</f>
        <v/>
      </c>
      <c r="HSL18" s="28" t="str">
        <f>IFERROR(IF(HSU3="No",IF(VLOOKUP(DATE($K$1,$K$2,HSL$4),Table1[],(MATCH(Calendar!$A18,DB!$1:$1,0)),FALSE)&gt;=5,"Good","Bad"),VLOOKUP(DATE($K$1,$K$2,HSL$4),Table1[],(MATCH(Calendar!$A18,DB!$1:$1,0)),FALSE)),"")</f>
        <v/>
      </c>
      <c r="HSM18" s="28" t="str">
        <f>IFERROR(IF(HSV3="No",IF(VLOOKUP(DATE($K$1,$K$2,HSM$4),Table1[],(MATCH(Calendar!$A18,DB!$1:$1,0)),FALSE)&gt;=5,"Good","Bad"),VLOOKUP(DATE($K$1,$K$2,HSM$4),Table1[],(MATCH(Calendar!$A18,DB!$1:$1,0)),FALSE)),"")</f>
        <v/>
      </c>
      <c r="HSN18" s="28" t="str">
        <f>IFERROR(IF(HSW3="No",IF(VLOOKUP(DATE($K$1,$K$2,HSN$4),Table1[],(MATCH(Calendar!$A18,DB!$1:$1,0)),FALSE)&gt;=5,"Good","Bad"),VLOOKUP(DATE($K$1,$K$2,HSN$4),Table1[],(MATCH(Calendar!$A18,DB!$1:$1,0)),FALSE)),"")</f>
        <v/>
      </c>
      <c r="HSO18" s="28" t="str">
        <f>IFERROR(IF(HSX3="No",IF(VLOOKUP(DATE($K$1,$K$2,HSO$4),Table1[],(MATCH(Calendar!$A18,DB!$1:$1,0)),FALSE)&gt;=5,"Good","Bad"),VLOOKUP(DATE($K$1,$K$2,HSO$4),Table1[],(MATCH(Calendar!$A18,DB!$1:$1,0)),FALSE)),"")</f>
        <v/>
      </c>
      <c r="HSP18" s="28" t="str">
        <f>IFERROR(IF(HSY3="No",IF(VLOOKUP(DATE($K$1,$K$2,HSP$4),Table1[],(MATCH(Calendar!$A18,DB!$1:$1,0)),FALSE)&gt;=5,"Good","Bad"),VLOOKUP(DATE($K$1,$K$2,HSP$4),Table1[],(MATCH(Calendar!$A18,DB!$1:$1,0)),FALSE)),"")</f>
        <v/>
      </c>
      <c r="HSQ18" s="28" t="str">
        <f>IFERROR(IF(HSZ3="No",IF(VLOOKUP(DATE($K$1,$K$2,HSQ$4),Table1[],(MATCH(Calendar!$A18,DB!$1:$1,0)),FALSE)&gt;=5,"Good","Bad"),VLOOKUP(DATE($K$1,$K$2,HSQ$4),Table1[],(MATCH(Calendar!$A18,DB!$1:$1,0)),FALSE)),"")</f>
        <v/>
      </c>
      <c r="HSR18" s="28" t="str">
        <f>IFERROR(IF(HTA3="No",IF(VLOOKUP(DATE($K$1,$K$2,HSR$4),Table1[],(MATCH(Calendar!$A18,DB!$1:$1,0)),FALSE)&gt;=5,"Good","Bad"),VLOOKUP(DATE($K$1,$K$2,HSR$4),Table1[],(MATCH(Calendar!$A18,DB!$1:$1,0)),FALSE)),"")</f>
        <v/>
      </c>
      <c r="HSS18" s="28" t="str">
        <f>IFERROR(IF(HTB3="No",IF(VLOOKUP(DATE($K$1,$K$2,HSS$4),Table1[],(MATCH(Calendar!$A18,DB!$1:$1,0)),FALSE)&gt;=5,"Good","Bad"),VLOOKUP(DATE($K$1,$K$2,HSS$4),Table1[],(MATCH(Calendar!$A18,DB!$1:$1,0)),FALSE)),"")</f>
        <v/>
      </c>
      <c r="HST18" s="28" t="str">
        <f>IFERROR(IF(HTC3="No",IF(VLOOKUP(DATE($K$1,$K$2,HST$4),Table1[],(MATCH(Calendar!$A18,DB!$1:$1,0)),FALSE)&gt;=5,"Good","Bad"),VLOOKUP(DATE($K$1,$K$2,HST$4),Table1[],(MATCH(Calendar!$A18,DB!$1:$1,0)),FALSE)),"")</f>
        <v/>
      </c>
      <c r="HSU18" s="28" t="str">
        <f>IFERROR(IF(HTD3="No",IF(VLOOKUP(DATE($K$1,$K$2,HSU$4),Table1[],(MATCH(Calendar!$A18,DB!$1:$1,0)),FALSE)&gt;=5,"Good","Bad"),VLOOKUP(DATE($K$1,$K$2,HSU$4),Table1[],(MATCH(Calendar!$A18,DB!$1:$1,0)),FALSE)),"")</f>
        <v/>
      </c>
      <c r="HSV18" s="28" t="str">
        <f>IFERROR(IF(HTE3="No",IF(VLOOKUP(DATE($K$1,$K$2,HSV$4),Table1[],(MATCH(Calendar!$A18,DB!$1:$1,0)),FALSE)&gt;=5,"Good","Bad"),VLOOKUP(DATE($K$1,$K$2,HSV$4),Table1[],(MATCH(Calendar!$A18,DB!$1:$1,0)),FALSE)),"")</f>
        <v/>
      </c>
      <c r="HSW18" s="28" t="str">
        <f>IFERROR(IF(HTF3="No",IF(VLOOKUP(DATE($K$1,$K$2,HSW$4),Table1[],(MATCH(Calendar!$A18,DB!$1:$1,0)),FALSE)&gt;=5,"Good","Bad"),VLOOKUP(DATE($K$1,$K$2,HSW$4),Table1[],(MATCH(Calendar!$A18,DB!$1:$1,0)),FALSE)),"")</f>
        <v/>
      </c>
      <c r="HSX18" s="28" t="str">
        <f>IFERROR(IF(HTG3="No",IF(VLOOKUP(DATE($K$1,$K$2,HSX$4),Table1[],(MATCH(Calendar!$A18,DB!$1:$1,0)),FALSE)&gt;=5,"Good","Bad"),VLOOKUP(DATE($K$1,$K$2,HSX$4),Table1[],(MATCH(Calendar!$A18,DB!$1:$1,0)),FALSE)),"")</f>
        <v/>
      </c>
      <c r="HSY18" s="28" t="str">
        <f>IFERROR(IF(HTH3="No",IF(VLOOKUP(DATE($K$1,$K$2,HSY$4),Table1[],(MATCH(Calendar!$A18,DB!$1:$1,0)),FALSE)&gt;=5,"Good","Bad"),VLOOKUP(DATE($K$1,$K$2,HSY$4),Table1[],(MATCH(Calendar!$A18,DB!$1:$1,0)),FALSE)),"")</f>
        <v/>
      </c>
      <c r="HSZ18" s="28" t="str">
        <f>IFERROR(IF(HTI3="No",IF(VLOOKUP(DATE($K$1,$K$2,HSZ$4),Table1[],(MATCH(Calendar!$A18,DB!$1:$1,0)),FALSE)&gt;=5,"Good","Bad"),VLOOKUP(DATE($K$1,$K$2,HSZ$4),Table1[],(MATCH(Calendar!$A18,DB!$1:$1,0)),FALSE)),"")</f>
        <v/>
      </c>
      <c r="HTA18" s="28" t="str">
        <f>IFERROR(IF(HTJ3="No",IF(VLOOKUP(DATE($K$1,$K$2,HTA$4),Table1[],(MATCH(Calendar!$A18,DB!$1:$1,0)),FALSE)&gt;=5,"Good","Bad"),VLOOKUP(DATE($K$1,$K$2,HTA$4),Table1[],(MATCH(Calendar!$A18,DB!$1:$1,0)),FALSE)),"")</f>
        <v/>
      </c>
      <c r="HTB18" s="28" t="str">
        <f>IFERROR(IF(HTK3="No",IF(VLOOKUP(DATE($K$1,$K$2,HTB$4),Table1[],(MATCH(Calendar!$A18,DB!$1:$1,0)),FALSE)&gt;=5,"Good","Bad"),VLOOKUP(DATE($K$1,$K$2,HTB$4),Table1[],(MATCH(Calendar!$A18,DB!$1:$1,0)),FALSE)),"")</f>
        <v/>
      </c>
      <c r="HTC18" s="28" t="str">
        <f>IFERROR(IF(HTL3="No",IF(VLOOKUP(DATE($K$1,$K$2,HTC$4),Table1[],(MATCH(Calendar!$A18,DB!$1:$1,0)),FALSE)&gt;=5,"Good","Bad"),VLOOKUP(DATE($K$1,$K$2,HTC$4),Table1[],(MATCH(Calendar!$A18,DB!$1:$1,0)),FALSE)),"")</f>
        <v/>
      </c>
      <c r="HTD18" s="28" t="str">
        <f>IFERROR(IF(HTM3="No",IF(VLOOKUP(DATE($K$1,$K$2,HTD$4),Table1[],(MATCH(Calendar!$A18,DB!$1:$1,0)),FALSE)&gt;=5,"Good","Bad"),VLOOKUP(DATE($K$1,$K$2,HTD$4),Table1[],(MATCH(Calendar!$A18,DB!$1:$1,0)),FALSE)),"")</f>
        <v/>
      </c>
      <c r="HTE18" s="28" t="str">
        <f>IFERROR(IF(HTN3="No",IF(VLOOKUP(DATE($K$1,$K$2,HTE$4),Table1[],(MATCH(Calendar!$A18,DB!$1:$1,0)),FALSE)&gt;=5,"Good","Bad"),VLOOKUP(DATE($K$1,$K$2,HTE$4),Table1[],(MATCH(Calendar!$A18,DB!$1:$1,0)),FALSE)),"")</f>
        <v/>
      </c>
      <c r="HTF18" s="28" t="str">
        <f>IFERROR(IF(HTO3="No",IF(VLOOKUP(DATE($K$1,$K$2,HTF$4),Table1[],(MATCH(Calendar!$A18,DB!$1:$1,0)),FALSE)&gt;=5,"Good","Bad"),VLOOKUP(DATE($K$1,$K$2,HTF$4),Table1[],(MATCH(Calendar!$A18,DB!$1:$1,0)),FALSE)),"")</f>
        <v/>
      </c>
      <c r="HTG18" s="28" t="str">
        <f>IFERROR(IF(HTP3="No",IF(VLOOKUP(DATE($K$1,$K$2,HTG$4),Table1[],(MATCH(Calendar!$A18,DB!$1:$1,0)),FALSE)&gt;=5,"Good","Bad"),VLOOKUP(DATE($K$1,$K$2,HTG$4),Table1[],(MATCH(Calendar!$A18,DB!$1:$1,0)),FALSE)),"")</f>
        <v/>
      </c>
      <c r="HTH18" s="28" t="str">
        <f>IFERROR(IF(HTQ3="No",IF(VLOOKUP(DATE($K$1,$K$2,HTH$4),Table1[],(MATCH(Calendar!$A18,DB!$1:$1,0)),FALSE)&gt;=5,"Good","Bad"),VLOOKUP(DATE($K$1,$K$2,HTH$4),Table1[],(MATCH(Calendar!$A18,DB!$1:$1,0)),FALSE)),"")</f>
        <v/>
      </c>
      <c r="HTI18" s="28" t="str">
        <f>IFERROR(IF(HTR3="No",IF(VLOOKUP(DATE($K$1,$K$2,HTI$4),Table1[],(MATCH(Calendar!$A18,DB!$1:$1,0)),FALSE)&gt;=5,"Good","Bad"),VLOOKUP(DATE($K$1,$K$2,HTI$4),Table1[],(MATCH(Calendar!$A18,DB!$1:$1,0)),FALSE)),"")</f>
        <v/>
      </c>
      <c r="HTJ18" s="28" t="str">
        <f>IFERROR(IF(HTS3="No",IF(VLOOKUP(DATE($K$1,$K$2,HTJ$4),Table1[],(MATCH(Calendar!$A18,DB!$1:$1,0)),FALSE)&gt;=5,"Good","Bad"),VLOOKUP(DATE($K$1,$K$2,HTJ$4),Table1[],(MATCH(Calendar!$A18,DB!$1:$1,0)),FALSE)),"")</f>
        <v/>
      </c>
      <c r="HTK18" s="28" t="str">
        <f>IFERROR(IF(HTT3="No",IF(VLOOKUP(DATE($K$1,$K$2,HTK$4),Table1[],(MATCH(Calendar!$A18,DB!$1:$1,0)),FALSE)&gt;=5,"Good","Bad"),VLOOKUP(DATE($K$1,$K$2,HTK$4),Table1[],(MATCH(Calendar!$A18,DB!$1:$1,0)),FALSE)),"")</f>
        <v/>
      </c>
      <c r="HTL18" s="28" t="str">
        <f>IFERROR(IF(HTU3="No",IF(VLOOKUP(DATE($K$1,$K$2,HTL$4),Table1[],(MATCH(Calendar!$A18,DB!$1:$1,0)),FALSE)&gt;=5,"Good","Bad"),VLOOKUP(DATE($K$1,$K$2,HTL$4),Table1[],(MATCH(Calendar!$A18,DB!$1:$1,0)),FALSE)),"")</f>
        <v/>
      </c>
      <c r="HTM18" s="28" t="str">
        <f>IFERROR(IF(HTV3="No",IF(VLOOKUP(DATE($K$1,$K$2,HTM$4),Table1[],(MATCH(Calendar!$A18,DB!$1:$1,0)),FALSE)&gt;=5,"Good","Bad"),VLOOKUP(DATE($K$1,$K$2,HTM$4),Table1[],(MATCH(Calendar!$A18,DB!$1:$1,0)),FALSE)),"")</f>
        <v/>
      </c>
      <c r="HTN18" s="28" t="str">
        <f>IFERROR(IF(HTW3="No",IF(VLOOKUP(DATE($K$1,$K$2,HTN$4),Table1[],(MATCH(Calendar!$A18,DB!$1:$1,0)),FALSE)&gt;=5,"Good","Bad"),VLOOKUP(DATE($K$1,$K$2,HTN$4),Table1[],(MATCH(Calendar!$A18,DB!$1:$1,0)),FALSE)),"")</f>
        <v/>
      </c>
      <c r="HTO18" s="28" t="str">
        <f>IFERROR(IF(HTX3="No",IF(VLOOKUP(DATE($K$1,$K$2,HTO$4),Table1[],(MATCH(Calendar!$A18,DB!$1:$1,0)),FALSE)&gt;=5,"Good","Bad"),VLOOKUP(DATE($K$1,$K$2,HTO$4),Table1[],(MATCH(Calendar!$A18,DB!$1:$1,0)),FALSE)),"")</f>
        <v/>
      </c>
      <c r="HTP18" s="28" t="str">
        <f>IFERROR(IF(HTY3="No",IF(VLOOKUP(DATE($K$1,$K$2,HTP$4),Table1[],(MATCH(Calendar!$A18,DB!$1:$1,0)),FALSE)&gt;=5,"Good","Bad"),VLOOKUP(DATE($K$1,$K$2,HTP$4),Table1[],(MATCH(Calendar!$A18,DB!$1:$1,0)),FALSE)),"")</f>
        <v/>
      </c>
      <c r="HTQ18" s="28" t="str">
        <f>IFERROR(IF(HTZ3="No",IF(VLOOKUP(DATE($K$1,$K$2,HTQ$4),Table1[],(MATCH(Calendar!$A18,DB!$1:$1,0)),FALSE)&gt;=5,"Good","Bad"),VLOOKUP(DATE($K$1,$K$2,HTQ$4),Table1[],(MATCH(Calendar!$A18,DB!$1:$1,0)),FALSE)),"")</f>
        <v/>
      </c>
      <c r="HTR18" s="28" t="str">
        <f>IFERROR(IF(HUA3="No",IF(VLOOKUP(DATE($K$1,$K$2,HTR$4),Table1[],(MATCH(Calendar!$A18,DB!$1:$1,0)),FALSE)&gt;=5,"Good","Bad"),VLOOKUP(DATE($K$1,$K$2,HTR$4),Table1[],(MATCH(Calendar!$A18,DB!$1:$1,0)),FALSE)),"")</f>
        <v/>
      </c>
      <c r="HTS18" s="28" t="str">
        <f>IFERROR(IF(HUB3="No",IF(VLOOKUP(DATE($K$1,$K$2,HTS$4),Table1[],(MATCH(Calendar!$A18,DB!$1:$1,0)),FALSE)&gt;=5,"Good","Bad"),VLOOKUP(DATE($K$1,$K$2,HTS$4),Table1[],(MATCH(Calendar!$A18,DB!$1:$1,0)),FALSE)),"")</f>
        <v/>
      </c>
      <c r="HTT18" s="28" t="str">
        <f>IFERROR(IF(HUC3="No",IF(VLOOKUP(DATE($K$1,$K$2,HTT$4),Table1[],(MATCH(Calendar!$A18,DB!$1:$1,0)),FALSE)&gt;=5,"Good","Bad"),VLOOKUP(DATE($K$1,$K$2,HTT$4),Table1[],(MATCH(Calendar!$A18,DB!$1:$1,0)),FALSE)),"")</f>
        <v/>
      </c>
      <c r="HTU18" s="28" t="str">
        <f>IFERROR(IF(HUD3="No",IF(VLOOKUP(DATE($K$1,$K$2,HTU$4),Table1[],(MATCH(Calendar!$A18,DB!$1:$1,0)),FALSE)&gt;=5,"Good","Bad"),VLOOKUP(DATE($K$1,$K$2,HTU$4),Table1[],(MATCH(Calendar!$A18,DB!$1:$1,0)),FALSE)),"")</f>
        <v/>
      </c>
      <c r="HTV18" s="28" t="str">
        <f>IFERROR(IF(HUE3="No",IF(VLOOKUP(DATE($K$1,$K$2,HTV$4),Table1[],(MATCH(Calendar!$A18,DB!$1:$1,0)),FALSE)&gt;=5,"Good","Bad"),VLOOKUP(DATE($K$1,$K$2,HTV$4),Table1[],(MATCH(Calendar!$A18,DB!$1:$1,0)),FALSE)),"")</f>
        <v/>
      </c>
      <c r="HTW18" s="28" t="str">
        <f>IFERROR(IF(HUF3="No",IF(VLOOKUP(DATE($K$1,$K$2,HTW$4),Table1[],(MATCH(Calendar!$A18,DB!$1:$1,0)),FALSE)&gt;=5,"Good","Bad"),VLOOKUP(DATE($K$1,$K$2,HTW$4),Table1[],(MATCH(Calendar!$A18,DB!$1:$1,0)),FALSE)),"")</f>
        <v/>
      </c>
      <c r="HTX18" s="28" t="str">
        <f>IFERROR(IF(HUG3="No",IF(VLOOKUP(DATE($K$1,$K$2,HTX$4),Table1[],(MATCH(Calendar!$A18,DB!$1:$1,0)),FALSE)&gt;=5,"Good","Bad"),VLOOKUP(DATE($K$1,$K$2,HTX$4),Table1[],(MATCH(Calendar!$A18,DB!$1:$1,0)),FALSE)),"")</f>
        <v/>
      </c>
      <c r="HTY18" s="28" t="str">
        <f>IFERROR(IF(HUH3="No",IF(VLOOKUP(DATE($K$1,$K$2,HTY$4),Table1[],(MATCH(Calendar!$A18,DB!$1:$1,0)),FALSE)&gt;=5,"Good","Bad"),VLOOKUP(DATE($K$1,$K$2,HTY$4),Table1[],(MATCH(Calendar!$A18,DB!$1:$1,0)),FALSE)),"")</f>
        <v/>
      </c>
      <c r="HTZ18" s="28" t="str">
        <f>IFERROR(IF(HUI3="No",IF(VLOOKUP(DATE($K$1,$K$2,HTZ$4),Table1[],(MATCH(Calendar!$A18,DB!$1:$1,0)),FALSE)&gt;=5,"Good","Bad"),VLOOKUP(DATE($K$1,$K$2,HTZ$4),Table1[],(MATCH(Calendar!$A18,DB!$1:$1,0)),FALSE)),"")</f>
        <v/>
      </c>
      <c r="HUA18" s="28" t="str">
        <f>IFERROR(IF(HUJ3="No",IF(VLOOKUP(DATE($K$1,$K$2,HUA$4),Table1[],(MATCH(Calendar!$A18,DB!$1:$1,0)),FALSE)&gt;=5,"Good","Bad"),VLOOKUP(DATE($K$1,$K$2,HUA$4),Table1[],(MATCH(Calendar!$A18,DB!$1:$1,0)),FALSE)),"")</f>
        <v/>
      </c>
      <c r="HUB18" s="28" t="str">
        <f>IFERROR(IF(HUK3="No",IF(VLOOKUP(DATE($K$1,$K$2,HUB$4),Table1[],(MATCH(Calendar!$A18,DB!$1:$1,0)),FALSE)&gt;=5,"Good","Bad"),VLOOKUP(DATE($K$1,$K$2,HUB$4),Table1[],(MATCH(Calendar!$A18,DB!$1:$1,0)),FALSE)),"")</f>
        <v/>
      </c>
      <c r="HUC18" s="28" t="str">
        <f>IFERROR(IF(HUL3="No",IF(VLOOKUP(DATE($K$1,$K$2,HUC$4),Table1[],(MATCH(Calendar!$A18,DB!$1:$1,0)),FALSE)&gt;=5,"Good","Bad"),VLOOKUP(DATE($K$1,$K$2,HUC$4),Table1[],(MATCH(Calendar!$A18,DB!$1:$1,0)),FALSE)),"")</f>
        <v/>
      </c>
      <c r="HUD18" s="28" t="str">
        <f>IFERROR(IF(HUM3="No",IF(VLOOKUP(DATE($K$1,$K$2,HUD$4),Table1[],(MATCH(Calendar!$A18,DB!$1:$1,0)),FALSE)&gt;=5,"Good","Bad"),VLOOKUP(DATE($K$1,$K$2,HUD$4),Table1[],(MATCH(Calendar!$A18,DB!$1:$1,0)),FALSE)),"")</f>
        <v/>
      </c>
      <c r="HUE18" s="28" t="str">
        <f>IFERROR(IF(HUN3="No",IF(VLOOKUP(DATE($K$1,$K$2,HUE$4),Table1[],(MATCH(Calendar!$A18,DB!$1:$1,0)),FALSE)&gt;=5,"Good","Bad"),VLOOKUP(DATE($K$1,$K$2,HUE$4),Table1[],(MATCH(Calendar!$A18,DB!$1:$1,0)),FALSE)),"")</f>
        <v/>
      </c>
      <c r="HUF18" s="28" t="str">
        <f>IFERROR(IF(HUO3="No",IF(VLOOKUP(DATE($K$1,$K$2,HUF$4),Table1[],(MATCH(Calendar!$A18,DB!$1:$1,0)),FALSE)&gt;=5,"Good","Bad"),VLOOKUP(DATE($K$1,$K$2,HUF$4),Table1[],(MATCH(Calendar!$A18,DB!$1:$1,0)),FALSE)),"")</f>
        <v/>
      </c>
      <c r="HUG18" s="28" t="str">
        <f>IFERROR(IF(HUP3="No",IF(VLOOKUP(DATE($K$1,$K$2,HUG$4),Table1[],(MATCH(Calendar!$A18,DB!$1:$1,0)),FALSE)&gt;=5,"Good","Bad"),VLOOKUP(DATE($K$1,$K$2,HUG$4),Table1[],(MATCH(Calendar!$A18,DB!$1:$1,0)),FALSE)),"")</f>
        <v/>
      </c>
      <c r="HUH18" s="28" t="str">
        <f>IFERROR(IF(HUQ3="No",IF(VLOOKUP(DATE($K$1,$K$2,HUH$4),Table1[],(MATCH(Calendar!$A18,DB!$1:$1,0)),FALSE)&gt;=5,"Good","Bad"),VLOOKUP(DATE($K$1,$K$2,HUH$4),Table1[],(MATCH(Calendar!$A18,DB!$1:$1,0)),FALSE)),"")</f>
        <v/>
      </c>
      <c r="HUI18" s="28" t="str">
        <f>IFERROR(IF(HUR3="No",IF(VLOOKUP(DATE($K$1,$K$2,HUI$4),Table1[],(MATCH(Calendar!$A18,DB!$1:$1,0)),FALSE)&gt;=5,"Good","Bad"),VLOOKUP(DATE($K$1,$K$2,HUI$4),Table1[],(MATCH(Calendar!$A18,DB!$1:$1,0)),FALSE)),"")</f>
        <v/>
      </c>
      <c r="HUJ18" s="28" t="str">
        <f>IFERROR(IF(HUS3="No",IF(VLOOKUP(DATE($K$1,$K$2,HUJ$4),Table1[],(MATCH(Calendar!$A18,DB!$1:$1,0)),FALSE)&gt;=5,"Good","Bad"),VLOOKUP(DATE($K$1,$K$2,HUJ$4),Table1[],(MATCH(Calendar!$A18,DB!$1:$1,0)),FALSE)),"")</f>
        <v/>
      </c>
      <c r="HUK18" s="28" t="str">
        <f>IFERROR(IF(HUT3="No",IF(VLOOKUP(DATE($K$1,$K$2,HUK$4),Table1[],(MATCH(Calendar!$A18,DB!$1:$1,0)),FALSE)&gt;=5,"Good","Bad"),VLOOKUP(DATE($K$1,$K$2,HUK$4),Table1[],(MATCH(Calendar!$A18,DB!$1:$1,0)),FALSE)),"")</f>
        <v/>
      </c>
      <c r="HUL18" s="28" t="str">
        <f>IFERROR(IF(HUU3="No",IF(VLOOKUP(DATE($K$1,$K$2,HUL$4),Table1[],(MATCH(Calendar!$A18,DB!$1:$1,0)),FALSE)&gt;=5,"Good","Bad"),VLOOKUP(DATE($K$1,$K$2,HUL$4),Table1[],(MATCH(Calendar!$A18,DB!$1:$1,0)),FALSE)),"")</f>
        <v/>
      </c>
      <c r="HUM18" s="28" t="str">
        <f>IFERROR(IF(HUV3="No",IF(VLOOKUP(DATE($K$1,$K$2,HUM$4),Table1[],(MATCH(Calendar!$A18,DB!$1:$1,0)),FALSE)&gt;=5,"Good","Bad"),VLOOKUP(DATE($K$1,$K$2,HUM$4),Table1[],(MATCH(Calendar!$A18,DB!$1:$1,0)),FALSE)),"")</f>
        <v/>
      </c>
      <c r="HUN18" s="28" t="str">
        <f>IFERROR(IF(HUW3="No",IF(VLOOKUP(DATE($K$1,$K$2,HUN$4),Table1[],(MATCH(Calendar!$A18,DB!$1:$1,0)),FALSE)&gt;=5,"Good","Bad"),VLOOKUP(DATE($K$1,$K$2,HUN$4),Table1[],(MATCH(Calendar!$A18,DB!$1:$1,0)),FALSE)),"")</f>
        <v/>
      </c>
      <c r="HUO18" s="28" t="str">
        <f>IFERROR(IF(HUX3="No",IF(VLOOKUP(DATE($K$1,$K$2,HUO$4),Table1[],(MATCH(Calendar!$A18,DB!$1:$1,0)),FALSE)&gt;=5,"Good","Bad"),VLOOKUP(DATE($K$1,$K$2,HUO$4),Table1[],(MATCH(Calendar!$A18,DB!$1:$1,0)),FALSE)),"")</f>
        <v/>
      </c>
      <c r="HUP18" s="28" t="str">
        <f>IFERROR(IF(HUY3="No",IF(VLOOKUP(DATE($K$1,$K$2,HUP$4),Table1[],(MATCH(Calendar!$A18,DB!$1:$1,0)),FALSE)&gt;=5,"Good","Bad"),VLOOKUP(DATE($K$1,$K$2,HUP$4),Table1[],(MATCH(Calendar!$A18,DB!$1:$1,0)),FALSE)),"")</f>
        <v/>
      </c>
      <c r="HUQ18" s="28" t="str">
        <f>IFERROR(IF(HUZ3="No",IF(VLOOKUP(DATE($K$1,$K$2,HUQ$4),Table1[],(MATCH(Calendar!$A18,DB!$1:$1,0)),FALSE)&gt;=5,"Good","Bad"),VLOOKUP(DATE($K$1,$K$2,HUQ$4),Table1[],(MATCH(Calendar!$A18,DB!$1:$1,0)),FALSE)),"")</f>
        <v/>
      </c>
      <c r="HUR18" s="28" t="str">
        <f>IFERROR(IF(HVA3="No",IF(VLOOKUP(DATE($K$1,$K$2,HUR$4),Table1[],(MATCH(Calendar!$A18,DB!$1:$1,0)),FALSE)&gt;=5,"Good","Bad"),VLOOKUP(DATE($K$1,$K$2,HUR$4),Table1[],(MATCH(Calendar!$A18,DB!$1:$1,0)),FALSE)),"")</f>
        <v/>
      </c>
      <c r="HUS18" s="28" t="str">
        <f>IFERROR(IF(HVB3="No",IF(VLOOKUP(DATE($K$1,$K$2,HUS$4),Table1[],(MATCH(Calendar!$A18,DB!$1:$1,0)),FALSE)&gt;=5,"Good","Bad"),VLOOKUP(DATE($K$1,$K$2,HUS$4),Table1[],(MATCH(Calendar!$A18,DB!$1:$1,0)),FALSE)),"")</f>
        <v/>
      </c>
      <c r="HUT18" s="28" t="str">
        <f>IFERROR(IF(HVC3="No",IF(VLOOKUP(DATE($K$1,$K$2,HUT$4),Table1[],(MATCH(Calendar!$A18,DB!$1:$1,0)),FALSE)&gt;=5,"Good","Bad"),VLOOKUP(DATE($K$1,$K$2,HUT$4),Table1[],(MATCH(Calendar!$A18,DB!$1:$1,0)),FALSE)),"")</f>
        <v/>
      </c>
      <c r="HUU18" s="28" t="str">
        <f>IFERROR(IF(HVD3="No",IF(VLOOKUP(DATE($K$1,$K$2,HUU$4),Table1[],(MATCH(Calendar!$A18,DB!$1:$1,0)),FALSE)&gt;=5,"Good","Bad"),VLOOKUP(DATE($K$1,$K$2,HUU$4),Table1[],(MATCH(Calendar!$A18,DB!$1:$1,0)),FALSE)),"")</f>
        <v/>
      </c>
      <c r="HUV18" s="28" t="str">
        <f>IFERROR(IF(HVE3="No",IF(VLOOKUP(DATE($K$1,$K$2,HUV$4),Table1[],(MATCH(Calendar!$A18,DB!$1:$1,0)),FALSE)&gt;=5,"Good","Bad"),VLOOKUP(DATE($K$1,$K$2,HUV$4),Table1[],(MATCH(Calendar!$A18,DB!$1:$1,0)),FALSE)),"")</f>
        <v/>
      </c>
      <c r="HUW18" s="28" t="str">
        <f>IFERROR(IF(HVF3="No",IF(VLOOKUP(DATE($K$1,$K$2,HUW$4),Table1[],(MATCH(Calendar!$A18,DB!$1:$1,0)),FALSE)&gt;=5,"Good","Bad"),VLOOKUP(DATE($K$1,$K$2,HUW$4),Table1[],(MATCH(Calendar!$A18,DB!$1:$1,0)),FALSE)),"")</f>
        <v/>
      </c>
      <c r="HUX18" s="28" t="str">
        <f>IFERROR(IF(HVG3="No",IF(VLOOKUP(DATE($K$1,$K$2,HUX$4),Table1[],(MATCH(Calendar!$A18,DB!$1:$1,0)),FALSE)&gt;=5,"Good","Bad"),VLOOKUP(DATE($K$1,$K$2,HUX$4),Table1[],(MATCH(Calendar!$A18,DB!$1:$1,0)),FALSE)),"")</f>
        <v/>
      </c>
      <c r="HUY18" s="28" t="str">
        <f>IFERROR(IF(HVH3="No",IF(VLOOKUP(DATE($K$1,$K$2,HUY$4),Table1[],(MATCH(Calendar!$A18,DB!$1:$1,0)),FALSE)&gt;=5,"Good","Bad"),VLOOKUP(DATE($K$1,$K$2,HUY$4),Table1[],(MATCH(Calendar!$A18,DB!$1:$1,0)),FALSE)),"")</f>
        <v/>
      </c>
      <c r="HUZ18" s="28" t="str">
        <f>IFERROR(IF(HVI3="No",IF(VLOOKUP(DATE($K$1,$K$2,HUZ$4),Table1[],(MATCH(Calendar!$A18,DB!$1:$1,0)),FALSE)&gt;=5,"Good","Bad"),VLOOKUP(DATE($K$1,$K$2,HUZ$4),Table1[],(MATCH(Calendar!$A18,DB!$1:$1,0)),FALSE)),"")</f>
        <v/>
      </c>
      <c r="HVA18" s="28" t="str">
        <f>IFERROR(IF(HVJ3="No",IF(VLOOKUP(DATE($K$1,$K$2,HVA$4),Table1[],(MATCH(Calendar!$A18,DB!$1:$1,0)),FALSE)&gt;=5,"Good","Bad"),VLOOKUP(DATE($K$1,$K$2,HVA$4),Table1[],(MATCH(Calendar!$A18,DB!$1:$1,0)),FALSE)),"")</f>
        <v/>
      </c>
      <c r="HVB18" s="28" t="str">
        <f>IFERROR(IF(HVK3="No",IF(VLOOKUP(DATE($K$1,$K$2,HVB$4),Table1[],(MATCH(Calendar!$A18,DB!$1:$1,0)),FALSE)&gt;=5,"Good","Bad"),VLOOKUP(DATE($K$1,$K$2,HVB$4),Table1[],(MATCH(Calendar!$A18,DB!$1:$1,0)),FALSE)),"")</f>
        <v/>
      </c>
      <c r="HVC18" s="28" t="str">
        <f>IFERROR(IF(HVL3="No",IF(VLOOKUP(DATE($K$1,$K$2,HVC$4),Table1[],(MATCH(Calendar!$A18,DB!$1:$1,0)),FALSE)&gt;=5,"Good","Bad"),VLOOKUP(DATE($K$1,$K$2,HVC$4),Table1[],(MATCH(Calendar!$A18,DB!$1:$1,0)),FALSE)),"")</f>
        <v/>
      </c>
      <c r="HVD18" s="28" t="str">
        <f>IFERROR(IF(HVM3="No",IF(VLOOKUP(DATE($K$1,$K$2,HVD$4),Table1[],(MATCH(Calendar!$A18,DB!$1:$1,0)),FALSE)&gt;=5,"Good","Bad"),VLOOKUP(DATE($K$1,$K$2,HVD$4),Table1[],(MATCH(Calendar!$A18,DB!$1:$1,0)),FALSE)),"")</f>
        <v/>
      </c>
      <c r="HVE18" s="28" t="str">
        <f>IFERROR(IF(HVN3="No",IF(VLOOKUP(DATE($K$1,$K$2,HVE$4),Table1[],(MATCH(Calendar!$A18,DB!$1:$1,0)),FALSE)&gt;=5,"Good","Bad"),VLOOKUP(DATE($K$1,$K$2,HVE$4),Table1[],(MATCH(Calendar!$A18,DB!$1:$1,0)),FALSE)),"")</f>
        <v/>
      </c>
      <c r="HVF18" s="28" t="str">
        <f>IFERROR(IF(HVO3="No",IF(VLOOKUP(DATE($K$1,$K$2,HVF$4),Table1[],(MATCH(Calendar!$A18,DB!$1:$1,0)),FALSE)&gt;=5,"Good","Bad"),VLOOKUP(DATE($K$1,$K$2,HVF$4),Table1[],(MATCH(Calendar!$A18,DB!$1:$1,0)),FALSE)),"")</f>
        <v/>
      </c>
      <c r="HVG18" s="28" t="str">
        <f>IFERROR(IF(HVP3="No",IF(VLOOKUP(DATE($K$1,$K$2,HVG$4),Table1[],(MATCH(Calendar!$A18,DB!$1:$1,0)),FALSE)&gt;=5,"Good","Bad"),VLOOKUP(DATE($K$1,$K$2,HVG$4),Table1[],(MATCH(Calendar!$A18,DB!$1:$1,0)),FALSE)),"")</f>
        <v/>
      </c>
      <c r="HVH18" s="28" t="str">
        <f>IFERROR(IF(HVQ3="No",IF(VLOOKUP(DATE($K$1,$K$2,HVH$4),Table1[],(MATCH(Calendar!$A18,DB!$1:$1,0)),FALSE)&gt;=5,"Good","Bad"),VLOOKUP(DATE($K$1,$K$2,HVH$4),Table1[],(MATCH(Calendar!$A18,DB!$1:$1,0)),FALSE)),"")</f>
        <v/>
      </c>
      <c r="HVI18" s="28" t="str">
        <f>IFERROR(IF(HVR3="No",IF(VLOOKUP(DATE($K$1,$K$2,HVI$4),Table1[],(MATCH(Calendar!$A18,DB!$1:$1,0)),FALSE)&gt;=5,"Good","Bad"),VLOOKUP(DATE($K$1,$K$2,HVI$4),Table1[],(MATCH(Calendar!$A18,DB!$1:$1,0)),FALSE)),"")</f>
        <v/>
      </c>
      <c r="HVJ18" s="28" t="str">
        <f>IFERROR(IF(HVS3="No",IF(VLOOKUP(DATE($K$1,$K$2,HVJ$4),Table1[],(MATCH(Calendar!$A18,DB!$1:$1,0)),FALSE)&gt;=5,"Good","Bad"),VLOOKUP(DATE($K$1,$K$2,HVJ$4),Table1[],(MATCH(Calendar!$A18,DB!$1:$1,0)),FALSE)),"")</f>
        <v/>
      </c>
      <c r="HVK18" s="28" t="str">
        <f>IFERROR(IF(HVT3="No",IF(VLOOKUP(DATE($K$1,$K$2,HVK$4),Table1[],(MATCH(Calendar!$A18,DB!$1:$1,0)),FALSE)&gt;=5,"Good","Bad"),VLOOKUP(DATE($K$1,$K$2,HVK$4),Table1[],(MATCH(Calendar!$A18,DB!$1:$1,0)),FALSE)),"")</f>
        <v/>
      </c>
      <c r="HVL18" s="28" t="str">
        <f>IFERROR(IF(HVU3="No",IF(VLOOKUP(DATE($K$1,$K$2,HVL$4),Table1[],(MATCH(Calendar!$A18,DB!$1:$1,0)),FALSE)&gt;=5,"Good","Bad"),VLOOKUP(DATE($K$1,$K$2,HVL$4),Table1[],(MATCH(Calendar!$A18,DB!$1:$1,0)),FALSE)),"")</f>
        <v/>
      </c>
      <c r="HVM18" s="28" t="str">
        <f>IFERROR(IF(HVV3="No",IF(VLOOKUP(DATE($K$1,$K$2,HVM$4),Table1[],(MATCH(Calendar!$A18,DB!$1:$1,0)),FALSE)&gt;=5,"Good","Bad"),VLOOKUP(DATE($K$1,$K$2,HVM$4),Table1[],(MATCH(Calendar!$A18,DB!$1:$1,0)),FALSE)),"")</f>
        <v/>
      </c>
      <c r="HVN18" s="28" t="str">
        <f>IFERROR(IF(HVW3="No",IF(VLOOKUP(DATE($K$1,$K$2,HVN$4),Table1[],(MATCH(Calendar!$A18,DB!$1:$1,0)),FALSE)&gt;=5,"Good","Bad"),VLOOKUP(DATE($K$1,$K$2,HVN$4),Table1[],(MATCH(Calendar!$A18,DB!$1:$1,0)),FALSE)),"")</f>
        <v/>
      </c>
      <c r="HVO18" s="28" t="str">
        <f>IFERROR(IF(HVX3="No",IF(VLOOKUP(DATE($K$1,$K$2,HVO$4),Table1[],(MATCH(Calendar!$A18,DB!$1:$1,0)),FALSE)&gt;=5,"Good","Bad"),VLOOKUP(DATE($K$1,$K$2,HVO$4),Table1[],(MATCH(Calendar!$A18,DB!$1:$1,0)),FALSE)),"")</f>
        <v/>
      </c>
      <c r="HVP18" s="28" t="str">
        <f>IFERROR(IF(HVY3="No",IF(VLOOKUP(DATE($K$1,$K$2,HVP$4),Table1[],(MATCH(Calendar!$A18,DB!$1:$1,0)),FALSE)&gt;=5,"Good","Bad"),VLOOKUP(DATE($K$1,$K$2,HVP$4),Table1[],(MATCH(Calendar!$A18,DB!$1:$1,0)),FALSE)),"")</f>
        <v/>
      </c>
      <c r="HVQ18" s="28" t="str">
        <f>IFERROR(IF(HVZ3="No",IF(VLOOKUP(DATE($K$1,$K$2,HVQ$4),Table1[],(MATCH(Calendar!$A18,DB!$1:$1,0)),FALSE)&gt;=5,"Good","Bad"),VLOOKUP(DATE($K$1,$K$2,HVQ$4),Table1[],(MATCH(Calendar!$A18,DB!$1:$1,0)),FALSE)),"")</f>
        <v/>
      </c>
      <c r="HVR18" s="28" t="str">
        <f>IFERROR(IF(HWA3="No",IF(VLOOKUP(DATE($K$1,$K$2,HVR$4),Table1[],(MATCH(Calendar!$A18,DB!$1:$1,0)),FALSE)&gt;=5,"Good","Bad"),VLOOKUP(DATE($K$1,$K$2,HVR$4),Table1[],(MATCH(Calendar!$A18,DB!$1:$1,0)),FALSE)),"")</f>
        <v/>
      </c>
      <c r="HVS18" s="28" t="str">
        <f>IFERROR(IF(HWB3="No",IF(VLOOKUP(DATE($K$1,$K$2,HVS$4),Table1[],(MATCH(Calendar!$A18,DB!$1:$1,0)),FALSE)&gt;=5,"Good","Bad"),VLOOKUP(DATE($K$1,$K$2,HVS$4),Table1[],(MATCH(Calendar!$A18,DB!$1:$1,0)),FALSE)),"")</f>
        <v/>
      </c>
      <c r="HVT18" s="28" t="str">
        <f>IFERROR(IF(HWC3="No",IF(VLOOKUP(DATE($K$1,$K$2,HVT$4),Table1[],(MATCH(Calendar!$A18,DB!$1:$1,0)),FALSE)&gt;=5,"Good","Bad"),VLOOKUP(DATE($K$1,$K$2,HVT$4),Table1[],(MATCH(Calendar!$A18,DB!$1:$1,0)),FALSE)),"")</f>
        <v/>
      </c>
      <c r="HVU18" s="28" t="str">
        <f>IFERROR(IF(HWD3="No",IF(VLOOKUP(DATE($K$1,$K$2,HVU$4),Table1[],(MATCH(Calendar!$A18,DB!$1:$1,0)),FALSE)&gt;=5,"Good","Bad"),VLOOKUP(DATE($K$1,$K$2,HVU$4),Table1[],(MATCH(Calendar!$A18,DB!$1:$1,0)),FALSE)),"")</f>
        <v/>
      </c>
      <c r="HVV18" s="28" t="str">
        <f>IFERROR(IF(HWE3="No",IF(VLOOKUP(DATE($K$1,$K$2,HVV$4),Table1[],(MATCH(Calendar!$A18,DB!$1:$1,0)),FALSE)&gt;=5,"Good","Bad"),VLOOKUP(DATE($K$1,$K$2,HVV$4),Table1[],(MATCH(Calendar!$A18,DB!$1:$1,0)),FALSE)),"")</f>
        <v/>
      </c>
      <c r="HVW18" s="28" t="str">
        <f>IFERROR(IF(HWF3="No",IF(VLOOKUP(DATE($K$1,$K$2,HVW$4),Table1[],(MATCH(Calendar!$A18,DB!$1:$1,0)),FALSE)&gt;=5,"Good","Bad"),VLOOKUP(DATE($K$1,$K$2,HVW$4),Table1[],(MATCH(Calendar!$A18,DB!$1:$1,0)),FALSE)),"")</f>
        <v/>
      </c>
      <c r="HVX18" s="28" t="str">
        <f>IFERROR(IF(HWG3="No",IF(VLOOKUP(DATE($K$1,$K$2,HVX$4),Table1[],(MATCH(Calendar!$A18,DB!$1:$1,0)),FALSE)&gt;=5,"Good","Bad"),VLOOKUP(DATE($K$1,$K$2,HVX$4),Table1[],(MATCH(Calendar!$A18,DB!$1:$1,0)),FALSE)),"")</f>
        <v/>
      </c>
      <c r="HVY18" s="28" t="str">
        <f>IFERROR(IF(HWH3="No",IF(VLOOKUP(DATE($K$1,$K$2,HVY$4),Table1[],(MATCH(Calendar!$A18,DB!$1:$1,0)),FALSE)&gt;=5,"Good","Bad"),VLOOKUP(DATE($K$1,$K$2,HVY$4),Table1[],(MATCH(Calendar!$A18,DB!$1:$1,0)),FALSE)),"")</f>
        <v/>
      </c>
      <c r="HVZ18" s="28" t="str">
        <f>IFERROR(IF(HWI3="No",IF(VLOOKUP(DATE($K$1,$K$2,HVZ$4),Table1[],(MATCH(Calendar!$A18,DB!$1:$1,0)),FALSE)&gt;=5,"Good","Bad"),VLOOKUP(DATE($K$1,$K$2,HVZ$4),Table1[],(MATCH(Calendar!$A18,DB!$1:$1,0)),FALSE)),"")</f>
        <v/>
      </c>
      <c r="HWA18" s="28" t="str">
        <f>IFERROR(IF(HWJ3="No",IF(VLOOKUP(DATE($K$1,$K$2,HWA$4),Table1[],(MATCH(Calendar!$A18,DB!$1:$1,0)),FALSE)&gt;=5,"Good","Bad"),VLOOKUP(DATE($K$1,$K$2,HWA$4),Table1[],(MATCH(Calendar!$A18,DB!$1:$1,0)),FALSE)),"")</f>
        <v/>
      </c>
      <c r="HWB18" s="28" t="str">
        <f>IFERROR(IF(HWK3="No",IF(VLOOKUP(DATE($K$1,$K$2,HWB$4),Table1[],(MATCH(Calendar!$A18,DB!$1:$1,0)),FALSE)&gt;=5,"Good","Bad"),VLOOKUP(DATE($K$1,$K$2,HWB$4),Table1[],(MATCH(Calendar!$A18,DB!$1:$1,0)),FALSE)),"")</f>
        <v/>
      </c>
      <c r="HWC18" s="28" t="str">
        <f>IFERROR(IF(HWL3="No",IF(VLOOKUP(DATE($K$1,$K$2,HWC$4),Table1[],(MATCH(Calendar!$A18,DB!$1:$1,0)),FALSE)&gt;=5,"Good","Bad"),VLOOKUP(DATE($K$1,$K$2,HWC$4),Table1[],(MATCH(Calendar!$A18,DB!$1:$1,0)),FALSE)),"")</f>
        <v/>
      </c>
      <c r="HWD18" s="28" t="str">
        <f>IFERROR(IF(HWM3="No",IF(VLOOKUP(DATE($K$1,$K$2,HWD$4),Table1[],(MATCH(Calendar!$A18,DB!$1:$1,0)),FALSE)&gt;=5,"Good","Bad"),VLOOKUP(DATE($K$1,$K$2,HWD$4),Table1[],(MATCH(Calendar!$A18,DB!$1:$1,0)),FALSE)),"")</f>
        <v/>
      </c>
      <c r="HWE18" s="28" t="str">
        <f>IFERROR(IF(HWN3="No",IF(VLOOKUP(DATE($K$1,$K$2,HWE$4),Table1[],(MATCH(Calendar!$A18,DB!$1:$1,0)),FALSE)&gt;=5,"Good","Bad"),VLOOKUP(DATE($K$1,$K$2,HWE$4),Table1[],(MATCH(Calendar!$A18,DB!$1:$1,0)),FALSE)),"")</f>
        <v/>
      </c>
      <c r="HWF18" s="28" t="str">
        <f>IFERROR(IF(HWO3="No",IF(VLOOKUP(DATE($K$1,$K$2,HWF$4),Table1[],(MATCH(Calendar!$A18,DB!$1:$1,0)),FALSE)&gt;=5,"Good","Bad"),VLOOKUP(DATE($K$1,$K$2,HWF$4),Table1[],(MATCH(Calendar!$A18,DB!$1:$1,0)),FALSE)),"")</f>
        <v/>
      </c>
      <c r="HWG18" s="28" t="str">
        <f>IFERROR(IF(HWP3="No",IF(VLOOKUP(DATE($K$1,$K$2,HWG$4),Table1[],(MATCH(Calendar!$A18,DB!$1:$1,0)),FALSE)&gt;=5,"Good","Bad"),VLOOKUP(DATE($K$1,$K$2,HWG$4),Table1[],(MATCH(Calendar!$A18,DB!$1:$1,0)),FALSE)),"")</f>
        <v/>
      </c>
      <c r="HWH18" s="28" t="str">
        <f>IFERROR(IF(HWQ3="No",IF(VLOOKUP(DATE($K$1,$K$2,HWH$4),Table1[],(MATCH(Calendar!$A18,DB!$1:$1,0)),FALSE)&gt;=5,"Good","Bad"),VLOOKUP(DATE($K$1,$K$2,HWH$4),Table1[],(MATCH(Calendar!$A18,DB!$1:$1,0)),FALSE)),"")</f>
        <v/>
      </c>
      <c r="HWI18" s="28" t="str">
        <f>IFERROR(IF(HWR3="No",IF(VLOOKUP(DATE($K$1,$K$2,HWI$4),Table1[],(MATCH(Calendar!$A18,DB!$1:$1,0)),FALSE)&gt;=5,"Good","Bad"),VLOOKUP(DATE($K$1,$K$2,HWI$4),Table1[],(MATCH(Calendar!$A18,DB!$1:$1,0)),FALSE)),"")</f>
        <v/>
      </c>
      <c r="HWJ18" s="28" t="str">
        <f>IFERROR(IF(HWS3="No",IF(VLOOKUP(DATE($K$1,$K$2,HWJ$4),Table1[],(MATCH(Calendar!$A18,DB!$1:$1,0)),FALSE)&gt;=5,"Good","Bad"),VLOOKUP(DATE($K$1,$K$2,HWJ$4),Table1[],(MATCH(Calendar!$A18,DB!$1:$1,0)),FALSE)),"")</f>
        <v/>
      </c>
      <c r="HWK18" s="28" t="str">
        <f>IFERROR(IF(HWT3="No",IF(VLOOKUP(DATE($K$1,$K$2,HWK$4),Table1[],(MATCH(Calendar!$A18,DB!$1:$1,0)),FALSE)&gt;=5,"Good","Bad"),VLOOKUP(DATE($K$1,$K$2,HWK$4),Table1[],(MATCH(Calendar!$A18,DB!$1:$1,0)),FALSE)),"")</f>
        <v/>
      </c>
      <c r="HWL18" s="28" t="str">
        <f>IFERROR(IF(HWU3="No",IF(VLOOKUP(DATE($K$1,$K$2,HWL$4),Table1[],(MATCH(Calendar!$A18,DB!$1:$1,0)),FALSE)&gt;=5,"Good","Bad"),VLOOKUP(DATE($K$1,$K$2,HWL$4),Table1[],(MATCH(Calendar!$A18,DB!$1:$1,0)),FALSE)),"")</f>
        <v/>
      </c>
      <c r="HWM18" s="28" t="str">
        <f>IFERROR(IF(HWV3="No",IF(VLOOKUP(DATE($K$1,$K$2,HWM$4),Table1[],(MATCH(Calendar!$A18,DB!$1:$1,0)),FALSE)&gt;=5,"Good","Bad"),VLOOKUP(DATE($K$1,$K$2,HWM$4),Table1[],(MATCH(Calendar!$A18,DB!$1:$1,0)),FALSE)),"")</f>
        <v/>
      </c>
      <c r="HWN18" s="28" t="str">
        <f>IFERROR(IF(HWW3="No",IF(VLOOKUP(DATE($K$1,$K$2,HWN$4),Table1[],(MATCH(Calendar!$A18,DB!$1:$1,0)),FALSE)&gt;=5,"Good","Bad"),VLOOKUP(DATE($K$1,$K$2,HWN$4),Table1[],(MATCH(Calendar!$A18,DB!$1:$1,0)),FALSE)),"")</f>
        <v/>
      </c>
      <c r="HWO18" s="28" t="str">
        <f>IFERROR(IF(HWX3="No",IF(VLOOKUP(DATE($K$1,$K$2,HWO$4),Table1[],(MATCH(Calendar!$A18,DB!$1:$1,0)),FALSE)&gt;=5,"Good","Bad"),VLOOKUP(DATE($K$1,$K$2,HWO$4),Table1[],(MATCH(Calendar!$A18,DB!$1:$1,0)),FALSE)),"")</f>
        <v/>
      </c>
      <c r="HWP18" s="28" t="str">
        <f>IFERROR(IF(HWY3="No",IF(VLOOKUP(DATE($K$1,$K$2,HWP$4),Table1[],(MATCH(Calendar!$A18,DB!$1:$1,0)),FALSE)&gt;=5,"Good","Bad"),VLOOKUP(DATE($K$1,$K$2,HWP$4),Table1[],(MATCH(Calendar!$A18,DB!$1:$1,0)),FALSE)),"")</f>
        <v/>
      </c>
      <c r="HWQ18" s="28" t="str">
        <f>IFERROR(IF(HWZ3="No",IF(VLOOKUP(DATE($K$1,$K$2,HWQ$4),Table1[],(MATCH(Calendar!$A18,DB!$1:$1,0)),FALSE)&gt;=5,"Good","Bad"),VLOOKUP(DATE($K$1,$K$2,HWQ$4),Table1[],(MATCH(Calendar!$A18,DB!$1:$1,0)),FALSE)),"")</f>
        <v/>
      </c>
      <c r="HWR18" s="28" t="str">
        <f>IFERROR(IF(HXA3="No",IF(VLOOKUP(DATE($K$1,$K$2,HWR$4),Table1[],(MATCH(Calendar!$A18,DB!$1:$1,0)),FALSE)&gt;=5,"Good","Bad"),VLOOKUP(DATE($K$1,$K$2,HWR$4),Table1[],(MATCH(Calendar!$A18,DB!$1:$1,0)),FALSE)),"")</f>
        <v/>
      </c>
      <c r="HWS18" s="28" t="str">
        <f>IFERROR(IF(HXB3="No",IF(VLOOKUP(DATE($K$1,$K$2,HWS$4),Table1[],(MATCH(Calendar!$A18,DB!$1:$1,0)),FALSE)&gt;=5,"Good","Bad"),VLOOKUP(DATE($K$1,$K$2,HWS$4),Table1[],(MATCH(Calendar!$A18,DB!$1:$1,0)),FALSE)),"")</f>
        <v/>
      </c>
      <c r="HWT18" s="28" t="str">
        <f>IFERROR(IF(HXC3="No",IF(VLOOKUP(DATE($K$1,$K$2,HWT$4),Table1[],(MATCH(Calendar!$A18,DB!$1:$1,0)),FALSE)&gt;=5,"Good","Bad"),VLOOKUP(DATE($K$1,$K$2,HWT$4),Table1[],(MATCH(Calendar!$A18,DB!$1:$1,0)),FALSE)),"")</f>
        <v/>
      </c>
      <c r="HWU18" s="28" t="str">
        <f>IFERROR(IF(HXD3="No",IF(VLOOKUP(DATE($K$1,$K$2,HWU$4),Table1[],(MATCH(Calendar!$A18,DB!$1:$1,0)),FALSE)&gt;=5,"Good","Bad"),VLOOKUP(DATE($K$1,$K$2,HWU$4),Table1[],(MATCH(Calendar!$A18,DB!$1:$1,0)),FALSE)),"")</f>
        <v/>
      </c>
      <c r="HWV18" s="28" t="str">
        <f>IFERROR(IF(HXE3="No",IF(VLOOKUP(DATE($K$1,$K$2,HWV$4),Table1[],(MATCH(Calendar!$A18,DB!$1:$1,0)),FALSE)&gt;=5,"Good","Bad"),VLOOKUP(DATE($K$1,$K$2,HWV$4),Table1[],(MATCH(Calendar!$A18,DB!$1:$1,0)),FALSE)),"")</f>
        <v/>
      </c>
      <c r="HWW18" s="28" t="str">
        <f>IFERROR(IF(HXF3="No",IF(VLOOKUP(DATE($K$1,$K$2,HWW$4),Table1[],(MATCH(Calendar!$A18,DB!$1:$1,0)),FALSE)&gt;=5,"Good","Bad"),VLOOKUP(DATE($K$1,$K$2,HWW$4),Table1[],(MATCH(Calendar!$A18,DB!$1:$1,0)),FALSE)),"")</f>
        <v/>
      </c>
      <c r="HWX18" s="28" t="str">
        <f>IFERROR(IF(HXG3="No",IF(VLOOKUP(DATE($K$1,$K$2,HWX$4),Table1[],(MATCH(Calendar!$A18,DB!$1:$1,0)),FALSE)&gt;=5,"Good","Bad"),VLOOKUP(DATE($K$1,$K$2,HWX$4),Table1[],(MATCH(Calendar!$A18,DB!$1:$1,0)),FALSE)),"")</f>
        <v/>
      </c>
      <c r="HWY18" s="28" t="str">
        <f>IFERROR(IF(HXH3="No",IF(VLOOKUP(DATE($K$1,$K$2,HWY$4),Table1[],(MATCH(Calendar!$A18,DB!$1:$1,0)),FALSE)&gt;=5,"Good","Bad"),VLOOKUP(DATE($K$1,$K$2,HWY$4),Table1[],(MATCH(Calendar!$A18,DB!$1:$1,0)),FALSE)),"")</f>
        <v/>
      </c>
      <c r="HWZ18" s="28" t="str">
        <f>IFERROR(IF(HXI3="No",IF(VLOOKUP(DATE($K$1,$K$2,HWZ$4),Table1[],(MATCH(Calendar!$A18,DB!$1:$1,0)),FALSE)&gt;=5,"Good","Bad"),VLOOKUP(DATE($K$1,$K$2,HWZ$4),Table1[],(MATCH(Calendar!$A18,DB!$1:$1,0)),FALSE)),"")</f>
        <v/>
      </c>
      <c r="HXA18" s="28" t="str">
        <f>IFERROR(IF(HXJ3="No",IF(VLOOKUP(DATE($K$1,$K$2,HXA$4),Table1[],(MATCH(Calendar!$A18,DB!$1:$1,0)),FALSE)&gt;=5,"Good","Bad"),VLOOKUP(DATE($K$1,$K$2,HXA$4),Table1[],(MATCH(Calendar!$A18,DB!$1:$1,0)),FALSE)),"")</f>
        <v/>
      </c>
      <c r="HXB18" s="28" t="str">
        <f>IFERROR(IF(HXK3="No",IF(VLOOKUP(DATE($K$1,$K$2,HXB$4),Table1[],(MATCH(Calendar!$A18,DB!$1:$1,0)),FALSE)&gt;=5,"Good","Bad"),VLOOKUP(DATE($K$1,$K$2,HXB$4),Table1[],(MATCH(Calendar!$A18,DB!$1:$1,0)),FALSE)),"")</f>
        <v/>
      </c>
      <c r="HXC18" s="28" t="str">
        <f>IFERROR(IF(HXL3="No",IF(VLOOKUP(DATE($K$1,$K$2,HXC$4),Table1[],(MATCH(Calendar!$A18,DB!$1:$1,0)),FALSE)&gt;=5,"Good","Bad"),VLOOKUP(DATE($K$1,$K$2,HXC$4),Table1[],(MATCH(Calendar!$A18,DB!$1:$1,0)),FALSE)),"")</f>
        <v/>
      </c>
      <c r="HXD18" s="28" t="str">
        <f>IFERROR(IF(HXM3="No",IF(VLOOKUP(DATE($K$1,$K$2,HXD$4),Table1[],(MATCH(Calendar!$A18,DB!$1:$1,0)),FALSE)&gt;=5,"Good","Bad"),VLOOKUP(DATE($K$1,$K$2,HXD$4),Table1[],(MATCH(Calendar!$A18,DB!$1:$1,0)),FALSE)),"")</f>
        <v/>
      </c>
      <c r="HXE18" s="28" t="str">
        <f>IFERROR(IF(HXN3="No",IF(VLOOKUP(DATE($K$1,$K$2,HXE$4),Table1[],(MATCH(Calendar!$A18,DB!$1:$1,0)),FALSE)&gt;=5,"Good","Bad"),VLOOKUP(DATE($K$1,$K$2,HXE$4),Table1[],(MATCH(Calendar!$A18,DB!$1:$1,0)),FALSE)),"")</f>
        <v/>
      </c>
      <c r="HXF18" s="28" t="str">
        <f>IFERROR(IF(HXO3="No",IF(VLOOKUP(DATE($K$1,$K$2,HXF$4),Table1[],(MATCH(Calendar!$A18,DB!$1:$1,0)),FALSE)&gt;=5,"Good","Bad"),VLOOKUP(DATE($K$1,$K$2,HXF$4),Table1[],(MATCH(Calendar!$A18,DB!$1:$1,0)),FALSE)),"")</f>
        <v/>
      </c>
      <c r="HXG18" s="28" t="str">
        <f>IFERROR(IF(HXP3="No",IF(VLOOKUP(DATE($K$1,$K$2,HXG$4),Table1[],(MATCH(Calendar!$A18,DB!$1:$1,0)),FALSE)&gt;=5,"Good","Bad"),VLOOKUP(DATE($K$1,$K$2,HXG$4),Table1[],(MATCH(Calendar!$A18,DB!$1:$1,0)),FALSE)),"")</f>
        <v/>
      </c>
      <c r="HXH18" s="28" t="str">
        <f>IFERROR(IF(HXQ3="No",IF(VLOOKUP(DATE($K$1,$K$2,HXH$4),Table1[],(MATCH(Calendar!$A18,DB!$1:$1,0)),FALSE)&gt;=5,"Good","Bad"),VLOOKUP(DATE($K$1,$K$2,HXH$4),Table1[],(MATCH(Calendar!$A18,DB!$1:$1,0)),FALSE)),"")</f>
        <v/>
      </c>
      <c r="HXI18" s="28" t="str">
        <f>IFERROR(IF(HXR3="No",IF(VLOOKUP(DATE($K$1,$K$2,HXI$4),Table1[],(MATCH(Calendar!$A18,DB!$1:$1,0)),FALSE)&gt;=5,"Good","Bad"),VLOOKUP(DATE($K$1,$K$2,HXI$4),Table1[],(MATCH(Calendar!$A18,DB!$1:$1,0)),FALSE)),"")</f>
        <v/>
      </c>
      <c r="HXJ18" s="28" t="str">
        <f>IFERROR(IF(HXS3="No",IF(VLOOKUP(DATE($K$1,$K$2,HXJ$4),Table1[],(MATCH(Calendar!$A18,DB!$1:$1,0)),FALSE)&gt;=5,"Good","Bad"),VLOOKUP(DATE($K$1,$K$2,HXJ$4),Table1[],(MATCH(Calendar!$A18,DB!$1:$1,0)),FALSE)),"")</f>
        <v/>
      </c>
      <c r="HXK18" s="28" t="str">
        <f>IFERROR(IF(HXT3="No",IF(VLOOKUP(DATE($K$1,$K$2,HXK$4),Table1[],(MATCH(Calendar!$A18,DB!$1:$1,0)),FALSE)&gt;=5,"Good","Bad"),VLOOKUP(DATE($K$1,$K$2,HXK$4),Table1[],(MATCH(Calendar!$A18,DB!$1:$1,0)),FALSE)),"")</f>
        <v/>
      </c>
      <c r="HXL18" s="28" t="str">
        <f>IFERROR(IF(HXU3="No",IF(VLOOKUP(DATE($K$1,$K$2,HXL$4),Table1[],(MATCH(Calendar!$A18,DB!$1:$1,0)),FALSE)&gt;=5,"Good","Bad"),VLOOKUP(DATE($K$1,$K$2,HXL$4),Table1[],(MATCH(Calendar!$A18,DB!$1:$1,0)),FALSE)),"")</f>
        <v/>
      </c>
      <c r="HXM18" s="28" t="str">
        <f>IFERROR(IF(HXV3="No",IF(VLOOKUP(DATE($K$1,$K$2,HXM$4),Table1[],(MATCH(Calendar!$A18,DB!$1:$1,0)),FALSE)&gt;=5,"Good","Bad"),VLOOKUP(DATE($K$1,$K$2,HXM$4),Table1[],(MATCH(Calendar!$A18,DB!$1:$1,0)),FALSE)),"")</f>
        <v/>
      </c>
      <c r="HXN18" s="28" t="str">
        <f>IFERROR(IF(HXW3="No",IF(VLOOKUP(DATE($K$1,$K$2,HXN$4),Table1[],(MATCH(Calendar!$A18,DB!$1:$1,0)),FALSE)&gt;=5,"Good","Bad"),VLOOKUP(DATE($K$1,$K$2,HXN$4),Table1[],(MATCH(Calendar!$A18,DB!$1:$1,0)),FALSE)),"")</f>
        <v/>
      </c>
      <c r="HXO18" s="28" t="str">
        <f>IFERROR(IF(HXX3="No",IF(VLOOKUP(DATE($K$1,$K$2,HXO$4),Table1[],(MATCH(Calendar!$A18,DB!$1:$1,0)),FALSE)&gt;=5,"Good","Bad"),VLOOKUP(DATE($K$1,$K$2,HXO$4),Table1[],(MATCH(Calendar!$A18,DB!$1:$1,0)),FALSE)),"")</f>
        <v/>
      </c>
      <c r="HXP18" s="28" t="str">
        <f>IFERROR(IF(HXY3="No",IF(VLOOKUP(DATE($K$1,$K$2,HXP$4),Table1[],(MATCH(Calendar!$A18,DB!$1:$1,0)),FALSE)&gt;=5,"Good","Bad"),VLOOKUP(DATE($K$1,$K$2,HXP$4),Table1[],(MATCH(Calendar!$A18,DB!$1:$1,0)),FALSE)),"")</f>
        <v/>
      </c>
      <c r="HXQ18" s="28" t="str">
        <f>IFERROR(IF(HXZ3="No",IF(VLOOKUP(DATE($K$1,$K$2,HXQ$4),Table1[],(MATCH(Calendar!$A18,DB!$1:$1,0)),FALSE)&gt;=5,"Good","Bad"),VLOOKUP(DATE($K$1,$K$2,HXQ$4),Table1[],(MATCH(Calendar!$A18,DB!$1:$1,0)),FALSE)),"")</f>
        <v/>
      </c>
      <c r="HXR18" s="28" t="str">
        <f>IFERROR(IF(HYA3="No",IF(VLOOKUP(DATE($K$1,$K$2,HXR$4),Table1[],(MATCH(Calendar!$A18,DB!$1:$1,0)),FALSE)&gt;=5,"Good","Bad"),VLOOKUP(DATE($K$1,$K$2,HXR$4),Table1[],(MATCH(Calendar!$A18,DB!$1:$1,0)),FALSE)),"")</f>
        <v/>
      </c>
      <c r="HXS18" s="28" t="str">
        <f>IFERROR(IF(HYB3="No",IF(VLOOKUP(DATE($K$1,$K$2,HXS$4),Table1[],(MATCH(Calendar!$A18,DB!$1:$1,0)),FALSE)&gt;=5,"Good","Bad"),VLOOKUP(DATE($K$1,$K$2,HXS$4),Table1[],(MATCH(Calendar!$A18,DB!$1:$1,0)),FALSE)),"")</f>
        <v/>
      </c>
      <c r="HXT18" s="28" t="str">
        <f>IFERROR(IF(HYC3="No",IF(VLOOKUP(DATE($K$1,$K$2,HXT$4),Table1[],(MATCH(Calendar!$A18,DB!$1:$1,0)),FALSE)&gt;=5,"Good","Bad"),VLOOKUP(DATE($K$1,$K$2,HXT$4),Table1[],(MATCH(Calendar!$A18,DB!$1:$1,0)),FALSE)),"")</f>
        <v/>
      </c>
      <c r="HXU18" s="28" t="str">
        <f>IFERROR(IF(HYD3="No",IF(VLOOKUP(DATE($K$1,$K$2,HXU$4),Table1[],(MATCH(Calendar!$A18,DB!$1:$1,0)),FALSE)&gt;=5,"Good","Bad"),VLOOKUP(DATE($K$1,$K$2,HXU$4),Table1[],(MATCH(Calendar!$A18,DB!$1:$1,0)),FALSE)),"")</f>
        <v/>
      </c>
      <c r="HXV18" s="28" t="str">
        <f>IFERROR(IF(HYE3="No",IF(VLOOKUP(DATE($K$1,$K$2,HXV$4),Table1[],(MATCH(Calendar!$A18,DB!$1:$1,0)),FALSE)&gt;=5,"Good","Bad"),VLOOKUP(DATE($K$1,$K$2,HXV$4),Table1[],(MATCH(Calendar!$A18,DB!$1:$1,0)),FALSE)),"")</f>
        <v/>
      </c>
      <c r="HXW18" s="28" t="str">
        <f>IFERROR(IF(HYF3="No",IF(VLOOKUP(DATE($K$1,$K$2,HXW$4),Table1[],(MATCH(Calendar!$A18,DB!$1:$1,0)),FALSE)&gt;=5,"Good","Bad"),VLOOKUP(DATE($K$1,$K$2,HXW$4),Table1[],(MATCH(Calendar!$A18,DB!$1:$1,0)),FALSE)),"")</f>
        <v/>
      </c>
      <c r="HXX18" s="28" t="str">
        <f>IFERROR(IF(HYG3="No",IF(VLOOKUP(DATE($K$1,$K$2,HXX$4),Table1[],(MATCH(Calendar!$A18,DB!$1:$1,0)),FALSE)&gt;=5,"Good","Bad"),VLOOKUP(DATE($K$1,$K$2,HXX$4),Table1[],(MATCH(Calendar!$A18,DB!$1:$1,0)),FALSE)),"")</f>
        <v/>
      </c>
      <c r="HXY18" s="28" t="str">
        <f>IFERROR(IF(HYH3="No",IF(VLOOKUP(DATE($K$1,$K$2,HXY$4),Table1[],(MATCH(Calendar!$A18,DB!$1:$1,0)),FALSE)&gt;=5,"Good","Bad"),VLOOKUP(DATE($K$1,$K$2,HXY$4),Table1[],(MATCH(Calendar!$A18,DB!$1:$1,0)),FALSE)),"")</f>
        <v/>
      </c>
      <c r="HXZ18" s="28" t="str">
        <f>IFERROR(IF(HYI3="No",IF(VLOOKUP(DATE($K$1,$K$2,HXZ$4),Table1[],(MATCH(Calendar!$A18,DB!$1:$1,0)),FALSE)&gt;=5,"Good","Bad"),VLOOKUP(DATE($K$1,$K$2,HXZ$4),Table1[],(MATCH(Calendar!$A18,DB!$1:$1,0)),FALSE)),"")</f>
        <v/>
      </c>
      <c r="HYA18" s="28" t="str">
        <f>IFERROR(IF(HYJ3="No",IF(VLOOKUP(DATE($K$1,$K$2,HYA$4),Table1[],(MATCH(Calendar!$A18,DB!$1:$1,0)),FALSE)&gt;=5,"Good","Bad"),VLOOKUP(DATE($K$1,$K$2,HYA$4),Table1[],(MATCH(Calendar!$A18,DB!$1:$1,0)),FALSE)),"")</f>
        <v/>
      </c>
      <c r="HYB18" s="28" t="str">
        <f>IFERROR(IF(HYK3="No",IF(VLOOKUP(DATE($K$1,$K$2,HYB$4),Table1[],(MATCH(Calendar!$A18,DB!$1:$1,0)),FALSE)&gt;=5,"Good","Bad"),VLOOKUP(DATE($K$1,$K$2,HYB$4),Table1[],(MATCH(Calendar!$A18,DB!$1:$1,0)),FALSE)),"")</f>
        <v/>
      </c>
      <c r="HYC18" s="28" t="str">
        <f>IFERROR(IF(HYL3="No",IF(VLOOKUP(DATE($K$1,$K$2,HYC$4),Table1[],(MATCH(Calendar!$A18,DB!$1:$1,0)),FALSE)&gt;=5,"Good","Bad"),VLOOKUP(DATE($K$1,$K$2,HYC$4),Table1[],(MATCH(Calendar!$A18,DB!$1:$1,0)),FALSE)),"")</f>
        <v/>
      </c>
      <c r="HYD18" s="28" t="str">
        <f>IFERROR(IF(HYM3="No",IF(VLOOKUP(DATE($K$1,$K$2,HYD$4),Table1[],(MATCH(Calendar!$A18,DB!$1:$1,0)),FALSE)&gt;=5,"Good","Bad"),VLOOKUP(DATE($K$1,$K$2,HYD$4),Table1[],(MATCH(Calendar!$A18,DB!$1:$1,0)),FALSE)),"")</f>
        <v/>
      </c>
      <c r="HYE18" s="28" t="str">
        <f>IFERROR(IF(HYN3="No",IF(VLOOKUP(DATE($K$1,$K$2,HYE$4),Table1[],(MATCH(Calendar!$A18,DB!$1:$1,0)),FALSE)&gt;=5,"Good","Bad"),VLOOKUP(DATE($K$1,$K$2,HYE$4),Table1[],(MATCH(Calendar!$A18,DB!$1:$1,0)),FALSE)),"")</f>
        <v/>
      </c>
      <c r="HYF18" s="28" t="str">
        <f>IFERROR(IF(HYO3="No",IF(VLOOKUP(DATE($K$1,$K$2,HYF$4),Table1[],(MATCH(Calendar!$A18,DB!$1:$1,0)),FALSE)&gt;=5,"Good","Bad"),VLOOKUP(DATE($K$1,$K$2,HYF$4),Table1[],(MATCH(Calendar!$A18,DB!$1:$1,0)),FALSE)),"")</f>
        <v/>
      </c>
      <c r="HYG18" s="28" t="str">
        <f>IFERROR(IF(HYP3="No",IF(VLOOKUP(DATE($K$1,$K$2,HYG$4),Table1[],(MATCH(Calendar!$A18,DB!$1:$1,0)),FALSE)&gt;=5,"Good","Bad"),VLOOKUP(DATE($K$1,$K$2,HYG$4),Table1[],(MATCH(Calendar!$A18,DB!$1:$1,0)),FALSE)),"")</f>
        <v/>
      </c>
      <c r="HYH18" s="28" t="str">
        <f>IFERROR(IF(HYQ3="No",IF(VLOOKUP(DATE($K$1,$K$2,HYH$4),Table1[],(MATCH(Calendar!$A18,DB!$1:$1,0)),FALSE)&gt;=5,"Good","Bad"),VLOOKUP(DATE($K$1,$K$2,HYH$4),Table1[],(MATCH(Calendar!$A18,DB!$1:$1,0)),FALSE)),"")</f>
        <v/>
      </c>
      <c r="HYI18" s="28" t="str">
        <f>IFERROR(IF(HYR3="No",IF(VLOOKUP(DATE($K$1,$K$2,HYI$4),Table1[],(MATCH(Calendar!$A18,DB!$1:$1,0)),FALSE)&gt;=5,"Good","Bad"),VLOOKUP(DATE($K$1,$K$2,HYI$4),Table1[],(MATCH(Calendar!$A18,DB!$1:$1,0)),FALSE)),"")</f>
        <v/>
      </c>
      <c r="HYJ18" s="28" t="str">
        <f>IFERROR(IF(HYS3="No",IF(VLOOKUP(DATE($K$1,$K$2,HYJ$4),Table1[],(MATCH(Calendar!$A18,DB!$1:$1,0)),FALSE)&gt;=5,"Good","Bad"),VLOOKUP(DATE($K$1,$K$2,HYJ$4),Table1[],(MATCH(Calendar!$A18,DB!$1:$1,0)),FALSE)),"")</f>
        <v/>
      </c>
      <c r="HYK18" s="28" t="str">
        <f>IFERROR(IF(HYT3="No",IF(VLOOKUP(DATE($K$1,$K$2,HYK$4),Table1[],(MATCH(Calendar!$A18,DB!$1:$1,0)),FALSE)&gt;=5,"Good","Bad"),VLOOKUP(DATE($K$1,$K$2,HYK$4),Table1[],(MATCH(Calendar!$A18,DB!$1:$1,0)),FALSE)),"")</f>
        <v/>
      </c>
      <c r="HYL18" s="28" t="str">
        <f>IFERROR(IF(HYU3="No",IF(VLOOKUP(DATE($K$1,$K$2,HYL$4),Table1[],(MATCH(Calendar!$A18,DB!$1:$1,0)),FALSE)&gt;=5,"Good","Bad"),VLOOKUP(DATE($K$1,$K$2,HYL$4),Table1[],(MATCH(Calendar!$A18,DB!$1:$1,0)),FALSE)),"")</f>
        <v/>
      </c>
      <c r="HYM18" s="28" t="str">
        <f>IFERROR(IF(HYV3="No",IF(VLOOKUP(DATE($K$1,$K$2,HYM$4),Table1[],(MATCH(Calendar!$A18,DB!$1:$1,0)),FALSE)&gt;=5,"Good","Bad"),VLOOKUP(DATE($K$1,$K$2,HYM$4),Table1[],(MATCH(Calendar!$A18,DB!$1:$1,0)),FALSE)),"")</f>
        <v/>
      </c>
      <c r="HYN18" s="28" t="str">
        <f>IFERROR(IF(HYW3="No",IF(VLOOKUP(DATE($K$1,$K$2,HYN$4),Table1[],(MATCH(Calendar!$A18,DB!$1:$1,0)),FALSE)&gt;=5,"Good","Bad"),VLOOKUP(DATE($K$1,$K$2,HYN$4),Table1[],(MATCH(Calendar!$A18,DB!$1:$1,0)),FALSE)),"")</f>
        <v/>
      </c>
      <c r="HYO18" s="28" t="str">
        <f>IFERROR(IF(HYX3="No",IF(VLOOKUP(DATE($K$1,$K$2,HYO$4),Table1[],(MATCH(Calendar!$A18,DB!$1:$1,0)),FALSE)&gt;=5,"Good","Bad"),VLOOKUP(DATE($K$1,$K$2,HYO$4),Table1[],(MATCH(Calendar!$A18,DB!$1:$1,0)),FALSE)),"")</f>
        <v/>
      </c>
      <c r="HYP18" s="28" t="str">
        <f>IFERROR(IF(HYY3="No",IF(VLOOKUP(DATE($K$1,$K$2,HYP$4),Table1[],(MATCH(Calendar!$A18,DB!$1:$1,0)),FALSE)&gt;=5,"Good","Bad"),VLOOKUP(DATE($K$1,$K$2,HYP$4),Table1[],(MATCH(Calendar!$A18,DB!$1:$1,0)),FALSE)),"")</f>
        <v/>
      </c>
      <c r="HYQ18" s="28" t="str">
        <f>IFERROR(IF(HYZ3="No",IF(VLOOKUP(DATE($K$1,$K$2,HYQ$4),Table1[],(MATCH(Calendar!$A18,DB!$1:$1,0)),FALSE)&gt;=5,"Good","Bad"),VLOOKUP(DATE($K$1,$K$2,HYQ$4),Table1[],(MATCH(Calendar!$A18,DB!$1:$1,0)),FALSE)),"")</f>
        <v/>
      </c>
      <c r="HYR18" s="28" t="str">
        <f>IFERROR(IF(HZA3="No",IF(VLOOKUP(DATE($K$1,$K$2,HYR$4),Table1[],(MATCH(Calendar!$A18,DB!$1:$1,0)),FALSE)&gt;=5,"Good","Bad"),VLOOKUP(DATE($K$1,$K$2,HYR$4),Table1[],(MATCH(Calendar!$A18,DB!$1:$1,0)),FALSE)),"")</f>
        <v/>
      </c>
      <c r="HYS18" s="28" t="str">
        <f>IFERROR(IF(HZB3="No",IF(VLOOKUP(DATE($K$1,$K$2,HYS$4),Table1[],(MATCH(Calendar!$A18,DB!$1:$1,0)),FALSE)&gt;=5,"Good","Bad"),VLOOKUP(DATE($K$1,$K$2,HYS$4),Table1[],(MATCH(Calendar!$A18,DB!$1:$1,0)),FALSE)),"")</f>
        <v/>
      </c>
      <c r="HYT18" s="28" t="str">
        <f>IFERROR(IF(HZC3="No",IF(VLOOKUP(DATE($K$1,$K$2,HYT$4),Table1[],(MATCH(Calendar!$A18,DB!$1:$1,0)),FALSE)&gt;=5,"Good","Bad"),VLOOKUP(DATE($K$1,$K$2,HYT$4),Table1[],(MATCH(Calendar!$A18,DB!$1:$1,0)),FALSE)),"")</f>
        <v/>
      </c>
      <c r="HYU18" s="28" t="str">
        <f>IFERROR(IF(HZD3="No",IF(VLOOKUP(DATE($K$1,$K$2,HYU$4),Table1[],(MATCH(Calendar!$A18,DB!$1:$1,0)),FALSE)&gt;=5,"Good","Bad"),VLOOKUP(DATE($K$1,$K$2,HYU$4),Table1[],(MATCH(Calendar!$A18,DB!$1:$1,0)),FALSE)),"")</f>
        <v/>
      </c>
      <c r="HYV18" s="28" t="str">
        <f>IFERROR(IF(HZE3="No",IF(VLOOKUP(DATE($K$1,$K$2,HYV$4),Table1[],(MATCH(Calendar!$A18,DB!$1:$1,0)),FALSE)&gt;=5,"Good","Bad"),VLOOKUP(DATE($K$1,$K$2,HYV$4),Table1[],(MATCH(Calendar!$A18,DB!$1:$1,0)),FALSE)),"")</f>
        <v/>
      </c>
      <c r="HYW18" s="28" t="str">
        <f>IFERROR(IF(HZF3="No",IF(VLOOKUP(DATE($K$1,$K$2,HYW$4),Table1[],(MATCH(Calendar!$A18,DB!$1:$1,0)),FALSE)&gt;=5,"Good","Bad"),VLOOKUP(DATE($K$1,$K$2,HYW$4),Table1[],(MATCH(Calendar!$A18,DB!$1:$1,0)),FALSE)),"")</f>
        <v/>
      </c>
      <c r="HYX18" s="28" t="str">
        <f>IFERROR(IF(HZG3="No",IF(VLOOKUP(DATE($K$1,$K$2,HYX$4),Table1[],(MATCH(Calendar!$A18,DB!$1:$1,0)),FALSE)&gt;=5,"Good","Bad"),VLOOKUP(DATE($K$1,$K$2,HYX$4),Table1[],(MATCH(Calendar!$A18,DB!$1:$1,0)),FALSE)),"")</f>
        <v/>
      </c>
      <c r="HYY18" s="28" t="str">
        <f>IFERROR(IF(HZH3="No",IF(VLOOKUP(DATE($K$1,$K$2,HYY$4),Table1[],(MATCH(Calendar!$A18,DB!$1:$1,0)),FALSE)&gt;=5,"Good","Bad"),VLOOKUP(DATE($K$1,$K$2,HYY$4),Table1[],(MATCH(Calendar!$A18,DB!$1:$1,0)),FALSE)),"")</f>
        <v/>
      </c>
      <c r="HYZ18" s="28" t="str">
        <f>IFERROR(IF(HZI3="No",IF(VLOOKUP(DATE($K$1,$K$2,HYZ$4),Table1[],(MATCH(Calendar!$A18,DB!$1:$1,0)),FALSE)&gt;=5,"Good","Bad"),VLOOKUP(DATE($K$1,$K$2,HYZ$4),Table1[],(MATCH(Calendar!$A18,DB!$1:$1,0)),FALSE)),"")</f>
        <v/>
      </c>
      <c r="HZA18" s="28" t="str">
        <f>IFERROR(IF(HZJ3="No",IF(VLOOKUP(DATE($K$1,$K$2,HZA$4),Table1[],(MATCH(Calendar!$A18,DB!$1:$1,0)),FALSE)&gt;=5,"Good","Bad"),VLOOKUP(DATE($K$1,$K$2,HZA$4),Table1[],(MATCH(Calendar!$A18,DB!$1:$1,0)),FALSE)),"")</f>
        <v/>
      </c>
      <c r="HZB18" s="28" t="str">
        <f>IFERROR(IF(HZK3="No",IF(VLOOKUP(DATE($K$1,$K$2,HZB$4),Table1[],(MATCH(Calendar!$A18,DB!$1:$1,0)),FALSE)&gt;=5,"Good","Bad"),VLOOKUP(DATE($K$1,$K$2,HZB$4),Table1[],(MATCH(Calendar!$A18,DB!$1:$1,0)),FALSE)),"")</f>
        <v/>
      </c>
      <c r="HZC18" s="28" t="str">
        <f>IFERROR(IF(HZL3="No",IF(VLOOKUP(DATE($K$1,$K$2,HZC$4),Table1[],(MATCH(Calendar!$A18,DB!$1:$1,0)),FALSE)&gt;=5,"Good","Bad"),VLOOKUP(DATE($K$1,$K$2,HZC$4),Table1[],(MATCH(Calendar!$A18,DB!$1:$1,0)),FALSE)),"")</f>
        <v/>
      </c>
      <c r="HZD18" s="28" t="str">
        <f>IFERROR(IF(HZM3="No",IF(VLOOKUP(DATE($K$1,$K$2,HZD$4),Table1[],(MATCH(Calendar!$A18,DB!$1:$1,0)),FALSE)&gt;=5,"Good","Bad"),VLOOKUP(DATE($K$1,$K$2,HZD$4),Table1[],(MATCH(Calendar!$A18,DB!$1:$1,0)),FALSE)),"")</f>
        <v/>
      </c>
      <c r="HZE18" s="28" t="str">
        <f>IFERROR(IF(HZN3="No",IF(VLOOKUP(DATE($K$1,$K$2,HZE$4),Table1[],(MATCH(Calendar!$A18,DB!$1:$1,0)),FALSE)&gt;=5,"Good","Bad"),VLOOKUP(DATE($K$1,$K$2,HZE$4),Table1[],(MATCH(Calendar!$A18,DB!$1:$1,0)),FALSE)),"")</f>
        <v/>
      </c>
      <c r="HZF18" s="28" t="str">
        <f>IFERROR(IF(HZO3="No",IF(VLOOKUP(DATE($K$1,$K$2,HZF$4),Table1[],(MATCH(Calendar!$A18,DB!$1:$1,0)),FALSE)&gt;=5,"Good","Bad"),VLOOKUP(DATE($K$1,$K$2,HZF$4),Table1[],(MATCH(Calendar!$A18,DB!$1:$1,0)),FALSE)),"")</f>
        <v/>
      </c>
      <c r="HZG18" s="28" t="str">
        <f>IFERROR(IF(HZP3="No",IF(VLOOKUP(DATE($K$1,$K$2,HZG$4),Table1[],(MATCH(Calendar!$A18,DB!$1:$1,0)),FALSE)&gt;=5,"Good","Bad"),VLOOKUP(DATE($K$1,$K$2,HZG$4),Table1[],(MATCH(Calendar!$A18,DB!$1:$1,0)),FALSE)),"")</f>
        <v/>
      </c>
      <c r="HZH18" s="28" t="str">
        <f>IFERROR(IF(HZQ3="No",IF(VLOOKUP(DATE($K$1,$K$2,HZH$4),Table1[],(MATCH(Calendar!$A18,DB!$1:$1,0)),FALSE)&gt;=5,"Good","Bad"),VLOOKUP(DATE($K$1,$K$2,HZH$4),Table1[],(MATCH(Calendar!$A18,DB!$1:$1,0)),FALSE)),"")</f>
        <v/>
      </c>
      <c r="HZI18" s="28" t="str">
        <f>IFERROR(IF(HZR3="No",IF(VLOOKUP(DATE($K$1,$K$2,HZI$4),Table1[],(MATCH(Calendar!$A18,DB!$1:$1,0)),FALSE)&gt;=5,"Good","Bad"),VLOOKUP(DATE($K$1,$K$2,HZI$4),Table1[],(MATCH(Calendar!$A18,DB!$1:$1,0)),FALSE)),"")</f>
        <v/>
      </c>
      <c r="HZJ18" s="28" t="str">
        <f>IFERROR(IF(HZS3="No",IF(VLOOKUP(DATE($K$1,$K$2,HZJ$4),Table1[],(MATCH(Calendar!$A18,DB!$1:$1,0)),FALSE)&gt;=5,"Good","Bad"),VLOOKUP(DATE($K$1,$K$2,HZJ$4),Table1[],(MATCH(Calendar!$A18,DB!$1:$1,0)),FALSE)),"")</f>
        <v/>
      </c>
      <c r="HZK18" s="28" t="str">
        <f>IFERROR(IF(HZT3="No",IF(VLOOKUP(DATE($K$1,$K$2,HZK$4),Table1[],(MATCH(Calendar!$A18,DB!$1:$1,0)),FALSE)&gt;=5,"Good","Bad"),VLOOKUP(DATE($K$1,$K$2,HZK$4),Table1[],(MATCH(Calendar!$A18,DB!$1:$1,0)),FALSE)),"")</f>
        <v/>
      </c>
      <c r="HZL18" s="28" t="str">
        <f>IFERROR(IF(HZU3="No",IF(VLOOKUP(DATE($K$1,$K$2,HZL$4),Table1[],(MATCH(Calendar!$A18,DB!$1:$1,0)),FALSE)&gt;=5,"Good","Bad"),VLOOKUP(DATE($K$1,$K$2,HZL$4),Table1[],(MATCH(Calendar!$A18,DB!$1:$1,0)),FALSE)),"")</f>
        <v/>
      </c>
      <c r="HZM18" s="28" t="str">
        <f>IFERROR(IF(HZV3="No",IF(VLOOKUP(DATE($K$1,$K$2,HZM$4),Table1[],(MATCH(Calendar!$A18,DB!$1:$1,0)),FALSE)&gt;=5,"Good","Bad"),VLOOKUP(DATE($K$1,$K$2,HZM$4),Table1[],(MATCH(Calendar!$A18,DB!$1:$1,0)),FALSE)),"")</f>
        <v/>
      </c>
      <c r="HZN18" s="28" t="str">
        <f>IFERROR(IF(HZW3="No",IF(VLOOKUP(DATE($K$1,$K$2,HZN$4),Table1[],(MATCH(Calendar!$A18,DB!$1:$1,0)),FALSE)&gt;=5,"Good","Bad"),VLOOKUP(DATE($K$1,$K$2,HZN$4),Table1[],(MATCH(Calendar!$A18,DB!$1:$1,0)),FALSE)),"")</f>
        <v/>
      </c>
      <c r="HZO18" s="28" t="str">
        <f>IFERROR(IF(HZX3="No",IF(VLOOKUP(DATE($K$1,$K$2,HZO$4),Table1[],(MATCH(Calendar!$A18,DB!$1:$1,0)),FALSE)&gt;=5,"Good","Bad"),VLOOKUP(DATE($K$1,$K$2,HZO$4),Table1[],(MATCH(Calendar!$A18,DB!$1:$1,0)),FALSE)),"")</f>
        <v/>
      </c>
      <c r="HZP18" s="28" t="str">
        <f>IFERROR(IF(HZY3="No",IF(VLOOKUP(DATE($K$1,$K$2,HZP$4),Table1[],(MATCH(Calendar!$A18,DB!$1:$1,0)),FALSE)&gt;=5,"Good","Bad"),VLOOKUP(DATE($K$1,$K$2,HZP$4),Table1[],(MATCH(Calendar!$A18,DB!$1:$1,0)),FALSE)),"")</f>
        <v/>
      </c>
      <c r="HZQ18" s="28" t="str">
        <f>IFERROR(IF(HZZ3="No",IF(VLOOKUP(DATE($K$1,$K$2,HZQ$4),Table1[],(MATCH(Calendar!$A18,DB!$1:$1,0)),FALSE)&gt;=5,"Good","Bad"),VLOOKUP(DATE($K$1,$K$2,HZQ$4),Table1[],(MATCH(Calendar!$A18,DB!$1:$1,0)),FALSE)),"")</f>
        <v/>
      </c>
      <c r="HZR18" s="28" t="str">
        <f>IFERROR(IF(IAA3="No",IF(VLOOKUP(DATE($K$1,$K$2,HZR$4),Table1[],(MATCH(Calendar!$A18,DB!$1:$1,0)),FALSE)&gt;=5,"Good","Bad"),VLOOKUP(DATE($K$1,$K$2,HZR$4),Table1[],(MATCH(Calendar!$A18,DB!$1:$1,0)),FALSE)),"")</f>
        <v/>
      </c>
      <c r="HZS18" s="28" t="str">
        <f>IFERROR(IF(IAB3="No",IF(VLOOKUP(DATE($K$1,$K$2,HZS$4),Table1[],(MATCH(Calendar!$A18,DB!$1:$1,0)),FALSE)&gt;=5,"Good","Bad"),VLOOKUP(DATE($K$1,$K$2,HZS$4),Table1[],(MATCH(Calendar!$A18,DB!$1:$1,0)),FALSE)),"")</f>
        <v/>
      </c>
      <c r="HZT18" s="28" t="str">
        <f>IFERROR(IF(IAC3="No",IF(VLOOKUP(DATE($K$1,$K$2,HZT$4),Table1[],(MATCH(Calendar!$A18,DB!$1:$1,0)),FALSE)&gt;=5,"Good","Bad"),VLOOKUP(DATE($K$1,$K$2,HZT$4),Table1[],(MATCH(Calendar!$A18,DB!$1:$1,0)),FALSE)),"")</f>
        <v/>
      </c>
      <c r="HZU18" s="28" t="str">
        <f>IFERROR(IF(IAD3="No",IF(VLOOKUP(DATE($K$1,$K$2,HZU$4),Table1[],(MATCH(Calendar!$A18,DB!$1:$1,0)),FALSE)&gt;=5,"Good","Bad"),VLOOKUP(DATE($K$1,$K$2,HZU$4),Table1[],(MATCH(Calendar!$A18,DB!$1:$1,0)),FALSE)),"")</f>
        <v/>
      </c>
      <c r="HZV18" s="28" t="str">
        <f>IFERROR(IF(IAE3="No",IF(VLOOKUP(DATE($K$1,$K$2,HZV$4),Table1[],(MATCH(Calendar!$A18,DB!$1:$1,0)),FALSE)&gt;=5,"Good","Bad"),VLOOKUP(DATE($K$1,$K$2,HZV$4),Table1[],(MATCH(Calendar!$A18,DB!$1:$1,0)),FALSE)),"")</f>
        <v/>
      </c>
      <c r="HZW18" s="28" t="str">
        <f>IFERROR(IF(IAF3="No",IF(VLOOKUP(DATE($K$1,$K$2,HZW$4),Table1[],(MATCH(Calendar!$A18,DB!$1:$1,0)),FALSE)&gt;=5,"Good","Bad"),VLOOKUP(DATE($K$1,$K$2,HZW$4),Table1[],(MATCH(Calendar!$A18,DB!$1:$1,0)),FALSE)),"")</f>
        <v/>
      </c>
      <c r="HZX18" s="28" t="str">
        <f>IFERROR(IF(IAG3="No",IF(VLOOKUP(DATE($K$1,$K$2,HZX$4),Table1[],(MATCH(Calendar!$A18,DB!$1:$1,0)),FALSE)&gt;=5,"Good","Bad"),VLOOKUP(DATE($K$1,$K$2,HZX$4),Table1[],(MATCH(Calendar!$A18,DB!$1:$1,0)),FALSE)),"")</f>
        <v/>
      </c>
      <c r="HZY18" s="28" t="str">
        <f>IFERROR(IF(IAH3="No",IF(VLOOKUP(DATE($K$1,$K$2,HZY$4),Table1[],(MATCH(Calendar!$A18,DB!$1:$1,0)),FALSE)&gt;=5,"Good","Bad"),VLOOKUP(DATE($K$1,$K$2,HZY$4),Table1[],(MATCH(Calendar!$A18,DB!$1:$1,0)),FALSE)),"")</f>
        <v/>
      </c>
      <c r="HZZ18" s="28" t="str">
        <f>IFERROR(IF(IAI3="No",IF(VLOOKUP(DATE($K$1,$K$2,HZZ$4),Table1[],(MATCH(Calendar!$A18,DB!$1:$1,0)),FALSE)&gt;=5,"Good","Bad"),VLOOKUP(DATE($K$1,$K$2,HZZ$4),Table1[],(MATCH(Calendar!$A18,DB!$1:$1,0)),FALSE)),"")</f>
        <v/>
      </c>
      <c r="IAA18" s="28" t="str">
        <f>IFERROR(IF(IAJ3="No",IF(VLOOKUP(DATE($K$1,$K$2,IAA$4),Table1[],(MATCH(Calendar!$A18,DB!$1:$1,0)),FALSE)&gt;=5,"Good","Bad"),VLOOKUP(DATE($K$1,$K$2,IAA$4),Table1[],(MATCH(Calendar!$A18,DB!$1:$1,0)),FALSE)),"")</f>
        <v/>
      </c>
      <c r="IAB18" s="28" t="str">
        <f>IFERROR(IF(IAK3="No",IF(VLOOKUP(DATE($K$1,$K$2,IAB$4),Table1[],(MATCH(Calendar!$A18,DB!$1:$1,0)),FALSE)&gt;=5,"Good","Bad"),VLOOKUP(DATE($K$1,$K$2,IAB$4),Table1[],(MATCH(Calendar!$A18,DB!$1:$1,0)),FALSE)),"")</f>
        <v/>
      </c>
      <c r="IAC18" s="28" t="str">
        <f>IFERROR(IF(IAL3="No",IF(VLOOKUP(DATE($K$1,$K$2,IAC$4),Table1[],(MATCH(Calendar!$A18,DB!$1:$1,0)),FALSE)&gt;=5,"Good","Bad"),VLOOKUP(DATE($K$1,$K$2,IAC$4),Table1[],(MATCH(Calendar!$A18,DB!$1:$1,0)),FALSE)),"")</f>
        <v/>
      </c>
      <c r="IAD18" s="28" t="str">
        <f>IFERROR(IF(IAM3="No",IF(VLOOKUP(DATE($K$1,$K$2,IAD$4),Table1[],(MATCH(Calendar!$A18,DB!$1:$1,0)),FALSE)&gt;=5,"Good","Bad"),VLOOKUP(DATE($K$1,$K$2,IAD$4),Table1[],(MATCH(Calendar!$A18,DB!$1:$1,0)),FALSE)),"")</f>
        <v/>
      </c>
      <c r="IAE18" s="28" t="str">
        <f>IFERROR(IF(IAN3="No",IF(VLOOKUP(DATE($K$1,$K$2,IAE$4),Table1[],(MATCH(Calendar!$A18,DB!$1:$1,0)),FALSE)&gt;=5,"Good","Bad"),VLOOKUP(DATE($K$1,$K$2,IAE$4),Table1[],(MATCH(Calendar!$A18,DB!$1:$1,0)),FALSE)),"")</f>
        <v/>
      </c>
      <c r="IAF18" s="28" t="str">
        <f>IFERROR(IF(IAO3="No",IF(VLOOKUP(DATE($K$1,$K$2,IAF$4),Table1[],(MATCH(Calendar!$A18,DB!$1:$1,0)),FALSE)&gt;=5,"Good","Bad"),VLOOKUP(DATE($K$1,$K$2,IAF$4),Table1[],(MATCH(Calendar!$A18,DB!$1:$1,0)),FALSE)),"")</f>
        <v/>
      </c>
      <c r="IAG18" s="28" t="str">
        <f>IFERROR(IF(IAP3="No",IF(VLOOKUP(DATE($K$1,$K$2,IAG$4),Table1[],(MATCH(Calendar!$A18,DB!$1:$1,0)),FALSE)&gt;=5,"Good","Bad"),VLOOKUP(DATE($K$1,$K$2,IAG$4),Table1[],(MATCH(Calendar!$A18,DB!$1:$1,0)),FALSE)),"")</f>
        <v/>
      </c>
      <c r="IAH18" s="28" t="str">
        <f>IFERROR(IF(IAQ3="No",IF(VLOOKUP(DATE($K$1,$K$2,IAH$4),Table1[],(MATCH(Calendar!$A18,DB!$1:$1,0)),FALSE)&gt;=5,"Good","Bad"),VLOOKUP(DATE($K$1,$K$2,IAH$4),Table1[],(MATCH(Calendar!$A18,DB!$1:$1,0)),FALSE)),"")</f>
        <v/>
      </c>
      <c r="IAI18" s="28" t="str">
        <f>IFERROR(IF(IAR3="No",IF(VLOOKUP(DATE($K$1,$K$2,IAI$4),Table1[],(MATCH(Calendar!$A18,DB!$1:$1,0)),FALSE)&gt;=5,"Good","Bad"),VLOOKUP(DATE($K$1,$K$2,IAI$4),Table1[],(MATCH(Calendar!$A18,DB!$1:$1,0)),FALSE)),"")</f>
        <v/>
      </c>
      <c r="IAJ18" s="28" t="str">
        <f>IFERROR(IF(IAS3="No",IF(VLOOKUP(DATE($K$1,$K$2,IAJ$4),Table1[],(MATCH(Calendar!$A18,DB!$1:$1,0)),FALSE)&gt;=5,"Good","Bad"),VLOOKUP(DATE($K$1,$K$2,IAJ$4),Table1[],(MATCH(Calendar!$A18,DB!$1:$1,0)),FALSE)),"")</f>
        <v/>
      </c>
      <c r="IAK18" s="28" t="str">
        <f>IFERROR(IF(IAT3="No",IF(VLOOKUP(DATE($K$1,$K$2,IAK$4),Table1[],(MATCH(Calendar!$A18,DB!$1:$1,0)),FALSE)&gt;=5,"Good","Bad"),VLOOKUP(DATE($K$1,$K$2,IAK$4),Table1[],(MATCH(Calendar!$A18,DB!$1:$1,0)),FALSE)),"")</f>
        <v/>
      </c>
      <c r="IAL18" s="28" t="str">
        <f>IFERROR(IF(IAU3="No",IF(VLOOKUP(DATE($K$1,$K$2,IAL$4),Table1[],(MATCH(Calendar!$A18,DB!$1:$1,0)),FALSE)&gt;=5,"Good","Bad"),VLOOKUP(DATE($K$1,$K$2,IAL$4),Table1[],(MATCH(Calendar!$A18,DB!$1:$1,0)),FALSE)),"")</f>
        <v/>
      </c>
      <c r="IAM18" s="28" t="str">
        <f>IFERROR(IF(IAV3="No",IF(VLOOKUP(DATE($K$1,$K$2,IAM$4),Table1[],(MATCH(Calendar!$A18,DB!$1:$1,0)),FALSE)&gt;=5,"Good","Bad"),VLOOKUP(DATE($K$1,$K$2,IAM$4),Table1[],(MATCH(Calendar!$A18,DB!$1:$1,0)),FALSE)),"")</f>
        <v/>
      </c>
      <c r="IAN18" s="28" t="str">
        <f>IFERROR(IF(IAW3="No",IF(VLOOKUP(DATE($K$1,$K$2,IAN$4),Table1[],(MATCH(Calendar!$A18,DB!$1:$1,0)),FALSE)&gt;=5,"Good","Bad"),VLOOKUP(DATE($K$1,$K$2,IAN$4),Table1[],(MATCH(Calendar!$A18,DB!$1:$1,0)),FALSE)),"")</f>
        <v/>
      </c>
      <c r="IAO18" s="28" t="str">
        <f>IFERROR(IF(IAX3="No",IF(VLOOKUP(DATE($K$1,$K$2,IAO$4),Table1[],(MATCH(Calendar!$A18,DB!$1:$1,0)),FALSE)&gt;=5,"Good","Bad"),VLOOKUP(DATE($K$1,$K$2,IAO$4),Table1[],(MATCH(Calendar!$A18,DB!$1:$1,0)),FALSE)),"")</f>
        <v/>
      </c>
      <c r="IAP18" s="28" t="str">
        <f>IFERROR(IF(IAY3="No",IF(VLOOKUP(DATE($K$1,$K$2,IAP$4),Table1[],(MATCH(Calendar!$A18,DB!$1:$1,0)),FALSE)&gt;=5,"Good","Bad"),VLOOKUP(DATE($K$1,$K$2,IAP$4),Table1[],(MATCH(Calendar!$A18,DB!$1:$1,0)),FALSE)),"")</f>
        <v/>
      </c>
      <c r="IAQ18" s="28" t="str">
        <f>IFERROR(IF(IAZ3="No",IF(VLOOKUP(DATE($K$1,$K$2,IAQ$4),Table1[],(MATCH(Calendar!$A18,DB!$1:$1,0)),FALSE)&gt;=5,"Good","Bad"),VLOOKUP(DATE($K$1,$K$2,IAQ$4),Table1[],(MATCH(Calendar!$A18,DB!$1:$1,0)),FALSE)),"")</f>
        <v/>
      </c>
      <c r="IAR18" s="28" t="str">
        <f>IFERROR(IF(IBA3="No",IF(VLOOKUP(DATE($K$1,$K$2,IAR$4),Table1[],(MATCH(Calendar!$A18,DB!$1:$1,0)),FALSE)&gt;=5,"Good","Bad"),VLOOKUP(DATE($K$1,$K$2,IAR$4),Table1[],(MATCH(Calendar!$A18,DB!$1:$1,0)),FALSE)),"")</f>
        <v/>
      </c>
      <c r="IAS18" s="28" t="str">
        <f>IFERROR(IF(IBB3="No",IF(VLOOKUP(DATE($K$1,$K$2,IAS$4),Table1[],(MATCH(Calendar!$A18,DB!$1:$1,0)),FALSE)&gt;=5,"Good","Bad"),VLOOKUP(DATE($K$1,$K$2,IAS$4),Table1[],(MATCH(Calendar!$A18,DB!$1:$1,0)),FALSE)),"")</f>
        <v/>
      </c>
      <c r="IAT18" s="28" t="str">
        <f>IFERROR(IF(IBC3="No",IF(VLOOKUP(DATE($K$1,$K$2,IAT$4),Table1[],(MATCH(Calendar!$A18,DB!$1:$1,0)),FALSE)&gt;=5,"Good","Bad"),VLOOKUP(DATE($K$1,$K$2,IAT$4),Table1[],(MATCH(Calendar!$A18,DB!$1:$1,0)),FALSE)),"")</f>
        <v/>
      </c>
      <c r="IAU18" s="28" t="str">
        <f>IFERROR(IF(IBD3="No",IF(VLOOKUP(DATE($K$1,$K$2,IAU$4),Table1[],(MATCH(Calendar!$A18,DB!$1:$1,0)),FALSE)&gt;=5,"Good","Bad"),VLOOKUP(DATE($K$1,$K$2,IAU$4),Table1[],(MATCH(Calendar!$A18,DB!$1:$1,0)),FALSE)),"")</f>
        <v/>
      </c>
      <c r="IAV18" s="28" t="str">
        <f>IFERROR(IF(IBE3="No",IF(VLOOKUP(DATE($K$1,$K$2,IAV$4),Table1[],(MATCH(Calendar!$A18,DB!$1:$1,0)),FALSE)&gt;=5,"Good","Bad"),VLOOKUP(DATE($K$1,$K$2,IAV$4),Table1[],(MATCH(Calendar!$A18,DB!$1:$1,0)),FALSE)),"")</f>
        <v/>
      </c>
      <c r="IAW18" s="28" t="str">
        <f>IFERROR(IF(IBF3="No",IF(VLOOKUP(DATE($K$1,$K$2,IAW$4),Table1[],(MATCH(Calendar!$A18,DB!$1:$1,0)),FALSE)&gt;=5,"Good","Bad"),VLOOKUP(DATE($K$1,$K$2,IAW$4),Table1[],(MATCH(Calendar!$A18,DB!$1:$1,0)),FALSE)),"")</f>
        <v/>
      </c>
      <c r="IAX18" s="28" t="str">
        <f>IFERROR(IF(IBG3="No",IF(VLOOKUP(DATE($K$1,$K$2,IAX$4),Table1[],(MATCH(Calendar!$A18,DB!$1:$1,0)),FALSE)&gt;=5,"Good","Bad"),VLOOKUP(DATE($K$1,$K$2,IAX$4),Table1[],(MATCH(Calendar!$A18,DB!$1:$1,0)),FALSE)),"")</f>
        <v/>
      </c>
      <c r="IAY18" s="28" t="str">
        <f>IFERROR(IF(IBH3="No",IF(VLOOKUP(DATE($K$1,$K$2,IAY$4),Table1[],(MATCH(Calendar!$A18,DB!$1:$1,0)),FALSE)&gt;=5,"Good","Bad"),VLOOKUP(DATE($K$1,$K$2,IAY$4),Table1[],(MATCH(Calendar!$A18,DB!$1:$1,0)),FALSE)),"")</f>
        <v/>
      </c>
      <c r="IAZ18" s="28" t="str">
        <f>IFERROR(IF(IBI3="No",IF(VLOOKUP(DATE($K$1,$K$2,IAZ$4),Table1[],(MATCH(Calendar!$A18,DB!$1:$1,0)),FALSE)&gt;=5,"Good","Bad"),VLOOKUP(DATE($K$1,$K$2,IAZ$4),Table1[],(MATCH(Calendar!$A18,DB!$1:$1,0)),FALSE)),"")</f>
        <v/>
      </c>
      <c r="IBA18" s="28" t="str">
        <f>IFERROR(IF(IBJ3="No",IF(VLOOKUP(DATE($K$1,$K$2,IBA$4),Table1[],(MATCH(Calendar!$A18,DB!$1:$1,0)),FALSE)&gt;=5,"Good","Bad"),VLOOKUP(DATE($K$1,$K$2,IBA$4),Table1[],(MATCH(Calendar!$A18,DB!$1:$1,0)),FALSE)),"")</f>
        <v/>
      </c>
      <c r="IBB18" s="28" t="str">
        <f>IFERROR(IF(IBK3="No",IF(VLOOKUP(DATE($K$1,$K$2,IBB$4),Table1[],(MATCH(Calendar!$A18,DB!$1:$1,0)),FALSE)&gt;=5,"Good","Bad"),VLOOKUP(DATE($K$1,$K$2,IBB$4),Table1[],(MATCH(Calendar!$A18,DB!$1:$1,0)),FALSE)),"")</f>
        <v/>
      </c>
      <c r="IBC18" s="28" t="str">
        <f>IFERROR(IF(IBL3="No",IF(VLOOKUP(DATE($K$1,$K$2,IBC$4),Table1[],(MATCH(Calendar!$A18,DB!$1:$1,0)),FALSE)&gt;=5,"Good","Bad"),VLOOKUP(DATE($K$1,$K$2,IBC$4),Table1[],(MATCH(Calendar!$A18,DB!$1:$1,0)),FALSE)),"")</f>
        <v/>
      </c>
      <c r="IBD18" s="28" t="str">
        <f>IFERROR(IF(IBM3="No",IF(VLOOKUP(DATE($K$1,$K$2,IBD$4),Table1[],(MATCH(Calendar!$A18,DB!$1:$1,0)),FALSE)&gt;=5,"Good","Bad"),VLOOKUP(DATE($K$1,$K$2,IBD$4),Table1[],(MATCH(Calendar!$A18,DB!$1:$1,0)),FALSE)),"")</f>
        <v/>
      </c>
      <c r="IBE18" s="28" t="str">
        <f>IFERROR(IF(IBN3="No",IF(VLOOKUP(DATE($K$1,$K$2,IBE$4),Table1[],(MATCH(Calendar!$A18,DB!$1:$1,0)),FALSE)&gt;=5,"Good","Bad"),VLOOKUP(DATE($K$1,$K$2,IBE$4),Table1[],(MATCH(Calendar!$A18,DB!$1:$1,0)),FALSE)),"")</f>
        <v/>
      </c>
      <c r="IBF18" s="28" t="str">
        <f>IFERROR(IF(IBO3="No",IF(VLOOKUP(DATE($K$1,$K$2,IBF$4),Table1[],(MATCH(Calendar!$A18,DB!$1:$1,0)),FALSE)&gt;=5,"Good","Bad"),VLOOKUP(DATE($K$1,$K$2,IBF$4),Table1[],(MATCH(Calendar!$A18,DB!$1:$1,0)),FALSE)),"")</f>
        <v/>
      </c>
      <c r="IBG18" s="28" t="str">
        <f>IFERROR(IF(IBP3="No",IF(VLOOKUP(DATE($K$1,$K$2,IBG$4),Table1[],(MATCH(Calendar!$A18,DB!$1:$1,0)),FALSE)&gt;=5,"Good","Bad"),VLOOKUP(DATE($K$1,$K$2,IBG$4),Table1[],(MATCH(Calendar!$A18,DB!$1:$1,0)),FALSE)),"")</f>
        <v/>
      </c>
      <c r="IBH18" s="28" t="str">
        <f>IFERROR(IF(IBQ3="No",IF(VLOOKUP(DATE($K$1,$K$2,IBH$4),Table1[],(MATCH(Calendar!$A18,DB!$1:$1,0)),FALSE)&gt;=5,"Good","Bad"),VLOOKUP(DATE($K$1,$K$2,IBH$4),Table1[],(MATCH(Calendar!$A18,DB!$1:$1,0)),FALSE)),"")</f>
        <v/>
      </c>
      <c r="IBI18" s="28" t="str">
        <f>IFERROR(IF(IBR3="No",IF(VLOOKUP(DATE($K$1,$K$2,IBI$4),Table1[],(MATCH(Calendar!$A18,DB!$1:$1,0)),FALSE)&gt;=5,"Good","Bad"),VLOOKUP(DATE($K$1,$K$2,IBI$4),Table1[],(MATCH(Calendar!$A18,DB!$1:$1,0)),FALSE)),"")</f>
        <v/>
      </c>
      <c r="IBJ18" s="28" t="str">
        <f>IFERROR(IF(IBS3="No",IF(VLOOKUP(DATE($K$1,$K$2,IBJ$4),Table1[],(MATCH(Calendar!$A18,DB!$1:$1,0)),FALSE)&gt;=5,"Good","Bad"),VLOOKUP(DATE($K$1,$K$2,IBJ$4),Table1[],(MATCH(Calendar!$A18,DB!$1:$1,0)),FALSE)),"")</f>
        <v/>
      </c>
      <c r="IBK18" s="28" t="str">
        <f>IFERROR(IF(IBT3="No",IF(VLOOKUP(DATE($K$1,$K$2,IBK$4),Table1[],(MATCH(Calendar!$A18,DB!$1:$1,0)),FALSE)&gt;=5,"Good","Bad"),VLOOKUP(DATE($K$1,$K$2,IBK$4),Table1[],(MATCH(Calendar!$A18,DB!$1:$1,0)),FALSE)),"")</f>
        <v/>
      </c>
      <c r="IBL18" s="28" t="str">
        <f>IFERROR(IF(IBU3="No",IF(VLOOKUP(DATE($K$1,$K$2,IBL$4),Table1[],(MATCH(Calendar!$A18,DB!$1:$1,0)),FALSE)&gt;=5,"Good","Bad"),VLOOKUP(DATE($K$1,$K$2,IBL$4),Table1[],(MATCH(Calendar!$A18,DB!$1:$1,0)),FALSE)),"")</f>
        <v/>
      </c>
      <c r="IBM18" s="28" t="str">
        <f>IFERROR(IF(IBV3="No",IF(VLOOKUP(DATE($K$1,$K$2,IBM$4),Table1[],(MATCH(Calendar!$A18,DB!$1:$1,0)),FALSE)&gt;=5,"Good","Bad"),VLOOKUP(DATE($K$1,$K$2,IBM$4),Table1[],(MATCH(Calendar!$A18,DB!$1:$1,0)),FALSE)),"")</f>
        <v/>
      </c>
      <c r="IBN18" s="28" t="str">
        <f>IFERROR(IF(IBW3="No",IF(VLOOKUP(DATE($K$1,$K$2,IBN$4),Table1[],(MATCH(Calendar!$A18,DB!$1:$1,0)),FALSE)&gt;=5,"Good","Bad"),VLOOKUP(DATE($K$1,$K$2,IBN$4),Table1[],(MATCH(Calendar!$A18,DB!$1:$1,0)),FALSE)),"")</f>
        <v/>
      </c>
      <c r="IBO18" s="28" t="str">
        <f>IFERROR(IF(IBX3="No",IF(VLOOKUP(DATE($K$1,$K$2,IBO$4),Table1[],(MATCH(Calendar!$A18,DB!$1:$1,0)),FALSE)&gt;=5,"Good","Bad"),VLOOKUP(DATE($K$1,$K$2,IBO$4),Table1[],(MATCH(Calendar!$A18,DB!$1:$1,0)),FALSE)),"")</f>
        <v/>
      </c>
      <c r="IBP18" s="28" t="str">
        <f>IFERROR(IF(IBY3="No",IF(VLOOKUP(DATE($K$1,$K$2,IBP$4),Table1[],(MATCH(Calendar!$A18,DB!$1:$1,0)),FALSE)&gt;=5,"Good","Bad"),VLOOKUP(DATE($K$1,$K$2,IBP$4),Table1[],(MATCH(Calendar!$A18,DB!$1:$1,0)),FALSE)),"")</f>
        <v/>
      </c>
      <c r="IBQ18" s="28" t="str">
        <f>IFERROR(IF(IBZ3="No",IF(VLOOKUP(DATE($K$1,$K$2,IBQ$4),Table1[],(MATCH(Calendar!$A18,DB!$1:$1,0)),FALSE)&gt;=5,"Good","Bad"),VLOOKUP(DATE($K$1,$K$2,IBQ$4),Table1[],(MATCH(Calendar!$A18,DB!$1:$1,0)),FALSE)),"")</f>
        <v/>
      </c>
      <c r="IBR18" s="28" t="str">
        <f>IFERROR(IF(ICA3="No",IF(VLOOKUP(DATE($K$1,$K$2,IBR$4),Table1[],(MATCH(Calendar!$A18,DB!$1:$1,0)),FALSE)&gt;=5,"Good","Bad"),VLOOKUP(DATE($K$1,$K$2,IBR$4),Table1[],(MATCH(Calendar!$A18,DB!$1:$1,0)),FALSE)),"")</f>
        <v/>
      </c>
      <c r="IBS18" s="28" t="str">
        <f>IFERROR(IF(ICB3="No",IF(VLOOKUP(DATE($K$1,$K$2,IBS$4),Table1[],(MATCH(Calendar!$A18,DB!$1:$1,0)),FALSE)&gt;=5,"Good","Bad"),VLOOKUP(DATE($K$1,$K$2,IBS$4),Table1[],(MATCH(Calendar!$A18,DB!$1:$1,0)),FALSE)),"")</f>
        <v/>
      </c>
      <c r="IBT18" s="28" t="str">
        <f>IFERROR(IF(ICC3="No",IF(VLOOKUP(DATE($K$1,$K$2,IBT$4),Table1[],(MATCH(Calendar!$A18,DB!$1:$1,0)),FALSE)&gt;=5,"Good","Bad"),VLOOKUP(DATE($K$1,$K$2,IBT$4),Table1[],(MATCH(Calendar!$A18,DB!$1:$1,0)),FALSE)),"")</f>
        <v/>
      </c>
      <c r="IBU18" s="28" t="str">
        <f>IFERROR(IF(ICD3="No",IF(VLOOKUP(DATE($K$1,$K$2,IBU$4),Table1[],(MATCH(Calendar!$A18,DB!$1:$1,0)),FALSE)&gt;=5,"Good","Bad"),VLOOKUP(DATE($K$1,$K$2,IBU$4),Table1[],(MATCH(Calendar!$A18,DB!$1:$1,0)),FALSE)),"")</f>
        <v/>
      </c>
      <c r="IBV18" s="28" t="str">
        <f>IFERROR(IF(ICE3="No",IF(VLOOKUP(DATE($K$1,$K$2,IBV$4),Table1[],(MATCH(Calendar!$A18,DB!$1:$1,0)),FALSE)&gt;=5,"Good","Bad"),VLOOKUP(DATE($K$1,$K$2,IBV$4),Table1[],(MATCH(Calendar!$A18,DB!$1:$1,0)),FALSE)),"")</f>
        <v/>
      </c>
      <c r="IBW18" s="28" t="str">
        <f>IFERROR(IF(ICF3="No",IF(VLOOKUP(DATE($K$1,$K$2,IBW$4),Table1[],(MATCH(Calendar!$A18,DB!$1:$1,0)),FALSE)&gt;=5,"Good","Bad"),VLOOKUP(DATE($K$1,$K$2,IBW$4),Table1[],(MATCH(Calendar!$A18,DB!$1:$1,0)),FALSE)),"")</f>
        <v/>
      </c>
      <c r="IBX18" s="28" t="str">
        <f>IFERROR(IF(ICG3="No",IF(VLOOKUP(DATE($K$1,$K$2,IBX$4),Table1[],(MATCH(Calendar!$A18,DB!$1:$1,0)),FALSE)&gt;=5,"Good","Bad"),VLOOKUP(DATE($K$1,$K$2,IBX$4),Table1[],(MATCH(Calendar!$A18,DB!$1:$1,0)),FALSE)),"")</f>
        <v/>
      </c>
      <c r="IBY18" s="28" t="str">
        <f>IFERROR(IF(ICH3="No",IF(VLOOKUP(DATE($K$1,$K$2,IBY$4),Table1[],(MATCH(Calendar!$A18,DB!$1:$1,0)),FALSE)&gt;=5,"Good","Bad"),VLOOKUP(DATE($K$1,$K$2,IBY$4),Table1[],(MATCH(Calendar!$A18,DB!$1:$1,0)),FALSE)),"")</f>
        <v/>
      </c>
      <c r="IBZ18" s="28" t="str">
        <f>IFERROR(IF(ICI3="No",IF(VLOOKUP(DATE($K$1,$K$2,IBZ$4),Table1[],(MATCH(Calendar!$A18,DB!$1:$1,0)),FALSE)&gt;=5,"Good","Bad"),VLOOKUP(DATE($K$1,$K$2,IBZ$4),Table1[],(MATCH(Calendar!$A18,DB!$1:$1,0)),FALSE)),"")</f>
        <v/>
      </c>
      <c r="ICA18" s="28" t="str">
        <f>IFERROR(IF(ICJ3="No",IF(VLOOKUP(DATE($K$1,$K$2,ICA$4),Table1[],(MATCH(Calendar!$A18,DB!$1:$1,0)),FALSE)&gt;=5,"Good","Bad"),VLOOKUP(DATE($K$1,$K$2,ICA$4),Table1[],(MATCH(Calendar!$A18,DB!$1:$1,0)),FALSE)),"")</f>
        <v/>
      </c>
      <c r="ICB18" s="28" t="str">
        <f>IFERROR(IF(ICK3="No",IF(VLOOKUP(DATE($K$1,$K$2,ICB$4),Table1[],(MATCH(Calendar!$A18,DB!$1:$1,0)),FALSE)&gt;=5,"Good","Bad"),VLOOKUP(DATE($K$1,$K$2,ICB$4),Table1[],(MATCH(Calendar!$A18,DB!$1:$1,0)),FALSE)),"")</f>
        <v/>
      </c>
      <c r="ICC18" s="28" t="str">
        <f>IFERROR(IF(ICL3="No",IF(VLOOKUP(DATE($K$1,$K$2,ICC$4),Table1[],(MATCH(Calendar!$A18,DB!$1:$1,0)),FALSE)&gt;=5,"Good","Bad"),VLOOKUP(DATE($K$1,$K$2,ICC$4),Table1[],(MATCH(Calendar!$A18,DB!$1:$1,0)),FALSE)),"")</f>
        <v/>
      </c>
      <c r="ICD18" s="28" t="str">
        <f>IFERROR(IF(ICM3="No",IF(VLOOKUP(DATE($K$1,$K$2,ICD$4),Table1[],(MATCH(Calendar!$A18,DB!$1:$1,0)),FALSE)&gt;=5,"Good","Bad"),VLOOKUP(DATE($K$1,$K$2,ICD$4),Table1[],(MATCH(Calendar!$A18,DB!$1:$1,0)),FALSE)),"")</f>
        <v/>
      </c>
      <c r="ICE18" s="28" t="str">
        <f>IFERROR(IF(ICN3="No",IF(VLOOKUP(DATE($K$1,$K$2,ICE$4),Table1[],(MATCH(Calendar!$A18,DB!$1:$1,0)),FALSE)&gt;=5,"Good","Bad"),VLOOKUP(DATE($K$1,$K$2,ICE$4),Table1[],(MATCH(Calendar!$A18,DB!$1:$1,0)),FALSE)),"")</f>
        <v/>
      </c>
      <c r="ICF18" s="28" t="str">
        <f>IFERROR(IF(ICO3="No",IF(VLOOKUP(DATE($K$1,$K$2,ICF$4),Table1[],(MATCH(Calendar!$A18,DB!$1:$1,0)),FALSE)&gt;=5,"Good","Bad"),VLOOKUP(DATE($K$1,$K$2,ICF$4),Table1[],(MATCH(Calendar!$A18,DB!$1:$1,0)),FALSE)),"")</f>
        <v/>
      </c>
      <c r="ICG18" s="28" t="str">
        <f>IFERROR(IF(ICP3="No",IF(VLOOKUP(DATE($K$1,$K$2,ICG$4),Table1[],(MATCH(Calendar!$A18,DB!$1:$1,0)),FALSE)&gt;=5,"Good","Bad"),VLOOKUP(DATE($K$1,$K$2,ICG$4),Table1[],(MATCH(Calendar!$A18,DB!$1:$1,0)),FALSE)),"")</f>
        <v/>
      </c>
      <c r="ICH18" s="28" t="str">
        <f>IFERROR(IF(ICQ3="No",IF(VLOOKUP(DATE($K$1,$K$2,ICH$4),Table1[],(MATCH(Calendar!$A18,DB!$1:$1,0)),FALSE)&gt;=5,"Good","Bad"),VLOOKUP(DATE($K$1,$K$2,ICH$4),Table1[],(MATCH(Calendar!$A18,DB!$1:$1,0)),FALSE)),"")</f>
        <v/>
      </c>
      <c r="ICI18" s="28" t="str">
        <f>IFERROR(IF(ICR3="No",IF(VLOOKUP(DATE($K$1,$K$2,ICI$4),Table1[],(MATCH(Calendar!$A18,DB!$1:$1,0)),FALSE)&gt;=5,"Good","Bad"),VLOOKUP(DATE($K$1,$K$2,ICI$4),Table1[],(MATCH(Calendar!$A18,DB!$1:$1,0)),FALSE)),"")</f>
        <v/>
      </c>
      <c r="ICJ18" s="28" t="str">
        <f>IFERROR(IF(ICS3="No",IF(VLOOKUP(DATE($K$1,$K$2,ICJ$4),Table1[],(MATCH(Calendar!$A18,DB!$1:$1,0)),FALSE)&gt;=5,"Good","Bad"),VLOOKUP(DATE($K$1,$K$2,ICJ$4),Table1[],(MATCH(Calendar!$A18,DB!$1:$1,0)),FALSE)),"")</f>
        <v/>
      </c>
      <c r="ICK18" s="28" t="str">
        <f>IFERROR(IF(ICT3="No",IF(VLOOKUP(DATE($K$1,$K$2,ICK$4),Table1[],(MATCH(Calendar!$A18,DB!$1:$1,0)),FALSE)&gt;=5,"Good","Bad"),VLOOKUP(DATE($K$1,$K$2,ICK$4),Table1[],(MATCH(Calendar!$A18,DB!$1:$1,0)),FALSE)),"")</f>
        <v/>
      </c>
      <c r="ICL18" s="28" t="str">
        <f>IFERROR(IF(ICU3="No",IF(VLOOKUP(DATE($K$1,$K$2,ICL$4),Table1[],(MATCH(Calendar!$A18,DB!$1:$1,0)),FALSE)&gt;=5,"Good","Bad"),VLOOKUP(DATE($K$1,$K$2,ICL$4),Table1[],(MATCH(Calendar!$A18,DB!$1:$1,0)),FALSE)),"")</f>
        <v/>
      </c>
      <c r="ICM18" s="28" t="str">
        <f>IFERROR(IF(ICV3="No",IF(VLOOKUP(DATE($K$1,$K$2,ICM$4),Table1[],(MATCH(Calendar!$A18,DB!$1:$1,0)),FALSE)&gt;=5,"Good","Bad"),VLOOKUP(DATE($K$1,$K$2,ICM$4),Table1[],(MATCH(Calendar!$A18,DB!$1:$1,0)),FALSE)),"")</f>
        <v/>
      </c>
      <c r="ICN18" s="28" t="str">
        <f>IFERROR(IF(ICW3="No",IF(VLOOKUP(DATE($K$1,$K$2,ICN$4),Table1[],(MATCH(Calendar!$A18,DB!$1:$1,0)),FALSE)&gt;=5,"Good","Bad"),VLOOKUP(DATE($K$1,$K$2,ICN$4),Table1[],(MATCH(Calendar!$A18,DB!$1:$1,0)),FALSE)),"")</f>
        <v/>
      </c>
      <c r="ICO18" s="28" t="str">
        <f>IFERROR(IF(ICX3="No",IF(VLOOKUP(DATE($K$1,$K$2,ICO$4),Table1[],(MATCH(Calendar!$A18,DB!$1:$1,0)),FALSE)&gt;=5,"Good","Bad"),VLOOKUP(DATE($K$1,$K$2,ICO$4),Table1[],(MATCH(Calendar!$A18,DB!$1:$1,0)),FALSE)),"")</f>
        <v/>
      </c>
      <c r="ICP18" s="28" t="str">
        <f>IFERROR(IF(ICY3="No",IF(VLOOKUP(DATE($K$1,$K$2,ICP$4),Table1[],(MATCH(Calendar!$A18,DB!$1:$1,0)),FALSE)&gt;=5,"Good","Bad"),VLOOKUP(DATE($K$1,$K$2,ICP$4),Table1[],(MATCH(Calendar!$A18,DB!$1:$1,0)),FALSE)),"")</f>
        <v/>
      </c>
      <c r="ICQ18" s="28" t="str">
        <f>IFERROR(IF(ICZ3="No",IF(VLOOKUP(DATE($K$1,$K$2,ICQ$4),Table1[],(MATCH(Calendar!$A18,DB!$1:$1,0)),FALSE)&gt;=5,"Good","Bad"),VLOOKUP(DATE($K$1,$K$2,ICQ$4),Table1[],(MATCH(Calendar!$A18,DB!$1:$1,0)),FALSE)),"")</f>
        <v/>
      </c>
      <c r="ICR18" s="28" t="str">
        <f>IFERROR(IF(IDA3="No",IF(VLOOKUP(DATE($K$1,$K$2,ICR$4),Table1[],(MATCH(Calendar!$A18,DB!$1:$1,0)),FALSE)&gt;=5,"Good","Bad"),VLOOKUP(DATE($K$1,$K$2,ICR$4),Table1[],(MATCH(Calendar!$A18,DB!$1:$1,0)),FALSE)),"")</f>
        <v/>
      </c>
      <c r="ICS18" s="28" t="str">
        <f>IFERROR(IF(IDB3="No",IF(VLOOKUP(DATE($K$1,$K$2,ICS$4),Table1[],(MATCH(Calendar!$A18,DB!$1:$1,0)),FALSE)&gt;=5,"Good","Bad"),VLOOKUP(DATE($K$1,$K$2,ICS$4),Table1[],(MATCH(Calendar!$A18,DB!$1:$1,0)),FALSE)),"")</f>
        <v/>
      </c>
      <c r="ICT18" s="28" t="str">
        <f>IFERROR(IF(IDC3="No",IF(VLOOKUP(DATE($K$1,$K$2,ICT$4),Table1[],(MATCH(Calendar!$A18,DB!$1:$1,0)),FALSE)&gt;=5,"Good","Bad"),VLOOKUP(DATE($K$1,$K$2,ICT$4),Table1[],(MATCH(Calendar!$A18,DB!$1:$1,0)),FALSE)),"")</f>
        <v/>
      </c>
      <c r="ICU18" s="28" t="str">
        <f>IFERROR(IF(IDD3="No",IF(VLOOKUP(DATE($K$1,$K$2,ICU$4),Table1[],(MATCH(Calendar!$A18,DB!$1:$1,0)),FALSE)&gt;=5,"Good","Bad"),VLOOKUP(DATE($K$1,$K$2,ICU$4),Table1[],(MATCH(Calendar!$A18,DB!$1:$1,0)),FALSE)),"")</f>
        <v/>
      </c>
      <c r="ICV18" s="28" t="str">
        <f>IFERROR(IF(IDE3="No",IF(VLOOKUP(DATE($K$1,$K$2,ICV$4),Table1[],(MATCH(Calendar!$A18,DB!$1:$1,0)),FALSE)&gt;=5,"Good","Bad"),VLOOKUP(DATE($K$1,$K$2,ICV$4),Table1[],(MATCH(Calendar!$A18,DB!$1:$1,0)),FALSE)),"")</f>
        <v/>
      </c>
      <c r="ICW18" s="28" t="str">
        <f>IFERROR(IF(IDF3="No",IF(VLOOKUP(DATE($K$1,$K$2,ICW$4),Table1[],(MATCH(Calendar!$A18,DB!$1:$1,0)),FALSE)&gt;=5,"Good","Bad"),VLOOKUP(DATE($K$1,$K$2,ICW$4),Table1[],(MATCH(Calendar!$A18,DB!$1:$1,0)),FALSE)),"")</f>
        <v/>
      </c>
      <c r="ICX18" s="28" t="str">
        <f>IFERROR(IF(IDG3="No",IF(VLOOKUP(DATE($K$1,$K$2,ICX$4),Table1[],(MATCH(Calendar!$A18,DB!$1:$1,0)),FALSE)&gt;=5,"Good","Bad"),VLOOKUP(DATE($K$1,$K$2,ICX$4),Table1[],(MATCH(Calendar!$A18,DB!$1:$1,0)),FALSE)),"")</f>
        <v/>
      </c>
      <c r="ICY18" s="28" t="str">
        <f>IFERROR(IF(IDH3="No",IF(VLOOKUP(DATE($K$1,$K$2,ICY$4),Table1[],(MATCH(Calendar!$A18,DB!$1:$1,0)),FALSE)&gt;=5,"Good","Bad"),VLOOKUP(DATE($K$1,$K$2,ICY$4),Table1[],(MATCH(Calendar!$A18,DB!$1:$1,0)),FALSE)),"")</f>
        <v/>
      </c>
      <c r="ICZ18" s="28" t="str">
        <f>IFERROR(IF(IDI3="No",IF(VLOOKUP(DATE($K$1,$K$2,ICZ$4),Table1[],(MATCH(Calendar!$A18,DB!$1:$1,0)),FALSE)&gt;=5,"Good","Bad"),VLOOKUP(DATE($K$1,$K$2,ICZ$4),Table1[],(MATCH(Calendar!$A18,DB!$1:$1,0)),FALSE)),"")</f>
        <v/>
      </c>
      <c r="IDA18" s="28" t="str">
        <f>IFERROR(IF(IDJ3="No",IF(VLOOKUP(DATE($K$1,$K$2,IDA$4),Table1[],(MATCH(Calendar!$A18,DB!$1:$1,0)),FALSE)&gt;=5,"Good","Bad"),VLOOKUP(DATE($K$1,$K$2,IDA$4),Table1[],(MATCH(Calendar!$A18,DB!$1:$1,0)),FALSE)),"")</f>
        <v/>
      </c>
      <c r="IDB18" s="28" t="str">
        <f>IFERROR(IF(IDK3="No",IF(VLOOKUP(DATE($K$1,$K$2,IDB$4),Table1[],(MATCH(Calendar!$A18,DB!$1:$1,0)),FALSE)&gt;=5,"Good","Bad"),VLOOKUP(DATE($K$1,$K$2,IDB$4),Table1[],(MATCH(Calendar!$A18,DB!$1:$1,0)),FALSE)),"")</f>
        <v/>
      </c>
      <c r="IDC18" s="28" t="str">
        <f>IFERROR(IF(IDL3="No",IF(VLOOKUP(DATE($K$1,$K$2,IDC$4),Table1[],(MATCH(Calendar!$A18,DB!$1:$1,0)),FALSE)&gt;=5,"Good","Bad"),VLOOKUP(DATE($K$1,$K$2,IDC$4),Table1[],(MATCH(Calendar!$A18,DB!$1:$1,0)),FALSE)),"")</f>
        <v/>
      </c>
      <c r="IDD18" s="28" t="str">
        <f>IFERROR(IF(IDM3="No",IF(VLOOKUP(DATE($K$1,$K$2,IDD$4),Table1[],(MATCH(Calendar!$A18,DB!$1:$1,0)),FALSE)&gt;=5,"Good","Bad"),VLOOKUP(DATE($K$1,$K$2,IDD$4),Table1[],(MATCH(Calendar!$A18,DB!$1:$1,0)),FALSE)),"")</f>
        <v/>
      </c>
      <c r="IDE18" s="28" t="str">
        <f>IFERROR(IF(IDN3="No",IF(VLOOKUP(DATE($K$1,$K$2,IDE$4),Table1[],(MATCH(Calendar!$A18,DB!$1:$1,0)),FALSE)&gt;=5,"Good","Bad"),VLOOKUP(DATE($K$1,$K$2,IDE$4),Table1[],(MATCH(Calendar!$A18,DB!$1:$1,0)),FALSE)),"")</f>
        <v/>
      </c>
      <c r="IDF18" s="28" t="str">
        <f>IFERROR(IF(IDO3="No",IF(VLOOKUP(DATE($K$1,$K$2,IDF$4),Table1[],(MATCH(Calendar!$A18,DB!$1:$1,0)),FALSE)&gt;=5,"Good","Bad"),VLOOKUP(DATE($K$1,$K$2,IDF$4),Table1[],(MATCH(Calendar!$A18,DB!$1:$1,0)),FALSE)),"")</f>
        <v/>
      </c>
      <c r="IDG18" s="28" t="str">
        <f>IFERROR(IF(IDP3="No",IF(VLOOKUP(DATE($K$1,$K$2,IDG$4),Table1[],(MATCH(Calendar!$A18,DB!$1:$1,0)),FALSE)&gt;=5,"Good","Bad"),VLOOKUP(DATE($K$1,$K$2,IDG$4),Table1[],(MATCH(Calendar!$A18,DB!$1:$1,0)),FALSE)),"")</f>
        <v/>
      </c>
      <c r="IDH18" s="28" t="str">
        <f>IFERROR(IF(IDQ3="No",IF(VLOOKUP(DATE($K$1,$K$2,IDH$4),Table1[],(MATCH(Calendar!$A18,DB!$1:$1,0)),FALSE)&gt;=5,"Good","Bad"),VLOOKUP(DATE($K$1,$K$2,IDH$4),Table1[],(MATCH(Calendar!$A18,DB!$1:$1,0)),FALSE)),"")</f>
        <v/>
      </c>
      <c r="IDI18" s="28" t="str">
        <f>IFERROR(IF(IDR3="No",IF(VLOOKUP(DATE($K$1,$K$2,IDI$4),Table1[],(MATCH(Calendar!$A18,DB!$1:$1,0)),FALSE)&gt;=5,"Good","Bad"),VLOOKUP(DATE($K$1,$K$2,IDI$4),Table1[],(MATCH(Calendar!$A18,DB!$1:$1,0)),FALSE)),"")</f>
        <v/>
      </c>
      <c r="IDJ18" s="28" t="str">
        <f>IFERROR(IF(IDS3="No",IF(VLOOKUP(DATE($K$1,$K$2,IDJ$4),Table1[],(MATCH(Calendar!$A18,DB!$1:$1,0)),FALSE)&gt;=5,"Good","Bad"),VLOOKUP(DATE($K$1,$K$2,IDJ$4),Table1[],(MATCH(Calendar!$A18,DB!$1:$1,0)),FALSE)),"")</f>
        <v/>
      </c>
      <c r="IDK18" s="28" t="str">
        <f>IFERROR(IF(IDT3="No",IF(VLOOKUP(DATE($K$1,$K$2,IDK$4),Table1[],(MATCH(Calendar!$A18,DB!$1:$1,0)),FALSE)&gt;=5,"Good","Bad"),VLOOKUP(DATE($K$1,$K$2,IDK$4),Table1[],(MATCH(Calendar!$A18,DB!$1:$1,0)),FALSE)),"")</f>
        <v/>
      </c>
      <c r="IDL18" s="28" t="str">
        <f>IFERROR(IF(IDU3="No",IF(VLOOKUP(DATE($K$1,$K$2,IDL$4),Table1[],(MATCH(Calendar!$A18,DB!$1:$1,0)),FALSE)&gt;=5,"Good","Bad"),VLOOKUP(DATE($K$1,$K$2,IDL$4),Table1[],(MATCH(Calendar!$A18,DB!$1:$1,0)),FALSE)),"")</f>
        <v/>
      </c>
      <c r="IDM18" s="28" t="str">
        <f>IFERROR(IF(IDV3="No",IF(VLOOKUP(DATE($K$1,$K$2,IDM$4),Table1[],(MATCH(Calendar!$A18,DB!$1:$1,0)),FALSE)&gt;=5,"Good","Bad"),VLOOKUP(DATE($K$1,$K$2,IDM$4),Table1[],(MATCH(Calendar!$A18,DB!$1:$1,0)),FALSE)),"")</f>
        <v/>
      </c>
      <c r="IDN18" s="28" t="str">
        <f>IFERROR(IF(IDW3="No",IF(VLOOKUP(DATE($K$1,$K$2,IDN$4),Table1[],(MATCH(Calendar!$A18,DB!$1:$1,0)),FALSE)&gt;=5,"Good","Bad"),VLOOKUP(DATE($K$1,$K$2,IDN$4),Table1[],(MATCH(Calendar!$A18,DB!$1:$1,0)),FALSE)),"")</f>
        <v/>
      </c>
      <c r="IDO18" s="28" t="str">
        <f>IFERROR(IF(IDX3="No",IF(VLOOKUP(DATE($K$1,$K$2,IDO$4),Table1[],(MATCH(Calendar!$A18,DB!$1:$1,0)),FALSE)&gt;=5,"Good","Bad"),VLOOKUP(DATE($K$1,$K$2,IDO$4),Table1[],(MATCH(Calendar!$A18,DB!$1:$1,0)),FALSE)),"")</f>
        <v/>
      </c>
      <c r="IDP18" s="28" t="str">
        <f>IFERROR(IF(IDY3="No",IF(VLOOKUP(DATE($K$1,$K$2,IDP$4),Table1[],(MATCH(Calendar!$A18,DB!$1:$1,0)),FALSE)&gt;=5,"Good","Bad"),VLOOKUP(DATE($K$1,$K$2,IDP$4),Table1[],(MATCH(Calendar!$A18,DB!$1:$1,0)),FALSE)),"")</f>
        <v/>
      </c>
      <c r="IDQ18" s="28" t="str">
        <f>IFERROR(IF(IDZ3="No",IF(VLOOKUP(DATE($K$1,$K$2,IDQ$4),Table1[],(MATCH(Calendar!$A18,DB!$1:$1,0)),FALSE)&gt;=5,"Good","Bad"),VLOOKUP(DATE($K$1,$K$2,IDQ$4),Table1[],(MATCH(Calendar!$A18,DB!$1:$1,0)),FALSE)),"")</f>
        <v/>
      </c>
      <c r="IDR18" s="28" t="str">
        <f>IFERROR(IF(IEA3="No",IF(VLOOKUP(DATE($K$1,$K$2,IDR$4),Table1[],(MATCH(Calendar!$A18,DB!$1:$1,0)),FALSE)&gt;=5,"Good","Bad"),VLOOKUP(DATE($K$1,$K$2,IDR$4),Table1[],(MATCH(Calendar!$A18,DB!$1:$1,0)),FALSE)),"")</f>
        <v/>
      </c>
      <c r="IDS18" s="28" t="str">
        <f>IFERROR(IF(IEB3="No",IF(VLOOKUP(DATE($K$1,$K$2,IDS$4),Table1[],(MATCH(Calendar!$A18,DB!$1:$1,0)),FALSE)&gt;=5,"Good","Bad"),VLOOKUP(DATE($K$1,$K$2,IDS$4),Table1[],(MATCH(Calendar!$A18,DB!$1:$1,0)),FALSE)),"")</f>
        <v/>
      </c>
      <c r="IDT18" s="28" t="str">
        <f>IFERROR(IF(IEC3="No",IF(VLOOKUP(DATE($K$1,$K$2,IDT$4),Table1[],(MATCH(Calendar!$A18,DB!$1:$1,0)),FALSE)&gt;=5,"Good","Bad"),VLOOKUP(DATE($K$1,$K$2,IDT$4),Table1[],(MATCH(Calendar!$A18,DB!$1:$1,0)),FALSE)),"")</f>
        <v/>
      </c>
      <c r="IDU18" s="28" t="str">
        <f>IFERROR(IF(IED3="No",IF(VLOOKUP(DATE($K$1,$K$2,IDU$4),Table1[],(MATCH(Calendar!$A18,DB!$1:$1,0)),FALSE)&gt;=5,"Good","Bad"),VLOOKUP(DATE($K$1,$K$2,IDU$4),Table1[],(MATCH(Calendar!$A18,DB!$1:$1,0)),FALSE)),"")</f>
        <v/>
      </c>
      <c r="IDV18" s="28" t="str">
        <f>IFERROR(IF(IEE3="No",IF(VLOOKUP(DATE($K$1,$K$2,IDV$4),Table1[],(MATCH(Calendar!$A18,DB!$1:$1,0)),FALSE)&gt;=5,"Good","Bad"),VLOOKUP(DATE($K$1,$K$2,IDV$4),Table1[],(MATCH(Calendar!$A18,DB!$1:$1,0)),FALSE)),"")</f>
        <v/>
      </c>
      <c r="IDW18" s="28" t="str">
        <f>IFERROR(IF(IEF3="No",IF(VLOOKUP(DATE($K$1,$K$2,IDW$4),Table1[],(MATCH(Calendar!$A18,DB!$1:$1,0)),FALSE)&gt;=5,"Good","Bad"),VLOOKUP(DATE($K$1,$K$2,IDW$4),Table1[],(MATCH(Calendar!$A18,DB!$1:$1,0)),FALSE)),"")</f>
        <v/>
      </c>
      <c r="IDX18" s="28" t="str">
        <f>IFERROR(IF(IEG3="No",IF(VLOOKUP(DATE($K$1,$K$2,IDX$4),Table1[],(MATCH(Calendar!$A18,DB!$1:$1,0)),FALSE)&gt;=5,"Good","Bad"),VLOOKUP(DATE($K$1,$K$2,IDX$4),Table1[],(MATCH(Calendar!$A18,DB!$1:$1,0)),FALSE)),"")</f>
        <v/>
      </c>
      <c r="IDY18" s="28" t="str">
        <f>IFERROR(IF(IEH3="No",IF(VLOOKUP(DATE($K$1,$K$2,IDY$4),Table1[],(MATCH(Calendar!$A18,DB!$1:$1,0)),FALSE)&gt;=5,"Good","Bad"),VLOOKUP(DATE($K$1,$K$2,IDY$4),Table1[],(MATCH(Calendar!$A18,DB!$1:$1,0)),FALSE)),"")</f>
        <v/>
      </c>
      <c r="IDZ18" s="28" t="str">
        <f>IFERROR(IF(IEI3="No",IF(VLOOKUP(DATE($K$1,$K$2,IDZ$4),Table1[],(MATCH(Calendar!$A18,DB!$1:$1,0)),FALSE)&gt;=5,"Good","Bad"),VLOOKUP(DATE($K$1,$K$2,IDZ$4),Table1[],(MATCH(Calendar!$A18,DB!$1:$1,0)),FALSE)),"")</f>
        <v/>
      </c>
      <c r="IEA18" s="28" t="str">
        <f>IFERROR(IF(IEJ3="No",IF(VLOOKUP(DATE($K$1,$K$2,IEA$4),Table1[],(MATCH(Calendar!$A18,DB!$1:$1,0)),FALSE)&gt;=5,"Good","Bad"),VLOOKUP(DATE($K$1,$K$2,IEA$4),Table1[],(MATCH(Calendar!$A18,DB!$1:$1,0)),FALSE)),"")</f>
        <v/>
      </c>
      <c r="IEB18" s="28" t="str">
        <f>IFERROR(IF(IEK3="No",IF(VLOOKUP(DATE($K$1,$K$2,IEB$4),Table1[],(MATCH(Calendar!$A18,DB!$1:$1,0)),FALSE)&gt;=5,"Good","Bad"),VLOOKUP(DATE($K$1,$K$2,IEB$4),Table1[],(MATCH(Calendar!$A18,DB!$1:$1,0)),FALSE)),"")</f>
        <v/>
      </c>
      <c r="IEC18" s="28" t="str">
        <f>IFERROR(IF(IEL3="No",IF(VLOOKUP(DATE($K$1,$K$2,IEC$4),Table1[],(MATCH(Calendar!$A18,DB!$1:$1,0)),FALSE)&gt;=5,"Good","Bad"),VLOOKUP(DATE($K$1,$K$2,IEC$4),Table1[],(MATCH(Calendar!$A18,DB!$1:$1,0)),FALSE)),"")</f>
        <v/>
      </c>
      <c r="IED18" s="28" t="str">
        <f>IFERROR(IF(IEM3="No",IF(VLOOKUP(DATE($K$1,$K$2,IED$4),Table1[],(MATCH(Calendar!$A18,DB!$1:$1,0)),FALSE)&gt;=5,"Good","Bad"),VLOOKUP(DATE($K$1,$K$2,IED$4),Table1[],(MATCH(Calendar!$A18,DB!$1:$1,0)),FALSE)),"")</f>
        <v/>
      </c>
      <c r="IEE18" s="28" t="str">
        <f>IFERROR(IF(IEN3="No",IF(VLOOKUP(DATE($K$1,$K$2,IEE$4),Table1[],(MATCH(Calendar!$A18,DB!$1:$1,0)),FALSE)&gt;=5,"Good","Bad"),VLOOKUP(DATE($K$1,$K$2,IEE$4),Table1[],(MATCH(Calendar!$A18,DB!$1:$1,0)),FALSE)),"")</f>
        <v/>
      </c>
      <c r="IEF18" s="28" t="str">
        <f>IFERROR(IF(IEO3="No",IF(VLOOKUP(DATE($K$1,$K$2,IEF$4),Table1[],(MATCH(Calendar!$A18,DB!$1:$1,0)),FALSE)&gt;=5,"Good","Bad"),VLOOKUP(DATE($K$1,$K$2,IEF$4),Table1[],(MATCH(Calendar!$A18,DB!$1:$1,0)),FALSE)),"")</f>
        <v/>
      </c>
      <c r="IEG18" s="28" t="str">
        <f>IFERROR(IF(IEP3="No",IF(VLOOKUP(DATE($K$1,$K$2,IEG$4),Table1[],(MATCH(Calendar!$A18,DB!$1:$1,0)),FALSE)&gt;=5,"Good","Bad"),VLOOKUP(DATE($K$1,$K$2,IEG$4),Table1[],(MATCH(Calendar!$A18,DB!$1:$1,0)),FALSE)),"")</f>
        <v/>
      </c>
      <c r="IEH18" s="28" t="str">
        <f>IFERROR(IF(IEQ3="No",IF(VLOOKUP(DATE($K$1,$K$2,IEH$4),Table1[],(MATCH(Calendar!$A18,DB!$1:$1,0)),FALSE)&gt;=5,"Good","Bad"),VLOOKUP(DATE($K$1,$K$2,IEH$4),Table1[],(MATCH(Calendar!$A18,DB!$1:$1,0)),FALSE)),"")</f>
        <v/>
      </c>
      <c r="IEI18" s="28" t="str">
        <f>IFERROR(IF(IER3="No",IF(VLOOKUP(DATE($K$1,$K$2,IEI$4),Table1[],(MATCH(Calendar!$A18,DB!$1:$1,0)),FALSE)&gt;=5,"Good","Bad"),VLOOKUP(DATE($K$1,$K$2,IEI$4),Table1[],(MATCH(Calendar!$A18,DB!$1:$1,0)),FALSE)),"")</f>
        <v/>
      </c>
      <c r="IEJ18" s="28" t="str">
        <f>IFERROR(IF(IES3="No",IF(VLOOKUP(DATE($K$1,$K$2,IEJ$4),Table1[],(MATCH(Calendar!$A18,DB!$1:$1,0)),FALSE)&gt;=5,"Good","Bad"),VLOOKUP(DATE($K$1,$K$2,IEJ$4),Table1[],(MATCH(Calendar!$A18,DB!$1:$1,0)),FALSE)),"")</f>
        <v/>
      </c>
      <c r="IEK18" s="28" t="str">
        <f>IFERROR(IF(IET3="No",IF(VLOOKUP(DATE($K$1,$K$2,IEK$4),Table1[],(MATCH(Calendar!$A18,DB!$1:$1,0)),FALSE)&gt;=5,"Good","Bad"),VLOOKUP(DATE($K$1,$K$2,IEK$4),Table1[],(MATCH(Calendar!$A18,DB!$1:$1,0)),FALSE)),"")</f>
        <v/>
      </c>
      <c r="IEL18" s="28" t="str">
        <f>IFERROR(IF(IEU3="No",IF(VLOOKUP(DATE($K$1,$K$2,IEL$4),Table1[],(MATCH(Calendar!$A18,DB!$1:$1,0)),FALSE)&gt;=5,"Good","Bad"),VLOOKUP(DATE($K$1,$K$2,IEL$4),Table1[],(MATCH(Calendar!$A18,DB!$1:$1,0)),FALSE)),"")</f>
        <v/>
      </c>
      <c r="IEM18" s="28" t="str">
        <f>IFERROR(IF(IEV3="No",IF(VLOOKUP(DATE($K$1,$K$2,IEM$4),Table1[],(MATCH(Calendar!$A18,DB!$1:$1,0)),FALSE)&gt;=5,"Good","Bad"),VLOOKUP(DATE($K$1,$K$2,IEM$4),Table1[],(MATCH(Calendar!$A18,DB!$1:$1,0)),FALSE)),"")</f>
        <v/>
      </c>
      <c r="IEN18" s="28" t="str">
        <f>IFERROR(IF(IEW3="No",IF(VLOOKUP(DATE($K$1,$K$2,IEN$4),Table1[],(MATCH(Calendar!$A18,DB!$1:$1,0)),FALSE)&gt;=5,"Good","Bad"),VLOOKUP(DATE($K$1,$K$2,IEN$4),Table1[],(MATCH(Calendar!$A18,DB!$1:$1,0)),FALSE)),"")</f>
        <v/>
      </c>
      <c r="IEO18" s="28" t="str">
        <f>IFERROR(IF(IEX3="No",IF(VLOOKUP(DATE($K$1,$K$2,IEO$4),Table1[],(MATCH(Calendar!$A18,DB!$1:$1,0)),FALSE)&gt;=5,"Good","Bad"),VLOOKUP(DATE($K$1,$K$2,IEO$4),Table1[],(MATCH(Calendar!$A18,DB!$1:$1,0)),FALSE)),"")</f>
        <v/>
      </c>
      <c r="IEP18" s="28" t="str">
        <f>IFERROR(IF(IEY3="No",IF(VLOOKUP(DATE($K$1,$K$2,IEP$4),Table1[],(MATCH(Calendar!$A18,DB!$1:$1,0)),FALSE)&gt;=5,"Good","Bad"),VLOOKUP(DATE($K$1,$K$2,IEP$4),Table1[],(MATCH(Calendar!$A18,DB!$1:$1,0)),FALSE)),"")</f>
        <v/>
      </c>
      <c r="IEQ18" s="28" t="str">
        <f>IFERROR(IF(IEZ3="No",IF(VLOOKUP(DATE($K$1,$K$2,IEQ$4),Table1[],(MATCH(Calendar!$A18,DB!$1:$1,0)),FALSE)&gt;=5,"Good","Bad"),VLOOKUP(DATE($K$1,$K$2,IEQ$4),Table1[],(MATCH(Calendar!$A18,DB!$1:$1,0)),FALSE)),"")</f>
        <v/>
      </c>
      <c r="IER18" s="28" t="str">
        <f>IFERROR(IF(IFA3="No",IF(VLOOKUP(DATE($K$1,$K$2,IER$4),Table1[],(MATCH(Calendar!$A18,DB!$1:$1,0)),FALSE)&gt;=5,"Good","Bad"),VLOOKUP(DATE($K$1,$K$2,IER$4),Table1[],(MATCH(Calendar!$A18,DB!$1:$1,0)),FALSE)),"")</f>
        <v/>
      </c>
      <c r="IES18" s="28" t="str">
        <f>IFERROR(IF(IFB3="No",IF(VLOOKUP(DATE($K$1,$K$2,IES$4),Table1[],(MATCH(Calendar!$A18,DB!$1:$1,0)),FALSE)&gt;=5,"Good","Bad"),VLOOKUP(DATE($K$1,$K$2,IES$4),Table1[],(MATCH(Calendar!$A18,DB!$1:$1,0)),FALSE)),"")</f>
        <v/>
      </c>
      <c r="IET18" s="28" t="str">
        <f>IFERROR(IF(IFC3="No",IF(VLOOKUP(DATE($K$1,$K$2,IET$4),Table1[],(MATCH(Calendar!$A18,DB!$1:$1,0)),FALSE)&gt;=5,"Good","Bad"),VLOOKUP(DATE($K$1,$K$2,IET$4),Table1[],(MATCH(Calendar!$A18,DB!$1:$1,0)),FALSE)),"")</f>
        <v/>
      </c>
      <c r="IEU18" s="28" t="str">
        <f>IFERROR(IF(IFD3="No",IF(VLOOKUP(DATE($K$1,$K$2,IEU$4),Table1[],(MATCH(Calendar!$A18,DB!$1:$1,0)),FALSE)&gt;=5,"Good","Bad"),VLOOKUP(DATE($K$1,$K$2,IEU$4),Table1[],(MATCH(Calendar!$A18,DB!$1:$1,0)),FALSE)),"")</f>
        <v/>
      </c>
      <c r="IEV18" s="28" t="str">
        <f>IFERROR(IF(IFE3="No",IF(VLOOKUP(DATE($K$1,$K$2,IEV$4),Table1[],(MATCH(Calendar!$A18,DB!$1:$1,0)),FALSE)&gt;=5,"Good","Bad"),VLOOKUP(DATE($K$1,$K$2,IEV$4),Table1[],(MATCH(Calendar!$A18,DB!$1:$1,0)),FALSE)),"")</f>
        <v/>
      </c>
      <c r="IEW18" s="28" t="str">
        <f>IFERROR(IF(IFF3="No",IF(VLOOKUP(DATE($K$1,$K$2,IEW$4),Table1[],(MATCH(Calendar!$A18,DB!$1:$1,0)),FALSE)&gt;=5,"Good","Bad"),VLOOKUP(DATE($K$1,$K$2,IEW$4),Table1[],(MATCH(Calendar!$A18,DB!$1:$1,0)),FALSE)),"")</f>
        <v/>
      </c>
      <c r="IEX18" s="28" t="str">
        <f>IFERROR(IF(IFG3="No",IF(VLOOKUP(DATE($K$1,$K$2,IEX$4),Table1[],(MATCH(Calendar!$A18,DB!$1:$1,0)),FALSE)&gt;=5,"Good","Bad"),VLOOKUP(DATE($K$1,$K$2,IEX$4),Table1[],(MATCH(Calendar!$A18,DB!$1:$1,0)),FALSE)),"")</f>
        <v/>
      </c>
      <c r="IEY18" s="28" t="str">
        <f>IFERROR(IF(IFH3="No",IF(VLOOKUP(DATE($K$1,$K$2,IEY$4),Table1[],(MATCH(Calendar!$A18,DB!$1:$1,0)),FALSE)&gt;=5,"Good","Bad"),VLOOKUP(DATE($K$1,$K$2,IEY$4),Table1[],(MATCH(Calendar!$A18,DB!$1:$1,0)),FALSE)),"")</f>
        <v/>
      </c>
      <c r="IEZ18" s="28" t="str">
        <f>IFERROR(IF(IFI3="No",IF(VLOOKUP(DATE($K$1,$K$2,IEZ$4),Table1[],(MATCH(Calendar!$A18,DB!$1:$1,0)),FALSE)&gt;=5,"Good","Bad"),VLOOKUP(DATE($K$1,$K$2,IEZ$4),Table1[],(MATCH(Calendar!$A18,DB!$1:$1,0)),FALSE)),"")</f>
        <v/>
      </c>
      <c r="IFA18" s="28" t="str">
        <f>IFERROR(IF(IFJ3="No",IF(VLOOKUP(DATE($K$1,$K$2,IFA$4),Table1[],(MATCH(Calendar!$A18,DB!$1:$1,0)),FALSE)&gt;=5,"Good","Bad"),VLOOKUP(DATE($K$1,$K$2,IFA$4),Table1[],(MATCH(Calendar!$A18,DB!$1:$1,0)),FALSE)),"")</f>
        <v/>
      </c>
      <c r="IFB18" s="28" t="str">
        <f>IFERROR(IF(IFK3="No",IF(VLOOKUP(DATE($K$1,$K$2,IFB$4),Table1[],(MATCH(Calendar!$A18,DB!$1:$1,0)),FALSE)&gt;=5,"Good","Bad"),VLOOKUP(DATE($K$1,$K$2,IFB$4),Table1[],(MATCH(Calendar!$A18,DB!$1:$1,0)),FALSE)),"")</f>
        <v/>
      </c>
      <c r="IFC18" s="28" t="str">
        <f>IFERROR(IF(IFL3="No",IF(VLOOKUP(DATE($K$1,$K$2,IFC$4),Table1[],(MATCH(Calendar!$A18,DB!$1:$1,0)),FALSE)&gt;=5,"Good","Bad"),VLOOKUP(DATE($K$1,$K$2,IFC$4),Table1[],(MATCH(Calendar!$A18,DB!$1:$1,0)),FALSE)),"")</f>
        <v/>
      </c>
      <c r="IFD18" s="28" t="str">
        <f>IFERROR(IF(IFM3="No",IF(VLOOKUP(DATE($K$1,$K$2,IFD$4),Table1[],(MATCH(Calendar!$A18,DB!$1:$1,0)),FALSE)&gt;=5,"Good","Bad"),VLOOKUP(DATE($K$1,$K$2,IFD$4),Table1[],(MATCH(Calendar!$A18,DB!$1:$1,0)),FALSE)),"")</f>
        <v/>
      </c>
      <c r="IFE18" s="28" t="str">
        <f>IFERROR(IF(IFN3="No",IF(VLOOKUP(DATE($K$1,$K$2,IFE$4),Table1[],(MATCH(Calendar!$A18,DB!$1:$1,0)),FALSE)&gt;=5,"Good","Bad"),VLOOKUP(DATE($K$1,$K$2,IFE$4),Table1[],(MATCH(Calendar!$A18,DB!$1:$1,0)),FALSE)),"")</f>
        <v/>
      </c>
      <c r="IFF18" s="28" t="str">
        <f>IFERROR(IF(IFO3="No",IF(VLOOKUP(DATE($K$1,$K$2,IFF$4),Table1[],(MATCH(Calendar!$A18,DB!$1:$1,0)),FALSE)&gt;=5,"Good","Bad"),VLOOKUP(DATE($K$1,$K$2,IFF$4),Table1[],(MATCH(Calendar!$A18,DB!$1:$1,0)),FALSE)),"")</f>
        <v/>
      </c>
      <c r="IFG18" s="28" t="str">
        <f>IFERROR(IF(IFP3="No",IF(VLOOKUP(DATE($K$1,$K$2,IFG$4),Table1[],(MATCH(Calendar!$A18,DB!$1:$1,0)),FALSE)&gt;=5,"Good","Bad"),VLOOKUP(DATE($K$1,$K$2,IFG$4),Table1[],(MATCH(Calendar!$A18,DB!$1:$1,0)),FALSE)),"")</f>
        <v/>
      </c>
      <c r="IFH18" s="28" t="str">
        <f>IFERROR(IF(IFQ3="No",IF(VLOOKUP(DATE($K$1,$K$2,IFH$4),Table1[],(MATCH(Calendar!$A18,DB!$1:$1,0)),FALSE)&gt;=5,"Good","Bad"),VLOOKUP(DATE($K$1,$K$2,IFH$4),Table1[],(MATCH(Calendar!$A18,DB!$1:$1,0)),FALSE)),"")</f>
        <v/>
      </c>
      <c r="IFI18" s="28" t="str">
        <f>IFERROR(IF(IFR3="No",IF(VLOOKUP(DATE($K$1,$K$2,IFI$4),Table1[],(MATCH(Calendar!$A18,DB!$1:$1,0)),FALSE)&gt;=5,"Good","Bad"),VLOOKUP(DATE($K$1,$K$2,IFI$4),Table1[],(MATCH(Calendar!$A18,DB!$1:$1,0)),FALSE)),"")</f>
        <v/>
      </c>
      <c r="IFJ18" s="28" t="str">
        <f>IFERROR(IF(IFS3="No",IF(VLOOKUP(DATE($K$1,$K$2,IFJ$4),Table1[],(MATCH(Calendar!$A18,DB!$1:$1,0)),FALSE)&gt;=5,"Good","Bad"),VLOOKUP(DATE($K$1,$K$2,IFJ$4),Table1[],(MATCH(Calendar!$A18,DB!$1:$1,0)),FALSE)),"")</f>
        <v/>
      </c>
      <c r="IFK18" s="28" t="str">
        <f>IFERROR(IF(IFT3="No",IF(VLOOKUP(DATE($K$1,$K$2,IFK$4),Table1[],(MATCH(Calendar!$A18,DB!$1:$1,0)),FALSE)&gt;=5,"Good","Bad"),VLOOKUP(DATE($K$1,$K$2,IFK$4),Table1[],(MATCH(Calendar!$A18,DB!$1:$1,0)),FALSE)),"")</f>
        <v/>
      </c>
      <c r="IFL18" s="28" t="str">
        <f>IFERROR(IF(IFU3="No",IF(VLOOKUP(DATE($K$1,$K$2,IFL$4),Table1[],(MATCH(Calendar!$A18,DB!$1:$1,0)),FALSE)&gt;=5,"Good","Bad"),VLOOKUP(DATE($K$1,$K$2,IFL$4),Table1[],(MATCH(Calendar!$A18,DB!$1:$1,0)),FALSE)),"")</f>
        <v/>
      </c>
      <c r="IFM18" s="28" t="str">
        <f>IFERROR(IF(IFV3="No",IF(VLOOKUP(DATE($K$1,$K$2,IFM$4),Table1[],(MATCH(Calendar!$A18,DB!$1:$1,0)),FALSE)&gt;=5,"Good","Bad"),VLOOKUP(DATE($K$1,$K$2,IFM$4),Table1[],(MATCH(Calendar!$A18,DB!$1:$1,0)),FALSE)),"")</f>
        <v/>
      </c>
      <c r="IFN18" s="28" t="str">
        <f>IFERROR(IF(IFW3="No",IF(VLOOKUP(DATE($K$1,$K$2,IFN$4),Table1[],(MATCH(Calendar!$A18,DB!$1:$1,0)),FALSE)&gt;=5,"Good","Bad"),VLOOKUP(DATE($K$1,$K$2,IFN$4),Table1[],(MATCH(Calendar!$A18,DB!$1:$1,0)),FALSE)),"")</f>
        <v/>
      </c>
      <c r="IFO18" s="28" t="str">
        <f>IFERROR(IF(IFX3="No",IF(VLOOKUP(DATE($K$1,$K$2,IFO$4),Table1[],(MATCH(Calendar!$A18,DB!$1:$1,0)),FALSE)&gt;=5,"Good","Bad"),VLOOKUP(DATE($K$1,$K$2,IFO$4),Table1[],(MATCH(Calendar!$A18,DB!$1:$1,0)),FALSE)),"")</f>
        <v/>
      </c>
      <c r="IFP18" s="28" t="str">
        <f>IFERROR(IF(IFY3="No",IF(VLOOKUP(DATE($K$1,$K$2,IFP$4),Table1[],(MATCH(Calendar!$A18,DB!$1:$1,0)),FALSE)&gt;=5,"Good","Bad"),VLOOKUP(DATE($K$1,$K$2,IFP$4),Table1[],(MATCH(Calendar!$A18,DB!$1:$1,0)),FALSE)),"")</f>
        <v/>
      </c>
      <c r="IFQ18" s="28" t="str">
        <f>IFERROR(IF(IFZ3="No",IF(VLOOKUP(DATE($K$1,$K$2,IFQ$4),Table1[],(MATCH(Calendar!$A18,DB!$1:$1,0)),FALSE)&gt;=5,"Good","Bad"),VLOOKUP(DATE($K$1,$K$2,IFQ$4),Table1[],(MATCH(Calendar!$A18,DB!$1:$1,0)),FALSE)),"")</f>
        <v/>
      </c>
      <c r="IFR18" s="28" t="str">
        <f>IFERROR(IF(IGA3="No",IF(VLOOKUP(DATE($K$1,$K$2,IFR$4),Table1[],(MATCH(Calendar!$A18,DB!$1:$1,0)),FALSE)&gt;=5,"Good","Bad"),VLOOKUP(DATE($K$1,$K$2,IFR$4),Table1[],(MATCH(Calendar!$A18,DB!$1:$1,0)),FALSE)),"")</f>
        <v/>
      </c>
      <c r="IFS18" s="28" t="str">
        <f>IFERROR(IF(IGB3="No",IF(VLOOKUP(DATE($K$1,$K$2,IFS$4),Table1[],(MATCH(Calendar!$A18,DB!$1:$1,0)),FALSE)&gt;=5,"Good","Bad"),VLOOKUP(DATE($K$1,$K$2,IFS$4),Table1[],(MATCH(Calendar!$A18,DB!$1:$1,0)),FALSE)),"")</f>
        <v/>
      </c>
      <c r="IFT18" s="28" t="str">
        <f>IFERROR(IF(IGC3="No",IF(VLOOKUP(DATE($K$1,$K$2,IFT$4),Table1[],(MATCH(Calendar!$A18,DB!$1:$1,0)),FALSE)&gt;=5,"Good","Bad"),VLOOKUP(DATE($K$1,$K$2,IFT$4),Table1[],(MATCH(Calendar!$A18,DB!$1:$1,0)),FALSE)),"")</f>
        <v/>
      </c>
      <c r="IFU18" s="28" t="str">
        <f>IFERROR(IF(IGD3="No",IF(VLOOKUP(DATE($K$1,$K$2,IFU$4),Table1[],(MATCH(Calendar!$A18,DB!$1:$1,0)),FALSE)&gt;=5,"Good","Bad"),VLOOKUP(DATE($K$1,$K$2,IFU$4),Table1[],(MATCH(Calendar!$A18,DB!$1:$1,0)),FALSE)),"")</f>
        <v/>
      </c>
      <c r="IFV18" s="28" t="str">
        <f>IFERROR(IF(IGE3="No",IF(VLOOKUP(DATE($K$1,$K$2,IFV$4),Table1[],(MATCH(Calendar!$A18,DB!$1:$1,0)),FALSE)&gt;=5,"Good","Bad"),VLOOKUP(DATE($K$1,$K$2,IFV$4),Table1[],(MATCH(Calendar!$A18,DB!$1:$1,0)),FALSE)),"")</f>
        <v/>
      </c>
      <c r="IFW18" s="28" t="str">
        <f>IFERROR(IF(IGF3="No",IF(VLOOKUP(DATE($K$1,$K$2,IFW$4),Table1[],(MATCH(Calendar!$A18,DB!$1:$1,0)),FALSE)&gt;=5,"Good","Bad"),VLOOKUP(DATE($K$1,$K$2,IFW$4),Table1[],(MATCH(Calendar!$A18,DB!$1:$1,0)),FALSE)),"")</f>
        <v/>
      </c>
      <c r="IFX18" s="28" t="str">
        <f>IFERROR(IF(IGG3="No",IF(VLOOKUP(DATE($K$1,$K$2,IFX$4),Table1[],(MATCH(Calendar!$A18,DB!$1:$1,0)),FALSE)&gt;=5,"Good","Bad"),VLOOKUP(DATE($K$1,$K$2,IFX$4),Table1[],(MATCH(Calendar!$A18,DB!$1:$1,0)),FALSE)),"")</f>
        <v/>
      </c>
      <c r="IFY18" s="28" t="str">
        <f>IFERROR(IF(IGH3="No",IF(VLOOKUP(DATE($K$1,$K$2,IFY$4),Table1[],(MATCH(Calendar!$A18,DB!$1:$1,0)),FALSE)&gt;=5,"Good","Bad"),VLOOKUP(DATE($K$1,$K$2,IFY$4),Table1[],(MATCH(Calendar!$A18,DB!$1:$1,0)),FALSE)),"")</f>
        <v/>
      </c>
      <c r="IFZ18" s="28" t="str">
        <f>IFERROR(IF(IGI3="No",IF(VLOOKUP(DATE($K$1,$K$2,IFZ$4),Table1[],(MATCH(Calendar!$A18,DB!$1:$1,0)),FALSE)&gt;=5,"Good","Bad"),VLOOKUP(DATE($K$1,$K$2,IFZ$4),Table1[],(MATCH(Calendar!$A18,DB!$1:$1,0)),FALSE)),"")</f>
        <v/>
      </c>
      <c r="IGA18" s="28" t="str">
        <f>IFERROR(IF(IGJ3="No",IF(VLOOKUP(DATE($K$1,$K$2,IGA$4),Table1[],(MATCH(Calendar!$A18,DB!$1:$1,0)),FALSE)&gt;=5,"Good","Bad"),VLOOKUP(DATE($K$1,$K$2,IGA$4),Table1[],(MATCH(Calendar!$A18,DB!$1:$1,0)),FALSE)),"")</f>
        <v/>
      </c>
      <c r="IGB18" s="28" t="str">
        <f>IFERROR(IF(IGK3="No",IF(VLOOKUP(DATE($K$1,$K$2,IGB$4),Table1[],(MATCH(Calendar!$A18,DB!$1:$1,0)),FALSE)&gt;=5,"Good","Bad"),VLOOKUP(DATE($K$1,$K$2,IGB$4),Table1[],(MATCH(Calendar!$A18,DB!$1:$1,0)),FALSE)),"")</f>
        <v/>
      </c>
      <c r="IGC18" s="28" t="str">
        <f>IFERROR(IF(IGL3="No",IF(VLOOKUP(DATE($K$1,$K$2,IGC$4),Table1[],(MATCH(Calendar!$A18,DB!$1:$1,0)),FALSE)&gt;=5,"Good","Bad"),VLOOKUP(DATE($K$1,$K$2,IGC$4),Table1[],(MATCH(Calendar!$A18,DB!$1:$1,0)),FALSE)),"")</f>
        <v/>
      </c>
      <c r="IGD18" s="28" t="str">
        <f>IFERROR(IF(IGM3="No",IF(VLOOKUP(DATE($K$1,$K$2,IGD$4),Table1[],(MATCH(Calendar!$A18,DB!$1:$1,0)),FALSE)&gt;=5,"Good","Bad"),VLOOKUP(DATE($K$1,$K$2,IGD$4),Table1[],(MATCH(Calendar!$A18,DB!$1:$1,0)),FALSE)),"")</f>
        <v/>
      </c>
      <c r="IGE18" s="28" t="str">
        <f>IFERROR(IF(IGN3="No",IF(VLOOKUP(DATE($K$1,$K$2,IGE$4),Table1[],(MATCH(Calendar!$A18,DB!$1:$1,0)),FALSE)&gt;=5,"Good","Bad"),VLOOKUP(DATE($K$1,$K$2,IGE$4),Table1[],(MATCH(Calendar!$A18,DB!$1:$1,0)),FALSE)),"")</f>
        <v/>
      </c>
      <c r="IGF18" s="28" t="str">
        <f>IFERROR(IF(IGO3="No",IF(VLOOKUP(DATE($K$1,$K$2,IGF$4),Table1[],(MATCH(Calendar!$A18,DB!$1:$1,0)),FALSE)&gt;=5,"Good","Bad"),VLOOKUP(DATE($K$1,$K$2,IGF$4),Table1[],(MATCH(Calendar!$A18,DB!$1:$1,0)),FALSE)),"")</f>
        <v/>
      </c>
      <c r="IGG18" s="28" t="str">
        <f>IFERROR(IF(IGP3="No",IF(VLOOKUP(DATE($K$1,$K$2,IGG$4),Table1[],(MATCH(Calendar!$A18,DB!$1:$1,0)),FALSE)&gt;=5,"Good","Bad"),VLOOKUP(DATE($K$1,$K$2,IGG$4),Table1[],(MATCH(Calendar!$A18,DB!$1:$1,0)),FALSE)),"")</f>
        <v/>
      </c>
      <c r="IGH18" s="28" t="str">
        <f>IFERROR(IF(IGQ3="No",IF(VLOOKUP(DATE($K$1,$K$2,IGH$4),Table1[],(MATCH(Calendar!$A18,DB!$1:$1,0)),FALSE)&gt;=5,"Good","Bad"),VLOOKUP(DATE($K$1,$K$2,IGH$4),Table1[],(MATCH(Calendar!$A18,DB!$1:$1,0)),FALSE)),"")</f>
        <v/>
      </c>
      <c r="IGI18" s="28" t="str">
        <f>IFERROR(IF(IGR3="No",IF(VLOOKUP(DATE($K$1,$K$2,IGI$4),Table1[],(MATCH(Calendar!$A18,DB!$1:$1,0)),FALSE)&gt;=5,"Good","Bad"),VLOOKUP(DATE($K$1,$K$2,IGI$4),Table1[],(MATCH(Calendar!$A18,DB!$1:$1,0)),FALSE)),"")</f>
        <v/>
      </c>
      <c r="IGJ18" s="28" t="str">
        <f>IFERROR(IF(IGS3="No",IF(VLOOKUP(DATE($K$1,$K$2,IGJ$4),Table1[],(MATCH(Calendar!$A18,DB!$1:$1,0)),FALSE)&gt;=5,"Good","Bad"),VLOOKUP(DATE($K$1,$K$2,IGJ$4),Table1[],(MATCH(Calendar!$A18,DB!$1:$1,0)),FALSE)),"")</f>
        <v/>
      </c>
      <c r="IGK18" s="28" t="str">
        <f>IFERROR(IF(IGT3="No",IF(VLOOKUP(DATE($K$1,$K$2,IGK$4),Table1[],(MATCH(Calendar!$A18,DB!$1:$1,0)),FALSE)&gt;=5,"Good","Bad"),VLOOKUP(DATE($K$1,$K$2,IGK$4),Table1[],(MATCH(Calendar!$A18,DB!$1:$1,0)),FALSE)),"")</f>
        <v/>
      </c>
      <c r="IGL18" s="28" t="str">
        <f>IFERROR(IF(IGU3="No",IF(VLOOKUP(DATE($K$1,$K$2,IGL$4),Table1[],(MATCH(Calendar!$A18,DB!$1:$1,0)),FALSE)&gt;=5,"Good","Bad"),VLOOKUP(DATE($K$1,$K$2,IGL$4),Table1[],(MATCH(Calendar!$A18,DB!$1:$1,0)),FALSE)),"")</f>
        <v/>
      </c>
      <c r="IGM18" s="28" t="str">
        <f>IFERROR(IF(IGV3="No",IF(VLOOKUP(DATE($K$1,$K$2,IGM$4),Table1[],(MATCH(Calendar!$A18,DB!$1:$1,0)),FALSE)&gt;=5,"Good","Bad"),VLOOKUP(DATE($K$1,$K$2,IGM$4),Table1[],(MATCH(Calendar!$A18,DB!$1:$1,0)),FALSE)),"")</f>
        <v/>
      </c>
      <c r="IGN18" s="28" t="str">
        <f>IFERROR(IF(IGW3="No",IF(VLOOKUP(DATE($K$1,$K$2,IGN$4),Table1[],(MATCH(Calendar!$A18,DB!$1:$1,0)),FALSE)&gt;=5,"Good","Bad"),VLOOKUP(DATE($K$1,$K$2,IGN$4),Table1[],(MATCH(Calendar!$A18,DB!$1:$1,0)),FALSE)),"")</f>
        <v/>
      </c>
      <c r="IGO18" s="28" t="str">
        <f>IFERROR(IF(IGX3="No",IF(VLOOKUP(DATE($K$1,$K$2,IGO$4),Table1[],(MATCH(Calendar!$A18,DB!$1:$1,0)),FALSE)&gt;=5,"Good","Bad"),VLOOKUP(DATE($K$1,$K$2,IGO$4),Table1[],(MATCH(Calendar!$A18,DB!$1:$1,0)),FALSE)),"")</f>
        <v/>
      </c>
      <c r="IGP18" s="28" t="str">
        <f>IFERROR(IF(IGY3="No",IF(VLOOKUP(DATE($K$1,$K$2,IGP$4),Table1[],(MATCH(Calendar!$A18,DB!$1:$1,0)),FALSE)&gt;=5,"Good","Bad"),VLOOKUP(DATE($K$1,$K$2,IGP$4),Table1[],(MATCH(Calendar!$A18,DB!$1:$1,0)),FALSE)),"")</f>
        <v/>
      </c>
      <c r="IGQ18" s="28" t="str">
        <f>IFERROR(IF(IGZ3="No",IF(VLOOKUP(DATE($K$1,$K$2,IGQ$4),Table1[],(MATCH(Calendar!$A18,DB!$1:$1,0)),FALSE)&gt;=5,"Good","Bad"),VLOOKUP(DATE($K$1,$K$2,IGQ$4),Table1[],(MATCH(Calendar!$A18,DB!$1:$1,0)),FALSE)),"")</f>
        <v/>
      </c>
      <c r="IGR18" s="28" t="str">
        <f>IFERROR(IF(IHA3="No",IF(VLOOKUP(DATE($K$1,$K$2,IGR$4),Table1[],(MATCH(Calendar!$A18,DB!$1:$1,0)),FALSE)&gt;=5,"Good","Bad"),VLOOKUP(DATE($K$1,$K$2,IGR$4),Table1[],(MATCH(Calendar!$A18,DB!$1:$1,0)),FALSE)),"")</f>
        <v/>
      </c>
      <c r="IGS18" s="28" t="str">
        <f>IFERROR(IF(IHB3="No",IF(VLOOKUP(DATE($K$1,$K$2,IGS$4),Table1[],(MATCH(Calendar!$A18,DB!$1:$1,0)),FALSE)&gt;=5,"Good","Bad"),VLOOKUP(DATE($K$1,$K$2,IGS$4),Table1[],(MATCH(Calendar!$A18,DB!$1:$1,0)),FALSE)),"")</f>
        <v/>
      </c>
      <c r="IGT18" s="28" t="str">
        <f>IFERROR(IF(IHC3="No",IF(VLOOKUP(DATE($K$1,$K$2,IGT$4),Table1[],(MATCH(Calendar!$A18,DB!$1:$1,0)),FALSE)&gt;=5,"Good","Bad"),VLOOKUP(DATE($K$1,$K$2,IGT$4),Table1[],(MATCH(Calendar!$A18,DB!$1:$1,0)),FALSE)),"")</f>
        <v/>
      </c>
      <c r="IGU18" s="28" t="str">
        <f>IFERROR(IF(IHD3="No",IF(VLOOKUP(DATE($K$1,$K$2,IGU$4),Table1[],(MATCH(Calendar!$A18,DB!$1:$1,0)),FALSE)&gt;=5,"Good","Bad"),VLOOKUP(DATE($K$1,$K$2,IGU$4),Table1[],(MATCH(Calendar!$A18,DB!$1:$1,0)),FALSE)),"")</f>
        <v/>
      </c>
      <c r="IGV18" s="28" t="str">
        <f>IFERROR(IF(IHE3="No",IF(VLOOKUP(DATE($K$1,$K$2,IGV$4),Table1[],(MATCH(Calendar!$A18,DB!$1:$1,0)),FALSE)&gt;=5,"Good","Bad"),VLOOKUP(DATE($K$1,$K$2,IGV$4),Table1[],(MATCH(Calendar!$A18,DB!$1:$1,0)),FALSE)),"")</f>
        <v/>
      </c>
      <c r="IGW18" s="28" t="str">
        <f>IFERROR(IF(IHF3="No",IF(VLOOKUP(DATE($K$1,$K$2,IGW$4),Table1[],(MATCH(Calendar!$A18,DB!$1:$1,0)),FALSE)&gt;=5,"Good","Bad"),VLOOKUP(DATE($K$1,$K$2,IGW$4),Table1[],(MATCH(Calendar!$A18,DB!$1:$1,0)),FALSE)),"")</f>
        <v/>
      </c>
      <c r="IGX18" s="28" t="str">
        <f>IFERROR(IF(IHG3="No",IF(VLOOKUP(DATE($K$1,$K$2,IGX$4),Table1[],(MATCH(Calendar!$A18,DB!$1:$1,0)),FALSE)&gt;=5,"Good","Bad"),VLOOKUP(DATE($K$1,$K$2,IGX$4),Table1[],(MATCH(Calendar!$A18,DB!$1:$1,0)),FALSE)),"")</f>
        <v/>
      </c>
      <c r="IGY18" s="28" t="str">
        <f>IFERROR(IF(IHH3="No",IF(VLOOKUP(DATE($K$1,$K$2,IGY$4),Table1[],(MATCH(Calendar!$A18,DB!$1:$1,0)),FALSE)&gt;=5,"Good","Bad"),VLOOKUP(DATE($K$1,$K$2,IGY$4),Table1[],(MATCH(Calendar!$A18,DB!$1:$1,0)),FALSE)),"")</f>
        <v/>
      </c>
      <c r="IGZ18" s="28" t="str">
        <f>IFERROR(IF(IHI3="No",IF(VLOOKUP(DATE($K$1,$K$2,IGZ$4),Table1[],(MATCH(Calendar!$A18,DB!$1:$1,0)),FALSE)&gt;=5,"Good","Bad"),VLOOKUP(DATE($K$1,$K$2,IGZ$4),Table1[],(MATCH(Calendar!$A18,DB!$1:$1,0)),FALSE)),"")</f>
        <v/>
      </c>
      <c r="IHA18" s="28" t="str">
        <f>IFERROR(IF(IHJ3="No",IF(VLOOKUP(DATE($K$1,$K$2,IHA$4),Table1[],(MATCH(Calendar!$A18,DB!$1:$1,0)),FALSE)&gt;=5,"Good","Bad"),VLOOKUP(DATE($K$1,$K$2,IHA$4),Table1[],(MATCH(Calendar!$A18,DB!$1:$1,0)),FALSE)),"")</f>
        <v/>
      </c>
      <c r="IHB18" s="28" t="str">
        <f>IFERROR(IF(IHK3="No",IF(VLOOKUP(DATE($K$1,$K$2,IHB$4),Table1[],(MATCH(Calendar!$A18,DB!$1:$1,0)),FALSE)&gt;=5,"Good","Bad"),VLOOKUP(DATE($K$1,$K$2,IHB$4),Table1[],(MATCH(Calendar!$A18,DB!$1:$1,0)),FALSE)),"")</f>
        <v/>
      </c>
      <c r="IHC18" s="28" t="str">
        <f>IFERROR(IF(IHL3="No",IF(VLOOKUP(DATE($K$1,$K$2,IHC$4),Table1[],(MATCH(Calendar!$A18,DB!$1:$1,0)),FALSE)&gt;=5,"Good","Bad"),VLOOKUP(DATE($K$1,$K$2,IHC$4),Table1[],(MATCH(Calendar!$A18,DB!$1:$1,0)),FALSE)),"")</f>
        <v/>
      </c>
      <c r="IHD18" s="28" t="str">
        <f>IFERROR(IF(IHM3="No",IF(VLOOKUP(DATE($K$1,$K$2,IHD$4),Table1[],(MATCH(Calendar!$A18,DB!$1:$1,0)),FALSE)&gt;=5,"Good","Bad"),VLOOKUP(DATE($K$1,$K$2,IHD$4),Table1[],(MATCH(Calendar!$A18,DB!$1:$1,0)),FALSE)),"")</f>
        <v/>
      </c>
      <c r="IHE18" s="28" t="str">
        <f>IFERROR(IF(IHN3="No",IF(VLOOKUP(DATE($K$1,$K$2,IHE$4),Table1[],(MATCH(Calendar!$A18,DB!$1:$1,0)),FALSE)&gt;=5,"Good","Bad"),VLOOKUP(DATE($K$1,$K$2,IHE$4),Table1[],(MATCH(Calendar!$A18,DB!$1:$1,0)),FALSE)),"")</f>
        <v/>
      </c>
      <c r="IHF18" s="28" t="str">
        <f>IFERROR(IF(IHO3="No",IF(VLOOKUP(DATE($K$1,$K$2,IHF$4),Table1[],(MATCH(Calendar!$A18,DB!$1:$1,0)),FALSE)&gt;=5,"Good","Bad"),VLOOKUP(DATE($K$1,$K$2,IHF$4),Table1[],(MATCH(Calendar!$A18,DB!$1:$1,0)),FALSE)),"")</f>
        <v/>
      </c>
      <c r="IHG18" s="28" t="str">
        <f>IFERROR(IF(IHP3="No",IF(VLOOKUP(DATE($K$1,$K$2,IHG$4),Table1[],(MATCH(Calendar!$A18,DB!$1:$1,0)),FALSE)&gt;=5,"Good","Bad"),VLOOKUP(DATE($K$1,$K$2,IHG$4),Table1[],(MATCH(Calendar!$A18,DB!$1:$1,0)),FALSE)),"")</f>
        <v/>
      </c>
      <c r="IHH18" s="28" t="str">
        <f>IFERROR(IF(IHQ3="No",IF(VLOOKUP(DATE($K$1,$K$2,IHH$4),Table1[],(MATCH(Calendar!$A18,DB!$1:$1,0)),FALSE)&gt;=5,"Good","Bad"),VLOOKUP(DATE($K$1,$K$2,IHH$4),Table1[],(MATCH(Calendar!$A18,DB!$1:$1,0)),FALSE)),"")</f>
        <v/>
      </c>
      <c r="IHI18" s="28" t="str">
        <f>IFERROR(IF(IHR3="No",IF(VLOOKUP(DATE($K$1,$K$2,IHI$4),Table1[],(MATCH(Calendar!$A18,DB!$1:$1,0)),FALSE)&gt;=5,"Good","Bad"),VLOOKUP(DATE($K$1,$K$2,IHI$4),Table1[],(MATCH(Calendar!$A18,DB!$1:$1,0)),FALSE)),"")</f>
        <v/>
      </c>
      <c r="IHJ18" s="28" t="str">
        <f>IFERROR(IF(IHS3="No",IF(VLOOKUP(DATE($K$1,$K$2,IHJ$4),Table1[],(MATCH(Calendar!$A18,DB!$1:$1,0)),FALSE)&gt;=5,"Good","Bad"),VLOOKUP(DATE($K$1,$K$2,IHJ$4),Table1[],(MATCH(Calendar!$A18,DB!$1:$1,0)),FALSE)),"")</f>
        <v/>
      </c>
      <c r="IHK18" s="28" t="str">
        <f>IFERROR(IF(IHT3="No",IF(VLOOKUP(DATE($K$1,$K$2,IHK$4),Table1[],(MATCH(Calendar!$A18,DB!$1:$1,0)),FALSE)&gt;=5,"Good","Bad"),VLOOKUP(DATE($K$1,$K$2,IHK$4),Table1[],(MATCH(Calendar!$A18,DB!$1:$1,0)),FALSE)),"")</f>
        <v/>
      </c>
      <c r="IHL18" s="28" t="str">
        <f>IFERROR(IF(IHU3="No",IF(VLOOKUP(DATE($K$1,$K$2,IHL$4),Table1[],(MATCH(Calendar!$A18,DB!$1:$1,0)),FALSE)&gt;=5,"Good","Bad"),VLOOKUP(DATE($K$1,$K$2,IHL$4),Table1[],(MATCH(Calendar!$A18,DB!$1:$1,0)),FALSE)),"")</f>
        <v/>
      </c>
      <c r="IHM18" s="28" t="str">
        <f>IFERROR(IF(IHV3="No",IF(VLOOKUP(DATE($K$1,$K$2,IHM$4),Table1[],(MATCH(Calendar!$A18,DB!$1:$1,0)),FALSE)&gt;=5,"Good","Bad"),VLOOKUP(DATE($K$1,$K$2,IHM$4),Table1[],(MATCH(Calendar!$A18,DB!$1:$1,0)),FALSE)),"")</f>
        <v/>
      </c>
      <c r="IHN18" s="28" t="str">
        <f>IFERROR(IF(IHW3="No",IF(VLOOKUP(DATE($K$1,$K$2,IHN$4),Table1[],(MATCH(Calendar!$A18,DB!$1:$1,0)),FALSE)&gt;=5,"Good","Bad"),VLOOKUP(DATE($K$1,$K$2,IHN$4),Table1[],(MATCH(Calendar!$A18,DB!$1:$1,0)),FALSE)),"")</f>
        <v/>
      </c>
      <c r="IHO18" s="28" t="str">
        <f>IFERROR(IF(IHX3="No",IF(VLOOKUP(DATE($K$1,$K$2,IHO$4),Table1[],(MATCH(Calendar!$A18,DB!$1:$1,0)),FALSE)&gt;=5,"Good","Bad"),VLOOKUP(DATE($K$1,$K$2,IHO$4),Table1[],(MATCH(Calendar!$A18,DB!$1:$1,0)),FALSE)),"")</f>
        <v/>
      </c>
      <c r="IHP18" s="28" t="str">
        <f>IFERROR(IF(IHY3="No",IF(VLOOKUP(DATE($K$1,$K$2,IHP$4),Table1[],(MATCH(Calendar!$A18,DB!$1:$1,0)),FALSE)&gt;=5,"Good","Bad"),VLOOKUP(DATE($K$1,$K$2,IHP$4),Table1[],(MATCH(Calendar!$A18,DB!$1:$1,0)),FALSE)),"")</f>
        <v/>
      </c>
      <c r="IHQ18" s="28" t="str">
        <f>IFERROR(IF(IHZ3="No",IF(VLOOKUP(DATE($K$1,$K$2,IHQ$4),Table1[],(MATCH(Calendar!$A18,DB!$1:$1,0)),FALSE)&gt;=5,"Good","Bad"),VLOOKUP(DATE($K$1,$K$2,IHQ$4),Table1[],(MATCH(Calendar!$A18,DB!$1:$1,0)),FALSE)),"")</f>
        <v/>
      </c>
      <c r="IHR18" s="28" t="str">
        <f>IFERROR(IF(IIA3="No",IF(VLOOKUP(DATE($K$1,$K$2,IHR$4),Table1[],(MATCH(Calendar!$A18,DB!$1:$1,0)),FALSE)&gt;=5,"Good","Bad"),VLOOKUP(DATE($K$1,$K$2,IHR$4),Table1[],(MATCH(Calendar!$A18,DB!$1:$1,0)),FALSE)),"")</f>
        <v/>
      </c>
      <c r="IHS18" s="28" t="str">
        <f>IFERROR(IF(IIB3="No",IF(VLOOKUP(DATE($K$1,$K$2,IHS$4),Table1[],(MATCH(Calendar!$A18,DB!$1:$1,0)),FALSE)&gt;=5,"Good","Bad"),VLOOKUP(DATE($K$1,$K$2,IHS$4),Table1[],(MATCH(Calendar!$A18,DB!$1:$1,0)),FALSE)),"")</f>
        <v/>
      </c>
      <c r="IHT18" s="28" t="str">
        <f>IFERROR(IF(IIC3="No",IF(VLOOKUP(DATE($K$1,$K$2,IHT$4),Table1[],(MATCH(Calendar!$A18,DB!$1:$1,0)),FALSE)&gt;=5,"Good","Bad"),VLOOKUP(DATE($K$1,$K$2,IHT$4),Table1[],(MATCH(Calendar!$A18,DB!$1:$1,0)),FALSE)),"")</f>
        <v/>
      </c>
      <c r="IHU18" s="28" t="str">
        <f>IFERROR(IF(IID3="No",IF(VLOOKUP(DATE($K$1,$K$2,IHU$4),Table1[],(MATCH(Calendar!$A18,DB!$1:$1,0)),FALSE)&gt;=5,"Good","Bad"),VLOOKUP(DATE($K$1,$K$2,IHU$4),Table1[],(MATCH(Calendar!$A18,DB!$1:$1,0)),FALSE)),"")</f>
        <v/>
      </c>
      <c r="IHV18" s="28" t="str">
        <f>IFERROR(IF(IIE3="No",IF(VLOOKUP(DATE($K$1,$K$2,IHV$4),Table1[],(MATCH(Calendar!$A18,DB!$1:$1,0)),FALSE)&gt;=5,"Good","Bad"),VLOOKUP(DATE($K$1,$K$2,IHV$4),Table1[],(MATCH(Calendar!$A18,DB!$1:$1,0)),FALSE)),"")</f>
        <v/>
      </c>
      <c r="IHW18" s="28" t="str">
        <f>IFERROR(IF(IIF3="No",IF(VLOOKUP(DATE($K$1,$K$2,IHW$4),Table1[],(MATCH(Calendar!$A18,DB!$1:$1,0)),FALSE)&gt;=5,"Good","Bad"),VLOOKUP(DATE($K$1,$K$2,IHW$4),Table1[],(MATCH(Calendar!$A18,DB!$1:$1,0)),FALSE)),"")</f>
        <v/>
      </c>
      <c r="IHX18" s="28" t="str">
        <f>IFERROR(IF(IIG3="No",IF(VLOOKUP(DATE($K$1,$K$2,IHX$4),Table1[],(MATCH(Calendar!$A18,DB!$1:$1,0)),FALSE)&gt;=5,"Good","Bad"),VLOOKUP(DATE($K$1,$K$2,IHX$4),Table1[],(MATCH(Calendar!$A18,DB!$1:$1,0)),FALSE)),"")</f>
        <v/>
      </c>
      <c r="IHY18" s="28" t="str">
        <f>IFERROR(IF(IIH3="No",IF(VLOOKUP(DATE($K$1,$K$2,IHY$4),Table1[],(MATCH(Calendar!$A18,DB!$1:$1,0)),FALSE)&gt;=5,"Good","Bad"),VLOOKUP(DATE($K$1,$K$2,IHY$4),Table1[],(MATCH(Calendar!$A18,DB!$1:$1,0)),FALSE)),"")</f>
        <v/>
      </c>
      <c r="IHZ18" s="28" t="str">
        <f>IFERROR(IF(III3="No",IF(VLOOKUP(DATE($K$1,$K$2,IHZ$4),Table1[],(MATCH(Calendar!$A18,DB!$1:$1,0)),FALSE)&gt;=5,"Good","Bad"),VLOOKUP(DATE($K$1,$K$2,IHZ$4),Table1[],(MATCH(Calendar!$A18,DB!$1:$1,0)),FALSE)),"")</f>
        <v/>
      </c>
      <c r="IIA18" s="28" t="str">
        <f>IFERROR(IF(IIJ3="No",IF(VLOOKUP(DATE($K$1,$K$2,IIA$4),Table1[],(MATCH(Calendar!$A18,DB!$1:$1,0)),FALSE)&gt;=5,"Good","Bad"),VLOOKUP(DATE($K$1,$K$2,IIA$4),Table1[],(MATCH(Calendar!$A18,DB!$1:$1,0)),FALSE)),"")</f>
        <v/>
      </c>
      <c r="IIB18" s="28" t="str">
        <f>IFERROR(IF(IIK3="No",IF(VLOOKUP(DATE($K$1,$K$2,IIB$4),Table1[],(MATCH(Calendar!$A18,DB!$1:$1,0)),FALSE)&gt;=5,"Good","Bad"),VLOOKUP(DATE($K$1,$K$2,IIB$4),Table1[],(MATCH(Calendar!$A18,DB!$1:$1,0)),FALSE)),"")</f>
        <v/>
      </c>
      <c r="IIC18" s="28" t="str">
        <f>IFERROR(IF(IIL3="No",IF(VLOOKUP(DATE($K$1,$K$2,IIC$4),Table1[],(MATCH(Calendar!$A18,DB!$1:$1,0)),FALSE)&gt;=5,"Good","Bad"),VLOOKUP(DATE($K$1,$K$2,IIC$4),Table1[],(MATCH(Calendar!$A18,DB!$1:$1,0)),FALSE)),"")</f>
        <v/>
      </c>
      <c r="IID18" s="28" t="str">
        <f>IFERROR(IF(IIM3="No",IF(VLOOKUP(DATE($K$1,$K$2,IID$4),Table1[],(MATCH(Calendar!$A18,DB!$1:$1,0)),FALSE)&gt;=5,"Good","Bad"),VLOOKUP(DATE($K$1,$K$2,IID$4),Table1[],(MATCH(Calendar!$A18,DB!$1:$1,0)),FALSE)),"")</f>
        <v/>
      </c>
      <c r="IIE18" s="28" t="str">
        <f>IFERROR(IF(IIN3="No",IF(VLOOKUP(DATE($K$1,$K$2,IIE$4),Table1[],(MATCH(Calendar!$A18,DB!$1:$1,0)),FALSE)&gt;=5,"Good","Bad"),VLOOKUP(DATE($K$1,$K$2,IIE$4),Table1[],(MATCH(Calendar!$A18,DB!$1:$1,0)),FALSE)),"")</f>
        <v/>
      </c>
      <c r="IIF18" s="28" t="str">
        <f>IFERROR(IF(IIO3="No",IF(VLOOKUP(DATE($K$1,$K$2,IIF$4),Table1[],(MATCH(Calendar!$A18,DB!$1:$1,0)),FALSE)&gt;=5,"Good","Bad"),VLOOKUP(DATE($K$1,$K$2,IIF$4),Table1[],(MATCH(Calendar!$A18,DB!$1:$1,0)),FALSE)),"")</f>
        <v/>
      </c>
      <c r="IIG18" s="28" t="str">
        <f>IFERROR(IF(IIP3="No",IF(VLOOKUP(DATE($K$1,$K$2,IIG$4),Table1[],(MATCH(Calendar!$A18,DB!$1:$1,0)),FALSE)&gt;=5,"Good","Bad"),VLOOKUP(DATE($K$1,$K$2,IIG$4),Table1[],(MATCH(Calendar!$A18,DB!$1:$1,0)),FALSE)),"")</f>
        <v/>
      </c>
      <c r="IIH18" s="28" t="str">
        <f>IFERROR(IF(IIQ3="No",IF(VLOOKUP(DATE($K$1,$K$2,IIH$4),Table1[],(MATCH(Calendar!$A18,DB!$1:$1,0)),FALSE)&gt;=5,"Good","Bad"),VLOOKUP(DATE($K$1,$K$2,IIH$4),Table1[],(MATCH(Calendar!$A18,DB!$1:$1,0)),FALSE)),"")</f>
        <v/>
      </c>
      <c r="III18" s="28" t="str">
        <f>IFERROR(IF(IIR3="No",IF(VLOOKUP(DATE($K$1,$K$2,III$4),Table1[],(MATCH(Calendar!$A18,DB!$1:$1,0)),FALSE)&gt;=5,"Good","Bad"),VLOOKUP(DATE($K$1,$K$2,III$4),Table1[],(MATCH(Calendar!$A18,DB!$1:$1,0)),FALSE)),"")</f>
        <v/>
      </c>
      <c r="IIJ18" s="28" t="str">
        <f>IFERROR(IF(IIS3="No",IF(VLOOKUP(DATE($K$1,$K$2,IIJ$4),Table1[],(MATCH(Calendar!$A18,DB!$1:$1,0)),FALSE)&gt;=5,"Good","Bad"),VLOOKUP(DATE($K$1,$K$2,IIJ$4),Table1[],(MATCH(Calendar!$A18,DB!$1:$1,0)),FALSE)),"")</f>
        <v/>
      </c>
      <c r="IIK18" s="28" t="str">
        <f>IFERROR(IF(IIT3="No",IF(VLOOKUP(DATE($K$1,$K$2,IIK$4),Table1[],(MATCH(Calendar!$A18,DB!$1:$1,0)),FALSE)&gt;=5,"Good","Bad"),VLOOKUP(DATE($K$1,$K$2,IIK$4),Table1[],(MATCH(Calendar!$A18,DB!$1:$1,0)),FALSE)),"")</f>
        <v/>
      </c>
      <c r="IIL18" s="28" t="str">
        <f>IFERROR(IF(IIU3="No",IF(VLOOKUP(DATE($K$1,$K$2,IIL$4),Table1[],(MATCH(Calendar!$A18,DB!$1:$1,0)),FALSE)&gt;=5,"Good","Bad"),VLOOKUP(DATE($K$1,$K$2,IIL$4),Table1[],(MATCH(Calendar!$A18,DB!$1:$1,0)),FALSE)),"")</f>
        <v/>
      </c>
      <c r="IIM18" s="28" t="str">
        <f>IFERROR(IF(IIV3="No",IF(VLOOKUP(DATE($K$1,$K$2,IIM$4),Table1[],(MATCH(Calendar!$A18,DB!$1:$1,0)),FALSE)&gt;=5,"Good","Bad"),VLOOKUP(DATE($K$1,$K$2,IIM$4),Table1[],(MATCH(Calendar!$A18,DB!$1:$1,0)),FALSE)),"")</f>
        <v/>
      </c>
      <c r="IIN18" s="28" t="str">
        <f>IFERROR(IF(IIW3="No",IF(VLOOKUP(DATE($K$1,$K$2,IIN$4),Table1[],(MATCH(Calendar!$A18,DB!$1:$1,0)),FALSE)&gt;=5,"Good","Bad"),VLOOKUP(DATE($K$1,$K$2,IIN$4),Table1[],(MATCH(Calendar!$A18,DB!$1:$1,0)),FALSE)),"")</f>
        <v/>
      </c>
      <c r="IIO18" s="28" t="str">
        <f>IFERROR(IF(IIX3="No",IF(VLOOKUP(DATE($K$1,$K$2,IIO$4),Table1[],(MATCH(Calendar!$A18,DB!$1:$1,0)),FALSE)&gt;=5,"Good","Bad"),VLOOKUP(DATE($K$1,$K$2,IIO$4),Table1[],(MATCH(Calendar!$A18,DB!$1:$1,0)),FALSE)),"")</f>
        <v/>
      </c>
      <c r="IIP18" s="28" t="str">
        <f>IFERROR(IF(IIY3="No",IF(VLOOKUP(DATE($K$1,$K$2,IIP$4),Table1[],(MATCH(Calendar!$A18,DB!$1:$1,0)),FALSE)&gt;=5,"Good","Bad"),VLOOKUP(DATE($K$1,$K$2,IIP$4),Table1[],(MATCH(Calendar!$A18,DB!$1:$1,0)),FALSE)),"")</f>
        <v/>
      </c>
      <c r="IIQ18" s="28" t="str">
        <f>IFERROR(IF(IIZ3="No",IF(VLOOKUP(DATE($K$1,$K$2,IIQ$4),Table1[],(MATCH(Calendar!$A18,DB!$1:$1,0)),FALSE)&gt;=5,"Good","Bad"),VLOOKUP(DATE($K$1,$K$2,IIQ$4),Table1[],(MATCH(Calendar!$A18,DB!$1:$1,0)),FALSE)),"")</f>
        <v/>
      </c>
      <c r="IIR18" s="28" t="str">
        <f>IFERROR(IF(IJA3="No",IF(VLOOKUP(DATE($K$1,$K$2,IIR$4),Table1[],(MATCH(Calendar!$A18,DB!$1:$1,0)),FALSE)&gt;=5,"Good","Bad"),VLOOKUP(DATE($K$1,$K$2,IIR$4),Table1[],(MATCH(Calendar!$A18,DB!$1:$1,0)),FALSE)),"")</f>
        <v/>
      </c>
      <c r="IIS18" s="28" t="str">
        <f>IFERROR(IF(IJB3="No",IF(VLOOKUP(DATE($K$1,$K$2,IIS$4),Table1[],(MATCH(Calendar!$A18,DB!$1:$1,0)),FALSE)&gt;=5,"Good","Bad"),VLOOKUP(DATE($K$1,$K$2,IIS$4),Table1[],(MATCH(Calendar!$A18,DB!$1:$1,0)),FALSE)),"")</f>
        <v/>
      </c>
      <c r="IIT18" s="28" t="str">
        <f>IFERROR(IF(IJC3="No",IF(VLOOKUP(DATE($K$1,$K$2,IIT$4),Table1[],(MATCH(Calendar!$A18,DB!$1:$1,0)),FALSE)&gt;=5,"Good","Bad"),VLOOKUP(DATE($K$1,$K$2,IIT$4),Table1[],(MATCH(Calendar!$A18,DB!$1:$1,0)),FALSE)),"")</f>
        <v/>
      </c>
      <c r="IIU18" s="28" t="str">
        <f>IFERROR(IF(IJD3="No",IF(VLOOKUP(DATE($K$1,$K$2,IIU$4),Table1[],(MATCH(Calendar!$A18,DB!$1:$1,0)),FALSE)&gt;=5,"Good","Bad"),VLOOKUP(DATE($K$1,$K$2,IIU$4),Table1[],(MATCH(Calendar!$A18,DB!$1:$1,0)),FALSE)),"")</f>
        <v/>
      </c>
      <c r="IIV18" s="28" t="str">
        <f>IFERROR(IF(IJE3="No",IF(VLOOKUP(DATE($K$1,$K$2,IIV$4),Table1[],(MATCH(Calendar!$A18,DB!$1:$1,0)),FALSE)&gt;=5,"Good","Bad"),VLOOKUP(DATE($K$1,$K$2,IIV$4),Table1[],(MATCH(Calendar!$A18,DB!$1:$1,0)),FALSE)),"")</f>
        <v/>
      </c>
      <c r="IIW18" s="28" t="str">
        <f>IFERROR(IF(IJF3="No",IF(VLOOKUP(DATE($K$1,$K$2,IIW$4),Table1[],(MATCH(Calendar!$A18,DB!$1:$1,0)),FALSE)&gt;=5,"Good","Bad"),VLOOKUP(DATE($K$1,$K$2,IIW$4),Table1[],(MATCH(Calendar!$A18,DB!$1:$1,0)),FALSE)),"")</f>
        <v/>
      </c>
      <c r="IIX18" s="28" t="str">
        <f>IFERROR(IF(IJG3="No",IF(VLOOKUP(DATE($K$1,$K$2,IIX$4),Table1[],(MATCH(Calendar!$A18,DB!$1:$1,0)),FALSE)&gt;=5,"Good","Bad"),VLOOKUP(DATE($K$1,$K$2,IIX$4),Table1[],(MATCH(Calendar!$A18,DB!$1:$1,0)),FALSE)),"")</f>
        <v/>
      </c>
      <c r="IIY18" s="28" t="str">
        <f>IFERROR(IF(IJH3="No",IF(VLOOKUP(DATE($K$1,$K$2,IIY$4),Table1[],(MATCH(Calendar!$A18,DB!$1:$1,0)),FALSE)&gt;=5,"Good","Bad"),VLOOKUP(DATE($K$1,$K$2,IIY$4),Table1[],(MATCH(Calendar!$A18,DB!$1:$1,0)),FALSE)),"")</f>
        <v/>
      </c>
      <c r="IIZ18" s="28" t="str">
        <f>IFERROR(IF(IJI3="No",IF(VLOOKUP(DATE($K$1,$K$2,IIZ$4),Table1[],(MATCH(Calendar!$A18,DB!$1:$1,0)),FALSE)&gt;=5,"Good","Bad"),VLOOKUP(DATE($K$1,$K$2,IIZ$4),Table1[],(MATCH(Calendar!$A18,DB!$1:$1,0)),FALSE)),"")</f>
        <v/>
      </c>
      <c r="IJA18" s="28" t="str">
        <f>IFERROR(IF(IJJ3="No",IF(VLOOKUP(DATE($K$1,$K$2,IJA$4),Table1[],(MATCH(Calendar!$A18,DB!$1:$1,0)),FALSE)&gt;=5,"Good","Bad"),VLOOKUP(DATE($K$1,$K$2,IJA$4),Table1[],(MATCH(Calendar!$A18,DB!$1:$1,0)),FALSE)),"")</f>
        <v/>
      </c>
      <c r="IJB18" s="28" t="str">
        <f>IFERROR(IF(IJK3="No",IF(VLOOKUP(DATE($K$1,$K$2,IJB$4),Table1[],(MATCH(Calendar!$A18,DB!$1:$1,0)),FALSE)&gt;=5,"Good","Bad"),VLOOKUP(DATE($K$1,$K$2,IJB$4),Table1[],(MATCH(Calendar!$A18,DB!$1:$1,0)),FALSE)),"")</f>
        <v/>
      </c>
      <c r="IJC18" s="28" t="str">
        <f>IFERROR(IF(IJL3="No",IF(VLOOKUP(DATE($K$1,$K$2,IJC$4),Table1[],(MATCH(Calendar!$A18,DB!$1:$1,0)),FALSE)&gt;=5,"Good","Bad"),VLOOKUP(DATE($K$1,$K$2,IJC$4),Table1[],(MATCH(Calendar!$A18,DB!$1:$1,0)),FALSE)),"")</f>
        <v/>
      </c>
      <c r="IJD18" s="28" t="str">
        <f>IFERROR(IF(IJM3="No",IF(VLOOKUP(DATE($K$1,$K$2,IJD$4),Table1[],(MATCH(Calendar!$A18,DB!$1:$1,0)),FALSE)&gt;=5,"Good","Bad"),VLOOKUP(DATE($K$1,$K$2,IJD$4),Table1[],(MATCH(Calendar!$A18,DB!$1:$1,0)),FALSE)),"")</f>
        <v/>
      </c>
      <c r="IJE18" s="28" t="str">
        <f>IFERROR(IF(IJN3="No",IF(VLOOKUP(DATE($K$1,$K$2,IJE$4),Table1[],(MATCH(Calendar!$A18,DB!$1:$1,0)),FALSE)&gt;=5,"Good","Bad"),VLOOKUP(DATE($K$1,$K$2,IJE$4),Table1[],(MATCH(Calendar!$A18,DB!$1:$1,0)),FALSE)),"")</f>
        <v/>
      </c>
      <c r="IJF18" s="28" t="str">
        <f>IFERROR(IF(IJO3="No",IF(VLOOKUP(DATE($K$1,$K$2,IJF$4),Table1[],(MATCH(Calendar!$A18,DB!$1:$1,0)),FALSE)&gt;=5,"Good","Bad"),VLOOKUP(DATE($K$1,$K$2,IJF$4),Table1[],(MATCH(Calendar!$A18,DB!$1:$1,0)),FALSE)),"")</f>
        <v/>
      </c>
      <c r="IJG18" s="28" t="str">
        <f>IFERROR(IF(IJP3="No",IF(VLOOKUP(DATE($K$1,$K$2,IJG$4),Table1[],(MATCH(Calendar!$A18,DB!$1:$1,0)),FALSE)&gt;=5,"Good","Bad"),VLOOKUP(DATE($K$1,$K$2,IJG$4),Table1[],(MATCH(Calendar!$A18,DB!$1:$1,0)),FALSE)),"")</f>
        <v/>
      </c>
      <c r="IJH18" s="28" t="str">
        <f>IFERROR(IF(IJQ3="No",IF(VLOOKUP(DATE($K$1,$K$2,IJH$4),Table1[],(MATCH(Calendar!$A18,DB!$1:$1,0)),FALSE)&gt;=5,"Good","Bad"),VLOOKUP(DATE($K$1,$K$2,IJH$4),Table1[],(MATCH(Calendar!$A18,DB!$1:$1,0)),FALSE)),"")</f>
        <v/>
      </c>
      <c r="IJI18" s="28" t="str">
        <f>IFERROR(IF(IJR3="No",IF(VLOOKUP(DATE($K$1,$K$2,IJI$4),Table1[],(MATCH(Calendar!$A18,DB!$1:$1,0)),FALSE)&gt;=5,"Good","Bad"),VLOOKUP(DATE($K$1,$K$2,IJI$4),Table1[],(MATCH(Calendar!$A18,DB!$1:$1,0)),FALSE)),"")</f>
        <v/>
      </c>
      <c r="IJJ18" s="28" t="str">
        <f>IFERROR(IF(IJS3="No",IF(VLOOKUP(DATE($K$1,$K$2,IJJ$4),Table1[],(MATCH(Calendar!$A18,DB!$1:$1,0)),FALSE)&gt;=5,"Good","Bad"),VLOOKUP(DATE($K$1,$K$2,IJJ$4),Table1[],(MATCH(Calendar!$A18,DB!$1:$1,0)),FALSE)),"")</f>
        <v/>
      </c>
      <c r="IJK18" s="28" t="str">
        <f>IFERROR(IF(IJT3="No",IF(VLOOKUP(DATE($K$1,$K$2,IJK$4),Table1[],(MATCH(Calendar!$A18,DB!$1:$1,0)),FALSE)&gt;=5,"Good","Bad"),VLOOKUP(DATE($K$1,$K$2,IJK$4),Table1[],(MATCH(Calendar!$A18,DB!$1:$1,0)),FALSE)),"")</f>
        <v/>
      </c>
      <c r="IJL18" s="28" t="str">
        <f>IFERROR(IF(IJU3="No",IF(VLOOKUP(DATE($K$1,$K$2,IJL$4),Table1[],(MATCH(Calendar!$A18,DB!$1:$1,0)),FALSE)&gt;=5,"Good","Bad"),VLOOKUP(DATE($K$1,$K$2,IJL$4),Table1[],(MATCH(Calendar!$A18,DB!$1:$1,0)),FALSE)),"")</f>
        <v/>
      </c>
      <c r="IJM18" s="28" t="str">
        <f>IFERROR(IF(IJV3="No",IF(VLOOKUP(DATE($K$1,$K$2,IJM$4),Table1[],(MATCH(Calendar!$A18,DB!$1:$1,0)),FALSE)&gt;=5,"Good","Bad"),VLOOKUP(DATE($K$1,$K$2,IJM$4),Table1[],(MATCH(Calendar!$A18,DB!$1:$1,0)),FALSE)),"")</f>
        <v/>
      </c>
      <c r="IJN18" s="28" t="str">
        <f>IFERROR(IF(IJW3="No",IF(VLOOKUP(DATE($K$1,$K$2,IJN$4),Table1[],(MATCH(Calendar!$A18,DB!$1:$1,0)),FALSE)&gt;=5,"Good","Bad"),VLOOKUP(DATE($K$1,$K$2,IJN$4),Table1[],(MATCH(Calendar!$A18,DB!$1:$1,0)),FALSE)),"")</f>
        <v/>
      </c>
      <c r="IJO18" s="28" t="str">
        <f>IFERROR(IF(IJX3="No",IF(VLOOKUP(DATE($K$1,$K$2,IJO$4),Table1[],(MATCH(Calendar!$A18,DB!$1:$1,0)),FALSE)&gt;=5,"Good","Bad"),VLOOKUP(DATE($K$1,$K$2,IJO$4),Table1[],(MATCH(Calendar!$A18,DB!$1:$1,0)),FALSE)),"")</f>
        <v/>
      </c>
      <c r="IJP18" s="28" t="str">
        <f>IFERROR(IF(IJY3="No",IF(VLOOKUP(DATE($K$1,$K$2,IJP$4),Table1[],(MATCH(Calendar!$A18,DB!$1:$1,0)),FALSE)&gt;=5,"Good","Bad"),VLOOKUP(DATE($K$1,$K$2,IJP$4),Table1[],(MATCH(Calendar!$A18,DB!$1:$1,0)),FALSE)),"")</f>
        <v/>
      </c>
      <c r="IJQ18" s="28" t="str">
        <f>IFERROR(IF(IJZ3="No",IF(VLOOKUP(DATE($K$1,$K$2,IJQ$4),Table1[],(MATCH(Calendar!$A18,DB!$1:$1,0)),FALSE)&gt;=5,"Good","Bad"),VLOOKUP(DATE($K$1,$K$2,IJQ$4),Table1[],(MATCH(Calendar!$A18,DB!$1:$1,0)),FALSE)),"")</f>
        <v/>
      </c>
      <c r="IJR18" s="28" t="str">
        <f>IFERROR(IF(IKA3="No",IF(VLOOKUP(DATE($K$1,$K$2,IJR$4),Table1[],(MATCH(Calendar!$A18,DB!$1:$1,0)),FALSE)&gt;=5,"Good","Bad"),VLOOKUP(DATE($K$1,$K$2,IJR$4),Table1[],(MATCH(Calendar!$A18,DB!$1:$1,0)),FALSE)),"")</f>
        <v/>
      </c>
      <c r="IJS18" s="28" t="str">
        <f>IFERROR(IF(IKB3="No",IF(VLOOKUP(DATE($K$1,$K$2,IJS$4),Table1[],(MATCH(Calendar!$A18,DB!$1:$1,0)),FALSE)&gt;=5,"Good","Bad"),VLOOKUP(DATE($K$1,$K$2,IJS$4),Table1[],(MATCH(Calendar!$A18,DB!$1:$1,0)),FALSE)),"")</f>
        <v/>
      </c>
      <c r="IJT18" s="28" t="str">
        <f>IFERROR(IF(IKC3="No",IF(VLOOKUP(DATE($K$1,$K$2,IJT$4),Table1[],(MATCH(Calendar!$A18,DB!$1:$1,0)),FALSE)&gt;=5,"Good","Bad"),VLOOKUP(DATE($K$1,$K$2,IJT$4),Table1[],(MATCH(Calendar!$A18,DB!$1:$1,0)),FALSE)),"")</f>
        <v/>
      </c>
      <c r="IJU18" s="28" t="str">
        <f>IFERROR(IF(IKD3="No",IF(VLOOKUP(DATE($K$1,$K$2,IJU$4),Table1[],(MATCH(Calendar!$A18,DB!$1:$1,0)),FALSE)&gt;=5,"Good","Bad"),VLOOKUP(DATE($K$1,$K$2,IJU$4),Table1[],(MATCH(Calendar!$A18,DB!$1:$1,0)),FALSE)),"")</f>
        <v/>
      </c>
      <c r="IJV18" s="28" t="str">
        <f>IFERROR(IF(IKE3="No",IF(VLOOKUP(DATE($K$1,$K$2,IJV$4),Table1[],(MATCH(Calendar!$A18,DB!$1:$1,0)),FALSE)&gt;=5,"Good","Bad"),VLOOKUP(DATE($K$1,$K$2,IJV$4),Table1[],(MATCH(Calendar!$A18,DB!$1:$1,0)),FALSE)),"")</f>
        <v/>
      </c>
      <c r="IJW18" s="28" t="str">
        <f>IFERROR(IF(IKF3="No",IF(VLOOKUP(DATE($K$1,$K$2,IJW$4),Table1[],(MATCH(Calendar!$A18,DB!$1:$1,0)),FALSE)&gt;=5,"Good","Bad"),VLOOKUP(DATE($K$1,$K$2,IJW$4),Table1[],(MATCH(Calendar!$A18,DB!$1:$1,0)),FALSE)),"")</f>
        <v/>
      </c>
      <c r="IJX18" s="28" t="str">
        <f>IFERROR(IF(IKG3="No",IF(VLOOKUP(DATE($K$1,$K$2,IJX$4),Table1[],(MATCH(Calendar!$A18,DB!$1:$1,0)),FALSE)&gt;=5,"Good","Bad"),VLOOKUP(DATE($K$1,$K$2,IJX$4),Table1[],(MATCH(Calendar!$A18,DB!$1:$1,0)),FALSE)),"")</f>
        <v/>
      </c>
      <c r="IJY18" s="28" t="str">
        <f>IFERROR(IF(IKH3="No",IF(VLOOKUP(DATE($K$1,$K$2,IJY$4),Table1[],(MATCH(Calendar!$A18,DB!$1:$1,0)),FALSE)&gt;=5,"Good","Bad"),VLOOKUP(DATE($K$1,$K$2,IJY$4),Table1[],(MATCH(Calendar!$A18,DB!$1:$1,0)),FALSE)),"")</f>
        <v/>
      </c>
      <c r="IJZ18" s="28" t="str">
        <f>IFERROR(IF(IKI3="No",IF(VLOOKUP(DATE($K$1,$K$2,IJZ$4),Table1[],(MATCH(Calendar!$A18,DB!$1:$1,0)),FALSE)&gt;=5,"Good","Bad"),VLOOKUP(DATE($K$1,$K$2,IJZ$4),Table1[],(MATCH(Calendar!$A18,DB!$1:$1,0)),FALSE)),"")</f>
        <v/>
      </c>
      <c r="IKA18" s="28" t="str">
        <f>IFERROR(IF(IKJ3="No",IF(VLOOKUP(DATE($K$1,$K$2,IKA$4),Table1[],(MATCH(Calendar!$A18,DB!$1:$1,0)),FALSE)&gt;=5,"Good","Bad"),VLOOKUP(DATE($K$1,$K$2,IKA$4),Table1[],(MATCH(Calendar!$A18,DB!$1:$1,0)),FALSE)),"")</f>
        <v/>
      </c>
      <c r="IKB18" s="28" t="str">
        <f>IFERROR(IF(IKK3="No",IF(VLOOKUP(DATE($K$1,$K$2,IKB$4),Table1[],(MATCH(Calendar!$A18,DB!$1:$1,0)),FALSE)&gt;=5,"Good","Bad"),VLOOKUP(DATE($K$1,$K$2,IKB$4),Table1[],(MATCH(Calendar!$A18,DB!$1:$1,0)),FALSE)),"")</f>
        <v/>
      </c>
      <c r="IKC18" s="28" t="str">
        <f>IFERROR(IF(IKL3="No",IF(VLOOKUP(DATE($K$1,$K$2,IKC$4),Table1[],(MATCH(Calendar!$A18,DB!$1:$1,0)),FALSE)&gt;=5,"Good","Bad"),VLOOKUP(DATE($K$1,$K$2,IKC$4),Table1[],(MATCH(Calendar!$A18,DB!$1:$1,0)),FALSE)),"")</f>
        <v/>
      </c>
      <c r="IKD18" s="28" t="str">
        <f>IFERROR(IF(IKM3="No",IF(VLOOKUP(DATE($K$1,$K$2,IKD$4),Table1[],(MATCH(Calendar!$A18,DB!$1:$1,0)),FALSE)&gt;=5,"Good","Bad"),VLOOKUP(DATE($K$1,$K$2,IKD$4),Table1[],(MATCH(Calendar!$A18,DB!$1:$1,0)),FALSE)),"")</f>
        <v/>
      </c>
      <c r="IKE18" s="28" t="str">
        <f>IFERROR(IF(IKN3="No",IF(VLOOKUP(DATE($K$1,$K$2,IKE$4),Table1[],(MATCH(Calendar!$A18,DB!$1:$1,0)),FALSE)&gt;=5,"Good","Bad"),VLOOKUP(DATE($K$1,$K$2,IKE$4),Table1[],(MATCH(Calendar!$A18,DB!$1:$1,0)),FALSE)),"")</f>
        <v/>
      </c>
      <c r="IKF18" s="28" t="str">
        <f>IFERROR(IF(IKO3="No",IF(VLOOKUP(DATE($K$1,$K$2,IKF$4),Table1[],(MATCH(Calendar!$A18,DB!$1:$1,0)),FALSE)&gt;=5,"Good","Bad"),VLOOKUP(DATE($K$1,$K$2,IKF$4),Table1[],(MATCH(Calendar!$A18,DB!$1:$1,0)),FALSE)),"")</f>
        <v/>
      </c>
      <c r="IKG18" s="28" t="str">
        <f>IFERROR(IF(IKP3="No",IF(VLOOKUP(DATE($K$1,$K$2,IKG$4),Table1[],(MATCH(Calendar!$A18,DB!$1:$1,0)),FALSE)&gt;=5,"Good","Bad"),VLOOKUP(DATE($K$1,$K$2,IKG$4),Table1[],(MATCH(Calendar!$A18,DB!$1:$1,0)),FALSE)),"")</f>
        <v/>
      </c>
      <c r="IKH18" s="28" t="str">
        <f>IFERROR(IF(IKQ3="No",IF(VLOOKUP(DATE($K$1,$K$2,IKH$4),Table1[],(MATCH(Calendar!$A18,DB!$1:$1,0)),FALSE)&gt;=5,"Good","Bad"),VLOOKUP(DATE($K$1,$K$2,IKH$4),Table1[],(MATCH(Calendar!$A18,DB!$1:$1,0)),FALSE)),"")</f>
        <v/>
      </c>
      <c r="IKI18" s="28" t="str">
        <f>IFERROR(IF(IKR3="No",IF(VLOOKUP(DATE($K$1,$K$2,IKI$4),Table1[],(MATCH(Calendar!$A18,DB!$1:$1,0)),FALSE)&gt;=5,"Good","Bad"),VLOOKUP(DATE($K$1,$K$2,IKI$4),Table1[],(MATCH(Calendar!$A18,DB!$1:$1,0)),FALSE)),"")</f>
        <v/>
      </c>
      <c r="IKJ18" s="28" t="str">
        <f>IFERROR(IF(IKS3="No",IF(VLOOKUP(DATE($K$1,$K$2,IKJ$4),Table1[],(MATCH(Calendar!$A18,DB!$1:$1,0)),FALSE)&gt;=5,"Good","Bad"),VLOOKUP(DATE($K$1,$K$2,IKJ$4),Table1[],(MATCH(Calendar!$A18,DB!$1:$1,0)),FALSE)),"")</f>
        <v/>
      </c>
      <c r="IKK18" s="28" t="str">
        <f>IFERROR(IF(IKT3="No",IF(VLOOKUP(DATE($K$1,$K$2,IKK$4),Table1[],(MATCH(Calendar!$A18,DB!$1:$1,0)),FALSE)&gt;=5,"Good","Bad"),VLOOKUP(DATE($K$1,$K$2,IKK$4),Table1[],(MATCH(Calendar!$A18,DB!$1:$1,0)),FALSE)),"")</f>
        <v/>
      </c>
      <c r="IKL18" s="28" t="str">
        <f>IFERROR(IF(IKU3="No",IF(VLOOKUP(DATE($K$1,$K$2,IKL$4),Table1[],(MATCH(Calendar!$A18,DB!$1:$1,0)),FALSE)&gt;=5,"Good","Bad"),VLOOKUP(DATE($K$1,$K$2,IKL$4),Table1[],(MATCH(Calendar!$A18,DB!$1:$1,0)),FALSE)),"")</f>
        <v/>
      </c>
      <c r="IKM18" s="28" t="str">
        <f>IFERROR(IF(IKV3="No",IF(VLOOKUP(DATE($K$1,$K$2,IKM$4),Table1[],(MATCH(Calendar!$A18,DB!$1:$1,0)),FALSE)&gt;=5,"Good","Bad"),VLOOKUP(DATE($K$1,$K$2,IKM$4),Table1[],(MATCH(Calendar!$A18,DB!$1:$1,0)),FALSE)),"")</f>
        <v/>
      </c>
      <c r="IKN18" s="28" t="str">
        <f>IFERROR(IF(IKW3="No",IF(VLOOKUP(DATE($K$1,$K$2,IKN$4),Table1[],(MATCH(Calendar!$A18,DB!$1:$1,0)),FALSE)&gt;=5,"Good","Bad"),VLOOKUP(DATE($K$1,$K$2,IKN$4),Table1[],(MATCH(Calendar!$A18,DB!$1:$1,0)),FALSE)),"")</f>
        <v/>
      </c>
      <c r="IKO18" s="28" t="str">
        <f>IFERROR(IF(IKX3="No",IF(VLOOKUP(DATE($K$1,$K$2,IKO$4),Table1[],(MATCH(Calendar!$A18,DB!$1:$1,0)),FALSE)&gt;=5,"Good","Bad"),VLOOKUP(DATE($K$1,$K$2,IKO$4),Table1[],(MATCH(Calendar!$A18,DB!$1:$1,0)),FALSE)),"")</f>
        <v/>
      </c>
      <c r="IKP18" s="28" t="str">
        <f>IFERROR(IF(IKY3="No",IF(VLOOKUP(DATE($K$1,$K$2,IKP$4),Table1[],(MATCH(Calendar!$A18,DB!$1:$1,0)),FALSE)&gt;=5,"Good","Bad"),VLOOKUP(DATE($K$1,$K$2,IKP$4),Table1[],(MATCH(Calendar!$A18,DB!$1:$1,0)),FALSE)),"")</f>
        <v/>
      </c>
      <c r="IKQ18" s="28" t="str">
        <f>IFERROR(IF(IKZ3="No",IF(VLOOKUP(DATE($K$1,$K$2,IKQ$4),Table1[],(MATCH(Calendar!$A18,DB!$1:$1,0)),FALSE)&gt;=5,"Good","Bad"),VLOOKUP(DATE($K$1,$K$2,IKQ$4),Table1[],(MATCH(Calendar!$A18,DB!$1:$1,0)),FALSE)),"")</f>
        <v/>
      </c>
      <c r="IKR18" s="28" t="str">
        <f>IFERROR(IF(ILA3="No",IF(VLOOKUP(DATE($K$1,$K$2,IKR$4),Table1[],(MATCH(Calendar!$A18,DB!$1:$1,0)),FALSE)&gt;=5,"Good","Bad"),VLOOKUP(DATE($K$1,$K$2,IKR$4),Table1[],(MATCH(Calendar!$A18,DB!$1:$1,0)),FALSE)),"")</f>
        <v/>
      </c>
      <c r="IKS18" s="28" t="str">
        <f>IFERROR(IF(ILB3="No",IF(VLOOKUP(DATE($K$1,$K$2,IKS$4),Table1[],(MATCH(Calendar!$A18,DB!$1:$1,0)),FALSE)&gt;=5,"Good","Bad"),VLOOKUP(DATE($K$1,$K$2,IKS$4),Table1[],(MATCH(Calendar!$A18,DB!$1:$1,0)),FALSE)),"")</f>
        <v/>
      </c>
      <c r="IKT18" s="28" t="str">
        <f>IFERROR(IF(ILC3="No",IF(VLOOKUP(DATE($K$1,$K$2,IKT$4),Table1[],(MATCH(Calendar!$A18,DB!$1:$1,0)),FALSE)&gt;=5,"Good","Bad"),VLOOKUP(DATE($K$1,$K$2,IKT$4),Table1[],(MATCH(Calendar!$A18,DB!$1:$1,0)),FALSE)),"")</f>
        <v/>
      </c>
      <c r="IKU18" s="28" t="str">
        <f>IFERROR(IF(ILD3="No",IF(VLOOKUP(DATE($K$1,$K$2,IKU$4),Table1[],(MATCH(Calendar!$A18,DB!$1:$1,0)),FALSE)&gt;=5,"Good","Bad"),VLOOKUP(DATE($K$1,$K$2,IKU$4),Table1[],(MATCH(Calendar!$A18,DB!$1:$1,0)),FALSE)),"")</f>
        <v/>
      </c>
      <c r="IKV18" s="28" t="str">
        <f>IFERROR(IF(ILE3="No",IF(VLOOKUP(DATE($K$1,$K$2,IKV$4),Table1[],(MATCH(Calendar!$A18,DB!$1:$1,0)),FALSE)&gt;=5,"Good","Bad"),VLOOKUP(DATE($K$1,$K$2,IKV$4),Table1[],(MATCH(Calendar!$A18,DB!$1:$1,0)),FALSE)),"")</f>
        <v/>
      </c>
      <c r="IKW18" s="28" t="str">
        <f>IFERROR(IF(ILF3="No",IF(VLOOKUP(DATE($K$1,$K$2,IKW$4),Table1[],(MATCH(Calendar!$A18,DB!$1:$1,0)),FALSE)&gt;=5,"Good","Bad"),VLOOKUP(DATE($K$1,$K$2,IKW$4),Table1[],(MATCH(Calendar!$A18,DB!$1:$1,0)),FALSE)),"")</f>
        <v/>
      </c>
      <c r="IKX18" s="28" t="str">
        <f>IFERROR(IF(ILG3="No",IF(VLOOKUP(DATE($K$1,$K$2,IKX$4),Table1[],(MATCH(Calendar!$A18,DB!$1:$1,0)),FALSE)&gt;=5,"Good","Bad"),VLOOKUP(DATE($K$1,$K$2,IKX$4),Table1[],(MATCH(Calendar!$A18,DB!$1:$1,0)),FALSE)),"")</f>
        <v/>
      </c>
      <c r="IKY18" s="28" t="str">
        <f>IFERROR(IF(ILH3="No",IF(VLOOKUP(DATE($K$1,$K$2,IKY$4),Table1[],(MATCH(Calendar!$A18,DB!$1:$1,0)),FALSE)&gt;=5,"Good","Bad"),VLOOKUP(DATE($K$1,$K$2,IKY$4),Table1[],(MATCH(Calendar!$A18,DB!$1:$1,0)),FALSE)),"")</f>
        <v/>
      </c>
      <c r="IKZ18" s="28" t="str">
        <f>IFERROR(IF(ILI3="No",IF(VLOOKUP(DATE($K$1,$K$2,IKZ$4),Table1[],(MATCH(Calendar!$A18,DB!$1:$1,0)),FALSE)&gt;=5,"Good","Bad"),VLOOKUP(DATE($K$1,$K$2,IKZ$4),Table1[],(MATCH(Calendar!$A18,DB!$1:$1,0)),FALSE)),"")</f>
        <v/>
      </c>
      <c r="ILA18" s="28" t="str">
        <f>IFERROR(IF(ILJ3="No",IF(VLOOKUP(DATE($K$1,$K$2,ILA$4),Table1[],(MATCH(Calendar!$A18,DB!$1:$1,0)),FALSE)&gt;=5,"Good","Bad"),VLOOKUP(DATE($K$1,$K$2,ILA$4),Table1[],(MATCH(Calendar!$A18,DB!$1:$1,0)),FALSE)),"")</f>
        <v/>
      </c>
      <c r="ILB18" s="28" t="str">
        <f>IFERROR(IF(ILK3="No",IF(VLOOKUP(DATE($K$1,$K$2,ILB$4),Table1[],(MATCH(Calendar!$A18,DB!$1:$1,0)),FALSE)&gt;=5,"Good","Bad"),VLOOKUP(DATE($K$1,$K$2,ILB$4),Table1[],(MATCH(Calendar!$A18,DB!$1:$1,0)),FALSE)),"")</f>
        <v/>
      </c>
      <c r="ILC18" s="28" t="str">
        <f>IFERROR(IF(ILL3="No",IF(VLOOKUP(DATE($K$1,$K$2,ILC$4),Table1[],(MATCH(Calendar!$A18,DB!$1:$1,0)),FALSE)&gt;=5,"Good","Bad"),VLOOKUP(DATE($K$1,$K$2,ILC$4),Table1[],(MATCH(Calendar!$A18,DB!$1:$1,0)),FALSE)),"")</f>
        <v/>
      </c>
      <c r="ILD18" s="28" t="str">
        <f>IFERROR(IF(ILM3="No",IF(VLOOKUP(DATE($K$1,$K$2,ILD$4),Table1[],(MATCH(Calendar!$A18,DB!$1:$1,0)),FALSE)&gt;=5,"Good","Bad"),VLOOKUP(DATE($K$1,$K$2,ILD$4),Table1[],(MATCH(Calendar!$A18,DB!$1:$1,0)),FALSE)),"")</f>
        <v/>
      </c>
      <c r="ILE18" s="28" t="str">
        <f>IFERROR(IF(ILN3="No",IF(VLOOKUP(DATE($K$1,$K$2,ILE$4),Table1[],(MATCH(Calendar!$A18,DB!$1:$1,0)),FALSE)&gt;=5,"Good","Bad"),VLOOKUP(DATE($K$1,$K$2,ILE$4),Table1[],(MATCH(Calendar!$A18,DB!$1:$1,0)),FALSE)),"")</f>
        <v/>
      </c>
      <c r="ILF18" s="28" t="str">
        <f>IFERROR(IF(ILO3="No",IF(VLOOKUP(DATE($K$1,$K$2,ILF$4),Table1[],(MATCH(Calendar!$A18,DB!$1:$1,0)),FALSE)&gt;=5,"Good","Bad"),VLOOKUP(DATE($K$1,$K$2,ILF$4),Table1[],(MATCH(Calendar!$A18,DB!$1:$1,0)),FALSE)),"")</f>
        <v/>
      </c>
      <c r="ILG18" s="28" t="str">
        <f>IFERROR(IF(ILP3="No",IF(VLOOKUP(DATE($K$1,$K$2,ILG$4),Table1[],(MATCH(Calendar!$A18,DB!$1:$1,0)),FALSE)&gt;=5,"Good","Bad"),VLOOKUP(DATE($K$1,$K$2,ILG$4),Table1[],(MATCH(Calendar!$A18,DB!$1:$1,0)),FALSE)),"")</f>
        <v/>
      </c>
      <c r="ILH18" s="28" t="str">
        <f>IFERROR(IF(ILQ3="No",IF(VLOOKUP(DATE($K$1,$K$2,ILH$4),Table1[],(MATCH(Calendar!$A18,DB!$1:$1,0)),FALSE)&gt;=5,"Good","Bad"),VLOOKUP(DATE($K$1,$K$2,ILH$4),Table1[],(MATCH(Calendar!$A18,DB!$1:$1,0)),FALSE)),"")</f>
        <v/>
      </c>
      <c r="ILI18" s="28" t="str">
        <f>IFERROR(IF(ILR3="No",IF(VLOOKUP(DATE($K$1,$K$2,ILI$4),Table1[],(MATCH(Calendar!$A18,DB!$1:$1,0)),FALSE)&gt;=5,"Good","Bad"),VLOOKUP(DATE($K$1,$K$2,ILI$4),Table1[],(MATCH(Calendar!$A18,DB!$1:$1,0)),FALSE)),"")</f>
        <v/>
      </c>
      <c r="ILJ18" s="28" t="str">
        <f>IFERROR(IF(ILS3="No",IF(VLOOKUP(DATE($K$1,$K$2,ILJ$4),Table1[],(MATCH(Calendar!$A18,DB!$1:$1,0)),FALSE)&gt;=5,"Good","Bad"),VLOOKUP(DATE($K$1,$K$2,ILJ$4),Table1[],(MATCH(Calendar!$A18,DB!$1:$1,0)),FALSE)),"")</f>
        <v/>
      </c>
      <c r="ILK18" s="28" t="str">
        <f>IFERROR(IF(ILT3="No",IF(VLOOKUP(DATE($K$1,$K$2,ILK$4),Table1[],(MATCH(Calendar!$A18,DB!$1:$1,0)),FALSE)&gt;=5,"Good","Bad"),VLOOKUP(DATE($K$1,$K$2,ILK$4),Table1[],(MATCH(Calendar!$A18,DB!$1:$1,0)),FALSE)),"")</f>
        <v/>
      </c>
      <c r="ILL18" s="28" t="str">
        <f>IFERROR(IF(ILU3="No",IF(VLOOKUP(DATE($K$1,$K$2,ILL$4),Table1[],(MATCH(Calendar!$A18,DB!$1:$1,0)),FALSE)&gt;=5,"Good","Bad"),VLOOKUP(DATE($K$1,$K$2,ILL$4),Table1[],(MATCH(Calendar!$A18,DB!$1:$1,0)),FALSE)),"")</f>
        <v/>
      </c>
      <c r="ILM18" s="28" t="str">
        <f>IFERROR(IF(ILV3="No",IF(VLOOKUP(DATE($K$1,$K$2,ILM$4),Table1[],(MATCH(Calendar!$A18,DB!$1:$1,0)),FALSE)&gt;=5,"Good","Bad"),VLOOKUP(DATE($K$1,$K$2,ILM$4),Table1[],(MATCH(Calendar!$A18,DB!$1:$1,0)),FALSE)),"")</f>
        <v/>
      </c>
      <c r="ILN18" s="28" t="str">
        <f>IFERROR(IF(ILW3="No",IF(VLOOKUP(DATE($K$1,$K$2,ILN$4),Table1[],(MATCH(Calendar!$A18,DB!$1:$1,0)),FALSE)&gt;=5,"Good","Bad"),VLOOKUP(DATE($K$1,$K$2,ILN$4),Table1[],(MATCH(Calendar!$A18,DB!$1:$1,0)),FALSE)),"")</f>
        <v/>
      </c>
      <c r="ILO18" s="28" t="str">
        <f>IFERROR(IF(ILX3="No",IF(VLOOKUP(DATE($K$1,$K$2,ILO$4),Table1[],(MATCH(Calendar!$A18,DB!$1:$1,0)),FALSE)&gt;=5,"Good","Bad"),VLOOKUP(DATE($K$1,$K$2,ILO$4),Table1[],(MATCH(Calendar!$A18,DB!$1:$1,0)),FALSE)),"")</f>
        <v/>
      </c>
      <c r="ILP18" s="28" t="str">
        <f>IFERROR(IF(ILY3="No",IF(VLOOKUP(DATE($K$1,$K$2,ILP$4),Table1[],(MATCH(Calendar!$A18,DB!$1:$1,0)),FALSE)&gt;=5,"Good","Bad"),VLOOKUP(DATE($K$1,$K$2,ILP$4),Table1[],(MATCH(Calendar!$A18,DB!$1:$1,0)),FALSE)),"")</f>
        <v/>
      </c>
      <c r="ILQ18" s="28" t="str">
        <f>IFERROR(IF(ILZ3="No",IF(VLOOKUP(DATE($K$1,$K$2,ILQ$4),Table1[],(MATCH(Calendar!$A18,DB!$1:$1,0)),FALSE)&gt;=5,"Good","Bad"),VLOOKUP(DATE($K$1,$K$2,ILQ$4),Table1[],(MATCH(Calendar!$A18,DB!$1:$1,0)),FALSE)),"")</f>
        <v/>
      </c>
      <c r="ILR18" s="28" t="str">
        <f>IFERROR(IF(IMA3="No",IF(VLOOKUP(DATE($K$1,$K$2,ILR$4),Table1[],(MATCH(Calendar!$A18,DB!$1:$1,0)),FALSE)&gt;=5,"Good","Bad"),VLOOKUP(DATE($K$1,$K$2,ILR$4),Table1[],(MATCH(Calendar!$A18,DB!$1:$1,0)),FALSE)),"")</f>
        <v/>
      </c>
      <c r="ILS18" s="28" t="str">
        <f>IFERROR(IF(IMB3="No",IF(VLOOKUP(DATE($K$1,$K$2,ILS$4),Table1[],(MATCH(Calendar!$A18,DB!$1:$1,0)),FALSE)&gt;=5,"Good","Bad"),VLOOKUP(DATE($K$1,$K$2,ILS$4),Table1[],(MATCH(Calendar!$A18,DB!$1:$1,0)),FALSE)),"")</f>
        <v/>
      </c>
      <c r="ILT18" s="28" t="str">
        <f>IFERROR(IF(IMC3="No",IF(VLOOKUP(DATE($K$1,$K$2,ILT$4),Table1[],(MATCH(Calendar!$A18,DB!$1:$1,0)),FALSE)&gt;=5,"Good","Bad"),VLOOKUP(DATE($K$1,$K$2,ILT$4),Table1[],(MATCH(Calendar!$A18,DB!$1:$1,0)),FALSE)),"")</f>
        <v/>
      </c>
      <c r="ILU18" s="28" t="str">
        <f>IFERROR(IF(IMD3="No",IF(VLOOKUP(DATE($K$1,$K$2,ILU$4),Table1[],(MATCH(Calendar!$A18,DB!$1:$1,0)),FALSE)&gt;=5,"Good","Bad"),VLOOKUP(DATE($K$1,$K$2,ILU$4),Table1[],(MATCH(Calendar!$A18,DB!$1:$1,0)),FALSE)),"")</f>
        <v/>
      </c>
      <c r="ILV18" s="28" t="str">
        <f>IFERROR(IF(IME3="No",IF(VLOOKUP(DATE($K$1,$K$2,ILV$4),Table1[],(MATCH(Calendar!$A18,DB!$1:$1,0)),FALSE)&gt;=5,"Good","Bad"),VLOOKUP(DATE($K$1,$K$2,ILV$4),Table1[],(MATCH(Calendar!$A18,DB!$1:$1,0)),FALSE)),"")</f>
        <v/>
      </c>
      <c r="ILW18" s="28" t="str">
        <f>IFERROR(IF(IMF3="No",IF(VLOOKUP(DATE($K$1,$K$2,ILW$4),Table1[],(MATCH(Calendar!$A18,DB!$1:$1,0)),FALSE)&gt;=5,"Good","Bad"),VLOOKUP(DATE($K$1,$K$2,ILW$4),Table1[],(MATCH(Calendar!$A18,DB!$1:$1,0)),FALSE)),"")</f>
        <v/>
      </c>
      <c r="ILX18" s="28" t="str">
        <f>IFERROR(IF(IMG3="No",IF(VLOOKUP(DATE($K$1,$K$2,ILX$4),Table1[],(MATCH(Calendar!$A18,DB!$1:$1,0)),FALSE)&gt;=5,"Good","Bad"),VLOOKUP(DATE($K$1,$K$2,ILX$4),Table1[],(MATCH(Calendar!$A18,DB!$1:$1,0)),FALSE)),"")</f>
        <v/>
      </c>
      <c r="ILY18" s="28" t="str">
        <f>IFERROR(IF(IMH3="No",IF(VLOOKUP(DATE($K$1,$K$2,ILY$4),Table1[],(MATCH(Calendar!$A18,DB!$1:$1,0)),FALSE)&gt;=5,"Good","Bad"),VLOOKUP(DATE($K$1,$K$2,ILY$4),Table1[],(MATCH(Calendar!$A18,DB!$1:$1,0)),FALSE)),"")</f>
        <v/>
      </c>
      <c r="ILZ18" s="28" t="str">
        <f>IFERROR(IF(IMI3="No",IF(VLOOKUP(DATE($K$1,$K$2,ILZ$4),Table1[],(MATCH(Calendar!$A18,DB!$1:$1,0)),FALSE)&gt;=5,"Good","Bad"),VLOOKUP(DATE($K$1,$K$2,ILZ$4),Table1[],(MATCH(Calendar!$A18,DB!$1:$1,0)),FALSE)),"")</f>
        <v/>
      </c>
      <c r="IMA18" s="28" t="str">
        <f>IFERROR(IF(IMJ3="No",IF(VLOOKUP(DATE($K$1,$K$2,IMA$4),Table1[],(MATCH(Calendar!$A18,DB!$1:$1,0)),FALSE)&gt;=5,"Good","Bad"),VLOOKUP(DATE($K$1,$K$2,IMA$4),Table1[],(MATCH(Calendar!$A18,DB!$1:$1,0)),FALSE)),"")</f>
        <v/>
      </c>
      <c r="IMB18" s="28" t="str">
        <f>IFERROR(IF(IMK3="No",IF(VLOOKUP(DATE($K$1,$K$2,IMB$4),Table1[],(MATCH(Calendar!$A18,DB!$1:$1,0)),FALSE)&gt;=5,"Good","Bad"),VLOOKUP(DATE($K$1,$K$2,IMB$4),Table1[],(MATCH(Calendar!$A18,DB!$1:$1,0)),FALSE)),"")</f>
        <v/>
      </c>
      <c r="IMC18" s="28" t="str">
        <f>IFERROR(IF(IML3="No",IF(VLOOKUP(DATE($K$1,$K$2,IMC$4),Table1[],(MATCH(Calendar!$A18,DB!$1:$1,0)),FALSE)&gt;=5,"Good","Bad"),VLOOKUP(DATE($K$1,$K$2,IMC$4),Table1[],(MATCH(Calendar!$A18,DB!$1:$1,0)),FALSE)),"")</f>
        <v/>
      </c>
      <c r="IMD18" s="28" t="str">
        <f>IFERROR(IF(IMM3="No",IF(VLOOKUP(DATE($K$1,$K$2,IMD$4),Table1[],(MATCH(Calendar!$A18,DB!$1:$1,0)),FALSE)&gt;=5,"Good","Bad"),VLOOKUP(DATE($K$1,$K$2,IMD$4),Table1[],(MATCH(Calendar!$A18,DB!$1:$1,0)),FALSE)),"")</f>
        <v/>
      </c>
      <c r="IME18" s="28" t="str">
        <f>IFERROR(IF(IMN3="No",IF(VLOOKUP(DATE($K$1,$K$2,IME$4),Table1[],(MATCH(Calendar!$A18,DB!$1:$1,0)),FALSE)&gt;=5,"Good","Bad"),VLOOKUP(DATE($K$1,$K$2,IME$4),Table1[],(MATCH(Calendar!$A18,DB!$1:$1,0)),FALSE)),"")</f>
        <v/>
      </c>
      <c r="IMF18" s="28" t="str">
        <f>IFERROR(IF(IMO3="No",IF(VLOOKUP(DATE($K$1,$K$2,IMF$4),Table1[],(MATCH(Calendar!$A18,DB!$1:$1,0)),FALSE)&gt;=5,"Good","Bad"),VLOOKUP(DATE($K$1,$K$2,IMF$4),Table1[],(MATCH(Calendar!$A18,DB!$1:$1,0)),FALSE)),"")</f>
        <v/>
      </c>
      <c r="IMG18" s="28" t="str">
        <f>IFERROR(IF(IMP3="No",IF(VLOOKUP(DATE($K$1,$K$2,IMG$4),Table1[],(MATCH(Calendar!$A18,DB!$1:$1,0)),FALSE)&gt;=5,"Good","Bad"),VLOOKUP(DATE($K$1,$K$2,IMG$4),Table1[],(MATCH(Calendar!$A18,DB!$1:$1,0)),FALSE)),"")</f>
        <v/>
      </c>
      <c r="IMH18" s="28" t="str">
        <f>IFERROR(IF(IMQ3="No",IF(VLOOKUP(DATE($K$1,$K$2,IMH$4),Table1[],(MATCH(Calendar!$A18,DB!$1:$1,0)),FALSE)&gt;=5,"Good","Bad"),VLOOKUP(DATE($K$1,$K$2,IMH$4),Table1[],(MATCH(Calendar!$A18,DB!$1:$1,0)),FALSE)),"")</f>
        <v/>
      </c>
      <c r="IMI18" s="28" t="str">
        <f>IFERROR(IF(IMR3="No",IF(VLOOKUP(DATE($K$1,$K$2,IMI$4),Table1[],(MATCH(Calendar!$A18,DB!$1:$1,0)),FALSE)&gt;=5,"Good","Bad"),VLOOKUP(DATE($K$1,$K$2,IMI$4),Table1[],(MATCH(Calendar!$A18,DB!$1:$1,0)),FALSE)),"")</f>
        <v/>
      </c>
      <c r="IMJ18" s="28" t="str">
        <f>IFERROR(IF(IMS3="No",IF(VLOOKUP(DATE($K$1,$K$2,IMJ$4),Table1[],(MATCH(Calendar!$A18,DB!$1:$1,0)),FALSE)&gt;=5,"Good","Bad"),VLOOKUP(DATE($K$1,$K$2,IMJ$4),Table1[],(MATCH(Calendar!$A18,DB!$1:$1,0)),FALSE)),"")</f>
        <v/>
      </c>
      <c r="IMK18" s="28" t="str">
        <f>IFERROR(IF(IMT3="No",IF(VLOOKUP(DATE($K$1,$K$2,IMK$4),Table1[],(MATCH(Calendar!$A18,DB!$1:$1,0)),FALSE)&gt;=5,"Good","Bad"),VLOOKUP(DATE($K$1,$K$2,IMK$4),Table1[],(MATCH(Calendar!$A18,DB!$1:$1,0)),FALSE)),"")</f>
        <v/>
      </c>
      <c r="IML18" s="28" t="str">
        <f>IFERROR(IF(IMU3="No",IF(VLOOKUP(DATE($K$1,$K$2,IML$4),Table1[],(MATCH(Calendar!$A18,DB!$1:$1,0)),FALSE)&gt;=5,"Good","Bad"),VLOOKUP(DATE($K$1,$K$2,IML$4),Table1[],(MATCH(Calendar!$A18,DB!$1:$1,0)),FALSE)),"")</f>
        <v/>
      </c>
      <c r="IMM18" s="28" t="str">
        <f>IFERROR(IF(IMV3="No",IF(VLOOKUP(DATE($K$1,$K$2,IMM$4),Table1[],(MATCH(Calendar!$A18,DB!$1:$1,0)),FALSE)&gt;=5,"Good","Bad"),VLOOKUP(DATE($K$1,$K$2,IMM$4),Table1[],(MATCH(Calendar!$A18,DB!$1:$1,0)),FALSE)),"")</f>
        <v/>
      </c>
      <c r="IMN18" s="28" t="str">
        <f>IFERROR(IF(IMW3="No",IF(VLOOKUP(DATE($K$1,$K$2,IMN$4),Table1[],(MATCH(Calendar!$A18,DB!$1:$1,0)),FALSE)&gt;=5,"Good","Bad"),VLOOKUP(DATE($K$1,$K$2,IMN$4),Table1[],(MATCH(Calendar!$A18,DB!$1:$1,0)),FALSE)),"")</f>
        <v/>
      </c>
      <c r="IMO18" s="28" t="str">
        <f>IFERROR(IF(IMX3="No",IF(VLOOKUP(DATE($K$1,$K$2,IMO$4),Table1[],(MATCH(Calendar!$A18,DB!$1:$1,0)),FALSE)&gt;=5,"Good","Bad"),VLOOKUP(DATE($K$1,$K$2,IMO$4),Table1[],(MATCH(Calendar!$A18,DB!$1:$1,0)),FALSE)),"")</f>
        <v/>
      </c>
      <c r="IMP18" s="28" t="str">
        <f>IFERROR(IF(IMY3="No",IF(VLOOKUP(DATE($K$1,$K$2,IMP$4),Table1[],(MATCH(Calendar!$A18,DB!$1:$1,0)),FALSE)&gt;=5,"Good","Bad"),VLOOKUP(DATE($K$1,$K$2,IMP$4),Table1[],(MATCH(Calendar!$A18,DB!$1:$1,0)),FALSE)),"")</f>
        <v/>
      </c>
      <c r="IMQ18" s="28" t="str">
        <f>IFERROR(IF(IMZ3="No",IF(VLOOKUP(DATE($K$1,$K$2,IMQ$4),Table1[],(MATCH(Calendar!$A18,DB!$1:$1,0)),FALSE)&gt;=5,"Good","Bad"),VLOOKUP(DATE($K$1,$K$2,IMQ$4),Table1[],(MATCH(Calendar!$A18,DB!$1:$1,0)),FALSE)),"")</f>
        <v/>
      </c>
      <c r="IMR18" s="28" t="str">
        <f>IFERROR(IF(INA3="No",IF(VLOOKUP(DATE($K$1,$K$2,IMR$4),Table1[],(MATCH(Calendar!$A18,DB!$1:$1,0)),FALSE)&gt;=5,"Good","Bad"),VLOOKUP(DATE($K$1,$K$2,IMR$4),Table1[],(MATCH(Calendar!$A18,DB!$1:$1,0)),FALSE)),"")</f>
        <v/>
      </c>
      <c r="IMS18" s="28" t="str">
        <f>IFERROR(IF(INB3="No",IF(VLOOKUP(DATE($K$1,$K$2,IMS$4),Table1[],(MATCH(Calendar!$A18,DB!$1:$1,0)),FALSE)&gt;=5,"Good","Bad"),VLOOKUP(DATE($K$1,$K$2,IMS$4),Table1[],(MATCH(Calendar!$A18,DB!$1:$1,0)),FALSE)),"")</f>
        <v/>
      </c>
      <c r="IMT18" s="28" t="str">
        <f>IFERROR(IF(INC3="No",IF(VLOOKUP(DATE($K$1,$K$2,IMT$4),Table1[],(MATCH(Calendar!$A18,DB!$1:$1,0)),FALSE)&gt;=5,"Good","Bad"),VLOOKUP(DATE($K$1,$K$2,IMT$4),Table1[],(MATCH(Calendar!$A18,DB!$1:$1,0)),FALSE)),"")</f>
        <v/>
      </c>
      <c r="IMU18" s="28" t="str">
        <f>IFERROR(IF(IND3="No",IF(VLOOKUP(DATE($K$1,$K$2,IMU$4),Table1[],(MATCH(Calendar!$A18,DB!$1:$1,0)),FALSE)&gt;=5,"Good","Bad"),VLOOKUP(DATE($K$1,$K$2,IMU$4),Table1[],(MATCH(Calendar!$A18,DB!$1:$1,0)),FALSE)),"")</f>
        <v/>
      </c>
      <c r="IMV18" s="28" t="str">
        <f>IFERROR(IF(INE3="No",IF(VLOOKUP(DATE($K$1,$K$2,IMV$4),Table1[],(MATCH(Calendar!$A18,DB!$1:$1,0)),FALSE)&gt;=5,"Good","Bad"),VLOOKUP(DATE($K$1,$K$2,IMV$4),Table1[],(MATCH(Calendar!$A18,DB!$1:$1,0)),FALSE)),"")</f>
        <v/>
      </c>
      <c r="IMW18" s="28" t="str">
        <f>IFERROR(IF(INF3="No",IF(VLOOKUP(DATE($K$1,$K$2,IMW$4),Table1[],(MATCH(Calendar!$A18,DB!$1:$1,0)),FALSE)&gt;=5,"Good","Bad"),VLOOKUP(DATE($K$1,$K$2,IMW$4),Table1[],(MATCH(Calendar!$A18,DB!$1:$1,0)),FALSE)),"")</f>
        <v/>
      </c>
      <c r="IMX18" s="28" t="str">
        <f>IFERROR(IF(ING3="No",IF(VLOOKUP(DATE($K$1,$K$2,IMX$4),Table1[],(MATCH(Calendar!$A18,DB!$1:$1,0)),FALSE)&gt;=5,"Good","Bad"),VLOOKUP(DATE($K$1,$K$2,IMX$4),Table1[],(MATCH(Calendar!$A18,DB!$1:$1,0)),FALSE)),"")</f>
        <v/>
      </c>
      <c r="IMY18" s="28" t="str">
        <f>IFERROR(IF(INH3="No",IF(VLOOKUP(DATE($K$1,$K$2,IMY$4),Table1[],(MATCH(Calendar!$A18,DB!$1:$1,0)),FALSE)&gt;=5,"Good","Bad"),VLOOKUP(DATE($K$1,$K$2,IMY$4),Table1[],(MATCH(Calendar!$A18,DB!$1:$1,0)),FALSE)),"")</f>
        <v/>
      </c>
      <c r="IMZ18" s="28" t="str">
        <f>IFERROR(IF(INI3="No",IF(VLOOKUP(DATE($K$1,$K$2,IMZ$4),Table1[],(MATCH(Calendar!$A18,DB!$1:$1,0)),FALSE)&gt;=5,"Good","Bad"),VLOOKUP(DATE($K$1,$K$2,IMZ$4),Table1[],(MATCH(Calendar!$A18,DB!$1:$1,0)),FALSE)),"")</f>
        <v/>
      </c>
      <c r="INA18" s="28" t="str">
        <f>IFERROR(IF(INJ3="No",IF(VLOOKUP(DATE($K$1,$K$2,INA$4),Table1[],(MATCH(Calendar!$A18,DB!$1:$1,0)),FALSE)&gt;=5,"Good","Bad"),VLOOKUP(DATE($K$1,$K$2,INA$4),Table1[],(MATCH(Calendar!$A18,DB!$1:$1,0)),FALSE)),"")</f>
        <v/>
      </c>
      <c r="INB18" s="28" t="str">
        <f>IFERROR(IF(INK3="No",IF(VLOOKUP(DATE($K$1,$K$2,INB$4),Table1[],(MATCH(Calendar!$A18,DB!$1:$1,0)),FALSE)&gt;=5,"Good","Bad"),VLOOKUP(DATE($K$1,$K$2,INB$4),Table1[],(MATCH(Calendar!$A18,DB!$1:$1,0)),FALSE)),"")</f>
        <v/>
      </c>
      <c r="INC18" s="28" t="str">
        <f>IFERROR(IF(INL3="No",IF(VLOOKUP(DATE($K$1,$K$2,INC$4),Table1[],(MATCH(Calendar!$A18,DB!$1:$1,0)),FALSE)&gt;=5,"Good","Bad"),VLOOKUP(DATE($K$1,$K$2,INC$4),Table1[],(MATCH(Calendar!$A18,DB!$1:$1,0)),FALSE)),"")</f>
        <v/>
      </c>
      <c r="IND18" s="28" t="str">
        <f>IFERROR(IF(INM3="No",IF(VLOOKUP(DATE($K$1,$K$2,IND$4),Table1[],(MATCH(Calendar!$A18,DB!$1:$1,0)),FALSE)&gt;=5,"Good","Bad"),VLOOKUP(DATE($K$1,$K$2,IND$4),Table1[],(MATCH(Calendar!$A18,DB!$1:$1,0)),FALSE)),"")</f>
        <v/>
      </c>
      <c r="INE18" s="28" t="str">
        <f>IFERROR(IF(INN3="No",IF(VLOOKUP(DATE($K$1,$K$2,INE$4),Table1[],(MATCH(Calendar!$A18,DB!$1:$1,0)),FALSE)&gt;=5,"Good","Bad"),VLOOKUP(DATE($K$1,$K$2,INE$4),Table1[],(MATCH(Calendar!$A18,DB!$1:$1,0)),FALSE)),"")</f>
        <v/>
      </c>
      <c r="INF18" s="28" t="str">
        <f>IFERROR(IF(INO3="No",IF(VLOOKUP(DATE($K$1,$K$2,INF$4),Table1[],(MATCH(Calendar!$A18,DB!$1:$1,0)),FALSE)&gt;=5,"Good","Bad"),VLOOKUP(DATE($K$1,$K$2,INF$4),Table1[],(MATCH(Calendar!$A18,DB!$1:$1,0)),FALSE)),"")</f>
        <v/>
      </c>
      <c r="ING18" s="28" t="str">
        <f>IFERROR(IF(INP3="No",IF(VLOOKUP(DATE($K$1,$K$2,ING$4),Table1[],(MATCH(Calendar!$A18,DB!$1:$1,0)),FALSE)&gt;=5,"Good","Bad"),VLOOKUP(DATE($K$1,$K$2,ING$4),Table1[],(MATCH(Calendar!$A18,DB!$1:$1,0)),FALSE)),"")</f>
        <v/>
      </c>
      <c r="INH18" s="28" t="str">
        <f>IFERROR(IF(INQ3="No",IF(VLOOKUP(DATE($K$1,$K$2,INH$4),Table1[],(MATCH(Calendar!$A18,DB!$1:$1,0)),FALSE)&gt;=5,"Good","Bad"),VLOOKUP(DATE($K$1,$K$2,INH$4),Table1[],(MATCH(Calendar!$A18,DB!$1:$1,0)),FALSE)),"")</f>
        <v/>
      </c>
      <c r="INI18" s="28" t="str">
        <f>IFERROR(IF(INR3="No",IF(VLOOKUP(DATE($K$1,$K$2,INI$4),Table1[],(MATCH(Calendar!$A18,DB!$1:$1,0)),FALSE)&gt;=5,"Good","Bad"),VLOOKUP(DATE($K$1,$K$2,INI$4),Table1[],(MATCH(Calendar!$A18,DB!$1:$1,0)),FALSE)),"")</f>
        <v/>
      </c>
      <c r="INJ18" s="28" t="str">
        <f>IFERROR(IF(INS3="No",IF(VLOOKUP(DATE($K$1,$K$2,INJ$4),Table1[],(MATCH(Calendar!$A18,DB!$1:$1,0)),FALSE)&gt;=5,"Good","Bad"),VLOOKUP(DATE($K$1,$K$2,INJ$4),Table1[],(MATCH(Calendar!$A18,DB!$1:$1,0)),FALSE)),"")</f>
        <v/>
      </c>
      <c r="INK18" s="28" t="str">
        <f>IFERROR(IF(INT3="No",IF(VLOOKUP(DATE($K$1,$K$2,INK$4),Table1[],(MATCH(Calendar!$A18,DB!$1:$1,0)),FALSE)&gt;=5,"Good","Bad"),VLOOKUP(DATE($K$1,$K$2,INK$4),Table1[],(MATCH(Calendar!$A18,DB!$1:$1,0)),FALSE)),"")</f>
        <v/>
      </c>
      <c r="INL18" s="28" t="str">
        <f>IFERROR(IF(INU3="No",IF(VLOOKUP(DATE($K$1,$K$2,INL$4),Table1[],(MATCH(Calendar!$A18,DB!$1:$1,0)),FALSE)&gt;=5,"Good","Bad"),VLOOKUP(DATE($K$1,$K$2,INL$4),Table1[],(MATCH(Calendar!$A18,DB!$1:$1,0)),FALSE)),"")</f>
        <v/>
      </c>
      <c r="INM18" s="28" t="str">
        <f>IFERROR(IF(INV3="No",IF(VLOOKUP(DATE($K$1,$K$2,INM$4),Table1[],(MATCH(Calendar!$A18,DB!$1:$1,0)),FALSE)&gt;=5,"Good","Bad"),VLOOKUP(DATE($K$1,$K$2,INM$4),Table1[],(MATCH(Calendar!$A18,DB!$1:$1,0)),FALSE)),"")</f>
        <v/>
      </c>
      <c r="INN18" s="28" t="str">
        <f>IFERROR(IF(INW3="No",IF(VLOOKUP(DATE($K$1,$K$2,INN$4),Table1[],(MATCH(Calendar!$A18,DB!$1:$1,0)),FALSE)&gt;=5,"Good","Bad"),VLOOKUP(DATE($K$1,$K$2,INN$4),Table1[],(MATCH(Calendar!$A18,DB!$1:$1,0)),FALSE)),"")</f>
        <v/>
      </c>
      <c r="INO18" s="28" t="str">
        <f>IFERROR(IF(INX3="No",IF(VLOOKUP(DATE($K$1,$K$2,INO$4),Table1[],(MATCH(Calendar!$A18,DB!$1:$1,0)),FALSE)&gt;=5,"Good","Bad"),VLOOKUP(DATE($K$1,$K$2,INO$4),Table1[],(MATCH(Calendar!$A18,DB!$1:$1,0)),FALSE)),"")</f>
        <v/>
      </c>
      <c r="INP18" s="28" t="str">
        <f>IFERROR(IF(INY3="No",IF(VLOOKUP(DATE($K$1,$K$2,INP$4),Table1[],(MATCH(Calendar!$A18,DB!$1:$1,0)),FALSE)&gt;=5,"Good","Bad"),VLOOKUP(DATE($K$1,$K$2,INP$4),Table1[],(MATCH(Calendar!$A18,DB!$1:$1,0)),FALSE)),"")</f>
        <v/>
      </c>
      <c r="INQ18" s="28" t="str">
        <f>IFERROR(IF(INZ3="No",IF(VLOOKUP(DATE($K$1,$K$2,INQ$4),Table1[],(MATCH(Calendar!$A18,DB!$1:$1,0)),FALSE)&gt;=5,"Good","Bad"),VLOOKUP(DATE($K$1,$K$2,INQ$4),Table1[],(MATCH(Calendar!$A18,DB!$1:$1,0)),FALSE)),"")</f>
        <v/>
      </c>
      <c r="INR18" s="28" t="str">
        <f>IFERROR(IF(IOA3="No",IF(VLOOKUP(DATE($K$1,$K$2,INR$4),Table1[],(MATCH(Calendar!$A18,DB!$1:$1,0)),FALSE)&gt;=5,"Good","Bad"),VLOOKUP(DATE($K$1,$K$2,INR$4),Table1[],(MATCH(Calendar!$A18,DB!$1:$1,0)),FALSE)),"")</f>
        <v/>
      </c>
      <c r="INS18" s="28" t="str">
        <f>IFERROR(IF(IOB3="No",IF(VLOOKUP(DATE($K$1,$K$2,INS$4),Table1[],(MATCH(Calendar!$A18,DB!$1:$1,0)),FALSE)&gt;=5,"Good","Bad"),VLOOKUP(DATE($K$1,$K$2,INS$4),Table1[],(MATCH(Calendar!$A18,DB!$1:$1,0)),FALSE)),"")</f>
        <v/>
      </c>
      <c r="INT18" s="28" t="str">
        <f>IFERROR(IF(IOC3="No",IF(VLOOKUP(DATE($K$1,$K$2,INT$4),Table1[],(MATCH(Calendar!$A18,DB!$1:$1,0)),FALSE)&gt;=5,"Good","Bad"),VLOOKUP(DATE($K$1,$K$2,INT$4),Table1[],(MATCH(Calendar!$A18,DB!$1:$1,0)),FALSE)),"")</f>
        <v/>
      </c>
      <c r="INU18" s="28" t="str">
        <f>IFERROR(IF(IOD3="No",IF(VLOOKUP(DATE($K$1,$K$2,INU$4),Table1[],(MATCH(Calendar!$A18,DB!$1:$1,0)),FALSE)&gt;=5,"Good","Bad"),VLOOKUP(DATE($K$1,$K$2,INU$4),Table1[],(MATCH(Calendar!$A18,DB!$1:$1,0)),FALSE)),"")</f>
        <v/>
      </c>
      <c r="INV18" s="28" t="str">
        <f>IFERROR(IF(IOE3="No",IF(VLOOKUP(DATE($K$1,$K$2,INV$4),Table1[],(MATCH(Calendar!$A18,DB!$1:$1,0)),FALSE)&gt;=5,"Good","Bad"),VLOOKUP(DATE($K$1,$K$2,INV$4),Table1[],(MATCH(Calendar!$A18,DB!$1:$1,0)),FALSE)),"")</f>
        <v/>
      </c>
      <c r="INW18" s="28" t="str">
        <f>IFERROR(IF(IOF3="No",IF(VLOOKUP(DATE($K$1,$K$2,INW$4),Table1[],(MATCH(Calendar!$A18,DB!$1:$1,0)),FALSE)&gt;=5,"Good","Bad"),VLOOKUP(DATE($K$1,$K$2,INW$4),Table1[],(MATCH(Calendar!$A18,DB!$1:$1,0)),FALSE)),"")</f>
        <v/>
      </c>
      <c r="INX18" s="28" t="str">
        <f>IFERROR(IF(IOG3="No",IF(VLOOKUP(DATE($K$1,$K$2,INX$4),Table1[],(MATCH(Calendar!$A18,DB!$1:$1,0)),FALSE)&gt;=5,"Good","Bad"),VLOOKUP(DATE($K$1,$K$2,INX$4),Table1[],(MATCH(Calendar!$A18,DB!$1:$1,0)),FALSE)),"")</f>
        <v/>
      </c>
      <c r="INY18" s="28" t="str">
        <f>IFERROR(IF(IOH3="No",IF(VLOOKUP(DATE($K$1,$K$2,INY$4),Table1[],(MATCH(Calendar!$A18,DB!$1:$1,0)),FALSE)&gt;=5,"Good","Bad"),VLOOKUP(DATE($K$1,$K$2,INY$4),Table1[],(MATCH(Calendar!$A18,DB!$1:$1,0)),FALSE)),"")</f>
        <v/>
      </c>
      <c r="INZ18" s="28" t="str">
        <f>IFERROR(IF(IOI3="No",IF(VLOOKUP(DATE($K$1,$K$2,INZ$4),Table1[],(MATCH(Calendar!$A18,DB!$1:$1,0)),FALSE)&gt;=5,"Good","Bad"),VLOOKUP(DATE($K$1,$K$2,INZ$4),Table1[],(MATCH(Calendar!$A18,DB!$1:$1,0)),FALSE)),"")</f>
        <v/>
      </c>
      <c r="IOA18" s="28" t="str">
        <f>IFERROR(IF(IOJ3="No",IF(VLOOKUP(DATE($K$1,$K$2,IOA$4),Table1[],(MATCH(Calendar!$A18,DB!$1:$1,0)),FALSE)&gt;=5,"Good","Bad"),VLOOKUP(DATE($K$1,$K$2,IOA$4),Table1[],(MATCH(Calendar!$A18,DB!$1:$1,0)),FALSE)),"")</f>
        <v/>
      </c>
      <c r="IOB18" s="28" t="str">
        <f>IFERROR(IF(IOK3="No",IF(VLOOKUP(DATE($K$1,$K$2,IOB$4),Table1[],(MATCH(Calendar!$A18,DB!$1:$1,0)),FALSE)&gt;=5,"Good","Bad"),VLOOKUP(DATE($K$1,$K$2,IOB$4),Table1[],(MATCH(Calendar!$A18,DB!$1:$1,0)),FALSE)),"")</f>
        <v/>
      </c>
      <c r="IOC18" s="28" t="str">
        <f>IFERROR(IF(IOL3="No",IF(VLOOKUP(DATE($K$1,$K$2,IOC$4),Table1[],(MATCH(Calendar!$A18,DB!$1:$1,0)),FALSE)&gt;=5,"Good","Bad"),VLOOKUP(DATE($K$1,$K$2,IOC$4),Table1[],(MATCH(Calendar!$A18,DB!$1:$1,0)),FALSE)),"")</f>
        <v/>
      </c>
      <c r="IOD18" s="28" t="str">
        <f>IFERROR(IF(IOM3="No",IF(VLOOKUP(DATE($K$1,$K$2,IOD$4),Table1[],(MATCH(Calendar!$A18,DB!$1:$1,0)),FALSE)&gt;=5,"Good","Bad"),VLOOKUP(DATE($K$1,$K$2,IOD$4),Table1[],(MATCH(Calendar!$A18,DB!$1:$1,0)),FALSE)),"")</f>
        <v/>
      </c>
      <c r="IOE18" s="28" t="str">
        <f>IFERROR(IF(ION3="No",IF(VLOOKUP(DATE($K$1,$K$2,IOE$4),Table1[],(MATCH(Calendar!$A18,DB!$1:$1,0)),FALSE)&gt;=5,"Good","Bad"),VLOOKUP(DATE($K$1,$K$2,IOE$4),Table1[],(MATCH(Calendar!$A18,DB!$1:$1,0)),FALSE)),"")</f>
        <v/>
      </c>
      <c r="IOF18" s="28" t="str">
        <f>IFERROR(IF(IOO3="No",IF(VLOOKUP(DATE($K$1,$K$2,IOF$4),Table1[],(MATCH(Calendar!$A18,DB!$1:$1,0)),FALSE)&gt;=5,"Good","Bad"),VLOOKUP(DATE($K$1,$K$2,IOF$4),Table1[],(MATCH(Calendar!$A18,DB!$1:$1,0)),FALSE)),"")</f>
        <v/>
      </c>
      <c r="IOG18" s="28" t="str">
        <f>IFERROR(IF(IOP3="No",IF(VLOOKUP(DATE($K$1,$K$2,IOG$4),Table1[],(MATCH(Calendar!$A18,DB!$1:$1,0)),FALSE)&gt;=5,"Good","Bad"),VLOOKUP(DATE($K$1,$K$2,IOG$4),Table1[],(MATCH(Calendar!$A18,DB!$1:$1,0)),FALSE)),"")</f>
        <v/>
      </c>
      <c r="IOH18" s="28" t="str">
        <f>IFERROR(IF(IOQ3="No",IF(VLOOKUP(DATE($K$1,$K$2,IOH$4),Table1[],(MATCH(Calendar!$A18,DB!$1:$1,0)),FALSE)&gt;=5,"Good","Bad"),VLOOKUP(DATE($K$1,$K$2,IOH$4),Table1[],(MATCH(Calendar!$A18,DB!$1:$1,0)),FALSE)),"")</f>
        <v/>
      </c>
      <c r="IOI18" s="28" t="str">
        <f>IFERROR(IF(IOR3="No",IF(VLOOKUP(DATE($K$1,$K$2,IOI$4),Table1[],(MATCH(Calendar!$A18,DB!$1:$1,0)),FALSE)&gt;=5,"Good","Bad"),VLOOKUP(DATE($K$1,$K$2,IOI$4),Table1[],(MATCH(Calendar!$A18,DB!$1:$1,0)),FALSE)),"")</f>
        <v/>
      </c>
      <c r="IOJ18" s="28" t="str">
        <f>IFERROR(IF(IOS3="No",IF(VLOOKUP(DATE($K$1,$K$2,IOJ$4),Table1[],(MATCH(Calendar!$A18,DB!$1:$1,0)),FALSE)&gt;=5,"Good","Bad"),VLOOKUP(DATE($K$1,$K$2,IOJ$4),Table1[],(MATCH(Calendar!$A18,DB!$1:$1,0)),FALSE)),"")</f>
        <v/>
      </c>
      <c r="IOK18" s="28" t="str">
        <f>IFERROR(IF(IOT3="No",IF(VLOOKUP(DATE($K$1,$K$2,IOK$4),Table1[],(MATCH(Calendar!$A18,DB!$1:$1,0)),FALSE)&gt;=5,"Good","Bad"),VLOOKUP(DATE($K$1,$K$2,IOK$4),Table1[],(MATCH(Calendar!$A18,DB!$1:$1,0)),FALSE)),"")</f>
        <v/>
      </c>
      <c r="IOL18" s="28" t="str">
        <f>IFERROR(IF(IOU3="No",IF(VLOOKUP(DATE($K$1,$K$2,IOL$4),Table1[],(MATCH(Calendar!$A18,DB!$1:$1,0)),FALSE)&gt;=5,"Good","Bad"),VLOOKUP(DATE($K$1,$K$2,IOL$4),Table1[],(MATCH(Calendar!$A18,DB!$1:$1,0)),FALSE)),"")</f>
        <v/>
      </c>
      <c r="IOM18" s="28" t="str">
        <f>IFERROR(IF(IOV3="No",IF(VLOOKUP(DATE($K$1,$K$2,IOM$4),Table1[],(MATCH(Calendar!$A18,DB!$1:$1,0)),FALSE)&gt;=5,"Good","Bad"),VLOOKUP(DATE($K$1,$K$2,IOM$4),Table1[],(MATCH(Calendar!$A18,DB!$1:$1,0)),FALSE)),"")</f>
        <v/>
      </c>
      <c r="ION18" s="28" t="str">
        <f>IFERROR(IF(IOW3="No",IF(VLOOKUP(DATE($K$1,$K$2,ION$4),Table1[],(MATCH(Calendar!$A18,DB!$1:$1,0)),FALSE)&gt;=5,"Good","Bad"),VLOOKUP(DATE($K$1,$K$2,ION$4),Table1[],(MATCH(Calendar!$A18,DB!$1:$1,0)),FALSE)),"")</f>
        <v/>
      </c>
      <c r="IOO18" s="28" t="str">
        <f>IFERROR(IF(IOX3="No",IF(VLOOKUP(DATE($K$1,$K$2,IOO$4),Table1[],(MATCH(Calendar!$A18,DB!$1:$1,0)),FALSE)&gt;=5,"Good","Bad"),VLOOKUP(DATE($K$1,$K$2,IOO$4),Table1[],(MATCH(Calendar!$A18,DB!$1:$1,0)),FALSE)),"")</f>
        <v/>
      </c>
      <c r="IOP18" s="28" t="str">
        <f>IFERROR(IF(IOY3="No",IF(VLOOKUP(DATE($K$1,$K$2,IOP$4),Table1[],(MATCH(Calendar!$A18,DB!$1:$1,0)),FALSE)&gt;=5,"Good","Bad"),VLOOKUP(DATE($K$1,$K$2,IOP$4),Table1[],(MATCH(Calendar!$A18,DB!$1:$1,0)),FALSE)),"")</f>
        <v/>
      </c>
      <c r="IOQ18" s="28" t="str">
        <f>IFERROR(IF(IOZ3="No",IF(VLOOKUP(DATE($K$1,$K$2,IOQ$4),Table1[],(MATCH(Calendar!$A18,DB!$1:$1,0)),FALSE)&gt;=5,"Good","Bad"),VLOOKUP(DATE($K$1,$K$2,IOQ$4),Table1[],(MATCH(Calendar!$A18,DB!$1:$1,0)),FALSE)),"")</f>
        <v/>
      </c>
      <c r="IOR18" s="28" t="str">
        <f>IFERROR(IF(IPA3="No",IF(VLOOKUP(DATE($K$1,$K$2,IOR$4),Table1[],(MATCH(Calendar!$A18,DB!$1:$1,0)),FALSE)&gt;=5,"Good","Bad"),VLOOKUP(DATE($K$1,$K$2,IOR$4),Table1[],(MATCH(Calendar!$A18,DB!$1:$1,0)),FALSE)),"")</f>
        <v/>
      </c>
      <c r="IOS18" s="28" t="str">
        <f>IFERROR(IF(IPB3="No",IF(VLOOKUP(DATE($K$1,$K$2,IOS$4),Table1[],(MATCH(Calendar!$A18,DB!$1:$1,0)),FALSE)&gt;=5,"Good","Bad"),VLOOKUP(DATE($K$1,$K$2,IOS$4),Table1[],(MATCH(Calendar!$A18,DB!$1:$1,0)),FALSE)),"")</f>
        <v/>
      </c>
      <c r="IOT18" s="28" t="str">
        <f>IFERROR(IF(IPC3="No",IF(VLOOKUP(DATE($K$1,$K$2,IOT$4),Table1[],(MATCH(Calendar!$A18,DB!$1:$1,0)),FALSE)&gt;=5,"Good","Bad"),VLOOKUP(DATE($K$1,$K$2,IOT$4),Table1[],(MATCH(Calendar!$A18,DB!$1:$1,0)),FALSE)),"")</f>
        <v/>
      </c>
      <c r="IOU18" s="28" t="str">
        <f>IFERROR(IF(IPD3="No",IF(VLOOKUP(DATE($K$1,$K$2,IOU$4),Table1[],(MATCH(Calendar!$A18,DB!$1:$1,0)),FALSE)&gt;=5,"Good","Bad"),VLOOKUP(DATE($K$1,$K$2,IOU$4),Table1[],(MATCH(Calendar!$A18,DB!$1:$1,0)),FALSE)),"")</f>
        <v/>
      </c>
      <c r="IOV18" s="28" t="str">
        <f>IFERROR(IF(IPE3="No",IF(VLOOKUP(DATE($K$1,$K$2,IOV$4),Table1[],(MATCH(Calendar!$A18,DB!$1:$1,0)),FALSE)&gt;=5,"Good","Bad"),VLOOKUP(DATE($K$1,$K$2,IOV$4),Table1[],(MATCH(Calendar!$A18,DB!$1:$1,0)),FALSE)),"")</f>
        <v/>
      </c>
      <c r="IOW18" s="28" t="str">
        <f>IFERROR(IF(IPF3="No",IF(VLOOKUP(DATE($K$1,$K$2,IOW$4),Table1[],(MATCH(Calendar!$A18,DB!$1:$1,0)),FALSE)&gt;=5,"Good","Bad"),VLOOKUP(DATE($K$1,$K$2,IOW$4),Table1[],(MATCH(Calendar!$A18,DB!$1:$1,0)),FALSE)),"")</f>
        <v/>
      </c>
      <c r="IOX18" s="28" t="str">
        <f>IFERROR(IF(IPG3="No",IF(VLOOKUP(DATE($K$1,$K$2,IOX$4),Table1[],(MATCH(Calendar!$A18,DB!$1:$1,0)),FALSE)&gt;=5,"Good","Bad"),VLOOKUP(DATE($K$1,$K$2,IOX$4),Table1[],(MATCH(Calendar!$A18,DB!$1:$1,0)),FALSE)),"")</f>
        <v/>
      </c>
      <c r="IOY18" s="28" t="str">
        <f>IFERROR(IF(IPH3="No",IF(VLOOKUP(DATE($K$1,$K$2,IOY$4),Table1[],(MATCH(Calendar!$A18,DB!$1:$1,0)),FALSE)&gt;=5,"Good","Bad"),VLOOKUP(DATE($K$1,$K$2,IOY$4),Table1[],(MATCH(Calendar!$A18,DB!$1:$1,0)),FALSE)),"")</f>
        <v/>
      </c>
      <c r="IOZ18" s="28" t="str">
        <f>IFERROR(IF(IPI3="No",IF(VLOOKUP(DATE($K$1,$K$2,IOZ$4),Table1[],(MATCH(Calendar!$A18,DB!$1:$1,0)),FALSE)&gt;=5,"Good","Bad"),VLOOKUP(DATE($K$1,$K$2,IOZ$4),Table1[],(MATCH(Calendar!$A18,DB!$1:$1,0)),FALSE)),"")</f>
        <v/>
      </c>
      <c r="IPA18" s="28" t="str">
        <f>IFERROR(IF(IPJ3="No",IF(VLOOKUP(DATE($K$1,$K$2,IPA$4),Table1[],(MATCH(Calendar!$A18,DB!$1:$1,0)),FALSE)&gt;=5,"Good","Bad"),VLOOKUP(DATE($K$1,$K$2,IPA$4),Table1[],(MATCH(Calendar!$A18,DB!$1:$1,0)),FALSE)),"")</f>
        <v/>
      </c>
      <c r="IPB18" s="28" t="str">
        <f>IFERROR(IF(IPK3="No",IF(VLOOKUP(DATE($K$1,$K$2,IPB$4),Table1[],(MATCH(Calendar!$A18,DB!$1:$1,0)),FALSE)&gt;=5,"Good","Bad"),VLOOKUP(DATE($K$1,$K$2,IPB$4),Table1[],(MATCH(Calendar!$A18,DB!$1:$1,0)),FALSE)),"")</f>
        <v/>
      </c>
      <c r="IPC18" s="28" t="str">
        <f>IFERROR(IF(IPL3="No",IF(VLOOKUP(DATE($K$1,$K$2,IPC$4),Table1[],(MATCH(Calendar!$A18,DB!$1:$1,0)),FALSE)&gt;=5,"Good","Bad"),VLOOKUP(DATE($K$1,$K$2,IPC$4),Table1[],(MATCH(Calendar!$A18,DB!$1:$1,0)),FALSE)),"")</f>
        <v/>
      </c>
      <c r="IPD18" s="28" t="str">
        <f>IFERROR(IF(IPM3="No",IF(VLOOKUP(DATE($K$1,$K$2,IPD$4),Table1[],(MATCH(Calendar!$A18,DB!$1:$1,0)),FALSE)&gt;=5,"Good","Bad"),VLOOKUP(DATE($K$1,$K$2,IPD$4),Table1[],(MATCH(Calendar!$A18,DB!$1:$1,0)),FALSE)),"")</f>
        <v/>
      </c>
      <c r="IPE18" s="28" t="str">
        <f>IFERROR(IF(IPN3="No",IF(VLOOKUP(DATE($K$1,$K$2,IPE$4),Table1[],(MATCH(Calendar!$A18,DB!$1:$1,0)),FALSE)&gt;=5,"Good","Bad"),VLOOKUP(DATE($K$1,$K$2,IPE$4),Table1[],(MATCH(Calendar!$A18,DB!$1:$1,0)),FALSE)),"")</f>
        <v/>
      </c>
      <c r="IPF18" s="28" t="str">
        <f>IFERROR(IF(IPO3="No",IF(VLOOKUP(DATE($K$1,$K$2,IPF$4),Table1[],(MATCH(Calendar!$A18,DB!$1:$1,0)),FALSE)&gt;=5,"Good","Bad"),VLOOKUP(DATE($K$1,$K$2,IPF$4),Table1[],(MATCH(Calendar!$A18,DB!$1:$1,0)),FALSE)),"")</f>
        <v/>
      </c>
      <c r="IPG18" s="28" t="str">
        <f>IFERROR(IF(IPP3="No",IF(VLOOKUP(DATE($K$1,$K$2,IPG$4),Table1[],(MATCH(Calendar!$A18,DB!$1:$1,0)),FALSE)&gt;=5,"Good","Bad"),VLOOKUP(DATE($K$1,$K$2,IPG$4),Table1[],(MATCH(Calendar!$A18,DB!$1:$1,0)),FALSE)),"")</f>
        <v/>
      </c>
      <c r="IPH18" s="28" t="str">
        <f>IFERROR(IF(IPQ3="No",IF(VLOOKUP(DATE($K$1,$K$2,IPH$4),Table1[],(MATCH(Calendar!$A18,DB!$1:$1,0)),FALSE)&gt;=5,"Good","Bad"),VLOOKUP(DATE($K$1,$K$2,IPH$4),Table1[],(MATCH(Calendar!$A18,DB!$1:$1,0)),FALSE)),"")</f>
        <v/>
      </c>
      <c r="IPI18" s="28" t="str">
        <f>IFERROR(IF(IPR3="No",IF(VLOOKUP(DATE($K$1,$K$2,IPI$4),Table1[],(MATCH(Calendar!$A18,DB!$1:$1,0)),FALSE)&gt;=5,"Good","Bad"),VLOOKUP(DATE($K$1,$K$2,IPI$4),Table1[],(MATCH(Calendar!$A18,DB!$1:$1,0)),FALSE)),"")</f>
        <v/>
      </c>
      <c r="IPJ18" s="28" t="str">
        <f>IFERROR(IF(IPS3="No",IF(VLOOKUP(DATE($K$1,$K$2,IPJ$4),Table1[],(MATCH(Calendar!$A18,DB!$1:$1,0)),FALSE)&gt;=5,"Good","Bad"),VLOOKUP(DATE($K$1,$K$2,IPJ$4),Table1[],(MATCH(Calendar!$A18,DB!$1:$1,0)),FALSE)),"")</f>
        <v/>
      </c>
      <c r="IPK18" s="28" t="str">
        <f>IFERROR(IF(IPT3="No",IF(VLOOKUP(DATE($K$1,$K$2,IPK$4),Table1[],(MATCH(Calendar!$A18,DB!$1:$1,0)),FALSE)&gt;=5,"Good","Bad"),VLOOKUP(DATE($K$1,$K$2,IPK$4),Table1[],(MATCH(Calendar!$A18,DB!$1:$1,0)),FALSE)),"")</f>
        <v/>
      </c>
      <c r="IPL18" s="28" t="str">
        <f>IFERROR(IF(IPU3="No",IF(VLOOKUP(DATE($K$1,$K$2,IPL$4),Table1[],(MATCH(Calendar!$A18,DB!$1:$1,0)),FALSE)&gt;=5,"Good","Bad"),VLOOKUP(DATE($K$1,$K$2,IPL$4),Table1[],(MATCH(Calendar!$A18,DB!$1:$1,0)),FALSE)),"")</f>
        <v/>
      </c>
      <c r="IPM18" s="28" t="str">
        <f>IFERROR(IF(IPV3="No",IF(VLOOKUP(DATE($K$1,$K$2,IPM$4),Table1[],(MATCH(Calendar!$A18,DB!$1:$1,0)),FALSE)&gt;=5,"Good","Bad"),VLOOKUP(DATE($K$1,$K$2,IPM$4),Table1[],(MATCH(Calendar!$A18,DB!$1:$1,0)),FALSE)),"")</f>
        <v/>
      </c>
      <c r="IPN18" s="28" t="str">
        <f>IFERROR(IF(IPW3="No",IF(VLOOKUP(DATE($K$1,$K$2,IPN$4),Table1[],(MATCH(Calendar!$A18,DB!$1:$1,0)),FALSE)&gt;=5,"Good","Bad"),VLOOKUP(DATE($K$1,$K$2,IPN$4),Table1[],(MATCH(Calendar!$A18,DB!$1:$1,0)),FALSE)),"")</f>
        <v/>
      </c>
      <c r="IPO18" s="28" t="str">
        <f>IFERROR(IF(IPX3="No",IF(VLOOKUP(DATE($K$1,$K$2,IPO$4),Table1[],(MATCH(Calendar!$A18,DB!$1:$1,0)),FALSE)&gt;=5,"Good","Bad"),VLOOKUP(DATE($K$1,$K$2,IPO$4),Table1[],(MATCH(Calendar!$A18,DB!$1:$1,0)),FALSE)),"")</f>
        <v/>
      </c>
      <c r="IPP18" s="28" t="str">
        <f>IFERROR(IF(IPY3="No",IF(VLOOKUP(DATE($K$1,$K$2,IPP$4),Table1[],(MATCH(Calendar!$A18,DB!$1:$1,0)),FALSE)&gt;=5,"Good","Bad"),VLOOKUP(DATE($K$1,$K$2,IPP$4),Table1[],(MATCH(Calendar!$A18,DB!$1:$1,0)),FALSE)),"")</f>
        <v/>
      </c>
      <c r="IPQ18" s="28" t="str">
        <f>IFERROR(IF(IPZ3="No",IF(VLOOKUP(DATE($K$1,$K$2,IPQ$4),Table1[],(MATCH(Calendar!$A18,DB!$1:$1,0)),FALSE)&gt;=5,"Good","Bad"),VLOOKUP(DATE($K$1,$K$2,IPQ$4),Table1[],(MATCH(Calendar!$A18,DB!$1:$1,0)),FALSE)),"")</f>
        <v/>
      </c>
      <c r="IPR18" s="28" t="str">
        <f>IFERROR(IF(IQA3="No",IF(VLOOKUP(DATE($K$1,$K$2,IPR$4),Table1[],(MATCH(Calendar!$A18,DB!$1:$1,0)),FALSE)&gt;=5,"Good","Bad"),VLOOKUP(DATE($K$1,$K$2,IPR$4),Table1[],(MATCH(Calendar!$A18,DB!$1:$1,0)),FALSE)),"")</f>
        <v/>
      </c>
      <c r="IPS18" s="28" t="str">
        <f>IFERROR(IF(IQB3="No",IF(VLOOKUP(DATE($K$1,$K$2,IPS$4),Table1[],(MATCH(Calendar!$A18,DB!$1:$1,0)),FALSE)&gt;=5,"Good","Bad"),VLOOKUP(DATE($K$1,$K$2,IPS$4),Table1[],(MATCH(Calendar!$A18,DB!$1:$1,0)),FALSE)),"")</f>
        <v/>
      </c>
      <c r="IPT18" s="28" t="str">
        <f>IFERROR(IF(IQC3="No",IF(VLOOKUP(DATE($K$1,$K$2,IPT$4),Table1[],(MATCH(Calendar!$A18,DB!$1:$1,0)),FALSE)&gt;=5,"Good","Bad"),VLOOKUP(DATE($K$1,$K$2,IPT$4),Table1[],(MATCH(Calendar!$A18,DB!$1:$1,0)),FALSE)),"")</f>
        <v/>
      </c>
      <c r="IPU18" s="28" t="str">
        <f>IFERROR(IF(IQD3="No",IF(VLOOKUP(DATE($K$1,$K$2,IPU$4),Table1[],(MATCH(Calendar!$A18,DB!$1:$1,0)),FALSE)&gt;=5,"Good","Bad"),VLOOKUP(DATE($K$1,$K$2,IPU$4),Table1[],(MATCH(Calendar!$A18,DB!$1:$1,0)),FALSE)),"")</f>
        <v/>
      </c>
      <c r="IPV18" s="28" t="str">
        <f>IFERROR(IF(IQE3="No",IF(VLOOKUP(DATE($K$1,$K$2,IPV$4),Table1[],(MATCH(Calendar!$A18,DB!$1:$1,0)),FALSE)&gt;=5,"Good","Bad"),VLOOKUP(DATE($K$1,$K$2,IPV$4),Table1[],(MATCH(Calendar!$A18,DB!$1:$1,0)),FALSE)),"")</f>
        <v/>
      </c>
      <c r="IPW18" s="28" t="str">
        <f>IFERROR(IF(IQF3="No",IF(VLOOKUP(DATE($K$1,$K$2,IPW$4),Table1[],(MATCH(Calendar!$A18,DB!$1:$1,0)),FALSE)&gt;=5,"Good","Bad"),VLOOKUP(DATE($K$1,$K$2,IPW$4),Table1[],(MATCH(Calendar!$A18,DB!$1:$1,0)),FALSE)),"")</f>
        <v/>
      </c>
      <c r="IPX18" s="28" t="str">
        <f>IFERROR(IF(IQG3="No",IF(VLOOKUP(DATE($K$1,$K$2,IPX$4),Table1[],(MATCH(Calendar!$A18,DB!$1:$1,0)),FALSE)&gt;=5,"Good","Bad"),VLOOKUP(DATE($K$1,$K$2,IPX$4),Table1[],(MATCH(Calendar!$A18,DB!$1:$1,0)),FALSE)),"")</f>
        <v/>
      </c>
      <c r="IPY18" s="28" t="str">
        <f>IFERROR(IF(IQH3="No",IF(VLOOKUP(DATE($K$1,$K$2,IPY$4),Table1[],(MATCH(Calendar!$A18,DB!$1:$1,0)),FALSE)&gt;=5,"Good","Bad"),VLOOKUP(DATE($K$1,$K$2,IPY$4),Table1[],(MATCH(Calendar!$A18,DB!$1:$1,0)),FALSE)),"")</f>
        <v/>
      </c>
      <c r="IPZ18" s="28" t="str">
        <f>IFERROR(IF(IQI3="No",IF(VLOOKUP(DATE($K$1,$K$2,IPZ$4),Table1[],(MATCH(Calendar!$A18,DB!$1:$1,0)),FALSE)&gt;=5,"Good","Bad"),VLOOKUP(DATE($K$1,$K$2,IPZ$4),Table1[],(MATCH(Calendar!$A18,DB!$1:$1,0)),FALSE)),"")</f>
        <v/>
      </c>
      <c r="IQA18" s="28" t="str">
        <f>IFERROR(IF(IQJ3="No",IF(VLOOKUP(DATE($K$1,$K$2,IQA$4),Table1[],(MATCH(Calendar!$A18,DB!$1:$1,0)),FALSE)&gt;=5,"Good","Bad"),VLOOKUP(DATE($K$1,$K$2,IQA$4),Table1[],(MATCH(Calendar!$A18,DB!$1:$1,0)),FALSE)),"")</f>
        <v/>
      </c>
      <c r="IQB18" s="28" t="str">
        <f>IFERROR(IF(IQK3="No",IF(VLOOKUP(DATE($K$1,$K$2,IQB$4),Table1[],(MATCH(Calendar!$A18,DB!$1:$1,0)),FALSE)&gt;=5,"Good","Bad"),VLOOKUP(DATE($K$1,$K$2,IQB$4),Table1[],(MATCH(Calendar!$A18,DB!$1:$1,0)),FALSE)),"")</f>
        <v/>
      </c>
      <c r="IQC18" s="28" t="str">
        <f>IFERROR(IF(IQL3="No",IF(VLOOKUP(DATE($K$1,$K$2,IQC$4),Table1[],(MATCH(Calendar!$A18,DB!$1:$1,0)),FALSE)&gt;=5,"Good","Bad"),VLOOKUP(DATE($K$1,$K$2,IQC$4),Table1[],(MATCH(Calendar!$A18,DB!$1:$1,0)),FALSE)),"")</f>
        <v/>
      </c>
      <c r="IQD18" s="28" t="str">
        <f>IFERROR(IF(IQM3="No",IF(VLOOKUP(DATE($K$1,$K$2,IQD$4),Table1[],(MATCH(Calendar!$A18,DB!$1:$1,0)),FALSE)&gt;=5,"Good","Bad"),VLOOKUP(DATE($K$1,$K$2,IQD$4),Table1[],(MATCH(Calendar!$A18,DB!$1:$1,0)),FALSE)),"")</f>
        <v/>
      </c>
      <c r="IQE18" s="28" t="str">
        <f>IFERROR(IF(IQN3="No",IF(VLOOKUP(DATE($K$1,$K$2,IQE$4),Table1[],(MATCH(Calendar!$A18,DB!$1:$1,0)),FALSE)&gt;=5,"Good","Bad"),VLOOKUP(DATE($K$1,$K$2,IQE$4),Table1[],(MATCH(Calendar!$A18,DB!$1:$1,0)),FALSE)),"")</f>
        <v/>
      </c>
      <c r="IQF18" s="28" t="str">
        <f>IFERROR(IF(IQO3="No",IF(VLOOKUP(DATE($K$1,$K$2,IQF$4),Table1[],(MATCH(Calendar!$A18,DB!$1:$1,0)),FALSE)&gt;=5,"Good","Bad"),VLOOKUP(DATE($K$1,$K$2,IQF$4),Table1[],(MATCH(Calendar!$A18,DB!$1:$1,0)),FALSE)),"")</f>
        <v/>
      </c>
      <c r="IQG18" s="28" t="str">
        <f>IFERROR(IF(IQP3="No",IF(VLOOKUP(DATE($K$1,$K$2,IQG$4),Table1[],(MATCH(Calendar!$A18,DB!$1:$1,0)),FALSE)&gt;=5,"Good","Bad"),VLOOKUP(DATE($K$1,$K$2,IQG$4),Table1[],(MATCH(Calendar!$A18,DB!$1:$1,0)),FALSE)),"")</f>
        <v/>
      </c>
      <c r="IQH18" s="28" t="str">
        <f>IFERROR(IF(IQQ3="No",IF(VLOOKUP(DATE($K$1,$K$2,IQH$4),Table1[],(MATCH(Calendar!$A18,DB!$1:$1,0)),FALSE)&gt;=5,"Good","Bad"),VLOOKUP(DATE($K$1,$K$2,IQH$4),Table1[],(MATCH(Calendar!$A18,DB!$1:$1,0)),FALSE)),"")</f>
        <v/>
      </c>
      <c r="IQI18" s="28" t="str">
        <f>IFERROR(IF(IQR3="No",IF(VLOOKUP(DATE($K$1,$K$2,IQI$4),Table1[],(MATCH(Calendar!$A18,DB!$1:$1,0)),FALSE)&gt;=5,"Good","Bad"),VLOOKUP(DATE($K$1,$K$2,IQI$4),Table1[],(MATCH(Calendar!$A18,DB!$1:$1,0)),FALSE)),"")</f>
        <v/>
      </c>
      <c r="IQJ18" s="28" t="str">
        <f>IFERROR(IF(IQS3="No",IF(VLOOKUP(DATE($K$1,$K$2,IQJ$4),Table1[],(MATCH(Calendar!$A18,DB!$1:$1,0)),FALSE)&gt;=5,"Good","Bad"),VLOOKUP(DATE($K$1,$K$2,IQJ$4),Table1[],(MATCH(Calendar!$A18,DB!$1:$1,0)),FALSE)),"")</f>
        <v/>
      </c>
      <c r="IQK18" s="28" t="str">
        <f>IFERROR(IF(IQT3="No",IF(VLOOKUP(DATE($K$1,$K$2,IQK$4),Table1[],(MATCH(Calendar!$A18,DB!$1:$1,0)),FALSE)&gt;=5,"Good","Bad"),VLOOKUP(DATE($K$1,$K$2,IQK$4),Table1[],(MATCH(Calendar!$A18,DB!$1:$1,0)),FALSE)),"")</f>
        <v/>
      </c>
      <c r="IQL18" s="28" t="str">
        <f>IFERROR(IF(IQU3="No",IF(VLOOKUP(DATE($K$1,$K$2,IQL$4),Table1[],(MATCH(Calendar!$A18,DB!$1:$1,0)),FALSE)&gt;=5,"Good","Bad"),VLOOKUP(DATE($K$1,$K$2,IQL$4),Table1[],(MATCH(Calendar!$A18,DB!$1:$1,0)),FALSE)),"")</f>
        <v/>
      </c>
      <c r="IQM18" s="28" t="str">
        <f>IFERROR(IF(IQV3="No",IF(VLOOKUP(DATE($K$1,$K$2,IQM$4),Table1[],(MATCH(Calendar!$A18,DB!$1:$1,0)),FALSE)&gt;=5,"Good","Bad"),VLOOKUP(DATE($K$1,$K$2,IQM$4),Table1[],(MATCH(Calendar!$A18,DB!$1:$1,0)),FALSE)),"")</f>
        <v/>
      </c>
      <c r="IQN18" s="28" t="str">
        <f>IFERROR(IF(IQW3="No",IF(VLOOKUP(DATE($K$1,$K$2,IQN$4),Table1[],(MATCH(Calendar!$A18,DB!$1:$1,0)),FALSE)&gt;=5,"Good","Bad"),VLOOKUP(DATE($K$1,$K$2,IQN$4),Table1[],(MATCH(Calendar!$A18,DB!$1:$1,0)),FALSE)),"")</f>
        <v/>
      </c>
      <c r="IQO18" s="28" t="str">
        <f>IFERROR(IF(IQX3="No",IF(VLOOKUP(DATE($K$1,$K$2,IQO$4),Table1[],(MATCH(Calendar!$A18,DB!$1:$1,0)),FALSE)&gt;=5,"Good","Bad"),VLOOKUP(DATE($K$1,$K$2,IQO$4),Table1[],(MATCH(Calendar!$A18,DB!$1:$1,0)),FALSE)),"")</f>
        <v/>
      </c>
      <c r="IQP18" s="28" t="str">
        <f>IFERROR(IF(IQY3="No",IF(VLOOKUP(DATE($K$1,$K$2,IQP$4),Table1[],(MATCH(Calendar!$A18,DB!$1:$1,0)),FALSE)&gt;=5,"Good","Bad"),VLOOKUP(DATE($K$1,$K$2,IQP$4),Table1[],(MATCH(Calendar!$A18,DB!$1:$1,0)),FALSE)),"")</f>
        <v/>
      </c>
      <c r="IQQ18" s="28" t="str">
        <f>IFERROR(IF(IQZ3="No",IF(VLOOKUP(DATE($K$1,$K$2,IQQ$4),Table1[],(MATCH(Calendar!$A18,DB!$1:$1,0)),FALSE)&gt;=5,"Good","Bad"),VLOOKUP(DATE($K$1,$K$2,IQQ$4),Table1[],(MATCH(Calendar!$A18,DB!$1:$1,0)),FALSE)),"")</f>
        <v/>
      </c>
      <c r="IQR18" s="28" t="str">
        <f>IFERROR(IF(IRA3="No",IF(VLOOKUP(DATE($K$1,$K$2,IQR$4),Table1[],(MATCH(Calendar!$A18,DB!$1:$1,0)),FALSE)&gt;=5,"Good","Bad"),VLOOKUP(DATE($K$1,$K$2,IQR$4),Table1[],(MATCH(Calendar!$A18,DB!$1:$1,0)),FALSE)),"")</f>
        <v/>
      </c>
      <c r="IQS18" s="28" t="str">
        <f>IFERROR(IF(IRB3="No",IF(VLOOKUP(DATE($K$1,$K$2,IQS$4),Table1[],(MATCH(Calendar!$A18,DB!$1:$1,0)),FALSE)&gt;=5,"Good","Bad"),VLOOKUP(DATE($K$1,$K$2,IQS$4),Table1[],(MATCH(Calendar!$A18,DB!$1:$1,0)),FALSE)),"")</f>
        <v/>
      </c>
      <c r="IQT18" s="28" t="str">
        <f>IFERROR(IF(IRC3="No",IF(VLOOKUP(DATE($K$1,$K$2,IQT$4),Table1[],(MATCH(Calendar!$A18,DB!$1:$1,0)),FALSE)&gt;=5,"Good","Bad"),VLOOKUP(DATE($K$1,$K$2,IQT$4),Table1[],(MATCH(Calendar!$A18,DB!$1:$1,0)),FALSE)),"")</f>
        <v/>
      </c>
      <c r="IQU18" s="28" t="str">
        <f>IFERROR(IF(IRD3="No",IF(VLOOKUP(DATE($K$1,$K$2,IQU$4),Table1[],(MATCH(Calendar!$A18,DB!$1:$1,0)),FALSE)&gt;=5,"Good","Bad"),VLOOKUP(DATE($K$1,$K$2,IQU$4),Table1[],(MATCH(Calendar!$A18,DB!$1:$1,0)),FALSE)),"")</f>
        <v/>
      </c>
      <c r="IQV18" s="28" t="str">
        <f>IFERROR(IF(IRE3="No",IF(VLOOKUP(DATE($K$1,$K$2,IQV$4),Table1[],(MATCH(Calendar!$A18,DB!$1:$1,0)),FALSE)&gt;=5,"Good","Bad"),VLOOKUP(DATE($K$1,$K$2,IQV$4),Table1[],(MATCH(Calendar!$A18,DB!$1:$1,0)),FALSE)),"")</f>
        <v/>
      </c>
      <c r="IQW18" s="28" t="str">
        <f>IFERROR(IF(IRF3="No",IF(VLOOKUP(DATE($K$1,$K$2,IQW$4),Table1[],(MATCH(Calendar!$A18,DB!$1:$1,0)),FALSE)&gt;=5,"Good","Bad"),VLOOKUP(DATE($K$1,$K$2,IQW$4),Table1[],(MATCH(Calendar!$A18,DB!$1:$1,0)),FALSE)),"")</f>
        <v/>
      </c>
      <c r="IQX18" s="28" t="str">
        <f>IFERROR(IF(IRG3="No",IF(VLOOKUP(DATE($K$1,$K$2,IQX$4),Table1[],(MATCH(Calendar!$A18,DB!$1:$1,0)),FALSE)&gt;=5,"Good","Bad"),VLOOKUP(DATE($K$1,$K$2,IQX$4),Table1[],(MATCH(Calendar!$A18,DB!$1:$1,0)),FALSE)),"")</f>
        <v/>
      </c>
      <c r="IQY18" s="28" t="str">
        <f>IFERROR(IF(IRH3="No",IF(VLOOKUP(DATE($K$1,$K$2,IQY$4),Table1[],(MATCH(Calendar!$A18,DB!$1:$1,0)),FALSE)&gt;=5,"Good","Bad"),VLOOKUP(DATE($K$1,$K$2,IQY$4),Table1[],(MATCH(Calendar!$A18,DB!$1:$1,0)),FALSE)),"")</f>
        <v/>
      </c>
      <c r="IQZ18" s="28" t="str">
        <f>IFERROR(IF(IRI3="No",IF(VLOOKUP(DATE($K$1,$K$2,IQZ$4),Table1[],(MATCH(Calendar!$A18,DB!$1:$1,0)),FALSE)&gt;=5,"Good","Bad"),VLOOKUP(DATE($K$1,$K$2,IQZ$4),Table1[],(MATCH(Calendar!$A18,DB!$1:$1,0)),FALSE)),"")</f>
        <v/>
      </c>
      <c r="IRA18" s="28" t="str">
        <f>IFERROR(IF(IRJ3="No",IF(VLOOKUP(DATE($K$1,$K$2,IRA$4),Table1[],(MATCH(Calendar!$A18,DB!$1:$1,0)),FALSE)&gt;=5,"Good","Bad"),VLOOKUP(DATE($K$1,$K$2,IRA$4),Table1[],(MATCH(Calendar!$A18,DB!$1:$1,0)),FALSE)),"")</f>
        <v/>
      </c>
      <c r="IRB18" s="28" t="str">
        <f>IFERROR(IF(IRK3="No",IF(VLOOKUP(DATE($K$1,$K$2,IRB$4),Table1[],(MATCH(Calendar!$A18,DB!$1:$1,0)),FALSE)&gt;=5,"Good","Bad"),VLOOKUP(DATE($K$1,$K$2,IRB$4),Table1[],(MATCH(Calendar!$A18,DB!$1:$1,0)),FALSE)),"")</f>
        <v/>
      </c>
      <c r="IRC18" s="28" t="str">
        <f>IFERROR(IF(IRL3="No",IF(VLOOKUP(DATE($K$1,$K$2,IRC$4),Table1[],(MATCH(Calendar!$A18,DB!$1:$1,0)),FALSE)&gt;=5,"Good","Bad"),VLOOKUP(DATE($K$1,$K$2,IRC$4),Table1[],(MATCH(Calendar!$A18,DB!$1:$1,0)),FALSE)),"")</f>
        <v/>
      </c>
      <c r="IRD18" s="28" t="str">
        <f>IFERROR(IF(IRM3="No",IF(VLOOKUP(DATE($K$1,$K$2,IRD$4),Table1[],(MATCH(Calendar!$A18,DB!$1:$1,0)),FALSE)&gt;=5,"Good","Bad"),VLOOKUP(DATE($K$1,$K$2,IRD$4),Table1[],(MATCH(Calendar!$A18,DB!$1:$1,0)),FALSE)),"")</f>
        <v/>
      </c>
      <c r="IRE18" s="28" t="str">
        <f>IFERROR(IF(IRN3="No",IF(VLOOKUP(DATE($K$1,$K$2,IRE$4),Table1[],(MATCH(Calendar!$A18,DB!$1:$1,0)),FALSE)&gt;=5,"Good","Bad"),VLOOKUP(DATE($K$1,$K$2,IRE$4),Table1[],(MATCH(Calendar!$A18,DB!$1:$1,0)),FALSE)),"")</f>
        <v/>
      </c>
      <c r="IRF18" s="28" t="str">
        <f>IFERROR(IF(IRO3="No",IF(VLOOKUP(DATE($K$1,$K$2,IRF$4),Table1[],(MATCH(Calendar!$A18,DB!$1:$1,0)),FALSE)&gt;=5,"Good","Bad"),VLOOKUP(DATE($K$1,$K$2,IRF$4),Table1[],(MATCH(Calendar!$A18,DB!$1:$1,0)),FALSE)),"")</f>
        <v/>
      </c>
      <c r="IRG18" s="28" t="str">
        <f>IFERROR(IF(IRP3="No",IF(VLOOKUP(DATE($K$1,$K$2,IRG$4),Table1[],(MATCH(Calendar!$A18,DB!$1:$1,0)),FALSE)&gt;=5,"Good","Bad"),VLOOKUP(DATE($K$1,$K$2,IRG$4),Table1[],(MATCH(Calendar!$A18,DB!$1:$1,0)),FALSE)),"")</f>
        <v/>
      </c>
      <c r="IRH18" s="28" t="str">
        <f>IFERROR(IF(IRQ3="No",IF(VLOOKUP(DATE($K$1,$K$2,IRH$4),Table1[],(MATCH(Calendar!$A18,DB!$1:$1,0)),FALSE)&gt;=5,"Good","Bad"),VLOOKUP(DATE($K$1,$K$2,IRH$4),Table1[],(MATCH(Calendar!$A18,DB!$1:$1,0)),FALSE)),"")</f>
        <v/>
      </c>
      <c r="IRI18" s="28" t="str">
        <f>IFERROR(IF(IRR3="No",IF(VLOOKUP(DATE($K$1,$K$2,IRI$4),Table1[],(MATCH(Calendar!$A18,DB!$1:$1,0)),FALSE)&gt;=5,"Good","Bad"),VLOOKUP(DATE($K$1,$K$2,IRI$4),Table1[],(MATCH(Calendar!$A18,DB!$1:$1,0)),FALSE)),"")</f>
        <v/>
      </c>
      <c r="IRJ18" s="28" t="str">
        <f>IFERROR(IF(IRS3="No",IF(VLOOKUP(DATE($K$1,$K$2,IRJ$4),Table1[],(MATCH(Calendar!$A18,DB!$1:$1,0)),FALSE)&gt;=5,"Good","Bad"),VLOOKUP(DATE($K$1,$K$2,IRJ$4),Table1[],(MATCH(Calendar!$A18,DB!$1:$1,0)),FALSE)),"")</f>
        <v/>
      </c>
      <c r="IRK18" s="28" t="str">
        <f>IFERROR(IF(IRT3="No",IF(VLOOKUP(DATE($K$1,$K$2,IRK$4),Table1[],(MATCH(Calendar!$A18,DB!$1:$1,0)),FALSE)&gt;=5,"Good","Bad"),VLOOKUP(DATE($K$1,$K$2,IRK$4),Table1[],(MATCH(Calendar!$A18,DB!$1:$1,0)),FALSE)),"")</f>
        <v/>
      </c>
      <c r="IRL18" s="28" t="str">
        <f>IFERROR(IF(IRU3="No",IF(VLOOKUP(DATE($K$1,$K$2,IRL$4),Table1[],(MATCH(Calendar!$A18,DB!$1:$1,0)),FALSE)&gt;=5,"Good","Bad"),VLOOKUP(DATE($K$1,$K$2,IRL$4),Table1[],(MATCH(Calendar!$A18,DB!$1:$1,0)),FALSE)),"")</f>
        <v/>
      </c>
      <c r="IRM18" s="28" t="str">
        <f>IFERROR(IF(IRV3="No",IF(VLOOKUP(DATE($K$1,$K$2,IRM$4),Table1[],(MATCH(Calendar!$A18,DB!$1:$1,0)),FALSE)&gt;=5,"Good","Bad"),VLOOKUP(DATE($K$1,$K$2,IRM$4),Table1[],(MATCH(Calendar!$A18,DB!$1:$1,0)),FALSE)),"")</f>
        <v/>
      </c>
      <c r="IRN18" s="28" t="str">
        <f>IFERROR(IF(IRW3="No",IF(VLOOKUP(DATE($K$1,$K$2,IRN$4),Table1[],(MATCH(Calendar!$A18,DB!$1:$1,0)),FALSE)&gt;=5,"Good","Bad"),VLOOKUP(DATE($K$1,$K$2,IRN$4),Table1[],(MATCH(Calendar!$A18,DB!$1:$1,0)),FALSE)),"")</f>
        <v/>
      </c>
      <c r="IRO18" s="28" t="str">
        <f>IFERROR(IF(IRX3="No",IF(VLOOKUP(DATE($K$1,$K$2,IRO$4),Table1[],(MATCH(Calendar!$A18,DB!$1:$1,0)),FALSE)&gt;=5,"Good","Bad"),VLOOKUP(DATE($K$1,$K$2,IRO$4),Table1[],(MATCH(Calendar!$A18,DB!$1:$1,0)),FALSE)),"")</f>
        <v/>
      </c>
      <c r="IRP18" s="28" t="str">
        <f>IFERROR(IF(IRY3="No",IF(VLOOKUP(DATE($K$1,$K$2,IRP$4),Table1[],(MATCH(Calendar!$A18,DB!$1:$1,0)),FALSE)&gt;=5,"Good","Bad"),VLOOKUP(DATE($K$1,$K$2,IRP$4),Table1[],(MATCH(Calendar!$A18,DB!$1:$1,0)),FALSE)),"")</f>
        <v/>
      </c>
      <c r="IRQ18" s="28" t="str">
        <f>IFERROR(IF(IRZ3="No",IF(VLOOKUP(DATE($K$1,$K$2,IRQ$4),Table1[],(MATCH(Calendar!$A18,DB!$1:$1,0)),FALSE)&gt;=5,"Good","Bad"),VLOOKUP(DATE($K$1,$K$2,IRQ$4),Table1[],(MATCH(Calendar!$A18,DB!$1:$1,0)),FALSE)),"")</f>
        <v/>
      </c>
      <c r="IRR18" s="28" t="str">
        <f>IFERROR(IF(ISA3="No",IF(VLOOKUP(DATE($K$1,$K$2,IRR$4),Table1[],(MATCH(Calendar!$A18,DB!$1:$1,0)),FALSE)&gt;=5,"Good","Bad"),VLOOKUP(DATE($K$1,$K$2,IRR$4),Table1[],(MATCH(Calendar!$A18,DB!$1:$1,0)),FALSE)),"")</f>
        <v/>
      </c>
      <c r="IRS18" s="28" t="str">
        <f>IFERROR(IF(ISB3="No",IF(VLOOKUP(DATE($K$1,$K$2,IRS$4),Table1[],(MATCH(Calendar!$A18,DB!$1:$1,0)),FALSE)&gt;=5,"Good","Bad"),VLOOKUP(DATE($K$1,$K$2,IRS$4),Table1[],(MATCH(Calendar!$A18,DB!$1:$1,0)),FALSE)),"")</f>
        <v/>
      </c>
      <c r="IRT18" s="28" t="str">
        <f>IFERROR(IF(ISC3="No",IF(VLOOKUP(DATE($K$1,$K$2,IRT$4),Table1[],(MATCH(Calendar!$A18,DB!$1:$1,0)),FALSE)&gt;=5,"Good","Bad"),VLOOKUP(DATE($K$1,$K$2,IRT$4),Table1[],(MATCH(Calendar!$A18,DB!$1:$1,0)),FALSE)),"")</f>
        <v/>
      </c>
      <c r="IRU18" s="28" t="str">
        <f>IFERROR(IF(ISD3="No",IF(VLOOKUP(DATE($K$1,$K$2,IRU$4),Table1[],(MATCH(Calendar!$A18,DB!$1:$1,0)),FALSE)&gt;=5,"Good","Bad"),VLOOKUP(DATE($K$1,$K$2,IRU$4),Table1[],(MATCH(Calendar!$A18,DB!$1:$1,0)),FALSE)),"")</f>
        <v/>
      </c>
      <c r="IRV18" s="28" t="str">
        <f>IFERROR(IF(ISE3="No",IF(VLOOKUP(DATE($K$1,$K$2,IRV$4),Table1[],(MATCH(Calendar!$A18,DB!$1:$1,0)),FALSE)&gt;=5,"Good","Bad"),VLOOKUP(DATE($K$1,$K$2,IRV$4),Table1[],(MATCH(Calendar!$A18,DB!$1:$1,0)),FALSE)),"")</f>
        <v/>
      </c>
      <c r="IRW18" s="28" t="str">
        <f>IFERROR(IF(ISF3="No",IF(VLOOKUP(DATE($K$1,$K$2,IRW$4),Table1[],(MATCH(Calendar!$A18,DB!$1:$1,0)),FALSE)&gt;=5,"Good","Bad"),VLOOKUP(DATE($K$1,$K$2,IRW$4),Table1[],(MATCH(Calendar!$A18,DB!$1:$1,0)),FALSE)),"")</f>
        <v/>
      </c>
      <c r="IRX18" s="28" t="str">
        <f>IFERROR(IF(ISG3="No",IF(VLOOKUP(DATE($K$1,$K$2,IRX$4),Table1[],(MATCH(Calendar!$A18,DB!$1:$1,0)),FALSE)&gt;=5,"Good","Bad"),VLOOKUP(DATE($K$1,$K$2,IRX$4),Table1[],(MATCH(Calendar!$A18,DB!$1:$1,0)),FALSE)),"")</f>
        <v/>
      </c>
      <c r="IRY18" s="28" t="str">
        <f>IFERROR(IF(ISH3="No",IF(VLOOKUP(DATE($K$1,$K$2,IRY$4),Table1[],(MATCH(Calendar!$A18,DB!$1:$1,0)),FALSE)&gt;=5,"Good","Bad"),VLOOKUP(DATE($K$1,$K$2,IRY$4),Table1[],(MATCH(Calendar!$A18,DB!$1:$1,0)),FALSE)),"")</f>
        <v/>
      </c>
      <c r="IRZ18" s="28" t="str">
        <f>IFERROR(IF(ISI3="No",IF(VLOOKUP(DATE($K$1,$K$2,IRZ$4),Table1[],(MATCH(Calendar!$A18,DB!$1:$1,0)),FALSE)&gt;=5,"Good","Bad"),VLOOKUP(DATE($K$1,$K$2,IRZ$4),Table1[],(MATCH(Calendar!$A18,DB!$1:$1,0)),FALSE)),"")</f>
        <v/>
      </c>
      <c r="ISA18" s="28" t="str">
        <f>IFERROR(IF(ISJ3="No",IF(VLOOKUP(DATE($K$1,$K$2,ISA$4),Table1[],(MATCH(Calendar!$A18,DB!$1:$1,0)),FALSE)&gt;=5,"Good","Bad"),VLOOKUP(DATE($K$1,$K$2,ISA$4),Table1[],(MATCH(Calendar!$A18,DB!$1:$1,0)),FALSE)),"")</f>
        <v/>
      </c>
      <c r="ISB18" s="28" t="str">
        <f>IFERROR(IF(ISK3="No",IF(VLOOKUP(DATE($K$1,$K$2,ISB$4),Table1[],(MATCH(Calendar!$A18,DB!$1:$1,0)),FALSE)&gt;=5,"Good","Bad"),VLOOKUP(DATE($K$1,$K$2,ISB$4),Table1[],(MATCH(Calendar!$A18,DB!$1:$1,0)),FALSE)),"")</f>
        <v/>
      </c>
      <c r="ISC18" s="28" t="str">
        <f>IFERROR(IF(ISL3="No",IF(VLOOKUP(DATE($K$1,$K$2,ISC$4),Table1[],(MATCH(Calendar!$A18,DB!$1:$1,0)),FALSE)&gt;=5,"Good","Bad"),VLOOKUP(DATE($K$1,$K$2,ISC$4),Table1[],(MATCH(Calendar!$A18,DB!$1:$1,0)),FALSE)),"")</f>
        <v/>
      </c>
      <c r="ISD18" s="28" t="str">
        <f>IFERROR(IF(ISM3="No",IF(VLOOKUP(DATE($K$1,$K$2,ISD$4),Table1[],(MATCH(Calendar!$A18,DB!$1:$1,0)),FALSE)&gt;=5,"Good","Bad"),VLOOKUP(DATE($K$1,$K$2,ISD$4),Table1[],(MATCH(Calendar!$A18,DB!$1:$1,0)),FALSE)),"")</f>
        <v/>
      </c>
      <c r="ISE18" s="28" t="str">
        <f>IFERROR(IF(ISN3="No",IF(VLOOKUP(DATE($K$1,$K$2,ISE$4),Table1[],(MATCH(Calendar!$A18,DB!$1:$1,0)),FALSE)&gt;=5,"Good","Bad"),VLOOKUP(DATE($K$1,$K$2,ISE$4),Table1[],(MATCH(Calendar!$A18,DB!$1:$1,0)),FALSE)),"")</f>
        <v/>
      </c>
      <c r="ISF18" s="28" t="str">
        <f>IFERROR(IF(ISO3="No",IF(VLOOKUP(DATE($K$1,$K$2,ISF$4),Table1[],(MATCH(Calendar!$A18,DB!$1:$1,0)),FALSE)&gt;=5,"Good","Bad"),VLOOKUP(DATE($K$1,$K$2,ISF$4),Table1[],(MATCH(Calendar!$A18,DB!$1:$1,0)),FALSE)),"")</f>
        <v/>
      </c>
      <c r="ISG18" s="28" t="str">
        <f>IFERROR(IF(ISP3="No",IF(VLOOKUP(DATE($K$1,$K$2,ISG$4),Table1[],(MATCH(Calendar!$A18,DB!$1:$1,0)),FALSE)&gt;=5,"Good","Bad"),VLOOKUP(DATE($K$1,$K$2,ISG$4),Table1[],(MATCH(Calendar!$A18,DB!$1:$1,0)),FALSE)),"")</f>
        <v/>
      </c>
      <c r="ISH18" s="28" t="str">
        <f>IFERROR(IF(ISQ3="No",IF(VLOOKUP(DATE($K$1,$K$2,ISH$4),Table1[],(MATCH(Calendar!$A18,DB!$1:$1,0)),FALSE)&gt;=5,"Good","Bad"),VLOOKUP(DATE($K$1,$K$2,ISH$4),Table1[],(MATCH(Calendar!$A18,DB!$1:$1,0)),FALSE)),"")</f>
        <v/>
      </c>
      <c r="ISI18" s="28" t="str">
        <f>IFERROR(IF(ISR3="No",IF(VLOOKUP(DATE($K$1,$K$2,ISI$4),Table1[],(MATCH(Calendar!$A18,DB!$1:$1,0)),FALSE)&gt;=5,"Good","Bad"),VLOOKUP(DATE($K$1,$K$2,ISI$4),Table1[],(MATCH(Calendar!$A18,DB!$1:$1,0)),FALSE)),"")</f>
        <v/>
      </c>
      <c r="ISJ18" s="28" t="str">
        <f>IFERROR(IF(ISS3="No",IF(VLOOKUP(DATE($K$1,$K$2,ISJ$4),Table1[],(MATCH(Calendar!$A18,DB!$1:$1,0)),FALSE)&gt;=5,"Good","Bad"),VLOOKUP(DATE($K$1,$K$2,ISJ$4),Table1[],(MATCH(Calendar!$A18,DB!$1:$1,0)),FALSE)),"")</f>
        <v/>
      </c>
      <c r="ISK18" s="28" t="str">
        <f>IFERROR(IF(IST3="No",IF(VLOOKUP(DATE($K$1,$K$2,ISK$4),Table1[],(MATCH(Calendar!$A18,DB!$1:$1,0)),FALSE)&gt;=5,"Good","Bad"),VLOOKUP(DATE($K$1,$K$2,ISK$4),Table1[],(MATCH(Calendar!$A18,DB!$1:$1,0)),FALSE)),"")</f>
        <v/>
      </c>
      <c r="ISL18" s="28" t="str">
        <f>IFERROR(IF(ISU3="No",IF(VLOOKUP(DATE($K$1,$K$2,ISL$4),Table1[],(MATCH(Calendar!$A18,DB!$1:$1,0)),FALSE)&gt;=5,"Good","Bad"),VLOOKUP(DATE($K$1,$K$2,ISL$4),Table1[],(MATCH(Calendar!$A18,DB!$1:$1,0)),FALSE)),"")</f>
        <v/>
      </c>
      <c r="ISM18" s="28" t="str">
        <f>IFERROR(IF(ISV3="No",IF(VLOOKUP(DATE($K$1,$K$2,ISM$4),Table1[],(MATCH(Calendar!$A18,DB!$1:$1,0)),FALSE)&gt;=5,"Good","Bad"),VLOOKUP(DATE($K$1,$K$2,ISM$4),Table1[],(MATCH(Calendar!$A18,DB!$1:$1,0)),FALSE)),"")</f>
        <v/>
      </c>
      <c r="ISN18" s="28" t="str">
        <f>IFERROR(IF(ISW3="No",IF(VLOOKUP(DATE($K$1,$K$2,ISN$4),Table1[],(MATCH(Calendar!$A18,DB!$1:$1,0)),FALSE)&gt;=5,"Good","Bad"),VLOOKUP(DATE($K$1,$K$2,ISN$4),Table1[],(MATCH(Calendar!$A18,DB!$1:$1,0)),FALSE)),"")</f>
        <v/>
      </c>
      <c r="ISO18" s="28" t="str">
        <f>IFERROR(IF(ISX3="No",IF(VLOOKUP(DATE($K$1,$K$2,ISO$4),Table1[],(MATCH(Calendar!$A18,DB!$1:$1,0)),FALSE)&gt;=5,"Good","Bad"),VLOOKUP(DATE($K$1,$K$2,ISO$4),Table1[],(MATCH(Calendar!$A18,DB!$1:$1,0)),FALSE)),"")</f>
        <v/>
      </c>
      <c r="ISP18" s="28" t="str">
        <f>IFERROR(IF(ISY3="No",IF(VLOOKUP(DATE($K$1,$K$2,ISP$4),Table1[],(MATCH(Calendar!$A18,DB!$1:$1,0)),FALSE)&gt;=5,"Good","Bad"),VLOOKUP(DATE($K$1,$K$2,ISP$4),Table1[],(MATCH(Calendar!$A18,DB!$1:$1,0)),FALSE)),"")</f>
        <v/>
      </c>
      <c r="ISQ18" s="28" t="str">
        <f>IFERROR(IF(ISZ3="No",IF(VLOOKUP(DATE($K$1,$K$2,ISQ$4),Table1[],(MATCH(Calendar!$A18,DB!$1:$1,0)),FALSE)&gt;=5,"Good","Bad"),VLOOKUP(DATE($K$1,$K$2,ISQ$4),Table1[],(MATCH(Calendar!$A18,DB!$1:$1,0)),FALSE)),"")</f>
        <v/>
      </c>
      <c r="ISR18" s="28" t="str">
        <f>IFERROR(IF(ITA3="No",IF(VLOOKUP(DATE($K$1,$K$2,ISR$4),Table1[],(MATCH(Calendar!$A18,DB!$1:$1,0)),FALSE)&gt;=5,"Good","Bad"),VLOOKUP(DATE($K$1,$K$2,ISR$4),Table1[],(MATCH(Calendar!$A18,DB!$1:$1,0)),FALSE)),"")</f>
        <v/>
      </c>
      <c r="ISS18" s="28" t="str">
        <f>IFERROR(IF(ITB3="No",IF(VLOOKUP(DATE($K$1,$K$2,ISS$4),Table1[],(MATCH(Calendar!$A18,DB!$1:$1,0)),FALSE)&gt;=5,"Good","Bad"),VLOOKUP(DATE($K$1,$K$2,ISS$4),Table1[],(MATCH(Calendar!$A18,DB!$1:$1,0)),FALSE)),"")</f>
        <v/>
      </c>
      <c r="IST18" s="28" t="str">
        <f>IFERROR(IF(ITC3="No",IF(VLOOKUP(DATE($K$1,$K$2,IST$4),Table1[],(MATCH(Calendar!$A18,DB!$1:$1,0)),FALSE)&gt;=5,"Good","Bad"),VLOOKUP(DATE($K$1,$K$2,IST$4),Table1[],(MATCH(Calendar!$A18,DB!$1:$1,0)),FALSE)),"")</f>
        <v/>
      </c>
      <c r="ISU18" s="28" t="str">
        <f>IFERROR(IF(ITD3="No",IF(VLOOKUP(DATE($K$1,$K$2,ISU$4),Table1[],(MATCH(Calendar!$A18,DB!$1:$1,0)),FALSE)&gt;=5,"Good","Bad"),VLOOKUP(DATE($K$1,$K$2,ISU$4),Table1[],(MATCH(Calendar!$A18,DB!$1:$1,0)),FALSE)),"")</f>
        <v/>
      </c>
      <c r="ISV18" s="28" t="str">
        <f>IFERROR(IF(ITE3="No",IF(VLOOKUP(DATE($K$1,$K$2,ISV$4),Table1[],(MATCH(Calendar!$A18,DB!$1:$1,0)),FALSE)&gt;=5,"Good","Bad"),VLOOKUP(DATE($K$1,$K$2,ISV$4),Table1[],(MATCH(Calendar!$A18,DB!$1:$1,0)),FALSE)),"")</f>
        <v/>
      </c>
      <c r="ISW18" s="28" t="str">
        <f>IFERROR(IF(ITF3="No",IF(VLOOKUP(DATE($K$1,$K$2,ISW$4),Table1[],(MATCH(Calendar!$A18,DB!$1:$1,0)),FALSE)&gt;=5,"Good","Bad"),VLOOKUP(DATE($K$1,$K$2,ISW$4),Table1[],(MATCH(Calendar!$A18,DB!$1:$1,0)),FALSE)),"")</f>
        <v/>
      </c>
      <c r="ISX18" s="28" t="str">
        <f>IFERROR(IF(ITG3="No",IF(VLOOKUP(DATE($K$1,$K$2,ISX$4),Table1[],(MATCH(Calendar!$A18,DB!$1:$1,0)),FALSE)&gt;=5,"Good","Bad"),VLOOKUP(DATE($K$1,$K$2,ISX$4),Table1[],(MATCH(Calendar!$A18,DB!$1:$1,0)),FALSE)),"")</f>
        <v/>
      </c>
      <c r="ISY18" s="28" t="str">
        <f>IFERROR(IF(ITH3="No",IF(VLOOKUP(DATE($K$1,$K$2,ISY$4),Table1[],(MATCH(Calendar!$A18,DB!$1:$1,0)),FALSE)&gt;=5,"Good","Bad"),VLOOKUP(DATE($K$1,$K$2,ISY$4),Table1[],(MATCH(Calendar!$A18,DB!$1:$1,0)),FALSE)),"")</f>
        <v/>
      </c>
      <c r="ISZ18" s="28" t="str">
        <f>IFERROR(IF(ITI3="No",IF(VLOOKUP(DATE($K$1,$K$2,ISZ$4),Table1[],(MATCH(Calendar!$A18,DB!$1:$1,0)),FALSE)&gt;=5,"Good","Bad"),VLOOKUP(DATE($K$1,$K$2,ISZ$4),Table1[],(MATCH(Calendar!$A18,DB!$1:$1,0)),FALSE)),"")</f>
        <v/>
      </c>
      <c r="ITA18" s="28" t="str">
        <f>IFERROR(IF(ITJ3="No",IF(VLOOKUP(DATE($K$1,$K$2,ITA$4),Table1[],(MATCH(Calendar!$A18,DB!$1:$1,0)),FALSE)&gt;=5,"Good","Bad"),VLOOKUP(DATE($K$1,$K$2,ITA$4),Table1[],(MATCH(Calendar!$A18,DB!$1:$1,0)),FALSE)),"")</f>
        <v/>
      </c>
      <c r="ITB18" s="28" t="str">
        <f>IFERROR(IF(ITK3="No",IF(VLOOKUP(DATE($K$1,$K$2,ITB$4),Table1[],(MATCH(Calendar!$A18,DB!$1:$1,0)),FALSE)&gt;=5,"Good","Bad"),VLOOKUP(DATE($K$1,$K$2,ITB$4),Table1[],(MATCH(Calendar!$A18,DB!$1:$1,0)),FALSE)),"")</f>
        <v/>
      </c>
      <c r="ITC18" s="28" t="str">
        <f>IFERROR(IF(ITL3="No",IF(VLOOKUP(DATE($K$1,$K$2,ITC$4),Table1[],(MATCH(Calendar!$A18,DB!$1:$1,0)),FALSE)&gt;=5,"Good","Bad"),VLOOKUP(DATE($K$1,$K$2,ITC$4),Table1[],(MATCH(Calendar!$A18,DB!$1:$1,0)),FALSE)),"")</f>
        <v/>
      </c>
      <c r="ITD18" s="28" t="str">
        <f>IFERROR(IF(ITM3="No",IF(VLOOKUP(DATE($K$1,$K$2,ITD$4),Table1[],(MATCH(Calendar!$A18,DB!$1:$1,0)),FALSE)&gt;=5,"Good","Bad"),VLOOKUP(DATE($K$1,$K$2,ITD$4),Table1[],(MATCH(Calendar!$A18,DB!$1:$1,0)),FALSE)),"")</f>
        <v/>
      </c>
      <c r="ITE18" s="28" t="str">
        <f>IFERROR(IF(ITN3="No",IF(VLOOKUP(DATE($K$1,$K$2,ITE$4),Table1[],(MATCH(Calendar!$A18,DB!$1:$1,0)),FALSE)&gt;=5,"Good","Bad"),VLOOKUP(DATE($K$1,$K$2,ITE$4),Table1[],(MATCH(Calendar!$A18,DB!$1:$1,0)),FALSE)),"")</f>
        <v/>
      </c>
      <c r="ITF18" s="28" t="str">
        <f>IFERROR(IF(ITO3="No",IF(VLOOKUP(DATE($K$1,$K$2,ITF$4),Table1[],(MATCH(Calendar!$A18,DB!$1:$1,0)),FALSE)&gt;=5,"Good","Bad"),VLOOKUP(DATE($K$1,$K$2,ITF$4),Table1[],(MATCH(Calendar!$A18,DB!$1:$1,0)),FALSE)),"")</f>
        <v/>
      </c>
      <c r="ITG18" s="28" t="str">
        <f>IFERROR(IF(ITP3="No",IF(VLOOKUP(DATE($K$1,$K$2,ITG$4),Table1[],(MATCH(Calendar!$A18,DB!$1:$1,0)),FALSE)&gt;=5,"Good","Bad"),VLOOKUP(DATE($K$1,$K$2,ITG$4),Table1[],(MATCH(Calendar!$A18,DB!$1:$1,0)),FALSE)),"")</f>
        <v/>
      </c>
      <c r="ITH18" s="28" t="str">
        <f>IFERROR(IF(ITQ3="No",IF(VLOOKUP(DATE($K$1,$K$2,ITH$4),Table1[],(MATCH(Calendar!$A18,DB!$1:$1,0)),FALSE)&gt;=5,"Good","Bad"),VLOOKUP(DATE($K$1,$K$2,ITH$4),Table1[],(MATCH(Calendar!$A18,DB!$1:$1,0)),FALSE)),"")</f>
        <v/>
      </c>
      <c r="ITI18" s="28" t="str">
        <f>IFERROR(IF(ITR3="No",IF(VLOOKUP(DATE($K$1,$K$2,ITI$4),Table1[],(MATCH(Calendar!$A18,DB!$1:$1,0)),FALSE)&gt;=5,"Good","Bad"),VLOOKUP(DATE($K$1,$K$2,ITI$4),Table1[],(MATCH(Calendar!$A18,DB!$1:$1,0)),FALSE)),"")</f>
        <v/>
      </c>
      <c r="ITJ18" s="28" t="str">
        <f>IFERROR(IF(ITS3="No",IF(VLOOKUP(DATE($K$1,$K$2,ITJ$4),Table1[],(MATCH(Calendar!$A18,DB!$1:$1,0)),FALSE)&gt;=5,"Good","Bad"),VLOOKUP(DATE($K$1,$K$2,ITJ$4),Table1[],(MATCH(Calendar!$A18,DB!$1:$1,0)),FALSE)),"")</f>
        <v/>
      </c>
      <c r="ITK18" s="28" t="str">
        <f>IFERROR(IF(ITT3="No",IF(VLOOKUP(DATE($K$1,$K$2,ITK$4),Table1[],(MATCH(Calendar!$A18,DB!$1:$1,0)),FALSE)&gt;=5,"Good","Bad"),VLOOKUP(DATE($K$1,$K$2,ITK$4),Table1[],(MATCH(Calendar!$A18,DB!$1:$1,0)),FALSE)),"")</f>
        <v/>
      </c>
      <c r="ITL18" s="28" t="str">
        <f>IFERROR(IF(ITU3="No",IF(VLOOKUP(DATE($K$1,$K$2,ITL$4),Table1[],(MATCH(Calendar!$A18,DB!$1:$1,0)),FALSE)&gt;=5,"Good","Bad"),VLOOKUP(DATE($K$1,$K$2,ITL$4),Table1[],(MATCH(Calendar!$A18,DB!$1:$1,0)),FALSE)),"")</f>
        <v/>
      </c>
      <c r="ITM18" s="28" t="str">
        <f>IFERROR(IF(ITV3="No",IF(VLOOKUP(DATE($K$1,$K$2,ITM$4),Table1[],(MATCH(Calendar!$A18,DB!$1:$1,0)),FALSE)&gt;=5,"Good","Bad"),VLOOKUP(DATE($K$1,$K$2,ITM$4),Table1[],(MATCH(Calendar!$A18,DB!$1:$1,0)),FALSE)),"")</f>
        <v/>
      </c>
      <c r="ITN18" s="28" t="str">
        <f>IFERROR(IF(ITW3="No",IF(VLOOKUP(DATE($K$1,$K$2,ITN$4),Table1[],(MATCH(Calendar!$A18,DB!$1:$1,0)),FALSE)&gt;=5,"Good","Bad"),VLOOKUP(DATE($K$1,$K$2,ITN$4),Table1[],(MATCH(Calendar!$A18,DB!$1:$1,0)),FALSE)),"")</f>
        <v/>
      </c>
      <c r="ITO18" s="28" t="str">
        <f>IFERROR(IF(ITX3="No",IF(VLOOKUP(DATE($K$1,$K$2,ITO$4),Table1[],(MATCH(Calendar!$A18,DB!$1:$1,0)),FALSE)&gt;=5,"Good","Bad"),VLOOKUP(DATE($K$1,$K$2,ITO$4),Table1[],(MATCH(Calendar!$A18,DB!$1:$1,0)),FALSE)),"")</f>
        <v/>
      </c>
      <c r="ITP18" s="28" t="str">
        <f>IFERROR(IF(ITY3="No",IF(VLOOKUP(DATE($K$1,$K$2,ITP$4),Table1[],(MATCH(Calendar!$A18,DB!$1:$1,0)),FALSE)&gt;=5,"Good","Bad"),VLOOKUP(DATE($K$1,$K$2,ITP$4),Table1[],(MATCH(Calendar!$A18,DB!$1:$1,0)),FALSE)),"")</f>
        <v/>
      </c>
      <c r="ITQ18" s="28" t="str">
        <f>IFERROR(IF(ITZ3="No",IF(VLOOKUP(DATE($K$1,$K$2,ITQ$4),Table1[],(MATCH(Calendar!$A18,DB!$1:$1,0)),FALSE)&gt;=5,"Good","Bad"),VLOOKUP(DATE($K$1,$K$2,ITQ$4),Table1[],(MATCH(Calendar!$A18,DB!$1:$1,0)),FALSE)),"")</f>
        <v/>
      </c>
      <c r="ITR18" s="28" t="str">
        <f>IFERROR(IF(IUA3="No",IF(VLOOKUP(DATE($K$1,$K$2,ITR$4),Table1[],(MATCH(Calendar!$A18,DB!$1:$1,0)),FALSE)&gt;=5,"Good","Bad"),VLOOKUP(DATE($K$1,$K$2,ITR$4),Table1[],(MATCH(Calendar!$A18,DB!$1:$1,0)),FALSE)),"")</f>
        <v/>
      </c>
      <c r="ITS18" s="28" t="str">
        <f>IFERROR(IF(IUB3="No",IF(VLOOKUP(DATE($K$1,$K$2,ITS$4),Table1[],(MATCH(Calendar!$A18,DB!$1:$1,0)),FALSE)&gt;=5,"Good","Bad"),VLOOKUP(DATE($K$1,$K$2,ITS$4),Table1[],(MATCH(Calendar!$A18,DB!$1:$1,0)),FALSE)),"")</f>
        <v/>
      </c>
      <c r="ITT18" s="28" t="str">
        <f>IFERROR(IF(IUC3="No",IF(VLOOKUP(DATE($K$1,$K$2,ITT$4),Table1[],(MATCH(Calendar!$A18,DB!$1:$1,0)),FALSE)&gt;=5,"Good","Bad"),VLOOKUP(DATE($K$1,$K$2,ITT$4),Table1[],(MATCH(Calendar!$A18,DB!$1:$1,0)),FALSE)),"")</f>
        <v/>
      </c>
      <c r="ITU18" s="28" t="str">
        <f>IFERROR(IF(IUD3="No",IF(VLOOKUP(DATE($K$1,$K$2,ITU$4),Table1[],(MATCH(Calendar!$A18,DB!$1:$1,0)),FALSE)&gt;=5,"Good","Bad"),VLOOKUP(DATE($K$1,$K$2,ITU$4),Table1[],(MATCH(Calendar!$A18,DB!$1:$1,0)),FALSE)),"")</f>
        <v/>
      </c>
      <c r="ITV18" s="28" t="str">
        <f>IFERROR(IF(IUE3="No",IF(VLOOKUP(DATE($K$1,$K$2,ITV$4),Table1[],(MATCH(Calendar!$A18,DB!$1:$1,0)),FALSE)&gt;=5,"Good","Bad"),VLOOKUP(DATE($K$1,$K$2,ITV$4),Table1[],(MATCH(Calendar!$A18,DB!$1:$1,0)),FALSE)),"")</f>
        <v/>
      </c>
      <c r="ITW18" s="28" t="str">
        <f>IFERROR(IF(IUF3="No",IF(VLOOKUP(DATE($K$1,$K$2,ITW$4),Table1[],(MATCH(Calendar!$A18,DB!$1:$1,0)),FALSE)&gt;=5,"Good","Bad"),VLOOKUP(DATE($K$1,$K$2,ITW$4),Table1[],(MATCH(Calendar!$A18,DB!$1:$1,0)),FALSE)),"")</f>
        <v/>
      </c>
      <c r="ITX18" s="28" t="str">
        <f>IFERROR(IF(IUG3="No",IF(VLOOKUP(DATE($K$1,$K$2,ITX$4),Table1[],(MATCH(Calendar!$A18,DB!$1:$1,0)),FALSE)&gt;=5,"Good","Bad"),VLOOKUP(DATE($K$1,$K$2,ITX$4),Table1[],(MATCH(Calendar!$A18,DB!$1:$1,0)),FALSE)),"")</f>
        <v/>
      </c>
      <c r="ITY18" s="28" t="str">
        <f>IFERROR(IF(IUH3="No",IF(VLOOKUP(DATE($K$1,$K$2,ITY$4),Table1[],(MATCH(Calendar!$A18,DB!$1:$1,0)),FALSE)&gt;=5,"Good","Bad"),VLOOKUP(DATE($K$1,$K$2,ITY$4),Table1[],(MATCH(Calendar!$A18,DB!$1:$1,0)),FALSE)),"")</f>
        <v/>
      </c>
      <c r="ITZ18" s="28" t="str">
        <f>IFERROR(IF(IUI3="No",IF(VLOOKUP(DATE($K$1,$K$2,ITZ$4),Table1[],(MATCH(Calendar!$A18,DB!$1:$1,0)),FALSE)&gt;=5,"Good","Bad"),VLOOKUP(DATE($K$1,$K$2,ITZ$4),Table1[],(MATCH(Calendar!$A18,DB!$1:$1,0)),FALSE)),"")</f>
        <v/>
      </c>
      <c r="IUA18" s="28" t="str">
        <f>IFERROR(IF(IUJ3="No",IF(VLOOKUP(DATE($K$1,$K$2,IUA$4),Table1[],(MATCH(Calendar!$A18,DB!$1:$1,0)),FALSE)&gt;=5,"Good","Bad"),VLOOKUP(DATE($K$1,$K$2,IUA$4),Table1[],(MATCH(Calendar!$A18,DB!$1:$1,0)),FALSE)),"")</f>
        <v/>
      </c>
      <c r="IUB18" s="28" t="str">
        <f>IFERROR(IF(IUK3="No",IF(VLOOKUP(DATE($K$1,$K$2,IUB$4),Table1[],(MATCH(Calendar!$A18,DB!$1:$1,0)),FALSE)&gt;=5,"Good","Bad"),VLOOKUP(DATE($K$1,$K$2,IUB$4),Table1[],(MATCH(Calendar!$A18,DB!$1:$1,0)),FALSE)),"")</f>
        <v/>
      </c>
      <c r="IUC18" s="28" t="str">
        <f>IFERROR(IF(IUL3="No",IF(VLOOKUP(DATE($K$1,$K$2,IUC$4),Table1[],(MATCH(Calendar!$A18,DB!$1:$1,0)),FALSE)&gt;=5,"Good","Bad"),VLOOKUP(DATE($K$1,$K$2,IUC$4),Table1[],(MATCH(Calendar!$A18,DB!$1:$1,0)),FALSE)),"")</f>
        <v/>
      </c>
      <c r="IUD18" s="28" t="str">
        <f>IFERROR(IF(IUM3="No",IF(VLOOKUP(DATE($K$1,$K$2,IUD$4),Table1[],(MATCH(Calendar!$A18,DB!$1:$1,0)),FALSE)&gt;=5,"Good","Bad"),VLOOKUP(DATE($K$1,$K$2,IUD$4),Table1[],(MATCH(Calendar!$A18,DB!$1:$1,0)),FALSE)),"")</f>
        <v/>
      </c>
      <c r="IUE18" s="28" t="str">
        <f>IFERROR(IF(IUN3="No",IF(VLOOKUP(DATE($K$1,$K$2,IUE$4),Table1[],(MATCH(Calendar!$A18,DB!$1:$1,0)),FALSE)&gt;=5,"Good","Bad"),VLOOKUP(DATE($K$1,$K$2,IUE$4),Table1[],(MATCH(Calendar!$A18,DB!$1:$1,0)),FALSE)),"")</f>
        <v/>
      </c>
      <c r="IUF18" s="28" t="str">
        <f>IFERROR(IF(IUO3="No",IF(VLOOKUP(DATE($K$1,$K$2,IUF$4),Table1[],(MATCH(Calendar!$A18,DB!$1:$1,0)),FALSE)&gt;=5,"Good","Bad"),VLOOKUP(DATE($K$1,$K$2,IUF$4),Table1[],(MATCH(Calendar!$A18,DB!$1:$1,0)),FALSE)),"")</f>
        <v/>
      </c>
      <c r="IUG18" s="28" t="str">
        <f>IFERROR(IF(IUP3="No",IF(VLOOKUP(DATE($K$1,$K$2,IUG$4),Table1[],(MATCH(Calendar!$A18,DB!$1:$1,0)),FALSE)&gt;=5,"Good","Bad"),VLOOKUP(DATE($K$1,$K$2,IUG$4),Table1[],(MATCH(Calendar!$A18,DB!$1:$1,0)),FALSE)),"")</f>
        <v/>
      </c>
      <c r="IUH18" s="28" t="str">
        <f>IFERROR(IF(IUQ3="No",IF(VLOOKUP(DATE($K$1,$K$2,IUH$4),Table1[],(MATCH(Calendar!$A18,DB!$1:$1,0)),FALSE)&gt;=5,"Good","Bad"),VLOOKUP(DATE($K$1,$K$2,IUH$4),Table1[],(MATCH(Calendar!$A18,DB!$1:$1,0)),FALSE)),"")</f>
        <v/>
      </c>
      <c r="IUI18" s="28" t="str">
        <f>IFERROR(IF(IUR3="No",IF(VLOOKUP(DATE($K$1,$K$2,IUI$4),Table1[],(MATCH(Calendar!$A18,DB!$1:$1,0)),FALSE)&gt;=5,"Good","Bad"),VLOOKUP(DATE($K$1,$K$2,IUI$4),Table1[],(MATCH(Calendar!$A18,DB!$1:$1,0)),FALSE)),"")</f>
        <v/>
      </c>
      <c r="IUJ18" s="28" t="str">
        <f>IFERROR(IF(IUS3="No",IF(VLOOKUP(DATE($K$1,$K$2,IUJ$4),Table1[],(MATCH(Calendar!$A18,DB!$1:$1,0)),FALSE)&gt;=5,"Good","Bad"),VLOOKUP(DATE($K$1,$K$2,IUJ$4),Table1[],(MATCH(Calendar!$A18,DB!$1:$1,0)),FALSE)),"")</f>
        <v/>
      </c>
      <c r="IUK18" s="28" t="str">
        <f>IFERROR(IF(IUT3="No",IF(VLOOKUP(DATE($K$1,$K$2,IUK$4),Table1[],(MATCH(Calendar!$A18,DB!$1:$1,0)),FALSE)&gt;=5,"Good","Bad"),VLOOKUP(DATE($K$1,$K$2,IUK$4),Table1[],(MATCH(Calendar!$A18,DB!$1:$1,0)),FALSE)),"")</f>
        <v/>
      </c>
      <c r="IUL18" s="28" t="str">
        <f>IFERROR(IF(IUU3="No",IF(VLOOKUP(DATE($K$1,$K$2,IUL$4),Table1[],(MATCH(Calendar!$A18,DB!$1:$1,0)),FALSE)&gt;=5,"Good","Bad"),VLOOKUP(DATE($K$1,$K$2,IUL$4),Table1[],(MATCH(Calendar!$A18,DB!$1:$1,0)),FALSE)),"")</f>
        <v/>
      </c>
      <c r="IUM18" s="28" t="str">
        <f>IFERROR(IF(IUV3="No",IF(VLOOKUP(DATE($K$1,$K$2,IUM$4),Table1[],(MATCH(Calendar!$A18,DB!$1:$1,0)),FALSE)&gt;=5,"Good","Bad"),VLOOKUP(DATE($K$1,$K$2,IUM$4),Table1[],(MATCH(Calendar!$A18,DB!$1:$1,0)),FALSE)),"")</f>
        <v/>
      </c>
      <c r="IUN18" s="28" t="str">
        <f>IFERROR(IF(IUW3="No",IF(VLOOKUP(DATE($K$1,$K$2,IUN$4),Table1[],(MATCH(Calendar!$A18,DB!$1:$1,0)),FALSE)&gt;=5,"Good","Bad"),VLOOKUP(DATE($K$1,$K$2,IUN$4),Table1[],(MATCH(Calendar!$A18,DB!$1:$1,0)),FALSE)),"")</f>
        <v/>
      </c>
      <c r="IUO18" s="28" t="str">
        <f>IFERROR(IF(IUX3="No",IF(VLOOKUP(DATE($K$1,$K$2,IUO$4),Table1[],(MATCH(Calendar!$A18,DB!$1:$1,0)),FALSE)&gt;=5,"Good","Bad"),VLOOKUP(DATE($K$1,$K$2,IUO$4),Table1[],(MATCH(Calendar!$A18,DB!$1:$1,0)),FALSE)),"")</f>
        <v/>
      </c>
      <c r="IUP18" s="28" t="str">
        <f>IFERROR(IF(IUY3="No",IF(VLOOKUP(DATE($K$1,$K$2,IUP$4),Table1[],(MATCH(Calendar!$A18,DB!$1:$1,0)),FALSE)&gt;=5,"Good","Bad"),VLOOKUP(DATE($K$1,$K$2,IUP$4),Table1[],(MATCH(Calendar!$A18,DB!$1:$1,0)),FALSE)),"")</f>
        <v/>
      </c>
      <c r="IUQ18" s="28" t="str">
        <f>IFERROR(IF(IUZ3="No",IF(VLOOKUP(DATE($K$1,$K$2,IUQ$4),Table1[],(MATCH(Calendar!$A18,DB!$1:$1,0)),FALSE)&gt;=5,"Good","Bad"),VLOOKUP(DATE($K$1,$K$2,IUQ$4),Table1[],(MATCH(Calendar!$A18,DB!$1:$1,0)),FALSE)),"")</f>
        <v/>
      </c>
      <c r="IUR18" s="28" t="str">
        <f>IFERROR(IF(IVA3="No",IF(VLOOKUP(DATE($K$1,$K$2,IUR$4),Table1[],(MATCH(Calendar!$A18,DB!$1:$1,0)),FALSE)&gt;=5,"Good","Bad"),VLOOKUP(DATE($K$1,$K$2,IUR$4),Table1[],(MATCH(Calendar!$A18,DB!$1:$1,0)),FALSE)),"")</f>
        <v/>
      </c>
      <c r="IUS18" s="28" t="str">
        <f>IFERROR(IF(IVB3="No",IF(VLOOKUP(DATE($K$1,$K$2,IUS$4),Table1[],(MATCH(Calendar!$A18,DB!$1:$1,0)),FALSE)&gt;=5,"Good","Bad"),VLOOKUP(DATE($K$1,$K$2,IUS$4),Table1[],(MATCH(Calendar!$A18,DB!$1:$1,0)),FALSE)),"")</f>
        <v/>
      </c>
      <c r="IUT18" s="28" t="str">
        <f>IFERROR(IF(IVC3="No",IF(VLOOKUP(DATE($K$1,$K$2,IUT$4),Table1[],(MATCH(Calendar!$A18,DB!$1:$1,0)),FALSE)&gt;=5,"Good","Bad"),VLOOKUP(DATE($K$1,$K$2,IUT$4),Table1[],(MATCH(Calendar!$A18,DB!$1:$1,0)),FALSE)),"")</f>
        <v/>
      </c>
      <c r="IUU18" s="28" t="str">
        <f>IFERROR(IF(IVD3="No",IF(VLOOKUP(DATE($K$1,$K$2,IUU$4),Table1[],(MATCH(Calendar!$A18,DB!$1:$1,0)),FALSE)&gt;=5,"Good","Bad"),VLOOKUP(DATE($K$1,$K$2,IUU$4),Table1[],(MATCH(Calendar!$A18,DB!$1:$1,0)),FALSE)),"")</f>
        <v/>
      </c>
      <c r="IUV18" s="28" t="str">
        <f>IFERROR(IF(IVE3="No",IF(VLOOKUP(DATE($K$1,$K$2,IUV$4),Table1[],(MATCH(Calendar!$A18,DB!$1:$1,0)),FALSE)&gt;=5,"Good","Bad"),VLOOKUP(DATE($K$1,$K$2,IUV$4),Table1[],(MATCH(Calendar!$A18,DB!$1:$1,0)),FALSE)),"")</f>
        <v/>
      </c>
      <c r="IUW18" s="28" t="str">
        <f>IFERROR(IF(IVF3="No",IF(VLOOKUP(DATE($K$1,$K$2,IUW$4),Table1[],(MATCH(Calendar!$A18,DB!$1:$1,0)),FALSE)&gt;=5,"Good","Bad"),VLOOKUP(DATE($K$1,$K$2,IUW$4),Table1[],(MATCH(Calendar!$A18,DB!$1:$1,0)),FALSE)),"")</f>
        <v/>
      </c>
      <c r="IUX18" s="28" t="str">
        <f>IFERROR(IF(IVG3="No",IF(VLOOKUP(DATE($K$1,$K$2,IUX$4),Table1[],(MATCH(Calendar!$A18,DB!$1:$1,0)),FALSE)&gt;=5,"Good","Bad"),VLOOKUP(DATE($K$1,$K$2,IUX$4),Table1[],(MATCH(Calendar!$A18,DB!$1:$1,0)),FALSE)),"")</f>
        <v/>
      </c>
      <c r="IUY18" s="28" t="str">
        <f>IFERROR(IF(IVH3="No",IF(VLOOKUP(DATE($K$1,$K$2,IUY$4),Table1[],(MATCH(Calendar!$A18,DB!$1:$1,0)),FALSE)&gt;=5,"Good","Bad"),VLOOKUP(DATE($K$1,$K$2,IUY$4),Table1[],(MATCH(Calendar!$A18,DB!$1:$1,0)),FALSE)),"")</f>
        <v/>
      </c>
      <c r="IUZ18" s="28" t="str">
        <f>IFERROR(IF(IVI3="No",IF(VLOOKUP(DATE($K$1,$K$2,IUZ$4),Table1[],(MATCH(Calendar!$A18,DB!$1:$1,0)),FALSE)&gt;=5,"Good","Bad"),VLOOKUP(DATE($K$1,$K$2,IUZ$4),Table1[],(MATCH(Calendar!$A18,DB!$1:$1,0)),FALSE)),"")</f>
        <v/>
      </c>
      <c r="IVA18" s="28" t="str">
        <f>IFERROR(IF(IVJ3="No",IF(VLOOKUP(DATE($K$1,$K$2,IVA$4),Table1[],(MATCH(Calendar!$A18,DB!$1:$1,0)),FALSE)&gt;=5,"Good","Bad"),VLOOKUP(DATE($K$1,$K$2,IVA$4),Table1[],(MATCH(Calendar!$A18,DB!$1:$1,0)),FALSE)),"")</f>
        <v/>
      </c>
      <c r="IVB18" s="28" t="str">
        <f>IFERROR(IF(IVK3="No",IF(VLOOKUP(DATE($K$1,$K$2,IVB$4),Table1[],(MATCH(Calendar!$A18,DB!$1:$1,0)),FALSE)&gt;=5,"Good","Bad"),VLOOKUP(DATE($K$1,$K$2,IVB$4),Table1[],(MATCH(Calendar!$A18,DB!$1:$1,0)),FALSE)),"")</f>
        <v/>
      </c>
      <c r="IVC18" s="28" t="str">
        <f>IFERROR(IF(IVL3="No",IF(VLOOKUP(DATE($K$1,$K$2,IVC$4),Table1[],(MATCH(Calendar!$A18,DB!$1:$1,0)),FALSE)&gt;=5,"Good","Bad"),VLOOKUP(DATE($K$1,$K$2,IVC$4),Table1[],(MATCH(Calendar!$A18,DB!$1:$1,0)),FALSE)),"")</f>
        <v/>
      </c>
      <c r="IVD18" s="28" t="str">
        <f>IFERROR(IF(IVM3="No",IF(VLOOKUP(DATE($K$1,$K$2,IVD$4),Table1[],(MATCH(Calendar!$A18,DB!$1:$1,0)),FALSE)&gt;=5,"Good","Bad"),VLOOKUP(DATE($K$1,$K$2,IVD$4),Table1[],(MATCH(Calendar!$A18,DB!$1:$1,0)),FALSE)),"")</f>
        <v/>
      </c>
      <c r="IVE18" s="28" t="str">
        <f>IFERROR(IF(IVN3="No",IF(VLOOKUP(DATE($K$1,$K$2,IVE$4),Table1[],(MATCH(Calendar!$A18,DB!$1:$1,0)),FALSE)&gt;=5,"Good","Bad"),VLOOKUP(DATE($K$1,$K$2,IVE$4),Table1[],(MATCH(Calendar!$A18,DB!$1:$1,0)),FALSE)),"")</f>
        <v/>
      </c>
      <c r="IVF18" s="28" t="str">
        <f>IFERROR(IF(IVO3="No",IF(VLOOKUP(DATE($K$1,$K$2,IVF$4),Table1[],(MATCH(Calendar!$A18,DB!$1:$1,0)),FALSE)&gt;=5,"Good","Bad"),VLOOKUP(DATE($K$1,$K$2,IVF$4),Table1[],(MATCH(Calendar!$A18,DB!$1:$1,0)),FALSE)),"")</f>
        <v/>
      </c>
      <c r="IVG18" s="28" t="str">
        <f>IFERROR(IF(IVP3="No",IF(VLOOKUP(DATE($K$1,$K$2,IVG$4),Table1[],(MATCH(Calendar!$A18,DB!$1:$1,0)),FALSE)&gt;=5,"Good","Bad"),VLOOKUP(DATE($K$1,$K$2,IVG$4),Table1[],(MATCH(Calendar!$A18,DB!$1:$1,0)),FALSE)),"")</f>
        <v/>
      </c>
      <c r="IVH18" s="28" t="str">
        <f>IFERROR(IF(IVQ3="No",IF(VLOOKUP(DATE($K$1,$K$2,IVH$4),Table1[],(MATCH(Calendar!$A18,DB!$1:$1,0)),FALSE)&gt;=5,"Good","Bad"),VLOOKUP(DATE($K$1,$K$2,IVH$4),Table1[],(MATCH(Calendar!$A18,DB!$1:$1,0)),FALSE)),"")</f>
        <v/>
      </c>
      <c r="IVI18" s="28" t="str">
        <f>IFERROR(IF(IVR3="No",IF(VLOOKUP(DATE($K$1,$K$2,IVI$4),Table1[],(MATCH(Calendar!$A18,DB!$1:$1,0)),FALSE)&gt;=5,"Good","Bad"),VLOOKUP(DATE($K$1,$K$2,IVI$4),Table1[],(MATCH(Calendar!$A18,DB!$1:$1,0)),FALSE)),"")</f>
        <v/>
      </c>
      <c r="IVJ18" s="28" t="str">
        <f>IFERROR(IF(IVS3="No",IF(VLOOKUP(DATE($K$1,$K$2,IVJ$4),Table1[],(MATCH(Calendar!$A18,DB!$1:$1,0)),FALSE)&gt;=5,"Good","Bad"),VLOOKUP(DATE($K$1,$K$2,IVJ$4),Table1[],(MATCH(Calendar!$A18,DB!$1:$1,0)),FALSE)),"")</f>
        <v/>
      </c>
      <c r="IVK18" s="28" t="str">
        <f>IFERROR(IF(IVT3="No",IF(VLOOKUP(DATE($K$1,$K$2,IVK$4),Table1[],(MATCH(Calendar!$A18,DB!$1:$1,0)),FALSE)&gt;=5,"Good","Bad"),VLOOKUP(DATE($K$1,$K$2,IVK$4),Table1[],(MATCH(Calendar!$A18,DB!$1:$1,0)),FALSE)),"")</f>
        <v/>
      </c>
      <c r="IVL18" s="28" t="str">
        <f>IFERROR(IF(IVU3="No",IF(VLOOKUP(DATE($K$1,$K$2,IVL$4),Table1[],(MATCH(Calendar!$A18,DB!$1:$1,0)),FALSE)&gt;=5,"Good","Bad"),VLOOKUP(DATE($K$1,$K$2,IVL$4),Table1[],(MATCH(Calendar!$A18,DB!$1:$1,0)),FALSE)),"")</f>
        <v/>
      </c>
      <c r="IVM18" s="28" t="str">
        <f>IFERROR(IF(IVV3="No",IF(VLOOKUP(DATE($K$1,$K$2,IVM$4),Table1[],(MATCH(Calendar!$A18,DB!$1:$1,0)),FALSE)&gt;=5,"Good","Bad"),VLOOKUP(DATE($K$1,$K$2,IVM$4),Table1[],(MATCH(Calendar!$A18,DB!$1:$1,0)),FALSE)),"")</f>
        <v/>
      </c>
      <c r="IVN18" s="28" t="str">
        <f>IFERROR(IF(IVW3="No",IF(VLOOKUP(DATE($K$1,$K$2,IVN$4),Table1[],(MATCH(Calendar!$A18,DB!$1:$1,0)),FALSE)&gt;=5,"Good","Bad"),VLOOKUP(DATE($K$1,$K$2,IVN$4),Table1[],(MATCH(Calendar!$A18,DB!$1:$1,0)),FALSE)),"")</f>
        <v/>
      </c>
      <c r="IVO18" s="28" t="str">
        <f>IFERROR(IF(IVX3="No",IF(VLOOKUP(DATE($K$1,$K$2,IVO$4),Table1[],(MATCH(Calendar!$A18,DB!$1:$1,0)),FALSE)&gt;=5,"Good","Bad"),VLOOKUP(DATE($K$1,$K$2,IVO$4),Table1[],(MATCH(Calendar!$A18,DB!$1:$1,0)),FALSE)),"")</f>
        <v/>
      </c>
      <c r="IVP18" s="28" t="str">
        <f>IFERROR(IF(IVY3="No",IF(VLOOKUP(DATE($K$1,$K$2,IVP$4),Table1[],(MATCH(Calendar!$A18,DB!$1:$1,0)),FALSE)&gt;=5,"Good","Bad"),VLOOKUP(DATE($K$1,$K$2,IVP$4),Table1[],(MATCH(Calendar!$A18,DB!$1:$1,0)),FALSE)),"")</f>
        <v/>
      </c>
      <c r="IVQ18" s="28" t="str">
        <f>IFERROR(IF(IVZ3="No",IF(VLOOKUP(DATE($K$1,$K$2,IVQ$4),Table1[],(MATCH(Calendar!$A18,DB!$1:$1,0)),FALSE)&gt;=5,"Good","Bad"),VLOOKUP(DATE($K$1,$K$2,IVQ$4),Table1[],(MATCH(Calendar!$A18,DB!$1:$1,0)),FALSE)),"")</f>
        <v/>
      </c>
      <c r="IVR18" s="28" t="str">
        <f>IFERROR(IF(IWA3="No",IF(VLOOKUP(DATE($K$1,$K$2,IVR$4),Table1[],(MATCH(Calendar!$A18,DB!$1:$1,0)),FALSE)&gt;=5,"Good","Bad"),VLOOKUP(DATE($K$1,$K$2,IVR$4),Table1[],(MATCH(Calendar!$A18,DB!$1:$1,0)),FALSE)),"")</f>
        <v/>
      </c>
      <c r="IVS18" s="28" t="str">
        <f>IFERROR(IF(IWB3="No",IF(VLOOKUP(DATE($K$1,$K$2,IVS$4),Table1[],(MATCH(Calendar!$A18,DB!$1:$1,0)),FALSE)&gt;=5,"Good","Bad"),VLOOKUP(DATE($K$1,$K$2,IVS$4),Table1[],(MATCH(Calendar!$A18,DB!$1:$1,0)),FALSE)),"")</f>
        <v/>
      </c>
      <c r="IVT18" s="28" t="str">
        <f>IFERROR(IF(IWC3="No",IF(VLOOKUP(DATE($K$1,$K$2,IVT$4),Table1[],(MATCH(Calendar!$A18,DB!$1:$1,0)),FALSE)&gt;=5,"Good","Bad"),VLOOKUP(DATE($K$1,$K$2,IVT$4),Table1[],(MATCH(Calendar!$A18,DB!$1:$1,0)),FALSE)),"")</f>
        <v/>
      </c>
      <c r="IVU18" s="28" t="str">
        <f>IFERROR(IF(IWD3="No",IF(VLOOKUP(DATE($K$1,$K$2,IVU$4),Table1[],(MATCH(Calendar!$A18,DB!$1:$1,0)),FALSE)&gt;=5,"Good","Bad"),VLOOKUP(DATE($K$1,$K$2,IVU$4),Table1[],(MATCH(Calendar!$A18,DB!$1:$1,0)),FALSE)),"")</f>
        <v/>
      </c>
      <c r="IVV18" s="28" t="str">
        <f>IFERROR(IF(IWE3="No",IF(VLOOKUP(DATE($K$1,$K$2,IVV$4),Table1[],(MATCH(Calendar!$A18,DB!$1:$1,0)),FALSE)&gt;=5,"Good","Bad"),VLOOKUP(DATE($K$1,$K$2,IVV$4),Table1[],(MATCH(Calendar!$A18,DB!$1:$1,0)),FALSE)),"")</f>
        <v/>
      </c>
      <c r="IVW18" s="28" t="str">
        <f>IFERROR(IF(IWF3="No",IF(VLOOKUP(DATE($K$1,$K$2,IVW$4),Table1[],(MATCH(Calendar!$A18,DB!$1:$1,0)),FALSE)&gt;=5,"Good","Bad"),VLOOKUP(DATE($K$1,$K$2,IVW$4),Table1[],(MATCH(Calendar!$A18,DB!$1:$1,0)),FALSE)),"")</f>
        <v/>
      </c>
      <c r="IVX18" s="28" t="str">
        <f>IFERROR(IF(IWG3="No",IF(VLOOKUP(DATE($K$1,$K$2,IVX$4),Table1[],(MATCH(Calendar!$A18,DB!$1:$1,0)),FALSE)&gt;=5,"Good","Bad"),VLOOKUP(DATE($K$1,$K$2,IVX$4),Table1[],(MATCH(Calendar!$A18,DB!$1:$1,0)),FALSE)),"")</f>
        <v/>
      </c>
      <c r="IVY18" s="28" t="str">
        <f>IFERROR(IF(IWH3="No",IF(VLOOKUP(DATE($K$1,$K$2,IVY$4),Table1[],(MATCH(Calendar!$A18,DB!$1:$1,0)),FALSE)&gt;=5,"Good","Bad"),VLOOKUP(DATE($K$1,$K$2,IVY$4),Table1[],(MATCH(Calendar!$A18,DB!$1:$1,0)),FALSE)),"")</f>
        <v/>
      </c>
      <c r="IVZ18" s="28" t="str">
        <f>IFERROR(IF(IWI3="No",IF(VLOOKUP(DATE($K$1,$K$2,IVZ$4),Table1[],(MATCH(Calendar!$A18,DB!$1:$1,0)),FALSE)&gt;=5,"Good","Bad"),VLOOKUP(DATE($K$1,$K$2,IVZ$4),Table1[],(MATCH(Calendar!$A18,DB!$1:$1,0)),FALSE)),"")</f>
        <v/>
      </c>
      <c r="IWA18" s="28" t="str">
        <f>IFERROR(IF(IWJ3="No",IF(VLOOKUP(DATE($K$1,$K$2,IWA$4),Table1[],(MATCH(Calendar!$A18,DB!$1:$1,0)),FALSE)&gt;=5,"Good","Bad"),VLOOKUP(DATE($K$1,$K$2,IWA$4),Table1[],(MATCH(Calendar!$A18,DB!$1:$1,0)),FALSE)),"")</f>
        <v/>
      </c>
      <c r="IWB18" s="28" t="str">
        <f>IFERROR(IF(IWK3="No",IF(VLOOKUP(DATE($K$1,$K$2,IWB$4),Table1[],(MATCH(Calendar!$A18,DB!$1:$1,0)),FALSE)&gt;=5,"Good","Bad"),VLOOKUP(DATE($K$1,$K$2,IWB$4),Table1[],(MATCH(Calendar!$A18,DB!$1:$1,0)),FALSE)),"")</f>
        <v/>
      </c>
      <c r="IWC18" s="28" t="str">
        <f>IFERROR(IF(IWL3="No",IF(VLOOKUP(DATE($K$1,$K$2,IWC$4),Table1[],(MATCH(Calendar!$A18,DB!$1:$1,0)),FALSE)&gt;=5,"Good","Bad"),VLOOKUP(DATE($K$1,$K$2,IWC$4),Table1[],(MATCH(Calendar!$A18,DB!$1:$1,0)),FALSE)),"")</f>
        <v/>
      </c>
      <c r="IWD18" s="28" t="str">
        <f>IFERROR(IF(IWM3="No",IF(VLOOKUP(DATE($K$1,$K$2,IWD$4),Table1[],(MATCH(Calendar!$A18,DB!$1:$1,0)),FALSE)&gt;=5,"Good","Bad"),VLOOKUP(DATE($K$1,$K$2,IWD$4),Table1[],(MATCH(Calendar!$A18,DB!$1:$1,0)),FALSE)),"")</f>
        <v/>
      </c>
      <c r="IWE18" s="28" t="str">
        <f>IFERROR(IF(IWN3="No",IF(VLOOKUP(DATE($K$1,$K$2,IWE$4),Table1[],(MATCH(Calendar!$A18,DB!$1:$1,0)),FALSE)&gt;=5,"Good","Bad"),VLOOKUP(DATE($K$1,$K$2,IWE$4),Table1[],(MATCH(Calendar!$A18,DB!$1:$1,0)),FALSE)),"")</f>
        <v/>
      </c>
      <c r="IWF18" s="28" t="str">
        <f>IFERROR(IF(IWO3="No",IF(VLOOKUP(DATE($K$1,$K$2,IWF$4),Table1[],(MATCH(Calendar!$A18,DB!$1:$1,0)),FALSE)&gt;=5,"Good","Bad"),VLOOKUP(DATE($K$1,$K$2,IWF$4),Table1[],(MATCH(Calendar!$A18,DB!$1:$1,0)),FALSE)),"")</f>
        <v/>
      </c>
      <c r="IWG18" s="28" t="str">
        <f>IFERROR(IF(IWP3="No",IF(VLOOKUP(DATE($K$1,$K$2,IWG$4),Table1[],(MATCH(Calendar!$A18,DB!$1:$1,0)),FALSE)&gt;=5,"Good","Bad"),VLOOKUP(DATE($K$1,$K$2,IWG$4),Table1[],(MATCH(Calendar!$A18,DB!$1:$1,0)),FALSE)),"")</f>
        <v/>
      </c>
      <c r="IWH18" s="28" t="str">
        <f>IFERROR(IF(IWQ3="No",IF(VLOOKUP(DATE($K$1,$K$2,IWH$4),Table1[],(MATCH(Calendar!$A18,DB!$1:$1,0)),FALSE)&gt;=5,"Good","Bad"),VLOOKUP(DATE($K$1,$K$2,IWH$4),Table1[],(MATCH(Calendar!$A18,DB!$1:$1,0)),FALSE)),"")</f>
        <v/>
      </c>
      <c r="IWI18" s="28" t="str">
        <f>IFERROR(IF(IWR3="No",IF(VLOOKUP(DATE($K$1,$K$2,IWI$4),Table1[],(MATCH(Calendar!$A18,DB!$1:$1,0)),FALSE)&gt;=5,"Good","Bad"),VLOOKUP(DATE($K$1,$K$2,IWI$4),Table1[],(MATCH(Calendar!$A18,DB!$1:$1,0)),FALSE)),"")</f>
        <v/>
      </c>
      <c r="IWJ18" s="28" t="str">
        <f>IFERROR(IF(IWS3="No",IF(VLOOKUP(DATE($K$1,$K$2,IWJ$4),Table1[],(MATCH(Calendar!$A18,DB!$1:$1,0)),FALSE)&gt;=5,"Good","Bad"),VLOOKUP(DATE($K$1,$K$2,IWJ$4),Table1[],(MATCH(Calendar!$A18,DB!$1:$1,0)),FALSE)),"")</f>
        <v/>
      </c>
      <c r="IWK18" s="28" t="str">
        <f>IFERROR(IF(IWT3="No",IF(VLOOKUP(DATE($K$1,$K$2,IWK$4),Table1[],(MATCH(Calendar!$A18,DB!$1:$1,0)),FALSE)&gt;=5,"Good","Bad"),VLOOKUP(DATE($K$1,$K$2,IWK$4),Table1[],(MATCH(Calendar!$A18,DB!$1:$1,0)),FALSE)),"")</f>
        <v/>
      </c>
      <c r="IWL18" s="28" t="str">
        <f>IFERROR(IF(IWU3="No",IF(VLOOKUP(DATE($K$1,$K$2,IWL$4),Table1[],(MATCH(Calendar!$A18,DB!$1:$1,0)),FALSE)&gt;=5,"Good","Bad"),VLOOKUP(DATE($K$1,$K$2,IWL$4),Table1[],(MATCH(Calendar!$A18,DB!$1:$1,0)),FALSE)),"")</f>
        <v/>
      </c>
      <c r="IWM18" s="28" t="str">
        <f>IFERROR(IF(IWV3="No",IF(VLOOKUP(DATE($K$1,$K$2,IWM$4),Table1[],(MATCH(Calendar!$A18,DB!$1:$1,0)),FALSE)&gt;=5,"Good","Bad"),VLOOKUP(DATE($K$1,$K$2,IWM$4),Table1[],(MATCH(Calendar!$A18,DB!$1:$1,0)),FALSE)),"")</f>
        <v/>
      </c>
      <c r="IWN18" s="28" t="str">
        <f>IFERROR(IF(IWW3="No",IF(VLOOKUP(DATE($K$1,$K$2,IWN$4),Table1[],(MATCH(Calendar!$A18,DB!$1:$1,0)),FALSE)&gt;=5,"Good","Bad"),VLOOKUP(DATE($K$1,$K$2,IWN$4),Table1[],(MATCH(Calendar!$A18,DB!$1:$1,0)),FALSE)),"")</f>
        <v/>
      </c>
      <c r="IWO18" s="28" t="str">
        <f>IFERROR(IF(IWX3="No",IF(VLOOKUP(DATE($K$1,$K$2,IWO$4),Table1[],(MATCH(Calendar!$A18,DB!$1:$1,0)),FALSE)&gt;=5,"Good","Bad"),VLOOKUP(DATE($K$1,$K$2,IWO$4),Table1[],(MATCH(Calendar!$A18,DB!$1:$1,0)),FALSE)),"")</f>
        <v/>
      </c>
      <c r="IWP18" s="28" t="str">
        <f>IFERROR(IF(IWY3="No",IF(VLOOKUP(DATE($K$1,$K$2,IWP$4),Table1[],(MATCH(Calendar!$A18,DB!$1:$1,0)),FALSE)&gt;=5,"Good","Bad"),VLOOKUP(DATE($K$1,$K$2,IWP$4),Table1[],(MATCH(Calendar!$A18,DB!$1:$1,0)),FALSE)),"")</f>
        <v/>
      </c>
      <c r="IWQ18" s="28" t="str">
        <f>IFERROR(IF(IWZ3="No",IF(VLOOKUP(DATE($K$1,$K$2,IWQ$4),Table1[],(MATCH(Calendar!$A18,DB!$1:$1,0)),FALSE)&gt;=5,"Good","Bad"),VLOOKUP(DATE($K$1,$K$2,IWQ$4),Table1[],(MATCH(Calendar!$A18,DB!$1:$1,0)),FALSE)),"")</f>
        <v/>
      </c>
      <c r="IWR18" s="28" t="str">
        <f>IFERROR(IF(IXA3="No",IF(VLOOKUP(DATE($K$1,$K$2,IWR$4),Table1[],(MATCH(Calendar!$A18,DB!$1:$1,0)),FALSE)&gt;=5,"Good","Bad"),VLOOKUP(DATE($K$1,$K$2,IWR$4),Table1[],(MATCH(Calendar!$A18,DB!$1:$1,0)),FALSE)),"")</f>
        <v/>
      </c>
      <c r="IWS18" s="28" t="str">
        <f>IFERROR(IF(IXB3="No",IF(VLOOKUP(DATE($K$1,$K$2,IWS$4),Table1[],(MATCH(Calendar!$A18,DB!$1:$1,0)),FALSE)&gt;=5,"Good","Bad"),VLOOKUP(DATE($K$1,$K$2,IWS$4),Table1[],(MATCH(Calendar!$A18,DB!$1:$1,0)),FALSE)),"")</f>
        <v/>
      </c>
      <c r="IWT18" s="28" t="str">
        <f>IFERROR(IF(IXC3="No",IF(VLOOKUP(DATE($K$1,$K$2,IWT$4),Table1[],(MATCH(Calendar!$A18,DB!$1:$1,0)),FALSE)&gt;=5,"Good","Bad"),VLOOKUP(DATE($K$1,$K$2,IWT$4),Table1[],(MATCH(Calendar!$A18,DB!$1:$1,0)),FALSE)),"")</f>
        <v/>
      </c>
      <c r="IWU18" s="28" t="str">
        <f>IFERROR(IF(IXD3="No",IF(VLOOKUP(DATE($K$1,$K$2,IWU$4),Table1[],(MATCH(Calendar!$A18,DB!$1:$1,0)),FALSE)&gt;=5,"Good","Bad"),VLOOKUP(DATE($K$1,$K$2,IWU$4),Table1[],(MATCH(Calendar!$A18,DB!$1:$1,0)),FALSE)),"")</f>
        <v/>
      </c>
      <c r="IWV18" s="28" t="str">
        <f>IFERROR(IF(IXE3="No",IF(VLOOKUP(DATE($K$1,$K$2,IWV$4),Table1[],(MATCH(Calendar!$A18,DB!$1:$1,0)),FALSE)&gt;=5,"Good","Bad"),VLOOKUP(DATE($K$1,$K$2,IWV$4),Table1[],(MATCH(Calendar!$A18,DB!$1:$1,0)),FALSE)),"")</f>
        <v/>
      </c>
      <c r="IWW18" s="28" t="str">
        <f>IFERROR(IF(IXF3="No",IF(VLOOKUP(DATE($K$1,$K$2,IWW$4),Table1[],(MATCH(Calendar!$A18,DB!$1:$1,0)),FALSE)&gt;=5,"Good","Bad"),VLOOKUP(DATE($K$1,$K$2,IWW$4),Table1[],(MATCH(Calendar!$A18,DB!$1:$1,0)),FALSE)),"")</f>
        <v/>
      </c>
      <c r="IWX18" s="28" t="str">
        <f>IFERROR(IF(IXG3="No",IF(VLOOKUP(DATE($K$1,$K$2,IWX$4),Table1[],(MATCH(Calendar!$A18,DB!$1:$1,0)),FALSE)&gt;=5,"Good","Bad"),VLOOKUP(DATE($K$1,$K$2,IWX$4),Table1[],(MATCH(Calendar!$A18,DB!$1:$1,0)),FALSE)),"")</f>
        <v/>
      </c>
      <c r="IWY18" s="28" t="str">
        <f>IFERROR(IF(IXH3="No",IF(VLOOKUP(DATE($K$1,$K$2,IWY$4),Table1[],(MATCH(Calendar!$A18,DB!$1:$1,0)),FALSE)&gt;=5,"Good","Bad"),VLOOKUP(DATE($K$1,$K$2,IWY$4),Table1[],(MATCH(Calendar!$A18,DB!$1:$1,0)),FALSE)),"")</f>
        <v/>
      </c>
      <c r="IWZ18" s="28" t="str">
        <f>IFERROR(IF(IXI3="No",IF(VLOOKUP(DATE($K$1,$K$2,IWZ$4),Table1[],(MATCH(Calendar!$A18,DB!$1:$1,0)),FALSE)&gt;=5,"Good","Bad"),VLOOKUP(DATE($K$1,$K$2,IWZ$4),Table1[],(MATCH(Calendar!$A18,DB!$1:$1,0)),FALSE)),"")</f>
        <v/>
      </c>
      <c r="IXA18" s="28" t="str">
        <f>IFERROR(IF(IXJ3="No",IF(VLOOKUP(DATE($K$1,$K$2,IXA$4),Table1[],(MATCH(Calendar!$A18,DB!$1:$1,0)),FALSE)&gt;=5,"Good","Bad"),VLOOKUP(DATE($K$1,$K$2,IXA$4),Table1[],(MATCH(Calendar!$A18,DB!$1:$1,0)),FALSE)),"")</f>
        <v/>
      </c>
      <c r="IXB18" s="28" t="str">
        <f>IFERROR(IF(IXK3="No",IF(VLOOKUP(DATE($K$1,$K$2,IXB$4),Table1[],(MATCH(Calendar!$A18,DB!$1:$1,0)),FALSE)&gt;=5,"Good","Bad"),VLOOKUP(DATE($K$1,$K$2,IXB$4),Table1[],(MATCH(Calendar!$A18,DB!$1:$1,0)),FALSE)),"")</f>
        <v/>
      </c>
      <c r="IXC18" s="28" t="str">
        <f>IFERROR(IF(IXL3="No",IF(VLOOKUP(DATE($K$1,$K$2,IXC$4),Table1[],(MATCH(Calendar!$A18,DB!$1:$1,0)),FALSE)&gt;=5,"Good","Bad"),VLOOKUP(DATE($K$1,$K$2,IXC$4),Table1[],(MATCH(Calendar!$A18,DB!$1:$1,0)),FALSE)),"")</f>
        <v/>
      </c>
      <c r="IXD18" s="28" t="str">
        <f>IFERROR(IF(IXM3="No",IF(VLOOKUP(DATE($K$1,$K$2,IXD$4),Table1[],(MATCH(Calendar!$A18,DB!$1:$1,0)),FALSE)&gt;=5,"Good","Bad"),VLOOKUP(DATE($K$1,$K$2,IXD$4),Table1[],(MATCH(Calendar!$A18,DB!$1:$1,0)),FALSE)),"")</f>
        <v/>
      </c>
      <c r="IXE18" s="28" t="str">
        <f>IFERROR(IF(IXN3="No",IF(VLOOKUP(DATE($K$1,$K$2,IXE$4),Table1[],(MATCH(Calendar!$A18,DB!$1:$1,0)),FALSE)&gt;=5,"Good","Bad"),VLOOKUP(DATE($K$1,$K$2,IXE$4),Table1[],(MATCH(Calendar!$A18,DB!$1:$1,0)),FALSE)),"")</f>
        <v/>
      </c>
      <c r="IXF18" s="28" t="str">
        <f>IFERROR(IF(IXO3="No",IF(VLOOKUP(DATE($K$1,$K$2,IXF$4),Table1[],(MATCH(Calendar!$A18,DB!$1:$1,0)),FALSE)&gt;=5,"Good","Bad"),VLOOKUP(DATE($K$1,$K$2,IXF$4),Table1[],(MATCH(Calendar!$A18,DB!$1:$1,0)),FALSE)),"")</f>
        <v/>
      </c>
      <c r="IXG18" s="28" t="str">
        <f>IFERROR(IF(IXP3="No",IF(VLOOKUP(DATE($K$1,$K$2,IXG$4),Table1[],(MATCH(Calendar!$A18,DB!$1:$1,0)),FALSE)&gt;=5,"Good","Bad"),VLOOKUP(DATE($K$1,$K$2,IXG$4),Table1[],(MATCH(Calendar!$A18,DB!$1:$1,0)),FALSE)),"")</f>
        <v/>
      </c>
      <c r="IXH18" s="28" t="str">
        <f>IFERROR(IF(IXQ3="No",IF(VLOOKUP(DATE($K$1,$K$2,IXH$4),Table1[],(MATCH(Calendar!$A18,DB!$1:$1,0)),FALSE)&gt;=5,"Good","Bad"),VLOOKUP(DATE($K$1,$K$2,IXH$4),Table1[],(MATCH(Calendar!$A18,DB!$1:$1,0)),FALSE)),"")</f>
        <v/>
      </c>
      <c r="IXI18" s="28" t="str">
        <f>IFERROR(IF(IXR3="No",IF(VLOOKUP(DATE($K$1,$K$2,IXI$4),Table1[],(MATCH(Calendar!$A18,DB!$1:$1,0)),FALSE)&gt;=5,"Good","Bad"),VLOOKUP(DATE($K$1,$K$2,IXI$4),Table1[],(MATCH(Calendar!$A18,DB!$1:$1,0)),FALSE)),"")</f>
        <v/>
      </c>
      <c r="IXJ18" s="28" t="str">
        <f>IFERROR(IF(IXS3="No",IF(VLOOKUP(DATE($K$1,$K$2,IXJ$4),Table1[],(MATCH(Calendar!$A18,DB!$1:$1,0)),FALSE)&gt;=5,"Good","Bad"),VLOOKUP(DATE($K$1,$K$2,IXJ$4),Table1[],(MATCH(Calendar!$A18,DB!$1:$1,0)),FALSE)),"")</f>
        <v/>
      </c>
      <c r="IXK18" s="28" t="str">
        <f>IFERROR(IF(IXT3="No",IF(VLOOKUP(DATE($K$1,$K$2,IXK$4),Table1[],(MATCH(Calendar!$A18,DB!$1:$1,0)),FALSE)&gt;=5,"Good","Bad"),VLOOKUP(DATE($K$1,$K$2,IXK$4),Table1[],(MATCH(Calendar!$A18,DB!$1:$1,0)),FALSE)),"")</f>
        <v/>
      </c>
      <c r="IXL18" s="28" t="str">
        <f>IFERROR(IF(IXU3="No",IF(VLOOKUP(DATE($K$1,$K$2,IXL$4),Table1[],(MATCH(Calendar!$A18,DB!$1:$1,0)),FALSE)&gt;=5,"Good","Bad"),VLOOKUP(DATE($K$1,$K$2,IXL$4),Table1[],(MATCH(Calendar!$A18,DB!$1:$1,0)),FALSE)),"")</f>
        <v/>
      </c>
      <c r="IXM18" s="28" t="str">
        <f>IFERROR(IF(IXV3="No",IF(VLOOKUP(DATE($K$1,$K$2,IXM$4),Table1[],(MATCH(Calendar!$A18,DB!$1:$1,0)),FALSE)&gt;=5,"Good","Bad"),VLOOKUP(DATE($K$1,$K$2,IXM$4),Table1[],(MATCH(Calendar!$A18,DB!$1:$1,0)),FALSE)),"")</f>
        <v/>
      </c>
      <c r="IXN18" s="28" t="str">
        <f>IFERROR(IF(IXW3="No",IF(VLOOKUP(DATE($K$1,$K$2,IXN$4),Table1[],(MATCH(Calendar!$A18,DB!$1:$1,0)),FALSE)&gt;=5,"Good","Bad"),VLOOKUP(DATE($K$1,$K$2,IXN$4),Table1[],(MATCH(Calendar!$A18,DB!$1:$1,0)),FALSE)),"")</f>
        <v/>
      </c>
      <c r="IXO18" s="28" t="str">
        <f>IFERROR(IF(IXX3="No",IF(VLOOKUP(DATE($K$1,$K$2,IXO$4),Table1[],(MATCH(Calendar!$A18,DB!$1:$1,0)),FALSE)&gt;=5,"Good","Bad"),VLOOKUP(DATE($K$1,$K$2,IXO$4),Table1[],(MATCH(Calendar!$A18,DB!$1:$1,0)),FALSE)),"")</f>
        <v/>
      </c>
      <c r="IXP18" s="28" t="str">
        <f>IFERROR(IF(IXY3="No",IF(VLOOKUP(DATE($K$1,$K$2,IXP$4),Table1[],(MATCH(Calendar!$A18,DB!$1:$1,0)),FALSE)&gt;=5,"Good","Bad"),VLOOKUP(DATE($K$1,$K$2,IXP$4),Table1[],(MATCH(Calendar!$A18,DB!$1:$1,0)),FALSE)),"")</f>
        <v/>
      </c>
      <c r="IXQ18" s="28" t="str">
        <f>IFERROR(IF(IXZ3="No",IF(VLOOKUP(DATE($K$1,$K$2,IXQ$4),Table1[],(MATCH(Calendar!$A18,DB!$1:$1,0)),FALSE)&gt;=5,"Good","Bad"),VLOOKUP(DATE($K$1,$K$2,IXQ$4),Table1[],(MATCH(Calendar!$A18,DB!$1:$1,0)),FALSE)),"")</f>
        <v/>
      </c>
      <c r="IXR18" s="28" t="str">
        <f>IFERROR(IF(IYA3="No",IF(VLOOKUP(DATE($K$1,$K$2,IXR$4),Table1[],(MATCH(Calendar!$A18,DB!$1:$1,0)),FALSE)&gt;=5,"Good","Bad"),VLOOKUP(DATE($K$1,$K$2,IXR$4),Table1[],(MATCH(Calendar!$A18,DB!$1:$1,0)),FALSE)),"")</f>
        <v/>
      </c>
      <c r="IXS18" s="28" t="str">
        <f>IFERROR(IF(IYB3="No",IF(VLOOKUP(DATE($K$1,$K$2,IXS$4),Table1[],(MATCH(Calendar!$A18,DB!$1:$1,0)),FALSE)&gt;=5,"Good","Bad"),VLOOKUP(DATE($K$1,$K$2,IXS$4),Table1[],(MATCH(Calendar!$A18,DB!$1:$1,0)),FALSE)),"")</f>
        <v/>
      </c>
      <c r="IXT18" s="28" t="str">
        <f>IFERROR(IF(IYC3="No",IF(VLOOKUP(DATE($K$1,$K$2,IXT$4),Table1[],(MATCH(Calendar!$A18,DB!$1:$1,0)),FALSE)&gt;=5,"Good","Bad"),VLOOKUP(DATE($K$1,$K$2,IXT$4),Table1[],(MATCH(Calendar!$A18,DB!$1:$1,0)),FALSE)),"")</f>
        <v/>
      </c>
      <c r="IXU18" s="28" t="str">
        <f>IFERROR(IF(IYD3="No",IF(VLOOKUP(DATE($K$1,$K$2,IXU$4),Table1[],(MATCH(Calendar!$A18,DB!$1:$1,0)),FALSE)&gt;=5,"Good","Bad"),VLOOKUP(DATE($K$1,$K$2,IXU$4),Table1[],(MATCH(Calendar!$A18,DB!$1:$1,0)),FALSE)),"")</f>
        <v/>
      </c>
      <c r="IXV18" s="28" t="str">
        <f>IFERROR(IF(IYE3="No",IF(VLOOKUP(DATE($K$1,$K$2,IXV$4),Table1[],(MATCH(Calendar!$A18,DB!$1:$1,0)),FALSE)&gt;=5,"Good","Bad"),VLOOKUP(DATE($K$1,$K$2,IXV$4),Table1[],(MATCH(Calendar!$A18,DB!$1:$1,0)),FALSE)),"")</f>
        <v/>
      </c>
      <c r="IXW18" s="28" t="str">
        <f>IFERROR(IF(IYF3="No",IF(VLOOKUP(DATE($K$1,$K$2,IXW$4),Table1[],(MATCH(Calendar!$A18,DB!$1:$1,0)),FALSE)&gt;=5,"Good","Bad"),VLOOKUP(DATE($K$1,$K$2,IXW$4),Table1[],(MATCH(Calendar!$A18,DB!$1:$1,0)),FALSE)),"")</f>
        <v/>
      </c>
      <c r="IXX18" s="28" t="str">
        <f>IFERROR(IF(IYG3="No",IF(VLOOKUP(DATE($K$1,$K$2,IXX$4),Table1[],(MATCH(Calendar!$A18,DB!$1:$1,0)),FALSE)&gt;=5,"Good","Bad"),VLOOKUP(DATE($K$1,$K$2,IXX$4),Table1[],(MATCH(Calendar!$A18,DB!$1:$1,0)),FALSE)),"")</f>
        <v/>
      </c>
      <c r="IXY18" s="28" t="str">
        <f>IFERROR(IF(IYH3="No",IF(VLOOKUP(DATE($K$1,$K$2,IXY$4),Table1[],(MATCH(Calendar!$A18,DB!$1:$1,0)),FALSE)&gt;=5,"Good","Bad"),VLOOKUP(DATE($K$1,$K$2,IXY$4),Table1[],(MATCH(Calendar!$A18,DB!$1:$1,0)),FALSE)),"")</f>
        <v/>
      </c>
      <c r="IXZ18" s="28" t="str">
        <f>IFERROR(IF(IYI3="No",IF(VLOOKUP(DATE($K$1,$K$2,IXZ$4),Table1[],(MATCH(Calendar!$A18,DB!$1:$1,0)),FALSE)&gt;=5,"Good","Bad"),VLOOKUP(DATE($K$1,$K$2,IXZ$4),Table1[],(MATCH(Calendar!$A18,DB!$1:$1,0)),FALSE)),"")</f>
        <v/>
      </c>
      <c r="IYA18" s="28" t="str">
        <f>IFERROR(IF(IYJ3="No",IF(VLOOKUP(DATE($K$1,$K$2,IYA$4),Table1[],(MATCH(Calendar!$A18,DB!$1:$1,0)),FALSE)&gt;=5,"Good","Bad"),VLOOKUP(DATE($K$1,$K$2,IYA$4),Table1[],(MATCH(Calendar!$A18,DB!$1:$1,0)),FALSE)),"")</f>
        <v/>
      </c>
      <c r="IYB18" s="28" t="str">
        <f>IFERROR(IF(IYK3="No",IF(VLOOKUP(DATE($K$1,$K$2,IYB$4),Table1[],(MATCH(Calendar!$A18,DB!$1:$1,0)),FALSE)&gt;=5,"Good","Bad"),VLOOKUP(DATE($K$1,$K$2,IYB$4),Table1[],(MATCH(Calendar!$A18,DB!$1:$1,0)),FALSE)),"")</f>
        <v/>
      </c>
      <c r="IYC18" s="28" t="str">
        <f>IFERROR(IF(IYL3="No",IF(VLOOKUP(DATE($K$1,$K$2,IYC$4),Table1[],(MATCH(Calendar!$A18,DB!$1:$1,0)),FALSE)&gt;=5,"Good","Bad"),VLOOKUP(DATE($K$1,$K$2,IYC$4),Table1[],(MATCH(Calendar!$A18,DB!$1:$1,0)),FALSE)),"")</f>
        <v/>
      </c>
      <c r="IYD18" s="28" t="str">
        <f>IFERROR(IF(IYM3="No",IF(VLOOKUP(DATE($K$1,$K$2,IYD$4),Table1[],(MATCH(Calendar!$A18,DB!$1:$1,0)),FALSE)&gt;=5,"Good","Bad"),VLOOKUP(DATE($K$1,$K$2,IYD$4),Table1[],(MATCH(Calendar!$A18,DB!$1:$1,0)),FALSE)),"")</f>
        <v/>
      </c>
      <c r="IYE18" s="28" t="str">
        <f>IFERROR(IF(IYN3="No",IF(VLOOKUP(DATE($K$1,$K$2,IYE$4),Table1[],(MATCH(Calendar!$A18,DB!$1:$1,0)),FALSE)&gt;=5,"Good","Bad"),VLOOKUP(DATE($K$1,$K$2,IYE$4),Table1[],(MATCH(Calendar!$A18,DB!$1:$1,0)),FALSE)),"")</f>
        <v/>
      </c>
      <c r="IYF18" s="28" t="str">
        <f>IFERROR(IF(IYO3="No",IF(VLOOKUP(DATE($K$1,$K$2,IYF$4),Table1[],(MATCH(Calendar!$A18,DB!$1:$1,0)),FALSE)&gt;=5,"Good","Bad"),VLOOKUP(DATE($K$1,$K$2,IYF$4),Table1[],(MATCH(Calendar!$A18,DB!$1:$1,0)),FALSE)),"")</f>
        <v/>
      </c>
      <c r="IYG18" s="28" t="str">
        <f>IFERROR(IF(IYP3="No",IF(VLOOKUP(DATE($K$1,$K$2,IYG$4),Table1[],(MATCH(Calendar!$A18,DB!$1:$1,0)),FALSE)&gt;=5,"Good","Bad"),VLOOKUP(DATE($K$1,$K$2,IYG$4),Table1[],(MATCH(Calendar!$A18,DB!$1:$1,0)),FALSE)),"")</f>
        <v/>
      </c>
      <c r="IYH18" s="28" t="str">
        <f>IFERROR(IF(IYQ3="No",IF(VLOOKUP(DATE($K$1,$K$2,IYH$4),Table1[],(MATCH(Calendar!$A18,DB!$1:$1,0)),FALSE)&gt;=5,"Good","Bad"),VLOOKUP(DATE($K$1,$K$2,IYH$4),Table1[],(MATCH(Calendar!$A18,DB!$1:$1,0)),FALSE)),"")</f>
        <v/>
      </c>
      <c r="IYI18" s="28" t="str">
        <f>IFERROR(IF(IYR3="No",IF(VLOOKUP(DATE($K$1,$K$2,IYI$4),Table1[],(MATCH(Calendar!$A18,DB!$1:$1,0)),FALSE)&gt;=5,"Good","Bad"),VLOOKUP(DATE($K$1,$K$2,IYI$4),Table1[],(MATCH(Calendar!$A18,DB!$1:$1,0)),FALSE)),"")</f>
        <v/>
      </c>
      <c r="IYJ18" s="28" t="str">
        <f>IFERROR(IF(IYS3="No",IF(VLOOKUP(DATE($K$1,$K$2,IYJ$4),Table1[],(MATCH(Calendar!$A18,DB!$1:$1,0)),FALSE)&gt;=5,"Good","Bad"),VLOOKUP(DATE($K$1,$K$2,IYJ$4),Table1[],(MATCH(Calendar!$A18,DB!$1:$1,0)),FALSE)),"")</f>
        <v/>
      </c>
      <c r="IYK18" s="28" t="str">
        <f>IFERROR(IF(IYT3="No",IF(VLOOKUP(DATE($K$1,$K$2,IYK$4),Table1[],(MATCH(Calendar!$A18,DB!$1:$1,0)),FALSE)&gt;=5,"Good","Bad"),VLOOKUP(DATE($K$1,$K$2,IYK$4),Table1[],(MATCH(Calendar!$A18,DB!$1:$1,0)),FALSE)),"")</f>
        <v/>
      </c>
      <c r="IYL18" s="28" t="str">
        <f>IFERROR(IF(IYU3="No",IF(VLOOKUP(DATE($K$1,$K$2,IYL$4),Table1[],(MATCH(Calendar!$A18,DB!$1:$1,0)),FALSE)&gt;=5,"Good","Bad"),VLOOKUP(DATE($K$1,$K$2,IYL$4),Table1[],(MATCH(Calendar!$A18,DB!$1:$1,0)),FALSE)),"")</f>
        <v/>
      </c>
      <c r="IYM18" s="28" t="str">
        <f>IFERROR(IF(IYV3="No",IF(VLOOKUP(DATE($K$1,$K$2,IYM$4),Table1[],(MATCH(Calendar!$A18,DB!$1:$1,0)),FALSE)&gt;=5,"Good","Bad"),VLOOKUP(DATE($K$1,$K$2,IYM$4),Table1[],(MATCH(Calendar!$A18,DB!$1:$1,0)),FALSE)),"")</f>
        <v/>
      </c>
      <c r="IYN18" s="28" t="str">
        <f>IFERROR(IF(IYW3="No",IF(VLOOKUP(DATE($K$1,$K$2,IYN$4),Table1[],(MATCH(Calendar!$A18,DB!$1:$1,0)),FALSE)&gt;=5,"Good","Bad"),VLOOKUP(DATE($K$1,$K$2,IYN$4),Table1[],(MATCH(Calendar!$A18,DB!$1:$1,0)),FALSE)),"")</f>
        <v/>
      </c>
      <c r="IYO18" s="28" t="str">
        <f>IFERROR(IF(IYX3="No",IF(VLOOKUP(DATE($K$1,$K$2,IYO$4),Table1[],(MATCH(Calendar!$A18,DB!$1:$1,0)),FALSE)&gt;=5,"Good","Bad"),VLOOKUP(DATE($K$1,$K$2,IYO$4),Table1[],(MATCH(Calendar!$A18,DB!$1:$1,0)),FALSE)),"")</f>
        <v/>
      </c>
      <c r="IYP18" s="28" t="str">
        <f>IFERROR(IF(IYY3="No",IF(VLOOKUP(DATE($K$1,$K$2,IYP$4),Table1[],(MATCH(Calendar!$A18,DB!$1:$1,0)),FALSE)&gt;=5,"Good","Bad"),VLOOKUP(DATE($K$1,$K$2,IYP$4),Table1[],(MATCH(Calendar!$A18,DB!$1:$1,0)),FALSE)),"")</f>
        <v/>
      </c>
      <c r="IYQ18" s="28" t="str">
        <f>IFERROR(IF(IYZ3="No",IF(VLOOKUP(DATE($K$1,$K$2,IYQ$4),Table1[],(MATCH(Calendar!$A18,DB!$1:$1,0)),FALSE)&gt;=5,"Good","Bad"),VLOOKUP(DATE($K$1,$K$2,IYQ$4),Table1[],(MATCH(Calendar!$A18,DB!$1:$1,0)),FALSE)),"")</f>
        <v/>
      </c>
      <c r="IYR18" s="28" t="str">
        <f>IFERROR(IF(IZA3="No",IF(VLOOKUP(DATE($K$1,$K$2,IYR$4),Table1[],(MATCH(Calendar!$A18,DB!$1:$1,0)),FALSE)&gt;=5,"Good","Bad"),VLOOKUP(DATE($K$1,$K$2,IYR$4),Table1[],(MATCH(Calendar!$A18,DB!$1:$1,0)),FALSE)),"")</f>
        <v/>
      </c>
      <c r="IYS18" s="28" t="str">
        <f>IFERROR(IF(IZB3="No",IF(VLOOKUP(DATE($K$1,$K$2,IYS$4),Table1[],(MATCH(Calendar!$A18,DB!$1:$1,0)),FALSE)&gt;=5,"Good","Bad"),VLOOKUP(DATE($K$1,$K$2,IYS$4),Table1[],(MATCH(Calendar!$A18,DB!$1:$1,0)),FALSE)),"")</f>
        <v/>
      </c>
      <c r="IYT18" s="28" t="str">
        <f>IFERROR(IF(IZC3="No",IF(VLOOKUP(DATE($K$1,$K$2,IYT$4),Table1[],(MATCH(Calendar!$A18,DB!$1:$1,0)),FALSE)&gt;=5,"Good","Bad"),VLOOKUP(DATE($K$1,$K$2,IYT$4),Table1[],(MATCH(Calendar!$A18,DB!$1:$1,0)),FALSE)),"")</f>
        <v/>
      </c>
      <c r="IYU18" s="28" t="str">
        <f>IFERROR(IF(IZD3="No",IF(VLOOKUP(DATE($K$1,$K$2,IYU$4),Table1[],(MATCH(Calendar!$A18,DB!$1:$1,0)),FALSE)&gt;=5,"Good","Bad"),VLOOKUP(DATE($K$1,$K$2,IYU$4),Table1[],(MATCH(Calendar!$A18,DB!$1:$1,0)),FALSE)),"")</f>
        <v/>
      </c>
      <c r="IYV18" s="28" t="str">
        <f>IFERROR(IF(IZE3="No",IF(VLOOKUP(DATE($K$1,$K$2,IYV$4),Table1[],(MATCH(Calendar!$A18,DB!$1:$1,0)),FALSE)&gt;=5,"Good","Bad"),VLOOKUP(DATE($K$1,$K$2,IYV$4),Table1[],(MATCH(Calendar!$A18,DB!$1:$1,0)),FALSE)),"")</f>
        <v/>
      </c>
      <c r="IYW18" s="28" t="str">
        <f>IFERROR(IF(IZF3="No",IF(VLOOKUP(DATE($K$1,$K$2,IYW$4),Table1[],(MATCH(Calendar!$A18,DB!$1:$1,0)),FALSE)&gt;=5,"Good","Bad"),VLOOKUP(DATE($K$1,$K$2,IYW$4),Table1[],(MATCH(Calendar!$A18,DB!$1:$1,0)),FALSE)),"")</f>
        <v/>
      </c>
      <c r="IYX18" s="28" t="str">
        <f>IFERROR(IF(IZG3="No",IF(VLOOKUP(DATE($K$1,$K$2,IYX$4),Table1[],(MATCH(Calendar!$A18,DB!$1:$1,0)),FALSE)&gt;=5,"Good","Bad"),VLOOKUP(DATE($K$1,$K$2,IYX$4),Table1[],(MATCH(Calendar!$A18,DB!$1:$1,0)),FALSE)),"")</f>
        <v/>
      </c>
      <c r="IYY18" s="28" t="str">
        <f>IFERROR(IF(IZH3="No",IF(VLOOKUP(DATE($K$1,$K$2,IYY$4),Table1[],(MATCH(Calendar!$A18,DB!$1:$1,0)),FALSE)&gt;=5,"Good","Bad"),VLOOKUP(DATE($K$1,$K$2,IYY$4),Table1[],(MATCH(Calendar!$A18,DB!$1:$1,0)),FALSE)),"")</f>
        <v/>
      </c>
      <c r="IYZ18" s="28" t="str">
        <f>IFERROR(IF(IZI3="No",IF(VLOOKUP(DATE($K$1,$K$2,IYZ$4),Table1[],(MATCH(Calendar!$A18,DB!$1:$1,0)),FALSE)&gt;=5,"Good","Bad"),VLOOKUP(DATE($K$1,$K$2,IYZ$4),Table1[],(MATCH(Calendar!$A18,DB!$1:$1,0)),FALSE)),"")</f>
        <v/>
      </c>
      <c r="IZA18" s="28" t="str">
        <f>IFERROR(IF(IZJ3="No",IF(VLOOKUP(DATE($K$1,$K$2,IZA$4),Table1[],(MATCH(Calendar!$A18,DB!$1:$1,0)),FALSE)&gt;=5,"Good","Bad"),VLOOKUP(DATE($K$1,$K$2,IZA$4),Table1[],(MATCH(Calendar!$A18,DB!$1:$1,0)),FALSE)),"")</f>
        <v/>
      </c>
      <c r="IZB18" s="28" t="str">
        <f>IFERROR(IF(IZK3="No",IF(VLOOKUP(DATE($K$1,$K$2,IZB$4),Table1[],(MATCH(Calendar!$A18,DB!$1:$1,0)),FALSE)&gt;=5,"Good","Bad"),VLOOKUP(DATE($K$1,$K$2,IZB$4),Table1[],(MATCH(Calendar!$A18,DB!$1:$1,0)),FALSE)),"")</f>
        <v/>
      </c>
      <c r="IZC18" s="28" t="str">
        <f>IFERROR(IF(IZL3="No",IF(VLOOKUP(DATE($K$1,$K$2,IZC$4),Table1[],(MATCH(Calendar!$A18,DB!$1:$1,0)),FALSE)&gt;=5,"Good","Bad"),VLOOKUP(DATE($K$1,$K$2,IZC$4),Table1[],(MATCH(Calendar!$A18,DB!$1:$1,0)),FALSE)),"")</f>
        <v/>
      </c>
      <c r="IZD18" s="28" t="str">
        <f>IFERROR(IF(IZM3="No",IF(VLOOKUP(DATE($K$1,$K$2,IZD$4),Table1[],(MATCH(Calendar!$A18,DB!$1:$1,0)),FALSE)&gt;=5,"Good","Bad"),VLOOKUP(DATE($K$1,$K$2,IZD$4),Table1[],(MATCH(Calendar!$A18,DB!$1:$1,0)),FALSE)),"")</f>
        <v/>
      </c>
      <c r="IZE18" s="28" t="str">
        <f>IFERROR(IF(IZN3="No",IF(VLOOKUP(DATE($K$1,$K$2,IZE$4),Table1[],(MATCH(Calendar!$A18,DB!$1:$1,0)),FALSE)&gt;=5,"Good","Bad"),VLOOKUP(DATE($K$1,$K$2,IZE$4),Table1[],(MATCH(Calendar!$A18,DB!$1:$1,0)),FALSE)),"")</f>
        <v/>
      </c>
      <c r="IZF18" s="28" t="str">
        <f>IFERROR(IF(IZO3="No",IF(VLOOKUP(DATE($K$1,$K$2,IZF$4),Table1[],(MATCH(Calendar!$A18,DB!$1:$1,0)),FALSE)&gt;=5,"Good","Bad"),VLOOKUP(DATE($K$1,$K$2,IZF$4),Table1[],(MATCH(Calendar!$A18,DB!$1:$1,0)),FALSE)),"")</f>
        <v/>
      </c>
      <c r="IZG18" s="28" t="str">
        <f>IFERROR(IF(IZP3="No",IF(VLOOKUP(DATE($K$1,$K$2,IZG$4),Table1[],(MATCH(Calendar!$A18,DB!$1:$1,0)),FALSE)&gt;=5,"Good","Bad"),VLOOKUP(DATE($K$1,$K$2,IZG$4),Table1[],(MATCH(Calendar!$A18,DB!$1:$1,0)),FALSE)),"")</f>
        <v/>
      </c>
      <c r="IZH18" s="28" t="str">
        <f>IFERROR(IF(IZQ3="No",IF(VLOOKUP(DATE($K$1,$K$2,IZH$4),Table1[],(MATCH(Calendar!$A18,DB!$1:$1,0)),FALSE)&gt;=5,"Good","Bad"),VLOOKUP(DATE($K$1,$K$2,IZH$4),Table1[],(MATCH(Calendar!$A18,DB!$1:$1,0)),FALSE)),"")</f>
        <v/>
      </c>
      <c r="IZI18" s="28" t="str">
        <f>IFERROR(IF(IZR3="No",IF(VLOOKUP(DATE($K$1,$K$2,IZI$4),Table1[],(MATCH(Calendar!$A18,DB!$1:$1,0)),FALSE)&gt;=5,"Good","Bad"),VLOOKUP(DATE($K$1,$K$2,IZI$4),Table1[],(MATCH(Calendar!$A18,DB!$1:$1,0)),FALSE)),"")</f>
        <v/>
      </c>
      <c r="IZJ18" s="28" t="str">
        <f>IFERROR(IF(IZS3="No",IF(VLOOKUP(DATE($K$1,$K$2,IZJ$4),Table1[],(MATCH(Calendar!$A18,DB!$1:$1,0)),FALSE)&gt;=5,"Good","Bad"),VLOOKUP(DATE($K$1,$K$2,IZJ$4),Table1[],(MATCH(Calendar!$A18,DB!$1:$1,0)),FALSE)),"")</f>
        <v/>
      </c>
      <c r="IZK18" s="28" t="str">
        <f>IFERROR(IF(IZT3="No",IF(VLOOKUP(DATE($K$1,$K$2,IZK$4),Table1[],(MATCH(Calendar!$A18,DB!$1:$1,0)),FALSE)&gt;=5,"Good","Bad"),VLOOKUP(DATE($K$1,$K$2,IZK$4),Table1[],(MATCH(Calendar!$A18,DB!$1:$1,0)),FALSE)),"")</f>
        <v/>
      </c>
      <c r="IZL18" s="28" t="str">
        <f>IFERROR(IF(IZU3="No",IF(VLOOKUP(DATE($K$1,$K$2,IZL$4),Table1[],(MATCH(Calendar!$A18,DB!$1:$1,0)),FALSE)&gt;=5,"Good","Bad"),VLOOKUP(DATE($K$1,$K$2,IZL$4),Table1[],(MATCH(Calendar!$A18,DB!$1:$1,0)),FALSE)),"")</f>
        <v/>
      </c>
      <c r="IZM18" s="28" t="str">
        <f>IFERROR(IF(IZV3="No",IF(VLOOKUP(DATE($K$1,$K$2,IZM$4),Table1[],(MATCH(Calendar!$A18,DB!$1:$1,0)),FALSE)&gt;=5,"Good","Bad"),VLOOKUP(DATE($K$1,$K$2,IZM$4),Table1[],(MATCH(Calendar!$A18,DB!$1:$1,0)),FALSE)),"")</f>
        <v/>
      </c>
      <c r="IZN18" s="28" t="str">
        <f>IFERROR(IF(IZW3="No",IF(VLOOKUP(DATE($K$1,$K$2,IZN$4),Table1[],(MATCH(Calendar!$A18,DB!$1:$1,0)),FALSE)&gt;=5,"Good","Bad"),VLOOKUP(DATE($K$1,$K$2,IZN$4),Table1[],(MATCH(Calendar!$A18,DB!$1:$1,0)),FALSE)),"")</f>
        <v/>
      </c>
      <c r="IZO18" s="28" t="str">
        <f>IFERROR(IF(IZX3="No",IF(VLOOKUP(DATE($K$1,$K$2,IZO$4),Table1[],(MATCH(Calendar!$A18,DB!$1:$1,0)),FALSE)&gt;=5,"Good","Bad"),VLOOKUP(DATE($K$1,$K$2,IZO$4),Table1[],(MATCH(Calendar!$A18,DB!$1:$1,0)),FALSE)),"")</f>
        <v/>
      </c>
      <c r="IZP18" s="28" t="str">
        <f>IFERROR(IF(IZY3="No",IF(VLOOKUP(DATE($K$1,$K$2,IZP$4),Table1[],(MATCH(Calendar!$A18,DB!$1:$1,0)),FALSE)&gt;=5,"Good","Bad"),VLOOKUP(DATE($K$1,$K$2,IZP$4),Table1[],(MATCH(Calendar!$A18,DB!$1:$1,0)),FALSE)),"")</f>
        <v/>
      </c>
      <c r="IZQ18" s="28" t="str">
        <f>IFERROR(IF(IZZ3="No",IF(VLOOKUP(DATE($K$1,$K$2,IZQ$4),Table1[],(MATCH(Calendar!$A18,DB!$1:$1,0)),FALSE)&gt;=5,"Good","Bad"),VLOOKUP(DATE($K$1,$K$2,IZQ$4),Table1[],(MATCH(Calendar!$A18,DB!$1:$1,0)),FALSE)),"")</f>
        <v/>
      </c>
      <c r="IZR18" s="28" t="str">
        <f>IFERROR(IF(JAA3="No",IF(VLOOKUP(DATE($K$1,$K$2,IZR$4),Table1[],(MATCH(Calendar!$A18,DB!$1:$1,0)),FALSE)&gt;=5,"Good","Bad"),VLOOKUP(DATE($K$1,$K$2,IZR$4),Table1[],(MATCH(Calendar!$A18,DB!$1:$1,0)),FALSE)),"")</f>
        <v/>
      </c>
      <c r="IZS18" s="28" t="str">
        <f>IFERROR(IF(JAB3="No",IF(VLOOKUP(DATE($K$1,$K$2,IZS$4),Table1[],(MATCH(Calendar!$A18,DB!$1:$1,0)),FALSE)&gt;=5,"Good","Bad"),VLOOKUP(DATE($K$1,$K$2,IZS$4),Table1[],(MATCH(Calendar!$A18,DB!$1:$1,0)),FALSE)),"")</f>
        <v/>
      </c>
      <c r="IZT18" s="28" t="str">
        <f>IFERROR(IF(JAC3="No",IF(VLOOKUP(DATE($K$1,$K$2,IZT$4),Table1[],(MATCH(Calendar!$A18,DB!$1:$1,0)),FALSE)&gt;=5,"Good","Bad"),VLOOKUP(DATE($K$1,$K$2,IZT$4),Table1[],(MATCH(Calendar!$A18,DB!$1:$1,0)),FALSE)),"")</f>
        <v/>
      </c>
      <c r="IZU18" s="28" t="str">
        <f>IFERROR(IF(JAD3="No",IF(VLOOKUP(DATE($K$1,$K$2,IZU$4),Table1[],(MATCH(Calendar!$A18,DB!$1:$1,0)),FALSE)&gt;=5,"Good","Bad"),VLOOKUP(DATE($K$1,$K$2,IZU$4),Table1[],(MATCH(Calendar!$A18,DB!$1:$1,0)),FALSE)),"")</f>
        <v/>
      </c>
      <c r="IZV18" s="28" t="str">
        <f>IFERROR(IF(JAE3="No",IF(VLOOKUP(DATE($K$1,$K$2,IZV$4),Table1[],(MATCH(Calendar!$A18,DB!$1:$1,0)),FALSE)&gt;=5,"Good","Bad"),VLOOKUP(DATE($K$1,$K$2,IZV$4),Table1[],(MATCH(Calendar!$A18,DB!$1:$1,0)),FALSE)),"")</f>
        <v/>
      </c>
      <c r="IZW18" s="28" t="str">
        <f>IFERROR(IF(JAF3="No",IF(VLOOKUP(DATE($K$1,$K$2,IZW$4),Table1[],(MATCH(Calendar!$A18,DB!$1:$1,0)),FALSE)&gt;=5,"Good","Bad"),VLOOKUP(DATE($K$1,$K$2,IZW$4),Table1[],(MATCH(Calendar!$A18,DB!$1:$1,0)),FALSE)),"")</f>
        <v/>
      </c>
      <c r="IZX18" s="28" t="str">
        <f>IFERROR(IF(JAG3="No",IF(VLOOKUP(DATE($K$1,$K$2,IZX$4),Table1[],(MATCH(Calendar!$A18,DB!$1:$1,0)),FALSE)&gt;=5,"Good","Bad"),VLOOKUP(DATE($K$1,$K$2,IZX$4),Table1[],(MATCH(Calendar!$A18,DB!$1:$1,0)),FALSE)),"")</f>
        <v/>
      </c>
      <c r="IZY18" s="28" t="str">
        <f>IFERROR(IF(JAH3="No",IF(VLOOKUP(DATE($K$1,$K$2,IZY$4),Table1[],(MATCH(Calendar!$A18,DB!$1:$1,0)),FALSE)&gt;=5,"Good","Bad"),VLOOKUP(DATE($K$1,$K$2,IZY$4),Table1[],(MATCH(Calendar!$A18,DB!$1:$1,0)),FALSE)),"")</f>
        <v/>
      </c>
      <c r="IZZ18" s="28" t="str">
        <f>IFERROR(IF(JAI3="No",IF(VLOOKUP(DATE($K$1,$K$2,IZZ$4),Table1[],(MATCH(Calendar!$A18,DB!$1:$1,0)),FALSE)&gt;=5,"Good","Bad"),VLOOKUP(DATE($K$1,$K$2,IZZ$4),Table1[],(MATCH(Calendar!$A18,DB!$1:$1,0)),FALSE)),"")</f>
        <v/>
      </c>
      <c r="JAA18" s="28" t="str">
        <f>IFERROR(IF(JAJ3="No",IF(VLOOKUP(DATE($K$1,$K$2,JAA$4),Table1[],(MATCH(Calendar!$A18,DB!$1:$1,0)),FALSE)&gt;=5,"Good","Bad"),VLOOKUP(DATE($K$1,$K$2,JAA$4),Table1[],(MATCH(Calendar!$A18,DB!$1:$1,0)),FALSE)),"")</f>
        <v/>
      </c>
      <c r="JAB18" s="28" t="str">
        <f>IFERROR(IF(JAK3="No",IF(VLOOKUP(DATE($K$1,$K$2,JAB$4),Table1[],(MATCH(Calendar!$A18,DB!$1:$1,0)),FALSE)&gt;=5,"Good","Bad"),VLOOKUP(DATE($K$1,$K$2,JAB$4),Table1[],(MATCH(Calendar!$A18,DB!$1:$1,0)),FALSE)),"")</f>
        <v/>
      </c>
      <c r="JAC18" s="28" t="str">
        <f>IFERROR(IF(JAL3="No",IF(VLOOKUP(DATE($K$1,$K$2,JAC$4),Table1[],(MATCH(Calendar!$A18,DB!$1:$1,0)),FALSE)&gt;=5,"Good","Bad"),VLOOKUP(DATE($K$1,$K$2,JAC$4),Table1[],(MATCH(Calendar!$A18,DB!$1:$1,0)),FALSE)),"")</f>
        <v/>
      </c>
      <c r="JAD18" s="28" t="str">
        <f>IFERROR(IF(JAM3="No",IF(VLOOKUP(DATE($K$1,$K$2,JAD$4),Table1[],(MATCH(Calendar!$A18,DB!$1:$1,0)),FALSE)&gt;=5,"Good","Bad"),VLOOKUP(DATE($K$1,$K$2,JAD$4),Table1[],(MATCH(Calendar!$A18,DB!$1:$1,0)),FALSE)),"")</f>
        <v/>
      </c>
      <c r="JAE18" s="28" t="str">
        <f>IFERROR(IF(JAN3="No",IF(VLOOKUP(DATE($K$1,$K$2,JAE$4),Table1[],(MATCH(Calendar!$A18,DB!$1:$1,0)),FALSE)&gt;=5,"Good","Bad"),VLOOKUP(DATE($K$1,$K$2,JAE$4),Table1[],(MATCH(Calendar!$A18,DB!$1:$1,0)),FALSE)),"")</f>
        <v/>
      </c>
      <c r="JAF18" s="28" t="str">
        <f>IFERROR(IF(JAO3="No",IF(VLOOKUP(DATE($K$1,$K$2,JAF$4),Table1[],(MATCH(Calendar!$A18,DB!$1:$1,0)),FALSE)&gt;=5,"Good","Bad"),VLOOKUP(DATE($K$1,$K$2,JAF$4),Table1[],(MATCH(Calendar!$A18,DB!$1:$1,0)),FALSE)),"")</f>
        <v/>
      </c>
      <c r="JAG18" s="28" t="str">
        <f>IFERROR(IF(JAP3="No",IF(VLOOKUP(DATE($K$1,$K$2,JAG$4),Table1[],(MATCH(Calendar!$A18,DB!$1:$1,0)),FALSE)&gt;=5,"Good","Bad"),VLOOKUP(DATE($K$1,$K$2,JAG$4),Table1[],(MATCH(Calendar!$A18,DB!$1:$1,0)),FALSE)),"")</f>
        <v/>
      </c>
      <c r="JAH18" s="28" t="str">
        <f>IFERROR(IF(JAQ3="No",IF(VLOOKUP(DATE($K$1,$K$2,JAH$4),Table1[],(MATCH(Calendar!$A18,DB!$1:$1,0)),FALSE)&gt;=5,"Good","Bad"),VLOOKUP(DATE($K$1,$K$2,JAH$4),Table1[],(MATCH(Calendar!$A18,DB!$1:$1,0)),FALSE)),"")</f>
        <v/>
      </c>
      <c r="JAI18" s="28" t="str">
        <f>IFERROR(IF(JAR3="No",IF(VLOOKUP(DATE($K$1,$K$2,JAI$4),Table1[],(MATCH(Calendar!$A18,DB!$1:$1,0)),FALSE)&gt;=5,"Good","Bad"),VLOOKUP(DATE($K$1,$K$2,JAI$4),Table1[],(MATCH(Calendar!$A18,DB!$1:$1,0)),FALSE)),"")</f>
        <v/>
      </c>
      <c r="JAJ18" s="28" t="str">
        <f>IFERROR(IF(JAS3="No",IF(VLOOKUP(DATE($K$1,$K$2,JAJ$4),Table1[],(MATCH(Calendar!$A18,DB!$1:$1,0)),FALSE)&gt;=5,"Good","Bad"),VLOOKUP(DATE($K$1,$K$2,JAJ$4),Table1[],(MATCH(Calendar!$A18,DB!$1:$1,0)),FALSE)),"")</f>
        <v/>
      </c>
      <c r="JAK18" s="28" t="str">
        <f>IFERROR(IF(JAT3="No",IF(VLOOKUP(DATE($K$1,$K$2,JAK$4),Table1[],(MATCH(Calendar!$A18,DB!$1:$1,0)),FALSE)&gt;=5,"Good","Bad"),VLOOKUP(DATE($K$1,$K$2,JAK$4),Table1[],(MATCH(Calendar!$A18,DB!$1:$1,0)),FALSE)),"")</f>
        <v/>
      </c>
      <c r="JAL18" s="28" t="str">
        <f>IFERROR(IF(JAU3="No",IF(VLOOKUP(DATE($K$1,$K$2,JAL$4),Table1[],(MATCH(Calendar!$A18,DB!$1:$1,0)),FALSE)&gt;=5,"Good","Bad"),VLOOKUP(DATE($K$1,$K$2,JAL$4),Table1[],(MATCH(Calendar!$A18,DB!$1:$1,0)),FALSE)),"")</f>
        <v/>
      </c>
      <c r="JAM18" s="28" t="str">
        <f>IFERROR(IF(JAV3="No",IF(VLOOKUP(DATE($K$1,$K$2,JAM$4),Table1[],(MATCH(Calendar!$A18,DB!$1:$1,0)),FALSE)&gt;=5,"Good","Bad"),VLOOKUP(DATE($K$1,$K$2,JAM$4),Table1[],(MATCH(Calendar!$A18,DB!$1:$1,0)),FALSE)),"")</f>
        <v/>
      </c>
      <c r="JAN18" s="28" t="str">
        <f>IFERROR(IF(JAW3="No",IF(VLOOKUP(DATE($K$1,$K$2,JAN$4),Table1[],(MATCH(Calendar!$A18,DB!$1:$1,0)),FALSE)&gt;=5,"Good","Bad"),VLOOKUP(DATE($K$1,$K$2,JAN$4),Table1[],(MATCH(Calendar!$A18,DB!$1:$1,0)),FALSE)),"")</f>
        <v/>
      </c>
      <c r="JAO18" s="28" t="str">
        <f>IFERROR(IF(JAX3="No",IF(VLOOKUP(DATE($K$1,$K$2,JAO$4),Table1[],(MATCH(Calendar!$A18,DB!$1:$1,0)),FALSE)&gt;=5,"Good","Bad"),VLOOKUP(DATE($K$1,$K$2,JAO$4),Table1[],(MATCH(Calendar!$A18,DB!$1:$1,0)),FALSE)),"")</f>
        <v/>
      </c>
      <c r="JAP18" s="28" t="str">
        <f>IFERROR(IF(JAY3="No",IF(VLOOKUP(DATE($K$1,$K$2,JAP$4),Table1[],(MATCH(Calendar!$A18,DB!$1:$1,0)),FALSE)&gt;=5,"Good","Bad"),VLOOKUP(DATE($K$1,$K$2,JAP$4),Table1[],(MATCH(Calendar!$A18,DB!$1:$1,0)),FALSE)),"")</f>
        <v/>
      </c>
      <c r="JAQ18" s="28" t="str">
        <f>IFERROR(IF(JAZ3="No",IF(VLOOKUP(DATE($K$1,$K$2,JAQ$4),Table1[],(MATCH(Calendar!$A18,DB!$1:$1,0)),FALSE)&gt;=5,"Good","Bad"),VLOOKUP(DATE($K$1,$K$2,JAQ$4),Table1[],(MATCH(Calendar!$A18,DB!$1:$1,0)),FALSE)),"")</f>
        <v/>
      </c>
      <c r="JAR18" s="28" t="str">
        <f>IFERROR(IF(JBA3="No",IF(VLOOKUP(DATE($K$1,$K$2,JAR$4),Table1[],(MATCH(Calendar!$A18,DB!$1:$1,0)),FALSE)&gt;=5,"Good","Bad"),VLOOKUP(DATE($K$1,$K$2,JAR$4),Table1[],(MATCH(Calendar!$A18,DB!$1:$1,0)),FALSE)),"")</f>
        <v/>
      </c>
      <c r="JAS18" s="28" t="str">
        <f>IFERROR(IF(JBB3="No",IF(VLOOKUP(DATE($K$1,$K$2,JAS$4),Table1[],(MATCH(Calendar!$A18,DB!$1:$1,0)),FALSE)&gt;=5,"Good","Bad"),VLOOKUP(DATE($K$1,$K$2,JAS$4),Table1[],(MATCH(Calendar!$A18,DB!$1:$1,0)),FALSE)),"")</f>
        <v/>
      </c>
      <c r="JAT18" s="28" t="str">
        <f>IFERROR(IF(JBC3="No",IF(VLOOKUP(DATE($K$1,$K$2,JAT$4),Table1[],(MATCH(Calendar!$A18,DB!$1:$1,0)),FALSE)&gt;=5,"Good","Bad"),VLOOKUP(DATE($K$1,$K$2,JAT$4),Table1[],(MATCH(Calendar!$A18,DB!$1:$1,0)),FALSE)),"")</f>
        <v/>
      </c>
      <c r="JAU18" s="28" t="str">
        <f>IFERROR(IF(JBD3="No",IF(VLOOKUP(DATE($K$1,$K$2,JAU$4),Table1[],(MATCH(Calendar!$A18,DB!$1:$1,0)),FALSE)&gt;=5,"Good","Bad"),VLOOKUP(DATE($K$1,$K$2,JAU$4),Table1[],(MATCH(Calendar!$A18,DB!$1:$1,0)),FALSE)),"")</f>
        <v/>
      </c>
      <c r="JAV18" s="28" t="str">
        <f>IFERROR(IF(JBE3="No",IF(VLOOKUP(DATE($K$1,$K$2,JAV$4),Table1[],(MATCH(Calendar!$A18,DB!$1:$1,0)),FALSE)&gt;=5,"Good","Bad"),VLOOKUP(DATE($K$1,$K$2,JAV$4),Table1[],(MATCH(Calendar!$A18,DB!$1:$1,0)),FALSE)),"")</f>
        <v/>
      </c>
      <c r="JAW18" s="28" t="str">
        <f>IFERROR(IF(JBF3="No",IF(VLOOKUP(DATE($K$1,$K$2,JAW$4),Table1[],(MATCH(Calendar!$A18,DB!$1:$1,0)),FALSE)&gt;=5,"Good","Bad"),VLOOKUP(DATE($K$1,$K$2,JAW$4),Table1[],(MATCH(Calendar!$A18,DB!$1:$1,0)),FALSE)),"")</f>
        <v/>
      </c>
      <c r="JAX18" s="28" t="str">
        <f>IFERROR(IF(JBG3="No",IF(VLOOKUP(DATE($K$1,$K$2,JAX$4),Table1[],(MATCH(Calendar!$A18,DB!$1:$1,0)),FALSE)&gt;=5,"Good","Bad"),VLOOKUP(DATE($K$1,$K$2,JAX$4),Table1[],(MATCH(Calendar!$A18,DB!$1:$1,0)),FALSE)),"")</f>
        <v/>
      </c>
      <c r="JAY18" s="28" t="str">
        <f>IFERROR(IF(JBH3="No",IF(VLOOKUP(DATE($K$1,$K$2,JAY$4),Table1[],(MATCH(Calendar!$A18,DB!$1:$1,0)),FALSE)&gt;=5,"Good","Bad"),VLOOKUP(DATE($K$1,$K$2,JAY$4),Table1[],(MATCH(Calendar!$A18,DB!$1:$1,0)),FALSE)),"")</f>
        <v/>
      </c>
      <c r="JAZ18" s="28" t="str">
        <f>IFERROR(IF(JBI3="No",IF(VLOOKUP(DATE($K$1,$K$2,JAZ$4),Table1[],(MATCH(Calendar!$A18,DB!$1:$1,0)),FALSE)&gt;=5,"Good","Bad"),VLOOKUP(DATE($K$1,$K$2,JAZ$4),Table1[],(MATCH(Calendar!$A18,DB!$1:$1,0)),FALSE)),"")</f>
        <v/>
      </c>
      <c r="JBA18" s="28" t="str">
        <f>IFERROR(IF(JBJ3="No",IF(VLOOKUP(DATE($K$1,$K$2,JBA$4),Table1[],(MATCH(Calendar!$A18,DB!$1:$1,0)),FALSE)&gt;=5,"Good","Bad"),VLOOKUP(DATE($K$1,$K$2,JBA$4),Table1[],(MATCH(Calendar!$A18,DB!$1:$1,0)),FALSE)),"")</f>
        <v/>
      </c>
      <c r="JBB18" s="28" t="str">
        <f>IFERROR(IF(JBK3="No",IF(VLOOKUP(DATE($K$1,$K$2,JBB$4),Table1[],(MATCH(Calendar!$A18,DB!$1:$1,0)),FALSE)&gt;=5,"Good","Bad"),VLOOKUP(DATE($K$1,$K$2,JBB$4),Table1[],(MATCH(Calendar!$A18,DB!$1:$1,0)),FALSE)),"")</f>
        <v/>
      </c>
      <c r="JBC18" s="28" t="str">
        <f>IFERROR(IF(JBL3="No",IF(VLOOKUP(DATE($K$1,$K$2,JBC$4),Table1[],(MATCH(Calendar!$A18,DB!$1:$1,0)),FALSE)&gt;=5,"Good","Bad"),VLOOKUP(DATE($K$1,$K$2,JBC$4),Table1[],(MATCH(Calendar!$A18,DB!$1:$1,0)),FALSE)),"")</f>
        <v/>
      </c>
      <c r="JBD18" s="28" t="str">
        <f>IFERROR(IF(JBM3="No",IF(VLOOKUP(DATE($K$1,$K$2,JBD$4),Table1[],(MATCH(Calendar!$A18,DB!$1:$1,0)),FALSE)&gt;=5,"Good","Bad"),VLOOKUP(DATE($K$1,$K$2,JBD$4),Table1[],(MATCH(Calendar!$A18,DB!$1:$1,0)),FALSE)),"")</f>
        <v/>
      </c>
      <c r="JBE18" s="28" t="str">
        <f>IFERROR(IF(JBN3="No",IF(VLOOKUP(DATE($K$1,$K$2,JBE$4),Table1[],(MATCH(Calendar!$A18,DB!$1:$1,0)),FALSE)&gt;=5,"Good","Bad"),VLOOKUP(DATE($K$1,$K$2,JBE$4),Table1[],(MATCH(Calendar!$A18,DB!$1:$1,0)),FALSE)),"")</f>
        <v/>
      </c>
      <c r="JBF18" s="28" t="str">
        <f>IFERROR(IF(JBO3="No",IF(VLOOKUP(DATE($K$1,$K$2,JBF$4),Table1[],(MATCH(Calendar!$A18,DB!$1:$1,0)),FALSE)&gt;=5,"Good","Bad"),VLOOKUP(DATE($K$1,$K$2,JBF$4),Table1[],(MATCH(Calendar!$A18,DB!$1:$1,0)),FALSE)),"")</f>
        <v/>
      </c>
      <c r="JBG18" s="28" t="str">
        <f>IFERROR(IF(JBP3="No",IF(VLOOKUP(DATE($K$1,$K$2,JBG$4),Table1[],(MATCH(Calendar!$A18,DB!$1:$1,0)),FALSE)&gt;=5,"Good","Bad"),VLOOKUP(DATE($K$1,$K$2,JBG$4),Table1[],(MATCH(Calendar!$A18,DB!$1:$1,0)),FALSE)),"")</f>
        <v/>
      </c>
      <c r="JBH18" s="28" t="str">
        <f>IFERROR(IF(JBQ3="No",IF(VLOOKUP(DATE($K$1,$K$2,JBH$4),Table1[],(MATCH(Calendar!$A18,DB!$1:$1,0)),FALSE)&gt;=5,"Good","Bad"),VLOOKUP(DATE($K$1,$K$2,JBH$4),Table1[],(MATCH(Calendar!$A18,DB!$1:$1,0)),FALSE)),"")</f>
        <v/>
      </c>
      <c r="JBI18" s="28" t="str">
        <f>IFERROR(IF(JBR3="No",IF(VLOOKUP(DATE($K$1,$K$2,JBI$4),Table1[],(MATCH(Calendar!$A18,DB!$1:$1,0)),FALSE)&gt;=5,"Good","Bad"),VLOOKUP(DATE($K$1,$K$2,JBI$4),Table1[],(MATCH(Calendar!$A18,DB!$1:$1,0)),FALSE)),"")</f>
        <v/>
      </c>
      <c r="JBJ18" s="28" t="str">
        <f>IFERROR(IF(JBS3="No",IF(VLOOKUP(DATE($K$1,$K$2,JBJ$4),Table1[],(MATCH(Calendar!$A18,DB!$1:$1,0)),FALSE)&gt;=5,"Good","Bad"),VLOOKUP(DATE($K$1,$K$2,JBJ$4),Table1[],(MATCH(Calendar!$A18,DB!$1:$1,0)),FALSE)),"")</f>
        <v/>
      </c>
      <c r="JBK18" s="28" t="str">
        <f>IFERROR(IF(JBT3="No",IF(VLOOKUP(DATE($K$1,$K$2,JBK$4),Table1[],(MATCH(Calendar!$A18,DB!$1:$1,0)),FALSE)&gt;=5,"Good","Bad"),VLOOKUP(DATE($K$1,$K$2,JBK$4),Table1[],(MATCH(Calendar!$A18,DB!$1:$1,0)),FALSE)),"")</f>
        <v/>
      </c>
      <c r="JBL18" s="28" t="str">
        <f>IFERROR(IF(JBU3="No",IF(VLOOKUP(DATE($K$1,$K$2,JBL$4),Table1[],(MATCH(Calendar!$A18,DB!$1:$1,0)),FALSE)&gt;=5,"Good","Bad"),VLOOKUP(DATE($K$1,$K$2,JBL$4),Table1[],(MATCH(Calendar!$A18,DB!$1:$1,0)),FALSE)),"")</f>
        <v/>
      </c>
      <c r="JBM18" s="28" t="str">
        <f>IFERROR(IF(JBV3="No",IF(VLOOKUP(DATE($K$1,$K$2,JBM$4),Table1[],(MATCH(Calendar!$A18,DB!$1:$1,0)),FALSE)&gt;=5,"Good","Bad"),VLOOKUP(DATE($K$1,$K$2,JBM$4),Table1[],(MATCH(Calendar!$A18,DB!$1:$1,0)),FALSE)),"")</f>
        <v/>
      </c>
      <c r="JBN18" s="28" t="str">
        <f>IFERROR(IF(JBW3="No",IF(VLOOKUP(DATE($K$1,$K$2,JBN$4),Table1[],(MATCH(Calendar!$A18,DB!$1:$1,0)),FALSE)&gt;=5,"Good","Bad"),VLOOKUP(DATE($K$1,$K$2,JBN$4),Table1[],(MATCH(Calendar!$A18,DB!$1:$1,0)),FALSE)),"")</f>
        <v/>
      </c>
      <c r="JBO18" s="28" t="str">
        <f>IFERROR(IF(JBX3="No",IF(VLOOKUP(DATE($K$1,$K$2,JBO$4),Table1[],(MATCH(Calendar!$A18,DB!$1:$1,0)),FALSE)&gt;=5,"Good","Bad"),VLOOKUP(DATE($K$1,$K$2,JBO$4),Table1[],(MATCH(Calendar!$A18,DB!$1:$1,0)),FALSE)),"")</f>
        <v/>
      </c>
      <c r="JBP18" s="28" t="str">
        <f>IFERROR(IF(JBY3="No",IF(VLOOKUP(DATE($K$1,$K$2,JBP$4),Table1[],(MATCH(Calendar!$A18,DB!$1:$1,0)),FALSE)&gt;=5,"Good","Bad"),VLOOKUP(DATE($K$1,$K$2,JBP$4),Table1[],(MATCH(Calendar!$A18,DB!$1:$1,0)),FALSE)),"")</f>
        <v/>
      </c>
      <c r="JBQ18" s="28" t="str">
        <f>IFERROR(IF(JBZ3="No",IF(VLOOKUP(DATE($K$1,$K$2,JBQ$4),Table1[],(MATCH(Calendar!$A18,DB!$1:$1,0)),FALSE)&gt;=5,"Good","Bad"),VLOOKUP(DATE($K$1,$K$2,JBQ$4),Table1[],(MATCH(Calendar!$A18,DB!$1:$1,0)),FALSE)),"")</f>
        <v/>
      </c>
      <c r="JBR18" s="28" t="str">
        <f>IFERROR(IF(JCA3="No",IF(VLOOKUP(DATE($K$1,$K$2,JBR$4),Table1[],(MATCH(Calendar!$A18,DB!$1:$1,0)),FALSE)&gt;=5,"Good","Bad"),VLOOKUP(DATE($K$1,$K$2,JBR$4),Table1[],(MATCH(Calendar!$A18,DB!$1:$1,0)),FALSE)),"")</f>
        <v/>
      </c>
      <c r="JBS18" s="28" t="str">
        <f>IFERROR(IF(JCB3="No",IF(VLOOKUP(DATE($K$1,$K$2,JBS$4),Table1[],(MATCH(Calendar!$A18,DB!$1:$1,0)),FALSE)&gt;=5,"Good","Bad"),VLOOKUP(DATE($K$1,$K$2,JBS$4),Table1[],(MATCH(Calendar!$A18,DB!$1:$1,0)),FALSE)),"")</f>
        <v/>
      </c>
      <c r="JBT18" s="28" t="str">
        <f>IFERROR(IF(JCC3="No",IF(VLOOKUP(DATE($K$1,$K$2,JBT$4),Table1[],(MATCH(Calendar!$A18,DB!$1:$1,0)),FALSE)&gt;=5,"Good","Bad"),VLOOKUP(DATE($K$1,$K$2,JBT$4),Table1[],(MATCH(Calendar!$A18,DB!$1:$1,0)),FALSE)),"")</f>
        <v/>
      </c>
      <c r="JBU18" s="28" t="str">
        <f>IFERROR(IF(JCD3="No",IF(VLOOKUP(DATE($K$1,$K$2,JBU$4),Table1[],(MATCH(Calendar!$A18,DB!$1:$1,0)),FALSE)&gt;=5,"Good","Bad"),VLOOKUP(DATE($K$1,$K$2,JBU$4),Table1[],(MATCH(Calendar!$A18,DB!$1:$1,0)),FALSE)),"")</f>
        <v/>
      </c>
      <c r="JBV18" s="28" t="str">
        <f>IFERROR(IF(JCE3="No",IF(VLOOKUP(DATE($K$1,$K$2,JBV$4),Table1[],(MATCH(Calendar!$A18,DB!$1:$1,0)),FALSE)&gt;=5,"Good","Bad"),VLOOKUP(DATE($K$1,$K$2,JBV$4),Table1[],(MATCH(Calendar!$A18,DB!$1:$1,0)),FALSE)),"")</f>
        <v/>
      </c>
      <c r="JBW18" s="28" t="str">
        <f>IFERROR(IF(JCF3="No",IF(VLOOKUP(DATE($K$1,$K$2,JBW$4),Table1[],(MATCH(Calendar!$A18,DB!$1:$1,0)),FALSE)&gt;=5,"Good","Bad"),VLOOKUP(DATE($K$1,$K$2,JBW$4),Table1[],(MATCH(Calendar!$A18,DB!$1:$1,0)),FALSE)),"")</f>
        <v/>
      </c>
      <c r="JBX18" s="28" t="str">
        <f>IFERROR(IF(JCG3="No",IF(VLOOKUP(DATE($K$1,$K$2,JBX$4),Table1[],(MATCH(Calendar!$A18,DB!$1:$1,0)),FALSE)&gt;=5,"Good","Bad"),VLOOKUP(DATE($K$1,$K$2,JBX$4),Table1[],(MATCH(Calendar!$A18,DB!$1:$1,0)),FALSE)),"")</f>
        <v/>
      </c>
      <c r="JBY18" s="28" t="str">
        <f>IFERROR(IF(JCH3="No",IF(VLOOKUP(DATE($K$1,$K$2,JBY$4),Table1[],(MATCH(Calendar!$A18,DB!$1:$1,0)),FALSE)&gt;=5,"Good","Bad"),VLOOKUP(DATE($K$1,$K$2,JBY$4),Table1[],(MATCH(Calendar!$A18,DB!$1:$1,0)),FALSE)),"")</f>
        <v/>
      </c>
      <c r="JBZ18" s="28" t="str">
        <f>IFERROR(IF(JCI3="No",IF(VLOOKUP(DATE($K$1,$K$2,JBZ$4),Table1[],(MATCH(Calendar!$A18,DB!$1:$1,0)),FALSE)&gt;=5,"Good","Bad"),VLOOKUP(DATE($K$1,$K$2,JBZ$4),Table1[],(MATCH(Calendar!$A18,DB!$1:$1,0)),FALSE)),"")</f>
        <v/>
      </c>
      <c r="JCA18" s="28" t="str">
        <f>IFERROR(IF(JCJ3="No",IF(VLOOKUP(DATE($K$1,$K$2,JCA$4),Table1[],(MATCH(Calendar!$A18,DB!$1:$1,0)),FALSE)&gt;=5,"Good","Bad"),VLOOKUP(DATE($K$1,$K$2,JCA$4),Table1[],(MATCH(Calendar!$A18,DB!$1:$1,0)),FALSE)),"")</f>
        <v/>
      </c>
      <c r="JCB18" s="28" t="str">
        <f>IFERROR(IF(JCK3="No",IF(VLOOKUP(DATE($K$1,$K$2,JCB$4),Table1[],(MATCH(Calendar!$A18,DB!$1:$1,0)),FALSE)&gt;=5,"Good","Bad"),VLOOKUP(DATE($K$1,$K$2,JCB$4),Table1[],(MATCH(Calendar!$A18,DB!$1:$1,0)),FALSE)),"")</f>
        <v/>
      </c>
      <c r="JCC18" s="28" t="str">
        <f>IFERROR(IF(JCL3="No",IF(VLOOKUP(DATE($K$1,$K$2,JCC$4),Table1[],(MATCH(Calendar!$A18,DB!$1:$1,0)),FALSE)&gt;=5,"Good","Bad"),VLOOKUP(DATE($K$1,$K$2,JCC$4),Table1[],(MATCH(Calendar!$A18,DB!$1:$1,0)),FALSE)),"")</f>
        <v/>
      </c>
      <c r="JCD18" s="28" t="str">
        <f>IFERROR(IF(JCM3="No",IF(VLOOKUP(DATE($K$1,$K$2,JCD$4),Table1[],(MATCH(Calendar!$A18,DB!$1:$1,0)),FALSE)&gt;=5,"Good","Bad"),VLOOKUP(DATE($K$1,$K$2,JCD$4),Table1[],(MATCH(Calendar!$A18,DB!$1:$1,0)),FALSE)),"")</f>
        <v/>
      </c>
      <c r="JCE18" s="28" t="str">
        <f>IFERROR(IF(JCN3="No",IF(VLOOKUP(DATE($K$1,$K$2,JCE$4),Table1[],(MATCH(Calendar!$A18,DB!$1:$1,0)),FALSE)&gt;=5,"Good","Bad"),VLOOKUP(DATE($K$1,$K$2,JCE$4),Table1[],(MATCH(Calendar!$A18,DB!$1:$1,0)),FALSE)),"")</f>
        <v/>
      </c>
      <c r="JCF18" s="28" t="str">
        <f>IFERROR(IF(JCO3="No",IF(VLOOKUP(DATE($K$1,$K$2,JCF$4),Table1[],(MATCH(Calendar!$A18,DB!$1:$1,0)),FALSE)&gt;=5,"Good","Bad"),VLOOKUP(DATE($K$1,$K$2,JCF$4),Table1[],(MATCH(Calendar!$A18,DB!$1:$1,0)),FALSE)),"")</f>
        <v/>
      </c>
      <c r="JCG18" s="28" t="str">
        <f>IFERROR(IF(JCP3="No",IF(VLOOKUP(DATE($K$1,$K$2,JCG$4),Table1[],(MATCH(Calendar!$A18,DB!$1:$1,0)),FALSE)&gt;=5,"Good","Bad"),VLOOKUP(DATE($K$1,$K$2,JCG$4),Table1[],(MATCH(Calendar!$A18,DB!$1:$1,0)),FALSE)),"")</f>
        <v/>
      </c>
      <c r="JCH18" s="28" t="str">
        <f>IFERROR(IF(JCQ3="No",IF(VLOOKUP(DATE($K$1,$K$2,JCH$4),Table1[],(MATCH(Calendar!$A18,DB!$1:$1,0)),FALSE)&gt;=5,"Good","Bad"),VLOOKUP(DATE($K$1,$K$2,JCH$4),Table1[],(MATCH(Calendar!$A18,DB!$1:$1,0)),FALSE)),"")</f>
        <v/>
      </c>
      <c r="JCI18" s="28" t="str">
        <f>IFERROR(IF(JCR3="No",IF(VLOOKUP(DATE($K$1,$K$2,JCI$4),Table1[],(MATCH(Calendar!$A18,DB!$1:$1,0)),FALSE)&gt;=5,"Good","Bad"),VLOOKUP(DATE($K$1,$K$2,JCI$4),Table1[],(MATCH(Calendar!$A18,DB!$1:$1,0)),FALSE)),"")</f>
        <v/>
      </c>
      <c r="JCJ18" s="28" t="str">
        <f>IFERROR(IF(JCS3="No",IF(VLOOKUP(DATE($K$1,$K$2,JCJ$4),Table1[],(MATCH(Calendar!$A18,DB!$1:$1,0)),FALSE)&gt;=5,"Good","Bad"),VLOOKUP(DATE($K$1,$K$2,JCJ$4),Table1[],(MATCH(Calendar!$A18,DB!$1:$1,0)),FALSE)),"")</f>
        <v/>
      </c>
      <c r="JCK18" s="28" t="str">
        <f>IFERROR(IF(JCT3="No",IF(VLOOKUP(DATE($K$1,$K$2,JCK$4),Table1[],(MATCH(Calendar!$A18,DB!$1:$1,0)),FALSE)&gt;=5,"Good","Bad"),VLOOKUP(DATE($K$1,$K$2,JCK$4),Table1[],(MATCH(Calendar!$A18,DB!$1:$1,0)),FALSE)),"")</f>
        <v/>
      </c>
      <c r="JCL18" s="28" t="str">
        <f>IFERROR(IF(JCU3="No",IF(VLOOKUP(DATE($K$1,$K$2,JCL$4),Table1[],(MATCH(Calendar!$A18,DB!$1:$1,0)),FALSE)&gt;=5,"Good","Bad"),VLOOKUP(DATE($K$1,$K$2,JCL$4),Table1[],(MATCH(Calendar!$A18,DB!$1:$1,0)),FALSE)),"")</f>
        <v/>
      </c>
      <c r="JCM18" s="28" t="str">
        <f>IFERROR(IF(JCV3="No",IF(VLOOKUP(DATE($K$1,$K$2,JCM$4),Table1[],(MATCH(Calendar!$A18,DB!$1:$1,0)),FALSE)&gt;=5,"Good","Bad"),VLOOKUP(DATE($K$1,$K$2,JCM$4),Table1[],(MATCH(Calendar!$A18,DB!$1:$1,0)),FALSE)),"")</f>
        <v/>
      </c>
      <c r="JCN18" s="28" t="str">
        <f>IFERROR(IF(JCW3="No",IF(VLOOKUP(DATE($K$1,$K$2,JCN$4),Table1[],(MATCH(Calendar!$A18,DB!$1:$1,0)),FALSE)&gt;=5,"Good","Bad"),VLOOKUP(DATE($K$1,$K$2,JCN$4),Table1[],(MATCH(Calendar!$A18,DB!$1:$1,0)),FALSE)),"")</f>
        <v/>
      </c>
      <c r="JCO18" s="28" t="str">
        <f>IFERROR(IF(JCX3="No",IF(VLOOKUP(DATE($K$1,$K$2,JCO$4),Table1[],(MATCH(Calendar!$A18,DB!$1:$1,0)),FALSE)&gt;=5,"Good","Bad"),VLOOKUP(DATE($K$1,$K$2,JCO$4),Table1[],(MATCH(Calendar!$A18,DB!$1:$1,0)),FALSE)),"")</f>
        <v/>
      </c>
      <c r="JCP18" s="28" t="str">
        <f>IFERROR(IF(JCY3="No",IF(VLOOKUP(DATE($K$1,$K$2,JCP$4),Table1[],(MATCH(Calendar!$A18,DB!$1:$1,0)),FALSE)&gt;=5,"Good","Bad"),VLOOKUP(DATE($K$1,$K$2,JCP$4),Table1[],(MATCH(Calendar!$A18,DB!$1:$1,0)),FALSE)),"")</f>
        <v/>
      </c>
      <c r="JCQ18" s="28" t="str">
        <f>IFERROR(IF(JCZ3="No",IF(VLOOKUP(DATE($K$1,$K$2,JCQ$4),Table1[],(MATCH(Calendar!$A18,DB!$1:$1,0)),FALSE)&gt;=5,"Good","Bad"),VLOOKUP(DATE($K$1,$K$2,JCQ$4),Table1[],(MATCH(Calendar!$A18,DB!$1:$1,0)),FALSE)),"")</f>
        <v/>
      </c>
      <c r="JCR18" s="28" t="str">
        <f>IFERROR(IF(JDA3="No",IF(VLOOKUP(DATE($K$1,$K$2,JCR$4),Table1[],(MATCH(Calendar!$A18,DB!$1:$1,0)),FALSE)&gt;=5,"Good","Bad"),VLOOKUP(DATE($K$1,$K$2,JCR$4),Table1[],(MATCH(Calendar!$A18,DB!$1:$1,0)),FALSE)),"")</f>
        <v/>
      </c>
      <c r="JCS18" s="28" t="str">
        <f>IFERROR(IF(JDB3="No",IF(VLOOKUP(DATE($K$1,$K$2,JCS$4),Table1[],(MATCH(Calendar!$A18,DB!$1:$1,0)),FALSE)&gt;=5,"Good","Bad"),VLOOKUP(DATE($K$1,$K$2,JCS$4),Table1[],(MATCH(Calendar!$A18,DB!$1:$1,0)),FALSE)),"")</f>
        <v/>
      </c>
      <c r="JCT18" s="28" t="str">
        <f>IFERROR(IF(JDC3="No",IF(VLOOKUP(DATE($K$1,$K$2,JCT$4),Table1[],(MATCH(Calendar!$A18,DB!$1:$1,0)),FALSE)&gt;=5,"Good","Bad"),VLOOKUP(DATE($K$1,$K$2,JCT$4),Table1[],(MATCH(Calendar!$A18,DB!$1:$1,0)),FALSE)),"")</f>
        <v/>
      </c>
      <c r="JCU18" s="28" t="str">
        <f>IFERROR(IF(JDD3="No",IF(VLOOKUP(DATE($K$1,$K$2,JCU$4),Table1[],(MATCH(Calendar!$A18,DB!$1:$1,0)),FALSE)&gt;=5,"Good","Bad"),VLOOKUP(DATE($K$1,$K$2,JCU$4),Table1[],(MATCH(Calendar!$A18,DB!$1:$1,0)),FALSE)),"")</f>
        <v/>
      </c>
      <c r="JCV18" s="28" t="str">
        <f>IFERROR(IF(JDE3="No",IF(VLOOKUP(DATE($K$1,$K$2,JCV$4),Table1[],(MATCH(Calendar!$A18,DB!$1:$1,0)),FALSE)&gt;=5,"Good","Bad"),VLOOKUP(DATE($K$1,$K$2,JCV$4),Table1[],(MATCH(Calendar!$A18,DB!$1:$1,0)),FALSE)),"")</f>
        <v/>
      </c>
      <c r="JCW18" s="28" t="str">
        <f>IFERROR(IF(JDF3="No",IF(VLOOKUP(DATE($K$1,$K$2,JCW$4),Table1[],(MATCH(Calendar!$A18,DB!$1:$1,0)),FALSE)&gt;=5,"Good","Bad"),VLOOKUP(DATE($K$1,$K$2,JCW$4),Table1[],(MATCH(Calendar!$A18,DB!$1:$1,0)),FALSE)),"")</f>
        <v/>
      </c>
      <c r="JCX18" s="28" t="str">
        <f>IFERROR(IF(JDG3="No",IF(VLOOKUP(DATE($K$1,$K$2,JCX$4),Table1[],(MATCH(Calendar!$A18,DB!$1:$1,0)),FALSE)&gt;=5,"Good","Bad"),VLOOKUP(DATE($K$1,$K$2,JCX$4),Table1[],(MATCH(Calendar!$A18,DB!$1:$1,0)),FALSE)),"")</f>
        <v/>
      </c>
      <c r="JCY18" s="28" t="str">
        <f>IFERROR(IF(JDH3="No",IF(VLOOKUP(DATE($K$1,$K$2,JCY$4),Table1[],(MATCH(Calendar!$A18,DB!$1:$1,0)),FALSE)&gt;=5,"Good","Bad"),VLOOKUP(DATE($K$1,$K$2,JCY$4),Table1[],(MATCH(Calendar!$A18,DB!$1:$1,0)),FALSE)),"")</f>
        <v/>
      </c>
      <c r="JCZ18" s="28" t="str">
        <f>IFERROR(IF(JDI3="No",IF(VLOOKUP(DATE($K$1,$K$2,JCZ$4),Table1[],(MATCH(Calendar!$A18,DB!$1:$1,0)),FALSE)&gt;=5,"Good","Bad"),VLOOKUP(DATE($K$1,$K$2,JCZ$4),Table1[],(MATCH(Calendar!$A18,DB!$1:$1,0)),FALSE)),"")</f>
        <v/>
      </c>
      <c r="JDA18" s="28" t="str">
        <f>IFERROR(IF(JDJ3="No",IF(VLOOKUP(DATE($K$1,$K$2,JDA$4),Table1[],(MATCH(Calendar!$A18,DB!$1:$1,0)),FALSE)&gt;=5,"Good","Bad"),VLOOKUP(DATE($K$1,$K$2,JDA$4),Table1[],(MATCH(Calendar!$A18,DB!$1:$1,0)),FALSE)),"")</f>
        <v/>
      </c>
      <c r="JDB18" s="28" t="str">
        <f>IFERROR(IF(JDK3="No",IF(VLOOKUP(DATE($K$1,$K$2,JDB$4),Table1[],(MATCH(Calendar!$A18,DB!$1:$1,0)),FALSE)&gt;=5,"Good","Bad"),VLOOKUP(DATE($K$1,$K$2,JDB$4),Table1[],(MATCH(Calendar!$A18,DB!$1:$1,0)),FALSE)),"")</f>
        <v/>
      </c>
      <c r="JDC18" s="28" t="str">
        <f>IFERROR(IF(JDL3="No",IF(VLOOKUP(DATE($K$1,$K$2,JDC$4),Table1[],(MATCH(Calendar!$A18,DB!$1:$1,0)),FALSE)&gt;=5,"Good","Bad"),VLOOKUP(DATE($K$1,$K$2,JDC$4),Table1[],(MATCH(Calendar!$A18,DB!$1:$1,0)),FALSE)),"")</f>
        <v/>
      </c>
      <c r="JDD18" s="28" t="str">
        <f>IFERROR(IF(JDM3="No",IF(VLOOKUP(DATE($K$1,$K$2,JDD$4),Table1[],(MATCH(Calendar!$A18,DB!$1:$1,0)),FALSE)&gt;=5,"Good","Bad"),VLOOKUP(DATE($K$1,$K$2,JDD$4),Table1[],(MATCH(Calendar!$A18,DB!$1:$1,0)),FALSE)),"")</f>
        <v/>
      </c>
      <c r="JDE18" s="28" t="str">
        <f>IFERROR(IF(JDN3="No",IF(VLOOKUP(DATE($K$1,$K$2,JDE$4),Table1[],(MATCH(Calendar!$A18,DB!$1:$1,0)),FALSE)&gt;=5,"Good","Bad"),VLOOKUP(DATE($K$1,$K$2,JDE$4),Table1[],(MATCH(Calendar!$A18,DB!$1:$1,0)),FALSE)),"")</f>
        <v/>
      </c>
      <c r="JDF18" s="28" t="str">
        <f>IFERROR(IF(JDO3="No",IF(VLOOKUP(DATE($K$1,$K$2,JDF$4),Table1[],(MATCH(Calendar!$A18,DB!$1:$1,0)),FALSE)&gt;=5,"Good","Bad"),VLOOKUP(DATE($K$1,$K$2,JDF$4),Table1[],(MATCH(Calendar!$A18,DB!$1:$1,0)),FALSE)),"")</f>
        <v/>
      </c>
      <c r="JDG18" s="28" t="str">
        <f>IFERROR(IF(JDP3="No",IF(VLOOKUP(DATE($K$1,$K$2,JDG$4),Table1[],(MATCH(Calendar!$A18,DB!$1:$1,0)),FALSE)&gt;=5,"Good","Bad"),VLOOKUP(DATE($K$1,$K$2,JDG$4),Table1[],(MATCH(Calendar!$A18,DB!$1:$1,0)),FALSE)),"")</f>
        <v/>
      </c>
      <c r="JDH18" s="28" t="str">
        <f>IFERROR(IF(JDQ3="No",IF(VLOOKUP(DATE($K$1,$K$2,JDH$4),Table1[],(MATCH(Calendar!$A18,DB!$1:$1,0)),FALSE)&gt;=5,"Good","Bad"),VLOOKUP(DATE($K$1,$K$2,JDH$4),Table1[],(MATCH(Calendar!$A18,DB!$1:$1,0)),FALSE)),"")</f>
        <v/>
      </c>
      <c r="JDI18" s="28" t="str">
        <f>IFERROR(IF(JDR3="No",IF(VLOOKUP(DATE($K$1,$K$2,JDI$4),Table1[],(MATCH(Calendar!$A18,DB!$1:$1,0)),FALSE)&gt;=5,"Good","Bad"),VLOOKUP(DATE($K$1,$K$2,JDI$4),Table1[],(MATCH(Calendar!$A18,DB!$1:$1,0)),FALSE)),"")</f>
        <v/>
      </c>
      <c r="JDJ18" s="28" t="str">
        <f>IFERROR(IF(JDS3="No",IF(VLOOKUP(DATE($K$1,$K$2,JDJ$4),Table1[],(MATCH(Calendar!$A18,DB!$1:$1,0)),FALSE)&gt;=5,"Good","Bad"),VLOOKUP(DATE($K$1,$K$2,JDJ$4),Table1[],(MATCH(Calendar!$A18,DB!$1:$1,0)),FALSE)),"")</f>
        <v/>
      </c>
      <c r="JDK18" s="28" t="str">
        <f>IFERROR(IF(JDT3="No",IF(VLOOKUP(DATE($K$1,$K$2,JDK$4),Table1[],(MATCH(Calendar!$A18,DB!$1:$1,0)),FALSE)&gt;=5,"Good","Bad"),VLOOKUP(DATE($K$1,$K$2,JDK$4),Table1[],(MATCH(Calendar!$A18,DB!$1:$1,0)),FALSE)),"")</f>
        <v/>
      </c>
      <c r="JDL18" s="28" t="str">
        <f>IFERROR(IF(JDU3="No",IF(VLOOKUP(DATE($K$1,$K$2,JDL$4),Table1[],(MATCH(Calendar!$A18,DB!$1:$1,0)),FALSE)&gt;=5,"Good","Bad"),VLOOKUP(DATE($K$1,$K$2,JDL$4),Table1[],(MATCH(Calendar!$A18,DB!$1:$1,0)),FALSE)),"")</f>
        <v/>
      </c>
      <c r="JDM18" s="28" t="str">
        <f>IFERROR(IF(JDV3="No",IF(VLOOKUP(DATE($K$1,$K$2,JDM$4),Table1[],(MATCH(Calendar!$A18,DB!$1:$1,0)),FALSE)&gt;=5,"Good","Bad"),VLOOKUP(DATE($K$1,$K$2,JDM$4),Table1[],(MATCH(Calendar!$A18,DB!$1:$1,0)),FALSE)),"")</f>
        <v/>
      </c>
      <c r="JDN18" s="28" t="str">
        <f>IFERROR(IF(JDW3="No",IF(VLOOKUP(DATE($K$1,$K$2,JDN$4),Table1[],(MATCH(Calendar!$A18,DB!$1:$1,0)),FALSE)&gt;=5,"Good","Bad"),VLOOKUP(DATE($K$1,$K$2,JDN$4),Table1[],(MATCH(Calendar!$A18,DB!$1:$1,0)),FALSE)),"")</f>
        <v/>
      </c>
      <c r="JDO18" s="28" t="str">
        <f>IFERROR(IF(JDX3="No",IF(VLOOKUP(DATE($K$1,$K$2,JDO$4),Table1[],(MATCH(Calendar!$A18,DB!$1:$1,0)),FALSE)&gt;=5,"Good","Bad"),VLOOKUP(DATE($K$1,$K$2,JDO$4),Table1[],(MATCH(Calendar!$A18,DB!$1:$1,0)),FALSE)),"")</f>
        <v/>
      </c>
      <c r="JDP18" s="28" t="str">
        <f>IFERROR(IF(JDY3="No",IF(VLOOKUP(DATE($K$1,$K$2,JDP$4),Table1[],(MATCH(Calendar!$A18,DB!$1:$1,0)),FALSE)&gt;=5,"Good","Bad"),VLOOKUP(DATE($K$1,$K$2,JDP$4),Table1[],(MATCH(Calendar!$A18,DB!$1:$1,0)),FALSE)),"")</f>
        <v/>
      </c>
      <c r="JDQ18" s="28" t="str">
        <f>IFERROR(IF(JDZ3="No",IF(VLOOKUP(DATE($K$1,$K$2,JDQ$4),Table1[],(MATCH(Calendar!$A18,DB!$1:$1,0)),FALSE)&gt;=5,"Good","Bad"),VLOOKUP(DATE($K$1,$K$2,JDQ$4),Table1[],(MATCH(Calendar!$A18,DB!$1:$1,0)),FALSE)),"")</f>
        <v/>
      </c>
      <c r="JDR18" s="28" t="str">
        <f>IFERROR(IF(JEA3="No",IF(VLOOKUP(DATE($K$1,$K$2,JDR$4),Table1[],(MATCH(Calendar!$A18,DB!$1:$1,0)),FALSE)&gt;=5,"Good","Bad"),VLOOKUP(DATE($K$1,$K$2,JDR$4),Table1[],(MATCH(Calendar!$A18,DB!$1:$1,0)),FALSE)),"")</f>
        <v/>
      </c>
      <c r="JDS18" s="28" t="str">
        <f>IFERROR(IF(JEB3="No",IF(VLOOKUP(DATE($K$1,$K$2,JDS$4),Table1[],(MATCH(Calendar!$A18,DB!$1:$1,0)),FALSE)&gt;=5,"Good","Bad"),VLOOKUP(DATE($K$1,$K$2,JDS$4),Table1[],(MATCH(Calendar!$A18,DB!$1:$1,0)),FALSE)),"")</f>
        <v/>
      </c>
      <c r="JDT18" s="28" t="str">
        <f>IFERROR(IF(JEC3="No",IF(VLOOKUP(DATE($K$1,$K$2,JDT$4),Table1[],(MATCH(Calendar!$A18,DB!$1:$1,0)),FALSE)&gt;=5,"Good","Bad"),VLOOKUP(DATE($K$1,$K$2,JDT$4),Table1[],(MATCH(Calendar!$A18,DB!$1:$1,0)),FALSE)),"")</f>
        <v/>
      </c>
      <c r="JDU18" s="28" t="str">
        <f>IFERROR(IF(JED3="No",IF(VLOOKUP(DATE($K$1,$K$2,JDU$4),Table1[],(MATCH(Calendar!$A18,DB!$1:$1,0)),FALSE)&gt;=5,"Good","Bad"),VLOOKUP(DATE($K$1,$K$2,JDU$4),Table1[],(MATCH(Calendar!$A18,DB!$1:$1,0)),FALSE)),"")</f>
        <v/>
      </c>
      <c r="JDV18" s="28" t="str">
        <f>IFERROR(IF(JEE3="No",IF(VLOOKUP(DATE($K$1,$K$2,JDV$4),Table1[],(MATCH(Calendar!$A18,DB!$1:$1,0)),FALSE)&gt;=5,"Good","Bad"),VLOOKUP(DATE($K$1,$K$2,JDV$4),Table1[],(MATCH(Calendar!$A18,DB!$1:$1,0)),FALSE)),"")</f>
        <v/>
      </c>
      <c r="JDW18" s="28" t="str">
        <f>IFERROR(IF(JEF3="No",IF(VLOOKUP(DATE($K$1,$K$2,JDW$4),Table1[],(MATCH(Calendar!$A18,DB!$1:$1,0)),FALSE)&gt;=5,"Good","Bad"),VLOOKUP(DATE($K$1,$K$2,JDW$4),Table1[],(MATCH(Calendar!$A18,DB!$1:$1,0)),FALSE)),"")</f>
        <v/>
      </c>
      <c r="JDX18" s="28" t="str">
        <f>IFERROR(IF(JEG3="No",IF(VLOOKUP(DATE($K$1,$K$2,JDX$4),Table1[],(MATCH(Calendar!$A18,DB!$1:$1,0)),FALSE)&gt;=5,"Good","Bad"),VLOOKUP(DATE($K$1,$K$2,JDX$4),Table1[],(MATCH(Calendar!$A18,DB!$1:$1,0)),FALSE)),"")</f>
        <v/>
      </c>
      <c r="JDY18" s="28" t="str">
        <f>IFERROR(IF(JEH3="No",IF(VLOOKUP(DATE($K$1,$K$2,JDY$4),Table1[],(MATCH(Calendar!$A18,DB!$1:$1,0)),FALSE)&gt;=5,"Good","Bad"),VLOOKUP(DATE($K$1,$K$2,JDY$4),Table1[],(MATCH(Calendar!$A18,DB!$1:$1,0)),FALSE)),"")</f>
        <v/>
      </c>
      <c r="JDZ18" s="28" t="str">
        <f>IFERROR(IF(JEI3="No",IF(VLOOKUP(DATE($K$1,$K$2,JDZ$4),Table1[],(MATCH(Calendar!$A18,DB!$1:$1,0)),FALSE)&gt;=5,"Good","Bad"),VLOOKUP(DATE($K$1,$K$2,JDZ$4),Table1[],(MATCH(Calendar!$A18,DB!$1:$1,0)),FALSE)),"")</f>
        <v/>
      </c>
      <c r="JEA18" s="28" t="str">
        <f>IFERROR(IF(JEJ3="No",IF(VLOOKUP(DATE($K$1,$K$2,JEA$4),Table1[],(MATCH(Calendar!$A18,DB!$1:$1,0)),FALSE)&gt;=5,"Good","Bad"),VLOOKUP(DATE($K$1,$K$2,JEA$4),Table1[],(MATCH(Calendar!$A18,DB!$1:$1,0)),FALSE)),"")</f>
        <v/>
      </c>
      <c r="JEB18" s="28" t="str">
        <f>IFERROR(IF(JEK3="No",IF(VLOOKUP(DATE($K$1,$K$2,JEB$4),Table1[],(MATCH(Calendar!$A18,DB!$1:$1,0)),FALSE)&gt;=5,"Good","Bad"),VLOOKUP(DATE($K$1,$K$2,JEB$4),Table1[],(MATCH(Calendar!$A18,DB!$1:$1,0)),FALSE)),"")</f>
        <v/>
      </c>
      <c r="JEC18" s="28" t="str">
        <f>IFERROR(IF(JEL3="No",IF(VLOOKUP(DATE($K$1,$K$2,JEC$4),Table1[],(MATCH(Calendar!$A18,DB!$1:$1,0)),FALSE)&gt;=5,"Good","Bad"),VLOOKUP(DATE($K$1,$K$2,JEC$4),Table1[],(MATCH(Calendar!$A18,DB!$1:$1,0)),FALSE)),"")</f>
        <v/>
      </c>
      <c r="JED18" s="28" t="str">
        <f>IFERROR(IF(JEM3="No",IF(VLOOKUP(DATE($K$1,$K$2,JED$4),Table1[],(MATCH(Calendar!$A18,DB!$1:$1,0)),FALSE)&gt;=5,"Good","Bad"),VLOOKUP(DATE($K$1,$K$2,JED$4),Table1[],(MATCH(Calendar!$A18,DB!$1:$1,0)),FALSE)),"")</f>
        <v/>
      </c>
      <c r="JEE18" s="28" t="str">
        <f>IFERROR(IF(JEN3="No",IF(VLOOKUP(DATE($K$1,$K$2,JEE$4),Table1[],(MATCH(Calendar!$A18,DB!$1:$1,0)),FALSE)&gt;=5,"Good","Bad"),VLOOKUP(DATE($K$1,$K$2,JEE$4),Table1[],(MATCH(Calendar!$A18,DB!$1:$1,0)),FALSE)),"")</f>
        <v/>
      </c>
      <c r="JEF18" s="28" t="str">
        <f>IFERROR(IF(JEO3="No",IF(VLOOKUP(DATE($K$1,$K$2,JEF$4),Table1[],(MATCH(Calendar!$A18,DB!$1:$1,0)),FALSE)&gt;=5,"Good","Bad"),VLOOKUP(DATE($K$1,$K$2,JEF$4),Table1[],(MATCH(Calendar!$A18,DB!$1:$1,0)),FALSE)),"")</f>
        <v/>
      </c>
      <c r="JEG18" s="28" t="str">
        <f>IFERROR(IF(JEP3="No",IF(VLOOKUP(DATE($K$1,$K$2,JEG$4),Table1[],(MATCH(Calendar!$A18,DB!$1:$1,0)),FALSE)&gt;=5,"Good","Bad"),VLOOKUP(DATE($K$1,$K$2,JEG$4),Table1[],(MATCH(Calendar!$A18,DB!$1:$1,0)),FALSE)),"")</f>
        <v/>
      </c>
      <c r="JEH18" s="28" t="str">
        <f>IFERROR(IF(JEQ3="No",IF(VLOOKUP(DATE($K$1,$K$2,JEH$4),Table1[],(MATCH(Calendar!$A18,DB!$1:$1,0)),FALSE)&gt;=5,"Good","Bad"),VLOOKUP(DATE($K$1,$K$2,JEH$4),Table1[],(MATCH(Calendar!$A18,DB!$1:$1,0)),FALSE)),"")</f>
        <v/>
      </c>
      <c r="JEI18" s="28" t="str">
        <f>IFERROR(IF(JER3="No",IF(VLOOKUP(DATE($K$1,$K$2,JEI$4),Table1[],(MATCH(Calendar!$A18,DB!$1:$1,0)),FALSE)&gt;=5,"Good","Bad"),VLOOKUP(DATE($K$1,$K$2,JEI$4),Table1[],(MATCH(Calendar!$A18,DB!$1:$1,0)),FALSE)),"")</f>
        <v/>
      </c>
      <c r="JEJ18" s="28" t="str">
        <f>IFERROR(IF(JES3="No",IF(VLOOKUP(DATE($K$1,$K$2,JEJ$4),Table1[],(MATCH(Calendar!$A18,DB!$1:$1,0)),FALSE)&gt;=5,"Good","Bad"),VLOOKUP(DATE($K$1,$K$2,JEJ$4),Table1[],(MATCH(Calendar!$A18,DB!$1:$1,0)),FALSE)),"")</f>
        <v/>
      </c>
      <c r="JEK18" s="28" t="str">
        <f>IFERROR(IF(JET3="No",IF(VLOOKUP(DATE($K$1,$K$2,JEK$4),Table1[],(MATCH(Calendar!$A18,DB!$1:$1,0)),FALSE)&gt;=5,"Good","Bad"),VLOOKUP(DATE($K$1,$K$2,JEK$4),Table1[],(MATCH(Calendar!$A18,DB!$1:$1,0)),FALSE)),"")</f>
        <v/>
      </c>
      <c r="JEL18" s="28" t="str">
        <f>IFERROR(IF(JEU3="No",IF(VLOOKUP(DATE($K$1,$K$2,JEL$4),Table1[],(MATCH(Calendar!$A18,DB!$1:$1,0)),FALSE)&gt;=5,"Good","Bad"),VLOOKUP(DATE($K$1,$K$2,JEL$4),Table1[],(MATCH(Calendar!$A18,DB!$1:$1,0)),FALSE)),"")</f>
        <v/>
      </c>
      <c r="JEM18" s="28" t="str">
        <f>IFERROR(IF(JEV3="No",IF(VLOOKUP(DATE($K$1,$K$2,JEM$4),Table1[],(MATCH(Calendar!$A18,DB!$1:$1,0)),FALSE)&gt;=5,"Good","Bad"),VLOOKUP(DATE($K$1,$K$2,JEM$4),Table1[],(MATCH(Calendar!$A18,DB!$1:$1,0)),FALSE)),"")</f>
        <v/>
      </c>
      <c r="JEN18" s="28" t="str">
        <f>IFERROR(IF(JEW3="No",IF(VLOOKUP(DATE($K$1,$K$2,JEN$4),Table1[],(MATCH(Calendar!$A18,DB!$1:$1,0)),FALSE)&gt;=5,"Good","Bad"),VLOOKUP(DATE($K$1,$K$2,JEN$4),Table1[],(MATCH(Calendar!$A18,DB!$1:$1,0)),FALSE)),"")</f>
        <v/>
      </c>
      <c r="JEO18" s="28" t="str">
        <f>IFERROR(IF(JEX3="No",IF(VLOOKUP(DATE($K$1,$K$2,JEO$4),Table1[],(MATCH(Calendar!$A18,DB!$1:$1,0)),FALSE)&gt;=5,"Good","Bad"),VLOOKUP(DATE($K$1,$K$2,JEO$4),Table1[],(MATCH(Calendar!$A18,DB!$1:$1,0)),FALSE)),"")</f>
        <v/>
      </c>
      <c r="JEP18" s="28" t="str">
        <f>IFERROR(IF(JEY3="No",IF(VLOOKUP(DATE($K$1,$K$2,JEP$4),Table1[],(MATCH(Calendar!$A18,DB!$1:$1,0)),FALSE)&gt;=5,"Good","Bad"),VLOOKUP(DATE($K$1,$K$2,JEP$4),Table1[],(MATCH(Calendar!$A18,DB!$1:$1,0)),FALSE)),"")</f>
        <v/>
      </c>
      <c r="JEQ18" s="28" t="str">
        <f>IFERROR(IF(JEZ3="No",IF(VLOOKUP(DATE($K$1,$K$2,JEQ$4),Table1[],(MATCH(Calendar!$A18,DB!$1:$1,0)),FALSE)&gt;=5,"Good","Bad"),VLOOKUP(DATE($K$1,$K$2,JEQ$4),Table1[],(MATCH(Calendar!$A18,DB!$1:$1,0)),FALSE)),"")</f>
        <v/>
      </c>
      <c r="JER18" s="28" t="str">
        <f>IFERROR(IF(JFA3="No",IF(VLOOKUP(DATE($K$1,$K$2,JER$4),Table1[],(MATCH(Calendar!$A18,DB!$1:$1,0)),FALSE)&gt;=5,"Good","Bad"),VLOOKUP(DATE($K$1,$K$2,JER$4),Table1[],(MATCH(Calendar!$A18,DB!$1:$1,0)),FALSE)),"")</f>
        <v/>
      </c>
      <c r="JES18" s="28" t="str">
        <f>IFERROR(IF(JFB3="No",IF(VLOOKUP(DATE($K$1,$K$2,JES$4),Table1[],(MATCH(Calendar!$A18,DB!$1:$1,0)),FALSE)&gt;=5,"Good","Bad"),VLOOKUP(DATE($K$1,$K$2,JES$4),Table1[],(MATCH(Calendar!$A18,DB!$1:$1,0)),FALSE)),"")</f>
        <v/>
      </c>
      <c r="JET18" s="28" t="str">
        <f>IFERROR(IF(JFC3="No",IF(VLOOKUP(DATE($K$1,$K$2,JET$4),Table1[],(MATCH(Calendar!$A18,DB!$1:$1,0)),FALSE)&gt;=5,"Good","Bad"),VLOOKUP(DATE($K$1,$K$2,JET$4),Table1[],(MATCH(Calendar!$A18,DB!$1:$1,0)),FALSE)),"")</f>
        <v/>
      </c>
      <c r="JEU18" s="28" t="str">
        <f>IFERROR(IF(JFD3="No",IF(VLOOKUP(DATE($K$1,$K$2,JEU$4),Table1[],(MATCH(Calendar!$A18,DB!$1:$1,0)),FALSE)&gt;=5,"Good","Bad"),VLOOKUP(DATE($K$1,$K$2,JEU$4),Table1[],(MATCH(Calendar!$A18,DB!$1:$1,0)),FALSE)),"")</f>
        <v/>
      </c>
      <c r="JEV18" s="28" t="str">
        <f>IFERROR(IF(JFE3="No",IF(VLOOKUP(DATE($K$1,$K$2,JEV$4),Table1[],(MATCH(Calendar!$A18,DB!$1:$1,0)),FALSE)&gt;=5,"Good","Bad"),VLOOKUP(DATE($K$1,$K$2,JEV$4),Table1[],(MATCH(Calendar!$A18,DB!$1:$1,0)),FALSE)),"")</f>
        <v/>
      </c>
      <c r="JEW18" s="28" t="str">
        <f>IFERROR(IF(JFF3="No",IF(VLOOKUP(DATE($K$1,$K$2,JEW$4),Table1[],(MATCH(Calendar!$A18,DB!$1:$1,0)),FALSE)&gt;=5,"Good","Bad"),VLOOKUP(DATE($K$1,$K$2,JEW$4),Table1[],(MATCH(Calendar!$A18,DB!$1:$1,0)),FALSE)),"")</f>
        <v/>
      </c>
      <c r="JEX18" s="28" t="str">
        <f>IFERROR(IF(JFG3="No",IF(VLOOKUP(DATE($K$1,$K$2,JEX$4),Table1[],(MATCH(Calendar!$A18,DB!$1:$1,0)),FALSE)&gt;=5,"Good","Bad"),VLOOKUP(DATE($K$1,$K$2,JEX$4),Table1[],(MATCH(Calendar!$A18,DB!$1:$1,0)),FALSE)),"")</f>
        <v/>
      </c>
      <c r="JEY18" s="28" t="str">
        <f>IFERROR(IF(JFH3="No",IF(VLOOKUP(DATE($K$1,$K$2,JEY$4),Table1[],(MATCH(Calendar!$A18,DB!$1:$1,0)),FALSE)&gt;=5,"Good","Bad"),VLOOKUP(DATE($K$1,$K$2,JEY$4),Table1[],(MATCH(Calendar!$A18,DB!$1:$1,0)),FALSE)),"")</f>
        <v/>
      </c>
      <c r="JEZ18" s="28" t="str">
        <f>IFERROR(IF(JFI3="No",IF(VLOOKUP(DATE($K$1,$K$2,JEZ$4),Table1[],(MATCH(Calendar!$A18,DB!$1:$1,0)),FALSE)&gt;=5,"Good","Bad"),VLOOKUP(DATE($K$1,$K$2,JEZ$4),Table1[],(MATCH(Calendar!$A18,DB!$1:$1,0)),FALSE)),"")</f>
        <v/>
      </c>
      <c r="JFA18" s="28" t="str">
        <f>IFERROR(IF(JFJ3="No",IF(VLOOKUP(DATE($K$1,$K$2,JFA$4),Table1[],(MATCH(Calendar!$A18,DB!$1:$1,0)),FALSE)&gt;=5,"Good","Bad"),VLOOKUP(DATE($K$1,$K$2,JFA$4),Table1[],(MATCH(Calendar!$A18,DB!$1:$1,0)),FALSE)),"")</f>
        <v/>
      </c>
      <c r="JFB18" s="28" t="str">
        <f>IFERROR(IF(JFK3="No",IF(VLOOKUP(DATE($K$1,$K$2,JFB$4),Table1[],(MATCH(Calendar!$A18,DB!$1:$1,0)),FALSE)&gt;=5,"Good","Bad"),VLOOKUP(DATE($K$1,$K$2,JFB$4),Table1[],(MATCH(Calendar!$A18,DB!$1:$1,0)),FALSE)),"")</f>
        <v/>
      </c>
      <c r="JFC18" s="28" t="str">
        <f>IFERROR(IF(JFL3="No",IF(VLOOKUP(DATE($K$1,$K$2,JFC$4),Table1[],(MATCH(Calendar!$A18,DB!$1:$1,0)),FALSE)&gt;=5,"Good","Bad"),VLOOKUP(DATE($K$1,$K$2,JFC$4),Table1[],(MATCH(Calendar!$A18,DB!$1:$1,0)),FALSE)),"")</f>
        <v/>
      </c>
      <c r="JFD18" s="28" t="str">
        <f>IFERROR(IF(JFM3="No",IF(VLOOKUP(DATE($K$1,$K$2,JFD$4),Table1[],(MATCH(Calendar!$A18,DB!$1:$1,0)),FALSE)&gt;=5,"Good","Bad"),VLOOKUP(DATE($K$1,$K$2,JFD$4),Table1[],(MATCH(Calendar!$A18,DB!$1:$1,0)),FALSE)),"")</f>
        <v/>
      </c>
      <c r="JFE18" s="28" t="str">
        <f>IFERROR(IF(JFN3="No",IF(VLOOKUP(DATE($K$1,$K$2,JFE$4),Table1[],(MATCH(Calendar!$A18,DB!$1:$1,0)),FALSE)&gt;=5,"Good","Bad"),VLOOKUP(DATE($K$1,$K$2,JFE$4),Table1[],(MATCH(Calendar!$A18,DB!$1:$1,0)),FALSE)),"")</f>
        <v/>
      </c>
      <c r="JFF18" s="28" t="str">
        <f>IFERROR(IF(JFO3="No",IF(VLOOKUP(DATE($K$1,$K$2,JFF$4),Table1[],(MATCH(Calendar!$A18,DB!$1:$1,0)),FALSE)&gt;=5,"Good","Bad"),VLOOKUP(DATE($K$1,$K$2,JFF$4),Table1[],(MATCH(Calendar!$A18,DB!$1:$1,0)),FALSE)),"")</f>
        <v/>
      </c>
      <c r="JFG18" s="28" t="str">
        <f>IFERROR(IF(JFP3="No",IF(VLOOKUP(DATE($K$1,$K$2,JFG$4),Table1[],(MATCH(Calendar!$A18,DB!$1:$1,0)),FALSE)&gt;=5,"Good","Bad"),VLOOKUP(DATE($K$1,$K$2,JFG$4),Table1[],(MATCH(Calendar!$A18,DB!$1:$1,0)),FALSE)),"")</f>
        <v/>
      </c>
      <c r="JFH18" s="28" t="str">
        <f>IFERROR(IF(JFQ3="No",IF(VLOOKUP(DATE($K$1,$K$2,JFH$4),Table1[],(MATCH(Calendar!$A18,DB!$1:$1,0)),FALSE)&gt;=5,"Good","Bad"),VLOOKUP(DATE($K$1,$K$2,JFH$4),Table1[],(MATCH(Calendar!$A18,DB!$1:$1,0)),FALSE)),"")</f>
        <v/>
      </c>
      <c r="JFI18" s="28" t="str">
        <f>IFERROR(IF(JFR3="No",IF(VLOOKUP(DATE($K$1,$K$2,JFI$4),Table1[],(MATCH(Calendar!$A18,DB!$1:$1,0)),FALSE)&gt;=5,"Good","Bad"),VLOOKUP(DATE($K$1,$K$2,JFI$4),Table1[],(MATCH(Calendar!$A18,DB!$1:$1,0)),FALSE)),"")</f>
        <v/>
      </c>
      <c r="JFJ18" s="28" t="str">
        <f>IFERROR(IF(JFS3="No",IF(VLOOKUP(DATE($K$1,$K$2,JFJ$4),Table1[],(MATCH(Calendar!$A18,DB!$1:$1,0)),FALSE)&gt;=5,"Good","Bad"),VLOOKUP(DATE($K$1,$K$2,JFJ$4),Table1[],(MATCH(Calendar!$A18,DB!$1:$1,0)),FALSE)),"")</f>
        <v/>
      </c>
      <c r="JFK18" s="28" t="str">
        <f>IFERROR(IF(JFT3="No",IF(VLOOKUP(DATE($K$1,$K$2,JFK$4),Table1[],(MATCH(Calendar!$A18,DB!$1:$1,0)),FALSE)&gt;=5,"Good","Bad"),VLOOKUP(DATE($K$1,$K$2,JFK$4),Table1[],(MATCH(Calendar!$A18,DB!$1:$1,0)),FALSE)),"")</f>
        <v/>
      </c>
      <c r="JFL18" s="28" t="str">
        <f>IFERROR(IF(JFU3="No",IF(VLOOKUP(DATE($K$1,$K$2,JFL$4),Table1[],(MATCH(Calendar!$A18,DB!$1:$1,0)),FALSE)&gt;=5,"Good","Bad"),VLOOKUP(DATE($K$1,$K$2,JFL$4),Table1[],(MATCH(Calendar!$A18,DB!$1:$1,0)),FALSE)),"")</f>
        <v/>
      </c>
      <c r="JFM18" s="28" t="str">
        <f>IFERROR(IF(JFV3="No",IF(VLOOKUP(DATE($K$1,$K$2,JFM$4),Table1[],(MATCH(Calendar!$A18,DB!$1:$1,0)),FALSE)&gt;=5,"Good","Bad"),VLOOKUP(DATE($K$1,$K$2,JFM$4),Table1[],(MATCH(Calendar!$A18,DB!$1:$1,0)),FALSE)),"")</f>
        <v/>
      </c>
      <c r="JFN18" s="28" t="str">
        <f>IFERROR(IF(JFW3="No",IF(VLOOKUP(DATE($K$1,$K$2,JFN$4),Table1[],(MATCH(Calendar!$A18,DB!$1:$1,0)),FALSE)&gt;=5,"Good","Bad"),VLOOKUP(DATE($K$1,$K$2,JFN$4),Table1[],(MATCH(Calendar!$A18,DB!$1:$1,0)),FALSE)),"")</f>
        <v/>
      </c>
      <c r="JFO18" s="28" t="str">
        <f>IFERROR(IF(JFX3="No",IF(VLOOKUP(DATE($K$1,$K$2,JFO$4),Table1[],(MATCH(Calendar!$A18,DB!$1:$1,0)),FALSE)&gt;=5,"Good","Bad"),VLOOKUP(DATE($K$1,$K$2,JFO$4),Table1[],(MATCH(Calendar!$A18,DB!$1:$1,0)),FALSE)),"")</f>
        <v/>
      </c>
      <c r="JFP18" s="28" t="str">
        <f>IFERROR(IF(JFY3="No",IF(VLOOKUP(DATE($K$1,$K$2,JFP$4),Table1[],(MATCH(Calendar!$A18,DB!$1:$1,0)),FALSE)&gt;=5,"Good","Bad"),VLOOKUP(DATE($K$1,$K$2,JFP$4),Table1[],(MATCH(Calendar!$A18,DB!$1:$1,0)),FALSE)),"")</f>
        <v/>
      </c>
      <c r="JFQ18" s="28" t="str">
        <f>IFERROR(IF(JFZ3="No",IF(VLOOKUP(DATE($K$1,$K$2,JFQ$4),Table1[],(MATCH(Calendar!$A18,DB!$1:$1,0)),FALSE)&gt;=5,"Good","Bad"),VLOOKUP(DATE($K$1,$K$2,JFQ$4),Table1[],(MATCH(Calendar!$A18,DB!$1:$1,0)),FALSE)),"")</f>
        <v/>
      </c>
      <c r="JFR18" s="28" t="str">
        <f>IFERROR(IF(JGA3="No",IF(VLOOKUP(DATE($K$1,$K$2,JFR$4),Table1[],(MATCH(Calendar!$A18,DB!$1:$1,0)),FALSE)&gt;=5,"Good","Bad"),VLOOKUP(DATE($K$1,$K$2,JFR$4),Table1[],(MATCH(Calendar!$A18,DB!$1:$1,0)),FALSE)),"")</f>
        <v/>
      </c>
      <c r="JFS18" s="28" t="str">
        <f>IFERROR(IF(JGB3="No",IF(VLOOKUP(DATE($K$1,$K$2,JFS$4),Table1[],(MATCH(Calendar!$A18,DB!$1:$1,0)),FALSE)&gt;=5,"Good","Bad"),VLOOKUP(DATE($K$1,$K$2,JFS$4),Table1[],(MATCH(Calendar!$A18,DB!$1:$1,0)),FALSE)),"")</f>
        <v/>
      </c>
      <c r="JFT18" s="28" t="str">
        <f>IFERROR(IF(JGC3="No",IF(VLOOKUP(DATE($K$1,$K$2,JFT$4),Table1[],(MATCH(Calendar!$A18,DB!$1:$1,0)),FALSE)&gt;=5,"Good","Bad"),VLOOKUP(DATE($K$1,$K$2,JFT$4),Table1[],(MATCH(Calendar!$A18,DB!$1:$1,0)),FALSE)),"")</f>
        <v/>
      </c>
      <c r="JFU18" s="28" t="str">
        <f>IFERROR(IF(JGD3="No",IF(VLOOKUP(DATE($K$1,$K$2,JFU$4),Table1[],(MATCH(Calendar!$A18,DB!$1:$1,0)),FALSE)&gt;=5,"Good","Bad"),VLOOKUP(DATE($K$1,$K$2,JFU$4),Table1[],(MATCH(Calendar!$A18,DB!$1:$1,0)),FALSE)),"")</f>
        <v/>
      </c>
      <c r="JFV18" s="28" t="str">
        <f>IFERROR(IF(JGE3="No",IF(VLOOKUP(DATE($K$1,$K$2,JFV$4),Table1[],(MATCH(Calendar!$A18,DB!$1:$1,0)),FALSE)&gt;=5,"Good","Bad"),VLOOKUP(DATE($K$1,$K$2,JFV$4),Table1[],(MATCH(Calendar!$A18,DB!$1:$1,0)),FALSE)),"")</f>
        <v/>
      </c>
      <c r="JFW18" s="28" t="str">
        <f>IFERROR(IF(JGF3="No",IF(VLOOKUP(DATE($K$1,$K$2,JFW$4),Table1[],(MATCH(Calendar!$A18,DB!$1:$1,0)),FALSE)&gt;=5,"Good","Bad"),VLOOKUP(DATE($K$1,$K$2,JFW$4),Table1[],(MATCH(Calendar!$A18,DB!$1:$1,0)),FALSE)),"")</f>
        <v/>
      </c>
      <c r="JFX18" s="28" t="str">
        <f>IFERROR(IF(JGG3="No",IF(VLOOKUP(DATE($K$1,$K$2,JFX$4),Table1[],(MATCH(Calendar!$A18,DB!$1:$1,0)),FALSE)&gt;=5,"Good","Bad"),VLOOKUP(DATE($K$1,$K$2,JFX$4),Table1[],(MATCH(Calendar!$A18,DB!$1:$1,0)),FALSE)),"")</f>
        <v/>
      </c>
      <c r="JFY18" s="28" t="str">
        <f>IFERROR(IF(JGH3="No",IF(VLOOKUP(DATE($K$1,$K$2,JFY$4),Table1[],(MATCH(Calendar!$A18,DB!$1:$1,0)),FALSE)&gt;=5,"Good","Bad"),VLOOKUP(DATE($K$1,$K$2,JFY$4),Table1[],(MATCH(Calendar!$A18,DB!$1:$1,0)),FALSE)),"")</f>
        <v/>
      </c>
      <c r="JFZ18" s="28" t="str">
        <f>IFERROR(IF(JGI3="No",IF(VLOOKUP(DATE($K$1,$K$2,JFZ$4),Table1[],(MATCH(Calendar!$A18,DB!$1:$1,0)),FALSE)&gt;=5,"Good","Bad"),VLOOKUP(DATE($K$1,$K$2,JFZ$4),Table1[],(MATCH(Calendar!$A18,DB!$1:$1,0)),FALSE)),"")</f>
        <v/>
      </c>
      <c r="JGA18" s="28" t="str">
        <f>IFERROR(IF(JGJ3="No",IF(VLOOKUP(DATE($K$1,$K$2,JGA$4),Table1[],(MATCH(Calendar!$A18,DB!$1:$1,0)),FALSE)&gt;=5,"Good","Bad"),VLOOKUP(DATE($K$1,$K$2,JGA$4),Table1[],(MATCH(Calendar!$A18,DB!$1:$1,0)),FALSE)),"")</f>
        <v/>
      </c>
      <c r="JGB18" s="28" t="str">
        <f>IFERROR(IF(JGK3="No",IF(VLOOKUP(DATE($K$1,$K$2,JGB$4),Table1[],(MATCH(Calendar!$A18,DB!$1:$1,0)),FALSE)&gt;=5,"Good","Bad"),VLOOKUP(DATE($K$1,$K$2,JGB$4),Table1[],(MATCH(Calendar!$A18,DB!$1:$1,0)),FALSE)),"")</f>
        <v/>
      </c>
      <c r="JGC18" s="28" t="str">
        <f>IFERROR(IF(JGL3="No",IF(VLOOKUP(DATE($K$1,$K$2,JGC$4),Table1[],(MATCH(Calendar!$A18,DB!$1:$1,0)),FALSE)&gt;=5,"Good","Bad"),VLOOKUP(DATE($K$1,$K$2,JGC$4),Table1[],(MATCH(Calendar!$A18,DB!$1:$1,0)),FALSE)),"")</f>
        <v/>
      </c>
      <c r="JGD18" s="28" t="str">
        <f>IFERROR(IF(JGM3="No",IF(VLOOKUP(DATE($K$1,$K$2,JGD$4),Table1[],(MATCH(Calendar!$A18,DB!$1:$1,0)),FALSE)&gt;=5,"Good","Bad"),VLOOKUP(DATE($K$1,$K$2,JGD$4),Table1[],(MATCH(Calendar!$A18,DB!$1:$1,0)),FALSE)),"")</f>
        <v/>
      </c>
      <c r="JGE18" s="28" t="str">
        <f>IFERROR(IF(JGN3="No",IF(VLOOKUP(DATE($K$1,$K$2,JGE$4),Table1[],(MATCH(Calendar!$A18,DB!$1:$1,0)),FALSE)&gt;=5,"Good","Bad"),VLOOKUP(DATE($K$1,$K$2,JGE$4),Table1[],(MATCH(Calendar!$A18,DB!$1:$1,0)),FALSE)),"")</f>
        <v/>
      </c>
      <c r="JGF18" s="28" t="str">
        <f>IFERROR(IF(JGO3="No",IF(VLOOKUP(DATE($K$1,$K$2,JGF$4),Table1[],(MATCH(Calendar!$A18,DB!$1:$1,0)),FALSE)&gt;=5,"Good","Bad"),VLOOKUP(DATE($K$1,$K$2,JGF$4),Table1[],(MATCH(Calendar!$A18,DB!$1:$1,0)),FALSE)),"")</f>
        <v/>
      </c>
      <c r="JGG18" s="28" t="str">
        <f>IFERROR(IF(JGP3="No",IF(VLOOKUP(DATE($K$1,$K$2,JGG$4),Table1[],(MATCH(Calendar!$A18,DB!$1:$1,0)),FALSE)&gt;=5,"Good","Bad"),VLOOKUP(DATE($K$1,$K$2,JGG$4),Table1[],(MATCH(Calendar!$A18,DB!$1:$1,0)),FALSE)),"")</f>
        <v/>
      </c>
      <c r="JGH18" s="28" t="str">
        <f>IFERROR(IF(JGQ3="No",IF(VLOOKUP(DATE($K$1,$K$2,JGH$4),Table1[],(MATCH(Calendar!$A18,DB!$1:$1,0)),FALSE)&gt;=5,"Good","Bad"),VLOOKUP(DATE($K$1,$K$2,JGH$4),Table1[],(MATCH(Calendar!$A18,DB!$1:$1,0)),FALSE)),"")</f>
        <v/>
      </c>
      <c r="JGI18" s="28" t="str">
        <f>IFERROR(IF(JGR3="No",IF(VLOOKUP(DATE($K$1,$K$2,JGI$4),Table1[],(MATCH(Calendar!$A18,DB!$1:$1,0)),FALSE)&gt;=5,"Good","Bad"),VLOOKUP(DATE($K$1,$K$2,JGI$4),Table1[],(MATCH(Calendar!$A18,DB!$1:$1,0)),FALSE)),"")</f>
        <v/>
      </c>
      <c r="JGJ18" s="28" t="str">
        <f>IFERROR(IF(JGS3="No",IF(VLOOKUP(DATE($K$1,$K$2,JGJ$4),Table1[],(MATCH(Calendar!$A18,DB!$1:$1,0)),FALSE)&gt;=5,"Good","Bad"),VLOOKUP(DATE($K$1,$K$2,JGJ$4),Table1[],(MATCH(Calendar!$A18,DB!$1:$1,0)),FALSE)),"")</f>
        <v/>
      </c>
      <c r="JGK18" s="28" t="str">
        <f>IFERROR(IF(JGT3="No",IF(VLOOKUP(DATE($K$1,$K$2,JGK$4),Table1[],(MATCH(Calendar!$A18,DB!$1:$1,0)),FALSE)&gt;=5,"Good","Bad"),VLOOKUP(DATE($K$1,$K$2,JGK$4),Table1[],(MATCH(Calendar!$A18,DB!$1:$1,0)),FALSE)),"")</f>
        <v/>
      </c>
      <c r="JGL18" s="28" t="str">
        <f>IFERROR(IF(JGU3="No",IF(VLOOKUP(DATE($K$1,$K$2,JGL$4),Table1[],(MATCH(Calendar!$A18,DB!$1:$1,0)),FALSE)&gt;=5,"Good","Bad"),VLOOKUP(DATE($K$1,$K$2,JGL$4),Table1[],(MATCH(Calendar!$A18,DB!$1:$1,0)),FALSE)),"")</f>
        <v/>
      </c>
      <c r="JGM18" s="28" t="str">
        <f>IFERROR(IF(JGV3="No",IF(VLOOKUP(DATE($K$1,$K$2,JGM$4),Table1[],(MATCH(Calendar!$A18,DB!$1:$1,0)),FALSE)&gt;=5,"Good","Bad"),VLOOKUP(DATE($K$1,$K$2,JGM$4),Table1[],(MATCH(Calendar!$A18,DB!$1:$1,0)),FALSE)),"")</f>
        <v/>
      </c>
      <c r="JGN18" s="28" t="str">
        <f>IFERROR(IF(JGW3="No",IF(VLOOKUP(DATE($K$1,$K$2,JGN$4),Table1[],(MATCH(Calendar!$A18,DB!$1:$1,0)),FALSE)&gt;=5,"Good","Bad"),VLOOKUP(DATE($K$1,$K$2,JGN$4),Table1[],(MATCH(Calendar!$A18,DB!$1:$1,0)),FALSE)),"")</f>
        <v/>
      </c>
      <c r="JGO18" s="28" t="str">
        <f>IFERROR(IF(JGX3="No",IF(VLOOKUP(DATE($K$1,$K$2,JGO$4),Table1[],(MATCH(Calendar!$A18,DB!$1:$1,0)),FALSE)&gt;=5,"Good","Bad"),VLOOKUP(DATE($K$1,$K$2,JGO$4),Table1[],(MATCH(Calendar!$A18,DB!$1:$1,0)),FALSE)),"")</f>
        <v/>
      </c>
      <c r="JGP18" s="28" t="str">
        <f>IFERROR(IF(JGY3="No",IF(VLOOKUP(DATE($K$1,$K$2,JGP$4),Table1[],(MATCH(Calendar!$A18,DB!$1:$1,0)),FALSE)&gt;=5,"Good","Bad"),VLOOKUP(DATE($K$1,$K$2,JGP$4),Table1[],(MATCH(Calendar!$A18,DB!$1:$1,0)),FALSE)),"")</f>
        <v/>
      </c>
      <c r="JGQ18" s="28" t="str">
        <f>IFERROR(IF(JGZ3="No",IF(VLOOKUP(DATE($K$1,$K$2,JGQ$4),Table1[],(MATCH(Calendar!$A18,DB!$1:$1,0)),FALSE)&gt;=5,"Good","Bad"),VLOOKUP(DATE($K$1,$K$2,JGQ$4),Table1[],(MATCH(Calendar!$A18,DB!$1:$1,0)),FALSE)),"")</f>
        <v/>
      </c>
      <c r="JGR18" s="28" t="str">
        <f>IFERROR(IF(JHA3="No",IF(VLOOKUP(DATE($K$1,$K$2,JGR$4),Table1[],(MATCH(Calendar!$A18,DB!$1:$1,0)),FALSE)&gt;=5,"Good","Bad"),VLOOKUP(DATE($K$1,$K$2,JGR$4),Table1[],(MATCH(Calendar!$A18,DB!$1:$1,0)),FALSE)),"")</f>
        <v/>
      </c>
      <c r="JGS18" s="28" t="str">
        <f>IFERROR(IF(JHB3="No",IF(VLOOKUP(DATE($K$1,$K$2,JGS$4),Table1[],(MATCH(Calendar!$A18,DB!$1:$1,0)),FALSE)&gt;=5,"Good","Bad"),VLOOKUP(DATE($K$1,$K$2,JGS$4),Table1[],(MATCH(Calendar!$A18,DB!$1:$1,0)),FALSE)),"")</f>
        <v/>
      </c>
      <c r="JGT18" s="28" t="str">
        <f>IFERROR(IF(JHC3="No",IF(VLOOKUP(DATE($K$1,$K$2,JGT$4),Table1[],(MATCH(Calendar!$A18,DB!$1:$1,0)),FALSE)&gt;=5,"Good","Bad"),VLOOKUP(DATE($K$1,$K$2,JGT$4),Table1[],(MATCH(Calendar!$A18,DB!$1:$1,0)),FALSE)),"")</f>
        <v/>
      </c>
      <c r="JGU18" s="28" t="str">
        <f>IFERROR(IF(JHD3="No",IF(VLOOKUP(DATE($K$1,$K$2,JGU$4),Table1[],(MATCH(Calendar!$A18,DB!$1:$1,0)),FALSE)&gt;=5,"Good","Bad"),VLOOKUP(DATE($K$1,$K$2,JGU$4),Table1[],(MATCH(Calendar!$A18,DB!$1:$1,0)),FALSE)),"")</f>
        <v/>
      </c>
      <c r="JGV18" s="28" t="str">
        <f>IFERROR(IF(JHE3="No",IF(VLOOKUP(DATE($K$1,$K$2,JGV$4),Table1[],(MATCH(Calendar!$A18,DB!$1:$1,0)),FALSE)&gt;=5,"Good","Bad"),VLOOKUP(DATE($K$1,$K$2,JGV$4),Table1[],(MATCH(Calendar!$A18,DB!$1:$1,0)),FALSE)),"")</f>
        <v/>
      </c>
      <c r="JGW18" s="28" t="str">
        <f>IFERROR(IF(JHF3="No",IF(VLOOKUP(DATE($K$1,$K$2,JGW$4),Table1[],(MATCH(Calendar!$A18,DB!$1:$1,0)),FALSE)&gt;=5,"Good","Bad"),VLOOKUP(DATE($K$1,$K$2,JGW$4),Table1[],(MATCH(Calendar!$A18,DB!$1:$1,0)),FALSE)),"")</f>
        <v/>
      </c>
      <c r="JGX18" s="28" t="str">
        <f>IFERROR(IF(JHG3="No",IF(VLOOKUP(DATE($K$1,$K$2,JGX$4),Table1[],(MATCH(Calendar!$A18,DB!$1:$1,0)),FALSE)&gt;=5,"Good","Bad"),VLOOKUP(DATE($K$1,$K$2,JGX$4),Table1[],(MATCH(Calendar!$A18,DB!$1:$1,0)),FALSE)),"")</f>
        <v/>
      </c>
      <c r="JGY18" s="28" t="str">
        <f>IFERROR(IF(JHH3="No",IF(VLOOKUP(DATE($K$1,$K$2,JGY$4),Table1[],(MATCH(Calendar!$A18,DB!$1:$1,0)),FALSE)&gt;=5,"Good","Bad"),VLOOKUP(DATE($K$1,$K$2,JGY$4),Table1[],(MATCH(Calendar!$A18,DB!$1:$1,0)),FALSE)),"")</f>
        <v/>
      </c>
      <c r="JGZ18" s="28" t="str">
        <f>IFERROR(IF(JHI3="No",IF(VLOOKUP(DATE($K$1,$K$2,JGZ$4),Table1[],(MATCH(Calendar!$A18,DB!$1:$1,0)),FALSE)&gt;=5,"Good","Bad"),VLOOKUP(DATE($K$1,$K$2,JGZ$4),Table1[],(MATCH(Calendar!$A18,DB!$1:$1,0)),FALSE)),"")</f>
        <v/>
      </c>
      <c r="JHA18" s="28" t="str">
        <f>IFERROR(IF(JHJ3="No",IF(VLOOKUP(DATE($K$1,$K$2,JHA$4),Table1[],(MATCH(Calendar!$A18,DB!$1:$1,0)),FALSE)&gt;=5,"Good","Bad"),VLOOKUP(DATE($K$1,$K$2,JHA$4),Table1[],(MATCH(Calendar!$A18,DB!$1:$1,0)),FALSE)),"")</f>
        <v/>
      </c>
      <c r="JHB18" s="28" t="str">
        <f>IFERROR(IF(JHK3="No",IF(VLOOKUP(DATE($K$1,$K$2,JHB$4),Table1[],(MATCH(Calendar!$A18,DB!$1:$1,0)),FALSE)&gt;=5,"Good","Bad"),VLOOKUP(DATE($K$1,$K$2,JHB$4),Table1[],(MATCH(Calendar!$A18,DB!$1:$1,0)),FALSE)),"")</f>
        <v/>
      </c>
      <c r="JHC18" s="28" t="str">
        <f>IFERROR(IF(JHL3="No",IF(VLOOKUP(DATE($K$1,$K$2,JHC$4),Table1[],(MATCH(Calendar!$A18,DB!$1:$1,0)),FALSE)&gt;=5,"Good","Bad"),VLOOKUP(DATE($K$1,$K$2,JHC$4),Table1[],(MATCH(Calendar!$A18,DB!$1:$1,0)),FALSE)),"")</f>
        <v/>
      </c>
      <c r="JHD18" s="28" t="str">
        <f>IFERROR(IF(JHM3="No",IF(VLOOKUP(DATE($K$1,$K$2,JHD$4),Table1[],(MATCH(Calendar!$A18,DB!$1:$1,0)),FALSE)&gt;=5,"Good","Bad"),VLOOKUP(DATE($K$1,$K$2,JHD$4),Table1[],(MATCH(Calendar!$A18,DB!$1:$1,0)),FALSE)),"")</f>
        <v/>
      </c>
      <c r="JHE18" s="28" t="str">
        <f>IFERROR(IF(JHN3="No",IF(VLOOKUP(DATE($K$1,$K$2,JHE$4),Table1[],(MATCH(Calendar!$A18,DB!$1:$1,0)),FALSE)&gt;=5,"Good","Bad"),VLOOKUP(DATE($K$1,$K$2,JHE$4),Table1[],(MATCH(Calendar!$A18,DB!$1:$1,0)),FALSE)),"")</f>
        <v/>
      </c>
      <c r="JHF18" s="28" t="str">
        <f>IFERROR(IF(JHO3="No",IF(VLOOKUP(DATE($K$1,$K$2,JHF$4),Table1[],(MATCH(Calendar!$A18,DB!$1:$1,0)),FALSE)&gt;=5,"Good","Bad"),VLOOKUP(DATE($K$1,$K$2,JHF$4),Table1[],(MATCH(Calendar!$A18,DB!$1:$1,0)),FALSE)),"")</f>
        <v/>
      </c>
      <c r="JHG18" s="28" t="str">
        <f>IFERROR(IF(JHP3="No",IF(VLOOKUP(DATE($K$1,$K$2,JHG$4),Table1[],(MATCH(Calendar!$A18,DB!$1:$1,0)),FALSE)&gt;=5,"Good","Bad"),VLOOKUP(DATE($K$1,$K$2,JHG$4),Table1[],(MATCH(Calendar!$A18,DB!$1:$1,0)),FALSE)),"")</f>
        <v/>
      </c>
      <c r="JHH18" s="28" t="str">
        <f>IFERROR(IF(JHQ3="No",IF(VLOOKUP(DATE($K$1,$K$2,JHH$4),Table1[],(MATCH(Calendar!$A18,DB!$1:$1,0)),FALSE)&gt;=5,"Good","Bad"),VLOOKUP(DATE($K$1,$K$2,JHH$4),Table1[],(MATCH(Calendar!$A18,DB!$1:$1,0)),FALSE)),"")</f>
        <v/>
      </c>
      <c r="JHI18" s="28" t="str">
        <f>IFERROR(IF(JHR3="No",IF(VLOOKUP(DATE($K$1,$K$2,JHI$4),Table1[],(MATCH(Calendar!$A18,DB!$1:$1,0)),FALSE)&gt;=5,"Good","Bad"),VLOOKUP(DATE($K$1,$K$2,JHI$4),Table1[],(MATCH(Calendar!$A18,DB!$1:$1,0)),FALSE)),"")</f>
        <v/>
      </c>
      <c r="JHJ18" s="28" t="str">
        <f>IFERROR(IF(JHS3="No",IF(VLOOKUP(DATE($K$1,$K$2,JHJ$4),Table1[],(MATCH(Calendar!$A18,DB!$1:$1,0)),FALSE)&gt;=5,"Good","Bad"),VLOOKUP(DATE($K$1,$K$2,JHJ$4),Table1[],(MATCH(Calendar!$A18,DB!$1:$1,0)),FALSE)),"")</f>
        <v/>
      </c>
      <c r="JHK18" s="28" t="str">
        <f>IFERROR(IF(JHT3="No",IF(VLOOKUP(DATE($K$1,$K$2,JHK$4),Table1[],(MATCH(Calendar!$A18,DB!$1:$1,0)),FALSE)&gt;=5,"Good","Bad"),VLOOKUP(DATE($K$1,$K$2,JHK$4),Table1[],(MATCH(Calendar!$A18,DB!$1:$1,0)),FALSE)),"")</f>
        <v/>
      </c>
      <c r="JHL18" s="28" t="str">
        <f>IFERROR(IF(JHU3="No",IF(VLOOKUP(DATE($K$1,$K$2,JHL$4),Table1[],(MATCH(Calendar!$A18,DB!$1:$1,0)),FALSE)&gt;=5,"Good","Bad"),VLOOKUP(DATE($K$1,$K$2,JHL$4),Table1[],(MATCH(Calendar!$A18,DB!$1:$1,0)),FALSE)),"")</f>
        <v/>
      </c>
      <c r="JHM18" s="28" t="str">
        <f>IFERROR(IF(JHV3="No",IF(VLOOKUP(DATE($K$1,$K$2,JHM$4),Table1[],(MATCH(Calendar!$A18,DB!$1:$1,0)),FALSE)&gt;=5,"Good","Bad"),VLOOKUP(DATE($K$1,$K$2,JHM$4),Table1[],(MATCH(Calendar!$A18,DB!$1:$1,0)),FALSE)),"")</f>
        <v/>
      </c>
      <c r="JHN18" s="28" t="str">
        <f>IFERROR(IF(JHW3="No",IF(VLOOKUP(DATE($K$1,$K$2,JHN$4),Table1[],(MATCH(Calendar!$A18,DB!$1:$1,0)),FALSE)&gt;=5,"Good","Bad"),VLOOKUP(DATE($K$1,$K$2,JHN$4),Table1[],(MATCH(Calendar!$A18,DB!$1:$1,0)),FALSE)),"")</f>
        <v/>
      </c>
      <c r="JHO18" s="28" t="str">
        <f>IFERROR(IF(JHX3="No",IF(VLOOKUP(DATE($K$1,$K$2,JHO$4),Table1[],(MATCH(Calendar!$A18,DB!$1:$1,0)),FALSE)&gt;=5,"Good","Bad"),VLOOKUP(DATE($K$1,$K$2,JHO$4),Table1[],(MATCH(Calendar!$A18,DB!$1:$1,0)),FALSE)),"")</f>
        <v/>
      </c>
      <c r="JHP18" s="28" t="str">
        <f>IFERROR(IF(JHY3="No",IF(VLOOKUP(DATE($K$1,$K$2,JHP$4),Table1[],(MATCH(Calendar!$A18,DB!$1:$1,0)),FALSE)&gt;=5,"Good","Bad"),VLOOKUP(DATE($K$1,$K$2,JHP$4),Table1[],(MATCH(Calendar!$A18,DB!$1:$1,0)),FALSE)),"")</f>
        <v/>
      </c>
      <c r="JHQ18" s="28" t="str">
        <f>IFERROR(IF(JHZ3="No",IF(VLOOKUP(DATE($K$1,$K$2,JHQ$4),Table1[],(MATCH(Calendar!$A18,DB!$1:$1,0)),FALSE)&gt;=5,"Good","Bad"),VLOOKUP(DATE($K$1,$K$2,JHQ$4),Table1[],(MATCH(Calendar!$A18,DB!$1:$1,0)),FALSE)),"")</f>
        <v/>
      </c>
      <c r="JHR18" s="28" t="str">
        <f>IFERROR(IF(JIA3="No",IF(VLOOKUP(DATE($K$1,$K$2,JHR$4),Table1[],(MATCH(Calendar!$A18,DB!$1:$1,0)),FALSE)&gt;=5,"Good","Bad"),VLOOKUP(DATE($K$1,$K$2,JHR$4),Table1[],(MATCH(Calendar!$A18,DB!$1:$1,0)),FALSE)),"")</f>
        <v/>
      </c>
      <c r="JHS18" s="28" t="str">
        <f>IFERROR(IF(JIB3="No",IF(VLOOKUP(DATE($K$1,$K$2,JHS$4),Table1[],(MATCH(Calendar!$A18,DB!$1:$1,0)),FALSE)&gt;=5,"Good","Bad"),VLOOKUP(DATE($K$1,$K$2,JHS$4),Table1[],(MATCH(Calendar!$A18,DB!$1:$1,0)),FALSE)),"")</f>
        <v/>
      </c>
      <c r="JHT18" s="28" t="str">
        <f>IFERROR(IF(JIC3="No",IF(VLOOKUP(DATE($K$1,$K$2,JHT$4),Table1[],(MATCH(Calendar!$A18,DB!$1:$1,0)),FALSE)&gt;=5,"Good","Bad"),VLOOKUP(DATE($K$1,$K$2,JHT$4),Table1[],(MATCH(Calendar!$A18,DB!$1:$1,0)),FALSE)),"")</f>
        <v/>
      </c>
      <c r="JHU18" s="28" t="str">
        <f>IFERROR(IF(JID3="No",IF(VLOOKUP(DATE($K$1,$K$2,JHU$4),Table1[],(MATCH(Calendar!$A18,DB!$1:$1,0)),FALSE)&gt;=5,"Good","Bad"),VLOOKUP(DATE($K$1,$K$2,JHU$4),Table1[],(MATCH(Calendar!$A18,DB!$1:$1,0)),FALSE)),"")</f>
        <v/>
      </c>
      <c r="JHV18" s="28" t="str">
        <f>IFERROR(IF(JIE3="No",IF(VLOOKUP(DATE($K$1,$K$2,JHV$4),Table1[],(MATCH(Calendar!$A18,DB!$1:$1,0)),FALSE)&gt;=5,"Good","Bad"),VLOOKUP(DATE($K$1,$K$2,JHV$4),Table1[],(MATCH(Calendar!$A18,DB!$1:$1,0)),FALSE)),"")</f>
        <v/>
      </c>
      <c r="JHW18" s="28" t="str">
        <f>IFERROR(IF(JIF3="No",IF(VLOOKUP(DATE($K$1,$K$2,JHW$4),Table1[],(MATCH(Calendar!$A18,DB!$1:$1,0)),FALSE)&gt;=5,"Good","Bad"),VLOOKUP(DATE($K$1,$K$2,JHW$4),Table1[],(MATCH(Calendar!$A18,DB!$1:$1,0)),FALSE)),"")</f>
        <v/>
      </c>
      <c r="JHX18" s="28" t="str">
        <f>IFERROR(IF(JIG3="No",IF(VLOOKUP(DATE($K$1,$K$2,JHX$4),Table1[],(MATCH(Calendar!$A18,DB!$1:$1,0)),FALSE)&gt;=5,"Good","Bad"),VLOOKUP(DATE($K$1,$K$2,JHX$4),Table1[],(MATCH(Calendar!$A18,DB!$1:$1,0)),FALSE)),"")</f>
        <v/>
      </c>
      <c r="JHY18" s="28" t="str">
        <f>IFERROR(IF(JIH3="No",IF(VLOOKUP(DATE($K$1,$K$2,JHY$4),Table1[],(MATCH(Calendar!$A18,DB!$1:$1,0)),FALSE)&gt;=5,"Good","Bad"),VLOOKUP(DATE($K$1,$K$2,JHY$4),Table1[],(MATCH(Calendar!$A18,DB!$1:$1,0)),FALSE)),"")</f>
        <v/>
      </c>
      <c r="JHZ18" s="28" t="str">
        <f>IFERROR(IF(JII3="No",IF(VLOOKUP(DATE($K$1,$K$2,JHZ$4),Table1[],(MATCH(Calendar!$A18,DB!$1:$1,0)),FALSE)&gt;=5,"Good","Bad"),VLOOKUP(DATE($K$1,$K$2,JHZ$4),Table1[],(MATCH(Calendar!$A18,DB!$1:$1,0)),FALSE)),"")</f>
        <v/>
      </c>
      <c r="JIA18" s="28" t="str">
        <f>IFERROR(IF(JIJ3="No",IF(VLOOKUP(DATE($K$1,$K$2,JIA$4),Table1[],(MATCH(Calendar!$A18,DB!$1:$1,0)),FALSE)&gt;=5,"Good","Bad"),VLOOKUP(DATE($K$1,$K$2,JIA$4),Table1[],(MATCH(Calendar!$A18,DB!$1:$1,0)),FALSE)),"")</f>
        <v/>
      </c>
      <c r="JIB18" s="28" t="str">
        <f>IFERROR(IF(JIK3="No",IF(VLOOKUP(DATE($K$1,$K$2,JIB$4),Table1[],(MATCH(Calendar!$A18,DB!$1:$1,0)),FALSE)&gt;=5,"Good","Bad"),VLOOKUP(DATE($K$1,$K$2,JIB$4),Table1[],(MATCH(Calendar!$A18,DB!$1:$1,0)),FALSE)),"")</f>
        <v/>
      </c>
      <c r="JIC18" s="28" t="str">
        <f>IFERROR(IF(JIL3="No",IF(VLOOKUP(DATE($K$1,$K$2,JIC$4),Table1[],(MATCH(Calendar!$A18,DB!$1:$1,0)),FALSE)&gt;=5,"Good","Bad"),VLOOKUP(DATE($K$1,$K$2,JIC$4),Table1[],(MATCH(Calendar!$A18,DB!$1:$1,0)),FALSE)),"")</f>
        <v/>
      </c>
      <c r="JID18" s="28" t="str">
        <f>IFERROR(IF(JIM3="No",IF(VLOOKUP(DATE($K$1,$K$2,JID$4),Table1[],(MATCH(Calendar!$A18,DB!$1:$1,0)),FALSE)&gt;=5,"Good","Bad"),VLOOKUP(DATE($K$1,$K$2,JID$4),Table1[],(MATCH(Calendar!$A18,DB!$1:$1,0)),FALSE)),"")</f>
        <v/>
      </c>
      <c r="JIE18" s="28" t="str">
        <f>IFERROR(IF(JIN3="No",IF(VLOOKUP(DATE($K$1,$K$2,JIE$4),Table1[],(MATCH(Calendar!$A18,DB!$1:$1,0)),FALSE)&gt;=5,"Good","Bad"),VLOOKUP(DATE($K$1,$K$2,JIE$4),Table1[],(MATCH(Calendar!$A18,DB!$1:$1,0)),FALSE)),"")</f>
        <v/>
      </c>
      <c r="JIF18" s="28" t="str">
        <f>IFERROR(IF(JIO3="No",IF(VLOOKUP(DATE($K$1,$K$2,JIF$4),Table1[],(MATCH(Calendar!$A18,DB!$1:$1,0)),FALSE)&gt;=5,"Good","Bad"),VLOOKUP(DATE($K$1,$K$2,JIF$4),Table1[],(MATCH(Calendar!$A18,DB!$1:$1,0)),FALSE)),"")</f>
        <v/>
      </c>
      <c r="JIG18" s="28" t="str">
        <f>IFERROR(IF(JIP3="No",IF(VLOOKUP(DATE($K$1,$K$2,JIG$4),Table1[],(MATCH(Calendar!$A18,DB!$1:$1,0)),FALSE)&gt;=5,"Good","Bad"),VLOOKUP(DATE($K$1,$K$2,JIG$4),Table1[],(MATCH(Calendar!$A18,DB!$1:$1,0)),FALSE)),"")</f>
        <v/>
      </c>
      <c r="JIH18" s="28" t="str">
        <f>IFERROR(IF(JIQ3="No",IF(VLOOKUP(DATE($K$1,$K$2,JIH$4),Table1[],(MATCH(Calendar!$A18,DB!$1:$1,0)),FALSE)&gt;=5,"Good","Bad"),VLOOKUP(DATE($K$1,$K$2,JIH$4),Table1[],(MATCH(Calendar!$A18,DB!$1:$1,0)),FALSE)),"")</f>
        <v/>
      </c>
      <c r="JII18" s="28" t="str">
        <f>IFERROR(IF(JIR3="No",IF(VLOOKUP(DATE($K$1,$K$2,JII$4),Table1[],(MATCH(Calendar!$A18,DB!$1:$1,0)),FALSE)&gt;=5,"Good","Bad"),VLOOKUP(DATE($K$1,$K$2,JII$4),Table1[],(MATCH(Calendar!$A18,DB!$1:$1,0)),FALSE)),"")</f>
        <v/>
      </c>
      <c r="JIJ18" s="28" t="str">
        <f>IFERROR(IF(JIS3="No",IF(VLOOKUP(DATE($K$1,$K$2,JIJ$4),Table1[],(MATCH(Calendar!$A18,DB!$1:$1,0)),FALSE)&gt;=5,"Good","Bad"),VLOOKUP(DATE($K$1,$K$2,JIJ$4),Table1[],(MATCH(Calendar!$A18,DB!$1:$1,0)),FALSE)),"")</f>
        <v/>
      </c>
      <c r="JIK18" s="28" t="str">
        <f>IFERROR(IF(JIT3="No",IF(VLOOKUP(DATE($K$1,$K$2,JIK$4),Table1[],(MATCH(Calendar!$A18,DB!$1:$1,0)),FALSE)&gt;=5,"Good","Bad"),VLOOKUP(DATE($K$1,$K$2,JIK$4),Table1[],(MATCH(Calendar!$A18,DB!$1:$1,0)),FALSE)),"")</f>
        <v/>
      </c>
      <c r="JIL18" s="28" t="str">
        <f>IFERROR(IF(JIU3="No",IF(VLOOKUP(DATE($K$1,$K$2,JIL$4),Table1[],(MATCH(Calendar!$A18,DB!$1:$1,0)),FALSE)&gt;=5,"Good","Bad"),VLOOKUP(DATE($K$1,$K$2,JIL$4),Table1[],(MATCH(Calendar!$A18,DB!$1:$1,0)),FALSE)),"")</f>
        <v/>
      </c>
      <c r="JIM18" s="28" t="str">
        <f>IFERROR(IF(JIV3="No",IF(VLOOKUP(DATE($K$1,$K$2,JIM$4),Table1[],(MATCH(Calendar!$A18,DB!$1:$1,0)),FALSE)&gt;=5,"Good","Bad"),VLOOKUP(DATE($K$1,$K$2,JIM$4),Table1[],(MATCH(Calendar!$A18,DB!$1:$1,0)),FALSE)),"")</f>
        <v/>
      </c>
      <c r="JIN18" s="28" t="str">
        <f>IFERROR(IF(JIW3="No",IF(VLOOKUP(DATE($K$1,$K$2,JIN$4),Table1[],(MATCH(Calendar!$A18,DB!$1:$1,0)),FALSE)&gt;=5,"Good","Bad"),VLOOKUP(DATE($K$1,$K$2,JIN$4),Table1[],(MATCH(Calendar!$A18,DB!$1:$1,0)),FALSE)),"")</f>
        <v/>
      </c>
      <c r="JIO18" s="28" t="str">
        <f>IFERROR(IF(JIX3="No",IF(VLOOKUP(DATE($K$1,$K$2,JIO$4),Table1[],(MATCH(Calendar!$A18,DB!$1:$1,0)),FALSE)&gt;=5,"Good","Bad"),VLOOKUP(DATE($K$1,$K$2,JIO$4),Table1[],(MATCH(Calendar!$A18,DB!$1:$1,0)),FALSE)),"")</f>
        <v/>
      </c>
      <c r="JIP18" s="28" t="str">
        <f>IFERROR(IF(JIY3="No",IF(VLOOKUP(DATE($K$1,$K$2,JIP$4),Table1[],(MATCH(Calendar!$A18,DB!$1:$1,0)),FALSE)&gt;=5,"Good","Bad"),VLOOKUP(DATE($K$1,$K$2,JIP$4),Table1[],(MATCH(Calendar!$A18,DB!$1:$1,0)),FALSE)),"")</f>
        <v/>
      </c>
      <c r="JIQ18" s="28" t="str">
        <f>IFERROR(IF(JIZ3="No",IF(VLOOKUP(DATE($K$1,$K$2,JIQ$4),Table1[],(MATCH(Calendar!$A18,DB!$1:$1,0)),FALSE)&gt;=5,"Good","Bad"),VLOOKUP(DATE($K$1,$K$2,JIQ$4),Table1[],(MATCH(Calendar!$A18,DB!$1:$1,0)),FALSE)),"")</f>
        <v/>
      </c>
      <c r="JIR18" s="28" t="str">
        <f>IFERROR(IF(JJA3="No",IF(VLOOKUP(DATE($K$1,$K$2,JIR$4),Table1[],(MATCH(Calendar!$A18,DB!$1:$1,0)),FALSE)&gt;=5,"Good","Bad"),VLOOKUP(DATE($K$1,$K$2,JIR$4),Table1[],(MATCH(Calendar!$A18,DB!$1:$1,0)),FALSE)),"")</f>
        <v/>
      </c>
      <c r="JIS18" s="28" t="str">
        <f>IFERROR(IF(JJB3="No",IF(VLOOKUP(DATE($K$1,$K$2,JIS$4),Table1[],(MATCH(Calendar!$A18,DB!$1:$1,0)),FALSE)&gt;=5,"Good","Bad"),VLOOKUP(DATE($K$1,$K$2,JIS$4),Table1[],(MATCH(Calendar!$A18,DB!$1:$1,0)),FALSE)),"")</f>
        <v/>
      </c>
      <c r="JIT18" s="28" t="str">
        <f>IFERROR(IF(JJC3="No",IF(VLOOKUP(DATE($K$1,$K$2,JIT$4),Table1[],(MATCH(Calendar!$A18,DB!$1:$1,0)),FALSE)&gt;=5,"Good","Bad"),VLOOKUP(DATE($K$1,$K$2,JIT$4),Table1[],(MATCH(Calendar!$A18,DB!$1:$1,0)),FALSE)),"")</f>
        <v/>
      </c>
      <c r="JIU18" s="28" t="str">
        <f>IFERROR(IF(JJD3="No",IF(VLOOKUP(DATE($K$1,$K$2,JIU$4),Table1[],(MATCH(Calendar!$A18,DB!$1:$1,0)),FALSE)&gt;=5,"Good","Bad"),VLOOKUP(DATE($K$1,$K$2,JIU$4),Table1[],(MATCH(Calendar!$A18,DB!$1:$1,0)),FALSE)),"")</f>
        <v/>
      </c>
      <c r="JIV18" s="28" t="str">
        <f>IFERROR(IF(JJE3="No",IF(VLOOKUP(DATE($K$1,$K$2,JIV$4),Table1[],(MATCH(Calendar!$A18,DB!$1:$1,0)),FALSE)&gt;=5,"Good","Bad"),VLOOKUP(DATE($K$1,$K$2,JIV$4),Table1[],(MATCH(Calendar!$A18,DB!$1:$1,0)),FALSE)),"")</f>
        <v/>
      </c>
      <c r="JIW18" s="28" t="str">
        <f>IFERROR(IF(JJF3="No",IF(VLOOKUP(DATE($K$1,$K$2,JIW$4),Table1[],(MATCH(Calendar!$A18,DB!$1:$1,0)),FALSE)&gt;=5,"Good","Bad"),VLOOKUP(DATE($K$1,$K$2,JIW$4),Table1[],(MATCH(Calendar!$A18,DB!$1:$1,0)),FALSE)),"")</f>
        <v/>
      </c>
      <c r="JIX18" s="28" t="str">
        <f>IFERROR(IF(JJG3="No",IF(VLOOKUP(DATE($K$1,$K$2,JIX$4),Table1[],(MATCH(Calendar!$A18,DB!$1:$1,0)),FALSE)&gt;=5,"Good","Bad"),VLOOKUP(DATE($K$1,$K$2,JIX$4),Table1[],(MATCH(Calendar!$A18,DB!$1:$1,0)),FALSE)),"")</f>
        <v/>
      </c>
      <c r="JIY18" s="28" t="str">
        <f>IFERROR(IF(JJH3="No",IF(VLOOKUP(DATE($K$1,$K$2,JIY$4),Table1[],(MATCH(Calendar!$A18,DB!$1:$1,0)),FALSE)&gt;=5,"Good","Bad"),VLOOKUP(DATE($K$1,$K$2,JIY$4),Table1[],(MATCH(Calendar!$A18,DB!$1:$1,0)),FALSE)),"")</f>
        <v/>
      </c>
      <c r="JIZ18" s="28" t="str">
        <f>IFERROR(IF(JJI3="No",IF(VLOOKUP(DATE($K$1,$K$2,JIZ$4),Table1[],(MATCH(Calendar!$A18,DB!$1:$1,0)),FALSE)&gt;=5,"Good","Bad"),VLOOKUP(DATE($K$1,$K$2,JIZ$4),Table1[],(MATCH(Calendar!$A18,DB!$1:$1,0)),FALSE)),"")</f>
        <v/>
      </c>
      <c r="JJA18" s="28" t="str">
        <f>IFERROR(IF(JJJ3="No",IF(VLOOKUP(DATE($K$1,$K$2,JJA$4),Table1[],(MATCH(Calendar!$A18,DB!$1:$1,0)),FALSE)&gt;=5,"Good","Bad"),VLOOKUP(DATE($K$1,$K$2,JJA$4),Table1[],(MATCH(Calendar!$A18,DB!$1:$1,0)),FALSE)),"")</f>
        <v/>
      </c>
      <c r="JJB18" s="28" t="str">
        <f>IFERROR(IF(JJK3="No",IF(VLOOKUP(DATE($K$1,$K$2,JJB$4),Table1[],(MATCH(Calendar!$A18,DB!$1:$1,0)),FALSE)&gt;=5,"Good","Bad"),VLOOKUP(DATE($K$1,$K$2,JJB$4),Table1[],(MATCH(Calendar!$A18,DB!$1:$1,0)),FALSE)),"")</f>
        <v/>
      </c>
      <c r="JJC18" s="28" t="str">
        <f>IFERROR(IF(JJL3="No",IF(VLOOKUP(DATE($K$1,$K$2,JJC$4),Table1[],(MATCH(Calendar!$A18,DB!$1:$1,0)),FALSE)&gt;=5,"Good","Bad"),VLOOKUP(DATE($K$1,$K$2,JJC$4),Table1[],(MATCH(Calendar!$A18,DB!$1:$1,0)),FALSE)),"")</f>
        <v/>
      </c>
      <c r="JJD18" s="28" t="str">
        <f>IFERROR(IF(JJM3="No",IF(VLOOKUP(DATE($K$1,$K$2,JJD$4),Table1[],(MATCH(Calendar!$A18,DB!$1:$1,0)),FALSE)&gt;=5,"Good","Bad"),VLOOKUP(DATE($K$1,$K$2,JJD$4),Table1[],(MATCH(Calendar!$A18,DB!$1:$1,0)),FALSE)),"")</f>
        <v/>
      </c>
      <c r="JJE18" s="28" t="str">
        <f>IFERROR(IF(JJN3="No",IF(VLOOKUP(DATE($K$1,$K$2,JJE$4),Table1[],(MATCH(Calendar!$A18,DB!$1:$1,0)),FALSE)&gt;=5,"Good","Bad"),VLOOKUP(DATE($K$1,$K$2,JJE$4),Table1[],(MATCH(Calendar!$A18,DB!$1:$1,0)),FALSE)),"")</f>
        <v/>
      </c>
      <c r="JJF18" s="28" t="str">
        <f>IFERROR(IF(JJO3="No",IF(VLOOKUP(DATE($K$1,$K$2,JJF$4),Table1[],(MATCH(Calendar!$A18,DB!$1:$1,0)),FALSE)&gt;=5,"Good","Bad"),VLOOKUP(DATE($K$1,$K$2,JJF$4),Table1[],(MATCH(Calendar!$A18,DB!$1:$1,0)),FALSE)),"")</f>
        <v/>
      </c>
      <c r="JJG18" s="28" t="str">
        <f>IFERROR(IF(JJP3="No",IF(VLOOKUP(DATE($K$1,$K$2,JJG$4),Table1[],(MATCH(Calendar!$A18,DB!$1:$1,0)),FALSE)&gt;=5,"Good","Bad"),VLOOKUP(DATE($K$1,$K$2,JJG$4),Table1[],(MATCH(Calendar!$A18,DB!$1:$1,0)),FALSE)),"")</f>
        <v/>
      </c>
      <c r="JJH18" s="28" t="str">
        <f>IFERROR(IF(JJQ3="No",IF(VLOOKUP(DATE($K$1,$K$2,JJH$4),Table1[],(MATCH(Calendar!$A18,DB!$1:$1,0)),FALSE)&gt;=5,"Good","Bad"),VLOOKUP(DATE($K$1,$K$2,JJH$4),Table1[],(MATCH(Calendar!$A18,DB!$1:$1,0)),FALSE)),"")</f>
        <v/>
      </c>
      <c r="JJI18" s="28" t="str">
        <f>IFERROR(IF(JJR3="No",IF(VLOOKUP(DATE($K$1,$K$2,JJI$4),Table1[],(MATCH(Calendar!$A18,DB!$1:$1,0)),FALSE)&gt;=5,"Good","Bad"),VLOOKUP(DATE($K$1,$K$2,JJI$4),Table1[],(MATCH(Calendar!$A18,DB!$1:$1,0)),FALSE)),"")</f>
        <v/>
      </c>
      <c r="JJJ18" s="28" t="str">
        <f>IFERROR(IF(JJS3="No",IF(VLOOKUP(DATE($K$1,$K$2,JJJ$4),Table1[],(MATCH(Calendar!$A18,DB!$1:$1,0)),FALSE)&gt;=5,"Good","Bad"),VLOOKUP(DATE($K$1,$K$2,JJJ$4),Table1[],(MATCH(Calendar!$A18,DB!$1:$1,0)),FALSE)),"")</f>
        <v/>
      </c>
      <c r="JJK18" s="28" t="str">
        <f>IFERROR(IF(JJT3="No",IF(VLOOKUP(DATE($K$1,$K$2,JJK$4),Table1[],(MATCH(Calendar!$A18,DB!$1:$1,0)),FALSE)&gt;=5,"Good","Bad"),VLOOKUP(DATE($K$1,$K$2,JJK$4),Table1[],(MATCH(Calendar!$A18,DB!$1:$1,0)),FALSE)),"")</f>
        <v/>
      </c>
      <c r="JJL18" s="28" t="str">
        <f>IFERROR(IF(JJU3="No",IF(VLOOKUP(DATE($K$1,$K$2,JJL$4),Table1[],(MATCH(Calendar!$A18,DB!$1:$1,0)),FALSE)&gt;=5,"Good","Bad"),VLOOKUP(DATE($K$1,$K$2,JJL$4),Table1[],(MATCH(Calendar!$A18,DB!$1:$1,0)),FALSE)),"")</f>
        <v/>
      </c>
      <c r="JJM18" s="28" t="str">
        <f>IFERROR(IF(JJV3="No",IF(VLOOKUP(DATE($K$1,$K$2,JJM$4),Table1[],(MATCH(Calendar!$A18,DB!$1:$1,0)),FALSE)&gt;=5,"Good","Bad"),VLOOKUP(DATE($K$1,$K$2,JJM$4),Table1[],(MATCH(Calendar!$A18,DB!$1:$1,0)),FALSE)),"")</f>
        <v/>
      </c>
      <c r="JJN18" s="28" t="str">
        <f>IFERROR(IF(JJW3="No",IF(VLOOKUP(DATE($K$1,$K$2,JJN$4),Table1[],(MATCH(Calendar!$A18,DB!$1:$1,0)),FALSE)&gt;=5,"Good","Bad"),VLOOKUP(DATE($K$1,$K$2,JJN$4),Table1[],(MATCH(Calendar!$A18,DB!$1:$1,0)),FALSE)),"")</f>
        <v/>
      </c>
      <c r="JJO18" s="28" t="str">
        <f>IFERROR(IF(JJX3="No",IF(VLOOKUP(DATE($K$1,$K$2,JJO$4),Table1[],(MATCH(Calendar!$A18,DB!$1:$1,0)),FALSE)&gt;=5,"Good","Bad"),VLOOKUP(DATE($K$1,$K$2,JJO$4),Table1[],(MATCH(Calendar!$A18,DB!$1:$1,0)),FALSE)),"")</f>
        <v/>
      </c>
      <c r="JJP18" s="28" t="str">
        <f>IFERROR(IF(JJY3="No",IF(VLOOKUP(DATE($K$1,$K$2,JJP$4),Table1[],(MATCH(Calendar!$A18,DB!$1:$1,0)),FALSE)&gt;=5,"Good","Bad"),VLOOKUP(DATE($K$1,$K$2,JJP$4),Table1[],(MATCH(Calendar!$A18,DB!$1:$1,0)),FALSE)),"")</f>
        <v/>
      </c>
      <c r="JJQ18" s="28" t="str">
        <f>IFERROR(IF(JJZ3="No",IF(VLOOKUP(DATE($K$1,$K$2,JJQ$4),Table1[],(MATCH(Calendar!$A18,DB!$1:$1,0)),FALSE)&gt;=5,"Good","Bad"),VLOOKUP(DATE($K$1,$K$2,JJQ$4),Table1[],(MATCH(Calendar!$A18,DB!$1:$1,0)),FALSE)),"")</f>
        <v/>
      </c>
      <c r="JJR18" s="28" t="str">
        <f>IFERROR(IF(JKA3="No",IF(VLOOKUP(DATE($K$1,$K$2,JJR$4),Table1[],(MATCH(Calendar!$A18,DB!$1:$1,0)),FALSE)&gt;=5,"Good","Bad"),VLOOKUP(DATE($K$1,$K$2,JJR$4),Table1[],(MATCH(Calendar!$A18,DB!$1:$1,0)),FALSE)),"")</f>
        <v/>
      </c>
      <c r="JJS18" s="28" t="str">
        <f>IFERROR(IF(JKB3="No",IF(VLOOKUP(DATE($K$1,$K$2,JJS$4),Table1[],(MATCH(Calendar!$A18,DB!$1:$1,0)),FALSE)&gt;=5,"Good","Bad"),VLOOKUP(DATE($K$1,$K$2,JJS$4),Table1[],(MATCH(Calendar!$A18,DB!$1:$1,0)),FALSE)),"")</f>
        <v/>
      </c>
      <c r="JJT18" s="28" t="str">
        <f>IFERROR(IF(JKC3="No",IF(VLOOKUP(DATE($K$1,$K$2,JJT$4),Table1[],(MATCH(Calendar!$A18,DB!$1:$1,0)),FALSE)&gt;=5,"Good","Bad"),VLOOKUP(DATE($K$1,$K$2,JJT$4),Table1[],(MATCH(Calendar!$A18,DB!$1:$1,0)),FALSE)),"")</f>
        <v/>
      </c>
      <c r="JJU18" s="28" t="str">
        <f>IFERROR(IF(JKD3="No",IF(VLOOKUP(DATE($K$1,$K$2,JJU$4),Table1[],(MATCH(Calendar!$A18,DB!$1:$1,0)),FALSE)&gt;=5,"Good","Bad"),VLOOKUP(DATE($K$1,$K$2,JJU$4),Table1[],(MATCH(Calendar!$A18,DB!$1:$1,0)),FALSE)),"")</f>
        <v/>
      </c>
      <c r="JJV18" s="28" t="str">
        <f>IFERROR(IF(JKE3="No",IF(VLOOKUP(DATE($K$1,$K$2,JJV$4),Table1[],(MATCH(Calendar!$A18,DB!$1:$1,0)),FALSE)&gt;=5,"Good","Bad"),VLOOKUP(DATE($K$1,$K$2,JJV$4),Table1[],(MATCH(Calendar!$A18,DB!$1:$1,0)),FALSE)),"")</f>
        <v/>
      </c>
      <c r="JJW18" s="28" t="str">
        <f>IFERROR(IF(JKF3="No",IF(VLOOKUP(DATE($K$1,$K$2,JJW$4),Table1[],(MATCH(Calendar!$A18,DB!$1:$1,0)),FALSE)&gt;=5,"Good","Bad"),VLOOKUP(DATE($K$1,$K$2,JJW$4),Table1[],(MATCH(Calendar!$A18,DB!$1:$1,0)),FALSE)),"")</f>
        <v/>
      </c>
      <c r="JJX18" s="28" t="str">
        <f>IFERROR(IF(JKG3="No",IF(VLOOKUP(DATE($K$1,$K$2,JJX$4),Table1[],(MATCH(Calendar!$A18,DB!$1:$1,0)),FALSE)&gt;=5,"Good","Bad"),VLOOKUP(DATE($K$1,$K$2,JJX$4),Table1[],(MATCH(Calendar!$A18,DB!$1:$1,0)),FALSE)),"")</f>
        <v/>
      </c>
      <c r="JJY18" s="28" t="str">
        <f>IFERROR(IF(JKH3="No",IF(VLOOKUP(DATE($K$1,$K$2,JJY$4),Table1[],(MATCH(Calendar!$A18,DB!$1:$1,0)),FALSE)&gt;=5,"Good","Bad"),VLOOKUP(DATE($K$1,$K$2,JJY$4),Table1[],(MATCH(Calendar!$A18,DB!$1:$1,0)),FALSE)),"")</f>
        <v/>
      </c>
      <c r="JJZ18" s="28" t="str">
        <f>IFERROR(IF(JKI3="No",IF(VLOOKUP(DATE($K$1,$K$2,JJZ$4),Table1[],(MATCH(Calendar!$A18,DB!$1:$1,0)),FALSE)&gt;=5,"Good","Bad"),VLOOKUP(DATE($K$1,$K$2,JJZ$4),Table1[],(MATCH(Calendar!$A18,DB!$1:$1,0)),FALSE)),"")</f>
        <v/>
      </c>
      <c r="JKA18" s="28" t="str">
        <f>IFERROR(IF(JKJ3="No",IF(VLOOKUP(DATE($K$1,$K$2,JKA$4),Table1[],(MATCH(Calendar!$A18,DB!$1:$1,0)),FALSE)&gt;=5,"Good","Bad"),VLOOKUP(DATE($K$1,$K$2,JKA$4),Table1[],(MATCH(Calendar!$A18,DB!$1:$1,0)),FALSE)),"")</f>
        <v/>
      </c>
      <c r="JKB18" s="28" t="str">
        <f>IFERROR(IF(JKK3="No",IF(VLOOKUP(DATE($K$1,$K$2,JKB$4),Table1[],(MATCH(Calendar!$A18,DB!$1:$1,0)),FALSE)&gt;=5,"Good","Bad"),VLOOKUP(DATE($K$1,$K$2,JKB$4),Table1[],(MATCH(Calendar!$A18,DB!$1:$1,0)),FALSE)),"")</f>
        <v/>
      </c>
      <c r="JKC18" s="28" t="str">
        <f>IFERROR(IF(JKL3="No",IF(VLOOKUP(DATE($K$1,$K$2,JKC$4),Table1[],(MATCH(Calendar!$A18,DB!$1:$1,0)),FALSE)&gt;=5,"Good","Bad"),VLOOKUP(DATE($K$1,$K$2,JKC$4),Table1[],(MATCH(Calendar!$A18,DB!$1:$1,0)),FALSE)),"")</f>
        <v/>
      </c>
      <c r="JKD18" s="28" t="str">
        <f>IFERROR(IF(JKM3="No",IF(VLOOKUP(DATE($K$1,$K$2,JKD$4),Table1[],(MATCH(Calendar!$A18,DB!$1:$1,0)),FALSE)&gt;=5,"Good","Bad"),VLOOKUP(DATE($K$1,$K$2,JKD$4),Table1[],(MATCH(Calendar!$A18,DB!$1:$1,0)),FALSE)),"")</f>
        <v/>
      </c>
      <c r="JKE18" s="28" t="str">
        <f>IFERROR(IF(JKN3="No",IF(VLOOKUP(DATE($K$1,$K$2,JKE$4),Table1[],(MATCH(Calendar!$A18,DB!$1:$1,0)),FALSE)&gt;=5,"Good","Bad"),VLOOKUP(DATE($K$1,$K$2,JKE$4),Table1[],(MATCH(Calendar!$A18,DB!$1:$1,0)),FALSE)),"")</f>
        <v/>
      </c>
      <c r="JKF18" s="28" t="str">
        <f>IFERROR(IF(JKO3="No",IF(VLOOKUP(DATE($K$1,$K$2,JKF$4),Table1[],(MATCH(Calendar!$A18,DB!$1:$1,0)),FALSE)&gt;=5,"Good","Bad"),VLOOKUP(DATE($K$1,$K$2,JKF$4),Table1[],(MATCH(Calendar!$A18,DB!$1:$1,0)),FALSE)),"")</f>
        <v/>
      </c>
      <c r="JKG18" s="28" t="str">
        <f>IFERROR(IF(JKP3="No",IF(VLOOKUP(DATE($K$1,$K$2,JKG$4),Table1[],(MATCH(Calendar!$A18,DB!$1:$1,0)),FALSE)&gt;=5,"Good","Bad"),VLOOKUP(DATE($K$1,$K$2,JKG$4),Table1[],(MATCH(Calendar!$A18,DB!$1:$1,0)),FALSE)),"")</f>
        <v/>
      </c>
      <c r="JKH18" s="28" t="str">
        <f>IFERROR(IF(JKQ3="No",IF(VLOOKUP(DATE($K$1,$K$2,JKH$4),Table1[],(MATCH(Calendar!$A18,DB!$1:$1,0)),FALSE)&gt;=5,"Good","Bad"),VLOOKUP(DATE($K$1,$K$2,JKH$4),Table1[],(MATCH(Calendar!$A18,DB!$1:$1,0)),FALSE)),"")</f>
        <v/>
      </c>
      <c r="JKI18" s="28" t="str">
        <f>IFERROR(IF(JKR3="No",IF(VLOOKUP(DATE($K$1,$K$2,JKI$4),Table1[],(MATCH(Calendar!$A18,DB!$1:$1,0)),FALSE)&gt;=5,"Good","Bad"),VLOOKUP(DATE($K$1,$K$2,JKI$4),Table1[],(MATCH(Calendar!$A18,DB!$1:$1,0)),FALSE)),"")</f>
        <v/>
      </c>
      <c r="JKJ18" s="28" t="str">
        <f>IFERROR(IF(JKS3="No",IF(VLOOKUP(DATE($K$1,$K$2,JKJ$4),Table1[],(MATCH(Calendar!$A18,DB!$1:$1,0)),FALSE)&gt;=5,"Good","Bad"),VLOOKUP(DATE($K$1,$K$2,JKJ$4),Table1[],(MATCH(Calendar!$A18,DB!$1:$1,0)),FALSE)),"")</f>
        <v/>
      </c>
      <c r="JKK18" s="28" t="str">
        <f>IFERROR(IF(JKT3="No",IF(VLOOKUP(DATE($K$1,$K$2,JKK$4),Table1[],(MATCH(Calendar!$A18,DB!$1:$1,0)),FALSE)&gt;=5,"Good","Bad"),VLOOKUP(DATE($K$1,$K$2,JKK$4),Table1[],(MATCH(Calendar!$A18,DB!$1:$1,0)),FALSE)),"")</f>
        <v/>
      </c>
      <c r="JKL18" s="28" t="str">
        <f>IFERROR(IF(JKU3="No",IF(VLOOKUP(DATE($K$1,$K$2,JKL$4),Table1[],(MATCH(Calendar!$A18,DB!$1:$1,0)),FALSE)&gt;=5,"Good","Bad"),VLOOKUP(DATE($K$1,$K$2,JKL$4),Table1[],(MATCH(Calendar!$A18,DB!$1:$1,0)),FALSE)),"")</f>
        <v/>
      </c>
      <c r="JKM18" s="28" t="str">
        <f>IFERROR(IF(JKV3="No",IF(VLOOKUP(DATE($K$1,$K$2,JKM$4),Table1[],(MATCH(Calendar!$A18,DB!$1:$1,0)),FALSE)&gt;=5,"Good","Bad"),VLOOKUP(DATE($K$1,$K$2,JKM$4),Table1[],(MATCH(Calendar!$A18,DB!$1:$1,0)),FALSE)),"")</f>
        <v/>
      </c>
      <c r="JKN18" s="28" t="str">
        <f>IFERROR(IF(JKW3="No",IF(VLOOKUP(DATE($K$1,$K$2,JKN$4),Table1[],(MATCH(Calendar!$A18,DB!$1:$1,0)),FALSE)&gt;=5,"Good","Bad"),VLOOKUP(DATE($K$1,$K$2,JKN$4),Table1[],(MATCH(Calendar!$A18,DB!$1:$1,0)),FALSE)),"")</f>
        <v/>
      </c>
      <c r="JKO18" s="28" t="str">
        <f>IFERROR(IF(JKX3="No",IF(VLOOKUP(DATE($K$1,$K$2,JKO$4),Table1[],(MATCH(Calendar!$A18,DB!$1:$1,0)),FALSE)&gt;=5,"Good","Bad"),VLOOKUP(DATE($K$1,$K$2,JKO$4),Table1[],(MATCH(Calendar!$A18,DB!$1:$1,0)),FALSE)),"")</f>
        <v/>
      </c>
      <c r="JKP18" s="28" t="str">
        <f>IFERROR(IF(JKY3="No",IF(VLOOKUP(DATE($K$1,$K$2,JKP$4),Table1[],(MATCH(Calendar!$A18,DB!$1:$1,0)),FALSE)&gt;=5,"Good","Bad"),VLOOKUP(DATE($K$1,$K$2,JKP$4),Table1[],(MATCH(Calendar!$A18,DB!$1:$1,0)),FALSE)),"")</f>
        <v/>
      </c>
      <c r="JKQ18" s="28" t="str">
        <f>IFERROR(IF(JKZ3="No",IF(VLOOKUP(DATE($K$1,$K$2,JKQ$4),Table1[],(MATCH(Calendar!$A18,DB!$1:$1,0)),FALSE)&gt;=5,"Good","Bad"),VLOOKUP(DATE($K$1,$K$2,JKQ$4),Table1[],(MATCH(Calendar!$A18,DB!$1:$1,0)),FALSE)),"")</f>
        <v/>
      </c>
      <c r="JKR18" s="28" t="str">
        <f>IFERROR(IF(JLA3="No",IF(VLOOKUP(DATE($K$1,$K$2,JKR$4),Table1[],(MATCH(Calendar!$A18,DB!$1:$1,0)),FALSE)&gt;=5,"Good","Bad"),VLOOKUP(DATE($K$1,$K$2,JKR$4),Table1[],(MATCH(Calendar!$A18,DB!$1:$1,0)),FALSE)),"")</f>
        <v/>
      </c>
      <c r="JKS18" s="28" t="str">
        <f>IFERROR(IF(JLB3="No",IF(VLOOKUP(DATE($K$1,$K$2,JKS$4),Table1[],(MATCH(Calendar!$A18,DB!$1:$1,0)),FALSE)&gt;=5,"Good","Bad"),VLOOKUP(DATE($K$1,$K$2,JKS$4),Table1[],(MATCH(Calendar!$A18,DB!$1:$1,0)),FALSE)),"")</f>
        <v/>
      </c>
      <c r="JKT18" s="28" t="str">
        <f>IFERROR(IF(JLC3="No",IF(VLOOKUP(DATE($K$1,$K$2,JKT$4),Table1[],(MATCH(Calendar!$A18,DB!$1:$1,0)),FALSE)&gt;=5,"Good","Bad"),VLOOKUP(DATE($K$1,$K$2,JKT$4),Table1[],(MATCH(Calendar!$A18,DB!$1:$1,0)),FALSE)),"")</f>
        <v/>
      </c>
      <c r="JKU18" s="28" t="str">
        <f>IFERROR(IF(JLD3="No",IF(VLOOKUP(DATE($K$1,$K$2,JKU$4),Table1[],(MATCH(Calendar!$A18,DB!$1:$1,0)),FALSE)&gt;=5,"Good","Bad"),VLOOKUP(DATE($K$1,$K$2,JKU$4),Table1[],(MATCH(Calendar!$A18,DB!$1:$1,0)),FALSE)),"")</f>
        <v/>
      </c>
      <c r="JKV18" s="28" t="str">
        <f>IFERROR(IF(JLE3="No",IF(VLOOKUP(DATE($K$1,$K$2,JKV$4),Table1[],(MATCH(Calendar!$A18,DB!$1:$1,0)),FALSE)&gt;=5,"Good","Bad"),VLOOKUP(DATE($K$1,$K$2,JKV$4),Table1[],(MATCH(Calendar!$A18,DB!$1:$1,0)),FALSE)),"")</f>
        <v/>
      </c>
      <c r="JKW18" s="28" t="str">
        <f>IFERROR(IF(JLF3="No",IF(VLOOKUP(DATE($K$1,$K$2,JKW$4),Table1[],(MATCH(Calendar!$A18,DB!$1:$1,0)),FALSE)&gt;=5,"Good","Bad"),VLOOKUP(DATE($K$1,$K$2,JKW$4),Table1[],(MATCH(Calendar!$A18,DB!$1:$1,0)),FALSE)),"")</f>
        <v/>
      </c>
      <c r="JKX18" s="28" t="str">
        <f>IFERROR(IF(JLG3="No",IF(VLOOKUP(DATE($K$1,$K$2,JKX$4),Table1[],(MATCH(Calendar!$A18,DB!$1:$1,0)),FALSE)&gt;=5,"Good","Bad"),VLOOKUP(DATE($K$1,$K$2,JKX$4),Table1[],(MATCH(Calendar!$A18,DB!$1:$1,0)),FALSE)),"")</f>
        <v/>
      </c>
      <c r="JKY18" s="28" t="str">
        <f>IFERROR(IF(JLH3="No",IF(VLOOKUP(DATE($K$1,$K$2,JKY$4),Table1[],(MATCH(Calendar!$A18,DB!$1:$1,0)),FALSE)&gt;=5,"Good","Bad"),VLOOKUP(DATE($K$1,$K$2,JKY$4),Table1[],(MATCH(Calendar!$A18,DB!$1:$1,0)),FALSE)),"")</f>
        <v/>
      </c>
      <c r="JKZ18" s="28" t="str">
        <f>IFERROR(IF(JLI3="No",IF(VLOOKUP(DATE($K$1,$K$2,JKZ$4),Table1[],(MATCH(Calendar!$A18,DB!$1:$1,0)),FALSE)&gt;=5,"Good","Bad"),VLOOKUP(DATE($K$1,$K$2,JKZ$4),Table1[],(MATCH(Calendar!$A18,DB!$1:$1,0)),FALSE)),"")</f>
        <v/>
      </c>
      <c r="JLA18" s="28" t="str">
        <f>IFERROR(IF(JLJ3="No",IF(VLOOKUP(DATE($K$1,$K$2,JLA$4),Table1[],(MATCH(Calendar!$A18,DB!$1:$1,0)),FALSE)&gt;=5,"Good","Bad"),VLOOKUP(DATE($K$1,$K$2,JLA$4),Table1[],(MATCH(Calendar!$A18,DB!$1:$1,0)),FALSE)),"")</f>
        <v/>
      </c>
      <c r="JLB18" s="28" t="str">
        <f>IFERROR(IF(JLK3="No",IF(VLOOKUP(DATE($K$1,$K$2,JLB$4),Table1[],(MATCH(Calendar!$A18,DB!$1:$1,0)),FALSE)&gt;=5,"Good","Bad"),VLOOKUP(DATE($K$1,$K$2,JLB$4),Table1[],(MATCH(Calendar!$A18,DB!$1:$1,0)),FALSE)),"")</f>
        <v/>
      </c>
      <c r="JLC18" s="28" t="str">
        <f>IFERROR(IF(JLL3="No",IF(VLOOKUP(DATE($K$1,$K$2,JLC$4),Table1[],(MATCH(Calendar!$A18,DB!$1:$1,0)),FALSE)&gt;=5,"Good","Bad"),VLOOKUP(DATE($K$1,$K$2,JLC$4),Table1[],(MATCH(Calendar!$A18,DB!$1:$1,0)),FALSE)),"")</f>
        <v/>
      </c>
      <c r="JLD18" s="28" t="str">
        <f>IFERROR(IF(JLM3="No",IF(VLOOKUP(DATE($K$1,$K$2,JLD$4),Table1[],(MATCH(Calendar!$A18,DB!$1:$1,0)),FALSE)&gt;=5,"Good","Bad"),VLOOKUP(DATE($K$1,$K$2,JLD$4),Table1[],(MATCH(Calendar!$A18,DB!$1:$1,0)),FALSE)),"")</f>
        <v/>
      </c>
      <c r="JLE18" s="28" t="str">
        <f>IFERROR(IF(JLN3="No",IF(VLOOKUP(DATE($K$1,$K$2,JLE$4),Table1[],(MATCH(Calendar!$A18,DB!$1:$1,0)),FALSE)&gt;=5,"Good","Bad"),VLOOKUP(DATE($K$1,$K$2,JLE$4),Table1[],(MATCH(Calendar!$A18,DB!$1:$1,0)),FALSE)),"")</f>
        <v/>
      </c>
      <c r="JLF18" s="28" t="str">
        <f>IFERROR(IF(JLO3="No",IF(VLOOKUP(DATE($K$1,$K$2,JLF$4),Table1[],(MATCH(Calendar!$A18,DB!$1:$1,0)),FALSE)&gt;=5,"Good","Bad"),VLOOKUP(DATE($K$1,$K$2,JLF$4),Table1[],(MATCH(Calendar!$A18,DB!$1:$1,0)),FALSE)),"")</f>
        <v/>
      </c>
      <c r="JLG18" s="28" t="str">
        <f>IFERROR(IF(JLP3="No",IF(VLOOKUP(DATE($K$1,$K$2,JLG$4),Table1[],(MATCH(Calendar!$A18,DB!$1:$1,0)),FALSE)&gt;=5,"Good","Bad"),VLOOKUP(DATE($K$1,$K$2,JLG$4),Table1[],(MATCH(Calendar!$A18,DB!$1:$1,0)),FALSE)),"")</f>
        <v/>
      </c>
      <c r="JLH18" s="28" t="str">
        <f>IFERROR(IF(JLQ3="No",IF(VLOOKUP(DATE($K$1,$K$2,JLH$4),Table1[],(MATCH(Calendar!$A18,DB!$1:$1,0)),FALSE)&gt;=5,"Good","Bad"),VLOOKUP(DATE($K$1,$K$2,JLH$4),Table1[],(MATCH(Calendar!$A18,DB!$1:$1,0)),FALSE)),"")</f>
        <v/>
      </c>
      <c r="JLI18" s="28" t="str">
        <f>IFERROR(IF(JLR3="No",IF(VLOOKUP(DATE($K$1,$K$2,JLI$4),Table1[],(MATCH(Calendar!$A18,DB!$1:$1,0)),FALSE)&gt;=5,"Good","Bad"),VLOOKUP(DATE($K$1,$K$2,JLI$4),Table1[],(MATCH(Calendar!$A18,DB!$1:$1,0)),FALSE)),"")</f>
        <v/>
      </c>
      <c r="JLJ18" s="28" t="str">
        <f>IFERROR(IF(JLS3="No",IF(VLOOKUP(DATE($K$1,$K$2,JLJ$4),Table1[],(MATCH(Calendar!$A18,DB!$1:$1,0)),FALSE)&gt;=5,"Good","Bad"),VLOOKUP(DATE($K$1,$K$2,JLJ$4),Table1[],(MATCH(Calendar!$A18,DB!$1:$1,0)),FALSE)),"")</f>
        <v/>
      </c>
      <c r="JLK18" s="28" t="str">
        <f>IFERROR(IF(JLT3="No",IF(VLOOKUP(DATE($K$1,$K$2,JLK$4),Table1[],(MATCH(Calendar!$A18,DB!$1:$1,0)),FALSE)&gt;=5,"Good","Bad"),VLOOKUP(DATE($K$1,$K$2,JLK$4),Table1[],(MATCH(Calendar!$A18,DB!$1:$1,0)),FALSE)),"")</f>
        <v/>
      </c>
      <c r="JLL18" s="28" t="str">
        <f>IFERROR(IF(JLU3="No",IF(VLOOKUP(DATE($K$1,$K$2,JLL$4),Table1[],(MATCH(Calendar!$A18,DB!$1:$1,0)),FALSE)&gt;=5,"Good","Bad"),VLOOKUP(DATE($K$1,$K$2,JLL$4),Table1[],(MATCH(Calendar!$A18,DB!$1:$1,0)),FALSE)),"")</f>
        <v/>
      </c>
      <c r="JLM18" s="28" t="str">
        <f>IFERROR(IF(JLV3="No",IF(VLOOKUP(DATE($K$1,$K$2,JLM$4),Table1[],(MATCH(Calendar!$A18,DB!$1:$1,0)),FALSE)&gt;=5,"Good","Bad"),VLOOKUP(DATE($K$1,$K$2,JLM$4),Table1[],(MATCH(Calendar!$A18,DB!$1:$1,0)),FALSE)),"")</f>
        <v/>
      </c>
      <c r="JLN18" s="28" t="str">
        <f>IFERROR(IF(JLW3="No",IF(VLOOKUP(DATE($K$1,$K$2,JLN$4),Table1[],(MATCH(Calendar!$A18,DB!$1:$1,0)),FALSE)&gt;=5,"Good","Bad"),VLOOKUP(DATE($K$1,$K$2,JLN$4),Table1[],(MATCH(Calendar!$A18,DB!$1:$1,0)),FALSE)),"")</f>
        <v/>
      </c>
      <c r="JLO18" s="28" t="str">
        <f>IFERROR(IF(JLX3="No",IF(VLOOKUP(DATE($K$1,$K$2,JLO$4),Table1[],(MATCH(Calendar!$A18,DB!$1:$1,0)),FALSE)&gt;=5,"Good","Bad"),VLOOKUP(DATE($K$1,$K$2,JLO$4),Table1[],(MATCH(Calendar!$A18,DB!$1:$1,0)),FALSE)),"")</f>
        <v/>
      </c>
      <c r="JLP18" s="28" t="str">
        <f>IFERROR(IF(JLY3="No",IF(VLOOKUP(DATE($K$1,$K$2,JLP$4),Table1[],(MATCH(Calendar!$A18,DB!$1:$1,0)),FALSE)&gt;=5,"Good","Bad"),VLOOKUP(DATE($K$1,$K$2,JLP$4),Table1[],(MATCH(Calendar!$A18,DB!$1:$1,0)),FALSE)),"")</f>
        <v/>
      </c>
      <c r="JLQ18" s="28" t="str">
        <f>IFERROR(IF(JLZ3="No",IF(VLOOKUP(DATE($K$1,$K$2,JLQ$4),Table1[],(MATCH(Calendar!$A18,DB!$1:$1,0)),FALSE)&gt;=5,"Good","Bad"),VLOOKUP(DATE($K$1,$K$2,JLQ$4),Table1[],(MATCH(Calendar!$A18,DB!$1:$1,0)),FALSE)),"")</f>
        <v/>
      </c>
      <c r="JLR18" s="28" t="str">
        <f>IFERROR(IF(JMA3="No",IF(VLOOKUP(DATE($K$1,$K$2,JLR$4),Table1[],(MATCH(Calendar!$A18,DB!$1:$1,0)),FALSE)&gt;=5,"Good","Bad"),VLOOKUP(DATE($K$1,$K$2,JLR$4),Table1[],(MATCH(Calendar!$A18,DB!$1:$1,0)),FALSE)),"")</f>
        <v/>
      </c>
      <c r="JLS18" s="28" t="str">
        <f>IFERROR(IF(JMB3="No",IF(VLOOKUP(DATE($K$1,$K$2,JLS$4),Table1[],(MATCH(Calendar!$A18,DB!$1:$1,0)),FALSE)&gt;=5,"Good","Bad"),VLOOKUP(DATE($K$1,$K$2,JLS$4),Table1[],(MATCH(Calendar!$A18,DB!$1:$1,0)),FALSE)),"")</f>
        <v/>
      </c>
      <c r="JLT18" s="28" t="str">
        <f>IFERROR(IF(JMC3="No",IF(VLOOKUP(DATE($K$1,$K$2,JLT$4),Table1[],(MATCH(Calendar!$A18,DB!$1:$1,0)),FALSE)&gt;=5,"Good","Bad"),VLOOKUP(DATE($K$1,$K$2,JLT$4),Table1[],(MATCH(Calendar!$A18,DB!$1:$1,0)),FALSE)),"")</f>
        <v/>
      </c>
      <c r="JLU18" s="28" t="str">
        <f>IFERROR(IF(JMD3="No",IF(VLOOKUP(DATE($K$1,$K$2,JLU$4),Table1[],(MATCH(Calendar!$A18,DB!$1:$1,0)),FALSE)&gt;=5,"Good","Bad"),VLOOKUP(DATE($K$1,$K$2,JLU$4),Table1[],(MATCH(Calendar!$A18,DB!$1:$1,0)),FALSE)),"")</f>
        <v/>
      </c>
      <c r="JLV18" s="28" t="str">
        <f>IFERROR(IF(JME3="No",IF(VLOOKUP(DATE($K$1,$K$2,JLV$4),Table1[],(MATCH(Calendar!$A18,DB!$1:$1,0)),FALSE)&gt;=5,"Good","Bad"),VLOOKUP(DATE($K$1,$K$2,JLV$4),Table1[],(MATCH(Calendar!$A18,DB!$1:$1,0)),FALSE)),"")</f>
        <v/>
      </c>
      <c r="JLW18" s="28" t="str">
        <f>IFERROR(IF(JMF3="No",IF(VLOOKUP(DATE($K$1,$K$2,JLW$4),Table1[],(MATCH(Calendar!$A18,DB!$1:$1,0)),FALSE)&gt;=5,"Good","Bad"),VLOOKUP(DATE($K$1,$K$2,JLW$4),Table1[],(MATCH(Calendar!$A18,DB!$1:$1,0)),FALSE)),"")</f>
        <v/>
      </c>
      <c r="JLX18" s="28" t="str">
        <f>IFERROR(IF(JMG3="No",IF(VLOOKUP(DATE($K$1,$K$2,JLX$4),Table1[],(MATCH(Calendar!$A18,DB!$1:$1,0)),FALSE)&gt;=5,"Good","Bad"),VLOOKUP(DATE($K$1,$K$2,JLX$4),Table1[],(MATCH(Calendar!$A18,DB!$1:$1,0)),FALSE)),"")</f>
        <v/>
      </c>
      <c r="JLY18" s="28" t="str">
        <f>IFERROR(IF(JMH3="No",IF(VLOOKUP(DATE($K$1,$K$2,JLY$4),Table1[],(MATCH(Calendar!$A18,DB!$1:$1,0)),FALSE)&gt;=5,"Good","Bad"),VLOOKUP(DATE($K$1,$K$2,JLY$4),Table1[],(MATCH(Calendar!$A18,DB!$1:$1,0)),FALSE)),"")</f>
        <v/>
      </c>
      <c r="JLZ18" s="28" t="str">
        <f>IFERROR(IF(JMI3="No",IF(VLOOKUP(DATE($K$1,$K$2,JLZ$4),Table1[],(MATCH(Calendar!$A18,DB!$1:$1,0)),FALSE)&gt;=5,"Good","Bad"),VLOOKUP(DATE($K$1,$K$2,JLZ$4),Table1[],(MATCH(Calendar!$A18,DB!$1:$1,0)),FALSE)),"")</f>
        <v/>
      </c>
      <c r="JMA18" s="28" t="str">
        <f>IFERROR(IF(JMJ3="No",IF(VLOOKUP(DATE($K$1,$K$2,JMA$4),Table1[],(MATCH(Calendar!$A18,DB!$1:$1,0)),FALSE)&gt;=5,"Good","Bad"),VLOOKUP(DATE($K$1,$K$2,JMA$4),Table1[],(MATCH(Calendar!$A18,DB!$1:$1,0)),FALSE)),"")</f>
        <v/>
      </c>
      <c r="JMB18" s="28" t="str">
        <f>IFERROR(IF(JMK3="No",IF(VLOOKUP(DATE($K$1,$K$2,JMB$4),Table1[],(MATCH(Calendar!$A18,DB!$1:$1,0)),FALSE)&gt;=5,"Good","Bad"),VLOOKUP(DATE($K$1,$K$2,JMB$4),Table1[],(MATCH(Calendar!$A18,DB!$1:$1,0)),FALSE)),"")</f>
        <v/>
      </c>
      <c r="JMC18" s="28" t="str">
        <f>IFERROR(IF(JML3="No",IF(VLOOKUP(DATE($K$1,$K$2,JMC$4),Table1[],(MATCH(Calendar!$A18,DB!$1:$1,0)),FALSE)&gt;=5,"Good","Bad"),VLOOKUP(DATE($K$1,$K$2,JMC$4),Table1[],(MATCH(Calendar!$A18,DB!$1:$1,0)),FALSE)),"")</f>
        <v/>
      </c>
      <c r="JMD18" s="28" t="str">
        <f>IFERROR(IF(JMM3="No",IF(VLOOKUP(DATE($K$1,$K$2,JMD$4),Table1[],(MATCH(Calendar!$A18,DB!$1:$1,0)),FALSE)&gt;=5,"Good","Bad"),VLOOKUP(DATE($K$1,$K$2,JMD$4),Table1[],(MATCH(Calendar!$A18,DB!$1:$1,0)),FALSE)),"")</f>
        <v/>
      </c>
      <c r="JME18" s="28" t="str">
        <f>IFERROR(IF(JMN3="No",IF(VLOOKUP(DATE($K$1,$K$2,JME$4),Table1[],(MATCH(Calendar!$A18,DB!$1:$1,0)),FALSE)&gt;=5,"Good","Bad"),VLOOKUP(DATE($K$1,$K$2,JME$4),Table1[],(MATCH(Calendar!$A18,DB!$1:$1,0)),FALSE)),"")</f>
        <v/>
      </c>
      <c r="JMF18" s="28" t="str">
        <f>IFERROR(IF(JMO3="No",IF(VLOOKUP(DATE($K$1,$K$2,JMF$4),Table1[],(MATCH(Calendar!$A18,DB!$1:$1,0)),FALSE)&gt;=5,"Good","Bad"),VLOOKUP(DATE($K$1,$K$2,JMF$4),Table1[],(MATCH(Calendar!$A18,DB!$1:$1,0)),FALSE)),"")</f>
        <v/>
      </c>
      <c r="JMG18" s="28" t="str">
        <f>IFERROR(IF(JMP3="No",IF(VLOOKUP(DATE($K$1,$K$2,JMG$4),Table1[],(MATCH(Calendar!$A18,DB!$1:$1,0)),FALSE)&gt;=5,"Good","Bad"),VLOOKUP(DATE($K$1,$K$2,JMG$4),Table1[],(MATCH(Calendar!$A18,DB!$1:$1,0)),FALSE)),"")</f>
        <v/>
      </c>
      <c r="JMH18" s="28" t="str">
        <f>IFERROR(IF(JMQ3="No",IF(VLOOKUP(DATE($K$1,$K$2,JMH$4),Table1[],(MATCH(Calendar!$A18,DB!$1:$1,0)),FALSE)&gt;=5,"Good","Bad"),VLOOKUP(DATE($K$1,$K$2,JMH$4),Table1[],(MATCH(Calendar!$A18,DB!$1:$1,0)),FALSE)),"")</f>
        <v/>
      </c>
      <c r="JMI18" s="28" t="str">
        <f>IFERROR(IF(JMR3="No",IF(VLOOKUP(DATE($K$1,$K$2,JMI$4),Table1[],(MATCH(Calendar!$A18,DB!$1:$1,0)),FALSE)&gt;=5,"Good","Bad"),VLOOKUP(DATE($K$1,$K$2,JMI$4),Table1[],(MATCH(Calendar!$A18,DB!$1:$1,0)),FALSE)),"")</f>
        <v/>
      </c>
      <c r="JMJ18" s="28" t="str">
        <f>IFERROR(IF(JMS3="No",IF(VLOOKUP(DATE($K$1,$K$2,JMJ$4),Table1[],(MATCH(Calendar!$A18,DB!$1:$1,0)),FALSE)&gt;=5,"Good","Bad"),VLOOKUP(DATE($K$1,$K$2,JMJ$4),Table1[],(MATCH(Calendar!$A18,DB!$1:$1,0)),FALSE)),"")</f>
        <v/>
      </c>
      <c r="JMK18" s="28" t="str">
        <f>IFERROR(IF(JMT3="No",IF(VLOOKUP(DATE($K$1,$K$2,JMK$4),Table1[],(MATCH(Calendar!$A18,DB!$1:$1,0)),FALSE)&gt;=5,"Good","Bad"),VLOOKUP(DATE($K$1,$K$2,JMK$4),Table1[],(MATCH(Calendar!$A18,DB!$1:$1,0)),FALSE)),"")</f>
        <v/>
      </c>
      <c r="JML18" s="28" t="str">
        <f>IFERROR(IF(JMU3="No",IF(VLOOKUP(DATE($K$1,$K$2,JML$4),Table1[],(MATCH(Calendar!$A18,DB!$1:$1,0)),FALSE)&gt;=5,"Good","Bad"),VLOOKUP(DATE($K$1,$K$2,JML$4),Table1[],(MATCH(Calendar!$A18,DB!$1:$1,0)),FALSE)),"")</f>
        <v/>
      </c>
      <c r="JMM18" s="28" t="str">
        <f>IFERROR(IF(JMV3="No",IF(VLOOKUP(DATE($K$1,$K$2,JMM$4),Table1[],(MATCH(Calendar!$A18,DB!$1:$1,0)),FALSE)&gt;=5,"Good","Bad"),VLOOKUP(DATE($K$1,$K$2,JMM$4),Table1[],(MATCH(Calendar!$A18,DB!$1:$1,0)),FALSE)),"")</f>
        <v/>
      </c>
      <c r="JMN18" s="28" t="str">
        <f>IFERROR(IF(JMW3="No",IF(VLOOKUP(DATE($K$1,$K$2,JMN$4),Table1[],(MATCH(Calendar!$A18,DB!$1:$1,0)),FALSE)&gt;=5,"Good","Bad"),VLOOKUP(DATE($K$1,$K$2,JMN$4),Table1[],(MATCH(Calendar!$A18,DB!$1:$1,0)),FALSE)),"")</f>
        <v/>
      </c>
      <c r="JMO18" s="28" t="str">
        <f>IFERROR(IF(JMX3="No",IF(VLOOKUP(DATE($K$1,$K$2,JMO$4),Table1[],(MATCH(Calendar!$A18,DB!$1:$1,0)),FALSE)&gt;=5,"Good","Bad"),VLOOKUP(DATE($K$1,$K$2,JMO$4),Table1[],(MATCH(Calendar!$A18,DB!$1:$1,0)),FALSE)),"")</f>
        <v/>
      </c>
      <c r="JMP18" s="28" t="str">
        <f>IFERROR(IF(JMY3="No",IF(VLOOKUP(DATE($K$1,$K$2,JMP$4),Table1[],(MATCH(Calendar!$A18,DB!$1:$1,0)),FALSE)&gt;=5,"Good","Bad"),VLOOKUP(DATE($K$1,$K$2,JMP$4),Table1[],(MATCH(Calendar!$A18,DB!$1:$1,0)),FALSE)),"")</f>
        <v/>
      </c>
      <c r="JMQ18" s="28" t="str">
        <f>IFERROR(IF(JMZ3="No",IF(VLOOKUP(DATE($K$1,$K$2,JMQ$4),Table1[],(MATCH(Calendar!$A18,DB!$1:$1,0)),FALSE)&gt;=5,"Good","Bad"),VLOOKUP(DATE($K$1,$K$2,JMQ$4),Table1[],(MATCH(Calendar!$A18,DB!$1:$1,0)),FALSE)),"")</f>
        <v/>
      </c>
      <c r="JMR18" s="28" t="str">
        <f>IFERROR(IF(JNA3="No",IF(VLOOKUP(DATE($K$1,$K$2,JMR$4),Table1[],(MATCH(Calendar!$A18,DB!$1:$1,0)),FALSE)&gt;=5,"Good","Bad"),VLOOKUP(DATE($K$1,$K$2,JMR$4),Table1[],(MATCH(Calendar!$A18,DB!$1:$1,0)),FALSE)),"")</f>
        <v/>
      </c>
      <c r="JMS18" s="28" t="str">
        <f>IFERROR(IF(JNB3="No",IF(VLOOKUP(DATE($K$1,$K$2,JMS$4),Table1[],(MATCH(Calendar!$A18,DB!$1:$1,0)),FALSE)&gt;=5,"Good","Bad"),VLOOKUP(DATE($K$1,$K$2,JMS$4),Table1[],(MATCH(Calendar!$A18,DB!$1:$1,0)),FALSE)),"")</f>
        <v/>
      </c>
      <c r="JMT18" s="28" t="str">
        <f>IFERROR(IF(JNC3="No",IF(VLOOKUP(DATE($K$1,$K$2,JMT$4),Table1[],(MATCH(Calendar!$A18,DB!$1:$1,0)),FALSE)&gt;=5,"Good","Bad"),VLOOKUP(DATE($K$1,$K$2,JMT$4),Table1[],(MATCH(Calendar!$A18,DB!$1:$1,0)),FALSE)),"")</f>
        <v/>
      </c>
      <c r="JMU18" s="28" t="str">
        <f>IFERROR(IF(JND3="No",IF(VLOOKUP(DATE($K$1,$K$2,JMU$4),Table1[],(MATCH(Calendar!$A18,DB!$1:$1,0)),FALSE)&gt;=5,"Good","Bad"),VLOOKUP(DATE($K$1,$K$2,JMU$4),Table1[],(MATCH(Calendar!$A18,DB!$1:$1,0)),FALSE)),"")</f>
        <v/>
      </c>
      <c r="JMV18" s="28" t="str">
        <f>IFERROR(IF(JNE3="No",IF(VLOOKUP(DATE($K$1,$K$2,JMV$4),Table1[],(MATCH(Calendar!$A18,DB!$1:$1,0)),FALSE)&gt;=5,"Good","Bad"),VLOOKUP(DATE($K$1,$K$2,JMV$4),Table1[],(MATCH(Calendar!$A18,DB!$1:$1,0)),FALSE)),"")</f>
        <v/>
      </c>
      <c r="JMW18" s="28" t="str">
        <f>IFERROR(IF(JNF3="No",IF(VLOOKUP(DATE($K$1,$K$2,JMW$4),Table1[],(MATCH(Calendar!$A18,DB!$1:$1,0)),FALSE)&gt;=5,"Good","Bad"),VLOOKUP(DATE($K$1,$K$2,JMW$4),Table1[],(MATCH(Calendar!$A18,DB!$1:$1,0)),FALSE)),"")</f>
        <v/>
      </c>
      <c r="JMX18" s="28" t="str">
        <f>IFERROR(IF(JNG3="No",IF(VLOOKUP(DATE($K$1,$K$2,JMX$4),Table1[],(MATCH(Calendar!$A18,DB!$1:$1,0)),FALSE)&gt;=5,"Good","Bad"),VLOOKUP(DATE($K$1,$K$2,JMX$4),Table1[],(MATCH(Calendar!$A18,DB!$1:$1,0)),FALSE)),"")</f>
        <v/>
      </c>
      <c r="JMY18" s="28" t="str">
        <f>IFERROR(IF(JNH3="No",IF(VLOOKUP(DATE($K$1,$K$2,JMY$4),Table1[],(MATCH(Calendar!$A18,DB!$1:$1,0)),FALSE)&gt;=5,"Good","Bad"),VLOOKUP(DATE($K$1,$K$2,JMY$4),Table1[],(MATCH(Calendar!$A18,DB!$1:$1,0)),FALSE)),"")</f>
        <v/>
      </c>
      <c r="JMZ18" s="28" t="str">
        <f>IFERROR(IF(JNI3="No",IF(VLOOKUP(DATE($K$1,$K$2,JMZ$4),Table1[],(MATCH(Calendar!$A18,DB!$1:$1,0)),FALSE)&gt;=5,"Good","Bad"),VLOOKUP(DATE($K$1,$K$2,JMZ$4),Table1[],(MATCH(Calendar!$A18,DB!$1:$1,0)),FALSE)),"")</f>
        <v/>
      </c>
      <c r="JNA18" s="28" t="str">
        <f>IFERROR(IF(JNJ3="No",IF(VLOOKUP(DATE($K$1,$K$2,JNA$4),Table1[],(MATCH(Calendar!$A18,DB!$1:$1,0)),FALSE)&gt;=5,"Good","Bad"),VLOOKUP(DATE($K$1,$K$2,JNA$4),Table1[],(MATCH(Calendar!$A18,DB!$1:$1,0)),FALSE)),"")</f>
        <v/>
      </c>
      <c r="JNB18" s="28" t="str">
        <f>IFERROR(IF(JNK3="No",IF(VLOOKUP(DATE($K$1,$K$2,JNB$4),Table1[],(MATCH(Calendar!$A18,DB!$1:$1,0)),FALSE)&gt;=5,"Good","Bad"),VLOOKUP(DATE($K$1,$K$2,JNB$4),Table1[],(MATCH(Calendar!$A18,DB!$1:$1,0)),FALSE)),"")</f>
        <v/>
      </c>
      <c r="JNC18" s="28" t="str">
        <f>IFERROR(IF(JNL3="No",IF(VLOOKUP(DATE($K$1,$K$2,JNC$4),Table1[],(MATCH(Calendar!$A18,DB!$1:$1,0)),FALSE)&gt;=5,"Good","Bad"),VLOOKUP(DATE($K$1,$K$2,JNC$4),Table1[],(MATCH(Calendar!$A18,DB!$1:$1,0)),FALSE)),"")</f>
        <v/>
      </c>
      <c r="JND18" s="28" t="str">
        <f>IFERROR(IF(JNM3="No",IF(VLOOKUP(DATE($K$1,$K$2,JND$4),Table1[],(MATCH(Calendar!$A18,DB!$1:$1,0)),FALSE)&gt;=5,"Good","Bad"),VLOOKUP(DATE($K$1,$K$2,JND$4),Table1[],(MATCH(Calendar!$A18,DB!$1:$1,0)),FALSE)),"")</f>
        <v/>
      </c>
      <c r="JNE18" s="28" t="str">
        <f>IFERROR(IF(JNN3="No",IF(VLOOKUP(DATE($K$1,$K$2,JNE$4),Table1[],(MATCH(Calendar!$A18,DB!$1:$1,0)),FALSE)&gt;=5,"Good","Bad"),VLOOKUP(DATE($K$1,$K$2,JNE$4),Table1[],(MATCH(Calendar!$A18,DB!$1:$1,0)),FALSE)),"")</f>
        <v/>
      </c>
      <c r="JNF18" s="28" t="str">
        <f>IFERROR(IF(JNO3="No",IF(VLOOKUP(DATE($K$1,$K$2,JNF$4),Table1[],(MATCH(Calendar!$A18,DB!$1:$1,0)),FALSE)&gt;=5,"Good","Bad"),VLOOKUP(DATE($K$1,$K$2,JNF$4),Table1[],(MATCH(Calendar!$A18,DB!$1:$1,0)),FALSE)),"")</f>
        <v/>
      </c>
      <c r="JNG18" s="28" t="str">
        <f>IFERROR(IF(JNP3="No",IF(VLOOKUP(DATE($K$1,$K$2,JNG$4),Table1[],(MATCH(Calendar!$A18,DB!$1:$1,0)),FALSE)&gt;=5,"Good","Bad"),VLOOKUP(DATE($K$1,$K$2,JNG$4),Table1[],(MATCH(Calendar!$A18,DB!$1:$1,0)),FALSE)),"")</f>
        <v/>
      </c>
      <c r="JNH18" s="28" t="str">
        <f>IFERROR(IF(JNQ3="No",IF(VLOOKUP(DATE($K$1,$K$2,JNH$4),Table1[],(MATCH(Calendar!$A18,DB!$1:$1,0)),FALSE)&gt;=5,"Good","Bad"),VLOOKUP(DATE($K$1,$K$2,JNH$4),Table1[],(MATCH(Calendar!$A18,DB!$1:$1,0)),FALSE)),"")</f>
        <v/>
      </c>
      <c r="JNI18" s="28" t="str">
        <f>IFERROR(IF(JNR3="No",IF(VLOOKUP(DATE($K$1,$K$2,JNI$4),Table1[],(MATCH(Calendar!$A18,DB!$1:$1,0)),FALSE)&gt;=5,"Good","Bad"),VLOOKUP(DATE($K$1,$K$2,JNI$4),Table1[],(MATCH(Calendar!$A18,DB!$1:$1,0)),FALSE)),"")</f>
        <v/>
      </c>
      <c r="JNJ18" s="28" t="str">
        <f>IFERROR(IF(JNS3="No",IF(VLOOKUP(DATE($K$1,$K$2,JNJ$4),Table1[],(MATCH(Calendar!$A18,DB!$1:$1,0)),FALSE)&gt;=5,"Good","Bad"),VLOOKUP(DATE($K$1,$K$2,JNJ$4),Table1[],(MATCH(Calendar!$A18,DB!$1:$1,0)),FALSE)),"")</f>
        <v/>
      </c>
      <c r="JNK18" s="28" t="str">
        <f>IFERROR(IF(JNT3="No",IF(VLOOKUP(DATE($K$1,$K$2,JNK$4),Table1[],(MATCH(Calendar!$A18,DB!$1:$1,0)),FALSE)&gt;=5,"Good","Bad"),VLOOKUP(DATE($K$1,$K$2,JNK$4),Table1[],(MATCH(Calendar!$A18,DB!$1:$1,0)),FALSE)),"")</f>
        <v/>
      </c>
      <c r="JNL18" s="28" t="str">
        <f>IFERROR(IF(JNU3="No",IF(VLOOKUP(DATE($K$1,$K$2,JNL$4),Table1[],(MATCH(Calendar!$A18,DB!$1:$1,0)),FALSE)&gt;=5,"Good","Bad"),VLOOKUP(DATE($K$1,$K$2,JNL$4),Table1[],(MATCH(Calendar!$A18,DB!$1:$1,0)),FALSE)),"")</f>
        <v/>
      </c>
      <c r="JNM18" s="28" t="str">
        <f>IFERROR(IF(JNV3="No",IF(VLOOKUP(DATE($K$1,$K$2,JNM$4),Table1[],(MATCH(Calendar!$A18,DB!$1:$1,0)),FALSE)&gt;=5,"Good","Bad"),VLOOKUP(DATE($K$1,$K$2,JNM$4),Table1[],(MATCH(Calendar!$A18,DB!$1:$1,0)),FALSE)),"")</f>
        <v/>
      </c>
      <c r="JNN18" s="28" t="str">
        <f>IFERROR(IF(JNW3="No",IF(VLOOKUP(DATE($K$1,$K$2,JNN$4),Table1[],(MATCH(Calendar!$A18,DB!$1:$1,0)),FALSE)&gt;=5,"Good","Bad"),VLOOKUP(DATE($K$1,$K$2,JNN$4),Table1[],(MATCH(Calendar!$A18,DB!$1:$1,0)),FALSE)),"")</f>
        <v/>
      </c>
      <c r="JNO18" s="28" t="str">
        <f>IFERROR(IF(JNX3="No",IF(VLOOKUP(DATE($K$1,$K$2,JNO$4),Table1[],(MATCH(Calendar!$A18,DB!$1:$1,0)),FALSE)&gt;=5,"Good","Bad"),VLOOKUP(DATE($K$1,$K$2,JNO$4),Table1[],(MATCH(Calendar!$A18,DB!$1:$1,0)),FALSE)),"")</f>
        <v/>
      </c>
      <c r="JNP18" s="28" t="str">
        <f>IFERROR(IF(JNY3="No",IF(VLOOKUP(DATE($K$1,$K$2,JNP$4),Table1[],(MATCH(Calendar!$A18,DB!$1:$1,0)),FALSE)&gt;=5,"Good","Bad"),VLOOKUP(DATE($K$1,$K$2,JNP$4),Table1[],(MATCH(Calendar!$A18,DB!$1:$1,0)),FALSE)),"")</f>
        <v/>
      </c>
      <c r="JNQ18" s="28" t="str">
        <f>IFERROR(IF(JNZ3="No",IF(VLOOKUP(DATE($K$1,$K$2,JNQ$4),Table1[],(MATCH(Calendar!$A18,DB!$1:$1,0)),FALSE)&gt;=5,"Good","Bad"),VLOOKUP(DATE($K$1,$K$2,JNQ$4),Table1[],(MATCH(Calendar!$A18,DB!$1:$1,0)),FALSE)),"")</f>
        <v/>
      </c>
      <c r="JNR18" s="28" t="str">
        <f>IFERROR(IF(JOA3="No",IF(VLOOKUP(DATE($K$1,$K$2,JNR$4),Table1[],(MATCH(Calendar!$A18,DB!$1:$1,0)),FALSE)&gt;=5,"Good","Bad"),VLOOKUP(DATE($K$1,$K$2,JNR$4),Table1[],(MATCH(Calendar!$A18,DB!$1:$1,0)),FALSE)),"")</f>
        <v/>
      </c>
      <c r="JNS18" s="28" t="str">
        <f>IFERROR(IF(JOB3="No",IF(VLOOKUP(DATE($K$1,$K$2,JNS$4),Table1[],(MATCH(Calendar!$A18,DB!$1:$1,0)),FALSE)&gt;=5,"Good","Bad"),VLOOKUP(DATE($K$1,$K$2,JNS$4),Table1[],(MATCH(Calendar!$A18,DB!$1:$1,0)),FALSE)),"")</f>
        <v/>
      </c>
      <c r="JNT18" s="28" t="str">
        <f>IFERROR(IF(JOC3="No",IF(VLOOKUP(DATE($K$1,$K$2,JNT$4),Table1[],(MATCH(Calendar!$A18,DB!$1:$1,0)),FALSE)&gt;=5,"Good","Bad"),VLOOKUP(DATE($K$1,$K$2,JNT$4),Table1[],(MATCH(Calendar!$A18,DB!$1:$1,0)),FALSE)),"")</f>
        <v/>
      </c>
      <c r="JNU18" s="28" t="str">
        <f>IFERROR(IF(JOD3="No",IF(VLOOKUP(DATE($K$1,$K$2,JNU$4),Table1[],(MATCH(Calendar!$A18,DB!$1:$1,0)),FALSE)&gt;=5,"Good","Bad"),VLOOKUP(DATE($K$1,$K$2,JNU$4),Table1[],(MATCH(Calendar!$A18,DB!$1:$1,0)),FALSE)),"")</f>
        <v/>
      </c>
      <c r="JNV18" s="28" t="str">
        <f>IFERROR(IF(JOE3="No",IF(VLOOKUP(DATE($K$1,$K$2,JNV$4),Table1[],(MATCH(Calendar!$A18,DB!$1:$1,0)),FALSE)&gt;=5,"Good","Bad"),VLOOKUP(DATE($K$1,$K$2,JNV$4),Table1[],(MATCH(Calendar!$A18,DB!$1:$1,0)),FALSE)),"")</f>
        <v/>
      </c>
      <c r="JNW18" s="28" t="str">
        <f>IFERROR(IF(JOF3="No",IF(VLOOKUP(DATE($K$1,$K$2,JNW$4),Table1[],(MATCH(Calendar!$A18,DB!$1:$1,0)),FALSE)&gt;=5,"Good","Bad"),VLOOKUP(DATE($K$1,$K$2,JNW$4),Table1[],(MATCH(Calendar!$A18,DB!$1:$1,0)),FALSE)),"")</f>
        <v/>
      </c>
      <c r="JNX18" s="28" t="str">
        <f>IFERROR(IF(JOG3="No",IF(VLOOKUP(DATE($K$1,$K$2,JNX$4),Table1[],(MATCH(Calendar!$A18,DB!$1:$1,0)),FALSE)&gt;=5,"Good","Bad"),VLOOKUP(DATE($K$1,$K$2,JNX$4),Table1[],(MATCH(Calendar!$A18,DB!$1:$1,0)),FALSE)),"")</f>
        <v/>
      </c>
      <c r="JNY18" s="28" t="str">
        <f>IFERROR(IF(JOH3="No",IF(VLOOKUP(DATE($K$1,$K$2,JNY$4),Table1[],(MATCH(Calendar!$A18,DB!$1:$1,0)),FALSE)&gt;=5,"Good","Bad"),VLOOKUP(DATE($K$1,$K$2,JNY$4),Table1[],(MATCH(Calendar!$A18,DB!$1:$1,0)),FALSE)),"")</f>
        <v/>
      </c>
      <c r="JNZ18" s="28" t="str">
        <f>IFERROR(IF(JOI3="No",IF(VLOOKUP(DATE($K$1,$K$2,JNZ$4),Table1[],(MATCH(Calendar!$A18,DB!$1:$1,0)),FALSE)&gt;=5,"Good","Bad"),VLOOKUP(DATE($K$1,$K$2,JNZ$4),Table1[],(MATCH(Calendar!$A18,DB!$1:$1,0)),FALSE)),"")</f>
        <v/>
      </c>
      <c r="JOA18" s="28" t="str">
        <f>IFERROR(IF(JOJ3="No",IF(VLOOKUP(DATE($K$1,$K$2,JOA$4),Table1[],(MATCH(Calendar!$A18,DB!$1:$1,0)),FALSE)&gt;=5,"Good","Bad"),VLOOKUP(DATE($K$1,$K$2,JOA$4),Table1[],(MATCH(Calendar!$A18,DB!$1:$1,0)),FALSE)),"")</f>
        <v/>
      </c>
      <c r="JOB18" s="28" t="str">
        <f>IFERROR(IF(JOK3="No",IF(VLOOKUP(DATE($K$1,$K$2,JOB$4),Table1[],(MATCH(Calendar!$A18,DB!$1:$1,0)),FALSE)&gt;=5,"Good","Bad"),VLOOKUP(DATE($K$1,$K$2,JOB$4),Table1[],(MATCH(Calendar!$A18,DB!$1:$1,0)),FALSE)),"")</f>
        <v/>
      </c>
      <c r="JOC18" s="28" t="str">
        <f>IFERROR(IF(JOL3="No",IF(VLOOKUP(DATE($K$1,$K$2,JOC$4),Table1[],(MATCH(Calendar!$A18,DB!$1:$1,0)),FALSE)&gt;=5,"Good","Bad"),VLOOKUP(DATE($K$1,$K$2,JOC$4),Table1[],(MATCH(Calendar!$A18,DB!$1:$1,0)),FALSE)),"")</f>
        <v/>
      </c>
      <c r="JOD18" s="28" t="str">
        <f>IFERROR(IF(JOM3="No",IF(VLOOKUP(DATE($K$1,$K$2,JOD$4),Table1[],(MATCH(Calendar!$A18,DB!$1:$1,0)),FALSE)&gt;=5,"Good","Bad"),VLOOKUP(DATE($K$1,$K$2,JOD$4),Table1[],(MATCH(Calendar!$A18,DB!$1:$1,0)),FALSE)),"")</f>
        <v/>
      </c>
      <c r="JOE18" s="28" t="str">
        <f>IFERROR(IF(JON3="No",IF(VLOOKUP(DATE($K$1,$K$2,JOE$4),Table1[],(MATCH(Calendar!$A18,DB!$1:$1,0)),FALSE)&gt;=5,"Good","Bad"),VLOOKUP(DATE($K$1,$K$2,JOE$4),Table1[],(MATCH(Calendar!$A18,DB!$1:$1,0)),FALSE)),"")</f>
        <v/>
      </c>
      <c r="JOF18" s="28" t="str">
        <f>IFERROR(IF(JOO3="No",IF(VLOOKUP(DATE($K$1,$K$2,JOF$4),Table1[],(MATCH(Calendar!$A18,DB!$1:$1,0)),FALSE)&gt;=5,"Good","Bad"),VLOOKUP(DATE($K$1,$K$2,JOF$4),Table1[],(MATCH(Calendar!$A18,DB!$1:$1,0)),FALSE)),"")</f>
        <v/>
      </c>
      <c r="JOG18" s="28" t="str">
        <f>IFERROR(IF(JOP3="No",IF(VLOOKUP(DATE($K$1,$K$2,JOG$4),Table1[],(MATCH(Calendar!$A18,DB!$1:$1,0)),FALSE)&gt;=5,"Good","Bad"),VLOOKUP(DATE($K$1,$K$2,JOG$4),Table1[],(MATCH(Calendar!$A18,DB!$1:$1,0)),FALSE)),"")</f>
        <v/>
      </c>
      <c r="JOH18" s="28" t="str">
        <f>IFERROR(IF(JOQ3="No",IF(VLOOKUP(DATE($K$1,$K$2,JOH$4),Table1[],(MATCH(Calendar!$A18,DB!$1:$1,0)),FALSE)&gt;=5,"Good","Bad"),VLOOKUP(DATE($K$1,$K$2,JOH$4),Table1[],(MATCH(Calendar!$A18,DB!$1:$1,0)),FALSE)),"")</f>
        <v/>
      </c>
      <c r="JOI18" s="28" t="str">
        <f>IFERROR(IF(JOR3="No",IF(VLOOKUP(DATE($K$1,$K$2,JOI$4),Table1[],(MATCH(Calendar!$A18,DB!$1:$1,0)),FALSE)&gt;=5,"Good","Bad"),VLOOKUP(DATE($K$1,$K$2,JOI$4),Table1[],(MATCH(Calendar!$A18,DB!$1:$1,0)),FALSE)),"")</f>
        <v/>
      </c>
      <c r="JOJ18" s="28" t="str">
        <f>IFERROR(IF(JOS3="No",IF(VLOOKUP(DATE($K$1,$K$2,JOJ$4),Table1[],(MATCH(Calendar!$A18,DB!$1:$1,0)),FALSE)&gt;=5,"Good","Bad"),VLOOKUP(DATE($K$1,$K$2,JOJ$4),Table1[],(MATCH(Calendar!$A18,DB!$1:$1,0)),FALSE)),"")</f>
        <v/>
      </c>
      <c r="JOK18" s="28" t="str">
        <f>IFERROR(IF(JOT3="No",IF(VLOOKUP(DATE($K$1,$K$2,JOK$4),Table1[],(MATCH(Calendar!$A18,DB!$1:$1,0)),FALSE)&gt;=5,"Good","Bad"),VLOOKUP(DATE($K$1,$K$2,JOK$4),Table1[],(MATCH(Calendar!$A18,DB!$1:$1,0)),FALSE)),"")</f>
        <v/>
      </c>
      <c r="JOL18" s="28" t="str">
        <f>IFERROR(IF(JOU3="No",IF(VLOOKUP(DATE($K$1,$K$2,JOL$4),Table1[],(MATCH(Calendar!$A18,DB!$1:$1,0)),FALSE)&gt;=5,"Good","Bad"),VLOOKUP(DATE($K$1,$K$2,JOL$4),Table1[],(MATCH(Calendar!$A18,DB!$1:$1,0)),FALSE)),"")</f>
        <v/>
      </c>
      <c r="JOM18" s="28" t="str">
        <f>IFERROR(IF(JOV3="No",IF(VLOOKUP(DATE($K$1,$K$2,JOM$4),Table1[],(MATCH(Calendar!$A18,DB!$1:$1,0)),FALSE)&gt;=5,"Good","Bad"),VLOOKUP(DATE($K$1,$K$2,JOM$4),Table1[],(MATCH(Calendar!$A18,DB!$1:$1,0)),FALSE)),"")</f>
        <v/>
      </c>
      <c r="JON18" s="28" t="str">
        <f>IFERROR(IF(JOW3="No",IF(VLOOKUP(DATE($K$1,$K$2,JON$4),Table1[],(MATCH(Calendar!$A18,DB!$1:$1,0)),FALSE)&gt;=5,"Good","Bad"),VLOOKUP(DATE($K$1,$K$2,JON$4),Table1[],(MATCH(Calendar!$A18,DB!$1:$1,0)),FALSE)),"")</f>
        <v/>
      </c>
      <c r="JOO18" s="28" t="str">
        <f>IFERROR(IF(JOX3="No",IF(VLOOKUP(DATE($K$1,$K$2,JOO$4),Table1[],(MATCH(Calendar!$A18,DB!$1:$1,0)),FALSE)&gt;=5,"Good","Bad"),VLOOKUP(DATE($K$1,$K$2,JOO$4),Table1[],(MATCH(Calendar!$A18,DB!$1:$1,0)),FALSE)),"")</f>
        <v/>
      </c>
      <c r="JOP18" s="28" t="str">
        <f>IFERROR(IF(JOY3="No",IF(VLOOKUP(DATE($K$1,$K$2,JOP$4),Table1[],(MATCH(Calendar!$A18,DB!$1:$1,0)),FALSE)&gt;=5,"Good","Bad"),VLOOKUP(DATE($K$1,$K$2,JOP$4),Table1[],(MATCH(Calendar!$A18,DB!$1:$1,0)),FALSE)),"")</f>
        <v/>
      </c>
      <c r="JOQ18" s="28" t="str">
        <f>IFERROR(IF(JOZ3="No",IF(VLOOKUP(DATE($K$1,$K$2,JOQ$4),Table1[],(MATCH(Calendar!$A18,DB!$1:$1,0)),FALSE)&gt;=5,"Good","Bad"),VLOOKUP(DATE($K$1,$K$2,JOQ$4),Table1[],(MATCH(Calendar!$A18,DB!$1:$1,0)),FALSE)),"")</f>
        <v/>
      </c>
      <c r="JOR18" s="28" t="str">
        <f>IFERROR(IF(JPA3="No",IF(VLOOKUP(DATE($K$1,$K$2,JOR$4),Table1[],(MATCH(Calendar!$A18,DB!$1:$1,0)),FALSE)&gt;=5,"Good","Bad"),VLOOKUP(DATE($K$1,$K$2,JOR$4),Table1[],(MATCH(Calendar!$A18,DB!$1:$1,0)),FALSE)),"")</f>
        <v/>
      </c>
      <c r="JOS18" s="28" t="str">
        <f>IFERROR(IF(JPB3="No",IF(VLOOKUP(DATE($K$1,$K$2,JOS$4),Table1[],(MATCH(Calendar!$A18,DB!$1:$1,0)),FALSE)&gt;=5,"Good","Bad"),VLOOKUP(DATE($K$1,$K$2,JOS$4),Table1[],(MATCH(Calendar!$A18,DB!$1:$1,0)),FALSE)),"")</f>
        <v/>
      </c>
      <c r="JOT18" s="28" t="str">
        <f>IFERROR(IF(JPC3="No",IF(VLOOKUP(DATE($K$1,$K$2,JOT$4),Table1[],(MATCH(Calendar!$A18,DB!$1:$1,0)),FALSE)&gt;=5,"Good","Bad"),VLOOKUP(DATE($K$1,$K$2,JOT$4),Table1[],(MATCH(Calendar!$A18,DB!$1:$1,0)),FALSE)),"")</f>
        <v/>
      </c>
      <c r="JOU18" s="28" t="str">
        <f>IFERROR(IF(JPD3="No",IF(VLOOKUP(DATE($K$1,$K$2,JOU$4),Table1[],(MATCH(Calendar!$A18,DB!$1:$1,0)),FALSE)&gt;=5,"Good","Bad"),VLOOKUP(DATE($K$1,$K$2,JOU$4),Table1[],(MATCH(Calendar!$A18,DB!$1:$1,0)),FALSE)),"")</f>
        <v/>
      </c>
      <c r="JOV18" s="28" t="str">
        <f>IFERROR(IF(JPE3="No",IF(VLOOKUP(DATE($K$1,$K$2,JOV$4),Table1[],(MATCH(Calendar!$A18,DB!$1:$1,0)),FALSE)&gt;=5,"Good","Bad"),VLOOKUP(DATE($K$1,$K$2,JOV$4),Table1[],(MATCH(Calendar!$A18,DB!$1:$1,0)),FALSE)),"")</f>
        <v/>
      </c>
      <c r="JOW18" s="28" t="str">
        <f>IFERROR(IF(JPF3="No",IF(VLOOKUP(DATE($K$1,$K$2,JOW$4),Table1[],(MATCH(Calendar!$A18,DB!$1:$1,0)),FALSE)&gt;=5,"Good","Bad"),VLOOKUP(DATE($K$1,$K$2,JOW$4),Table1[],(MATCH(Calendar!$A18,DB!$1:$1,0)),FALSE)),"")</f>
        <v/>
      </c>
      <c r="JOX18" s="28" t="str">
        <f>IFERROR(IF(JPG3="No",IF(VLOOKUP(DATE($K$1,$K$2,JOX$4),Table1[],(MATCH(Calendar!$A18,DB!$1:$1,0)),FALSE)&gt;=5,"Good","Bad"),VLOOKUP(DATE($K$1,$K$2,JOX$4),Table1[],(MATCH(Calendar!$A18,DB!$1:$1,0)),FALSE)),"")</f>
        <v/>
      </c>
      <c r="JOY18" s="28" t="str">
        <f>IFERROR(IF(JPH3="No",IF(VLOOKUP(DATE($K$1,$K$2,JOY$4),Table1[],(MATCH(Calendar!$A18,DB!$1:$1,0)),FALSE)&gt;=5,"Good","Bad"),VLOOKUP(DATE($K$1,$K$2,JOY$4),Table1[],(MATCH(Calendar!$A18,DB!$1:$1,0)),FALSE)),"")</f>
        <v/>
      </c>
      <c r="JOZ18" s="28" t="str">
        <f>IFERROR(IF(JPI3="No",IF(VLOOKUP(DATE($K$1,$K$2,JOZ$4),Table1[],(MATCH(Calendar!$A18,DB!$1:$1,0)),FALSE)&gt;=5,"Good","Bad"),VLOOKUP(DATE($K$1,$K$2,JOZ$4),Table1[],(MATCH(Calendar!$A18,DB!$1:$1,0)),FALSE)),"")</f>
        <v/>
      </c>
      <c r="JPA18" s="28" t="str">
        <f>IFERROR(IF(JPJ3="No",IF(VLOOKUP(DATE($K$1,$K$2,JPA$4),Table1[],(MATCH(Calendar!$A18,DB!$1:$1,0)),FALSE)&gt;=5,"Good","Bad"),VLOOKUP(DATE($K$1,$K$2,JPA$4),Table1[],(MATCH(Calendar!$A18,DB!$1:$1,0)),FALSE)),"")</f>
        <v/>
      </c>
      <c r="JPB18" s="28" t="str">
        <f>IFERROR(IF(JPK3="No",IF(VLOOKUP(DATE($K$1,$K$2,JPB$4),Table1[],(MATCH(Calendar!$A18,DB!$1:$1,0)),FALSE)&gt;=5,"Good","Bad"),VLOOKUP(DATE($K$1,$K$2,JPB$4),Table1[],(MATCH(Calendar!$A18,DB!$1:$1,0)),FALSE)),"")</f>
        <v/>
      </c>
      <c r="JPC18" s="28" t="str">
        <f>IFERROR(IF(JPL3="No",IF(VLOOKUP(DATE($K$1,$K$2,JPC$4),Table1[],(MATCH(Calendar!$A18,DB!$1:$1,0)),FALSE)&gt;=5,"Good","Bad"),VLOOKUP(DATE($K$1,$K$2,JPC$4),Table1[],(MATCH(Calendar!$A18,DB!$1:$1,0)),FALSE)),"")</f>
        <v/>
      </c>
      <c r="JPD18" s="28" t="str">
        <f>IFERROR(IF(JPM3="No",IF(VLOOKUP(DATE($K$1,$K$2,JPD$4),Table1[],(MATCH(Calendar!$A18,DB!$1:$1,0)),FALSE)&gt;=5,"Good","Bad"),VLOOKUP(DATE($K$1,$K$2,JPD$4),Table1[],(MATCH(Calendar!$A18,DB!$1:$1,0)),FALSE)),"")</f>
        <v/>
      </c>
      <c r="JPE18" s="28" t="str">
        <f>IFERROR(IF(JPN3="No",IF(VLOOKUP(DATE($K$1,$K$2,JPE$4),Table1[],(MATCH(Calendar!$A18,DB!$1:$1,0)),FALSE)&gt;=5,"Good","Bad"),VLOOKUP(DATE($K$1,$K$2,JPE$4),Table1[],(MATCH(Calendar!$A18,DB!$1:$1,0)),FALSE)),"")</f>
        <v/>
      </c>
      <c r="JPF18" s="28" t="str">
        <f>IFERROR(IF(JPO3="No",IF(VLOOKUP(DATE($K$1,$K$2,JPF$4),Table1[],(MATCH(Calendar!$A18,DB!$1:$1,0)),FALSE)&gt;=5,"Good","Bad"),VLOOKUP(DATE($K$1,$K$2,JPF$4),Table1[],(MATCH(Calendar!$A18,DB!$1:$1,0)),FALSE)),"")</f>
        <v/>
      </c>
      <c r="JPG18" s="28" t="str">
        <f>IFERROR(IF(JPP3="No",IF(VLOOKUP(DATE($K$1,$K$2,JPG$4),Table1[],(MATCH(Calendar!$A18,DB!$1:$1,0)),FALSE)&gt;=5,"Good","Bad"),VLOOKUP(DATE($K$1,$K$2,JPG$4),Table1[],(MATCH(Calendar!$A18,DB!$1:$1,0)),FALSE)),"")</f>
        <v/>
      </c>
      <c r="JPH18" s="28" t="str">
        <f>IFERROR(IF(JPQ3="No",IF(VLOOKUP(DATE($K$1,$K$2,JPH$4),Table1[],(MATCH(Calendar!$A18,DB!$1:$1,0)),FALSE)&gt;=5,"Good","Bad"),VLOOKUP(DATE($K$1,$K$2,JPH$4),Table1[],(MATCH(Calendar!$A18,DB!$1:$1,0)),FALSE)),"")</f>
        <v/>
      </c>
      <c r="JPI18" s="28" t="str">
        <f>IFERROR(IF(JPR3="No",IF(VLOOKUP(DATE($K$1,$K$2,JPI$4),Table1[],(MATCH(Calendar!$A18,DB!$1:$1,0)),FALSE)&gt;=5,"Good","Bad"),VLOOKUP(DATE($K$1,$K$2,JPI$4),Table1[],(MATCH(Calendar!$A18,DB!$1:$1,0)),FALSE)),"")</f>
        <v/>
      </c>
      <c r="JPJ18" s="28" t="str">
        <f>IFERROR(IF(JPS3="No",IF(VLOOKUP(DATE($K$1,$K$2,JPJ$4),Table1[],(MATCH(Calendar!$A18,DB!$1:$1,0)),FALSE)&gt;=5,"Good","Bad"),VLOOKUP(DATE($K$1,$K$2,JPJ$4),Table1[],(MATCH(Calendar!$A18,DB!$1:$1,0)),FALSE)),"")</f>
        <v/>
      </c>
      <c r="JPK18" s="28" t="str">
        <f>IFERROR(IF(JPT3="No",IF(VLOOKUP(DATE($K$1,$K$2,JPK$4),Table1[],(MATCH(Calendar!$A18,DB!$1:$1,0)),FALSE)&gt;=5,"Good","Bad"),VLOOKUP(DATE($K$1,$K$2,JPK$4),Table1[],(MATCH(Calendar!$A18,DB!$1:$1,0)),FALSE)),"")</f>
        <v/>
      </c>
      <c r="JPL18" s="28" t="str">
        <f>IFERROR(IF(JPU3="No",IF(VLOOKUP(DATE($K$1,$K$2,JPL$4),Table1[],(MATCH(Calendar!$A18,DB!$1:$1,0)),FALSE)&gt;=5,"Good","Bad"),VLOOKUP(DATE($K$1,$K$2,JPL$4),Table1[],(MATCH(Calendar!$A18,DB!$1:$1,0)),FALSE)),"")</f>
        <v/>
      </c>
      <c r="JPM18" s="28" t="str">
        <f>IFERROR(IF(JPV3="No",IF(VLOOKUP(DATE($K$1,$K$2,JPM$4),Table1[],(MATCH(Calendar!$A18,DB!$1:$1,0)),FALSE)&gt;=5,"Good","Bad"),VLOOKUP(DATE($K$1,$K$2,JPM$4),Table1[],(MATCH(Calendar!$A18,DB!$1:$1,0)),FALSE)),"")</f>
        <v/>
      </c>
      <c r="JPN18" s="28" t="str">
        <f>IFERROR(IF(JPW3="No",IF(VLOOKUP(DATE($K$1,$K$2,JPN$4),Table1[],(MATCH(Calendar!$A18,DB!$1:$1,0)),FALSE)&gt;=5,"Good","Bad"),VLOOKUP(DATE($K$1,$K$2,JPN$4),Table1[],(MATCH(Calendar!$A18,DB!$1:$1,0)),FALSE)),"")</f>
        <v/>
      </c>
      <c r="JPO18" s="28" t="str">
        <f>IFERROR(IF(JPX3="No",IF(VLOOKUP(DATE($K$1,$K$2,JPO$4),Table1[],(MATCH(Calendar!$A18,DB!$1:$1,0)),FALSE)&gt;=5,"Good","Bad"),VLOOKUP(DATE($K$1,$K$2,JPO$4),Table1[],(MATCH(Calendar!$A18,DB!$1:$1,0)),FALSE)),"")</f>
        <v/>
      </c>
      <c r="JPP18" s="28" t="str">
        <f>IFERROR(IF(JPY3="No",IF(VLOOKUP(DATE($K$1,$K$2,JPP$4),Table1[],(MATCH(Calendar!$A18,DB!$1:$1,0)),FALSE)&gt;=5,"Good","Bad"),VLOOKUP(DATE($K$1,$K$2,JPP$4),Table1[],(MATCH(Calendar!$A18,DB!$1:$1,0)),FALSE)),"")</f>
        <v/>
      </c>
      <c r="JPQ18" s="28" t="str">
        <f>IFERROR(IF(JPZ3="No",IF(VLOOKUP(DATE($K$1,$K$2,JPQ$4),Table1[],(MATCH(Calendar!$A18,DB!$1:$1,0)),FALSE)&gt;=5,"Good","Bad"),VLOOKUP(DATE($K$1,$K$2,JPQ$4),Table1[],(MATCH(Calendar!$A18,DB!$1:$1,0)),FALSE)),"")</f>
        <v/>
      </c>
      <c r="JPR18" s="28" t="str">
        <f>IFERROR(IF(JQA3="No",IF(VLOOKUP(DATE($K$1,$K$2,JPR$4),Table1[],(MATCH(Calendar!$A18,DB!$1:$1,0)),FALSE)&gt;=5,"Good","Bad"),VLOOKUP(DATE($K$1,$K$2,JPR$4),Table1[],(MATCH(Calendar!$A18,DB!$1:$1,0)),FALSE)),"")</f>
        <v/>
      </c>
      <c r="JPS18" s="28" t="str">
        <f>IFERROR(IF(JQB3="No",IF(VLOOKUP(DATE($K$1,$K$2,JPS$4),Table1[],(MATCH(Calendar!$A18,DB!$1:$1,0)),FALSE)&gt;=5,"Good","Bad"),VLOOKUP(DATE($K$1,$K$2,JPS$4),Table1[],(MATCH(Calendar!$A18,DB!$1:$1,0)),FALSE)),"")</f>
        <v/>
      </c>
      <c r="JPT18" s="28" t="str">
        <f>IFERROR(IF(JQC3="No",IF(VLOOKUP(DATE($K$1,$K$2,JPT$4),Table1[],(MATCH(Calendar!$A18,DB!$1:$1,0)),FALSE)&gt;=5,"Good","Bad"),VLOOKUP(DATE($K$1,$K$2,JPT$4),Table1[],(MATCH(Calendar!$A18,DB!$1:$1,0)),FALSE)),"")</f>
        <v/>
      </c>
      <c r="JPU18" s="28" t="str">
        <f>IFERROR(IF(JQD3="No",IF(VLOOKUP(DATE($K$1,$K$2,JPU$4),Table1[],(MATCH(Calendar!$A18,DB!$1:$1,0)),FALSE)&gt;=5,"Good","Bad"),VLOOKUP(DATE($K$1,$K$2,JPU$4),Table1[],(MATCH(Calendar!$A18,DB!$1:$1,0)),FALSE)),"")</f>
        <v/>
      </c>
      <c r="JPV18" s="28" t="str">
        <f>IFERROR(IF(JQE3="No",IF(VLOOKUP(DATE($K$1,$K$2,JPV$4),Table1[],(MATCH(Calendar!$A18,DB!$1:$1,0)),FALSE)&gt;=5,"Good","Bad"),VLOOKUP(DATE($K$1,$K$2,JPV$4),Table1[],(MATCH(Calendar!$A18,DB!$1:$1,0)),FALSE)),"")</f>
        <v/>
      </c>
      <c r="JPW18" s="28" t="str">
        <f>IFERROR(IF(JQF3="No",IF(VLOOKUP(DATE($K$1,$K$2,JPW$4),Table1[],(MATCH(Calendar!$A18,DB!$1:$1,0)),FALSE)&gt;=5,"Good","Bad"),VLOOKUP(DATE($K$1,$K$2,JPW$4),Table1[],(MATCH(Calendar!$A18,DB!$1:$1,0)),FALSE)),"")</f>
        <v/>
      </c>
      <c r="JPX18" s="28" t="str">
        <f>IFERROR(IF(JQG3="No",IF(VLOOKUP(DATE($K$1,$K$2,JPX$4),Table1[],(MATCH(Calendar!$A18,DB!$1:$1,0)),FALSE)&gt;=5,"Good","Bad"),VLOOKUP(DATE($K$1,$K$2,JPX$4),Table1[],(MATCH(Calendar!$A18,DB!$1:$1,0)),FALSE)),"")</f>
        <v/>
      </c>
      <c r="JPY18" s="28" t="str">
        <f>IFERROR(IF(JQH3="No",IF(VLOOKUP(DATE($K$1,$K$2,JPY$4),Table1[],(MATCH(Calendar!$A18,DB!$1:$1,0)),FALSE)&gt;=5,"Good","Bad"),VLOOKUP(DATE($K$1,$K$2,JPY$4),Table1[],(MATCH(Calendar!$A18,DB!$1:$1,0)),FALSE)),"")</f>
        <v/>
      </c>
      <c r="JPZ18" s="28" t="str">
        <f>IFERROR(IF(JQI3="No",IF(VLOOKUP(DATE($K$1,$K$2,JPZ$4),Table1[],(MATCH(Calendar!$A18,DB!$1:$1,0)),FALSE)&gt;=5,"Good","Bad"),VLOOKUP(DATE($K$1,$K$2,JPZ$4),Table1[],(MATCH(Calendar!$A18,DB!$1:$1,0)),FALSE)),"")</f>
        <v/>
      </c>
      <c r="JQA18" s="28" t="str">
        <f>IFERROR(IF(JQJ3="No",IF(VLOOKUP(DATE($K$1,$K$2,JQA$4),Table1[],(MATCH(Calendar!$A18,DB!$1:$1,0)),FALSE)&gt;=5,"Good","Bad"),VLOOKUP(DATE($K$1,$K$2,JQA$4),Table1[],(MATCH(Calendar!$A18,DB!$1:$1,0)),FALSE)),"")</f>
        <v/>
      </c>
      <c r="JQB18" s="28" t="str">
        <f>IFERROR(IF(JQK3="No",IF(VLOOKUP(DATE($K$1,$K$2,JQB$4),Table1[],(MATCH(Calendar!$A18,DB!$1:$1,0)),FALSE)&gt;=5,"Good","Bad"),VLOOKUP(DATE($K$1,$K$2,JQB$4),Table1[],(MATCH(Calendar!$A18,DB!$1:$1,0)),FALSE)),"")</f>
        <v/>
      </c>
      <c r="JQC18" s="28" t="str">
        <f>IFERROR(IF(JQL3="No",IF(VLOOKUP(DATE($K$1,$K$2,JQC$4),Table1[],(MATCH(Calendar!$A18,DB!$1:$1,0)),FALSE)&gt;=5,"Good","Bad"),VLOOKUP(DATE($K$1,$K$2,JQC$4),Table1[],(MATCH(Calendar!$A18,DB!$1:$1,0)),FALSE)),"")</f>
        <v/>
      </c>
      <c r="JQD18" s="28" t="str">
        <f>IFERROR(IF(JQM3="No",IF(VLOOKUP(DATE($K$1,$K$2,JQD$4),Table1[],(MATCH(Calendar!$A18,DB!$1:$1,0)),FALSE)&gt;=5,"Good","Bad"),VLOOKUP(DATE($K$1,$K$2,JQD$4),Table1[],(MATCH(Calendar!$A18,DB!$1:$1,0)),FALSE)),"")</f>
        <v/>
      </c>
      <c r="JQE18" s="28" t="str">
        <f>IFERROR(IF(JQN3="No",IF(VLOOKUP(DATE($K$1,$K$2,JQE$4),Table1[],(MATCH(Calendar!$A18,DB!$1:$1,0)),FALSE)&gt;=5,"Good","Bad"),VLOOKUP(DATE($K$1,$K$2,JQE$4),Table1[],(MATCH(Calendar!$A18,DB!$1:$1,0)),FALSE)),"")</f>
        <v/>
      </c>
      <c r="JQF18" s="28" t="str">
        <f>IFERROR(IF(JQO3="No",IF(VLOOKUP(DATE($K$1,$K$2,JQF$4),Table1[],(MATCH(Calendar!$A18,DB!$1:$1,0)),FALSE)&gt;=5,"Good","Bad"),VLOOKUP(DATE($K$1,$K$2,JQF$4),Table1[],(MATCH(Calendar!$A18,DB!$1:$1,0)),FALSE)),"")</f>
        <v/>
      </c>
      <c r="JQG18" s="28" t="str">
        <f>IFERROR(IF(JQP3="No",IF(VLOOKUP(DATE($K$1,$K$2,JQG$4),Table1[],(MATCH(Calendar!$A18,DB!$1:$1,0)),FALSE)&gt;=5,"Good","Bad"),VLOOKUP(DATE($K$1,$K$2,JQG$4),Table1[],(MATCH(Calendar!$A18,DB!$1:$1,0)),FALSE)),"")</f>
        <v/>
      </c>
      <c r="JQH18" s="28" t="str">
        <f>IFERROR(IF(JQQ3="No",IF(VLOOKUP(DATE($K$1,$K$2,JQH$4),Table1[],(MATCH(Calendar!$A18,DB!$1:$1,0)),FALSE)&gt;=5,"Good","Bad"),VLOOKUP(DATE($K$1,$K$2,JQH$4),Table1[],(MATCH(Calendar!$A18,DB!$1:$1,0)),FALSE)),"")</f>
        <v/>
      </c>
      <c r="JQI18" s="28" t="str">
        <f>IFERROR(IF(JQR3="No",IF(VLOOKUP(DATE($K$1,$K$2,JQI$4),Table1[],(MATCH(Calendar!$A18,DB!$1:$1,0)),FALSE)&gt;=5,"Good","Bad"),VLOOKUP(DATE($K$1,$K$2,JQI$4),Table1[],(MATCH(Calendar!$A18,DB!$1:$1,0)),FALSE)),"")</f>
        <v/>
      </c>
      <c r="JQJ18" s="28" t="str">
        <f>IFERROR(IF(JQS3="No",IF(VLOOKUP(DATE($K$1,$K$2,JQJ$4),Table1[],(MATCH(Calendar!$A18,DB!$1:$1,0)),FALSE)&gt;=5,"Good","Bad"),VLOOKUP(DATE($K$1,$K$2,JQJ$4),Table1[],(MATCH(Calendar!$A18,DB!$1:$1,0)),FALSE)),"")</f>
        <v/>
      </c>
      <c r="JQK18" s="28" t="str">
        <f>IFERROR(IF(JQT3="No",IF(VLOOKUP(DATE($K$1,$K$2,JQK$4),Table1[],(MATCH(Calendar!$A18,DB!$1:$1,0)),FALSE)&gt;=5,"Good","Bad"),VLOOKUP(DATE($K$1,$K$2,JQK$4),Table1[],(MATCH(Calendar!$A18,DB!$1:$1,0)),FALSE)),"")</f>
        <v/>
      </c>
      <c r="JQL18" s="28" t="str">
        <f>IFERROR(IF(JQU3="No",IF(VLOOKUP(DATE($K$1,$K$2,JQL$4),Table1[],(MATCH(Calendar!$A18,DB!$1:$1,0)),FALSE)&gt;=5,"Good","Bad"),VLOOKUP(DATE($K$1,$K$2,JQL$4),Table1[],(MATCH(Calendar!$A18,DB!$1:$1,0)),FALSE)),"")</f>
        <v/>
      </c>
      <c r="JQM18" s="28" t="str">
        <f>IFERROR(IF(JQV3="No",IF(VLOOKUP(DATE($K$1,$K$2,JQM$4),Table1[],(MATCH(Calendar!$A18,DB!$1:$1,0)),FALSE)&gt;=5,"Good","Bad"),VLOOKUP(DATE($K$1,$K$2,JQM$4),Table1[],(MATCH(Calendar!$A18,DB!$1:$1,0)),FALSE)),"")</f>
        <v/>
      </c>
      <c r="JQN18" s="28" t="str">
        <f>IFERROR(IF(JQW3="No",IF(VLOOKUP(DATE($K$1,$K$2,JQN$4),Table1[],(MATCH(Calendar!$A18,DB!$1:$1,0)),FALSE)&gt;=5,"Good","Bad"),VLOOKUP(DATE($K$1,$K$2,JQN$4),Table1[],(MATCH(Calendar!$A18,DB!$1:$1,0)),FALSE)),"")</f>
        <v/>
      </c>
      <c r="JQO18" s="28" t="str">
        <f>IFERROR(IF(JQX3="No",IF(VLOOKUP(DATE($K$1,$K$2,JQO$4),Table1[],(MATCH(Calendar!$A18,DB!$1:$1,0)),FALSE)&gt;=5,"Good","Bad"),VLOOKUP(DATE($K$1,$K$2,JQO$4),Table1[],(MATCH(Calendar!$A18,DB!$1:$1,0)),FALSE)),"")</f>
        <v/>
      </c>
      <c r="JQP18" s="28" t="str">
        <f>IFERROR(IF(JQY3="No",IF(VLOOKUP(DATE($K$1,$K$2,JQP$4),Table1[],(MATCH(Calendar!$A18,DB!$1:$1,0)),FALSE)&gt;=5,"Good","Bad"),VLOOKUP(DATE($K$1,$K$2,JQP$4),Table1[],(MATCH(Calendar!$A18,DB!$1:$1,0)),FALSE)),"")</f>
        <v/>
      </c>
      <c r="JQQ18" s="28" t="str">
        <f>IFERROR(IF(JQZ3="No",IF(VLOOKUP(DATE($K$1,$K$2,JQQ$4),Table1[],(MATCH(Calendar!$A18,DB!$1:$1,0)),FALSE)&gt;=5,"Good","Bad"),VLOOKUP(DATE($K$1,$K$2,JQQ$4),Table1[],(MATCH(Calendar!$A18,DB!$1:$1,0)),FALSE)),"")</f>
        <v/>
      </c>
      <c r="JQR18" s="28" t="str">
        <f>IFERROR(IF(JRA3="No",IF(VLOOKUP(DATE($K$1,$K$2,JQR$4),Table1[],(MATCH(Calendar!$A18,DB!$1:$1,0)),FALSE)&gt;=5,"Good","Bad"),VLOOKUP(DATE($K$1,$K$2,JQR$4),Table1[],(MATCH(Calendar!$A18,DB!$1:$1,0)),FALSE)),"")</f>
        <v/>
      </c>
      <c r="JQS18" s="28" t="str">
        <f>IFERROR(IF(JRB3="No",IF(VLOOKUP(DATE($K$1,$K$2,JQS$4),Table1[],(MATCH(Calendar!$A18,DB!$1:$1,0)),FALSE)&gt;=5,"Good","Bad"),VLOOKUP(DATE($K$1,$K$2,JQS$4),Table1[],(MATCH(Calendar!$A18,DB!$1:$1,0)),FALSE)),"")</f>
        <v/>
      </c>
      <c r="JQT18" s="28" t="str">
        <f>IFERROR(IF(JRC3="No",IF(VLOOKUP(DATE($K$1,$K$2,JQT$4),Table1[],(MATCH(Calendar!$A18,DB!$1:$1,0)),FALSE)&gt;=5,"Good","Bad"),VLOOKUP(DATE($K$1,$K$2,JQT$4),Table1[],(MATCH(Calendar!$A18,DB!$1:$1,0)),FALSE)),"")</f>
        <v/>
      </c>
      <c r="JQU18" s="28" t="str">
        <f>IFERROR(IF(JRD3="No",IF(VLOOKUP(DATE($K$1,$K$2,JQU$4),Table1[],(MATCH(Calendar!$A18,DB!$1:$1,0)),FALSE)&gt;=5,"Good","Bad"),VLOOKUP(DATE($K$1,$K$2,JQU$4),Table1[],(MATCH(Calendar!$A18,DB!$1:$1,0)),FALSE)),"")</f>
        <v/>
      </c>
      <c r="JQV18" s="28" t="str">
        <f>IFERROR(IF(JRE3="No",IF(VLOOKUP(DATE($K$1,$K$2,JQV$4),Table1[],(MATCH(Calendar!$A18,DB!$1:$1,0)),FALSE)&gt;=5,"Good","Bad"),VLOOKUP(DATE($K$1,$K$2,JQV$4),Table1[],(MATCH(Calendar!$A18,DB!$1:$1,0)),FALSE)),"")</f>
        <v/>
      </c>
      <c r="JQW18" s="28" t="str">
        <f>IFERROR(IF(JRF3="No",IF(VLOOKUP(DATE($K$1,$K$2,JQW$4),Table1[],(MATCH(Calendar!$A18,DB!$1:$1,0)),FALSE)&gt;=5,"Good","Bad"),VLOOKUP(DATE($K$1,$K$2,JQW$4),Table1[],(MATCH(Calendar!$A18,DB!$1:$1,0)),FALSE)),"")</f>
        <v/>
      </c>
      <c r="JQX18" s="28" t="str">
        <f>IFERROR(IF(JRG3="No",IF(VLOOKUP(DATE($K$1,$K$2,JQX$4),Table1[],(MATCH(Calendar!$A18,DB!$1:$1,0)),FALSE)&gt;=5,"Good","Bad"),VLOOKUP(DATE($K$1,$K$2,JQX$4),Table1[],(MATCH(Calendar!$A18,DB!$1:$1,0)),FALSE)),"")</f>
        <v/>
      </c>
      <c r="JQY18" s="28" t="str">
        <f>IFERROR(IF(JRH3="No",IF(VLOOKUP(DATE($K$1,$K$2,JQY$4),Table1[],(MATCH(Calendar!$A18,DB!$1:$1,0)),FALSE)&gt;=5,"Good","Bad"),VLOOKUP(DATE($K$1,$K$2,JQY$4),Table1[],(MATCH(Calendar!$A18,DB!$1:$1,0)),FALSE)),"")</f>
        <v/>
      </c>
      <c r="JQZ18" s="28" t="str">
        <f>IFERROR(IF(JRI3="No",IF(VLOOKUP(DATE($K$1,$K$2,JQZ$4),Table1[],(MATCH(Calendar!$A18,DB!$1:$1,0)),FALSE)&gt;=5,"Good","Bad"),VLOOKUP(DATE($K$1,$K$2,JQZ$4),Table1[],(MATCH(Calendar!$A18,DB!$1:$1,0)),FALSE)),"")</f>
        <v/>
      </c>
      <c r="JRA18" s="28" t="str">
        <f>IFERROR(IF(JRJ3="No",IF(VLOOKUP(DATE($K$1,$K$2,JRA$4),Table1[],(MATCH(Calendar!$A18,DB!$1:$1,0)),FALSE)&gt;=5,"Good","Bad"),VLOOKUP(DATE($K$1,$K$2,JRA$4),Table1[],(MATCH(Calendar!$A18,DB!$1:$1,0)),FALSE)),"")</f>
        <v/>
      </c>
      <c r="JRB18" s="28" t="str">
        <f>IFERROR(IF(JRK3="No",IF(VLOOKUP(DATE($K$1,$K$2,JRB$4),Table1[],(MATCH(Calendar!$A18,DB!$1:$1,0)),FALSE)&gt;=5,"Good","Bad"),VLOOKUP(DATE($K$1,$K$2,JRB$4),Table1[],(MATCH(Calendar!$A18,DB!$1:$1,0)),FALSE)),"")</f>
        <v/>
      </c>
      <c r="JRC18" s="28" t="str">
        <f>IFERROR(IF(JRL3="No",IF(VLOOKUP(DATE($K$1,$K$2,JRC$4),Table1[],(MATCH(Calendar!$A18,DB!$1:$1,0)),FALSE)&gt;=5,"Good","Bad"),VLOOKUP(DATE($K$1,$K$2,JRC$4),Table1[],(MATCH(Calendar!$A18,DB!$1:$1,0)),FALSE)),"")</f>
        <v/>
      </c>
      <c r="JRD18" s="28" t="str">
        <f>IFERROR(IF(JRM3="No",IF(VLOOKUP(DATE($K$1,$K$2,JRD$4),Table1[],(MATCH(Calendar!$A18,DB!$1:$1,0)),FALSE)&gt;=5,"Good","Bad"),VLOOKUP(DATE($K$1,$K$2,JRD$4),Table1[],(MATCH(Calendar!$A18,DB!$1:$1,0)),FALSE)),"")</f>
        <v/>
      </c>
      <c r="JRE18" s="28" t="str">
        <f>IFERROR(IF(JRN3="No",IF(VLOOKUP(DATE($K$1,$K$2,JRE$4),Table1[],(MATCH(Calendar!$A18,DB!$1:$1,0)),FALSE)&gt;=5,"Good","Bad"),VLOOKUP(DATE($K$1,$K$2,JRE$4),Table1[],(MATCH(Calendar!$A18,DB!$1:$1,0)),FALSE)),"")</f>
        <v/>
      </c>
      <c r="JRF18" s="28" t="str">
        <f>IFERROR(IF(JRO3="No",IF(VLOOKUP(DATE($K$1,$K$2,JRF$4),Table1[],(MATCH(Calendar!$A18,DB!$1:$1,0)),FALSE)&gt;=5,"Good","Bad"),VLOOKUP(DATE($K$1,$K$2,JRF$4),Table1[],(MATCH(Calendar!$A18,DB!$1:$1,0)),FALSE)),"")</f>
        <v/>
      </c>
      <c r="JRG18" s="28" t="str">
        <f>IFERROR(IF(JRP3="No",IF(VLOOKUP(DATE($K$1,$K$2,JRG$4),Table1[],(MATCH(Calendar!$A18,DB!$1:$1,0)),FALSE)&gt;=5,"Good","Bad"),VLOOKUP(DATE($K$1,$K$2,JRG$4),Table1[],(MATCH(Calendar!$A18,DB!$1:$1,0)),FALSE)),"")</f>
        <v/>
      </c>
      <c r="JRH18" s="28" t="str">
        <f>IFERROR(IF(JRQ3="No",IF(VLOOKUP(DATE($K$1,$K$2,JRH$4),Table1[],(MATCH(Calendar!$A18,DB!$1:$1,0)),FALSE)&gt;=5,"Good","Bad"),VLOOKUP(DATE($K$1,$K$2,JRH$4),Table1[],(MATCH(Calendar!$A18,DB!$1:$1,0)),FALSE)),"")</f>
        <v/>
      </c>
      <c r="JRI18" s="28" t="str">
        <f>IFERROR(IF(JRR3="No",IF(VLOOKUP(DATE($K$1,$K$2,JRI$4),Table1[],(MATCH(Calendar!$A18,DB!$1:$1,0)),FALSE)&gt;=5,"Good","Bad"),VLOOKUP(DATE($K$1,$K$2,JRI$4),Table1[],(MATCH(Calendar!$A18,DB!$1:$1,0)),FALSE)),"")</f>
        <v/>
      </c>
      <c r="JRJ18" s="28" t="str">
        <f>IFERROR(IF(JRS3="No",IF(VLOOKUP(DATE($K$1,$K$2,JRJ$4),Table1[],(MATCH(Calendar!$A18,DB!$1:$1,0)),FALSE)&gt;=5,"Good","Bad"),VLOOKUP(DATE($K$1,$K$2,JRJ$4),Table1[],(MATCH(Calendar!$A18,DB!$1:$1,0)),FALSE)),"")</f>
        <v/>
      </c>
      <c r="JRK18" s="28" t="str">
        <f>IFERROR(IF(JRT3="No",IF(VLOOKUP(DATE($K$1,$K$2,JRK$4),Table1[],(MATCH(Calendar!$A18,DB!$1:$1,0)),FALSE)&gt;=5,"Good","Bad"),VLOOKUP(DATE($K$1,$K$2,JRK$4),Table1[],(MATCH(Calendar!$A18,DB!$1:$1,0)),FALSE)),"")</f>
        <v/>
      </c>
      <c r="JRL18" s="28" t="str">
        <f>IFERROR(IF(JRU3="No",IF(VLOOKUP(DATE($K$1,$K$2,JRL$4),Table1[],(MATCH(Calendar!$A18,DB!$1:$1,0)),FALSE)&gt;=5,"Good","Bad"),VLOOKUP(DATE($K$1,$K$2,JRL$4),Table1[],(MATCH(Calendar!$A18,DB!$1:$1,0)),FALSE)),"")</f>
        <v/>
      </c>
      <c r="JRM18" s="28" t="str">
        <f>IFERROR(IF(JRV3="No",IF(VLOOKUP(DATE($K$1,$K$2,JRM$4),Table1[],(MATCH(Calendar!$A18,DB!$1:$1,0)),FALSE)&gt;=5,"Good","Bad"),VLOOKUP(DATE($K$1,$K$2,JRM$4),Table1[],(MATCH(Calendar!$A18,DB!$1:$1,0)),FALSE)),"")</f>
        <v/>
      </c>
      <c r="JRN18" s="28" t="str">
        <f>IFERROR(IF(JRW3="No",IF(VLOOKUP(DATE($K$1,$K$2,JRN$4),Table1[],(MATCH(Calendar!$A18,DB!$1:$1,0)),FALSE)&gt;=5,"Good","Bad"),VLOOKUP(DATE($K$1,$K$2,JRN$4),Table1[],(MATCH(Calendar!$A18,DB!$1:$1,0)),FALSE)),"")</f>
        <v/>
      </c>
      <c r="JRO18" s="28" t="str">
        <f>IFERROR(IF(JRX3="No",IF(VLOOKUP(DATE($K$1,$K$2,JRO$4),Table1[],(MATCH(Calendar!$A18,DB!$1:$1,0)),FALSE)&gt;=5,"Good","Bad"),VLOOKUP(DATE($K$1,$K$2,JRO$4),Table1[],(MATCH(Calendar!$A18,DB!$1:$1,0)),FALSE)),"")</f>
        <v/>
      </c>
      <c r="JRP18" s="28" t="str">
        <f>IFERROR(IF(JRY3="No",IF(VLOOKUP(DATE($K$1,$K$2,JRP$4),Table1[],(MATCH(Calendar!$A18,DB!$1:$1,0)),FALSE)&gt;=5,"Good","Bad"),VLOOKUP(DATE($K$1,$K$2,JRP$4),Table1[],(MATCH(Calendar!$A18,DB!$1:$1,0)),FALSE)),"")</f>
        <v/>
      </c>
      <c r="JRQ18" s="28" t="str">
        <f>IFERROR(IF(JRZ3="No",IF(VLOOKUP(DATE($K$1,$K$2,JRQ$4),Table1[],(MATCH(Calendar!$A18,DB!$1:$1,0)),FALSE)&gt;=5,"Good","Bad"),VLOOKUP(DATE($K$1,$K$2,JRQ$4),Table1[],(MATCH(Calendar!$A18,DB!$1:$1,0)),FALSE)),"")</f>
        <v/>
      </c>
      <c r="JRR18" s="28" t="str">
        <f>IFERROR(IF(JSA3="No",IF(VLOOKUP(DATE($K$1,$K$2,JRR$4),Table1[],(MATCH(Calendar!$A18,DB!$1:$1,0)),FALSE)&gt;=5,"Good","Bad"),VLOOKUP(DATE($K$1,$K$2,JRR$4),Table1[],(MATCH(Calendar!$A18,DB!$1:$1,0)),FALSE)),"")</f>
        <v/>
      </c>
      <c r="JRS18" s="28" t="str">
        <f>IFERROR(IF(JSB3="No",IF(VLOOKUP(DATE($K$1,$K$2,JRS$4),Table1[],(MATCH(Calendar!$A18,DB!$1:$1,0)),FALSE)&gt;=5,"Good","Bad"),VLOOKUP(DATE($K$1,$K$2,JRS$4),Table1[],(MATCH(Calendar!$A18,DB!$1:$1,0)),FALSE)),"")</f>
        <v/>
      </c>
      <c r="JRT18" s="28" t="str">
        <f>IFERROR(IF(JSC3="No",IF(VLOOKUP(DATE($K$1,$K$2,JRT$4),Table1[],(MATCH(Calendar!$A18,DB!$1:$1,0)),FALSE)&gt;=5,"Good","Bad"),VLOOKUP(DATE($K$1,$K$2,JRT$4),Table1[],(MATCH(Calendar!$A18,DB!$1:$1,0)),FALSE)),"")</f>
        <v/>
      </c>
      <c r="JRU18" s="28" t="str">
        <f>IFERROR(IF(JSD3="No",IF(VLOOKUP(DATE($K$1,$K$2,JRU$4),Table1[],(MATCH(Calendar!$A18,DB!$1:$1,0)),FALSE)&gt;=5,"Good","Bad"),VLOOKUP(DATE($K$1,$K$2,JRU$4),Table1[],(MATCH(Calendar!$A18,DB!$1:$1,0)),FALSE)),"")</f>
        <v/>
      </c>
      <c r="JRV18" s="28" t="str">
        <f>IFERROR(IF(JSE3="No",IF(VLOOKUP(DATE($K$1,$K$2,JRV$4),Table1[],(MATCH(Calendar!$A18,DB!$1:$1,0)),FALSE)&gt;=5,"Good","Bad"),VLOOKUP(DATE($K$1,$K$2,JRV$4),Table1[],(MATCH(Calendar!$A18,DB!$1:$1,0)),FALSE)),"")</f>
        <v/>
      </c>
      <c r="JRW18" s="28" t="str">
        <f>IFERROR(IF(JSF3="No",IF(VLOOKUP(DATE($K$1,$K$2,JRW$4),Table1[],(MATCH(Calendar!$A18,DB!$1:$1,0)),FALSE)&gt;=5,"Good","Bad"),VLOOKUP(DATE($K$1,$K$2,JRW$4),Table1[],(MATCH(Calendar!$A18,DB!$1:$1,0)),FALSE)),"")</f>
        <v/>
      </c>
      <c r="JRX18" s="28" t="str">
        <f>IFERROR(IF(JSG3="No",IF(VLOOKUP(DATE($K$1,$K$2,JRX$4),Table1[],(MATCH(Calendar!$A18,DB!$1:$1,0)),FALSE)&gt;=5,"Good","Bad"),VLOOKUP(DATE($K$1,$K$2,JRX$4),Table1[],(MATCH(Calendar!$A18,DB!$1:$1,0)),FALSE)),"")</f>
        <v/>
      </c>
      <c r="JRY18" s="28" t="str">
        <f>IFERROR(IF(JSH3="No",IF(VLOOKUP(DATE($K$1,$K$2,JRY$4),Table1[],(MATCH(Calendar!$A18,DB!$1:$1,0)),FALSE)&gt;=5,"Good","Bad"),VLOOKUP(DATE($K$1,$K$2,JRY$4),Table1[],(MATCH(Calendar!$A18,DB!$1:$1,0)),FALSE)),"")</f>
        <v/>
      </c>
      <c r="JRZ18" s="28" t="str">
        <f>IFERROR(IF(JSI3="No",IF(VLOOKUP(DATE($K$1,$K$2,JRZ$4),Table1[],(MATCH(Calendar!$A18,DB!$1:$1,0)),FALSE)&gt;=5,"Good","Bad"),VLOOKUP(DATE($K$1,$K$2,JRZ$4),Table1[],(MATCH(Calendar!$A18,DB!$1:$1,0)),FALSE)),"")</f>
        <v/>
      </c>
      <c r="JSA18" s="28" t="str">
        <f>IFERROR(IF(JSJ3="No",IF(VLOOKUP(DATE($K$1,$K$2,JSA$4),Table1[],(MATCH(Calendar!$A18,DB!$1:$1,0)),FALSE)&gt;=5,"Good","Bad"),VLOOKUP(DATE($K$1,$K$2,JSA$4),Table1[],(MATCH(Calendar!$A18,DB!$1:$1,0)),FALSE)),"")</f>
        <v/>
      </c>
      <c r="JSB18" s="28" t="str">
        <f>IFERROR(IF(JSK3="No",IF(VLOOKUP(DATE($K$1,$K$2,JSB$4),Table1[],(MATCH(Calendar!$A18,DB!$1:$1,0)),FALSE)&gt;=5,"Good","Bad"),VLOOKUP(DATE($K$1,$K$2,JSB$4),Table1[],(MATCH(Calendar!$A18,DB!$1:$1,0)),FALSE)),"")</f>
        <v/>
      </c>
      <c r="JSC18" s="28" t="str">
        <f>IFERROR(IF(JSL3="No",IF(VLOOKUP(DATE($K$1,$K$2,JSC$4),Table1[],(MATCH(Calendar!$A18,DB!$1:$1,0)),FALSE)&gt;=5,"Good","Bad"),VLOOKUP(DATE($K$1,$K$2,JSC$4),Table1[],(MATCH(Calendar!$A18,DB!$1:$1,0)),FALSE)),"")</f>
        <v/>
      </c>
      <c r="JSD18" s="28" t="str">
        <f>IFERROR(IF(JSM3="No",IF(VLOOKUP(DATE($K$1,$K$2,JSD$4),Table1[],(MATCH(Calendar!$A18,DB!$1:$1,0)),FALSE)&gt;=5,"Good","Bad"),VLOOKUP(DATE($K$1,$K$2,JSD$4),Table1[],(MATCH(Calendar!$A18,DB!$1:$1,0)),FALSE)),"")</f>
        <v/>
      </c>
      <c r="JSE18" s="28" t="str">
        <f>IFERROR(IF(JSN3="No",IF(VLOOKUP(DATE($K$1,$K$2,JSE$4),Table1[],(MATCH(Calendar!$A18,DB!$1:$1,0)),FALSE)&gt;=5,"Good","Bad"),VLOOKUP(DATE($K$1,$K$2,JSE$4),Table1[],(MATCH(Calendar!$A18,DB!$1:$1,0)),FALSE)),"")</f>
        <v/>
      </c>
      <c r="JSF18" s="28" t="str">
        <f>IFERROR(IF(JSO3="No",IF(VLOOKUP(DATE($K$1,$K$2,JSF$4),Table1[],(MATCH(Calendar!$A18,DB!$1:$1,0)),FALSE)&gt;=5,"Good","Bad"),VLOOKUP(DATE($K$1,$K$2,JSF$4),Table1[],(MATCH(Calendar!$A18,DB!$1:$1,0)),FALSE)),"")</f>
        <v/>
      </c>
      <c r="JSG18" s="28" t="str">
        <f>IFERROR(IF(JSP3="No",IF(VLOOKUP(DATE($K$1,$K$2,JSG$4),Table1[],(MATCH(Calendar!$A18,DB!$1:$1,0)),FALSE)&gt;=5,"Good","Bad"),VLOOKUP(DATE($K$1,$K$2,JSG$4),Table1[],(MATCH(Calendar!$A18,DB!$1:$1,0)),FALSE)),"")</f>
        <v/>
      </c>
      <c r="JSH18" s="28" t="str">
        <f>IFERROR(IF(JSQ3="No",IF(VLOOKUP(DATE($K$1,$K$2,JSH$4),Table1[],(MATCH(Calendar!$A18,DB!$1:$1,0)),FALSE)&gt;=5,"Good","Bad"),VLOOKUP(DATE($K$1,$K$2,JSH$4),Table1[],(MATCH(Calendar!$A18,DB!$1:$1,0)),FALSE)),"")</f>
        <v/>
      </c>
      <c r="JSI18" s="28" t="str">
        <f>IFERROR(IF(JSR3="No",IF(VLOOKUP(DATE($K$1,$K$2,JSI$4),Table1[],(MATCH(Calendar!$A18,DB!$1:$1,0)),FALSE)&gt;=5,"Good","Bad"),VLOOKUP(DATE($K$1,$K$2,JSI$4),Table1[],(MATCH(Calendar!$A18,DB!$1:$1,0)),FALSE)),"")</f>
        <v/>
      </c>
      <c r="JSJ18" s="28" t="str">
        <f>IFERROR(IF(JSS3="No",IF(VLOOKUP(DATE($K$1,$K$2,JSJ$4),Table1[],(MATCH(Calendar!$A18,DB!$1:$1,0)),FALSE)&gt;=5,"Good","Bad"),VLOOKUP(DATE($K$1,$K$2,JSJ$4),Table1[],(MATCH(Calendar!$A18,DB!$1:$1,0)),FALSE)),"")</f>
        <v/>
      </c>
      <c r="JSK18" s="28" t="str">
        <f>IFERROR(IF(JST3="No",IF(VLOOKUP(DATE($K$1,$K$2,JSK$4),Table1[],(MATCH(Calendar!$A18,DB!$1:$1,0)),FALSE)&gt;=5,"Good","Bad"),VLOOKUP(DATE($K$1,$K$2,JSK$4),Table1[],(MATCH(Calendar!$A18,DB!$1:$1,0)),FALSE)),"")</f>
        <v/>
      </c>
      <c r="JSL18" s="28" t="str">
        <f>IFERROR(IF(JSU3="No",IF(VLOOKUP(DATE($K$1,$K$2,JSL$4),Table1[],(MATCH(Calendar!$A18,DB!$1:$1,0)),FALSE)&gt;=5,"Good","Bad"),VLOOKUP(DATE($K$1,$K$2,JSL$4),Table1[],(MATCH(Calendar!$A18,DB!$1:$1,0)),FALSE)),"")</f>
        <v/>
      </c>
      <c r="JSM18" s="28" t="str">
        <f>IFERROR(IF(JSV3="No",IF(VLOOKUP(DATE($K$1,$K$2,JSM$4),Table1[],(MATCH(Calendar!$A18,DB!$1:$1,0)),FALSE)&gt;=5,"Good","Bad"),VLOOKUP(DATE($K$1,$K$2,JSM$4),Table1[],(MATCH(Calendar!$A18,DB!$1:$1,0)),FALSE)),"")</f>
        <v/>
      </c>
      <c r="JSN18" s="28" t="str">
        <f>IFERROR(IF(JSW3="No",IF(VLOOKUP(DATE($K$1,$K$2,JSN$4),Table1[],(MATCH(Calendar!$A18,DB!$1:$1,0)),FALSE)&gt;=5,"Good","Bad"),VLOOKUP(DATE($K$1,$K$2,JSN$4),Table1[],(MATCH(Calendar!$A18,DB!$1:$1,0)),FALSE)),"")</f>
        <v/>
      </c>
      <c r="JSO18" s="28" t="str">
        <f>IFERROR(IF(JSX3="No",IF(VLOOKUP(DATE($K$1,$K$2,JSO$4),Table1[],(MATCH(Calendar!$A18,DB!$1:$1,0)),FALSE)&gt;=5,"Good","Bad"),VLOOKUP(DATE($K$1,$K$2,JSO$4),Table1[],(MATCH(Calendar!$A18,DB!$1:$1,0)),FALSE)),"")</f>
        <v/>
      </c>
      <c r="JSP18" s="28" t="str">
        <f>IFERROR(IF(JSY3="No",IF(VLOOKUP(DATE($K$1,$K$2,JSP$4),Table1[],(MATCH(Calendar!$A18,DB!$1:$1,0)),FALSE)&gt;=5,"Good","Bad"),VLOOKUP(DATE($K$1,$K$2,JSP$4),Table1[],(MATCH(Calendar!$A18,DB!$1:$1,0)),FALSE)),"")</f>
        <v/>
      </c>
      <c r="JSQ18" s="28" t="str">
        <f>IFERROR(IF(JSZ3="No",IF(VLOOKUP(DATE($K$1,$K$2,JSQ$4),Table1[],(MATCH(Calendar!$A18,DB!$1:$1,0)),FALSE)&gt;=5,"Good","Bad"),VLOOKUP(DATE($K$1,$K$2,JSQ$4),Table1[],(MATCH(Calendar!$A18,DB!$1:$1,0)),FALSE)),"")</f>
        <v/>
      </c>
      <c r="JSR18" s="28" t="str">
        <f>IFERROR(IF(JTA3="No",IF(VLOOKUP(DATE($K$1,$K$2,JSR$4),Table1[],(MATCH(Calendar!$A18,DB!$1:$1,0)),FALSE)&gt;=5,"Good","Bad"),VLOOKUP(DATE($K$1,$K$2,JSR$4),Table1[],(MATCH(Calendar!$A18,DB!$1:$1,0)),FALSE)),"")</f>
        <v/>
      </c>
      <c r="JSS18" s="28" t="str">
        <f>IFERROR(IF(JTB3="No",IF(VLOOKUP(DATE($K$1,$K$2,JSS$4),Table1[],(MATCH(Calendar!$A18,DB!$1:$1,0)),FALSE)&gt;=5,"Good","Bad"),VLOOKUP(DATE($K$1,$K$2,JSS$4),Table1[],(MATCH(Calendar!$A18,DB!$1:$1,0)),FALSE)),"")</f>
        <v/>
      </c>
      <c r="JST18" s="28" t="str">
        <f>IFERROR(IF(JTC3="No",IF(VLOOKUP(DATE($K$1,$K$2,JST$4),Table1[],(MATCH(Calendar!$A18,DB!$1:$1,0)),FALSE)&gt;=5,"Good","Bad"),VLOOKUP(DATE($K$1,$K$2,JST$4),Table1[],(MATCH(Calendar!$A18,DB!$1:$1,0)),FALSE)),"")</f>
        <v/>
      </c>
      <c r="JSU18" s="28" t="str">
        <f>IFERROR(IF(JTD3="No",IF(VLOOKUP(DATE($K$1,$K$2,JSU$4),Table1[],(MATCH(Calendar!$A18,DB!$1:$1,0)),FALSE)&gt;=5,"Good","Bad"),VLOOKUP(DATE($K$1,$K$2,JSU$4),Table1[],(MATCH(Calendar!$A18,DB!$1:$1,0)),FALSE)),"")</f>
        <v/>
      </c>
      <c r="JSV18" s="28" t="str">
        <f>IFERROR(IF(JTE3="No",IF(VLOOKUP(DATE($K$1,$K$2,JSV$4),Table1[],(MATCH(Calendar!$A18,DB!$1:$1,0)),FALSE)&gt;=5,"Good","Bad"),VLOOKUP(DATE($K$1,$K$2,JSV$4),Table1[],(MATCH(Calendar!$A18,DB!$1:$1,0)),FALSE)),"")</f>
        <v/>
      </c>
      <c r="JSW18" s="28" t="str">
        <f>IFERROR(IF(JTF3="No",IF(VLOOKUP(DATE($K$1,$K$2,JSW$4),Table1[],(MATCH(Calendar!$A18,DB!$1:$1,0)),FALSE)&gt;=5,"Good","Bad"),VLOOKUP(DATE($K$1,$K$2,JSW$4),Table1[],(MATCH(Calendar!$A18,DB!$1:$1,0)),FALSE)),"")</f>
        <v/>
      </c>
      <c r="JSX18" s="28" t="str">
        <f>IFERROR(IF(JTG3="No",IF(VLOOKUP(DATE($K$1,$K$2,JSX$4),Table1[],(MATCH(Calendar!$A18,DB!$1:$1,0)),FALSE)&gt;=5,"Good","Bad"),VLOOKUP(DATE($K$1,$K$2,JSX$4),Table1[],(MATCH(Calendar!$A18,DB!$1:$1,0)),FALSE)),"")</f>
        <v/>
      </c>
      <c r="JSY18" s="28" t="str">
        <f>IFERROR(IF(JTH3="No",IF(VLOOKUP(DATE($K$1,$K$2,JSY$4),Table1[],(MATCH(Calendar!$A18,DB!$1:$1,0)),FALSE)&gt;=5,"Good","Bad"),VLOOKUP(DATE($K$1,$K$2,JSY$4),Table1[],(MATCH(Calendar!$A18,DB!$1:$1,0)),FALSE)),"")</f>
        <v/>
      </c>
      <c r="JSZ18" s="28" t="str">
        <f>IFERROR(IF(JTI3="No",IF(VLOOKUP(DATE($K$1,$K$2,JSZ$4),Table1[],(MATCH(Calendar!$A18,DB!$1:$1,0)),FALSE)&gt;=5,"Good","Bad"),VLOOKUP(DATE($K$1,$K$2,JSZ$4),Table1[],(MATCH(Calendar!$A18,DB!$1:$1,0)),FALSE)),"")</f>
        <v/>
      </c>
      <c r="JTA18" s="28" t="str">
        <f>IFERROR(IF(JTJ3="No",IF(VLOOKUP(DATE($K$1,$K$2,JTA$4),Table1[],(MATCH(Calendar!$A18,DB!$1:$1,0)),FALSE)&gt;=5,"Good","Bad"),VLOOKUP(DATE($K$1,$K$2,JTA$4),Table1[],(MATCH(Calendar!$A18,DB!$1:$1,0)),FALSE)),"")</f>
        <v/>
      </c>
      <c r="JTB18" s="28" t="str">
        <f>IFERROR(IF(JTK3="No",IF(VLOOKUP(DATE($K$1,$K$2,JTB$4),Table1[],(MATCH(Calendar!$A18,DB!$1:$1,0)),FALSE)&gt;=5,"Good","Bad"),VLOOKUP(DATE($K$1,$K$2,JTB$4),Table1[],(MATCH(Calendar!$A18,DB!$1:$1,0)),FALSE)),"")</f>
        <v/>
      </c>
      <c r="JTC18" s="28" t="str">
        <f>IFERROR(IF(JTL3="No",IF(VLOOKUP(DATE($K$1,$K$2,JTC$4),Table1[],(MATCH(Calendar!$A18,DB!$1:$1,0)),FALSE)&gt;=5,"Good","Bad"),VLOOKUP(DATE($K$1,$K$2,JTC$4),Table1[],(MATCH(Calendar!$A18,DB!$1:$1,0)),FALSE)),"")</f>
        <v/>
      </c>
      <c r="JTD18" s="28" t="str">
        <f>IFERROR(IF(JTM3="No",IF(VLOOKUP(DATE($K$1,$K$2,JTD$4),Table1[],(MATCH(Calendar!$A18,DB!$1:$1,0)),FALSE)&gt;=5,"Good","Bad"),VLOOKUP(DATE($K$1,$K$2,JTD$4),Table1[],(MATCH(Calendar!$A18,DB!$1:$1,0)),FALSE)),"")</f>
        <v/>
      </c>
      <c r="JTE18" s="28" t="str">
        <f>IFERROR(IF(JTN3="No",IF(VLOOKUP(DATE($K$1,$K$2,JTE$4),Table1[],(MATCH(Calendar!$A18,DB!$1:$1,0)),FALSE)&gt;=5,"Good","Bad"),VLOOKUP(DATE($K$1,$K$2,JTE$4),Table1[],(MATCH(Calendar!$A18,DB!$1:$1,0)),FALSE)),"")</f>
        <v/>
      </c>
      <c r="JTF18" s="28" t="str">
        <f>IFERROR(IF(JTO3="No",IF(VLOOKUP(DATE($K$1,$K$2,JTF$4),Table1[],(MATCH(Calendar!$A18,DB!$1:$1,0)),FALSE)&gt;=5,"Good","Bad"),VLOOKUP(DATE($K$1,$K$2,JTF$4),Table1[],(MATCH(Calendar!$A18,DB!$1:$1,0)),FALSE)),"")</f>
        <v/>
      </c>
      <c r="JTG18" s="28" t="str">
        <f>IFERROR(IF(JTP3="No",IF(VLOOKUP(DATE($K$1,$K$2,JTG$4),Table1[],(MATCH(Calendar!$A18,DB!$1:$1,0)),FALSE)&gt;=5,"Good","Bad"),VLOOKUP(DATE($K$1,$K$2,JTG$4),Table1[],(MATCH(Calendar!$A18,DB!$1:$1,0)),FALSE)),"")</f>
        <v/>
      </c>
      <c r="JTH18" s="28" t="str">
        <f>IFERROR(IF(JTQ3="No",IF(VLOOKUP(DATE($K$1,$K$2,JTH$4),Table1[],(MATCH(Calendar!$A18,DB!$1:$1,0)),FALSE)&gt;=5,"Good","Bad"),VLOOKUP(DATE($K$1,$K$2,JTH$4),Table1[],(MATCH(Calendar!$A18,DB!$1:$1,0)),FALSE)),"")</f>
        <v/>
      </c>
      <c r="JTI18" s="28" t="str">
        <f>IFERROR(IF(JTR3="No",IF(VLOOKUP(DATE($K$1,$K$2,JTI$4),Table1[],(MATCH(Calendar!$A18,DB!$1:$1,0)),FALSE)&gt;=5,"Good","Bad"),VLOOKUP(DATE($K$1,$K$2,JTI$4),Table1[],(MATCH(Calendar!$A18,DB!$1:$1,0)),FALSE)),"")</f>
        <v/>
      </c>
      <c r="JTJ18" s="28" t="str">
        <f>IFERROR(IF(JTS3="No",IF(VLOOKUP(DATE($K$1,$K$2,JTJ$4),Table1[],(MATCH(Calendar!$A18,DB!$1:$1,0)),FALSE)&gt;=5,"Good","Bad"),VLOOKUP(DATE($K$1,$K$2,JTJ$4),Table1[],(MATCH(Calendar!$A18,DB!$1:$1,0)),FALSE)),"")</f>
        <v/>
      </c>
      <c r="JTK18" s="28" t="str">
        <f>IFERROR(IF(JTT3="No",IF(VLOOKUP(DATE($K$1,$K$2,JTK$4),Table1[],(MATCH(Calendar!$A18,DB!$1:$1,0)),FALSE)&gt;=5,"Good","Bad"),VLOOKUP(DATE($K$1,$K$2,JTK$4),Table1[],(MATCH(Calendar!$A18,DB!$1:$1,0)),FALSE)),"")</f>
        <v/>
      </c>
      <c r="JTL18" s="28" t="str">
        <f>IFERROR(IF(JTU3="No",IF(VLOOKUP(DATE($K$1,$K$2,JTL$4),Table1[],(MATCH(Calendar!$A18,DB!$1:$1,0)),FALSE)&gt;=5,"Good","Bad"),VLOOKUP(DATE($K$1,$K$2,JTL$4),Table1[],(MATCH(Calendar!$A18,DB!$1:$1,0)),FALSE)),"")</f>
        <v/>
      </c>
      <c r="JTM18" s="28" t="str">
        <f>IFERROR(IF(JTV3="No",IF(VLOOKUP(DATE($K$1,$K$2,JTM$4),Table1[],(MATCH(Calendar!$A18,DB!$1:$1,0)),FALSE)&gt;=5,"Good","Bad"),VLOOKUP(DATE($K$1,$K$2,JTM$4),Table1[],(MATCH(Calendar!$A18,DB!$1:$1,0)),FALSE)),"")</f>
        <v/>
      </c>
      <c r="JTN18" s="28" t="str">
        <f>IFERROR(IF(JTW3="No",IF(VLOOKUP(DATE($K$1,$K$2,JTN$4),Table1[],(MATCH(Calendar!$A18,DB!$1:$1,0)),FALSE)&gt;=5,"Good","Bad"),VLOOKUP(DATE($K$1,$K$2,JTN$4),Table1[],(MATCH(Calendar!$A18,DB!$1:$1,0)),FALSE)),"")</f>
        <v/>
      </c>
      <c r="JTO18" s="28" t="str">
        <f>IFERROR(IF(JTX3="No",IF(VLOOKUP(DATE($K$1,$K$2,JTO$4),Table1[],(MATCH(Calendar!$A18,DB!$1:$1,0)),FALSE)&gt;=5,"Good","Bad"),VLOOKUP(DATE($K$1,$K$2,JTO$4),Table1[],(MATCH(Calendar!$A18,DB!$1:$1,0)),FALSE)),"")</f>
        <v/>
      </c>
      <c r="JTP18" s="28" t="str">
        <f>IFERROR(IF(JTY3="No",IF(VLOOKUP(DATE($K$1,$K$2,JTP$4),Table1[],(MATCH(Calendar!$A18,DB!$1:$1,0)),FALSE)&gt;=5,"Good","Bad"),VLOOKUP(DATE($K$1,$K$2,JTP$4),Table1[],(MATCH(Calendar!$A18,DB!$1:$1,0)),FALSE)),"")</f>
        <v/>
      </c>
      <c r="JTQ18" s="28" t="str">
        <f>IFERROR(IF(JTZ3="No",IF(VLOOKUP(DATE($K$1,$K$2,JTQ$4),Table1[],(MATCH(Calendar!$A18,DB!$1:$1,0)),FALSE)&gt;=5,"Good","Bad"),VLOOKUP(DATE($K$1,$K$2,JTQ$4),Table1[],(MATCH(Calendar!$A18,DB!$1:$1,0)),FALSE)),"")</f>
        <v/>
      </c>
      <c r="JTR18" s="28" t="str">
        <f>IFERROR(IF(JUA3="No",IF(VLOOKUP(DATE($K$1,$K$2,JTR$4),Table1[],(MATCH(Calendar!$A18,DB!$1:$1,0)),FALSE)&gt;=5,"Good","Bad"),VLOOKUP(DATE($K$1,$K$2,JTR$4),Table1[],(MATCH(Calendar!$A18,DB!$1:$1,0)),FALSE)),"")</f>
        <v/>
      </c>
      <c r="JTS18" s="28" t="str">
        <f>IFERROR(IF(JUB3="No",IF(VLOOKUP(DATE($K$1,$K$2,JTS$4),Table1[],(MATCH(Calendar!$A18,DB!$1:$1,0)),FALSE)&gt;=5,"Good","Bad"),VLOOKUP(DATE($K$1,$K$2,JTS$4),Table1[],(MATCH(Calendar!$A18,DB!$1:$1,0)),FALSE)),"")</f>
        <v/>
      </c>
      <c r="JTT18" s="28" t="str">
        <f>IFERROR(IF(JUC3="No",IF(VLOOKUP(DATE($K$1,$K$2,JTT$4),Table1[],(MATCH(Calendar!$A18,DB!$1:$1,0)),FALSE)&gt;=5,"Good","Bad"),VLOOKUP(DATE($K$1,$K$2,JTT$4),Table1[],(MATCH(Calendar!$A18,DB!$1:$1,0)),FALSE)),"")</f>
        <v/>
      </c>
      <c r="JTU18" s="28" t="str">
        <f>IFERROR(IF(JUD3="No",IF(VLOOKUP(DATE($K$1,$K$2,JTU$4),Table1[],(MATCH(Calendar!$A18,DB!$1:$1,0)),FALSE)&gt;=5,"Good","Bad"),VLOOKUP(DATE($K$1,$K$2,JTU$4),Table1[],(MATCH(Calendar!$A18,DB!$1:$1,0)),FALSE)),"")</f>
        <v/>
      </c>
      <c r="JTV18" s="28" t="str">
        <f>IFERROR(IF(JUE3="No",IF(VLOOKUP(DATE($K$1,$K$2,JTV$4),Table1[],(MATCH(Calendar!$A18,DB!$1:$1,0)),FALSE)&gt;=5,"Good","Bad"),VLOOKUP(DATE($K$1,$K$2,JTV$4),Table1[],(MATCH(Calendar!$A18,DB!$1:$1,0)),FALSE)),"")</f>
        <v/>
      </c>
      <c r="JTW18" s="28" t="str">
        <f>IFERROR(IF(JUF3="No",IF(VLOOKUP(DATE($K$1,$K$2,JTW$4),Table1[],(MATCH(Calendar!$A18,DB!$1:$1,0)),FALSE)&gt;=5,"Good","Bad"),VLOOKUP(DATE($K$1,$K$2,JTW$4),Table1[],(MATCH(Calendar!$A18,DB!$1:$1,0)),FALSE)),"")</f>
        <v/>
      </c>
      <c r="JTX18" s="28" t="str">
        <f>IFERROR(IF(JUG3="No",IF(VLOOKUP(DATE($K$1,$K$2,JTX$4),Table1[],(MATCH(Calendar!$A18,DB!$1:$1,0)),FALSE)&gt;=5,"Good","Bad"),VLOOKUP(DATE($K$1,$K$2,JTX$4),Table1[],(MATCH(Calendar!$A18,DB!$1:$1,0)),FALSE)),"")</f>
        <v/>
      </c>
      <c r="JTY18" s="28" t="str">
        <f>IFERROR(IF(JUH3="No",IF(VLOOKUP(DATE($K$1,$K$2,JTY$4),Table1[],(MATCH(Calendar!$A18,DB!$1:$1,0)),FALSE)&gt;=5,"Good","Bad"),VLOOKUP(DATE($K$1,$K$2,JTY$4),Table1[],(MATCH(Calendar!$A18,DB!$1:$1,0)),FALSE)),"")</f>
        <v/>
      </c>
      <c r="JTZ18" s="28" t="str">
        <f>IFERROR(IF(JUI3="No",IF(VLOOKUP(DATE($K$1,$K$2,JTZ$4),Table1[],(MATCH(Calendar!$A18,DB!$1:$1,0)),FALSE)&gt;=5,"Good","Bad"),VLOOKUP(DATE($K$1,$K$2,JTZ$4),Table1[],(MATCH(Calendar!$A18,DB!$1:$1,0)),FALSE)),"")</f>
        <v/>
      </c>
      <c r="JUA18" s="28" t="str">
        <f>IFERROR(IF(JUJ3="No",IF(VLOOKUP(DATE($K$1,$K$2,JUA$4),Table1[],(MATCH(Calendar!$A18,DB!$1:$1,0)),FALSE)&gt;=5,"Good","Bad"),VLOOKUP(DATE($K$1,$K$2,JUA$4),Table1[],(MATCH(Calendar!$A18,DB!$1:$1,0)),FALSE)),"")</f>
        <v/>
      </c>
      <c r="JUB18" s="28" t="str">
        <f>IFERROR(IF(JUK3="No",IF(VLOOKUP(DATE($K$1,$K$2,JUB$4),Table1[],(MATCH(Calendar!$A18,DB!$1:$1,0)),FALSE)&gt;=5,"Good","Bad"),VLOOKUP(DATE($K$1,$K$2,JUB$4),Table1[],(MATCH(Calendar!$A18,DB!$1:$1,0)),FALSE)),"")</f>
        <v/>
      </c>
      <c r="JUC18" s="28" t="str">
        <f>IFERROR(IF(JUL3="No",IF(VLOOKUP(DATE($K$1,$K$2,JUC$4),Table1[],(MATCH(Calendar!$A18,DB!$1:$1,0)),FALSE)&gt;=5,"Good","Bad"),VLOOKUP(DATE($K$1,$K$2,JUC$4),Table1[],(MATCH(Calendar!$A18,DB!$1:$1,0)),FALSE)),"")</f>
        <v/>
      </c>
      <c r="JUD18" s="28" t="str">
        <f>IFERROR(IF(JUM3="No",IF(VLOOKUP(DATE($K$1,$K$2,JUD$4),Table1[],(MATCH(Calendar!$A18,DB!$1:$1,0)),FALSE)&gt;=5,"Good","Bad"),VLOOKUP(DATE($K$1,$K$2,JUD$4),Table1[],(MATCH(Calendar!$A18,DB!$1:$1,0)),FALSE)),"")</f>
        <v/>
      </c>
      <c r="JUE18" s="28" t="str">
        <f>IFERROR(IF(JUN3="No",IF(VLOOKUP(DATE($K$1,$K$2,JUE$4),Table1[],(MATCH(Calendar!$A18,DB!$1:$1,0)),FALSE)&gt;=5,"Good","Bad"),VLOOKUP(DATE($K$1,$K$2,JUE$4),Table1[],(MATCH(Calendar!$A18,DB!$1:$1,0)),FALSE)),"")</f>
        <v/>
      </c>
      <c r="JUF18" s="28" t="str">
        <f>IFERROR(IF(JUO3="No",IF(VLOOKUP(DATE($K$1,$K$2,JUF$4),Table1[],(MATCH(Calendar!$A18,DB!$1:$1,0)),FALSE)&gt;=5,"Good","Bad"),VLOOKUP(DATE($K$1,$K$2,JUF$4),Table1[],(MATCH(Calendar!$A18,DB!$1:$1,0)),FALSE)),"")</f>
        <v/>
      </c>
      <c r="JUG18" s="28" t="str">
        <f>IFERROR(IF(JUP3="No",IF(VLOOKUP(DATE($K$1,$K$2,JUG$4),Table1[],(MATCH(Calendar!$A18,DB!$1:$1,0)),FALSE)&gt;=5,"Good","Bad"),VLOOKUP(DATE($K$1,$K$2,JUG$4),Table1[],(MATCH(Calendar!$A18,DB!$1:$1,0)),FALSE)),"")</f>
        <v/>
      </c>
      <c r="JUH18" s="28" t="str">
        <f>IFERROR(IF(JUQ3="No",IF(VLOOKUP(DATE($K$1,$K$2,JUH$4),Table1[],(MATCH(Calendar!$A18,DB!$1:$1,0)),FALSE)&gt;=5,"Good","Bad"),VLOOKUP(DATE($K$1,$K$2,JUH$4),Table1[],(MATCH(Calendar!$A18,DB!$1:$1,0)),FALSE)),"")</f>
        <v/>
      </c>
      <c r="JUI18" s="28" t="str">
        <f>IFERROR(IF(JUR3="No",IF(VLOOKUP(DATE($K$1,$K$2,JUI$4),Table1[],(MATCH(Calendar!$A18,DB!$1:$1,0)),FALSE)&gt;=5,"Good","Bad"),VLOOKUP(DATE($K$1,$K$2,JUI$4),Table1[],(MATCH(Calendar!$A18,DB!$1:$1,0)),FALSE)),"")</f>
        <v/>
      </c>
      <c r="JUJ18" s="28" t="str">
        <f>IFERROR(IF(JUS3="No",IF(VLOOKUP(DATE($K$1,$K$2,JUJ$4),Table1[],(MATCH(Calendar!$A18,DB!$1:$1,0)),FALSE)&gt;=5,"Good","Bad"),VLOOKUP(DATE($K$1,$K$2,JUJ$4),Table1[],(MATCH(Calendar!$A18,DB!$1:$1,0)),FALSE)),"")</f>
        <v/>
      </c>
      <c r="JUK18" s="28" t="str">
        <f>IFERROR(IF(JUT3="No",IF(VLOOKUP(DATE($K$1,$K$2,JUK$4),Table1[],(MATCH(Calendar!$A18,DB!$1:$1,0)),FALSE)&gt;=5,"Good","Bad"),VLOOKUP(DATE($K$1,$K$2,JUK$4),Table1[],(MATCH(Calendar!$A18,DB!$1:$1,0)),FALSE)),"")</f>
        <v/>
      </c>
      <c r="JUL18" s="28" t="str">
        <f>IFERROR(IF(JUU3="No",IF(VLOOKUP(DATE($K$1,$K$2,JUL$4),Table1[],(MATCH(Calendar!$A18,DB!$1:$1,0)),FALSE)&gt;=5,"Good","Bad"),VLOOKUP(DATE($K$1,$K$2,JUL$4),Table1[],(MATCH(Calendar!$A18,DB!$1:$1,0)),FALSE)),"")</f>
        <v/>
      </c>
      <c r="JUM18" s="28" t="str">
        <f>IFERROR(IF(JUV3="No",IF(VLOOKUP(DATE($K$1,$K$2,JUM$4),Table1[],(MATCH(Calendar!$A18,DB!$1:$1,0)),FALSE)&gt;=5,"Good","Bad"),VLOOKUP(DATE($K$1,$K$2,JUM$4),Table1[],(MATCH(Calendar!$A18,DB!$1:$1,0)),FALSE)),"")</f>
        <v/>
      </c>
      <c r="JUN18" s="28" t="str">
        <f>IFERROR(IF(JUW3="No",IF(VLOOKUP(DATE($K$1,$K$2,JUN$4),Table1[],(MATCH(Calendar!$A18,DB!$1:$1,0)),FALSE)&gt;=5,"Good","Bad"),VLOOKUP(DATE($K$1,$K$2,JUN$4),Table1[],(MATCH(Calendar!$A18,DB!$1:$1,0)),FALSE)),"")</f>
        <v/>
      </c>
      <c r="JUO18" s="28" t="str">
        <f>IFERROR(IF(JUX3="No",IF(VLOOKUP(DATE($K$1,$K$2,JUO$4),Table1[],(MATCH(Calendar!$A18,DB!$1:$1,0)),FALSE)&gt;=5,"Good","Bad"),VLOOKUP(DATE($K$1,$K$2,JUO$4),Table1[],(MATCH(Calendar!$A18,DB!$1:$1,0)),FALSE)),"")</f>
        <v/>
      </c>
      <c r="JUP18" s="28" t="str">
        <f>IFERROR(IF(JUY3="No",IF(VLOOKUP(DATE($K$1,$K$2,JUP$4),Table1[],(MATCH(Calendar!$A18,DB!$1:$1,0)),FALSE)&gt;=5,"Good","Bad"),VLOOKUP(DATE($K$1,$K$2,JUP$4),Table1[],(MATCH(Calendar!$A18,DB!$1:$1,0)),FALSE)),"")</f>
        <v/>
      </c>
      <c r="JUQ18" s="28" t="str">
        <f>IFERROR(IF(JUZ3="No",IF(VLOOKUP(DATE($K$1,$K$2,JUQ$4),Table1[],(MATCH(Calendar!$A18,DB!$1:$1,0)),FALSE)&gt;=5,"Good","Bad"),VLOOKUP(DATE($K$1,$K$2,JUQ$4),Table1[],(MATCH(Calendar!$A18,DB!$1:$1,0)),FALSE)),"")</f>
        <v/>
      </c>
      <c r="JUR18" s="28" t="str">
        <f>IFERROR(IF(JVA3="No",IF(VLOOKUP(DATE($K$1,$K$2,JUR$4),Table1[],(MATCH(Calendar!$A18,DB!$1:$1,0)),FALSE)&gt;=5,"Good","Bad"),VLOOKUP(DATE($K$1,$K$2,JUR$4),Table1[],(MATCH(Calendar!$A18,DB!$1:$1,0)),FALSE)),"")</f>
        <v/>
      </c>
      <c r="JUS18" s="28" t="str">
        <f>IFERROR(IF(JVB3="No",IF(VLOOKUP(DATE($K$1,$K$2,JUS$4),Table1[],(MATCH(Calendar!$A18,DB!$1:$1,0)),FALSE)&gt;=5,"Good","Bad"),VLOOKUP(DATE($K$1,$K$2,JUS$4),Table1[],(MATCH(Calendar!$A18,DB!$1:$1,0)),FALSE)),"")</f>
        <v/>
      </c>
      <c r="JUT18" s="28" t="str">
        <f>IFERROR(IF(JVC3="No",IF(VLOOKUP(DATE($K$1,$K$2,JUT$4),Table1[],(MATCH(Calendar!$A18,DB!$1:$1,0)),FALSE)&gt;=5,"Good","Bad"),VLOOKUP(DATE($K$1,$K$2,JUT$4),Table1[],(MATCH(Calendar!$A18,DB!$1:$1,0)),FALSE)),"")</f>
        <v/>
      </c>
      <c r="JUU18" s="28" t="str">
        <f>IFERROR(IF(JVD3="No",IF(VLOOKUP(DATE($K$1,$K$2,JUU$4),Table1[],(MATCH(Calendar!$A18,DB!$1:$1,0)),FALSE)&gt;=5,"Good","Bad"),VLOOKUP(DATE($K$1,$K$2,JUU$4),Table1[],(MATCH(Calendar!$A18,DB!$1:$1,0)),FALSE)),"")</f>
        <v/>
      </c>
      <c r="JUV18" s="28" t="str">
        <f>IFERROR(IF(JVE3="No",IF(VLOOKUP(DATE($K$1,$K$2,JUV$4),Table1[],(MATCH(Calendar!$A18,DB!$1:$1,0)),FALSE)&gt;=5,"Good","Bad"),VLOOKUP(DATE($K$1,$K$2,JUV$4),Table1[],(MATCH(Calendar!$A18,DB!$1:$1,0)),FALSE)),"")</f>
        <v/>
      </c>
      <c r="JUW18" s="28" t="str">
        <f>IFERROR(IF(JVF3="No",IF(VLOOKUP(DATE($K$1,$K$2,JUW$4),Table1[],(MATCH(Calendar!$A18,DB!$1:$1,0)),FALSE)&gt;=5,"Good","Bad"),VLOOKUP(DATE($K$1,$K$2,JUW$4),Table1[],(MATCH(Calendar!$A18,DB!$1:$1,0)),FALSE)),"")</f>
        <v/>
      </c>
      <c r="JUX18" s="28" t="str">
        <f>IFERROR(IF(JVG3="No",IF(VLOOKUP(DATE($K$1,$K$2,JUX$4),Table1[],(MATCH(Calendar!$A18,DB!$1:$1,0)),FALSE)&gt;=5,"Good","Bad"),VLOOKUP(DATE($K$1,$K$2,JUX$4),Table1[],(MATCH(Calendar!$A18,DB!$1:$1,0)),FALSE)),"")</f>
        <v/>
      </c>
      <c r="JUY18" s="28" t="str">
        <f>IFERROR(IF(JVH3="No",IF(VLOOKUP(DATE($K$1,$K$2,JUY$4),Table1[],(MATCH(Calendar!$A18,DB!$1:$1,0)),FALSE)&gt;=5,"Good","Bad"),VLOOKUP(DATE($K$1,$K$2,JUY$4),Table1[],(MATCH(Calendar!$A18,DB!$1:$1,0)),FALSE)),"")</f>
        <v/>
      </c>
      <c r="JUZ18" s="28" t="str">
        <f>IFERROR(IF(JVI3="No",IF(VLOOKUP(DATE($K$1,$K$2,JUZ$4),Table1[],(MATCH(Calendar!$A18,DB!$1:$1,0)),FALSE)&gt;=5,"Good","Bad"),VLOOKUP(DATE($K$1,$K$2,JUZ$4),Table1[],(MATCH(Calendar!$A18,DB!$1:$1,0)),FALSE)),"")</f>
        <v/>
      </c>
      <c r="JVA18" s="28" t="str">
        <f>IFERROR(IF(JVJ3="No",IF(VLOOKUP(DATE($K$1,$K$2,JVA$4),Table1[],(MATCH(Calendar!$A18,DB!$1:$1,0)),FALSE)&gt;=5,"Good","Bad"),VLOOKUP(DATE($K$1,$K$2,JVA$4),Table1[],(MATCH(Calendar!$A18,DB!$1:$1,0)),FALSE)),"")</f>
        <v/>
      </c>
      <c r="JVB18" s="28" t="str">
        <f>IFERROR(IF(JVK3="No",IF(VLOOKUP(DATE($K$1,$K$2,JVB$4),Table1[],(MATCH(Calendar!$A18,DB!$1:$1,0)),FALSE)&gt;=5,"Good","Bad"),VLOOKUP(DATE($K$1,$K$2,JVB$4),Table1[],(MATCH(Calendar!$A18,DB!$1:$1,0)),FALSE)),"")</f>
        <v/>
      </c>
      <c r="JVC18" s="28" t="str">
        <f>IFERROR(IF(JVL3="No",IF(VLOOKUP(DATE($K$1,$K$2,JVC$4),Table1[],(MATCH(Calendar!$A18,DB!$1:$1,0)),FALSE)&gt;=5,"Good","Bad"),VLOOKUP(DATE($K$1,$K$2,JVC$4),Table1[],(MATCH(Calendar!$A18,DB!$1:$1,0)),FALSE)),"")</f>
        <v/>
      </c>
      <c r="JVD18" s="28" t="str">
        <f>IFERROR(IF(JVM3="No",IF(VLOOKUP(DATE($K$1,$K$2,JVD$4),Table1[],(MATCH(Calendar!$A18,DB!$1:$1,0)),FALSE)&gt;=5,"Good","Bad"),VLOOKUP(DATE($K$1,$K$2,JVD$4),Table1[],(MATCH(Calendar!$A18,DB!$1:$1,0)),FALSE)),"")</f>
        <v/>
      </c>
      <c r="JVE18" s="28" t="str">
        <f>IFERROR(IF(JVN3="No",IF(VLOOKUP(DATE($K$1,$K$2,JVE$4),Table1[],(MATCH(Calendar!$A18,DB!$1:$1,0)),FALSE)&gt;=5,"Good","Bad"),VLOOKUP(DATE($K$1,$K$2,JVE$4),Table1[],(MATCH(Calendar!$A18,DB!$1:$1,0)),FALSE)),"")</f>
        <v/>
      </c>
      <c r="JVF18" s="28" t="str">
        <f>IFERROR(IF(JVO3="No",IF(VLOOKUP(DATE($K$1,$K$2,JVF$4),Table1[],(MATCH(Calendar!$A18,DB!$1:$1,0)),FALSE)&gt;=5,"Good","Bad"),VLOOKUP(DATE($K$1,$K$2,JVF$4),Table1[],(MATCH(Calendar!$A18,DB!$1:$1,0)),FALSE)),"")</f>
        <v/>
      </c>
      <c r="JVG18" s="28" t="str">
        <f>IFERROR(IF(JVP3="No",IF(VLOOKUP(DATE($K$1,$K$2,JVG$4),Table1[],(MATCH(Calendar!$A18,DB!$1:$1,0)),FALSE)&gt;=5,"Good","Bad"),VLOOKUP(DATE($K$1,$K$2,JVG$4),Table1[],(MATCH(Calendar!$A18,DB!$1:$1,0)),FALSE)),"")</f>
        <v/>
      </c>
      <c r="JVH18" s="28" t="str">
        <f>IFERROR(IF(JVQ3="No",IF(VLOOKUP(DATE($K$1,$K$2,JVH$4),Table1[],(MATCH(Calendar!$A18,DB!$1:$1,0)),FALSE)&gt;=5,"Good","Bad"),VLOOKUP(DATE($K$1,$K$2,JVH$4),Table1[],(MATCH(Calendar!$A18,DB!$1:$1,0)),FALSE)),"")</f>
        <v/>
      </c>
      <c r="JVI18" s="28" t="str">
        <f>IFERROR(IF(JVR3="No",IF(VLOOKUP(DATE($K$1,$K$2,JVI$4),Table1[],(MATCH(Calendar!$A18,DB!$1:$1,0)),FALSE)&gt;=5,"Good","Bad"),VLOOKUP(DATE($K$1,$K$2,JVI$4),Table1[],(MATCH(Calendar!$A18,DB!$1:$1,0)),FALSE)),"")</f>
        <v/>
      </c>
      <c r="JVJ18" s="28" t="str">
        <f>IFERROR(IF(JVS3="No",IF(VLOOKUP(DATE($K$1,$K$2,JVJ$4),Table1[],(MATCH(Calendar!$A18,DB!$1:$1,0)),FALSE)&gt;=5,"Good","Bad"),VLOOKUP(DATE($K$1,$K$2,JVJ$4),Table1[],(MATCH(Calendar!$A18,DB!$1:$1,0)),FALSE)),"")</f>
        <v/>
      </c>
      <c r="JVK18" s="28" t="str">
        <f>IFERROR(IF(JVT3="No",IF(VLOOKUP(DATE($K$1,$K$2,JVK$4),Table1[],(MATCH(Calendar!$A18,DB!$1:$1,0)),FALSE)&gt;=5,"Good","Bad"),VLOOKUP(DATE($K$1,$K$2,JVK$4),Table1[],(MATCH(Calendar!$A18,DB!$1:$1,0)),FALSE)),"")</f>
        <v/>
      </c>
      <c r="JVL18" s="28" t="str">
        <f>IFERROR(IF(JVU3="No",IF(VLOOKUP(DATE($K$1,$K$2,JVL$4),Table1[],(MATCH(Calendar!$A18,DB!$1:$1,0)),FALSE)&gt;=5,"Good","Bad"),VLOOKUP(DATE($K$1,$K$2,JVL$4),Table1[],(MATCH(Calendar!$A18,DB!$1:$1,0)),FALSE)),"")</f>
        <v/>
      </c>
      <c r="JVM18" s="28" t="str">
        <f>IFERROR(IF(JVV3="No",IF(VLOOKUP(DATE($K$1,$K$2,JVM$4),Table1[],(MATCH(Calendar!$A18,DB!$1:$1,0)),FALSE)&gt;=5,"Good","Bad"),VLOOKUP(DATE($K$1,$K$2,JVM$4),Table1[],(MATCH(Calendar!$A18,DB!$1:$1,0)),FALSE)),"")</f>
        <v/>
      </c>
      <c r="JVN18" s="28" t="str">
        <f>IFERROR(IF(JVW3="No",IF(VLOOKUP(DATE($K$1,$K$2,JVN$4),Table1[],(MATCH(Calendar!$A18,DB!$1:$1,0)),FALSE)&gt;=5,"Good","Bad"),VLOOKUP(DATE($K$1,$K$2,JVN$4),Table1[],(MATCH(Calendar!$A18,DB!$1:$1,0)),FALSE)),"")</f>
        <v/>
      </c>
      <c r="JVO18" s="28" t="str">
        <f>IFERROR(IF(JVX3="No",IF(VLOOKUP(DATE($K$1,$K$2,JVO$4),Table1[],(MATCH(Calendar!$A18,DB!$1:$1,0)),FALSE)&gt;=5,"Good","Bad"),VLOOKUP(DATE($K$1,$K$2,JVO$4),Table1[],(MATCH(Calendar!$A18,DB!$1:$1,0)),FALSE)),"")</f>
        <v/>
      </c>
      <c r="JVP18" s="28" t="str">
        <f>IFERROR(IF(JVY3="No",IF(VLOOKUP(DATE($K$1,$K$2,JVP$4),Table1[],(MATCH(Calendar!$A18,DB!$1:$1,0)),FALSE)&gt;=5,"Good","Bad"),VLOOKUP(DATE($K$1,$K$2,JVP$4),Table1[],(MATCH(Calendar!$A18,DB!$1:$1,0)),FALSE)),"")</f>
        <v/>
      </c>
      <c r="JVQ18" s="28" t="str">
        <f>IFERROR(IF(JVZ3="No",IF(VLOOKUP(DATE($K$1,$K$2,JVQ$4),Table1[],(MATCH(Calendar!$A18,DB!$1:$1,0)),FALSE)&gt;=5,"Good","Bad"),VLOOKUP(DATE($K$1,$K$2,JVQ$4),Table1[],(MATCH(Calendar!$A18,DB!$1:$1,0)),FALSE)),"")</f>
        <v/>
      </c>
      <c r="JVR18" s="28" t="str">
        <f>IFERROR(IF(JWA3="No",IF(VLOOKUP(DATE($K$1,$K$2,JVR$4),Table1[],(MATCH(Calendar!$A18,DB!$1:$1,0)),FALSE)&gt;=5,"Good","Bad"),VLOOKUP(DATE($K$1,$K$2,JVR$4),Table1[],(MATCH(Calendar!$A18,DB!$1:$1,0)),FALSE)),"")</f>
        <v/>
      </c>
      <c r="JVS18" s="28" t="str">
        <f>IFERROR(IF(JWB3="No",IF(VLOOKUP(DATE($K$1,$K$2,JVS$4),Table1[],(MATCH(Calendar!$A18,DB!$1:$1,0)),FALSE)&gt;=5,"Good","Bad"),VLOOKUP(DATE($K$1,$K$2,JVS$4),Table1[],(MATCH(Calendar!$A18,DB!$1:$1,0)),FALSE)),"")</f>
        <v/>
      </c>
      <c r="JVT18" s="28" t="str">
        <f>IFERROR(IF(JWC3="No",IF(VLOOKUP(DATE($K$1,$K$2,JVT$4),Table1[],(MATCH(Calendar!$A18,DB!$1:$1,0)),FALSE)&gt;=5,"Good","Bad"),VLOOKUP(DATE($K$1,$K$2,JVT$4),Table1[],(MATCH(Calendar!$A18,DB!$1:$1,0)),FALSE)),"")</f>
        <v/>
      </c>
      <c r="JVU18" s="28" t="str">
        <f>IFERROR(IF(JWD3="No",IF(VLOOKUP(DATE($K$1,$K$2,JVU$4),Table1[],(MATCH(Calendar!$A18,DB!$1:$1,0)),FALSE)&gt;=5,"Good","Bad"),VLOOKUP(DATE($K$1,$K$2,JVU$4),Table1[],(MATCH(Calendar!$A18,DB!$1:$1,0)),FALSE)),"")</f>
        <v/>
      </c>
      <c r="JVV18" s="28" t="str">
        <f>IFERROR(IF(JWE3="No",IF(VLOOKUP(DATE($K$1,$K$2,JVV$4),Table1[],(MATCH(Calendar!$A18,DB!$1:$1,0)),FALSE)&gt;=5,"Good","Bad"),VLOOKUP(DATE($K$1,$K$2,JVV$4),Table1[],(MATCH(Calendar!$A18,DB!$1:$1,0)),FALSE)),"")</f>
        <v/>
      </c>
      <c r="JVW18" s="28" t="str">
        <f>IFERROR(IF(JWF3="No",IF(VLOOKUP(DATE($K$1,$K$2,JVW$4),Table1[],(MATCH(Calendar!$A18,DB!$1:$1,0)),FALSE)&gt;=5,"Good","Bad"),VLOOKUP(DATE($K$1,$K$2,JVW$4),Table1[],(MATCH(Calendar!$A18,DB!$1:$1,0)),FALSE)),"")</f>
        <v/>
      </c>
      <c r="JVX18" s="28" t="str">
        <f>IFERROR(IF(JWG3="No",IF(VLOOKUP(DATE($K$1,$K$2,JVX$4),Table1[],(MATCH(Calendar!$A18,DB!$1:$1,0)),FALSE)&gt;=5,"Good","Bad"),VLOOKUP(DATE($K$1,$K$2,JVX$4),Table1[],(MATCH(Calendar!$A18,DB!$1:$1,0)),FALSE)),"")</f>
        <v/>
      </c>
      <c r="JVY18" s="28" t="str">
        <f>IFERROR(IF(JWH3="No",IF(VLOOKUP(DATE($K$1,$K$2,JVY$4),Table1[],(MATCH(Calendar!$A18,DB!$1:$1,0)),FALSE)&gt;=5,"Good","Bad"),VLOOKUP(DATE($K$1,$K$2,JVY$4),Table1[],(MATCH(Calendar!$A18,DB!$1:$1,0)),FALSE)),"")</f>
        <v/>
      </c>
      <c r="JVZ18" s="28" t="str">
        <f>IFERROR(IF(JWI3="No",IF(VLOOKUP(DATE($K$1,$K$2,JVZ$4),Table1[],(MATCH(Calendar!$A18,DB!$1:$1,0)),FALSE)&gt;=5,"Good","Bad"),VLOOKUP(DATE($K$1,$K$2,JVZ$4),Table1[],(MATCH(Calendar!$A18,DB!$1:$1,0)),FALSE)),"")</f>
        <v/>
      </c>
      <c r="JWA18" s="28" t="str">
        <f>IFERROR(IF(JWJ3="No",IF(VLOOKUP(DATE($K$1,$K$2,JWA$4),Table1[],(MATCH(Calendar!$A18,DB!$1:$1,0)),FALSE)&gt;=5,"Good","Bad"),VLOOKUP(DATE($K$1,$K$2,JWA$4),Table1[],(MATCH(Calendar!$A18,DB!$1:$1,0)),FALSE)),"")</f>
        <v/>
      </c>
      <c r="JWB18" s="28" t="str">
        <f>IFERROR(IF(JWK3="No",IF(VLOOKUP(DATE($K$1,$K$2,JWB$4),Table1[],(MATCH(Calendar!$A18,DB!$1:$1,0)),FALSE)&gt;=5,"Good","Bad"),VLOOKUP(DATE($K$1,$K$2,JWB$4),Table1[],(MATCH(Calendar!$A18,DB!$1:$1,0)),FALSE)),"")</f>
        <v/>
      </c>
      <c r="JWC18" s="28" t="str">
        <f>IFERROR(IF(JWL3="No",IF(VLOOKUP(DATE($K$1,$K$2,JWC$4),Table1[],(MATCH(Calendar!$A18,DB!$1:$1,0)),FALSE)&gt;=5,"Good","Bad"),VLOOKUP(DATE($K$1,$K$2,JWC$4),Table1[],(MATCH(Calendar!$A18,DB!$1:$1,0)),FALSE)),"")</f>
        <v/>
      </c>
      <c r="JWD18" s="28" t="str">
        <f>IFERROR(IF(JWM3="No",IF(VLOOKUP(DATE($K$1,$K$2,JWD$4),Table1[],(MATCH(Calendar!$A18,DB!$1:$1,0)),FALSE)&gt;=5,"Good","Bad"),VLOOKUP(DATE($K$1,$K$2,JWD$4),Table1[],(MATCH(Calendar!$A18,DB!$1:$1,0)),FALSE)),"")</f>
        <v/>
      </c>
      <c r="JWE18" s="28" t="str">
        <f>IFERROR(IF(JWN3="No",IF(VLOOKUP(DATE($K$1,$K$2,JWE$4),Table1[],(MATCH(Calendar!$A18,DB!$1:$1,0)),FALSE)&gt;=5,"Good","Bad"),VLOOKUP(DATE($K$1,$K$2,JWE$4),Table1[],(MATCH(Calendar!$A18,DB!$1:$1,0)),FALSE)),"")</f>
        <v/>
      </c>
      <c r="JWF18" s="28" t="str">
        <f>IFERROR(IF(JWO3="No",IF(VLOOKUP(DATE($K$1,$K$2,JWF$4),Table1[],(MATCH(Calendar!$A18,DB!$1:$1,0)),FALSE)&gt;=5,"Good","Bad"),VLOOKUP(DATE($K$1,$K$2,JWF$4),Table1[],(MATCH(Calendar!$A18,DB!$1:$1,0)),FALSE)),"")</f>
        <v/>
      </c>
      <c r="JWG18" s="28" t="str">
        <f>IFERROR(IF(JWP3="No",IF(VLOOKUP(DATE($K$1,$K$2,JWG$4),Table1[],(MATCH(Calendar!$A18,DB!$1:$1,0)),FALSE)&gt;=5,"Good","Bad"),VLOOKUP(DATE($K$1,$K$2,JWG$4),Table1[],(MATCH(Calendar!$A18,DB!$1:$1,0)),FALSE)),"")</f>
        <v/>
      </c>
      <c r="JWH18" s="28" t="str">
        <f>IFERROR(IF(JWQ3="No",IF(VLOOKUP(DATE($K$1,$K$2,JWH$4),Table1[],(MATCH(Calendar!$A18,DB!$1:$1,0)),FALSE)&gt;=5,"Good","Bad"),VLOOKUP(DATE($K$1,$K$2,JWH$4),Table1[],(MATCH(Calendar!$A18,DB!$1:$1,0)),FALSE)),"")</f>
        <v/>
      </c>
      <c r="JWI18" s="28" t="str">
        <f>IFERROR(IF(JWR3="No",IF(VLOOKUP(DATE($K$1,$K$2,JWI$4),Table1[],(MATCH(Calendar!$A18,DB!$1:$1,0)),FALSE)&gt;=5,"Good","Bad"),VLOOKUP(DATE($K$1,$K$2,JWI$4),Table1[],(MATCH(Calendar!$A18,DB!$1:$1,0)),FALSE)),"")</f>
        <v/>
      </c>
      <c r="JWJ18" s="28" t="str">
        <f>IFERROR(IF(JWS3="No",IF(VLOOKUP(DATE($K$1,$K$2,JWJ$4),Table1[],(MATCH(Calendar!$A18,DB!$1:$1,0)),FALSE)&gt;=5,"Good","Bad"),VLOOKUP(DATE($K$1,$K$2,JWJ$4),Table1[],(MATCH(Calendar!$A18,DB!$1:$1,0)),FALSE)),"")</f>
        <v/>
      </c>
      <c r="JWK18" s="28" t="str">
        <f>IFERROR(IF(JWT3="No",IF(VLOOKUP(DATE($K$1,$K$2,JWK$4),Table1[],(MATCH(Calendar!$A18,DB!$1:$1,0)),FALSE)&gt;=5,"Good","Bad"),VLOOKUP(DATE($K$1,$K$2,JWK$4),Table1[],(MATCH(Calendar!$A18,DB!$1:$1,0)),FALSE)),"")</f>
        <v/>
      </c>
      <c r="JWL18" s="28" t="str">
        <f>IFERROR(IF(JWU3="No",IF(VLOOKUP(DATE($K$1,$K$2,JWL$4),Table1[],(MATCH(Calendar!$A18,DB!$1:$1,0)),FALSE)&gt;=5,"Good","Bad"),VLOOKUP(DATE($K$1,$K$2,JWL$4),Table1[],(MATCH(Calendar!$A18,DB!$1:$1,0)),FALSE)),"")</f>
        <v/>
      </c>
      <c r="JWM18" s="28" t="str">
        <f>IFERROR(IF(JWV3="No",IF(VLOOKUP(DATE($K$1,$K$2,JWM$4),Table1[],(MATCH(Calendar!$A18,DB!$1:$1,0)),FALSE)&gt;=5,"Good","Bad"),VLOOKUP(DATE($K$1,$K$2,JWM$4),Table1[],(MATCH(Calendar!$A18,DB!$1:$1,0)),FALSE)),"")</f>
        <v/>
      </c>
      <c r="JWN18" s="28" t="str">
        <f>IFERROR(IF(JWW3="No",IF(VLOOKUP(DATE($K$1,$K$2,JWN$4),Table1[],(MATCH(Calendar!$A18,DB!$1:$1,0)),FALSE)&gt;=5,"Good","Bad"),VLOOKUP(DATE($K$1,$K$2,JWN$4),Table1[],(MATCH(Calendar!$A18,DB!$1:$1,0)),FALSE)),"")</f>
        <v/>
      </c>
      <c r="JWO18" s="28" t="str">
        <f>IFERROR(IF(JWX3="No",IF(VLOOKUP(DATE($K$1,$K$2,JWO$4),Table1[],(MATCH(Calendar!$A18,DB!$1:$1,0)),FALSE)&gt;=5,"Good","Bad"),VLOOKUP(DATE($K$1,$K$2,JWO$4),Table1[],(MATCH(Calendar!$A18,DB!$1:$1,0)),FALSE)),"")</f>
        <v/>
      </c>
      <c r="JWP18" s="28" t="str">
        <f>IFERROR(IF(JWY3="No",IF(VLOOKUP(DATE($K$1,$K$2,JWP$4),Table1[],(MATCH(Calendar!$A18,DB!$1:$1,0)),FALSE)&gt;=5,"Good","Bad"),VLOOKUP(DATE($K$1,$K$2,JWP$4),Table1[],(MATCH(Calendar!$A18,DB!$1:$1,0)),FALSE)),"")</f>
        <v/>
      </c>
      <c r="JWQ18" s="28" t="str">
        <f>IFERROR(IF(JWZ3="No",IF(VLOOKUP(DATE($K$1,$K$2,JWQ$4),Table1[],(MATCH(Calendar!$A18,DB!$1:$1,0)),FALSE)&gt;=5,"Good","Bad"),VLOOKUP(DATE($K$1,$K$2,JWQ$4),Table1[],(MATCH(Calendar!$A18,DB!$1:$1,0)),FALSE)),"")</f>
        <v/>
      </c>
      <c r="JWR18" s="28" t="str">
        <f>IFERROR(IF(JXA3="No",IF(VLOOKUP(DATE($K$1,$K$2,JWR$4),Table1[],(MATCH(Calendar!$A18,DB!$1:$1,0)),FALSE)&gt;=5,"Good","Bad"),VLOOKUP(DATE($K$1,$K$2,JWR$4),Table1[],(MATCH(Calendar!$A18,DB!$1:$1,0)),FALSE)),"")</f>
        <v/>
      </c>
      <c r="JWS18" s="28" t="str">
        <f>IFERROR(IF(JXB3="No",IF(VLOOKUP(DATE($K$1,$K$2,JWS$4),Table1[],(MATCH(Calendar!$A18,DB!$1:$1,0)),FALSE)&gt;=5,"Good","Bad"),VLOOKUP(DATE($K$1,$K$2,JWS$4),Table1[],(MATCH(Calendar!$A18,DB!$1:$1,0)),FALSE)),"")</f>
        <v/>
      </c>
      <c r="JWT18" s="28" t="str">
        <f>IFERROR(IF(JXC3="No",IF(VLOOKUP(DATE($K$1,$K$2,JWT$4),Table1[],(MATCH(Calendar!$A18,DB!$1:$1,0)),FALSE)&gt;=5,"Good","Bad"),VLOOKUP(DATE($K$1,$K$2,JWT$4),Table1[],(MATCH(Calendar!$A18,DB!$1:$1,0)),FALSE)),"")</f>
        <v/>
      </c>
      <c r="JWU18" s="28" t="str">
        <f>IFERROR(IF(JXD3="No",IF(VLOOKUP(DATE($K$1,$K$2,JWU$4),Table1[],(MATCH(Calendar!$A18,DB!$1:$1,0)),FALSE)&gt;=5,"Good","Bad"),VLOOKUP(DATE($K$1,$K$2,JWU$4),Table1[],(MATCH(Calendar!$A18,DB!$1:$1,0)),FALSE)),"")</f>
        <v/>
      </c>
      <c r="JWV18" s="28" t="str">
        <f>IFERROR(IF(JXE3="No",IF(VLOOKUP(DATE($K$1,$K$2,JWV$4),Table1[],(MATCH(Calendar!$A18,DB!$1:$1,0)),FALSE)&gt;=5,"Good","Bad"),VLOOKUP(DATE($K$1,$K$2,JWV$4),Table1[],(MATCH(Calendar!$A18,DB!$1:$1,0)),FALSE)),"")</f>
        <v/>
      </c>
      <c r="JWW18" s="28" t="str">
        <f>IFERROR(IF(JXF3="No",IF(VLOOKUP(DATE($K$1,$K$2,JWW$4),Table1[],(MATCH(Calendar!$A18,DB!$1:$1,0)),FALSE)&gt;=5,"Good","Bad"),VLOOKUP(DATE($K$1,$K$2,JWW$4),Table1[],(MATCH(Calendar!$A18,DB!$1:$1,0)),FALSE)),"")</f>
        <v/>
      </c>
      <c r="JWX18" s="28" t="str">
        <f>IFERROR(IF(JXG3="No",IF(VLOOKUP(DATE($K$1,$K$2,JWX$4),Table1[],(MATCH(Calendar!$A18,DB!$1:$1,0)),FALSE)&gt;=5,"Good","Bad"),VLOOKUP(DATE($K$1,$K$2,JWX$4),Table1[],(MATCH(Calendar!$A18,DB!$1:$1,0)),FALSE)),"")</f>
        <v/>
      </c>
      <c r="JWY18" s="28" t="str">
        <f>IFERROR(IF(JXH3="No",IF(VLOOKUP(DATE($K$1,$K$2,JWY$4),Table1[],(MATCH(Calendar!$A18,DB!$1:$1,0)),FALSE)&gt;=5,"Good","Bad"),VLOOKUP(DATE($K$1,$K$2,JWY$4),Table1[],(MATCH(Calendar!$A18,DB!$1:$1,0)),FALSE)),"")</f>
        <v/>
      </c>
      <c r="JWZ18" s="28" t="str">
        <f>IFERROR(IF(JXI3="No",IF(VLOOKUP(DATE($K$1,$K$2,JWZ$4),Table1[],(MATCH(Calendar!$A18,DB!$1:$1,0)),FALSE)&gt;=5,"Good","Bad"),VLOOKUP(DATE($K$1,$K$2,JWZ$4),Table1[],(MATCH(Calendar!$A18,DB!$1:$1,0)),FALSE)),"")</f>
        <v/>
      </c>
      <c r="JXA18" s="28" t="str">
        <f>IFERROR(IF(JXJ3="No",IF(VLOOKUP(DATE($K$1,$K$2,JXA$4),Table1[],(MATCH(Calendar!$A18,DB!$1:$1,0)),FALSE)&gt;=5,"Good","Bad"),VLOOKUP(DATE($K$1,$K$2,JXA$4),Table1[],(MATCH(Calendar!$A18,DB!$1:$1,0)),FALSE)),"")</f>
        <v/>
      </c>
      <c r="JXB18" s="28" t="str">
        <f>IFERROR(IF(JXK3="No",IF(VLOOKUP(DATE($K$1,$K$2,JXB$4),Table1[],(MATCH(Calendar!$A18,DB!$1:$1,0)),FALSE)&gt;=5,"Good","Bad"),VLOOKUP(DATE($K$1,$K$2,JXB$4),Table1[],(MATCH(Calendar!$A18,DB!$1:$1,0)),FALSE)),"")</f>
        <v/>
      </c>
      <c r="JXC18" s="28" t="str">
        <f>IFERROR(IF(JXL3="No",IF(VLOOKUP(DATE($K$1,$K$2,JXC$4),Table1[],(MATCH(Calendar!$A18,DB!$1:$1,0)),FALSE)&gt;=5,"Good","Bad"),VLOOKUP(DATE($K$1,$K$2,JXC$4),Table1[],(MATCH(Calendar!$A18,DB!$1:$1,0)),FALSE)),"")</f>
        <v/>
      </c>
      <c r="JXD18" s="28" t="str">
        <f>IFERROR(IF(JXM3="No",IF(VLOOKUP(DATE($K$1,$K$2,JXD$4),Table1[],(MATCH(Calendar!$A18,DB!$1:$1,0)),FALSE)&gt;=5,"Good","Bad"),VLOOKUP(DATE($K$1,$K$2,JXD$4),Table1[],(MATCH(Calendar!$A18,DB!$1:$1,0)),FALSE)),"")</f>
        <v/>
      </c>
      <c r="JXE18" s="28" t="str">
        <f>IFERROR(IF(JXN3="No",IF(VLOOKUP(DATE($K$1,$K$2,JXE$4),Table1[],(MATCH(Calendar!$A18,DB!$1:$1,0)),FALSE)&gt;=5,"Good","Bad"),VLOOKUP(DATE($K$1,$K$2,JXE$4),Table1[],(MATCH(Calendar!$A18,DB!$1:$1,0)),FALSE)),"")</f>
        <v/>
      </c>
      <c r="JXF18" s="28" t="str">
        <f>IFERROR(IF(JXO3="No",IF(VLOOKUP(DATE($K$1,$K$2,JXF$4),Table1[],(MATCH(Calendar!$A18,DB!$1:$1,0)),FALSE)&gt;=5,"Good","Bad"),VLOOKUP(DATE($K$1,$K$2,JXF$4),Table1[],(MATCH(Calendar!$A18,DB!$1:$1,0)),FALSE)),"")</f>
        <v/>
      </c>
      <c r="JXG18" s="28" t="str">
        <f>IFERROR(IF(JXP3="No",IF(VLOOKUP(DATE($K$1,$K$2,JXG$4),Table1[],(MATCH(Calendar!$A18,DB!$1:$1,0)),FALSE)&gt;=5,"Good","Bad"),VLOOKUP(DATE($K$1,$K$2,JXG$4),Table1[],(MATCH(Calendar!$A18,DB!$1:$1,0)),FALSE)),"")</f>
        <v/>
      </c>
      <c r="JXH18" s="28" t="str">
        <f>IFERROR(IF(JXQ3="No",IF(VLOOKUP(DATE($K$1,$K$2,JXH$4),Table1[],(MATCH(Calendar!$A18,DB!$1:$1,0)),FALSE)&gt;=5,"Good","Bad"),VLOOKUP(DATE($K$1,$K$2,JXH$4),Table1[],(MATCH(Calendar!$A18,DB!$1:$1,0)),FALSE)),"")</f>
        <v/>
      </c>
      <c r="JXI18" s="28" t="str">
        <f>IFERROR(IF(JXR3="No",IF(VLOOKUP(DATE($K$1,$K$2,JXI$4),Table1[],(MATCH(Calendar!$A18,DB!$1:$1,0)),FALSE)&gt;=5,"Good","Bad"),VLOOKUP(DATE($K$1,$K$2,JXI$4),Table1[],(MATCH(Calendar!$A18,DB!$1:$1,0)),FALSE)),"")</f>
        <v/>
      </c>
      <c r="JXJ18" s="28" t="str">
        <f>IFERROR(IF(JXS3="No",IF(VLOOKUP(DATE($K$1,$K$2,JXJ$4),Table1[],(MATCH(Calendar!$A18,DB!$1:$1,0)),FALSE)&gt;=5,"Good","Bad"),VLOOKUP(DATE($K$1,$K$2,JXJ$4),Table1[],(MATCH(Calendar!$A18,DB!$1:$1,0)),FALSE)),"")</f>
        <v/>
      </c>
      <c r="JXK18" s="28" t="str">
        <f>IFERROR(IF(JXT3="No",IF(VLOOKUP(DATE($K$1,$K$2,JXK$4),Table1[],(MATCH(Calendar!$A18,DB!$1:$1,0)),FALSE)&gt;=5,"Good","Bad"),VLOOKUP(DATE($K$1,$K$2,JXK$4),Table1[],(MATCH(Calendar!$A18,DB!$1:$1,0)),FALSE)),"")</f>
        <v/>
      </c>
      <c r="JXL18" s="28" t="str">
        <f>IFERROR(IF(JXU3="No",IF(VLOOKUP(DATE($K$1,$K$2,JXL$4),Table1[],(MATCH(Calendar!$A18,DB!$1:$1,0)),FALSE)&gt;=5,"Good","Bad"),VLOOKUP(DATE($K$1,$K$2,JXL$4),Table1[],(MATCH(Calendar!$A18,DB!$1:$1,0)),FALSE)),"")</f>
        <v/>
      </c>
      <c r="JXM18" s="28" t="str">
        <f>IFERROR(IF(JXV3="No",IF(VLOOKUP(DATE($K$1,$K$2,JXM$4),Table1[],(MATCH(Calendar!$A18,DB!$1:$1,0)),FALSE)&gt;=5,"Good","Bad"),VLOOKUP(DATE($K$1,$K$2,JXM$4),Table1[],(MATCH(Calendar!$A18,DB!$1:$1,0)),FALSE)),"")</f>
        <v/>
      </c>
      <c r="JXN18" s="28" t="str">
        <f>IFERROR(IF(JXW3="No",IF(VLOOKUP(DATE($K$1,$K$2,JXN$4),Table1[],(MATCH(Calendar!$A18,DB!$1:$1,0)),FALSE)&gt;=5,"Good","Bad"),VLOOKUP(DATE($K$1,$K$2,JXN$4),Table1[],(MATCH(Calendar!$A18,DB!$1:$1,0)),FALSE)),"")</f>
        <v/>
      </c>
      <c r="JXO18" s="28" t="str">
        <f>IFERROR(IF(JXX3="No",IF(VLOOKUP(DATE($K$1,$K$2,JXO$4),Table1[],(MATCH(Calendar!$A18,DB!$1:$1,0)),FALSE)&gt;=5,"Good","Bad"),VLOOKUP(DATE($K$1,$K$2,JXO$4),Table1[],(MATCH(Calendar!$A18,DB!$1:$1,0)),FALSE)),"")</f>
        <v/>
      </c>
      <c r="JXP18" s="28" t="str">
        <f>IFERROR(IF(JXY3="No",IF(VLOOKUP(DATE($K$1,$K$2,JXP$4),Table1[],(MATCH(Calendar!$A18,DB!$1:$1,0)),FALSE)&gt;=5,"Good","Bad"),VLOOKUP(DATE($K$1,$K$2,JXP$4),Table1[],(MATCH(Calendar!$A18,DB!$1:$1,0)),FALSE)),"")</f>
        <v/>
      </c>
      <c r="JXQ18" s="28" t="str">
        <f>IFERROR(IF(JXZ3="No",IF(VLOOKUP(DATE($K$1,$K$2,JXQ$4),Table1[],(MATCH(Calendar!$A18,DB!$1:$1,0)),FALSE)&gt;=5,"Good","Bad"),VLOOKUP(DATE($K$1,$K$2,JXQ$4),Table1[],(MATCH(Calendar!$A18,DB!$1:$1,0)),FALSE)),"")</f>
        <v/>
      </c>
      <c r="JXR18" s="28" t="str">
        <f>IFERROR(IF(JYA3="No",IF(VLOOKUP(DATE($K$1,$K$2,JXR$4),Table1[],(MATCH(Calendar!$A18,DB!$1:$1,0)),FALSE)&gt;=5,"Good","Bad"),VLOOKUP(DATE($K$1,$K$2,JXR$4),Table1[],(MATCH(Calendar!$A18,DB!$1:$1,0)),FALSE)),"")</f>
        <v/>
      </c>
      <c r="JXS18" s="28" t="str">
        <f>IFERROR(IF(JYB3="No",IF(VLOOKUP(DATE($K$1,$K$2,JXS$4),Table1[],(MATCH(Calendar!$A18,DB!$1:$1,0)),FALSE)&gt;=5,"Good","Bad"),VLOOKUP(DATE($K$1,$K$2,JXS$4),Table1[],(MATCH(Calendar!$A18,DB!$1:$1,0)),FALSE)),"")</f>
        <v/>
      </c>
      <c r="JXT18" s="28" t="str">
        <f>IFERROR(IF(JYC3="No",IF(VLOOKUP(DATE($K$1,$K$2,JXT$4),Table1[],(MATCH(Calendar!$A18,DB!$1:$1,0)),FALSE)&gt;=5,"Good","Bad"),VLOOKUP(DATE($K$1,$K$2,JXT$4),Table1[],(MATCH(Calendar!$A18,DB!$1:$1,0)),FALSE)),"")</f>
        <v/>
      </c>
      <c r="JXU18" s="28" t="str">
        <f>IFERROR(IF(JYD3="No",IF(VLOOKUP(DATE($K$1,$K$2,JXU$4),Table1[],(MATCH(Calendar!$A18,DB!$1:$1,0)),FALSE)&gt;=5,"Good","Bad"),VLOOKUP(DATE($K$1,$K$2,JXU$4),Table1[],(MATCH(Calendar!$A18,DB!$1:$1,0)),FALSE)),"")</f>
        <v/>
      </c>
      <c r="JXV18" s="28" t="str">
        <f>IFERROR(IF(JYE3="No",IF(VLOOKUP(DATE($K$1,$K$2,JXV$4),Table1[],(MATCH(Calendar!$A18,DB!$1:$1,0)),FALSE)&gt;=5,"Good","Bad"),VLOOKUP(DATE($K$1,$K$2,JXV$4),Table1[],(MATCH(Calendar!$A18,DB!$1:$1,0)),FALSE)),"")</f>
        <v/>
      </c>
      <c r="JXW18" s="28" t="str">
        <f>IFERROR(IF(JYF3="No",IF(VLOOKUP(DATE($K$1,$K$2,JXW$4),Table1[],(MATCH(Calendar!$A18,DB!$1:$1,0)),FALSE)&gt;=5,"Good","Bad"),VLOOKUP(DATE($K$1,$K$2,JXW$4),Table1[],(MATCH(Calendar!$A18,DB!$1:$1,0)),FALSE)),"")</f>
        <v/>
      </c>
      <c r="JXX18" s="28" t="str">
        <f>IFERROR(IF(JYG3="No",IF(VLOOKUP(DATE($K$1,$K$2,JXX$4),Table1[],(MATCH(Calendar!$A18,DB!$1:$1,0)),FALSE)&gt;=5,"Good","Bad"),VLOOKUP(DATE($K$1,$K$2,JXX$4),Table1[],(MATCH(Calendar!$A18,DB!$1:$1,0)),FALSE)),"")</f>
        <v/>
      </c>
      <c r="JXY18" s="28" t="str">
        <f>IFERROR(IF(JYH3="No",IF(VLOOKUP(DATE($K$1,$K$2,JXY$4),Table1[],(MATCH(Calendar!$A18,DB!$1:$1,0)),FALSE)&gt;=5,"Good","Bad"),VLOOKUP(DATE($K$1,$K$2,JXY$4),Table1[],(MATCH(Calendar!$A18,DB!$1:$1,0)),FALSE)),"")</f>
        <v/>
      </c>
      <c r="JXZ18" s="28" t="str">
        <f>IFERROR(IF(JYI3="No",IF(VLOOKUP(DATE($K$1,$K$2,JXZ$4),Table1[],(MATCH(Calendar!$A18,DB!$1:$1,0)),FALSE)&gt;=5,"Good","Bad"),VLOOKUP(DATE($K$1,$K$2,JXZ$4),Table1[],(MATCH(Calendar!$A18,DB!$1:$1,0)),FALSE)),"")</f>
        <v/>
      </c>
      <c r="JYA18" s="28" t="str">
        <f>IFERROR(IF(JYJ3="No",IF(VLOOKUP(DATE($K$1,$K$2,JYA$4),Table1[],(MATCH(Calendar!$A18,DB!$1:$1,0)),FALSE)&gt;=5,"Good","Bad"),VLOOKUP(DATE($K$1,$K$2,JYA$4),Table1[],(MATCH(Calendar!$A18,DB!$1:$1,0)),FALSE)),"")</f>
        <v/>
      </c>
      <c r="JYB18" s="28" t="str">
        <f>IFERROR(IF(JYK3="No",IF(VLOOKUP(DATE($K$1,$K$2,JYB$4),Table1[],(MATCH(Calendar!$A18,DB!$1:$1,0)),FALSE)&gt;=5,"Good","Bad"),VLOOKUP(DATE($K$1,$K$2,JYB$4),Table1[],(MATCH(Calendar!$A18,DB!$1:$1,0)),FALSE)),"")</f>
        <v/>
      </c>
      <c r="JYC18" s="28" t="str">
        <f>IFERROR(IF(JYL3="No",IF(VLOOKUP(DATE($K$1,$K$2,JYC$4),Table1[],(MATCH(Calendar!$A18,DB!$1:$1,0)),FALSE)&gt;=5,"Good","Bad"),VLOOKUP(DATE($K$1,$K$2,JYC$4),Table1[],(MATCH(Calendar!$A18,DB!$1:$1,0)),FALSE)),"")</f>
        <v/>
      </c>
      <c r="JYD18" s="28" t="str">
        <f>IFERROR(IF(JYM3="No",IF(VLOOKUP(DATE($K$1,$K$2,JYD$4),Table1[],(MATCH(Calendar!$A18,DB!$1:$1,0)),FALSE)&gt;=5,"Good","Bad"),VLOOKUP(DATE($K$1,$K$2,JYD$4),Table1[],(MATCH(Calendar!$A18,DB!$1:$1,0)),FALSE)),"")</f>
        <v/>
      </c>
      <c r="JYE18" s="28" t="str">
        <f>IFERROR(IF(JYN3="No",IF(VLOOKUP(DATE($K$1,$K$2,JYE$4),Table1[],(MATCH(Calendar!$A18,DB!$1:$1,0)),FALSE)&gt;=5,"Good","Bad"),VLOOKUP(DATE($K$1,$K$2,JYE$4),Table1[],(MATCH(Calendar!$A18,DB!$1:$1,0)),FALSE)),"")</f>
        <v/>
      </c>
      <c r="JYF18" s="28" t="str">
        <f>IFERROR(IF(JYO3="No",IF(VLOOKUP(DATE($K$1,$K$2,JYF$4),Table1[],(MATCH(Calendar!$A18,DB!$1:$1,0)),FALSE)&gt;=5,"Good","Bad"),VLOOKUP(DATE($K$1,$K$2,JYF$4),Table1[],(MATCH(Calendar!$A18,DB!$1:$1,0)),FALSE)),"")</f>
        <v/>
      </c>
      <c r="JYG18" s="28" t="str">
        <f>IFERROR(IF(JYP3="No",IF(VLOOKUP(DATE($K$1,$K$2,JYG$4),Table1[],(MATCH(Calendar!$A18,DB!$1:$1,0)),FALSE)&gt;=5,"Good","Bad"),VLOOKUP(DATE($K$1,$K$2,JYG$4),Table1[],(MATCH(Calendar!$A18,DB!$1:$1,0)),FALSE)),"")</f>
        <v/>
      </c>
      <c r="JYH18" s="28" t="str">
        <f>IFERROR(IF(JYQ3="No",IF(VLOOKUP(DATE($K$1,$K$2,JYH$4),Table1[],(MATCH(Calendar!$A18,DB!$1:$1,0)),FALSE)&gt;=5,"Good","Bad"),VLOOKUP(DATE($K$1,$K$2,JYH$4),Table1[],(MATCH(Calendar!$A18,DB!$1:$1,0)),FALSE)),"")</f>
        <v/>
      </c>
      <c r="JYI18" s="28" t="str">
        <f>IFERROR(IF(JYR3="No",IF(VLOOKUP(DATE($K$1,$K$2,JYI$4),Table1[],(MATCH(Calendar!$A18,DB!$1:$1,0)),FALSE)&gt;=5,"Good","Bad"),VLOOKUP(DATE($K$1,$K$2,JYI$4),Table1[],(MATCH(Calendar!$A18,DB!$1:$1,0)),FALSE)),"")</f>
        <v/>
      </c>
      <c r="JYJ18" s="28" t="str">
        <f>IFERROR(IF(JYS3="No",IF(VLOOKUP(DATE($K$1,$K$2,JYJ$4),Table1[],(MATCH(Calendar!$A18,DB!$1:$1,0)),FALSE)&gt;=5,"Good","Bad"),VLOOKUP(DATE($K$1,$K$2,JYJ$4),Table1[],(MATCH(Calendar!$A18,DB!$1:$1,0)),FALSE)),"")</f>
        <v/>
      </c>
      <c r="JYK18" s="28" t="str">
        <f>IFERROR(IF(JYT3="No",IF(VLOOKUP(DATE($K$1,$K$2,JYK$4),Table1[],(MATCH(Calendar!$A18,DB!$1:$1,0)),FALSE)&gt;=5,"Good","Bad"),VLOOKUP(DATE($K$1,$K$2,JYK$4),Table1[],(MATCH(Calendar!$A18,DB!$1:$1,0)),FALSE)),"")</f>
        <v/>
      </c>
      <c r="JYL18" s="28" t="str">
        <f>IFERROR(IF(JYU3="No",IF(VLOOKUP(DATE($K$1,$K$2,JYL$4),Table1[],(MATCH(Calendar!$A18,DB!$1:$1,0)),FALSE)&gt;=5,"Good","Bad"),VLOOKUP(DATE($K$1,$K$2,JYL$4),Table1[],(MATCH(Calendar!$A18,DB!$1:$1,0)),FALSE)),"")</f>
        <v/>
      </c>
      <c r="JYM18" s="28" t="str">
        <f>IFERROR(IF(JYV3="No",IF(VLOOKUP(DATE($K$1,$K$2,JYM$4),Table1[],(MATCH(Calendar!$A18,DB!$1:$1,0)),FALSE)&gt;=5,"Good","Bad"),VLOOKUP(DATE($K$1,$K$2,JYM$4),Table1[],(MATCH(Calendar!$A18,DB!$1:$1,0)),FALSE)),"")</f>
        <v/>
      </c>
      <c r="JYN18" s="28" t="str">
        <f>IFERROR(IF(JYW3="No",IF(VLOOKUP(DATE($K$1,$K$2,JYN$4),Table1[],(MATCH(Calendar!$A18,DB!$1:$1,0)),FALSE)&gt;=5,"Good","Bad"),VLOOKUP(DATE($K$1,$K$2,JYN$4),Table1[],(MATCH(Calendar!$A18,DB!$1:$1,0)),FALSE)),"")</f>
        <v/>
      </c>
      <c r="JYO18" s="28" t="str">
        <f>IFERROR(IF(JYX3="No",IF(VLOOKUP(DATE($K$1,$K$2,JYO$4),Table1[],(MATCH(Calendar!$A18,DB!$1:$1,0)),FALSE)&gt;=5,"Good","Bad"),VLOOKUP(DATE($K$1,$K$2,JYO$4),Table1[],(MATCH(Calendar!$A18,DB!$1:$1,0)),FALSE)),"")</f>
        <v/>
      </c>
      <c r="JYP18" s="28" t="str">
        <f>IFERROR(IF(JYY3="No",IF(VLOOKUP(DATE($K$1,$K$2,JYP$4),Table1[],(MATCH(Calendar!$A18,DB!$1:$1,0)),FALSE)&gt;=5,"Good","Bad"),VLOOKUP(DATE($K$1,$K$2,JYP$4),Table1[],(MATCH(Calendar!$A18,DB!$1:$1,0)),FALSE)),"")</f>
        <v/>
      </c>
      <c r="JYQ18" s="28" t="str">
        <f>IFERROR(IF(JYZ3="No",IF(VLOOKUP(DATE($K$1,$K$2,JYQ$4),Table1[],(MATCH(Calendar!$A18,DB!$1:$1,0)),FALSE)&gt;=5,"Good","Bad"),VLOOKUP(DATE($K$1,$K$2,JYQ$4),Table1[],(MATCH(Calendar!$A18,DB!$1:$1,0)),FALSE)),"")</f>
        <v/>
      </c>
      <c r="JYR18" s="28" t="str">
        <f>IFERROR(IF(JZA3="No",IF(VLOOKUP(DATE($K$1,$K$2,JYR$4),Table1[],(MATCH(Calendar!$A18,DB!$1:$1,0)),FALSE)&gt;=5,"Good","Bad"),VLOOKUP(DATE($K$1,$K$2,JYR$4),Table1[],(MATCH(Calendar!$A18,DB!$1:$1,0)),FALSE)),"")</f>
        <v/>
      </c>
      <c r="JYS18" s="28" t="str">
        <f>IFERROR(IF(JZB3="No",IF(VLOOKUP(DATE($K$1,$K$2,JYS$4),Table1[],(MATCH(Calendar!$A18,DB!$1:$1,0)),FALSE)&gt;=5,"Good","Bad"),VLOOKUP(DATE($K$1,$K$2,JYS$4),Table1[],(MATCH(Calendar!$A18,DB!$1:$1,0)),FALSE)),"")</f>
        <v/>
      </c>
      <c r="JYT18" s="28" t="str">
        <f>IFERROR(IF(JZC3="No",IF(VLOOKUP(DATE($K$1,$K$2,JYT$4),Table1[],(MATCH(Calendar!$A18,DB!$1:$1,0)),FALSE)&gt;=5,"Good","Bad"),VLOOKUP(DATE($K$1,$K$2,JYT$4),Table1[],(MATCH(Calendar!$A18,DB!$1:$1,0)),FALSE)),"")</f>
        <v/>
      </c>
      <c r="JYU18" s="28" t="str">
        <f>IFERROR(IF(JZD3="No",IF(VLOOKUP(DATE($K$1,$K$2,JYU$4),Table1[],(MATCH(Calendar!$A18,DB!$1:$1,0)),FALSE)&gt;=5,"Good","Bad"),VLOOKUP(DATE($K$1,$K$2,JYU$4),Table1[],(MATCH(Calendar!$A18,DB!$1:$1,0)),FALSE)),"")</f>
        <v/>
      </c>
      <c r="JYV18" s="28" t="str">
        <f>IFERROR(IF(JZE3="No",IF(VLOOKUP(DATE($K$1,$K$2,JYV$4),Table1[],(MATCH(Calendar!$A18,DB!$1:$1,0)),FALSE)&gt;=5,"Good","Bad"),VLOOKUP(DATE($K$1,$K$2,JYV$4),Table1[],(MATCH(Calendar!$A18,DB!$1:$1,0)),FALSE)),"")</f>
        <v/>
      </c>
      <c r="JYW18" s="28" t="str">
        <f>IFERROR(IF(JZF3="No",IF(VLOOKUP(DATE($K$1,$K$2,JYW$4),Table1[],(MATCH(Calendar!$A18,DB!$1:$1,0)),FALSE)&gt;=5,"Good","Bad"),VLOOKUP(DATE($K$1,$K$2,JYW$4),Table1[],(MATCH(Calendar!$A18,DB!$1:$1,0)),FALSE)),"")</f>
        <v/>
      </c>
      <c r="JYX18" s="28" t="str">
        <f>IFERROR(IF(JZG3="No",IF(VLOOKUP(DATE($K$1,$K$2,JYX$4),Table1[],(MATCH(Calendar!$A18,DB!$1:$1,0)),FALSE)&gt;=5,"Good","Bad"),VLOOKUP(DATE($K$1,$K$2,JYX$4),Table1[],(MATCH(Calendar!$A18,DB!$1:$1,0)),FALSE)),"")</f>
        <v/>
      </c>
      <c r="JYY18" s="28" t="str">
        <f>IFERROR(IF(JZH3="No",IF(VLOOKUP(DATE($K$1,$K$2,JYY$4),Table1[],(MATCH(Calendar!$A18,DB!$1:$1,0)),FALSE)&gt;=5,"Good","Bad"),VLOOKUP(DATE($K$1,$K$2,JYY$4),Table1[],(MATCH(Calendar!$A18,DB!$1:$1,0)),FALSE)),"")</f>
        <v/>
      </c>
      <c r="JYZ18" s="28" t="str">
        <f>IFERROR(IF(JZI3="No",IF(VLOOKUP(DATE($K$1,$K$2,JYZ$4),Table1[],(MATCH(Calendar!$A18,DB!$1:$1,0)),FALSE)&gt;=5,"Good","Bad"),VLOOKUP(DATE($K$1,$K$2,JYZ$4),Table1[],(MATCH(Calendar!$A18,DB!$1:$1,0)),FALSE)),"")</f>
        <v/>
      </c>
      <c r="JZA18" s="28" t="str">
        <f>IFERROR(IF(JZJ3="No",IF(VLOOKUP(DATE($K$1,$K$2,JZA$4),Table1[],(MATCH(Calendar!$A18,DB!$1:$1,0)),FALSE)&gt;=5,"Good","Bad"),VLOOKUP(DATE($K$1,$K$2,JZA$4),Table1[],(MATCH(Calendar!$A18,DB!$1:$1,0)),FALSE)),"")</f>
        <v/>
      </c>
      <c r="JZB18" s="28" t="str">
        <f>IFERROR(IF(JZK3="No",IF(VLOOKUP(DATE($K$1,$K$2,JZB$4),Table1[],(MATCH(Calendar!$A18,DB!$1:$1,0)),FALSE)&gt;=5,"Good","Bad"),VLOOKUP(DATE($K$1,$K$2,JZB$4),Table1[],(MATCH(Calendar!$A18,DB!$1:$1,0)),FALSE)),"")</f>
        <v/>
      </c>
      <c r="JZC18" s="28" t="str">
        <f>IFERROR(IF(JZL3="No",IF(VLOOKUP(DATE($K$1,$K$2,JZC$4),Table1[],(MATCH(Calendar!$A18,DB!$1:$1,0)),FALSE)&gt;=5,"Good","Bad"),VLOOKUP(DATE($K$1,$K$2,JZC$4),Table1[],(MATCH(Calendar!$A18,DB!$1:$1,0)),FALSE)),"")</f>
        <v/>
      </c>
      <c r="JZD18" s="28" t="str">
        <f>IFERROR(IF(JZM3="No",IF(VLOOKUP(DATE($K$1,$K$2,JZD$4),Table1[],(MATCH(Calendar!$A18,DB!$1:$1,0)),FALSE)&gt;=5,"Good","Bad"),VLOOKUP(DATE($K$1,$K$2,JZD$4),Table1[],(MATCH(Calendar!$A18,DB!$1:$1,0)),FALSE)),"")</f>
        <v/>
      </c>
      <c r="JZE18" s="28" t="str">
        <f>IFERROR(IF(JZN3="No",IF(VLOOKUP(DATE($K$1,$K$2,JZE$4),Table1[],(MATCH(Calendar!$A18,DB!$1:$1,0)),FALSE)&gt;=5,"Good","Bad"),VLOOKUP(DATE($K$1,$K$2,JZE$4),Table1[],(MATCH(Calendar!$A18,DB!$1:$1,0)),FALSE)),"")</f>
        <v/>
      </c>
      <c r="JZF18" s="28" t="str">
        <f>IFERROR(IF(JZO3="No",IF(VLOOKUP(DATE($K$1,$K$2,JZF$4),Table1[],(MATCH(Calendar!$A18,DB!$1:$1,0)),FALSE)&gt;=5,"Good","Bad"),VLOOKUP(DATE($K$1,$K$2,JZF$4),Table1[],(MATCH(Calendar!$A18,DB!$1:$1,0)),FALSE)),"")</f>
        <v/>
      </c>
      <c r="JZG18" s="28" t="str">
        <f>IFERROR(IF(JZP3="No",IF(VLOOKUP(DATE($K$1,$K$2,JZG$4),Table1[],(MATCH(Calendar!$A18,DB!$1:$1,0)),FALSE)&gt;=5,"Good","Bad"),VLOOKUP(DATE($K$1,$K$2,JZG$4),Table1[],(MATCH(Calendar!$A18,DB!$1:$1,0)),FALSE)),"")</f>
        <v/>
      </c>
      <c r="JZH18" s="28" t="str">
        <f>IFERROR(IF(JZQ3="No",IF(VLOOKUP(DATE($K$1,$K$2,JZH$4),Table1[],(MATCH(Calendar!$A18,DB!$1:$1,0)),FALSE)&gt;=5,"Good","Bad"),VLOOKUP(DATE($K$1,$K$2,JZH$4),Table1[],(MATCH(Calendar!$A18,DB!$1:$1,0)),FALSE)),"")</f>
        <v/>
      </c>
      <c r="JZI18" s="28" t="str">
        <f>IFERROR(IF(JZR3="No",IF(VLOOKUP(DATE($K$1,$K$2,JZI$4),Table1[],(MATCH(Calendar!$A18,DB!$1:$1,0)),FALSE)&gt;=5,"Good","Bad"),VLOOKUP(DATE($K$1,$K$2,JZI$4),Table1[],(MATCH(Calendar!$A18,DB!$1:$1,0)),FALSE)),"")</f>
        <v/>
      </c>
      <c r="JZJ18" s="28" t="str">
        <f>IFERROR(IF(JZS3="No",IF(VLOOKUP(DATE($K$1,$K$2,JZJ$4),Table1[],(MATCH(Calendar!$A18,DB!$1:$1,0)),FALSE)&gt;=5,"Good","Bad"),VLOOKUP(DATE($K$1,$K$2,JZJ$4),Table1[],(MATCH(Calendar!$A18,DB!$1:$1,0)),FALSE)),"")</f>
        <v/>
      </c>
      <c r="JZK18" s="28" t="str">
        <f>IFERROR(IF(JZT3="No",IF(VLOOKUP(DATE($K$1,$K$2,JZK$4),Table1[],(MATCH(Calendar!$A18,DB!$1:$1,0)),FALSE)&gt;=5,"Good","Bad"),VLOOKUP(DATE($K$1,$K$2,JZK$4),Table1[],(MATCH(Calendar!$A18,DB!$1:$1,0)),FALSE)),"")</f>
        <v/>
      </c>
      <c r="JZL18" s="28" t="str">
        <f>IFERROR(IF(JZU3="No",IF(VLOOKUP(DATE($K$1,$K$2,JZL$4),Table1[],(MATCH(Calendar!$A18,DB!$1:$1,0)),FALSE)&gt;=5,"Good","Bad"),VLOOKUP(DATE($K$1,$K$2,JZL$4),Table1[],(MATCH(Calendar!$A18,DB!$1:$1,0)),FALSE)),"")</f>
        <v/>
      </c>
      <c r="JZM18" s="28" t="str">
        <f>IFERROR(IF(JZV3="No",IF(VLOOKUP(DATE($K$1,$K$2,JZM$4),Table1[],(MATCH(Calendar!$A18,DB!$1:$1,0)),FALSE)&gt;=5,"Good","Bad"),VLOOKUP(DATE($K$1,$K$2,JZM$4),Table1[],(MATCH(Calendar!$A18,DB!$1:$1,0)),FALSE)),"")</f>
        <v/>
      </c>
      <c r="JZN18" s="28" t="str">
        <f>IFERROR(IF(JZW3="No",IF(VLOOKUP(DATE($K$1,$K$2,JZN$4),Table1[],(MATCH(Calendar!$A18,DB!$1:$1,0)),FALSE)&gt;=5,"Good","Bad"),VLOOKUP(DATE($K$1,$K$2,JZN$4),Table1[],(MATCH(Calendar!$A18,DB!$1:$1,0)),FALSE)),"")</f>
        <v/>
      </c>
      <c r="JZO18" s="28" t="str">
        <f>IFERROR(IF(JZX3="No",IF(VLOOKUP(DATE($K$1,$K$2,JZO$4),Table1[],(MATCH(Calendar!$A18,DB!$1:$1,0)),FALSE)&gt;=5,"Good","Bad"),VLOOKUP(DATE($K$1,$K$2,JZO$4),Table1[],(MATCH(Calendar!$A18,DB!$1:$1,0)),FALSE)),"")</f>
        <v/>
      </c>
      <c r="JZP18" s="28" t="str">
        <f>IFERROR(IF(JZY3="No",IF(VLOOKUP(DATE($K$1,$K$2,JZP$4),Table1[],(MATCH(Calendar!$A18,DB!$1:$1,0)),FALSE)&gt;=5,"Good","Bad"),VLOOKUP(DATE($K$1,$K$2,JZP$4),Table1[],(MATCH(Calendar!$A18,DB!$1:$1,0)),FALSE)),"")</f>
        <v/>
      </c>
      <c r="JZQ18" s="28" t="str">
        <f>IFERROR(IF(JZZ3="No",IF(VLOOKUP(DATE($K$1,$K$2,JZQ$4),Table1[],(MATCH(Calendar!$A18,DB!$1:$1,0)),FALSE)&gt;=5,"Good","Bad"),VLOOKUP(DATE($K$1,$K$2,JZQ$4),Table1[],(MATCH(Calendar!$A18,DB!$1:$1,0)),FALSE)),"")</f>
        <v/>
      </c>
      <c r="JZR18" s="28" t="str">
        <f>IFERROR(IF(KAA3="No",IF(VLOOKUP(DATE($K$1,$K$2,JZR$4),Table1[],(MATCH(Calendar!$A18,DB!$1:$1,0)),FALSE)&gt;=5,"Good","Bad"),VLOOKUP(DATE($K$1,$K$2,JZR$4),Table1[],(MATCH(Calendar!$A18,DB!$1:$1,0)),FALSE)),"")</f>
        <v/>
      </c>
      <c r="JZS18" s="28" t="str">
        <f>IFERROR(IF(KAB3="No",IF(VLOOKUP(DATE($K$1,$K$2,JZS$4),Table1[],(MATCH(Calendar!$A18,DB!$1:$1,0)),FALSE)&gt;=5,"Good","Bad"),VLOOKUP(DATE($K$1,$K$2,JZS$4),Table1[],(MATCH(Calendar!$A18,DB!$1:$1,0)),FALSE)),"")</f>
        <v/>
      </c>
      <c r="JZT18" s="28" t="str">
        <f>IFERROR(IF(KAC3="No",IF(VLOOKUP(DATE($K$1,$K$2,JZT$4),Table1[],(MATCH(Calendar!$A18,DB!$1:$1,0)),FALSE)&gt;=5,"Good","Bad"),VLOOKUP(DATE($K$1,$K$2,JZT$4),Table1[],(MATCH(Calendar!$A18,DB!$1:$1,0)),FALSE)),"")</f>
        <v/>
      </c>
      <c r="JZU18" s="28" t="str">
        <f>IFERROR(IF(KAD3="No",IF(VLOOKUP(DATE($K$1,$K$2,JZU$4),Table1[],(MATCH(Calendar!$A18,DB!$1:$1,0)),FALSE)&gt;=5,"Good","Bad"),VLOOKUP(DATE($K$1,$K$2,JZU$4),Table1[],(MATCH(Calendar!$A18,DB!$1:$1,0)),FALSE)),"")</f>
        <v/>
      </c>
      <c r="JZV18" s="28" t="str">
        <f>IFERROR(IF(KAE3="No",IF(VLOOKUP(DATE($K$1,$K$2,JZV$4),Table1[],(MATCH(Calendar!$A18,DB!$1:$1,0)),FALSE)&gt;=5,"Good","Bad"),VLOOKUP(DATE($K$1,$K$2,JZV$4),Table1[],(MATCH(Calendar!$A18,DB!$1:$1,0)),FALSE)),"")</f>
        <v/>
      </c>
      <c r="JZW18" s="28" t="str">
        <f>IFERROR(IF(KAF3="No",IF(VLOOKUP(DATE($K$1,$K$2,JZW$4),Table1[],(MATCH(Calendar!$A18,DB!$1:$1,0)),FALSE)&gt;=5,"Good","Bad"),VLOOKUP(DATE($K$1,$K$2,JZW$4),Table1[],(MATCH(Calendar!$A18,DB!$1:$1,0)),FALSE)),"")</f>
        <v/>
      </c>
      <c r="JZX18" s="28" t="str">
        <f>IFERROR(IF(KAG3="No",IF(VLOOKUP(DATE($K$1,$K$2,JZX$4),Table1[],(MATCH(Calendar!$A18,DB!$1:$1,0)),FALSE)&gt;=5,"Good","Bad"),VLOOKUP(DATE($K$1,$K$2,JZX$4),Table1[],(MATCH(Calendar!$A18,DB!$1:$1,0)),FALSE)),"")</f>
        <v/>
      </c>
      <c r="JZY18" s="28" t="str">
        <f>IFERROR(IF(KAH3="No",IF(VLOOKUP(DATE($K$1,$K$2,JZY$4),Table1[],(MATCH(Calendar!$A18,DB!$1:$1,0)),FALSE)&gt;=5,"Good","Bad"),VLOOKUP(DATE($K$1,$K$2,JZY$4),Table1[],(MATCH(Calendar!$A18,DB!$1:$1,0)),FALSE)),"")</f>
        <v/>
      </c>
      <c r="JZZ18" s="28" t="str">
        <f>IFERROR(IF(KAI3="No",IF(VLOOKUP(DATE($K$1,$K$2,JZZ$4),Table1[],(MATCH(Calendar!$A18,DB!$1:$1,0)),FALSE)&gt;=5,"Good","Bad"),VLOOKUP(DATE($K$1,$K$2,JZZ$4),Table1[],(MATCH(Calendar!$A18,DB!$1:$1,0)),FALSE)),"")</f>
        <v/>
      </c>
      <c r="KAA18" s="28" t="str">
        <f>IFERROR(IF(KAJ3="No",IF(VLOOKUP(DATE($K$1,$K$2,KAA$4),Table1[],(MATCH(Calendar!$A18,DB!$1:$1,0)),FALSE)&gt;=5,"Good","Bad"),VLOOKUP(DATE($K$1,$K$2,KAA$4),Table1[],(MATCH(Calendar!$A18,DB!$1:$1,0)),FALSE)),"")</f>
        <v/>
      </c>
      <c r="KAB18" s="28" t="str">
        <f>IFERROR(IF(KAK3="No",IF(VLOOKUP(DATE($K$1,$K$2,KAB$4),Table1[],(MATCH(Calendar!$A18,DB!$1:$1,0)),FALSE)&gt;=5,"Good","Bad"),VLOOKUP(DATE($K$1,$K$2,KAB$4),Table1[],(MATCH(Calendar!$A18,DB!$1:$1,0)),FALSE)),"")</f>
        <v/>
      </c>
      <c r="KAC18" s="28" t="str">
        <f>IFERROR(IF(KAL3="No",IF(VLOOKUP(DATE($K$1,$K$2,KAC$4),Table1[],(MATCH(Calendar!$A18,DB!$1:$1,0)),FALSE)&gt;=5,"Good","Bad"),VLOOKUP(DATE($K$1,$K$2,KAC$4),Table1[],(MATCH(Calendar!$A18,DB!$1:$1,0)),FALSE)),"")</f>
        <v/>
      </c>
      <c r="KAD18" s="28" t="str">
        <f>IFERROR(IF(KAM3="No",IF(VLOOKUP(DATE($K$1,$K$2,KAD$4),Table1[],(MATCH(Calendar!$A18,DB!$1:$1,0)),FALSE)&gt;=5,"Good","Bad"),VLOOKUP(DATE($K$1,$K$2,KAD$4),Table1[],(MATCH(Calendar!$A18,DB!$1:$1,0)),FALSE)),"")</f>
        <v/>
      </c>
      <c r="KAE18" s="28" t="str">
        <f>IFERROR(IF(KAN3="No",IF(VLOOKUP(DATE($K$1,$K$2,KAE$4),Table1[],(MATCH(Calendar!$A18,DB!$1:$1,0)),FALSE)&gt;=5,"Good","Bad"),VLOOKUP(DATE($K$1,$K$2,KAE$4),Table1[],(MATCH(Calendar!$A18,DB!$1:$1,0)),FALSE)),"")</f>
        <v/>
      </c>
      <c r="KAF18" s="28" t="str">
        <f>IFERROR(IF(KAO3="No",IF(VLOOKUP(DATE($K$1,$K$2,KAF$4),Table1[],(MATCH(Calendar!$A18,DB!$1:$1,0)),FALSE)&gt;=5,"Good","Bad"),VLOOKUP(DATE($K$1,$K$2,KAF$4),Table1[],(MATCH(Calendar!$A18,DB!$1:$1,0)),FALSE)),"")</f>
        <v/>
      </c>
      <c r="KAG18" s="28" t="str">
        <f>IFERROR(IF(KAP3="No",IF(VLOOKUP(DATE($K$1,$K$2,KAG$4),Table1[],(MATCH(Calendar!$A18,DB!$1:$1,0)),FALSE)&gt;=5,"Good","Bad"),VLOOKUP(DATE($K$1,$K$2,KAG$4),Table1[],(MATCH(Calendar!$A18,DB!$1:$1,0)),FALSE)),"")</f>
        <v/>
      </c>
      <c r="KAH18" s="28" t="str">
        <f>IFERROR(IF(KAQ3="No",IF(VLOOKUP(DATE($K$1,$K$2,KAH$4),Table1[],(MATCH(Calendar!$A18,DB!$1:$1,0)),FALSE)&gt;=5,"Good","Bad"),VLOOKUP(DATE($K$1,$K$2,KAH$4),Table1[],(MATCH(Calendar!$A18,DB!$1:$1,0)),FALSE)),"")</f>
        <v/>
      </c>
      <c r="KAI18" s="28" t="str">
        <f>IFERROR(IF(KAR3="No",IF(VLOOKUP(DATE($K$1,$K$2,KAI$4),Table1[],(MATCH(Calendar!$A18,DB!$1:$1,0)),FALSE)&gt;=5,"Good","Bad"),VLOOKUP(DATE($K$1,$K$2,KAI$4),Table1[],(MATCH(Calendar!$A18,DB!$1:$1,0)),FALSE)),"")</f>
        <v/>
      </c>
      <c r="KAJ18" s="28" t="str">
        <f>IFERROR(IF(KAS3="No",IF(VLOOKUP(DATE($K$1,$K$2,KAJ$4),Table1[],(MATCH(Calendar!$A18,DB!$1:$1,0)),FALSE)&gt;=5,"Good","Bad"),VLOOKUP(DATE($K$1,$K$2,KAJ$4),Table1[],(MATCH(Calendar!$A18,DB!$1:$1,0)),FALSE)),"")</f>
        <v/>
      </c>
      <c r="KAK18" s="28" t="str">
        <f>IFERROR(IF(KAT3="No",IF(VLOOKUP(DATE($K$1,$K$2,KAK$4),Table1[],(MATCH(Calendar!$A18,DB!$1:$1,0)),FALSE)&gt;=5,"Good","Bad"),VLOOKUP(DATE($K$1,$K$2,KAK$4),Table1[],(MATCH(Calendar!$A18,DB!$1:$1,0)),FALSE)),"")</f>
        <v/>
      </c>
      <c r="KAL18" s="28" t="str">
        <f>IFERROR(IF(KAU3="No",IF(VLOOKUP(DATE($K$1,$K$2,KAL$4),Table1[],(MATCH(Calendar!$A18,DB!$1:$1,0)),FALSE)&gt;=5,"Good","Bad"),VLOOKUP(DATE($K$1,$K$2,KAL$4),Table1[],(MATCH(Calendar!$A18,DB!$1:$1,0)),FALSE)),"")</f>
        <v/>
      </c>
      <c r="KAM18" s="28" t="str">
        <f>IFERROR(IF(KAV3="No",IF(VLOOKUP(DATE($K$1,$K$2,KAM$4),Table1[],(MATCH(Calendar!$A18,DB!$1:$1,0)),FALSE)&gt;=5,"Good","Bad"),VLOOKUP(DATE($K$1,$K$2,KAM$4),Table1[],(MATCH(Calendar!$A18,DB!$1:$1,0)),FALSE)),"")</f>
        <v/>
      </c>
      <c r="KAN18" s="28" t="str">
        <f>IFERROR(IF(KAW3="No",IF(VLOOKUP(DATE($K$1,$K$2,KAN$4),Table1[],(MATCH(Calendar!$A18,DB!$1:$1,0)),FALSE)&gt;=5,"Good","Bad"),VLOOKUP(DATE($K$1,$K$2,KAN$4),Table1[],(MATCH(Calendar!$A18,DB!$1:$1,0)),FALSE)),"")</f>
        <v/>
      </c>
      <c r="KAO18" s="28" t="str">
        <f>IFERROR(IF(KAX3="No",IF(VLOOKUP(DATE($K$1,$K$2,KAO$4),Table1[],(MATCH(Calendar!$A18,DB!$1:$1,0)),FALSE)&gt;=5,"Good","Bad"),VLOOKUP(DATE($K$1,$K$2,KAO$4),Table1[],(MATCH(Calendar!$A18,DB!$1:$1,0)),FALSE)),"")</f>
        <v/>
      </c>
      <c r="KAP18" s="28" t="str">
        <f>IFERROR(IF(KAY3="No",IF(VLOOKUP(DATE($K$1,$K$2,KAP$4),Table1[],(MATCH(Calendar!$A18,DB!$1:$1,0)),FALSE)&gt;=5,"Good","Bad"),VLOOKUP(DATE($K$1,$K$2,KAP$4),Table1[],(MATCH(Calendar!$A18,DB!$1:$1,0)),FALSE)),"")</f>
        <v/>
      </c>
      <c r="KAQ18" s="28" t="str">
        <f>IFERROR(IF(KAZ3="No",IF(VLOOKUP(DATE($K$1,$K$2,KAQ$4),Table1[],(MATCH(Calendar!$A18,DB!$1:$1,0)),FALSE)&gt;=5,"Good","Bad"),VLOOKUP(DATE($K$1,$K$2,KAQ$4),Table1[],(MATCH(Calendar!$A18,DB!$1:$1,0)),FALSE)),"")</f>
        <v/>
      </c>
      <c r="KAR18" s="28" t="str">
        <f>IFERROR(IF(KBA3="No",IF(VLOOKUP(DATE($K$1,$K$2,KAR$4),Table1[],(MATCH(Calendar!$A18,DB!$1:$1,0)),FALSE)&gt;=5,"Good","Bad"),VLOOKUP(DATE($K$1,$K$2,KAR$4),Table1[],(MATCH(Calendar!$A18,DB!$1:$1,0)),FALSE)),"")</f>
        <v/>
      </c>
      <c r="KAS18" s="28" t="str">
        <f>IFERROR(IF(KBB3="No",IF(VLOOKUP(DATE($K$1,$K$2,KAS$4),Table1[],(MATCH(Calendar!$A18,DB!$1:$1,0)),FALSE)&gt;=5,"Good","Bad"),VLOOKUP(DATE($K$1,$K$2,KAS$4),Table1[],(MATCH(Calendar!$A18,DB!$1:$1,0)),FALSE)),"")</f>
        <v/>
      </c>
      <c r="KAT18" s="28" t="str">
        <f>IFERROR(IF(KBC3="No",IF(VLOOKUP(DATE($K$1,$K$2,KAT$4),Table1[],(MATCH(Calendar!$A18,DB!$1:$1,0)),FALSE)&gt;=5,"Good","Bad"),VLOOKUP(DATE($K$1,$K$2,KAT$4),Table1[],(MATCH(Calendar!$A18,DB!$1:$1,0)),FALSE)),"")</f>
        <v/>
      </c>
      <c r="KAU18" s="28" t="str">
        <f>IFERROR(IF(KBD3="No",IF(VLOOKUP(DATE($K$1,$K$2,KAU$4),Table1[],(MATCH(Calendar!$A18,DB!$1:$1,0)),FALSE)&gt;=5,"Good","Bad"),VLOOKUP(DATE($K$1,$K$2,KAU$4),Table1[],(MATCH(Calendar!$A18,DB!$1:$1,0)),FALSE)),"")</f>
        <v/>
      </c>
      <c r="KAV18" s="28" t="str">
        <f>IFERROR(IF(KBE3="No",IF(VLOOKUP(DATE($K$1,$K$2,KAV$4),Table1[],(MATCH(Calendar!$A18,DB!$1:$1,0)),FALSE)&gt;=5,"Good","Bad"),VLOOKUP(DATE($K$1,$K$2,KAV$4),Table1[],(MATCH(Calendar!$A18,DB!$1:$1,0)),FALSE)),"")</f>
        <v/>
      </c>
      <c r="KAW18" s="28" t="str">
        <f>IFERROR(IF(KBF3="No",IF(VLOOKUP(DATE($K$1,$K$2,KAW$4),Table1[],(MATCH(Calendar!$A18,DB!$1:$1,0)),FALSE)&gt;=5,"Good","Bad"),VLOOKUP(DATE($K$1,$K$2,KAW$4),Table1[],(MATCH(Calendar!$A18,DB!$1:$1,0)),FALSE)),"")</f>
        <v/>
      </c>
      <c r="KAX18" s="28" t="str">
        <f>IFERROR(IF(KBG3="No",IF(VLOOKUP(DATE($K$1,$K$2,KAX$4),Table1[],(MATCH(Calendar!$A18,DB!$1:$1,0)),FALSE)&gt;=5,"Good","Bad"),VLOOKUP(DATE($K$1,$K$2,KAX$4),Table1[],(MATCH(Calendar!$A18,DB!$1:$1,0)),FALSE)),"")</f>
        <v/>
      </c>
      <c r="KAY18" s="28" t="str">
        <f>IFERROR(IF(KBH3="No",IF(VLOOKUP(DATE($K$1,$K$2,KAY$4),Table1[],(MATCH(Calendar!$A18,DB!$1:$1,0)),FALSE)&gt;=5,"Good","Bad"),VLOOKUP(DATE($K$1,$K$2,KAY$4),Table1[],(MATCH(Calendar!$A18,DB!$1:$1,0)),FALSE)),"")</f>
        <v/>
      </c>
      <c r="KAZ18" s="28" t="str">
        <f>IFERROR(IF(KBI3="No",IF(VLOOKUP(DATE($K$1,$K$2,KAZ$4),Table1[],(MATCH(Calendar!$A18,DB!$1:$1,0)),FALSE)&gt;=5,"Good","Bad"),VLOOKUP(DATE($K$1,$K$2,KAZ$4),Table1[],(MATCH(Calendar!$A18,DB!$1:$1,0)),FALSE)),"")</f>
        <v/>
      </c>
      <c r="KBA18" s="28" t="str">
        <f>IFERROR(IF(KBJ3="No",IF(VLOOKUP(DATE($K$1,$K$2,KBA$4),Table1[],(MATCH(Calendar!$A18,DB!$1:$1,0)),FALSE)&gt;=5,"Good","Bad"),VLOOKUP(DATE($K$1,$K$2,KBA$4),Table1[],(MATCH(Calendar!$A18,DB!$1:$1,0)),FALSE)),"")</f>
        <v/>
      </c>
      <c r="KBB18" s="28" t="str">
        <f>IFERROR(IF(KBK3="No",IF(VLOOKUP(DATE($K$1,$K$2,KBB$4),Table1[],(MATCH(Calendar!$A18,DB!$1:$1,0)),FALSE)&gt;=5,"Good","Bad"),VLOOKUP(DATE($K$1,$K$2,KBB$4),Table1[],(MATCH(Calendar!$A18,DB!$1:$1,0)),FALSE)),"")</f>
        <v/>
      </c>
      <c r="KBC18" s="28" t="str">
        <f>IFERROR(IF(KBL3="No",IF(VLOOKUP(DATE($K$1,$K$2,KBC$4),Table1[],(MATCH(Calendar!$A18,DB!$1:$1,0)),FALSE)&gt;=5,"Good","Bad"),VLOOKUP(DATE($K$1,$K$2,KBC$4),Table1[],(MATCH(Calendar!$A18,DB!$1:$1,0)),FALSE)),"")</f>
        <v/>
      </c>
      <c r="KBD18" s="28" t="str">
        <f>IFERROR(IF(KBM3="No",IF(VLOOKUP(DATE($K$1,$K$2,KBD$4),Table1[],(MATCH(Calendar!$A18,DB!$1:$1,0)),FALSE)&gt;=5,"Good","Bad"),VLOOKUP(DATE($K$1,$K$2,KBD$4),Table1[],(MATCH(Calendar!$A18,DB!$1:$1,0)),FALSE)),"")</f>
        <v/>
      </c>
      <c r="KBE18" s="28" t="str">
        <f>IFERROR(IF(KBN3="No",IF(VLOOKUP(DATE($K$1,$K$2,KBE$4),Table1[],(MATCH(Calendar!$A18,DB!$1:$1,0)),FALSE)&gt;=5,"Good","Bad"),VLOOKUP(DATE($K$1,$K$2,KBE$4),Table1[],(MATCH(Calendar!$A18,DB!$1:$1,0)),FALSE)),"")</f>
        <v/>
      </c>
      <c r="KBF18" s="28" t="str">
        <f>IFERROR(IF(KBO3="No",IF(VLOOKUP(DATE($K$1,$K$2,KBF$4),Table1[],(MATCH(Calendar!$A18,DB!$1:$1,0)),FALSE)&gt;=5,"Good","Bad"),VLOOKUP(DATE($K$1,$K$2,KBF$4),Table1[],(MATCH(Calendar!$A18,DB!$1:$1,0)),FALSE)),"")</f>
        <v/>
      </c>
      <c r="KBG18" s="28" t="str">
        <f>IFERROR(IF(KBP3="No",IF(VLOOKUP(DATE($K$1,$K$2,KBG$4),Table1[],(MATCH(Calendar!$A18,DB!$1:$1,0)),FALSE)&gt;=5,"Good","Bad"),VLOOKUP(DATE($K$1,$K$2,KBG$4),Table1[],(MATCH(Calendar!$A18,DB!$1:$1,0)),FALSE)),"")</f>
        <v/>
      </c>
      <c r="KBH18" s="28" t="str">
        <f>IFERROR(IF(KBQ3="No",IF(VLOOKUP(DATE($K$1,$K$2,KBH$4),Table1[],(MATCH(Calendar!$A18,DB!$1:$1,0)),FALSE)&gt;=5,"Good","Bad"),VLOOKUP(DATE($K$1,$K$2,KBH$4),Table1[],(MATCH(Calendar!$A18,DB!$1:$1,0)),FALSE)),"")</f>
        <v/>
      </c>
      <c r="KBI18" s="28" t="str">
        <f>IFERROR(IF(KBR3="No",IF(VLOOKUP(DATE($K$1,$K$2,KBI$4),Table1[],(MATCH(Calendar!$A18,DB!$1:$1,0)),FALSE)&gt;=5,"Good","Bad"),VLOOKUP(DATE($K$1,$K$2,KBI$4),Table1[],(MATCH(Calendar!$A18,DB!$1:$1,0)),FALSE)),"")</f>
        <v/>
      </c>
      <c r="KBJ18" s="28" t="str">
        <f>IFERROR(IF(KBS3="No",IF(VLOOKUP(DATE($K$1,$K$2,KBJ$4),Table1[],(MATCH(Calendar!$A18,DB!$1:$1,0)),FALSE)&gt;=5,"Good","Bad"),VLOOKUP(DATE($K$1,$K$2,KBJ$4),Table1[],(MATCH(Calendar!$A18,DB!$1:$1,0)),FALSE)),"")</f>
        <v/>
      </c>
      <c r="KBK18" s="28" t="str">
        <f>IFERROR(IF(KBT3="No",IF(VLOOKUP(DATE($K$1,$K$2,KBK$4),Table1[],(MATCH(Calendar!$A18,DB!$1:$1,0)),FALSE)&gt;=5,"Good","Bad"),VLOOKUP(DATE($K$1,$K$2,KBK$4),Table1[],(MATCH(Calendar!$A18,DB!$1:$1,0)),FALSE)),"")</f>
        <v/>
      </c>
      <c r="KBL18" s="28" t="str">
        <f>IFERROR(IF(KBU3="No",IF(VLOOKUP(DATE($K$1,$K$2,KBL$4),Table1[],(MATCH(Calendar!$A18,DB!$1:$1,0)),FALSE)&gt;=5,"Good","Bad"),VLOOKUP(DATE($K$1,$K$2,KBL$4),Table1[],(MATCH(Calendar!$A18,DB!$1:$1,0)),FALSE)),"")</f>
        <v/>
      </c>
      <c r="KBM18" s="28" t="str">
        <f>IFERROR(IF(KBV3="No",IF(VLOOKUP(DATE($K$1,$K$2,KBM$4),Table1[],(MATCH(Calendar!$A18,DB!$1:$1,0)),FALSE)&gt;=5,"Good","Bad"),VLOOKUP(DATE($K$1,$K$2,KBM$4),Table1[],(MATCH(Calendar!$A18,DB!$1:$1,0)),FALSE)),"")</f>
        <v/>
      </c>
      <c r="KBN18" s="28" t="str">
        <f>IFERROR(IF(KBW3="No",IF(VLOOKUP(DATE($K$1,$K$2,KBN$4),Table1[],(MATCH(Calendar!$A18,DB!$1:$1,0)),FALSE)&gt;=5,"Good","Bad"),VLOOKUP(DATE($K$1,$K$2,KBN$4),Table1[],(MATCH(Calendar!$A18,DB!$1:$1,0)),FALSE)),"")</f>
        <v/>
      </c>
      <c r="KBO18" s="28" t="str">
        <f>IFERROR(IF(KBX3="No",IF(VLOOKUP(DATE($K$1,$K$2,KBO$4),Table1[],(MATCH(Calendar!$A18,DB!$1:$1,0)),FALSE)&gt;=5,"Good","Bad"),VLOOKUP(DATE($K$1,$K$2,KBO$4),Table1[],(MATCH(Calendar!$A18,DB!$1:$1,0)),FALSE)),"")</f>
        <v/>
      </c>
      <c r="KBP18" s="28" t="str">
        <f>IFERROR(IF(KBY3="No",IF(VLOOKUP(DATE($K$1,$K$2,KBP$4),Table1[],(MATCH(Calendar!$A18,DB!$1:$1,0)),FALSE)&gt;=5,"Good","Bad"),VLOOKUP(DATE($K$1,$K$2,KBP$4),Table1[],(MATCH(Calendar!$A18,DB!$1:$1,0)),FALSE)),"")</f>
        <v/>
      </c>
      <c r="KBQ18" s="28" t="str">
        <f>IFERROR(IF(KBZ3="No",IF(VLOOKUP(DATE($K$1,$K$2,KBQ$4),Table1[],(MATCH(Calendar!$A18,DB!$1:$1,0)),FALSE)&gt;=5,"Good","Bad"),VLOOKUP(DATE($K$1,$K$2,KBQ$4),Table1[],(MATCH(Calendar!$A18,DB!$1:$1,0)),FALSE)),"")</f>
        <v/>
      </c>
      <c r="KBR18" s="28" t="str">
        <f>IFERROR(IF(KCA3="No",IF(VLOOKUP(DATE($K$1,$K$2,KBR$4),Table1[],(MATCH(Calendar!$A18,DB!$1:$1,0)),FALSE)&gt;=5,"Good","Bad"),VLOOKUP(DATE($K$1,$K$2,KBR$4),Table1[],(MATCH(Calendar!$A18,DB!$1:$1,0)),FALSE)),"")</f>
        <v/>
      </c>
      <c r="KBS18" s="28" t="str">
        <f>IFERROR(IF(KCB3="No",IF(VLOOKUP(DATE($K$1,$K$2,KBS$4),Table1[],(MATCH(Calendar!$A18,DB!$1:$1,0)),FALSE)&gt;=5,"Good","Bad"),VLOOKUP(DATE($K$1,$K$2,KBS$4),Table1[],(MATCH(Calendar!$A18,DB!$1:$1,0)),FALSE)),"")</f>
        <v/>
      </c>
      <c r="KBT18" s="28" t="str">
        <f>IFERROR(IF(KCC3="No",IF(VLOOKUP(DATE($K$1,$K$2,KBT$4),Table1[],(MATCH(Calendar!$A18,DB!$1:$1,0)),FALSE)&gt;=5,"Good","Bad"),VLOOKUP(DATE($K$1,$K$2,KBT$4),Table1[],(MATCH(Calendar!$A18,DB!$1:$1,0)),FALSE)),"")</f>
        <v/>
      </c>
      <c r="KBU18" s="28" t="str">
        <f>IFERROR(IF(KCD3="No",IF(VLOOKUP(DATE($K$1,$K$2,KBU$4),Table1[],(MATCH(Calendar!$A18,DB!$1:$1,0)),FALSE)&gt;=5,"Good","Bad"),VLOOKUP(DATE($K$1,$K$2,KBU$4),Table1[],(MATCH(Calendar!$A18,DB!$1:$1,0)),FALSE)),"")</f>
        <v/>
      </c>
      <c r="KBV18" s="28" t="str">
        <f>IFERROR(IF(KCE3="No",IF(VLOOKUP(DATE($K$1,$K$2,KBV$4),Table1[],(MATCH(Calendar!$A18,DB!$1:$1,0)),FALSE)&gt;=5,"Good","Bad"),VLOOKUP(DATE($K$1,$K$2,KBV$4),Table1[],(MATCH(Calendar!$A18,DB!$1:$1,0)),FALSE)),"")</f>
        <v/>
      </c>
      <c r="KBW18" s="28" t="str">
        <f>IFERROR(IF(KCF3="No",IF(VLOOKUP(DATE($K$1,$K$2,KBW$4),Table1[],(MATCH(Calendar!$A18,DB!$1:$1,0)),FALSE)&gt;=5,"Good","Bad"),VLOOKUP(DATE($K$1,$K$2,KBW$4),Table1[],(MATCH(Calendar!$A18,DB!$1:$1,0)),FALSE)),"")</f>
        <v/>
      </c>
      <c r="KBX18" s="28" t="str">
        <f>IFERROR(IF(KCG3="No",IF(VLOOKUP(DATE($K$1,$K$2,KBX$4),Table1[],(MATCH(Calendar!$A18,DB!$1:$1,0)),FALSE)&gt;=5,"Good","Bad"),VLOOKUP(DATE($K$1,$K$2,KBX$4),Table1[],(MATCH(Calendar!$A18,DB!$1:$1,0)),FALSE)),"")</f>
        <v/>
      </c>
      <c r="KBY18" s="28" t="str">
        <f>IFERROR(IF(KCH3="No",IF(VLOOKUP(DATE($K$1,$K$2,KBY$4),Table1[],(MATCH(Calendar!$A18,DB!$1:$1,0)),FALSE)&gt;=5,"Good","Bad"),VLOOKUP(DATE($K$1,$K$2,KBY$4),Table1[],(MATCH(Calendar!$A18,DB!$1:$1,0)),FALSE)),"")</f>
        <v/>
      </c>
      <c r="KBZ18" s="28" t="str">
        <f>IFERROR(IF(KCI3="No",IF(VLOOKUP(DATE($K$1,$K$2,KBZ$4),Table1[],(MATCH(Calendar!$A18,DB!$1:$1,0)),FALSE)&gt;=5,"Good","Bad"),VLOOKUP(DATE($K$1,$K$2,KBZ$4),Table1[],(MATCH(Calendar!$A18,DB!$1:$1,0)),FALSE)),"")</f>
        <v/>
      </c>
      <c r="KCA18" s="28" t="str">
        <f>IFERROR(IF(KCJ3="No",IF(VLOOKUP(DATE($K$1,$K$2,KCA$4),Table1[],(MATCH(Calendar!$A18,DB!$1:$1,0)),FALSE)&gt;=5,"Good","Bad"),VLOOKUP(DATE($K$1,$K$2,KCA$4),Table1[],(MATCH(Calendar!$A18,DB!$1:$1,0)),FALSE)),"")</f>
        <v/>
      </c>
      <c r="KCB18" s="28" t="str">
        <f>IFERROR(IF(KCK3="No",IF(VLOOKUP(DATE($K$1,$K$2,KCB$4),Table1[],(MATCH(Calendar!$A18,DB!$1:$1,0)),FALSE)&gt;=5,"Good","Bad"),VLOOKUP(DATE($K$1,$K$2,KCB$4),Table1[],(MATCH(Calendar!$A18,DB!$1:$1,0)),FALSE)),"")</f>
        <v/>
      </c>
      <c r="KCC18" s="28" t="str">
        <f>IFERROR(IF(KCL3="No",IF(VLOOKUP(DATE($K$1,$K$2,KCC$4),Table1[],(MATCH(Calendar!$A18,DB!$1:$1,0)),FALSE)&gt;=5,"Good","Bad"),VLOOKUP(DATE($K$1,$K$2,KCC$4),Table1[],(MATCH(Calendar!$A18,DB!$1:$1,0)),FALSE)),"")</f>
        <v/>
      </c>
      <c r="KCD18" s="28" t="str">
        <f>IFERROR(IF(KCM3="No",IF(VLOOKUP(DATE($K$1,$K$2,KCD$4),Table1[],(MATCH(Calendar!$A18,DB!$1:$1,0)),FALSE)&gt;=5,"Good","Bad"),VLOOKUP(DATE($K$1,$K$2,KCD$4),Table1[],(MATCH(Calendar!$A18,DB!$1:$1,0)),FALSE)),"")</f>
        <v/>
      </c>
      <c r="KCE18" s="28" t="str">
        <f>IFERROR(IF(KCN3="No",IF(VLOOKUP(DATE($K$1,$K$2,KCE$4),Table1[],(MATCH(Calendar!$A18,DB!$1:$1,0)),FALSE)&gt;=5,"Good","Bad"),VLOOKUP(DATE($K$1,$K$2,KCE$4),Table1[],(MATCH(Calendar!$A18,DB!$1:$1,0)),FALSE)),"")</f>
        <v/>
      </c>
      <c r="KCF18" s="28" t="str">
        <f>IFERROR(IF(KCO3="No",IF(VLOOKUP(DATE($K$1,$K$2,KCF$4),Table1[],(MATCH(Calendar!$A18,DB!$1:$1,0)),FALSE)&gt;=5,"Good","Bad"),VLOOKUP(DATE($K$1,$K$2,KCF$4),Table1[],(MATCH(Calendar!$A18,DB!$1:$1,0)),FALSE)),"")</f>
        <v/>
      </c>
      <c r="KCG18" s="28" t="str">
        <f>IFERROR(IF(KCP3="No",IF(VLOOKUP(DATE($K$1,$K$2,KCG$4),Table1[],(MATCH(Calendar!$A18,DB!$1:$1,0)),FALSE)&gt;=5,"Good","Bad"),VLOOKUP(DATE($K$1,$K$2,KCG$4),Table1[],(MATCH(Calendar!$A18,DB!$1:$1,0)),FALSE)),"")</f>
        <v/>
      </c>
      <c r="KCH18" s="28" t="str">
        <f>IFERROR(IF(KCQ3="No",IF(VLOOKUP(DATE($K$1,$K$2,KCH$4),Table1[],(MATCH(Calendar!$A18,DB!$1:$1,0)),FALSE)&gt;=5,"Good","Bad"),VLOOKUP(DATE($K$1,$K$2,KCH$4),Table1[],(MATCH(Calendar!$A18,DB!$1:$1,0)),FALSE)),"")</f>
        <v/>
      </c>
      <c r="KCI18" s="28" t="str">
        <f>IFERROR(IF(KCR3="No",IF(VLOOKUP(DATE($K$1,$K$2,KCI$4),Table1[],(MATCH(Calendar!$A18,DB!$1:$1,0)),FALSE)&gt;=5,"Good","Bad"),VLOOKUP(DATE($K$1,$K$2,KCI$4),Table1[],(MATCH(Calendar!$A18,DB!$1:$1,0)),FALSE)),"")</f>
        <v/>
      </c>
      <c r="KCJ18" s="28" t="str">
        <f>IFERROR(IF(KCS3="No",IF(VLOOKUP(DATE($K$1,$K$2,KCJ$4),Table1[],(MATCH(Calendar!$A18,DB!$1:$1,0)),FALSE)&gt;=5,"Good","Bad"),VLOOKUP(DATE($K$1,$K$2,KCJ$4),Table1[],(MATCH(Calendar!$A18,DB!$1:$1,0)),FALSE)),"")</f>
        <v/>
      </c>
      <c r="KCK18" s="28" t="str">
        <f>IFERROR(IF(KCT3="No",IF(VLOOKUP(DATE($K$1,$K$2,KCK$4),Table1[],(MATCH(Calendar!$A18,DB!$1:$1,0)),FALSE)&gt;=5,"Good","Bad"),VLOOKUP(DATE($K$1,$K$2,KCK$4),Table1[],(MATCH(Calendar!$A18,DB!$1:$1,0)),FALSE)),"")</f>
        <v/>
      </c>
      <c r="KCL18" s="28" t="str">
        <f>IFERROR(IF(KCU3="No",IF(VLOOKUP(DATE($K$1,$K$2,KCL$4),Table1[],(MATCH(Calendar!$A18,DB!$1:$1,0)),FALSE)&gt;=5,"Good","Bad"),VLOOKUP(DATE($K$1,$K$2,KCL$4),Table1[],(MATCH(Calendar!$A18,DB!$1:$1,0)),FALSE)),"")</f>
        <v/>
      </c>
      <c r="KCM18" s="28" t="str">
        <f>IFERROR(IF(KCV3="No",IF(VLOOKUP(DATE($K$1,$K$2,KCM$4),Table1[],(MATCH(Calendar!$A18,DB!$1:$1,0)),FALSE)&gt;=5,"Good","Bad"),VLOOKUP(DATE($K$1,$K$2,KCM$4),Table1[],(MATCH(Calendar!$A18,DB!$1:$1,0)),FALSE)),"")</f>
        <v/>
      </c>
      <c r="KCN18" s="28" t="str">
        <f>IFERROR(IF(KCW3="No",IF(VLOOKUP(DATE($K$1,$K$2,KCN$4),Table1[],(MATCH(Calendar!$A18,DB!$1:$1,0)),FALSE)&gt;=5,"Good","Bad"),VLOOKUP(DATE($K$1,$K$2,KCN$4),Table1[],(MATCH(Calendar!$A18,DB!$1:$1,0)),FALSE)),"")</f>
        <v/>
      </c>
      <c r="KCO18" s="28" t="str">
        <f>IFERROR(IF(KCX3="No",IF(VLOOKUP(DATE($K$1,$K$2,KCO$4),Table1[],(MATCH(Calendar!$A18,DB!$1:$1,0)),FALSE)&gt;=5,"Good","Bad"),VLOOKUP(DATE($K$1,$K$2,KCO$4),Table1[],(MATCH(Calendar!$A18,DB!$1:$1,0)),FALSE)),"")</f>
        <v/>
      </c>
      <c r="KCP18" s="28" t="str">
        <f>IFERROR(IF(KCY3="No",IF(VLOOKUP(DATE($K$1,$K$2,KCP$4),Table1[],(MATCH(Calendar!$A18,DB!$1:$1,0)),FALSE)&gt;=5,"Good","Bad"),VLOOKUP(DATE($K$1,$K$2,KCP$4),Table1[],(MATCH(Calendar!$A18,DB!$1:$1,0)),FALSE)),"")</f>
        <v/>
      </c>
      <c r="KCQ18" s="28" t="str">
        <f>IFERROR(IF(KCZ3="No",IF(VLOOKUP(DATE($K$1,$K$2,KCQ$4),Table1[],(MATCH(Calendar!$A18,DB!$1:$1,0)),FALSE)&gt;=5,"Good","Bad"),VLOOKUP(DATE($K$1,$K$2,KCQ$4),Table1[],(MATCH(Calendar!$A18,DB!$1:$1,0)),FALSE)),"")</f>
        <v/>
      </c>
      <c r="KCR18" s="28" t="str">
        <f>IFERROR(IF(KDA3="No",IF(VLOOKUP(DATE($K$1,$K$2,KCR$4),Table1[],(MATCH(Calendar!$A18,DB!$1:$1,0)),FALSE)&gt;=5,"Good","Bad"),VLOOKUP(DATE($K$1,$K$2,KCR$4),Table1[],(MATCH(Calendar!$A18,DB!$1:$1,0)),FALSE)),"")</f>
        <v/>
      </c>
      <c r="KCS18" s="28" t="str">
        <f>IFERROR(IF(KDB3="No",IF(VLOOKUP(DATE($K$1,$K$2,KCS$4),Table1[],(MATCH(Calendar!$A18,DB!$1:$1,0)),FALSE)&gt;=5,"Good","Bad"),VLOOKUP(DATE($K$1,$K$2,KCS$4),Table1[],(MATCH(Calendar!$A18,DB!$1:$1,0)),FALSE)),"")</f>
        <v/>
      </c>
      <c r="KCT18" s="28" t="str">
        <f>IFERROR(IF(KDC3="No",IF(VLOOKUP(DATE($K$1,$K$2,KCT$4),Table1[],(MATCH(Calendar!$A18,DB!$1:$1,0)),FALSE)&gt;=5,"Good","Bad"),VLOOKUP(DATE($K$1,$K$2,KCT$4),Table1[],(MATCH(Calendar!$A18,DB!$1:$1,0)),FALSE)),"")</f>
        <v/>
      </c>
      <c r="KCU18" s="28" t="str">
        <f>IFERROR(IF(KDD3="No",IF(VLOOKUP(DATE($K$1,$K$2,KCU$4),Table1[],(MATCH(Calendar!$A18,DB!$1:$1,0)),FALSE)&gt;=5,"Good","Bad"),VLOOKUP(DATE($K$1,$K$2,KCU$4),Table1[],(MATCH(Calendar!$A18,DB!$1:$1,0)),FALSE)),"")</f>
        <v/>
      </c>
      <c r="KCV18" s="28" t="str">
        <f>IFERROR(IF(KDE3="No",IF(VLOOKUP(DATE($K$1,$K$2,KCV$4),Table1[],(MATCH(Calendar!$A18,DB!$1:$1,0)),FALSE)&gt;=5,"Good","Bad"),VLOOKUP(DATE($K$1,$K$2,KCV$4),Table1[],(MATCH(Calendar!$A18,DB!$1:$1,0)),FALSE)),"")</f>
        <v/>
      </c>
      <c r="KCW18" s="28" t="str">
        <f>IFERROR(IF(KDF3="No",IF(VLOOKUP(DATE($K$1,$K$2,KCW$4),Table1[],(MATCH(Calendar!$A18,DB!$1:$1,0)),FALSE)&gt;=5,"Good","Bad"),VLOOKUP(DATE($K$1,$K$2,KCW$4),Table1[],(MATCH(Calendar!$A18,DB!$1:$1,0)),FALSE)),"")</f>
        <v/>
      </c>
      <c r="KCX18" s="28" t="str">
        <f>IFERROR(IF(KDG3="No",IF(VLOOKUP(DATE($K$1,$K$2,KCX$4),Table1[],(MATCH(Calendar!$A18,DB!$1:$1,0)),FALSE)&gt;=5,"Good","Bad"),VLOOKUP(DATE($K$1,$K$2,KCX$4),Table1[],(MATCH(Calendar!$A18,DB!$1:$1,0)),FALSE)),"")</f>
        <v/>
      </c>
      <c r="KCY18" s="28" t="str">
        <f>IFERROR(IF(KDH3="No",IF(VLOOKUP(DATE($K$1,$K$2,KCY$4),Table1[],(MATCH(Calendar!$A18,DB!$1:$1,0)),FALSE)&gt;=5,"Good","Bad"),VLOOKUP(DATE($K$1,$K$2,KCY$4),Table1[],(MATCH(Calendar!$A18,DB!$1:$1,0)),FALSE)),"")</f>
        <v/>
      </c>
      <c r="KCZ18" s="28" t="str">
        <f>IFERROR(IF(KDI3="No",IF(VLOOKUP(DATE($K$1,$K$2,KCZ$4),Table1[],(MATCH(Calendar!$A18,DB!$1:$1,0)),FALSE)&gt;=5,"Good","Bad"),VLOOKUP(DATE($K$1,$K$2,KCZ$4),Table1[],(MATCH(Calendar!$A18,DB!$1:$1,0)),FALSE)),"")</f>
        <v/>
      </c>
      <c r="KDA18" s="28" t="str">
        <f>IFERROR(IF(KDJ3="No",IF(VLOOKUP(DATE($K$1,$K$2,KDA$4),Table1[],(MATCH(Calendar!$A18,DB!$1:$1,0)),FALSE)&gt;=5,"Good","Bad"),VLOOKUP(DATE($K$1,$K$2,KDA$4),Table1[],(MATCH(Calendar!$A18,DB!$1:$1,0)),FALSE)),"")</f>
        <v/>
      </c>
      <c r="KDB18" s="28" t="str">
        <f>IFERROR(IF(KDK3="No",IF(VLOOKUP(DATE($K$1,$K$2,KDB$4),Table1[],(MATCH(Calendar!$A18,DB!$1:$1,0)),FALSE)&gt;=5,"Good","Bad"),VLOOKUP(DATE($K$1,$K$2,KDB$4),Table1[],(MATCH(Calendar!$A18,DB!$1:$1,0)),FALSE)),"")</f>
        <v/>
      </c>
      <c r="KDC18" s="28" t="str">
        <f>IFERROR(IF(KDL3="No",IF(VLOOKUP(DATE($K$1,$K$2,KDC$4),Table1[],(MATCH(Calendar!$A18,DB!$1:$1,0)),FALSE)&gt;=5,"Good","Bad"),VLOOKUP(DATE($K$1,$K$2,KDC$4),Table1[],(MATCH(Calendar!$A18,DB!$1:$1,0)),FALSE)),"")</f>
        <v/>
      </c>
      <c r="KDD18" s="28" t="str">
        <f>IFERROR(IF(KDM3="No",IF(VLOOKUP(DATE($K$1,$K$2,KDD$4),Table1[],(MATCH(Calendar!$A18,DB!$1:$1,0)),FALSE)&gt;=5,"Good","Bad"),VLOOKUP(DATE($K$1,$K$2,KDD$4),Table1[],(MATCH(Calendar!$A18,DB!$1:$1,0)),FALSE)),"")</f>
        <v/>
      </c>
      <c r="KDE18" s="28" t="str">
        <f>IFERROR(IF(KDN3="No",IF(VLOOKUP(DATE($K$1,$K$2,KDE$4),Table1[],(MATCH(Calendar!$A18,DB!$1:$1,0)),FALSE)&gt;=5,"Good","Bad"),VLOOKUP(DATE($K$1,$K$2,KDE$4),Table1[],(MATCH(Calendar!$A18,DB!$1:$1,0)),FALSE)),"")</f>
        <v/>
      </c>
      <c r="KDF18" s="28" t="str">
        <f>IFERROR(IF(KDO3="No",IF(VLOOKUP(DATE($K$1,$K$2,KDF$4),Table1[],(MATCH(Calendar!$A18,DB!$1:$1,0)),FALSE)&gt;=5,"Good","Bad"),VLOOKUP(DATE($K$1,$K$2,KDF$4),Table1[],(MATCH(Calendar!$A18,DB!$1:$1,0)),FALSE)),"")</f>
        <v/>
      </c>
      <c r="KDG18" s="28" t="str">
        <f>IFERROR(IF(KDP3="No",IF(VLOOKUP(DATE($K$1,$K$2,KDG$4),Table1[],(MATCH(Calendar!$A18,DB!$1:$1,0)),FALSE)&gt;=5,"Good","Bad"),VLOOKUP(DATE($K$1,$K$2,KDG$4),Table1[],(MATCH(Calendar!$A18,DB!$1:$1,0)),FALSE)),"")</f>
        <v/>
      </c>
      <c r="KDH18" s="28" t="str">
        <f>IFERROR(IF(KDQ3="No",IF(VLOOKUP(DATE($K$1,$K$2,KDH$4),Table1[],(MATCH(Calendar!$A18,DB!$1:$1,0)),FALSE)&gt;=5,"Good","Bad"),VLOOKUP(DATE($K$1,$K$2,KDH$4),Table1[],(MATCH(Calendar!$A18,DB!$1:$1,0)),FALSE)),"")</f>
        <v/>
      </c>
      <c r="KDI18" s="28" t="str">
        <f>IFERROR(IF(KDR3="No",IF(VLOOKUP(DATE($K$1,$K$2,KDI$4),Table1[],(MATCH(Calendar!$A18,DB!$1:$1,0)),FALSE)&gt;=5,"Good","Bad"),VLOOKUP(DATE($K$1,$K$2,KDI$4),Table1[],(MATCH(Calendar!$A18,DB!$1:$1,0)),FALSE)),"")</f>
        <v/>
      </c>
      <c r="KDJ18" s="28" t="str">
        <f>IFERROR(IF(KDS3="No",IF(VLOOKUP(DATE($K$1,$K$2,KDJ$4),Table1[],(MATCH(Calendar!$A18,DB!$1:$1,0)),FALSE)&gt;=5,"Good","Bad"),VLOOKUP(DATE($K$1,$K$2,KDJ$4),Table1[],(MATCH(Calendar!$A18,DB!$1:$1,0)),FALSE)),"")</f>
        <v/>
      </c>
      <c r="KDK18" s="28" t="str">
        <f>IFERROR(IF(KDT3="No",IF(VLOOKUP(DATE($K$1,$K$2,KDK$4),Table1[],(MATCH(Calendar!$A18,DB!$1:$1,0)),FALSE)&gt;=5,"Good","Bad"),VLOOKUP(DATE($K$1,$K$2,KDK$4),Table1[],(MATCH(Calendar!$A18,DB!$1:$1,0)),FALSE)),"")</f>
        <v/>
      </c>
      <c r="KDL18" s="28" t="str">
        <f>IFERROR(IF(KDU3="No",IF(VLOOKUP(DATE($K$1,$K$2,KDL$4),Table1[],(MATCH(Calendar!$A18,DB!$1:$1,0)),FALSE)&gt;=5,"Good","Bad"),VLOOKUP(DATE($K$1,$K$2,KDL$4),Table1[],(MATCH(Calendar!$A18,DB!$1:$1,0)),FALSE)),"")</f>
        <v/>
      </c>
      <c r="KDM18" s="28" t="str">
        <f>IFERROR(IF(KDV3="No",IF(VLOOKUP(DATE($K$1,$K$2,KDM$4),Table1[],(MATCH(Calendar!$A18,DB!$1:$1,0)),FALSE)&gt;=5,"Good","Bad"),VLOOKUP(DATE($K$1,$K$2,KDM$4),Table1[],(MATCH(Calendar!$A18,DB!$1:$1,0)),FALSE)),"")</f>
        <v/>
      </c>
      <c r="KDN18" s="28" t="str">
        <f>IFERROR(IF(KDW3="No",IF(VLOOKUP(DATE($K$1,$K$2,KDN$4),Table1[],(MATCH(Calendar!$A18,DB!$1:$1,0)),FALSE)&gt;=5,"Good","Bad"),VLOOKUP(DATE($K$1,$K$2,KDN$4),Table1[],(MATCH(Calendar!$A18,DB!$1:$1,0)),FALSE)),"")</f>
        <v/>
      </c>
      <c r="KDO18" s="28" t="str">
        <f>IFERROR(IF(KDX3="No",IF(VLOOKUP(DATE($K$1,$K$2,KDO$4),Table1[],(MATCH(Calendar!$A18,DB!$1:$1,0)),FALSE)&gt;=5,"Good","Bad"),VLOOKUP(DATE($K$1,$K$2,KDO$4),Table1[],(MATCH(Calendar!$A18,DB!$1:$1,0)),FALSE)),"")</f>
        <v/>
      </c>
      <c r="KDP18" s="28" t="str">
        <f>IFERROR(IF(KDY3="No",IF(VLOOKUP(DATE($K$1,$K$2,KDP$4),Table1[],(MATCH(Calendar!$A18,DB!$1:$1,0)),FALSE)&gt;=5,"Good","Bad"),VLOOKUP(DATE($K$1,$K$2,KDP$4),Table1[],(MATCH(Calendar!$A18,DB!$1:$1,0)),FALSE)),"")</f>
        <v/>
      </c>
      <c r="KDQ18" s="28" t="str">
        <f>IFERROR(IF(KDZ3="No",IF(VLOOKUP(DATE($K$1,$K$2,KDQ$4),Table1[],(MATCH(Calendar!$A18,DB!$1:$1,0)),FALSE)&gt;=5,"Good","Bad"),VLOOKUP(DATE($K$1,$K$2,KDQ$4),Table1[],(MATCH(Calendar!$A18,DB!$1:$1,0)),FALSE)),"")</f>
        <v/>
      </c>
      <c r="KDR18" s="28" t="str">
        <f>IFERROR(IF(KEA3="No",IF(VLOOKUP(DATE($K$1,$K$2,KDR$4),Table1[],(MATCH(Calendar!$A18,DB!$1:$1,0)),FALSE)&gt;=5,"Good","Bad"),VLOOKUP(DATE($K$1,$K$2,KDR$4),Table1[],(MATCH(Calendar!$A18,DB!$1:$1,0)),FALSE)),"")</f>
        <v/>
      </c>
      <c r="KDS18" s="28" t="str">
        <f>IFERROR(IF(KEB3="No",IF(VLOOKUP(DATE($K$1,$K$2,KDS$4),Table1[],(MATCH(Calendar!$A18,DB!$1:$1,0)),FALSE)&gt;=5,"Good","Bad"),VLOOKUP(DATE($K$1,$K$2,KDS$4),Table1[],(MATCH(Calendar!$A18,DB!$1:$1,0)),FALSE)),"")</f>
        <v/>
      </c>
      <c r="KDT18" s="28" t="str">
        <f>IFERROR(IF(KEC3="No",IF(VLOOKUP(DATE($K$1,$K$2,KDT$4),Table1[],(MATCH(Calendar!$A18,DB!$1:$1,0)),FALSE)&gt;=5,"Good","Bad"),VLOOKUP(DATE($K$1,$K$2,KDT$4),Table1[],(MATCH(Calendar!$A18,DB!$1:$1,0)),FALSE)),"")</f>
        <v/>
      </c>
      <c r="KDU18" s="28" t="str">
        <f>IFERROR(IF(KED3="No",IF(VLOOKUP(DATE($K$1,$K$2,KDU$4),Table1[],(MATCH(Calendar!$A18,DB!$1:$1,0)),FALSE)&gt;=5,"Good","Bad"),VLOOKUP(DATE($K$1,$K$2,KDU$4),Table1[],(MATCH(Calendar!$A18,DB!$1:$1,0)),FALSE)),"")</f>
        <v/>
      </c>
      <c r="KDV18" s="28" t="str">
        <f>IFERROR(IF(KEE3="No",IF(VLOOKUP(DATE($K$1,$K$2,KDV$4),Table1[],(MATCH(Calendar!$A18,DB!$1:$1,0)),FALSE)&gt;=5,"Good","Bad"),VLOOKUP(DATE($K$1,$K$2,KDV$4),Table1[],(MATCH(Calendar!$A18,DB!$1:$1,0)),FALSE)),"")</f>
        <v/>
      </c>
      <c r="KDW18" s="28" t="str">
        <f>IFERROR(IF(KEF3="No",IF(VLOOKUP(DATE($K$1,$K$2,KDW$4),Table1[],(MATCH(Calendar!$A18,DB!$1:$1,0)),FALSE)&gt;=5,"Good","Bad"),VLOOKUP(DATE($K$1,$K$2,KDW$4),Table1[],(MATCH(Calendar!$A18,DB!$1:$1,0)),FALSE)),"")</f>
        <v/>
      </c>
      <c r="KDX18" s="28" t="str">
        <f>IFERROR(IF(KEG3="No",IF(VLOOKUP(DATE($K$1,$K$2,KDX$4),Table1[],(MATCH(Calendar!$A18,DB!$1:$1,0)),FALSE)&gt;=5,"Good","Bad"),VLOOKUP(DATE($K$1,$K$2,KDX$4),Table1[],(MATCH(Calendar!$A18,DB!$1:$1,0)),FALSE)),"")</f>
        <v/>
      </c>
      <c r="KDY18" s="28" t="str">
        <f>IFERROR(IF(KEH3="No",IF(VLOOKUP(DATE($K$1,$K$2,KDY$4),Table1[],(MATCH(Calendar!$A18,DB!$1:$1,0)),FALSE)&gt;=5,"Good","Bad"),VLOOKUP(DATE($K$1,$K$2,KDY$4),Table1[],(MATCH(Calendar!$A18,DB!$1:$1,0)),FALSE)),"")</f>
        <v/>
      </c>
      <c r="KDZ18" s="28" t="str">
        <f>IFERROR(IF(KEI3="No",IF(VLOOKUP(DATE($K$1,$K$2,KDZ$4),Table1[],(MATCH(Calendar!$A18,DB!$1:$1,0)),FALSE)&gt;=5,"Good","Bad"),VLOOKUP(DATE($K$1,$K$2,KDZ$4),Table1[],(MATCH(Calendar!$A18,DB!$1:$1,0)),FALSE)),"")</f>
        <v/>
      </c>
      <c r="KEA18" s="28" t="str">
        <f>IFERROR(IF(KEJ3="No",IF(VLOOKUP(DATE($K$1,$K$2,KEA$4),Table1[],(MATCH(Calendar!$A18,DB!$1:$1,0)),FALSE)&gt;=5,"Good","Bad"),VLOOKUP(DATE($K$1,$K$2,KEA$4),Table1[],(MATCH(Calendar!$A18,DB!$1:$1,0)),FALSE)),"")</f>
        <v/>
      </c>
      <c r="KEB18" s="28" t="str">
        <f>IFERROR(IF(KEK3="No",IF(VLOOKUP(DATE($K$1,$K$2,KEB$4),Table1[],(MATCH(Calendar!$A18,DB!$1:$1,0)),FALSE)&gt;=5,"Good","Bad"),VLOOKUP(DATE($K$1,$K$2,KEB$4),Table1[],(MATCH(Calendar!$A18,DB!$1:$1,0)),FALSE)),"")</f>
        <v/>
      </c>
      <c r="KEC18" s="28" t="str">
        <f>IFERROR(IF(KEL3="No",IF(VLOOKUP(DATE($K$1,$K$2,KEC$4),Table1[],(MATCH(Calendar!$A18,DB!$1:$1,0)),FALSE)&gt;=5,"Good","Bad"),VLOOKUP(DATE($K$1,$K$2,KEC$4),Table1[],(MATCH(Calendar!$A18,DB!$1:$1,0)),FALSE)),"")</f>
        <v/>
      </c>
      <c r="KED18" s="28" t="str">
        <f>IFERROR(IF(KEM3="No",IF(VLOOKUP(DATE($K$1,$K$2,KED$4),Table1[],(MATCH(Calendar!$A18,DB!$1:$1,0)),FALSE)&gt;=5,"Good","Bad"),VLOOKUP(DATE($K$1,$K$2,KED$4),Table1[],(MATCH(Calendar!$A18,DB!$1:$1,0)),FALSE)),"")</f>
        <v/>
      </c>
      <c r="KEE18" s="28" t="str">
        <f>IFERROR(IF(KEN3="No",IF(VLOOKUP(DATE($K$1,$K$2,KEE$4),Table1[],(MATCH(Calendar!$A18,DB!$1:$1,0)),FALSE)&gt;=5,"Good","Bad"),VLOOKUP(DATE($K$1,$K$2,KEE$4),Table1[],(MATCH(Calendar!$A18,DB!$1:$1,0)),FALSE)),"")</f>
        <v/>
      </c>
      <c r="KEF18" s="28" t="str">
        <f>IFERROR(IF(KEO3="No",IF(VLOOKUP(DATE($K$1,$K$2,KEF$4),Table1[],(MATCH(Calendar!$A18,DB!$1:$1,0)),FALSE)&gt;=5,"Good","Bad"),VLOOKUP(DATE($K$1,$K$2,KEF$4),Table1[],(MATCH(Calendar!$A18,DB!$1:$1,0)),FALSE)),"")</f>
        <v/>
      </c>
      <c r="KEG18" s="28" t="str">
        <f>IFERROR(IF(KEP3="No",IF(VLOOKUP(DATE($K$1,$K$2,KEG$4),Table1[],(MATCH(Calendar!$A18,DB!$1:$1,0)),FALSE)&gt;=5,"Good","Bad"),VLOOKUP(DATE($K$1,$K$2,KEG$4),Table1[],(MATCH(Calendar!$A18,DB!$1:$1,0)),FALSE)),"")</f>
        <v/>
      </c>
      <c r="KEH18" s="28" t="str">
        <f>IFERROR(IF(KEQ3="No",IF(VLOOKUP(DATE($K$1,$K$2,KEH$4),Table1[],(MATCH(Calendar!$A18,DB!$1:$1,0)),FALSE)&gt;=5,"Good","Bad"),VLOOKUP(DATE($K$1,$K$2,KEH$4),Table1[],(MATCH(Calendar!$A18,DB!$1:$1,0)),FALSE)),"")</f>
        <v/>
      </c>
      <c r="KEI18" s="28" t="str">
        <f>IFERROR(IF(KER3="No",IF(VLOOKUP(DATE($K$1,$K$2,KEI$4),Table1[],(MATCH(Calendar!$A18,DB!$1:$1,0)),FALSE)&gt;=5,"Good","Bad"),VLOOKUP(DATE($K$1,$K$2,KEI$4),Table1[],(MATCH(Calendar!$A18,DB!$1:$1,0)),FALSE)),"")</f>
        <v/>
      </c>
      <c r="KEJ18" s="28" t="str">
        <f>IFERROR(IF(KES3="No",IF(VLOOKUP(DATE($K$1,$K$2,KEJ$4),Table1[],(MATCH(Calendar!$A18,DB!$1:$1,0)),FALSE)&gt;=5,"Good","Bad"),VLOOKUP(DATE($K$1,$K$2,KEJ$4),Table1[],(MATCH(Calendar!$A18,DB!$1:$1,0)),FALSE)),"")</f>
        <v/>
      </c>
      <c r="KEK18" s="28" t="str">
        <f>IFERROR(IF(KET3="No",IF(VLOOKUP(DATE($K$1,$K$2,KEK$4),Table1[],(MATCH(Calendar!$A18,DB!$1:$1,0)),FALSE)&gt;=5,"Good","Bad"),VLOOKUP(DATE($K$1,$K$2,KEK$4),Table1[],(MATCH(Calendar!$A18,DB!$1:$1,0)),FALSE)),"")</f>
        <v/>
      </c>
      <c r="KEL18" s="28" t="str">
        <f>IFERROR(IF(KEU3="No",IF(VLOOKUP(DATE($K$1,$K$2,KEL$4),Table1[],(MATCH(Calendar!$A18,DB!$1:$1,0)),FALSE)&gt;=5,"Good","Bad"),VLOOKUP(DATE($K$1,$K$2,KEL$4),Table1[],(MATCH(Calendar!$A18,DB!$1:$1,0)),FALSE)),"")</f>
        <v/>
      </c>
      <c r="KEM18" s="28" t="str">
        <f>IFERROR(IF(KEV3="No",IF(VLOOKUP(DATE($K$1,$K$2,KEM$4),Table1[],(MATCH(Calendar!$A18,DB!$1:$1,0)),FALSE)&gt;=5,"Good","Bad"),VLOOKUP(DATE($K$1,$K$2,KEM$4),Table1[],(MATCH(Calendar!$A18,DB!$1:$1,0)),FALSE)),"")</f>
        <v/>
      </c>
      <c r="KEN18" s="28" t="str">
        <f>IFERROR(IF(KEW3="No",IF(VLOOKUP(DATE($K$1,$K$2,KEN$4),Table1[],(MATCH(Calendar!$A18,DB!$1:$1,0)),FALSE)&gt;=5,"Good","Bad"),VLOOKUP(DATE($K$1,$K$2,KEN$4),Table1[],(MATCH(Calendar!$A18,DB!$1:$1,0)),FALSE)),"")</f>
        <v/>
      </c>
      <c r="KEO18" s="28" t="str">
        <f>IFERROR(IF(KEX3="No",IF(VLOOKUP(DATE($K$1,$K$2,KEO$4),Table1[],(MATCH(Calendar!$A18,DB!$1:$1,0)),FALSE)&gt;=5,"Good","Bad"),VLOOKUP(DATE($K$1,$K$2,KEO$4),Table1[],(MATCH(Calendar!$A18,DB!$1:$1,0)),FALSE)),"")</f>
        <v/>
      </c>
      <c r="KEP18" s="28" t="str">
        <f>IFERROR(IF(KEY3="No",IF(VLOOKUP(DATE($K$1,$K$2,KEP$4),Table1[],(MATCH(Calendar!$A18,DB!$1:$1,0)),FALSE)&gt;=5,"Good","Bad"),VLOOKUP(DATE($K$1,$K$2,KEP$4),Table1[],(MATCH(Calendar!$A18,DB!$1:$1,0)),FALSE)),"")</f>
        <v/>
      </c>
      <c r="KEQ18" s="28" t="str">
        <f>IFERROR(IF(KEZ3="No",IF(VLOOKUP(DATE($K$1,$K$2,KEQ$4),Table1[],(MATCH(Calendar!$A18,DB!$1:$1,0)),FALSE)&gt;=5,"Good","Bad"),VLOOKUP(DATE($K$1,$K$2,KEQ$4),Table1[],(MATCH(Calendar!$A18,DB!$1:$1,0)),FALSE)),"")</f>
        <v/>
      </c>
      <c r="KER18" s="28" t="str">
        <f>IFERROR(IF(KFA3="No",IF(VLOOKUP(DATE($K$1,$K$2,KER$4),Table1[],(MATCH(Calendar!$A18,DB!$1:$1,0)),FALSE)&gt;=5,"Good","Bad"),VLOOKUP(DATE($K$1,$K$2,KER$4),Table1[],(MATCH(Calendar!$A18,DB!$1:$1,0)),FALSE)),"")</f>
        <v/>
      </c>
      <c r="KES18" s="28" t="str">
        <f>IFERROR(IF(KFB3="No",IF(VLOOKUP(DATE($K$1,$K$2,KES$4),Table1[],(MATCH(Calendar!$A18,DB!$1:$1,0)),FALSE)&gt;=5,"Good","Bad"),VLOOKUP(DATE($K$1,$K$2,KES$4),Table1[],(MATCH(Calendar!$A18,DB!$1:$1,0)),FALSE)),"")</f>
        <v/>
      </c>
      <c r="KET18" s="28" t="str">
        <f>IFERROR(IF(KFC3="No",IF(VLOOKUP(DATE($K$1,$K$2,KET$4),Table1[],(MATCH(Calendar!$A18,DB!$1:$1,0)),FALSE)&gt;=5,"Good","Bad"),VLOOKUP(DATE($K$1,$K$2,KET$4),Table1[],(MATCH(Calendar!$A18,DB!$1:$1,0)),FALSE)),"")</f>
        <v/>
      </c>
      <c r="KEU18" s="28" t="str">
        <f>IFERROR(IF(KFD3="No",IF(VLOOKUP(DATE($K$1,$K$2,KEU$4),Table1[],(MATCH(Calendar!$A18,DB!$1:$1,0)),FALSE)&gt;=5,"Good","Bad"),VLOOKUP(DATE($K$1,$K$2,KEU$4),Table1[],(MATCH(Calendar!$A18,DB!$1:$1,0)),FALSE)),"")</f>
        <v/>
      </c>
      <c r="KEV18" s="28" t="str">
        <f>IFERROR(IF(KFE3="No",IF(VLOOKUP(DATE($K$1,$K$2,KEV$4),Table1[],(MATCH(Calendar!$A18,DB!$1:$1,0)),FALSE)&gt;=5,"Good","Bad"),VLOOKUP(DATE($K$1,$K$2,KEV$4),Table1[],(MATCH(Calendar!$A18,DB!$1:$1,0)),FALSE)),"")</f>
        <v/>
      </c>
      <c r="KEW18" s="28" t="str">
        <f>IFERROR(IF(KFF3="No",IF(VLOOKUP(DATE($K$1,$K$2,KEW$4),Table1[],(MATCH(Calendar!$A18,DB!$1:$1,0)),FALSE)&gt;=5,"Good","Bad"),VLOOKUP(DATE($K$1,$K$2,KEW$4),Table1[],(MATCH(Calendar!$A18,DB!$1:$1,0)),FALSE)),"")</f>
        <v/>
      </c>
      <c r="KEX18" s="28" t="str">
        <f>IFERROR(IF(KFG3="No",IF(VLOOKUP(DATE($K$1,$K$2,KEX$4),Table1[],(MATCH(Calendar!$A18,DB!$1:$1,0)),FALSE)&gt;=5,"Good","Bad"),VLOOKUP(DATE($K$1,$K$2,KEX$4),Table1[],(MATCH(Calendar!$A18,DB!$1:$1,0)),FALSE)),"")</f>
        <v/>
      </c>
      <c r="KEY18" s="28" t="str">
        <f>IFERROR(IF(KFH3="No",IF(VLOOKUP(DATE($K$1,$K$2,KEY$4),Table1[],(MATCH(Calendar!$A18,DB!$1:$1,0)),FALSE)&gt;=5,"Good","Bad"),VLOOKUP(DATE($K$1,$K$2,KEY$4),Table1[],(MATCH(Calendar!$A18,DB!$1:$1,0)),FALSE)),"")</f>
        <v/>
      </c>
      <c r="KEZ18" s="28" t="str">
        <f>IFERROR(IF(KFI3="No",IF(VLOOKUP(DATE($K$1,$K$2,KEZ$4),Table1[],(MATCH(Calendar!$A18,DB!$1:$1,0)),FALSE)&gt;=5,"Good","Bad"),VLOOKUP(DATE($K$1,$K$2,KEZ$4),Table1[],(MATCH(Calendar!$A18,DB!$1:$1,0)),FALSE)),"")</f>
        <v/>
      </c>
      <c r="KFA18" s="28" t="str">
        <f>IFERROR(IF(KFJ3="No",IF(VLOOKUP(DATE($K$1,$K$2,KFA$4),Table1[],(MATCH(Calendar!$A18,DB!$1:$1,0)),FALSE)&gt;=5,"Good","Bad"),VLOOKUP(DATE($K$1,$K$2,KFA$4),Table1[],(MATCH(Calendar!$A18,DB!$1:$1,0)),FALSE)),"")</f>
        <v/>
      </c>
      <c r="KFB18" s="28" t="str">
        <f>IFERROR(IF(KFK3="No",IF(VLOOKUP(DATE($K$1,$K$2,KFB$4),Table1[],(MATCH(Calendar!$A18,DB!$1:$1,0)),FALSE)&gt;=5,"Good","Bad"),VLOOKUP(DATE($K$1,$K$2,KFB$4),Table1[],(MATCH(Calendar!$A18,DB!$1:$1,0)),FALSE)),"")</f>
        <v/>
      </c>
      <c r="KFC18" s="28" t="str">
        <f>IFERROR(IF(KFL3="No",IF(VLOOKUP(DATE($K$1,$K$2,KFC$4),Table1[],(MATCH(Calendar!$A18,DB!$1:$1,0)),FALSE)&gt;=5,"Good","Bad"),VLOOKUP(DATE($K$1,$K$2,KFC$4),Table1[],(MATCH(Calendar!$A18,DB!$1:$1,0)),FALSE)),"")</f>
        <v/>
      </c>
      <c r="KFD18" s="28" t="str">
        <f>IFERROR(IF(KFM3="No",IF(VLOOKUP(DATE($K$1,$K$2,KFD$4),Table1[],(MATCH(Calendar!$A18,DB!$1:$1,0)),FALSE)&gt;=5,"Good","Bad"),VLOOKUP(DATE($K$1,$K$2,KFD$4),Table1[],(MATCH(Calendar!$A18,DB!$1:$1,0)),FALSE)),"")</f>
        <v/>
      </c>
      <c r="KFE18" s="28" t="str">
        <f>IFERROR(IF(KFN3="No",IF(VLOOKUP(DATE($K$1,$K$2,KFE$4),Table1[],(MATCH(Calendar!$A18,DB!$1:$1,0)),FALSE)&gt;=5,"Good","Bad"),VLOOKUP(DATE($K$1,$K$2,KFE$4),Table1[],(MATCH(Calendar!$A18,DB!$1:$1,0)),FALSE)),"")</f>
        <v/>
      </c>
      <c r="KFF18" s="28" t="str">
        <f>IFERROR(IF(KFO3="No",IF(VLOOKUP(DATE($K$1,$K$2,KFF$4),Table1[],(MATCH(Calendar!$A18,DB!$1:$1,0)),FALSE)&gt;=5,"Good","Bad"),VLOOKUP(DATE($K$1,$K$2,KFF$4),Table1[],(MATCH(Calendar!$A18,DB!$1:$1,0)),FALSE)),"")</f>
        <v/>
      </c>
      <c r="KFG18" s="28" t="str">
        <f>IFERROR(IF(KFP3="No",IF(VLOOKUP(DATE($K$1,$K$2,KFG$4),Table1[],(MATCH(Calendar!$A18,DB!$1:$1,0)),FALSE)&gt;=5,"Good","Bad"),VLOOKUP(DATE($K$1,$K$2,KFG$4),Table1[],(MATCH(Calendar!$A18,DB!$1:$1,0)),FALSE)),"")</f>
        <v/>
      </c>
      <c r="KFH18" s="28" t="str">
        <f>IFERROR(IF(KFQ3="No",IF(VLOOKUP(DATE($K$1,$K$2,KFH$4),Table1[],(MATCH(Calendar!$A18,DB!$1:$1,0)),FALSE)&gt;=5,"Good","Bad"),VLOOKUP(DATE($K$1,$K$2,KFH$4),Table1[],(MATCH(Calendar!$A18,DB!$1:$1,0)),FALSE)),"")</f>
        <v/>
      </c>
      <c r="KFI18" s="28" t="str">
        <f>IFERROR(IF(KFR3="No",IF(VLOOKUP(DATE($K$1,$K$2,KFI$4),Table1[],(MATCH(Calendar!$A18,DB!$1:$1,0)),FALSE)&gt;=5,"Good","Bad"),VLOOKUP(DATE($K$1,$K$2,KFI$4),Table1[],(MATCH(Calendar!$A18,DB!$1:$1,0)),FALSE)),"")</f>
        <v/>
      </c>
      <c r="KFJ18" s="28" t="str">
        <f>IFERROR(IF(KFS3="No",IF(VLOOKUP(DATE($K$1,$K$2,KFJ$4),Table1[],(MATCH(Calendar!$A18,DB!$1:$1,0)),FALSE)&gt;=5,"Good","Bad"),VLOOKUP(DATE($K$1,$K$2,KFJ$4),Table1[],(MATCH(Calendar!$A18,DB!$1:$1,0)),FALSE)),"")</f>
        <v/>
      </c>
      <c r="KFK18" s="28" t="str">
        <f>IFERROR(IF(KFT3="No",IF(VLOOKUP(DATE($K$1,$K$2,KFK$4),Table1[],(MATCH(Calendar!$A18,DB!$1:$1,0)),FALSE)&gt;=5,"Good","Bad"),VLOOKUP(DATE($K$1,$K$2,KFK$4),Table1[],(MATCH(Calendar!$A18,DB!$1:$1,0)),FALSE)),"")</f>
        <v/>
      </c>
      <c r="KFL18" s="28" t="str">
        <f>IFERROR(IF(KFU3="No",IF(VLOOKUP(DATE($K$1,$K$2,KFL$4),Table1[],(MATCH(Calendar!$A18,DB!$1:$1,0)),FALSE)&gt;=5,"Good","Bad"),VLOOKUP(DATE($K$1,$K$2,KFL$4),Table1[],(MATCH(Calendar!$A18,DB!$1:$1,0)),FALSE)),"")</f>
        <v/>
      </c>
      <c r="KFM18" s="28" t="str">
        <f>IFERROR(IF(KFV3="No",IF(VLOOKUP(DATE($K$1,$K$2,KFM$4),Table1[],(MATCH(Calendar!$A18,DB!$1:$1,0)),FALSE)&gt;=5,"Good","Bad"),VLOOKUP(DATE($K$1,$K$2,KFM$4),Table1[],(MATCH(Calendar!$A18,DB!$1:$1,0)),FALSE)),"")</f>
        <v/>
      </c>
      <c r="KFN18" s="28" t="str">
        <f>IFERROR(IF(KFW3="No",IF(VLOOKUP(DATE($K$1,$K$2,KFN$4),Table1[],(MATCH(Calendar!$A18,DB!$1:$1,0)),FALSE)&gt;=5,"Good","Bad"),VLOOKUP(DATE($K$1,$K$2,KFN$4),Table1[],(MATCH(Calendar!$A18,DB!$1:$1,0)),FALSE)),"")</f>
        <v/>
      </c>
      <c r="KFO18" s="28" t="str">
        <f>IFERROR(IF(KFX3="No",IF(VLOOKUP(DATE($K$1,$K$2,KFO$4),Table1[],(MATCH(Calendar!$A18,DB!$1:$1,0)),FALSE)&gt;=5,"Good","Bad"),VLOOKUP(DATE($K$1,$K$2,KFO$4),Table1[],(MATCH(Calendar!$A18,DB!$1:$1,0)),FALSE)),"")</f>
        <v/>
      </c>
      <c r="KFP18" s="28" t="str">
        <f>IFERROR(IF(KFY3="No",IF(VLOOKUP(DATE($K$1,$K$2,KFP$4),Table1[],(MATCH(Calendar!$A18,DB!$1:$1,0)),FALSE)&gt;=5,"Good","Bad"),VLOOKUP(DATE($K$1,$K$2,KFP$4),Table1[],(MATCH(Calendar!$A18,DB!$1:$1,0)),FALSE)),"")</f>
        <v/>
      </c>
      <c r="KFQ18" s="28" t="str">
        <f>IFERROR(IF(KFZ3="No",IF(VLOOKUP(DATE($K$1,$K$2,KFQ$4),Table1[],(MATCH(Calendar!$A18,DB!$1:$1,0)),FALSE)&gt;=5,"Good","Bad"),VLOOKUP(DATE($K$1,$K$2,KFQ$4),Table1[],(MATCH(Calendar!$A18,DB!$1:$1,0)),FALSE)),"")</f>
        <v/>
      </c>
      <c r="KFR18" s="28" t="str">
        <f>IFERROR(IF(KGA3="No",IF(VLOOKUP(DATE($K$1,$K$2,KFR$4),Table1[],(MATCH(Calendar!$A18,DB!$1:$1,0)),FALSE)&gt;=5,"Good","Bad"),VLOOKUP(DATE($K$1,$K$2,KFR$4),Table1[],(MATCH(Calendar!$A18,DB!$1:$1,0)),FALSE)),"")</f>
        <v/>
      </c>
      <c r="KFS18" s="28" t="str">
        <f>IFERROR(IF(KGB3="No",IF(VLOOKUP(DATE($K$1,$K$2,KFS$4),Table1[],(MATCH(Calendar!$A18,DB!$1:$1,0)),FALSE)&gt;=5,"Good","Bad"),VLOOKUP(DATE($K$1,$K$2,KFS$4),Table1[],(MATCH(Calendar!$A18,DB!$1:$1,0)),FALSE)),"")</f>
        <v/>
      </c>
      <c r="KFT18" s="28" t="str">
        <f>IFERROR(IF(KGC3="No",IF(VLOOKUP(DATE($K$1,$K$2,KFT$4),Table1[],(MATCH(Calendar!$A18,DB!$1:$1,0)),FALSE)&gt;=5,"Good","Bad"),VLOOKUP(DATE($K$1,$K$2,KFT$4),Table1[],(MATCH(Calendar!$A18,DB!$1:$1,0)),FALSE)),"")</f>
        <v/>
      </c>
      <c r="KFU18" s="28" t="str">
        <f>IFERROR(IF(KGD3="No",IF(VLOOKUP(DATE($K$1,$K$2,KFU$4),Table1[],(MATCH(Calendar!$A18,DB!$1:$1,0)),FALSE)&gt;=5,"Good","Bad"),VLOOKUP(DATE($K$1,$K$2,KFU$4),Table1[],(MATCH(Calendar!$A18,DB!$1:$1,0)),FALSE)),"")</f>
        <v/>
      </c>
      <c r="KFV18" s="28" t="str">
        <f>IFERROR(IF(KGE3="No",IF(VLOOKUP(DATE($K$1,$K$2,KFV$4),Table1[],(MATCH(Calendar!$A18,DB!$1:$1,0)),FALSE)&gt;=5,"Good","Bad"),VLOOKUP(DATE($K$1,$K$2,KFV$4),Table1[],(MATCH(Calendar!$A18,DB!$1:$1,0)),FALSE)),"")</f>
        <v/>
      </c>
      <c r="KFW18" s="28" t="str">
        <f>IFERROR(IF(KGF3="No",IF(VLOOKUP(DATE($K$1,$K$2,KFW$4),Table1[],(MATCH(Calendar!$A18,DB!$1:$1,0)),FALSE)&gt;=5,"Good","Bad"),VLOOKUP(DATE($K$1,$K$2,KFW$4),Table1[],(MATCH(Calendar!$A18,DB!$1:$1,0)),FALSE)),"")</f>
        <v/>
      </c>
      <c r="KFX18" s="28" t="str">
        <f>IFERROR(IF(KGG3="No",IF(VLOOKUP(DATE($K$1,$K$2,KFX$4),Table1[],(MATCH(Calendar!$A18,DB!$1:$1,0)),FALSE)&gt;=5,"Good","Bad"),VLOOKUP(DATE($K$1,$K$2,KFX$4),Table1[],(MATCH(Calendar!$A18,DB!$1:$1,0)),FALSE)),"")</f>
        <v/>
      </c>
      <c r="KFY18" s="28" t="str">
        <f>IFERROR(IF(KGH3="No",IF(VLOOKUP(DATE($K$1,$K$2,KFY$4),Table1[],(MATCH(Calendar!$A18,DB!$1:$1,0)),FALSE)&gt;=5,"Good","Bad"),VLOOKUP(DATE($K$1,$K$2,KFY$4),Table1[],(MATCH(Calendar!$A18,DB!$1:$1,0)),FALSE)),"")</f>
        <v/>
      </c>
      <c r="KFZ18" s="28" t="str">
        <f>IFERROR(IF(KGI3="No",IF(VLOOKUP(DATE($K$1,$K$2,KFZ$4),Table1[],(MATCH(Calendar!$A18,DB!$1:$1,0)),FALSE)&gt;=5,"Good","Bad"),VLOOKUP(DATE($K$1,$K$2,KFZ$4),Table1[],(MATCH(Calendar!$A18,DB!$1:$1,0)),FALSE)),"")</f>
        <v/>
      </c>
      <c r="KGA18" s="28" t="str">
        <f>IFERROR(IF(KGJ3="No",IF(VLOOKUP(DATE($K$1,$K$2,KGA$4),Table1[],(MATCH(Calendar!$A18,DB!$1:$1,0)),FALSE)&gt;=5,"Good","Bad"),VLOOKUP(DATE($K$1,$K$2,KGA$4),Table1[],(MATCH(Calendar!$A18,DB!$1:$1,0)),FALSE)),"")</f>
        <v/>
      </c>
      <c r="KGB18" s="28" t="str">
        <f>IFERROR(IF(KGK3="No",IF(VLOOKUP(DATE($K$1,$K$2,KGB$4),Table1[],(MATCH(Calendar!$A18,DB!$1:$1,0)),FALSE)&gt;=5,"Good","Bad"),VLOOKUP(DATE($K$1,$K$2,KGB$4),Table1[],(MATCH(Calendar!$A18,DB!$1:$1,0)),FALSE)),"")</f>
        <v/>
      </c>
      <c r="KGC18" s="28" t="str">
        <f>IFERROR(IF(KGL3="No",IF(VLOOKUP(DATE($K$1,$K$2,KGC$4),Table1[],(MATCH(Calendar!$A18,DB!$1:$1,0)),FALSE)&gt;=5,"Good","Bad"),VLOOKUP(DATE($K$1,$K$2,KGC$4),Table1[],(MATCH(Calendar!$A18,DB!$1:$1,0)),FALSE)),"")</f>
        <v/>
      </c>
      <c r="KGD18" s="28" t="str">
        <f>IFERROR(IF(KGM3="No",IF(VLOOKUP(DATE($K$1,$K$2,KGD$4),Table1[],(MATCH(Calendar!$A18,DB!$1:$1,0)),FALSE)&gt;=5,"Good","Bad"),VLOOKUP(DATE($K$1,$K$2,KGD$4),Table1[],(MATCH(Calendar!$A18,DB!$1:$1,0)),FALSE)),"")</f>
        <v/>
      </c>
      <c r="KGE18" s="28" t="str">
        <f>IFERROR(IF(KGN3="No",IF(VLOOKUP(DATE($K$1,$K$2,KGE$4),Table1[],(MATCH(Calendar!$A18,DB!$1:$1,0)),FALSE)&gt;=5,"Good","Bad"),VLOOKUP(DATE($K$1,$K$2,KGE$4),Table1[],(MATCH(Calendar!$A18,DB!$1:$1,0)),FALSE)),"")</f>
        <v/>
      </c>
      <c r="KGF18" s="28" t="str">
        <f>IFERROR(IF(KGO3="No",IF(VLOOKUP(DATE($K$1,$K$2,KGF$4),Table1[],(MATCH(Calendar!$A18,DB!$1:$1,0)),FALSE)&gt;=5,"Good","Bad"),VLOOKUP(DATE($K$1,$K$2,KGF$4),Table1[],(MATCH(Calendar!$A18,DB!$1:$1,0)),FALSE)),"")</f>
        <v/>
      </c>
      <c r="KGG18" s="28" t="str">
        <f>IFERROR(IF(KGP3="No",IF(VLOOKUP(DATE($K$1,$K$2,KGG$4),Table1[],(MATCH(Calendar!$A18,DB!$1:$1,0)),FALSE)&gt;=5,"Good","Bad"),VLOOKUP(DATE($K$1,$K$2,KGG$4),Table1[],(MATCH(Calendar!$A18,DB!$1:$1,0)),FALSE)),"")</f>
        <v/>
      </c>
      <c r="KGH18" s="28" t="str">
        <f>IFERROR(IF(KGQ3="No",IF(VLOOKUP(DATE($K$1,$K$2,KGH$4),Table1[],(MATCH(Calendar!$A18,DB!$1:$1,0)),FALSE)&gt;=5,"Good","Bad"),VLOOKUP(DATE($K$1,$K$2,KGH$4),Table1[],(MATCH(Calendar!$A18,DB!$1:$1,0)),FALSE)),"")</f>
        <v/>
      </c>
      <c r="KGI18" s="28" t="str">
        <f>IFERROR(IF(KGR3="No",IF(VLOOKUP(DATE($K$1,$K$2,KGI$4),Table1[],(MATCH(Calendar!$A18,DB!$1:$1,0)),FALSE)&gt;=5,"Good","Bad"),VLOOKUP(DATE($K$1,$K$2,KGI$4),Table1[],(MATCH(Calendar!$A18,DB!$1:$1,0)),FALSE)),"")</f>
        <v/>
      </c>
      <c r="KGJ18" s="28" t="str">
        <f>IFERROR(IF(KGS3="No",IF(VLOOKUP(DATE($K$1,$K$2,KGJ$4),Table1[],(MATCH(Calendar!$A18,DB!$1:$1,0)),FALSE)&gt;=5,"Good","Bad"),VLOOKUP(DATE($K$1,$K$2,KGJ$4),Table1[],(MATCH(Calendar!$A18,DB!$1:$1,0)),FALSE)),"")</f>
        <v/>
      </c>
      <c r="KGK18" s="28" t="str">
        <f>IFERROR(IF(KGT3="No",IF(VLOOKUP(DATE($K$1,$K$2,KGK$4),Table1[],(MATCH(Calendar!$A18,DB!$1:$1,0)),FALSE)&gt;=5,"Good","Bad"),VLOOKUP(DATE($K$1,$K$2,KGK$4),Table1[],(MATCH(Calendar!$A18,DB!$1:$1,0)),FALSE)),"")</f>
        <v/>
      </c>
      <c r="KGL18" s="28" t="str">
        <f>IFERROR(IF(KGU3="No",IF(VLOOKUP(DATE($K$1,$K$2,KGL$4),Table1[],(MATCH(Calendar!$A18,DB!$1:$1,0)),FALSE)&gt;=5,"Good","Bad"),VLOOKUP(DATE($K$1,$K$2,KGL$4),Table1[],(MATCH(Calendar!$A18,DB!$1:$1,0)),FALSE)),"")</f>
        <v/>
      </c>
      <c r="KGM18" s="28" t="str">
        <f>IFERROR(IF(KGV3="No",IF(VLOOKUP(DATE($K$1,$K$2,KGM$4),Table1[],(MATCH(Calendar!$A18,DB!$1:$1,0)),FALSE)&gt;=5,"Good","Bad"),VLOOKUP(DATE($K$1,$K$2,KGM$4),Table1[],(MATCH(Calendar!$A18,DB!$1:$1,0)),FALSE)),"")</f>
        <v/>
      </c>
      <c r="KGN18" s="28" t="str">
        <f>IFERROR(IF(KGW3="No",IF(VLOOKUP(DATE($K$1,$K$2,KGN$4),Table1[],(MATCH(Calendar!$A18,DB!$1:$1,0)),FALSE)&gt;=5,"Good","Bad"),VLOOKUP(DATE($K$1,$K$2,KGN$4),Table1[],(MATCH(Calendar!$A18,DB!$1:$1,0)),FALSE)),"")</f>
        <v/>
      </c>
      <c r="KGO18" s="28" t="str">
        <f>IFERROR(IF(KGX3="No",IF(VLOOKUP(DATE($K$1,$K$2,KGO$4),Table1[],(MATCH(Calendar!$A18,DB!$1:$1,0)),FALSE)&gt;=5,"Good","Bad"),VLOOKUP(DATE($K$1,$K$2,KGO$4),Table1[],(MATCH(Calendar!$A18,DB!$1:$1,0)),FALSE)),"")</f>
        <v/>
      </c>
      <c r="KGP18" s="28" t="str">
        <f>IFERROR(IF(KGY3="No",IF(VLOOKUP(DATE($K$1,$K$2,KGP$4),Table1[],(MATCH(Calendar!$A18,DB!$1:$1,0)),FALSE)&gt;=5,"Good","Bad"),VLOOKUP(DATE($K$1,$K$2,KGP$4),Table1[],(MATCH(Calendar!$A18,DB!$1:$1,0)),FALSE)),"")</f>
        <v/>
      </c>
      <c r="KGQ18" s="28" t="str">
        <f>IFERROR(IF(KGZ3="No",IF(VLOOKUP(DATE($K$1,$K$2,KGQ$4),Table1[],(MATCH(Calendar!$A18,DB!$1:$1,0)),FALSE)&gt;=5,"Good","Bad"),VLOOKUP(DATE($K$1,$K$2,KGQ$4),Table1[],(MATCH(Calendar!$A18,DB!$1:$1,0)),FALSE)),"")</f>
        <v/>
      </c>
      <c r="KGR18" s="28" t="str">
        <f>IFERROR(IF(KHA3="No",IF(VLOOKUP(DATE($K$1,$K$2,KGR$4),Table1[],(MATCH(Calendar!$A18,DB!$1:$1,0)),FALSE)&gt;=5,"Good","Bad"),VLOOKUP(DATE($K$1,$K$2,KGR$4),Table1[],(MATCH(Calendar!$A18,DB!$1:$1,0)),FALSE)),"")</f>
        <v/>
      </c>
      <c r="KGS18" s="28" t="str">
        <f>IFERROR(IF(KHB3="No",IF(VLOOKUP(DATE($K$1,$K$2,KGS$4),Table1[],(MATCH(Calendar!$A18,DB!$1:$1,0)),FALSE)&gt;=5,"Good","Bad"),VLOOKUP(DATE($K$1,$K$2,KGS$4),Table1[],(MATCH(Calendar!$A18,DB!$1:$1,0)),FALSE)),"")</f>
        <v/>
      </c>
      <c r="KGT18" s="28" t="str">
        <f>IFERROR(IF(KHC3="No",IF(VLOOKUP(DATE($K$1,$K$2,KGT$4),Table1[],(MATCH(Calendar!$A18,DB!$1:$1,0)),FALSE)&gt;=5,"Good","Bad"),VLOOKUP(DATE($K$1,$K$2,KGT$4),Table1[],(MATCH(Calendar!$A18,DB!$1:$1,0)),FALSE)),"")</f>
        <v/>
      </c>
      <c r="KGU18" s="28" t="str">
        <f>IFERROR(IF(KHD3="No",IF(VLOOKUP(DATE($K$1,$K$2,KGU$4),Table1[],(MATCH(Calendar!$A18,DB!$1:$1,0)),FALSE)&gt;=5,"Good","Bad"),VLOOKUP(DATE($K$1,$K$2,KGU$4),Table1[],(MATCH(Calendar!$A18,DB!$1:$1,0)),FALSE)),"")</f>
        <v/>
      </c>
      <c r="KGV18" s="28" t="str">
        <f>IFERROR(IF(KHE3="No",IF(VLOOKUP(DATE($K$1,$K$2,KGV$4),Table1[],(MATCH(Calendar!$A18,DB!$1:$1,0)),FALSE)&gt;=5,"Good","Bad"),VLOOKUP(DATE($K$1,$K$2,KGV$4),Table1[],(MATCH(Calendar!$A18,DB!$1:$1,0)),FALSE)),"")</f>
        <v/>
      </c>
      <c r="KGW18" s="28" t="str">
        <f>IFERROR(IF(KHF3="No",IF(VLOOKUP(DATE($K$1,$K$2,KGW$4),Table1[],(MATCH(Calendar!$A18,DB!$1:$1,0)),FALSE)&gt;=5,"Good","Bad"),VLOOKUP(DATE($K$1,$K$2,KGW$4),Table1[],(MATCH(Calendar!$A18,DB!$1:$1,0)),FALSE)),"")</f>
        <v/>
      </c>
      <c r="KGX18" s="28" t="str">
        <f>IFERROR(IF(KHG3="No",IF(VLOOKUP(DATE($K$1,$K$2,KGX$4),Table1[],(MATCH(Calendar!$A18,DB!$1:$1,0)),FALSE)&gt;=5,"Good","Bad"),VLOOKUP(DATE($K$1,$K$2,KGX$4),Table1[],(MATCH(Calendar!$A18,DB!$1:$1,0)),FALSE)),"")</f>
        <v/>
      </c>
      <c r="KGY18" s="28" t="str">
        <f>IFERROR(IF(KHH3="No",IF(VLOOKUP(DATE($K$1,$K$2,KGY$4),Table1[],(MATCH(Calendar!$A18,DB!$1:$1,0)),FALSE)&gt;=5,"Good","Bad"),VLOOKUP(DATE($K$1,$K$2,KGY$4),Table1[],(MATCH(Calendar!$A18,DB!$1:$1,0)),FALSE)),"")</f>
        <v/>
      </c>
      <c r="KGZ18" s="28" t="str">
        <f>IFERROR(IF(KHI3="No",IF(VLOOKUP(DATE($K$1,$K$2,KGZ$4),Table1[],(MATCH(Calendar!$A18,DB!$1:$1,0)),FALSE)&gt;=5,"Good","Bad"),VLOOKUP(DATE($K$1,$K$2,KGZ$4),Table1[],(MATCH(Calendar!$A18,DB!$1:$1,0)),FALSE)),"")</f>
        <v/>
      </c>
      <c r="KHA18" s="28" t="str">
        <f>IFERROR(IF(KHJ3="No",IF(VLOOKUP(DATE($K$1,$K$2,KHA$4),Table1[],(MATCH(Calendar!$A18,DB!$1:$1,0)),FALSE)&gt;=5,"Good","Bad"),VLOOKUP(DATE($K$1,$K$2,KHA$4),Table1[],(MATCH(Calendar!$A18,DB!$1:$1,0)),FALSE)),"")</f>
        <v/>
      </c>
      <c r="KHB18" s="28" t="str">
        <f>IFERROR(IF(KHK3="No",IF(VLOOKUP(DATE($K$1,$K$2,KHB$4),Table1[],(MATCH(Calendar!$A18,DB!$1:$1,0)),FALSE)&gt;=5,"Good","Bad"),VLOOKUP(DATE($K$1,$K$2,KHB$4),Table1[],(MATCH(Calendar!$A18,DB!$1:$1,0)),FALSE)),"")</f>
        <v/>
      </c>
      <c r="KHC18" s="28" t="str">
        <f>IFERROR(IF(KHL3="No",IF(VLOOKUP(DATE($K$1,$K$2,KHC$4),Table1[],(MATCH(Calendar!$A18,DB!$1:$1,0)),FALSE)&gt;=5,"Good","Bad"),VLOOKUP(DATE($K$1,$K$2,KHC$4),Table1[],(MATCH(Calendar!$A18,DB!$1:$1,0)),FALSE)),"")</f>
        <v/>
      </c>
      <c r="KHD18" s="28" t="str">
        <f>IFERROR(IF(KHM3="No",IF(VLOOKUP(DATE($K$1,$K$2,KHD$4),Table1[],(MATCH(Calendar!$A18,DB!$1:$1,0)),FALSE)&gt;=5,"Good","Bad"),VLOOKUP(DATE($K$1,$K$2,KHD$4),Table1[],(MATCH(Calendar!$A18,DB!$1:$1,0)),FALSE)),"")</f>
        <v/>
      </c>
      <c r="KHE18" s="28" t="str">
        <f>IFERROR(IF(KHN3="No",IF(VLOOKUP(DATE($K$1,$K$2,KHE$4),Table1[],(MATCH(Calendar!$A18,DB!$1:$1,0)),FALSE)&gt;=5,"Good","Bad"),VLOOKUP(DATE($K$1,$K$2,KHE$4),Table1[],(MATCH(Calendar!$A18,DB!$1:$1,0)),FALSE)),"")</f>
        <v/>
      </c>
      <c r="KHF18" s="28" t="str">
        <f>IFERROR(IF(KHO3="No",IF(VLOOKUP(DATE($K$1,$K$2,KHF$4),Table1[],(MATCH(Calendar!$A18,DB!$1:$1,0)),FALSE)&gt;=5,"Good","Bad"),VLOOKUP(DATE($K$1,$K$2,KHF$4),Table1[],(MATCH(Calendar!$A18,DB!$1:$1,0)),FALSE)),"")</f>
        <v/>
      </c>
      <c r="KHG18" s="28" t="str">
        <f>IFERROR(IF(KHP3="No",IF(VLOOKUP(DATE($K$1,$K$2,KHG$4),Table1[],(MATCH(Calendar!$A18,DB!$1:$1,0)),FALSE)&gt;=5,"Good","Bad"),VLOOKUP(DATE($K$1,$K$2,KHG$4),Table1[],(MATCH(Calendar!$A18,DB!$1:$1,0)),FALSE)),"")</f>
        <v/>
      </c>
      <c r="KHH18" s="28" t="str">
        <f>IFERROR(IF(KHQ3="No",IF(VLOOKUP(DATE($K$1,$K$2,KHH$4),Table1[],(MATCH(Calendar!$A18,DB!$1:$1,0)),FALSE)&gt;=5,"Good","Bad"),VLOOKUP(DATE($K$1,$K$2,KHH$4),Table1[],(MATCH(Calendar!$A18,DB!$1:$1,0)),FALSE)),"")</f>
        <v/>
      </c>
      <c r="KHI18" s="28" t="str">
        <f>IFERROR(IF(KHR3="No",IF(VLOOKUP(DATE($K$1,$K$2,KHI$4),Table1[],(MATCH(Calendar!$A18,DB!$1:$1,0)),FALSE)&gt;=5,"Good","Bad"),VLOOKUP(DATE($K$1,$K$2,KHI$4),Table1[],(MATCH(Calendar!$A18,DB!$1:$1,0)),FALSE)),"")</f>
        <v/>
      </c>
      <c r="KHJ18" s="28" t="str">
        <f>IFERROR(IF(KHS3="No",IF(VLOOKUP(DATE($K$1,$K$2,KHJ$4),Table1[],(MATCH(Calendar!$A18,DB!$1:$1,0)),FALSE)&gt;=5,"Good","Bad"),VLOOKUP(DATE($K$1,$K$2,KHJ$4),Table1[],(MATCH(Calendar!$A18,DB!$1:$1,0)),FALSE)),"")</f>
        <v/>
      </c>
      <c r="KHK18" s="28" t="str">
        <f>IFERROR(IF(KHT3="No",IF(VLOOKUP(DATE($K$1,$K$2,KHK$4),Table1[],(MATCH(Calendar!$A18,DB!$1:$1,0)),FALSE)&gt;=5,"Good","Bad"),VLOOKUP(DATE($K$1,$K$2,KHK$4),Table1[],(MATCH(Calendar!$A18,DB!$1:$1,0)),FALSE)),"")</f>
        <v/>
      </c>
      <c r="KHL18" s="28" t="str">
        <f>IFERROR(IF(KHU3="No",IF(VLOOKUP(DATE($K$1,$K$2,KHL$4),Table1[],(MATCH(Calendar!$A18,DB!$1:$1,0)),FALSE)&gt;=5,"Good","Bad"),VLOOKUP(DATE($K$1,$K$2,KHL$4),Table1[],(MATCH(Calendar!$A18,DB!$1:$1,0)),FALSE)),"")</f>
        <v/>
      </c>
      <c r="KHM18" s="28" t="str">
        <f>IFERROR(IF(KHV3="No",IF(VLOOKUP(DATE($K$1,$K$2,KHM$4),Table1[],(MATCH(Calendar!$A18,DB!$1:$1,0)),FALSE)&gt;=5,"Good","Bad"),VLOOKUP(DATE($K$1,$K$2,KHM$4),Table1[],(MATCH(Calendar!$A18,DB!$1:$1,0)),FALSE)),"")</f>
        <v/>
      </c>
      <c r="KHN18" s="28" t="str">
        <f>IFERROR(IF(KHW3="No",IF(VLOOKUP(DATE($K$1,$K$2,KHN$4),Table1[],(MATCH(Calendar!$A18,DB!$1:$1,0)),FALSE)&gt;=5,"Good","Bad"),VLOOKUP(DATE($K$1,$K$2,KHN$4),Table1[],(MATCH(Calendar!$A18,DB!$1:$1,0)),FALSE)),"")</f>
        <v/>
      </c>
      <c r="KHO18" s="28" t="str">
        <f>IFERROR(IF(KHX3="No",IF(VLOOKUP(DATE($K$1,$K$2,KHO$4),Table1[],(MATCH(Calendar!$A18,DB!$1:$1,0)),FALSE)&gt;=5,"Good","Bad"),VLOOKUP(DATE($K$1,$K$2,KHO$4),Table1[],(MATCH(Calendar!$A18,DB!$1:$1,0)),FALSE)),"")</f>
        <v/>
      </c>
      <c r="KHP18" s="28" t="str">
        <f>IFERROR(IF(KHY3="No",IF(VLOOKUP(DATE($K$1,$K$2,KHP$4),Table1[],(MATCH(Calendar!$A18,DB!$1:$1,0)),FALSE)&gt;=5,"Good","Bad"),VLOOKUP(DATE($K$1,$K$2,KHP$4),Table1[],(MATCH(Calendar!$A18,DB!$1:$1,0)),FALSE)),"")</f>
        <v/>
      </c>
      <c r="KHQ18" s="28" t="str">
        <f>IFERROR(IF(KHZ3="No",IF(VLOOKUP(DATE($K$1,$K$2,KHQ$4),Table1[],(MATCH(Calendar!$A18,DB!$1:$1,0)),FALSE)&gt;=5,"Good","Bad"),VLOOKUP(DATE($K$1,$K$2,KHQ$4),Table1[],(MATCH(Calendar!$A18,DB!$1:$1,0)),FALSE)),"")</f>
        <v/>
      </c>
      <c r="KHR18" s="28" t="str">
        <f>IFERROR(IF(KIA3="No",IF(VLOOKUP(DATE($K$1,$K$2,KHR$4),Table1[],(MATCH(Calendar!$A18,DB!$1:$1,0)),FALSE)&gt;=5,"Good","Bad"),VLOOKUP(DATE($K$1,$K$2,KHR$4),Table1[],(MATCH(Calendar!$A18,DB!$1:$1,0)),FALSE)),"")</f>
        <v/>
      </c>
      <c r="KHS18" s="28" t="str">
        <f>IFERROR(IF(KIB3="No",IF(VLOOKUP(DATE($K$1,$K$2,KHS$4),Table1[],(MATCH(Calendar!$A18,DB!$1:$1,0)),FALSE)&gt;=5,"Good","Bad"),VLOOKUP(DATE($K$1,$K$2,KHS$4),Table1[],(MATCH(Calendar!$A18,DB!$1:$1,0)),FALSE)),"")</f>
        <v/>
      </c>
      <c r="KHT18" s="28" t="str">
        <f>IFERROR(IF(KIC3="No",IF(VLOOKUP(DATE($K$1,$K$2,KHT$4),Table1[],(MATCH(Calendar!$A18,DB!$1:$1,0)),FALSE)&gt;=5,"Good","Bad"),VLOOKUP(DATE($K$1,$K$2,KHT$4),Table1[],(MATCH(Calendar!$A18,DB!$1:$1,0)),FALSE)),"")</f>
        <v/>
      </c>
      <c r="KHU18" s="28" t="str">
        <f>IFERROR(IF(KID3="No",IF(VLOOKUP(DATE($K$1,$K$2,KHU$4),Table1[],(MATCH(Calendar!$A18,DB!$1:$1,0)),FALSE)&gt;=5,"Good","Bad"),VLOOKUP(DATE($K$1,$K$2,KHU$4),Table1[],(MATCH(Calendar!$A18,DB!$1:$1,0)),FALSE)),"")</f>
        <v/>
      </c>
      <c r="KHV18" s="28" t="str">
        <f>IFERROR(IF(KIE3="No",IF(VLOOKUP(DATE($K$1,$K$2,KHV$4),Table1[],(MATCH(Calendar!$A18,DB!$1:$1,0)),FALSE)&gt;=5,"Good","Bad"),VLOOKUP(DATE($K$1,$K$2,KHV$4),Table1[],(MATCH(Calendar!$A18,DB!$1:$1,0)),FALSE)),"")</f>
        <v/>
      </c>
      <c r="KHW18" s="28" t="str">
        <f>IFERROR(IF(KIF3="No",IF(VLOOKUP(DATE($K$1,$K$2,KHW$4),Table1[],(MATCH(Calendar!$A18,DB!$1:$1,0)),FALSE)&gt;=5,"Good","Bad"),VLOOKUP(DATE($K$1,$K$2,KHW$4),Table1[],(MATCH(Calendar!$A18,DB!$1:$1,0)),FALSE)),"")</f>
        <v/>
      </c>
      <c r="KHX18" s="28" t="str">
        <f>IFERROR(IF(KIG3="No",IF(VLOOKUP(DATE($K$1,$K$2,KHX$4),Table1[],(MATCH(Calendar!$A18,DB!$1:$1,0)),FALSE)&gt;=5,"Good","Bad"),VLOOKUP(DATE($K$1,$K$2,KHX$4),Table1[],(MATCH(Calendar!$A18,DB!$1:$1,0)),FALSE)),"")</f>
        <v/>
      </c>
      <c r="KHY18" s="28" t="str">
        <f>IFERROR(IF(KIH3="No",IF(VLOOKUP(DATE($K$1,$K$2,KHY$4),Table1[],(MATCH(Calendar!$A18,DB!$1:$1,0)),FALSE)&gt;=5,"Good","Bad"),VLOOKUP(DATE($K$1,$K$2,KHY$4),Table1[],(MATCH(Calendar!$A18,DB!$1:$1,0)),FALSE)),"")</f>
        <v/>
      </c>
      <c r="KHZ18" s="28" t="str">
        <f>IFERROR(IF(KII3="No",IF(VLOOKUP(DATE($K$1,$K$2,KHZ$4),Table1[],(MATCH(Calendar!$A18,DB!$1:$1,0)),FALSE)&gt;=5,"Good","Bad"),VLOOKUP(DATE($K$1,$K$2,KHZ$4),Table1[],(MATCH(Calendar!$A18,DB!$1:$1,0)),FALSE)),"")</f>
        <v/>
      </c>
      <c r="KIA18" s="28" t="str">
        <f>IFERROR(IF(KIJ3="No",IF(VLOOKUP(DATE($K$1,$K$2,KIA$4),Table1[],(MATCH(Calendar!$A18,DB!$1:$1,0)),FALSE)&gt;=5,"Good","Bad"),VLOOKUP(DATE($K$1,$K$2,KIA$4),Table1[],(MATCH(Calendar!$A18,DB!$1:$1,0)),FALSE)),"")</f>
        <v/>
      </c>
      <c r="KIB18" s="28" t="str">
        <f>IFERROR(IF(KIK3="No",IF(VLOOKUP(DATE($K$1,$K$2,KIB$4),Table1[],(MATCH(Calendar!$A18,DB!$1:$1,0)),FALSE)&gt;=5,"Good","Bad"),VLOOKUP(DATE($K$1,$K$2,KIB$4),Table1[],(MATCH(Calendar!$A18,DB!$1:$1,0)),FALSE)),"")</f>
        <v/>
      </c>
      <c r="KIC18" s="28" t="str">
        <f>IFERROR(IF(KIL3="No",IF(VLOOKUP(DATE($K$1,$K$2,KIC$4),Table1[],(MATCH(Calendar!$A18,DB!$1:$1,0)),FALSE)&gt;=5,"Good","Bad"),VLOOKUP(DATE($K$1,$K$2,KIC$4),Table1[],(MATCH(Calendar!$A18,DB!$1:$1,0)),FALSE)),"")</f>
        <v/>
      </c>
      <c r="KID18" s="28" t="str">
        <f>IFERROR(IF(KIM3="No",IF(VLOOKUP(DATE($K$1,$K$2,KID$4),Table1[],(MATCH(Calendar!$A18,DB!$1:$1,0)),FALSE)&gt;=5,"Good","Bad"),VLOOKUP(DATE($K$1,$K$2,KID$4),Table1[],(MATCH(Calendar!$A18,DB!$1:$1,0)),FALSE)),"")</f>
        <v/>
      </c>
      <c r="KIE18" s="28" t="str">
        <f>IFERROR(IF(KIN3="No",IF(VLOOKUP(DATE($K$1,$K$2,KIE$4),Table1[],(MATCH(Calendar!$A18,DB!$1:$1,0)),FALSE)&gt;=5,"Good","Bad"),VLOOKUP(DATE($K$1,$K$2,KIE$4),Table1[],(MATCH(Calendar!$A18,DB!$1:$1,0)),FALSE)),"")</f>
        <v/>
      </c>
      <c r="KIF18" s="28" t="str">
        <f>IFERROR(IF(KIO3="No",IF(VLOOKUP(DATE($K$1,$K$2,KIF$4),Table1[],(MATCH(Calendar!$A18,DB!$1:$1,0)),FALSE)&gt;=5,"Good","Bad"),VLOOKUP(DATE($K$1,$K$2,KIF$4),Table1[],(MATCH(Calendar!$A18,DB!$1:$1,0)),FALSE)),"")</f>
        <v/>
      </c>
      <c r="KIG18" s="28" t="str">
        <f>IFERROR(IF(KIP3="No",IF(VLOOKUP(DATE($K$1,$K$2,KIG$4),Table1[],(MATCH(Calendar!$A18,DB!$1:$1,0)),FALSE)&gt;=5,"Good","Bad"),VLOOKUP(DATE($K$1,$K$2,KIG$4),Table1[],(MATCH(Calendar!$A18,DB!$1:$1,0)),FALSE)),"")</f>
        <v/>
      </c>
      <c r="KIH18" s="28" t="str">
        <f>IFERROR(IF(KIQ3="No",IF(VLOOKUP(DATE($K$1,$K$2,KIH$4),Table1[],(MATCH(Calendar!$A18,DB!$1:$1,0)),FALSE)&gt;=5,"Good","Bad"),VLOOKUP(DATE($K$1,$K$2,KIH$4),Table1[],(MATCH(Calendar!$A18,DB!$1:$1,0)),FALSE)),"")</f>
        <v/>
      </c>
      <c r="KII18" s="28" t="str">
        <f>IFERROR(IF(KIR3="No",IF(VLOOKUP(DATE($K$1,$K$2,KII$4),Table1[],(MATCH(Calendar!$A18,DB!$1:$1,0)),FALSE)&gt;=5,"Good","Bad"),VLOOKUP(DATE($K$1,$K$2,KII$4),Table1[],(MATCH(Calendar!$A18,DB!$1:$1,0)),FALSE)),"")</f>
        <v/>
      </c>
      <c r="KIJ18" s="28" t="str">
        <f>IFERROR(IF(KIS3="No",IF(VLOOKUP(DATE($K$1,$K$2,KIJ$4),Table1[],(MATCH(Calendar!$A18,DB!$1:$1,0)),FALSE)&gt;=5,"Good","Bad"),VLOOKUP(DATE($K$1,$K$2,KIJ$4),Table1[],(MATCH(Calendar!$A18,DB!$1:$1,0)),FALSE)),"")</f>
        <v/>
      </c>
      <c r="KIK18" s="28" t="str">
        <f>IFERROR(IF(KIT3="No",IF(VLOOKUP(DATE($K$1,$K$2,KIK$4),Table1[],(MATCH(Calendar!$A18,DB!$1:$1,0)),FALSE)&gt;=5,"Good","Bad"),VLOOKUP(DATE($K$1,$K$2,KIK$4),Table1[],(MATCH(Calendar!$A18,DB!$1:$1,0)),FALSE)),"")</f>
        <v/>
      </c>
      <c r="KIL18" s="28" t="str">
        <f>IFERROR(IF(KIU3="No",IF(VLOOKUP(DATE($K$1,$K$2,KIL$4),Table1[],(MATCH(Calendar!$A18,DB!$1:$1,0)),FALSE)&gt;=5,"Good","Bad"),VLOOKUP(DATE($K$1,$K$2,KIL$4),Table1[],(MATCH(Calendar!$A18,DB!$1:$1,0)),FALSE)),"")</f>
        <v/>
      </c>
      <c r="KIM18" s="28" t="str">
        <f>IFERROR(IF(KIV3="No",IF(VLOOKUP(DATE($K$1,$K$2,KIM$4),Table1[],(MATCH(Calendar!$A18,DB!$1:$1,0)),FALSE)&gt;=5,"Good","Bad"),VLOOKUP(DATE($K$1,$K$2,KIM$4),Table1[],(MATCH(Calendar!$A18,DB!$1:$1,0)),FALSE)),"")</f>
        <v/>
      </c>
      <c r="KIN18" s="28" t="str">
        <f>IFERROR(IF(KIW3="No",IF(VLOOKUP(DATE($K$1,$K$2,KIN$4),Table1[],(MATCH(Calendar!$A18,DB!$1:$1,0)),FALSE)&gt;=5,"Good","Bad"),VLOOKUP(DATE($K$1,$K$2,KIN$4),Table1[],(MATCH(Calendar!$A18,DB!$1:$1,0)),FALSE)),"")</f>
        <v/>
      </c>
      <c r="KIO18" s="28" t="str">
        <f>IFERROR(IF(KIX3="No",IF(VLOOKUP(DATE($K$1,$K$2,KIO$4),Table1[],(MATCH(Calendar!$A18,DB!$1:$1,0)),FALSE)&gt;=5,"Good","Bad"),VLOOKUP(DATE($K$1,$K$2,KIO$4),Table1[],(MATCH(Calendar!$A18,DB!$1:$1,0)),FALSE)),"")</f>
        <v/>
      </c>
      <c r="KIP18" s="28" t="str">
        <f>IFERROR(IF(KIY3="No",IF(VLOOKUP(DATE($K$1,$K$2,KIP$4),Table1[],(MATCH(Calendar!$A18,DB!$1:$1,0)),FALSE)&gt;=5,"Good","Bad"),VLOOKUP(DATE($K$1,$K$2,KIP$4),Table1[],(MATCH(Calendar!$A18,DB!$1:$1,0)),FALSE)),"")</f>
        <v/>
      </c>
      <c r="KIQ18" s="28" t="str">
        <f>IFERROR(IF(KIZ3="No",IF(VLOOKUP(DATE($K$1,$K$2,KIQ$4),Table1[],(MATCH(Calendar!$A18,DB!$1:$1,0)),FALSE)&gt;=5,"Good","Bad"),VLOOKUP(DATE($K$1,$K$2,KIQ$4),Table1[],(MATCH(Calendar!$A18,DB!$1:$1,0)),FALSE)),"")</f>
        <v/>
      </c>
      <c r="KIR18" s="28" t="str">
        <f>IFERROR(IF(KJA3="No",IF(VLOOKUP(DATE($K$1,$K$2,KIR$4),Table1[],(MATCH(Calendar!$A18,DB!$1:$1,0)),FALSE)&gt;=5,"Good","Bad"),VLOOKUP(DATE($K$1,$K$2,KIR$4),Table1[],(MATCH(Calendar!$A18,DB!$1:$1,0)),FALSE)),"")</f>
        <v/>
      </c>
      <c r="KIS18" s="28" t="str">
        <f>IFERROR(IF(KJB3="No",IF(VLOOKUP(DATE($K$1,$K$2,KIS$4),Table1[],(MATCH(Calendar!$A18,DB!$1:$1,0)),FALSE)&gt;=5,"Good","Bad"),VLOOKUP(DATE($K$1,$K$2,KIS$4),Table1[],(MATCH(Calendar!$A18,DB!$1:$1,0)),FALSE)),"")</f>
        <v/>
      </c>
      <c r="KIT18" s="28" t="str">
        <f>IFERROR(IF(KJC3="No",IF(VLOOKUP(DATE($K$1,$K$2,KIT$4),Table1[],(MATCH(Calendar!$A18,DB!$1:$1,0)),FALSE)&gt;=5,"Good","Bad"),VLOOKUP(DATE($K$1,$K$2,KIT$4),Table1[],(MATCH(Calendar!$A18,DB!$1:$1,0)),FALSE)),"")</f>
        <v/>
      </c>
      <c r="KIU18" s="28" t="str">
        <f>IFERROR(IF(KJD3="No",IF(VLOOKUP(DATE($K$1,$K$2,KIU$4),Table1[],(MATCH(Calendar!$A18,DB!$1:$1,0)),FALSE)&gt;=5,"Good","Bad"),VLOOKUP(DATE($K$1,$K$2,KIU$4),Table1[],(MATCH(Calendar!$A18,DB!$1:$1,0)),FALSE)),"")</f>
        <v/>
      </c>
      <c r="KIV18" s="28" t="str">
        <f>IFERROR(IF(KJE3="No",IF(VLOOKUP(DATE($K$1,$K$2,KIV$4),Table1[],(MATCH(Calendar!$A18,DB!$1:$1,0)),FALSE)&gt;=5,"Good","Bad"),VLOOKUP(DATE($K$1,$K$2,KIV$4),Table1[],(MATCH(Calendar!$A18,DB!$1:$1,0)),FALSE)),"")</f>
        <v/>
      </c>
      <c r="KIW18" s="28" t="str">
        <f>IFERROR(IF(KJF3="No",IF(VLOOKUP(DATE($K$1,$K$2,KIW$4),Table1[],(MATCH(Calendar!$A18,DB!$1:$1,0)),FALSE)&gt;=5,"Good","Bad"),VLOOKUP(DATE($K$1,$K$2,KIW$4),Table1[],(MATCH(Calendar!$A18,DB!$1:$1,0)),FALSE)),"")</f>
        <v/>
      </c>
      <c r="KIX18" s="28" t="str">
        <f>IFERROR(IF(KJG3="No",IF(VLOOKUP(DATE($K$1,$K$2,KIX$4),Table1[],(MATCH(Calendar!$A18,DB!$1:$1,0)),FALSE)&gt;=5,"Good","Bad"),VLOOKUP(DATE($K$1,$K$2,KIX$4),Table1[],(MATCH(Calendar!$A18,DB!$1:$1,0)),FALSE)),"")</f>
        <v/>
      </c>
      <c r="KIY18" s="28" t="str">
        <f>IFERROR(IF(KJH3="No",IF(VLOOKUP(DATE($K$1,$K$2,KIY$4),Table1[],(MATCH(Calendar!$A18,DB!$1:$1,0)),FALSE)&gt;=5,"Good","Bad"),VLOOKUP(DATE($K$1,$K$2,KIY$4),Table1[],(MATCH(Calendar!$A18,DB!$1:$1,0)),FALSE)),"")</f>
        <v/>
      </c>
      <c r="KIZ18" s="28" t="str">
        <f>IFERROR(IF(KJI3="No",IF(VLOOKUP(DATE($K$1,$K$2,KIZ$4),Table1[],(MATCH(Calendar!$A18,DB!$1:$1,0)),FALSE)&gt;=5,"Good","Bad"),VLOOKUP(DATE($K$1,$K$2,KIZ$4),Table1[],(MATCH(Calendar!$A18,DB!$1:$1,0)),FALSE)),"")</f>
        <v/>
      </c>
      <c r="KJA18" s="28" t="str">
        <f>IFERROR(IF(KJJ3="No",IF(VLOOKUP(DATE($K$1,$K$2,KJA$4),Table1[],(MATCH(Calendar!$A18,DB!$1:$1,0)),FALSE)&gt;=5,"Good","Bad"),VLOOKUP(DATE($K$1,$K$2,KJA$4),Table1[],(MATCH(Calendar!$A18,DB!$1:$1,0)),FALSE)),"")</f>
        <v/>
      </c>
      <c r="KJB18" s="28" t="str">
        <f>IFERROR(IF(KJK3="No",IF(VLOOKUP(DATE($K$1,$K$2,KJB$4),Table1[],(MATCH(Calendar!$A18,DB!$1:$1,0)),FALSE)&gt;=5,"Good","Bad"),VLOOKUP(DATE($K$1,$K$2,KJB$4),Table1[],(MATCH(Calendar!$A18,DB!$1:$1,0)),FALSE)),"")</f>
        <v/>
      </c>
      <c r="KJC18" s="28" t="str">
        <f>IFERROR(IF(KJL3="No",IF(VLOOKUP(DATE($K$1,$K$2,KJC$4),Table1[],(MATCH(Calendar!$A18,DB!$1:$1,0)),FALSE)&gt;=5,"Good","Bad"),VLOOKUP(DATE($K$1,$K$2,KJC$4),Table1[],(MATCH(Calendar!$A18,DB!$1:$1,0)),FALSE)),"")</f>
        <v/>
      </c>
      <c r="KJD18" s="28" t="str">
        <f>IFERROR(IF(KJM3="No",IF(VLOOKUP(DATE($K$1,$K$2,KJD$4),Table1[],(MATCH(Calendar!$A18,DB!$1:$1,0)),FALSE)&gt;=5,"Good","Bad"),VLOOKUP(DATE($K$1,$K$2,KJD$4),Table1[],(MATCH(Calendar!$A18,DB!$1:$1,0)),FALSE)),"")</f>
        <v/>
      </c>
      <c r="KJE18" s="28" t="str">
        <f>IFERROR(IF(KJN3="No",IF(VLOOKUP(DATE($K$1,$K$2,KJE$4),Table1[],(MATCH(Calendar!$A18,DB!$1:$1,0)),FALSE)&gt;=5,"Good","Bad"),VLOOKUP(DATE($K$1,$K$2,KJE$4),Table1[],(MATCH(Calendar!$A18,DB!$1:$1,0)),FALSE)),"")</f>
        <v/>
      </c>
      <c r="KJF18" s="28" t="str">
        <f>IFERROR(IF(KJO3="No",IF(VLOOKUP(DATE($K$1,$K$2,KJF$4),Table1[],(MATCH(Calendar!$A18,DB!$1:$1,0)),FALSE)&gt;=5,"Good","Bad"),VLOOKUP(DATE($K$1,$K$2,KJF$4),Table1[],(MATCH(Calendar!$A18,DB!$1:$1,0)),FALSE)),"")</f>
        <v/>
      </c>
      <c r="KJG18" s="28" t="str">
        <f>IFERROR(IF(KJP3="No",IF(VLOOKUP(DATE($K$1,$K$2,KJG$4),Table1[],(MATCH(Calendar!$A18,DB!$1:$1,0)),FALSE)&gt;=5,"Good","Bad"),VLOOKUP(DATE($K$1,$K$2,KJG$4),Table1[],(MATCH(Calendar!$A18,DB!$1:$1,0)),FALSE)),"")</f>
        <v/>
      </c>
      <c r="KJH18" s="28" t="str">
        <f>IFERROR(IF(KJQ3="No",IF(VLOOKUP(DATE($K$1,$K$2,KJH$4),Table1[],(MATCH(Calendar!$A18,DB!$1:$1,0)),FALSE)&gt;=5,"Good","Bad"),VLOOKUP(DATE($K$1,$K$2,KJH$4),Table1[],(MATCH(Calendar!$A18,DB!$1:$1,0)),FALSE)),"")</f>
        <v/>
      </c>
      <c r="KJI18" s="28" t="str">
        <f>IFERROR(IF(KJR3="No",IF(VLOOKUP(DATE($K$1,$K$2,KJI$4),Table1[],(MATCH(Calendar!$A18,DB!$1:$1,0)),FALSE)&gt;=5,"Good","Bad"),VLOOKUP(DATE($K$1,$K$2,KJI$4),Table1[],(MATCH(Calendar!$A18,DB!$1:$1,0)),FALSE)),"")</f>
        <v/>
      </c>
      <c r="KJJ18" s="28" t="str">
        <f>IFERROR(IF(KJS3="No",IF(VLOOKUP(DATE($K$1,$K$2,KJJ$4),Table1[],(MATCH(Calendar!$A18,DB!$1:$1,0)),FALSE)&gt;=5,"Good","Bad"),VLOOKUP(DATE($K$1,$K$2,KJJ$4),Table1[],(MATCH(Calendar!$A18,DB!$1:$1,0)),FALSE)),"")</f>
        <v/>
      </c>
      <c r="KJK18" s="28" t="str">
        <f>IFERROR(IF(KJT3="No",IF(VLOOKUP(DATE($K$1,$K$2,KJK$4),Table1[],(MATCH(Calendar!$A18,DB!$1:$1,0)),FALSE)&gt;=5,"Good","Bad"),VLOOKUP(DATE($K$1,$K$2,KJK$4),Table1[],(MATCH(Calendar!$A18,DB!$1:$1,0)),FALSE)),"")</f>
        <v/>
      </c>
      <c r="KJL18" s="28" t="str">
        <f>IFERROR(IF(KJU3="No",IF(VLOOKUP(DATE($K$1,$K$2,KJL$4),Table1[],(MATCH(Calendar!$A18,DB!$1:$1,0)),FALSE)&gt;=5,"Good","Bad"),VLOOKUP(DATE($K$1,$K$2,KJL$4),Table1[],(MATCH(Calendar!$A18,DB!$1:$1,0)),FALSE)),"")</f>
        <v/>
      </c>
      <c r="KJM18" s="28" t="str">
        <f>IFERROR(IF(KJV3="No",IF(VLOOKUP(DATE($K$1,$K$2,KJM$4),Table1[],(MATCH(Calendar!$A18,DB!$1:$1,0)),FALSE)&gt;=5,"Good","Bad"),VLOOKUP(DATE($K$1,$K$2,KJM$4),Table1[],(MATCH(Calendar!$A18,DB!$1:$1,0)),FALSE)),"")</f>
        <v/>
      </c>
      <c r="KJN18" s="28" t="str">
        <f>IFERROR(IF(KJW3="No",IF(VLOOKUP(DATE($K$1,$K$2,KJN$4),Table1[],(MATCH(Calendar!$A18,DB!$1:$1,0)),FALSE)&gt;=5,"Good","Bad"),VLOOKUP(DATE($K$1,$K$2,KJN$4),Table1[],(MATCH(Calendar!$A18,DB!$1:$1,0)),FALSE)),"")</f>
        <v/>
      </c>
      <c r="KJO18" s="28" t="str">
        <f>IFERROR(IF(KJX3="No",IF(VLOOKUP(DATE($K$1,$K$2,KJO$4),Table1[],(MATCH(Calendar!$A18,DB!$1:$1,0)),FALSE)&gt;=5,"Good","Bad"),VLOOKUP(DATE($K$1,$K$2,KJO$4),Table1[],(MATCH(Calendar!$A18,DB!$1:$1,0)),FALSE)),"")</f>
        <v/>
      </c>
      <c r="KJP18" s="28" t="str">
        <f>IFERROR(IF(KJY3="No",IF(VLOOKUP(DATE($K$1,$K$2,KJP$4),Table1[],(MATCH(Calendar!$A18,DB!$1:$1,0)),FALSE)&gt;=5,"Good","Bad"),VLOOKUP(DATE($K$1,$K$2,KJP$4),Table1[],(MATCH(Calendar!$A18,DB!$1:$1,0)),FALSE)),"")</f>
        <v/>
      </c>
      <c r="KJQ18" s="28" t="str">
        <f>IFERROR(IF(KJZ3="No",IF(VLOOKUP(DATE($K$1,$K$2,KJQ$4),Table1[],(MATCH(Calendar!$A18,DB!$1:$1,0)),FALSE)&gt;=5,"Good","Bad"),VLOOKUP(DATE($K$1,$K$2,KJQ$4),Table1[],(MATCH(Calendar!$A18,DB!$1:$1,0)),FALSE)),"")</f>
        <v/>
      </c>
      <c r="KJR18" s="28" t="str">
        <f>IFERROR(IF(KKA3="No",IF(VLOOKUP(DATE($K$1,$K$2,KJR$4),Table1[],(MATCH(Calendar!$A18,DB!$1:$1,0)),FALSE)&gt;=5,"Good","Bad"),VLOOKUP(DATE($K$1,$K$2,KJR$4),Table1[],(MATCH(Calendar!$A18,DB!$1:$1,0)),FALSE)),"")</f>
        <v/>
      </c>
      <c r="KJS18" s="28" t="str">
        <f>IFERROR(IF(KKB3="No",IF(VLOOKUP(DATE($K$1,$K$2,KJS$4),Table1[],(MATCH(Calendar!$A18,DB!$1:$1,0)),FALSE)&gt;=5,"Good","Bad"),VLOOKUP(DATE($K$1,$K$2,KJS$4),Table1[],(MATCH(Calendar!$A18,DB!$1:$1,0)),FALSE)),"")</f>
        <v/>
      </c>
      <c r="KJT18" s="28" t="str">
        <f>IFERROR(IF(KKC3="No",IF(VLOOKUP(DATE($K$1,$K$2,KJT$4),Table1[],(MATCH(Calendar!$A18,DB!$1:$1,0)),FALSE)&gt;=5,"Good","Bad"),VLOOKUP(DATE($K$1,$K$2,KJT$4),Table1[],(MATCH(Calendar!$A18,DB!$1:$1,0)),FALSE)),"")</f>
        <v/>
      </c>
      <c r="KJU18" s="28" t="str">
        <f>IFERROR(IF(KKD3="No",IF(VLOOKUP(DATE($K$1,$K$2,KJU$4),Table1[],(MATCH(Calendar!$A18,DB!$1:$1,0)),FALSE)&gt;=5,"Good","Bad"),VLOOKUP(DATE($K$1,$K$2,KJU$4),Table1[],(MATCH(Calendar!$A18,DB!$1:$1,0)),FALSE)),"")</f>
        <v/>
      </c>
      <c r="KJV18" s="28" t="str">
        <f>IFERROR(IF(KKE3="No",IF(VLOOKUP(DATE($K$1,$K$2,KJV$4),Table1[],(MATCH(Calendar!$A18,DB!$1:$1,0)),FALSE)&gt;=5,"Good","Bad"),VLOOKUP(DATE($K$1,$K$2,KJV$4),Table1[],(MATCH(Calendar!$A18,DB!$1:$1,0)),FALSE)),"")</f>
        <v/>
      </c>
      <c r="KJW18" s="28" t="str">
        <f>IFERROR(IF(KKF3="No",IF(VLOOKUP(DATE($K$1,$K$2,KJW$4),Table1[],(MATCH(Calendar!$A18,DB!$1:$1,0)),FALSE)&gt;=5,"Good","Bad"),VLOOKUP(DATE($K$1,$K$2,KJW$4),Table1[],(MATCH(Calendar!$A18,DB!$1:$1,0)),FALSE)),"")</f>
        <v/>
      </c>
      <c r="KJX18" s="28" t="str">
        <f>IFERROR(IF(KKG3="No",IF(VLOOKUP(DATE($K$1,$K$2,KJX$4),Table1[],(MATCH(Calendar!$A18,DB!$1:$1,0)),FALSE)&gt;=5,"Good","Bad"),VLOOKUP(DATE($K$1,$K$2,KJX$4),Table1[],(MATCH(Calendar!$A18,DB!$1:$1,0)),FALSE)),"")</f>
        <v/>
      </c>
      <c r="KJY18" s="28" t="str">
        <f>IFERROR(IF(KKH3="No",IF(VLOOKUP(DATE($K$1,$K$2,KJY$4),Table1[],(MATCH(Calendar!$A18,DB!$1:$1,0)),FALSE)&gt;=5,"Good","Bad"),VLOOKUP(DATE($K$1,$K$2,KJY$4),Table1[],(MATCH(Calendar!$A18,DB!$1:$1,0)),FALSE)),"")</f>
        <v/>
      </c>
      <c r="KJZ18" s="28" t="str">
        <f>IFERROR(IF(KKI3="No",IF(VLOOKUP(DATE($K$1,$K$2,KJZ$4),Table1[],(MATCH(Calendar!$A18,DB!$1:$1,0)),FALSE)&gt;=5,"Good","Bad"),VLOOKUP(DATE($K$1,$K$2,KJZ$4),Table1[],(MATCH(Calendar!$A18,DB!$1:$1,0)),FALSE)),"")</f>
        <v/>
      </c>
      <c r="KKA18" s="28" t="str">
        <f>IFERROR(IF(KKJ3="No",IF(VLOOKUP(DATE($K$1,$K$2,KKA$4),Table1[],(MATCH(Calendar!$A18,DB!$1:$1,0)),FALSE)&gt;=5,"Good","Bad"),VLOOKUP(DATE($K$1,$K$2,KKA$4),Table1[],(MATCH(Calendar!$A18,DB!$1:$1,0)),FALSE)),"")</f>
        <v/>
      </c>
      <c r="KKB18" s="28" t="str">
        <f>IFERROR(IF(KKK3="No",IF(VLOOKUP(DATE($K$1,$K$2,KKB$4),Table1[],(MATCH(Calendar!$A18,DB!$1:$1,0)),FALSE)&gt;=5,"Good","Bad"),VLOOKUP(DATE($K$1,$K$2,KKB$4),Table1[],(MATCH(Calendar!$A18,DB!$1:$1,0)),FALSE)),"")</f>
        <v/>
      </c>
      <c r="KKC18" s="28" t="str">
        <f>IFERROR(IF(KKL3="No",IF(VLOOKUP(DATE($K$1,$K$2,KKC$4),Table1[],(MATCH(Calendar!$A18,DB!$1:$1,0)),FALSE)&gt;=5,"Good","Bad"),VLOOKUP(DATE($K$1,$K$2,KKC$4),Table1[],(MATCH(Calendar!$A18,DB!$1:$1,0)),FALSE)),"")</f>
        <v/>
      </c>
      <c r="KKD18" s="28" t="str">
        <f>IFERROR(IF(KKM3="No",IF(VLOOKUP(DATE($K$1,$K$2,KKD$4),Table1[],(MATCH(Calendar!$A18,DB!$1:$1,0)),FALSE)&gt;=5,"Good","Bad"),VLOOKUP(DATE($K$1,$K$2,KKD$4),Table1[],(MATCH(Calendar!$A18,DB!$1:$1,0)),FALSE)),"")</f>
        <v/>
      </c>
      <c r="KKE18" s="28" t="str">
        <f>IFERROR(IF(KKN3="No",IF(VLOOKUP(DATE($K$1,$K$2,KKE$4),Table1[],(MATCH(Calendar!$A18,DB!$1:$1,0)),FALSE)&gt;=5,"Good","Bad"),VLOOKUP(DATE($K$1,$K$2,KKE$4),Table1[],(MATCH(Calendar!$A18,DB!$1:$1,0)),FALSE)),"")</f>
        <v/>
      </c>
      <c r="KKF18" s="28" t="str">
        <f>IFERROR(IF(KKO3="No",IF(VLOOKUP(DATE($K$1,$K$2,KKF$4),Table1[],(MATCH(Calendar!$A18,DB!$1:$1,0)),FALSE)&gt;=5,"Good","Bad"),VLOOKUP(DATE($K$1,$K$2,KKF$4),Table1[],(MATCH(Calendar!$A18,DB!$1:$1,0)),FALSE)),"")</f>
        <v/>
      </c>
      <c r="KKG18" s="28" t="str">
        <f>IFERROR(IF(KKP3="No",IF(VLOOKUP(DATE($K$1,$K$2,KKG$4),Table1[],(MATCH(Calendar!$A18,DB!$1:$1,0)),FALSE)&gt;=5,"Good","Bad"),VLOOKUP(DATE($K$1,$K$2,KKG$4),Table1[],(MATCH(Calendar!$A18,DB!$1:$1,0)),FALSE)),"")</f>
        <v/>
      </c>
      <c r="KKH18" s="28" t="str">
        <f>IFERROR(IF(KKQ3="No",IF(VLOOKUP(DATE($K$1,$K$2,KKH$4),Table1[],(MATCH(Calendar!$A18,DB!$1:$1,0)),FALSE)&gt;=5,"Good","Bad"),VLOOKUP(DATE($K$1,$K$2,KKH$4),Table1[],(MATCH(Calendar!$A18,DB!$1:$1,0)),FALSE)),"")</f>
        <v/>
      </c>
      <c r="KKI18" s="28" t="str">
        <f>IFERROR(IF(KKR3="No",IF(VLOOKUP(DATE($K$1,$K$2,KKI$4),Table1[],(MATCH(Calendar!$A18,DB!$1:$1,0)),FALSE)&gt;=5,"Good","Bad"),VLOOKUP(DATE($K$1,$K$2,KKI$4),Table1[],(MATCH(Calendar!$A18,DB!$1:$1,0)),FALSE)),"")</f>
        <v/>
      </c>
      <c r="KKJ18" s="28" t="str">
        <f>IFERROR(IF(KKS3="No",IF(VLOOKUP(DATE($K$1,$K$2,KKJ$4),Table1[],(MATCH(Calendar!$A18,DB!$1:$1,0)),FALSE)&gt;=5,"Good","Bad"),VLOOKUP(DATE($K$1,$K$2,KKJ$4),Table1[],(MATCH(Calendar!$A18,DB!$1:$1,0)),FALSE)),"")</f>
        <v/>
      </c>
      <c r="KKK18" s="28" t="str">
        <f>IFERROR(IF(KKT3="No",IF(VLOOKUP(DATE($K$1,$K$2,KKK$4),Table1[],(MATCH(Calendar!$A18,DB!$1:$1,0)),FALSE)&gt;=5,"Good","Bad"),VLOOKUP(DATE($K$1,$K$2,KKK$4),Table1[],(MATCH(Calendar!$A18,DB!$1:$1,0)),FALSE)),"")</f>
        <v/>
      </c>
      <c r="KKL18" s="28" t="str">
        <f>IFERROR(IF(KKU3="No",IF(VLOOKUP(DATE($K$1,$K$2,KKL$4),Table1[],(MATCH(Calendar!$A18,DB!$1:$1,0)),FALSE)&gt;=5,"Good","Bad"),VLOOKUP(DATE($K$1,$K$2,KKL$4),Table1[],(MATCH(Calendar!$A18,DB!$1:$1,0)),FALSE)),"")</f>
        <v/>
      </c>
      <c r="KKM18" s="28" t="str">
        <f>IFERROR(IF(KKV3="No",IF(VLOOKUP(DATE($K$1,$K$2,KKM$4),Table1[],(MATCH(Calendar!$A18,DB!$1:$1,0)),FALSE)&gt;=5,"Good","Bad"),VLOOKUP(DATE($K$1,$K$2,KKM$4),Table1[],(MATCH(Calendar!$A18,DB!$1:$1,0)),FALSE)),"")</f>
        <v/>
      </c>
      <c r="KKN18" s="28" t="str">
        <f>IFERROR(IF(KKW3="No",IF(VLOOKUP(DATE($K$1,$K$2,KKN$4),Table1[],(MATCH(Calendar!$A18,DB!$1:$1,0)),FALSE)&gt;=5,"Good","Bad"),VLOOKUP(DATE($K$1,$K$2,KKN$4),Table1[],(MATCH(Calendar!$A18,DB!$1:$1,0)),FALSE)),"")</f>
        <v/>
      </c>
      <c r="KKO18" s="28" t="str">
        <f>IFERROR(IF(KKX3="No",IF(VLOOKUP(DATE($K$1,$K$2,KKO$4),Table1[],(MATCH(Calendar!$A18,DB!$1:$1,0)),FALSE)&gt;=5,"Good","Bad"),VLOOKUP(DATE($K$1,$K$2,KKO$4),Table1[],(MATCH(Calendar!$A18,DB!$1:$1,0)),FALSE)),"")</f>
        <v/>
      </c>
      <c r="KKP18" s="28" t="str">
        <f>IFERROR(IF(KKY3="No",IF(VLOOKUP(DATE($K$1,$K$2,KKP$4),Table1[],(MATCH(Calendar!$A18,DB!$1:$1,0)),FALSE)&gt;=5,"Good","Bad"),VLOOKUP(DATE($K$1,$K$2,KKP$4),Table1[],(MATCH(Calendar!$A18,DB!$1:$1,0)),FALSE)),"")</f>
        <v/>
      </c>
      <c r="KKQ18" s="28" t="str">
        <f>IFERROR(IF(KKZ3="No",IF(VLOOKUP(DATE($K$1,$K$2,KKQ$4),Table1[],(MATCH(Calendar!$A18,DB!$1:$1,0)),FALSE)&gt;=5,"Good","Bad"),VLOOKUP(DATE($K$1,$K$2,KKQ$4),Table1[],(MATCH(Calendar!$A18,DB!$1:$1,0)),FALSE)),"")</f>
        <v/>
      </c>
      <c r="KKR18" s="28" t="str">
        <f>IFERROR(IF(KLA3="No",IF(VLOOKUP(DATE($K$1,$K$2,KKR$4),Table1[],(MATCH(Calendar!$A18,DB!$1:$1,0)),FALSE)&gt;=5,"Good","Bad"),VLOOKUP(DATE($K$1,$K$2,KKR$4),Table1[],(MATCH(Calendar!$A18,DB!$1:$1,0)),FALSE)),"")</f>
        <v/>
      </c>
      <c r="KKS18" s="28" t="str">
        <f>IFERROR(IF(KLB3="No",IF(VLOOKUP(DATE($K$1,$K$2,KKS$4),Table1[],(MATCH(Calendar!$A18,DB!$1:$1,0)),FALSE)&gt;=5,"Good","Bad"),VLOOKUP(DATE($K$1,$K$2,KKS$4),Table1[],(MATCH(Calendar!$A18,DB!$1:$1,0)),FALSE)),"")</f>
        <v/>
      </c>
      <c r="KKT18" s="28" t="str">
        <f>IFERROR(IF(KLC3="No",IF(VLOOKUP(DATE($K$1,$K$2,KKT$4),Table1[],(MATCH(Calendar!$A18,DB!$1:$1,0)),FALSE)&gt;=5,"Good","Bad"),VLOOKUP(DATE($K$1,$K$2,KKT$4),Table1[],(MATCH(Calendar!$A18,DB!$1:$1,0)),FALSE)),"")</f>
        <v/>
      </c>
      <c r="KKU18" s="28" t="str">
        <f>IFERROR(IF(KLD3="No",IF(VLOOKUP(DATE($K$1,$K$2,KKU$4),Table1[],(MATCH(Calendar!$A18,DB!$1:$1,0)),FALSE)&gt;=5,"Good","Bad"),VLOOKUP(DATE($K$1,$K$2,KKU$4),Table1[],(MATCH(Calendar!$A18,DB!$1:$1,0)),FALSE)),"")</f>
        <v/>
      </c>
      <c r="KKV18" s="28" t="str">
        <f>IFERROR(IF(KLE3="No",IF(VLOOKUP(DATE($K$1,$K$2,KKV$4),Table1[],(MATCH(Calendar!$A18,DB!$1:$1,0)),FALSE)&gt;=5,"Good","Bad"),VLOOKUP(DATE($K$1,$K$2,KKV$4),Table1[],(MATCH(Calendar!$A18,DB!$1:$1,0)),FALSE)),"")</f>
        <v/>
      </c>
      <c r="KKW18" s="28" t="str">
        <f>IFERROR(IF(KLF3="No",IF(VLOOKUP(DATE($K$1,$K$2,KKW$4),Table1[],(MATCH(Calendar!$A18,DB!$1:$1,0)),FALSE)&gt;=5,"Good","Bad"),VLOOKUP(DATE($K$1,$K$2,KKW$4),Table1[],(MATCH(Calendar!$A18,DB!$1:$1,0)),FALSE)),"")</f>
        <v/>
      </c>
      <c r="KKX18" s="28" t="str">
        <f>IFERROR(IF(KLG3="No",IF(VLOOKUP(DATE($K$1,$K$2,KKX$4),Table1[],(MATCH(Calendar!$A18,DB!$1:$1,0)),FALSE)&gt;=5,"Good","Bad"),VLOOKUP(DATE($K$1,$K$2,KKX$4),Table1[],(MATCH(Calendar!$A18,DB!$1:$1,0)),FALSE)),"")</f>
        <v/>
      </c>
      <c r="KKY18" s="28" t="str">
        <f>IFERROR(IF(KLH3="No",IF(VLOOKUP(DATE($K$1,$K$2,KKY$4),Table1[],(MATCH(Calendar!$A18,DB!$1:$1,0)),FALSE)&gt;=5,"Good","Bad"),VLOOKUP(DATE($K$1,$K$2,KKY$4),Table1[],(MATCH(Calendar!$A18,DB!$1:$1,0)),FALSE)),"")</f>
        <v/>
      </c>
      <c r="KKZ18" s="28" t="str">
        <f>IFERROR(IF(KLI3="No",IF(VLOOKUP(DATE($K$1,$K$2,KKZ$4),Table1[],(MATCH(Calendar!$A18,DB!$1:$1,0)),FALSE)&gt;=5,"Good","Bad"),VLOOKUP(DATE($K$1,$K$2,KKZ$4),Table1[],(MATCH(Calendar!$A18,DB!$1:$1,0)),FALSE)),"")</f>
        <v/>
      </c>
      <c r="KLA18" s="28" t="str">
        <f>IFERROR(IF(KLJ3="No",IF(VLOOKUP(DATE($K$1,$K$2,KLA$4),Table1[],(MATCH(Calendar!$A18,DB!$1:$1,0)),FALSE)&gt;=5,"Good","Bad"),VLOOKUP(DATE($K$1,$K$2,KLA$4),Table1[],(MATCH(Calendar!$A18,DB!$1:$1,0)),FALSE)),"")</f>
        <v/>
      </c>
      <c r="KLB18" s="28" t="str">
        <f>IFERROR(IF(KLK3="No",IF(VLOOKUP(DATE($K$1,$K$2,KLB$4),Table1[],(MATCH(Calendar!$A18,DB!$1:$1,0)),FALSE)&gt;=5,"Good","Bad"),VLOOKUP(DATE($K$1,$K$2,KLB$4),Table1[],(MATCH(Calendar!$A18,DB!$1:$1,0)),FALSE)),"")</f>
        <v/>
      </c>
      <c r="KLC18" s="28" t="str">
        <f>IFERROR(IF(KLL3="No",IF(VLOOKUP(DATE($K$1,$K$2,KLC$4),Table1[],(MATCH(Calendar!$A18,DB!$1:$1,0)),FALSE)&gt;=5,"Good","Bad"),VLOOKUP(DATE($K$1,$K$2,KLC$4),Table1[],(MATCH(Calendar!$A18,DB!$1:$1,0)),FALSE)),"")</f>
        <v/>
      </c>
      <c r="KLD18" s="28" t="str">
        <f>IFERROR(IF(KLM3="No",IF(VLOOKUP(DATE($K$1,$K$2,KLD$4),Table1[],(MATCH(Calendar!$A18,DB!$1:$1,0)),FALSE)&gt;=5,"Good","Bad"),VLOOKUP(DATE($K$1,$K$2,KLD$4),Table1[],(MATCH(Calendar!$A18,DB!$1:$1,0)),FALSE)),"")</f>
        <v/>
      </c>
      <c r="KLE18" s="28" t="str">
        <f>IFERROR(IF(KLN3="No",IF(VLOOKUP(DATE($K$1,$K$2,KLE$4),Table1[],(MATCH(Calendar!$A18,DB!$1:$1,0)),FALSE)&gt;=5,"Good","Bad"),VLOOKUP(DATE($K$1,$K$2,KLE$4),Table1[],(MATCH(Calendar!$A18,DB!$1:$1,0)),FALSE)),"")</f>
        <v/>
      </c>
      <c r="KLF18" s="28" t="str">
        <f>IFERROR(IF(KLO3="No",IF(VLOOKUP(DATE($K$1,$K$2,KLF$4),Table1[],(MATCH(Calendar!$A18,DB!$1:$1,0)),FALSE)&gt;=5,"Good","Bad"),VLOOKUP(DATE($K$1,$K$2,KLF$4),Table1[],(MATCH(Calendar!$A18,DB!$1:$1,0)),FALSE)),"")</f>
        <v/>
      </c>
      <c r="KLG18" s="28" t="str">
        <f>IFERROR(IF(KLP3="No",IF(VLOOKUP(DATE($K$1,$K$2,KLG$4),Table1[],(MATCH(Calendar!$A18,DB!$1:$1,0)),FALSE)&gt;=5,"Good","Bad"),VLOOKUP(DATE($K$1,$K$2,KLG$4),Table1[],(MATCH(Calendar!$A18,DB!$1:$1,0)),FALSE)),"")</f>
        <v/>
      </c>
      <c r="KLH18" s="28" t="str">
        <f>IFERROR(IF(KLQ3="No",IF(VLOOKUP(DATE($K$1,$K$2,KLH$4),Table1[],(MATCH(Calendar!$A18,DB!$1:$1,0)),FALSE)&gt;=5,"Good","Bad"),VLOOKUP(DATE($K$1,$K$2,KLH$4),Table1[],(MATCH(Calendar!$A18,DB!$1:$1,0)),FALSE)),"")</f>
        <v/>
      </c>
      <c r="KLI18" s="28" t="str">
        <f>IFERROR(IF(KLR3="No",IF(VLOOKUP(DATE($K$1,$K$2,KLI$4),Table1[],(MATCH(Calendar!$A18,DB!$1:$1,0)),FALSE)&gt;=5,"Good","Bad"),VLOOKUP(DATE($K$1,$K$2,KLI$4),Table1[],(MATCH(Calendar!$A18,DB!$1:$1,0)),FALSE)),"")</f>
        <v/>
      </c>
      <c r="KLJ18" s="28" t="str">
        <f>IFERROR(IF(KLS3="No",IF(VLOOKUP(DATE($K$1,$K$2,KLJ$4),Table1[],(MATCH(Calendar!$A18,DB!$1:$1,0)),FALSE)&gt;=5,"Good","Bad"),VLOOKUP(DATE($K$1,$K$2,KLJ$4),Table1[],(MATCH(Calendar!$A18,DB!$1:$1,0)),FALSE)),"")</f>
        <v/>
      </c>
      <c r="KLK18" s="28" t="str">
        <f>IFERROR(IF(KLT3="No",IF(VLOOKUP(DATE($K$1,$K$2,KLK$4),Table1[],(MATCH(Calendar!$A18,DB!$1:$1,0)),FALSE)&gt;=5,"Good","Bad"),VLOOKUP(DATE($K$1,$K$2,KLK$4),Table1[],(MATCH(Calendar!$A18,DB!$1:$1,0)),FALSE)),"")</f>
        <v/>
      </c>
      <c r="KLL18" s="28" t="str">
        <f>IFERROR(IF(KLU3="No",IF(VLOOKUP(DATE($K$1,$K$2,KLL$4),Table1[],(MATCH(Calendar!$A18,DB!$1:$1,0)),FALSE)&gt;=5,"Good","Bad"),VLOOKUP(DATE($K$1,$K$2,KLL$4),Table1[],(MATCH(Calendar!$A18,DB!$1:$1,0)),FALSE)),"")</f>
        <v/>
      </c>
      <c r="KLM18" s="28" t="str">
        <f>IFERROR(IF(KLV3="No",IF(VLOOKUP(DATE($K$1,$K$2,KLM$4),Table1[],(MATCH(Calendar!$A18,DB!$1:$1,0)),FALSE)&gt;=5,"Good","Bad"),VLOOKUP(DATE($K$1,$K$2,KLM$4),Table1[],(MATCH(Calendar!$A18,DB!$1:$1,0)),FALSE)),"")</f>
        <v/>
      </c>
      <c r="KLN18" s="28" t="str">
        <f>IFERROR(IF(KLW3="No",IF(VLOOKUP(DATE($K$1,$K$2,KLN$4),Table1[],(MATCH(Calendar!$A18,DB!$1:$1,0)),FALSE)&gt;=5,"Good","Bad"),VLOOKUP(DATE($K$1,$K$2,KLN$4),Table1[],(MATCH(Calendar!$A18,DB!$1:$1,0)),FALSE)),"")</f>
        <v/>
      </c>
      <c r="KLO18" s="28" t="str">
        <f>IFERROR(IF(KLX3="No",IF(VLOOKUP(DATE($K$1,$K$2,KLO$4),Table1[],(MATCH(Calendar!$A18,DB!$1:$1,0)),FALSE)&gt;=5,"Good","Bad"),VLOOKUP(DATE($K$1,$K$2,KLO$4),Table1[],(MATCH(Calendar!$A18,DB!$1:$1,0)),FALSE)),"")</f>
        <v/>
      </c>
      <c r="KLP18" s="28" t="str">
        <f>IFERROR(IF(KLY3="No",IF(VLOOKUP(DATE($K$1,$K$2,KLP$4),Table1[],(MATCH(Calendar!$A18,DB!$1:$1,0)),FALSE)&gt;=5,"Good","Bad"),VLOOKUP(DATE($K$1,$K$2,KLP$4),Table1[],(MATCH(Calendar!$A18,DB!$1:$1,0)),FALSE)),"")</f>
        <v/>
      </c>
      <c r="KLQ18" s="28" t="str">
        <f>IFERROR(IF(KLZ3="No",IF(VLOOKUP(DATE($K$1,$K$2,KLQ$4),Table1[],(MATCH(Calendar!$A18,DB!$1:$1,0)),FALSE)&gt;=5,"Good","Bad"),VLOOKUP(DATE($K$1,$K$2,KLQ$4),Table1[],(MATCH(Calendar!$A18,DB!$1:$1,0)),FALSE)),"")</f>
        <v/>
      </c>
      <c r="KLR18" s="28" t="str">
        <f>IFERROR(IF(KMA3="No",IF(VLOOKUP(DATE($K$1,$K$2,KLR$4),Table1[],(MATCH(Calendar!$A18,DB!$1:$1,0)),FALSE)&gt;=5,"Good","Bad"),VLOOKUP(DATE($K$1,$K$2,KLR$4),Table1[],(MATCH(Calendar!$A18,DB!$1:$1,0)),FALSE)),"")</f>
        <v/>
      </c>
      <c r="KLS18" s="28" t="str">
        <f>IFERROR(IF(KMB3="No",IF(VLOOKUP(DATE($K$1,$K$2,KLS$4),Table1[],(MATCH(Calendar!$A18,DB!$1:$1,0)),FALSE)&gt;=5,"Good","Bad"),VLOOKUP(DATE($K$1,$K$2,KLS$4),Table1[],(MATCH(Calendar!$A18,DB!$1:$1,0)),FALSE)),"")</f>
        <v/>
      </c>
      <c r="KLT18" s="28" t="str">
        <f>IFERROR(IF(KMC3="No",IF(VLOOKUP(DATE($K$1,$K$2,KLT$4),Table1[],(MATCH(Calendar!$A18,DB!$1:$1,0)),FALSE)&gt;=5,"Good","Bad"),VLOOKUP(DATE($K$1,$K$2,KLT$4),Table1[],(MATCH(Calendar!$A18,DB!$1:$1,0)),FALSE)),"")</f>
        <v/>
      </c>
      <c r="KLU18" s="28" t="str">
        <f>IFERROR(IF(KMD3="No",IF(VLOOKUP(DATE($K$1,$K$2,KLU$4),Table1[],(MATCH(Calendar!$A18,DB!$1:$1,0)),FALSE)&gt;=5,"Good","Bad"),VLOOKUP(DATE($K$1,$K$2,KLU$4),Table1[],(MATCH(Calendar!$A18,DB!$1:$1,0)),FALSE)),"")</f>
        <v/>
      </c>
      <c r="KLV18" s="28" t="str">
        <f>IFERROR(IF(KME3="No",IF(VLOOKUP(DATE($K$1,$K$2,KLV$4),Table1[],(MATCH(Calendar!$A18,DB!$1:$1,0)),FALSE)&gt;=5,"Good","Bad"),VLOOKUP(DATE($K$1,$K$2,KLV$4),Table1[],(MATCH(Calendar!$A18,DB!$1:$1,0)),FALSE)),"")</f>
        <v/>
      </c>
      <c r="KLW18" s="28" t="str">
        <f>IFERROR(IF(KMF3="No",IF(VLOOKUP(DATE($K$1,$K$2,KLW$4),Table1[],(MATCH(Calendar!$A18,DB!$1:$1,0)),FALSE)&gt;=5,"Good","Bad"),VLOOKUP(DATE($K$1,$K$2,KLW$4),Table1[],(MATCH(Calendar!$A18,DB!$1:$1,0)),FALSE)),"")</f>
        <v/>
      </c>
      <c r="KLX18" s="28" t="str">
        <f>IFERROR(IF(KMG3="No",IF(VLOOKUP(DATE($K$1,$K$2,KLX$4),Table1[],(MATCH(Calendar!$A18,DB!$1:$1,0)),FALSE)&gt;=5,"Good","Bad"),VLOOKUP(DATE($K$1,$K$2,KLX$4),Table1[],(MATCH(Calendar!$A18,DB!$1:$1,0)),FALSE)),"")</f>
        <v/>
      </c>
      <c r="KLY18" s="28" t="str">
        <f>IFERROR(IF(KMH3="No",IF(VLOOKUP(DATE($K$1,$K$2,KLY$4),Table1[],(MATCH(Calendar!$A18,DB!$1:$1,0)),FALSE)&gt;=5,"Good","Bad"),VLOOKUP(DATE($K$1,$K$2,KLY$4),Table1[],(MATCH(Calendar!$A18,DB!$1:$1,0)),FALSE)),"")</f>
        <v/>
      </c>
      <c r="KLZ18" s="28" t="str">
        <f>IFERROR(IF(KMI3="No",IF(VLOOKUP(DATE($K$1,$K$2,KLZ$4),Table1[],(MATCH(Calendar!$A18,DB!$1:$1,0)),FALSE)&gt;=5,"Good","Bad"),VLOOKUP(DATE($K$1,$K$2,KLZ$4),Table1[],(MATCH(Calendar!$A18,DB!$1:$1,0)),FALSE)),"")</f>
        <v/>
      </c>
      <c r="KMA18" s="28" t="str">
        <f>IFERROR(IF(KMJ3="No",IF(VLOOKUP(DATE($K$1,$K$2,KMA$4),Table1[],(MATCH(Calendar!$A18,DB!$1:$1,0)),FALSE)&gt;=5,"Good","Bad"),VLOOKUP(DATE($K$1,$K$2,KMA$4),Table1[],(MATCH(Calendar!$A18,DB!$1:$1,0)),FALSE)),"")</f>
        <v/>
      </c>
      <c r="KMB18" s="28" t="str">
        <f>IFERROR(IF(KMK3="No",IF(VLOOKUP(DATE($K$1,$K$2,KMB$4),Table1[],(MATCH(Calendar!$A18,DB!$1:$1,0)),FALSE)&gt;=5,"Good","Bad"),VLOOKUP(DATE($K$1,$K$2,KMB$4),Table1[],(MATCH(Calendar!$A18,DB!$1:$1,0)),FALSE)),"")</f>
        <v/>
      </c>
      <c r="KMC18" s="28" t="str">
        <f>IFERROR(IF(KML3="No",IF(VLOOKUP(DATE($K$1,$K$2,KMC$4),Table1[],(MATCH(Calendar!$A18,DB!$1:$1,0)),FALSE)&gt;=5,"Good","Bad"),VLOOKUP(DATE($K$1,$K$2,KMC$4),Table1[],(MATCH(Calendar!$A18,DB!$1:$1,0)),FALSE)),"")</f>
        <v/>
      </c>
      <c r="KMD18" s="28" t="str">
        <f>IFERROR(IF(KMM3="No",IF(VLOOKUP(DATE($K$1,$K$2,KMD$4),Table1[],(MATCH(Calendar!$A18,DB!$1:$1,0)),FALSE)&gt;=5,"Good","Bad"),VLOOKUP(DATE($K$1,$K$2,KMD$4),Table1[],(MATCH(Calendar!$A18,DB!$1:$1,0)),FALSE)),"")</f>
        <v/>
      </c>
      <c r="KME18" s="28" t="str">
        <f>IFERROR(IF(KMN3="No",IF(VLOOKUP(DATE($K$1,$K$2,KME$4),Table1[],(MATCH(Calendar!$A18,DB!$1:$1,0)),FALSE)&gt;=5,"Good","Bad"),VLOOKUP(DATE($K$1,$K$2,KME$4),Table1[],(MATCH(Calendar!$A18,DB!$1:$1,0)),FALSE)),"")</f>
        <v/>
      </c>
      <c r="KMF18" s="28" t="str">
        <f>IFERROR(IF(KMO3="No",IF(VLOOKUP(DATE($K$1,$K$2,KMF$4),Table1[],(MATCH(Calendar!$A18,DB!$1:$1,0)),FALSE)&gt;=5,"Good","Bad"),VLOOKUP(DATE($K$1,$K$2,KMF$4),Table1[],(MATCH(Calendar!$A18,DB!$1:$1,0)),FALSE)),"")</f>
        <v/>
      </c>
      <c r="KMG18" s="28" t="str">
        <f>IFERROR(IF(KMP3="No",IF(VLOOKUP(DATE($K$1,$K$2,KMG$4),Table1[],(MATCH(Calendar!$A18,DB!$1:$1,0)),FALSE)&gt;=5,"Good","Bad"),VLOOKUP(DATE($K$1,$K$2,KMG$4),Table1[],(MATCH(Calendar!$A18,DB!$1:$1,0)),FALSE)),"")</f>
        <v/>
      </c>
      <c r="KMH18" s="28" t="str">
        <f>IFERROR(IF(KMQ3="No",IF(VLOOKUP(DATE($K$1,$K$2,KMH$4),Table1[],(MATCH(Calendar!$A18,DB!$1:$1,0)),FALSE)&gt;=5,"Good","Bad"),VLOOKUP(DATE($K$1,$K$2,KMH$4),Table1[],(MATCH(Calendar!$A18,DB!$1:$1,0)),FALSE)),"")</f>
        <v/>
      </c>
      <c r="KMI18" s="28" t="str">
        <f>IFERROR(IF(KMR3="No",IF(VLOOKUP(DATE($K$1,$K$2,KMI$4),Table1[],(MATCH(Calendar!$A18,DB!$1:$1,0)),FALSE)&gt;=5,"Good","Bad"),VLOOKUP(DATE($K$1,$K$2,KMI$4),Table1[],(MATCH(Calendar!$A18,DB!$1:$1,0)),FALSE)),"")</f>
        <v/>
      </c>
      <c r="KMJ18" s="28" t="str">
        <f>IFERROR(IF(KMS3="No",IF(VLOOKUP(DATE($K$1,$K$2,KMJ$4),Table1[],(MATCH(Calendar!$A18,DB!$1:$1,0)),FALSE)&gt;=5,"Good","Bad"),VLOOKUP(DATE($K$1,$K$2,KMJ$4),Table1[],(MATCH(Calendar!$A18,DB!$1:$1,0)),FALSE)),"")</f>
        <v/>
      </c>
      <c r="KMK18" s="28" t="str">
        <f>IFERROR(IF(KMT3="No",IF(VLOOKUP(DATE($K$1,$K$2,KMK$4),Table1[],(MATCH(Calendar!$A18,DB!$1:$1,0)),FALSE)&gt;=5,"Good","Bad"),VLOOKUP(DATE($K$1,$K$2,KMK$4),Table1[],(MATCH(Calendar!$A18,DB!$1:$1,0)),FALSE)),"")</f>
        <v/>
      </c>
      <c r="KML18" s="28" t="str">
        <f>IFERROR(IF(KMU3="No",IF(VLOOKUP(DATE($K$1,$K$2,KML$4),Table1[],(MATCH(Calendar!$A18,DB!$1:$1,0)),FALSE)&gt;=5,"Good","Bad"),VLOOKUP(DATE($K$1,$K$2,KML$4),Table1[],(MATCH(Calendar!$A18,DB!$1:$1,0)),FALSE)),"")</f>
        <v/>
      </c>
      <c r="KMM18" s="28" t="str">
        <f>IFERROR(IF(KMV3="No",IF(VLOOKUP(DATE($K$1,$K$2,KMM$4),Table1[],(MATCH(Calendar!$A18,DB!$1:$1,0)),FALSE)&gt;=5,"Good","Bad"),VLOOKUP(DATE($K$1,$K$2,KMM$4),Table1[],(MATCH(Calendar!$A18,DB!$1:$1,0)),FALSE)),"")</f>
        <v/>
      </c>
      <c r="KMN18" s="28" t="str">
        <f>IFERROR(IF(KMW3="No",IF(VLOOKUP(DATE($K$1,$K$2,KMN$4),Table1[],(MATCH(Calendar!$A18,DB!$1:$1,0)),FALSE)&gt;=5,"Good","Bad"),VLOOKUP(DATE($K$1,$K$2,KMN$4),Table1[],(MATCH(Calendar!$A18,DB!$1:$1,0)),FALSE)),"")</f>
        <v/>
      </c>
      <c r="KMO18" s="28" t="str">
        <f>IFERROR(IF(KMX3="No",IF(VLOOKUP(DATE($K$1,$K$2,KMO$4),Table1[],(MATCH(Calendar!$A18,DB!$1:$1,0)),FALSE)&gt;=5,"Good","Bad"),VLOOKUP(DATE($K$1,$K$2,KMO$4),Table1[],(MATCH(Calendar!$A18,DB!$1:$1,0)),FALSE)),"")</f>
        <v/>
      </c>
      <c r="KMP18" s="28" t="str">
        <f>IFERROR(IF(KMY3="No",IF(VLOOKUP(DATE($K$1,$K$2,KMP$4),Table1[],(MATCH(Calendar!$A18,DB!$1:$1,0)),FALSE)&gt;=5,"Good","Bad"),VLOOKUP(DATE($K$1,$K$2,KMP$4),Table1[],(MATCH(Calendar!$A18,DB!$1:$1,0)),FALSE)),"")</f>
        <v/>
      </c>
      <c r="KMQ18" s="28" t="str">
        <f>IFERROR(IF(KMZ3="No",IF(VLOOKUP(DATE($K$1,$K$2,KMQ$4),Table1[],(MATCH(Calendar!$A18,DB!$1:$1,0)),FALSE)&gt;=5,"Good","Bad"),VLOOKUP(DATE($K$1,$K$2,KMQ$4),Table1[],(MATCH(Calendar!$A18,DB!$1:$1,0)),FALSE)),"")</f>
        <v/>
      </c>
      <c r="KMR18" s="28" t="str">
        <f>IFERROR(IF(KNA3="No",IF(VLOOKUP(DATE($K$1,$K$2,KMR$4),Table1[],(MATCH(Calendar!$A18,DB!$1:$1,0)),FALSE)&gt;=5,"Good","Bad"),VLOOKUP(DATE($K$1,$K$2,KMR$4),Table1[],(MATCH(Calendar!$A18,DB!$1:$1,0)),FALSE)),"")</f>
        <v/>
      </c>
      <c r="KMS18" s="28" t="str">
        <f>IFERROR(IF(KNB3="No",IF(VLOOKUP(DATE($K$1,$K$2,KMS$4),Table1[],(MATCH(Calendar!$A18,DB!$1:$1,0)),FALSE)&gt;=5,"Good","Bad"),VLOOKUP(DATE($K$1,$K$2,KMS$4),Table1[],(MATCH(Calendar!$A18,DB!$1:$1,0)),FALSE)),"")</f>
        <v/>
      </c>
      <c r="KMT18" s="28" t="str">
        <f>IFERROR(IF(KNC3="No",IF(VLOOKUP(DATE($K$1,$K$2,KMT$4),Table1[],(MATCH(Calendar!$A18,DB!$1:$1,0)),FALSE)&gt;=5,"Good","Bad"),VLOOKUP(DATE($K$1,$K$2,KMT$4),Table1[],(MATCH(Calendar!$A18,DB!$1:$1,0)),FALSE)),"")</f>
        <v/>
      </c>
      <c r="KMU18" s="28" t="str">
        <f>IFERROR(IF(KND3="No",IF(VLOOKUP(DATE($K$1,$K$2,KMU$4),Table1[],(MATCH(Calendar!$A18,DB!$1:$1,0)),FALSE)&gt;=5,"Good","Bad"),VLOOKUP(DATE($K$1,$K$2,KMU$4),Table1[],(MATCH(Calendar!$A18,DB!$1:$1,0)),FALSE)),"")</f>
        <v/>
      </c>
      <c r="KMV18" s="28" t="str">
        <f>IFERROR(IF(KNE3="No",IF(VLOOKUP(DATE($K$1,$K$2,KMV$4),Table1[],(MATCH(Calendar!$A18,DB!$1:$1,0)),FALSE)&gt;=5,"Good","Bad"),VLOOKUP(DATE($K$1,$K$2,KMV$4),Table1[],(MATCH(Calendar!$A18,DB!$1:$1,0)),FALSE)),"")</f>
        <v/>
      </c>
      <c r="KMW18" s="28" t="str">
        <f>IFERROR(IF(KNF3="No",IF(VLOOKUP(DATE($K$1,$K$2,KMW$4),Table1[],(MATCH(Calendar!$A18,DB!$1:$1,0)),FALSE)&gt;=5,"Good","Bad"),VLOOKUP(DATE($K$1,$K$2,KMW$4),Table1[],(MATCH(Calendar!$A18,DB!$1:$1,0)),FALSE)),"")</f>
        <v/>
      </c>
      <c r="KMX18" s="28" t="str">
        <f>IFERROR(IF(KNG3="No",IF(VLOOKUP(DATE($K$1,$K$2,KMX$4),Table1[],(MATCH(Calendar!$A18,DB!$1:$1,0)),FALSE)&gt;=5,"Good","Bad"),VLOOKUP(DATE($K$1,$K$2,KMX$4),Table1[],(MATCH(Calendar!$A18,DB!$1:$1,0)),FALSE)),"")</f>
        <v/>
      </c>
      <c r="KMY18" s="28" t="str">
        <f>IFERROR(IF(KNH3="No",IF(VLOOKUP(DATE($K$1,$K$2,KMY$4),Table1[],(MATCH(Calendar!$A18,DB!$1:$1,0)),FALSE)&gt;=5,"Good","Bad"),VLOOKUP(DATE($K$1,$K$2,KMY$4),Table1[],(MATCH(Calendar!$A18,DB!$1:$1,0)),FALSE)),"")</f>
        <v/>
      </c>
      <c r="KMZ18" s="28" t="str">
        <f>IFERROR(IF(KNI3="No",IF(VLOOKUP(DATE($K$1,$K$2,KMZ$4),Table1[],(MATCH(Calendar!$A18,DB!$1:$1,0)),FALSE)&gt;=5,"Good","Bad"),VLOOKUP(DATE($K$1,$K$2,KMZ$4),Table1[],(MATCH(Calendar!$A18,DB!$1:$1,0)),FALSE)),"")</f>
        <v/>
      </c>
      <c r="KNA18" s="28" t="str">
        <f>IFERROR(IF(KNJ3="No",IF(VLOOKUP(DATE($K$1,$K$2,KNA$4),Table1[],(MATCH(Calendar!$A18,DB!$1:$1,0)),FALSE)&gt;=5,"Good","Bad"),VLOOKUP(DATE($K$1,$K$2,KNA$4),Table1[],(MATCH(Calendar!$A18,DB!$1:$1,0)),FALSE)),"")</f>
        <v/>
      </c>
      <c r="KNB18" s="28" t="str">
        <f>IFERROR(IF(KNK3="No",IF(VLOOKUP(DATE($K$1,$K$2,KNB$4),Table1[],(MATCH(Calendar!$A18,DB!$1:$1,0)),FALSE)&gt;=5,"Good","Bad"),VLOOKUP(DATE($K$1,$K$2,KNB$4),Table1[],(MATCH(Calendar!$A18,DB!$1:$1,0)),FALSE)),"")</f>
        <v/>
      </c>
      <c r="KNC18" s="28" t="str">
        <f>IFERROR(IF(KNL3="No",IF(VLOOKUP(DATE($K$1,$K$2,KNC$4),Table1[],(MATCH(Calendar!$A18,DB!$1:$1,0)),FALSE)&gt;=5,"Good","Bad"),VLOOKUP(DATE($K$1,$K$2,KNC$4),Table1[],(MATCH(Calendar!$A18,DB!$1:$1,0)),FALSE)),"")</f>
        <v/>
      </c>
      <c r="KND18" s="28" t="str">
        <f>IFERROR(IF(KNM3="No",IF(VLOOKUP(DATE($K$1,$K$2,KND$4),Table1[],(MATCH(Calendar!$A18,DB!$1:$1,0)),FALSE)&gt;=5,"Good","Bad"),VLOOKUP(DATE($K$1,$K$2,KND$4),Table1[],(MATCH(Calendar!$A18,DB!$1:$1,0)),FALSE)),"")</f>
        <v/>
      </c>
      <c r="KNE18" s="28" t="str">
        <f>IFERROR(IF(KNN3="No",IF(VLOOKUP(DATE($K$1,$K$2,KNE$4),Table1[],(MATCH(Calendar!$A18,DB!$1:$1,0)),FALSE)&gt;=5,"Good","Bad"),VLOOKUP(DATE($K$1,$K$2,KNE$4),Table1[],(MATCH(Calendar!$A18,DB!$1:$1,0)),FALSE)),"")</f>
        <v/>
      </c>
      <c r="KNF18" s="28" t="str">
        <f>IFERROR(IF(KNO3="No",IF(VLOOKUP(DATE($K$1,$K$2,KNF$4),Table1[],(MATCH(Calendar!$A18,DB!$1:$1,0)),FALSE)&gt;=5,"Good","Bad"),VLOOKUP(DATE($K$1,$K$2,KNF$4),Table1[],(MATCH(Calendar!$A18,DB!$1:$1,0)),FALSE)),"")</f>
        <v/>
      </c>
      <c r="KNG18" s="28" t="str">
        <f>IFERROR(IF(KNP3="No",IF(VLOOKUP(DATE($K$1,$K$2,KNG$4),Table1[],(MATCH(Calendar!$A18,DB!$1:$1,0)),FALSE)&gt;=5,"Good","Bad"),VLOOKUP(DATE($K$1,$K$2,KNG$4),Table1[],(MATCH(Calendar!$A18,DB!$1:$1,0)),FALSE)),"")</f>
        <v/>
      </c>
      <c r="KNH18" s="28" t="str">
        <f>IFERROR(IF(KNQ3="No",IF(VLOOKUP(DATE($K$1,$K$2,KNH$4),Table1[],(MATCH(Calendar!$A18,DB!$1:$1,0)),FALSE)&gt;=5,"Good","Bad"),VLOOKUP(DATE($K$1,$K$2,KNH$4),Table1[],(MATCH(Calendar!$A18,DB!$1:$1,0)),FALSE)),"")</f>
        <v/>
      </c>
      <c r="KNI18" s="28" t="str">
        <f>IFERROR(IF(KNR3="No",IF(VLOOKUP(DATE($K$1,$K$2,KNI$4),Table1[],(MATCH(Calendar!$A18,DB!$1:$1,0)),FALSE)&gt;=5,"Good","Bad"),VLOOKUP(DATE($K$1,$K$2,KNI$4),Table1[],(MATCH(Calendar!$A18,DB!$1:$1,0)),FALSE)),"")</f>
        <v/>
      </c>
      <c r="KNJ18" s="28" t="str">
        <f>IFERROR(IF(KNS3="No",IF(VLOOKUP(DATE($K$1,$K$2,KNJ$4),Table1[],(MATCH(Calendar!$A18,DB!$1:$1,0)),FALSE)&gt;=5,"Good","Bad"),VLOOKUP(DATE($K$1,$K$2,KNJ$4),Table1[],(MATCH(Calendar!$A18,DB!$1:$1,0)),FALSE)),"")</f>
        <v/>
      </c>
      <c r="KNK18" s="28" t="str">
        <f>IFERROR(IF(KNT3="No",IF(VLOOKUP(DATE($K$1,$K$2,KNK$4),Table1[],(MATCH(Calendar!$A18,DB!$1:$1,0)),FALSE)&gt;=5,"Good","Bad"),VLOOKUP(DATE($K$1,$K$2,KNK$4),Table1[],(MATCH(Calendar!$A18,DB!$1:$1,0)),FALSE)),"")</f>
        <v/>
      </c>
      <c r="KNL18" s="28" t="str">
        <f>IFERROR(IF(KNU3="No",IF(VLOOKUP(DATE($K$1,$K$2,KNL$4),Table1[],(MATCH(Calendar!$A18,DB!$1:$1,0)),FALSE)&gt;=5,"Good","Bad"),VLOOKUP(DATE($K$1,$K$2,KNL$4),Table1[],(MATCH(Calendar!$A18,DB!$1:$1,0)),FALSE)),"")</f>
        <v/>
      </c>
      <c r="KNM18" s="28" t="str">
        <f>IFERROR(IF(KNV3="No",IF(VLOOKUP(DATE($K$1,$K$2,KNM$4),Table1[],(MATCH(Calendar!$A18,DB!$1:$1,0)),FALSE)&gt;=5,"Good","Bad"),VLOOKUP(DATE($K$1,$K$2,KNM$4),Table1[],(MATCH(Calendar!$A18,DB!$1:$1,0)),FALSE)),"")</f>
        <v/>
      </c>
      <c r="KNN18" s="28" t="str">
        <f>IFERROR(IF(KNW3="No",IF(VLOOKUP(DATE($K$1,$K$2,KNN$4),Table1[],(MATCH(Calendar!$A18,DB!$1:$1,0)),FALSE)&gt;=5,"Good","Bad"),VLOOKUP(DATE($K$1,$K$2,KNN$4),Table1[],(MATCH(Calendar!$A18,DB!$1:$1,0)),FALSE)),"")</f>
        <v/>
      </c>
      <c r="KNO18" s="28" t="str">
        <f>IFERROR(IF(KNX3="No",IF(VLOOKUP(DATE($K$1,$K$2,KNO$4),Table1[],(MATCH(Calendar!$A18,DB!$1:$1,0)),FALSE)&gt;=5,"Good","Bad"),VLOOKUP(DATE($K$1,$K$2,KNO$4),Table1[],(MATCH(Calendar!$A18,DB!$1:$1,0)),FALSE)),"")</f>
        <v/>
      </c>
      <c r="KNP18" s="28" t="str">
        <f>IFERROR(IF(KNY3="No",IF(VLOOKUP(DATE($K$1,$K$2,KNP$4),Table1[],(MATCH(Calendar!$A18,DB!$1:$1,0)),FALSE)&gt;=5,"Good","Bad"),VLOOKUP(DATE($K$1,$K$2,KNP$4),Table1[],(MATCH(Calendar!$A18,DB!$1:$1,0)),FALSE)),"")</f>
        <v/>
      </c>
      <c r="KNQ18" s="28" t="str">
        <f>IFERROR(IF(KNZ3="No",IF(VLOOKUP(DATE($K$1,$K$2,KNQ$4),Table1[],(MATCH(Calendar!$A18,DB!$1:$1,0)),FALSE)&gt;=5,"Good","Bad"),VLOOKUP(DATE($K$1,$K$2,KNQ$4),Table1[],(MATCH(Calendar!$A18,DB!$1:$1,0)),FALSE)),"")</f>
        <v/>
      </c>
      <c r="KNR18" s="28" t="str">
        <f>IFERROR(IF(KOA3="No",IF(VLOOKUP(DATE($K$1,$K$2,KNR$4),Table1[],(MATCH(Calendar!$A18,DB!$1:$1,0)),FALSE)&gt;=5,"Good","Bad"),VLOOKUP(DATE($K$1,$K$2,KNR$4),Table1[],(MATCH(Calendar!$A18,DB!$1:$1,0)),FALSE)),"")</f>
        <v/>
      </c>
      <c r="KNS18" s="28" t="str">
        <f>IFERROR(IF(KOB3="No",IF(VLOOKUP(DATE($K$1,$K$2,KNS$4),Table1[],(MATCH(Calendar!$A18,DB!$1:$1,0)),FALSE)&gt;=5,"Good","Bad"),VLOOKUP(DATE($K$1,$K$2,KNS$4),Table1[],(MATCH(Calendar!$A18,DB!$1:$1,0)),FALSE)),"")</f>
        <v/>
      </c>
      <c r="KNT18" s="28" t="str">
        <f>IFERROR(IF(KOC3="No",IF(VLOOKUP(DATE($K$1,$K$2,KNT$4),Table1[],(MATCH(Calendar!$A18,DB!$1:$1,0)),FALSE)&gt;=5,"Good","Bad"),VLOOKUP(DATE($K$1,$K$2,KNT$4),Table1[],(MATCH(Calendar!$A18,DB!$1:$1,0)),FALSE)),"")</f>
        <v/>
      </c>
      <c r="KNU18" s="28" t="str">
        <f>IFERROR(IF(KOD3="No",IF(VLOOKUP(DATE($K$1,$K$2,KNU$4),Table1[],(MATCH(Calendar!$A18,DB!$1:$1,0)),FALSE)&gt;=5,"Good","Bad"),VLOOKUP(DATE($K$1,$K$2,KNU$4),Table1[],(MATCH(Calendar!$A18,DB!$1:$1,0)),FALSE)),"")</f>
        <v/>
      </c>
      <c r="KNV18" s="28" t="str">
        <f>IFERROR(IF(KOE3="No",IF(VLOOKUP(DATE($K$1,$K$2,KNV$4),Table1[],(MATCH(Calendar!$A18,DB!$1:$1,0)),FALSE)&gt;=5,"Good","Bad"),VLOOKUP(DATE($K$1,$K$2,KNV$4),Table1[],(MATCH(Calendar!$A18,DB!$1:$1,0)),FALSE)),"")</f>
        <v/>
      </c>
      <c r="KNW18" s="28" t="str">
        <f>IFERROR(IF(KOF3="No",IF(VLOOKUP(DATE($K$1,$K$2,KNW$4),Table1[],(MATCH(Calendar!$A18,DB!$1:$1,0)),FALSE)&gt;=5,"Good","Bad"),VLOOKUP(DATE($K$1,$K$2,KNW$4),Table1[],(MATCH(Calendar!$A18,DB!$1:$1,0)),FALSE)),"")</f>
        <v/>
      </c>
      <c r="KNX18" s="28" t="str">
        <f>IFERROR(IF(KOG3="No",IF(VLOOKUP(DATE($K$1,$K$2,KNX$4),Table1[],(MATCH(Calendar!$A18,DB!$1:$1,0)),FALSE)&gt;=5,"Good","Bad"),VLOOKUP(DATE($K$1,$K$2,KNX$4),Table1[],(MATCH(Calendar!$A18,DB!$1:$1,0)),FALSE)),"")</f>
        <v/>
      </c>
      <c r="KNY18" s="28" t="str">
        <f>IFERROR(IF(KOH3="No",IF(VLOOKUP(DATE($K$1,$K$2,KNY$4),Table1[],(MATCH(Calendar!$A18,DB!$1:$1,0)),FALSE)&gt;=5,"Good","Bad"),VLOOKUP(DATE($K$1,$K$2,KNY$4),Table1[],(MATCH(Calendar!$A18,DB!$1:$1,0)),FALSE)),"")</f>
        <v/>
      </c>
      <c r="KNZ18" s="28" t="str">
        <f>IFERROR(IF(KOI3="No",IF(VLOOKUP(DATE($K$1,$K$2,KNZ$4),Table1[],(MATCH(Calendar!$A18,DB!$1:$1,0)),FALSE)&gt;=5,"Good","Bad"),VLOOKUP(DATE($K$1,$K$2,KNZ$4),Table1[],(MATCH(Calendar!$A18,DB!$1:$1,0)),FALSE)),"")</f>
        <v/>
      </c>
      <c r="KOA18" s="28" t="str">
        <f>IFERROR(IF(KOJ3="No",IF(VLOOKUP(DATE($K$1,$K$2,KOA$4),Table1[],(MATCH(Calendar!$A18,DB!$1:$1,0)),FALSE)&gt;=5,"Good","Bad"),VLOOKUP(DATE($K$1,$K$2,KOA$4),Table1[],(MATCH(Calendar!$A18,DB!$1:$1,0)),FALSE)),"")</f>
        <v/>
      </c>
      <c r="KOB18" s="28" t="str">
        <f>IFERROR(IF(KOK3="No",IF(VLOOKUP(DATE($K$1,$K$2,KOB$4),Table1[],(MATCH(Calendar!$A18,DB!$1:$1,0)),FALSE)&gt;=5,"Good","Bad"),VLOOKUP(DATE($K$1,$K$2,KOB$4),Table1[],(MATCH(Calendar!$A18,DB!$1:$1,0)),FALSE)),"")</f>
        <v/>
      </c>
      <c r="KOC18" s="28" t="str">
        <f>IFERROR(IF(KOL3="No",IF(VLOOKUP(DATE($K$1,$K$2,KOC$4),Table1[],(MATCH(Calendar!$A18,DB!$1:$1,0)),FALSE)&gt;=5,"Good","Bad"),VLOOKUP(DATE($K$1,$K$2,KOC$4),Table1[],(MATCH(Calendar!$A18,DB!$1:$1,0)),FALSE)),"")</f>
        <v/>
      </c>
      <c r="KOD18" s="28" t="str">
        <f>IFERROR(IF(KOM3="No",IF(VLOOKUP(DATE($K$1,$K$2,KOD$4),Table1[],(MATCH(Calendar!$A18,DB!$1:$1,0)),FALSE)&gt;=5,"Good","Bad"),VLOOKUP(DATE($K$1,$K$2,KOD$4),Table1[],(MATCH(Calendar!$A18,DB!$1:$1,0)),FALSE)),"")</f>
        <v/>
      </c>
      <c r="KOE18" s="28" t="str">
        <f>IFERROR(IF(KON3="No",IF(VLOOKUP(DATE($K$1,$K$2,KOE$4),Table1[],(MATCH(Calendar!$A18,DB!$1:$1,0)),FALSE)&gt;=5,"Good","Bad"),VLOOKUP(DATE($K$1,$K$2,KOE$4),Table1[],(MATCH(Calendar!$A18,DB!$1:$1,0)),FALSE)),"")</f>
        <v/>
      </c>
      <c r="KOF18" s="28" t="str">
        <f>IFERROR(IF(KOO3="No",IF(VLOOKUP(DATE($K$1,$K$2,KOF$4),Table1[],(MATCH(Calendar!$A18,DB!$1:$1,0)),FALSE)&gt;=5,"Good","Bad"),VLOOKUP(DATE($K$1,$K$2,KOF$4),Table1[],(MATCH(Calendar!$A18,DB!$1:$1,0)),FALSE)),"")</f>
        <v/>
      </c>
      <c r="KOG18" s="28" t="str">
        <f>IFERROR(IF(KOP3="No",IF(VLOOKUP(DATE($K$1,$K$2,KOG$4),Table1[],(MATCH(Calendar!$A18,DB!$1:$1,0)),FALSE)&gt;=5,"Good","Bad"),VLOOKUP(DATE($K$1,$K$2,KOG$4),Table1[],(MATCH(Calendar!$A18,DB!$1:$1,0)),FALSE)),"")</f>
        <v/>
      </c>
      <c r="KOH18" s="28" t="str">
        <f>IFERROR(IF(KOQ3="No",IF(VLOOKUP(DATE($K$1,$K$2,KOH$4),Table1[],(MATCH(Calendar!$A18,DB!$1:$1,0)),FALSE)&gt;=5,"Good","Bad"),VLOOKUP(DATE($K$1,$K$2,KOH$4),Table1[],(MATCH(Calendar!$A18,DB!$1:$1,0)),FALSE)),"")</f>
        <v/>
      </c>
      <c r="KOI18" s="28" t="str">
        <f>IFERROR(IF(KOR3="No",IF(VLOOKUP(DATE($K$1,$K$2,KOI$4),Table1[],(MATCH(Calendar!$A18,DB!$1:$1,0)),FALSE)&gt;=5,"Good","Bad"),VLOOKUP(DATE($K$1,$K$2,KOI$4),Table1[],(MATCH(Calendar!$A18,DB!$1:$1,0)),FALSE)),"")</f>
        <v/>
      </c>
      <c r="KOJ18" s="28" t="str">
        <f>IFERROR(IF(KOS3="No",IF(VLOOKUP(DATE($K$1,$K$2,KOJ$4),Table1[],(MATCH(Calendar!$A18,DB!$1:$1,0)),FALSE)&gt;=5,"Good","Bad"),VLOOKUP(DATE($K$1,$K$2,KOJ$4),Table1[],(MATCH(Calendar!$A18,DB!$1:$1,0)),FALSE)),"")</f>
        <v/>
      </c>
      <c r="KOK18" s="28" t="str">
        <f>IFERROR(IF(KOT3="No",IF(VLOOKUP(DATE($K$1,$K$2,KOK$4),Table1[],(MATCH(Calendar!$A18,DB!$1:$1,0)),FALSE)&gt;=5,"Good","Bad"),VLOOKUP(DATE($K$1,$K$2,KOK$4),Table1[],(MATCH(Calendar!$A18,DB!$1:$1,0)),FALSE)),"")</f>
        <v/>
      </c>
      <c r="KOL18" s="28" t="str">
        <f>IFERROR(IF(KOU3="No",IF(VLOOKUP(DATE($K$1,$K$2,KOL$4),Table1[],(MATCH(Calendar!$A18,DB!$1:$1,0)),FALSE)&gt;=5,"Good","Bad"),VLOOKUP(DATE($K$1,$K$2,KOL$4),Table1[],(MATCH(Calendar!$A18,DB!$1:$1,0)),FALSE)),"")</f>
        <v/>
      </c>
      <c r="KOM18" s="28" t="str">
        <f>IFERROR(IF(KOV3="No",IF(VLOOKUP(DATE($K$1,$K$2,KOM$4),Table1[],(MATCH(Calendar!$A18,DB!$1:$1,0)),FALSE)&gt;=5,"Good","Bad"),VLOOKUP(DATE($K$1,$K$2,KOM$4),Table1[],(MATCH(Calendar!$A18,DB!$1:$1,0)),FALSE)),"")</f>
        <v/>
      </c>
      <c r="KON18" s="28" t="str">
        <f>IFERROR(IF(KOW3="No",IF(VLOOKUP(DATE($K$1,$K$2,KON$4),Table1[],(MATCH(Calendar!$A18,DB!$1:$1,0)),FALSE)&gt;=5,"Good","Bad"),VLOOKUP(DATE($K$1,$K$2,KON$4),Table1[],(MATCH(Calendar!$A18,DB!$1:$1,0)),FALSE)),"")</f>
        <v/>
      </c>
      <c r="KOO18" s="28" t="str">
        <f>IFERROR(IF(KOX3="No",IF(VLOOKUP(DATE($K$1,$K$2,KOO$4),Table1[],(MATCH(Calendar!$A18,DB!$1:$1,0)),FALSE)&gt;=5,"Good","Bad"),VLOOKUP(DATE($K$1,$K$2,KOO$4),Table1[],(MATCH(Calendar!$A18,DB!$1:$1,0)),FALSE)),"")</f>
        <v/>
      </c>
      <c r="KOP18" s="28" t="str">
        <f>IFERROR(IF(KOY3="No",IF(VLOOKUP(DATE($K$1,$K$2,KOP$4),Table1[],(MATCH(Calendar!$A18,DB!$1:$1,0)),FALSE)&gt;=5,"Good","Bad"),VLOOKUP(DATE($K$1,$K$2,KOP$4),Table1[],(MATCH(Calendar!$A18,DB!$1:$1,0)),FALSE)),"")</f>
        <v/>
      </c>
      <c r="KOQ18" s="28" t="str">
        <f>IFERROR(IF(KOZ3="No",IF(VLOOKUP(DATE($K$1,$K$2,KOQ$4),Table1[],(MATCH(Calendar!$A18,DB!$1:$1,0)),FALSE)&gt;=5,"Good","Bad"),VLOOKUP(DATE($K$1,$K$2,KOQ$4),Table1[],(MATCH(Calendar!$A18,DB!$1:$1,0)),FALSE)),"")</f>
        <v/>
      </c>
      <c r="KOR18" s="28" t="str">
        <f>IFERROR(IF(KPA3="No",IF(VLOOKUP(DATE($K$1,$K$2,KOR$4),Table1[],(MATCH(Calendar!$A18,DB!$1:$1,0)),FALSE)&gt;=5,"Good","Bad"),VLOOKUP(DATE($K$1,$K$2,KOR$4),Table1[],(MATCH(Calendar!$A18,DB!$1:$1,0)),FALSE)),"")</f>
        <v/>
      </c>
      <c r="KOS18" s="28" t="str">
        <f>IFERROR(IF(KPB3="No",IF(VLOOKUP(DATE($K$1,$K$2,KOS$4),Table1[],(MATCH(Calendar!$A18,DB!$1:$1,0)),FALSE)&gt;=5,"Good","Bad"),VLOOKUP(DATE($K$1,$K$2,KOS$4),Table1[],(MATCH(Calendar!$A18,DB!$1:$1,0)),FALSE)),"")</f>
        <v/>
      </c>
      <c r="KOT18" s="28" t="str">
        <f>IFERROR(IF(KPC3="No",IF(VLOOKUP(DATE($K$1,$K$2,KOT$4),Table1[],(MATCH(Calendar!$A18,DB!$1:$1,0)),FALSE)&gt;=5,"Good","Bad"),VLOOKUP(DATE($K$1,$K$2,KOT$4),Table1[],(MATCH(Calendar!$A18,DB!$1:$1,0)),FALSE)),"")</f>
        <v/>
      </c>
      <c r="KOU18" s="28" t="str">
        <f>IFERROR(IF(KPD3="No",IF(VLOOKUP(DATE($K$1,$K$2,KOU$4),Table1[],(MATCH(Calendar!$A18,DB!$1:$1,0)),FALSE)&gt;=5,"Good","Bad"),VLOOKUP(DATE($K$1,$K$2,KOU$4),Table1[],(MATCH(Calendar!$A18,DB!$1:$1,0)),FALSE)),"")</f>
        <v/>
      </c>
      <c r="KOV18" s="28" t="str">
        <f>IFERROR(IF(KPE3="No",IF(VLOOKUP(DATE($K$1,$K$2,KOV$4),Table1[],(MATCH(Calendar!$A18,DB!$1:$1,0)),FALSE)&gt;=5,"Good","Bad"),VLOOKUP(DATE($K$1,$K$2,KOV$4),Table1[],(MATCH(Calendar!$A18,DB!$1:$1,0)),FALSE)),"")</f>
        <v/>
      </c>
      <c r="KOW18" s="28" t="str">
        <f>IFERROR(IF(KPF3="No",IF(VLOOKUP(DATE($K$1,$K$2,KOW$4),Table1[],(MATCH(Calendar!$A18,DB!$1:$1,0)),FALSE)&gt;=5,"Good","Bad"),VLOOKUP(DATE($K$1,$K$2,KOW$4),Table1[],(MATCH(Calendar!$A18,DB!$1:$1,0)),FALSE)),"")</f>
        <v/>
      </c>
      <c r="KOX18" s="28" t="str">
        <f>IFERROR(IF(KPG3="No",IF(VLOOKUP(DATE($K$1,$K$2,KOX$4),Table1[],(MATCH(Calendar!$A18,DB!$1:$1,0)),FALSE)&gt;=5,"Good","Bad"),VLOOKUP(DATE($K$1,$K$2,KOX$4),Table1[],(MATCH(Calendar!$A18,DB!$1:$1,0)),FALSE)),"")</f>
        <v/>
      </c>
      <c r="KOY18" s="28" t="str">
        <f>IFERROR(IF(KPH3="No",IF(VLOOKUP(DATE($K$1,$K$2,KOY$4),Table1[],(MATCH(Calendar!$A18,DB!$1:$1,0)),FALSE)&gt;=5,"Good","Bad"),VLOOKUP(DATE($K$1,$K$2,KOY$4),Table1[],(MATCH(Calendar!$A18,DB!$1:$1,0)),FALSE)),"")</f>
        <v/>
      </c>
      <c r="KOZ18" s="28" t="str">
        <f>IFERROR(IF(KPI3="No",IF(VLOOKUP(DATE($K$1,$K$2,KOZ$4),Table1[],(MATCH(Calendar!$A18,DB!$1:$1,0)),FALSE)&gt;=5,"Good","Bad"),VLOOKUP(DATE($K$1,$K$2,KOZ$4),Table1[],(MATCH(Calendar!$A18,DB!$1:$1,0)),FALSE)),"")</f>
        <v/>
      </c>
      <c r="KPA18" s="28" t="str">
        <f>IFERROR(IF(KPJ3="No",IF(VLOOKUP(DATE($K$1,$K$2,KPA$4),Table1[],(MATCH(Calendar!$A18,DB!$1:$1,0)),FALSE)&gt;=5,"Good","Bad"),VLOOKUP(DATE($K$1,$K$2,KPA$4),Table1[],(MATCH(Calendar!$A18,DB!$1:$1,0)),FALSE)),"")</f>
        <v/>
      </c>
      <c r="KPB18" s="28" t="str">
        <f>IFERROR(IF(KPK3="No",IF(VLOOKUP(DATE($K$1,$K$2,KPB$4),Table1[],(MATCH(Calendar!$A18,DB!$1:$1,0)),FALSE)&gt;=5,"Good","Bad"),VLOOKUP(DATE($K$1,$K$2,KPB$4),Table1[],(MATCH(Calendar!$A18,DB!$1:$1,0)),FALSE)),"")</f>
        <v/>
      </c>
      <c r="KPC18" s="28" t="str">
        <f>IFERROR(IF(KPL3="No",IF(VLOOKUP(DATE($K$1,$K$2,KPC$4),Table1[],(MATCH(Calendar!$A18,DB!$1:$1,0)),FALSE)&gt;=5,"Good","Bad"),VLOOKUP(DATE($K$1,$K$2,KPC$4),Table1[],(MATCH(Calendar!$A18,DB!$1:$1,0)),FALSE)),"")</f>
        <v/>
      </c>
      <c r="KPD18" s="28" t="str">
        <f>IFERROR(IF(KPM3="No",IF(VLOOKUP(DATE($K$1,$K$2,KPD$4),Table1[],(MATCH(Calendar!$A18,DB!$1:$1,0)),FALSE)&gt;=5,"Good","Bad"),VLOOKUP(DATE($K$1,$K$2,KPD$4),Table1[],(MATCH(Calendar!$A18,DB!$1:$1,0)),FALSE)),"")</f>
        <v/>
      </c>
      <c r="KPE18" s="28" t="str">
        <f>IFERROR(IF(KPN3="No",IF(VLOOKUP(DATE($K$1,$K$2,KPE$4),Table1[],(MATCH(Calendar!$A18,DB!$1:$1,0)),FALSE)&gt;=5,"Good","Bad"),VLOOKUP(DATE($K$1,$K$2,KPE$4),Table1[],(MATCH(Calendar!$A18,DB!$1:$1,0)),FALSE)),"")</f>
        <v/>
      </c>
      <c r="KPF18" s="28" t="str">
        <f>IFERROR(IF(KPO3="No",IF(VLOOKUP(DATE($K$1,$K$2,KPF$4),Table1[],(MATCH(Calendar!$A18,DB!$1:$1,0)),FALSE)&gt;=5,"Good","Bad"),VLOOKUP(DATE($K$1,$K$2,KPF$4),Table1[],(MATCH(Calendar!$A18,DB!$1:$1,0)),FALSE)),"")</f>
        <v/>
      </c>
      <c r="KPG18" s="28" t="str">
        <f>IFERROR(IF(KPP3="No",IF(VLOOKUP(DATE($K$1,$K$2,KPG$4),Table1[],(MATCH(Calendar!$A18,DB!$1:$1,0)),FALSE)&gt;=5,"Good","Bad"),VLOOKUP(DATE($K$1,$K$2,KPG$4),Table1[],(MATCH(Calendar!$A18,DB!$1:$1,0)),FALSE)),"")</f>
        <v/>
      </c>
      <c r="KPH18" s="28" t="str">
        <f>IFERROR(IF(KPQ3="No",IF(VLOOKUP(DATE($K$1,$K$2,KPH$4),Table1[],(MATCH(Calendar!$A18,DB!$1:$1,0)),FALSE)&gt;=5,"Good","Bad"),VLOOKUP(DATE($K$1,$K$2,KPH$4),Table1[],(MATCH(Calendar!$A18,DB!$1:$1,0)),FALSE)),"")</f>
        <v/>
      </c>
      <c r="KPI18" s="28" t="str">
        <f>IFERROR(IF(KPR3="No",IF(VLOOKUP(DATE($K$1,$K$2,KPI$4),Table1[],(MATCH(Calendar!$A18,DB!$1:$1,0)),FALSE)&gt;=5,"Good","Bad"),VLOOKUP(DATE($K$1,$K$2,KPI$4),Table1[],(MATCH(Calendar!$A18,DB!$1:$1,0)),FALSE)),"")</f>
        <v/>
      </c>
      <c r="KPJ18" s="28" t="str">
        <f>IFERROR(IF(KPS3="No",IF(VLOOKUP(DATE($K$1,$K$2,KPJ$4),Table1[],(MATCH(Calendar!$A18,DB!$1:$1,0)),FALSE)&gt;=5,"Good","Bad"),VLOOKUP(DATE($K$1,$K$2,KPJ$4),Table1[],(MATCH(Calendar!$A18,DB!$1:$1,0)),FALSE)),"")</f>
        <v/>
      </c>
      <c r="KPK18" s="28" t="str">
        <f>IFERROR(IF(KPT3="No",IF(VLOOKUP(DATE($K$1,$K$2,KPK$4),Table1[],(MATCH(Calendar!$A18,DB!$1:$1,0)),FALSE)&gt;=5,"Good","Bad"),VLOOKUP(DATE($K$1,$K$2,KPK$4),Table1[],(MATCH(Calendar!$A18,DB!$1:$1,0)),FALSE)),"")</f>
        <v/>
      </c>
      <c r="KPL18" s="28" t="str">
        <f>IFERROR(IF(KPU3="No",IF(VLOOKUP(DATE($K$1,$K$2,KPL$4),Table1[],(MATCH(Calendar!$A18,DB!$1:$1,0)),FALSE)&gt;=5,"Good","Bad"),VLOOKUP(DATE($K$1,$K$2,KPL$4),Table1[],(MATCH(Calendar!$A18,DB!$1:$1,0)),FALSE)),"")</f>
        <v/>
      </c>
      <c r="KPM18" s="28" t="str">
        <f>IFERROR(IF(KPV3="No",IF(VLOOKUP(DATE($K$1,$K$2,KPM$4),Table1[],(MATCH(Calendar!$A18,DB!$1:$1,0)),FALSE)&gt;=5,"Good","Bad"),VLOOKUP(DATE($K$1,$K$2,KPM$4),Table1[],(MATCH(Calendar!$A18,DB!$1:$1,0)),FALSE)),"")</f>
        <v/>
      </c>
      <c r="KPN18" s="28" t="str">
        <f>IFERROR(IF(KPW3="No",IF(VLOOKUP(DATE($K$1,$K$2,KPN$4),Table1[],(MATCH(Calendar!$A18,DB!$1:$1,0)),FALSE)&gt;=5,"Good","Bad"),VLOOKUP(DATE($K$1,$K$2,KPN$4),Table1[],(MATCH(Calendar!$A18,DB!$1:$1,0)),FALSE)),"")</f>
        <v/>
      </c>
      <c r="KPO18" s="28" t="str">
        <f>IFERROR(IF(KPX3="No",IF(VLOOKUP(DATE($K$1,$K$2,KPO$4),Table1[],(MATCH(Calendar!$A18,DB!$1:$1,0)),FALSE)&gt;=5,"Good","Bad"),VLOOKUP(DATE($K$1,$K$2,KPO$4),Table1[],(MATCH(Calendar!$A18,DB!$1:$1,0)),FALSE)),"")</f>
        <v/>
      </c>
      <c r="KPP18" s="28" t="str">
        <f>IFERROR(IF(KPY3="No",IF(VLOOKUP(DATE($K$1,$K$2,KPP$4),Table1[],(MATCH(Calendar!$A18,DB!$1:$1,0)),FALSE)&gt;=5,"Good","Bad"),VLOOKUP(DATE($K$1,$K$2,KPP$4),Table1[],(MATCH(Calendar!$A18,DB!$1:$1,0)),FALSE)),"")</f>
        <v/>
      </c>
      <c r="KPQ18" s="28" t="str">
        <f>IFERROR(IF(KPZ3="No",IF(VLOOKUP(DATE($K$1,$K$2,KPQ$4),Table1[],(MATCH(Calendar!$A18,DB!$1:$1,0)),FALSE)&gt;=5,"Good","Bad"),VLOOKUP(DATE($K$1,$K$2,KPQ$4),Table1[],(MATCH(Calendar!$A18,DB!$1:$1,0)),FALSE)),"")</f>
        <v/>
      </c>
      <c r="KPR18" s="28" t="str">
        <f>IFERROR(IF(KQA3="No",IF(VLOOKUP(DATE($K$1,$K$2,KPR$4),Table1[],(MATCH(Calendar!$A18,DB!$1:$1,0)),FALSE)&gt;=5,"Good","Bad"),VLOOKUP(DATE($K$1,$K$2,KPR$4),Table1[],(MATCH(Calendar!$A18,DB!$1:$1,0)),FALSE)),"")</f>
        <v/>
      </c>
      <c r="KPS18" s="28" t="str">
        <f>IFERROR(IF(KQB3="No",IF(VLOOKUP(DATE($K$1,$K$2,KPS$4),Table1[],(MATCH(Calendar!$A18,DB!$1:$1,0)),FALSE)&gt;=5,"Good","Bad"),VLOOKUP(DATE($K$1,$K$2,KPS$4),Table1[],(MATCH(Calendar!$A18,DB!$1:$1,0)),FALSE)),"")</f>
        <v/>
      </c>
      <c r="KPT18" s="28" t="str">
        <f>IFERROR(IF(KQC3="No",IF(VLOOKUP(DATE($K$1,$K$2,KPT$4),Table1[],(MATCH(Calendar!$A18,DB!$1:$1,0)),FALSE)&gt;=5,"Good","Bad"),VLOOKUP(DATE($K$1,$K$2,KPT$4),Table1[],(MATCH(Calendar!$A18,DB!$1:$1,0)),FALSE)),"")</f>
        <v/>
      </c>
      <c r="KPU18" s="28" t="str">
        <f>IFERROR(IF(KQD3="No",IF(VLOOKUP(DATE($K$1,$K$2,KPU$4),Table1[],(MATCH(Calendar!$A18,DB!$1:$1,0)),FALSE)&gt;=5,"Good","Bad"),VLOOKUP(DATE($K$1,$K$2,KPU$4),Table1[],(MATCH(Calendar!$A18,DB!$1:$1,0)),FALSE)),"")</f>
        <v/>
      </c>
      <c r="KPV18" s="28" t="str">
        <f>IFERROR(IF(KQE3="No",IF(VLOOKUP(DATE($K$1,$K$2,KPV$4),Table1[],(MATCH(Calendar!$A18,DB!$1:$1,0)),FALSE)&gt;=5,"Good","Bad"),VLOOKUP(DATE($K$1,$K$2,KPV$4),Table1[],(MATCH(Calendar!$A18,DB!$1:$1,0)),FALSE)),"")</f>
        <v/>
      </c>
      <c r="KPW18" s="28" t="str">
        <f>IFERROR(IF(KQF3="No",IF(VLOOKUP(DATE($K$1,$K$2,KPW$4),Table1[],(MATCH(Calendar!$A18,DB!$1:$1,0)),FALSE)&gt;=5,"Good","Bad"),VLOOKUP(DATE($K$1,$K$2,KPW$4),Table1[],(MATCH(Calendar!$A18,DB!$1:$1,0)),FALSE)),"")</f>
        <v/>
      </c>
      <c r="KPX18" s="28" t="str">
        <f>IFERROR(IF(KQG3="No",IF(VLOOKUP(DATE($K$1,$K$2,KPX$4),Table1[],(MATCH(Calendar!$A18,DB!$1:$1,0)),FALSE)&gt;=5,"Good","Bad"),VLOOKUP(DATE($K$1,$K$2,KPX$4),Table1[],(MATCH(Calendar!$A18,DB!$1:$1,0)),FALSE)),"")</f>
        <v/>
      </c>
      <c r="KPY18" s="28" t="str">
        <f>IFERROR(IF(KQH3="No",IF(VLOOKUP(DATE($K$1,$K$2,KPY$4),Table1[],(MATCH(Calendar!$A18,DB!$1:$1,0)),FALSE)&gt;=5,"Good","Bad"),VLOOKUP(DATE($K$1,$K$2,KPY$4),Table1[],(MATCH(Calendar!$A18,DB!$1:$1,0)),FALSE)),"")</f>
        <v/>
      </c>
      <c r="KPZ18" s="28" t="str">
        <f>IFERROR(IF(KQI3="No",IF(VLOOKUP(DATE($K$1,$K$2,KPZ$4),Table1[],(MATCH(Calendar!$A18,DB!$1:$1,0)),FALSE)&gt;=5,"Good","Bad"),VLOOKUP(DATE($K$1,$K$2,KPZ$4),Table1[],(MATCH(Calendar!$A18,DB!$1:$1,0)),FALSE)),"")</f>
        <v/>
      </c>
      <c r="KQA18" s="28" t="str">
        <f>IFERROR(IF(KQJ3="No",IF(VLOOKUP(DATE($K$1,$K$2,KQA$4),Table1[],(MATCH(Calendar!$A18,DB!$1:$1,0)),FALSE)&gt;=5,"Good","Bad"),VLOOKUP(DATE($K$1,$K$2,KQA$4),Table1[],(MATCH(Calendar!$A18,DB!$1:$1,0)),FALSE)),"")</f>
        <v/>
      </c>
      <c r="KQB18" s="28" t="str">
        <f>IFERROR(IF(KQK3="No",IF(VLOOKUP(DATE($K$1,$K$2,KQB$4),Table1[],(MATCH(Calendar!$A18,DB!$1:$1,0)),FALSE)&gt;=5,"Good","Bad"),VLOOKUP(DATE($K$1,$K$2,KQB$4),Table1[],(MATCH(Calendar!$A18,DB!$1:$1,0)),FALSE)),"")</f>
        <v/>
      </c>
      <c r="KQC18" s="28" t="str">
        <f>IFERROR(IF(KQL3="No",IF(VLOOKUP(DATE($K$1,$K$2,KQC$4),Table1[],(MATCH(Calendar!$A18,DB!$1:$1,0)),FALSE)&gt;=5,"Good","Bad"),VLOOKUP(DATE($K$1,$K$2,KQC$4),Table1[],(MATCH(Calendar!$A18,DB!$1:$1,0)),FALSE)),"")</f>
        <v/>
      </c>
      <c r="KQD18" s="28" t="str">
        <f>IFERROR(IF(KQM3="No",IF(VLOOKUP(DATE($K$1,$K$2,KQD$4),Table1[],(MATCH(Calendar!$A18,DB!$1:$1,0)),FALSE)&gt;=5,"Good","Bad"),VLOOKUP(DATE($K$1,$K$2,KQD$4),Table1[],(MATCH(Calendar!$A18,DB!$1:$1,0)),FALSE)),"")</f>
        <v/>
      </c>
      <c r="KQE18" s="28" t="str">
        <f>IFERROR(IF(KQN3="No",IF(VLOOKUP(DATE($K$1,$K$2,KQE$4),Table1[],(MATCH(Calendar!$A18,DB!$1:$1,0)),FALSE)&gt;=5,"Good","Bad"),VLOOKUP(DATE($K$1,$K$2,KQE$4),Table1[],(MATCH(Calendar!$A18,DB!$1:$1,0)),FALSE)),"")</f>
        <v/>
      </c>
      <c r="KQF18" s="28" t="str">
        <f>IFERROR(IF(KQO3="No",IF(VLOOKUP(DATE($K$1,$K$2,KQF$4),Table1[],(MATCH(Calendar!$A18,DB!$1:$1,0)),FALSE)&gt;=5,"Good","Bad"),VLOOKUP(DATE($K$1,$K$2,KQF$4),Table1[],(MATCH(Calendar!$A18,DB!$1:$1,0)),FALSE)),"")</f>
        <v/>
      </c>
      <c r="KQG18" s="28" t="str">
        <f>IFERROR(IF(KQP3="No",IF(VLOOKUP(DATE($K$1,$K$2,KQG$4),Table1[],(MATCH(Calendar!$A18,DB!$1:$1,0)),FALSE)&gt;=5,"Good","Bad"),VLOOKUP(DATE($K$1,$K$2,KQG$4),Table1[],(MATCH(Calendar!$A18,DB!$1:$1,0)),FALSE)),"")</f>
        <v/>
      </c>
      <c r="KQH18" s="28" t="str">
        <f>IFERROR(IF(KQQ3="No",IF(VLOOKUP(DATE($K$1,$K$2,KQH$4),Table1[],(MATCH(Calendar!$A18,DB!$1:$1,0)),FALSE)&gt;=5,"Good","Bad"),VLOOKUP(DATE($K$1,$K$2,KQH$4),Table1[],(MATCH(Calendar!$A18,DB!$1:$1,0)),FALSE)),"")</f>
        <v/>
      </c>
      <c r="KQI18" s="28" t="str">
        <f>IFERROR(IF(KQR3="No",IF(VLOOKUP(DATE($K$1,$K$2,KQI$4),Table1[],(MATCH(Calendar!$A18,DB!$1:$1,0)),FALSE)&gt;=5,"Good","Bad"),VLOOKUP(DATE($K$1,$K$2,KQI$4),Table1[],(MATCH(Calendar!$A18,DB!$1:$1,0)),FALSE)),"")</f>
        <v/>
      </c>
      <c r="KQJ18" s="28" t="str">
        <f>IFERROR(IF(KQS3="No",IF(VLOOKUP(DATE($K$1,$K$2,KQJ$4),Table1[],(MATCH(Calendar!$A18,DB!$1:$1,0)),FALSE)&gt;=5,"Good","Bad"),VLOOKUP(DATE($K$1,$K$2,KQJ$4),Table1[],(MATCH(Calendar!$A18,DB!$1:$1,0)),FALSE)),"")</f>
        <v/>
      </c>
      <c r="KQK18" s="28" t="str">
        <f>IFERROR(IF(KQT3="No",IF(VLOOKUP(DATE($K$1,$K$2,KQK$4),Table1[],(MATCH(Calendar!$A18,DB!$1:$1,0)),FALSE)&gt;=5,"Good","Bad"),VLOOKUP(DATE($K$1,$K$2,KQK$4),Table1[],(MATCH(Calendar!$A18,DB!$1:$1,0)),FALSE)),"")</f>
        <v/>
      </c>
      <c r="KQL18" s="28" t="str">
        <f>IFERROR(IF(KQU3="No",IF(VLOOKUP(DATE($K$1,$K$2,KQL$4),Table1[],(MATCH(Calendar!$A18,DB!$1:$1,0)),FALSE)&gt;=5,"Good","Bad"),VLOOKUP(DATE($K$1,$K$2,KQL$4),Table1[],(MATCH(Calendar!$A18,DB!$1:$1,0)),FALSE)),"")</f>
        <v/>
      </c>
      <c r="KQM18" s="28" t="str">
        <f>IFERROR(IF(KQV3="No",IF(VLOOKUP(DATE($K$1,$K$2,KQM$4),Table1[],(MATCH(Calendar!$A18,DB!$1:$1,0)),FALSE)&gt;=5,"Good","Bad"),VLOOKUP(DATE($K$1,$K$2,KQM$4),Table1[],(MATCH(Calendar!$A18,DB!$1:$1,0)),FALSE)),"")</f>
        <v/>
      </c>
      <c r="KQN18" s="28" t="str">
        <f>IFERROR(IF(KQW3="No",IF(VLOOKUP(DATE($K$1,$K$2,KQN$4),Table1[],(MATCH(Calendar!$A18,DB!$1:$1,0)),FALSE)&gt;=5,"Good","Bad"),VLOOKUP(DATE($K$1,$K$2,KQN$4),Table1[],(MATCH(Calendar!$A18,DB!$1:$1,0)),FALSE)),"")</f>
        <v/>
      </c>
      <c r="KQO18" s="28" t="str">
        <f>IFERROR(IF(KQX3="No",IF(VLOOKUP(DATE($K$1,$K$2,KQO$4),Table1[],(MATCH(Calendar!$A18,DB!$1:$1,0)),FALSE)&gt;=5,"Good","Bad"),VLOOKUP(DATE($K$1,$K$2,KQO$4),Table1[],(MATCH(Calendar!$A18,DB!$1:$1,0)),FALSE)),"")</f>
        <v/>
      </c>
      <c r="KQP18" s="28" t="str">
        <f>IFERROR(IF(KQY3="No",IF(VLOOKUP(DATE($K$1,$K$2,KQP$4),Table1[],(MATCH(Calendar!$A18,DB!$1:$1,0)),FALSE)&gt;=5,"Good","Bad"),VLOOKUP(DATE($K$1,$K$2,KQP$4),Table1[],(MATCH(Calendar!$A18,DB!$1:$1,0)),FALSE)),"")</f>
        <v/>
      </c>
      <c r="KQQ18" s="28" t="str">
        <f>IFERROR(IF(KQZ3="No",IF(VLOOKUP(DATE($K$1,$K$2,KQQ$4),Table1[],(MATCH(Calendar!$A18,DB!$1:$1,0)),FALSE)&gt;=5,"Good","Bad"),VLOOKUP(DATE($K$1,$K$2,KQQ$4),Table1[],(MATCH(Calendar!$A18,DB!$1:$1,0)),FALSE)),"")</f>
        <v/>
      </c>
      <c r="KQR18" s="28" t="str">
        <f>IFERROR(IF(KRA3="No",IF(VLOOKUP(DATE($K$1,$K$2,KQR$4),Table1[],(MATCH(Calendar!$A18,DB!$1:$1,0)),FALSE)&gt;=5,"Good","Bad"),VLOOKUP(DATE($K$1,$K$2,KQR$4),Table1[],(MATCH(Calendar!$A18,DB!$1:$1,0)),FALSE)),"")</f>
        <v/>
      </c>
      <c r="KQS18" s="28" t="str">
        <f>IFERROR(IF(KRB3="No",IF(VLOOKUP(DATE($K$1,$K$2,KQS$4),Table1[],(MATCH(Calendar!$A18,DB!$1:$1,0)),FALSE)&gt;=5,"Good","Bad"),VLOOKUP(DATE($K$1,$K$2,KQS$4),Table1[],(MATCH(Calendar!$A18,DB!$1:$1,0)),FALSE)),"")</f>
        <v/>
      </c>
      <c r="KQT18" s="28" t="str">
        <f>IFERROR(IF(KRC3="No",IF(VLOOKUP(DATE($K$1,$K$2,KQT$4),Table1[],(MATCH(Calendar!$A18,DB!$1:$1,0)),FALSE)&gt;=5,"Good","Bad"),VLOOKUP(DATE($K$1,$K$2,KQT$4),Table1[],(MATCH(Calendar!$A18,DB!$1:$1,0)),FALSE)),"")</f>
        <v/>
      </c>
      <c r="KQU18" s="28" t="str">
        <f>IFERROR(IF(KRD3="No",IF(VLOOKUP(DATE($K$1,$K$2,KQU$4),Table1[],(MATCH(Calendar!$A18,DB!$1:$1,0)),FALSE)&gt;=5,"Good","Bad"),VLOOKUP(DATE($K$1,$K$2,KQU$4),Table1[],(MATCH(Calendar!$A18,DB!$1:$1,0)),FALSE)),"")</f>
        <v/>
      </c>
      <c r="KQV18" s="28" t="str">
        <f>IFERROR(IF(KRE3="No",IF(VLOOKUP(DATE($K$1,$K$2,KQV$4),Table1[],(MATCH(Calendar!$A18,DB!$1:$1,0)),FALSE)&gt;=5,"Good","Bad"),VLOOKUP(DATE($K$1,$K$2,KQV$4),Table1[],(MATCH(Calendar!$A18,DB!$1:$1,0)),FALSE)),"")</f>
        <v/>
      </c>
      <c r="KQW18" s="28" t="str">
        <f>IFERROR(IF(KRF3="No",IF(VLOOKUP(DATE($K$1,$K$2,KQW$4),Table1[],(MATCH(Calendar!$A18,DB!$1:$1,0)),FALSE)&gt;=5,"Good","Bad"),VLOOKUP(DATE($K$1,$K$2,KQW$4),Table1[],(MATCH(Calendar!$A18,DB!$1:$1,0)),FALSE)),"")</f>
        <v/>
      </c>
      <c r="KQX18" s="28" t="str">
        <f>IFERROR(IF(KRG3="No",IF(VLOOKUP(DATE($K$1,$K$2,KQX$4),Table1[],(MATCH(Calendar!$A18,DB!$1:$1,0)),FALSE)&gt;=5,"Good","Bad"),VLOOKUP(DATE($K$1,$K$2,KQX$4),Table1[],(MATCH(Calendar!$A18,DB!$1:$1,0)),FALSE)),"")</f>
        <v/>
      </c>
      <c r="KQY18" s="28" t="str">
        <f>IFERROR(IF(KRH3="No",IF(VLOOKUP(DATE($K$1,$K$2,KQY$4),Table1[],(MATCH(Calendar!$A18,DB!$1:$1,0)),FALSE)&gt;=5,"Good","Bad"),VLOOKUP(DATE($K$1,$K$2,KQY$4),Table1[],(MATCH(Calendar!$A18,DB!$1:$1,0)),FALSE)),"")</f>
        <v/>
      </c>
      <c r="KQZ18" s="28" t="str">
        <f>IFERROR(IF(KRI3="No",IF(VLOOKUP(DATE($K$1,$K$2,KQZ$4),Table1[],(MATCH(Calendar!$A18,DB!$1:$1,0)),FALSE)&gt;=5,"Good","Bad"),VLOOKUP(DATE($K$1,$K$2,KQZ$4),Table1[],(MATCH(Calendar!$A18,DB!$1:$1,0)),FALSE)),"")</f>
        <v/>
      </c>
      <c r="KRA18" s="28" t="str">
        <f>IFERROR(IF(KRJ3="No",IF(VLOOKUP(DATE($K$1,$K$2,KRA$4),Table1[],(MATCH(Calendar!$A18,DB!$1:$1,0)),FALSE)&gt;=5,"Good","Bad"),VLOOKUP(DATE($K$1,$K$2,KRA$4),Table1[],(MATCH(Calendar!$A18,DB!$1:$1,0)),FALSE)),"")</f>
        <v/>
      </c>
      <c r="KRB18" s="28" t="str">
        <f>IFERROR(IF(KRK3="No",IF(VLOOKUP(DATE($K$1,$K$2,KRB$4),Table1[],(MATCH(Calendar!$A18,DB!$1:$1,0)),FALSE)&gt;=5,"Good","Bad"),VLOOKUP(DATE($K$1,$K$2,KRB$4),Table1[],(MATCH(Calendar!$A18,DB!$1:$1,0)),FALSE)),"")</f>
        <v/>
      </c>
      <c r="KRC18" s="28" t="str">
        <f>IFERROR(IF(KRL3="No",IF(VLOOKUP(DATE($K$1,$K$2,KRC$4),Table1[],(MATCH(Calendar!$A18,DB!$1:$1,0)),FALSE)&gt;=5,"Good","Bad"),VLOOKUP(DATE($K$1,$K$2,KRC$4),Table1[],(MATCH(Calendar!$A18,DB!$1:$1,0)),FALSE)),"")</f>
        <v/>
      </c>
      <c r="KRD18" s="28" t="str">
        <f>IFERROR(IF(KRM3="No",IF(VLOOKUP(DATE($K$1,$K$2,KRD$4),Table1[],(MATCH(Calendar!$A18,DB!$1:$1,0)),FALSE)&gt;=5,"Good","Bad"),VLOOKUP(DATE($K$1,$K$2,KRD$4),Table1[],(MATCH(Calendar!$A18,DB!$1:$1,0)),FALSE)),"")</f>
        <v/>
      </c>
      <c r="KRE18" s="28" t="str">
        <f>IFERROR(IF(KRN3="No",IF(VLOOKUP(DATE($K$1,$K$2,KRE$4),Table1[],(MATCH(Calendar!$A18,DB!$1:$1,0)),FALSE)&gt;=5,"Good","Bad"),VLOOKUP(DATE($K$1,$K$2,KRE$4),Table1[],(MATCH(Calendar!$A18,DB!$1:$1,0)),FALSE)),"")</f>
        <v/>
      </c>
      <c r="KRF18" s="28" t="str">
        <f>IFERROR(IF(KRO3="No",IF(VLOOKUP(DATE($K$1,$K$2,KRF$4),Table1[],(MATCH(Calendar!$A18,DB!$1:$1,0)),FALSE)&gt;=5,"Good","Bad"),VLOOKUP(DATE($K$1,$K$2,KRF$4),Table1[],(MATCH(Calendar!$A18,DB!$1:$1,0)),FALSE)),"")</f>
        <v/>
      </c>
      <c r="KRG18" s="28" t="str">
        <f>IFERROR(IF(KRP3="No",IF(VLOOKUP(DATE($K$1,$K$2,KRG$4),Table1[],(MATCH(Calendar!$A18,DB!$1:$1,0)),FALSE)&gt;=5,"Good","Bad"),VLOOKUP(DATE($K$1,$K$2,KRG$4),Table1[],(MATCH(Calendar!$A18,DB!$1:$1,0)),FALSE)),"")</f>
        <v/>
      </c>
      <c r="KRH18" s="28" t="str">
        <f>IFERROR(IF(KRQ3="No",IF(VLOOKUP(DATE($K$1,$K$2,KRH$4),Table1[],(MATCH(Calendar!$A18,DB!$1:$1,0)),FALSE)&gt;=5,"Good","Bad"),VLOOKUP(DATE($K$1,$K$2,KRH$4),Table1[],(MATCH(Calendar!$A18,DB!$1:$1,0)),FALSE)),"")</f>
        <v/>
      </c>
      <c r="KRI18" s="28" t="str">
        <f>IFERROR(IF(KRR3="No",IF(VLOOKUP(DATE($K$1,$K$2,KRI$4),Table1[],(MATCH(Calendar!$A18,DB!$1:$1,0)),FALSE)&gt;=5,"Good","Bad"),VLOOKUP(DATE($K$1,$K$2,KRI$4),Table1[],(MATCH(Calendar!$A18,DB!$1:$1,0)),FALSE)),"")</f>
        <v/>
      </c>
      <c r="KRJ18" s="28" t="str">
        <f>IFERROR(IF(KRS3="No",IF(VLOOKUP(DATE($K$1,$K$2,KRJ$4),Table1[],(MATCH(Calendar!$A18,DB!$1:$1,0)),FALSE)&gt;=5,"Good","Bad"),VLOOKUP(DATE($K$1,$K$2,KRJ$4),Table1[],(MATCH(Calendar!$A18,DB!$1:$1,0)),FALSE)),"")</f>
        <v/>
      </c>
      <c r="KRK18" s="28" t="str">
        <f>IFERROR(IF(KRT3="No",IF(VLOOKUP(DATE($K$1,$K$2,KRK$4),Table1[],(MATCH(Calendar!$A18,DB!$1:$1,0)),FALSE)&gt;=5,"Good","Bad"),VLOOKUP(DATE($K$1,$K$2,KRK$4),Table1[],(MATCH(Calendar!$A18,DB!$1:$1,0)),FALSE)),"")</f>
        <v/>
      </c>
      <c r="KRL18" s="28" t="str">
        <f>IFERROR(IF(KRU3="No",IF(VLOOKUP(DATE($K$1,$K$2,KRL$4),Table1[],(MATCH(Calendar!$A18,DB!$1:$1,0)),FALSE)&gt;=5,"Good","Bad"),VLOOKUP(DATE($K$1,$K$2,KRL$4),Table1[],(MATCH(Calendar!$A18,DB!$1:$1,0)),FALSE)),"")</f>
        <v/>
      </c>
      <c r="KRM18" s="28" t="str">
        <f>IFERROR(IF(KRV3="No",IF(VLOOKUP(DATE($K$1,$K$2,KRM$4),Table1[],(MATCH(Calendar!$A18,DB!$1:$1,0)),FALSE)&gt;=5,"Good","Bad"),VLOOKUP(DATE($K$1,$K$2,KRM$4),Table1[],(MATCH(Calendar!$A18,DB!$1:$1,0)),FALSE)),"")</f>
        <v/>
      </c>
      <c r="KRN18" s="28" t="str">
        <f>IFERROR(IF(KRW3="No",IF(VLOOKUP(DATE($K$1,$K$2,KRN$4),Table1[],(MATCH(Calendar!$A18,DB!$1:$1,0)),FALSE)&gt;=5,"Good","Bad"),VLOOKUP(DATE($K$1,$K$2,KRN$4),Table1[],(MATCH(Calendar!$A18,DB!$1:$1,0)),FALSE)),"")</f>
        <v/>
      </c>
      <c r="KRO18" s="28" t="str">
        <f>IFERROR(IF(KRX3="No",IF(VLOOKUP(DATE($K$1,$K$2,KRO$4),Table1[],(MATCH(Calendar!$A18,DB!$1:$1,0)),FALSE)&gt;=5,"Good","Bad"),VLOOKUP(DATE($K$1,$K$2,KRO$4),Table1[],(MATCH(Calendar!$A18,DB!$1:$1,0)),FALSE)),"")</f>
        <v/>
      </c>
      <c r="KRP18" s="28" t="str">
        <f>IFERROR(IF(KRY3="No",IF(VLOOKUP(DATE($K$1,$K$2,KRP$4),Table1[],(MATCH(Calendar!$A18,DB!$1:$1,0)),FALSE)&gt;=5,"Good","Bad"),VLOOKUP(DATE($K$1,$K$2,KRP$4),Table1[],(MATCH(Calendar!$A18,DB!$1:$1,0)),FALSE)),"")</f>
        <v/>
      </c>
      <c r="KRQ18" s="28" t="str">
        <f>IFERROR(IF(KRZ3="No",IF(VLOOKUP(DATE($K$1,$K$2,KRQ$4),Table1[],(MATCH(Calendar!$A18,DB!$1:$1,0)),FALSE)&gt;=5,"Good","Bad"),VLOOKUP(DATE($K$1,$K$2,KRQ$4),Table1[],(MATCH(Calendar!$A18,DB!$1:$1,0)),FALSE)),"")</f>
        <v/>
      </c>
      <c r="KRR18" s="28" t="str">
        <f>IFERROR(IF(KSA3="No",IF(VLOOKUP(DATE($K$1,$K$2,KRR$4),Table1[],(MATCH(Calendar!$A18,DB!$1:$1,0)),FALSE)&gt;=5,"Good","Bad"),VLOOKUP(DATE($K$1,$K$2,KRR$4),Table1[],(MATCH(Calendar!$A18,DB!$1:$1,0)),FALSE)),"")</f>
        <v/>
      </c>
      <c r="KRS18" s="28" t="str">
        <f>IFERROR(IF(KSB3="No",IF(VLOOKUP(DATE($K$1,$K$2,KRS$4),Table1[],(MATCH(Calendar!$A18,DB!$1:$1,0)),FALSE)&gt;=5,"Good","Bad"),VLOOKUP(DATE($K$1,$K$2,KRS$4),Table1[],(MATCH(Calendar!$A18,DB!$1:$1,0)),FALSE)),"")</f>
        <v/>
      </c>
      <c r="KRT18" s="28" t="str">
        <f>IFERROR(IF(KSC3="No",IF(VLOOKUP(DATE($K$1,$K$2,KRT$4),Table1[],(MATCH(Calendar!$A18,DB!$1:$1,0)),FALSE)&gt;=5,"Good","Bad"),VLOOKUP(DATE($K$1,$K$2,KRT$4),Table1[],(MATCH(Calendar!$A18,DB!$1:$1,0)),FALSE)),"")</f>
        <v/>
      </c>
      <c r="KRU18" s="28" t="str">
        <f>IFERROR(IF(KSD3="No",IF(VLOOKUP(DATE($K$1,$K$2,KRU$4),Table1[],(MATCH(Calendar!$A18,DB!$1:$1,0)),FALSE)&gt;=5,"Good","Bad"),VLOOKUP(DATE($K$1,$K$2,KRU$4),Table1[],(MATCH(Calendar!$A18,DB!$1:$1,0)),FALSE)),"")</f>
        <v/>
      </c>
      <c r="KRV18" s="28" t="str">
        <f>IFERROR(IF(KSE3="No",IF(VLOOKUP(DATE($K$1,$K$2,KRV$4),Table1[],(MATCH(Calendar!$A18,DB!$1:$1,0)),FALSE)&gt;=5,"Good","Bad"),VLOOKUP(DATE($K$1,$K$2,KRV$4),Table1[],(MATCH(Calendar!$A18,DB!$1:$1,0)),FALSE)),"")</f>
        <v/>
      </c>
      <c r="KRW18" s="28" t="str">
        <f>IFERROR(IF(KSF3="No",IF(VLOOKUP(DATE($K$1,$K$2,KRW$4),Table1[],(MATCH(Calendar!$A18,DB!$1:$1,0)),FALSE)&gt;=5,"Good","Bad"),VLOOKUP(DATE($K$1,$K$2,KRW$4),Table1[],(MATCH(Calendar!$A18,DB!$1:$1,0)),FALSE)),"")</f>
        <v/>
      </c>
      <c r="KRX18" s="28" t="str">
        <f>IFERROR(IF(KSG3="No",IF(VLOOKUP(DATE($K$1,$K$2,KRX$4),Table1[],(MATCH(Calendar!$A18,DB!$1:$1,0)),FALSE)&gt;=5,"Good","Bad"),VLOOKUP(DATE($K$1,$K$2,KRX$4),Table1[],(MATCH(Calendar!$A18,DB!$1:$1,0)),FALSE)),"")</f>
        <v/>
      </c>
      <c r="KRY18" s="28" t="str">
        <f>IFERROR(IF(KSH3="No",IF(VLOOKUP(DATE($K$1,$K$2,KRY$4),Table1[],(MATCH(Calendar!$A18,DB!$1:$1,0)),FALSE)&gt;=5,"Good","Bad"),VLOOKUP(DATE($K$1,$K$2,KRY$4),Table1[],(MATCH(Calendar!$A18,DB!$1:$1,0)),FALSE)),"")</f>
        <v/>
      </c>
      <c r="KRZ18" s="28" t="str">
        <f>IFERROR(IF(KSI3="No",IF(VLOOKUP(DATE($K$1,$K$2,KRZ$4),Table1[],(MATCH(Calendar!$A18,DB!$1:$1,0)),FALSE)&gt;=5,"Good","Bad"),VLOOKUP(DATE($K$1,$K$2,KRZ$4),Table1[],(MATCH(Calendar!$A18,DB!$1:$1,0)),FALSE)),"")</f>
        <v/>
      </c>
      <c r="KSA18" s="28" t="str">
        <f>IFERROR(IF(KSJ3="No",IF(VLOOKUP(DATE($K$1,$K$2,KSA$4),Table1[],(MATCH(Calendar!$A18,DB!$1:$1,0)),FALSE)&gt;=5,"Good","Bad"),VLOOKUP(DATE($K$1,$K$2,KSA$4),Table1[],(MATCH(Calendar!$A18,DB!$1:$1,0)),FALSE)),"")</f>
        <v/>
      </c>
      <c r="KSB18" s="28" t="str">
        <f>IFERROR(IF(KSK3="No",IF(VLOOKUP(DATE($K$1,$K$2,KSB$4),Table1[],(MATCH(Calendar!$A18,DB!$1:$1,0)),FALSE)&gt;=5,"Good","Bad"),VLOOKUP(DATE($K$1,$K$2,KSB$4),Table1[],(MATCH(Calendar!$A18,DB!$1:$1,0)),FALSE)),"")</f>
        <v/>
      </c>
      <c r="KSC18" s="28" t="str">
        <f>IFERROR(IF(KSL3="No",IF(VLOOKUP(DATE($K$1,$K$2,KSC$4),Table1[],(MATCH(Calendar!$A18,DB!$1:$1,0)),FALSE)&gt;=5,"Good","Bad"),VLOOKUP(DATE($K$1,$K$2,KSC$4),Table1[],(MATCH(Calendar!$A18,DB!$1:$1,0)),FALSE)),"")</f>
        <v/>
      </c>
      <c r="KSD18" s="28" t="str">
        <f>IFERROR(IF(KSM3="No",IF(VLOOKUP(DATE($K$1,$K$2,KSD$4),Table1[],(MATCH(Calendar!$A18,DB!$1:$1,0)),FALSE)&gt;=5,"Good","Bad"),VLOOKUP(DATE($K$1,$K$2,KSD$4),Table1[],(MATCH(Calendar!$A18,DB!$1:$1,0)),FALSE)),"")</f>
        <v/>
      </c>
      <c r="KSE18" s="28" t="str">
        <f>IFERROR(IF(KSN3="No",IF(VLOOKUP(DATE($K$1,$K$2,KSE$4),Table1[],(MATCH(Calendar!$A18,DB!$1:$1,0)),FALSE)&gt;=5,"Good","Bad"),VLOOKUP(DATE($K$1,$K$2,KSE$4),Table1[],(MATCH(Calendar!$A18,DB!$1:$1,0)),FALSE)),"")</f>
        <v/>
      </c>
      <c r="KSF18" s="28" t="str">
        <f>IFERROR(IF(KSO3="No",IF(VLOOKUP(DATE($K$1,$K$2,KSF$4),Table1[],(MATCH(Calendar!$A18,DB!$1:$1,0)),FALSE)&gt;=5,"Good","Bad"),VLOOKUP(DATE($K$1,$K$2,KSF$4),Table1[],(MATCH(Calendar!$A18,DB!$1:$1,0)),FALSE)),"")</f>
        <v/>
      </c>
      <c r="KSG18" s="28" t="str">
        <f>IFERROR(IF(KSP3="No",IF(VLOOKUP(DATE($K$1,$K$2,KSG$4),Table1[],(MATCH(Calendar!$A18,DB!$1:$1,0)),FALSE)&gt;=5,"Good","Bad"),VLOOKUP(DATE($K$1,$K$2,KSG$4),Table1[],(MATCH(Calendar!$A18,DB!$1:$1,0)),FALSE)),"")</f>
        <v/>
      </c>
      <c r="KSH18" s="28" t="str">
        <f>IFERROR(IF(KSQ3="No",IF(VLOOKUP(DATE($K$1,$K$2,KSH$4),Table1[],(MATCH(Calendar!$A18,DB!$1:$1,0)),FALSE)&gt;=5,"Good","Bad"),VLOOKUP(DATE($K$1,$K$2,KSH$4),Table1[],(MATCH(Calendar!$A18,DB!$1:$1,0)),FALSE)),"")</f>
        <v/>
      </c>
      <c r="KSI18" s="28" t="str">
        <f>IFERROR(IF(KSR3="No",IF(VLOOKUP(DATE($K$1,$K$2,KSI$4),Table1[],(MATCH(Calendar!$A18,DB!$1:$1,0)),FALSE)&gt;=5,"Good","Bad"),VLOOKUP(DATE($K$1,$K$2,KSI$4),Table1[],(MATCH(Calendar!$A18,DB!$1:$1,0)),FALSE)),"")</f>
        <v/>
      </c>
      <c r="KSJ18" s="28" t="str">
        <f>IFERROR(IF(KSS3="No",IF(VLOOKUP(DATE($K$1,$K$2,KSJ$4),Table1[],(MATCH(Calendar!$A18,DB!$1:$1,0)),FALSE)&gt;=5,"Good","Bad"),VLOOKUP(DATE($K$1,$K$2,KSJ$4),Table1[],(MATCH(Calendar!$A18,DB!$1:$1,0)),FALSE)),"")</f>
        <v/>
      </c>
      <c r="KSK18" s="28" t="str">
        <f>IFERROR(IF(KST3="No",IF(VLOOKUP(DATE($K$1,$K$2,KSK$4),Table1[],(MATCH(Calendar!$A18,DB!$1:$1,0)),FALSE)&gt;=5,"Good","Bad"),VLOOKUP(DATE($K$1,$K$2,KSK$4),Table1[],(MATCH(Calendar!$A18,DB!$1:$1,0)),FALSE)),"")</f>
        <v/>
      </c>
      <c r="KSL18" s="28" t="str">
        <f>IFERROR(IF(KSU3="No",IF(VLOOKUP(DATE($K$1,$K$2,KSL$4),Table1[],(MATCH(Calendar!$A18,DB!$1:$1,0)),FALSE)&gt;=5,"Good","Bad"),VLOOKUP(DATE($K$1,$K$2,KSL$4),Table1[],(MATCH(Calendar!$A18,DB!$1:$1,0)),FALSE)),"")</f>
        <v/>
      </c>
      <c r="KSM18" s="28" t="str">
        <f>IFERROR(IF(KSV3="No",IF(VLOOKUP(DATE($K$1,$K$2,KSM$4),Table1[],(MATCH(Calendar!$A18,DB!$1:$1,0)),FALSE)&gt;=5,"Good","Bad"),VLOOKUP(DATE($K$1,$K$2,KSM$4),Table1[],(MATCH(Calendar!$A18,DB!$1:$1,0)),FALSE)),"")</f>
        <v/>
      </c>
      <c r="KSN18" s="28" t="str">
        <f>IFERROR(IF(KSW3="No",IF(VLOOKUP(DATE($K$1,$K$2,KSN$4),Table1[],(MATCH(Calendar!$A18,DB!$1:$1,0)),FALSE)&gt;=5,"Good","Bad"),VLOOKUP(DATE($K$1,$K$2,KSN$4),Table1[],(MATCH(Calendar!$A18,DB!$1:$1,0)),FALSE)),"")</f>
        <v/>
      </c>
      <c r="KSO18" s="28" t="str">
        <f>IFERROR(IF(KSX3="No",IF(VLOOKUP(DATE($K$1,$K$2,KSO$4),Table1[],(MATCH(Calendar!$A18,DB!$1:$1,0)),FALSE)&gt;=5,"Good","Bad"),VLOOKUP(DATE($K$1,$K$2,KSO$4),Table1[],(MATCH(Calendar!$A18,DB!$1:$1,0)),FALSE)),"")</f>
        <v/>
      </c>
      <c r="KSP18" s="28" t="str">
        <f>IFERROR(IF(KSY3="No",IF(VLOOKUP(DATE($K$1,$K$2,KSP$4),Table1[],(MATCH(Calendar!$A18,DB!$1:$1,0)),FALSE)&gt;=5,"Good","Bad"),VLOOKUP(DATE($K$1,$K$2,KSP$4),Table1[],(MATCH(Calendar!$A18,DB!$1:$1,0)),FALSE)),"")</f>
        <v/>
      </c>
      <c r="KSQ18" s="28" t="str">
        <f>IFERROR(IF(KSZ3="No",IF(VLOOKUP(DATE($K$1,$K$2,KSQ$4),Table1[],(MATCH(Calendar!$A18,DB!$1:$1,0)),FALSE)&gt;=5,"Good","Bad"),VLOOKUP(DATE($K$1,$K$2,KSQ$4),Table1[],(MATCH(Calendar!$A18,DB!$1:$1,0)),FALSE)),"")</f>
        <v/>
      </c>
      <c r="KSR18" s="28" t="str">
        <f>IFERROR(IF(KTA3="No",IF(VLOOKUP(DATE($K$1,$K$2,KSR$4),Table1[],(MATCH(Calendar!$A18,DB!$1:$1,0)),FALSE)&gt;=5,"Good","Bad"),VLOOKUP(DATE($K$1,$K$2,KSR$4),Table1[],(MATCH(Calendar!$A18,DB!$1:$1,0)),FALSE)),"")</f>
        <v/>
      </c>
      <c r="KSS18" s="28" t="str">
        <f>IFERROR(IF(KTB3="No",IF(VLOOKUP(DATE($K$1,$K$2,KSS$4),Table1[],(MATCH(Calendar!$A18,DB!$1:$1,0)),FALSE)&gt;=5,"Good","Bad"),VLOOKUP(DATE($K$1,$K$2,KSS$4),Table1[],(MATCH(Calendar!$A18,DB!$1:$1,0)),FALSE)),"")</f>
        <v/>
      </c>
      <c r="KST18" s="28" t="str">
        <f>IFERROR(IF(KTC3="No",IF(VLOOKUP(DATE($K$1,$K$2,KST$4),Table1[],(MATCH(Calendar!$A18,DB!$1:$1,0)),FALSE)&gt;=5,"Good","Bad"),VLOOKUP(DATE($K$1,$K$2,KST$4),Table1[],(MATCH(Calendar!$A18,DB!$1:$1,0)),FALSE)),"")</f>
        <v/>
      </c>
      <c r="KSU18" s="28" t="str">
        <f>IFERROR(IF(KTD3="No",IF(VLOOKUP(DATE($K$1,$K$2,KSU$4),Table1[],(MATCH(Calendar!$A18,DB!$1:$1,0)),FALSE)&gt;=5,"Good","Bad"),VLOOKUP(DATE($K$1,$K$2,KSU$4),Table1[],(MATCH(Calendar!$A18,DB!$1:$1,0)),FALSE)),"")</f>
        <v/>
      </c>
      <c r="KSV18" s="28" t="str">
        <f>IFERROR(IF(KTE3="No",IF(VLOOKUP(DATE($K$1,$K$2,KSV$4),Table1[],(MATCH(Calendar!$A18,DB!$1:$1,0)),FALSE)&gt;=5,"Good","Bad"),VLOOKUP(DATE($K$1,$K$2,KSV$4),Table1[],(MATCH(Calendar!$A18,DB!$1:$1,0)),FALSE)),"")</f>
        <v/>
      </c>
      <c r="KSW18" s="28" t="str">
        <f>IFERROR(IF(KTF3="No",IF(VLOOKUP(DATE($K$1,$K$2,KSW$4),Table1[],(MATCH(Calendar!$A18,DB!$1:$1,0)),FALSE)&gt;=5,"Good","Bad"),VLOOKUP(DATE($K$1,$K$2,KSW$4),Table1[],(MATCH(Calendar!$A18,DB!$1:$1,0)),FALSE)),"")</f>
        <v/>
      </c>
      <c r="KSX18" s="28" t="str">
        <f>IFERROR(IF(KTG3="No",IF(VLOOKUP(DATE($K$1,$K$2,KSX$4),Table1[],(MATCH(Calendar!$A18,DB!$1:$1,0)),FALSE)&gt;=5,"Good","Bad"),VLOOKUP(DATE($K$1,$K$2,KSX$4),Table1[],(MATCH(Calendar!$A18,DB!$1:$1,0)),FALSE)),"")</f>
        <v/>
      </c>
      <c r="KSY18" s="28" t="str">
        <f>IFERROR(IF(KTH3="No",IF(VLOOKUP(DATE($K$1,$K$2,KSY$4),Table1[],(MATCH(Calendar!$A18,DB!$1:$1,0)),FALSE)&gt;=5,"Good","Bad"),VLOOKUP(DATE($K$1,$K$2,KSY$4),Table1[],(MATCH(Calendar!$A18,DB!$1:$1,0)),FALSE)),"")</f>
        <v/>
      </c>
      <c r="KSZ18" s="28" t="str">
        <f>IFERROR(IF(KTI3="No",IF(VLOOKUP(DATE($K$1,$K$2,KSZ$4),Table1[],(MATCH(Calendar!$A18,DB!$1:$1,0)),FALSE)&gt;=5,"Good","Bad"),VLOOKUP(DATE($K$1,$K$2,KSZ$4),Table1[],(MATCH(Calendar!$A18,DB!$1:$1,0)),FALSE)),"")</f>
        <v/>
      </c>
      <c r="KTA18" s="28" t="str">
        <f>IFERROR(IF(KTJ3="No",IF(VLOOKUP(DATE($K$1,$K$2,KTA$4),Table1[],(MATCH(Calendar!$A18,DB!$1:$1,0)),FALSE)&gt;=5,"Good","Bad"),VLOOKUP(DATE($K$1,$K$2,KTA$4),Table1[],(MATCH(Calendar!$A18,DB!$1:$1,0)),FALSE)),"")</f>
        <v/>
      </c>
      <c r="KTB18" s="28" t="str">
        <f>IFERROR(IF(KTK3="No",IF(VLOOKUP(DATE($K$1,$K$2,KTB$4),Table1[],(MATCH(Calendar!$A18,DB!$1:$1,0)),FALSE)&gt;=5,"Good","Bad"),VLOOKUP(DATE($K$1,$K$2,KTB$4),Table1[],(MATCH(Calendar!$A18,DB!$1:$1,0)),FALSE)),"")</f>
        <v/>
      </c>
      <c r="KTC18" s="28" t="str">
        <f>IFERROR(IF(KTL3="No",IF(VLOOKUP(DATE($K$1,$K$2,KTC$4),Table1[],(MATCH(Calendar!$A18,DB!$1:$1,0)),FALSE)&gt;=5,"Good","Bad"),VLOOKUP(DATE($K$1,$K$2,KTC$4),Table1[],(MATCH(Calendar!$A18,DB!$1:$1,0)),FALSE)),"")</f>
        <v/>
      </c>
      <c r="KTD18" s="28" t="str">
        <f>IFERROR(IF(KTM3="No",IF(VLOOKUP(DATE($K$1,$K$2,KTD$4),Table1[],(MATCH(Calendar!$A18,DB!$1:$1,0)),FALSE)&gt;=5,"Good","Bad"),VLOOKUP(DATE($K$1,$K$2,KTD$4),Table1[],(MATCH(Calendar!$A18,DB!$1:$1,0)),FALSE)),"")</f>
        <v/>
      </c>
      <c r="KTE18" s="28" t="str">
        <f>IFERROR(IF(KTN3="No",IF(VLOOKUP(DATE($K$1,$K$2,KTE$4),Table1[],(MATCH(Calendar!$A18,DB!$1:$1,0)),FALSE)&gt;=5,"Good","Bad"),VLOOKUP(DATE($K$1,$K$2,KTE$4),Table1[],(MATCH(Calendar!$A18,DB!$1:$1,0)),FALSE)),"")</f>
        <v/>
      </c>
      <c r="KTF18" s="28" t="str">
        <f>IFERROR(IF(KTO3="No",IF(VLOOKUP(DATE($K$1,$K$2,KTF$4),Table1[],(MATCH(Calendar!$A18,DB!$1:$1,0)),FALSE)&gt;=5,"Good","Bad"),VLOOKUP(DATE($K$1,$K$2,KTF$4),Table1[],(MATCH(Calendar!$A18,DB!$1:$1,0)),FALSE)),"")</f>
        <v/>
      </c>
      <c r="KTG18" s="28" t="str">
        <f>IFERROR(IF(KTP3="No",IF(VLOOKUP(DATE($K$1,$K$2,KTG$4),Table1[],(MATCH(Calendar!$A18,DB!$1:$1,0)),FALSE)&gt;=5,"Good","Bad"),VLOOKUP(DATE($K$1,$K$2,KTG$4),Table1[],(MATCH(Calendar!$A18,DB!$1:$1,0)),FALSE)),"")</f>
        <v/>
      </c>
      <c r="KTH18" s="28" t="str">
        <f>IFERROR(IF(KTQ3="No",IF(VLOOKUP(DATE($K$1,$K$2,KTH$4),Table1[],(MATCH(Calendar!$A18,DB!$1:$1,0)),FALSE)&gt;=5,"Good","Bad"),VLOOKUP(DATE($K$1,$K$2,KTH$4),Table1[],(MATCH(Calendar!$A18,DB!$1:$1,0)),FALSE)),"")</f>
        <v/>
      </c>
      <c r="KTI18" s="28" t="str">
        <f>IFERROR(IF(KTR3="No",IF(VLOOKUP(DATE($K$1,$K$2,KTI$4),Table1[],(MATCH(Calendar!$A18,DB!$1:$1,0)),FALSE)&gt;=5,"Good","Bad"),VLOOKUP(DATE($K$1,$K$2,KTI$4),Table1[],(MATCH(Calendar!$A18,DB!$1:$1,0)),FALSE)),"")</f>
        <v/>
      </c>
      <c r="KTJ18" s="28" t="str">
        <f>IFERROR(IF(KTS3="No",IF(VLOOKUP(DATE($K$1,$K$2,KTJ$4),Table1[],(MATCH(Calendar!$A18,DB!$1:$1,0)),FALSE)&gt;=5,"Good","Bad"),VLOOKUP(DATE($K$1,$K$2,KTJ$4),Table1[],(MATCH(Calendar!$A18,DB!$1:$1,0)),FALSE)),"")</f>
        <v/>
      </c>
      <c r="KTK18" s="28" t="str">
        <f>IFERROR(IF(KTT3="No",IF(VLOOKUP(DATE($K$1,$K$2,KTK$4),Table1[],(MATCH(Calendar!$A18,DB!$1:$1,0)),FALSE)&gt;=5,"Good","Bad"),VLOOKUP(DATE($K$1,$K$2,KTK$4),Table1[],(MATCH(Calendar!$A18,DB!$1:$1,0)),FALSE)),"")</f>
        <v/>
      </c>
      <c r="KTL18" s="28" t="str">
        <f>IFERROR(IF(KTU3="No",IF(VLOOKUP(DATE($K$1,$K$2,KTL$4),Table1[],(MATCH(Calendar!$A18,DB!$1:$1,0)),FALSE)&gt;=5,"Good","Bad"),VLOOKUP(DATE($K$1,$K$2,KTL$4),Table1[],(MATCH(Calendar!$A18,DB!$1:$1,0)),FALSE)),"")</f>
        <v/>
      </c>
      <c r="KTM18" s="28" t="str">
        <f>IFERROR(IF(KTV3="No",IF(VLOOKUP(DATE($K$1,$K$2,KTM$4),Table1[],(MATCH(Calendar!$A18,DB!$1:$1,0)),FALSE)&gt;=5,"Good","Bad"),VLOOKUP(DATE($K$1,$K$2,KTM$4),Table1[],(MATCH(Calendar!$A18,DB!$1:$1,0)),FALSE)),"")</f>
        <v/>
      </c>
      <c r="KTN18" s="28" t="str">
        <f>IFERROR(IF(KTW3="No",IF(VLOOKUP(DATE($K$1,$K$2,KTN$4),Table1[],(MATCH(Calendar!$A18,DB!$1:$1,0)),FALSE)&gt;=5,"Good","Bad"),VLOOKUP(DATE($K$1,$K$2,KTN$4),Table1[],(MATCH(Calendar!$A18,DB!$1:$1,0)),FALSE)),"")</f>
        <v/>
      </c>
      <c r="KTO18" s="28" t="str">
        <f>IFERROR(IF(KTX3="No",IF(VLOOKUP(DATE($K$1,$K$2,KTO$4),Table1[],(MATCH(Calendar!$A18,DB!$1:$1,0)),FALSE)&gt;=5,"Good","Bad"),VLOOKUP(DATE($K$1,$K$2,KTO$4),Table1[],(MATCH(Calendar!$A18,DB!$1:$1,0)),FALSE)),"")</f>
        <v/>
      </c>
      <c r="KTP18" s="28" t="str">
        <f>IFERROR(IF(KTY3="No",IF(VLOOKUP(DATE($K$1,$K$2,KTP$4),Table1[],(MATCH(Calendar!$A18,DB!$1:$1,0)),FALSE)&gt;=5,"Good","Bad"),VLOOKUP(DATE($K$1,$K$2,KTP$4),Table1[],(MATCH(Calendar!$A18,DB!$1:$1,0)),FALSE)),"")</f>
        <v/>
      </c>
      <c r="KTQ18" s="28" t="str">
        <f>IFERROR(IF(KTZ3="No",IF(VLOOKUP(DATE($K$1,$K$2,KTQ$4),Table1[],(MATCH(Calendar!$A18,DB!$1:$1,0)),FALSE)&gt;=5,"Good","Bad"),VLOOKUP(DATE($K$1,$K$2,KTQ$4),Table1[],(MATCH(Calendar!$A18,DB!$1:$1,0)),FALSE)),"")</f>
        <v/>
      </c>
      <c r="KTR18" s="28" t="str">
        <f>IFERROR(IF(KUA3="No",IF(VLOOKUP(DATE($K$1,$K$2,KTR$4),Table1[],(MATCH(Calendar!$A18,DB!$1:$1,0)),FALSE)&gt;=5,"Good","Bad"),VLOOKUP(DATE($K$1,$K$2,KTR$4),Table1[],(MATCH(Calendar!$A18,DB!$1:$1,0)),FALSE)),"")</f>
        <v/>
      </c>
      <c r="KTS18" s="28" t="str">
        <f>IFERROR(IF(KUB3="No",IF(VLOOKUP(DATE($K$1,$K$2,KTS$4),Table1[],(MATCH(Calendar!$A18,DB!$1:$1,0)),FALSE)&gt;=5,"Good","Bad"),VLOOKUP(DATE($K$1,$K$2,KTS$4),Table1[],(MATCH(Calendar!$A18,DB!$1:$1,0)),FALSE)),"")</f>
        <v/>
      </c>
      <c r="KTT18" s="28" t="str">
        <f>IFERROR(IF(KUC3="No",IF(VLOOKUP(DATE($K$1,$K$2,KTT$4),Table1[],(MATCH(Calendar!$A18,DB!$1:$1,0)),FALSE)&gt;=5,"Good","Bad"),VLOOKUP(DATE($K$1,$K$2,KTT$4),Table1[],(MATCH(Calendar!$A18,DB!$1:$1,0)),FALSE)),"")</f>
        <v/>
      </c>
      <c r="KTU18" s="28" t="str">
        <f>IFERROR(IF(KUD3="No",IF(VLOOKUP(DATE($K$1,$K$2,KTU$4),Table1[],(MATCH(Calendar!$A18,DB!$1:$1,0)),FALSE)&gt;=5,"Good","Bad"),VLOOKUP(DATE($K$1,$K$2,KTU$4),Table1[],(MATCH(Calendar!$A18,DB!$1:$1,0)),FALSE)),"")</f>
        <v/>
      </c>
      <c r="KTV18" s="28" t="str">
        <f>IFERROR(IF(KUE3="No",IF(VLOOKUP(DATE($K$1,$K$2,KTV$4),Table1[],(MATCH(Calendar!$A18,DB!$1:$1,0)),FALSE)&gt;=5,"Good","Bad"),VLOOKUP(DATE($K$1,$K$2,KTV$4),Table1[],(MATCH(Calendar!$A18,DB!$1:$1,0)),FALSE)),"")</f>
        <v/>
      </c>
      <c r="KTW18" s="28" t="str">
        <f>IFERROR(IF(KUF3="No",IF(VLOOKUP(DATE($K$1,$K$2,KTW$4),Table1[],(MATCH(Calendar!$A18,DB!$1:$1,0)),FALSE)&gt;=5,"Good","Bad"),VLOOKUP(DATE($K$1,$K$2,KTW$4),Table1[],(MATCH(Calendar!$A18,DB!$1:$1,0)),FALSE)),"")</f>
        <v/>
      </c>
      <c r="KTX18" s="28" t="str">
        <f>IFERROR(IF(KUG3="No",IF(VLOOKUP(DATE($K$1,$K$2,KTX$4),Table1[],(MATCH(Calendar!$A18,DB!$1:$1,0)),FALSE)&gt;=5,"Good","Bad"),VLOOKUP(DATE($K$1,$K$2,KTX$4),Table1[],(MATCH(Calendar!$A18,DB!$1:$1,0)),FALSE)),"")</f>
        <v/>
      </c>
      <c r="KTY18" s="28" t="str">
        <f>IFERROR(IF(KUH3="No",IF(VLOOKUP(DATE($K$1,$K$2,KTY$4),Table1[],(MATCH(Calendar!$A18,DB!$1:$1,0)),FALSE)&gt;=5,"Good","Bad"),VLOOKUP(DATE($K$1,$K$2,KTY$4),Table1[],(MATCH(Calendar!$A18,DB!$1:$1,0)),FALSE)),"")</f>
        <v/>
      </c>
      <c r="KTZ18" s="28" t="str">
        <f>IFERROR(IF(KUI3="No",IF(VLOOKUP(DATE($K$1,$K$2,KTZ$4),Table1[],(MATCH(Calendar!$A18,DB!$1:$1,0)),FALSE)&gt;=5,"Good","Bad"),VLOOKUP(DATE($K$1,$K$2,KTZ$4),Table1[],(MATCH(Calendar!$A18,DB!$1:$1,0)),FALSE)),"")</f>
        <v/>
      </c>
      <c r="KUA18" s="28" t="str">
        <f>IFERROR(IF(KUJ3="No",IF(VLOOKUP(DATE($K$1,$K$2,KUA$4),Table1[],(MATCH(Calendar!$A18,DB!$1:$1,0)),FALSE)&gt;=5,"Good","Bad"),VLOOKUP(DATE($K$1,$K$2,KUA$4),Table1[],(MATCH(Calendar!$A18,DB!$1:$1,0)),FALSE)),"")</f>
        <v/>
      </c>
      <c r="KUB18" s="28" t="str">
        <f>IFERROR(IF(KUK3="No",IF(VLOOKUP(DATE($K$1,$K$2,KUB$4),Table1[],(MATCH(Calendar!$A18,DB!$1:$1,0)),FALSE)&gt;=5,"Good","Bad"),VLOOKUP(DATE($K$1,$K$2,KUB$4),Table1[],(MATCH(Calendar!$A18,DB!$1:$1,0)),FALSE)),"")</f>
        <v/>
      </c>
      <c r="KUC18" s="28" t="str">
        <f>IFERROR(IF(KUL3="No",IF(VLOOKUP(DATE($K$1,$K$2,KUC$4),Table1[],(MATCH(Calendar!$A18,DB!$1:$1,0)),FALSE)&gt;=5,"Good","Bad"),VLOOKUP(DATE($K$1,$K$2,KUC$4),Table1[],(MATCH(Calendar!$A18,DB!$1:$1,0)),FALSE)),"")</f>
        <v/>
      </c>
      <c r="KUD18" s="28" t="str">
        <f>IFERROR(IF(KUM3="No",IF(VLOOKUP(DATE($K$1,$K$2,KUD$4),Table1[],(MATCH(Calendar!$A18,DB!$1:$1,0)),FALSE)&gt;=5,"Good","Bad"),VLOOKUP(DATE($K$1,$K$2,KUD$4),Table1[],(MATCH(Calendar!$A18,DB!$1:$1,0)),FALSE)),"")</f>
        <v/>
      </c>
      <c r="KUE18" s="28" t="str">
        <f>IFERROR(IF(KUN3="No",IF(VLOOKUP(DATE($K$1,$K$2,KUE$4),Table1[],(MATCH(Calendar!$A18,DB!$1:$1,0)),FALSE)&gt;=5,"Good","Bad"),VLOOKUP(DATE($K$1,$K$2,KUE$4),Table1[],(MATCH(Calendar!$A18,DB!$1:$1,0)),FALSE)),"")</f>
        <v/>
      </c>
      <c r="KUF18" s="28" t="str">
        <f>IFERROR(IF(KUO3="No",IF(VLOOKUP(DATE($K$1,$K$2,KUF$4),Table1[],(MATCH(Calendar!$A18,DB!$1:$1,0)),FALSE)&gt;=5,"Good","Bad"),VLOOKUP(DATE($K$1,$K$2,KUF$4),Table1[],(MATCH(Calendar!$A18,DB!$1:$1,0)),FALSE)),"")</f>
        <v/>
      </c>
      <c r="KUG18" s="28" t="str">
        <f>IFERROR(IF(KUP3="No",IF(VLOOKUP(DATE($K$1,$K$2,KUG$4),Table1[],(MATCH(Calendar!$A18,DB!$1:$1,0)),FALSE)&gt;=5,"Good","Bad"),VLOOKUP(DATE($K$1,$K$2,KUG$4),Table1[],(MATCH(Calendar!$A18,DB!$1:$1,0)),FALSE)),"")</f>
        <v/>
      </c>
      <c r="KUH18" s="28" t="str">
        <f>IFERROR(IF(KUQ3="No",IF(VLOOKUP(DATE($K$1,$K$2,KUH$4),Table1[],(MATCH(Calendar!$A18,DB!$1:$1,0)),FALSE)&gt;=5,"Good","Bad"),VLOOKUP(DATE($K$1,$K$2,KUH$4),Table1[],(MATCH(Calendar!$A18,DB!$1:$1,0)),FALSE)),"")</f>
        <v/>
      </c>
      <c r="KUI18" s="28" t="str">
        <f>IFERROR(IF(KUR3="No",IF(VLOOKUP(DATE($K$1,$K$2,KUI$4),Table1[],(MATCH(Calendar!$A18,DB!$1:$1,0)),FALSE)&gt;=5,"Good","Bad"),VLOOKUP(DATE($K$1,$K$2,KUI$4),Table1[],(MATCH(Calendar!$A18,DB!$1:$1,0)),FALSE)),"")</f>
        <v/>
      </c>
      <c r="KUJ18" s="28" t="str">
        <f>IFERROR(IF(KUS3="No",IF(VLOOKUP(DATE($K$1,$K$2,KUJ$4),Table1[],(MATCH(Calendar!$A18,DB!$1:$1,0)),FALSE)&gt;=5,"Good","Bad"),VLOOKUP(DATE($K$1,$K$2,KUJ$4),Table1[],(MATCH(Calendar!$A18,DB!$1:$1,0)),FALSE)),"")</f>
        <v/>
      </c>
      <c r="KUK18" s="28" t="str">
        <f>IFERROR(IF(KUT3="No",IF(VLOOKUP(DATE($K$1,$K$2,KUK$4),Table1[],(MATCH(Calendar!$A18,DB!$1:$1,0)),FALSE)&gt;=5,"Good","Bad"),VLOOKUP(DATE($K$1,$K$2,KUK$4),Table1[],(MATCH(Calendar!$A18,DB!$1:$1,0)),FALSE)),"")</f>
        <v/>
      </c>
      <c r="KUL18" s="28" t="str">
        <f>IFERROR(IF(KUU3="No",IF(VLOOKUP(DATE($K$1,$K$2,KUL$4),Table1[],(MATCH(Calendar!$A18,DB!$1:$1,0)),FALSE)&gt;=5,"Good","Bad"),VLOOKUP(DATE($K$1,$K$2,KUL$4),Table1[],(MATCH(Calendar!$A18,DB!$1:$1,0)),FALSE)),"")</f>
        <v/>
      </c>
      <c r="KUM18" s="28" t="str">
        <f>IFERROR(IF(KUV3="No",IF(VLOOKUP(DATE($K$1,$K$2,KUM$4),Table1[],(MATCH(Calendar!$A18,DB!$1:$1,0)),FALSE)&gt;=5,"Good","Bad"),VLOOKUP(DATE($K$1,$K$2,KUM$4),Table1[],(MATCH(Calendar!$A18,DB!$1:$1,0)),FALSE)),"")</f>
        <v/>
      </c>
      <c r="KUN18" s="28" t="str">
        <f>IFERROR(IF(KUW3="No",IF(VLOOKUP(DATE($K$1,$K$2,KUN$4),Table1[],(MATCH(Calendar!$A18,DB!$1:$1,0)),FALSE)&gt;=5,"Good","Bad"),VLOOKUP(DATE($K$1,$K$2,KUN$4),Table1[],(MATCH(Calendar!$A18,DB!$1:$1,0)),FALSE)),"")</f>
        <v/>
      </c>
      <c r="KUO18" s="28" t="str">
        <f>IFERROR(IF(KUX3="No",IF(VLOOKUP(DATE($K$1,$K$2,KUO$4),Table1[],(MATCH(Calendar!$A18,DB!$1:$1,0)),FALSE)&gt;=5,"Good","Bad"),VLOOKUP(DATE($K$1,$K$2,KUO$4),Table1[],(MATCH(Calendar!$A18,DB!$1:$1,0)),FALSE)),"")</f>
        <v/>
      </c>
      <c r="KUP18" s="28" t="str">
        <f>IFERROR(IF(KUY3="No",IF(VLOOKUP(DATE($K$1,$K$2,KUP$4),Table1[],(MATCH(Calendar!$A18,DB!$1:$1,0)),FALSE)&gt;=5,"Good","Bad"),VLOOKUP(DATE($K$1,$K$2,KUP$4),Table1[],(MATCH(Calendar!$A18,DB!$1:$1,0)),FALSE)),"")</f>
        <v/>
      </c>
      <c r="KUQ18" s="28" t="str">
        <f>IFERROR(IF(KUZ3="No",IF(VLOOKUP(DATE($K$1,$K$2,KUQ$4),Table1[],(MATCH(Calendar!$A18,DB!$1:$1,0)),FALSE)&gt;=5,"Good","Bad"),VLOOKUP(DATE($K$1,$K$2,KUQ$4),Table1[],(MATCH(Calendar!$A18,DB!$1:$1,0)),FALSE)),"")</f>
        <v/>
      </c>
      <c r="KUR18" s="28" t="str">
        <f>IFERROR(IF(KVA3="No",IF(VLOOKUP(DATE($K$1,$K$2,KUR$4),Table1[],(MATCH(Calendar!$A18,DB!$1:$1,0)),FALSE)&gt;=5,"Good","Bad"),VLOOKUP(DATE($K$1,$K$2,KUR$4),Table1[],(MATCH(Calendar!$A18,DB!$1:$1,0)),FALSE)),"")</f>
        <v/>
      </c>
      <c r="KUS18" s="28" t="str">
        <f>IFERROR(IF(KVB3="No",IF(VLOOKUP(DATE($K$1,$K$2,KUS$4),Table1[],(MATCH(Calendar!$A18,DB!$1:$1,0)),FALSE)&gt;=5,"Good","Bad"),VLOOKUP(DATE($K$1,$K$2,KUS$4),Table1[],(MATCH(Calendar!$A18,DB!$1:$1,0)),FALSE)),"")</f>
        <v/>
      </c>
      <c r="KUT18" s="28" t="str">
        <f>IFERROR(IF(KVC3="No",IF(VLOOKUP(DATE($K$1,$K$2,KUT$4),Table1[],(MATCH(Calendar!$A18,DB!$1:$1,0)),FALSE)&gt;=5,"Good","Bad"),VLOOKUP(DATE($K$1,$K$2,KUT$4),Table1[],(MATCH(Calendar!$A18,DB!$1:$1,0)),FALSE)),"")</f>
        <v/>
      </c>
      <c r="KUU18" s="28" t="str">
        <f>IFERROR(IF(KVD3="No",IF(VLOOKUP(DATE($K$1,$K$2,KUU$4),Table1[],(MATCH(Calendar!$A18,DB!$1:$1,0)),FALSE)&gt;=5,"Good","Bad"),VLOOKUP(DATE($K$1,$K$2,KUU$4),Table1[],(MATCH(Calendar!$A18,DB!$1:$1,0)),FALSE)),"")</f>
        <v/>
      </c>
      <c r="KUV18" s="28" t="str">
        <f>IFERROR(IF(KVE3="No",IF(VLOOKUP(DATE($K$1,$K$2,KUV$4),Table1[],(MATCH(Calendar!$A18,DB!$1:$1,0)),FALSE)&gt;=5,"Good","Bad"),VLOOKUP(DATE($K$1,$K$2,KUV$4),Table1[],(MATCH(Calendar!$A18,DB!$1:$1,0)),FALSE)),"")</f>
        <v/>
      </c>
      <c r="KUW18" s="28" t="str">
        <f>IFERROR(IF(KVF3="No",IF(VLOOKUP(DATE($K$1,$K$2,KUW$4),Table1[],(MATCH(Calendar!$A18,DB!$1:$1,0)),FALSE)&gt;=5,"Good","Bad"),VLOOKUP(DATE($K$1,$K$2,KUW$4),Table1[],(MATCH(Calendar!$A18,DB!$1:$1,0)),FALSE)),"")</f>
        <v/>
      </c>
      <c r="KUX18" s="28" t="str">
        <f>IFERROR(IF(KVG3="No",IF(VLOOKUP(DATE($K$1,$K$2,KUX$4),Table1[],(MATCH(Calendar!$A18,DB!$1:$1,0)),FALSE)&gt;=5,"Good","Bad"),VLOOKUP(DATE($K$1,$K$2,KUX$4),Table1[],(MATCH(Calendar!$A18,DB!$1:$1,0)),FALSE)),"")</f>
        <v/>
      </c>
      <c r="KUY18" s="28" t="str">
        <f>IFERROR(IF(KVH3="No",IF(VLOOKUP(DATE($K$1,$K$2,KUY$4),Table1[],(MATCH(Calendar!$A18,DB!$1:$1,0)),FALSE)&gt;=5,"Good","Bad"),VLOOKUP(DATE($K$1,$K$2,KUY$4),Table1[],(MATCH(Calendar!$A18,DB!$1:$1,0)),FALSE)),"")</f>
        <v/>
      </c>
      <c r="KUZ18" s="28" t="str">
        <f>IFERROR(IF(KVI3="No",IF(VLOOKUP(DATE($K$1,$K$2,KUZ$4),Table1[],(MATCH(Calendar!$A18,DB!$1:$1,0)),FALSE)&gt;=5,"Good","Bad"),VLOOKUP(DATE($K$1,$K$2,KUZ$4),Table1[],(MATCH(Calendar!$A18,DB!$1:$1,0)),FALSE)),"")</f>
        <v/>
      </c>
      <c r="KVA18" s="28" t="str">
        <f>IFERROR(IF(KVJ3="No",IF(VLOOKUP(DATE($K$1,$K$2,KVA$4),Table1[],(MATCH(Calendar!$A18,DB!$1:$1,0)),FALSE)&gt;=5,"Good","Bad"),VLOOKUP(DATE($K$1,$K$2,KVA$4),Table1[],(MATCH(Calendar!$A18,DB!$1:$1,0)),FALSE)),"")</f>
        <v/>
      </c>
      <c r="KVB18" s="28" t="str">
        <f>IFERROR(IF(KVK3="No",IF(VLOOKUP(DATE($K$1,$K$2,KVB$4),Table1[],(MATCH(Calendar!$A18,DB!$1:$1,0)),FALSE)&gt;=5,"Good","Bad"),VLOOKUP(DATE($K$1,$K$2,KVB$4),Table1[],(MATCH(Calendar!$A18,DB!$1:$1,0)),FALSE)),"")</f>
        <v/>
      </c>
      <c r="KVC18" s="28" t="str">
        <f>IFERROR(IF(KVL3="No",IF(VLOOKUP(DATE($K$1,$K$2,KVC$4),Table1[],(MATCH(Calendar!$A18,DB!$1:$1,0)),FALSE)&gt;=5,"Good","Bad"),VLOOKUP(DATE($K$1,$K$2,KVC$4),Table1[],(MATCH(Calendar!$A18,DB!$1:$1,0)),FALSE)),"")</f>
        <v/>
      </c>
      <c r="KVD18" s="28" t="str">
        <f>IFERROR(IF(KVM3="No",IF(VLOOKUP(DATE($K$1,$K$2,KVD$4),Table1[],(MATCH(Calendar!$A18,DB!$1:$1,0)),FALSE)&gt;=5,"Good","Bad"),VLOOKUP(DATE($K$1,$K$2,KVD$4),Table1[],(MATCH(Calendar!$A18,DB!$1:$1,0)),FALSE)),"")</f>
        <v/>
      </c>
      <c r="KVE18" s="28" t="str">
        <f>IFERROR(IF(KVN3="No",IF(VLOOKUP(DATE($K$1,$K$2,KVE$4),Table1[],(MATCH(Calendar!$A18,DB!$1:$1,0)),FALSE)&gt;=5,"Good","Bad"),VLOOKUP(DATE($K$1,$K$2,KVE$4),Table1[],(MATCH(Calendar!$A18,DB!$1:$1,0)),FALSE)),"")</f>
        <v/>
      </c>
      <c r="KVF18" s="28" t="str">
        <f>IFERROR(IF(KVO3="No",IF(VLOOKUP(DATE($K$1,$K$2,KVF$4),Table1[],(MATCH(Calendar!$A18,DB!$1:$1,0)),FALSE)&gt;=5,"Good","Bad"),VLOOKUP(DATE($K$1,$K$2,KVF$4),Table1[],(MATCH(Calendar!$A18,DB!$1:$1,0)),FALSE)),"")</f>
        <v/>
      </c>
      <c r="KVG18" s="28" t="str">
        <f>IFERROR(IF(KVP3="No",IF(VLOOKUP(DATE($K$1,$K$2,KVG$4),Table1[],(MATCH(Calendar!$A18,DB!$1:$1,0)),FALSE)&gt;=5,"Good","Bad"),VLOOKUP(DATE($K$1,$K$2,KVG$4),Table1[],(MATCH(Calendar!$A18,DB!$1:$1,0)),FALSE)),"")</f>
        <v/>
      </c>
      <c r="KVH18" s="28" t="str">
        <f>IFERROR(IF(KVQ3="No",IF(VLOOKUP(DATE($K$1,$K$2,KVH$4),Table1[],(MATCH(Calendar!$A18,DB!$1:$1,0)),FALSE)&gt;=5,"Good","Bad"),VLOOKUP(DATE($K$1,$K$2,KVH$4),Table1[],(MATCH(Calendar!$A18,DB!$1:$1,0)),FALSE)),"")</f>
        <v/>
      </c>
      <c r="KVI18" s="28" t="str">
        <f>IFERROR(IF(KVR3="No",IF(VLOOKUP(DATE($K$1,$K$2,KVI$4),Table1[],(MATCH(Calendar!$A18,DB!$1:$1,0)),FALSE)&gt;=5,"Good","Bad"),VLOOKUP(DATE($K$1,$K$2,KVI$4),Table1[],(MATCH(Calendar!$A18,DB!$1:$1,0)),FALSE)),"")</f>
        <v/>
      </c>
      <c r="KVJ18" s="28" t="str">
        <f>IFERROR(IF(KVS3="No",IF(VLOOKUP(DATE($K$1,$K$2,KVJ$4),Table1[],(MATCH(Calendar!$A18,DB!$1:$1,0)),FALSE)&gt;=5,"Good","Bad"),VLOOKUP(DATE($K$1,$K$2,KVJ$4),Table1[],(MATCH(Calendar!$A18,DB!$1:$1,0)),FALSE)),"")</f>
        <v/>
      </c>
      <c r="KVK18" s="28" t="str">
        <f>IFERROR(IF(KVT3="No",IF(VLOOKUP(DATE($K$1,$K$2,KVK$4),Table1[],(MATCH(Calendar!$A18,DB!$1:$1,0)),FALSE)&gt;=5,"Good","Bad"),VLOOKUP(DATE($K$1,$K$2,KVK$4),Table1[],(MATCH(Calendar!$A18,DB!$1:$1,0)),FALSE)),"")</f>
        <v/>
      </c>
      <c r="KVL18" s="28" t="str">
        <f>IFERROR(IF(KVU3="No",IF(VLOOKUP(DATE($K$1,$K$2,KVL$4),Table1[],(MATCH(Calendar!$A18,DB!$1:$1,0)),FALSE)&gt;=5,"Good","Bad"),VLOOKUP(DATE($K$1,$K$2,KVL$4),Table1[],(MATCH(Calendar!$A18,DB!$1:$1,0)),FALSE)),"")</f>
        <v/>
      </c>
      <c r="KVM18" s="28" t="str">
        <f>IFERROR(IF(KVV3="No",IF(VLOOKUP(DATE($K$1,$K$2,KVM$4),Table1[],(MATCH(Calendar!$A18,DB!$1:$1,0)),FALSE)&gt;=5,"Good","Bad"),VLOOKUP(DATE($K$1,$K$2,KVM$4),Table1[],(MATCH(Calendar!$A18,DB!$1:$1,0)),FALSE)),"")</f>
        <v/>
      </c>
      <c r="KVN18" s="28" t="str">
        <f>IFERROR(IF(KVW3="No",IF(VLOOKUP(DATE($K$1,$K$2,KVN$4),Table1[],(MATCH(Calendar!$A18,DB!$1:$1,0)),FALSE)&gt;=5,"Good","Bad"),VLOOKUP(DATE($K$1,$K$2,KVN$4),Table1[],(MATCH(Calendar!$A18,DB!$1:$1,0)),FALSE)),"")</f>
        <v/>
      </c>
      <c r="KVO18" s="28" t="str">
        <f>IFERROR(IF(KVX3="No",IF(VLOOKUP(DATE($K$1,$K$2,KVO$4),Table1[],(MATCH(Calendar!$A18,DB!$1:$1,0)),FALSE)&gt;=5,"Good","Bad"),VLOOKUP(DATE($K$1,$K$2,KVO$4),Table1[],(MATCH(Calendar!$A18,DB!$1:$1,0)),FALSE)),"")</f>
        <v/>
      </c>
      <c r="KVP18" s="28" t="str">
        <f>IFERROR(IF(KVY3="No",IF(VLOOKUP(DATE($K$1,$K$2,KVP$4),Table1[],(MATCH(Calendar!$A18,DB!$1:$1,0)),FALSE)&gt;=5,"Good","Bad"),VLOOKUP(DATE($K$1,$K$2,KVP$4),Table1[],(MATCH(Calendar!$A18,DB!$1:$1,0)),FALSE)),"")</f>
        <v/>
      </c>
      <c r="KVQ18" s="28" t="str">
        <f>IFERROR(IF(KVZ3="No",IF(VLOOKUP(DATE($K$1,$K$2,KVQ$4),Table1[],(MATCH(Calendar!$A18,DB!$1:$1,0)),FALSE)&gt;=5,"Good","Bad"),VLOOKUP(DATE($K$1,$K$2,KVQ$4),Table1[],(MATCH(Calendar!$A18,DB!$1:$1,0)),FALSE)),"")</f>
        <v/>
      </c>
      <c r="KVR18" s="28" t="str">
        <f>IFERROR(IF(KWA3="No",IF(VLOOKUP(DATE($K$1,$K$2,KVR$4),Table1[],(MATCH(Calendar!$A18,DB!$1:$1,0)),FALSE)&gt;=5,"Good","Bad"),VLOOKUP(DATE($K$1,$K$2,KVR$4),Table1[],(MATCH(Calendar!$A18,DB!$1:$1,0)),FALSE)),"")</f>
        <v/>
      </c>
      <c r="KVS18" s="28" t="str">
        <f>IFERROR(IF(KWB3="No",IF(VLOOKUP(DATE($K$1,$K$2,KVS$4),Table1[],(MATCH(Calendar!$A18,DB!$1:$1,0)),FALSE)&gt;=5,"Good","Bad"),VLOOKUP(DATE($K$1,$K$2,KVS$4),Table1[],(MATCH(Calendar!$A18,DB!$1:$1,0)),FALSE)),"")</f>
        <v/>
      </c>
      <c r="KVT18" s="28" t="str">
        <f>IFERROR(IF(KWC3="No",IF(VLOOKUP(DATE($K$1,$K$2,KVT$4),Table1[],(MATCH(Calendar!$A18,DB!$1:$1,0)),FALSE)&gt;=5,"Good","Bad"),VLOOKUP(DATE($K$1,$K$2,KVT$4),Table1[],(MATCH(Calendar!$A18,DB!$1:$1,0)),FALSE)),"")</f>
        <v/>
      </c>
      <c r="KVU18" s="28" t="str">
        <f>IFERROR(IF(KWD3="No",IF(VLOOKUP(DATE($K$1,$K$2,KVU$4),Table1[],(MATCH(Calendar!$A18,DB!$1:$1,0)),FALSE)&gt;=5,"Good","Bad"),VLOOKUP(DATE($K$1,$K$2,KVU$4),Table1[],(MATCH(Calendar!$A18,DB!$1:$1,0)),FALSE)),"")</f>
        <v/>
      </c>
      <c r="KVV18" s="28" t="str">
        <f>IFERROR(IF(KWE3="No",IF(VLOOKUP(DATE($K$1,$K$2,KVV$4),Table1[],(MATCH(Calendar!$A18,DB!$1:$1,0)),FALSE)&gt;=5,"Good","Bad"),VLOOKUP(DATE($K$1,$K$2,KVV$4),Table1[],(MATCH(Calendar!$A18,DB!$1:$1,0)),FALSE)),"")</f>
        <v/>
      </c>
      <c r="KVW18" s="28" t="str">
        <f>IFERROR(IF(KWF3="No",IF(VLOOKUP(DATE($K$1,$K$2,KVW$4),Table1[],(MATCH(Calendar!$A18,DB!$1:$1,0)),FALSE)&gt;=5,"Good","Bad"),VLOOKUP(DATE($K$1,$K$2,KVW$4),Table1[],(MATCH(Calendar!$A18,DB!$1:$1,0)),FALSE)),"")</f>
        <v/>
      </c>
      <c r="KVX18" s="28" t="str">
        <f>IFERROR(IF(KWG3="No",IF(VLOOKUP(DATE($K$1,$K$2,KVX$4),Table1[],(MATCH(Calendar!$A18,DB!$1:$1,0)),FALSE)&gt;=5,"Good","Bad"),VLOOKUP(DATE($K$1,$K$2,KVX$4),Table1[],(MATCH(Calendar!$A18,DB!$1:$1,0)),FALSE)),"")</f>
        <v/>
      </c>
      <c r="KVY18" s="28" t="str">
        <f>IFERROR(IF(KWH3="No",IF(VLOOKUP(DATE($K$1,$K$2,KVY$4),Table1[],(MATCH(Calendar!$A18,DB!$1:$1,0)),FALSE)&gt;=5,"Good","Bad"),VLOOKUP(DATE($K$1,$K$2,KVY$4),Table1[],(MATCH(Calendar!$A18,DB!$1:$1,0)),FALSE)),"")</f>
        <v/>
      </c>
      <c r="KVZ18" s="28" t="str">
        <f>IFERROR(IF(KWI3="No",IF(VLOOKUP(DATE($K$1,$K$2,KVZ$4),Table1[],(MATCH(Calendar!$A18,DB!$1:$1,0)),FALSE)&gt;=5,"Good","Bad"),VLOOKUP(DATE($K$1,$K$2,KVZ$4),Table1[],(MATCH(Calendar!$A18,DB!$1:$1,0)),FALSE)),"")</f>
        <v/>
      </c>
      <c r="KWA18" s="28" t="str">
        <f>IFERROR(IF(KWJ3="No",IF(VLOOKUP(DATE($K$1,$K$2,KWA$4),Table1[],(MATCH(Calendar!$A18,DB!$1:$1,0)),FALSE)&gt;=5,"Good","Bad"),VLOOKUP(DATE($K$1,$K$2,KWA$4),Table1[],(MATCH(Calendar!$A18,DB!$1:$1,0)),FALSE)),"")</f>
        <v/>
      </c>
      <c r="KWB18" s="28" t="str">
        <f>IFERROR(IF(KWK3="No",IF(VLOOKUP(DATE($K$1,$K$2,KWB$4),Table1[],(MATCH(Calendar!$A18,DB!$1:$1,0)),FALSE)&gt;=5,"Good","Bad"),VLOOKUP(DATE($K$1,$K$2,KWB$4),Table1[],(MATCH(Calendar!$A18,DB!$1:$1,0)),FALSE)),"")</f>
        <v/>
      </c>
      <c r="KWC18" s="28" t="str">
        <f>IFERROR(IF(KWL3="No",IF(VLOOKUP(DATE($K$1,$K$2,KWC$4),Table1[],(MATCH(Calendar!$A18,DB!$1:$1,0)),FALSE)&gt;=5,"Good","Bad"),VLOOKUP(DATE($K$1,$K$2,KWC$4),Table1[],(MATCH(Calendar!$A18,DB!$1:$1,0)),FALSE)),"")</f>
        <v/>
      </c>
      <c r="KWD18" s="28" t="str">
        <f>IFERROR(IF(KWM3="No",IF(VLOOKUP(DATE($K$1,$K$2,KWD$4),Table1[],(MATCH(Calendar!$A18,DB!$1:$1,0)),FALSE)&gt;=5,"Good","Bad"),VLOOKUP(DATE($K$1,$K$2,KWD$4),Table1[],(MATCH(Calendar!$A18,DB!$1:$1,0)),FALSE)),"")</f>
        <v/>
      </c>
      <c r="KWE18" s="28" t="str">
        <f>IFERROR(IF(KWN3="No",IF(VLOOKUP(DATE($K$1,$K$2,KWE$4),Table1[],(MATCH(Calendar!$A18,DB!$1:$1,0)),FALSE)&gt;=5,"Good","Bad"),VLOOKUP(DATE($K$1,$K$2,KWE$4),Table1[],(MATCH(Calendar!$A18,DB!$1:$1,0)),FALSE)),"")</f>
        <v/>
      </c>
      <c r="KWF18" s="28" t="str">
        <f>IFERROR(IF(KWO3="No",IF(VLOOKUP(DATE($K$1,$K$2,KWF$4),Table1[],(MATCH(Calendar!$A18,DB!$1:$1,0)),FALSE)&gt;=5,"Good","Bad"),VLOOKUP(DATE($K$1,$K$2,KWF$4),Table1[],(MATCH(Calendar!$A18,DB!$1:$1,0)),FALSE)),"")</f>
        <v/>
      </c>
      <c r="KWG18" s="28" t="str">
        <f>IFERROR(IF(KWP3="No",IF(VLOOKUP(DATE($K$1,$K$2,KWG$4),Table1[],(MATCH(Calendar!$A18,DB!$1:$1,0)),FALSE)&gt;=5,"Good","Bad"),VLOOKUP(DATE($K$1,$K$2,KWG$4),Table1[],(MATCH(Calendar!$A18,DB!$1:$1,0)),FALSE)),"")</f>
        <v/>
      </c>
      <c r="KWH18" s="28" t="str">
        <f>IFERROR(IF(KWQ3="No",IF(VLOOKUP(DATE($K$1,$K$2,KWH$4),Table1[],(MATCH(Calendar!$A18,DB!$1:$1,0)),FALSE)&gt;=5,"Good","Bad"),VLOOKUP(DATE($K$1,$K$2,KWH$4),Table1[],(MATCH(Calendar!$A18,DB!$1:$1,0)),FALSE)),"")</f>
        <v/>
      </c>
      <c r="KWI18" s="28" t="str">
        <f>IFERROR(IF(KWR3="No",IF(VLOOKUP(DATE($K$1,$K$2,KWI$4),Table1[],(MATCH(Calendar!$A18,DB!$1:$1,0)),FALSE)&gt;=5,"Good","Bad"),VLOOKUP(DATE($K$1,$K$2,KWI$4),Table1[],(MATCH(Calendar!$A18,DB!$1:$1,0)),FALSE)),"")</f>
        <v/>
      </c>
      <c r="KWJ18" s="28" t="str">
        <f>IFERROR(IF(KWS3="No",IF(VLOOKUP(DATE($K$1,$K$2,KWJ$4),Table1[],(MATCH(Calendar!$A18,DB!$1:$1,0)),FALSE)&gt;=5,"Good","Bad"),VLOOKUP(DATE($K$1,$K$2,KWJ$4),Table1[],(MATCH(Calendar!$A18,DB!$1:$1,0)),FALSE)),"")</f>
        <v/>
      </c>
      <c r="KWK18" s="28" t="str">
        <f>IFERROR(IF(KWT3="No",IF(VLOOKUP(DATE($K$1,$K$2,KWK$4),Table1[],(MATCH(Calendar!$A18,DB!$1:$1,0)),FALSE)&gt;=5,"Good","Bad"),VLOOKUP(DATE($K$1,$K$2,KWK$4),Table1[],(MATCH(Calendar!$A18,DB!$1:$1,0)),FALSE)),"")</f>
        <v/>
      </c>
      <c r="KWL18" s="28" t="str">
        <f>IFERROR(IF(KWU3="No",IF(VLOOKUP(DATE($K$1,$K$2,KWL$4),Table1[],(MATCH(Calendar!$A18,DB!$1:$1,0)),FALSE)&gt;=5,"Good","Bad"),VLOOKUP(DATE($K$1,$K$2,KWL$4),Table1[],(MATCH(Calendar!$A18,DB!$1:$1,0)),FALSE)),"")</f>
        <v/>
      </c>
      <c r="KWM18" s="28" t="str">
        <f>IFERROR(IF(KWV3="No",IF(VLOOKUP(DATE($K$1,$K$2,KWM$4),Table1[],(MATCH(Calendar!$A18,DB!$1:$1,0)),FALSE)&gt;=5,"Good","Bad"),VLOOKUP(DATE($K$1,$K$2,KWM$4),Table1[],(MATCH(Calendar!$A18,DB!$1:$1,0)),FALSE)),"")</f>
        <v/>
      </c>
      <c r="KWN18" s="28" t="str">
        <f>IFERROR(IF(KWW3="No",IF(VLOOKUP(DATE($K$1,$K$2,KWN$4),Table1[],(MATCH(Calendar!$A18,DB!$1:$1,0)),FALSE)&gt;=5,"Good","Bad"),VLOOKUP(DATE($K$1,$K$2,KWN$4),Table1[],(MATCH(Calendar!$A18,DB!$1:$1,0)),FALSE)),"")</f>
        <v/>
      </c>
      <c r="KWO18" s="28" t="str">
        <f>IFERROR(IF(KWX3="No",IF(VLOOKUP(DATE($K$1,$K$2,KWO$4),Table1[],(MATCH(Calendar!$A18,DB!$1:$1,0)),FALSE)&gt;=5,"Good","Bad"),VLOOKUP(DATE($K$1,$K$2,KWO$4),Table1[],(MATCH(Calendar!$A18,DB!$1:$1,0)),FALSE)),"")</f>
        <v/>
      </c>
      <c r="KWP18" s="28" t="str">
        <f>IFERROR(IF(KWY3="No",IF(VLOOKUP(DATE($K$1,$K$2,KWP$4),Table1[],(MATCH(Calendar!$A18,DB!$1:$1,0)),FALSE)&gt;=5,"Good","Bad"),VLOOKUP(DATE($K$1,$K$2,KWP$4),Table1[],(MATCH(Calendar!$A18,DB!$1:$1,0)),FALSE)),"")</f>
        <v/>
      </c>
      <c r="KWQ18" s="28" t="str">
        <f>IFERROR(IF(KWZ3="No",IF(VLOOKUP(DATE($K$1,$K$2,KWQ$4),Table1[],(MATCH(Calendar!$A18,DB!$1:$1,0)),FALSE)&gt;=5,"Good","Bad"),VLOOKUP(DATE($K$1,$K$2,KWQ$4),Table1[],(MATCH(Calendar!$A18,DB!$1:$1,0)),FALSE)),"")</f>
        <v/>
      </c>
      <c r="KWR18" s="28" t="str">
        <f>IFERROR(IF(KXA3="No",IF(VLOOKUP(DATE($K$1,$K$2,KWR$4),Table1[],(MATCH(Calendar!$A18,DB!$1:$1,0)),FALSE)&gt;=5,"Good","Bad"),VLOOKUP(DATE($K$1,$K$2,KWR$4),Table1[],(MATCH(Calendar!$A18,DB!$1:$1,0)),FALSE)),"")</f>
        <v/>
      </c>
      <c r="KWS18" s="28" t="str">
        <f>IFERROR(IF(KXB3="No",IF(VLOOKUP(DATE($K$1,$K$2,KWS$4),Table1[],(MATCH(Calendar!$A18,DB!$1:$1,0)),FALSE)&gt;=5,"Good","Bad"),VLOOKUP(DATE($K$1,$K$2,KWS$4),Table1[],(MATCH(Calendar!$A18,DB!$1:$1,0)),FALSE)),"")</f>
        <v/>
      </c>
      <c r="KWT18" s="28" t="str">
        <f>IFERROR(IF(KXC3="No",IF(VLOOKUP(DATE($K$1,$K$2,KWT$4),Table1[],(MATCH(Calendar!$A18,DB!$1:$1,0)),FALSE)&gt;=5,"Good","Bad"),VLOOKUP(DATE($K$1,$K$2,KWT$4),Table1[],(MATCH(Calendar!$A18,DB!$1:$1,0)),FALSE)),"")</f>
        <v/>
      </c>
      <c r="KWU18" s="28" t="str">
        <f>IFERROR(IF(KXD3="No",IF(VLOOKUP(DATE($K$1,$K$2,KWU$4),Table1[],(MATCH(Calendar!$A18,DB!$1:$1,0)),FALSE)&gt;=5,"Good","Bad"),VLOOKUP(DATE($K$1,$K$2,KWU$4),Table1[],(MATCH(Calendar!$A18,DB!$1:$1,0)),FALSE)),"")</f>
        <v/>
      </c>
      <c r="KWV18" s="28" t="str">
        <f>IFERROR(IF(KXE3="No",IF(VLOOKUP(DATE($K$1,$K$2,KWV$4),Table1[],(MATCH(Calendar!$A18,DB!$1:$1,0)),FALSE)&gt;=5,"Good","Bad"),VLOOKUP(DATE($K$1,$K$2,KWV$4),Table1[],(MATCH(Calendar!$A18,DB!$1:$1,0)),FALSE)),"")</f>
        <v/>
      </c>
      <c r="KWW18" s="28" t="str">
        <f>IFERROR(IF(KXF3="No",IF(VLOOKUP(DATE($K$1,$K$2,KWW$4),Table1[],(MATCH(Calendar!$A18,DB!$1:$1,0)),FALSE)&gt;=5,"Good","Bad"),VLOOKUP(DATE($K$1,$K$2,KWW$4),Table1[],(MATCH(Calendar!$A18,DB!$1:$1,0)),FALSE)),"")</f>
        <v/>
      </c>
      <c r="KWX18" s="28" t="str">
        <f>IFERROR(IF(KXG3="No",IF(VLOOKUP(DATE($K$1,$K$2,KWX$4),Table1[],(MATCH(Calendar!$A18,DB!$1:$1,0)),FALSE)&gt;=5,"Good","Bad"),VLOOKUP(DATE($K$1,$K$2,KWX$4),Table1[],(MATCH(Calendar!$A18,DB!$1:$1,0)),FALSE)),"")</f>
        <v/>
      </c>
      <c r="KWY18" s="28" t="str">
        <f>IFERROR(IF(KXH3="No",IF(VLOOKUP(DATE($K$1,$K$2,KWY$4),Table1[],(MATCH(Calendar!$A18,DB!$1:$1,0)),FALSE)&gt;=5,"Good","Bad"),VLOOKUP(DATE($K$1,$K$2,KWY$4),Table1[],(MATCH(Calendar!$A18,DB!$1:$1,0)),FALSE)),"")</f>
        <v/>
      </c>
      <c r="KWZ18" s="28" t="str">
        <f>IFERROR(IF(KXI3="No",IF(VLOOKUP(DATE($K$1,$K$2,KWZ$4),Table1[],(MATCH(Calendar!$A18,DB!$1:$1,0)),FALSE)&gt;=5,"Good","Bad"),VLOOKUP(DATE($K$1,$K$2,KWZ$4),Table1[],(MATCH(Calendar!$A18,DB!$1:$1,0)),FALSE)),"")</f>
        <v/>
      </c>
      <c r="KXA18" s="28" t="str">
        <f>IFERROR(IF(KXJ3="No",IF(VLOOKUP(DATE($K$1,$K$2,KXA$4),Table1[],(MATCH(Calendar!$A18,DB!$1:$1,0)),FALSE)&gt;=5,"Good","Bad"),VLOOKUP(DATE($K$1,$K$2,KXA$4),Table1[],(MATCH(Calendar!$A18,DB!$1:$1,0)),FALSE)),"")</f>
        <v/>
      </c>
      <c r="KXB18" s="28" t="str">
        <f>IFERROR(IF(KXK3="No",IF(VLOOKUP(DATE($K$1,$K$2,KXB$4),Table1[],(MATCH(Calendar!$A18,DB!$1:$1,0)),FALSE)&gt;=5,"Good","Bad"),VLOOKUP(DATE($K$1,$K$2,KXB$4),Table1[],(MATCH(Calendar!$A18,DB!$1:$1,0)),FALSE)),"")</f>
        <v/>
      </c>
      <c r="KXC18" s="28" t="str">
        <f>IFERROR(IF(KXL3="No",IF(VLOOKUP(DATE($K$1,$K$2,KXC$4),Table1[],(MATCH(Calendar!$A18,DB!$1:$1,0)),FALSE)&gt;=5,"Good","Bad"),VLOOKUP(DATE($K$1,$K$2,KXC$4),Table1[],(MATCH(Calendar!$A18,DB!$1:$1,0)),FALSE)),"")</f>
        <v/>
      </c>
      <c r="KXD18" s="28" t="str">
        <f>IFERROR(IF(KXM3="No",IF(VLOOKUP(DATE($K$1,$K$2,KXD$4),Table1[],(MATCH(Calendar!$A18,DB!$1:$1,0)),FALSE)&gt;=5,"Good","Bad"),VLOOKUP(DATE($K$1,$K$2,KXD$4),Table1[],(MATCH(Calendar!$A18,DB!$1:$1,0)),FALSE)),"")</f>
        <v/>
      </c>
      <c r="KXE18" s="28" t="str">
        <f>IFERROR(IF(KXN3="No",IF(VLOOKUP(DATE($K$1,$K$2,KXE$4),Table1[],(MATCH(Calendar!$A18,DB!$1:$1,0)),FALSE)&gt;=5,"Good","Bad"),VLOOKUP(DATE($K$1,$K$2,KXE$4),Table1[],(MATCH(Calendar!$A18,DB!$1:$1,0)),FALSE)),"")</f>
        <v/>
      </c>
      <c r="KXF18" s="28" t="str">
        <f>IFERROR(IF(KXO3="No",IF(VLOOKUP(DATE($K$1,$K$2,KXF$4),Table1[],(MATCH(Calendar!$A18,DB!$1:$1,0)),FALSE)&gt;=5,"Good","Bad"),VLOOKUP(DATE($K$1,$K$2,KXF$4),Table1[],(MATCH(Calendar!$A18,DB!$1:$1,0)),FALSE)),"")</f>
        <v/>
      </c>
      <c r="KXG18" s="28" t="str">
        <f>IFERROR(IF(KXP3="No",IF(VLOOKUP(DATE($K$1,$K$2,KXG$4),Table1[],(MATCH(Calendar!$A18,DB!$1:$1,0)),FALSE)&gt;=5,"Good","Bad"),VLOOKUP(DATE($K$1,$K$2,KXG$4),Table1[],(MATCH(Calendar!$A18,DB!$1:$1,0)),FALSE)),"")</f>
        <v/>
      </c>
      <c r="KXH18" s="28" t="str">
        <f>IFERROR(IF(KXQ3="No",IF(VLOOKUP(DATE($K$1,$K$2,KXH$4),Table1[],(MATCH(Calendar!$A18,DB!$1:$1,0)),FALSE)&gt;=5,"Good","Bad"),VLOOKUP(DATE($K$1,$K$2,KXH$4),Table1[],(MATCH(Calendar!$A18,DB!$1:$1,0)),FALSE)),"")</f>
        <v/>
      </c>
      <c r="KXI18" s="28" t="str">
        <f>IFERROR(IF(KXR3="No",IF(VLOOKUP(DATE($K$1,$K$2,KXI$4),Table1[],(MATCH(Calendar!$A18,DB!$1:$1,0)),FALSE)&gt;=5,"Good","Bad"),VLOOKUP(DATE($K$1,$K$2,KXI$4),Table1[],(MATCH(Calendar!$A18,DB!$1:$1,0)),FALSE)),"")</f>
        <v/>
      </c>
      <c r="KXJ18" s="28" t="str">
        <f>IFERROR(IF(KXS3="No",IF(VLOOKUP(DATE($K$1,$K$2,KXJ$4),Table1[],(MATCH(Calendar!$A18,DB!$1:$1,0)),FALSE)&gt;=5,"Good","Bad"),VLOOKUP(DATE($K$1,$K$2,KXJ$4),Table1[],(MATCH(Calendar!$A18,DB!$1:$1,0)),FALSE)),"")</f>
        <v/>
      </c>
      <c r="KXK18" s="28" t="str">
        <f>IFERROR(IF(KXT3="No",IF(VLOOKUP(DATE($K$1,$K$2,KXK$4),Table1[],(MATCH(Calendar!$A18,DB!$1:$1,0)),FALSE)&gt;=5,"Good","Bad"),VLOOKUP(DATE($K$1,$K$2,KXK$4),Table1[],(MATCH(Calendar!$A18,DB!$1:$1,0)),FALSE)),"")</f>
        <v/>
      </c>
      <c r="KXL18" s="28" t="str">
        <f>IFERROR(IF(KXU3="No",IF(VLOOKUP(DATE($K$1,$K$2,KXL$4),Table1[],(MATCH(Calendar!$A18,DB!$1:$1,0)),FALSE)&gt;=5,"Good","Bad"),VLOOKUP(DATE($K$1,$K$2,KXL$4),Table1[],(MATCH(Calendar!$A18,DB!$1:$1,0)),FALSE)),"")</f>
        <v/>
      </c>
      <c r="KXM18" s="28" t="str">
        <f>IFERROR(IF(KXV3="No",IF(VLOOKUP(DATE($K$1,$K$2,KXM$4),Table1[],(MATCH(Calendar!$A18,DB!$1:$1,0)),FALSE)&gt;=5,"Good","Bad"),VLOOKUP(DATE($K$1,$K$2,KXM$4),Table1[],(MATCH(Calendar!$A18,DB!$1:$1,0)),FALSE)),"")</f>
        <v/>
      </c>
      <c r="KXN18" s="28" t="str">
        <f>IFERROR(IF(KXW3="No",IF(VLOOKUP(DATE($K$1,$K$2,KXN$4),Table1[],(MATCH(Calendar!$A18,DB!$1:$1,0)),FALSE)&gt;=5,"Good","Bad"),VLOOKUP(DATE($K$1,$K$2,KXN$4),Table1[],(MATCH(Calendar!$A18,DB!$1:$1,0)),FALSE)),"")</f>
        <v/>
      </c>
      <c r="KXO18" s="28" t="str">
        <f>IFERROR(IF(KXX3="No",IF(VLOOKUP(DATE($K$1,$K$2,KXO$4),Table1[],(MATCH(Calendar!$A18,DB!$1:$1,0)),FALSE)&gt;=5,"Good","Bad"),VLOOKUP(DATE($K$1,$K$2,KXO$4),Table1[],(MATCH(Calendar!$A18,DB!$1:$1,0)),FALSE)),"")</f>
        <v/>
      </c>
      <c r="KXP18" s="28" t="str">
        <f>IFERROR(IF(KXY3="No",IF(VLOOKUP(DATE($K$1,$K$2,KXP$4),Table1[],(MATCH(Calendar!$A18,DB!$1:$1,0)),FALSE)&gt;=5,"Good","Bad"),VLOOKUP(DATE($K$1,$K$2,KXP$4),Table1[],(MATCH(Calendar!$A18,DB!$1:$1,0)),FALSE)),"")</f>
        <v/>
      </c>
      <c r="KXQ18" s="28" t="str">
        <f>IFERROR(IF(KXZ3="No",IF(VLOOKUP(DATE($K$1,$K$2,KXQ$4),Table1[],(MATCH(Calendar!$A18,DB!$1:$1,0)),FALSE)&gt;=5,"Good","Bad"),VLOOKUP(DATE($K$1,$K$2,KXQ$4),Table1[],(MATCH(Calendar!$A18,DB!$1:$1,0)),FALSE)),"")</f>
        <v/>
      </c>
      <c r="KXR18" s="28" t="str">
        <f>IFERROR(IF(KYA3="No",IF(VLOOKUP(DATE($K$1,$K$2,KXR$4),Table1[],(MATCH(Calendar!$A18,DB!$1:$1,0)),FALSE)&gt;=5,"Good","Bad"),VLOOKUP(DATE($K$1,$K$2,KXR$4),Table1[],(MATCH(Calendar!$A18,DB!$1:$1,0)),FALSE)),"")</f>
        <v/>
      </c>
      <c r="KXS18" s="28" t="str">
        <f>IFERROR(IF(KYB3="No",IF(VLOOKUP(DATE($K$1,$K$2,KXS$4),Table1[],(MATCH(Calendar!$A18,DB!$1:$1,0)),FALSE)&gt;=5,"Good","Bad"),VLOOKUP(DATE($K$1,$K$2,KXS$4),Table1[],(MATCH(Calendar!$A18,DB!$1:$1,0)),FALSE)),"")</f>
        <v/>
      </c>
      <c r="KXT18" s="28" t="str">
        <f>IFERROR(IF(KYC3="No",IF(VLOOKUP(DATE($K$1,$K$2,KXT$4),Table1[],(MATCH(Calendar!$A18,DB!$1:$1,0)),FALSE)&gt;=5,"Good","Bad"),VLOOKUP(DATE($K$1,$K$2,KXT$4),Table1[],(MATCH(Calendar!$A18,DB!$1:$1,0)),FALSE)),"")</f>
        <v/>
      </c>
      <c r="KXU18" s="28" t="str">
        <f>IFERROR(IF(KYD3="No",IF(VLOOKUP(DATE($K$1,$K$2,KXU$4),Table1[],(MATCH(Calendar!$A18,DB!$1:$1,0)),FALSE)&gt;=5,"Good","Bad"),VLOOKUP(DATE($K$1,$K$2,KXU$4),Table1[],(MATCH(Calendar!$A18,DB!$1:$1,0)),FALSE)),"")</f>
        <v/>
      </c>
      <c r="KXV18" s="28" t="str">
        <f>IFERROR(IF(KYE3="No",IF(VLOOKUP(DATE($K$1,$K$2,KXV$4),Table1[],(MATCH(Calendar!$A18,DB!$1:$1,0)),FALSE)&gt;=5,"Good","Bad"),VLOOKUP(DATE($K$1,$K$2,KXV$4),Table1[],(MATCH(Calendar!$A18,DB!$1:$1,0)),FALSE)),"")</f>
        <v/>
      </c>
      <c r="KXW18" s="28" t="str">
        <f>IFERROR(IF(KYF3="No",IF(VLOOKUP(DATE($K$1,$K$2,KXW$4),Table1[],(MATCH(Calendar!$A18,DB!$1:$1,0)),FALSE)&gt;=5,"Good","Bad"),VLOOKUP(DATE($K$1,$K$2,KXW$4),Table1[],(MATCH(Calendar!$A18,DB!$1:$1,0)),FALSE)),"")</f>
        <v/>
      </c>
      <c r="KXX18" s="28" t="str">
        <f>IFERROR(IF(KYG3="No",IF(VLOOKUP(DATE($K$1,$K$2,KXX$4),Table1[],(MATCH(Calendar!$A18,DB!$1:$1,0)),FALSE)&gt;=5,"Good","Bad"),VLOOKUP(DATE($K$1,$K$2,KXX$4),Table1[],(MATCH(Calendar!$A18,DB!$1:$1,0)),FALSE)),"")</f>
        <v/>
      </c>
      <c r="KXY18" s="28" t="str">
        <f>IFERROR(IF(KYH3="No",IF(VLOOKUP(DATE($K$1,$K$2,KXY$4),Table1[],(MATCH(Calendar!$A18,DB!$1:$1,0)),FALSE)&gt;=5,"Good","Bad"),VLOOKUP(DATE($K$1,$K$2,KXY$4),Table1[],(MATCH(Calendar!$A18,DB!$1:$1,0)),FALSE)),"")</f>
        <v/>
      </c>
      <c r="KXZ18" s="28" t="str">
        <f>IFERROR(IF(KYI3="No",IF(VLOOKUP(DATE($K$1,$K$2,KXZ$4),Table1[],(MATCH(Calendar!$A18,DB!$1:$1,0)),FALSE)&gt;=5,"Good","Bad"),VLOOKUP(DATE($K$1,$K$2,KXZ$4),Table1[],(MATCH(Calendar!$A18,DB!$1:$1,0)),FALSE)),"")</f>
        <v/>
      </c>
      <c r="KYA18" s="28" t="str">
        <f>IFERROR(IF(KYJ3="No",IF(VLOOKUP(DATE($K$1,$K$2,KYA$4),Table1[],(MATCH(Calendar!$A18,DB!$1:$1,0)),FALSE)&gt;=5,"Good","Bad"),VLOOKUP(DATE($K$1,$K$2,KYA$4),Table1[],(MATCH(Calendar!$A18,DB!$1:$1,0)),FALSE)),"")</f>
        <v/>
      </c>
      <c r="KYB18" s="28" t="str">
        <f>IFERROR(IF(KYK3="No",IF(VLOOKUP(DATE($K$1,$K$2,KYB$4),Table1[],(MATCH(Calendar!$A18,DB!$1:$1,0)),FALSE)&gt;=5,"Good","Bad"),VLOOKUP(DATE($K$1,$K$2,KYB$4),Table1[],(MATCH(Calendar!$A18,DB!$1:$1,0)),FALSE)),"")</f>
        <v/>
      </c>
      <c r="KYC18" s="28" t="str">
        <f>IFERROR(IF(KYL3="No",IF(VLOOKUP(DATE($K$1,$K$2,KYC$4),Table1[],(MATCH(Calendar!$A18,DB!$1:$1,0)),FALSE)&gt;=5,"Good","Bad"),VLOOKUP(DATE($K$1,$K$2,KYC$4),Table1[],(MATCH(Calendar!$A18,DB!$1:$1,0)),FALSE)),"")</f>
        <v/>
      </c>
      <c r="KYD18" s="28" t="str">
        <f>IFERROR(IF(KYM3="No",IF(VLOOKUP(DATE($K$1,$K$2,KYD$4),Table1[],(MATCH(Calendar!$A18,DB!$1:$1,0)),FALSE)&gt;=5,"Good","Bad"),VLOOKUP(DATE($K$1,$K$2,KYD$4),Table1[],(MATCH(Calendar!$A18,DB!$1:$1,0)),FALSE)),"")</f>
        <v/>
      </c>
      <c r="KYE18" s="28" t="str">
        <f>IFERROR(IF(KYN3="No",IF(VLOOKUP(DATE($K$1,$K$2,KYE$4),Table1[],(MATCH(Calendar!$A18,DB!$1:$1,0)),FALSE)&gt;=5,"Good","Bad"),VLOOKUP(DATE($K$1,$K$2,KYE$4),Table1[],(MATCH(Calendar!$A18,DB!$1:$1,0)),FALSE)),"")</f>
        <v/>
      </c>
      <c r="KYF18" s="28" t="str">
        <f>IFERROR(IF(KYO3="No",IF(VLOOKUP(DATE($K$1,$K$2,KYF$4),Table1[],(MATCH(Calendar!$A18,DB!$1:$1,0)),FALSE)&gt;=5,"Good","Bad"),VLOOKUP(DATE($K$1,$K$2,KYF$4),Table1[],(MATCH(Calendar!$A18,DB!$1:$1,0)),FALSE)),"")</f>
        <v/>
      </c>
      <c r="KYG18" s="28" t="str">
        <f>IFERROR(IF(KYP3="No",IF(VLOOKUP(DATE($K$1,$K$2,KYG$4),Table1[],(MATCH(Calendar!$A18,DB!$1:$1,0)),FALSE)&gt;=5,"Good","Bad"),VLOOKUP(DATE($K$1,$K$2,KYG$4),Table1[],(MATCH(Calendar!$A18,DB!$1:$1,0)),FALSE)),"")</f>
        <v/>
      </c>
      <c r="KYH18" s="28" t="str">
        <f>IFERROR(IF(KYQ3="No",IF(VLOOKUP(DATE($K$1,$K$2,KYH$4),Table1[],(MATCH(Calendar!$A18,DB!$1:$1,0)),FALSE)&gt;=5,"Good","Bad"),VLOOKUP(DATE($K$1,$K$2,KYH$4),Table1[],(MATCH(Calendar!$A18,DB!$1:$1,0)),FALSE)),"")</f>
        <v/>
      </c>
      <c r="KYI18" s="28" t="str">
        <f>IFERROR(IF(KYR3="No",IF(VLOOKUP(DATE($K$1,$K$2,KYI$4),Table1[],(MATCH(Calendar!$A18,DB!$1:$1,0)),FALSE)&gt;=5,"Good","Bad"),VLOOKUP(DATE($K$1,$K$2,KYI$4),Table1[],(MATCH(Calendar!$A18,DB!$1:$1,0)),FALSE)),"")</f>
        <v/>
      </c>
      <c r="KYJ18" s="28" t="str">
        <f>IFERROR(IF(KYS3="No",IF(VLOOKUP(DATE($K$1,$K$2,KYJ$4),Table1[],(MATCH(Calendar!$A18,DB!$1:$1,0)),FALSE)&gt;=5,"Good","Bad"),VLOOKUP(DATE($K$1,$K$2,KYJ$4),Table1[],(MATCH(Calendar!$A18,DB!$1:$1,0)),FALSE)),"")</f>
        <v/>
      </c>
      <c r="KYK18" s="28" t="str">
        <f>IFERROR(IF(KYT3="No",IF(VLOOKUP(DATE($K$1,$K$2,KYK$4),Table1[],(MATCH(Calendar!$A18,DB!$1:$1,0)),FALSE)&gt;=5,"Good","Bad"),VLOOKUP(DATE($K$1,$K$2,KYK$4),Table1[],(MATCH(Calendar!$A18,DB!$1:$1,0)),FALSE)),"")</f>
        <v/>
      </c>
      <c r="KYL18" s="28" t="str">
        <f>IFERROR(IF(KYU3="No",IF(VLOOKUP(DATE($K$1,$K$2,KYL$4),Table1[],(MATCH(Calendar!$A18,DB!$1:$1,0)),FALSE)&gt;=5,"Good","Bad"),VLOOKUP(DATE($K$1,$K$2,KYL$4),Table1[],(MATCH(Calendar!$A18,DB!$1:$1,0)),FALSE)),"")</f>
        <v/>
      </c>
      <c r="KYM18" s="28" t="str">
        <f>IFERROR(IF(KYV3="No",IF(VLOOKUP(DATE($K$1,$K$2,KYM$4),Table1[],(MATCH(Calendar!$A18,DB!$1:$1,0)),FALSE)&gt;=5,"Good","Bad"),VLOOKUP(DATE($K$1,$K$2,KYM$4),Table1[],(MATCH(Calendar!$A18,DB!$1:$1,0)),FALSE)),"")</f>
        <v/>
      </c>
      <c r="KYN18" s="28" t="str">
        <f>IFERROR(IF(KYW3="No",IF(VLOOKUP(DATE($K$1,$K$2,KYN$4),Table1[],(MATCH(Calendar!$A18,DB!$1:$1,0)),FALSE)&gt;=5,"Good","Bad"),VLOOKUP(DATE($K$1,$K$2,KYN$4),Table1[],(MATCH(Calendar!$A18,DB!$1:$1,0)),FALSE)),"")</f>
        <v/>
      </c>
      <c r="KYO18" s="28" t="str">
        <f>IFERROR(IF(KYX3="No",IF(VLOOKUP(DATE($K$1,$K$2,KYO$4),Table1[],(MATCH(Calendar!$A18,DB!$1:$1,0)),FALSE)&gt;=5,"Good","Bad"),VLOOKUP(DATE($K$1,$K$2,KYO$4),Table1[],(MATCH(Calendar!$A18,DB!$1:$1,0)),FALSE)),"")</f>
        <v/>
      </c>
      <c r="KYP18" s="28" t="str">
        <f>IFERROR(IF(KYY3="No",IF(VLOOKUP(DATE($K$1,$K$2,KYP$4),Table1[],(MATCH(Calendar!$A18,DB!$1:$1,0)),FALSE)&gt;=5,"Good","Bad"),VLOOKUP(DATE($K$1,$K$2,KYP$4),Table1[],(MATCH(Calendar!$A18,DB!$1:$1,0)),FALSE)),"")</f>
        <v/>
      </c>
      <c r="KYQ18" s="28" t="str">
        <f>IFERROR(IF(KYZ3="No",IF(VLOOKUP(DATE($K$1,$K$2,KYQ$4),Table1[],(MATCH(Calendar!$A18,DB!$1:$1,0)),FALSE)&gt;=5,"Good","Bad"),VLOOKUP(DATE($K$1,$K$2,KYQ$4),Table1[],(MATCH(Calendar!$A18,DB!$1:$1,0)),FALSE)),"")</f>
        <v/>
      </c>
      <c r="KYR18" s="28" t="str">
        <f>IFERROR(IF(KZA3="No",IF(VLOOKUP(DATE($K$1,$K$2,KYR$4),Table1[],(MATCH(Calendar!$A18,DB!$1:$1,0)),FALSE)&gt;=5,"Good","Bad"),VLOOKUP(DATE($K$1,$K$2,KYR$4),Table1[],(MATCH(Calendar!$A18,DB!$1:$1,0)),FALSE)),"")</f>
        <v/>
      </c>
      <c r="KYS18" s="28" t="str">
        <f>IFERROR(IF(KZB3="No",IF(VLOOKUP(DATE($K$1,$K$2,KYS$4),Table1[],(MATCH(Calendar!$A18,DB!$1:$1,0)),FALSE)&gt;=5,"Good","Bad"),VLOOKUP(DATE($K$1,$K$2,KYS$4),Table1[],(MATCH(Calendar!$A18,DB!$1:$1,0)),FALSE)),"")</f>
        <v/>
      </c>
      <c r="KYT18" s="28" t="str">
        <f>IFERROR(IF(KZC3="No",IF(VLOOKUP(DATE($K$1,$K$2,KYT$4),Table1[],(MATCH(Calendar!$A18,DB!$1:$1,0)),FALSE)&gt;=5,"Good","Bad"),VLOOKUP(DATE($K$1,$K$2,KYT$4),Table1[],(MATCH(Calendar!$A18,DB!$1:$1,0)),FALSE)),"")</f>
        <v/>
      </c>
      <c r="KYU18" s="28" t="str">
        <f>IFERROR(IF(KZD3="No",IF(VLOOKUP(DATE($K$1,$K$2,KYU$4),Table1[],(MATCH(Calendar!$A18,DB!$1:$1,0)),FALSE)&gt;=5,"Good","Bad"),VLOOKUP(DATE($K$1,$K$2,KYU$4),Table1[],(MATCH(Calendar!$A18,DB!$1:$1,0)),FALSE)),"")</f>
        <v/>
      </c>
      <c r="KYV18" s="28" t="str">
        <f>IFERROR(IF(KZE3="No",IF(VLOOKUP(DATE($K$1,$K$2,KYV$4),Table1[],(MATCH(Calendar!$A18,DB!$1:$1,0)),FALSE)&gt;=5,"Good","Bad"),VLOOKUP(DATE($K$1,$K$2,KYV$4),Table1[],(MATCH(Calendar!$A18,DB!$1:$1,0)),FALSE)),"")</f>
        <v/>
      </c>
      <c r="KYW18" s="28" t="str">
        <f>IFERROR(IF(KZF3="No",IF(VLOOKUP(DATE($K$1,$K$2,KYW$4),Table1[],(MATCH(Calendar!$A18,DB!$1:$1,0)),FALSE)&gt;=5,"Good","Bad"),VLOOKUP(DATE($K$1,$K$2,KYW$4),Table1[],(MATCH(Calendar!$A18,DB!$1:$1,0)),FALSE)),"")</f>
        <v/>
      </c>
      <c r="KYX18" s="28" t="str">
        <f>IFERROR(IF(KZG3="No",IF(VLOOKUP(DATE($K$1,$K$2,KYX$4),Table1[],(MATCH(Calendar!$A18,DB!$1:$1,0)),FALSE)&gt;=5,"Good","Bad"),VLOOKUP(DATE($K$1,$K$2,KYX$4),Table1[],(MATCH(Calendar!$A18,DB!$1:$1,0)),FALSE)),"")</f>
        <v/>
      </c>
      <c r="KYY18" s="28" t="str">
        <f>IFERROR(IF(KZH3="No",IF(VLOOKUP(DATE($K$1,$K$2,KYY$4),Table1[],(MATCH(Calendar!$A18,DB!$1:$1,0)),FALSE)&gt;=5,"Good","Bad"),VLOOKUP(DATE($K$1,$K$2,KYY$4),Table1[],(MATCH(Calendar!$A18,DB!$1:$1,0)),FALSE)),"")</f>
        <v/>
      </c>
      <c r="KYZ18" s="28" t="str">
        <f>IFERROR(IF(KZI3="No",IF(VLOOKUP(DATE($K$1,$K$2,KYZ$4),Table1[],(MATCH(Calendar!$A18,DB!$1:$1,0)),FALSE)&gt;=5,"Good","Bad"),VLOOKUP(DATE($K$1,$K$2,KYZ$4),Table1[],(MATCH(Calendar!$A18,DB!$1:$1,0)),FALSE)),"")</f>
        <v/>
      </c>
      <c r="KZA18" s="28" t="str">
        <f>IFERROR(IF(KZJ3="No",IF(VLOOKUP(DATE($K$1,$K$2,KZA$4),Table1[],(MATCH(Calendar!$A18,DB!$1:$1,0)),FALSE)&gt;=5,"Good","Bad"),VLOOKUP(DATE($K$1,$K$2,KZA$4),Table1[],(MATCH(Calendar!$A18,DB!$1:$1,0)),FALSE)),"")</f>
        <v/>
      </c>
      <c r="KZB18" s="28" t="str">
        <f>IFERROR(IF(KZK3="No",IF(VLOOKUP(DATE($K$1,$K$2,KZB$4),Table1[],(MATCH(Calendar!$A18,DB!$1:$1,0)),FALSE)&gt;=5,"Good","Bad"),VLOOKUP(DATE($K$1,$K$2,KZB$4),Table1[],(MATCH(Calendar!$A18,DB!$1:$1,0)),FALSE)),"")</f>
        <v/>
      </c>
      <c r="KZC18" s="28" t="str">
        <f>IFERROR(IF(KZL3="No",IF(VLOOKUP(DATE($K$1,$K$2,KZC$4),Table1[],(MATCH(Calendar!$A18,DB!$1:$1,0)),FALSE)&gt;=5,"Good","Bad"),VLOOKUP(DATE($K$1,$K$2,KZC$4),Table1[],(MATCH(Calendar!$A18,DB!$1:$1,0)),FALSE)),"")</f>
        <v/>
      </c>
      <c r="KZD18" s="28" t="str">
        <f>IFERROR(IF(KZM3="No",IF(VLOOKUP(DATE($K$1,$K$2,KZD$4),Table1[],(MATCH(Calendar!$A18,DB!$1:$1,0)),FALSE)&gt;=5,"Good","Bad"),VLOOKUP(DATE($K$1,$K$2,KZD$4),Table1[],(MATCH(Calendar!$A18,DB!$1:$1,0)),FALSE)),"")</f>
        <v/>
      </c>
      <c r="KZE18" s="28" t="str">
        <f>IFERROR(IF(KZN3="No",IF(VLOOKUP(DATE($K$1,$K$2,KZE$4),Table1[],(MATCH(Calendar!$A18,DB!$1:$1,0)),FALSE)&gt;=5,"Good","Bad"),VLOOKUP(DATE($K$1,$K$2,KZE$4),Table1[],(MATCH(Calendar!$A18,DB!$1:$1,0)),FALSE)),"")</f>
        <v/>
      </c>
      <c r="KZF18" s="28" t="str">
        <f>IFERROR(IF(KZO3="No",IF(VLOOKUP(DATE($K$1,$K$2,KZF$4),Table1[],(MATCH(Calendar!$A18,DB!$1:$1,0)),FALSE)&gt;=5,"Good","Bad"),VLOOKUP(DATE($K$1,$K$2,KZF$4),Table1[],(MATCH(Calendar!$A18,DB!$1:$1,0)),FALSE)),"")</f>
        <v/>
      </c>
      <c r="KZG18" s="28" t="str">
        <f>IFERROR(IF(KZP3="No",IF(VLOOKUP(DATE($K$1,$K$2,KZG$4),Table1[],(MATCH(Calendar!$A18,DB!$1:$1,0)),FALSE)&gt;=5,"Good","Bad"),VLOOKUP(DATE($K$1,$K$2,KZG$4),Table1[],(MATCH(Calendar!$A18,DB!$1:$1,0)),FALSE)),"")</f>
        <v/>
      </c>
      <c r="KZH18" s="28" t="str">
        <f>IFERROR(IF(KZQ3="No",IF(VLOOKUP(DATE($K$1,$K$2,KZH$4),Table1[],(MATCH(Calendar!$A18,DB!$1:$1,0)),FALSE)&gt;=5,"Good","Bad"),VLOOKUP(DATE($K$1,$K$2,KZH$4),Table1[],(MATCH(Calendar!$A18,DB!$1:$1,0)),FALSE)),"")</f>
        <v/>
      </c>
      <c r="KZI18" s="28" t="str">
        <f>IFERROR(IF(KZR3="No",IF(VLOOKUP(DATE($K$1,$K$2,KZI$4),Table1[],(MATCH(Calendar!$A18,DB!$1:$1,0)),FALSE)&gt;=5,"Good","Bad"),VLOOKUP(DATE($K$1,$K$2,KZI$4),Table1[],(MATCH(Calendar!$A18,DB!$1:$1,0)),FALSE)),"")</f>
        <v/>
      </c>
      <c r="KZJ18" s="28" t="str">
        <f>IFERROR(IF(KZS3="No",IF(VLOOKUP(DATE($K$1,$K$2,KZJ$4),Table1[],(MATCH(Calendar!$A18,DB!$1:$1,0)),FALSE)&gt;=5,"Good","Bad"),VLOOKUP(DATE($K$1,$K$2,KZJ$4),Table1[],(MATCH(Calendar!$A18,DB!$1:$1,0)),FALSE)),"")</f>
        <v/>
      </c>
      <c r="KZK18" s="28" t="str">
        <f>IFERROR(IF(KZT3="No",IF(VLOOKUP(DATE($K$1,$K$2,KZK$4),Table1[],(MATCH(Calendar!$A18,DB!$1:$1,0)),FALSE)&gt;=5,"Good","Bad"),VLOOKUP(DATE($K$1,$K$2,KZK$4),Table1[],(MATCH(Calendar!$A18,DB!$1:$1,0)),FALSE)),"")</f>
        <v/>
      </c>
      <c r="KZL18" s="28" t="str">
        <f>IFERROR(IF(KZU3="No",IF(VLOOKUP(DATE($K$1,$K$2,KZL$4),Table1[],(MATCH(Calendar!$A18,DB!$1:$1,0)),FALSE)&gt;=5,"Good","Bad"),VLOOKUP(DATE($K$1,$K$2,KZL$4),Table1[],(MATCH(Calendar!$A18,DB!$1:$1,0)),FALSE)),"")</f>
        <v/>
      </c>
      <c r="KZM18" s="28" t="str">
        <f>IFERROR(IF(KZV3="No",IF(VLOOKUP(DATE($K$1,$K$2,KZM$4),Table1[],(MATCH(Calendar!$A18,DB!$1:$1,0)),FALSE)&gt;=5,"Good","Bad"),VLOOKUP(DATE($K$1,$K$2,KZM$4),Table1[],(MATCH(Calendar!$A18,DB!$1:$1,0)),FALSE)),"")</f>
        <v/>
      </c>
      <c r="KZN18" s="28" t="str">
        <f>IFERROR(IF(KZW3="No",IF(VLOOKUP(DATE($K$1,$K$2,KZN$4),Table1[],(MATCH(Calendar!$A18,DB!$1:$1,0)),FALSE)&gt;=5,"Good","Bad"),VLOOKUP(DATE($K$1,$K$2,KZN$4),Table1[],(MATCH(Calendar!$A18,DB!$1:$1,0)),FALSE)),"")</f>
        <v/>
      </c>
      <c r="KZO18" s="28" t="str">
        <f>IFERROR(IF(KZX3="No",IF(VLOOKUP(DATE($K$1,$K$2,KZO$4),Table1[],(MATCH(Calendar!$A18,DB!$1:$1,0)),FALSE)&gt;=5,"Good","Bad"),VLOOKUP(DATE($K$1,$K$2,KZO$4),Table1[],(MATCH(Calendar!$A18,DB!$1:$1,0)),FALSE)),"")</f>
        <v/>
      </c>
      <c r="KZP18" s="28" t="str">
        <f>IFERROR(IF(KZY3="No",IF(VLOOKUP(DATE($K$1,$K$2,KZP$4),Table1[],(MATCH(Calendar!$A18,DB!$1:$1,0)),FALSE)&gt;=5,"Good","Bad"),VLOOKUP(DATE($K$1,$K$2,KZP$4),Table1[],(MATCH(Calendar!$A18,DB!$1:$1,0)),FALSE)),"")</f>
        <v/>
      </c>
      <c r="KZQ18" s="28" t="str">
        <f>IFERROR(IF(KZZ3="No",IF(VLOOKUP(DATE($K$1,$K$2,KZQ$4),Table1[],(MATCH(Calendar!$A18,DB!$1:$1,0)),FALSE)&gt;=5,"Good","Bad"),VLOOKUP(DATE($K$1,$K$2,KZQ$4),Table1[],(MATCH(Calendar!$A18,DB!$1:$1,0)),FALSE)),"")</f>
        <v/>
      </c>
      <c r="KZR18" s="28" t="str">
        <f>IFERROR(IF(LAA3="No",IF(VLOOKUP(DATE($K$1,$K$2,KZR$4),Table1[],(MATCH(Calendar!$A18,DB!$1:$1,0)),FALSE)&gt;=5,"Good","Bad"),VLOOKUP(DATE($K$1,$K$2,KZR$4),Table1[],(MATCH(Calendar!$A18,DB!$1:$1,0)),FALSE)),"")</f>
        <v/>
      </c>
      <c r="KZS18" s="28" t="str">
        <f>IFERROR(IF(LAB3="No",IF(VLOOKUP(DATE($K$1,$K$2,KZS$4),Table1[],(MATCH(Calendar!$A18,DB!$1:$1,0)),FALSE)&gt;=5,"Good","Bad"),VLOOKUP(DATE($K$1,$K$2,KZS$4),Table1[],(MATCH(Calendar!$A18,DB!$1:$1,0)),FALSE)),"")</f>
        <v/>
      </c>
      <c r="KZT18" s="28" t="str">
        <f>IFERROR(IF(LAC3="No",IF(VLOOKUP(DATE($K$1,$K$2,KZT$4),Table1[],(MATCH(Calendar!$A18,DB!$1:$1,0)),FALSE)&gt;=5,"Good","Bad"),VLOOKUP(DATE($K$1,$K$2,KZT$4),Table1[],(MATCH(Calendar!$A18,DB!$1:$1,0)),FALSE)),"")</f>
        <v/>
      </c>
      <c r="KZU18" s="28" t="str">
        <f>IFERROR(IF(LAD3="No",IF(VLOOKUP(DATE($K$1,$K$2,KZU$4),Table1[],(MATCH(Calendar!$A18,DB!$1:$1,0)),FALSE)&gt;=5,"Good","Bad"),VLOOKUP(DATE($K$1,$K$2,KZU$4),Table1[],(MATCH(Calendar!$A18,DB!$1:$1,0)),FALSE)),"")</f>
        <v/>
      </c>
      <c r="KZV18" s="28" t="str">
        <f>IFERROR(IF(LAE3="No",IF(VLOOKUP(DATE($K$1,$K$2,KZV$4),Table1[],(MATCH(Calendar!$A18,DB!$1:$1,0)),FALSE)&gt;=5,"Good","Bad"),VLOOKUP(DATE($K$1,$K$2,KZV$4),Table1[],(MATCH(Calendar!$A18,DB!$1:$1,0)),FALSE)),"")</f>
        <v/>
      </c>
      <c r="KZW18" s="28" t="str">
        <f>IFERROR(IF(LAF3="No",IF(VLOOKUP(DATE($K$1,$K$2,KZW$4),Table1[],(MATCH(Calendar!$A18,DB!$1:$1,0)),FALSE)&gt;=5,"Good","Bad"),VLOOKUP(DATE($K$1,$K$2,KZW$4),Table1[],(MATCH(Calendar!$A18,DB!$1:$1,0)),FALSE)),"")</f>
        <v/>
      </c>
      <c r="KZX18" s="28" t="str">
        <f>IFERROR(IF(LAG3="No",IF(VLOOKUP(DATE($K$1,$K$2,KZX$4),Table1[],(MATCH(Calendar!$A18,DB!$1:$1,0)),FALSE)&gt;=5,"Good","Bad"),VLOOKUP(DATE($K$1,$K$2,KZX$4),Table1[],(MATCH(Calendar!$A18,DB!$1:$1,0)),FALSE)),"")</f>
        <v/>
      </c>
      <c r="KZY18" s="28" t="str">
        <f>IFERROR(IF(LAH3="No",IF(VLOOKUP(DATE($K$1,$K$2,KZY$4),Table1[],(MATCH(Calendar!$A18,DB!$1:$1,0)),FALSE)&gt;=5,"Good","Bad"),VLOOKUP(DATE($K$1,$K$2,KZY$4),Table1[],(MATCH(Calendar!$A18,DB!$1:$1,0)),FALSE)),"")</f>
        <v/>
      </c>
      <c r="KZZ18" s="28" t="str">
        <f>IFERROR(IF(LAI3="No",IF(VLOOKUP(DATE($K$1,$K$2,KZZ$4),Table1[],(MATCH(Calendar!$A18,DB!$1:$1,0)),FALSE)&gt;=5,"Good","Bad"),VLOOKUP(DATE($K$1,$K$2,KZZ$4),Table1[],(MATCH(Calendar!$A18,DB!$1:$1,0)),FALSE)),"")</f>
        <v/>
      </c>
      <c r="LAA18" s="28" t="str">
        <f>IFERROR(IF(LAJ3="No",IF(VLOOKUP(DATE($K$1,$K$2,LAA$4),Table1[],(MATCH(Calendar!$A18,DB!$1:$1,0)),FALSE)&gt;=5,"Good","Bad"),VLOOKUP(DATE($K$1,$K$2,LAA$4),Table1[],(MATCH(Calendar!$A18,DB!$1:$1,0)),FALSE)),"")</f>
        <v/>
      </c>
      <c r="LAB18" s="28" t="str">
        <f>IFERROR(IF(LAK3="No",IF(VLOOKUP(DATE($K$1,$K$2,LAB$4),Table1[],(MATCH(Calendar!$A18,DB!$1:$1,0)),FALSE)&gt;=5,"Good","Bad"),VLOOKUP(DATE($K$1,$K$2,LAB$4),Table1[],(MATCH(Calendar!$A18,DB!$1:$1,0)),FALSE)),"")</f>
        <v/>
      </c>
      <c r="LAC18" s="28" t="str">
        <f>IFERROR(IF(LAL3="No",IF(VLOOKUP(DATE($K$1,$K$2,LAC$4),Table1[],(MATCH(Calendar!$A18,DB!$1:$1,0)),FALSE)&gt;=5,"Good","Bad"),VLOOKUP(DATE($K$1,$K$2,LAC$4),Table1[],(MATCH(Calendar!$A18,DB!$1:$1,0)),FALSE)),"")</f>
        <v/>
      </c>
      <c r="LAD18" s="28" t="str">
        <f>IFERROR(IF(LAM3="No",IF(VLOOKUP(DATE($K$1,$K$2,LAD$4),Table1[],(MATCH(Calendar!$A18,DB!$1:$1,0)),FALSE)&gt;=5,"Good","Bad"),VLOOKUP(DATE($K$1,$K$2,LAD$4),Table1[],(MATCH(Calendar!$A18,DB!$1:$1,0)),FALSE)),"")</f>
        <v/>
      </c>
      <c r="LAE18" s="28" t="str">
        <f>IFERROR(IF(LAN3="No",IF(VLOOKUP(DATE($K$1,$K$2,LAE$4),Table1[],(MATCH(Calendar!$A18,DB!$1:$1,0)),FALSE)&gt;=5,"Good","Bad"),VLOOKUP(DATE($K$1,$K$2,LAE$4),Table1[],(MATCH(Calendar!$A18,DB!$1:$1,0)),FALSE)),"")</f>
        <v/>
      </c>
      <c r="LAF18" s="28" t="str">
        <f>IFERROR(IF(LAO3="No",IF(VLOOKUP(DATE($K$1,$K$2,LAF$4),Table1[],(MATCH(Calendar!$A18,DB!$1:$1,0)),FALSE)&gt;=5,"Good","Bad"),VLOOKUP(DATE($K$1,$K$2,LAF$4),Table1[],(MATCH(Calendar!$A18,DB!$1:$1,0)),FALSE)),"")</f>
        <v/>
      </c>
      <c r="LAG18" s="28" t="str">
        <f>IFERROR(IF(LAP3="No",IF(VLOOKUP(DATE($K$1,$K$2,LAG$4),Table1[],(MATCH(Calendar!$A18,DB!$1:$1,0)),FALSE)&gt;=5,"Good","Bad"),VLOOKUP(DATE($K$1,$K$2,LAG$4),Table1[],(MATCH(Calendar!$A18,DB!$1:$1,0)),FALSE)),"")</f>
        <v/>
      </c>
      <c r="LAH18" s="28" t="str">
        <f>IFERROR(IF(LAQ3="No",IF(VLOOKUP(DATE($K$1,$K$2,LAH$4),Table1[],(MATCH(Calendar!$A18,DB!$1:$1,0)),FALSE)&gt;=5,"Good","Bad"),VLOOKUP(DATE($K$1,$K$2,LAH$4),Table1[],(MATCH(Calendar!$A18,DB!$1:$1,0)),FALSE)),"")</f>
        <v/>
      </c>
      <c r="LAI18" s="28" t="str">
        <f>IFERROR(IF(LAR3="No",IF(VLOOKUP(DATE($K$1,$K$2,LAI$4),Table1[],(MATCH(Calendar!$A18,DB!$1:$1,0)),FALSE)&gt;=5,"Good","Bad"),VLOOKUP(DATE($K$1,$K$2,LAI$4),Table1[],(MATCH(Calendar!$A18,DB!$1:$1,0)),FALSE)),"")</f>
        <v/>
      </c>
      <c r="LAJ18" s="28" t="str">
        <f>IFERROR(IF(LAS3="No",IF(VLOOKUP(DATE($K$1,$K$2,LAJ$4),Table1[],(MATCH(Calendar!$A18,DB!$1:$1,0)),FALSE)&gt;=5,"Good","Bad"),VLOOKUP(DATE($K$1,$K$2,LAJ$4),Table1[],(MATCH(Calendar!$A18,DB!$1:$1,0)),FALSE)),"")</f>
        <v/>
      </c>
      <c r="LAK18" s="28" t="str">
        <f>IFERROR(IF(LAT3="No",IF(VLOOKUP(DATE($K$1,$K$2,LAK$4),Table1[],(MATCH(Calendar!$A18,DB!$1:$1,0)),FALSE)&gt;=5,"Good","Bad"),VLOOKUP(DATE($K$1,$K$2,LAK$4),Table1[],(MATCH(Calendar!$A18,DB!$1:$1,0)),FALSE)),"")</f>
        <v/>
      </c>
      <c r="LAL18" s="28" t="str">
        <f>IFERROR(IF(LAU3="No",IF(VLOOKUP(DATE($K$1,$K$2,LAL$4),Table1[],(MATCH(Calendar!$A18,DB!$1:$1,0)),FALSE)&gt;=5,"Good","Bad"),VLOOKUP(DATE($K$1,$K$2,LAL$4),Table1[],(MATCH(Calendar!$A18,DB!$1:$1,0)),FALSE)),"")</f>
        <v/>
      </c>
      <c r="LAM18" s="28" t="str">
        <f>IFERROR(IF(LAV3="No",IF(VLOOKUP(DATE($K$1,$K$2,LAM$4),Table1[],(MATCH(Calendar!$A18,DB!$1:$1,0)),FALSE)&gt;=5,"Good","Bad"),VLOOKUP(DATE($K$1,$K$2,LAM$4),Table1[],(MATCH(Calendar!$A18,DB!$1:$1,0)),FALSE)),"")</f>
        <v/>
      </c>
      <c r="LAN18" s="28" t="str">
        <f>IFERROR(IF(LAW3="No",IF(VLOOKUP(DATE($K$1,$K$2,LAN$4),Table1[],(MATCH(Calendar!$A18,DB!$1:$1,0)),FALSE)&gt;=5,"Good","Bad"),VLOOKUP(DATE($K$1,$K$2,LAN$4),Table1[],(MATCH(Calendar!$A18,DB!$1:$1,0)),FALSE)),"")</f>
        <v/>
      </c>
      <c r="LAO18" s="28" t="str">
        <f>IFERROR(IF(LAX3="No",IF(VLOOKUP(DATE($K$1,$K$2,LAO$4),Table1[],(MATCH(Calendar!$A18,DB!$1:$1,0)),FALSE)&gt;=5,"Good","Bad"),VLOOKUP(DATE($K$1,$K$2,LAO$4),Table1[],(MATCH(Calendar!$A18,DB!$1:$1,0)),FALSE)),"")</f>
        <v/>
      </c>
      <c r="LAP18" s="28" t="str">
        <f>IFERROR(IF(LAY3="No",IF(VLOOKUP(DATE($K$1,$K$2,LAP$4),Table1[],(MATCH(Calendar!$A18,DB!$1:$1,0)),FALSE)&gt;=5,"Good","Bad"),VLOOKUP(DATE($K$1,$K$2,LAP$4),Table1[],(MATCH(Calendar!$A18,DB!$1:$1,0)),FALSE)),"")</f>
        <v/>
      </c>
      <c r="LAQ18" s="28" t="str">
        <f>IFERROR(IF(LAZ3="No",IF(VLOOKUP(DATE($K$1,$K$2,LAQ$4),Table1[],(MATCH(Calendar!$A18,DB!$1:$1,0)),FALSE)&gt;=5,"Good","Bad"),VLOOKUP(DATE($K$1,$K$2,LAQ$4),Table1[],(MATCH(Calendar!$A18,DB!$1:$1,0)),FALSE)),"")</f>
        <v/>
      </c>
      <c r="LAR18" s="28" t="str">
        <f>IFERROR(IF(LBA3="No",IF(VLOOKUP(DATE($K$1,$K$2,LAR$4),Table1[],(MATCH(Calendar!$A18,DB!$1:$1,0)),FALSE)&gt;=5,"Good","Bad"),VLOOKUP(DATE($K$1,$K$2,LAR$4),Table1[],(MATCH(Calendar!$A18,DB!$1:$1,0)),FALSE)),"")</f>
        <v/>
      </c>
      <c r="LAS18" s="28" t="str">
        <f>IFERROR(IF(LBB3="No",IF(VLOOKUP(DATE($K$1,$K$2,LAS$4),Table1[],(MATCH(Calendar!$A18,DB!$1:$1,0)),FALSE)&gt;=5,"Good","Bad"),VLOOKUP(DATE($K$1,$K$2,LAS$4),Table1[],(MATCH(Calendar!$A18,DB!$1:$1,0)),FALSE)),"")</f>
        <v/>
      </c>
      <c r="LAT18" s="28" t="str">
        <f>IFERROR(IF(LBC3="No",IF(VLOOKUP(DATE($K$1,$K$2,LAT$4),Table1[],(MATCH(Calendar!$A18,DB!$1:$1,0)),FALSE)&gt;=5,"Good","Bad"),VLOOKUP(DATE($K$1,$K$2,LAT$4),Table1[],(MATCH(Calendar!$A18,DB!$1:$1,0)),FALSE)),"")</f>
        <v/>
      </c>
      <c r="LAU18" s="28" t="str">
        <f>IFERROR(IF(LBD3="No",IF(VLOOKUP(DATE($K$1,$K$2,LAU$4),Table1[],(MATCH(Calendar!$A18,DB!$1:$1,0)),FALSE)&gt;=5,"Good","Bad"),VLOOKUP(DATE($K$1,$K$2,LAU$4),Table1[],(MATCH(Calendar!$A18,DB!$1:$1,0)),FALSE)),"")</f>
        <v/>
      </c>
      <c r="LAV18" s="28" t="str">
        <f>IFERROR(IF(LBE3="No",IF(VLOOKUP(DATE($K$1,$K$2,LAV$4),Table1[],(MATCH(Calendar!$A18,DB!$1:$1,0)),FALSE)&gt;=5,"Good","Bad"),VLOOKUP(DATE($K$1,$K$2,LAV$4),Table1[],(MATCH(Calendar!$A18,DB!$1:$1,0)),FALSE)),"")</f>
        <v/>
      </c>
      <c r="LAW18" s="28" t="str">
        <f>IFERROR(IF(LBF3="No",IF(VLOOKUP(DATE($K$1,$K$2,LAW$4),Table1[],(MATCH(Calendar!$A18,DB!$1:$1,0)),FALSE)&gt;=5,"Good","Bad"),VLOOKUP(DATE($K$1,$K$2,LAW$4),Table1[],(MATCH(Calendar!$A18,DB!$1:$1,0)),FALSE)),"")</f>
        <v/>
      </c>
      <c r="LAX18" s="28" t="str">
        <f>IFERROR(IF(LBG3="No",IF(VLOOKUP(DATE($K$1,$K$2,LAX$4),Table1[],(MATCH(Calendar!$A18,DB!$1:$1,0)),FALSE)&gt;=5,"Good","Bad"),VLOOKUP(DATE($K$1,$K$2,LAX$4),Table1[],(MATCH(Calendar!$A18,DB!$1:$1,0)),FALSE)),"")</f>
        <v/>
      </c>
      <c r="LAY18" s="28" t="str">
        <f>IFERROR(IF(LBH3="No",IF(VLOOKUP(DATE($K$1,$K$2,LAY$4),Table1[],(MATCH(Calendar!$A18,DB!$1:$1,0)),FALSE)&gt;=5,"Good","Bad"),VLOOKUP(DATE($K$1,$K$2,LAY$4),Table1[],(MATCH(Calendar!$A18,DB!$1:$1,0)),FALSE)),"")</f>
        <v/>
      </c>
      <c r="LAZ18" s="28" t="str">
        <f>IFERROR(IF(LBI3="No",IF(VLOOKUP(DATE($K$1,$K$2,LAZ$4),Table1[],(MATCH(Calendar!$A18,DB!$1:$1,0)),FALSE)&gt;=5,"Good","Bad"),VLOOKUP(DATE($K$1,$K$2,LAZ$4),Table1[],(MATCH(Calendar!$A18,DB!$1:$1,0)),FALSE)),"")</f>
        <v/>
      </c>
      <c r="LBA18" s="28" t="str">
        <f>IFERROR(IF(LBJ3="No",IF(VLOOKUP(DATE($K$1,$K$2,LBA$4),Table1[],(MATCH(Calendar!$A18,DB!$1:$1,0)),FALSE)&gt;=5,"Good","Bad"),VLOOKUP(DATE($K$1,$K$2,LBA$4),Table1[],(MATCH(Calendar!$A18,DB!$1:$1,0)),FALSE)),"")</f>
        <v/>
      </c>
      <c r="LBB18" s="28" t="str">
        <f>IFERROR(IF(LBK3="No",IF(VLOOKUP(DATE($K$1,$K$2,LBB$4),Table1[],(MATCH(Calendar!$A18,DB!$1:$1,0)),FALSE)&gt;=5,"Good","Bad"),VLOOKUP(DATE($K$1,$K$2,LBB$4),Table1[],(MATCH(Calendar!$A18,DB!$1:$1,0)),FALSE)),"")</f>
        <v/>
      </c>
      <c r="LBC18" s="28" t="str">
        <f>IFERROR(IF(LBL3="No",IF(VLOOKUP(DATE($K$1,$K$2,LBC$4),Table1[],(MATCH(Calendar!$A18,DB!$1:$1,0)),FALSE)&gt;=5,"Good","Bad"),VLOOKUP(DATE($K$1,$K$2,LBC$4),Table1[],(MATCH(Calendar!$A18,DB!$1:$1,0)),FALSE)),"")</f>
        <v/>
      </c>
      <c r="LBD18" s="28" t="str">
        <f>IFERROR(IF(LBM3="No",IF(VLOOKUP(DATE($K$1,$K$2,LBD$4),Table1[],(MATCH(Calendar!$A18,DB!$1:$1,0)),FALSE)&gt;=5,"Good","Bad"),VLOOKUP(DATE($K$1,$K$2,LBD$4),Table1[],(MATCH(Calendar!$A18,DB!$1:$1,0)),FALSE)),"")</f>
        <v/>
      </c>
      <c r="LBE18" s="28" t="str">
        <f>IFERROR(IF(LBN3="No",IF(VLOOKUP(DATE($K$1,$K$2,LBE$4),Table1[],(MATCH(Calendar!$A18,DB!$1:$1,0)),FALSE)&gt;=5,"Good","Bad"),VLOOKUP(DATE($K$1,$K$2,LBE$4),Table1[],(MATCH(Calendar!$A18,DB!$1:$1,0)),FALSE)),"")</f>
        <v/>
      </c>
      <c r="LBF18" s="28" t="str">
        <f>IFERROR(IF(LBO3="No",IF(VLOOKUP(DATE($K$1,$K$2,LBF$4),Table1[],(MATCH(Calendar!$A18,DB!$1:$1,0)),FALSE)&gt;=5,"Good","Bad"),VLOOKUP(DATE($K$1,$K$2,LBF$4),Table1[],(MATCH(Calendar!$A18,DB!$1:$1,0)),FALSE)),"")</f>
        <v/>
      </c>
      <c r="LBG18" s="28" t="str">
        <f>IFERROR(IF(LBP3="No",IF(VLOOKUP(DATE($K$1,$K$2,LBG$4),Table1[],(MATCH(Calendar!$A18,DB!$1:$1,0)),FALSE)&gt;=5,"Good","Bad"),VLOOKUP(DATE($K$1,$K$2,LBG$4),Table1[],(MATCH(Calendar!$A18,DB!$1:$1,0)),FALSE)),"")</f>
        <v/>
      </c>
      <c r="LBH18" s="28" t="str">
        <f>IFERROR(IF(LBQ3="No",IF(VLOOKUP(DATE($K$1,$K$2,LBH$4),Table1[],(MATCH(Calendar!$A18,DB!$1:$1,0)),FALSE)&gt;=5,"Good","Bad"),VLOOKUP(DATE($K$1,$K$2,LBH$4),Table1[],(MATCH(Calendar!$A18,DB!$1:$1,0)),FALSE)),"")</f>
        <v/>
      </c>
      <c r="LBI18" s="28" t="str">
        <f>IFERROR(IF(LBR3="No",IF(VLOOKUP(DATE($K$1,$K$2,LBI$4),Table1[],(MATCH(Calendar!$A18,DB!$1:$1,0)),FALSE)&gt;=5,"Good","Bad"),VLOOKUP(DATE($K$1,$K$2,LBI$4),Table1[],(MATCH(Calendar!$A18,DB!$1:$1,0)),FALSE)),"")</f>
        <v/>
      </c>
      <c r="LBJ18" s="28" t="str">
        <f>IFERROR(IF(LBS3="No",IF(VLOOKUP(DATE($K$1,$K$2,LBJ$4),Table1[],(MATCH(Calendar!$A18,DB!$1:$1,0)),FALSE)&gt;=5,"Good","Bad"),VLOOKUP(DATE($K$1,$K$2,LBJ$4),Table1[],(MATCH(Calendar!$A18,DB!$1:$1,0)),FALSE)),"")</f>
        <v/>
      </c>
      <c r="LBK18" s="28" t="str">
        <f>IFERROR(IF(LBT3="No",IF(VLOOKUP(DATE($K$1,$K$2,LBK$4),Table1[],(MATCH(Calendar!$A18,DB!$1:$1,0)),FALSE)&gt;=5,"Good","Bad"),VLOOKUP(DATE($K$1,$K$2,LBK$4),Table1[],(MATCH(Calendar!$A18,DB!$1:$1,0)),FALSE)),"")</f>
        <v/>
      </c>
      <c r="LBL18" s="28" t="str">
        <f>IFERROR(IF(LBU3="No",IF(VLOOKUP(DATE($K$1,$K$2,LBL$4),Table1[],(MATCH(Calendar!$A18,DB!$1:$1,0)),FALSE)&gt;=5,"Good","Bad"),VLOOKUP(DATE($K$1,$K$2,LBL$4),Table1[],(MATCH(Calendar!$A18,DB!$1:$1,0)),FALSE)),"")</f>
        <v/>
      </c>
      <c r="LBM18" s="28" t="str">
        <f>IFERROR(IF(LBV3="No",IF(VLOOKUP(DATE($K$1,$K$2,LBM$4),Table1[],(MATCH(Calendar!$A18,DB!$1:$1,0)),FALSE)&gt;=5,"Good","Bad"),VLOOKUP(DATE($K$1,$K$2,LBM$4),Table1[],(MATCH(Calendar!$A18,DB!$1:$1,0)),FALSE)),"")</f>
        <v/>
      </c>
      <c r="LBN18" s="28" t="str">
        <f>IFERROR(IF(LBW3="No",IF(VLOOKUP(DATE($K$1,$K$2,LBN$4),Table1[],(MATCH(Calendar!$A18,DB!$1:$1,0)),FALSE)&gt;=5,"Good","Bad"),VLOOKUP(DATE($K$1,$K$2,LBN$4),Table1[],(MATCH(Calendar!$A18,DB!$1:$1,0)),FALSE)),"")</f>
        <v/>
      </c>
      <c r="LBO18" s="28" t="str">
        <f>IFERROR(IF(LBX3="No",IF(VLOOKUP(DATE($K$1,$K$2,LBO$4),Table1[],(MATCH(Calendar!$A18,DB!$1:$1,0)),FALSE)&gt;=5,"Good","Bad"),VLOOKUP(DATE($K$1,$K$2,LBO$4),Table1[],(MATCH(Calendar!$A18,DB!$1:$1,0)),FALSE)),"")</f>
        <v/>
      </c>
      <c r="LBP18" s="28" t="str">
        <f>IFERROR(IF(LBY3="No",IF(VLOOKUP(DATE($K$1,$K$2,LBP$4),Table1[],(MATCH(Calendar!$A18,DB!$1:$1,0)),FALSE)&gt;=5,"Good","Bad"),VLOOKUP(DATE($K$1,$K$2,LBP$4),Table1[],(MATCH(Calendar!$A18,DB!$1:$1,0)),FALSE)),"")</f>
        <v/>
      </c>
      <c r="LBQ18" s="28" t="str">
        <f>IFERROR(IF(LBZ3="No",IF(VLOOKUP(DATE($K$1,$K$2,LBQ$4),Table1[],(MATCH(Calendar!$A18,DB!$1:$1,0)),FALSE)&gt;=5,"Good","Bad"),VLOOKUP(DATE($K$1,$K$2,LBQ$4),Table1[],(MATCH(Calendar!$A18,DB!$1:$1,0)),FALSE)),"")</f>
        <v/>
      </c>
      <c r="LBR18" s="28" t="str">
        <f>IFERROR(IF(LCA3="No",IF(VLOOKUP(DATE($K$1,$K$2,LBR$4),Table1[],(MATCH(Calendar!$A18,DB!$1:$1,0)),FALSE)&gt;=5,"Good","Bad"),VLOOKUP(DATE($K$1,$K$2,LBR$4),Table1[],(MATCH(Calendar!$A18,DB!$1:$1,0)),FALSE)),"")</f>
        <v/>
      </c>
      <c r="LBS18" s="28" t="str">
        <f>IFERROR(IF(LCB3="No",IF(VLOOKUP(DATE($K$1,$K$2,LBS$4),Table1[],(MATCH(Calendar!$A18,DB!$1:$1,0)),FALSE)&gt;=5,"Good","Bad"),VLOOKUP(DATE($K$1,$K$2,LBS$4),Table1[],(MATCH(Calendar!$A18,DB!$1:$1,0)),FALSE)),"")</f>
        <v/>
      </c>
      <c r="LBT18" s="28" t="str">
        <f>IFERROR(IF(LCC3="No",IF(VLOOKUP(DATE($K$1,$K$2,LBT$4),Table1[],(MATCH(Calendar!$A18,DB!$1:$1,0)),FALSE)&gt;=5,"Good","Bad"),VLOOKUP(DATE($K$1,$K$2,LBT$4),Table1[],(MATCH(Calendar!$A18,DB!$1:$1,0)),FALSE)),"")</f>
        <v/>
      </c>
      <c r="LBU18" s="28" t="str">
        <f>IFERROR(IF(LCD3="No",IF(VLOOKUP(DATE($K$1,$K$2,LBU$4),Table1[],(MATCH(Calendar!$A18,DB!$1:$1,0)),FALSE)&gt;=5,"Good","Bad"),VLOOKUP(DATE($K$1,$K$2,LBU$4),Table1[],(MATCH(Calendar!$A18,DB!$1:$1,0)),FALSE)),"")</f>
        <v/>
      </c>
      <c r="LBV18" s="28" t="str">
        <f>IFERROR(IF(LCE3="No",IF(VLOOKUP(DATE($K$1,$K$2,LBV$4),Table1[],(MATCH(Calendar!$A18,DB!$1:$1,0)),FALSE)&gt;=5,"Good","Bad"),VLOOKUP(DATE($K$1,$K$2,LBV$4),Table1[],(MATCH(Calendar!$A18,DB!$1:$1,0)),FALSE)),"")</f>
        <v/>
      </c>
      <c r="LBW18" s="28" t="str">
        <f>IFERROR(IF(LCF3="No",IF(VLOOKUP(DATE($K$1,$K$2,LBW$4),Table1[],(MATCH(Calendar!$A18,DB!$1:$1,0)),FALSE)&gt;=5,"Good","Bad"),VLOOKUP(DATE($K$1,$K$2,LBW$4),Table1[],(MATCH(Calendar!$A18,DB!$1:$1,0)),FALSE)),"")</f>
        <v/>
      </c>
      <c r="LBX18" s="28" t="str">
        <f>IFERROR(IF(LCG3="No",IF(VLOOKUP(DATE($K$1,$K$2,LBX$4),Table1[],(MATCH(Calendar!$A18,DB!$1:$1,0)),FALSE)&gt;=5,"Good","Bad"),VLOOKUP(DATE($K$1,$K$2,LBX$4),Table1[],(MATCH(Calendar!$A18,DB!$1:$1,0)),FALSE)),"")</f>
        <v/>
      </c>
      <c r="LBY18" s="28" t="str">
        <f>IFERROR(IF(LCH3="No",IF(VLOOKUP(DATE($K$1,$K$2,LBY$4),Table1[],(MATCH(Calendar!$A18,DB!$1:$1,0)),FALSE)&gt;=5,"Good","Bad"),VLOOKUP(DATE($K$1,$K$2,LBY$4),Table1[],(MATCH(Calendar!$A18,DB!$1:$1,0)),FALSE)),"")</f>
        <v/>
      </c>
      <c r="LBZ18" s="28" t="str">
        <f>IFERROR(IF(LCI3="No",IF(VLOOKUP(DATE($K$1,$K$2,LBZ$4),Table1[],(MATCH(Calendar!$A18,DB!$1:$1,0)),FALSE)&gt;=5,"Good","Bad"),VLOOKUP(DATE($K$1,$K$2,LBZ$4),Table1[],(MATCH(Calendar!$A18,DB!$1:$1,0)),FALSE)),"")</f>
        <v/>
      </c>
      <c r="LCA18" s="28" t="str">
        <f>IFERROR(IF(LCJ3="No",IF(VLOOKUP(DATE($K$1,$K$2,LCA$4),Table1[],(MATCH(Calendar!$A18,DB!$1:$1,0)),FALSE)&gt;=5,"Good","Bad"),VLOOKUP(DATE($K$1,$K$2,LCA$4),Table1[],(MATCH(Calendar!$A18,DB!$1:$1,0)),FALSE)),"")</f>
        <v/>
      </c>
      <c r="LCB18" s="28" t="str">
        <f>IFERROR(IF(LCK3="No",IF(VLOOKUP(DATE($K$1,$K$2,LCB$4),Table1[],(MATCH(Calendar!$A18,DB!$1:$1,0)),FALSE)&gt;=5,"Good","Bad"),VLOOKUP(DATE($K$1,$K$2,LCB$4),Table1[],(MATCH(Calendar!$A18,DB!$1:$1,0)),FALSE)),"")</f>
        <v/>
      </c>
      <c r="LCC18" s="28" t="str">
        <f>IFERROR(IF(LCL3="No",IF(VLOOKUP(DATE($K$1,$K$2,LCC$4),Table1[],(MATCH(Calendar!$A18,DB!$1:$1,0)),FALSE)&gt;=5,"Good","Bad"),VLOOKUP(DATE($K$1,$K$2,LCC$4),Table1[],(MATCH(Calendar!$A18,DB!$1:$1,0)),FALSE)),"")</f>
        <v/>
      </c>
      <c r="LCD18" s="28" t="str">
        <f>IFERROR(IF(LCM3="No",IF(VLOOKUP(DATE($K$1,$K$2,LCD$4),Table1[],(MATCH(Calendar!$A18,DB!$1:$1,0)),FALSE)&gt;=5,"Good","Bad"),VLOOKUP(DATE($K$1,$K$2,LCD$4),Table1[],(MATCH(Calendar!$A18,DB!$1:$1,0)),FALSE)),"")</f>
        <v/>
      </c>
      <c r="LCE18" s="28" t="str">
        <f>IFERROR(IF(LCN3="No",IF(VLOOKUP(DATE($K$1,$K$2,LCE$4),Table1[],(MATCH(Calendar!$A18,DB!$1:$1,0)),FALSE)&gt;=5,"Good","Bad"),VLOOKUP(DATE($K$1,$K$2,LCE$4),Table1[],(MATCH(Calendar!$A18,DB!$1:$1,0)),FALSE)),"")</f>
        <v/>
      </c>
      <c r="LCF18" s="28" t="str">
        <f>IFERROR(IF(LCO3="No",IF(VLOOKUP(DATE($K$1,$K$2,LCF$4),Table1[],(MATCH(Calendar!$A18,DB!$1:$1,0)),FALSE)&gt;=5,"Good","Bad"),VLOOKUP(DATE($K$1,$K$2,LCF$4),Table1[],(MATCH(Calendar!$A18,DB!$1:$1,0)),FALSE)),"")</f>
        <v/>
      </c>
      <c r="LCG18" s="28" t="str">
        <f>IFERROR(IF(LCP3="No",IF(VLOOKUP(DATE($K$1,$K$2,LCG$4),Table1[],(MATCH(Calendar!$A18,DB!$1:$1,0)),FALSE)&gt;=5,"Good","Bad"),VLOOKUP(DATE($K$1,$K$2,LCG$4),Table1[],(MATCH(Calendar!$A18,DB!$1:$1,0)),FALSE)),"")</f>
        <v/>
      </c>
      <c r="LCH18" s="28" t="str">
        <f>IFERROR(IF(LCQ3="No",IF(VLOOKUP(DATE($K$1,$K$2,LCH$4),Table1[],(MATCH(Calendar!$A18,DB!$1:$1,0)),FALSE)&gt;=5,"Good","Bad"),VLOOKUP(DATE($K$1,$K$2,LCH$4),Table1[],(MATCH(Calendar!$A18,DB!$1:$1,0)),FALSE)),"")</f>
        <v/>
      </c>
      <c r="LCI18" s="28" t="str">
        <f>IFERROR(IF(LCR3="No",IF(VLOOKUP(DATE($K$1,$K$2,LCI$4),Table1[],(MATCH(Calendar!$A18,DB!$1:$1,0)),FALSE)&gt;=5,"Good","Bad"),VLOOKUP(DATE($K$1,$K$2,LCI$4),Table1[],(MATCH(Calendar!$A18,DB!$1:$1,0)),FALSE)),"")</f>
        <v/>
      </c>
      <c r="LCJ18" s="28" t="str">
        <f>IFERROR(IF(LCS3="No",IF(VLOOKUP(DATE($K$1,$K$2,LCJ$4),Table1[],(MATCH(Calendar!$A18,DB!$1:$1,0)),FALSE)&gt;=5,"Good","Bad"),VLOOKUP(DATE($K$1,$K$2,LCJ$4),Table1[],(MATCH(Calendar!$A18,DB!$1:$1,0)),FALSE)),"")</f>
        <v/>
      </c>
      <c r="LCK18" s="28" t="str">
        <f>IFERROR(IF(LCT3="No",IF(VLOOKUP(DATE($K$1,$K$2,LCK$4),Table1[],(MATCH(Calendar!$A18,DB!$1:$1,0)),FALSE)&gt;=5,"Good","Bad"),VLOOKUP(DATE($K$1,$K$2,LCK$4),Table1[],(MATCH(Calendar!$A18,DB!$1:$1,0)),FALSE)),"")</f>
        <v/>
      </c>
      <c r="LCL18" s="28" t="str">
        <f>IFERROR(IF(LCU3="No",IF(VLOOKUP(DATE($K$1,$K$2,LCL$4),Table1[],(MATCH(Calendar!$A18,DB!$1:$1,0)),FALSE)&gt;=5,"Good","Bad"),VLOOKUP(DATE($K$1,$K$2,LCL$4),Table1[],(MATCH(Calendar!$A18,DB!$1:$1,0)),FALSE)),"")</f>
        <v/>
      </c>
      <c r="LCM18" s="28" t="str">
        <f>IFERROR(IF(LCV3="No",IF(VLOOKUP(DATE($K$1,$K$2,LCM$4),Table1[],(MATCH(Calendar!$A18,DB!$1:$1,0)),FALSE)&gt;=5,"Good","Bad"),VLOOKUP(DATE($K$1,$K$2,LCM$4),Table1[],(MATCH(Calendar!$A18,DB!$1:$1,0)),FALSE)),"")</f>
        <v/>
      </c>
      <c r="LCN18" s="28" t="str">
        <f>IFERROR(IF(LCW3="No",IF(VLOOKUP(DATE($K$1,$K$2,LCN$4),Table1[],(MATCH(Calendar!$A18,DB!$1:$1,0)),FALSE)&gt;=5,"Good","Bad"),VLOOKUP(DATE($K$1,$K$2,LCN$4),Table1[],(MATCH(Calendar!$A18,DB!$1:$1,0)),FALSE)),"")</f>
        <v/>
      </c>
      <c r="LCO18" s="28" t="str">
        <f>IFERROR(IF(LCX3="No",IF(VLOOKUP(DATE($K$1,$K$2,LCO$4),Table1[],(MATCH(Calendar!$A18,DB!$1:$1,0)),FALSE)&gt;=5,"Good","Bad"),VLOOKUP(DATE($K$1,$K$2,LCO$4),Table1[],(MATCH(Calendar!$A18,DB!$1:$1,0)),FALSE)),"")</f>
        <v/>
      </c>
      <c r="LCP18" s="28" t="str">
        <f>IFERROR(IF(LCY3="No",IF(VLOOKUP(DATE($K$1,$K$2,LCP$4),Table1[],(MATCH(Calendar!$A18,DB!$1:$1,0)),FALSE)&gt;=5,"Good","Bad"),VLOOKUP(DATE($K$1,$K$2,LCP$4),Table1[],(MATCH(Calendar!$A18,DB!$1:$1,0)),FALSE)),"")</f>
        <v/>
      </c>
      <c r="LCQ18" s="28" t="str">
        <f>IFERROR(IF(LCZ3="No",IF(VLOOKUP(DATE($K$1,$K$2,LCQ$4),Table1[],(MATCH(Calendar!$A18,DB!$1:$1,0)),FALSE)&gt;=5,"Good","Bad"),VLOOKUP(DATE($K$1,$K$2,LCQ$4),Table1[],(MATCH(Calendar!$A18,DB!$1:$1,0)),FALSE)),"")</f>
        <v/>
      </c>
      <c r="LCR18" s="28" t="str">
        <f>IFERROR(IF(LDA3="No",IF(VLOOKUP(DATE($K$1,$K$2,LCR$4),Table1[],(MATCH(Calendar!$A18,DB!$1:$1,0)),FALSE)&gt;=5,"Good","Bad"),VLOOKUP(DATE($K$1,$K$2,LCR$4),Table1[],(MATCH(Calendar!$A18,DB!$1:$1,0)),FALSE)),"")</f>
        <v/>
      </c>
      <c r="LCS18" s="28" t="str">
        <f>IFERROR(IF(LDB3="No",IF(VLOOKUP(DATE($K$1,$K$2,LCS$4),Table1[],(MATCH(Calendar!$A18,DB!$1:$1,0)),FALSE)&gt;=5,"Good","Bad"),VLOOKUP(DATE($K$1,$K$2,LCS$4),Table1[],(MATCH(Calendar!$A18,DB!$1:$1,0)),FALSE)),"")</f>
        <v/>
      </c>
      <c r="LCT18" s="28" t="str">
        <f>IFERROR(IF(LDC3="No",IF(VLOOKUP(DATE($K$1,$K$2,LCT$4),Table1[],(MATCH(Calendar!$A18,DB!$1:$1,0)),FALSE)&gt;=5,"Good","Bad"),VLOOKUP(DATE($K$1,$K$2,LCT$4),Table1[],(MATCH(Calendar!$A18,DB!$1:$1,0)),FALSE)),"")</f>
        <v/>
      </c>
      <c r="LCU18" s="28" t="str">
        <f>IFERROR(IF(LDD3="No",IF(VLOOKUP(DATE($K$1,$K$2,LCU$4),Table1[],(MATCH(Calendar!$A18,DB!$1:$1,0)),FALSE)&gt;=5,"Good","Bad"),VLOOKUP(DATE($K$1,$K$2,LCU$4),Table1[],(MATCH(Calendar!$A18,DB!$1:$1,0)),FALSE)),"")</f>
        <v/>
      </c>
      <c r="LCV18" s="28" t="str">
        <f>IFERROR(IF(LDE3="No",IF(VLOOKUP(DATE($K$1,$K$2,LCV$4),Table1[],(MATCH(Calendar!$A18,DB!$1:$1,0)),FALSE)&gt;=5,"Good","Bad"),VLOOKUP(DATE($K$1,$K$2,LCV$4),Table1[],(MATCH(Calendar!$A18,DB!$1:$1,0)),FALSE)),"")</f>
        <v/>
      </c>
      <c r="LCW18" s="28" t="str">
        <f>IFERROR(IF(LDF3="No",IF(VLOOKUP(DATE($K$1,$K$2,LCW$4),Table1[],(MATCH(Calendar!$A18,DB!$1:$1,0)),FALSE)&gt;=5,"Good","Bad"),VLOOKUP(DATE($K$1,$K$2,LCW$4),Table1[],(MATCH(Calendar!$A18,DB!$1:$1,0)),FALSE)),"")</f>
        <v/>
      </c>
      <c r="LCX18" s="28" t="str">
        <f>IFERROR(IF(LDG3="No",IF(VLOOKUP(DATE($K$1,$K$2,LCX$4),Table1[],(MATCH(Calendar!$A18,DB!$1:$1,0)),FALSE)&gt;=5,"Good","Bad"),VLOOKUP(DATE($K$1,$K$2,LCX$4),Table1[],(MATCH(Calendar!$A18,DB!$1:$1,0)),FALSE)),"")</f>
        <v/>
      </c>
      <c r="LCY18" s="28" t="str">
        <f>IFERROR(IF(LDH3="No",IF(VLOOKUP(DATE($K$1,$K$2,LCY$4),Table1[],(MATCH(Calendar!$A18,DB!$1:$1,0)),FALSE)&gt;=5,"Good","Bad"),VLOOKUP(DATE($K$1,$K$2,LCY$4),Table1[],(MATCH(Calendar!$A18,DB!$1:$1,0)),FALSE)),"")</f>
        <v/>
      </c>
      <c r="LCZ18" s="28" t="str">
        <f>IFERROR(IF(LDI3="No",IF(VLOOKUP(DATE($K$1,$K$2,LCZ$4),Table1[],(MATCH(Calendar!$A18,DB!$1:$1,0)),FALSE)&gt;=5,"Good","Bad"),VLOOKUP(DATE($K$1,$K$2,LCZ$4),Table1[],(MATCH(Calendar!$A18,DB!$1:$1,0)),FALSE)),"")</f>
        <v/>
      </c>
      <c r="LDA18" s="28" t="str">
        <f>IFERROR(IF(LDJ3="No",IF(VLOOKUP(DATE($K$1,$K$2,LDA$4),Table1[],(MATCH(Calendar!$A18,DB!$1:$1,0)),FALSE)&gt;=5,"Good","Bad"),VLOOKUP(DATE($K$1,$K$2,LDA$4),Table1[],(MATCH(Calendar!$A18,DB!$1:$1,0)),FALSE)),"")</f>
        <v/>
      </c>
      <c r="LDB18" s="28" t="str">
        <f>IFERROR(IF(LDK3="No",IF(VLOOKUP(DATE($K$1,$K$2,LDB$4),Table1[],(MATCH(Calendar!$A18,DB!$1:$1,0)),FALSE)&gt;=5,"Good","Bad"),VLOOKUP(DATE($K$1,$K$2,LDB$4),Table1[],(MATCH(Calendar!$A18,DB!$1:$1,0)),FALSE)),"")</f>
        <v/>
      </c>
      <c r="LDC18" s="28" t="str">
        <f>IFERROR(IF(LDL3="No",IF(VLOOKUP(DATE($K$1,$K$2,LDC$4),Table1[],(MATCH(Calendar!$A18,DB!$1:$1,0)),FALSE)&gt;=5,"Good","Bad"),VLOOKUP(DATE($K$1,$K$2,LDC$4),Table1[],(MATCH(Calendar!$A18,DB!$1:$1,0)),FALSE)),"")</f>
        <v/>
      </c>
      <c r="LDD18" s="28" t="str">
        <f>IFERROR(IF(LDM3="No",IF(VLOOKUP(DATE($K$1,$K$2,LDD$4),Table1[],(MATCH(Calendar!$A18,DB!$1:$1,0)),FALSE)&gt;=5,"Good","Bad"),VLOOKUP(DATE($K$1,$K$2,LDD$4),Table1[],(MATCH(Calendar!$A18,DB!$1:$1,0)),FALSE)),"")</f>
        <v/>
      </c>
      <c r="LDE18" s="28" t="str">
        <f>IFERROR(IF(LDN3="No",IF(VLOOKUP(DATE($K$1,$K$2,LDE$4),Table1[],(MATCH(Calendar!$A18,DB!$1:$1,0)),FALSE)&gt;=5,"Good","Bad"),VLOOKUP(DATE($K$1,$K$2,LDE$4),Table1[],(MATCH(Calendar!$A18,DB!$1:$1,0)),FALSE)),"")</f>
        <v/>
      </c>
      <c r="LDF18" s="28" t="str">
        <f>IFERROR(IF(LDO3="No",IF(VLOOKUP(DATE($K$1,$K$2,LDF$4),Table1[],(MATCH(Calendar!$A18,DB!$1:$1,0)),FALSE)&gt;=5,"Good","Bad"),VLOOKUP(DATE($K$1,$K$2,LDF$4),Table1[],(MATCH(Calendar!$A18,DB!$1:$1,0)),FALSE)),"")</f>
        <v/>
      </c>
      <c r="LDG18" s="28" t="str">
        <f>IFERROR(IF(LDP3="No",IF(VLOOKUP(DATE($K$1,$K$2,LDG$4),Table1[],(MATCH(Calendar!$A18,DB!$1:$1,0)),FALSE)&gt;=5,"Good","Bad"),VLOOKUP(DATE($K$1,$K$2,LDG$4),Table1[],(MATCH(Calendar!$A18,DB!$1:$1,0)),FALSE)),"")</f>
        <v/>
      </c>
      <c r="LDH18" s="28" t="str">
        <f>IFERROR(IF(LDQ3="No",IF(VLOOKUP(DATE($K$1,$K$2,LDH$4),Table1[],(MATCH(Calendar!$A18,DB!$1:$1,0)),FALSE)&gt;=5,"Good","Bad"),VLOOKUP(DATE($K$1,$K$2,LDH$4),Table1[],(MATCH(Calendar!$A18,DB!$1:$1,0)),FALSE)),"")</f>
        <v/>
      </c>
      <c r="LDI18" s="28" t="str">
        <f>IFERROR(IF(LDR3="No",IF(VLOOKUP(DATE($K$1,$K$2,LDI$4),Table1[],(MATCH(Calendar!$A18,DB!$1:$1,0)),FALSE)&gt;=5,"Good","Bad"),VLOOKUP(DATE($K$1,$K$2,LDI$4),Table1[],(MATCH(Calendar!$A18,DB!$1:$1,0)),FALSE)),"")</f>
        <v/>
      </c>
      <c r="LDJ18" s="28" t="str">
        <f>IFERROR(IF(LDS3="No",IF(VLOOKUP(DATE($K$1,$K$2,LDJ$4),Table1[],(MATCH(Calendar!$A18,DB!$1:$1,0)),FALSE)&gt;=5,"Good","Bad"),VLOOKUP(DATE($K$1,$K$2,LDJ$4),Table1[],(MATCH(Calendar!$A18,DB!$1:$1,0)),FALSE)),"")</f>
        <v/>
      </c>
      <c r="LDK18" s="28" t="str">
        <f>IFERROR(IF(LDT3="No",IF(VLOOKUP(DATE($K$1,$K$2,LDK$4),Table1[],(MATCH(Calendar!$A18,DB!$1:$1,0)),FALSE)&gt;=5,"Good","Bad"),VLOOKUP(DATE($K$1,$K$2,LDK$4),Table1[],(MATCH(Calendar!$A18,DB!$1:$1,0)),FALSE)),"")</f>
        <v/>
      </c>
      <c r="LDL18" s="28" t="str">
        <f>IFERROR(IF(LDU3="No",IF(VLOOKUP(DATE($K$1,$K$2,LDL$4),Table1[],(MATCH(Calendar!$A18,DB!$1:$1,0)),FALSE)&gt;=5,"Good","Bad"),VLOOKUP(DATE($K$1,$K$2,LDL$4),Table1[],(MATCH(Calendar!$A18,DB!$1:$1,0)),FALSE)),"")</f>
        <v/>
      </c>
      <c r="LDM18" s="28" t="str">
        <f>IFERROR(IF(LDV3="No",IF(VLOOKUP(DATE($K$1,$K$2,LDM$4),Table1[],(MATCH(Calendar!$A18,DB!$1:$1,0)),FALSE)&gt;=5,"Good","Bad"),VLOOKUP(DATE($K$1,$K$2,LDM$4),Table1[],(MATCH(Calendar!$A18,DB!$1:$1,0)),FALSE)),"")</f>
        <v/>
      </c>
      <c r="LDN18" s="28" t="str">
        <f>IFERROR(IF(LDW3="No",IF(VLOOKUP(DATE($K$1,$K$2,LDN$4),Table1[],(MATCH(Calendar!$A18,DB!$1:$1,0)),FALSE)&gt;=5,"Good","Bad"),VLOOKUP(DATE($K$1,$K$2,LDN$4),Table1[],(MATCH(Calendar!$A18,DB!$1:$1,0)),FALSE)),"")</f>
        <v/>
      </c>
      <c r="LDO18" s="28" t="str">
        <f>IFERROR(IF(LDX3="No",IF(VLOOKUP(DATE($K$1,$K$2,LDO$4),Table1[],(MATCH(Calendar!$A18,DB!$1:$1,0)),FALSE)&gt;=5,"Good","Bad"),VLOOKUP(DATE($K$1,$K$2,LDO$4),Table1[],(MATCH(Calendar!$A18,DB!$1:$1,0)),FALSE)),"")</f>
        <v/>
      </c>
      <c r="LDP18" s="28" t="str">
        <f>IFERROR(IF(LDY3="No",IF(VLOOKUP(DATE($K$1,$K$2,LDP$4),Table1[],(MATCH(Calendar!$A18,DB!$1:$1,0)),FALSE)&gt;=5,"Good","Bad"),VLOOKUP(DATE($K$1,$K$2,LDP$4),Table1[],(MATCH(Calendar!$A18,DB!$1:$1,0)),FALSE)),"")</f>
        <v/>
      </c>
      <c r="LDQ18" s="28" t="str">
        <f>IFERROR(IF(LDZ3="No",IF(VLOOKUP(DATE($K$1,$K$2,LDQ$4),Table1[],(MATCH(Calendar!$A18,DB!$1:$1,0)),FALSE)&gt;=5,"Good","Bad"),VLOOKUP(DATE($K$1,$K$2,LDQ$4),Table1[],(MATCH(Calendar!$A18,DB!$1:$1,0)),FALSE)),"")</f>
        <v/>
      </c>
      <c r="LDR18" s="28" t="str">
        <f>IFERROR(IF(LEA3="No",IF(VLOOKUP(DATE($K$1,$K$2,LDR$4),Table1[],(MATCH(Calendar!$A18,DB!$1:$1,0)),FALSE)&gt;=5,"Good","Bad"),VLOOKUP(DATE($K$1,$K$2,LDR$4),Table1[],(MATCH(Calendar!$A18,DB!$1:$1,0)),FALSE)),"")</f>
        <v/>
      </c>
      <c r="LDS18" s="28" t="str">
        <f>IFERROR(IF(LEB3="No",IF(VLOOKUP(DATE($K$1,$K$2,LDS$4),Table1[],(MATCH(Calendar!$A18,DB!$1:$1,0)),FALSE)&gt;=5,"Good","Bad"),VLOOKUP(DATE($K$1,$K$2,LDS$4),Table1[],(MATCH(Calendar!$A18,DB!$1:$1,0)),FALSE)),"")</f>
        <v/>
      </c>
      <c r="LDT18" s="28" t="str">
        <f>IFERROR(IF(LEC3="No",IF(VLOOKUP(DATE($K$1,$K$2,LDT$4),Table1[],(MATCH(Calendar!$A18,DB!$1:$1,0)),FALSE)&gt;=5,"Good","Bad"),VLOOKUP(DATE($K$1,$K$2,LDT$4),Table1[],(MATCH(Calendar!$A18,DB!$1:$1,0)),FALSE)),"")</f>
        <v/>
      </c>
      <c r="LDU18" s="28" t="str">
        <f>IFERROR(IF(LED3="No",IF(VLOOKUP(DATE($K$1,$K$2,LDU$4),Table1[],(MATCH(Calendar!$A18,DB!$1:$1,0)),FALSE)&gt;=5,"Good","Bad"),VLOOKUP(DATE($K$1,$K$2,LDU$4),Table1[],(MATCH(Calendar!$A18,DB!$1:$1,0)),FALSE)),"")</f>
        <v/>
      </c>
      <c r="LDV18" s="28" t="str">
        <f>IFERROR(IF(LEE3="No",IF(VLOOKUP(DATE($K$1,$K$2,LDV$4),Table1[],(MATCH(Calendar!$A18,DB!$1:$1,0)),FALSE)&gt;=5,"Good","Bad"),VLOOKUP(DATE($K$1,$K$2,LDV$4),Table1[],(MATCH(Calendar!$A18,DB!$1:$1,0)),FALSE)),"")</f>
        <v/>
      </c>
      <c r="LDW18" s="28" t="str">
        <f>IFERROR(IF(LEF3="No",IF(VLOOKUP(DATE($K$1,$K$2,LDW$4),Table1[],(MATCH(Calendar!$A18,DB!$1:$1,0)),FALSE)&gt;=5,"Good","Bad"),VLOOKUP(DATE($K$1,$K$2,LDW$4),Table1[],(MATCH(Calendar!$A18,DB!$1:$1,0)),FALSE)),"")</f>
        <v/>
      </c>
      <c r="LDX18" s="28" t="str">
        <f>IFERROR(IF(LEG3="No",IF(VLOOKUP(DATE($K$1,$K$2,LDX$4),Table1[],(MATCH(Calendar!$A18,DB!$1:$1,0)),FALSE)&gt;=5,"Good","Bad"),VLOOKUP(DATE($K$1,$K$2,LDX$4),Table1[],(MATCH(Calendar!$A18,DB!$1:$1,0)),FALSE)),"")</f>
        <v/>
      </c>
      <c r="LDY18" s="28" t="str">
        <f>IFERROR(IF(LEH3="No",IF(VLOOKUP(DATE($K$1,$K$2,LDY$4),Table1[],(MATCH(Calendar!$A18,DB!$1:$1,0)),FALSE)&gt;=5,"Good","Bad"),VLOOKUP(DATE($K$1,$K$2,LDY$4),Table1[],(MATCH(Calendar!$A18,DB!$1:$1,0)),FALSE)),"")</f>
        <v/>
      </c>
      <c r="LDZ18" s="28" t="str">
        <f>IFERROR(IF(LEI3="No",IF(VLOOKUP(DATE($K$1,$K$2,LDZ$4),Table1[],(MATCH(Calendar!$A18,DB!$1:$1,0)),FALSE)&gt;=5,"Good","Bad"),VLOOKUP(DATE($K$1,$K$2,LDZ$4),Table1[],(MATCH(Calendar!$A18,DB!$1:$1,0)),FALSE)),"")</f>
        <v/>
      </c>
      <c r="LEA18" s="28" t="str">
        <f>IFERROR(IF(LEJ3="No",IF(VLOOKUP(DATE($K$1,$K$2,LEA$4),Table1[],(MATCH(Calendar!$A18,DB!$1:$1,0)),FALSE)&gt;=5,"Good","Bad"),VLOOKUP(DATE($K$1,$K$2,LEA$4),Table1[],(MATCH(Calendar!$A18,DB!$1:$1,0)),FALSE)),"")</f>
        <v/>
      </c>
      <c r="LEB18" s="28" t="str">
        <f>IFERROR(IF(LEK3="No",IF(VLOOKUP(DATE($K$1,$K$2,LEB$4),Table1[],(MATCH(Calendar!$A18,DB!$1:$1,0)),FALSE)&gt;=5,"Good","Bad"),VLOOKUP(DATE($K$1,$K$2,LEB$4),Table1[],(MATCH(Calendar!$A18,DB!$1:$1,0)),FALSE)),"")</f>
        <v/>
      </c>
      <c r="LEC18" s="28" t="str">
        <f>IFERROR(IF(LEL3="No",IF(VLOOKUP(DATE($K$1,$K$2,LEC$4),Table1[],(MATCH(Calendar!$A18,DB!$1:$1,0)),FALSE)&gt;=5,"Good","Bad"),VLOOKUP(DATE($K$1,$K$2,LEC$4),Table1[],(MATCH(Calendar!$A18,DB!$1:$1,0)),FALSE)),"")</f>
        <v/>
      </c>
      <c r="LED18" s="28" t="str">
        <f>IFERROR(IF(LEM3="No",IF(VLOOKUP(DATE($K$1,$K$2,LED$4),Table1[],(MATCH(Calendar!$A18,DB!$1:$1,0)),FALSE)&gt;=5,"Good","Bad"),VLOOKUP(DATE($K$1,$K$2,LED$4),Table1[],(MATCH(Calendar!$A18,DB!$1:$1,0)),FALSE)),"")</f>
        <v/>
      </c>
      <c r="LEE18" s="28" t="str">
        <f>IFERROR(IF(LEN3="No",IF(VLOOKUP(DATE($K$1,$K$2,LEE$4),Table1[],(MATCH(Calendar!$A18,DB!$1:$1,0)),FALSE)&gt;=5,"Good","Bad"),VLOOKUP(DATE($K$1,$K$2,LEE$4),Table1[],(MATCH(Calendar!$A18,DB!$1:$1,0)),FALSE)),"")</f>
        <v/>
      </c>
      <c r="LEF18" s="28" t="str">
        <f>IFERROR(IF(LEO3="No",IF(VLOOKUP(DATE($K$1,$K$2,LEF$4),Table1[],(MATCH(Calendar!$A18,DB!$1:$1,0)),FALSE)&gt;=5,"Good","Bad"),VLOOKUP(DATE($K$1,$K$2,LEF$4),Table1[],(MATCH(Calendar!$A18,DB!$1:$1,0)),FALSE)),"")</f>
        <v/>
      </c>
      <c r="LEG18" s="28" t="str">
        <f>IFERROR(IF(LEP3="No",IF(VLOOKUP(DATE($K$1,$K$2,LEG$4),Table1[],(MATCH(Calendar!$A18,DB!$1:$1,0)),FALSE)&gt;=5,"Good","Bad"),VLOOKUP(DATE($K$1,$K$2,LEG$4),Table1[],(MATCH(Calendar!$A18,DB!$1:$1,0)),FALSE)),"")</f>
        <v/>
      </c>
      <c r="LEH18" s="28" t="str">
        <f>IFERROR(IF(LEQ3="No",IF(VLOOKUP(DATE($K$1,$K$2,LEH$4),Table1[],(MATCH(Calendar!$A18,DB!$1:$1,0)),FALSE)&gt;=5,"Good","Bad"),VLOOKUP(DATE($K$1,$K$2,LEH$4),Table1[],(MATCH(Calendar!$A18,DB!$1:$1,0)),FALSE)),"")</f>
        <v/>
      </c>
      <c r="LEI18" s="28" t="str">
        <f>IFERROR(IF(LER3="No",IF(VLOOKUP(DATE($K$1,$K$2,LEI$4),Table1[],(MATCH(Calendar!$A18,DB!$1:$1,0)),FALSE)&gt;=5,"Good","Bad"),VLOOKUP(DATE($K$1,$K$2,LEI$4),Table1[],(MATCH(Calendar!$A18,DB!$1:$1,0)),FALSE)),"")</f>
        <v/>
      </c>
      <c r="LEJ18" s="28" t="str">
        <f>IFERROR(IF(LES3="No",IF(VLOOKUP(DATE($K$1,$K$2,LEJ$4),Table1[],(MATCH(Calendar!$A18,DB!$1:$1,0)),FALSE)&gt;=5,"Good","Bad"),VLOOKUP(DATE($K$1,$K$2,LEJ$4),Table1[],(MATCH(Calendar!$A18,DB!$1:$1,0)),FALSE)),"")</f>
        <v/>
      </c>
      <c r="LEK18" s="28" t="str">
        <f>IFERROR(IF(LET3="No",IF(VLOOKUP(DATE($K$1,$K$2,LEK$4),Table1[],(MATCH(Calendar!$A18,DB!$1:$1,0)),FALSE)&gt;=5,"Good","Bad"),VLOOKUP(DATE($K$1,$K$2,LEK$4),Table1[],(MATCH(Calendar!$A18,DB!$1:$1,0)),FALSE)),"")</f>
        <v/>
      </c>
      <c r="LEL18" s="28" t="str">
        <f>IFERROR(IF(LEU3="No",IF(VLOOKUP(DATE($K$1,$K$2,LEL$4),Table1[],(MATCH(Calendar!$A18,DB!$1:$1,0)),FALSE)&gt;=5,"Good","Bad"),VLOOKUP(DATE($K$1,$K$2,LEL$4),Table1[],(MATCH(Calendar!$A18,DB!$1:$1,0)),FALSE)),"")</f>
        <v/>
      </c>
      <c r="LEM18" s="28" t="str">
        <f>IFERROR(IF(LEV3="No",IF(VLOOKUP(DATE($K$1,$K$2,LEM$4),Table1[],(MATCH(Calendar!$A18,DB!$1:$1,0)),FALSE)&gt;=5,"Good","Bad"),VLOOKUP(DATE($K$1,$K$2,LEM$4),Table1[],(MATCH(Calendar!$A18,DB!$1:$1,0)),FALSE)),"")</f>
        <v/>
      </c>
      <c r="LEN18" s="28" t="str">
        <f>IFERROR(IF(LEW3="No",IF(VLOOKUP(DATE($K$1,$K$2,LEN$4),Table1[],(MATCH(Calendar!$A18,DB!$1:$1,0)),FALSE)&gt;=5,"Good","Bad"),VLOOKUP(DATE($K$1,$K$2,LEN$4),Table1[],(MATCH(Calendar!$A18,DB!$1:$1,0)),FALSE)),"")</f>
        <v/>
      </c>
      <c r="LEO18" s="28" t="str">
        <f>IFERROR(IF(LEX3="No",IF(VLOOKUP(DATE($K$1,$K$2,LEO$4),Table1[],(MATCH(Calendar!$A18,DB!$1:$1,0)),FALSE)&gt;=5,"Good","Bad"),VLOOKUP(DATE($K$1,$K$2,LEO$4),Table1[],(MATCH(Calendar!$A18,DB!$1:$1,0)),FALSE)),"")</f>
        <v/>
      </c>
      <c r="LEP18" s="28" t="str">
        <f>IFERROR(IF(LEY3="No",IF(VLOOKUP(DATE($K$1,$K$2,LEP$4),Table1[],(MATCH(Calendar!$A18,DB!$1:$1,0)),FALSE)&gt;=5,"Good","Bad"),VLOOKUP(DATE($K$1,$K$2,LEP$4),Table1[],(MATCH(Calendar!$A18,DB!$1:$1,0)),FALSE)),"")</f>
        <v/>
      </c>
      <c r="LEQ18" s="28" t="str">
        <f>IFERROR(IF(LEZ3="No",IF(VLOOKUP(DATE($K$1,$K$2,LEQ$4),Table1[],(MATCH(Calendar!$A18,DB!$1:$1,0)),FALSE)&gt;=5,"Good","Bad"),VLOOKUP(DATE($K$1,$K$2,LEQ$4),Table1[],(MATCH(Calendar!$A18,DB!$1:$1,0)),FALSE)),"")</f>
        <v/>
      </c>
      <c r="LER18" s="28" t="str">
        <f>IFERROR(IF(LFA3="No",IF(VLOOKUP(DATE($K$1,$K$2,LER$4),Table1[],(MATCH(Calendar!$A18,DB!$1:$1,0)),FALSE)&gt;=5,"Good","Bad"),VLOOKUP(DATE($K$1,$K$2,LER$4),Table1[],(MATCH(Calendar!$A18,DB!$1:$1,0)),FALSE)),"")</f>
        <v/>
      </c>
      <c r="LES18" s="28" t="str">
        <f>IFERROR(IF(LFB3="No",IF(VLOOKUP(DATE($K$1,$K$2,LES$4),Table1[],(MATCH(Calendar!$A18,DB!$1:$1,0)),FALSE)&gt;=5,"Good","Bad"),VLOOKUP(DATE($K$1,$K$2,LES$4),Table1[],(MATCH(Calendar!$A18,DB!$1:$1,0)),FALSE)),"")</f>
        <v/>
      </c>
      <c r="LET18" s="28" t="str">
        <f>IFERROR(IF(LFC3="No",IF(VLOOKUP(DATE($K$1,$K$2,LET$4),Table1[],(MATCH(Calendar!$A18,DB!$1:$1,0)),FALSE)&gt;=5,"Good","Bad"),VLOOKUP(DATE($K$1,$K$2,LET$4),Table1[],(MATCH(Calendar!$A18,DB!$1:$1,0)),FALSE)),"")</f>
        <v/>
      </c>
      <c r="LEU18" s="28" t="str">
        <f>IFERROR(IF(LFD3="No",IF(VLOOKUP(DATE($K$1,$K$2,LEU$4),Table1[],(MATCH(Calendar!$A18,DB!$1:$1,0)),FALSE)&gt;=5,"Good","Bad"),VLOOKUP(DATE($K$1,$K$2,LEU$4),Table1[],(MATCH(Calendar!$A18,DB!$1:$1,0)),FALSE)),"")</f>
        <v/>
      </c>
      <c r="LEV18" s="28" t="str">
        <f>IFERROR(IF(LFE3="No",IF(VLOOKUP(DATE($K$1,$K$2,LEV$4),Table1[],(MATCH(Calendar!$A18,DB!$1:$1,0)),FALSE)&gt;=5,"Good","Bad"),VLOOKUP(DATE($K$1,$K$2,LEV$4),Table1[],(MATCH(Calendar!$A18,DB!$1:$1,0)),FALSE)),"")</f>
        <v/>
      </c>
      <c r="LEW18" s="28" t="str">
        <f>IFERROR(IF(LFF3="No",IF(VLOOKUP(DATE($K$1,$K$2,LEW$4),Table1[],(MATCH(Calendar!$A18,DB!$1:$1,0)),FALSE)&gt;=5,"Good","Bad"),VLOOKUP(DATE($K$1,$K$2,LEW$4),Table1[],(MATCH(Calendar!$A18,DB!$1:$1,0)),FALSE)),"")</f>
        <v/>
      </c>
      <c r="LEX18" s="28" t="str">
        <f>IFERROR(IF(LFG3="No",IF(VLOOKUP(DATE($K$1,$K$2,LEX$4),Table1[],(MATCH(Calendar!$A18,DB!$1:$1,0)),FALSE)&gt;=5,"Good","Bad"),VLOOKUP(DATE($K$1,$K$2,LEX$4),Table1[],(MATCH(Calendar!$A18,DB!$1:$1,0)),FALSE)),"")</f>
        <v/>
      </c>
      <c r="LEY18" s="28" t="str">
        <f>IFERROR(IF(LFH3="No",IF(VLOOKUP(DATE($K$1,$K$2,LEY$4),Table1[],(MATCH(Calendar!$A18,DB!$1:$1,0)),FALSE)&gt;=5,"Good","Bad"),VLOOKUP(DATE($K$1,$K$2,LEY$4),Table1[],(MATCH(Calendar!$A18,DB!$1:$1,0)),FALSE)),"")</f>
        <v/>
      </c>
      <c r="LEZ18" s="28" t="str">
        <f>IFERROR(IF(LFI3="No",IF(VLOOKUP(DATE($K$1,$K$2,LEZ$4),Table1[],(MATCH(Calendar!$A18,DB!$1:$1,0)),FALSE)&gt;=5,"Good","Bad"),VLOOKUP(DATE($K$1,$K$2,LEZ$4),Table1[],(MATCH(Calendar!$A18,DB!$1:$1,0)),FALSE)),"")</f>
        <v/>
      </c>
      <c r="LFA18" s="28" t="str">
        <f>IFERROR(IF(LFJ3="No",IF(VLOOKUP(DATE($K$1,$K$2,LFA$4),Table1[],(MATCH(Calendar!$A18,DB!$1:$1,0)),FALSE)&gt;=5,"Good","Bad"),VLOOKUP(DATE($K$1,$K$2,LFA$4),Table1[],(MATCH(Calendar!$A18,DB!$1:$1,0)),FALSE)),"")</f>
        <v/>
      </c>
      <c r="LFB18" s="28" t="str">
        <f>IFERROR(IF(LFK3="No",IF(VLOOKUP(DATE($K$1,$K$2,LFB$4),Table1[],(MATCH(Calendar!$A18,DB!$1:$1,0)),FALSE)&gt;=5,"Good","Bad"),VLOOKUP(DATE($K$1,$K$2,LFB$4),Table1[],(MATCH(Calendar!$A18,DB!$1:$1,0)),FALSE)),"")</f>
        <v/>
      </c>
      <c r="LFC18" s="28" t="str">
        <f>IFERROR(IF(LFL3="No",IF(VLOOKUP(DATE($K$1,$K$2,LFC$4),Table1[],(MATCH(Calendar!$A18,DB!$1:$1,0)),FALSE)&gt;=5,"Good","Bad"),VLOOKUP(DATE($K$1,$K$2,LFC$4),Table1[],(MATCH(Calendar!$A18,DB!$1:$1,0)),FALSE)),"")</f>
        <v/>
      </c>
      <c r="LFD18" s="28" t="str">
        <f>IFERROR(IF(LFM3="No",IF(VLOOKUP(DATE($K$1,$K$2,LFD$4),Table1[],(MATCH(Calendar!$A18,DB!$1:$1,0)),FALSE)&gt;=5,"Good","Bad"),VLOOKUP(DATE($K$1,$K$2,LFD$4),Table1[],(MATCH(Calendar!$A18,DB!$1:$1,0)),FALSE)),"")</f>
        <v/>
      </c>
      <c r="LFE18" s="28" t="str">
        <f>IFERROR(IF(LFN3="No",IF(VLOOKUP(DATE($K$1,$K$2,LFE$4),Table1[],(MATCH(Calendar!$A18,DB!$1:$1,0)),FALSE)&gt;=5,"Good","Bad"),VLOOKUP(DATE($K$1,$K$2,LFE$4),Table1[],(MATCH(Calendar!$A18,DB!$1:$1,0)),FALSE)),"")</f>
        <v/>
      </c>
      <c r="LFF18" s="28" t="str">
        <f>IFERROR(IF(LFO3="No",IF(VLOOKUP(DATE($K$1,$K$2,LFF$4),Table1[],(MATCH(Calendar!$A18,DB!$1:$1,0)),FALSE)&gt;=5,"Good","Bad"),VLOOKUP(DATE($K$1,$K$2,LFF$4),Table1[],(MATCH(Calendar!$A18,DB!$1:$1,0)),FALSE)),"")</f>
        <v/>
      </c>
      <c r="LFG18" s="28" t="str">
        <f>IFERROR(IF(LFP3="No",IF(VLOOKUP(DATE($K$1,$K$2,LFG$4),Table1[],(MATCH(Calendar!$A18,DB!$1:$1,0)),FALSE)&gt;=5,"Good","Bad"),VLOOKUP(DATE($K$1,$K$2,LFG$4),Table1[],(MATCH(Calendar!$A18,DB!$1:$1,0)),FALSE)),"")</f>
        <v/>
      </c>
      <c r="LFH18" s="28" t="str">
        <f>IFERROR(IF(LFQ3="No",IF(VLOOKUP(DATE($K$1,$K$2,LFH$4),Table1[],(MATCH(Calendar!$A18,DB!$1:$1,0)),FALSE)&gt;=5,"Good","Bad"),VLOOKUP(DATE($K$1,$K$2,LFH$4),Table1[],(MATCH(Calendar!$A18,DB!$1:$1,0)),FALSE)),"")</f>
        <v/>
      </c>
      <c r="LFI18" s="28" t="str">
        <f>IFERROR(IF(LFR3="No",IF(VLOOKUP(DATE($K$1,$K$2,LFI$4),Table1[],(MATCH(Calendar!$A18,DB!$1:$1,0)),FALSE)&gt;=5,"Good","Bad"),VLOOKUP(DATE($K$1,$K$2,LFI$4),Table1[],(MATCH(Calendar!$A18,DB!$1:$1,0)),FALSE)),"")</f>
        <v/>
      </c>
      <c r="LFJ18" s="28" t="str">
        <f>IFERROR(IF(LFS3="No",IF(VLOOKUP(DATE($K$1,$K$2,LFJ$4),Table1[],(MATCH(Calendar!$A18,DB!$1:$1,0)),FALSE)&gt;=5,"Good","Bad"),VLOOKUP(DATE($K$1,$K$2,LFJ$4),Table1[],(MATCH(Calendar!$A18,DB!$1:$1,0)),FALSE)),"")</f>
        <v/>
      </c>
      <c r="LFK18" s="28" t="str">
        <f>IFERROR(IF(LFT3="No",IF(VLOOKUP(DATE($K$1,$K$2,LFK$4),Table1[],(MATCH(Calendar!$A18,DB!$1:$1,0)),FALSE)&gt;=5,"Good","Bad"),VLOOKUP(DATE($K$1,$K$2,LFK$4),Table1[],(MATCH(Calendar!$A18,DB!$1:$1,0)),FALSE)),"")</f>
        <v/>
      </c>
      <c r="LFL18" s="28" t="str">
        <f>IFERROR(IF(LFU3="No",IF(VLOOKUP(DATE($K$1,$K$2,LFL$4),Table1[],(MATCH(Calendar!$A18,DB!$1:$1,0)),FALSE)&gt;=5,"Good","Bad"),VLOOKUP(DATE($K$1,$K$2,LFL$4),Table1[],(MATCH(Calendar!$A18,DB!$1:$1,0)),FALSE)),"")</f>
        <v/>
      </c>
      <c r="LFM18" s="28" t="str">
        <f>IFERROR(IF(LFV3="No",IF(VLOOKUP(DATE($K$1,$K$2,LFM$4),Table1[],(MATCH(Calendar!$A18,DB!$1:$1,0)),FALSE)&gt;=5,"Good","Bad"),VLOOKUP(DATE($K$1,$K$2,LFM$4),Table1[],(MATCH(Calendar!$A18,DB!$1:$1,0)),FALSE)),"")</f>
        <v/>
      </c>
      <c r="LFN18" s="28" t="str">
        <f>IFERROR(IF(LFW3="No",IF(VLOOKUP(DATE($K$1,$K$2,LFN$4),Table1[],(MATCH(Calendar!$A18,DB!$1:$1,0)),FALSE)&gt;=5,"Good","Bad"),VLOOKUP(DATE($K$1,$K$2,LFN$4),Table1[],(MATCH(Calendar!$A18,DB!$1:$1,0)),FALSE)),"")</f>
        <v/>
      </c>
      <c r="LFO18" s="28" t="str">
        <f>IFERROR(IF(LFX3="No",IF(VLOOKUP(DATE($K$1,$K$2,LFO$4),Table1[],(MATCH(Calendar!$A18,DB!$1:$1,0)),FALSE)&gt;=5,"Good","Bad"),VLOOKUP(DATE($K$1,$K$2,LFO$4),Table1[],(MATCH(Calendar!$A18,DB!$1:$1,0)),FALSE)),"")</f>
        <v/>
      </c>
      <c r="LFP18" s="28" t="str">
        <f>IFERROR(IF(LFY3="No",IF(VLOOKUP(DATE($K$1,$K$2,LFP$4),Table1[],(MATCH(Calendar!$A18,DB!$1:$1,0)),FALSE)&gt;=5,"Good","Bad"),VLOOKUP(DATE($K$1,$K$2,LFP$4),Table1[],(MATCH(Calendar!$A18,DB!$1:$1,0)),FALSE)),"")</f>
        <v/>
      </c>
      <c r="LFQ18" s="28" t="str">
        <f>IFERROR(IF(LFZ3="No",IF(VLOOKUP(DATE($K$1,$K$2,LFQ$4),Table1[],(MATCH(Calendar!$A18,DB!$1:$1,0)),FALSE)&gt;=5,"Good","Bad"),VLOOKUP(DATE($K$1,$K$2,LFQ$4),Table1[],(MATCH(Calendar!$A18,DB!$1:$1,0)),FALSE)),"")</f>
        <v/>
      </c>
      <c r="LFR18" s="28" t="str">
        <f>IFERROR(IF(LGA3="No",IF(VLOOKUP(DATE($K$1,$K$2,LFR$4),Table1[],(MATCH(Calendar!$A18,DB!$1:$1,0)),FALSE)&gt;=5,"Good","Bad"),VLOOKUP(DATE($K$1,$K$2,LFR$4),Table1[],(MATCH(Calendar!$A18,DB!$1:$1,0)),FALSE)),"")</f>
        <v/>
      </c>
      <c r="LFS18" s="28" t="str">
        <f>IFERROR(IF(LGB3="No",IF(VLOOKUP(DATE($K$1,$K$2,LFS$4),Table1[],(MATCH(Calendar!$A18,DB!$1:$1,0)),FALSE)&gt;=5,"Good","Bad"),VLOOKUP(DATE($K$1,$K$2,LFS$4),Table1[],(MATCH(Calendar!$A18,DB!$1:$1,0)),FALSE)),"")</f>
        <v/>
      </c>
      <c r="LFT18" s="28" t="str">
        <f>IFERROR(IF(LGC3="No",IF(VLOOKUP(DATE($K$1,$K$2,LFT$4),Table1[],(MATCH(Calendar!$A18,DB!$1:$1,0)),FALSE)&gt;=5,"Good","Bad"),VLOOKUP(DATE($K$1,$K$2,LFT$4),Table1[],(MATCH(Calendar!$A18,DB!$1:$1,0)),FALSE)),"")</f>
        <v/>
      </c>
      <c r="LFU18" s="28" t="str">
        <f>IFERROR(IF(LGD3="No",IF(VLOOKUP(DATE($K$1,$K$2,LFU$4),Table1[],(MATCH(Calendar!$A18,DB!$1:$1,0)),FALSE)&gt;=5,"Good","Bad"),VLOOKUP(DATE($K$1,$K$2,LFU$4),Table1[],(MATCH(Calendar!$A18,DB!$1:$1,0)),FALSE)),"")</f>
        <v/>
      </c>
      <c r="LFV18" s="28" t="str">
        <f>IFERROR(IF(LGE3="No",IF(VLOOKUP(DATE($K$1,$K$2,LFV$4),Table1[],(MATCH(Calendar!$A18,DB!$1:$1,0)),FALSE)&gt;=5,"Good","Bad"),VLOOKUP(DATE($K$1,$K$2,LFV$4),Table1[],(MATCH(Calendar!$A18,DB!$1:$1,0)),FALSE)),"")</f>
        <v/>
      </c>
      <c r="LFW18" s="28" t="str">
        <f>IFERROR(IF(LGF3="No",IF(VLOOKUP(DATE($K$1,$K$2,LFW$4),Table1[],(MATCH(Calendar!$A18,DB!$1:$1,0)),FALSE)&gt;=5,"Good","Bad"),VLOOKUP(DATE($K$1,$K$2,LFW$4),Table1[],(MATCH(Calendar!$A18,DB!$1:$1,0)),FALSE)),"")</f>
        <v/>
      </c>
      <c r="LFX18" s="28" t="str">
        <f>IFERROR(IF(LGG3="No",IF(VLOOKUP(DATE($K$1,$K$2,LFX$4),Table1[],(MATCH(Calendar!$A18,DB!$1:$1,0)),FALSE)&gt;=5,"Good","Bad"),VLOOKUP(DATE($K$1,$K$2,LFX$4),Table1[],(MATCH(Calendar!$A18,DB!$1:$1,0)),FALSE)),"")</f>
        <v/>
      </c>
      <c r="LFY18" s="28" t="str">
        <f>IFERROR(IF(LGH3="No",IF(VLOOKUP(DATE($K$1,$K$2,LFY$4),Table1[],(MATCH(Calendar!$A18,DB!$1:$1,0)),FALSE)&gt;=5,"Good","Bad"),VLOOKUP(DATE($K$1,$K$2,LFY$4),Table1[],(MATCH(Calendar!$A18,DB!$1:$1,0)),FALSE)),"")</f>
        <v/>
      </c>
      <c r="LFZ18" s="28" t="str">
        <f>IFERROR(IF(LGI3="No",IF(VLOOKUP(DATE($K$1,$K$2,LFZ$4),Table1[],(MATCH(Calendar!$A18,DB!$1:$1,0)),FALSE)&gt;=5,"Good","Bad"),VLOOKUP(DATE($K$1,$K$2,LFZ$4),Table1[],(MATCH(Calendar!$A18,DB!$1:$1,0)),FALSE)),"")</f>
        <v/>
      </c>
      <c r="LGA18" s="28" t="str">
        <f>IFERROR(IF(LGJ3="No",IF(VLOOKUP(DATE($K$1,$K$2,LGA$4),Table1[],(MATCH(Calendar!$A18,DB!$1:$1,0)),FALSE)&gt;=5,"Good","Bad"),VLOOKUP(DATE($K$1,$K$2,LGA$4),Table1[],(MATCH(Calendar!$A18,DB!$1:$1,0)),FALSE)),"")</f>
        <v/>
      </c>
      <c r="LGB18" s="28" t="str">
        <f>IFERROR(IF(LGK3="No",IF(VLOOKUP(DATE($K$1,$K$2,LGB$4),Table1[],(MATCH(Calendar!$A18,DB!$1:$1,0)),FALSE)&gt;=5,"Good","Bad"),VLOOKUP(DATE($K$1,$K$2,LGB$4),Table1[],(MATCH(Calendar!$A18,DB!$1:$1,0)),FALSE)),"")</f>
        <v/>
      </c>
      <c r="LGC18" s="28" t="str">
        <f>IFERROR(IF(LGL3="No",IF(VLOOKUP(DATE($K$1,$K$2,LGC$4),Table1[],(MATCH(Calendar!$A18,DB!$1:$1,0)),FALSE)&gt;=5,"Good","Bad"),VLOOKUP(DATE($K$1,$K$2,LGC$4),Table1[],(MATCH(Calendar!$A18,DB!$1:$1,0)),FALSE)),"")</f>
        <v/>
      </c>
      <c r="LGD18" s="28" t="str">
        <f>IFERROR(IF(LGM3="No",IF(VLOOKUP(DATE($K$1,$K$2,LGD$4),Table1[],(MATCH(Calendar!$A18,DB!$1:$1,0)),FALSE)&gt;=5,"Good","Bad"),VLOOKUP(DATE($K$1,$K$2,LGD$4),Table1[],(MATCH(Calendar!$A18,DB!$1:$1,0)),FALSE)),"")</f>
        <v/>
      </c>
      <c r="LGE18" s="28" t="str">
        <f>IFERROR(IF(LGN3="No",IF(VLOOKUP(DATE($K$1,$K$2,LGE$4),Table1[],(MATCH(Calendar!$A18,DB!$1:$1,0)),FALSE)&gt;=5,"Good","Bad"),VLOOKUP(DATE($K$1,$K$2,LGE$4),Table1[],(MATCH(Calendar!$A18,DB!$1:$1,0)),FALSE)),"")</f>
        <v/>
      </c>
      <c r="LGF18" s="28" t="str">
        <f>IFERROR(IF(LGO3="No",IF(VLOOKUP(DATE($K$1,$K$2,LGF$4),Table1[],(MATCH(Calendar!$A18,DB!$1:$1,0)),FALSE)&gt;=5,"Good","Bad"),VLOOKUP(DATE($K$1,$K$2,LGF$4),Table1[],(MATCH(Calendar!$A18,DB!$1:$1,0)),FALSE)),"")</f>
        <v/>
      </c>
      <c r="LGG18" s="28" t="str">
        <f>IFERROR(IF(LGP3="No",IF(VLOOKUP(DATE($K$1,$K$2,LGG$4),Table1[],(MATCH(Calendar!$A18,DB!$1:$1,0)),FALSE)&gt;=5,"Good","Bad"),VLOOKUP(DATE($K$1,$K$2,LGG$4),Table1[],(MATCH(Calendar!$A18,DB!$1:$1,0)),FALSE)),"")</f>
        <v/>
      </c>
      <c r="LGH18" s="28" t="str">
        <f>IFERROR(IF(LGQ3="No",IF(VLOOKUP(DATE($K$1,$K$2,LGH$4),Table1[],(MATCH(Calendar!$A18,DB!$1:$1,0)),FALSE)&gt;=5,"Good","Bad"),VLOOKUP(DATE($K$1,$K$2,LGH$4),Table1[],(MATCH(Calendar!$A18,DB!$1:$1,0)),FALSE)),"")</f>
        <v/>
      </c>
      <c r="LGI18" s="28" t="str">
        <f>IFERROR(IF(LGR3="No",IF(VLOOKUP(DATE($K$1,$K$2,LGI$4),Table1[],(MATCH(Calendar!$A18,DB!$1:$1,0)),FALSE)&gt;=5,"Good","Bad"),VLOOKUP(DATE($K$1,$K$2,LGI$4),Table1[],(MATCH(Calendar!$A18,DB!$1:$1,0)),FALSE)),"")</f>
        <v/>
      </c>
      <c r="LGJ18" s="28" t="str">
        <f>IFERROR(IF(LGS3="No",IF(VLOOKUP(DATE($K$1,$K$2,LGJ$4),Table1[],(MATCH(Calendar!$A18,DB!$1:$1,0)),FALSE)&gt;=5,"Good","Bad"),VLOOKUP(DATE($K$1,$K$2,LGJ$4),Table1[],(MATCH(Calendar!$A18,DB!$1:$1,0)),FALSE)),"")</f>
        <v/>
      </c>
      <c r="LGK18" s="28" t="str">
        <f>IFERROR(IF(LGT3="No",IF(VLOOKUP(DATE($K$1,$K$2,LGK$4),Table1[],(MATCH(Calendar!$A18,DB!$1:$1,0)),FALSE)&gt;=5,"Good","Bad"),VLOOKUP(DATE($K$1,$K$2,LGK$4),Table1[],(MATCH(Calendar!$A18,DB!$1:$1,0)),FALSE)),"")</f>
        <v/>
      </c>
      <c r="LGL18" s="28" t="str">
        <f>IFERROR(IF(LGU3="No",IF(VLOOKUP(DATE($K$1,$K$2,LGL$4),Table1[],(MATCH(Calendar!$A18,DB!$1:$1,0)),FALSE)&gt;=5,"Good","Bad"),VLOOKUP(DATE($K$1,$K$2,LGL$4),Table1[],(MATCH(Calendar!$A18,DB!$1:$1,0)),FALSE)),"")</f>
        <v/>
      </c>
      <c r="LGM18" s="28" t="str">
        <f>IFERROR(IF(LGV3="No",IF(VLOOKUP(DATE($K$1,$K$2,LGM$4),Table1[],(MATCH(Calendar!$A18,DB!$1:$1,0)),FALSE)&gt;=5,"Good","Bad"),VLOOKUP(DATE($K$1,$K$2,LGM$4),Table1[],(MATCH(Calendar!$A18,DB!$1:$1,0)),FALSE)),"")</f>
        <v/>
      </c>
      <c r="LGN18" s="28" t="str">
        <f>IFERROR(IF(LGW3="No",IF(VLOOKUP(DATE($K$1,$K$2,LGN$4),Table1[],(MATCH(Calendar!$A18,DB!$1:$1,0)),FALSE)&gt;=5,"Good","Bad"),VLOOKUP(DATE($K$1,$K$2,LGN$4),Table1[],(MATCH(Calendar!$A18,DB!$1:$1,0)),FALSE)),"")</f>
        <v/>
      </c>
      <c r="LGO18" s="28" t="str">
        <f>IFERROR(IF(LGX3="No",IF(VLOOKUP(DATE($K$1,$K$2,LGO$4),Table1[],(MATCH(Calendar!$A18,DB!$1:$1,0)),FALSE)&gt;=5,"Good","Bad"),VLOOKUP(DATE($K$1,$K$2,LGO$4),Table1[],(MATCH(Calendar!$A18,DB!$1:$1,0)),FALSE)),"")</f>
        <v/>
      </c>
      <c r="LGP18" s="28" t="str">
        <f>IFERROR(IF(LGY3="No",IF(VLOOKUP(DATE($K$1,$K$2,LGP$4),Table1[],(MATCH(Calendar!$A18,DB!$1:$1,0)),FALSE)&gt;=5,"Good","Bad"),VLOOKUP(DATE($K$1,$K$2,LGP$4),Table1[],(MATCH(Calendar!$A18,DB!$1:$1,0)),FALSE)),"")</f>
        <v/>
      </c>
      <c r="LGQ18" s="28" t="str">
        <f>IFERROR(IF(LGZ3="No",IF(VLOOKUP(DATE($K$1,$K$2,LGQ$4),Table1[],(MATCH(Calendar!$A18,DB!$1:$1,0)),FALSE)&gt;=5,"Good","Bad"),VLOOKUP(DATE($K$1,$K$2,LGQ$4),Table1[],(MATCH(Calendar!$A18,DB!$1:$1,0)),FALSE)),"")</f>
        <v/>
      </c>
      <c r="LGR18" s="28" t="str">
        <f>IFERROR(IF(LHA3="No",IF(VLOOKUP(DATE($K$1,$K$2,LGR$4),Table1[],(MATCH(Calendar!$A18,DB!$1:$1,0)),FALSE)&gt;=5,"Good","Bad"),VLOOKUP(DATE($K$1,$K$2,LGR$4),Table1[],(MATCH(Calendar!$A18,DB!$1:$1,0)),FALSE)),"")</f>
        <v/>
      </c>
      <c r="LGS18" s="28" t="str">
        <f>IFERROR(IF(LHB3="No",IF(VLOOKUP(DATE($K$1,$K$2,LGS$4),Table1[],(MATCH(Calendar!$A18,DB!$1:$1,0)),FALSE)&gt;=5,"Good","Bad"),VLOOKUP(DATE($K$1,$K$2,LGS$4),Table1[],(MATCH(Calendar!$A18,DB!$1:$1,0)),FALSE)),"")</f>
        <v/>
      </c>
      <c r="LGT18" s="28" t="str">
        <f>IFERROR(IF(LHC3="No",IF(VLOOKUP(DATE($K$1,$K$2,LGT$4),Table1[],(MATCH(Calendar!$A18,DB!$1:$1,0)),FALSE)&gt;=5,"Good","Bad"),VLOOKUP(DATE($K$1,$K$2,LGT$4),Table1[],(MATCH(Calendar!$A18,DB!$1:$1,0)),FALSE)),"")</f>
        <v/>
      </c>
      <c r="LGU18" s="28" t="str">
        <f>IFERROR(IF(LHD3="No",IF(VLOOKUP(DATE($K$1,$K$2,LGU$4),Table1[],(MATCH(Calendar!$A18,DB!$1:$1,0)),FALSE)&gt;=5,"Good","Bad"),VLOOKUP(DATE($K$1,$K$2,LGU$4),Table1[],(MATCH(Calendar!$A18,DB!$1:$1,0)),FALSE)),"")</f>
        <v/>
      </c>
      <c r="LGV18" s="28" t="str">
        <f>IFERROR(IF(LHE3="No",IF(VLOOKUP(DATE($K$1,$K$2,LGV$4),Table1[],(MATCH(Calendar!$A18,DB!$1:$1,0)),FALSE)&gt;=5,"Good","Bad"),VLOOKUP(DATE($K$1,$K$2,LGV$4),Table1[],(MATCH(Calendar!$A18,DB!$1:$1,0)),FALSE)),"")</f>
        <v/>
      </c>
      <c r="LGW18" s="28" t="str">
        <f>IFERROR(IF(LHF3="No",IF(VLOOKUP(DATE($K$1,$K$2,LGW$4),Table1[],(MATCH(Calendar!$A18,DB!$1:$1,0)),FALSE)&gt;=5,"Good","Bad"),VLOOKUP(DATE($K$1,$K$2,LGW$4),Table1[],(MATCH(Calendar!$A18,DB!$1:$1,0)),FALSE)),"")</f>
        <v/>
      </c>
      <c r="LGX18" s="28" t="str">
        <f>IFERROR(IF(LHG3="No",IF(VLOOKUP(DATE($K$1,$K$2,LGX$4),Table1[],(MATCH(Calendar!$A18,DB!$1:$1,0)),FALSE)&gt;=5,"Good","Bad"),VLOOKUP(DATE($K$1,$K$2,LGX$4),Table1[],(MATCH(Calendar!$A18,DB!$1:$1,0)),FALSE)),"")</f>
        <v/>
      </c>
      <c r="LGY18" s="28" t="str">
        <f>IFERROR(IF(LHH3="No",IF(VLOOKUP(DATE($K$1,$K$2,LGY$4),Table1[],(MATCH(Calendar!$A18,DB!$1:$1,0)),FALSE)&gt;=5,"Good","Bad"),VLOOKUP(DATE($K$1,$K$2,LGY$4),Table1[],(MATCH(Calendar!$A18,DB!$1:$1,0)),FALSE)),"")</f>
        <v/>
      </c>
      <c r="LGZ18" s="28" t="str">
        <f>IFERROR(IF(LHI3="No",IF(VLOOKUP(DATE($K$1,$K$2,LGZ$4),Table1[],(MATCH(Calendar!$A18,DB!$1:$1,0)),FALSE)&gt;=5,"Good","Bad"),VLOOKUP(DATE($K$1,$K$2,LGZ$4),Table1[],(MATCH(Calendar!$A18,DB!$1:$1,0)),FALSE)),"")</f>
        <v/>
      </c>
      <c r="LHA18" s="28" t="str">
        <f>IFERROR(IF(LHJ3="No",IF(VLOOKUP(DATE($K$1,$K$2,LHA$4),Table1[],(MATCH(Calendar!$A18,DB!$1:$1,0)),FALSE)&gt;=5,"Good","Bad"),VLOOKUP(DATE($K$1,$K$2,LHA$4),Table1[],(MATCH(Calendar!$A18,DB!$1:$1,0)),FALSE)),"")</f>
        <v/>
      </c>
      <c r="LHB18" s="28" t="str">
        <f>IFERROR(IF(LHK3="No",IF(VLOOKUP(DATE($K$1,$K$2,LHB$4),Table1[],(MATCH(Calendar!$A18,DB!$1:$1,0)),FALSE)&gt;=5,"Good","Bad"),VLOOKUP(DATE($K$1,$K$2,LHB$4),Table1[],(MATCH(Calendar!$A18,DB!$1:$1,0)),FALSE)),"")</f>
        <v/>
      </c>
      <c r="LHC18" s="28" t="str">
        <f>IFERROR(IF(LHL3="No",IF(VLOOKUP(DATE($K$1,$K$2,LHC$4),Table1[],(MATCH(Calendar!$A18,DB!$1:$1,0)),FALSE)&gt;=5,"Good","Bad"),VLOOKUP(DATE($K$1,$K$2,LHC$4),Table1[],(MATCH(Calendar!$A18,DB!$1:$1,0)),FALSE)),"")</f>
        <v/>
      </c>
      <c r="LHD18" s="28" t="str">
        <f>IFERROR(IF(LHM3="No",IF(VLOOKUP(DATE($K$1,$K$2,LHD$4),Table1[],(MATCH(Calendar!$A18,DB!$1:$1,0)),FALSE)&gt;=5,"Good","Bad"),VLOOKUP(DATE($K$1,$K$2,LHD$4),Table1[],(MATCH(Calendar!$A18,DB!$1:$1,0)),FALSE)),"")</f>
        <v/>
      </c>
      <c r="LHE18" s="28" t="str">
        <f>IFERROR(IF(LHN3="No",IF(VLOOKUP(DATE($K$1,$K$2,LHE$4),Table1[],(MATCH(Calendar!$A18,DB!$1:$1,0)),FALSE)&gt;=5,"Good","Bad"),VLOOKUP(DATE($K$1,$K$2,LHE$4),Table1[],(MATCH(Calendar!$A18,DB!$1:$1,0)),FALSE)),"")</f>
        <v/>
      </c>
      <c r="LHF18" s="28" t="str">
        <f>IFERROR(IF(LHO3="No",IF(VLOOKUP(DATE($K$1,$K$2,LHF$4),Table1[],(MATCH(Calendar!$A18,DB!$1:$1,0)),FALSE)&gt;=5,"Good","Bad"),VLOOKUP(DATE($K$1,$K$2,LHF$4),Table1[],(MATCH(Calendar!$A18,DB!$1:$1,0)),FALSE)),"")</f>
        <v/>
      </c>
      <c r="LHG18" s="28" t="str">
        <f>IFERROR(IF(LHP3="No",IF(VLOOKUP(DATE($K$1,$K$2,LHG$4),Table1[],(MATCH(Calendar!$A18,DB!$1:$1,0)),FALSE)&gt;=5,"Good","Bad"),VLOOKUP(DATE($K$1,$K$2,LHG$4),Table1[],(MATCH(Calendar!$A18,DB!$1:$1,0)),FALSE)),"")</f>
        <v/>
      </c>
      <c r="LHH18" s="28" t="str">
        <f>IFERROR(IF(LHQ3="No",IF(VLOOKUP(DATE($K$1,$K$2,LHH$4),Table1[],(MATCH(Calendar!$A18,DB!$1:$1,0)),FALSE)&gt;=5,"Good","Bad"),VLOOKUP(DATE($K$1,$K$2,LHH$4),Table1[],(MATCH(Calendar!$A18,DB!$1:$1,0)),FALSE)),"")</f>
        <v/>
      </c>
      <c r="LHI18" s="28" t="str">
        <f>IFERROR(IF(LHR3="No",IF(VLOOKUP(DATE($K$1,$K$2,LHI$4),Table1[],(MATCH(Calendar!$A18,DB!$1:$1,0)),FALSE)&gt;=5,"Good","Bad"),VLOOKUP(DATE($K$1,$K$2,LHI$4),Table1[],(MATCH(Calendar!$A18,DB!$1:$1,0)),FALSE)),"")</f>
        <v/>
      </c>
      <c r="LHJ18" s="28" t="str">
        <f>IFERROR(IF(LHS3="No",IF(VLOOKUP(DATE($K$1,$K$2,LHJ$4),Table1[],(MATCH(Calendar!$A18,DB!$1:$1,0)),FALSE)&gt;=5,"Good","Bad"),VLOOKUP(DATE($K$1,$K$2,LHJ$4),Table1[],(MATCH(Calendar!$A18,DB!$1:$1,0)),FALSE)),"")</f>
        <v/>
      </c>
      <c r="LHK18" s="28" t="str">
        <f>IFERROR(IF(LHT3="No",IF(VLOOKUP(DATE($K$1,$K$2,LHK$4),Table1[],(MATCH(Calendar!$A18,DB!$1:$1,0)),FALSE)&gt;=5,"Good","Bad"),VLOOKUP(DATE($K$1,$K$2,LHK$4),Table1[],(MATCH(Calendar!$A18,DB!$1:$1,0)),FALSE)),"")</f>
        <v/>
      </c>
      <c r="LHL18" s="28" t="str">
        <f>IFERROR(IF(LHU3="No",IF(VLOOKUP(DATE($K$1,$K$2,LHL$4),Table1[],(MATCH(Calendar!$A18,DB!$1:$1,0)),FALSE)&gt;=5,"Good","Bad"),VLOOKUP(DATE($K$1,$K$2,LHL$4),Table1[],(MATCH(Calendar!$A18,DB!$1:$1,0)),FALSE)),"")</f>
        <v/>
      </c>
      <c r="LHM18" s="28" t="str">
        <f>IFERROR(IF(LHV3="No",IF(VLOOKUP(DATE($K$1,$K$2,LHM$4),Table1[],(MATCH(Calendar!$A18,DB!$1:$1,0)),FALSE)&gt;=5,"Good","Bad"),VLOOKUP(DATE($K$1,$K$2,LHM$4),Table1[],(MATCH(Calendar!$A18,DB!$1:$1,0)),FALSE)),"")</f>
        <v/>
      </c>
      <c r="LHN18" s="28" t="str">
        <f>IFERROR(IF(LHW3="No",IF(VLOOKUP(DATE($K$1,$K$2,LHN$4),Table1[],(MATCH(Calendar!$A18,DB!$1:$1,0)),FALSE)&gt;=5,"Good","Bad"),VLOOKUP(DATE($K$1,$K$2,LHN$4),Table1[],(MATCH(Calendar!$A18,DB!$1:$1,0)),FALSE)),"")</f>
        <v/>
      </c>
      <c r="LHO18" s="28" t="str">
        <f>IFERROR(IF(LHX3="No",IF(VLOOKUP(DATE($K$1,$K$2,LHO$4),Table1[],(MATCH(Calendar!$A18,DB!$1:$1,0)),FALSE)&gt;=5,"Good","Bad"),VLOOKUP(DATE($K$1,$K$2,LHO$4),Table1[],(MATCH(Calendar!$A18,DB!$1:$1,0)),FALSE)),"")</f>
        <v/>
      </c>
      <c r="LHP18" s="28" t="str">
        <f>IFERROR(IF(LHY3="No",IF(VLOOKUP(DATE($K$1,$K$2,LHP$4),Table1[],(MATCH(Calendar!$A18,DB!$1:$1,0)),FALSE)&gt;=5,"Good","Bad"),VLOOKUP(DATE($K$1,$K$2,LHP$4),Table1[],(MATCH(Calendar!$A18,DB!$1:$1,0)),FALSE)),"")</f>
        <v/>
      </c>
      <c r="LHQ18" s="28" t="str">
        <f>IFERROR(IF(LHZ3="No",IF(VLOOKUP(DATE($K$1,$K$2,LHQ$4),Table1[],(MATCH(Calendar!$A18,DB!$1:$1,0)),FALSE)&gt;=5,"Good","Bad"),VLOOKUP(DATE($K$1,$K$2,LHQ$4),Table1[],(MATCH(Calendar!$A18,DB!$1:$1,0)),FALSE)),"")</f>
        <v/>
      </c>
      <c r="LHR18" s="28" t="str">
        <f>IFERROR(IF(LIA3="No",IF(VLOOKUP(DATE($K$1,$K$2,LHR$4),Table1[],(MATCH(Calendar!$A18,DB!$1:$1,0)),FALSE)&gt;=5,"Good","Bad"),VLOOKUP(DATE($K$1,$K$2,LHR$4),Table1[],(MATCH(Calendar!$A18,DB!$1:$1,0)),FALSE)),"")</f>
        <v/>
      </c>
      <c r="LHS18" s="28" t="str">
        <f>IFERROR(IF(LIB3="No",IF(VLOOKUP(DATE($K$1,$K$2,LHS$4),Table1[],(MATCH(Calendar!$A18,DB!$1:$1,0)),FALSE)&gt;=5,"Good","Bad"),VLOOKUP(DATE($K$1,$K$2,LHS$4),Table1[],(MATCH(Calendar!$A18,DB!$1:$1,0)),FALSE)),"")</f>
        <v/>
      </c>
      <c r="LHT18" s="28" t="str">
        <f>IFERROR(IF(LIC3="No",IF(VLOOKUP(DATE($K$1,$K$2,LHT$4),Table1[],(MATCH(Calendar!$A18,DB!$1:$1,0)),FALSE)&gt;=5,"Good","Bad"),VLOOKUP(DATE($K$1,$K$2,LHT$4),Table1[],(MATCH(Calendar!$A18,DB!$1:$1,0)),FALSE)),"")</f>
        <v/>
      </c>
      <c r="LHU18" s="28" t="str">
        <f>IFERROR(IF(LID3="No",IF(VLOOKUP(DATE($K$1,$K$2,LHU$4),Table1[],(MATCH(Calendar!$A18,DB!$1:$1,0)),FALSE)&gt;=5,"Good","Bad"),VLOOKUP(DATE($K$1,$K$2,LHU$4),Table1[],(MATCH(Calendar!$A18,DB!$1:$1,0)),FALSE)),"")</f>
        <v/>
      </c>
      <c r="LHV18" s="28" t="str">
        <f>IFERROR(IF(LIE3="No",IF(VLOOKUP(DATE($K$1,$K$2,LHV$4),Table1[],(MATCH(Calendar!$A18,DB!$1:$1,0)),FALSE)&gt;=5,"Good","Bad"),VLOOKUP(DATE($K$1,$K$2,LHV$4),Table1[],(MATCH(Calendar!$A18,DB!$1:$1,0)),FALSE)),"")</f>
        <v/>
      </c>
      <c r="LHW18" s="28" t="str">
        <f>IFERROR(IF(LIF3="No",IF(VLOOKUP(DATE($K$1,$K$2,LHW$4),Table1[],(MATCH(Calendar!$A18,DB!$1:$1,0)),FALSE)&gt;=5,"Good","Bad"),VLOOKUP(DATE($K$1,$K$2,LHW$4),Table1[],(MATCH(Calendar!$A18,DB!$1:$1,0)),FALSE)),"")</f>
        <v/>
      </c>
      <c r="LHX18" s="28" t="str">
        <f>IFERROR(IF(LIG3="No",IF(VLOOKUP(DATE($K$1,$K$2,LHX$4),Table1[],(MATCH(Calendar!$A18,DB!$1:$1,0)),FALSE)&gt;=5,"Good","Bad"),VLOOKUP(DATE($K$1,$K$2,LHX$4),Table1[],(MATCH(Calendar!$A18,DB!$1:$1,0)),FALSE)),"")</f>
        <v/>
      </c>
      <c r="LHY18" s="28" t="str">
        <f>IFERROR(IF(LIH3="No",IF(VLOOKUP(DATE($K$1,$K$2,LHY$4),Table1[],(MATCH(Calendar!$A18,DB!$1:$1,0)),FALSE)&gt;=5,"Good","Bad"),VLOOKUP(DATE($K$1,$K$2,LHY$4),Table1[],(MATCH(Calendar!$A18,DB!$1:$1,0)),FALSE)),"")</f>
        <v/>
      </c>
      <c r="LHZ18" s="28" t="str">
        <f>IFERROR(IF(LII3="No",IF(VLOOKUP(DATE($K$1,$K$2,LHZ$4),Table1[],(MATCH(Calendar!$A18,DB!$1:$1,0)),FALSE)&gt;=5,"Good","Bad"),VLOOKUP(DATE($K$1,$K$2,LHZ$4),Table1[],(MATCH(Calendar!$A18,DB!$1:$1,0)),FALSE)),"")</f>
        <v/>
      </c>
      <c r="LIA18" s="28" t="str">
        <f>IFERROR(IF(LIJ3="No",IF(VLOOKUP(DATE($K$1,$K$2,LIA$4),Table1[],(MATCH(Calendar!$A18,DB!$1:$1,0)),FALSE)&gt;=5,"Good","Bad"),VLOOKUP(DATE($K$1,$K$2,LIA$4),Table1[],(MATCH(Calendar!$A18,DB!$1:$1,0)),FALSE)),"")</f>
        <v/>
      </c>
      <c r="LIB18" s="28" t="str">
        <f>IFERROR(IF(LIK3="No",IF(VLOOKUP(DATE($K$1,$K$2,LIB$4),Table1[],(MATCH(Calendar!$A18,DB!$1:$1,0)),FALSE)&gt;=5,"Good","Bad"),VLOOKUP(DATE($K$1,$K$2,LIB$4),Table1[],(MATCH(Calendar!$A18,DB!$1:$1,0)),FALSE)),"")</f>
        <v/>
      </c>
      <c r="LIC18" s="28" t="str">
        <f>IFERROR(IF(LIL3="No",IF(VLOOKUP(DATE($K$1,$K$2,LIC$4),Table1[],(MATCH(Calendar!$A18,DB!$1:$1,0)),FALSE)&gt;=5,"Good","Bad"),VLOOKUP(DATE($K$1,$K$2,LIC$4),Table1[],(MATCH(Calendar!$A18,DB!$1:$1,0)),FALSE)),"")</f>
        <v/>
      </c>
      <c r="LID18" s="28" t="str">
        <f>IFERROR(IF(LIM3="No",IF(VLOOKUP(DATE($K$1,$K$2,LID$4),Table1[],(MATCH(Calendar!$A18,DB!$1:$1,0)),FALSE)&gt;=5,"Good","Bad"),VLOOKUP(DATE($K$1,$K$2,LID$4),Table1[],(MATCH(Calendar!$A18,DB!$1:$1,0)),FALSE)),"")</f>
        <v/>
      </c>
      <c r="LIE18" s="28" t="str">
        <f>IFERROR(IF(LIN3="No",IF(VLOOKUP(DATE($K$1,$K$2,LIE$4),Table1[],(MATCH(Calendar!$A18,DB!$1:$1,0)),FALSE)&gt;=5,"Good","Bad"),VLOOKUP(DATE($K$1,$K$2,LIE$4),Table1[],(MATCH(Calendar!$A18,DB!$1:$1,0)),FALSE)),"")</f>
        <v/>
      </c>
      <c r="LIF18" s="28" t="str">
        <f>IFERROR(IF(LIO3="No",IF(VLOOKUP(DATE($K$1,$K$2,LIF$4),Table1[],(MATCH(Calendar!$A18,DB!$1:$1,0)),FALSE)&gt;=5,"Good","Bad"),VLOOKUP(DATE($K$1,$K$2,LIF$4),Table1[],(MATCH(Calendar!$A18,DB!$1:$1,0)),FALSE)),"")</f>
        <v/>
      </c>
      <c r="LIG18" s="28" t="str">
        <f>IFERROR(IF(LIP3="No",IF(VLOOKUP(DATE($K$1,$K$2,LIG$4),Table1[],(MATCH(Calendar!$A18,DB!$1:$1,0)),FALSE)&gt;=5,"Good","Bad"),VLOOKUP(DATE($K$1,$K$2,LIG$4),Table1[],(MATCH(Calendar!$A18,DB!$1:$1,0)),FALSE)),"")</f>
        <v/>
      </c>
      <c r="LIH18" s="28" t="str">
        <f>IFERROR(IF(LIQ3="No",IF(VLOOKUP(DATE($K$1,$K$2,LIH$4),Table1[],(MATCH(Calendar!$A18,DB!$1:$1,0)),FALSE)&gt;=5,"Good","Bad"),VLOOKUP(DATE($K$1,$K$2,LIH$4),Table1[],(MATCH(Calendar!$A18,DB!$1:$1,0)),FALSE)),"")</f>
        <v/>
      </c>
      <c r="LII18" s="28" t="str">
        <f>IFERROR(IF(LIR3="No",IF(VLOOKUP(DATE($K$1,$K$2,LII$4),Table1[],(MATCH(Calendar!$A18,DB!$1:$1,0)),FALSE)&gt;=5,"Good","Bad"),VLOOKUP(DATE($K$1,$K$2,LII$4),Table1[],(MATCH(Calendar!$A18,DB!$1:$1,0)),FALSE)),"")</f>
        <v/>
      </c>
      <c r="LIJ18" s="28" t="str">
        <f>IFERROR(IF(LIS3="No",IF(VLOOKUP(DATE($K$1,$K$2,LIJ$4),Table1[],(MATCH(Calendar!$A18,DB!$1:$1,0)),FALSE)&gt;=5,"Good","Bad"),VLOOKUP(DATE($K$1,$K$2,LIJ$4),Table1[],(MATCH(Calendar!$A18,DB!$1:$1,0)),FALSE)),"")</f>
        <v/>
      </c>
      <c r="LIK18" s="28" t="str">
        <f>IFERROR(IF(LIT3="No",IF(VLOOKUP(DATE($K$1,$K$2,LIK$4),Table1[],(MATCH(Calendar!$A18,DB!$1:$1,0)),FALSE)&gt;=5,"Good","Bad"),VLOOKUP(DATE($K$1,$K$2,LIK$4),Table1[],(MATCH(Calendar!$A18,DB!$1:$1,0)),FALSE)),"")</f>
        <v/>
      </c>
      <c r="LIL18" s="28" t="str">
        <f>IFERROR(IF(LIU3="No",IF(VLOOKUP(DATE($K$1,$K$2,LIL$4),Table1[],(MATCH(Calendar!$A18,DB!$1:$1,0)),FALSE)&gt;=5,"Good","Bad"),VLOOKUP(DATE($K$1,$K$2,LIL$4),Table1[],(MATCH(Calendar!$A18,DB!$1:$1,0)),FALSE)),"")</f>
        <v/>
      </c>
      <c r="LIM18" s="28" t="str">
        <f>IFERROR(IF(LIV3="No",IF(VLOOKUP(DATE($K$1,$K$2,LIM$4),Table1[],(MATCH(Calendar!$A18,DB!$1:$1,0)),FALSE)&gt;=5,"Good","Bad"),VLOOKUP(DATE($K$1,$K$2,LIM$4),Table1[],(MATCH(Calendar!$A18,DB!$1:$1,0)),FALSE)),"")</f>
        <v/>
      </c>
      <c r="LIN18" s="28" t="str">
        <f>IFERROR(IF(LIW3="No",IF(VLOOKUP(DATE($K$1,$K$2,LIN$4),Table1[],(MATCH(Calendar!$A18,DB!$1:$1,0)),FALSE)&gt;=5,"Good","Bad"),VLOOKUP(DATE($K$1,$K$2,LIN$4),Table1[],(MATCH(Calendar!$A18,DB!$1:$1,0)),FALSE)),"")</f>
        <v/>
      </c>
      <c r="LIO18" s="28" t="str">
        <f>IFERROR(IF(LIX3="No",IF(VLOOKUP(DATE($K$1,$K$2,LIO$4),Table1[],(MATCH(Calendar!$A18,DB!$1:$1,0)),FALSE)&gt;=5,"Good","Bad"),VLOOKUP(DATE($K$1,$K$2,LIO$4),Table1[],(MATCH(Calendar!$A18,DB!$1:$1,0)),FALSE)),"")</f>
        <v/>
      </c>
      <c r="LIP18" s="28" t="str">
        <f>IFERROR(IF(LIY3="No",IF(VLOOKUP(DATE($K$1,$K$2,LIP$4),Table1[],(MATCH(Calendar!$A18,DB!$1:$1,0)),FALSE)&gt;=5,"Good","Bad"),VLOOKUP(DATE($K$1,$K$2,LIP$4),Table1[],(MATCH(Calendar!$A18,DB!$1:$1,0)),FALSE)),"")</f>
        <v/>
      </c>
      <c r="LIQ18" s="28" t="str">
        <f>IFERROR(IF(LIZ3="No",IF(VLOOKUP(DATE($K$1,$K$2,LIQ$4),Table1[],(MATCH(Calendar!$A18,DB!$1:$1,0)),FALSE)&gt;=5,"Good","Bad"),VLOOKUP(DATE($K$1,$K$2,LIQ$4),Table1[],(MATCH(Calendar!$A18,DB!$1:$1,0)),FALSE)),"")</f>
        <v/>
      </c>
      <c r="LIR18" s="28" t="str">
        <f>IFERROR(IF(LJA3="No",IF(VLOOKUP(DATE($K$1,$K$2,LIR$4),Table1[],(MATCH(Calendar!$A18,DB!$1:$1,0)),FALSE)&gt;=5,"Good","Bad"),VLOOKUP(DATE($K$1,$K$2,LIR$4),Table1[],(MATCH(Calendar!$A18,DB!$1:$1,0)),FALSE)),"")</f>
        <v/>
      </c>
      <c r="LIS18" s="28" t="str">
        <f>IFERROR(IF(LJB3="No",IF(VLOOKUP(DATE($K$1,$K$2,LIS$4),Table1[],(MATCH(Calendar!$A18,DB!$1:$1,0)),FALSE)&gt;=5,"Good","Bad"),VLOOKUP(DATE($K$1,$K$2,LIS$4),Table1[],(MATCH(Calendar!$A18,DB!$1:$1,0)),FALSE)),"")</f>
        <v/>
      </c>
      <c r="LIT18" s="28" t="str">
        <f>IFERROR(IF(LJC3="No",IF(VLOOKUP(DATE($K$1,$K$2,LIT$4),Table1[],(MATCH(Calendar!$A18,DB!$1:$1,0)),FALSE)&gt;=5,"Good","Bad"),VLOOKUP(DATE($K$1,$K$2,LIT$4),Table1[],(MATCH(Calendar!$A18,DB!$1:$1,0)),FALSE)),"")</f>
        <v/>
      </c>
      <c r="LIU18" s="28" t="str">
        <f>IFERROR(IF(LJD3="No",IF(VLOOKUP(DATE($K$1,$K$2,LIU$4),Table1[],(MATCH(Calendar!$A18,DB!$1:$1,0)),FALSE)&gt;=5,"Good","Bad"),VLOOKUP(DATE($K$1,$K$2,LIU$4),Table1[],(MATCH(Calendar!$A18,DB!$1:$1,0)),FALSE)),"")</f>
        <v/>
      </c>
      <c r="LIV18" s="28" t="str">
        <f>IFERROR(IF(LJE3="No",IF(VLOOKUP(DATE($K$1,$K$2,LIV$4),Table1[],(MATCH(Calendar!$A18,DB!$1:$1,0)),FALSE)&gt;=5,"Good","Bad"),VLOOKUP(DATE($K$1,$K$2,LIV$4),Table1[],(MATCH(Calendar!$A18,DB!$1:$1,0)),FALSE)),"")</f>
        <v/>
      </c>
      <c r="LIW18" s="28" t="str">
        <f>IFERROR(IF(LJF3="No",IF(VLOOKUP(DATE($K$1,$K$2,LIW$4),Table1[],(MATCH(Calendar!$A18,DB!$1:$1,0)),FALSE)&gt;=5,"Good","Bad"),VLOOKUP(DATE($K$1,$K$2,LIW$4),Table1[],(MATCH(Calendar!$A18,DB!$1:$1,0)),FALSE)),"")</f>
        <v/>
      </c>
      <c r="LIX18" s="28" t="str">
        <f>IFERROR(IF(LJG3="No",IF(VLOOKUP(DATE($K$1,$K$2,LIX$4),Table1[],(MATCH(Calendar!$A18,DB!$1:$1,0)),FALSE)&gt;=5,"Good","Bad"),VLOOKUP(DATE($K$1,$K$2,LIX$4),Table1[],(MATCH(Calendar!$A18,DB!$1:$1,0)),FALSE)),"")</f>
        <v/>
      </c>
      <c r="LIY18" s="28" t="str">
        <f>IFERROR(IF(LJH3="No",IF(VLOOKUP(DATE($K$1,$K$2,LIY$4),Table1[],(MATCH(Calendar!$A18,DB!$1:$1,0)),FALSE)&gt;=5,"Good","Bad"),VLOOKUP(DATE($K$1,$K$2,LIY$4),Table1[],(MATCH(Calendar!$A18,DB!$1:$1,0)),FALSE)),"")</f>
        <v/>
      </c>
      <c r="LIZ18" s="28" t="str">
        <f>IFERROR(IF(LJI3="No",IF(VLOOKUP(DATE($K$1,$K$2,LIZ$4),Table1[],(MATCH(Calendar!$A18,DB!$1:$1,0)),FALSE)&gt;=5,"Good","Bad"),VLOOKUP(DATE($K$1,$K$2,LIZ$4),Table1[],(MATCH(Calendar!$A18,DB!$1:$1,0)),FALSE)),"")</f>
        <v/>
      </c>
      <c r="LJA18" s="28" t="str">
        <f>IFERROR(IF(LJJ3="No",IF(VLOOKUP(DATE($K$1,$K$2,LJA$4),Table1[],(MATCH(Calendar!$A18,DB!$1:$1,0)),FALSE)&gt;=5,"Good","Bad"),VLOOKUP(DATE($K$1,$K$2,LJA$4),Table1[],(MATCH(Calendar!$A18,DB!$1:$1,0)),FALSE)),"")</f>
        <v/>
      </c>
      <c r="LJB18" s="28" t="str">
        <f>IFERROR(IF(LJK3="No",IF(VLOOKUP(DATE($K$1,$K$2,LJB$4),Table1[],(MATCH(Calendar!$A18,DB!$1:$1,0)),FALSE)&gt;=5,"Good","Bad"),VLOOKUP(DATE($K$1,$K$2,LJB$4),Table1[],(MATCH(Calendar!$A18,DB!$1:$1,0)),FALSE)),"")</f>
        <v/>
      </c>
      <c r="LJC18" s="28" t="str">
        <f>IFERROR(IF(LJL3="No",IF(VLOOKUP(DATE($K$1,$K$2,LJC$4),Table1[],(MATCH(Calendar!$A18,DB!$1:$1,0)),FALSE)&gt;=5,"Good","Bad"),VLOOKUP(DATE($K$1,$K$2,LJC$4),Table1[],(MATCH(Calendar!$A18,DB!$1:$1,0)),FALSE)),"")</f>
        <v/>
      </c>
      <c r="LJD18" s="28" t="str">
        <f>IFERROR(IF(LJM3="No",IF(VLOOKUP(DATE($K$1,$K$2,LJD$4),Table1[],(MATCH(Calendar!$A18,DB!$1:$1,0)),FALSE)&gt;=5,"Good","Bad"),VLOOKUP(DATE($K$1,$K$2,LJD$4),Table1[],(MATCH(Calendar!$A18,DB!$1:$1,0)),FALSE)),"")</f>
        <v/>
      </c>
      <c r="LJE18" s="28" t="str">
        <f>IFERROR(IF(LJN3="No",IF(VLOOKUP(DATE($K$1,$K$2,LJE$4),Table1[],(MATCH(Calendar!$A18,DB!$1:$1,0)),FALSE)&gt;=5,"Good","Bad"),VLOOKUP(DATE($K$1,$K$2,LJE$4),Table1[],(MATCH(Calendar!$A18,DB!$1:$1,0)),FALSE)),"")</f>
        <v/>
      </c>
      <c r="LJF18" s="28" t="str">
        <f>IFERROR(IF(LJO3="No",IF(VLOOKUP(DATE($K$1,$K$2,LJF$4),Table1[],(MATCH(Calendar!$A18,DB!$1:$1,0)),FALSE)&gt;=5,"Good","Bad"),VLOOKUP(DATE($K$1,$K$2,LJF$4),Table1[],(MATCH(Calendar!$A18,DB!$1:$1,0)),FALSE)),"")</f>
        <v/>
      </c>
      <c r="LJG18" s="28" t="str">
        <f>IFERROR(IF(LJP3="No",IF(VLOOKUP(DATE($K$1,$K$2,LJG$4),Table1[],(MATCH(Calendar!$A18,DB!$1:$1,0)),FALSE)&gt;=5,"Good","Bad"),VLOOKUP(DATE($K$1,$K$2,LJG$4),Table1[],(MATCH(Calendar!$A18,DB!$1:$1,0)),FALSE)),"")</f>
        <v/>
      </c>
      <c r="LJH18" s="28" t="str">
        <f>IFERROR(IF(LJQ3="No",IF(VLOOKUP(DATE($K$1,$K$2,LJH$4),Table1[],(MATCH(Calendar!$A18,DB!$1:$1,0)),FALSE)&gt;=5,"Good","Bad"),VLOOKUP(DATE($K$1,$K$2,LJH$4),Table1[],(MATCH(Calendar!$A18,DB!$1:$1,0)),FALSE)),"")</f>
        <v/>
      </c>
      <c r="LJI18" s="28" t="str">
        <f>IFERROR(IF(LJR3="No",IF(VLOOKUP(DATE($K$1,$K$2,LJI$4),Table1[],(MATCH(Calendar!$A18,DB!$1:$1,0)),FALSE)&gt;=5,"Good","Bad"),VLOOKUP(DATE($K$1,$K$2,LJI$4),Table1[],(MATCH(Calendar!$A18,DB!$1:$1,0)),FALSE)),"")</f>
        <v/>
      </c>
      <c r="LJJ18" s="28" t="str">
        <f>IFERROR(IF(LJS3="No",IF(VLOOKUP(DATE($K$1,$K$2,LJJ$4),Table1[],(MATCH(Calendar!$A18,DB!$1:$1,0)),FALSE)&gt;=5,"Good","Bad"),VLOOKUP(DATE($K$1,$K$2,LJJ$4),Table1[],(MATCH(Calendar!$A18,DB!$1:$1,0)),FALSE)),"")</f>
        <v/>
      </c>
      <c r="LJK18" s="28" t="str">
        <f>IFERROR(IF(LJT3="No",IF(VLOOKUP(DATE($K$1,$K$2,LJK$4),Table1[],(MATCH(Calendar!$A18,DB!$1:$1,0)),FALSE)&gt;=5,"Good","Bad"),VLOOKUP(DATE($K$1,$K$2,LJK$4),Table1[],(MATCH(Calendar!$A18,DB!$1:$1,0)),FALSE)),"")</f>
        <v/>
      </c>
      <c r="LJL18" s="28" t="str">
        <f>IFERROR(IF(LJU3="No",IF(VLOOKUP(DATE($K$1,$K$2,LJL$4),Table1[],(MATCH(Calendar!$A18,DB!$1:$1,0)),FALSE)&gt;=5,"Good","Bad"),VLOOKUP(DATE($K$1,$K$2,LJL$4),Table1[],(MATCH(Calendar!$A18,DB!$1:$1,0)),FALSE)),"")</f>
        <v/>
      </c>
      <c r="LJM18" s="28" t="str">
        <f>IFERROR(IF(LJV3="No",IF(VLOOKUP(DATE($K$1,$K$2,LJM$4),Table1[],(MATCH(Calendar!$A18,DB!$1:$1,0)),FALSE)&gt;=5,"Good","Bad"),VLOOKUP(DATE($K$1,$K$2,LJM$4),Table1[],(MATCH(Calendar!$A18,DB!$1:$1,0)),FALSE)),"")</f>
        <v/>
      </c>
      <c r="LJN18" s="28" t="str">
        <f>IFERROR(IF(LJW3="No",IF(VLOOKUP(DATE($K$1,$K$2,LJN$4),Table1[],(MATCH(Calendar!$A18,DB!$1:$1,0)),FALSE)&gt;=5,"Good","Bad"),VLOOKUP(DATE($K$1,$K$2,LJN$4),Table1[],(MATCH(Calendar!$A18,DB!$1:$1,0)),FALSE)),"")</f>
        <v/>
      </c>
      <c r="LJO18" s="28" t="str">
        <f>IFERROR(IF(LJX3="No",IF(VLOOKUP(DATE($K$1,$K$2,LJO$4),Table1[],(MATCH(Calendar!$A18,DB!$1:$1,0)),FALSE)&gt;=5,"Good","Bad"),VLOOKUP(DATE($K$1,$K$2,LJO$4),Table1[],(MATCH(Calendar!$A18,DB!$1:$1,0)),FALSE)),"")</f>
        <v/>
      </c>
      <c r="LJP18" s="28" t="str">
        <f>IFERROR(IF(LJY3="No",IF(VLOOKUP(DATE($K$1,$K$2,LJP$4),Table1[],(MATCH(Calendar!$A18,DB!$1:$1,0)),FALSE)&gt;=5,"Good","Bad"),VLOOKUP(DATE($K$1,$K$2,LJP$4),Table1[],(MATCH(Calendar!$A18,DB!$1:$1,0)),FALSE)),"")</f>
        <v/>
      </c>
      <c r="LJQ18" s="28" t="str">
        <f>IFERROR(IF(LJZ3="No",IF(VLOOKUP(DATE($K$1,$K$2,LJQ$4),Table1[],(MATCH(Calendar!$A18,DB!$1:$1,0)),FALSE)&gt;=5,"Good","Bad"),VLOOKUP(DATE($K$1,$K$2,LJQ$4),Table1[],(MATCH(Calendar!$A18,DB!$1:$1,0)),FALSE)),"")</f>
        <v/>
      </c>
      <c r="LJR18" s="28" t="str">
        <f>IFERROR(IF(LKA3="No",IF(VLOOKUP(DATE($K$1,$K$2,LJR$4),Table1[],(MATCH(Calendar!$A18,DB!$1:$1,0)),FALSE)&gt;=5,"Good","Bad"),VLOOKUP(DATE($K$1,$K$2,LJR$4),Table1[],(MATCH(Calendar!$A18,DB!$1:$1,0)),FALSE)),"")</f>
        <v/>
      </c>
      <c r="LJS18" s="28" t="str">
        <f>IFERROR(IF(LKB3="No",IF(VLOOKUP(DATE($K$1,$K$2,LJS$4),Table1[],(MATCH(Calendar!$A18,DB!$1:$1,0)),FALSE)&gt;=5,"Good","Bad"),VLOOKUP(DATE($K$1,$K$2,LJS$4),Table1[],(MATCH(Calendar!$A18,DB!$1:$1,0)),FALSE)),"")</f>
        <v/>
      </c>
      <c r="LJT18" s="28" t="str">
        <f>IFERROR(IF(LKC3="No",IF(VLOOKUP(DATE($K$1,$K$2,LJT$4),Table1[],(MATCH(Calendar!$A18,DB!$1:$1,0)),FALSE)&gt;=5,"Good","Bad"),VLOOKUP(DATE($K$1,$K$2,LJT$4),Table1[],(MATCH(Calendar!$A18,DB!$1:$1,0)),FALSE)),"")</f>
        <v/>
      </c>
      <c r="LJU18" s="28" t="str">
        <f>IFERROR(IF(LKD3="No",IF(VLOOKUP(DATE($K$1,$K$2,LJU$4),Table1[],(MATCH(Calendar!$A18,DB!$1:$1,0)),FALSE)&gt;=5,"Good","Bad"),VLOOKUP(DATE($K$1,$K$2,LJU$4),Table1[],(MATCH(Calendar!$A18,DB!$1:$1,0)),FALSE)),"")</f>
        <v/>
      </c>
      <c r="LJV18" s="28" t="str">
        <f>IFERROR(IF(LKE3="No",IF(VLOOKUP(DATE($K$1,$K$2,LJV$4),Table1[],(MATCH(Calendar!$A18,DB!$1:$1,0)),FALSE)&gt;=5,"Good","Bad"),VLOOKUP(DATE($K$1,$K$2,LJV$4),Table1[],(MATCH(Calendar!$A18,DB!$1:$1,0)),FALSE)),"")</f>
        <v/>
      </c>
      <c r="LJW18" s="28" t="str">
        <f>IFERROR(IF(LKF3="No",IF(VLOOKUP(DATE($K$1,$K$2,LJW$4),Table1[],(MATCH(Calendar!$A18,DB!$1:$1,0)),FALSE)&gt;=5,"Good","Bad"),VLOOKUP(DATE($K$1,$K$2,LJW$4),Table1[],(MATCH(Calendar!$A18,DB!$1:$1,0)),FALSE)),"")</f>
        <v/>
      </c>
      <c r="LJX18" s="28" t="str">
        <f>IFERROR(IF(LKG3="No",IF(VLOOKUP(DATE($K$1,$K$2,LJX$4),Table1[],(MATCH(Calendar!$A18,DB!$1:$1,0)),FALSE)&gt;=5,"Good","Bad"),VLOOKUP(DATE($K$1,$K$2,LJX$4),Table1[],(MATCH(Calendar!$A18,DB!$1:$1,0)),FALSE)),"")</f>
        <v/>
      </c>
      <c r="LJY18" s="28" t="str">
        <f>IFERROR(IF(LKH3="No",IF(VLOOKUP(DATE($K$1,$K$2,LJY$4),Table1[],(MATCH(Calendar!$A18,DB!$1:$1,0)),FALSE)&gt;=5,"Good","Bad"),VLOOKUP(DATE($K$1,$K$2,LJY$4),Table1[],(MATCH(Calendar!$A18,DB!$1:$1,0)),FALSE)),"")</f>
        <v/>
      </c>
      <c r="LJZ18" s="28" t="str">
        <f>IFERROR(IF(LKI3="No",IF(VLOOKUP(DATE($K$1,$K$2,LJZ$4),Table1[],(MATCH(Calendar!$A18,DB!$1:$1,0)),FALSE)&gt;=5,"Good","Bad"),VLOOKUP(DATE($K$1,$K$2,LJZ$4),Table1[],(MATCH(Calendar!$A18,DB!$1:$1,0)),FALSE)),"")</f>
        <v/>
      </c>
      <c r="LKA18" s="28" t="str">
        <f>IFERROR(IF(LKJ3="No",IF(VLOOKUP(DATE($K$1,$K$2,LKA$4),Table1[],(MATCH(Calendar!$A18,DB!$1:$1,0)),FALSE)&gt;=5,"Good","Bad"),VLOOKUP(DATE($K$1,$K$2,LKA$4),Table1[],(MATCH(Calendar!$A18,DB!$1:$1,0)),FALSE)),"")</f>
        <v/>
      </c>
      <c r="LKB18" s="28" t="str">
        <f>IFERROR(IF(LKK3="No",IF(VLOOKUP(DATE($K$1,$K$2,LKB$4),Table1[],(MATCH(Calendar!$A18,DB!$1:$1,0)),FALSE)&gt;=5,"Good","Bad"),VLOOKUP(DATE($K$1,$K$2,LKB$4),Table1[],(MATCH(Calendar!$A18,DB!$1:$1,0)),FALSE)),"")</f>
        <v/>
      </c>
      <c r="LKC18" s="28" t="str">
        <f>IFERROR(IF(LKL3="No",IF(VLOOKUP(DATE($K$1,$K$2,LKC$4),Table1[],(MATCH(Calendar!$A18,DB!$1:$1,0)),FALSE)&gt;=5,"Good","Bad"),VLOOKUP(DATE($K$1,$K$2,LKC$4),Table1[],(MATCH(Calendar!$A18,DB!$1:$1,0)),FALSE)),"")</f>
        <v/>
      </c>
      <c r="LKD18" s="28" t="str">
        <f>IFERROR(IF(LKM3="No",IF(VLOOKUP(DATE($K$1,$K$2,LKD$4),Table1[],(MATCH(Calendar!$A18,DB!$1:$1,0)),FALSE)&gt;=5,"Good","Bad"),VLOOKUP(DATE($K$1,$K$2,LKD$4),Table1[],(MATCH(Calendar!$A18,DB!$1:$1,0)),FALSE)),"")</f>
        <v/>
      </c>
      <c r="LKE18" s="28" t="str">
        <f>IFERROR(IF(LKN3="No",IF(VLOOKUP(DATE($K$1,$K$2,LKE$4),Table1[],(MATCH(Calendar!$A18,DB!$1:$1,0)),FALSE)&gt;=5,"Good","Bad"),VLOOKUP(DATE($K$1,$K$2,LKE$4),Table1[],(MATCH(Calendar!$A18,DB!$1:$1,0)),FALSE)),"")</f>
        <v/>
      </c>
      <c r="LKF18" s="28" t="str">
        <f>IFERROR(IF(LKO3="No",IF(VLOOKUP(DATE($K$1,$K$2,LKF$4),Table1[],(MATCH(Calendar!$A18,DB!$1:$1,0)),FALSE)&gt;=5,"Good","Bad"),VLOOKUP(DATE($K$1,$K$2,LKF$4),Table1[],(MATCH(Calendar!$A18,DB!$1:$1,0)),FALSE)),"")</f>
        <v/>
      </c>
      <c r="LKG18" s="28" t="str">
        <f>IFERROR(IF(LKP3="No",IF(VLOOKUP(DATE($K$1,$K$2,LKG$4),Table1[],(MATCH(Calendar!$A18,DB!$1:$1,0)),FALSE)&gt;=5,"Good","Bad"),VLOOKUP(DATE($K$1,$K$2,LKG$4),Table1[],(MATCH(Calendar!$A18,DB!$1:$1,0)),FALSE)),"")</f>
        <v/>
      </c>
      <c r="LKH18" s="28" t="str">
        <f>IFERROR(IF(LKQ3="No",IF(VLOOKUP(DATE($K$1,$K$2,LKH$4),Table1[],(MATCH(Calendar!$A18,DB!$1:$1,0)),FALSE)&gt;=5,"Good","Bad"),VLOOKUP(DATE($K$1,$K$2,LKH$4),Table1[],(MATCH(Calendar!$A18,DB!$1:$1,0)),FALSE)),"")</f>
        <v/>
      </c>
      <c r="LKI18" s="28" t="str">
        <f>IFERROR(IF(LKR3="No",IF(VLOOKUP(DATE($K$1,$K$2,LKI$4),Table1[],(MATCH(Calendar!$A18,DB!$1:$1,0)),FALSE)&gt;=5,"Good","Bad"),VLOOKUP(DATE($K$1,$K$2,LKI$4),Table1[],(MATCH(Calendar!$A18,DB!$1:$1,0)),FALSE)),"")</f>
        <v/>
      </c>
      <c r="LKJ18" s="28" t="str">
        <f>IFERROR(IF(LKS3="No",IF(VLOOKUP(DATE($K$1,$K$2,LKJ$4),Table1[],(MATCH(Calendar!$A18,DB!$1:$1,0)),FALSE)&gt;=5,"Good","Bad"),VLOOKUP(DATE($K$1,$K$2,LKJ$4),Table1[],(MATCH(Calendar!$A18,DB!$1:$1,0)),FALSE)),"")</f>
        <v/>
      </c>
      <c r="LKK18" s="28" t="str">
        <f>IFERROR(IF(LKT3="No",IF(VLOOKUP(DATE($K$1,$K$2,LKK$4),Table1[],(MATCH(Calendar!$A18,DB!$1:$1,0)),FALSE)&gt;=5,"Good","Bad"),VLOOKUP(DATE($K$1,$K$2,LKK$4),Table1[],(MATCH(Calendar!$A18,DB!$1:$1,0)),FALSE)),"")</f>
        <v/>
      </c>
      <c r="LKL18" s="28" t="str">
        <f>IFERROR(IF(LKU3="No",IF(VLOOKUP(DATE($K$1,$K$2,LKL$4),Table1[],(MATCH(Calendar!$A18,DB!$1:$1,0)),FALSE)&gt;=5,"Good","Bad"),VLOOKUP(DATE($K$1,$K$2,LKL$4),Table1[],(MATCH(Calendar!$A18,DB!$1:$1,0)),FALSE)),"")</f>
        <v/>
      </c>
      <c r="LKM18" s="28" t="str">
        <f>IFERROR(IF(LKV3="No",IF(VLOOKUP(DATE($K$1,$K$2,LKM$4),Table1[],(MATCH(Calendar!$A18,DB!$1:$1,0)),FALSE)&gt;=5,"Good","Bad"),VLOOKUP(DATE($K$1,$K$2,LKM$4),Table1[],(MATCH(Calendar!$A18,DB!$1:$1,0)),FALSE)),"")</f>
        <v/>
      </c>
      <c r="LKN18" s="28" t="str">
        <f>IFERROR(IF(LKW3="No",IF(VLOOKUP(DATE($K$1,$K$2,LKN$4),Table1[],(MATCH(Calendar!$A18,DB!$1:$1,0)),FALSE)&gt;=5,"Good","Bad"),VLOOKUP(DATE($K$1,$K$2,LKN$4),Table1[],(MATCH(Calendar!$A18,DB!$1:$1,0)),FALSE)),"")</f>
        <v/>
      </c>
      <c r="LKO18" s="28" t="str">
        <f>IFERROR(IF(LKX3="No",IF(VLOOKUP(DATE($K$1,$K$2,LKO$4),Table1[],(MATCH(Calendar!$A18,DB!$1:$1,0)),FALSE)&gt;=5,"Good","Bad"),VLOOKUP(DATE($K$1,$K$2,LKO$4),Table1[],(MATCH(Calendar!$A18,DB!$1:$1,0)),FALSE)),"")</f>
        <v/>
      </c>
      <c r="LKP18" s="28" t="str">
        <f>IFERROR(IF(LKY3="No",IF(VLOOKUP(DATE($K$1,$K$2,LKP$4),Table1[],(MATCH(Calendar!$A18,DB!$1:$1,0)),FALSE)&gt;=5,"Good","Bad"),VLOOKUP(DATE($K$1,$K$2,LKP$4),Table1[],(MATCH(Calendar!$A18,DB!$1:$1,0)),FALSE)),"")</f>
        <v/>
      </c>
      <c r="LKQ18" s="28" t="str">
        <f>IFERROR(IF(LKZ3="No",IF(VLOOKUP(DATE($K$1,$K$2,LKQ$4),Table1[],(MATCH(Calendar!$A18,DB!$1:$1,0)),FALSE)&gt;=5,"Good","Bad"),VLOOKUP(DATE($K$1,$K$2,LKQ$4),Table1[],(MATCH(Calendar!$A18,DB!$1:$1,0)),FALSE)),"")</f>
        <v/>
      </c>
      <c r="LKR18" s="28" t="str">
        <f>IFERROR(IF(LLA3="No",IF(VLOOKUP(DATE($K$1,$K$2,LKR$4),Table1[],(MATCH(Calendar!$A18,DB!$1:$1,0)),FALSE)&gt;=5,"Good","Bad"),VLOOKUP(DATE($K$1,$K$2,LKR$4),Table1[],(MATCH(Calendar!$A18,DB!$1:$1,0)),FALSE)),"")</f>
        <v/>
      </c>
      <c r="LKS18" s="28" t="str">
        <f>IFERROR(IF(LLB3="No",IF(VLOOKUP(DATE($K$1,$K$2,LKS$4),Table1[],(MATCH(Calendar!$A18,DB!$1:$1,0)),FALSE)&gt;=5,"Good","Bad"),VLOOKUP(DATE($K$1,$K$2,LKS$4),Table1[],(MATCH(Calendar!$A18,DB!$1:$1,0)),FALSE)),"")</f>
        <v/>
      </c>
      <c r="LKT18" s="28" t="str">
        <f>IFERROR(IF(LLC3="No",IF(VLOOKUP(DATE($K$1,$K$2,LKT$4),Table1[],(MATCH(Calendar!$A18,DB!$1:$1,0)),FALSE)&gt;=5,"Good","Bad"),VLOOKUP(DATE($K$1,$K$2,LKT$4),Table1[],(MATCH(Calendar!$A18,DB!$1:$1,0)),FALSE)),"")</f>
        <v/>
      </c>
      <c r="LKU18" s="28" t="str">
        <f>IFERROR(IF(LLD3="No",IF(VLOOKUP(DATE($K$1,$K$2,LKU$4),Table1[],(MATCH(Calendar!$A18,DB!$1:$1,0)),FALSE)&gt;=5,"Good","Bad"),VLOOKUP(DATE($K$1,$K$2,LKU$4),Table1[],(MATCH(Calendar!$A18,DB!$1:$1,0)),FALSE)),"")</f>
        <v/>
      </c>
      <c r="LKV18" s="28" t="str">
        <f>IFERROR(IF(LLE3="No",IF(VLOOKUP(DATE($K$1,$K$2,LKV$4),Table1[],(MATCH(Calendar!$A18,DB!$1:$1,0)),FALSE)&gt;=5,"Good","Bad"),VLOOKUP(DATE($K$1,$K$2,LKV$4),Table1[],(MATCH(Calendar!$A18,DB!$1:$1,0)),FALSE)),"")</f>
        <v/>
      </c>
      <c r="LKW18" s="28" t="str">
        <f>IFERROR(IF(LLF3="No",IF(VLOOKUP(DATE($K$1,$K$2,LKW$4),Table1[],(MATCH(Calendar!$A18,DB!$1:$1,0)),FALSE)&gt;=5,"Good","Bad"),VLOOKUP(DATE($K$1,$K$2,LKW$4),Table1[],(MATCH(Calendar!$A18,DB!$1:$1,0)),FALSE)),"")</f>
        <v/>
      </c>
      <c r="LKX18" s="28" t="str">
        <f>IFERROR(IF(LLG3="No",IF(VLOOKUP(DATE($K$1,$K$2,LKX$4),Table1[],(MATCH(Calendar!$A18,DB!$1:$1,0)),FALSE)&gt;=5,"Good","Bad"),VLOOKUP(DATE($K$1,$K$2,LKX$4),Table1[],(MATCH(Calendar!$A18,DB!$1:$1,0)),FALSE)),"")</f>
        <v/>
      </c>
      <c r="LKY18" s="28" t="str">
        <f>IFERROR(IF(LLH3="No",IF(VLOOKUP(DATE($K$1,$K$2,LKY$4),Table1[],(MATCH(Calendar!$A18,DB!$1:$1,0)),FALSE)&gt;=5,"Good","Bad"),VLOOKUP(DATE($K$1,$K$2,LKY$4),Table1[],(MATCH(Calendar!$A18,DB!$1:$1,0)),FALSE)),"")</f>
        <v/>
      </c>
      <c r="LKZ18" s="28" t="str">
        <f>IFERROR(IF(LLI3="No",IF(VLOOKUP(DATE($K$1,$K$2,LKZ$4),Table1[],(MATCH(Calendar!$A18,DB!$1:$1,0)),FALSE)&gt;=5,"Good","Bad"),VLOOKUP(DATE($K$1,$K$2,LKZ$4),Table1[],(MATCH(Calendar!$A18,DB!$1:$1,0)),FALSE)),"")</f>
        <v/>
      </c>
      <c r="LLA18" s="28" t="str">
        <f>IFERROR(IF(LLJ3="No",IF(VLOOKUP(DATE($K$1,$K$2,LLA$4),Table1[],(MATCH(Calendar!$A18,DB!$1:$1,0)),FALSE)&gt;=5,"Good","Bad"),VLOOKUP(DATE($K$1,$K$2,LLA$4),Table1[],(MATCH(Calendar!$A18,DB!$1:$1,0)),FALSE)),"")</f>
        <v/>
      </c>
      <c r="LLB18" s="28" t="str">
        <f>IFERROR(IF(LLK3="No",IF(VLOOKUP(DATE($K$1,$K$2,LLB$4),Table1[],(MATCH(Calendar!$A18,DB!$1:$1,0)),FALSE)&gt;=5,"Good","Bad"),VLOOKUP(DATE($K$1,$K$2,LLB$4),Table1[],(MATCH(Calendar!$A18,DB!$1:$1,0)),FALSE)),"")</f>
        <v/>
      </c>
      <c r="LLC18" s="28" t="str">
        <f>IFERROR(IF(LLL3="No",IF(VLOOKUP(DATE($K$1,$K$2,LLC$4),Table1[],(MATCH(Calendar!$A18,DB!$1:$1,0)),FALSE)&gt;=5,"Good","Bad"),VLOOKUP(DATE($K$1,$K$2,LLC$4),Table1[],(MATCH(Calendar!$A18,DB!$1:$1,0)),FALSE)),"")</f>
        <v/>
      </c>
      <c r="LLD18" s="28" t="str">
        <f>IFERROR(IF(LLM3="No",IF(VLOOKUP(DATE($K$1,$K$2,LLD$4),Table1[],(MATCH(Calendar!$A18,DB!$1:$1,0)),FALSE)&gt;=5,"Good","Bad"),VLOOKUP(DATE($K$1,$K$2,LLD$4),Table1[],(MATCH(Calendar!$A18,DB!$1:$1,0)),FALSE)),"")</f>
        <v/>
      </c>
      <c r="LLE18" s="28" t="str">
        <f>IFERROR(IF(LLN3="No",IF(VLOOKUP(DATE($K$1,$K$2,LLE$4),Table1[],(MATCH(Calendar!$A18,DB!$1:$1,0)),FALSE)&gt;=5,"Good","Bad"),VLOOKUP(DATE($K$1,$K$2,LLE$4),Table1[],(MATCH(Calendar!$A18,DB!$1:$1,0)),FALSE)),"")</f>
        <v/>
      </c>
      <c r="LLF18" s="28" t="str">
        <f>IFERROR(IF(LLO3="No",IF(VLOOKUP(DATE($K$1,$K$2,LLF$4),Table1[],(MATCH(Calendar!$A18,DB!$1:$1,0)),FALSE)&gt;=5,"Good","Bad"),VLOOKUP(DATE($K$1,$K$2,LLF$4),Table1[],(MATCH(Calendar!$A18,DB!$1:$1,0)),FALSE)),"")</f>
        <v/>
      </c>
      <c r="LLG18" s="28" t="str">
        <f>IFERROR(IF(LLP3="No",IF(VLOOKUP(DATE($K$1,$K$2,LLG$4),Table1[],(MATCH(Calendar!$A18,DB!$1:$1,0)),FALSE)&gt;=5,"Good","Bad"),VLOOKUP(DATE($K$1,$K$2,LLG$4),Table1[],(MATCH(Calendar!$A18,DB!$1:$1,0)),FALSE)),"")</f>
        <v/>
      </c>
      <c r="LLH18" s="28" t="str">
        <f>IFERROR(IF(LLQ3="No",IF(VLOOKUP(DATE($K$1,$K$2,LLH$4),Table1[],(MATCH(Calendar!$A18,DB!$1:$1,0)),FALSE)&gt;=5,"Good","Bad"),VLOOKUP(DATE($K$1,$K$2,LLH$4),Table1[],(MATCH(Calendar!$A18,DB!$1:$1,0)),FALSE)),"")</f>
        <v/>
      </c>
      <c r="LLI18" s="28" t="str">
        <f>IFERROR(IF(LLR3="No",IF(VLOOKUP(DATE($K$1,$K$2,LLI$4),Table1[],(MATCH(Calendar!$A18,DB!$1:$1,0)),FALSE)&gt;=5,"Good","Bad"),VLOOKUP(DATE($K$1,$K$2,LLI$4),Table1[],(MATCH(Calendar!$A18,DB!$1:$1,0)),FALSE)),"")</f>
        <v/>
      </c>
      <c r="LLJ18" s="28" t="str">
        <f>IFERROR(IF(LLS3="No",IF(VLOOKUP(DATE($K$1,$K$2,LLJ$4),Table1[],(MATCH(Calendar!$A18,DB!$1:$1,0)),FALSE)&gt;=5,"Good","Bad"),VLOOKUP(DATE($K$1,$K$2,LLJ$4),Table1[],(MATCH(Calendar!$A18,DB!$1:$1,0)),FALSE)),"")</f>
        <v/>
      </c>
      <c r="LLK18" s="28" t="str">
        <f>IFERROR(IF(LLT3="No",IF(VLOOKUP(DATE($K$1,$K$2,LLK$4),Table1[],(MATCH(Calendar!$A18,DB!$1:$1,0)),FALSE)&gt;=5,"Good","Bad"),VLOOKUP(DATE($K$1,$K$2,LLK$4),Table1[],(MATCH(Calendar!$A18,DB!$1:$1,0)),FALSE)),"")</f>
        <v/>
      </c>
      <c r="LLL18" s="28" t="str">
        <f>IFERROR(IF(LLU3="No",IF(VLOOKUP(DATE($K$1,$K$2,LLL$4),Table1[],(MATCH(Calendar!$A18,DB!$1:$1,0)),FALSE)&gt;=5,"Good","Bad"),VLOOKUP(DATE($K$1,$K$2,LLL$4),Table1[],(MATCH(Calendar!$A18,DB!$1:$1,0)),FALSE)),"")</f>
        <v/>
      </c>
      <c r="LLM18" s="28" t="str">
        <f>IFERROR(IF(LLV3="No",IF(VLOOKUP(DATE($K$1,$K$2,LLM$4),Table1[],(MATCH(Calendar!$A18,DB!$1:$1,0)),FALSE)&gt;=5,"Good","Bad"),VLOOKUP(DATE($K$1,$K$2,LLM$4),Table1[],(MATCH(Calendar!$A18,DB!$1:$1,0)),FALSE)),"")</f>
        <v/>
      </c>
      <c r="LLN18" s="28" t="str">
        <f>IFERROR(IF(LLW3="No",IF(VLOOKUP(DATE($K$1,$K$2,LLN$4),Table1[],(MATCH(Calendar!$A18,DB!$1:$1,0)),FALSE)&gt;=5,"Good","Bad"),VLOOKUP(DATE($K$1,$K$2,LLN$4),Table1[],(MATCH(Calendar!$A18,DB!$1:$1,0)),FALSE)),"")</f>
        <v/>
      </c>
      <c r="LLO18" s="28" t="str">
        <f>IFERROR(IF(LLX3="No",IF(VLOOKUP(DATE($K$1,$K$2,LLO$4),Table1[],(MATCH(Calendar!$A18,DB!$1:$1,0)),FALSE)&gt;=5,"Good","Bad"),VLOOKUP(DATE($K$1,$K$2,LLO$4),Table1[],(MATCH(Calendar!$A18,DB!$1:$1,0)),FALSE)),"")</f>
        <v/>
      </c>
      <c r="LLP18" s="28" t="str">
        <f>IFERROR(IF(LLY3="No",IF(VLOOKUP(DATE($K$1,$K$2,LLP$4),Table1[],(MATCH(Calendar!$A18,DB!$1:$1,0)),FALSE)&gt;=5,"Good","Bad"),VLOOKUP(DATE($K$1,$K$2,LLP$4),Table1[],(MATCH(Calendar!$A18,DB!$1:$1,0)),FALSE)),"")</f>
        <v/>
      </c>
      <c r="LLQ18" s="28" t="str">
        <f>IFERROR(IF(LLZ3="No",IF(VLOOKUP(DATE($K$1,$K$2,LLQ$4),Table1[],(MATCH(Calendar!$A18,DB!$1:$1,0)),FALSE)&gt;=5,"Good","Bad"),VLOOKUP(DATE($K$1,$K$2,LLQ$4),Table1[],(MATCH(Calendar!$A18,DB!$1:$1,0)),FALSE)),"")</f>
        <v/>
      </c>
      <c r="LLR18" s="28" t="str">
        <f>IFERROR(IF(LMA3="No",IF(VLOOKUP(DATE($K$1,$K$2,LLR$4),Table1[],(MATCH(Calendar!$A18,DB!$1:$1,0)),FALSE)&gt;=5,"Good","Bad"),VLOOKUP(DATE($K$1,$K$2,LLR$4),Table1[],(MATCH(Calendar!$A18,DB!$1:$1,0)),FALSE)),"")</f>
        <v/>
      </c>
      <c r="LLS18" s="28" t="str">
        <f>IFERROR(IF(LMB3="No",IF(VLOOKUP(DATE($K$1,$K$2,LLS$4),Table1[],(MATCH(Calendar!$A18,DB!$1:$1,0)),FALSE)&gt;=5,"Good","Bad"),VLOOKUP(DATE($K$1,$K$2,LLS$4),Table1[],(MATCH(Calendar!$A18,DB!$1:$1,0)),FALSE)),"")</f>
        <v/>
      </c>
      <c r="LLT18" s="28" t="str">
        <f>IFERROR(IF(LMC3="No",IF(VLOOKUP(DATE($K$1,$K$2,LLT$4),Table1[],(MATCH(Calendar!$A18,DB!$1:$1,0)),FALSE)&gt;=5,"Good","Bad"),VLOOKUP(DATE($K$1,$K$2,LLT$4),Table1[],(MATCH(Calendar!$A18,DB!$1:$1,0)),FALSE)),"")</f>
        <v/>
      </c>
      <c r="LLU18" s="28" t="str">
        <f>IFERROR(IF(LMD3="No",IF(VLOOKUP(DATE($K$1,$K$2,LLU$4),Table1[],(MATCH(Calendar!$A18,DB!$1:$1,0)),FALSE)&gt;=5,"Good","Bad"),VLOOKUP(DATE($K$1,$K$2,LLU$4),Table1[],(MATCH(Calendar!$A18,DB!$1:$1,0)),FALSE)),"")</f>
        <v/>
      </c>
      <c r="LLV18" s="28" t="str">
        <f>IFERROR(IF(LME3="No",IF(VLOOKUP(DATE($K$1,$K$2,LLV$4),Table1[],(MATCH(Calendar!$A18,DB!$1:$1,0)),FALSE)&gt;=5,"Good","Bad"),VLOOKUP(DATE($K$1,$K$2,LLV$4),Table1[],(MATCH(Calendar!$A18,DB!$1:$1,0)),FALSE)),"")</f>
        <v/>
      </c>
      <c r="LLW18" s="28" t="str">
        <f>IFERROR(IF(LMF3="No",IF(VLOOKUP(DATE($K$1,$K$2,LLW$4),Table1[],(MATCH(Calendar!$A18,DB!$1:$1,0)),FALSE)&gt;=5,"Good","Bad"),VLOOKUP(DATE($K$1,$K$2,LLW$4),Table1[],(MATCH(Calendar!$A18,DB!$1:$1,0)),FALSE)),"")</f>
        <v/>
      </c>
      <c r="LLX18" s="28" t="str">
        <f>IFERROR(IF(LMG3="No",IF(VLOOKUP(DATE($K$1,$K$2,LLX$4),Table1[],(MATCH(Calendar!$A18,DB!$1:$1,0)),FALSE)&gt;=5,"Good","Bad"),VLOOKUP(DATE($K$1,$K$2,LLX$4),Table1[],(MATCH(Calendar!$A18,DB!$1:$1,0)),FALSE)),"")</f>
        <v/>
      </c>
      <c r="LLY18" s="28" t="str">
        <f>IFERROR(IF(LMH3="No",IF(VLOOKUP(DATE($K$1,$K$2,LLY$4),Table1[],(MATCH(Calendar!$A18,DB!$1:$1,0)),FALSE)&gt;=5,"Good","Bad"),VLOOKUP(DATE($K$1,$K$2,LLY$4),Table1[],(MATCH(Calendar!$A18,DB!$1:$1,0)),FALSE)),"")</f>
        <v/>
      </c>
      <c r="LLZ18" s="28" t="str">
        <f>IFERROR(IF(LMI3="No",IF(VLOOKUP(DATE($K$1,$K$2,LLZ$4),Table1[],(MATCH(Calendar!$A18,DB!$1:$1,0)),FALSE)&gt;=5,"Good","Bad"),VLOOKUP(DATE($K$1,$K$2,LLZ$4),Table1[],(MATCH(Calendar!$A18,DB!$1:$1,0)),FALSE)),"")</f>
        <v/>
      </c>
      <c r="LMA18" s="28" t="str">
        <f>IFERROR(IF(LMJ3="No",IF(VLOOKUP(DATE($K$1,$K$2,LMA$4),Table1[],(MATCH(Calendar!$A18,DB!$1:$1,0)),FALSE)&gt;=5,"Good","Bad"),VLOOKUP(DATE($K$1,$K$2,LMA$4),Table1[],(MATCH(Calendar!$A18,DB!$1:$1,0)),FALSE)),"")</f>
        <v/>
      </c>
      <c r="LMB18" s="28" t="str">
        <f>IFERROR(IF(LMK3="No",IF(VLOOKUP(DATE($K$1,$K$2,LMB$4),Table1[],(MATCH(Calendar!$A18,DB!$1:$1,0)),FALSE)&gt;=5,"Good","Bad"),VLOOKUP(DATE($K$1,$K$2,LMB$4),Table1[],(MATCH(Calendar!$A18,DB!$1:$1,0)),FALSE)),"")</f>
        <v/>
      </c>
      <c r="LMC18" s="28" t="str">
        <f>IFERROR(IF(LML3="No",IF(VLOOKUP(DATE($K$1,$K$2,LMC$4),Table1[],(MATCH(Calendar!$A18,DB!$1:$1,0)),FALSE)&gt;=5,"Good","Bad"),VLOOKUP(DATE($K$1,$K$2,LMC$4),Table1[],(MATCH(Calendar!$A18,DB!$1:$1,0)),FALSE)),"")</f>
        <v/>
      </c>
      <c r="LMD18" s="28" t="str">
        <f>IFERROR(IF(LMM3="No",IF(VLOOKUP(DATE($K$1,$K$2,LMD$4),Table1[],(MATCH(Calendar!$A18,DB!$1:$1,0)),FALSE)&gt;=5,"Good","Bad"),VLOOKUP(DATE($K$1,$K$2,LMD$4),Table1[],(MATCH(Calendar!$A18,DB!$1:$1,0)),FALSE)),"")</f>
        <v/>
      </c>
      <c r="LME18" s="28" t="str">
        <f>IFERROR(IF(LMN3="No",IF(VLOOKUP(DATE($K$1,$K$2,LME$4),Table1[],(MATCH(Calendar!$A18,DB!$1:$1,0)),FALSE)&gt;=5,"Good","Bad"),VLOOKUP(DATE($K$1,$K$2,LME$4),Table1[],(MATCH(Calendar!$A18,DB!$1:$1,0)),FALSE)),"")</f>
        <v/>
      </c>
      <c r="LMF18" s="28" t="str">
        <f>IFERROR(IF(LMO3="No",IF(VLOOKUP(DATE($K$1,$K$2,LMF$4),Table1[],(MATCH(Calendar!$A18,DB!$1:$1,0)),FALSE)&gt;=5,"Good","Bad"),VLOOKUP(DATE($K$1,$K$2,LMF$4),Table1[],(MATCH(Calendar!$A18,DB!$1:$1,0)),FALSE)),"")</f>
        <v/>
      </c>
      <c r="LMG18" s="28" t="str">
        <f>IFERROR(IF(LMP3="No",IF(VLOOKUP(DATE($K$1,$K$2,LMG$4),Table1[],(MATCH(Calendar!$A18,DB!$1:$1,0)),FALSE)&gt;=5,"Good","Bad"),VLOOKUP(DATE($K$1,$K$2,LMG$4),Table1[],(MATCH(Calendar!$A18,DB!$1:$1,0)),FALSE)),"")</f>
        <v/>
      </c>
      <c r="LMH18" s="28" t="str">
        <f>IFERROR(IF(LMQ3="No",IF(VLOOKUP(DATE($K$1,$K$2,LMH$4),Table1[],(MATCH(Calendar!$A18,DB!$1:$1,0)),FALSE)&gt;=5,"Good","Bad"),VLOOKUP(DATE($K$1,$K$2,LMH$4),Table1[],(MATCH(Calendar!$A18,DB!$1:$1,0)),FALSE)),"")</f>
        <v/>
      </c>
      <c r="LMI18" s="28" t="str">
        <f>IFERROR(IF(LMR3="No",IF(VLOOKUP(DATE($K$1,$K$2,LMI$4),Table1[],(MATCH(Calendar!$A18,DB!$1:$1,0)),FALSE)&gt;=5,"Good","Bad"),VLOOKUP(DATE($K$1,$K$2,LMI$4),Table1[],(MATCH(Calendar!$A18,DB!$1:$1,0)),FALSE)),"")</f>
        <v/>
      </c>
      <c r="LMJ18" s="28" t="str">
        <f>IFERROR(IF(LMS3="No",IF(VLOOKUP(DATE($K$1,$K$2,LMJ$4),Table1[],(MATCH(Calendar!$A18,DB!$1:$1,0)),FALSE)&gt;=5,"Good","Bad"),VLOOKUP(DATE($K$1,$K$2,LMJ$4),Table1[],(MATCH(Calendar!$A18,DB!$1:$1,0)),FALSE)),"")</f>
        <v/>
      </c>
      <c r="LMK18" s="28" t="str">
        <f>IFERROR(IF(LMT3="No",IF(VLOOKUP(DATE($K$1,$K$2,LMK$4),Table1[],(MATCH(Calendar!$A18,DB!$1:$1,0)),FALSE)&gt;=5,"Good","Bad"),VLOOKUP(DATE($K$1,$K$2,LMK$4),Table1[],(MATCH(Calendar!$A18,DB!$1:$1,0)),FALSE)),"")</f>
        <v/>
      </c>
      <c r="LML18" s="28" t="str">
        <f>IFERROR(IF(LMU3="No",IF(VLOOKUP(DATE($K$1,$K$2,LML$4),Table1[],(MATCH(Calendar!$A18,DB!$1:$1,0)),FALSE)&gt;=5,"Good","Bad"),VLOOKUP(DATE($K$1,$K$2,LML$4),Table1[],(MATCH(Calendar!$A18,DB!$1:$1,0)),FALSE)),"")</f>
        <v/>
      </c>
      <c r="LMM18" s="28" t="str">
        <f>IFERROR(IF(LMV3="No",IF(VLOOKUP(DATE($K$1,$K$2,LMM$4),Table1[],(MATCH(Calendar!$A18,DB!$1:$1,0)),FALSE)&gt;=5,"Good","Bad"),VLOOKUP(DATE($K$1,$K$2,LMM$4),Table1[],(MATCH(Calendar!$A18,DB!$1:$1,0)),FALSE)),"")</f>
        <v/>
      </c>
      <c r="LMN18" s="28" t="str">
        <f>IFERROR(IF(LMW3="No",IF(VLOOKUP(DATE($K$1,$K$2,LMN$4),Table1[],(MATCH(Calendar!$A18,DB!$1:$1,0)),FALSE)&gt;=5,"Good","Bad"),VLOOKUP(DATE($K$1,$K$2,LMN$4),Table1[],(MATCH(Calendar!$A18,DB!$1:$1,0)),FALSE)),"")</f>
        <v/>
      </c>
      <c r="LMO18" s="28" t="str">
        <f>IFERROR(IF(LMX3="No",IF(VLOOKUP(DATE($K$1,$K$2,LMO$4),Table1[],(MATCH(Calendar!$A18,DB!$1:$1,0)),FALSE)&gt;=5,"Good","Bad"),VLOOKUP(DATE($K$1,$K$2,LMO$4),Table1[],(MATCH(Calendar!$A18,DB!$1:$1,0)),FALSE)),"")</f>
        <v/>
      </c>
      <c r="LMP18" s="28" t="str">
        <f>IFERROR(IF(LMY3="No",IF(VLOOKUP(DATE($K$1,$K$2,LMP$4),Table1[],(MATCH(Calendar!$A18,DB!$1:$1,0)),FALSE)&gt;=5,"Good","Bad"),VLOOKUP(DATE($K$1,$K$2,LMP$4),Table1[],(MATCH(Calendar!$A18,DB!$1:$1,0)),FALSE)),"")</f>
        <v/>
      </c>
      <c r="LMQ18" s="28" t="str">
        <f>IFERROR(IF(LMZ3="No",IF(VLOOKUP(DATE($K$1,$K$2,LMQ$4),Table1[],(MATCH(Calendar!$A18,DB!$1:$1,0)),FALSE)&gt;=5,"Good","Bad"),VLOOKUP(DATE($K$1,$K$2,LMQ$4),Table1[],(MATCH(Calendar!$A18,DB!$1:$1,0)),FALSE)),"")</f>
        <v/>
      </c>
      <c r="LMR18" s="28" t="str">
        <f>IFERROR(IF(LNA3="No",IF(VLOOKUP(DATE($K$1,$K$2,LMR$4),Table1[],(MATCH(Calendar!$A18,DB!$1:$1,0)),FALSE)&gt;=5,"Good","Bad"),VLOOKUP(DATE($K$1,$K$2,LMR$4),Table1[],(MATCH(Calendar!$A18,DB!$1:$1,0)),FALSE)),"")</f>
        <v/>
      </c>
      <c r="LMS18" s="28" t="str">
        <f>IFERROR(IF(LNB3="No",IF(VLOOKUP(DATE($K$1,$K$2,LMS$4),Table1[],(MATCH(Calendar!$A18,DB!$1:$1,0)),FALSE)&gt;=5,"Good","Bad"),VLOOKUP(DATE($K$1,$K$2,LMS$4),Table1[],(MATCH(Calendar!$A18,DB!$1:$1,0)),FALSE)),"")</f>
        <v/>
      </c>
      <c r="LMT18" s="28" t="str">
        <f>IFERROR(IF(LNC3="No",IF(VLOOKUP(DATE($K$1,$K$2,LMT$4),Table1[],(MATCH(Calendar!$A18,DB!$1:$1,0)),FALSE)&gt;=5,"Good","Bad"),VLOOKUP(DATE($K$1,$K$2,LMT$4),Table1[],(MATCH(Calendar!$A18,DB!$1:$1,0)),FALSE)),"")</f>
        <v/>
      </c>
      <c r="LMU18" s="28" t="str">
        <f>IFERROR(IF(LND3="No",IF(VLOOKUP(DATE($K$1,$K$2,LMU$4),Table1[],(MATCH(Calendar!$A18,DB!$1:$1,0)),FALSE)&gt;=5,"Good","Bad"),VLOOKUP(DATE($K$1,$K$2,LMU$4),Table1[],(MATCH(Calendar!$A18,DB!$1:$1,0)),FALSE)),"")</f>
        <v/>
      </c>
      <c r="LMV18" s="28" t="str">
        <f>IFERROR(IF(LNE3="No",IF(VLOOKUP(DATE($K$1,$K$2,LMV$4),Table1[],(MATCH(Calendar!$A18,DB!$1:$1,0)),FALSE)&gt;=5,"Good","Bad"),VLOOKUP(DATE($K$1,$K$2,LMV$4),Table1[],(MATCH(Calendar!$A18,DB!$1:$1,0)),FALSE)),"")</f>
        <v/>
      </c>
      <c r="LMW18" s="28" t="str">
        <f>IFERROR(IF(LNF3="No",IF(VLOOKUP(DATE($K$1,$K$2,LMW$4),Table1[],(MATCH(Calendar!$A18,DB!$1:$1,0)),FALSE)&gt;=5,"Good","Bad"),VLOOKUP(DATE($K$1,$K$2,LMW$4),Table1[],(MATCH(Calendar!$A18,DB!$1:$1,0)),FALSE)),"")</f>
        <v/>
      </c>
      <c r="LMX18" s="28" t="str">
        <f>IFERROR(IF(LNG3="No",IF(VLOOKUP(DATE($K$1,$K$2,LMX$4),Table1[],(MATCH(Calendar!$A18,DB!$1:$1,0)),FALSE)&gt;=5,"Good","Bad"),VLOOKUP(DATE($K$1,$K$2,LMX$4),Table1[],(MATCH(Calendar!$A18,DB!$1:$1,0)),FALSE)),"")</f>
        <v/>
      </c>
      <c r="LMY18" s="28" t="str">
        <f>IFERROR(IF(LNH3="No",IF(VLOOKUP(DATE($K$1,$K$2,LMY$4),Table1[],(MATCH(Calendar!$A18,DB!$1:$1,0)),FALSE)&gt;=5,"Good","Bad"),VLOOKUP(DATE($K$1,$K$2,LMY$4),Table1[],(MATCH(Calendar!$A18,DB!$1:$1,0)),FALSE)),"")</f>
        <v/>
      </c>
      <c r="LMZ18" s="28" t="str">
        <f>IFERROR(IF(LNI3="No",IF(VLOOKUP(DATE($K$1,$K$2,LMZ$4),Table1[],(MATCH(Calendar!$A18,DB!$1:$1,0)),FALSE)&gt;=5,"Good","Bad"),VLOOKUP(DATE($K$1,$K$2,LMZ$4),Table1[],(MATCH(Calendar!$A18,DB!$1:$1,0)),FALSE)),"")</f>
        <v/>
      </c>
      <c r="LNA18" s="28" t="str">
        <f>IFERROR(IF(LNJ3="No",IF(VLOOKUP(DATE($K$1,$K$2,LNA$4),Table1[],(MATCH(Calendar!$A18,DB!$1:$1,0)),FALSE)&gt;=5,"Good","Bad"),VLOOKUP(DATE($K$1,$K$2,LNA$4),Table1[],(MATCH(Calendar!$A18,DB!$1:$1,0)),FALSE)),"")</f>
        <v/>
      </c>
      <c r="LNB18" s="28" t="str">
        <f>IFERROR(IF(LNK3="No",IF(VLOOKUP(DATE($K$1,$K$2,LNB$4),Table1[],(MATCH(Calendar!$A18,DB!$1:$1,0)),FALSE)&gt;=5,"Good","Bad"),VLOOKUP(DATE($K$1,$K$2,LNB$4),Table1[],(MATCH(Calendar!$A18,DB!$1:$1,0)),FALSE)),"")</f>
        <v/>
      </c>
      <c r="LNC18" s="28" t="str">
        <f>IFERROR(IF(LNL3="No",IF(VLOOKUP(DATE($K$1,$K$2,LNC$4),Table1[],(MATCH(Calendar!$A18,DB!$1:$1,0)),FALSE)&gt;=5,"Good","Bad"),VLOOKUP(DATE($K$1,$K$2,LNC$4),Table1[],(MATCH(Calendar!$A18,DB!$1:$1,0)),FALSE)),"")</f>
        <v/>
      </c>
      <c r="LND18" s="28" t="str">
        <f>IFERROR(IF(LNM3="No",IF(VLOOKUP(DATE($K$1,$K$2,LND$4),Table1[],(MATCH(Calendar!$A18,DB!$1:$1,0)),FALSE)&gt;=5,"Good","Bad"),VLOOKUP(DATE($K$1,$K$2,LND$4),Table1[],(MATCH(Calendar!$A18,DB!$1:$1,0)),FALSE)),"")</f>
        <v/>
      </c>
      <c r="LNE18" s="28" t="str">
        <f>IFERROR(IF(LNN3="No",IF(VLOOKUP(DATE($K$1,$K$2,LNE$4),Table1[],(MATCH(Calendar!$A18,DB!$1:$1,0)),FALSE)&gt;=5,"Good","Bad"),VLOOKUP(DATE($K$1,$K$2,LNE$4),Table1[],(MATCH(Calendar!$A18,DB!$1:$1,0)),FALSE)),"")</f>
        <v/>
      </c>
      <c r="LNF18" s="28" t="str">
        <f>IFERROR(IF(LNO3="No",IF(VLOOKUP(DATE($K$1,$K$2,LNF$4),Table1[],(MATCH(Calendar!$A18,DB!$1:$1,0)),FALSE)&gt;=5,"Good","Bad"),VLOOKUP(DATE($K$1,$K$2,LNF$4),Table1[],(MATCH(Calendar!$A18,DB!$1:$1,0)),FALSE)),"")</f>
        <v/>
      </c>
      <c r="LNG18" s="28" t="str">
        <f>IFERROR(IF(LNP3="No",IF(VLOOKUP(DATE($K$1,$K$2,LNG$4),Table1[],(MATCH(Calendar!$A18,DB!$1:$1,0)),FALSE)&gt;=5,"Good","Bad"),VLOOKUP(DATE($K$1,$K$2,LNG$4),Table1[],(MATCH(Calendar!$A18,DB!$1:$1,0)),FALSE)),"")</f>
        <v/>
      </c>
      <c r="LNH18" s="28" t="str">
        <f>IFERROR(IF(LNQ3="No",IF(VLOOKUP(DATE($K$1,$K$2,LNH$4),Table1[],(MATCH(Calendar!$A18,DB!$1:$1,0)),FALSE)&gt;=5,"Good","Bad"),VLOOKUP(DATE($K$1,$K$2,LNH$4),Table1[],(MATCH(Calendar!$A18,DB!$1:$1,0)),FALSE)),"")</f>
        <v/>
      </c>
      <c r="LNI18" s="28" t="str">
        <f>IFERROR(IF(LNR3="No",IF(VLOOKUP(DATE($K$1,$K$2,LNI$4),Table1[],(MATCH(Calendar!$A18,DB!$1:$1,0)),FALSE)&gt;=5,"Good","Bad"),VLOOKUP(DATE($K$1,$K$2,LNI$4),Table1[],(MATCH(Calendar!$A18,DB!$1:$1,0)),FALSE)),"")</f>
        <v/>
      </c>
      <c r="LNJ18" s="28" t="str">
        <f>IFERROR(IF(LNS3="No",IF(VLOOKUP(DATE($K$1,$K$2,LNJ$4),Table1[],(MATCH(Calendar!$A18,DB!$1:$1,0)),FALSE)&gt;=5,"Good","Bad"),VLOOKUP(DATE($K$1,$K$2,LNJ$4),Table1[],(MATCH(Calendar!$A18,DB!$1:$1,0)),FALSE)),"")</f>
        <v/>
      </c>
      <c r="LNK18" s="28" t="str">
        <f>IFERROR(IF(LNT3="No",IF(VLOOKUP(DATE($K$1,$K$2,LNK$4),Table1[],(MATCH(Calendar!$A18,DB!$1:$1,0)),FALSE)&gt;=5,"Good","Bad"),VLOOKUP(DATE($K$1,$K$2,LNK$4),Table1[],(MATCH(Calendar!$A18,DB!$1:$1,0)),FALSE)),"")</f>
        <v/>
      </c>
      <c r="LNL18" s="28" t="str">
        <f>IFERROR(IF(LNU3="No",IF(VLOOKUP(DATE($K$1,$K$2,LNL$4),Table1[],(MATCH(Calendar!$A18,DB!$1:$1,0)),FALSE)&gt;=5,"Good","Bad"),VLOOKUP(DATE($K$1,$K$2,LNL$4),Table1[],(MATCH(Calendar!$A18,DB!$1:$1,0)),FALSE)),"")</f>
        <v/>
      </c>
      <c r="LNM18" s="28" t="str">
        <f>IFERROR(IF(LNV3="No",IF(VLOOKUP(DATE($K$1,$K$2,LNM$4),Table1[],(MATCH(Calendar!$A18,DB!$1:$1,0)),FALSE)&gt;=5,"Good","Bad"),VLOOKUP(DATE($K$1,$K$2,LNM$4),Table1[],(MATCH(Calendar!$A18,DB!$1:$1,0)),FALSE)),"")</f>
        <v/>
      </c>
      <c r="LNN18" s="28" t="str">
        <f>IFERROR(IF(LNW3="No",IF(VLOOKUP(DATE($K$1,$K$2,LNN$4),Table1[],(MATCH(Calendar!$A18,DB!$1:$1,0)),FALSE)&gt;=5,"Good","Bad"),VLOOKUP(DATE($K$1,$K$2,LNN$4),Table1[],(MATCH(Calendar!$A18,DB!$1:$1,0)),FALSE)),"")</f>
        <v/>
      </c>
      <c r="LNO18" s="28" t="str">
        <f>IFERROR(IF(LNX3="No",IF(VLOOKUP(DATE($K$1,$K$2,LNO$4),Table1[],(MATCH(Calendar!$A18,DB!$1:$1,0)),FALSE)&gt;=5,"Good","Bad"),VLOOKUP(DATE($K$1,$K$2,LNO$4),Table1[],(MATCH(Calendar!$A18,DB!$1:$1,0)),FALSE)),"")</f>
        <v/>
      </c>
      <c r="LNP18" s="28" t="str">
        <f>IFERROR(IF(LNY3="No",IF(VLOOKUP(DATE($K$1,$K$2,LNP$4),Table1[],(MATCH(Calendar!$A18,DB!$1:$1,0)),FALSE)&gt;=5,"Good","Bad"),VLOOKUP(DATE($K$1,$K$2,LNP$4),Table1[],(MATCH(Calendar!$A18,DB!$1:$1,0)),FALSE)),"")</f>
        <v/>
      </c>
      <c r="LNQ18" s="28" t="str">
        <f>IFERROR(IF(LNZ3="No",IF(VLOOKUP(DATE($K$1,$K$2,LNQ$4),Table1[],(MATCH(Calendar!$A18,DB!$1:$1,0)),FALSE)&gt;=5,"Good","Bad"),VLOOKUP(DATE($K$1,$K$2,LNQ$4),Table1[],(MATCH(Calendar!$A18,DB!$1:$1,0)),FALSE)),"")</f>
        <v/>
      </c>
      <c r="LNR18" s="28" t="str">
        <f>IFERROR(IF(LOA3="No",IF(VLOOKUP(DATE($K$1,$K$2,LNR$4),Table1[],(MATCH(Calendar!$A18,DB!$1:$1,0)),FALSE)&gt;=5,"Good","Bad"),VLOOKUP(DATE($K$1,$K$2,LNR$4),Table1[],(MATCH(Calendar!$A18,DB!$1:$1,0)),FALSE)),"")</f>
        <v/>
      </c>
      <c r="LNS18" s="28" t="str">
        <f>IFERROR(IF(LOB3="No",IF(VLOOKUP(DATE($K$1,$K$2,LNS$4),Table1[],(MATCH(Calendar!$A18,DB!$1:$1,0)),FALSE)&gt;=5,"Good","Bad"),VLOOKUP(DATE($K$1,$K$2,LNS$4),Table1[],(MATCH(Calendar!$A18,DB!$1:$1,0)),FALSE)),"")</f>
        <v/>
      </c>
      <c r="LNT18" s="28" t="str">
        <f>IFERROR(IF(LOC3="No",IF(VLOOKUP(DATE($K$1,$K$2,LNT$4),Table1[],(MATCH(Calendar!$A18,DB!$1:$1,0)),FALSE)&gt;=5,"Good","Bad"),VLOOKUP(DATE($K$1,$K$2,LNT$4),Table1[],(MATCH(Calendar!$A18,DB!$1:$1,0)),FALSE)),"")</f>
        <v/>
      </c>
      <c r="LNU18" s="28" t="str">
        <f>IFERROR(IF(LOD3="No",IF(VLOOKUP(DATE($K$1,$K$2,LNU$4),Table1[],(MATCH(Calendar!$A18,DB!$1:$1,0)),FALSE)&gt;=5,"Good","Bad"),VLOOKUP(DATE($K$1,$K$2,LNU$4),Table1[],(MATCH(Calendar!$A18,DB!$1:$1,0)),FALSE)),"")</f>
        <v/>
      </c>
      <c r="LNV18" s="28" t="str">
        <f>IFERROR(IF(LOE3="No",IF(VLOOKUP(DATE($K$1,$K$2,LNV$4),Table1[],(MATCH(Calendar!$A18,DB!$1:$1,0)),FALSE)&gt;=5,"Good","Bad"),VLOOKUP(DATE($K$1,$K$2,LNV$4),Table1[],(MATCH(Calendar!$A18,DB!$1:$1,0)),FALSE)),"")</f>
        <v/>
      </c>
      <c r="LNW18" s="28" t="str">
        <f>IFERROR(IF(LOF3="No",IF(VLOOKUP(DATE($K$1,$K$2,LNW$4),Table1[],(MATCH(Calendar!$A18,DB!$1:$1,0)),FALSE)&gt;=5,"Good","Bad"),VLOOKUP(DATE($K$1,$K$2,LNW$4),Table1[],(MATCH(Calendar!$A18,DB!$1:$1,0)),FALSE)),"")</f>
        <v/>
      </c>
      <c r="LNX18" s="28" t="str">
        <f>IFERROR(IF(LOG3="No",IF(VLOOKUP(DATE($K$1,$K$2,LNX$4),Table1[],(MATCH(Calendar!$A18,DB!$1:$1,0)),FALSE)&gt;=5,"Good","Bad"),VLOOKUP(DATE($K$1,$K$2,LNX$4),Table1[],(MATCH(Calendar!$A18,DB!$1:$1,0)),FALSE)),"")</f>
        <v/>
      </c>
      <c r="LNY18" s="28" t="str">
        <f>IFERROR(IF(LOH3="No",IF(VLOOKUP(DATE($K$1,$K$2,LNY$4),Table1[],(MATCH(Calendar!$A18,DB!$1:$1,0)),FALSE)&gt;=5,"Good","Bad"),VLOOKUP(DATE($K$1,$K$2,LNY$4),Table1[],(MATCH(Calendar!$A18,DB!$1:$1,0)),FALSE)),"")</f>
        <v/>
      </c>
      <c r="LNZ18" s="28" t="str">
        <f>IFERROR(IF(LOI3="No",IF(VLOOKUP(DATE($K$1,$K$2,LNZ$4),Table1[],(MATCH(Calendar!$A18,DB!$1:$1,0)),FALSE)&gt;=5,"Good","Bad"),VLOOKUP(DATE($K$1,$K$2,LNZ$4),Table1[],(MATCH(Calendar!$A18,DB!$1:$1,0)),FALSE)),"")</f>
        <v/>
      </c>
      <c r="LOA18" s="28" t="str">
        <f>IFERROR(IF(LOJ3="No",IF(VLOOKUP(DATE($K$1,$K$2,LOA$4),Table1[],(MATCH(Calendar!$A18,DB!$1:$1,0)),FALSE)&gt;=5,"Good","Bad"),VLOOKUP(DATE($K$1,$K$2,LOA$4),Table1[],(MATCH(Calendar!$A18,DB!$1:$1,0)),FALSE)),"")</f>
        <v/>
      </c>
      <c r="LOB18" s="28" t="str">
        <f>IFERROR(IF(LOK3="No",IF(VLOOKUP(DATE($K$1,$K$2,LOB$4),Table1[],(MATCH(Calendar!$A18,DB!$1:$1,0)),FALSE)&gt;=5,"Good","Bad"),VLOOKUP(DATE($K$1,$K$2,LOB$4),Table1[],(MATCH(Calendar!$A18,DB!$1:$1,0)),FALSE)),"")</f>
        <v/>
      </c>
      <c r="LOC18" s="28" t="str">
        <f>IFERROR(IF(LOL3="No",IF(VLOOKUP(DATE($K$1,$K$2,LOC$4),Table1[],(MATCH(Calendar!$A18,DB!$1:$1,0)),FALSE)&gt;=5,"Good","Bad"),VLOOKUP(DATE($K$1,$K$2,LOC$4),Table1[],(MATCH(Calendar!$A18,DB!$1:$1,0)),FALSE)),"")</f>
        <v/>
      </c>
      <c r="LOD18" s="28" t="str">
        <f>IFERROR(IF(LOM3="No",IF(VLOOKUP(DATE($K$1,$K$2,LOD$4),Table1[],(MATCH(Calendar!$A18,DB!$1:$1,0)),FALSE)&gt;=5,"Good","Bad"),VLOOKUP(DATE($K$1,$K$2,LOD$4),Table1[],(MATCH(Calendar!$A18,DB!$1:$1,0)),FALSE)),"")</f>
        <v/>
      </c>
      <c r="LOE18" s="28" t="str">
        <f>IFERROR(IF(LON3="No",IF(VLOOKUP(DATE($K$1,$K$2,LOE$4),Table1[],(MATCH(Calendar!$A18,DB!$1:$1,0)),FALSE)&gt;=5,"Good","Bad"),VLOOKUP(DATE($K$1,$K$2,LOE$4),Table1[],(MATCH(Calendar!$A18,DB!$1:$1,0)),FALSE)),"")</f>
        <v/>
      </c>
      <c r="LOF18" s="28" t="str">
        <f>IFERROR(IF(LOO3="No",IF(VLOOKUP(DATE($K$1,$K$2,LOF$4),Table1[],(MATCH(Calendar!$A18,DB!$1:$1,0)),FALSE)&gt;=5,"Good","Bad"),VLOOKUP(DATE($K$1,$K$2,LOF$4),Table1[],(MATCH(Calendar!$A18,DB!$1:$1,0)),FALSE)),"")</f>
        <v/>
      </c>
      <c r="LOG18" s="28" t="str">
        <f>IFERROR(IF(LOP3="No",IF(VLOOKUP(DATE($K$1,$K$2,LOG$4),Table1[],(MATCH(Calendar!$A18,DB!$1:$1,0)),FALSE)&gt;=5,"Good","Bad"),VLOOKUP(DATE($K$1,$K$2,LOG$4),Table1[],(MATCH(Calendar!$A18,DB!$1:$1,0)),FALSE)),"")</f>
        <v/>
      </c>
      <c r="LOH18" s="28" t="str">
        <f>IFERROR(IF(LOQ3="No",IF(VLOOKUP(DATE($K$1,$K$2,LOH$4),Table1[],(MATCH(Calendar!$A18,DB!$1:$1,0)),FALSE)&gt;=5,"Good","Bad"),VLOOKUP(DATE($K$1,$K$2,LOH$4),Table1[],(MATCH(Calendar!$A18,DB!$1:$1,0)),FALSE)),"")</f>
        <v/>
      </c>
      <c r="LOI18" s="28" t="str">
        <f>IFERROR(IF(LOR3="No",IF(VLOOKUP(DATE($K$1,$K$2,LOI$4),Table1[],(MATCH(Calendar!$A18,DB!$1:$1,0)),FALSE)&gt;=5,"Good","Bad"),VLOOKUP(DATE($K$1,$K$2,LOI$4),Table1[],(MATCH(Calendar!$A18,DB!$1:$1,0)),FALSE)),"")</f>
        <v/>
      </c>
      <c r="LOJ18" s="28" t="str">
        <f>IFERROR(IF(LOS3="No",IF(VLOOKUP(DATE($K$1,$K$2,LOJ$4),Table1[],(MATCH(Calendar!$A18,DB!$1:$1,0)),FALSE)&gt;=5,"Good","Bad"),VLOOKUP(DATE($K$1,$K$2,LOJ$4),Table1[],(MATCH(Calendar!$A18,DB!$1:$1,0)),FALSE)),"")</f>
        <v/>
      </c>
      <c r="LOK18" s="28" t="str">
        <f>IFERROR(IF(LOT3="No",IF(VLOOKUP(DATE($K$1,$K$2,LOK$4),Table1[],(MATCH(Calendar!$A18,DB!$1:$1,0)),FALSE)&gt;=5,"Good","Bad"),VLOOKUP(DATE($K$1,$K$2,LOK$4),Table1[],(MATCH(Calendar!$A18,DB!$1:$1,0)),FALSE)),"")</f>
        <v/>
      </c>
      <c r="LOL18" s="28" t="str">
        <f>IFERROR(IF(LOU3="No",IF(VLOOKUP(DATE($K$1,$K$2,LOL$4),Table1[],(MATCH(Calendar!$A18,DB!$1:$1,0)),FALSE)&gt;=5,"Good","Bad"),VLOOKUP(DATE($K$1,$K$2,LOL$4),Table1[],(MATCH(Calendar!$A18,DB!$1:$1,0)),FALSE)),"")</f>
        <v/>
      </c>
      <c r="LOM18" s="28" t="str">
        <f>IFERROR(IF(LOV3="No",IF(VLOOKUP(DATE($K$1,$K$2,LOM$4),Table1[],(MATCH(Calendar!$A18,DB!$1:$1,0)),FALSE)&gt;=5,"Good","Bad"),VLOOKUP(DATE($K$1,$K$2,LOM$4),Table1[],(MATCH(Calendar!$A18,DB!$1:$1,0)),FALSE)),"")</f>
        <v/>
      </c>
      <c r="LON18" s="28" t="str">
        <f>IFERROR(IF(LOW3="No",IF(VLOOKUP(DATE($K$1,$K$2,LON$4),Table1[],(MATCH(Calendar!$A18,DB!$1:$1,0)),FALSE)&gt;=5,"Good","Bad"),VLOOKUP(DATE($K$1,$K$2,LON$4),Table1[],(MATCH(Calendar!$A18,DB!$1:$1,0)),FALSE)),"")</f>
        <v/>
      </c>
      <c r="LOO18" s="28" t="str">
        <f>IFERROR(IF(LOX3="No",IF(VLOOKUP(DATE($K$1,$K$2,LOO$4),Table1[],(MATCH(Calendar!$A18,DB!$1:$1,0)),FALSE)&gt;=5,"Good","Bad"),VLOOKUP(DATE($K$1,$K$2,LOO$4),Table1[],(MATCH(Calendar!$A18,DB!$1:$1,0)),FALSE)),"")</f>
        <v/>
      </c>
      <c r="LOP18" s="28" t="str">
        <f>IFERROR(IF(LOY3="No",IF(VLOOKUP(DATE($K$1,$K$2,LOP$4),Table1[],(MATCH(Calendar!$A18,DB!$1:$1,0)),FALSE)&gt;=5,"Good","Bad"),VLOOKUP(DATE($K$1,$K$2,LOP$4),Table1[],(MATCH(Calendar!$A18,DB!$1:$1,0)),FALSE)),"")</f>
        <v/>
      </c>
      <c r="LOQ18" s="28" t="str">
        <f>IFERROR(IF(LOZ3="No",IF(VLOOKUP(DATE($K$1,$K$2,LOQ$4),Table1[],(MATCH(Calendar!$A18,DB!$1:$1,0)),FALSE)&gt;=5,"Good","Bad"),VLOOKUP(DATE($K$1,$K$2,LOQ$4),Table1[],(MATCH(Calendar!$A18,DB!$1:$1,0)),FALSE)),"")</f>
        <v/>
      </c>
      <c r="LOR18" s="28" t="str">
        <f>IFERROR(IF(LPA3="No",IF(VLOOKUP(DATE($K$1,$K$2,LOR$4),Table1[],(MATCH(Calendar!$A18,DB!$1:$1,0)),FALSE)&gt;=5,"Good","Bad"),VLOOKUP(DATE($K$1,$K$2,LOR$4),Table1[],(MATCH(Calendar!$A18,DB!$1:$1,0)),FALSE)),"")</f>
        <v/>
      </c>
      <c r="LOS18" s="28" t="str">
        <f>IFERROR(IF(LPB3="No",IF(VLOOKUP(DATE($K$1,$K$2,LOS$4),Table1[],(MATCH(Calendar!$A18,DB!$1:$1,0)),FALSE)&gt;=5,"Good","Bad"),VLOOKUP(DATE($K$1,$K$2,LOS$4),Table1[],(MATCH(Calendar!$A18,DB!$1:$1,0)),FALSE)),"")</f>
        <v/>
      </c>
      <c r="LOT18" s="28" t="str">
        <f>IFERROR(IF(LPC3="No",IF(VLOOKUP(DATE($K$1,$K$2,LOT$4),Table1[],(MATCH(Calendar!$A18,DB!$1:$1,0)),FALSE)&gt;=5,"Good","Bad"),VLOOKUP(DATE($K$1,$K$2,LOT$4),Table1[],(MATCH(Calendar!$A18,DB!$1:$1,0)),FALSE)),"")</f>
        <v/>
      </c>
      <c r="LOU18" s="28" t="str">
        <f>IFERROR(IF(LPD3="No",IF(VLOOKUP(DATE($K$1,$K$2,LOU$4),Table1[],(MATCH(Calendar!$A18,DB!$1:$1,0)),FALSE)&gt;=5,"Good","Bad"),VLOOKUP(DATE($K$1,$K$2,LOU$4),Table1[],(MATCH(Calendar!$A18,DB!$1:$1,0)),FALSE)),"")</f>
        <v/>
      </c>
      <c r="LOV18" s="28" t="str">
        <f>IFERROR(IF(LPE3="No",IF(VLOOKUP(DATE($K$1,$K$2,LOV$4),Table1[],(MATCH(Calendar!$A18,DB!$1:$1,0)),FALSE)&gt;=5,"Good","Bad"),VLOOKUP(DATE($K$1,$K$2,LOV$4),Table1[],(MATCH(Calendar!$A18,DB!$1:$1,0)),FALSE)),"")</f>
        <v/>
      </c>
      <c r="LOW18" s="28" t="str">
        <f>IFERROR(IF(LPF3="No",IF(VLOOKUP(DATE($K$1,$K$2,LOW$4),Table1[],(MATCH(Calendar!$A18,DB!$1:$1,0)),FALSE)&gt;=5,"Good","Bad"),VLOOKUP(DATE($K$1,$K$2,LOW$4),Table1[],(MATCH(Calendar!$A18,DB!$1:$1,0)),FALSE)),"")</f>
        <v/>
      </c>
      <c r="LOX18" s="28" t="str">
        <f>IFERROR(IF(LPG3="No",IF(VLOOKUP(DATE($K$1,$K$2,LOX$4),Table1[],(MATCH(Calendar!$A18,DB!$1:$1,0)),FALSE)&gt;=5,"Good","Bad"),VLOOKUP(DATE($K$1,$K$2,LOX$4),Table1[],(MATCH(Calendar!$A18,DB!$1:$1,0)),FALSE)),"")</f>
        <v/>
      </c>
      <c r="LOY18" s="28" t="str">
        <f>IFERROR(IF(LPH3="No",IF(VLOOKUP(DATE($K$1,$K$2,LOY$4),Table1[],(MATCH(Calendar!$A18,DB!$1:$1,0)),FALSE)&gt;=5,"Good","Bad"),VLOOKUP(DATE($K$1,$K$2,LOY$4),Table1[],(MATCH(Calendar!$A18,DB!$1:$1,0)),FALSE)),"")</f>
        <v/>
      </c>
      <c r="LOZ18" s="28" t="str">
        <f>IFERROR(IF(LPI3="No",IF(VLOOKUP(DATE($K$1,$K$2,LOZ$4),Table1[],(MATCH(Calendar!$A18,DB!$1:$1,0)),FALSE)&gt;=5,"Good","Bad"),VLOOKUP(DATE($K$1,$K$2,LOZ$4),Table1[],(MATCH(Calendar!$A18,DB!$1:$1,0)),FALSE)),"")</f>
        <v/>
      </c>
      <c r="LPA18" s="28" t="str">
        <f>IFERROR(IF(LPJ3="No",IF(VLOOKUP(DATE($K$1,$K$2,LPA$4),Table1[],(MATCH(Calendar!$A18,DB!$1:$1,0)),FALSE)&gt;=5,"Good","Bad"),VLOOKUP(DATE($K$1,$K$2,LPA$4),Table1[],(MATCH(Calendar!$A18,DB!$1:$1,0)),FALSE)),"")</f>
        <v/>
      </c>
      <c r="LPB18" s="28" t="str">
        <f>IFERROR(IF(LPK3="No",IF(VLOOKUP(DATE($K$1,$K$2,LPB$4),Table1[],(MATCH(Calendar!$A18,DB!$1:$1,0)),FALSE)&gt;=5,"Good","Bad"),VLOOKUP(DATE($K$1,$K$2,LPB$4),Table1[],(MATCH(Calendar!$A18,DB!$1:$1,0)),FALSE)),"")</f>
        <v/>
      </c>
      <c r="LPC18" s="28" t="str">
        <f>IFERROR(IF(LPL3="No",IF(VLOOKUP(DATE($K$1,$K$2,LPC$4),Table1[],(MATCH(Calendar!$A18,DB!$1:$1,0)),FALSE)&gt;=5,"Good","Bad"),VLOOKUP(DATE($K$1,$K$2,LPC$4),Table1[],(MATCH(Calendar!$A18,DB!$1:$1,0)),FALSE)),"")</f>
        <v/>
      </c>
      <c r="LPD18" s="28" t="str">
        <f>IFERROR(IF(LPM3="No",IF(VLOOKUP(DATE($K$1,$K$2,LPD$4),Table1[],(MATCH(Calendar!$A18,DB!$1:$1,0)),FALSE)&gt;=5,"Good","Bad"),VLOOKUP(DATE($K$1,$K$2,LPD$4),Table1[],(MATCH(Calendar!$A18,DB!$1:$1,0)),FALSE)),"")</f>
        <v/>
      </c>
      <c r="LPE18" s="28" t="str">
        <f>IFERROR(IF(LPN3="No",IF(VLOOKUP(DATE($K$1,$K$2,LPE$4),Table1[],(MATCH(Calendar!$A18,DB!$1:$1,0)),FALSE)&gt;=5,"Good","Bad"),VLOOKUP(DATE($K$1,$K$2,LPE$4),Table1[],(MATCH(Calendar!$A18,DB!$1:$1,0)),FALSE)),"")</f>
        <v/>
      </c>
      <c r="LPF18" s="28" t="str">
        <f>IFERROR(IF(LPO3="No",IF(VLOOKUP(DATE($K$1,$K$2,LPF$4),Table1[],(MATCH(Calendar!$A18,DB!$1:$1,0)),FALSE)&gt;=5,"Good","Bad"),VLOOKUP(DATE($K$1,$K$2,LPF$4),Table1[],(MATCH(Calendar!$A18,DB!$1:$1,0)),FALSE)),"")</f>
        <v/>
      </c>
      <c r="LPG18" s="28" t="str">
        <f>IFERROR(IF(LPP3="No",IF(VLOOKUP(DATE($K$1,$K$2,LPG$4),Table1[],(MATCH(Calendar!$A18,DB!$1:$1,0)),FALSE)&gt;=5,"Good","Bad"),VLOOKUP(DATE($K$1,$K$2,LPG$4),Table1[],(MATCH(Calendar!$A18,DB!$1:$1,0)),FALSE)),"")</f>
        <v/>
      </c>
      <c r="LPH18" s="28" t="str">
        <f>IFERROR(IF(LPQ3="No",IF(VLOOKUP(DATE($K$1,$K$2,LPH$4),Table1[],(MATCH(Calendar!$A18,DB!$1:$1,0)),FALSE)&gt;=5,"Good","Bad"),VLOOKUP(DATE($K$1,$K$2,LPH$4),Table1[],(MATCH(Calendar!$A18,DB!$1:$1,0)),FALSE)),"")</f>
        <v/>
      </c>
      <c r="LPI18" s="28" t="str">
        <f>IFERROR(IF(LPR3="No",IF(VLOOKUP(DATE($K$1,$K$2,LPI$4),Table1[],(MATCH(Calendar!$A18,DB!$1:$1,0)),FALSE)&gt;=5,"Good","Bad"),VLOOKUP(DATE($K$1,$K$2,LPI$4),Table1[],(MATCH(Calendar!$A18,DB!$1:$1,0)),FALSE)),"")</f>
        <v/>
      </c>
      <c r="LPJ18" s="28" t="str">
        <f>IFERROR(IF(LPS3="No",IF(VLOOKUP(DATE($K$1,$K$2,LPJ$4),Table1[],(MATCH(Calendar!$A18,DB!$1:$1,0)),FALSE)&gt;=5,"Good","Bad"),VLOOKUP(DATE($K$1,$K$2,LPJ$4),Table1[],(MATCH(Calendar!$A18,DB!$1:$1,0)),FALSE)),"")</f>
        <v/>
      </c>
      <c r="LPK18" s="28" t="str">
        <f>IFERROR(IF(LPT3="No",IF(VLOOKUP(DATE($K$1,$K$2,LPK$4),Table1[],(MATCH(Calendar!$A18,DB!$1:$1,0)),FALSE)&gt;=5,"Good","Bad"),VLOOKUP(DATE($K$1,$K$2,LPK$4),Table1[],(MATCH(Calendar!$A18,DB!$1:$1,0)),FALSE)),"")</f>
        <v/>
      </c>
      <c r="LPL18" s="28" t="str">
        <f>IFERROR(IF(LPU3="No",IF(VLOOKUP(DATE($K$1,$K$2,LPL$4),Table1[],(MATCH(Calendar!$A18,DB!$1:$1,0)),FALSE)&gt;=5,"Good","Bad"),VLOOKUP(DATE($K$1,$K$2,LPL$4),Table1[],(MATCH(Calendar!$A18,DB!$1:$1,0)),FALSE)),"")</f>
        <v/>
      </c>
      <c r="LPM18" s="28" t="str">
        <f>IFERROR(IF(LPV3="No",IF(VLOOKUP(DATE($K$1,$K$2,LPM$4),Table1[],(MATCH(Calendar!$A18,DB!$1:$1,0)),FALSE)&gt;=5,"Good","Bad"),VLOOKUP(DATE($K$1,$K$2,LPM$4),Table1[],(MATCH(Calendar!$A18,DB!$1:$1,0)),FALSE)),"")</f>
        <v/>
      </c>
      <c r="LPN18" s="28" t="str">
        <f>IFERROR(IF(LPW3="No",IF(VLOOKUP(DATE($K$1,$K$2,LPN$4),Table1[],(MATCH(Calendar!$A18,DB!$1:$1,0)),FALSE)&gt;=5,"Good","Bad"),VLOOKUP(DATE($K$1,$K$2,LPN$4),Table1[],(MATCH(Calendar!$A18,DB!$1:$1,0)),FALSE)),"")</f>
        <v/>
      </c>
      <c r="LPO18" s="28" t="str">
        <f>IFERROR(IF(LPX3="No",IF(VLOOKUP(DATE($K$1,$K$2,LPO$4),Table1[],(MATCH(Calendar!$A18,DB!$1:$1,0)),FALSE)&gt;=5,"Good","Bad"),VLOOKUP(DATE($K$1,$K$2,LPO$4),Table1[],(MATCH(Calendar!$A18,DB!$1:$1,0)),FALSE)),"")</f>
        <v/>
      </c>
      <c r="LPP18" s="28" t="str">
        <f>IFERROR(IF(LPY3="No",IF(VLOOKUP(DATE($K$1,$K$2,LPP$4),Table1[],(MATCH(Calendar!$A18,DB!$1:$1,0)),FALSE)&gt;=5,"Good","Bad"),VLOOKUP(DATE($K$1,$K$2,LPP$4),Table1[],(MATCH(Calendar!$A18,DB!$1:$1,0)),FALSE)),"")</f>
        <v/>
      </c>
      <c r="LPQ18" s="28" t="str">
        <f>IFERROR(IF(LPZ3="No",IF(VLOOKUP(DATE($K$1,$K$2,LPQ$4),Table1[],(MATCH(Calendar!$A18,DB!$1:$1,0)),FALSE)&gt;=5,"Good","Bad"),VLOOKUP(DATE($K$1,$K$2,LPQ$4),Table1[],(MATCH(Calendar!$A18,DB!$1:$1,0)),FALSE)),"")</f>
        <v/>
      </c>
      <c r="LPR18" s="28" t="str">
        <f>IFERROR(IF(LQA3="No",IF(VLOOKUP(DATE($K$1,$K$2,LPR$4),Table1[],(MATCH(Calendar!$A18,DB!$1:$1,0)),FALSE)&gt;=5,"Good","Bad"),VLOOKUP(DATE($K$1,$K$2,LPR$4),Table1[],(MATCH(Calendar!$A18,DB!$1:$1,0)),FALSE)),"")</f>
        <v/>
      </c>
      <c r="LPS18" s="28" t="str">
        <f>IFERROR(IF(LQB3="No",IF(VLOOKUP(DATE($K$1,$K$2,LPS$4),Table1[],(MATCH(Calendar!$A18,DB!$1:$1,0)),FALSE)&gt;=5,"Good","Bad"),VLOOKUP(DATE($K$1,$K$2,LPS$4),Table1[],(MATCH(Calendar!$A18,DB!$1:$1,0)),FALSE)),"")</f>
        <v/>
      </c>
      <c r="LPT18" s="28" t="str">
        <f>IFERROR(IF(LQC3="No",IF(VLOOKUP(DATE($K$1,$K$2,LPT$4),Table1[],(MATCH(Calendar!$A18,DB!$1:$1,0)),FALSE)&gt;=5,"Good","Bad"),VLOOKUP(DATE($K$1,$K$2,LPT$4),Table1[],(MATCH(Calendar!$A18,DB!$1:$1,0)),FALSE)),"")</f>
        <v/>
      </c>
      <c r="LPU18" s="28" t="str">
        <f>IFERROR(IF(LQD3="No",IF(VLOOKUP(DATE($K$1,$K$2,LPU$4),Table1[],(MATCH(Calendar!$A18,DB!$1:$1,0)),FALSE)&gt;=5,"Good","Bad"),VLOOKUP(DATE($K$1,$K$2,LPU$4),Table1[],(MATCH(Calendar!$A18,DB!$1:$1,0)),FALSE)),"")</f>
        <v/>
      </c>
      <c r="LPV18" s="28" t="str">
        <f>IFERROR(IF(LQE3="No",IF(VLOOKUP(DATE($K$1,$K$2,LPV$4),Table1[],(MATCH(Calendar!$A18,DB!$1:$1,0)),FALSE)&gt;=5,"Good","Bad"),VLOOKUP(DATE($K$1,$K$2,LPV$4),Table1[],(MATCH(Calendar!$A18,DB!$1:$1,0)),FALSE)),"")</f>
        <v/>
      </c>
      <c r="LPW18" s="28" t="str">
        <f>IFERROR(IF(LQF3="No",IF(VLOOKUP(DATE($K$1,$K$2,LPW$4),Table1[],(MATCH(Calendar!$A18,DB!$1:$1,0)),FALSE)&gt;=5,"Good","Bad"),VLOOKUP(DATE($K$1,$K$2,LPW$4),Table1[],(MATCH(Calendar!$A18,DB!$1:$1,0)),FALSE)),"")</f>
        <v/>
      </c>
      <c r="LPX18" s="28" t="str">
        <f>IFERROR(IF(LQG3="No",IF(VLOOKUP(DATE($K$1,$K$2,LPX$4),Table1[],(MATCH(Calendar!$A18,DB!$1:$1,0)),FALSE)&gt;=5,"Good","Bad"),VLOOKUP(DATE($K$1,$K$2,LPX$4),Table1[],(MATCH(Calendar!$A18,DB!$1:$1,0)),FALSE)),"")</f>
        <v/>
      </c>
      <c r="LPY18" s="28" t="str">
        <f>IFERROR(IF(LQH3="No",IF(VLOOKUP(DATE($K$1,$K$2,LPY$4),Table1[],(MATCH(Calendar!$A18,DB!$1:$1,0)),FALSE)&gt;=5,"Good","Bad"),VLOOKUP(DATE($K$1,$K$2,LPY$4),Table1[],(MATCH(Calendar!$A18,DB!$1:$1,0)),FALSE)),"")</f>
        <v/>
      </c>
      <c r="LPZ18" s="28" t="str">
        <f>IFERROR(IF(LQI3="No",IF(VLOOKUP(DATE($K$1,$K$2,LPZ$4),Table1[],(MATCH(Calendar!$A18,DB!$1:$1,0)),FALSE)&gt;=5,"Good","Bad"),VLOOKUP(DATE($K$1,$K$2,LPZ$4),Table1[],(MATCH(Calendar!$A18,DB!$1:$1,0)),FALSE)),"")</f>
        <v/>
      </c>
      <c r="LQA18" s="28" t="str">
        <f>IFERROR(IF(LQJ3="No",IF(VLOOKUP(DATE($K$1,$K$2,LQA$4),Table1[],(MATCH(Calendar!$A18,DB!$1:$1,0)),FALSE)&gt;=5,"Good","Bad"),VLOOKUP(DATE($K$1,$K$2,LQA$4),Table1[],(MATCH(Calendar!$A18,DB!$1:$1,0)),FALSE)),"")</f>
        <v/>
      </c>
      <c r="LQB18" s="28" t="str">
        <f>IFERROR(IF(LQK3="No",IF(VLOOKUP(DATE($K$1,$K$2,LQB$4),Table1[],(MATCH(Calendar!$A18,DB!$1:$1,0)),FALSE)&gt;=5,"Good","Bad"),VLOOKUP(DATE($K$1,$K$2,LQB$4),Table1[],(MATCH(Calendar!$A18,DB!$1:$1,0)),FALSE)),"")</f>
        <v/>
      </c>
      <c r="LQC18" s="28" t="str">
        <f>IFERROR(IF(LQL3="No",IF(VLOOKUP(DATE($K$1,$K$2,LQC$4),Table1[],(MATCH(Calendar!$A18,DB!$1:$1,0)),FALSE)&gt;=5,"Good","Bad"),VLOOKUP(DATE($K$1,$K$2,LQC$4),Table1[],(MATCH(Calendar!$A18,DB!$1:$1,0)),FALSE)),"")</f>
        <v/>
      </c>
      <c r="LQD18" s="28" t="str">
        <f>IFERROR(IF(LQM3="No",IF(VLOOKUP(DATE($K$1,$K$2,LQD$4),Table1[],(MATCH(Calendar!$A18,DB!$1:$1,0)),FALSE)&gt;=5,"Good","Bad"),VLOOKUP(DATE($K$1,$K$2,LQD$4),Table1[],(MATCH(Calendar!$A18,DB!$1:$1,0)),FALSE)),"")</f>
        <v/>
      </c>
      <c r="LQE18" s="28" t="str">
        <f>IFERROR(IF(LQN3="No",IF(VLOOKUP(DATE($K$1,$K$2,LQE$4),Table1[],(MATCH(Calendar!$A18,DB!$1:$1,0)),FALSE)&gt;=5,"Good","Bad"),VLOOKUP(DATE($K$1,$K$2,LQE$4),Table1[],(MATCH(Calendar!$A18,DB!$1:$1,0)),FALSE)),"")</f>
        <v/>
      </c>
      <c r="LQF18" s="28" t="str">
        <f>IFERROR(IF(LQO3="No",IF(VLOOKUP(DATE($K$1,$K$2,LQF$4),Table1[],(MATCH(Calendar!$A18,DB!$1:$1,0)),FALSE)&gt;=5,"Good","Bad"),VLOOKUP(DATE($K$1,$K$2,LQF$4),Table1[],(MATCH(Calendar!$A18,DB!$1:$1,0)),FALSE)),"")</f>
        <v/>
      </c>
      <c r="LQG18" s="28" t="str">
        <f>IFERROR(IF(LQP3="No",IF(VLOOKUP(DATE($K$1,$K$2,LQG$4),Table1[],(MATCH(Calendar!$A18,DB!$1:$1,0)),FALSE)&gt;=5,"Good","Bad"),VLOOKUP(DATE($K$1,$K$2,LQG$4),Table1[],(MATCH(Calendar!$A18,DB!$1:$1,0)),FALSE)),"")</f>
        <v/>
      </c>
      <c r="LQH18" s="28" t="str">
        <f>IFERROR(IF(LQQ3="No",IF(VLOOKUP(DATE($K$1,$K$2,LQH$4),Table1[],(MATCH(Calendar!$A18,DB!$1:$1,0)),FALSE)&gt;=5,"Good","Bad"),VLOOKUP(DATE($K$1,$K$2,LQH$4),Table1[],(MATCH(Calendar!$A18,DB!$1:$1,0)),FALSE)),"")</f>
        <v/>
      </c>
      <c r="LQI18" s="28" t="str">
        <f>IFERROR(IF(LQR3="No",IF(VLOOKUP(DATE($K$1,$K$2,LQI$4),Table1[],(MATCH(Calendar!$A18,DB!$1:$1,0)),FALSE)&gt;=5,"Good","Bad"),VLOOKUP(DATE($K$1,$K$2,LQI$4),Table1[],(MATCH(Calendar!$A18,DB!$1:$1,0)),FALSE)),"")</f>
        <v/>
      </c>
      <c r="LQJ18" s="28" t="str">
        <f>IFERROR(IF(LQS3="No",IF(VLOOKUP(DATE($K$1,$K$2,LQJ$4),Table1[],(MATCH(Calendar!$A18,DB!$1:$1,0)),FALSE)&gt;=5,"Good","Bad"),VLOOKUP(DATE($K$1,$K$2,LQJ$4),Table1[],(MATCH(Calendar!$A18,DB!$1:$1,0)),FALSE)),"")</f>
        <v/>
      </c>
      <c r="LQK18" s="28" t="str">
        <f>IFERROR(IF(LQT3="No",IF(VLOOKUP(DATE($K$1,$K$2,LQK$4),Table1[],(MATCH(Calendar!$A18,DB!$1:$1,0)),FALSE)&gt;=5,"Good","Bad"),VLOOKUP(DATE($K$1,$K$2,LQK$4),Table1[],(MATCH(Calendar!$A18,DB!$1:$1,0)),FALSE)),"")</f>
        <v/>
      </c>
      <c r="LQL18" s="28" t="str">
        <f>IFERROR(IF(LQU3="No",IF(VLOOKUP(DATE($K$1,$K$2,LQL$4),Table1[],(MATCH(Calendar!$A18,DB!$1:$1,0)),FALSE)&gt;=5,"Good","Bad"),VLOOKUP(DATE($K$1,$K$2,LQL$4),Table1[],(MATCH(Calendar!$A18,DB!$1:$1,0)),FALSE)),"")</f>
        <v/>
      </c>
      <c r="LQM18" s="28" t="str">
        <f>IFERROR(IF(LQV3="No",IF(VLOOKUP(DATE($K$1,$K$2,LQM$4),Table1[],(MATCH(Calendar!$A18,DB!$1:$1,0)),FALSE)&gt;=5,"Good","Bad"),VLOOKUP(DATE($K$1,$K$2,LQM$4),Table1[],(MATCH(Calendar!$A18,DB!$1:$1,0)),FALSE)),"")</f>
        <v/>
      </c>
      <c r="LQN18" s="28" t="str">
        <f>IFERROR(IF(LQW3="No",IF(VLOOKUP(DATE($K$1,$K$2,LQN$4),Table1[],(MATCH(Calendar!$A18,DB!$1:$1,0)),FALSE)&gt;=5,"Good","Bad"),VLOOKUP(DATE($K$1,$K$2,LQN$4),Table1[],(MATCH(Calendar!$A18,DB!$1:$1,0)),FALSE)),"")</f>
        <v/>
      </c>
      <c r="LQO18" s="28" t="str">
        <f>IFERROR(IF(LQX3="No",IF(VLOOKUP(DATE($K$1,$K$2,LQO$4),Table1[],(MATCH(Calendar!$A18,DB!$1:$1,0)),FALSE)&gt;=5,"Good","Bad"),VLOOKUP(DATE($K$1,$K$2,LQO$4),Table1[],(MATCH(Calendar!$A18,DB!$1:$1,0)),FALSE)),"")</f>
        <v/>
      </c>
      <c r="LQP18" s="28" t="str">
        <f>IFERROR(IF(LQY3="No",IF(VLOOKUP(DATE($K$1,$K$2,LQP$4),Table1[],(MATCH(Calendar!$A18,DB!$1:$1,0)),FALSE)&gt;=5,"Good","Bad"),VLOOKUP(DATE($K$1,$K$2,LQP$4),Table1[],(MATCH(Calendar!$A18,DB!$1:$1,0)),FALSE)),"")</f>
        <v/>
      </c>
      <c r="LQQ18" s="28" t="str">
        <f>IFERROR(IF(LQZ3="No",IF(VLOOKUP(DATE($K$1,$K$2,LQQ$4),Table1[],(MATCH(Calendar!$A18,DB!$1:$1,0)),FALSE)&gt;=5,"Good","Bad"),VLOOKUP(DATE($K$1,$K$2,LQQ$4),Table1[],(MATCH(Calendar!$A18,DB!$1:$1,0)),FALSE)),"")</f>
        <v/>
      </c>
      <c r="LQR18" s="28" t="str">
        <f>IFERROR(IF(LRA3="No",IF(VLOOKUP(DATE($K$1,$K$2,LQR$4),Table1[],(MATCH(Calendar!$A18,DB!$1:$1,0)),FALSE)&gt;=5,"Good","Bad"),VLOOKUP(DATE($K$1,$K$2,LQR$4),Table1[],(MATCH(Calendar!$A18,DB!$1:$1,0)),FALSE)),"")</f>
        <v/>
      </c>
      <c r="LQS18" s="28" t="str">
        <f>IFERROR(IF(LRB3="No",IF(VLOOKUP(DATE($K$1,$K$2,LQS$4),Table1[],(MATCH(Calendar!$A18,DB!$1:$1,0)),FALSE)&gt;=5,"Good","Bad"),VLOOKUP(DATE($K$1,$K$2,LQS$4),Table1[],(MATCH(Calendar!$A18,DB!$1:$1,0)),FALSE)),"")</f>
        <v/>
      </c>
      <c r="LQT18" s="28" t="str">
        <f>IFERROR(IF(LRC3="No",IF(VLOOKUP(DATE($K$1,$K$2,LQT$4),Table1[],(MATCH(Calendar!$A18,DB!$1:$1,0)),FALSE)&gt;=5,"Good","Bad"),VLOOKUP(DATE($K$1,$K$2,LQT$4),Table1[],(MATCH(Calendar!$A18,DB!$1:$1,0)),FALSE)),"")</f>
        <v/>
      </c>
      <c r="LQU18" s="28" t="str">
        <f>IFERROR(IF(LRD3="No",IF(VLOOKUP(DATE($K$1,$K$2,LQU$4),Table1[],(MATCH(Calendar!$A18,DB!$1:$1,0)),FALSE)&gt;=5,"Good","Bad"),VLOOKUP(DATE($K$1,$K$2,LQU$4),Table1[],(MATCH(Calendar!$A18,DB!$1:$1,0)),FALSE)),"")</f>
        <v/>
      </c>
      <c r="LQV18" s="28" t="str">
        <f>IFERROR(IF(LRE3="No",IF(VLOOKUP(DATE($K$1,$K$2,LQV$4),Table1[],(MATCH(Calendar!$A18,DB!$1:$1,0)),FALSE)&gt;=5,"Good","Bad"),VLOOKUP(DATE($K$1,$K$2,LQV$4),Table1[],(MATCH(Calendar!$A18,DB!$1:$1,0)),FALSE)),"")</f>
        <v/>
      </c>
      <c r="LQW18" s="28" t="str">
        <f>IFERROR(IF(LRF3="No",IF(VLOOKUP(DATE($K$1,$K$2,LQW$4),Table1[],(MATCH(Calendar!$A18,DB!$1:$1,0)),FALSE)&gt;=5,"Good","Bad"),VLOOKUP(DATE($K$1,$K$2,LQW$4),Table1[],(MATCH(Calendar!$A18,DB!$1:$1,0)),FALSE)),"")</f>
        <v/>
      </c>
      <c r="LQX18" s="28" t="str">
        <f>IFERROR(IF(LRG3="No",IF(VLOOKUP(DATE($K$1,$K$2,LQX$4),Table1[],(MATCH(Calendar!$A18,DB!$1:$1,0)),FALSE)&gt;=5,"Good","Bad"),VLOOKUP(DATE($K$1,$K$2,LQX$4),Table1[],(MATCH(Calendar!$A18,DB!$1:$1,0)),FALSE)),"")</f>
        <v/>
      </c>
      <c r="LQY18" s="28" t="str">
        <f>IFERROR(IF(LRH3="No",IF(VLOOKUP(DATE($K$1,$K$2,LQY$4),Table1[],(MATCH(Calendar!$A18,DB!$1:$1,0)),FALSE)&gt;=5,"Good","Bad"),VLOOKUP(DATE($K$1,$K$2,LQY$4),Table1[],(MATCH(Calendar!$A18,DB!$1:$1,0)),FALSE)),"")</f>
        <v/>
      </c>
      <c r="LQZ18" s="28" t="str">
        <f>IFERROR(IF(LRI3="No",IF(VLOOKUP(DATE($K$1,$K$2,LQZ$4),Table1[],(MATCH(Calendar!$A18,DB!$1:$1,0)),FALSE)&gt;=5,"Good","Bad"),VLOOKUP(DATE($K$1,$K$2,LQZ$4),Table1[],(MATCH(Calendar!$A18,DB!$1:$1,0)),FALSE)),"")</f>
        <v/>
      </c>
      <c r="LRA18" s="28" t="str">
        <f>IFERROR(IF(LRJ3="No",IF(VLOOKUP(DATE($K$1,$K$2,LRA$4),Table1[],(MATCH(Calendar!$A18,DB!$1:$1,0)),FALSE)&gt;=5,"Good","Bad"),VLOOKUP(DATE($K$1,$K$2,LRA$4),Table1[],(MATCH(Calendar!$A18,DB!$1:$1,0)),FALSE)),"")</f>
        <v/>
      </c>
      <c r="LRB18" s="28" t="str">
        <f>IFERROR(IF(LRK3="No",IF(VLOOKUP(DATE($K$1,$K$2,LRB$4),Table1[],(MATCH(Calendar!$A18,DB!$1:$1,0)),FALSE)&gt;=5,"Good","Bad"),VLOOKUP(DATE($K$1,$K$2,LRB$4),Table1[],(MATCH(Calendar!$A18,DB!$1:$1,0)),FALSE)),"")</f>
        <v/>
      </c>
      <c r="LRC18" s="28" t="str">
        <f>IFERROR(IF(LRL3="No",IF(VLOOKUP(DATE($K$1,$K$2,LRC$4),Table1[],(MATCH(Calendar!$A18,DB!$1:$1,0)),FALSE)&gt;=5,"Good","Bad"),VLOOKUP(DATE($K$1,$K$2,LRC$4),Table1[],(MATCH(Calendar!$A18,DB!$1:$1,0)),FALSE)),"")</f>
        <v/>
      </c>
      <c r="LRD18" s="28" t="str">
        <f>IFERROR(IF(LRM3="No",IF(VLOOKUP(DATE($K$1,$K$2,LRD$4),Table1[],(MATCH(Calendar!$A18,DB!$1:$1,0)),FALSE)&gt;=5,"Good","Bad"),VLOOKUP(DATE($K$1,$K$2,LRD$4),Table1[],(MATCH(Calendar!$A18,DB!$1:$1,0)),FALSE)),"")</f>
        <v/>
      </c>
      <c r="LRE18" s="28" t="str">
        <f>IFERROR(IF(LRN3="No",IF(VLOOKUP(DATE($K$1,$K$2,LRE$4),Table1[],(MATCH(Calendar!$A18,DB!$1:$1,0)),FALSE)&gt;=5,"Good","Bad"),VLOOKUP(DATE($K$1,$K$2,LRE$4),Table1[],(MATCH(Calendar!$A18,DB!$1:$1,0)),FALSE)),"")</f>
        <v/>
      </c>
      <c r="LRF18" s="28" t="str">
        <f>IFERROR(IF(LRO3="No",IF(VLOOKUP(DATE($K$1,$K$2,LRF$4),Table1[],(MATCH(Calendar!$A18,DB!$1:$1,0)),FALSE)&gt;=5,"Good","Bad"),VLOOKUP(DATE($K$1,$K$2,LRF$4),Table1[],(MATCH(Calendar!$A18,DB!$1:$1,0)),FALSE)),"")</f>
        <v/>
      </c>
      <c r="LRG18" s="28" t="str">
        <f>IFERROR(IF(LRP3="No",IF(VLOOKUP(DATE($K$1,$K$2,LRG$4),Table1[],(MATCH(Calendar!$A18,DB!$1:$1,0)),FALSE)&gt;=5,"Good","Bad"),VLOOKUP(DATE($K$1,$K$2,LRG$4),Table1[],(MATCH(Calendar!$A18,DB!$1:$1,0)),FALSE)),"")</f>
        <v/>
      </c>
      <c r="LRH18" s="28" t="str">
        <f>IFERROR(IF(LRQ3="No",IF(VLOOKUP(DATE($K$1,$K$2,LRH$4),Table1[],(MATCH(Calendar!$A18,DB!$1:$1,0)),FALSE)&gt;=5,"Good","Bad"),VLOOKUP(DATE($K$1,$K$2,LRH$4),Table1[],(MATCH(Calendar!$A18,DB!$1:$1,0)),FALSE)),"")</f>
        <v/>
      </c>
      <c r="LRI18" s="28" t="str">
        <f>IFERROR(IF(LRR3="No",IF(VLOOKUP(DATE($K$1,$K$2,LRI$4),Table1[],(MATCH(Calendar!$A18,DB!$1:$1,0)),FALSE)&gt;=5,"Good","Bad"),VLOOKUP(DATE($K$1,$K$2,LRI$4),Table1[],(MATCH(Calendar!$A18,DB!$1:$1,0)),FALSE)),"")</f>
        <v/>
      </c>
      <c r="LRJ18" s="28" t="str">
        <f>IFERROR(IF(LRS3="No",IF(VLOOKUP(DATE($K$1,$K$2,LRJ$4),Table1[],(MATCH(Calendar!$A18,DB!$1:$1,0)),FALSE)&gt;=5,"Good","Bad"),VLOOKUP(DATE($K$1,$K$2,LRJ$4),Table1[],(MATCH(Calendar!$A18,DB!$1:$1,0)),FALSE)),"")</f>
        <v/>
      </c>
      <c r="LRK18" s="28" t="str">
        <f>IFERROR(IF(LRT3="No",IF(VLOOKUP(DATE($K$1,$K$2,LRK$4),Table1[],(MATCH(Calendar!$A18,DB!$1:$1,0)),FALSE)&gt;=5,"Good","Bad"),VLOOKUP(DATE($K$1,$K$2,LRK$4),Table1[],(MATCH(Calendar!$A18,DB!$1:$1,0)),FALSE)),"")</f>
        <v/>
      </c>
      <c r="LRL18" s="28" t="str">
        <f>IFERROR(IF(LRU3="No",IF(VLOOKUP(DATE($K$1,$K$2,LRL$4),Table1[],(MATCH(Calendar!$A18,DB!$1:$1,0)),FALSE)&gt;=5,"Good","Bad"),VLOOKUP(DATE($K$1,$K$2,LRL$4),Table1[],(MATCH(Calendar!$A18,DB!$1:$1,0)),FALSE)),"")</f>
        <v/>
      </c>
      <c r="LRM18" s="28" t="str">
        <f>IFERROR(IF(LRV3="No",IF(VLOOKUP(DATE($K$1,$K$2,LRM$4),Table1[],(MATCH(Calendar!$A18,DB!$1:$1,0)),FALSE)&gt;=5,"Good","Bad"),VLOOKUP(DATE($K$1,$K$2,LRM$4),Table1[],(MATCH(Calendar!$A18,DB!$1:$1,0)),FALSE)),"")</f>
        <v/>
      </c>
      <c r="LRN18" s="28" t="str">
        <f>IFERROR(IF(LRW3="No",IF(VLOOKUP(DATE($K$1,$K$2,LRN$4),Table1[],(MATCH(Calendar!$A18,DB!$1:$1,0)),FALSE)&gt;=5,"Good","Bad"),VLOOKUP(DATE($K$1,$K$2,LRN$4),Table1[],(MATCH(Calendar!$A18,DB!$1:$1,0)),FALSE)),"")</f>
        <v/>
      </c>
      <c r="LRO18" s="28" t="str">
        <f>IFERROR(IF(LRX3="No",IF(VLOOKUP(DATE($K$1,$K$2,LRO$4),Table1[],(MATCH(Calendar!$A18,DB!$1:$1,0)),FALSE)&gt;=5,"Good","Bad"),VLOOKUP(DATE($K$1,$K$2,LRO$4),Table1[],(MATCH(Calendar!$A18,DB!$1:$1,0)),FALSE)),"")</f>
        <v/>
      </c>
      <c r="LRP18" s="28" t="str">
        <f>IFERROR(IF(LRY3="No",IF(VLOOKUP(DATE($K$1,$K$2,LRP$4),Table1[],(MATCH(Calendar!$A18,DB!$1:$1,0)),FALSE)&gt;=5,"Good","Bad"),VLOOKUP(DATE($K$1,$K$2,LRP$4),Table1[],(MATCH(Calendar!$A18,DB!$1:$1,0)),FALSE)),"")</f>
        <v/>
      </c>
      <c r="LRQ18" s="28" t="str">
        <f>IFERROR(IF(LRZ3="No",IF(VLOOKUP(DATE($K$1,$K$2,LRQ$4),Table1[],(MATCH(Calendar!$A18,DB!$1:$1,0)),FALSE)&gt;=5,"Good","Bad"),VLOOKUP(DATE($K$1,$K$2,LRQ$4),Table1[],(MATCH(Calendar!$A18,DB!$1:$1,0)),FALSE)),"")</f>
        <v/>
      </c>
      <c r="LRR18" s="28" t="str">
        <f>IFERROR(IF(LSA3="No",IF(VLOOKUP(DATE($K$1,$K$2,LRR$4),Table1[],(MATCH(Calendar!$A18,DB!$1:$1,0)),FALSE)&gt;=5,"Good","Bad"),VLOOKUP(DATE($K$1,$K$2,LRR$4),Table1[],(MATCH(Calendar!$A18,DB!$1:$1,0)),FALSE)),"")</f>
        <v/>
      </c>
      <c r="LRS18" s="28" t="str">
        <f>IFERROR(IF(LSB3="No",IF(VLOOKUP(DATE($K$1,$K$2,LRS$4),Table1[],(MATCH(Calendar!$A18,DB!$1:$1,0)),FALSE)&gt;=5,"Good","Bad"),VLOOKUP(DATE($K$1,$K$2,LRS$4),Table1[],(MATCH(Calendar!$A18,DB!$1:$1,0)),FALSE)),"")</f>
        <v/>
      </c>
      <c r="LRT18" s="28" t="str">
        <f>IFERROR(IF(LSC3="No",IF(VLOOKUP(DATE($K$1,$K$2,LRT$4),Table1[],(MATCH(Calendar!$A18,DB!$1:$1,0)),FALSE)&gt;=5,"Good","Bad"),VLOOKUP(DATE($K$1,$K$2,LRT$4),Table1[],(MATCH(Calendar!$A18,DB!$1:$1,0)),FALSE)),"")</f>
        <v/>
      </c>
      <c r="LRU18" s="28" t="str">
        <f>IFERROR(IF(LSD3="No",IF(VLOOKUP(DATE($K$1,$K$2,LRU$4),Table1[],(MATCH(Calendar!$A18,DB!$1:$1,0)),FALSE)&gt;=5,"Good","Bad"),VLOOKUP(DATE($K$1,$K$2,LRU$4),Table1[],(MATCH(Calendar!$A18,DB!$1:$1,0)),FALSE)),"")</f>
        <v/>
      </c>
      <c r="LRV18" s="28" t="str">
        <f>IFERROR(IF(LSE3="No",IF(VLOOKUP(DATE($K$1,$K$2,LRV$4),Table1[],(MATCH(Calendar!$A18,DB!$1:$1,0)),FALSE)&gt;=5,"Good","Bad"),VLOOKUP(DATE($K$1,$K$2,LRV$4),Table1[],(MATCH(Calendar!$A18,DB!$1:$1,0)),FALSE)),"")</f>
        <v/>
      </c>
      <c r="LRW18" s="28" t="str">
        <f>IFERROR(IF(LSF3="No",IF(VLOOKUP(DATE($K$1,$K$2,LRW$4),Table1[],(MATCH(Calendar!$A18,DB!$1:$1,0)),FALSE)&gt;=5,"Good","Bad"),VLOOKUP(DATE($K$1,$K$2,LRW$4),Table1[],(MATCH(Calendar!$A18,DB!$1:$1,0)),FALSE)),"")</f>
        <v/>
      </c>
      <c r="LRX18" s="28" t="str">
        <f>IFERROR(IF(LSG3="No",IF(VLOOKUP(DATE($K$1,$K$2,LRX$4),Table1[],(MATCH(Calendar!$A18,DB!$1:$1,0)),FALSE)&gt;=5,"Good","Bad"),VLOOKUP(DATE($K$1,$K$2,LRX$4),Table1[],(MATCH(Calendar!$A18,DB!$1:$1,0)),FALSE)),"")</f>
        <v/>
      </c>
      <c r="LRY18" s="28" t="str">
        <f>IFERROR(IF(LSH3="No",IF(VLOOKUP(DATE($K$1,$K$2,LRY$4),Table1[],(MATCH(Calendar!$A18,DB!$1:$1,0)),FALSE)&gt;=5,"Good","Bad"),VLOOKUP(DATE($K$1,$K$2,LRY$4),Table1[],(MATCH(Calendar!$A18,DB!$1:$1,0)),FALSE)),"")</f>
        <v/>
      </c>
      <c r="LRZ18" s="28" t="str">
        <f>IFERROR(IF(LSI3="No",IF(VLOOKUP(DATE($K$1,$K$2,LRZ$4),Table1[],(MATCH(Calendar!$A18,DB!$1:$1,0)),FALSE)&gt;=5,"Good","Bad"),VLOOKUP(DATE($K$1,$K$2,LRZ$4),Table1[],(MATCH(Calendar!$A18,DB!$1:$1,0)),FALSE)),"")</f>
        <v/>
      </c>
      <c r="LSA18" s="28" t="str">
        <f>IFERROR(IF(LSJ3="No",IF(VLOOKUP(DATE($K$1,$K$2,LSA$4),Table1[],(MATCH(Calendar!$A18,DB!$1:$1,0)),FALSE)&gt;=5,"Good","Bad"),VLOOKUP(DATE($K$1,$K$2,LSA$4),Table1[],(MATCH(Calendar!$A18,DB!$1:$1,0)),FALSE)),"")</f>
        <v/>
      </c>
      <c r="LSB18" s="28" t="str">
        <f>IFERROR(IF(LSK3="No",IF(VLOOKUP(DATE($K$1,$K$2,LSB$4),Table1[],(MATCH(Calendar!$A18,DB!$1:$1,0)),FALSE)&gt;=5,"Good","Bad"),VLOOKUP(DATE($K$1,$K$2,LSB$4),Table1[],(MATCH(Calendar!$A18,DB!$1:$1,0)),FALSE)),"")</f>
        <v/>
      </c>
      <c r="LSC18" s="28" t="str">
        <f>IFERROR(IF(LSL3="No",IF(VLOOKUP(DATE($K$1,$K$2,LSC$4),Table1[],(MATCH(Calendar!$A18,DB!$1:$1,0)),FALSE)&gt;=5,"Good","Bad"),VLOOKUP(DATE($K$1,$K$2,LSC$4),Table1[],(MATCH(Calendar!$A18,DB!$1:$1,0)),FALSE)),"")</f>
        <v/>
      </c>
      <c r="LSD18" s="28" t="str">
        <f>IFERROR(IF(LSM3="No",IF(VLOOKUP(DATE($K$1,$K$2,LSD$4),Table1[],(MATCH(Calendar!$A18,DB!$1:$1,0)),FALSE)&gt;=5,"Good","Bad"),VLOOKUP(DATE($K$1,$K$2,LSD$4),Table1[],(MATCH(Calendar!$A18,DB!$1:$1,0)),FALSE)),"")</f>
        <v/>
      </c>
      <c r="LSE18" s="28" t="str">
        <f>IFERROR(IF(LSN3="No",IF(VLOOKUP(DATE($K$1,$K$2,LSE$4),Table1[],(MATCH(Calendar!$A18,DB!$1:$1,0)),FALSE)&gt;=5,"Good","Bad"),VLOOKUP(DATE($K$1,$K$2,LSE$4),Table1[],(MATCH(Calendar!$A18,DB!$1:$1,0)),FALSE)),"")</f>
        <v/>
      </c>
      <c r="LSF18" s="28" t="str">
        <f>IFERROR(IF(LSO3="No",IF(VLOOKUP(DATE($K$1,$K$2,LSF$4),Table1[],(MATCH(Calendar!$A18,DB!$1:$1,0)),FALSE)&gt;=5,"Good","Bad"),VLOOKUP(DATE($K$1,$K$2,LSF$4),Table1[],(MATCH(Calendar!$A18,DB!$1:$1,0)),FALSE)),"")</f>
        <v/>
      </c>
      <c r="LSG18" s="28" t="str">
        <f>IFERROR(IF(LSP3="No",IF(VLOOKUP(DATE($K$1,$K$2,LSG$4),Table1[],(MATCH(Calendar!$A18,DB!$1:$1,0)),FALSE)&gt;=5,"Good","Bad"),VLOOKUP(DATE($K$1,$K$2,LSG$4),Table1[],(MATCH(Calendar!$A18,DB!$1:$1,0)),FALSE)),"")</f>
        <v/>
      </c>
      <c r="LSH18" s="28" t="str">
        <f>IFERROR(IF(LSQ3="No",IF(VLOOKUP(DATE($K$1,$K$2,LSH$4),Table1[],(MATCH(Calendar!$A18,DB!$1:$1,0)),FALSE)&gt;=5,"Good","Bad"),VLOOKUP(DATE($K$1,$K$2,LSH$4),Table1[],(MATCH(Calendar!$A18,DB!$1:$1,0)),FALSE)),"")</f>
        <v/>
      </c>
      <c r="LSI18" s="28" t="str">
        <f>IFERROR(IF(LSR3="No",IF(VLOOKUP(DATE($K$1,$K$2,LSI$4),Table1[],(MATCH(Calendar!$A18,DB!$1:$1,0)),FALSE)&gt;=5,"Good","Bad"),VLOOKUP(DATE($K$1,$K$2,LSI$4),Table1[],(MATCH(Calendar!$A18,DB!$1:$1,0)),FALSE)),"")</f>
        <v/>
      </c>
      <c r="LSJ18" s="28" t="str">
        <f>IFERROR(IF(LSS3="No",IF(VLOOKUP(DATE($K$1,$K$2,LSJ$4),Table1[],(MATCH(Calendar!$A18,DB!$1:$1,0)),FALSE)&gt;=5,"Good","Bad"),VLOOKUP(DATE($K$1,$K$2,LSJ$4),Table1[],(MATCH(Calendar!$A18,DB!$1:$1,0)),FALSE)),"")</f>
        <v/>
      </c>
      <c r="LSK18" s="28" t="str">
        <f>IFERROR(IF(LST3="No",IF(VLOOKUP(DATE($K$1,$K$2,LSK$4),Table1[],(MATCH(Calendar!$A18,DB!$1:$1,0)),FALSE)&gt;=5,"Good","Bad"),VLOOKUP(DATE($K$1,$K$2,LSK$4),Table1[],(MATCH(Calendar!$A18,DB!$1:$1,0)),FALSE)),"")</f>
        <v/>
      </c>
      <c r="LSL18" s="28" t="str">
        <f>IFERROR(IF(LSU3="No",IF(VLOOKUP(DATE($K$1,$K$2,LSL$4),Table1[],(MATCH(Calendar!$A18,DB!$1:$1,0)),FALSE)&gt;=5,"Good","Bad"),VLOOKUP(DATE($K$1,$K$2,LSL$4),Table1[],(MATCH(Calendar!$A18,DB!$1:$1,0)),FALSE)),"")</f>
        <v/>
      </c>
      <c r="LSM18" s="28" t="str">
        <f>IFERROR(IF(LSV3="No",IF(VLOOKUP(DATE($K$1,$K$2,LSM$4),Table1[],(MATCH(Calendar!$A18,DB!$1:$1,0)),FALSE)&gt;=5,"Good","Bad"),VLOOKUP(DATE($K$1,$K$2,LSM$4),Table1[],(MATCH(Calendar!$A18,DB!$1:$1,0)),FALSE)),"")</f>
        <v/>
      </c>
      <c r="LSN18" s="28" t="str">
        <f>IFERROR(IF(LSW3="No",IF(VLOOKUP(DATE($K$1,$K$2,LSN$4),Table1[],(MATCH(Calendar!$A18,DB!$1:$1,0)),FALSE)&gt;=5,"Good","Bad"),VLOOKUP(DATE($K$1,$K$2,LSN$4),Table1[],(MATCH(Calendar!$A18,DB!$1:$1,0)),FALSE)),"")</f>
        <v/>
      </c>
      <c r="LSO18" s="28" t="str">
        <f>IFERROR(IF(LSX3="No",IF(VLOOKUP(DATE($K$1,$K$2,LSO$4),Table1[],(MATCH(Calendar!$A18,DB!$1:$1,0)),FALSE)&gt;=5,"Good","Bad"),VLOOKUP(DATE($K$1,$K$2,LSO$4),Table1[],(MATCH(Calendar!$A18,DB!$1:$1,0)),FALSE)),"")</f>
        <v/>
      </c>
      <c r="LSP18" s="28" t="str">
        <f>IFERROR(IF(LSY3="No",IF(VLOOKUP(DATE($K$1,$K$2,LSP$4),Table1[],(MATCH(Calendar!$A18,DB!$1:$1,0)),FALSE)&gt;=5,"Good","Bad"),VLOOKUP(DATE($K$1,$K$2,LSP$4),Table1[],(MATCH(Calendar!$A18,DB!$1:$1,0)),FALSE)),"")</f>
        <v/>
      </c>
      <c r="LSQ18" s="28" t="str">
        <f>IFERROR(IF(LSZ3="No",IF(VLOOKUP(DATE($K$1,$K$2,LSQ$4),Table1[],(MATCH(Calendar!$A18,DB!$1:$1,0)),FALSE)&gt;=5,"Good","Bad"),VLOOKUP(DATE($K$1,$K$2,LSQ$4),Table1[],(MATCH(Calendar!$A18,DB!$1:$1,0)),FALSE)),"")</f>
        <v/>
      </c>
      <c r="LSR18" s="28" t="str">
        <f>IFERROR(IF(LTA3="No",IF(VLOOKUP(DATE($K$1,$K$2,LSR$4),Table1[],(MATCH(Calendar!$A18,DB!$1:$1,0)),FALSE)&gt;=5,"Good","Bad"),VLOOKUP(DATE($K$1,$K$2,LSR$4),Table1[],(MATCH(Calendar!$A18,DB!$1:$1,0)),FALSE)),"")</f>
        <v/>
      </c>
      <c r="LSS18" s="28" t="str">
        <f>IFERROR(IF(LTB3="No",IF(VLOOKUP(DATE($K$1,$K$2,LSS$4),Table1[],(MATCH(Calendar!$A18,DB!$1:$1,0)),FALSE)&gt;=5,"Good","Bad"),VLOOKUP(DATE($K$1,$K$2,LSS$4),Table1[],(MATCH(Calendar!$A18,DB!$1:$1,0)),FALSE)),"")</f>
        <v/>
      </c>
      <c r="LST18" s="28" t="str">
        <f>IFERROR(IF(LTC3="No",IF(VLOOKUP(DATE($K$1,$K$2,LST$4),Table1[],(MATCH(Calendar!$A18,DB!$1:$1,0)),FALSE)&gt;=5,"Good","Bad"),VLOOKUP(DATE($K$1,$K$2,LST$4),Table1[],(MATCH(Calendar!$A18,DB!$1:$1,0)),FALSE)),"")</f>
        <v/>
      </c>
      <c r="LSU18" s="28" t="str">
        <f>IFERROR(IF(LTD3="No",IF(VLOOKUP(DATE($K$1,$K$2,LSU$4),Table1[],(MATCH(Calendar!$A18,DB!$1:$1,0)),FALSE)&gt;=5,"Good","Bad"),VLOOKUP(DATE($K$1,$K$2,LSU$4),Table1[],(MATCH(Calendar!$A18,DB!$1:$1,0)),FALSE)),"")</f>
        <v/>
      </c>
      <c r="LSV18" s="28" t="str">
        <f>IFERROR(IF(LTE3="No",IF(VLOOKUP(DATE($K$1,$K$2,LSV$4),Table1[],(MATCH(Calendar!$A18,DB!$1:$1,0)),FALSE)&gt;=5,"Good","Bad"),VLOOKUP(DATE($K$1,$K$2,LSV$4),Table1[],(MATCH(Calendar!$A18,DB!$1:$1,0)),FALSE)),"")</f>
        <v/>
      </c>
      <c r="LSW18" s="28" t="str">
        <f>IFERROR(IF(LTF3="No",IF(VLOOKUP(DATE($K$1,$K$2,LSW$4),Table1[],(MATCH(Calendar!$A18,DB!$1:$1,0)),FALSE)&gt;=5,"Good","Bad"),VLOOKUP(DATE($K$1,$K$2,LSW$4),Table1[],(MATCH(Calendar!$A18,DB!$1:$1,0)),FALSE)),"")</f>
        <v/>
      </c>
      <c r="LSX18" s="28" t="str">
        <f>IFERROR(IF(LTG3="No",IF(VLOOKUP(DATE($K$1,$K$2,LSX$4),Table1[],(MATCH(Calendar!$A18,DB!$1:$1,0)),FALSE)&gt;=5,"Good","Bad"),VLOOKUP(DATE($K$1,$K$2,LSX$4),Table1[],(MATCH(Calendar!$A18,DB!$1:$1,0)),FALSE)),"")</f>
        <v/>
      </c>
      <c r="LSY18" s="28" t="str">
        <f>IFERROR(IF(LTH3="No",IF(VLOOKUP(DATE($K$1,$K$2,LSY$4),Table1[],(MATCH(Calendar!$A18,DB!$1:$1,0)),FALSE)&gt;=5,"Good","Bad"),VLOOKUP(DATE($K$1,$K$2,LSY$4),Table1[],(MATCH(Calendar!$A18,DB!$1:$1,0)),FALSE)),"")</f>
        <v/>
      </c>
      <c r="LSZ18" s="28" t="str">
        <f>IFERROR(IF(LTI3="No",IF(VLOOKUP(DATE($K$1,$K$2,LSZ$4),Table1[],(MATCH(Calendar!$A18,DB!$1:$1,0)),FALSE)&gt;=5,"Good","Bad"),VLOOKUP(DATE($K$1,$K$2,LSZ$4),Table1[],(MATCH(Calendar!$A18,DB!$1:$1,0)),FALSE)),"")</f>
        <v/>
      </c>
      <c r="LTA18" s="28" t="str">
        <f>IFERROR(IF(LTJ3="No",IF(VLOOKUP(DATE($K$1,$K$2,LTA$4),Table1[],(MATCH(Calendar!$A18,DB!$1:$1,0)),FALSE)&gt;=5,"Good","Bad"),VLOOKUP(DATE($K$1,$K$2,LTA$4),Table1[],(MATCH(Calendar!$A18,DB!$1:$1,0)),FALSE)),"")</f>
        <v/>
      </c>
      <c r="LTB18" s="28" t="str">
        <f>IFERROR(IF(LTK3="No",IF(VLOOKUP(DATE($K$1,$K$2,LTB$4),Table1[],(MATCH(Calendar!$A18,DB!$1:$1,0)),FALSE)&gt;=5,"Good","Bad"),VLOOKUP(DATE($K$1,$K$2,LTB$4),Table1[],(MATCH(Calendar!$A18,DB!$1:$1,0)),FALSE)),"")</f>
        <v/>
      </c>
      <c r="LTC18" s="28" t="str">
        <f>IFERROR(IF(LTL3="No",IF(VLOOKUP(DATE($K$1,$K$2,LTC$4),Table1[],(MATCH(Calendar!$A18,DB!$1:$1,0)),FALSE)&gt;=5,"Good","Bad"),VLOOKUP(DATE($K$1,$K$2,LTC$4),Table1[],(MATCH(Calendar!$A18,DB!$1:$1,0)),FALSE)),"")</f>
        <v/>
      </c>
      <c r="LTD18" s="28" t="str">
        <f>IFERROR(IF(LTM3="No",IF(VLOOKUP(DATE($K$1,$K$2,LTD$4),Table1[],(MATCH(Calendar!$A18,DB!$1:$1,0)),FALSE)&gt;=5,"Good","Bad"),VLOOKUP(DATE($K$1,$K$2,LTD$4),Table1[],(MATCH(Calendar!$A18,DB!$1:$1,0)),FALSE)),"")</f>
        <v/>
      </c>
      <c r="LTE18" s="28" t="str">
        <f>IFERROR(IF(LTN3="No",IF(VLOOKUP(DATE($K$1,$K$2,LTE$4),Table1[],(MATCH(Calendar!$A18,DB!$1:$1,0)),FALSE)&gt;=5,"Good","Bad"),VLOOKUP(DATE($K$1,$K$2,LTE$4),Table1[],(MATCH(Calendar!$A18,DB!$1:$1,0)),FALSE)),"")</f>
        <v/>
      </c>
      <c r="LTF18" s="28" t="str">
        <f>IFERROR(IF(LTO3="No",IF(VLOOKUP(DATE($K$1,$K$2,LTF$4),Table1[],(MATCH(Calendar!$A18,DB!$1:$1,0)),FALSE)&gt;=5,"Good","Bad"),VLOOKUP(DATE($K$1,$K$2,LTF$4),Table1[],(MATCH(Calendar!$A18,DB!$1:$1,0)),FALSE)),"")</f>
        <v/>
      </c>
      <c r="LTG18" s="28" t="str">
        <f>IFERROR(IF(LTP3="No",IF(VLOOKUP(DATE($K$1,$K$2,LTG$4),Table1[],(MATCH(Calendar!$A18,DB!$1:$1,0)),FALSE)&gt;=5,"Good","Bad"),VLOOKUP(DATE($K$1,$K$2,LTG$4),Table1[],(MATCH(Calendar!$A18,DB!$1:$1,0)),FALSE)),"")</f>
        <v/>
      </c>
      <c r="LTH18" s="28" t="str">
        <f>IFERROR(IF(LTQ3="No",IF(VLOOKUP(DATE($K$1,$K$2,LTH$4),Table1[],(MATCH(Calendar!$A18,DB!$1:$1,0)),FALSE)&gt;=5,"Good","Bad"),VLOOKUP(DATE($K$1,$K$2,LTH$4),Table1[],(MATCH(Calendar!$A18,DB!$1:$1,0)),FALSE)),"")</f>
        <v/>
      </c>
      <c r="LTI18" s="28" t="str">
        <f>IFERROR(IF(LTR3="No",IF(VLOOKUP(DATE($K$1,$K$2,LTI$4),Table1[],(MATCH(Calendar!$A18,DB!$1:$1,0)),FALSE)&gt;=5,"Good","Bad"),VLOOKUP(DATE($K$1,$K$2,LTI$4),Table1[],(MATCH(Calendar!$A18,DB!$1:$1,0)),FALSE)),"")</f>
        <v/>
      </c>
      <c r="LTJ18" s="28" t="str">
        <f>IFERROR(IF(LTS3="No",IF(VLOOKUP(DATE($K$1,$K$2,LTJ$4),Table1[],(MATCH(Calendar!$A18,DB!$1:$1,0)),FALSE)&gt;=5,"Good","Bad"),VLOOKUP(DATE($K$1,$K$2,LTJ$4),Table1[],(MATCH(Calendar!$A18,DB!$1:$1,0)),FALSE)),"")</f>
        <v/>
      </c>
      <c r="LTK18" s="28" t="str">
        <f>IFERROR(IF(LTT3="No",IF(VLOOKUP(DATE($K$1,$K$2,LTK$4),Table1[],(MATCH(Calendar!$A18,DB!$1:$1,0)),FALSE)&gt;=5,"Good","Bad"),VLOOKUP(DATE($K$1,$K$2,LTK$4),Table1[],(MATCH(Calendar!$A18,DB!$1:$1,0)),FALSE)),"")</f>
        <v/>
      </c>
      <c r="LTL18" s="28" t="str">
        <f>IFERROR(IF(LTU3="No",IF(VLOOKUP(DATE($K$1,$K$2,LTL$4),Table1[],(MATCH(Calendar!$A18,DB!$1:$1,0)),FALSE)&gt;=5,"Good","Bad"),VLOOKUP(DATE($K$1,$K$2,LTL$4),Table1[],(MATCH(Calendar!$A18,DB!$1:$1,0)),FALSE)),"")</f>
        <v/>
      </c>
      <c r="LTM18" s="28" t="str">
        <f>IFERROR(IF(LTV3="No",IF(VLOOKUP(DATE($K$1,$K$2,LTM$4),Table1[],(MATCH(Calendar!$A18,DB!$1:$1,0)),FALSE)&gt;=5,"Good","Bad"),VLOOKUP(DATE($K$1,$K$2,LTM$4),Table1[],(MATCH(Calendar!$A18,DB!$1:$1,0)),FALSE)),"")</f>
        <v/>
      </c>
      <c r="LTN18" s="28" t="str">
        <f>IFERROR(IF(LTW3="No",IF(VLOOKUP(DATE($K$1,$K$2,LTN$4),Table1[],(MATCH(Calendar!$A18,DB!$1:$1,0)),FALSE)&gt;=5,"Good","Bad"),VLOOKUP(DATE($K$1,$K$2,LTN$4),Table1[],(MATCH(Calendar!$A18,DB!$1:$1,0)),FALSE)),"")</f>
        <v/>
      </c>
      <c r="LTO18" s="28" t="str">
        <f>IFERROR(IF(LTX3="No",IF(VLOOKUP(DATE($K$1,$K$2,LTO$4),Table1[],(MATCH(Calendar!$A18,DB!$1:$1,0)),FALSE)&gt;=5,"Good","Bad"),VLOOKUP(DATE($K$1,$K$2,LTO$4),Table1[],(MATCH(Calendar!$A18,DB!$1:$1,0)),FALSE)),"")</f>
        <v/>
      </c>
      <c r="LTP18" s="28" t="str">
        <f>IFERROR(IF(LTY3="No",IF(VLOOKUP(DATE($K$1,$K$2,LTP$4),Table1[],(MATCH(Calendar!$A18,DB!$1:$1,0)),FALSE)&gt;=5,"Good","Bad"),VLOOKUP(DATE($K$1,$K$2,LTP$4),Table1[],(MATCH(Calendar!$A18,DB!$1:$1,0)),FALSE)),"")</f>
        <v/>
      </c>
      <c r="LTQ18" s="28" t="str">
        <f>IFERROR(IF(LTZ3="No",IF(VLOOKUP(DATE($K$1,$K$2,LTQ$4),Table1[],(MATCH(Calendar!$A18,DB!$1:$1,0)),FALSE)&gt;=5,"Good","Bad"),VLOOKUP(DATE($K$1,$K$2,LTQ$4),Table1[],(MATCH(Calendar!$A18,DB!$1:$1,0)),FALSE)),"")</f>
        <v/>
      </c>
      <c r="LTR18" s="28" t="str">
        <f>IFERROR(IF(LUA3="No",IF(VLOOKUP(DATE($K$1,$K$2,LTR$4),Table1[],(MATCH(Calendar!$A18,DB!$1:$1,0)),FALSE)&gt;=5,"Good","Bad"),VLOOKUP(DATE($K$1,$K$2,LTR$4),Table1[],(MATCH(Calendar!$A18,DB!$1:$1,0)),FALSE)),"")</f>
        <v/>
      </c>
      <c r="LTS18" s="28" t="str">
        <f>IFERROR(IF(LUB3="No",IF(VLOOKUP(DATE($K$1,$K$2,LTS$4),Table1[],(MATCH(Calendar!$A18,DB!$1:$1,0)),FALSE)&gt;=5,"Good","Bad"),VLOOKUP(DATE($K$1,$K$2,LTS$4),Table1[],(MATCH(Calendar!$A18,DB!$1:$1,0)),FALSE)),"")</f>
        <v/>
      </c>
      <c r="LTT18" s="28" t="str">
        <f>IFERROR(IF(LUC3="No",IF(VLOOKUP(DATE($K$1,$K$2,LTT$4),Table1[],(MATCH(Calendar!$A18,DB!$1:$1,0)),FALSE)&gt;=5,"Good","Bad"),VLOOKUP(DATE($K$1,$K$2,LTT$4),Table1[],(MATCH(Calendar!$A18,DB!$1:$1,0)),FALSE)),"")</f>
        <v/>
      </c>
      <c r="LTU18" s="28" t="str">
        <f>IFERROR(IF(LUD3="No",IF(VLOOKUP(DATE($K$1,$K$2,LTU$4),Table1[],(MATCH(Calendar!$A18,DB!$1:$1,0)),FALSE)&gt;=5,"Good","Bad"),VLOOKUP(DATE($K$1,$K$2,LTU$4),Table1[],(MATCH(Calendar!$A18,DB!$1:$1,0)),FALSE)),"")</f>
        <v/>
      </c>
      <c r="LTV18" s="28" t="str">
        <f>IFERROR(IF(LUE3="No",IF(VLOOKUP(DATE($K$1,$K$2,LTV$4),Table1[],(MATCH(Calendar!$A18,DB!$1:$1,0)),FALSE)&gt;=5,"Good","Bad"),VLOOKUP(DATE($K$1,$K$2,LTV$4),Table1[],(MATCH(Calendar!$A18,DB!$1:$1,0)),FALSE)),"")</f>
        <v/>
      </c>
      <c r="LTW18" s="28" t="str">
        <f>IFERROR(IF(LUF3="No",IF(VLOOKUP(DATE($K$1,$K$2,LTW$4),Table1[],(MATCH(Calendar!$A18,DB!$1:$1,0)),FALSE)&gt;=5,"Good","Bad"),VLOOKUP(DATE($K$1,$K$2,LTW$4),Table1[],(MATCH(Calendar!$A18,DB!$1:$1,0)),FALSE)),"")</f>
        <v/>
      </c>
      <c r="LTX18" s="28" t="str">
        <f>IFERROR(IF(LUG3="No",IF(VLOOKUP(DATE($K$1,$K$2,LTX$4),Table1[],(MATCH(Calendar!$A18,DB!$1:$1,0)),FALSE)&gt;=5,"Good","Bad"),VLOOKUP(DATE($K$1,$K$2,LTX$4),Table1[],(MATCH(Calendar!$A18,DB!$1:$1,0)),FALSE)),"")</f>
        <v/>
      </c>
      <c r="LTY18" s="28" t="str">
        <f>IFERROR(IF(LUH3="No",IF(VLOOKUP(DATE($K$1,$K$2,LTY$4),Table1[],(MATCH(Calendar!$A18,DB!$1:$1,0)),FALSE)&gt;=5,"Good","Bad"),VLOOKUP(DATE($K$1,$K$2,LTY$4),Table1[],(MATCH(Calendar!$A18,DB!$1:$1,0)),FALSE)),"")</f>
        <v/>
      </c>
      <c r="LTZ18" s="28" t="str">
        <f>IFERROR(IF(LUI3="No",IF(VLOOKUP(DATE($K$1,$K$2,LTZ$4),Table1[],(MATCH(Calendar!$A18,DB!$1:$1,0)),FALSE)&gt;=5,"Good","Bad"),VLOOKUP(DATE($K$1,$K$2,LTZ$4),Table1[],(MATCH(Calendar!$A18,DB!$1:$1,0)),FALSE)),"")</f>
        <v/>
      </c>
      <c r="LUA18" s="28" t="str">
        <f>IFERROR(IF(LUJ3="No",IF(VLOOKUP(DATE($K$1,$K$2,LUA$4),Table1[],(MATCH(Calendar!$A18,DB!$1:$1,0)),FALSE)&gt;=5,"Good","Bad"),VLOOKUP(DATE($K$1,$K$2,LUA$4),Table1[],(MATCH(Calendar!$A18,DB!$1:$1,0)),FALSE)),"")</f>
        <v/>
      </c>
      <c r="LUB18" s="28" t="str">
        <f>IFERROR(IF(LUK3="No",IF(VLOOKUP(DATE($K$1,$K$2,LUB$4),Table1[],(MATCH(Calendar!$A18,DB!$1:$1,0)),FALSE)&gt;=5,"Good","Bad"),VLOOKUP(DATE($K$1,$K$2,LUB$4),Table1[],(MATCH(Calendar!$A18,DB!$1:$1,0)),FALSE)),"")</f>
        <v/>
      </c>
      <c r="LUC18" s="28" t="str">
        <f>IFERROR(IF(LUL3="No",IF(VLOOKUP(DATE($K$1,$K$2,LUC$4),Table1[],(MATCH(Calendar!$A18,DB!$1:$1,0)),FALSE)&gt;=5,"Good","Bad"),VLOOKUP(DATE($K$1,$K$2,LUC$4),Table1[],(MATCH(Calendar!$A18,DB!$1:$1,0)),FALSE)),"")</f>
        <v/>
      </c>
      <c r="LUD18" s="28" t="str">
        <f>IFERROR(IF(LUM3="No",IF(VLOOKUP(DATE($K$1,$K$2,LUD$4),Table1[],(MATCH(Calendar!$A18,DB!$1:$1,0)),FALSE)&gt;=5,"Good","Bad"),VLOOKUP(DATE($K$1,$K$2,LUD$4),Table1[],(MATCH(Calendar!$A18,DB!$1:$1,0)),FALSE)),"")</f>
        <v/>
      </c>
      <c r="LUE18" s="28" t="str">
        <f>IFERROR(IF(LUN3="No",IF(VLOOKUP(DATE($K$1,$K$2,LUE$4),Table1[],(MATCH(Calendar!$A18,DB!$1:$1,0)),FALSE)&gt;=5,"Good","Bad"),VLOOKUP(DATE($K$1,$K$2,LUE$4),Table1[],(MATCH(Calendar!$A18,DB!$1:$1,0)),FALSE)),"")</f>
        <v/>
      </c>
      <c r="LUF18" s="28" t="str">
        <f>IFERROR(IF(LUO3="No",IF(VLOOKUP(DATE($K$1,$K$2,LUF$4),Table1[],(MATCH(Calendar!$A18,DB!$1:$1,0)),FALSE)&gt;=5,"Good","Bad"),VLOOKUP(DATE($K$1,$K$2,LUF$4),Table1[],(MATCH(Calendar!$A18,DB!$1:$1,0)),FALSE)),"")</f>
        <v/>
      </c>
      <c r="LUG18" s="28" t="str">
        <f>IFERROR(IF(LUP3="No",IF(VLOOKUP(DATE($K$1,$K$2,LUG$4),Table1[],(MATCH(Calendar!$A18,DB!$1:$1,0)),FALSE)&gt;=5,"Good","Bad"),VLOOKUP(DATE($K$1,$K$2,LUG$4),Table1[],(MATCH(Calendar!$A18,DB!$1:$1,0)),FALSE)),"")</f>
        <v/>
      </c>
      <c r="LUH18" s="28" t="str">
        <f>IFERROR(IF(LUQ3="No",IF(VLOOKUP(DATE($K$1,$K$2,LUH$4),Table1[],(MATCH(Calendar!$A18,DB!$1:$1,0)),FALSE)&gt;=5,"Good","Bad"),VLOOKUP(DATE($K$1,$K$2,LUH$4),Table1[],(MATCH(Calendar!$A18,DB!$1:$1,0)),FALSE)),"")</f>
        <v/>
      </c>
      <c r="LUI18" s="28" t="str">
        <f>IFERROR(IF(LUR3="No",IF(VLOOKUP(DATE($K$1,$K$2,LUI$4),Table1[],(MATCH(Calendar!$A18,DB!$1:$1,0)),FALSE)&gt;=5,"Good","Bad"),VLOOKUP(DATE($K$1,$K$2,LUI$4),Table1[],(MATCH(Calendar!$A18,DB!$1:$1,0)),FALSE)),"")</f>
        <v/>
      </c>
      <c r="LUJ18" s="28" t="str">
        <f>IFERROR(IF(LUS3="No",IF(VLOOKUP(DATE($K$1,$K$2,LUJ$4),Table1[],(MATCH(Calendar!$A18,DB!$1:$1,0)),FALSE)&gt;=5,"Good","Bad"),VLOOKUP(DATE($K$1,$K$2,LUJ$4),Table1[],(MATCH(Calendar!$A18,DB!$1:$1,0)),FALSE)),"")</f>
        <v/>
      </c>
      <c r="LUK18" s="28" t="str">
        <f>IFERROR(IF(LUT3="No",IF(VLOOKUP(DATE($K$1,$K$2,LUK$4),Table1[],(MATCH(Calendar!$A18,DB!$1:$1,0)),FALSE)&gt;=5,"Good","Bad"),VLOOKUP(DATE($K$1,$K$2,LUK$4),Table1[],(MATCH(Calendar!$A18,DB!$1:$1,0)),FALSE)),"")</f>
        <v/>
      </c>
      <c r="LUL18" s="28" t="str">
        <f>IFERROR(IF(LUU3="No",IF(VLOOKUP(DATE($K$1,$K$2,LUL$4),Table1[],(MATCH(Calendar!$A18,DB!$1:$1,0)),FALSE)&gt;=5,"Good","Bad"),VLOOKUP(DATE($K$1,$K$2,LUL$4),Table1[],(MATCH(Calendar!$A18,DB!$1:$1,0)),FALSE)),"")</f>
        <v/>
      </c>
      <c r="LUM18" s="28" t="str">
        <f>IFERROR(IF(LUV3="No",IF(VLOOKUP(DATE($K$1,$K$2,LUM$4),Table1[],(MATCH(Calendar!$A18,DB!$1:$1,0)),FALSE)&gt;=5,"Good","Bad"),VLOOKUP(DATE($K$1,$K$2,LUM$4),Table1[],(MATCH(Calendar!$A18,DB!$1:$1,0)),FALSE)),"")</f>
        <v/>
      </c>
      <c r="LUN18" s="28" t="str">
        <f>IFERROR(IF(LUW3="No",IF(VLOOKUP(DATE($K$1,$K$2,LUN$4),Table1[],(MATCH(Calendar!$A18,DB!$1:$1,0)),FALSE)&gt;=5,"Good","Bad"),VLOOKUP(DATE($K$1,$K$2,LUN$4),Table1[],(MATCH(Calendar!$A18,DB!$1:$1,0)),FALSE)),"")</f>
        <v/>
      </c>
      <c r="LUO18" s="28" t="str">
        <f>IFERROR(IF(LUX3="No",IF(VLOOKUP(DATE($K$1,$K$2,LUO$4),Table1[],(MATCH(Calendar!$A18,DB!$1:$1,0)),FALSE)&gt;=5,"Good","Bad"),VLOOKUP(DATE($K$1,$K$2,LUO$4),Table1[],(MATCH(Calendar!$A18,DB!$1:$1,0)),FALSE)),"")</f>
        <v/>
      </c>
      <c r="LUP18" s="28" t="str">
        <f>IFERROR(IF(LUY3="No",IF(VLOOKUP(DATE($K$1,$K$2,LUP$4),Table1[],(MATCH(Calendar!$A18,DB!$1:$1,0)),FALSE)&gt;=5,"Good","Bad"),VLOOKUP(DATE($K$1,$K$2,LUP$4),Table1[],(MATCH(Calendar!$A18,DB!$1:$1,0)),FALSE)),"")</f>
        <v/>
      </c>
      <c r="LUQ18" s="28" t="str">
        <f>IFERROR(IF(LUZ3="No",IF(VLOOKUP(DATE($K$1,$K$2,LUQ$4),Table1[],(MATCH(Calendar!$A18,DB!$1:$1,0)),FALSE)&gt;=5,"Good","Bad"),VLOOKUP(DATE($K$1,$K$2,LUQ$4),Table1[],(MATCH(Calendar!$A18,DB!$1:$1,0)),FALSE)),"")</f>
        <v/>
      </c>
      <c r="LUR18" s="28" t="str">
        <f>IFERROR(IF(LVA3="No",IF(VLOOKUP(DATE($K$1,$K$2,LUR$4),Table1[],(MATCH(Calendar!$A18,DB!$1:$1,0)),FALSE)&gt;=5,"Good","Bad"),VLOOKUP(DATE($K$1,$K$2,LUR$4),Table1[],(MATCH(Calendar!$A18,DB!$1:$1,0)),FALSE)),"")</f>
        <v/>
      </c>
      <c r="LUS18" s="28" t="str">
        <f>IFERROR(IF(LVB3="No",IF(VLOOKUP(DATE($K$1,$K$2,LUS$4),Table1[],(MATCH(Calendar!$A18,DB!$1:$1,0)),FALSE)&gt;=5,"Good","Bad"),VLOOKUP(DATE($K$1,$K$2,LUS$4),Table1[],(MATCH(Calendar!$A18,DB!$1:$1,0)),FALSE)),"")</f>
        <v/>
      </c>
      <c r="LUT18" s="28" t="str">
        <f>IFERROR(IF(LVC3="No",IF(VLOOKUP(DATE($K$1,$K$2,LUT$4),Table1[],(MATCH(Calendar!$A18,DB!$1:$1,0)),FALSE)&gt;=5,"Good","Bad"),VLOOKUP(DATE($K$1,$K$2,LUT$4),Table1[],(MATCH(Calendar!$A18,DB!$1:$1,0)),FALSE)),"")</f>
        <v/>
      </c>
      <c r="LUU18" s="28" t="str">
        <f>IFERROR(IF(LVD3="No",IF(VLOOKUP(DATE($K$1,$K$2,LUU$4),Table1[],(MATCH(Calendar!$A18,DB!$1:$1,0)),FALSE)&gt;=5,"Good","Bad"),VLOOKUP(DATE($K$1,$K$2,LUU$4),Table1[],(MATCH(Calendar!$A18,DB!$1:$1,0)),FALSE)),"")</f>
        <v/>
      </c>
      <c r="LUV18" s="28" t="str">
        <f>IFERROR(IF(LVE3="No",IF(VLOOKUP(DATE($K$1,$K$2,LUV$4),Table1[],(MATCH(Calendar!$A18,DB!$1:$1,0)),FALSE)&gt;=5,"Good","Bad"),VLOOKUP(DATE($K$1,$K$2,LUV$4),Table1[],(MATCH(Calendar!$A18,DB!$1:$1,0)),FALSE)),"")</f>
        <v/>
      </c>
      <c r="LUW18" s="28" t="str">
        <f>IFERROR(IF(LVF3="No",IF(VLOOKUP(DATE($K$1,$K$2,LUW$4),Table1[],(MATCH(Calendar!$A18,DB!$1:$1,0)),FALSE)&gt;=5,"Good","Bad"),VLOOKUP(DATE($K$1,$K$2,LUW$4),Table1[],(MATCH(Calendar!$A18,DB!$1:$1,0)),FALSE)),"")</f>
        <v/>
      </c>
      <c r="LUX18" s="28" t="str">
        <f>IFERROR(IF(LVG3="No",IF(VLOOKUP(DATE($K$1,$K$2,LUX$4),Table1[],(MATCH(Calendar!$A18,DB!$1:$1,0)),FALSE)&gt;=5,"Good","Bad"),VLOOKUP(DATE($K$1,$K$2,LUX$4),Table1[],(MATCH(Calendar!$A18,DB!$1:$1,0)),FALSE)),"")</f>
        <v/>
      </c>
      <c r="LUY18" s="28" t="str">
        <f>IFERROR(IF(LVH3="No",IF(VLOOKUP(DATE($K$1,$K$2,LUY$4),Table1[],(MATCH(Calendar!$A18,DB!$1:$1,0)),FALSE)&gt;=5,"Good","Bad"),VLOOKUP(DATE($K$1,$K$2,LUY$4),Table1[],(MATCH(Calendar!$A18,DB!$1:$1,0)),FALSE)),"")</f>
        <v/>
      </c>
      <c r="LUZ18" s="28" t="str">
        <f>IFERROR(IF(LVI3="No",IF(VLOOKUP(DATE($K$1,$K$2,LUZ$4),Table1[],(MATCH(Calendar!$A18,DB!$1:$1,0)),FALSE)&gt;=5,"Good","Bad"),VLOOKUP(DATE($K$1,$K$2,LUZ$4),Table1[],(MATCH(Calendar!$A18,DB!$1:$1,0)),FALSE)),"")</f>
        <v/>
      </c>
      <c r="LVA18" s="28" t="str">
        <f>IFERROR(IF(LVJ3="No",IF(VLOOKUP(DATE($K$1,$K$2,LVA$4),Table1[],(MATCH(Calendar!$A18,DB!$1:$1,0)),FALSE)&gt;=5,"Good","Bad"),VLOOKUP(DATE($K$1,$K$2,LVA$4),Table1[],(MATCH(Calendar!$A18,DB!$1:$1,0)),FALSE)),"")</f>
        <v/>
      </c>
      <c r="LVB18" s="28" t="str">
        <f>IFERROR(IF(LVK3="No",IF(VLOOKUP(DATE($K$1,$K$2,LVB$4),Table1[],(MATCH(Calendar!$A18,DB!$1:$1,0)),FALSE)&gt;=5,"Good","Bad"),VLOOKUP(DATE($K$1,$K$2,LVB$4),Table1[],(MATCH(Calendar!$A18,DB!$1:$1,0)),FALSE)),"")</f>
        <v/>
      </c>
      <c r="LVC18" s="28" t="str">
        <f>IFERROR(IF(LVL3="No",IF(VLOOKUP(DATE($K$1,$K$2,LVC$4),Table1[],(MATCH(Calendar!$A18,DB!$1:$1,0)),FALSE)&gt;=5,"Good","Bad"),VLOOKUP(DATE($K$1,$K$2,LVC$4),Table1[],(MATCH(Calendar!$A18,DB!$1:$1,0)),FALSE)),"")</f>
        <v/>
      </c>
      <c r="LVD18" s="28" t="str">
        <f>IFERROR(IF(LVM3="No",IF(VLOOKUP(DATE($K$1,$K$2,LVD$4),Table1[],(MATCH(Calendar!$A18,DB!$1:$1,0)),FALSE)&gt;=5,"Good","Bad"),VLOOKUP(DATE($K$1,$K$2,LVD$4),Table1[],(MATCH(Calendar!$A18,DB!$1:$1,0)),FALSE)),"")</f>
        <v/>
      </c>
      <c r="LVE18" s="28" t="str">
        <f>IFERROR(IF(LVN3="No",IF(VLOOKUP(DATE($K$1,$K$2,LVE$4),Table1[],(MATCH(Calendar!$A18,DB!$1:$1,0)),FALSE)&gt;=5,"Good","Bad"),VLOOKUP(DATE($K$1,$K$2,LVE$4),Table1[],(MATCH(Calendar!$A18,DB!$1:$1,0)),FALSE)),"")</f>
        <v/>
      </c>
      <c r="LVF18" s="28" t="str">
        <f>IFERROR(IF(LVO3="No",IF(VLOOKUP(DATE($K$1,$K$2,LVF$4),Table1[],(MATCH(Calendar!$A18,DB!$1:$1,0)),FALSE)&gt;=5,"Good","Bad"),VLOOKUP(DATE($K$1,$K$2,LVF$4),Table1[],(MATCH(Calendar!$A18,DB!$1:$1,0)),FALSE)),"")</f>
        <v/>
      </c>
      <c r="LVG18" s="28" t="str">
        <f>IFERROR(IF(LVP3="No",IF(VLOOKUP(DATE($K$1,$K$2,LVG$4),Table1[],(MATCH(Calendar!$A18,DB!$1:$1,0)),FALSE)&gt;=5,"Good","Bad"),VLOOKUP(DATE($K$1,$K$2,LVG$4),Table1[],(MATCH(Calendar!$A18,DB!$1:$1,0)),FALSE)),"")</f>
        <v/>
      </c>
      <c r="LVH18" s="28" t="str">
        <f>IFERROR(IF(LVQ3="No",IF(VLOOKUP(DATE($K$1,$K$2,LVH$4),Table1[],(MATCH(Calendar!$A18,DB!$1:$1,0)),FALSE)&gt;=5,"Good","Bad"),VLOOKUP(DATE($K$1,$K$2,LVH$4),Table1[],(MATCH(Calendar!$A18,DB!$1:$1,0)),FALSE)),"")</f>
        <v/>
      </c>
      <c r="LVI18" s="28" t="str">
        <f>IFERROR(IF(LVR3="No",IF(VLOOKUP(DATE($K$1,$K$2,LVI$4),Table1[],(MATCH(Calendar!$A18,DB!$1:$1,0)),FALSE)&gt;=5,"Good","Bad"),VLOOKUP(DATE($K$1,$K$2,LVI$4),Table1[],(MATCH(Calendar!$A18,DB!$1:$1,0)),FALSE)),"")</f>
        <v/>
      </c>
      <c r="LVJ18" s="28" t="str">
        <f>IFERROR(IF(LVS3="No",IF(VLOOKUP(DATE($K$1,$K$2,LVJ$4),Table1[],(MATCH(Calendar!$A18,DB!$1:$1,0)),FALSE)&gt;=5,"Good","Bad"),VLOOKUP(DATE($K$1,$K$2,LVJ$4),Table1[],(MATCH(Calendar!$A18,DB!$1:$1,0)),FALSE)),"")</f>
        <v/>
      </c>
      <c r="LVK18" s="28" t="str">
        <f>IFERROR(IF(LVT3="No",IF(VLOOKUP(DATE($K$1,$K$2,LVK$4),Table1[],(MATCH(Calendar!$A18,DB!$1:$1,0)),FALSE)&gt;=5,"Good","Bad"),VLOOKUP(DATE($K$1,$K$2,LVK$4),Table1[],(MATCH(Calendar!$A18,DB!$1:$1,0)),FALSE)),"")</f>
        <v/>
      </c>
      <c r="LVL18" s="28" t="str">
        <f>IFERROR(IF(LVU3="No",IF(VLOOKUP(DATE($K$1,$K$2,LVL$4),Table1[],(MATCH(Calendar!$A18,DB!$1:$1,0)),FALSE)&gt;=5,"Good","Bad"),VLOOKUP(DATE($K$1,$K$2,LVL$4),Table1[],(MATCH(Calendar!$A18,DB!$1:$1,0)),FALSE)),"")</f>
        <v/>
      </c>
      <c r="LVM18" s="28" t="str">
        <f>IFERROR(IF(LVV3="No",IF(VLOOKUP(DATE($K$1,$K$2,LVM$4),Table1[],(MATCH(Calendar!$A18,DB!$1:$1,0)),FALSE)&gt;=5,"Good","Bad"),VLOOKUP(DATE($K$1,$K$2,LVM$4),Table1[],(MATCH(Calendar!$A18,DB!$1:$1,0)),FALSE)),"")</f>
        <v/>
      </c>
      <c r="LVN18" s="28" t="str">
        <f>IFERROR(IF(LVW3="No",IF(VLOOKUP(DATE($K$1,$K$2,LVN$4),Table1[],(MATCH(Calendar!$A18,DB!$1:$1,0)),FALSE)&gt;=5,"Good","Bad"),VLOOKUP(DATE($K$1,$K$2,LVN$4),Table1[],(MATCH(Calendar!$A18,DB!$1:$1,0)),FALSE)),"")</f>
        <v/>
      </c>
      <c r="LVO18" s="28" t="str">
        <f>IFERROR(IF(LVX3="No",IF(VLOOKUP(DATE($K$1,$K$2,LVO$4),Table1[],(MATCH(Calendar!$A18,DB!$1:$1,0)),FALSE)&gt;=5,"Good","Bad"),VLOOKUP(DATE($K$1,$K$2,LVO$4),Table1[],(MATCH(Calendar!$A18,DB!$1:$1,0)),FALSE)),"")</f>
        <v/>
      </c>
      <c r="LVP18" s="28" t="str">
        <f>IFERROR(IF(LVY3="No",IF(VLOOKUP(DATE($K$1,$K$2,LVP$4),Table1[],(MATCH(Calendar!$A18,DB!$1:$1,0)),FALSE)&gt;=5,"Good","Bad"),VLOOKUP(DATE($K$1,$K$2,LVP$4),Table1[],(MATCH(Calendar!$A18,DB!$1:$1,0)),FALSE)),"")</f>
        <v/>
      </c>
      <c r="LVQ18" s="28" t="str">
        <f>IFERROR(IF(LVZ3="No",IF(VLOOKUP(DATE($K$1,$K$2,LVQ$4),Table1[],(MATCH(Calendar!$A18,DB!$1:$1,0)),FALSE)&gt;=5,"Good","Bad"),VLOOKUP(DATE($K$1,$K$2,LVQ$4),Table1[],(MATCH(Calendar!$A18,DB!$1:$1,0)),FALSE)),"")</f>
        <v/>
      </c>
      <c r="LVR18" s="28" t="str">
        <f>IFERROR(IF(LWA3="No",IF(VLOOKUP(DATE($K$1,$K$2,LVR$4),Table1[],(MATCH(Calendar!$A18,DB!$1:$1,0)),FALSE)&gt;=5,"Good","Bad"),VLOOKUP(DATE($K$1,$K$2,LVR$4),Table1[],(MATCH(Calendar!$A18,DB!$1:$1,0)),FALSE)),"")</f>
        <v/>
      </c>
      <c r="LVS18" s="28" t="str">
        <f>IFERROR(IF(LWB3="No",IF(VLOOKUP(DATE($K$1,$K$2,LVS$4),Table1[],(MATCH(Calendar!$A18,DB!$1:$1,0)),FALSE)&gt;=5,"Good","Bad"),VLOOKUP(DATE($K$1,$K$2,LVS$4),Table1[],(MATCH(Calendar!$A18,DB!$1:$1,0)),FALSE)),"")</f>
        <v/>
      </c>
      <c r="LVT18" s="28" t="str">
        <f>IFERROR(IF(LWC3="No",IF(VLOOKUP(DATE($K$1,$K$2,LVT$4),Table1[],(MATCH(Calendar!$A18,DB!$1:$1,0)),FALSE)&gt;=5,"Good","Bad"),VLOOKUP(DATE($K$1,$K$2,LVT$4),Table1[],(MATCH(Calendar!$A18,DB!$1:$1,0)),FALSE)),"")</f>
        <v/>
      </c>
      <c r="LVU18" s="28" t="str">
        <f>IFERROR(IF(LWD3="No",IF(VLOOKUP(DATE($K$1,$K$2,LVU$4),Table1[],(MATCH(Calendar!$A18,DB!$1:$1,0)),FALSE)&gt;=5,"Good","Bad"),VLOOKUP(DATE($K$1,$K$2,LVU$4),Table1[],(MATCH(Calendar!$A18,DB!$1:$1,0)),FALSE)),"")</f>
        <v/>
      </c>
      <c r="LVV18" s="28" t="str">
        <f>IFERROR(IF(LWE3="No",IF(VLOOKUP(DATE($K$1,$K$2,LVV$4),Table1[],(MATCH(Calendar!$A18,DB!$1:$1,0)),FALSE)&gt;=5,"Good","Bad"),VLOOKUP(DATE($K$1,$K$2,LVV$4),Table1[],(MATCH(Calendar!$A18,DB!$1:$1,0)),FALSE)),"")</f>
        <v/>
      </c>
      <c r="LVW18" s="28" t="str">
        <f>IFERROR(IF(LWF3="No",IF(VLOOKUP(DATE($K$1,$K$2,LVW$4),Table1[],(MATCH(Calendar!$A18,DB!$1:$1,0)),FALSE)&gt;=5,"Good","Bad"),VLOOKUP(DATE($K$1,$K$2,LVW$4),Table1[],(MATCH(Calendar!$A18,DB!$1:$1,0)),FALSE)),"")</f>
        <v/>
      </c>
      <c r="LVX18" s="28" t="str">
        <f>IFERROR(IF(LWG3="No",IF(VLOOKUP(DATE($K$1,$K$2,LVX$4),Table1[],(MATCH(Calendar!$A18,DB!$1:$1,0)),FALSE)&gt;=5,"Good","Bad"),VLOOKUP(DATE($K$1,$K$2,LVX$4),Table1[],(MATCH(Calendar!$A18,DB!$1:$1,0)),FALSE)),"")</f>
        <v/>
      </c>
      <c r="LVY18" s="28" t="str">
        <f>IFERROR(IF(LWH3="No",IF(VLOOKUP(DATE($K$1,$K$2,LVY$4),Table1[],(MATCH(Calendar!$A18,DB!$1:$1,0)),FALSE)&gt;=5,"Good","Bad"),VLOOKUP(DATE($K$1,$K$2,LVY$4),Table1[],(MATCH(Calendar!$A18,DB!$1:$1,0)),FALSE)),"")</f>
        <v/>
      </c>
      <c r="LVZ18" s="28" t="str">
        <f>IFERROR(IF(LWI3="No",IF(VLOOKUP(DATE($K$1,$K$2,LVZ$4),Table1[],(MATCH(Calendar!$A18,DB!$1:$1,0)),FALSE)&gt;=5,"Good","Bad"),VLOOKUP(DATE($K$1,$K$2,LVZ$4),Table1[],(MATCH(Calendar!$A18,DB!$1:$1,0)),FALSE)),"")</f>
        <v/>
      </c>
      <c r="LWA18" s="28" t="str">
        <f>IFERROR(IF(LWJ3="No",IF(VLOOKUP(DATE($K$1,$K$2,LWA$4),Table1[],(MATCH(Calendar!$A18,DB!$1:$1,0)),FALSE)&gt;=5,"Good","Bad"),VLOOKUP(DATE($K$1,$K$2,LWA$4),Table1[],(MATCH(Calendar!$A18,DB!$1:$1,0)),FALSE)),"")</f>
        <v/>
      </c>
      <c r="LWB18" s="28" t="str">
        <f>IFERROR(IF(LWK3="No",IF(VLOOKUP(DATE($K$1,$K$2,LWB$4),Table1[],(MATCH(Calendar!$A18,DB!$1:$1,0)),FALSE)&gt;=5,"Good","Bad"),VLOOKUP(DATE($K$1,$K$2,LWB$4),Table1[],(MATCH(Calendar!$A18,DB!$1:$1,0)),FALSE)),"")</f>
        <v/>
      </c>
      <c r="LWC18" s="28" t="str">
        <f>IFERROR(IF(LWL3="No",IF(VLOOKUP(DATE($K$1,$K$2,LWC$4),Table1[],(MATCH(Calendar!$A18,DB!$1:$1,0)),FALSE)&gt;=5,"Good","Bad"),VLOOKUP(DATE($K$1,$K$2,LWC$4),Table1[],(MATCH(Calendar!$A18,DB!$1:$1,0)),FALSE)),"")</f>
        <v/>
      </c>
      <c r="LWD18" s="28" t="str">
        <f>IFERROR(IF(LWM3="No",IF(VLOOKUP(DATE($K$1,$K$2,LWD$4),Table1[],(MATCH(Calendar!$A18,DB!$1:$1,0)),FALSE)&gt;=5,"Good","Bad"),VLOOKUP(DATE($K$1,$K$2,LWD$4),Table1[],(MATCH(Calendar!$A18,DB!$1:$1,0)),FALSE)),"")</f>
        <v/>
      </c>
      <c r="LWE18" s="28" t="str">
        <f>IFERROR(IF(LWN3="No",IF(VLOOKUP(DATE($K$1,$K$2,LWE$4),Table1[],(MATCH(Calendar!$A18,DB!$1:$1,0)),FALSE)&gt;=5,"Good","Bad"),VLOOKUP(DATE($K$1,$K$2,LWE$4),Table1[],(MATCH(Calendar!$A18,DB!$1:$1,0)),FALSE)),"")</f>
        <v/>
      </c>
      <c r="LWF18" s="28" t="str">
        <f>IFERROR(IF(LWO3="No",IF(VLOOKUP(DATE($K$1,$K$2,LWF$4),Table1[],(MATCH(Calendar!$A18,DB!$1:$1,0)),FALSE)&gt;=5,"Good","Bad"),VLOOKUP(DATE($K$1,$K$2,LWF$4),Table1[],(MATCH(Calendar!$A18,DB!$1:$1,0)),FALSE)),"")</f>
        <v/>
      </c>
      <c r="LWG18" s="28" t="str">
        <f>IFERROR(IF(LWP3="No",IF(VLOOKUP(DATE($K$1,$K$2,LWG$4),Table1[],(MATCH(Calendar!$A18,DB!$1:$1,0)),FALSE)&gt;=5,"Good","Bad"),VLOOKUP(DATE($K$1,$K$2,LWG$4),Table1[],(MATCH(Calendar!$A18,DB!$1:$1,0)),FALSE)),"")</f>
        <v/>
      </c>
      <c r="LWH18" s="28" t="str">
        <f>IFERROR(IF(LWQ3="No",IF(VLOOKUP(DATE($K$1,$K$2,LWH$4),Table1[],(MATCH(Calendar!$A18,DB!$1:$1,0)),FALSE)&gt;=5,"Good","Bad"),VLOOKUP(DATE($K$1,$K$2,LWH$4),Table1[],(MATCH(Calendar!$A18,DB!$1:$1,0)),FALSE)),"")</f>
        <v/>
      </c>
      <c r="LWI18" s="28" t="str">
        <f>IFERROR(IF(LWR3="No",IF(VLOOKUP(DATE($K$1,$K$2,LWI$4),Table1[],(MATCH(Calendar!$A18,DB!$1:$1,0)),FALSE)&gt;=5,"Good","Bad"),VLOOKUP(DATE($K$1,$K$2,LWI$4),Table1[],(MATCH(Calendar!$A18,DB!$1:$1,0)),FALSE)),"")</f>
        <v/>
      </c>
      <c r="LWJ18" s="28" t="str">
        <f>IFERROR(IF(LWS3="No",IF(VLOOKUP(DATE($K$1,$K$2,LWJ$4),Table1[],(MATCH(Calendar!$A18,DB!$1:$1,0)),FALSE)&gt;=5,"Good","Bad"),VLOOKUP(DATE($K$1,$K$2,LWJ$4),Table1[],(MATCH(Calendar!$A18,DB!$1:$1,0)),FALSE)),"")</f>
        <v/>
      </c>
      <c r="LWK18" s="28" t="str">
        <f>IFERROR(IF(LWT3="No",IF(VLOOKUP(DATE($K$1,$K$2,LWK$4),Table1[],(MATCH(Calendar!$A18,DB!$1:$1,0)),FALSE)&gt;=5,"Good","Bad"),VLOOKUP(DATE($K$1,$K$2,LWK$4),Table1[],(MATCH(Calendar!$A18,DB!$1:$1,0)),FALSE)),"")</f>
        <v/>
      </c>
      <c r="LWL18" s="28" t="str">
        <f>IFERROR(IF(LWU3="No",IF(VLOOKUP(DATE($K$1,$K$2,LWL$4),Table1[],(MATCH(Calendar!$A18,DB!$1:$1,0)),FALSE)&gt;=5,"Good","Bad"),VLOOKUP(DATE($K$1,$K$2,LWL$4),Table1[],(MATCH(Calendar!$A18,DB!$1:$1,0)),FALSE)),"")</f>
        <v/>
      </c>
      <c r="LWM18" s="28" t="str">
        <f>IFERROR(IF(LWV3="No",IF(VLOOKUP(DATE($K$1,$K$2,LWM$4),Table1[],(MATCH(Calendar!$A18,DB!$1:$1,0)),FALSE)&gt;=5,"Good","Bad"),VLOOKUP(DATE($K$1,$K$2,LWM$4),Table1[],(MATCH(Calendar!$A18,DB!$1:$1,0)),FALSE)),"")</f>
        <v/>
      </c>
      <c r="LWN18" s="28" t="str">
        <f>IFERROR(IF(LWW3="No",IF(VLOOKUP(DATE($K$1,$K$2,LWN$4),Table1[],(MATCH(Calendar!$A18,DB!$1:$1,0)),FALSE)&gt;=5,"Good","Bad"),VLOOKUP(DATE($K$1,$K$2,LWN$4),Table1[],(MATCH(Calendar!$A18,DB!$1:$1,0)),FALSE)),"")</f>
        <v/>
      </c>
      <c r="LWO18" s="28" t="str">
        <f>IFERROR(IF(LWX3="No",IF(VLOOKUP(DATE($K$1,$K$2,LWO$4),Table1[],(MATCH(Calendar!$A18,DB!$1:$1,0)),FALSE)&gt;=5,"Good","Bad"),VLOOKUP(DATE($K$1,$K$2,LWO$4),Table1[],(MATCH(Calendar!$A18,DB!$1:$1,0)),FALSE)),"")</f>
        <v/>
      </c>
      <c r="LWP18" s="28" t="str">
        <f>IFERROR(IF(LWY3="No",IF(VLOOKUP(DATE($K$1,$K$2,LWP$4),Table1[],(MATCH(Calendar!$A18,DB!$1:$1,0)),FALSE)&gt;=5,"Good","Bad"),VLOOKUP(DATE($K$1,$K$2,LWP$4),Table1[],(MATCH(Calendar!$A18,DB!$1:$1,0)),FALSE)),"")</f>
        <v/>
      </c>
      <c r="LWQ18" s="28" t="str">
        <f>IFERROR(IF(LWZ3="No",IF(VLOOKUP(DATE($K$1,$K$2,LWQ$4),Table1[],(MATCH(Calendar!$A18,DB!$1:$1,0)),FALSE)&gt;=5,"Good","Bad"),VLOOKUP(DATE($K$1,$K$2,LWQ$4),Table1[],(MATCH(Calendar!$A18,DB!$1:$1,0)),FALSE)),"")</f>
        <v/>
      </c>
      <c r="LWR18" s="28" t="str">
        <f>IFERROR(IF(LXA3="No",IF(VLOOKUP(DATE($K$1,$K$2,LWR$4),Table1[],(MATCH(Calendar!$A18,DB!$1:$1,0)),FALSE)&gt;=5,"Good","Bad"),VLOOKUP(DATE($K$1,$K$2,LWR$4),Table1[],(MATCH(Calendar!$A18,DB!$1:$1,0)),FALSE)),"")</f>
        <v/>
      </c>
      <c r="LWS18" s="28" t="str">
        <f>IFERROR(IF(LXB3="No",IF(VLOOKUP(DATE($K$1,$K$2,LWS$4),Table1[],(MATCH(Calendar!$A18,DB!$1:$1,0)),FALSE)&gt;=5,"Good","Bad"),VLOOKUP(DATE($K$1,$K$2,LWS$4),Table1[],(MATCH(Calendar!$A18,DB!$1:$1,0)),FALSE)),"")</f>
        <v/>
      </c>
      <c r="LWT18" s="28" t="str">
        <f>IFERROR(IF(LXC3="No",IF(VLOOKUP(DATE($K$1,$K$2,LWT$4),Table1[],(MATCH(Calendar!$A18,DB!$1:$1,0)),FALSE)&gt;=5,"Good","Bad"),VLOOKUP(DATE($K$1,$K$2,LWT$4),Table1[],(MATCH(Calendar!$A18,DB!$1:$1,0)),FALSE)),"")</f>
        <v/>
      </c>
      <c r="LWU18" s="28" t="str">
        <f>IFERROR(IF(LXD3="No",IF(VLOOKUP(DATE($K$1,$K$2,LWU$4),Table1[],(MATCH(Calendar!$A18,DB!$1:$1,0)),FALSE)&gt;=5,"Good","Bad"),VLOOKUP(DATE($K$1,$K$2,LWU$4),Table1[],(MATCH(Calendar!$A18,DB!$1:$1,0)),FALSE)),"")</f>
        <v/>
      </c>
      <c r="LWV18" s="28" t="str">
        <f>IFERROR(IF(LXE3="No",IF(VLOOKUP(DATE($K$1,$K$2,LWV$4),Table1[],(MATCH(Calendar!$A18,DB!$1:$1,0)),FALSE)&gt;=5,"Good","Bad"),VLOOKUP(DATE($K$1,$K$2,LWV$4),Table1[],(MATCH(Calendar!$A18,DB!$1:$1,0)),FALSE)),"")</f>
        <v/>
      </c>
      <c r="LWW18" s="28" t="str">
        <f>IFERROR(IF(LXF3="No",IF(VLOOKUP(DATE($K$1,$K$2,LWW$4),Table1[],(MATCH(Calendar!$A18,DB!$1:$1,0)),FALSE)&gt;=5,"Good","Bad"),VLOOKUP(DATE($K$1,$K$2,LWW$4),Table1[],(MATCH(Calendar!$A18,DB!$1:$1,0)),FALSE)),"")</f>
        <v/>
      </c>
      <c r="LWX18" s="28" t="str">
        <f>IFERROR(IF(LXG3="No",IF(VLOOKUP(DATE($K$1,$K$2,LWX$4),Table1[],(MATCH(Calendar!$A18,DB!$1:$1,0)),FALSE)&gt;=5,"Good","Bad"),VLOOKUP(DATE($K$1,$K$2,LWX$4),Table1[],(MATCH(Calendar!$A18,DB!$1:$1,0)),FALSE)),"")</f>
        <v/>
      </c>
      <c r="LWY18" s="28" t="str">
        <f>IFERROR(IF(LXH3="No",IF(VLOOKUP(DATE($K$1,$K$2,LWY$4),Table1[],(MATCH(Calendar!$A18,DB!$1:$1,0)),FALSE)&gt;=5,"Good","Bad"),VLOOKUP(DATE($K$1,$K$2,LWY$4),Table1[],(MATCH(Calendar!$A18,DB!$1:$1,0)),FALSE)),"")</f>
        <v/>
      </c>
      <c r="LWZ18" s="28" t="str">
        <f>IFERROR(IF(LXI3="No",IF(VLOOKUP(DATE($K$1,$K$2,LWZ$4),Table1[],(MATCH(Calendar!$A18,DB!$1:$1,0)),FALSE)&gt;=5,"Good","Bad"),VLOOKUP(DATE($K$1,$K$2,LWZ$4),Table1[],(MATCH(Calendar!$A18,DB!$1:$1,0)),FALSE)),"")</f>
        <v/>
      </c>
      <c r="LXA18" s="28" t="str">
        <f>IFERROR(IF(LXJ3="No",IF(VLOOKUP(DATE($K$1,$K$2,LXA$4),Table1[],(MATCH(Calendar!$A18,DB!$1:$1,0)),FALSE)&gt;=5,"Good","Bad"),VLOOKUP(DATE($K$1,$K$2,LXA$4),Table1[],(MATCH(Calendar!$A18,DB!$1:$1,0)),FALSE)),"")</f>
        <v/>
      </c>
      <c r="LXB18" s="28" t="str">
        <f>IFERROR(IF(LXK3="No",IF(VLOOKUP(DATE($K$1,$K$2,LXB$4),Table1[],(MATCH(Calendar!$A18,DB!$1:$1,0)),FALSE)&gt;=5,"Good","Bad"),VLOOKUP(DATE($K$1,$K$2,LXB$4),Table1[],(MATCH(Calendar!$A18,DB!$1:$1,0)),FALSE)),"")</f>
        <v/>
      </c>
      <c r="LXC18" s="28" t="str">
        <f>IFERROR(IF(LXL3="No",IF(VLOOKUP(DATE($K$1,$K$2,LXC$4),Table1[],(MATCH(Calendar!$A18,DB!$1:$1,0)),FALSE)&gt;=5,"Good","Bad"),VLOOKUP(DATE($K$1,$K$2,LXC$4),Table1[],(MATCH(Calendar!$A18,DB!$1:$1,0)),FALSE)),"")</f>
        <v/>
      </c>
      <c r="LXD18" s="28" t="str">
        <f>IFERROR(IF(LXM3="No",IF(VLOOKUP(DATE($K$1,$K$2,LXD$4),Table1[],(MATCH(Calendar!$A18,DB!$1:$1,0)),FALSE)&gt;=5,"Good","Bad"),VLOOKUP(DATE($K$1,$K$2,LXD$4),Table1[],(MATCH(Calendar!$A18,DB!$1:$1,0)),FALSE)),"")</f>
        <v/>
      </c>
      <c r="LXE18" s="28" t="str">
        <f>IFERROR(IF(LXN3="No",IF(VLOOKUP(DATE($K$1,$K$2,LXE$4),Table1[],(MATCH(Calendar!$A18,DB!$1:$1,0)),FALSE)&gt;=5,"Good","Bad"),VLOOKUP(DATE($K$1,$K$2,LXE$4),Table1[],(MATCH(Calendar!$A18,DB!$1:$1,0)),FALSE)),"")</f>
        <v/>
      </c>
      <c r="LXF18" s="28" t="str">
        <f>IFERROR(IF(LXO3="No",IF(VLOOKUP(DATE($K$1,$K$2,LXF$4),Table1[],(MATCH(Calendar!$A18,DB!$1:$1,0)),FALSE)&gt;=5,"Good","Bad"),VLOOKUP(DATE($K$1,$K$2,LXF$4),Table1[],(MATCH(Calendar!$A18,DB!$1:$1,0)),FALSE)),"")</f>
        <v/>
      </c>
      <c r="LXG18" s="28" t="str">
        <f>IFERROR(IF(LXP3="No",IF(VLOOKUP(DATE($K$1,$K$2,LXG$4),Table1[],(MATCH(Calendar!$A18,DB!$1:$1,0)),FALSE)&gt;=5,"Good","Bad"),VLOOKUP(DATE($K$1,$K$2,LXG$4),Table1[],(MATCH(Calendar!$A18,DB!$1:$1,0)),FALSE)),"")</f>
        <v/>
      </c>
      <c r="LXH18" s="28" t="str">
        <f>IFERROR(IF(LXQ3="No",IF(VLOOKUP(DATE($K$1,$K$2,LXH$4),Table1[],(MATCH(Calendar!$A18,DB!$1:$1,0)),FALSE)&gt;=5,"Good","Bad"),VLOOKUP(DATE($K$1,$K$2,LXH$4),Table1[],(MATCH(Calendar!$A18,DB!$1:$1,0)),FALSE)),"")</f>
        <v/>
      </c>
      <c r="LXI18" s="28" t="str">
        <f>IFERROR(IF(LXR3="No",IF(VLOOKUP(DATE($K$1,$K$2,LXI$4),Table1[],(MATCH(Calendar!$A18,DB!$1:$1,0)),FALSE)&gt;=5,"Good","Bad"),VLOOKUP(DATE($K$1,$K$2,LXI$4),Table1[],(MATCH(Calendar!$A18,DB!$1:$1,0)),FALSE)),"")</f>
        <v/>
      </c>
      <c r="LXJ18" s="28" t="str">
        <f>IFERROR(IF(LXS3="No",IF(VLOOKUP(DATE($K$1,$K$2,LXJ$4),Table1[],(MATCH(Calendar!$A18,DB!$1:$1,0)),FALSE)&gt;=5,"Good","Bad"),VLOOKUP(DATE($K$1,$K$2,LXJ$4),Table1[],(MATCH(Calendar!$A18,DB!$1:$1,0)),FALSE)),"")</f>
        <v/>
      </c>
      <c r="LXK18" s="28" t="str">
        <f>IFERROR(IF(LXT3="No",IF(VLOOKUP(DATE($K$1,$K$2,LXK$4),Table1[],(MATCH(Calendar!$A18,DB!$1:$1,0)),FALSE)&gt;=5,"Good","Bad"),VLOOKUP(DATE($K$1,$K$2,LXK$4),Table1[],(MATCH(Calendar!$A18,DB!$1:$1,0)),FALSE)),"")</f>
        <v/>
      </c>
      <c r="LXL18" s="28" t="str">
        <f>IFERROR(IF(LXU3="No",IF(VLOOKUP(DATE($K$1,$K$2,LXL$4),Table1[],(MATCH(Calendar!$A18,DB!$1:$1,0)),FALSE)&gt;=5,"Good","Bad"),VLOOKUP(DATE($K$1,$K$2,LXL$4),Table1[],(MATCH(Calendar!$A18,DB!$1:$1,0)),FALSE)),"")</f>
        <v/>
      </c>
      <c r="LXM18" s="28" t="str">
        <f>IFERROR(IF(LXV3="No",IF(VLOOKUP(DATE($K$1,$K$2,LXM$4),Table1[],(MATCH(Calendar!$A18,DB!$1:$1,0)),FALSE)&gt;=5,"Good","Bad"),VLOOKUP(DATE($K$1,$K$2,LXM$4),Table1[],(MATCH(Calendar!$A18,DB!$1:$1,0)),FALSE)),"")</f>
        <v/>
      </c>
      <c r="LXN18" s="28" t="str">
        <f>IFERROR(IF(LXW3="No",IF(VLOOKUP(DATE($K$1,$K$2,LXN$4),Table1[],(MATCH(Calendar!$A18,DB!$1:$1,0)),FALSE)&gt;=5,"Good","Bad"),VLOOKUP(DATE($K$1,$K$2,LXN$4),Table1[],(MATCH(Calendar!$A18,DB!$1:$1,0)),FALSE)),"")</f>
        <v/>
      </c>
      <c r="LXO18" s="28" t="str">
        <f>IFERROR(IF(LXX3="No",IF(VLOOKUP(DATE($K$1,$K$2,LXO$4),Table1[],(MATCH(Calendar!$A18,DB!$1:$1,0)),FALSE)&gt;=5,"Good","Bad"),VLOOKUP(DATE($K$1,$K$2,LXO$4),Table1[],(MATCH(Calendar!$A18,DB!$1:$1,0)),FALSE)),"")</f>
        <v/>
      </c>
      <c r="LXP18" s="28" t="str">
        <f>IFERROR(IF(LXY3="No",IF(VLOOKUP(DATE($K$1,$K$2,LXP$4),Table1[],(MATCH(Calendar!$A18,DB!$1:$1,0)),FALSE)&gt;=5,"Good","Bad"),VLOOKUP(DATE($K$1,$K$2,LXP$4),Table1[],(MATCH(Calendar!$A18,DB!$1:$1,0)),FALSE)),"")</f>
        <v/>
      </c>
      <c r="LXQ18" s="28" t="str">
        <f>IFERROR(IF(LXZ3="No",IF(VLOOKUP(DATE($K$1,$K$2,LXQ$4),Table1[],(MATCH(Calendar!$A18,DB!$1:$1,0)),FALSE)&gt;=5,"Good","Bad"),VLOOKUP(DATE($K$1,$K$2,LXQ$4),Table1[],(MATCH(Calendar!$A18,DB!$1:$1,0)),FALSE)),"")</f>
        <v/>
      </c>
      <c r="LXR18" s="28" t="str">
        <f>IFERROR(IF(LYA3="No",IF(VLOOKUP(DATE($K$1,$K$2,LXR$4),Table1[],(MATCH(Calendar!$A18,DB!$1:$1,0)),FALSE)&gt;=5,"Good","Bad"),VLOOKUP(DATE($K$1,$K$2,LXR$4),Table1[],(MATCH(Calendar!$A18,DB!$1:$1,0)),FALSE)),"")</f>
        <v/>
      </c>
      <c r="LXS18" s="28" t="str">
        <f>IFERROR(IF(LYB3="No",IF(VLOOKUP(DATE($K$1,$K$2,LXS$4),Table1[],(MATCH(Calendar!$A18,DB!$1:$1,0)),FALSE)&gt;=5,"Good","Bad"),VLOOKUP(DATE($K$1,$K$2,LXS$4),Table1[],(MATCH(Calendar!$A18,DB!$1:$1,0)),FALSE)),"")</f>
        <v/>
      </c>
      <c r="LXT18" s="28" t="str">
        <f>IFERROR(IF(LYC3="No",IF(VLOOKUP(DATE($K$1,$K$2,LXT$4),Table1[],(MATCH(Calendar!$A18,DB!$1:$1,0)),FALSE)&gt;=5,"Good","Bad"),VLOOKUP(DATE($K$1,$K$2,LXT$4),Table1[],(MATCH(Calendar!$A18,DB!$1:$1,0)),FALSE)),"")</f>
        <v/>
      </c>
      <c r="LXU18" s="28" t="str">
        <f>IFERROR(IF(LYD3="No",IF(VLOOKUP(DATE($K$1,$K$2,LXU$4),Table1[],(MATCH(Calendar!$A18,DB!$1:$1,0)),FALSE)&gt;=5,"Good","Bad"),VLOOKUP(DATE($K$1,$K$2,LXU$4),Table1[],(MATCH(Calendar!$A18,DB!$1:$1,0)),FALSE)),"")</f>
        <v/>
      </c>
      <c r="LXV18" s="28" t="str">
        <f>IFERROR(IF(LYE3="No",IF(VLOOKUP(DATE($K$1,$K$2,LXV$4),Table1[],(MATCH(Calendar!$A18,DB!$1:$1,0)),FALSE)&gt;=5,"Good","Bad"),VLOOKUP(DATE($K$1,$K$2,LXV$4),Table1[],(MATCH(Calendar!$A18,DB!$1:$1,0)),FALSE)),"")</f>
        <v/>
      </c>
      <c r="LXW18" s="28" t="str">
        <f>IFERROR(IF(LYF3="No",IF(VLOOKUP(DATE($K$1,$K$2,LXW$4),Table1[],(MATCH(Calendar!$A18,DB!$1:$1,0)),FALSE)&gt;=5,"Good","Bad"),VLOOKUP(DATE($K$1,$K$2,LXW$4),Table1[],(MATCH(Calendar!$A18,DB!$1:$1,0)),FALSE)),"")</f>
        <v/>
      </c>
      <c r="LXX18" s="28" t="str">
        <f>IFERROR(IF(LYG3="No",IF(VLOOKUP(DATE($K$1,$K$2,LXX$4),Table1[],(MATCH(Calendar!$A18,DB!$1:$1,0)),FALSE)&gt;=5,"Good","Bad"),VLOOKUP(DATE($K$1,$K$2,LXX$4),Table1[],(MATCH(Calendar!$A18,DB!$1:$1,0)),FALSE)),"")</f>
        <v/>
      </c>
      <c r="LXY18" s="28" t="str">
        <f>IFERROR(IF(LYH3="No",IF(VLOOKUP(DATE($K$1,$K$2,LXY$4),Table1[],(MATCH(Calendar!$A18,DB!$1:$1,0)),FALSE)&gt;=5,"Good","Bad"),VLOOKUP(DATE($K$1,$K$2,LXY$4),Table1[],(MATCH(Calendar!$A18,DB!$1:$1,0)),FALSE)),"")</f>
        <v/>
      </c>
      <c r="LXZ18" s="28" t="str">
        <f>IFERROR(IF(LYI3="No",IF(VLOOKUP(DATE($K$1,$K$2,LXZ$4),Table1[],(MATCH(Calendar!$A18,DB!$1:$1,0)),FALSE)&gt;=5,"Good","Bad"),VLOOKUP(DATE($K$1,$K$2,LXZ$4),Table1[],(MATCH(Calendar!$A18,DB!$1:$1,0)),FALSE)),"")</f>
        <v/>
      </c>
      <c r="LYA18" s="28" t="str">
        <f>IFERROR(IF(LYJ3="No",IF(VLOOKUP(DATE($K$1,$K$2,LYA$4),Table1[],(MATCH(Calendar!$A18,DB!$1:$1,0)),FALSE)&gt;=5,"Good","Bad"),VLOOKUP(DATE($K$1,$K$2,LYA$4),Table1[],(MATCH(Calendar!$A18,DB!$1:$1,0)),FALSE)),"")</f>
        <v/>
      </c>
      <c r="LYB18" s="28" t="str">
        <f>IFERROR(IF(LYK3="No",IF(VLOOKUP(DATE($K$1,$K$2,LYB$4),Table1[],(MATCH(Calendar!$A18,DB!$1:$1,0)),FALSE)&gt;=5,"Good","Bad"),VLOOKUP(DATE($K$1,$K$2,LYB$4),Table1[],(MATCH(Calendar!$A18,DB!$1:$1,0)),FALSE)),"")</f>
        <v/>
      </c>
      <c r="LYC18" s="28" t="str">
        <f>IFERROR(IF(LYL3="No",IF(VLOOKUP(DATE($K$1,$K$2,LYC$4),Table1[],(MATCH(Calendar!$A18,DB!$1:$1,0)),FALSE)&gt;=5,"Good","Bad"),VLOOKUP(DATE($K$1,$K$2,LYC$4),Table1[],(MATCH(Calendar!$A18,DB!$1:$1,0)),FALSE)),"")</f>
        <v/>
      </c>
      <c r="LYD18" s="28" t="str">
        <f>IFERROR(IF(LYM3="No",IF(VLOOKUP(DATE($K$1,$K$2,LYD$4),Table1[],(MATCH(Calendar!$A18,DB!$1:$1,0)),FALSE)&gt;=5,"Good","Bad"),VLOOKUP(DATE($K$1,$K$2,LYD$4),Table1[],(MATCH(Calendar!$A18,DB!$1:$1,0)),FALSE)),"")</f>
        <v/>
      </c>
      <c r="LYE18" s="28" t="str">
        <f>IFERROR(IF(LYN3="No",IF(VLOOKUP(DATE($K$1,$K$2,LYE$4),Table1[],(MATCH(Calendar!$A18,DB!$1:$1,0)),FALSE)&gt;=5,"Good","Bad"),VLOOKUP(DATE($K$1,$K$2,LYE$4),Table1[],(MATCH(Calendar!$A18,DB!$1:$1,0)),FALSE)),"")</f>
        <v/>
      </c>
      <c r="LYF18" s="28" t="str">
        <f>IFERROR(IF(LYO3="No",IF(VLOOKUP(DATE($K$1,$K$2,LYF$4),Table1[],(MATCH(Calendar!$A18,DB!$1:$1,0)),FALSE)&gt;=5,"Good","Bad"),VLOOKUP(DATE($K$1,$K$2,LYF$4),Table1[],(MATCH(Calendar!$A18,DB!$1:$1,0)),FALSE)),"")</f>
        <v/>
      </c>
      <c r="LYG18" s="28" t="str">
        <f>IFERROR(IF(LYP3="No",IF(VLOOKUP(DATE($K$1,$K$2,LYG$4),Table1[],(MATCH(Calendar!$A18,DB!$1:$1,0)),FALSE)&gt;=5,"Good","Bad"),VLOOKUP(DATE($K$1,$K$2,LYG$4),Table1[],(MATCH(Calendar!$A18,DB!$1:$1,0)),FALSE)),"")</f>
        <v/>
      </c>
      <c r="LYH18" s="28" t="str">
        <f>IFERROR(IF(LYQ3="No",IF(VLOOKUP(DATE($K$1,$K$2,LYH$4),Table1[],(MATCH(Calendar!$A18,DB!$1:$1,0)),FALSE)&gt;=5,"Good","Bad"),VLOOKUP(DATE($K$1,$K$2,LYH$4),Table1[],(MATCH(Calendar!$A18,DB!$1:$1,0)),FALSE)),"")</f>
        <v/>
      </c>
      <c r="LYI18" s="28" t="str">
        <f>IFERROR(IF(LYR3="No",IF(VLOOKUP(DATE($K$1,$K$2,LYI$4),Table1[],(MATCH(Calendar!$A18,DB!$1:$1,0)),FALSE)&gt;=5,"Good","Bad"),VLOOKUP(DATE($K$1,$K$2,LYI$4),Table1[],(MATCH(Calendar!$A18,DB!$1:$1,0)),FALSE)),"")</f>
        <v/>
      </c>
      <c r="LYJ18" s="28" t="str">
        <f>IFERROR(IF(LYS3="No",IF(VLOOKUP(DATE($K$1,$K$2,LYJ$4),Table1[],(MATCH(Calendar!$A18,DB!$1:$1,0)),FALSE)&gt;=5,"Good","Bad"),VLOOKUP(DATE($K$1,$K$2,LYJ$4),Table1[],(MATCH(Calendar!$A18,DB!$1:$1,0)),FALSE)),"")</f>
        <v/>
      </c>
      <c r="LYK18" s="28" t="str">
        <f>IFERROR(IF(LYT3="No",IF(VLOOKUP(DATE($K$1,$K$2,LYK$4),Table1[],(MATCH(Calendar!$A18,DB!$1:$1,0)),FALSE)&gt;=5,"Good","Bad"),VLOOKUP(DATE($K$1,$K$2,LYK$4),Table1[],(MATCH(Calendar!$A18,DB!$1:$1,0)),FALSE)),"")</f>
        <v/>
      </c>
      <c r="LYL18" s="28" t="str">
        <f>IFERROR(IF(LYU3="No",IF(VLOOKUP(DATE($K$1,$K$2,LYL$4),Table1[],(MATCH(Calendar!$A18,DB!$1:$1,0)),FALSE)&gt;=5,"Good","Bad"),VLOOKUP(DATE($K$1,$K$2,LYL$4),Table1[],(MATCH(Calendar!$A18,DB!$1:$1,0)),FALSE)),"")</f>
        <v/>
      </c>
      <c r="LYM18" s="28" t="str">
        <f>IFERROR(IF(LYV3="No",IF(VLOOKUP(DATE($K$1,$K$2,LYM$4),Table1[],(MATCH(Calendar!$A18,DB!$1:$1,0)),FALSE)&gt;=5,"Good","Bad"),VLOOKUP(DATE($K$1,$K$2,LYM$4),Table1[],(MATCH(Calendar!$A18,DB!$1:$1,0)),FALSE)),"")</f>
        <v/>
      </c>
      <c r="LYN18" s="28" t="str">
        <f>IFERROR(IF(LYW3="No",IF(VLOOKUP(DATE($K$1,$K$2,LYN$4),Table1[],(MATCH(Calendar!$A18,DB!$1:$1,0)),FALSE)&gt;=5,"Good","Bad"),VLOOKUP(DATE($K$1,$K$2,LYN$4),Table1[],(MATCH(Calendar!$A18,DB!$1:$1,0)),FALSE)),"")</f>
        <v/>
      </c>
      <c r="LYO18" s="28" t="str">
        <f>IFERROR(IF(LYX3="No",IF(VLOOKUP(DATE($K$1,$K$2,LYO$4),Table1[],(MATCH(Calendar!$A18,DB!$1:$1,0)),FALSE)&gt;=5,"Good","Bad"),VLOOKUP(DATE($K$1,$K$2,LYO$4),Table1[],(MATCH(Calendar!$A18,DB!$1:$1,0)),FALSE)),"")</f>
        <v/>
      </c>
      <c r="LYP18" s="28" t="str">
        <f>IFERROR(IF(LYY3="No",IF(VLOOKUP(DATE($K$1,$K$2,LYP$4),Table1[],(MATCH(Calendar!$A18,DB!$1:$1,0)),FALSE)&gt;=5,"Good","Bad"),VLOOKUP(DATE($K$1,$K$2,LYP$4),Table1[],(MATCH(Calendar!$A18,DB!$1:$1,0)),FALSE)),"")</f>
        <v/>
      </c>
      <c r="LYQ18" s="28" t="str">
        <f>IFERROR(IF(LYZ3="No",IF(VLOOKUP(DATE($K$1,$K$2,LYQ$4),Table1[],(MATCH(Calendar!$A18,DB!$1:$1,0)),FALSE)&gt;=5,"Good","Bad"),VLOOKUP(DATE($K$1,$K$2,LYQ$4),Table1[],(MATCH(Calendar!$A18,DB!$1:$1,0)),FALSE)),"")</f>
        <v/>
      </c>
      <c r="LYR18" s="28" t="str">
        <f>IFERROR(IF(LZA3="No",IF(VLOOKUP(DATE($K$1,$K$2,LYR$4),Table1[],(MATCH(Calendar!$A18,DB!$1:$1,0)),FALSE)&gt;=5,"Good","Bad"),VLOOKUP(DATE($K$1,$K$2,LYR$4),Table1[],(MATCH(Calendar!$A18,DB!$1:$1,0)),FALSE)),"")</f>
        <v/>
      </c>
      <c r="LYS18" s="28" t="str">
        <f>IFERROR(IF(LZB3="No",IF(VLOOKUP(DATE($K$1,$K$2,LYS$4),Table1[],(MATCH(Calendar!$A18,DB!$1:$1,0)),FALSE)&gt;=5,"Good","Bad"),VLOOKUP(DATE($K$1,$K$2,LYS$4),Table1[],(MATCH(Calendar!$A18,DB!$1:$1,0)),FALSE)),"")</f>
        <v/>
      </c>
      <c r="LYT18" s="28" t="str">
        <f>IFERROR(IF(LZC3="No",IF(VLOOKUP(DATE($K$1,$K$2,LYT$4),Table1[],(MATCH(Calendar!$A18,DB!$1:$1,0)),FALSE)&gt;=5,"Good","Bad"),VLOOKUP(DATE($K$1,$K$2,LYT$4),Table1[],(MATCH(Calendar!$A18,DB!$1:$1,0)),FALSE)),"")</f>
        <v/>
      </c>
      <c r="LYU18" s="28" t="str">
        <f>IFERROR(IF(LZD3="No",IF(VLOOKUP(DATE($K$1,$K$2,LYU$4),Table1[],(MATCH(Calendar!$A18,DB!$1:$1,0)),FALSE)&gt;=5,"Good","Bad"),VLOOKUP(DATE($K$1,$K$2,LYU$4),Table1[],(MATCH(Calendar!$A18,DB!$1:$1,0)),FALSE)),"")</f>
        <v/>
      </c>
      <c r="LYV18" s="28" t="str">
        <f>IFERROR(IF(LZE3="No",IF(VLOOKUP(DATE($K$1,$K$2,LYV$4),Table1[],(MATCH(Calendar!$A18,DB!$1:$1,0)),FALSE)&gt;=5,"Good","Bad"),VLOOKUP(DATE($K$1,$K$2,LYV$4),Table1[],(MATCH(Calendar!$A18,DB!$1:$1,0)),FALSE)),"")</f>
        <v/>
      </c>
      <c r="LYW18" s="28" t="str">
        <f>IFERROR(IF(LZF3="No",IF(VLOOKUP(DATE($K$1,$K$2,LYW$4),Table1[],(MATCH(Calendar!$A18,DB!$1:$1,0)),FALSE)&gt;=5,"Good","Bad"),VLOOKUP(DATE($K$1,$K$2,LYW$4),Table1[],(MATCH(Calendar!$A18,DB!$1:$1,0)),FALSE)),"")</f>
        <v/>
      </c>
      <c r="LYX18" s="28" t="str">
        <f>IFERROR(IF(LZG3="No",IF(VLOOKUP(DATE($K$1,$K$2,LYX$4),Table1[],(MATCH(Calendar!$A18,DB!$1:$1,0)),FALSE)&gt;=5,"Good","Bad"),VLOOKUP(DATE($K$1,$K$2,LYX$4),Table1[],(MATCH(Calendar!$A18,DB!$1:$1,0)),FALSE)),"")</f>
        <v/>
      </c>
      <c r="LYY18" s="28" t="str">
        <f>IFERROR(IF(LZH3="No",IF(VLOOKUP(DATE($K$1,$K$2,LYY$4),Table1[],(MATCH(Calendar!$A18,DB!$1:$1,0)),FALSE)&gt;=5,"Good","Bad"),VLOOKUP(DATE($K$1,$K$2,LYY$4),Table1[],(MATCH(Calendar!$A18,DB!$1:$1,0)),FALSE)),"")</f>
        <v/>
      </c>
      <c r="LYZ18" s="28" t="str">
        <f>IFERROR(IF(LZI3="No",IF(VLOOKUP(DATE($K$1,$K$2,LYZ$4),Table1[],(MATCH(Calendar!$A18,DB!$1:$1,0)),FALSE)&gt;=5,"Good","Bad"),VLOOKUP(DATE($K$1,$K$2,LYZ$4),Table1[],(MATCH(Calendar!$A18,DB!$1:$1,0)),FALSE)),"")</f>
        <v/>
      </c>
      <c r="LZA18" s="28" t="str">
        <f>IFERROR(IF(LZJ3="No",IF(VLOOKUP(DATE($K$1,$K$2,LZA$4),Table1[],(MATCH(Calendar!$A18,DB!$1:$1,0)),FALSE)&gt;=5,"Good","Bad"),VLOOKUP(DATE($K$1,$K$2,LZA$4),Table1[],(MATCH(Calendar!$A18,DB!$1:$1,0)),FALSE)),"")</f>
        <v/>
      </c>
      <c r="LZB18" s="28" t="str">
        <f>IFERROR(IF(LZK3="No",IF(VLOOKUP(DATE($K$1,$K$2,LZB$4),Table1[],(MATCH(Calendar!$A18,DB!$1:$1,0)),FALSE)&gt;=5,"Good","Bad"),VLOOKUP(DATE($K$1,$K$2,LZB$4),Table1[],(MATCH(Calendar!$A18,DB!$1:$1,0)),FALSE)),"")</f>
        <v/>
      </c>
      <c r="LZC18" s="28" t="str">
        <f>IFERROR(IF(LZL3="No",IF(VLOOKUP(DATE($K$1,$K$2,LZC$4),Table1[],(MATCH(Calendar!$A18,DB!$1:$1,0)),FALSE)&gt;=5,"Good","Bad"),VLOOKUP(DATE($K$1,$K$2,LZC$4),Table1[],(MATCH(Calendar!$A18,DB!$1:$1,0)),FALSE)),"")</f>
        <v/>
      </c>
      <c r="LZD18" s="28" t="str">
        <f>IFERROR(IF(LZM3="No",IF(VLOOKUP(DATE($K$1,$K$2,LZD$4),Table1[],(MATCH(Calendar!$A18,DB!$1:$1,0)),FALSE)&gt;=5,"Good","Bad"),VLOOKUP(DATE($K$1,$K$2,LZD$4),Table1[],(MATCH(Calendar!$A18,DB!$1:$1,0)),FALSE)),"")</f>
        <v/>
      </c>
      <c r="LZE18" s="28" t="str">
        <f>IFERROR(IF(LZN3="No",IF(VLOOKUP(DATE($K$1,$K$2,LZE$4),Table1[],(MATCH(Calendar!$A18,DB!$1:$1,0)),FALSE)&gt;=5,"Good","Bad"),VLOOKUP(DATE($K$1,$K$2,LZE$4),Table1[],(MATCH(Calendar!$A18,DB!$1:$1,0)),FALSE)),"")</f>
        <v/>
      </c>
      <c r="LZF18" s="28" t="str">
        <f>IFERROR(IF(LZO3="No",IF(VLOOKUP(DATE($K$1,$K$2,LZF$4),Table1[],(MATCH(Calendar!$A18,DB!$1:$1,0)),FALSE)&gt;=5,"Good","Bad"),VLOOKUP(DATE($K$1,$K$2,LZF$4),Table1[],(MATCH(Calendar!$A18,DB!$1:$1,0)),FALSE)),"")</f>
        <v/>
      </c>
      <c r="LZG18" s="28" t="str">
        <f>IFERROR(IF(LZP3="No",IF(VLOOKUP(DATE($K$1,$K$2,LZG$4),Table1[],(MATCH(Calendar!$A18,DB!$1:$1,0)),FALSE)&gt;=5,"Good","Bad"),VLOOKUP(DATE($K$1,$K$2,LZG$4),Table1[],(MATCH(Calendar!$A18,DB!$1:$1,0)),FALSE)),"")</f>
        <v/>
      </c>
      <c r="LZH18" s="28" t="str">
        <f>IFERROR(IF(LZQ3="No",IF(VLOOKUP(DATE($K$1,$K$2,LZH$4),Table1[],(MATCH(Calendar!$A18,DB!$1:$1,0)),FALSE)&gt;=5,"Good","Bad"),VLOOKUP(DATE($K$1,$K$2,LZH$4),Table1[],(MATCH(Calendar!$A18,DB!$1:$1,0)),FALSE)),"")</f>
        <v/>
      </c>
      <c r="LZI18" s="28" t="str">
        <f>IFERROR(IF(LZR3="No",IF(VLOOKUP(DATE($K$1,$K$2,LZI$4),Table1[],(MATCH(Calendar!$A18,DB!$1:$1,0)),FALSE)&gt;=5,"Good","Bad"),VLOOKUP(DATE($K$1,$K$2,LZI$4),Table1[],(MATCH(Calendar!$A18,DB!$1:$1,0)),FALSE)),"")</f>
        <v/>
      </c>
      <c r="LZJ18" s="28" t="str">
        <f>IFERROR(IF(LZS3="No",IF(VLOOKUP(DATE($K$1,$K$2,LZJ$4),Table1[],(MATCH(Calendar!$A18,DB!$1:$1,0)),FALSE)&gt;=5,"Good","Bad"),VLOOKUP(DATE($K$1,$K$2,LZJ$4),Table1[],(MATCH(Calendar!$A18,DB!$1:$1,0)),FALSE)),"")</f>
        <v/>
      </c>
      <c r="LZK18" s="28" t="str">
        <f>IFERROR(IF(LZT3="No",IF(VLOOKUP(DATE($K$1,$K$2,LZK$4),Table1[],(MATCH(Calendar!$A18,DB!$1:$1,0)),FALSE)&gt;=5,"Good","Bad"),VLOOKUP(DATE($K$1,$K$2,LZK$4),Table1[],(MATCH(Calendar!$A18,DB!$1:$1,0)),FALSE)),"")</f>
        <v/>
      </c>
      <c r="LZL18" s="28" t="str">
        <f>IFERROR(IF(LZU3="No",IF(VLOOKUP(DATE($K$1,$K$2,LZL$4),Table1[],(MATCH(Calendar!$A18,DB!$1:$1,0)),FALSE)&gt;=5,"Good","Bad"),VLOOKUP(DATE($K$1,$K$2,LZL$4),Table1[],(MATCH(Calendar!$A18,DB!$1:$1,0)),FALSE)),"")</f>
        <v/>
      </c>
      <c r="LZM18" s="28" t="str">
        <f>IFERROR(IF(LZV3="No",IF(VLOOKUP(DATE($K$1,$K$2,LZM$4),Table1[],(MATCH(Calendar!$A18,DB!$1:$1,0)),FALSE)&gt;=5,"Good","Bad"),VLOOKUP(DATE($K$1,$K$2,LZM$4),Table1[],(MATCH(Calendar!$A18,DB!$1:$1,0)),FALSE)),"")</f>
        <v/>
      </c>
      <c r="LZN18" s="28" t="str">
        <f>IFERROR(IF(LZW3="No",IF(VLOOKUP(DATE($K$1,$K$2,LZN$4),Table1[],(MATCH(Calendar!$A18,DB!$1:$1,0)),FALSE)&gt;=5,"Good","Bad"),VLOOKUP(DATE($K$1,$K$2,LZN$4),Table1[],(MATCH(Calendar!$A18,DB!$1:$1,0)),FALSE)),"")</f>
        <v/>
      </c>
      <c r="LZO18" s="28" t="str">
        <f>IFERROR(IF(LZX3="No",IF(VLOOKUP(DATE($K$1,$K$2,LZO$4),Table1[],(MATCH(Calendar!$A18,DB!$1:$1,0)),FALSE)&gt;=5,"Good","Bad"),VLOOKUP(DATE($K$1,$K$2,LZO$4),Table1[],(MATCH(Calendar!$A18,DB!$1:$1,0)),FALSE)),"")</f>
        <v/>
      </c>
      <c r="LZP18" s="28" t="str">
        <f>IFERROR(IF(LZY3="No",IF(VLOOKUP(DATE($K$1,$K$2,LZP$4),Table1[],(MATCH(Calendar!$A18,DB!$1:$1,0)),FALSE)&gt;=5,"Good","Bad"),VLOOKUP(DATE($K$1,$K$2,LZP$4),Table1[],(MATCH(Calendar!$A18,DB!$1:$1,0)),FALSE)),"")</f>
        <v/>
      </c>
      <c r="LZQ18" s="28" t="str">
        <f>IFERROR(IF(LZZ3="No",IF(VLOOKUP(DATE($K$1,$K$2,LZQ$4),Table1[],(MATCH(Calendar!$A18,DB!$1:$1,0)),FALSE)&gt;=5,"Good","Bad"),VLOOKUP(DATE($K$1,$K$2,LZQ$4),Table1[],(MATCH(Calendar!$A18,DB!$1:$1,0)),FALSE)),"")</f>
        <v/>
      </c>
      <c r="LZR18" s="28" t="str">
        <f>IFERROR(IF(MAA3="No",IF(VLOOKUP(DATE($K$1,$K$2,LZR$4),Table1[],(MATCH(Calendar!$A18,DB!$1:$1,0)),FALSE)&gt;=5,"Good","Bad"),VLOOKUP(DATE($K$1,$K$2,LZR$4),Table1[],(MATCH(Calendar!$A18,DB!$1:$1,0)),FALSE)),"")</f>
        <v/>
      </c>
      <c r="LZS18" s="28" t="str">
        <f>IFERROR(IF(MAB3="No",IF(VLOOKUP(DATE($K$1,$K$2,LZS$4),Table1[],(MATCH(Calendar!$A18,DB!$1:$1,0)),FALSE)&gt;=5,"Good","Bad"),VLOOKUP(DATE($K$1,$K$2,LZS$4),Table1[],(MATCH(Calendar!$A18,DB!$1:$1,0)),FALSE)),"")</f>
        <v/>
      </c>
      <c r="LZT18" s="28" t="str">
        <f>IFERROR(IF(MAC3="No",IF(VLOOKUP(DATE($K$1,$K$2,LZT$4),Table1[],(MATCH(Calendar!$A18,DB!$1:$1,0)),FALSE)&gt;=5,"Good","Bad"),VLOOKUP(DATE($K$1,$K$2,LZT$4),Table1[],(MATCH(Calendar!$A18,DB!$1:$1,0)),FALSE)),"")</f>
        <v/>
      </c>
      <c r="LZU18" s="28" t="str">
        <f>IFERROR(IF(MAD3="No",IF(VLOOKUP(DATE($K$1,$K$2,LZU$4),Table1[],(MATCH(Calendar!$A18,DB!$1:$1,0)),FALSE)&gt;=5,"Good","Bad"),VLOOKUP(DATE($K$1,$K$2,LZU$4),Table1[],(MATCH(Calendar!$A18,DB!$1:$1,0)),FALSE)),"")</f>
        <v/>
      </c>
      <c r="LZV18" s="28" t="str">
        <f>IFERROR(IF(MAE3="No",IF(VLOOKUP(DATE($K$1,$K$2,LZV$4),Table1[],(MATCH(Calendar!$A18,DB!$1:$1,0)),FALSE)&gt;=5,"Good","Bad"),VLOOKUP(DATE($K$1,$K$2,LZV$4),Table1[],(MATCH(Calendar!$A18,DB!$1:$1,0)),FALSE)),"")</f>
        <v/>
      </c>
      <c r="LZW18" s="28" t="str">
        <f>IFERROR(IF(MAF3="No",IF(VLOOKUP(DATE($K$1,$K$2,LZW$4),Table1[],(MATCH(Calendar!$A18,DB!$1:$1,0)),FALSE)&gt;=5,"Good","Bad"),VLOOKUP(DATE($K$1,$K$2,LZW$4),Table1[],(MATCH(Calendar!$A18,DB!$1:$1,0)),FALSE)),"")</f>
        <v/>
      </c>
      <c r="LZX18" s="28" t="str">
        <f>IFERROR(IF(MAG3="No",IF(VLOOKUP(DATE($K$1,$K$2,LZX$4),Table1[],(MATCH(Calendar!$A18,DB!$1:$1,0)),FALSE)&gt;=5,"Good","Bad"),VLOOKUP(DATE($K$1,$K$2,LZX$4),Table1[],(MATCH(Calendar!$A18,DB!$1:$1,0)),FALSE)),"")</f>
        <v/>
      </c>
      <c r="LZY18" s="28" t="str">
        <f>IFERROR(IF(MAH3="No",IF(VLOOKUP(DATE($K$1,$K$2,LZY$4),Table1[],(MATCH(Calendar!$A18,DB!$1:$1,0)),FALSE)&gt;=5,"Good","Bad"),VLOOKUP(DATE($K$1,$K$2,LZY$4),Table1[],(MATCH(Calendar!$A18,DB!$1:$1,0)),FALSE)),"")</f>
        <v/>
      </c>
      <c r="LZZ18" s="28" t="str">
        <f>IFERROR(IF(MAI3="No",IF(VLOOKUP(DATE($K$1,$K$2,LZZ$4),Table1[],(MATCH(Calendar!$A18,DB!$1:$1,0)),FALSE)&gt;=5,"Good","Bad"),VLOOKUP(DATE($K$1,$K$2,LZZ$4),Table1[],(MATCH(Calendar!$A18,DB!$1:$1,0)),FALSE)),"")</f>
        <v/>
      </c>
      <c r="MAA18" s="28" t="str">
        <f>IFERROR(IF(MAJ3="No",IF(VLOOKUP(DATE($K$1,$K$2,MAA$4),Table1[],(MATCH(Calendar!$A18,DB!$1:$1,0)),FALSE)&gt;=5,"Good","Bad"),VLOOKUP(DATE($K$1,$K$2,MAA$4),Table1[],(MATCH(Calendar!$A18,DB!$1:$1,0)),FALSE)),"")</f>
        <v/>
      </c>
      <c r="MAB18" s="28" t="str">
        <f>IFERROR(IF(MAK3="No",IF(VLOOKUP(DATE($K$1,$K$2,MAB$4),Table1[],(MATCH(Calendar!$A18,DB!$1:$1,0)),FALSE)&gt;=5,"Good","Bad"),VLOOKUP(DATE($K$1,$K$2,MAB$4),Table1[],(MATCH(Calendar!$A18,DB!$1:$1,0)),FALSE)),"")</f>
        <v/>
      </c>
      <c r="MAC18" s="28" t="str">
        <f>IFERROR(IF(MAL3="No",IF(VLOOKUP(DATE($K$1,$K$2,MAC$4),Table1[],(MATCH(Calendar!$A18,DB!$1:$1,0)),FALSE)&gt;=5,"Good","Bad"),VLOOKUP(DATE($K$1,$K$2,MAC$4),Table1[],(MATCH(Calendar!$A18,DB!$1:$1,0)),FALSE)),"")</f>
        <v/>
      </c>
      <c r="MAD18" s="28" t="str">
        <f>IFERROR(IF(MAM3="No",IF(VLOOKUP(DATE($K$1,$K$2,MAD$4),Table1[],(MATCH(Calendar!$A18,DB!$1:$1,0)),FALSE)&gt;=5,"Good","Bad"),VLOOKUP(DATE($K$1,$K$2,MAD$4),Table1[],(MATCH(Calendar!$A18,DB!$1:$1,0)),FALSE)),"")</f>
        <v/>
      </c>
      <c r="MAE18" s="28" t="str">
        <f>IFERROR(IF(MAN3="No",IF(VLOOKUP(DATE($K$1,$K$2,MAE$4),Table1[],(MATCH(Calendar!$A18,DB!$1:$1,0)),FALSE)&gt;=5,"Good","Bad"),VLOOKUP(DATE($K$1,$K$2,MAE$4),Table1[],(MATCH(Calendar!$A18,DB!$1:$1,0)),FALSE)),"")</f>
        <v/>
      </c>
      <c r="MAF18" s="28" t="str">
        <f>IFERROR(IF(MAO3="No",IF(VLOOKUP(DATE($K$1,$K$2,MAF$4),Table1[],(MATCH(Calendar!$A18,DB!$1:$1,0)),FALSE)&gt;=5,"Good","Bad"),VLOOKUP(DATE($K$1,$K$2,MAF$4),Table1[],(MATCH(Calendar!$A18,DB!$1:$1,0)),FALSE)),"")</f>
        <v/>
      </c>
      <c r="MAG18" s="28" t="str">
        <f>IFERROR(IF(MAP3="No",IF(VLOOKUP(DATE($K$1,$K$2,MAG$4),Table1[],(MATCH(Calendar!$A18,DB!$1:$1,0)),FALSE)&gt;=5,"Good","Bad"),VLOOKUP(DATE($K$1,$K$2,MAG$4),Table1[],(MATCH(Calendar!$A18,DB!$1:$1,0)),FALSE)),"")</f>
        <v/>
      </c>
      <c r="MAH18" s="28" t="str">
        <f>IFERROR(IF(MAQ3="No",IF(VLOOKUP(DATE($K$1,$K$2,MAH$4),Table1[],(MATCH(Calendar!$A18,DB!$1:$1,0)),FALSE)&gt;=5,"Good","Bad"),VLOOKUP(DATE($K$1,$K$2,MAH$4),Table1[],(MATCH(Calendar!$A18,DB!$1:$1,0)),FALSE)),"")</f>
        <v/>
      </c>
      <c r="MAI18" s="28" t="str">
        <f>IFERROR(IF(MAR3="No",IF(VLOOKUP(DATE($K$1,$K$2,MAI$4),Table1[],(MATCH(Calendar!$A18,DB!$1:$1,0)),FALSE)&gt;=5,"Good","Bad"),VLOOKUP(DATE($K$1,$K$2,MAI$4),Table1[],(MATCH(Calendar!$A18,DB!$1:$1,0)),FALSE)),"")</f>
        <v/>
      </c>
      <c r="MAJ18" s="28" t="str">
        <f>IFERROR(IF(MAS3="No",IF(VLOOKUP(DATE($K$1,$K$2,MAJ$4),Table1[],(MATCH(Calendar!$A18,DB!$1:$1,0)),FALSE)&gt;=5,"Good","Bad"),VLOOKUP(DATE($K$1,$K$2,MAJ$4),Table1[],(MATCH(Calendar!$A18,DB!$1:$1,0)),FALSE)),"")</f>
        <v/>
      </c>
      <c r="MAK18" s="28" t="str">
        <f>IFERROR(IF(MAT3="No",IF(VLOOKUP(DATE($K$1,$K$2,MAK$4),Table1[],(MATCH(Calendar!$A18,DB!$1:$1,0)),FALSE)&gt;=5,"Good","Bad"),VLOOKUP(DATE($K$1,$K$2,MAK$4),Table1[],(MATCH(Calendar!$A18,DB!$1:$1,0)),FALSE)),"")</f>
        <v/>
      </c>
      <c r="MAL18" s="28" t="str">
        <f>IFERROR(IF(MAU3="No",IF(VLOOKUP(DATE($K$1,$K$2,MAL$4),Table1[],(MATCH(Calendar!$A18,DB!$1:$1,0)),FALSE)&gt;=5,"Good","Bad"),VLOOKUP(DATE($K$1,$K$2,MAL$4),Table1[],(MATCH(Calendar!$A18,DB!$1:$1,0)),FALSE)),"")</f>
        <v/>
      </c>
      <c r="MAM18" s="28" t="str">
        <f>IFERROR(IF(MAV3="No",IF(VLOOKUP(DATE($K$1,$K$2,MAM$4),Table1[],(MATCH(Calendar!$A18,DB!$1:$1,0)),FALSE)&gt;=5,"Good","Bad"),VLOOKUP(DATE($K$1,$K$2,MAM$4),Table1[],(MATCH(Calendar!$A18,DB!$1:$1,0)),FALSE)),"")</f>
        <v/>
      </c>
      <c r="MAN18" s="28" t="str">
        <f>IFERROR(IF(MAW3="No",IF(VLOOKUP(DATE($K$1,$K$2,MAN$4),Table1[],(MATCH(Calendar!$A18,DB!$1:$1,0)),FALSE)&gt;=5,"Good","Bad"),VLOOKUP(DATE($K$1,$K$2,MAN$4),Table1[],(MATCH(Calendar!$A18,DB!$1:$1,0)),FALSE)),"")</f>
        <v/>
      </c>
      <c r="MAO18" s="28" t="str">
        <f>IFERROR(IF(MAX3="No",IF(VLOOKUP(DATE($K$1,$K$2,MAO$4),Table1[],(MATCH(Calendar!$A18,DB!$1:$1,0)),FALSE)&gt;=5,"Good","Bad"),VLOOKUP(DATE($K$1,$K$2,MAO$4),Table1[],(MATCH(Calendar!$A18,DB!$1:$1,0)),FALSE)),"")</f>
        <v/>
      </c>
      <c r="MAP18" s="28" t="str">
        <f>IFERROR(IF(MAY3="No",IF(VLOOKUP(DATE($K$1,$K$2,MAP$4),Table1[],(MATCH(Calendar!$A18,DB!$1:$1,0)),FALSE)&gt;=5,"Good","Bad"),VLOOKUP(DATE($K$1,$K$2,MAP$4),Table1[],(MATCH(Calendar!$A18,DB!$1:$1,0)),FALSE)),"")</f>
        <v/>
      </c>
      <c r="MAQ18" s="28" t="str">
        <f>IFERROR(IF(MAZ3="No",IF(VLOOKUP(DATE($K$1,$K$2,MAQ$4),Table1[],(MATCH(Calendar!$A18,DB!$1:$1,0)),FALSE)&gt;=5,"Good","Bad"),VLOOKUP(DATE($K$1,$K$2,MAQ$4),Table1[],(MATCH(Calendar!$A18,DB!$1:$1,0)),FALSE)),"")</f>
        <v/>
      </c>
      <c r="MAR18" s="28" t="str">
        <f>IFERROR(IF(MBA3="No",IF(VLOOKUP(DATE($K$1,$K$2,MAR$4),Table1[],(MATCH(Calendar!$A18,DB!$1:$1,0)),FALSE)&gt;=5,"Good","Bad"),VLOOKUP(DATE($K$1,$K$2,MAR$4),Table1[],(MATCH(Calendar!$A18,DB!$1:$1,0)),FALSE)),"")</f>
        <v/>
      </c>
      <c r="MAS18" s="28" t="str">
        <f>IFERROR(IF(MBB3="No",IF(VLOOKUP(DATE($K$1,$K$2,MAS$4),Table1[],(MATCH(Calendar!$A18,DB!$1:$1,0)),FALSE)&gt;=5,"Good","Bad"),VLOOKUP(DATE($K$1,$K$2,MAS$4),Table1[],(MATCH(Calendar!$A18,DB!$1:$1,0)),FALSE)),"")</f>
        <v/>
      </c>
      <c r="MAT18" s="28" t="str">
        <f>IFERROR(IF(MBC3="No",IF(VLOOKUP(DATE($K$1,$K$2,MAT$4),Table1[],(MATCH(Calendar!$A18,DB!$1:$1,0)),FALSE)&gt;=5,"Good","Bad"),VLOOKUP(DATE($K$1,$K$2,MAT$4),Table1[],(MATCH(Calendar!$A18,DB!$1:$1,0)),FALSE)),"")</f>
        <v/>
      </c>
      <c r="MAU18" s="28" t="str">
        <f>IFERROR(IF(MBD3="No",IF(VLOOKUP(DATE($K$1,$K$2,MAU$4),Table1[],(MATCH(Calendar!$A18,DB!$1:$1,0)),FALSE)&gt;=5,"Good","Bad"),VLOOKUP(DATE($K$1,$K$2,MAU$4),Table1[],(MATCH(Calendar!$A18,DB!$1:$1,0)),FALSE)),"")</f>
        <v/>
      </c>
      <c r="MAV18" s="28" t="str">
        <f>IFERROR(IF(MBE3="No",IF(VLOOKUP(DATE($K$1,$K$2,MAV$4),Table1[],(MATCH(Calendar!$A18,DB!$1:$1,0)),FALSE)&gt;=5,"Good","Bad"),VLOOKUP(DATE($K$1,$K$2,MAV$4),Table1[],(MATCH(Calendar!$A18,DB!$1:$1,0)),FALSE)),"")</f>
        <v/>
      </c>
      <c r="MAW18" s="28" t="str">
        <f>IFERROR(IF(MBF3="No",IF(VLOOKUP(DATE($K$1,$K$2,MAW$4),Table1[],(MATCH(Calendar!$A18,DB!$1:$1,0)),FALSE)&gt;=5,"Good","Bad"),VLOOKUP(DATE($K$1,$K$2,MAW$4),Table1[],(MATCH(Calendar!$A18,DB!$1:$1,0)),FALSE)),"")</f>
        <v/>
      </c>
      <c r="MAX18" s="28" t="str">
        <f>IFERROR(IF(MBG3="No",IF(VLOOKUP(DATE($K$1,$K$2,MAX$4),Table1[],(MATCH(Calendar!$A18,DB!$1:$1,0)),FALSE)&gt;=5,"Good","Bad"),VLOOKUP(DATE($K$1,$K$2,MAX$4),Table1[],(MATCH(Calendar!$A18,DB!$1:$1,0)),FALSE)),"")</f>
        <v/>
      </c>
      <c r="MAY18" s="28" t="str">
        <f>IFERROR(IF(MBH3="No",IF(VLOOKUP(DATE($K$1,$K$2,MAY$4),Table1[],(MATCH(Calendar!$A18,DB!$1:$1,0)),FALSE)&gt;=5,"Good","Bad"),VLOOKUP(DATE($K$1,$K$2,MAY$4),Table1[],(MATCH(Calendar!$A18,DB!$1:$1,0)),FALSE)),"")</f>
        <v/>
      </c>
      <c r="MAZ18" s="28" t="str">
        <f>IFERROR(IF(MBI3="No",IF(VLOOKUP(DATE($K$1,$K$2,MAZ$4),Table1[],(MATCH(Calendar!$A18,DB!$1:$1,0)),FALSE)&gt;=5,"Good","Bad"),VLOOKUP(DATE($K$1,$K$2,MAZ$4),Table1[],(MATCH(Calendar!$A18,DB!$1:$1,0)),FALSE)),"")</f>
        <v/>
      </c>
      <c r="MBA18" s="28" t="str">
        <f>IFERROR(IF(MBJ3="No",IF(VLOOKUP(DATE($K$1,$K$2,MBA$4),Table1[],(MATCH(Calendar!$A18,DB!$1:$1,0)),FALSE)&gt;=5,"Good","Bad"),VLOOKUP(DATE($K$1,$K$2,MBA$4),Table1[],(MATCH(Calendar!$A18,DB!$1:$1,0)),FALSE)),"")</f>
        <v/>
      </c>
      <c r="MBB18" s="28" t="str">
        <f>IFERROR(IF(MBK3="No",IF(VLOOKUP(DATE($K$1,$K$2,MBB$4),Table1[],(MATCH(Calendar!$A18,DB!$1:$1,0)),FALSE)&gt;=5,"Good","Bad"),VLOOKUP(DATE($K$1,$K$2,MBB$4),Table1[],(MATCH(Calendar!$A18,DB!$1:$1,0)),FALSE)),"")</f>
        <v/>
      </c>
      <c r="MBC18" s="28" t="str">
        <f>IFERROR(IF(MBL3="No",IF(VLOOKUP(DATE($K$1,$K$2,MBC$4),Table1[],(MATCH(Calendar!$A18,DB!$1:$1,0)),FALSE)&gt;=5,"Good","Bad"),VLOOKUP(DATE($K$1,$K$2,MBC$4),Table1[],(MATCH(Calendar!$A18,DB!$1:$1,0)),FALSE)),"")</f>
        <v/>
      </c>
      <c r="MBD18" s="28" t="str">
        <f>IFERROR(IF(MBM3="No",IF(VLOOKUP(DATE($K$1,$K$2,MBD$4),Table1[],(MATCH(Calendar!$A18,DB!$1:$1,0)),FALSE)&gt;=5,"Good","Bad"),VLOOKUP(DATE($K$1,$K$2,MBD$4),Table1[],(MATCH(Calendar!$A18,DB!$1:$1,0)),FALSE)),"")</f>
        <v/>
      </c>
      <c r="MBE18" s="28" t="str">
        <f>IFERROR(IF(MBN3="No",IF(VLOOKUP(DATE($K$1,$K$2,MBE$4),Table1[],(MATCH(Calendar!$A18,DB!$1:$1,0)),FALSE)&gt;=5,"Good","Bad"),VLOOKUP(DATE($K$1,$K$2,MBE$4),Table1[],(MATCH(Calendar!$A18,DB!$1:$1,0)),FALSE)),"")</f>
        <v/>
      </c>
      <c r="MBF18" s="28" t="str">
        <f>IFERROR(IF(MBO3="No",IF(VLOOKUP(DATE($K$1,$K$2,MBF$4),Table1[],(MATCH(Calendar!$A18,DB!$1:$1,0)),FALSE)&gt;=5,"Good","Bad"),VLOOKUP(DATE($K$1,$K$2,MBF$4),Table1[],(MATCH(Calendar!$A18,DB!$1:$1,0)),FALSE)),"")</f>
        <v/>
      </c>
      <c r="MBG18" s="28" t="str">
        <f>IFERROR(IF(MBP3="No",IF(VLOOKUP(DATE($K$1,$K$2,MBG$4),Table1[],(MATCH(Calendar!$A18,DB!$1:$1,0)),FALSE)&gt;=5,"Good","Bad"),VLOOKUP(DATE($K$1,$K$2,MBG$4),Table1[],(MATCH(Calendar!$A18,DB!$1:$1,0)),FALSE)),"")</f>
        <v/>
      </c>
      <c r="MBH18" s="28" t="str">
        <f>IFERROR(IF(MBQ3="No",IF(VLOOKUP(DATE($K$1,$K$2,MBH$4),Table1[],(MATCH(Calendar!$A18,DB!$1:$1,0)),FALSE)&gt;=5,"Good","Bad"),VLOOKUP(DATE($K$1,$K$2,MBH$4),Table1[],(MATCH(Calendar!$A18,DB!$1:$1,0)),FALSE)),"")</f>
        <v/>
      </c>
      <c r="MBI18" s="28" t="str">
        <f>IFERROR(IF(MBR3="No",IF(VLOOKUP(DATE($K$1,$K$2,MBI$4),Table1[],(MATCH(Calendar!$A18,DB!$1:$1,0)),FALSE)&gt;=5,"Good","Bad"),VLOOKUP(DATE($K$1,$K$2,MBI$4),Table1[],(MATCH(Calendar!$A18,DB!$1:$1,0)),FALSE)),"")</f>
        <v/>
      </c>
      <c r="MBJ18" s="28" t="str">
        <f>IFERROR(IF(MBS3="No",IF(VLOOKUP(DATE($K$1,$K$2,MBJ$4),Table1[],(MATCH(Calendar!$A18,DB!$1:$1,0)),FALSE)&gt;=5,"Good","Bad"),VLOOKUP(DATE($K$1,$K$2,MBJ$4),Table1[],(MATCH(Calendar!$A18,DB!$1:$1,0)),FALSE)),"")</f>
        <v/>
      </c>
      <c r="MBK18" s="28" t="str">
        <f>IFERROR(IF(MBT3="No",IF(VLOOKUP(DATE($K$1,$K$2,MBK$4),Table1[],(MATCH(Calendar!$A18,DB!$1:$1,0)),FALSE)&gt;=5,"Good","Bad"),VLOOKUP(DATE($K$1,$K$2,MBK$4),Table1[],(MATCH(Calendar!$A18,DB!$1:$1,0)),FALSE)),"")</f>
        <v/>
      </c>
      <c r="MBL18" s="28" t="str">
        <f>IFERROR(IF(MBU3="No",IF(VLOOKUP(DATE($K$1,$K$2,MBL$4),Table1[],(MATCH(Calendar!$A18,DB!$1:$1,0)),FALSE)&gt;=5,"Good","Bad"),VLOOKUP(DATE($K$1,$K$2,MBL$4),Table1[],(MATCH(Calendar!$A18,DB!$1:$1,0)),FALSE)),"")</f>
        <v/>
      </c>
      <c r="MBM18" s="28" t="str">
        <f>IFERROR(IF(MBV3="No",IF(VLOOKUP(DATE($K$1,$K$2,MBM$4),Table1[],(MATCH(Calendar!$A18,DB!$1:$1,0)),FALSE)&gt;=5,"Good","Bad"),VLOOKUP(DATE($K$1,$K$2,MBM$4),Table1[],(MATCH(Calendar!$A18,DB!$1:$1,0)),FALSE)),"")</f>
        <v/>
      </c>
      <c r="MBN18" s="28" t="str">
        <f>IFERROR(IF(MBW3="No",IF(VLOOKUP(DATE($K$1,$K$2,MBN$4),Table1[],(MATCH(Calendar!$A18,DB!$1:$1,0)),FALSE)&gt;=5,"Good","Bad"),VLOOKUP(DATE($K$1,$K$2,MBN$4),Table1[],(MATCH(Calendar!$A18,DB!$1:$1,0)),FALSE)),"")</f>
        <v/>
      </c>
      <c r="MBO18" s="28" t="str">
        <f>IFERROR(IF(MBX3="No",IF(VLOOKUP(DATE($K$1,$K$2,MBO$4),Table1[],(MATCH(Calendar!$A18,DB!$1:$1,0)),FALSE)&gt;=5,"Good","Bad"),VLOOKUP(DATE($K$1,$K$2,MBO$4),Table1[],(MATCH(Calendar!$A18,DB!$1:$1,0)),FALSE)),"")</f>
        <v/>
      </c>
      <c r="MBP18" s="28" t="str">
        <f>IFERROR(IF(MBY3="No",IF(VLOOKUP(DATE($K$1,$K$2,MBP$4),Table1[],(MATCH(Calendar!$A18,DB!$1:$1,0)),FALSE)&gt;=5,"Good","Bad"),VLOOKUP(DATE($K$1,$K$2,MBP$4),Table1[],(MATCH(Calendar!$A18,DB!$1:$1,0)),FALSE)),"")</f>
        <v/>
      </c>
      <c r="MBQ18" s="28" t="str">
        <f>IFERROR(IF(MBZ3="No",IF(VLOOKUP(DATE($K$1,$K$2,MBQ$4),Table1[],(MATCH(Calendar!$A18,DB!$1:$1,0)),FALSE)&gt;=5,"Good","Bad"),VLOOKUP(DATE($K$1,$K$2,MBQ$4),Table1[],(MATCH(Calendar!$A18,DB!$1:$1,0)),FALSE)),"")</f>
        <v/>
      </c>
      <c r="MBR18" s="28" t="str">
        <f>IFERROR(IF(MCA3="No",IF(VLOOKUP(DATE($K$1,$K$2,MBR$4),Table1[],(MATCH(Calendar!$A18,DB!$1:$1,0)),FALSE)&gt;=5,"Good","Bad"),VLOOKUP(DATE($K$1,$K$2,MBR$4),Table1[],(MATCH(Calendar!$A18,DB!$1:$1,0)),FALSE)),"")</f>
        <v/>
      </c>
      <c r="MBS18" s="28" t="str">
        <f>IFERROR(IF(MCB3="No",IF(VLOOKUP(DATE($K$1,$K$2,MBS$4),Table1[],(MATCH(Calendar!$A18,DB!$1:$1,0)),FALSE)&gt;=5,"Good","Bad"),VLOOKUP(DATE($K$1,$K$2,MBS$4),Table1[],(MATCH(Calendar!$A18,DB!$1:$1,0)),FALSE)),"")</f>
        <v/>
      </c>
      <c r="MBT18" s="28" t="str">
        <f>IFERROR(IF(MCC3="No",IF(VLOOKUP(DATE($K$1,$K$2,MBT$4),Table1[],(MATCH(Calendar!$A18,DB!$1:$1,0)),FALSE)&gt;=5,"Good","Bad"),VLOOKUP(DATE($K$1,$K$2,MBT$4),Table1[],(MATCH(Calendar!$A18,DB!$1:$1,0)),FALSE)),"")</f>
        <v/>
      </c>
      <c r="MBU18" s="28" t="str">
        <f>IFERROR(IF(MCD3="No",IF(VLOOKUP(DATE($K$1,$K$2,MBU$4),Table1[],(MATCH(Calendar!$A18,DB!$1:$1,0)),FALSE)&gt;=5,"Good","Bad"),VLOOKUP(DATE($K$1,$K$2,MBU$4),Table1[],(MATCH(Calendar!$A18,DB!$1:$1,0)),FALSE)),"")</f>
        <v/>
      </c>
      <c r="MBV18" s="28" t="str">
        <f>IFERROR(IF(MCE3="No",IF(VLOOKUP(DATE($K$1,$K$2,MBV$4),Table1[],(MATCH(Calendar!$A18,DB!$1:$1,0)),FALSE)&gt;=5,"Good","Bad"),VLOOKUP(DATE($K$1,$K$2,MBV$4),Table1[],(MATCH(Calendar!$A18,DB!$1:$1,0)),FALSE)),"")</f>
        <v/>
      </c>
      <c r="MBW18" s="28" t="str">
        <f>IFERROR(IF(MCF3="No",IF(VLOOKUP(DATE($K$1,$K$2,MBW$4),Table1[],(MATCH(Calendar!$A18,DB!$1:$1,0)),FALSE)&gt;=5,"Good","Bad"),VLOOKUP(DATE($K$1,$K$2,MBW$4),Table1[],(MATCH(Calendar!$A18,DB!$1:$1,0)),FALSE)),"")</f>
        <v/>
      </c>
      <c r="MBX18" s="28" t="str">
        <f>IFERROR(IF(MCG3="No",IF(VLOOKUP(DATE($K$1,$K$2,MBX$4),Table1[],(MATCH(Calendar!$A18,DB!$1:$1,0)),FALSE)&gt;=5,"Good","Bad"),VLOOKUP(DATE($K$1,$K$2,MBX$4),Table1[],(MATCH(Calendar!$A18,DB!$1:$1,0)),FALSE)),"")</f>
        <v/>
      </c>
      <c r="MBY18" s="28" t="str">
        <f>IFERROR(IF(MCH3="No",IF(VLOOKUP(DATE($K$1,$K$2,MBY$4),Table1[],(MATCH(Calendar!$A18,DB!$1:$1,0)),FALSE)&gt;=5,"Good","Bad"),VLOOKUP(DATE($K$1,$K$2,MBY$4),Table1[],(MATCH(Calendar!$A18,DB!$1:$1,0)),FALSE)),"")</f>
        <v/>
      </c>
      <c r="MBZ18" s="28" t="str">
        <f>IFERROR(IF(MCI3="No",IF(VLOOKUP(DATE($K$1,$K$2,MBZ$4),Table1[],(MATCH(Calendar!$A18,DB!$1:$1,0)),FALSE)&gt;=5,"Good","Bad"),VLOOKUP(DATE($K$1,$K$2,MBZ$4),Table1[],(MATCH(Calendar!$A18,DB!$1:$1,0)),FALSE)),"")</f>
        <v/>
      </c>
      <c r="MCA18" s="28" t="str">
        <f>IFERROR(IF(MCJ3="No",IF(VLOOKUP(DATE($K$1,$K$2,MCA$4),Table1[],(MATCH(Calendar!$A18,DB!$1:$1,0)),FALSE)&gt;=5,"Good","Bad"),VLOOKUP(DATE($K$1,$K$2,MCA$4),Table1[],(MATCH(Calendar!$A18,DB!$1:$1,0)),FALSE)),"")</f>
        <v/>
      </c>
      <c r="MCB18" s="28" t="str">
        <f>IFERROR(IF(MCK3="No",IF(VLOOKUP(DATE($K$1,$K$2,MCB$4),Table1[],(MATCH(Calendar!$A18,DB!$1:$1,0)),FALSE)&gt;=5,"Good","Bad"),VLOOKUP(DATE($K$1,$K$2,MCB$4),Table1[],(MATCH(Calendar!$A18,DB!$1:$1,0)),FALSE)),"")</f>
        <v/>
      </c>
      <c r="MCC18" s="28" t="str">
        <f>IFERROR(IF(MCL3="No",IF(VLOOKUP(DATE($K$1,$K$2,MCC$4),Table1[],(MATCH(Calendar!$A18,DB!$1:$1,0)),FALSE)&gt;=5,"Good","Bad"),VLOOKUP(DATE($K$1,$K$2,MCC$4),Table1[],(MATCH(Calendar!$A18,DB!$1:$1,0)),FALSE)),"")</f>
        <v/>
      </c>
      <c r="MCD18" s="28" t="str">
        <f>IFERROR(IF(MCM3="No",IF(VLOOKUP(DATE($K$1,$K$2,MCD$4),Table1[],(MATCH(Calendar!$A18,DB!$1:$1,0)),FALSE)&gt;=5,"Good","Bad"),VLOOKUP(DATE($K$1,$K$2,MCD$4),Table1[],(MATCH(Calendar!$A18,DB!$1:$1,0)),FALSE)),"")</f>
        <v/>
      </c>
      <c r="MCE18" s="28" t="str">
        <f>IFERROR(IF(MCN3="No",IF(VLOOKUP(DATE($K$1,$K$2,MCE$4),Table1[],(MATCH(Calendar!$A18,DB!$1:$1,0)),FALSE)&gt;=5,"Good","Bad"),VLOOKUP(DATE($K$1,$K$2,MCE$4),Table1[],(MATCH(Calendar!$A18,DB!$1:$1,0)),FALSE)),"")</f>
        <v/>
      </c>
      <c r="MCF18" s="28" t="str">
        <f>IFERROR(IF(MCO3="No",IF(VLOOKUP(DATE($K$1,$K$2,MCF$4),Table1[],(MATCH(Calendar!$A18,DB!$1:$1,0)),FALSE)&gt;=5,"Good","Bad"),VLOOKUP(DATE($K$1,$K$2,MCF$4),Table1[],(MATCH(Calendar!$A18,DB!$1:$1,0)),FALSE)),"")</f>
        <v/>
      </c>
      <c r="MCG18" s="28" t="str">
        <f>IFERROR(IF(MCP3="No",IF(VLOOKUP(DATE($K$1,$K$2,MCG$4),Table1[],(MATCH(Calendar!$A18,DB!$1:$1,0)),FALSE)&gt;=5,"Good","Bad"),VLOOKUP(DATE($K$1,$K$2,MCG$4),Table1[],(MATCH(Calendar!$A18,DB!$1:$1,0)),FALSE)),"")</f>
        <v/>
      </c>
      <c r="MCH18" s="28" t="str">
        <f>IFERROR(IF(MCQ3="No",IF(VLOOKUP(DATE($K$1,$K$2,MCH$4),Table1[],(MATCH(Calendar!$A18,DB!$1:$1,0)),FALSE)&gt;=5,"Good","Bad"),VLOOKUP(DATE($K$1,$K$2,MCH$4),Table1[],(MATCH(Calendar!$A18,DB!$1:$1,0)),FALSE)),"")</f>
        <v/>
      </c>
      <c r="MCI18" s="28" t="str">
        <f>IFERROR(IF(MCR3="No",IF(VLOOKUP(DATE($K$1,$K$2,MCI$4),Table1[],(MATCH(Calendar!$A18,DB!$1:$1,0)),FALSE)&gt;=5,"Good","Bad"),VLOOKUP(DATE($K$1,$K$2,MCI$4),Table1[],(MATCH(Calendar!$A18,DB!$1:$1,0)),FALSE)),"")</f>
        <v/>
      </c>
      <c r="MCJ18" s="28" t="str">
        <f>IFERROR(IF(MCS3="No",IF(VLOOKUP(DATE($K$1,$K$2,MCJ$4),Table1[],(MATCH(Calendar!$A18,DB!$1:$1,0)),FALSE)&gt;=5,"Good","Bad"),VLOOKUP(DATE($K$1,$K$2,MCJ$4),Table1[],(MATCH(Calendar!$A18,DB!$1:$1,0)),FALSE)),"")</f>
        <v/>
      </c>
      <c r="MCK18" s="28" t="str">
        <f>IFERROR(IF(MCT3="No",IF(VLOOKUP(DATE($K$1,$K$2,MCK$4),Table1[],(MATCH(Calendar!$A18,DB!$1:$1,0)),FALSE)&gt;=5,"Good","Bad"),VLOOKUP(DATE($K$1,$K$2,MCK$4),Table1[],(MATCH(Calendar!$A18,DB!$1:$1,0)),FALSE)),"")</f>
        <v/>
      </c>
      <c r="MCL18" s="28" t="str">
        <f>IFERROR(IF(MCU3="No",IF(VLOOKUP(DATE($K$1,$K$2,MCL$4),Table1[],(MATCH(Calendar!$A18,DB!$1:$1,0)),FALSE)&gt;=5,"Good","Bad"),VLOOKUP(DATE($K$1,$K$2,MCL$4),Table1[],(MATCH(Calendar!$A18,DB!$1:$1,0)),FALSE)),"")</f>
        <v/>
      </c>
      <c r="MCM18" s="28" t="str">
        <f>IFERROR(IF(MCV3="No",IF(VLOOKUP(DATE($K$1,$K$2,MCM$4),Table1[],(MATCH(Calendar!$A18,DB!$1:$1,0)),FALSE)&gt;=5,"Good","Bad"),VLOOKUP(DATE($K$1,$K$2,MCM$4),Table1[],(MATCH(Calendar!$A18,DB!$1:$1,0)),FALSE)),"")</f>
        <v/>
      </c>
      <c r="MCN18" s="28" t="str">
        <f>IFERROR(IF(MCW3="No",IF(VLOOKUP(DATE($K$1,$K$2,MCN$4),Table1[],(MATCH(Calendar!$A18,DB!$1:$1,0)),FALSE)&gt;=5,"Good","Bad"),VLOOKUP(DATE($K$1,$K$2,MCN$4),Table1[],(MATCH(Calendar!$A18,DB!$1:$1,0)),FALSE)),"")</f>
        <v/>
      </c>
      <c r="MCO18" s="28" t="str">
        <f>IFERROR(IF(MCX3="No",IF(VLOOKUP(DATE($K$1,$K$2,MCO$4),Table1[],(MATCH(Calendar!$A18,DB!$1:$1,0)),FALSE)&gt;=5,"Good","Bad"),VLOOKUP(DATE($K$1,$K$2,MCO$4),Table1[],(MATCH(Calendar!$A18,DB!$1:$1,0)),FALSE)),"")</f>
        <v/>
      </c>
      <c r="MCP18" s="28" t="str">
        <f>IFERROR(IF(MCY3="No",IF(VLOOKUP(DATE($K$1,$K$2,MCP$4),Table1[],(MATCH(Calendar!$A18,DB!$1:$1,0)),FALSE)&gt;=5,"Good","Bad"),VLOOKUP(DATE($K$1,$K$2,MCP$4),Table1[],(MATCH(Calendar!$A18,DB!$1:$1,0)),FALSE)),"")</f>
        <v/>
      </c>
      <c r="MCQ18" s="28" t="str">
        <f>IFERROR(IF(MCZ3="No",IF(VLOOKUP(DATE($K$1,$K$2,MCQ$4),Table1[],(MATCH(Calendar!$A18,DB!$1:$1,0)),FALSE)&gt;=5,"Good","Bad"),VLOOKUP(DATE($K$1,$K$2,MCQ$4),Table1[],(MATCH(Calendar!$A18,DB!$1:$1,0)),FALSE)),"")</f>
        <v/>
      </c>
      <c r="MCR18" s="28" t="str">
        <f>IFERROR(IF(MDA3="No",IF(VLOOKUP(DATE($K$1,$K$2,MCR$4),Table1[],(MATCH(Calendar!$A18,DB!$1:$1,0)),FALSE)&gt;=5,"Good","Bad"),VLOOKUP(DATE($K$1,$K$2,MCR$4),Table1[],(MATCH(Calendar!$A18,DB!$1:$1,0)),FALSE)),"")</f>
        <v/>
      </c>
      <c r="MCS18" s="28" t="str">
        <f>IFERROR(IF(MDB3="No",IF(VLOOKUP(DATE($K$1,$K$2,MCS$4),Table1[],(MATCH(Calendar!$A18,DB!$1:$1,0)),FALSE)&gt;=5,"Good","Bad"),VLOOKUP(DATE($K$1,$K$2,MCS$4),Table1[],(MATCH(Calendar!$A18,DB!$1:$1,0)),FALSE)),"")</f>
        <v/>
      </c>
      <c r="MCT18" s="28" t="str">
        <f>IFERROR(IF(MDC3="No",IF(VLOOKUP(DATE($K$1,$K$2,MCT$4),Table1[],(MATCH(Calendar!$A18,DB!$1:$1,0)),FALSE)&gt;=5,"Good","Bad"),VLOOKUP(DATE($K$1,$K$2,MCT$4),Table1[],(MATCH(Calendar!$A18,DB!$1:$1,0)),FALSE)),"")</f>
        <v/>
      </c>
      <c r="MCU18" s="28" t="str">
        <f>IFERROR(IF(MDD3="No",IF(VLOOKUP(DATE($K$1,$K$2,MCU$4),Table1[],(MATCH(Calendar!$A18,DB!$1:$1,0)),FALSE)&gt;=5,"Good","Bad"),VLOOKUP(DATE($K$1,$K$2,MCU$4),Table1[],(MATCH(Calendar!$A18,DB!$1:$1,0)),FALSE)),"")</f>
        <v/>
      </c>
      <c r="MCV18" s="28" t="str">
        <f>IFERROR(IF(MDE3="No",IF(VLOOKUP(DATE($K$1,$K$2,MCV$4),Table1[],(MATCH(Calendar!$A18,DB!$1:$1,0)),FALSE)&gt;=5,"Good","Bad"),VLOOKUP(DATE($K$1,$K$2,MCV$4),Table1[],(MATCH(Calendar!$A18,DB!$1:$1,0)),FALSE)),"")</f>
        <v/>
      </c>
      <c r="MCW18" s="28" t="str">
        <f>IFERROR(IF(MDF3="No",IF(VLOOKUP(DATE($K$1,$K$2,MCW$4),Table1[],(MATCH(Calendar!$A18,DB!$1:$1,0)),FALSE)&gt;=5,"Good","Bad"),VLOOKUP(DATE($K$1,$K$2,MCW$4),Table1[],(MATCH(Calendar!$A18,DB!$1:$1,0)),FALSE)),"")</f>
        <v/>
      </c>
      <c r="MCX18" s="28" t="str">
        <f>IFERROR(IF(MDG3="No",IF(VLOOKUP(DATE($K$1,$K$2,MCX$4),Table1[],(MATCH(Calendar!$A18,DB!$1:$1,0)),FALSE)&gt;=5,"Good","Bad"),VLOOKUP(DATE($K$1,$K$2,MCX$4),Table1[],(MATCH(Calendar!$A18,DB!$1:$1,0)),FALSE)),"")</f>
        <v/>
      </c>
      <c r="MCY18" s="28" t="str">
        <f>IFERROR(IF(MDH3="No",IF(VLOOKUP(DATE($K$1,$K$2,MCY$4),Table1[],(MATCH(Calendar!$A18,DB!$1:$1,0)),FALSE)&gt;=5,"Good","Bad"),VLOOKUP(DATE($K$1,$K$2,MCY$4),Table1[],(MATCH(Calendar!$A18,DB!$1:$1,0)),FALSE)),"")</f>
        <v/>
      </c>
      <c r="MCZ18" s="28" t="str">
        <f>IFERROR(IF(MDI3="No",IF(VLOOKUP(DATE($K$1,$K$2,MCZ$4),Table1[],(MATCH(Calendar!$A18,DB!$1:$1,0)),FALSE)&gt;=5,"Good","Bad"),VLOOKUP(DATE($K$1,$K$2,MCZ$4),Table1[],(MATCH(Calendar!$A18,DB!$1:$1,0)),FALSE)),"")</f>
        <v/>
      </c>
      <c r="MDA18" s="28" t="str">
        <f>IFERROR(IF(MDJ3="No",IF(VLOOKUP(DATE($K$1,$K$2,MDA$4),Table1[],(MATCH(Calendar!$A18,DB!$1:$1,0)),FALSE)&gt;=5,"Good","Bad"),VLOOKUP(DATE($K$1,$K$2,MDA$4),Table1[],(MATCH(Calendar!$A18,DB!$1:$1,0)),FALSE)),"")</f>
        <v/>
      </c>
      <c r="MDB18" s="28" t="str">
        <f>IFERROR(IF(MDK3="No",IF(VLOOKUP(DATE($K$1,$K$2,MDB$4),Table1[],(MATCH(Calendar!$A18,DB!$1:$1,0)),FALSE)&gt;=5,"Good","Bad"),VLOOKUP(DATE($K$1,$K$2,MDB$4),Table1[],(MATCH(Calendar!$A18,DB!$1:$1,0)),FALSE)),"")</f>
        <v/>
      </c>
      <c r="MDC18" s="28" t="str">
        <f>IFERROR(IF(MDL3="No",IF(VLOOKUP(DATE($K$1,$K$2,MDC$4),Table1[],(MATCH(Calendar!$A18,DB!$1:$1,0)),FALSE)&gt;=5,"Good","Bad"),VLOOKUP(DATE($K$1,$K$2,MDC$4),Table1[],(MATCH(Calendar!$A18,DB!$1:$1,0)),FALSE)),"")</f>
        <v/>
      </c>
      <c r="MDD18" s="28" t="str">
        <f>IFERROR(IF(MDM3="No",IF(VLOOKUP(DATE($K$1,$K$2,MDD$4),Table1[],(MATCH(Calendar!$A18,DB!$1:$1,0)),FALSE)&gt;=5,"Good","Bad"),VLOOKUP(DATE($K$1,$K$2,MDD$4),Table1[],(MATCH(Calendar!$A18,DB!$1:$1,0)),FALSE)),"")</f>
        <v/>
      </c>
      <c r="MDE18" s="28" t="str">
        <f>IFERROR(IF(MDN3="No",IF(VLOOKUP(DATE($K$1,$K$2,MDE$4),Table1[],(MATCH(Calendar!$A18,DB!$1:$1,0)),FALSE)&gt;=5,"Good","Bad"),VLOOKUP(DATE($K$1,$K$2,MDE$4),Table1[],(MATCH(Calendar!$A18,DB!$1:$1,0)),FALSE)),"")</f>
        <v/>
      </c>
      <c r="MDF18" s="28" t="str">
        <f>IFERROR(IF(MDO3="No",IF(VLOOKUP(DATE($K$1,$K$2,MDF$4),Table1[],(MATCH(Calendar!$A18,DB!$1:$1,0)),FALSE)&gt;=5,"Good","Bad"),VLOOKUP(DATE($K$1,$K$2,MDF$4),Table1[],(MATCH(Calendar!$A18,DB!$1:$1,0)),FALSE)),"")</f>
        <v/>
      </c>
      <c r="MDG18" s="28" t="str">
        <f>IFERROR(IF(MDP3="No",IF(VLOOKUP(DATE($K$1,$K$2,MDG$4),Table1[],(MATCH(Calendar!$A18,DB!$1:$1,0)),FALSE)&gt;=5,"Good","Bad"),VLOOKUP(DATE($K$1,$K$2,MDG$4),Table1[],(MATCH(Calendar!$A18,DB!$1:$1,0)),FALSE)),"")</f>
        <v/>
      </c>
      <c r="MDH18" s="28" t="str">
        <f>IFERROR(IF(MDQ3="No",IF(VLOOKUP(DATE($K$1,$K$2,MDH$4),Table1[],(MATCH(Calendar!$A18,DB!$1:$1,0)),FALSE)&gt;=5,"Good","Bad"),VLOOKUP(DATE($K$1,$K$2,MDH$4),Table1[],(MATCH(Calendar!$A18,DB!$1:$1,0)),FALSE)),"")</f>
        <v/>
      </c>
      <c r="MDI18" s="28" t="str">
        <f>IFERROR(IF(MDR3="No",IF(VLOOKUP(DATE($K$1,$K$2,MDI$4),Table1[],(MATCH(Calendar!$A18,DB!$1:$1,0)),FALSE)&gt;=5,"Good","Bad"),VLOOKUP(DATE($K$1,$K$2,MDI$4),Table1[],(MATCH(Calendar!$A18,DB!$1:$1,0)),FALSE)),"")</f>
        <v/>
      </c>
      <c r="MDJ18" s="28" t="str">
        <f>IFERROR(IF(MDS3="No",IF(VLOOKUP(DATE($K$1,$K$2,MDJ$4),Table1[],(MATCH(Calendar!$A18,DB!$1:$1,0)),FALSE)&gt;=5,"Good","Bad"),VLOOKUP(DATE($K$1,$K$2,MDJ$4),Table1[],(MATCH(Calendar!$A18,DB!$1:$1,0)),FALSE)),"")</f>
        <v/>
      </c>
      <c r="MDK18" s="28" t="str">
        <f>IFERROR(IF(MDT3="No",IF(VLOOKUP(DATE($K$1,$K$2,MDK$4),Table1[],(MATCH(Calendar!$A18,DB!$1:$1,0)),FALSE)&gt;=5,"Good","Bad"),VLOOKUP(DATE($K$1,$K$2,MDK$4),Table1[],(MATCH(Calendar!$A18,DB!$1:$1,0)),FALSE)),"")</f>
        <v/>
      </c>
      <c r="MDL18" s="28" t="str">
        <f>IFERROR(IF(MDU3="No",IF(VLOOKUP(DATE($K$1,$K$2,MDL$4),Table1[],(MATCH(Calendar!$A18,DB!$1:$1,0)),FALSE)&gt;=5,"Good","Bad"),VLOOKUP(DATE($K$1,$K$2,MDL$4),Table1[],(MATCH(Calendar!$A18,DB!$1:$1,0)),FALSE)),"")</f>
        <v/>
      </c>
      <c r="MDM18" s="28" t="str">
        <f>IFERROR(IF(MDV3="No",IF(VLOOKUP(DATE($K$1,$K$2,MDM$4),Table1[],(MATCH(Calendar!$A18,DB!$1:$1,0)),FALSE)&gt;=5,"Good","Bad"),VLOOKUP(DATE($K$1,$K$2,MDM$4),Table1[],(MATCH(Calendar!$A18,DB!$1:$1,0)),FALSE)),"")</f>
        <v/>
      </c>
      <c r="MDN18" s="28" t="str">
        <f>IFERROR(IF(MDW3="No",IF(VLOOKUP(DATE($K$1,$K$2,MDN$4),Table1[],(MATCH(Calendar!$A18,DB!$1:$1,0)),FALSE)&gt;=5,"Good","Bad"),VLOOKUP(DATE($K$1,$K$2,MDN$4),Table1[],(MATCH(Calendar!$A18,DB!$1:$1,0)),FALSE)),"")</f>
        <v/>
      </c>
      <c r="MDO18" s="28" t="str">
        <f>IFERROR(IF(MDX3="No",IF(VLOOKUP(DATE($K$1,$K$2,MDO$4),Table1[],(MATCH(Calendar!$A18,DB!$1:$1,0)),FALSE)&gt;=5,"Good","Bad"),VLOOKUP(DATE($K$1,$K$2,MDO$4),Table1[],(MATCH(Calendar!$A18,DB!$1:$1,0)),FALSE)),"")</f>
        <v/>
      </c>
      <c r="MDP18" s="28" t="str">
        <f>IFERROR(IF(MDY3="No",IF(VLOOKUP(DATE($K$1,$K$2,MDP$4),Table1[],(MATCH(Calendar!$A18,DB!$1:$1,0)),FALSE)&gt;=5,"Good","Bad"),VLOOKUP(DATE($K$1,$K$2,MDP$4),Table1[],(MATCH(Calendar!$A18,DB!$1:$1,0)),FALSE)),"")</f>
        <v/>
      </c>
      <c r="MDQ18" s="28" t="str">
        <f>IFERROR(IF(MDZ3="No",IF(VLOOKUP(DATE($K$1,$K$2,MDQ$4),Table1[],(MATCH(Calendar!$A18,DB!$1:$1,0)),FALSE)&gt;=5,"Good","Bad"),VLOOKUP(DATE($K$1,$K$2,MDQ$4),Table1[],(MATCH(Calendar!$A18,DB!$1:$1,0)),FALSE)),"")</f>
        <v/>
      </c>
      <c r="MDR18" s="28" t="str">
        <f>IFERROR(IF(MEA3="No",IF(VLOOKUP(DATE($K$1,$K$2,MDR$4),Table1[],(MATCH(Calendar!$A18,DB!$1:$1,0)),FALSE)&gt;=5,"Good","Bad"),VLOOKUP(DATE($K$1,$K$2,MDR$4),Table1[],(MATCH(Calendar!$A18,DB!$1:$1,0)),FALSE)),"")</f>
        <v/>
      </c>
      <c r="MDS18" s="28" t="str">
        <f>IFERROR(IF(MEB3="No",IF(VLOOKUP(DATE($K$1,$K$2,MDS$4),Table1[],(MATCH(Calendar!$A18,DB!$1:$1,0)),FALSE)&gt;=5,"Good","Bad"),VLOOKUP(DATE($K$1,$K$2,MDS$4),Table1[],(MATCH(Calendar!$A18,DB!$1:$1,0)),FALSE)),"")</f>
        <v/>
      </c>
      <c r="MDT18" s="28" t="str">
        <f>IFERROR(IF(MEC3="No",IF(VLOOKUP(DATE($K$1,$K$2,MDT$4),Table1[],(MATCH(Calendar!$A18,DB!$1:$1,0)),FALSE)&gt;=5,"Good","Bad"),VLOOKUP(DATE($K$1,$K$2,MDT$4),Table1[],(MATCH(Calendar!$A18,DB!$1:$1,0)),FALSE)),"")</f>
        <v/>
      </c>
      <c r="MDU18" s="28" t="str">
        <f>IFERROR(IF(MED3="No",IF(VLOOKUP(DATE($K$1,$K$2,MDU$4),Table1[],(MATCH(Calendar!$A18,DB!$1:$1,0)),FALSE)&gt;=5,"Good","Bad"),VLOOKUP(DATE($K$1,$K$2,MDU$4),Table1[],(MATCH(Calendar!$A18,DB!$1:$1,0)),FALSE)),"")</f>
        <v/>
      </c>
      <c r="MDV18" s="28" t="str">
        <f>IFERROR(IF(MEE3="No",IF(VLOOKUP(DATE($K$1,$K$2,MDV$4),Table1[],(MATCH(Calendar!$A18,DB!$1:$1,0)),FALSE)&gt;=5,"Good","Bad"),VLOOKUP(DATE($K$1,$K$2,MDV$4),Table1[],(MATCH(Calendar!$A18,DB!$1:$1,0)),FALSE)),"")</f>
        <v/>
      </c>
      <c r="MDW18" s="28" t="str">
        <f>IFERROR(IF(MEF3="No",IF(VLOOKUP(DATE($K$1,$K$2,MDW$4),Table1[],(MATCH(Calendar!$A18,DB!$1:$1,0)),FALSE)&gt;=5,"Good","Bad"),VLOOKUP(DATE($K$1,$K$2,MDW$4),Table1[],(MATCH(Calendar!$A18,DB!$1:$1,0)),FALSE)),"")</f>
        <v/>
      </c>
      <c r="MDX18" s="28" t="str">
        <f>IFERROR(IF(MEG3="No",IF(VLOOKUP(DATE($K$1,$K$2,MDX$4),Table1[],(MATCH(Calendar!$A18,DB!$1:$1,0)),FALSE)&gt;=5,"Good","Bad"),VLOOKUP(DATE($K$1,$K$2,MDX$4),Table1[],(MATCH(Calendar!$A18,DB!$1:$1,0)),FALSE)),"")</f>
        <v/>
      </c>
      <c r="MDY18" s="28" t="str">
        <f>IFERROR(IF(MEH3="No",IF(VLOOKUP(DATE($K$1,$K$2,MDY$4),Table1[],(MATCH(Calendar!$A18,DB!$1:$1,0)),FALSE)&gt;=5,"Good","Bad"),VLOOKUP(DATE($K$1,$K$2,MDY$4),Table1[],(MATCH(Calendar!$A18,DB!$1:$1,0)),FALSE)),"")</f>
        <v/>
      </c>
      <c r="MDZ18" s="28" t="str">
        <f>IFERROR(IF(MEI3="No",IF(VLOOKUP(DATE($K$1,$K$2,MDZ$4),Table1[],(MATCH(Calendar!$A18,DB!$1:$1,0)),FALSE)&gt;=5,"Good","Bad"),VLOOKUP(DATE($K$1,$K$2,MDZ$4),Table1[],(MATCH(Calendar!$A18,DB!$1:$1,0)),FALSE)),"")</f>
        <v/>
      </c>
      <c r="MEA18" s="28" t="str">
        <f>IFERROR(IF(MEJ3="No",IF(VLOOKUP(DATE($K$1,$K$2,MEA$4),Table1[],(MATCH(Calendar!$A18,DB!$1:$1,0)),FALSE)&gt;=5,"Good","Bad"),VLOOKUP(DATE($K$1,$K$2,MEA$4),Table1[],(MATCH(Calendar!$A18,DB!$1:$1,0)),FALSE)),"")</f>
        <v/>
      </c>
      <c r="MEB18" s="28" t="str">
        <f>IFERROR(IF(MEK3="No",IF(VLOOKUP(DATE($K$1,$K$2,MEB$4),Table1[],(MATCH(Calendar!$A18,DB!$1:$1,0)),FALSE)&gt;=5,"Good","Bad"),VLOOKUP(DATE($K$1,$K$2,MEB$4),Table1[],(MATCH(Calendar!$A18,DB!$1:$1,0)),FALSE)),"")</f>
        <v/>
      </c>
      <c r="MEC18" s="28" t="str">
        <f>IFERROR(IF(MEL3="No",IF(VLOOKUP(DATE($K$1,$K$2,MEC$4),Table1[],(MATCH(Calendar!$A18,DB!$1:$1,0)),FALSE)&gt;=5,"Good","Bad"),VLOOKUP(DATE($K$1,$K$2,MEC$4),Table1[],(MATCH(Calendar!$A18,DB!$1:$1,0)),FALSE)),"")</f>
        <v/>
      </c>
      <c r="MED18" s="28" t="str">
        <f>IFERROR(IF(MEM3="No",IF(VLOOKUP(DATE($K$1,$K$2,MED$4),Table1[],(MATCH(Calendar!$A18,DB!$1:$1,0)),FALSE)&gt;=5,"Good","Bad"),VLOOKUP(DATE($K$1,$K$2,MED$4),Table1[],(MATCH(Calendar!$A18,DB!$1:$1,0)),FALSE)),"")</f>
        <v/>
      </c>
      <c r="MEE18" s="28" t="str">
        <f>IFERROR(IF(MEN3="No",IF(VLOOKUP(DATE($K$1,$K$2,MEE$4),Table1[],(MATCH(Calendar!$A18,DB!$1:$1,0)),FALSE)&gt;=5,"Good","Bad"),VLOOKUP(DATE($K$1,$K$2,MEE$4),Table1[],(MATCH(Calendar!$A18,DB!$1:$1,0)),FALSE)),"")</f>
        <v/>
      </c>
      <c r="MEF18" s="28" t="str">
        <f>IFERROR(IF(MEO3="No",IF(VLOOKUP(DATE($K$1,$K$2,MEF$4),Table1[],(MATCH(Calendar!$A18,DB!$1:$1,0)),FALSE)&gt;=5,"Good","Bad"),VLOOKUP(DATE($K$1,$K$2,MEF$4),Table1[],(MATCH(Calendar!$A18,DB!$1:$1,0)),FALSE)),"")</f>
        <v/>
      </c>
      <c r="MEG18" s="28" t="str">
        <f>IFERROR(IF(MEP3="No",IF(VLOOKUP(DATE($K$1,$K$2,MEG$4),Table1[],(MATCH(Calendar!$A18,DB!$1:$1,0)),FALSE)&gt;=5,"Good","Bad"),VLOOKUP(DATE($K$1,$K$2,MEG$4),Table1[],(MATCH(Calendar!$A18,DB!$1:$1,0)),FALSE)),"")</f>
        <v/>
      </c>
      <c r="MEH18" s="28" t="str">
        <f>IFERROR(IF(MEQ3="No",IF(VLOOKUP(DATE($K$1,$K$2,MEH$4),Table1[],(MATCH(Calendar!$A18,DB!$1:$1,0)),FALSE)&gt;=5,"Good","Bad"),VLOOKUP(DATE($K$1,$K$2,MEH$4),Table1[],(MATCH(Calendar!$A18,DB!$1:$1,0)),FALSE)),"")</f>
        <v/>
      </c>
      <c r="MEI18" s="28" t="str">
        <f>IFERROR(IF(MER3="No",IF(VLOOKUP(DATE($K$1,$K$2,MEI$4),Table1[],(MATCH(Calendar!$A18,DB!$1:$1,0)),FALSE)&gt;=5,"Good","Bad"),VLOOKUP(DATE($K$1,$K$2,MEI$4),Table1[],(MATCH(Calendar!$A18,DB!$1:$1,0)),FALSE)),"")</f>
        <v/>
      </c>
      <c r="MEJ18" s="28" t="str">
        <f>IFERROR(IF(MES3="No",IF(VLOOKUP(DATE($K$1,$K$2,MEJ$4),Table1[],(MATCH(Calendar!$A18,DB!$1:$1,0)),FALSE)&gt;=5,"Good","Bad"),VLOOKUP(DATE($K$1,$K$2,MEJ$4),Table1[],(MATCH(Calendar!$A18,DB!$1:$1,0)),FALSE)),"")</f>
        <v/>
      </c>
      <c r="MEK18" s="28" t="str">
        <f>IFERROR(IF(MET3="No",IF(VLOOKUP(DATE($K$1,$K$2,MEK$4),Table1[],(MATCH(Calendar!$A18,DB!$1:$1,0)),FALSE)&gt;=5,"Good","Bad"),VLOOKUP(DATE($K$1,$K$2,MEK$4),Table1[],(MATCH(Calendar!$A18,DB!$1:$1,0)),FALSE)),"")</f>
        <v/>
      </c>
      <c r="MEL18" s="28" t="str">
        <f>IFERROR(IF(MEU3="No",IF(VLOOKUP(DATE($K$1,$K$2,MEL$4),Table1[],(MATCH(Calendar!$A18,DB!$1:$1,0)),FALSE)&gt;=5,"Good","Bad"),VLOOKUP(DATE($K$1,$K$2,MEL$4),Table1[],(MATCH(Calendar!$A18,DB!$1:$1,0)),FALSE)),"")</f>
        <v/>
      </c>
      <c r="MEM18" s="28" t="str">
        <f>IFERROR(IF(MEV3="No",IF(VLOOKUP(DATE($K$1,$K$2,MEM$4),Table1[],(MATCH(Calendar!$A18,DB!$1:$1,0)),FALSE)&gt;=5,"Good","Bad"),VLOOKUP(DATE($K$1,$K$2,MEM$4),Table1[],(MATCH(Calendar!$A18,DB!$1:$1,0)),FALSE)),"")</f>
        <v/>
      </c>
      <c r="MEN18" s="28" t="str">
        <f>IFERROR(IF(MEW3="No",IF(VLOOKUP(DATE($K$1,$K$2,MEN$4),Table1[],(MATCH(Calendar!$A18,DB!$1:$1,0)),FALSE)&gt;=5,"Good","Bad"),VLOOKUP(DATE($K$1,$K$2,MEN$4),Table1[],(MATCH(Calendar!$A18,DB!$1:$1,0)),FALSE)),"")</f>
        <v/>
      </c>
      <c r="MEO18" s="28" t="str">
        <f>IFERROR(IF(MEX3="No",IF(VLOOKUP(DATE($K$1,$K$2,MEO$4),Table1[],(MATCH(Calendar!$A18,DB!$1:$1,0)),FALSE)&gt;=5,"Good","Bad"),VLOOKUP(DATE($K$1,$K$2,MEO$4),Table1[],(MATCH(Calendar!$A18,DB!$1:$1,0)),FALSE)),"")</f>
        <v/>
      </c>
      <c r="MEP18" s="28" t="str">
        <f>IFERROR(IF(MEY3="No",IF(VLOOKUP(DATE($K$1,$K$2,MEP$4),Table1[],(MATCH(Calendar!$A18,DB!$1:$1,0)),FALSE)&gt;=5,"Good","Bad"),VLOOKUP(DATE($K$1,$K$2,MEP$4),Table1[],(MATCH(Calendar!$A18,DB!$1:$1,0)),FALSE)),"")</f>
        <v/>
      </c>
      <c r="MEQ18" s="28" t="str">
        <f>IFERROR(IF(MEZ3="No",IF(VLOOKUP(DATE($K$1,$K$2,MEQ$4),Table1[],(MATCH(Calendar!$A18,DB!$1:$1,0)),FALSE)&gt;=5,"Good","Bad"),VLOOKUP(DATE($K$1,$K$2,MEQ$4),Table1[],(MATCH(Calendar!$A18,DB!$1:$1,0)),FALSE)),"")</f>
        <v/>
      </c>
      <c r="MER18" s="28" t="str">
        <f>IFERROR(IF(MFA3="No",IF(VLOOKUP(DATE($K$1,$K$2,MER$4),Table1[],(MATCH(Calendar!$A18,DB!$1:$1,0)),FALSE)&gt;=5,"Good","Bad"),VLOOKUP(DATE($K$1,$K$2,MER$4),Table1[],(MATCH(Calendar!$A18,DB!$1:$1,0)),FALSE)),"")</f>
        <v/>
      </c>
      <c r="MES18" s="28" t="str">
        <f>IFERROR(IF(MFB3="No",IF(VLOOKUP(DATE($K$1,$K$2,MES$4),Table1[],(MATCH(Calendar!$A18,DB!$1:$1,0)),FALSE)&gt;=5,"Good","Bad"),VLOOKUP(DATE($K$1,$K$2,MES$4),Table1[],(MATCH(Calendar!$A18,DB!$1:$1,0)),FALSE)),"")</f>
        <v/>
      </c>
      <c r="MET18" s="28" t="str">
        <f>IFERROR(IF(MFC3="No",IF(VLOOKUP(DATE($K$1,$K$2,MET$4),Table1[],(MATCH(Calendar!$A18,DB!$1:$1,0)),FALSE)&gt;=5,"Good","Bad"),VLOOKUP(DATE($K$1,$K$2,MET$4),Table1[],(MATCH(Calendar!$A18,DB!$1:$1,0)),FALSE)),"")</f>
        <v/>
      </c>
      <c r="MEU18" s="28" t="str">
        <f>IFERROR(IF(MFD3="No",IF(VLOOKUP(DATE($K$1,$K$2,MEU$4),Table1[],(MATCH(Calendar!$A18,DB!$1:$1,0)),FALSE)&gt;=5,"Good","Bad"),VLOOKUP(DATE($K$1,$K$2,MEU$4),Table1[],(MATCH(Calendar!$A18,DB!$1:$1,0)),FALSE)),"")</f>
        <v/>
      </c>
      <c r="MEV18" s="28" t="str">
        <f>IFERROR(IF(MFE3="No",IF(VLOOKUP(DATE($K$1,$K$2,MEV$4),Table1[],(MATCH(Calendar!$A18,DB!$1:$1,0)),FALSE)&gt;=5,"Good","Bad"),VLOOKUP(DATE($K$1,$K$2,MEV$4),Table1[],(MATCH(Calendar!$A18,DB!$1:$1,0)),FALSE)),"")</f>
        <v/>
      </c>
      <c r="MEW18" s="28" t="str">
        <f>IFERROR(IF(MFF3="No",IF(VLOOKUP(DATE($K$1,$K$2,MEW$4),Table1[],(MATCH(Calendar!$A18,DB!$1:$1,0)),FALSE)&gt;=5,"Good","Bad"),VLOOKUP(DATE($K$1,$K$2,MEW$4),Table1[],(MATCH(Calendar!$A18,DB!$1:$1,0)),FALSE)),"")</f>
        <v/>
      </c>
      <c r="MEX18" s="28" t="str">
        <f>IFERROR(IF(MFG3="No",IF(VLOOKUP(DATE($K$1,$K$2,MEX$4),Table1[],(MATCH(Calendar!$A18,DB!$1:$1,0)),FALSE)&gt;=5,"Good","Bad"),VLOOKUP(DATE($K$1,$K$2,MEX$4),Table1[],(MATCH(Calendar!$A18,DB!$1:$1,0)),FALSE)),"")</f>
        <v/>
      </c>
      <c r="MEY18" s="28" t="str">
        <f>IFERROR(IF(MFH3="No",IF(VLOOKUP(DATE($K$1,$K$2,MEY$4),Table1[],(MATCH(Calendar!$A18,DB!$1:$1,0)),FALSE)&gt;=5,"Good","Bad"),VLOOKUP(DATE($K$1,$K$2,MEY$4),Table1[],(MATCH(Calendar!$A18,DB!$1:$1,0)),FALSE)),"")</f>
        <v/>
      </c>
      <c r="MEZ18" s="28" t="str">
        <f>IFERROR(IF(MFI3="No",IF(VLOOKUP(DATE($K$1,$K$2,MEZ$4),Table1[],(MATCH(Calendar!$A18,DB!$1:$1,0)),FALSE)&gt;=5,"Good","Bad"),VLOOKUP(DATE($K$1,$K$2,MEZ$4),Table1[],(MATCH(Calendar!$A18,DB!$1:$1,0)),FALSE)),"")</f>
        <v/>
      </c>
      <c r="MFA18" s="28" t="str">
        <f>IFERROR(IF(MFJ3="No",IF(VLOOKUP(DATE($K$1,$K$2,MFA$4),Table1[],(MATCH(Calendar!$A18,DB!$1:$1,0)),FALSE)&gt;=5,"Good","Bad"),VLOOKUP(DATE($K$1,$K$2,MFA$4),Table1[],(MATCH(Calendar!$A18,DB!$1:$1,0)),FALSE)),"")</f>
        <v/>
      </c>
      <c r="MFB18" s="28" t="str">
        <f>IFERROR(IF(MFK3="No",IF(VLOOKUP(DATE($K$1,$K$2,MFB$4),Table1[],(MATCH(Calendar!$A18,DB!$1:$1,0)),FALSE)&gt;=5,"Good","Bad"),VLOOKUP(DATE($K$1,$K$2,MFB$4),Table1[],(MATCH(Calendar!$A18,DB!$1:$1,0)),FALSE)),"")</f>
        <v/>
      </c>
      <c r="MFC18" s="28" t="str">
        <f>IFERROR(IF(MFL3="No",IF(VLOOKUP(DATE($K$1,$K$2,MFC$4),Table1[],(MATCH(Calendar!$A18,DB!$1:$1,0)),FALSE)&gt;=5,"Good","Bad"),VLOOKUP(DATE($K$1,$K$2,MFC$4),Table1[],(MATCH(Calendar!$A18,DB!$1:$1,0)),FALSE)),"")</f>
        <v/>
      </c>
      <c r="MFD18" s="28" t="str">
        <f>IFERROR(IF(MFM3="No",IF(VLOOKUP(DATE($K$1,$K$2,MFD$4),Table1[],(MATCH(Calendar!$A18,DB!$1:$1,0)),FALSE)&gt;=5,"Good","Bad"),VLOOKUP(DATE($K$1,$K$2,MFD$4),Table1[],(MATCH(Calendar!$A18,DB!$1:$1,0)),FALSE)),"")</f>
        <v/>
      </c>
      <c r="MFE18" s="28" t="str">
        <f>IFERROR(IF(MFN3="No",IF(VLOOKUP(DATE($K$1,$K$2,MFE$4),Table1[],(MATCH(Calendar!$A18,DB!$1:$1,0)),FALSE)&gt;=5,"Good","Bad"),VLOOKUP(DATE($K$1,$K$2,MFE$4),Table1[],(MATCH(Calendar!$A18,DB!$1:$1,0)),FALSE)),"")</f>
        <v/>
      </c>
      <c r="MFF18" s="28" t="str">
        <f>IFERROR(IF(MFO3="No",IF(VLOOKUP(DATE($K$1,$K$2,MFF$4),Table1[],(MATCH(Calendar!$A18,DB!$1:$1,0)),FALSE)&gt;=5,"Good","Bad"),VLOOKUP(DATE($K$1,$K$2,MFF$4),Table1[],(MATCH(Calendar!$A18,DB!$1:$1,0)),FALSE)),"")</f>
        <v/>
      </c>
      <c r="MFG18" s="28" t="str">
        <f>IFERROR(IF(MFP3="No",IF(VLOOKUP(DATE($K$1,$K$2,MFG$4),Table1[],(MATCH(Calendar!$A18,DB!$1:$1,0)),FALSE)&gt;=5,"Good","Bad"),VLOOKUP(DATE($K$1,$K$2,MFG$4),Table1[],(MATCH(Calendar!$A18,DB!$1:$1,0)),FALSE)),"")</f>
        <v/>
      </c>
      <c r="MFH18" s="28" t="str">
        <f>IFERROR(IF(MFQ3="No",IF(VLOOKUP(DATE($K$1,$K$2,MFH$4),Table1[],(MATCH(Calendar!$A18,DB!$1:$1,0)),FALSE)&gt;=5,"Good","Bad"),VLOOKUP(DATE($K$1,$K$2,MFH$4),Table1[],(MATCH(Calendar!$A18,DB!$1:$1,0)),FALSE)),"")</f>
        <v/>
      </c>
      <c r="MFI18" s="28" t="str">
        <f>IFERROR(IF(MFR3="No",IF(VLOOKUP(DATE($K$1,$K$2,MFI$4),Table1[],(MATCH(Calendar!$A18,DB!$1:$1,0)),FALSE)&gt;=5,"Good","Bad"),VLOOKUP(DATE($K$1,$K$2,MFI$4),Table1[],(MATCH(Calendar!$A18,DB!$1:$1,0)),FALSE)),"")</f>
        <v/>
      </c>
      <c r="MFJ18" s="28" t="str">
        <f>IFERROR(IF(MFS3="No",IF(VLOOKUP(DATE($K$1,$K$2,MFJ$4),Table1[],(MATCH(Calendar!$A18,DB!$1:$1,0)),FALSE)&gt;=5,"Good","Bad"),VLOOKUP(DATE($K$1,$K$2,MFJ$4),Table1[],(MATCH(Calendar!$A18,DB!$1:$1,0)),FALSE)),"")</f>
        <v/>
      </c>
      <c r="MFK18" s="28" t="str">
        <f>IFERROR(IF(MFT3="No",IF(VLOOKUP(DATE($K$1,$K$2,MFK$4),Table1[],(MATCH(Calendar!$A18,DB!$1:$1,0)),FALSE)&gt;=5,"Good","Bad"),VLOOKUP(DATE($K$1,$K$2,MFK$4),Table1[],(MATCH(Calendar!$A18,DB!$1:$1,0)),FALSE)),"")</f>
        <v/>
      </c>
      <c r="MFL18" s="28" t="str">
        <f>IFERROR(IF(MFU3="No",IF(VLOOKUP(DATE($K$1,$K$2,MFL$4),Table1[],(MATCH(Calendar!$A18,DB!$1:$1,0)),FALSE)&gt;=5,"Good","Bad"),VLOOKUP(DATE($K$1,$K$2,MFL$4),Table1[],(MATCH(Calendar!$A18,DB!$1:$1,0)),FALSE)),"")</f>
        <v/>
      </c>
      <c r="MFM18" s="28" t="str">
        <f>IFERROR(IF(MFV3="No",IF(VLOOKUP(DATE($K$1,$K$2,MFM$4),Table1[],(MATCH(Calendar!$A18,DB!$1:$1,0)),FALSE)&gt;=5,"Good","Bad"),VLOOKUP(DATE($K$1,$K$2,MFM$4),Table1[],(MATCH(Calendar!$A18,DB!$1:$1,0)),FALSE)),"")</f>
        <v/>
      </c>
      <c r="MFN18" s="28" t="str">
        <f>IFERROR(IF(MFW3="No",IF(VLOOKUP(DATE($K$1,$K$2,MFN$4),Table1[],(MATCH(Calendar!$A18,DB!$1:$1,0)),FALSE)&gt;=5,"Good","Bad"),VLOOKUP(DATE($K$1,$K$2,MFN$4),Table1[],(MATCH(Calendar!$A18,DB!$1:$1,0)),FALSE)),"")</f>
        <v/>
      </c>
      <c r="MFO18" s="28" t="str">
        <f>IFERROR(IF(MFX3="No",IF(VLOOKUP(DATE($K$1,$K$2,MFO$4),Table1[],(MATCH(Calendar!$A18,DB!$1:$1,0)),FALSE)&gt;=5,"Good","Bad"),VLOOKUP(DATE($K$1,$K$2,MFO$4),Table1[],(MATCH(Calendar!$A18,DB!$1:$1,0)),FALSE)),"")</f>
        <v/>
      </c>
      <c r="MFP18" s="28" t="str">
        <f>IFERROR(IF(MFY3="No",IF(VLOOKUP(DATE($K$1,$K$2,MFP$4),Table1[],(MATCH(Calendar!$A18,DB!$1:$1,0)),FALSE)&gt;=5,"Good","Bad"),VLOOKUP(DATE($K$1,$K$2,MFP$4),Table1[],(MATCH(Calendar!$A18,DB!$1:$1,0)),FALSE)),"")</f>
        <v/>
      </c>
      <c r="MFQ18" s="28" t="str">
        <f>IFERROR(IF(MFZ3="No",IF(VLOOKUP(DATE($K$1,$K$2,MFQ$4),Table1[],(MATCH(Calendar!$A18,DB!$1:$1,0)),FALSE)&gt;=5,"Good","Bad"),VLOOKUP(DATE($K$1,$K$2,MFQ$4),Table1[],(MATCH(Calendar!$A18,DB!$1:$1,0)),FALSE)),"")</f>
        <v/>
      </c>
      <c r="MFR18" s="28" t="str">
        <f>IFERROR(IF(MGA3="No",IF(VLOOKUP(DATE($K$1,$K$2,MFR$4),Table1[],(MATCH(Calendar!$A18,DB!$1:$1,0)),FALSE)&gt;=5,"Good","Bad"),VLOOKUP(DATE($K$1,$K$2,MFR$4),Table1[],(MATCH(Calendar!$A18,DB!$1:$1,0)),FALSE)),"")</f>
        <v/>
      </c>
      <c r="MFS18" s="28" t="str">
        <f>IFERROR(IF(MGB3="No",IF(VLOOKUP(DATE($K$1,$K$2,MFS$4),Table1[],(MATCH(Calendar!$A18,DB!$1:$1,0)),FALSE)&gt;=5,"Good","Bad"),VLOOKUP(DATE($K$1,$K$2,MFS$4),Table1[],(MATCH(Calendar!$A18,DB!$1:$1,0)),FALSE)),"")</f>
        <v/>
      </c>
      <c r="MFT18" s="28" t="str">
        <f>IFERROR(IF(MGC3="No",IF(VLOOKUP(DATE($K$1,$K$2,MFT$4),Table1[],(MATCH(Calendar!$A18,DB!$1:$1,0)),FALSE)&gt;=5,"Good","Bad"),VLOOKUP(DATE($K$1,$K$2,MFT$4),Table1[],(MATCH(Calendar!$A18,DB!$1:$1,0)),FALSE)),"")</f>
        <v/>
      </c>
      <c r="MFU18" s="28" t="str">
        <f>IFERROR(IF(MGD3="No",IF(VLOOKUP(DATE($K$1,$K$2,MFU$4),Table1[],(MATCH(Calendar!$A18,DB!$1:$1,0)),FALSE)&gt;=5,"Good","Bad"),VLOOKUP(DATE($K$1,$K$2,MFU$4),Table1[],(MATCH(Calendar!$A18,DB!$1:$1,0)),FALSE)),"")</f>
        <v/>
      </c>
      <c r="MFV18" s="28" t="str">
        <f>IFERROR(IF(MGE3="No",IF(VLOOKUP(DATE($K$1,$K$2,MFV$4),Table1[],(MATCH(Calendar!$A18,DB!$1:$1,0)),FALSE)&gt;=5,"Good","Bad"),VLOOKUP(DATE($K$1,$K$2,MFV$4),Table1[],(MATCH(Calendar!$A18,DB!$1:$1,0)),FALSE)),"")</f>
        <v/>
      </c>
      <c r="MFW18" s="28" t="str">
        <f>IFERROR(IF(MGF3="No",IF(VLOOKUP(DATE($K$1,$K$2,MFW$4),Table1[],(MATCH(Calendar!$A18,DB!$1:$1,0)),FALSE)&gt;=5,"Good","Bad"),VLOOKUP(DATE($K$1,$K$2,MFW$4),Table1[],(MATCH(Calendar!$A18,DB!$1:$1,0)),FALSE)),"")</f>
        <v/>
      </c>
      <c r="MFX18" s="28" t="str">
        <f>IFERROR(IF(MGG3="No",IF(VLOOKUP(DATE($K$1,$K$2,MFX$4),Table1[],(MATCH(Calendar!$A18,DB!$1:$1,0)),FALSE)&gt;=5,"Good","Bad"),VLOOKUP(DATE($K$1,$K$2,MFX$4),Table1[],(MATCH(Calendar!$A18,DB!$1:$1,0)),FALSE)),"")</f>
        <v/>
      </c>
      <c r="MFY18" s="28" t="str">
        <f>IFERROR(IF(MGH3="No",IF(VLOOKUP(DATE($K$1,$K$2,MFY$4),Table1[],(MATCH(Calendar!$A18,DB!$1:$1,0)),FALSE)&gt;=5,"Good","Bad"),VLOOKUP(DATE($K$1,$K$2,MFY$4),Table1[],(MATCH(Calendar!$A18,DB!$1:$1,0)),FALSE)),"")</f>
        <v/>
      </c>
      <c r="MFZ18" s="28" t="str">
        <f>IFERROR(IF(MGI3="No",IF(VLOOKUP(DATE($K$1,$K$2,MFZ$4),Table1[],(MATCH(Calendar!$A18,DB!$1:$1,0)),FALSE)&gt;=5,"Good","Bad"),VLOOKUP(DATE($K$1,$K$2,MFZ$4),Table1[],(MATCH(Calendar!$A18,DB!$1:$1,0)),FALSE)),"")</f>
        <v/>
      </c>
      <c r="MGA18" s="28" t="str">
        <f>IFERROR(IF(MGJ3="No",IF(VLOOKUP(DATE($K$1,$K$2,MGA$4),Table1[],(MATCH(Calendar!$A18,DB!$1:$1,0)),FALSE)&gt;=5,"Good","Bad"),VLOOKUP(DATE($K$1,$K$2,MGA$4),Table1[],(MATCH(Calendar!$A18,DB!$1:$1,0)),FALSE)),"")</f>
        <v/>
      </c>
      <c r="MGB18" s="28" t="str">
        <f>IFERROR(IF(MGK3="No",IF(VLOOKUP(DATE($K$1,$K$2,MGB$4),Table1[],(MATCH(Calendar!$A18,DB!$1:$1,0)),FALSE)&gt;=5,"Good","Bad"),VLOOKUP(DATE($K$1,$K$2,MGB$4),Table1[],(MATCH(Calendar!$A18,DB!$1:$1,0)),FALSE)),"")</f>
        <v/>
      </c>
      <c r="MGC18" s="28" t="str">
        <f>IFERROR(IF(MGL3="No",IF(VLOOKUP(DATE($K$1,$K$2,MGC$4),Table1[],(MATCH(Calendar!$A18,DB!$1:$1,0)),FALSE)&gt;=5,"Good","Bad"),VLOOKUP(DATE($K$1,$K$2,MGC$4),Table1[],(MATCH(Calendar!$A18,DB!$1:$1,0)),FALSE)),"")</f>
        <v/>
      </c>
      <c r="MGD18" s="28" t="str">
        <f>IFERROR(IF(MGM3="No",IF(VLOOKUP(DATE($K$1,$K$2,MGD$4),Table1[],(MATCH(Calendar!$A18,DB!$1:$1,0)),FALSE)&gt;=5,"Good","Bad"),VLOOKUP(DATE($K$1,$K$2,MGD$4),Table1[],(MATCH(Calendar!$A18,DB!$1:$1,0)),FALSE)),"")</f>
        <v/>
      </c>
      <c r="MGE18" s="28" t="str">
        <f>IFERROR(IF(MGN3="No",IF(VLOOKUP(DATE($K$1,$K$2,MGE$4),Table1[],(MATCH(Calendar!$A18,DB!$1:$1,0)),FALSE)&gt;=5,"Good","Bad"),VLOOKUP(DATE($K$1,$K$2,MGE$4),Table1[],(MATCH(Calendar!$A18,DB!$1:$1,0)),FALSE)),"")</f>
        <v/>
      </c>
      <c r="MGF18" s="28" t="str">
        <f>IFERROR(IF(MGO3="No",IF(VLOOKUP(DATE($K$1,$K$2,MGF$4),Table1[],(MATCH(Calendar!$A18,DB!$1:$1,0)),FALSE)&gt;=5,"Good","Bad"),VLOOKUP(DATE($K$1,$K$2,MGF$4),Table1[],(MATCH(Calendar!$A18,DB!$1:$1,0)),FALSE)),"")</f>
        <v/>
      </c>
      <c r="MGG18" s="28" t="str">
        <f>IFERROR(IF(MGP3="No",IF(VLOOKUP(DATE($K$1,$K$2,MGG$4),Table1[],(MATCH(Calendar!$A18,DB!$1:$1,0)),FALSE)&gt;=5,"Good","Bad"),VLOOKUP(DATE($K$1,$K$2,MGG$4),Table1[],(MATCH(Calendar!$A18,DB!$1:$1,0)),FALSE)),"")</f>
        <v/>
      </c>
      <c r="MGH18" s="28" t="str">
        <f>IFERROR(IF(MGQ3="No",IF(VLOOKUP(DATE($K$1,$K$2,MGH$4),Table1[],(MATCH(Calendar!$A18,DB!$1:$1,0)),FALSE)&gt;=5,"Good","Bad"),VLOOKUP(DATE($K$1,$K$2,MGH$4),Table1[],(MATCH(Calendar!$A18,DB!$1:$1,0)),FALSE)),"")</f>
        <v/>
      </c>
      <c r="MGI18" s="28" t="str">
        <f>IFERROR(IF(MGR3="No",IF(VLOOKUP(DATE($K$1,$K$2,MGI$4),Table1[],(MATCH(Calendar!$A18,DB!$1:$1,0)),FALSE)&gt;=5,"Good","Bad"),VLOOKUP(DATE($K$1,$K$2,MGI$4),Table1[],(MATCH(Calendar!$A18,DB!$1:$1,0)),FALSE)),"")</f>
        <v/>
      </c>
      <c r="MGJ18" s="28" t="str">
        <f>IFERROR(IF(MGS3="No",IF(VLOOKUP(DATE($K$1,$K$2,MGJ$4),Table1[],(MATCH(Calendar!$A18,DB!$1:$1,0)),FALSE)&gt;=5,"Good","Bad"),VLOOKUP(DATE($K$1,$K$2,MGJ$4),Table1[],(MATCH(Calendar!$A18,DB!$1:$1,0)),FALSE)),"")</f>
        <v/>
      </c>
      <c r="MGK18" s="28" t="str">
        <f>IFERROR(IF(MGT3="No",IF(VLOOKUP(DATE($K$1,$K$2,MGK$4),Table1[],(MATCH(Calendar!$A18,DB!$1:$1,0)),FALSE)&gt;=5,"Good","Bad"),VLOOKUP(DATE($K$1,$K$2,MGK$4),Table1[],(MATCH(Calendar!$A18,DB!$1:$1,0)),FALSE)),"")</f>
        <v/>
      </c>
      <c r="MGL18" s="28" t="str">
        <f>IFERROR(IF(MGU3="No",IF(VLOOKUP(DATE($K$1,$K$2,MGL$4),Table1[],(MATCH(Calendar!$A18,DB!$1:$1,0)),FALSE)&gt;=5,"Good","Bad"),VLOOKUP(DATE($K$1,$K$2,MGL$4),Table1[],(MATCH(Calendar!$A18,DB!$1:$1,0)),FALSE)),"")</f>
        <v/>
      </c>
      <c r="MGM18" s="28" t="str">
        <f>IFERROR(IF(MGV3="No",IF(VLOOKUP(DATE($K$1,$K$2,MGM$4),Table1[],(MATCH(Calendar!$A18,DB!$1:$1,0)),FALSE)&gt;=5,"Good","Bad"),VLOOKUP(DATE($K$1,$K$2,MGM$4),Table1[],(MATCH(Calendar!$A18,DB!$1:$1,0)),FALSE)),"")</f>
        <v/>
      </c>
      <c r="MGN18" s="28" t="str">
        <f>IFERROR(IF(MGW3="No",IF(VLOOKUP(DATE($K$1,$K$2,MGN$4),Table1[],(MATCH(Calendar!$A18,DB!$1:$1,0)),FALSE)&gt;=5,"Good","Bad"),VLOOKUP(DATE($K$1,$K$2,MGN$4),Table1[],(MATCH(Calendar!$A18,DB!$1:$1,0)),FALSE)),"")</f>
        <v/>
      </c>
      <c r="MGO18" s="28" t="str">
        <f>IFERROR(IF(MGX3="No",IF(VLOOKUP(DATE($K$1,$K$2,MGO$4),Table1[],(MATCH(Calendar!$A18,DB!$1:$1,0)),FALSE)&gt;=5,"Good","Bad"),VLOOKUP(DATE($K$1,$K$2,MGO$4),Table1[],(MATCH(Calendar!$A18,DB!$1:$1,0)),FALSE)),"")</f>
        <v/>
      </c>
      <c r="MGP18" s="28" t="str">
        <f>IFERROR(IF(MGY3="No",IF(VLOOKUP(DATE($K$1,$K$2,MGP$4),Table1[],(MATCH(Calendar!$A18,DB!$1:$1,0)),FALSE)&gt;=5,"Good","Bad"),VLOOKUP(DATE($K$1,$K$2,MGP$4),Table1[],(MATCH(Calendar!$A18,DB!$1:$1,0)),FALSE)),"")</f>
        <v/>
      </c>
      <c r="MGQ18" s="28" t="str">
        <f>IFERROR(IF(MGZ3="No",IF(VLOOKUP(DATE($K$1,$K$2,MGQ$4),Table1[],(MATCH(Calendar!$A18,DB!$1:$1,0)),FALSE)&gt;=5,"Good","Bad"),VLOOKUP(DATE($K$1,$K$2,MGQ$4),Table1[],(MATCH(Calendar!$A18,DB!$1:$1,0)),FALSE)),"")</f>
        <v/>
      </c>
      <c r="MGR18" s="28" t="str">
        <f>IFERROR(IF(MHA3="No",IF(VLOOKUP(DATE($K$1,$K$2,MGR$4),Table1[],(MATCH(Calendar!$A18,DB!$1:$1,0)),FALSE)&gt;=5,"Good","Bad"),VLOOKUP(DATE($K$1,$K$2,MGR$4),Table1[],(MATCH(Calendar!$A18,DB!$1:$1,0)),FALSE)),"")</f>
        <v/>
      </c>
      <c r="MGS18" s="28" t="str">
        <f>IFERROR(IF(MHB3="No",IF(VLOOKUP(DATE($K$1,$K$2,MGS$4),Table1[],(MATCH(Calendar!$A18,DB!$1:$1,0)),FALSE)&gt;=5,"Good","Bad"),VLOOKUP(DATE($K$1,$K$2,MGS$4),Table1[],(MATCH(Calendar!$A18,DB!$1:$1,0)),FALSE)),"")</f>
        <v/>
      </c>
      <c r="MGT18" s="28" t="str">
        <f>IFERROR(IF(MHC3="No",IF(VLOOKUP(DATE($K$1,$K$2,MGT$4),Table1[],(MATCH(Calendar!$A18,DB!$1:$1,0)),FALSE)&gt;=5,"Good","Bad"),VLOOKUP(DATE($K$1,$K$2,MGT$4),Table1[],(MATCH(Calendar!$A18,DB!$1:$1,0)),FALSE)),"")</f>
        <v/>
      </c>
      <c r="MGU18" s="28" t="str">
        <f>IFERROR(IF(MHD3="No",IF(VLOOKUP(DATE($K$1,$K$2,MGU$4),Table1[],(MATCH(Calendar!$A18,DB!$1:$1,0)),FALSE)&gt;=5,"Good","Bad"),VLOOKUP(DATE($K$1,$K$2,MGU$4),Table1[],(MATCH(Calendar!$A18,DB!$1:$1,0)),FALSE)),"")</f>
        <v/>
      </c>
      <c r="MGV18" s="28" t="str">
        <f>IFERROR(IF(MHE3="No",IF(VLOOKUP(DATE($K$1,$K$2,MGV$4),Table1[],(MATCH(Calendar!$A18,DB!$1:$1,0)),FALSE)&gt;=5,"Good","Bad"),VLOOKUP(DATE($K$1,$K$2,MGV$4),Table1[],(MATCH(Calendar!$A18,DB!$1:$1,0)),FALSE)),"")</f>
        <v/>
      </c>
      <c r="MGW18" s="28" t="str">
        <f>IFERROR(IF(MHF3="No",IF(VLOOKUP(DATE($K$1,$K$2,MGW$4),Table1[],(MATCH(Calendar!$A18,DB!$1:$1,0)),FALSE)&gt;=5,"Good","Bad"),VLOOKUP(DATE($K$1,$K$2,MGW$4),Table1[],(MATCH(Calendar!$A18,DB!$1:$1,0)),FALSE)),"")</f>
        <v/>
      </c>
      <c r="MGX18" s="28" t="str">
        <f>IFERROR(IF(MHG3="No",IF(VLOOKUP(DATE($K$1,$K$2,MGX$4),Table1[],(MATCH(Calendar!$A18,DB!$1:$1,0)),FALSE)&gt;=5,"Good","Bad"),VLOOKUP(DATE($K$1,$K$2,MGX$4),Table1[],(MATCH(Calendar!$A18,DB!$1:$1,0)),FALSE)),"")</f>
        <v/>
      </c>
      <c r="MGY18" s="28" t="str">
        <f>IFERROR(IF(MHH3="No",IF(VLOOKUP(DATE($K$1,$K$2,MGY$4),Table1[],(MATCH(Calendar!$A18,DB!$1:$1,0)),FALSE)&gt;=5,"Good","Bad"),VLOOKUP(DATE($K$1,$K$2,MGY$4),Table1[],(MATCH(Calendar!$A18,DB!$1:$1,0)),FALSE)),"")</f>
        <v/>
      </c>
      <c r="MGZ18" s="28" t="str">
        <f>IFERROR(IF(MHI3="No",IF(VLOOKUP(DATE($K$1,$K$2,MGZ$4),Table1[],(MATCH(Calendar!$A18,DB!$1:$1,0)),FALSE)&gt;=5,"Good","Bad"),VLOOKUP(DATE($K$1,$K$2,MGZ$4),Table1[],(MATCH(Calendar!$A18,DB!$1:$1,0)),FALSE)),"")</f>
        <v/>
      </c>
      <c r="MHA18" s="28" t="str">
        <f>IFERROR(IF(MHJ3="No",IF(VLOOKUP(DATE($K$1,$K$2,MHA$4),Table1[],(MATCH(Calendar!$A18,DB!$1:$1,0)),FALSE)&gt;=5,"Good","Bad"),VLOOKUP(DATE($K$1,$K$2,MHA$4),Table1[],(MATCH(Calendar!$A18,DB!$1:$1,0)),FALSE)),"")</f>
        <v/>
      </c>
      <c r="MHB18" s="28" t="str">
        <f>IFERROR(IF(MHK3="No",IF(VLOOKUP(DATE($K$1,$K$2,MHB$4),Table1[],(MATCH(Calendar!$A18,DB!$1:$1,0)),FALSE)&gt;=5,"Good","Bad"),VLOOKUP(DATE($K$1,$K$2,MHB$4),Table1[],(MATCH(Calendar!$A18,DB!$1:$1,0)),FALSE)),"")</f>
        <v/>
      </c>
      <c r="MHC18" s="28" t="str">
        <f>IFERROR(IF(MHL3="No",IF(VLOOKUP(DATE($K$1,$K$2,MHC$4),Table1[],(MATCH(Calendar!$A18,DB!$1:$1,0)),FALSE)&gt;=5,"Good","Bad"),VLOOKUP(DATE($K$1,$K$2,MHC$4),Table1[],(MATCH(Calendar!$A18,DB!$1:$1,0)),FALSE)),"")</f>
        <v/>
      </c>
      <c r="MHD18" s="28" t="str">
        <f>IFERROR(IF(MHM3="No",IF(VLOOKUP(DATE($K$1,$K$2,MHD$4),Table1[],(MATCH(Calendar!$A18,DB!$1:$1,0)),FALSE)&gt;=5,"Good","Bad"),VLOOKUP(DATE($K$1,$K$2,MHD$4),Table1[],(MATCH(Calendar!$A18,DB!$1:$1,0)),FALSE)),"")</f>
        <v/>
      </c>
      <c r="MHE18" s="28" t="str">
        <f>IFERROR(IF(MHN3="No",IF(VLOOKUP(DATE($K$1,$K$2,MHE$4),Table1[],(MATCH(Calendar!$A18,DB!$1:$1,0)),FALSE)&gt;=5,"Good","Bad"),VLOOKUP(DATE($K$1,$K$2,MHE$4),Table1[],(MATCH(Calendar!$A18,DB!$1:$1,0)),FALSE)),"")</f>
        <v/>
      </c>
      <c r="MHF18" s="28" t="str">
        <f>IFERROR(IF(MHO3="No",IF(VLOOKUP(DATE($K$1,$K$2,MHF$4),Table1[],(MATCH(Calendar!$A18,DB!$1:$1,0)),FALSE)&gt;=5,"Good","Bad"),VLOOKUP(DATE($K$1,$K$2,MHF$4),Table1[],(MATCH(Calendar!$A18,DB!$1:$1,0)),FALSE)),"")</f>
        <v/>
      </c>
      <c r="MHG18" s="28" t="str">
        <f>IFERROR(IF(MHP3="No",IF(VLOOKUP(DATE($K$1,$K$2,MHG$4),Table1[],(MATCH(Calendar!$A18,DB!$1:$1,0)),FALSE)&gt;=5,"Good","Bad"),VLOOKUP(DATE($K$1,$K$2,MHG$4),Table1[],(MATCH(Calendar!$A18,DB!$1:$1,0)),FALSE)),"")</f>
        <v/>
      </c>
      <c r="MHH18" s="28" t="str">
        <f>IFERROR(IF(MHQ3="No",IF(VLOOKUP(DATE($K$1,$K$2,MHH$4),Table1[],(MATCH(Calendar!$A18,DB!$1:$1,0)),FALSE)&gt;=5,"Good","Bad"),VLOOKUP(DATE($K$1,$K$2,MHH$4),Table1[],(MATCH(Calendar!$A18,DB!$1:$1,0)),FALSE)),"")</f>
        <v/>
      </c>
      <c r="MHI18" s="28" t="str">
        <f>IFERROR(IF(MHR3="No",IF(VLOOKUP(DATE($K$1,$K$2,MHI$4),Table1[],(MATCH(Calendar!$A18,DB!$1:$1,0)),FALSE)&gt;=5,"Good","Bad"),VLOOKUP(DATE($K$1,$K$2,MHI$4),Table1[],(MATCH(Calendar!$A18,DB!$1:$1,0)),FALSE)),"")</f>
        <v/>
      </c>
      <c r="MHJ18" s="28" t="str">
        <f>IFERROR(IF(MHS3="No",IF(VLOOKUP(DATE($K$1,$K$2,MHJ$4),Table1[],(MATCH(Calendar!$A18,DB!$1:$1,0)),FALSE)&gt;=5,"Good","Bad"),VLOOKUP(DATE($K$1,$K$2,MHJ$4),Table1[],(MATCH(Calendar!$A18,DB!$1:$1,0)),FALSE)),"")</f>
        <v/>
      </c>
      <c r="MHK18" s="28" t="str">
        <f>IFERROR(IF(MHT3="No",IF(VLOOKUP(DATE($K$1,$K$2,MHK$4),Table1[],(MATCH(Calendar!$A18,DB!$1:$1,0)),FALSE)&gt;=5,"Good","Bad"),VLOOKUP(DATE($K$1,$K$2,MHK$4),Table1[],(MATCH(Calendar!$A18,DB!$1:$1,0)),FALSE)),"")</f>
        <v/>
      </c>
      <c r="MHL18" s="28" t="str">
        <f>IFERROR(IF(MHU3="No",IF(VLOOKUP(DATE($K$1,$K$2,MHL$4),Table1[],(MATCH(Calendar!$A18,DB!$1:$1,0)),FALSE)&gt;=5,"Good","Bad"),VLOOKUP(DATE($K$1,$K$2,MHL$4),Table1[],(MATCH(Calendar!$A18,DB!$1:$1,0)),FALSE)),"")</f>
        <v/>
      </c>
      <c r="MHM18" s="28" t="str">
        <f>IFERROR(IF(MHV3="No",IF(VLOOKUP(DATE($K$1,$K$2,MHM$4),Table1[],(MATCH(Calendar!$A18,DB!$1:$1,0)),FALSE)&gt;=5,"Good","Bad"),VLOOKUP(DATE($K$1,$K$2,MHM$4),Table1[],(MATCH(Calendar!$A18,DB!$1:$1,0)),FALSE)),"")</f>
        <v/>
      </c>
      <c r="MHN18" s="28" t="str">
        <f>IFERROR(IF(MHW3="No",IF(VLOOKUP(DATE($K$1,$K$2,MHN$4),Table1[],(MATCH(Calendar!$A18,DB!$1:$1,0)),FALSE)&gt;=5,"Good","Bad"),VLOOKUP(DATE($K$1,$K$2,MHN$4),Table1[],(MATCH(Calendar!$A18,DB!$1:$1,0)),FALSE)),"")</f>
        <v/>
      </c>
      <c r="MHO18" s="28" t="str">
        <f>IFERROR(IF(MHX3="No",IF(VLOOKUP(DATE($K$1,$K$2,MHO$4),Table1[],(MATCH(Calendar!$A18,DB!$1:$1,0)),FALSE)&gt;=5,"Good","Bad"),VLOOKUP(DATE($K$1,$K$2,MHO$4),Table1[],(MATCH(Calendar!$A18,DB!$1:$1,0)),FALSE)),"")</f>
        <v/>
      </c>
      <c r="MHP18" s="28" t="str">
        <f>IFERROR(IF(MHY3="No",IF(VLOOKUP(DATE($K$1,$K$2,MHP$4),Table1[],(MATCH(Calendar!$A18,DB!$1:$1,0)),FALSE)&gt;=5,"Good","Bad"),VLOOKUP(DATE($K$1,$K$2,MHP$4),Table1[],(MATCH(Calendar!$A18,DB!$1:$1,0)),FALSE)),"")</f>
        <v/>
      </c>
      <c r="MHQ18" s="28" t="str">
        <f>IFERROR(IF(MHZ3="No",IF(VLOOKUP(DATE($K$1,$K$2,MHQ$4),Table1[],(MATCH(Calendar!$A18,DB!$1:$1,0)),FALSE)&gt;=5,"Good","Bad"),VLOOKUP(DATE($K$1,$K$2,MHQ$4),Table1[],(MATCH(Calendar!$A18,DB!$1:$1,0)),FALSE)),"")</f>
        <v/>
      </c>
      <c r="MHR18" s="28" t="str">
        <f>IFERROR(IF(MIA3="No",IF(VLOOKUP(DATE($K$1,$K$2,MHR$4),Table1[],(MATCH(Calendar!$A18,DB!$1:$1,0)),FALSE)&gt;=5,"Good","Bad"),VLOOKUP(DATE($K$1,$K$2,MHR$4),Table1[],(MATCH(Calendar!$A18,DB!$1:$1,0)),FALSE)),"")</f>
        <v/>
      </c>
      <c r="MHS18" s="28" t="str">
        <f>IFERROR(IF(MIB3="No",IF(VLOOKUP(DATE($K$1,$K$2,MHS$4),Table1[],(MATCH(Calendar!$A18,DB!$1:$1,0)),FALSE)&gt;=5,"Good","Bad"),VLOOKUP(DATE($K$1,$K$2,MHS$4),Table1[],(MATCH(Calendar!$A18,DB!$1:$1,0)),FALSE)),"")</f>
        <v/>
      </c>
      <c r="MHT18" s="28" t="str">
        <f>IFERROR(IF(MIC3="No",IF(VLOOKUP(DATE($K$1,$K$2,MHT$4),Table1[],(MATCH(Calendar!$A18,DB!$1:$1,0)),FALSE)&gt;=5,"Good","Bad"),VLOOKUP(DATE($K$1,$K$2,MHT$4),Table1[],(MATCH(Calendar!$A18,DB!$1:$1,0)),FALSE)),"")</f>
        <v/>
      </c>
      <c r="MHU18" s="28" t="str">
        <f>IFERROR(IF(MID3="No",IF(VLOOKUP(DATE($K$1,$K$2,MHU$4),Table1[],(MATCH(Calendar!$A18,DB!$1:$1,0)),FALSE)&gt;=5,"Good","Bad"),VLOOKUP(DATE($K$1,$K$2,MHU$4),Table1[],(MATCH(Calendar!$A18,DB!$1:$1,0)),FALSE)),"")</f>
        <v/>
      </c>
      <c r="MHV18" s="28" t="str">
        <f>IFERROR(IF(MIE3="No",IF(VLOOKUP(DATE($K$1,$K$2,MHV$4),Table1[],(MATCH(Calendar!$A18,DB!$1:$1,0)),FALSE)&gt;=5,"Good","Bad"),VLOOKUP(DATE($K$1,$K$2,MHV$4),Table1[],(MATCH(Calendar!$A18,DB!$1:$1,0)),FALSE)),"")</f>
        <v/>
      </c>
      <c r="MHW18" s="28" t="str">
        <f>IFERROR(IF(MIF3="No",IF(VLOOKUP(DATE($K$1,$K$2,MHW$4),Table1[],(MATCH(Calendar!$A18,DB!$1:$1,0)),FALSE)&gt;=5,"Good","Bad"),VLOOKUP(DATE($K$1,$K$2,MHW$4),Table1[],(MATCH(Calendar!$A18,DB!$1:$1,0)),FALSE)),"")</f>
        <v/>
      </c>
      <c r="MHX18" s="28" t="str">
        <f>IFERROR(IF(MIG3="No",IF(VLOOKUP(DATE($K$1,$K$2,MHX$4),Table1[],(MATCH(Calendar!$A18,DB!$1:$1,0)),FALSE)&gt;=5,"Good","Bad"),VLOOKUP(DATE($K$1,$K$2,MHX$4),Table1[],(MATCH(Calendar!$A18,DB!$1:$1,0)),FALSE)),"")</f>
        <v/>
      </c>
      <c r="MHY18" s="28" t="str">
        <f>IFERROR(IF(MIH3="No",IF(VLOOKUP(DATE($K$1,$K$2,MHY$4),Table1[],(MATCH(Calendar!$A18,DB!$1:$1,0)),FALSE)&gt;=5,"Good","Bad"),VLOOKUP(DATE($K$1,$K$2,MHY$4),Table1[],(MATCH(Calendar!$A18,DB!$1:$1,0)),FALSE)),"")</f>
        <v/>
      </c>
      <c r="MHZ18" s="28" t="str">
        <f>IFERROR(IF(MII3="No",IF(VLOOKUP(DATE($K$1,$K$2,MHZ$4),Table1[],(MATCH(Calendar!$A18,DB!$1:$1,0)),FALSE)&gt;=5,"Good","Bad"),VLOOKUP(DATE($K$1,$K$2,MHZ$4),Table1[],(MATCH(Calendar!$A18,DB!$1:$1,0)),FALSE)),"")</f>
        <v/>
      </c>
      <c r="MIA18" s="28" t="str">
        <f>IFERROR(IF(MIJ3="No",IF(VLOOKUP(DATE($K$1,$K$2,MIA$4),Table1[],(MATCH(Calendar!$A18,DB!$1:$1,0)),FALSE)&gt;=5,"Good","Bad"),VLOOKUP(DATE($K$1,$K$2,MIA$4),Table1[],(MATCH(Calendar!$A18,DB!$1:$1,0)),FALSE)),"")</f>
        <v/>
      </c>
      <c r="MIB18" s="28" t="str">
        <f>IFERROR(IF(MIK3="No",IF(VLOOKUP(DATE($K$1,$K$2,MIB$4),Table1[],(MATCH(Calendar!$A18,DB!$1:$1,0)),FALSE)&gt;=5,"Good","Bad"),VLOOKUP(DATE($K$1,$K$2,MIB$4),Table1[],(MATCH(Calendar!$A18,DB!$1:$1,0)),FALSE)),"")</f>
        <v/>
      </c>
      <c r="MIC18" s="28" t="str">
        <f>IFERROR(IF(MIL3="No",IF(VLOOKUP(DATE($K$1,$K$2,MIC$4),Table1[],(MATCH(Calendar!$A18,DB!$1:$1,0)),FALSE)&gt;=5,"Good","Bad"),VLOOKUP(DATE($K$1,$K$2,MIC$4),Table1[],(MATCH(Calendar!$A18,DB!$1:$1,0)),FALSE)),"")</f>
        <v/>
      </c>
      <c r="MID18" s="28" t="str">
        <f>IFERROR(IF(MIM3="No",IF(VLOOKUP(DATE($K$1,$K$2,MID$4),Table1[],(MATCH(Calendar!$A18,DB!$1:$1,0)),FALSE)&gt;=5,"Good","Bad"),VLOOKUP(DATE($K$1,$K$2,MID$4),Table1[],(MATCH(Calendar!$A18,DB!$1:$1,0)),FALSE)),"")</f>
        <v/>
      </c>
      <c r="MIE18" s="28" t="str">
        <f>IFERROR(IF(MIN3="No",IF(VLOOKUP(DATE($K$1,$K$2,MIE$4),Table1[],(MATCH(Calendar!$A18,DB!$1:$1,0)),FALSE)&gt;=5,"Good","Bad"),VLOOKUP(DATE($K$1,$K$2,MIE$4),Table1[],(MATCH(Calendar!$A18,DB!$1:$1,0)),FALSE)),"")</f>
        <v/>
      </c>
      <c r="MIF18" s="28" t="str">
        <f>IFERROR(IF(MIO3="No",IF(VLOOKUP(DATE($K$1,$K$2,MIF$4),Table1[],(MATCH(Calendar!$A18,DB!$1:$1,0)),FALSE)&gt;=5,"Good","Bad"),VLOOKUP(DATE($K$1,$K$2,MIF$4),Table1[],(MATCH(Calendar!$A18,DB!$1:$1,0)),FALSE)),"")</f>
        <v/>
      </c>
      <c r="MIG18" s="28" t="str">
        <f>IFERROR(IF(MIP3="No",IF(VLOOKUP(DATE($K$1,$K$2,MIG$4),Table1[],(MATCH(Calendar!$A18,DB!$1:$1,0)),FALSE)&gt;=5,"Good","Bad"),VLOOKUP(DATE($K$1,$K$2,MIG$4),Table1[],(MATCH(Calendar!$A18,DB!$1:$1,0)),FALSE)),"")</f>
        <v/>
      </c>
      <c r="MIH18" s="28" t="str">
        <f>IFERROR(IF(MIQ3="No",IF(VLOOKUP(DATE($K$1,$K$2,MIH$4),Table1[],(MATCH(Calendar!$A18,DB!$1:$1,0)),FALSE)&gt;=5,"Good","Bad"),VLOOKUP(DATE($K$1,$K$2,MIH$4),Table1[],(MATCH(Calendar!$A18,DB!$1:$1,0)),FALSE)),"")</f>
        <v/>
      </c>
      <c r="MII18" s="28" t="str">
        <f>IFERROR(IF(MIR3="No",IF(VLOOKUP(DATE($K$1,$K$2,MII$4),Table1[],(MATCH(Calendar!$A18,DB!$1:$1,0)),FALSE)&gt;=5,"Good","Bad"),VLOOKUP(DATE($K$1,$K$2,MII$4),Table1[],(MATCH(Calendar!$A18,DB!$1:$1,0)),FALSE)),"")</f>
        <v/>
      </c>
      <c r="MIJ18" s="28" t="str">
        <f>IFERROR(IF(MIS3="No",IF(VLOOKUP(DATE($K$1,$K$2,MIJ$4),Table1[],(MATCH(Calendar!$A18,DB!$1:$1,0)),FALSE)&gt;=5,"Good","Bad"),VLOOKUP(DATE($K$1,$K$2,MIJ$4),Table1[],(MATCH(Calendar!$A18,DB!$1:$1,0)),FALSE)),"")</f>
        <v/>
      </c>
      <c r="MIK18" s="28" t="str">
        <f>IFERROR(IF(MIT3="No",IF(VLOOKUP(DATE($K$1,$K$2,MIK$4),Table1[],(MATCH(Calendar!$A18,DB!$1:$1,0)),FALSE)&gt;=5,"Good","Bad"),VLOOKUP(DATE($K$1,$K$2,MIK$4),Table1[],(MATCH(Calendar!$A18,DB!$1:$1,0)),FALSE)),"")</f>
        <v/>
      </c>
      <c r="MIL18" s="28" t="str">
        <f>IFERROR(IF(MIU3="No",IF(VLOOKUP(DATE($K$1,$K$2,MIL$4),Table1[],(MATCH(Calendar!$A18,DB!$1:$1,0)),FALSE)&gt;=5,"Good","Bad"),VLOOKUP(DATE($K$1,$K$2,MIL$4),Table1[],(MATCH(Calendar!$A18,DB!$1:$1,0)),FALSE)),"")</f>
        <v/>
      </c>
      <c r="MIM18" s="28" t="str">
        <f>IFERROR(IF(MIV3="No",IF(VLOOKUP(DATE($K$1,$K$2,MIM$4),Table1[],(MATCH(Calendar!$A18,DB!$1:$1,0)),FALSE)&gt;=5,"Good","Bad"),VLOOKUP(DATE($K$1,$K$2,MIM$4),Table1[],(MATCH(Calendar!$A18,DB!$1:$1,0)),FALSE)),"")</f>
        <v/>
      </c>
      <c r="MIN18" s="28" t="str">
        <f>IFERROR(IF(MIW3="No",IF(VLOOKUP(DATE($K$1,$K$2,MIN$4),Table1[],(MATCH(Calendar!$A18,DB!$1:$1,0)),FALSE)&gt;=5,"Good","Bad"),VLOOKUP(DATE($K$1,$K$2,MIN$4),Table1[],(MATCH(Calendar!$A18,DB!$1:$1,0)),FALSE)),"")</f>
        <v/>
      </c>
      <c r="MIO18" s="28" t="str">
        <f>IFERROR(IF(MIX3="No",IF(VLOOKUP(DATE($K$1,$K$2,MIO$4),Table1[],(MATCH(Calendar!$A18,DB!$1:$1,0)),FALSE)&gt;=5,"Good","Bad"),VLOOKUP(DATE($K$1,$K$2,MIO$4),Table1[],(MATCH(Calendar!$A18,DB!$1:$1,0)),FALSE)),"")</f>
        <v/>
      </c>
      <c r="MIP18" s="28" t="str">
        <f>IFERROR(IF(MIY3="No",IF(VLOOKUP(DATE($K$1,$K$2,MIP$4),Table1[],(MATCH(Calendar!$A18,DB!$1:$1,0)),FALSE)&gt;=5,"Good","Bad"),VLOOKUP(DATE($K$1,$K$2,MIP$4),Table1[],(MATCH(Calendar!$A18,DB!$1:$1,0)),FALSE)),"")</f>
        <v/>
      </c>
      <c r="MIQ18" s="28" t="str">
        <f>IFERROR(IF(MIZ3="No",IF(VLOOKUP(DATE($K$1,$K$2,MIQ$4),Table1[],(MATCH(Calendar!$A18,DB!$1:$1,0)),FALSE)&gt;=5,"Good","Bad"),VLOOKUP(DATE($K$1,$K$2,MIQ$4),Table1[],(MATCH(Calendar!$A18,DB!$1:$1,0)),FALSE)),"")</f>
        <v/>
      </c>
      <c r="MIR18" s="28" t="str">
        <f>IFERROR(IF(MJA3="No",IF(VLOOKUP(DATE($K$1,$K$2,MIR$4),Table1[],(MATCH(Calendar!$A18,DB!$1:$1,0)),FALSE)&gt;=5,"Good","Bad"),VLOOKUP(DATE($K$1,$K$2,MIR$4),Table1[],(MATCH(Calendar!$A18,DB!$1:$1,0)),FALSE)),"")</f>
        <v/>
      </c>
      <c r="MIS18" s="28" t="str">
        <f>IFERROR(IF(MJB3="No",IF(VLOOKUP(DATE($K$1,$K$2,MIS$4),Table1[],(MATCH(Calendar!$A18,DB!$1:$1,0)),FALSE)&gt;=5,"Good","Bad"),VLOOKUP(DATE($K$1,$K$2,MIS$4),Table1[],(MATCH(Calendar!$A18,DB!$1:$1,0)),FALSE)),"")</f>
        <v/>
      </c>
      <c r="MIT18" s="28" t="str">
        <f>IFERROR(IF(MJC3="No",IF(VLOOKUP(DATE($K$1,$K$2,MIT$4),Table1[],(MATCH(Calendar!$A18,DB!$1:$1,0)),FALSE)&gt;=5,"Good","Bad"),VLOOKUP(DATE($K$1,$K$2,MIT$4),Table1[],(MATCH(Calendar!$A18,DB!$1:$1,0)),FALSE)),"")</f>
        <v/>
      </c>
      <c r="MIU18" s="28" t="str">
        <f>IFERROR(IF(MJD3="No",IF(VLOOKUP(DATE($K$1,$K$2,MIU$4),Table1[],(MATCH(Calendar!$A18,DB!$1:$1,0)),FALSE)&gt;=5,"Good","Bad"),VLOOKUP(DATE($K$1,$K$2,MIU$4),Table1[],(MATCH(Calendar!$A18,DB!$1:$1,0)),FALSE)),"")</f>
        <v/>
      </c>
      <c r="MIV18" s="28" t="str">
        <f>IFERROR(IF(MJE3="No",IF(VLOOKUP(DATE($K$1,$K$2,MIV$4),Table1[],(MATCH(Calendar!$A18,DB!$1:$1,0)),FALSE)&gt;=5,"Good","Bad"),VLOOKUP(DATE($K$1,$K$2,MIV$4),Table1[],(MATCH(Calendar!$A18,DB!$1:$1,0)),FALSE)),"")</f>
        <v/>
      </c>
      <c r="MIW18" s="28" t="str">
        <f>IFERROR(IF(MJF3="No",IF(VLOOKUP(DATE($K$1,$K$2,MIW$4),Table1[],(MATCH(Calendar!$A18,DB!$1:$1,0)),FALSE)&gt;=5,"Good","Bad"),VLOOKUP(DATE($K$1,$K$2,MIW$4),Table1[],(MATCH(Calendar!$A18,DB!$1:$1,0)),FALSE)),"")</f>
        <v/>
      </c>
      <c r="MIX18" s="28" t="str">
        <f>IFERROR(IF(MJG3="No",IF(VLOOKUP(DATE($K$1,$K$2,MIX$4),Table1[],(MATCH(Calendar!$A18,DB!$1:$1,0)),FALSE)&gt;=5,"Good","Bad"),VLOOKUP(DATE($K$1,$K$2,MIX$4),Table1[],(MATCH(Calendar!$A18,DB!$1:$1,0)),FALSE)),"")</f>
        <v/>
      </c>
      <c r="MIY18" s="28" t="str">
        <f>IFERROR(IF(MJH3="No",IF(VLOOKUP(DATE($K$1,$K$2,MIY$4),Table1[],(MATCH(Calendar!$A18,DB!$1:$1,0)),FALSE)&gt;=5,"Good","Bad"),VLOOKUP(DATE($K$1,$K$2,MIY$4),Table1[],(MATCH(Calendar!$A18,DB!$1:$1,0)),FALSE)),"")</f>
        <v/>
      </c>
      <c r="MIZ18" s="28" t="str">
        <f>IFERROR(IF(MJI3="No",IF(VLOOKUP(DATE($K$1,$K$2,MIZ$4),Table1[],(MATCH(Calendar!$A18,DB!$1:$1,0)),FALSE)&gt;=5,"Good","Bad"),VLOOKUP(DATE($K$1,$K$2,MIZ$4),Table1[],(MATCH(Calendar!$A18,DB!$1:$1,0)),FALSE)),"")</f>
        <v/>
      </c>
      <c r="MJA18" s="28" t="str">
        <f>IFERROR(IF(MJJ3="No",IF(VLOOKUP(DATE($K$1,$K$2,MJA$4),Table1[],(MATCH(Calendar!$A18,DB!$1:$1,0)),FALSE)&gt;=5,"Good","Bad"),VLOOKUP(DATE($K$1,$K$2,MJA$4),Table1[],(MATCH(Calendar!$A18,DB!$1:$1,0)),FALSE)),"")</f>
        <v/>
      </c>
      <c r="MJB18" s="28" t="str">
        <f>IFERROR(IF(MJK3="No",IF(VLOOKUP(DATE($K$1,$K$2,MJB$4),Table1[],(MATCH(Calendar!$A18,DB!$1:$1,0)),FALSE)&gt;=5,"Good","Bad"),VLOOKUP(DATE($K$1,$K$2,MJB$4),Table1[],(MATCH(Calendar!$A18,DB!$1:$1,0)),FALSE)),"")</f>
        <v/>
      </c>
      <c r="MJC18" s="28" t="str">
        <f>IFERROR(IF(MJL3="No",IF(VLOOKUP(DATE($K$1,$K$2,MJC$4),Table1[],(MATCH(Calendar!$A18,DB!$1:$1,0)),FALSE)&gt;=5,"Good","Bad"),VLOOKUP(DATE($K$1,$K$2,MJC$4),Table1[],(MATCH(Calendar!$A18,DB!$1:$1,0)),FALSE)),"")</f>
        <v/>
      </c>
      <c r="MJD18" s="28" t="str">
        <f>IFERROR(IF(MJM3="No",IF(VLOOKUP(DATE($K$1,$K$2,MJD$4),Table1[],(MATCH(Calendar!$A18,DB!$1:$1,0)),FALSE)&gt;=5,"Good","Bad"),VLOOKUP(DATE($K$1,$K$2,MJD$4),Table1[],(MATCH(Calendar!$A18,DB!$1:$1,0)),FALSE)),"")</f>
        <v/>
      </c>
      <c r="MJE18" s="28" t="str">
        <f>IFERROR(IF(MJN3="No",IF(VLOOKUP(DATE($K$1,$K$2,MJE$4),Table1[],(MATCH(Calendar!$A18,DB!$1:$1,0)),FALSE)&gt;=5,"Good","Bad"),VLOOKUP(DATE($K$1,$K$2,MJE$4),Table1[],(MATCH(Calendar!$A18,DB!$1:$1,0)),FALSE)),"")</f>
        <v/>
      </c>
      <c r="MJF18" s="28" t="str">
        <f>IFERROR(IF(MJO3="No",IF(VLOOKUP(DATE($K$1,$K$2,MJF$4),Table1[],(MATCH(Calendar!$A18,DB!$1:$1,0)),FALSE)&gt;=5,"Good","Bad"),VLOOKUP(DATE($K$1,$K$2,MJF$4),Table1[],(MATCH(Calendar!$A18,DB!$1:$1,0)),FALSE)),"")</f>
        <v/>
      </c>
      <c r="MJG18" s="28" t="str">
        <f>IFERROR(IF(MJP3="No",IF(VLOOKUP(DATE($K$1,$K$2,MJG$4),Table1[],(MATCH(Calendar!$A18,DB!$1:$1,0)),FALSE)&gt;=5,"Good","Bad"),VLOOKUP(DATE($K$1,$K$2,MJG$4),Table1[],(MATCH(Calendar!$A18,DB!$1:$1,0)),FALSE)),"")</f>
        <v/>
      </c>
      <c r="MJH18" s="28" t="str">
        <f>IFERROR(IF(MJQ3="No",IF(VLOOKUP(DATE($K$1,$K$2,MJH$4),Table1[],(MATCH(Calendar!$A18,DB!$1:$1,0)),FALSE)&gt;=5,"Good","Bad"),VLOOKUP(DATE($K$1,$K$2,MJH$4),Table1[],(MATCH(Calendar!$A18,DB!$1:$1,0)),FALSE)),"")</f>
        <v/>
      </c>
      <c r="MJI18" s="28" t="str">
        <f>IFERROR(IF(MJR3="No",IF(VLOOKUP(DATE($K$1,$K$2,MJI$4),Table1[],(MATCH(Calendar!$A18,DB!$1:$1,0)),FALSE)&gt;=5,"Good","Bad"),VLOOKUP(DATE($K$1,$K$2,MJI$4),Table1[],(MATCH(Calendar!$A18,DB!$1:$1,0)),FALSE)),"")</f>
        <v/>
      </c>
      <c r="MJJ18" s="28" t="str">
        <f>IFERROR(IF(MJS3="No",IF(VLOOKUP(DATE($K$1,$K$2,MJJ$4),Table1[],(MATCH(Calendar!$A18,DB!$1:$1,0)),FALSE)&gt;=5,"Good","Bad"),VLOOKUP(DATE($K$1,$K$2,MJJ$4),Table1[],(MATCH(Calendar!$A18,DB!$1:$1,0)),FALSE)),"")</f>
        <v/>
      </c>
      <c r="MJK18" s="28" t="str">
        <f>IFERROR(IF(MJT3="No",IF(VLOOKUP(DATE($K$1,$K$2,MJK$4),Table1[],(MATCH(Calendar!$A18,DB!$1:$1,0)),FALSE)&gt;=5,"Good","Bad"),VLOOKUP(DATE($K$1,$K$2,MJK$4),Table1[],(MATCH(Calendar!$A18,DB!$1:$1,0)),FALSE)),"")</f>
        <v/>
      </c>
      <c r="MJL18" s="28" t="str">
        <f>IFERROR(IF(MJU3="No",IF(VLOOKUP(DATE($K$1,$K$2,MJL$4),Table1[],(MATCH(Calendar!$A18,DB!$1:$1,0)),FALSE)&gt;=5,"Good","Bad"),VLOOKUP(DATE($K$1,$K$2,MJL$4),Table1[],(MATCH(Calendar!$A18,DB!$1:$1,0)),FALSE)),"")</f>
        <v/>
      </c>
      <c r="MJM18" s="28" t="str">
        <f>IFERROR(IF(MJV3="No",IF(VLOOKUP(DATE($K$1,$K$2,MJM$4),Table1[],(MATCH(Calendar!$A18,DB!$1:$1,0)),FALSE)&gt;=5,"Good","Bad"),VLOOKUP(DATE($K$1,$K$2,MJM$4),Table1[],(MATCH(Calendar!$A18,DB!$1:$1,0)),FALSE)),"")</f>
        <v/>
      </c>
      <c r="MJN18" s="28" t="str">
        <f>IFERROR(IF(MJW3="No",IF(VLOOKUP(DATE($K$1,$K$2,MJN$4),Table1[],(MATCH(Calendar!$A18,DB!$1:$1,0)),FALSE)&gt;=5,"Good","Bad"),VLOOKUP(DATE($K$1,$K$2,MJN$4),Table1[],(MATCH(Calendar!$A18,DB!$1:$1,0)),FALSE)),"")</f>
        <v/>
      </c>
      <c r="MJO18" s="28" t="str">
        <f>IFERROR(IF(MJX3="No",IF(VLOOKUP(DATE($K$1,$K$2,MJO$4),Table1[],(MATCH(Calendar!$A18,DB!$1:$1,0)),FALSE)&gt;=5,"Good","Bad"),VLOOKUP(DATE($K$1,$K$2,MJO$4),Table1[],(MATCH(Calendar!$A18,DB!$1:$1,0)),FALSE)),"")</f>
        <v/>
      </c>
      <c r="MJP18" s="28" t="str">
        <f>IFERROR(IF(MJY3="No",IF(VLOOKUP(DATE($K$1,$K$2,MJP$4),Table1[],(MATCH(Calendar!$A18,DB!$1:$1,0)),FALSE)&gt;=5,"Good","Bad"),VLOOKUP(DATE($K$1,$K$2,MJP$4),Table1[],(MATCH(Calendar!$A18,DB!$1:$1,0)),FALSE)),"")</f>
        <v/>
      </c>
      <c r="MJQ18" s="28" t="str">
        <f>IFERROR(IF(MJZ3="No",IF(VLOOKUP(DATE($K$1,$K$2,MJQ$4),Table1[],(MATCH(Calendar!$A18,DB!$1:$1,0)),FALSE)&gt;=5,"Good","Bad"),VLOOKUP(DATE($K$1,$K$2,MJQ$4),Table1[],(MATCH(Calendar!$A18,DB!$1:$1,0)),FALSE)),"")</f>
        <v/>
      </c>
      <c r="MJR18" s="28" t="str">
        <f>IFERROR(IF(MKA3="No",IF(VLOOKUP(DATE($K$1,$K$2,MJR$4),Table1[],(MATCH(Calendar!$A18,DB!$1:$1,0)),FALSE)&gt;=5,"Good","Bad"),VLOOKUP(DATE($K$1,$K$2,MJR$4),Table1[],(MATCH(Calendar!$A18,DB!$1:$1,0)),FALSE)),"")</f>
        <v/>
      </c>
      <c r="MJS18" s="28" t="str">
        <f>IFERROR(IF(MKB3="No",IF(VLOOKUP(DATE($K$1,$K$2,MJS$4),Table1[],(MATCH(Calendar!$A18,DB!$1:$1,0)),FALSE)&gt;=5,"Good","Bad"),VLOOKUP(DATE($K$1,$K$2,MJS$4),Table1[],(MATCH(Calendar!$A18,DB!$1:$1,0)),FALSE)),"")</f>
        <v/>
      </c>
      <c r="MJT18" s="28" t="str">
        <f>IFERROR(IF(MKC3="No",IF(VLOOKUP(DATE($K$1,$K$2,MJT$4),Table1[],(MATCH(Calendar!$A18,DB!$1:$1,0)),FALSE)&gt;=5,"Good","Bad"),VLOOKUP(DATE($K$1,$K$2,MJT$4),Table1[],(MATCH(Calendar!$A18,DB!$1:$1,0)),FALSE)),"")</f>
        <v/>
      </c>
      <c r="MJU18" s="28" t="str">
        <f>IFERROR(IF(MKD3="No",IF(VLOOKUP(DATE($K$1,$K$2,MJU$4),Table1[],(MATCH(Calendar!$A18,DB!$1:$1,0)),FALSE)&gt;=5,"Good","Bad"),VLOOKUP(DATE($K$1,$K$2,MJU$4),Table1[],(MATCH(Calendar!$A18,DB!$1:$1,0)),FALSE)),"")</f>
        <v/>
      </c>
      <c r="MJV18" s="28" t="str">
        <f>IFERROR(IF(MKE3="No",IF(VLOOKUP(DATE($K$1,$K$2,MJV$4),Table1[],(MATCH(Calendar!$A18,DB!$1:$1,0)),FALSE)&gt;=5,"Good","Bad"),VLOOKUP(DATE($K$1,$K$2,MJV$4),Table1[],(MATCH(Calendar!$A18,DB!$1:$1,0)),FALSE)),"")</f>
        <v/>
      </c>
      <c r="MJW18" s="28" t="str">
        <f>IFERROR(IF(MKF3="No",IF(VLOOKUP(DATE($K$1,$K$2,MJW$4),Table1[],(MATCH(Calendar!$A18,DB!$1:$1,0)),FALSE)&gt;=5,"Good","Bad"),VLOOKUP(DATE($K$1,$K$2,MJW$4),Table1[],(MATCH(Calendar!$A18,DB!$1:$1,0)),FALSE)),"")</f>
        <v/>
      </c>
      <c r="MJX18" s="28" t="str">
        <f>IFERROR(IF(MKG3="No",IF(VLOOKUP(DATE($K$1,$K$2,MJX$4),Table1[],(MATCH(Calendar!$A18,DB!$1:$1,0)),FALSE)&gt;=5,"Good","Bad"),VLOOKUP(DATE($K$1,$K$2,MJX$4),Table1[],(MATCH(Calendar!$A18,DB!$1:$1,0)),FALSE)),"")</f>
        <v/>
      </c>
      <c r="MJY18" s="28" t="str">
        <f>IFERROR(IF(MKH3="No",IF(VLOOKUP(DATE($K$1,$K$2,MJY$4),Table1[],(MATCH(Calendar!$A18,DB!$1:$1,0)),FALSE)&gt;=5,"Good","Bad"),VLOOKUP(DATE($K$1,$K$2,MJY$4),Table1[],(MATCH(Calendar!$A18,DB!$1:$1,0)),FALSE)),"")</f>
        <v/>
      </c>
      <c r="MJZ18" s="28" t="str">
        <f>IFERROR(IF(MKI3="No",IF(VLOOKUP(DATE($K$1,$K$2,MJZ$4),Table1[],(MATCH(Calendar!$A18,DB!$1:$1,0)),FALSE)&gt;=5,"Good","Bad"),VLOOKUP(DATE($K$1,$K$2,MJZ$4),Table1[],(MATCH(Calendar!$A18,DB!$1:$1,0)),FALSE)),"")</f>
        <v/>
      </c>
      <c r="MKA18" s="28" t="str">
        <f>IFERROR(IF(MKJ3="No",IF(VLOOKUP(DATE($K$1,$K$2,MKA$4),Table1[],(MATCH(Calendar!$A18,DB!$1:$1,0)),FALSE)&gt;=5,"Good","Bad"),VLOOKUP(DATE($K$1,$K$2,MKA$4),Table1[],(MATCH(Calendar!$A18,DB!$1:$1,0)),FALSE)),"")</f>
        <v/>
      </c>
      <c r="MKB18" s="28" t="str">
        <f>IFERROR(IF(MKK3="No",IF(VLOOKUP(DATE($K$1,$K$2,MKB$4),Table1[],(MATCH(Calendar!$A18,DB!$1:$1,0)),FALSE)&gt;=5,"Good","Bad"),VLOOKUP(DATE($K$1,$K$2,MKB$4),Table1[],(MATCH(Calendar!$A18,DB!$1:$1,0)),FALSE)),"")</f>
        <v/>
      </c>
      <c r="MKC18" s="28" t="str">
        <f>IFERROR(IF(MKL3="No",IF(VLOOKUP(DATE($K$1,$K$2,MKC$4),Table1[],(MATCH(Calendar!$A18,DB!$1:$1,0)),FALSE)&gt;=5,"Good","Bad"),VLOOKUP(DATE($K$1,$K$2,MKC$4),Table1[],(MATCH(Calendar!$A18,DB!$1:$1,0)),FALSE)),"")</f>
        <v/>
      </c>
      <c r="MKD18" s="28" t="str">
        <f>IFERROR(IF(MKM3="No",IF(VLOOKUP(DATE($K$1,$K$2,MKD$4),Table1[],(MATCH(Calendar!$A18,DB!$1:$1,0)),FALSE)&gt;=5,"Good","Bad"),VLOOKUP(DATE($K$1,$K$2,MKD$4),Table1[],(MATCH(Calendar!$A18,DB!$1:$1,0)),FALSE)),"")</f>
        <v/>
      </c>
      <c r="MKE18" s="28" t="str">
        <f>IFERROR(IF(MKN3="No",IF(VLOOKUP(DATE($K$1,$K$2,MKE$4),Table1[],(MATCH(Calendar!$A18,DB!$1:$1,0)),FALSE)&gt;=5,"Good","Bad"),VLOOKUP(DATE($K$1,$K$2,MKE$4),Table1[],(MATCH(Calendar!$A18,DB!$1:$1,0)),FALSE)),"")</f>
        <v/>
      </c>
      <c r="MKF18" s="28" t="str">
        <f>IFERROR(IF(MKO3="No",IF(VLOOKUP(DATE($K$1,$K$2,MKF$4),Table1[],(MATCH(Calendar!$A18,DB!$1:$1,0)),FALSE)&gt;=5,"Good","Bad"),VLOOKUP(DATE($K$1,$K$2,MKF$4),Table1[],(MATCH(Calendar!$A18,DB!$1:$1,0)),FALSE)),"")</f>
        <v/>
      </c>
      <c r="MKG18" s="28" t="str">
        <f>IFERROR(IF(MKP3="No",IF(VLOOKUP(DATE($K$1,$K$2,MKG$4),Table1[],(MATCH(Calendar!$A18,DB!$1:$1,0)),FALSE)&gt;=5,"Good","Bad"),VLOOKUP(DATE($K$1,$K$2,MKG$4),Table1[],(MATCH(Calendar!$A18,DB!$1:$1,0)),FALSE)),"")</f>
        <v/>
      </c>
      <c r="MKH18" s="28" t="str">
        <f>IFERROR(IF(MKQ3="No",IF(VLOOKUP(DATE($K$1,$K$2,MKH$4),Table1[],(MATCH(Calendar!$A18,DB!$1:$1,0)),FALSE)&gt;=5,"Good","Bad"),VLOOKUP(DATE($K$1,$K$2,MKH$4),Table1[],(MATCH(Calendar!$A18,DB!$1:$1,0)),FALSE)),"")</f>
        <v/>
      </c>
      <c r="MKI18" s="28" t="str">
        <f>IFERROR(IF(MKR3="No",IF(VLOOKUP(DATE($K$1,$K$2,MKI$4),Table1[],(MATCH(Calendar!$A18,DB!$1:$1,0)),FALSE)&gt;=5,"Good","Bad"),VLOOKUP(DATE($K$1,$K$2,MKI$4),Table1[],(MATCH(Calendar!$A18,DB!$1:$1,0)),FALSE)),"")</f>
        <v/>
      </c>
      <c r="MKJ18" s="28" t="str">
        <f>IFERROR(IF(MKS3="No",IF(VLOOKUP(DATE($K$1,$K$2,MKJ$4),Table1[],(MATCH(Calendar!$A18,DB!$1:$1,0)),FALSE)&gt;=5,"Good","Bad"),VLOOKUP(DATE($K$1,$K$2,MKJ$4),Table1[],(MATCH(Calendar!$A18,DB!$1:$1,0)),FALSE)),"")</f>
        <v/>
      </c>
      <c r="MKK18" s="28" t="str">
        <f>IFERROR(IF(MKT3="No",IF(VLOOKUP(DATE($K$1,$K$2,MKK$4),Table1[],(MATCH(Calendar!$A18,DB!$1:$1,0)),FALSE)&gt;=5,"Good","Bad"),VLOOKUP(DATE($K$1,$K$2,MKK$4),Table1[],(MATCH(Calendar!$A18,DB!$1:$1,0)),FALSE)),"")</f>
        <v/>
      </c>
      <c r="MKL18" s="28" t="str">
        <f>IFERROR(IF(MKU3="No",IF(VLOOKUP(DATE($K$1,$K$2,MKL$4),Table1[],(MATCH(Calendar!$A18,DB!$1:$1,0)),FALSE)&gt;=5,"Good","Bad"),VLOOKUP(DATE($K$1,$K$2,MKL$4),Table1[],(MATCH(Calendar!$A18,DB!$1:$1,0)),FALSE)),"")</f>
        <v/>
      </c>
      <c r="MKM18" s="28" t="str">
        <f>IFERROR(IF(MKV3="No",IF(VLOOKUP(DATE($K$1,$K$2,MKM$4),Table1[],(MATCH(Calendar!$A18,DB!$1:$1,0)),FALSE)&gt;=5,"Good","Bad"),VLOOKUP(DATE($K$1,$K$2,MKM$4),Table1[],(MATCH(Calendar!$A18,DB!$1:$1,0)),FALSE)),"")</f>
        <v/>
      </c>
      <c r="MKN18" s="28" t="str">
        <f>IFERROR(IF(MKW3="No",IF(VLOOKUP(DATE($K$1,$K$2,MKN$4),Table1[],(MATCH(Calendar!$A18,DB!$1:$1,0)),FALSE)&gt;=5,"Good","Bad"),VLOOKUP(DATE($K$1,$K$2,MKN$4),Table1[],(MATCH(Calendar!$A18,DB!$1:$1,0)),FALSE)),"")</f>
        <v/>
      </c>
      <c r="MKO18" s="28" t="str">
        <f>IFERROR(IF(MKX3="No",IF(VLOOKUP(DATE($K$1,$K$2,MKO$4),Table1[],(MATCH(Calendar!$A18,DB!$1:$1,0)),FALSE)&gt;=5,"Good","Bad"),VLOOKUP(DATE($K$1,$K$2,MKO$4),Table1[],(MATCH(Calendar!$A18,DB!$1:$1,0)),FALSE)),"")</f>
        <v/>
      </c>
      <c r="MKP18" s="28" t="str">
        <f>IFERROR(IF(MKY3="No",IF(VLOOKUP(DATE($K$1,$K$2,MKP$4),Table1[],(MATCH(Calendar!$A18,DB!$1:$1,0)),FALSE)&gt;=5,"Good","Bad"),VLOOKUP(DATE($K$1,$K$2,MKP$4),Table1[],(MATCH(Calendar!$A18,DB!$1:$1,0)),FALSE)),"")</f>
        <v/>
      </c>
      <c r="MKQ18" s="28" t="str">
        <f>IFERROR(IF(MKZ3="No",IF(VLOOKUP(DATE($K$1,$K$2,MKQ$4),Table1[],(MATCH(Calendar!$A18,DB!$1:$1,0)),FALSE)&gt;=5,"Good","Bad"),VLOOKUP(DATE($K$1,$K$2,MKQ$4),Table1[],(MATCH(Calendar!$A18,DB!$1:$1,0)),FALSE)),"")</f>
        <v/>
      </c>
      <c r="MKR18" s="28" t="str">
        <f>IFERROR(IF(MLA3="No",IF(VLOOKUP(DATE($K$1,$K$2,MKR$4),Table1[],(MATCH(Calendar!$A18,DB!$1:$1,0)),FALSE)&gt;=5,"Good","Bad"),VLOOKUP(DATE($K$1,$K$2,MKR$4),Table1[],(MATCH(Calendar!$A18,DB!$1:$1,0)),FALSE)),"")</f>
        <v/>
      </c>
      <c r="MKS18" s="28" t="str">
        <f>IFERROR(IF(MLB3="No",IF(VLOOKUP(DATE($K$1,$K$2,MKS$4),Table1[],(MATCH(Calendar!$A18,DB!$1:$1,0)),FALSE)&gt;=5,"Good","Bad"),VLOOKUP(DATE($K$1,$K$2,MKS$4),Table1[],(MATCH(Calendar!$A18,DB!$1:$1,0)),FALSE)),"")</f>
        <v/>
      </c>
      <c r="MKT18" s="28" t="str">
        <f>IFERROR(IF(MLC3="No",IF(VLOOKUP(DATE($K$1,$K$2,MKT$4),Table1[],(MATCH(Calendar!$A18,DB!$1:$1,0)),FALSE)&gt;=5,"Good","Bad"),VLOOKUP(DATE($K$1,$K$2,MKT$4),Table1[],(MATCH(Calendar!$A18,DB!$1:$1,0)),FALSE)),"")</f>
        <v/>
      </c>
      <c r="MKU18" s="28" t="str">
        <f>IFERROR(IF(MLD3="No",IF(VLOOKUP(DATE($K$1,$K$2,MKU$4),Table1[],(MATCH(Calendar!$A18,DB!$1:$1,0)),FALSE)&gt;=5,"Good","Bad"),VLOOKUP(DATE($K$1,$K$2,MKU$4),Table1[],(MATCH(Calendar!$A18,DB!$1:$1,0)),FALSE)),"")</f>
        <v/>
      </c>
      <c r="MKV18" s="28" t="str">
        <f>IFERROR(IF(MLE3="No",IF(VLOOKUP(DATE($K$1,$K$2,MKV$4),Table1[],(MATCH(Calendar!$A18,DB!$1:$1,0)),FALSE)&gt;=5,"Good","Bad"),VLOOKUP(DATE($K$1,$K$2,MKV$4),Table1[],(MATCH(Calendar!$A18,DB!$1:$1,0)),FALSE)),"")</f>
        <v/>
      </c>
      <c r="MKW18" s="28" t="str">
        <f>IFERROR(IF(MLF3="No",IF(VLOOKUP(DATE($K$1,$K$2,MKW$4),Table1[],(MATCH(Calendar!$A18,DB!$1:$1,0)),FALSE)&gt;=5,"Good","Bad"),VLOOKUP(DATE($K$1,$K$2,MKW$4),Table1[],(MATCH(Calendar!$A18,DB!$1:$1,0)),FALSE)),"")</f>
        <v/>
      </c>
      <c r="MKX18" s="28" t="str">
        <f>IFERROR(IF(MLG3="No",IF(VLOOKUP(DATE($K$1,$K$2,MKX$4),Table1[],(MATCH(Calendar!$A18,DB!$1:$1,0)),FALSE)&gt;=5,"Good","Bad"),VLOOKUP(DATE($K$1,$K$2,MKX$4),Table1[],(MATCH(Calendar!$A18,DB!$1:$1,0)),FALSE)),"")</f>
        <v/>
      </c>
      <c r="MKY18" s="28" t="str">
        <f>IFERROR(IF(MLH3="No",IF(VLOOKUP(DATE($K$1,$K$2,MKY$4),Table1[],(MATCH(Calendar!$A18,DB!$1:$1,0)),FALSE)&gt;=5,"Good","Bad"),VLOOKUP(DATE($K$1,$K$2,MKY$4),Table1[],(MATCH(Calendar!$A18,DB!$1:$1,0)),FALSE)),"")</f>
        <v/>
      </c>
      <c r="MKZ18" s="28" t="str">
        <f>IFERROR(IF(MLI3="No",IF(VLOOKUP(DATE($K$1,$K$2,MKZ$4),Table1[],(MATCH(Calendar!$A18,DB!$1:$1,0)),FALSE)&gt;=5,"Good","Bad"),VLOOKUP(DATE($K$1,$K$2,MKZ$4),Table1[],(MATCH(Calendar!$A18,DB!$1:$1,0)),FALSE)),"")</f>
        <v/>
      </c>
      <c r="MLA18" s="28" t="str">
        <f>IFERROR(IF(MLJ3="No",IF(VLOOKUP(DATE($K$1,$K$2,MLA$4),Table1[],(MATCH(Calendar!$A18,DB!$1:$1,0)),FALSE)&gt;=5,"Good","Bad"),VLOOKUP(DATE($K$1,$K$2,MLA$4),Table1[],(MATCH(Calendar!$A18,DB!$1:$1,0)),FALSE)),"")</f>
        <v/>
      </c>
      <c r="MLB18" s="28" t="str">
        <f>IFERROR(IF(MLK3="No",IF(VLOOKUP(DATE($K$1,$K$2,MLB$4),Table1[],(MATCH(Calendar!$A18,DB!$1:$1,0)),FALSE)&gt;=5,"Good","Bad"),VLOOKUP(DATE($K$1,$K$2,MLB$4),Table1[],(MATCH(Calendar!$A18,DB!$1:$1,0)),FALSE)),"")</f>
        <v/>
      </c>
      <c r="MLC18" s="28" t="str">
        <f>IFERROR(IF(MLL3="No",IF(VLOOKUP(DATE($K$1,$K$2,MLC$4),Table1[],(MATCH(Calendar!$A18,DB!$1:$1,0)),FALSE)&gt;=5,"Good","Bad"),VLOOKUP(DATE($K$1,$K$2,MLC$4),Table1[],(MATCH(Calendar!$A18,DB!$1:$1,0)),FALSE)),"")</f>
        <v/>
      </c>
      <c r="MLD18" s="28" t="str">
        <f>IFERROR(IF(MLM3="No",IF(VLOOKUP(DATE($K$1,$K$2,MLD$4),Table1[],(MATCH(Calendar!$A18,DB!$1:$1,0)),FALSE)&gt;=5,"Good","Bad"),VLOOKUP(DATE($K$1,$K$2,MLD$4),Table1[],(MATCH(Calendar!$A18,DB!$1:$1,0)),FALSE)),"")</f>
        <v/>
      </c>
      <c r="MLE18" s="28" t="str">
        <f>IFERROR(IF(MLN3="No",IF(VLOOKUP(DATE($K$1,$K$2,MLE$4),Table1[],(MATCH(Calendar!$A18,DB!$1:$1,0)),FALSE)&gt;=5,"Good","Bad"),VLOOKUP(DATE($K$1,$K$2,MLE$4),Table1[],(MATCH(Calendar!$A18,DB!$1:$1,0)),FALSE)),"")</f>
        <v/>
      </c>
      <c r="MLF18" s="28" t="str">
        <f>IFERROR(IF(MLO3="No",IF(VLOOKUP(DATE($K$1,$K$2,MLF$4),Table1[],(MATCH(Calendar!$A18,DB!$1:$1,0)),FALSE)&gt;=5,"Good","Bad"),VLOOKUP(DATE($K$1,$K$2,MLF$4),Table1[],(MATCH(Calendar!$A18,DB!$1:$1,0)),FALSE)),"")</f>
        <v/>
      </c>
      <c r="MLG18" s="28" t="str">
        <f>IFERROR(IF(MLP3="No",IF(VLOOKUP(DATE($K$1,$K$2,MLG$4),Table1[],(MATCH(Calendar!$A18,DB!$1:$1,0)),FALSE)&gt;=5,"Good","Bad"),VLOOKUP(DATE($K$1,$K$2,MLG$4),Table1[],(MATCH(Calendar!$A18,DB!$1:$1,0)),FALSE)),"")</f>
        <v/>
      </c>
      <c r="MLH18" s="28" t="str">
        <f>IFERROR(IF(MLQ3="No",IF(VLOOKUP(DATE($K$1,$K$2,MLH$4),Table1[],(MATCH(Calendar!$A18,DB!$1:$1,0)),FALSE)&gt;=5,"Good","Bad"),VLOOKUP(DATE($K$1,$K$2,MLH$4),Table1[],(MATCH(Calendar!$A18,DB!$1:$1,0)),FALSE)),"")</f>
        <v/>
      </c>
      <c r="MLI18" s="28" t="str">
        <f>IFERROR(IF(MLR3="No",IF(VLOOKUP(DATE($K$1,$K$2,MLI$4),Table1[],(MATCH(Calendar!$A18,DB!$1:$1,0)),FALSE)&gt;=5,"Good","Bad"),VLOOKUP(DATE($K$1,$K$2,MLI$4),Table1[],(MATCH(Calendar!$A18,DB!$1:$1,0)),FALSE)),"")</f>
        <v/>
      </c>
      <c r="MLJ18" s="28" t="str">
        <f>IFERROR(IF(MLS3="No",IF(VLOOKUP(DATE($K$1,$K$2,MLJ$4),Table1[],(MATCH(Calendar!$A18,DB!$1:$1,0)),FALSE)&gt;=5,"Good","Bad"),VLOOKUP(DATE($K$1,$K$2,MLJ$4),Table1[],(MATCH(Calendar!$A18,DB!$1:$1,0)),FALSE)),"")</f>
        <v/>
      </c>
      <c r="MLK18" s="28" t="str">
        <f>IFERROR(IF(MLT3="No",IF(VLOOKUP(DATE($K$1,$K$2,MLK$4),Table1[],(MATCH(Calendar!$A18,DB!$1:$1,0)),FALSE)&gt;=5,"Good","Bad"),VLOOKUP(DATE($K$1,$K$2,MLK$4),Table1[],(MATCH(Calendar!$A18,DB!$1:$1,0)),FALSE)),"")</f>
        <v/>
      </c>
      <c r="MLL18" s="28" t="str">
        <f>IFERROR(IF(MLU3="No",IF(VLOOKUP(DATE($K$1,$K$2,MLL$4),Table1[],(MATCH(Calendar!$A18,DB!$1:$1,0)),FALSE)&gt;=5,"Good","Bad"),VLOOKUP(DATE($K$1,$K$2,MLL$4),Table1[],(MATCH(Calendar!$A18,DB!$1:$1,0)),FALSE)),"")</f>
        <v/>
      </c>
      <c r="MLM18" s="28" t="str">
        <f>IFERROR(IF(MLV3="No",IF(VLOOKUP(DATE($K$1,$K$2,MLM$4),Table1[],(MATCH(Calendar!$A18,DB!$1:$1,0)),FALSE)&gt;=5,"Good","Bad"),VLOOKUP(DATE($K$1,$K$2,MLM$4),Table1[],(MATCH(Calendar!$A18,DB!$1:$1,0)),FALSE)),"")</f>
        <v/>
      </c>
      <c r="MLN18" s="28" t="str">
        <f>IFERROR(IF(MLW3="No",IF(VLOOKUP(DATE($K$1,$K$2,MLN$4),Table1[],(MATCH(Calendar!$A18,DB!$1:$1,0)),FALSE)&gt;=5,"Good","Bad"),VLOOKUP(DATE($K$1,$K$2,MLN$4),Table1[],(MATCH(Calendar!$A18,DB!$1:$1,0)),FALSE)),"")</f>
        <v/>
      </c>
      <c r="MLO18" s="28" t="str">
        <f>IFERROR(IF(MLX3="No",IF(VLOOKUP(DATE($K$1,$K$2,MLO$4),Table1[],(MATCH(Calendar!$A18,DB!$1:$1,0)),FALSE)&gt;=5,"Good","Bad"),VLOOKUP(DATE($K$1,$K$2,MLO$4),Table1[],(MATCH(Calendar!$A18,DB!$1:$1,0)),FALSE)),"")</f>
        <v/>
      </c>
      <c r="MLP18" s="28" t="str">
        <f>IFERROR(IF(MLY3="No",IF(VLOOKUP(DATE($K$1,$K$2,MLP$4),Table1[],(MATCH(Calendar!$A18,DB!$1:$1,0)),FALSE)&gt;=5,"Good","Bad"),VLOOKUP(DATE($K$1,$K$2,MLP$4),Table1[],(MATCH(Calendar!$A18,DB!$1:$1,0)),FALSE)),"")</f>
        <v/>
      </c>
      <c r="MLQ18" s="28" t="str">
        <f>IFERROR(IF(MLZ3="No",IF(VLOOKUP(DATE($K$1,$K$2,MLQ$4),Table1[],(MATCH(Calendar!$A18,DB!$1:$1,0)),FALSE)&gt;=5,"Good","Bad"),VLOOKUP(DATE($K$1,$K$2,MLQ$4),Table1[],(MATCH(Calendar!$A18,DB!$1:$1,0)),FALSE)),"")</f>
        <v/>
      </c>
      <c r="MLR18" s="28" t="str">
        <f>IFERROR(IF(MMA3="No",IF(VLOOKUP(DATE($K$1,$K$2,MLR$4),Table1[],(MATCH(Calendar!$A18,DB!$1:$1,0)),FALSE)&gt;=5,"Good","Bad"),VLOOKUP(DATE($K$1,$K$2,MLR$4),Table1[],(MATCH(Calendar!$A18,DB!$1:$1,0)),FALSE)),"")</f>
        <v/>
      </c>
      <c r="MLS18" s="28" t="str">
        <f>IFERROR(IF(MMB3="No",IF(VLOOKUP(DATE($K$1,$K$2,MLS$4),Table1[],(MATCH(Calendar!$A18,DB!$1:$1,0)),FALSE)&gt;=5,"Good","Bad"),VLOOKUP(DATE($K$1,$K$2,MLS$4),Table1[],(MATCH(Calendar!$A18,DB!$1:$1,0)),FALSE)),"")</f>
        <v/>
      </c>
      <c r="MLT18" s="28" t="str">
        <f>IFERROR(IF(MMC3="No",IF(VLOOKUP(DATE($K$1,$K$2,MLT$4),Table1[],(MATCH(Calendar!$A18,DB!$1:$1,0)),FALSE)&gt;=5,"Good","Bad"),VLOOKUP(DATE($K$1,$K$2,MLT$4),Table1[],(MATCH(Calendar!$A18,DB!$1:$1,0)),FALSE)),"")</f>
        <v/>
      </c>
      <c r="MLU18" s="28" t="str">
        <f>IFERROR(IF(MMD3="No",IF(VLOOKUP(DATE($K$1,$K$2,MLU$4),Table1[],(MATCH(Calendar!$A18,DB!$1:$1,0)),FALSE)&gt;=5,"Good","Bad"),VLOOKUP(DATE($K$1,$K$2,MLU$4),Table1[],(MATCH(Calendar!$A18,DB!$1:$1,0)),FALSE)),"")</f>
        <v/>
      </c>
      <c r="MLV18" s="28" t="str">
        <f>IFERROR(IF(MME3="No",IF(VLOOKUP(DATE($K$1,$K$2,MLV$4),Table1[],(MATCH(Calendar!$A18,DB!$1:$1,0)),FALSE)&gt;=5,"Good","Bad"),VLOOKUP(DATE($K$1,$K$2,MLV$4),Table1[],(MATCH(Calendar!$A18,DB!$1:$1,0)),FALSE)),"")</f>
        <v/>
      </c>
      <c r="MLW18" s="28" t="str">
        <f>IFERROR(IF(MMF3="No",IF(VLOOKUP(DATE($K$1,$K$2,MLW$4),Table1[],(MATCH(Calendar!$A18,DB!$1:$1,0)),FALSE)&gt;=5,"Good","Bad"),VLOOKUP(DATE($K$1,$K$2,MLW$4),Table1[],(MATCH(Calendar!$A18,DB!$1:$1,0)),FALSE)),"")</f>
        <v/>
      </c>
      <c r="MLX18" s="28" t="str">
        <f>IFERROR(IF(MMG3="No",IF(VLOOKUP(DATE($K$1,$K$2,MLX$4),Table1[],(MATCH(Calendar!$A18,DB!$1:$1,0)),FALSE)&gt;=5,"Good","Bad"),VLOOKUP(DATE($K$1,$K$2,MLX$4),Table1[],(MATCH(Calendar!$A18,DB!$1:$1,0)),FALSE)),"")</f>
        <v/>
      </c>
      <c r="MLY18" s="28" t="str">
        <f>IFERROR(IF(MMH3="No",IF(VLOOKUP(DATE($K$1,$K$2,MLY$4),Table1[],(MATCH(Calendar!$A18,DB!$1:$1,0)),FALSE)&gt;=5,"Good","Bad"),VLOOKUP(DATE($K$1,$K$2,MLY$4),Table1[],(MATCH(Calendar!$A18,DB!$1:$1,0)),FALSE)),"")</f>
        <v/>
      </c>
      <c r="MLZ18" s="28" t="str">
        <f>IFERROR(IF(MMI3="No",IF(VLOOKUP(DATE($K$1,$K$2,MLZ$4),Table1[],(MATCH(Calendar!$A18,DB!$1:$1,0)),FALSE)&gt;=5,"Good","Bad"),VLOOKUP(DATE($K$1,$K$2,MLZ$4),Table1[],(MATCH(Calendar!$A18,DB!$1:$1,0)),FALSE)),"")</f>
        <v/>
      </c>
      <c r="MMA18" s="28" t="str">
        <f>IFERROR(IF(MMJ3="No",IF(VLOOKUP(DATE($K$1,$K$2,MMA$4),Table1[],(MATCH(Calendar!$A18,DB!$1:$1,0)),FALSE)&gt;=5,"Good","Bad"),VLOOKUP(DATE($K$1,$K$2,MMA$4),Table1[],(MATCH(Calendar!$A18,DB!$1:$1,0)),FALSE)),"")</f>
        <v/>
      </c>
      <c r="MMB18" s="28" t="str">
        <f>IFERROR(IF(MMK3="No",IF(VLOOKUP(DATE($K$1,$K$2,MMB$4),Table1[],(MATCH(Calendar!$A18,DB!$1:$1,0)),FALSE)&gt;=5,"Good","Bad"),VLOOKUP(DATE($K$1,$K$2,MMB$4),Table1[],(MATCH(Calendar!$A18,DB!$1:$1,0)),FALSE)),"")</f>
        <v/>
      </c>
      <c r="MMC18" s="28" t="str">
        <f>IFERROR(IF(MML3="No",IF(VLOOKUP(DATE($K$1,$K$2,MMC$4),Table1[],(MATCH(Calendar!$A18,DB!$1:$1,0)),FALSE)&gt;=5,"Good","Bad"),VLOOKUP(DATE($K$1,$K$2,MMC$4),Table1[],(MATCH(Calendar!$A18,DB!$1:$1,0)),FALSE)),"")</f>
        <v/>
      </c>
      <c r="MMD18" s="28" t="str">
        <f>IFERROR(IF(MMM3="No",IF(VLOOKUP(DATE($K$1,$K$2,MMD$4),Table1[],(MATCH(Calendar!$A18,DB!$1:$1,0)),FALSE)&gt;=5,"Good","Bad"),VLOOKUP(DATE($K$1,$K$2,MMD$4),Table1[],(MATCH(Calendar!$A18,DB!$1:$1,0)),FALSE)),"")</f>
        <v/>
      </c>
      <c r="MME18" s="28" t="str">
        <f>IFERROR(IF(MMN3="No",IF(VLOOKUP(DATE($K$1,$K$2,MME$4),Table1[],(MATCH(Calendar!$A18,DB!$1:$1,0)),FALSE)&gt;=5,"Good","Bad"),VLOOKUP(DATE($K$1,$K$2,MME$4),Table1[],(MATCH(Calendar!$A18,DB!$1:$1,0)),FALSE)),"")</f>
        <v/>
      </c>
      <c r="MMF18" s="28" t="str">
        <f>IFERROR(IF(MMO3="No",IF(VLOOKUP(DATE($K$1,$K$2,MMF$4),Table1[],(MATCH(Calendar!$A18,DB!$1:$1,0)),FALSE)&gt;=5,"Good","Bad"),VLOOKUP(DATE($K$1,$K$2,MMF$4),Table1[],(MATCH(Calendar!$A18,DB!$1:$1,0)),FALSE)),"")</f>
        <v/>
      </c>
      <c r="MMG18" s="28" t="str">
        <f>IFERROR(IF(MMP3="No",IF(VLOOKUP(DATE($K$1,$K$2,MMG$4),Table1[],(MATCH(Calendar!$A18,DB!$1:$1,0)),FALSE)&gt;=5,"Good","Bad"),VLOOKUP(DATE($K$1,$K$2,MMG$4),Table1[],(MATCH(Calendar!$A18,DB!$1:$1,0)),FALSE)),"")</f>
        <v/>
      </c>
      <c r="MMH18" s="28" t="str">
        <f>IFERROR(IF(MMQ3="No",IF(VLOOKUP(DATE($K$1,$K$2,MMH$4),Table1[],(MATCH(Calendar!$A18,DB!$1:$1,0)),FALSE)&gt;=5,"Good","Bad"),VLOOKUP(DATE($K$1,$K$2,MMH$4),Table1[],(MATCH(Calendar!$A18,DB!$1:$1,0)),FALSE)),"")</f>
        <v/>
      </c>
      <c r="MMI18" s="28" t="str">
        <f>IFERROR(IF(MMR3="No",IF(VLOOKUP(DATE($K$1,$K$2,MMI$4),Table1[],(MATCH(Calendar!$A18,DB!$1:$1,0)),FALSE)&gt;=5,"Good","Bad"),VLOOKUP(DATE($K$1,$K$2,MMI$4),Table1[],(MATCH(Calendar!$A18,DB!$1:$1,0)),FALSE)),"")</f>
        <v/>
      </c>
      <c r="MMJ18" s="28" t="str">
        <f>IFERROR(IF(MMS3="No",IF(VLOOKUP(DATE($K$1,$K$2,MMJ$4),Table1[],(MATCH(Calendar!$A18,DB!$1:$1,0)),FALSE)&gt;=5,"Good","Bad"),VLOOKUP(DATE($K$1,$K$2,MMJ$4),Table1[],(MATCH(Calendar!$A18,DB!$1:$1,0)),FALSE)),"")</f>
        <v/>
      </c>
      <c r="MMK18" s="28" t="str">
        <f>IFERROR(IF(MMT3="No",IF(VLOOKUP(DATE($K$1,$K$2,MMK$4),Table1[],(MATCH(Calendar!$A18,DB!$1:$1,0)),FALSE)&gt;=5,"Good","Bad"),VLOOKUP(DATE($K$1,$K$2,MMK$4),Table1[],(MATCH(Calendar!$A18,DB!$1:$1,0)),FALSE)),"")</f>
        <v/>
      </c>
      <c r="MML18" s="28" t="str">
        <f>IFERROR(IF(MMU3="No",IF(VLOOKUP(DATE($K$1,$K$2,MML$4),Table1[],(MATCH(Calendar!$A18,DB!$1:$1,0)),FALSE)&gt;=5,"Good","Bad"),VLOOKUP(DATE($K$1,$K$2,MML$4),Table1[],(MATCH(Calendar!$A18,DB!$1:$1,0)),FALSE)),"")</f>
        <v/>
      </c>
      <c r="MMM18" s="28" t="str">
        <f>IFERROR(IF(MMV3="No",IF(VLOOKUP(DATE($K$1,$K$2,MMM$4),Table1[],(MATCH(Calendar!$A18,DB!$1:$1,0)),FALSE)&gt;=5,"Good","Bad"),VLOOKUP(DATE($K$1,$K$2,MMM$4),Table1[],(MATCH(Calendar!$A18,DB!$1:$1,0)),FALSE)),"")</f>
        <v/>
      </c>
      <c r="MMN18" s="28" t="str">
        <f>IFERROR(IF(MMW3="No",IF(VLOOKUP(DATE($K$1,$K$2,MMN$4),Table1[],(MATCH(Calendar!$A18,DB!$1:$1,0)),FALSE)&gt;=5,"Good","Bad"),VLOOKUP(DATE($K$1,$K$2,MMN$4),Table1[],(MATCH(Calendar!$A18,DB!$1:$1,0)),FALSE)),"")</f>
        <v/>
      </c>
      <c r="MMO18" s="28" t="str">
        <f>IFERROR(IF(MMX3="No",IF(VLOOKUP(DATE($K$1,$K$2,MMO$4),Table1[],(MATCH(Calendar!$A18,DB!$1:$1,0)),FALSE)&gt;=5,"Good","Bad"),VLOOKUP(DATE($K$1,$K$2,MMO$4),Table1[],(MATCH(Calendar!$A18,DB!$1:$1,0)),FALSE)),"")</f>
        <v/>
      </c>
      <c r="MMP18" s="28" t="str">
        <f>IFERROR(IF(MMY3="No",IF(VLOOKUP(DATE($K$1,$K$2,MMP$4),Table1[],(MATCH(Calendar!$A18,DB!$1:$1,0)),FALSE)&gt;=5,"Good","Bad"),VLOOKUP(DATE($K$1,$K$2,MMP$4),Table1[],(MATCH(Calendar!$A18,DB!$1:$1,0)),FALSE)),"")</f>
        <v/>
      </c>
      <c r="MMQ18" s="28" t="str">
        <f>IFERROR(IF(MMZ3="No",IF(VLOOKUP(DATE($K$1,$K$2,MMQ$4),Table1[],(MATCH(Calendar!$A18,DB!$1:$1,0)),FALSE)&gt;=5,"Good","Bad"),VLOOKUP(DATE($K$1,$K$2,MMQ$4),Table1[],(MATCH(Calendar!$A18,DB!$1:$1,0)),FALSE)),"")</f>
        <v/>
      </c>
      <c r="MMR18" s="28" t="str">
        <f>IFERROR(IF(MNA3="No",IF(VLOOKUP(DATE($K$1,$K$2,MMR$4),Table1[],(MATCH(Calendar!$A18,DB!$1:$1,0)),FALSE)&gt;=5,"Good","Bad"),VLOOKUP(DATE($K$1,$K$2,MMR$4),Table1[],(MATCH(Calendar!$A18,DB!$1:$1,0)),FALSE)),"")</f>
        <v/>
      </c>
      <c r="MMS18" s="28" t="str">
        <f>IFERROR(IF(MNB3="No",IF(VLOOKUP(DATE($K$1,$K$2,MMS$4),Table1[],(MATCH(Calendar!$A18,DB!$1:$1,0)),FALSE)&gt;=5,"Good","Bad"),VLOOKUP(DATE($K$1,$K$2,MMS$4),Table1[],(MATCH(Calendar!$A18,DB!$1:$1,0)),FALSE)),"")</f>
        <v/>
      </c>
      <c r="MMT18" s="28" t="str">
        <f>IFERROR(IF(MNC3="No",IF(VLOOKUP(DATE($K$1,$K$2,MMT$4),Table1[],(MATCH(Calendar!$A18,DB!$1:$1,0)),FALSE)&gt;=5,"Good","Bad"),VLOOKUP(DATE($K$1,$K$2,MMT$4),Table1[],(MATCH(Calendar!$A18,DB!$1:$1,0)),FALSE)),"")</f>
        <v/>
      </c>
      <c r="MMU18" s="28" t="str">
        <f>IFERROR(IF(MND3="No",IF(VLOOKUP(DATE($K$1,$K$2,MMU$4),Table1[],(MATCH(Calendar!$A18,DB!$1:$1,0)),FALSE)&gt;=5,"Good","Bad"),VLOOKUP(DATE($K$1,$K$2,MMU$4),Table1[],(MATCH(Calendar!$A18,DB!$1:$1,0)),FALSE)),"")</f>
        <v/>
      </c>
      <c r="MMV18" s="28" t="str">
        <f>IFERROR(IF(MNE3="No",IF(VLOOKUP(DATE($K$1,$K$2,MMV$4),Table1[],(MATCH(Calendar!$A18,DB!$1:$1,0)),FALSE)&gt;=5,"Good","Bad"),VLOOKUP(DATE($K$1,$K$2,MMV$4),Table1[],(MATCH(Calendar!$A18,DB!$1:$1,0)),FALSE)),"")</f>
        <v/>
      </c>
      <c r="MMW18" s="28" t="str">
        <f>IFERROR(IF(MNF3="No",IF(VLOOKUP(DATE($K$1,$K$2,MMW$4),Table1[],(MATCH(Calendar!$A18,DB!$1:$1,0)),FALSE)&gt;=5,"Good","Bad"),VLOOKUP(DATE($K$1,$K$2,MMW$4),Table1[],(MATCH(Calendar!$A18,DB!$1:$1,0)),FALSE)),"")</f>
        <v/>
      </c>
      <c r="MMX18" s="28" t="str">
        <f>IFERROR(IF(MNG3="No",IF(VLOOKUP(DATE($K$1,$K$2,MMX$4),Table1[],(MATCH(Calendar!$A18,DB!$1:$1,0)),FALSE)&gt;=5,"Good","Bad"),VLOOKUP(DATE($K$1,$K$2,MMX$4),Table1[],(MATCH(Calendar!$A18,DB!$1:$1,0)),FALSE)),"")</f>
        <v/>
      </c>
      <c r="MMY18" s="28" t="str">
        <f>IFERROR(IF(MNH3="No",IF(VLOOKUP(DATE($K$1,$K$2,MMY$4),Table1[],(MATCH(Calendar!$A18,DB!$1:$1,0)),FALSE)&gt;=5,"Good","Bad"),VLOOKUP(DATE($K$1,$K$2,MMY$4),Table1[],(MATCH(Calendar!$A18,DB!$1:$1,0)),FALSE)),"")</f>
        <v/>
      </c>
      <c r="MMZ18" s="28" t="str">
        <f>IFERROR(IF(MNI3="No",IF(VLOOKUP(DATE($K$1,$K$2,MMZ$4),Table1[],(MATCH(Calendar!$A18,DB!$1:$1,0)),FALSE)&gt;=5,"Good","Bad"),VLOOKUP(DATE($K$1,$K$2,MMZ$4),Table1[],(MATCH(Calendar!$A18,DB!$1:$1,0)),FALSE)),"")</f>
        <v/>
      </c>
      <c r="MNA18" s="28" t="str">
        <f>IFERROR(IF(MNJ3="No",IF(VLOOKUP(DATE($K$1,$K$2,MNA$4),Table1[],(MATCH(Calendar!$A18,DB!$1:$1,0)),FALSE)&gt;=5,"Good","Bad"),VLOOKUP(DATE($K$1,$K$2,MNA$4),Table1[],(MATCH(Calendar!$A18,DB!$1:$1,0)),FALSE)),"")</f>
        <v/>
      </c>
      <c r="MNB18" s="28" t="str">
        <f>IFERROR(IF(MNK3="No",IF(VLOOKUP(DATE($K$1,$K$2,MNB$4),Table1[],(MATCH(Calendar!$A18,DB!$1:$1,0)),FALSE)&gt;=5,"Good","Bad"),VLOOKUP(DATE($K$1,$K$2,MNB$4),Table1[],(MATCH(Calendar!$A18,DB!$1:$1,0)),FALSE)),"")</f>
        <v/>
      </c>
      <c r="MNC18" s="28" t="str">
        <f>IFERROR(IF(MNL3="No",IF(VLOOKUP(DATE($K$1,$K$2,MNC$4),Table1[],(MATCH(Calendar!$A18,DB!$1:$1,0)),FALSE)&gt;=5,"Good","Bad"),VLOOKUP(DATE($K$1,$K$2,MNC$4),Table1[],(MATCH(Calendar!$A18,DB!$1:$1,0)),FALSE)),"")</f>
        <v/>
      </c>
      <c r="MND18" s="28" t="str">
        <f>IFERROR(IF(MNM3="No",IF(VLOOKUP(DATE($K$1,$K$2,MND$4),Table1[],(MATCH(Calendar!$A18,DB!$1:$1,0)),FALSE)&gt;=5,"Good","Bad"),VLOOKUP(DATE($K$1,$K$2,MND$4),Table1[],(MATCH(Calendar!$A18,DB!$1:$1,0)),FALSE)),"")</f>
        <v/>
      </c>
      <c r="MNE18" s="28" t="str">
        <f>IFERROR(IF(MNN3="No",IF(VLOOKUP(DATE($K$1,$K$2,MNE$4),Table1[],(MATCH(Calendar!$A18,DB!$1:$1,0)),FALSE)&gt;=5,"Good","Bad"),VLOOKUP(DATE($K$1,$K$2,MNE$4),Table1[],(MATCH(Calendar!$A18,DB!$1:$1,0)),FALSE)),"")</f>
        <v/>
      </c>
      <c r="MNF18" s="28" t="str">
        <f>IFERROR(IF(MNO3="No",IF(VLOOKUP(DATE($K$1,$K$2,MNF$4),Table1[],(MATCH(Calendar!$A18,DB!$1:$1,0)),FALSE)&gt;=5,"Good","Bad"),VLOOKUP(DATE($K$1,$K$2,MNF$4),Table1[],(MATCH(Calendar!$A18,DB!$1:$1,0)),FALSE)),"")</f>
        <v/>
      </c>
      <c r="MNG18" s="28" t="str">
        <f>IFERROR(IF(MNP3="No",IF(VLOOKUP(DATE($K$1,$K$2,MNG$4),Table1[],(MATCH(Calendar!$A18,DB!$1:$1,0)),FALSE)&gt;=5,"Good","Bad"),VLOOKUP(DATE($K$1,$K$2,MNG$4),Table1[],(MATCH(Calendar!$A18,DB!$1:$1,0)),FALSE)),"")</f>
        <v/>
      </c>
      <c r="MNH18" s="28" t="str">
        <f>IFERROR(IF(MNQ3="No",IF(VLOOKUP(DATE($K$1,$K$2,MNH$4),Table1[],(MATCH(Calendar!$A18,DB!$1:$1,0)),FALSE)&gt;=5,"Good","Bad"),VLOOKUP(DATE($K$1,$K$2,MNH$4),Table1[],(MATCH(Calendar!$A18,DB!$1:$1,0)),FALSE)),"")</f>
        <v/>
      </c>
      <c r="MNI18" s="28" t="str">
        <f>IFERROR(IF(MNR3="No",IF(VLOOKUP(DATE($K$1,$K$2,MNI$4),Table1[],(MATCH(Calendar!$A18,DB!$1:$1,0)),FALSE)&gt;=5,"Good","Bad"),VLOOKUP(DATE($K$1,$K$2,MNI$4),Table1[],(MATCH(Calendar!$A18,DB!$1:$1,0)),FALSE)),"")</f>
        <v/>
      </c>
      <c r="MNJ18" s="28" t="str">
        <f>IFERROR(IF(MNS3="No",IF(VLOOKUP(DATE($K$1,$K$2,MNJ$4),Table1[],(MATCH(Calendar!$A18,DB!$1:$1,0)),FALSE)&gt;=5,"Good","Bad"),VLOOKUP(DATE($K$1,$K$2,MNJ$4),Table1[],(MATCH(Calendar!$A18,DB!$1:$1,0)),FALSE)),"")</f>
        <v/>
      </c>
      <c r="MNK18" s="28" t="str">
        <f>IFERROR(IF(MNT3="No",IF(VLOOKUP(DATE($K$1,$K$2,MNK$4),Table1[],(MATCH(Calendar!$A18,DB!$1:$1,0)),FALSE)&gt;=5,"Good","Bad"),VLOOKUP(DATE($K$1,$K$2,MNK$4),Table1[],(MATCH(Calendar!$A18,DB!$1:$1,0)),FALSE)),"")</f>
        <v/>
      </c>
      <c r="MNL18" s="28" t="str">
        <f>IFERROR(IF(MNU3="No",IF(VLOOKUP(DATE($K$1,$K$2,MNL$4),Table1[],(MATCH(Calendar!$A18,DB!$1:$1,0)),FALSE)&gt;=5,"Good","Bad"),VLOOKUP(DATE($K$1,$K$2,MNL$4),Table1[],(MATCH(Calendar!$A18,DB!$1:$1,0)),FALSE)),"")</f>
        <v/>
      </c>
      <c r="MNM18" s="28" t="str">
        <f>IFERROR(IF(MNV3="No",IF(VLOOKUP(DATE($K$1,$K$2,MNM$4),Table1[],(MATCH(Calendar!$A18,DB!$1:$1,0)),FALSE)&gt;=5,"Good","Bad"),VLOOKUP(DATE($K$1,$K$2,MNM$4),Table1[],(MATCH(Calendar!$A18,DB!$1:$1,0)),FALSE)),"")</f>
        <v/>
      </c>
      <c r="MNN18" s="28" t="str">
        <f>IFERROR(IF(MNW3="No",IF(VLOOKUP(DATE($K$1,$K$2,MNN$4),Table1[],(MATCH(Calendar!$A18,DB!$1:$1,0)),FALSE)&gt;=5,"Good","Bad"),VLOOKUP(DATE($K$1,$K$2,MNN$4),Table1[],(MATCH(Calendar!$A18,DB!$1:$1,0)),FALSE)),"")</f>
        <v/>
      </c>
      <c r="MNO18" s="28" t="str">
        <f>IFERROR(IF(MNX3="No",IF(VLOOKUP(DATE($K$1,$K$2,MNO$4),Table1[],(MATCH(Calendar!$A18,DB!$1:$1,0)),FALSE)&gt;=5,"Good","Bad"),VLOOKUP(DATE($K$1,$K$2,MNO$4),Table1[],(MATCH(Calendar!$A18,DB!$1:$1,0)),FALSE)),"")</f>
        <v/>
      </c>
      <c r="MNP18" s="28" t="str">
        <f>IFERROR(IF(MNY3="No",IF(VLOOKUP(DATE($K$1,$K$2,MNP$4),Table1[],(MATCH(Calendar!$A18,DB!$1:$1,0)),FALSE)&gt;=5,"Good","Bad"),VLOOKUP(DATE($K$1,$K$2,MNP$4),Table1[],(MATCH(Calendar!$A18,DB!$1:$1,0)),FALSE)),"")</f>
        <v/>
      </c>
      <c r="MNQ18" s="28" t="str">
        <f>IFERROR(IF(MNZ3="No",IF(VLOOKUP(DATE($K$1,$K$2,MNQ$4),Table1[],(MATCH(Calendar!$A18,DB!$1:$1,0)),FALSE)&gt;=5,"Good","Bad"),VLOOKUP(DATE($K$1,$K$2,MNQ$4),Table1[],(MATCH(Calendar!$A18,DB!$1:$1,0)),FALSE)),"")</f>
        <v/>
      </c>
      <c r="MNR18" s="28" t="str">
        <f>IFERROR(IF(MOA3="No",IF(VLOOKUP(DATE($K$1,$K$2,MNR$4),Table1[],(MATCH(Calendar!$A18,DB!$1:$1,0)),FALSE)&gt;=5,"Good","Bad"),VLOOKUP(DATE($K$1,$K$2,MNR$4),Table1[],(MATCH(Calendar!$A18,DB!$1:$1,0)),FALSE)),"")</f>
        <v/>
      </c>
      <c r="MNS18" s="28" t="str">
        <f>IFERROR(IF(MOB3="No",IF(VLOOKUP(DATE($K$1,$K$2,MNS$4),Table1[],(MATCH(Calendar!$A18,DB!$1:$1,0)),FALSE)&gt;=5,"Good","Bad"),VLOOKUP(DATE($K$1,$K$2,MNS$4),Table1[],(MATCH(Calendar!$A18,DB!$1:$1,0)),FALSE)),"")</f>
        <v/>
      </c>
      <c r="MNT18" s="28" t="str">
        <f>IFERROR(IF(MOC3="No",IF(VLOOKUP(DATE($K$1,$K$2,MNT$4),Table1[],(MATCH(Calendar!$A18,DB!$1:$1,0)),FALSE)&gt;=5,"Good","Bad"),VLOOKUP(DATE($K$1,$K$2,MNT$4),Table1[],(MATCH(Calendar!$A18,DB!$1:$1,0)),FALSE)),"")</f>
        <v/>
      </c>
      <c r="MNU18" s="28" t="str">
        <f>IFERROR(IF(MOD3="No",IF(VLOOKUP(DATE($K$1,$K$2,MNU$4),Table1[],(MATCH(Calendar!$A18,DB!$1:$1,0)),FALSE)&gt;=5,"Good","Bad"),VLOOKUP(DATE($K$1,$K$2,MNU$4),Table1[],(MATCH(Calendar!$A18,DB!$1:$1,0)),FALSE)),"")</f>
        <v/>
      </c>
      <c r="MNV18" s="28" t="str">
        <f>IFERROR(IF(MOE3="No",IF(VLOOKUP(DATE($K$1,$K$2,MNV$4),Table1[],(MATCH(Calendar!$A18,DB!$1:$1,0)),FALSE)&gt;=5,"Good","Bad"),VLOOKUP(DATE($K$1,$K$2,MNV$4),Table1[],(MATCH(Calendar!$A18,DB!$1:$1,0)),FALSE)),"")</f>
        <v/>
      </c>
      <c r="MNW18" s="28" t="str">
        <f>IFERROR(IF(MOF3="No",IF(VLOOKUP(DATE($K$1,$K$2,MNW$4),Table1[],(MATCH(Calendar!$A18,DB!$1:$1,0)),FALSE)&gt;=5,"Good","Bad"),VLOOKUP(DATE($K$1,$K$2,MNW$4),Table1[],(MATCH(Calendar!$A18,DB!$1:$1,0)),FALSE)),"")</f>
        <v/>
      </c>
      <c r="MNX18" s="28" t="str">
        <f>IFERROR(IF(MOG3="No",IF(VLOOKUP(DATE($K$1,$K$2,MNX$4),Table1[],(MATCH(Calendar!$A18,DB!$1:$1,0)),FALSE)&gt;=5,"Good","Bad"),VLOOKUP(DATE($K$1,$K$2,MNX$4),Table1[],(MATCH(Calendar!$A18,DB!$1:$1,0)),FALSE)),"")</f>
        <v/>
      </c>
      <c r="MNY18" s="28" t="str">
        <f>IFERROR(IF(MOH3="No",IF(VLOOKUP(DATE($K$1,$K$2,MNY$4),Table1[],(MATCH(Calendar!$A18,DB!$1:$1,0)),FALSE)&gt;=5,"Good","Bad"),VLOOKUP(DATE($K$1,$K$2,MNY$4),Table1[],(MATCH(Calendar!$A18,DB!$1:$1,0)),FALSE)),"")</f>
        <v/>
      </c>
      <c r="MNZ18" s="28" t="str">
        <f>IFERROR(IF(MOI3="No",IF(VLOOKUP(DATE($K$1,$K$2,MNZ$4),Table1[],(MATCH(Calendar!$A18,DB!$1:$1,0)),FALSE)&gt;=5,"Good","Bad"),VLOOKUP(DATE($K$1,$K$2,MNZ$4),Table1[],(MATCH(Calendar!$A18,DB!$1:$1,0)),FALSE)),"")</f>
        <v/>
      </c>
      <c r="MOA18" s="28" t="str">
        <f>IFERROR(IF(MOJ3="No",IF(VLOOKUP(DATE($K$1,$K$2,MOA$4),Table1[],(MATCH(Calendar!$A18,DB!$1:$1,0)),FALSE)&gt;=5,"Good","Bad"),VLOOKUP(DATE($K$1,$K$2,MOA$4),Table1[],(MATCH(Calendar!$A18,DB!$1:$1,0)),FALSE)),"")</f>
        <v/>
      </c>
      <c r="MOB18" s="28" t="str">
        <f>IFERROR(IF(MOK3="No",IF(VLOOKUP(DATE($K$1,$K$2,MOB$4),Table1[],(MATCH(Calendar!$A18,DB!$1:$1,0)),FALSE)&gt;=5,"Good","Bad"),VLOOKUP(DATE($K$1,$K$2,MOB$4),Table1[],(MATCH(Calendar!$A18,DB!$1:$1,0)),FALSE)),"")</f>
        <v/>
      </c>
      <c r="MOC18" s="28" t="str">
        <f>IFERROR(IF(MOL3="No",IF(VLOOKUP(DATE($K$1,$K$2,MOC$4),Table1[],(MATCH(Calendar!$A18,DB!$1:$1,0)),FALSE)&gt;=5,"Good","Bad"),VLOOKUP(DATE($K$1,$K$2,MOC$4),Table1[],(MATCH(Calendar!$A18,DB!$1:$1,0)),FALSE)),"")</f>
        <v/>
      </c>
      <c r="MOD18" s="28" t="str">
        <f>IFERROR(IF(MOM3="No",IF(VLOOKUP(DATE($K$1,$K$2,MOD$4),Table1[],(MATCH(Calendar!$A18,DB!$1:$1,0)),FALSE)&gt;=5,"Good","Bad"),VLOOKUP(DATE($K$1,$K$2,MOD$4),Table1[],(MATCH(Calendar!$A18,DB!$1:$1,0)),FALSE)),"")</f>
        <v/>
      </c>
      <c r="MOE18" s="28" t="str">
        <f>IFERROR(IF(MON3="No",IF(VLOOKUP(DATE($K$1,$K$2,MOE$4),Table1[],(MATCH(Calendar!$A18,DB!$1:$1,0)),FALSE)&gt;=5,"Good","Bad"),VLOOKUP(DATE($K$1,$K$2,MOE$4),Table1[],(MATCH(Calendar!$A18,DB!$1:$1,0)),FALSE)),"")</f>
        <v/>
      </c>
      <c r="MOF18" s="28" t="str">
        <f>IFERROR(IF(MOO3="No",IF(VLOOKUP(DATE($K$1,$K$2,MOF$4),Table1[],(MATCH(Calendar!$A18,DB!$1:$1,0)),FALSE)&gt;=5,"Good","Bad"),VLOOKUP(DATE($K$1,$K$2,MOF$4),Table1[],(MATCH(Calendar!$A18,DB!$1:$1,0)),FALSE)),"")</f>
        <v/>
      </c>
      <c r="MOG18" s="28" t="str">
        <f>IFERROR(IF(MOP3="No",IF(VLOOKUP(DATE($K$1,$K$2,MOG$4),Table1[],(MATCH(Calendar!$A18,DB!$1:$1,0)),FALSE)&gt;=5,"Good","Bad"),VLOOKUP(DATE($K$1,$K$2,MOG$4),Table1[],(MATCH(Calendar!$A18,DB!$1:$1,0)),FALSE)),"")</f>
        <v/>
      </c>
      <c r="MOH18" s="28" t="str">
        <f>IFERROR(IF(MOQ3="No",IF(VLOOKUP(DATE($K$1,$K$2,MOH$4),Table1[],(MATCH(Calendar!$A18,DB!$1:$1,0)),FALSE)&gt;=5,"Good","Bad"),VLOOKUP(DATE($K$1,$K$2,MOH$4),Table1[],(MATCH(Calendar!$A18,DB!$1:$1,0)),FALSE)),"")</f>
        <v/>
      </c>
      <c r="MOI18" s="28" t="str">
        <f>IFERROR(IF(MOR3="No",IF(VLOOKUP(DATE($K$1,$K$2,MOI$4),Table1[],(MATCH(Calendar!$A18,DB!$1:$1,0)),FALSE)&gt;=5,"Good","Bad"),VLOOKUP(DATE($K$1,$K$2,MOI$4),Table1[],(MATCH(Calendar!$A18,DB!$1:$1,0)),FALSE)),"")</f>
        <v/>
      </c>
      <c r="MOJ18" s="28" t="str">
        <f>IFERROR(IF(MOS3="No",IF(VLOOKUP(DATE($K$1,$K$2,MOJ$4),Table1[],(MATCH(Calendar!$A18,DB!$1:$1,0)),FALSE)&gt;=5,"Good","Bad"),VLOOKUP(DATE($K$1,$K$2,MOJ$4),Table1[],(MATCH(Calendar!$A18,DB!$1:$1,0)),FALSE)),"")</f>
        <v/>
      </c>
      <c r="MOK18" s="28" t="str">
        <f>IFERROR(IF(MOT3="No",IF(VLOOKUP(DATE($K$1,$K$2,MOK$4),Table1[],(MATCH(Calendar!$A18,DB!$1:$1,0)),FALSE)&gt;=5,"Good","Bad"),VLOOKUP(DATE($K$1,$K$2,MOK$4),Table1[],(MATCH(Calendar!$A18,DB!$1:$1,0)),FALSE)),"")</f>
        <v/>
      </c>
      <c r="MOL18" s="28" t="str">
        <f>IFERROR(IF(MOU3="No",IF(VLOOKUP(DATE($K$1,$K$2,MOL$4),Table1[],(MATCH(Calendar!$A18,DB!$1:$1,0)),FALSE)&gt;=5,"Good","Bad"),VLOOKUP(DATE($K$1,$K$2,MOL$4),Table1[],(MATCH(Calendar!$A18,DB!$1:$1,0)),FALSE)),"")</f>
        <v/>
      </c>
      <c r="MOM18" s="28" t="str">
        <f>IFERROR(IF(MOV3="No",IF(VLOOKUP(DATE($K$1,$K$2,MOM$4),Table1[],(MATCH(Calendar!$A18,DB!$1:$1,0)),FALSE)&gt;=5,"Good","Bad"),VLOOKUP(DATE($K$1,$K$2,MOM$4),Table1[],(MATCH(Calendar!$A18,DB!$1:$1,0)),FALSE)),"")</f>
        <v/>
      </c>
      <c r="MON18" s="28" t="str">
        <f>IFERROR(IF(MOW3="No",IF(VLOOKUP(DATE($K$1,$K$2,MON$4),Table1[],(MATCH(Calendar!$A18,DB!$1:$1,0)),FALSE)&gt;=5,"Good","Bad"),VLOOKUP(DATE($K$1,$K$2,MON$4),Table1[],(MATCH(Calendar!$A18,DB!$1:$1,0)),FALSE)),"")</f>
        <v/>
      </c>
      <c r="MOO18" s="28" t="str">
        <f>IFERROR(IF(MOX3="No",IF(VLOOKUP(DATE($K$1,$K$2,MOO$4),Table1[],(MATCH(Calendar!$A18,DB!$1:$1,0)),FALSE)&gt;=5,"Good","Bad"),VLOOKUP(DATE($K$1,$K$2,MOO$4),Table1[],(MATCH(Calendar!$A18,DB!$1:$1,0)),FALSE)),"")</f>
        <v/>
      </c>
      <c r="MOP18" s="28" t="str">
        <f>IFERROR(IF(MOY3="No",IF(VLOOKUP(DATE($K$1,$K$2,MOP$4),Table1[],(MATCH(Calendar!$A18,DB!$1:$1,0)),FALSE)&gt;=5,"Good","Bad"),VLOOKUP(DATE($K$1,$K$2,MOP$4),Table1[],(MATCH(Calendar!$A18,DB!$1:$1,0)),FALSE)),"")</f>
        <v/>
      </c>
      <c r="MOQ18" s="28" t="str">
        <f>IFERROR(IF(MOZ3="No",IF(VLOOKUP(DATE($K$1,$K$2,MOQ$4),Table1[],(MATCH(Calendar!$A18,DB!$1:$1,0)),FALSE)&gt;=5,"Good","Bad"),VLOOKUP(DATE($K$1,$K$2,MOQ$4),Table1[],(MATCH(Calendar!$A18,DB!$1:$1,0)),FALSE)),"")</f>
        <v/>
      </c>
      <c r="MOR18" s="28" t="str">
        <f>IFERROR(IF(MPA3="No",IF(VLOOKUP(DATE($K$1,$K$2,MOR$4),Table1[],(MATCH(Calendar!$A18,DB!$1:$1,0)),FALSE)&gt;=5,"Good","Bad"),VLOOKUP(DATE($K$1,$K$2,MOR$4),Table1[],(MATCH(Calendar!$A18,DB!$1:$1,0)),FALSE)),"")</f>
        <v/>
      </c>
      <c r="MOS18" s="28" t="str">
        <f>IFERROR(IF(MPB3="No",IF(VLOOKUP(DATE($K$1,$K$2,MOS$4),Table1[],(MATCH(Calendar!$A18,DB!$1:$1,0)),FALSE)&gt;=5,"Good","Bad"),VLOOKUP(DATE($K$1,$K$2,MOS$4),Table1[],(MATCH(Calendar!$A18,DB!$1:$1,0)),FALSE)),"")</f>
        <v/>
      </c>
      <c r="MOT18" s="28" t="str">
        <f>IFERROR(IF(MPC3="No",IF(VLOOKUP(DATE($K$1,$K$2,MOT$4),Table1[],(MATCH(Calendar!$A18,DB!$1:$1,0)),FALSE)&gt;=5,"Good","Bad"),VLOOKUP(DATE($K$1,$K$2,MOT$4),Table1[],(MATCH(Calendar!$A18,DB!$1:$1,0)),FALSE)),"")</f>
        <v/>
      </c>
      <c r="MOU18" s="28" t="str">
        <f>IFERROR(IF(MPD3="No",IF(VLOOKUP(DATE($K$1,$K$2,MOU$4),Table1[],(MATCH(Calendar!$A18,DB!$1:$1,0)),FALSE)&gt;=5,"Good","Bad"),VLOOKUP(DATE($K$1,$K$2,MOU$4),Table1[],(MATCH(Calendar!$A18,DB!$1:$1,0)),FALSE)),"")</f>
        <v/>
      </c>
      <c r="MOV18" s="28" t="str">
        <f>IFERROR(IF(MPE3="No",IF(VLOOKUP(DATE($K$1,$K$2,MOV$4),Table1[],(MATCH(Calendar!$A18,DB!$1:$1,0)),FALSE)&gt;=5,"Good","Bad"),VLOOKUP(DATE($K$1,$K$2,MOV$4),Table1[],(MATCH(Calendar!$A18,DB!$1:$1,0)),FALSE)),"")</f>
        <v/>
      </c>
      <c r="MOW18" s="28" t="str">
        <f>IFERROR(IF(MPF3="No",IF(VLOOKUP(DATE($K$1,$K$2,MOW$4),Table1[],(MATCH(Calendar!$A18,DB!$1:$1,0)),FALSE)&gt;=5,"Good","Bad"),VLOOKUP(DATE($K$1,$K$2,MOW$4),Table1[],(MATCH(Calendar!$A18,DB!$1:$1,0)),FALSE)),"")</f>
        <v/>
      </c>
      <c r="MOX18" s="28" t="str">
        <f>IFERROR(IF(MPG3="No",IF(VLOOKUP(DATE($K$1,$K$2,MOX$4),Table1[],(MATCH(Calendar!$A18,DB!$1:$1,0)),FALSE)&gt;=5,"Good","Bad"),VLOOKUP(DATE($K$1,$K$2,MOX$4),Table1[],(MATCH(Calendar!$A18,DB!$1:$1,0)),FALSE)),"")</f>
        <v/>
      </c>
      <c r="MOY18" s="28" t="str">
        <f>IFERROR(IF(MPH3="No",IF(VLOOKUP(DATE($K$1,$K$2,MOY$4),Table1[],(MATCH(Calendar!$A18,DB!$1:$1,0)),FALSE)&gt;=5,"Good","Bad"),VLOOKUP(DATE($K$1,$K$2,MOY$4),Table1[],(MATCH(Calendar!$A18,DB!$1:$1,0)),FALSE)),"")</f>
        <v/>
      </c>
      <c r="MOZ18" s="28" t="str">
        <f>IFERROR(IF(MPI3="No",IF(VLOOKUP(DATE($K$1,$K$2,MOZ$4),Table1[],(MATCH(Calendar!$A18,DB!$1:$1,0)),FALSE)&gt;=5,"Good","Bad"),VLOOKUP(DATE($K$1,$K$2,MOZ$4),Table1[],(MATCH(Calendar!$A18,DB!$1:$1,0)),FALSE)),"")</f>
        <v/>
      </c>
      <c r="MPA18" s="28" t="str">
        <f>IFERROR(IF(MPJ3="No",IF(VLOOKUP(DATE($K$1,$K$2,MPA$4),Table1[],(MATCH(Calendar!$A18,DB!$1:$1,0)),FALSE)&gt;=5,"Good","Bad"),VLOOKUP(DATE($K$1,$K$2,MPA$4),Table1[],(MATCH(Calendar!$A18,DB!$1:$1,0)),FALSE)),"")</f>
        <v/>
      </c>
      <c r="MPB18" s="28" t="str">
        <f>IFERROR(IF(MPK3="No",IF(VLOOKUP(DATE($K$1,$K$2,MPB$4),Table1[],(MATCH(Calendar!$A18,DB!$1:$1,0)),FALSE)&gt;=5,"Good","Bad"),VLOOKUP(DATE($K$1,$K$2,MPB$4),Table1[],(MATCH(Calendar!$A18,DB!$1:$1,0)),FALSE)),"")</f>
        <v/>
      </c>
      <c r="MPC18" s="28" t="str">
        <f>IFERROR(IF(MPL3="No",IF(VLOOKUP(DATE($K$1,$K$2,MPC$4),Table1[],(MATCH(Calendar!$A18,DB!$1:$1,0)),FALSE)&gt;=5,"Good","Bad"),VLOOKUP(DATE($K$1,$K$2,MPC$4),Table1[],(MATCH(Calendar!$A18,DB!$1:$1,0)),FALSE)),"")</f>
        <v/>
      </c>
      <c r="MPD18" s="28" t="str">
        <f>IFERROR(IF(MPM3="No",IF(VLOOKUP(DATE($K$1,$K$2,MPD$4),Table1[],(MATCH(Calendar!$A18,DB!$1:$1,0)),FALSE)&gt;=5,"Good","Bad"),VLOOKUP(DATE($K$1,$K$2,MPD$4),Table1[],(MATCH(Calendar!$A18,DB!$1:$1,0)),FALSE)),"")</f>
        <v/>
      </c>
      <c r="MPE18" s="28" t="str">
        <f>IFERROR(IF(MPN3="No",IF(VLOOKUP(DATE($K$1,$K$2,MPE$4),Table1[],(MATCH(Calendar!$A18,DB!$1:$1,0)),FALSE)&gt;=5,"Good","Bad"),VLOOKUP(DATE($K$1,$K$2,MPE$4),Table1[],(MATCH(Calendar!$A18,DB!$1:$1,0)),FALSE)),"")</f>
        <v/>
      </c>
      <c r="MPF18" s="28" t="str">
        <f>IFERROR(IF(MPO3="No",IF(VLOOKUP(DATE($K$1,$K$2,MPF$4),Table1[],(MATCH(Calendar!$A18,DB!$1:$1,0)),FALSE)&gt;=5,"Good","Bad"),VLOOKUP(DATE($K$1,$K$2,MPF$4),Table1[],(MATCH(Calendar!$A18,DB!$1:$1,0)),FALSE)),"")</f>
        <v/>
      </c>
      <c r="MPG18" s="28" t="str">
        <f>IFERROR(IF(MPP3="No",IF(VLOOKUP(DATE($K$1,$K$2,MPG$4),Table1[],(MATCH(Calendar!$A18,DB!$1:$1,0)),FALSE)&gt;=5,"Good","Bad"),VLOOKUP(DATE($K$1,$K$2,MPG$4),Table1[],(MATCH(Calendar!$A18,DB!$1:$1,0)),FALSE)),"")</f>
        <v/>
      </c>
      <c r="MPH18" s="28" t="str">
        <f>IFERROR(IF(MPQ3="No",IF(VLOOKUP(DATE($K$1,$K$2,MPH$4),Table1[],(MATCH(Calendar!$A18,DB!$1:$1,0)),FALSE)&gt;=5,"Good","Bad"),VLOOKUP(DATE($K$1,$K$2,MPH$4),Table1[],(MATCH(Calendar!$A18,DB!$1:$1,0)),FALSE)),"")</f>
        <v/>
      </c>
      <c r="MPI18" s="28" t="str">
        <f>IFERROR(IF(MPR3="No",IF(VLOOKUP(DATE($K$1,$K$2,MPI$4),Table1[],(MATCH(Calendar!$A18,DB!$1:$1,0)),FALSE)&gt;=5,"Good","Bad"),VLOOKUP(DATE($K$1,$K$2,MPI$4),Table1[],(MATCH(Calendar!$A18,DB!$1:$1,0)),FALSE)),"")</f>
        <v/>
      </c>
      <c r="MPJ18" s="28" t="str">
        <f>IFERROR(IF(MPS3="No",IF(VLOOKUP(DATE($K$1,$K$2,MPJ$4),Table1[],(MATCH(Calendar!$A18,DB!$1:$1,0)),FALSE)&gt;=5,"Good","Bad"),VLOOKUP(DATE($K$1,$K$2,MPJ$4),Table1[],(MATCH(Calendar!$A18,DB!$1:$1,0)),FALSE)),"")</f>
        <v/>
      </c>
      <c r="MPK18" s="28" t="str">
        <f>IFERROR(IF(MPT3="No",IF(VLOOKUP(DATE($K$1,$K$2,MPK$4),Table1[],(MATCH(Calendar!$A18,DB!$1:$1,0)),FALSE)&gt;=5,"Good","Bad"),VLOOKUP(DATE($K$1,$K$2,MPK$4),Table1[],(MATCH(Calendar!$A18,DB!$1:$1,0)),FALSE)),"")</f>
        <v/>
      </c>
      <c r="MPL18" s="28" t="str">
        <f>IFERROR(IF(MPU3="No",IF(VLOOKUP(DATE($K$1,$K$2,MPL$4),Table1[],(MATCH(Calendar!$A18,DB!$1:$1,0)),FALSE)&gt;=5,"Good","Bad"),VLOOKUP(DATE($K$1,$K$2,MPL$4),Table1[],(MATCH(Calendar!$A18,DB!$1:$1,0)),FALSE)),"")</f>
        <v/>
      </c>
      <c r="MPM18" s="28" t="str">
        <f>IFERROR(IF(MPV3="No",IF(VLOOKUP(DATE($K$1,$K$2,MPM$4),Table1[],(MATCH(Calendar!$A18,DB!$1:$1,0)),FALSE)&gt;=5,"Good","Bad"),VLOOKUP(DATE($K$1,$K$2,MPM$4),Table1[],(MATCH(Calendar!$A18,DB!$1:$1,0)),FALSE)),"")</f>
        <v/>
      </c>
      <c r="MPN18" s="28" t="str">
        <f>IFERROR(IF(MPW3="No",IF(VLOOKUP(DATE($K$1,$K$2,MPN$4),Table1[],(MATCH(Calendar!$A18,DB!$1:$1,0)),FALSE)&gt;=5,"Good","Bad"),VLOOKUP(DATE($K$1,$K$2,MPN$4),Table1[],(MATCH(Calendar!$A18,DB!$1:$1,0)),FALSE)),"")</f>
        <v/>
      </c>
      <c r="MPO18" s="28" t="str">
        <f>IFERROR(IF(MPX3="No",IF(VLOOKUP(DATE($K$1,$K$2,MPO$4),Table1[],(MATCH(Calendar!$A18,DB!$1:$1,0)),FALSE)&gt;=5,"Good","Bad"),VLOOKUP(DATE($K$1,$K$2,MPO$4),Table1[],(MATCH(Calendar!$A18,DB!$1:$1,0)),FALSE)),"")</f>
        <v/>
      </c>
      <c r="MPP18" s="28" t="str">
        <f>IFERROR(IF(MPY3="No",IF(VLOOKUP(DATE($K$1,$K$2,MPP$4),Table1[],(MATCH(Calendar!$A18,DB!$1:$1,0)),FALSE)&gt;=5,"Good","Bad"),VLOOKUP(DATE($K$1,$K$2,MPP$4),Table1[],(MATCH(Calendar!$A18,DB!$1:$1,0)),FALSE)),"")</f>
        <v/>
      </c>
      <c r="MPQ18" s="28" t="str">
        <f>IFERROR(IF(MPZ3="No",IF(VLOOKUP(DATE($K$1,$K$2,MPQ$4),Table1[],(MATCH(Calendar!$A18,DB!$1:$1,0)),FALSE)&gt;=5,"Good","Bad"),VLOOKUP(DATE($K$1,$K$2,MPQ$4),Table1[],(MATCH(Calendar!$A18,DB!$1:$1,0)),FALSE)),"")</f>
        <v/>
      </c>
      <c r="MPR18" s="28" t="str">
        <f>IFERROR(IF(MQA3="No",IF(VLOOKUP(DATE($K$1,$K$2,MPR$4),Table1[],(MATCH(Calendar!$A18,DB!$1:$1,0)),FALSE)&gt;=5,"Good","Bad"),VLOOKUP(DATE($K$1,$K$2,MPR$4),Table1[],(MATCH(Calendar!$A18,DB!$1:$1,0)),FALSE)),"")</f>
        <v/>
      </c>
      <c r="MPS18" s="28" t="str">
        <f>IFERROR(IF(MQB3="No",IF(VLOOKUP(DATE($K$1,$K$2,MPS$4),Table1[],(MATCH(Calendar!$A18,DB!$1:$1,0)),FALSE)&gt;=5,"Good","Bad"),VLOOKUP(DATE($K$1,$K$2,MPS$4),Table1[],(MATCH(Calendar!$A18,DB!$1:$1,0)),FALSE)),"")</f>
        <v/>
      </c>
      <c r="MPT18" s="28" t="str">
        <f>IFERROR(IF(MQC3="No",IF(VLOOKUP(DATE($K$1,$K$2,MPT$4),Table1[],(MATCH(Calendar!$A18,DB!$1:$1,0)),FALSE)&gt;=5,"Good","Bad"),VLOOKUP(DATE($K$1,$K$2,MPT$4),Table1[],(MATCH(Calendar!$A18,DB!$1:$1,0)),FALSE)),"")</f>
        <v/>
      </c>
      <c r="MPU18" s="28" t="str">
        <f>IFERROR(IF(MQD3="No",IF(VLOOKUP(DATE($K$1,$K$2,MPU$4),Table1[],(MATCH(Calendar!$A18,DB!$1:$1,0)),FALSE)&gt;=5,"Good","Bad"),VLOOKUP(DATE($K$1,$K$2,MPU$4),Table1[],(MATCH(Calendar!$A18,DB!$1:$1,0)),FALSE)),"")</f>
        <v/>
      </c>
      <c r="MPV18" s="28" t="str">
        <f>IFERROR(IF(MQE3="No",IF(VLOOKUP(DATE($K$1,$K$2,MPV$4),Table1[],(MATCH(Calendar!$A18,DB!$1:$1,0)),FALSE)&gt;=5,"Good","Bad"),VLOOKUP(DATE($K$1,$K$2,MPV$4),Table1[],(MATCH(Calendar!$A18,DB!$1:$1,0)),FALSE)),"")</f>
        <v/>
      </c>
      <c r="MPW18" s="28" t="str">
        <f>IFERROR(IF(MQF3="No",IF(VLOOKUP(DATE($K$1,$K$2,MPW$4),Table1[],(MATCH(Calendar!$A18,DB!$1:$1,0)),FALSE)&gt;=5,"Good","Bad"),VLOOKUP(DATE($K$1,$K$2,MPW$4),Table1[],(MATCH(Calendar!$A18,DB!$1:$1,0)),FALSE)),"")</f>
        <v/>
      </c>
      <c r="MPX18" s="28" t="str">
        <f>IFERROR(IF(MQG3="No",IF(VLOOKUP(DATE($K$1,$K$2,MPX$4),Table1[],(MATCH(Calendar!$A18,DB!$1:$1,0)),FALSE)&gt;=5,"Good","Bad"),VLOOKUP(DATE($K$1,$K$2,MPX$4),Table1[],(MATCH(Calendar!$A18,DB!$1:$1,0)),FALSE)),"")</f>
        <v/>
      </c>
      <c r="MPY18" s="28" t="str">
        <f>IFERROR(IF(MQH3="No",IF(VLOOKUP(DATE($K$1,$K$2,MPY$4),Table1[],(MATCH(Calendar!$A18,DB!$1:$1,0)),FALSE)&gt;=5,"Good","Bad"),VLOOKUP(DATE($K$1,$K$2,MPY$4),Table1[],(MATCH(Calendar!$A18,DB!$1:$1,0)),FALSE)),"")</f>
        <v/>
      </c>
      <c r="MPZ18" s="28" t="str">
        <f>IFERROR(IF(MQI3="No",IF(VLOOKUP(DATE($K$1,$K$2,MPZ$4),Table1[],(MATCH(Calendar!$A18,DB!$1:$1,0)),FALSE)&gt;=5,"Good","Bad"),VLOOKUP(DATE($K$1,$K$2,MPZ$4),Table1[],(MATCH(Calendar!$A18,DB!$1:$1,0)),FALSE)),"")</f>
        <v/>
      </c>
      <c r="MQA18" s="28" t="str">
        <f>IFERROR(IF(MQJ3="No",IF(VLOOKUP(DATE($K$1,$K$2,MQA$4),Table1[],(MATCH(Calendar!$A18,DB!$1:$1,0)),FALSE)&gt;=5,"Good","Bad"),VLOOKUP(DATE($K$1,$K$2,MQA$4),Table1[],(MATCH(Calendar!$A18,DB!$1:$1,0)),FALSE)),"")</f>
        <v/>
      </c>
      <c r="MQB18" s="28" t="str">
        <f>IFERROR(IF(MQK3="No",IF(VLOOKUP(DATE($K$1,$K$2,MQB$4),Table1[],(MATCH(Calendar!$A18,DB!$1:$1,0)),FALSE)&gt;=5,"Good","Bad"),VLOOKUP(DATE($K$1,$K$2,MQB$4),Table1[],(MATCH(Calendar!$A18,DB!$1:$1,0)),FALSE)),"")</f>
        <v/>
      </c>
      <c r="MQC18" s="28" t="str">
        <f>IFERROR(IF(MQL3="No",IF(VLOOKUP(DATE($K$1,$K$2,MQC$4),Table1[],(MATCH(Calendar!$A18,DB!$1:$1,0)),FALSE)&gt;=5,"Good","Bad"),VLOOKUP(DATE($K$1,$K$2,MQC$4),Table1[],(MATCH(Calendar!$A18,DB!$1:$1,0)),FALSE)),"")</f>
        <v/>
      </c>
      <c r="MQD18" s="28" t="str">
        <f>IFERROR(IF(MQM3="No",IF(VLOOKUP(DATE($K$1,$K$2,MQD$4),Table1[],(MATCH(Calendar!$A18,DB!$1:$1,0)),FALSE)&gt;=5,"Good","Bad"),VLOOKUP(DATE($K$1,$K$2,MQD$4),Table1[],(MATCH(Calendar!$A18,DB!$1:$1,0)),FALSE)),"")</f>
        <v/>
      </c>
      <c r="MQE18" s="28" t="str">
        <f>IFERROR(IF(MQN3="No",IF(VLOOKUP(DATE($K$1,$K$2,MQE$4),Table1[],(MATCH(Calendar!$A18,DB!$1:$1,0)),FALSE)&gt;=5,"Good","Bad"),VLOOKUP(DATE($K$1,$K$2,MQE$4),Table1[],(MATCH(Calendar!$A18,DB!$1:$1,0)),FALSE)),"")</f>
        <v/>
      </c>
      <c r="MQF18" s="28" t="str">
        <f>IFERROR(IF(MQO3="No",IF(VLOOKUP(DATE($K$1,$K$2,MQF$4),Table1[],(MATCH(Calendar!$A18,DB!$1:$1,0)),FALSE)&gt;=5,"Good","Bad"),VLOOKUP(DATE($K$1,$K$2,MQF$4),Table1[],(MATCH(Calendar!$A18,DB!$1:$1,0)),FALSE)),"")</f>
        <v/>
      </c>
      <c r="MQG18" s="28" t="str">
        <f>IFERROR(IF(MQP3="No",IF(VLOOKUP(DATE($K$1,$K$2,MQG$4),Table1[],(MATCH(Calendar!$A18,DB!$1:$1,0)),FALSE)&gt;=5,"Good","Bad"),VLOOKUP(DATE($K$1,$K$2,MQG$4),Table1[],(MATCH(Calendar!$A18,DB!$1:$1,0)),FALSE)),"")</f>
        <v/>
      </c>
      <c r="MQH18" s="28" t="str">
        <f>IFERROR(IF(MQQ3="No",IF(VLOOKUP(DATE($K$1,$K$2,MQH$4),Table1[],(MATCH(Calendar!$A18,DB!$1:$1,0)),FALSE)&gt;=5,"Good","Bad"),VLOOKUP(DATE($K$1,$K$2,MQH$4),Table1[],(MATCH(Calendar!$A18,DB!$1:$1,0)),FALSE)),"")</f>
        <v/>
      </c>
      <c r="MQI18" s="28" t="str">
        <f>IFERROR(IF(MQR3="No",IF(VLOOKUP(DATE($K$1,$K$2,MQI$4),Table1[],(MATCH(Calendar!$A18,DB!$1:$1,0)),FALSE)&gt;=5,"Good","Bad"),VLOOKUP(DATE($K$1,$K$2,MQI$4),Table1[],(MATCH(Calendar!$A18,DB!$1:$1,0)),FALSE)),"")</f>
        <v/>
      </c>
      <c r="MQJ18" s="28" t="str">
        <f>IFERROR(IF(MQS3="No",IF(VLOOKUP(DATE($K$1,$K$2,MQJ$4),Table1[],(MATCH(Calendar!$A18,DB!$1:$1,0)),FALSE)&gt;=5,"Good","Bad"),VLOOKUP(DATE($K$1,$K$2,MQJ$4),Table1[],(MATCH(Calendar!$A18,DB!$1:$1,0)),FALSE)),"")</f>
        <v/>
      </c>
      <c r="MQK18" s="28" t="str">
        <f>IFERROR(IF(MQT3="No",IF(VLOOKUP(DATE($K$1,$K$2,MQK$4),Table1[],(MATCH(Calendar!$A18,DB!$1:$1,0)),FALSE)&gt;=5,"Good","Bad"),VLOOKUP(DATE($K$1,$K$2,MQK$4),Table1[],(MATCH(Calendar!$A18,DB!$1:$1,0)),FALSE)),"")</f>
        <v/>
      </c>
      <c r="MQL18" s="28" t="str">
        <f>IFERROR(IF(MQU3="No",IF(VLOOKUP(DATE($K$1,$K$2,MQL$4),Table1[],(MATCH(Calendar!$A18,DB!$1:$1,0)),FALSE)&gt;=5,"Good","Bad"),VLOOKUP(DATE($K$1,$K$2,MQL$4),Table1[],(MATCH(Calendar!$A18,DB!$1:$1,0)),FALSE)),"")</f>
        <v/>
      </c>
      <c r="MQM18" s="28" t="str">
        <f>IFERROR(IF(MQV3="No",IF(VLOOKUP(DATE($K$1,$K$2,MQM$4),Table1[],(MATCH(Calendar!$A18,DB!$1:$1,0)),FALSE)&gt;=5,"Good","Bad"),VLOOKUP(DATE($K$1,$K$2,MQM$4),Table1[],(MATCH(Calendar!$A18,DB!$1:$1,0)),FALSE)),"")</f>
        <v/>
      </c>
      <c r="MQN18" s="28" t="str">
        <f>IFERROR(IF(MQW3="No",IF(VLOOKUP(DATE($K$1,$K$2,MQN$4),Table1[],(MATCH(Calendar!$A18,DB!$1:$1,0)),FALSE)&gt;=5,"Good","Bad"),VLOOKUP(DATE($K$1,$K$2,MQN$4),Table1[],(MATCH(Calendar!$A18,DB!$1:$1,0)),FALSE)),"")</f>
        <v/>
      </c>
      <c r="MQO18" s="28" t="str">
        <f>IFERROR(IF(MQX3="No",IF(VLOOKUP(DATE($K$1,$K$2,MQO$4),Table1[],(MATCH(Calendar!$A18,DB!$1:$1,0)),FALSE)&gt;=5,"Good","Bad"),VLOOKUP(DATE($K$1,$K$2,MQO$4),Table1[],(MATCH(Calendar!$A18,DB!$1:$1,0)),FALSE)),"")</f>
        <v/>
      </c>
      <c r="MQP18" s="28" t="str">
        <f>IFERROR(IF(MQY3="No",IF(VLOOKUP(DATE($K$1,$K$2,MQP$4),Table1[],(MATCH(Calendar!$A18,DB!$1:$1,0)),FALSE)&gt;=5,"Good","Bad"),VLOOKUP(DATE($K$1,$K$2,MQP$4),Table1[],(MATCH(Calendar!$A18,DB!$1:$1,0)),FALSE)),"")</f>
        <v/>
      </c>
      <c r="MQQ18" s="28" t="str">
        <f>IFERROR(IF(MQZ3="No",IF(VLOOKUP(DATE($K$1,$K$2,MQQ$4),Table1[],(MATCH(Calendar!$A18,DB!$1:$1,0)),FALSE)&gt;=5,"Good","Bad"),VLOOKUP(DATE($K$1,$K$2,MQQ$4),Table1[],(MATCH(Calendar!$A18,DB!$1:$1,0)),FALSE)),"")</f>
        <v/>
      </c>
      <c r="MQR18" s="28" t="str">
        <f>IFERROR(IF(MRA3="No",IF(VLOOKUP(DATE($K$1,$K$2,MQR$4),Table1[],(MATCH(Calendar!$A18,DB!$1:$1,0)),FALSE)&gt;=5,"Good","Bad"),VLOOKUP(DATE($K$1,$K$2,MQR$4),Table1[],(MATCH(Calendar!$A18,DB!$1:$1,0)),FALSE)),"")</f>
        <v/>
      </c>
      <c r="MQS18" s="28" t="str">
        <f>IFERROR(IF(MRB3="No",IF(VLOOKUP(DATE($K$1,$K$2,MQS$4),Table1[],(MATCH(Calendar!$A18,DB!$1:$1,0)),FALSE)&gt;=5,"Good","Bad"),VLOOKUP(DATE($K$1,$K$2,MQS$4),Table1[],(MATCH(Calendar!$A18,DB!$1:$1,0)),FALSE)),"")</f>
        <v/>
      </c>
      <c r="MQT18" s="28" t="str">
        <f>IFERROR(IF(MRC3="No",IF(VLOOKUP(DATE($K$1,$K$2,MQT$4),Table1[],(MATCH(Calendar!$A18,DB!$1:$1,0)),FALSE)&gt;=5,"Good","Bad"),VLOOKUP(DATE($K$1,$K$2,MQT$4),Table1[],(MATCH(Calendar!$A18,DB!$1:$1,0)),FALSE)),"")</f>
        <v/>
      </c>
      <c r="MQU18" s="28" t="str">
        <f>IFERROR(IF(MRD3="No",IF(VLOOKUP(DATE($K$1,$K$2,MQU$4),Table1[],(MATCH(Calendar!$A18,DB!$1:$1,0)),FALSE)&gt;=5,"Good","Bad"),VLOOKUP(DATE($K$1,$K$2,MQU$4),Table1[],(MATCH(Calendar!$A18,DB!$1:$1,0)),FALSE)),"")</f>
        <v/>
      </c>
      <c r="MQV18" s="28" t="str">
        <f>IFERROR(IF(MRE3="No",IF(VLOOKUP(DATE($K$1,$K$2,MQV$4),Table1[],(MATCH(Calendar!$A18,DB!$1:$1,0)),FALSE)&gt;=5,"Good","Bad"),VLOOKUP(DATE($K$1,$K$2,MQV$4),Table1[],(MATCH(Calendar!$A18,DB!$1:$1,0)),FALSE)),"")</f>
        <v/>
      </c>
      <c r="MQW18" s="28" t="str">
        <f>IFERROR(IF(MRF3="No",IF(VLOOKUP(DATE($K$1,$K$2,MQW$4),Table1[],(MATCH(Calendar!$A18,DB!$1:$1,0)),FALSE)&gt;=5,"Good","Bad"),VLOOKUP(DATE($K$1,$K$2,MQW$4),Table1[],(MATCH(Calendar!$A18,DB!$1:$1,0)),FALSE)),"")</f>
        <v/>
      </c>
      <c r="MQX18" s="28" t="str">
        <f>IFERROR(IF(MRG3="No",IF(VLOOKUP(DATE($K$1,$K$2,MQX$4),Table1[],(MATCH(Calendar!$A18,DB!$1:$1,0)),FALSE)&gt;=5,"Good","Bad"),VLOOKUP(DATE($K$1,$K$2,MQX$4),Table1[],(MATCH(Calendar!$A18,DB!$1:$1,0)),FALSE)),"")</f>
        <v/>
      </c>
      <c r="MQY18" s="28" t="str">
        <f>IFERROR(IF(MRH3="No",IF(VLOOKUP(DATE($K$1,$K$2,MQY$4),Table1[],(MATCH(Calendar!$A18,DB!$1:$1,0)),FALSE)&gt;=5,"Good","Bad"),VLOOKUP(DATE($K$1,$K$2,MQY$4),Table1[],(MATCH(Calendar!$A18,DB!$1:$1,0)),FALSE)),"")</f>
        <v/>
      </c>
      <c r="MQZ18" s="28" t="str">
        <f>IFERROR(IF(MRI3="No",IF(VLOOKUP(DATE($K$1,$K$2,MQZ$4),Table1[],(MATCH(Calendar!$A18,DB!$1:$1,0)),FALSE)&gt;=5,"Good","Bad"),VLOOKUP(DATE($K$1,$K$2,MQZ$4),Table1[],(MATCH(Calendar!$A18,DB!$1:$1,0)),FALSE)),"")</f>
        <v/>
      </c>
      <c r="MRA18" s="28" t="str">
        <f>IFERROR(IF(MRJ3="No",IF(VLOOKUP(DATE($K$1,$K$2,MRA$4),Table1[],(MATCH(Calendar!$A18,DB!$1:$1,0)),FALSE)&gt;=5,"Good","Bad"),VLOOKUP(DATE($K$1,$K$2,MRA$4),Table1[],(MATCH(Calendar!$A18,DB!$1:$1,0)),FALSE)),"")</f>
        <v/>
      </c>
      <c r="MRB18" s="28" t="str">
        <f>IFERROR(IF(MRK3="No",IF(VLOOKUP(DATE($K$1,$K$2,MRB$4),Table1[],(MATCH(Calendar!$A18,DB!$1:$1,0)),FALSE)&gt;=5,"Good","Bad"),VLOOKUP(DATE($K$1,$K$2,MRB$4),Table1[],(MATCH(Calendar!$A18,DB!$1:$1,0)),FALSE)),"")</f>
        <v/>
      </c>
      <c r="MRC18" s="28" t="str">
        <f>IFERROR(IF(MRL3="No",IF(VLOOKUP(DATE($K$1,$K$2,MRC$4),Table1[],(MATCH(Calendar!$A18,DB!$1:$1,0)),FALSE)&gt;=5,"Good","Bad"),VLOOKUP(DATE($K$1,$K$2,MRC$4),Table1[],(MATCH(Calendar!$A18,DB!$1:$1,0)),FALSE)),"")</f>
        <v/>
      </c>
      <c r="MRD18" s="28" t="str">
        <f>IFERROR(IF(MRM3="No",IF(VLOOKUP(DATE($K$1,$K$2,MRD$4),Table1[],(MATCH(Calendar!$A18,DB!$1:$1,0)),FALSE)&gt;=5,"Good","Bad"),VLOOKUP(DATE($K$1,$K$2,MRD$4),Table1[],(MATCH(Calendar!$A18,DB!$1:$1,0)),FALSE)),"")</f>
        <v/>
      </c>
      <c r="MRE18" s="28" t="str">
        <f>IFERROR(IF(MRN3="No",IF(VLOOKUP(DATE($K$1,$K$2,MRE$4),Table1[],(MATCH(Calendar!$A18,DB!$1:$1,0)),FALSE)&gt;=5,"Good","Bad"),VLOOKUP(DATE($K$1,$K$2,MRE$4),Table1[],(MATCH(Calendar!$A18,DB!$1:$1,0)),FALSE)),"")</f>
        <v/>
      </c>
      <c r="MRF18" s="28" t="str">
        <f>IFERROR(IF(MRO3="No",IF(VLOOKUP(DATE($K$1,$K$2,MRF$4),Table1[],(MATCH(Calendar!$A18,DB!$1:$1,0)),FALSE)&gt;=5,"Good","Bad"),VLOOKUP(DATE($K$1,$K$2,MRF$4),Table1[],(MATCH(Calendar!$A18,DB!$1:$1,0)),FALSE)),"")</f>
        <v/>
      </c>
      <c r="MRG18" s="28" t="str">
        <f>IFERROR(IF(MRP3="No",IF(VLOOKUP(DATE($K$1,$K$2,MRG$4),Table1[],(MATCH(Calendar!$A18,DB!$1:$1,0)),FALSE)&gt;=5,"Good","Bad"),VLOOKUP(DATE($K$1,$K$2,MRG$4),Table1[],(MATCH(Calendar!$A18,DB!$1:$1,0)),FALSE)),"")</f>
        <v/>
      </c>
      <c r="MRH18" s="28" t="str">
        <f>IFERROR(IF(MRQ3="No",IF(VLOOKUP(DATE($K$1,$K$2,MRH$4),Table1[],(MATCH(Calendar!$A18,DB!$1:$1,0)),FALSE)&gt;=5,"Good","Bad"),VLOOKUP(DATE($K$1,$K$2,MRH$4),Table1[],(MATCH(Calendar!$A18,DB!$1:$1,0)),FALSE)),"")</f>
        <v/>
      </c>
      <c r="MRI18" s="28" t="str">
        <f>IFERROR(IF(MRR3="No",IF(VLOOKUP(DATE($K$1,$K$2,MRI$4),Table1[],(MATCH(Calendar!$A18,DB!$1:$1,0)),FALSE)&gt;=5,"Good","Bad"),VLOOKUP(DATE($K$1,$K$2,MRI$4),Table1[],(MATCH(Calendar!$A18,DB!$1:$1,0)),FALSE)),"")</f>
        <v/>
      </c>
      <c r="MRJ18" s="28" t="str">
        <f>IFERROR(IF(MRS3="No",IF(VLOOKUP(DATE($K$1,$K$2,MRJ$4),Table1[],(MATCH(Calendar!$A18,DB!$1:$1,0)),FALSE)&gt;=5,"Good","Bad"),VLOOKUP(DATE($K$1,$K$2,MRJ$4),Table1[],(MATCH(Calendar!$A18,DB!$1:$1,0)),FALSE)),"")</f>
        <v/>
      </c>
      <c r="MRK18" s="28" t="str">
        <f>IFERROR(IF(MRT3="No",IF(VLOOKUP(DATE($K$1,$K$2,MRK$4),Table1[],(MATCH(Calendar!$A18,DB!$1:$1,0)),FALSE)&gt;=5,"Good","Bad"),VLOOKUP(DATE($K$1,$K$2,MRK$4),Table1[],(MATCH(Calendar!$A18,DB!$1:$1,0)),FALSE)),"")</f>
        <v/>
      </c>
      <c r="MRL18" s="28" t="str">
        <f>IFERROR(IF(MRU3="No",IF(VLOOKUP(DATE($K$1,$K$2,MRL$4),Table1[],(MATCH(Calendar!$A18,DB!$1:$1,0)),FALSE)&gt;=5,"Good","Bad"),VLOOKUP(DATE($K$1,$K$2,MRL$4),Table1[],(MATCH(Calendar!$A18,DB!$1:$1,0)),FALSE)),"")</f>
        <v/>
      </c>
      <c r="MRM18" s="28" t="str">
        <f>IFERROR(IF(MRV3="No",IF(VLOOKUP(DATE($K$1,$K$2,MRM$4),Table1[],(MATCH(Calendar!$A18,DB!$1:$1,0)),FALSE)&gt;=5,"Good","Bad"),VLOOKUP(DATE($K$1,$K$2,MRM$4),Table1[],(MATCH(Calendar!$A18,DB!$1:$1,0)),FALSE)),"")</f>
        <v/>
      </c>
      <c r="MRN18" s="28" t="str">
        <f>IFERROR(IF(MRW3="No",IF(VLOOKUP(DATE($K$1,$K$2,MRN$4),Table1[],(MATCH(Calendar!$A18,DB!$1:$1,0)),FALSE)&gt;=5,"Good","Bad"),VLOOKUP(DATE($K$1,$K$2,MRN$4),Table1[],(MATCH(Calendar!$A18,DB!$1:$1,0)),FALSE)),"")</f>
        <v/>
      </c>
      <c r="MRO18" s="28" t="str">
        <f>IFERROR(IF(MRX3="No",IF(VLOOKUP(DATE($K$1,$K$2,MRO$4),Table1[],(MATCH(Calendar!$A18,DB!$1:$1,0)),FALSE)&gt;=5,"Good","Bad"),VLOOKUP(DATE($K$1,$K$2,MRO$4),Table1[],(MATCH(Calendar!$A18,DB!$1:$1,0)),FALSE)),"")</f>
        <v/>
      </c>
      <c r="MRP18" s="28" t="str">
        <f>IFERROR(IF(MRY3="No",IF(VLOOKUP(DATE($K$1,$K$2,MRP$4),Table1[],(MATCH(Calendar!$A18,DB!$1:$1,0)),FALSE)&gt;=5,"Good","Bad"),VLOOKUP(DATE($K$1,$K$2,MRP$4),Table1[],(MATCH(Calendar!$A18,DB!$1:$1,0)),FALSE)),"")</f>
        <v/>
      </c>
      <c r="MRQ18" s="28" t="str">
        <f>IFERROR(IF(MRZ3="No",IF(VLOOKUP(DATE($K$1,$K$2,MRQ$4),Table1[],(MATCH(Calendar!$A18,DB!$1:$1,0)),FALSE)&gt;=5,"Good","Bad"),VLOOKUP(DATE($K$1,$K$2,MRQ$4),Table1[],(MATCH(Calendar!$A18,DB!$1:$1,0)),FALSE)),"")</f>
        <v/>
      </c>
      <c r="MRR18" s="28" t="str">
        <f>IFERROR(IF(MSA3="No",IF(VLOOKUP(DATE($K$1,$K$2,MRR$4),Table1[],(MATCH(Calendar!$A18,DB!$1:$1,0)),FALSE)&gt;=5,"Good","Bad"),VLOOKUP(DATE($K$1,$K$2,MRR$4),Table1[],(MATCH(Calendar!$A18,DB!$1:$1,0)),FALSE)),"")</f>
        <v/>
      </c>
      <c r="MRS18" s="28" t="str">
        <f>IFERROR(IF(MSB3="No",IF(VLOOKUP(DATE($K$1,$K$2,MRS$4),Table1[],(MATCH(Calendar!$A18,DB!$1:$1,0)),FALSE)&gt;=5,"Good","Bad"),VLOOKUP(DATE($K$1,$K$2,MRS$4),Table1[],(MATCH(Calendar!$A18,DB!$1:$1,0)),FALSE)),"")</f>
        <v/>
      </c>
      <c r="MRT18" s="28" t="str">
        <f>IFERROR(IF(MSC3="No",IF(VLOOKUP(DATE($K$1,$K$2,MRT$4),Table1[],(MATCH(Calendar!$A18,DB!$1:$1,0)),FALSE)&gt;=5,"Good","Bad"),VLOOKUP(DATE($K$1,$K$2,MRT$4),Table1[],(MATCH(Calendar!$A18,DB!$1:$1,0)),FALSE)),"")</f>
        <v/>
      </c>
      <c r="MRU18" s="28" t="str">
        <f>IFERROR(IF(MSD3="No",IF(VLOOKUP(DATE($K$1,$K$2,MRU$4),Table1[],(MATCH(Calendar!$A18,DB!$1:$1,0)),FALSE)&gt;=5,"Good","Bad"),VLOOKUP(DATE($K$1,$K$2,MRU$4),Table1[],(MATCH(Calendar!$A18,DB!$1:$1,0)),FALSE)),"")</f>
        <v/>
      </c>
      <c r="MRV18" s="28" t="str">
        <f>IFERROR(IF(MSE3="No",IF(VLOOKUP(DATE($K$1,$K$2,MRV$4),Table1[],(MATCH(Calendar!$A18,DB!$1:$1,0)),FALSE)&gt;=5,"Good","Bad"),VLOOKUP(DATE($K$1,$K$2,MRV$4),Table1[],(MATCH(Calendar!$A18,DB!$1:$1,0)),FALSE)),"")</f>
        <v/>
      </c>
      <c r="MRW18" s="28" t="str">
        <f>IFERROR(IF(MSF3="No",IF(VLOOKUP(DATE($K$1,$K$2,MRW$4),Table1[],(MATCH(Calendar!$A18,DB!$1:$1,0)),FALSE)&gt;=5,"Good","Bad"),VLOOKUP(DATE($K$1,$K$2,MRW$4),Table1[],(MATCH(Calendar!$A18,DB!$1:$1,0)),FALSE)),"")</f>
        <v/>
      </c>
      <c r="MRX18" s="28" t="str">
        <f>IFERROR(IF(MSG3="No",IF(VLOOKUP(DATE($K$1,$K$2,MRX$4),Table1[],(MATCH(Calendar!$A18,DB!$1:$1,0)),FALSE)&gt;=5,"Good","Bad"),VLOOKUP(DATE($K$1,$K$2,MRX$4),Table1[],(MATCH(Calendar!$A18,DB!$1:$1,0)),FALSE)),"")</f>
        <v/>
      </c>
      <c r="MRY18" s="28" t="str">
        <f>IFERROR(IF(MSH3="No",IF(VLOOKUP(DATE($K$1,$K$2,MRY$4),Table1[],(MATCH(Calendar!$A18,DB!$1:$1,0)),FALSE)&gt;=5,"Good","Bad"),VLOOKUP(DATE($K$1,$K$2,MRY$4),Table1[],(MATCH(Calendar!$A18,DB!$1:$1,0)),FALSE)),"")</f>
        <v/>
      </c>
      <c r="MRZ18" s="28" t="str">
        <f>IFERROR(IF(MSI3="No",IF(VLOOKUP(DATE($K$1,$K$2,MRZ$4),Table1[],(MATCH(Calendar!$A18,DB!$1:$1,0)),FALSE)&gt;=5,"Good","Bad"),VLOOKUP(DATE($K$1,$K$2,MRZ$4),Table1[],(MATCH(Calendar!$A18,DB!$1:$1,0)),FALSE)),"")</f>
        <v/>
      </c>
      <c r="MSA18" s="28" t="str">
        <f>IFERROR(IF(MSJ3="No",IF(VLOOKUP(DATE($K$1,$K$2,MSA$4),Table1[],(MATCH(Calendar!$A18,DB!$1:$1,0)),FALSE)&gt;=5,"Good","Bad"),VLOOKUP(DATE($K$1,$K$2,MSA$4),Table1[],(MATCH(Calendar!$A18,DB!$1:$1,0)),FALSE)),"")</f>
        <v/>
      </c>
      <c r="MSB18" s="28" t="str">
        <f>IFERROR(IF(MSK3="No",IF(VLOOKUP(DATE($K$1,$K$2,MSB$4),Table1[],(MATCH(Calendar!$A18,DB!$1:$1,0)),FALSE)&gt;=5,"Good","Bad"),VLOOKUP(DATE($K$1,$K$2,MSB$4),Table1[],(MATCH(Calendar!$A18,DB!$1:$1,0)),FALSE)),"")</f>
        <v/>
      </c>
      <c r="MSC18" s="28" t="str">
        <f>IFERROR(IF(MSL3="No",IF(VLOOKUP(DATE($K$1,$K$2,MSC$4),Table1[],(MATCH(Calendar!$A18,DB!$1:$1,0)),FALSE)&gt;=5,"Good","Bad"),VLOOKUP(DATE($K$1,$K$2,MSC$4),Table1[],(MATCH(Calendar!$A18,DB!$1:$1,0)),FALSE)),"")</f>
        <v/>
      </c>
      <c r="MSD18" s="28" t="str">
        <f>IFERROR(IF(MSM3="No",IF(VLOOKUP(DATE($K$1,$K$2,MSD$4),Table1[],(MATCH(Calendar!$A18,DB!$1:$1,0)),FALSE)&gt;=5,"Good","Bad"),VLOOKUP(DATE($K$1,$K$2,MSD$4),Table1[],(MATCH(Calendar!$A18,DB!$1:$1,0)),FALSE)),"")</f>
        <v/>
      </c>
      <c r="MSE18" s="28" t="str">
        <f>IFERROR(IF(MSN3="No",IF(VLOOKUP(DATE($K$1,$K$2,MSE$4),Table1[],(MATCH(Calendar!$A18,DB!$1:$1,0)),FALSE)&gt;=5,"Good","Bad"),VLOOKUP(DATE($K$1,$K$2,MSE$4),Table1[],(MATCH(Calendar!$A18,DB!$1:$1,0)),FALSE)),"")</f>
        <v/>
      </c>
      <c r="MSF18" s="28" t="str">
        <f>IFERROR(IF(MSO3="No",IF(VLOOKUP(DATE($K$1,$K$2,MSF$4),Table1[],(MATCH(Calendar!$A18,DB!$1:$1,0)),FALSE)&gt;=5,"Good","Bad"),VLOOKUP(DATE($K$1,$K$2,MSF$4),Table1[],(MATCH(Calendar!$A18,DB!$1:$1,0)),FALSE)),"")</f>
        <v/>
      </c>
      <c r="MSG18" s="28" t="str">
        <f>IFERROR(IF(MSP3="No",IF(VLOOKUP(DATE($K$1,$K$2,MSG$4),Table1[],(MATCH(Calendar!$A18,DB!$1:$1,0)),FALSE)&gt;=5,"Good","Bad"),VLOOKUP(DATE($K$1,$K$2,MSG$4),Table1[],(MATCH(Calendar!$A18,DB!$1:$1,0)),FALSE)),"")</f>
        <v/>
      </c>
      <c r="MSH18" s="28" t="str">
        <f>IFERROR(IF(MSQ3="No",IF(VLOOKUP(DATE($K$1,$K$2,MSH$4),Table1[],(MATCH(Calendar!$A18,DB!$1:$1,0)),FALSE)&gt;=5,"Good","Bad"),VLOOKUP(DATE($K$1,$K$2,MSH$4),Table1[],(MATCH(Calendar!$A18,DB!$1:$1,0)),FALSE)),"")</f>
        <v/>
      </c>
      <c r="MSI18" s="28" t="str">
        <f>IFERROR(IF(MSR3="No",IF(VLOOKUP(DATE($K$1,$K$2,MSI$4),Table1[],(MATCH(Calendar!$A18,DB!$1:$1,0)),FALSE)&gt;=5,"Good","Bad"),VLOOKUP(DATE($K$1,$K$2,MSI$4),Table1[],(MATCH(Calendar!$A18,DB!$1:$1,0)),FALSE)),"")</f>
        <v/>
      </c>
      <c r="MSJ18" s="28" t="str">
        <f>IFERROR(IF(MSS3="No",IF(VLOOKUP(DATE($K$1,$K$2,MSJ$4),Table1[],(MATCH(Calendar!$A18,DB!$1:$1,0)),FALSE)&gt;=5,"Good","Bad"),VLOOKUP(DATE($K$1,$K$2,MSJ$4),Table1[],(MATCH(Calendar!$A18,DB!$1:$1,0)),FALSE)),"")</f>
        <v/>
      </c>
      <c r="MSK18" s="28" t="str">
        <f>IFERROR(IF(MST3="No",IF(VLOOKUP(DATE($K$1,$K$2,MSK$4),Table1[],(MATCH(Calendar!$A18,DB!$1:$1,0)),FALSE)&gt;=5,"Good","Bad"),VLOOKUP(DATE($K$1,$K$2,MSK$4),Table1[],(MATCH(Calendar!$A18,DB!$1:$1,0)),FALSE)),"")</f>
        <v/>
      </c>
      <c r="MSL18" s="28" t="str">
        <f>IFERROR(IF(MSU3="No",IF(VLOOKUP(DATE($K$1,$K$2,MSL$4),Table1[],(MATCH(Calendar!$A18,DB!$1:$1,0)),FALSE)&gt;=5,"Good","Bad"),VLOOKUP(DATE($K$1,$K$2,MSL$4),Table1[],(MATCH(Calendar!$A18,DB!$1:$1,0)),FALSE)),"")</f>
        <v/>
      </c>
      <c r="MSM18" s="28" t="str">
        <f>IFERROR(IF(MSV3="No",IF(VLOOKUP(DATE($K$1,$K$2,MSM$4),Table1[],(MATCH(Calendar!$A18,DB!$1:$1,0)),FALSE)&gt;=5,"Good","Bad"),VLOOKUP(DATE($K$1,$K$2,MSM$4),Table1[],(MATCH(Calendar!$A18,DB!$1:$1,0)),FALSE)),"")</f>
        <v/>
      </c>
      <c r="MSN18" s="28" t="str">
        <f>IFERROR(IF(MSW3="No",IF(VLOOKUP(DATE($K$1,$K$2,MSN$4),Table1[],(MATCH(Calendar!$A18,DB!$1:$1,0)),FALSE)&gt;=5,"Good","Bad"),VLOOKUP(DATE($K$1,$K$2,MSN$4),Table1[],(MATCH(Calendar!$A18,DB!$1:$1,0)),FALSE)),"")</f>
        <v/>
      </c>
      <c r="MSO18" s="28" t="str">
        <f>IFERROR(IF(MSX3="No",IF(VLOOKUP(DATE($K$1,$K$2,MSO$4),Table1[],(MATCH(Calendar!$A18,DB!$1:$1,0)),FALSE)&gt;=5,"Good","Bad"),VLOOKUP(DATE($K$1,$K$2,MSO$4),Table1[],(MATCH(Calendar!$A18,DB!$1:$1,0)),FALSE)),"")</f>
        <v/>
      </c>
      <c r="MSP18" s="28" t="str">
        <f>IFERROR(IF(MSY3="No",IF(VLOOKUP(DATE($K$1,$K$2,MSP$4),Table1[],(MATCH(Calendar!$A18,DB!$1:$1,0)),FALSE)&gt;=5,"Good","Bad"),VLOOKUP(DATE($K$1,$K$2,MSP$4),Table1[],(MATCH(Calendar!$A18,DB!$1:$1,0)),FALSE)),"")</f>
        <v/>
      </c>
      <c r="MSQ18" s="28" t="str">
        <f>IFERROR(IF(MSZ3="No",IF(VLOOKUP(DATE($K$1,$K$2,MSQ$4),Table1[],(MATCH(Calendar!$A18,DB!$1:$1,0)),FALSE)&gt;=5,"Good","Bad"),VLOOKUP(DATE($K$1,$K$2,MSQ$4),Table1[],(MATCH(Calendar!$A18,DB!$1:$1,0)),FALSE)),"")</f>
        <v/>
      </c>
      <c r="MSR18" s="28" t="str">
        <f>IFERROR(IF(MTA3="No",IF(VLOOKUP(DATE($K$1,$K$2,MSR$4),Table1[],(MATCH(Calendar!$A18,DB!$1:$1,0)),FALSE)&gt;=5,"Good","Bad"),VLOOKUP(DATE($K$1,$K$2,MSR$4),Table1[],(MATCH(Calendar!$A18,DB!$1:$1,0)),FALSE)),"")</f>
        <v/>
      </c>
      <c r="MSS18" s="28" t="str">
        <f>IFERROR(IF(MTB3="No",IF(VLOOKUP(DATE($K$1,$K$2,MSS$4),Table1[],(MATCH(Calendar!$A18,DB!$1:$1,0)),FALSE)&gt;=5,"Good","Bad"),VLOOKUP(DATE($K$1,$K$2,MSS$4),Table1[],(MATCH(Calendar!$A18,DB!$1:$1,0)),FALSE)),"")</f>
        <v/>
      </c>
      <c r="MST18" s="28" t="str">
        <f>IFERROR(IF(MTC3="No",IF(VLOOKUP(DATE($K$1,$K$2,MST$4),Table1[],(MATCH(Calendar!$A18,DB!$1:$1,0)),FALSE)&gt;=5,"Good","Bad"),VLOOKUP(DATE($K$1,$K$2,MST$4),Table1[],(MATCH(Calendar!$A18,DB!$1:$1,0)),FALSE)),"")</f>
        <v/>
      </c>
      <c r="MSU18" s="28" t="str">
        <f>IFERROR(IF(MTD3="No",IF(VLOOKUP(DATE($K$1,$K$2,MSU$4),Table1[],(MATCH(Calendar!$A18,DB!$1:$1,0)),FALSE)&gt;=5,"Good","Bad"),VLOOKUP(DATE($K$1,$K$2,MSU$4),Table1[],(MATCH(Calendar!$A18,DB!$1:$1,0)),FALSE)),"")</f>
        <v/>
      </c>
      <c r="MSV18" s="28" t="str">
        <f>IFERROR(IF(MTE3="No",IF(VLOOKUP(DATE($K$1,$K$2,MSV$4),Table1[],(MATCH(Calendar!$A18,DB!$1:$1,0)),FALSE)&gt;=5,"Good","Bad"),VLOOKUP(DATE($K$1,$K$2,MSV$4),Table1[],(MATCH(Calendar!$A18,DB!$1:$1,0)),FALSE)),"")</f>
        <v/>
      </c>
      <c r="MSW18" s="28" t="str">
        <f>IFERROR(IF(MTF3="No",IF(VLOOKUP(DATE($K$1,$K$2,MSW$4),Table1[],(MATCH(Calendar!$A18,DB!$1:$1,0)),FALSE)&gt;=5,"Good","Bad"),VLOOKUP(DATE($K$1,$K$2,MSW$4),Table1[],(MATCH(Calendar!$A18,DB!$1:$1,0)),FALSE)),"")</f>
        <v/>
      </c>
      <c r="MSX18" s="28" t="str">
        <f>IFERROR(IF(MTG3="No",IF(VLOOKUP(DATE($K$1,$K$2,MSX$4),Table1[],(MATCH(Calendar!$A18,DB!$1:$1,0)),FALSE)&gt;=5,"Good","Bad"),VLOOKUP(DATE($K$1,$K$2,MSX$4),Table1[],(MATCH(Calendar!$A18,DB!$1:$1,0)),FALSE)),"")</f>
        <v/>
      </c>
      <c r="MSY18" s="28" t="str">
        <f>IFERROR(IF(MTH3="No",IF(VLOOKUP(DATE($K$1,$K$2,MSY$4),Table1[],(MATCH(Calendar!$A18,DB!$1:$1,0)),FALSE)&gt;=5,"Good","Bad"),VLOOKUP(DATE($K$1,$K$2,MSY$4),Table1[],(MATCH(Calendar!$A18,DB!$1:$1,0)),FALSE)),"")</f>
        <v/>
      </c>
      <c r="MSZ18" s="28" t="str">
        <f>IFERROR(IF(MTI3="No",IF(VLOOKUP(DATE($K$1,$K$2,MSZ$4),Table1[],(MATCH(Calendar!$A18,DB!$1:$1,0)),FALSE)&gt;=5,"Good","Bad"),VLOOKUP(DATE($K$1,$K$2,MSZ$4),Table1[],(MATCH(Calendar!$A18,DB!$1:$1,0)),FALSE)),"")</f>
        <v/>
      </c>
      <c r="MTA18" s="28" t="str">
        <f>IFERROR(IF(MTJ3="No",IF(VLOOKUP(DATE($K$1,$K$2,MTA$4),Table1[],(MATCH(Calendar!$A18,DB!$1:$1,0)),FALSE)&gt;=5,"Good","Bad"),VLOOKUP(DATE($K$1,$K$2,MTA$4),Table1[],(MATCH(Calendar!$A18,DB!$1:$1,0)),FALSE)),"")</f>
        <v/>
      </c>
      <c r="MTB18" s="28" t="str">
        <f>IFERROR(IF(MTK3="No",IF(VLOOKUP(DATE($K$1,$K$2,MTB$4),Table1[],(MATCH(Calendar!$A18,DB!$1:$1,0)),FALSE)&gt;=5,"Good","Bad"),VLOOKUP(DATE($K$1,$K$2,MTB$4),Table1[],(MATCH(Calendar!$A18,DB!$1:$1,0)),FALSE)),"")</f>
        <v/>
      </c>
      <c r="MTC18" s="28" t="str">
        <f>IFERROR(IF(MTL3="No",IF(VLOOKUP(DATE($K$1,$K$2,MTC$4),Table1[],(MATCH(Calendar!$A18,DB!$1:$1,0)),FALSE)&gt;=5,"Good","Bad"),VLOOKUP(DATE($K$1,$K$2,MTC$4),Table1[],(MATCH(Calendar!$A18,DB!$1:$1,0)),FALSE)),"")</f>
        <v/>
      </c>
      <c r="MTD18" s="28" t="str">
        <f>IFERROR(IF(MTM3="No",IF(VLOOKUP(DATE($K$1,$K$2,MTD$4),Table1[],(MATCH(Calendar!$A18,DB!$1:$1,0)),FALSE)&gt;=5,"Good","Bad"),VLOOKUP(DATE($K$1,$K$2,MTD$4),Table1[],(MATCH(Calendar!$A18,DB!$1:$1,0)),FALSE)),"")</f>
        <v/>
      </c>
      <c r="MTE18" s="28" t="str">
        <f>IFERROR(IF(MTN3="No",IF(VLOOKUP(DATE($K$1,$K$2,MTE$4),Table1[],(MATCH(Calendar!$A18,DB!$1:$1,0)),FALSE)&gt;=5,"Good","Bad"),VLOOKUP(DATE($K$1,$K$2,MTE$4),Table1[],(MATCH(Calendar!$A18,DB!$1:$1,0)),FALSE)),"")</f>
        <v/>
      </c>
      <c r="MTF18" s="28" t="str">
        <f>IFERROR(IF(MTO3="No",IF(VLOOKUP(DATE($K$1,$K$2,MTF$4),Table1[],(MATCH(Calendar!$A18,DB!$1:$1,0)),FALSE)&gt;=5,"Good","Bad"),VLOOKUP(DATE($K$1,$K$2,MTF$4),Table1[],(MATCH(Calendar!$A18,DB!$1:$1,0)),FALSE)),"")</f>
        <v/>
      </c>
      <c r="MTG18" s="28" t="str">
        <f>IFERROR(IF(MTP3="No",IF(VLOOKUP(DATE($K$1,$K$2,MTG$4),Table1[],(MATCH(Calendar!$A18,DB!$1:$1,0)),FALSE)&gt;=5,"Good","Bad"),VLOOKUP(DATE($K$1,$K$2,MTG$4),Table1[],(MATCH(Calendar!$A18,DB!$1:$1,0)),FALSE)),"")</f>
        <v/>
      </c>
      <c r="MTH18" s="28" t="str">
        <f>IFERROR(IF(MTQ3="No",IF(VLOOKUP(DATE($K$1,$K$2,MTH$4),Table1[],(MATCH(Calendar!$A18,DB!$1:$1,0)),FALSE)&gt;=5,"Good","Bad"),VLOOKUP(DATE($K$1,$K$2,MTH$4),Table1[],(MATCH(Calendar!$A18,DB!$1:$1,0)),FALSE)),"")</f>
        <v/>
      </c>
      <c r="MTI18" s="28" t="str">
        <f>IFERROR(IF(MTR3="No",IF(VLOOKUP(DATE($K$1,$K$2,MTI$4),Table1[],(MATCH(Calendar!$A18,DB!$1:$1,0)),FALSE)&gt;=5,"Good","Bad"),VLOOKUP(DATE($K$1,$K$2,MTI$4),Table1[],(MATCH(Calendar!$A18,DB!$1:$1,0)),FALSE)),"")</f>
        <v/>
      </c>
      <c r="MTJ18" s="28" t="str">
        <f>IFERROR(IF(MTS3="No",IF(VLOOKUP(DATE($K$1,$K$2,MTJ$4),Table1[],(MATCH(Calendar!$A18,DB!$1:$1,0)),FALSE)&gt;=5,"Good","Bad"),VLOOKUP(DATE($K$1,$K$2,MTJ$4),Table1[],(MATCH(Calendar!$A18,DB!$1:$1,0)),FALSE)),"")</f>
        <v/>
      </c>
      <c r="MTK18" s="28" t="str">
        <f>IFERROR(IF(MTT3="No",IF(VLOOKUP(DATE($K$1,$K$2,MTK$4),Table1[],(MATCH(Calendar!$A18,DB!$1:$1,0)),FALSE)&gt;=5,"Good","Bad"),VLOOKUP(DATE($K$1,$K$2,MTK$4),Table1[],(MATCH(Calendar!$A18,DB!$1:$1,0)),FALSE)),"")</f>
        <v/>
      </c>
      <c r="MTL18" s="28" t="str">
        <f>IFERROR(IF(MTU3="No",IF(VLOOKUP(DATE($K$1,$K$2,MTL$4),Table1[],(MATCH(Calendar!$A18,DB!$1:$1,0)),FALSE)&gt;=5,"Good","Bad"),VLOOKUP(DATE($K$1,$K$2,MTL$4),Table1[],(MATCH(Calendar!$A18,DB!$1:$1,0)),FALSE)),"")</f>
        <v/>
      </c>
      <c r="MTM18" s="28" t="str">
        <f>IFERROR(IF(MTV3="No",IF(VLOOKUP(DATE($K$1,$K$2,MTM$4),Table1[],(MATCH(Calendar!$A18,DB!$1:$1,0)),FALSE)&gt;=5,"Good","Bad"),VLOOKUP(DATE($K$1,$K$2,MTM$4),Table1[],(MATCH(Calendar!$A18,DB!$1:$1,0)),FALSE)),"")</f>
        <v/>
      </c>
      <c r="MTN18" s="28" t="str">
        <f>IFERROR(IF(MTW3="No",IF(VLOOKUP(DATE($K$1,$K$2,MTN$4),Table1[],(MATCH(Calendar!$A18,DB!$1:$1,0)),FALSE)&gt;=5,"Good","Bad"),VLOOKUP(DATE($K$1,$K$2,MTN$4),Table1[],(MATCH(Calendar!$A18,DB!$1:$1,0)),FALSE)),"")</f>
        <v/>
      </c>
      <c r="MTO18" s="28" t="str">
        <f>IFERROR(IF(MTX3="No",IF(VLOOKUP(DATE($K$1,$K$2,MTO$4),Table1[],(MATCH(Calendar!$A18,DB!$1:$1,0)),FALSE)&gt;=5,"Good","Bad"),VLOOKUP(DATE($K$1,$K$2,MTO$4),Table1[],(MATCH(Calendar!$A18,DB!$1:$1,0)),FALSE)),"")</f>
        <v/>
      </c>
      <c r="MTP18" s="28" t="str">
        <f>IFERROR(IF(MTY3="No",IF(VLOOKUP(DATE($K$1,$K$2,MTP$4),Table1[],(MATCH(Calendar!$A18,DB!$1:$1,0)),FALSE)&gt;=5,"Good","Bad"),VLOOKUP(DATE($K$1,$K$2,MTP$4),Table1[],(MATCH(Calendar!$A18,DB!$1:$1,0)),FALSE)),"")</f>
        <v/>
      </c>
      <c r="MTQ18" s="28" t="str">
        <f>IFERROR(IF(MTZ3="No",IF(VLOOKUP(DATE($K$1,$K$2,MTQ$4),Table1[],(MATCH(Calendar!$A18,DB!$1:$1,0)),FALSE)&gt;=5,"Good","Bad"),VLOOKUP(DATE($K$1,$K$2,MTQ$4),Table1[],(MATCH(Calendar!$A18,DB!$1:$1,0)),FALSE)),"")</f>
        <v/>
      </c>
      <c r="MTR18" s="28" t="str">
        <f>IFERROR(IF(MUA3="No",IF(VLOOKUP(DATE($K$1,$K$2,MTR$4),Table1[],(MATCH(Calendar!$A18,DB!$1:$1,0)),FALSE)&gt;=5,"Good","Bad"),VLOOKUP(DATE($K$1,$K$2,MTR$4),Table1[],(MATCH(Calendar!$A18,DB!$1:$1,0)),FALSE)),"")</f>
        <v/>
      </c>
      <c r="MTS18" s="28" t="str">
        <f>IFERROR(IF(MUB3="No",IF(VLOOKUP(DATE($K$1,$K$2,MTS$4),Table1[],(MATCH(Calendar!$A18,DB!$1:$1,0)),FALSE)&gt;=5,"Good","Bad"),VLOOKUP(DATE($K$1,$K$2,MTS$4),Table1[],(MATCH(Calendar!$A18,DB!$1:$1,0)),FALSE)),"")</f>
        <v/>
      </c>
      <c r="MTT18" s="28" t="str">
        <f>IFERROR(IF(MUC3="No",IF(VLOOKUP(DATE($K$1,$K$2,MTT$4),Table1[],(MATCH(Calendar!$A18,DB!$1:$1,0)),FALSE)&gt;=5,"Good","Bad"),VLOOKUP(DATE($K$1,$K$2,MTT$4),Table1[],(MATCH(Calendar!$A18,DB!$1:$1,0)),FALSE)),"")</f>
        <v/>
      </c>
      <c r="MTU18" s="28" t="str">
        <f>IFERROR(IF(MUD3="No",IF(VLOOKUP(DATE($K$1,$K$2,MTU$4),Table1[],(MATCH(Calendar!$A18,DB!$1:$1,0)),FALSE)&gt;=5,"Good","Bad"),VLOOKUP(DATE($K$1,$K$2,MTU$4),Table1[],(MATCH(Calendar!$A18,DB!$1:$1,0)),FALSE)),"")</f>
        <v/>
      </c>
      <c r="MTV18" s="28" t="str">
        <f>IFERROR(IF(MUE3="No",IF(VLOOKUP(DATE($K$1,$K$2,MTV$4),Table1[],(MATCH(Calendar!$A18,DB!$1:$1,0)),FALSE)&gt;=5,"Good","Bad"),VLOOKUP(DATE($K$1,$K$2,MTV$4),Table1[],(MATCH(Calendar!$A18,DB!$1:$1,0)),FALSE)),"")</f>
        <v/>
      </c>
      <c r="MTW18" s="28" t="str">
        <f>IFERROR(IF(MUF3="No",IF(VLOOKUP(DATE($K$1,$K$2,MTW$4),Table1[],(MATCH(Calendar!$A18,DB!$1:$1,0)),FALSE)&gt;=5,"Good","Bad"),VLOOKUP(DATE($K$1,$K$2,MTW$4),Table1[],(MATCH(Calendar!$A18,DB!$1:$1,0)),FALSE)),"")</f>
        <v/>
      </c>
      <c r="MTX18" s="28" t="str">
        <f>IFERROR(IF(MUG3="No",IF(VLOOKUP(DATE($K$1,$K$2,MTX$4),Table1[],(MATCH(Calendar!$A18,DB!$1:$1,0)),FALSE)&gt;=5,"Good","Bad"),VLOOKUP(DATE($K$1,$K$2,MTX$4),Table1[],(MATCH(Calendar!$A18,DB!$1:$1,0)),FALSE)),"")</f>
        <v/>
      </c>
      <c r="MTY18" s="28" t="str">
        <f>IFERROR(IF(MUH3="No",IF(VLOOKUP(DATE($K$1,$K$2,MTY$4),Table1[],(MATCH(Calendar!$A18,DB!$1:$1,0)),FALSE)&gt;=5,"Good","Bad"),VLOOKUP(DATE($K$1,$K$2,MTY$4),Table1[],(MATCH(Calendar!$A18,DB!$1:$1,0)),FALSE)),"")</f>
        <v/>
      </c>
      <c r="MTZ18" s="28" t="str">
        <f>IFERROR(IF(MUI3="No",IF(VLOOKUP(DATE($K$1,$K$2,MTZ$4),Table1[],(MATCH(Calendar!$A18,DB!$1:$1,0)),FALSE)&gt;=5,"Good","Bad"),VLOOKUP(DATE($K$1,$K$2,MTZ$4),Table1[],(MATCH(Calendar!$A18,DB!$1:$1,0)),FALSE)),"")</f>
        <v/>
      </c>
      <c r="MUA18" s="28" t="str">
        <f>IFERROR(IF(MUJ3="No",IF(VLOOKUP(DATE($K$1,$K$2,MUA$4),Table1[],(MATCH(Calendar!$A18,DB!$1:$1,0)),FALSE)&gt;=5,"Good","Bad"),VLOOKUP(DATE($K$1,$K$2,MUA$4),Table1[],(MATCH(Calendar!$A18,DB!$1:$1,0)),FALSE)),"")</f>
        <v/>
      </c>
      <c r="MUB18" s="28" t="str">
        <f>IFERROR(IF(MUK3="No",IF(VLOOKUP(DATE($K$1,$K$2,MUB$4),Table1[],(MATCH(Calendar!$A18,DB!$1:$1,0)),FALSE)&gt;=5,"Good","Bad"),VLOOKUP(DATE($K$1,$K$2,MUB$4),Table1[],(MATCH(Calendar!$A18,DB!$1:$1,0)),FALSE)),"")</f>
        <v/>
      </c>
      <c r="MUC18" s="28" t="str">
        <f>IFERROR(IF(MUL3="No",IF(VLOOKUP(DATE($K$1,$K$2,MUC$4),Table1[],(MATCH(Calendar!$A18,DB!$1:$1,0)),FALSE)&gt;=5,"Good","Bad"),VLOOKUP(DATE($K$1,$K$2,MUC$4),Table1[],(MATCH(Calendar!$A18,DB!$1:$1,0)),FALSE)),"")</f>
        <v/>
      </c>
      <c r="MUD18" s="28" t="str">
        <f>IFERROR(IF(MUM3="No",IF(VLOOKUP(DATE($K$1,$K$2,MUD$4),Table1[],(MATCH(Calendar!$A18,DB!$1:$1,0)),FALSE)&gt;=5,"Good","Bad"),VLOOKUP(DATE($K$1,$K$2,MUD$4),Table1[],(MATCH(Calendar!$A18,DB!$1:$1,0)),FALSE)),"")</f>
        <v/>
      </c>
      <c r="MUE18" s="28" t="str">
        <f>IFERROR(IF(MUN3="No",IF(VLOOKUP(DATE($K$1,$K$2,MUE$4),Table1[],(MATCH(Calendar!$A18,DB!$1:$1,0)),FALSE)&gt;=5,"Good","Bad"),VLOOKUP(DATE($K$1,$K$2,MUE$4),Table1[],(MATCH(Calendar!$A18,DB!$1:$1,0)),FALSE)),"")</f>
        <v/>
      </c>
      <c r="MUF18" s="28" t="str">
        <f>IFERROR(IF(MUO3="No",IF(VLOOKUP(DATE($K$1,$K$2,MUF$4),Table1[],(MATCH(Calendar!$A18,DB!$1:$1,0)),FALSE)&gt;=5,"Good","Bad"),VLOOKUP(DATE($K$1,$K$2,MUF$4),Table1[],(MATCH(Calendar!$A18,DB!$1:$1,0)),FALSE)),"")</f>
        <v/>
      </c>
      <c r="MUG18" s="28" t="str">
        <f>IFERROR(IF(MUP3="No",IF(VLOOKUP(DATE($K$1,$K$2,MUG$4),Table1[],(MATCH(Calendar!$A18,DB!$1:$1,0)),FALSE)&gt;=5,"Good","Bad"),VLOOKUP(DATE($K$1,$K$2,MUG$4),Table1[],(MATCH(Calendar!$A18,DB!$1:$1,0)),FALSE)),"")</f>
        <v/>
      </c>
      <c r="MUH18" s="28" t="str">
        <f>IFERROR(IF(MUQ3="No",IF(VLOOKUP(DATE($K$1,$K$2,MUH$4),Table1[],(MATCH(Calendar!$A18,DB!$1:$1,0)),FALSE)&gt;=5,"Good","Bad"),VLOOKUP(DATE($K$1,$K$2,MUH$4),Table1[],(MATCH(Calendar!$A18,DB!$1:$1,0)),FALSE)),"")</f>
        <v/>
      </c>
      <c r="MUI18" s="28" t="str">
        <f>IFERROR(IF(MUR3="No",IF(VLOOKUP(DATE($K$1,$K$2,MUI$4),Table1[],(MATCH(Calendar!$A18,DB!$1:$1,0)),FALSE)&gt;=5,"Good","Bad"),VLOOKUP(DATE($K$1,$K$2,MUI$4),Table1[],(MATCH(Calendar!$A18,DB!$1:$1,0)),FALSE)),"")</f>
        <v/>
      </c>
      <c r="MUJ18" s="28" t="str">
        <f>IFERROR(IF(MUS3="No",IF(VLOOKUP(DATE($K$1,$K$2,MUJ$4),Table1[],(MATCH(Calendar!$A18,DB!$1:$1,0)),FALSE)&gt;=5,"Good","Bad"),VLOOKUP(DATE($K$1,$K$2,MUJ$4),Table1[],(MATCH(Calendar!$A18,DB!$1:$1,0)),FALSE)),"")</f>
        <v/>
      </c>
      <c r="MUK18" s="28" t="str">
        <f>IFERROR(IF(MUT3="No",IF(VLOOKUP(DATE($K$1,$K$2,MUK$4),Table1[],(MATCH(Calendar!$A18,DB!$1:$1,0)),FALSE)&gt;=5,"Good","Bad"),VLOOKUP(DATE($K$1,$K$2,MUK$4),Table1[],(MATCH(Calendar!$A18,DB!$1:$1,0)),FALSE)),"")</f>
        <v/>
      </c>
      <c r="MUL18" s="28" t="str">
        <f>IFERROR(IF(MUU3="No",IF(VLOOKUP(DATE($K$1,$K$2,MUL$4),Table1[],(MATCH(Calendar!$A18,DB!$1:$1,0)),FALSE)&gt;=5,"Good","Bad"),VLOOKUP(DATE($K$1,$K$2,MUL$4),Table1[],(MATCH(Calendar!$A18,DB!$1:$1,0)),FALSE)),"")</f>
        <v/>
      </c>
      <c r="MUM18" s="28" t="str">
        <f>IFERROR(IF(MUV3="No",IF(VLOOKUP(DATE($K$1,$K$2,MUM$4),Table1[],(MATCH(Calendar!$A18,DB!$1:$1,0)),FALSE)&gt;=5,"Good","Bad"),VLOOKUP(DATE($K$1,$K$2,MUM$4),Table1[],(MATCH(Calendar!$A18,DB!$1:$1,0)),FALSE)),"")</f>
        <v/>
      </c>
      <c r="MUN18" s="28" t="str">
        <f>IFERROR(IF(MUW3="No",IF(VLOOKUP(DATE($K$1,$K$2,MUN$4),Table1[],(MATCH(Calendar!$A18,DB!$1:$1,0)),FALSE)&gt;=5,"Good","Bad"),VLOOKUP(DATE($K$1,$K$2,MUN$4),Table1[],(MATCH(Calendar!$A18,DB!$1:$1,0)),FALSE)),"")</f>
        <v/>
      </c>
      <c r="MUO18" s="28" t="str">
        <f>IFERROR(IF(MUX3="No",IF(VLOOKUP(DATE($K$1,$K$2,MUO$4),Table1[],(MATCH(Calendar!$A18,DB!$1:$1,0)),FALSE)&gt;=5,"Good","Bad"),VLOOKUP(DATE($K$1,$K$2,MUO$4),Table1[],(MATCH(Calendar!$A18,DB!$1:$1,0)),FALSE)),"")</f>
        <v/>
      </c>
      <c r="MUP18" s="28" t="str">
        <f>IFERROR(IF(MUY3="No",IF(VLOOKUP(DATE($K$1,$K$2,MUP$4),Table1[],(MATCH(Calendar!$A18,DB!$1:$1,0)),FALSE)&gt;=5,"Good","Bad"),VLOOKUP(DATE($K$1,$K$2,MUP$4),Table1[],(MATCH(Calendar!$A18,DB!$1:$1,0)),FALSE)),"")</f>
        <v/>
      </c>
      <c r="MUQ18" s="28" t="str">
        <f>IFERROR(IF(MUZ3="No",IF(VLOOKUP(DATE($K$1,$K$2,MUQ$4),Table1[],(MATCH(Calendar!$A18,DB!$1:$1,0)),FALSE)&gt;=5,"Good","Bad"),VLOOKUP(DATE($K$1,$K$2,MUQ$4),Table1[],(MATCH(Calendar!$A18,DB!$1:$1,0)),FALSE)),"")</f>
        <v/>
      </c>
      <c r="MUR18" s="28" t="str">
        <f>IFERROR(IF(MVA3="No",IF(VLOOKUP(DATE($K$1,$K$2,MUR$4),Table1[],(MATCH(Calendar!$A18,DB!$1:$1,0)),FALSE)&gt;=5,"Good","Bad"),VLOOKUP(DATE($K$1,$K$2,MUR$4),Table1[],(MATCH(Calendar!$A18,DB!$1:$1,0)),FALSE)),"")</f>
        <v/>
      </c>
      <c r="MUS18" s="28" t="str">
        <f>IFERROR(IF(MVB3="No",IF(VLOOKUP(DATE($K$1,$K$2,MUS$4),Table1[],(MATCH(Calendar!$A18,DB!$1:$1,0)),FALSE)&gt;=5,"Good","Bad"),VLOOKUP(DATE($K$1,$K$2,MUS$4),Table1[],(MATCH(Calendar!$A18,DB!$1:$1,0)),FALSE)),"")</f>
        <v/>
      </c>
      <c r="MUT18" s="28" t="str">
        <f>IFERROR(IF(MVC3="No",IF(VLOOKUP(DATE($K$1,$K$2,MUT$4),Table1[],(MATCH(Calendar!$A18,DB!$1:$1,0)),FALSE)&gt;=5,"Good","Bad"),VLOOKUP(DATE($K$1,$K$2,MUT$4),Table1[],(MATCH(Calendar!$A18,DB!$1:$1,0)),FALSE)),"")</f>
        <v/>
      </c>
      <c r="MUU18" s="28" t="str">
        <f>IFERROR(IF(MVD3="No",IF(VLOOKUP(DATE($K$1,$K$2,MUU$4),Table1[],(MATCH(Calendar!$A18,DB!$1:$1,0)),FALSE)&gt;=5,"Good","Bad"),VLOOKUP(DATE($K$1,$K$2,MUU$4),Table1[],(MATCH(Calendar!$A18,DB!$1:$1,0)),FALSE)),"")</f>
        <v/>
      </c>
      <c r="MUV18" s="28" t="str">
        <f>IFERROR(IF(MVE3="No",IF(VLOOKUP(DATE($K$1,$K$2,MUV$4),Table1[],(MATCH(Calendar!$A18,DB!$1:$1,0)),FALSE)&gt;=5,"Good","Bad"),VLOOKUP(DATE($K$1,$K$2,MUV$4),Table1[],(MATCH(Calendar!$A18,DB!$1:$1,0)),FALSE)),"")</f>
        <v/>
      </c>
      <c r="MUW18" s="28" t="str">
        <f>IFERROR(IF(MVF3="No",IF(VLOOKUP(DATE($K$1,$K$2,MUW$4),Table1[],(MATCH(Calendar!$A18,DB!$1:$1,0)),FALSE)&gt;=5,"Good","Bad"),VLOOKUP(DATE($K$1,$K$2,MUW$4),Table1[],(MATCH(Calendar!$A18,DB!$1:$1,0)),FALSE)),"")</f>
        <v/>
      </c>
      <c r="MUX18" s="28" t="str">
        <f>IFERROR(IF(MVG3="No",IF(VLOOKUP(DATE($K$1,$K$2,MUX$4),Table1[],(MATCH(Calendar!$A18,DB!$1:$1,0)),FALSE)&gt;=5,"Good","Bad"),VLOOKUP(DATE($K$1,$K$2,MUX$4),Table1[],(MATCH(Calendar!$A18,DB!$1:$1,0)),FALSE)),"")</f>
        <v/>
      </c>
      <c r="MUY18" s="28" t="str">
        <f>IFERROR(IF(MVH3="No",IF(VLOOKUP(DATE($K$1,$K$2,MUY$4),Table1[],(MATCH(Calendar!$A18,DB!$1:$1,0)),FALSE)&gt;=5,"Good","Bad"),VLOOKUP(DATE($K$1,$K$2,MUY$4),Table1[],(MATCH(Calendar!$A18,DB!$1:$1,0)),FALSE)),"")</f>
        <v/>
      </c>
      <c r="MUZ18" s="28" t="str">
        <f>IFERROR(IF(MVI3="No",IF(VLOOKUP(DATE($K$1,$K$2,MUZ$4),Table1[],(MATCH(Calendar!$A18,DB!$1:$1,0)),FALSE)&gt;=5,"Good","Bad"),VLOOKUP(DATE($K$1,$K$2,MUZ$4),Table1[],(MATCH(Calendar!$A18,DB!$1:$1,0)),FALSE)),"")</f>
        <v/>
      </c>
      <c r="MVA18" s="28" t="str">
        <f>IFERROR(IF(MVJ3="No",IF(VLOOKUP(DATE($K$1,$K$2,MVA$4),Table1[],(MATCH(Calendar!$A18,DB!$1:$1,0)),FALSE)&gt;=5,"Good","Bad"),VLOOKUP(DATE($K$1,$K$2,MVA$4),Table1[],(MATCH(Calendar!$A18,DB!$1:$1,0)),FALSE)),"")</f>
        <v/>
      </c>
      <c r="MVB18" s="28" t="str">
        <f>IFERROR(IF(MVK3="No",IF(VLOOKUP(DATE($K$1,$K$2,MVB$4),Table1[],(MATCH(Calendar!$A18,DB!$1:$1,0)),FALSE)&gt;=5,"Good","Bad"),VLOOKUP(DATE($K$1,$K$2,MVB$4),Table1[],(MATCH(Calendar!$A18,DB!$1:$1,0)),FALSE)),"")</f>
        <v/>
      </c>
      <c r="MVC18" s="28" t="str">
        <f>IFERROR(IF(MVL3="No",IF(VLOOKUP(DATE($K$1,$K$2,MVC$4),Table1[],(MATCH(Calendar!$A18,DB!$1:$1,0)),FALSE)&gt;=5,"Good","Bad"),VLOOKUP(DATE($K$1,$K$2,MVC$4),Table1[],(MATCH(Calendar!$A18,DB!$1:$1,0)),FALSE)),"")</f>
        <v/>
      </c>
      <c r="MVD18" s="28" t="str">
        <f>IFERROR(IF(MVM3="No",IF(VLOOKUP(DATE($K$1,$K$2,MVD$4),Table1[],(MATCH(Calendar!$A18,DB!$1:$1,0)),FALSE)&gt;=5,"Good","Bad"),VLOOKUP(DATE($K$1,$K$2,MVD$4),Table1[],(MATCH(Calendar!$A18,DB!$1:$1,0)),FALSE)),"")</f>
        <v/>
      </c>
      <c r="MVE18" s="28" t="str">
        <f>IFERROR(IF(MVN3="No",IF(VLOOKUP(DATE($K$1,$K$2,MVE$4),Table1[],(MATCH(Calendar!$A18,DB!$1:$1,0)),FALSE)&gt;=5,"Good","Bad"),VLOOKUP(DATE($K$1,$K$2,MVE$4),Table1[],(MATCH(Calendar!$A18,DB!$1:$1,0)),FALSE)),"")</f>
        <v/>
      </c>
      <c r="MVF18" s="28" t="str">
        <f>IFERROR(IF(MVO3="No",IF(VLOOKUP(DATE($K$1,$K$2,MVF$4),Table1[],(MATCH(Calendar!$A18,DB!$1:$1,0)),FALSE)&gt;=5,"Good","Bad"),VLOOKUP(DATE($K$1,$K$2,MVF$4),Table1[],(MATCH(Calendar!$A18,DB!$1:$1,0)),FALSE)),"")</f>
        <v/>
      </c>
      <c r="MVG18" s="28" t="str">
        <f>IFERROR(IF(MVP3="No",IF(VLOOKUP(DATE($K$1,$K$2,MVG$4),Table1[],(MATCH(Calendar!$A18,DB!$1:$1,0)),FALSE)&gt;=5,"Good","Bad"),VLOOKUP(DATE($K$1,$K$2,MVG$4),Table1[],(MATCH(Calendar!$A18,DB!$1:$1,0)),FALSE)),"")</f>
        <v/>
      </c>
      <c r="MVH18" s="28" t="str">
        <f>IFERROR(IF(MVQ3="No",IF(VLOOKUP(DATE($K$1,$K$2,MVH$4),Table1[],(MATCH(Calendar!$A18,DB!$1:$1,0)),FALSE)&gt;=5,"Good","Bad"),VLOOKUP(DATE($K$1,$K$2,MVH$4),Table1[],(MATCH(Calendar!$A18,DB!$1:$1,0)),FALSE)),"")</f>
        <v/>
      </c>
      <c r="MVI18" s="28" t="str">
        <f>IFERROR(IF(MVR3="No",IF(VLOOKUP(DATE($K$1,$K$2,MVI$4),Table1[],(MATCH(Calendar!$A18,DB!$1:$1,0)),FALSE)&gt;=5,"Good","Bad"),VLOOKUP(DATE($K$1,$K$2,MVI$4),Table1[],(MATCH(Calendar!$A18,DB!$1:$1,0)),FALSE)),"")</f>
        <v/>
      </c>
      <c r="MVJ18" s="28" t="str">
        <f>IFERROR(IF(MVS3="No",IF(VLOOKUP(DATE($K$1,$K$2,MVJ$4),Table1[],(MATCH(Calendar!$A18,DB!$1:$1,0)),FALSE)&gt;=5,"Good","Bad"),VLOOKUP(DATE($K$1,$K$2,MVJ$4),Table1[],(MATCH(Calendar!$A18,DB!$1:$1,0)),FALSE)),"")</f>
        <v/>
      </c>
      <c r="MVK18" s="28" t="str">
        <f>IFERROR(IF(MVT3="No",IF(VLOOKUP(DATE($K$1,$K$2,MVK$4),Table1[],(MATCH(Calendar!$A18,DB!$1:$1,0)),FALSE)&gt;=5,"Good","Bad"),VLOOKUP(DATE($K$1,$K$2,MVK$4),Table1[],(MATCH(Calendar!$A18,DB!$1:$1,0)),FALSE)),"")</f>
        <v/>
      </c>
      <c r="MVL18" s="28" t="str">
        <f>IFERROR(IF(MVU3="No",IF(VLOOKUP(DATE($K$1,$K$2,MVL$4),Table1[],(MATCH(Calendar!$A18,DB!$1:$1,0)),FALSE)&gt;=5,"Good","Bad"),VLOOKUP(DATE($K$1,$K$2,MVL$4),Table1[],(MATCH(Calendar!$A18,DB!$1:$1,0)),FALSE)),"")</f>
        <v/>
      </c>
      <c r="MVM18" s="28" t="str">
        <f>IFERROR(IF(MVV3="No",IF(VLOOKUP(DATE($K$1,$K$2,MVM$4),Table1[],(MATCH(Calendar!$A18,DB!$1:$1,0)),FALSE)&gt;=5,"Good","Bad"),VLOOKUP(DATE($K$1,$K$2,MVM$4),Table1[],(MATCH(Calendar!$A18,DB!$1:$1,0)),FALSE)),"")</f>
        <v/>
      </c>
      <c r="MVN18" s="28" t="str">
        <f>IFERROR(IF(MVW3="No",IF(VLOOKUP(DATE($K$1,$K$2,MVN$4),Table1[],(MATCH(Calendar!$A18,DB!$1:$1,0)),FALSE)&gt;=5,"Good","Bad"),VLOOKUP(DATE($K$1,$K$2,MVN$4),Table1[],(MATCH(Calendar!$A18,DB!$1:$1,0)),FALSE)),"")</f>
        <v/>
      </c>
      <c r="MVO18" s="28" t="str">
        <f>IFERROR(IF(MVX3="No",IF(VLOOKUP(DATE($K$1,$K$2,MVO$4),Table1[],(MATCH(Calendar!$A18,DB!$1:$1,0)),FALSE)&gt;=5,"Good","Bad"),VLOOKUP(DATE($K$1,$K$2,MVO$4),Table1[],(MATCH(Calendar!$A18,DB!$1:$1,0)),FALSE)),"")</f>
        <v/>
      </c>
      <c r="MVP18" s="28" t="str">
        <f>IFERROR(IF(MVY3="No",IF(VLOOKUP(DATE($K$1,$K$2,MVP$4),Table1[],(MATCH(Calendar!$A18,DB!$1:$1,0)),FALSE)&gt;=5,"Good","Bad"),VLOOKUP(DATE($K$1,$K$2,MVP$4),Table1[],(MATCH(Calendar!$A18,DB!$1:$1,0)),FALSE)),"")</f>
        <v/>
      </c>
      <c r="MVQ18" s="28" t="str">
        <f>IFERROR(IF(MVZ3="No",IF(VLOOKUP(DATE($K$1,$K$2,MVQ$4),Table1[],(MATCH(Calendar!$A18,DB!$1:$1,0)),FALSE)&gt;=5,"Good","Bad"),VLOOKUP(DATE($K$1,$K$2,MVQ$4),Table1[],(MATCH(Calendar!$A18,DB!$1:$1,0)),FALSE)),"")</f>
        <v/>
      </c>
      <c r="MVR18" s="28" t="str">
        <f>IFERROR(IF(MWA3="No",IF(VLOOKUP(DATE($K$1,$K$2,MVR$4),Table1[],(MATCH(Calendar!$A18,DB!$1:$1,0)),FALSE)&gt;=5,"Good","Bad"),VLOOKUP(DATE($K$1,$K$2,MVR$4),Table1[],(MATCH(Calendar!$A18,DB!$1:$1,0)),FALSE)),"")</f>
        <v/>
      </c>
      <c r="MVS18" s="28" t="str">
        <f>IFERROR(IF(MWB3="No",IF(VLOOKUP(DATE($K$1,$K$2,MVS$4),Table1[],(MATCH(Calendar!$A18,DB!$1:$1,0)),FALSE)&gt;=5,"Good","Bad"),VLOOKUP(DATE($K$1,$K$2,MVS$4),Table1[],(MATCH(Calendar!$A18,DB!$1:$1,0)),FALSE)),"")</f>
        <v/>
      </c>
      <c r="MVT18" s="28" t="str">
        <f>IFERROR(IF(MWC3="No",IF(VLOOKUP(DATE($K$1,$K$2,MVT$4),Table1[],(MATCH(Calendar!$A18,DB!$1:$1,0)),FALSE)&gt;=5,"Good","Bad"),VLOOKUP(DATE($K$1,$K$2,MVT$4),Table1[],(MATCH(Calendar!$A18,DB!$1:$1,0)),FALSE)),"")</f>
        <v/>
      </c>
      <c r="MVU18" s="28" t="str">
        <f>IFERROR(IF(MWD3="No",IF(VLOOKUP(DATE($K$1,$K$2,MVU$4),Table1[],(MATCH(Calendar!$A18,DB!$1:$1,0)),FALSE)&gt;=5,"Good","Bad"),VLOOKUP(DATE($K$1,$K$2,MVU$4),Table1[],(MATCH(Calendar!$A18,DB!$1:$1,0)),FALSE)),"")</f>
        <v/>
      </c>
      <c r="MVV18" s="28" t="str">
        <f>IFERROR(IF(MWE3="No",IF(VLOOKUP(DATE($K$1,$K$2,MVV$4),Table1[],(MATCH(Calendar!$A18,DB!$1:$1,0)),FALSE)&gt;=5,"Good","Bad"),VLOOKUP(DATE($K$1,$K$2,MVV$4),Table1[],(MATCH(Calendar!$A18,DB!$1:$1,0)),FALSE)),"")</f>
        <v/>
      </c>
      <c r="MVW18" s="28" t="str">
        <f>IFERROR(IF(MWF3="No",IF(VLOOKUP(DATE($K$1,$K$2,MVW$4),Table1[],(MATCH(Calendar!$A18,DB!$1:$1,0)),FALSE)&gt;=5,"Good","Bad"),VLOOKUP(DATE($K$1,$K$2,MVW$4),Table1[],(MATCH(Calendar!$A18,DB!$1:$1,0)),FALSE)),"")</f>
        <v/>
      </c>
      <c r="MVX18" s="28" t="str">
        <f>IFERROR(IF(MWG3="No",IF(VLOOKUP(DATE($K$1,$K$2,MVX$4),Table1[],(MATCH(Calendar!$A18,DB!$1:$1,0)),FALSE)&gt;=5,"Good","Bad"),VLOOKUP(DATE($K$1,$K$2,MVX$4),Table1[],(MATCH(Calendar!$A18,DB!$1:$1,0)),FALSE)),"")</f>
        <v/>
      </c>
      <c r="MVY18" s="28" t="str">
        <f>IFERROR(IF(MWH3="No",IF(VLOOKUP(DATE($K$1,$K$2,MVY$4),Table1[],(MATCH(Calendar!$A18,DB!$1:$1,0)),FALSE)&gt;=5,"Good","Bad"),VLOOKUP(DATE($K$1,$K$2,MVY$4),Table1[],(MATCH(Calendar!$A18,DB!$1:$1,0)),FALSE)),"")</f>
        <v/>
      </c>
      <c r="MVZ18" s="28" t="str">
        <f>IFERROR(IF(MWI3="No",IF(VLOOKUP(DATE($K$1,$K$2,MVZ$4),Table1[],(MATCH(Calendar!$A18,DB!$1:$1,0)),FALSE)&gt;=5,"Good","Bad"),VLOOKUP(DATE($K$1,$K$2,MVZ$4),Table1[],(MATCH(Calendar!$A18,DB!$1:$1,0)),FALSE)),"")</f>
        <v/>
      </c>
      <c r="MWA18" s="28" t="str">
        <f>IFERROR(IF(MWJ3="No",IF(VLOOKUP(DATE($K$1,$K$2,MWA$4),Table1[],(MATCH(Calendar!$A18,DB!$1:$1,0)),FALSE)&gt;=5,"Good","Bad"),VLOOKUP(DATE($K$1,$K$2,MWA$4),Table1[],(MATCH(Calendar!$A18,DB!$1:$1,0)),FALSE)),"")</f>
        <v/>
      </c>
      <c r="MWB18" s="28" t="str">
        <f>IFERROR(IF(MWK3="No",IF(VLOOKUP(DATE($K$1,$K$2,MWB$4),Table1[],(MATCH(Calendar!$A18,DB!$1:$1,0)),FALSE)&gt;=5,"Good","Bad"),VLOOKUP(DATE($K$1,$K$2,MWB$4),Table1[],(MATCH(Calendar!$A18,DB!$1:$1,0)),FALSE)),"")</f>
        <v/>
      </c>
      <c r="MWC18" s="28" t="str">
        <f>IFERROR(IF(MWL3="No",IF(VLOOKUP(DATE($K$1,$K$2,MWC$4),Table1[],(MATCH(Calendar!$A18,DB!$1:$1,0)),FALSE)&gt;=5,"Good","Bad"),VLOOKUP(DATE($K$1,$K$2,MWC$4),Table1[],(MATCH(Calendar!$A18,DB!$1:$1,0)),FALSE)),"")</f>
        <v/>
      </c>
      <c r="MWD18" s="28" t="str">
        <f>IFERROR(IF(MWM3="No",IF(VLOOKUP(DATE($K$1,$K$2,MWD$4),Table1[],(MATCH(Calendar!$A18,DB!$1:$1,0)),FALSE)&gt;=5,"Good","Bad"),VLOOKUP(DATE($K$1,$K$2,MWD$4),Table1[],(MATCH(Calendar!$A18,DB!$1:$1,0)),FALSE)),"")</f>
        <v/>
      </c>
      <c r="MWE18" s="28" t="str">
        <f>IFERROR(IF(MWN3="No",IF(VLOOKUP(DATE($K$1,$K$2,MWE$4),Table1[],(MATCH(Calendar!$A18,DB!$1:$1,0)),FALSE)&gt;=5,"Good","Bad"),VLOOKUP(DATE($K$1,$K$2,MWE$4),Table1[],(MATCH(Calendar!$A18,DB!$1:$1,0)),FALSE)),"")</f>
        <v/>
      </c>
      <c r="MWF18" s="28" t="str">
        <f>IFERROR(IF(MWO3="No",IF(VLOOKUP(DATE($K$1,$K$2,MWF$4),Table1[],(MATCH(Calendar!$A18,DB!$1:$1,0)),FALSE)&gt;=5,"Good","Bad"),VLOOKUP(DATE($K$1,$K$2,MWF$4),Table1[],(MATCH(Calendar!$A18,DB!$1:$1,0)),FALSE)),"")</f>
        <v/>
      </c>
      <c r="MWG18" s="28" t="str">
        <f>IFERROR(IF(MWP3="No",IF(VLOOKUP(DATE($K$1,$K$2,MWG$4),Table1[],(MATCH(Calendar!$A18,DB!$1:$1,0)),FALSE)&gt;=5,"Good","Bad"),VLOOKUP(DATE($K$1,$K$2,MWG$4),Table1[],(MATCH(Calendar!$A18,DB!$1:$1,0)),FALSE)),"")</f>
        <v/>
      </c>
      <c r="MWH18" s="28" t="str">
        <f>IFERROR(IF(MWQ3="No",IF(VLOOKUP(DATE($K$1,$K$2,MWH$4),Table1[],(MATCH(Calendar!$A18,DB!$1:$1,0)),FALSE)&gt;=5,"Good","Bad"),VLOOKUP(DATE($K$1,$K$2,MWH$4),Table1[],(MATCH(Calendar!$A18,DB!$1:$1,0)),FALSE)),"")</f>
        <v/>
      </c>
      <c r="MWI18" s="28" t="str">
        <f>IFERROR(IF(MWR3="No",IF(VLOOKUP(DATE($K$1,$K$2,MWI$4),Table1[],(MATCH(Calendar!$A18,DB!$1:$1,0)),FALSE)&gt;=5,"Good","Bad"),VLOOKUP(DATE($K$1,$K$2,MWI$4),Table1[],(MATCH(Calendar!$A18,DB!$1:$1,0)),FALSE)),"")</f>
        <v/>
      </c>
      <c r="MWJ18" s="28" t="str">
        <f>IFERROR(IF(MWS3="No",IF(VLOOKUP(DATE($K$1,$K$2,MWJ$4),Table1[],(MATCH(Calendar!$A18,DB!$1:$1,0)),FALSE)&gt;=5,"Good","Bad"),VLOOKUP(DATE($K$1,$K$2,MWJ$4),Table1[],(MATCH(Calendar!$A18,DB!$1:$1,0)),FALSE)),"")</f>
        <v/>
      </c>
      <c r="MWK18" s="28" t="str">
        <f>IFERROR(IF(MWT3="No",IF(VLOOKUP(DATE($K$1,$K$2,MWK$4),Table1[],(MATCH(Calendar!$A18,DB!$1:$1,0)),FALSE)&gt;=5,"Good","Bad"),VLOOKUP(DATE($K$1,$K$2,MWK$4),Table1[],(MATCH(Calendar!$A18,DB!$1:$1,0)),FALSE)),"")</f>
        <v/>
      </c>
      <c r="MWL18" s="28" t="str">
        <f>IFERROR(IF(MWU3="No",IF(VLOOKUP(DATE($K$1,$K$2,MWL$4),Table1[],(MATCH(Calendar!$A18,DB!$1:$1,0)),FALSE)&gt;=5,"Good","Bad"),VLOOKUP(DATE($K$1,$K$2,MWL$4),Table1[],(MATCH(Calendar!$A18,DB!$1:$1,0)),FALSE)),"")</f>
        <v/>
      </c>
      <c r="MWM18" s="28" t="str">
        <f>IFERROR(IF(MWV3="No",IF(VLOOKUP(DATE($K$1,$K$2,MWM$4),Table1[],(MATCH(Calendar!$A18,DB!$1:$1,0)),FALSE)&gt;=5,"Good","Bad"),VLOOKUP(DATE($K$1,$K$2,MWM$4),Table1[],(MATCH(Calendar!$A18,DB!$1:$1,0)),FALSE)),"")</f>
        <v/>
      </c>
      <c r="MWN18" s="28" t="str">
        <f>IFERROR(IF(MWW3="No",IF(VLOOKUP(DATE($K$1,$K$2,MWN$4),Table1[],(MATCH(Calendar!$A18,DB!$1:$1,0)),FALSE)&gt;=5,"Good","Bad"),VLOOKUP(DATE($K$1,$K$2,MWN$4),Table1[],(MATCH(Calendar!$A18,DB!$1:$1,0)),FALSE)),"")</f>
        <v/>
      </c>
      <c r="MWO18" s="28" t="str">
        <f>IFERROR(IF(MWX3="No",IF(VLOOKUP(DATE($K$1,$K$2,MWO$4),Table1[],(MATCH(Calendar!$A18,DB!$1:$1,0)),FALSE)&gt;=5,"Good","Bad"),VLOOKUP(DATE($K$1,$K$2,MWO$4),Table1[],(MATCH(Calendar!$A18,DB!$1:$1,0)),FALSE)),"")</f>
        <v/>
      </c>
      <c r="MWP18" s="28" t="str">
        <f>IFERROR(IF(MWY3="No",IF(VLOOKUP(DATE($K$1,$K$2,MWP$4),Table1[],(MATCH(Calendar!$A18,DB!$1:$1,0)),FALSE)&gt;=5,"Good","Bad"),VLOOKUP(DATE($K$1,$K$2,MWP$4),Table1[],(MATCH(Calendar!$A18,DB!$1:$1,0)),FALSE)),"")</f>
        <v/>
      </c>
      <c r="MWQ18" s="28" t="str">
        <f>IFERROR(IF(MWZ3="No",IF(VLOOKUP(DATE($K$1,$K$2,MWQ$4),Table1[],(MATCH(Calendar!$A18,DB!$1:$1,0)),FALSE)&gt;=5,"Good","Bad"),VLOOKUP(DATE($K$1,$K$2,MWQ$4),Table1[],(MATCH(Calendar!$A18,DB!$1:$1,0)),FALSE)),"")</f>
        <v/>
      </c>
      <c r="MWR18" s="28" t="str">
        <f>IFERROR(IF(MXA3="No",IF(VLOOKUP(DATE($K$1,$K$2,MWR$4),Table1[],(MATCH(Calendar!$A18,DB!$1:$1,0)),FALSE)&gt;=5,"Good","Bad"),VLOOKUP(DATE($K$1,$K$2,MWR$4),Table1[],(MATCH(Calendar!$A18,DB!$1:$1,0)),FALSE)),"")</f>
        <v/>
      </c>
      <c r="MWS18" s="28" t="str">
        <f>IFERROR(IF(MXB3="No",IF(VLOOKUP(DATE($K$1,$K$2,MWS$4),Table1[],(MATCH(Calendar!$A18,DB!$1:$1,0)),FALSE)&gt;=5,"Good","Bad"),VLOOKUP(DATE($K$1,$K$2,MWS$4),Table1[],(MATCH(Calendar!$A18,DB!$1:$1,0)),FALSE)),"")</f>
        <v/>
      </c>
      <c r="MWT18" s="28" t="str">
        <f>IFERROR(IF(MXC3="No",IF(VLOOKUP(DATE($K$1,$K$2,MWT$4),Table1[],(MATCH(Calendar!$A18,DB!$1:$1,0)),FALSE)&gt;=5,"Good","Bad"),VLOOKUP(DATE($K$1,$K$2,MWT$4),Table1[],(MATCH(Calendar!$A18,DB!$1:$1,0)),FALSE)),"")</f>
        <v/>
      </c>
      <c r="MWU18" s="28" t="str">
        <f>IFERROR(IF(MXD3="No",IF(VLOOKUP(DATE($K$1,$K$2,MWU$4),Table1[],(MATCH(Calendar!$A18,DB!$1:$1,0)),FALSE)&gt;=5,"Good","Bad"),VLOOKUP(DATE($K$1,$K$2,MWU$4),Table1[],(MATCH(Calendar!$A18,DB!$1:$1,0)),FALSE)),"")</f>
        <v/>
      </c>
      <c r="MWV18" s="28" t="str">
        <f>IFERROR(IF(MXE3="No",IF(VLOOKUP(DATE($K$1,$K$2,MWV$4),Table1[],(MATCH(Calendar!$A18,DB!$1:$1,0)),FALSE)&gt;=5,"Good","Bad"),VLOOKUP(DATE($K$1,$K$2,MWV$4),Table1[],(MATCH(Calendar!$A18,DB!$1:$1,0)),FALSE)),"")</f>
        <v/>
      </c>
      <c r="MWW18" s="28" t="str">
        <f>IFERROR(IF(MXF3="No",IF(VLOOKUP(DATE($K$1,$K$2,MWW$4),Table1[],(MATCH(Calendar!$A18,DB!$1:$1,0)),FALSE)&gt;=5,"Good","Bad"),VLOOKUP(DATE($K$1,$K$2,MWW$4),Table1[],(MATCH(Calendar!$A18,DB!$1:$1,0)),FALSE)),"")</f>
        <v/>
      </c>
      <c r="MWX18" s="28" t="str">
        <f>IFERROR(IF(MXG3="No",IF(VLOOKUP(DATE($K$1,$K$2,MWX$4),Table1[],(MATCH(Calendar!$A18,DB!$1:$1,0)),FALSE)&gt;=5,"Good","Bad"),VLOOKUP(DATE($K$1,$K$2,MWX$4),Table1[],(MATCH(Calendar!$A18,DB!$1:$1,0)),FALSE)),"")</f>
        <v/>
      </c>
      <c r="MWY18" s="28" t="str">
        <f>IFERROR(IF(MXH3="No",IF(VLOOKUP(DATE($K$1,$K$2,MWY$4),Table1[],(MATCH(Calendar!$A18,DB!$1:$1,0)),FALSE)&gt;=5,"Good","Bad"),VLOOKUP(DATE($K$1,$K$2,MWY$4),Table1[],(MATCH(Calendar!$A18,DB!$1:$1,0)),FALSE)),"")</f>
        <v/>
      </c>
      <c r="MWZ18" s="28" t="str">
        <f>IFERROR(IF(MXI3="No",IF(VLOOKUP(DATE($K$1,$K$2,MWZ$4),Table1[],(MATCH(Calendar!$A18,DB!$1:$1,0)),FALSE)&gt;=5,"Good","Bad"),VLOOKUP(DATE($K$1,$K$2,MWZ$4),Table1[],(MATCH(Calendar!$A18,DB!$1:$1,0)),FALSE)),"")</f>
        <v/>
      </c>
      <c r="MXA18" s="28" t="str">
        <f>IFERROR(IF(MXJ3="No",IF(VLOOKUP(DATE($K$1,$K$2,MXA$4),Table1[],(MATCH(Calendar!$A18,DB!$1:$1,0)),FALSE)&gt;=5,"Good","Bad"),VLOOKUP(DATE($K$1,$K$2,MXA$4),Table1[],(MATCH(Calendar!$A18,DB!$1:$1,0)),FALSE)),"")</f>
        <v/>
      </c>
      <c r="MXB18" s="28" t="str">
        <f>IFERROR(IF(MXK3="No",IF(VLOOKUP(DATE($K$1,$K$2,MXB$4),Table1[],(MATCH(Calendar!$A18,DB!$1:$1,0)),FALSE)&gt;=5,"Good","Bad"),VLOOKUP(DATE($K$1,$K$2,MXB$4),Table1[],(MATCH(Calendar!$A18,DB!$1:$1,0)),FALSE)),"")</f>
        <v/>
      </c>
      <c r="MXC18" s="28" t="str">
        <f>IFERROR(IF(MXL3="No",IF(VLOOKUP(DATE($K$1,$K$2,MXC$4),Table1[],(MATCH(Calendar!$A18,DB!$1:$1,0)),FALSE)&gt;=5,"Good","Bad"),VLOOKUP(DATE($K$1,$K$2,MXC$4),Table1[],(MATCH(Calendar!$A18,DB!$1:$1,0)),FALSE)),"")</f>
        <v/>
      </c>
      <c r="MXD18" s="28" t="str">
        <f>IFERROR(IF(MXM3="No",IF(VLOOKUP(DATE($K$1,$K$2,MXD$4),Table1[],(MATCH(Calendar!$A18,DB!$1:$1,0)),FALSE)&gt;=5,"Good","Bad"),VLOOKUP(DATE($K$1,$K$2,MXD$4),Table1[],(MATCH(Calendar!$A18,DB!$1:$1,0)),FALSE)),"")</f>
        <v/>
      </c>
      <c r="MXE18" s="28" t="str">
        <f>IFERROR(IF(MXN3="No",IF(VLOOKUP(DATE($K$1,$K$2,MXE$4),Table1[],(MATCH(Calendar!$A18,DB!$1:$1,0)),FALSE)&gt;=5,"Good","Bad"),VLOOKUP(DATE($K$1,$K$2,MXE$4),Table1[],(MATCH(Calendar!$A18,DB!$1:$1,0)),FALSE)),"")</f>
        <v/>
      </c>
      <c r="MXF18" s="28" t="str">
        <f>IFERROR(IF(MXO3="No",IF(VLOOKUP(DATE($K$1,$K$2,MXF$4),Table1[],(MATCH(Calendar!$A18,DB!$1:$1,0)),FALSE)&gt;=5,"Good","Bad"),VLOOKUP(DATE($K$1,$K$2,MXF$4),Table1[],(MATCH(Calendar!$A18,DB!$1:$1,0)),FALSE)),"")</f>
        <v/>
      </c>
      <c r="MXG18" s="28" t="str">
        <f>IFERROR(IF(MXP3="No",IF(VLOOKUP(DATE($K$1,$K$2,MXG$4),Table1[],(MATCH(Calendar!$A18,DB!$1:$1,0)),FALSE)&gt;=5,"Good","Bad"),VLOOKUP(DATE($K$1,$K$2,MXG$4),Table1[],(MATCH(Calendar!$A18,DB!$1:$1,0)),FALSE)),"")</f>
        <v/>
      </c>
      <c r="MXH18" s="28" t="str">
        <f>IFERROR(IF(MXQ3="No",IF(VLOOKUP(DATE($K$1,$K$2,MXH$4),Table1[],(MATCH(Calendar!$A18,DB!$1:$1,0)),FALSE)&gt;=5,"Good","Bad"),VLOOKUP(DATE($K$1,$K$2,MXH$4),Table1[],(MATCH(Calendar!$A18,DB!$1:$1,0)),FALSE)),"")</f>
        <v/>
      </c>
      <c r="MXI18" s="28" t="str">
        <f>IFERROR(IF(MXR3="No",IF(VLOOKUP(DATE($K$1,$K$2,MXI$4),Table1[],(MATCH(Calendar!$A18,DB!$1:$1,0)),FALSE)&gt;=5,"Good","Bad"),VLOOKUP(DATE($K$1,$K$2,MXI$4),Table1[],(MATCH(Calendar!$A18,DB!$1:$1,0)),FALSE)),"")</f>
        <v/>
      </c>
      <c r="MXJ18" s="28" t="str">
        <f>IFERROR(IF(MXS3="No",IF(VLOOKUP(DATE($K$1,$K$2,MXJ$4),Table1[],(MATCH(Calendar!$A18,DB!$1:$1,0)),FALSE)&gt;=5,"Good","Bad"),VLOOKUP(DATE($K$1,$K$2,MXJ$4),Table1[],(MATCH(Calendar!$A18,DB!$1:$1,0)),FALSE)),"")</f>
        <v/>
      </c>
      <c r="MXK18" s="28" t="str">
        <f>IFERROR(IF(MXT3="No",IF(VLOOKUP(DATE($K$1,$K$2,MXK$4),Table1[],(MATCH(Calendar!$A18,DB!$1:$1,0)),FALSE)&gt;=5,"Good","Bad"),VLOOKUP(DATE($K$1,$K$2,MXK$4),Table1[],(MATCH(Calendar!$A18,DB!$1:$1,0)),FALSE)),"")</f>
        <v/>
      </c>
      <c r="MXL18" s="28" t="str">
        <f>IFERROR(IF(MXU3="No",IF(VLOOKUP(DATE($K$1,$K$2,MXL$4),Table1[],(MATCH(Calendar!$A18,DB!$1:$1,0)),FALSE)&gt;=5,"Good","Bad"),VLOOKUP(DATE($K$1,$K$2,MXL$4),Table1[],(MATCH(Calendar!$A18,DB!$1:$1,0)),FALSE)),"")</f>
        <v/>
      </c>
      <c r="MXM18" s="28" t="str">
        <f>IFERROR(IF(MXV3="No",IF(VLOOKUP(DATE($K$1,$K$2,MXM$4),Table1[],(MATCH(Calendar!$A18,DB!$1:$1,0)),FALSE)&gt;=5,"Good","Bad"),VLOOKUP(DATE($K$1,$K$2,MXM$4),Table1[],(MATCH(Calendar!$A18,DB!$1:$1,0)),FALSE)),"")</f>
        <v/>
      </c>
      <c r="MXN18" s="28" t="str">
        <f>IFERROR(IF(MXW3="No",IF(VLOOKUP(DATE($K$1,$K$2,MXN$4),Table1[],(MATCH(Calendar!$A18,DB!$1:$1,0)),FALSE)&gt;=5,"Good","Bad"),VLOOKUP(DATE($K$1,$K$2,MXN$4),Table1[],(MATCH(Calendar!$A18,DB!$1:$1,0)),FALSE)),"")</f>
        <v/>
      </c>
      <c r="MXO18" s="28" t="str">
        <f>IFERROR(IF(MXX3="No",IF(VLOOKUP(DATE($K$1,$K$2,MXO$4),Table1[],(MATCH(Calendar!$A18,DB!$1:$1,0)),FALSE)&gt;=5,"Good","Bad"),VLOOKUP(DATE($K$1,$K$2,MXO$4),Table1[],(MATCH(Calendar!$A18,DB!$1:$1,0)),FALSE)),"")</f>
        <v/>
      </c>
      <c r="MXP18" s="28" t="str">
        <f>IFERROR(IF(MXY3="No",IF(VLOOKUP(DATE($K$1,$K$2,MXP$4),Table1[],(MATCH(Calendar!$A18,DB!$1:$1,0)),FALSE)&gt;=5,"Good","Bad"),VLOOKUP(DATE($K$1,$K$2,MXP$4),Table1[],(MATCH(Calendar!$A18,DB!$1:$1,0)),FALSE)),"")</f>
        <v/>
      </c>
      <c r="MXQ18" s="28" t="str">
        <f>IFERROR(IF(MXZ3="No",IF(VLOOKUP(DATE($K$1,$K$2,MXQ$4),Table1[],(MATCH(Calendar!$A18,DB!$1:$1,0)),FALSE)&gt;=5,"Good","Bad"),VLOOKUP(DATE($K$1,$K$2,MXQ$4),Table1[],(MATCH(Calendar!$A18,DB!$1:$1,0)),FALSE)),"")</f>
        <v/>
      </c>
      <c r="MXR18" s="28" t="str">
        <f>IFERROR(IF(MYA3="No",IF(VLOOKUP(DATE($K$1,$K$2,MXR$4),Table1[],(MATCH(Calendar!$A18,DB!$1:$1,0)),FALSE)&gt;=5,"Good","Bad"),VLOOKUP(DATE($K$1,$K$2,MXR$4),Table1[],(MATCH(Calendar!$A18,DB!$1:$1,0)),FALSE)),"")</f>
        <v/>
      </c>
      <c r="MXS18" s="28" t="str">
        <f>IFERROR(IF(MYB3="No",IF(VLOOKUP(DATE($K$1,$K$2,MXS$4),Table1[],(MATCH(Calendar!$A18,DB!$1:$1,0)),FALSE)&gt;=5,"Good","Bad"),VLOOKUP(DATE($K$1,$K$2,MXS$4),Table1[],(MATCH(Calendar!$A18,DB!$1:$1,0)),FALSE)),"")</f>
        <v/>
      </c>
      <c r="MXT18" s="28" t="str">
        <f>IFERROR(IF(MYC3="No",IF(VLOOKUP(DATE($K$1,$K$2,MXT$4),Table1[],(MATCH(Calendar!$A18,DB!$1:$1,0)),FALSE)&gt;=5,"Good","Bad"),VLOOKUP(DATE($K$1,$K$2,MXT$4),Table1[],(MATCH(Calendar!$A18,DB!$1:$1,0)),FALSE)),"")</f>
        <v/>
      </c>
      <c r="MXU18" s="28" t="str">
        <f>IFERROR(IF(MYD3="No",IF(VLOOKUP(DATE($K$1,$K$2,MXU$4),Table1[],(MATCH(Calendar!$A18,DB!$1:$1,0)),FALSE)&gt;=5,"Good","Bad"),VLOOKUP(DATE($K$1,$K$2,MXU$4),Table1[],(MATCH(Calendar!$A18,DB!$1:$1,0)),FALSE)),"")</f>
        <v/>
      </c>
      <c r="MXV18" s="28" t="str">
        <f>IFERROR(IF(MYE3="No",IF(VLOOKUP(DATE($K$1,$K$2,MXV$4),Table1[],(MATCH(Calendar!$A18,DB!$1:$1,0)),FALSE)&gt;=5,"Good","Bad"),VLOOKUP(DATE($K$1,$K$2,MXV$4),Table1[],(MATCH(Calendar!$A18,DB!$1:$1,0)),FALSE)),"")</f>
        <v/>
      </c>
      <c r="MXW18" s="28" t="str">
        <f>IFERROR(IF(MYF3="No",IF(VLOOKUP(DATE($K$1,$K$2,MXW$4),Table1[],(MATCH(Calendar!$A18,DB!$1:$1,0)),FALSE)&gt;=5,"Good","Bad"),VLOOKUP(DATE($K$1,$K$2,MXW$4),Table1[],(MATCH(Calendar!$A18,DB!$1:$1,0)),FALSE)),"")</f>
        <v/>
      </c>
      <c r="MXX18" s="28" t="str">
        <f>IFERROR(IF(MYG3="No",IF(VLOOKUP(DATE($K$1,$K$2,MXX$4),Table1[],(MATCH(Calendar!$A18,DB!$1:$1,0)),FALSE)&gt;=5,"Good","Bad"),VLOOKUP(DATE($K$1,$K$2,MXX$4),Table1[],(MATCH(Calendar!$A18,DB!$1:$1,0)),FALSE)),"")</f>
        <v/>
      </c>
      <c r="MXY18" s="28" t="str">
        <f>IFERROR(IF(MYH3="No",IF(VLOOKUP(DATE($K$1,$K$2,MXY$4),Table1[],(MATCH(Calendar!$A18,DB!$1:$1,0)),FALSE)&gt;=5,"Good","Bad"),VLOOKUP(DATE($K$1,$K$2,MXY$4),Table1[],(MATCH(Calendar!$A18,DB!$1:$1,0)),FALSE)),"")</f>
        <v/>
      </c>
      <c r="MXZ18" s="28" t="str">
        <f>IFERROR(IF(MYI3="No",IF(VLOOKUP(DATE($K$1,$K$2,MXZ$4),Table1[],(MATCH(Calendar!$A18,DB!$1:$1,0)),FALSE)&gt;=5,"Good","Bad"),VLOOKUP(DATE($K$1,$K$2,MXZ$4),Table1[],(MATCH(Calendar!$A18,DB!$1:$1,0)),FALSE)),"")</f>
        <v/>
      </c>
      <c r="MYA18" s="28" t="str">
        <f>IFERROR(IF(MYJ3="No",IF(VLOOKUP(DATE($K$1,$K$2,MYA$4),Table1[],(MATCH(Calendar!$A18,DB!$1:$1,0)),FALSE)&gt;=5,"Good","Bad"),VLOOKUP(DATE($K$1,$K$2,MYA$4),Table1[],(MATCH(Calendar!$A18,DB!$1:$1,0)),FALSE)),"")</f>
        <v/>
      </c>
      <c r="MYB18" s="28" t="str">
        <f>IFERROR(IF(MYK3="No",IF(VLOOKUP(DATE($K$1,$K$2,MYB$4),Table1[],(MATCH(Calendar!$A18,DB!$1:$1,0)),FALSE)&gt;=5,"Good","Bad"),VLOOKUP(DATE($K$1,$K$2,MYB$4),Table1[],(MATCH(Calendar!$A18,DB!$1:$1,0)),FALSE)),"")</f>
        <v/>
      </c>
      <c r="MYC18" s="28" t="str">
        <f>IFERROR(IF(MYL3="No",IF(VLOOKUP(DATE($K$1,$K$2,MYC$4),Table1[],(MATCH(Calendar!$A18,DB!$1:$1,0)),FALSE)&gt;=5,"Good","Bad"),VLOOKUP(DATE($K$1,$K$2,MYC$4),Table1[],(MATCH(Calendar!$A18,DB!$1:$1,0)),FALSE)),"")</f>
        <v/>
      </c>
      <c r="MYD18" s="28" t="str">
        <f>IFERROR(IF(MYM3="No",IF(VLOOKUP(DATE($K$1,$K$2,MYD$4),Table1[],(MATCH(Calendar!$A18,DB!$1:$1,0)),FALSE)&gt;=5,"Good","Bad"),VLOOKUP(DATE($K$1,$K$2,MYD$4),Table1[],(MATCH(Calendar!$A18,DB!$1:$1,0)),FALSE)),"")</f>
        <v/>
      </c>
      <c r="MYE18" s="28" t="str">
        <f>IFERROR(IF(MYN3="No",IF(VLOOKUP(DATE($K$1,$K$2,MYE$4),Table1[],(MATCH(Calendar!$A18,DB!$1:$1,0)),FALSE)&gt;=5,"Good","Bad"),VLOOKUP(DATE($K$1,$K$2,MYE$4),Table1[],(MATCH(Calendar!$A18,DB!$1:$1,0)),FALSE)),"")</f>
        <v/>
      </c>
      <c r="MYF18" s="28" t="str">
        <f>IFERROR(IF(MYO3="No",IF(VLOOKUP(DATE($K$1,$K$2,MYF$4),Table1[],(MATCH(Calendar!$A18,DB!$1:$1,0)),FALSE)&gt;=5,"Good","Bad"),VLOOKUP(DATE($K$1,$K$2,MYF$4),Table1[],(MATCH(Calendar!$A18,DB!$1:$1,0)),FALSE)),"")</f>
        <v/>
      </c>
      <c r="MYG18" s="28" t="str">
        <f>IFERROR(IF(MYP3="No",IF(VLOOKUP(DATE($K$1,$K$2,MYG$4),Table1[],(MATCH(Calendar!$A18,DB!$1:$1,0)),FALSE)&gt;=5,"Good","Bad"),VLOOKUP(DATE($K$1,$K$2,MYG$4),Table1[],(MATCH(Calendar!$A18,DB!$1:$1,0)),FALSE)),"")</f>
        <v/>
      </c>
      <c r="MYH18" s="28" t="str">
        <f>IFERROR(IF(MYQ3="No",IF(VLOOKUP(DATE($K$1,$K$2,MYH$4),Table1[],(MATCH(Calendar!$A18,DB!$1:$1,0)),FALSE)&gt;=5,"Good","Bad"),VLOOKUP(DATE($K$1,$K$2,MYH$4),Table1[],(MATCH(Calendar!$A18,DB!$1:$1,0)),FALSE)),"")</f>
        <v/>
      </c>
      <c r="MYI18" s="28" t="str">
        <f>IFERROR(IF(MYR3="No",IF(VLOOKUP(DATE($K$1,$K$2,MYI$4),Table1[],(MATCH(Calendar!$A18,DB!$1:$1,0)),FALSE)&gt;=5,"Good","Bad"),VLOOKUP(DATE($K$1,$K$2,MYI$4),Table1[],(MATCH(Calendar!$A18,DB!$1:$1,0)),FALSE)),"")</f>
        <v/>
      </c>
      <c r="MYJ18" s="28" t="str">
        <f>IFERROR(IF(MYS3="No",IF(VLOOKUP(DATE($K$1,$K$2,MYJ$4),Table1[],(MATCH(Calendar!$A18,DB!$1:$1,0)),FALSE)&gt;=5,"Good","Bad"),VLOOKUP(DATE($K$1,$K$2,MYJ$4),Table1[],(MATCH(Calendar!$A18,DB!$1:$1,0)),FALSE)),"")</f>
        <v/>
      </c>
      <c r="MYK18" s="28" t="str">
        <f>IFERROR(IF(MYT3="No",IF(VLOOKUP(DATE($K$1,$K$2,MYK$4),Table1[],(MATCH(Calendar!$A18,DB!$1:$1,0)),FALSE)&gt;=5,"Good","Bad"),VLOOKUP(DATE($K$1,$K$2,MYK$4),Table1[],(MATCH(Calendar!$A18,DB!$1:$1,0)),FALSE)),"")</f>
        <v/>
      </c>
      <c r="MYL18" s="28" t="str">
        <f>IFERROR(IF(MYU3="No",IF(VLOOKUP(DATE($K$1,$K$2,MYL$4),Table1[],(MATCH(Calendar!$A18,DB!$1:$1,0)),FALSE)&gt;=5,"Good","Bad"),VLOOKUP(DATE($K$1,$K$2,MYL$4),Table1[],(MATCH(Calendar!$A18,DB!$1:$1,0)),FALSE)),"")</f>
        <v/>
      </c>
      <c r="MYM18" s="28" t="str">
        <f>IFERROR(IF(MYV3="No",IF(VLOOKUP(DATE($K$1,$K$2,MYM$4),Table1[],(MATCH(Calendar!$A18,DB!$1:$1,0)),FALSE)&gt;=5,"Good","Bad"),VLOOKUP(DATE($K$1,$K$2,MYM$4),Table1[],(MATCH(Calendar!$A18,DB!$1:$1,0)),FALSE)),"")</f>
        <v/>
      </c>
      <c r="MYN18" s="28" t="str">
        <f>IFERROR(IF(MYW3="No",IF(VLOOKUP(DATE($K$1,$K$2,MYN$4),Table1[],(MATCH(Calendar!$A18,DB!$1:$1,0)),FALSE)&gt;=5,"Good","Bad"),VLOOKUP(DATE($K$1,$K$2,MYN$4),Table1[],(MATCH(Calendar!$A18,DB!$1:$1,0)),FALSE)),"")</f>
        <v/>
      </c>
      <c r="MYO18" s="28" t="str">
        <f>IFERROR(IF(MYX3="No",IF(VLOOKUP(DATE($K$1,$K$2,MYO$4),Table1[],(MATCH(Calendar!$A18,DB!$1:$1,0)),FALSE)&gt;=5,"Good","Bad"),VLOOKUP(DATE($K$1,$K$2,MYO$4),Table1[],(MATCH(Calendar!$A18,DB!$1:$1,0)),FALSE)),"")</f>
        <v/>
      </c>
      <c r="MYP18" s="28" t="str">
        <f>IFERROR(IF(MYY3="No",IF(VLOOKUP(DATE($K$1,$K$2,MYP$4),Table1[],(MATCH(Calendar!$A18,DB!$1:$1,0)),FALSE)&gt;=5,"Good","Bad"),VLOOKUP(DATE($K$1,$K$2,MYP$4),Table1[],(MATCH(Calendar!$A18,DB!$1:$1,0)),FALSE)),"")</f>
        <v/>
      </c>
      <c r="MYQ18" s="28" t="str">
        <f>IFERROR(IF(MYZ3="No",IF(VLOOKUP(DATE($K$1,$K$2,MYQ$4),Table1[],(MATCH(Calendar!$A18,DB!$1:$1,0)),FALSE)&gt;=5,"Good","Bad"),VLOOKUP(DATE($K$1,$K$2,MYQ$4),Table1[],(MATCH(Calendar!$A18,DB!$1:$1,0)),FALSE)),"")</f>
        <v/>
      </c>
      <c r="MYR18" s="28" t="str">
        <f>IFERROR(IF(MZA3="No",IF(VLOOKUP(DATE($K$1,$K$2,MYR$4),Table1[],(MATCH(Calendar!$A18,DB!$1:$1,0)),FALSE)&gt;=5,"Good","Bad"),VLOOKUP(DATE($K$1,$K$2,MYR$4),Table1[],(MATCH(Calendar!$A18,DB!$1:$1,0)),FALSE)),"")</f>
        <v/>
      </c>
      <c r="MYS18" s="28" t="str">
        <f>IFERROR(IF(MZB3="No",IF(VLOOKUP(DATE($K$1,$K$2,MYS$4),Table1[],(MATCH(Calendar!$A18,DB!$1:$1,0)),FALSE)&gt;=5,"Good","Bad"),VLOOKUP(DATE($K$1,$K$2,MYS$4),Table1[],(MATCH(Calendar!$A18,DB!$1:$1,0)),FALSE)),"")</f>
        <v/>
      </c>
      <c r="MYT18" s="28" t="str">
        <f>IFERROR(IF(MZC3="No",IF(VLOOKUP(DATE($K$1,$K$2,MYT$4),Table1[],(MATCH(Calendar!$A18,DB!$1:$1,0)),FALSE)&gt;=5,"Good","Bad"),VLOOKUP(DATE($K$1,$K$2,MYT$4),Table1[],(MATCH(Calendar!$A18,DB!$1:$1,0)),FALSE)),"")</f>
        <v/>
      </c>
      <c r="MYU18" s="28" t="str">
        <f>IFERROR(IF(MZD3="No",IF(VLOOKUP(DATE($K$1,$K$2,MYU$4),Table1[],(MATCH(Calendar!$A18,DB!$1:$1,0)),FALSE)&gt;=5,"Good","Bad"),VLOOKUP(DATE($K$1,$K$2,MYU$4),Table1[],(MATCH(Calendar!$A18,DB!$1:$1,0)),FALSE)),"")</f>
        <v/>
      </c>
      <c r="MYV18" s="28" t="str">
        <f>IFERROR(IF(MZE3="No",IF(VLOOKUP(DATE($K$1,$K$2,MYV$4),Table1[],(MATCH(Calendar!$A18,DB!$1:$1,0)),FALSE)&gt;=5,"Good","Bad"),VLOOKUP(DATE($K$1,$K$2,MYV$4),Table1[],(MATCH(Calendar!$A18,DB!$1:$1,0)),FALSE)),"")</f>
        <v/>
      </c>
      <c r="MYW18" s="28" t="str">
        <f>IFERROR(IF(MZF3="No",IF(VLOOKUP(DATE($K$1,$K$2,MYW$4),Table1[],(MATCH(Calendar!$A18,DB!$1:$1,0)),FALSE)&gt;=5,"Good","Bad"),VLOOKUP(DATE($K$1,$K$2,MYW$4),Table1[],(MATCH(Calendar!$A18,DB!$1:$1,0)),FALSE)),"")</f>
        <v/>
      </c>
      <c r="MYX18" s="28" t="str">
        <f>IFERROR(IF(MZG3="No",IF(VLOOKUP(DATE($K$1,$K$2,MYX$4),Table1[],(MATCH(Calendar!$A18,DB!$1:$1,0)),FALSE)&gt;=5,"Good","Bad"),VLOOKUP(DATE($K$1,$K$2,MYX$4),Table1[],(MATCH(Calendar!$A18,DB!$1:$1,0)),FALSE)),"")</f>
        <v/>
      </c>
      <c r="MYY18" s="28" t="str">
        <f>IFERROR(IF(MZH3="No",IF(VLOOKUP(DATE($K$1,$K$2,MYY$4),Table1[],(MATCH(Calendar!$A18,DB!$1:$1,0)),FALSE)&gt;=5,"Good","Bad"),VLOOKUP(DATE($K$1,$K$2,MYY$4),Table1[],(MATCH(Calendar!$A18,DB!$1:$1,0)),FALSE)),"")</f>
        <v/>
      </c>
      <c r="MYZ18" s="28" t="str">
        <f>IFERROR(IF(MZI3="No",IF(VLOOKUP(DATE($K$1,$K$2,MYZ$4),Table1[],(MATCH(Calendar!$A18,DB!$1:$1,0)),FALSE)&gt;=5,"Good","Bad"),VLOOKUP(DATE($K$1,$K$2,MYZ$4),Table1[],(MATCH(Calendar!$A18,DB!$1:$1,0)),FALSE)),"")</f>
        <v/>
      </c>
      <c r="MZA18" s="28" t="str">
        <f>IFERROR(IF(MZJ3="No",IF(VLOOKUP(DATE($K$1,$K$2,MZA$4),Table1[],(MATCH(Calendar!$A18,DB!$1:$1,0)),FALSE)&gt;=5,"Good","Bad"),VLOOKUP(DATE($K$1,$K$2,MZA$4),Table1[],(MATCH(Calendar!$A18,DB!$1:$1,0)),FALSE)),"")</f>
        <v/>
      </c>
      <c r="MZB18" s="28" t="str">
        <f>IFERROR(IF(MZK3="No",IF(VLOOKUP(DATE($K$1,$K$2,MZB$4),Table1[],(MATCH(Calendar!$A18,DB!$1:$1,0)),FALSE)&gt;=5,"Good","Bad"),VLOOKUP(DATE($K$1,$K$2,MZB$4),Table1[],(MATCH(Calendar!$A18,DB!$1:$1,0)),FALSE)),"")</f>
        <v/>
      </c>
      <c r="MZC18" s="28" t="str">
        <f>IFERROR(IF(MZL3="No",IF(VLOOKUP(DATE($K$1,$K$2,MZC$4),Table1[],(MATCH(Calendar!$A18,DB!$1:$1,0)),FALSE)&gt;=5,"Good","Bad"),VLOOKUP(DATE($K$1,$K$2,MZC$4),Table1[],(MATCH(Calendar!$A18,DB!$1:$1,0)),FALSE)),"")</f>
        <v/>
      </c>
      <c r="MZD18" s="28" t="str">
        <f>IFERROR(IF(MZM3="No",IF(VLOOKUP(DATE($K$1,$K$2,MZD$4),Table1[],(MATCH(Calendar!$A18,DB!$1:$1,0)),FALSE)&gt;=5,"Good","Bad"),VLOOKUP(DATE($K$1,$K$2,MZD$4),Table1[],(MATCH(Calendar!$A18,DB!$1:$1,0)),FALSE)),"")</f>
        <v/>
      </c>
      <c r="MZE18" s="28" t="str">
        <f>IFERROR(IF(MZN3="No",IF(VLOOKUP(DATE($K$1,$K$2,MZE$4),Table1[],(MATCH(Calendar!$A18,DB!$1:$1,0)),FALSE)&gt;=5,"Good","Bad"),VLOOKUP(DATE($K$1,$K$2,MZE$4),Table1[],(MATCH(Calendar!$A18,DB!$1:$1,0)),FALSE)),"")</f>
        <v/>
      </c>
      <c r="MZF18" s="28" t="str">
        <f>IFERROR(IF(MZO3="No",IF(VLOOKUP(DATE($K$1,$K$2,MZF$4),Table1[],(MATCH(Calendar!$A18,DB!$1:$1,0)),FALSE)&gt;=5,"Good","Bad"),VLOOKUP(DATE($K$1,$K$2,MZF$4),Table1[],(MATCH(Calendar!$A18,DB!$1:$1,0)),FALSE)),"")</f>
        <v/>
      </c>
      <c r="MZG18" s="28" t="str">
        <f>IFERROR(IF(MZP3="No",IF(VLOOKUP(DATE($K$1,$K$2,MZG$4),Table1[],(MATCH(Calendar!$A18,DB!$1:$1,0)),FALSE)&gt;=5,"Good","Bad"),VLOOKUP(DATE($K$1,$K$2,MZG$4),Table1[],(MATCH(Calendar!$A18,DB!$1:$1,0)),FALSE)),"")</f>
        <v/>
      </c>
      <c r="MZH18" s="28" t="str">
        <f>IFERROR(IF(MZQ3="No",IF(VLOOKUP(DATE($K$1,$K$2,MZH$4),Table1[],(MATCH(Calendar!$A18,DB!$1:$1,0)),FALSE)&gt;=5,"Good","Bad"),VLOOKUP(DATE($K$1,$K$2,MZH$4),Table1[],(MATCH(Calendar!$A18,DB!$1:$1,0)),FALSE)),"")</f>
        <v/>
      </c>
      <c r="MZI18" s="28" t="str">
        <f>IFERROR(IF(MZR3="No",IF(VLOOKUP(DATE($K$1,$K$2,MZI$4),Table1[],(MATCH(Calendar!$A18,DB!$1:$1,0)),FALSE)&gt;=5,"Good","Bad"),VLOOKUP(DATE($K$1,$K$2,MZI$4),Table1[],(MATCH(Calendar!$A18,DB!$1:$1,0)),FALSE)),"")</f>
        <v/>
      </c>
      <c r="MZJ18" s="28" t="str">
        <f>IFERROR(IF(MZS3="No",IF(VLOOKUP(DATE($K$1,$K$2,MZJ$4),Table1[],(MATCH(Calendar!$A18,DB!$1:$1,0)),FALSE)&gt;=5,"Good","Bad"),VLOOKUP(DATE($K$1,$K$2,MZJ$4),Table1[],(MATCH(Calendar!$A18,DB!$1:$1,0)),FALSE)),"")</f>
        <v/>
      </c>
      <c r="MZK18" s="28" t="str">
        <f>IFERROR(IF(MZT3="No",IF(VLOOKUP(DATE($K$1,$K$2,MZK$4),Table1[],(MATCH(Calendar!$A18,DB!$1:$1,0)),FALSE)&gt;=5,"Good","Bad"),VLOOKUP(DATE($K$1,$K$2,MZK$4),Table1[],(MATCH(Calendar!$A18,DB!$1:$1,0)),FALSE)),"")</f>
        <v/>
      </c>
      <c r="MZL18" s="28" t="str">
        <f>IFERROR(IF(MZU3="No",IF(VLOOKUP(DATE($K$1,$K$2,MZL$4),Table1[],(MATCH(Calendar!$A18,DB!$1:$1,0)),FALSE)&gt;=5,"Good","Bad"),VLOOKUP(DATE($K$1,$K$2,MZL$4),Table1[],(MATCH(Calendar!$A18,DB!$1:$1,0)),FALSE)),"")</f>
        <v/>
      </c>
      <c r="MZM18" s="28" t="str">
        <f>IFERROR(IF(MZV3="No",IF(VLOOKUP(DATE($K$1,$K$2,MZM$4),Table1[],(MATCH(Calendar!$A18,DB!$1:$1,0)),FALSE)&gt;=5,"Good","Bad"),VLOOKUP(DATE($K$1,$K$2,MZM$4),Table1[],(MATCH(Calendar!$A18,DB!$1:$1,0)),FALSE)),"")</f>
        <v/>
      </c>
      <c r="MZN18" s="28" t="str">
        <f>IFERROR(IF(MZW3="No",IF(VLOOKUP(DATE($K$1,$K$2,MZN$4),Table1[],(MATCH(Calendar!$A18,DB!$1:$1,0)),FALSE)&gt;=5,"Good","Bad"),VLOOKUP(DATE($K$1,$K$2,MZN$4),Table1[],(MATCH(Calendar!$A18,DB!$1:$1,0)),FALSE)),"")</f>
        <v/>
      </c>
      <c r="MZO18" s="28" t="str">
        <f>IFERROR(IF(MZX3="No",IF(VLOOKUP(DATE($K$1,$K$2,MZO$4),Table1[],(MATCH(Calendar!$A18,DB!$1:$1,0)),FALSE)&gt;=5,"Good","Bad"),VLOOKUP(DATE($K$1,$K$2,MZO$4),Table1[],(MATCH(Calendar!$A18,DB!$1:$1,0)),FALSE)),"")</f>
        <v/>
      </c>
      <c r="MZP18" s="28" t="str">
        <f>IFERROR(IF(MZY3="No",IF(VLOOKUP(DATE($K$1,$K$2,MZP$4),Table1[],(MATCH(Calendar!$A18,DB!$1:$1,0)),FALSE)&gt;=5,"Good","Bad"),VLOOKUP(DATE($K$1,$K$2,MZP$4),Table1[],(MATCH(Calendar!$A18,DB!$1:$1,0)),FALSE)),"")</f>
        <v/>
      </c>
      <c r="MZQ18" s="28" t="str">
        <f>IFERROR(IF(MZZ3="No",IF(VLOOKUP(DATE($K$1,$K$2,MZQ$4),Table1[],(MATCH(Calendar!$A18,DB!$1:$1,0)),FALSE)&gt;=5,"Good","Bad"),VLOOKUP(DATE($K$1,$K$2,MZQ$4),Table1[],(MATCH(Calendar!$A18,DB!$1:$1,0)),FALSE)),"")</f>
        <v/>
      </c>
      <c r="MZR18" s="28" t="str">
        <f>IFERROR(IF(NAA3="No",IF(VLOOKUP(DATE($K$1,$K$2,MZR$4),Table1[],(MATCH(Calendar!$A18,DB!$1:$1,0)),FALSE)&gt;=5,"Good","Bad"),VLOOKUP(DATE($K$1,$K$2,MZR$4),Table1[],(MATCH(Calendar!$A18,DB!$1:$1,0)),FALSE)),"")</f>
        <v/>
      </c>
      <c r="MZS18" s="28" t="str">
        <f>IFERROR(IF(NAB3="No",IF(VLOOKUP(DATE($K$1,$K$2,MZS$4),Table1[],(MATCH(Calendar!$A18,DB!$1:$1,0)),FALSE)&gt;=5,"Good","Bad"),VLOOKUP(DATE($K$1,$K$2,MZS$4),Table1[],(MATCH(Calendar!$A18,DB!$1:$1,0)),FALSE)),"")</f>
        <v/>
      </c>
      <c r="MZT18" s="28" t="str">
        <f>IFERROR(IF(NAC3="No",IF(VLOOKUP(DATE($K$1,$K$2,MZT$4),Table1[],(MATCH(Calendar!$A18,DB!$1:$1,0)),FALSE)&gt;=5,"Good","Bad"),VLOOKUP(DATE($K$1,$K$2,MZT$4),Table1[],(MATCH(Calendar!$A18,DB!$1:$1,0)),FALSE)),"")</f>
        <v/>
      </c>
      <c r="MZU18" s="28" t="str">
        <f>IFERROR(IF(NAD3="No",IF(VLOOKUP(DATE($K$1,$K$2,MZU$4),Table1[],(MATCH(Calendar!$A18,DB!$1:$1,0)),FALSE)&gt;=5,"Good","Bad"),VLOOKUP(DATE($K$1,$K$2,MZU$4),Table1[],(MATCH(Calendar!$A18,DB!$1:$1,0)),FALSE)),"")</f>
        <v/>
      </c>
      <c r="MZV18" s="28" t="str">
        <f>IFERROR(IF(NAE3="No",IF(VLOOKUP(DATE($K$1,$K$2,MZV$4),Table1[],(MATCH(Calendar!$A18,DB!$1:$1,0)),FALSE)&gt;=5,"Good","Bad"),VLOOKUP(DATE($K$1,$K$2,MZV$4),Table1[],(MATCH(Calendar!$A18,DB!$1:$1,0)),FALSE)),"")</f>
        <v/>
      </c>
      <c r="MZW18" s="28" t="str">
        <f>IFERROR(IF(NAF3="No",IF(VLOOKUP(DATE($K$1,$K$2,MZW$4),Table1[],(MATCH(Calendar!$A18,DB!$1:$1,0)),FALSE)&gt;=5,"Good","Bad"),VLOOKUP(DATE($K$1,$K$2,MZW$4),Table1[],(MATCH(Calendar!$A18,DB!$1:$1,0)),FALSE)),"")</f>
        <v/>
      </c>
      <c r="MZX18" s="28" t="str">
        <f>IFERROR(IF(NAG3="No",IF(VLOOKUP(DATE($K$1,$K$2,MZX$4),Table1[],(MATCH(Calendar!$A18,DB!$1:$1,0)),FALSE)&gt;=5,"Good","Bad"),VLOOKUP(DATE($K$1,$K$2,MZX$4),Table1[],(MATCH(Calendar!$A18,DB!$1:$1,0)),FALSE)),"")</f>
        <v/>
      </c>
      <c r="MZY18" s="28" t="str">
        <f>IFERROR(IF(NAH3="No",IF(VLOOKUP(DATE($K$1,$K$2,MZY$4),Table1[],(MATCH(Calendar!$A18,DB!$1:$1,0)),FALSE)&gt;=5,"Good","Bad"),VLOOKUP(DATE($K$1,$K$2,MZY$4),Table1[],(MATCH(Calendar!$A18,DB!$1:$1,0)),FALSE)),"")</f>
        <v/>
      </c>
      <c r="MZZ18" s="28" t="str">
        <f>IFERROR(IF(NAI3="No",IF(VLOOKUP(DATE($K$1,$K$2,MZZ$4),Table1[],(MATCH(Calendar!$A18,DB!$1:$1,0)),FALSE)&gt;=5,"Good","Bad"),VLOOKUP(DATE($K$1,$K$2,MZZ$4),Table1[],(MATCH(Calendar!$A18,DB!$1:$1,0)),FALSE)),"")</f>
        <v/>
      </c>
      <c r="NAA18" s="28" t="str">
        <f>IFERROR(IF(NAJ3="No",IF(VLOOKUP(DATE($K$1,$K$2,NAA$4),Table1[],(MATCH(Calendar!$A18,DB!$1:$1,0)),FALSE)&gt;=5,"Good","Bad"),VLOOKUP(DATE($K$1,$K$2,NAA$4),Table1[],(MATCH(Calendar!$A18,DB!$1:$1,0)),FALSE)),"")</f>
        <v/>
      </c>
      <c r="NAB18" s="28" t="str">
        <f>IFERROR(IF(NAK3="No",IF(VLOOKUP(DATE($K$1,$K$2,NAB$4),Table1[],(MATCH(Calendar!$A18,DB!$1:$1,0)),FALSE)&gt;=5,"Good","Bad"),VLOOKUP(DATE($K$1,$K$2,NAB$4),Table1[],(MATCH(Calendar!$A18,DB!$1:$1,0)),FALSE)),"")</f>
        <v/>
      </c>
      <c r="NAC18" s="28" t="str">
        <f>IFERROR(IF(NAL3="No",IF(VLOOKUP(DATE($K$1,$K$2,NAC$4),Table1[],(MATCH(Calendar!$A18,DB!$1:$1,0)),FALSE)&gt;=5,"Good","Bad"),VLOOKUP(DATE($K$1,$K$2,NAC$4),Table1[],(MATCH(Calendar!$A18,DB!$1:$1,0)),FALSE)),"")</f>
        <v/>
      </c>
      <c r="NAD18" s="28" t="str">
        <f>IFERROR(IF(NAM3="No",IF(VLOOKUP(DATE($K$1,$K$2,NAD$4),Table1[],(MATCH(Calendar!$A18,DB!$1:$1,0)),FALSE)&gt;=5,"Good","Bad"),VLOOKUP(DATE($K$1,$K$2,NAD$4),Table1[],(MATCH(Calendar!$A18,DB!$1:$1,0)),FALSE)),"")</f>
        <v/>
      </c>
      <c r="NAE18" s="28" t="str">
        <f>IFERROR(IF(NAN3="No",IF(VLOOKUP(DATE($K$1,$K$2,NAE$4),Table1[],(MATCH(Calendar!$A18,DB!$1:$1,0)),FALSE)&gt;=5,"Good","Bad"),VLOOKUP(DATE($K$1,$K$2,NAE$4),Table1[],(MATCH(Calendar!$A18,DB!$1:$1,0)),FALSE)),"")</f>
        <v/>
      </c>
      <c r="NAF18" s="28" t="str">
        <f>IFERROR(IF(NAO3="No",IF(VLOOKUP(DATE($K$1,$K$2,NAF$4),Table1[],(MATCH(Calendar!$A18,DB!$1:$1,0)),FALSE)&gt;=5,"Good","Bad"),VLOOKUP(DATE($K$1,$K$2,NAF$4),Table1[],(MATCH(Calendar!$A18,DB!$1:$1,0)),FALSE)),"")</f>
        <v/>
      </c>
      <c r="NAG18" s="28" t="str">
        <f>IFERROR(IF(NAP3="No",IF(VLOOKUP(DATE($K$1,$K$2,NAG$4),Table1[],(MATCH(Calendar!$A18,DB!$1:$1,0)),FALSE)&gt;=5,"Good","Bad"),VLOOKUP(DATE($K$1,$K$2,NAG$4),Table1[],(MATCH(Calendar!$A18,DB!$1:$1,0)),FALSE)),"")</f>
        <v/>
      </c>
      <c r="NAH18" s="28" t="str">
        <f>IFERROR(IF(NAQ3="No",IF(VLOOKUP(DATE($K$1,$K$2,NAH$4),Table1[],(MATCH(Calendar!$A18,DB!$1:$1,0)),FALSE)&gt;=5,"Good","Bad"),VLOOKUP(DATE($K$1,$K$2,NAH$4),Table1[],(MATCH(Calendar!$A18,DB!$1:$1,0)),FALSE)),"")</f>
        <v/>
      </c>
      <c r="NAI18" s="28" t="str">
        <f>IFERROR(IF(NAR3="No",IF(VLOOKUP(DATE($K$1,$K$2,NAI$4),Table1[],(MATCH(Calendar!$A18,DB!$1:$1,0)),FALSE)&gt;=5,"Good","Bad"),VLOOKUP(DATE($K$1,$K$2,NAI$4),Table1[],(MATCH(Calendar!$A18,DB!$1:$1,0)),FALSE)),"")</f>
        <v/>
      </c>
      <c r="NAJ18" s="28" t="str">
        <f>IFERROR(IF(NAS3="No",IF(VLOOKUP(DATE($K$1,$K$2,NAJ$4),Table1[],(MATCH(Calendar!$A18,DB!$1:$1,0)),FALSE)&gt;=5,"Good","Bad"),VLOOKUP(DATE($K$1,$K$2,NAJ$4),Table1[],(MATCH(Calendar!$A18,DB!$1:$1,0)),FALSE)),"")</f>
        <v/>
      </c>
      <c r="NAK18" s="28" t="str">
        <f>IFERROR(IF(NAT3="No",IF(VLOOKUP(DATE($K$1,$K$2,NAK$4),Table1[],(MATCH(Calendar!$A18,DB!$1:$1,0)),FALSE)&gt;=5,"Good","Bad"),VLOOKUP(DATE($K$1,$K$2,NAK$4),Table1[],(MATCH(Calendar!$A18,DB!$1:$1,0)),FALSE)),"")</f>
        <v/>
      </c>
      <c r="NAL18" s="28" t="str">
        <f>IFERROR(IF(NAU3="No",IF(VLOOKUP(DATE($K$1,$K$2,NAL$4),Table1[],(MATCH(Calendar!$A18,DB!$1:$1,0)),FALSE)&gt;=5,"Good","Bad"),VLOOKUP(DATE($K$1,$K$2,NAL$4),Table1[],(MATCH(Calendar!$A18,DB!$1:$1,0)),FALSE)),"")</f>
        <v/>
      </c>
      <c r="NAM18" s="28" t="str">
        <f>IFERROR(IF(NAV3="No",IF(VLOOKUP(DATE($K$1,$K$2,NAM$4),Table1[],(MATCH(Calendar!$A18,DB!$1:$1,0)),FALSE)&gt;=5,"Good","Bad"),VLOOKUP(DATE($K$1,$K$2,NAM$4),Table1[],(MATCH(Calendar!$A18,DB!$1:$1,0)),FALSE)),"")</f>
        <v/>
      </c>
      <c r="NAN18" s="28" t="str">
        <f>IFERROR(IF(NAW3="No",IF(VLOOKUP(DATE($K$1,$K$2,NAN$4),Table1[],(MATCH(Calendar!$A18,DB!$1:$1,0)),FALSE)&gt;=5,"Good","Bad"),VLOOKUP(DATE($K$1,$K$2,NAN$4),Table1[],(MATCH(Calendar!$A18,DB!$1:$1,0)),FALSE)),"")</f>
        <v/>
      </c>
      <c r="NAO18" s="28" t="str">
        <f>IFERROR(IF(NAX3="No",IF(VLOOKUP(DATE($K$1,$K$2,NAO$4),Table1[],(MATCH(Calendar!$A18,DB!$1:$1,0)),FALSE)&gt;=5,"Good","Bad"),VLOOKUP(DATE($K$1,$K$2,NAO$4),Table1[],(MATCH(Calendar!$A18,DB!$1:$1,0)),FALSE)),"")</f>
        <v/>
      </c>
      <c r="NAP18" s="28" t="str">
        <f>IFERROR(IF(NAY3="No",IF(VLOOKUP(DATE($K$1,$K$2,NAP$4),Table1[],(MATCH(Calendar!$A18,DB!$1:$1,0)),FALSE)&gt;=5,"Good","Bad"),VLOOKUP(DATE($K$1,$K$2,NAP$4),Table1[],(MATCH(Calendar!$A18,DB!$1:$1,0)),FALSE)),"")</f>
        <v/>
      </c>
      <c r="NAQ18" s="28" t="str">
        <f>IFERROR(IF(NAZ3="No",IF(VLOOKUP(DATE($K$1,$K$2,NAQ$4),Table1[],(MATCH(Calendar!$A18,DB!$1:$1,0)),FALSE)&gt;=5,"Good","Bad"),VLOOKUP(DATE($K$1,$K$2,NAQ$4),Table1[],(MATCH(Calendar!$A18,DB!$1:$1,0)),FALSE)),"")</f>
        <v/>
      </c>
      <c r="NAR18" s="28" t="str">
        <f>IFERROR(IF(NBA3="No",IF(VLOOKUP(DATE($K$1,$K$2,NAR$4),Table1[],(MATCH(Calendar!$A18,DB!$1:$1,0)),FALSE)&gt;=5,"Good","Bad"),VLOOKUP(DATE($K$1,$K$2,NAR$4),Table1[],(MATCH(Calendar!$A18,DB!$1:$1,0)),FALSE)),"")</f>
        <v/>
      </c>
      <c r="NAS18" s="28" t="str">
        <f>IFERROR(IF(NBB3="No",IF(VLOOKUP(DATE($K$1,$K$2,NAS$4),Table1[],(MATCH(Calendar!$A18,DB!$1:$1,0)),FALSE)&gt;=5,"Good","Bad"),VLOOKUP(DATE($K$1,$K$2,NAS$4),Table1[],(MATCH(Calendar!$A18,DB!$1:$1,0)),FALSE)),"")</f>
        <v/>
      </c>
      <c r="NAT18" s="28" t="str">
        <f>IFERROR(IF(NBC3="No",IF(VLOOKUP(DATE($K$1,$K$2,NAT$4),Table1[],(MATCH(Calendar!$A18,DB!$1:$1,0)),FALSE)&gt;=5,"Good","Bad"),VLOOKUP(DATE($K$1,$K$2,NAT$4),Table1[],(MATCH(Calendar!$A18,DB!$1:$1,0)),FALSE)),"")</f>
        <v/>
      </c>
      <c r="NAU18" s="28" t="str">
        <f>IFERROR(IF(NBD3="No",IF(VLOOKUP(DATE($K$1,$K$2,NAU$4),Table1[],(MATCH(Calendar!$A18,DB!$1:$1,0)),FALSE)&gt;=5,"Good","Bad"),VLOOKUP(DATE($K$1,$K$2,NAU$4),Table1[],(MATCH(Calendar!$A18,DB!$1:$1,0)),FALSE)),"")</f>
        <v/>
      </c>
      <c r="NAV18" s="28" t="str">
        <f>IFERROR(IF(NBE3="No",IF(VLOOKUP(DATE($K$1,$K$2,NAV$4),Table1[],(MATCH(Calendar!$A18,DB!$1:$1,0)),FALSE)&gt;=5,"Good","Bad"),VLOOKUP(DATE($K$1,$K$2,NAV$4),Table1[],(MATCH(Calendar!$A18,DB!$1:$1,0)),FALSE)),"")</f>
        <v/>
      </c>
      <c r="NAW18" s="28" t="str">
        <f>IFERROR(IF(NBF3="No",IF(VLOOKUP(DATE($K$1,$K$2,NAW$4),Table1[],(MATCH(Calendar!$A18,DB!$1:$1,0)),FALSE)&gt;=5,"Good","Bad"),VLOOKUP(DATE($K$1,$K$2,NAW$4),Table1[],(MATCH(Calendar!$A18,DB!$1:$1,0)),FALSE)),"")</f>
        <v/>
      </c>
      <c r="NAX18" s="28" t="str">
        <f>IFERROR(IF(NBG3="No",IF(VLOOKUP(DATE($K$1,$K$2,NAX$4),Table1[],(MATCH(Calendar!$A18,DB!$1:$1,0)),FALSE)&gt;=5,"Good","Bad"),VLOOKUP(DATE($K$1,$K$2,NAX$4),Table1[],(MATCH(Calendar!$A18,DB!$1:$1,0)),FALSE)),"")</f>
        <v/>
      </c>
      <c r="NAY18" s="28" t="str">
        <f>IFERROR(IF(NBH3="No",IF(VLOOKUP(DATE($K$1,$K$2,NAY$4),Table1[],(MATCH(Calendar!$A18,DB!$1:$1,0)),FALSE)&gt;=5,"Good","Bad"),VLOOKUP(DATE($K$1,$K$2,NAY$4),Table1[],(MATCH(Calendar!$A18,DB!$1:$1,0)),FALSE)),"")</f>
        <v/>
      </c>
      <c r="NAZ18" s="28" t="str">
        <f>IFERROR(IF(NBI3="No",IF(VLOOKUP(DATE($K$1,$K$2,NAZ$4),Table1[],(MATCH(Calendar!$A18,DB!$1:$1,0)),FALSE)&gt;=5,"Good","Bad"),VLOOKUP(DATE($K$1,$K$2,NAZ$4),Table1[],(MATCH(Calendar!$A18,DB!$1:$1,0)),FALSE)),"")</f>
        <v/>
      </c>
      <c r="NBA18" s="28" t="str">
        <f>IFERROR(IF(NBJ3="No",IF(VLOOKUP(DATE($K$1,$K$2,NBA$4),Table1[],(MATCH(Calendar!$A18,DB!$1:$1,0)),FALSE)&gt;=5,"Good","Bad"),VLOOKUP(DATE($K$1,$K$2,NBA$4),Table1[],(MATCH(Calendar!$A18,DB!$1:$1,0)),FALSE)),"")</f>
        <v/>
      </c>
      <c r="NBB18" s="28" t="str">
        <f>IFERROR(IF(NBK3="No",IF(VLOOKUP(DATE($K$1,$K$2,NBB$4),Table1[],(MATCH(Calendar!$A18,DB!$1:$1,0)),FALSE)&gt;=5,"Good","Bad"),VLOOKUP(DATE($K$1,$K$2,NBB$4),Table1[],(MATCH(Calendar!$A18,DB!$1:$1,0)),FALSE)),"")</f>
        <v/>
      </c>
      <c r="NBC18" s="28" t="str">
        <f>IFERROR(IF(NBL3="No",IF(VLOOKUP(DATE($K$1,$K$2,NBC$4),Table1[],(MATCH(Calendar!$A18,DB!$1:$1,0)),FALSE)&gt;=5,"Good","Bad"),VLOOKUP(DATE($K$1,$K$2,NBC$4),Table1[],(MATCH(Calendar!$A18,DB!$1:$1,0)),FALSE)),"")</f>
        <v/>
      </c>
      <c r="NBD18" s="28" t="str">
        <f>IFERROR(IF(NBM3="No",IF(VLOOKUP(DATE($K$1,$K$2,NBD$4),Table1[],(MATCH(Calendar!$A18,DB!$1:$1,0)),FALSE)&gt;=5,"Good","Bad"),VLOOKUP(DATE($K$1,$K$2,NBD$4),Table1[],(MATCH(Calendar!$A18,DB!$1:$1,0)),FALSE)),"")</f>
        <v/>
      </c>
      <c r="NBE18" s="28" t="str">
        <f>IFERROR(IF(NBN3="No",IF(VLOOKUP(DATE($K$1,$K$2,NBE$4),Table1[],(MATCH(Calendar!$A18,DB!$1:$1,0)),FALSE)&gt;=5,"Good","Bad"),VLOOKUP(DATE($K$1,$K$2,NBE$4),Table1[],(MATCH(Calendar!$A18,DB!$1:$1,0)),FALSE)),"")</f>
        <v/>
      </c>
      <c r="NBF18" s="28" t="str">
        <f>IFERROR(IF(NBO3="No",IF(VLOOKUP(DATE($K$1,$K$2,NBF$4),Table1[],(MATCH(Calendar!$A18,DB!$1:$1,0)),FALSE)&gt;=5,"Good","Bad"),VLOOKUP(DATE($K$1,$K$2,NBF$4),Table1[],(MATCH(Calendar!$A18,DB!$1:$1,0)),FALSE)),"")</f>
        <v/>
      </c>
      <c r="NBG18" s="28" t="str">
        <f>IFERROR(IF(NBP3="No",IF(VLOOKUP(DATE($K$1,$K$2,NBG$4),Table1[],(MATCH(Calendar!$A18,DB!$1:$1,0)),FALSE)&gt;=5,"Good","Bad"),VLOOKUP(DATE($K$1,$K$2,NBG$4),Table1[],(MATCH(Calendar!$A18,DB!$1:$1,0)),FALSE)),"")</f>
        <v/>
      </c>
      <c r="NBH18" s="28" t="str">
        <f>IFERROR(IF(NBQ3="No",IF(VLOOKUP(DATE($K$1,$K$2,NBH$4),Table1[],(MATCH(Calendar!$A18,DB!$1:$1,0)),FALSE)&gt;=5,"Good","Bad"),VLOOKUP(DATE($K$1,$K$2,NBH$4),Table1[],(MATCH(Calendar!$A18,DB!$1:$1,0)),FALSE)),"")</f>
        <v/>
      </c>
      <c r="NBI18" s="28" t="str">
        <f>IFERROR(IF(NBR3="No",IF(VLOOKUP(DATE($K$1,$K$2,NBI$4),Table1[],(MATCH(Calendar!$A18,DB!$1:$1,0)),FALSE)&gt;=5,"Good","Bad"),VLOOKUP(DATE($K$1,$K$2,NBI$4),Table1[],(MATCH(Calendar!$A18,DB!$1:$1,0)),FALSE)),"")</f>
        <v/>
      </c>
      <c r="NBJ18" s="28" t="str">
        <f>IFERROR(IF(NBS3="No",IF(VLOOKUP(DATE($K$1,$K$2,NBJ$4),Table1[],(MATCH(Calendar!$A18,DB!$1:$1,0)),FALSE)&gt;=5,"Good","Bad"),VLOOKUP(DATE($K$1,$K$2,NBJ$4),Table1[],(MATCH(Calendar!$A18,DB!$1:$1,0)),FALSE)),"")</f>
        <v/>
      </c>
      <c r="NBK18" s="28" t="str">
        <f>IFERROR(IF(NBT3="No",IF(VLOOKUP(DATE($K$1,$K$2,NBK$4),Table1[],(MATCH(Calendar!$A18,DB!$1:$1,0)),FALSE)&gt;=5,"Good","Bad"),VLOOKUP(DATE($K$1,$K$2,NBK$4),Table1[],(MATCH(Calendar!$A18,DB!$1:$1,0)),FALSE)),"")</f>
        <v/>
      </c>
      <c r="NBL18" s="28" t="str">
        <f>IFERROR(IF(NBU3="No",IF(VLOOKUP(DATE($K$1,$K$2,NBL$4),Table1[],(MATCH(Calendar!$A18,DB!$1:$1,0)),FALSE)&gt;=5,"Good","Bad"),VLOOKUP(DATE($K$1,$K$2,NBL$4),Table1[],(MATCH(Calendar!$A18,DB!$1:$1,0)),FALSE)),"")</f>
        <v/>
      </c>
      <c r="NBM18" s="28" t="str">
        <f>IFERROR(IF(NBV3="No",IF(VLOOKUP(DATE($K$1,$K$2,NBM$4),Table1[],(MATCH(Calendar!$A18,DB!$1:$1,0)),FALSE)&gt;=5,"Good","Bad"),VLOOKUP(DATE($K$1,$K$2,NBM$4),Table1[],(MATCH(Calendar!$A18,DB!$1:$1,0)),FALSE)),"")</f>
        <v/>
      </c>
      <c r="NBN18" s="28" t="str">
        <f>IFERROR(IF(NBW3="No",IF(VLOOKUP(DATE($K$1,$K$2,NBN$4),Table1[],(MATCH(Calendar!$A18,DB!$1:$1,0)),FALSE)&gt;=5,"Good","Bad"),VLOOKUP(DATE($K$1,$K$2,NBN$4),Table1[],(MATCH(Calendar!$A18,DB!$1:$1,0)),FALSE)),"")</f>
        <v/>
      </c>
      <c r="NBO18" s="28" t="str">
        <f>IFERROR(IF(NBX3="No",IF(VLOOKUP(DATE($K$1,$K$2,NBO$4),Table1[],(MATCH(Calendar!$A18,DB!$1:$1,0)),FALSE)&gt;=5,"Good","Bad"),VLOOKUP(DATE($K$1,$K$2,NBO$4),Table1[],(MATCH(Calendar!$A18,DB!$1:$1,0)),FALSE)),"")</f>
        <v/>
      </c>
      <c r="NBP18" s="28" t="str">
        <f>IFERROR(IF(NBY3="No",IF(VLOOKUP(DATE($K$1,$K$2,NBP$4),Table1[],(MATCH(Calendar!$A18,DB!$1:$1,0)),FALSE)&gt;=5,"Good","Bad"),VLOOKUP(DATE($K$1,$K$2,NBP$4),Table1[],(MATCH(Calendar!$A18,DB!$1:$1,0)),FALSE)),"")</f>
        <v/>
      </c>
      <c r="NBQ18" s="28" t="str">
        <f>IFERROR(IF(NBZ3="No",IF(VLOOKUP(DATE($K$1,$K$2,NBQ$4),Table1[],(MATCH(Calendar!$A18,DB!$1:$1,0)),FALSE)&gt;=5,"Good","Bad"),VLOOKUP(DATE($K$1,$K$2,NBQ$4),Table1[],(MATCH(Calendar!$A18,DB!$1:$1,0)),FALSE)),"")</f>
        <v/>
      </c>
      <c r="NBR18" s="28" t="str">
        <f>IFERROR(IF(NCA3="No",IF(VLOOKUP(DATE($K$1,$K$2,NBR$4),Table1[],(MATCH(Calendar!$A18,DB!$1:$1,0)),FALSE)&gt;=5,"Good","Bad"),VLOOKUP(DATE($K$1,$K$2,NBR$4),Table1[],(MATCH(Calendar!$A18,DB!$1:$1,0)),FALSE)),"")</f>
        <v/>
      </c>
      <c r="NBS18" s="28" t="str">
        <f>IFERROR(IF(NCB3="No",IF(VLOOKUP(DATE($K$1,$K$2,NBS$4),Table1[],(MATCH(Calendar!$A18,DB!$1:$1,0)),FALSE)&gt;=5,"Good","Bad"),VLOOKUP(DATE($K$1,$K$2,NBS$4),Table1[],(MATCH(Calendar!$A18,DB!$1:$1,0)),FALSE)),"")</f>
        <v/>
      </c>
      <c r="NBT18" s="28" t="str">
        <f>IFERROR(IF(NCC3="No",IF(VLOOKUP(DATE($K$1,$K$2,NBT$4),Table1[],(MATCH(Calendar!$A18,DB!$1:$1,0)),FALSE)&gt;=5,"Good","Bad"),VLOOKUP(DATE($K$1,$K$2,NBT$4),Table1[],(MATCH(Calendar!$A18,DB!$1:$1,0)),FALSE)),"")</f>
        <v/>
      </c>
      <c r="NBU18" s="28" t="str">
        <f>IFERROR(IF(NCD3="No",IF(VLOOKUP(DATE($K$1,$K$2,NBU$4),Table1[],(MATCH(Calendar!$A18,DB!$1:$1,0)),FALSE)&gt;=5,"Good","Bad"),VLOOKUP(DATE($K$1,$K$2,NBU$4),Table1[],(MATCH(Calendar!$A18,DB!$1:$1,0)),FALSE)),"")</f>
        <v/>
      </c>
      <c r="NBV18" s="28" t="str">
        <f>IFERROR(IF(NCE3="No",IF(VLOOKUP(DATE($K$1,$K$2,NBV$4),Table1[],(MATCH(Calendar!$A18,DB!$1:$1,0)),FALSE)&gt;=5,"Good","Bad"),VLOOKUP(DATE($K$1,$K$2,NBV$4),Table1[],(MATCH(Calendar!$A18,DB!$1:$1,0)),FALSE)),"")</f>
        <v/>
      </c>
      <c r="NBW18" s="28" t="str">
        <f>IFERROR(IF(NCF3="No",IF(VLOOKUP(DATE($K$1,$K$2,NBW$4),Table1[],(MATCH(Calendar!$A18,DB!$1:$1,0)),FALSE)&gt;=5,"Good","Bad"),VLOOKUP(DATE($K$1,$K$2,NBW$4),Table1[],(MATCH(Calendar!$A18,DB!$1:$1,0)),FALSE)),"")</f>
        <v/>
      </c>
      <c r="NBX18" s="28" t="str">
        <f>IFERROR(IF(NCG3="No",IF(VLOOKUP(DATE($K$1,$K$2,NBX$4),Table1[],(MATCH(Calendar!$A18,DB!$1:$1,0)),FALSE)&gt;=5,"Good","Bad"),VLOOKUP(DATE($K$1,$K$2,NBX$4),Table1[],(MATCH(Calendar!$A18,DB!$1:$1,0)),FALSE)),"")</f>
        <v/>
      </c>
      <c r="NBY18" s="28" t="str">
        <f>IFERROR(IF(NCH3="No",IF(VLOOKUP(DATE($K$1,$K$2,NBY$4),Table1[],(MATCH(Calendar!$A18,DB!$1:$1,0)),FALSE)&gt;=5,"Good","Bad"),VLOOKUP(DATE($K$1,$K$2,NBY$4),Table1[],(MATCH(Calendar!$A18,DB!$1:$1,0)),FALSE)),"")</f>
        <v/>
      </c>
      <c r="NBZ18" s="28" t="str">
        <f>IFERROR(IF(NCI3="No",IF(VLOOKUP(DATE($K$1,$K$2,NBZ$4),Table1[],(MATCH(Calendar!$A18,DB!$1:$1,0)),FALSE)&gt;=5,"Good","Bad"),VLOOKUP(DATE($K$1,$K$2,NBZ$4),Table1[],(MATCH(Calendar!$A18,DB!$1:$1,0)),FALSE)),"")</f>
        <v/>
      </c>
      <c r="NCA18" s="28" t="str">
        <f>IFERROR(IF(NCJ3="No",IF(VLOOKUP(DATE($K$1,$K$2,NCA$4),Table1[],(MATCH(Calendar!$A18,DB!$1:$1,0)),FALSE)&gt;=5,"Good","Bad"),VLOOKUP(DATE($K$1,$K$2,NCA$4),Table1[],(MATCH(Calendar!$A18,DB!$1:$1,0)),FALSE)),"")</f>
        <v/>
      </c>
      <c r="NCB18" s="28" t="str">
        <f>IFERROR(IF(NCK3="No",IF(VLOOKUP(DATE($K$1,$K$2,NCB$4),Table1[],(MATCH(Calendar!$A18,DB!$1:$1,0)),FALSE)&gt;=5,"Good","Bad"),VLOOKUP(DATE($K$1,$K$2,NCB$4),Table1[],(MATCH(Calendar!$A18,DB!$1:$1,0)),FALSE)),"")</f>
        <v/>
      </c>
      <c r="NCC18" s="28" t="str">
        <f>IFERROR(IF(NCL3="No",IF(VLOOKUP(DATE($K$1,$K$2,NCC$4),Table1[],(MATCH(Calendar!$A18,DB!$1:$1,0)),FALSE)&gt;=5,"Good","Bad"),VLOOKUP(DATE($K$1,$K$2,NCC$4),Table1[],(MATCH(Calendar!$A18,DB!$1:$1,0)),FALSE)),"")</f>
        <v/>
      </c>
      <c r="NCD18" s="28" t="str">
        <f>IFERROR(IF(NCM3="No",IF(VLOOKUP(DATE($K$1,$K$2,NCD$4),Table1[],(MATCH(Calendar!$A18,DB!$1:$1,0)),FALSE)&gt;=5,"Good","Bad"),VLOOKUP(DATE($K$1,$K$2,NCD$4),Table1[],(MATCH(Calendar!$A18,DB!$1:$1,0)),FALSE)),"")</f>
        <v/>
      </c>
      <c r="NCE18" s="28" t="str">
        <f>IFERROR(IF(NCN3="No",IF(VLOOKUP(DATE($K$1,$K$2,NCE$4),Table1[],(MATCH(Calendar!$A18,DB!$1:$1,0)),FALSE)&gt;=5,"Good","Bad"),VLOOKUP(DATE($K$1,$K$2,NCE$4),Table1[],(MATCH(Calendar!$A18,DB!$1:$1,0)),FALSE)),"")</f>
        <v/>
      </c>
      <c r="NCF18" s="28" t="str">
        <f>IFERROR(IF(NCO3="No",IF(VLOOKUP(DATE($K$1,$K$2,NCF$4),Table1[],(MATCH(Calendar!$A18,DB!$1:$1,0)),FALSE)&gt;=5,"Good","Bad"),VLOOKUP(DATE($K$1,$K$2,NCF$4),Table1[],(MATCH(Calendar!$A18,DB!$1:$1,0)),FALSE)),"")</f>
        <v/>
      </c>
      <c r="NCG18" s="28" t="str">
        <f>IFERROR(IF(NCP3="No",IF(VLOOKUP(DATE($K$1,$K$2,NCG$4),Table1[],(MATCH(Calendar!$A18,DB!$1:$1,0)),FALSE)&gt;=5,"Good","Bad"),VLOOKUP(DATE($K$1,$K$2,NCG$4),Table1[],(MATCH(Calendar!$A18,DB!$1:$1,0)),FALSE)),"")</f>
        <v/>
      </c>
      <c r="NCH18" s="28" t="str">
        <f>IFERROR(IF(NCQ3="No",IF(VLOOKUP(DATE($K$1,$K$2,NCH$4),Table1[],(MATCH(Calendar!$A18,DB!$1:$1,0)),FALSE)&gt;=5,"Good","Bad"),VLOOKUP(DATE($K$1,$K$2,NCH$4),Table1[],(MATCH(Calendar!$A18,DB!$1:$1,0)),FALSE)),"")</f>
        <v/>
      </c>
      <c r="NCI18" s="28" t="str">
        <f>IFERROR(IF(NCR3="No",IF(VLOOKUP(DATE($K$1,$K$2,NCI$4),Table1[],(MATCH(Calendar!$A18,DB!$1:$1,0)),FALSE)&gt;=5,"Good","Bad"),VLOOKUP(DATE($K$1,$K$2,NCI$4),Table1[],(MATCH(Calendar!$A18,DB!$1:$1,0)),FALSE)),"")</f>
        <v/>
      </c>
      <c r="NCJ18" s="28" t="str">
        <f>IFERROR(IF(NCS3="No",IF(VLOOKUP(DATE($K$1,$K$2,NCJ$4),Table1[],(MATCH(Calendar!$A18,DB!$1:$1,0)),FALSE)&gt;=5,"Good","Bad"),VLOOKUP(DATE($K$1,$K$2,NCJ$4),Table1[],(MATCH(Calendar!$A18,DB!$1:$1,0)),FALSE)),"")</f>
        <v/>
      </c>
      <c r="NCK18" s="28" t="str">
        <f>IFERROR(IF(NCT3="No",IF(VLOOKUP(DATE($K$1,$K$2,NCK$4),Table1[],(MATCH(Calendar!$A18,DB!$1:$1,0)),FALSE)&gt;=5,"Good","Bad"),VLOOKUP(DATE($K$1,$K$2,NCK$4),Table1[],(MATCH(Calendar!$A18,DB!$1:$1,0)),FALSE)),"")</f>
        <v/>
      </c>
      <c r="NCL18" s="28" t="str">
        <f>IFERROR(IF(NCU3="No",IF(VLOOKUP(DATE($K$1,$K$2,NCL$4),Table1[],(MATCH(Calendar!$A18,DB!$1:$1,0)),FALSE)&gt;=5,"Good","Bad"),VLOOKUP(DATE($K$1,$K$2,NCL$4),Table1[],(MATCH(Calendar!$A18,DB!$1:$1,0)),FALSE)),"")</f>
        <v/>
      </c>
      <c r="NCM18" s="28" t="str">
        <f>IFERROR(IF(NCV3="No",IF(VLOOKUP(DATE($K$1,$K$2,NCM$4),Table1[],(MATCH(Calendar!$A18,DB!$1:$1,0)),FALSE)&gt;=5,"Good","Bad"),VLOOKUP(DATE($K$1,$K$2,NCM$4),Table1[],(MATCH(Calendar!$A18,DB!$1:$1,0)),FALSE)),"")</f>
        <v/>
      </c>
      <c r="NCN18" s="28" t="str">
        <f>IFERROR(IF(NCW3="No",IF(VLOOKUP(DATE($K$1,$K$2,NCN$4),Table1[],(MATCH(Calendar!$A18,DB!$1:$1,0)),FALSE)&gt;=5,"Good","Bad"),VLOOKUP(DATE($K$1,$K$2,NCN$4),Table1[],(MATCH(Calendar!$A18,DB!$1:$1,0)),FALSE)),"")</f>
        <v/>
      </c>
      <c r="NCO18" s="28" t="str">
        <f>IFERROR(IF(NCX3="No",IF(VLOOKUP(DATE($K$1,$K$2,NCO$4),Table1[],(MATCH(Calendar!$A18,DB!$1:$1,0)),FALSE)&gt;=5,"Good","Bad"),VLOOKUP(DATE($K$1,$K$2,NCO$4),Table1[],(MATCH(Calendar!$A18,DB!$1:$1,0)),FALSE)),"")</f>
        <v/>
      </c>
      <c r="NCP18" s="28" t="str">
        <f>IFERROR(IF(NCY3="No",IF(VLOOKUP(DATE($K$1,$K$2,NCP$4),Table1[],(MATCH(Calendar!$A18,DB!$1:$1,0)),FALSE)&gt;=5,"Good","Bad"),VLOOKUP(DATE($K$1,$K$2,NCP$4),Table1[],(MATCH(Calendar!$A18,DB!$1:$1,0)),FALSE)),"")</f>
        <v/>
      </c>
      <c r="NCQ18" s="28" t="str">
        <f>IFERROR(IF(NCZ3="No",IF(VLOOKUP(DATE($K$1,$K$2,NCQ$4),Table1[],(MATCH(Calendar!$A18,DB!$1:$1,0)),FALSE)&gt;=5,"Good","Bad"),VLOOKUP(DATE($K$1,$K$2,NCQ$4),Table1[],(MATCH(Calendar!$A18,DB!$1:$1,0)),FALSE)),"")</f>
        <v/>
      </c>
      <c r="NCR18" s="28" t="str">
        <f>IFERROR(IF(NDA3="No",IF(VLOOKUP(DATE($K$1,$K$2,NCR$4),Table1[],(MATCH(Calendar!$A18,DB!$1:$1,0)),FALSE)&gt;=5,"Good","Bad"),VLOOKUP(DATE($K$1,$K$2,NCR$4),Table1[],(MATCH(Calendar!$A18,DB!$1:$1,0)),FALSE)),"")</f>
        <v/>
      </c>
      <c r="NCS18" s="28" t="str">
        <f>IFERROR(IF(NDB3="No",IF(VLOOKUP(DATE($K$1,$K$2,NCS$4),Table1[],(MATCH(Calendar!$A18,DB!$1:$1,0)),FALSE)&gt;=5,"Good","Bad"),VLOOKUP(DATE($K$1,$K$2,NCS$4),Table1[],(MATCH(Calendar!$A18,DB!$1:$1,0)),FALSE)),"")</f>
        <v/>
      </c>
      <c r="NCT18" s="28" t="str">
        <f>IFERROR(IF(NDC3="No",IF(VLOOKUP(DATE($K$1,$K$2,NCT$4),Table1[],(MATCH(Calendar!$A18,DB!$1:$1,0)),FALSE)&gt;=5,"Good","Bad"),VLOOKUP(DATE($K$1,$K$2,NCT$4),Table1[],(MATCH(Calendar!$A18,DB!$1:$1,0)),FALSE)),"")</f>
        <v/>
      </c>
      <c r="NCU18" s="28" t="str">
        <f>IFERROR(IF(NDD3="No",IF(VLOOKUP(DATE($K$1,$K$2,NCU$4),Table1[],(MATCH(Calendar!$A18,DB!$1:$1,0)),FALSE)&gt;=5,"Good","Bad"),VLOOKUP(DATE($K$1,$K$2,NCU$4),Table1[],(MATCH(Calendar!$A18,DB!$1:$1,0)),FALSE)),"")</f>
        <v/>
      </c>
      <c r="NCV18" s="28" t="str">
        <f>IFERROR(IF(NDE3="No",IF(VLOOKUP(DATE($K$1,$K$2,NCV$4),Table1[],(MATCH(Calendar!$A18,DB!$1:$1,0)),FALSE)&gt;=5,"Good","Bad"),VLOOKUP(DATE($K$1,$K$2,NCV$4),Table1[],(MATCH(Calendar!$A18,DB!$1:$1,0)),FALSE)),"")</f>
        <v/>
      </c>
      <c r="NCW18" s="28" t="str">
        <f>IFERROR(IF(NDF3="No",IF(VLOOKUP(DATE($K$1,$K$2,NCW$4),Table1[],(MATCH(Calendar!$A18,DB!$1:$1,0)),FALSE)&gt;=5,"Good","Bad"),VLOOKUP(DATE($K$1,$K$2,NCW$4),Table1[],(MATCH(Calendar!$A18,DB!$1:$1,0)),FALSE)),"")</f>
        <v/>
      </c>
      <c r="NCX18" s="28" t="str">
        <f>IFERROR(IF(NDG3="No",IF(VLOOKUP(DATE($K$1,$K$2,NCX$4),Table1[],(MATCH(Calendar!$A18,DB!$1:$1,0)),FALSE)&gt;=5,"Good","Bad"),VLOOKUP(DATE($K$1,$K$2,NCX$4),Table1[],(MATCH(Calendar!$A18,DB!$1:$1,0)),FALSE)),"")</f>
        <v/>
      </c>
      <c r="NCY18" s="28" t="str">
        <f>IFERROR(IF(NDH3="No",IF(VLOOKUP(DATE($K$1,$K$2,NCY$4),Table1[],(MATCH(Calendar!$A18,DB!$1:$1,0)),FALSE)&gt;=5,"Good","Bad"),VLOOKUP(DATE($K$1,$K$2,NCY$4),Table1[],(MATCH(Calendar!$A18,DB!$1:$1,0)),FALSE)),"")</f>
        <v/>
      </c>
      <c r="NCZ18" s="28" t="str">
        <f>IFERROR(IF(NDI3="No",IF(VLOOKUP(DATE($K$1,$K$2,NCZ$4),Table1[],(MATCH(Calendar!$A18,DB!$1:$1,0)),FALSE)&gt;=5,"Good","Bad"),VLOOKUP(DATE($K$1,$K$2,NCZ$4),Table1[],(MATCH(Calendar!$A18,DB!$1:$1,0)),FALSE)),"")</f>
        <v/>
      </c>
      <c r="NDA18" s="28" t="str">
        <f>IFERROR(IF(NDJ3="No",IF(VLOOKUP(DATE($K$1,$K$2,NDA$4),Table1[],(MATCH(Calendar!$A18,DB!$1:$1,0)),FALSE)&gt;=5,"Good","Bad"),VLOOKUP(DATE($K$1,$K$2,NDA$4),Table1[],(MATCH(Calendar!$A18,DB!$1:$1,0)),FALSE)),"")</f>
        <v/>
      </c>
      <c r="NDB18" s="28" t="str">
        <f>IFERROR(IF(NDK3="No",IF(VLOOKUP(DATE($K$1,$K$2,NDB$4),Table1[],(MATCH(Calendar!$A18,DB!$1:$1,0)),FALSE)&gt;=5,"Good","Bad"),VLOOKUP(DATE($K$1,$K$2,NDB$4),Table1[],(MATCH(Calendar!$A18,DB!$1:$1,0)),FALSE)),"")</f>
        <v/>
      </c>
      <c r="NDC18" s="28" t="str">
        <f>IFERROR(IF(NDL3="No",IF(VLOOKUP(DATE($K$1,$K$2,NDC$4),Table1[],(MATCH(Calendar!$A18,DB!$1:$1,0)),FALSE)&gt;=5,"Good","Bad"),VLOOKUP(DATE($K$1,$K$2,NDC$4),Table1[],(MATCH(Calendar!$A18,DB!$1:$1,0)),FALSE)),"")</f>
        <v/>
      </c>
      <c r="NDD18" s="28" t="str">
        <f>IFERROR(IF(NDM3="No",IF(VLOOKUP(DATE($K$1,$K$2,NDD$4),Table1[],(MATCH(Calendar!$A18,DB!$1:$1,0)),FALSE)&gt;=5,"Good","Bad"),VLOOKUP(DATE($K$1,$K$2,NDD$4),Table1[],(MATCH(Calendar!$A18,DB!$1:$1,0)),FALSE)),"")</f>
        <v/>
      </c>
      <c r="NDE18" s="28" t="str">
        <f>IFERROR(IF(NDN3="No",IF(VLOOKUP(DATE($K$1,$K$2,NDE$4),Table1[],(MATCH(Calendar!$A18,DB!$1:$1,0)),FALSE)&gt;=5,"Good","Bad"),VLOOKUP(DATE($K$1,$K$2,NDE$4),Table1[],(MATCH(Calendar!$A18,DB!$1:$1,0)),FALSE)),"")</f>
        <v/>
      </c>
      <c r="NDF18" s="28" t="str">
        <f>IFERROR(IF(NDO3="No",IF(VLOOKUP(DATE($K$1,$K$2,NDF$4),Table1[],(MATCH(Calendar!$A18,DB!$1:$1,0)),FALSE)&gt;=5,"Good","Bad"),VLOOKUP(DATE($K$1,$K$2,NDF$4),Table1[],(MATCH(Calendar!$A18,DB!$1:$1,0)),FALSE)),"")</f>
        <v/>
      </c>
      <c r="NDG18" s="28" t="str">
        <f>IFERROR(IF(NDP3="No",IF(VLOOKUP(DATE($K$1,$K$2,NDG$4),Table1[],(MATCH(Calendar!$A18,DB!$1:$1,0)),FALSE)&gt;=5,"Good","Bad"),VLOOKUP(DATE($K$1,$K$2,NDG$4),Table1[],(MATCH(Calendar!$A18,DB!$1:$1,0)),FALSE)),"")</f>
        <v/>
      </c>
      <c r="NDH18" s="28" t="str">
        <f>IFERROR(IF(NDQ3="No",IF(VLOOKUP(DATE($K$1,$K$2,NDH$4),Table1[],(MATCH(Calendar!$A18,DB!$1:$1,0)),FALSE)&gt;=5,"Good","Bad"),VLOOKUP(DATE($K$1,$K$2,NDH$4),Table1[],(MATCH(Calendar!$A18,DB!$1:$1,0)),FALSE)),"")</f>
        <v/>
      </c>
      <c r="NDI18" s="28" t="str">
        <f>IFERROR(IF(NDR3="No",IF(VLOOKUP(DATE($K$1,$K$2,NDI$4),Table1[],(MATCH(Calendar!$A18,DB!$1:$1,0)),FALSE)&gt;=5,"Good","Bad"),VLOOKUP(DATE($K$1,$K$2,NDI$4),Table1[],(MATCH(Calendar!$A18,DB!$1:$1,0)),FALSE)),"")</f>
        <v/>
      </c>
      <c r="NDJ18" s="28" t="str">
        <f>IFERROR(IF(NDS3="No",IF(VLOOKUP(DATE($K$1,$K$2,NDJ$4),Table1[],(MATCH(Calendar!$A18,DB!$1:$1,0)),FALSE)&gt;=5,"Good","Bad"),VLOOKUP(DATE($K$1,$K$2,NDJ$4),Table1[],(MATCH(Calendar!$A18,DB!$1:$1,0)),FALSE)),"")</f>
        <v/>
      </c>
      <c r="NDK18" s="28" t="str">
        <f>IFERROR(IF(NDT3="No",IF(VLOOKUP(DATE($K$1,$K$2,NDK$4),Table1[],(MATCH(Calendar!$A18,DB!$1:$1,0)),FALSE)&gt;=5,"Good","Bad"),VLOOKUP(DATE($K$1,$K$2,NDK$4),Table1[],(MATCH(Calendar!$A18,DB!$1:$1,0)),FALSE)),"")</f>
        <v/>
      </c>
      <c r="NDL18" s="28" t="str">
        <f>IFERROR(IF(NDU3="No",IF(VLOOKUP(DATE($K$1,$K$2,NDL$4),Table1[],(MATCH(Calendar!$A18,DB!$1:$1,0)),FALSE)&gt;=5,"Good","Bad"),VLOOKUP(DATE($K$1,$K$2,NDL$4),Table1[],(MATCH(Calendar!$A18,DB!$1:$1,0)),FALSE)),"")</f>
        <v/>
      </c>
      <c r="NDM18" s="28" t="str">
        <f>IFERROR(IF(NDV3="No",IF(VLOOKUP(DATE($K$1,$K$2,NDM$4),Table1[],(MATCH(Calendar!$A18,DB!$1:$1,0)),FALSE)&gt;=5,"Good","Bad"),VLOOKUP(DATE($K$1,$K$2,NDM$4),Table1[],(MATCH(Calendar!$A18,DB!$1:$1,0)),FALSE)),"")</f>
        <v/>
      </c>
      <c r="NDN18" s="28" t="str">
        <f>IFERROR(IF(NDW3="No",IF(VLOOKUP(DATE($K$1,$K$2,NDN$4),Table1[],(MATCH(Calendar!$A18,DB!$1:$1,0)),FALSE)&gt;=5,"Good","Bad"),VLOOKUP(DATE($K$1,$K$2,NDN$4),Table1[],(MATCH(Calendar!$A18,DB!$1:$1,0)),FALSE)),"")</f>
        <v/>
      </c>
      <c r="NDO18" s="28" t="str">
        <f>IFERROR(IF(NDX3="No",IF(VLOOKUP(DATE($K$1,$K$2,NDO$4),Table1[],(MATCH(Calendar!$A18,DB!$1:$1,0)),FALSE)&gt;=5,"Good","Bad"),VLOOKUP(DATE($K$1,$K$2,NDO$4),Table1[],(MATCH(Calendar!$A18,DB!$1:$1,0)),FALSE)),"")</f>
        <v/>
      </c>
      <c r="NDP18" s="28" t="str">
        <f>IFERROR(IF(NDY3="No",IF(VLOOKUP(DATE($K$1,$K$2,NDP$4),Table1[],(MATCH(Calendar!$A18,DB!$1:$1,0)),FALSE)&gt;=5,"Good","Bad"),VLOOKUP(DATE($K$1,$K$2,NDP$4),Table1[],(MATCH(Calendar!$A18,DB!$1:$1,0)),FALSE)),"")</f>
        <v/>
      </c>
      <c r="NDQ18" s="28" t="str">
        <f>IFERROR(IF(NDZ3="No",IF(VLOOKUP(DATE($K$1,$K$2,NDQ$4),Table1[],(MATCH(Calendar!$A18,DB!$1:$1,0)),FALSE)&gt;=5,"Good","Bad"),VLOOKUP(DATE($K$1,$K$2,NDQ$4),Table1[],(MATCH(Calendar!$A18,DB!$1:$1,0)),FALSE)),"")</f>
        <v/>
      </c>
      <c r="NDR18" s="28" t="str">
        <f>IFERROR(IF(NEA3="No",IF(VLOOKUP(DATE($K$1,$K$2,NDR$4),Table1[],(MATCH(Calendar!$A18,DB!$1:$1,0)),FALSE)&gt;=5,"Good","Bad"),VLOOKUP(DATE($K$1,$K$2,NDR$4),Table1[],(MATCH(Calendar!$A18,DB!$1:$1,0)),FALSE)),"")</f>
        <v/>
      </c>
      <c r="NDS18" s="28" t="str">
        <f>IFERROR(IF(NEB3="No",IF(VLOOKUP(DATE($K$1,$K$2,NDS$4),Table1[],(MATCH(Calendar!$A18,DB!$1:$1,0)),FALSE)&gt;=5,"Good","Bad"),VLOOKUP(DATE($K$1,$K$2,NDS$4),Table1[],(MATCH(Calendar!$A18,DB!$1:$1,0)),FALSE)),"")</f>
        <v/>
      </c>
      <c r="NDT18" s="28" t="str">
        <f>IFERROR(IF(NEC3="No",IF(VLOOKUP(DATE($K$1,$K$2,NDT$4),Table1[],(MATCH(Calendar!$A18,DB!$1:$1,0)),FALSE)&gt;=5,"Good","Bad"),VLOOKUP(DATE($K$1,$K$2,NDT$4),Table1[],(MATCH(Calendar!$A18,DB!$1:$1,0)),FALSE)),"")</f>
        <v/>
      </c>
      <c r="NDU18" s="28" t="str">
        <f>IFERROR(IF(NED3="No",IF(VLOOKUP(DATE($K$1,$K$2,NDU$4),Table1[],(MATCH(Calendar!$A18,DB!$1:$1,0)),FALSE)&gt;=5,"Good","Bad"),VLOOKUP(DATE($K$1,$K$2,NDU$4),Table1[],(MATCH(Calendar!$A18,DB!$1:$1,0)),FALSE)),"")</f>
        <v/>
      </c>
      <c r="NDV18" s="28" t="str">
        <f>IFERROR(IF(NEE3="No",IF(VLOOKUP(DATE($K$1,$K$2,NDV$4),Table1[],(MATCH(Calendar!$A18,DB!$1:$1,0)),FALSE)&gt;=5,"Good","Bad"),VLOOKUP(DATE($K$1,$K$2,NDV$4),Table1[],(MATCH(Calendar!$A18,DB!$1:$1,0)),FALSE)),"")</f>
        <v/>
      </c>
      <c r="NDW18" s="28" t="str">
        <f>IFERROR(IF(NEF3="No",IF(VLOOKUP(DATE($K$1,$K$2,NDW$4),Table1[],(MATCH(Calendar!$A18,DB!$1:$1,0)),FALSE)&gt;=5,"Good","Bad"),VLOOKUP(DATE($K$1,$K$2,NDW$4),Table1[],(MATCH(Calendar!$A18,DB!$1:$1,0)),FALSE)),"")</f>
        <v/>
      </c>
      <c r="NDX18" s="28" t="str">
        <f>IFERROR(IF(NEG3="No",IF(VLOOKUP(DATE($K$1,$K$2,NDX$4),Table1[],(MATCH(Calendar!$A18,DB!$1:$1,0)),FALSE)&gt;=5,"Good","Bad"),VLOOKUP(DATE($K$1,$K$2,NDX$4),Table1[],(MATCH(Calendar!$A18,DB!$1:$1,0)),FALSE)),"")</f>
        <v/>
      </c>
      <c r="NDY18" s="28" t="str">
        <f>IFERROR(IF(NEH3="No",IF(VLOOKUP(DATE($K$1,$K$2,NDY$4),Table1[],(MATCH(Calendar!$A18,DB!$1:$1,0)),FALSE)&gt;=5,"Good","Bad"),VLOOKUP(DATE($K$1,$K$2,NDY$4),Table1[],(MATCH(Calendar!$A18,DB!$1:$1,0)),FALSE)),"")</f>
        <v/>
      </c>
      <c r="NDZ18" s="28" t="str">
        <f>IFERROR(IF(NEI3="No",IF(VLOOKUP(DATE($K$1,$K$2,NDZ$4),Table1[],(MATCH(Calendar!$A18,DB!$1:$1,0)),FALSE)&gt;=5,"Good","Bad"),VLOOKUP(DATE($K$1,$K$2,NDZ$4),Table1[],(MATCH(Calendar!$A18,DB!$1:$1,0)),FALSE)),"")</f>
        <v/>
      </c>
      <c r="NEA18" s="28" t="str">
        <f>IFERROR(IF(NEJ3="No",IF(VLOOKUP(DATE($K$1,$K$2,NEA$4),Table1[],(MATCH(Calendar!$A18,DB!$1:$1,0)),FALSE)&gt;=5,"Good","Bad"),VLOOKUP(DATE($K$1,$K$2,NEA$4),Table1[],(MATCH(Calendar!$A18,DB!$1:$1,0)),FALSE)),"")</f>
        <v/>
      </c>
      <c r="NEB18" s="28" t="str">
        <f>IFERROR(IF(NEK3="No",IF(VLOOKUP(DATE($K$1,$K$2,NEB$4),Table1[],(MATCH(Calendar!$A18,DB!$1:$1,0)),FALSE)&gt;=5,"Good","Bad"),VLOOKUP(DATE($K$1,$K$2,NEB$4),Table1[],(MATCH(Calendar!$A18,DB!$1:$1,0)),FALSE)),"")</f>
        <v/>
      </c>
      <c r="NEC18" s="28" t="str">
        <f>IFERROR(IF(NEL3="No",IF(VLOOKUP(DATE($K$1,$K$2,NEC$4),Table1[],(MATCH(Calendar!$A18,DB!$1:$1,0)),FALSE)&gt;=5,"Good","Bad"),VLOOKUP(DATE($K$1,$K$2,NEC$4),Table1[],(MATCH(Calendar!$A18,DB!$1:$1,0)),FALSE)),"")</f>
        <v/>
      </c>
      <c r="NED18" s="28" t="str">
        <f>IFERROR(IF(NEM3="No",IF(VLOOKUP(DATE($K$1,$K$2,NED$4),Table1[],(MATCH(Calendar!$A18,DB!$1:$1,0)),FALSE)&gt;=5,"Good","Bad"),VLOOKUP(DATE($K$1,$K$2,NED$4),Table1[],(MATCH(Calendar!$A18,DB!$1:$1,0)),FALSE)),"")</f>
        <v/>
      </c>
      <c r="NEE18" s="28" t="str">
        <f>IFERROR(IF(NEN3="No",IF(VLOOKUP(DATE($K$1,$K$2,NEE$4),Table1[],(MATCH(Calendar!$A18,DB!$1:$1,0)),FALSE)&gt;=5,"Good","Bad"),VLOOKUP(DATE($K$1,$K$2,NEE$4),Table1[],(MATCH(Calendar!$A18,DB!$1:$1,0)),FALSE)),"")</f>
        <v/>
      </c>
      <c r="NEF18" s="28" t="str">
        <f>IFERROR(IF(NEO3="No",IF(VLOOKUP(DATE($K$1,$K$2,NEF$4),Table1[],(MATCH(Calendar!$A18,DB!$1:$1,0)),FALSE)&gt;=5,"Good","Bad"),VLOOKUP(DATE($K$1,$K$2,NEF$4),Table1[],(MATCH(Calendar!$A18,DB!$1:$1,0)),FALSE)),"")</f>
        <v/>
      </c>
      <c r="NEG18" s="28" t="str">
        <f>IFERROR(IF(NEP3="No",IF(VLOOKUP(DATE($K$1,$K$2,NEG$4),Table1[],(MATCH(Calendar!$A18,DB!$1:$1,0)),FALSE)&gt;=5,"Good","Bad"),VLOOKUP(DATE($K$1,$K$2,NEG$4),Table1[],(MATCH(Calendar!$A18,DB!$1:$1,0)),FALSE)),"")</f>
        <v/>
      </c>
      <c r="NEH18" s="28" t="str">
        <f>IFERROR(IF(NEQ3="No",IF(VLOOKUP(DATE($K$1,$K$2,NEH$4),Table1[],(MATCH(Calendar!$A18,DB!$1:$1,0)),FALSE)&gt;=5,"Good","Bad"),VLOOKUP(DATE($K$1,$K$2,NEH$4),Table1[],(MATCH(Calendar!$A18,DB!$1:$1,0)),FALSE)),"")</f>
        <v/>
      </c>
      <c r="NEI18" s="28" t="str">
        <f>IFERROR(IF(NER3="No",IF(VLOOKUP(DATE($K$1,$K$2,NEI$4),Table1[],(MATCH(Calendar!$A18,DB!$1:$1,0)),FALSE)&gt;=5,"Good","Bad"),VLOOKUP(DATE($K$1,$K$2,NEI$4),Table1[],(MATCH(Calendar!$A18,DB!$1:$1,0)),FALSE)),"")</f>
        <v/>
      </c>
      <c r="NEJ18" s="28" t="str">
        <f>IFERROR(IF(NES3="No",IF(VLOOKUP(DATE($K$1,$K$2,NEJ$4),Table1[],(MATCH(Calendar!$A18,DB!$1:$1,0)),FALSE)&gt;=5,"Good","Bad"),VLOOKUP(DATE($K$1,$K$2,NEJ$4),Table1[],(MATCH(Calendar!$A18,DB!$1:$1,0)),FALSE)),"")</f>
        <v/>
      </c>
      <c r="NEK18" s="28" t="str">
        <f>IFERROR(IF(NET3="No",IF(VLOOKUP(DATE($K$1,$K$2,NEK$4),Table1[],(MATCH(Calendar!$A18,DB!$1:$1,0)),FALSE)&gt;=5,"Good","Bad"),VLOOKUP(DATE($K$1,$K$2,NEK$4),Table1[],(MATCH(Calendar!$A18,DB!$1:$1,0)),FALSE)),"")</f>
        <v/>
      </c>
      <c r="NEL18" s="28" t="str">
        <f>IFERROR(IF(NEU3="No",IF(VLOOKUP(DATE($K$1,$K$2,NEL$4),Table1[],(MATCH(Calendar!$A18,DB!$1:$1,0)),FALSE)&gt;=5,"Good","Bad"),VLOOKUP(DATE($K$1,$K$2,NEL$4),Table1[],(MATCH(Calendar!$A18,DB!$1:$1,0)),FALSE)),"")</f>
        <v/>
      </c>
      <c r="NEM18" s="28" t="str">
        <f>IFERROR(IF(NEV3="No",IF(VLOOKUP(DATE($K$1,$K$2,NEM$4),Table1[],(MATCH(Calendar!$A18,DB!$1:$1,0)),FALSE)&gt;=5,"Good","Bad"),VLOOKUP(DATE($K$1,$K$2,NEM$4),Table1[],(MATCH(Calendar!$A18,DB!$1:$1,0)),FALSE)),"")</f>
        <v/>
      </c>
      <c r="NEN18" s="28" t="str">
        <f>IFERROR(IF(NEW3="No",IF(VLOOKUP(DATE($K$1,$K$2,NEN$4),Table1[],(MATCH(Calendar!$A18,DB!$1:$1,0)),FALSE)&gt;=5,"Good","Bad"),VLOOKUP(DATE($K$1,$K$2,NEN$4),Table1[],(MATCH(Calendar!$A18,DB!$1:$1,0)),FALSE)),"")</f>
        <v/>
      </c>
      <c r="NEO18" s="28" t="str">
        <f>IFERROR(IF(NEX3="No",IF(VLOOKUP(DATE($K$1,$K$2,NEO$4),Table1[],(MATCH(Calendar!$A18,DB!$1:$1,0)),FALSE)&gt;=5,"Good","Bad"),VLOOKUP(DATE($K$1,$K$2,NEO$4),Table1[],(MATCH(Calendar!$A18,DB!$1:$1,0)),FALSE)),"")</f>
        <v/>
      </c>
      <c r="NEP18" s="28" t="str">
        <f>IFERROR(IF(NEY3="No",IF(VLOOKUP(DATE($K$1,$K$2,NEP$4),Table1[],(MATCH(Calendar!$A18,DB!$1:$1,0)),FALSE)&gt;=5,"Good","Bad"),VLOOKUP(DATE($K$1,$K$2,NEP$4),Table1[],(MATCH(Calendar!$A18,DB!$1:$1,0)),FALSE)),"")</f>
        <v/>
      </c>
      <c r="NEQ18" s="28" t="str">
        <f>IFERROR(IF(NEZ3="No",IF(VLOOKUP(DATE($K$1,$K$2,NEQ$4),Table1[],(MATCH(Calendar!$A18,DB!$1:$1,0)),FALSE)&gt;=5,"Good","Bad"),VLOOKUP(DATE($K$1,$K$2,NEQ$4),Table1[],(MATCH(Calendar!$A18,DB!$1:$1,0)),FALSE)),"")</f>
        <v/>
      </c>
      <c r="NER18" s="28" t="str">
        <f>IFERROR(IF(NFA3="No",IF(VLOOKUP(DATE($K$1,$K$2,NER$4),Table1[],(MATCH(Calendar!$A18,DB!$1:$1,0)),FALSE)&gt;=5,"Good","Bad"),VLOOKUP(DATE($K$1,$K$2,NER$4),Table1[],(MATCH(Calendar!$A18,DB!$1:$1,0)),FALSE)),"")</f>
        <v/>
      </c>
      <c r="NES18" s="28" t="str">
        <f>IFERROR(IF(NFB3="No",IF(VLOOKUP(DATE($K$1,$K$2,NES$4),Table1[],(MATCH(Calendar!$A18,DB!$1:$1,0)),FALSE)&gt;=5,"Good","Bad"),VLOOKUP(DATE($K$1,$K$2,NES$4),Table1[],(MATCH(Calendar!$A18,DB!$1:$1,0)),FALSE)),"")</f>
        <v/>
      </c>
      <c r="NET18" s="28" t="str">
        <f>IFERROR(IF(NFC3="No",IF(VLOOKUP(DATE($K$1,$K$2,NET$4),Table1[],(MATCH(Calendar!$A18,DB!$1:$1,0)),FALSE)&gt;=5,"Good","Bad"),VLOOKUP(DATE($K$1,$K$2,NET$4),Table1[],(MATCH(Calendar!$A18,DB!$1:$1,0)),FALSE)),"")</f>
        <v/>
      </c>
      <c r="NEU18" s="28" t="str">
        <f>IFERROR(IF(NFD3="No",IF(VLOOKUP(DATE($K$1,$K$2,NEU$4),Table1[],(MATCH(Calendar!$A18,DB!$1:$1,0)),FALSE)&gt;=5,"Good","Bad"),VLOOKUP(DATE($K$1,$K$2,NEU$4),Table1[],(MATCH(Calendar!$A18,DB!$1:$1,0)),FALSE)),"")</f>
        <v/>
      </c>
      <c r="NEV18" s="28" t="str">
        <f>IFERROR(IF(NFE3="No",IF(VLOOKUP(DATE($K$1,$K$2,NEV$4),Table1[],(MATCH(Calendar!$A18,DB!$1:$1,0)),FALSE)&gt;=5,"Good","Bad"),VLOOKUP(DATE($K$1,$K$2,NEV$4),Table1[],(MATCH(Calendar!$A18,DB!$1:$1,0)),FALSE)),"")</f>
        <v/>
      </c>
      <c r="NEW18" s="28" t="str">
        <f>IFERROR(IF(NFF3="No",IF(VLOOKUP(DATE($K$1,$K$2,NEW$4),Table1[],(MATCH(Calendar!$A18,DB!$1:$1,0)),FALSE)&gt;=5,"Good","Bad"),VLOOKUP(DATE($K$1,$K$2,NEW$4),Table1[],(MATCH(Calendar!$A18,DB!$1:$1,0)),FALSE)),"")</f>
        <v/>
      </c>
      <c r="NEX18" s="28" t="str">
        <f>IFERROR(IF(NFG3="No",IF(VLOOKUP(DATE($K$1,$K$2,NEX$4),Table1[],(MATCH(Calendar!$A18,DB!$1:$1,0)),FALSE)&gt;=5,"Good","Bad"),VLOOKUP(DATE($K$1,$K$2,NEX$4),Table1[],(MATCH(Calendar!$A18,DB!$1:$1,0)),FALSE)),"")</f>
        <v/>
      </c>
      <c r="NEY18" s="28" t="str">
        <f>IFERROR(IF(NFH3="No",IF(VLOOKUP(DATE($K$1,$K$2,NEY$4),Table1[],(MATCH(Calendar!$A18,DB!$1:$1,0)),FALSE)&gt;=5,"Good","Bad"),VLOOKUP(DATE($K$1,$K$2,NEY$4),Table1[],(MATCH(Calendar!$A18,DB!$1:$1,0)),FALSE)),"")</f>
        <v/>
      </c>
      <c r="NEZ18" s="28" t="str">
        <f>IFERROR(IF(NFI3="No",IF(VLOOKUP(DATE($K$1,$K$2,NEZ$4),Table1[],(MATCH(Calendar!$A18,DB!$1:$1,0)),FALSE)&gt;=5,"Good","Bad"),VLOOKUP(DATE($K$1,$K$2,NEZ$4),Table1[],(MATCH(Calendar!$A18,DB!$1:$1,0)),FALSE)),"")</f>
        <v/>
      </c>
      <c r="NFA18" s="28" t="str">
        <f>IFERROR(IF(NFJ3="No",IF(VLOOKUP(DATE($K$1,$K$2,NFA$4),Table1[],(MATCH(Calendar!$A18,DB!$1:$1,0)),FALSE)&gt;=5,"Good","Bad"),VLOOKUP(DATE($K$1,$K$2,NFA$4),Table1[],(MATCH(Calendar!$A18,DB!$1:$1,0)),FALSE)),"")</f>
        <v/>
      </c>
      <c r="NFB18" s="28" t="str">
        <f>IFERROR(IF(NFK3="No",IF(VLOOKUP(DATE($K$1,$K$2,NFB$4),Table1[],(MATCH(Calendar!$A18,DB!$1:$1,0)),FALSE)&gt;=5,"Good","Bad"),VLOOKUP(DATE($K$1,$K$2,NFB$4),Table1[],(MATCH(Calendar!$A18,DB!$1:$1,0)),FALSE)),"")</f>
        <v/>
      </c>
      <c r="NFC18" s="28" t="str">
        <f>IFERROR(IF(NFL3="No",IF(VLOOKUP(DATE($K$1,$K$2,NFC$4),Table1[],(MATCH(Calendar!$A18,DB!$1:$1,0)),FALSE)&gt;=5,"Good","Bad"),VLOOKUP(DATE($K$1,$K$2,NFC$4),Table1[],(MATCH(Calendar!$A18,DB!$1:$1,0)),FALSE)),"")</f>
        <v/>
      </c>
      <c r="NFD18" s="28" t="str">
        <f>IFERROR(IF(NFM3="No",IF(VLOOKUP(DATE($K$1,$K$2,NFD$4),Table1[],(MATCH(Calendar!$A18,DB!$1:$1,0)),FALSE)&gt;=5,"Good","Bad"),VLOOKUP(DATE($K$1,$K$2,NFD$4),Table1[],(MATCH(Calendar!$A18,DB!$1:$1,0)),FALSE)),"")</f>
        <v/>
      </c>
      <c r="NFE18" s="28" t="str">
        <f>IFERROR(IF(NFN3="No",IF(VLOOKUP(DATE($K$1,$K$2,NFE$4),Table1[],(MATCH(Calendar!$A18,DB!$1:$1,0)),FALSE)&gt;=5,"Good","Bad"),VLOOKUP(DATE($K$1,$K$2,NFE$4),Table1[],(MATCH(Calendar!$A18,DB!$1:$1,0)),FALSE)),"")</f>
        <v/>
      </c>
      <c r="NFF18" s="28" t="str">
        <f>IFERROR(IF(NFO3="No",IF(VLOOKUP(DATE($K$1,$K$2,NFF$4),Table1[],(MATCH(Calendar!$A18,DB!$1:$1,0)),FALSE)&gt;=5,"Good","Bad"),VLOOKUP(DATE($K$1,$K$2,NFF$4),Table1[],(MATCH(Calendar!$A18,DB!$1:$1,0)),FALSE)),"")</f>
        <v/>
      </c>
      <c r="NFG18" s="28" t="str">
        <f>IFERROR(IF(NFP3="No",IF(VLOOKUP(DATE($K$1,$K$2,NFG$4),Table1[],(MATCH(Calendar!$A18,DB!$1:$1,0)),FALSE)&gt;=5,"Good","Bad"),VLOOKUP(DATE($K$1,$K$2,NFG$4),Table1[],(MATCH(Calendar!$A18,DB!$1:$1,0)),FALSE)),"")</f>
        <v/>
      </c>
      <c r="NFH18" s="28" t="str">
        <f>IFERROR(IF(NFQ3="No",IF(VLOOKUP(DATE($K$1,$K$2,NFH$4),Table1[],(MATCH(Calendar!$A18,DB!$1:$1,0)),FALSE)&gt;=5,"Good","Bad"),VLOOKUP(DATE($K$1,$K$2,NFH$4),Table1[],(MATCH(Calendar!$A18,DB!$1:$1,0)),FALSE)),"")</f>
        <v/>
      </c>
      <c r="NFI18" s="28" t="str">
        <f>IFERROR(IF(NFR3="No",IF(VLOOKUP(DATE($K$1,$K$2,NFI$4),Table1[],(MATCH(Calendar!$A18,DB!$1:$1,0)),FALSE)&gt;=5,"Good","Bad"),VLOOKUP(DATE($K$1,$K$2,NFI$4),Table1[],(MATCH(Calendar!$A18,DB!$1:$1,0)),FALSE)),"")</f>
        <v/>
      </c>
      <c r="NFJ18" s="28" t="str">
        <f>IFERROR(IF(NFS3="No",IF(VLOOKUP(DATE($K$1,$K$2,NFJ$4),Table1[],(MATCH(Calendar!$A18,DB!$1:$1,0)),FALSE)&gt;=5,"Good","Bad"),VLOOKUP(DATE($K$1,$K$2,NFJ$4),Table1[],(MATCH(Calendar!$A18,DB!$1:$1,0)),FALSE)),"")</f>
        <v/>
      </c>
      <c r="NFK18" s="28" t="str">
        <f>IFERROR(IF(NFT3="No",IF(VLOOKUP(DATE($K$1,$K$2,NFK$4),Table1[],(MATCH(Calendar!$A18,DB!$1:$1,0)),FALSE)&gt;=5,"Good","Bad"),VLOOKUP(DATE($K$1,$K$2,NFK$4),Table1[],(MATCH(Calendar!$A18,DB!$1:$1,0)),FALSE)),"")</f>
        <v/>
      </c>
      <c r="NFL18" s="28" t="str">
        <f>IFERROR(IF(NFU3="No",IF(VLOOKUP(DATE($K$1,$K$2,NFL$4),Table1[],(MATCH(Calendar!$A18,DB!$1:$1,0)),FALSE)&gt;=5,"Good","Bad"),VLOOKUP(DATE($K$1,$K$2,NFL$4),Table1[],(MATCH(Calendar!$A18,DB!$1:$1,0)),FALSE)),"")</f>
        <v/>
      </c>
      <c r="NFM18" s="28" t="str">
        <f>IFERROR(IF(NFV3="No",IF(VLOOKUP(DATE($K$1,$K$2,NFM$4),Table1[],(MATCH(Calendar!$A18,DB!$1:$1,0)),FALSE)&gt;=5,"Good","Bad"),VLOOKUP(DATE($K$1,$K$2,NFM$4),Table1[],(MATCH(Calendar!$A18,DB!$1:$1,0)),FALSE)),"")</f>
        <v/>
      </c>
      <c r="NFN18" s="28" t="str">
        <f>IFERROR(IF(NFW3="No",IF(VLOOKUP(DATE($K$1,$K$2,NFN$4),Table1[],(MATCH(Calendar!$A18,DB!$1:$1,0)),FALSE)&gt;=5,"Good","Bad"),VLOOKUP(DATE($K$1,$K$2,NFN$4),Table1[],(MATCH(Calendar!$A18,DB!$1:$1,0)),FALSE)),"")</f>
        <v/>
      </c>
      <c r="NFO18" s="28" t="str">
        <f>IFERROR(IF(NFX3="No",IF(VLOOKUP(DATE($K$1,$K$2,NFO$4),Table1[],(MATCH(Calendar!$A18,DB!$1:$1,0)),FALSE)&gt;=5,"Good","Bad"),VLOOKUP(DATE($K$1,$K$2,NFO$4),Table1[],(MATCH(Calendar!$A18,DB!$1:$1,0)),FALSE)),"")</f>
        <v/>
      </c>
      <c r="NFP18" s="28" t="str">
        <f>IFERROR(IF(NFY3="No",IF(VLOOKUP(DATE($K$1,$K$2,NFP$4),Table1[],(MATCH(Calendar!$A18,DB!$1:$1,0)),FALSE)&gt;=5,"Good","Bad"),VLOOKUP(DATE($K$1,$K$2,NFP$4),Table1[],(MATCH(Calendar!$A18,DB!$1:$1,0)),FALSE)),"")</f>
        <v/>
      </c>
      <c r="NFQ18" s="28" t="str">
        <f>IFERROR(IF(NFZ3="No",IF(VLOOKUP(DATE($K$1,$K$2,NFQ$4),Table1[],(MATCH(Calendar!$A18,DB!$1:$1,0)),FALSE)&gt;=5,"Good","Bad"),VLOOKUP(DATE($K$1,$K$2,NFQ$4),Table1[],(MATCH(Calendar!$A18,DB!$1:$1,0)),FALSE)),"")</f>
        <v/>
      </c>
      <c r="NFR18" s="28" t="str">
        <f>IFERROR(IF(NGA3="No",IF(VLOOKUP(DATE($K$1,$K$2,NFR$4),Table1[],(MATCH(Calendar!$A18,DB!$1:$1,0)),FALSE)&gt;=5,"Good","Bad"),VLOOKUP(DATE($K$1,$K$2,NFR$4),Table1[],(MATCH(Calendar!$A18,DB!$1:$1,0)),FALSE)),"")</f>
        <v/>
      </c>
      <c r="NFS18" s="28" t="str">
        <f>IFERROR(IF(NGB3="No",IF(VLOOKUP(DATE($K$1,$K$2,NFS$4),Table1[],(MATCH(Calendar!$A18,DB!$1:$1,0)),FALSE)&gt;=5,"Good","Bad"),VLOOKUP(DATE($K$1,$K$2,NFS$4),Table1[],(MATCH(Calendar!$A18,DB!$1:$1,0)),FALSE)),"")</f>
        <v/>
      </c>
      <c r="NFT18" s="28" t="str">
        <f>IFERROR(IF(NGC3="No",IF(VLOOKUP(DATE($K$1,$K$2,NFT$4),Table1[],(MATCH(Calendar!$A18,DB!$1:$1,0)),FALSE)&gt;=5,"Good","Bad"),VLOOKUP(DATE($K$1,$K$2,NFT$4),Table1[],(MATCH(Calendar!$A18,DB!$1:$1,0)),FALSE)),"")</f>
        <v/>
      </c>
      <c r="NFU18" s="28" t="str">
        <f>IFERROR(IF(NGD3="No",IF(VLOOKUP(DATE($K$1,$K$2,NFU$4),Table1[],(MATCH(Calendar!$A18,DB!$1:$1,0)),FALSE)&gt;=5,"Good","Bad"),VLOOKUP(DATE($K$1,$K$2,NFU$4),Table1[],(MATCH(Calendar!$A18,DB!$1:$1,0)),FALSE)),"")</f>
        <v/>
      </c>
      <c r="NFV18" s="28" t="str">
        <f>IFERROR(IF(NGE3="No",IF(VLOOKUP(DATE($K$1,$K$2,NFV$4),Table1[],(MATCH(Calendar!$A18,DB!$1:$1,0)),FALSE)&gt;=5,"Good","Bad"),VLOOKUP(DATE($K$1,$K$2,NFV$4),Table1[],(MATCH(Calendar!$A18,DB!$1:$1,0)),FALSE)),"")</f>
        <v/>
      </c>
      <c r="NFW18" s="28" t="str">
        <f>IFERROR(IF(NGF3="No",IF(VLOOKUP(DATE($K$1,$K$2,NFW$4),Table1[],(MATCH(Calendar!$A18,DB!$1:$1,0)),FALSE)&gt;=5,"Good","Bad"),VLOOKUP(DATE($K$1,$K$2,NFW$4),Table1[],(MATCH(Calendar!$A18,DB!$1:$1,0)),FALSE)),"")</f>
        <v/>
      </c>
      <c r="NFX18" s="28" t="str">
        <f>IFERROR(IF(NGG3="No",IF(VLOOKUP(DATE($K$1,$K$2,NFX$4),Table1[],(MATCH(Calendar!$A18,DB!$1:$1,0)),FALSE)&gt;=5,"Good","Bad"),VLOOKUP(DATE($K$1,$K$2,NFX$4),Table1[],(MATCH(Calendar!$A18,DB!$1:$1,0)),FALSE)),"")</f>
        <v/>
      </c>
      <c r="NFY18" s="28" t="str">
        <f>IFERROR(IF(NGH3="No",IF(VLOOKUP(DATE($K$1,$K$2,NFY$4),Table1[],(MATCH(Calendar!$A18,DB!$1:$1,0)),FALSE)&gt;=5,"Good","Bad"),VLOOKUP(DATE($K$1,$K$2,NFY$4),Table1[],(MATCH(Calendar!$A18,DB!$1:$1,0)),FALSE)),"")</f>
        <v/>
      </c>
      <c r="NFZ18" s="28" t="str">
        <f>IFERROR(IF(NGI3="No",IF(VLOOKUP(DATE($K$1,$K$2,NFZ$4),Table1[],(MATCH(Calendar!$A18,DB!$1:$1,0)),FALSE)&gt;=5,"Good","Bad"),VLOOKUP(DATE($K$1,$K$2,NFZ$4),Table1[],(MATCH(Calendar!$A18,DB!$1:$1,0)),FALSE)),"")</f>
        <v/>
      </c>
      <c r="NGA18" s="28" t="str">
        <f>IFERROR(IF(NGJ3="No",IF(VLOOKUP(DATE($K$1,$K$2,NGA$4),Table1[],(MATCH(Calendar!$A18,DB!$1:$1,0)),FALSE)&gt;=5,"Good","Bad"),VLOOKUP(DATE($K$1,$K$2,NGA$4),Table1[],(MATCH(Calendar!$A18,DB!$1:$1,0)),FALSE)),"")</f>
        <v/>
      </c>
      <c r="NGB18" s="28" t="str">
        <f>IFERROR(IF(NGK3="No",IF(VLOOKUP(DATE($K$1,$K$2,NGB$4),Table1[],(MATCH(Calendar!$A18,DB!$1:$1,0)),FALSE)&gt;=5,"Good","Bad"),VLOOKUP(DATE($K$1,$K$2,NGB$4),Table1[],(MATCH(Calendar!$A18,DB!$1:$1,0)),FALSE)),"")</f>
        <v/>
      </c>
      <c r="NGC18" s="28" t="str">
        <f>IFERROR(IF(NGL3="No",IF(VLOOKUP(DATE($K$1,$K$2,NGC$4),Table1[],(MATCH(Calendar!$A18,DB!$1:$1,0)),FALSE)&gt;=5,"Good","Bad"),VLOOKUP(DATE($K$1,$K$2,NGC$4),Table1[],(MATCH(Calendar!$A18,DB!$1:$1,0)),FALSE)),"")</f>
        <v/>
      </c>
      <c r="NGD18" s="28" t="str">
        <f>IFERROR(IF(NGM3="No",IF(VLOOKUP(DATE($K$1,$K$2,NGD$4),Table1[],(MATCH(Calendar!$A18,DB!$1:$1,0)),FALSE)&gt;=5,"Good","Bad"),VLOOKUP(DATE($K$1,$K$2,NGD$4),Table1[],(MATCH(Calendar!$A18,DB!$1:$1,0)),FALSE)),"")</f>
        <v/>
      </c>
      <c r="NGE18" s="28" t="str">
        <f>IFERROR(IF(NGN3="No",IF(VLOOKUP(DATE($K$1,$K$2,NGE$4),Table1[],(MATCH(Calendar!$A18,DB!$1:$1,0)),FALSE)&gt;=5,"Good","Bad"),VLOOKUP(DATE($K$1,$K$2,NGE$4),Table1[],(MATCH(Calendar!$A18,DB!$1:$1,0)),FALSE)),"")</f>
        <v/>
      </c>
      <c r="NGF18" s="28" t="str">
        <f>IFERROR(IF(NGO3="No",IF(VLOOKUP(DATE($K$1,$K$2,NGF$4),Table1[],(MATCH(Calendar!$A18,DB!$1:$1,0)),FALSE)&gt;=5,"Good","Bad"),VLOOKUP(DATE($K$1,$K$2,NGF$4),Table1[],(MATCH(Calendar!$A18,DB!$1:$1,0)),FALSE)),"")</f>
        <v/>
      </c>
      <c r="NGG18" s="28" t="str">
        <f>IFERROR(IF(NGP3="No",IF(VLOOKUP(DATE($K$1,$K$2,NGG$4),Table1[],(MATCH(Calendar!$A18,DB!$1:$1,0)),FALSE)&gt;=5,"Good","Bad"),VLOOKUP(DATE($K$1,$K$2,NGG$4),Table1[],(MATCH(Calendar!$A18,DB!$1:$1,0)),FALSE)),"")</f>
        <v/>
      </c>
      <c r="NGH18" s="28" t="str">
        <f>IFERROR(IF(NGQ3="No",IF(VLOOKUP(DATE($K$1,$K$2,NGH$4),Table1[],(MATCH(Calendar!$A18,DB!$1:$1,0)),FALSE)&gt;=5,"Good","Bad"),VLOOKUP(DATE($K$1,$K$2,NGH$4),Table1[],(MATCH(Calendar!$A18,DB!$1:$1,0)),FALSE)),"")</f>
        <v/>
      </c>
      <c r="NGI18" s="28" t="str">
        <f>IFERROR(IF(NGR3="No",IF(VLOOKUP(DATE($K$1,$K$2,NGI$4),Table1[],(MATCH(Calendar!$A18,DB!$1:$1,0)),FALSE)&gt;=5,"Good","Bad"),VLOOKUP(DATE($K$1,$K$2,NGI$4),Table1[],(MATCH(Calendar!$A18,DB!$1:$1,0)),FALSE)),"")</f>
        <v/>
      </c>
      <c r="NGJ18" s="28" t="str">
        <f>IFERROR(IF(NGS3="No",IF(VLOOKUP(DATE($K$1,$K$2,NGJ$4),Table1[],(MATCH(Calendar!$A18,DB!$1:$1,0)),FALSE)&gt;=5,"Good","Bad"),VLOOKUP(DATE($K$1,$K$2,NGJ$4),Table1[],(MATCH(Calendar!$A18,DB!$1:$1,0)),FALSE)),"")</f>
        <v/>
      </c>
      <c r="NGK18" s="28" t="str">
        <f>IFERROR(IF(NGT3="No",IF(VLOOKUP(DATE($K$1,$K$2,NGK$4),Table1[],(MATCH(Calendar!$A18,DB!$1:$1,0)),FALSE)&gt;=5,"Good","Bad"),VLOOKUP(DATE($K$1,$K$2,NGK$4),Table1[],(MATCH(Calendar!$A18,DB!$1:$1,0)),FALSE)),"")</f>
        <v/>
      </c>
      <c r="NGL18" s="28" t="str">
        <f>IFERROR(IF(NGU3="No",IF(VLOOKUP(DATE($K$1,$K$2,NGL$4),Table1[],(MATCH(Calendar!$A18,DB!$1:$1,0)),FALSE)&gt;=5,"Good","Bad"),VLOOKUP(DATE($K$1,$K$2,NGL$4),Table1[],(MATCH(Calendar!$A18,DB!$1:$1,0)),FALSE)),"")</f>
        <v/>
      </c>
      <c r="NGM18" s="28" t="str">
        <f>IFERROR(IF(NGV3="No",IF(VLOOKUP(DATE($K$1,$K$2,NGM$4),Table1[],(MATCH(Calendar!$A18,DB!$1:$1,0)),FALSE)&gt;=5,"Good","Bad"),VLOOKUP(DATE($K$1,$K$2,NGM$4),Table1[],(MATCH(Calendar!$A18,DB!$1:$1,0)),FALSE)),"")</f>
        <v/>
      </c>
      <c r="NGN18" s="28" t="str">
        <f>IFERROR(IF(NGW3="No",IF(VLOOKUP(DATE($K$1,$K$2,NGN$4),Table1[],(MATCH(Calendar!$A18,DB!$1:$1,0)),FALSE)&gt;=5,"Good","Bad"),VLOOKUP(DATE($K$1,$K$2,NGN$4),Table1[],(MATCH(Calendar!$A18,DB!$1:$1,0)),FALSE)),"")</f>
        <v/>
      </c>
      <c r="NGO18" s="28" t="str">
        <f>IFERROR(IF(NGX3="No",IF(VLOOKUP(DATE($K$1,$K$2,NGO$4),Table1[],(MATCH(Calendar!$A18,DB!$1:$1,0)),FALSE)&gt;=5,"Good","Bad"),VLOOKUP(DATE($K$1,$K$2,NGO$4),Table1[],(MATCH(Calendar!$A18,DB!$1:$1,0)),FALSE)),"")</f>
        <v/>
      </c>
      <c r="NGP18" s="28" t="str">
        <f>IFERROR(IF(NGY3="No",IF(VLOOKUP(DATE($K$1,$K$2,NGP$4),Table1[],(MATCH(Calendar!$A18,DB!$1:$1,0)),FALSE)&gt;=5,"Good","Bad"),VLOOKUP(DATE($K$1,$K$2,NGP$4),Table1[],(MATCH(Calendar!$A18,DB!$1:$1,0)),FALSE)),"")</f>
        <v/>
      </c>
      <c r="NGQ18" s="28" t="str">
        <f>IFERROR(IF(NGZ3="No",IF(VLOOKUP(DATE($K$1,$K$2,NGQ$4),Table1[],(MATCH(Calendar!$A18,DB!$1:$1,0)),FALSE)&gt;=5,"Good","Bad"),VLOOKUP(DATE($K$1,$K$2,NGQ$4),Table1[],(MATCH(Calendar!$A18,DB!$1:$1,0)),FALSE)),"")</f>
        <v/>
      </c>
      <c r="NGR18" s="28" t="str">
        <f>IFERROR(IF(NHA3="No",IF(VLOOKUP(DATE($K$1,$K$2,NGR$4),Table1[],(MATCH(Calendar!$A18,DB!$1:$1,0)),FALSE)&gt;=5,"Good","Bad"),VLOOKUP(DATE($K$1,$K$2,NGR$4),Table1[],(MATCH(Calendar!$A18,DB!$1:$1,0)),FALSE)),"")</f>
        <v/>
      </c>
      <c r="NGS18" s="28" t="str">
        <f>IFERROR(IF(NHB3="No",IF(VLOOKUP(DATE($K$1,$K$2,NGS$4),Table1[],(MATCH(Calendar!$A18,DB!$1:$1,0)),FALSE)&gt;=5,"Good","Bad"),VLOOKUP(DATE($K$1,$K$2,NGS$4),Table1[],(MATCH(Calendar!$A18,DB!$1:$1,0)),FALSE)),"")</f>
        <v/>
      </c>
      <c r="NGT18" s="28" t="str">
        <f>IFERROR(IF(NHC3="No",IF(VLOOKUP(DATE($K$1,$K$2,NGT$4),Table1[],(MATCH(Calendar!$A18,DB!$1:$1,0)),FALSE)&gt;=5,"Good","Bad"),VLOOKUP(DATE($K$1,$K$2,NGT$4),Table1[],(MATCH(Calendar!$A18,DB!$1:$1,0)),FALSE)),"")</f>
        <v/>
      </c>
      <c r="NGU18" s="28" t="str">
        <f>IFERROR(IF(NHD3="No",IF(VLOOKUP(DATE($K$1,$K$2,NGU$4),Table1[],(MATCH(Calendar!$A18,DB!$1:$1,0)),FALSE)&gt;=5,"Good","Bad"),VLOOKUP(DATE($K$1,$K$2,NGU$4),Table1[],(MATCH(Calendar!$A18,DB!$1:$1,0)),FALSE)),"")</f>
        <v/>
      </c>
      <c r="NGV18" s="28" t="str">
        <f>IFERROR(IF(NHE3="No",IF(VLOOKUP(DATE($K$1,$K$2,NGV$4),Table1[],(MATCH(Calendar!$A18,DB!$1:$1,0)),FALSE)&gt;=5,"Good","Bad"),VLOOKUP(DATE($K$1,$K$2,NGV$4),Table1[],(MATCH(Calendar!$A18,DB!$1:$1,0)),FALSE)),"")</f>
        <v/>
      </c>
      <c r="NGW18" s="28" t="str">
        <f>IFERROR(IF(NHF3="No",IF(VLOOKUP(DATE($K$1,$K$2,NGW$4),Table1[],(MATCH(Calendar!$A18,DB!$1:$1,0)),FALSE)&gt;=5,"Good","Bad"),VLOOKUP(DATE($K$1,$K$2,NGW$4),Table1[],(MATCH(Calendar!$A18,DB!$1:$1,0)),FALSE)),"")</f>
        <v/>
      </c>
      <c r="NGX18" s="28" t="str">
        <f>IFERROR(IF(NHG3="No",IF(VLOOKUP(DATE($K$1,$K$2,NGX$4),Table1[],(MATCH(Calendar!$A18,DB!$1:$1,0)),FALSE)&gt;=5,"Good","Bad"),VLOOKUP(DATE($K$1,$K$2,NGX$4),Table1[],(MATCH(Calendar!$A18,DB!$1:$1,0)),FALSE)),"")</f>
        <v/>
      </c>
      <c r="NGY18" s="28" t="str">
        <f>IFERROR(IF(NHH3="No",IF(VLOOKUP(DATE($K$1,$K$2,NGY$4),Table1[],(MATCH(Calendar!$A18,DB!$1:$1,0)),FALSE)&gt;=5,"Good","Bad"),VLOOKUP(DATE($K$1,$K$2,NGY$4),Table1[],(MATCH(Calendar!$A18,DB!$1:$1,0)),FALSE)),"")</f>
        <v/>
      </c>
      <c r="NGZ18" s="28" t="str">
        <f>IFERROR(IF(NHI3="No",IF(VLOOKUP(DATE($K$1,$K$2,NGZ$4),Table1[],(MATCH(Calendar!$A18,DB!$1:$1,0)),FALSE)&gt;=5,"Good","Bad"),VLOOKUP(DATE($K$1,$K$2,NGZ$4),Table1[],(MATCH(Calendar!$A18,DB!$1:$1,0)),FALSE)),"")</f>
        <v/>
      </c>
      <c r="NHA18" s="28" t="str">
        <f>IFERROR(IF(NHJ3="No",IF(VLOOKUP(DATE($K$1,$K$2,NHA$4),Table1[],(MATCH(Calendar!$A18,DB!$1:$1,0)),FALSE)&gt;=5,"Good","Bad"),VLOOKUP(DATE($K$1,$K$2,NHA$4),Table1[],(MATCH(Calendar!$A18,DB!$1:$1,0)),FALSE)),"")</f>
        <v/>
      </c>
      <c r="NHB18" s="28" t="str">
        <f>IFERROR(IF(NHK3="No",IF(VLOOKUP(DATE($K$1,$K$2,NHB$4),Table1[],(MATCH(Calendar!$A18,DB!$1:$1,0)),FALSE)&gt;=5,"Good","Bad"),VLOOKUP(DATE($K$1,$K$2,NHB$4),Table1[],(MATCH(Calendar!$A18,DB!$1:$1,0)),FALSE)),"")</f>
        <v/>
      </c>
      <c r="NHC18" s="28" t="str">
        <f>IFERROR(IF(NHL3="No",IF(VLOOKUP(DATE($K$1,$K$2,NHC$4),Table1[],(MATCH(Calendar!$A18,DB!$1:$1,0)),FALSE)&gt;=5,"Good","Bad"),VLOOKUP(DATE($K$1,$K$2,NHC$4),Table1[],(MATCH(Calendar!$A18,DB!$1:$1,0)),FALSE)),"")</f>
        <v/>
      </c>
      <c r="NHD18" s="28" t="str">
        <f>IFERROR(IF(NHM3="No",IF(VLOOKUP(DATE($K$1,$K$2,NHD$4),Table1[],(MATCH(Calendar!$A18,DB!$1:$1,0)),FALSE)&gt;=5,"Good","Bad"),VLOOKUP(DATE($K$1,$K$2,NHD$4),Table1[],(MATCH(Calendar!$A18,DB!$1:$1,0)),FALSE)),"")</f>
        <v/>
      </c>
      <c r="NHE18" s="28" t="str">
        <f>IFERROR(IF(NHN3="No",IF(VLOOKUP(DATE($K$1,$K$2,NHE$4),Table1[],(MATCH(Calendar!$A18,DB!$1:$1,0)),FALSE)&gt;=5,"Good","Bad"),VLOOKUP(DATE($K$1,$K$2,NHE$4),Table1[],(MATCH(Calendar!$A18,DB!$1:$1,0)),FALSE)),"")</f>
        <v/>
      </c>
      <c r="NHF18" s="28" t="str">
        <f>IFERROR(IF(NHO3="No",IF(VLOOKUP(DATE($K$1,$K$2,NHF$4),Table1[],(MATCH(Calendar!$A18,DB!$1:$1,0)),FALSE)&gt;=5,"Good","Bad"),VLOOKUP(DATE($K$1,$K$2,NHF$4),Table1[],(MATCH(Calendar!$A18,DB!$1:$1,0)),FALSE)),"")</f>
        <v/>
      </c>
      <c r="NHG18" s="28" t="str">
        <f>IFERROR(IF(NHP3="No",IF(VLOOKUP(DATE($K$1,$K$2,NHG$4),Table1[],(MATCH(Calendar!$A18,DB!$1:$1,0)),FALSE)&gt;=5,"Good","Bad"),VLOOKUP(DATE($K$1,$K$2,NHG$4),Table1[],(MATCH(Calendar!$A18,DB!$1:$1,0)),FALSE)),"")</f>
        <v/>
      </c>
      <c r="NHH18" s="28" t="str">
        <f>IFERROR(IF(NHQ3="No",IF(VLOOKUP(DATE($K$1,$K$2,NHH$4),Table1[],(MATCH(Calendar!$A18,DB!$1:$1,0)),FALSE)&gt;=5,"Good","Bad"),VLOOKUP(DATE($K$1,$K$2,NHH$4),Table1[],(MATCH(Calendar!$A18,DB!$1:$1,0)),FALSE)),"")</f>
        <v/>
      </c>
      <c r="NHI18" s="28" t="str">
        <f>IFERROR(IF(NHR3="No",IF(VLOOKUP(DATE($K$1,$K$2,NHI$4),Table1[],(MATCH(Calendar!$A18,DB!$1:$1,0)),FALSE)&gt;=5,"Good","Bad"),VLOOKUP(DATE($K$1,$K$2,NHI$4),Table1[],(MATCH(Calendar!$A18,DB!$1:$1,0)),FALSE)),"")</f>
        <v/>
      </c>
      <c r="NHJ18" s="28" t="str">
        <f>IFERROR(IF(NHS3="No",IF(VLOOKUP(DATE($K$1,$K$2,NHJ$4),Table1[],(MATCH(Calendar!$A18,DB!$1:$1,0)),FALSE)&gt;=5,"Good","Bad"),VLOOKUP(DATE($K$1,$K$2,NHJ$4),Table1[],(MATCH(Calendar!$A18,DB!$1:$1,0)),FALSE)),"")</f>
        <v/>
      </c>
      <c r="NHK18" s="28" t="str">
        <f>IFERROR(IF(NHT3="No",IF(VLOOKUP(DATE($K$1,$K$2,NHK$4),Table1[],(MATCH(Calendar!$A18,DB!$1:$1,0)),FALSE)&gt;=5,"Good","Bad"),VLOOKUP(DATE($K$1,$K$2,NHK$4),Table1[],(MATCH(Calendar!$A18,DB!$1:$1,0)),FALSE)),"")</f>
        <v/>
      </c>
      <c r="NHL18" s="28" t="str">
        <f>IFERROR(IF(NHU3="No",IF(VLOOKUP(DATE($K$1,$K$2,NHL$4),Table1[],(MATCH(Calendar!$A18,DB!$1:$1,0)),FALSE)&gt;=5,"Good","Bad"),VLOOKUP(DATE($K$1,$K$2,NHL$4),Table1[],(MATCH(Calendar!$A18,DB!$1:$1,0)),FALSE)),"")</f>
        <v/>
      </c>
      <c r="NHM18" s="28" t="str">
        <f>IFERROR(IF(NHV3="No",IF(VLOOKUP(DATE($K$1,$K$2,NHM$4),Table1[],(MATCH(Calendar!$A18,DB!$1:$1,0)),FALSE)&gt;=5,"Good","Bad"),VLOOKUP(DATE($K$1,$K$2,NHM$4),Table1[],(MATCH(Calendar!$A18,DB!$1:$1,0)),FALSE)),"")</f>
        <v/>
      </c>
      <c r="NHN18" s="28" t="str">
        <f>IFERROR(IF(NHW3="No",IF(VLOOKUP(DATE($K$1,$K$2,NHN$4),Table1[],(MATCH(Calendar!$A18,DB!$1:$1,0)),FALSE)&gt;=5,"Good","Bad"),VLOOKUP(DATE($K$1,$K$2,NHN$4),Table1[],(MATCH(Calendar!$A18,DB!$1:$1,0)),FALSE)),"")</f>
        <v/>
      </c>
      <c r="NHO18" s="28" t="str">
        <f>IFERROR(IF(NHX3="No",IF(VLOOKUP(DATE($K$1,$K$2,NHO$4),Table1[],(MATCH(Calendar!$A18,DB!$1:$1,0)),FALSE)&gt;=5,"Good","Bad"),VLOOKUP(DATE($K$1,$K$2,NHO$4),Table1[],(MATCH(Calendar!$A18,DB!$1:$1,0)),FALSE)),"")</f>
        <v/>
      </c>
      <c r="NHP18" s="28" t="str">
        <f>IFERROR(IF(NHY3="No",IF(VLOOKUP(DATE($K$1,$K$2,NHP$4),Table1[],(MATCH(Calendar!$A18,DB!$1:$1,0)),FALSE)&gt;=5,"Good","Bad"),VLOOKUP(DATE($K$1,$K$2,NHP$4),Table1[],(MATCH(Calendar!$A18,DB!$1:$1,0)),FALSE)),"")</f>
        <v/>
      </c>
      <c r="NHQ18" s="28" t="str">
        <f>IFERROR(IF(NHZ3="No",IF(VLOOKUP(DATE($K$1,$K$2,NHQ$4),Table1[],(MATCH(Calendar!$A18,DB!$1:$1,0)),FALSE)&gt;=5,"Good","Bad"),VLOOKUP(DATE($K$1,$K$2,NHQ$4),Table1[],(MATCH(Calendar!$A18,DB!$1:$1,0)),FALSE)),"")</f>
        <v/>
      </c>
      <c r="NHR18" s="28" t="str">
        <f>IFERROR(IF(NIA3="No",IF(VLOOKUP(DATE($K$1,$K$2,NHR$4),Table1[],(MATCH(Calendar!$A18,DB!$1:$1,0)),FALSE)&gt;=5,"Good","Bad"),VLOOKUP(DATE($K$1,$K$2,NHR$4),Table1[],(MATCH(Calendar!$A18,DB!$1:$1,0)),FALSE)),"")</f>
        <v/>
      </c>
      <c r="NHS18" s="28" t="str">
        <f>IFERROR(IF(NIB3="No",IF(VLOOKUP(DATE($K$1,$K$2,NHS$4),Table1[],(MATCH(Calendar!$A18,DB!$1:$1,0)),FALSE)&gt;=5,"Good","Bad"),VLOOKUP(DATE($K$1,$K$2,NHS$4),Table1[],(MATCH(Calendar!$A18,DB!$1:$1,0)),FALSE)),"")</f>
        <v/>
      </c>
      <c r="NHT18" s="28" t="str">
        <f>IFERROR(IF(NIC3="No",IF(VLOOKUP(DATE($K$1,$K$2,NHT$4),Table1[],(MATCH(Calendar!$A18,DB!$1:$1,0)),FALSE)&gt;=5,"Good","Bad"),VLOOKUP(DATE($K$1,$K$2,NHT$4),Table1[],(MATCH(Calendar!$A18,DB!$1:$1,0)),FALSE)),"")</f>
        <v/>
      </c>
      <c r="NHU18" s="28" t="str">
        <f>IFERROR(IF(NID3="No",IF(VLOOKUP(DATE($K$1,$K$2,NHU$4),Table1[],(MATCH(Calendar!$A18,DB!$1:$1,0)),FALSE)&gt;=5,"Good","Bad"),VLOOKUP(DATE($K$1,$K$2,NHU$4),Table1[],(MATCH(Calendar!$A18,DB!$1:$1,0)),FALSE)),"")</f>
        <v/>
      </c>
      <c r="NHV18" s="28" t="str">
        <f>IFERROR(IF(NIE3="No",IF(VLOOKUP(DATE($K$1,$K$2,NHV$4),Table1[],(MATCH(Calendar!$A18,DB!$1:$1,0)),FALSE)&gt;=5,"Good","Bad"),VLOOKUP(DATE($K$1,$K$2,NHV$4),Table1[],(MATCH(Calendar!$A18,DB!$1:$1,0)),FALSE)),"")</f>
        <v/>
      </c>
      <c r="NHW18" s="28" t="str">
        <f>IFERROR(IF(NIF3="No",IF(VLOOKUP(DATE($K$1,$K$2,NHW$4),Table1[],(MATCH(Calendar!$A18,DB!$1:$1,0)),FALSE)&gt;=5,"Good","Bad"),VLOOKUP(DATE($K$1,$K$2,NHW$4),Table1[],(MATCH(Calendar!$A18,DB!$1:$1,0)),FALSE)),"")</f>
        <v/>
      </c>
      <c r="NHX18" s="28" t="str">
        <f>IFERROR(IF(NIG3="No",IF(VLOOKUP(DATE($K$1,$K$2,NHX$4),Table1[],(MATCH(Calendar!$A18,DB!$1:$1,0)),FALSE)&gt;=5,"Good","Bad"),VLOOKUP(DATE($K$1,$K$2,NHX$4),Table1[],(MATCH(Calendar!$A18,DB!$1:$1,0)),FALSE)),"")</f>
        <v/>
      </c>
      <c r="NHY18" s="28" t="str">
        <f>IFERROR(IF(NIH3="No",IF(VLOOKUP(DATE($K$1,$K$2,NHY$4),Table1[],(MATCH(Calendar!$A18,DB!$1:$1,0)),FALSE)&gt;=5,"Good","Bad"),VLOOKUP(DATE($K$1,$K$2,NHY$4),Table1[],(MATCH(Calendar!$A18,DB!$1:$1,0)),FALSE)),"")</f>
        <v/>
      </c>
      <c r="NHZ18" s="28" t="str">
        <f>IFERROR(IF(NII3="No",IF(VLOOKUP(DATE($K$1,$K$2,NHZ$4),Table1[],(MATCH(Calendar!$A18,DB!$1:$1,0)),FALSE)&gt;=5,"Good","Bad"),VLOOKUP(DATE($K$1,$K$2,NHZ$4),Table1[],(MATCH(Calendar!$A18,DB!$1:$1,0)),FALSE)),"")</f>
        <v/>
      </c>
      <c r="NIA18" s="28" t="str">
        <f>IFERROR(IF(NIJ3="No",IF(VLOOKUP(DATE($K$1,$K$2,NIA$4),Table1[],(MATCH(Calendar!$A18,DB!$1:$1,0)),FALSE)&gt;=5,"Good","Bad"),VLOOKUP(DATE($K$1,$K$2,NIA$4),Table1[],(MATCH(Calendar!$A18,DB!$1:$1,0)),FALSE)),"")</f>
        <v/>
      </c>
      <c r="NIB18" s="28" t="str">
        <f>IFERROR(IF(NIK3="No",IF(VLOOKUP(DATE($K$1,$K$2,NIB$4),Table1[],(MATCH(Calendar!$A18,DB!$1:$1,0)),FALSE)&gt;=5,"Good","Bad"),VLOOKUP(DATE($K$1,$K$2,NIB$4),Table1[],(MATCH(Calendar!$A18,DB!$1:$1,0)),FALSE)),"")</f>
        <v/>
      </c>
      <c r="NIC18" s="28" t="str">
        <f>IFERROR(IF(NIL3="No",IF(VLOOKUP(DATE($K$1,$K$2,NIC$4),Table1[],(MATCH(Calendar!$A18,DB!$1:$1,0)),FALSE)&gt;=5,"Good","Bad"),VLOOKUP(DATE($K$1,$K$2,NIC$4),Table1[],(MATCH(Calendar!$A18,DB!$1:$1,0)),FALSE)),"")</f>
        <v/>
      </c>
      <c r="NID18" s="28" t="str">
        <f>IFERROR(IF(NIM3="No",IF(VLOOKUP(DATE($K$1,$K$2,NID$4),Table1[],(MATCH(Calendar!$A18,DB!$1:$1,0)),FALSE)&gt;=5,"Good","Bad"),VLOOKUP(DATE($K$1,$K$2,NID$4),Table1[],(MATCH(Calendar!$A18,DB!$1:$1,0)),FALSE)),"")</f>
        <v/>
      </c>
      <c r="NIE18" s="28" t="str">
        <f>IFERROR(IF(NIN3="No",IF(VLOOKUP(DATE($K$1,$K$2,NIE$4),Table1[],(MATCH(Calendar!$A18,DB!$1:$1,0)),FALSE)&gt;=5,"Good","Bad"),VLOOKUP(DATE($K$1,$K$2,NIE$4),Table1[],(MATCH(Calendar!$A18,DB!$1:$1,0)),FALSE)),"")</f>
        <v/>
      </c>
      <c r="NIF18" s="28" t="str">
        <f>IFERROR(IF(NIO3="No",IF(VLOOKUP(DATE($K$1,$K$2,NIF$4),Table1[],(MATCH(Calendar!$A18,DB!$1:$1,0)),FALSE)&gt;=5,"Good","Bad"),VLOOKUP(DATE($K$1,$K$2,NIF$4),Table1[],(MATCH(Calendar!$A18,DB!$1:$1,0)),FALSE)),"")</f>
        <v/>
      </c>
      <c r="NIG18" s="28" t="str">
        <f>IFERROR(IF(NIP3="No",IF(VLOOKUP(DATE($K$1,$K$2,NIG$4),Table1[],(MATCH(Calendar!$A18,DB!$1:$1,0)),FALSE)&gt;=5,"Good","Bad"),VLOOKUP(DATE($K$1,$K$2,NIG$4),Table1[],(MATCH(Calendar!$A18,DB!$1:$1,0)),FALSE)),"")</f>
        <v/>
      </c>
      <c r="NIH18" s="28" t="str">
        <f>IFERROR(IF(NIQ3="No",IF(VLOOKUP(DATE($K$1,$K$2,NIH$4),Table1[],(MATCH(Calendar!$A18,DB!$1:$1,0)),FALSE)&gt;=5,"Good","Bad"),VLOOKUP(DATE($K$1,$K$2,NIH$4),Table1[],(MATCH(Calendar!$A18,DB!$1:$1,0)),FALSE)),"")</f>
        <v/>
      </c>
      <c r="NII18" s="28" t="str">
        <f>IFERROR(IF(NIR3="No",IF(VLOOKUP(DATE($K$1,$K$2,NII$4),Table1[],(MATCH(Calendar!$A18,DB!$1:$1,0)),FALSE)&gt;=5,"Good","Bad"),VLOOKUP(DATE($K$1,$K$2,NII$4),Table1[],(MATCH(Calendar!$A18,DB!$1:$1,0)),FALSE)),"")</f>
        <v/>
      </c>
      <c r="NIJ18" s="28" t="str">
        <f>IFERROR(IF(NIS3="No",IF(VLOOKUP(DATE($K$1,$K$2,NIJ$4),Table1[],(MATCH(Calendar!$A18,DB!$1:$1,0)),FALSE)&gt;=5,"Good","Bad"),VLOOKUP(DATE($K$1,$K$2,NIJ$4),Table1[],(MATCH(Calendar!$A18,DB!$1:$1,0)),FALSE)),"")</f>
        <v/>
      </c>
      <c r="NIK18" s="28" t="str">
        <f>IFERROR(IF(NIT3="No",IF(VLOOKUP(DATE($K$1,$K$2,NIK$4),Table1[],(MATCH(Calendar!$A18,DB!$1:$1,0)),FALSE)&gt;=5,"Good","Bad"),VLOOKUP(DATE($K$1,$K$2,NIK$4),Table1[],(MATCH(Calendar!$A18,DB!$1:$1,0)),FALSE)),"")</f>
        <v/>
      </c>
      <c r="NIL18" s="28" t="str">
        <f>IFERROR(IF(NIU3="No",IF(VLOOKUP(DATE($K$1,$K$2,NIL$4),Table1[],(MATCH(Calendar!$A18,DB!$1:$1,0)),FALSE)&gt;=5,"Good","Bad"),VLOOKUP(DATE($K$1,$K$2,NIL$4),Table1[],(MATCH(Calendar!$A18,DB!$1:$1,0)),FALSE)),"")</f>
        <v/>
      </c>
      <c r="NIM18" s="28" t="str">
        <f>IFERROR(IF(NIV3="No",IF(VLOOKUP(DATE($K$1,$K$2,NIM$4),Table1[],(MATCH(Calendar!$A18,DB!$1:$1,0)),FALSE)&gt;=5,"Good","Bad"),VLOOKUP(DATE($K$1,$K$2,NIM$4),Table1[],(MATCH(Calendar!$A18,DB!$1:$1,0)),FALSE)),"")</f>
        <v/>
      </c>
      <c r="NIN18" s="28" t="str">
        <f>IFERROR(IF(NIW3="No",IF(VLOOKUP(DATE($K$1,$K$2,NIN$4),Table1[],(MATCH(Calendar!$A18,DB!$1:$1,0)),FALSE)&gt;=5,"Good","Bad"),VLOOKUP(DATE($K$1,$K$2,NIN$4),Table1[],(MATCH(Calendar!$A18,DB!$1:$1,0)),FALSE)),"")</f>
        <v/>
      </c>
      <c r="NIO18" s="28" t="str">
        <f>IFERROR(IF(NIX3="No",IF(VLOOKUP(DATE($K$1,$K$2,NIO$4),Table1[],(MATCH(Calendar!$A18,DB!$1:$1,0)),FALSE)&gt;=5,"Good","Bad"),VLOOKUP(DATE($K$1,$K$2,NIO$4),Table1[],(MATCH(Calendar!$A18,DB!$1:$1,0)),FALSE)),"")</f>
        <v/>
      </c>
      <c r="NIP18" s="28" t="str">
        <f>IFERROR(IF(NIY3="No",IF(VLOOKUP(DATE($K$1,$K$2,NIP$4),Table1[],(MATCH(Calendar!$A18,DB!$1:$1,0)),FALSE)&gt;=5,"Good","Bad"),VLOOKUP(DATE($K$1,$K$2,NIP$4),Table1[],(MATCH(Calendar!$A18,DB!$1:$1,0)),FALSE)),"")</f>
        <v/>
      </c>
      <c r="NIQ18" s="28" t="str">
        <f>IFERROR(IF(NIZ3="No",IF(VLOOKUP(DATE($K$1,$K$2,NIQ$4),Table1[],(MATCH(Calendar!$A18,DB!$1:$1,0)),FALSE)&gt;=5,"Good","Bad"),VLOOKUP(DATE($K$1,$K$2,NIQ$4),Table1[],(MATCH(Calendar!$A18,DB!$1:$1,0)),FALSE)),"")</f>
        <v/>
      </c>
      <c r="NIR18" s="28" t="str">
        <f>IFERROR(IF(NJA3="No",IF(VLOOKUP(DATE($K$1,$K$2,NIR$4),Table1[],(MATCH(Calendar!$A18,DB!$1:$1,0)),FALSE)&gt;=5,"Good","Bad"),VLOOKUP(DATE($K$1,$K$2,NIR$4),Table1[],(MATCH(Calendar!$A18,DB!$1:$1,0)),FALSE)),"")</f>
        <v/>
      </c>
      <c r="NIS18" s="28" t="str">
        <f>IFERROR(IF(NJB3="No",IF(VLOOKUP(DATE($K$1,$K$2,NIS$4),Table1[],(MATCH(Calendar!$A18,DB!$1:$1,0)),FALSE)&gt;=5,"Good","Bad"),VLOOKUP(DATE($K$1,$K$2,NIS$4),Table1[],(MATCH(Calendar!$A18,DB!$1:$1,0)),FALSE)),"")</f>
        <v/>
      </c>
      <c r="NIT18" s="28" t="str">
        <f>IFERROR(IF(NJC3="No",IF(VLOOKUP(DATE($K$1,$K$2,NIT$4),Table1[],(MATCH(Calendar!$A18,DB!$1:$1,0)),FALSE)&gt;=5,"Good","Bad"),VLOOKUP(DATE($K$1,$K$2,NIT$4),Table1[],(MATCH(Calendar!$A18,DB!$1:$1,0)),FALSE)),"")</f>
        <v/>
      </c>
      <c r="NIU18" s="28" t="str">
        <f>IFERROR(IF(NJD3="No",IF(VLOOKUP(DATE($K$1,$K$2,NIU$4),Table1[],(MATCH(Calendar!$A18,DB!$1:$1,0)),FALSE)&gt;=5,"Good","Bad"),VLOOKUP(DATE($K$1,$K$2,NIU$4),Table1[],(MATCH(Calendar!$A18,DB!$1:$1,0)),FALSE)),"")</f>
        <v/>
      </c>
      <c r="NIV18" s="28" t="str">
        <f>IFERROR(IF(NJE3="No",IF(VLOOKUP(DATE($K$1,$K$2,NIV$4),Table1[],(MATCH(Calendar!$A18,DB!$1:$1,0)),FALSE)&gt;=5,"Good","Bad"),VLOOKUP(DATE($K$1,$K$2,NIV$4),Table1[],(MATCH(Calendar!$A18,DB!$1:$1,0)),FALSE)),"")</f>
        <v/>
      </c>
      <c r="NIW18" s="28" t="str">
        <f>IFERROR(IF(NJF3="No",IF(VLOOKUP(DATE($K$1,$K$2,NIW$4),Table1[],(MATCH(Calendar!$A18,DB!$1:$1,0)),FALSE)&gt;=5,"Good","Bad"),VLOOKUP(DATE($K$1,$K$2,NIW$4),Table1[],(MATCH(Calendar!$A18,DB!$1:$1,0)),FALSE)),"")</f>
        <v/>
      </c>
      <c r="NIX18" s="28" t="str">
        <f>IFERROR(IF(NJG3="No",IF(VLOOKUP(DATE($K$1,$K$2,NIX$4),Table1[],(MATCH(Calendar!$A18,DB!$1:$1,0)),FALSE)&gt;=5,"Good","Bad"),VLOOKUP(DATE($K$1,$K$2,NIX$4),Table1[],(MATCH(Calendar!$A18,DB!$1:$1,0)),FALSE)),"")</f>
        <v/>
      </c>
      <c r="NIY18" s="28" t="str">
        <f>IFERROR(IF(NJH3="No",IF(VLOOKUP(DATE($K$1,$K$2,NIY$4),Table1[],(MATCH(Calendar!$A18,DB!$1:$1,0)),FALSE)&gt;=5,"Good","Bad"),VLOOKUP(DATE($K$1,$K$2,NIY$4),Table1[],(MATCH(Calendar!$A18,DB!$1:$1,0)),FALSE)),"")</f>
        <v/>
      </c>
      <c r="NIZ18" s="28" t="str">
        <f>IFERROR(IF(NJI3="No",IF(VLOOKUP(DATE($K$1,$K$2,NIZ$4),Table1[],(MATCH(Calendar!$A18,DB!$1:$1,0)),FALSE)&gt;=5,"Good","Bad"),VLOOKUP(DATE($K$1,$K$2,NIZ$4),Table1[],(MATCH(Calendar!$A18,DB!$1:$1,0)),FALSE)),"")</f>
        <v/>
      </c>
      <c r="NJA18" s="28" t="str">
        <f>IFERROR(IF(NJJ3="No",IF(VLOOKUP(DATE($K$1,$K$2,NJA$4),Table1[],(MATCH(Calendar!$A18,DB!$1:$1,0)),FALSE)&gt;=5,"Good","Bad"),VLOOKUP(DATE($K$1,$K$2,NJA$4),Table1[],(MATCH(Calendar!$A18,DB!$1:$1,0)),FALSE)),"")</f>
        <v/>
      </c>
      <c r="NJB18" s="28" t="str">
        <f>IFERROR(IF(NJK3="No",IF(VLOOKUP(DATE($K$1,$K$2,NJB$4),Table1[],(MATCH(Calendar!$A18,DB!$1:$1,0)),FALSE)&gt;=5,"Good","Bad"),VLOOKUP(DATE($K$1,$K$2,NJB$4),Table1[],(MATCH(Calendar!$A18,DB!$1:$1,0)),FALSE)),"")</f>
        <v/>
      </c>
      <c r="NJC18" s="28" t="str">
        <f>IFERROR(IF(NJL3="No",IF(VLOOKUP(DATE($K$1,$K$2,NJC$4),Table1[],(MATCH(Calendar!$A18,DB!$1:$1,0)),FALSE)&gt;=5,"Good","Bad"),VLOOKUP(DATE($K$1,$K$2,NJC$4),Table1[],(MATCH(Calendar!$A18,DB!$1:$1,0)),FALSE)),"")</f>
        <v/>
      </c>
      <c r="NJD18" s="28" t="str">
        <f>IFERROR(IF(NJM3="No",IF(VLOOKUP(DATE($K$1,$K$2,NJD$4),Table1[],(MATCH(Calendar!$A18,DB!$1:$1,0)),FALSE)&gt;=5,"Good","Bad"),VLOOKUP(DATE($K$1,$K$2,NJD$4),Table1[],(MATCH(Calendar!$A18,DB!$1:$1,0)),FALSE)),"")</f>
        <v/>
      </c>
      <c r="NJE18" s="28" t="str">
        <f>IFERROR(IF(NJN3="No",IF(VLOOKUP(DATE($K$1,$K$2,NJE$4),Table1[],(MATCH(Calendar!$A18,DB!$1:$1,0)),FALSE)&gt;=5,"Good","Bad"),VLOOKUP(DATE($K$1,$K$2,NJE$4),Table1[],(MATCH(Calendar!$A18,DB!$1:$1,0)),FALSE)),"")</f>
        <v/>
      </c>
      <c r="NJF18" s="28" t="str">
        <f>IFERROR(IF(NJO3="No",IF(VLOOKUP(DATE($K$1,$K$2,NJF$4),Table1[],(MATCH(Calendar!$A18,DB!$1:$1,0)),FALSE)&gt;=5,"Good","Bad"),VLOOKUP(DATE($K$1,$K$2,NJF$4),Table1[],(MATCH(Calendar!$A18,DB!$1:$1,0)),FALSE)),"")</f>
        <v/>
      </c>
      <c r="NJG18" s="28" t="str">
        <f>IFERROR(IF(NJP3="No",IF(VLOOKUP(DATE($K$1,$K$2,NJG$4),Table1[],(MATCH(Calendar!$A18,DB!$1:$1,0)),FALSE)&gt;=5,"Good","Bad"),VLOOKUP(DATE($K$1,$K$2,NJG$4),Table1[],(MATCH(Calendar!$A18,DB!$1:$1,0)),FALSE)),"")</f>
        <v/>
      </c>
      <c r="NJH18" s="28" t="str">
        <f>IFERROR(IF(NJQ3="No",IF(VLOOKUP(DATE($K$1,$K$2,NJH$4),Table1[],(MATCH(Calendar!$A18,DB!$1:$1,0)),FALSE)&gt;=5,"Good","Bad"),VLOOKUP(DATE($K$1,$K$2,NJH$4),Table1[],(MATCH(Calendar!$A18,DB!$1:$1,0)),FALSE)),"")</f>
        <v/>
      </c>
      <c r="NJI18" s="28" t="str">
        <f>IFERROR(IF(NJR3="No",IF(VLOOKUP(DATE($K$1,$K$2,NJI$4),Table1[],(MATCH(Calendar!$A18,DB!$1:$1,0)),FALSE)&gt;=5,"Good","Bad"),VLOOKUP(DATE($K$1,$K$2,NJI$4),Table1[],(MATCH(Calendar!$A18,DB!$1:$1,0)),FALSE)),"")</f>
        <v/>
      </c>
      <c r="NJJ18" s="28" t="str">
        <f>IFERROR(IF(NJS3="No",IF(VLOOKUP(DATE($K$1,$K$2,NJJ$4),Table1[],(MATCH(Calendar!$A18,DB!$1:$1,0)),FALSE)&gt;=5,"Good","Bad"),VLOOKUP(DATE($K$1,$K$2,NJJ$4),Table1[],(MATCH(Calendar!$A18,DB!$1:$1,0)),FALSE)),"")</f>
        <v/>
      </c>
      <c r="NJK18" s="28" t="str">
        <f>IFERROR(IF(NJT3="No",IF(VLOOKUP(DATE($K$1,$K$2,NJK$4),Table1[],(MATCH(Calendar!$A18,DB!$1:$1,0)),FALSE)&gt;=5,"Good","Bad"),VLOOKUP(DATE($K$1,$K$2,NJK$4),Table1[],(MATCH(Calendar!$A18,DB!$1:$1,0)),FALSE)),"")</f>
        <v/>
      </c>
      <c r="NJL18" s="28" t="str">
        <f>IFERROR(IF(NJU3="No",IF(VLOOKUP(DATE($K$1,$K$2,NJL$4),Table1[],(MATCH(Calendar!$A18,DB!$1:$1,0)),FALSE)&gt;=5,"Good","Bad"),VLOOKUP(DATE($K$1,$K$2,NJL$4),Table1[],(MATCH(Calendar!$A18,DB!$1:$1,0)),FALSE)),"")</f>
        <v/>
      </c>
      <c r="NJM18" s="28" t="str">
        <f>IFERROR(IF(NJV3="No",IF(VLOOKUP(DATE($K$1,$K$2,NJM$4),Table1[],(MATCH(Calendar!$A18,DB!$1:$1,0)),FALSE)&gt;=5,"Good","Bad"),VLOOKUP(DATE($K$1,$K$2,NJM$4),Table1[],(MATCH(Calendar!$A18,DB!$1:$1,0)),FALSE)),"")</f>
        <v/>
      </c>
      <c r="NJN18" s="28" t="str">
        <f>IFERROR(IF(NJW3="No",IF(VLOOKUP(DATE($K$1,$K$2,NJN$4),Table1[],(MATCH(Calendar!$A18,DB!$1:$1,0)),FALSE)&gt;=5,"Good","Bad"),VLOOKUP(DATE($K$1,$K$2,NJN$4),Table1[],(MATCH(Calendar!$A18,DB!$1:$1,0)),FALSE)),"")</f>
        <v/>
      </c>
      <c r="NJO18" s="28" t="str">
        <f>IFERROR(IF(NJX3="No",IF(VLOOKUP(DATE($K$1,$K$2,NJO$4),Table1[],(MATCH(Calendar!$A18,DB!$1:$1,0)),FALSE)&gt;=5,"Good","Bad"),VLOOKUP(DATE($K$1,$K$2,NJO$4),Table1[],(MATCH(Calendar!$A18,DB!$1:$1,0)),FALSE)),"")</f>
        <v/>
      </c>
      <c r="NJP18" s="28" t="str">
        <f>IFERROR(IF(NJY3="No",IF(VLOOKUP(DATE($K$1,$K$2,NJP$4),Table1[],(MATCH(Calendar!$A18,DB!$1:$1,0)),FALSE)&gt;=5,"Good","Bad"),VLOOKUP(DATE($K$1,$K$2,NJP$4),Table1[],(MATCH(Calendar!$A18,DB!$1:$1,0)),FALSE)),"")</f>
        <v/>
      </c>
      <c r="NJQ18" s="28" t="str">
        <f>IFERROR(IF(NJZ3="No",IF(VLOOKUP(DATE($K$1,$K$2,NJQ$4),Table1[],(MATCH(Calendar!$A18,DB!$1:$1,0)),FALSE)&gt;=5,"Good","Bad"),VLOOKUP(DATE($K$1,$K$2,NJQ$4),Table1[],(MATCH(Calendar!$A18,DB!$1:$1,0)),FALSE)),"")</f>
        <v/>
      </c>
      <c r="NJR18" s="28" t="str">
        <f>IFERROR(IF(NKA3="No",IF(VLOOKUP(DATE($K$1,$K$2,NJR$4),Table1[],(MATCH(Calendar!$A18,DB!$1:$1,0)),FALSE)&gt;=5,"Good","Bad"),VLOOKUP(DATE($K$1,$K$2,NJR$4),Table1[],(MATCH(Calendar!$A18,DB!$1:$1,0)),FALSE)),"")</f>
        <v/>
      </c>
      <c r="NJS18" s="28" t="str">
        <f>IFERROR(IF(NKB3="No",IF(VLOOKUP(DATE($K$1,$K$2,NJS$4),Table1[],(MATCH(Calendar!$A18,DB!$1:$1,0)),FALSE)&gt;=5,"Good","Bad"),VLOOKUP(DATE($K$1,$K$2,NJS$4),Table1[],(MATCH(Calendar!$A18,DB!$1:$1,0)),FALSE)),"")</f>
        <v/>
      </c>
      <c r="NJT18" s="28" t="str">
        <f>IFERROR(IF(NKC3="No",IF(VLOOKUP(DATE($K$1,$K$2,NJT$4),Table1[],(MATCH(Calendar!$A18,DB!$1:$1,0)),FALSE)&gt;=5,"Good","Bad"),VLOOKUP(DATE($K$1,$K$2,NJT$4),Table1[],(MATCH(Calendar!$A18,DB!$1:$1,0)),FALSE)),"")</f>
        <v/>
      </c>
      <c r="NJU18" s="28" t="str">
        <f>IFERROR(IF(NKD3="No",IF(VLOOKUP(DATE($K$1,$K$2,NJU$4),Table1[],(MATCH(Calendar!$A18,DB!$1:$1,0)),FALSE)&gt;=5,"Good","Bad"),VLOOKUP(DATE($K$1,$K$2,NJU$4),Table1[],(MATCH(Calendar!$A18,DB!$1:$1,0)),FALSE)),"")</f>
        <v/>
      </c>
      <c r="NJV18" s="28" t="str">
        <f>IFERROR(IF(NKE3="No",IF(VLOOKUP(DATE($K$1,$K$2,NJV$4),Table1[],(MATCH(Calendar!$A18,DB!$1:$1,0)),FALSE)&gt;=5,"Good","Bad"),VLOOKUP(DATE($K$1,$K$2,NJV$4),Table1[],(MATCH(Calendar!$A18,DB!$1:$1,0)),FALSE)),"")</f>
        <v/>
      </c>
      <c r="NJW18" s="28" t="str">
        <f>IFERROR(IF(NKF3="No",IF(VLOOKUP(DATE($K$1,$K$2,NJW$4),Table1[],(MATCH(Calendar!$A18,DB!$1:$1,0)),FALSE)&gt;=5,"Good","Bad"),VLOOKUP(DATE($K$1,$K$2,NJW$4),Table1[],(MATCH(Calendar!$A18,DB!$1:$1,0)),FALSE)),"")</f>
        <v/>
      </c>
      <c r="NJX18" s="28" t="str">
        <f>IFERROR(IF(NKG3="No",IF(VLOOKUP(DATE($K$1,$K$2,NJX$4),Table1[],(MATCH(Calendar!$A18,DB!$1:$1,0)),FALSE)&gt;=5,"Good","Bad"),VLOOKUP(DATE($K$1,$K$2,NJX$4),Table1[],(MATCH(Calendar!$A18,DB!$1:$1,0)),FALSE)),"")</f>
        <v/>
      </c>
      <c r="NJY18" s="28" t="str">
        <f>IFERROR(IF(NKH3="No",IF(VLOOKUP(DATE($K$1,$K$2,NJY$4),Table1[],(MATCH(Calendar!$A18,DB!$1:$1,0)),FALSE)&gt;=5,"Good","Bad"),VLOOKUP(DATE($K$1,$K$2,NJY$4),Table1[],(MATCH(Calendar!$A18,DB!$1:$1,0)),FALSE)),"")</f>
        <v/>
      </c>
      <c r="NJZ18" s="28" t="str">
        <f>IFERROR(IF(NKI3="No",IF(VLOOKUP(DATE($K$1,$K$2,NJZ$4),Table1[],(MATCH(Calendar!$A18,DB!$1:$1,0)),FALSE)&gt;=5,"Good","Bad"),VLOOKUP(DATE($K$1,$K$2,NJZ$4),Table1[],(MATCH(Calendar!$A18,DB!$1:$1,0)),FALSE)),"")</f>
        <v/>
      </c>
      <c r="NKA18" s="28" t="str">
        <f>IFERROR(IF(NKJ3="No",IF(VLOOKUP(DATE($K$1,$K$2,NKA$4),Table1[],(MATCH(Calendar!$A18,DB!$1:$1,0)),FALSE)&gt;=5,"Good","Bad"),VLOOKUP(DATE($K$1,$K$2,NKA$4),Table1[],(MATCH(Calendar!$A18,DB!$1:$1,0)),FALSE)),"")</f>
        <v/>
      </c>
      <c r="NKB18" s="28" t="str">
        <f>IFERROR(IF(NKK3="No",IF(VLOOKUP(DATE($K$1,$K$2,NKB$4),Table1[],(MATCH(Calendar!$A18,DB!$1:$1,0)),FALSE)&gt;=5,"Good","Bad"),VLOOKUP(DATE($K$1,$K$2,NKB$4),Table1[],(MATCH(Calendar!$A18,DB!$1:$1,0)),FALSE)),"")</f>
        <v/>
      </c>
      <c r="NKC18" s="28" t="str">
        <f>IFERROR(IF(NKL3="No",IF(VLOOKUP(DATE($K$1,$K$2,NKC$4),Table1[],(MATCH(Calendar!$A18,DB!$1:$1,0)),FALSE)&gt;=5,"Good","Bad"),VLOOKUP(DATE($K$1,$K$2,NKC$4),Table1[],(MATCH(Calendar!$A18,DB!$1:$1,0)),FALSE)),"")</f>
        <v/>
      </c>
      <c r="NKD18" s="28" t="str">
        <f>IFERROR(IF(NKM3="No",IF(VLOOKUP(DATE($K$1,$K$2,NKD$4),Table1[],(MATCH(Calendar!$A18,DB!$1:$1,0)),FALSE)&gt;=5,"Good","Bad"),VLOOKUP(DATE($K$1,$K$2,NKD$4),Table1[],(MATCH(Calendar!$A18,DB!$1:$1,0)),FALSE)),"")</f>
        <v/>
      </c>
      <c r="NKE18" s="28" t="str">
        <f>IFERROR(IF(NKN3="No",IF(VLOOKUP(DATE($K$1,$K$2,NKE$4),Table1[],(MATCH(Calendar!$A18,DB!$1:$1,0)),FALSE)&gt;=5,"Good","Bad"),VLOOKUP(DATE($K$1,$K$2,NKE$4),Table1[],(MATCH(Calendar!$A18,DB!$1:$1,0)),FALSE)),"")</f>
        <v/>
      </c>
      <c r="NKF18" s="28" t="str">
        <f>IFERROR(IF(NKO3="No",IF(VLOOKUP(DATE($K$1,$K$2,NKF$4),Table1[],(MATCH(Calendar!$A18,DB!$1:$1,0)),FALSE)&gt;=5,"Good","Bad"),VLOOKUP(DATE($K$1,$K$2,NKF$4),Table1[],(MATCH(Calendar!$A18,DB!$1:$1,0)),FALSE)),"")</f>
        <v/>
      </c>
      <c r="NKG18" s="28" t="str">
        <f>IFERROR(IF(NKP3="No",IF(VLOOKUP(DATE($K$1,$K$2,NKG$4),Table1[],(MATCH(Calendar!$A18,DB!$1:$1,0)),FALSE)&gt;=5,"Good","Bad"),VLOOKUP(DATE($K$1,$K$2,NKG$4),Table1[],(MATCH(Calendar!$A18,DB!$1:$1,0)),FALSE)),"")</f>
        <v/>
      </c>
      <c r="NKH18" s="28" t="str">
        <f>IFERROR(IF(NKQ3="No",IF(VLOOKUP(DATE($K$1,$K$2,NKH$4),Table1[],(MATCH(Calendar!$A18,DB!$1:$1,0)),FALSE)&gt;=5,"Good","Bad"),VLOOKUP(DATE($K$1,$K$2,NKH$4),Table1[],(MATCH(Calendar!$A18,DB!$1:$1,0)),FALSE)),"")</f>
        <v/>
      </c>
      <c r="NKI18" s="28" t="str">
        <f>IFERROR(IF(NKR3="No",IF(VLOOKUP(DATE($K$1,$K$2,NKI$4),Table1[],(MATCH(Calendar!$A18,DB!$1:$1,0)),FALSE)&gt;=5,"Good","Bad"),VLOOKUP(DATE($K$1,$K$2,NKI$4),Table1[],(MATCH(Calendar!$A18,DB!$1:$1,0)),FALSE)),"")</f>
        <v/>
      </c>
      <c r="NKJ18" s="28" t="str">
        <f>IFERROR(IF(NKS3="No",IF(VLOOKUP(DATE($K$1,$K$2,NKJ$4),Table1[],(MATCH(Calendar!$A18,DB!$1:$1,0)),FALSE)&gt;=5,"Good","Bad"),VLOOKUP(DATE($K$1,$K$2,NKJ$4),Table1[],(MATCH(Calendar!$A18,DB!$1:$1,0)),FALSE)),"")</f>
        <v/>
      </c>
      <c r="NKK18" s="28" t="str">
        <f>IFERROR(IF(NKT3="No",IF(VLOOKUP(DATE($K$1,$K$2,NKK$4),Table1[],(MATCH(Calendar!$A18,DB!$1:$1,0)),FALSE)&gt;=5,"Good","Bad"),VLOOKUP(DATE($K$1,$K$2,NKK$4),Table1[],(MATCH(Calendar!$A18,DB!$1:$1,0)),FALSE)),"")</f>
        <v/>
      </c>
      <c r="NKL18" s="28" t="str">
        <f>IFERROR(IF(NKU3="No",IF(VLOOKUP(DATE($K$1,$K$2,NKL$4),Table1[],(MATCH(Calendar!$A18,DB!$1:$1,0)),FALSE)&gt;=5,"Good","Bad"),VLOOKUP(DATE($K$1,$K$2,NKL$4),Table1[],(MATCH(Calendar!$A18,DB!$1:$1,0)),FALSE)),"")</f>
        <v/>
      </c>
      <c r="NKM18" s="28" t="str">
        <f>IFERROR(IF(NKV3="No",IF(VLOOKUP(DATE($K$1,$K$2,NKM$4),Table1[],(MATCH(Calendar!$A18,DB!$1:$1,0)),FALSE)&gt;=5,"Good","Bad"),VLOOKUP(DATE($K$1,$K$2,NKM$4),Table1[],(MATCH(Calendar!$A18,DB!$1:$1,0)),FALSE)),"")</f>
        <v/>
      </c>
      <c r="NKN18" s="28" t="str">
        <f>IFERROR(IF(NKW3="No",IF(VLOOKUP(DATE($K$1,$K$2,NKN$4),Table1[],(MATCH(Calendar!$A18,DB!$1:$1,0)),FALSE)&gt;=5,"Good","Bad"),VLOOKUP(DATE($K$1,$K$2,NKN$4),Table1[],(MATCH(Calendar!$A18,DB!$1:$1,0)),FALSE)),"")</f>
        <v/>
      </c>
      <c r="NKO18" s="28" t="str">
        <f>IFERROR(IF(NKX3="No",IF(VLOOKUP(DATE($K$1,$K$2,NKO$4),Table1[],(MATCH(Calendar!$A18,DB!$1:$1,0)),FALSE)&gt;=5,"Good","Bad"),VLOOKUP(DATE($K$1,$K$2,NKO$4),Table1[],(MATCH(Calendar!$A18,DB!$1:$1,0)),FALSE)),"")</f>
        <v/>
      </c>
      <c r="NKP18" s="28" t="str">
        <f>IFERROR(IF(NKY3="No",IF(VLOOKUP(DATE($K$1,$K$2,NKP$4),Table1[],(MATCH(Calendar!$A18,DB!$1:$1,0)),FALSE)&gt;=5,"Good","Bad"),VLOOKUP(DATE($K$1,$K$2,NKP$4),Table1[],(MATCH(Calendar!$A18,DB!$1:$1,0)),FALSE)),"")</f>
        <v/>
      </c>
      <c r="NKQ18" s="28" t="str">
        <f>IFERROR(IF(NKZ3="No",IF(VLOOKUP(DATE($K$1,$K$2,NKQ$4),Table1[],(MATCH(Calendar!$A18,DB!$1:$1,0)),FALSE)&gt;=5,"Good","Bad"),VLOOKUP(DATE($K$1,$K$2,NKQ$4),Table1[],(MATCH(Calendar!$A18,DB!$1:$1,0)),FALSE)),"")</f>
        <v/>
      </c>
      <c r="NKR18" s="28" t="str">
        <f>IFERROR(IF(NLA3="No",IF(VLOOKUP(DATE($K$1,$K$2,NKR$4),Table1[],(MATCH(Calendar!$A18,DB!$1:$1,0)),FALSE)&gt;=5,"Good","Bad"),VLOOKUP(DATE($K$1,$K$2,NKR$4),Table1[],(MATCH(Calendar!$A18,DB!$1:$1,0)),FALSE)),"")</f>
        <v/>
      </c>
      <c r="NKS18" s="28" t="str">
        <f>IFERROR(IF(NLB3="No",IF(VLOOKUP(DATE($K$1,$K$2,NKS$4),Table1[],(MATCH(Calendar!$A18,DB!$1:$1,0)),FALSE)&gt;=5,"Good","Bad"),VLOOKUP(DATE($K$1,$K$2,NKS$4),Table1[],(MATCH(Calendar!$A18,DB!$1:$1,0)),FALSE)),"")</f>
        <v/>
      </c>
      <c r="NKT18" s="28" t="str">
        <f>IFERROR(IF(NLC3="No",IF(VLOOKUP(DATE($K$1,$K$2,NKT$4),Table1[],(MATCH(Calendar!$A18,DB!$1:$1,0)),FALSE)&gt;=5,"Good","Bad"),VLOOKUP(DATE($K$1,$K$2,NKT$4),Table1[],(MATCH(Calendar!$A18,DB!$1:$1,0)),FALSE)),"")</f>
        <v/>
      </c>
      <c r="NKU18" s="28" t="str">
        <f>IFERROR(IF(NLD3="No",IF(VLOOKUP(DATE($K$1,$K$2,NKU$4),Table1[],(MATCH(Calendar!$A18,DB!$1:$1,0)),FALSE)&gt;=5,"Good","Bad"),VLOOKUP(DATE($K$1,$K$2,NKU$4),Table1[],(MATCH(Calendar!$A18,DB!$1:$1,0)),FALSE)),"")</f>
        <v/>
      </c>
      <c r="NKV18" s="28" t="str">
        <f>IFERROR(IF(NLE3="No",IF(VLOOKUP(DATE($K$1,$K$2,NKV$4),Table1[],(MATCH(Calendar!$A18,DB!$1:$1,0)),FALSE)&gt;=5,"Good","Bad"),VLOOKUP(DATE($K$1,$K$2,NKV$4),Table1[],(MATCH(Calendar!$A18,DB!$1:$1,0)),FALSE)),"")</f>
        <v/>
      </c>
      <c r="NKW18" s="28" t="str">
        <f>IFERROR(IF(NLF3="No",IF(VLOOKUP(DATE($K$1,$K$2,NKW$4),Table1[],(MATCH(Calendar!$A18,DB!$1:$1,0)),FALSE)&gt;=5,"Good","Bad"),VLOOKUP(DATE($K$1,$K$2,NKW$4),Table1[],(MATCH(Calendar!$A18,DB!$1:$1,0)),FALSE)),"")</f>
        <v/>
      </c>
      <c r="NKX18" s="28" t="str">
        <f>IFERROR(IF(NLG3="No",IF(VLOOKUP(DATE($K$1,$K$2,NKX$4),Table1[],(MATCH(Calendar!$A18,DB!$1:$1,0)),FALSE)&gt;=5,"Good","Bad"),VLOOKUP(DATE($K$1,$K$2,NKX$4),Table1[],(MATCH(Calendar!$A18,DB!$1:$1,0)),FALSE)),"")</f>
        <v/>
      </c>
      <c r="NKY18" s="28" t="str">
        <f>IFERROR(IF(NLH3="No",IF(VLOOKUP(DATE($K$1,$K$2,NKY$4),Table1[],(MATCH(Calendar!$A18,DB!$1:$1,0)),FALSE)&gt;=5,"Good","Bad"),VLOOKUP(DATE($K$1,$K$2,NKY$4),Table1[],(MATCH(Calendar!$A18,DB!$1:$1,0)),FALSE)),"")</f>
        <v/>
      </c>
      <c r="NKZ18" s="28" t="str">
        <f>IFERROR(IF(NLI3="No",IF(VLOOKUP(DATE($K$1,$K$2,NKZ$4),Table1[],(MATCH(Calendar!$A18,DB!$1:$1,0)),FALSE)&gt;=5,"Good","Bad"),VLOOKUP(DATE($K$1,$K$2,NKZ$4),Table1[],(MATCH(Calendar!$A18,DB!$1:$1,0)),FALSE)),"")</f>
        <v/>
      </c>
      <c r="NLA18" s="28" t="str">
        <f>IFERROR(IF(NLJ3="No",IF(VLOOKUP(DATE($K$1,$K$2,NLA$4),Table1[],(MATCH(Calendar!$A18,DB!$1:$1,0)),FALSE)&gt;=5,"Good","Bad"),VLOOKUP(DATE($K$1,$K$2,NLA$4),Table1[],(MATCH(Calendar!$A18,DB!$1:$1,0)),FALSE)),"")</f>
        <v/>
      </c>
      <c r="NLB18" s="28" t="str">
        <f>IFERROR(IF(NLK3="No",IF(VLOOKUP(DATE($K$1,$K$2,NLB$4),Table1[],(MATCH(Calendar!$A18,DB!$1:$1,0)),FALSE)&gt;=5,"Good","Bad"),VLOOKUP(DATE($K$1,$K$2,NLB$4),Table1[],(MATCH(Calendar!$A18,DB!$1:$1,0)),FALSE)),"")</f>
        <v/>
      </c>
      <c r="NLC18" s="28" t="str">
        <f>IFERROR(IF(NLL3="No",IF(VLOOKUP(DATE($K$1,$K$2,NLC$4),Table1[],(MATCH(Calendar!$A18,DB!$1:$1,0)),FALSE)&gt;=5,"Good","Bad"),VLOOKUP(DATE($K$1,$K$2,NLC$4),Table1[],(MATCH(Calendar!$A18,DB!$1:$1,0)),FALSE)),"")</f>
        <v/>
      </c>
      <c r="NLD18" s="28" t="str">
        <f>IFERROR(IF(NLM3="No",IF(VLOOKUP(DATE($K$1,$K$2,NLD$4),Table1[],(MATCH(Calendar!$A18,DB!$1:$1,0)),FALSE)&gt;=5,"Good","Bad"),VLOOKUP(DATE($K$1,$K$2,NLD$4),Table1[],(MATCH(Calendar!$A18,DB!$1:$1,0)),FALSE)),"")</f>
        <v/>
      </c>
      <c r="NLE18" s="28" t="str">
        <f>IFERROR(IF(NLN3="No",IF(VLOOKUP(DATE($K$1,$K$2,NLE$4),Table1[],(MATCH(Calendar!$A18,DB!$1:$1,0)),FALSE)&gt;=5,"Good","Bad"),VLOOKUP(DATE($K$1,$K$2,NLE$4),Table1[],(MATCH(Calendar!$A18,DB!$1:$1,0)),FALSE)),"")</f>
        <v/>
      </c>
      <c r="NLF18" s="28" t="str">
        <f>IFERROR(IF(NLO3="No",IF(VLOOKUP(DATE($K$1,$K$2,NLF$4),Table1[],(MATCH(Calendar!$A18,DB!$1:$1,0)),FALSE)&gt;=5,"Good","Bad"),VLOOKUP(DATE($K$1,$K$2,NLF$4),Table1[],(MATCH(Calendar!$A18,DB!$1:$1,0)),FALSE)),"")</f>
        <v/>
      </c>
      <c r="NLG18" s="28" t="str">
        <f>IFERROR(IF(NLP3="No",IF(VLOOKUP(DATE($K$1,$K$2,NLG$4),Table1[],(MATCH(Calendar!$A18,DB!$1:$1,0)),FALSE)&gt;=5,"Good","Bad"),VLOOKUP(DATE($K$1,$K$2,NLG$4),Table1[],(MATCH(Calendar!$A18,DB!$1:$1,0)),FALSE)),"")</f>
        <v/>
      </c>
      <c r="NLH18" s="28" t="str">
        <f>IFERROR(IF(NLQ3="No",IF(VLOOKUP(DATE($K$1,$K$2,NLH$4),Table1[],(MATCH(Calendar!$A18,DB!$1:$1,0)),FALSE)&gt;=5,"Good","Bad"),VLOOKUP(DATE($K$1,$K$2,NLH$4),Table1[],(MATCH(Calendar!$A18,DB!$1:$1,0)),FALSE)),"")</f>
        <v/>
      </c>
      <c r="NLI18" s="28" t="str">
        <f>IFERROR(IF(NLR3="No",IF(VLOOKUP(DATE($K$1,$K$2,NLI$4),Table1[],(MATCH(Calendar!$A18,DB!$1:$1,0)),FALSE)&gt;=5,"Good","Bad"),VLOOKUP(DATE($K$1,$K$2,NLI$4),Table1[],(MATCH(Calendar!$A18,DB!$1:$1,0)),FALSE)),"")</f>
        <v/>
      </c>
      <c r="NLJ18" s="28" t="str">
        <f>IFERROR(IF(NLS3="No",IF(VLOOKUP(DATE($K$1,$K$2,NLJ$4),Table1[],(MATCH(Calendar!$A18,DB!$1:$1,0)),FALSE)&gt;=5,"Good","Bad"),VLOOKUP(DATE($K$1,$K$2,NLJ$4),Table1[],(MATCH(Calendar!$A18,DB!$1:$1,0)),FALSE)),"")</f>
        <v/>
      </c>
      <c r="NLK18" s="28" t="str">
        <f>IFERROR(IF(NLT3="No",IF(VLOOKUP(DATE($K$1,$K$2,NLK$4),Table1[],(MATCH(Calendar!$A18,DB!$1:$1,0)),FALSE)&gt;=5,"Good","Bad"),VLOOKUP(DATE($K$1,$K$2,NLK$4),Table1[],(MATCH(Calendar!$A18,DB!$1:$1,0)),FALSE)),"")</f>
        <v/>
      </c>
      <c r="NLL18" s="28" t="str">
        <f>IFERROR(IF(NLU3="No",IF(VLOOKUP(DATE($K$1,$K$2,NLL$4),Table1[],(MATCH(Calendar!$A18,DB!$1:$1,0)),FALSE)&gt;=5,"Good","Bad"),VLOOKUP(DATE($K$1,$K$2,NLL$4),Table1[],(MATCH(Calendar!$A18,DB!$1:$1,0)),FALSE)),"")</f>
        <v/>
      </c>
      <c r="NLM18" s="28" t="str">
        <f>IFERROR(IF(NLV3="No",IF(VLOOKUP(DATE($K$1,$K$2,NLM$4),Table1[],(MATCH(Calendar!$A18,DB!$1:$1,0)),FALSE)&gt;=5,"Good","Bad"),VLOOKUP(DATE($K$1,$K$2,NLM$4),Table1[],(MATCH(Calendar!$A18,DB!$1:$1,0)),FALSE)),"")</f>
        <v/>
      </c>
      <c r="NLN18" s="28" t="str">
        <f>IFERROR(IF(NLW3="No",IF(VLOOKUP(DATE($K$1,$K$2,NLN$4),Table1[],(MATCH(Calendar!$A18,DB!$1:$1,0)),FALSE)&gt;=5,"Good","Bad"),VLOOKUP(DATE($K$1,$K$2,NLN$4),Table1[],(MATCH(Calendar!$A18,DB!$1:$1,0)),FALSE)),"")</f>
        <v/>
      </c>
      <c r="NLO18" s="28" t="str">
        <f>IFERROR(IF(NLX3="No",IF(VLOOKUP(DATE($K$1,$K$2,NLO$4),Table1[],(MATCH(Calendar!$A18,DB!$1:$1,0)),FALSE)&gt;=5,"Good","Bad"),VLOOKUP(DATE($K$1,$K$2,NLO$4),Table1[],(MATCH(Calendar!$A18,DB!$1:$1,0)),FALSE)),"")</f>
        <v/>
      </c>
      <c r="NLP18" s="28" t="str">
        <f>IFERROR(IF(NLY3="No",IF(VLOOKUP(DATE($K$1,$K$2,NLP$4),Table1[],(MATCH(Calendar!$A18,DB!$1:$1,0)),FALSE)&gt;=5,"Good","Bad"),VLOOKUP(DATE($K$1,$K$2,NLP$4),Table1[],(MATCH(Calendar!$A18,DB!$1:$1,0)),FALSE)),"")</f>
        <v/>
      </c>
      <c r="NLQ18" s="28" t="str">
        <f>IFERROR(IF(NLZ3="No",IF(VLOOKUP(DATE($K$1,$K$2,NLQ$4),Table1[],(MATCH(Calendar!$A18,DB!$1:$1,0)),FALSE)&gt;=5,"Good","Bad"),VLOOKUP(DATE($K$1,$K$2,NLQ$4),Table1[],(MATCH(Calendar!$A18,DB!$1:$1,0)),FALSE)),"")</f>
        <v/>
      </c>
      <c r="NLR18" s="28" t="str">
        <f>IFERROR(IF(NMA3="No",IF(VLOOKUP(DATE($K$1,$K$2,NLR$4),Table1[],(MATCH(Calendar!$A18,DB!$1:$1,0)),FALSE)&gt;=5,"Good","Bad"),VLOOKUP(DATE($K$1,$K$2,NLR$4),Table1[],(MATCH(Calendar!$A18,DB!$1:$1,0)),FALSE)),"")</f>
        <v/>
      </c>
      <c r="NLS18" s="28" t="str">
        <f>IFERROR(IF(NMB3="No",IF(VLOOKUP(DATE($K$1,$K$2,NLS$4),Table1[],(MATCH(Calendar!$A18,DB!$1:$1,0)),FALSE)&gt;=5,"Good","Bad"),VLOOKUP(DATE($K$1,$K$2,NLS$4),Table1[],(MATCH(Calendar!$A18,DB!$1:$1,0)),FALSE)),"")</f>
        <v/>
      </c>
      <c r="NLT18" s="28" t="str">
        <f>IFERROR(IF(NMC3="No",IF(VLOOKUP(DATE($K$1,$K$2,NLT$4),Table1[],(MATCH(Calendar!$A18,DB!$1:$1,0)),FALSE)&gt;=5,"Good","Bad"),VLOOKUP(DATE($K$1,$K$2,NLT$4),Table1[],(MATCH(Calendar!$A18,DB!$1:$1,0)),FALSE)),"")</f>
        <v/>
      </c>
      <c r="NLU18" s="28" t="str">
        <f>IFERROR(IF(NMD3="No",IF(VLOOKUP(DATE($K$1,$K$2,NLU$4),Table1[],(MATCH(Calendar!$A18,DB!$1:$1,0)),FALSE)&gt;=5,"Good","Bad"),VLOOKUP(DATE($K$1,$K$2,NLU$4),Table1[],(MATCH(Calendar!$A18,DB!$1:$1,0)),FALSE)),"")</f>
        <v/>
      </c>
      <c r="NLV18" s="28" t="str">
        <f>IFERROR(IF(NME3="No",IF(VLOOKUP(DATE($K$1,$K$2,NLV$4),Table1[],(MATCH(Calendar!$A18,DB!$1:$1,0)),FALSE)&gt;=5,"Good","Bad"),VLOOKUP(DATE($K$1,$K$2,NLV$4),Table1[],(MATCH(Calendar!$A18,DB!$1:$1,0)),FALSE)),"")</f>
        <v/>
      </c>
      <c r="NLW18" s="28" t="str">
        <f>IFERROR(IF(NMF3="No",IF(VLOOKUP(DATE($K$1,$K$2,NLW$4),Table1[],(MATCH(Calendar!$A18,DB!$1:$1,0)),FALSE)&gt;=5,"Good","Bad"),VLOOKUP(DATE($K$1,$K$2,NLW$4),Table1[],(MATCH(Calendar!$A18,DB!$1:$1,0)),FALSE)),"")</f>
        <v/>
      </c>
      <c r="NLX18" s="28" t="str">
        <f>IFERROR(IF(NMG3="No",IF(VLOOKUP(DATE($K$1,$K$2,NLX$4),Table1[],(MATCH(Calendar!$A18,DB!$1:$1,0)),FALSE)&gt;=5,"Good","Bad"),VLOOKUP(DATE($K$1,$K$2,NLX$4),Table1[],(MATCH(Calendar!$A18,DB!$1:$1,0)),FALSE)),"")</f>
        <v/>
      </c>
      <c r="NLY18" s="28" t="str">
        <f>IFERROR(IF(NMH3="No",IF(VLOOKUP(DATE($K$1,$K$2,NLY$4),Table1[],(MATCH(Calendar!$A18,DB!$1:$1,0)),FALSE)&gt;=5,"Good","Bad"),VLOOKUP(DATE($K$1,$K$2,NLY$4),Table1[],(MATCH(Calendar!$A18,DB!$1:$1,0)),FALSE)),"")</f>
        <v/>
      </c>
      <c r="NLZ18" s="28" t="str">
        <f>IFERROR(IF(NMI3="No",IF(VLOOKUP(DATE($K$1,$K$2,NLZ$4),Table1[],(MATCH(Calendar!$A18,DB!$1:$1,0)),FALSE)&gt;=5,"Good","Bad"),VLOOKUP(DATE($K$1,$K$2,NLZ$4),Table1[],(MATCH(Calendar!$A18,DB!$1:$1,0)),FALSE)),"")</f>
        <v/>
      </c>
      <c r="NMA18" s="28" t="str">
        <f>IFERROR(IF(NMJ3="No",IF(VLOOKUP(DATE($K$1,$K$2,NMA$4),Table1[],(MATCH(Calendar!$A18,DB!$1:$1,0)),FALSE)&gt;=5,"Good","Bad"),VLOOKUP(DATE($K$1,$K$2,NMA$4),Table1[],(MATCH(Calendar!$A18,DB!$1:$1,0)),FALSE)),"")</f>
        <v/>
      </c>
      <c r="NMB18" s="28" t="str">
        <f>IFERROR(IF(NMK3="No",IF(VLOOKUP(DATE($K$1,$K$2,NMB$4),Table1[],(MATCH(Calendar!$A18,DB!$1:$1,0)),FALSE)&gt;=5,"Good","Bad"),VLOOKUP(DATE($K$1,$K$2,NMB$4),Table1[],(MATCH(Calendar!$A18,DB!$1:$1,0)),FALSE)),"")</f>
        <v/>
      </c>
      <c r="NMC18" s="28" t="str">
        <f>IFERROR(IF(NML3="No",IF(VLOOKUP(DATE($K$1,$K$2,NMC$4),Table1[],(MATCH(Calendar!$A18,DB!$1:$1,0)),FALSE)&gt;=5,"Good","Bad"),VLOOKUP(DATE($K$1,$K$2,NMC$4),Table1[],(MATCH(Calendar!$A18,DB!$1:$1,0)),FALSE)),"")</f>
        <v/>
      </c>
      <c r="NMD18" s="28" t="str">
        <f>IFERROR(IF(NMM3="No",IF(VLOOKUP(DATE($K$1,$K$2,NMD$4),Table1[],(MATCH(Calendar!$A18,DB!$1:$1,0)),FALSE)&gt;=5,"Good","Bad"),VLOOKUP(DATE($K$1,$K$2,NMD$4),Table1[],(MATCH(Calendar!$A18,DB!$1:$1,0)),FALSE)),"")</f>
        <v/>
      </c>
      <c r="NME18" s="28" t="str">
        <f>IFERROR(IF(NMN3="No",IF(VLOOKUP(DATE($K$1,$K$2,NME$4),Table1[],(MATCH(Calendar!$A18,DB!$1:$1,0)),FALSE)&gt;=5,"Good","Bad"),VLOOKUP(DATE($K$1,$K$2,NME$4),Table1[],(MATCH(Calendar!$A18,DB!$1:$1,0)),FALSE)),"")</f>
        <v/>
      </c>
      <c r="NMF18" s="28" t="str">
        <f>IFERROR(IF(NMO3="No",IF(VLOOKUP(DATE($K$1,$K$2,NMF$4),Table1[],(MATCH(Calendar!$A18,DB!$1:$1,0)),FALSE)&gt;=5,"Good","Bad"),VLOOKUP(DATE($K$1,$K$2,NMF$4),Table1[],(MATCH(Calendar!$A18,DB!$1:$1,0)),FALSE)),"")</f>
        <v/>
      </c>
      <c r="NMG18" s="28" t="str">
        <f>IFERROR(IF(NMP3="No",IF(VLOOKUP(DATE($K$1,$K$2,NMG$4),Table1[],(MATCH(Calendar!$A18,DB!$1:$1,0)),FALSE)&gt;=5,"Good","Bad"),VLOOKUP(DATE($K$1,$K$2,NMG$4),Table1[],(MATCH(Calendar!$A18,DB!$1:$1,0)),FALSE)),"")</f>
        <v/>
      </c>
      <c r="NMH18" s="28" t="str">
        <f>IFERROR(IF(NMQ3="No",IF(VLOOKUP(DATE($K$1,$K$2,NMH$4),Table1[],(MATCH(Calendar!$A18,DB!$1:$1,0)),FALSE)&gt;=5,"Good","Bad"),VLOOKUP(DATE($K$1,$K$2,NMH$4),Table1[],(MATCH(Calendar!$A18,DB!$1:$1,0)),FALSE)),"")</f>
        <v/>
      </c>
      <c r="NMI18" s="28" t="str">
        <f>IFERROR(IF(NMR3="No",IF(VLOOKUP(DATE($K$1,$K$2,NMI$4),Table1[],(MATCH(Calendar!$A18,DB!$1:$1,0)),FALSE)&gt;=5,"Good","Bad"),VLOOKUP(DATE($K$1,$K$2,NMI$4),Table1[],(MATCH(Calendar!$A18,DB!$1:$1,0)),FALSE)),"")</f>
        <v/>
      </c>
      <c r="NMJ18" s="28" t="str">
        <f>IFERROR(IF(NMS3="No",IF(VLOOKUP(DATE($K$1,$K$2,NMJ$4),Table1[],(MATCH(Calendar!$A18,DB!$1:$1,0)),FALSE)&gt;=5,"Good","Bad"),VLOOKUP(DATE($K$1,$K$2,NMJ$4),Table1[],(MATCH(Calendar!$A18,DB!$1:$1,0)),FALSE)),"")</f>
        <v/>
      </c>
      <c r="NMK18" s="28" t="str">
        <f>IFERROR(IF(NMT3="No",IF(VLOOKUP(DATE($K$1,$K$2,NMK$4),Table1[],(MATCH(Calendar!$A18,DB!$1:$1,0)),FALSE)&gt;=5,"Good","Bad"),VLOOKUP(DATE($K$1,$K$2,NMK$4),Table1[],(MATCH(Calendar!$A18,DB!$1:$1,0)),FALSE)),"")</f>
        <v/>
      </c>
      <c r="NML18" s="28" t="str">
        <f>IFERROR(IF(NMU3="No",IF(VLOOKUP(DATE($K$1,$K$2,NML$4),Table1[],(MATCH(Calendar!$A18,DB!$1:$1,0)),FALSE)&gt;=5,"Good","Bad"),VLOOKUP(DATE($K$1,$K$2,NML$4),Table1[],(MATCH(Calendar!$A18,DB!$1:$1,0)),FALSE)),"")</f>
        <v/>
      </c>
      <c r="NMM18" s="28" t="str">
        <f>IFERROR(IF(NMV3="No",IF(VLOOKUP(DATE($K$1,$K$2,NMM$4),Table1[],(MATCH(Calendar!$A18,DB!$1:$1,0)),FALSE)&gt;=5,"Good","Bad"),VLOOKUP(DATE($K$1,$K$2,NMM$4),Table1[],(MATCH(Calendar!$A18,DB!$1:$1,0)),FALSE)),"")</f>
        <v/>
      </c>
      <c r="NMN18" s="28" t="str">
        <f>IFERROR(IF(NMW3="No",IF(VLOOKUP(DATE($K$1,$K$2,NMN$4),Table1[],(MATCH(Calendar!$A18,DB!$1:$1,0)),FALSE)&gt;=5,"Good","Bad"),VLOOKUP(DATE($K$1,$K$2,NMN$4),Table1[],(MATCH(Calendar!$A18,DB!$1:$1,0)),FALSE)),"")</f>
        <v/>
      </c>
      <c r="NMO18" s="28" t="str">
        <f>IFERROR(IF(NMX3="No",IF(VLOOKUP(DATE($K$1,$K$2,NMO$4),Table1[],(MATCH(Calendar!$A18,DB!$1:$1,0)),FALSE)&gt;=5,"Good","Bad"),VLOOKUP(DATE($K$1,$K$2,NMO$4),Table1[],(MATCH(Calendar!$A18,DB!$1:$1,0)),FALSE)),"")</f>
        <v/>
      </c>
      <c r="NMP18" s="28" t="str">
        <f>IFERROR(IF(NMY3="No",IF(VLOOKUP(DATE($K$1,$K$2,NMP$4),Table1[],(MATCH(Calendar!$A18,DB!$1:$1,0)),FALSE)&gt;=5,"Good","Bad"),VLOOKUP(DATE($K$1,$K$2,NMP$4),Table1[],(MATCH(Calendar!$A18,DB!$1:$1,0)),FALSE)),"")</f>
        <v/>
      </c>
      <c r="NMQ18" s="28" t="str">
        <f>IFERROR(IF(NMZ3="No",IF(VLOOKUP(DATE($K$1,$K$2,NMQ$4),Table1[],(MATCH(Calendar!$A18,DB!$1:$1,0)),FALSE)&gt;=5,"Good","Bad"),VLOOKUP(DATE($K$1,$K$2,NMQ$4),Table1[],(MATCH(Calendar!$A18,DB!$1:$1,0)),FALSE)),"")</f>
        <v/>
      </c>
      <c r="NMR18" s="28" t="str">
        <f>IFERROR(IF(NNA3="No",IF(VLOOKUP(DATE($K$1,$K$2,NMR$4),Table1[],(MATCH(Calendar!$A18,DB!$1:$1,0)),FALSE)&gt;=5,"Good","Bad"),VLOOKUP(DATE($K$1,$K$2,NMR$4),Table1[],(MATCH(Calendar!$A18,DB!$1:$1,0)),FALSE)),"")</f>
        <v/>
      </c>
      <c r="NMS18" s="28" t="str">
        <f>IFERROR(IF(NNB3="No",IF(VLOOKUP(DATE($K$1,$K$2,NMS$4),Table1[],(MATCH(Calendar!$A18,DB!$1:$1,0)),FALSE)&gt;=5,"Good","Bad"),VLOOKUP(DATE($K$1,$K$2,NMS$4),Table1[],(MATCH(Calendar!$A18,DB!$1:$1,0)),FALSE)),"")</f>
        <v/>
      </c>
      <c r="NMT18" s="28" t="str">
        <f>IFERROR(IF(NNC3="No",IF(VLOOKUP(DATE($K$1,$K$2,NMT$4),Table1[],(MATCH(Calendar!$A18,DB!$1:$1,0)),FALSE)&gt;=5,"Good","Bad"),VLOOKUP(DATE($K$1,$K$2,NMT$4),Table1[],(MATCH(Calendar!$A18,DB!$1:$1,0)),FALSE)),"")</f>
        <v/>
      </c>
      <c r="NMU18" s="28" t="str">
        <f>IFERROR(IF(NND3="No",IF(VLOOKUP(DATE($K$1,$K$2,NMU$4),Table1[],(MATCH(Calendar!$A18,DB!$1:$1,0)),FALSE)&gt;=5,"Good","Bad"),VLOOKUP(DATE($K$1,$K$2,NMU$4),Table1[],(MATCH(Calendar!$A18,DB!$1:$1,0)),FALSE)),"")</f>
        <v/>
      </c>
      <c r="NMV18" s="28" t="str">
        <f>IFERROR(IF(NNE3="No",IF(VLOOKUP(DATE($K$1,$K$2,NMV$4),Table1[],(MATCH(Calendar!$A18,DB!$1:$1,0)),FALSE)&gt;=5,"Good","Bad"),VLOOKUP(DATE($K$1,$K$2,NMV$4),Table1[],(MATCH(Calendar!$A18,DB!$1:$1,0)),FALSE)),"")</f>
        <v/>
      </c>
      <c r="NMW18" s="28" t="str">
        <f>IFERROR(IF(NNF3="No",IF(VLOOKUP(DATE($K$1,$K$2,NMW$4),Table1[],(MATCH(Calendar!$A18,DB!$1:$1,0)),FALSE)&gt;=5,"Good","Bad"),VLOOKUP(DATE($K$1,$K$2,NMW$4),Table1[],(MATCH(Calendar!$A18,DB!$1:$1,0)),FALSE)),"")</f>
        <v/>
      </c>
      <c r="NMX18" s="28" t="str">
        <f>IFERROR(IF(NNG3="No",IF(VLOOKUP(DATE($K$1,$K$2,NMX$4),Table1[],(MATCH(Calendar!$A18,DB!$1:$1,0)),FALSE)&gt;=5,"Good","Bad"),VLOOKUP(DATE($K$1,$K$2,NMX$4),Table1[],(MATCH(Calendar!$A18,DB!$1:$1,0)),FALSE)),"")</f>
        <v/>
      </c>
      <c r="NMY18" s="28" t="str">
        <f>IFERROR(IF(NNH3="No",IF(VLOOKUP(DATE($K$1,$K$2,NMY$4),Table1[],(MATCH(Calendar!$A18,DB!$1:$1,0)),FALSE)&gt;=5,"Good","Bad"),VLOOKUP(DATE($K$1,$K$2,NMY$4),Table1[],(MATCH(Calendar!$A18,DB!$1:$1,0)),FALSE)),"")</f>
        <v/>
      </c>
      <c r="NMZ18" s="28" t="str">
        <f>IFERROR(IF(NNI3="No",IF(VLOOKUP(DATE($K$1,$K$2,NMZ$4),Table1[],(MATCH(Calendar!$A18,DB!$1:$1,0)),FALSE)&gt;=5,"Good","Bad"),VLOOKUP(DATE($K$1,$K$2,NMZ$4),Table1[],(MATCH(Calendar!$A18,DB!$1:$1,0)),FALSE)),"")</f>
        <v/>
      </c>
      <c r="NNA18" s="28" t="str">
        <f>IFERROR(IF(NNJ3="No",IF(VLOOKUP(DATE($K$1,$K$2,NNA$4),Table1[],(MATCH(Calendar!$A18,DB!$1:$1,0)),FALSE)&gt;=5,"Good","Bad"),VLOOKUP(DATE($K$1,$K$2,NNA$4),Table1[],(MATCH(Calendar!$A18,DB!$1:$1,0)),FALSE)),"")</f>
        <v/>
      </c>
      <c r="NNB18" s="28" t="str">
        <f>IFERROR(IF(NNK3="No",IF(VLOOKUP(DATE($K$1,$K$2,NNB$4),Table1[],(MATCH(Calendar!$A18,DB!$1:$1,0)),FALSE)&gt;=5,"Good","Bad"),VLOOKUP(DATE($K$1,$K$2,NNB$4),Table1[],(MATCH(Calendar!$A18,DB!$1:$1,0)),FALSE)),"")</f>
        <v/>
      </c>
      <c r="NNC18" s="28" t="str">
        <f>IFERROR(IF(NNL3="No",IF(VLOOKUP(DATE($K$1,$K$2,NNC$4),Table1[],(MATCH(Calendar!$A18,DB!$1:$1,0)),FALSE)&gt;=5,"Good","Bad"),VLOOKUP(DATE($K$1,$K$2,NNC$4),Table1[],(MATCH(Calendar!$A18,DB!$1:$1,0)),FALSE)),"")</f>
        <v/>
      </c>
      <c r="NND18" s="28" t="str">
        <f>IFERROR(IF(NNM3="No",IF(VLOOKUP(DATE($K$1,$K$2,NND$4),Table1[],(MATCH(Calendar!$A18,DB!$1:$1,0)),FALSE)&gt;=5,"Good","Bad"),VLOOKUP(DATE($K$1,$K$2,NND$4),Table1[],(MATCH(Calendar!$A18,DB!$1:$1,0)),FALSE)),"")</f>
        <v/>
      </c>
      <c r="NNE18" s="28" t="str">
        <f>IFERROR(IF(NNN3="No",IF(VLOOKUP(DATE($K$1,$K$2,NNE$4),Table1[],(MATCH(Calendar!$A18,DB!$1:$1,0)),FALSE)&gt;=5,"Good","Bad"),VLOOKUP(DATE($K$1,$K$2,NNE$4),Table1[],(MATCH(Calendar!$A18,DB!$1:$1,0)),FALSE)),"")</f>
        <v/>
      </c>
      <c r="NNF18" s="28" t="str">
        <f>IFERROR(IF(NNO3="No",IF(VLOOKUP(DATE($K$1,$K$2,NNF$4),Table1[],(MATCH(Calendar!$A18,DB!$1:$1,0)),FALSE)&gt;=5,"Good","Bad"),VLOOKUP(DATE($K$1,$K$2,NNF$4),Table1[],(MATCH(Calendar!$A18,DB!$1:$1,0)),FALSE)),"")</f>
        <v/>
      </c>
      <c r="NNG18" s="28" t="str">
        <f>IFERROR(IF(NNP3="No",IF(VLOOKUP(DATE($K$1,$K$2,NNG$4),Table1[],(MATCH(Calendar!$A18,DB!$1:$1,0)),FALSE)&gt;=5,"Good","Bad"),VLOOKUP(DATE($K$1,$K$2,NNG$4),Table1[],(MATCH(Calendar!$A18,DB!$1:$1,0)),FALSE)),"")</f>
        <v/>
      </c>
      <c r="NNH18" s="28" t="str">
        <f>IFERROR(IF(NNQ3="No",IF(VLOOKUP(DATE($K$1,$K$2,NNH$4),Table1[],(MATCH(Calendar!$A18,DB!$1:$1,0)),FALSE)&gt;=5,"Good","Bad"),VLOOKUP(DATE($K$1,$K$2,NNH$4),Table1[],(MATCH(Calendar!$A18,DB!$1:$1,0)),FALSE)),"")</f>
        <v/>
      </c>
      <c r="NNI18" s="28" t="str">
        <f>IFERROR(IF(NNR3="No",IF(VLOOKUP(DATE($K$1,$K$2,NNI$4),Table1[],(MATCH(Calendar!$A18,DB!$1:$1,0)),FALSE)&gt;=5,"Good","Bad"),VLOOKUP(DATE($K$1,$K$2,NNI$4),Table1[],(MATCH(Calendar!$A18,DB!$1:$1,0)),FALSE)),"")</f>
        <v/>
      </c>
      <c r="NNJ18" s="28" t="str">
        <f>IFERROR(IF(NNS3="No",IF(VLOOKUP(DATE($K$1,$K$2,NNJ$4),Table1[],(MATCH(Calendar!$A18,DB!$1:$1,0)),FALSE)&gt;=5,"Good","Bad"),VLOOKUP(DATE($K$1,$K$2,NNJ$4),Table1[],(MATCH(Calendar!$A18,DB!$1:$1,0)),FALSE)),"")</f>
        <v/>
      </c>
      <c r="NNK18" s="28" t="str">
        <f>IFERROR(IF(NNT3="No",IF(VLOOKUP(DATE($K$1,$K$2,NNK$4),Table1[],(MATCH(Calendar!$A18,DB!$1:$1,0)),FALSE)&gt;=5,"Good","Bad"),VLOOKUP(DATE($K$1,$K$2,NNK$4),Table1[],(MATCH(Calendar!$A18,DB!$1:$1,0)),FALSE)),"")</f>
        <v/>
      </c>
      <c r="NNL18" s="28" t="str">
        <f>IFERROR(IF(NNU3="No",IF(VLOOKUP(DATE($K$1,$K$2,NNL$4),Table1[],(MATCH(Calendar!$A18,DB!$1:$1,0)),FALSE)&gt;=5,"Good","Bad"),VLOOKUP(DATE($K$1,$K$2,NNL$4),Table1[],(MATCH(Calendar!$A18,DB!$1:$1,0)),FALSE)),"")</f>
        <v/>
      </c>
      <c r="NNM18" s="28" t="str">
        <f>IFERROR(IF(NNV3="No",IF(VLOOKUP(DATE($K$1,$K$2,NNM$4),Table1[],(MATCH(Calendar!$A18,DB!$1:$1,0)),FALSE)&gt;=5,"Good","Bad"),VLOOKUP(DATE($K$1,$K$2,NNM$4),Table1[],(MATCH(Calendar!$A18,DB!$1:$1,0)),FALSE)),"")</f>
        <v/>
      </c>
      <c r="NNN18" s="28" t="str">
        <f>IFERROR(IF(NNW3="No",IF(VLOOKUP(DATE($K$1,$K$2,NNN$4),Table1[],(MATCH(Calendar!$A18,DB!$1:$1,0)),FALSE)&gt;=5,"Good","Bad"),VLOOKUP(DATE($K$1,$K$2,NNN$4),Table1[],(MATCH(Calendar!$A18,DB!$1:$1,0)),FALSE)),"")</f>
        <v/>
      </c>
      <c r="NNO18" s="28" t="str">
        <f>IFERROR(IF(NNX3="No",IF(VLOOKUP(DATE($K$1,$K$2,NNO$4),Table1[],(MATCH(Calendar!$A18,DB!$1:$1,0)),FALSE)&gt;=5,"Good","Bad"),VLOOKUP(DATE($K$1,$K$2,NNO$4),Table1[],(MATCH(Calendar!$A18,DB!$1:$1,0)),FALSE)),"")</f>
        <v/>
      </c>
      <c r="NNP18" s="28" t="str">
        <f>IFERROR(IF(NNY3="No",IF(VLOOKUP(DATE($K$1,$K$2,NNP$4),Table1[],(MATCH(Calendar!$A18,DB!$1:$1,0)),FALSE)&gt;=5,"Good","Bad"),VLOOKUP(DATE($K$1,$K$2,NNP$4),Table1[],(MATCH(Calendar!$A18,DB!$1:$1,0)),FALSE)),"")</f>
        <v/>
      </c>
      <c r="NNQ18" s="28" t="str">
        <f>IFERROR(IF(NNZ3="No",IF(VLOOKUP(DATE($K$1,$K$2,NNQ$4),Table1[],(MATCH(Calendar!$A18,DB!$1:$1,0)),FALSE)&gt;=5,"Good","Bad"),VLOOKUP(DATE($K$1,$K$2,NNQ$4),Table1[],(MATCH(Calendar!$A18,DB!$1:$1,0)),FALSE)),"")</f>
        <v/>
      </c>
      <c r="NNR18" s="28" t="str">
        <f>IFERROR(IF(NOA3="No",IF(VLOOKUP(DATE($K$1,$K$2,NNR$4),Table1[],(MATCH(Calendar!$A18,DB!$1:$1,0)),FALSE)&gt;=5,"Good","Bad"),VLOOKUP(DATE($K$1,$K$2,NNR$4),Table1[],(MATCH(Calendar!$A18,DB!$1:$1,0)),FALSE)),"")</f>
        <v/>
      </c>
      <c r="NNS18" s="28" t="str">
        <f>IFERROR(IF(NOB3="No",IF(VLOOKUP(DATE($K$1,$K$2,NNS$4),Table1[],(MATCH(Calendar!$A18,DB!$1:$1,0)),FALSE)&gt;=5,"Good","Bad"),VLOOKUP(DATE($K$1,$K$2,NNS$4),Table1[],(MATCH(Calendar!$A18,DB!$1:$1,0)),FALSE)),"")</f>
        <v/>
      </c>
      <c r="NNT18" s="28" t="str">
        <f>IFERROR(IF(NOC3="No",IF(VLOOKUP(DATE($K$1,$K$2,NNT$4),Table1[],(MATCH(Calendar!$A18,DB!$1:$1,0)),FALSE)&gt;=5,"Good","Bad"),VLOOKUP(DATE($K$1,$K$2,NNT$4),Table1[],(MATCH(Calendar!$A18,DB!$1:$1,0)),FALSE)),"")</f>
        <v/>
      </c>
      <c r="NNU18" s="28" t="str">
        <f>IFERROR(IF(NOD3="No",IF(VLOOKUP(DATE($K$1,$K$2,NNU$4),Table1[],(MATCH(Calendar!$A18,DB!$1:$1,0)),FALSE)&gt;=5,"Good","Bad"),VLOOKUP(DATE($K$1,$K$2,NNU$4),Table1[],(MATCH(Calendar!$A18,DB!$1:$1,0)),FALSE)),"")</f>
        <v/>
      </c>
      <c r="NNV18" s="28" t="str">
        <f>IFERROR(IF(NOE3="No",IF(VLOOKUP(DATE($K$1,$K$2,NNV$4),Table1[],(MATCH(Calendar!$A18,DB!$1:$1,0)),FALSE)&gt;=5,"Good","Bad"),VLOOKUP(DATE($K$1,$K$2,NNV$4),Table1[],(MATCH(Calendar!$A18,DB!$1:$1,0)),FALSE)),"")</f>
        <v/>
      </c>
      <c r="NNW18" s="28" t="str">
        <f>IFERROR(IF(NOF3="No",IF(VLOOKUP(DATE($K$1,$K$2,NNW$4),Table1[],(MATCH(Calendar!$A18,DB!$1:$1,0)),FALSE)&gt;=5,"Good","Bad"),VLOOKUP(DATE($K$1,$K$2,NNW$4),Table1[],(MATCH(Calendar!$A18,DB!$1:$1,0)),FALSE)),"")</f>
        <v/>
      </c>
      <c r="NNX18" s="28" t="str">
        <f>IFERROR(IF(NOG3="No",IF(VLOOKUP(DATE($K$1,$K$2,NNX$4),Table1[],(MATCH(Calendar!$A18,DB!$1:$1,0)),FALSE)&gt;=5,"Good","Bad"),VLOOKUP(DATE($K$1,$K$2,NNX$4),Table1[],(MATCH(Calendar!$A18,DB!$1:$1,0)),FALSE)),"")</f>
        <v/>
      </c>
      <c r="NNY18" s="28" t="str">
        <f>IFERROR(IF(NOH3="No",IF(VLOOKUP(DATE($K$1,$K$2,NNY$4),Table1[],(MATCH(Calendar!$A18,DB!$1:$1,0)),FALSE)&gt;=5,"Good","Bad"),VLOOKUP(DATE($K$1,$K$2,NNY$4),Table1[],(MATCH(Calendar!$A18,DB!$1:$1,0)),FALSE)),"")</f>
        <v/>
      </c>
      <c r="NNZ18" s="28" t="str">
        <f>IFERROR(IF(NOI3="No",IF(VLOOKUP(DATE($K$1,$K$2,NNZ$4),Table1[],(MATCH(Calendar!$A18,DB!$1:$1,0)),FALSE)&gt;=5,"Good","Bad"),VLOOKUP(DATE($K$1,$K$2,NNZ$4),Table1[],(MATCH(Calendar!$A18,DB!$1:$1,0)),FALSE)),"")</f>
        <v/>
      </c>
      <c r="NOA18" s="28" t="str">
        <f>IFERROR(IF(NOJ3="No",IF(VLOOKUP(DATE($K$1,$K$2,NOA$4),Table1[],(MATCH(Calendar!$A18,DB!$1:$1,0)),FALSE)&gt;=5,"Good","Bad"),VLOOKUP(DATE($K$1,$K$2,NOA$4),Table1[],(MATCH(Calendar!$A18,DB!$1:$1,0)),FALSE)),"")</f>
        <v/>
      </c>
      <c r="NOB18" s="28" t="str">
        <f>IFERROR(IF(NOK3="No",IF(VLOOKUP(DATE($K$1,$K$2,NOB$4),Table1[],(MATCH(Calendar!$A18,DB!$1:$1,0)),FALSE)&gt;=5,"Good","Bad"),VLOOKUP(DATE($K$1,$K$2,NOB$4),Table1[],(MATCH(Calendar!$A18,DB!$1:$1,0)),FALSE)),"")</f>
        <v/>
      </c>
      <c r="NOC18" s="28" t="str">
        <f>IFERROR(IF(NOL3="No",IF(VLOOKUP(DATE($K$1,$K$2,NOC$4),Table1[],(MATCH(Calendar!$A18,DB!$1:$1,0)),FALSE)&gt;=5,"Good","Bad"),VLOOKUP(DATE($K$1,$K$2,NOC$4),Table1[],(MATCH(Calendar!$A18,DB!$1:$1,0)),FALSE)),"")</f>
        <v/>
      </c>
      <c r="NOD18" s="28" t="str">
        <f>IFERROR(IF(NOM3="No",IF(VLOOKUP(DATE($K$1,$K$2,NOD$4),Table1[],(MATCH(Calendar!$A18,DB!$1:$1,0)),FALSE)&gt;=5,"Good","Bad"),VLOOKUP(DATE($K$1,$K$2,NOD$4),Table1[],(MATCH(Calendar!$A18,DB!$1:$1,0)),FALSE)),"")</f>
        <v/>
      </c>
      <c r="NOE18" s="28" t="str">
        <f>IFERROR(IF(NON3="No",IF(VLOOKUP(DATE($K$1,$K$2,NOE$4),Table1[],(MATCH(Calendar!$A18,DB!$1:$1,0)),FALSE)&gt;=5,"Good","Bad"),VLOOKUP(DATE($K$1,$K$2,NOE$4),Table1[],(MATCH(Calendar!$A18,DB!$1:$1,0)),FALSE)),"")</f>
        <v/>
      </c>
      <c r="NOF18" s="28" t="str">
        <f>IFERROR(IF(NOO3="No",IF(VLOOKUP(DATE($K$1,$K$2,NOF$4),Table1[],(MATCH(Calendar!$A18,DB!$1:$1,0)),FALSE)&gt;=5,"Good","Bad"),VLOOKUP(DATE($K$1,$K$2,NOF$4),Table1[],(MATCH(Calendar!$A18,DB!$1:$1,0)),FALSE)),"")</f>
        <v/>
      </c>
      <c r="NOG18" s="28" t="str">
        <f>IFERROR(IF(NOP3="No",IF(VLOOKUP(DATE($K$1,$K$2,NOG$4),Table1[],(MATCH(Calendar!$A18,DB!$1:$1,0)),FALSE)&gt;=5,"Good","Bad"),VLOOKUP(DATE($K$1,$K$2,NOG$4),Table1[],(MATCH(Calendar!$A18,DB!$1:$1,0)),FALSE)),"")</f>
        <v/>
      </c>
      <c r="NOH18" s="28" t="str">
        <f>IFERROR(IF(NOQ3="No",IF(VLOOKUP(DATE($K$1,$K$2,NOH$4),Table1[],(MATCH(Calendar!$A18,DB!$1:$1,0)),FALSE)&gt;=5,"Good","Bad"),VLOOKUP(DATE($K$1,$K$2,NOH$4),Table1[],(MATCH(Calendar!$A18,DB!$1:$1,0)),FALSE)),"")</f>
        <v/>
      </c>
      <c r="NOI18" s="28" t="str">
        <f>IFERROR(IF(NOR3="No",IF(VLOOKUP(DATE($K$1,$K$2,NOI$4),Table1[],(MATCH(Calendar!$A18,DB!$1:$1,0)),FALSE)&gt;=5,"Good","Bad"),VLOOKUP(DATE($K$1,$K$2,NOI$4),Table1[],(MATCH(Calendar!$A18,DB!$1:$1,0)),FALSE)),"")</f>
        <v/>
      </c>
      <c r="NOJ18" s="28" t="str">
        <f>IFERROR(IF(NOS3="No",IF(VLOOKUP(DATE($K$1,$K$2,NOJ$4),Table1[],(MATCH(Calendar!$A18,DB!$1:$1,0)),FALSE)&gt;=5,"Good","Bad"),VLOOKUP(DATE($K$1,$K$2,NOJ$4),Table1[],(MATCH(Calendar!$A18,DB!$1:$1,0)),FALSE)),"")</f>
        <v/>
      </c>
      <c r="NOK18" s="28" t="str">
        <f>IFERROR(IF(NOT3="No",IF(VLOOKUP(DATE($K$1,$K$2,NOK$4),Table1[],(MATCH(Calendar!$A18,DB!$1:$1,0)),FALSE)&gt;=5,"Good","Bad"),VLOOKUP(DATE($K$1,$K$2,NOK$4),Table1[],(MATCH(Calendar!$A18,DB!$1:$1,0)),FALSE)),"")</f>
        <v/>
      </c>
      <c r="NOL18" s="28" t="str">
        <f>IFERROR(IF(NOU3="No",IF(VLOOKUP(DATE($K$1,$K$2,NOL$4),Table1[],(MATCH(Calendar!$A18,DB!$1:$1,0)),FALSE)&gt;=5,"Good","Bad"),VLOOKUP(DATE($K$1,$K$2,NOL$4),Table1[],(MATCH(Calendar!$A18,DB!$1:$1,0)),FALSE)),"")</f>
        <v/>
      </c>
      <c r="NOM18" s="28" t="str">
        <f>IFERROR(IF(NOV3="No",IF(VLOOKUP(DATE($K$1,$K$2,NOM$4),Table1[],(MATCH(Calendar!$A18,DB!$1:$1,0)),FALSE)&gt;=5,"Good","Bad"),VLOOKUP(DATE($K$1,$K$2,NOM$4),Table1[],(MATCH(Calendar!$A18,DB!$1:$1,0)),FALSE)),"")</f>
        <v/>
      </c>
      <c r="NON18" s="28" t="str">
        <f>IFERROR(IF(NOW3="No",IF(VLOOKUP(DATE($K$1,$K$2,NON$4),Table1[],(MATCH(Calendar!$A18,DB!$1:$1,0)),FALSE)&gt;=5,"Good","Bad"),VLOOKUP(DATE($K$1,$K$2,NON$4),Table1[],(MATCH(Calendar!$A18,DB!$1:$1,0)),FALSE)),"")</f>
        <v/>
      </c>
      <c r="NOO18" s="28" t="str">
        <f>IFERROR(IF(NOX3="No",IF(VLOOKUP(DATE($K$1,$K$2,NOO$4),Table1[],(MATCH(Calendar!$A18,DB!$1:$1,0)),FALSE)&gt;=5,"Good","Bad"),VLOOKUP(DATE($K$1,$K$2,NOO$4),Table1[],(MATCH(Calendar!$A18,DB!$1:$1,0)),FALSE)),"")</f>
        <v/>
      </c>
      <c r="NOP18" s="28" t="str">
        <f>IFERROR(IF(NOY3="No",IF(VLOOKUP(DATE($K$1,$K$2,NOP$4),Table1[],(MATCH(Calendar!$A18,DB!$1:$1,0)),FALSE)&gt;=5,"Good","Bad"),VLOOKUP(DATE($K$1,$K$2,NOP$4),Table1[],(MATCH(Calendar!$A18,DB!$1:$1,0)),FALSE)),"")</f>
        <v/>
      </c>
      <c r="NOQ18" s="28" t="str">
        <f>IFERROR(IF(NOZ3="No",IF(VLOOKUP(DATE($K$1,$K$2,NOQ$4),Table1[],(MATCH(Calendar!$A18,DB!$1:$1,0)),FALSE)&gt;=5,"Good","Bad"),VLOOKUP(DATE($K$1,$K$2,NOQ$4),Table1[],(MATCH(Calendar!$A18,DB!$1:$1,0)),FALSE)),"")</f>
        <v/>
      </c>
      <c r="NOR18" s="28" t="str">
        <f>IFERROR(IF(NPA3="No",IF(VLOOKUP(DATE($K$1,$K$2,NOR$4),Table1[],(MATCH(Calendar!$A18,DB!$1:$1,0)),FALSE)&gt;=5,"Good","Bad"),VLOOKUP(DATE($K$1,$K$2,NOR$4),Table1[],(MATCH(Calendar!$A18,DB!$1:$1,0)),FALSE)),"")</f>
        <v/>
      </c>
      <c r="NOS18" s="28" t="str">
        <f>IFERROR(IF(NPB3="No",IF(VLOOKUP(DATE($K$1,$K$2,NOS$4),Table1[],(MATCH(Calendar!$A18,DB!$1:$1,0)),FALSE)&gt;=5,"Good","Bad"),VLOOKUP(DATE($K$1,$K$2,NOS$4),Table1[],(MATCH(Calendar!$A18,DB!$1:$1,0)),FALSE)),"")</f>
        <v/>
      </c>
      <c r="NOT18" s="28" t="str">
        <f>IFERROR(IF(NPC3="No",IF(VLOOKUP(DATE($K$1,$K$2,NOT$4),Table1[],(MATCH(Calendar!$A18,DB!$1:$1,0)),FALSE)&gt;=5,"Good","Bad"),VLOOKUP(DATE($K$1,$K$2,NOT$4),Table1[],(MATCH(Calendar!$A18,DB!$1:$1,0)),FALSE)),"")</f>
        <v/>
      </c>
      <c r="NOU18" s="28" t="str">
        <f>IFERROR(IF(NPD3="No",IF(VLOOKUP(DATE($K$1,$K$2,NOU$4),Table1[],(MATCH(Calendar!$A18,DB!$1:$1,0)),FALSE)&gt;=5,"Good","Bad"),VLOOKUP(DATE($K$1,$K$2,NOU$4),Table1[],(MATCH(Calendar!$A18,DB!$1:$1,0)),FALSE)),"")</f>
        <v/>
      </c>
      <c r="NOV18" s="28" t="str">
        <f>IFERROR(IF(NPE3="No",IF(VLOOKUP(DATE($K$1,$K$2,NOV$4),Table1[],(MATCH(Calendar!$A18,DB!$1:$1,0)),FALSE)&gt;=5,"Good","Bad"),VLOOKUP(DATE($K$1,$K$2,NOV$4),Table1[],(MATCH(Calendar!$A18,DB!$1:$1,0)),FALSE)),"")</f>
        <v/>
      </c>
      <c r="NOW18" s="28" t="str">
        <f>IFERROR(IF(NPF3="No",IF(VLOOKUP(DATE($K$1,$K$2,NOW$4),Table1[],(MATCH(Calendar!$A18,DB!$1:$1,0)),FALSE)&gt;=5,"Good","Bad"),VLOOKUP(DATE($K$1,$K$2,NOW$4),Table1[],(MATCH(Calendar!$A18,DB!$1:$1,0)),FALSE)),"")</f>
        <v/>
      </c>
      <c r="NOX18" s="28" t="str">
        <f>IFERROR(IF(NPG3="No",IF(VLOOKUP(DATE($K$1,$K$2,NOX$4),Table1[],(MATCH(Calendar!$A18,DB!$1:$1,0)),FALSE)&gt;=5,"Good","Bad"),VLOOKUP(DATE($K$1,$K$2,NOX$4),Table1[],(MATCH(Calendar!$A18,DB!$1:$1,0)),FALSE)),"")</f>
        <v/>
      </c>
      <c r="NOY18" s="28" t="str">
        <f>IFERROR(IF(NPH3="No",IF(VLOOKUP(DATE($K$1,$K$2,NOY$4),Table1[],(MATCH(Calendar!$A18,DB!$1:$1,0)),FALSE)&gt;=5,"Good","Bad"),VLOOKUP(DATE($K$1,$K$2,NOY$4),Table1[],(MATCH(Calendar!$A18,DB!$1:$1,0)),FALSE)),"")</f>
        <v/>
      </c>
      <c r="NOZ18" s="28" t="str">
        <f>IFERROR(IF(NPI3="No",IF(VLOOKUP(DATE($K$1,$K$2,NOZ$4),Table1[],(MATCH(Calendar!$A18,DB!$1:$1,0)),FALSE)&gt;=5,"Good","Bad"),VLOOKUP(DATE($K$1,$K$2,NOZ$4),Table1[],(MATCH(Calendar!$A18,DB!$1:$1,0)),FALSE)),"")</f>
        <v/>
      </c>
      <c r="NPA18" s="28" t="str">
        <f>IFERROR(IF(NPJ3="No",IF(VLOOKUP(DATE($K$1,$K$2,NPA$4),Table1[],(MATCH(Calendar!$A18,DB!$1:$1,0)),FALSE)&gt;=5,"Good","Bad"),VLOOKUP(DATE($K$1,$K$2,NPA$4),Table1[],(MATCH(Calendar!$A18,DB!$1:$1,0)),FALSE)),"")</f>
        <v/>
      </c>
      <c r="NPB18" s="28" t="str">
        <f>IFERROR(IF(NPK3="No",IF(VLOOKUP(DATE($K$1,$K$2,NPB$4),Table1[],(MATCH(Calendar!$A18,DB!$1:$1,0)),FALSE)&gt;=5,"Good","Bad"),VLOOKUP(DATE($K$1,$K$2,NPB$4),Table1[],(MATCH(Calendar!$A18,DB!$1:$1,0)),FALSE)),"")</f>
        <v/>
      </c>
      <c r="NPC18" s="28" t="str">
        <f>IFERROR(IF(NPL3="No",IF(VLOOKUP(DATE($K$1,$K$2,NPC$4),Table1[],(MATCH(Calendar!$A18,DB!$1:$1,0)),FALSE)&gt;=5,"Good","Bad"),VLOOKUP(DATE($K$1,$K$2,NPC$4),Table1[],(MATCH(Calendar!$A18,DB!$1:$1,0)),FALSE)),"")</f>
        <v/>
      </c>
      <c r="NPD18" s="28" t="str">
        <f>IFERROR(IF(NPM3="No",IF(VLOOKUP(DATE($K$1,$K$2,NPD$4),Table1[],(MATCH(Calendar!$A18,DB!$1:$1,0)),FALSE)&gt;=5,"Good","Bad"),VLOOKUP(DATE($K$1,$K$2,NPD$4),Table1[],(MATCH(Calendar!$A18,DB!$1:$1,0)),FALSE)),"")</f>
        <v/>
      </c>
      <c r="NPE18" s="28" t="str">
        <f>IFERROR(IF(NPN3="No",IF(VLOOKUP(DATE($K$1,$K$2,NPE$4),Table1[],(MATCH(Calendar!$A18,DB!$1:$1,0)),FALSE)&gt;=5,"Good","Bad"),VLOOKUP(DATE($K$1,$K$2,NPE$4),Table1[],(MATCH(Calendar!$A18,DB!$1:$1,0)),FALSE)),"")</f>
        <v/>
      </c>
      <c r="NPF18" s="28" t="str">
        <f>IFERROR(IF(NPO3="No",IF(VLOOKUP(DATE($K$1,$K$2,NPF$4),Table1[],(MATCH(Calendar!$A18,DB!$1:$1,0)),FALSE)&gt;=5,"Good","Bad"),VLOOKUP(DATE($K$1,$K$2,NPF$4),Table1[],(MATCH(Calendar!$A18,DB!$1:$1,0)),FALSE)),"")</f>
        <v/>
      </c>
      <c r="NPG18" s="28" t="str">
        <f>IFERROR(IF(NPP3="No",IF(VLOOKUP(DATE($K$1,$K$2,NPG$4),Table1[],(MATCH(Calendar!$A18,DB!$1:$1,0)),FALSE)&gt;=5,"Good","Bad"),VLOOKUP(DATE($K$1,$K$2,NPG$4),Table1[],(MATCH(Calendar!$A18,DB!$1:$1,0)),FALSE)),"")</f>
        <v/>
      </c>
      <c r="NPH18" s="28" t="str">
        <f>IFERROR(IF(NPQ3="No",IF(VLOOKUP(DATE($K$1,$K$2,NPH$4),Table1[],(MATCH(Calendar!$A18,DB!$1:$1,0)),FALSE)&gt;=5,"Good","Bad"),VLOOKUP(DATE($K$1,$K$2,NPH$4),Table1[],(MATCH(Calendar!$A18,DB!$1:$1,0)),FALSE)),"")</f>
        <v/>
      </c>
      <c r="NPI18" s="28" t="str">
        <f>IFERROR(IF(NPR3="No",IF(VLOOKUP(DATE($K$1,$K$2,NPI$4),Table1[],(MATCH(Calendar!$A18,DB!$1:$1,0)),FALSE)&gt;=5,"Good","Bad"),VLOOKUP(DATE($K$1,$K$2,NPI$4),Table1[],(MATCH(Calendar!$A18,DB!$1:$1,0)),FALSE)),"")</f>
        <v/>
      </c>
      <c r="NPJ18" s="28" t="str">
        <f>IFERROR(IF(NPS3="No",IF(VLOOKUP(DATE($K$1,$K$2,NPJ$4),Table1[],(MATCH(Calendar!$A18,DB!$1:$1,0)),FALSE)&gt;=5,"Good","Bad"),VLOOKUP(DATE($K$1,$K$2,NPJ$4),Table1[],(MATCH(Calendar!$A18,DB!$1:$1,0)),FALSE)),"")</f>
        <v/>
      </c>
      <c r="NPK18" s="28" t="str">
        <f>IFERROR(IF(NPT3="No",IF(VLOOKUP(DATE($K$1,$K$2,NPK$4),Table1[],(MATCH(Calendar!$A18,DB!$1:$1,0)),FALSE)&gt;=5,"Good","Bad"),VLOOKUP(DATE($K$1,$K$2,NPK$4),Table1[],(MATCH(Calendar!$A18,DB!$1:$1,0)),FALSE)),"")</f>
        <v/>
      </c>
      <c r="NPL18" s="28" t="str">
        <f>IFERROR(IF(NPU3="No",IF(VLOOKUP(DATE($K$1,$K$2,NPL$4),Table1[],(MATCH(Calendar!$A18,DB!$1:$1,0)),FALSE)&gt;=5,"Good","Bad"),VLOOKUP(DATE($K$1,$K$2,NPL$4),Table1[],(MATCH(Calendar!$A18,DB!$1:$1,0)),FALSE)),"")</f>
        <v/>
      </c>
      <c r="NPM18" s="28" t="str">
        <f>IFERROR(IF(NPV3="No",IF(VLOOKUP(DATE($K$1,$K$2,NPM$4),Table1[],(MATCH(Calendar!$A18,DB!$1:$1,0)),FALSE)&gt;=5,"Good","Bad"),VLOOKUP(DATE($K$1,$K$2,NPM$4),Table1[],(MATCH(Calendar!$A18,DB!$1:$1,0)),FALSE)),"")</f>
        <v/>
      </c>
      <c r="NPN18" s="28" t="str">
        <f>IFERROR(IF(NPW3="No",IF(VLOOKUP(DATE($K$1,$K$2,NPN$4),Table1[],(MATCH(Calendar!$A18,DB!$1:$1,0)),FALSE)&gt;=5,"Good","Bad"),VLOOKUP(DATE($K$1,$K$2,NPN$4),Table1[],(MATCH(Calendar!$A18,DB!$1:$1,0)),FALSE)),"")</f>
        <v/>
      </c>
      <c r="NPO18" s="28" t="str">
        <f>IFERROR(IF(NPX3="No",IF(VLOOKUP(DATE($K$1,$K$2,NPO$4),Table1[],(MATCH(Calendar!$A18,DB!$1:$1,0)),FALSE)&gt;=5,"Good","Bad"),VLOOKUP(DATE($K$1,$K$2,NPO$4),Table1[],(MATCH(Calendar!$A18,DB!$1:$1,0)),FALSE)),"")</f>
        <v/>
      </c>
      <c r="NPP18" s="28" t="str">
        <f>IFERROR(IF(NPY3="No",IF(VLOOKUP(DATE($K$1,$K$2,NPP$4),Table1[],(MATCH(Calendar!$A18,DB!$1:$1,0)),FALSE)&gt;=5,"Good","Bad"),VLOOKUP(DATE($K$1,$K$2,NPP$4),Table1[],(MATCH(Calendar!$A18,DB!$1:$1,0)),FALSE)),"")</f>
        <v/>
      </c>
      <c r="NPQ18" s="28" t="str">
        <f>IFERROR(IF(NPZ3="No",IF(VLOOKUP(DATE($K$1,$K$2,NPQ$4),Table1[],(MATCH(Calendar!$A18,DB!$1:$1,0)),FALSE)&gt;=5,"Good","Bad"),VLOOKUP(DATE($K$1,$K$2,NPQ$4),Table1[],(MATCH(Calendar!$A18,DB!$1:$1,0)),FALSE)),"")</f>
        <v/>
      </c>
      <c r="NPR18" s="28" t="str">
        <f>IFERROR(IF(NQA3="No",IF(VLOOKUP(DATE($K$1,$K$2,NPR$4),Table1[],(MATCH(Calendar!$A18,DB!$1:$1,0)),FALSE)&gt;=5,"Good","Bad"),VLOOKUP(DATE($K$1,$K$2,NPR$4),Table1[],(MATCH(Calendar!$A18,DB!$1:$1,0)),FALSE)),"")</f>
        <v/>
      </c>
      <c r="NPS18" s="28" t="str">
        <f>IFERROR(IF(NQB3="No",IF(VLOOKUP(DATE($K$1,$K$2,NPS$4),Table1[],(MATCH(Calendar!$A18,DB!$1:$1,0)),FALSE)&gt;=5,"Good","Bad"),VLOOKUP(DATE($K$1,$K$2,NPS$4),Table1[],(MATCH(Calendar!$A18,DB!$1:$1,0)),FALSE)),"")</f>
        <v/>
      </c>
      <c r="NPT18" s="28" t="str">
        <f>IFERROR(IF(NQC3="No",IF(VLOOKUP(DATE($K$1,$K$2,NPT$4),Table1[],(MATCH(Calendar!$A18,DB!$1:$1,0)),FALSE)&gt;=5,"Good","Bad"),VLOOKUP(DATE($K$1,$K$2,NPT$4),Table1[],(MATCH(Calendar!$A18,DB!$1:$1,0)),FALSE)),"")</f>
        <v/>
      </c>
      <c r="NPU18" s="28" t="str">
        <f>IFERROR(IF(NQD3="No",IF(VLOOKUP(DATE($K$1,$K$2,NPU$4),Table1[],(MATCH(Calendar!$A18,DB!$1:$1,0)),FALSE)&gt;=5,"Good","Bad"),VLOOKUP(DATE($K$1,$K$2,NPU$4),Table1[],(MATCH(Calendar!$A18,DB!$1:$1,0)),FALSE)),"")</f>
        <v/>
      </c>
      <c r="NPV18" s="28" t="str">
        <f>IFERROR(IF(NQE3="No",IF(VLOOKUP(DATE($K$1,$K$2,NPV$4),Table1[],(MATCH(Calendar!$A18,DB!$1:$1,0)),FALSE)&gt;=5,"Good","Bad"),VLOOKUP(DATE($K$1,$K$2,NPV$4),Table1[],(MATCH(Calendar!$A18,DB!$1:$1,0)),FALSE)),"")</f>
        <v/>
      </c>
      <c r="NPW18" s="28" t="str">
        <f>IFERROR(IF(NQF3="No",IF(VLOOKUP(DATE($K$1,$K$2,NPW$4),Table1[],(MATCH(Calendar!$A18,DB!$1:$1,0)),FALSE)&gt;=5,"Good","Bad"),VLOOKUP(DATE($K$1,$K$2,NPW$4),Table1[],(MATCH(Calendar!$A18,DB!$1:$1,0)),FALSE)),"")</f>
        <v/>
      </c>
      <c r="NPX18" s="28" t="str">
        <f>IFERROR(IF(NQG3="No",IF(VLOOKUP(DATE($K$1,$K$2,NPX$4),Table1[],(MATCH(Calendar!$A18,DB!$1:$1,0)),FALSE)&gt;=5,"Good","Bad"),VLOOKUP(DATE($K$1,$K$2,NPX$4),Table1[],(MATCH(Calendar!$A18,DB!$1:$1,0)),FALSE)),"")</f>
        <v/>
      </c>
      <c r="NPY18" s="28" t="str">
        <f>IFERROR(IF(NQH3="No",IF(VLOOKUP(DATE($K$1,$K$2,NPY$4),Table1[],(MATCH(Calendar!$A18,DB!$1:$1,0)),FALSE)&gt;=5,"Good","Bad"),VLOOKUP(DATE($K$1,$K$2,NPY$4),Table1[],(MATCH(Calendar!$A18,DB!$1:$1,0)),FALSE)),"")</f>
        <v/>
      </c>
      <c r="NPZ18" s="28" t="str">
        <f>IFERROR(IF(NQI3="No",IF(VLOOKUP(DATE($K$1,$K$2,NPZ$4),Table1[],(MATCH(Calendar!$A18,DB!$1:$1,0)),FALSE)&gt;=5,"Good","Bad"),VLOOKUP(DATE($K$1,$K$2,NPZ$4),Table1[],(MATCH(Calendar!$A18,DB!$1:$1,0)),FALSE)),"")</f>
        <v/>
      </c>
      <c r="NQA18" s="28" t="str">
        <f>IFERROR(IF(NQJ3="No",IF(VLOOKUP(DATE($K$1,$K$2,NQA$4),Table1[],(MATCH(Calendar!$A18,DB!$1:$1,0)),FALSE)&gt;=5,"Good","Bad"),VLOOKUP(DATE($K$1,$K$2,NQA$4),Table1[],(MATCH(Calendar!$A18,DB!$1:$1,0)),FALSE)),"")</f>
        <v/>
      </c>
      <c r="NQB18" s="28" t="str">
        <f>IFERROR(IF(NQK3="No",IF(VLOOKUP(DATE($K$1,$K$2,NQB$4),Table1[],(MATCH(Calendar!$A18,DB!$1:$1,0)),FALSE)&gt;=5,"Good","Bad"),VLOOKUP(DATE($K$1,$K$2,NQB$4),Table1[],(MATCH(Calendar!$A18,DB!$1:$1,0)),FALSE)),"")</f>
        <v/>
      </c>
      <c r="NQC18" s="28" t="str">
        <f>IFERROR(IF(NQL3="No",IF(VLOOKUP(DATE($K$1,$K$2,NQC$4),Table1[],(MATCH(Calendar!$A18,DB!$1:$1,0)),FALSE)&gt;=5,"Good","Bad"),VLOOKUP(DATE($K$1,$K$2,NQC$4),Table1[],(MATCH(Calendar!$A18,DB!$1:$1,0)),FALSE)),"")</f>
        <v/>
      </c>
      <c r="NQD18" s="28" t="str">
        <f>IFERROR(IF(NQM3="No",IF(VLOOKUP(DATE($K$1,$K$2,NQD$4),Table1[],(MATCH(Calendar!$A18,DB!$1:$1,0)),FALSE)&gt;=5,"Good","Bad"),VLOOKUP(DATE($K$1,$K$2,NQD$4),Table1[],(MATCH(Calendar!$A18,DB!$1:$1,0)),FALSE)),"")</f>
        <v/>
      </c>
      <c r="NQE18" s="28" t="str">
        <f>IFERROR(IF(NQN3="No",IF(VLOOKUP(DATE($K$1,$K$2,NQE$4),Table1[],(MATCH(Calendar!$A18,DB!$1:$1,0)),FALSE)&gt;=5,"Good","Bad"),VLOOKUP(DATE($K$1,$K$2,NQE$4),Table1[],(MATCH(Calendar!$A18,DB!$1:$1,0)),FALSE)),"")</f>
        <v/>
      </c>
      <c r="NQF18" s="28" t="str">
        <f>IFERROR(IF(NQO3="No",IF(VLOOKUP(DATE($K$1,$K$2,NQF$4),Table1[],(MATCH(Calendar!$A18,DB!$1:$1,0)),FALSE)&gt;=5,"Good","Bad"),VLOOKUP(DATE($K$1,$K$2,NQF$4),Table1[],(MATCH(Calendar!$A18,DB!$1:$1,0)),FALSE)),"")</f>
        <v/>
      </c>
      <c r="NQG18" s="28" t="str">
        <f>IFERROR(IF(NQP3="No",IF(VLOOKUP(DATE($K$1,$K$2,NQG$4),Table1[],(MATCH(Calendar!$A18,DB!$1:$1,0)),FALSE)&gt;=5,"Good","Bad"),VLOOKUP(DATE($K$1,$K$2,NQG$4),Table1[],(MATCH(Calendar!$A18,DB!$1:$1,0)),FALSE)),"")</f>
        <v/>
      </c>
      <c r="NQH18" s="28" t="str">
        <f>IFERROR(IF(NQQ3="No",IF(VLOOKUP(DATE($K$1,$K$2,NQH$4),Table1[],(MATCH(Calendar!$A18,DB!$1:$1,0)),FALSE)&gt;=5,"Good","Bad"),VLOOKUP(DATE($K$1,$K$2,NQH$4),Table1[],(MATCH(Calendar!$A18,DB!$1:$1,0)),FALSE)),"")</f>
        <v/>
      </c>
      <c r="NQI18" s="28" t="str">
        <f>IFERROR(IF(NQR3="No",IF(VLOOKUP(DATE($K$1,$K$2,NQI$4),Table1[],(MATCH(Calendar!$A18,DB!$1:$1,0)),FALSE)&gt;=5,"Good","Bad"),VLOOKUP(DATE($K$1,$K$2,NQI$4),Table1[],(MATCH(Calendar!$A18,DB!$1:$1,0)),FALSE)),"")</f>
        <v/>
      </c>
      <c r="NQJ18" s="28" t="str">
        <f>IFERROR(IF(NQS3="No",IF(VLOOKUP(DATE($K$1,$K$2,NQJ$4),Table1[],(MATCH(Calendar!$A18,DB!$1:$1,0)),FALSE)&gt;=5,"Good","Bad"),VLOOKUP(DATE($K$1,$K$2,NQJ$4),Table1[],(MATCH(Calendar!$A18,DB!$1:$1,0)),FALSE)),"")</f>
        <v/>
      </c>
      <c r="NQK18" s="28" t="str">
        <f>IFERROR(IF(NQT3="No",IF(VLOOKUP(DATE($K$1,$K$2,NQK$4),Table1[],(MATCH(Calendar!$A18,DB!$1:$1,0)),FALSE)&gt;=5,"Good","Bad"),VLOOKUP(DATE($K$1,$K$2,NQK$4),Table1[],(MATCH(Calendar!$A18,DB!$1:$1,0)),FALSE)),"")</f>
        <v/>
      </c>
      <c r="NQL18" s="28" t="str">
        <f>IFERROR(IF(NQU3="No",IF(VLOOKUP(DATE($K$1,$K$2,NQL$4),Table1[],(MATCH(Calendar!$A18,DB!$1:$1,0)),FALSE)&gt;=5,"Good","Bad"),VLOOKUP(DATE($K$1,$K$2,NQL$4),Table1[],(MATCH(Calendar!$A18,DB!$1:$1,0)),FALSE)),"")</f>
        <v/>
      </c>
      <c r="NQM18" s="28" t="str">
        <f>IFERROR(IF(NQV3="No",IF(VLOOKUP(DATE($K$1,$K$2,NQM$4),Table1[],(MATCH(Calendar!$A18,DB!$1:$1,0)),FALSE)&gt;=5,"Good","Bad"),VLOOKUP(DATE($K$1,$K$2,NQM$4),Table1[],(MATCH(Calendar!$A18,DB!$1:$1,0)),FALSE)),"")</f>
        <v/>
      </c>
      <c r="NQN18" s="28" t="str">
        <f>IFERROR(IF(NQW3="No",IF(VLOOKUP(DATE($K$1,$K$2,NQN$4),Table1[],(MATCH(Calendar!$A18,DB!$1:$1,0)),FALSE)&gt;=5,"Good","Bad"),VLOOKUP(DATE($K$1,$K$2,NQN$4),Table1[],(MATCH(Calendar!$A18,DB!$1:$1,0)),FALSE)),"")</f>
        <v/>
      </c>
      <c r="NQO18" s="28" t="str">
        <f>IFERROR(IF(NQX3="No",IF(VLOOKUP(DATE($K$1,$K$2,NQO$4),Table1[],(MATCH(Calendar!$A18,DB!$1:$1,0)),FALSE)&gt;=5,"Good","Bad"),VLOOKUP(DATE($K$1,$K$2,NQO$4),Table1[],(MATCH(Calendar!$A18,DB!$1:$1,0)),FALSE)),"")</f>
        <v/>
      </c>
      <c r="NQP18" s="28" t="str">
        <f>IFERROR(IF(NQY3="No",IF(VLOOKUP(DATE($K$1,$K$2,NQP$4),Table1[],(MATCH(Calendar!$A18,DB!$1:$1,0)),FALSE)&gt;=5,"Good","Bad"),VLOOKUP(DATE($K$1,$K$2,NQP$4),Table1[],(MATCH(Calendar!$A18,DB!$1:$1,0)),FALSE)),"")</f>
        <v/>
      </c>
      <c r="NQQ18" s="28" t="str">
        <f>IFERROR(IF(NQZ3="No",IF(VLOOKUP(DATE($K$1,$K$2,NQQ$4),Table1[],(MATCH(Calendar!$A18,DB!$1:$1,0)),FALSE)&gt;=5,"Good","Bad"),VLOOKUP(DATE($K$1,$K$2,NQQ$4),Table1[],(MATCH(Calendar!$A18,DB!$1:$1,0)),FALSE)),"")</f>
        <v/>
      </c>
      <c r="NQR18" s="28" t="str">
        <f>IFERROR(IF(NRA3="No",IF(VLOOKUP(DATE($K$1,$K$2,NQR$4),Table1[],(MATCH(Calendar!$A18,DB!$1:$1,0)),FALSE)&gt;=5,"Good","Bad"),VLOOKUP(DATE($K$1,$K$2,NQR$4),Table1[],(MATCH(Calendar!$A18,DB!$1:$1,0)),FALSE)),"")</f>
        <v/>
      </c>
      <c r="NQS18" s="28" t="str">
        <f>IFERROR(IF(NRB3="No",IF(VLOOKUP(DATE($K$1,$K$2,NQS$4),Table1[],(MATCH(Calendar!$A18,DB!$1:$1,0)),FALSE)&gt;=5,"Good","Bad"),VLOOKUP(DATE($K$1,$K$2,NQS$4),Table1[],(MATCH(Calendar!$A18,DB!$1:$1,0)),FALSE)),"")</f>
        <v/>
      </c>
      <c r="NQT18" s="28" t="str">
        <f>IFERROR(IF(NRC3="No",IF(VLOOKUP(DATE($K$1,$K$2,NQT$4),Table1[],(MATCH(Calendar!$A18,DB!$1:$1,0)),FALSE)&gt;=5,"Good","Bad"),VLOOKUP(DATE($K$1,$K$2,NQT$4),Table1[],(MATCH(Calendar!$A18,DB!$1:$1,0)),FALSE)),"")</f>
        <v/>
      </c>
      <c r="NQU18" s="28" t="str">
        <f>IFERROR(IF(NRD3="No",IF(VLOOKUP(DATE($K$1,$K$2,NQU$4),Table1[],(MATCH(Calendar!$A18,DB!$1:$1,0)),FALSE)&gt;=5,"Good","Bad"),VLOOKUP(DATE($K$1,$K$2,NQU$4),Table1[],(MATCH(Calendar!$A18,DB!$1:$1,0)),FALSE)),"")</f>
        <v/>
      </c>
      <c r="NQV18" s="28" t="str">
        <f>IFERROR(IF(NRE3="No",IF(VLOOKUP(DATE($K$1,$K$2,NQV$4),Table1[],(MATCH(Calendar!$A18,DB!$1:$1,0)),FALSE)&gt;=5,"Good","Bad"),VLOOKUP(DATE($K$1,$K$2,NQV$4),Table1[],(MATCH(Calendar!$A18,DB!$1:$1,0)),FALSE)),"")</f>
        <v/>
      </c>
      <c r="NQW18" s="28" t="str">
        <f>IFERROR(IF(NRF3="No",IF(VLOOKUP(DATE($K$1,$K$2,NQW$4),Table1[],(MATCH(Calendar!$A18,DB!$1:$1,0)),FALSE)&gt;=5,"Good","Bad"),VLOOKUP(DATE($K$1,$K$2,NQW$4),Table1[],(MATCH(Calendar!$A18,DB!$1:$1,0)),FALSE)),"")</f>
        <v/>
      </c>
      <c r="NQX18" s="28" t="str">
        <f>IFERROR(IF(NRG3="No",IF(VLOOKUP(DATE($K$1,$K$2,NQX$4),Table1[],(MATCH(Calendar!$A18,DB!$1:$1,0)),FALSE)&gt;=5,"Good","Bad"),VLOOKUP(DATE($K$1,$K$2,NQX$4),Table1[],(MATCH(Calendar!$A18,DB!$1:$1,0)),FALSE)),"")</f>
        <v/>
      </c>
      <c r="NQY18" s="28" t="str">
        <f>IFERROR(IF(NRH3="No",IF(VLOOKUP(DATE($K$1,$K$2,NQY$4),Table1[],(MATCH(Calendar!$A18,DB!$1:$1,0)),FALSE)&gt;=5,"Good","Bad"),VLOOKUP(DATE($K$1,$K$2,NQY$4),Table1[],(MATCH(Calendar!$A18,DB!$1:$1,0)),FALSE)),"")</f>
        <v/>
      </c>
      <c r="NQZ18" s="28" t="str">
        <f>IFERROR(IF(NRI3="No",IF(VLOOKUP(DATE($K$1,$K$2,NQZ$4),Table1[],(MATCH(Calendar!$A18,DB!$1:$1,0)),FALSE)&gt;=5,"Good","Bad"),VLOOKUP(DATE($K$1,$K$2,NQZ$4),Table1[],(MATCH(Calendar!$A18,DB!$1:$1,0)),FALSE)),"")</f>
        <v/>
      </c>
      <c r="NRA18" s="28" t="str">
        <f>IFERROR(IF(NRJ3="No",IF(VLOOKUP(DATE($K$1,$K$2,NRA$4),Table1[],(MATCH(Calendar!$A18,DB!$1:$1,0)),FALSE)&gt;=5,"Good","Bad"),VLOOKUP(DATE($K$1,$K$2,NRA$4),Table1[],(MATCH(Calendar!$A18,DB!$1:$1,0)),FALSE)),"")</f>
        <v/>
      </c>
      <c r="NRB18" s="28" t="str">
        <f>IFERROR(IF(NRK3="No",IF(VLOOKUP(DATE($K$1,$K$2,NRB$4),Table1[],(MATCH(Calendar!$A18,DB!$1:$1,0)),FALSE)&gt;=5,"Good","Bad"),VLOOKUP(DATE($K$1,$K$2,NRB$4),Table1[],(MATCH(Calendar!$A18,DB!$1:$1,0)),FALSE)),"")</f>
        <v/>
      </c>
      <c r="NRC18" s="28" t="str">
        <f>IFERROR(IF(NRL3="No",IF(VLOOKUP(DATE($K$1,$K$2,NRC$4),Table1[],(MATCH(Calendar!$A18,DB!$1:$1,0)),FALSE)&gt;=5,"Good","Bad"),VLOOKUP(DATE($K$1,$K$2,NRC$4),Table1[],(MATCH(Calendar!$A18,DB!$1:$1,0)),FALSE)),"")</f>
        <v/>
      </c>
      <c r="NRD18" s="28" t="str">
        <f>IFERROR(IF(NRM3="No",IF(VLOOKUP(DATE($K$1,$K$2,NRD$4),Table1[],(MATCH(Calendar!$A18,DB!$1:$1,0)),FALSE)&gt;=5,"Good","Bad"),VLOOKUP(DATE($K$1,$K$2,NRD$4),Table1[],(MATCH(Calendar!$A18,DB!$1:$1,0)),FALSE)),"")</f>
        <v/>
      </c>
      <c r="NRE18" s="28" t="str">
        <f>IFERROR(IF(NRN3="No",IF(VLOOKUP(DATE($K$1,$K$2,NRE$4),Table1[],(MATCH(Calendar!$A18,DB!$1:$1,0)),FALSE)&gt;=5,"Good","Bad"),VLOOKUP(DATE($K$1,$K$2,NRE$4),Table1[],(MATCH(Calendar!$A18,DB!$1:$1,0)),FALSE)),"")</f>
        <v/>
      </c>
      <c r="NRF18" s="28" t="str">
        <f>IFERROR(IF(NRO3="No",IF(VLOOKUP(DATE($K$1,$K$2,NRF$4),Table1[],(MATCH(Calendar!$A18,DB!$1:$1,0)),FALSE)&gt;=5,"Good","Bad"),VLOOKUP(DATE($K$1,$K$2,NRF$4),Table1[],(MATCH(Calendar!$A18,DB!$1:$1,0)),FALSE)),"")</f>
        <v/>
      </c>
      <c r="NRG18" s="28" t="str">
        <f>IFERROR(IF(NRP3="No",IF(VLOOKUP(DATE($K$1,$K$2,NRG$4),Table1[],(MATCH(Calendar!$A18,DB!$1:$1,0)),FALSE)&gt;=5,"Good","Bad"),VLOOKUP(DATE($K$1,$K$2,NRG$4),Table1[],(MATCH(Calendar!$A18,DB!$1:$1,0)),FALSE)),"")</f>
        <v/>
      </c>
      <c r="NRH18" s="28" t="str">
        <f>IFERROR(IF(NRQ3="No",IF(VLOOKUP(DATE($K$1,$K$2,NRH$4),Table1[],(MATCH(Calendar!$A18,DB!$1:$1,0)),FALSE)&gt;=5,"Good","Bad"),VLOOKUP(DATE($K$1,$K$2,NRH$4),Table1[],(MATCH(Calendar!$A18,DB!$1:$1,0)),FALSE)),"")</f>
        <v/>
      </c>
      <c r="NRI18" s="28" t="str">
        <f>IFERROR(IF(NRR3="No",IF(VLOOKUP(DATE($K$1,$K$2,NRI$4),Table1[],(MATCH(Calendar!$A18,DB!$1:$1,0)),FALSE)&gt;=5,"Good","Bad"),VLOOKUP(DATE($K$1,$K$2,NRI$4),Table1[],(MATCH(Calendar!$A18,DB!$1:$1,0)),FALSE)),"")</f>
        <v/>
      </c>
      <c r="NRJ18" s="28" t="str">
        <f>IFERROR(IF(NRS3="No",IF(VLOOKUP(DATE($K$1,$K$2,NRJ$4),Table1[],(MATCH(Calendar!$A18,DB!$1:$1,0)),FALSE)&gt;=5,"Good","Bad"),VLOOKUP(DATE($K$1,$K$2,NRJ$4),Table1[],(MATCH(Calendar!$A18,DB!$1:$1,0)),FALSE)),"")</f>
        <v/>
      </c>
      <c r="NRK18" s="28" t="str">
        <f>IFERROR(IF(NRT3="No",IF(VLOOKUP(DATE($K$1,$K$2,NRK$4),Table1[],(MATCH(Calendar!$A18,DB!$1:$1,0)),FALSE)&gt;=5,"Good","Bad"),VLOOKUP(DATE($K$1,$K$2,NRK$4),Table1[],(MATCH(Calendar!$A18,DB!$1:$1,0)),FALSE)),"")</f>
        <v/>
      </c>
      <c r="NRL18" s="28" t="str">
        <f>IFERROR(IF(NRU3="No",IF(VLOOKUP(DATE($K$1,$K$2,NRL$4),Table1[],(MATCH(Calendar!$A18,DB!$1:$1,0)),FALSE)&gt;=5,"Good","Bad"),VLOOKUP(DATE($K$1,$K$2,NRL$4),Table1[],(MATCH(Calendar!$A18,DB!$1:$1,0)),FALSE)),"")</f>
        <v/>
      </c>
      <c r="NRM18" s="28" t="str">
        <f>IFERROR(IF(NRV3="No",IF(VLOOKUP(DATE($K$1,$K$2,NRM$4),Table1[],(MATCH(Calendar!$A18,DB!$1:$1,0)),FALSE)&gt;=5,"Good","Bad"),VLOOKUP(DATE($K$1,$K$2,NRM$4),Table1[],(MATCH(Calendar!$A18,DB!$1:$1,0)),FALSE)),"")</f>
        <v/>
      </c>
      <c r="NRN18" s="28" t="str">
        <f>IFERROR(IF(NRW3="No",IF(VLOOKUP(DATE($K$1,$K$2,NRN$4),Table1[],(MATCH(Calendar!$A18,DB!$1:$1,0)),FALSE)&gt;=5,"Good","Bad"),VLOOKUP(DATE($K$1,$K$2,NRN$4),Table1[],(MATCH(Calendar!$A18,DB!$1:$1,0)),FALSE)),"")</f>
        <v/>
      </c>
      <c r="NRO18" s="28" t="str">
        <f>IFERROR(IF(NRX3="No",IF(VLOOKUP(DATE($K$1,$K$2,NRO$4),Table1[],(MATCH(Calendar!$A18,DB!$1:$1,0)),FALSE)&gt;=5,"Good","Bad"),VLOOKUP(DATE($K$1,$K$2,NRO$4),Table1[],(MATCH(Calendar!$A18,DB!$1:$1,0)),FALSE)),"")</f>
        <v/>
      </c>
      <c r="NRP18" s="28" t="str">
        <f>IFERROR(IF(NRY3="No",IF(VLOOKUP(DATE($K$1,$K$2,NRP$4),Table1[],(MATCH(Calendar!$A18,DB!$1:$1,0)),FALSE)&gt;=5,"Good","Bad"),VLOOKUP(DATE($K$1,$K$2,NRP$4),Table1[],(MATCH(Calendar!$A18,DB!$1:$1,0)),FALSE)),"")</f>
        <v/>
      </c>
      <c r="NRQ18" s="28" t="str">
        <f>IFERROR(IF(NRZ3="No",IF(VLOOKUP(DATE($K$1,$K$2,NRQ$4),Table1[],(MATCH(Calendar!$A18,DB!$1:$1,0)),FALSE)&gt;=5,"Good","Bad"),VLOOKUP(DATE($K$1,$K$2,NRQ$4),Table1[],(MATCH(Calendar!$A18,DB!$1:$1,0)),FALSE)),"")</f>
        <v/>
      </c>
      <c r="NRR18" s="28" t="str">
        <f>IFERROR(IF(NSA3="No",IF(VLOOKUP(DATE($K$1,$K$2,NRR$4),Table1[],(MATCH(Calendar!$A18,DB!$1:$1,0)),FALSE)&gt;=5,"Good","Bad"),VLOOKUP(DATE($K$1,$K$2,NRR$4),Table1[],(MATCH(Calendar!$A18,DB!$1:$1,0)),FALSE)),"")</f>
        <v/>
      </c>
      <c r="NRS18" s="28" t="str">
        <f>IFERROR(IF(NSB3="No",IF(VLOOKUP(DATE($K$1,$K$2,NRS$4),Table1[],(MATCH(Calendar!$A18,DB!$1:$1,0)),FALSE)&gt;=5,"Good","Bad"),VLOOKUP(DATE($K$1,$K$2,NRS$4),Table1[],(MATCH(Calendar!$A18,DB!$1:$1,0)),FALSE)),"")</f>
        <v/>
      </c>
      <c r="NRT18" s="28" t="str">
        <f>IFERROR(IF(NSC3="No",IF(VLOOKUP(DATE($K$1,$K$2,NRT$4),Table1[],(MATCH(Calendar!$A18,DB!$1:$1,0)),FALSE)&gt;=5,"Good","Bad"),VLOOKUP(DATE($K$1,$K$2,NRT$4),Table1[],(MATCH(Calendar!$A18,DB!$1:$1,0)),FALSE)),"")</f>
        <v/>
      </c>
      <c r="NRU18" s="28" t="str">
        <f>IFERROR(IF(NSD3="No",IF(VLOOKUP(DATE($K$1,$K$2,NRU$4),Table1[],(MATCH(Calendar!$A18,DB!$1:$1,0)),FALSE)&gt;=5,"Good","Bad"),VLOOKUP(DATE($K$1,$K$2,NRU$4),Table1[],(MATCH(Calendar!$A18,DB!$1:$1,0)),FALSE)),"")</f>
        <v/>
      </c>
      <c r="NRV18" s="28" t="str">
        <f>IFERROR(IF(NSE3="No",IF(VLOOKUP(DATE($K$1,$K$2,NRV$4),Table1[],(MATCH(Calendar!$A18,DB!$1:$1,0)),FALSE)&gt;=5,"Good","Bad"),VLOOKUP(DATE($K$1,$K$2,NRV$4),Table1[],(MATCH(Calendar!$A18,DB!$1:$1,0)),FALSE)),"")</f>
        <v/>
      </c>
      <c r="NRW18" s="28" t="str">
        <f>IFERROR(IF(NSF3="No",IF(VLOOKUP(DATE($K$1,$K$2,NRW$4),Table1[],(MATCH(Calendar!$A18,DB!$1:$1,0)),FALSE)&gt;=5,"Good","Bad"),VLOOKUP(DATE($K$1,$K$2,NRW$4),Table1[],(MATCH(Calendar!$A18,DB!$1:$1,0)),FALSE)),"")</f>
        <v/>
      </c>
      <c r="NRX18" s="28" t="str">
        <f>IFERROR(IF(NSG3="No",IF(VLOOKUP(DATE($K$1,$K$2,NRX$4),Table1[],(MATCH(Calendar!$A18,DB!$1:$1,0)),FALSE)&gt;=5,"Good","Bad"),VLOOKUP(DATE($K$1,$K$2,NRX$4),Table1[],(MATCH(Calendar!$A18,DB!$1:$1,0)),FALSE)),"")</f>
        <v/>
      </c>
      <c r="NRY18" s="28" t="str">
        <f>IFERROR(IF(NSH3="No",IF(VLOOKUP(DATE($K$1,$K$2,NRY$4),Table1[],(MATCH(Calendar!$A18,DB!$1:$1,0)),FALSE)&gt;=5,"Good","Bad"),VLOOKUP(DATE($K$1,$K$2,NRY$4),Table1[],(MATCH(Calendar!$A18,DB!$1:$1,0)),FALSE)),"")</f>
        <v/>
      </c>
      <c r="NRZ18" s="28" t="str">
        <f>IFERROR(IF(NSI3="No",IF(VLOOKUP(DATE($K$1,$K$2,NRZ$4),Table1[],(MATCH(Calendar!$A18,DB!$1:$1,0)),FALSE)&gt;=5,"Good","Bad"),VLOOKUP(DATE($K$1,$K$2,NRZ$4),Table1[],(MATCH(Calendar!$A18,DB!$1:$1,0)),FALSE)),"")</f>
        <v/>
      </c>
      <c r="NSA18" s="28" t="str">
        <f>IFERROR(IF(NSJ3="No",IF(VLOOKUP(DATE($K$1,$K$2,NSA$4),Table1[],(MATCH(Calendar!$A18,DB!$1:$1,0)),FALSE)&gt;=5,"Good","Bad"),VLOOKUP(DATE($K$1,$K$2,NSA$4),Table1[],(MATCH(Calendar!$A18,DB!$1:$1,0)),FALSE)),"")</f>
        <v/>
      </c>
      <c r="NSB18" s="28" t="str">
        <f>IFERROR(IF(NSK3="No",IF(VLOOKUP(DATE($K$1,$K$2,NSB$4),Table1[],(MATCH(Calendar!$A18,DB!$1:$1,0)),FALSE)&gt;=5,"Good","Bad"),VLOOKUP(DATE($K$1,$K$2,NSB$4),Table1[],(MATCH(Calendar!$A18,DB!$1:$1,0)),FALSE)),"")</f>
        <v/>
      </c>
      <c r="NSC18" s="28" t="str">
        <f>IFERROR(IF(NSL3="No",IF(VLOOKUP(DATE($K$1,$K$2,NSC$4),Table1[],(MATCH(Calendar!$A18,DB!$1:$1,0)),FALSE)&gt;=5,"Good","Bad"),VLOOKUP(DATE($K$1,$K$2,NSC$4),Table1[],(MATCH(Calendar!$A18,DB!$1:$1,0)),FALSE)),"")</f>
        <v/>
      </c>
      <c r="NSD18" s="28" t="str">
        <f>IFERROR(IF(NSM3="No",IF(VLOOKUP(DATE($K$1,$K$2,NSD$4),Table1[],(MATCH(Calendar!$A18,DB!$1:$1,0)),FALSE)&gt;=5,"Good","Bad"),VLOOKUP(DATE($K$1,$K$2,NSD$4),Table1[],(MATCH(Calendar!$A18,DB!$1:$1,0)),FALSE)),"")</f>
        <v/>
      </c>
      <c r="NSE18" s="28" t="str">
        <f>IFERROR(IF(NSN3="No",IF(VLOOKUP(DATE($K$1,$K$2,NSE$4),Table1[],(MATCH(Calendar!$A18,DB!$1:$1,0)),FALSE)&gt;=5,"Good","Bad"),VLOOKUP(DATE($K$1,$K$2,NSE$4),Table1[],(MATCH(Calendar!$A18,DB!$1:$1,0)),FALSE)),"")</f>
        <v/>
      </c>
      <c r="NSF18" s="28" t="str">
        <f>IFERROR(IF(NSO3="No",IF(VLOOKUP(DATE($K$1,$K$2,NSF$4),Table1[],(MATCH(Calendar!$A18,DB!$1:$1,0)),FALSE)&gt;=5,"Good","Bad"),VLOOKUP(DATE($K$1,$K$2,NSF$4),Table1[],(MATCH(Calendar!$A18,DB!$1:$1,0)),FALSE)),"")</f>
        <v/>
      </c>
      <c r="NSG18" s="28" t="str">
        <f>IFERROR(IF(NSP3="No",IF(VLOOKUP(DATE($K$1,$K$2,NSG$4),Table1[],(MATCH(Calendar!$A18,DB!$1:$1,0)),FALSE)&gt;=5,"Good","Bad"),VLOOKUP(DATE($K$1,$K$2,NSG$4),Table1[],(MATCH(Calendar!$A18,DB!$1:$1,0)),FALSE)),"")</f>
        <v/>
      </c>
      <c r="NSH18" s="28" t="str">
        <f>IFERROR(IF(NSQ3="No",IF(VLOOKUP(DATE($K$1,$K$2,NSH$4),Table1[],(MATCH(Calendar!$A18,DB!$1:$1,0)),FALSE)&gt;=5,"Good","Bad"),VLOOKUP(DATE($K$1,$K$2,NSH$4),Table1[],(MATCH(Calendar!$A18,DB!$1:$1,0)),FALSE)),"")</f>
        <v/>
      </c>
      <c r="NSI18" s="28" t="str">
        <f>IFERROR(IF(NSR3="No",IF(VLOOKUP(DATE($K$1,$K$2,NSI$4),Table1[],(MATCH(Calendar!$A18,DB!$1:$1,0)),FALSE)&gt;=5,"Good","Bad"),VLOOKUP(DATE($K$1,$K$2,NSI$4),Table1[],(MATCH(Calendar!$A18,DB!$1:$1,0)),FALSE)),"")</f>
        <v/>
      </c>
      <c r="NSJ18" s="28" t="str">
        <f>IFERROR(IF(NSS3="No",IF(VLOOKUP(DATE($K$1,$K$2,NSJ$4),Table1[],(MATCH(Calendar!$A18,DB!$1:$1,0)),FALSE)&gt;=5,"Good","Bad"),VLOOKUP(DATE($K$1,$K$2,NSJ$4),Table1[],(MATCH(Calendar!$A18,DB!$1:$1,0)),FALSE)),"")</f>
        <v/>
      </c>
      <c r="NSK18" s="28" t="str">
        <f>IFERROR(IF(NST3="No",IF(VLOOKUP(DATE($K$1,$K$2,NSK$4),Table1[],(MATCH(Calendar!$A18,DB!$1:$1,0)),FALSE)&gt;=5,"Good","Bad"),VLOOKUP(DATE($K$1,$K$2,NSK$4),Table1[],(MATCH(Calendar!$A18,DB!$1:$1,0)),FALSE)),"")</f>
        <v/>
      </c>
      <c r="NSL18" s="28" t="str">
        <f>IFERROR(IF(NSU3="No",IF(VLOOKUP(DATE($K$1,$K$2,NSL$4),Table1[],(MATCH(Calendar!$A18,DB!$1:$1,0)),FALSE)&gt;=5,"Good","Bad"),VLOOKUP(DATE($K$1,$K$2,NSL$4),Table1[],(MATCH(Calendar!$A18,DB!$1:$1,0)),FALSE)),"")</f>
        <v/>
      </c>
      <c r="NSM18" s="28" t="str">
        <f>IFERROR(IF(NSV3="No",IF(VLOOKUP(DATE($K$1,$K$2,NSM$4),Table1[],(MATCH(Calendar!$A18,DB!$1:$1,0)),FALSE)&gt;=5,"Good","Bad"),VLOOKUP(DATE($K$1,$K$2,NSM$4),Table1[],(MATCH(Calendar!$A18,DB!$1:$1,0)),FALSE)),"")</f>
        <v/>
      </c>
      <c r="NSN18" s="28" t="str">
        <f>IFERROR(IF(NSW3="No",IF(VLOOKUP(DATE($K$1,$K$2,NSN$4),Table1[],(MATCH(Calendar!$A18,DB!$1:$1,0)),FALSE)&gt;=5,"Good","Bad"),VLOOKUP(DATE($K$1,$K$2,NSN$4),Table1[],(MATCH(Calendar!$A18,DB!$1:$1,0)),FALSE)),"")</f>
        <v/>
      </c>
      <c r="NSO18" s="28" t="str">
        <f>IFERROR(IF(NSX3="No",IF(VLOOKUP(DATE($K$1,$K$2,NSO$4),Table1[],(MATCH(Calendar!$A18,DB!$1:$1,0)),FALSE)&gt;=5,"Good","Bad"),VLOOKUP(DATE($K$1,$K$2,NSO$4),Table1[],(MATCH(Calendar!$A18,DB!$1:$1,0)),FALSE)),"")</f>
        <v/>
      </c>
      <c r="NSP18" s="28" t="str">
        <f>IFERROR(IF(NSY3="No",IF(VLOOKUP(DATE($K$1,$K$2,NSP$4),Table1[],(MATCH(Calendar!$A18,DB!$1:$1,0)),FALSE)&gt;=5,"Good","Bad"),VLOOKUP(DATE($K$1,$K$2,NSP$4),Table1[],(MATCH(Calendar!$A18,DB!$1:$1,0)),FALSE)),"")</f>
        <v/>
      </c>
      <c r="NSQ18" s="28" t="str">
        <f>IFERROR(IF(NSZ3="No",IF(VLOOKUP(DATE($K$1,$K$2,NSQ$4),Table1[],(MATCH(Calendar!$A18,DB!$1:$1,0)),FALSE)&gt;=5,"Good","Bad"),VLOOKUP(DATE($K$1,$K$2,NSQ$4),Table1[],(MATCH(Calendar!$A18,DB!$1:$1,0)),FALSE)),"")</f>
        <v/>
      </c>
      <c r="NSR18" s="28" t="str">
        <f>IFERROR(IF(NTA3="No",IF(VLOOKUP(DATE($K$1,$K$2,NSR$4),Table1[],(MATCH(Calendar!$A18,DB!$1:$1,0)),FALSE)&gt;=5,"Good","Bad"),VLOOKUP(DATE($K$1,$K$2,NSR$4),Table1[],(MATCH(Calendar!$A18,DB!$1:$1,0)),FALSE)),"")</f>
        <v/>
      </c>
      <c r="NSS18" s="28" t="str">
        <f>IFERROR(IF(NTB3="No",IF(VLOOKUP(DATE($K$1,$K$2,NSS$4),Table1[],(MATCH(Calendar!$A18,DB!$1:$1,0)),FALSE)&gt;=5,"Good","Bad"),VLOOKUP(DATE($K$1,$K$2,NSS$4),Table1[],(MATCH(Calendar!$A18,DB!$1:$1,0)),FALSE)),"")</f>
        <v/>
      </c>
      <c r="NST18" s="28" t="str">
        <f>IFERROR(IF(NTC3="No",IF(VLOOKUP(DATE($K$1,$K$2,NST$4),Table1[],(MATCH(Calendar!$A18,DB!$1:$1,0)),FALSE)&gt;=5,"Good","Bad"),VLOOKUP(DATE($K$1,$K$2,NST$4),Table1[],(MATCH(Calendar!$A18,DB!$1:$1,0)),FALSE)),"")</f>
        <v/>
      </c>
      <c r="NSU18" s="28" t="str">
        <f>IFERROR(IF(NTD3="No",IF(VLOOKUP(DATE($K$1,$K$2,NSU$4),Table1[],(MATCH(Calendar!$A18,DB!$1:$1,0)),FALSE)&gt;=5,"Good","Bad"),VLOOKUP(DATE($K$1,$K$2,NSU$4),Table1[],(MATCH(Calendar!$A18,DB!$1:$1,0)),FALSE)),"")</f>
        <v/>
      </c>
      <c r="NSV18" s="28" t="str">
        <f>IFERROR(IF(NTE3="No",IF(VLOOKUP(DATE($K$1,$K$2,NSV$4),Table1[],(MATCH(Calendar!$A18,DB!$1:$1,0)),FALSE)&gt;=5,"Good","Bad"),VLOOKUP(DATE($K$1,$K$2,NSV$4),Table1[],(MATCH(Calendar!$A18,DB!$1:$1,0)),FALSE)),"")</f>
        <v/>
      </c>
      <c r="NSW18" s="28" t="str">
        <f>IFERROR(IF(NTF3="No",IF(VLOOKUP(DATE($K$1,$K$2,NSW$4),Table1[],(MATCH(Calendar!$A18,DB!$1:$1,0)),FALSE)&gt;=5,"Good","Bad"),VLOOKUP(DATE($K$1,$K$2,NSW$4),Table1[],(MATCH(Calendar!$A18,DB!$1:$1,0)),FALSE)),"")</f>
        <v/>
      </c>
      <c r="NSX18" s="28" t="str">
        <f>IFERROR(IF(NTG3="No",IF(VLOOKUP(DATE($K$1,$K$2,NSX$4),Table1[],(MATCH(Calendar!$A18,DB!$1:$1,0)),FALSE)&gt;=5,"Good","Bad"),VLOOKUP(DATE($K$1,$K$2,NSX$4),Table1[],(MATCH(Calendar!$A18,DB!$1:$1,0)),FALSE)),"")</f>
        <v/>
      </c>
      <c r="NSY18" s="28" t="str">
        <f>IFERROR(IF(NTH3="No",IF(VLOOKUP(DATE($K$1,$K$2,NSY$4),Table1[],(MATCH(Calendar!$A18,DB!$1:$1,0)),FALSE)&gt;=5,"Good","Bad"),VLOOKUP(DATE($K$1,$K$2,NSY$4),Table1[],(MATCH(Calendar!$A18,DB!$1:$1,0)),FALSE)),"")</f>
        <v/>
      </c>
      <c r="NSZ18" s="28" t="str">
        <f>IFERROR(IF(NTI3="No",IF(VLOOKUP(DATE($K$1,$K$2,NSZ$4),Table1[],(MATCH(Calendar!$A18,DB!$1:$1,0)),FALSE)&gt;=5,"Good","Bad"),VLOOKUP(DATE($K$1,$K$2,NSZ$4),Table1[],(MATCH(Calendar!$A18,DB!$1:$1,0)),FALSE)),"")</f>
        <v/>
      </c>
      <c r="NTA18" s="28" t="str">
        <f>IFERROR(IF(NTJ3="No",IF(VLOOKUP(DATE($K$1,$K$2,NTA$4),Table1[],(MATCH(Calendar!$A18,DB!$1:$1,0)),FALSE)&gt;=5,"Good","Bad"),VLOOKUP(DATE($K$1,$K$2,NTA$4),Table1[],(MATCH(Calendar!$A18,DB!$1:$1,0)),FALSE)),"")</f>
        <v/>
      </c>
      <c r="NTB18" s="28" t="str">
        <f>IFERROR(IF(NTK3="No",IF(VLOOKUP(DATE($K$1,$K$2,NTB$4),Table1[],(MATCH(Calendar!$A18,DB!$1:$1,0)),FALSE)&gt;=5,"Good","Bad"),VLOOKUP(DATE($K$1,$K$2,NTB$4),Table1[],(MATCH(Calendar!$A18,DB!$1:$1,0)),FALSE)),"")</f>
        <v/>
      </c>
      <c r="NTC18" s="28" t="str">
        <f>IFERROR(IF(NTL3="No",IF(VLOOKUP(DATE($K$1,$K$2,NTC$4),Table1[],(MATCH(Calendar!$A18,DB!$1:$1,0)),FALSE)&gt;=5,"Good","Bad"),VLOOKUP(DATE($K$1,$K$2,NTC$4),Table1[],(MATCH(Calendar!$A18,DB!$1:$1,0)),FALSE)),"")</f>
        <v/>
      </c>
      <c r="NTD18" s="28" t="str">
        <f>IFERROR(IF(NTM3="No",IF(VLOOKUP(DATE($K$1,$K$2,NTD$4),Table1[],(MATCH(Calendar!$A18,DB!$1:$1,0)),FALSE)&gt;=5,"Good","Bad"),VLOOKUP(DATE($K$1,$K$2,NTD$4),Table1[],(MATCH(Calendar!$A18,DB!$1:$1,0)),FALSE)),"")</f>
        <v/>
      </c>
      <c r="NTE18" s="28" t="str">
        <f>IFERROR(IF(NTN3="No",IF(VLOOKUP(DATE($K$1,$K$2,NTE$4),Table1[],(MATCH(Calendar!$A18,DB!$1:$1,0)),FALSE)&gt;=5,"Good","Bad"),VLOOKUP(DATE($K$1,$K$2,NTE$4),Table1[],(MATCH(Calendar!$A18,DB!$1:$1,0)),FALSE)),"")</f>
        <v/>
      </c>
      <c r="NTF18" s="28" t="str">
        <f>IFERROR(IF(NTO3="No",IF(VLOOKUP(DATE($K$1,$K$2,NTF$4),Table1[],(MATCH(Calendar!$A18,DB!$1:$1,0)),FALSE)&gt;=5,"Good","Bad"),VLOOKUP(DATE($K$1,$K$2,NTF$4),Table1[],(MATCH(Calendar!$A18,DB!$1:$1,0)),FALSE)),"")</f>
        <v/>
      </c>
      <c r="NTG18" s="28" t="str">
        <f>IFERROR(IF(NTP3="No",IF(VLOOKUP(DATE($K$1,$K$2,NTG$4),Table1[],(MATCH(Calendar!$A18,DB!$1:$1,0)),FALSE)&gt;=5,"Good","Bad"),VLOOKUP(DATE($K$1,$K$2,NTG$4),Table1[],(MATCH(Calendar!$A18,DB!$1:$1,0)),FALSE)),"")</f>
        <v/>
      </c>
      <c r="NTH18" s="28" t="str">
        <f>IFERROR(IF(NTQ3="No",IF(VLOOKUP(DATE($K$1,$K$2,NTH$4),Table1[],(MATCH(Calendar!$A18,DB!$1:$1,0)),FALSE)&gt;=5,"Good","Bad"),VLOOKUP(DATE($K$1,$K$2,NTH$4),Table1[],(MATCH(Calendar!$A18,DB!$1:$1,0)),FALSE)),"")</f>
        <v/>
      </c>
      <c r="NTI18" s="28" t="str">
        <f>IFERROR(IF(NTR3="No",IF(VLOOKUP(DATE($K$1,$K$2,NTI$4),Table1[],(MATCH(Calendar!$A18,DB!$1:$1,0)),FALSE)&gt;=5,"Good","Bad"),VLOOKUP(DATE($K$1,$K$2,NTI$4),Table1[],(MATCH(Calendar!$A18,DB!$1:$1,0)),FALSE)),"")</f>
        <v/>
      </c>
      <c r="NTJ18" s="28" t="str">
        <f>IFERROR(IF(NTS3="No",IF(VLOOKUP(DATE($K$1,$K$2,NTJ$4),Table1[],(MATCH(Calendar!$A18,DB!$1:$1,0)),FALSE)&gt;=5,"Good","Bad"),VLOOKUP(DATE($K$1,$K$2,NTJ$4),Table1[],(MATCH(Calendar!$A18,DB!$1:$1,0)),FALSE)),"")</f>
        <v/>
      </c>
      <c r="NTK18" s="28" t="str">
        <f>IFERROR(IF(NTT3="No",IF(VLOOKUP(DATE($K$1,$K$2,NTK$4),Table1[],(MATCH(Calendar!$A18,DB!$1:$1,0)),FALSE)&gt;=5,"Good","Bad"),VLOOKUP(DATE($K$1,$K$2,NTK$4),Table1[],(MATCH(Calendar!$A18,DB!$1:$1,0)),FALSE)),"")</f>
        <v/>
      </c>
      <c r="NTL18" s="28" t="str">
        <f>IFERROR(IF(NTU3="No",IF(VLOOKUP(DATE($K$1,$K$2,NTL$4),Table1[],(MATCH(Calendar!$A18,DB!$1:$1,0)),FALSE)&gt;=5,"Good","Bad"),VLOOKUP(DATE($K$1,$K$2,NTL$4),Table1[],(MATCH(Calendar!$A18,DB!$1:$1,0)),FALSE)),"")</f>
        <v/>
      </c>
      <c r="NTM18" s="28" t="str">
        <f>IFERROR(IF(NTV3="No",IF(VLOOKUP(DATE($K$1,$K$2,NTM$4),Table1[],(MATCH(Calendar!$A18,DB!$1:$1,0)),FALSE)&gt;=5,"Good","Bad"),VLOOKUP(DATE($K$1,$K$2,NTM$4),Table1[],(MATCH(Calendar!$A18,DB!$1:$1,0)),FALSE)),"")</f>
        <v/>
      </c>
      <c r="NTN18" s="28" t="str">
        <f>IFERROR(IF(NTW3="No",IF(VLOOKUP(DATE($K$1,$K$2,NTN$4),Table1[],(MATCH(Calendar!$A18,DB!$1:$1,0)),FALSE)&gt;=5,"Good","Bad"),VLOOKUP(DATE($K$1,$K$2,NTN$4),Table1[],(MATCH(Calendar!$A18,DB!$1:$1,0)),FALSE)),"")</f>
        <v/>
      </c>
      <c r="NTO18" s="28" t="str">
        <f>IFERROR(IF(NTX3="No",IF(VLOOKUP(DATE($K$1,$K$2,NTO$4),Table1[],(MATCH(Calendar!$A18,DB!$1:$1,0)),FALSE)&gt;=5,"Good","Bad"),VLOOKUP(DATE($K$1,$K$2,NTO$4),Table1[],(MATCH(Calendar!$A18,DB!$1:$1,0)),FALSE)),"")</f>
        <v/>
      </c>
      <c r="NTP18" s="28" t="str">
        <f>IFERROR(IF(NTY3="No",IF(VLOOKUP(DATE($K$1,$K$2,NTP$4),Table1[],(MATCH(Calendar!$A18,DB!$1:$1,0)),FALSE)&gt;=5,"Good","Bad"),VLOOKUP(DATE($K$1,$K$2,NTP$4),Table1[],(MATCH(Calendar!$A18,DB!$1:$1,0)),FALSE)),"")</f>
        <v/>
      </c>
      <c r="NTQ18" s="28" t="str">
        <f>IFERROR(IF(NTZ3="No",IF(VLOOKUP(DATE($K$1,$K$2,NTQ$4),Table1[],(MATCH(Calendar!$A18,DB!$1:$1,0)),FALSE)&gt;=5,"Good","Bad"),VLOOKUP(DATE($K$1,$K$2,NTQ$4),Table1[],(MATCH(Calendar!$A18,DB!$1:$1,0)),FALSE)),"")</f>
        <v/>
      </c>
      <c r="NTR18" s="28" t="str">
        <f>IFERROR(IF(NUA3="No",IF(VLOOKUP(DATE($K$1,$K$2,NTR$4),Table1[],(MATCH(Calendar!$A18,DB!$1:$1,0)),FALSE)&gt;=5,"Good","Bad"),VLOOKUP(DATE($K$1,$K$2,NTR$4),Table1[],(MATCH(Calendar!$A18,DB!$1:$1,0)),FALSE)),"")</f>
        <v/>
      </c>
      <c r="NTS18" s="28" t="str">
        <f>IFERROR(IF(NUB3="No",IF(VLOOKUP(DATE($K$1,$K$2,NTS$4),Table1[],(MATCH(Calendar!$A18,DB!$1:$1,0)),FALSE)&gt;=5,"Good","Bad"),VLOOKUP(DATE($K$1,$K$2,NTS$4),Table1[],(MATCH(Calendar!$A18,DB!$1:$1,0)),FALSE)),"")</f>
        <v/>
      </c>
      <c r="NTT18" s="28" t="str">
        <f>IFERROR(IF(NUC3="No",IF(VLOOKUP(DATE($K$1,$K$2,NTT$4),Table1[],(MATCH(Calendar!$A18,DB!$1:$1,0)),FALSE)&gt;=5,"Good","Bad"),VLOOKUP(DATE($K$1,$K$2,NTT$4),Table1[],(MATCH(Calendar!$A18,DB!$1:$1,0)),FALSE)),"")</f>
        <v/>
      </c>
      <c r="NTU18" s="28" t="str">
        <f>IFERROR(IF(NUD3="No",IF(VLOOKUP(DATE($K$1,$K$2,NTU$4),Table1[],(MATCH(Calendar!$A18,DB!$1:$1,0)),FALSE)&gt;=5,"Good","Bad"),VLOOKUP(DATE($K$1,$K$2,NTU$4),Table1[],(MATCH(Calendar!$A18,DB!$1:$1,0)),FALSE)),"")</f>
        <v/>
      </c>
      <c r="NTV18" s="28" t="str">
        <f>IFERROR(IF(NUE3="No",IF(VLOOKUP(DATE($K$1,$K$2,NTV$4),Table1[],(MATCH(Calendar!$A18,DB!$1:$1,0)),FALSE)&gt;=5,"Good","Bad"),VLOOKUP(DATE($K$1,$K$2,NTV$4),Table1[],(MATCH(Calendar!$A18,DB!$1:$1,0)),FALSE)),"")</f>
        <v/>
      </c>
      <c r="NTW18" s="28" t="str">
        <f>IFERROR(IF(NUF3="No",IF(VLOOKUP(DATE($K$1,$K$2,NTW$4),Table1[],(MATCH(Calendar!$A18,DB!$1:$1,0)),FALSE)&gt;=5,"Good","Bad"),VLOOKUP(DATE($K$1,$K$2,NTW$4),Table1[],(MATCH(Calendar!$A18,DB!$1:$1,0)),FALSE)),"")</f>
        <v/>
      </c>
      <c r="NTX18" s="28" t="str">
        <f>IFERROR(IF(NUG3="No",IF(VLOOKUP(DATE($K$1,$K$2,NTX$4),Table1[],(MATCH(Calendar!$A18,DB!$1:$1,0)),FALSE)&gt;=5,"Good","Bad"),VLOOKUP(DATE($K$1,$K$2,NTX$4),Table1[],(MATCH(Calendar!$A18,DB!$1:$1,0)),FALSE)),"")</f>
        <v/>
      </c>
      <c r="NTY18" s="28" t="str">
        <f>IFERROR(IF(NUH3="No",IF(VLOOKUP(DATE($K$1,$K$2,NTY$4),Table1[],(MATCH(Calendar!$A18,DB!$1:$1,0)),FALSE)&gt;=5,"Good","Bad"),VLOOKUP(DATE($K$1,$K$2,NTY$4),Table1[],(MATCH(Calendar!$A18,DB!$1:$1,0)),FALSE)),"")</f>
        <v/>
      </c>
      <c r="NTZ18" s="28" t="str">
        <f>IFERROR(IF(NUI3="No",IF(VLOOKUP(DATE($K$1,$K$2,NTZ$4),Table1[],(MATCH(Calendar!$A18,DB!$1:$1,0)),FALSE)&gt;=5,"Good","Bad"),VLOOKUP(DATE($K$1,$K$2,NTZ$4),Table1[],(MATCH(Calendar!$A18,DB!$1:$1,0)),FALSE)),"")</f>
        <v/>
      </c>
      <c r="NUA18" s="28" t="str">
        <f>IFERROR(IF(NUJ3="No",IF(VLOOKUP(DATE($K$1,$K$2,NUA$4),Table1[],(MATCH(Calendar!$A18,DB!$1:$1,0)),FALSE)&gt;=5,"Good","Bad"),VLOOKUP(DATE($K$1,$K$2,NUA$4),Table1[],(MATCH(Calendar!$A18,DB!$1:$1,0)),FALSE)),"")</f>
        <v/>
      </c>
      <c r="NUB18" s="28" t="str">
        <f>IFERROR(IF(NUK3="No",IF(VLOOKUP(DATE($K$1,$K$2,NUB$4),Table1[],(MATCH(Calendar!$A18,DB!$1:$1,0)),FALSE)&gt;=5,"Good","Bad"),VLOOKUP(DATE($K$1,$K$2,NUB$4),Table1[],(MATCH(Calendar!$A18,DB!$1:$1,0)),FALSE)),"")</f>
        <v/>
      </c>
      <c r="NUC18" s="28" t="str">
        <f>IFERROR(IF(NUL3="No",IF(VLOOKUP(DATE($K$1,$K$2,NUC$4),Table1[],(MATCH(Calendar!$A18,DB!$1:$1,0)),FALSE)&gt;=5,"Good","Bad"),VLOOKUP(DATE($K$1,$K$2,NUC$4),Table1[],(MATCH(Calendar!$A18,DB!$1:$1,0)),FALSE)),"")</f>
        <v/>
      </c>
      <c r="NUD18" s="28" t="str">
        <f>IFERROR(IF(NUM3="No",IF(VLOOKUP(DATE($K$1,$K$2,NUD$4),Table1[],(MATCH(Calendar!$A18,DB!$1:$1,0)),FALSE)&gt;=5,"Good","Bad"),VLOOKUP(DATE($K$1,$K$2,NUD$4),Table1[],(MATCH(Calendar!$A18,DB!$1:$1,0)),FALSE)),"")</f>
        <v/>
      </c>
      <c r="NUE18" s="28" t="str">
        <f>IFERROR(IF(NUN3="No",IF(VLOOKUP(DATE($K$1,$K$2,NUE$4),Table1[],(MATCH(Calendar!$A18,DB!$1:$1,0)),FALSE)&gt;=5,"Good","Bad"),VLOOKUP(DATE($K$1,$K$2,NUE$4),Table1[],(MATCH(Calendar!$A18,DB!$1:$1,0)),FALSE)),"")</f>
        <v/>
      </c>
      <c r="NUF18" s="28" t="str">
        <f>IFERROR(IF(NUO3="No",IF(VLOOKUP(DATE($K$1,$K$2,NUF$4),Table1[],(MATCH(Calendar!$A18,DB!$1:$1,0)),FALSE)&gt;=5,"Good","Bad"),VLOOKUP(DATE($K$1,$K$2,NUF$4),Table1[],(MATCH(Calendar!$A18,DB!$1:$1,0)),FALSE)),"")</f>
        <v/>
      </c>
      <c r="NUG18" s="28" t="str">
        <f>IFERROR(IF(NUP3="No",IF(VLOOKUP(DATE($K$1,$K$2,NUG$4),Table1[],(MATCH(Calendar!$A18,DB!$1:$1,0)),FALSE)&gt;=5,"Good","Bad"),VLOOKUP(DATE($K$1,$K$2,NUG$4),Table1[],(MATCH(Calendar!$A18,DB!$1:$1,0)),FALSE)),"")</f>
        <v/>
      </c>
      <c r="NUH18" s="28" t="str">
        <f>IFERROR(IF(NUQ3="No",IF(VLOOKUP(DATE($K$1,$K$2,NUH$4),Table1[],(MATCH(Calendar!$A18,DB!$1:$1,0)),FALSE)&gt;=5,"Good","Bad"),VLOOKUP(DATE($K$1,$K$2,NUH$4),Table1[],(MATCH(Calendar!$A18,DB!$1:$1,0)),FALSE)),"")</f>
        <v/>
      </c>
      <c r="NUI18" s="28" t="str">
        <f>IFERROR(IF(NUR3="No",IF(VLOOKUP(DATE($K$1,$K$2,NUI$4),Table1[],(MATCH(Calendar!$A18,DB!$1:$1,0)),FALSE)&gt;=5,"Good","Bad"),VLOOKUP(DATE($K$1,$K$2,NUI$4),Table1[],(MATCH(Calendar!$A18,DB!$1:$1,0)),FALSE)),"")</f>
        <v/>
      </c>
      <c r="NUJ18" s="28" t="str">
        <f>IFERROR(IF(NUS3="No",IF(VLOOKUP(DATE($K$1,$K$2,NUJ$4),Table1[],(MATCH(Calendar!$A18,DB!$1:$1,0)),FALSE)&gt;=5,"Good","Bad"),VLOOKUP(DATE($K$1,$K$2,NUJ$4),Table1[],(MATCH(Calendar!$A18,DB!$1:$1,0)),FALSE)),"")</f>
        <v/>
      </c>
      <c r="NUK18" s="28" t="str">
        <f>IFERROR(IF(NUT3="No",IF(VLOOKUP(DATE($K$1,$K$2,NUK$4),Table1[],(MATCH(Calendar!$A18,DB!$1:$1,0)),FALSE)&gt;=5,"Good","Bad"),VLOOKUP(DATE($K$1,$K$2,NUK$4),Table1[],(MATCH(Calendar!$A18,DB!$1:$1,0)),FALSE)),"")</f>
        <v/>
      </c>
      <c r="NUL18" s="28" t="str">
        <f>IFERROR(IF(NUU3="No",IF(VLOOKUP(DATE($K$1,$K$2,NUL$4),Table1[],(MATCH(Calendar!$A18,DB!$1:$1,0)),FALSE)&gt;=5,"Good","Bad"),VLOOKUP(DATE($K$1,$K$2,NUL$4),Table1[],(MATCH(Calendar!$A18,DB!$1:$1,0)),FALSE)),"")</f>
        <v/>
      </c>
      <c r="NUM18" s="28" t="str">
        <f>IFERROR(IF(NUV3="No",IF(VLOOKUP(DATE($K$1,$K$2,NUM$4),Table1[],(MATCH(Calendar!$A18,DB!$1:$1,0)),FALSE)&gt;=5,"Good","Bad"),VLOOKUP(DATE($K$1,$K$2,NUM$4),Table1[],(MATCH(Calendar!$A18,DB!$1:$1,0)),FALSE)),"")</f>
        <v/>
      </c>
      <c r="NUN18" s="28" t="str">
        <f>IFERROR(IF(NUW3="No",IF(VLOOKUP(DATE($K$1,$K$2,NUN$4),Table1[],(MATCH(Calendar!$A18,DB!$1:$1,0)),FALSE)&gt;=5,"Good","Bad"),VLOOKUP(DATE($K$1,$K$2,NUN$4),Table1[],(MATCH(Calendar!$A18,DB!$1:$1,0)),FALSE)),"")</f>
        <v/>
      </c>
      <c r="NUO18" s="28" t="str">
        <f>IFERROR(IF(NUX3="No",IF(VLOOKUP(DATE($K$1,$K$2,NUO$4),Table1[],(MATCH(Calendar!$A18,DB!$1:$1,0)),FALSE)&gt;=5,"Good","Bad"),VLOOKUP(DATE($K$1,$K$2,NUO$4),Table1[],(MATCH(Calendar!$A18,DB!$1:$1,0)),FALSE)),"")</f>
        <v/>
      </c>
      <c r="NUP18" s="28" t="str">
        <f>IFERROR(IF(NUY3="No",IF(VLOOKUP(DATE($K$1,$K$2,NUP$4),Table1[],(MATCH(Calendar!$A18,DB!$1:$1,0)),FALSE)&gt;=5,"Good","Bad"),VLOOKUP(DATE($K$1,$K$2,NUP$4),Table1[],(MATCH(Calendar!$A18,DB!$1:$1,0)),FALSE)),"")</f>
        <v/>
      </c>
      <c r="NUQ18" s="28" t="str">
        <f>IFERROR(IF(NUZ3="No",IF(VLOOKUP(DATE($K$1,$K$2,NUQ$4),Table1[],(MATCH(Calendar!$A18,DB!$1:$1,0)),FALSE)&gt;=5,"Good","Bad"),VLOOKUP(DATE($K$1,$K$2,NUQ$4),Table1[],(MATCH(Calendar!$A18,DB!$1:$1,0)),FALSE)),"")</f>
        <v/>
      </c>
      <c r="NUR18" s="28" t="str">
        <f>IFERROR(IF(NVA3="No",IF(VLOOKUP(DATE($K$1,$K$2,NUR$4),Table1[],(MATCH(Calendar!$A18,DB!$1:$1,0)),FALSE)&gt;=5,"Good","Bad"),VLOOKUP(DATE($K$1,$K$2,NUR$4),Table1[],(MATCH(Calendar!$A18,DB!$1:$1,0)),FALSE)),"")</f>
        <v/>
      </c>
      <c r="NUS18" s="28" t="str">
        <f>IFERROR(IF(NVB3="No",IF(VLOOKUP(DATE($K$1,$K$2,NUS$4),Table1[],(MATCH(Calendar!$A18,DB!$1:$1,0)),FALSE)&gt;=5,"Good","Bad"),VLOOKUP(DATE($K$1,$K$2,NUS$4),Table1[],(MATCH(Calendar!$A18,DB!$1:$1,0)),FALSE)),"")</f>
        <v/>
      </c>
      <c r="NUT18" s="28" t="str">
        <f>IFERROR(IF(NVC3="No",IF(VLOOKUP(DATE($K$1,$K$2,NUT$4),Table1[],(MATCH(Calendar!$A18,DB!$1:$1,0)),FALSE)&gt;=5,"Good","Bad"),VLOOKUP(DATE($K$1,$K$2,NUT$4),Table1[],(MATCH(Calendar!$A18,DB!$1:$1,0)),FALSE)),"")</f>
        <v/>
      </c>
      <c r="NUU18" s="28" t="str">
        <f>IFERROR(IF(NVD3="No",IF(VLOOKUP(DATE($K$1,$K$2,NUU$4),Table1[],(MATCH(Calendar!$A18,DB!$1:$1,0)),FALSE)&gt;=5,"Good","Bad"),VLOOKUP(DATE($K$1,$K$2,NUU$4),Table1[],(MATCH(Calendar!$A18,DB!$1:$1,0)),FALSE)),"")</f>
        <v/>
      </c>
      <c r="NUV18" s="28" t="str">
        <f>IFERROR(IF(NVE3="No",IF(VLOOKUP(DATE($K$1,$K$2,NUV$4),Table1[],(MATCH(Calendar!$A18,DB!$1:$1,0)),FALSE)&gt;=5,"Good","Bad"),VLOOKUP(DATE($K$1,$K$2,NUV$4),Table1[],(MATCH(Calendar!$A18,DB!$1:$1,0)),FALSE)),"")</f>
        <v/>
      </c>
      <c r="NUW18" s="28" t="str">
        <f>IFERROR(IF(NVF3="No",IF(VLOOKUP(DATE($K$1,$K$2,NUW$4),Table1[],(MATCH(Calendar!$A18,DB!$1:$1,0)),FALSE)&gt;=5,"Good","Bad"),VLOOKUP(DATE($K$1,$K$2,NUW$4),Table1[],(MATCH(Calendar!$A18,DB!$1:$1,0)),FALSE)),"")</f>
        <v/>
      </c>
      <c r="NUX18" s="28" t="str">
        <f>IFERROR(IF(NVG3="No",IF(VLOOKUP(DATE($K$1,$K$2,NUX$4),Table1[],(MATCH(Calendar!$A18,DB!$1:$1,0)),FALSE)&gt;=5,"Good","Bad"),VLOOKUP(DATE($K$1,$K$2,NUX$4),Table1[],(MATCH(Calendar!$A18,DB!$1:$1,0)),FALSE)),"")</f>
        <v/>
      </c>
      <c r="NUY18" s="28" t="str">
        <f>IFERROR(IF(NVH3="No",IF(VLOOKUP(DATE($K$1,$K$2,NUY$4),Table1[],(MATCH(Calendar!$A18,DB!$1:$1,0)),FALSE)&gt;=5,"Good","Bad"),VLOOKUP(DATE($K$1,$K$2,NUY$4),Table1[],(MATCH(Calendar!$A18,DB!$1:$1,0)),FALSE)),"")</f>
        <v/>
      </c>
      <c r="NUZ18" s="28" t="str">
        <f>IFERROR(IF(NVI3="No",IF(VLOOKUP(DATE($K$1,$K$2,NUZ$4),Table1[],(MATCH(Calendar!$A18,DB!$1:$1,0)),FALSE)&gt;=5,"Good","Bad"),VLOOKUP(DATE($K$1,$K$2,NUZ$4),Table1[],(MATCH(Calendar!$A18,DB!$1:$1,0)),FALSE)),"")</f>
        <v/>
      </c>
      <c r="NVA18" s="28" t="str">
        <f>IFERROR(IF(NVJ3="No",IF(VLOOKUP(DATE($K$1,$K$2,NVA$4),Table1[],(MATCH(Calendar!$A18,DB!$1:$1,0)),FALSE)&gt;=5,"Good","Bad"),VLOOKUP(DATE($K$1,$K$2,NVA$4),Table1[],(MATCH(Calendar!$A18,DB!$1:$1,0)),FALSE)),"")</f>
        <v/>
      </c>
      <c r="NVB18" s="28" t="str">
        <f>IFERROR(IF(NVK3="No",IF(VLOOKUP(DATE($K$1,$K$2,NVB$4),Table1[],(MATCH(Calendar!$A18,DB!$1:$1,0)),FALSE)&gt;=5,"Good","Bad"),VLOOKUP(DATE($K$1,$K$2,NVB$4),Table1[],(MATCH(Calendar!$A18,DB!$1:$1,0)),FALSE)),"")</f>
        <v/>
      </c>
      <c r="NVC18" s="28" t="str">
        <f>IFERROR(IF(NVL3="No",IF(VLOOKUP(DATE($K$1,$K$2,NVC$4),Table1[],(MATCH(Calendar!$A18,DB!$1:$1,0)),FALSE)&gt;=5,"Good","Bad"),VLOOKUP(DATE($K$1,$K$2,NVC$4),Table1[],(MATCH(Calendar!$A18,DB!$1:$1,0)),FALSE)),"")</f>
        <v/>
      </c>
      <c r="NVD18" s="28" t="str">
        <f>IFERROR(IF(NVM3="No",IF(VLOOKUP(DATE($K$1,$K$2,NVD$4),Table1[],(MATCH(Calendar!$A18,DB!$1:$1,0)),FALSE)&gt;=5,"Good","Bad"),VLOOKUP(DATE($K$1,$K$2,NVD$4),Table1[],(MATCH(Calendar!$A18,DB!$1:$1,0)),FALSE)),"")</f>
        <v/>
      </c>
      <c r="NVE18" s="28" t="str">
        <f>IFERROR(IF(NVN3="No",IF(VLOOKUP(DATE($K$1,$K$2,NVE$4),Table1[],(MATCH(Calendar!$A18,DB!$1:$1,0)),FALSE)&gt;=5,"Good","Bad"),VLOOKUP(DATE($K$1,$K$2,NVE$4),Table1[],(MATCH(Calendar!$A18,DB!$1:$1,0)),FALSE)),"")</f>
        <v/>
      </c>
      <c r="NVF18" s="28" t="str">
        <f>IFERROR(IF(NVO3="No",IF(VLOOKUP(DATE($K$1,$K$2,NVF$4),Table1[],(MATCH(Calendar!$A18,DB!$1:$1,0)),FALSE)&gt;=5,"Good","Bad"),VLOOKUP(DATE($K$1,$K$2,NVF$4),Table1[],(MATCH(Calendar!$A18,DB!$1:$1,0)),FALSE)),"")</f>
        <v/>
      </c>
      <c r="NVG18" s="28" t="str">
        <f>IFERROR(IF(NVP3="No",IF(VLOOKUP(DATE($K$1,$K$2,NVG$4),Table1[],(MATCH(Calendar!$A18,DB!$1:$1,0)),FALSE)&gt;=5,"Good","Bad"),VLOOKUP(DATE($K$1,$K$2,NVG$4),Table1[],(MATCH(Calendar!$A18,DB!$1:$1,0)),FALSE)),"")</f>
        <v/>
      </c>
      <c r="NVH18" s="28" t="str">
        <f>IFERROR(IF(NVQ3="No",IF(VLOOKUP(DATE($K$1,$K$2,NVH$4),Table1[],(MATCH(Calendar!$A18,DB!$1:$1,0)),FALSE)&gt;=5,"Good","Bad"),VLOOKUP(DATE($K$1,$K$2,NVH$4),Table1[],(MATCH(Calendar!$A18,DB!$1:$1,0)),FALSE)),"")</f>
        <v/>
      </c>
      <c r="NVI18" s="28" t="str">
        <f>IFERROR(IF(NVR3="No",IF(VLOOKUP(DATE($K$1,$K$2,NVI$4),Table1[],(MATCH(Calendar!$A18,DB!$1:$1,0)),FALSE)&gt;=5,"Good","Bad"),VLOOKUP(DATE($K$1,$K$2,NVI$4),Table1[],(MATCH(Calendar!$A18,DB!$1:$1,0)),FALSE)),"")</f>
        <v/>
      </c>
      <c r="NVJ18" s="28" t="str">
        <f>IFERROR(IF(NVS3="No",IF(VLOOKUP(DATE($K$1,$K$2,NVJ$4),Table1[],(MATCH(Calendar!$A18,DB!$1:$1,0)),FALSE)&gt;=5,"Good","Bad"),VLOOKUP(DATE($K$1,$K$2,NVJ$4),Table1[],(MATCH(Calendar!$A18,DB!$1:$1,0)),FALSE)),"")</f>
        <v/>
      </c>
      <c r="NVK18" s="28" t="str">
        <f>IFERROR(IF(NVT3="No",IF(VLOOKUP(DATE($K$1,$K$2,NVK$4),Table1[],(MATCH(Calendar!$A18,DB!$1:$1,0)),FALSE)&gt;=5,"Good","Bad"),VLOOKUP(DATE($K$1,$K$2,NVK$4),Table1[],(MATCH(Calendar!$A18,DB!$1:$1,0)),FALSE)),"")</f>
        <v/>
      </c>
      <c r="NVL18" s="28" t="str">
        <f>IFERROR(IF(NVU3="No",IF(VLOOKUP(DATE($K$1,$K$2,NVL$4),Table1[],(MATCH(Calendar!$A18,DB!$1:$1,0)),FALSE)&gt;=5,"Good","Bad"),VLOOKUP(DATE($K$1,$K$2,NVL$4),Table1[],(MATCH(Calendar!$A18,DB!$1:$1,0)),FALSE)),"")</f>
        <v/>
      </c>
      <c r="NVM18" s="28" t="str">
        <f>IFERROR(IF(NVV3="No",IF(VLOOKUP(DATE($K$1,$K$2,NVM$4),Table1[],(MATCH(Calendar!$A18,DB!$1:$1,0)),FALSE)&gt;=5,"Good","Bad"),VLOOKUP(DATE($K$1,$K$2,NVM$4),Table1[],(MATCH(Calendar!$A18,DB!$1:$1,0)),FALSE)),"")</f>
        <v/>
      </c>
      <c r="NVN18" s="28" t="str">
        <f>IFERROR(IF(NVW3="No",IF(VLOOKUP(DATE($K$1,$K$2,NVN$4),Table1[],(MATCH(Calendar!$A18,DB!$1:$1,0)),FALSE)&gt;=5,"Good","Bad"),VLOOKUP(DATE($K$1,$K$2,NVN$4),Table1[],(MATCH(Calendar!$A18,DB!$1:$1,0)),FALSE)),"")</f>
        <v/>
      </c>
      <c r="NVO18" s="28" t="str">
        <f>IFERROR(IF(NVX3="No",IF(VLOOKUP(DATE($K$1,$K$2,NVO$4),Table1[],(MATCH(Calendar!$A18,DB!$1:$1,0)),FALSE)&gt;=5,"Good","Bad"),VLOOKUP(DATE($K$1,$K$2,NVO$4),Table1[],(MATCH(Calendar!$A18,DB!$1:$1,0)),FALSE)),"")</f>
        <v/>
      </c>
      <c r="NVP18" s="28" t="str">
        <f>IFERROR(IF(NVY3="No",IF(VLOOKUP(DATE($K$1,$K$2,NVP$4),Table1[],(MATCH(Calendar!$A18,DB!$1:$1,0)),FALSE)&gt;=5,"Good","Bad"),VLOOKUP(DATE($K$1,$K$2,NVP$4),Table1[],(MATCH(Calendar!$A18,DB!$1:$1,0)),FALSE)),"")</f>
        <v/>
      </c>
      <c r="NVQ18" s="28" t="str">
        <f>IFERROR(IF(NVZ3="No",IF(VLOOKUP(DATE($K$1,$K$2,NVQ$4),Table1[],(MATCH(Calendar!$A18,DB!$1:$1,0)),FALSE)&gt;=5,"Good","Bad"),VLOOKUP(DATE($K$1,$K$2,NVQ$4),Table1[],(MATCH(Calendar!$A18,DB!$1:$1,0)),FALSE)),"")</f>
        <v/>
      </c>
      <c r="NVR18" s="28" t="str">
        <f>IFERROR(IF(NWA3="No",IF(VLOOKUP(DATE($K$1,$K$2,NVR$4),Table1[],(MATCH(Calendar!$A18,DB!$1:$1,0)),FALSE)&gt;=5,"Good","Bad"),VLOOKUP(DATE($K$1,$K$2,NVR$4),Table1[],(MATCH(Calendar!$A18,DB!$1:$1,0)),FALSE)),"")</f>
        <v/>
      </c>
      <c r="NVS18" s="28" t="str">
        <f>IFERROR(IF(NWB3="No",IF(VLOOKUP(DATE($K$1,$K$2,NVS$4),Table1[],(MATCH(Calendar!$A18,DB!$1:$1,0)),FALSE)&gt;=5,"Good","Bad"),VLOOKUP(DATE($K$1,$K$2,NVS$4),Table1[],(MATCH(Calendar!$A18,DB!$1:$1,0)),FALSE)),"")</f>
        <v/>
      </c>
      <c r="NVT18" s="28" t="str">
        <f>IFERROR(IF(NWC3="No",IF(VLOOKUP(DATE($K$1,$K$2,NVT$4),Table1[],(MATCH(Calendar!$A18,DB!$1:$1,0)),FALSE)&gt;=5,"Good","Bad"),VLOOKUP(DATE($K$1,$K$2,NVT$4),Table1[],(MATCH(Calendar!$A18,DB!$1:$1,0)),FALSE)),"")</f>
        <v/>
      </c>
      <c r="NVU18" s="28" t="str">
        <f>IFERROR(IF(NWD3="No",IF(VLOOKUP(DATE($K$1,$K$2,NVU$4),Table1[],(MATCH(Calendar!$A18,DB!$1:$1,0)),FALSE)&gt;=5,"Good","Bad"),VLOOKUP(DATE($K$1,$K$2,NVU$4),Table1[],(MATCH(Calendar!$A18,DB!$1:$1,0)),FALSE)),"")</f>
        <v/>
      </c>
      <c r="NVV18" s="28" t="str">
        <f>IFERROR(IF(NWE3="No",IF(VLOOKUP(DATE($K$1,$K$2,NVV$4),Table1[],(MATCH(Calendar!$A18,DB!$1:$1,0)),FALSE)&gt;=5,"Good","Bad"),VLOOKUP(DATE($K$1,$K$2,NVV$4),Table1[],(MATCH(Calendar!$A18,DB!$1:$1,0)),FALSE)),"")</f>
        <v/>
      </c>
      <c r="NVW18" s="28" t="str">
        <f>IFERROR(IF(NWF3="No",IF(VLOOKUP(DATE($K$1,$K$2,NVW$4),Table1[],(MATCH(Calendar!$A18,DB!$1:$1,0)),FALSE)&gt;=5,"Good","Bad"),VLOOKUP(DATE($K$1,$K$2,NVW$4),Table1[],(MATCH(Calendar!$A18,DB!$1:$1,0)),FALSE)),"")</f>
        <v/>
      </c>
      <c r="NVX18" s="28" t="str">
        <f>IFERROR(IF(NWG3="No",IF(VLOOKUP(DATE($K$1,$K$2,NVX$4),Table1[],(MATCH(Calendar!$A18,DB!$1:$1,0)),FALSE)&gt;=5,"Good","Bad"),VLOOKUP(DATE($K$1,$K$2,NVX$4),Table1[],(MATCH(Calendar!$A18,DB!$1:$1,0)),FALSE)),"")</f>
        <v/>
      </c>
      <c r="NVY18" s="28" t="str">
        <f>IFERROR(IF(NWH3="No",IF(VLOOKUP(DATE($K$1,$K$2,NVY$4),Table1[],(MATCH(Calendar!$A18,DB!$1:$1,0)),FALSE)&gt;=5,"Good","Bad"),VLOOKUP(DATE($K$1,$K$2,NVY$4),Table1[],(MATCH(Calendar!$A18,DB!$1:$1,0)),FALSE)),"")</f>
        <v/>
      </c>
      <c r="NVZ18" s="28" t="str">
        <f>IFERROR(IF(NWI3="No",IF(VLOOKUP(DATE($K$1,$K$2,NVZ$4),Table1[],(MATCH(Calendar!$A18,DB!$1:$1,0)),FALSE)&gt;=5,"Good","Bad"),VLOOKUP(DATE($K$1,$K$2,NVZ$4),Table1[],(MATCH(Calendar!$A18,DB!$1:$1,0)),FALSE)),"")</f>
        <v/>
      </c>
      <c r="NWA18" s="28" t="str">
        <f>IFERROR(IF(NWJ3="No",IF(VLOOKUP(DATE($K$1,$K$2,NWA$4),Table1[],(MATCH(Calendar!$A18,DB!$1:$1,0)),FALSE)&gt;=5,"Good","Bad"),VLOOKUP(DATE($K$1,$K$2,NWA$4),Table1[],(MATCH(Calendar!$A18,DB!$1:$1,0)),FALSE)),"")</f>
        <v/>
      </c>
      <c r="NWB18" s="28" t="str">
        <f>IFERROR(IF(NWK3="No",IF(VLOOKUP(DATE($K$1,$K$2,NWB$4),Table1[],(MATCH(Calendar!$A18,DB!$1:$1,0)),FALSE)&gt;=5,"Good","Bad"),VLOOKUP(DATE($K$1,$K$2,NWB$4),Table1[],(MATCH(Calendar!$A18,DB!$1:$1,0)),FALSE)),"")</f>
        <v/>
      </c>
      <c r="NWC18" s="28" t="str">
        <f>IFERROR(IF(NWL3="No",IF(VLOOKUP(DATE($K$1,$K$2,NWC$4),Table1[],(MATCH(Calendar!$A18,DB!$1:$1,0)),FALSE)&gt;=5,"Good","Bad"),VLOOKUP(DATE($K$1,$K$2,NWC$4),Table1[],(MATCH(Calendar!$A18,DB!$1:$1,0)),FALSE)),"")</f>
        <v/>
      </c>
      <c r="NWD18" s="28" t="str">
        <f>IFERROR(IF(NWM3="No",IF(VLOOKUP(DATE($K$1,$K$2,NWD$4),Table1[],(MATCH(Calendar!$A18,DB!$1:$1,0)),FALSE)&gt;=5,"Good","Bad"),VLOOKUP(DATE($K$1,$K$2,NWD$4),Table1[],(MATCH(Calendar!$A18,DB!$1:$1,0)),FALSE)),"")</f>
        <v/>
      </c>
      <c r="NWE18" s="28" t="str">
        <f>IFERROR(IF(NWN3="No",IF(VLOOKUP(DATE($K$1,$K$2,NWE$4),Table1[],(MATCH(Calendar!$A18,DB!$1:$1,0)),FALSE)&gt;=5,"Good","Bad"),VLOOKUP(DATE($K$1,$K$2,NWE$4),Table1[],(MATCH(Calendar!$A18,DB!$1:$1,0)),FALSE)),"")</f>
        <v/>
      </c>
      <c r="NWF18" s="28" t="str">
        <f>IFERROR(IF(NWO3="No",IF(VLOOKUP(DATE($K$1,$K$2,NWF$4),Table1[],(MATCH(Calendar!$A18,DB!$1:$1,0)),FALSE)&gt;=5,"Good","Bad"),VLOOKUP(DATE($K$1,$K$2,NWF$4),Table1[],(MATCH(Calendar!$A18,DB!$1:$1,0)),FALSE)),"")</f>
        <v/>
      </c>
      <c r="NWG18" s="28" t="str">
        <f>IFERROR(IF(NWP3="No",IF(VLOOKUP(DATE($K$1,$K$2,NWG$4),Table1[],(MATCH(Calendar!$A18,DB!$1:$1,0)),FALSE)&gt;=5,"Good","Bad"),VLOOKUP(DATE($K$1,$K$2,NWG$4),Table1[],(MATCH(Calendar!$A18,DB!$1:$1,0)),FALSE)),"")</f>
        <v/>
      </c>
      <c r="NWH18" s="28" t="str">
        <f>IFERROR(IF(NWQ3="No",IF(VLOOKUP(DATE($K$1,$K$2,NWH$4),Table1[],(MATCH(Calendar!$A18,DB!$1:$1,0)),FALSE)&gt;=5,"Good","Bad"),VLOOKUP(DATE($K$1,$K$2,NWH$4),Table1[],(MATCH(Calendar!$A18,DB!$1:$1,0)),FALSE)),"")</f>
        <v/>
      </c>
      <c r="NWI18" s="28" t="str">
        <f>IFERROR(IF(NWR3="No",IF(VLOOKUP(DATE($K$1,$K$2,NWI$4),Table1[],(MATCH(Calendar!$A18,DB!$1:$1,0)),FALSE)&gt;=5,"Good","Bad"),VLOOKUP(DATE($K$1,$K$2,NWI$4),Table1[],(MATCH(Calendar!$A18,DB!$1:$1,0)),FALSE)),"")</f>
        <v/>
      </c>
      <c r="NWJ18" s="28" t="str">
        <f>IFERROR(IF(NWS3="No",IF(VLOOKUP(DATE($K$1,$K$2,NWJ$4),Table1[],(MATCH(Calendar!$A18,DB!$1:$1,0)),FALSE)&gt;=5,"Good","Bad"),VLOOKUP(DATE($K$1,$K$2,NWJ$4),Table1[],(MATCH(Calendar!$A18,DB!$1:$1,0)),FALSE)),"")</f>
        <v/>
      </c>
      <c r="NWK18" s="28" t="str">
        <f>IFERROR(IF(NWT3="No",IF(VLOOKUP(DATE($K$1,$K$2,NWK$4),Table1[],(MATCH(Calendar!$A18,DB!$1:$1,0)),FALSE)&gt;=5,"Good","Bad"),VLOOKUP(DATE($K$1,$K$2,NWK$4),Table1[],(MATCH(Calendar!$A18,DB!$1:$1,0)),FALSE)),"")</f>
        <v/>
      </c>
      <c r="NWL18" s="28" t="str">
        <f>IFERROR(IF(NWU3="No",IF(VLOOKUP(DATE($K$1,$K$2,NWL$4),Table1[],(MATCH(Calendar!$A18,DB!$1:$1,0)),FALSE)&gt;=5,"Good","Bad"),VLOOKUP(DATE($K$1,$K$2,NWL$4),Table1[],(MATCH(Calendar!$A18,DB!$1:$1,0)),FALSE)),"")</f>
        <v/>
      </c>
      <c r="NWM18" s="28" t="str">
        <f>IFERROR(IF(NWV3="No",IF(VLOOKUP(DATE($K$1,$K$2,NWM$4),Table1[],(MATCH(Calendar!$A18,DB!$1:$1,0)),FALSE)&gt;=5,"Good","Bad"),VLOOKUP(DATE($K$1,$K$2,NWM$4),Table1[],(MATCH(Calendar!$A18,DB!$1:$1,0)),FALSE)),"")</f>
        <v/>
      </c>
      <c r="NWN18" s="28" t="str">
        <f>IFERROR(IF(NWW3="No",IF(VLOOKUP(DATE($K$1,$K$2,NWN$4),Table1[],(MATCH(Calendar!$A18,DB!$1:$1,0)),FALSE)&gt;=5,"Good","Bad"),VLOOKUP(DATE($K$1,$K$2,NWN$4),Table1[],(MATCH(Calendar!$A18,DB!$1:$1,0)),FALSE)),"")</f>
        <v/>
      </c>
      <c r="NWO18" s="28" t="str">
        <f>IFERROR(IF(NWX3="No",IF(VLOOKUP(DATE($K$1,$K$2,NWO$4),Table1[],(MATCH(Calendar!$A18,DB!$1:$1,0)),FALSE)&gt;=5,"Good","Bad"),VLOOKUP(DATE($K$1,$K$2,NWO$4),Table1[],(MATCH(Calendar!$A18,DB!$1:$1,0)),FALSE)),"")</f>
        <v/>
      </c>
      <c r="NWP18" s="28" t="str">
        <f>IFERROR(IF(NWY3="No",IF(VLOOKUP(DATE($K$1,$K$2,NWP$4),Table1[],(MATCH(Calendar!$A18,DB!$1:$1,0)),FALSE)&gt;=5,"Good","Bad"),VLOOKUP(DATE($K$1,$K$2,NWP$4),Table1[],(MATCH(Calendar!$A18,DB!$1:$1,0)),FALSE)),"")</f>
        <v/>
      </c>
      <c r="NWQ18" s="28" t="str">
        <f>IFERROR(IF(NWZ3="No",IF(VLOOKUP(DATE($K$1,$K$2,NWQ$4),Table1[],(MATCH(Calendar!$A18,DB!$1:$1,0)),FALSE)&gt;=5,"Good","Bad"),VLOOKUP(DATE($K$1,$K$2,NWQ$4),Table1[],(MATCH(Calendar!$A18,DB!$1:$1,0)),FALSE)),"")</f>
        <v/>
      </c>
      <c r="NWR18" s="28" t="str">
        <f>IFERROR(IF(NXA3="No",IF(VLOOKUP(DATE($K$1,$K$2,NWR$4),Table1[],(MATCH(Calendar!$A18,DB!$1:$1,0)),FALSE)&gt;=5,"Good","Bad"),VLOOKUP(DATE($K$1,$K$2,NWR$4),Table1[],(MATCH(Calendar!$A18,DB!$1:$1,0)),FALSE)),"")</f>
        <v/>
      </c>
      <c r="NWS18" s="28" t="str">
        <f>IFERROR(IF(NXB3="No",IF(VLOOKUP(DATE($K$1,$K$2,NWS$4),Table1[],(MATCH(Calendar!$A18,DB!$1:$1,0)),FALSE)&gt;=5,"Good","Bad"),VLOOKUP(DATE($K$1,$K$2,NWS$4),Table1[],(MATCH(Calendar!$A18,DB!$1:$1,0)),FALSE)),"")</f>
        <v/>
      </c>
      <c r="NWT18" s="28" t="str">
        <f>IFERROR(IF(NXC3="No",IF(VLOOKUP(DATE($K$1,$K$2,NWT$4),Table1[],(MATCH(Calendar!$A18,DB!$1:$1,0)),FALSE)&gt;=5,"Good","Bad"),VLOOKUP(DATE($K$1,$K$2,NWT$4),Table1[],(MATCH(Calendar!$A18,DB!$1:$1,0)),FALSE)),"")</f>
        <v/>
      </c>
      <c r="NWU18" s="28" t="str">
        <f>IFERROR(IF(NXD3="No",IF(VLOOKUP(DATE($K$1,$K$2,NWU$4),Table1[],(MATCH(Calendar!$A18,DB!$1:$1,0)),FALSE)&gt;=5,"Good","Bad"),VLOOKUP(DATE($K$1,$K$2,NWU$4),Table1[],(MATCH(Calendar!$A18,DB!$1:$1,0)),FALSE)),"")</f>
        <v/>
      </c>
      <c r="NWV18" s="28" t="str">
        <f>IFERROR(IF(NXE3="No",IF(VLOOKUP(DATE($K$1,$K$2,NWV$4),Table1[],(MATCH(Calendar!$A18,DB!$1:$1,0)),FALSE)&gt;=5,"Good","Bad"),VLOOKUP(DATE($K$1,$K$2,NWV$4),Table1[],(MATCH(Calendar!$A18,DB!$1:$1,0)),FALSE)),"")</f>
        <v/>
      </c>
      <c r="NWW18" s="28" t="str">
        <f>IFERROR(IF(NXF3="No",IF(VLOOKUP(DATE($K$1,$K$2,NWW$4),Table1[],(MATCH(Calendar!$A18,DB!$1:$1,0)),FALSE)&gt;=5,"Good","Bad"),VLOOKUP(DATE($K$1,$K$2,NWW$4),Table1[],(MATCH(Calendar!$A18,DB!$1:$1,0)),FALSE)),"")</f>
        <v/>
      </c>
      <c r="NWX18" s="28" t="str">
        <f>IFERROR(IF(NXG3="No",IF(VLOOKUP(DATE($K$1,$K$2,NWX$4),Table1[],(MATCH(Calendar!$A18,DB!$1:$1,0)),FALSE)&gt;=5,"Good","Bad"),VLOOKUP(DATE($K$1,$K$2,NWX$4),Table1[],(MATCH(Calendar!$A18,DB!$1:$1,0)),FALSE)),"")</f>
        <v/>
      </c>
      <c r="NWY18" s="28" t="str">
        <f>IFERROR(IF(NXH3="No",IF(VLOOKUP(DATE($K$1,$K$2,NWY$4),Table1[],(MATCH(Calendar!$A18,DB!$1:$1,0)),FALSE)&gt;=5,"Good","Bad"),VLOOKUP(DATE($K$1,$K$2,NWY$4),Table1[],(MATCH(Calendar!$A18,DB!$1:$1,0)),FALSE)),"")</f>
        <v/>
      </c>
      <c r="NWZ18" s="28" t="str">
        <f>IFERROR(IF(NXI3="No",IF(VLOOKUP(DATE($K$1,$K$2,NWZ$4),Table1[],(MATCH(Calendar!$A18,DB!$1:$1,0)),FALSE)&gt;=5,"Good","Bad"),VLOOKUP(DATE($K$1,$K$2,NWZ$4),Table1[],(MATCH(Calendar!$A18,DB!$1:$1,0)),FALSE)),"")</f>
        <v/>
      </c>
      <c r="NXA18" s="28" t="str">
        <f>IFERROR(IF(NXJ3="No",IF(VLOOKUP(DATE($K$1,$K$2,NXA$4),Table1[],(MATCH(Calendar!$A18,DB!$1:$1,0)),FALSE)&gt;=5,"Good","Bad"),VLOOKUP(DATE($K$1,$K$2,NXA$4),Table1[],(MATCH(Calendar!$A18,DB!$1:$1,0)),FALSE)),"")</f>
        <v/>
      </c>
      <c r="NXB18" s="28" t="str">
        <f>IFERROR(IF(NXK3="No",IF(VLOOKUP(DATE($K$1,$K$2,NXB$4),Table1[],(MATCH(Calendar!$A18,DB!$1:$1,0)),FALSE)&gt;=5,"Good","Bad"),VLOOKUP(DATE($K$1,$K$2,NXB$4),Table1[],(MATCH(Calendar!$A18,DB!$1:$1,0)),FALSE)),"")</f>
        <v/>
      </c>
      <c r="NXC18" s="28" t="str">
        <f>IFERROR(IF(NXL3="No",IF(VLOOKUP(DATE($K$1,$K$2,NXC$4),Table1[],(MATCH(Calendar!$A18,DB!$1:$1,0)),FALSE)&gt;=5,"Good","Bad"),VLOOKUP(DATE($K$1,$K$2,NXC$4),Table1[],(MATCH(Calendar!$A18,DB!$1:$1,0)),FALSE)),"")</f>
        <v/>
      </c>
      <c r="NXD18" s="28" t="str">
        <f>IFERROR(IF(NXM3="No",IF(VLOOKUP(DATE($K$1,$K$2,NXD$4),Table1[],(MATCH(Calendar!$A18,DB!$1:$1,0)),FALSE)&gt;=5,"Good","Bad"),VLOOKUP(DATE($K$1,$K$2,NXD$4),Table1[],(MATCH(Calendar!$A18,DB!$1:$1,0)),FALSE)),"")</f>
        <v/>
      </c>
      <c r="NXE18" s="28" t="str">
        <f>IFERROR(IF(NXN3="No",IF(VLOOKUP(DATE($K$1,$K$2,NXE$4),Table1[],(MATCH(Calendar!$A18,DB!$1:$1,0)),FALSE)&gt;=5,"Good","Bad"),VLOOKUP(DATE($K$1,$K$2,NXE$4),Table1[],(MATCH(Calendar!$A18,DB!$1:$1,0)),FALSE)),"")</f>
        <v/>
      </c>
      <c r="NXF18" s="28" t="str">
        <f>IFERROR(IF(NXO3="No",IF(VLOOKUP(DATE($K$1,$K$2,NXF$4),Table1[],(MATCH(Calendar!$A18,DB!$1:$1,0)),FALSE)&gt;=5,"Good","Bad"),VLOOKUP(DATE($K$1,$K$2,NXF$4),Table1[],(MATCH(Calendar!$A18,DB!$1:$1,0)),FALSE)),"")</f>
        <v/>
      </c>
      <c r="NXG18" s="28" t="str">
        <f>IFERROR(IF(NXP3="No",IF(VLOOKUP(DATE($K$1,$K$2,NXG$4),Table1[],(MATCH(Calendar!$A18,DB!$1:$1,0)),FALSE)&gt;=5,"Good","Bad"),VLOOKUP(DATE($K$1,$K$2,NXG$4),Table1[],(MATCH(Calendar!$A18,DB!$1:$1,0)),FALSE)),"")</f>
        <v/>
      </c>
      <c r="NXH18" s="28" t="str">
        <f>IFERROR(IF(NXQ3="No",IF(VLOOKUP(DATE($K$1,$K$2,NXH$4),Table1[],(MATCH(Calendar!$A18,DB!$1:$1,0)),FALSE)&gt;=5,"Good","Bad"),VLOOKUP(DATE($K$1,$K$2,NXH$4),Table1[],(MATCH(Calendar!$A18,DB!$1:$1,0)),FALSE)),"")</f>
        <v/>
      </c>
      <c r="NXI18" s="28" t="str">
        <f>IFERROR(IF(NXR3="No",IF(VLOOKUP(DATE($K$1,$K$2,NXI$4),Table1[],(MATCH(Calendar!$A18,DB!$1:$1,0)),FALSE)&gt;=5,"Good","Bad"),VLOOKUP(DATE($K$1,$K$2,NXI$4),Table1[],(MATCH(Calendar!$A18,DB!$1:$1,0)),FALSE)),"")</f>
        <v/>
      </c>
      <c r="NXJ18" s="28" t="str">
        <f>IFERROR(IF(NXS3="No",IF(VLOOKUP(DATE($K$1,$K$2,NXJ$4),Table1[],(MATCH(Calendar!$A18,DB!$1:$1,0)),FALSE)&gt;=5,"Good","Bad"),VLOOKUP(DATE($K$1,$K$2,NXJ$4),Table1[],(MATCH(Calendar!$A18,DB!$1:$1,0)),FALSE)),"")</f>
        <v/>
      </c>
      <c r="NXK18" s="28" t="str">
        <f>IFERROR(IF(NXT3="No",IF(VLOOKUP(DATE($K$1,$K$2,NXK$4),Table1[],(MATCH(Calendar!$A18,DB!$1:$1,0)),FALSE)&gt;=5,"Good","Bad"),VLOOKUP(DATE($K$1,$K$2,NXK$4),Table1[],(MATCH(Calendar!$A18,DB!$1:$1,0)),FALSE)),"")</f>
        <v/>
      </c>
      <c r="NXL18" s="28" t="str">
        <f>IFERROR(IF(NXU3="No",IF(VLOOKUP(DATE($K$1,$K$2,NXL$4),Table1[],(MATCH(Calendar!$A18,DB!$1:$1,0)),FALSE)&gt;=5,"Good","Bad"),VLOOKUP(DATE($K$1,$K$2,NXL$4),Table1[],(MATCH(Calendar!$A18,DB!$1:$1,0)),FALSE)),"")</f>
        <v/>
      </c>
      <c r="NXM18" s="28" t="str">
        <f>IFERROR(IF(NXV3="No",IF(VLOOKUP(DATE($K$1,$K$2,NXM$4),Table1[],(MATCH(Calendar!$A18,DB!$1:$1,0)),FALSE)&gt;=5,"Good","Bad"),VLOOKUP(DATE($K$1,$K$2,NXM$4),Table1[],(MATCH(Calendar!$A18,DB!$1:$1,0)),FALSE)),"")</f>
        <v/>
      </c>
      <c r="NXN18" s="28" t="str">
        <f>IFERROR(IF(NXW3="No",IF(VLOOKUP(DATE($K$1,$K$2,NXN$4),Table1[],(MATCH(Calendar!$A18,DB!$1:$1,0)),FALSE)&gt;=5,"Good","Bad"),VLOOKUP(DATE($K$1,$K$2,NXN$4),Table1[],(MATCH(Calendar!$A18,DB!$1:$1,0)),FALSE)),"")</f>
        <v/>
      </c>
      <c r="NXO18" s="28" t="str">
        <f>IFERROR(IF(NXX3="No",IF(VLOOKUP(DATE($K$1,$K$2,NXO$4),Table1[],(MATCH(Calendar!$A18,DB!$1:$1,0)),FALSE)&gt;=5,"Good","Bad"),VLOOKUP(DATE($K$1,$K$2,NXO$4),Table1[],(MATCH(Calendar!$A18,DB!$1:$1,0)),FALSE)),"")</f>
        <v/>
      </c>
      <c r="NXP18" s="28" t="str">
        <f>IFERROR(IF(NXY3="No",IF(VLOOKUP(DATE($K$1,$K$2,NXP$4),Table1[],(MATCH(Calendar!$A18,DB!$1:$1,0)),FALSE)&gt;=5,"Good","Bad"),VLOOKUP(DATE($K$1,$K$2,NXP$4),Table1[],(MATCH(Calendar!$A18,DB!$1:$1,0)),FALSE)),"")</f>
        <v/>
      </c>
      <c r="NXQ18" s="28" t="str">
        <f>IFERROR(IF(NXZ3="No",IF(VLOOKUP(DATE($K$1,$K$2,NXQ$4),Table1[],(MATCH(Calendar!$A18,DB!$1:$1,0)),FALSE)&gt;=5,"Good","Bad"),VLOOKUP(DATE($K$1,$K$2,NXQ$4),Table1[],(MATCH(Calendar!$A18,DB!$1:$1,0)),FALSE)),"")</f>
        <v/>
      </c>
      <c r="NXR18" s="28" t="str">
        <f>IFERROR(IF(NYA3="No",IF(VLOOKUP(DATE($K$1,$K$2,NXR$4),Table1[],(MATCH(Calendar!$A18,DB!$1:$1,0)),FALSE)&gt;=5,"Good","Bad"),VLOOKUP(DATE($K$1,$K$2,NXR$4),Table1[],(MATCH(Calendar!$A18,DB!$1:$1,0)),FALSE)),"")</f>
        <v/>
      </c>
      <c r="NXS18" s="28" t="str">
        <f>IFERROR(IF(NYB3="No",IF(VLOOKUP(DATE($K$1,$K$2,NXS$4),Table1[],(MATCH(Calendar!$A18,DB!$1:$1,0)),FALSE)&gt;=5,"Good","Bad"),VLOOKUP(DATE($K$1,$K$2,NXS$4),Table1[],(MATCH(Calendar!$A18,DB!$1:$1,0)),FALSE)),"")</f>
        <v/>
      </c>
      <c r="NXT18" s="28" t="str">
        <f>IFERROR(IF(NYC3="No",IF(VLOOKUP(DATE($K$1,$K$2,NXT$4),Table1[],(MATCH(Calendar!$A18,DB!$1:$1,0)),FALSE)&gt;=5,"Good","Bad"),VLOOKUP(DATE($K$1,$K$2,NXT$4),Table1[],(MATCH(Calendar!$A18,DB!$1:$1,0)),FALSE)),"")</f>
        <v/>
      </c>
      <c r="NXU18" s="28" t="str">
        <f>IFERROR(IF(NYD3="No",IF(VLOOKUP(DATE($K$1,$K$2,NXU$4),Table1[],(MATCH(Calendar!$A18,DB!$1:$1,0)),FALSE)&gt;=5,"Good","Bad"),VLOOKUP(DATE($K$1,$K$2,NXU$4),Table1[],(MATCH(Calendar!$A18,DB!$1:$1,0)),FALSE)),"")</f>
        <v/>
      </c>
      <c r="NXV18" s="28" t="str">
        <f>IFERROR(IF(NYE3="No",IF(VLOOKUP(DATE($K$1,$K$2,NXV$4),Table1[],(MATCH(Calendar!$A18,DB!$1:$1,0)),FALSE)&gt;=5,"Good","Bad"),VLOOKUP(DATE($K$1,$K$2,NXV$4),Table1[],(MATCH(Calendar!$A18,DB!$1:$1,0)),FALSE)),"")</f>
        <v/>
      </c>
      <c r="NXW18" s="28" t="str">
        <f>IFERROR(IF(NYF3="No",IF(VLOOKUP(DATE($K$1,$K$2,NXW$4),Table1[],(MATCH(Calendar!$A18,DB!$1:$1,0)),FALSE)&gt;=5,"Good","Bad"),VLOOKUP(DATE($K$1,$K$2,NXW$4),Table1[],(MATCH(Calendar!$A18,DB!$1:$1,0)),FALSE)),"")</f>
        <v/>
      </c>
      <c r="NXX18" s="28" t="str">
        <f>IFERROR(IF(NYG3="No",IF(VLOOKUP(DATE($K$1,$K$2,NXX$4),Table1[],(MATCH(Calendar!$A18,DB!$1:$1,0)),FALSE)&gt;=5,"Good","Bad"),VLOOKUP(DATE($K$1,$K$2,NXX$4),Table1[],(MATCH(Calendar!$A18,DB!$1:$1,0)),FALSE)),"")</f>
        <v/>
      </c>
      <c r="NXY18" s="28" t="str">
        <f>IFERROR(IF(NYH3="No",IF(VLOOKUP(DATE($K$1,$K$2,NXY$4),Table1[],(MATCH(Calendar!$A18,DB!$1:$1,0)),FALSE)&gt;=5,"Good","Bad"),VLOOKUP(DATE($K$1,$K$2,NXY$4),Table1[],(MATCH(Calendar!$A18,DB!$1:$1,0)),FALSE)),"")</f>
        <v/>
      </c>
      <c r="NXZ18" s="28" t="str">
        <f>IFERROR(IF(NYI3="No",IF(VLOOKUP(DATE($K$1,$K$2,NXZ$4),Table1[],(MATCH(Calendar!$A18,DB!$1:$1,0)),FALSE)&gt;=5,"Good","Bad"),VLOOKUP(DATE($K$1,$K$2,NXZ$4),Table1[],(MATCH(Calendar!$A18,DB!$1:$1,0)),FALSE)),"")</f>
        <v/>
      </c>
      <c r="NYA18" s="28" t="str">
        <f>IFERROR(IF(NYJ3="No",IF(VLOOKUP(DATE($K$1,$K$2,NYA$4),Table1[],(MATCH(Calendar!$A18,DB!$1:$1,0)),FALSE)&gt;=5,"Good","Bad"),VLOOKUP(DATE($K$1,$K$2,NYA$4),Table1[],(MATCH(Calendar!$A18,DB!$1:$1,0)),FALSE)),"")</f>
        <v/>
      </c>
      <c r="NYB18" s="28" t="str">
        <f>IFERROR(IF(NYK3="No",IF(VLOOKUP(DATE($K$1,$K$2,NYB$4),Table1[],(MATCH(Calendar!$A18,DB!$1:$1,0)),FALSE)&gt;=5,"Good","Bad"),VLOOKUP(DATE($K$1,$K$2,NYB$4),Table1[],(MATCH(Calendar!$A18,DB!$1:$1,0)),FALSE)),"")</f>
        <v/>
      </c>
      <c r="NYC18" s="28" t="str">
        <f>IFERROR(IF(NYL3="No",IF(VLOOKUP(DATE($K$1,$K$2,NYC$4),Table1[],(MATCH(Calendar!$A18,DB!$1:$1,0)),FALSE)&gt;=5,"Good","Bad"),VLOOKUP(DATE($K$1,$K$2,NYC$4),Table1[],(MATCH(Calendar!$A18,DB!$1:$1,0)),FALSE)),"")</f>
        <v/>
      </c>
      <c r="NYD18" s="28" t="str">
        <f>IFERROR(IF(NYM3="No",IF(VLOOKUP(DATE($K$1,$K$2,NYD$4),Table1[],(MATCH(Calendar!$A18,DB!$1:$1,0)),FALSE)&gt;=5,"Good","Bad"),VLOOKUP(DATE($K$1,$K$2,NYD$4),Table1[],(MATCH(Calendar!$A18,DB!$1:$1,0)),FALSE)),"")</f>
        <v/>
      </c>
      <c r="NYE18" s="28" t="str">
        <f>IFERROR(IF(NYN3="No",IF(VLOOKUP(DATE($K$1,$K$2,NYE$4),Table1[],(MATCH(Calendar!$A18,DB!$1:$1,0)),FALSE)&gt;=5,"Good","Bad"),VLOOKUP(DATE($K$1,$K$2,NYE$4),Table1[],(MATCH(Calendar!$A18,DB!$1:$1,0)),FALSE)),"")</f>
        <v/>
      </c>
      <c r="NYF18" s="28" t="str">
        <f>IFERROR(IF(NYO3="No",IF(VLOOKUP(DATE($K$1,$K$2,NYF$4),Table1[],(MATCH(Calendar!$A18,DB!$1:$1,0)),FALSE)&gt;=5,"Good","Bad"),VLOOKUP(DATE($K$1,$K$2,NYF$4),Table1[],(MATCH(Calendar!$A18,DB!$1:$1,0)),FALSE)),"")</f>
        <v/>
      </c>
      <c r="NYG18" s="28" t="str">
        <f>IFERROR(IF(NYP3="No",IF(VLOOKUP(DATE($K$1,$K$2,NYG$4),Table1[],(MATCH(Calendar!$A18,DB!$1:$1,0)),FALSE)&gt;=5,"Good","Bad"),VLOOKUP(DATE($K$1,$K$2,NYG$4),Table1[],(MATCH(Calendar!$A18,DB!$1:$1,0)),FALSE)),"")</f>
        <v/>
      </c>
      <c r="NYH18" s="28" t="str">
        <f>IFERROR(IF(NYQ3="No",IF(VLOOKUP(DATE($K$1,$K$2,NYH$4),Table1[],(MATCH(Calendar!$A18,DB!$1:$1,0)),FALSE)&gt;=5,"Good","Bad"),VLOOKUP(DATE($K$1,$K$2,NYH$4),Table1[],(MATCH(Calendar!$A18,DB!$1:$1,0)),FALSE)),"")</f>
        <v/>
      </c>
      <c r="NYI18" s="28" t="str">
        <f>IFERROR(IF(NYR3="No",IF(VLOOKUP(DATE($K$1,$K$2,NYI$4),Table1[],(MATCH(Calendar!$A18,DB!$1:$1,0)),FALSE)&gt;=5,"Good","Bad"),VLOOKUP(DATE($K$1,$K$2,NYI$4),Table1[],(MATCH(Calendar!$A18,DB!$1:$1,0)),FALSE)),"")</f>
        <v/>
      </c>
      <c r="NYJ18" s="28" t="str">
        <f>IFERROR(IF(NYS3="No",IF(VLOOKUP(DATE($K$1,$K$2,NYJ$4),Table1[],(MATCH(Calendar!$A18,DB!$1:$1,0)),FALSE)&gt;=5,"Good","Bad"),VLOOKUP(DATE($K$1,$K$2,NYJ$4),Table1[],(MATCH(Calendar!$A18,DB!$1:$1,0)),FALSE)),"")</f>
        <v/>
      </c>
      <c r="NYK18" s="28" t="str">
        <f>IFERROR(IF(NYT3="No",IF(VLOOKUP(DATE($K$1,$K$2,NYK$4),Table1[],(MATCH(Calendar!$A18,DB!$1:$1,0)),FALSE)&gt;=5,"Good","Bad"),VLOOKUP(DATE($K$1,$K$2,NYK$4),Table1[],(MATCH(Calendar!$A18,DB!$1:$1,0)),FALSE)),"")</f>
        <v/>
      </c>
      <c r="NYL18" s="28" t="str">
        <f>IFERROR(IF(NYU3="No",IF(VLOOKUP(DATE($K$1,$K$2,NYL$4),Table1[],(MATCH(Calendar!$A18,DB!$1:$1,0)),FALSE)&gt;=5,"Good","Bad"),VLOOKUP(DATE($K$1,$K$2,NYL$4),Table1[],(MATCH(Calendar!$A18,DB!$1:$1,0)),FALSE)),"")</f>
        <v/>
      </c>
      <c r="NYM18" s="28" t="str">
        <f>IFERROR(IF(NYV3="No",IF(VLOOKUP(DATE($K$1,$K$2,NYM$4),Table1[],(MATCH(Calendar!$A18,DB!$1:$1,0)),FALSE)&gt;=5,"Good","Bad"),VLOOKUP(DATE($K$1,$K$2,NYM$4),Table1[],(MATCH(Calendar!$A18,DB!$1:$1,0)),FALSE)),"")</f>
        <v/>
      </c>
      <c r="NYN18" s="28" t="str">
        <f>IFERROR(IF(NYW3="No",IF(VLOOKUP(DATE($K$1,$K$2,NYN$4),Table1[],(MATCH(Calendar!$A18,DB!$1:$1,0)),FALSE)&gt;=5,"Good","Bad"),VLOOKUP(DATE($K$1,$K$2,NYN$4),Table1[],(MATCH(Calendar!$A18,DB!$1:$1,0)),FALSE)),"")</f>
        <v/>
      </c>
      <c r="NYO18" s="28" t="str">
        <f>IFERROR(IF(NYX3="No",IF(VLOOKUP(DATE($K$1,$K$2,NYO$4),Table1[],(MATCH(Calendar!$A18,DB!$1:$1,0)),FALSE)&gt;=5,"Good","Bad"),VLOOKUP(DATE($K$1,$K$2,NYO$4),Table1[],(MATCH(Calendar!$A18,DB!$1:$1,0)),FALSE)),"")</f>
        <v/>
      </c>
      <c r="NYP18" s="28" t="str">
        <f>IFERROR(IF(NYY3="No",IF(VLOOKUP(DATE($K$1,$K$2,NYP$4),Table1[],(MATCH(Calendar!$A18,DB!$1:$1,0)),FALSE)&gt;=5,"Good","Bad"),VLOOKUP(DATE($K$1,$K$2,NYP$4),Table1[],(MATCH(Calendar!$A18,DB!$1:$1,0)),FALSE)),"")</f>
        <v/>
      </c>
      <c r="NYQ18" s="28" t="str">
        <f>IFERROR(IF(NYZ3="No",IF(VLOOKUP(DATE($K$1,$K$2,NYQ$4),Table1[],(MATCH(Calendar!$A18,DB!$1:$1,0)),FALSE)&gt;=5,"Good","Bad"),VLOOKUP(DATE($K$1,$K$2,NYQ$4),Table1[],(MATCH(Calendar!$A18,DB!$1:$1,0)),FALSE)),"")</f>
        <v/>
      </c>
      <c r="NYR18" s="28" t="str">
        <f>IFERROR(IF(NZA3="No",IF(VLOOKUP(DATE($K$1,$K$2,NYR$4),Table1[],(MATCH(Calendar!$A18,DB!$1:$1,0)),FALSE)&gt;=5,"Good","Bad"),VLOOKUP(DATE($K$1,$K$2,NYR$4),Table1[],(MATCH(Calendar!$A18,DB!$1:$1,0)),FALSE)),"")</f>
        <v/>
      </c>
      <c r="NYS18" s="28" t="str">
        <f>IFERROR(IF(NZB3="No",IF(VLOOKUP(DATE($K$1,$K$2,NYS$4),Table1[],(MATCH(Calendar!$A18,DB!$1:$1,0)),FALSE)&gt;=5,"Good","Bad"),VLOOKUP(DATE($K$1,$K$2,NYS$4),Table1[],(MATCH(Calendar!$A18,DB!$1:$1,0)),FALSE)),"")</f>
        <v/>
      </c>
      <c r="NYT18" s="28" t="str">
        <f>IFERROR(IF(NZC3="No",IF(VLOOKUP(DATE($K$1,$K$2,NYT$4),Table1[],(MATCH(Calendar!$A18,DB!$1:$1,0)),FALSE)&gt;=5,"Good","Bad"),VLOOKUP(DATE($K$1,$K$2,NYT$4),Table1[],(MATCH(Calendar!$A18,DB!$1:$1,0)),FALSE)),"")</f>
        <v/>
      </c>
      <c r="NYU18" s="28" t="str">
        <f>IFERROR(IF(NZD3="No",IF(VLOOKUP(DATE($K$1,$K$2,NYU$4),Table1[],(MATCH(Calendar!$A18,DB!$1:$1,0)),FALSE)&gt;=5,"Good","Bad"),VLOOKUP(DATE($K$1,$K$2,NYU$4),Table1[],(MATCH(Calendar!$A18,DB!$1:$1,0)),FALSE)),"")</f>
        <v/>
      </c>
      <c r="NYV18" s="28" t="str">
        <f>IFERROR(IF(NZE3="No",IF(VLOOKUP(DATE($K$1,$K$2,NYV$4),Table1[],(MATCH(Calendar!$A18,DB!$1:$1,0)),FALSE)&gt;=5,"Good","Bad"),VLOOKUP(DATE($K$1,$K$2,NYV$4),Table1[],(MATCH(Calendar!$A18,DB!$1:$1,0)),FALSE)),"")</f>
        <v/>
      </c>
      <c r="NYW18" s="28" t="str">
        <f>IFERROR(IF(NZF3="No",IF(VLOOKUP(DATE($K$1,$K$2,NYW$4),Table1[],(MATCH(Calendar!$A18,DB!$1:$1,0)),FALSE)&gt;=5,"Good","Bad"),VLOOKUP(DATE($K$1,$K$2,NYW$4),Table1[],(MATCH(Calendar!$A18,DB!$1:$1,0)),FALSE)),"")</f>
        <v/>
      </c>
      <c r="NYX18" s="28" t="str">
        <f>IFERROR(IF(NZG3="No",IF(VLOOKUP(DATE($K$1,$K$2,NYX$4),Table1[],(MATCH(Calendar!$A18,DB!$1:$1,0)),FALSE)&gt;=5,"Good","Bad"),VLOOKUP(DATE($K$1,$K$2,NYX$4),Table1[],(MATCH(Calendar!$A18,DB!$1:$1,0)),FALSE)),"")</f>
        <v/>
      </c>
      <c r="NYY18" s="28" t="str">
        <f>IFERROR(IF(NZH3="No",IF(VLOOKUP(DATE($K$1,$K$2,NYY$4),Table1[],(MATCH(Calendar!$A18,DB!$1:$1,0)),FALSE)&gt;=5,"Good","Bad"),VLOOKUP(DATE($K$1,$K$2,NYY$4),Table1[],(MATCH(Calendar!$A18,DB!$1:$1,0)),FALSE)),"")</f>
        <v/>
      </c>
      <c r="NYZ18" s="28" t="str">
        <f>IFERROR(IF(NZI3="No",IF(VLOOKUP(DATE($K$1,$K$2,NYZ$4),Table1[],(MATCH(Calendar!$A18,DB!$1:$1,0)),FALSE)&gt;=5,"Good","Bad"),VLOOKUP(DATE($K$1,$K$2,NYZ$4),Table1[],(MATCH(Calendar!$A18,DB!$1:$1,0)),FALSE)),"")</f>
        <v/>
      </c>
      <c r="NZA18" s="28" t="str">
        <f>IFERROR(IF(NZJ3="No",IF(VLOOKUP(DATE($K$1,$K$2,NZA$4),Table1[],(MATCH(Calendar!$A18,DB!$1:$1,0)),FALSE)&gt;=5,"Good","Bad"),VLOOKUP(DATE($K$1,$K$2,NZA$4),Table1[],(MATCH(Calendar!$A18,DB!$1:$1,0)),FALSE)),"")</f>
        <v/>
      </c>
      <c r="NZB18" s="28" t="str">
        <f>IFERROR(IF(NZK3="No",IF(VLOOKUP(DATE($K$1,$K$2,NZB$4),Table1[],(MATCH(Calendar!$A18,DB!$1:$1,0)),FALSE)&gt;=5,"Good","Bad"),VLOOKUP(DATE($K$1,$K$2,NZB$4),Table1[],(MATCH(Calendar!$A18,DB!$1:$1,0)),FALSE)),"")</f>
        <v/>
      </c>
      <c r="NZC18" s="28" t="str">
        <f>IFERROR(IF(NZL3="No",IF(VLOOKUP(DATE($K$1,$K$2,NZC$4),Table1[],(MATCH(Calendar!$A18,DB!$1:$1,0)),FALSE)&gt;=5,"Good","Bad"),VLOOKUP(DATE($K$1,$K$2,NZC$4),Table1[],(MATCH(Calendar!$A18,DB!$1:$1,0)),FALSE)),"")</f>
        <v/>
      </c>
      <c r="NZD18" s="28" t="str">
        <f>IFERROR(IF(NZM3="No",IF(VLOOKUP(DATE($K$1,$K$2,NZD$4),Table1[],(MATCH(Calendar!$A18,DB!$1:$1,0)),FALSE)&gt;=5,"Good","Bad"),VLOOKUP(DATE($K$1,$K$2,NZD$4),Table1[],(MATCH(Calendar!$A18,DB!$1:$1,0)),FALSE)),"")</f>
        <v/>
      </c>
      <c r="NZE18" s="28" t="str">
        <f>IFERROR(IF(NZN3="No",IF(VLOOKUP(DATE($K$1,$K$2,NZE$4),Table1[],(MATCH(Calendar!$A18,DB!$1:$1,0)),FALSE)&gt;=5,"Good","Bad"),VLOOKUP(DATE($K$1,$K$2,NZE$4),Table1[],(MATCH(Calendar!$A18,DB!$1:$1,0)),FALSE)),"")</f>
        <v/>
      </c>
      <c r="NZF18" s="28" t="str">
        <f>IFERROR(IF(NZO3="No",IF(VLOOKUP(DATE($K$1,$K$2,NZF$4),Table1[],(MATCH(Calendar!$A18,DB!$1:$1,0)),FALSE)&gt;=5,"Good","Bad"),VLOOKUP(DATE($K$1,$K$2,NZF$4),Table1[],(MATCH(Calendar!$A18,DB!$1:$1,0)),FALSE)),"")</f>
        <v/>
      </c>
      <c r="NZG18" s="28" t="str">
        <f>IFERROR(IF(NZP3="No",IF(VLOOKUP(DATE($K$1,$K$2,NZG$4),Table1[],(MATCH(Calendar!$A18,DB!$1:$1,0)),FALSE)&gt;=5,"Good","Bad"),VLOOKUP(DATE($K$1,$K$2,NZG$4),Table1[],(MATCH(Calendar!$A18,DB!$1:$1,0)),FALSE)),"")</f>
        <v/>
      </c>
      <c r="NZH18" s="28" t="str">
        <f>IFERROR(IF(NZQ3="No",IF(VLOOKUP(DATE($K$1,$K$2,NZH$4),Table1[],(MATCH(Calendar!$A18,DB!$1:$1,0)),FALSE)&gt;=5,"Good","Bad"),VLOOKUP(DATE($K$1,$K$2,NZH$4),Table1[],(MATCH(Calendar!$A18,DB!$1:$1,0)),FALSE)),"")</f>
        <v/>
      </c>
      <c r="NZI18" s="28" t="str">
        <f>IFERROR(IF(NZR3="No",IF(VLOOKUP(DATE($K$1,$K$2,NZI$4),Table1[],(MATCH(Calendar!$A18,DB!$1:$1,0)),FALSE)&gt;=5,"Good","Bad"),VLOOKUP(DATE($K$1,$K$2,NZI$4),Table1[],(MATCH(Calendar!$A18,DB!$1:$1,0)),FALSE)),"")</f>
        <v/>
      </c>
      <c r="NZJ18" s="28" t="str">
        <f>IFERROR(IF(NZS3="No",IF(VLOOKUP(DATE($K$1,$K$2,NZJ$4),Table1[],(MATCH(Calendar!$A18,DB!$1:$1,0)),FALSE)&gt;=5,"Good","Bad"),VLOOKUP(DATE($K$1,$K$2,NZJ$4),Table1[],(MATCH(Calendar!$A18,DB!$1:$1,0)),FALSE)),"")</f>
        <v/>
      </c>
      <c r="NZK18" s="28" t="str">
        <f>IFERROR(IF(NZT3="No",IF(VLOOKUP(DATE($K$1,$K$2,NZK$4),Table1[],(MATCH(Calendar!$A18,DB!$1:$1,0)),FALSE)&gt;=5,"Good","Bad"),VLOOKUP(DATE($K$1,$K$2,NZK$4),Table1[],(MATCH(Calendar!$A18,DB!$1:$1,0)),FALSE)),"")</f>
        <v/>
      </c>
      <c r="NZL18" s="28" t="str">
        <f>IFERROR(IF(NZU3="No",IF(VLOOKUP(DATE($K$1,$K$2,NZL$4),Table1[],(MATCH(Calendar!$A18,DB!$1:$1,0)),FALSE)&gt;=5,"Good","Bad"),VLOOKUP(DATE($K$1,$K$2,NZL$4),Table1[],(MATCH(Calendar!$A18,DB!$1:$1,0)),FALSE)),"")</f>
        <v/>
      </c>
      <c r="NZM18" s="28" t="str">
        <f>IFERROR(IF(NZV3="No",IF(VLOOKUP(DATE($K$1,$K$2,NZM$4),Table1[],(MATCH(Calendar!$A18,DB!$1:$1,0)),FALSE)&gt;=5,"Good","Bad"),VLOOKUP(DATE($K$1,$K$2,NZM$4),Table1[],(MATCH(Calendar!$A18,DB!$1:$1,0)),FALSE)),"")</f>
        <v/>
      </c>
      <c r="NZN18" s="28" t="str">
        <f>IFERROR(IF(NZW3="No",IF(VLOOKUP(DATE($K$1,$K$2,NZN$4),Table1[],(MATCH(Calendar!$A18,DB!$1:$1,0)),FALSE)&gt;=5,"Good","Bad"),VLOOKUP(DATE($K$1,$K$2,NZN$4),Table1[],(MATCH(Calendar!$A18,DB!$1:$1,0)),FALSE)),"")</f>
        <v/>
      </c>
      <c r="NZO18" s="28" t="str">
        <f>IFERROR(IF(NZX3="No",IF(VLOOKUP(DATE($K$1,$K$2,NZO$4),Table1[],(MATCH(Calendar!$A18,DB!$1:$1,0)),FALSE)&gt;=5,"Good","Bad"),VLOOKUP(DATE($K$1,$K$2,NZO$4),Table1[],(MATCH(Calendar!$A18,DB!$1:$1,0)),FALSE)),"")</f>
        <v/>
      </c>
      <c r="NZP18" s="28" t="str">
        <f>IFERROR(IF(NZY3="No",IF(VLOOKUP(DATE($K$1,$K$2,NZP$4),Table1[],(MATCH(Calendar!$A18,DB!$1:$1,0)),FALSE)&gt;=5,"Good","Bad"),VLOOKUP(DATE($K$1,$K$2,NZP$4),Table1[],(MATCH(Calendar!$A18,DB!$1:$1,0)),FALSE)),"")</f>
        <v/>
      </c>
      <c r="NZQ18" s="28" t="str">
        <f>IFERROR(IF(NZZ3="No",IF(VLOOKUP(DATE($K$1,$K$2,NZQ$4),Table1[],(MATCH(Calendar!$A18,DB!$1:$1,0)),FALSE)&gt;=5,"Good","Bad"),VLOOKUP(DATE($K$1,$K$2,NZQ$4),Table1[],(MATCH(Calendar!$A18,DB!$1:$1,0)),FALSE)),"")</f>
        <v/>
      </c>
      <c r="NZR18" s="28" t="str">
        <f>IFERROR(IF(OAA3="No",IF(VLOOKUP(DATE($K$1,$K$2,NZR$4),Table1[],(MATCH(Calendar!$A18,DB!$1:$1,0)),FALSE)&gt;=5,"Good","Bad"),VLOOKUP(DATE($K$1,$K$2,NZR$4),Table1[],(MATCH(Calendar!$A18,DB!$1:$1,0)),FALSE)),"")</f>
        <v/>
      </c>
      <c r="NZS18" s="28" t="str">
        <f>IFERROR(IF(OAB3="No",IF(VLOOKUP(DATE($K$1,$K$2,NZS$4),Table1[],(MATCH(Calendar!$A18,DB!$1:$1,0)),FALSE)&gt;=5,"Good","Bad"),VLOOKUP(DATE($K$1,$K$2,NZS$4),Table1[],(MATCH(Calendar!$A18,DB!$1:$1,0)),FALSE)),"")</f>
        <v/>
      </c>
      <c r="NZT18" s="28" t="str">
        <f>IFERROR(IF(OAC3="No",IF(VLOOKUP(DATE($K$1,$K$2,NZT$4),Table1[],(MATCH(Calendar!$A18,DB!$1:$1,0)),FALSE)&gt;=5,"Good","Bad"),VLOOKUP(DATE($K$1,$K$2,NZT$4),Table1[],(MATCH(Calendar!$A18,DB!$1:$1,0)),FALSE)),"")</f>
        <v/>
      </c>
      <c r="NZU18" s="28" t="str">
        <f>IFERROR(IF(OAD3="No",IF(VLOOKUP(DATE($K$1,$K$2,NZU$4),Table1[],(MATCH(Calendar!$A18,DB!$1:$1,0)),FALSE)&gt;=5,"Good","Bad"),VLOOKUP(DATE($K$1,$K$2,NZU$4),Table1[],(MATCH(Calendar!$A18,DB!$1:$1,0)),FALSE)),"")</f>
        <v/>
      </c>
      <c r="NZV18" s="28" t="str">
        <f>IFERROR(IF(OAE3="No",IF(VLOOKUP(DATE($K$1,$K$2,NZV$4),Table1[],(MATCH(Calendar!$A18,DB!$1:$1,0)),FALSE)&gt;=5,"Good","Bad"),VLOOKUP(DATE($K$1,$K$2,NZV$4),Table1[],(MATCH(Calendar!$A18,DB!$1:$1,0)),FALSE)),"")</f>
        <v/>
      </c>
      <c r="NZW18" s="28" t="str">
        <f>IFERROR(IF(OAF3="No",IF(VLOOKUP(DATE($K$1,$K$2,NZW$4),Table1[],(MATCH(Calendar!$A18,DB!$1:$1,0)),FALSE)&gt;=5,"Good","Bad"),VLOOKUP(DATE($K$1,$K$2,NZW$4),Table1[],(MATCH(Calendar!$A18,DB!$1:$1,0)),FALSE)),"")</f>
        <v/>
      </c>
      <c r="NZX18" s="28" t="str">
        <f>IFERROR(IF(OAG3="No",IF(VLOOKUP(DATE($K$1,$K$2,NZX$4),Table1[],(MATCH(Calendar!$A18,DB!$1:$1,0)),FALSE)&gt;=5,"Good","Bad"),VLOOKUP(DATE($K$1,$K$2,NZX$4),Table1[],(MATCH(Calendar!$A18,DB!$1:$1,0)),FALSE)),"")</f>
        <v/>
      </c>
      <c r="NZY18" s="28" t="str">
        <f>IFERROR(IF(OAH3="No",IF(VLOOKUP(DATE($K$1,$K$2,NZY$4),Table1[],(MATCH(Calendar!$A18,DB!$1:$1,0)),FALSE)&gt;=5,"Good","Bad"),VLOOKUP(DATE($K$1,$K$2,NZY$4),Table1[],(MATCH(Calendar!$A18,DB!$1:$1,0)),FALSE)),"")</f>
        <v/>
      </c>
      <c r="NZZ18" s="28" t="str">
        <f>IFERROR(IF(OAI3="No",IF(VLOOKUP(DATE($K$1,$K$2,NZZ$4),Table1[],(MATCH(Calendar!$A18,DB!$1:$1,0)),FALSE)&gt;=5,"Good","Bad"),VLOOKUP(DATE($K$1,$K$2,NZZ$4),Table1[],(MATCH(Calendar!$A18,DB!$1:$1,0)),FALSE)),"")</f>
        <v/>
      </c>
      <c r="OAA18" s="28" t="str">
        <f>IFERROR(IF(OAJ3="No",IF(VLOOKUP(DATE($K$1,$K$2,OAA$4),Table1[],(MATCH(Calendar!$A18,DB!$1:$1,0)),FALSE)&gt;=5,"Good","Bad"),VLOOKUP(DATE($K$1,$K$2,OAA$4),Table1[],(MATCH(Calendar!$A18,DB!$1:$1,0)),FALSE)),"")</f>
        <v/>
      </c>
      <c r="OAB18" s="28" t="str">
        <f>IFERROR(IF(OAK3="No",IF(VLOOKUP(DATE($K$1,$K$2,OAB$4),Table1[],(MATCH(Calendar!$A18,DB!$1:$1,0)),FALSE)&gt;=5,"Good","Bad"),VLOOKUP(DATE($K$1,$K$2,OAB$4),Table1[],(MATCH(Calendar!$A18,DB!$1:$1,0)),FALSE)),"")</f>
        <v/>
      </c>
      <c r="OAC18" s="28" t="str">
        <f>IFERROR(IF(OAL3="No",IF(VLOOKUP(DATE($K$1,$K$2,OAC$4),Table1[],(MATCH(Calendar!$A18,DB!$1:$1,0)),FALSE)&gt;=5,"Good","Bad"),VLOOKUP(DATE($K$1,$K$2,OAC$4),Table1[],(MATCH(Calendar!$A18,DB!$1:$1,0)),FALSE)),"")</f>
        <v/>
      </c>
      <c r="OAD18" s="28" t="str">
        <f>IFERROR(IF(OAM3="No",IF(VLOOKUP(DATE($K$1,$K$2,OAD$4),Table1[],(MATCH(Calendar!$A18,DB!$1:$1,0)),FALSE)&gt;=5,"Good","Bad"),VLOOKUP(DATE($K$1,$K$2,OAD$4),Table1[],(MATCH(Calendar!$A18,DB!$1:$1,0)),FALSE)),"")</f>
        <v/>
      </c>
      <c r="OAE18" s="28" t="str">
        <f>IFERROR(IF(OAN3="No",IF(VLOOKUP(DATE($K$1,$K$2,OAE$4),Table1[],(MATCH(Calendar!$A18,DB!$1:$1,0)),FALSE)&gt;=5,"Good","Bad"),VLOOKUP(DATE($K$1,$K$2,OAE$4),Table1[],(MATCH(Calendar!$A18,DB!$1:$1,0)),FALSE)),"")</f>
        <v/>
      </c>
      <c r="OAF18" s="28" t="str">
        <f>IFERROR(IF(OAO3="No",IF(VLOOKUP(DATE($K$1,$K$2,OAF$4),Table1[],(MATCH(Calendar!$A18,DB!$1:$1,0)),FALSE)&gt;=5,"Good","Bad"),VLOOKUP(DATE($K$1,$K$2,OAF$4),Table1[],(MATCH(Calendar!$A18,DB!$1:$1,0)),FALSE)),"")</f>
        <v/>
      </c>
      <c r="OAG18" s="28" t="str">
        <f>IFERROR(IF(OAP3="No",IF(VLOOKUP(DATE($K$1,$K$2,OAG$4),Table1[],(MATCH(Calendar!$A18,DB!$1:$1,0)),FALSE)&gt;=5,"Good","Bad"),VLOOKUP(DATE($K$1,$K$2,OAG$4),Table1[],(MATCH(Calendar!$A18,DB!$1:$1,0)),FALSE)),"")</f>
        <v/>
      </c>
      <c r="OAH18" s="28" t="str">
        <f>IFERROR(IF(OAQ3="No",IF(VLOOKUP(DATE($K$1,$K$2,OAH$4),Table1[],(MATCH(Calendar!$A18,DB!$1:$1,0)),FALSE)&gt;=5,"Good","Bad"),VLOOKUP(DATE($K$1,$K$2,OAH$4),Table1[],(MATCH(Calendar!$A18,DB!$1:$1,0)),FALSE)),"")</f>
        <v/>
      </c>
      <c r="OAI18" s="28" t="str">
        <f>IFERROR(IF(OAR3="No",IF(VLOOKUP(DATE($K$1,$K$2,OAI$4),Table1[],(MATCH(Calendar!$A18,DB!$1:$1,0)),FALSE)&gt;=5,"Good","Bad"),VLOOKUP(DATE($K$1,$K$2,OAI$4),Table1[],(MATCH(Calendar!$A18,DB!$1:$1,0)),FALSE)),"")</f>
        <v/>
      </c>
      <c r="OAJ18" s="28" t="str">
        <f>IFERROR(IF(OAS3="No",IF(VLOOKUP(DATE($K$1,$K$2,OAJ$4),Table1[],(MATCH(Calendar!$A18,DB!$1:$1,0)),FALSE)&gt;=5,"Good","Bad"),VLOOKUP(DATE($K$1,$K$2,OAJ$4),Table1[],(MATCH(Calendar!$A18,DB!$1:$1,0)),FALSE)),"")</f>
        <v/>
      </c>
      <c r="OAK18" s="28" t="str">
        <f>IFERROR(IF(OAT3="No",IF(VLOOKUP(DATE($K$1,$K$2,OAK$4),Table1[],(MATCH(Calendar!$A18,DB!$1:$1,0)),FALSE)&gt;=5,"Good","Bad"),VLOOKUP(DATE($K$1,$K$2,OAK$4),Table1[],(MATCH(Calendar!$A18,DB!$1:$1,0)),FALSE)),"")</f>
        <v/>
      </c>
      <c r="OAL18" s="28" t="str">
        <f>IFERROR(IF(OAU3="No",IF(VLOOKUP(DATE($K$1,$K$2,OAL$4),Table1[],(MATCH(Calendar!$A18,DB!$1:$1,0)),FALSE)&gt;=5,"Good","Bad"),VLOOKUP(DATE($K$1,$K$2,OAL$4),Table1[],(MATCH(Calendar!$A18,DB!$1:$1,0)),FALSE)),"")</f>
        <v/>
      </c>
      <c r="OAM18" s="28" t="str">
        <f>IFERROR(IF(OAV3="No",IF(VLOOKUP(DATE($K$1,$K$2,OAM$4),Table1[],(MATCH(Calendar!$A18,DB!$1:$1,0)),FALSE)&gt;=5,"Good","Bad"),VLOOKUP(DATE($K$1,$K$2,OAM$4),Table1[],(MATCH(Calendar!$A18,DB!$1:$1,0)),FALSE)),"")</f>
        <v/>
      </c>
      <c r="OAN18" s="28" t="str">
        <f>IFERROR(IF(OAW3="No",IF(VLOOKUP(DATE($K$1,$K$2,OAN$4),Table1[],(MATCH(Calendar!$A18,DB!$1:$1,0)),FALSE)&gt;=5,"Good","Bad"),VLOOKUP(DATE($K$1,$K$2,OAN$4),Table1[],(MATCH(Calendar!$A18,DB!$1:$1,0)),FALSE)),"")</f>
        <v/>
      </c>
      <c r="OAO18" s="28" t="str">
        <f>IFERROR(IF(OAX3="No",IF(VLOOKUP(DATE($K$1,$K$2,OAO$4),Table1[],(MATCH(Calendar!$A18,DB!$1:$1,0)),FALSE)&gt;=5,"Good","Bad"),VLOOKUP(DATE($K$1,$K$2,OAO$4),Table1[],(MATCH(Calendar!$A18,DB!$1:$1,0)),FALSE)),"")</f>
        <v/>
      </c>
      <c r="OAP18" s="28" t="str">
        <f>IFERROR(IF(OAY3="No",IF(VLOOKUP(DATE($K$1,$K$2,OAP$4),Table1[],(MATCH(Calendar!$A18,DB!$1:$1,0)),FALSE)&gt;=5,"Good","Bad"),VLOOKUP(DATE($K$1,$K$2,OAP$4),Table1[],(MATCH(Calendar!$A18,DB!$1:$1,0)),FALSE)),"")</f>
        <v/>
      </c>
      <c r="OAQ18" s="28" t="str">
        <f>IFERROR(IF(OAZ3="No",IF(VLOOKUP(DATE($K$1,$K$2,OAQ$4),Table1[],(MATCH(Calendar!$A18,DB!$1:$1,0)),FALSE)&gt;=5,"Good","Bad"),VLOOKUP(DATE($K$1,$K$2,OAQ$4),Table1[],(MATCH(Calendar!$A18,DB!$1:$1,0)),FALSE)),"")</f>
        <v/>
      </c>
      <c r="OAR18" s="28" t="str">
        <f>IFERROR(IF(OBA3="No",IF(VLOOKUP(DATE($K$1,$K$2,OAR$4),Table1[],(MATCH(Calendar!$A18,DB!$1:$1,0)),FALSE)&gt;=5,"Good","Bad"),VLOOKUP(DATE($K$1,$K$2,OAR$4),Table1[],(MATCH(Calendar!$A18,DB!$1:$1,0)),FALSE)),"")</f>
        <v/>
      </c>
      <c r="OAS18" s="28" t="str">
        <f>IFERROR(IF(OBB3="No",IF(VLOOKUP(DATE($K$1,$K$2,OAS$4),Table1[],(MATCH(Calendar!$A18,DB!$1:$1,0)),FALSE)&gt;=5,"Good","Bad"),VLOOKUP(DATE($K$1,$K$2,OAS$4),Table1[],(MATCH(Calendar!$A18,DB!$1:$1,0)),FALSE)),"")</f>
        <v/>
      </c>
      <c r="OAT18" s="28" t="str">
        <f>IFERROR(IF(OBC3="No",IF(VLOOKUP(DATE($K$1,$K$2,OAT$4),Table1[],(MATCH(Calendar!$A18,DB!$1:$1,0)),FALSE)&gt;=5,"Good","Bad"),VLOOKUP(DATE($K$1,$K$2,OAT$4),Table1[],(MATCH(Calendar!$A18,DB!$1:$1,0)),FALSE)),"")</f>
        <v/>
      </c>
      <c r="OAU18" s="28" t="str">
        <f>IFERROR(IF(OBD3="No",IF(VLOOKUP(DATE($K$1,$K$2,OAU$4),Table1[],(MATCH(Calendar!$A18,DB!$1:$1,0)),FALSE)&gt;=5,"Good","Bad"),VLOOKUP(DATE($K$1,$K$2,OAU$4),Table1[],(MATCH(Calendar!$A18,DB!$1:$1,0)),FALSE)),"")</f>
        <v/>
      </c>
      <c r="OAV18" s="28" t="str">
        <f>IFERROR(IF(OBE3="No",IF(VLOOKUP(DATE($K$1,$K$2,OAV$4),Table1[],(MATCH(Calendar!$A18,DB!$1:$1,0)),FALSE)&gt;=5,"Good","Bad"),VLOOKUP(DATE($K$1,$K$2,OAV$4),Table1[],(MATCH(Calendar!$A18,DB!$1:$1,0)),FALSE)),"")</f>
        <v/>
      </c>
      <c r="OAW18" s="28" t="str">
        <f>IFERROR(IF(OBF3="No",IF(VLOOKUP(DATE($K$1,$K$2,OAW$4),Table1[],(MATCH(Calendar!$A18,DB!$1:$1,0)),FALSE)&gt;=5,"Good","Bad"),VLOOKUP(DATE($K$1,$K$2,OAW$4),Table1[],(MATCH(Calendar!$A18,DB!$1:$1,0)),FALSE)),"")</f>
        <v/>
      </c>
      <c r="OAX18" s="28" t="str">
        <f>IFERROR(IF(OBG3="No",IF(VLOOKUP(DATE($K$1,$K$2,OAX$4),Table1[],(MATCH(Calendar!$A18,DB!$1:$1,0)),FALSE)&gt;=5,"Good","Bad"),VLOOKUP(DATE($K$1,$K$2,OAX$4),Table1[],(MATCH(Calendar!$A18,DB!$1:$1,0)),FALSE)),"")</f>
        <v/>
      </c>
      <c r="OAY18" s="28" t="str">
        <f>IFERROR(IF(OBH3="No",IF(VLOOKUP(DATE($K$1,$K$2,OAY$4),Table1[],(MATCH(Calendar!$A18,DB!$1:$1,0)),FALSE)&gt;=5,"Good","Bad"),VLOOKUP(DATE($K$1,$K$2,OAY$4),Table1[],(MATCH(Calendar!$A18,DB!$1:$1,0)),FALSE)),"")</f>
        <v/>
      </c>
      <c r="OAZ18" s="28" t="str">
        <f>IFERROR(IF(OBI3="No",IF(VLOOKUP(DATE($K$1,$K$2,OAZ$4),Table1[],(MATCH(Calendar!$A18,DB!$1:$1,0)),FALSE)&gt;=5,"Good","Bad"),VLOOKUP(DATE($K$1,$K$2,OAZ$4),Table1[],(MATCH(Calendar!$A18,DB!$1:$1,0)),FALSE)),"")</f>
        <v/>
      </c>
      <c r="OBA18" s="28" t="str">
        <f>IFERROR(IF(OBJ3="No",IF(VLOOKUP(DATE($K$1,$K$2,OBA$4),Table1[],(MATCH(Calendar!$A18,DB!$1:$1,0)),FALSE)&gt;=5,"Good","Bad"),VLOOKUP(DATE($K$1,$K$2,OBA$4),Table1[],(MATCH(Calendar!$A18,DB!$1:$1,0)),FALSE)),"")</f>
        <v/>
      </c>
      <c r="OBB18" s="28" t="str">
        <f>IFERROR(IF(OBK3="No",IF(VLOOKUP(DATE($K$1,$K$2,OBB$4),Table1[],(MATCH(Calendar!$A18,DB!$1:$1,0)),FALSE)&gt;=5,"Good","Bad"),VLOOKUP(DATE($K$1,$K$2,OBB$4),Table1[],(MATCH(Calendar!$A18,DB!$1:$1,0)),FALSE)),"")</f>
        <v/>
      </c>
      <c r="OBC18" s="28" t="str">
        <f>IFERROR(IF(OBL3="No",IF(VLOOKUP(DATE($K$1,$K$2,OBC$4),Table1[],(MATCH(Calendar!$A18,DB!$1:$1,0)),FALSE)&gt;=5,"Good","Bad"),VLOOKUP(DATE($K$1,$K$2,OBC$4),Table1[],(MATCH(Calendar!$A18,DB!$1:$1,0)),FALSE)),"")</f>
        <v/>
      </c>
      <c r="OBD18" s="28" t="str">
        <f>IFERROR(IF(OBM3="No",IF(VLOOKUP(DATE($K$1,$K$2,OBD$4),Table1[],(MATCH(Calendar!$A18,DB!$1:$1,0)),FALSE)&gt;=5,"Good","Bad"),VLOOKUP(DATE($K$1,$K$2,OBD$4),Table1[],(MATCH(Calendar!$A18,DB!$1:$1,0)),FALSE)),"")</f>
        <v/>
      </c>
      <c r="OBE18" s="28" t="str">
        <f>IFERROR(IF(OBN3="No",IF(VLOOKUP(DATE($K$1,$K$2,OBE$4),Table1[],(MATCH(Calendar!$A18,DB!$1:$1,0)),FALSE)&gt;=5,"Good","Bad"),VLOOKUP(DATE($K$1,$K$2,OBE$4),Table1[],(MATCH(Calendar!$A18,DB!$1:$1,0)),FALSE)),"")</f>
        <v/>
      </c>
      <c r="OBF18" s="28" t="str">
        <f>IFERROR(IF(OBO3="No",IF(VLOOKUP(DATE($K$1,$K$2,OBF$4),Table1[],(MATCH(Calendar!$A18,DB!$1:$1,0)),FALSE)&gt;=5,"Good","Bad"),VLOOKUP(DATE($K$1,$K$2,OBF$4),Table1[],(MATCH(Calendar!$A18,DB!$1:$1,0)),FALSE)),"")</f>
        <v/>
      </c>
      <c r="OBG18" s="28" t="str">
        <f>IFERROR(IF(OBP3="No",IF(VLOOKUP(DATE($K$1,$K$2,OBG$4),Table1[],(MATCH(Calendar!$A18,DB!$1:$1,0)),FALSE)&gt;=5,"Good","Bad"),VLOOKUP(DATE($K$1,$K$2,OBG$4),Table1[],(MATCH(Calendar!$A18,DB!$1:$1,0)),FALSE)),"")</f>
        <v/>
      </c>
      <c r="OBH18" s="28" t="str">
        <f>IFERROR(IF(OBQ3="No",IF(VLOOKUP(DATE($K$1,$K$2,OBH$4),Table1[],(MATCH(Calendar!$A18,DB!$1:$1,0)),FALSE)&gt;=5,"Good","Bad"),VLOOKUP(DATE($K$1,$K$2,OBH$4),Table1[],(MATCH(Calendar!$A18,DB!$1:$1,0)),FALSE)),"")</f>
        <v/>
      </c>
      <c r="OBI18" s="28" t="str">
        <f>IFERROR(IF(OBR3="No",IF(VLOOKUP(DATE($K$1,$K$2,OBI$4),Table1[],(MATCH(Calendar!$A18,DB!$1:$1,0)),FALSE)&gt;=5,"Good","Bad"),VLOOKUP(DATE($K$1,$K$2,OBI$4),Table1[],(MATCH(Calendar!$A18,DB!$1:$1,0)),FALSE)),"")</f>
        <v/>
      </c>
      <c r="OBJ18" s="28" t="str">
        <f>IFERROR(IF(OBS3="No",IF(VLOOKUP(DATE($K$1,$K$2,OBJ$4),Table1[],(MATCH(Calendar!$A18,DB!$1:$1,0)),FALSE)&gt;=5,"Good","Bad"),VLOOKUP(DATE($K$1,$K$2,OBJ$4),Table1[],(MATCH(Calendar!$A18,DB!$1:$1,0)),FALSE)),"")</f>
        <v/>
      </c>
      <c r="OBK18" s="28" t="str">
        <f>IFERROR(IF(OBT3="No",IF(VLOOKUP(DATE($K$1,$K$2,OBK$4),Table1[],(MATCH(Calendar!$A18,DB!$1:$1,0)),FALSE)&gt;=5,"Good","Bad"),VLOOKUP(DATE($K$1,$K$2,OBK$4),Table1[],(MATCH(Calendar!$A18,DB!$1:$1,0)),FALSE)),"")</f>
        <v/>
      </c>
      <c r="OBL18" s="28" t="str">
        <f>IFERROR(IF(OBU3="No",IF(VLOOKUP(DATE($K$1,$K$2,OBL$4),Table1[],(MATCH(Calendar!$A18,DB!$1:$1,0)),FALSE)&gt;=5,"Good","Bad"),VLOOKUP(DATE($K$1,$K$2,OBL$4),Table1[],(MATCH(Calendar!$A18,DB!$1:$1,0)),FALSE)),"")</f>
        <v/>
      </c>
      <c r="OBM18" s="28" t="str">
        <f>IFERROR(IF(OBV3="No",IF(VLOOKUP(DATE($K$1,$K$2,OBM$4),Table1[],(MATCH(Calendar!$A18,DB!$1:$1,0)),FALSE)&gt;=5,"Good","Bad"),VLOOKUP(DATE($K$1,$K$2,OBM$4),Table1[],(MATCH(Calendar!$A18,DB!$1:$1,0)),FALSE)),"")</f>
        <v/>
      </c>
      <c r="OBN18" s="28" t="str">
        <f>IFERROR(IF(OBW3="No",IF(VLOOKUP(DATE($K$1,$K$2,OBN$4),Table1[],(MATCH(Calendar!$A18,DB!$1:$1,0)),FALSE)&gt;=5,"Good","Bad"),VLOOKUP(DATE($K$1,$K$2,OBN$4),Table1[],(MATCH(Calendar!$A18,DB!$1:$1,0)),FALSE)),"")</f>
        <v/>
      </c>
      <c r="OBO18" s="28" t="str">
        <f>IFERROR(IF(OBX3="No",IF(VLOOKUP(DATE($K$1,$K$2,OBO$4),Table1[],(MATCH(Calendar!$A18,DB!$1:$1,0)),FALSE)&gt;=5,"Good","Bad"),VLOOKUP(DATE($K$1,$K$2,OBO$4),Table1[],(MATCH(Calendar!$A18,DB!$1:$1,0)),FALSE)),"")</f>
        <v/>
      </c>
      <c r="OBP18" s="28" t="str">
        <f>IFERROR(IF(OBY3="No",IF(VLOOKUP(DATE($K$1,$K$2,OBP$4),Table1[],(MATCH(Calendar!$A18,DB!$1:$1,0)),FALSE)&gt;=5,"Good","Bad"),VLOOKUP(DATE($K$1,$K$2,OBP$4),Table1[],(MATCH(Calendar!$A18,DB!$1:$1,0)),FALSE)),"")</f>
        <v/>
      </c>
      <c r="OBQ18" s="28" t="str">
        <f>IFERROR(IF(OBZ3="No",IF(VLOOKUP(DATE($K$1,$K$2,OBQ$4),Table1[],(MATCH(Calendar!$A18,DB!$1:$1,0)),FALSE)&gt;=5,"Good","Bad"),VLOOKUP(DATE($K$1,$K$2,OBQ$4),Table1[],(MATCH(Calendar!$A18,DB!$1:$1,0)),FALSE)),"")</f>
        <v/>
      </c>
      <c r="OBR18" s="28" t="str">
        <f>IFERROR(IF(OCA3="No",IF(VLOOKUP(DATE($K$1,$K$2,OBR$4),Table1[],(MATCH(Calendar!$A18,DB!$1:$1,0)),FALSE)&gt;=5,"Good","Bad"),VLOOKUP(DATE($K$1,$K$2,OBR$4),Table1[],(MATCH(Calendar!$A18,DB!$1:$1,0)),FALSE)),"")</f>
        <v/>
      </c>
      <c r="OBS18" s="28" t="str">
        <f>IFERROR(IF(OCB3="No",IF(VLOOKUP(DATE($K$1,$K$2,OBS$4),Table1[],(MATCH(Calendar!$A18,DB!$1:$1,0)),FALSE)&gt;=5,"Good","Bad"),VLOOKUP(DATE($K$1,$K$2,OBS$4),Table1[],(MATCH(Calendar!$A18,DB!$1:$1,0)),FALSE)),"")</f>
        <v/>
      </c>
      <c r="OBT18" s="28" t="str">
        <f>IFERROR(IF(OCC3="No",IF(VLOOKUP(DATE($K$1,$K$2,OBT$4),Table1[],(MATCH(Calendar!$A18,DB!$1:$1,0)),FALSE)&gt;=5,"Good","Bad"),VLOOKUP(DATE($K$1,$K$2,OBT$4),Table1[],(MATCH(Calendar!$A18,DB!$1:$1,0)),FALSE)),"")</f>
        <v/>
      </c>
      <c r="OBU18" s="28" t="str">
        <f>IFERROR(IF(OCD3="No",IF(VLOOKUP(DATE($K$1,$K$2,OBU$4),Table1[],(MATCH(Calendar!$A18,DB!$1:$1,0)),FALSE)&gt;=5,"Good","Bad"),VLOOKUP(DATE($K$1,$K$2,OBU$4),Table1[],(MATCH(Calendar!$A18,DB!$1:$1,0)),FALSE)),"")</f>
        <v/>
      </c>
      <c r="OBV18" s="28" t="str">
        <f>IFERROR(IF(OCE3="No",IF(VLOOKUP(DATE($K$1,$K$2,OBV$4),Table1[],(MATCH(Calendar!$A18,DB!$1:$1,0)),FALSE)&gt;=5,"Good","Bad"),VLOOKUP(DATE($K$1,$K$2,OBV$4),Table1[],(MATCH(Calendar!$A18,DB!$1:$1,0)),FALSE)),"")</f>
        <v/>
      </c>
      <c r="OBW18" s="28" t="str">
        <f>IFERROR(IF(OCF3="No",IF(VLOOKUP(DATE($K$1,$K$2,OBW$4),Table1[],(MATCH(Calendar!$A18,DB!$1:$1,0)),FALSE)&gt;=5,"Good","Bad"),VLOOKUP(DATE($K$1,$K$2,OBW$4),Table1[],(MATCH(Calendar!$A18,DB!$1:$1,0)),FALSE)),"")</f>
        <v/>
      </c>
      <c r="OBX18" s="28" t="str">
        <f>IFERROR(IF(OCG3="No",IF(VLOOKUP(DATE($K$1,$K$2,OBX$4),Table1[],(MATCH(Calendar!$A18,DB!$1:$1,0)),FALSE)&gt;=5,"Good","Bad"),VLOOKUP(DATE($K$1,$K$2,OBX$4),Table1[],(MATCH(Calendar!$A18,DB!$1:$1,0)),FALSE)),"")</f>
        <v/>
      </c>
      <c r="OBY18" s="28" t="str">
        <f>IFERROR(IF(OCH3="No",IF(VLOOKUP(DATE($K$1,$K$2,OBY$4),Table1[],(MATCH(Calendar!$A18,DB!$1:$1,0)),FALSE)&gt;=5,"Good","Bad"),VLOOKUP(DATE($K$1,$K$2,OBY$4),Table1[],(MATCH(Calendar!$A18,DB!$1:$1,0)),FALSE)),"")</f>
        <v/>
      </c>
      <c r="OBZ18" s="28" t="str">
        <f>IFERROR(IF(OCI3="No",IF(VLOOKUP(DATE($K$1,$K$2,OBZ$4),Table1[],(MATCH(Calendar!$A18,DB!$1:$1,0)),FALSE)&gt;=5,"Good","Bad"),VLOOKUP(DATE($K$1,$K$2,OBZ$4),Table1[],(MATCH(Calendar!$A18,DB!$1:$1,0)),FALSE)),"")</f>
        <v/>
      </c>
      <c r="OCA18" s="28" t="str">
        <f>IFERROR(IF(OCJ3="No",IF(VLOOKUP(DATE($K$1,$K$2,OCA$4),Table1[],(MATCH(Calendar!$A18,DB!$1:$1,0)),FALSE)&gt;=5,"Good","Bad"),VLOOKUP(DATE($K$1,$K$2,OCA$4),Table1[],(MATCH(Calendar!$A18,DB!$1:$1,0)),FALSE)),"")</f>
        <v/>
      </c>
      <c r="OCB18" s="28" t="str">
        <f>IFERROR(IF(OCK3="No",IF(VLOOKUP(DATE($K$1,$K$2,OCB$4),Table1[],(MATCH(Calendar!$A18,DB!$1:$1,0)),FALSE)&gt;=5,"Good","Bad"),VLOOKUP(DATE($K$1,$K$2,OCB$4),Table1[],(MATCH(Calendar!$A18,DB!$1:$1,0)),FALSE)),"")</f>
        <v/>
      </c>
      <c r="OCC18" s="28" t="str">
        <f>IFERROR(IF(OCL3="No",IF(VLOOKUP(DATE($K$1,$K$2,OCC$4),Table1[],(MATCH(Calendar!$A18,DB!$1:$1,0)),FALSE)&gt;=5,"Good","Bad"),VLOOKUP(DATE($K$1,$K$2,OCC$4),Table1[],(MATCH(Calendar!$A18,DB!$1:$1,0)),FALSE)),"")</f>
        <v/>
      </c>
      <c r="OCD18" s="28" t="str">
        <f>IFERROR(IF(OCM3="No",IF(VLOOKUP(DATE($K$1,$K$2,OCD$4),Table1[],(MATCH(Calendar!$A18,DB!$1:$1,0)),FALSE)&gt;=5,"Good","Bad"),VLOOKUP(DATE($K$1,$K$2,OCD$4),Table1[],(MATCH(Calendar!$A18,DB!$1:$1,0)),FALSE)),"")</f>
        <v/>
      </c>
      <c r="OCE18" s="28" t="str">
        <f>IFERROR(IF(OCN3="No",IF(VLOOKUP(DATE($K$1,$K$2,OCE$4),Table1[],(MATCH(Calendar!$A18,DB!$1:$1,0)),FALSE)&gt;=5,"Good","Bad"),VLOOKUP(DATE($K$1,$K$2,OCE$4),Table1[],(MATCH(Calendar!$A18,DB!$1:$1,0)),FALSE)),"")</f>
        <v/>
      </c>
      <c r="OCF18" s="28" t="str">
        <f>IFERROR(IF(OCO3="No",IF(VLOOKUP(DATE($K$1,$K$2,OCF$4),Table1[],(MATCH(Calendar!$A18,DB!$1:$1,0)),FALSE)&gt;=5,"Good","Bad"),VLOOKUP(DATE($K$1,$K$2,OCF$4),Table1[],(MATCH(Calendar!$A18,DB!$1:$1,0)),FALSE)),"")</f>
        <v/>
      </c>
      <c r="OCG18" s="28" t="str">
        <f>IFERROR(IF(OCP3="No",IF(VLOOKUP(DATE($K$1,$K$2,OCG$4),Table1[],(MATCH(Calendar!$A18,DB!$1:$1,0)),FALSE)&gt;=5,"Good","Bad"),VLOOKUP(DATE($K$1,$K$2,OCG$4),Table1[],(MATCH(Calendar!$A18,DB!$1:$1,0)),FALSE)),"")</f>
        <v/>
      </c>
      <c r="OCH18" s="28" t="str">
        <f>IFERROR(IF(OCQ3="No",IF(VLOOKUP(DATE($K$1,$K$2,OCH$4),Table1[],(MATCH(Calendar!$A18,DB!$1:$1,0)),FALSE)&gt;=5,"Good","Bad"),VLOOKUP(DATE($K$1,$K$2,OCH$4),Table1[],(MATCH(Calendar!$A18,DB!$1:$1,0)),FALSE)),"")</f>
        <v/>
      </c>
      <c r="OCI18" s="28" t="str">
        <f>IFERROR(IF(OCR3="No",IF(VLOOKUP(DATE($K$1,$K$2,OCI$4),Table1[],(MATCH(Calendar!$A18,DB!$1:$1,0)),FALSE)&gt;=5,"Good","Bad"),VLOOKUP(DATE($K$1,$K$2,OCI$4),Table1[],(MATCH(Calendar!$A18,DB!$1:$1,0)),FALSE)),"")</f>
        <v/>
      </c>
      <c r="OCJ18" s="28" t="str">
        <f>IFERROR(IF(OCS3="No",IF(VLOOKUP(DATE($K$1,$K$2,OCJ$4),Table1[],(MATCH(Calendar!$A18,DB!$1:$1,0)),FALSE)&gt;=5,"Good","Bad"),VLOOKUP(DATE($K$1,$K$2,OCJ$4),Table1[],(MATCH(Calendar!$A18,DB!$1:$1,0)),FALSE)),"")</f>
        <v/>
      </c>
      <c r="OCK18" s="28" t="str">
        <f>IFERROR(IF(OCT3="No",IF(VLOOKUP(DATE($K$1,$K$2,OCK$4),Table1[],(MATCH(Calendar!$A18,DB!$1:$1,0)),FALSE)&gt;=5,"Good","Bad"),VLOOKUP(DATE($K$1,$K$2,OCK$4),Table1[],(MATCH(Calendar!$A18,DB!$1:$1,0)),FALSE)),"")</f>
        <v/>
      </c>
      <c r="OCL18" s="28" t="str">
        <f>IFERROR(IF(OCU3="No",IF(VLOOKUP(DATE($K$1,$K$2,OCL$4),Table1[],(MATCH(Calendar!$A18,DB!$1:$1,0)),FALSE)&gt;=5,"Good","Bad"),VLOOKUP(DATE($K$1,$K$2,OCL$4),Table1[],(MATCH(Calendar!$A18,DB!$1:$1,0)),FALSE)),"")</f>
        <v/>
      </c>
      <c r="OCM18" s="28" t="str">
        <f>IFERROR(IF(OCV3="No",IF(VLOOKUP(DATE($K$1,$K$2,OCM$4),Table1[],(MATCH(Calendar!$A18,DB!$1:$1,0)),FALSE)&gt;=5,"Good","Bad"),VLOOKUP(DATE($K$1,$K$2,OCM$4),Table1[],(MATCH(Calendar!$A18,DB!$1:$1,0)),FALSE)),"")</f>
        <v/>
      </c>
      <c r="OCN18" s="28" t="str">
        <f>IFERROR(IF(OCW3="No",IF(VLOOKUP(DATE($K$1,$K$2,OCN$4),Table1[],(MATCH(Calendar!$A18,DB!$1:$1,0)),FALSE)&gt;=5,"Good","Bad"),VLOOKUP(DATE($K$1,$K$2,OCN$4),Table1[],(MATCH(Calendar!$A18,DB!$1:$1,0)),FALSE)),"")</f>
        <v/>
      </c>
      <c r="OCO18" s="28" t="str">
        <f>IFERROR(IF(OCX3="No",IF(VLOOKUP(DATE($K$1,$K$2,OCO$4),Table1[],(MATCH(Calendar!$A18,DB!$1:$1,0)),FALSE)&gt;=5,"Good","Bad"),VLOOKUP(DATE($K$1,$K$2,OCO$4),Table1[],(MATCH(Calendar!$A18,DB!$1:$1,0)),FALSE)),"")</f>
        <v/>
      </c>
      <c r="OCP18" s="28" t="str">
        <f>IFERROR(IF(OCY3="No",IF(VLOOKUP(DATE($K$1,$K$2,OCP$4),Table1[],(MATCH(Calendar!$A18,DB!$1:$1,0)),FALSE)&gt;=5,"Good","Bad"),VLOOKUP(DATE($K$1,$K$2,OCP$4),Table1[],(MATCH(Calendar!$A18,DB!$1:$1,0)),FALSE)),"")</f>
        <v/>
      </c>
      <c r="OCQ18" s="28" t="str">
        <f>IFERROR(IF(OCZ3="No",IF(VLOOKUP(DATE($K$1,$K$2,OCQ$4),Table1[],(MATCH(Calendar!$A18,DB!$1:$1,0)),FALSE)&gt;=5,"Good","Bad"),VLOOKUP(DATE($K$1,$K$2,OCQ$4),Table1[],(MATCH(Calendar!$A18,DB!$1:$1,0)),FALSE)),"")</f>
        <v/>
      </c>
      <c r="OCR18" s="28" t="str">
        <f>IFERROR(IF(ODA3="No",IF(VLOOKUP(DATE($K$1,$K$2,OCR$4),Table1[],(MATCH(Calendar!$A18,DB!$1:$1,0)),FALSE)&gt;=5,"Good","Bad"),VLOOKUP(DATE($K$1,$K$2,OCR$4),Table1[],(MATCH(Calendar!$A18,DB!$1:$1,0)),FALSE)),"")</f>
        <v/>
      </c>
      <c r="OCS18" s="28" t="str">
        <f>IFERROR(IF(ODB3="No",IF(VLOOKUP(DATE($K$1,$K$2,OCS$4),Table1[],(MATCH(Calendar!$A18,DB!$1:$1,0)),FALSE)&gt;=5,"Good","Bad"),VLOOKUP(DATE($K$1,$K$2,OCS$4),Table1[],(MATCH(Calendar!$A18,DB!$1:$1,0)),FALSE)),"")</f>
        <v/>
      </c>
      <c r="OCT18" s="28" t="str">
        <f>IFERROR(IF(ODC3="No",IF(VLOOKUP(DATE($K$1,$K$2,OCT$4),Table1[],(MATCH(Calendar!$A18,DB!$1:$1,0)),FALSE)&gt;=5,"Good","Bad"),VLOOKUP(DATE($K$1,$K$2,OCT$4),Table1[],(MATCH(Calendar!$A18,DB!$1:$1,0)),FALSE)),"")</f>
        <v/>
      </c>
      <c r="OCU18" s="28" t="str">
        <f>IFERROR(IF(ODD3="No",IF(VLOOKUP(DATE($K$1,$K$2,OCU$4),Table1[],(MATCH(Calendar!$A18,DB!$1:$1,0)),FALSE)&gt;=5,"Good","Bad"),VLOOKUP(DATE($K$1,$K$2,OCU$4),Table1[],(MATCH(Calendar!$A18,DB!$1:$1,0)),FALSE)),"")</f>
        <v/>
      </c>
      <c r="OCV18" s="28" t="str">
        <f>IFERROR(IF(ODE3="No",IF(VLOOKUP(DATE($K$1,$K$2,OCV$4),Table1[],(MATCH(Calendar!$A18,DB!$1:$1,0)),FALSE)&gt;=5,"Good","Bad"),VLOOKUP(DATE($K$1,$K$2,OCV$4),Table1[],(MATCH(Calendar!$A18,DB!$1:$1,0)),FALSE)),"")</f>
        <v/>
      </c>
      <c r="OCW18" s="28" t="str">
        <f>IFERROR(IF(ODF3="No",IF(VLOOKUP(DATE($K$1,$K$2,OCW$4),Table1[],(MATCH(Calendar!$A18,DB!$1:$1,0)),FALSE)&gt;=5,"Good","Bad"),VLOOKUP(DATE($K$1,$K$2,OCW$4),Table1[],(MATCH(Calendar!$A18,DB!$1:$1,0)),FALSE)),"")</f>
        <v/>
      </c>
      <c r="OCX18" s="28" t="str">
        <f>IFERROR(IF(ODG3="No",IF(VLOOKUP(DATE($K$1,$K$2,OCX$4),Table1[],(MATCH(Calendar!$A18,DB!$1:$1,0)),FALSE)&gt;=5,"Good","Bad"),VLOOKUP(DATE($K$1,$K$2,OCX$4),Table1[],(MATCH(Calendar!$A18,DB!$1:$1,0)),FALSE)),"")</f>
        <v/>
      </c>
      <c r="OCY18" s="28" t="str">
        <f>IFERROR(IF(ODH3="No",IF(VLOOKUP(DATE($K$1,$K$2,OCY$4),Table1[],(MATCH(Calendar!$A18,DB!$1:$1,0)),FALSE)&gt;=5,"Good","Bad"),VLOOKUP(DATE($K$1,$K$2,OCY$4),Table1[],(MATCH(Calendar!$A18,DB!$1:$1,0)),FALSE)),"")</f>
        <v/>
      </c>
      <c r="OCZ18" s="28" t="str">
        <f>IFERROR(IF(ODI3="No",IF(VLOOKUP(DATE($K$1,$K$2,OCZ$4),Table1[],(MATCH(Calendar!$A18,DB!$1:$1,0)),FALSE)&gt;=5,"Good","Bad"),VLOOKUP(DATE($K$1,$K$2,OCZ$4),Table1[],(MATCH(Calendar!$A18,DB!$1:$1,0)),FALSE)),"")</f>
        <v/>
      </c>
      <c r="ODA18" s="28" t="str">
        <f>IFERROR(IF(ODJ3="No",IF(VLOOKUP(DATE($K$1,$K$2,ODA$4),Table1[],(MATCH(Calendar!$A18,DB!$1:$1,0)),FALSE)&gt;=5,"Good","Bad"),VLOOKUP(DATE($K$1,$K$2,ODA$4),Table1[],(MATCH(Calendar!$A18,DB!$1:$1,0)),FALSE)),"")</f>
        <v/>
      </c>
      <c r="ODB18" s="28" t="str">
        <f>IFERROR(IF(ODK3="No",IF(VLOOKUP(DATE($K$1,$K$2,ODB$4),Table1[],(MATCH(Calendar!$A18,DB!$1:$1,0)),FALSE)&gt;=5,"Good","Bad"),VLOOKUP(DATE($K$1,$K$2,ODB$4),Table1[],(MATCH(Calendar!$A18,DB!$1:$1,0)),FALSE)),"")</f>
        <v/>
      </c>
      <c r="ODC18" s="28" t="str">
        <f>IFERROR(IF(ODL3="No",IF(VLOOKUP(DATE($K$1,$K$2,ODC$4),Table1[],(MATCH(Calendar!$A18,DB!$1:$1,0)),FALSE)&gt;=5,"Good","Bad"),VLOOKUP(DATE($K$1,$K$2,ODC$4),Table1[],(MATCH(Calendar!$A18,DB!$1:$1,0)),FALSE)),"")</f>
        <v/>
      </c>
      <c r="ODD18" s="28" t="str">
        <f>IFERROR(IF(ODM3="No",IF(VLOOKUP(DATE($K$1,$K$2,ODD$4),Table1[],(MATCH(Calendar!$A18,DB!$1:$1,0)),FALSE)&gt;=5,"Good","Bad"),VLOOKUP(DATE($K$1,$K$2,ODD$4),Table1[],(MATCH(Calendar!$A18,DB!$1:$1,0)),FALSE)),"")</f>
        <v/>
      </c>
      <c r="ODE18" s="28" t="str">
        <f>IFERROR(IF(ODN3="No",IF(VLOOKUP(DATE($K$1,$K$2,ODE$4),Table1[],(MATCH(Calendar!$A18,DB!$1:$1,0)),FALSE)&gt;=5,"Good","Bad"),VLOOKUP(DATE($K$1,$K$2,ODE$4),Table1[],(MATCH(Calendar!$A18,DB!$1:$1,0)),FALSE)),"")</f>
        <v/>
      </c>
      <c r="ODF18" s="28" t="str">
        <f>IFERROR(IF(ODO3="No",IF(VLOOKUP(DATE($K$1,$K$2,ODF$4),Table1[],(MATCH(Calendar!$A18,DB!$1:$1,0)),FALSE)&gt;=5,"Good","Bad"),VLOOKUP(DATE($K$1,$K$2,ODF$4),Table1[],(MATCH(Calendar!$A18,DB!$1:$1,0)),FALSE)),"")</f>
        <v/>
      </c>
      <c r="ODG18" s="28" t="str">
        <f>IFERROR(IF(ODP3="No",IF(VLOOKUP(DATE($K$1,$K$2,ODG$4),Table1[],(MATCH(Calendar!$A18,DB!$1:$1,0)),FALSE)&gt;=5,"Good","Bad"),VLOOKUP(DATE($K$1,$K$2,ODG$4),Table1[],(MATCH(Calendar!$A18,DB!$1:$1,0)),FALSE)),"")</f>
        <v/>
      </c>
      <c r="ODH18" s="28" t="str">
        <f>IFERROR(IF(ODQ3="No",IF(VLOOKUP(DATE($K$1,$K$2,ODH$4),Table1[],(MATCH(Calendar!$A18,DB!$1:$1,0)),FALSE)&gt;=5,"Good","Bad"),VLOOKUP(DATE($K$1,$K$2,ODH$4),Table1[],(MATCH(Calendar!$A18,DB!$1:$1,0)),FALSE)),"")</f>
        <v/>
      </c>
      <c r="ODI18" s="28" t="str">
        <f>IFERROR(IF(ODR3="No",IF(VLOOKUP(DATE($K$1,$K$2,ODI$4),Table1[],(MATCH(Calendar!$A18,DB!$1:$1,0)),FALSE)&gt;=5,"Good","Bad"),VLOOKUP(DATE($K$1,$K$2,ODI$4),Table1[],(MATCH(Calendar!$A18,DB!$1:$1,0)),FALSE)),"")</f>
        <v/>
      </c>
      <c r="ODJ18" s="28" t="str">
        <f>IFERROR(IF(ODS3="No",IF(VLOOKUP(DATE($K$1,$K$2,ODJ$4),Table1[],(MATCH(Calendar!$A18,DB!$1:$1,0)),FALSE)&gt;=5,"Good","Bad"),VLOOKUP(DATE($K$1,$K$2,ODJ$4),Table1[],(MATCH(Calendar!$A18,DB!$1:$1,0)),FALSE)),"")</f>
        <v/>
      </c>
      <c r="ODK18" s="28" t="str">
        <f>IFERROR(IF(ODT3="No",IF(VLOOKUP(DATE($K$1,$K$2,ODK$4),Table1[],(MATCH(Calendar!$A18,DB!$1:$1,0)),FALSE)&gt;=5,"Good","Bad"),VLOOKUP(DATE($K$1,$K$2,ODK$4),Table1[],(MATCH(Calendar!$A18,DB!$1:$1,0)),FALSE)),"")</f>
        <v/>
      </c>
      <c r="ODL18" s="28" t="str">
        <f>IFERROR(IF(ODU3="No",IF(VLOOKUP(DATE($K$1,$K$2,ODL$4),Table1[],(MATCH(Calendar!$A18,DB!$1:$1,0)),FALSE)&gt;=5,"Good","Bad"),VLOOKUP(DATE($K$1,$K$2,ODL$4),Table1[],(MATCH(Calendar!$A18,DB!$1:$1,0)),FALSE)),"")</f>
        <v/>
      </c>
      <c r="ODM18" s="28" t="str">
        <f>IFERROR(IF(ODV3="No",IF(VLOOKUP(DATE($K$1,$K$2,ODM$4),Table1[],(MATCH(Calendar!$A18,DB!$1:$1,0)),FALSE)&gt;=5,"Good","Bad"),VLOOKUP(DATE($K$1,$K$2,ODM$4),Table1[],(MATCH(Calendar!$A18,DB!$1:$1,0)),FALSE)),"")</f>
        <v/>
      </c>
      <c r="ODN18" s="28" t="str">
        <f>IFERROR(IF(ODW3="No",IF(VLOOKUP(DATE($K$1,$K$2,ODN$4),Table1[],(MATCH(Calendar!$A18,DB!$1:$1,0)),FALSE)&gt;=5,"Good","Bad"),VLOOKUP(DATE($K$1,$K$2,ODN$4),Table1[],(MATCH(Calendar!$A18,DB!$1:$1,0)),FALSE)),"")</f>
        <v/>
      </c>
      <c r="ODO18" s="28" t="str">
        <f>IFERROR(IF(ODX3="No",IF(VLOOKUP(DATE($K$1,$K$2,ODO$4),Table1[],(MATCH(Calendar!$A18,DB!$1:$1,0)),FALSE)&gt;=5,"Good","Bad"),VLOOKUP(DATE($K$1,$K$2,ODO$4),Table1[],(MATCH(Calendar!$A18,DB!$1:$1,0)),FALSE)),"")</f>
        <v/>
      </c>
      <c r="ODP18" s="28" t="str">
        <f>IFERROR(IF(ODY3="No",IF(VLOOKUP(DATE($K$1,$K$2,ODP$4),Table1[],(MATCH(Calendar!$A18,DB!$1:$1,0)),FALSE)&gt;=5,"Good","Bad"),VLOOKUP(DATE($K$1,$K$2,ODP$4),Table1[],(MATCH(Calendar!$A18,DB!$1:$1,0)),FALSE)),"")</f>
        <v/>
      </c>
      <c r="ODQ18" s="28" t="str">
        <f>IFERROR(IF(ODZ3="No",IF(VLOOKUP(DATE($K$1,$K$2,ODQ$4),Table1[],(MATCH(Calendar!$A18,DB!$1:$1,0)),FALSE)&gt;=5,"Good","Bad"),VLOOKUP(DATE($K$1,$K$2,ODQ$4),Table1[],(MATCH(Calendar!$A18,DB!$1:$1,0)),FALSE)),"")</f>
        <v/>
      </c>
      <c r="ODR18" s="28" t="str">
        <f>IFERROR(IF(OEA3="No",IF(VLOOKUP(DATE($K$1,$K$2,ODR$4),Table1[],(MATCH(Calendar!$A18,DB!$1:$1,0)),FALSE)&gt;=5,"Good","Bad"),VLOOKUP(DATE($K$1,$K$2,ODR$4),Table1[],(MATCH(Calendar!$A18,DB!$1:$1,0)),FALSE)),"")</f>
        <v/>
      </c>
      <c r="ODS18" s="28" t="str">
        <f>IFERROR(IF(OEB3="No",IF(VLOOKUP(DATE($K$1,$K$2,ODS$4),Table1[],(MATCH(Calendar!$A18,DB!$1:$1,0)),FALSE)&gt;=5,"Good","Bad"),VLOOKUP(DATE($K$1,$K$2,ODS$4),Table1[],(MATCH(Calendar!$A18,DB!$1:$1,0)),FALSE)),"")</f>
        <v/>
      </c>
      <c r="ODT18" s="28" t="str">
        <f>IFERROR(IF(OEC3="No",IF(VLOOKUP(DATE($K$1,$K$2,ODT$4),Table1[],(MATCH(Calendar!$A18,DB!$1:$1,0)),FALSE)&gt;=5,"Good","Bad"),VLOOKUP(DATE($K$1,$K$2,ODT$4),Table1[],(MATCH(Calendar!$A18,DB!$1:$1,0)),FALSE)),"")</f>
        <v/>
      </c>
      <c r="ODU18" s="28" t="str">
        <f>IFERROR(IF(OED3="No",IF(VLOOKUP(DATE($K$1,$K$2,ODU$4),Table1[],(MATCH(Calendar!$A18,DB!$1:$1,0)),FALSE)&gt;=5,"Good","Bad"),VLOOKUP(DATE($K$1,$K$2,ODU$4),Table1[],(MATCH(Calendar!$A18,DB!$1:$1,0)),FALSE)),"")</f>
        <v/>
      </c>
      <c r="ODV18" s="28" t="str">
        <f>IFERROR(IF(OEE3="No",IF(VLOOKUP(DATE($K$1,$K$2,ODV$4),Table1[],(MATCH(Calendar!$A18,DB!$1:$1,0)),FALSE)&gt;=5,"Good","Bad"),VLOOKUP(DATE($K$1,$K$2,ODV$4),Table1[],(MATCH(Calendar!$A18,DB!$1:$1,0)),FALSE)),"")</f>
        <v/>
      </c>
      <c r="ODW18" s="28" t="str">
        <f>IFERROR(IF(OEF3="No",IF(VLOOKUP(DATE($K$1,$K$2,ODW$4),Table1[],(MATCH(Calendar!$A18,DB!$1:$1,0)),FALSE)&gt;=5,"Good","Bad"),VLOOKUP(DATE($K$1,$K$2,ODW$4),Table1[],(MATCH(Calendar!$A18,DB!$1:$1,0)),FALSE)),"")</f>
        <v/>
      </c>
      <c r="ODX18" s="28" t="str">
        <f>IFERROR(IF(OEG3="No",IF(VLOOKUP(DATE($K$1,$K$2,ODX$4),Table1[],(MATCH(Calendar!$A18,DB!$1:$1,0)),FALSE)&gt;=5,"Good","Bad"),VLOOKUP(DATE($K$1,$K$2,ODX$4),Table1[],(MATCH(Calendar!$A18,DB!$1:$1,0)),FALSE)),"")</f>
        <v/>
      </c>
      <c r="ODY18" s="28" t="str">
        <f>IFERROR(IF(OEH3="No",IF(VLOOKUP(DATE($K$1,$K$2,ODY$4),Table1[],(MATCH(Calendar!$A18,DB!$1:$1,0)),FALSE)&gt;=5,"Good","Bad"),VLOOKUP(DATE($K$1,$K$2,ODY$4),Table1[],(MATCH(Calendar!$A18,DB!$1:$1,0)),FALSE)),"")</f>
        <v/>
      </c>
      <c r="ODZ18" s="28" t="str">
        <f>IFERROR(IF(OEI3="No",IF(VLOOKUP(DATE($K$1,$K$2,ODZ$4),Table1[],(MATCH(Calendar!$A18,DB!$1:$1,0)),FALSE)&gt;=5,"Good","Bad"),VLOOKUP(DATE($K$1,$K$2,ODZ$4),Table1[],(MATCH(Calendar!$A18,DB!$1:$1,0)),FALSE)),"")</f>
        <v/>
      </c>
      <c r="OEA18" s="28" t="str">
        <f>IFERROR(IF(OEJ3="No",IF(VLOOKUP(DATE($K$1,$K$2,OEA$4),Table1[],(MATCH(Calendar!$A18,DB!$1:$1,0)),FALSE)&gt;=5,"Good","Bad"),VLOOKUP(DATE($K$1,$K$2,OEA$4),Table1[],(MATCH(Calendar!$A18,DB!$1:$1,0)),FALSE)),"")</f>
        <v/>
      </c>
      <c r="OEB18" s="28" t="str">
        <f>IFERROR(IF(OEK3="No",IF(VLOOKUP(DATE($K$1,$K$2,OEB$4),Table1[],(MATCH(Calendar!$A18,DB!$1:$1,0)),FALSE)&gt;=5,"Good","Bad"),VLOOKUP(DATE($K$1,$K$2,OEB$4),Table1[],(MATCH(Calendar!$A18,DB!$1:$1,0)),FALSE)),"")</f>
        <v/>
      </c>
      <c r="OEC18" s="28" t="str">
        <f>IFERROR(IF(OEL3="No",IF(VLOOKUP(DATE($K$1,$K$2,OEC$4),Table1[],(MATCH(Calendar!$A18,DB!$1:$1,0)),FALSE)&gt;=5,"Good","Bad"),VLOOKUP(DATE($K$1,$K$2,OEC$4),Table1[],(MATCH(Calendar!$A18,DB!$1:$1,0)),FALSE)),"")</f>
        <v/>
      </c>
      <c r="OED18" s="28" t="str">
        <f>IFERROR(IF(OEM3="No",IF(VLOOKUP(DATE($K$1,$K$2,OED$4),Table1[],(MATCH(Calendar!$A18,DB!$1:$1,0)),FALSE)&gt;=5,"Good","Bad"),VLOOKUP(DATE($K$1,$K$2,OED$4),Table1[],(MATCH(Calendar!$A18,DB!$1:$1,0)),FALSE)),"")</f>
        <v/>
      </c>
      <c r="OEE18" s="28" t="str">
        <f>IFERROR(IF(OEN3="No",IF(VLOOKUP(DATE($K$1,$K$2,OEE$4),Table1[],(MATCH(Calendar!$A18,DB!$1:$1,0)),FALSE)&gt;=5,"Good","Bad"),VLOOKUP(DATE($K$1,$K$2,OEE$4),Table1[],(MATCH(Calendar!$A18,DB!$1:$1,0)),FALSE)),"")</f>
        <v/>
      </c>
      <c r="OEF18" s="28" t="str">
        <f>IFERROR(IF(OEO3="No",IF(VLOOKUP(DATE($K$1,$K$2,OEF$4),Table1[],(MATCH(Calendar!$A18,DB!$1:$1,0)),FALSE)&gt;=5,"Good","Bad"),VLOOKUP(DATE($K$1,$K$2,OEF$4),Table1[],(MATCH(Calendar!$A18,DB!$1:$1,0)),FALSE)),"")</f>
        <v/>
      </c>
      <c r="OEG18" s="28" t="str">
        <f>IFERROR(IF(OEP3="No",IF(VLOOKUP(DATE($K$1,$K$2,OEG$4),Table1[],(MATCH(Calendar!$A18,DB!$1:$1,0)),FALSE)&gt;=5,"Good","Bad"),VLOOKUP(DATE($K$1,$K$2,OEG$4),Table1[],(MATCH(Calendar!$A18,DB!$1:$1,0)),FALSE)),"")</f>
        <v/>
      </c>
      <c r="OEH18" s="28" t="str">
        <f>IFERROR(IF(OEQ3="No",IF(VLOOKUP(DATE($K$1,$K$2,OEH$4),Table1[],(MATCH(Calendar!$A18,DB!$1:$1,0)),FALSE)&gt;=5,"Good","Bad"),VLOOKUP(DATE($K$1,$K$2,OEH$4),Table1[],(MATCH(Calendar!$A18,DB!$1:$1,0)),FALSE)),"")</f>
        <v/>
      </c>
      <c r="OEI18" s="28" t="str">
        <f>IFERROR(IF(OER3="No",IF(VLOOKUP(DATE($K$1,$K$2,OEI$4),Table1[],(MATCH(Calendar!$A18,DB!$1:$1,0)),FALSE)&gt;=5,"Good","Bad"),VLOOKUP(DATE($K$1,$K$2,OEI$4),Table1[],(MATCH(Calendar!$A18,DB!$1:$1,0)),FALSE)),"")</f>
        <v/>
      </c>
      <c r="OEJ18" s="28" t="str">
        <f>IFERROR(IF(OES3="No",IF(VLOOKUP(DATE($K$1,$K$2,OEJ$4),Table1[],(MATCH(Calendar!$A18,DB!$1:$1,0)),FALSE)&gt;=5,"Good","Bad"),VLOOKUP(DATE($K$1,$K$2,OEJ$4),Table1[],(MATCH(Calendar!$A18,DB!$1:$1,0)),FALSE)),"")</f>
        <v/>
      </c>
      <c r="OEK18" s="28" t="str">
        <f>IFERROR(IF(OET3="No",IF(VLOOKUP(DATE($K$1,$K$2,OEK$4),Table1[],(MATCH(Calendar!$A18,DB!$1:$1,0)),FALSE)&gt;=5,"Good","Bad"),VLOOKUP(DATE($K$1,$K$2,OEK$4),Table1[],(MATCH(Calendar!$A18,DB!$1:$1,0)),FALSE)),"")</f>
        <v/>
      </c>
      <c r="OEL18" s="28" t="str">
        <f>IFERROR(IF(OEU3="No",IF(VLOOKUP(DATE($K$1,$K$2,OEL$4),Table1[],(MATCH(Calendar!$A18,DB!$1:$1,0)),FALSE)&gt;=5,"Good","Bad"),VLOOKUP(DATE($K$1,$K$2,OEL$4),Table1[],(MATCH(Calendar!$A18,DB!$1:$1,0)),FALSE)),"")</f>
        <v/>
      </c>
      <c r="OEM18" s="28" t="str">
        <f>IFERROR(IF(OEV3="No",IF(VLOOKUP(DATE($K$1,$K$2,OEM$4),Table1[],(MATCH(Calendar!$A18,DB!$1:$1,0)),FALSE)&gt;=5,"Good","Bad"),VLOOKUP(DATE($K$1,$K$2,OEM$4),Table1[],(MATCH(Calendar!$A18,DB!$1:$1,0)),FALSE)),"")</f>
        <v/>
      </c>
      <c r="OEN18" s="28" t="str">
        <f>IFERROR(IF(OEW3="No",IF(VLOOKUP(DATE($K$1,$K$2,OEN$4),Table1[],(MATCH(Calendar!$A18,DB!$1:$1,0)),FALSE)&gt;=5,"Good","Bad"),VLOOKUP(DATE($K$1,$K$2,OEN$4),Table1[],(MATCH(Calendar!$A18,DB!$1:$1,0)),FALSE)),"")</f>
        <v/>
      </c>
      <c r="OEO18" s="28" t="str">
        <f>IFERROR(IF(OEX3="No",IF(VLOOKUP(DATE($K$1,$K$2,OEO$4),Table1[],(MATCH(Calendar!$A18,DB!$1:$1,0)),FALSE)&gt;=5,"Good","Bad"),VLOOKUP(DATE($K$1,$K$2,OEO$4),Table1[],(MATCH(Calendar!$A18,DB!$1:$1,0)),FALSE)),"")</f>
        <v/>
      </c>
      <c r="OEP18" s="28" t="str">
        <f>IFERROR(IF(OEY3="No",IF(VLOOKUP(DATE($K$1,$K$2,OEP$4),Table1[],(MATCH(Calendar!$A18,DB!$1:$1,0)),FALSE)&gt;=5,"Good","Bad"),VLOOKUP(DATE($K$1,$K$2,OEP$4),Table1[],(MATCH(Calendar!$A18,DB!$1:$1,0)),FALSE)),"")</f>
        <v/>
      </c>
      <c r="OEQ18" s="28" t="str">
        <f>IFERROR(IF(OEZ3="No",IF(VLOOKUP(DATE($K$1,$K$2,OEQ$4),Table1[],(MATCH(Calendar!$A18,DB!$1:$1,0)),FALSE)&gt;=5,"Good","Bad"),VLOOKUP(DATE($K$1,$K$2,OEQ$4),Table1[],(MATCH(Calendar!$A18,DB!$1:$1,0)),FALSE)),"")</f>
        <v/>
      </c>
      <c r="OER18" s="28" t="str">
        <f>IFERROR(IF(OFA3="No",IF(VLOOKUP(DATE($K$1,$K$2,OER$4),Table1[],(MATCH(Calendar!$A18,DB!$1:$1,0)),FALSE)&gt;=5,"Good","Bad"),VLOOKUP(DATE($K$1,$K$2,OER$4),Table1[],(MATCH(Calendar!$A18,DB!$1:$1,0)),FALSE)),"")</f>
        <v/>
      </c>
      <c r="OES18" s="28" t="str">
        <f>IFERROR(IF(OFB3="No",IF(VLOOKUP(DATE($K$1,$K$2,OES$4),Table1[],(MATCH(Calendar!$A18,DB!$1:$1,0)),FALSE)&gt;=5,"Good","Bad"),VLOOKUP(DATE($K$1,$K$2,OES$4),Table1[],(MATCH(Calendar!$A18,DB!$1:$1,0)),FALSE)),"")</f>
        <v/>
      </c>
      <c r="OET18" s="28" t="str">
        <f>IFERROR(IF(OFC3="No",IF(VLOOKUP(DATE($K$1,$K$2,OET$4),Table1[],(MATCH(Calendar!$A18,DB!$1:$1,0)),FALSE)&gt;=5,"Good","Bad"),VLOOKUP(DATE($K$1,$K$2,OET$4),Table1[],(MATCH(Calendar!$A18,DB!$1:$1,0)),FALSE)),"")</f>
        <v/>
      </c>
      <c r="OEU18" s="28" t="str">
        <f>IFERROR(IF(OFD3="No",IF(VLOOKUP(DATE($K$1,$K$2,OEU$4),Table1[],(MATCH(Calendar!$A18,DB!$1:$1,0)),FALSE)&gt;=5,"Good","Bad"),VLOOKUP(DATE($K$1,$K$2,OEU$4),Table1[],(MATCH(Calendar!$A18,DB!$1:$1,0)),FALSE)),"")</f>
        <v/>
      </c>
      <c r="OEV18" s="28" t="str">
        <f>IFERROR(IF(OFE3="No",IF(VLOOKUP(DATE($K$1,$K$2,OEV$4),Table1[],(MATCH(Calendar!$A18,DB!$1:$1,0)),FALSE)&gt;=5,"Good","Bad"),VLOOKUP(DATE($K$1,$K$2,OEV$4),Table1[],(MATCH(Calendar!$A18,DB!$1:$1,0)),FALSE)),"")</f>
        <v/>
      </c>
      <c r="OEW18" s="28" t="str">
        <f>IFERROR(IF(OFF3="No",IF(VLOOKUP(DATE($K$1,$K$2,OEW$4),Table1[],(MATCH(Calendar!$A18,DB!$1:$1,0)),FALSE)&gt;=5,"Good","Bad"),VLOOKUP(DATE($K$1,$K$2,OEW$4),Table1[],(MATCH(Calendar!$A18,DB!$1:$1,0)),FALSE)),"")</f>
        <v/>
      </c>
      <c r="OEX18" s="28" t="str">
        <f>IFERROR(IF(OFG3="No",IF(VLOOKUP(DATE($K$1,$K$2,OEX$4),Table1[],(MATCH(Calendar!$A18,DB!$1:$1,0)),FALSE)&gt;=5,"Good","Bad"),VLOOKUP(DATE($K$1,$K$2,OEX$4),Table1[],(MATCH(Calendar!$A18,DB!$1:$1,0)),FALSE)),"")</f>
        <v/>
      </c>
      <c r="OEY18" s="28" t="str">
        <f>IFERROR(IF(OFH3="No",IF(VLOOKUP(DATE($K$1,$K$2,OEY$4),Table1[],(MATCH(Calendar!$A18,DB!$1:$1,0)),FALSE)&gt;=5,"Good","Bad"),VLOOKUP(DATE($K$1,$K$2,OEY$4),Table1[],(MATCH(Calendar!$A18,DB!$1:$1,0)),FALSE)),"")</f>
        <v/>
      </c>
      <c r="OEZ18" s="28" t="str">
        <f>IFERROR(IF(OFI3="No",IF(VLOOKUP(DATE($K$1,$K$2,OEZ$4),Table1[],(MATCH(Calendar!$A18,DB!$1:$1,0)),FALSE)&gt;=5,"Good","Bad"),VLOOKUP(DATE($K$1,$K$2,OEZ$4),Table1[],(MATCH(Calendar!$A18,DB!$1:$1,0)),FALSE)),"")</f>
        <v/>
      </c>
      <c r="OFA18" s="28" t="str">
        <f>IFERROR(IF(OFJ3="No",IF(VLOOKUP(DATE($K$1,$K$2,OFA$4),Table1[],(MATCH(Calendar!$A18,DB!$1:$1,0)),FALSE)&gt;=5,"Good","Bad"),VLOOKUP(DATE($K$1,$K$2,OFA$4),Table1[],(MATCH(Calendar!$A18,DB!$1:$1,0)),FALSE)),"")</f>
        <v/>
      </c>
      <c r="OFB18" s="28" t="str">
        <f>IFERROR(IF(OFK3="No",IF(VLOOKUP(DATE($K$1,$K$2,OFB$4),Table1[],(MATCH(Calendar!$A18,DB!$1:$1,0)),FALSE)&gt;=5,"Good","Bad"),VLOOKUP(DATE($K$1,$K$2,OFB$4),Table1[],(MATCH(Calendar!$A18,DB!$1:$1,0)),FALSE)),"")</f>
        <v/>
      </c>
      <c r="OFC18" s="28" t="str">
        <f>IFERROR(IF(OFL3="No",IF(VLOOKUP(DATE($K$1,$K$2,OFC$4),Table1[],(MATCH(Calendar!$A18,DB!$1:$1,0)),FALSE)&gt;=5,"Good","Bad"),VLOOKUP(DATE($K$1,$K$2,OFC$4),Table1[],(MATCH(Calendar!$A18,DB!$1:$1,0)),FALSE)),"")</f>
        <v/>
      </c>
      <c r="OFD18" s="28" t="str">
        <f>IFERROR(IF(OFM3="No",IF(VLOOKUP(DATE($K$1,$K$2,OFD$4),Table1[],(MATCH(Calendar!$A18,DB!$1:$1,0)),FALSE)&gt;=5,"Good","Bad"),VLOOKUP(DATE($K$1,$K$2,OFD$4),Table1[],(MATCH(Calendar!$A18,DB!$1:$1,0)),FALSE)),"")</f>
        <v/>
      </c>
      <c r="OFE18" s="28" t="str">
        <f>IFERROR(IF(OFN3="No",IF(VLOOKUP(DATE($K$1,$K$2,OFE$4),Table1[],(MATCH(Calendar!$A18,DB!$1:$1,0)),FALSE)&gt;=5,"Good","Bad"),VLOOKUP(DATE($K$1,$K$2,OFE$4),Table1[],(MATCH(Calendar!$A18,DB!$1:$1,0)),FALSE)),"")</f>
        <v/>
      </c>
      <c r="OFF18" s="28" t="str">
        <f>IFERROR(IF(OFO3="No",IF(VLOOKUP(DATE($K$1,$K$2,OFF$4),Table1[],(MATCH(Calendar!$A18,DB!$1:$1,0)),FALSE)&gt;=5,"Good","Bad"),VLOOKUP(DATE($K$1,$K$2,OFF$4),Table1[],(MATCH(Calendar!$A18,DB!$1:$1,0)),FALSE)),"")</f>
        <v/>
      </c>
      <c r="OFG18" s="28" t="str">
        <f>IFERROR(IF(OFP3="No",IF(VLOOKUP(DATE($K$1,$K$2,OFG$4),Table1[],(MATCH(Calendar!$A18,DB!$1:$1,0)),FALSE)&gt;=5,"Good","Bad"),VLOOKUP(DATE($K$1,$K$2,OFG$4),Table1[],(MATCH(Calendar!$A18,DB!$1:$1,0)),FALSE)),"")</f>
        <v/>
      </c>
      <c r="OFH18" s="28" t="str">
        <f>IFERROR(IF(OFQ3="No",IF(VLOOKUP(DATE($K$1,$K$2,OFH$4),Table1[],(MATCH(Calendar!$A18,DB!$1:$1,0)),FALSE)&gt;=5,"Good","Bad"),VLOOKUP(DATE($K$1,$K$2,OFH$4),Table1[],(MATCH(Calendar!$A18,DB!$1:$1,0)),FALSE)),"")</f>
        <v/>
      </c>
      <c r="OFI18" s="28" t="str">
        <f>IFERROR(IF(OFR3="No",IF(VLOOKUP(DATE($K$1,$K$2,OFI$4),Table1[],(MATCH(Calendar!$A18,DB!$1:$1,0)),FALSE)&gt;=5,"Good","Bad"),VLOOKUP(DATE($K$1,$K$2,OFI$4),Table1[],(MATCH(Calendar!$A18,DB!$1:$1,0)),FALSE)),"")</f>
        <v/>
      </c>
      <c r="OFJ18" s="28" t="str">
        <f>IFERROR(IF(OFS3="No",IF(VLOOKUP(DATE($K$1,$K$2,OFJ$4),Table1[],(MATCH(Calendar!$A18,DB!$1:$1,0)),FALSE)&gt;=5,"Good","Bad"),VLOOKUP(DATE($K$1,$K$2,OFJ$4),Table1[],(MATCH(Calendar!$A18,DB!$1:$1,0)),FALSE)),"")</f>
        <v/>
      </c>
      <c r="OFK18" s="28" t="str">
        <f>IFERROR(IF(OFT3="No",IF(VLOOKUP(DATE($K$1,$K$2,OFK$4),Table1[],(MATCH(Calendar!$A18,DB!$1:$1,0)),FALSE)&gt;=5,"Good","Bad"),VLOOKUP(DATE($K$1,$K$2,OFK$4),Table1[],(MATCH(Calendar!$A18,DB!$1:$1,0)),FALSE)),"")</f>
        <v/>
      </c>
      <c r="OFL18" s="28" t="str">
        <f>IFERROR(IF(OFU3="No",IF(VLOOKUP(DATE($K$1,$K$2,OFL$4),Table1[],(MATCH(Calendar!$A18,DB!$1:$1,0)),FALSE)&gt;=5,"Good","Bad"),VLOOKUP(DATE($K$1,$K$2,OFL$4),Table1[],(MATCH(Calendar!$A18,DB!$1:$1,0)),FALSE)),"")</f>
        <v/>
      </c>
      <c r="OFM18" s="28" t="str">
        <f>IFERROR(IF(OFV3="No",IF(VLOOKUP(DATE($K$1,$K$2,OFM$4),Table1[],(MATCH(Calendar!$A18,DB!$1:$1,0)),FALSE)&gt;=5,"Good","Bad"),VLOOKUP(DATE($K$1,$K$2,OFM$4),Table1[],(MATCH(Calendar!$A18,DB!$1:$1,0)),FALSE)),"")</f>
        <v/>
      </c>
      <c r="OFN18" s="28" t="str">
        <f>IFERROR(IF(OFW3="No",IF(VLOOKUP(DATE($K$1,$K$2,OFN$4),Table1[],(MATCH(Calendar!$A18,DB!$1:$1,0)),FALSE)&gt;=5,"Good","Bad"),VLOOKUP(DATE($K$1,$K$2,OFN$4),Table1[],(MATCH(Calendar!$A18,DB!$1:$1,0)),FALSE)),"")</f>
        <v/>
      </c>
      <c r="OFO18" s="28" t="str">
        <f>IFERROR(IF(OFX3="No",IF(VLOOKUP(DATE($K$1,$K$2,OFO$4),Table1[],(MATCH(Calendar!$A18,DB!$1:$1,0)),FALSE)&gt;=5,"Good","Bad"),VLOOKUP(DATE($K$1,$K$2,OFO$4),Table1[],(MATCH(Calendar!$A18,DB!$1:$1,0)),FALSE)),"")</f>
        <v/>
      </c>
      <c r="OFP18" s="28" t="str">
        <f>IFERROR(IF(OFY3="No",IF(VLOOKUP(DATE($K$1,$K$2,OFP$4),Table1[],(MATCH(Calendar!$A18,DB!$1:$1,0)),FALSE)&gt;=5,"Good","Bad"),VLOOKUP(DATE($K$1,$K$2,OFP$4),Table1[],(MATCH(Calendar!$A18,DB!$1:$1,0)),FALSE)),"")</f>
        <v/>
      </c>
      <c r="OFQ18" s="28" t="str">
        <f>IFERROR(IF(OFZ3="No",IF(VLOOKUP(DATE($K$1,$K$2,OFQ$4),Table1[],(MATCH(Calendar!$A18,DB!$1:$1,0)),FALSE)&gt;=5,"Good","Bad"),VLOOKUP(DATE($K$1,$K$2,OFQ$4),Table1[],(MATCH(Calendar!$A18,DB!$1:$1,0)),FALSE)),"")</f>
        <v/>
      </c>
      <c r="OFR18" s="28" t="str">
        <f>IFERROR(IF(OGA3="No",IF(VLOOKUP(DATE($K$1,$K$2,OFR$4),Table1[],(MATCH(Calendar!$A18,DB!$1:$1,0)),FALSE)&gt;=5,"Good","Bad"),VLOOKUP(DATE($K$1,$K$2,OFR$4),Table1[],(MATCH(Calendar!$A18,DB!$1:$1,0)),FALSE)),"")</f>
        <v/>
      </c>
      <c r="OFS18" s="28" t="str">
        <f>IFERROR(IF(OGB3="No",IF(VLOOKUP(DATE($K$1,$K$2,OFS$4),Table1[],(MATCH(Calendar!$A18,DB!$1:$1,0)),FALSE)&gt;=5,"Good","Bad"),VLOOKUP(DATE($K$1,$K$2,OFS$4),Table1[],(MATCH(Calendar!$A18,DB!$1:$1,0)),FALSE)),"")</f>
        <v/>
      </c>
      <c r="OFT18" s="28" t="str">
        <f>IFERROR(IF(OGC3="No",IF(VLOOKUP(DATE($K$1,$K$2,OFT$4),Table1[],(MATCH(Calendar!$A18,DB!$1:$1,0)),FALSE)&gt;=5,"Good","Bad"),VLOOKUP(DATE($K$1,$K$2,OFT$4),Table1[],(MATCH(Calendar!$A18,DB!$1:$1,0)),FALSE)),"")</f>
        <v/>
      </c>
      <c r="OFU18" s="28" t="str">
        <f>IFERROR(IF(OGD3="No",IF(VLOOKUP(DATE($K$1,$K$2,OFU$4),Table1[],(MATCH(Calendar!$A18,DB!$1:$1,0)),FALSE)&gt;=5,"Good","Bad"),VLOOKUP(DATE($K$1,$K$2,OFU$4),Table1[],(MATCH(Calendar!$A18,DB!$1:$1,0)),FALSE)),"")</f>
        <v/>
      </c>
      <c r="OFV18" s="28" t="str">
        <f>IFERROR(IF(OGE3="No",IF(VLOOKUP(DATE($K$1,$K$2,OFV$4),Table1[],(MATCH(Calendar!$A18,DB!$1:$1,0)),FALSE)&gt;=5,"Good","Bad"),VLOOKUP(DATE($K$1,$K$2,OFV$4),Table1[],(MATCH(Calendar!$A18,DB!$1:$1,0)),FALSE)),"")</f>
        <v/>
      </c>
      <c r="OFW18" s="28" t="str">
        <f>IFERROR(IF(OGF3="No",IF(VLOOKUP(DATE($K$1,$K$2,OFW$4),Table1[],(MATCH(Calendar!$A18,DB!$1:$1,0)),FALSE)&gt;=5,"Good","Bad"),VLOOKUP(DATE($K$1,$K$2,OFW$4),Table1[],(MATCH(Calendar!$A18,DB!$1:$1,0)),FALSE)),"")</f>
        <v/>
      </c>
      <c r="OFX18" s="28" t="str">
        <f>IFERROR(IF(OGG3="No",IF(VLOOKUP(DATE($K$1,$K$2,OFX$4),Table1[],(MATCH(Calendar!$A18,DB!$1:$1,0)),FALSE)&gt;=5,"Good","Bad"),VLOOKUP(DATE($K$1,$K$2,OFX$4),Table1[],(MATCH(Calendar!$A18,DB!$1:$1,0)),FALSE)),"")</f>
        <v/>
      </c>
      <c r="OFY18" s="28" t="str">
        <f>IFERROR(IF(OGH3="No",IF(VLOOKUP(DATE($K$1,$K$2,OFY$4),Table1[],(MATCH(Calendar!$A18,DB!$1:$1,0)),FALSE)&gt;=5,"Good","Bad"),VLOOKUP(DATE($K$1,$K$2,OFY$4),Table1[],(MATCH(Calendar!$A18,DB!$1:$1,0)),FALSE)),"")</f>
        <v/>
      </c>
      <c r="OFZ18" s="28" t="str">
        <f>IFERROR(IF(OGI3="No",IF(VLOOKUP(DATE($K$1,$K$2,OFZ$4),Table1[],(MATCH(Calendar!$A18,DB!$1:$1,0)),FALSE)&gt;=5,"Good","Bad"),VLOOKUP(DATE($K$1,$K$2,OFZ$4),Table1[],(MATCH(Calendar!$A18,DB!$1:$1,0)),FALSE)),"")</f>
        <v/>
      </c>
      <c r="OGA18" s="28" t="str">
        <f>IFERROR(IF(OGJ3="No",IF(VLOOKUP(DATE($K$1,$K$2,OGA$4),Table1[],(MATCH(Calendar!$A18,DB!$1:$1,0)),FALSE)&gt;=5,"Good","Bad"),VLOOKUP(DATE($K$1,$K$2,OGA$4),Table1[],(MATCH(Calendar!$A18,DB!$1:$1,0)),FALSE)),"")</f>
        <v/>
      </c>
      <c r="OGB18" s="28" t="str">
        <f>IFERROR(IF(OGK3="No",IF(VLOOKUP(DATE($K$1,$K$2,OGB$4),Table1[],(MATCH(Calendar!$A18,DB!$1:$1,0)),FALSE)&gt;=5,"Good","Bad"),VLOOKUP(DATE($K$1,$K$2,OGB$4),Table1[],(MATCH(Calendar!$A18,DB!$1:$1,0)),FALSE)),"")</f>
        <v/>
      </c>
      <c r="OGC18" s="28" t="str">
        <f>IFERROR(IF(OGL3="No",IF(VLOOKUP(DATE($K$1,$K$2,OGC$4),Table1[],(MATCH(Calendar!$A18,DB!$1:$1,0)),FALSE)&gt;=5,"Good","Bad"),VLOOKUP(DATE($K$1,$K$2,OGC$4),Table1[],(MATCH(Calendar!$A18,DB!$1:$1,0)),FALSE)),"")</f>
        <v/>
      </c>
      <c r="OGD18" s="28" t="str">
        <f>IFERROR(IF(OGM3="No",IF(VLOOKUP(DATE($K$1,$K$2,OGD$4),Table1[],(MATCH(Calendar!$A18,DB!$1:$1,0)),FALSE)&gt;=5,"Good","Bad"),VLOOKUP(DATE($K$1,$K$2,OGD$4),Table1[],(MATCH(Calendar!$A18,DB!$1:$1,0)),FALSE)),"")</f>
        <v/>
      </c>
      <c r="OGE18" s="28" t="str">
        <f>IFERROR(IF(OGN3="No",IF(VLOOKUP(DATE($K$1,$K$2,OGE$4),Table1[],(MATCH(Calendar!$A18,DB!$1:$1,0)),FALSE)&gt;=5,"Good","Bad"),VLOOKUP(DATE($K$1,$K$2,OGE$4),Table1[],(MATCH(Calendar!$A18,DB!$1:$1,0)),FALSE)),"")</f>
        <v/>
      </c>
      <c r="OGF18" s="28" t="str">
        <f>IFERROR(IF(OGO3="No",IF(VLOOKUP(DATE($K$1,$K$2,OGF$4),Table1[],(MATCH(Calendar!$A18,DB!$1:$1,0)),FALSE)&gt;=5,"Good","Bad"),VLOOKUP(DATE($K$1,$K$2,OGF$4),Table1[],(MATCH(Calendar!$A18,DB!$1:$1,0)),FALSE)),"")</f>
        <v/>
      </c>
      <c r="OGG18" s="28" t="str">
        <f>IFERROR(IF(OGP3="No",IF(VLOOKUP(DATE($K$1,$K$2,OGG$4),Table1[],(MATCH(Calendar!$A18,DB!$1:$1,0)),FALSE)&gt;=5,"Good","Bad"),VLOOKUP(DATE($K$1,$K$2,OGG$4),Table1[],(MATCH(Calendar!$A18,DB!$1:$1,0)),FALSE)),"")</f>
        <v/>
      </c>
      <c r="OGH18" s="28" t="str">
        <f>IFERROR(IF(OGQ3="No",IF(VLOOKUP(DATE($K$1,$K$2,OGH$4),Table1[],(MATCH(Calendar!$A18,DB!$1:$1,0)),FALSE)&gt;=5,"Good","Bad"),VLOOKUP(DATE($K$1,$K$2,OGH$4),Table1[],(MATCH(Calendar!$A18,DB!$1:$1,0)),FALSE)),"")</f>
        <v/>
      </c>
      <c r="OGI18" s="28" t="str">
        <f>IFERROR(IF(OGR3="No",IF(VLOOKUP(DATE($K$1,$K$2,OGI$4),Table1[],(MATCH(Calendar!$A18,DB!$1:$1,0)),FALSE)&gt;=5,"Good","Bad"),VLOOKUP(DATE($K$1,$K$2,OGI$4),Table1[],(MATCH(Calendar!$A18,DB!$1:$1,0)),FALSE)),"")</f>
        <v/>
      </c>
      <c r="OGJ18" s="28" t="str">
        <f>IFERROR(IF(OGS3="No",IF(VLOOKUP(DATE($K$1,$K$2,OGJ$4),Table1[],(MATCH(Calendar!$A18,DB!$1:$1,0)),FALSE)&gt;=5,"Good","Bad"),VLOOKUP(DATE($K$1,$K$2,OGJ$4),Table1[],(MATCH(Calendar!$A18,DB!$1:$1,0)),FALSE)),"")</f>
        <v/>
      </c>
      <c r="OGK18" s="28" t="str">
        <f>IFERROR(IF(OGT3="No",IF(VLOOKUP(DATE($K$1,$K$2,OGK$4),Table1[],(MATCH(Calendar!$A18,DB!$1:$1,0)),FALSE)&gt;=5,"Good","Bad"),VLOOKUP(DATE($K$1,$K$2,OGK$4),Table1[],(MATCH(Calendar!$A18,DB!$1:$1,0)),FALSE)),"")</f>
        <v/>
      </c>
      <c r="OGL18" s="28" t="str">
        <f>IFERROR(IF(OGU3="No",IF(VLOOKUP(DATE($K$1,$K$2,OGL$4),Table1[],(MATCH(Calendar!$A18,DB!$1:$1,0)),FALSE)&gt;=5,"Good","Bad"),VLOOKUP(DATE($K$1,$K$2,OGL$4),Table1[],(MATCH(Calendar!$A18,DB!$1:$1,0)),FALSE)),"")</f>
        <v/>
      </c>
      <c r="OGM18" s="28" t="str">
        <f>IFERROR(IF(OGV3="No",IF(VLOOKUP(DATE($K$1,$K$2,OGM$4),Table1[],(MATCH(Calendar!$A18,DB!$1:$1,0)),FALSE)&gt;=5,"Good","Bad"),VLOOKUP(DATE($K$1,$K$2,OGM$4),Table1[],(MATCH(Calendar!$A18,DB!$1:$1,0)),FALSE)),"")</f>
        <v/>
      </c>
      <c r="OGN18" s="28" t="str">
        <f>IFERROR(IF(OGW3="No",IF(VLOOKUP(DATE($K$1,$K$2,OGN$4),Table1[],(MATCH(Calendar!$A18,DB!$1:$1,0)),FALSE)&gt;=5,"Good","Bad"),VLOOKUP(DATE($K$1,$K$2,OGN$4),Table1[],(MATCH(Calendar!$A18,DB!$1:$1,0)),FALSE)),"")</f>
        <v/>
      </c>
      <c r="OGO18" s="28" t="str">
        <f>IFERROR(IF(OGX3="No",IF(VLOOKUP(DATE($K$1,$K$2,OGO$4),Table1[],(MATCH(Calendar!$A18,DB!$1:$1,0)),FALSE)&gt;=5,"Good","Bad"),VLOOKUP(DATE($K$1,$K$2,OGO$4),Table1[],(MATCH(Calendar!$A18,DB!$1:$1,0)),FALSE)),"")</f>
        <v/>
      </c>
      <c r="OGP18" s="28" t="str">
        <f>IFERROR(IF(OGY3="No",IF(VLOOKUP(DATE($K$1,$K$2,OGP$4),Table1[],(MATCH(Calendar!$A18,DB!$1:$1,0)),FALSE)&gt;=5,"Good","Bad"),VLOOKUP(DATE($K$1,$K$2,OGP$4),Table1[],(MATCH(Calendar!$A18,DB!$1:$1,0)),FALSE)),"")</f>
        <v/>
      </c>
      <c r="OGQ18" s="28" t="str">
        <f>IFERROR(IF(OGZ3="No",IF(VLOOKUP(DATE($K$1,$K$2,OGQ$4),Table1[],(MATCH(Calendar!$A18,DB!$1:$1,0)),FALSE)&gt;=5,"Good","Bad"),VLOOKUP(DATE($K$1,$K$2,OGQ$4),Table1[],(MATCH(Calendar!$A18,DB!$1:$1,0)),FALSE)),"")</f>
        <v/>
      </c>
      <c r="OGR18" s="28" t="str">
        <f>IFERROR(IF(OHA3="No",IF(VLOOKUP(DATE($K$1,$K$2,OGR$4),Table1[],(MATCH(Calendar!$A18,DB!$1:$1,0)),FALSE)&gt;=5,"Good","Bad"),VLOOKUP(DATE($K$1,$K$2,OGR$4),Table1[],(MATCH(Calendar!$A18,DB!$1:$1,0)),FALSE)),"")</f>
        <v/>
      </c>
      <c r="OGS18" s="28" t="str">
        <f>IFERROR(IF(OHB3="No",IF(VLOOKUP(DATE($K$1,$K$2,OGS$4),Table1[],(MATCH(Calendar!$A18,DB!$1:$1,0)),FALSE)&gt;=5,"Good","Bad"),VLOOKUP(DATE($K$1,$K$2,OGS$4),Table1[],(MATCH(Calendar!$A18,DB!$1:$1,0)),FALSE)),"")</f>
        <v/>
      </c>
      <c r="OGT18" s="28" t="str">
        <f>IFERROR(IF(OHC3="No",IF(VLOOKUP(DATE($K$1,$K$2,OGT$4),Table1[],(MATCH(Calendar!$A18,DB!$1:$1,0)),FALSE)&gt;=5,"Good","Bad"),VLOOKUP(DATE($K$1,$K$2,OGT$4),Table1[],(MATCH(Calendar!$A18,DB!$1:$1,0)),FALSE)),"")</f>
        <v/>
      </c>
      <c r="OGU18" s="28" t="str">
        <f>IFERROR(IF(OHD3="No",IF(VLOOKUP(DATE($K$1,$K$2,OGU$4),Table1[],(MATCH(Calendar!$A18,DB!$1:$1,0)),FALSE)&gt;=5,"Good","Bad"),VLOOKUP(DATE($K$1,$K$2,OGU$4),Table1[],(MATCH(Calendar!$A18,DB!$1:$1,0)),FALSE)),"")</f>
        <v/>
      </c>
      <c r="OGV18" s="28" t="str">
        <f>IFERROR(IF(OHE3="No",IF(VLOOKUP(DATE($K$1,$K$2,OGV$4),Table1[],(MATCH(Calendar!$A18,DB!$1:$1,0)),FALSE)&gt;=5,"Good","Bad"),VLOOKUP(DATE($K$1,$K$2,OGV$4),Table1[],(MATCH(Calendar!$A18,DB!$1:$1,0)),FALSE)),"")</f>
        <v/>
      </c>
      <c r="OGW18" s="28" t="str">
        <f>IFERROR(IF(OHF3="No",IF(VLOOKUP(DATE($K$1,$K$2,OGW$4),Table1[],(MATCH(Calendar!$A18,DB!$1:$1,0)),FALSE)&gt;=5,"Good","Bad"),VLOOKUP(DATE($K$1,$K$2,OGW$4),Table1[],(MATCH(Calendar!$A18,DB!$1:$1,0)),FALSE)),"")</f>
        <v/>
      </c>
      <c r="OGX18" s="28" t="str">
        <f>IFERROR(IF(OHG3="No",IF(VLOOKUP(DATE($K$1,$K$2,OGX$4),Table1[],(MATCH(Calendar!$A18,DB!$1:$1,0)),FALSE)&gt;=5,"Good","Bad"),VLOOKUP(DATE($K$1,$K$2,OGX$4),Table1[],(MATCH(Calendar!$A18,DB!$1:$1,0)),FALSE)),"")</f>
        <v/>
      </c>
      <c r="OGY18" s="28" t="str">
        <f>IFERROR(IF(OHH3="No",IF(VLOOKUP(DATE($K$1,$K$2,OGY$4),Table1[],(MATCH(Calendar!$A18,DB!$1:$1,0)),FALSE)&gt;=5,"Good","Bad"),VLOOKUP(DATE($K$1,$K$2,OGY$4),Table1[],(MATCH(Calendar!$A18,DB!$1:$1,0)),FALSE)),"")</f>
        <v/>
      </c>
      <c r="OGZ18" s="28" t="str">
        <f>IFERROR(IF(OHI3="No",IF(VLOOKUP(DATE($K$1,$K$2,OGZ$4),Table1[],(MATCH(Calendar!$A18,DB!$1:$1,0)),FALSE)&gt;=5,"Good","Bad"),VLOOKUP(DATE($K$1,$K$2,OGZ$4),Table1[],(MATCH(Calendar!$A18,DB!$1:$1,0)),FALSE)),"")</f>
        <v/>
      </c>
      <c r="OHA18" s="28" t="str">
        <f>IFERROR(IF(OHJ3="No",IF(VLOOKUP(DATE($K$1,$K$2,OHA$4),Table1[],(MATCH(Calendar!$A18,DB!$1:$1,0)),FALSE)&gt;=5,"Good","Bad"),VLOOKUP(DATE($K$1,$K$2,OHA$4),Table1[],(MATCH(Calendar!$A18,DB!$1:$1,0)),FALSE)),"")</f>
        <v/>
      </c>
      <c r="OHB18" s="28" t="str">
        <f>IFERROR(IF(OHK3="No",IF(VLOOKUP(DATE($K$1,$K$2,OHB$4),Table1[],(MATCH(Calendar!$A18,DB!$1:$1,0)),FALSE)&gt;=5,"Good","Bad"),VLOOKUP(DATE($K$1,$K$2,OHB$4),Table1[],(MATCH(Calendar!$A18,DB!$1:$1,0)),FALSE)),"")</f>
        <v/>
      </c>
      <c r="OHC18" s="28" t="str">
        <f>IFERROR(IF(OHL3="No",IF(VLOOKUP(DATE($K$1,$K$2,OHC$4),Table1[],(MATCH(Calendar!$A18,DB!$1:$1,0)),FALSE)&gt;=5,"Good","Bad"),VLOOKUP(DATE($K$1,$K$2,OHC$4),Table1[],(MATCH(Calendar!$A18,DB!$1:$1,0)),FALSE)),"")</f>
        <v/>
      </c>
      <c r="OHD18" s="28" t="str">
        <f>IFERROR(IF(OHM3="No",IF(VLOOKUP(DATE($K$1,$K$2,OHD$4),Table1[],(MATCH(Calendar!$A18,DB!$1:$1,0)),FALSE)&gt;=5,"Good","Bad"),VLOOKUP(DATE($K$1,$K$2,OHD$4),Table1[],(MATCH(Calendar!$A18,DB!$1:$1,0)),FALSE)),"")</f>
        <v/>
      </c>
      <c r="OHE18" s="28" t="str">
        <f>IFERROR(IF(OHN3="No",IF(VLOOKUP(DATE($K$1,$K$2,OHE$4),Table1[],(MATCH(Calendar!$A18,DB!$1:$1,0)),FALSE)&gt;=5,"Good","Bad"),VLOOKUP(DATE($K$1,$K$2,OHE$4),Table1[],(MATCH(Calendar!$A18,DB!$1:$1,0)),FALSE)),"")</f>
        <v/>
      </c>
      <c r="OHF18" s="28" t="str">
        <f>IFERROR(IF(OHO3="No",IF(VLOOKUP(DATE($K$1,$K$2,OHF$4),Table1[],(MATCH(Calendar!$A18,DB!$1:$1,0)),FALSE)&gt;=5,"Good","Bad"),VLOOKUP(DATE($K$1,$K$2,OHF$4),Table1[],(MATCH(Calendar!$A18,DB!$1:$1,0)),FALSE)),"")</f>
        <v/>
      </c>
      <c r="OHG18" s="28" t="str">
        <f>IFERROR(IF(OHP3="No",IF(VLOOKUP(DATE($K$1,$K$2,OHG$4),Table1[],(MATCH(Calendar!$A18,DB!$1:$1,0)),FALSE)&gt;=5,"Good","Bad"),VLOOKUP(DATE($K$1,$K$2,OHG$4),Table1[],(MATCH(Calendar!$A18,DB!$1:$1,0)),FALSE)),"")</f>
        <v/>
      </c>
      <c r="OHH18" s="28" t="str">
        <f>IFERROR(IF(OHQ3="No",IF(VLOOKUP(DATE($K$1,$K$2,OHH$4),Table1[],(MATCH(Calendar!$A18,DB!$1:$1,0)),FALSE)&gt;=5,"Good","Bad"),VLOOKUP(DATE($K$1,$K$2,OHH$4),Table1[],(MATCH(Calendar!$A18,DB!$1:$1,0)),FALSE)),"")</f>
        <v/>
      </c>
      <c r="OHI18" s="28" t="str">
        <f>IFERROR(IF(OHR3="No",IF(VLOOKUP(DATE($K$1,$K$2,OHI$4),Table1[],(MATCH(Calendar!$A18,DB!$1:$1,0)),FALSE)&gt;=5,"Good","Bad"),VLOOKUP(DATE($K$1,$K$2,OHI$4),Table1[],(MATCH(Calendar!$A18,DB!$1:$1,0)),FALSE)),"")</f>
        <v/>
      </c>
      <c r="OHJ18" s="28" t="str">
        <f>IFERROR(IF(OHS3="No",IF(VLOOKUP(DATE($K$1,$K$2,OHJ$4),Table1[],(MATCH(Calendar!$A18,DB!$1:$1,0)),FALSE)&gt;=5,"Good","Bad"),VLOOKUP(DATE($K$1,$K$2,OHJ$4),Table1[],(MATCH(Calendar!$A18,DB!$1:$1,0)),FALSE)),"")</f>
        <v/>
      </c>
      <c r="OHK18" s="28" t="str">
        <f>IFERROR(IF(OHT3="No",IF(VLOOKUP(DATE($K$1,$K$2,OHK$4),Table1[],(MATCH(Calendar!$A18,DB!$1:$1,0)),FALSE)&gt;=5,"Good","Bad"),VLOOKUP(DATE($K$1,$K$2,OHK$4),Table1[],(MATCH(Calendar!$A18,DB!$1:$1,0)),FALSE)),"")</f>
        <v/>
      </c>
      <c r="OHL18" s="28" t="str">
        <f>IFERROR(IF(OHU3="No",IF(VLOOKUP(DATE($K$1,$K$2,OHL$4),Table1[],(MATCH(Calendar!$A18,DB!$1:$1,0)),FALSE)&gt;=5,"Good","Bad"),VLOOKUP(DATE($K$1,$K$2,OHL$4),Table1[],(MATCH(Calendar!$A18,DB!$1:$1,0)),FALSE)),"")</f>
        <v/>
      </c>
      <c r="OHM18" s="28" t="str">
        <f>IFERROR(IF(OHV3="No",IF(VLOOKUP(DATE($K$1,$K$2,OHM$4),Table1[],(MATCH(Calendar!$A18,DB!$1:$1,0)),FALSE)&gt;=5,"Good","Bad"),VLOOKUP(DATE($K$1,$K$2,OHM$4),Table1[],(MATCH(Calendar!$A18,DB!$1:$1,0)),FALSE)),"")</f>
        <v/>
      </c>
      <c r="OHN18" s="28" t="str">
        <f>IFERROR(IF(OHW3="No",IF(VLOOKUP(DATE($K$1,$K$2,OHN$4),Table1[],(MATCH(Calendar!$A18,DB!$1:$1,0)),FALSE)&gt;=5,"Good","Bad"),VLOOKUP(DATE($K$1,$K$2,OHN$4),Table1[],(MATCH(Calendar!$A18,DB!$1:$1,0)),FALSE)),"")</f>
        <v/>
      </c>
      <c r="OHO18" s="28" t="str">
        <f>IFERROR(IF(OHX3="No",IF(VLOOKUP(DATE($K$1,$K$2,OHO$4),Table1[],(MATCH(Calendar!$A18,DB!$1:$1,0)),FALSE)&gt;=5,"Good","Bad"),VLOOKUP(DATE($K$1,$K$2,OHO$4),Table1[],(MATCH(Calendar!$A18,DB!$1:$1,0)),FALSE)),"")</f>
        <v/>
      </c>
      <c r="OHP18" s="28" t="str">
        <f>IFERROR(IF(OHY3="No",IF(VLOOKUP(DATE($K$1,$K$2,OHP$4),Table1[],(MATCH(Calendar!$A18,DB!$1:$1,0)),FALSE)&gt;=5,"Good","Bad"),VLOOKUP(DATE($K$1,$K$2,OHP$4),Table1[],(MATCH(Calendar!$A18,DB!$1:$1,0)),FALSE)),"")</f>
        <v/>
      </c>
      <c r="OHQ18" s="28" t="str">
        <f>IFERROR(IF(OHZ3="No",IF(VLOOKUP(DATE($K$1,$K$2,OHQ$4),Table1[],(MATCH(Calendar!$A18,DB!$1:$1,0)),FALSE)&gt;=5,"Good","Bad"),VLOOKUP(DATE($K$1,$K$2,OHQ$4),Table1[],(MATCH(Calendar!$A18,DB!$1:$1,0)),FALSE)),"")</f>
        <v/>
      </c>
      <c r="OHR18" s="28" t="str">
        <f>IFERROR(IF(OIA3="No",IF(VLOOKUP(DATE($K$1,$K$2,OHR$4),Table1[],(MATCH(Calendar!$A18,DB!$1:$1,0)),FALSE)&gt;=5,"Good","Bad"),VLOOKUP(DATE($K$1,$K$2,OHR$4),Table1[],(MATCH(Calendar!$A18,DB!$1:$1,0)),FALSE)),"")</f>
        <v/>
      </c>
      <c r="OHS18" s="28" t="str">
        <f>IFERROR(IF(OIB3="No",IF(VLOOKUP(DATE($K$1,$K$2,OHS$4),Table1[],(MATCH(Calendar!$A18,DB!$1:$1,0)),FALSE)&gt;=5,"Good","Bad"),VLOOKUP(DATE($K$1,$K$2,OHS$4),Table1[],(MATCH(Calendar!$A18,DB!$1:$1,0)),FALSE)),"")</f>
        <v/>
      </c>
      <c r="OHT18" s="28" t="str">
        <f>IFERROR(IF(OIC3="No",IF(VLOOKUP(DATE($K$1,$K$2,OHT$4),Table1[],(MATCH(Calendar!$A18,DB!$1:$1,0)),FALSE)&gt;=5,"Good","Bad"),VLOOKUP(DATE($K$1,$K$2,OHT$4),Table1[],(MATCH(Calendar!$A18,DB!$1:$1,0)),FALSE)),"")</f>
        <v/>
      </c>
      <c r="OHU18" s="28" t="str">
        <f>IFERROR(IF(OID3="No",IF(VLOOKUP(DATE($K$1,$K$2,OHU$4),Table1[],(MATCH(Calendar!$A18,DB!$1:$1,0)),FALSE)&gt;=5,"Good","Bad"),VLOOKUP(DATE($K$1,$K$2,OHU$4),Table1[],(MATCH(Calendar!$A18,DB!$1:$1,0)),FALSE)),"")</f>
        <v/>
      </c>
      <c r="OHV18" s="28" t="str">
        <f>IFERROR(IF(OIE3="No",IF(VLOOKUP(DATE($K$1,$K$2,OHV$4),Table1[],(MATCH(Calendar!$A18,DB!$1:$1,0)),FALSE)&gt;=5,"Good","Bad"),VLOOKUP(DATE($K$1,$K$2,OHV$4),Table1[],(MATCH(Calendar!$A18,DB!$1:$1,0)),FALSE)),"")</f>
        <v/>
      </c>
      <c r="OHW18" s="28" t="str">
        <f>IFERROR(IF(OIF3="No",IF(VLOOKUP(DATE($K$1,$K$2,OHW$4),Table1[],(MATCH(Calendar!$A18,DB!$1:$1,0)),FALSE)&gt;=5,"Good","Bad"),VLOOKUP(DATE($K$1,$K$2,OHW$4),Table1[],(MATCH(Calendar!$A18,DB!$1:$1,0)),FALSE)),"")</f>
        <v/>
      </c>
      <c r="OHX18" s="28" t="str">
        <f>IFERROR(IF(OIG3="No",IF(VLOOKUP(DATE($K$1,$K$2,OHX$4),Table1[],(MATCH(Calendar!$A18,DB!$1:$1,0)),FALSE)&gt;=5,"Good","Bad"),VLOOKUP(DATE($K$1,$K$2,OHX$4),Table1[],(MATCH(Calendar!$A18,DB!$1:$1,0)),FALSE)),"")</f>
        <v/>
      </c>
      <c r="OHY18" s="28" t="str">
        <f>IFERROR(IF(OIH3="No",IF(VLOOKUP(DATE($K$1,$K$2,OHY$4),Table1[],(MATCH(Calendar!$A18,DB!$1:$1,0)),FALSE)&gt;=5,"Good","Bad"),VLOOKUP(DATE($K$1,$K$2,OHY$4),Table1[],(MATCH(Calendar!$A18,DB!$1:$1,0)),FALSE)),"")</f>
        <v/>
      </c>
      <c r="OHZ18" s="28" t="str">
        <f>IFERROR(IF(OII3="No",IF(VLOOKUP(DATE($K$1,$K$2,OHZ$4),Table1[],(MATCH(Calendar!$A18,DB!$1:$1,0)),FALSE)&gt;=5,"Good","Bad"),VLOOKUP(DATE($K$1,$K$2,OHZ$4),Table1[],(MATCH(Calendar!$A18,DB!$1:$1,0)),FALSE)),"")</f>
        <v/>
      </c>
      <c r="OIA18" s="28" t="str">
        <f>IFERROR(IF(OIJ3="No",IF(VLOOKUP(DATE($K$1,$K$2,OIA$4),Table1[],(MATCH(Calendar!$A18,DB!$1:$1,0)),FALSE)&gt;=5,"Good","Bad"),VLOOKUP(DATE($K$1,$K$2,OIA$4),Table1[],(MATCH(Calendar!$A18,DB!$1:$1,0)),FALSE)),"")</f>
        <v/>
      </c>
      <c r="OIB18" s="28" t="str">
        <f>IFERROR(IF(OIK3="No",IF(VLOOKUP(DATE($K$1,$K$2,OIB$4),Table1[],(MATCH(Calendar!$A18,DB!$1:$1,0)),FALSE)&gt;=5,"Good","Bad"),VLOOKUP(DATE($K$1,$K$2,OIB$4),Table1[],(MATCH(Calendar!$A18,DB!$1:$1,0)),FALSE)),"")</f>
        <v/>
      </c>
      <c r="OIC18" s="28" t="str">
        <f>IFERROR(IF(OIL3="No",IF(VLOOKUP(DATE($K$1,$K$2,OIC$4),Table1[],(MATCH(Calendar!$A18,DB!$1:$1,0)),FALSE)&gt;=5,"Good","Bad"),VLOOKUP(DATE($K$1,$K$2,OIC$4),Table1[],(MATCH(Calendar!$A18,DB!$1:$1,0)),FALSE)),"")</f>
        <v/>
      </c>
      <c r="OID18" s="28" t="str">
        <f>IFERROR(IF(OIM3="No",IF(VLOOKUP(DATE($K$1,$K$2,OID$4),Table1[],(MATCH(Calendar!$A18,DB!$1:$1,0)),FALSE)&gt;=5,"Good","Bad"),VLOOKUP(DATE($K$1,$K$2,OID$4),Table1[],(MATCH(Calendar!$A18,DB!$1:$1,0)),FALSE)),"")</f>
        <v/>
      </c>
      <c r="OIE18" s="28" t="str">
        <f>IFERROR(IF(OIN3="No",IF(VLOOKUP(DATE($K$1,$K$2,OIE$4),Table1[],(MATCH(Calendar!$A18,DB!$1:$1,0)),FALSE)&gt;=5,"Good","Bad"),VLOOKUP(DATE($K$1,$K$2,OIE$4),Table1[],(MATCH(Calendar!$A18,DB!$1:$1,0)),FALSE)),"")</f>
        <v/>
      </c>
      <c r="OIF18" s="28" t="str">
        <f>IFERROR(IF(OIO3="No",IF(VLOOKUP(DATE($K$1,$K$2,OIF$4),Table1[],(MATCH(Calendar!$A18,DB!$1:$1,0)),FALSE)&gt;=5,"Good","Bad"),VLOOKUP(DATE($K$1,$K$2,OIF$4),Table1[],(MATCH(Calendar!$A18,DB!$1:$1,0)),FALSE)),"")</f>
        <v/>
      </c>
      <c r="OIG18" s="28" t="str">
        <f>IFERROR(IF(OIP3="No",IF(VLOOKUP(DATE($K$1,$K$2,OIG$4),Table1[],(MATCH(Calendar!$A18,DB!$1:$1,0)),FALSE)&gt;=5,"Good","Bad"),VLOOKUP(DATE($K$1,$K$2,OIG$4),Table1[],(MATCH(Calendar!$A18,DB!$1:$1,0)),FALSE)),"")</f>
        <v/>
      </c>
      <c r="OIH18" s="28" t="str">
        <f>IFERROR(IF(OIQ3="No",IF(VLOOKUP(DATE($K$1,$K$2,OIH$4),Table1[],(MATCH(Calendar!$A18,DB!$1:$1,0)),FALSE)&gt;=5,"Good","Bad"),VLOOKUP(DATE($K$1,$K$2,OIH$4),Table1[],(MATCH(Calendar!$A18,DB!$1:$1,0)),FALSE)),"")</f>
        <v/>
      </c>
      <c r="OII18" s="28" t="str">
        <f>IFERROR(IF(OIR3="No",IF(VLOOKUP(DATE($K$1,$K$2,OII$4),Table1[],(MATCH(Calendar!$A18,DB!$1:$1,0)),FALSE)&gt;=5,"Good","Bad"),VLOOKUP(DATE($K$1,$K$2,OII$4),Table1[],(MATCH(Calendar!$A18,DB!$1:$1,0)),FALSE)),"")</f>
        <v/>
      </c>
      <c r="OIJ18" s="28" t="str">
        <f>IFERROR(IF(OIS3="No",IF(VLOOKUP(DATE($K$1,$K$2,OIJ$4),Table1[],(MATCH(Calendar!$A18,DB!$1:$1,0)),FALSE)&gt;=5,"Good","Bad"),VLOOKUP(DATE($K$1,$K$2,OIJ$4),Table1[],(MATCH(Calendar!$A18,DB!$1:$1,0)),FALSE)),"")</f>
        <v/>
      </c>
      <c r="OIK18" s="28" t="str">
        <f>IFERROR(IF(OIT3="No",IF(VLOOKUP(DATE($K$1,$K$2,OIK$4),Table1[],(MATCH(Calendar!$A18,DB!$1:$1,0)),FALSE)&gt;=5,"Good","Bad"),VLOOKUP(DATE($K$1,$K$2,OIK$4),Table1[],(MATCH(Calendar!$A18,DB!$1:$1,0)),FALSE)),"")</f>
        <v/>
      </c>
      <c r="OIL18" s="28" t="str">
        <f>IFERROR(IF(OIU3="No",IF(VLOOKUP(DATE($K$1,$K$2,OIL$4),Table1[],(MATCH(Calendar!$A18,DB!$1:$1,0)),FALSE)&gt;=5,"Good","Bad"),VLOOKUP(DATE($K$1,$K$2,OIL$4),Table1[],(MATCH(Calendar!$A18,DB!$1:$1,0)),FALSE)),"")</f>
        <v/>
      </c>
      <c r="OIM18" s="28" t="str">
        <f>IFERROR(IF(OIV3="No",IF(VLOOKUP(DATE($K$1,$K$2,OIM$4),Table1[],(MATCH(Calendar!$A18,DB!$1:$1,0)),FALSE)&gt;=5,"Good","Bad"),VLOOKUP(DATE($K$1,$K$2,OIM$4),Table1[],(MATCH(Calendar!$A18,DB!$1:$1,0)),FALSE)),"")</f>
        <v/>
      </c>
      <c r="OIN18" s="28" t="str">
        <f>IFERROR(IF(OIW3="No",IF(VLOOKUP(DATE($K$1,$K$2,OIN$4),Table1[],(MATCH(Calendar!$A18,DB!$1:$1,0)),FALSE)&gt;=5,"Good","Bad"),VLOOKUP(DATE($K$1,$K$2,OIN$4),Table1[],(MATCH(Calendar!$A18,DB!$1:$1,0)),FALSE)),"")</f>
        <v/>
      </c>
      <c r="OIO18" s="28" t="str">
        <f>IFERROR(IF(OIX3="No",IF(VLOOKUP(DATE($K$1,$K$2,OIO$4),Table1[],(MATCH(Calendar!$A18,DB!$1:$1,0)),FALSE)&gt;=5,"Good","Bad"),VLOOKUP(DATE($K$1,$K$2,OIO$4),Table1[],(MATCH(Calendar!$A18,DB!$1:$1,0)),FALSE)),"")</f>
        <v/>
      </c>
      <c r="OIP18" s="28" t="str">
        <f>IFERROR(IF(OIY3="No",IF(VLOOKUP(DATE($K$1,$K$2,OIP$4),Table1[],(MATCH(Calendar!$A18,DB!$1:$1,0)),FALSE)&gt;=5,"Good","Bad"),VLOOKUP(DATE($K$1,$K$2,OIP$4),Table1[],(MATCH(Calendar!$A18,DB!$1:$1,0)),FALSE)),"")</f>
        <v/>
      </c>
      <c r="OIQ18" s="28" t="str">
        <f>IFERROR(IF(OIZ3="No",IF(VLOOKUP(DATE($K$1,$K$2,OIQ$4),Table1[],(MATCH(Calendar!$A18,DB!$1:$1,0)),FALSE)&gt;=5,"Good","Bad"),VLOOKUP(DATE($K$1,$K$2,OIQ$4),Table1[],(MATCH(Calendar!$A18,DB!$1:$1,0)),FALSE)),"")</f>
        <v/>
      </c>
      <c r="OIR18" s="28" t="str">
        <f>IFERROR(IF(OJA3="No",IF(VLOOKUP(DATE($K$1,$K$2,OIR$4),Table1[],(MATCH(Calendar!$A18,DB!$1:$1,0)),FALSE)&gt;=5,"Good","Bad"),VLOOKUP(DATE($K$1,$K$2,OIR$4),Table1[],(MATCH(Calendar!$A18,DB!$1:$1,0)),FALSE)),"")</f>
        <v/>
      </c>
      <c r="OIS18" s="28" t="str">
        <f>IFERROR(IF(OJB3="No",IF(VLOOKUP(DATE($K$1,$K$2,OIS$4),Table1[],(MATCH(Calendar!$A18,DB!$1:$1,0)),FALSE)&gt;=5,"Good","Bad"),VLOOKUP(DATE($K$1,$K$2,OIS$4),Table1[],(MATCH(Calendar!$A18,DB!$1:$1,0)),FALSE)),"")</f>
        <v/>
      </c>
      <c r="OIT18" s="28" t="str">
        <f>IFERROR(IF(OJC3="No",IF(VLOOKUP(DATE($K$1,$K$2,OIT$4),Table1[],(MATCH(Calendar!$A18,DB!$1:$1,0)),FALSE)&gt;=5,"Good","Bad"),VLOOKUP(DATE($K$1,$K$2,OIT$4),Table1[],(MATCH(Calendar!$A18,DB!$1:$1,0)),FALSE)),"")</f>
        <v/>
      </c>
      <c r="OIU18" s="28" t="str">
        <f>IFERROR(IF(OJD3="No",IF(VLOOKUP(DATE($K$1,$K$2,OIU$4),Table1[],(MATCH(Calendar!$A18,DB!$1:$1,0)),FALSE)&gt;=5,"Good","Bad"),VLOOKUP(DATE($K$1,$K$2,OIU$4),Table1[],(MATCH(Calendar!$A18,DB!$1:$1,0)),FALSE)),"")</f>
        <v/>
      </c>
      <c r="OIV18" s="28" t="str">
        <f>IFERROR(IF(OJE3="No",IF(VLOOKUP(DATE($K$1,$K$2,OIV$4),Table1[],(MATCH(Calendar!$A18,DB!$1:$1,0)),FALSE)&gt;=5,"Good","Bad"),VLOOKUP(DATE($K$1,$K$2,OIV$4),Table1[],(MATCH(Calendar!$A18,DB!$1:$1,0)),FALSE)),"")</f>
        <v/>
      </c>
      <c r="OIW18" s="28" t="str">
        <f>IFERROR(IF(OJF3="No",IF(VLOOKUP(DATE($K$1,$K$2,OIW$4),Table1[],(MATCH(Calendar!$A18,DB!$1:$1,0)),FALSE)&gt;=5,"Good","Bad"),VLOOKUP(DATE($K$1,$K$2,OIW$4),Table1[],(MATCH(Calendar!$A18,DB!$1:$1,0)),FALSE)),"")</f>
        <v/>
      </c>
      <c r="OIX18" s="28" t="str">
        <f>IFERROR(IF(OJG3="No",IF(VLOOKUP(DATE($K$1,$K$2,OIX$4),Table1[],(MATCH(Calendar!$A18,DB!$1:$1,0)),FALSE)&gt;=5,"Good","Bad"),VLOOKUP(DATE($K$1,$K$2,OIX$4),Table1[],(MATCH(Calendar!$A18,DB!$1:$1,0)),FALSE)),"")</f>
        <v/>
      </c>
      <c r="OIY18" s="28" t="str">
        <f>IFERROR(IF(OJH3="No",IF(VLOOKUP(DATE($K$1,$K$2,OIY$4),Table1[],(MATCH(Calendar!$A18,DB!$1:$1,0)),FALSE)&gt;=5,"Good","Bad"),VLOOKUP(DATE($K$1,$K$2,OIY$4),Table1[],(MATCH(Calendar!$A18,DB!$1:$1,0)),FALSE)),"")</f>
        <v/>
      </c>
      <c r="OIZ18" s="28" t="str">
        <f>IFERROR(IF(OJI3="No",IF(VLOOKUP(DATE($K$1,$K$2,OIZ$4),Table1[],(MATCH(Calendar!$A18,DB!$1:$1,0)),FALSE)&gt;=5,"Good","Bad"),VLOOKUP(DATE($K$1,$K$2,OIZ$4),Table1[],(MATCH(Calendar!$A18,DB!$1:$1,0)),FALSE)),"")</f>
        <v/>
      </c>
      <c r="OJA18" s="28" t="str">
        <f>IFERROR(IF(OJJ3="No",IF(VLOOKUP(DATE($K$1,$K$2,OJA$4),Table1[],(MATCH(Calendar!$A18,DB!$1:$1,0)),FALSE)&gt;=5,"Good","Bad"),VLOOKUP(DATE($K$1,$K$2,OJA$4),Table1[],(MATCH(Calendar!$A18,DB!$1:$1,0)),FALSE)),"")</f>
        <v/>
      </c>
      <c r="OJB18" s="28" t="str">
        <f>IFERROR(IF(OJK3="No",IF(VLOOKUP(DATE($K$1,$K$2,OJB$4),Table1[],(MATCH(Calendar!$A18,DB!$1:$1,0)),FALSE)&gt;=5,"Good","Bad"),VLOOKUP(DATE($K$1,$K$2,OJB$4),Table1[],(MATCH(Calendar!$A18,DB!$1:$1,0)),FALSE)),"")</f>
        <v/>
      </c>
      <c r="OJC18" s="28" t="str">
        <f>IFERROR(IF(OJL3="No",IF(VLOOKUP(DATE($K$1,$K$2,OJC$4),Table1[],(MATCH(Calendar!$A18,DB!$1:$1,0)),FALSE)&gt;=5,"Good","Bad"),VLOOKUP(DATE($K$1,$K$2,OJC$4),Table1[],(MATCH(Calendar!$A18,DB!$1:$1,0)),FALSE)),"")</f>
        <v/>
      </c>
      <c r="OJD18" s="28" t="str">
        <f>IFERROR(IF(OJM3="No",IF(VLOOKUP(DATE($K$1,$K$2,OJD$4),Table1[],(MATCH(Calendar!$A18,DB!$1:$1,0)),FALSE)&gt;=5,"Good","Bad"),VLOOKUP(DATE($K$1,$K$2,OJD$4),Table1[],(MATCH(Calendar!$A18,DB!$1:$1,0)),FALSE)),"")</f>
        <v/>
      </c>
      <c r="OJE18" s="28" t="str">
        <f>IFERROR(IF(OJN3="No",IF(VLOOKUP(DATE($K$1,$K$2,OJE$4),Table1[],(MATCH(Calendar!$A18,DB!$1:$1,0)),FALSE)&gt;=5,"Good","Bad"),VLOOKUP(DATE($K$1,$K$2,OJE$4),Table1[],(MATCH(Calendar!$A18,DB!$1:$1,0)),FALSE)),"")</f>
        <v/>
      </c>
      <c r="OJF18" s="28" t="str">
        <f>IFERROR(IF(OJO3="No",IF(VLOOKUP(DATE($K$1,$K$2,OJF$4),Table1[],(MATCH(Calendar!$A18,DB!$1:$1,0)),FALSE)&gt;=5,"Good","Bad"),VLOOKUP(DATE($K$1,$K$2,OJF$4),Table1[],(MATCH(Calendar!$A18,DB!$1:$1,0)),FALSE)),"")</f>
        <v/>
      </c>
      <c r="OJG18" s="28" t="str">
        <f>IFERROR(IF(OJP3="No",IF(VLOOKUP(DATE($K$1,$K$2,OJG$4),Table1[],(MATCH(Calendar!$A18,DB!$1:$1,0)),FALSE)&gt;=5,"Good","Bad"),VLOOKUP(DATE($K$1,$K$2,OJG$4),Table1[],(MATCH(Calendar!$A18,DB!$1:$1,0)),FALSE)),"")</f>
        <v/>
      </c>
      <c r="OJH18" s="28" t="str">
        <f>IFERROR(IF(OJQ3="No",IF(VLOOKUP(DATE($K$1,$K$2,OJH$4),Table1[],(MATCH(Calendar!$A18,DB!$1:$1,0)),FALSE)&gt;=5,"Good","Bad"),VLOOKUP(DATE($K$1,$K$2,OJH$4),Table1[],(MATCH(Calendar!$A18,DB!$1:$1,0)),FALSE)),"")</f>
        <v/>
      </c>
      <c r="OJI18" s="28" t="str">
        <f>IFERROR(IF(OJR3="No",IF(VLOOKUP(DATE($K$1,$K$2,OJI$4),Table1[],(MATCH(Calendar!$A18,DB!$1:$1,0)),FALSE)&gt;=5,"Good","Bad"),VLOOKUP(DATE($K$1,$K$2,OJI$4),Table1[],(MATCH(Calendar!$A18,DB!$1:$1,0)),FALSE)),"")</f>
        <v/>
      </c>
      <c r="OJJ18" s="28" t="str">
        <f>IFERROR(IF(OJS3="No",IF(VLOOKUP(DATE($K$1,$K$2,OJJ$4),Table1[],(MATCH(Calendar!$A18,DB!$1:$1,0)),FALSE)&gt;=5,"Good","Bad"),VLOOKUP(DATE($K$1,$K$2,OJJ$4),Table1[],(MATCH(Calendar!$A18,DB!$1:$1,0)),FALSE)),"")</f>
        <v/>
      </c>
      <c r="OJK18" s="28" t="str">
        <f>IFERROR(IF(OJT3="No",IF(VLOOKUP(DATE($K$1,$K$2,OJK$4),Table1[],(MATCH(Calendar!$A18,DB!$1:$1,0)),FALSE)&gt;=5,"Good","Bad"),VLOOKUP(DATE($K$1,$K$2,OJK$4),Table1[],(MATCH(Calendar!$A18,DB!$1:$1,0)),FALSE)),"")</f>
        <v/>
      </c>
      <c r="OJL18" s="28" t="str">
        <f>IFERROR(IF(OJU3="No",IF(VLOOKUP(DATE($K$1,$K$2,OJL$4),Table1[],(MATCH(Calendar!$A18,DB!$1:$1,0)),FALSE)&gt;=5,"Good","Bad"),VLOOKUP(DATE($K$1,$K$2,OJL$4),Table1[],(MATCH(Calendar!$A18,DB!$1:$1,0)),FALSE)),"")</f>
        <v/>
      </c>
      <c r="OJM18" s="28" t="str">
        <f>IFERROR(IF(OJV3="No",IF(VLOOKUP(DATE($K$1,$K$2,OJM$4),Table1[],(MATCH(Calendar!$A18,DB!$1:$1,0)),FALSE)&gt;=5,"Good","Bad"),VLOOKUP(DATE($K$1,$K$2,OJM$4),Table1[],(MATCH(Calendar!$A18,DB!$1:$1,0)),FALSE)),"")</f>
        <v/>
      </c>
      <c r="OJN18" s="28" t="str">
        <f>IFERROR(IF(OJW3="No",IF(VLOOKUP(DATE($K$1,$K$2,OJN$4),Table1[],(MATCH(Calendar!$A18,DB!$1:$1,0)),FALSE)&gt;=5,"Good","Bad"),VLOOKUP(DATE($K$1,$K$2,OJN$4),Table1[],(MATCH(Calendar!$A18,DB!$1:$1,0)),FALSE)),"")</f>
        <v/>
      </c>
      <c r="OJO18" s="28" t="str">
        <f>IFERROR(IF(OJX3="No",IF(VLOOKUP(DATE($K$1,$K$2,OJO$4),Table1[],(MATCH(Calendar!$A18,DB!$1:$1,0)),FALSE)&gt;=5,"Good","Bad"),VLOOKUP(DATE($K$1,$K$2,OJO$4),Table1[],(MATCH(Calendar!$A18,DB!$1:$1,0)),FALSE)),"")</f>
        <v/>
      </c>
      <c r="OJP18" s="28" t="str">
        <f>IFERROR(IF(OJY3="No",IF(VLOOKUP(DATE($K$1,$K$2,OJP$4),Table1[],(MATCH(Calendar!$A18,DB!$1:$1,0)),FALSE)&gt;=5,"Good","Bad"),VLOOKUP(DATE($K$1,$K$2,OJP$4),Table1[],(MATCH(Calendar!$A18,DB!$1:$1,0)),FALSE)),"")</f>
        <v/>
      </c>
      <c r="OJQ18" s="28" t="str">
        <f>IFERROR(IF(OJZ3="No",IF(VLOOKUP(DATE($K$1,$K$2,OJQ$4),Table1[],(MATCH(Calendar!$A18,DB!$1:$1,0)),FALSE)&gt;=5,"Good","Bad"),VLOOKUP(DATE($K$1,$K$2,OJQ$4),Table1[],(MATCH(Calendar!$A18,DB!$1:$1,0)),FALSE)),"")</f>
        <v/>
      </c>
      <c r="OJR18" s="28" t="str">
        <f>IFERROR(IF(OKA3="No",IF(VLOOKUP(DATE($K$1,$K$2,OJR$4),Table1[],(MATCH(Calendar!$A18,DB!$1:$1,0)),FALSE)&gt;=5,"Good","Bad"),VLOOKUP(DATE($K$1,$K$2,OJR$4),Table1[],(MATCH(Calendar!$A18,DB!$1:$1,0)),FALSE)),"")</f>
        <v/>
      </c>
      <c r="OJS18" s="28" t="str">
        <f>IFERROR(IF(OKB3="No",IF(VLOOKUP(DATE($K$1,$K$2,OJS$4),Table1[],(MATCH(Calendar!$A18,DB!$1:$1,0)),FALSE)&gt;=5,"Good","Bad"),VLOOKUP(DATE($K$1,$K$2,OJS$4),Table1[],(MATCH(Calendar!$A18,DB!$1:$1,0)),FALSE)),"")</f>
        <v/>
      </c>
      <c r="OJT18" s="28" t="str">
        <f>IFERROR(IF(OKC3="No",IF(VLOOKUP(DATE($K$1,$K$2,OJT$4),Table1[],(MATCH(Calendar!$A18,DB!$1:$1,0)),FALSE)&gt;=5,"Good","Bad"),VLOOKUP(DATE($K$1,$K$2,OJT$4),Table1[],(MATCH(Calendar!$A18,DB!$1:$1,0)),FALSE)),"")</f>
        <v/>
      </c>
      <c r="OJU18" s="28" t="str">
        <f>IFERROR(IF(OKD3="No",IF(VLOOKUP(DATE($K$1,$K$2,OJU$4),Table1[],(MATCH(Calendar!$A18,DB!$1:$1,0)),FALSE)&gt;=5,"Good","Bad"),VLOOKUP(DATE($K$1,$K$2,OJU$4),Table1[],(MATCH(Calendar!$A18,DB!$1:$1,0)),FALSE)),"")</f>
        <v/>
      </c>
      <c r="OJV18" s="28" t="str">
        <f>IFERROR(IF(OKE3="No",IF(VLOOKUP(DATE($K$1,$K$2,OJV$4),Table1[],(MATCH(Calendar!$A18,DB!$1:$1,0)),FALSE)&gt;=5,"Good","Bad"),VLOOKUP(DATE($K$1,$K$2,OJV$4),Table1[],(MATCH(Calendar!$A18,DB!$1:$1,0)),FALSE)),"")</f>
        <v/>
      </c>
      <c r="OJW18" s="28" t="str">
        <f>IFERROR(IF(OKF3="No",IF(VLOOKUP(DATE($K$1,$K$2,OJW$4),Table1[],(MATCH(Calendar!$A18,DB!$1:$1,0)),FALSE)&gt;=5,"Good","Bad"),VLOOKUP(DATE($K$1,$K$2,OJW$4),Table1[],(MATCH(Calendar!$A18,DB!$1:$1,0)),FALSE)),"")</f>
        <v/>
      </c>
      <c r="OJX18" s="28" t="str">
        <f>IFERROR(IF(OKG3="No",IF(VLOOKUP(DATE($K$1,$K$2,OJX$4),Table1[],(MATCH(Calendar!$A18,DB!$1:$1,0)),FALSE)&gt;=5,"Good","Bad"),VLOOKUP(DATE($K$1,$K$2,OJX$4),Table1[],(MATCH(Calendar!$A18,DB!$1:$1,0)),FALSE)),"")</f>
        <v/>
      </c>
      <c r="OJY18" s="28" t="str">
        <f>IFERROR(IF(OKH3="No",IF(VLOOKUP(DATE($K$1,$K$2,OJY$4),Table1[],(MATCH(Calendar!$A18,DB!$1:$1,0)),FALSE)&gt;=5,"Good","Bad"),VLOOKUP(DATE($K$1,$K$2,OJY$4),Table1[],(MATCH(Calendar!$A18,DB!$1:$1,0)),FALSE)),"")</f>
        <v/>
      </c>
      <c r="OJZ18" s="28" t="str">
        <f>IFERROR(IF(OKI3="No",IF(VLOOKUP(DATE($K$1,$K$2,OJZ$4),Table1[],(MATCH(Calendar!$A18,DB!$1:$1,0)),FALSE)&gt;=5,"Good","Bad"),VLOOKUP(DATE($K$1,$K$2,OJZ$4),Table1[],(MATCH(Calendar!$A18,DB!$1:$1,0)),FALSE)),"")</f>
        <v/>
      </c>
      <c r="OKA18" s="28" t="str">
        <f>IFERROR(IF(OKJ3="No",IF(VLOOKUP(DATE($K$1,$K$2,OKA$4),Table1[],(MATCH(Calendar!$A18,DB!$1:$1,0)),FALSE)&gt;=5,"Good","Bad"),VLOOKUP(DATE($K$1,$K$2,OKA$4),Table1[],(MATCH(Calendar!$A18,DB!$1:$1,0)),FALSE)),"")</f>
        <v/>
      </c>
      <c r="OKB18" s="28" t="str">
        <f>IFERROR(IF(OKK3="No",IF(VLOOKUP(DATE($K$1,$K$2,OKB$4),Table1[],(MATCH(Calendar!$A18,DB!$1:$1,0)),FALSE)&gt;=5,"Good","Bad"),VLOOKUP(DATE($K$1,$K$2,OKB$4),Table1[],(MATCH(Calendar!$A18,DB!$1:$1,0)),FALSE)),"")</f>
        <v/>
      </c>
      <c r="OKC18" s="28" t="str">
        <f>IFERROR(IF(OKL3="No",IF(VLOOKUP(DATE($K$1,$K$2,OKC$4),Table1[],(MATCH(Calendar!$A18,DB!$1:$1,0)),FALSE)&gt;=5,"Good","Bad"),VLOOKUP(DATE($K$1,$K$2,OKC$4),Table1[],(MATCH(Calendar!$A18,DB!$1:$1,0)),FALSE)),"")</f>
        <v/>
      </c>
      <c r="OKD18" s="28" t="str">
        <f>IFERROR(IF(OKM3="No",IF(VLOOKUP(DATE($K$1,$K$2,OKD$4),Table1[],(MATCH(Calendar!$A18,DB!$1:$1,0)),FALSE)&gt;=5,"Good","Bad"),VLOOKUP(DATE($K$1,$K$2,OKD$4),Table1[],(MATCH(Calendar!$A18,DB!$1:$1,0)),FALSE)),"")</f>
        <v/>
      </c>
      <c r="OKE18" s="28" t="str">
        <f>IFERROR(IF(OKN3="No",IF(VLOOKUP(DATE($K$1,$K$2,OKE$4),Table1[],(MATCH(Calendar!$A18,DB!$1:$1,0)),FALSE)&gt;=5,"Good","Bad"),VLOOKUP(DATE($K$1,$K$2,OKE$4),Table1[],(MATCH(Calendar!$A18,DB!$1:$1,0)),FALSE)),"")</f>
        <v/>
      </c>
      <c r="OKF18" s="28" t="str">
        <f>IFERROR(IF(OKO3="No",IF(VLOOKUP(DATE($K$1,$K$2,OKF$4),Table1[],(MATCH(Calendar!$A18,DB!$1:$1,0)),FALSE)&gt;=5,"Good","Bad"),VLOOKUP(DATE($K$1,$K$2,OKF$4),Table1[],(MATCH(Calendar!$A18,DB!$1:$1,0)),FALSE)),"")</f>
        <v/>
      </c>
      <c r="OKG18" s="28" t="str">
        <f>IFERROR(IF(OKP3="No",IF(VLOOKUP(DATE($K$1,$K$2,OKG$4),Table1[],(MATCH(Calendar!$A18,DB!$1:$1,0)),FALSE)&gt;=5,"Good","Bad"),VLOOKUP(DATE($K$1,$K$2,OKG$4),Table1[],(MATCH(Calendar!$A18,DB!$1:$1,0)),FALSE)),"")</f>
        <v/>
      </c>
      <c r="OKH18" s="28" t="str">
        <f>IFERROR(IF(OKQ3="No",IF(VLOOKUP(DATE($K$1,$K$2,OKH$4),Table1[],(MATCH(Calendar!$A18,DB!$1:$1,0)),FALSE)&gt;=5,"Good","Bad"),VLOOKUP(DATE($K$1,$K$2,OKH$4),Table1[],(MATCH(Calendar!$A18,DB!$1:$1,0)),FALSE)),"")</f>
        <v/>
      </c>
      <c r="OKI18" s="28" t="str">
        <f>IFERROR(IF(OKR3="No",IF(VLOOKUP(DATE($K$1,$K$2,OKI$4),Table1[],(MATCH(Calendar!$A18,DB!$1:$1,0)),FALSE)&gt;=5,"Good","Bad"),VLOOKUP(DATE($K$1,$K$2,OKI$4),Table1[],(MATCH(Calendar!$A18,DB!$1:$1,0)),FALSE)),"")</f>
        <v/>
      </c>
      <c r="OKJ18" s="28" t="str">
        <f>IFERROR(IF(OKS3="No",IF(VLOOKUP(DATE($K$1,$K$2,OKJ$4),Table1[],(MATCH(Calendar!$A18,DB!$1:$1,0)),FALSE)&gt;=5,"Good","Bad"),VLOOKUP(DATE($K$1,$K$2,OKJ$4),Table1[],(MATCH(Calendar!$A18,DB!$1:$1,0)),FALSE)),"")</f>
        <v/>
      </c>
      <c r="OKK18" s="28" t="str">
        <f>IFERROR(IF(OKT3="No",IF(VLOOKUP(DATE($K$1,$K$2,OKK$4),Table1[],(MATCH(Calendar!$A18,DB!$1:$1,0)),FALSE)&gt;=5,"Good","Bad"),VLOOKUP(DATE($K$1,$K$2,OKK$4),Table1[],(MATCH(Calendar!$A18,DB!$1:$1,0)),FALSE)),"")</f>
        <v/>
      </c>
      <c r="OKL18" s="28" t="str">
        <f>IFERROR(IF(OKU3="No",IF(VLOOKUP(DATE($K$1,$K$2,OKL$4),Table1[],(MATCH(Calendar!$A18,DB!$1:$1,0)),FALSE)&gt;=5,"Good","Bad"),VLOOKUP(DATE($K$1,$K$2,OKL$4),Table1[],(MATCH(Calendar!$A18,DB!$1:$1,0)),FALSE)),"")</f>
        <v/>
      </c>
      <c r="OKM18" s="28" t="str">
        <f>IFERROR(IF(OKV3="No",IF(VLOOKUP(DATE($K$1,$K$2,OKM$4),Table1[],(MATCH(Calendar!$A18,DB!$1:$1,0)),FALSE)&gt;=5,"Good","Bad"),VLOOKUP(DATE($K$1,$K$2,OKM$4),Table1[],(MATCH(Calendar!$A18,DB!$1:$1,0)),FALSE)),"")</f>
        <v/>
      </c>
      <c r="OKN18" s="28" t="str">
        <f>IFERROR(IF(OKW3="No",IF(VLOOKUP(DATE($K$1,$K$2,OKN$4),Table1[],(MATCH(Calendar!$A18,DB!$1:$1,0)),FALSE)&gt;=5,"Good","Bad"),VLOOKUP(DATE($K$1,$K$2,OKN$4),Table1[],(MATCH(Calendar!$A18,DB!$1:$1,0)),FALSE)),"")</f>
        <v/>
      </c>
      <c r="OKO18" s="28" t="str">
        <f>IFERROR(IF(OKX3="No",IF(VLOOKUP(DATE($K$1,$K$2,OKO$4),Table1[],(MATCH(Calendar!$A18,DB!$1:$1,0)),FALSE)&gt;=5,"Good","Bad"),VLOOKUP(DATE($K$1,$K$2,OKO$4),Table1[],(MATCH(Calendar!$A18,DB!$1:$1,0)),FALSE)),"")</f>
        <v/>
      </c>
      <c r="OKP18" s="28" t="str">
        <f>IFERROR(IF(OKY3="No",IF(VLOOKUP(DATE($K$1,$K$2,OKP$4),Table1[],(MATCH(Calendar!$A18,DB!$1:$1,0)),FALSE)&gt;=5,"Good","Bad"),VLOOKUP(DATE($K$1,$K$2,OKP$4),Table1[],(MATCH(Calendar!$A18,DB!$1:$1,0)),FALSE)),"")</f>
        <v/>
      </c>
      <c r="OKQ18" s="28" t="str">
        <f>IFERROR(IF(OKZ3="No",IF(VLOOKUP(DATE($K$1,$K$2,OKQ$4),Table1[],(MATCH(Calendar!$A18,DB!$1:$1,0)),FALSE)&gt;=5,"Good","Bad"),VLOOKUP(DATE($K$1,$K$2,OKQ$4),Table1[],(MATCH(Calendar!$A18,DB!$1:$1,0)),FALSE)),"")</f>
        <v/>
      </c>
      <c r="OKR18" s="28" t="str">
        <f>IFERROR(IF(OLA3="No",IF(VLOOKUP(DATE($K$1,$K$2,OKR$4),Table1[],(MATCH(Calendar!$A18,DB!$1:$1,0)),FALSE)&gt;=5,"Good","Bad"),VLOOKUP(DATE($K$1,$K$2,OKR$4),Table1[],(MATCH(Calendar!$A18,DB!$1:$1,0)),FALSE)),"")</f>
        <v/>
      </c>
      <c r="OKS18" s="28" t="str">
        <f>IFERROR(IF(OLB3="No",IF(VLOOKUP(DATE($K$1,$K$2,OKS$4),Table1[],(MATCH(Calendar!$A18,DB!$1:$1,0)),FALSE)&gt;=5,"Good","Bad"),VLOOKUP(DATE($K$1,$K$2,OKS$4),Table1[],(MATCH(Calendar!$A18,DB!$1:$1,0)),FALSE)),"")</f>
        <v/>
      </c>
      <c r="OKT18" s="28" t="str">
        <f>IFERROR(IF(OLC3="No",IF(VLOOKUP(DATE($K$1,$K$2,OKT$4),Table1[],(MATCH(Calendar!$A18,DB!$1:$1,0)),FALSE)&gt;=5,"Good","Bad"),VLOOKUP(DATE($K$1,$K$2,OKT$4),Table1[],(MATCH(Calendar!$A18,DB!$1:$1,0)),FALSE)),"")</f>
        <v/>
      </c>
      <c r="OKU18" s="28" t="str">
        <f>IFERROR(IF(OLD3="No",IF(VLOOKUP(DATE($K$1,$K$2,OKU$4),Table1[],(MATCH(Calendar!$A18,DB!$1:$1,0)),FALSE)&gt;=5,"Good","Bad"),VLOOKUP(DATE($K$1,$K$2,OKU$4),Table1[],(MATCH(Calendar!$A18,DB!$1:$1,0)),FALSE)),"")</f>
        <v/>
      </c>
      <c r="OKV18" s="28" t="str">
        <f>IFERROR(IF(OLE3="No",IF(VLOOKUP(DATE($K$1,$K$2,OKV$4),Table1[],(MATCH(Calendar!$A18,DB!$1:$1,0)),FALSE)&gt;=5,"Good","Bad"),VLOOKUP(DATE($K$1,$K$2,OKV$4),Table1[],(MATCH(Calendar!$A18,DB!$1:$1,0)),FALSE)),"")</f>
        <v/>
      </c>
      <c r="OKW18" s="28" t="str">
        <f>IFERROR(IF(OLF3="No",IF(VLOOKUP(DATE($K$1,$K$2,OKW$4),Table1[],(MATCH(Calendar!$A18,DB!$1:$1,0)),FALSE)&gt;=5,"Good","Bad"),VLOOKUP(DATE($K$1,$K$2,OKW$4),Table1[],(MATCH(Calendar!$A18,DB!$1:$1,0)),FALSE)),"")</f>
        <v/>
      </c>
      <c r="OKX18" s="28" t="str">
        <f>IFERROR(IF(OLG3="No",IF(VLOOKUP(DATE($K$1,$K$2,OKX$4),Table1[],(MATCH(Calendar!$A18,DB!$1:$1,0)),FALSE)&gt;=5,"Good","Bad"),VLOOKUP(DATE($K$1,$K$2,OKX$4),Table1[],(MATCH(Calendar!$A18,DB!$1:$1,0)),FALSE)),"")</f>
        <v/>
      </c>
      <c r="OKY18" s="28" t="str">
        <f>IFERROR(IF(OLH3="No",IF(VLOOKUP(DATE($K$1,$K$2,OKY$4),Table1[],(MATCH(Calendar!$A18,DB!$1:$1,0)),FALSE)&gt;=5,"Good","Bad"),VLOOKUP(DATE($K$1,$K$2,OKY$4),Table1[],(MATCH(Calendar!$A18,DB!$1:$1,0)),FALSE)),"")</f>
        <v/>
      </c>
      <c r="OKZ18" s="28" t="str">
        <f>IFERROR(IF(OLI3="No",IF(VLOOKUP(DATE($K$1,$K$2,OKZ$4),Table1[],(MATCH(Calendar!$A18,DB!$1:$1,0)),FALSE)&gt;=5,"Good","Bad"),VLOOKUP(DATE($K$1,$K$2,OKZ$4),Table1[],(MATCH(Calendar!$A18,DB!$1:$1,0)),FALSE)),"")</f>
        <v/>
      </c>
      <c r="OLA18" s="28" t="str">
        <f>IFERROR(IF(OLJ3="No",IF(VLOOKUP(DATE($K$1,$K$2,OLA$4),Table1[],(MATCH(Calendar!$A18,DB!$1:$1,0)),FALSE)&gt;=5,"Good","Bad"),VLOOKUP(DATE($K$1,$K$2,OLA$4),Table1[],(MATCH(Calendar!$A18,DB!$1:$1,0)),FALSE)),"")</f>
        <v/>
      </c>
      <c r="OLB18" s="28" t="str">
        <f>IFERROR(IF(OLK3="No",IF(VLOOKUP(DATE($K$1,$K$2,OLB$4),Table1[],(MATCH(Calendar!$A18,DB!$1:$1,0)),FALSE)&gt;=5,"Good","Bad"),VLOOKUP(DATE($K$1,$K$2,OLB$4),Table1[],(MATCH(Calendar!$A18,DB!$1:$1,0)),FALSE)),"")</f>
        <v/>
      </c>
      <c r="OLC18" s="28" t="str">
        <f>IFERROR(IF(OLL3="No",IF(VLOOKUP(DATE($K$1,$K$2,OLC$4),Table1[],(MATCH(Calendar!$A18,DB!$1:$1,0)),FALSE)&gt;=5,"Good","Bad"),VLOOKUP(DATE($K$1,$K$2,OLC$4),Table1[],(MATCH(Calendar!$A18,DB!$1:$1,0)),FALSE)),"")</f>
        <v/>
      </c>
      <c r="OLD18" s="28" t="str">
        <f>IFERROR(IF(OLM3="No",IF(VLOOKUP(DATE($K$1,$K$2,OLD$4),Table1[],(MATCH(Calendar!$A18,DB!$1:$1,0)),FALSE)&gt;=5,"Good","Bad"),VLOOKUP(DATE($K$1,$K$2,OLD$4),Table1[],(MATCH(Calendar!$A18,DB!$1:$1,0)),FALSE)),"")</f>
        <v/>
      </c>
      <c r="OLE18" s="28" t="str">
        <f>IFERROR(IF(OLN3="No",IF(VLOOKUP(DATE($K$1,$K$2,OLE$4),Table1[],(MATCH(Calendar!$A18,DB!$1:$1,0)),FALSE)&gt;=5,"Good","Bad"),VLOOKUP(DATE($K$1,$K$2,OLE$4),Table1[],(MATCH(Calendar!$A18,DB!$1:$1,0)),FALSE)),"")</f>
        <v/>
      </c>
      <c r="OLF18" s="28" t="str">
        <f>IFERROR(IF(OLO3="No",IF(VLOOKUP(DATE($K$1,$K$2,OLF$4),Table1[],(MATCH(Calendar!$A18,DB!$1:$1,0)),FALSE)&gt;=5,"Good","Bad"),VLOOKUP(DATE($K$1,$K$2,OLF$4),Table1[],(MATCH(Calendar!$A18,DB!$1:$1,0)),FALSE)),"")</f>
        <v/>
      </c>
      <c r="OLG18" s="28" t="str">
        <f>IFERROR(IF(OLP3="No",IF(VLOOKUP(DATE($K$1,$K$2,OLG$4),Table1[],(MATCH(Calendar!$A18,DB!$1:$1,0)),FALSE)&gt;=5,"Good","Bad"),VLOOKUP(DATE($K$1,$K$2,OLG$4),Table1[],(MATCH(Calendar!$A18,DB!$1:$1,0)),FALSE)),"")</f>
        <v/>
      </c>
      <c r="OLH18" s="28" t="str">
        <f>IFERROR(IF(OLQ3="No",IF(VLOOKUP(DATE($K$1,$K$2,OLH$4),Table1[],(MATCH(Calendar!$A18,DB!$1:$1,0)),FALSE)&gt;=5,"Good","Bad"),VLOOKUP(DATE($K$1,$K$2,OLH$4),Table1[],(MATCH(Calendar!$A18,DB!$1:$1,0)),FALSE)),"")</f>
        <v/>
      </c>
      <c r="OLI18" s="28" t="str">
        <f>IFERROR(IF(OLR3="No",IF(VLOOKUP(DATE($K$1,$K$2,OLI$4),Table1[],(MATCH(Calendar!$A18,DB!$1:$1,0)),FALSE)&gt;=5,"Good","Bad"),VLOOKUP(DATE($K$1,$K$2,OLI$4),Table1[],(MATCH(Calendar!$A18,DB!$1:$1,0)),FALSE)),"")</f>
        <v/>
      </c>
      <c r="OLJ18" s="28" t="str">
        <f>IFERROR(IF(OLS3="No",IF(VLOOKUP(DATE($K$1,$K$2,OLJ$4),Table1[],(MATCH(Calendar!$A18,DB!$1:$1,0)),FALSE)&gt;=5,"Good","Bad"),VLOOKUP(DATE($K$1,$K$2,OLJ$4),Table1[],(MATCH(Calendar!$A18,DB!$1:$1,0)),FALSE)),"")</f>
        <v/>
      </c>
      <c r="OLK18" s="28" t="str">
        <f>IFERROR(IF(OLT3="No",IF(VLOOKUP(DATE($K$1,$K$2,OLK$4),Table1[],(MATCH(Calendar!$A18,DB!$1:$1,0)),FALSE)&gt;=5,"Good","Bad"),VLOOKUP(DATE($K$1,$K$2,OLK$4),Table1[],(MATCH(Calendar!$A18,DB!$1:$1,0)),FALSE)),"")</f>
        <v/>
      </c>
      <c r="OLL18" s="28" t="str">
        <f>IFERROR(IF(OLU3="No",IF(VLOOKUP(DATE($K$1,$K$2,OLL$4),Table1[],(MATCH(Calendar!$A18,DB!$1:$1,0)),FALSE)&gt;=5,"Good","Bad"),VLOOKUP(DATE($K$1,$K$2,OLL$4),Table1[],(MATCH(Calendar!$A18,DB!$1:$1,0)),FALSE)),"")</f>
        <v/>
      </c>
      <c r="OLM18" s="28" t="str">
        <f>IFERROR(IF(OLV3="No",IF(VLOOKUP(DATE($K$1,$K$2,OLM$4),Table1[],(MATCH(Calendar!$A18,DB!$1:$1,0)),FALSE)&gt;=5,"Good","Bad"),VLOOKUP(DATE($K$1,$K$2,OLM$4),Table1[],(MATCH(Calendar!$A18,DB!$1:$1,0)),FALSE)),"")</f>
        <v/>
      </c>
      <c r="OLN18" s="28" t="str">
        <f>IFERROR(IF(OLW3="No",IF(VLOOKUP(DATE($K$1,$K$2,OLN$4),Table1[],(MATCH(Calendar!$A18,DB!$1:$1,0)),FALSE)&gt;=5,"Good","Bad"),VLOOKUP(DATE($K$1,$K$2,OLN$4),Table1[],(MATCH(Calendar!$A18,DB!$1:$1,0)),FALSE)),"")</f>
        <v/>
      </c>
      <c r="OLO18" s="28" t="str">
        <f>IFERROR(IF(OLX3="No",IF(VLOOKUP(DATE($K$1,$K$2,OLO$4),Table1[],(MATCH(Calendar!$A18,DB!$1:$1,0)),FALSE)&gt;=5,"Good","Bad"),VLOOKUP(DATE($K$1,$K$2,OLO$4),Table1[],(MATCH(Calendar!$A18,DB!$1:$1,0)),FALSE)),"")</f>
        <v/>
      </c>
      <c r="OLP18" s="28" t="str">
        <f>IFERROR(IF(OLY3="No",IF(VLOOKUP(DATE($K$1,$K$2,OLP$4),Table1[],(MATCH(Calendar!$A18,DB!$1:$1,0)),FALSE)&gt;=5,"Good","Bad"),VLOOKUP(DATE($K$1,$K$2,OLP$4),Table1[],(MATCH(Calendar!$A18,DB!$1:$1,0)),FALSE)),"")</f>
        <v/>
      </c>
      <c r="OLQ18" s="28" t="str">
        <f>IFERROR(IF(OLZ3="No",IF(VLOOKUP(DATE($K$1,$K$2,OLQ$4),Table1[],(MATCH(Calendar!$A18,DB!$1:$1,0)),FALSE)&gt;=5,"Good","Bad"),VLOOKUP(DATE($K$1,$K$2,OLQ$4),Table1[],(MATCH(Calendar!$A18,DB!$1:$1,0)),FALSE)),"")</f>
        <v/>
      </c>
      <c r="OLR18" s="28" t="str">
        <f>IFERROR(IF(OMA3="No",IF(VLOOKUP(DATE($K$1,$K$2,OLR$4),Table1[],(MATCH(Calendar!$A18,DB!$1:$1,0)),FALSE)&gt;=5,"Good","Bad"),VLOOKUP(DATE($K$1,$K$2,OLR$4),Table1[],(MATCH(Calendar!$A18,DB!$1:$1,0)),FALSE)),"")</f>
        <v/>
      </c>
      <c r="OLS18" s="28" t="str">
        <f>IFERROR(IF(OMB3="No",IF(VLOOKUP(DATE($K$1,$K$2,OLS$4),Table1[],(MATCH(Calendar!$A18,DB!$1:$1,0)),FALSE)&gt;=5,"Good","Bad"),VLOOKUP(DATE($K$1,$K$2,OLS$4),Table1[],(MATCH(Calendar!$A18,DB!$1:$1,0)),FALSE)),"")</f>
        <v/>
      </c>
      <c r="OLT18" s="28" t="str">
        <f>IFERROR(IF(OMC3="No",IF(VLOOKUP(DATE($K$1,$K$2,OLT$4),Table1[],(MATCH(Calendar!$A18,DB!$1:$1,0)),FALSE)&gt;=5,"Good","Bad"),VLOOKUP(DATE($K$1,$K$2,OLT$4),Table1[],(MATCH(Calendar!$A18,DB!$1:$1,0)),FALSE)),"")</f>
        <v/>
      </c>
      <c r="OLU18" s="28" t="str">
        <f>IFERROR(IF(OMD3="No",IF(VLOOKUP(DATE($K$1,$K$2,OLU$4),Table1[],(MATCH(Calendar!$A18,DB!$1:$1,0)),FALSE)&gt;=5,"Good","Bad"),VLOOKUP(DATE($K$1,$K$2,OLU$4),Table1[],(MATCH(Calendar!$A18,DB!$1:$1,0)),FALSE)),"")</f>
        <v/>
      </c>
      <c r="OLV18" s="28" t="str">
        <f>IFERROR(IF(OME3="No",IF(VLOOKUP(DATE($K$1,$K$2,OLV$4),Table1[],(MATCH(Calendar!$A18,DB!$1:$1,0)),FALSE)&gt;=5,"Good","Bad"),VLOOKUP(DATE($K$1,$K$2,OLV$4),Table1[],(MATCH(Calendar!$A18,DB!$1:$1,0)),FALSE)),"")</f>
        <v/>
      </c>
      <c r="OLW18" s="28" t="str">
        <f>IFERROR(IF(OMF3="No",IF(VLOOKUP(DATE($K$1,$K$2,OLW$4),Table1[],(MATCH(Calendar!$A18,DB!$1:$1,0)),FALSE)&gt;=5,"Good","Bad"),VLOOKUP(DATE($K$1,$K$2,OLW$4),Table1[],(MATCH(Calendar!$A18,DB!$1:$1,0)),FALSE)),"")</f>
        <v/>
      </c>
      <c r="OLX18" s="28" t="str">
        <f>IFERROR(IF(OMG3="No",IF(VLOOKUP(DATE($K$1,$K$2,OLX$4),Table1[],(MATCH(Calendar!$A18,DB!$1:$1,0)),FALSE)&gt;=5,"Good","Bad"),VLOOKUP(DATE($K$1,$K$2,OLX$4),Table1[],(MATCH(Calendar!$A18,DB!$1:$1,0)),FALSE)),"")</f>
        <v/>
      </c>
      <c r="OLY18" s="28" t="str">
        <f>IFERROR(IF(OMH3="No",IF(VLOOKUP(DATE($K$1,$K$2,OLY$4),Table1[],(MATCH(Calendar!$A18,DB!$1:$1,0)),FALSE)&gt;=5,"Good","Bad"),VLOOKUP(DATE($K$1,$K$2,OLY$4),Table1[],(MATCH(Calendar!$A18,DB!$1:$1,0)),FALSE)),"")</f>
        <v/>
      </c>
      <c r="OLZ18" s="28" t="str">
        <f>IFERROR(IF(OMI3="No",IF(VLOOKUP(DATE($K$1,$K$2,OLZ$4),Table1[],(MATCH(Calendar!$A18,DB!$1:$1,0)),FALSE)&gt;=5,"Good","Bad"),VLOOKUP(DATE($K$1,$K$2,OLZ$4),Table1[],(MATCH(Calendar!$A18,DB!$1:$1,0)),FALSE)),"")</f>
        <v/>
      </c>
      <c r="OMA18" s="28" t="str">
        <f>IFERROR(IF(OMJ3="No",IF(VLOOKUP(DATE($K$1,$K$2,OMA$4),Table1[],(MATCH(Calendar!$A18,DB!$1:$1,0)),FALSE)&gt;=5,"Good","Bad"),VLOOKUP(DATE($K$1,$K$2,OMA$4),Table1[],(MATCH(Calendar!$A18,DB!$1:$1,0)),FALSE)),"")</f>
        <v/>
      </c>
      <c r="OMB18" s="28" t="str">
        <f>IFERROR(IF(OMK3="No",IF(VLOOKUP(DATE($K$1,$K$2,OMB$4),Table1[],(MATCH(Calendar!$A18,DB!$1:$1,0)),FALSE)&gt;=5,"Good","Bad"),VLOOKUP(DATE($K$1,$K$2,OMB$4),Table1[],(MATCH(Calendar!$A18,DB!$1:$1,0)),FALSE)),"")</f>
        <v/>
      </c>
      <c r="OMC18" s="28" t="str">
        <f>IFERROR(IF(OML3="No",IF(VLOOKUP(DATE($K$1,$K$2,OMC$4),Table1[],(MATCH(Calendar!$A18,DB!$1:$1,0)),FALSE)&gt;=5,"Good","Bad"),VLOOKUP(DATE($K$1,$K$2,OMC$4),Table1[],(MATCH(Calendar!$A18,DB!$1:$1,0)),FALSE)),"")</f>
        <v/>
      </c>
      <c r="OMD18" s="28" t="str">
        <f>IFERROR(IF(OMM3="No",IF(VLOOKUP(DATE($K$1,$K$2,OMD$4),Table1[],(MATCH(Calendar!$A18,DB!$1:$1,0)),FALSE)&gt;=5,"Good","Bad"),VLOOKUP(DATE($K$1,$K$2,OMD$4),Table1[],(MATCH(Calendar!$A18,DB!$1:$1,0)),FALSE)),"")</f>
        <v/>
      </c>
      <c r="OME18" s="28" t="str">
        <f>IFERROR(IF(OMN3="No",IF(VLOOKUP(DATE($K$1,$K$2,OME$4),Table1[],(MATCH(Calendar!$A18,DB!$1:$1,0)),FALSE)&gt;=5,"Good","Bad"),VLOOKUP(DATE($K$1,$K$2,OME$4),Table1[],(MATCH(Calendar!$A18,DB!$1:$1,0)),FALSE)),"")</f>
        <v/>
      </c>
      <c r="OMF18" s="28" t="str">
        <f>IFERROR(IF(OMO3="No",IF(VLOOKUP(DATE($K$1,$K$2,OMF$4),Table1[],(MATCH(Calendar!$A18,DB!$1:$1,0)),FALSE)&gt;=5,"Good","Bad"),VLOOKUP(DATE($K$1,$K$2,OMF$4),Table1[],(MATCH(Calendar!$A18,DB!$1:$1,0)),FALSE)),"")</f>
        <v/>
      </c>
      <c r="OMG18" s="28" t="str">
        <f>IFERROR(IF(OMP3="No",IF(VLOOKUP(DATE($K$1,$K$2,OMG$4),Table1[],(MATCH(Calendar!$A18,DB!$1:$1,0)),FALSE)&gt;=5,"Good","Bad"),VLOOKUP(DATE($K$1,$K$2,OMG$4),Table1[],(MATCH(Calendar!$A18,DB!$1:$1,0)),FALSE)),"")</f>
        <v/>
      </c>
      <c r="OMH18" s="28" t="str">
        <f>IFERROR(IF(OMQ3="No",IF(VLOOKUP(DATE($K$1,$K$2,OMH$4),Table1[],(MATCH(Calendar!$A18,DB!$1:$1,0)),FALSE)&gt;=5,"Good","Bad"),VLOOKUP(DATE($K$1,$K$2,OMH$4),Table1[],(MATCH(Calendar!$A18,DB!$1:$1,0)),FALSE)),"")</f>
        <v/>
      </c>
      <c r="OMI18" s="28" t="str">
        <f>IFERROR(IF(OMR3="No",IF(VLOOKUP(DATE($K$1,$K$2,OMI$4),Table1[],(MATCH(Calendar!$A18,DB!$1:$1,0)),FALSE)&gt;=5,"Good","Bad"),VLOOKUP(DATE($K$1,$K$2,OMI$4),Table1[],(MATCH(Calendar!$A18,DB!$1:$1,0)),FALSE)),"")</f>
        <v/>
      </c>
      <c r="OMJ18" s="28" t="str">
        <f>IFERROR(IF(OMS3="No",IF(VLOOKUP(DATE($K$1,$K$2,OMJ$4),Table1[],(MATCH(Calendar!$A18,DB!$1:$1,0)),FALSE)&gt;=5,"Good","Bad"),VLOOKUP(DATE($K$1,$K$2,OMJ$4),Table1[],(MATCH(Calendar!$A18,DB!$1:$1,0)),FALSE)),"")</f>
        <v/>
      </c>
      <c r="OMK18" s="28" t="str">
        <f>IFERROR(IF(OMT3="No",IF(VLOOKUP(DATE($K$1,$K$2,OMK$4),Table1[],(MATCH(Calendar!$A18,DB!$1:$1,0)),FALSE)&gt;=5,"Good","Bad"),VLOOKUP(DATE($K$1,$K$2,OMK$4),Table1[],(MATCH(Calendar!$A18,DB!$1:$1,0)),FALSE)),"")</f>
        <v/>
      </c>
      <c r="OML18" s="28" t="str">
        <f>IFERROR(IF(OMU3="No",IF(VLOOKUP(DATE($K$1,$K$2,OML$4),Table1[],(MATCH(Calendar!$A18,DB!$1:$1,0)),FALSE)&gt;=5,"Good","Bad"),VLOOKUP(DATE($K$1,$K$2,OML$4),Table1[],(MATCH(Calendar!$A18,DB!$1:$1,0)),FALSE)),"")</f>
        <v/>
      </c>
      <c r="OMM18" s="28" t="str">
        <f>IFERROR(IF(OMV3="No",IF(VLOOKUP(DATE($K$1,$K$2,OMM$4),Table1[],(MATCH(Calendar!$A18,DB!$1:$1,0)),FALSE)&gt;=5,"Good","Bad"),VLOOKUP(DATE($K$1,$K$2,OMM$4),Table1[],(MATCH(Calendar!$A18,DB!$1:$1,0)),FALSE)),"")</f>
        <v/>
      </c>
      <c r="OMN18" s="28" t="str">
        <f>IFERROR(IF(OMW3="No",IF(VLOOKUP(DATE($K$1,$K$2,OMN$4),Table1[],(MATCH(Calendar!$A18,DB!$1:$1,0)),FALSE)&gt;=5,"Good","Bad"),VLOOKUP(DATE($K$1,$K$2,OMN$4),Table1[],(MATCH(Calendar!$A18,DB!$1:$1,0)),FALSE)),"")</f>
        <v/>
      </c>
      <c r="OMO18" s="28" t="str">
        <f>IFERROR(IF(OMX3="No",IF(VLOOKUP(DATE($K$1,$K$2,OMO$4),Table1[],(MATCH(Calendar!$A18,DB!$1:$1,0)),FALSE)&gt;=5,"Good","Bad"),VLOOKUP(DATE($K$1,$K$2,OMO$4),Table1[],(MATCH(Calendar!$A18,DB!$1:$1,0)),FALSE)),"")</f>
        <v/>
      </c>
      <c r="OMP18" s="28" t="str">
        <f>IFERROR(IF(OMY3="No",IF(VLOOKUP(DATE($K$1,$K$2,OMP$4),Table1[],(MATCH(Calendar!$A18,DB!$1:$1,0)),FALSE)&gt;=5,"Good","Bad"),VLOOKUP(DATE($K$1,$K$2,OMP$4),Table1[],(MATCH(Calendar!$A18,DB!$1:$1,0)),FALSE)),"")</f>
        <v/>
      </c>
      <c r="OMQ18" s="28" t="str">
        <f>IFERROR(IF(OMZ3="No",IF(VLOOKUP(DATE($K$1,$K$2,OMQ$4),Table1[],(MATCH(Calendar!$A18,DB!$1:$1,0)),FALSE)&gt;=5,"Good","Bad"),VLOOKUP(DATE($K$1,$K$2,OMQ$4),Table1[],(MATCH(Calendar!$A18,DB!$1:$1,0)),FALSE)),"")</f>
        <v/>
      </c>
      <c r="OMR18" s="28" t="str">
        <f>IFERROR(IF(ONA3="No",IF(VLOOKUP(DATE($K$1,$K$2,OMR$4),Table1[],(MATCH(Calendar!$A18,DB!$1:$1,0)),FALSE)&gt;=5,"Good","Bad"),VLOOKUP(DATE($K$1,$K$2,OMR$4),Table1[],(MATCH(Calendar!$A18,DB!$1:$1,0)),FALSE)),"")</f>
        <v/>
      </c>
      <c r="OMS18" s="28" t="str">
        <f>IFERROR(IF(ONB3="No",IF(VLOOKUP(DATE($K$1,$K$2,OMS$4),Table1[],(MATCH(Calendar!$A18,DB!$1:$1,0)),FALSE)&gt;=5,"Good","Bad"),VLOOKUP(DATE($K$1,$K$2,OMS$4),Table1[],(MATCH(Calendar!$A18,DB!$1:$1,0)),FALSE)),"")</f>
        <v/>
      </c>
      <c r="OMT18" s="28" t="str">
        <f>IFERROR(IF(ONC3="No",IF(VLOOKUP(DATE($K$1,$K$2,OMT$4),Table1[],(MATCH(Calendar!$A18,DB!$1:$1,0)),FALSE)&gt;=5,"Good","Bad"),VLOOKUP(DATE($K$1,$K$2,OMT$4),Table1[],(MATCH(Calendar!$A18,DB!$1:$1,0)),FALSE)),"")</f>
        <v/>
      </c>
      <c r="OMU18" s="28" t="str">
        <f>IFERROR(IF(OND3="No",IF(VLOOKUP(DATE($K$1,$K$2,OMU$4),Table1[],(MATCH(Calendar!$A18,DB!$1:$1,0)),FALSE)&gt;=5,"Good","Bad"),VLOOKUP(DATE($K$1,$K$2,OMU$4),Table1[],(MATCH(Calendar!$A18,DB!$1:$1,0)),FALSE)),"")</f>
        <v/>
      </c>
      <c r="OMV18" s="28" t="str">
        <f>IFERROR(IF(ONE3="No",IF(VLOOKUP(DATE($K$1,$K$2,OMV$4),Table1[],(MATCH(Calendar!$A18,DB!$1:$1,0)),FALSE)&gt;=5,"Good","Bad"),VLOOKUP(DATE($K$1,$K$2,OMV$4),Table1[],(MATCH(Calendar!$A18,DB!$1:$1,0)),FALSE)),"")</f>
        <v/>
      </c>
      <c r="OMW18" s="28" t="str">
        <f>IFERROR(IF(ONF3="No",IF(VLOOKUP(DATE($K$1,$K$2,OMW$4),Table1[],(MATCH(Calendar!$A18,DB!$1:$1,0)),FALSE)&gt;=5,"Good","Bad"),VLOOKUP(DATE($K$1,$K$2,OMW$4),Table1[],(MATCH(Calendar!$A18,DB!$1:$1,0)),FALSE)),"")</f>
        <v/>
      </c>
      <c r="OMX18" s="28" t="str">
        <f>IFERROR(IF(ONG3="No",IF(VLOOKUP(DATE($K$1,$K$2,OMX$4),Table1[],(MATCH(Calendar!$A18,DB!$1:$1,0)),FALSE)&gt;=5,"Good","Bad"),VLOOKUP(DATE($K$1,$K$2,OMX$4),Table1[],(MATCH(Calendar!$A18,DB!$1:$1,0)),FALSE)),"")</f>
        <v/>
      </c>
      <c r="OMY18" s="28" t="str">
        <f>IFERROR(IF(ONH3="No",IF(VLOOKUP(DATE($K$1,$K$2,OMY$4),Table1[],(MATCH(Calendar!$A18,DB!$1:$1,0)),FALSE)&gt;=5,"Good","Bad"),VLOOKUP(DATE($K$1,$K$2,OMY$4),Table1[],(MATCH(Calendar!$A18,DB!$1:$1,0)),FALSE)),"")</f>
        <v/>
      </c>
      <c r="OMZ18" s="28" t="str">
        <f>IFERROR(IF(ONI3="No",IF(VLOOKUP(DATE($K$1,$K$2,OMZ$4),Table1[],(MATCH(Calendar!$A18,DB!$1:$1,0)),FALSE)&gt;=5,"Good","Bad"),VLOOKUP(DATE($K$1,$K$2,OMZ$4),Table1[],(MATCH(Calendar!$A18,DB!$1:$1,0)),FALSE)),"")</f>
        <v/>
      </c>
      <c r="ONA18" s="28" t="str">
        <f>IFERROR(IF(ONJ3="No",IF(VLOOKUP(DATE($K$1,$K$2,ONA$4),Table1[],(MATCH(Calendar!$A18,DB!$1:$1,0)),FALSE)&gt;=5,"Good","Bad"),VLOOKUP(DATE($K$1,$K$2,ONA$4),Table1[],(MATCH(Calendar!$A18,DB!$1:$1,0)),FALSE)),"")</f>
        <v/>
      </c>
      <c r="ONB18" s="28" t="str">
        <f>IFERROR(IF(ONK3="No",IF(VLOOKUP(DATE($K$1,$K$2,ONB$4),Table1[],(MATCH(Calendar!$A18,DB!$1:$1,0)),FALSE)&gt;=5,"Good","Bad"),VLOOKUP(DATE($K$1,$K$2,ONB$4),Table1[],(MATCH(Calendar!$A18,DB!$1:$1,0)),FALSE)),"")</f>
        <v/>
      </c>
      <c r="ONC18" s="28" t="str">
        <f>IFERROR(IF(ONL3="No",IF(VLOOKUP(DATE($K$1,$K$2,ONC$4),Table1[],(MATCH(Calendar!$A18,DB!$1:$1,0)),FALSE)&gt;=5,"Good","Bad"),VLOOKUP(DATE($K$1,$K$2,ONC$4),Table1[],(MATCH(Calendar!$A18,DB!$1:$1,0)),FALSE)),"")</f>
        <v/>
      </c>
      <c r="OND18" s="28" t="str">
        <f>IFERROR(IF(ONM3="No",IF(VLOOKUP(DATE($K$1,$K$2,OND$4),Table1[],(MATCH(Calendar!$A18,DB!$1:$1,0)),FALSE)&gt;=5,"Good","Bad"),VLOOKUP(DATE($K$1,$K$2,OND$4),Table1[],(MATCH(Calendar!$A18,DB!$1:$1,0)),FALSE)),"")</f>
        <v/>
      </c>
      <c r="ONE18" s="28" t="str">
        <f>IFERROR(IF(ONN3="No",IF(VLOOKUP(DATE($K$1,$K$2,ONE$4),Table1[],(MATCH(Calendar!$A18,DB!$1:$1,0)),FALSE)&gt;=5,"Good","Bad"),VLOOKUP(DATE($K$1,$K$2,ONE$4),Table1[],(MATCH(Calendar!$A18,DB!$1:$1,0)),FALSE)),"")</f>
        <v/>
      </c>
      <c r="ONF18" s="28" t="str">
        <f>IFERROR(IF(ONO3="No",IF(VLOOKUP(DATE($K$1,$K$2,ONF$4),Table1[],(MATCH(Calendar!$A18,DB!$1:$1,0)),FALSE)&gt;=5,"Good","Bad"),VLOOKUP(DATE($K$1,$K$2,ONF$4),Table1[],(MATCH(Calendar!$A18,DB!$1:$1,0)),FALSE)),"")</f>
        <v/>
      </c>
      <c r="ONG18" s="28" t="str">
        <f>IFERROR(IF(ONP3="No",IF(VLOOKUP(DATE($K$1,$K$2,ONG$4),Table1[],(MATCH(Calendar!$A18,DB!$1:$1,0)),FALSE)&gt;=5,"Good","Bad"),VLOOKUP(DATE($K$1,$K$2,ONG$4),Table1[],(MATCH(Calendar!$A18,DB!$1:$1,0)),FALSE)),"")</f>
        <v/>
      </c>
      <c r="ONH18" s="28" t="str">
        <f>IFERROR(IF(ONQ3="No",IF(VLOOKUP(DATE($K$1,$K$2,ONH$4),Table1[],(MATCH(Calendar!$A18,DB!$1:$1,0)),FALSE)&gt;=5,"Good","Bad"),VLOOKUP(DATE($K$1,$K$2,ONH$4),Table1[],(MATCH(Calendar!$A18,DB!$1:$1,0)),FALSE)),"")</f>
        <v/>
      </c>
      <c r="ONI18" s="28" t="str">
        <f>IFERROR(IF(ONR3="No",IF(VLOOKUP(DATE($K$1,$K$2,ONI$4),Table1[],(MATCH(Calendar!$A18,DB!$1:$1,0)),FALSE)&gt;=5,"Good","Bad"),VLOOKUP(DATE($K$1,$K$2,ONI$4),Table1[],(MATCH(Calendar!$A18,DB!$1:$1,0)),FALSE)),"")</f>
        <v/>
      </c>
      <c r="ONJ18" s="28" t="str">
        <f>IFERROR(IF(ONS3="No",IF(VLOOKUP(DATE($K$1,$K$2,ONJ$4),Table1[],(MATCH(Calendar!$A18,DB!$1:$1,0)),FALSE)&gt;=5,"Good","Bad"),VLOOKUP(DATE($K$1,$K$2,ONJ$4),Table1[],(MATCH(Calendar!$A18,DB!$1:$1,0)),FALSE)),"")</f>
        <v/>
      </c>
      <c r="ONK18" s="28" t="str">
        <f>IFERROR(IF(ONT3="No",IF(VLOOKUP(DATE($K$1,$K$2,ONK$4),Table1[],(MATCH(Calendar!$A18,DB!$1:$1,0)),FALSE)&gt;=5,"Good","Bad"),VLOOKUP(DATE($K$1,$K$2,ONK$4),Table1[],(MATCH(Calendar!$A18,DB!$1:$1,0)),FALSE)),"")</f>
        <v/>
      </c>
      <c r="ONL18" s="28" t="str">
        <f>IFERROR(IF(ONU3="No",IF(VLOOKUP(DATE($K$1,$K$2,ONL$4),Table1[],(MATCH(Calendar!$A18,DB!$1:$1,0)),FALSE)&gt;=5,"Good","Bad"),VLOOKUP(DATE($K$1,$K$2,ONL$4),Table1[],(MATCH(Calendar!$A18,DB!$1:$1,0)),FALSE)),"")</f>
        <v/>
      </c>
      <c r="ONM18" s="28" t="str">
        <f>IFERROR(IF(ONV3="No",IF(VLOOKUP(DATE($K$1,$K$2,ONM$4),Table1[],(MATCH(Calendar!$A18,DB!$1:$1,0)),FALSE)&gt;=5,"Good","Bad"),VLOOKUP(DATE($K$1,$K$2,ONM$4),Table1[],(MATCH(Calendar!$A18,DB!$1:$1,0)),FALSE)),"")</f>
        <v/>
      </c>
      <c r="ONN18" s="28" t="str">
        <f>IFERROR(IF(ONW3="No",IF(VLOOKUP(DATE($K$1,$K$2,ONN$4),Table1[],(MATCH(Calendar!$A18,DB!$1:$1,0)),FALSE)&gt;=5,"Good","Bad"),VLOOKUP(DATE($K$1,$K$2,ONN$4),Table1[],(MATCH(Calendar!$A18,DB!$1:$1,0)),FALSE)),"")</f>
        <v/>
      </c>
      <c r="ONO18" s="28" t="str">
        <f>IFERROR(IF(ONX3="No",IF(VLOOKUP(DATE($K$1,$K$2,ONO$4),Table1[],(MATCH(Calendar!$A18,DB!$1:$1,0)),FALSE)&gt;=5,"Good","Bad"),VLOOKUP(DATE($K$1,$K$2,ONO$4),Table1[],(MATCH(Calendar!$A18,DB!$1:$1,0)),FALSE)),"")</f>
        <v/>
      </c>
      <c r="ONP18" s="28" t="str">
        <f>IFERROR(IF(ONY3="No",IF(VLOOKUP(DATE($K$1,$K$2,ONP$4),Table1[],(MATCH(Calendar!$A18,DB!$1:$1,0)),FALSE)&gt;=5,"Good","Bad"),VLOOKUP(DATE($K$1,$K$2,ONP$4),Table1[],(MATCH(Calendar!$A18,DB!$1:$1,0)),FALSE)),"")</f>
        <v/>
      </c>
      <c r="ONQ18" s="28" t="str">
        <f>IFERROR(IF(ONZ3="No",IF(VLOOKUP(DATE($K$1,$K$2,ONQ$4),Table1[],(MATCH(Calendar!$A18,DB!$1:$1,0)),FALSE)&gt;=5,"Good","Bad"),VLOOKUP(DATE($K$1,$K$2,ONQ$4),Table1[],(MATCH(Calendar!$A18,DB!$1:$1,0)),FALSE)),"")</f>
        <v/>
      </c>
      <c r="ONR18" s="28" t="str">
        <f>IFERROR(IF(OOA3="No",IF(VLOOKUP(DATE($K$1,$K$2,ONR$4),Table1[],(MATCH(Calendar!$A18,DB!$1:$1,0)),FALSE)&gt;=5,"Good","Bad"),VLOOKUP(DATE($K$1,$K$2,ONR$4),Table1[],(MATCH(Calendar!$A18,DB!$1:$1,0)),FALSE)),"")</f>
        <v/>
      </c>
      <c r="ONS18" s="28" t="str">
        <f>IFERROR(IF(OOB3="No",IF(VLOOKUP(DATE($K$1,$K$2,ONS$4),Table1[],(MATCH(Calendar!$A18,DB!$1:$1,0)),FALSE)&gt;=5,"Good","Bad"),VLOOKUP(DATE($K$1,$K$2,ONS$4),Table1[],(MATCH(Calendar!$A18,DB!$1:$1,0)),FALSE)),"")</f>
        <v/>
      </c>
      <c r="ONT18" s="28" t="str">
        <f>IFERROR(IF(OOC3="No",IF(VLOOKUP(DATE($K$1,$K$2,ONT$4),Table1[],(MATCH(Calendar!$A18,DB!$1:$1,0)),FALSE)&gt;=5,"Good","Bad"),VLOOKUP(DATE($K$1,$K$2,ONT$4),Table1[],(MATCH(Calendar!$A18,DB!$1:$1,0)),FALSE)),"")</f>
        <v/>
      </c>
      <c r="ONU18" s="28" t="str">
        <f>IFERROR(IF(OOD3="No",IF(VLOOKUP(DATE($K$1,$K$2,ONU$4),Table1[],(MATCH(Calendar!$A18,DB!$1:$1,0)),FALSE)&gt;=5,"Good","Bad"),VLOOKUP(DATE($K$1,$K$2,ONU$4),Table1[],(MATCH(Calendar!$A18,DB!$1:$1,0)),FALSE)),"")</f>
        <v/>
      </c>
      <c r="ONV18" s="28" t="str">
        <f>IFERROR(IF(OOE3="No",IF(VLOOKUP(DATE($K$1,$K$2,ONV$4),Table1[],(MATCH(Calendar!$A18,DB!$1:$1,0)),FALSE)&gt;=5,"Good","Bad"),VLOOKUP(DATE($K$1,$K$2,ONV$4),Table1[],(MATCH(Calendar!$A18,DB!$1:$1,0)),FALSE)),"")</f>
        <v/>
      </c>
      <c r="ONW18" s="28" t="str">
        <f>IFERROR(IF(OOF3="No",IF(VLOOKUP(DATE($K$1,$K$2,ONW$4),Table1[],(MATCH(Calendar!$A18,DB!$1:$1,0)),FALSE)&gt;=5,"Good","Bad"),VLOOKUP(DATE($K$1,$K$2,ONW$4),Table1[],(MATCH(Calendar!$A18,DB!$1:$1,0)),FALSE)),"")</f>
        <v/>
      </c>
      <c r="ONX18" s="28" t="str">
        <f>IFERROR(IF(OOG3="No",IF(VLOOKUP(DATE($K$1,$K$2,ONX$4),Table1[],(MATCH(Calendar!$A18,DB!$1:$1,0)),FALSE)&gt;=5,"Good","Bad"),VLOOKUP(DATE($K$1,$K$2,ONX$4),Table1[],(MATCH(Calendar!$A18,DB!$1:$1,0)),FALSE)),"")</f>
        <v/>
      </c>
      <c r="ONY18" s="28" t="str">
        <f>IFERROR(IF(OOH3="No",IF(VLOOKUP(DATE($K$1,$K$2,ONY$4),Table1[],(MATCH(Calendar!$A18,DB!$1:$1,0)),FALSE)&gt;=5,"Good","Bad"),VLOOKUP(DATE($K$1,$K$2,ONY$4),Table1[],(MATCH(Calendar!$A18,DB!$1:$1,0)),FALSE)),"")</f>
        <v/>
      </c>
      <c r="ONZ18" s="28" t="str">
        <f>IFERROR(IF(OOI3="No",IF(VLOOKUP(DATE($K$1,$K$2,ONZ$4),Table1[],(MATCH(Calendar!$A18,DB!$1:$1,0)),FALSE)&gt;=5,"Good","Bad"),VLOOKUP(DATE($K$1,$K$2,ONZ$4),Table1[],(MATCH(Calendar!$A18,DB!$1:$1,0)),FALSE)),"")</f>
        <v/>
      </c>
      <c r="OOA18" s="28" t="str">
        <f>IFERROR(IF(OOJ3="No",IF(VLOOKUP(DATE($K$1,$K$2,OOA$4),Table1[],(MATCH(Calendar!$A18,DB!$1:$1,0)),FALSE)&gt;=5,"Good","Bad"),VLOOKUP(DATE($K$1,$K$2,OOA$4),Table1[],(MATCH(Calendar!$A18,DB!$1:$1,0)),FALSE)),"")</f>
        <v/>
      </c>
      <c r="OOB18" s="28" t="str">
        <f>IFERROR(IF(OOK3="No",IF(VLOOKUP(DATE($K$1,$K$2,OOB$4),Table1[],(MATCH(Calendar!$A18,DB!$1:$1,0)),FALSE)&gt;=5,"Good","Bad"),VLOOKUP(DATE($K$1,$K$2,OOB$4),Table1[],(MATCH(Calendar!$A18,DB!$1:$1,0)),FALSE)),"")</f>
        <v/>
      </c>
      <c r="OOC18" s="28" t="str">
        <f>IFERROR(IF(OOL3="No",IF(VLOOKUP(DATE($K$1,$K$2,OOC$4),Table1[],(MATCH(Calendar!$A18,DB!$1:$1,0)),FALSE)&gt;=5,"Good","Bad"),VLOOKUP(DATE($K$1,$K$2,OOC$4),Table1[],(MATCH(Calendar!$A18,DB!$1:$1,0)),FALSE)),"")</f>
        <v/>
      </c>
      <c r="OOD18" s="28" t="str">
        <f>IFERROR(IF(OOM3="No",IF(VLOOKUP(DATE($K$1,$K$2,OOD$4),Table1[],(MATCH(Calendar!$A18,DB!$1:$1,0)),FALSE)&gt;=5,"Good","Bad"),VLOOKUP(DATE($K$1,$K$2,OOD$4),Table1[],(MATCH(Calendar!$A18,DB!$1:$1,0)),FALSE)),"")</f>
        <v/>
      </c>
      <c r="OOE18" s="28" t="str">
        <f>IFERROR(IF(OON3="No",IF(VLOOKUP(DATE($K$1,$K$2,OOE$4),Table1[],(MATCH(Calendar!$A18,DB!$1:$1,0)),FALSE)&gt;=5,"Good","Bad"),VLOOKUP(DATE($K$1,$K$2,OOE$4),Table1[],(MATCH(Calendar!$A18,DB!$1:$1,0)),FALSE)),"")</f>
        <v/>
      </c>
      <c r="OOF18" s="28" t="str">
        <f>IFERROR(IF(OOO3="No",IF(VLOOKUP(DATE($K$1,$K$2,OOF$4),Table1[],(MATCH(Calendar!$A18,DB!$1:$1,0)),FALSE)&gt;=5,"Good","Bad"),VLOOKUP(DATE($K$1,$K$2,OOF$4),Table1[],(MATCH(Calendar!$A18,DB!$1:$1,0)),FALSE)),"")</f>
        <v/>
      </c>
      <c r="OOG18" s="28" t="str">
        <f>IFERROR(IF(OOP3="No",IF(VLOOKUP(DATE($K$1,$K$2,OOG$4),Table1[],(MATCH(Calendar!$A18,DB!$1:$1,0)),FALSE)&gt;=5,"Good","Bad"),VLOOKUP(DATE($K$1,$K$2,OOG$4),Table1[],(MATCH(Calendar!$A18,DB!$1:$1,0)),FALSE)),"")</f>
        <v/>
      </c>
      <c r="OOH18" s="28" t="str">
        <f>IFERROR(IF(OOQ3="No",IF(VLOOKUP(DATE($K$1,$K$2,OOH$4),Table1[],(MATCH(Calendar!$A18,DB!$1:$1,0)),FALSE)&gt;=5,"Good","Bad"),VLOOKUP(DATE($K$1,$K$2,OOH$4),Table1[],(MATCH(Calendar!$A18,DB!$1:$1,0)),FALSE)),"")</f>
        <v/>
      </c>
      <c r="OOI18" s="28" t="str">
        <f>IFERROR(IF(OOR3="No",IF(VLOOKUP(DATE($K$1,$K$2,OOI$4),Table1[],(MATCH(Calendar!$A18,DB!$1:$1,0)),FALSE)&gt;=5,"Good","Bad"),VLOOKUP(DATE($K$1,$K$2,OOI$4),Table1[],(MATCH(Calendar!$A18,DB!$1:$1,0)),FALSE)),"")</f>
        <v/>
      </c>
      <c r="OOJ18" s="28" t="str">
        <f>IFERROR(IF(OOS3="No",IF(VLOOKUP(DATE($K$1,$K$2,OOJ$4),Table1[],(MATCH(Calendar!$A18,DB!$1:$1,0)),FALSE)&gt;=5,"Good","Bad"),VLOOKUP(DATE($K$1,$K$2,OOJ$4),Table1[],(MATCH(Calendar!$A18,DB!$1:$1,0)),FALSE)),"")</f>
        <v/>
      </c>
      <c r="OOK18" s="28" t="str">
        <f>IFERROR(IF(OOT3="No",IF(VLOOKUP(DATE($K$1,$K$2,OOK$4),Table1[],(MATCH(Calendar!$A18,DB!$1:$1,0)),FALSE)&gt;=5,"Good","Bad"),VLOOKUP(DATE($K$1,$K$2,OOK$4),Table1[],(MATCH(Calendar!$A18,DB!$1:$1,0)),FALSE)),"")</f>
        <v/>
      </c>
      <c r="OOL18" s="28" t="str">
        <f>IFERROR(IF(OOU3="No",IF(VLOOKUP(DATE($K$1,$K$2,OOL$4),Table1[],(MATCH(Calendar!$A18,DB!$1:$1,0)),FALSE)&gt;=5,"Good","Bad"),VLOOKUP(DATE($K$1,$K$2,OOL$4),Table1[],(MATCH(Calendar!$A18,DB!$1:$1,0)),FALSE)),"")</f>
        <v/>
      </c>
      <c r="OOM18" s="28" t="str">
        <f>IFERROR(IF(OOV3="No",IF(VLOOKUP(DATE($K$1,$K$2,OOM$4),Table1[],(MATCH(Calendar!$A18,DB!$1:$1,0)),FALSE)&gt;=5,"Good","Bad"),VLOOKUP(DATE($K$1,$K$2,OOM$4),Table1[],(MATCH(Calendar!$A18,DB!$1:$1,0)),FALSE)),"")</f>
        <v/>
      </c>
      <c r="OON18" s="28" t="str">
        <f>IFERROR(IF(OOW3="No",IF(VLOOKUP(DATE($K$1,$K$2,OON$4),Table1[],(MATCH(Calendar!$A18,DB!$1:$1,0)),FALSE)&gt;=5,"Good","Bad"),VLOOKUP(DATE($K$1,$K$2,OON$4),Table1[],(MATCH(Calendar!$A18,DB!$1:$1,0)),FALSE)),"")</f>
        <v/>
      </c>
      <c r="OOO18" s="28" t="str">
        <f>IFERROR(IF(OOX3="No",IF(VLOOKUP(DATE($K$1,$K$2,OOO$4),Table1[],(MATCH(Calendar!$A18,DB!$1:$1,0)),FALSE)&gt;=5,"Good","Bad"),VLOOKUP(DATE($K$1,$K$2,OOO$4),Table1[],(MATCH(Calendar!$A18,DB!$1:$1,0)),FALSE)),"")</f>
        <v/>
      </c>
      <c r="OOP18" s="28" t="str">
        <f>IFERROR(IF(OOY3="No",IF(VLOOKUP(DATE($K$1,$K$2,OOP$4),Table1[],(MATCH(Calendar!$A18,DB!$1:$1,0)),FALSE)&gt;=5,"Good","Bad"),VLOOKUP(DATE($K$1,$K$2,OOP$4),Table1[],(MATCH(Calendar!$A18,DB!$1:$1,0)),FALSE)),"")</f>
        <v/>
      </c>
      <c r="OOQ18" s="28" t="str">
        <f>IFERROR(IF(OOZ3="No",IF(VLOOKUP(DATE($K$1,$K$2,OOQ$4),Table1[],(MATCH(Calendar!$A18,DB!$1:$1,0)),FALSE)&gt;=5,"Good","Bad"),VLOOKUP(DATE($K$1,$K$2,OOQ$4),Table1[],(MATCH(Calendar!$A18,DB!$1:$1,0)),FALSE)),"")</f>
        <v/>
      </c>
      <c r="OOR18" s="28" t="str">
        <f>IFERROR(IF(OPA3="No",IF(VLOOKUP(DATE($K$1,$K$2,OOR$4),Table1[],(MATCH(Calendar!$A18,DB!$1:$1,0)),FALSE)&gt;=5,"Good","Bad"),VLOOKUP(DATE($K$1,$K$2,OOR$4),Table1[],(MATCH(Calendar!$A18,DB!$1:$1,0)),FALSE)),"")</f>
        <v/>
      </c>
      <c r="OOS18" s="28" t="str">
        <f>IFERROR(IF(OPB3="No",IF(VLOOKUP(DATE($K$1,$K$2,OOS$4),Table1[],(MATCH(Calendar!$A18,DB!$1:$1,0)),FALSE)&gt;=5,"Good","Bad"),VLOOKUP(DATE($K$1,$K$2,OOS$4),Table1[],(MATCH(Calendar!$A18,DB!$1:$1,0)),FALSE)),"")</f>
        <v/>
      </c>
      <c r="OOT18" s="28" t="str">
        <f>IFERROR(IF(OPC3="No",IF(VLOOKUP(DATE($K$1,$K$2,OOT$4),Table1[],(MATCH(Calendar!$A18,DB!$1:$1,0)),FALSE)&gt;=5,"Good","Bad"),VLOOKUP(DATE($K$1,$K$2,OOT$4),Table1[],(MATCH(Calendar!$A18,DB!$1:$1,0)),FALSE)),"")</f>
        <v/>
      </c>
      <c r="OOU18" s="28" t="str">
        <f>IFERROR(IF(OPD3="No",IF(VLOOKUP(DATE($K$1,$K$2,OOU$4),Table1[],(MATCH(Calendar!$A18,DB!$1:$1,0)),FALSE)&gt;=5,"Good","Bad"),VLOOKUP(DATE($K$1,$K$2,OOU$4),Table1[],(MATCH(Calendar!$A18,DB!$1:$1,0)),FALSE)),"")</f>
        <v/>
      </c>
      <c r="OOV18" s="28" t="str">
        <f>IFERROR(IF(OPE3="No",IF(VLOOKUP(DATE($K$1,$K$2,OOV$4),Table1[],(MATCH(Calendar!$A18,DB!$1:$1,0)),FALSE)&gt;=5,"Good","Bad"),VLOOKUP(DATE($K$1,$K$2,OOV$4),Table1[],(MATCH(Calendar!$A18,DB!$1:$1,0)),FALSE)),"")</f>
        <v/>
      </c>
      <c r="OOW18" s="28" t="str">
        <f>IFERROR(IF(OPF3="No",IF(VLOOKUP(DATE($K$1,$K$2,OOW$4),Table1[],(MATCH(Calendar!$A18,DB!$1:$1,0)),FALSE)&gt;=5,"Good","Bad"),VLOOKUP(DATE($K$1,$K$2,OOW$4),Table1[],(MATCH(Calendar!$A18,DB!$1:$1,0)),FALSE)),"")</f>
        <v/>
      </c>
      <c r="OOX18" s="28" t="str">
        <f>IFERROR(IF(OPG3="No",IF(VLOOKUP(DATE($K$1,$K$2,OOX$4),Table1[],(MATCH(Calendar!$A18,DB!$1:$1,0)),FALSE)&gt;=5,"Good","Bad"),VLOOKUP(DATE($K$1,$K$2,OOX$4),Table1[],(MATCH(Calendar!$A18,DB!$1:$1,0)),FALSE)),"")</f>
        <v/>
      </c>
      <c r="OOY18" s="28" t="str">
        <f>IFERROR(IF(OPH3="No",IF(VLOOKUP(DATE($K$1,$K$2,OOY$4),Table1[],(MATCH(Calendar!$A18,DB!$1:$1,0)),FALSE)&gt;=5,"Good","Bad"),VLOOKUP(DATE($K$1,$K$2,OOY$4),Table1[],(MATCH(Calendar!$A18,DB!$1:$1,0)),FALSE)),"")</f>
        <v/>
      </c>
      <c r="OOZ18" s="28" t="str">
        <f>IFERROR(IF(OPI3="No",IF(VLOOKUP(DATE($K$1,$K$2,OOZ$4),Table1[],(MATCH(Calendar!$A18,DB!$1:$1,0)),FALSE)&gt;=5,"Good","Bad"),VLOOKUP(DATE($K$1,$K$2,OOZ$4),Table1[],(MATCH(Calendar!$A18,DB!$1:$1,0)),FALSE)),"")</f>
        <v/>
      </c>
      <c r="OPA18" s="28" t="str">
        <f>IFERROR(IF(OPJ3="No",IF(VLOOKUP(DATE($K$1,$K$2,OPA$4),Table1[],(MATCH(Calendar!$A18,DB!$1:$1,0)),FALSE)&gt;=5,"Good","Bad"),VLOOKUP(DATE($K$1,$K$2,OPA$4),Table1[],(MATCH(Calendar!$A18,DB!$1:$1,0)),FALSE)),"")</f>
        <v/>
      </c>
      <c r="OPB18" s="28" t="str">
        <f>IFERROR(IF(OPK3="No",IF(VLOOKUP(DATE($K$1,$K$2,OPB$4),Table1[],(MATCH(Calendar!$A18,DB!$1:$1,0)),FALSE)&gt;=5,"Good","Bad"),VLOOKUP(DATE($K$1,$K$2,OPB$4),Table1[],(MATCH(Calendar!$A18,DB!$1:$1,0)),FALSE)),"")</f>
        <v/>
      </c>
      <c r="OPC18" s="28" t="str">
        <f>IFERROR(IF(OPL3="No",IF(VLOOKUP(DATE($K$1,$K$2,OPC$4),Table1[],(MATCH(Calendar!$A18,DB!$1:$1,0)),FALSE)&gt;=5,"Good","Bad"),VLOOKUP(DATE($K$1,$K$2,OPC$4),Table1[],(MATCH(Calendar!$A18,DB!$1:$1,0)),FALSE)),"")</f>
        <v/>
      </c>
      <c r="OPD18" s="28" t="str">
        <f>IFERROR(IF(OPM3="No",IF(VLOOKUP(DATE($K$1,$K$2,OPD$4),Table1[],(MATCH(Calendar!$A18,DB!$1:$1,0)),FALSE)&gt;=5,"Good","Bad"),VLOOKUP(DATE($K$1,$K$2,OPD$4),Table1[],(MATCH(Calendar!$A18,DB!$1:$1,0)),FALSE)),"")</f>
        <v/>
      </c>
      <c r="OPE18" s="28" t="str">
        <f>IFERROR(IF(OPN3="No",IF(VLOOKUP(DATE($K$1,$K$2,OPE$4),Table1[],(MATCH(Calendar!$A18,DB!$1:$1,0)),FALSE)&gt;=5,"Good","Bad"),VLOOKUP(DATE($K$1,$K$2,OPE$4),Table1[],(MATCH(Calendar!$A18,DB!$1:$1,0)),FALSE)),"")</f>
        <v/>
      </c>
      <c r="OPF18" s="28" t="str">
        <f>IFERROR(IF(OPO3="No",IF(VLOOKUP(DATE($K$1,$K$2,OPF$4),Table1[],(MATCH(Calendar!$A18,DB!$1:$1,0)),FALSE)&gt;=5,"Good","Bad"),VLOOKUP(DATE($K$1,$K$2,OPF$4),Table1[],(MATCH(Calendar!$A18,DB!$1:$1,0)),FALSE)),"")</f>
        <v/>
      </c>
      <c r="OPG18" s="28" t="str">
        <f>IFERROR(IF(OPP3="No",IF(VLOOKUP(DATE($K$1,$K$2,OPG$4),Table1[],(MATCH(Calendar!$A18,DB!$1:$1,0)),FALSE)&gt;=5,"Good","Bad"),VLOOKUP(DATE($K$1,$K$2,OPG$4),Table1[],(MATCH(Calendar!$A18,DB!$1:$1,0)),FALSE)),"")</f>
        <v/>
      </c>
      <c r="OPH18" s="28" t="str">
        <f>IFERROR(IF(OPQ3="No",IF(VLOOKUP(DATE($K$1,$K$2,OPH$4),Table1[],(MATCH(Calendar!$A18,DB!$1:$1,0)),FALSE)&gt;=5,"Good","Bad"),VLOOKUP(DATE($K$1,$K$2,OPH$4),Table1[],(MATCH(Calendar!$A18,DB!$1:$1,0)),FALSE)),"")</f>
        <v/>
      </c>
      <c r="OPI18" s="28" t="str">
        <f>IFERROR(IF(OPR3="No",IF(VLOOKUP(DATE($K$1,$K$2,OPI$4),Table1[],(MATCH(Calendar!$A18,DB!$1:$1,0)),FALSE)&gt;=5,"Good","Bad"),VLOOKUP(DATE($K$1,$K$2,OPI$4),Table1[],(MATCH(Calendar!$A18,DB!$1:$1,0)),FALSE)),"")</f>
        <v/>
      </c>
      <c r="OPJ18" s="28" t="str">
        <f>IFERROR(IF(OPS3="No",IF(VLOOKUP(DATE($K$1,$K$2,OPJ$4),Table1[],(MATCH(Calendar!$A18,DB!$1:$1,0)),FALSE)&gt;=5,"Good","Bad"),VLOOKUP(DATE($K$1,$K$2,OPJ$4),Table1[],(MATCH(Calendar!$A18,DB!$1:$1,0)),FALSE)),"")</f>
        <v/>
      </c>
      <c r="OPK18" s="28" t="str">
        <f>IFERROR(IF(OPT3="No",IF(VLOOKUP(DATE($K$1,$K$2,OPK$4),Table1[],(MATCH(Calendar!$A18,DB!$1:$1,0)),FALSE)&gt;=5,"Good","Bad"),VLOOKUP(DATE($K$1,$K$2,OPK$4),Table1[],(MATCH(Calendar!$A18,DB!$1:$1,0)),FALSE)),"")</f>
        <v/>
      </c>
      <c r="OPL18" s="28" t="str">
        <f>IFERROR(IF(OPU3="No",IF(VLOOKUP(DATE($K$1,$K$2,OPL$4),Table1[],(MATCH(Calendar!$A18,DB!$1:$1,0)),FALSE)&gt;=5,"Good","Bad"),VLOOKUP(DATE($K$1,$K$2,OPL$4),Table1[],(MATCH(Calendar!$A18,DB!$1:$1,0)),FALSE)),"")</f>
        <v/>
      </c>
      <c r="OPM18" s="28" t="str">
        <f>IFERROR(IF(OPV3="No",IF(VLOOKUP(DATE($K$1,$K$2,OPM$4),Table1[],(MATCH(Calendar!$A18,DB!$1:$1,0)),FALSE)&gt;=5,"Good","Bad"),VLOOKUP(DATE($K$1,$K$2,OPM$4),Table1[],(MATCH(Calendar!$A18,DB!$1:$1,0)),FALSE)),"")</f>
        <v/>
      </c>
      <c r="OPN18" s="28" t="str">
        <f>IFERROR(IF(OPW3="No",IF(VLOOKUP(DATE($K$1,$K$2,OPN$4),Table1[],(MATCH(Calendar!$A18,DB!$1:$1,0)),FALSE)&gt;=5,"Good","Bad"),VLOOKUP(DATE($K$1,$K$2,OPN$4),Table1[],(MATCH(Calendar!$A18,DB!$1:$1,0)),FALSE)),"")</f>
        <v/>
      </c>
      <c r="OPO18" s="28" t="str">
        <f>IFERROR(IF(OPX3="No",IF(VLOOKUP(DATE($K$1,$K$2,OPO$4),Table1[],(MATCH(Calendar!$A18,DB!$1:$1,0)),FALSE)&gt;=5,"Good","Bad"),VLOOKUP(DATE($K$1,$K$2,OPO$4),Table1[],(MATCH(Calendar!$A18,DB!$1:$1,0)),FALSE)),"")</f>
        <v/>
      </c>
      <c r="OPP18" s="28" t="str">
        <f>IFERROR(IF(OPY3="No",IF(VLOOKUP(DATE($K$1,$K$2,OPP$4),Table1[],(MATCH(Calendar!$A18,DB!$1:$1,0)),FALSE)&gt;=5,"Good","Bad"),VLOOKUP(DATE($K$1,$K$2,OPP$4),Table1[],(MATCH(Calendar!$A18,DB!$1:$1,0)),FALSE)),"")</f>
        <v/>
      </c>
      <c r="OPQ18" s="28" t="str">
        <f>IFERROR(IF(OPZ3="No",IF(VLOOKUP(DATE($K$1,$K$2,OPQ$4),Table1[],(MATCH(Calendar!$A18,DB!$1:$1,0)),FALSE)&gt;=5,"Good","Bad"),VLOOKUP(DATE($K$1,$K$2,OPQ$4),Table1[],(MATCH(Calendar!$A18,DB!$1:$1,0)),FALSE)),"")</f>
        <v/>
      </c>
      <c r="OPR18" s="28" t="str">
        <f>IFERROR(IF(OQA3="No",IF(VLOOKUP(DATE($K$1,$K$2,OPR$4),Table1[],(MATCH(Calendar!$A18,DB!$1:$1,0)),FALSE)&gt;=5,"Good","Bad"),VLOOKUP(DATE($K$1,$K$2,OPR$4),Table1[],(MATCH(Calendar!$A18,DB!$1:$1,0)),FALSE)),"")</f>
        <v/>
      </c>
      <c r="OPS18" s="28" t="str">
        <f>IFERROR(IF(OQB3="No",IF(VLOOKUP(DATE($K$1,$K$2,OPS$4),Table1[],(MATCH(Calendar!$A18,DB!$1:$1,0)),FALSE)&gt;=5,"Good","Bad"),VLOOKUP(DATE($K$1,$K$2,OPS$4),Table1[],(MATCH(Calendar!$A18,DB!$1:$1,0)),FALSE)),"")</f>
        <v/>
      </c>
      <c r="OPT18" s="28" t="str">
        <f>IFERROR(IF(OQC3="No",IF(VLOOKUP(DATE($K$1,$K$2,OPT$4),Table1[],(MATCH(Calendar!$A18,DB!$1:$1,0)),FALSE)&gt;=5,"Good","Bad"),VLOOKUP(DATE($K$1,$K$2,OPT$4),Table1[],(MATCH(Calendar!$A18,DB!$1:$1,0)),FALSE)),"")</f>
        <v/>
      </c>
      <c r="OPU18" s="28" t="str">
        <f>IFERROR(IF(OQD3="No",IF(VLOOKUP(DATE($K$1,$K$2,OPU$4),Table1[],(MATCH(Calendar!$A18,DB!$1:$1,0)),FALSE)&gt;=5,"Good","Bad"),VLOOKUP(DATE($K$1,$K$2,OPU$4),Table1[],(MATCH(Calendar!$A18,DB!$1:$1,0)),FALSE)),"")</f>
        <v/>
      </c>
      <c r="OPV18" s="28" t="str">
        <f>IFERROR(IF(OQE3="No",IF(VLOOKUP(DATE($K$1,$K$2,OPV$4),Table1[],(MATCH(Calendar!$A18,DB!$1:$1,0)),FALSE)&gt;=5,"Good","Bad"),VLOOKUP(DATE($K$1,$K$2,OPV$4),Table1[],(MATCH(Calendar!$A18,DB!$1:$1,0)),FALSE)),"")</f>
        <v/>
      </c>
      <c r="OPW18" s="28" t="str">
        <f>IFERROR(IF(OQF3="No",IF(VLOOKUP(DATE($K$1,$K$2,OPW$4),Table1[],(MATCH(Calendar!$A18,DB!$1:$1,0)),FALSE)&gt;=5,"Good","Bad"),VLOOKUP(DATE($K$1,$K$2,OPW$4),Table1[],(MATCH(Calendar!$A18,DB!$1:$1,0)),FALSE)),"")</f>
        <v/>
      </c>
      <c r="OPX18" s="28" t="str">
        <f>IFERROR(IF(OQG3="No",IF(VLOOKUP(DATE($K$1,$K$2,OPX$4),Table1[],(MATCH(Calendar!$A18,DB!$1:$1,0)),FALSE)&gt;=5,"Good","Bad"),VLOOKUP(DATE($K$1,$K$2,OPX$4),Table1[],(MATCH(Calendar!$A18,DB!$1:$1,0)),FALSE)),"")</f>
        <v/>
      </c>
      <c r="OPY18" s="28" t="str">
        <f>IFERROR(IF(OQH3="No",IF(VLOOKUP(DATE($K$1,$K$2,OPY$4),Table1[],(MATCH(Calendar!$A18,DB!$1:$1,0)),FALSE)&gt;=5,"Good","Bad"),VLOOKUP(DATE($K$1,$K$2,OPY$4),Table1[],(MATCH(Calendar!$A18,DB!$1:$1,0)),FALSE)),"")</f>
        <v/>
      </c>
      <c r="OPZ18" s="28" t="str">
        <f>IFERROR(IF(OQI3="No",IF(VLOOKUP(DATE($K$1,$K$2,OPZ$4),Table1[],(MATCH(Calendar!$A18,DB!$1:$1,0)),FALSE)&gt;=5,"Good","Bad"),VLOOKUP(DATE($K$1,$K$2,OPZ$4),Table1[],(MATCH(Calendar!$A18,DB!$1:$1,0)),FALSE)),"")</f>
        <v/>
      </c>
      <c r="OQA18" s="28" t="str">
        <f>IFERROR(IF(OQJ3="No",IF(VLOOKUP(DATE($K$1,$K$2,OQA$4),Table1[],(MATCH(Calendar!$A18,DB!$1:$1,0)),FALSE)&gt;=5,"Good","Bad"),VLOOKUP(DATE($K$1,$K$2,OQA$4),Table1[],(MATCH(Calendar!$A18,DB!$1:$1,0)),FALSE)),"")</f>
        <v/>
      </c>
      <c r="OQB18" s="28" t="str">
        <f>IFERROR(IF(OQK3="No",IF(VLOOKUP(DATE($K$1,$K$2,OQB$4),Table1[],(MATCH(Calendar!$A18,DB!$1:$1,0)),FALSE)&gt;=5,"Good","Bad"),VLOOKUP(DATE($K$1,$K$2,OQB$4),Table1[],(MATCH(Calendar!$A18,DB!$1:$1,0)),FALSE)),"")</f>
        <v/>
      </c>
      <c r="OQC18" s="28" t="str">
        <f>IFERROR(IF(OQL3="No",IF(VLOOKUP(DATE($K$1,$K$2,OQC$4),Table1[],(MATCH(Calendar!$A18,DB!$1:$1,0)),FALSE)&gt;=5,"Good","Bad"),VLOOKUP(DATE($K$1,$K$2,OQC$4),Table1[],(MATCH(Calendar!$A18,DB!$1:$1,0)),FALSE)),"")</f>
        <v/>
      </c>
      <c r="OQD18" s="28" t="str">
        <f>IFERROR(IF(OQM3="No",IF(VLOOKUP(DATE($K$1,$K$2,OQD$4),Table1[],(MATCH(Calendar!$A18,DB!$1:$1,0)),FALSE)&gt;=5,"Good","Bad"),VLOOKUP(DATE($K$1,$K$2,OQD$4),Table1[],(MATCH(Calendar!$A18,DB!$1:$1,0)),FALSE)),"")</f>
        <v/>
      </c>
      <c r="OQE18" s="28" t="str">
        <f>IFERROR(IF(OQN3="No",IF(VLOOKUP(DATE($K$1,$K$2,OQE$4),Table1[],(MATCH(Calendar!$A18,DB!$1:$1,0)),FALSE)&gt;=5,"Good","Bad"),VLOOKUP(DATE($K$1,$K$2,OQE$4),Table1[],(MATCH(Calendar!$A18,DB!$1:$1,0)),FALSE)),"")</f>
        <v/>
      </c>
      <c r="OQF18" s="28" t="str">
        <f>IFERROR(IF(OQO3="No",IF(VLOOKUP(DATE($K$1,$K$2,OQF$4),Table1[],(MATCH(Calendar!$A18,DB!$1:$1,0)),FALSE)&gt;=5,"Good","Bad"),VLOOKUP(DATE($K$1,$K$2,OQF$4),Table1[],(MATCH(Calendar!$A18,DB!$1:$1,0)),FALSE)),"")</f>
        <v/>
      </c>
      <c r="OQG18" s="28" t="str">
        <f>IFERROR(IF(OQP3="No",IF(VLOOKUP(DATE($K$1,$K$2,OQG$4),Table1[],(MATCH(Calendar!$A18,DB!$1:$1,0)),FALSE)&gt;=5,"Good","Bad"),VLOOKUP(DATE($K$1,$K$2,OQG$4),Table1[],(MATCH(Calendar!$A18,DB!$1:$1,0)),FALSE)),"")</f>
        <v/>
      </c>
      <c r="OQH18" s="28" t="str">
        <f>IFERROR(IF(OQQ3="No",IF(VLOOKUP(DATE($K$1,$K$2,OQH$4),Table1[],(MATCH(Calendar!$A18,DB!$1:$1,0)),FALSE)&gt;=5,"Good","Bad"),VLOOKUP(DATE($K$1,$K$2,OQH$4),Table1[],(MATCH(Calendar!$A18,DB!$1:$1,0)),FALSE)),"")</f>
        <v/>
      </c>
      <c r="OQI18" s="28" t="str">
        <f>IFERROR(IF(OQR3="No",IF(VLOOKUP(DATE($K$1,$K$2,OQI$4),Table1[],(MATCH(Calendar!$A18,DB!$1:$1,0)),FALSE)&gt;=5,"Good","Bad"),VLOOKUP(DATE($K$1,$K$2,OQI$4),Table1[],(MATCH(Calendar!$A18,DB!$1:$1,0)),FALSE)),"")</f>
        <v/>
      </c>
      <c r="OQJ18" s="28" t="str">
        <f>IFERROR(IF(OQS3="No",IF(VLOOKUP(DATE($K$1,$K$2,OQJ$4),Table1[],(MATCH(Calendar!$A18,DB!$1:$1,0)),FALSE)&gt;=5,"Good","Bad"),VLOOKUP(DATE($K$1,$K$2,OQJ$4),Table1[],(MATCH(Calendar!$A18,DB!$1:$1,0)),FALSE)),"")</f>
        <v/>
      </c>
      <c r="OQK18" s="28" t="str">
        <f>IFERROR(IF(OQT3="No",IF(VLOOKUP(DATE($K$1,$K$2,OQK$4),Table1[],(MATCH(Calendar!$A18,DB!$1:$1,0)),FALSE)&gt;=5,"Good","Bad"),VLOOKUP(DATE($K$1,$K$2,OQK$4),Table1[],(MATCH(Calendar!$A18,DB!$1:$1,0)),FALSE)),"")</f>
        <v/>
      </c>
      <c r="OQL18" s="28" t="str">
        <f>IFERROR(IF(OQU3="No",IF(VLOOKUP(DATE($K$1,$K$2,OQL$4),Table1[],(MATCH(Calendar!$A18,DB!$1:$1,0)),FALSE)&gt;=5,"Good","Bad"),VLOOKUP(DATE($K$1,$K$2,OQL$4),Table1[],(MATCH(Calendar!$A18,DB!$1:$1,0)),FALSE)),"")</f>
        <v/>
      </c>
      <c r="OQM18" s="28" t="str">
        <f>IFERROR(IF(OQV3="No",IF(VLOOKUP(DATE($K$1,$K$2,OQM$4),Table1[],(MATCH(Calendar!$A18,DB!$1:$1,0)),FALSE)&gt;=5,"Good","Bad"),VLOOKUP(DATE($K$1,$K$2,OQM$4),Table1[],(MATCH(Calendar!$A18,DB!$1:$1,0)),FALSE)),"")</f>
        <v/>
      </c>
      <c r="OQN18" s="28" t="str">
        <f>IFERROR(IF(OQW3="No",IF(VLOOKUP(DATE($K$1,$K$2,OQN$4),Table1[],(MATCH(Calendar!$A18,DB!$1:$1,0)),FALSE)&gt;=5,"Good","Bad"),VLOOKUP(DATE($K$1,$K$2,OQN$4),Table1[],(MATCH(Calendar!$A18,DB!$1:$1,0)),FALSE)),"")</f>
        <v/>
      </c>
      <c r="OQO18" s="28" t="str">
        <f>IFERROR(IF(OQX3="No",IF(VLOOKUP(DATE($K$1,$K$2,OQO$4),Table1[],(MATCH(Calendar!$A18,DB!$1:$1,0)),FALSE)&gt;=5,"Good","Bad"),VLOOKUP(DATE($K$1,$K$2,OQO$4),Table1[],(MATCH(Calendar!$A18,DB!$1:$1,0)),FALSE)),"")</f>
        <v/>
      </c>
      <c r="OQP18" s="28" t="str">
        <f>IFERROR(IF(OQY3="No",IF(VLOOKUP(DATE($K$1,$K$2,OQP$4),Table1[],(MATCH(Calendar!$A18,DB!$1:$1,0)),FALSE)&gt;=5,"Good","Bad"),VLOOKUP(DATE($K$1,$K$2,OQP$4),Table1[],(MATCH(Calendar!$A18,DB!$1:$1,0)),FALSE)),"")</f>
        <v/>
      </c>
      <c r="OQQ18" s="28" t="str">
        <f>IFERROR(IF(OQZ3="No",IF(VLOOKUP(DATE($K$1,$K$2,OQQ$4),Table1[],(MATCH(Calendar!$A18,DB!$1:$1,0)),FALSE)&gt;=5,"Good","Bad"),VLOOKUP(DATE($K$1,$K$2,OQQ$4),Table1[],(MATCH(Calendar!$A18,DB!$1:$1,0)),FALSE)),"")</f>
        <v/>
      </c>
      <c r="OQR18" s="28" t="str">
        <f>IFERROR(IF(ORA3="No",IF(VLOOKUP(DATE($K$1,$K$2,OQR$4),Table1[],(MATCH(Calendar!$A18,DB!$1:$1,0)),FALSE)&gt;=5,"Good","Bad"),VLOOKUP(DATE($K$1,$K$2,OQR$4),Table1[],(MATCH(Calendar!$A18,DB!$1:$1,0)),FALSE)),"")</f>
        <v/>
      </c>
      <c r="OQS18" s="28" t="str">
        <f>IFERROR(IF(ORB3="No",IF(VLOOKUP(DATE($K$1,$K$2,OQS$4),Table1[],(MATCH(Calendar!$A18,DB!$1:$1,0)),FALSE)&gt;=5,"Good","Bad"),VLOOKUP(DATE($K$1,$K$2,OQS$4),Table1[],(MATCH(Calendar!$A18,DB!$1:$1,0)),FALSE)),"")</f>
        <v/>
      </c>
      <c r="OQT18" s="28" t="str">
        <f>IFERROR(IF(ORC3="No",IF(VLOOKUP(DATE($K$1,$K$2,OQT$4),Table1[],(MATCH(Calendar!$A18,DB!$1:$1,0)),FALSE)&gt;=5,"Good","Bad"),VLOOKUP(DATE($K$1,$K$2,OQT$4),Table1[],(MATCH(Calendar!$A18,DB!$1:$1,0)),FALSE)),"")</f>
        <v/>
      </c>
      <c r="OQU18" s="28" t="str">
        <f>IFERROR(IF(ORD3="No",IF(VLOOKUP(DATE($K$1,$K$2,OQU$4),Table1[],(MATCH(Calendar!$A18,DB!$1:$1,0)),FALSE)&gt;=5,"Good","Bad"),VLOOKUP(DATE($K$1,$K$2,OQU$4),Table1[],(MATCH(Calendar!$A18,DB!$1:$1,0)),FALSE)),"")</f>
        <v/>
      </c>
      <c r="OQV18" s="28" t="str">
        <f>IFERROR(IF(ORE3="No",IF(VLOOKUP(DATE($K$1,$K$2,OQV$4),Table1[],(MATCH(Calendar!$A18,DB!$1:$1,0)),FALSE)&gt;=5,"Good","Bad"),VLOOKUP(DATE($K$1,$K$2,OQV$4),Table1[],(MATCH(Calendar!$A18,DB!$1:$1,0)),FALSE)),"")</f>
        <v/>
      </c>
      <c r="OQW18" s="28" t="str">
        <f>IFERROR(IF(ORF3="No",IF(VLOOKUP(DATE($K$1,$K$2,OQW$4),Table1[],(MATCH(Calendar!$A18,DB!$1:$1,0)),FALSE)&gt;=5,"Good","Bad"),VLOOKUP(DATE($K$1,$K$2,OQW$4),Table1[],(MATCH(Calendar!$A18,DB!$1:$1,0)),FALSE)),"")</f>
        <v/>
      </c>
      <c r="OQX18" s="28" t="str">
        <f>IFERROR(IF(ORG3="No",IF(VLOOKUP(DATE($K$1,$K$2,OQX$4),Table1[],(MATCH(Calendar!$A18,DB!$1:$1,0)),FALSE)&gt;=5,"Good","Bad"),VLOOKUP(DATE($K$1,$K$2,OQX$4),Table1[],(MATCH(Calendar!$A18,DB!$1:$1,0)),FALSE)),"")</f>
        <v/>
      </c>
      <c r="OQY18" s="28" t="str">
        <f>IFERROR(IF(ORH3="No",IF(VLOOKUP(DATE($K$1,$K$2,OQY$4),Table1[],(MATCH(Calendar!$A18,DB!$1:$1,0)),FALSE)&gt;=5,"Good","Bad"),VLOOKUP(DATE($K$1,$K$2,OQY$4),Table1[],(MATCH(Calendar!$A18,DB!$1:$1,0)),FALSE)),"")</f>
        <v/>
      </c>
      <c r="OQZ18" s="28" t="str">
        <f>IFERROR(IF(ORI3="No",IF(VLOOKUP(DATE($K$1,$K$2,OQZ$4),Table1[],(MATCH(Calendar!$A18,DB!$1:$1,0)),FALSE)&gt;=5,"Good","Bad"),VLOOKUP(DATE($K$1,$K$2,OQZ$4),Table1[],(MATCH(Calendar!$A18,DB!$1:$1,0)),FALSE)),"")</f>
        <v/>
      </c>
      <c r="ORA18" s="28" t="str">
        <f>IFERROR(IF(ORJ3="No",IF(VLOOKUP(DATE($K$1,$K$2,ORA$4),Table1[],(MATCH(Calendar!$A18,DB!$1:$1,0)),FALSE)&gt;=5,"Good","Bad"),VLOOKUP(DATE($K$1,$K$2,ORA$4),Table1[],(MATCH(Calendar!$A18,DB!$1:$1,0)),FALSE)),"")</f>
        <v/>
      </c>
      <c r="ORB18" s="28" t="str">
        <f>IFERROR(IF(ORK3="No",IF(VLOOKUP(DATE($K$1,$K$2,ORB$4),Table1[],(MATCH(Calendar!$A18,DB!$1:$1,0)),FALSE)&gt;=5,"Good","Bad"),VLOOKUP(DATE($K$1,$K$2,ORB$4),Table1[],(MATCH(Calendar!$A18,DB!$1:$1,0)),FALSE)),"")</f>
        <v/>
      </c>
      <c r="ORC18" s="28" t="str">
        <f>IFERROR(IF(ORL3="No",IF(VLOOKUP(DATE($K$1,$K$2,ORC$4),Table1[],(MATCH(Calendar!$A18,DB!$1:$1,0)),FALSE)&gt;=5,"Good","Bad"),VLOOKUP(DATE($K$1,$K$2,ORC$4),Table1[],(MATCH(Calendar!$A18,DB!$1:$1,0)),FALSE)),"")</f>
        <v/>
      </c>
      <c r="ORD18" s="28" t="str">
        <f>IFERROR(IF(ORM3="No",IF(VLOOKUP(DATE($K$1,$K$2,ORD$4),Table1[],(MATCH(Calendar!$A18,DB!$1:$1,0)),FALSE)&gt;=5,"Good","Bad"),VLOOKUP(DATE($K$1,$K$2,ORD$4),Table1[],(MATCH(Calendar!$A18,DB!$1:$1,0)),FALSE)),"")</f>
        <v/>
      </c>
      <c r="ORE18" s="28" t="str">
        <f>IFERROR(IF(ORN3="No",IF(VLOOKUP(DATE($K$1,$K$2,ORE$4),Table1[],(MATCH(Calendar!$A18,DB!$1:$1,0)),FALSE)&gt;=5,"Good","Bad"),VLOOKUP(DATE($K$1,$K$2,ORE$4),Table1[],(MATCH(Calendar!$A18,DB!$1:$1,0)),FALSE)),"")</f>
        <v/>
      </c>
      <c r="ORF18" s="28" t="str">
        <f>IFERROR(IF(ORO3="No",IF(VLOOKUP(DATE($K$1,$K$2,ORF$4),Table1[],(MATCH(Calendar!$A18,DB!$1:$1,0)),FALSE)&gt;=5,"Good","Bad"),VLOOKUP(DATE($K$1,$K$2,ORF$4),Table1[],(MATCH(Calendar!$A18,DB!$1:$1,0)),FALSE)),"")</f>
        <v/>
      </c>
      <c r="ORG18" s="28" t="str">
        <f>IFERROR(IF(ORP3="No",IF(VLOOKUP(DATE($K$1,$K$2,ORG$4),Table1[],(MATCH(Calendar!$A18,DB!$1:$1,0)),FALSE)&gt;=5,"Good","Bad"),VLOOKUP(DATE($K$1,$K$2,ORG$4),Table1[],(MATCH(Calendar!$A18,DB!$1:$1,0)),FALSE)),"")</f>
        <v/>
      </c>
      <c r="ORH18" s="28" t="str">
        <f>IFERROR(IF(ORQ3="No",IF(VLOOKUP(DATE($K$1,$K$2,ORH$4),Table1[],(MATCH(Calendar!$A18,DB!$1:$1,0)),FALSE)&gt;=5,"Good","Bad"),VLOOKUP(DATE($K$1,$K$2,ORH$4),Table1[],(MATCH(Calendar!$A18,DB!$1:$1,0)),FALSE)),"")</f>
        <v/>
      </c>
      <c r="ORI18" s="28" t="str">
        <f>IFERROR(IF(ORR3="No",IF(VLOOKUP(DATE($K$1,$K$2,ORI$4),Table1[],(MATCH(Calendar!$A18,DB!$1:$1,0)),FALSE)&gt;=5,"Good","Bad"),VLOOKUP(DATE($K$1,$K$2,ORI$4),Table1[],(MATCH(Calendar!$A18,DB!$1:$1,0)),FALSE)),"")</f>
        <v/>
      </c>
      <c r="ORJ18" s="28" t="str">
        <f>IFERROR(IF(ORS3="No",IF(VLOOKUP(DATE($K$1,$K$2,ORJ$4),Table1[],(MATCH(Calendar!$A18,DB!$1:$1,0)),FALSE)&gt;=5,"Good","Bad"),VLOOKUP(DATE($K$1,$K$2,ORJ$4),Table1[],(MATCH(Calendar!$A18,DB!$1:$1,0)),FALSE)),"")</f>
        <v/>
      </c>
      <c r="ORK18" s="28" t="str">
        <f>IFERROR(IF(ORT3="No",IF(VLOOKUP(DATE($K$1,$K$2,ORK$4),Table1[],(MATCH(Calendar!$A18,DB!$1:$1,0)),FALSE)&gt;=5,"Good","Bad"),VLOOKUP(DATE($K$1,$K$2,ORK$4),Table1[],(MATCH(Calendar!$A18,DB!$1:$1,0)),FALSE)),"")</f>
        <v/>
      </c>
      <c r="ORL18" s="28" t="str">
        <f>IFERROR(IF(ORU3="No",IF(VLOOKUP(DATE($K$1,$K$2,ORL$4),Table1[],(MATCH(Calendar!$A18,DB!$1:$1,0)),FALSE)&gt;=5,"Good","Bad"),VLOOKUP(DATE($K$1,$K$2,ORL$4),Table1[],(MATCH(Calendar!$A18,DB!$1:$1,0)),FALSE)),"")</f>
        <v/>
      </c>
      <c r="ORM18" s="28" t="str">
        <f>IFERROR(IF(ORV3="No",IF(VLOOKUP(DATE($K$1,$K$2,ORM$4),Table1[],(MATCH(Calendar!$A18,DB!$1:$1,0)),FALSE)&gt;=5,"Good","Bad"),VLOOKUP(DATE($K$1,$K$2,ORM$4),Table1[],(MATCH(Calendar!$A18,DB!$1:$1,0)),FALSE)),"")</f>
        <v/>
      </c>
      <c r="ORN18" s="28" t="str">
        <f>IFERROR(IF(ORW3="No",IF(VLOOKUP(DATE($K$1,$K$2,ORN$4),Table1[],(MATCH(Calendar!$A18,DB!$1:$1,0)),FALSE)&gt;=5,"Good","Bad"),VLOOKUP(DATE($K$1,$K$2,ORN$4),Table1[],(MATCH(Calendar!$A18,DB!$1:$1,0)),FALSE)),"")</f>
        <v/>
      </c>
      <c r="ORO18" s="28" t="str">
        <f>IFERROR(IF(ORX3="No",IF(VLOOKUP(DATE($K$1,$K$2,ORO$4),Table1[],(MATCH(Calendar!$A18,DB!$1:$1,0)),FALSE)&gt;=5,"Good","Bad"),VLOOKUP(DATE($K$1,$K$2,ORO$4),Table1[],(MATCH(Calendar!$A18,DB!$1:$1,0)),FALSE)),"")</f>
        <v/>
      </c>
      <c r="ORP18" s="28" t="str">
        <f>IFERROR(IF(ORY3="No",IF(VLOOKUP(DATE($K$1,$K$2,ORP$4),Table1[],(MATCH(Calendar!$A18,DB!$1:$1,0)),FALSE)&gt;=5,"Good","Bad"),VLOOKUP(DATE($K$1,$K$2,ORP$4),Table1[],(MATCH(Calendar!$A18,DB!$1:$1,0)),FALSE)),"")</f>
        <v/>
      </c>
      <c r="ORQ18" s="28" t="str">
        <f>IFERROR(IF(ORZ3="No",IF(VLOOKUP(DATE($K$1,$K$2,ORQ$4),Table1[],(MATCH(Calendar!$A18,DB!$1:$1,0)),FALSE)&gt;=5,"Good","Bad"),VLOOKUP(DATE($K$1,$K$2,ORQ$4),Table1[],(MATCH(Calendar!$A18,DB!$1:$1,0)),FALSE)),"")</f>
        <v/>
      </c>
      <c r="ORR18" s="28" t="str">
        <f>IFERROR(IF(OSA3="No",IF(VLOOKUP(DATE($K$1,$K$2,ORR$4),Table1[],(MATCH(Calendar!$A18,DB!$1:$1,0)),FALSE)&gt;=5,"Good","Bad"),VLOOKUP(DATE($K$1,$K$2,ORR$4),Table1[],(MATCH(Calendar!$A18,DB!$1:$1,0)),FALSE)),"")</f>
        <v/>
      </c>
      <c r="ORS18" s="28" t="str">
        <f>IFERROR(IF(OSB3="No",IF(VLOOKUP(DATE($K$1,$K$2,ORS$4),Table1[],(MATCH(Calendar!$A18,DB!$1:$1,0)),FALSE)&gt;=5,"Good","Bad"),VLOOKUP(DATE($K$1,$K$2,ORS$4),Table1[],(MATCH(Calendar!$A18,DB!$1:$1,0)),FALSE)),"")</f>
        <v/>
      </c>
      <c r="ORT18" s="28" t="str">
        <f>IFERROR(IF(OSC3="No",IF(VLOOKUP(DATE($K$1,$K$2,ORT$4),Table1[],(MATCH(Calendar!$A18,DB!$1:$1,0)),FALSE)&gt;=5,"Good","Bad"),VLOOKUP(DATE($K$1,$K$2,ORT$4),Table1[],(MATCH(Calendar!$A18,DB!$1:$1,0)),FALSE)),"")</f>
        <v/>
      </c>
      <c r="ORU18" s="28" t="str">
        <f>IFERROR(IF(OSD3="No",IF(VLOOKUP(DATE($K$1,$K$2,ORU$4),Table1[],(MATCH(Calendar!$A18,DB!$1:$1,0)),FALSE)&gt;=5,"Good","Bad"),VLOOKUP(DATE($K$1,$K$2,ORU$4),Table1[],(MATCH(Calendar!$A18,DB!$1:$1,0)),FALSE)),"")</f>
        <v/>
      </c>
      <c r="ORV18" s="28" t="str">
        <f>IFERROR(IF(OSE3="No",IF(VLOOKUP(DATE($K$1,$K$2,ORV$4),Table1[],(MATCH(Calendar!$A18,DB!$1:$1,0)),FALSE)&gt;=5,"Good","Bad"),VLOOKUP(DATE($K$1,$K$2,ORV$4),Table1[],(MATCH(Calendar!$A18,DB!$1:$1,0)),FALSE)),"")</f>
        <v/>
      </c>
      <c r="ORW18" s="28" t="str">
        <f>IFERROR(IF(OSF3="No",IF(VLOOKUP(DATE($K$1,$K$2,ORW$4),Table1[],(MATCH(Calendar!$A18,DB!$1:$1,0)),FALSE)&gt;=5,"Good","Bad"),VLOOKUP(DATE($K$1,$K$2,ORW$4),Table1[],(MATCH(Calendar!$A18,DB!$1:$1,0)),FALSE)),"")</f>
        <v/>
      </c>
      <c r="ORX18" s="28" t="str">
        <f>IFERROR(IF(OSG3="No",IF(VLOOKUP(DATE($K$1,$K$2,ORX$4),Table1[],(MATCH(Calendar!$A18,DB!$1:$1,0)),FALSE)&gt;=5,"Good","Bad"),VLOOKUP(DATE($K$1,$K$2,ORX$4),Table1[],(MATCH(Calendar!$A18,DB!$1:$1,0)),FALSE)),"")</f>
        <v/>
      </c>
      <c r="ORY18" s="28" t="str">
        <f>IFERROR(IF(OSH3="No",IF(VLOOKUP(DATE($K$1,$K$2,ORY$4),Table1[],(MATCH(Calendar!$A18,DB!$1:$1,0)),FALSE)&gt;=5,"Good","Bad"),VLOOKUP(DATE($K$1,$K$2,ORY$4),Table1[],(MATCH(Calendar!$A18,DB!$1:$1,0)),FALSE)),"")</f>
        <v/>
      </c>
      <c r="ORZ18" s="28" t="str">
        <f>IFERROR(IF(OSI3="No",IF(VLOOKUP(DATE($K$1,$K$2,ORZ$4),Table1[],(MATCH(Calendar!$A18,DB!$1:$1,0)),FALSE)&gt;=5,"Good","Bad"),VLOOKUP(DATE($K$1,$K$2,ORZ$4),Table1[],(MATCH(Calendar!$A18,DB!$1:$1,0)),FALSE)),"")</f>
        <v/>
      </c>
      <c r="OSA18" s="28" t="str">
        <f>IFERROR(IF(OSJ3="No",IF(VLOOKUP(DATE($K$1,$K$2,OSA$4),Table1[],(MATCH(Calendar!$A18,DB!$1:$1,0)),FALSE)&gt;=5,"Good","Bad"),VLOOKUP(DATE($K$1,$K$2,OSA$4),Table1[],(MATCH(Calendar!$A18,DB!$1:$1,0)),FALSE)),"")</f>
        <v/>
      </c>
      <c r="OSB18" s="28" t="str">
        <f>IFERROR(IF(OSK3="No",IF(VLOOKUP(DATE($K$1,$K$2,OSB$4),Table1[],(MATCH(Calendar!$A18,DB!$1:$1,0)),FALSE)&gt;=5,"Good","Bad"),VLOOKUP(DATE($K$1,$K$2,OSB$4),Table1[],(MATCH(Calendar!$A18,DB!$1:$1,0)),FALSE)),"")</f>
        <v/>
      </c>
      <c r="OSC18" s="28" t="str">
        <f>IFERROR(IF(OSL3="No",IF(VLOOKUP(DATE($K$1,$K$2,OSC$4),Table1[],(MATCH(Calendar!$A18,DB!$1:$1,0)),FALSE)&gt;=5,"Good","Bad"),VLOOKUP(DATE($K$1,$K$2,OSC$4),Table1[],(MATCH(Calendar!$A18,DB!$1:$1,0)),FALSE)),"")</f>
        <v/>
      </c>
      <c r="OSD18" s="28" t="str">
        <f>IFERROR(IF(OSM3="No",IF(VLOOKUP(DATE($K$1,$K$2,OSD$4),Table1[],(MATCH(Calendar!$A18,DB!$1:$1,0)),FALSE)&gt;=5,"Good","Bad"),VLOOKUP(DATE($K$1,$K$2,OSD$4),Table1[],(MATCH(Calendar!$A18,DB!$1:$1,0)),FALSE)),"")</f>
        <v/>
      </c>
      <c r="OSE18" s="28" t="str">
        <f>IFERROR(IF(OSN3="No",IF(VLOOKUP(DATE($K$1,$K$2,OSE$4),Table1[],(MATCH(Calendar!$A18,DB!$1:$1,0)),FALSE)&gt;=5,"Good","Bad"),VLOOKUP(DATE($K$1,$K$2,OSE$4),Table1[],(MATCH(Calendar!$A18,DB!$1:$1,0)),FALSE)),"")</f>
        <v/>
      </c>
      <c r="OSF18" s="28" t="str">
        <f>IFERROR(IF(OSO3="No",IF(VLOOKUP(DATE($K$1,$K$2,OSF$4),Table1[],(MATCH(Calendar!$A18,DB!$1:$1,0)),FALSE)&gt;=5,"Good","Bad"),VLOOKUP(DATE($K$1,$K$2,OSF$4),Table1[],(MATCH(Calendar!$A18,DB!$1:$1,0)),FALSE)),"")</f>
        <v/>
      </c>
      <c r="OSG18" s="28" t="str">
        <f>IFERROR(IF(OSP3="No",IF(VLOOKUP(DATE($K$1,$K$2,OSG$4),Table1[],(MATCH(Calendar!$A18,DB!$1:$1,0)),FALSE)&gt;=5,"Good","Bad"),VLOOKUP(DATE($K$1,$K$2,OSG$4),Table1[],(MATCH(Calendar!$A18,DB!$1:$1,0)),FALSE)),"")</f>
        <v/>
      </c>
      <c r="OSH18" s="28" t="str">
        <f>IFERROR(IF(OSQ3="No",IF(VLOOKUP(DATE($K$1,$K$2,OSH$4),Table1[],(MATCH(Calendar!$A18,DB!$1:$1,0)),FALSE)&gt;=5,"Good","Bad"),VLOOKUP(DATE($K$1,$K$2,OSH$4),Table1[],(MATCH(Calendar!$A18,DB!$1:$1,0)),FALSE)),"")</f>
        <v/>
      </c>
      <c r="OSI18" s="28" t="str">
        <f>IFERROR(IF(OSR3="No",IF(VLOOKUP(DATE($K$1,$K$2,OSI$4),Table1[],(MATCH(Calendar!$A18,DB!$1:$1,0)),FALSE)&gt;=5,"Good","Bad"),VLOOKUP(DATE($K$1,$K$2,OSI$4),Table1[],(MATCH(Calendar!$A18,DB!$1:$1,0)),FALSE)),"")</f>
        <v/>
      </c>
      <c r="OSJ18" s="28" t="str">
        <f>IFERROR(IF(OSS3="No",IF(VLOOKUP(DATE($K$1,$K$2,OSJ$4),Table1[],(MATCH(Calendar!$A18,DB!$1:$1,0)),FALSE)&gt;=5,"Good","Bad"),VLOOKUP(DATE($K$1,$K$2,OSJ$4),Table1[],(MATCH(Calendar!$A18,DB!$1:$1,0)),FALSE)),"")</f>
        <v/>
      </c>
      <c r="OSK18" s="28" t="str">
        <f>IFERROR(IF(OST3="No",IF(VLOOKUP(DATE($K$1,$K$2,OSK$4),Table1[],(MATCH(Calendar!$A18,DB!$1:$1,0)),FALSE)&gt;=5,"Good","Bad"),VLOOKUP(DATE($K$1,$K$2,OSK$4),Table1[],(MATCH(Calendar!$A18,DB!$1:$1,0)),FALSE)),"")</f>
        <v/>
      </c>
      <c r="OSL18" s="28" t="str">
        <f>IFERROR(IF(OSU3="No",IF(VLOOKUP(DATE($K$1,$K$2,OSL$4),Table1[],(MATCH(Calendar!$A18,DB!$1:$1,0)),FALSE)&gt;=5,"Good","Bad"),VLOOKUP(DATE($K$1,$K$2,OSL$4),Table1[],(MATCH(Calendar!$A18,DB!$1:$1,0)),FALSE)),"")</f>
        <v/>
      </c>
      <c r="OSM18" s="28" t="str">
        <f>IFERROR(IF(OSV3="No",IF(VLOOKUP(DATE($K$1,$K$2,OSM$4),Table1[],(MATCH(Calendar!$A18,DB!$1:$1,0)),FALSE)&gt;=5,"Good","Bad"),VLOOKUP(DATE($K$1,$K$2,OSM$4),Table1[],(MATCH(Calendar!$A18,DB!$1:$1,0)),FALSE)),"")</f>
        <v/>
      </c>
      <c r="OSN18" s="28" t="str">
        <f>IFERROR(IF(OSW3="No",IF(VLOOKUP(DATE($K$1,$K$2,OSN$4),Table1[],(MATCH(Calendar!$A18,DB!$1:$1,0)),FALSE)&gt;=5,"Good","Bad"),VLOOKUP(DATE($K$1,$K$2,OSN$4),Table1[],(MATCH(Calendar!$A18,DB!$1:$1,0)),FALSE)),"")</f>
        <v/>
      </c>
      <c r="OSO18" s="28" t="str">
        <f>IFERROR(IF(OSX3="No",IF(VLOOKUP(DATE($K$1,$K$2,OSO$4),Table1[],(MATCH(Calendar!$A18,DB!$1:$1,0)),FALSE)&gt;=5,"Good","Bad"),VLOOKUP(DATE($K$1,$K$2,OSO$4),Table1[],(MATCH(Calendar!$A18,DB!$1:$1,0)),FALSE)),"")</f>
        <v/>
      </c>
      <c r="OSP18" s="28" t="str">
        <f>IFERROR(IF(OSY3="No",IF(VLOOKUP(DATE($K$1,$K$2,OSP$4),Table1[],(MATCH(Calendar!$A18,DB!$1:$1,0)),FALSE)&gt;=5,"Good","Bad"),VLOOKUP(DATE($K$1,$K$2,OSP$4),Table1[],(MATCH(Calendar!$A18,DB!$1:$1,0)),FALSE)),"")</f>
        <v/>
      </c>
      <c r="OSQ18" s="28" t="str">
        <f>IFERROR(IF(OSZ3="No",IF(VLOOKUP(DATE($K$1,$K$2,OSQ$4),Table1[],(MATCH(Calendar!$A18,DB!$1:$1,0)),FALSE)&gt;=5,"Good","Bad"),VLOOKUP(DATE($K$1,$K$2,OSQ$4),Table1[],(MATCH(Calendar!$A18,DB!$1:$1,0)),FALSE)),"")</f>
        <v/>
      </c>
      <c r="OSR18" s="28" t="str">
        <f>IFERROR(IF(OTA3="No",IF(VLOOKUP(DATE($K$1,$K$2,OSR$4),Table1[],(MATCH(Calendar!$A18,DB!$1:$1,0)),FALSE)&gt;=5,"Good","Bad"),VLOOKUP(DATE($K$1,$K$2,OSR$4),Table1[],(MATCH(Calendar!$A18,DB!$1:$1,0)),FALSE)),"")</f>
        <v/>
      </c>
      <c r="OSS18" s="28" t="str">
        <f>IFERROR(IF(OTB3="No",IF(VLOOKUP(DATE($K$1,$K$2,OSS$4),Table1[],(MATCH(Calendar!$A18,DB!$1:$1,0)),FALSE)&gt;=5,"Good","Bad"),VLOOKUP(DATE($K$1,$K$2,OSS$4),Table1[],(MATCH(Calendar!$A18,DB!$1:$1,0)),FALSE)),"")</f>
        <v/>
      </c>
      <c r="OST18" s="28" t="str">
        <f>IFERROR(IF(OTC3="No",IF(VLOOKUP(DATE($K$1,$K$2,OST$4),Table1[],(MATCH(Calendar!$A18,DB!$1:$1,0)),FALSE)&gt;=5,"Good","Bad"),VLOOKUP(DATE($K$1,$K$2,OST$4),Table1[],(MATCH(Calendar!$A18,DB!$1:$1,0)),FALSE)),"")</f>
        <v/>
      </c>
      <c r="OSU18" s="28" t="str">
        <f>IFERROR(IF(OTD3="No",IF(VLOOKUP(DATE($K$1,$K$2,OSU$4),Table1[],(MATCH(Calendar!$A18,DB!$1:$1,0)),FALSE)&gt;=5,"Good","Bad"),VLOOKUP(DATE($K$1,$K$2,OSU$4),Table1[],(MATCH(Calendar!$A18,DB!$1:$1,0)),FALSE)),"")</f>
        <v/>
      </c>
      <c r="OSV18" s="28" t="str">
        <f>IFERROR(IF(OTE3="No",IF(VLOOKUP(DATE($K$1,$K$2,OSV$4),Table1[],(MATCH(Calendar!$A18,DB!$1:$1,0)),FALSE)&gt;=5,"Good","Bad"),VLOOKUP(DATE($K$1,$K$2,OSV$4),Table1[],(MATCH(Calendar!$A18,DB!$1:$1,0)),FALSE)),"")</f>
        <v/>
      </c>
      <c r="OSW18" s="28" t="str">
        <f>IFERROR(IF(OTF3="No",IF(VLOOKUP(DATE($K$1,$K$2,OSW$4),Table1[],(MATCH(Calendar!$A18,DB!$1:$1,0)),FALSE)&gt;=5,"Good","Bad"),VLOOKUP(DATE($K$1,$K$2,OSW$4),Table1[],(MATCH(Calendar!$A18,DB!$1:$1,0)),FALSE)),"")</f>
        <v/>
      </c>
      <c r="OSX18" s="28" t="str">
        <f>IFERROR(IF(OTG3="No",IF(VLOOKUP(DATE($K$1,$K$2,OSX$4),Table1[],(MATCH(Calendar!$A18,DB!$1:$1,0)),FALSE)&gt;=5,"Good","Bad"),VLOOKUP(DATE($K$1,$K$2,OSX$4),Table1[],(MATCH(Calendar!$A18,DB!$1:$1,0)),FALSE)),"")</f>
        <v/>
      </c>
      <c r="OSY18" s="28" t="str">
        <f>IFERROR(IF(OTH3="No",IF(VLOOKUP(DATE($K$1,$K$2,OSY$4),Table1[],(MATCH(Calendar!$A18,DB!$1:$1,0)),FALSE)&gt;=5,"Good","Bad"),VLOOKUP(DATE($K$1,$K$2,OSY$4),Table1[],(MATCH(Calendar!$A18,DB!$1:$1,0)),FALSE)),"")</f>
        <v/>
      </c>
      <c r="OSZ18" s="28" t="str">
        <f>IFERROR(IF(OTI3="No",IF(VLOOKUP(DATE($K$1,$K$2,OSZ$4),Table1[],(MATCH(Calendar!$A18,DB!$1:$1,0)),FALSE)&gt;=5,"Good","Bad"),VLOOKUP(DATE($K$1,$K$2,OSZ$4),Table1[],(MATCH(Calendar!$A18,DB!$1:$1,0)),FALSE)),"")</f>
        <v/>
      </c>
      <c r="OTA18" s="28" t="str">
        <f>IFERROR(IF(OTJ3="No",IF(VLOOKUP(DATE($K$1,$K$2,OTA$4),Table1[],(MATCH(Calendar!$A18,DB!$1:$1,0)),FALSE)&gt;=5,"Good","Bad"),VLOOKUP(DATE($K$1,$K$2,OTA$4),Table1[],(MATCH(Calendar!$A18,DB!$1:$1,0)),FALSE)),"")</f>
        <v/>
      </c>
      <c r="OTB18" s="28" t="str">
        <f>IFERROR(IF(OTK3="No",IF(VLOOKUP(DATE($K$1,$K$2,OTB$4),Table1[],(MATCH(Calendar!$A18,DB!$1:$1,0)),FALSE)&gt;=5,"Good","Bad"),VLOOKUP(DATE($K$1,$K$2,OTB$4),Table1[],(MATCH(Calendar!$A18,DB!$1:$1,0)),FALSE)),"")</f>
        <v/>
      </c>
      <c r="OTC18" s="28" t="str">
        <f>IFERROR(IF(OTL3="No",IF(VLOOKUP(DATE($K$1,$K$2,OTC$4),Table1[],(MATCH(Calendar!$A18,DB!$1:$1,0)),FALSE)&gt;=5,"Good","Bad"),VLOOKUP(DATE($K$1,$K$2,OTC$4),Table1[],(MATCH(Calendar!$A18,DB!$1:$1,0)),FALSE)),"")</f>
        <v/>
      </c>
      <c r="OTD18" s="28" t="str">
        <f>IFERROR(IF(OTM3="No",IF(VLOOKUP(DATE($K$1,$K$2,OTD$4),Table1[],(MATCH(Calendar!$A18,DB!$1:$1,0)),FALSE)&gt;=5,"Good","Bad"),VLOOKUP(DATE($K$1,$K$2,OTD$4),Table1[],(MATCH(Calendar!$A18,DB!$1:$1,0)),FALSE)),"")</f>
        <v/>
      </c>
      <c r="OTE18" s="28" t="str">
        <f>IFERROR(IF(OTN3="No",IF(VLOOKUP(DATE($K$1,$K$2,OTE$4),Table1[],(MATCH(Calendar!$A18,DB!$1:$1,0)),FALSE)&gt;=5,"Good","Bad"),VLOOKUP(DATE($K$1,$K$2,OTE$4),Table1[],(MATCH(Calendar!$A18,DB!$1:$1,0)),FALSE)),"")</f>
        <v/>
      </c>
      <c r="OTF18" s="28" t="str">
        <f>IFERROR(IF(OTO3="No",IF(VLOOKUP(DATE($K$1,$K$2,OTF$4),Table1[],(MATCH(Calendar!$A18,DB!$1:$1,0)),FALSE)&gt;=5,"Good","Bad"),VLOOKUP(DATE($K$1,$K$2,OTF$4),Table1[],(MATCH(Calendar!$A18,DB!$1:$1,0)),FALSE)),"")</f>
        <v/>
      </c>
      <c r="OTG18" s="28" t="str">
        <f>IFERROR(IF(OTP3="No",IF(VLOOKUP(DATE($K$1,$K$2,OTG$4),Table1[],(MATCH(Calendar!$A18,DB!$1:$1,0)),FALSE)&gt;=5,"Good","Bad"),VLOOKUP(DATE($K$1,$K$2,OTG$4),Table1[],(MATCH(Calendar!$A18,DB!$1:$1,0)),FALSE)),"")</f>
        <v/>
      </c>
      <c r="OTH18" s="28" t="str">
        <f>IFERROR(IF(OTQ3="No",IF(VLOOKUP(DATE($K$1,$K$2,OTH$4),Table1[],(MATCH(Calendar!$A18,DB!$1:$1,0)),FALSE)&gt;=5,"Good","Bad"),VLOOKUP(DATE($K$1,$K$2,OTH$4),Table1[],(MATCH(Calendar!$A18,DB!$1:$1,0)),FALSE)),"")</f>
        <v/>
      </c>
      <c r="OTI18" s="28" t="str">
        <f>IFERROR(IF(OTR3="No",IF(VLOOKUP(DATE($K$1,$K$2,OTI$4),Table1[],(MATCH(Calendar!$A18,DB!$1:$1,0)),FALSE)&gt;=5,"Good","Bad"),VLOOKUP(DATE($K$1,$K$2,OTI$4),Table1[],(MATCH(Calendar!$A18,DB!$1:$1,0)),FALSE)),"")</f>
        <v/>
      </c>
      <c r="OTJ18" s="28" t="str">
        <f>IFERROR(IF(OTS3="No",IF(VLOOKUP(DATE($K$1,$K$2,OTJ$4),Table1[],(MATCH(Calendar!$A18,DB!$1:$1,0)),FALSE)&gt;=5,"Good","Bad"),VLOOKUP(DATE($K$1,$K$2,OTJ$4),Table1[],(MATCH(Calendar!$A18,DB!$1:$1,0)),FALSE)),"")</f>
        <v/>
      </c>
      <c r="OTK18" s="28" t="str">
        <f>IFERROR(IF(OTT3="No",IF(VLOOKUP(DATE($K$1,$K$2,OTK$4),Table1[],(MATCH(Calendar!$A18,DB!$1:$1,0)),FALSE)&gt;=5,"Good","Bad"),VLOOKUP(DATE($K$1,$K$2,OTK$4),Table1[],(MATCH(Calendar!$A18,DB!$1:$1,0)),FALSE)),"")</f>
        <v/>
      </c>
      <c r="OTL18" s="28" t="str">
        <f>IFERROR(IF(OTU3="No",IF(VLOOKUP(DATE($K$1,$K$2,OTL$4),Table1[],(MATCH(Calendar!$A18,DB!$1:$1,0)),FALSE)&gt;=5,"Good","Bad"),VLOOKUP(DATE($K$1,$K$2,OTL$4),Table1[],(MATCH(Calendar!$A18,DB!$1:$1,0)),FALSE)),"")</f>
        <v/>
      </c>
      <c r="OTM18" s="28" t="str">
        <f>IFERROR(IF(OTV3="No",IF(VLOOKUP(DATE($K$1,$K$2,OTM$4),Table1[],(MATCH(Calendar!$A18,DB!$1:$1,0)),FALSE)&gt;=5,"Good","Bad"),VLOOKUP(DATE($K$1,$K$2,OTM$4),Table1[],(MATCH(Calendar!$A18,DB!$1:$1,0)),FALSE)),"")</f>
        <v/>
      </c>
      <c r="OTN18" s="28" t="str">
        <f>IFERROR(IF(OTW3="No",IF(VLOOKUP(DATE($K$1,$K$2,OTN$4),Table1[],(MATCH(Calendar!$A18,DB!$1:$1,0)),FALSE)&gt;=5,"Good","Bad"),VLOOKUP(DATE($K$1,$K$2,OTN$4),Table1[],(MATCH(Calendar!$A18,DB!$1:$1,0)),FALSE)),"")</f>
        <v/>
      </c>
      <c r="OTO18" s="28" t="str">
        <f>IFERROR(IF(OTX3="No",IF(VLOOKUP(DATE($K$1,$K$2,OTO$4),Table1[],(MATCH(Calendar!$A18,DB!$1:$1,0)),FALSE)&gt;=5,"Good","Bad"),VLOOKUP(DATE($K$1,$K$2,OTO$4),Table1[],(MATCH(Calendar!$A18,DB!$1:$1,0)),FALSE)),"")</f>
        <v/>
      </c>
      <c r="OTP18" s="28" t="str">
        <f>IFERROR(IF(OTY3="No",IF(VLOOKUP(DATE($K$1,$K$2,OTP$4),Table1[],(MATCH(Calendar!$A18,DB!$1:$1,0)),FALSE)&gt;=5,"Good","Bad"),VLOOKUP(DATE($K$1,$K$2,OTP$4),Table1[],(MATCH(Calendar!$A18,DB!$1:$1,0)),FALSE)),"")</f>
        <v/>
      </c>
      <c r="OTQ18" s="28" t="str">
        <f>IFERROR(IF(OTZ3="No",IF(VLOOKUP(DATE($K$1,$K$2,OTQ$4),Table1[],(MATCH(Calendar!$A18,DB!$1:$1,0)),FALSE)&gt;=5,"Good","Bad"),VLOOKUP(DATE($K$1,$K$2,OTQ$4),Table1[],(MATCH(Calendar!$A18,DB!$1:$1,0)),FALSE)),"")</f>
        <v/>
      </c>
      <c r="OTR18" s="28" t="str">
        <f>IFERROR(IF(OUA3="No",IF(VLOOKUP(DATE($K$1,$K$2,OTR$4),Table1[],(MATCH(Calendar!$A18,DB!$1:$1,0)),FALSE)&gt;=5,"Good","Bad"),VLOOKUP(DATE($K$1,$K$2,OTR$4),Table1[],(MATCH(Calendar!$A18,DB!$1:$1,0)),FALSE)),"")</f>
        <v/>
      </c>
      <c r="OTS18" s="28" t="str">
        <f>IFERROR(IF(OUB3="No",IF(VLOOKUP(DATE($K$1,$K$2,OTS$4),Table1[],(MATCH(Calendar!$A18,DB!$1:$1,0)),FALSE)&gt;=5,"Good","Bad"),VLOOKUP(DATE($K$1,$K$2,OTS$4),Table1[],(MATCH(Calendar!$A18,DB!$1:$1,0)),FALSE)),"")</f>
        <v/>
      </c>
      <c r="OTT18" s="28" t="str">
        <f>IFERROR(IF(OUC3="No",IF(VLOOKUP(DATE($K$1,$K$2,OTT$4),Table1[],(MATCH(Calendar!$A18,DB!$1:$1,0)),FALSE)&gt;=5,"Good","Bad"),VLOOKUP(DATE($K$1,$K$2,OTT$4),Table1[],(MATCH(Calendar!$A18,DB!$1:$1,0)),FALSE)),"")</f>
        <v/>
      </c>
      <c r="OTU18" s="28" t="str">
        <f>IFERROR(IF(OUD3="No",IF(VLOOKUP(DATE($K$1,$K$2,OTU$4),Table1[],(MATCH(Calendar!$A18,DB!$1:$1,0)),FALSE)&gt;=5,"Good","Bad"),VLOOKUP(DATE($K$1,$K$2,OTU$4),Table1[],(MATCH(Calendar!$A18,DB!$1:$1,0)),FALSE)),"")</f>
        <v/>
      </c>
      <c r="OTV18" s="28" t="str">
        <f>IFERROR(IF(OUE3="No",IF(VLOOKUP(DATE($K$1,$K$2,OTV$4),Table1[],(MATCH(Calendar!$A18,DB!$1:$1,0)),FALSE)&gt;=5,"Good","Bad"),VLOOKUP(DATE($K$1,$K$2,OTV$4),Table1[],(MATCH(Calendar!$A18,DB!$1:$1,0)),FALSE)),"")</f>
        <v/>
      </c>
      <c r="OTW18" s="28" t="str">
        <f>IFERROR(IF(OUF3="No",IF(VLOOKUP(DATE($K$1,$K$2,OTW$4),Table1[],(MATCH(Calendar!$A18,DB!$1:$1,0)),FALSE)&gt;=5,"Good","Bad"),VLOOKUP(DATE($K$1,$K$2,OTW$4),Table1[],(MATCH(Calendar!$A18,DB!$1:$1,0)),FALSE)),"")</f>
        <v/>
      </c>
      <c r="OTX18" s="28" t="str">
        <f>IFERROR(IF(OUG3="No",IF(VLOOKUP(DATE($K$1,$K$2,OTX$4),Table1[],(MATCH(Calendar!$A18,DB!$1:$1,0)),FALSE)&gt;=5,"Good","Bad"),VLOOKUP(DATE($K$1,$K$2,OTX$4),Table1[],(MATCH(Calendar!$A18,DB!$1:$1,0)),FALSE)),"")</f>
        <v/>
      </c>
      <c r="OTY18" s="28" t="str">
        <f>IFERROR(IF(OUH3="No",IF(VLOOKUP(DATE($K$1,$K$2,OTY$4),Table1[],(MATCH(Calendar!$A18,DB!$1:$1,0)),FALSE)&gt;=5,"Good","Bad"),VLOOKUP(DATE($K$1,$K$2,OTY$4),Table1[],(MATCH(Calendar!$A18,DB!$1:$1,0)),FALSE)),"")</f>
        <v/>
      </c>
      <c r="OTZ18" s="28" t="str">
        <f>IFERROR(IF(OUI3="No",IF(VLOOKUP(DATE($K$1,$K$2,OTZ$4),Table1[],(MATCH(Calendar!$A18,DB!$1:$1,0)),FALSE)&gt;=5,"Good","Bad"),VLOOKUP(DATE($K$1,$K$2,OTZ$4),Table1[],(MATCH(Calendar!$A18,DB!$1:$1,0)),FALSE)),"")</f>
        <v/>
      </c>
      <c r="OUA18" s="28" t="str">
        <f>IFERROR(IF(OUJ3="No",IF(VLOOKUP(DATE($K$1,$K$2,OUA$4),Table1[],(MATCH(Calendar!$A18,DB!$1:$1,0)),FALSE)&gt;=5,"Good","Bad"),VLOOKUP(DATE($K$1,$K$2,OUA$4),Table1[],(MATCH(Calendar!$A18,DB!$1:$1,0)),FALSE)),"")</f>
        <v/>
      </c>
      <c r="OUB18" s="28" t="str">
        <f>IFERROR(IF(OUK3="No",IF(VLOOKUP(DATE($K$1,$K$2,OUB$4),Table1[],(MATCH(Calendar!$A18,DB!$1:$1,0)),FALSE)&gt;=5,"Good","Bad"),VLOOKUP(DATE($K$1,$K$2,OUB$4),Table1[],(MATCH(Calendar!$A18,DB!$1:$1,0)),FALSE)),"")</f>
        <v/>
      </c>
      <c r="OUC18" s="28" t="str">
        <f>IFERROR(IF(OUL3="No",IF(VLOOKUP(DATE($K$1,$K$2,OUC$4),Table1[],(MATCH(Calendar!$A18,DB!$1:$1,0)),FALSE)&gt;=5,"Good","Bad"),VLOOKUP(DATE($K$1,$K$2,OUC$4),Table1[],(MATCH(Calendar!$A18,DB!$1:$1,0)),FALSE)),"")</f>
        <v/>
      </c>
      <c r="OUD18" s="28" t="str">
        <f>IFERROR(IF(OUM3="No",IF(VLOOKUP(DATE($K$1,$K$2,OUD$4),Table1[],(MATCH(Calendar!$A18,DB!$1:$1,0)),FALSE)&gt;=5,"Good","Bad"),VLOOKUP(DATE($K$1,$K$2,OUD$4),Table1[],(MATCH(Calendar!$A18,DB!$1:$1,0)),FALSE)),"")</f>
        <v/>
      </c>
      <c r="OUE18" s="28" t="str">
        <f>IFERROR(IF(OUN3="No",IF(VLOOKUP(DATE($K$1,$K$2,OUE$4),Table1[],(MATCH(Calendar!$A18,DB!$1:$1,0)),FALSE)&gt;=5,"Good","Bad"),VLOOKUP(DATE($K$1,$K$2,OUE$4),Table1[],(MATCH(Calendar!$A18,DB!$1:$1,0)),FALSE)),"")</f>
        <v/>
      </c>
      <c r="OUF18" s="28" t="str">
        <f>IFERROR(IF(OUO3="No",IF(VLOOKUP(DATE($K$1,$K$2,OUF$4),Table1[],(MATCH(Calendar!$A18,DB!$1:$1,0)),FALSE)&gt;=5,"Good","Bad"),VLOOKUP(DATE($K$1,$K$2,OUF$4),Table1[],(MATCH(Calendar!$A18,DB!$1:$1,0)),FALSE)),"")</f>
        <v/>
      </c>
      <c r="OUG18" s="28" t="str">
        <f>IFERROR(IF(OUP3="No",IF(VLOOKUP(DATE($K$1,$K$2,OUG$4),Table1[],(MATCH(Calendar!$A18,DB!$1:$1,0)),FALSE)&gt;=5,"Good","Bad"),VLOOKUP(DATE($K$1,$K$2,OUG$4),Table1[],(MATCH(Calendar!$A18,DB!$1:$1,0)),FALSE)),"")</f>
        <v/>
      </c>
      <c r="OUH18" s="28" t="str">
        <f>IFERROR(IF(OUQ3="No",IF(VLOOKUP(DATE($K$1,$K$2,OUH$4),Table1[],(MATCH(Calendar!$A18,DB!$1:$1,0)),FALSE)&gt;=5,"Good","Bad"),VLOOKUP(DATE($K$1,$K$2,OUH$4),Table1[],(MATCH(Calendar!$A18,DB!$1:$1,0)),FALSE)),"")</f>
        <v/>
      </c>
      <c r="OUI18" s="28" t="str">
        <f>IFERROR(IF(OUR3="No",IF(VLOOKUP(DATE($K$1,$K$2,OUI$4),Table1[],(MATCH(Calendar!$A18,DB!$1:$1,0)),FALSE)&gt;=5,"Good","Bad"),VLOOKUP(DATE($K$1,$K$2,OUI$4),Table1[],(MATCH(Calendar!$A18,DB!$1:$1,0)),FALSE)),"")</f>
        <v/>
      </c>
      <c r="OUJ18" s="28" t="str">
        <f>IFERROR(IF(OUS3="No",IF(VLOOKUP(DATE($K$1,$K$2,OUJ$4),Table1[],(MATCH(Calendar!$A18,DB!$1:$1,0)),FALSE)&gt;=5,"Good","Bad"),VLOOKUP(DATE($K$1,$K$2,OUJ$4),Table1[],(MATCH(Calendar!$A18,DB!$1:$1,0)),FALSE)),"")</f>
        <v/>
      </c>
      <c r="OUK18" s="28" t="str">
        <f>IFERROR(IF(OUT3="No",IF(VLOOKUP(DATE($K$1,$K$2,OUK$4),Table1[],(MATCH(Calendar!$A18,DB!$1:$1,0)),FALSE)&gt;=5,"Good","Bad"),VLOOKUP(DATE($K$1,$K$2,OUK$4),Table1[],(MATCH(Calendar!$A18,DB!$1:$1,0)),FALSE)),"")</f>
        <v/>
      </c>
      <c r="OUL18" s="28" t="str">
        <f>IFERROR(IF(OUU3="No",IF(VLOOKUP(DATE($K$1,$K$2,OUL$4),Table1[],(MATCH(Calendar!$A18,DB!$1:$1,0)),FALSE)&gt;=5,"Good","Bad"),VLOOKUP(DATE($K$1,$K$2,OUL$4),Table1[],(MATCH(Calendar!$A18,DB!$1:$1,0)),FALSE)),"")</f>
        <v/>
      </c>
      <c r="OUM18" s="28" t="str">
        <f>IFERROR(IF(OUV3="No",IF(VLOOKUP(DATE($K$1,$K$2,OUM$4),Table1[],(MATCH(Calendar!$A18,DB!$1:$1,0)),FALSE)&gt;=5,"Good","Bad"),VLOOKUP(DATE($K$1,$K$2,OUM$4),Table1[],(MATCH(Calendar!$A18,DB!$1:$1,0)),FALSE)),"")</f>
        <v/>
      </c>
      <c r="OUN18" s="28" t="str">
        <f>IFERROR(IF(OUW3="No",IF(VLOOKUP(DATE($K$1,$K$2,OUN$4),Table1[],(MATCH(Calendar!$A18,DB!$1:$1,0)),FALSE)&gt;=5,"Good","Bad"),VLOOKUP(DATE($K$1,$K$2,OUN$4),Table1[],(MATCH(Calendar!$A18,DB!$1:$1,0)),FALSE)),"")</f>
        <v/>
      </c>
      <c r="OUO18" s="28" t="str">
        <f>IFERROR(IF(OUX3="No",IF(VLOOKUP(DATE($K$1,$K$2,OUO$4),Table1[],(MATCH(Calendar!$A18,DB!$1:$1,0)),FALSE)&gt;=5,"Good","Bad"),VLOOKUP(DATE($K$1,$K$2,OUO$4),Table1[],(MATCH(Calendar!$A18,DB!$1:$1,0)),FALSE)),"")</f>
        <v/>
      </c>
      <c r="OUP18" s="28" t="str">
        <f>IFERROR(IF(OUY3="No",IF(VLOOKUP(DATE($K$1,$K$2,OUP$4),Table1[],(MATCH(Calendar!$A18,DB!$1:$1,0)),FALSE)&gt;=5,"Good","Bad"),VLOOKUP(DATE($K$1,$K$2,OUP$4),Table1[],(MATCH(Calendar!$A18,DB!$1:$1,0)),FALSE)),"")</f>
        <v/>
      </c>
      <c r="OUQ18" s="28" t="str">
        <f>IFERROR(IF(OUZ3="No",IF(VLOOKUP(DATE($K$1,$K$2,OUQ$4),Table1[],(MATCH(Calendar!$A18,DB!$1:$1,0)),FALSE)&gt;=5,"Good","Bad"),VLOOKUP(DATE($K$1,$K$2,OUQ$4),Table1[],(MATCH(Calendar!$A18,DB!$1:$1,0)),FALSE)),"")</f>
        <v/>
      </c>
      <c r="OUR18" s="28" t="str">
        <f>IFERROR(IF(OVA3="No",IF(VLOOKUP(DATE($K$1,$K$2,OUR$4),Table1[],(MATCH(Calendar!$A18,DB!$1:$1,0)),FALSE)&gt;=5,"Good","Bad"),VLOOKUP(DATE($K$1,$K$2,OUR$4),Table1[],(MATCH(Calendar!$A18,DB!$1:$1,0)),FALSE)),"")</f>
        <v/>
      </c>
      <c r="OUS18" s="28" t="str">
        <f>IFERROR(IF(OVB3="No",IF(VLOOKUP(DATE($K$1,$K$2,OUS$4),Table1[],(MATCH(Calendar!$A18,DB!$1:$1,0)),FALSE)&gt;=5,"Good","Bad"),VLOOKUP(DATE($K$1,$K$2,OUS$4),Table1[],(MATCH(Calendar!$A18,DB!$1:$1,0)),FALSE)),"")</f>
        <v/>
      </c>
      <c r="OUT18" s="28" t="str">
        <f>IFERROR(IF(OVC3="No",IF(VLOOKUP(DATE($K$1,$K$2,OUT$4),Table1[],(MATCH(Calendar!$A18,DB!$1:$1,0)),FALSE)&gt;=5,"Good","Bad"),VLOOKUP(DATE($K$1,$K$2,OUT$4),Table1[],(MATCH(Calendar!$A18,DB!$1:$1,0)),FALSE)),"")</f>
        <v/>
      </c>
      <c r="OUU18" s="28" t="str">
        <f>IFERROR(IF(OVD3="No",IF(VLOOKUP(DATE($K$1,$K$2,OUU$4),Table1[],(MATCH(Calendar!$A18,DB!$1:$1,0)),FALSE)&gt;=5,"Good","Bad"),VLOOKUP(DATE($K$1,$K$2,OUU$4),Table1[],(MATCH(Calendar!$A18,DB!$1:$1,0)),FALSE)),"")</f>
        <v/>
      </c>
      <c r="OUV18" s="28" t="str">
        <f>IFERROR(IF(OVE3="No",IF(VLOOKUP(DATE($K$1,$K$2,OUV$4),Table1[],(MATCH(Calendar!$A18,DB!$1:$1,0)),FALSE)&gt;=5,"Good","Bad"),VLOOKUP(DATE($K$1,$K$2,OUV$4),Table1[],(MATCH(Calendar!$A18,DB!$1:$1,0)),FALSE)),"")</f>
        <v/>
      </c>
      <c r="OUW18" s="28" t="str">
        <f>IFERROR(IF(OVF3="No",IF(VLOOKUP(DATE($K$1,$K$2,OUW$4),Table1[],(MATCH(Calendar!$A18,DB!$1:$1,0)),FALSE)&gt;=5,"Good","Bad"),VLOOKUP(DATE($K$1,$K$2,OUW$4),Table1[],(MATCH(Calendar!$A18,DB!$1:$1,0)),FALSE)),"")</f>
        <v/>
      </c>
      <c r="OUX18" s="28" t="str">
        <f>IFERROR(IF(OVG3="No",IF(VLOOKUP(DATE($K$1,$K$2,OUX$4),Table1[],(MATCH(Calendar!$A18,DB!$1:$1,0)),FALSE)&gt;=5,"Good","Bad"),VLOOKUP(DATE($K$1,$K$2,OUX$4),Table1[],(MATCH(Calendar!$A18,DB!$1:$1,0)),FALSE)),"")</f>
        <v/>
      </c>
      <c r="OUY18" s="28" t="str">
        <f>IFERROR(IF(OVH3="No",IF(VLOOKUP(DATE($K$1,$K$2,OUY$4),Table1[],(MATCH(Calendar!$A18,DB!$1:$1,0)),FALSE)&gt;=5,"Good","Bad"),VLOOKUP(DATE($K$1,$K$2,OUY$4),Table1[],(MATCH(Calendar!$A18,DB!$1:$1,0)),FALSE)),"")</f>
        <v/>
      </c>
      <c r="OUZ18" s="28" t="str">
        <f>IFERROR(IF(OVI3="No",IF(VLOOKUP(DATE($K$1,$K$2,OUZ$4),Table1[],(MATCH(Calendar!$A18,DB!$1:$1,0)),FALSE)&gt;=5,"Good","Bad"),VLOOKUP(DATE($K$1,$K$2,OUZ$4),Table1[],(MATCH(Calendar!$A18,DB!$1:$1,0)),FALSE)),"")</f>
        <v/>
      </c>
      <c r="OVA18" s="28" t="str">
        <f>IFERROR(IF(OVJ3="No",IF(VLOOKUP(DATE($K$1,$K$2,OVA$4),Table1[],(MATCH(Calendar!$A18,DB!$1:$1,0)),FALSE)&gt;=5,"Good","Bad"),VLOOKUP(DATE($K$1,$K$2,OVA$4),Table1[],(MATCH(Calendar!$A18,DB!$1:$1,0)),FALSE)),"")</f>
        <v/>
      </c>
      <c r="OVB18" s="28" t="str">
        <f>IFERROR(IF(OVK3="No",IF(VLOOKUP(DATE($K$1,$K$2,OVB$4),Table1[],(MATCH(Calendar!$A18,DB!$1:$1,0)),FALSE)&gt;=5,"Good","Bad"),VLOOKUP(DATE($K$1,$K$2,OVB$4),Table1[],(MATCH(Calendar!$A18,DB!$1:$1,0)),FALSE)),"")</f>
        <v/>
      </c>
      <c r="OVC18" s="28" t="str">
        <f>IFERROR(IF(OVL3="No",IF(VLOOKUP(DATE($K$1,$K$2,OVC$4),Table1[],(MATCH(Calendar!$A18,DB!$1:$1,0)),FALSE)&gt;=5,"Good","Bad"),VLOOKUP(DATE($K$1,$K$2,OVC$4),Table1[],(MATCH(Calendar!$A18,DB!$1:$1,0)),FALSE)),"")</f>
        <v/>
      </c>
      <c r="OVD18" s="28" t="str">
        <f>IFERROR(IF(OVM3="No",IF(VLOOKUP(DATE($K$1,$K$2,OVD$4),Table1[],(MATCH(Calendar!$A18,DB!$1:$1,0)),FALSE)&gt;=5,"Good","Bad"),VLOOKUP(DATE($K$1,$K$2,OVD$4),Table1[],(MATCH(Calendar!$A18,DB!$1:$1,0)),FALSE)),"")</f>
        <v/>
      </c>
      <c r="OVE18" s="28" t="str">
        <f>IFERROR(IF(OVN3="No",IF(VLOOKUP(DATE($K$1,$K$2,OVE$4),Table1[],(MATCH(Calendar!$A18,DB!$1:$1,0)),FALSE)&gt;=5,"Good","Bad"),VLOOKUP(DATE($K$1,$K$2,OVE$4),Table1[],(MATCH(Calendar!$A18,DB!$1:$1,0)),FALSE)),"")</f>
        <v/>
      </c>
      <c r="OVF18" s="28" t="str">
        <f>IFERROR(IF(OVO3="No",IF(VLOOKUP(DATE($K$1,$K$2,OVF$4),Table1[],(MATCH(Calendar!$A18,DB!$1:$1,0)),FALSE)&gt;=5,"Good","Bad"),VLOOKUP(DATE($K$1,$K$2,OVF$4),Table1[],(MATCH(Calendar!$A18,DB!$1:$1,0)),FALSE)),"")</f>
        <v/>
      </c>
      <c r="OVG18" s="28" t="str">
        <f>IFERROR(IF(OVP3="No",IF(VLOOKUP(DATE($K$1,$K$2,OVG$4),Table1[],(MATCH(Calendar!$A18,DB!$1:$1,0)),FALSE)&gt;=5,"Good","Bad"),VLOOKUP(DATE($K$1,$K$2,OVG$4),Table1[],(MATCH(Calendar!$A18,DB!$1:$1,0)),FALSE)),"")</f>
        <v/>
      </c>
      <c r="OVH18" s="28" t="str">
        <f>IFERROR(IF(OVQ3="No",IF(VLOOKUP(DATE($K$1,$K$2,OVH$4),Table1[],(MATCH(Calendar!$A18,DB!$1:$1,0)),FALSE)&gt;=5,"Good","Bad"),VLOOKUP(DATE($K$1,$K$2,OVH$4),Table1[],(MATCH(Calendar!$A18,DB!$1:$1,0)),FALSE)),"")</f>
        <v/>
      </c>
      <c r="OVI18" s="28" t="str">
        <f>IFERROR(IF(OVR3="No",IF(VLOOKUP(DATE($K$1,$K$2,OVI$4),Table1[],(MATCH(Calendar!$A18,DB!$1:$1,0)),FALSE)&gt;=5,"Good","Bad"),VLOOKUP(DATE($K$1,$K$2,OVI$4),Table1[],(MATCH(Calendar!$A18,DB!$1:$1,0)),FALSE)),"")</f>
        <v/>
      </c>
      <c r="OVJ18" s="28" t="str">
        <f>IFERROR(IF(OVS3="No",IF(VLOOKUP(DATE($K$1,$K$2,OVJ$4),Table1[],(MATCH(Calendar!$A18,DB!$1:$1,0)),FALSE)&gt;=5,"Good","Bad"),VLOOKUP(DATE($K$1,$K$2,OVJ$4),Table1[],(MATCH(Calendar!$A18,DB!$1:$1,0)),FALSE)),"")</f>
        <v/>
      </c>
      <c r="OVK18" s="28" t="str">
        <f>IFERROR(IF(OVT3="No",IF(VLOOKUP(DATE($K$1,$K$2,OVK$4),Table1[],(MATCH(Calendar!$A18,DB!$1:$1,0)),FALSE)&gt;=5,"Good","Bad"),VLOOKUP(DATE($K$1,$K$2,OVK$4),Table1[],(MATCH(Calendar!$A18,DB!$1:$1,0)),FALSE)),"")</f>
        <v/>
      </c>
      <c r="OVL18" s="28" t="str">
        <f>IFERROR(IF(OVU3="No",IF(VLOOKUP(DATE($K$1,$K$2,OVL$4),Table1[],(MATCH(Calendar!$A18,DB!$1:$1,0)),FALSE)&gt;=5,"Good","Bad"),VLOOKUP(DATE($K$1,$K$2,OVL$4),Table1[],(MATCH(Calendar!$A18,DB!$1:$1,0)),FALSE)),"")</f>
        <v/>
      </c>
      <c r="OVM18" s="28" t="str">
        <f>IFERROR(IF(OVV3="No",IF(VLOOKUP(DATE($K$1,$K$2,OVM$4),Table1[],(MATCH(Calendar!$A18,DB!$1:$1,0)),FALSE)&gt;=5,"Good","Bad"),VLOOKUP(DATE($K$1,$K$2,OVM$4),Table1[],(MATCH(Calendar!$A18,DB!$1:$1,0)),FALSE)),"")</f>
        <v/>
      </c>
      <c r="OVN18" s="28" t="str">
        <f>IFERROR(IF(OVW3="No",IF(VLOOKUP(DATE($K$1,$K$2,OVN$4),Table1[],(MATCH(Calendar!$A18,DB!$1:$1,0)),FALSE)&gt;=5,"Good","Bad"),VLOOKUP(DATE($K$1,$K$2,OVN$4),Table1[],(MATCH(Calendar!$A18,DB!$1:$1,0)),FALSE)),"")</f>
        <v/>
      </c>
      <c r="OVO18" s="28" t="str">
        <f>IFERROR(IF(OVX3="No",IF(VLOOKUP(DATE($K$1,$K$2,OVO$4),Table1[],(MATCH(Calendar!$A18,DB!$1:$1,0)),FALSE)&gt;=5,"Good","Bad"),VLOOKUP(DATE($K$1,$K$2,OVO$4),Table1[],(MATCH(Calendar!$A18,DB!$1:$1,0)),FALSE)),"")</f>
        <v/>
      </c>
      <c r="OVP18" s="28" t="str">
        <f>IFERROR(IF(OVY3="No",IF(VLOOKUP(DATE($K$1,$K$2,OVP$4),Table1[],(MATCH(Calendar!$A18,DB!$1:$1,0)),FALSE)&gt;=5,"Good","Bad"),VLOOKUP(DATE($K$1,$K$2,OVP$4),Table1[],(MATCH(Calendar!$A18,DB!$1:$1,0)),FALSE)),"")</f>
        <v/>
      </c>
      <c r="OVQ18" s="28" t="str">
        <f>IFERROR(IF(OVZ3="No",IF(VLOOKUP(DATE($K$1,$K$2,OVQ$4),Table1[],(MATCH(Calendar!$A18,DB!$1:$1,0)),FALSE)&gt;=5,"Good","Bad"),VLOOKUP(DATE($K$1,$K$2,OVQ$4),Table1[],(MATCH(Calendar!$A18,DB!$1:$1,0)),FALSE)),"")</f>
        <v/>
      </c>
      <c r="OVR18" s="28" t="str">
        <f>IFERROR(IF(OWA3="No",IF(VLOOKUP(DATE($K$1,$K$2,OVR$4),Table1[],(MATCH(Calendar!$A18,DB!$1:$1,0)),FALSE)&gt;=5,"Good","Bad"),VLOOKUP(DATE($K$1,$K$2,OVR$4),Table1[],(MATCH(Calendar!$A18,DB!$1:$1,0)),FALSE)),"")</f>
        <v/>
      </c>
      <c r="OVS18" s="28" t="str">
        <f>IFERROR(IF(OWB3="No",IF(VLOOKUP(DATE($K$1,$K$2,OVS$4),Table1[],(MATCH(Calendar!$A18,DB!$1:$1,0)),FALSE)&gt;=5,"Good","Bad"),VLOOKUP(DATE($K$1,$K$2,OVS$4),Table1[],(MATCH(Calendar!$A18,DB!$1:$1,0)),FALSE)),"")</f>
        <v/>
      </c>
      <c r="OVT18" s="28" t="str">
        <f>IFERROR(IF(OWC3="No",IF(VLOOKUP(DATE($K$1,$K$2,OVT$4),Table1[],(MATCH(Calendar!$A18,DB!$1:$1,0)),FALSE)&gt;=5,"Good","Bad"),VLOOKUP(DATE($K$1,$K$2,OVT$4),Table1[],(MATCH(Calendar!$A18,DB!$1:$1,0)),FALSE)),"")</f>
        <v/>
      </c>
      <c r="OVU18" s="28" t="str">
        <f>IFERROR(IF(OWD3="No",IF(VLOOKUP(DATE($K$1,$K$2,OVU$4),Table1[],(MATCH(Calendar!$A18,DB!$1:$1,0)),FALSE)&gt;=5,"Good","Bad"),VLOOKUP(DATE($K$1,$K$2,OVU$4),Table1[],(MATCH(Calendar!$A18,DB!$1:$1,0)),FALSE)),"")</f>
        <v/>
      </c>
      <c r="OVV18" s="28" t="str">
        <f>IFERROR(IF(OWE3="No",IF(VLOOKUP(DATE($K$1,$K$2,OVV$4),Table1[],(MATCH(Calendar!$A18,DB!$1:$1,0)),FALSE)&gt;=5,"Good","Bad"),VLOOKUP(DATE($K$1,$K$2,OVV$4),Table1[],(MATCH(Calendar!$A18,DB!$1:$1,0)),FALSE)),"")</f>
        <v/>
      </c>
      <c r="OVW18" s="28" t="str">
        <f>IFERROR(IF(OWF3="No",IF(VLOOKUP(DATE($K$1,$K$2,OVW$4),Table1[],(MATCH(Calendar!$A18,DB!$1:$1,0)),FALSE)&gt;=5,"Good","Bad"),VLOOKUP(DATE($K$1,$K$2,OVW$4),Table1[],(MATCH(Calendar!$A18,DB!$1:$1,0)),FALSE)),"")</f>
        <v/>
      </c>
      <c r="OVX18" s="28" t="str">
        <f>IFERROR(IF(OWG3="No",IF(VLOOKUP(DATE($K$1,$K$2,OVX$4),Table1[],(MATCH(Calendar!$A18,DB!$1:$1,0)),FALSE)&gt;=5,"Good","Bad"),VLOOKUP(DATE($K$1,$K$2,OVX$4),Table1[],(MATCH(Calendar!$A18,DB!$1:$1,0)),FALSE)),"")</f>
        <v/>
      </c>
      <c r="OVY18" s="28" t="str">
        <f>IFERROR(IF(OWH3="No",IF(VLOOKUP(DATE($K$1,$K$2,OVY$4),Table1[],(MATCH(Calendar!$A18,DB!$1:$1,0)),FALSE)&gt;=5,"Good","Bad"),VLOOKUP(DATE($K$1,$K$2,OVY$4),Table1[],(MATCH(Calendar!$A18,DB!$1:$1,0)),FALSE)),"")</f>
        <v/>
      </c>
      <c r="OVZ18" s="28" t="str">
        <f>IFERROR(IF(OWI3="No",IF(VLOOKUP(DATE($K$1,$K$2,OVZ$4),Table1[],(MATCH(Calendar!$A18,DB!$1:$1,0)),FALSE)&gt;=5,"Good","Bad"),VLOOKUP(DATE($K$1,$K$2,OVZ$4),Table1[],(MATCH(Calendar!$A18,DB!$1:$1,0)),FALSE)),"")</f>
        <v/>
      </c>
      <c r="OWA18" s="28" t="str">
        <f>IFERROR(IF(OWJ3="No",IF(VLOOKUP(DATE($K$1,$K$2,OWA$4),Table1[],(MATCH(Calendar!$A18,DB!$1:$1,0)),FALSE)&gt;=5,"Good","Bad"),VLOOKUP(DATE($K$1,$K$2,OWA$4),Table1[],(MATCH(Calendar!$A18,DB!$1:$1,0)),FALSE)),"")</f>
        <v/>
      </c>
      <c r="OWB18" s="28" t="str">
        <f>IFERROR(IF(OWK3="No",IF(VLOOKUP(DATE($K$1,$K$2,OWB$4),Table1[],(MATCH(Calendar!$A18,DB!$1:$1,0)),FALSE)&gt;=5,"Good","Bad"),VLOOKUP(DATE($K$1,$K$2,OWB$4),Table1[],(MATCH(Calendar!$A18,DB!$1:$1,0)),FALSE)),"")</f>
        <v/>
      </c>
      <c r="OWC18" s="28" t="str">
        <f>IFERROR(IF(OWL3="No",IF(VLOOKUP(DATE($K$1,$K$2,OWC$4),Table1[],(MATCH(Calendar!$A18,DB!$1:$1,0)),FALSE)&gt;=5,"Good","Bad"),VLOOKUP(DATE($K$1,$K$2,OWC$4),Table1[],(MATCH(Calendar!$A18,DB!$1:$1,0)),FALSE)),"")</f>
        <v/>
      </c>
      <c r="OWD18" s="28" t="str">
        <f>IFERROR(IF(OWM3="No",IF(VLOOKUP(DATE($K$1,$K$2,OWD$4),Table1[],(MATCH(Calendar!$A18,DB!$1:$1,0)),FALSE)&gt;=5,"Good","Bad"),VLOOKUP(DATE($K$1,$K$2,OWD$4),Table1[],(MATCH(Calendar!$A18,DB!$1:$1,0)),FALSE)),"")</f>
        <v/>
      </c>
      <c r="OWE18" s="28" t="str">
        <f>IFERROR(IF(OWN3="No",IF(VLOOKUP(DATE($K$1,$K$2,OWE$4),Table1[],(MATCH(Calendar!$A18,DB!$1:$1,0)),FALSE)&gt;=5,"Good","Bad"),VLOOKUP(DATE($K$1,$K$2,OWE$4),Table1[],(MATCH(Calendar!$A18,DB!$1:$1,0)),FALSE)),"")</f>
        <v/>
      </c>
      <c r="OWF18" s="28" t="str">
        <f>IFERROR(IF(OWO3="No",IF(VLOOKUP(DATE($K$1,$K$2,OWF$4),Table1[],(MATCH(Calendar!$A18,DB!$1:$1,0)),FALSE)&gt;=5,"Good","Bad"),VLOOKUP(DATE($K$1,$K$2,OWF$4),Table1[],(MATCH(Calendar!$A18,DB!$1:$1,0)),FALSE)),"")</f>
        <v/>
      </c>
      <c r="OWG18" s="28" t="str">
        <f>IFERROR(IF(OWP3="No",IF(VLOOKUP(DATE($K$1,$K$2,OWG$4),Table1[],(MATCH(Calendar!$A18,DB!$1:$1,0)),FALSE)&gt;=5,"Good","Bad"),VLOOKUP(DATE($K$1,$K$2,OWG$4),Table1[],(MATCH(Calendar!$A18,DB!$1:$1,0)),FALSE)),"")</f>
        <v/>
      </c>
      <c r="OWH18" s="28" t="str">
        <f>IFERROR(IF(OWQ3="No",IF(VLOOKUP(DATE($K$1,$K$2,OWH$4),Table1[],(MATCH(Calendar!$A18,DB!$1:$1,0)),FALSE)&gt;=5,"Good","Bad"),VLOOKUP(DATE($K$1,$K$2,OWH$4),Table1[],(MATCH(Calendar!$A18,DB!$1:$1,0)),FALSE)),"")</f>
        <v/>
      </c>
      <c r="OWI18" s="28" t="str">
        <f>IFERROR(IF(OWR3="No",IF(VLOOKUP(DATE($K$1,$K$2,OWI$4),Table1[],(MATCH(Calendar!$A18,DB!$1:$1,0)),FALSE)&gt;=5,"Good","Bad"),VLOOKUP(DATE($K$1,$K$2,OWI$4),Table1[],(MATCH(Calendar!$A18,DB!$1:$1,0)),FALSE)),"")</f>
        <v/>
      </c>
      <c r="OWJ18" s="28" t="str">
        <f>IFERROR(IF(OWS3="No",IF(VLOOKUP(DATE($K$1,$K$2,OWJ$4),Table1[],(MATCH(Calendar!$A18,DB!$1:$1,0)),FALSE)&gt;=5,"Good","Bad"),VLOOKUP(DATE($K$1,$K$2,OWJ$4),Table1[],(MATCH(Calendar!$A18,DB!$1:$1,0)),FALSE)),"")</f>
        <v/>
      </c>
      <c r="OWK18" s="28" t="str">
        <f>IFERROR(IF(OWT3="No",IF(VLOOKUP(DATE($K$1,$K$2,OWK$4),Table1[],(MATCH(Calendar!$A18,DB!$1:$1,0)),FALSE)&gt;=5,"Good","Bad"),VLOOKUP(DATE($K$1,$K$2,OWK$4),Table1[],(MATCH(Calendar!$A18,DB!$1:$1,0)),FALSE)),"")</f>
        <v/>
      </c>
      <c r="OWL18" s="28" t="str">
        <f>IFERROR(IF(OWU3="No",IF(VLOOKUP(DATE($K$1,$K$2,OWL$4),Table1[],(MATCH(Calendar!$A18,DB!$1:$1,0)),FALSE)&gt;=5,"Good","Bad"),VLOOKUP(DATE($K$1,$K$2,OWL$4),Table1[],(MATCH(Calendar!$A18,DB!$1:$1,0)),FALSE)),"")</f>
        <v/>
      </c>
      <c r="OWM18" s="28" t="str">
        <f>IFERROR(IF(OWV3="No",IF(VLOOKUP(DATE($K$1,$K$2,OWM$4),Table1[],(MATCH(Calendar!$A18,DB!$1:$1,0)),FALSE)&gt;=5,"Good","Bad"),VLOOKUP(DATE($K$1,$K$2,OWM$4),Table1[],(MATCH(Calendar!$A18,DB!$1:$1,0)),FALSE)),"")</f>
        <v/>
      </c>
      <c r="OWN18" s="28" t="str">
        <f>IFERROR(IF(OWW3="No",IF(VLOOKUP(DATE($K$1,$K$2,OWN$4),Table1[],(MATCH(Calendar!$A18,DB!$1:$1,0)),FALSE)&gt;=5,"Good","Bad"),VLOOKUP(DATE($K$1,$K$2,OWN$4),Table1[],(MATCH(Calendar!$A18,DB!$1:$1,0)),FALSE)),"")</f>
        <v/>
      </c>
      <c r="OWO18" s="28" t="str">
        <f>IFERROR(IF(OWX3="No",IF(VLOOKUP(DATE($K$1,$K$2,OWO$4),Table1[],(MATCH(Calendar!$A18,DB!$1:$1,0)),FALSE)&gt;=5,"Good","Bad"),VLOOKUP(DATE($K$1,$K$2,OWO$4),Table1[],(MATCH(Calendar!$A18,DB!$1:$1,0)),FALSE)),"")</f>
        <v/>
      </c>
      <c r="OWP18" s="28" t="str">
        <f>IFERROR(IF(OWY3="No",IF(VLOOKUP(DATE($K$1,$K$2,OWP$4),Table1[],(MATCH(Calendar!$A18,DB!$1:$1,0)),FALSE)&gt;=5,"Good","Bad"),VLOOKUP(DATE($K$1,$K$2,OWP$4),Table1[],(MATCH(Calendar!$A18,DB!$1:$1,0)),FALSE)),"")</f>
        <v/>
      </c>
      <c r="OWQ18" s="28" t="str">
        <f>IFERROR(IF(OWZ3="No",IF(VLOOKUP(DATE($K$1,$K$2,OWQ$4),Table1[],(MATCH(Calendar!$A18,DB!$1:$1,0)),FALSE)&gt;=5,"Good","Bad"),VLOOKUP(DATE($K$1,$K$2,OWQ$4),Table1[],(MATCH(Calendar!$A18,DB!$1:$1,0)),FALSE)),"")</f>
        <v/>
      </c>
      <c r="OWR18" s="28" t="str">
        <f>IFERROR(IF(OXA3="No",IF(VLOOKUP(DATE($K$1,$K$2,OWR$4),Table1[],(MATCH(Calendar!$A18,DB!$1:$1,0)),FALSE)&gt;=5,"Good","Bad"),VLOOKUP(DATE($K$1,$K$2,OWR$4),Table1[],(MATCH(Calendar!$A18,DB!$1:$1,0)),FALSE)),"")</f>
        <v/>
      </c>
      <c r="OWS18" s="28" t="str">
        <f>IFERROR(IF(OXB3="No",IF(VLOOKUP(DATE($K$1,$K$2,OWS$4),Table1[],(MATCH(Calendar!$A18,DB!$1:$1,0)),FALSE)&gt;=5,"Good","Bad"),VLOOKUP(DATE($K$1,$K$2,OWS$4),Table1[],(MATCH(Calendar!$A18,DB!$1:$1,0)),FALSE)),"")</f>
        <v/>
      </c>
      <c r="OWT18" s="28" t="str">
        <f>IFERROR(IF(OXC3="No",IF(VLOOKUP(DATE($K$1,$K$2,OWT$4),Table1[],(MATCH(Calendar!$A18,DB!$1:$1,0)),FALSE)&gt;=5,"Good","Bad"),VLOOKUP(DATE($K$1,$K$2,OWT$4),Table1[],(MATCH(Calendar!$A18,DB!$1:$1,0)),FALSE)),"")</f>
        <v/>
      </c>
      <c r="OWU18" s="28" t="str">
        <f>IFERROR(IF(OXD3="No",IF(VLOOKUP(DATE($K$1,$K$2,OWU$4),Table1[],(MATCH(Calendar!$A18,DB!$1:$1,0)),FALSE)&gt;=5,"Good","Bad"),VLOOKUP(DATE($K$1,$K$2,OWU$4),Table1[],(MATCH(Calendar!$A18,DB!$1:$1,0)),FALSE)),"")</f>
        <v/>
      </c>
      <c r="OWV18" s="28" t="str">
        <f>IFERROR(IF(OXE3="No",IF(VLOOKUP(DATE($K$1,$K$2,OWV$4),Table1[],(MATCH(Calendar!$A18,DB!$1:$1,0)),FALSE)&gt;=5,"Good","Bad"),VLOOKUP(DATE($K$1,$K$2,OWV$4),Table1[],(MATCH(Calendar!$A18,DB!$1:$1,0)),FALSE)),"")</f>
        <v/>
      </c>
      <c r="OWW18" s="28" t="str">
        <f>IFERROR(IF(OXF3="No",IF(VLOOKUP(DATE($K$1,$K$2,OWW$4),Table1[],(MATCH(Calendar!$A18,DB!$1:$1,0)),FALSE)&gt;=5,"Good","Bad"),VLOOKUP(DATE($K$1,$K$2,OWW$4),Table1[],(MATCH(Calendar!$A18,DB!$1:$1,0)),FALSE)),"")</f>
        <v/>
      </c>
      <c r="OWX18" s="28" t="str">
        <f>IFERROR(IF(OXG3="No",IF(VLOOKUP(DATE($K$1,$K$2,OWX$4),Table1[],(MATCH(Calendar!$A18,DB!$1:$1,0)),FALSE)&gt;=5,"Good","Bad"),VLOOKUP(DATE($K$1,$K$2,OWX$4),Table1[],(MATCH(Calendar!$A18,DB!$1:$1,0)),FALSE)),"")</f>
        <v/>
      </c>
      <c r="OWY18" s="28" t="str">
        <f>IFERROR(IF(OXH3="No",IF(VLOOKUP(DATE($K$1,$K$2,OWY$4),Table1[],(MATCH(Calendar!$A18,DB!$1:$1,0)),FALSE)&gt;=5,"Good","Bad"),VLOOKUP(DATE($K$1,$K$2,OWY$4),Table1[],(MATCH(Calendar!$A18,DB!$1:$1,0)),FALSE)),"")</f>
        <v/>
      </c>
      <c r="OWZ18" s="28" t="str">
        <f>IFERROR(IF(OXI3="No",IF(VLOOKUP(DATE($K$1,$K$2,OWZ$4),Table1[],(MATCH(Calendar!$A18,DB!$1:$1,0)),FALSE)&gt;=5,"Good","Bad"),VLOOKUP(DATE($K$1,$K$2,OWZ$4),Table1[],(MATCH(Calendar!$A18,DB!$1:$1,0)),FALSE)),"")</f>
        <v/>
      </c>
      <c r="OXA18" s="28" t="str">
        <f>IFERROR(IF(OXJ3="No",IF(VLOOKUP(DATE($K$1,$K$2,OXA$4),Table1[],(MATCH(Calendar!$A18,DB!$1:$1,0)),FALSE)&gt;=5,"Good","Bad"),VLOOKUP(DATE($K$1,$K$2,OXA$4),Table1[],(MATCH(Calendar!$A18,DB!$1:$1,0)),FALSE)),"")</f>
        <v/>
      </c>
      <c r="OXB18" s="28" t="str">
        <f>IFERROR(IF(OXK3="No",IF(VLOOKUP(DATE($K$1,$K$2,OXB$4),Table1[],(MATCH(Calendar!$A18,DB!$1:$1,0)),FALSE)&gt;=5,"Good","Bad"),VLOOKUP(DATE($K$1,$K$2,OXB$4),Table1[],(MATCH(Calendar!$A18,DB!$1:$1,0)),FALSE)),"")</f>
        <v/>
      </c>
      <c r="OXC18" s="28" t="str">
        <f>IFERROR(IF(OXL3="No",IF(VLOOKUP(DATE($K$1,$K$2,OXC$4),Table1[],(MATCH(Calendar!$A18,DB!$1:$1,0)),FALSE)&gt;=5,"Good","Bad"),VLOOKUP(DATE($K$1,$K$2,OXC$4),Table1[],(MATCH(Calendar!$A18,DB!$1:$1,0)),FALSE)),"")</f>
        <v/>
      </c>
      <c r="OXD18" s="28" t="str">
        <f>IFERROR(IF(OXM3="No",IF(VLOOKUP(DATE($K$1,$K$2,OXD$4),Table1[],(MATCH(Calendar!$A18,DB!$1:$1,0)),FALSE)&gt;=5,"Good","Bad"),VLOOKUP(DATE($K$1,$K$2,OXD$4),Table1[],(MATCH(Calendar!$A18,DB!$1:$1,0)),FALSE)),"")</f>
        <v/>
      </c>
      <c r="OXE18" s="28" t="str">
        <f>IFERROR(IF(OXN3="No",IF(VLOOKUP(DATE($K$1,$K$2,OXE$4),Table1[],(MATCH(Calendar!$A18,DB!$1:$1,0)),FALSE)&gt;=5,"Good","Bad"),VLOOKUP(DATE($K$1,$K$2,OXE$4),Table1[],(MATCH(Calendar!$A18,DB!$1:$1,0)),FALSE)),"")</f>
        <v/>
      </c>
      <c r="OXF18" s="28" t="str">
        <f>IFERROR(IF(OXO3="No",IF(VLOOKUP(DATE($K$1,$K$2,OXF$4),Table1[],(MATCH(Calendar!$A18,DB!$1:$1,0)),FALSE)&gt;=5,"Good","Bad"),VLOOKUP(DATE($K$1,$K$2,OXF$4),Table1[],(MATCH(Calendar!$A18,DB!$1:$1,0)),FALSE)),"")</f>
        <v/>
      </c>
      <c r="OXG18" s="28" t="str">
        <f>IFERROR(IF(OXP3="No",IF(VLOOKUP(DATE($K$1,$K$2,OXG$4),Table1[],(MATCH(Calendar!$A18,DB!$1:$1,0)),FALSE)&gt;=5,"Good","Bad"),VLOOKUP(DATE($K$1,$K$2,OXG$4),Table1[],(MATCH(Calendar!$A18,DB!$1:$1,0)),FALSE)),"")</f>
        <v/>
      </c>
      <c r="OXH18" s="28" t="str">
        <f>IFERROR(IF(OXQ3="No",IF(VLOOKUP(DATE($K$1,$K$2,OXH$4),Table1[],(MATCH(Calendar!$A18,DB!$1:$1,0)),FALSE)&gt;=5,"Good","Bad"),VLOOKUP(DATE($K$1,$K$2,OXH$4),Table1[],(MATCH(Calendar!$A18,DB!$1:$1,0)),FALSE)),"")</f>
        <v/>
      </c>
      <c r="OXI18" s="28" t="str">
        <f>IFERROR(IF(OXR3="No",IF(VLOOKUP(DATE($K$1,$K$2,OXI$4),Table1[],(MATCH(Calendar!$A18,DB!$1:$1,0)),FALSE)&gt;=5,"Good","Bad"),VLOOKUP(DATE($K$1,$K$2,OXI$4),Table1[],(MATCH(Calendar!$A18,DB!$1:$1,0)),FALSE)),"")</f>
        <v/>
      </c>
      <c r="OXJ18" s="28" t="str">
        <f>IFERROR(IF(OXS3="No",IF(VLOOKUP(DATE($K$1,$K$2,OXJ$4),Table1[],(MATCH(Calendar!$A18,DB!$1:$1,0)),FALSE)&gt;=5,"Good","Bad"),VLOOKUP(DATE($K$1,$K$2,OXJ$4),Table1[],(MATCH(Calendar!$A18,DB!$1:$1,0)),FALSE)),"")</f>
        <v/>
      </c>
      <c r="OXK18" s="28" t="str">
        <f>IFERROR(IF(OXT3="No",IF(VLOOKUP(DATE($K$1,$K$2,OXK$4),Table1[],(MATCH(Calendar!$A18,DB!$1:$1,0)),FALSE)&gt;=5,"Good","Bad"),VLOOKUP(DATE($K$1,$K$2,OXK$4),Table1[],(MATCH(Calendar!$A18,DB!$1:$1,0)),FALSE)),"")</f>
        <v/>
      </c>
      <c r="OXL18" s="28" t="str">
        <f>IFERROR(IF(OXU3="No",IF(VLOOKUP(DATE($K$1,$K$2,OXL$4),Table1[],(MATCH(Calendar!$A18,DB!$1:$1,0)),FALSE)&gt;=5,"Good","Bad"),VLOOKUP(DATE($K$1,$K$2,OXL$4),Table1[],(MATCH(Calendar!$A18,DB!$1:$1,0)),FALSE)),"")</f>
        <v/>
      </c>
      <c r="OXM18" s="28" t="str">
        <f>IFERROR(IF(OXV3="No",IF(VLOOKUP(DATE($K$1,$K$2,OXM$4),Table1[],(MATCH(Calendar!$A18,DB!$1:$1,0)),FALSE)&gt;=5,"Good","Bad"),VLOOKUP(DATE($K$1,$K$2,OXM$4),Table1[],(MATCH(Calendar!$A18,DB!$1:$1,0)),FALSE)),"")</f>
        <v/>
      </c>
      <c r="OXN18" s="28" t="str">
        <f>IFERROR(IF(OXW3="No",IF(VLOOKUP(DATE($K$1,$K$2,OXN$4),Table1[],(MATCH(Calendar!$A18,DB!$1:$1,0)),FALSE)&gt;=5,"Good","Bad"),VLOOKUP(DATE($K$1,$K$2,OXN$4),Table1[],(MATCH(Calendar!$A18,DB!$1:$1,0)),FALSE)),"")</f>
        <v/>
      </c>
      <c r="OXO18" s="28" t="str">
        <f>IFERROR(IF(OXX3="No",IF(VLOOKUP(DATE($K$1,$K$2,OXO$4),Table1[],(MATCH(Calendar!$A18,DB!$1:$1,0)),FALSE)&gt;=5,"Good","Bad"),VLOOKUP(DATE($K$1,$K$2,OXO$4),Table1[],(MATCH(Calendar!$A18,DB!$1:$1,0)),FALSE)),"")</f>
        <v/>
      </c>
      <c r="OXP18" s="28" t="str">
        <f>IFERROR(IF(OXY3="No",IF(VLOOKUP(DATE($K$1,$K$2,OXP$4),Table1[],(MATCH(Calendar!$A18,DB!$1:$1,0)),FALSE)&gt;=5,"Good","Bad"),VLOOKUP(DATE($K$1,$K$2,OXP$4),Table1[],(MATCH(Calendar!$A18,DB!$1:$1,0)),FALSE)),"")</f>
        <v/>
      </c>
      <c r="OXQ18" s="28" t="str">
        <f>IFERROR(IF(OXZ3="No",IF(VLOOKUP(DATE($K$1,$K$2,OXQ$4),Table1[],(MATCH(Calendar!$A18,DB!$1:$1,0)),FALSE)&gt;=5,"Good","Bad"),VLOOKUP(DATE($K$1,$K$2,OXQ$4),Table1[],(MATCH(Calendar!$A18,DB!$1:$1,0)),FALSE)),"")</f>
        <v/>
      </c>
      <c r="OXR18" s="28" t="str">
        <f>IFERROR(IF(OYA3="No",IF(VLOOKUP(DATE($K$1,$K$2,OXR$4),Table1[],(MATCH(Calendar!$A18,DB!$1:$1,0)),FALSE)&gt;=5,"Good","Bad"),VLOOKUP(DATE($K$1,$K$2,OXR$4),Table1[],(MATCH(Calendar!$A18,DB!$1:$1,0)),FALSE)),"")</f>
        <v/>
      </c>
      <c r="OXS18" s="28" t="str">
        <f>IFERROR(IF(OYB3="No",IF(VLOOKUP(DATE($K$1,$K$2,OXS$4),Table1[],(MATCH(Calendar!$A18,DB!$1:$1,0)),FALSE)&gt;=5,"Good","Bad"),VLOOKUP(DATE($K$1,$K$2,OXS$4),Table1[],(MATCH(Calendar!$A18,DB!$1:$1,0)),FALSE)),"")</f>
        <v/>
      </c>
      <c r="OXT18" s="28" t="str">
        <f>IFERROR(IF(OYC3="No",IF(VLOOKUP(DATE($K$1,$K$2,OXT$4),Table1[],(MATCH(Calendar!$A18,DB!$1:$1,0)),FALSE)&gt;=5,"Good","Bad"),VLOOKUP(DATE($K$1,$K$2,OXT$4),Table1[],(MATCH(Calendar!$A18,DB!$1:$1,0)),FALSE)),"")</f>
        <v/>
      </c>
      <c r="OXU18" s="28" t="str">
        <f>IFERROR(IF(OYD3="No",IF(VLOOKUP(DATE($K$1,$K$2,OXU$4),Table1[],(MATCH(Calendar!$A18,DB!$1:$1,0)),FALSE)&gt;=5,"Good","Bad"),VLOOKUP(DATE($K$1,$K$2,OXU$4),Table1[],(MATCH(Calendar!$A18,DB!$1:$1,0)),FALSE)),"")</f>
        <v/>
      </c>
      <c r="OXV18" s="28" t="str">
        <f>IFERROR(IF(OYE3="No",IF(VLOOKUP(DATE($K$1,$K$2,OXV$4),Table1[],(MATCH(Calendar!$A18,DB!$1:$1,0)),FALSE)&gt;=5,"Good","Bad"),VLOOKUP(DATE($K$1,$K$2,OXV$4),Table1[],(MATCH(Calendar!$A18,DB!$1:$1,0)),FALSE)),"")</f>
        <v/>
      </c>
      <c r="OXW18" s="28" t="str">
        <f>IFERROR(IF(OYF3="No",IF(VLOOKUP(DATE($K$1,$K$2,OXW$4),Table1[],(MATCH(Calendar!$A18,DB!$1:$1,0)),FALSE)&gt;=5,"Good","Bad"),VLOOKUP(DATE($K$1,$K$2,OXW$4),Table1[],(MATCH(Calendar!$A18,DB!$1:$1,0)),FALSE)),"")</f>
        <v/>
      </c>
      <c r="OXX18" s="28" t="str">
        <f>IFERROR(IF(OYG3="No",IF(VLOOKUP(DATE($K$1,$K$2,OXX$4),Table1[],(MATCH(Calendar!$A18,DB!$1:$1,0)),FALSE)&gt;=5,"Good","Bad"),VLOOKUP(DATE($K$1,$K$2,OXX$4),Table1[],(MATCH(Calendar!$A18,DB!$1:$1,0)),FALSE)),"")</f>
        <v/>
      </c>
      <c r="OXY18" s="28" t="str">
        <f>IFERROR(IF(OYH3="No",IF(VLOOKUP(DATE($K$1,$K$2,OXY$4),Table1[],(MATCH(Calendar!$A18,DB!$1:$1,0)),FALSE)&gt;=5,"Good","Bad"),VLOOKUP(DATE($K$1,$K$2,OXY$4),Table1[],(MATCH(Calendar!$A18,DB!$1:$1,0)),FALSE)),"")</f>
        <v/>
      </c>
      <c r="OXZ18" s="28" t="str">
        <f>IFERROR(IF(OYI3="No",IF(VLOOKUP(DATE($K$1,$K$2,OXZ$4),Table1[],(MATCH(Calendar!$A18,DB!$1:$1,0)),FALSE)&gt;=5,"Good","Bad"),VLOOKUP(DATE($K$1,$K$2,OXZ$4),Table1[],(MATCH(Calendar!$A18,DB!$1:$1,0)),FALSE)),"")</f>
        <v/>
      </c>
      <c r="OYA18" s="28" t="str">
        <f>IFERROR(IF(OYJ3="No",IF(VLOOKUP(DATE($K$1,$K$2,OYA$4),Table1[],(MATCH(Calendar!$A18,DB!$1:$1,0)),FALSE)&gt;=5,"Good","Bad"),VLOOKUP(DATE($K$1,$K$2,OYA$4),Table1[],(MATCH(Calendar!$A18,DB!$1:$1,0)),FALSE)),"")</f>
        <v/>
      </c>
      <c r="OYB18" s="28" t="str">
        <f>IFERROR(IF(OYK3="No",IF(VLOOKUP(DATE($K$1,$K$2,OYB$4),Table1[],(MATCH(Calendar!$A18,DB!$1:$1,0)),FALSE)&gt;=5,"Good","Bad"),VLOOKUP(DATE($K$1,$K$2,OYB$4),Table1[],(MATCH(Calendar!$A18,DB!$1:$1,0)),FALSE)),"")</f>
        <v/>
      </c>
      <c r="OYC18" s="28" t="str">
        <f>IFERROR(IF(OYL3="No",IF(VLOOKUP(DATE($K$1,$K$2,OYC$4),Table1[],(MATCH(Calendar!$A18,DB!$1:$1,0)),FALSE)&gt;=5,"Good","Bad"),VLOOKUP(DATE($K$1,$K$2,OYC$4),Table1[],(MATCH(Calendar!$A18,DB!$1:$1,0)),FALSE)),"")</f>
        <v/>
      </c>
      <c r="OYD18" s="28" t="str">
        <f>IFERROR(IF(OYM3="No",IF(VLOOKUP(DATE($K$1,$K$2,OYD$4),Table1[],(MATCH(Calendar!$A18,DB!$1:$1,0)),FALSE)&gt;=5,"Good","Bad"),VLOOKUP(DATE($K$1,$K$2,OYD$4),Table1[],(MATCH(Calendar!$A18,DB!$1:$1,0)),FALSE)),"")</f>
        <v/>
      </c>
      <c r="OYE18" s="28" t="str">
        <f>IFERROR(IF(OYN3="No",IF(VLOOKUP(DATE($K$1,$K$2,OYE$4),Table1[],(MATCH(Calendar!$A18,DB!$1:$1,0)),FALSE)&gt;=5,"Good","Bad"),VLOOKUP(DATE($K$1,$K$2,OYE$4),Table1[],(MATCH(Calendar!$A18,DB!$1:$1,0)),FALSE)),"")</f>
        <v/>
      </c>
      <c r="OYF18" s="28" t="str">
        <f>IFERROR(IF(OYO3="No",IF(VLOOKUP(DATE($K$1,$K$2,OYF$4),Table1[],(MATCH(Calendar!$A18,DB!$1:$1,0)),FALSE)&gt;=5,"Good","Bad"),VLOOKUP(DATE($K$1,$K$2,OYF$4),Table1[],(MATCH(Calendar!$A18,DB!$1:$1,0)),FALSE)),"")</f>
        <v/>
      </c>
      <c r="OYG18" s="28" t="str">
        <f>IFERROR(IF(OYP3="No",IF(VLOOKUP(DATE($K$1,$K$2,OYG$4),Table1[],(MATCH(Calendar!$A18,DB!$1:$1,0)),FALSE)&gt;=5,"Good","Bad"),VLOOKUP(DATE($K$1,$K$2,OYG$4),Table1[],(MATCH(Calendar!$A18,DB!$1:$1,0)),FALSE)),"")</f>
        <v/>
      </c>
      <c r="OYH18" s="28" t="str">
        <f>IFERROR(IF(OYQ3="No",IF(VLOOKUP(DATE($K$1,$K$2,OYH$4),Table1[],(MATCH(Calendar!$A18,DB!$1:$1,0)),FALSE)&gt;=5,"Good","Bad"),VLOOKUP(DATE($K$1,$K$2,OYH$4),Table1[],(MATCH(Calendar!$A18,DB!$1:$1,0)),FALSE)),"")</f>
        <v/>
      </c>
      <c r="OYI18" s="28" t="str">
        <f>IFERROR(IF(OYR3="No",IF(VLOOKUP(DATE($K$1,$K$2,OYI$4),Table1[],(MATCH(Calendar!$A18,DB!$1:$1,0)),FALSE)&gt;=5,"Good","Bad"),VLOOKUP(DATE($K$1,$K$2,OYI$4),Table1[],(MATCH(Calendar!$A18,DB!$1:$1,0)),FALSE)),"")</f>
        <v/>
      </c>
      <c r="OYJ18" s="28" t="str">
        <f>IFERROR(IF(OYS3="No",IF(VLOOKUP(DATE($K$1,$K$2,OYJ$4),Table1[],(MATCH(Calendar!$A18,DB!$1:$1,0)),FALSE)&gt;=5,"Good","Bad"),VLOOKUP(DATE($K$1,$K$2,OYJ$4),Table1[],(MATCH(Calendar!$A18,DB!$1:$1,0)),FALSE)),"")</f>
        <v/>
      </c>
      <c r="OYK18" s="28" t="str">
        <f>IFERROR(IF(OYT3="No",IF(VLOOKUP(DATE($K$1,$K$2,OYK$4),Table1[],(MATCH(Calendar!$A18,DB!$1:$1,0)),FALSE)&gt;=5,"Good","Bad"),VLOOKUP(DATE($K$1,$K$2,OYK$4),Table1[],(MATCH(Calendar!$A18,DB!$1:$1,0)),FALSE)),"")</f>
        <v/>
      </c>
      <c r="OYL18" s="28" t="str">
        <f>IFERROR(IF(OYU3="No",IF(VLOOKUP(DATE($K$1,$K$2,OYL$4),Table1[],(MATCH(Calendar!$A18,DB!$1:$1,0)),FALSE)&gt;=5,"Good","Bad"),VLOOKUP(DATE($K$1,$K$2,OYL$4),Table1[],(MATCH(Calendar!$A18,DB!$1:$1,0)),FALSE)),"")</f>
        <v/>
      </c>
      <c r="OYM18" s="28" t="str">
        <f>IFERROR(IF(OYV3="No",IF(VLOOKUP(DATE($K$1,$K$2,OYM$4),Table1[],(MATCH(Calendar!$A18,DB!$1:$1,0)),FALSE)&gt;=5,"Good","Bad"),VLOOKUP(DATE($K$1,$K$2,OYM$4),Table1[],(MATCH(Calendar!$A18,DB!$1:$1,0)),FALSE)),"")</f>
        <v/>
      </c>
      <c r="OYN18" s="28" t="str">
        <f>IFERROR(IF(OYW3="No",IF(VLOOKUP(DATE($K$1,$K$2,OYN$4),Table1[],(MATCH(Calendar!$A18,DB!$1:$1,0)),FALSE)&gt;=5,"Good","Bad"),VLOOKUP(DATE($K$1,$K$2,OYN$4),Table1[],(MATCH(Calendar!$A18,DB!$1:$1,0)),FALSE)),"")</f>
        <v/>
      </c>
      <c r="OYO18" s="28" t="str">
        <f>IFERROR(IF(OYX3="No",IF(VLOOKUP(DATE($K$1,$K$2,OYO$4),Table1[],(MATCH(Calendar!$A18,DB!$1:$1,0)),FALSE)&gt;=5,"Good","Bad"),VLOOKUP(DATE($K$1,$K$2,OYO$4),Table1[],(MATCH(Calendar!$A18,DB!$1:$1,0)),FALSE)),"")</f>
        <v/>
      </c>
      <c r="OYP18" s="28" t="str">
        <f>IFERROR(IF(OYY3="No",IF(VLOOKUP(DATE($K$1,$K$2,OYP$4),Table1[],(MATCH(Calendar!$A18,DB!$1:$1,0)),FALSE)&gt;=5,"Good","Bad"),VLOOKUP(DATE($K$1,$K$2,OYP$4),Table1[],(MATCH(Calendar!$A18,DB!$1:$1,0)),FALSE)),"")</f>
        <v/>
      </c>
      <c r="OYQ18" s="28" t="str">
        <f>IFERROR(IF(OYZ3="No",IF(VLOOKUP(DATE($K$1,$K$2,OYQ$4),Table1[],(MATCH(Calendar!$A18,DB!$1:$1,0)),FALSE)&gt;=5,"Good","Bad"),VLOOKUP(DATE($K$1,$K$2,OYQ$4),Table1[],(MATCH(Calendar!$A18,DB!$1:$1,0)),FALSE)),"")</f>
        <v/>
      </c>
      <c r="OYR18" s="28" t="str">
        <f>IFERROR(IF(OZA3="No",IF(VLOOKUP(DATE($K$1,$K$2,OYR$4),Table1[],(MATCH(Calendar!$A18,DB!$1:$1,0)),FALSE)&gt;=5,"Good","Bad"),VLOOKUP(DATE($K$1,$K$2,OYR$4),Table1[],(MATCH(Calendar!$A18,DB!$1:$1,0)),FALSE)),"")</f>
        <v/>
      </c>
      <c r="OYS18" s="28" t="str">
        <f>IFERROR(IF(OZB3="No",IF(VLOOKUP(DATE($K$1,$K$2,OYS$4),Table1[],(MATCH(Calendar!$A18,DB!$1:$1,0)),FALSE)&gt;=5,"Good","Bad"),VLOOKUP(DATE($K$1,$K$2,OYS$4),Table1[],(MATCH(Calendar!$A18,DB!$1:$1,0)),FALSE)),"")</f>
        <v/>
      </c>
      <c r="OYT18" s="28" t="str">
        <f>IFERROR(IF(OZC3="No",IF(VLOOKUP(DATE($K$1,$K$2,OYT$4),Table1[],(MATCH(Calendar!$A18,DB!$1:$1,0)),FALSE)&gt;=5,"Good","Bad"),VLOOKUP(DATE($K$1,$K$2,OYT$4),Table1[],(MATCH(Calendar!$A18,DB!$1:$1,0)),FALSE)),"")</f>
        <v/>
      </c>
      <c r="OYU18" s="28" t="str">
        <f>IFERROR(IF(OZD3="No",IF(VLOOKUP(DATE($K$1,$K$2,OYU$4),Table1[],(MATCH(Calendar!$A18,DB!$1:$1,0)),FALSE)&gt;=5,"Good","Bad"),VLOOKUP(DATE($K$1,$K$2,OYU$4),Table1[],(MATCH(Calendar!$A18,DB!$1:$1,0)),FALSE)),"")</f>
        <v/>
      </c>
      <c r="OYV18" s="28" t="str">
        <f>IFERROR(IF(OZE3="No",IF(VLOOKUP(DATE($K$1,$K$2,OYV$4),Table1[],(MATCH(Calendar!$A18,DB!$1:$1,0)),FALSE)&gt;=5,"Good","Bad"),VLOOKUP(DATE($K$1,$K$2,OYV$4),Table1[],(MATCH(Calendar!$A18,DB!$1:$1,0)),FALSE)),"")</f>
        <v/>
      </c>
      <c r="OYW18" s="28" t="str">
        <f>IFERROR(IF(OZF3="No",IF(VLOOKUP(DATE($K$1,$K$2,OYW$4),Table1[],(MATCH(Calendar!$A18,DB!$1:$1,0)),FALSE)&gt;=5,"Good","Bad"),VLOOKUP(DATE($K$1,$K$2,OYW$4),Table1[],(MATCH(Calendar!$A18,DB!$1:$1,0)),FALSE)),"")</f>
        <v/>
      </c>
      <c r="OYX18" s="28" t="str">
        <f>IFERROR(IF(OZG3="No",IF(VLOOKUP(DATE($K$1,$K$2,OYX$4),Table1[],(MATCH(Calendar!$A18,DB!$1:$1,0)),FALSE)&gt;=5,"Good","Bad"),VLOOKUP(DATE($K$1,$K$2,OYX$4),Table1[],(MATCH(Calendar!$A18,DB!$1:$1,0)),FALSE)),"")</f>
        <v/>
      </c>
      <c r="OYY18" s="28" t="str">
        <f>IFERROR(IF(OZH3="No",IF(VLOOKUP(DATE($K$1,$K$2,OYY$4),Table1[],(MATCH(Calendar!$A18,DB!$1:$1,0)),FALSE)&gt;=5,"Good","Bad"),VLOOKUP(DATE($K$1,$K$2,OYY$4),Table1[],(MATCH(Calendar!$A18,DB!$1:$1,0)),FALSE)),"")</f>
        <v/>
      </c>
      <c r="OYZ18" s="28" t="str">
        <f>IFERROR(IF(OZI3="No",IF(VLOOKUP(DATE($K$1,$K$2,OYZ$4),Table1[],(MATCH(Calendar!$A18,DB!$1:$1,0)),FALSE)&gt;=5,"Good","Bad"),VLOOKUP(DATE($K$1,$K$2,OYZ$4),Table1[],(MATCH(Calendar!$A18,DB!$1:$1,0)),FALSE)),"")</f>
        <v/>
      </c>
      <c r="OZA18" s="28" t="str">
        <f>IFERROR(IF(OZJ3="No",IF(VLOOKUP(DATE($K$1,$K$2,OZA$4),Table1[],(MATCH(Calendar!$A18,DB!$1:$1,0)),FALSE)&gt;=5,"Good","Bad"),VLOOKUP(DATE($K$1,$K$2,OZA$4),Table1[],(MATCH(Calendar!$A18,DB!$1:$1,0)),FALSE)),"")</f>
        <v/>
      </c>
      <c r="OZB18" s="28" t="str">
        <f>IFERROR(IF(OZK3="No",IF(VLOOKUP(DATE($K$1,$K$2,OZB$4),Table1[],(MATCH(Calendar!$A18,DB!$1:$1,0)),FALSE)&gt;=5,"Good","Bad"),VLOOKUP(DATE($K$1,$K$2,OZB$4),Table1[],(MATCH(Calendar!$A18,DB!$1:$1,0)),FALSE)),"")</f>
        <v/>
      </c>
      <c r="OZC18" s="28" t="str">
        <f>IFERROR(IF(OZL3="No",IF(VLOOKUP(DATE($K$1,$K$2,OZC$4),Table1[],(MATCH(Calendar!$A18,DB!$1:$1,0)),FALSE)&gt;=5,"Good","Bad"),VLOOKUP(DATE($K$1,$K$2,OZC$4),Table1[],(MATCH(Calendar!$A18,DB!$1:$1,0)),FALSE)),"")</f>
        <v/>
      </c>
      <c r="OZD18" s="28" t="str">
        <f>IFERROR(IF(OZM3="No",IF(VLOOKUP(DATE($K$1,$K$2,OZD$4),Table1[],(MATCH(Calendar!$A18,DB!$1:$1,0)),FALSE)&gt;=5,"Good","Bad"),VLOOKUP(DATE($K$1,$K$2,OZD$4),Table1[],(MATCH(Calendar!$A18,DB!$1:$1,0)),FALSE)),"")</f>
        <v/>
      </c>
      <c r="OZE18" s="28" t="str">
        <f>IFERROR(IF(OZN3="No",IF(VLOOKUP(DATE($K$1,$K$2,OZE$4),Table1[],(MATCH(Calendar!$A18,DB!$1:$1,0)),FALSE)&gt;=5,"Good","Bad"),VLOOKUP(DATE($K$1,$K$2,OZE$4),Table1[],(MATCH(Calendar!$A18,DB!$1:$1,0)),FALSE)),"")</f>
        <v/>
      </c>
      <c r="OZF18" s="28" t="str">
        <f>IFERROR(IF(OZO3="No",IF(VLOOKUP(DATE($K$1,$K$2,OZF$4),Table1[],(MATCH(Calendar!$A18,DB!$1:$1,0)),FALSE)&gt;=5,"Good","Bad"),VLOOKUP(DATE($K$1,$K$2,OZF$4),Table1[],(MATCH(Calendar!$A18,DB!$1:$1,0)),FALSE)),"")</f>
        <v/>
      </c>
      <c r="OZG18" s="28" t="str">
        <f>IFERROR(IF(OZP3="No",IF(VLOOKUP(DATE($K$1,$K$2,OZG$4),Table1[],(MATCH(Calendar!$A18,DB!$1:$1,0)),FALSE)&gt;=5,"Good","Bad"),VLOOKUP(DATE($K$1,$K$2,OZG$4),Table1[],(MATCH(Calendar!$A18,DB!$1:$1,0)),FALSE)),"")</f>
        <v/>
      </c>
      <c r="OZH18" s="28" t="str">
        <f>IFERROR(IF(OZQ3="No",IF(VLOOKUP(DATE($K$1,$K$2,OZH$4),Table1[],(MATCH(Calendar!$A18,DB!$1:$1,0)),FALSE)&gt;=5,"Good","Bad"),VLOOKUP(DATE($K$1,$K$2,OZH$4),Table1[],(MATCH(Calendar!$A18,DB!$1:$1,0)),FALSE)),"")</f>
        <v/>
      </c>
      <c r="OZI18" s="28" t="str">
        <f>IFERROR(IF(OZR3="No",IF(VLOOKUP(DATE($K$1,$K$2,OZI$4),Table1[],(MATCH(Calendar!$A18,DB!$1:$1,0)),FALSE)&gt;=5,"Good","Bad"),VLOOKUP(DATE($K$1,$K$2,OZI$4),Table1[],(MATCH(Calendar!$A18,DB!$1:$1,0)),FALSE)),"")</f>
        <v/>
      </c>
      <c r="OZJ18" s="28" t="str">
        <f>IFERROR(IF(OZS3="No",IF(VLOOKUP(DATE($K$1,$K$2,OZJ$4),Table1[],(MATCH(Calendar!$A18,DB!$1:$1,0)),FALSE)&gt;=5,"Good","Bad"),VLOOKUP(DATE($K$1,$K$2,OZJ$4),Table1[],(MATCH(Calendar!$A18,DB!$1:$1,0)),FALSE)),"")</f>
        <v/>
      </c>
      <c r="OZK18" s="28" t="str">
        <f>IFERROR(IF(OZT3="No",IF(VLOOKUP(DATE($K$1,$K$2,OZK$4),Table1[],(MATCH(Calendar!$A18,DB!$1:$1,0)),FALSE)&gt;=5,"Good","Bad"),VLOOKUP(DATE($K$1,$K$2,OZK$4),Table1[],(MATCH(Calendar!$A18,DB!$1:$1,0)),FALSE)),"")</f>
        <v/>
      </c>
      <c r="OZL18" s="28" t="str">
        <f>IFERROR(IF(OZU3="No",IF(VLOOKUP(DATE($K$1,$K$2,OZL$4),Table1[],(MATCH(Calendar!$A18,DB!$1:$1,0)),FALSE)&gt;=5,"Good","Bad"),VLOOKUP(DATE($K$1,$K$2,OZL$4),Table1[],(MATCH(Calendar!$A18,DB!$1:$1,0)),FALSE)),"")</f>
        <v/>
      </c>
      <c r="OZM18" s="28" t="str">
        <f>IFERROR(IF(OZV3="No",IF(VLOOKUP(DATE($K$1,$K$2,OZM$4),Table1[],(MATCH(Calendar!$A18,DB!$1:$1,0)),FALSE)&gt;=5,"Good","Bad"),VLOOKUP(DATE($K$1,$K$2,OZM$4),Table1[],(MATCH(Calendar!$A18,DB!$1:$1,0)),FALSE)),"")</f>
        <v/>
      </c>
      <c r="OZN18" s="28" t="str">
        <f>IFERROR(IF(OZW3="No",IF(VLOOKUP(DATE($K$1,$K$2,OZN$4),Table1[],(MATCH(Calendar!$A18,DB!$1:$1,0)),FALSE)&gt;=5,"Good","Bad"),VLOOKUP(DATE($K$1,$K$2,OZN$4),Table1[],(MATCH(Calendar!$A18,DB!$1:$1,0)),FALSE)),"")</f>
        <v/>
      </c>
      <c r="OZO18" s="28" t="str">
        <f>IFERROR(IF(OZX3="No",IF(VLOOKUP(DATE($K$1,$K$2,OZO$4),Table1[],(MATCH(Calendar!$A18,DB!$1:$1,0)),FALSE)&gt;=5,"Good","Bad"),VLOOKUP(DATE($K$1,$K$2,OZO$4),Table1[],(MATCH(Calendar!$A18,DB!$1:$1,0)),FALSE)),"")</f>
        <v/>
      </c>
      <c r="OZP18" s="28" t="str">
        <f>IFERROR(IF(OZY3="No",IF(VLOOKUP(DATE($K$1,$K$2,OZP$4),Table1[],(MATCH(Calendar!$A18,DB!$1:$1,0)),FALSE)&gt;=5,"Good","Bad"),VLOOKUP(DATE($K$1,$K$2,OZP$4),Table1[],(MATCH(Calendar!$A18,DB!$1:$1,0)),FALSE)),"")</f>
        <v/>
      </c>
      <c r="OZQ18" s="28" t="str">
        <f>IFERROR(IF(OZZ3="No",IF(VLOOKUP(DATE($K$1,$K$2,OZQ$4),Table1[],(MATCH(Calendar!$A18,DB!$1:$1,0)),FALSE)&gt;=5,"Good","Bad"),VLOOKUP(DATE($K$1,$K$2,OZQ$4),Table1[],(MATCH(Calendar!$A18,DB!$1:$1,0)),FALSE)),"")</f>
        <v/>
      </c>
      <c r="OZR18" s="28" t="str">
        <f>IFERROR(IF(PAA3="No",IF(VLOOKUP(DATE($K$1,$K$2,OZR$4),Table1[],(MATCH(Calendar!$A18,DB!$1:$1,0)),FALSE)&gt;=5,"Good","Bad"),VLOOKUP(DATE($K$1,$K$2,OZR$4),Table1[],(MATCH(Calendar!$A18,DB!$1:$1,0)),FALSE)),"")</f>
        <v/>
      </c>
      <c r="OZS18" s="28" t="str">
        <f>IFERROR(IF(PAB3="No",IF(VLOOKUP(DATE($K$1,$K$2,OZS$4),Table1[],(MATCH(Calendar!$A18,DB!$1:$1,0)),FALSE)&gt;=5,"Good","Bad"),VLOOKUP(DATE($K$1,$K$2,OZS$4),Table1[],(MATCH(Calendar!$A18,DB!$1:$1,0)),FALSE)),"")</f>
        <v/>
      </c>
      <c r="OZT18" s="28" t="str">
        <f>IFERROR(IF(PAC3="No",IF(VLOOKUP(DATE($K$1,$K$2,OZT$4),Table1[],(MATCH(Calendar!$A18,DB!$1:$1,0)),FALSE)&gt;=5,"Good","Bad"),VLOOKUP(DATE($K$1,$K$2,OZT$4),Table1[],(MATCH(Calendar!$A18,DB!$1:$1,0)),FALSE)),"")</f>
        <v/>
      </c>
      <c r="OZU18" s="28" t="str">
        <f>IFERROR(IF(PAD3="No",IF(VLOOKUP(DATE($K$1,$K$2,OZU$4),Table1[],(MATCH(Calendar!$A18,DB!$1:$1,0)),FALSE)&gt;=5,"Good","Bad"),VLOOKUP(DATE($K$1,$K$2,OZU$4),Table1[],(MATCH(Calendar!$A18,DB!$1:$1,0)),FALSE)),"")</f>
        <v/>
      </c>
      <c r="OZV18" s="28" t="str">
        <f>IFERROR(IF(PAE3="No",IF(VLOOKUP(DATE($K$1,$K$2,OZV$4),Table1[],(MATCH(Calendar!$A18,DB!$1:$1,0)),FALSE)&gt;=5,"Good","Bad"),VLOOKUP(DATE($K$1,$K$2,OZV$4),Table1[],(MATCH(Calendar!$A18,DB!$1:$1,0)),FALSE)),"")</f>
        <v/>
      </c>
      <c r="OZW18" s="28" t="str">
        <f>IFERROR(IF(PAF3="No",IF(VLOOKUP(DATE($K$1,$K$2,OZW$4),Table1[],(MATCH(Calendar!$A18,DB!$1:$1,0)),FALSE)&gt;=5,"Good","Bad"),VLOOKUP(DATE($K$1,$K$2,OZW$4),Table1[],(MATCH(Calendar!$A18,DB!$1:$1,0)),FALSE)),"")</f>
        <v/>
      </c>
      <c r="OZX18" s="28" t="str">
        <f>IFERROR(IF(PAG3="No",IF(VLOOKUP(DATE($K$1,$K$2,OZX$4),Table1[],(MATCH(Calendar!$A18,DB!$1:$1,0)),FALSE)&gt;=5,"Good","Bad"),VLOOKUP(DATE($K$1,$K$2,OZX$4),Table1[],(MATCH(Calendar!$A18,DB!$1:$1,0)),FALSE)),"")</f>
        <v/>
      </c>
      <c r="OZY18" s="28" t="str">
        <f>IFERROR(IF(PAH3="No",IF(VLOOKUP(DATE($K$1,$K$2,OZY$4),Table1[],(MATCH(Calendar!$A18,DB!$1:$1,0)),FALSE)&gt;=5,"Good","Bad"),VLOOKUP(DATE($K$1,$K$2,OZY$4),Table1[],(MATCH(Calendar!$A18,DB!$1:$1,0)),FALSE)),"")</f>
        <v/>
      </c>
      <c r="OZZ18" s="28" t="str">
        <f>IFERROR(IF(PAI3="No",IF(VLOOKUP(DATE($K$1,$K$2,OZZ$4),Table1[],(MATCH(Calendar!$A18,DB!$1:$1,0)),FALSE)&gt;=5,"Good","Bad"),VLOOKUP(DATE($K$1,$K$2,OZZ$4),Table1[],(MATCH(Calendar!$A18,DB!$1:$1,0)),FALSE)),"")</f>
        <v/>
      </c>
      <c r="PAA18" s="28" t="str">
        <f>IFERROR(IF(PAJ3="No",IF(VLOOKUP(DATE($K$1,$K$2,PAA$4),Table1[],(MATCH(Calendar!$A18,DB!$1:$1,0)),FALSE)&gt;=5,"Good","Bad"),VLOOKUP(DATE($K$1,$K$2,PAA$4),Table1[],(MATCH(Calendar!$A18,DB!$1:$1,0)),FALSE)),"")</f>
        <v/>
      </c>
      <c r="PAB18" s="28" t="str">
        <f>IFERROR(IF(PAK3="No",IF(VLOOKUP(DATE($K$1,$K$2,PAB$4),Table1[],(MATCH(Calendar!$A18,DB!$1:$1,0)),FALSE)&gt;=5,"Good","Bad"),VLOOKUP(DATE($K$1,$K$2,PAB$4),Table1[],(MATCH(Calendar!$A18,DB!$1:$1,0)),FALSE)),"")</f>
        <v/>
      </c>
      <c r="PAC18" s="28" t="str">
        <f>IFERROR(IF(PAL3="No",IF(VLOOKUP(DATE($K$1,$K$2,PAC$4),Table1[],(MATCH(Calendar!$A18,DB!$1:$1,0)),FALSE)&gt;=5,"Good","Bad"),VLOOKUP(DATE($K$1,$K$2,PAC$4),Table1[],(MATCH(Calendar!$A18,DB!$1:$1,0)),FALSE)),"")</f>
        <v/>
      </c>
      <c r="PAD18" s="28" t="str">
        <f>IFERROR(IF(PAM3="No",IF(VLOOKUP(DATE($K$1,$K$2,PAD$4),Table1[],(MATCH(Calendar!$A18,DB!$1:$1,0)),FALSE)&gt;=5,"Good","Bad"),VLOOKUP(DATE($K$1,$K$2,PAD$4),Table1[],(MATCH(Calendar!$A18,DB!$1:$1,0)),FALSE)),"")</f>
        <v/>
      </c>
      <c r="PAE18" s="28" t="str">
        <f>IFERROR(IF(PAN3="No",IF(VLOOKUP(DATE($K$1,$K$2,PAE$4),Table1[],(MATCH(Calendar!$A18,DB!$1:$1,0)),FALSE)&gt;=5,"Good","Bad"),VLOOKUP(DATE($K$1,$K$2,PAE$4),Table1[],(MATCH(Calendar!$A18,DB!$1:$1,0)),FALSE)),"")</f>
        <v/>
      </c>
      <c r="PAF18" s="28" t="str">
        <f>IFERROR(IF(PAO3="No",IF(VLOOKUP(DATE($K$1,$K$2,PAF$4),Table1[],(MATCH(Calendar!$A18,DB!$1:$1,0)),FALSE)&gt;=5,"Good","Bad"),VLOOKUP(DATE($K$1,$K$2,PAF$4),Table1[],(MATCH(Calendar!$A18,DB!$1:$1,0)),FALSE)),"")</f>
        <v/>
      </c>
      <c r="PAG18" s="28" t="str">
        <f>IFERROR(IF(PAP3="No",IF(VLOOKUP(DATE($K$1,$K$2,PAG$4),Table1[],(MATCH(Calendar!$A18,DB!$1:$1,0)),FALSE)&gt;=5,"Good","Bad"),VLOOKUP(DATE($K$1,$K$2,PAG$4),Table1[],(MATCH(Calendar!$A18,DB!$1:$1,0)),FALSE)),"")</f>
        <v/>
      </c>
      <c r="PAH18" s="28" t="str">
        <f>IFERROR(IF(PAQ3="No",IF(VLOOKUP(DATE($K$1,$K$2,PAH$4),Table1[],(MATCH(Calendar!$A18,DB!$1:$1,0)),FALSE)&gt;=5,"Good","Bad"),VLOOKUP(DATE($K$1,$K$2,PAH$4),Table1[],(MATCH(Calendar!$A18,DB!$1:$1,0)),FALSE)),"")</f>
        <v/>
      </c>
      <c r="PAI18" s="28" t="str">
        <f>IFERROR(IF(PAR3="No",IF(VLOOKUP(DATE($K$1,$K$2,PAI$4),Table1[],(MATCH(Calendar!$A18,DB!$1:$1,0)),FALSE)&gt;=5,"Good","Bad"),VLOOKUP(DATE($K$1,$K$2,PAI$4),Table1[],(MATCH(Calendar!$A18,DB!$1:$1,0)),FALSE)),"")</f>
        <v/>
      </c>
      <c r="PAJ18" s="28" t="str">
        <f>IFERROR(IF(PAS3="No",IF(VLOOKUP(DATE($K$1,$K$2,PAJ$4),Table1[],(MATCH(Calendar!$A18,DB!$1:$1,0)),FALSE)&gt;=5,"Good","Bad"),VLOOKUP(DATE($K$1,$K$2,PAJ$4),Table1[],(MATCH(Calendar!$A18,DB!$1:$1,0)),FALSE)),"")</f>
        <v/>
      </c>
      <c r="PAK18" s="28" t="str">
        <f>IFERROR(IF(PAT3="No",IF(VLOOKUP(DATE($K$1,$K$2,PAK$4),Table1[],(MATCH(Calendar!$A18,DB!$1:$1,0)),FALSE)&gt;=5,"Good","Bad"),VLOOKUP(DATE($K$1,$K$2,PAK$4),Table1[],(MATCH(Calendar!$A18,DB!$1:$1,0)),FALSE)),"")</f>
        <v/>
      </c>
      <c r="PAL18" s="28" t="str">
        <f>IFERROR(IF(PAU3="No",IF(VLOOKUP(DATE($K$1,$K$2,PAL$4),Table1[],(MATCH(Calendar!$A18,DB!$1:$1,0)),FALSE)&gt;=5,"Good","Bad"),VLOOKUP(DATE($K$1,$K$2,PAL$4),Table1[],(MATCH(Calendar!$A18,DB!$1:$1,0)),FALSE)),"")</f>
        <v/>
      </c>
      <c r="PAM18" s="28" t="str">
        <f>IFERROR(IF(PAV3="No",IF(VLOOKUP(DATE($K$1,$K$2,PAM$4),Table1[],(MATCH(Calendar!$A18,DB!$1:$1,0)),FALSE)&gt;=5,"Good","Bad"),VLOOKUP(DATE($K$1,$K$2,PAM$4),Table1[],(MATCH(Calendar!$A18,DB!$1:$1,0)),FALSE)),"")</f>
        <v/>
      </c>
      <c r="PAN18" s="28" t="str">
        <f>IFERROR(IF(PAW3="No",IF(VLOOKUP(DATE($K$1,$K$2,PAN$4),Table1[],(MATCH(Calendar!$A18,DB!$1:$1,0)),FALSE)&gt;=5,"Good","Bad"),VLOOKUP(DATE($K$1,$K$2,PAN$4),Table1[],(MATCH(Calendar!$A18,DB!$1:$1,0)),FALSE)),"")</f>
        <v/>
      </c>
      <c r="PAO18" s="28" t="str">
        <f>IFERROR(IF(PAX3="No",IF(VLOOKUP(DATE($K$1,$K$2,PAO$4),Table1[],(MATCH(Calendar!$A18,DB!$1:$1,0)),FALSE)&gt;=5,"Good","Bad"),VLOOKUP(DATE($K$1,$K$2,PAO$4),Table1[],(MATCH(Calendar!$A18,DB!$1:$1,0)),FALSE)),"")</f>
        <v/>
      </c>
      <c r="PAP18" s="28" t="str">
        <f>IFERROR(IF(PAY3="No",IF(VLOOKUP(DATE($K$1,$K$2,PAP$4),Table1[],(MATCH(Calendar!$A18,DB!$1:$1,0)),FALSE)&gt;=5,"Good","Bad"),VLOOKUP(DATE($K$1,$K$2,PAP$4),Table1[],(MATCH(Calendar!$A18,DB!$1:$1,0)),FALSE)),"")</f>
        <v/>
      </c>
      <c r="PAQ18" s="28" t="str">
        <f>IFERROR(IF(PAZ3="No",IF(VLOOKUP(DATE($K$1,$K$2,PAQ$4),Table1[],(MATCH(Calendar!$A18,DB!$1:$1,0)),FALSE)&gt;=5,"Good","Bad"),VLOOKUP(DATE($K$1,$K$2,PAQ$4),Table1[],(MATCH(Calendar!$A18,DB!$1:$1,0)),FALSE)),"")</f>
        <v/>
      </c>
      <c r="PAR18" s="28" t="str">
        <f>IFERROR(IF(PBA3="No",IF(VLOOKUP(DATE($K$1,$K$2,PAR$4),Table1[],(MATCH(Calendar!$A18,DB!$1:$1,0)),FALSE)&gt;=5,"Good","Bad"),VLOOKUP(DATE($K$1,$K$2,PAR$4),Table1[],(MATCH(Calendar!$A18,DB!$1:$1,0)),FALSE)),"")</f>
        <v/>
      </c>
      <c r="PAS18" s="28" t="str">
        <f>IFERROR(IF(PBB3="No",IF(VLOOKUP(DATE($K$1,$K$2,PAS$4),Table1[],(MATCH(Calendar!$A18,DB!$1:$1,0)),FALSE)&gt;=5,"Good","Bad"),VLOOKUP(DATE($K$1,$K$2,PAS$4),Table1[],(MATCH(Calendar!$A18,DB!$1:$1,0)),FALSE)),"")</f>
        <v/>
      </c>
      <c r="PAT18" s="28" t="str">
        <f>IFERROR(IF(PBC3="No",IF(VLOOKUP(DATE($K$1,$K$2,PAT$4),Table1[],(MATCH(Calendar!$A18,DB!$1:$1,0)),FALSE)&gt;=5,"Good","Bad"),VLOOKUP(DATE($K$1,$K$2,PAT$4),Table1[],(MATCH(Calendar!$A18,DB!$1:$1,0)),FALSE)),"")</f>
        <v/>
      </c>
      <c r="PAU18" s="28" t="str">
        <f>IFERROR(IF(PBD3="No",IF(VLOOKUP(DATE($K$1,$K$2,PAU$4),Table1[],(MATCH(Calendar!$A18,DB!$1:$1,0)),FALSE)&gt;=5,"Good","Bad"),VLOOKUP(DATE($K$1,$K$2,PAU$4),Table1[],(MATCH(Calendar!$A18,DB!$1:$1,0)),FALSE)),"")</f>
        <v/>
      </c>
      <c r="PAV18" s="28" t="str">
        <f>IFERROR(IF(PBE3="No",IF(VLOOKUP(DATE($K$1,$K$2,PAV$4),Table1[],(MATCH(Calendar!$A18,DB!$1:$1,0)),FALSE)&gt;=5,"Good","Bad"),VLOOKUP(DATE($K$1,$K$2,PAV$4),Table1[],(MATCH(Calendar!$A18,DB!$1:$1,0)),FALSE)),"")</f>
        <v/>
      </c>
      <c r="PAW18" s="28" t="str">
        <f>IFERROR(IF(PBF3="No",IF(VLOOKUP(DATE($K$1,$K$2,PAW$4),Table1[],(MATCH(Calendar!$A18,DB!$1:$1,0)),FALSE)&gt;=5,"Good","Bad"),VLOOKUP(DATE($K$1,$K$2,PAW$4),Table1[],(MATCH(Calendar!$A18,DB!$1:$1,0)),FALSE)),"")</f>
        <v/>
      </c>
      <c r="PAX18" s="28" t="str">
        <f>IFERROR(IF(PBG3="No",IF(VLOOKUP(DATE($K$1,$K$2,PAX$4),Table1[],(MATCH(Calendar!$A18,DB!$1:$1,0)),FALSE)&gt;=5,"Good","Bad"),VLOOKUP(DATE($K$1,$K$2,PAX$4),Table1[],(MATCH(Calendar!$A18,DB!$1:$1,0)),FALSE)),"")</f>
        <v/>
      </c>
      <c r="PAY18" s="28" t="str">
        <f>IFERROR(IF(PBH3="No",IF(VLOOKUP(DATE($K$1,$K$2,PAY$4),Table1[],(MATCH(Calendar!$A18,DB!$1:$1,0)),FALSE)&gt;=5,"Good","Bad"),VLOOKUP(DATE($K$1,$K$2,PAY$4),Table1[],(MATCH(Calendar!$A18,DB!$1:$1,0)),FALSE)),"")</f>
        <v/>
      </c>
      <c r="PAZ18" s="28" t="str">
        <f>IFERROR(IF(PBI3="No",IF(VLOOKUP(DATE($K$1,$K$2,PAZ$4),Table1[],(MATCH(Calendar!$A18,DB!$1:$1,0)),FALSE)&gt;=5,"Good","Bad"),VLOOKUP(DATE($K$1,$K$2,PAZ$4),Table1[],(MATCH(Calendar!$A18,DB!$1:$1,0)),FALSE)),"")</f>
        <v/>
      </c>
      <c r="PBA18" s="28" t="str">
        <f>IFERROR(IF(PBJ3="No",IF(VLOOKUP(DATE($K$1,$K$2,PBA$4),Table1[],(MATCH(Calendar!$A18,DB!$1:$1,0)),FALSE)&gt;=5,"Good","Bad"),VLOOKUP(DATE($K$1,$K$2,PBA$4),Table1[],(MATCH(Calendar!$A18,DB!$1:$1,0)),FALSE)),"")</f>
        <v/>
      </c>
      <c r="PBB18" s="28" t="str">
        <f>IFERROR(IF(PBK3="No",IF(VLOOKUP(DATE($K$1,$K$2,PBB$4),Table1[],(MATCH(Calendar!$A18,DB!$1:$1,0)),FALSE)&gt;=5,"Good","Bad"),VLOOKUP(DATE($K$1,$K$2,PBB$4),Table1[],(MATCH(Calendar!$A18,DB!$1:$1,0)),FALSE)),"")</f>
        <v/>
      </c>
      <c r="PBC18" s="28" t="str">
        <f>IFERROR(IF(PBL3="No",IF(VLOOKUP(DATE($K$1,$K$2,PBC$4),Table1[],(MATCH(Calendar!$A18,DB!$1:$1,0)),FALSE)&gt;=5,"Good","Bad"),VLOOKUP(DATE($K$1,$K$2,PBC$4),Table1[],(MATCH(Calendar!$A18,DB!$1:$1,0)),FALSE)),"")</f>
        <v/>
      </c>
      <c r="PBD18" s="28" t="str">
        <f>IFERROR(IF(PBM3="No",IF(VLOOKUP(DATE($K$1,$K$2,PBD$4),Table1[],(MATCH(Calendar!$A18,DB!$1:$1,0)),FALSE)&gt;=5,"Good","Bad"),VLOOKUP(DATE($K$1,$K$2,PBD$4),Table1[],(MATCH(Calendar!$A18,DB!$1:$1,0)),FALSE)),"")</f>
        <v/>
      </c>
      <c r="PBE18" s="28" t="str">
        <f>IFERROR(IF(PBN3="No",IF(VLOOKUP(DATE($K$1,$K$2,PBE$4),Table1[],(MATCH(Calendar!$A18,DB!$1:$1,0)),FALSE)&gt;=5,"Good","Bad"),VLOOKUP(DATE($K$1,$K$2,PBE$4),Table1[],(MATCH(Calendar!$A18,DB!$1:$1,0)),FALSE)),"")</f>
        <v/>
      </c>
      <c r="PBF18" s="28" t="str">
        <f>IFERROR(IF(PBO3="No",IF(VLOOKUP(DATE($K$1,$K$2,PBF$4),Table1[],(MATCH(Calendar!$A18,DB!$1:$1,0)),FALSE)&gt;=5,"Good","Bad"),VLOOKUP(DATE($K$1,$K$2,PBF$4),Table1[],(MATCH(Calendar!$A18,DB!$1:$1,0)),FALSE)),"")</f>
        <v/>
      </c>
      <c r="PBG18" s="28" t="str">
        <f>IFERROR(IF(PBP3="No",IF(VLOOKUP(DATE($K$1,$K$2,PBG$4),Table1[],(MATCH(Calendar!$A18,DB!$1:$1,0)),FALSE)&gt;=5,"Good","Bad"),VLOOKUP(DATE($K$1,$K$2,PBG$4),Table1[],(MATCH(Calendar!$A18,DB!$1:$1,0)),FALSE)),"")</f>
        <v/>
      </c>
      <c r="PBH18" s="28" t="str">
        <f>IFERROR(IF(PBQ3="No",IF(VLOOKUP(DATE($K$1,$K$2,PBH$4),Table1[],(MATCH(Calendar!$A18,DB!$1:$1,0)),FALSE)&gt;=5,"Good","Bad"),VLOOKUP(DATE($K$1,$K$2,PBH$4),Table1[],(MATCH(Calendar!$A18,DB!$1:$1,0)),FALSE)),"")</f>
        <v/>
      </c>
      <c r="PBI18" s="28" t="str">
        <f>IFERROR(IF(PBR3="No",IF(VLOOKUP(DATE($K$1,$K$2,PBI$4),Table1[],(MATCH(Calendar!$A18,DB!$1:$1,0)),FALSE)&gt;=5,"Good","Bad"),VLOOKUP(DATE($K$1,$K$2,PBI$4),Table1[],(MATCH(Calendar!$A18,DB!$1:$1,0)),FALSE)),"")</f>
        <v/>
      </c>
      <c r="PBJ18" s="28" t="str">
        <f>IFERROR(IF(PBS3="No",IF(VLOOKUP(DATE($K$1,$K$2,PBJ$4),Table1[],(MATCH(Calendar!$A18,DB!$1:$1,0)),FALSE)&gt;=5,"Good","Bad"),VLOOKUP(DATE($K$1,$K$2,PBJ$4),Table1[],(MATCH(Calendar!$A18,DB!$1:$1,0)),FALSE)),"")</f>
        <v/>
      </c>
      <c r="PBK18" s="28" t="str">
        <f>IFERROR(IF(PBT3="No",IF(VLOOKUP(DATE($K$1,$K$2,PBK$4),Table1[],(MATCH(Calendar!$A18,DB!$1:$1,0)),FALSE)&gt;=5,"Good","Bad"),VLOOKUP(DATE($K$1,$K$2,PBK$4),Table1[],(MATCH(Calendar!$A18,DB!$1:$1,0)),FALSE)),"")</f>
        <v/>
      </c>
      <c r="PBL18" s="28" t="str">
        <f>IFERROR(IF(PBU3="No",IF(VLOOKUP(DATE($K$1,$K$2,PBL$4),Table1[],(MATCH(Calendar!$A18,DB!$1:$1,0)),FALSE)&gt;=5,"Good","Bad"),VLOOKUP(DATE($K$1,$K$2,PBL$4),Table1[],(MATCH(Calendar!$A18,DB!$1:$1,0)),FALSE)),"")</f>
        <v/>
      </c>
      <c r="PBM18" s="28" t="str">
        <f>IFERROR(IF(PBV3="No",IF(VLOOKUP(DATE($K$1,$K$2,PBM$4),Table1[],(MATCH(Calendar!$A18,DB!$1:$1,0)),FALSE)&gt;=5,"Good","Bad"),VLOOKUP(DATE($K$1,$K$2,PBM$4),Table1[],(MATCH(Calendar!$A18,DB!$1:$1,0)),FALSE)),"")</f>
        <v/>
      </c>
      <c r="PBN18" s="28" t="str">
        <f>IFERROR(IF(PBW3="No",IF(VLOOKUP(DATE($K$1,$K$2,PBN$4),Table1[],(MATCH(Calendar!$A18,DB!$1:$1,0)),FALSE)&gt;=5,"Good","Bad"),VLOOKUP(DATE($K$1,$K$2,PBN$4),Table1[],(MATCH(Calendar!$A18,DB!$1:$1,0)),FALSE)),"")</f>
        <v/>
      </c>
      <c r="PBO18" s="28" t="str">
        <f>IFERROR(IF(PBX3="No",IF(VLOOKUP(DATE($K$1,$K$2,PBO$4),Table1[],(MATCH(Calendar!$A18,DB!$1:$1,0)),FALSE)&gt;=5,"Good","Bad"),VLOOKUP(DATE($K$1,$K$2,PBO$4),Table1[],(MATCH(Calendar!$A18,DB!$1:$1,0)),FALSE)),"")</f>
        <v/>
      </c>
      <c r="PBP18" s="28" t="str">
        <f>IFERROR(IF(PBY3="No",IF(VLOOKUP(DATE($K$1,$K$2,PBP$4),Table1[],(MATCH(Calendar!$A18,DB!$1:$1,0)),FALSE)&gt;=5,"Good","Bad"),VLOOKUP(DATE($K$1,$K$2,PBP$4),Table1[],(MATCH(Calendar!$A18,DB!$1:$1,0)),FALSE)),"")</f>
        <v/>
      </c>
      <c r="PBQ18" s="28" t="str">
        <f>IFERROR(IF(PBZ3="No",IF(VLOOKUP(DATE($K$1,$K$2,PBQ$4),Table1[],(MATCH(Calendar!$A18,DB!$1:$1,0)),FALSE)&gt;=5,"Good","Bad"),VLOOKUP(DATE($K$1,$K$2,PBQ$4),Table1[],(MATCH(Calendar!$A18,DB!$1:$1,0)),FALSE)),"")</f>
        <v/>
      </c>
      <c r="PBR18" s="28" t="str">
        <f>IFERROR(IF(PCA3="No",IF(VLOOKUP(DATE($K$1,$K$2,PBR$4),Table1[],(MATCH(Calendar!$A18,DB!$1:$1,0)),FALSE)&gt;=5,"Good","Bad"),VLOOKUP(DATE($K$1,$K$2,PBR$4),Table1[],(MATCH(Calendar!$A18,DB!$1:$1,0)),FALSE)),"")</f>
        <v/>
      </c>
      <c r="PBS18" s="28" t="str">
        <f>IFERROR(IF(PCB3="No",IF(VLOOKUP(DATE($K$1,$K$2,PBS$4),Table1[],(MATCH(Calendar!$A18,DB!$1:$1,0)),FALSE)&gt;=5,"Good","Bad"),VLOOKUP(DATE($K$1,$K$2,PBS$4),Table1[],(MATCH(Calendar!$A18,DB!$1:$1,0)),FALSE)),"")</f>
        <v/>
      </c>
      <c r="PBT18" s="28" t="str">
        <f>IFERROR(IF(PCC3="No",IF(VLOOKUP(DATE($K$1,$K$2,PBT$4),Table1[],(MATCH(Calendar!$A18,DB!$1:$1,0)),FALSE)&gt;=5,"Good","Bad"),VLOOKUP(DATE($K$1,$K$2,PBT$4),Table1[],(MATCH(Calendar!$A18,DB!$1:$1,0)),FALSE)),"")</f>
        <v/>
      </c>
      <c r="PBU18" s="28" t="str">
        <f>IFERROR(IF(PCD3="No",IF(VLOOKUP(DATE($K$1,$K$2,PBU$4),Table1[],(MATCH(Calendar!$A18,DB!$1:$1,0)),FALSE)&gt;=5,"Good","Bad"),VLOOKUP(DATE($K$1,$K$2,PBU$4),Table1[],(MATCH(Calendar!$A18,DB!$1:$1,0)),FALSE)),"")</f>
        <v/>
      </c>
      <c r="PBV18" s="28" t="str">
        <f>IFERROR(IF(PCE3="No",IF(VLOOKUP(DATE($K$1,$K$2,PBV$4),Table1[],(MATCH(Calendar!$A18,DB!$1:$1,0)),FALSE)&gt;=5,"Good","Bad"),VLOOKUP(DATE($K$1,$K$2,PBV$4),Table1[],(MATCH(Calendar!$A18,DB!$1:$1,0)),FALSE)),"")</f>
        <v/>
      </c>
      <c r="PBW18" s="28" t="str">
        <f>IFERROR(IF(PCF3="No",IF(VLOOKUP(DATE($K$1,$K$2,PBW$4),Table1[],(MATCH(Calendar!$A18,DB!$1:$1,0)),FALSE)&gt;=5,"Good","Bad"),VLOOKUP(DATE($K$1,$K$2,PBW$4),Table1[],(MATCH(Calendar!$A18,DB!$1:$1,0)),FALSE)),"")</f>
        <v/>
      </c>
      <c r="PBX18" s="28" t="str">
        <f>IFERROR(IF(PCG3="No",IF(VLOOKUP(DATE($K$1,$K$2,PBX$4),Table1[],(MATCH(Calendar!$A18,DB!$1:$1,0)),FALSE)&gt;=5,"Good","Bad"),VLOOKUP(DATE($K$1,$K$2,PBX$4),Table1[],(MATCH(Calendar!$A18,DB!$1:$1,0)),FALSE)),"")</f>
        <v/>
      </c>
      <c r="PBY18" s="28" t="str">
        <f>IFERROR(IF(PCH3="No",IF(VLOOKUP(DATE($K$1,$K$2,PBY$4),Table1[],(MATCH(Calendar!$A18,DB!$1:$1,0)),FALSE)&gt;=5,"Good","Bad"),VLOOKUP(DATE($K$1,$K$2,PBY$4),Table1[],(MATCH(Calendar!$A18,DB!$1:$1,0)),FALSE)),"")</f>
        <v/>
      </c>
      <c r="PBZ18" s="28" t="str">
        <f>IFERROR(IF(PCI3="No",IF(VLOOKUP(DATE($K$1,$K$2,PBZ$4),Table1[],(MATCH(Calendar!$A18,DB!$1:$1,0)),FALSE)&gt;=5,"Good","Bad"),VLOOKUP(DATE($K$1,$K$2,PBZ$4),Table1[],(MATCH(Calendar!$A18,DB!$1:$1,0)),FALSE)),"")</f>
        <v/>
      </c>
      <c r="PCA18" s="28" t="str">
        <f>IFERROR(IF(PCJ3="No",IF(VLOOKUP(DATE($K$1,$K$2,PCA$4),Table1[],(MATCH(Calendar!$A18,DB!$1:$1,0)),FALSE)&gt;=5,"Good","Bad"),VLOOKUP(DATE($K$1,$K$2,PCA$4),Table1[],(MATCH(Calendar!$A18,DB!$1:$1,0)),FALSE)),"")</f>
        <v/>
      </c>
      <c r="PCB18" s="28" t="str">
        <f>IFERROR(IF(PCK3="No",IF(VLOOKUP(DATE($K$1,$K$2,PCB$4),Table1[],(MATCH(Calendar!$A18,DB!$1:$1,0)),FALSE)&gt;=5,"Good","Bad"),VLOOKUP(DATE($K$1,$K$2,PCB$4),Table1[],(MATCH(Calendar!$A18,DB!$1:$1,0)),FALSE)),"")</f>
        <v/>
      </c>
      <c r="PCC18" s="28" t="str">
        <f>IFERROR(IF(PCL3="No",IF(VLOOKUP(DATE($K$1,$K$2,PCC$4),Table1[],(MATCH(Calendar!$A18,DB!$1:$1,0)),FALSE)&gt;=5,"Good","Bad"),VLOOKUP(DATE($K$1,$K$2,PCC$4),Table1[],(MATCH(Calendar!$A18,DB!$1:$1,0)),FALSE)),"")</f>
        <v/>
      </c>
      <c r="PCD18" s="28" t="str">
        <f>IFERROR(IF(PCM3="No",IF(VLOOKUP(DATE($K$1,$K$2,PCD$4),Table1[],(MATCH(Calendar!$A18,DB!$1:$1,0)),FALSE)&gt;=5,"Good","Bad"),VLOOKUP(DATE($K$1,$K$2,PCD$4),Table1[],(MATCH(Calendar!$A18,DB!$1:$1,0)),FALSE)),"")</f>
        <v/>
      </c>
      <c r="PCE18" s="28" t="str">
        <f>IFERROR(IF(PCN3="No",IF(VLOOKUP(DATE($K$1,$K$2,PCE$4),Table1[],(MATCH(Calendar!$A18,DB!$1:$1,0)),FALSE)&gt;=5,"Good","Bad"),VLOOKUP(DATE($K$1,$K$2,PCE$4),Table1[],(MATCH(Calendar!$A18,DB!$1:$1,0)),FALSE)),"")</f>
        <v/>
      </c>
      <c r="PCF18" s="28" t="str">
        <f>IFERROR(IF(PCO3="No",IF(VLOOKUP(DATE($K$1,$K$2,PCF$4),Table1[],(MATCH(Calendar!$A18,DB!$1:$1,0)),FALSE)&gt;=5,"Good","Bad"),VLOOKUP(DATE($K$1,$K$2,PCF$4),Table1[],(MATCH(Calendar!$A18,DB!$1:$1,0)),FALSE)),"")</f>
        <v/>
      </c>
      <c r="PCG18" s="28" t="str">
        <f>IFERROR(IF(PCP3="No",IF(VLOOKUP(DATE($K$1,$K$2,PCG$4),Table1[],(MATCH(Calendar!$A18,DB!$1:$1,0)),FALSE)&gt;=5,"Good","Bad"),VLOOKUP(DATE($K$1,$K$2,PCG$4),Table1[],(MATCH(Calendar!$A18,DB!$1:$1,0)),FALSE)),"")</f>
        <v/>
      </c>
      <c r="PCH18" s="28" t="str">
        <f>IFERROR(IF(PCQ3="No",IF(VLOOKUP(DATE($K$1,$K$2,PCH$4),Table1[],(MATCH(Calendar!$A18,DB!$1:$1,0)),FALSE)&gt;=5,"Good","Bad"),VLOOKUP(DATE($K$1,$K$2,PCH$4),Table1[],(MATCH(Calendar!$A18,DB!$1:$1,0)),FALSE)),"")</f>
        <v/>
      </c>
      <c r="PCI18" s="28" t="str">
        <f>IFERROR(IF(PCR3="No",IF(VLOOKUP(DATE($K$1,$K$2,PCI$4),Table1[],(MATCH(Calendar!$A18,DB!$1:$1,0)),FALSE)&gt;=5,"Good","Bad"),VLOOKUP(DATE($K$1,$K$2,PCI$4),Table1[],(MATCH(Calendar!$A18,DB!$1:$1,0)),FALSE)),"")</f>
        <v/>
      </c>
      <c r="PCJ18" s="28" t="str">
        <f>IFERROR(IF(PCS3="No",IF(VLOOKUP(DATE($K$1,$K$2,PCJ$4),Table1[],(MATCH(Calendar!$A18,DB!$1:$1,0)),FALSE)&gt;=5,"Good","Bad"),VLOOKUP(DATE($K$1,$K$2,PCJ$4),Table1[],(MATCH(Calendar!$A18,DB!$1:$1,0)),FALSE)),"")</f>
        <v/>
      </c>
      <c r="PCK18" s="28" t="str">
        <f>IFERROR(IF(PCT3="No",IF(VLOOKUP(DATE($K$1,$K$2,PCK$4),Table1[],(MATCH(Calendar!$A18,DB!$1:$1,0)),FALSE)&gt;=5,"Good","Bad"),VLOOKUP(DATE($K$1,$K$2,PCK$4),Table1[],(MATCH(Calendar!$A18,DB!$1:$1,0)),FALSE)),"")</f>
        <v/>
      </c>
      <c r="PCL18" s="28" t="str">
        <f>IFERROR(IF(PCU3="No",IF(VLOOKUP(DATE($K$1,$K$2,PCL$4),Table1[],(MATCH(Calendar!$A18,DB!$1:$1,0)),FALSE)&gt;=5,"Good","Bad"),VLOOKUP(DATE($K$1,$K$2,PCL$4),Table1[],(MATCH(Calendar!$A18,DB!$1:$1,0)),FALSE)),"")</f>
        <v/>
      </c>
      <c r="PCM18" s="28" t="str">
        <f>IFERROR(IF(PCV3="No",IF(VLOOKUP(DATE($K$1,$K$2,PCM$4),Table1[],(MATCH(Calendar!$A18,DB!$1:$1,0)),FALSE)&gt;=5,"Good","Bad"),VLOOKUP(DATE($K$1,$K$2,PCM$4),Table1[],(MATCH(Calendar!$A18,DB!$1:$1,0)),FALSE)),"")</f>
        <v/>
      </c>
      <c r="PCN18" s="28" t="str">
        <f>IFERROR(IF(PCW3="No",IF(VLOOKUP(DATE($K$1,$K$2,PCN$4),Table1[],(MATCH(Calendar!$A18,DB!$1:$1,0)),FALSE)&gt;=5,"Good","Bad"),VLOOKUP(DATE($K$1,$K$2,PCN$4),Table1[],(MATCH(Calendar!$A18,DB!$1:$1,0)),FALSE)),"")</f>
        <v/>
      </c>
      <c r="PCO18" s="28" t="str">
        <f>IFERROR(IF(PCX3="No",IF(VLOOKUP(DATE($K$1,$K$2,PCO$4),Table1[],(MATCH(Calendar!$A18,DB!$1:$1,0)),FALSE)&gt;=5,"Good","Bad"),VLOOKUP(DATE($K$1,$K$2,PCO$4),Table1[],(MATCH(Calendar!$A18,DB!$1:$1,0)),FALSE)),"")</f>
        <v/>
      </c>
      <c r="PCP18" s="28" t="str">
        <f>IFERROR(IF(PCY3="No",IF(VLOOKUP(DATE($K$1,$K$2,PCP$4),Table1[],(MATCH(Calendar!$A18,DB!$1:$1,0)),FALSE)&gt;=5,"Good","Bad"),VLOOKUP(DATE($K$1,$K$2,PCP$4),Table1[],(MATCH(Calendar!$A18,DB!$1:$1,0)),FALSE)),"")</f>
        <v/>
      </c>
      <c r="PCQ18" s="28" t="str">
        <f>IFERROR(IF(PCZ3="No",IF(VLOOKUP(DATE($K$1,$K$2,PCQ$4),Table1[],(MATCH(Calendar!$A18,DB!$1:$1,0)),FALSE)&gt;=5,"Good","Bad"),VLOOKUP(DATE($K$1,$K$2,PCQ$4),Table1[],(MATCH(Calendar!$A18,DB!$1:$1,0)),FALSE)),"")</f>
        <v/>
      </c>
      <c r="PCR18" s="28" t="str">
        <f>IFERROR(IF(PDA3="No",IF(VLOOKUP(DATE($K$1,$K$2,PCR$4),Table1[],(MATCH(Calendar!$A18,DB!$1:$1,0)),FALSE)&gt;=5,"Good","Bad"),VLOOKUP(DATE($K$1,$K$2,PCR$4),Table1[],(MATCH(Calendar!$A18,DB!$1:$1,0)),FALSE)),"")</f>
        <v/>
      </c>
      <c r="PCS18" s="28" t="str">
        <f>IFERROR(IF(PDB3="No",IF(VLOOKUP(DATE($K$1,$K$2,PCS$4),Table1[],(MATCH(Calendar!$A18,DB!$1:$1,0)),FALSE)&gt;=5,"Good","Bad"),VLOOKUP(DATE($K$1,$K$2,PCS$4),Table1[],(MATCH(Calendar!$A18,DB!$1:$1,0)),FALSE)),"")</f>
        <v/>
      </c>
      <c r="PCT18" s="28" t="str">
        <f>IFERROR(IF(PDC3="No",IF(VLOOKUP(DATE($K$1,$K$2,PCT$4),Table1[],(MATCH(Calendar!$A18,DB!$1:$1,0)),FALSE)&gt;=5,"Good","Bad"),VLOOKUP(DATE($K$1,$K$2,PCT$4),Table1[],(MATCH(Calendar!$A18,DB!$1:$1,0)),FALSE)),"")</f>
        <v/>
      </c>
      <c r="PCU18" s="28" t="str">
        <f>IFERROR(IF(PDD3="No",IF(VLOOKUP(DATE($K$1,$K$2,PCU$4),Table1[],(MATCH(Calendar!$A18,DB!$1:$1,0)),FALSE)&gt;=5,"Good","Bad"),VLOOKUP(DATE($K$1,$K$2,PCU$4),Table1[],(MATCH(Calendar!$A18,DB!$1:$1,0)),FALSE)),"")</f>
        <v/>
      </c>
      <c r="PCV18" s="28" t="str">
        <f>IFERROR(IF(PDE3="No",IF(VLOOKUP(DATE($K$1,$K$2,PCV$4),Table1[],(MATCH(Calendar!$A18,DB!$1:$1,0)),FALSE)&gt;=5,"Good","Bad"),VLOOKUP(DATE($K$1,$K$2,PCV$4),Table1[],(MATCH(Calendar!$A18,DB!$1:$1,0)),FALSE)),"")</f>
        <v/>
      </c>
      <c r="PCW18" s="28" t="str">
        <f>IFERROR(IF(PDF3="No",IF(VLOOKUP(DATE($K$1,$K$2,PCW$4),Table1[],(MATCH(Calendar!$A18,DB!$1:$1,0)),FALSE)&gt;=5,"Good","Bad"),VLOOKUP(DATE($K$1,$K$2,PCW$4),Table1[],(MATCH(Calendar!$A18,DB!$1:$1,0)),FALSE)),"")</f>
        <v/>
      </c>
      <c r="PCX18" s="28" t="str">
        <f>IFERROR(IF(PDG3="No",IF(VLOOKUP(DATE($K$1,$K$2,PCX$4),Table1[],(MATCH(Calendar!$A18,DB!$1:$1,0)),FALSE)&gt;=5,"Good","Bad"),VLOOKUP(DATE($K$1,$K$2,PCX$4),Table1[],(MATCH(Calendar!$A18,DB!$1:$1,0)),FALSE)),"")</f>
        <v/>
      </c>
      <c r="PCY18" s="28" t="str">
        <f>IFERROR(IF(PDH3="No",IF(VLOOKUP(DATE($K$1,$K$2,PCY$4),Table1[],(MATCH(Calendar!$A18,DB!$1:$1,0)),FALSE)&gt;=5,"Good","Bad"),VLOOKUP(DATE($K$1,$K$2,PCY$4),Table1[],(MATCH(Calendar!$A18,DB!$1:$1,0)),FALSE)),"")</f>
        <v/>
      </c>
      <c r="PCZ18" s="28" t="str">
        <f>IFERROR(IF(PDI3="No",IF(VLOOKUP(DATE($K$1,$K$2,PCZ$4),Table1[],(MATCH(Calendar!$A18,DB!$1:$1,0)),FALSE)&gt;=5,"Good","Bad"),VLOOKUP(DATE($K$1,$K$2,PCZ$4),Table1[],(MATCH(Calendar!$A18,DB!$1:$1,0)),FALSE)),"")</f>
        <v/>
      </c>
      <c r="PDA18" s="28" t="str">
        <f>IFERROR(IF(PDJ3="No",IF(VLOOKUP(DATE($K$1,$K$2,PDA$4),Table1[],(MATCH(Calendar!$A18,DB!$1:$1,0)),FALSE)&gt;=5,"Good","Bad"),VLOOKUP(DATE($K$1,$K$2,PDA$4),Table1[],(MATCH(Calendar!$A18,DB!$1:$1,0)),FALSE)),"")</f>
        <v/>
      </c>
      <c r="PDB18" s="28" t="str">
        <f>IFERROR(IF(PDK3="No",IF(VLOOKUP(DATE($K$1,$K$2,PDB$4),Table1[],(MATCH(Calendar!$A18,DB!$1:$1,0)),FALSE)&gt;=5,"Good","Bad"),VLOOKUP(DATE($K$1,$K$2,PDB$4),Table1[],(MATCH(Calendar!$A18,DB!$1:$1,0)),FALSE)),"")</f>
        <v/>
      </c>
      <c r="PDC18" s="28" t="str">
        <f>IFERROR(IF(PDL3="No",IF(VLOOKUP(DATE($K$1,$K$2,PDC$4),Table1[],(MATCH(Calendar!$A18,DB!$1:$1,0)),FALSE)&gt;=5,"Good","Bad"),VLOOKUP(DATE($K$1,$K$2,PDC$4),Table1[],(MATCH(Calendar!$A18,DB!$1:$1,0)),FALSE)),"")</f>
        <v/>
      </c>
      <c r="PDD18" s="28" t="str">
        <f>IFERROR(IF(PDM3="No",IF(VLOOKUP(DATE($K$1,$K$2,PDD$4),Table1[],(MATCH(Calendar!$A18,DB!$1:$1,0)),FALSE)&gt;=5,"Good","Bad"),VLOOKUP(DATE($K$1,$K$2,PDD$4),Table1[],(MATCH(Calendar!$A18,DB!$1:$1,0)),FALSE)),"")</f>
        <v/>
      </c>
      <c r="PDE18" s="28" t="str">
        <f>IFERROR(IF(PDN3="No",IF(VLOOKUP(DATE($K$1,$K$2,PDE$4),Table1[],(MATCH(Calendar!$A18,DB!$1:$1,0)),FALSE)&gt;=5,"Good","Bad"),VLOOKUP(DATE($K$1,$K$2,PDE$4),Table1[],(MATCH(Calendar!$A18,DB!$1:$1,0)),FALSE)),"")</f>
        <v/>
      </c>
      <c r="PDF18" s="28" t="str">
        <f>IFERROR(IF(PDO3="No",IF(VLOOKUP(DATE($K$1,$K$2,PDF$4),Table1[],(MATCH(Calendar!$A18,DB!$1:$1,0)),FALSE)&gt;=5,"Good","Bad"),VLOOKUP(DATE($K$1,$K$2,PDF$4),Table1[],(MATCH(Calendar!$A18,DB!$1:$1,0)),FALSE)),"")</f>
        <v/>
      </c>
      <c r="PDG18" s="28" t="str">
        <f>IFERROR(IF(PDP3="No",IF(VLOOKUP(DATE($K$1,$K$2,PDG$4),Table1[],(MATCH(Calendar!$A18,DB!$1:$1,0)),FALSE)&gt;=5,"Good","Bad"),VLOOKUP(DATE($K$1,$K$2,PDG$4),Table1[],(MATCH(Calendar!$A18,DB!$1:$1,0)),FALSE)),"")</f>
        <v/>
      </c>
      <c r="PDH18" s="28" t="str">
        <f>IFERROR(IF(PDQ3="No",IF(VLOOKUP(DATE($K$1,$K$2,PDH$4),Table1[],(MATCH(Calendar!$A18,DB!$1:$1,0)),FALSE)&gt;=5,"Good","Bad"),VLOOKUP(DATE($K$1,$K$2,PDH$4),Table1[],(MATCH(Calendar!$A18,DB!$1:$1,0)),FALSE)),"")</f>
        <v/>
      </c>
      <c r="PDI18" s="28" t="str">
        <f>IFERROR(IF(PDR3="No",IF(VLOOKUP(DATE($K$1,$K$2,PDI$4),Table1[],(MATCH(Calendar!$A18,DB!$1:$1,0)),FALSE)&gt;=5,"Good","Bad"),VLOOKUP(DATE($K$1,$K$2,PDI$4),Table1[],(MATCH(Calendar!$A18,DB!$1:$1,0)),FALSE)),"")</f>
        <v/>
      </c>
      <c r="PDJ18" s="28" t="str">
        <f>IFERROR(IF(PDS3="No",IF(VLOOKUP(DATE($K$1,$K$2,PDJ$4),Table1[],(MATCH(Calendar!$A18,DB!$1:$1,0)),FALSE)&gt;=5,"Good","Bad"),VLOOKUP(DATE($K$1,$K$2,PDJ$4),Table1[],(MATCH(Calendar!$A18,DB!$1:$1,0)),FALSE)),"")</f>
        <v/>
      </c>
      <c r="PDK18" s="28" t="str">
        <f>IFERROR(IF(PDT3="No",IF(VLOOKUP(DATE($K$1,$K$2,PDK$4),Table1[],(MATCH(Calendar!$A18,DB!$1:$1,0)),FALSE)&gt;=5,"Good","Bad"),VLOOKUP(DATE($K$1,$K$2,PDK$4),Table1[],(MATCH(Calendar!$A18,DB!$1:$1,0)),FALSE)),"")</f>
        <v/>
      </c>
      <c r="PDL18" s="28" t="str">
        <f>IFERROR(IF(PDU3="No",IF(VLOOKUP(DATE($K$1,$K$2,PDL$4),Table1[],(MATCH(Calendar!$A18,DB!$1:$1,0)),FALSE)&gt;=5,"Good","Bad"),VLOOKUP(DATE($K$1,$K$2,PDL$4),Table1[],(MATCH(Calendar!$A18,DB!$1:$1,0)),FALSE)),"")</f>
        <v/>
      </c>
      <c r="PDM18" s="28" t="str">
        <f>IFERROR(IF(PDV3="No",IF(VLOOKUP(DATE($K$1,$K$2,PDM$4),Table1[],(MATCH(Calendar!$A18,DB!$1:$1,0)),FALSE)&gt;=5,"Good","Bad"),VLOOKUP(DATE($K$1,$K$2,PDM$4),Table1[],(MATCH(Calendar!$A18,DB!$1:$1,0)),FALSE)),"")</f>
        <v/>
      </c>
      <c r="PDN18" s="28" t="str">
        <f>IFERROR(IF(PDW3="No",IF(VLOOKUP(DATE($K$1,$K$2,PDN$4),Table1[],(MATCH(Calendar!$A18,DB!$1:$1,0)),FALSE)&gt;=5,"Good","Bad"),VLOOKUP(DATE($K$1,$K$2,PDN$4),Table1[],(MATCH(Calendar!$A18,DB!$1:$1,0)),FALSE)),"")</f>
        <v/>
      </c>
      <c r="PDO18" s="28" t="str">
        <f>IFERROR(IF(PDX3="No",IF(VLOOKUP(DATE($K$1,$K$2,PDO$4),Table1[],(MATCH(Calendar!$A18,DB!$1:$1,0)),FALSE)&gt;=5,"Good","Bad"),VLOOKUP(DATE($K$1,$K$2,PDO$4),Table1[],(MATCH(Calendar!$A18,DB!$1:$1,0)),FALSE)),"")</f>
        <v/>
      </c>
      <c r="PDP18" s="28" t="str">
        <f>IFERROR(IF(PDY3="No",IF(VLOOKUP(DATE($K$1,$K$2,PDP$4),Table1[],(MATCH(Calendar!$A18,DB!$1:$1,0)),FALSE)&gt;=5,"Good","Bad"),VLOOKUP(DATE($K$1,$K$2,PDP$4),Table1[],(MATCH(Calendar!$A18,DB!$1:$1,0)),FALSE)),"")</f>
        <v/>
      </c>
      <c r="PDQ18" s="28" t="str">
        <f>IFERROR(IF(PDZ3="No",IF(VLOOKUP(DATE($K$1,$K$2,PDQ$4),Table1[],(MATCH(Calendar!$A18,DB!$1:$1,0)),FALSE)&gt;=5,"Good","Bad"),VLOOKUP(DATE($K$1,$K$2,PDQ$4),Table1[],(MATCH(Calendar!$A18,DB!$1:$1,0)),FALSE)),"")</f>
        <v/>
      </c>
      <c r="PDR18" s="28" t="str">
        <f>IFERROR(IF(PEA3="No",IF(VLOOKUP(DATE($K$1,$K$2,PDR$4),Table1[],(MATCH(Calendar!$A18,DB!$1:$1,0)),FALSE)&gt;=5,"Good","Bad"),VLOOKUP(DATE($K$1,$K$2,PDR$4),Table1[],(MATCH(Calendar!$A18,DB!$1:$1,0)),FALSE)),"")</f>
        <v/>
      </c>
      <c r="PDS18" s="28" t="str">
        <f>IFERROR(IF(PEB3="No",IF(VLOOKUP(DATE($K$1,$K$2,PDS$4),Table1[],(MATCH(Calendar!$A18,DB!$1:$1,0)),FALSE)&gt;=5,"Good","Bad"),VLOOKUP(DATE($K$1,$K$2,PDS$4),Table1[],(MATCH(Calendar!$A18,DB!$1:$1,0)),FALSE)),"")</f>
        <v/>
      </c>
      <c r="PDT18" s="28" t="str">
        <f>IFERROR(IF(PEC3="No",IF(VLOOKUP(DATE($K$1,$K$2,PDT$4),Table1[],(MATCH(Calendar!$A18,DB!$1:$1,0)),FALSE)&gt;=5,"Good","Bad"),VLOOKUP(DATE($K$1,$K$2,PDT$4),Table1[],(MATCH(Calendar!$A18,DB!$1:$1,0)),FALSE)),"")</f>
        <v/>
      </c>
      <c r="PDU18" s="28" t="str">
        <f>IFERROR(IF(PED3="No",IF(VLOOKUP(DATE($K$1,$K$2,PDU$4),Table1[],(MATCH(Calendar!$A18,DB!$1:$1,0)),FALSE)&gt;=5,"Good","Bad"),VLOOKUP(DATE($K$1,$K$2,PDU$4),Table1[],(MATCH(Calendar!$A18,DB!$1:$1,0)),FALSE)),"")</f>
        <v/>
      </c>
      <c r="PDV18" s="28" t="str">
        <f>IFERROR(IF(PEE3="No",IF(VLOOKUP(DATE($K$1,$K$2,PDV$4),Table1[],(MATCH(Calendar!$A18,DB!$1:$1,0)),FALSE)&gt;=5,"Good","Bad"),VLOOKUP(DATE($K$1,$K$2,PDV$4),Table1[],(MATCH(Calendar!$A18,DB!$1:$1,0)),FALSE)),"")</f>
        <v/>
      </c>
      <c r="PDW18" s="28" t="str">
        <f>IFERROR(IF(PEF3="No",IF(VLOOKUP(DATE($K$1,$K$2,PDW$4),Table1[],(MATCH(Calendar!$A18,DB!$1:$1,0)),FALSE)&gt;=5,"Good","Bad"),VLOOKUP(DATE($K$1,$K$2,PDW$4),Table1[],(MATCH(Calendar!$A18,DB!$1:$1,0)),FALSE)),"")</f>
        <v/>
      </c>
      <c r="PDX18" s="28" t="str">
        <f>IFERROR(IF(PEG3="No",IF(VLOOKUP(DATE($K$1,$K$2,PDX$4),Table1[],(MATCH(Calendar!$A18,DB!$1:$1,0)),FALSE)&gt;=5,"Good","Bad"),VLOOKUP(DATE($K$1,$K$2,PDX$4),Table1[],(MATCH(Calendar!$A18,DB!$1:$1,0)),FALSE)),"")</f>
        <v/>
      </c>
      <c r="PDY18" s="28" t="str">
        <f>IFERROR(IF(PEH3="No",IF(VLOOKUP(DATE($K$1,$K$2,PDY$4),Table1[],(MATCH(Calendar!$A18,DB!$1:$1,0)),FALSE)&gt;=5,"Good","Bad"),VLOOKUP(DATE($K$1,$K$2,PDY$4),Table1[],(MATCH(Calendar!$A18,DB!$1:$1,0)),FALSE)),"")</f>
        <v/>
      </c>
      <c r="PDZ18" s="28" t="str">
        <f>IFERROR(IF(PEI3="No",IF(VLOOKUP(DATE($K$1,$K$2,PDZ$4),Table1[],(MATCH(Calendar!$A18,DB!$1:$1,0)),FALSE)&gt;=5,"Good","Bad"),VLOOKUP(DATE($K$1,$K$2,PDZ$4),Table1[],(MATCH(Calendar!$A18,DB!$1:$1,0)),FALSE)),"")</f>
        <v/>
      </c>
      <c r="PEA18" s="28" t="str">
        <f>IFERROR(IF(PEJ3="No",IF(VLOOKUP(DATE($K$1,$K$2,PEA$4),Table1[],(MATCH(Calendar!$A18,DB!$1:$1,0)),FALSE)&gt;=5,"Good","Bad"),VLOOKUP(DATE($K$1,$K$2,PEA$4),Table1[],(MATCH(Calendar!$A18,DB!$1:$1,0)),FALSE)),"")</f>
        <v/>
      </c>
      <c r="PEB18" s="28" t="str">
        <f>IFERROR(IF(PEK3="No",IF(VLOOKUP(DATE($K$1,$K$2,PEB$4),Table1[],(MATCH(Calendar!$A18,DB!$1:$1,0)),FALSE)&gt;=5,"Good","Bad"),VLOOKUP(DATE($K$1,$K$2,PEB$4),Table1[],(MATCH(Calendar!$A18,DB!$1:$1,0)),FALSE)),"")</f>
        <v/>
      </c>
      <c r="PEC18" s="28" t="str">
        <f>IFERROR(IF(PEL3="No",IF(VLOOKUP(DATE($K$1,$K$2,PEC$4),Table1[],(MATCH(Calendar!$A18,DB!$1:$1,0)),FALSE)&gt;=5,"Good","Bad"),VLOOKUP(DATE($K$1,$K$2,PEC$4),Table1[],(MATCH(Calendar!$A18,DB!$1:$1,0)),FALSE)),"")</f>
        <v/>
      </c>
      <c r="PED18" s="28" t="str">
        <f>IFERROR(IF(PEM3="No",IF(VLOOKUP(DATE($K$1,$K$2,PED$4),Table1[],(MATCH(Calendar!$A18,DB!$1:$1,0)),FALSE)&gt;=5,"Good","Bad"),VLOOKUP(DATE($K$1,$K$2,PED$4),Table1[],(MATCH(Calendar!$A18,DB!$1:$1,0)),FALSE)),"")</f>
        <v/>
      </c>
      <c r="PEE18" s="28" t="str">
        <f>IFERROR(IF(PEN3="No",IF(VLOOKUP(DATE($K$1,$K$2,PEE$4),Table1[],(MATCH(Calendar!$A18,DB!$1:$1,0)),FALSE)&gt;=5,"Good","Bad"),VLOOKUP(DATE($K$1,$K$2,PEE$4),Table1[],(MATCH(Calendar!$A18,DB!$1:$1,0)),FALSE)),"")</f>
        <v/>
      </c>
      <c r="PEF18" s="28" t="str">
        <f>IFERROR(IF(PEO3="No",IF(VLOOKUP(DATE($K$1,$K$2,PEF$4),Table1[],(MATCH(Calendar!$A18,DB!$1:$1,0)),FALSE)&gt;=5,"Good","Bad"),VLOOKUP(DATE($K$1,$K$2,PEF$4),Table1[],(MATCH(Calendar!$A18,DB!$1:$1,0)),FALSE)),"")</f>
        <v/>
      </c>
      <c r="PEG18" s="28" t="str">
        <f>IFERROR(IF(PEP3="No",IF(VLOOKUP(DATE($K$1,$K$2,PEG$4),Table1[],(MATCH(Calendar!$A18,DB!$1:$1,0)),FALSE)&gt;=5,"Good","Bad"),VLOOKUP(DATE($K$1,$K$2,PEG$4),Table1[],(MATCH(Calendar!$A18,DB!$1:$1,0)),FALSE)),"")</f>
        <v/>
      </c>
      <c r="PEH18" s="28" t="str">
        <f>IFERROR(IF(PEQ3="No",IF(VLOOKUP(DATE($K$1,$K$2,PEH$4),Table1[],(MATCH(Calendar!$A18,DB!$1:$1,0)),FALSE)&gt;=5,"Good","Bad"),VLOOKUP(DATE($K$1,$K$2,PEH$4),Table1[],(MATCH(Calendar!$A18,DB!$1:$1,0)),FALSE)),"")</f>
        <v/>
      </c>
      <c r="PEI18" s="28" t="str">
        <f>IFERROR(IF(PER3="No",IF(VLOOKUP(DATE($K$1,$K$2,PEI$4),Table1[],(MATCH(Calendar!$A18,DB!$1:$1,0)),FALSE)&gt;=5,"Good","Bad"),VLOOKUP(DATE($K$1,$K$2,PEI$4),Table1[],(MATCH(Calendar!$A18,DB!$1:$1,0)),FALSE)),"")</f>
        <v/>
      </c>
      <c r="PEJ18" s="28" t="str">
        <f>IFERROR(IF(PES3="No",IF(VLOOKUP(DATE($K$1,$K$2,PEJ$4),Table1[],(MATCH(Calendar!$A18,DB!$1:$1,0)),FALSE)&gt;=5,"Good","Bad"),VLOOKUP(DATE($K$1,$K$2,PEJ$4),Table1[],(MATCH(Calendar!$A18,DB!$1:$1,0)),FALSE)),"")</f>
        <v/>
      </c>
      <c r="PEK18" s="28" t="str">
        <f>IFERROR(IF(PET3="No",IF(VLOOKUP(DATE($K$1,$K$2,PEK$4),Table1[],(MATCH(Calendar!$A18,DB!$1:$1,0)),FALSE)&gt;=5,"Good","Bad"),VLOOKUP(DATE($K$1,$K$2,PEK$4),Table1[],(MATCH(Calendar!$A18,DB!$1:$1,0)),FALSE)),"")</f>
        <v/>
      </c>
      <c r="PEL18" s="28" t="str">
        <f>IFERROR(IF(PEU3="No",IF(VLOOKUP(DATE($K$1,$K$2,PEL$4),Table1[],(MATCH(Calendar!$A18,DB!$1:$1,0)),FALSE)&gt;=5,"Good","Bad"),VLOOKUP(DATE($K$1,$K$2,PEL$4),Table1[],(MATCH(Calendar!$A18,DB!$1:$1,0)),FALSE)),"")</f>
        <v/>
      </c>
      <c r="PEM18" s="28" t="str">
        <f>IFERROR(IF(PEV3="No",IF(VLOOKUP(DATE($K$1,$K$2,PEM$4),Table1[],(MATCH(Calendar!$A18,DB!$1:$1,0)),FALSE)&gt;=5,"Good","Bad"),VLOOKUP(DATE($K$1,$K$2,PEM$4),Table1[],(MATCH(Calendar!$A18,DB!$1:$1,0)),FALSE)),"")</f>
        <v/>
      </c>
      <c r="PEN18" s="28" t="str">
        <f>IFERROR(IF(PEW3="No",IF(VLOOKUP(DATE($K$1,$K$2,PEN$4),Table1[],(MATCH(Calendar!$A18,DB!$1:$1,0)),FALSE)&gt;=5,"Good","Bad"),VLOOKUP(DATE($K$1,$K$2,PEN$4),Table1[],(MATCH(Calendar!$A18,DB!$1:$1,0)),FALSE)),"")</f>
        <v/>
      </c>
      <c r="PEO18" s="28" t="str">
        <f>IFERROR(IF(PEX3="No",IF(VLOOKUP(DATE($K$1,$K$2,PEO$4),Table1[],(MATCH(Calendar!$A18,DB!$1:$1,0)),FALSE)&gt;=5,"Good","Bad"),VLOOKUP(DATE($K$1,$K$2,PEO$4),Table1[],(MATCH(Calendar!$A18,DB!$1:$1,0)),FALSE)),"")</f>
        <v/>
      </c>
      <c r="PEP18" s="28" t="str">
        <f>IFERROR(IF(PEY3="No",IF(VLOOKUP(DATE($K$1,$K$2,PEP$4),Table1[],(MATCH(Calendar!$A18,DB!$1:$1,0)),FALSE)&gt;=5,"Good","Bad"),VLOOKUP(DATE($K$1,$K$2,PEP$4),Table1[],(MATCH(Calendar!$A18,DB!$1:$1,0)),FALSE)),"")</f>
        <v/>
      </c>
      <c r="PEQ18" s="28" t="str">
        <f>IFERROR(IF(PEZ3="No",IF(VLOOKUP(DATE($K$1,$K$2,PEQ$4),Table1[],(MATCH(Calendar!$A18,DB!$1:$1,0)),FALSE)&gt;=5,"Good","Bad"),VLOOKUP(DATE($K$1,$K$2,PEQ$4),Table1[],(MATCH(Calendar!$A18,DB!$1:$1,0)),FALSE)),"")</f>
        <v/>
      </c>
      <c r="PER18" s="28" t="str">
        <f>IFERROR(IF(PFA3="No",IF(VLOOKUP(DATE($K$1,$K$2,PER$4),Table1[],(MATCH(Calendar!$A18,DB!$1:$1,0)),FALSE)&gt;=5,"Good","Bad"),VLOOKUP(DATE($K$1,$K$2,PER$4),Table1[],(MATCH(Calendar!$A18,DB!$1:$1,0)),FALSE)),"")</f>
        <v/>
      </c>
      <c r="PES18" s="28" t="str">
        <f>IFERROR(IF(PFB3="No",IF(VLOOKUP(DATE($K$1,$K$2,PES$4),Table1[],(MATCH(Calendar!$A18,DB!$1:$1,0)),FALSE)&gt;=5,"Good","Bad"),VLOOKUP(DATE($K$1,$K$2,PES$4),Table1[],(MATCH(Calendar!$A18,DB!$1:$1,0)),FALSE)),"")</f>
        <v/>
      </c>
      <c r="PET18" s="28" t="str">
        <f>IFERROR(IF(PFC3="No",IF(VLOOKUP(DATE($K$1,$K$2,PET$4),Table1[],(MATCH(Calendar!$A18,DB!$1:$1,0)),FALSE)&gt;=5,"Good","Bad"),VLOOKUP(DATE($K$1,$K$2,PET$4),Table1[],(MATCH(Calendar!$A18,DB!$1:$1,0)),FALSE)),"")</f>
        <v/>
      </c>
      <c r="PEU18" s="28" t="str">
        <f>IFERROR(IF(PFD3="No",IF(VLOOKUP(DATE($K$1,$K$2,PEU$4),Table1[],(MATCH(Calendar!$A18,DB!$1:$1,0)),FALSE)&gt;=5,"Good","Bad"),VLOOKUP(DATE($K$1,$K$2,PEU$4),Table1[],(MATCH(Calendar!$A18,DB!$1:$1,0)),FALSE)),"")</f>
        <v/>
      </c>
      <c r="PEV18" s="28" t="str">
        <f>IFERROR(IF(PFE3="No",IF(VLOOKUP(DATE($K$1,$K$2,PEV$4),Table1[],(MATCH(Calendar!$A18,DB!$1:$1,0)),FALSE)&gt;=5,"Good","Bad"),VLOOKUP(DATE($K$1,$K$2,PEV$4),Table1[],(MATCH(Calendar!$A18,DB!$1:$1,0)),FALSE)),"")</f>
        <v/>
      </c>
      <c r="PEW18" s="28" t="str">
        <f>IFERROR(IF(PFF3="No",IF(VLOOKUP(DATE($K$1,$K$2,PEW$4),Table1[],(MATCH(Calendar!$A18,DB!$1:$1,0)),FALSE)&gt;=5,"Good","Bad"),VLOOKUP(DATE($K$1,$K$2,PEW$4),Table1[],(MATCH(Calendar!$A18,DB!$1:$1,0)),FALSE)),"")</f>
        <v/>
      </c>
      <c r="PEX18" s="28" t="str">
        <f>IFERROR(IF(PFG3="No",IF(VLOOKUP(DATE($K$1,$K$2,PEX$4),Table1[],(MATCH(Calendar!$A18,DB!$1:$1,0)),FALSE)&gt;=5,"Good","Bad"),VLOOKUP(DATE($K$1,$K$2,PEX$4),Table1[],(MATCH(Calendar!$A18,DB!$1:$1,0)),FALSE)),"")</f>
        <v/>
      </c>
      <c r="PEY18" s="28" t="str">
        <f>IFERROR(IF(PFH3="No",IF(VLOOKUP(DATE($K$1,$K$2,PEY$4),Table1[],(MATCH(Calendar!$A18,DB!$1:$1,0)),FALSE)&gt;=5,"Good","Bad"),VLOOKUP(DATE($K$1,$K$2,PEY$4),Table1[],(MATCH(Calendar!$A18,DB!$1:$1,0)),FALSE)),"")</f>
        <v/>
      </c>
      <c r="PEZ18" s="28" t="str">
        <f>IFERROR(IF(PFI3="No",IF(VLOOKUP(DATE($K$1,$K$2,PEZ$4),Table1[],(MATCH(Calendar!$A18,DB!$1:$1,0)),FALSE)&gt;=5,"Good","Bad"),VLOOKUP(DATE($K$1,$K$2,PEZ$4),Table1[],(MATCH(Calendar!$A18,DB!$1:$1,0)),FALSE)),"")</f>
        <v/>
      </c>
      <c r="PFA18" s="28" t="str">
        <f>IFERROR(IF(PFJ3="No",IF(VLOOKUP(DATE($K$1,$K$2,PFA$4),Table1[],(MATCH(Calendar!$A18,DB!$1:$1,0)),FALSE)&gt;=5,"Good","Bad"),VLOOKUP(DATE($K$1,$K$2,PFA$4),Table1[],(MATCH(Calendar!$A18,DB!$1:$1,0)),FALSE)),"")</f>
        <v/>
      </c>
      <c r="PFB18" s="28" t="str">
        <f>IFERROR(IF(PFK3="No",IF(VLOOKUP(DATE($K$1,$K$2,PFB$4),Table1[],(MATCH(Calendar!$A18,DB!$1:$1,0)),FALSE)&gt;=5,"Good","Bad"),VLOOKUP(DATE($K$1,$K$2,PFB$4),Table1[],(MATCH(Calendar!$A18,DB!$1:$1,0)),FALSE)),"")</f>
        <v/>
      </c>
      <c r="PFC18" s="28" t="str">
        <f>IFERROR(IF(PFL3="No",IF(VLOOKUP(DATE($K$1,$K$2,PFC$4),Table1[],(MATCH(Calendar!$A18,DB!$1:$1,0)),FALSE)&gt;=5,"Good","Bad"),VLOOKUP(DATE($K$1,$K$2,PFC$4),Table1[],(MATCH(Calendar!$A18,DB!$1:$1,0)),FALSE)),"")</f>
        <v/>
      </c>
      <c r="PFD18" s="28" t="str">
        <f>IFERROR(IF(PFM3="No",IF(VLOOKUP(DATE($K$1,$K$2,PFD$4),Table1[],(MATCH(Calendar!$A18,DB!$1:$1,0)),FALSE)&gt;=5,"Good","Bad"),VLOOKUP(DATE($K$1,$K$2,PFD$4),Table1[],(MATCH(Calendar!$A18,DB!$1:$1,0)),FALSE)),"")</f>
        <v/>
      </c>
      <c r="PFE18" s="28" t="str">
        <f>IFERROR(IF(PFN3="No",IF(VLOOKUP(DATE($K$1,$K$2,PFE$4),Table1[],(MATCH(Calendar!$A18,DB!$1:$1,0)),FALSE)&gt;=5,"Good","Bad"),VLOOKUP(DATE($K$1,$K$2,PFE$4),Table1[],(MATCH(Calendar!$A18,DB!$1:$1,0)),FALSE)),"")</f>
        <v/>
      </c>
      <c r="PFF18" s="28" t="str">
        <f>IFERROR(IF(PFO3="No",IF(VLOOKUP(DATE($K$1,$K$2,PFF$4),Table1[],(MATCH(Calendar!$A18,DB!$1:$1,0)),FALSE)&gt;=5,"Good","Bad"),VLOOKUP(DATE($K$1,$K$2,PFF$4),Table1[],(MATCH(Calendar!$A18,DB!$1:$1,0)),FALSE)),"")</f>
        <v/>
      </c>
      <c r="PFG18" s="28" t="str">
        <f>IFERROR(IF(PFP3="No",IF(VLOOKUP(DATE($K$1,$K$2,PFG$4),Table1[],(MATCH(Calendar!$A18,DB!$1:$1,0)),FALSE)&gt;=5,"Good","Bad"),VLOOKUP(DATE($K$1,$K$2,PFG$4),Table1[],(MATCH(Calendar!$A18,DB!$1:$1,0)),FALSE)),"")</f>
        <v/>
      </c>
      <c r="PFH18" s="28" t="str">
        <f>IFERROR(IF(PFQ3="No",IF(VLOOKUP(DATE($K$1,$K$2,PFH$4),Table1[],(MATCH(Calendar!$A18,DB!$1:$1,0)),FALSE)&gt;=5,"Good","Bad"),VLOOKUP(DATE($K$1,$K$2,PFH$4),Table1[],(MATCH(Calendar!$A18,DB!$1:$1,0)),FALSE)),"")</f>
        <v/>
      </c>
      <c r="PFI18" s="28" t="str">
        <f>IFERROR(IF(PFR3="No",IF(VLOOKUP(DATE($K$1,$K$2,PFI$4),Table1[],(MATCH(Calendar!$A18,DB!$1:$1,0)),FALSE)&gt;=5,"Good","Bad"),VLOOKUP(DATE($K$1,$K$2,PFI$4),Table1[],(MATCH(Calendar!$A18,DB!$1:$1,0)),FALSE)),"")</f>
        <v/>
      </c>
      <c r="PFJ18" s="28" t="str">
        <f>IFERROR(IF(PFS3="No",IF(VLOOKUP(DATE($K$1,$K$2,PFJ$4),Table1[],(MATCH(Calendar!$A18,DB!$1:$1,0)),FALSE)&gt;=5,"Good","Bad"),VLOOKUP(DATE($K$1,$K$2,PFJ$4),Table1[],(MATCH(Calendar!$A18,DB!$1:$1,0)),FALSE)),"")</f>
        <v/>
      </c>
      <c r="PFK18" s="28" t="str">
        <f>IFERROR(IF(PFT3="No",IF(VLOOKUP(DATE($K$1,$K$2,PFK$4),Table1[],(MATCH(Calendar!$A18,DB!$1:$1,0)),FALSE)&gt;=5,"Good","Bad"),VLOOKUP(DATE($K$1,$K$2,PFK$4),Table1[],(MATCH(Calendar!$A18,DB!$1:$1,0)),FALSE)),"")</f>
        <v/>
      </c>
      <c r="PFL18" s="28" t="str">
        <f>IFERROR(IF(PFU3="No",IF(VLOOKUP(DATE($K$1,$K$2,PFL$4),Table1[],(MATCH(Calendar!$A18,DB!$1:$1,0)),FALSE)&gt;=5,"Good","Bad"),VLOOKUP(DATE($K$1,$K$2,PFL$4),Table1[],(MATCH(Calendar!$A18,DB!$1:$1,0)),FALSE)),"")</f>
        <v/>
      </c>
      <c r="PFM18" s="28" t="str">
        <f>IFERROR(IF(PFV3="No",IF(VLOOKUP(DATE($K$1,$K$2,PFM$4),Table1[],(MATCH(Calendar!$A18,DB!$1:$1,0)),FALSE)&gt;=5,"Good","Bad"),VLOOKUP(DATE($K$1,$K$2,PFM$4),Table1[],(MATCH(Calendar!$A18,DB!$1:$1,0)),FALSE)),"")</f>
        <v/>
      </c>
      <c r="PFN18" s="28" t="str">
        <f>IFERROR(IF(PFW3="No",IF(VLOOKUP(DATE($K$1,$K$2,PFN$4),Table1[],(MATCH(Calendar!$A18,DB!$1:$1,0)),FALSE)&gt;=5,"Good","Bad"),VLOOKUP(DATE($K$1,$K$2,PFN$4),Table1[],(MATCH(Calendar!$A18,DB!$1:$1,0)),FALSE)),"")</f>
        <v/>
      </c>
      <c r="PFO18" s="28" t="str">
        <f>IFERROR(IF(PFX3="No",IF(VLOOKUP(DATE($K$1,$K$2,PFO$4),Table1[],(MATCH(Calendar!$A18,DB!$1:$1,0)),FALSE)&gt;=5,"Good","Bad"),VLOOKUP(DATE($K$1,$K$2,PFO$4),Table1[],(MATCH(Calendar!$A18,DB!$1:$1,0)),FALSE)),"")</f>
        <v/>
      </c>
      <c r="PFP18" s="28" t="str">
        <f>IFERROR(IF(PFY3="No",IF(VLOOKUP(DATE($K$1,$K$2,PFP$4),Table1[],(MATCH(Calendar!$A18,DB!$1:$1,0)),FALSE)&gt;=5,"Good","Bad"),VLOOKUP(DATE($K$1,$K$2,PFP$4),Table1[],(MATCH(Calendar!$A18,DB!$1:$1,0)),FALSE)),"")</f>
        <v/>
      </c>
      <c r="PFQ18" s="28" t="str">
        <f>IFERROR(IF(PFZ3="No",IF(VLOOKUP(DATE($K$1,$K$2,PFQ$4),Table1[],(MATCH(Calendar!$A18,DB!$1:$1,0)),FALSE)&gt;=5,"Good","Bad"),VLOOKUP(DATE($K$1,$K$2,PFQ$4),Table1[],(MATCH(Calendar!$A18,DB!$1:$1,0)),FALSE)),"")</f>
        <v/>
      </c>
      <c r="PFR18" s="28" t="str">
        <f>IFERROR(IF(PGA3="No",IF(VLOOKUP(DATE($K$1,$K$2,PFR$4),Table1[],(MATCH(Calendar!$A18,DB!$1:$1,0)),FALSE)&gt;=5,"Good","Bad"),VLOOKUP(DATE($K$1,$K$2,PFR$4),Table1[],(MATCH(Calendar!$A18,DB!$1:$1,0)),FALSE)),"")</f>
        <v/>
      </c>
      <c r="PFS18" s="28" t="str">
        <f>IFERROR(IF(PGB3="No",IF(VLOOKUP(DATE($K$1,$K$2,PFS$4),Table1[],(MATCH(Calendar!$A18,DB!$1:$1,0)),FALSE)&gt;=5,"Good","Bad"),VLOOKUP(DATE($K$1,$K$2,PFS$4),Table1[],(MATCH(Calendar!$A18,DB!$1:$1,0)),FALSE)),"")</f>
        <v/>
      </c>
      <c r="PFT18" s="28" t="str">
        <f>IFERROR(IF(PGC3="No",IF(VLOOKUP(DATE($K$1,$K$2,PFT$4),Table1[],(MATCH(Calendar!$A18,DB!$1:$1,0)),FALSE)&gt;=5,"Good","Bad"),VLOOKUP(DATE($K$1,$K$2,PFT$4),Table1[],(MATCH(Calendar!$A18,DB!$1:$1,0)),FALSE)),"")</f>
        <v/>
      </c>
      <c r="PFU18" s="28" t="str">
        <f>IFERROR(IF(PGD3="No",IF(VLOOKUP(DATE($K$1,$K$2,PFU$4),Table1[],(MATCH(Calendar!$A18,DB!$1:$1,0)),FALSE)&gt;=5,"Good","Bad"),VLOOKUP(DATE($K$1,$K$2,PFU$4),Table1[],(MATCH(Calendar!$A18,DB!$1:$1,0)),FALSE)),"")</f>
        <v/>
      </c>
      <c r="PFV18" s="28" t="str">
        <f>IFERROR(IF(PGE3="No",IF(VLOOKUP(DATE($K$1,$K$2,PFV$4),Table1[],(MATCH(Calendar!$A18,DB!$1:$1,0)),FALSE)&gt;=5,"Good","Bad"),VLOOKUP(DATE($K$1,$K$2,PFV$4),Table1[],(MATCH(Calendar!$A18,DB!$1:$1,0)),FALSE)),"")</f>
        <v/>
      </c>
      <c r="PFW18" s="28" t="str">
        <f>IFERROR(IF(PGF3="No",IF(VLOOKUP(DATE($K$1,$K$2,PFW$4),Table1[],(MATCH(Calendar!$A18,DB!$1:$1,0)),FALSE)&gt;=5,"Good","Bad"),VLOOKUP(DATE($K$1,$K$2,PFW$4),Table1[],(MATCH(Calendar!$A18,DB!$1:$1,0)),FALSE)),"")</f>
        <v/>
      </c>
      <c r="PFX18" s="28" t="str">
        <f>IFERROR(IF(PGG3="No",IF(VLOOKUP(DATE($K$1,$K$2,PFX$4),Table1[],(MATCH(Calendar!$A18,DB!$1:$1,0)),FALSE)&gt;=5,"Good","Bad"),VLOOKUP(DATE($K$1,$K$2,PFX$4),Table1[],(MATCH(Calendar!$A18,DB!$1:$1,0)),FALSE)),"")</f>
        <v/>
      </c>
      <c r="PFY18" s="28" t="str">
        <f>IFERROR(IF(PGH3="No",IF(VLOOKUP(DATE($K$1,$K$2,PFY$4),Table1[],(MATCH(Calendar!$A18,DB!$1:$1,0)),FALSE)&gt;=5,"Good","Bad"),VLOOKUP(DATE($K$1,$K$2,PFY$4),Table1[],(MATCH(Calendar!$A18,DB!$1:$1,0)),FALSE)),"")</f>
        <v/>
      </c>
      <c r="PFZ18" s="28" t="str">
        <f>IFERROR(IF(PGI3="No",IF(VLOOKUP(DATE($K$1,$K$2,PFZ$4),Table1[],(MATCH(Calendar!$A18,DB!$1:$1,0)),FALSE)&gt;=5,"Good","Bad"),VLOOKUP(DATE($K$1,$K$2,PFZ$4),Table1[],(MATCH(Calendar!$A18,DB!$1:$1,0)),FALSE)),"")</f>
        <v/>
      </c>
      <c r="PGA18" s="28" t="str">
        <f>IFERROR(IF(PGJ3="No",IF(VLOOKUP(DATE($K$1,$K$2,PGA$4),Table1[],(MATCH(Calendar!$A18,DB!$1:$1,0)),FALSE)&gt;=5,"Good","Bad"),VLOOKUP(DATE($K$1,$K$2,PGA$4),Table1[],(MATCH(Calendar!$A18,DB!$1:$1,0)),FALSE)),"")</f>
        <v/>
      </c>
      <c r="PGB18" s="28" t="str">
        <f>IFERROR(IF(PGK3="No",IF(VLOOKUP(DATE($K$1,$K$2,PGB$4),Table1[],(MATCH(Calendar!$A18,DB!$1:$1,0)),FALSE)&gt;=5,"Good","Bad"),VLOOKUP(DATE($K$1,$K$2,PGB$4),Table1[],(MATCH(Calendar!$A18,DB!$1:$1,0)),FALSE)),"")</f>
        <v/>
      </c>
      <c r="PGC18" s="28" t="str">
        <f>IFERROR(IF(PGL3="No",IF(VLOOKUP(DATE($K$1,$K$2,PGC$4),Table1[],(MATCH(Calendar!$A18,DB!$1:$1,0)),FALSE)&gt;=5,"Good","Bad"),VLOOKUP(DATE($K$1,$K$2,PGC$4),Table1[],(MATCH(Calendar!$A18,DB!$1:$1,0)),FALSE)),"")</f>
        <v/>
      </c>
      <c r="PGD18" s="28" t="str">
        <f>IFERROR(IF(PGM3="No",IF(VLOOKUP(DATE($K$1,$K$2,PGD$4),Table1[],(MATCH(Calendar!$A18,DB!$1:$1,0)),FALSE)&gt;=5,"Good","Bad"),VLOOKUP(DATE($K$1,$K$2,PGD$4),Table1[],(MATCH(Calendar!$A18,DB!$1:$1,0)),FALSE)),"")</f>
        <v/>
      </c>
      <c r="PGE18" s="28" t="str">
        <f>IFERROR(IF(PGN3="No",IF(VLOOKUP(DATE($K$1,$K$2,PGE$4),Table1[],(MATCH(Calendar!$A18,DB!$1:$1,0)),FALSE)&gt;=5,"Good","Bad"),VLOOKUP(DATE($K$1,$K$2,PGE$4),Table1[],(MATCH(Calendar!$A18,DB!$1:$1,0)),FALSE)),"")</f>
        <v/>
      </c>
      <c r="PGF18" s="28" t="str">
        <f>IFERROR(IF(PGO3="No",IF(VLOOKUP(DATE($K$1,$K$2,PGF$4),Table1[],(MATCH(Calendar!$A18,DB!$1:$1,0)),FALSE)&gt;=5,"Good","Bad"),VLOOKUP(DATE($K$1,$K$2,PGF$4),Table1[],(MATCH(Calendar!$A18,DB!$1:$1,0)),FALSE)),"")</f>
        <v/>
      </c>
      <c r="PGG18" s="28" t="str">
        <f>IFERROR(IF(PGP3="No",IF(VLOOKUP(DATE($K$1,$K$2,PGG$4),Table1[],(MATCH(Calendar!$A18,DB!$1:$1,0)),FALSE)&gt;=5,"Good","Bad"),VLOOKUP(DATE($K$1,$K$2,PGG$4),Table1[],(MATCH(Calendar!$A18,DB!$1:$1,0)),FALSE)),"")</f>
        <v/>
      </c>
      <c r="PGH18" s="28" t="str">
        <f>IFERROR(IF(PGQ3="No",IF(VLOOKUP(DATE($K$1,$K$2,PGH$4),Table1[],(MATCH(Calendar!$A18,DB!$1:$1,0)),FALSE)&gt;=5,"Good","Bad"),VLOOKUP(DATE($K$1,$K$2,PGH$4),Table1[],(MATCH(Calendar!$A18,DB!$1:$1,0)),FALSE)),"")</f>
        <v/>
      </c>
      <c r="PGI18" s="28" t="str">
        <f>IFERROR(IF(PGR3="No",IF(VLOOKUP(DATE($K$1,$K$2,PGI$4),Table1[],(MATCH(Calendar!$A18,DB!$1:$1,0)),FALSE)&gt;=5,"Good","Bad"),VLOOKUP(DATE($K$1,$K$2,PGI$4),Table1[],(MATCH(Calendar!$A18,DB!$1:$1,0)),FALSE)),"")</f>
        <v/>
      </c>
      <c r="PGJ18" s="28" t="str">
        <f>IFERROR(IF(PGS3="No",IF(VLOOKUP(DATE($K$1,$K$2,PGJ$4),Table1[],(MATCH(Calendar!$A18,DB!$1:$1,0)),FALSE)&gt;=5,"Good","Bad"),VLOOKUP(DATE($K$1,$K$2,PGJ$4),Table1[],(MATCH(Calendar!$A18,DB!$1:$1,0)),FALSE)),"")</f>
        <v/>
      </c>
      <c r="PGK18" s="28" t="str">
        <f>IFERROR(IF(PGT3="No",IF(VLOOKUP(DATE($K$1,$K$2,PGK$4),Table1[],(MATCH(Calendar!$A18,DB!$1:$1,0)),FALSE)&gt;=5,"Good","Bad"),VLOOKUP(DATE($K$1,$K$2,PGK$4),Table1[],(MATCH(Calendar!$A18,DB!$1:$1,0)),FALSE)),"")</f>
        <v/>
      </c>
      <c r="PGL18" s="28" t="str">
        <f>IFERROR(IF(PGU3="No",IF(VLOOKUP(DATE($K$1,$K$2,PGL$4),Table1[],(MATCH(Calendar!$A18,DB!$1:$1,0)),FALSE)&gt;=5,"Good","Bad"),VLOOKUP(DATE($K$1,$K$2,PGL$4),Table1[],(MATCH(Calendar!$A18,DB!$1:$1,0)),FALSE)),"")</f>
        <v/>
      </c>
      <c r="PGM18" s="28" t="str">
        <f>IFERROR(IF(PGV3="No",IF(VLOOKUP(DATE($K$1,$K$2,PGM$4),Table1[],(MATCH(Calendar!$A18,DB!$1:$1,0)),FALSE)&gt;=5,"Good","Bad"),VLOOKUP(DATE($K$1,$K$2,PGM$4),Table1[],(MATCH(Calendar!$A18,DB!$1:$1,0)),FALSE)),"")</f>
        <v/>
      </c>
      <c r="PGN18" s="28" t="str">
        <f>IFERROR(IF(PGW3="No",IF(VLOOKUP(DATE($K$1,$K$2,PGN$4),Table1[],(MATCH(Calendar!$A18,DB!$1:$1,0)),FALSE)&gt;=5,"Good","Bad"),VLOOKUP(DATE($K$1,$K$2,PGN$4),Table1[],(MATCH(Calendar!$A18,DB!$1:$1,0)),FALSE)),"")</f>
        <v/>
      </c>
      <c r="PGO18" s="28" t="str">
        <f>IFERROR(IF(PGX3="No",IF(VLOOKUP(DATE($K$1,$K$2,PGO$4),Table1[],(MATCH(Calendar!$A18,DB!$1:$1,0)),FALSE)&gt;=5,"Good","Bad"),VLOOKUP(DATE($K$1,$K$2,PGO$4),Table1[],(MATCH(Calendar!$A18,DB!$1:$1,0)),FALSE)),"")</f>
        <v/>
      </c>
      <c r="PGP18" s="28" t="str">
        <f>IFERROR(IF(PGY3="No",IF(VLOOKUP(DATE($K$1,$K$2,PGP$4),Table1[],(MATCH(Calendar!$A18,DB!$1:$1,0)),FALSE)&gt;=5,"Good","Bad"),VLOOKUP(DATE($K$1,$K$2,PGP$4),Table1[],(MATCH(Calendar!$A18,DB!$1:$1,0)),FALSE)),"")</f>
        <v/>
      </c>
      <c r="PGQ18" s="28" t="str">
        <f>IFERROR(IF(PGZ3="No",IF(VLOOKUP(DATE($K$1,$K$2,PGQ$4),Table1[],(MATCH(Calendar!$A18,DB!$1:$1,0)),FALSE)&gt;=5,"Good","Bad"),VLOOKUP(DATE($K$1,$K$2,PGQ$4),Table1[],(MATCH(Calendar!$A18,DB!$1:$1,0)),FALSE)),"")</f>
        <v/>
      </c>
      <c r="PGR18" s="28" t="str">
        <f>IFERROR(IF(PHA3="No",IF(VLOOKUP(DATE($K$1,$K$2,PGR$4),Table1[],(MATCH(Calendar!$A18,DB!$1:$1,0)),FALSE)&gt;=5,"Good","Bad"),VLOOKUP(DATE($K$1,$K$2,PGR$4),Table1[],(MATCH(Calendar!$A18,DB!$1:$1,0)),FALSE)),"")</f>
        <v/>
      </c>
      <c r="PGS18" s="28" t="str">
        <f>IFERROR(IF(PHB3="No",IF(VLOOKUP(DATE($K$1,$K$2,PGS$4),Table1[],(MATCH(Calendar!$A18,DB!$1:$1,0)),FALSE)&gt;=5,"Good","Bad"),VLOOKUP(DATE($K$1,$K$2,PGS$4),Table1[],(MATCH(Calendar!$A18,DB!$1:$1,0)),FALSE)),"")</f>
        <v/>
      </c>
      <c r="PGT18" s="28" t="str">
        <f>IFERROR(IF(PHC3="No",IF(VLOOKUP(DATE($K$1,$K$2,PGT$4),Table1[],(MATCH(Calendar!$A18,DB!$1:$1,0)),FALSE)&gt;=5,"Good","Bad"),VLOOKUP(DATE($K$1,$K$2,PGT$4),Table1[],(MATCH(Calendar!$A18,DB!$1:$1,0)),FALSE)),"")</f>
        <v/>
      </c>
      <c r="PGU18" s="28" t="str">
        <f>IFERROR(IF(PHD3="No",IF(VLOOKUP(DATE($K$1,$K$2,PGU$4),Table1[],(MATCH(Calendar!$A18,DB!$1:$1,0)),FALSE)&gt;=5,"Good","Bad"),VLOOKUP(DATE($K$1,$K$2,PGU$4),Table1[],(MATCH(Calendar!$A18,DB!$1:$1,0)),FALSE)),"")</f>
        <v/>
      </c>
      <c r="PGV18" s="28" t="str">
        <f>IFERROR(IF(PHE3="No",IF(VLOOKUP(DATE($K$1,$K$2,PGV$4),Table1[],(MATCH(Calendar!$A18,DB!$1:$1,0)),FALSE)&gt;=5,"Good","Bad"),VLOOKUP(DATE($K$1,$K$2,PGV$4),Table1[],(MATCH(Calendar!$A18,DB!$1:$1,0)),FALSE)),"")</f>
        <v/>
      </c>
      <c r="PGW18" s="28" t="str">
        <f>IFERROR(IF(PHF3="No",IF(VLOOKUP(DATE($K$1,$K$2,PGW$4),Table1[],(MATCH(Calendar!$A18,DB!$1:$1,0)),FALSE)&gt;=5,"Good","Bad"),VLOOKUP(DATE($K$1,$K$2,PGW$4),Table1[],(MATCH(Calendar!$A18,DB!$1:$1,0)),FALSE)),"")</f>
        <v/>
      </c>
      <c r="PGX18" s="28" t="str">
        <f>IFERROR(IF(PHG3="No",IF(VLOOKUP(DATE($K$1,$K$2,PGX$4),Table1[],(MATCH(Calendar!$A18,DB!$1:$1,0)),FALSE)&gt;=5,"Good","Bad"),VLOOKUP(DATE($K$1,$K$2,PGX$4),Table1[],(MATCH(Calendar!$A18,DB!$1:$1,0)),FALSE)),"")</f>
        <v/>
      </c>
      <c r="PGY18" s="28" t="str">
        <f>IFERROR(IF(PHH3="No",IF(VLOOKUP(DATE($K$1,$K$2,PGY$4),Table1[],(MATCH(Calendar!$A18,DB!$1:$1,0)),FALSE)&gt;=5,"Good","Bad"),VLOOKUP(DATE($K$1,$K$2,PGY$4),Table1[],(MATCH(Calendar!$A18,DB!$1:$1,0)),FALSE)),"")</f>
        <v/>
      </c>
      <c r="PGZ18" s="28" t="str">
        <f>IFERROR(IF(PHI3="No",IF(VLOOKUP(DATE($K$1,$K$2,PGZ$4),Table1[],(MATCH(Calendar!$A18,DB!$1:$1,0)),FALSE)&gt;=5,"Good","Bad"),VLOOKUP(DATE($K$1,$K$2,PGZ$4),Table1[],(MATCH(Calendar!$A18,DB!$1:$1,0)),FALSE)),"")</f>
        <v/>
      </c>
      <c r="PHA18" s="28" t="str">
        <f>IFERROR(IF(PHJ3="No",IF(VLOOKUP(DATE($K$1,$K$2,PHA$4),Table1[],(MATCH(Calendar!$A18,DB!$1:$1,0)),FALSE)&gt;=5,"Good","Bad"),VLOOKUP(DATE($K$1,$K$2,PHA$4),Table1[],(MATCH(Calendar!$A18,DB!$1:$1,0)),FALSE)),"")</f>
        <v/>
      </c>
      <c r="PHB18" s="28" t="str">
        <f>IFERROR(IF(PHK3="No",IF(VLOOKUP(DATE($K$1,$K$2,PHB$4),Table1[],(MATCH(Calendar!$A18,DB!$1:$1,0)),FALSE)&gt;=5,"Good","Bad"),VLOOKUP(DATE($K$1,$K$2,PHB$4),Table1[],(MATCH(Calendar!$A18,DB!$1:$1,0)),FALSE)),"")</f>
        <v/>
      </c>
      <c r="PHC18" s="28" t="str">
        <f>IFERROR(IF(PHL3="No",IF(VLOOKUP(DATE($K$1,$K$2,PHC$4),Table1[],(MATCH(Calendar!$A18,DB!$1:$1,0)),FALSE)&gt;=5,"Good","Bad"),VLOOKUP(DATE($K$1,$K$2,PHC$4),Table1[],(MATCH(Calendar!$A18,DB!$1:$1,0)),FALSE)),"")</f>
        <v/>
      </c>
      <c r="PHD18" s="28" t="str">
        <f>IFERROR(IF(PHM3="No",IF(VLOOKUP(DATE($K$1,$K$2,PHD$4),Table1[],(MATCH(Calendar!$A18,DB!$1:$1,0)),FALSE)&gt;=5,"Good","Bad"),VLOOKUP(DATE($K$1,$K$2,PHD$4),Table1[],(MATCH(Calendar!$A18,DB!$1:$1,0)),FALSE)),"")</f>
        <v/>
      </c>
      <c r="PHE18" s="28" t="str">
        <f>IFERROR(IF(PHN3="No",IF(VLOOKUP(DATE($K$1,$K$2,PHE$4),Table1[],(MATCH(Calendar!$A18,DB!$1:$1,0)),FALSE)&gt;=5,"Good","Bad"),VLOOKUP(DATE($K$1,$K$2,PHE$4),Table1[],(MATCH(Calendar!$A18,DB!$1:$1,0)),FALSE)),"")</f>
        <v/>
      </c>
      <c r="PHF18" s="28" t="str">
        <f>IFERROR(IF(PHO3="No",IF(VLOOKUP(DATE($K$1,$K$2,PHF$4),Table1[],(MATCH(Calendar!$A18,DB!$1:$1,0)),FALSE)&gt;=5,"Good","Bad"),VLOOKUP(DATE($K$1,$K$2,PHF$4),Table1[],(MATCH(Calendar!$A18,DB!$1:$1,0)),FALSE)),"")</f>
        <v/>
      </c>
      <c r="PHG18" s="28" t="str">
        <f>IFERROR(IF(PHP3="No",IF(VLOOKUP(DATE($K$1,$K$2,PHG$4),Table1[],(MATCH(Calendar!$A18,DB!$1:$1,0)),FALSE)&gt;=5,"Good","Bad"),VLOOKUP(DATE($K$1,$K$2,PHG$4),Table1[],(MATCH(Calendar!$A18,DB!$1:$1,0)),FALSE)),"")</f>
        <v/>
      </c>
      <c r="PHH18" s="28" t="str">
        <f>IFERROR(IF(PHQ3="No",IF(VLOOKUP(DATE($K$1,$K$2,PHH$4),Table1[],(MATCH(Calendar!$A18,DB!$1:$1,0)),FALSE)&gt;=5,"Good","Bad"),VLOOKUP(DATE($K$1,$K$2,PHH$4),Table1[],(MATCH(Calendar!$A18,DB!$1:$1,0)),FALSE)),"")</f>
        <v/>
      </c>
      <c r="PHI18" s="28" t="str">
        <f>IFERROR(IF(PHR3="No",IF(VLOOKUP(DATE($K$1,$K$2,PHI$4),Table1[],(MATCH(Calendar!$A18,DB!$1:$1,0)),FALSE)&gt;=5,"Good","Bad"),VLOOKUP(DATE($K$1,$K$2,PHI$4),Table1[],(MATCH(Calendar!$A18,DB!$1:$1,0)),FALSE)),"")</f>
        <v/>
      </c>
      <c r="PHJ18" s="28" t="str">
        <f>IFERROR(IF(PHS3="No",IF(VLOOKUP(DATE($K$1,$K$2,PHJ$4),Table1[],(MATCH(Calendar!$A18,DB!$1:$1,0)),FALSE)&gt;=5,"Good","Bad"),VLOOKUP(DATE($K$1,$K$2,PHJ$4),Table1[],(MATCH(Calendar!$A18,DB!$1:$1,0)),FALSE)),"")</f>
        <v/>
      </c>
      <c r="PHK18" s="28" t="str">
        <f>IFERROR(IF(PHT3="No",IF(VLOOKUP(DATE($K$1,$K$2,PHK$4),Table1[],(MATCH(Calendar!$A18,DB!$1:$1,0)),FALSE)&gt;=5,"Good","Bad"),VLOOKUP(DATE($K$1,$K$2,PHK$4),Table1[],(MATCH(Calendar!$A18,DB!$1:$1,0)),FALSE)),"")</f>
        <v/>
      </c>
      <c r="PHL18" s="28" t="str">
        <f>IFERROR(IF(PHU3="No",IF(VLOOKUP(DATE($K$1,$K$2,PHL$4),Table1[],(MATCH(Calendar!$A18,DB!$1:$1,0)),FALSE)&gt;=5,"Good","Bad"),VLOOKUP(DATE($K$1,$K$2,PHL$4),Table1[],(MATCH(Calendar!$A18,DB!$1:$1,0)),FALSE)),"")</f>
        <v/>
      </c>
      <c r="PHM18" s="28" t="str">
        <f>IFERROR(IF(PHV3="No",IF(VLOOKUP(DATE($K$1,$K$2,PHM$4),Table1[],(MATCH(Calendar!$A18,DB!$1:$1,0)),FALSE)&gt;=5,"Good","Bad"),VLOOKUP(DATE($K$1,$K$2,PHM$4),Table1[],(MATCH(Calendar!$A18,DB!$1:$1,0)),FALSE)),"")</f>
        <v/>
      </c>
      <c r="PHN18" s="28" t="str">
        <f>IFERROR(IF(PHW3="No",IF(VLOOKUP(DATE($K$1,$K$2,PHN$4),Table1[],(MATCH(Calendar!$A18,DB!$1:$1,0)),FALSE)&gt;=5,"Good","Bad"),VLOOKUP(DATE($K$1,$K$2,PHN$4),Table1[],(MATCH(Calendar!$A18,DB!$1:$1,0)),FALSE)),"")</f>
        <v/>
      </c>
      <c r="PHO18" s="28" t="str">
        <f>IFERROR(IF(PHX3="No",IF(VLOOKUP(DATE($K$1,$K$2,PHO$4),Table1[],(MATCH(Calendar!$A18,DB!$1:$1,0)),FALSE)&gt;=5,"Good","Bad"),VLOOKUP(DATE($K$1,$K$2,PHO$4),Table1[],(MATCH(Calendar!$A18,DB!$1:$1,0)),FALSE)),"")</f>
        <v/>
      </c>
      <c r="PHP18" s="28" t="str">
        <f>IFERROR(IF(PHY3="No",IF(VLOOKUP(DATE($K$1,$K$2,PHP$4),Table1[],(MATCH(Calendar!$A18,DB!$1:$1,0)),FALSE)&gt;=5,"Good","Bad"),VLOOKUP(DATE($K$1,$K$2,PHP$4),Table1[],(MATCH(Calendar!$A18,DB!$1:$1,0)),FALSE)),"")</f>
        <v/>
      </c>
      <c r="PHQ18" s="28" t="str">
        <f>IFERROR(IF(PHZ3="No",IF(VLOOKUP(DATE($K$1,$K$2,PHQ$4),Table1[],(MATCH(Calendar!$A18,DB!$1:$1,0)),FALSE)&gt;=5,"Good","Bad"),VLOOKUP(DATE($K$1,$K$2,PHQ$4),Table1[],(MATCH(Calendar!$A18,DB!$1:$1,0)),FALSE)),"")</f>
        <v/>
      </c>
      <c r="PHR18" s="28" t="str">
        <f>IFERROR(IF(PIA3="No",IF(VLOOKUP(DATE($K$1,$K$2,PHR$4),Table1[],(MATCH(Calendar!$A18,DB!$1:$1,0)),FALSE)&gt;=5,"Good","Bad"),VLOOKUP(DATE($K$1,$K$2,PHR$4),Table1[],(MATCH(Calendar!$A18,DB!$1:$1,0)),FALSE)),"")</f>
        <v/>
      </c>
      <c r="PHS18" s="28" t="str">
        <f>IFERROR(IF(PIB3="No",IF(VLOOKUP(DATE($K$1,$K$2,PHS$4),Table1[],(MATCH(Calendar!$A18,DB!$1:$1,0)),FALSE)&gt;=5,"Good","Bad"),VLOOKUP(DATE($K$1,$K$2,PHS$4),Table1[],(MATCH(Calendar!$A18,DB!$1:$1,0)),FALSE)),"")</f>
        <v/>
      </c>
      <c r="PHT18" s="28" t="str">
        <f>IFERROR(IF(PIC3="No",IF(VLOOKUP(DATE($K$1,$K$2,PHT$4),Table1[],(MATCH(Calendar!$A18,DB!$1:$1,0)),FALSE)&gt;=5,"Good","Bad"),VLOOKUP(DATE($K$1,$K$2,PHT$4),Table1[],(MATCH(Calendar!$A18,DB!$1:$1,0)),FALSE)),"")</f>
        <v/>
      </c>
      <c r="PHU18" s="28" t="str">
        <f>IFERROR(IF(PID3="No",IF(VLOOKUP(DATE($K$1,$K$2,PHU$4),Table1[],(MATCH(Calendar!$A18,DB!$1:$1,0)),FALSE)&gt;=5,"Good","Bad"),VLOOKUP(DATE($K$1,$K$2,PHU$4),Table1[],(MATCH(Calendar!$A18,DB!$1:$1,0)),FALSE)),"")</f>
        <v/>
      </c>
      <c r="PHV18" s="28" t="str">
        <f>IFERROR(IF(PIE3="No",IF(VLOOKUP(DATE($K$1,$K$2,PHV$4),Table1[],(MATCH(Calendar!$A18,DB!$1:$1,0)),FALSE)&gt;=5,"Good","Bad"),VLOOKUP(DATE($K$1,$K$2,PHV$4),Table1[],(MATCH(Calendar!$A18,DB!$1:$1,0)),FALSE)),"")</f>
        <v/>
      </c>
      <c r="PHW18" s="28" t="str">
        <f>IFERROR(IF(PIF3="No",IF(VLOOKUP(DATE($K$1,$K$2,PHW$4),Table1[],(MATCH(Calendar!$A18,DB!$1:$1,0)),FALSE)&gt;=5,"Good","Bad"),VLOOKUP(DATE($K$1,$K$2,PHW$4),Table1[],(MATCH(Calendar!$A18,DB!$1:$1,0)),FALSE)),"")</f>
        <v/>
      </c>
      <c r="PHX18" s="28" t="str">
        <f>IFERROR(IF(PIG3="No",IF(VLOOKUP(DATE($K$1,$K$2,PHX$4),Table1[],(MATCH(Calendar!$A18,DB!$1:$1,0)),FALSE)&gt;=5,"Good","Bad"),VLOOKUP(DATE($K$1,$K$2,PHX$4),Table1[],(MATCH(Calendar!$A18,DB!$1:$1,0)),FALSE)),"")</f>
        <v/>
      </c>
      <c r="PHY18" s="28" t="str">
        <f>IFERROR(IF(PIH3="No",IF(VLOOKUP(DATE($K$1,$K$2,PHY$4),Table1[],(MATCH(Calendar!$A18,DB!$1:$1,0)),FALSE)&gt;=5,"Good","Bad"),VLOOKUP(DATE($K$1,$K$2,PHY$4),Table1[],(MATCH(Calendar!$A18,DB!$1:$1,0)),FALSE)),"")</f>
        <v/>
      </c>
      <c r="PHZ18" s="28" t="str">
        <f>IFERROR(IF(PII3="No",IF(VLOOKUP(DATE($K$1,$K$2,PHZ$4),Table1[],(MATCH(Calendar!$A18,DB!$1:$1,0)),FALSE)&gt;=5,"Good","Bad"),VLOOKUP(DATE($K$1,$K$2,PHZ$4),Table1[],(MATCH(Calendar!$A18,DB!$1:$1,0)),FALSE)),"")</f>
        <v/>
      </c>
      <c r="PIA18" s="28" t="str">
        <f>IFERROR(IF(PIJ3="No",IF(VLOOKUP(DATE($K$1,$K$2,PIA$4),Table1[],(MATCH(Calendar!$A18,DB!$1:$1,0)),FALSE)&gt;=5,"Good","Bad"),VLOOKUP(DATE($K$1,$K$2,PIA$4),Table1[],(MATCH(Calendar!$A18,DB!$1:$1,0)),FALSE)),"")</f>
        <v/>
      </c>
      <c r="PIB18" s="28" t="str">
        <f>IFERROR(IF(PIK3="No",IF(VLOOKUP(DATE($K$1,$K$2,PIB$4),Table1[],(MATCH(Calendar!$A18,DB!$1:$1,0)),FALSE)&gt;=5,"Good","Bad"),VLOOKUP(DATE($K$1,$K$2,PIB$4),Table1[],(MATCH(Calendar!$A18,DB!$1:$1,0)),FALSE)),"")</f>
        <v/>
      </c>
      <c r="PIC18" s="28" t="str">
        <f>IFERROR(IF(PIL3="No",IF(VLOOKUP(DATE($K$1,$K$2,PIC$4),Table1[],(MATCH(Calendar!$A18,DB!$1:$1,0)),FALSE)&gt;=5,"Good","Bad"),VLOOKUP(DATE($K$1,$K$2,PIC$4),Table1[],(MATCH(Calendar!$A18,DB!$1:$1,0)),FALSE)),"")</f>
        <v/>
      </c>
      <c r="PID18" s="28" t="str">
        <f>IFERROR(IF(PIM3="No",IF(VLOOKUP(DATE($K$1,$K$2,PID$4),Table1[],(MATCH(Calendar!$A18,DB!$1:$1,0)),FALSE)&gt;=5,"Good","Bad"),VLOOKUP(DATE($K$1,$K$2,PID$4),Table1[],(MATCH(Calendar!$A18,DB!$1:$1,0)),FALSE)),"")</f>
        <v/>
      </c>
      <c r="PIE18" s="28" t="str">
        <f>IFERROR(IF(PIN3="No",IF(VLOOKUP(DATE($K$1,$K$2,PIE$4),Table1[],(MATCH(Calendar!$A18,DB!$1:$1,0)),FALSE)&gt;=5,"Good","Bad"),VLOOKUP(DATE($K$1,$K$2,PIE$4),Table1[],(MATCH(Calendar!$A18,DB!$1:$1,0)),FALSE)),"")</f>
        <v/>
      </c>
      <c r="PIF18" s="28" t="str">
        <f>IFERROR(IF(PIO3="No",IF(VLOOKUP(DATE($K$1,$K$2,PIF$4),Table1[],(MATCH(Calendar!$A18,DB!$1:$1,0)),FALSE)&gt;=5,"Good","Bad"),VLOOKUP(DATE($K$1,$K$2,PIF$4),Table1[],(MATCH(Calendar!$A18,DB!$1:$1,0)),FALSE)),"")</f>
        <v/>
      </c>
      <c r="PIG18" s="28" t="str">
        <f>IFERROR(IF(PIP3="No",IF(VLOOKUP(DATE($K$1,$K$2,PIG$4),Table1[],(MATCH(Calendar!$A18,DB!$1:$1,0)),FALSE)&gt;=5,"Good","Bad"),VLOOKUP(DATE($K$1,$K$2,PIG$4),Table1[],(MATCH(Calendar!$A18,DB!$1:$1,0)),FALSE)),"")</f>
        <v/>
      </c>
      <c r="PIH18" s="28" t="str">
        <f>IFERROR(IF(PIQ3="No",IF(VLOOKUP(DATE($K$1,$K$2,PIH$4),Table1[],(MATCH(Calendar!$A18,DB!$1:$1,0)),FALSE)&gt;=5,"Good","Bad"),VLOOKUP(DATE($K$1,$K$2,PIH$4),Table1[],(MATCH(Calendar!$A18,DB!$1:$1,0)),FALSE)),"")</f>
        <v/>
      </c>
      <c r="PII18" s="28" t="str">
        <f>IFERROR(IF(PIR3="No",IF(VLOOKUP(DATE($K$1,$K$2,PII$4),Table1[],(MATCH(Calendar!$A18,DB!$1:$1,0)),FALSE)&gt;=5,"Good","Bad"),VLOOKUP(DATE($K$1,$K$2,PII$4),Table1[],(MATCH(Calendar!$A18,DB!$1:$1,0)),FALSE)),"")</f>
        <v/>
      </c>
      <c r="PIJ18" s="28" t="str">
        <f>IFERROR(IF(PIS3="No",IF(VLOOKUP(DATE($K$1,$K$2,PIJ$4),Table1[],(MATCH(Calendar!$A18,DB!$1:$1,0)),FALSE)&gt;=5,"Good","Bad"),VLOOKUP(DATE($K$1,$K$2,PIJ$4),Table1[],(MATCH(Calendar!$A18,DB!$1:$1,0)),FALSE)),"")</f>
        <v/>
      </c>
      <c r="PIK18" s="28" t="str">
        <f>IFERROR(IF(PIT3="No",IF(VLOOKUP(DATE($K$1,$K$2,PIK$4),Table1[],(MATCH(Calendar!$A18,DB!$1:$1,0)),FALSE)&gt;=5,"Good","Bad"),VLOOKUP(DATE($K$1,$K$2,PIK$4),Table1[],(MATCH(Calendar!$A18,DB!$1:$1,0)),FALSE)),"")</f>
        <v/>
      </c>
      <c r="PIL18" s="28" t="str">
        <f>IFERROR(IF(PIU3="No",IF(VLOOKUP(DATE($K$1,$K$2,PIL$4),Table1[],(MATCH(Calendar!$A18,DB!$1:$1,0)),FALSE)&gt;=5,"Good","Bad"),VLOOKUP(DATE($K$1,$K$2,PIL$4),Table1[],(MATCH(Calendar!$A18,DB!$1:$1,0)),FALSE)),"")</f>
        <v/>
      </c>
      <c r="PIM18" s="28" t="str">
        <f>IFERROR(IF(PIV3="No",IF(VLOOKUP(DATE($K$1,$K$2,PIM$4),Table1[],(MATCH(Calendar!$A18,DB!$1:$1,0)),FALSE)&gt;=5,"Good","Bad"),VLOOKUP(DATE($K$1,$K$2,PIM$4),Table1[],(MATCH(Calendar!$A18,DB!$1:$1,0)),FALSE)),"")</f>
        <v/>
      </c>
      <c r="PIN18" s="28" t="str">
        <f>IFERROR(IF(PIW3="No",IF(VLOOKUP(DATE($K$1,$K$2,PIN$4),Table1[],(MATCH(Calendar!$A18,DB!$1:$1,0)),FALSE)&gt;=5,"Good","Bad"),VLOOKUP(DATE($K$1,$K$2,PIN$4),Table1[],(MATCH(Calendar!$A18,DB!$1:$1,0)),FALSE)),"")</f>
        <v/>
      </c>
      <c r="PIO18" s="28" t="str">
        <f>IFERROR(IF(PIX3="No",IF(VLOOKUP(DATE($K$1,$K$2,PIO$4),Table1[],(MATCH(Calendar!$A18,DB!$1:$1,0)),FALSE)&gt;=5,"Good","Bad"),VLOOKUP(DATE($K$1,$K$2,PIO$4),Table1[],(MATCH(Calendar!$A18,DB!$1:$1,0)),FALSE)),"")</f>
        <v/>
      </c>
      <c r="PIP18" s="28" t="str">
        <f>IFERROR(IF(PIY3="No",IF(VLOOKUP(DATE($K$1,$K$2,PIP$4),Table1[],(MATCH(Calendar!$A18,DB!$1:$1,0)),FALSE)&gt;=5,"Good","Bad"),VLOOKUP(DATE($K$1,$K$2,PIP$4),Table1[],(MATCH(Calendar!$A18,DB!$1:$1,0)),FALSE)),"")</f>
        <v/>
      </c>
      <c r="PIQ18" s="28" t="str">
        <f>IFERROR(IF(PIZ3="No",IF(VLOOKUP(DATE($K$1,$K$2,PIQ$4),Table1[],(MATCH(Calendar!$A18,DB!$1:$1,0)),FALSE)&gt;=5,"Good","Bad"),VLOOKUP(DATE($K$1,$K$2,PIQ$4),Table1[],(MATCH(Calendar!$A18,DB!$1:$1,0)),FALSE)),"")</f>
        <v/>
      </c>
      <c r="PIR18" s="28" t="str">
        <f>IFERROR(IF(PJA3="No",IF(VLOOKUP(DATE($K$1,$K$2,PIR$4),Table1[],(MATCH(Calendar!$A18,DB!$1:$1,0)),FALSE)&gt;=5,"Good","Bad"),VLOOKUP(DATE($K$1,$K$2,PIR$4),Table1[],(MATCH(Calendar!$A18,DB!$1:$1,0)),FALSE)),"")</f>
        <v/>
      </c>
      <c r="PIS18" s="28" t="str">
        <f>IFERROR(IF(PJB3="No",IF(VLOOKUP(DATE($K$1,$K$2,PIS$4),Table1[],(MATCH(Calendar!$A18,DB!$1:$1,0)),FALSE)&gt;=5,"Good","Bad"),VLOOKUP(DATE($K$1,$K$2,PIS$4),Table1[],(MATCH(Calendar!$A18,DB!$1:$1,0)),FALSE)),"")</f>
        <v/>
      </c>
      <c r="PIT18" s="28" t="str">
        <f>IFERROR(IF(PJC3="No",IF(VLOOKUP(DATE($K$1,$K$2,PIT$4),Table1[],(MATCH(Calendar!$A18,DB!$1:$1,0)),FALSE)&gt;=5,"Good","Bad"),VLOOKUP(DATE($K$1,$K$2,PIT$4),Table1[],(MATCH(Calendar!$A18,DB!$1:$1,0)),FALSE)),"")</f>
        <v/>
      </c>
      <c r="PIU18" s="28" t="str">
        <f>IFERROR(IF(PJD3="No",IF(VLOOKUP(DATE($K$1,$K$2,PIU$4),Table1[],(MATCH(Calendar!$A18,DB!$1:$1,0)),FALSE)&gt;=5,"Good","Bad"),VLOOKUP(DATE($K$1,$K$2,PIU$4),Table1[],(MATCH(Calendar!$A18,DB!$1:$1,0)),FALSE)),"")</f>
        <v/>
      </c>
      <c r="PIV18" s="28" t="str">
        <f>IFERROR(IF(PJE3="No",IF(VLOOKUP(DATE($K$1,$K$2,PIV$4),Table1[],(MATCH(Calendar!$A18,DB!$1:$1,0)),FALSE)&gt;=5,"Good","Bad"),VLOOKUP(DATE($K$1,$K$2,PIV$4),Table1[],(MATCH(Calendar!$A18,DB!$1:$1,0)),FALSE)),"")</f>
        <v/>
      </c>
      <c r="PIW18" s="28" t="str">
        <f>IFERROR(IF(PJF3="No",IF(VLOOKUP(DATE($K$1,$K$2,PIW$4),Table1[],(MATCH(Calendar!$A18,DB!$1:$1,0)),FALSE)&gt;=5,"Good","Bad"),VLOOKUP(DATE($K$1,$K$2,PIW$4),Table1[],(MATCH(Calendar!$A18,DB!$1:$1,0)),FALSE)),"")</f>
        <v/>
      </c>
      <c r="PIX18" s="28" t="str">
        <f>IFERROR(IF(PJG3="No",IF(VLOOKUP(DATE($K$1,$K$2,PIX$4),Table1[],(MATCH(Calendar!$A18,DB!$1:$1,0)),FALSE)&gt;=5,"Good","Bad"),VLOOKUP(DATE($K$1,$K$2,PIX$4),Table1[],(MATCH(Calendar!$A18,DB!$1:$1,0)),FALSE)),"")</f>
        <v/>
      </c>
      <c r="PIY18" s="28" t="str">
        <f>IFERROR(IF(PJH3="No",IF(VLOOKUP(DATE($K$1,$K$2,PIY$4),Table1[],(MATCH(Calendar!$A18,DB!$1:$1,0)),FALSE)&gt;=5,"Good","Bad"),VLOOKUP(DATE($K$1,$K$2,PIY$4),Table1[],(MATCH(Calendar!$A18,DB!$1:$1,0)),FALSE)),"")</f>
        <v/>
      </c>
      <c r="PIZ18" s="28" t="str">
        <f>IFERROR(IF(PJI3="No",IF(VLOOKUP(DATE($K$1,$K$2,PIZ$4),Table1[],(MATCH(Calendar!$A18,DB!$1:$1,0)),FALSE)&gt;=5,"Good","Bad"),VLOOKUP(DATE($K$1,$K$2,PIZ$4),Table1[],(MATCH(Calendar!$A18,DB!$1:$1,0)),FALSE)),"")</f>
        <v/>
      </c>
      <c r="PJA18" s="28" t="str">
        <f>IFERROR(IF(PJJ3="No",IF(VLOOKUP(DATE($K$1,$K$2,PJA$4),Table1[],(MATCH(Calendar!$A18,DB!$1:$1,0)),FALSE)&gt;=5,"Good","Bad"),VLOOKUP(DATE($K$1,$K$2,PJA$4),Table1[],(MATCH(Calendar!$A18,DB!$1:$1,0)),FALSE)),"")</f>
        <v/>
      </c>
      <c r="PJB18" s="28" t="str">
        <f>IFERROR(IF(PJK3="No",IF(VLOOKUP(DATE($K$1,$K$2,PJB$4),Table1[],(MATCH(Calendar!$A18,DB!$1:$1,0)),FALSE)&gt;=5,"Good","Bad"),VLOOKUP(DATE($K$1,$K$2,PJB$4),Table1[],(MATCH(Calendar!$A18,DB!$1:$1,0)),FALSE)),"")</f>
        <v/>
      </c>
      <c r="PJC18" s="28" t="str">
        <f>IFERROR(IF(PJL3="No",IF(VLOOKUP(DATE($K$1,$K$2,PJC$4),Table1[],(MATCH(Calendar!$A18,DB!$1:$1,0)),FALSE)&gt;=5,"Good","Bad"),VLOOKUP(DATE($K$1,$K$2,PJC$4),Table1[],(MATCH(Calendar!$A18,DB!$1:$1,0)),FALSE)),"")</f>
        <v/>
      </c>
      <c r="PJD18" s="28" t="str">
        <f>IFERROR(IF(PJM3="No",IF(VLOOKUP(DATE($K$1,$K$2,PJD$4),Table1[],(MATCH(Calendar!$A18,DB!$1:$1,0)),FALSE)&gt;=5,"Good","Bad"),VLOOKUP(DATE($K$1,$K$2,PJD$4),Table1[],(MATCH(Calendar!$A18,DB!$1:$1,0)),FALSE)),"")</f>
        <v/>
      </c>
      <c r="PJE18" s="28" t="str">
        <f>IFERROR(IF(PJN3="No",IF(VLOOKUP(DATE($K$1,$K$2,PJE$4),Table1[],(MATCH(Calendar!$A18,DB!$1:$1,0)),FALSE)&gt;=5,"Good","Bad"),VLOOKUP(DATE($K$1,$K$2,PJE$4),Table1[],(MATCH(Calendar!$A18,DB!$1:$1,0)),FALSE)),"")</f>
        <v/>
      </c>
      <c r="PJF18" s="28" t="str">
        <f>IFERROR(IF(PJO3="No",IF(VLOOKUP(DATE($K$1,$K$2,PJF$4),Table1[],(MATCH(Calendar!$A18,DB!$1:$1,0)),FALSE)&gt;=5,"Good","Bad"),VLOOKUP(DATE($K$1,$K$2,PJF$4),Table1[],(MATCH(Calendar!$A18,DB!$1:$1,0)),FALSE)),"")</f>
        <v/>
      </c>
      <c r="PJG18" s="28" t="str">
        <f>IFERROR(IF(PJP3="No",IF(VLOOKUP(DATE($K$1,$K$2,PJG$4),Table1[],(MATCH(Calendar!$A18,DB!$1:$1,0)),FALSE)&gt;=5,"Good","Bad"),VLOOKUP(DATE($K$1,$K$2,PJG$4),Table1[],(MATCH(Calendar!$A18,DB!$1:$1,0)),FALSE)),"")</f>
        <v/>
      </c>
      <c r="PJH18" s="28" t="str">
        <f>IFERROR(IF(PJQ3="No",IF(VLOOKUP(DATE($K$1,$K$2,PJH$4),Table1[],(MATCH(Calendar!$A18,DB!$1:$1,0)),FALSE)&gt;=5,"Good","Bad"),VLOOKUP(DATE($K$1,$K$2,PJH$4),Table1[],(MATCH(Calendar!$A18,DB!$1:$1,0)),FALSE)),"")</f>
        <v/>
      </c>
      <c r="PJI18" s="28" t="str">
        <f>IFERROR(IF(PJR3="No",IF(VLOOKUP(DATE($K$1,$K$2,PJI$4),Table1[],(MATCH(Calendar!$A18,DB!$1:$1,0)),FALSE)&gt;=5,"Good","Bad"),VLOOKUP(DATE($K$1,$K$2,PJI$4),Table1[],(MATCH(Calendar!$A18,DB!$1:$1,0)),FALSE)),"")</f>
        <v/>
      </c>
      <c r="PJJ18" s="28" t="str">
        <f>IFERROR(IF(PJS3="No",IF(VLOOKUP(DATE($K$1,$K$2,PJJ$4),Table1[],(MATCH(Calendar!$A18,DB!$1:$1,0)),FALSE)&gt;=5,"Good","Bad"),VLOOKUP(DATE($K$1,$K$2,PJJ$4),Table1[],(MATCH(Calendar!$A18,DB!$1:$1,0)),FALSE)),"")</f>
        <v/>
      </c>
      <c r="PJK18" s="28" t="str">
        <f>IFERROR(IF(PJT3="No",IF(VLOOKUP(DATE($K$1,$K$2,PJK$4),Table1[],(MATCH(Calendar!$A18,DB!$1:$1,0)),FALSE)&gt;=5,"Good","Bad"),VLOOKUP(DATE($K$1,$K$2,PJK$4),Table1[],(MATCH(Calendar!$A18,DB!$1:$1,0)),FALSE)),"")</f>
        <v/>
      </c>
      <c r="PJL18" s="28" t="str">
        <f>IFERROR(IF(PJU3="No",IF(VLOOKUP(DATE($K$1,$K$2,PJL$4),Table1[],(MATCH(Calendar!$A18,DB!$1:$1,0)),FALSE)&gt;=5,"Good","Bad"),VLOOKUP(DATE($K$1,$K$2,PJL$4),Table1[],(MATCH(Calendar!$A18,DB!$1:$1,0)),FALSE)),"")</f>
        <v/>
      </c>
      <c r="PJM18" s="28" t="str">
        <f>IFERROR(IF(PJV3="No",IF(VLOOKUP(DATE($K$1,$K$2,PJM$4),Table1[],(MATCH(Calendar!$A18,DB!$1:$1,0)),FALSE)&gt;=5,"Good","Bad"),VLOOKUP(DATE($K$1,$K$2,PJM$4),Table1[],(MATCH(Calendar!$A18,DB!$1:$1,0)),FALSE)),"")</f>
        <v/>
      </c>
      <c r="PJN18" s="28" t="str">
        <f>IFERROR(IF(PJW3="No",IF(VLOOKUP(DATE($K$1,$K$2,PJN$4),Table1[],(MATCH(Calendar!$A18,DB!$1:$1,0)),FALSE)&gt;=5,"Good","Bad"),VLOOKUP(DATE($K$1,$K$2,PJN$4),Table1[],(MATCH(Calendar!$A18,DB!$1:$1,0)),FALSE)),"")</f>
        <v/>
      </c>
      <c r="PJO18" s="28" t="str">
        <f>IFERROR(IF(PJX3="No",IF(VLOOKUP(DATE($K$1,$K$2,PJO$4),Table1[],(MATCH(Calendar!$A18,DB!$1:$1,0)),FALSE)&gt;=5,"Good","Bad"),VLOOKUP(DATE($K$1,$K$2,PJO$4),Table1[],(MATCH(Calendar!$A18,DB!$1:$1,0)),FALSE)),"")</f>
        <v/>
      </c>
      <c r="PJP18" s="28" t="str">
        <f>IFERROR(IF(PJY3="No",IF(VLOOKUP(DATE($K$1,$K$2,PJP$4),Table1[],(MATCH(Calendar!$A18,DB!$1:$1,0)),FALSE)&gt;=5,"Good","Bad"),VLOOKUP(DATE($K$1,$K$2,PJP$4),Table1[],(MATCH(Calendar!$A18,DB!$1:$1,0)),FALSE)),"")</f>
        <v/>
      </c>
      <c r="PJQ18" s="28" t="str">
        <f>IFERROR(IF(PJZ3="No",IF(VLOOKUP(DATE($K$1,$K$2,PJQ$4),Table1[],(MATCH(Calendar!$A18,DB!$1:$1,0)),FALSE)&gt;=5,"Good","Bad"),VLOOKUP(DATE($K$1,$K$2,PJQ$4),Table1[],(MATCH(Calendar!$A18,DB!$1:$1,0)),FALSE)),"")</f>
        <v/>
      </c>
      <c r="PJR18" s="28" t="str">
        <f>IFERROR(IF(PKA3="No",IF(VLOOKUP(DATE($K$1,$K$2,PJR$4),Table1[],(MATCH(Calendar!$A18,DB!$1:$1,0)),FALSE)&gt;=5,"Good","Bad"),VLOOKUP(DATE($K$1,$K$2,PJR$4),Table1[],(MATCH(Calendar!$A18,DB!$1:$1,0)),FALSE)),"")</f>
        <v/>
      </c>
      <c r="PJS18" s="28" t="str">
        <f>IFERROR(IF(PKB3="No",IF(VLOOKUP(DATE($K$1,$K$2,PJS$4),Table1[],(MATCH(Calendar!$A18,DB!$1:$1,0)),FALSE)&gt;=5,"Good","Bad"),VLOOKUP(DATE($K$1,$K$2,PJS$4),Table1[],(MATCH(Calendar!$A18,DB!$1:$1,0)),FALSE)),"")</f>
        <v/>
      </c>
      <c r="PJT18" s="28" t="str">
        <f>IFERROR(IF(PKC3="No",IF(VLOOKUP(DATE($K$1,$K$2,PJT$4),Table1[],(MATCH(Calendar!$A18,DB!$1:$1,0)),FALSE)&gt;=5,"Good","Bad"),VLOOKUP(DATE($K$1,$K$2,PJT$4),Table1[],(MATCH(Calendar!$A18,DB!$1:$1,0)),FALSE)),"")</f>
        <v/>
      </c>
      <c r="PJU18" s="28" t="str">
        <f>IFERROR(IF(PKD3="No",IF(VLOOKUP(DATE($K$1,$K$2,PJU$4),Table1[],(MATCH(Calendar!$A18,DB!$1:$1,0)),FALSE)&gt;=5,"Good","Bad"),VLOOKUP(DATE($K$1,$K$2,PJU$4),Table1[],(MATCH(Calendar!$A18,DB!$1:$1,0)),FALSE)),"")</f>
        <v/>
      </c>
      <c r="PJV18" s="28" t="str">
        <f>IFERROR(IF(PKE3="No",IF(VLOOKUP(DATE($K$1,$K$2,PJV$4),Table1[],(MATCH(Calendar!$A18,DB!$1:$1,0)),FALSE)&gt;=5,"Good","Bad"),VLOOKUP(DATE($K$1,$K$2,PJV$4),Table1[],(MATCH(Calendar!$A18,DB!$1:$1,0)),FALSE)),"")</f>
        <v/>
      </c>
      <c r="PJW18" s="28" t="str">
        <f>IFERROR(IF(PKF3="No",IF(VLOOKUP(DATE($K$1,$K$2,PJW$4),Table1[],(MATCH(Calendar!$A18,DB!$1:$1,0)),FALSE)&gt;=5,"Good","Bad"),VLOOKUP(DATE($K$1,$K$2,PJW$4),Table1[],(MATCH(Calendar!$A18,DB!$1:$1,0)),FALSE)),"")</f>
        <v/>
      </c>
      <c r="PJX18" s="28" t="str">
        <f>IFERROR(IF(PKG3="No",IF(VLOOKUP(DATE($K$1,$K$2,PJX$4),Table1[],(MATCH(Calendar!$A18,DB!$1:$1,0)),FALSE)&gt;=5,"Good","Bad"),VLOOKUP(DATE($K$1,$K$2,PJX$4),Table1[],(MATCH(Calendar!$A18,DB!$1:$1,0)),FALSE)),"")</f>
        <v/>
      </c>
      <c r="PJY18" s="28" t="str">
        <f>IFERROR(IF(PKH3="No",IF(VLOOKUP(DATE($K$1,$K$2,PJY$4),Table1[],(MATCH(Calendar!$A18,DB!$1:$1,0)),FALSE)&gt;=5,"Good","Bad"),VLOOKUP(DATE($K$1,$K$2,PJY$4),Table1[],(MATCH(Calendar!$A18,DB!$1:$1,0)),FALSE)),"")</f>
        <v/>
      </c>
      <c r="PJZ18" s="28" t="str">
        <f>IFERROR(IF(PKI3="No",IF(VLOOKUP(DATE($K$1,$K$2,PJZ$4),Table1[],(MATCH(Calendar!$A18,DB!$1:$1,0)),FALSE)&gt;=5,"Good","Bad"),VLOOKUP(DATE($K$1,$K$2,PJZ$4),Table1[],(MATCH(Calendar!$A18,DB!$1:$1,0)),FALSE)),"")</f>
        <v/>
      </c>
      <c r="PKA18" s="28" t="str">
        <f>IFERROR(IF(PKJ3="No",IF(VLOOKUP(DATE($K$1,$K$2,PKA$4),Table1[],(MATCH(Calendar!$A18,DB!$1:$1,0)),FALSE)&gt;=5,"Good","Bad"),VLOOKUP(DATE($K$1,$K$2,PKA$4),Table1[],(MATCH(Calendar!$A18,DB!$1:$1,0)),FALSE)),"")</f>
        <v/>
      </c>
      <c r="PKB18" s="28" t="str">
        <f>IFERROR(IF(PKK3="No",IF(VLOOKUP(DATE($K$1,$K$2,PKB$4),Table1[],(MATCH(Calendar!$A18,DB!$1:$1,0)),FALSE)&gt;=5,"Good","Bad"),VLOOKUP(DATE($K$1,$K$2,PKB$4),Table1[],(MATCH(Calendar!$A18,DB!$1:$1,0)),FALSE)),"")</f>
        <v/>
      </c>
      <c r="PKC18" s="28" t="str">
        <f>IFERROR(IF(PKL3="No",IF(VLOOKUP(DATE($K$1,$K$2,PKC$4),Table1[],(MATCH(Calendar!$A18,DB!$1:$1,0)),FALSE)&gt;=5,"Good","Bad"),VLOOKUP(DATE($K$1,$K$2,PKC$4),Table1[],(MATCH(Calendar!$A18,DB!$1:$1,0)),FALSE)),"")</f>
        <v/>
      </c>
      <c r="PKD18" s="28" t="str">
        <f>IFERROR(IF(PKM3="No",IF(VLOOKUP(DATE($K$1,$K$2,PKD$4),Table1[],(MATCH(Calendar!$A18,DB!$1:$1,0)),FALSE)&gt;=5,"Good","Bad"),VLOOKUP(DATE($K$1,$K$2,PKD$4),Table1[],(MATCH(Calendar!$A18,DB!$1:$1,0)),FALSE)),"")</f>
        <v/>
      </c>
      <c r="PKE18" s="28" t="str">
        <f>IFERROR(IF(PKN3="No",IF(VLOOKUP(DATE($K$1,$K$2,PKE$4),Table1[],(MATCH(Calendar!$A18,DB!$1:$1,0)),FALSE)&gt;=5,"Good","Bad"),VLOOKUP(DATE($K$1,$K$2,PKE$4),Table1[],(MATCH(Calendar!$A18,DB!$1:$1,0)),FALSE)),"")</f>
        <v/>
      </c>
      <c r="PKF18" s="28" t="str">
        <f>IFERROR(IF(PKO3="No",IF(VLOOKUP(DATE($K$1,$K$2,PKF$4),Table1[],(MATCH(Calendar!$A18,DB!$1:$1,0)),FALSE)&gt;=5,"Good","Bad"),VLOOKUP(DATE($K$1,$K$2,PKF$4),Table1[],(MATCH(Calendar!$A18,DB!$1:$1,0)),FALSE)),"")</f>
        <v/>
      </c>
      <c r="PKG18" s="28" t="str">
        <f>IFERROR(IF(PKP3="No",IF(VLOOKUP(DATE($K$1,$K$2,PKG$4),Table1[],(MATCH(Calendar!$A18,DB!$1:$1,0)),FALSE)&gt;=5,"Good","Bad"),VLOOKUP(DATE($K$1,$K$2,PKG$4),Table1[],(MATCH(Calendar!$A18,DB!$1:$1,0)),FALSE)),"")</f>
        <v/>
      </c>
      <c r="PKH18" s="28" t="str">
        <f>IFERROR(IF(PKQ3="No",IF(VLOOKUP(DATE($K$1,$K$2,PKH$4),Table1[],(MATCH(Calendar!$A18,DB!$1:$1,0)),FALSE)&gt;=5,"Good","Bad"),VLOOKUP(DATE($K$1,$K$2,PKH$4),Table1[],(MATCH(Calendar!$A18,DB!$1:$1,0)),FALSE)),"")</f>
        <v/>
      </c>
      <c r="PKI18" s="28" t="str">
        <f>IFERROR(IF(PKR3="No",IF(VLOOKUP(DATE($K$1,$K$2,PKI$4),Table1[],(MATCH(Calendar!$A18,DB!$1:$1,0)),FALSE)&gt;=5,"Good","Bad"),VLOOKUP(DATE($K$1,$K$2,PKI$4),Table1[],(MATCH(Calendar!$A18,DB!$1:$1,0)),FALSE)),"")</f>
        <v/>
      </c>
      <c r="PKJ18" s="28" t="str">
        <f>IFERROR(IF(PKS3="No",IF(VLOOKUP(DATE($K$1,$K$2,PKJ$4),Table1[],(MATCH(Calendar!$A18,DB!$1:$1,0)),FALSE)&gt;=5,"Good","Bad"),VLOOKUP(DATE($K$1,$K$2,PKJ$4),Table1[],(MATCH(Calendar!$A18,DB!$1:$1,0)),FALSE)),"")</f>
        <v/>
      </c>
      <c r="PKK18" s="28" t="str">
        <f>IFERROR(IF(PKT3="No",IF(VLOOKUP(DATE($K$1,$K$2,PKK$4),Table1[],(MATCH(Calendar!$A18,DB!$1:$1,0)),FALSE)&gt;=5,"Good","Bad"),VLOOKUP(DATE($K$1,$K$2,PKK$4),Table1[],(MATCH(Calendar!$A18,DB!$1:$1,0)),FALSE)),"")</f>
        <v/>
      </c>
      <c r="PKL18" s="28" t="str">
        <f>IFERROR(IF(PKU3="No",IF(VLOOKUP(DATE($K$1,$K$2,PKL$4),Table1[],(MATCH(Calendar!$A18,DB!$1:$1,0)),FALSE)&gt;=5,"Good","Bad"),VLOOKUP(DATE($K$1,$K$2,PKL$4),Table1[],(MATCH(Calendar!$A18,DB!$1:$1,0)),FALSE)),"")</f>
        <v/>
      </c>
      <c r="PKM18" s="28" t="str">
        <f>IFERROR(IF(PKV3="No",IF(VLOOKUP(DATE($K$1,$K$2,PKM$4),Table1[],(MATCH(Calendar!$A18,DB!$1:$1,0)),FALSE)&gt;=5,"Good","Bad"),VLOOKUP(DATE($K$1,$K$2,PKM$4),Table1[],(MATCH(Calendar!$A18,DB!$1:$1,0)),FALSE)),"")</f>
        <v/>
      </c>
      <c r="PKN18" s="28" t="str">
        <f>IFERROR(IF(PKW3="No",IF(VLOOKUP(DATE($K$1,$K$2,PKN$4),Table1[],(MATCH(Calendar!$A18,DB!$1:$1,0)),FALSE)&gt;=5,"Good","Bad"),VLOOKUP(DATE($K$1,$K$2,PKN$4),Table1[],(MATCH(Calendar!$A18,DB!$1:$1,0)),FALSE)),"")</f>
        <v/>
      </c>
      <c r="PKO18" s="28" t="str">
        <f>IFERROR(IF(PKX3="No",IF(VLOOKUP(DATE($K$1,$K$2,PKO$4),Table1[],(MATCH(Calendar!$A18,DB!$1:$1,0)),FALSE)&gt;=5,"Good","Bad"),VLOOKUP(DATE($K$1,$K$2,PKO$4),Table1[],(MATCH(Calendar!$A18,DB!$1:$1,0)),FALSE)),"")</f>
        <v/>
      </c>
      <c r="PKP18" s="28" t="str">
        <f>IFERROR(IF(PKY3="No",IF(VLOOKUP(DATE($K$1,$K$2,PKP$4),Table1[],(MATCH(Calendar!$A18,DB!$1:$1,0)),FALSE)&gt;=5,"Good","Bad"),VLOOKUP(DATE($K$1,$K$2,PKP$4),Table1[],(MATCH(Calendar!$A18,DB!$1:$1,0)),FALSE)),"")</f>
        <v/>
      </c>
      <c r="PKQ18" s="28" t="str">
        <f>IFERROR(IF(PKZ3="No",IF(VLOOKUP(DATE($K$1,$K$2,PKQ$4),Table1[],(MATCH(Calendar!$A18,DB!$1:$1,0)),FALSE)&gt;=5,"Good","Bad"),VLOOKUP(DATE($K$1,$K$2,PKQ$4),Table1[],(MATCH(Calendar!$A18,DB!$1:$1,0)),FALSE)),"")</f>
        <v/>
      </c>
      <c r="PKR18" s="28" t="str">
        <f>IFERROR(IF(PLA3="No",IF(VLOOKUP(DATE($K$1,$K$2,PKR$4),Table1[],(MATCH(Calendar!$A18,DB!$1:$1,0)),FALSE)&gt;=5,"Good","Bad"),VLOOKUP(DATE($K$1,$K$2,PKR$4),Table1[],(MATCH(Calendar!$A18,DB!$1:$1,0)),FALSE)),"")</f>
        <v/>
      </c>
      <c r="PKS18" s="28" t="str">
        <f>IFERROR(IF(PLB3="No",IF(VLOOKUP(DATE($K$1,$K$2,PKS$4),Table1[],(MATCH(Calendar!$A18,DB!$1:$1,0)),FALSE)&gt;=5,"Good","Bad"),VLOOKUP(DATE($K$1,$K$2,PKS$4),Table1[],(MATCH(Calendar!$A18,DB!$1:$1,0)),FALSE)),"")</f>
        <v/>
      </c>
      <c r="PKT18" s="28" t="str">
        <f>IFERROR(IF(PLC3="No",IF(VLOOKUP(DATE($K$1,$K$2,PKT$4),Table1[],(MATCH(Calendar!$A18,DB!$1:$1,0)),FALSE)&gt;=5,"Good","Bad"),VLOOKUP(DATE($K$1,$K$2,PKT$4),Table1[],(MATCH(Calendar!$A18,DB!$1:$1,0)),FALSE)),"")</f>
        <v/>
      </c>
      <c r="PKU18" s="28" t="str">
        <f>IFERROR(IF(PLD3="No",IF(VLOOKUP(DATE($K$1,$K$2,PKU$4),Table1[],(MATCH(Calendar!$A18,DB!$1:$1,0)),FALSE)&gt;=5,"Good","Bad"),VLOOKUP(DATE($K$1,$K$2,PKU$4),Table1[],(MATCH(Calendar!$A18,DB!$1:$1,0)),FALSE)),"")</f>
        <v/>
      </c>
      <c r="PKV18" s="28" t="str">
        <f>IFERROR(IF(PLE3="No",IF(VLOOKUP(DATE($K$1,$K$2,PKV$4),Table1[],(MATCH(Calendar!$A18,DB!$1:$1,0)),FALSE)&gt;=5,"Good","Bad"),VLOOKUP(DATE($K$1,$K$2,PKV$4),Table1[],(MATCH(Calendar!$A18,DB!$1:$1,0)),FALSE)),"")</f>
        <v/>
      </c>
      <c r="PKW18" s="28" t="str">
        <f>IFERROR(IF(PLF3="No",IF(VLOOKUP(DATE($K$1,$K$2,PKW$4),Table1[],(MATCH(Calendar!$A18,DB!$1:$1,0)),FALSE)&gt;=5,"Good","Bad"),VLOOKUP(DATE($K$1,$K$2,PKW$4),Table1[],(MATCH(Calendar!$A18,DB!$1:$1,0)),FALSE)),"")</f>
        <v/>
      </c>
      <c r="PKX18" s="28" t="str">
        <f>IFERROR(IF(PLG3="No",IF(VLOOKUP(DATE($K$1,$K$2,PKX$4),Table1[],(MATCH(Calendar!$A18,DB!$1:$1,0)),FALSE)&gt;=5,"Good","Bad"),VLOOKUP(DATE($K$1,$K$2,PKX$4),Table1[],(MATCH(Calendar!$A18,DB!$1:$1,0)),FALSE)),"")</f>
        <v/>
      </c>
      <c r="PKY18" s="28" t="str">
        <f>IFERROR(IF(PLH3="No",IF(VLOOKUP(DATE($K$1,$K$2,PKY$4),Table1[],(MATCH(Calendar!$A18,DB!$1:$1,0)),FALSE)&gt;=5,"Good","Bad"),VLOOKUP(DATE($K$1,$K$2,PKY$4),Table1[],(MATCH(Calendar!$A18,DB!$1:$1,0)),FALSE)),"")</f>
        <v/>
      </c>
      <c r="PKZ18" s="28" t="str">
        <f>IFERROR(IF(PLI3="No",IF(VLOOKUP(DATE($K$1,$K$2,PKZ$4),Table1[],(MATCH(Calendar!$A18,DB!$1:$1,0)),FALSE)&gt;=5,"Good","Bad"),VLOOKUP(DATE($K$1,$K$2,PKZ$4),Table1[],(MATCH(Calendar!$A18,DB!$1:$1,0)),FALSE)),"")</f>
        <v/>
      </c>
      <c r="PLA18" s="28" t="str">
        <f>IFERROR(IF(PLJ3="No",IF(VLOOKUP(DATE($K$1,$K$2,PLA$4),Table1[],(MATCH(Calendar!$A18,DB!$1:$1,0)),FALSE)&gt;=5,"Good","Bad"),VLOOKUP(DATE($K$1,$K$2,PLA$4),Table1[],(MATCH(Calendar!$A18,DB!$1:$1,0)),FALSE)),"")</f>
        <v/>
      </c>
      <c r="PLB18" s="28" t="str">
        <f>IFERROR(IF(PLK3="No",IF(VLOOKUP(DATE($K$1,$K$2,PLB$4),Table1[],(MATCH(Calendar!$A18,DB!$1:$1,0)),FALSE)&gt;=5,"Good","Bad"),VLOOKUP(DATE($K$1,$K$2,PLB$4),Table1[],(MATCH(Calendar!$A18,DB!$1:$1,0)),FALSE)),"")</f>
        <v/>
      </c>
      <c r="PLC18" s="28" t="str">
        <f>IFERROR(IF(PLL3="No",IF(VLOOKUP(DATE($K$1,$K$2,PLC$4),Table1[],(MATCH(Calendar!$A18,DB!$1:$1,0)),FALSE)&gt;=5,"Good","Bad"),VLOOKUP(DATE($K$1,$K$2,PLC$4),Table1[],(MATCH(Calendar!$A18,DB!$1:$1,0)),FALSE)),"")</f>
        <v/>
      </c>
      <c r="PLD18" s="28" t="str">
        <f>IFERROR(IF(PLM3="No",IF(VLOOKUP(DATE($K$1,$K$2,PLD$4),Table1[],(MATCH(Calendar!$A18,DB!$1:$1,0)),FALSE)&gt;=5,"Good","Bad"),VLOOKUP(DATE($K$1,$K$2,PLD$4),Table1[],(MATCH(Calendar!$A18,DB!$1:$1,0)),FALSE)),"")</f>
        <v/>
      </c>
      <c r="PLE18" s="28" t="str">
        <f>IFERROR(IF(PLN3="No",IF(VLOOKUP(DATE($K$1,$K$2,PLE$4),Table1[],(MATCH(Calendar!$A18,DB!$1:$1,0)),FALSE)&gt;=5,"Good","Bad"),VLOOKUP(DATE($K$1,$K$2,PLE$4),Table1[],(MATCH(Calendar!$A18,DB!$1:$1,0)),FALSE)),"")</f>
        <v/>
      </c>
      <c r="PLF18" s="28" t="str">
        <f>IFERROR(IF(PLO3="No",IF(VLOOKUP(DATE($K$1,$K$2,PLF$4),Table1[],(MATCH(Calendar!$A18,DB!$1:$1,0)),FALSE)&gt;=5,"Good","Bad"),VLOOKUP(DATE($K$1,$K$2,PLF$4),Table1[],(MATCH(Calendar!$A18,DB!$1:$1,0)),FALSE)),"")</f>
        <v/>
      </c>
      <c r="PLG18" s="28" t="str">
        <f>IFERROR(IF(PLP3="No",IF(VLOOKUP(DATE($K$1,$K$2,PLG$4),Table1[],(MATCH(Calendar!$A18,DB!$1:$1,0)),FALSE)&gt;=5,"Good","Bad"),VLOOKUP(DATE($K$1,$K$2,PLG$4),Table1[],(MATCH(Calendar!$A18,DB!$1:$1,0)),FALSE)),"")</f>
        <v/>
      </c>
      <c r="PLH18" s="28" t="str">
        <f>IFERROR(IF(PLQ3="No",IF(VLOOKUP(DATE($K$1,$K$2,PLH$4),Table1[],(MATCH(Calendar!$A18,DB!$1:$1,0)),FALSE)&gt;=5,"Good","Bad"),VLOOKUP(DATE($K$1,$K$2,PLH$4),Table1[],(MATCH(Calendar!$A18,DB!$1:$1,0)),FALSE)),"")</f>
        <v/>
      </c>
      <c r="PLI18" s="28" t="str">
        <f>IFERROR(IF(PLR3="No",IF(VLOOKUP(DATE($K$1,$K$2,PLI$4),Table1[],(MATCH(Calendar!$A18,DB!$1:$1,0)),FALSE)&gt;=5,"Good","Bad"),VLOOKUP(DATE($K$1,$K$2,PLI$4),Table1[],(MATCH(Calendar!$A18,DB!$1:$1,0)),FALSE)),"")</f>
        <v/>
      </c>
      <c r="PLJ18" s="28" t="str">
        <f>IFERROR(IF(PLS3="No",IF(VLOOKUP(DATE($K$1,$K$2,PLJ$4),Table1[],(MATCH(Calendar!$A18,DB!$1:$1,0)),FALSE)&gt;=5,"Good","Bad"),VLOOKUP(DATE($K$1,$K$2,PLJ$4),Table1[],(MATCH(Calendar!$A18,DB!$1:$1,0)),FALSE)),"")</f>
        <v/>
      </c>
      <c r="PLK18" s="28" t="str">
        <f>IFERROR(IF(PLT3="No",IF(VLOOKUP(DATE($K$1,$K$2,PLK$4),Table1[],(MATCH(Calendar!$A18,DB!$1:$1,0)),FALSE)&gt;=5,"Good","Bad"),VLOOKUP(DATE($K$1,$K$2,PLK$4),Table1[],(MATCH(Calendar!$A18,DB!$1:$1,0)),FALSE)),"")</f>
        <v/>
      </c>
      <c r="PLL18" s="28" t="str">
        <f>IFERROR(IF(PLU3="No",IF(VLOOKUP(DATE($K$1,$K$2,PLL$4),Table1[],(MATCH(Calendar!$A18,DB!$1:$1,0)),FALSE)&gt;=5,"Good","Bad"),VLOOKUP(DATE($K$1,$K$2,PLL$4),Table1[],(MATCH(Calendar!$A18,DB!$1:$1,0)),FALSE)),"")</f>
        <v/>
      </c>
      <c r="PLM18" s="28" t="str">
        <f>IFERROR(IF(PLV3="No",IF(VLOOKUP(DATE($K$1,$K$2,PLM$4),Table1[],(MATCH(Calendar!$A18,DB!$1:$1,0)),FALSE)&gt;=5,"Good","Bad"),VLOOKUP(DATE($K$1,$K$2,PLM$4),Table1[],(MATCH(Calendar!$A18,DB!$1:$1,0)),FALSE)),"")</f>
        <v/>
      </c>
      <c r="PLN18" s="28" t="str">
        <f>IFERROR(IF(PLW3="No",IF(VLOOKUP(DATE($K$1,$K$2,PLN$4),Table1[],(MATCH(Calendar!$A18,DB!$1:$1,0)),FALSE)&gt;=5,"Good","Bad"),VLOOKUP(DATE($K$1,$K$2,PLN$4),Table1[],(MATCH(Calendar!$A18,DB!$1:$1,0)),FALSE)),"")</f>
        <v/>
      </c>
      <c r="PLO18" s="28" t="str">
        <f>IFERROR(IF(PLX3="No",IF(VLOOKUP(DATE($K$1,$K$2,PLO$4),Table1[],(MATCH(Calendar!$A18,DB!$1:$1,0)),FALSE)&gt;=5,"Good","Bad"),VLOOKUP(DATE($K$1,$K$2,PLO$4),Table1[],(MATCH(Calendar!$A18,DB!$1:$1,0)),FALSE)),"")</f>
        <v/>
      </c>
      <c r="PLP18" s="28" t="str">
        <f>IFERROR(IF(PLY3="No",IF(VLOOKUP(DATE($K$1,$K$2,PLP$4),Table1[],(MATCH(Calendar!$A18,DB!$1:$1,0)),FALSE)&gt;=5,"Good","Bad"),VLOOKUP(DATE($K$1,$K$2,PLP$4),Table1[],(MATCH(Calendar!$A18,DB!$1:$1,0)),FALSE)),"")</f>
        <v/>
      </c>
      <c r="PLQ18" s="28" t="str">
        <f>IFERROR(IF(PLZ3="No",IF(VLOOKUP(DATE($K$1,$K$2,PLQ$4),Table1[],(MATCH(Calendar!$A18,DB!$1:$1,0)),FALSE)&gt;=5,"Good","Bad"),VLOOKUP(DATE($K$1,$K$2,PLQ$4),Table1[],(MATCH(Calendar!$A18,DB!$1:$1,0)),FALSE)),"")</f>
        <v/>
      </c>
      <c r="PLR18" s="28" t="str">
        <f>IFERROR(IF(PMA3="No",IF(VLOOKUP(DATE($K$1,$K$2,PLR$4),Table1[],(MATCH(Calendar!$A18,DB!$1:$1,0)),FALSE)&gt;=5,"Good","Bad"),VLOOKUP(DATE($K$1,$K$2,PLR$4),Table1[],(MATCH(Calendar!$A18,DB!$1:$1,0)),FALSE)),"")</f>
        <v/>
      </c>
      <c r="PLS18" s="28" t="str">
        <f>IFERROR(IF(PMB3="No",IF(VLOOKUP(DATE($K$1,$K$2,PLS$4),Table1[],(MATCH(Calendar!$A18,DB!$1:$1,0)),FALSE)&gt;=5,"Good","Bad"),VLOOKUP(DATE($K$1,$K$2,PLS$4),Table1[],(MATCH(Calendar!$A18,DB!$1:$1,0)),FALSE)),"")</f>
        <v/>
      </c>
      <c r="PLT18" s="28" t="str">
        <f>IFERROR(IF(PMC3="No",IF(VLOOKUP(DATE($K$1,$K$2,PLT$4),Table1[],(MATCH(Calendar!$A18,DB!$1:$1,0)),FALSE)&gt;=5,"Good","Bad"),VLOOKUP(DATE($K$1,$K$2,PLT$4),Table1[],(MATCH(Calendar!$A18,DB!$1:$1,0)),FALSE)),"")</f>
        <v/>
      </c>
      <c r="PLU18" s="28" t="str">
        <f>IFERROR(IF(PMD3="No",IF(VLOOKUP(DATE($K$1,$K$2,PLU$4),Table1[],(MATCH(Calendar!$A18,DB!$1:$1,0)),FALSE)&gt;=5,"Good","Bad"),VLOOKUP(DATE($K$1,$K$2,PLU$4),Table1[],(MATCH(Calendar!$A18,DB!$1:$1,0)),FALSE)),"")</f>
        <v/>
      </c>
      <c r="PLV18" s="28" t="str">
        <f>IFERROR(IF(PME3="No",IF(VLOOKUP(DATE($K$1,$K$2,PLV$4),Table1[],(MATCH(Calendar!$A18,DB!$1:$1,0)),FALSE)&gt;=5,"Good","Bad"),VLOOKUP(DATE($K$1,$K$2,PLV$4),Table1[],(MATCH(Calendar!$A18,DB!$1:$1,0)),FALSE)),"")</f>
        <v/>
      </c>
      <c r="PLW18" s="28" t="str">
        <f>IFERROR(IF(PMF3="No",IF(VLOOKUP(DATE($K$1,$K$2,PLW$4),Table1[],(MATCH(Calendar!$A18,DB!$1:$1,0)),FALSE)&gt;=5,"Good","Bad"),VLOOKUP(DATE($K$1,$K$2,PLW$4),Table1[],(MATCH(Calendar!$A18,DB!$1:$1,0)),FALSE)),"")</f>
        <v/>
      </c>
      <c r="PLX18" s="28" t="str">
        <f>IFERROR(IF(PMG3="No",IF(VLOOKUP(DATE($K$1,$K$2,PLX$4),Table1[],(MATCH(Calendar!$A18,DB!$1:$1,0)),FALSE)&gt;=5,"Good","Bad"),VLOOKUP(DATE($K$1,$K$2,PLX$4),Table1[],(MATCH(Calendar!$A18,DB!$1:$1,0)),FALSE)),"")</f>
        <v/>
      </c>
      <c r="PLY18" s="28" t="str">
        <f>IFERROR(IF(PMH3="No",IF(VLOOKUP(DATE($K$1,$K$2,PLY$4),Table1[],(MATCH(Calendar!$A18,DB!$1:$1,0)),FALSE)&gt;=5,"Good","Bad"),VLOOKUP(DATE($K$1,$K$2,PLY$4),Table1[],(MATCH(Calendar!$A18,DB!$1:$1,0)),FALSE)),"")</f>
        <v/>
      </c>
      <c r="PLZ18" s="28" t="str">
        <f>IFERROR(IF(PMI3="No",IF(VLOOKUP(DATE($K$1,$K$2,PLZ$4),Table1[],(MATCH(Calendar!$A18,DB!$1:$1,0)),FALSE)&gt;=5,"Good","Bad"),VLOOKUP(DATE($K$1,$K$2,PLZ$4),Table1[],(MATCH(Calendar!$A18,DB!$1:$1,0)),FALSE)),"")</f>
        <v/>
      </c>
      <c r="PMA18" s="28" t="str">
        <f>IFERROR(IF(PMJ3="No",IF(VLOOKUP(DATE($K$1,$K$2,PMA$4),Table1[],(MATCH(Calendar!$A18,DB!$1:$1,0)),FALSE)&gt;=5,"Good","Bad"),VLOOKUP(DATE($K$1,$K$2,PMA$4),Table1[],(MATCH(Calendar!$A18,DB!$1:$1,0)),FALSE)),"")</f>
        <v/>
      </c>
      <c r="PMB18" s="28" t="str">
        <f>IFERROR(IF(PMK3="No",IF(VLOOKUP(DATE($K$1,$K$2,PMB$4),Table1[],(MATCH(Calendar!$A18,DB!$1:$1,0)),FALSE)&gt;=5,"Good","Bad"),VLOOKUP(DATE($K$1,$K$2,PMB$4),Table1[],(MATCH(Calendar!$A18,DB!$1:$1,0)),FALSE)),"")</f>
        <v/>
      </c>
      <c r="PMC18" s="28" t="str">
        <f>IFERROR(IF(PML3="No",IF(VLOOKUP(DATE($K$1,$K$2,PMC$4),Table1[],(MATCH(Calendar!$A18,DB!$1:$1,0)),FALSE)&gt;=5,"Good","Bad"),VLOOKUP(DATE($K$1,$K$2,PMC$4),Table1[],(MATCH(Calendar!$A18,DB!$1:$1,0)),FALSE)),"")</f>
        <v/>
      </c>
      <c r="PMD18" s="28" t="str">
        <f>IFERROR(IF(PMM3="No",IF(VLOOKUP(DATE($K$1,$K$2,PMD$4),Table1[],(MATCH(Calendar!$A18,DB!$1:$1,0)),FALSE)&gt;=5,"Good","Bad"),VLOOKUP(DATE($K$1,$K$2,PMD$4),Table1[],(MATCH(Calendar!$A18,DB!$1:$1,0)),FALSE)),"")</f>
        <v/>
      </c>
      <c r="PME18" s="28" t="str">
        <f>IFERROR(IF(PMN3="No",IF(VLOOKUP(DATE($K$1,$K$2,PME$4),Table1[],(MATCH(Calendar!$A18,DB!$1:$1,0)),FALSE)&gt;=5,"Good","Bad"),VLOOKUP(DATE($K$1,$K$2,PME$4),Table1[],(MATCH(Calendar!$A18,DB!$1:$1,0)),FALSE)),"")</f>
        <v/>
      </c>
      <c r="PMF18" s="28" t="str">
        <f>IFERROR(IF(PMO3="No",IF(VLOOKUP(DATE($K$1,$K$2,PMF$4),Table1[],(MATCH(Calendar!$A18,DB!$1:$1,0)),FALSE)&gt;=5,"Good","Bad"),VLOOKUP(DATE($K$1,$K$2,PMF$4),Table1[],(MATCH(Calendar!$A18,DB!$1:$1,0)),FALSE)),"")</f>
        <v/>
      </c>
      <c r="PMG18" s="28" t="str">
        <f>IFERROR(IF(PMP3="No",IF(VLOOKUP(DATE($K$1,$K$2,PMG$4),Table1[],(MATCH(Calendar!$A18,DB!$1:$1,0)),FALSE)&gt;=5,"Good","Bad"),VLOOKUP(DATE($K$1,$K$2,PMG$4),Table1[],(MATCH(Calendar!$A18,DB!$1:$1,0)),FALSE)),"")</f>
        <v/>
      </c>
      <c r="PMH18" s="28" t="str">
        <f>IFERROR(IF(PMQ3="No",IF(VLOOKUP(DATE($K$1,$K$2,PMH$4),Table1[],(MATCH(Calendar!$A18,DB!$1:$1,0)),FALSE)&gt;=5,"Good","Bad"),VLOOKUP(DATE($K$1,$K$2,PMH$4),Table1[],(MATCH(Calendar!$A18,DB!$1:$1,0)),FALSE)),"")</f>
        <v/>
      </c>
      <c r="PMI18" s="28" t="str">
        <f>IFERROR(IF(PMR3="No",IF(VLOOKUP(DATE($K$1,$K$2,PMI$4),Table1[],(MATCH(Calendar!$A18,DB!$1:$1,0)),FALSE)&gt;=5,"Good","Bad"),VLOOKUP(DATE($K$1,$K$2,PMI$4),Table1[],(MATCH(Calendar!$A18,DB!$1:$1,0)),FALSE)),"")</f>
        <v/>
      </c>
      <c r="PMJ18" s="28" t="str">
        <f>IFERROR(IF(PMS3="No",IF(VLOOKUP(DATE($K$1,$K$2,PMJ$4),Table1[],(MATCH(Calendar!$A18,DB!$1:$1,0)),FALSE)&gt;=5,"Good","Bad"),VLOOKUP(DATE($K$1,$K$2,PMJ$4),Table1[],(MATCH(Calendar!$A18,DB!$1:$1,0)),FALSE)),"")</f>
        <v/>
      </c>
      <c r="PMK18" s="28" t="str">
        <f>IFERROR(IF(PMT3="No",IF(VLOOKUP(DATE($K$1,$K$2,PMK$4),Table1[],(MATCH(Calendar!$A18,DB!$1:$1,0)),FALSE)&gt;=5,"Good","Bad"),VLOOKUP(DATE($K$1,$K$2,PMK$4),Table1[],(MATCH(Calendar!$A18,DB!$1:$1,0)),FALSE)),"")</f>
        <v/>
      </c>
      <c r="PML18" s="28" t="str">
        <f>IFERROR(IF(PMU3="No",IF(VLOOKUP(DATE($K$1,$K$2,PML$4),Table1[],(MATCH(Calendar!$A18,DB!$1:$1,0)),FALSE)&gt;=5,"Good","Bad"),VLOOKUP(DATE($K$1,$K$2,PML$4),Table1[],(MATCH(Calendar!$A18,DB!$1:$1,0)),FALSE)),"")</f>
        <v/>
      </c>
      <c r="PMM18" s="28" t="str">
        <f>IFERROR(IF(PMV3="No",IF(VLOOKUP(DATE($K$1,$K$2,PMM$4),Table1[],(MATCH(Calendar!$A18,DB!$1:$1,0)),FALSE)&gt;=5,"Good","Bad"),VLOOKUP(DATE($K$1,$K$2,PMM$4),Table1[],(MATCH(Calendar!$A18,DB!$1:$1,0)),FALSE)),"")</f>
        <v/>
      </c>
      <c r="PMN18" s="28" t="str">
        <f>IFERROR(IF(PMW3="No",IF(VLOOKUP(DATE($K$1,$K$2,PMN$4),Table1[],(MATCH(Calendar!$A18,DB!$1:$1,0)),FALSE)&gt;=5,"Good","Bad"),VLOOKUP(DATE($K$1,$K$2,PMN$4),Table1[],(MATCH(Calendar!$A18,DB!$1:$1,0)),FALSE)),"")</f>
        <v/>
      </c>
      <c r="PMO18" s="28" t="str">
        <f>IFERROR(IF(PMX3="No",IF(VLOOKUP(DATE($K$1,$K$2,PMO$4),Table1[],(MATCH(Calendar!$A18,DB!$1:$1,0)),FALSE)&gt;=5,"Good","Bad"),VLOOKUP(DATE($K$1,$K$2,PMO$4),Table1[],(MATCH(Calendar!$A18,DB!$1:$1,0)),FALSE)),"")</f>
        <v/>
      </c>
      <c r="PMP18" s="28" t="str">
        <f>IFERROR(IF(PMY3="No",IF(VLOOKUP(DATE($K$1,$K$2,PMP$4),Table1[],(MATCH(Calendar!$A18,DB!$1:$1,0)),FALSE)&gt;=5,"Good","Bad"),VLOOKUP(DATE($K$1,$K$2,PMP$4),Table1[],(MATCH(Calendar!$A18,DB!$1:$1,0)),FALSE)),"")</f>
        <v/>
      </c>
      <c r="PMQ18" s="28" t="str">
        <f>IFERROR(IF(PMZ3="No",IF(VLOOKUP(DATE($K$1,$K$2,PMQ$4),Table1[],(MATCH(Calendar!$A18,DB!$1:$1,0)),FALSE)&gt;=5,"Good","Bad"),VLOOKUP(DATE($K$1,$K$2,PMQ$4),Table1[],(MATCH(Calendar!$A18,DB!$1:$1,0)),FALSE)),"")</f>
        <v/>
      </c>
      <c r="PMR18" s="28" t="str">
        <f>IFERROR(IF(PNA3="No",IF(VLOOKUP(DATE($K$1,$K$2,PMR$4),Table1[],(MATCH(Calendar!$A18,DB!$1:$1,0)),FALSE)&gt;=5,"Good","Bad"),VLOOKUP(DATE($K$1,$K$2,PMR$4),Table1[],(MATCH(Calendar!$A18,DB!$1:$1,0)),FALSE)),"")</f>
        <v/>
      </c>
      <c r="PMS18" s="28" t="str">
        <f>IFERROR(IF(PNB3="No",IF(VLOOKUP(DATE($K$1,$K$2,PMS$4),Table1[],(MATCH(Calendar!$A18,DB!$1:$1,0)),FALSE)&gt;=5,"Good","Bad"),VLOOKUP(DATE($K$1,$K$2,PMS$4),Table1[],(MATCH(Calendar!$A18,DB!$1:$1,0)),FALSE)),"")</f>
        <v/>
      </c>
      <c r="PMT18" s="28" t="str">
        <f>IFERROR(IF(PNC3="No",IF(VLOOKUP(DATE($K$1,$K$2,PMT$4),Table1[],(MATCH(Calendar!$A18,DB!$1:$1,0)),FALSE)&gt;=5,"Good","Bad"),VLOOKUP(DATE($K$1,$K$2,PMT$4),Table1[],(MATCH(Calendar!$A18,DB!$1:$1,0)),FALSE)),"")</f>
        <v/>
      </c>
      <c r="PMU18" s="28" t="str">
        <f>IFERROR(IF(PND3="No",IF(VLOOKUP(DATE($K$1,$K$2,PMU$4),Table1[],(MATCH(Calendar!$A18,DB!$1:$1,0)),FALSE)&gt;=5,"Good","Bad"),VLOOKUP(DATE($K$1,$K$2,PMU$4),Table1[],(MATCH(Calendar!$A18,DB!$1:$1,0)),FALSE)),"")</f>
        <v/>
      </c>
      <c r="PMV18" s="28" t="str">
        <f>IFERROR(IF(PNE3="No",IF(VLOOKUP(DATE($K$1,$K$2,PMV$4),Table1[],(MATCH(Calendar!$A18,DB!$1:$1,0)),FALSE)&gt;=5,"Good","Bad"),VLOOKUP(DATE($K$1,$K$2,PMV$4),Table1[],(MATCH(Calendar!$A18,DB!$1:$1,0)),FALSE)),"")</f>
        <v/>
      </c>
      <c r="PMW18" s="28" t="str">
        <f>IFERROR(IF(PNF3="No",IF(VLOOKUP(DATE($K$1,$K$2,PMW$4),Table1[],(MATCH(Calendar!$A18,DB!$1:$1,0)),FALSE)&gt;=5,"Good","Bad"),VLOOKUP(DATE($K$1,$K$2,PMW$4),Table1[],(MATCH(Calendar!$A18,DB!$1:$1,0)),FALSE)),"")</f>
        <v/>
      </c>
      <c r="PMX18" s="28" t="str">
        <f>IFERROR(IF(PNG3="No",IF(VLOOKUP(DATE($K$1,$K$2,PMX$4),Table1[],(MATCH(Calendar!$A18,DB!$1:$1,0)),FALSE)&gt;=5,"Good","Bad"),VLOOKUP(DATE($K$1,$K$2,PMX$4),Table1[],(MATCH(Calendar!$A18,DB!$1:$1,0)),FALSE)),"")</f>
        <v/>
      </c>
      <c r="PMY18" s="28" t="str">
        <f>IFERROR(IF(PNH3="No",IF(VLOOKUP(DATE($K$1,$K$2,PMY$4),Table1[],(MATCH(Calendar!$A18,DB!$1:$1,0)),FALSE)&gt;=5,"Good","Bad"),VLOOKUP(DATE($K$1,$K$2,PMY$4),Table1[],(MATCH(Calendar!$A18,DB!$1:$1,0)),FALSE)),"")</f>
        <v/>
      </c>
      <c r="PMZ18" s="28" t="str">
        <f>IFERROR(IF(PNI3="No",IF(VLOOKUP(DATE($K$1,$K$2,PMZ$4),Table1[],(MATCH(Calendar!$A18,DB!$1:$1,0)),FALSE)&gt;=5,"Good","Bad"),VLOOKUP(DATE($K$1,$K$2,PMZ$4),Table1[],(MATCH(Calendar!$A18,DB!$1:$1,0)),FALSE)),"")</f>
        <v/>
      </c>
      <c r="PNA18" s="28" t="str">
        <f>IFERROR(IF(PNJ3="No",IF(VLOOKUP(DATE($K$1,$K$2,PNA$4),Table1[],(MATCH(Calendar!$A18,DB!$1:$1,0)),FALSE)&gt;=5,"Good","Bad"),VLOOKUP(DATE($K$1,$K$2,PNA$4),Table1[],(MATCH(Calendar!$A18,DB!$1:$1,0)),FALSE)),"")</f>
        <v/>
      </c>
      <c r="PNB18" s="28" t="str">
        <f>IFERROR(IF(PNK3="No",IF(VLOOKUP(DATE($K$1,$K$2,PNB$4),Table1[],(MATCH(Calendar!$A18,DB!$1:$1,0)),FALSE)&gt;=5,"Good","Bad"),VLOOKUP(DATE($K$1,$K$2,PNB$4),Table1[],(MATCH(Calendar!$A18,DB!$1:$1,0)),FALSE)),"")</f>
        <v/>
      </c>
      <c r="PNC18" s="28" t="str">
        <f>IFERROR(IF(PNL3="No",IF(VLOOKUP(DATE($K$1,$K$2,PNC$4),Table1[],(MATCH(Calendar!$A18,DB!$1:$1,0)),FALSE)&gt;=5,"Good","Bad"),VLOOKUP(DATE($K$1,$K$2,PNC$4),Table1[],(MATCH(Calendar!$A18,DB!$1:$1,0)),FALSE)),"")</f>
        <v/>
      </c>
      <c r="PND18" s="28" t="str">
        <f>IFERROR(IF(PNM3="No",IF(VLOOKUP(DATE($K$1,$K$2,PND$4),Table1[],(MATCH(Calendar!$A18,DB!$1:$1,0)),FALSE)&gt;=5,"Good","Bad"),VLOOKUP(DATE($K$1,$K$2,PND$4),Table1[],(MATCH(Calendar!$A18,DB!$1:$1,0)),FALSE)),"")</f>
        <v/>
      </c>
      <c r="PNE18" s="28" t="str">
        <f>IFERROR(IF(PNN3="No",IF(VLOOKUP(DATE($K$1,$K$2,PNE$4),Table1[],(MATCH(Calendar!$A18,DB!$1:$1,0)),FALSE)&gt;=5,"Good","Bad"),VLOOKUP(DATE($K$1,$K$2,PNE$4),Table1[],(MATCH(Calendar!$A18,DB!$1:$1,0)),FALSE)),"")</f>
        <v/>
      </c>
      <c r="PNF18" s="28" t="str">
        <f>IFERROR(IF(PNO3="No",IF(VLOOKUP(DATE($K$1,$K$2,PNF$4),Table1[],(MATCH(Calendar!$A18,DB!$1:$1,0)),FALSE)&gt;=5,"Good","Bad"),VLOOKUP(DATE($K$1,$K$2,PNF$4),Table1[],(MATCH(Calendar!$A18,DB!$1:$1,0)),FALSE)),"")</f>
        <v/>
      </c>
      <c r="PNG18" s="28" t="str">
        <f>IFERROR(IF(PNP3="No",IF(VLOOKUP(DATE($K$1,$K$2,PNG$4),Table1[],(MATCH(Calendar!$A18,DB!$1:$1,0)),FALSE)&gt;=5,"Good","Bad"),VLOOKUP(DATE($K$1,$K$2,PNG$4),Table1[],(MATCH(Calendar!$A18,DB!$1:$1,0)),FALSE)),"")</f>
        <v/>
      </c>
      <c r="PNH18" s="28" t="str">
        <f>IFERROR(IF(PNQ3="No",IF(VLOOKUP(DATE($K$1,$K$2,PNH$4),Table1[],(MATCH(Calendar!$A18,DB!$1:$1,0)),FALSE)&gt;=5,"Good","Bad"),VLOOKUP(DATE($K$1,$K$2,PNH$4),Table1[],(MATCH(Calendar!$A18,DB!$1:$1,0)),FALSE)),"")</f>
        <v/>
      </c>
      <c r="PNI18" s="28" t="str">
        <f>IFERROR(IF(PNR3="No",IF(VLOOKUP(DATE($K$1,$K$2,PNI$4),Table1[],(MATCH(Calendar!$A18,DB!$1:$1,0)),FALSE)&gt;=5,"Good","Bad"),VLOOKUP(DATE($K$1,$K$2,PNI$4),Table1[],(MATCH(Calendar!$A18,DB!$1:$1,0)),FALSE)),"")</f>
        <v/>
      </c>
      <c r="PNJ18" s="28" t="str">
        <f>IFERROR(IF(PNS3="No",IF(VLOOKUP(DATE($K$1,$K$2,PNJ$4),Table1[],(MATCH(Calendar!$A18,DB!$1:$1,0)),FALSE)&gt;=5,"Good","Bad"),VLOOKUP(DATE($K$1,$K$2,PNJ$4),Table1[],(MATCH(Calendar!$A18,DB!$1:$1,0)),FALSE)),"")</f>
        <v/>
      </c>
      <c r="PNK18" s="28" t="str">
        <f>IFERROR(IF(PNT3="No",IF(VLOOKUP(DATE($K$1,$K$2,PNK$4),Table1[],(MATCH(Calendar!$A18,DB!$1:$1,0)),FALSE)&gt;=5,"Good","Bad"),VLOOKUP(DATE($K$1,$K$2,PNK$4),Table1[],(MATCH(Calendar!$A18,DB!$1:$1,0)),FALSE)),"")</f>
        <v/>
      </c>
      <c r="PNL18" s="28" t="str">
        <f>IFERROR(IF(PNU3="No",IF(VLOOKUP(DATE($K$1,$K$2,PNL$4),Table1[],(MATCH(Calendar!$A18,DB!$1:$1,0)),FALSE)&gt;=5,"Good","Bad"),VLOOKUP(DATE($K$1,$K$2,PNL$4),Table1[],(MATCH(Calendar!$A18,DB!$1:$1,0)),FALSE)),"")</f>
        <v/>
      </c>
      <c r="PNM18" s="28" t="str">
        <f>IFERROR(IF(PNV3="No",IF(VLOOKUP(DATE($K$1,$K$2,PNM$4),Table1[],(MATCH(Calendar!$A18,DB!$1:$1,0)),FALSE)&gt;=5,"Good","Bad"),VLOOKUP(DATE($K$1,$K$2,PNM$4),Table1[],(MATCH(Calendar!$A18,DB!$1:$1,0)),FALSE)),"")</f>
        <v/>
      </c>
      <c r="PNN18" s="28" t="str">
        <f>IFERROR(IF(PNW3="No",IF(VLOOKUP(DATE($K$1,$K$2,PNN$4),Table1[],(MATCH(Calendar!$A18,DB!$1:$1,0)),FALSE)&gt;=5,"Good","Bad"),VLOOKUP(DATE($K$1,$K$2,PNN$4),Table1[],(MATCH(Calendar!$A18,DB!$1:$1,0)),FALSE)),"")</f>
        <v/>
      </c>
      <c r="PNO18" s="28" t="str">
        <f>IFERROR(IF(PNX3="No",IF(VLOOKUP(DATE($K$1,$K$2,PNO$4),Table1[],(MATCH(Calendar!$A18,DB!$1:$1,0)),FALSE)&gt;=5,"Good","Bad"),VLOOKUP(DATE($K$1,$K$2,PNO$4),Table1[],(MATCH(Calendar!$A18,DB!$1:$1,0)),FALSE)),"")</f>
        <v/>
      </c>
      <c r="PNP18" s="28" t="str">
        <f>IFERROR(IF(PNY3="No",IF(VLOOKUP(DATE($K$1,$K$2,PNP$4),Table1[],(MATCH(Calendar!$A18,DB!$1:$1,0)),FALSE)&gt;=5,"Good","Bad"),VLOOKUP(DATE($K$1,$K$2,PNP$4),Table1[],(MATCH(Calendar!$A18,DB!$1:$1,0)),FALSE)),"")</f>
        <v/>
      </c>
      <c r="PNQ18" s="28" t="str">
        <f>IFERROR(IF(PNZ3="No",IF(VLOOKUP(DATE($K$1,$K$2,PNQ$4),Table1[],(MATCH(Calendar!$A18,DB!$1:$1,0)),FALSE)&gt;=5,"Good","Bad"),VLOOKUP(DATE($K$1,$K$2,PNQ$4),Table1[],(MATCH(Calendar!$A18,DB!$1:$1,0)),FALSE)),"")</f>
        <v/>
      </c>
      <c r="PNR18" s="28" t="str">
        <f>IFERROR(IF(POA3="No",IF(VLOOKUP(DATE($K$1,$K$2,PNR$4),Table1[],(MATCH(Calendar!$A18,DB!$1:$1,0)),FALSE)&gt;=5,"Good","Bad"),VLOOKUP(DATE($K$1,$K$2,PNR$4),Table1[],(MATCH(Calendar!$A18,DB!$1:$1,0)),FALSE)),"")</f>
        <v/>
      </c>
      <c r="PNS18" s="28" t="str">
        <f>IFERROR(IF(POB3="No",IF(VLOOKUP(DATE($K$1,$K$2,PNS$4),Table1[],(MATCH(Calendar!$A18,DB!$1:$1,0)),FALSE)&gt;=5,"Good","Bad"),VLOOKUP(DATE($K$1,$K$2,PNS$4),Table1[],(MATCH(Calendar!$A18,DB!$1:$1,0)),FALSE)),"")</f>
        <v/>
      </c>
      <c r="PNT18" s="28" t="str">
        <f>IFERROR(IF(POC3="No",IF(VLOOKUP(DATE($K$1,$K$2,PNT$4),Table1[],(MATCH(Calendar!$A18,DB!$1:$1,0)),FALSE)&gt;=5,"Good","Bad"),VLOOKUP(DATE($K$1,$K$2,PNT$4),Table1[],(MATCH(Calendar!$A18,DB!$1:$1,0)),FALSE)),"")</f>
        <v/>
      </c>
      <c r="PNU18" s="28" t="str">
        <f>IFERROR(IF(POD3="No",IF(VLOOKUP(DATE($K$1,$K$2,PNU$4),Table1[],(MATCH(Calendar!$A18,DB!$1:$1,0)),FALSE)&gt;=5,"Good","Bad"),VLOOKUP(DATE($K$1,$K$2,PNU$4),Table1[],(MATCH(Calendar!$A18,DB!$1:$1,0)),FALSE)),"")</f>
        <v/>
      </c>
      <c r="PNV18" s="28" t="str">
        <f>IFERROR(IF(POE3="No",IF(VLOOKUP(DATE($K$1,$K$2,PNV$4),Table1[],(MATCH(Calendar!$A18,DB!$1:$1,0)),FALSE)&gt;=5,"Good","Bad"),VLOOKUP(DATE($K$1,$K$2,PNV$4),Table1[],(MATCH(Calendar!$A18,DB!$1:$1,0)),FALSE)),"")</f>
        <v/>
      </c>
      <c r="PNW18" s="28" t="str">
        <f>IFERROR(IF(POF3="No",IF(VLOOKUP(DATE($K$1,$K$2,PNW$4),Table1[],(MATCH(Calendar!$A18,DB!$1:$1,0)),FALSE)&gt;=5,"Good","Bad"),VLOOKUP(DATE($K$1,$K$2,PNW$4),Table1[],(MATCH(Calendar!$A18,DB!$1:$1,0)),FALSE)),"")</f>
        <v/>
      </c>
      <c r="PNX18" s="28" t="str">
        <f>IFERROR(IF(POG3="No",IF(VLOOKUP(DATE($K$1,$K$2,PNX$4),Table1[],(MATCH(Calendar!$A18,DB!$1:$1,0)),FALSE)&gt;=5,"Good","Bad"),VLOOKUP(DATE($K$1,$K$2,PNX$4),Table1[],(MATCH(Calendar!$A18,DB!$1:$1,0)),FALSE)),"")</f>
        <v/>
      </c>
      <c r="PNY18" s="28" t="str">
        <f>IFERROR(IF(POH3="No",IF(VLOOKUP(DATE($K$1,$K$2,PNY$4),Table1[],(MATCH(Calendar!$A18,DB!$1:$1,0)),FALSE)&gt;=5,"Good","Bad"),VLOOKUP(DATE($K$1,$K$2,PNY$4),Table1[],(MATCH(Calendar!$A18,DB!$1:$1,0)),FALSE)),"")</f>
        <v/>
      </c>
      <c r="PNZ18" s="28" t="str">
        <f>IFERROR(IF(POI3="No",IF(VLOOKUP(DATE($K$1,$K$2,PNZ$4),Table1[],(MATCH(Calendar!$A18,DB!$1:$1,0)),FALSE)&gt;=5,"Good","Bad"),VLOOKUP(DATE($K$1,$K$2,PNZ$4),Table1[],(MATCH(Calendar!$A18,DB!$1:$1,0)),FALSE)),"")</f>
        <v/>
      </c>
      <c r="POA18" s="28" t="str">
        <f>IFERROR(IF(POJ3="No",IF(VLOOKUP(DATE($K$1,$K$2,POA$4),Table1[],(MATCH(Calendar!$A18,DB!$1:$1,0)),FALSE)&gt;=5,"Good","Bad"),VLOOKUP(DATE($K$1,$K$2,POA$4),Table1[],(MATCH(Calendar!$A18,DB!$1:$1,0)),FALSE)),"")</f>
        <v/>
      </c>
      <c r="POB18" s="28" t="str">
        <f>IFERROR(IF(POK3="No",IF(VLOOKUP(DATE($K$1,$K$2,POB$4),Table1[],(MATCH(Calendar!$A18,DB!$1:$1,0)),FALSE)&gt;=5,"Good","Bad"),VLOOKUP(DATE($K$1,$K$2,POB$4),Table1[],(MATCH(Calendar!$A18,DB!$1:$1,0)),FALSE)),"")</f>
        <v/>
      </c>
      <c r="POC18" s="28" t="str">
        <f>IFERROR(IF(POL3="No",IF(VLOOKUP(DATE($K$1,$K$2,POC$4),Table1[],(MATCH(Calendar!$A18,DB!$1:$1,0)),FALSE)&gt;=5,"Good","Bad"),VLOOKUP(DATE($K$1,$K$2,POC$4),Table1[],(MATCH(Calendar!$A18,DB!$1:$1,0)),FALSE)),"")</f>
        <v/>
      </c>
      <c r="POD18" s="28" t="str">
        <f>IFERROR(IF(POM3="No",IF(VLOOKUP(DATE($K$1,$K$2,POD$4),Table1[],(MATCH(Calendar!$A18,DB!$1:$1,0)),FALSE)&gt;=5,"Good","Bad"),VLOOKUP(DATE($K$1,$K$2,POD$4),Table1[],(MATCH(Calendar!$A18,DB!$1:$1,0)),FALSE)),"")</f>
        <v/>
      </c>
      <c r="POE18" s="28" t="str">
        <f>IFERROR(IF(PON3="No",IF(VLOOKUP(DATE($K$1,$K$2,POE$4),Table1[],(MATCH(Calendar!$A18,DB!$1:$1,0)),FALSE)&gt;=5,"Good","Bad"),VLOOKUP(DATE($K$1,$K$2,POE$4),Table1[],(MATCH(Calendar!$A18,DB!$1:$1,0)),FALSE)),"")</f>
        <v/>
      </c>
      <c r="POF18" s="28" t="str">
        <f>IFERROR(IF(POO3="No",IF(VLOOKUP(DATE($K$1,$K$2,POF$4),Table1[],(MATCH(Calendar!$A18,DB!$1:$1,0)),FALSE)&gt;=5,"Good","Bad"),VLOOKUP(DATE($K$1,$K$2,POF$4),Table1[],(MATCH(Calendar!$A18,DB!$1:$1,0)),FALSE)),"")</f>
        <v/>
      </c>
      <c r="POG18" s="28" t="str">
        <f>IFERROR(IF(POP3="No",IF(VLOOKUP(DATE($K$1,$K$2,POG$4),Table1[],(MATCH(Calendar!$A18,DB!$1:$1,0)),FALSE)&gt;=5,"Good","Bad"),VLOOKUP(DATE($K$1,$K$2,POG$4),Table1[],(MATCH(Calendar!$A18,DB!$1:$1,0)),FALSE)),"")</f>
        <v/>
      </c>
      <c r="POH18" s="28" t="str">
        <f>IFERROR(IF(POQ3="No",IF(VLOOKUP(DATE($K$1,$K$2,POH$4),Table1[],(MATCH(Calendar!$A18,DB!$1:$1,0)),FALSE)&gt;=5,"Good","Bad"),VLOOKUP(DATE($K$1,$K$2,POH$4),Table1[],(MATCH(Calendar!$A18,DB!$1:$1,0)),FALSE)),"")</f>
        <v/>
      </c>
      <c r="POI18" s="28" t="str">
        <f>IFERROR(IF(POR3="No",IF(VLOOKUP(DATE($K$1,$K$2,POI$4),Table1[],(MATCH(Calendar!$A18,DB!$1:$1,0)),FALSE)&gt;=5,"Good","Bad"),VLOOKUP(DATE($K$1,$K$2,POI$4),Table1[],(MATCH(Calendar!$A18,DB!$1:$1,0)),FALSE)),"")</f>
        <v/>
      </c>
      <c r="POJ18" s="28" t="str">
        <f>IFERROR(IF(POS3="No",IF(VLOOKUP(DATE($K$1,$K$2,POJ$4),Table1[],(MATCH(Calendar!$A18,DB!$1:$1,0)),FALSE)&gt;=5,"Good","Bad"),VLOOKUP(DATE($K$1,$K$2,POJ$4),Table1[],(MATCH(Calendar!$A18,DB!$1:$1,0)),FALSE)),"")</f>
        <v/>
      </c>
      <c r="POK18" s="28" t="str">
        <f>IFERROR(IF(POT3="No",IF(VLOOKUP(DATE($K$1,$K$2,POK$4),Table1[],(MATCH(Calendar!$A18,DB!$1:$1,0)),FALSE)&gt;=5,"Good","Bad"),VLOOKUP(DATE($K$1,$K$2,POK$4),Table1[],(MATCH(Calendar!$A18,DB!$1:$1,0)),FALSE)),"")</f>
        <v/>
      </c>
      <c r="POL18" s="28" t="str">
        <f>IFERROR(IF(POU3="No",IF(VLOOKUP(DATE($K$1,$K$2,POL$4),Table1[],(MATCH(Calendar!$A18,DB!$1:$1,0)),FALSE)&gt;=5,"Good","Bad"),VLOOKUP(DATE($K$1,$K$2,POL$4),Table1[],(MATCH(Calendar!$A18,DB!$1:$1,0)),FALSE)),"")</f>
        <v/>
      </c>
      <c r="POM18" s="28" t="str">
        <f>IFERROR(IF(POV3="No",IF(VLOOKUP(DATE($K$1,$K$2,POM$4),Table1[],(MATCH(Calendar!$A18,DB!$1:$1,0)),FALSE)&gt;=5,"Good","Bad"),VLOOKUP(DATE($K$1,$K$2,POM$4),Table1[],(MATCH(Calendar!$A18,DB!$1:$1,0)),FALSE)),"")</f>
        <v/>
      </c>
      <c r="PON18" s="28" t="str">
        <f>IFERROR(IF(POW3="No",IF(VLOOKUP(DATE($K$1,$K$2,PON$4),Table1[],(MATCH(Calendar!$A18,DB!$1:$1,0)),FALSE)&gt;=5,"Good","Bad"),VLOOKUP(DATE($K$1,$K$2,PON$4),Table1[],(MATCH(Calendar!$A18,DB!$1:$1,0)),FALSE)),"")</f>
        <v/>
      </c>
      <c r="POO18" s="28" t="str">
        <f>IFERROR(IF(POX3="No",IF(VLOOKUP(DATE($K$1,$K$2,POO$4),Table1[],(MATCH(Calendar!$A18,DB!$1:$1,0)),FALSE)&gt;=5,"Good","Bad"),VLOOKUP(DATE($K$1,$K$2,POO$4),Table1[],(MATCH(Calendar!$A18,DB!$1:$1,0)),FALSE)),"")</f>
        <v/>
      </c>
      <c r="POP18" s="28" t="str">
        <f>IFERROR(IF(POY3="No",IF(VLOOKUP(DATE($K$1,$K$2,POP$4),Table1[],(MATCH(Calendar!$A18,DB!$1:$1,0)),FALSE)&gt;=5,"Good","Bad"),VLOOKUP(DATE($K$1,$K$2,POP$4),Table1[],(MATCH(Calendar!$A18,DB!$1:$1,0)),FALSE)),"")</f>
        <v/>
      </c>
      <c r="POQ18" s="28" t="str">
        <f>IFERROR(IF(POZ3="No",IF(VLOOKUP(DATE($K$1,$K$2,POQ$4),Table1[],(MATCH(Calendar!$A18,DB!$1:$1,0)),FALSE)&gt;=5,"Good","Bad"),VLOOKUP(DATE($K$1,$K$2,POQ$4),Table1[],(MATCH(Calendar!$A18,DB!$1:$1,0)),FALSE)),"")</f>
        <v/>
      </c>
      <c r="POR18" s="28" t="str">
        <f>IFERROR(IF(PPA3="No",IF(VLOOKUP(DATE($K$1,$K$2,POR$4),Table1[],(MATCH(Calendar!$A18,DB!$1:$1,0)),FALSE)&gt;=5,"Good","Bad"),VLOOKUP(DATE($K$1,$K$2,POR$4),Table1[],(MATCH(Calendar!$A18,DB!$1:$1,0)),FALSE)),"")</f>
        <v/>
      </c>
      <c r="POS18" s="28" t="str">
        <f>IFERROR(IF(PPB3="No",IF(VLOOKUP(DATE($K$1,$K$2,POS$4),Table1[],(MATCH(Calendar!$A18,DB!$1:$1,0)),FALSE)&gt;=5,"Good","Bad"),VLOOKUP(DATE($K$1,$K$2,POS$4),Table1[],(MATCH(Calendar!$A18,DB!$1:$1,0)),FALSE)),"")</f>
        <v/>
      </c>
      <c r="POT18" s="28" t="str">
        <f>IFERROR(IF(PPC3="No",IF(VLOOKUP(DATE($K$1,$K$2,POT$4),Table1[],(MATCH(Calendar!$A18,DB!$1:$1,0)),FALSE)&gt;=5,"Good","Bad"),VLOOKUP(DATE($K$1,$K$2,POT$4),Table1[],(MATCH(Calendar!$A18,DB!$1:$1,0)),FALSE)),"")</f>
        <v/>
      </c>
      <c r="POU18" s="28" t="str">
        <f>IFERROR(IF(PPD3="No",IF(VLOOKUP(DATE($K$1,$K$2,POU$4),Table1[],(MATCH(Calendar!$A18,DB!$1:$1,0)),FALSE)&gt;=5,"Good","Bad"),VLOOKUP(DATE($K$1,$K$2,POU$4),Table1[],(MATCH(Calendar!$A18,DB!$1:$1,0)),FALSE)),"")</f>
        <v/>
      </c>
      <c r="POV18" s="28" t="str">
        <f>IFERROR(IF(PPE3="No",IF(VLOOKUP(DATE($K$1,$K$2,POV$4),Table1[],(MATCH(Calendar!$A18,DB!$1:$1,0)),FALSE)&gt;=5,"Good","Bad"),VLOOKUP(DATE($K$1,$K$2,POV$4),Table1[],(MATCH(Calendar!$A18,DB!$1:$1,0)),FALSE)),"")</f>
        <v/>
      </c>
      <c r="POW18" s="28" t="str">
        <f>IFERROR(IF(PPF3="No",IF(VLOOKUP(DATE($K$1,$K$2,POW$4),Table1[],(MATCH(Calendar!$A18,DB!$1:$1,0)),FALSE)&gt;=5,"Good","Bad"),VLOOKUP(DATE($K$1,$K$2,POW$4),Table1[],(MATCH(Calendar!$A18,DB!$1:$1,0)),FALSE)),"")</f>
        <v/>
      </c>
      <c r="POX18" s="28" t="str">
        <f>IFERROR(IF(PPG3="No",IF(VLOOKUP(DATE($K$1,$K$2,POX$4),Table1[],(MATCH(Calendar!$A18,DB!$1:$1,0)),FALSE)&gt;=5,"Good","Bad"),VLOOKUP(DATE($K$1,$K$2,POX$4),Table1[],(MATCH(Calendar!$A18,DB!$1:$1,0)),FALSE)),"")</f>
        <v/>
      </c>
      <c r="POY18" s="28" t="str">
        <f>IFERROR(IF(PPH3="No",IF(VLOOKUP(DATE($K$1,$K$2,POY$4),Table1[],(MATCH(Calendar!$A18,DB!$1:$1,0)),FALSE)&gt;=5,"Good","Bad"),VLOOKUP(DATE($K$1,$K$2,POY$4),Table1[],(MATCH(Calendar!$A18,DB!$1:$1,0)),FALSE)),"")</f>
        <v/>
      </c>
      <c r="POZ18" s="28" t="str">
        <f>IFERROR(IF(PPI3="No",IF(VLOOKUP(DATE($K$1,$K$2,POZ$4),Table1[],(MATCH(Calendar!$A18,DB!$1:$1,0)),FALSE)&gt;=5,"Good","Bad"),VLOOKUP(DATE($K$1,$K$2,POZ$4),Table1[],(MATCH(Calendar!$A18,DB!$1:$1,0)),FALSE)),"")</f>
        <v/>
      </c>
      <c r="PPA18" s="28" t="str">
        <f>IFERROR(IF(PPJ3="No",IF(VLOOKUP(DATE($K$1,$K$2,PPA$4),Table1[],(MATCH(Calendar!$A18,DB!$1:$1,0)),FALSE)&gt;=5,"Good","Bad"),VLOOKUP(DATE($K$1,$K$2,PPA$4),Table1[],(MATCH(Calendar!$A18,DB!$1:$1,0)),FALSE)),"")</f>
        <v/>
      </c>
      <c r="PPB18" s="28" t="str">
        <f>IFERROR(IF(PPK3="No",IF(VLOOKUP(DATE($K$1,$K$2,PPB$4),Table1[],(MATCH(Calendar!$A18,DB!$1:$1,0)),FALSE)&gt;=5,"Good","Bad"),VLOOKUP(DATE($K$1,$K$2,PPB$4),Table1[],(MATCH(Calendar!$A18,DB!$1:$1,0)),FALSE)),"")</f>
        <v/>
      </c>
      <c r="PPC18" s="28" t="str">
        <f>IFERROR(IF(PPL3="No",IF(VLOOKUP(DATE($K$1,$K$2,PPC$4),Table1[],(MATCH(Calendar!$A18,DB!$1:$1,0)),FALSE)&gt;=5,"Good","Bad"),VLOOKUP(DATE($K$1,$K$2,PPC$4),Table1[],(MATCH(Calendar!$A18,DB!$1:$1,0)),FALSE)),"")</f>
        <v/>
      </c>
      <c r="PPD18" s="28" t="str">
        <f>IFERROR(IF(PPM3="No",IF(VLOOKUP(DATE($K$1,$K$2,PPD$4),Table1[],(MATCH(Calendar!$A18,DB!$1:$1,0)),FALSE)&gt;=5,"Good","Bad"),VLOOKUP(DATE($K$1,$K$2,PPD$4),Table1[],(MATCH(Calendar!$A18,DB!$1:$1,0)),FALSE)),"")</f>
        <v/>
      </c>
      <c r="PPE18" s="28" t="str">
        <f>IFERROR(IF(PPN3="No",IF(VLOOKUP(DATE($K$1,$K$2,PPE$4),Table1[],(MATCH(Calendar!$A18,DB!$1:$1,0)),FALSE)&gt;=5,"Good","Bad"),VLOOKUP(DATE($K$1,$K$2,PPE$4),Table1[],(MATCH(Calendar!$A18,DB!$1:$1,0)),FALSE)),"")</f>
        <v/>
      </c>
      <c r="PPF18" s="28" t="str">
        <f>IFERROR(IF(PPO3="No",IF(VLOOKUP(DATE($K$1,$K$2,PPF$4),Table1[],(MATCH(Calendar!$A18,DB!$1:$1,0)),FALSE)&gt;=5,"Good","Bad"),VLOOKUP(DATE($K$1,$K$2,PPF$4),Table1[],(MATCH(Calendar!$A18,DB!$1:$1,0)),FALSE)),"")</f>
        <v/>
      </c>
      <c r="PPG18" s="28" t="str">
        <f>IFERROR(IF(PPP3="No",IF(VLOOKUP(DATE($K$1,$K$2,PPG$4),Table1[],(MATCH(Calendar!$A18,DB!$1:$1,0)),FALSE)&gt;=5,"Good","Bad"),VLOOKUP(DATE($K$1,$K$2,PPG$4),Table1[],(MATCH(Calendar!$A18,DB!$1:$1,0)),FALSE)),"")</f>
        <v/>
      </c>
      <c r="PPH18" s="28" t="str">
        <f>IFERROR(IF(PPQ3="No",IF(VLOOKUP(DATE($K$1,$K$2,PPH$4),Table1[],(MATCH(Calendar!$A18,DB!$1:$1,0)),FALSE)&gt;=5,"Good","Bad"),VLOOKUP(DATE($K$1,$K$2,PPH$4),Table1[],(MATCH(Calendar!$A18,DB!$1:$1,0)),FALSE)),"")</f>
        <v/>
      </c>
      <c r="PPI18" s="28" t="str">
        <f>IFERROR(IF(PPR3="No",IF(VLOOKUP(DATE($K$1,$K$2,PPI$4),Table1[],(MATCH(Calendar!$A18,DB!$1:$1,0)),FALSE)&gt;=5,"Good","Bad"),VLOOKUP(DATE($K$1,$K$2,PPI$4),Table1[],(MATCH(Calendar!$A18,DB!$1:$1,0)),FALSE)),"")</f>
        <v/>
      </c>
      <c r="PPJ18" s="28" t="str">
        <f>IFERROR(IF(PPS3="No",IF(VLOOKUP(DATE($K$1,$K$2,PPJ$4),Table1[],(MATCH(Calendar!$A18,DB!$1:$1,0)),FALSE)&gt;=5,"Good","Bad"),VLOOKUP(DATE($K$1,$K$2,PPJ$4),Table1[],(MATCH(Calendar!$A18,DB!$1:$1,0)),FALSE)),"")</f>
        <v/>
      </c>
      <c r="PPK18" s="28" t="str">
        <f>IFERROR(IF(PPT3="No",IF(VLOOKUP(DATE($K$1,$K$2,PPK$4),Table1[],(MATCH(Calendar!$A18,DB!$1:$1,0)),FALSE)&gt;=5,"Good","Bad"),VLOOKUP(DATE($K$1,$K$2,PPK$4),Table1[],(MATCH(Calendar!$A18,DB!$1:$1,0)),FALSE)),"")</f>
        <v/>
      </c>
      <c r="PPL18" s="28" t="str">
        <f>IFERROR(IF(PPU3="No",IF(VLOOKUP(DATE($K$1,$K$2,PPL$4),Table1[],(MATCH(Calendar!$A18,DB!$1:$1,0)),FALSE)&gt;=5,"Good","Bad"),VLOOKUP(DATE($K$1,$K$2,PPL$4),Table1[],(MATCH(Calendar!$A18,DB!$1:$1,0)),FALSE)),"")</f>
        <v/>
      </c>
      <c r="PPM18" s="28" t="str">
        <f>IFERROR(IF(PPV3="No",IF(VLOOKUP(DATE($K$1,$K$2,PPM$4),Table1[],(MATCH(Calendar!$A18,DB!$1:$1,0)),FALSE)&gt;=5,"Good","Bad"),VLOOKUP(DATE($K$1,$K$2,PPM$4),Table1[],(MATCH(Calendar!$A18,DB!$1:$1,0)),FALSE)),"")</f>
        <v/>
      </c>
      <c r="PPN18" s="28" t="str">
        <f>IFERROR(IF(PPW3="No",IF(VLOOKUP(DATE($K$1,$K$2,PPN$4),Table1[],(MATCH(Calendar!$A18,DB!$1:$1,0)),FALSE)&gt;=5,"Good","Bad"),VLOOKUP(DATE($K$1,$K$2,PPN$4),Table1[],(MATCH(Calendar!$A18,DB!$1:$1,0)),FALSE)),"")</f>
        <v/>
      </c>
      <c r="PPO18" s="28" t="str">
        <f>IFERROR(IF(PPX3="No",IF(VLOOKUP(DATE($K$1,$K$2,PPO$4),Table1[],(MATCH(Calendar!$A18,DB!$1:$1,0)),FALSE)&gt;=5,"Good","Bad"),VLOOKUP(DATE($K$1,$K$2,PPO$4),Table1[],(MATCH(Calendar!$A18,DB!$1:$1,0)),FALSE)),"")</f>
        <v/>
      </c>
      <c r="PPP18" s="28" t="str">
        <f>IFERROR(IF(PPY3="No",IF(VLOOKUP(DATE($K$1,$K$2,PPP$4),Table1[],(MATCH(Calendar!$A18,DB!$1:$1,0)),FALSE)&gt;=5,"Good","Bad"),VLOOKUP(DATE($K$1,$K$2,PPP$4),Table1[],(MATCH(Calendar!$A18,DB!$1:$1,0)),FALSE)),"")</f>
        <v/>
      </c>
      <c r="PPQ18" s="28" t="str">
        <f>IFERROR(IF(PPZ3="No",IF(VLOOKUP(DATE($K$1,$K$2,PPQ$4),Table1[],(MATCH(Calendar!$A18,DB!$1:$1,0)),FALSE)&gt;=5,"Good","Bad"),VLOOKUP(DATE($K$1,$K$2,PPQ$4),Table1[],(MATCH(Calendar!$A18,DB!$1:$1,0)),FALSE)),"")</f>
        <v/>
      </c>
      <c r="PPR18" s="28" t="str">
        <f>IFERROR(IF(PQA3="No",IF(VLOOKUP(DATE($K$1,$K$2,PPR$4),Table1[],(MATCH(Calendar!$A18,DB!$1:$1,0)),FALSE)&gt;=5,"Good","Bad"),VLOOKUP(DATE($K$1,$K$2,PPR$4),Table1[],(MATCH(Calendar!$A18,DB!$1:$1,0)),FALSE)),"")</f>
        <v/>
      </c>
      <c r="PPS18" s="28" t="str">
        <f>IFERROR(IF(PQB3="No",IF(VLOOKUP(DATE($K$1,$K$2,PPS$4),Table1[],(MATCH(Calendar!$A18,DB!$1:$1,0)),FALSE)&gt;=5,"Good","Bad"),VLOOKUP(DATE($K$1,$K$2,PPS$4),Table1[],(MATCH(Calendar!$A18,DB!$1:$1,0)),FALSE)),"")</f>
        <v/>
      </c>
      <c r="PPT18" s="28" t="str">
        <f>IFERROR(IF(PQC3="No",IF(VLOOKUP(DATE($K$1,$K$2,PPT$4),Table1[],(MATCH(Calendar!$A18,DB!$1:$1,0)),FALSE)&gt;=5,"Good","Bad"),VLOOKUP(DATE($K$1,$K$2,PPT$4),Table1[],(MATCH(Calendar!$A18,DB!$1:$1,0)),FALSE)),"")</f>
        <v/>
      </c>
      <c r="PPU18" s="28" t="str">
        <f>IFERROR(IF(PQD3="No",IF(VLOOKUP(DATE($K$1,$K$2,PPU$4),Table1[],(MATCH(Calendar!$A18,DB!$1:$1,0)),FALSE)&gt;=5,"Good","Bad"),VLOOKUP(DATE($K$1,$K$2,PPU$4),Table1[],(MATCH(Calendar!$A18,DB!$1:$1,0)),FALSE)),"")</f>
        <v/>
      </c>
      <c r="PPV18" s="28" t="str">
        <f>IFERROR(IF(PQE3="No",IF(VLOOKUP(DATE($K$1,$K$2,PPV$4),Table1[],(MATCH(Calendar!$A18,DB!$1:$1,0)),FALSE)&gt;=5,"Good","Bad"),VLOOKUP(DATE($K$1,$K$2,PPV$4),Table1[],(MATCH(Calendar!$A18,DB!$1:$1,0)),FALSE)),"")</f>
        <v/>
      </c>
      <c r="PPW18" s="28" t="str">
        <f>IFERROR(IF(PQF3="No",IF(VLOOKUP(DATE($K$1,$K$2,PPW$4),Table1[],(MATCH(Calendar!$A18,DB!$1:$1,0)),FALSE)&gt;=5,"Good","Bad"),VLOOKUP(DATE($K$1,$K$2,PPW$4),Table1[],(MATCH(Calendar!$A18,DB!$1:$1,0)),FALSE)),"")</f>
        <v/>
      </c>
      <c r="PPX18" s="28" t="str">
        <f>IFERROR(IF(PQG3="No",IF(VLOOKUP(DATE($K$1,$K$2,PPX$4),Table1[],(MATCH(Calendar!$A18,DB!$1:$1,0)),FALSE)&gt;=5,"Good","Bad"),VLOOKUP(DATE($K$1,$K$2,PPX$4),Table1[],(MATCH(Calendar!$A18,DB!$1:$1,0)),FALSE)),"")</f>
        <v/>
      </c>
      <c r="PPY18" s="28" t="str">
        <f>IFERROR(IF(PQH3="No",IF(VLOOKUP(DATE($K$1,$K$2,PPY$4),Table1[],(MATCH(Calendar!$A18,DB!$1:$1,0)),FALSE)&gt;=5,"Good","Bad"),VLOOKUP(DATE($K$1,$K$2,PPY$4),Table1[],(MATCH(Calendar!$A18,DB!$1:$1,0)),FALSE)),"")</f>
        <v/>
      </c>
      <c r="PPZ18" s="28" t="str">
        <f>IFERROR(IF(PQI3="No",IF(VLOOKUP(DATE($K$1,$K$2,PPZ$4),Table1[],(MATCH(Calendar!$A18,DB!$1:$1,0)),FALSE)&gt;=5,"Good","Bad"),VLOOKUP(DATE($K$1,$K$2,PPZ$4),Table1[],(MATCH(Calendar!$A18,DB!$1:$1,0)),FALSE)),"")</f>
        <v/>
      </c>
      <c r="PQA18" s="28" t="str">
        <f>IFERROR(IF(PQJ3="No",IF(VLOOKUP(DATE($K$1,$K$2,PQA$4),Table1[],(MATCH(Calendar!$A18,DB!$1:$1,0)),FALSE)&gt;=5,"Good","Bad"),VLOOKUP(DATE($K$1,$K$2,PQA$4),Table1[],(MATCH(Calendar!$A18,DB!$1:$1,0)),FALSE)),"")</f>
        <v/>
      </c>
      <c r="PQB18" s="28" t="str">
        <f>IFERROR(IF(PQK3="No",IF(VLOOKUP(DATE($K$1,$K$2,PQB$4),Table1[],(MATCH(Calendar!$A18,DB!$1:$1,0)),FALSE)&gt;=5,"Good","Bad"),VLOOKUP(DATE($K$1,$K$2,PQB$4),Table1[],(MATCH(Calendar!$A18,DB!$1:$1,0)),FALSE)),"")</f>
        <v/>
      </c>
      <c r="PQC18" s="28" t="str">
        <f>IFERROR(IF(PQL3="No",IF(VLOOKUP(DATE($K$1,$K$2,PQC$4),Table1[],(MATCH(Calendar!$A18,DB!$1:$1,0)),FALSE)&gt;=5,"Good","Bad"),VLOOKUP(DATE($K$1,$K$2,PQC$4),Table1[],(MATCH(Calendar!$A18,DB!$1:$1,0)),FALSE)),"")</f>
        <v/>
      </c>
      <c r="PQD18" s="28" t="str">
        <f>IFERROR(IF(PQM3="No",IF(VLOOKUP(DATE($K$1,$K$2,PQD$4),Table1[],(MATCH(Calendar!$A18,DB!$1:$1,0)),FALSE)&gt;=5,"Good","Bad"),VLOOKUP(DATE($K$1,$K$2,PQD$4),Table1[],(MATCH(Calendar!$A18,DB!$1:$1,0)),FALSE)),"")</f>
        <v/>
      </c>
      <c r="PQE18" s="28" t="str">
        <f>IFERROR(IF(PQN3="No",IF(VLOOKUP(DATE($K$1,$K$2,PQE$4),Table1[],(MATCH(Calendar!$A18,DB!$1:$1,0)),FALSE)&gt;=5,"Good","Bad"),VLOOKUP(DATE($K$1,$K$2,PQE$4),Table1[],(MATCH(Calendar!$A18,DB!$1:$1,0)),FALSE)),"")</f>
        <v/>
      </c>
      <c r="PQF18" s="28" t="str">
        <f>IFERROR(IF(PQO3="No",IF(VLOOKUP(DATE($K$1,$K$2,PQF$4),Table1[],(MATCH(Calendar!$A18,DB!$1:$1,0)),FALSE)&gt;=5,"Good","Bad"),VLOOKUP(DATE($K$1,$K$2,PQF$4),Table1[],(MATCH(Calendar!$A18,DB!$1:$1,0)),FALSE)),"")</f>
        <v/>
      </c>
      <c r="PQG18" s="28" t="str">
        <f>IFERROR(IF(PQP3="No",IF(VLOOKUP(DATE($K$1,$K$2,PQG$4),Table1[],(MATCH(Calendar!$A18,DB!$1:$1,0)),FALSE)&gt;=5,"Good","Bad"),VLOOKUP(DATE($K$1,$K$2,PQG$4),Table1[],(MATCH(Calendar!$A18,DB!$1:$1,0)),FALSE)),"")</f>
        <v/>
      </c>
      <c r="PQH18" s="28" t="str">
        <f>IFERROR(IF(PQQ3="No",IF(VLOOKUP(DATE($K$1,$K$2,PQH$4),Table1[],(MATCH(Calendar!$A18,DB!$1:$1,0)),FALSE)&gt;=5,"Good","Bad"),VLOOKUP(DATE($K$1,$K$2,PQH$4),Table1[],(MATCH(Calendar!$A18,DB!$1:$1,0)),FALSE)),"")</f>
        <v/>
      </c>
      <c r="PQI18" s="28" t="str">
        <f>IFERROR(IF(PQR3="No",IF(VLOOKUP(DATE($K$1,$K$2,PQI$4),Table1[],(MATCH(Calendar!$A18,DB!$1:$1,0)),FALSE)&gt;=5,"Good","Bad"),VLOOKUP(DATE($K$1,$K$2,PQI$4),Table1[],(MATCH(Calendar!$A18,DB!$1:$1,0)),FALSE)),"")</f>
        <v/>
      </c>
      <c r="PQJ18" s="28" t="str">
        <f>IFERROR(IF(PQS3="No",IF(VLOOKUP(DATE($K$1,$K$2,PQJ$4),Table1[],(MATCH(Calendar!$A18,DB!$1:$1,0)),FALSE)&gt;=5,"Good","Bad"),VLOOKUP(DATE($K$1,$K$2,PQJ$4),Table1[],(MATCH(Calendar!$A18,DB!$1:$1,0)),FALSE)),"")</f>
        <v/>
      </c>
      <c r="PQK18" s="28" t="str">
        <f>IFERROR(IF(PQT3="No",IF(VLOOKUP(DATE($K$1,$K$2,PQK$4),Table1[],(MATCH(Calendar!$A18,DB!$1:$1,0)),FALSE)&gt;=5,"Good","Bad"),VLOOKUP(DATE($K$1,$K$2,PQK$4),Table1[],(MATCH(Calendar!$A18,DB!$1:$1,0)),FALSE)),"")</f>
        <v/>
      </c>
      <c r="PQL18" s="28" t="str">
        <f>IFERROR(IF(PQU3="No",IF(VLOOKUP(DATE($K$1,$K$2,PQL$4),Table1[],(MATCH(Calendar!$A18,DB!$1:$1,0)),FALSE)&gt;=5,"Good","Bad"),VLOOKUP(DATE($K$1,$K$2,PQL$4),Table1[],(MATCH(Calendar!$A18,DB!$1:$1,0)),FALSE)),"")</f>
        <v/>
      </c>
      <c r="PQM18" s="28" t="str">
        <f>IFERROR(IF(PQV3="No",IF(VLOOKUP(DATE($K$1,$K$2,PQM$4),Table1[],(MATCH(Calendar!$A18,DB!$1:$1,0)),FALSE)&gt;=5,"Good","Bad"),VLOOKUP(DATE($K$1,$K$2,PQM$4),Table1[],(MATCH(Calendar!$A18,DB!$1:$1,0)),FALSE)),"")</f>
        <v/>
      </c>
      <c r="PQN18" s="28" t="str">
        <f>IFERROR(IF(PQW3="No",IF(VLOOKUP(DATE($K$1,$K$2,PQN$4),Table1[],(MATCH(Calendar!$A18,DB!$1:$1,0)),FALSE)&gt;=5,"Good","Bad"),VLOOKUP(DATE($K$1,$K$2,PQN$4),Table1[],(MATCH(Calendar!$A18,DB!$1:$1,0)),FALSE)),"")</f>
        <v/>
      </c>
      <c r="PQO18" s="28" t="str">
        <f>IFERROR(IF(PQX3="No",IF(VLOOKUP(DATE($K$1,$K$2,PQO$4),Table1[],(MATCH(Calendar!$A18,DB!$1:$1,0)),FALSE)&gt;=5,"Good","Bad"),VLOOKUP(DATE($K$1,$K$2,PQO$4),Table1[],(MATCH(Calendar!$A18,DB!$1:$1,0)),FALSE)),"")</f>
        <v/>
      </c>
      <c r="PQP18" s="28" t="str">
        <f>IFERROR(IF(PQY3="No",IF(VLOOKUP(DATE($K$1,$K$2,PQP$4),Table1[],(MATCH(Calendar!$A18,DB!$1:$1,0)),FALSE)&gt;=5,"Good","Bad"),VLOOKUP(DATE($K$1,$K$2,PQP$4),Table1[],(MATCH(Calendar!$A18,DB!$1:$1,0)),FALSE)),"")</f>
        <v/>
      </c>
      <c r="PQQ18" s="28" t="str">
        <f>IFERROR(IF(PQZ3="No",IF(VLOOKUP(DATE($K$1,$K$2,PQQ$4),Table1[],(MATCH(Calendar!$A18,DB!$1:$1,0)),FALSE)&gt;=5,"Good","Bad"),VLOOKUP(DATE($K$1,$K$2,PQQ$4),Table1[],(MATCH(Calendar!$A18,DB!$1:$1,0)),FALSE)),"")</f>
        <v/>
      </c>
      <c r="PQR18" s="28" t="str">
        <f>IFERROR(IF(PRA3="No",IF(VLOOKUP(DATE($K$1,$K$2,PQR$4),Table1[],(MATCH(Calendar!$A18,DB!$1:$1,0)),FALSE)&gt;=5,"Good","Bad"),VLOOKUP(DATE($K$1,$K$2,PQR$4),Table1[],(MATCH(Calendar!$A18,DB!$1:$1,0)),FALSE)),"")</f>
        <v/>
      </c>
      <c r="PQS18" s="28" t="str">
        <f>IFERROR(IF(PRB3="No",IF(VLOOKUP(DATE($K$1,$K$2,PQS$4),Table1[],(MATCH(Calendar!$A18,DB!$1:$1,0)),FALSE)&gt;=5,"Good","Bad"),VLOOKUP(DATE($K$1,$K$2,PQS$4),Table1[],(MATCH(Calendar!$A18,DB!$1:$1,0)),FALSE)),"")</f>
        <v/>
      </c>
      <c r="PQT18" s="28" t="str">
        <f>IFERROR(IF(PRC3="No",IF(VLOOKUP(DATE($K$1,$K$2,PQT$4),Table1[],(MATCH(Calendar!$A18,DB!$1:$1,0)),FALSE)&gt;=5,"Good","Bad"),VLOOKUP(DATE($K$1,$K$2,PQT$4),Table1[],(MATCH(Calendar!$A18,DB!$1:$1,0)),FALSE)),"")</f>
        <v/>
      </c>
      <c r="PQU18" s="28" t="str">
        <f>IFERROR(IF(PRD3="No",IF(VLOOKUP(DATE($K$1,$K$2,PQU$4),Table1[],(MATCH(Calendar!$A18,DB!$1:$1,0)),FALSE)&gt;=5,"Good","Bad"),VLOOKUP(DATE($K$1,$K$2,PQU$4),Table1[],(MATCH(Calendar!$A18,DB!$1:$1,0)),FALSE)),"")</f>
        <v/>
      </c>
      <c r="PQV18" s="28" t="str">
        <f>IFERROR(IF(PRE3="No",IF(VLOOKUP(DATE($K$1,$K$2,PQV$4),Table1[],(MATCH(Calendar!$A18,DB!$1:$1,0)),FALSE)&gt;=5,"Good","Bad"),VLOOKUP(DATE($K$1,$K$2,PQV$4),Table1[],(MATCH(Calendar!$A18,DB!$1:$1,0)),FALSE)),"")</f>
        <v/>
      </c>
      <c r="PQW18" s="28" t="str">
        <f>IFERROR(IF(PRF3="No",IF(VLOOKUP(DATE($K$1,$K$2,PQW$4),Table1[],(MATCH(Calendar!$A18,DB!$1:$1,0)),FALSE)&gt;=5,"Good","Bad"),VLOOKUP(DATE($K$1,$K$2,PQW$4),Table1[],(MATCH(Calendar!$A18,DB!$1:$1,0)),FALSE)),"")</f>
        <v/>
      </c>
      <c r="PQX18" s="28" t="str">
        <f>IFERROR(IF(PRG3="No",IF(VLOOKUP(DATE($K$1,$K$2,PQX$4),Table1[],(MATCH(Calendar!$A18,DB!$1:$1,0)),FALSE)&gt;=5,"Good","Bad"),VLOOKUP(DATE($K$1,$K$2,PQX$4),Table1[],(MATCH(Calendar!$A18,DB!$1:$1,0)),FALSE)),"")</f>
        <v/>
      </c>
      <c r="PQY18" s="28" t="str">
        <f>IFERROR(IF(PRH3="No",IF(VLOOKUP(DATE($K$1,$K$2,PQY$4),Table1[],(MATCH(Calendar!$A18,DB!$1:$1,0)),FALSE)&gt;=5,"Good","Bad"),VLOOKUP(DATE($K$1,$K$2,PQY$4),Table1[],(MATCH(Calendar!$A18,DB!$1:$1,0)),FALSE)),"")</f>
        <v/>
      </c>
      <c r="PQZ18" s="28" t="str">
        <f>IFERROR(IF(PRI3="No",IF(VLOOKUP(DATE($K$1,$K$2,PQZ$4),Table1[],(MATCH(Calendar!$A18,DB!$1:$1,0)),FALSE)&gt;=5,"Good","Bad"),VLOOKUP(DATE($K$1,$K$2,PQZ$4),Table1[],(MATCH(Calendar!$A18,DB!$1:$1,0)),FALSE)),"")</f>
        <v/>
      </c>
      <c r="PRA18" s="28" t="str">
        <f>IFERROR(IF(PRJ3="No",IF(VLOOKUP(DATE($K$1,$K$2,PRA$4),Table1[],(MATCH(Calendar!$A18,DB!$1:$1,0)),FALSE)&gt;=5,"Good","Bad"),VLOOKUP(DATE($K$1,$K$2,PRA$4),Table1[],(MATCH(Calendar!$A18,DB!$1:$1,0)),FALSE)),"")</f>
        <v/>
      </c>
      <c r="PRB18" s="28" t="str">
        <f>IFERROR(IF(PRK3="No",IF(VLOOKUP(DATE($K$1,$K$2,PRB$4),Table1[],(MATCH(Calendar!$A18,DB!$1:$1,0)),FALSE)&gt;=5,"Good","Bad"),VLOOKUP(DATE($K$1,$K$2,PRB$4),Table1[],(MATCH(Calendar!$A18,DB!$1:$1,0)),FALSE)),"")</f>
        <v/>
      </c>
      <c r="PRC18" s="28" t="str">
        <f>IFERROR(IF(PRL3="No",IF(VLOOKUP(DATE($K$1,$K$2,PRC$4),Table1[],(MATCH(Calendar!$A18,DB!$1:$1,0)),FALSE)&gt;=5,"Good","Bad"),VLOOKUP(DATE($K$1,$K$2,PRC$4),Table1[],(MATCH(Calendar!$A18,DB!$1:$1,0)),FALSE)),"")</f>
        <v/>
      </c>
      <c r="PRD18" s="28" t="str">
        <f>IFERROR(IF(PRM3="No",IF(VLOOKUP(DATE($K$1,$K$2,PRD$4),Table1[],(MATCH(Calendar!$A18,DB!$1:$1,0)),FALSE)&gt;=5,"Good","Bad"),VLOOKUP(DATE($K$1,$K$2,PRD$4),Table1[],(MATCH(Calendar!$A18,DB!$1:$1,0)),FALSE)),"")</f>
        <v/>
      </c>
      <c r="PRE18" s="28" t="str">
        <f>IFERROR(IF(PRN3="No",IF(VLOOKUP(DATE($K$1,$K$2,PRE$4),Table1[],(MATCH(Calendar!$A18,DB!$1:$1,0)),FALSE)&gt;=5,"Good","Bad"),VLOOKUP(DATE($K$1,$K$2,PRE$4),Table1[],(MATCH(Calendar!$A18,DB!$1:$1,0)),FALSE)),"")</f>
        <v/>
      </c>
      <c r="PRF18" s="28" t="str">
        <f>IFERROR(IF(PRO3="No",IF(VLOOKUP(DATE($K$1,$K$2,PRF$4),Table1[],(MATCH(Calendar!$A18,DB!$1:$1,0)),FALSE)&gt;=5,"Good","Bad"),VLOOKUP(DATE($K$1,$K$2,PRF$4),Table1[],(MATCH(Calendar!$A18,DB!$1:$1,0)),FALSE)),"")</f>
        <v/>
      </c>
      <c r="PRG18" s="28" t="str">
        <f>IFERROR(IF(PRP3="No",IF(VLOOKUP(DATE($K$1,$K$2,PRG$4),Table1[],(MATCH(Calendar!$A18,DB!$1:$1,0)),FALSE)&gt;=5,"Good","Bad"),VLOOKUP(DATE($K$1,$K$2,PRG$4),Table1[],(MATCH(Calendar!$A18,DB!$1:$1,0)),FALSE)),"")</f>
        <v/>
      </c>
      <c r="PRH18" s="28" t="str">
        <f>IFERROR(IF(PRQ3="No",IF(VLOOKUP(DATE($K$1,$K$2,PRH$4),Table1[],(MATCH(Calendar!$A18,DB!$1:$1,0)),FALSE)&gt;=5,"Good","Bad"),VLOOKUP(DATE($K$1,$K$2,PRH$4),Table1[],(MATCH(Calendar!$A18,DB!$1:$1,0)),FALSE)),"")</f>
        <v/>
      </c>
      <c r="PRI18" s="28" t="str">
        <f>IFERROR(IF(PRR3="No",IF(VLOOKUP(DATE($K$1,$K$2,PRI$4),Table1[],(MATCH(Calendar!$A18,DB!$1:$1,0)),FALSE)&gt;=5,"Good","Bad"),VLOOKUP(DATE($K$1,$K$2,PRI$4),Table1[],(MATCH(Calendar!$A18,DB!$1:$1,0)),FALSE)),"")</f>
        <v/>
      </c>
      <c r="PRJ18" s="28" t="str">
        <f>IFERROR(IF(PRS3="No",IF(VLOOKUP(DATE($K$1,$K$2,PRJ$4),Table1[],(MATCH(Calendar!$A18,DB!$1:$1,0)),FALSE)&gt;=5,"Good","Bad"),VLOOKUP(DATE($K$1,$K$2,PRJ$4),Table1[],(MATCH(Calendar!$A18,DB!$1:$1,0)),FALSE)),"")</f>
        <v/>
      </c>
      <c r="PRK18" s="28" t="str">
        <f>IFERROR(IF(PRT3="No",IF(VLOOKUP(DATE($K$1,$K$2,PRK$4),Table1[],(MATCH(Calendar!$A18,DB!$1:$1,0)),FALSE)&gt;=5,"Good","Bad"),VLOOKUP(DATE($K$1,$K$2,PRK$4),Table1[],(MATCH(Calendar!$A18,DB!$1:$1,0)),FALSE)),"")</f>
        <v/>
      </c>
      <c r="PRL18" s="28" t="str">
        <f>IFERROR(IF(PRU3="No",IF(VLOOKUP(DATE($K$1,$K$2,PRL$4),Table1[],(MATCH(Calendar!$A18,DB!$1:$1,0)),FALSE)&gt;=5,"Good","Bad"),VLOOKUP(DATE($K$1,$K$2,PRL$4),Table1[],(MATCH(Calendar!$A18,DB!$1:$1,0)),FALSE)),"")</f>
        <v/>
      </c>
      <c r="PRM18" s="28" t="str">
        <f>IFERROR(IF(PRV3="No",IF(VLOOKUP(DATE($K$1,$K$2,PRM$4),Table1[],(MATCH(Calendar!$A18,DB!$1:$1,0)),FALSE)&gt;=5,"Good","Bad"),VLOOKUP(DATE($K$1,$K$2,PRM$4),Table1[],(MATCH(Calendar!$A18,DB!$1:$1,0)),FALSE)),"")</f>
        <v/>
      </c>
      <c r="PRN18" s="28" t="str">
        <f>IFERROR(IF(PRW3="No",IF(VLOOKUP(DATE($K$1,$K$2,PRN$4),Table1[],(MATCH(Calendar!$A18,DB!$1:$1,0)),FALSE)&gt;=5,"Good","Bad"),VLOOKUP(DATE($K$1,$K$2,PRN$4),Table1[],(MATCH(Calendar!$A18,DB!$1:$1,0)),FALSE)),"")</f>
        <v/>
      </c>
      <c r="PRO18" s="28" t="str">
        <f>IFERROR(IF(PRX3="No",IF(VLOOKUP(DATE($K$1,$K$2,PRO$4),Table1[],(MATCH(Calendar!$A18,DB!$1:$1,0)),FALSE)&gt;=5,"Good","Bad"),VLOOKUP(DATE($K$1,$K$2,PRO$4),Table1[],(MATCH(Calendar!$A18,DB!$1:$1,0)),FALSE)),"")</f>
        <v/>
      </c>
      <c r="PRP18" s="28" t="str">
        <f>IFERROR(IF(PRY3="No",IF(VLOOKUP(DATE($K$1,$K$2,PRP$4),Table1[],(MATCH(Calendar!$A18,DB!$1:$1,0)),FALSE)&gt;=5,"Good","Bad"),VLOOKUP(DATE($K$1,$K$2,PRP$4),Table1[],(MATCH(Calendar!$A18,DB!$1:$1,0)),FALSE)),"")</f>
        <v/>
      </c>
      <c r="PRQ18" s="28" t="str">
        <f>IFERROR(IF(PRZ3="No",IF(VLOOKUP(DATE($K$1,$K$2,PRQ$4),Table1[],(MATCH(Calendar!$A18,DB!$1:$1,0)),FALSE)&gt;=5,"Good","Bad"),VLOOKUP(DATE($K$1,$K$2,PRQ$4),Table1[],(MATCH(Calendar!$A18,DB!$1:$1,0)),FALSE)),"")</f>
        <v/>
      </c>
      <c r="PRR18" s="28" t="str">
        <f>IFERROR(IF(PSA3="No",IF(VLOOKUP(DATE($K$1,$K$2,PRR$4),Table1[],(MATCH(Calendar!$A18,DB!$1:$1,0)),FALSE)&gt;=5,"Good","Bad"),VLOOKUP(DATE($K$1,$K$2,PRR$4),Table1[],(MATCH(Calendar!$A18,DB!$1:$1,0)),FALSE)),"")</f>
        <v/>
      </c>
      <c r="PRS18" s="28" t="str">
        <f>IFERROR(IF(PSB3="No",IF(VLOOKUP(DATE($K$1,$K$2,PRS$4),Table1[],(MATCH(Calendar!$A18,DB!$1:$1,0)),FALSE)&gt;=5,"Good","Bad"),VLOOKUP(DATE($K$1,$K$2,PRS$4),Table1[],(MATCH(Calendar!$A18,DB!$1:$1,0)),FALSE)),"")</f>
        <v/>
      </c>
      <c r="PRT18" s="28" t="str">
        <f>IFERROR(IF(PSC3="No",IF(VLOOKUP(DATE($K$1,$K$2,PRT$4),Table1[],(MATCH(Calendar!$A18,DB!$1:$1,0)),FALSE)&gt;=5,"Good","Bad"),VLOOKUP(DATE($K$1,$K$2,PRT$4),Table1[],(MATCH(Calendar!$A18,DB!$1:$1,0)),FALSE)),"")</f>
        <v/>
      </c>
      <c r="PRU18" s="28" t="str">
        <f>IFERROR(IF(PSD3="No",IF(VLOOKUP(DATE($K$1,$K$2,PRU$4),Table1[],(MATCH(Calendar!$A18,DB!$1:$1,0)),FALSE)&gt;=5,"Good","Bad"),VLOOKUP(DATE($K$1,$K$2,PRU$4),Table1[],(MATCH(Calendar!$A18,DB!$1:$1,0)),FALSE)),"")</f>
        <v/>
      </c>
      <c r="PRV18" s="28" t="str">
        <f>IFERROR(IF(PSE3="No",IF(VLOOKUP(DATE($K$1,$K$2,PRV$4),Table1[],(MATCH(Calendar!$A18,DB!$1:$1,0)),FALSE)&gt;=5,"Good","Bad"),VLOOKUP(DATE($K$1,$K$2,PRV$4),Table1[],(MATCH(Calendar!$A18,DB!$1:$1,0)),FALSE)),"")</f>
        <v/>
      </c>
      <c r="PRW18" s="28" t="str">
        <f>IFERROR(IF(PSF3="No",IF(VLOOKUP(DATE($K$1,$K$2,PRW$4),Table1[],(MATCH(Calendar!$A18,DB!$1:$1,0)),FALSE)&gt;=5,"Good","Bad"),VLOOKUP(DATE($K$1,$K$2,PRW$4),Table1[],(MATCH(Calendar!$A18,DB!$1:$1,0)),FALSE)),"")</f>
        <v/>
      </c>
      <c r="PRX18" s="28" t="str">
        <f>IFERROR(IF(PSG3="No",IF(VLOOKUP(DATE($K$1,$K$2,PRX$4),Table1[],(MATCH(Calendar!$A18,DB!$1:$1,0)),FALSE)&gt;=5,"Good","Bad"),VLOOKUP(DATE($K$1,$K$2,PRX$4),Table1[],(MATCH(Calendar!$A18,DB!$1:$1,0)),FALSE)),"")</f>
        <v/>
      </c>
      <c r="PRY18" s="28" t="str">
        <f>IFERROR(IF(PSH3="No",IF(VLOOKUP(DATE($K$1,$K$2,PRY$4),Table1[],(MATCH(Calendar!$A18,DB!$1:$1,0)),FALSE)&gt;=5,"Good","Bad"),VLOOKUP(DATE($K$1,$K$2,PRY$4),Table1[],(MATCH(Calendar!$A18,DB!$1:$1,0)),FALSE)),"")</f>
        <v/>
      </c>
      <c r="PRZ18" s="28" t="str">
        <f>IFERROR(IF(PSI3="No",IF(VLOOKUP(DATE($K$1,$K$2,PRZ$4),Table1[],(MATCH(Calendar!$A18,DB!$1:$1,0)),FALSE)&gt;=5,"Good","Bad"),VLOOKUP(DATE($K$1,$K$2,PRZ$4),Table1[],(MATCH(Calendar!$A18,DB!$1:$1,0)),FALSE)),"")</f>
        <v/>
      </c>
      <c r="PSA18" s="28" t="str">
        <f>IFERROR(IF(PSJ3="No",IF(VLOOKUP(DATE($K$1,$K$2,PSA$4),Table1[],(MATCH(Calendar!$A18,DB!$1:$1,0)),FALSE)&gt;=5,"Good","Bad"),VLOOKUP(DATE($K$1,$K$2,PSA$4),Table1[],(MATCH(Calendar!$A18,DB!$1:$1,0)),FALSE)),"")</f>
        <v/>
      </c>
      <c r="PSB18" s="28" t="str">
        <f>IFERROR(IF(PSK3="No",IF(VLOOKUP(DATE($K$1,$K$2,PSB$4),Table1[],(MATCH(Calendar!$A18,DB!$1:$1,0)),FALSE)&gt;=5,"Good","Bad"),VLOOKUP(DATE($K$1,$K$2,PSB$4),Table1[],(MATCH(Calendar!$A18,DB!$1:$1,0)),FALSE)),"")</f>
        <v/>
      </c>
      <c r="PSC18" s="28" t="str">
        <f>IFERROR(IF(PSL3="No",IF(VLOOKUP(DATE($K$1,$K$2,PSC$4),Table1[],(MATCH(Calendar!$A18,DB!$1:$1,0)),FALSE)&gt;=5,"Good","Bad"),VLOOKUP(DATE($K$1,$K$2,PSC$4),Table1[],(MATCH(Calendar!$A18,DB!$1:$1,0)),FALSE)),"")</f>
        <v/>
      </c>
      <c r="PSD18" s="28" t="str">
        <f>IFERROR(IF(PSM3="No",IF(VLOOKUP(DATE($K$1,$K$2,PSD$4),Table1[],(MATCH(Calendar!$A18,DB!$1:$1,0)),FALSE)&gt;=5,"Good","Bad"),VLOOKUP(DATE($K$1,$K$2,PSD$4),Table1[],(MATCH(Calendar!$A18,DB!$1:$1,0)),FALSE)),"")</f>
        <v/>
      </c>
      <c r="PSE18" s="28" t="str">
        <f>IFERROR(IF(PSN3="No",IF(VLOOKUP(DATE($K$1,$K$2,PSE$4),Table1[],(MATCH(Calendar!$A18,DB!$1:$1,0)),FALSE)&gt;=5,"Good","Bad"),VLOOKUP(DATE($K$1,$K$2,PSE$4),Table1[],(MATCH(Calendar!$A18,DB!$1:$1,0)),FALSE)),"")</f>
        <v/>
      </c>
      <c r="PSF18" s="28" t="str">
        <f>IFERROR(IF(PSO3="No",IF(VLOOKUP(DATE($K$1,$K$2,PSF$4),Table1[],(MATCH(Calendar!$A18,DB!$1:$1,0)),FALSE)&gt;=5,"Good","Bad"),VLOOKUP(DATE($K$1,$K$2,PSF$4),Table1[],(MATCH(Calendar!$A18,DB!$1:$1,0)),FALSE)),"")</f>
        <v/>
      </c>
      <c r="PSG18" s="28" t="str">
        <f>IFERROR(IF(PSP3="No",IF(VLOOKUP(DATE($K$1,$K$2,PSG$4),Table1[],(MATCH(Calendar!$A18,DB!$1:$1,0)),FALSE)&gt;=5,"Good","Bad"),VLOOKUP(DATE($K$1,$K$2,PSG$4),Table1[],(MATCH(Calendar!$A18,DB!$1:$1,0)),FALSE)),"")</f>
        <v/>
      </c>
      <c r="PSH18" s="28" t="str">
        <f>IFERROR(IF(PSQ3="No",IF(VLOOKUP(DATE($K$1,$K$2,PSH$4),Table1[],(MATCH(Calendar!$A18,DB!$1:$1,0)),FALSE)&gt;=5,"Good","Bad"),VLOOKUP(DATE($K$1,$K$2,PSH$4),Table1[],(MATCH(Calendar!$A18,DB!$1:$1,0)),FALSE)),"")</f>
        <v/>
      </c>
      <c r="PSI18" s="28" t="str">
        <f>IFERROR(IF(PSR3="No",IF(VLOOKUP(DATE($K$1,$K$2,PSI$4),Table1[],(MATCH(Calendar!$A18,DB!$1:$1,0)),FALSE)&gt;=5,"Good","Bad"),VLOOKUP(DATE($K$1,$K$2,PSI$4),Table1[],(MATCH(Calendar!$A18,DB!$1:$1,0)),FALSE)),"")</f>
        <v/>
      </c>
      <c r="PSJ18" s="28" t="str">
        <f>IFERROR(IF(PSS3="No",IF(VLOOKUP(DATE($K$1,$K$2,PSJ$4),Table1[],(MATCH(Calendar!$A18,DB!$1:$1,0)),FALSE)&gt;=5,"Good","Bad"),VLOOKUP(DATE($K$1,$K$2,PSJ$4),Table1[],(MATCH(Calendar!$A18,DB!$1:$1,0)),FALSE)),"")</f>
        <v/>
      </c>
      <c r="PSK18" s="28" t="str">
        <f>IFERROR(IF(PST3="No",IF(VLOOKUP(DATE($K$1,$K$2,PSK$4),Table1[],(MATCH(Calendar!$A18,DB!$1:$1,0)),FALSE)&gt;=5,"Good","Bad"),VLOOKUP(DATE($K$1,$K$2,PSK$4),Table1[],(MATCH(Calendar!$A18,DB!$1:$1,0)),FALSE)),"")</f>
        <v/>
      </c>
      <c r="PSL18" s="28" t="str">
        <f>IFERROR(IF(PSU3="No",IF(VLOOKUP(DATE($K$1,$K$2,PSL$4),Table1[],(MATCH(Calendar!$A18,DB!$1:$1,0)),FALSE)&gt;=5,"Good","Bad"),VLOOKUP(DATE($K$1,$K$2,PSL$4),Table1[],(MATCH(Calendar!$A18,DB!$1:$1,0)),FALSE)),"")</f>
        <v/>
      </c>
      <c r="PSM18" s="28" t="str">
        <f>IFERROR(IF(PSV3="No",IF(VLOOKUP(DATE($K$1,$K$2,PSM$4),Table1[],(MATCH(Calendar!$A18,DB!$1:$1,0)),FALSE)&gt;=5,"Good","Bad"),VLOOKUP(DATE($K$1,$K$2,PSM$4),Table1[],(MATCH(Calendar!$A18,DB!$1:$1,0)),FALSE)),"")</f>
        <v/>
      </c>
      <c r="PSN18" s="28" t="str">
        <f>IFERROR(IF(PSW3="No",IF(VLOOKUP(DATE($K$1,$K$2,PSN$4),Table1[],(MATCH(Calendar!$A18,DB!$1:$1,0)),FALSE)&gt;=5,"Good","Bad"),VLOOKUP(DATE($K$1,$K$2,PSN$4),Table1[],(MATCH(Calendar!$A18,DB!$1:$1,0)),FALSE)),"")</f>
        <v/>
      </c>
      <c r="PSO18" s="28" t="str">
        <f>IFERROR(IF(PSX3="No",IF(VLOOKUP(DATE($K$1,$K$2,PSO$4),Table1[],(MATCH(Calendar!$A18,DB!$1:$1,0)),FALSE)&gt;=5,"Good","Bad"),VLOOKUP(DATE($K$1,$K$2,PSO$4),Table1[],(MATCH(Calendar!$A18,DB!$1:$1,0)),FALSE)),"")</f>
        <v/>
      </c>
      <c r="PSP18" s="28" t="str">
        <f>IFERROR(IF(PSY3="No",IF(VLOOKUP(DATE($K$1,$K$2,PSP$4),Table1[],(MATCH(Calendar!$A18,DB!$1:$1,0)),FALSE)&gt;=5,"Good","Bad"),VLOOKUP(DATE($K$1,$K$2,PSP$4),Table1[],(MATCH(Calendar!$A18,DB!$1:$1,0)),FALSE)),"")</f>
        <v/>
      </c>
      <c r="PSQ18" s="28" t="str">
        <f>IFERROR(IF(PSZ3="No",IF(VLOOKUP(DATE($K$1,$K$2,PSQ$4),Table1[],(MATCH(Calendar!$A18,DB!$1:$1,0)),FALSE)&gt;=5,"Good","Bad"),VLOOKUP(DATE($K$1,$K$2,PSQ$4),Table1[],(MATCH(Calendar!$A18,DB!$1:$1,0)),FALSE)),"")</f>
        <v/>
      </c>
      <c r="PSR18" s="28" t="str">
        <f>IFERROR(IF(PTA3="No",IF(VLOOKUP(DATE($K$1,$K$2,PSR$4),Table1[],(MATCH(Calendar!$A18,DB!$1:$1,0)),FALSE)&gt;=5,"Good","Bad"),VLOOKUP(DATE($K$1,$K$2,PSR$4),Table1[],(MATCH(Calendar!$A18,DB!$1:$1,0)),FALSE)),"")</f>
        <v/>
      </c>
      <c r="PSS18" s="28" t="str">
        <f>IFERROR(IF(PTB3="No",IF(VLOOKUP(DATE($K$1,$K$2,PSS$4),Table1[],(MATCH(Calendar!$A18,DB!$1:$1,0)),FALSE)&gt;=5,"Good","Bad"),VLOOKUP(DATE($K$1,$K$2,PSS$4),Table1[],(MATCH(Calendar!$A18,DB!$1:$1,0)),FALSE)),"")</f>
        <v/>
      </c>
      <c r="PST18" s="28" t="str">
        <f>IFERROR(IF(PTC3="No",IF(VLOOKUP(DATE($K$1,$K$2,PST$4),Table1[],(MATCH(Calendar!$A18,DB!$1:$1,0)),FALSE)&gt;=5,"Good","Bad"),VLOOKUP(DATE($K$1,$K$2,PST$4),Table1[],(MATCH(Calendar!$A18,DB!$1:$1,0)),FALSE)),"")</f>
        <v/>
      </c>
      <c r="PSU18" s="28" t="str">
        <f>IFERROR(IF(PTD3="No",IF(VLOOKUP(DATE($K$1,$K$2,PSU$4),Table1[],(MATCH(Calendar!$A18,DB!$1:$1,0)),FALSE)&gt;=5,"Good","Bad"),VLOOKUP(DATE($K$1,$K$2,PSU$4),Table1[],(MATCH(Calendar!$A18,DB!$1:$1,0)),FALSE)),"")</f>
        <v/>
      </c>
      <c r="PSV18" s="28" t="str">
        <f>IFERROR(IF(PTE3="No",IF(VLOOKUP(DATE($K$1,$K$2,PSV$4),Table1[],(MATCH(Calendar!$A18,DB!$1:$1,0)),FALSE)&gt;=5,"Good","Bad"),VLOOKUP(DATE($K$1,$K$2,PSV$4),Table1[],(MATCH(Calendar!$A18,DB!$1:$1,0)),FALSE)),"")</f>
        <v/>
      </c>
      <c r="PSW18" s="28" t="str">
        <f>IFERROR(IF(PTF3="No",IF(VLOOKUP(DATE($K$1,$K$2,PSW$4),Table1[],(MATCH(Calendar!$A18,DB!$1:$1,0)),FALSE)&gt;=5,"Good","Bad"),VLOOKUP(DATE($K$1,$K$2,PSW$4),Table1[],(MATCH(Calendar!$A18,DB!$1:$1,0)),FALSE)),"")</f>
        <v/>
      </c>
      <c r="PSX18" s="28" t="str">
        <f>IFERROR(IF(PTG3="No",IF(VLOOKUP(DATE($K$1,$K$2,PSX$4),Table1[],(MATCH(Calendar!$A18,DB!$1:$1,0)),FALSE)&gt;=5,"Good","Bad"),VLOOKUP(DATE($K$1,$K$2,PSX$4),Table1[],(MATCH(Calendar!$A18,DB!$1:$1,0)),FALSE)),"")</f>
        <v/>
      </c>
      <c r="PSY18" s="28" t="str">
        <f>IFERROR(IF(PTH3="No",IF(VLOOKUP(DATE($K$1,$K$2,PSY$4),Table1[],(MATCH(Calendar!$A18,DB!$1:$1,0)),FALSE)&gt;=5,"Good","Bad"),VLOOKUP(DATE($K$1,$K$2,PSY$4),Table1[],(MATCH(Calendar!$A18,DB!$1:$1,0)),FALSE)),"")</f>
        <v/>
      </c>
      <c r="PSZ18" s="28" t="str">
        <f>IFERROR(IF(PTI3="No",IF(VLOOKUP(DATE($K$1,$K$2,PSZ$4),Table1[],(MATCH(Calendar!$A18,DB!$1:$1,0)),FALSE)&gt;=5,"Good","Bad"),VLOOKUP(DATE($K$1,$K$2,PSZ$4),Table1[],(MATCH(Calendar!$A18,DB!$1:$1,0)),FALSE)),"")</f>
        <v/>
      </c>
      <c r="PTA18" s="28" t="str">
        <f>IFERROR(IF(PTJ3="No",IF(VLOOKUP(DATE($K$1,$K$2,PTA$4),Table1[],(MATCH(Calendar!$A18,DB!$1:$1,0)),FALSE)&gt;=5,"Good","Bad"),VLOOKUP(DATE($K$1,$K$2,PTA$4),Table1[],(MATCH(Calendar!$A18,DB!$1:$1,0)),FALSE)),"")</f>
        <v/>
      </c>
      <c r="PTB18" s="28" t="str">
        <f>IFERROR(IF(PTK3="No",IF(VLOOKUP(DATE($K$1,$K$2,PTB$4),Table1[],(MATCH(Calendar!$A18,DB!$1:$1,0)),FALSE)&gt;=5,"Good","Bad"),VLOOKUP(DATE($K$1,$K$2,PTB$4),Table1[],(MATCH(Calendar!$A18,DB!$1:$1,0)),FALSE)),"")</f>
        <v/>
      </c>
      <c r="PTC18" s="28" t="str">
        <f>IFERROR(IF(PTL3="No",IF(VLOOKUP(DATE($K$1,$K$2,PTC$4),Table1[],(MATCH(Calendar!$A18,DB!$1:$1,0)),FALSE)&gt;=5,"Good","Bad"),VLOOKUP(DATE($K$1,$K$2,PTC$4),Table1[],(MATCH(Calendar!$A18,DB!$1:$1,0)),FALSE)),"")</f>
        <v/>
      </c>
      <c r="PTD18" s="28" t="str">
        <f>IFERROR(IF(PTM3="No",IF(VLOOKUP(DATE($K$1,$K$2,PTD$4),Table1[],(MATCH(Calendar!$A18,DB!$1:$1,0)),FALSE)&gt;=5,"Good","Bad"),VLOOKUP(DATE($K$1,$K$2,PTD$4),Table1[],(MATCH(Calendar!$A18,DB!$1:$1,0)),FALSE)),"")</f>
        <v/>
      </c>
      <c r="PTE18" s="28" t="str">
        <f>IFERROR(IF(PTN3="No",IF(VLOOKUP(DATE($K$1,$K$2,PTE$4),Table1[],(MATCH(Calendar!$A18,DB!$1:$1,0)),FALSE)&gt;=5,"Good","Bad"),VLOOKUP(DATE($K$1,$K$2,PTE$4),Table1[],(MATCH(Calendar!$A18,DB!$1:$1,0)),FALSE)),"")</f>
        <v/>
      </c>
      <c r="PTF18" s="28" t="str">
        <f>IFERROR(IF(PTO3="No",IF(VLOOKUP(DATE($K$1,$K$2,PTF$4),Table1[],(MATCH(Calendar!$A18,DB!$1:$1,0)),FALSE)&gt;=5,"Good","Bad"),VLOOKUP(DATE($K$1,$K$2,PTF$4),Table1[],(MATCH(Calendar!$A18,DB!$1:$1,0)),FALSE)),"")</f>
        <v/>
      </c>
      <c r="PTG18" s="28" t="str">
        <f>IFERROR(IF(PTP3="No",IF(VLOOKUP(DATE($K$1,$K$2,PTG$4),Table1[],(MATCH(Calendar!$A18,DB!$1:$1,0)),FALSE)&gt;=5,"Good","Bad"),VLOOKUP(DATE($K$1,$K$2,PTG$4),Table1[],(MATCH(Calendar!$A18,DB!$1:$1,0)),FALSE)),"")</f>
        <v/>
      </c>
      <c r="PTH18" s="28" t="str">
        <f>IFERROR(IF(PTQ3="No",IF(VLOOKUP(DATE($K$1,$K$2,PTH$4),Table1[],(MATCH(Calendar!$A18,DB!$1:$1,0)),FALSE)&gt;=5,"Good","Bad"),VLOOKUP(DATE($K$1,$K$2,PTH$4),Table1[],(MATCH(Calendar!$A18,DB!$1:$1,0)),FALSE)),"")</f>
        <v/>
      </c>
      <c r="PTI18" s="28" t="str">
        <f>IFERROR(IF(PTR3="No",IF(VLOOKUP(DATE($K$1,$K$2,PTI$4),Table1[],(MATCH(Calendar!$A18,DB!$1:$1,0)),FALSE)&gt;=5,"Good","Bad"),VLOOKUP(DATE($K$1,$K$2,PTI$4),Table1[],(MATCH(Calendar!$A18,DB!$1:$1,0)),FALSE)),"")</f>
        <v/>
      </c>
      <c r="PTJ18" s="28" t="str">
        <f>IFERROR(IF(PTS3="No",IF(VLOOKUP(DATE($K$1,$K$2,PTJ$4),Table1[],(MATCH(Calendar!$A18,DB!$1:$1,0)),FALSE)&gt;=5,"Good","Bad"),VLOOKUP(DATE($K$1,$K$2,PTJ$4),Table1[],(MATCH(Calendar!$A18,DB!$1:$1,0)),FALSE)),"")</f>
        <v/>
      </c>
      <c r="PTK18" s="28" t="str">
        <f>IFERROR(IF(PTT3="No",IF(VLOOKUP(DATE($K$1,$K$2,PTK$4),Table1[],(MATCH(Calendar!$A18,DB!$1:$1,0)),FALSE)&gt;=5,"Good","Bad"),VLOOKUP(DATE($K$1,$K$2,PTK$4),Table1[],(MATCH(Calendar!$A18,DB!$1:$1,0)),FALSE)),"")</f>
        <v/>
      </c>
      <c r="PTL18" s="28" t="str">
        <f>IFERROR(IF(PTU3="No",IF(VLOOKUP(DATE($K$1,$K$2,PTL$4),Table1[],(MATCH(Calendar!$A18,DB!$1:$1,0)),FALSE)&gt;=5,"Good","Bad"),VLOOKUP(DATE($K$1,$K$2,PTL$4),Table1[],(MATCH(Calendar!$A18,DB!$1:$1,0)),FALSE)),"")</f>
        <v/>
      </c>
      <c r="PTM18" s="28" t="str">
        <f>IFERROR(IF(PTV3="No",IF(VLOOKUP(DATE($K$1,$K$2,PTM$4),Table1[],(MATCH(Calendar!$A18,DB!$1:$1,0)),FALSE)&gt;=5,"Good","Bad"),VLOOKUP(DATE($K$1,$K$2,PTM$4),Table1[],(MATCH(Calendar!$A18,DB!$1:$1,0)),FALSE)),"")</f>
        <v/>
      </c>
      <c r="PTN18" s="28" t="str">
        <f>IFERROR(IF(PTW3="No",IF(VLOOKUP(DATE($K$1,$K$2,PTN$4),Table1[],(MATCH(Calendar!$A18,DB!$1:$1,0)),FALSE)&gt;=5,"Good","Bad"),VLOOKUP(DATE($K$1,$K$2,PTN$4),Table1[],(MATCH(Calendar!$A18,DB!$1:$1,0)),FALSE)),"")</f>
        <v/>
      </c>
      <c r="PTO18" s="28" t="str">
        <f>IFERROR(IF(PTX3="No",IF(VLOOKUP(DATE($K$1,$K$2,PTO$4),Table1[],(MATCH(Calendar!$A18,DB!$1:$1,0)),FALSE)&gt;=5,"Good","Bad"),VLOOKUP(DATE($K$1,$K$2,PTO$4),Table1[],(MATCH(Calendar!$A18,DB!$1:$1,0)),FALSE)),"")</f>
        <v/>
      </c>
      <c r="PTP18" s="28" t="str">
        <f>IFERROR(IF(PTY3="No",IF(VLOOKUP(DATE($K$1,$K$2,PTP$4),Table1[],(MATCH(Calendar!$A18,DB!$1:$1,0)),FALSE)&gt;=5,"Good","Bad"),VLOOKUP(DATE($K$1,$K$2,PTP$4),Table1[],(MATCH(Calendar!$A18,DB!$1:$1,0)),FALSE)),"")</f>
        <v/>
      </c>
      <c r="PTQ18" s="28" t="str">
        <f>IFERROR(IF(PTZ3="No",IF(VLOOKUP(DATE($K$1,$K$2,PTQ$4),Table1[],(MATCH(Calendar!$A18,DB!$1:$1,0)),FALSE)&gt;=5,"Good","Bad"),VLOOKUP(DATE($K$1,$K$2,PTQ$4),Table1[],(MATCH(Calendar!$A18,DB!$1:$1,0)),FALSE)),"")</f>
        <v/>
      </c>
      <c r="PTR18" s="28" t="str">
        <f>IFERROR(IF(PUA3="No",IF(VLOOKUP(DATE($K$1,$K$2,PTR$4),Table1[],(MATCH(Calendar!$A18,DB!$1:$1,0)),FALSE)&gt;=5,"Good","Bad"),VLOOKUP(DATE($K$1,$K$2,PTR$4),Table1[],(MATCH(Calendar!$A18,DB!$1:$1,0)),FALSE)),"")</f>
        <v/>
      </c>
      <c r="PTS18" s="28" t="str">
        <f>IFERROR(IF(PUB3="No",IF(VLOOKUP(DATE($K$1,$K$2,PTS$4),Table1[],(MATCH(Calendar!$A18,DB!$1:$1,0)),FALSE)&gt;=5,"Good","Bad"),VLOOKUP(DATE($K$1,$K$2,PTS$4),Table1[],(MATCH(Calendar!$A18,DB!$1:$1,0)),FALSE)),"")</f>
        <v/>
      </c>
      <c r="PTT18" s="28" t="str">
        <f>IFERROR(IF(PUC3="No",IF(VLOOKUP(DATE($K$1,$K$2,PTT$4),Table1[],(MATCH(Calendar!$A18,DB!$1:$1,0)),FALSE)&gt;=5,"Good","Bad"),VLOOKUP(DATE($K$1,$K$2,PTT$4),Table1[],(MATCH(Calendar!$A18,DB!$1:$1,0)),FALSE)),"")</f>
        <v/>
      </c>
      <c r="PTU18" s="28" t="str">
        <f>IFERROR(IF(PUD3="No",IF(VLOOKUP(DATE($K$1,$K$2,PTU$4),Table1[],(MATCH(Calendar!$A18,DB!$1:$1,0)),FALSE)&gt;=5,"Good","Bad"),VLOOKUP(DATE($K$1,$K$2,PTU$4),Table1[],(MATCH(Calendar!$A18,DB!$1:$1,0)),FALSE)),"")</f>
        <v/>
      </c>
      <c r="PTV18" s="28" t="str">
        <f>IFERROR(IF(PUE3="No",IF(VLOOKUP(DATE($K$1,$K$2,PTV$4),Table1[],(MATCH(Calendar!$A18,DB!$1:$1,0)),FALSE)&gt;=5,"Good","Bad"),VLOOKUP(DATE($K$1,$K$2,PTV$4),Table1[],(MATCH(Calendar!$A18,DB!$1:$1,0)),FALSE)),"")</f>
        <v/>
      </c>
      <c r="PTW18" s="28" t="str">
        <f>IFERROR(IF(PUF3="No",IF(VLOOKUP(DATE($K$1,$K$2,PTW$4),Table1[],(MATCH(Calendar!$A18,DB!$1:$1,0)),FALSE)&gt;=5,"Good","Bad"),VLOOKUP(DATE($K$1,$K$2,PTW$4),Table1[],(MATCH(Calendar!$A18,DB!$1:$1,0)),FALSE)),"")</f>
        <v/>
      </c>
      <c r="PTX18" s="28" t="str">
        <f>IFERROR(IF(PUG3="No",IF(VLOOKUP(DATE($K$1,$K$2,PTX$4),Table1[],(MATCH(Calendar!$A18,DB!$1:$1,0)),FALSE)&gt;=5,"Good","Bad"),VLOOKUP(DATE($K$1,$K$2,PTX$4),Table1[],(MATCH(Calendar!$A18,DB!$1:$1,0)),FALSE)),"")</f>
        <v/>
      </c>
      <c r="PTY18" s="28" t="str">
        <f>IFERROR(IF(PUH3="No",IF(VLOOKUP(DATE($K$1,$K$2,PTY$4),Table1[],(MATCH(Calendar!$A18,DB!$1:$1,0)),FALSE)&gt;=5,"Good","Bad"),VLOOKUP(DATE($K$1,$K$2,PTY$4),Table1[],(MATCH(Calendar!$A18,DB!$1:$1,0)),FALSE)),"")</f>
        <v/>
      </c>
      <c r="PTZ18" s="28" t="str">
        <f>IFERROR(IF(PUI3="No",IF(VLOOKUP(DATE($K$1,$K$2,PTZ$4),Table1[],(MATCH(Calendar!$A18,DB!$1:$1,0)),FALSE)&gt;=5,"Good","Bad"),VLOOKUP(DATE($K$1,$K$2,PTZ$4),Table1[],(MATCH(Calendar!$A18,DB!$1:$1,0)),FALSE)),"")</f>
        <v/>
      </c>
      <c r="PUA18" s="28" t="str">
        <f>IFERROR(IF(PUJ3="No",IF(VLOOKUP(DATE($K$1,$K$2,PUA$4),Table1[],(MATCH(Calendar!$A18,DB!$1:$1,0)),FALSE)&gt;=5,"Good","Bad"),VLOOKUP(DATE($K$1,$K$2,PUA$4),Table1[],(MATCH(Calendar!$A18,DB!$1:$1,0)),FALSE)),"")</f>
        <v/>
      </c>
      <c r="PUB18" s="28" t="str">
        <f>IFERROR(IF(PUK3="No",IF(VLOOKUP(DATE($K$1,$K$2,PUB$4),Table1[],(MATCH(Calendar!$A18,DB!$1:$1,0)),FALSE)&gt;=5,"Good","Bad"),VLOOKUP(DATE($K$1,$K$2,PUB$4),Table1[],(MATCH(Calendar!$A18,DB!$1:$1,0)),FALSE)),"")</f>
        <v/>
      </c>
      <c r="PUC18" s="28" t="str">
        <f>IFERROR(IF(PUL3="No",IF(VLOOKUP(DATE($K$1,$K$2,PUC$4),Table1[],(MATCH(Calendar!$A18,DB!$1:$1,0)),FALSE)&gt;=5,"Good","Bad"),VLOOKUP(DATE($K$1,$K$2,PUC$4),Table1[],(MATCH(Calendar!$A18,DB!$1:$1,0)),FALSE)),"")</f>
        <v/>
      </c>
      <c r="PUD18" s="28" t="str">
        <f>IFERROR(IF(PUM3="No",IF(VLOOKUP(DATE($K$1,$K$2,PUD$4),Table1[],(MATCH(Calendar!$A18,DB!$1:$1,0)),FALSE)&gt;=5,"Good","Bad"),VLOOKUP(DATE($K$1,$K$2,PUD$4),Table1[],(MATCH(Calendar!$A18,DB!$1:$1,0)),FALSE)),"")</f>
        <v/>
      </c>
      <c r="PUE18" s="28" t="str">
        <f>IFERROR(IF(PUN3="No",IF(VLOOKUP(DATE($K$1,$K$2,PUE$4),Table1[],(MATCH(Calendar!$A18,DB!$1:$1,0)),FALSE)&gt;=5,"Good","Bad"),VLOOKUP(DATE($K$1,$K$2,PUE$4),Table1[],(MATCH(Calendar!$A18,DB!$1:$1,0)),FALSE)),"")</f>
        <v/>
      </c>
      <c r="PUF18" s="28" t="str">
        <f>IFERROR(IF(PUO3="No",IF(VLOOKUP(DATE($K$1,$K$2,PUF$4),Table1[],(MATCH(Calendar!$A18,DB!$1:$1,0)),FALSE)&gt;=5,"Good","Bad"),VLOOKUP(DATE($K$1,$K$2,PUF$4),Table1[],(MATCH(Calendar!$A18,DB!$1:$1,0)),FALSE)),"")</f>
        <v/>
      </c>
      <c r="PUG18" s="28" t="str">
        <f>IFERROR(IF(PUP3="No",IF(VLOOKUP(DATE($K$1,$K$2,PUG$4),Table1[],(MATCH(Calendar!$A18,DB!$1:$1,0)),FALSE)&gt;=5,"Good","Bad"),VLOOKUP(DATE($K$1,$K$2,PUG$4),Table1[],(MATCH(Calendar!$A18,DB!$1:$1,0)),FALSE)),"")</f>
        <v/>
      </c>
      <c r="PUH18" s="28" t="str">
        <f>IFERROR(IF(PUQ3="No",IF(VLOOKUP(DATE($K$1,$K$2,PUH$4),Table1[],(MATCH(Calendar!$A18,DB!$1:$1,0)),FALSE)&gt;=5,"Good","Bad"),VLOOKUP(DATE($K$1,$K$2,PUH$4),Table1[],(MATCH(Calendar!$A18,DB!$1:$1,0)),FALSE)),"")</f>
        <v/>
      </c>
      <c r="PUI18" s="28" t="str">
        <f>IFERROR(IF(PUR3="No",IF(VLOOKUP(DATE($K$1,$K$2,PUI$4),Table1[],(MATCH(Calendar!$A18,DB!$1:$1,0)),FALSE)&gt;=5,"Good","Bad"),VLOOKUP(DATE($K$1,$K$2,PUI$4),Table1[],(MATCH(Calendar!$A18,DB!$1:$1,0)),FALSE)),"")</f>
        <v/>
      </c>
      <c r="PUJ18" s="28" t="str">
        <f>IFERROR(IF(PUS3="No",IF(VLOOKUP(DATE($K$1,$K$2,PUJ$4),Table1[],(MATCH(Calendar!$A18,DB!$1:$1,0)),FALSE)&gt;=5,"Good","Bad"),VLOOKUP(DATE($K$1,$K$2,PUJ$4),Table1[],(MATCH(Calendar!$A18,DB!$1:$1,0)),FALSE)),"")</f>
        <v/>
      </c>
      <c r="PUK18" s="28" t="str">
        <f>IFERROR(IF(PUT3="No",IF(VLOOKUP(DATE($K$1,$K$2,PUK$4),Table1[],(MATCH(Calendar!$A18,DB!$1:$1,0)),FALSE)&gt;=5,"Good","Bad"),VLOOKUP(DATE($K$1,$K$2,PUK$4),Table1[],(MATCH(Calendar!$A18,DB!$1:$1,0)),FALSE)),"")</f>
        <v/>
      </c>
      <c r="PUL18" s="28" t="str">
        <f>IFERROR(IF(PUU3="No",IF(VLOOKUP(DATE($K$1,$K$2,PUL$4),Table1[],(MATCH(Calendar!$A18,DB!$1:$1,0)),FALSE)&gt;=5,"Good","Bad"),VLOOKUP(DATE($K$1,$K$2,PUL$4),Table1[],(MATCH(Calendar!$A18,DB!$1:$1,0)),FALSE)),"")</f>
        <v/>
      </c>
      <c r="PUM18" s="28" t="str">
        <f>IFERROR(IF(PUV3="No",IF(VLOOKUP(DATE($K$1,$K$2,PUM$4),Table1[],(MATCH(Calendar!$A18,DB!$1:$1,0)),FALSE)&gt;=5,"Good","Bad"),VLOOKUP(DATE($K$1,$K$2,PUM$4),Table1[],(MATCH(Calendar!$A18,DB!$1:$1,0)),FALSE)),"")</f>
        <v/>
      </c>
      <c r="PUN18" s="28" t="str">
        <f>IFERROR(IF(PUW3="No",IF(VLOOKUP(DATE($K$1,$K$2,PUN$4),Table1[],(MATCH(Calendar!$A18,DB!$1:$1,0)),FALSE)&gt;=5,"Good","Bad"),VLOOKUP(DATE($K$1,$K$2,PUN$4),Table1[],(MATCH(Calendar!$A18,DB!$1:$1,0)),FALSE)),"")</f>
        <v/>
      </c>
      <c r="PUO18" s="28" t="str">
        <f>IFERROR(IF(PUX3="No",IF(VLOOKUP(DATE($K$1,$K$2,PUO$4),Table1[],(MATCH(Calendar!$A18,DB!$1:$1,0)),FALSE)&gt;=5,"Good","Bad"),VLOOKUP(DATE($K$1,$K$2,PUO$4),Table1[],(MATCH(Calendar!$A18,DB!$1:$1,0)),FALSE)),"")</f>
        <v/>
      </c>
      <c r="PUP18" s="28" t="str">
        <f>IFERROR(IF(PUY3="No",IF(VLOOKUP(DATE($K$1,$K$2,PUP$4),Table1[],(MATCH(Calendar!$A18,DB!$1:$1,0)),FALSE)&gt;=5,"Good","Bad"),VLOOKUP(DATE($K$1,$K$2,PUP$4),Table1[],(MATCH(Calendar!$A18,DB!$1:$1,0)),FALSE)),"")</f>
        <v/>
      </c>
      <c r="PUQ18" s="28" t="str">
        <f>IFERROR(IF(PUZ3="No",IF(VLOOKUP(DATE($K$1,$K$2,PUQ$4),Table1[],(MATCH(Calendar!$A18,DB!$1:$1,0)),FALSE)&gt;=5,"Good","Bad"),VLOOKUP(DATE($K$1,$K$2,PUQ$4),Table1[],(MATCH(Calendar!$A18,DB!$1:$1,0)),FALSE)),"")</f>
        <v/>
      </c>
      <c r="PUR18" s="28" t="str">
        <f>IFERROR(IF(PVA3="No",IF(VLOOKUP(DATE($K$1,$K$2,PUR$4),Table1[],(MATCH(Calendar!$A18,DB!$1:$1,0)),FALSE)&gt;=5,"Good","Bad"),VLOOKUP(DATE($K$1,$K$2,PUR$4),Table1[],(MATCH(Calendar!$A18,DB!$1:$1,0)),FALSE)),"")</f>
        <v/>
      </c>
      <c r="PUS18" s="28" t="str">
        <f>IFERROR(IF(PVB3="No",IF(VLOOKUP(DATE($K$1,$K$2,PUS$4),Table1[],(MATCH(Calendar!$A18,DB!$1:$1,0)),FALSE)&gt;=5,"Good","Bad"),VLOOKUP(DATE($K$1,$K$2,PUS$4),Table1[],(MATCH(Calendar!$A18,DB!$1:$1,0)),FALSE)),"")</f>
        <v/>
      </c>
      <c r="PUT18" s="28" t="str">
        <f>IFERROR(IF(PVC3="No",IF(VLOOKUP(DATE($K$1,$K$2,PUT$4),Table1[],(MATCH(Calendar!$A18,DB!$1:$1,0)),FALSE)&gt;=5,"Good","Bad"),VLOOKUP(DATE($K$1,$K$2,PUT$4),Table1[],(MATCH(Calendar!$A18,DB!$1:$1,0)),FALSE)),"")</f>
        <v/>
      </c>
      <c r="PUU18" s="28" t="str">
        <f>IFERROR(IF(PVD3="No",IF(VLOOKUP(DATE($K$1,$K$2,PUU$4),Table1[],(MATCH(Calendar!$A18,DB!$1:$1,0)),FALSE)&gt;=5,"Good","Bad"),VLOOKUP(DATE($K$1,$K$2,PUU$4),Table1[],(MATCH(Calendar!$A18,DB!$1:$1,0)),FALSE)),"")</f>
        <v/>
      </c>
      <c r="PUV18" s="28" t="str">
        <f>IFERROR(IF(PVE3="No",IF(VLOOKUP(DATE($K$1,$K$2,PUV$4),Table1[],(MATCH(Calendar!$A18,DB!$1:$1,0)),FALSE)&gt;=5,"Good","Bad"),VLOOKUP(DATE($K$1,$K$2,PUV$4),Table1[],(MATCH(Calendar!$A18,DB!$1:$1,0)),FALSE)),"")</f>
        <v/>
      </c>
      <c r="PUW18" s="28" t="str">
        <f>IFERROR(IF(PVF3="No",IF(VLOOKUP(DATE($K$1,$K$2,PUW$4),Table1[],(MATCH(Calendar!$A18,DB!$1:$1,0)),FALSE)&gt;=5,"Good","Bad"),VLOOKUP(DATE($K$1,$K$2,PUW$4),Table1[],(MATCH(Calendar!$A18,DB!$1:$1,0)),FALSE)),"")</f>
        <v/>
      </c>
      <c r="PUX18" s="28" t="str">
        <f>IFERROR(IF(PVG3="No",IF(VLOOKUP(DATE($K$1,$K$2,PUX$4),Table1[],(MATCH(Calendar!$A18,DB!$1:$1,0)),FALSE)&gt;=5,"Good","Bad"),VLOOKUP(DATE($K$1,$K$2,PUX$4),Table1[],(MATCH(Calendar!$A18,DB!$1:$1,0)),FALSE)),"")</f>
        <v/>
      </c>
      <c r="PUY18" s="28" t="str">
        <f>IFERROR(IF(PVH3="No",IF(VLOOKUP(DATE($K$1,$K$2,PUY$4),Table1[],(MATCH(Calendar!$A18,DB!$1:$1,0)),FALSE)&gt;=5,"Good","Bad"),VLOOKUP(DATE($K$1,$K$2,PUY$4),Table1[],(MATCH(Calendar!$A18,DB!$1:$1,0)),FALSE)),"")</f>
        <v/>
      </c>
      <c r="PUZ18" s="28" t="str">
        <f>IFERROR(IF(PVI3="No",IF(VLOOKUP(DATE($K$1,$K$2,PUZ$4),Table1[],(MATCH(Calendar!$A18,DB!$1:$1,0)),FALSE)&gt;=5,"Good","Bad"),VLOOKUP(DATE($K$1,$K$2,PUZ$4),Table1[],(MATCH(Calendar!$A18,DB!$1:$1,0)),FALSE)),"")</f>
        <v/>
      </c>
      <c r="PVA18" s="28" t="str">
        <f>IFERROR(IF(PVJ3="No",IF(VLOOKUP(DATE($K$1,$K$2,PVA$4),Table1[],(MATCH(Calendar!$A18,DB!$1:$1,0)),FALSE)&gt;=5,"Good","Bad"),VLOOKUP(DATE($K$1,$K$2,PVA$4),Table1[],(MATCH(Calendar!$A18,DB!$1:$1,0)),FALSE)),"")</f>
        <v/>
      </c>
      <c r="PVB18" s="28" t="str">
        <f>IFERROR(IF(PVK3="No",IF(VLOOKUP(DATE($K$1,$K$2,PVB$4),Table1[],(MATCH(Calendar!$A18,DB!$1:$1,0)),FALSE)&gt;=5,"Good","Bad"),VLOOKUP(DATE($K$1,$K$2,PVB$4),Table1[],(MATCH(Calendar!$A18,DB!$1:$1,0)),FALSE)),"")</f>
        <v/>
      </c>
      <c r="PVC18" s="28" t="str">
        <f>IFERROR(IF(PVL3="No",IF(VLOOKUP(DATE($K$1,$K$2,PVC$4),Table1[],(MATCH(Calendar!$A18,DB!$1:$1,0)),FALSE)&gt;=5,"Good","Bad"),VLOOKUP(DATE($K$1,$K$2,PVC$4),Table1[],(MATCH(Calendar!$A18,DB!$1:$1,0)),FALSE)),"")</f>
        <v/>
      </c>
      <c r="PVD18" s="28" t="str">
        <f>IFERROR(IF(PVM3="No",IF(VLOOKUP(DATE($K$1,$K$2,PVD$4),Table1[],(MATCH(Calendar!$A18,DB!$1:$1,0)),FALSE)&gt;=5,"Good","Bad"),VLOOKUP(DATE($K$1,$K$2,PVD$4),Table1[],(MATCH(Calendar!$A18,DB!$1:$1,0)),FALSE)),"")</f>
        <v/>
      </c>
      <c r="PVE18" s="28" t="str">
        <f>IFERROR(IF(PVN3="No",IF(VLOOKUP(DATE($K$1,$K$2,PVE$4),Table1[],(MATCH(Calendar!$A18,DB!$1:$1,0)),FALSE)&gt;=5,"Good","Bad"),VLOOKUP(DATE($K$1,$K$2,PVE$4),Table1[],(MATCH(Calendar!$A18,DB!$1:$1,0)),FALSE)),"")</f>
        <v/>
      </c>
      <c r="PVF18" s="28" t="str">
        <f>IFERROR(IF(PVO3="No",IF(VLOOKUP(DATE($K$1,$K$2,PVF$4),Table1[],(MATCH(Calendar!$A18,DB!$1:$1,0)),FALSE)&gt;=5,"Good","Bad"),VLOOKUP(DATE($K$1,$K$2,PVF$4),Table1[],(MATCH(Calendar!$A18,DB!$1:$1,0)),FALSE)),"")</f>
        <v/>
      </c>
      <c r="PVG18" s="28" t="str">
        <f>IFERROR(IF(PVP3="No",IF(VLOOKUP(DATE($K$1,$K$2,PVG$4),Table1[],(MATCH(Calendar!$A18,DB!$1:$1,0)),FALSE)&gt;=5,"Good","Bad"),VLOOKUP(DATE($K$1,$K$2,PVG$4),Table1[],(MATCH(Calendar!$A18,DB!$1:$1,0)),FALSE)),"")</f>
        <v/>
      </c>
      <c r="PVH18" s="28" t="str">
        <f>IFERROR(IF(PVQ3="No",IF(VLOOKUP(DATE($K$1,$K$2,PVH$4),Table1[],(MATCH(Calendar!$A18,DB!$1:$1,0)),FALSE)&gt;=5,"Good","Bad"),VLOOKUP(DATE($K$1,$K$2,PVH$4),Table1[],(MATCH(Calendar!$A18,DB!$1:$1,0)),FALSE)),"")</f>
        <v/>
      </c>
      <c r="PVI18" s="28" t="str">
        <f>IFERROR(IF(PVR3="No",IF(VLOOKUP(DATE($K$1,$K$2,PVI$4),Table1[],(MATCH(Calendar!$A18,DB!$1:$1,0)),FALSE)&gt;=5,"Good","Bad"),VLOOKUP(DATE($K$1,$K$2,PVI$4),Table1[],(MATCH(Calendar!$A18,DB!$1:$1,0)),FALSE)),"")</f>
        <v/>
      </c>
      <c r="PVJ18" s="28" t="str">
        <f>IFERROR(IF(PVS3="No",IF(VLOOKUP(DATE($K$1,$K$2,PVJ$4),Table1[],(MATCH(Calendar!$A18,DB!$1:$1,0)),FALSE)&gt;=5,"Good","Bad"),VLOOKUP(DATE($K$1,$K$2,PVJ$4),Table1[],(MATCH(Calendar!$A18,DB!$1:$1,0)),FALSE)),"")</f>
        <v/>
      </c>
      <c r="PVK18" s="28" t="str">
        <f>IFERROR(IF(PVT3="No",IF(VLOOKUP(DATE($K$1,$K$2,PVK$4),Table1[],(MATCH(Calendar!$A18,DB!$1:$1,0)),FALSE)&gt;=5,"Good","Bad"),VLOOKUP(DATE($K$1,$K$2,PVK$4),Table1[],(MATCH(Calendar!$A18,DB!$1:$1,0)),FALSE)),"")</f>
        <v/>
      </c>
      <c r="PVL18" s="28" t="str">
        <f>IFERROR(IF(PVU3="No",IF(VLOOKUP(DATE($K$1,$K$2,PVL$4),Table1[],(MATCH(Calendar!$A18,DB!$1:$1,0)),FALSE)&gt;=5,"Good","Bad"),VLOOKUP(DATE($K$1,$K$2,PVL$4),Table1[],(MATCH(Calendar!$A18,DB!$1:$1,0)),FALSE)),"")</f>
        <v/>
      </c>
      <c r="PVM18" s="28" t="str">
        <f>IFERROR(IF(PVV3="No",IF(VLOOKUP(DATE($K$1,$K$2,PVM$4),Table1[],(MATCH(Calendar!$A18,DB!$1:$1,0)),FALSE)&gt;=5,"Good","Bad"),VLOOKUP(DATE($K$1,$K$2,PVM$4),Table1[],(MATCH(Calendar!$A18,DB!$1:$1,0)),FALSE)),"")</f>
        <v/>
      </c>
      <c r="PVN18" s="28" t="str">
        <f>IFERROR(IF(PVW3="No",IF(VLOOKUP(DATE($K$1,$K$2,PVN$4),Table1[],(MATCH(Calendar!$A18,DB!$1:$1,0)),FALSE)&gt;=5,"Good","Bad"),VLOOKUP(DATE($K$1,$K$2,PVN$4),Table1[],(MATCH(Calendar!$A18,DB!$1:$1,0)),FALSE)),"")</f>
        <v/>
      </c>
      <c r="PVO18" s="28" t="str">
        <f>IFERROR(IF(PVX3="No",IF(VLOOKUP(DATE($K$1,$K$2,PVO$4),Table1[],(MATCH(Calendar!$A18,DB!$1:$1,0)),FALSE)&gt;=5,"Good","Bad"),VLOOKUP(DATE($K$1,$K$2,PVO$4),Table1[],(MATCH(Calendar!$A18,DB!$1:$1,0)),FALSE)),"")</f>
        <v/>
      </c>
      <c r="PVP18" s="28" t="str">
        <f>IFERROR(IF(PVY3="No",IF(VLOOKUP(DATE($K$1,$K$2,PVP$4),Table1[],(MATCH(Calendar!$A18,DB!$1:$1,0)),FALSE)&gt;=5,"Good","Bad"),VLOOKUP(DATE($K$1,$K$2,PVP$4),Table1[],(MATCH(Calendar!$A18,DB!$1:$1,0)),FALSE)),"")</f>
        <v/>
      </c>
      <c r="PVQ18" s="28" t="str">
        <f>IFERROR(IF(PVZ3="No",IF(VLOOKUP(DATE($K$1,$K$2,PVQ$4),Table1[],(MATCH(Calendar!$A18,DB!$1:$1,0)),FALSE)&gt;=5,"Good","Bad"),VLOOKUP(DATE($K$1,$K$2,PVQ$4),Table1[],(MATCH(Calendar!$A18,DB!$1:$1,0)),FALSE)),"")</f>
        <v/>
      </c>
      <c r="PVR18" s="28" t="str">
        <f>IFERROR(IF(PWA3="No",IF(VLOOKUP(DATE($K$1,$K$2,PVR$4),Table1[],(MATCH(Calendar!$A18,DB!$1:$1,0)),FALSE)&gt;=5,"Good","Bad"),VLOOKUP(DATE($K$1,$K$2,PVR$4),Table1[],(MATCH(Calendar!$A18,DB!$1:$1,0)),FALSE)),"")</f>
        <v/>
      </c>
      <c r="PVS18" s="28" t="str">
        <f>IFERROR(IF(PWB3="No",IF(VLOOKUP(DATE($K$1,$K$2,PVS$4),Table1[],(MATCH(Calendar!$A18,DB!$1:$1,0)),FALSE)&gt;=5,"Good","Bad"),VLOOKUP(DATE($K$1,$K$2,PVS$4),Table1[],(MATCH(Calendar!$A18,DB!$1:$1,0)),FALSE)),"")</f>
        <v/>
      </c>
      <c r="PVT18" s="28" t="str">
        <f>IFERROR(IF(PWC3="No",IF(VLOOKUP(DATE($K$1,$K$2,PVT$4),Table1[],(MATCH(Calendar!$A18,DB!$1:$1,0)),FALSE)&gt;=5,"Good","Bad"),VLOOKUP(DATE($K$1,$K$2,PVT$4),Table1[],(MATCH(Calendar!$A18,DB!$1:$1,0)),FALSE)),"")</f>
        <v/>
      </c>
      <c r="PVU18" s="28" t="str">
        <f>IFERROR(IF(PWD3="No",IF(VLOOKUP(DATE($K$1,$K$2,PVU$4),Table1[],(MATCH(Calendar!$A18,DB!$1:$1,0)),FALSE)&gt;=5,"Good","Bad"),VLOOKUP(DATE($K$1,$K$2,PVU$4),Table1[],(MATCH(Calendar!$A18,DB!$1:$1,0)),FALSE)),"")</f>
        <v/>
      </c>
      <c r="PVV18" s="28" t="str">
        <f>IFERROR(IF(PWE3="No",IF(VLOOKUP(DATE($K$1,$K$2,PVV$4),Table1[],(MATCH(Calendar!$A18,DB!$1:$1,0)),FALSE)&gt;=5,"Good","Bad"),VLOOKUP(DATE($K$1,$K$2,PVV$4),Table1[],(MATCH(Calendar!$A18,DB!$1:$1,0)),FALSE)),"")</f>
        <v/>
      </c>
      <c r="PVW18" s="28" t="str">
        <f>IFERROR(IF(PWF3="No",IF(VLOOKUP(DATE($K$1,$K$2,PVW$4),Table1[],(MATCH(Calendar!$A18,DB!$1:$1,0)),FALSE)&gt;=5,"Good","Bad"),VLOOKUP(DATE($K$1,$K$2,PVW$4),Table1[],(MATCH(Calendar!$A18,DB!$1:$1,0)),FALSE)),"")</f>
        <v/>
      </c>
      <c r="PVX18" s="28" t="str">
        <f>IFERROR(IF(PWG3="No",IF(VLOOKUP(DATE($K$1,$K$2,PVX$4),Table1[],(MATCH(Calendar!$A18,DB!$1:$1,0)),FALSE)&gt;=5,"Good","Bad"),VLOOKUP(DATE($K$1,$K$2,PVX$4),Table1[],(MATCH(Calendar!$A18,DB!$1:$1,0)),FALSE)),"")</f>
        <v/>
      </c>
      <c r="PVY18" s="28" t="str">
        <f>IFERROR(IF(PWH3="No",IF(VLOOKUP(DATE($K$1,$K$2,PVY$4),Table1[],(MATCH(Calendar!$A18,DB!$1:$1,0)),FALSE)&gt;=5,"Good","Bad"),VLOOKUP(DATE($K$1,$K$2,PVY$4),Table1[],(MATCH(Calendar!$A18,DB!$1:$1,0)),FALSE)),"")</f>
        <v/>
      </c>
      <c r="PVZ18" s="28" t="str">
        <f>IFERROR(IF(PWI3="No",IF(VLOOKUP(DATE($K$1,$K$2,PVZ$4),Table1[],(MATCH(Calendar!$A18,DB!$1:$1,0)),FALSE)&gt;=5,"Good","Bad"),VLOOKUP(DATE($K$1,$K$2,PVZ$4),Table1[],(MATCH(Calendar!$A18,DB!$1:$1,0)),FALSE)),"")</f>
        <v/>
      </c>
      <c r="PWA18" s="28" t="str">
        <f>IFERROR(IF(PWJ3="No",IF(VLOOKUP(DATE($K$1,$K$2,PWA$4),Table1[],(MATCH(Calendar!$A18,DB!$1:$1,0)),FALSE)&gt;=5,"Good","Bad"),VLOOKUP(DATE($K$1,$K$2,PWA$4),Table1[],(MATCH(Calendar!$A18,DB!$1:$1,0)),FALSE)),"")</f>
        <v/>
      </c>
      <c r="PWB18" s="28" t="str">
        <f>IFERROR(IF(PWK3="No",IF(VLOOKUP(DATE($K$1,$K$2,PWB$4),Table1[],(MATCH(Calendar!$A18,DB!$1:$1,0)),FALSE)&gt;=5,"Good","Bad"),VLOOKUP(DATE($K$1,$K$2,PWB$4),Table1[],(MATCH(Calendar!$A18,DB!$1:$1,0)),FALSE)),"")</f>
        <v/>
      </c>
      <c r="PWC18" s="28" t="str">
        <f>IFERROR(IF(PWL3="No",IF(VLOOKUP(DATE($K$1,$K$2,PWC$4),Table1[],(MATCH(Calendar!$A18,DB!$1:$1,0)),FALSE)&gt;=5,"Good","Bad"),VLOOKUP(DATE($K$1,$K$2,PWC$4),Table1[],(MATCH(Calendar!$A18,DB!$1:$1,0)),FALSE)),"")</f>
        <v/>
      </c>
      <c r="PWD18" s="28" t="str">
        <f>IFERROR(IF(PWM3="No",IF(VLOOKUP(DATE($K$1,$K$2,PWD$4),Table1[],(MATCH(Calendar!$A18,DB!$1:$1,0)),FALSE)&gt;=5,"Good","Bad"),VLOOKUP(DATE($K$1,$K$2,PWD$4),Table1[],(MATCH(Calendar!$A18,DB!$1:$1,0)),FALSE)),"")</f>
        <v/>
      </c>
      <c r="PWE18" s="28" t="str">
        <f>IFERROR(IF(PWN3="No",IF(VLOOKUP(DATE($K$1,$K$2,PWE$4),Table1[],(MATCH(Calendar!$A18,DB!$1:$1,0)),FALSE)&gt;=5,"Good","Bad"),VLOOKUP(DATE($K$1,$K$2,PWE$4),Table1[],(MATCH(Calendar!$A18,DB!$1:$1,0)),FALSE)),"")</f>
        <v/>
      </c>
      <c r="PWF18" s="28" t="str">
        <f>IFERROR(IF(PWO3="No",IF(VLOOKUP(DATE($K$1,$K$2,PWF$4),Table1[],(MATCH(Calendar!$A18,DB!$1:$1,0)),FALSE)&gt;=5,"Good","Bad"),VLOOKUP(DATE($K$1,$K$2,PWF$4),Table1[],(MATCH(Calendar!$A18,DB!$1:$1,0)),FALSE)),"")</f>
        <v/>
      </c>
      <c r="PWG18" s="28" t="str">
        <f>IFERROR(IF(PWP3="No",IF(VLOOKUP(DATE($K$1,$K$2,PWG$4),Table1[],(MATCH(Calendar!$A18,DB!$1:$1,0)),FALSE)&gt;=5,"Good","Bad"),VLOOKUP(DATE($K$1,$K$2,PWG$4),Table1[],(MATCH(Calendar!$A18,DB!$1:$1,0)),FALSE)),"")</f>
        <v/>
      </c>
      <c r="PWH18" s="28" t="str">
        <f>IFERROR(IF(PWQ3="No",IF(VLOOKUP(DATE($K$1,$K$2,PWH$4),Table1[],(MATCH(Calendar!$A18,DB!$1:$1,0)),FALSE)&gt;=5,"Good","Bad"),VLOOKUP(DATE($K$1,$K$2,PWH$4),Table1[],(MATCH(Calendar!$A18,DB!$1:$1,0)),FALSE)),"")</f>
        <v/>
      </c>
      <c r="PWI18" s="28" t="str">
        <f>IFERROR(IF(PWR3="No",IF(VLOOKUP(DATE($K$1,$K$2,PWI$4),Table1[],(MATCH(Calendar!$A18,DB!$1:$1,0)),FALSE)&gt;=5,"Good","Bad"),VLOOKUP(DATE($K$1,$K$2,PWI$4),Table1[],(MATCH(Calendar!$A18,DB!$1:$1,0)),FALSE)),"")</f>
        <v/>
      </c>
      <c r="PWJ18" s="28" t="str">
        <f>IFERROR(IF(PWS3="No",IF(VLOOKUP(DATE($K$1,$K$2,PWJ$4),Table1[],(MATCH(Calendar!$A18,DB!$1:$1,0)),FALSE)&gt;=5,"Good","Bad"),VLOOKUP(DATE($K$1,$K$2,PWJ$4),Table1[],(MATCH(Calendar!$A18,DB!$1:$1,0)),FALSE)),"")</f>
        <v/>
      </c>
      <c r="PWK18" s="28" t="str">
        <f>IFERROR(IF(PWT3="No",IF(VLOOKUP(DATE($K$1,$K$2,PWK$4),Table1[],(MATCH(Calendar!$A18,DB!$1:$1,0)),FALSE)&gt;=5,"Good","Bad"),VLOOKUP(DATE($K$1,$K$2,PWK$4),Table1[],(MATCH(Calendar!$A18,DB!$1:$1,0)),FALSE)),"")</f>
        <v/>
      </c>
      <c r="PWL18" s="28" t="str">
        <f>IFERROR(IF(PWU3="No",IF(VLOOKUP(DATE($K$1,$K$2,PWL$4),Table1[],(MATCH(Calendar!$A18,DB!$1:$1,0)),FALSE)&gt;=5,"Good","Bad"),VLOOKUP(DATE($K$1,$K$2,PWL$4),Table1[],(MATCH(Calendar!$A18,DB!$1:$1,0)),FALSE)),"")</f>
        <v/>
      </c>
      <c r="PWM18" s="28" t="str">
        <f>IFERROR(IF(PWV3="No",IF(VLOOKUP(DATE($K$1,$K$2,PWM$4),Table1[],(MATCH(Calendar!$A18,DB!$1:$1,0)),FALSE)&gt;=5,"Good","Bad"),VLOOKUP(DATE($K$1,$K$2,PWM$4),Table1[],(MATCH(Calendar!$A18,DB!$1:$1,0)),FALSE)),"")</f>
        <v/>
      </c>
      <c r="PWN18" s="28" t="str">
        <f>IFERROR(IF(PWW3="No",IF(VLOOKUP(DATE($K$1,$K$2,PWN$4),Table1[],(MATCH(Calendar!$A18,DB!$1:$1,0)),FALSE)&gt;=5,"Good","Bad"),VLOOKUP(DATE($K$1,$K$2,PWN$4),Table1[],(MATCH(Calendar!$A18,DB!$1:$1,0)),FALSE)),"")</f>
        <v/>
      </c>
      <c r="PWO18" s="28" t="str">
        <f>IFERROR(IF(PWX3="No",IF(VLOOKUP(DATE($K$1,$K$2,PWO$4),Table1[],(MATCH(Calendar!$A18,DB!$1:$1,0)),FALSE)&gt;=5,"Good","Bad"),VLOOKUP(DATE($K$1,$K$2,PWO$4),Table1[],(MATCH(Calendar!$A18,DB!$1:$1,0)),FALSE)),"")</f>
        <v/>
      </c>
      <c r="PWP18" s="28" t="str">
        <f>IFERROR(IF(PWY3="No",IF(VLOOKUP(DATE($K$1,$K$2,PWP$4),Table1[],(MATCH(Calendar!$A18,DB!$1:$1,0)),FALSE)&gt;=5,"Good","Bad"),VLOOKUP(DATE($K$1,$K$2,PWP$4),Table1[],(MATCH(Calendar!$A18,DB!$1:$1,0)),FALSE)),"")</f>
        <v/>
      </c>
      <c r="PWQ18" s="28" t="str">
        <f>IFERROR(IF(PWZ3="No",IF(VLOOKUP(DATE($K$1,$K$2,PWQ$4),Table1[],(MATCH(Calendar!$A18,DB!$1:$1,0)),FALSE)&gt;=5,"Good","Bad"),VLOOKUP(DATE($K$1,$K$2,PWQ$4),Table1[],(MATCH(Calendar!$A18,DB!$1:$1,0)),FALSE)),"")</f>
        <v/>
      </c>
      <c r="PWR18" s="28" t="str">
        <f>IFERROR(IF(PXA3="No",IF(VLOOKUP(DATE($K$1,$K$2,PWR$4),Table1[],(MATCH(Calendar!$A18,DB!$1:$1,0)),FALSE)&gt;=5,"Good","Bad"),VLOOKUP(DATE($K$1,$K$2,PWR$4),Table1[],(MATCH(Calendar!$A18,DB!$1:$1,0)),FALSE)),"")</f>
        <v/>
      </c>
      <c r="PWS18" s="28" t="str">
        <f>IFERROR(IF(PXB3="No",IF(VLOOKUP(DATE($K$1,$K$2,PWS$4),Table1[],(MATCH(Calendar!$A18,DB!$1:$1,0)),FALSE)&gt;=5,"Good","Bad"),VLOOKUP(DATE($K$1,$K$2,PWS$4),Table1[],(MATCH(Calendar!$A18,DB!$1:$1,0)),FALSE)),"")</f>
        <v/>
      </c>
      <c r="PWT18" s="28" t="str">
        <f>IFERROR(IF(PXC3="No",IF(VLOOKUP(DATE($K$1,$K$2,PWT$4),Table1[],(MATCH(Calendar!$A18,DB!$1:$1,0)),FALSE)&gt;=5,"Good","Bad"),VLOOKUP(DATE($K$1,$K$2,PWT$4),Table1[],(MATCH(Calendar!$A18,DB!$1:$1,0)),FALSE)),"")</f>
        <v/>
      </c>
      <c r="PWU18" s="28" t="str">
        <f>IFERROR(IF(PXD3="No",IF(VLOOKUP(DATE($K$1,$K$2,PWU$4),Table1[],(MATCH(Calendar!$A18,DB!$1:$1,0)),FALSE)&gt;=5,"Good","Bad"),VLOOKUP(DATE($K$1,$K$2,PWU$4),Table1[],(MATCH(Calendar!$A18,DB!$1:$1,0)),FALSE)),"")</f>
        <v/>
      </c>
      <c r="PWV18" s="28" t="str">
        <f>IFERROR(IF(PXE3="No",IF(VLOOKUP(DATE($K$1,$K$2,PWV$4),Table1[],(MATCH(Calendar!$A18,DB!$1:$1,0)),FALSE)&gt;=5,"Good","Bad"),VLOOKUP(DATE($K$1,$K$2,PWV$4),Table1[],(MATCH(Calendar!$A18,DB!$1:$1,0)),FALSE)),"")</f>
        <v/>
      </c>
      <c r="PWW18" s="28" t="str">
        <f>IFERROR(IF(PXF3="No",IF(VLOOKUP(DATE($K$1,$K$2,PWW$4),Table1[],(MATCH(Calendar!$A18,DB!$1:$1,0)),FALSE)&gt;=5,"Good","Bad"),VLOOKUP(DATE($K$1,$K$2,PWW$4),Table1[],(MATCH(Calendar!$A18,DB!$1:$1,0)),FALSE)),"")</f>
        <v/>
      </c>
      <c r="PWX18" s="28" t="str">
        <f>IFERROR(IF(PXG3="No",IF(VLOOKUP(DATE($K$1,$K$2,PWX$4),Table1[],(MATCH(Calendar!$A18,DB!$1:$1,0)),FALSE)&gt;=5,"Good","Bad"),VLOOKUP(DATE($K$1,$K$2,PWX$4),Table1[],(MATCH(Calendar!$A18,DB!$1:$1,0)),FALSE)),"")</f>
        <v/>
      </c>
      <c r="PWY18" s="28" t="str">
        <f>IFERROR(IF(PXH3="No",IF(VLOOKUP(DATE($K$1,$K$2,PWY$4),Table1[],(MATCH(Calendar!$A18,DB!$1:$1,0)),FALSE)&gt;=5,"Good","Bad"),VLOOKUP(DATE($K$1,$K$2,PWY$4),Table1[],(MATCH(Calendar!$A18,DB!$1:$1,0)),FALSE)),"")</f>
        <v/>
      </c>
      <c r="PWZ18" s="28" t="str">
        <f>IFERROR(IF(PXI3="No",IF(VLOOKUP(DATE($K$1,$K$2,PWZ$4),Table1[],(MATCH(Calendar!$A18,DB!$1:$1,0)),FALSE)&gt;=5,"Good","Bad"),VLOOKUP(DATE($K$1,$K$2,PWZ$4),Table1[],(MATCH(Calendar!$A18,DB!$1:$1,0)),FALSE)),"")</f>
        <v/>
      </c>
      <c r="PXA18" s="28" t="str">
        <f>IFERROR(IF(PXJ3="No",IF(VLOOKUP(DATE($K$1,$K$2,PXA$4),Table1[],(MATCH(Calendar!$A18,DB!$1:$1,0)),FALSE)&gt;=5,"Good","Bad"),VLOOKUP(DATE($K$1,$K$2,PXA$4),Table1[],(MATCH(Calendar!$A18,DB!$1:$1,0)),FALSE)),"")</f>
        <v/>
      </c>
      <c r="PXB18" s="28" t="str">
        <f>IFERROR(IF(PXK3="No",IF(VLOOKUP(DATE($K$1,$K$2,PXB$4),Table1[],(MATCH(Calendar!$A18,DB!$1:$1,0)),FALSE)&gt;=5,"Good","Bad"),VLOOKUP(DATE($K$1,$K$2,PXB$4),Table1[],(MATCH(Calendar!$A18,DB!$1:$1,0)),FALSE)),"")</f>
        <v/>
      </c>
      <c r="PXC18" s="28" t="str">
        <f>IFERROR(IF(PXL3="No",IF(VLOOKUP(DATE($K$1,$K$2,PXC$4),Table1[],(MATCH(Calendar!$A18,DB!$1:$1,0)),FALSE)&gt;=5,"Good","Bad"),VLOOKUP(DATE($K$1,$K$2,PXC$4),Table1[],(MATCH(Calendar!$A18,DB!$1:$1,0)),FALSE)),"")</f>
        <v/>
      </c>
      <c r="PXD18" s="28" t="str">
        <f>IFERROR(IF(PXM3="No",IF(VLOOKUP(DATE($K$1,$K$2,PXD$4),Table1[],(MATCH(Calendar!$A18,DB!$1:$1,0)),FALSE)&gt;=5,"Good","Bad"),VLOOKUP(DATE($K$1,$K$2,PXD$4),Table1[],(MATCH(Calendar!$A18,DB!$1:$1,0)),FALSE)),"")</f>
        <v/>
      </c>
      <c r="PXE18" s="28" t="str">
        <f>IFERROR(IF(PXN3="No",IF(VLOOKUP(DATE($K$1,$K$2,PXE$4),Table1[],(MATCH(Calendar!$A18,DB!$1:$1,0)),FALSE)&gt;=5,"Good","Bad"),VLOOKUP(DATE($K$1,$K$2,PXE$4),Table1[],(MATCH(Calendar!$A18,DB!$1:$1,0)),FALSE)),"")</f>
        <v/>
      </c>
      <c r="PXF18" s="28" t="str">
        <f>IFERROR(IF(PXO3="No",IF(VLOOKUP(DATE($K$1,$K$2,PXF$4),Table1[],(MATCH(Calendar!$A18,DB!$1:$1,0)),FALSE)&gt;=5,"Good","Bad"),VLOOKUP(DATE($K$1,$K$2,PXF$4),Table1[],(MATCH(Calendar!$A18,DB!$1:$1,0)),FALSE)),"")</f>
        <v/>
      </c>
      <c r="PXG18" s="28" t="str">
        <f>IFERROR(IF(PXP3="No",IF(VLOOKUP(DATE($K$1,$K$2,PXG$4),Table1[],(MATCH(Calendar!$A18,DB!$1:$1,0)),FALSE)&gt;=5,"Good","Bad"),VLOOKUP(DATE($K$1,$K$2,PXG$4),Table1[],(MATCH(Calendar!$A18,DB!$1:$1,0)),FALSE)),"")</f>
        <v/>
      </c>
      <c r="PXH18" s="28" t="str">
        <f>IFERROR(IF(PXQ3="No",IF(VLOOKUP(DATE($K$1,$K$2,PXH$4),Table1[],(MATCH(Calendar!$A18,DB!$1:$1,0)),FALSE)&gt;=5,"Good","Bad"),VLOOKUP(DATE($K$1,$K$2,PXH$4),Table1[],(MATCH(Calendar!$A18,DB!$1:$1,0)),FALSE)),"")</f>
        <v/>
      </c>
      <c r="PXI18" s="28" t="str">
        <f>IFERROR(IF(PXR3="No",IF(VLOOKUP(DATE($K$1,$K$2,PXI$4),Table1[],(MATCH(Calendar!$A18,DB!$1:$1,0)),FALSE)&gt;=5,"Good","Bad"),VLOOKUP(DATE($K$1,$K$2,PXI$4),Table1[],(MATCH(Calendar!$A18,DB!$1:$1,0)),FALSE)),"")</f>
        <v/>
      </c>
      <c r="PXJ18" s="28" t="str">
        <f>IFERROR(IF(PXS3="No",IF(VLOOKUP(DATE($K$1,$K$2,PXJ$4),Table1[],(MATCH(Calendar!$A18,DB!$1:$1,0)),FALSE)&gt;=5,"Good","Bad"),VLOOKUP(DATE($K$1,$K$2,PXJ$4),Table1[],(MATCH(Calendar!$A18,DB!$1:$1,0)),FALSE)),"")</f>
        <v/>
      </c>
      <c r="PXK18" s="28" t="str">
        <f>IFERROR(IF(PXT3="No",IF(VLOOKUP(DATE($K$1,$K$2,PXK$4),Table1[],(MATCH(Calendar!$A18,DB!$1:$1,0)),FALSE)&gt;=5,"Good","Bad"),VLOOKUP(DATE($K$1,$K$2,PXK$4),Table1[],(MATCH(Calendar!$A18,DB!$1:$1,0)),FALSE)),"")</f>
        <v/>
      </c>
      <c r="PXL18" s="28" t="str">
        <f>IFERROR(IF(PXU3="No",IF(VLOOKUP(DATE($K$1,$K$2,PXL$4),Table1[],(MATCH(Calendar!$A18,DB!$1:$1,0)),FALSE)&gt;=5,"Good","Bad"),VLOOKUP(DATE($K$1,$K$2,PXL$4),Table1[],(MATCH(Calendar!$A18,DB!$1:$1,0)),FALSE)),"")</f>
        <v/>
      </c>
      <c r="PXM18" s="28" t="str">
        <f>IFERROR(IF(PXV3="No",IF(VLOOKUP(DATE($K$1,$K$2,PXM$4),Table1[],(MATCH(Calendar!$A18,DB!$1:$1,0)),FALSE)&gt;=5,"Good","Bad"),VLOOKUP(DATE($K$1,$K$2,PXM$4),Table1[],(MATCH(Calendar!$A18,DB!$1:$1,0)),FALSE)),"")</f>
        <v/>
      </c>
      <c r="PXN18" s="28" t="str">
        <f>IFERROR(IF(PXW3="No",IF(VLOOKUP(DATE($K$1,$K$2,PXN$4),Table1[],(MATCH(Calendar!$A18,DB!$1:$1,0)),FALSE)&gt;=5,"Good","Bad"),VLOOKUP(DATE($K$1,$K$2,PXN$4),Table1[],(MATCH(Calendar!$A18,DB!$1:$1,0)),FALSE)),"")</f>
        <v/>
      </c>
      <c r="PXO18" s="28" t="str">
        <f>IFERROR(IF(PXX3="No",IF(VLOOKUP(DATE($K$1,$K$2,PXO$4),Table1[],(MATCH(Calendar!$A18,DB!$1:$1,0)),FALSE)&gt;=5,"Good","Bad"),VLOOKUP(DATE($K$1,$K$2,PXO$4),Table1[],(MATCH(Calendar!$A18,DB!$1:$1,0)),FALSE)),"")</f>
        <v/>
      </c>
      <c r="PXP18" s="28" t="str">
        <f>IFERROR(IF(PXY3="No",IF(VLOOKUP(DATE($K$1,$K$2,PXP$4),Table1[],(MATCH(Calendar!$A18,DB!$1:$1,0)),FALSE)&gt;=5,"Good","Bad"),VLOOKUP(DATE($K$1,$K$2,PXP$4),Table1[],(MATCH(Calendar!$A18,DB!$1:$1,0)),FALSE)),"")</f>
        <v/>
      </c>
      <c r="PXQ18" s="28" t="str">
        <f>IFERROR(IF(PXZ3="No",IF(VLOOKUP(DATE($K$1,$K$2,PXQ$4),Table1[],(MATCH(Calendar!$A18,DB!$1:$1,0)),FALSE)&gt;=5,"Good","Bad"),VLOOKUP(DATE($K$1,$K$2,PXQ$4),Table1[],(MATCH(Calendar!$A18,DB!$1:$1,0)),FALSE)),"")</f>
        <v/>
      </c>
      <c r="PXR18" s="28" t="str">
        <f>IFERROR(IF(PYA3="No",IF(VLOOKUP(DATE($K$1,$K$2,PXR$4),Table1[],(MATCH(Calendar!$A18,DB!$1:$1,0)),FALSE)&gt;=5,"Good","Bad"),VLOOKUP(DATE($K$1,$K$2,PXR$4),Table1[],(MATCH(Calendar!$A18,DB!$1:$1,0)),FALSE)),"")</f>
        <v/>
      </c>
      <c r="PXS18" s="28" t="str">
        <f>IFERROR(IF(PYB3="No",IF(VLOOKUP(DATE($K$1,$K$2,PXS$4),Table1[],(MATCH(Calendar!$A18,DB!$1:$1,0)),FALSE)&gt;=5,"Good","Bad"),VLOOKUP(DATE($K$1,$K$2,PXS$4),Table1[],(MATCH(Calendar!$A18,DB!$1:$1,0)),FALSE)),"")</f>
        <v/>
      </c>
      <c r="PXT18" s="28" t="str">
        <f>IFERROR(IF(PYC3="No",IF(VLOOKUP(DATE($K$1,$K$2,PXT$4),Table1[],(MATCH(Calendar!$A18,DB!$1:$1,0)),FALSE)&gt;=5,"Good","Bad"),VLOOKUP(DATE($K$1,$K$2,PXT$4),Table1[],(MATCH(Calendar!$A18,DB!$1:$1,0)),FALSE)),"")</f>
        <v/>
      </c>
      <c r="PXU18" s="28" t="str">
        <f>IFERROR(IF(PYD3="No",IF(VLOOKUP(DATE($K$1,$K$2,PXU$4),Table1[],(MATCH(Calendar!$A18,DB!$1:$1,0)),FALSE)&gt;=5,"Good","Bad"),VLOOKUP(DATE($K$1,$K$2,PXU$4),Table1[],(MATCH(Calendar!$A18,DB!$1:$1,0)),FALSE)),"")</f>
        <v/>
      </c>
      <c r="PXV18" s="28" t="str">
        <f>IFERROR(IF(PYE3="No",IF(VLOOKUP(DATE($K$1,$K$2,PXV$4),Table1[],(MATCH(Calendar!$A18,DB!$1:$1,0)),FALSE)&gt;=5,"Good","Bad"),VLOOKUP(DATE($K$1,$K$2,PXV$4),Table1[],(MATCH(Calendar!$A18,DB!$1:$1,0)),FALSE)),"")</f>
        <v/>
      </c>
      <c r="PXW18" s="28" t="str">
        <f>IFERROR(IF(PYF3="No",IF(VLOOKUP(DATE($K$1,$K$2,PXW$4),Table1[],(MATCH(Calendar!$A18,DB!$1:$1,0)),FALSE)&gt;=5,"Good","Bad"),VLOOKUP(DATE($K$1,$K$2,PXW$4),Table1[],(MATCH(Calendar!$A18,DB!$1:$1,0)),FALSE)),"")</f>
        <v/>
      </c>
      <c r="PXX18" s="28" t="str">
        <f>IFERROR(IF(PYG3="No",IF(VLOOKUP(DATE($K$1,$K$2,PXX$4),Table1[],(MATCH(Calendar!$A18,DB!$1:$1,0)),FALSE)&gt;=5,"Good","Bad"),VLOOKUP(DATE($K$1,$K$2,PXX$4),Table1[],(MATCH(Calendar!$A18,DB!$1:$1,0)),FALSE)),"")</f>
        <v/>
      </c>
      <c r="PXY18" s="28" t="str">
        <f>IFERROR(IF(PYH3="No",IF(VLOOKUP(DATE($K$1,$K$2,PXY$4),Table1[],(MATCH(Calendar!$A18,DB!$1:$1,0)),FALSE)&gt;=5,"Good","Bad"),VLOOKUP(DATE($K$1,$K$2,PXY$4),Table1[],(MATCH(Calendar!$A18,DB!$1:$1,0)),FALSE)),"")</f>
        <v/>
      </c>
      <c r="PXZ18" s="28" t="str">
        <f>IFERROR(IF(PYI3="No",IF(VLOOKUP(DATE($K$1,$K$2,PXZ$4),Table1[],(MATCH(Calendar!$A18,DB!$1:$1,0)),FALSE)&gt;=5,"Good","Bad"),VLOOKUP(DATE($K$1,$K$2,PXZ$4),Table1[],(MATCH(Calendar!$A18,DB!$1:$1,0)),FALSE)),"")</f>
        <v/>
      </c>
      <c r="PYA18" s="28" t="str">
        <f>IFERROR(IF(PYJ3="No",IF(VLOOKUP(DATE($K$1,$K$2,PYA$4),Table1[],(MATCH(Calendar!$A18,DB!$1:$1,0)),FALSE)&gt;=5,"Good","Bad"),VLOOKUP(DATE($K$1,$K$2,PYA$4),Table1[],(MATCH(Calendar!$A18,DB!$1:$1,0)),FALSE)),"")</f>
        <v/>
      </c>
      <c r="PYB18" s="28" t="str">
        <f>IFERROR(IF(PYK3="No",IF(VLOOKUP(DATE($K$1,$K$2,PYB$4),Table1[],(MATCH(Calendar!$A18,DB!$1:$1,0)),FALSE)&gt;=5,"Good","Bad"),VLOOKUP(DATE($K$1,$K$2,PYB$4),Table1[],(MATCH(Calendar!$A18,DB!$1:$1,0)),FALSE)),"")</f>
        <v/>
      </c>
      <c r="PYC18" s="28" t="str">
        <f>IFERROR(IF(PYL3="No",IF(VLOOKUP(DATE($K$1,$K$2,PYC$4),Table1[],(MATCH(Calendar!$A18,DB!$1:$1,0)),FALSE)&gt;=5,"Good","Bad"),VLOOKUP(DATE($K$1,$K$2,PYC$4),Table1[],(MATCH(Calendar!$A18,DB!$1:$1,0)),FALSE)),"")</f>
        <v/>
      </c>
      <c r="PYD18" s="28" t="str">
        <f>IFERROR(IF(PYM3="No",IF(VLOOKUP(DATE($K$1,$K$2,PYD$4),Table1[],(MATCH(Calendar!$A18,DB!$1:$1,0)),FALSE)&gt;=5,"Good","Bad"),VLOOKUP(DATE($K$1,$K$2,PYD$4),Table1[],(MATCH(Calendar!$A18,DB!$1:$1,0)),FALSE)),"")</f>
        <v/>
      </c>
      <c r="PYE18" s="28" t="str">
        <f>IFERROR(IF(PYN3="No",IF(VLOOKUP(DATE($K$1,$K$2,PYE$4),Table1[],(MATCH(Calendar!$A18,DB!$1:$1,0)),FALSE)&gt;=5,"Good","Bad"),VLOOKUP(DATE($K$1,$K$2,PYE$4),Table1[],(MATCH(Calendar!$A18,DB!$1:$1,0)),FALSE)),"")</f>
        <v/>
      </c>
      <c r="PYF18" s="28" t="str">
        <f>IFERROR(IF(PYO3="No",IF(VLOOKUP(DATE($K$1,$K$2,PYF$4),Table1[],(MATCH(Calendar!$A18,DB!$1:$1,0)),FALSE)&gt;=5,"Good","Bad"),VLOOKUP(DATE($K$1,$K$2,PYF$4),Table1[],(MATCH(Calendar!$A18,DB!$1:$1,0)),FALSE)),"")</f>
        <v/>
      </c>
      <c r="PYG18" s="28" t="str">
        <f>IFERROR(IF(PYP3="No",IF(VLOOKUP(DATE($K$1,$K$2,PYG$4),Table1[],(MATCH(Calendar!$A18,DB!$1:$1,0)),FALSE)&gt;=5,"Good","Bad"),VLOOKUP(DATE($K$1,$K$2,PYG$4),Table1[],(MATCH(Calendar!$A18,DB!$1:$1,0)),FALSE)),"")</f>
        <v/>
      </c>
      <c r="PYH18" s="28" t="str">
        <f>IFERROR(IF(PYQ3="No",IF(VLOOKUP(DATE($K$1,$K$2,PYH$4),Table1[],(MATCH(Calendar!$A18,DB!$1:$1,0)),FALSE)&gt;=5,"Good","Bad"),VLOOKUP(DATE($K$1,$K$2,PYH$4),Table1[],(MATCH(Calendar!$A18,DB!$1:$1,0)),FALSE)),"")</f>
        <v/>
      </c>
      <c r="PYI18" s="28" t="str">
        <f>IFERROR(IF(PYR3="No",IF(VLOOKUP(DATE($K$1,$K$2,PYI$4),Table1[],(MATCH(Calendar!$A18,DB!$1:$1,0)),FALSE)&gt;=5,"Good","Bad"),VLOOKUP(DATE($K$1,$K$2,PYI$4),Table1[],(MATCH(Calendar!$A18,DB!$1:$1,0)),FALSE)),"")</f>
        <v/>
      </c>
      <c r="PYJ18" s="28" t="str">
        <f>IFERROR(IF(PYS3="No",IF(VLOOKUP(DATE($K$1,$K$2,PYJ$4),Table1[],(MATCH(Calendar!$A18,DB!$1:$1,0)),FALSE)&gt;=5,"Good","Bad"),VLOOKUP(DATE($K$1,$K$2,PYJ$4),Table1[],(MATCH(Calendar!$A18,DB!$1:$1,0)),FALSE)),"")</f>
        <v/>
      </c>
      <c r="PYK18" s="28" t="str">
        <f>IFERROR(IF(PYT3="No",IF(VLOOKUP(DATE($K$1,$K$2,PYK$4),Table1[],(MATCH(Calendar!$A18,DB!$1:$1,0)),FALSE)&gt;=5,"Good","Bad"),VLOOKUP(DATE($K$1,$K$2,PYK$4),Table1[],(MATCH(Calendar!$A18,DB!$1:$1,0)),FALSE)),"")</f>
        <v/>
      </c>
      <c r="PYL18" s="28" t="str">
        <f>IFERROR(IF(PYU3="No",IF(VLOOKUP(DATE($K$1,$K$2,PYL$4),Table1[],(MATCH(Calendar!$A18,DB!$1:$1,0)),FALSE)&gt;=5,"Good","Bad"),VLOOKUP(DATE($K$1,$K$2,PYL$4),Table1[],(MATCH(Calendar!$A18,DB!$1:$1,0)),FALSE)),"")</f>
        <v/>
      </c>
      <c r="PYM18" s="28" t="str">
        <f>IFERROR(IF(PYV3="No",IF(VLOOKUP(DATE($K$1,$K$2,PYM$4),Table1[],(MATCH(Calendar!$A18,DB!$1:$1,0)),FALSE)&gt;=5,"Good","Bad"),VLOOKUP(DATE($K$1,$K$2,PYM$4),Table1[],(MATCH(Calendar!$A18,DB!$1:$1,0)),FALSE)),"")</f>
        <v/>
      </c>
      <c r="PYN18" s="28" t="str">
        <f>IFERROR(IF(PYW3="No",IF(VLOOKUP(DATE($K$1,$K$2,PYN$4),Table1[],(MATCH(Calendar!$A18,DB!$1:$1,0)),FALSE)&gt;=5,"Good","Bad"),VLOOKUP(DATE($K$1,$K$2,PYN$4),Table1[],(MATCH(Calendar!$A18,DB!$1:$1,0)),FALSE)),"")</f>
        <v/>
      </c>
      <c r="PYO18" s="28" t="str">
        <f>IFERROR(IF(PYX3="No",IF(VLOOKUP(DATE($K$1,$K$2,PYO$4),Table1[],(MATCH(Calendar!$A18,DB!$1:$1,0)),FALSE)&gt;=5,"Good","Bad"),VLOOKUP(DATE($K$1,$K$2,PYO$4),Table1[],(MATCH(Calendar!$A18,DB!$1:$1,0)),FALSE)),"")</f>
        <v/>
      </c>
      <c r="PYP18" s="28" t="str">
        <f>IFERROR(IF(PYY3="No",IF(VLOOKUP(DATE($K$1,$K$2,PYP$4),Table1[],(MATCH(Calendar!$A18,DB!$1:$1,0)),FALSE)&gt;=5,"Good","Bad"),VLOOKUP(DATE($K$1,$K$2,PYP$4),Table1[],(MATCH(Calendar!$A18,DB!$1:$1,0)),FALSE)),"")</f>
        <v/>
      </c>
      <c r="PYQ18" s="28" t="str">
        <f>IFERROR(IF(PYZ3="No",IF(VLOOKUP(DATE($K$1,$K$2,PYQ$4),Table1[],(MATCH(Calendar!$A18,DB!$1:$1,0)),FALSE)&gt;=5,"Good","Bad"),VLOOKUP(DATE($K$1,$K$2,PYQ$4),Table1[],(MATCH(Calendar!$A18,DB!$1:$1,0)),FALSE)),"")</f>
        <v/>
      </c>
      <c r="PYR18" s="28" t="str">
        <f>IFERROR(IF(PZA3="No",IF(VLOOKUP(DATE($K$1,$K$2,PYR$4),Table1[],(MATCH(Calendar!$A18,DB!$1:$1,0)),FALSE)&gt;=5,"Good","Bad"),VLOOKUP(DATE($K$1,$K$2,PYR$4),Table1[],(MATCH(Calendar!$A18,DB!$1:$1,0)),FALSE)),"")</f>
        <v/>
      </c>
      <c r="PYS18" s="28" t="str">
        <f>IFERROR(IF(PZB3="No",IF(VLOOKUP(DATE($K$1,$K$2,PYS$4),Table1[],(MATCH(Calendar!$A18,DB!$1:$1,0)),FALSE)&gt;=5,"Good","Bad"),VLOOKUP(DATE($K$1,$K$2,PYS$4),Table1[],(MATCH(Calendar!$A18,DB!$1:$1,0)),FALSE)),"")</f>
        <v/>
      </c>
      <c r="PYT18" s="28" t="str">
        <f>IFERROR(IF(PZC3="No",IF(VLOOKUP(DATE($K$1,$K$2,PYT$4),Table1[],(MATCH(Calendar!$A18,DB!$1:$1,0)),FALSE)&gt;=5,"Good","Bad"),VLOOKUP(DATE($K$1,$K$2,PYT$4),Table1[],(MATCH(Calendar!$A18,DB!$1:$1,0)),FALSE)),"")</f>
        <v/>
      </c>
      <c r="PYU18" s="28" t="str">
        <f>IFERROR(IF(PZD3="No",IF(VLOOKUP(DATE($K$1,$K$2,PYU$4),Table1[],(MATCH(Calendar!$A18,DB!$1:$1,0)),FALSE)&gt;=5,"Good","Bad"),VLOOKUP(DATE($K$1,$K$2,PYU$4),Table1[],(MATCH(Calendar!$A18,DB!$1:$1,0)),FALSE)),"")</f>
        <v/>
      </c>
      <c r="PYV18" s="28" t="str">
        <f>IFERROR(IF(PZE3="No",IF(VLOOKUP(DATE($K$1,$K$2,PYV$4),Table1[],(MATCH(Calendar!$A18,DB!$1:$1,0)),FALSE)&gt;=5,"Good","Bad"),VLOOKUP(DATE($K$1,$K$2,PYV$4),Table1[],(MATCH(Calendar!$A18,DB!$1:$1,0)),FALSE)),"")</f>
        <v/>
      </c>
      <c r="PYW18" s="28" t="str">
        <f>IFERROR(IF(PZF3="No",IF(VLOOKUP(DATE($K$1,$K$2,PYW$4),Table1[],(MATCH(Calendar!$A18,DB!$1:$1,0)),FALSE)&gt;=5,"Good","Bad"),VLOOKUP(DATE($K$1,$K$2,PYW$4),Table1[],(MATCH(Calendar!$A18,DB!$1:$1,0)),FALSE)),"")</f>
        <v/>
      </c>
      <c r="PYX18" s="28" t="str">
        <f>IFERROR(IF(PZG3="No",IF(VLOOKUP(DATE($K$1,$K$2,PYX$4),Table1[],(MATCH(Calendar!$A18,DB!$1:$1,0)),FALSE)&gt;=5,"Good","Bad"),VLOOKUP(DATE($K$1,$K$2,PYX$4),Table1[],(MATCH(Calendar!$A18,DB!$1:$1,0)),FALSE)),"")</f>
        <v/>
      </c>
      <c r="PYY18" s="28" t="str">
        <f>IFERROR(IF(PZH3="No",IF(VLOOKUP(DATE($K$1,$K$2,PYY$4),Table1[],(MATCH(Calendar!$A18,DB!$1:$1,0)),FALSE)&gt;=5,"Good","Bad"),VLOOKUP(DATE($K$1,$K$2,PYY$4),Table1[],(MATCH(Calendar!$A18,DB!$1:$1,0)),FALSE)),"")</f>
        <v/>
      </c>
      <c r="PYZ18" s="28" t="str">
        <f>IFERROR(IF(PZI3="No",IF(VLOOKUP(DATE($K$1,$K$2,PYZ$4),Table1[],(MATCH(Calendar!$A18,DB!$1:$1,0)),FALSE)&gt;=5,"Good","Bad"),VLOOKUP(DATE($K$1,$K$2,PYZ$4),Table1[],(MATCH(Calendar!$A18,DB!$1:$1,0)),FALSE)),"")</f>
        <v/>
      </c>
      <c r="PZA18" s="28" t="str">
        <f>IFERROR(IF(PZJ3="No",IF(VLOOKUP(DATE($K$1,$K$2,PZA$4),Table1[],(MATCH(Calendar!$A18,DB!$1:$1,0)),FALSE)&gt;=5,"Good","Bad"),VLOOKUP(DATE($K$1,$K$2,PZA$4),Table1[],(MATCH(Calendar!$A18,DB!$1:$1,0)),FALSE)),"")</f>
        <v/>
      </c>
      <c r="PZB18" s="28" t="str">
        <f>IFERROR(IF(PZK3="No",IF(VLOOKUP(DATE($K$1,$K$2,PZB$4),Table1[],(MATCH(Calendar!$A18,DB!$1:$1,0)),FALSE)&gt;=5,"Good","Bad"),VLOOKUP(DATE($K$1,$K$2,PZB$4),Table1[],(MATCH(Calendar!$A18,DB!$1:$1,0)),FALSE)),"")</f>
        <v/>
      </c>
      <c r="PZC18" s="28" t="str">
        <f>IFERROR(IF(PZL3="No",IF(VLOOKUP(DATE($K$1,$K$2,PZC$4),Table1[],(MATCH(Calendar!$A18,DB!$1:$1,0)),FALSE)&gt;=5,"Good","Bad"),VLOOKUP(DATE($K$1,$K$2,PZC$4),Table1[],(MATCH(Calendar!$A18,DB!$1:$1,0)),FALSE)),"")</f>
        <v/>
      </c>
      <c r="PZD18" s="28" t="str">
        <f>IFERROR(IF(PZM3="No",IF(VLOOKUP(DATE($K$1,$K$2,PZD$4),Table1[],(MATCH(Calendar!$A18,DB!$1:$1,0)),FALSE)&gt;=5,"Good","Bad"),VLOOKUP(DATE($K$1,$K$2,PZD$4),Table1[],(MATCH(Calendar!$A18,DB!$1:$1,0)),FALSE)),"")</f>
        <v/>
      </c>
      <c r="PZE18" s="28" t="str">
        <f>IFERROR(IF(PZN3="No",IF(VLOOKUP(DATE($K$1,$K$2,PZE$4),Table1[],(MATCH(Calendar!$A18,DB!$1:$1,0)),FALSE)&gt;=5,"Good","Bad"),VLOOKUP(DATE($K$1,$K$2,PZE$4),Table1[],(MATCH(Calendar!$A18,DB!$1:$1,0)),FALSE)),"")</f>
        <v/>
      </c>
      <c r="PZF18" s="28" t="str">
        <f>IFERROR(IF(PZO3="No",IF(VLOOKUP(DATE($K$1,$K$2,PZF$4),Table1[],(MATCH(Calendar!$A18,DB!$1:$1,0)),FALSE)&gt;=5,"Good","Bad"),VLOOKUP(DATE($K$1,$K$2,PZF$4),Table1[],(MATCH(Calendar!$A18,DB!$1:$1,0)),FALSE)),"")</f>
        <v/>
      </c>
      <c r="PZG18" s="28" t="str">
        <f>IFERROR(IF(PZP3="No",IF(VLOOKUP(DATE($K$1,$K$2,PZG$4),Table1[],(MATCH(Calendar!$A18,DB!$1:$1,0)),FALSE)&gt;=5,"Good","Bad"),VLOOKUP(DATE($K$1,$K$2,PZG$4),Table1[],(MATCH(Calendar!$A18,DB!$1:$1,0)),FALSE)),"")</f>
        <v/>
      </c>
      <c r="PZH18" s="28" t="str">
        <f>IFERROR(IF(PZQ3="No",IF(VLOOKUP(DATE($K$1,$K$2,PZH$4),Table1[],(MATCH(Calendar!$A18,DB!$1:$1,0)),FALSE)&gt;=5,"Good","Bad"),VLOOKUP(DATE($K$1,$K$2,PZH$4),Table1[],(MATCH(Calendar!$A18,DB!$1:$1,0)),FALSE)),"")</f>
        <v/>
      </c>
      <c r="PZI18" s="28" t="str">
        <f>IFERROR(IF(PZR3="No",IF(VLOOKUP(DATE($K$1,$K$2,PZI$4),Table1[],(MATCH(Calendar!$A18,DB!$1:$1,0)),FALSE)&gt;=5,"Good","Bad"),VLOOKUP(DATE($K$1,$K$2,PZI$4),Table1[],(MATCH(Calendar!$A18,DB!$1:$1,0)),FALSE)),"")</f>
        <v/>
      </c>
      <c r="PZJ18" s="28" t="str">
        <f>IFERROR(IF(PZS3="No",IF(VLOOKUP(DATE($K$1,$K$2,PZJ$4),Table1[],(MATCH(Calendar!$A18,DB!$1:$1,0)),FALSE)&gt;=5,"Good","Bad"),VLOOKUP(DATE($K$1,$K$2,PZJ$4),Table1[],(MATCH(Calendar!$A18,DB!$1:$1,0)),FALSE)),"")</f>
        <v/>
      </c>
      <c r="PZK18" s="28" t="str">
        <f>IFERROR(IF(PZT3="No",IF(VLOOKUP(DATE($K$1,$K$2,PZK$4),Table1[],(MATCH(Calendar!$A18,DB!$1:$1,0)),FALSE)&gt;=5,"Good","Bad"),VLOOKUP(DATE($K$1,$K$2,PZK$4),Table1[],(MATCH(Calendar!$A18,DB!$1:$1,0)),FALSE)),"")</f>
        <v/>
      </c>
      <c r="PZL18" s="28" t="str">
        <f>IFERROR(IF(PZU3="No",IF(VLOOKUP(DATE($K$1,$K$2,PZL$4),Table1[],(MATCH(Calendar!$A18,DB!$1:$1,0)),FALSE)&gt;=5,"Good","Bad"),VLOOKUP(DATE($K$1,$K$2,PZL$4),Table1[],(MATCH(Calendar!$A18,DB!$1:$1,0)),FALSE)),"")</f>
        <v/>
      </c>
      <c r="PZM18" s="28" t="str">
        <f>IFERROR(IF(PZV3="No",IF(VLOOKUP(DATE($K$1,$K$2,PZM$4),Table1[],(MATCH(Calendar!$A18,DB!$1:$1,0)),FALSE)&gt;=5,"Good","Bad"),VLOOKUP(DATE($K$1,$K$2,PZM$4),Table1[],(MATCH(Calendar!$A18,DB!$1:$1,0)),FALSE)),"")</f>
        <v/>
      </c>
      <c r="PZN18" s="28" t="str">
        <f>IFERROR(IF(PZW3="No",IF(VLOOKUP(DATE($K$1,$K$2,PZN$4),Table1[],(MATCH(Calendar!$A18,DB!$1:$1,0)),FALSE)&gt;=5,"Good","Bad"),VLOOKUP(DATE($K$1,$K$2,PZN$4),Table1[],(MATCH(Calendar!$A18,DB!$1:$1,0)),FALSE)),"")</f>
        <v/>
      </c>
      <c r="PZO18" s="28" t="str">
        <f>IFERROR(IF(PZX3="No",IF(VLOOKUP(DATE($K$1,$K$2,PZO$4),Table1[],(MATCH(Calendar!$A18,DB!$1:$1,0)),FALSE)&gt;=5,"Good","Bad"),VLOOKUP(DATE($K$1,$K$2,PZO$4),Table1[],(MATCH(Calendar!$A18,DB!$1:$1,0)),FALSE)),"")</f>
        <v/>
      </c>
      <c r="PZP18" s="28" t="str">
        <f>IFERROR(IF(PZY3="No",IF(VLOOKUP(DATE($K$1,$K$2,PZP$4),Table1[],(MATCH(Calendar!$A18,DB!$1:$1,0)),FALSE)&gt;=5,"Good","Bad"),VLOOKUP(DATE($K$1,$K$2,PZP$4),Table1[],(MATCH(Calendar!$A18,DB!$1:$1,0)),FALSE)),"")</f>
        <v/>
      </c>
      <c r="PZQ18" s="28" t="str">
        <f>IFERROR(IF(PZZ3="No",IF(VLOOKUP(DATE($K$1,$K$2,PZQ$4),Table1[],(MATCH(Calendar!$A18,DB!$1:$1,0)),FALSE)&gt;=5,"Good","Bad"),VLOOKUP(DATE($K$1,$K$2,PZQ$4),Table1[],(MATCH(Calendar!$A18,DB!$1:$1,0)),FALSE)),"")</f>
        <v/>
      </c>
      <c r="PZR18" s="28" t="str">
        <f>IFERROR(IF(QAA3="No",IF(VLOOKUP(DATE($K$1,$K$2,PZR$4),Table1[],(MATCH(Calendar!$A18,DB!$1:$1,0)),FALSE)&gt;=5,"Good","Bad"),VLOOKUP(DATE($K$1,$K$2,PZR$4),Table1[],(MATCH(Calendar!$A18,DB!$1:$1,0)),FALSE)),"")</f>
        <v/>
      </c>
      <c r="PZS18" s="28" t="str">
        <f>IFERROR(IF(QAB3="No",IF(VLOOKUP(DATE($K$1,$K$2,PZS$4),Table1[],(MATCH(Calendar!$A18,DB!$1:$1,0)),FALSE)&gt;=5,"Good","Bad"),VLOOKUP(DATE($K$1,$K$2,PZS$4),Table1[],(MATCH(Calendar!$A18,DB!$1:$1,0)),FALSE)),"")</f>
        <v/>
      </c>
      <c r="PZT18" s="28" t="str">
        <f>IFERROR(IF(QAC3="No",IF(VLOOKUP(DATE($K$1,$K$2,PZT$4),Table1[],(MATCH(Calendar!$A18,DB!$1:$1,0)),FALSE)&gt;=5,"Good","Bad"),VLOOKUP(DATE($K$1,$K$2,PZT$4),Table1[],(MATCH(Calendar!$A18,DB!$1:$1,0)),FALSE)),"")</f>
        <v/>
      </c>
      <c r="PZU18" s="28" t="str">
        <f>IFERROR(IF(QAD3="No",IF(VLOOKUP(DATE($K$1,$K$2,PZU$4),Table1[],(MATCH(Calendar!$A18,DB!$1:$1,0)),FALSE)&gt;=5,"Good","Bad"),VLOOKUP(DATE($K$1,$K$2,PZU$4),Table1[],(MATCH(Calendar!$A18,DB!$1:$1,0)),FALSE)),"")</f>
        <v/>
      </c>
      <c r="PZV18" s="28" t="str">
        <f>IFERROR(IF(QAE3="No",IF(VLOOKUP(DATE($K$1,$K$2,PZV$4),Table1[],(MATCH(Calendar!$A18,DB!$1:$1,0)),FALSE)&gt;=5,"Good","Bad"),VLOOKUP(DATE($K$1,$K$2,PZV$4),Table1[],(MATCH(Calendar!$A18,DB!$1:$1,0)),FALSE)),"")</f>
        <v/>
      </c>
      <c r="PZW18" s="28" t="str">
        <f>IFERROR(IF(QAF3="No",IF(VLOOKUP(DATE($K$1,$K$2,PZW$4),Table1[],(MATCH(Calendar!$A18,DB!$1:$1,0)),FALSE)&gt;=5,"Good","Bad"),VLOOKUP(DATE($K$1,$K$2,PZW$4),Table1[],(MATCH(Calendar!$A18,DB!$1:$1,0)),FALSE)),"")</f>
        <v/>
      </c>
      <c r="PZX18" s="28" t="str">
        <f>IFERROR(IF(QAG3="No",IF(VLOOKUP(DATE($K$1,$K$2,PZX$4),Table1[],(MATCH(Calendar!$A18,DB!$1:$1,0)),FALSE)&gt;=5,"Good","Bad"),VLOOKUP(DATE($K$1,$K$2,PZX$4),Table1[],(MATCH(Calendar!$A18,DB!$1:$1,0)),FALSE)),"")</f>
        <v/>
      </c>
      <c r="PZY18" s="28" t="str">
        <f>IFERROR(IF(QAH3="No",IF(VLOOKUP(DATE($K$1,$K$2,PZY$4),Table1[],(MATCH(Calendar!$A18,DB!$1:$1,0)),FALSE)&gt;=5,"Good","Bad"),VLOOKUP(DATE($K$1,$K$2,PZY$4),Table1[],(MATCH(Calendar!$A18,DB!$1:$1,0)),FALSE)),"")</f>
        <v/>
      </c>
      <c r="PZZ18" s="28" t="str">
        <f>IFERROR(IF(QAI3="No",IF(VLOOKUP(DATE($K$1,$K$2,PZZ$4),Table1[],(MATCH(Calendar!$A18,DB!$1:$1,0)),FALSE)&gt;=5,"Good","Bad"),VLOOKUP(DATE($K$1,$K$2,PZZ$4),Table1[],(MATCH(Calendar!$A18,DB!$1:$1,0)),FALSE)),"")</f>
        <v/>
      </c>
      <c r="QAA18" s="28" t="str">
        <f>IFERROR(IF(QAJ3="No",IF(VLOOKUP(DATE($K$1,$K$2,QAA$4),Table1[],(MATCH(Calendar!$A18,DB!$1:$1,0)),FALSE)&gt;=5,"Good","Bad"),VLOOKUP(DATE($K$1,$K$2,QAA$4),Table1[],(MATCH(Calendar!$A18,DB!$1:$1,0)),FALSE)),"")</f>
        <v/>
      </c>
      <c r="QAB18" s="28" t="str">
        <f>IFERROR(IF(QAK3="No",IF(VLOOKUP(DATE($K$1,$K$2,QAB$4),Table1[],(MATCH(Calendar!$A18,DB!$1:$1,0)),FALSE)&gt;=5,"Good","Bad"),VLOOKUP(DATE($K$1,$K$2,QAB$4),Table1[],(MATCH(Calendar!$A18,DB!$1:$1,0)),FALSE)),"")</f>
        <v/>
      </c>
      <c r="QAC18" s="28" t="str">
        <f>IFERROR(IF(QAL3="No",IF(VLOOKUP(DATE($K$1,$K$2,QAC$4),Table1[],(MATCH(Calendar!$A18,DB!$1:$1,0)),FALSE)&gt;=5,"Good","Bad"),VLOOKUP(DATE($K$1,$K$2,QAC$4),Table1[],(MATCH(Calendar!$A18,DB!$1:$1,0)),FALSE)),"")</f>
        <v/>
      </c>
      <c r="QAD18" s="28" t="str">
        <f>IFERROR(IF(QAM3="No",IF(VLOOKUP(DATE($K$1,$K$2,QAD$4),Table1[],(MATCH(Calendar!$A18,DB!$1:$1,0)),FALSE)&gt;=5,"Good","Bad"),VLOOKUP(DATE($K$1,$K$2,QAD$4),Table1[],(MATCH(Calendar!$A18,DB!$1:$1,0)),FALSE)),"")</f>
        <v/>
      </c>
      <c r="QAE18" s="28" t="str">
        <f>IFERROR(IF(QAN3="No",IF(VLOOKUP(DATE($K$1,$K$2,QAE$4),Table1[],(MATCH(Calendar!$A18,DB!$1:$1,0)),FALSE)&gt;=5,"Good","Bad"),VLOOKUP(DATE($K$1,$K$2,QAE$4),Table1[],(MATCH(Calendar!$A18,DB!$1:$1,0)),FALSE)),"")</f>
        <v/>
      </c>
      <c r="QAF18" s="28" t="str">
        <f>IFERROR(IF(QAO3="No",IF(VLOOKUP(DATE($K$1,$K$2,QAF$4),Table1[],(MATCH(Calendar!$A18,DB!$1:$1,0)),FALSE)&gt;=5,"Good","Bad"),VLOOKUP(DATE($K$1,$K$2,QAF$4),Table1[],(MATCH(Calendar!$A18,DB!$1:$1,0)),FALSE)),"")</f>
        <v/>
      </c>
      <c r="QAG18" s="28" t="str">
        <f>IFERROR(IF(QAP3="No",IF(VLOOKUP(DATE($K$1,$K$2,QAG$4),Table1[],(MATCH(Calendar!$A18,DB!$1:$1,0)),FALSE)&gt;=5,"Good","Bad"),VLOOKUP(DATE($K$1,$K$2,QAG$4),Table1[],(MATCH(Calendar!$A18,DB!$1:$1,0)),FALSE)),"")</f>
        <v/>
      </c>
      <c r="QAH18" s="28" t="str">
        <f>IFERROR(IF(QAQ3="No",IF(VLOOKUP(DATE($K$1,$K$2,QAH$4),Table1[],(MATCH(Calendar!$A18,DB!$1:$1,0)),FALSE)&gt;=5,"Good","Bad"),VLOOKUP(DATE($K$1,$K$2,QAH$4),Table1[],(MATCH(Calendar!$A18,DB!$1:$1,0)),FALSE)),"")</f>
        <v/>
      </c>
      <c r="QAI18" s="28" t="str">
        <f>IFERROR(IF(QAR3="No",IF(VLOOKUP(DATE($K$1,$K$2,QAI$4),Table1[],(MATCH(Calendar!$A18,DB!$1:$1,0)),FALSE)&gt;=5,"Good","Bad"),VLOOKUP(DATE($K$1,$K$2,QAI$4),Table1[],(MATCH(Calendar!$A18,DB!$1:$1,0)),FALSE)),"")</f>
        <v/>
      </c>
      <c r="QAJ18" s="28" t="str">
        <f>IFERROR(IF(QAS3="No",IF(VLOOKUP(DATE($K$1,$K$2,QAJ$4),Table1[],(MATCH(Calendar!$A18,DB!$1:$1,0)),FALSE)&gt;=5,"Good","Bad"),VLOOKUP(DATE($K$1,$K$2,QAJ$4),Table1[],(MATCH(Calendar!$A18,DB!$1:$1,0)),FALSE)),"")</f>
        <v/>
      </c>
      <c r="QAK18" s="28" t="str">
        <f>IFERROR(IF(QAT3="No",IF(VLOOKUP(DATE($K$1,$K$2,QAK$4),Table1[],(MATCH(Calendar!$A18,DB!$1:$1,0)),FALSE)&gt;=5,"Good","Bad"),VLOOKUP(DATE($K$1,$K$2,QAK$4),Table1[],(MATCH(Calendar!$A18,DB!$1:$1,0)),FALSE)),"")</f>
        <v/>
      </c>
      <c r="QAL18" s="28" t="str">
        <f>IFERROR(IF(QAU3="No",IF(VLOOKUP(DATE($K$1,$K$2,QAL$4),Table1[],(MATCH(Calendar!$A18,DB!$1:$1,0)),FALSE)&gt;=5,"Good","Bad"),VLOOKUP(DATE($K$1,$K$2,QAL$4),Table1[],(MATCH(Calendar!$A18,DB!$1:$1,0)),FALSE)),"")</f>
        <v/>
      </c>
      <c r="QAM18" s="28" t="str">
        <f>IFERROR(IF(QAV3="No",IF(VLOOKUP(DATE($K$1,$K$2,QAM$4),Table1[],(MATCH(Calendar!$A18,DB!$1:$1,0)),FALSE)&gt;=5,"Good","Bad"),VLOOKUP(DATE($K$1,$K$2,QAM$4),Table1[],(MATCH(Calendar!$A18,DB!$1:$1,0)),FALSE)),"")</f>
        <v/>
      </c>
      <c r="QAN18" s="28" t="str">
        <f>IFERROR(IF(QAW3="No",IF(VLOOKUP(DATE($K$1,$K$2,QAN$4),Table1[],(MATCH(Calendar!$A18,DB!$1:$1,0)),FALSE)&gt;=5,"Good","Bad"),VLOOKUP(DATE($K$1,$K$2,QAN$4),Table1[],(MATCH(Calendar!$A18,DB!$1:$1,0)),FALSE)),"")</f>
        <v/>
      </c>
      <c r="QAO18" s="28" t="str">
        <f>IFERROR(IF(QAX3="No",IF(VLOOKUP(DATE($K$1,$K$2,QAO$4),Table1[],(MATCH(Calendar!$A18,DB!$1:$1,0)),FALSE)&gt;=5,"Good","Bad"),VLOOKUP(DATE($K$1,$K$2,QAO$4),Table1[],(MATCH(Calendar!$A18,DB!$1:$1,0)),FALSE)),"")</f>
        <v/>
      </c>
      <c r="QAP18" s="28" t="str">
        <f>IFERROR(IF(QAY3="No",IF(VLOOKUP(DATE($K$1,$K$2,QAP$4),Table1[],(MATCH(Calendar!$A18,DB!$1:$1,0)),FALSE)&gt;=5,"Good","Bad"),VLOOKUP(DATE($K$1,$K$2,QAP$4),Table1[],(MATCH(Calendar!$A18,DB!$1:$1,0)),FALSE)),"")</f>
        <v/>
      </c>
      <c r="QAQ18" s="28" t="str">
        <f>IFERROR(IF(QAZ3="No",IF(VLOOKUP(DATE($K$1,$K$2,QAQ$4),Table1[],(MATCH(Calendar!$A18,DB!$1:$1,0)),FALSE)&gt;=5,"Good","Bad"),VLOOKUP(DATE($K$1,$K$2,QAQ$4),Table1[],(MATCH(Calendar!$A18,DB!$1:$1,0)),FALSE)),"")</f>
        <v/>
      </c>
      <c r="QAR18" s="28" t="str">
        <f>IFERROR(IF(QBA3="No",IF(VLOOKUP(DATE($K$1,$K$2,QAR$4),Table1[],(MATCH(Calendar!$A18,DB!$1:$1,0)),FALSE)&gt;=5,"Good","Bad"),VLOOKUP(DATE($K$1,$K$2,QAR$4),Table1[],(MATCH(Calendar!$A18,DB!$1:$1,0)),FALSE)),"")</f>
        <v/>
      </c>
      <c r="QAS18" s="28" t="str">
        <f>IFERROR(IF(QBB3="No",IF(VLOOKUP(DATE($K$1,$K$2,QAS$4),Table1[],(MATCH(Calendar!$A18,DB!$1:$1,0)),FALSE)&gt;=5,"Good","Bad"),VLOOKUP(DATE($K$1,$K$2,QAS$4),Table1[],(MATCH(Calendar!$A18,DB!$1:$1,0)),FALSE)),"")</f>
        <v/>
      </c>
      <c r="QAT18" s="28" t="str">
        <f>IFERROR(IF(QBC3="No",IF(VLOOKUP(DATE($K$1,$K$2,QAT$4),Table1[],(MATCH(Calendar!$A18,DB!$1:$1,0)),FALSE)&gt;=5,"Good","Bad"),VLOOKUP(DATE($K$1,$K$2,QAT$4),Table1[],(MATCH(Calendar!$A18,DB!$1:$1,0)),FALSE)),"")</f>
        <v/>
      </c>
      <c r="QAU18" s="28" t="str">
        <f>IFERROR(IF(QBD3="No",IF(VLOOKUP(DATE($K$1,$K$2,QAU$4),Table1[],(MATCH(Calendar!$A18,DB!$1:$1,0)),FALSE)&gt;=5,"Good","Bad"),VLOOKUP(DATE($K$1,$K$2,QAU$4),Table1[],(MATCH(Calendar!$A18,DB!$1:$1,0)),FALSE)),"")</f>
        <v/>
      </c>
      <c r="QAV18" s="28" t="str">
        <f>IFERROR(IF(QBE3="No",IF(VLOOKUP(DATE($K$1,$K$2,QAV$4),Table1[],(MATCH(Calendar!$A18,DB!$1:$1,0)),FALSE)&gt;=5,"Good","Bad"),VLOOKUP(DATE($K$1,$K$2,QAV$4),Table1[],(MATCH(Calendar!$A18,DB!$1:$1,0)),FALSE)),"")</f>
        <v/>
      </c>
      <c r="QAW18" s="28" t="str">
        <f>IFERROR(IF(QBF3="No",IF(VLOOKUP(DATE($K$1,$K$2,QAW$4),Table1[],(MATCH(Calendar!$A18,DB!$1:$1,0)),FALSE)&gt;=5,"Good","Bad"),VLOOKUP(DATE($K$1,$K$2,QAW$4),Table1[],(MATCH(Calendar!$A18,DB!$1:$1,0)),FALSE)),"")</f>
        <v/>
      </c>
      <c r="QAX18" s="28" t="str">
        <f>IFERROR(IF(QBG3="No",IF(VLOOKUP(DATE($K$1,$K$2,QAX$4),Table1[],(MATCH(Calendar!$A18,DB!$1:$1,0)),FALSE)&gt;=5,"Good","Bad"),VLOOKUP(DATE($K$1,$K$2,QAX$4),Table1[],(MATCH(Calendar!$A18,DB!$1:$1,0)),FALSE)),"")</f>
        <v/>
      </c>
      <c r="QAY18" s="28" t="str">
        <f>IFERROR(IF(QBH3="No",IF(VLOOKUP(DATE($K$1,$K$2,QAY$4),Table1[],(MATCH(Calendar!$A18,DB!$1:$1,0)),FALSE)&gt;=5,"Good","Bad"),VLOOKUP(DATE($K$1,$K$2,QAY$4),Table1[],(MATCH(Calendar!$A18,DB!$1:$1,0)),FALSE)),"")</f>
        <v/>
      </c>
      <c r="QAZ18" s="28" t="str">
        <f>IFERROR(IF(QBI3="No",IF(VLOOKUP(DATE($K$1,$K$2,QAZ$4),Table1[],(MATCH(Calendar!$A18,DB!$1:$1,0)),FALSE)&gt;=5,"Good","Bad"),VLOOKUP(DATE($K$1,$K$2,QAZ$4),Table1[],(MATCH(Calendar!$A18,DB!$1:$1,0)),FALSE)),"")</f>
        <v/>
      </c>
      <c r="QBA18" s="28" t="str">
        <f>IFERROR(IF(QBJ3="No",IF(VLOOKUP(DATE($K$1,$K$2,QBA$4),Table1[],(MATCH(Calendar!$A18,DB!$1:$1,0)),FALSE)&gt;=5,"Good","Bad"),VLOOKUP(DATE($K$1,$K$2,QBA$4),Table1[],(MATCH(Calendar!$A18,DB!$1:$1,0)),FALSE)),"")</f>
        <v/>
      </c>
      <c r="QBB18" s="28" t="str">
        <f>IFERROR(IF(QBK3="No",IF(VLOOKUP(DATE($K$1,$K$2,QBB$4),Table1[],(MATCH(Calendar!$A18,DB!$1:$1,0)),FALSE)&gt;=5,"Good","Bad"),VLOOKUP(DATE($K$1,$K$2,QBB$4),Table1[],(MATCH(Calendar!$A18,DB!$1:$1,0)),FALSE)),"")</f>
        <v/>
      </c>
      <c r="QBC18" s="28" t="str">
        <f>IFERROR(IF(QBL3="No",IF(VLOOKUP(DATE($K$1,$K$2,QBC$4),Table1[],(MATCH(Calendar!$A18,DB!$1:$1,0)),FALSE)&gt;=5,"Good","Bad"),VLOOKUP(DATE($K$1,$K$2,QBC$4),Table1[],(MATCH(Calendar!$A18,DB!$1:$1,0)),FALSE)),"")</f>
        <v/>
      </c>
      <c r="QBD18" s="28" t="str">
        <f>IFERROR(IF(QBM3="No",IF(VLOOKUP(DATE($K$1,$K$2,QBD$4),Table1[],(MATCH(Calendar!$A18,DB!$1:$1,0)),FALSE)&gt;=5,"Good","Bad"),VLOOKUP(DATE($K$1,$K$2,QBD$4),Table1[],(MATCH(Calendar!$A18,DB!$1:$1,0)),FALSE)),"")</f>
        <v/>
      </c>
      <c r="QBE18" s="28" t="str">
        <f>IFERROR(IF(QBN3="No",IF(VLOOKUP(DATE($K$1,$K$2,QBE$4),Table1[],(MATCH(Calendar!$A18,DB!$1:$1,0)),FALSE)&gt;=5,"Good","Bad"),VLOOKUP(DATE($K$1,$K$2,QBE$4),Table1[],(MATCH(Calendar!$A18,DB!$1:$1,0)),FALSE)),"")</f>
        <v/>
      </c>
      <c r="QBF18" s="28" t="str">
        <f>IFERROR(IF(QBO3="No",IF(VLOOKUP(DATE($K$1,$K$2,QBF$4),Table1[],(MATCH(Calendar!$A18,DB!$1:$1,0)),FALSE)&gt;=5,"Good","Bad"),VLOOKUP(DATE($K$1,$K$2,QBF$4),Table1[],(MATCH(Calendar!$A18,DB!$1:$1,0)),FALSE)),"")</f>
        <v/>
      </c>
      <c r="QBG18" s="28" t="str">
        <f>IFERROR(IF(QBP3="No",IF(VLOOKUP(DATE($K$1,$K$2,QBG$4),Table1[],(MATCH(Calendar!$A18,DB!$1:$1,0)),FALSE)&gt;=5,"Good","Bad"),VLOOKUP(DATE($K$1,$K$2,QBG$4),Table1[],(MATCH(Calendar!$A18,DB!$1:$1,0)),FALSE)),"")</f>
        <v/>
      </c>
      <c r="QBH18" s="28" t="str">
        <f>IFERROR(IF(QBQ3="No",IF(VLOOKUP(DATE($K$1,$K$2,QBH$4),Table1[],(MATCH(Calendar!$A18,DB!$1:$1,0)),FALSE)&gt;=5,"Good","Bad"),VLOOKUP(DATE($K$1,$K$2,QBH$4),Table1[],(MATCH(Calendar!$A18,DB!$1:$1,0)),FALSE)),"")</f>
        <v/>
      </c>
      <c r="QBI18" s="28" t="str">
        <f>IFERROR(IF(QBR3="No",IF(VLOOKUP(DATE($K$1,$K$2,QBI$4),Table1[],(MATCH(Calendar!$A18,DB!$1:$1,0)),FALSE)&gt;=5,"Good","Bad"),VLOOKUP(DATE($K$1,$K$2,QBI$4),Table1[],(MATCH(Calendar!$A18,DB!$1:$1,0)),FALSE)),"")</f>
        <v/>
      </c>
      <c r="QBJ18" s="28" t="str">
        <f>IFERROR(IF(QBS3="No",IF(VLOOKUP(DATE($K$1,$K$2,QBJ$4),Table1[],(MATCH(Calendar!$A18,DB!$1:$1,0)),FALSE)&gt;=5,"Good","Bad"),VLOOKUP(DATE($K$1,$K$2,QBJ$4),Table1[],(MATCH(Calendar!$A18,DB!$1:$1,0)),FALSE)),"")</f>
        <v/>
      </c>
      <c r="QBK18" s="28" t="str">
        <f>IFERROR(IF(QBT3="No",IF(VLOOKUP(DATE($K$1,$K$2,QBK$4),Table1[],(MATCH(Calendar!$A18,DB!$1:$1,0)),FALSE)&gt;=5,"Good","Bad"),VLOOKUP(DATE($K$1,$K$2,QBK$4),Table1[],(MATCH(Calendar!$A18,DB!$1:$1,0)),FALSE)),"")</f>
        <v/>
      </c>
      <c r="QBL18" s="28" t="str">
        <f>IFERROR(IF(QBU3="No",IF(VLOOKUP(DATE($K$1,$K$2,QBL$4),Table1[],(MATCH(Calendar!$A18,DB!$1:$1,0)),FALSE)&gt;=5,"Good","Bad"),VLOOKUP(DATE($K$1,$K$2,QBL$4),Table1[],(MATCH(Calendar!$A18,DB!$1:$1,0)),FALSE)),"")</f>
        <v/>
      </c>
      <c r="QBM18" s="28" t="str">
        <f>IFERROR(IF(QBV3="No",IF(VLOOKUP(DATE($K$1,$K$2,QBM$4),Table1[],(MATCH(Calendar!$A18,DB!$1:$1,0)),FALSE)&gt;=5,"Good","Bad"),VLOOKUP(DATE($K$1,$K$2,QBM$4),Table1[],(MATCH(Calendar!$A18,DB!$1:$1,0)),FALSE)),"")</f>
        <v/>
      </c>
      <c r="QBN18" s="28" t="str">
        <f>IFERROR(IF(QBW3="No",IF(VLOOKUP(DATE($K$1,$K$2,QBN$4),Table1[],(MATCH(Calendar!$A18,DB!$1:$1,0)),FALSE)&gt;=5,"Good","Bad"),VLOOKUP(DATE($K$1,$K$2,QBN$4),Table1[],(MATCH(Calendar!$A18,DB!$1:$1,0)),FALSE)),"")</f>
        <v/>
      </c>
      <c r="QBO18" s="28" t="str">
        <f>IFERROR(IF(QBX3="No",IF(VLOOKUP(DATE($K$1,$K$2,QBO$4),Table1[],(MATCH(Calendar!$A18,DB!$1:$1,0)),FALSE)&gt;=5,"Good","Bad"),VLOOKUP(DATE($K$1,$K$2,QBO$4),Table1[],(MATCH(Calendar!$A18,DB!$1:$1,0)),FALSE)),"")</f>
        <v/>
      </c>
      <c r="QBP18" s="28" t="str">
        <f>IFERROR(IF(QBY3="No",IF(VLOOKUP(DATE($K$1,$K$2,QBP$4),Table1[],(MATCH(Calendar!$A18,DB!$1:$1,0)),FALSE)&gt;=5,"Good","Bad"),VLOOKUP(DATE($K$1,$K$2,QBP$4),Table1[],(MATCH(Calendar!$A18,DB!$1:$1,0)),FALSE)),"")</f>
        <v/>
      </c>
      <c r="QBQ18" s="28" t="str">
        <f>IFERROR(IF(QBZ3="No",IF(VLOOKUP(DATE($K$1,$K$2,QBQ$4),Table1[],(MATCH(Calendar!$A18,DB!$1:$1,0)),FALSE)&gt;=5,"Good","Bad"),VLOOKUP(DATE($K$1,$K$2,QBQ$4),Table1[],(MATCH(Calendar!$A18,DB!$1:$1,0)),FALSE)),"")</f>
        <v/>
      </c>
      <c r="QBR18" s="28" t="str">
        <f>IFERROR(IF(QCA3="No",IF(VLOOKUP(DATE($K$1,$K$2,QBR$4),Table1[],(MATCH(Calendar!$A18,DB!$1:$1,0)),FALSE)&gt;=5,"Good","Bad"),VLOOKUP(DATE($K$1,$K$2,QBR$4),Table1[],(MATCH(Calendar!$A18,DB!$1:$1,0)),FALSE)),"")</f>
        <v/>
      </c>
      <c r="QBS18" s="28" t="str">
        <f>IFERROR(IF(QCB3="No",IF(VLOOKUP(DATE($K$1,$K$2,QBS$4),Table1[],(MATCH(Calendar!$A18,DB!$1:$1,0)),FALSE)&gt;=5,"Good","Bad"),VLOOKUP(DATE($K$1,$K$2,QBS$4),Table1[],(MATCH(Calendar!$A18,DB!$1:$1,0)),FALSE)),"")</f>
        <v/>
      </c>
      <c r="QBT18" s="28" t="str">
        <f>IFERROR(IF(QCC3="No",IF(VLOOKUP(DATE($K$1,$K$2,QBT$4),Table1[],(MATCH(Calendar!$A18,DB!$1:$1,0)),FALSE)&gt;=5,"Good","Bad"),VLOOKUP(DATE($K$1,$K$2,QBT$4),Table1[],(MATCH(Calendar!$A18,DB!$1:$1,0)),FALSE)),"")</f>
        <v/>
      </c>
      <c r="QBU18" s="28" t="str">
        <f>IFERROR(IF(QCD3="No",IF(VLOOKUP(DATE($K$1,$K$2,QBU$4),Table1[],(MATCH(Calendar!$A18,DB!$1:$1,0)),FALSE)&gt;=5,"Good","Bad"),VLOOKUP(DATE($K$1,$K$2,QBU$4),Table1[],(MATCH(Calendar!$A18,DB!$1:$1,0)),FALSE)),"")</f>
        <v/>
      </c>
      <c r="QBV18" s="28" t="str">
        <f>IFERROR(IF(QCE3="No",IF(VLOOKUP(DATE($K$1,$K$2,QBV$4),Table1[],(MATCH(Calendar!$A18,DB!$1:$1,0)),FALSE)&gt;=5,"Good","Bad"),VLOOKUP(DATE($K$1,$K$2,QBV$4),Table1[],(MATCH(Calendar!$A18,DB!$1:$1,0)),FALSE)),"")</f>
        <v/>
      </c>
      <c r="QBW18" s="28" t="str">
        <f>IFERROR(IF(QCF3="No",IF(VLOOKUP(DATE($K$1,$K$2,QBW$4),Table1[],(MATCH(Calendar!$A18,DB!$1:$1,0)),FALSE)&gt;=5,"Good","Bad"),VLOOKUP(DATE($K$1,$K$2,QBW$4),Table1[],(MATCH(Calendar!$A18,DB!$1:$1,0)),FALSE)),"")</f>
        <v/>
      </c>
      <c r="QBX18" s="28" t="str">
        <f>IFERROR(IF(QCG3="No",IF(VLOOKUP(DATE($K$1,$K$2,QBX$4),Table1[],(MATCH(Calendar!$A18,DB!$1:$1,0)),FALSE)&gt;=5,"Good","Bad"),VLOOKUP(DATE($K$1,$K$2,QBX$4),Table1[],(MATCH(Calendar!$A18,DB!$1:$1,0)),FALSE)),"")</f>
        <v/>
      </c>
      <c r="QBY18" s="28" t="str">
        <f>IFERROR(IF(QCH3="No",IF(VLOOKUP(DATE($K$1,$K$2,QBY$4),Table1[],(MATCH(Calendar!$A18,DB!$1:$1,0)),FALSE)&gt;=5,"Good","Bad"),VLOOKUP(DATE($K$1,$K$2,QBY$4),Table1[],(MATCH(Calendar!$A18,DB!$1:$1,0)),FALSE)),"")</f>
        <v/>
      </c>
      <c r="QBZ18" s="28" t="str">
        <f>IFERROR(IF(QCI3="No",IF(VLOOKUP(DATE($K$1,$K$2,QBZ$4),Table1[],(MATCH(Calendar!$A18,DB!$1:$1,0)),FALSE)&gt;=5,"Good","Bad"),VLOOKUP(DATE($K$1,$K$2,QBZ$4),Table1[],(MATCH(Calendar!$A18,DB!$1:$1,0)),FALSE)),"")</f>
        <v/>
      </c>
      <c r="QCA18" s="28" t="str">
        <f>IFERROR(IF(QCJ3="No",IF(VLOOKUP(DATE($K$1,$K$2,QCA$4),Table1[],(MATCH(Calendar!$A18,DB!$1:$1,0)),FALSE)&gt;=5,"Good","Bad"),VLOOKUP(DATE($K$1,$K$2,QCA$4),Table1[],(MATCH(Calendar!$A18,DB!$1:$1,0)),FALSE)),"")</f>
        <v/>
      </c>
      <c r="QCB18" s="28" t="str">
        <f>IFERROR(IF(QCK3="No",IF(VLOOKUP(DATE($K$1,$K$2,QCB$4),Table1[],(MATCH(Calendar!$A18,DB!$1:$1,0)),FALSE)&gt;=5,"Good","Bad"),VLOOKUP(DATE($K$1,$K$2,QCB$4),Table1[],(MATCH(Calendar!$A18,DB!$1:$1,0)),FALSE)),"")</f>
        <v/>
      </c>
      <c r="QCC18" s="28" t="str">
        <f>IFERROR(IF(QCL3="No",IF(VLOOKUP(DATE($K$1,$K$2,QCC$4),Table1[],(MATCH(Calendar!$A18,DB!$1:$1,0)),FALSE)&gt;=5,"Good","Bad"),VLOOKUP(DATE($K$1,$K$2,QCC$4),Table1[],(MATCH(Calendar!$A18,DB!$1:$1,0)),FALSE)),"")</f>
        <v/>
      </c>
      <c r="QCD18" s="28" t="str">
        <f>IFERROR(IF(QCM3="No",IF(VLOOKUP(DATE($K$1,$K$2,QCD$4),Table1[],(MATCH(Calendar!$A18,DB!$1:$1,0)),FALSE)&gt;=5,"Good","Bad"),VLOOKUP(DATE($K$1,$K$2,QCD$4),Table1[],(MATCH(Calendar!$A18,DB!$1:$1,0)),FALSE)),"")</f>
        <v/>
      </c>
      <c r="QCE18" s="28" t="str">
        <f>IFERROR(IF(QCN3="No",IF(VLOOKUP(DATE($K$1,$K$2,QCE$4),Table1[],(MATCH(Calendar!$A18,DB!$1:$1,0)),FALSE)&gt;=5,"Good","Bad"),VLOOKUP(DATE($K$1,$K$2,QCE$4),Table1[],(MATCH(Calendar!$A18,DB!$1:$1,0)),FALSE)),"")</f>
        <v/>
      </c>
      <c r="QCF18" s="28" t="str">
        <f>IFERROR(IF(QCO3="No",IF(VLOOKUP(DATE($K$1,$K$2,QCF$4),Table1[],(MATCH(Calendar!$A18,DB!$1:$1,0)),FALSE)&gt;=5,"Good","Bad"),VLOOKUP(DATE($K$1,$K$2,QCF$4),Table1[],(MATCH(Calendar!$A18,DB!$1:$1,0)),FALSE)),"")</f>
        <v/>
      </c>
      <c r="QCG18" s="28" t="str">
        <f>IFERROR(IF(QCP3="No",IF(VLOOKUP(DATE($K$1,$K$2,QCG$4),Table1[],(MATCH(Calendar!$A18,DB!$1:$1,0)),FALSE)&gt;=5,"Good","Bad"),VLOOKUP(DATE($K$1,$K$2,QCG$4),Table1[],(MATCH(Calendar!$A18,DB!$1:$1,0)),FALSE)),"")</f>
        <v/>
      </c>
      <c r="QCH18" s="28" t="str">
        <f>IFERROR(IF(QCQ3="No",IF(VLOOKUP(DATE($K$1,$K$2,QCH$4),Table1[],(MATCH(Calendar!$A18,DB!$1:$1,0)),FALSE)&gt;=5,"Good","Bad"),VLOOKUP(DATE($K$1,$K$2,QCH$4),Table1[],(MATCH(Calendar!$A18,DB!$1:$1,0)),FALSE)),"")</f>
        <v/>
      </c>
      <c r="QCI18" s="28" t="str">
        <f>IFERROR(IF(QCR3="No",IF(VLOOKUP(DATE($K$1,$K$2,QCI$4),Table1[],(MATCH(Calendar!$A18,DB!$1:$1,0)),FALSE)&gt;=5,"Good","Bad"),VLOOKUP(DATE($K$1,$K$2,QCI$4),Table1[],(MATCH(Calendar!$A18,DB!$1:$1,0)),FALSE)),"")</f>
        <v/>
      </c>
      <c r="QCJ18" s="28" t="str">
        <f>IFERROR(IF(QCS3="No",IF(VLOOKUP(DATE($K$1,$K$2,QCJ$4),Table1[],(MATCH(Calendar!$A18,DB!$1:$1,0)),FALSE)&gt;=5,"Good","Bad"),VLOOKUP(DATE($K$1,$K$2,QCJ$4),Table1[],(MATCH(Calendar!$A18,DB!$1:$1,0)),FALSE)),"")</f>
        <v/>
      </c>
      <c r="QCK18" s="28" t="str">
        <f>IFERROR(IF(QCT3="No",IF(VLOOKUP(DATE($K$1,$K$2,QCK$4),Table1[],(MATCH(Calendar!$A18,DB!$1:$1,0)),FALSE)&gt;=5,"Good","Bad"),VLOOKUP(DATE($K$1,$K$2,QCK$4),Table1[],(MATCH(Calendar!$A18,DB!$1:$1,0)),FALSE)),"")</f>
        <v/>
      </c>
      <c r="QCL18" s="28" t="str">
        <f>IFERROR(IF(QCU3="No",IF(VLOOKUP(DATE($K$1,$K$2,QCL$4),Table1[],(MATCH(Calendar!$A18,DB!$1:$1,0)),FALSE)&gt;=5,"Good","Bad"),VLOOKUP(DATE($K$1,$K$2,QCL$4),Table1[],(MATCH(Calendar!$A18,DB!$1:$1,0)),FALSE)),"")</f>
        <v/>
      </c>
      <c r="QCM18" s="28" t="str">
        <f>IFERROR(IF(QCV3="No",IF(VLOOKUP(DATE($K$1,$K$2,QCM$4),Table1[],(MATCH(Calendar!$A18,DB!$1:$1,0)),FALSE)&gt;=5,"Good","Bad"),VLOOKUP(DATE($K$1,$K$2,QCM$4),Table1[],(MATCH(Calendar!$A18,DB!$1:$1,0)),FALSE)),"")</f>
        <v/>
      </c>
      <c r="QCN18" s="28" t="str">
        <f>IFERROR(IF(QCW3="No",IF(VLOOKUP(DATE($K$1,$K$2,QCN$4),Table1[],(MATCH(Calendar!$A18,DB!$1:$1,0)),FALSE)&gt;=5,"Good","Bad"),VLOOKUP(DATE($K$1,$K$2,QCN$4),Table1[],(MATCH(Calendar!$A18,DB!$1:$1,0)),FALSE)),"")</f>
        <v/>
      </c>
      <c r="QCO18" s="28" t="str">
        <f>IFERROR(IF(QCX3="No",IF(VLOOKUP(DATE($K$1,$K$2,QCO$4),Table1[],(MATCH(Calendar!$A18,DB!$1:$1,0)),FALSE)&gt;=5,"Good","Bad"),VLOOKUP(DATE($K$1,$K$2,QCO$4),Table1[],(MATCH(Calendar!$A18,DB!$1:$1,0)),FALSE)),"")</f>
        <v/>
      </c>
      <c r="QCP18" s="28" t="str">
        <f>IFERROR(IF(QCY3="No",IF(VLOOKUP(DATE($K$1,$K$2,QCP$4),Table1[],(MATCH(Calendar!$A18,DB!$1:$1,0)),FALSE)&gt;=5,"Good","Bad"),VLOOKUP(DATE($K$1,$K$2,QCP$4),Table1[],(MATCH(Calendar!$A18,DB!$1:$1,0)),FALSE)),"")</f>
        <v/>
      </c>
      <c r="QCQ18" s="28" t="str">
        <f>IFERROR(IF(QCZ3="No",IF(VLOOKUP(DATE($K$1,$K$2,QCQ$4),Table1[],(MATCH(Calendar!$A18,DB!$1:$1,0)),FALSE)&gt;=5,"Good","Bad"),VLOOKUP(DATE($K$1,$K$2,QCQ$4),Table1[],(MATCH(Calendar!$A18,DB!$1:$1,0)),FALSE)),"")</f>
        <v/>
      </c>
      <c r="QCR18" s="28" t="str">
        <f>IFERROR(IF(QDA3="No",IF(VLOOKUP(DATE($K$1,$K$2,QCR$4),Table1[],(MATCH(Calendar!$A18,DB!$1:$1,0)),FALSE)&gt;=5,"Good","Bad"),VLOOKUP(DATE($K$1,$K$2,QCR$4),Table1[],(MATCH(Calendar!$A18,DB!$1:$1,0)),FALSE)),"")</f>
        <v/>
      </c>
      <c r="QCS18" s="28" t="str">
        <f>IFERROR(IF(QDB3="No",IF(VLOOKUP(DATE($K$1,$K$2,QCS$4),Table1[],(MATCH(Calendar!$A18,DB!$1:$1,0)),FALSE)&gt;=5,"Good","Bad"),VLOOKUP(DATE($K$1,$K$2,QCS$4),Table1[],(MATCH(Calendar!$A18,DB!$1:$1,0)),FALSE)),"")</f>
        <v/>
      </c>
      <c r="QCT18" s="28" t="str">
        <f>IFERROR(IF(QDC3="No",IF(VLOOKUP(DATE($K$1,$K$2,QCT$4),Table1[],(MATCH(Calendar!$A18,DB!$1:$1,0)),FALSE)&gt;=5,"Good","Bad"),VLOOKUP(DATE($K$1,$K$2,QCT$4),Table1[],(MATCH(Calendar!$A18,DB!$1:$1,0)),FALSE)),"")</f>
        <v/>
      </c>
      <c r="QCU18" s="28" t="str">
        <f>IFERROR(IF(QDD3="No",IF(VLOOKUP(DATE($K$1,$K$2,QCU$4),Table1[],(MATCH(Calendar!$A18,DB!$1:$1,0)),FALSE)&gt;=5,"Good","Bad"),VLOOKUP(DATE($K$1,$K$2,QCU$4),Table1[],(MATCH(Calendar!$A18,DB!$1:$1,0)),FALSE)),"")</f>
        <v/>
      </c>
      <c r="QCV18" s="28" t="str">
        <f>IFERROR(IF(QDE3="No",IF(VLOOKUP(DATE($K$1,$K$2,QCV$4),Table1[],(MATCH(Calendar!$A18,DB!$1:$1,0)),FALSE)&gt;=5,"Good","Bad"),VLOOKUP(DATE($K$1,$K$2,QCV$4),Table1[],(MATCH(Calendar!$A18,DB!$1:$1,0)),FALSE)),"")</f>
        <v/>
      </c>
      <c r="QCW18" s="28" t="str">
        <f>IFERROR(IF(QDF3="No",IF(VLOOKUP(DATE($K$1,$K$2,QCW$4),Table1[],(MATCH(Calendar!$A18,DB!$1:$1,0)),FALSE)&gt;=5,"Good","Bad"),VLOOKUP(DATE($K$1,$K$2,QCW$4),Table1[],(MATCH(Calendar!$A18,DB!$1:$1,0)),FALSE)),"")</f>
        <v/>
      </c>
      <c r="QCX18" s="28" t="str">
        <f>IFERROR(IF(QDG3="No",IF(VLOOKUP(DATE($K$1,$K$2,QCX$4),Table1[],(MATCH(Calendar!$A18,DB!$1:$1,0)),FALSE)&gt;=5,"Good","Bad"),VLOOKUP(DATE($K$1,$K$2,QCX$4),Table1[],(MATCH(Calendar!$A18,DB!$1:$1,0)),FALSE)),"")</f>
        <v/>
      </c>
      <c r="QCY18" s="28" t="str">
        <f>IFERROR(IF(QDH3="No",IF(VLOOKUP(DATE($K$1,$K$2,QCY$4),Table1[],(MATCH(Calendar!$A18,DB!$1:$1,0)),FALSE)&gt;=5,"Good","Bad"),VLOOKUP(DATE($K$1,$K$2,QCY$4),Table1[],(MATCH(Calendar!$A18,DB!$1:$1,0)),FALSE)),"")</f>
        <v/>
      </c>
      <c r="QCZ18" s="28" t="str">
        <f>IFERROR(IF(QDI3="No",IF(VLOOKUP(DATE($K$1,$K$2,QCZ$4),Table1[],(MATCH(Calendar!$A18,DB!$1:$1,0)),FALSE)&gt;=5,"Good","Bad"),VLOOKUP(DATE($K$1,$K$2,QCZ$4),Table1[],(MATCH(Calendar!$A18,DB!$1:$1,0)),FALSE)),"")</f>
        <v/>
      </c>
      <c r="QDA18" s="28" t="str">
        <f>IFERROR(IF(QDJ3="No",IF(VLOOKUP(DATE($K$1,$K$2,QDA$4),Table1[],(MATCH(Calendar!$A18,DB!$1:$1,0)),FALSE)&gt;=5,"Good","Bad"),VLOOKUP(DATE($K$1,$K$2,QDA$4),Table1[],(MATCH(Calendar!$A18,DB!$1:$1,0)),FALSE)),"")</f>
        <v/>
      </c>
      <c r="QDB18" s="28" t="str">
        <f>IFERROR(IF(QDK3="No",IF(VLOOKUP(DATE($K$1,$K$2,QDB$4),Table1[],(MATCH(Calendar!$A18,DB!$1:$1,0)),FALSE)&gt;=5,"Good","Bad"),VLOOKUP(DATE($K$1,$K$2,QDB$4),Table1[],(MATCH(Calendar!$A18,DB!$1:$1,0)),FALSE)),"")</f>
        <v/>
      </c>
      <c r="QDC18" s="28" t="str">
        <f>IFERROR(IF(QDL3="No",IF(VLOOKUP(DATE($K$1,$K$2,QDC$4),Table1[],(MATCH(Calendar!$A18,DB!$1:$1,0)),FALSE)&gt;=5,"Good","Bad"),VLOOKUP(DATE($K$1,$K$2,QDC$4),Table1[],(MATCH(Calendar!$A18,DB!$1:$1,0)),FALSE)),"")</f>
        <v/>
      </c>
      <c r="QDD18" s="28" t="str">
        <f>IFERROR(IF(QDM3="No",IF(VLOOKUP(DATE($K$1,$K$2,QDD$4),Table1[],(MATCH(Calendar!$A18,DB!$1:$1,0)),FALSE)&gt;=5,"Good","Bad"),VLOOKUP(DATE($K$1,$K$2,QDD$4),Table1[],(MATCH(Calendar!$A18,DB!$1:$1,0)),FALSE)),"")</f>
        <v/>
      </c>
      <c r="QDE18" s="28" t="str">
        <f>IFERROR(IF(QDN3="No",IF(VLOOKUP(DATE($K$1,$K$2,QDE$4),Table1[],(MATCH(Calendar!$A18,DB!$1:$1,0)),FALSE)&gt;=5,"Good","Bad"),VLOOKUP(DATE($K$1,$K$2,QDE$4),Table1[],(MATCH(Calendar!$A18,DB!$1:$1,0)),FALSE)),"")</f>
        <v/>
      </c>
      <c r="QDF18" s="28" t="str">
        <f>IFERROR(IF(QDO3="No",IF(VLOOKUP(DATE($K$1,$K$2,QDF$4),Table1[],(MATCH(Calendar!$A18,DB!$1:$1,0)),FALSE)&gt;=5,"Good","Bad"),VLOOKUP(DATE($K$1,$K$2,QDF$4),Table1[],(MATCH(Calendar!$A18,DB!$1:$1,0)),FALSE)),"")</f>
        <v/>
      </c>
      <c r="QDG18" s="28" t="str">
        <f>IFERROR(IF(QDP3="No",IF(VLOOKUP(DATE($K$1,$K$2,QDG$4),Table1[],(MATCH(Calendar!$A18,DB!$1:$1,0)),FALSE)&gt;=5,"Good","Bad"),VLOOKUP(DATE($K$1,$K$2,QDG$4),Table1[],(MATCH(Calendar!$A18,DB!$1:$1,0)),FALSE)),"")</f>
        <v/>
      </c>
      <c r="QDH18" s="28" t="str">
        <f>IFERROR(IF(QDQ3="No",IF(VLOOKUP(DATE($K$1,$K$2,QDH$4),Table1[],(MATCH(Calendar!$A18,DB!$1:$1,0)),FALSE)&gt;=5,"Good","Bad"),VLOOKUP(DATE($K$1,$K$2,QDH$4),Table1[],(MATCH(Calendar!$A18,DB!$1:$1,0)),FALSE)),"")</f>
        <v/>
      </c>
      <c r="QDI18" s="28" t="str">
        <f>IFERROR(IF(QDR3="No",IF(VLOOKUP(DATE($K$1,$K$2,QDI$4),Table1[],(MATCH(Calendar!$A18,DB!$1:$1,0)),FALSE)&gt;=5,"Good","Bad"),VLOOKUP(DATE($K$1,$K$2,QDI$4),Table1[],(MATCH(Calendar!$A18,DB!$1:$1,0)),FALSE)),"")</f>
        <v/>
      </c>
      <c r="QDJ18" s="28" t="str">
        <f>IFERROR(IF(QDS3="No",IF(VLOOKUP(DATE($K$1,$K$2,QDJ$4),Table1[],(MATCH(Calendar!$A18,DB!$1:$1,0)),FALSE)&gt;=5,"Good","Bad"),VLOOKUP(DATE($K$1,$K$2,QDJ$4),Table1[],(MATCH(Calendar!$A18,DB!$1:$1,0)),FALSE)),"")</f>
        <v/>
      </c>
      <c r="QDK18" s="28" t="str">
        <f>IFERROR(IF(QDT3="No",IF(VLOOKUP(DATE($K$1,$K$2,QDK$4),Table1[],(MATCH(Calendar!$A18,DB!$1:$1,0)),FALSE)&gt;=5,"Good","Bad"),VLOOKUP(DATE($K$1,$K$2,QDK$4),Table1[],(MATCH(Calendar!$A18,DB!$1:$1,0)),FALSE)),"")</f>
        <v/>
      </c>
      <c r="QDL18" s="28" t="str">
        <f>IFERROR(IF(QDU3="No",IF(VLOOKUP(DATE($K$1,$K$2,QDL$4),Table1[],(MATCH(Calendar!$A18,DB!$1:$1,0)),FALSE)&gt;=5,"Good","Bad"),VLOOKUP(DATE($K$1,$K$2,QDL$4),Table1[],(MATCH(Calendar!$A18,DB!$1:$1,0)),FALSE)),"")</f>
        <v/>
      </c>
      <c r="QDM18" s="28" t="str">
        <f>IFERROR(IF(QDV3="No",IF(VLOOKUP(DATE($K$1,$K$2,QDM$4),Table1[],(MATCH(Calendar!$A18,DB!$1:$1,0)),FALSE)&gt;=5,"Good","Bad"),VLOOKUP(DATE($K$1,$K$2,QDM$4),Table1[],(MATCH(Calendar!$A18,DB!$1:$1,0)),FALSE)),"")</f>
        <v/>
      </c>
      <c r="QDN18" s="28" t="str">
        <f>IFERROR(IF(QDW3="No",IF(VLOOKUP(DATE($K$1,$K$2,QDN$4),Table1[],(MATCH(Calendar!$A18,DB!$1:$1,0)),FALSE)&gt;=5,"Good","Bad"),VLOOKUP(DATE($K$1,$K$2,QDN$4),Table1[],(MATCH(Calendar!$A18,DB!$1:$1,0)),FALSE)),"")</f>
        <v/>
      </c>
      <c r="QDO18" s="28" t="str">
        <f>IFERROR(IF(QDX3="No",IF(VLOOKUP(DATE($K$1,$K$2,QDO$4),Table1[],(MATCH(Calendar!$A18,DB!$1:$1,0)),FALSE)&gt;=5,"Good","Bad"),VLOOKUP(DATE($K$1,$K$2,QDO$4),Table1[],(MATCH(Calendar!$A18,DB!$1:$1,0)),FALSE)),"")</f>
        <v/>
      </c>
      <c r="QDP18" s="28" t="str">
        <f>IFERROR(IF(QDY3="No",IF(VLOOKUP(DATE($K$1,$K$2,QDP$4),Table1[],(MATCH(Calendar!$A18,DB!$1:$1,0)),FALSE)&gt;=5,"Good","Bad"),VLOOKUP(DATE($K$1,$K$2,QDP$4),Table1[],(MATCH(Calendar!$A18,DB!$1:$1,0)),FALSE)),"")</f>
        <v/>
      </c>
      <c r="QDQ18" s="28" t="str">
        <f>IFERROR(IF(QDZ3="No",IF(VLOOKUP(DATE($K$1,$K$2,QDQ$4),Table1[],(MATCH(Calendar!$A18,DB!$1:$1,0)),FALSE)&gt;=5,"Good","Bad"),VLOOKUP(DATE($K$1,$K$2,QDQ$4),Table1[],(MATCH(Calendar!$A18,DB!$1:$1,0)),FALSE)),"")</f>
        <v/>
      </c>
      <c r="QDR18" s="28" t="str">
        <f>IFERROR(IF(QEA3="No",IF(VLOOKUP(DATE($K$1,$K$2,QDR$4),Table1[],(MATCH(Calendar!$A18,DB!$1:$1,0)),FALSE)&gt;=5,"Good","Bad"),VLOOKUP(DATE($K$1,$K$2,QDR$4),Table1[],(MATCH(Calendar!$A18,DB!$1:$1,0)),FALSE)),"")</f>
        <v/>
      </c>
      <c r="QDS18" s="28" t="str">
        <f>IFERROR(IF(QEB3="No",IF(VLOOKUP(DATE($K$1,$K$2,QDS$4),Table1[],(MATCH(Calendar!$A18,DB!$1:$1,0)),FALSE)&gt;=5,"Good","Bad"),VLOOKUP(DATE($K$1,$K$2,QDS$4),Table1[],(MATCH(Calendar!$A18,DB!$1:$1,0)),FALSE)),"")</f>
        <v/>
      </c>
      <c r="QDT18" s="28" t="str">
        <f>IFERROR(IF(QEC3="No",IF(VLOOKUP(DATE($K$1,$K$2,QDT$4),Table1[],(MATCH(Calendar!$A18,DB!$1:$1,0)),FALSE)&gt;=5,"Good","Bad"),VLOOKUP(DATE($K$1,$K$2,QDT$4),Table1[],(MATCH(Calendar!$A18,DB!$1:$1,0)),FALSE)),"")</f>
        <v/>
      </c>
      <c r="QDU18" s="28" t="str">
        <f>IFERROR(IF(QED3="No",IF(VLOOKUP(DATE($K$1,$K$2,QDU$4),Table1[],(MATCH(Calendar!$A18,DB!$1:$1,0)),FALSE)&gt;=5,"Good","Bad"),VLOOKUP(DATE($K$1,$K$2,QDU$4),Table1[],(MATCH(Calendar!$A18,DB!$1:$1,0)),FALSE)),"")</f>
        <v/>
      </c>
      <c r="QDV18" s="28" t="str">
        <f>IFERROR(IF(QEE3="No",IF(VLOOKUP(DATE($K$1,$K$2,QDV$4),Table1[],(MATCH(Calendar!$A18,DB!$1:$1,0)),FALSE)&gt;=5,"Good","Bad"),VLOOKUP(DATE($K$1,$K$2,QDV$4),Table1[],(MATCH(Calendar!$A18,DB!$1:$1,0)),FALSE)),"")</f>
        <v/>
      </c>
      <c r="QDW18" s="28" t="str">
        <f>IFERROR(IF(QEF3="No",IF(VLOOKUP(DATE($K$1,$K$2,QDW$4),Table1[],(MATCH(Calendar!$A18,DB!$1:$1,0)),FALSE)&gt;=5,"Good","Bad"),VLOOKUP(DATE($K$1,$K$2,QDW$4),Table1[],(MATCH(Calendar!$A18,DB!$1:$1,0)),FALSE)),"")</f>
        <v/>
      </c>
      <c r="QDX18" s="28" t="str">
        <f>IFERROR(IF(QEG3="No",IF(VLOOKUP(DATE($K$1,$K$2,QDX$4),Table1[],(MATCH(Calendar!$A18,DB!$1:$1,0)),FALSE)&gt;=5,"Good","Bad"),VLOOKUP(DATE($K$1,$K$2,QDX$4),Table1[],(MATCH(Calendar!$A18,DB!$1:$1,0)),FALSE)),"")</f>
        <v/>
      </c>
      <c r="QDY18" s="28" t="str">
        <f>IFERROR(IF(QEH3="No",IF(VLOOKUP(DATE($K$1,$K$2,QDY$4),Table1[],(MATCH(Calendar!$A18,DB!$1:$1,0)),FALSE)&gt;=5,"Good","Bad"),VLOOKUP(DATE($K$1,$K$2,QDY$4),Table1[],(MATCH(Calendar!$A18,DB!$1:$1,0)),FALSE)),"")</f>
        <v/>
      </c>
      <c r="QDZ18" s="28" t="str">
        <f>IFERROR(IF(QEI3="No",IF(VLOOKUP(DATE($K$1,$K$2,QDZ$4),Table1[],(MATCH(Calendar!$A18,DB!$1:$1,0)),FALSE)&gt;=5,"Good","Bad"),VLOOKUP(DATE($K$1,$K$2,QDZ$4),Table1[],(MATCH(Calendar!$A18,DB!$1:$1,0)),FALSE)),"")</f>
        <v/>
      </c>
      <c r="QEA18" s="28" t="str">
        <f>IFERROR(IF(QEJ3="No",IF(VLOOKUP(DATE($K$1,$K$2,QEA$4),Table1[],(MATCH(Calendar!$A18,DB!$1:$1,0)),FALSE)&gt;=5,"Good","Bad"),VLOOKUP(DATE($K$1,$K$2,QEA$4),Table1[],(MATCH(Calendar!$A18,DB!$1:$1,0)),FALSE)),"")</f>
        <v/>
      </c>
      <c r="QEB18" s="28" t="str">
        <f>IFERROR(IF(QEK3="No",IF(VLOOKUP(DATE($K$1,$K$2,QEB$4),Table1[],(MATCH(Calendar!$A18,DB!$1:$1,0)),FALSE)&gt;=5,"Good","Bad"),VLOOKUP(DATE($K$1,$K$2,QEB$4),Table1[],(MATCH(Calendar!$A18,DB!$1:$1,0)),FALSE)),"")</f>
        <v/>
      </c>
      <c r="QEC18" s="28" t="str">
        <f>IFERROR(IF(QEL3="No",IF(VLOOKUP(DATE($K$1,$K$2,QEC$4),Table1[],(MATCH(Calendar!$A18,DB!$1:$1,0)),FALSE)&gt;=5,"Good","Bad"),VLOOKUP(DATE($K$1,$K$2,QEC$4),Table1[],(MATCH(Calendar!$A18,DB!$1:$1,0)),FALSE)),"")</f>
        <v/>
      </c>
      <c r="QED18" s="28" t="str">
        <f>IFERROR(IF(QEM3="No",IF(VLOOKUP(DATE($K$1,$K$2,QED$4),Table1[],(MATCH(Calendar!$A18,DB!$1:$1,0)),FALSE)&gt;=5,"Good","Bad"),VLOOKUP(DATE($K$1,$K$2,QED$4),Table1[],(MATCH(Calendar!$A18,DB!$1:$1,0)),FALSE)),"")</f>
        <v/>
      </c>
      <c r="QEE18" s="28" t="str">
        <f>IFERROR(IF(QEN3="No",IF(VLOOKUP(DATE($K$1,$K$2,QEE$4),Table1[],(MATCH(Calendar!$A18,DB!$1:$1,0)),FALSE)&gt;=5,"Good","Bad"),VLOOKUP(DATE($K$1,$K$2,QEE$4),Table1[],(MATCH(Calendar!$A18,DB!$1:$1,0)),FALSE)),"")</f>
        <v/>
      </c>
      <c r="QEF18" s="28" t="str">
        <f>IFERROR(IF(QEO3="No",IF(VLOOKUP(DATE($K$1,$K$2,QEF$4),Table1[],(MATCH(Calendar!$A18,DB!$1:$1,0)),FALSE)&gt;=5,"Good","Bad"),VLOOKUP(DATE($K$1,$K$2,QEF$4),Table1[],(MATCH(Calendar!$A18,DB!$1:$1,0)),FALSE)),"")</f>
        <v/>
      </c>
      <c r="QEG18" s="28" t="str">
        <f>IFERROR(IF(QEP3="No",IF(VLOOKUP(DATE($K$1,$K$2,QEG$4),Table1[],(MATCH(Calendar!$A18,DB!$1:$1,0)),FALSE)&gt;=5,"Good","Bad"),VLOOKUP(DATE($K$1,$K$2,QEG$4),Table1[],(MATCH(Calendar!$A18,DB!$1:$1,0)),FALSE)),"")</f>
        <v/>
      </c>
      <c r="QEH18" s="28" t="str">
        <f>IFERROR(IF(QEQ3="No",IF(VLOOKUP(DATE($K$1,$K$2,QEH$4),Table1[],(MATCH(Calendar!$A18,DB!$1:$1,0)),FALSE)&gt;=5,"Good","Bad"),VLOOKUP(DATE($K$1,$K$2,QEH$4),Table1[],(MATCH(Calendar!$A18,DB!$1:$1,0)),FALSE)),"")</f>
        <v/>
      </c>
      <c r="QEI18" s="28" t="str">
        <f>IFERROR(IF(QER3="No",IF(VLOOKUP(DATE($K$1,$K$2,QEI$4),Table1[],(MATCH(Calendar!$A18,DB!$1:$1,0)),FALSE)&gt;=5,"Good","Bad"),VLOOKUP(DATE($K$1,$K$2,QEI$4),Table1[],(MATCH(Calendar!$A18,DB!$1:$1,0)),FALSE)),"")</f>
        <v/>
      </c>
      <c r="QEJ18" s="28" t="str">
        <f>IFERROR(IF(QES3="No",IF(VLOOKUP(DATE($K$1,$K$2,QEJ$4),Table1[],(MATCH(Calendar!$A18,DB!$1:$1,0)),FALSE)&gt;=5,"Good","Bad"),VLOOKUP(DATE($K$1,$K$2,QEJ$4),Table1[],(MATCH(Calendar!$A18,DB!$1:$1,0)),FALSE)),"")</f>
        <v/>
      </c>
      <c r="QEK18" s="28" t="str">
        <f>IFERROR(IF(QET3="No",IF(VLOOKUP(DATE($K$1,$K$2,QEK$4),Table1[],(MATCH(Calendar!$A18,DB!$1:$1,0)),FALSE)&gt;=5,"Good","Bad"),VLOOKUP(DATE($K$1,$K$2,QEK$4),Table1[],(MATCH(Calendar!$A18,DB!$1:$1,0)),FALSE)),"")</f>
        <v/>
      </c>
      <c r="QEL18" s="28" t="str">
        <f>IFERROR(IF(QEU3="No",IF(VLOOKUP(DATE($K$1,$K$2,QEL$4),Table1[],(MATCH(Calendar!$A18,DB!$1:$1,0)),FALSE)&gt;=5,"Good","Bad"),VLOOKUP(DATE($K$1,$K$2,QEL$4),Table1[],(MATCH(Calendar!$A18,DB!$1:$1,0)),FALSE)),"")</f>
        <v/>
      </c>
      <c r="QEM18" s="28" t="str">
        <f>IFERROR(IF(QEV3="No",IF(VLOOKUP(DATE($K$1,$K$2,QEM$4),Table1[],(MATCH(Calendar!$A18,DB!$1:$1,0)),FALSE)&gt;=5,"Good","Bad"),VLOOKUP(DATE($K$1,$K$2,QEM$4),Table1[],(MATCH(Calendar!$A18,DB!$1:$1,0)),FALSE)),"")</f>
        <v/>
      </c>
      <c r="QEN18" s="28" t="str">
        <f>IFERROR(IF(QEW3="No",IF(VLOOKUP(DATE($K$1,$K$2,QEN$4),Table1[],(MATCH(Calendar!$A18,DB!$1:$1,0)),FALSE)&gt;=5,"Good","Bad"),VLOOKUP(DATE($K$1,$K$2,QEN$4),Table1[],(MATCH(Calendar!$A18,DB!$1:$1,0)),FALSE)),"")</f>
        <v/>
      </c>
      <c r="QEO18" s="28" t="str">
        <f>IFERROR(IF(QEX3="No",IF(VLOOKUP(DATE($K$1,$K$2,QEO$4),Table1[],(MATCH(Calendar!$A18,DB!$1:$1,0)),FALSE)&gt;=5,"Good","Bad"),VLOOKUP(DATE($K$1,$K$2,QEO$4),Table1[],(MATCH(Calendar!$A18,DB!$1:$1,0)),FALSE)),"")</f>
        <v/>
      </c>
      <c r="QEP18" s="28" t="str">
        <f>IFERROR(IF(QEY3="No",IF(VLOOKUP(DATE($K$1,$K$2,QEP$4),Table1[],(MATCH(Calendar!$A18,DB!$1:$1,0)),FALSE)&gt;=5,"Good","Bad"),VLOOKUP(DATE($K$1,$K$2,QEP$4),Table1[],(MATCH(Calendar!$A18,DB!$1:$1,0)),FALSE)),"")</f>
        <v/>
      </c>
      <c r="QEQ18" s="28" t="str">
        <f>IFERROR(IF(QEZ3="No",IF(VLOOKUP(DATE($K$1,$K$2,QEQ$4),Table1[],(MATCH(Calendar!$A18,DB!$1:$1,0)),FALSE)&gt;=5,"Good","Bad"),VLOOKUP(DATE($K$1,$K$2,QEQ$4),Table1[],(MATCH(Calendar!$A18,DB!$1:$1,0)),FALSE)),"")</f>
        <v/>
      </c>
      <c r="QER18" s="28" t="str">
        <f>IFERROR(IF(QFA3="No",IF(VLOOKUP(DATE($K$1,$K$2,QER$4),Table1[],(MATCH(Calendar!$A18,DB!$1:$1,0)),FALSE)&gt;=5,"Good","Bad"),VLOOKUP(DATE($K$1,$K$2,QER$4),Table1[],(MATCH(Calendar!$A18,DB!$1:$1,0)),FALSE)),"")</f>
        <v/>
      </c>
      <c r="QES18" s="28" t="str">
        <f>IFERROR(IF(QFB3="No",IF(VLOOKUP(DATE($K$1,$K$2,QES$4),Table1[],(MATCH(Calendar!$A18,DB!$1:$1,0)),FALSE)&gt;=5,"Good","Bad"),VLOOKUP(DATE($K$1,$K$2,QES$4),Table1[],(MATCH(Calendar!$A18,DB!$1:$1,0)),FALSE)),"")</f>
        <v/>
      </c>
      <c r="QET18" s="28" t="str">
        <f>IFERROR(IF(QFC3="No",IF(VLOOKUP(DATE($K$1,$K$2,QET$4),Table1[],(MATCH(Calendar!$A18,DB!$1:$1,0)),FALSE)&gt;=5,"Good","Bad"),VLOOKUP(DATE($K$1,$K$2,QET$4),Table1[],(MATCH(Calendar!$A18,DB!$1:$1,0)),FALSE)),"")</f>
        <v/>
      </c>
      <c r="QEU18" s="28" t="str">
        <f>IFERROR(IF(QFD3="No",IF(VLOOKUP(DATE($K$1,$K$2,QEU$4),Table1[],(MATCH(Calendar!$A18,DB!$1:$1,0)),FALSE)&gt;=5,"Good","Bad"),VLOOKUP(DATE($K$1,$K$2,QEU$4),Table1[],(MATCH(Calendar!$A18,DB!$1:$1,0)),FALSE)),"")</f>
        <v/>
      </c>
      <c r="QEV18" s="28" t="str">
        <f>IFERROR(IF(QFE3="No",IF(VLOOKUP(DATE($K$1,$K$2,QEV$4),Table1[],(MATCH(Calendar!$A18,DB!$1:$1,0)),FALSE)&gt;=5,"Good","Bad"),VLOOKUP(DATE($K$1,$K$2,QEV$4),Table1[],(MATCH(Calendar!$A18,DB!$1:$1,0)),FALSE)),"")</f>
        <v/>
      </c>
      <c r="QEW18" s="28" t="str">
        <f>IFERROR(IF(QFF3="No",IF(VLOOKUP(DATE($K$1,$K$2,QEW$4),Table1[],(MATCH(Calendar!$A18,DB!$1:$1,0)),FALSE)&gt;=5,"Good","Bad"),VLOOKUP(DATE($K$1,$K$2,QEW$4),Table1[],(MATCH(Calendar!$A18,DB!$1:$1,0)),FALSE)),"")</f>
        <v/>
      </c>
      <c r="QEX18" s="28" t="str">
        <f>IFERROR(IF(QFG3="No",IF(VLOOKUP(DATE($K$1,$K$2,QEX$4),Table1[],(MATCH(Calendar!$A18,DB!$1:$1,0)),FALSE)&gt;=5,"Good","Bad"),VLOOKUP(DATE($K$1,$K$2,QEX$4),Table1[],(MATCH(Calendar!$A18,DB!$1:$1,0)),FALSE)),"")</f>
        <v/>
      </c>
      <c r="QEY18" s="28" t="str">
        <f>IFERROR(IF(QFH3="No",IF(VLOOKUP(DATE($K$1,$K$2,QEY$4),Table1[],(MATCH(Calendar!$A18,DB!$1:$1,0)),FALSE)&gt;=5,"Good","Bad"),VLOOKUP(DATE($K$1,$K$2,QEY$4),Table1[],(MATCH(Calendar!$A18,DB!$1:$1,0)),FALSE)),"")</f>
        <v/>
      </c>
      <c r="QEZ18" s="28" t="str">
        <f>IFERROR(IF(QFI3="No",IF(VLOOKUP(DATE($K$1,$K$2,QEZ$4),Table1[],(MATCH(Calendar!$A18,DB!$1:$1,0)),FALSE)&gt;=5,"Good","Bad"),VLOOKUP(DATE($K$1,$K$2,QEZ$4),Table1[],(MATCH(Calendar!$A18,DB!$1:$1,0)),FALSE)),"")</f>
        <v/>
      </c>
      <c r="QFA18" s="28" t="str">
        <f>IFERROR(IF(QFJ3="No",IF(VLOOKUP(DATE($K$1,$K$2,QFA$4),Table1[],(MATCH(Calendar!$A18,DB!$1:$1,0)),FALSE)&gt;=5,"Good","Bad"),VLOOKUP(DATE($K$1,$K$2,QFA$4),Table1[],(MATCH(Calendar!$A18,DB!$1:$1,0)),FALSE)),"")</f>
        <v/>
      </c>
      <c r="QFB18" s="28" t="str">
        <f>IFERROR(IF(QFK3="No",IF(VLOOKUP(DATE($K$1,$K$2,QFB$4),Table1[],(MATCH(Calendar!$A18,DB!$1:$1,0)),FALSE)&gt;=5,"Good","Bad"),VLOOKUP(DATE($K$1,$K$2,QFB$4),Table1[],(MATCH(Calendar!$A18,DB!$1:$1,0)),FALSE)),"")</f>
        <v/>
      </c>
      <c r="QFC18" s="28" t="str">
        <f>IFERROR(IF(QFL3="No",IF(VLOOKUP(DATE($K$1,$K$2,QFC$4),Table1[],(MATCH(Calendar!$A18,DB!$1:$1,0)),FALSE)&gt;=5,"Good","Bad"),VLOOKUP(DATE($K$1,$K$2,QFC$4),Table1[],(MATCH(Calendar!$A18,DB!$1:$1,0)),FALSE)),"")</f>
        <v/>
      </c>
      <c r="QFD18" s="28" t="str">
        <f>IFERROR(IF(QFM3="No",IF(VLOOKUP(DATE($K$1,$K$2,QFD$4),Table1[],(MATCH(Calendar!$A18,DB!$1:$1,0)),FALSE)&gt;=5,"Good","Bad"),VLOOKUP(DATE($K$1,$K$2,QFD$4),Table1[],(MATCH(Calendar!$A18,DB!$1:$1,0)),FALSE)),"")</f>
        <v/>
      </c>
      <c r="QFE18" s="28" t="str">
        <f>IFERROR(IF(QFN3="No",IF(VLOOKUP(DATE($K$1,$K$2,QFE$4),Table1[],(MATCH(Calendar!$A18,DB!$1:$1,0)),FALSE)&gt;=5,"Good","Bad"),VLOOKUP(DATE($K$1,$K$2,QFE$4),Table1[],(MATCH(Calendar!$A18,DB!$1:$1,0)),FALSE)),"")</f>
        <v/>
      </c>
      <c r="QFF18" s="28" t="str">
        <f>IFERROR(IF(QFO3="No",IF(VLOOKUP(DATE($K$1,$K$2,QFF$4),Table1[],(MATCH(Calendar!$A18,DB!$1:$1,0)),FALSE)&gt;=5,"Good","Bad"),VLOOKUP(DATE($K$1,$K$2,QFF$4),Table1[],(MATCH(Calendar!$A18,DB!$1:$1,0)),FALSE)),"")</f>
        <v/>
      </c>
      <c r="QFG18" s="28" t="str">
        <f>IFERROR(IF(QFP3="No",IF(VLOOKUP(DATE($K$1,$K$2,QFG$4),Table1[],(MATCH(Calendar!$A18,DB!$1:$1,0)),FALSE)&gt;=5,"Good","Bad"),VLOOKUP(DATE($K$1,$K$2,QFG$4),Table1[],(MATCH(Calendar!$A18,DB!$1:$1,0)),FALSE)),"")</f>
        <v/>
      </c>
      <c r="QFH18" s="28" t="str">
        <f>IFERROR(IF(QFQ3="No",IF(VLOOKUP(DATE($K$1,$K$2,QFH$4),Table1[],(MATCH(Calendar!$A18,DB!$1:$1,0)),FALSE)&gt;=5,"Good","Bad"),VLOOKUP(DATE($K$1,$K$2,QFH$4),Table1[],(MATCH(Calendar!$A18,DB!$1:$1,0)),FALSE)),"")</f>
        <v/>
      </c>
      <c r="QFI18" s="28" t="str">
        <f>IFERROR(IF(QFR3="No",IF(VLOOKUP(DATE($K$1,$K$2,QFI$4),Table1[],(MATCH(Calendar!$A18,DB!$1:$1,0)),FALSE)&gt;=5,"Good","Bad"),VLOOKUP(DATE($K$1,$K$2,QFI$4),Table1[],(MATCH(Calendar!$A18,DB!$1:$1,0)),FALSE)),"")</f>
        <v/>
      </c>
      <c r="QFJ18" s="28" t="str">
        <f>IFERROR(IF(QFS3="No",IF(VLOOKUP(DATE($K$1,$K$2,QFJ$4),Table1[],(MATCH(Calendar!$A18,DB!$1:$1,0)),FALSE)&gt;=5,"Good","Bad"),VLOOKUP(DATE($K$1,$K$2,QFJ$4),Table1[],(MATCH(Calendar!$A18,DB!$1:$1,0)),FALSE)),"")</f>
        <v/>
      </c>
      <c r="QFK18" s="28" t="str">
        <f>IFERROR(IF(QFT3="No",IF(VLOOKUP(DATE($K$1,$K$2,QFK$4),Table1[],(MATCH(Calendar!$A18,DB!$1:$1,0)),FALSE)&gt;=5,"Good","Bad"),VLOOKUP(DATE($K$1,$K$2,QFK$4),Table1[],(MATCH(Calendar!$A18,DB!$1:$1,0)),FALSE)),"")</f>
        <v/>
      </c>
      <c r="QFL18" s="28" t="str">
        <f>IFERROR(IF(QFU3="No",IF(VLOOKUP(DATE($K$1,$K$2,QFL$4),Table1[],(MATCH(Calendar!$A18,DB!$1:$1,0)),FALSE)&gt;=5,"Good","Bad"),VLOOKUP(DATE($K$1,$K$2,QFL$4),Table1[],(MATCH(Calendar!$A18,DB!$1:$1,0)),FALSE)),"")</f>
        <v/>
      </c>
      <c r="QFM18" s="28" t="str">
        <f>IFERROR(IF(QFV3="No",IF(VLOOKUP(DATE($K$1,$K$2,QFM$4),Table1[],(MATCH(Calendar!$A18,DB!$1:$1,0)),FALSE)&gt;=5,"Good","Bad"),VLOOKUP(DATE($K$1,$K$2,QFM$4),Table1[],(MATCH(Calendar!$A18,DB!$1:$1,0)),FALSE)),"")</f>
        <v/>
      </c>
      <c r="QFN18" s="28" t="str">
        <f>IFERROR(IF(QFW3="No",IF(VLOOKUP(DATE($K$1,$K$2,QFN$4),Table1[],(MATCH(Calendar!$A18,DB!$1:$1,0)),FALSE)&gt;=5,"Good","Bad"),VLOOKUP(DATE($K$1,$K$2,QFN$4),Table1[],(MATCH(Calendar!$A18,DB!$1:$1,0)),FALSE)),"")</f>
        <v/>
      </c>
      <c r="QFO18" s="28" t="str">
        <f>IFERROR(IF(QFX3="No",IF(VLOOKUP(DATE($K$1,$K$2,QFO$4),Table1[],(MATCH(Calendar!$A18,DB!$1:$1,0)),FALSE)&gt;=5,"Good","Bad"),VLOOKUP(DATE($K$1,$K$2,QFO$4),Table1[],(MATCH(Calendar!$A18,DB!$1:$1,0)),FALSE)),"")</f>
        <v/>
      </c>
      <c r="QFP18" s="28" t="str">
        <f>IFERROR(IF(QFY3="No",IF(VLOOKUP(DATE($K$1,$K$2,QFP$4),Table1[],(MATCH(Calendar!$A18,DB!$1:$1,0)),FALSE)&gt;=5,"Good","Bad"),VLOOKUP(DATE($K$1,$K$2,QFP$4),Table1[],(MATCH(Calendar!$A18,DB!$1:$1,0)),FALSE)),"")</f>
        <v/>
      </c>
      <c r="QFQ18" s="28" t="str">
        <f>IFERROR(IF(QFZ3="No",IF(VLOOKUP(DATE($K$1,$K$2,QFQ$4),Table1[],(MATCH(Calendar!$A18,DB!$1:$1,0)),FALSE)&gt;=5,"Good","Bad"),VLOOKUP(DATE($K$1,$K$2,QFQ$4),Table1[],(MATCH(Calendar!$A18,DB!$1:$1,0)),FALSE)),"")</f>
        <v/>
      </c>
      <c r="QFR18" s="28" t="str">
        <f>IFERROR(IF(QGA3="No",IF(VLOOKUP(DATE($K$1,$K$2,QFR$4),Table1[],(MATCH(Calendar!$A18,DB!$1:$1,0)),FALSE)&gt;=5,"Good","Bad"),VLOOKUP(DATE($K$1,$K$2,QFR$4),Table1[],(MATCH(Calendar!$A18,DB!$1:$1,0)),FALSE)),"")</f>
        <v/>
      </c>
      <c r="QFS18" s="28" t="str">
        <f>IFERROR(IF(QGB3="No",IF(VLOOKUP(DATE($K$1,$K$2,QFS$4),Table1[],(MATCH(Calendar!$A18,DB!$1:$1,0)),FALSE)&gt;=5,"Good","Bad"),VLOOKUP(DATE($K$1,$K$2,QFS$4),Table1[],(MATCH(Calendar!$A18,DB!$1:$1,0)),FALSE)),"")</f>
        <v/>
      </c>
      <c r="QFT18" s="28" t="str">
        <f>IFERROR(IF(QGC3="No",IF(VLOOKUP(DATE($K$1,$K$2,QFT$4),Table1[],(MATCH(Calendar!$A18,DB!$1:$1,0)),FALSE)&gt;=5,"Good","Bad"),VLOOKUP(DATE($K$1,$K$2,QFT$4),Table1[],(MATCH(Calendar!$A18,DB!$1:$1,0)),FALSE)),"")</f>
        <v/>
      </c>
      <c r="QFU18" s="28" t="str">
        <f>IFERROR(IF(QGD3="No",IF(VLOOKUP(DATE($K$1,$K$2,QFU$4),Table1[],(MATCH(Calendar!$A18,DB!$1:$1,0)),FALSE)&gt;=5,"Good","Bad"),VLOOKUP(DATE($K$1,$K$2,QFU$4),Table1[],(MATCH(Calendar!$A18,DB!$1:$1,0)),FALSE)),"")</f>
        <v/>
      </c>
      <c r="QFV18" s="28" t="str">
        <f>IFERROR(IF(QGE3="No",IF(VLOOKUP(DATE($K$1,$K$2,QFV$4),Table1[],(MATCH(Calendar!$A18,DB!$1:$1,0)),FALSE)&gt;=5,"Good","Bad"),VLOOKUP(DATE($K$1,$K$2,QFV$4),Table1[],(MATCH(Calendar!$A18,DB!$1:$1,0)),FALSE)),"")</f>
        <v/>
      </c>
      <c r="QFW18" s="28" t="str">
        <f>IFERROR(IF(QGF3="No",IF(VLOOKUP(DATE($K$1,$K$2,QFW$4),Table1[],(MATCH(Calendar!$A18,DB!$1:$1,0)),FALSE)&gt;=5,"Good","Bad"),VLOOKUP(DATE($K$1,$K$2,QFW$4),Table1[],(MATCH(Calendar!$A18,DB!$1:$1,0)),FALSE)),"")</f>
        <v/>
      </c>
      <c r="QFX18" s="28" t="str">
        <f>IFERROR(IF(QGG3="No",IF(VLOOKUP(DATE($K$1,$K$2,QFX$4),Table1[],(MATCH(Calendar!$A18,DB!$1:$1,0)),FALSE)&gt;=5,"Good","Bad"),VLOOKUP(DATE($K$1,$K$2,QFX$4),Table1[],(MATCH(Calendar!$A18,DB!$1:$1,0)),FALSE)),"")</f>
        <v/>
      </c>
      <c r="QFY18" s="28" t="str">
        <f>IFERROR(IF(QGH3="No",IF(VLOOKUP(DATE($K$1,$K$2,QFY$4),Table1[],(MATCH(Calendar!$A18,DB!$1:$1,0)),FALSE)&gt;=5,"Good","Bad"),VLOOKUP(DATE($K$1,$K$2,QFY$4),Table1[],(MATCH(Calendar!$A18,DB!$1:$1,0)),FALSE)),"")</f>
        <v/>
      </c>
      <c r="QFZ18" s="28" t="str">
        <f>IFERROR(IF(QGI3="No",IF(VLOOKUP(DATE($K$1,$K$2,QFZ$4),Table1[],(MATCH(Calendar!$A18,DB!$1:$1,0)),FALSE)&gt;=5,"Good","Bad"),VLOOKUP(DATE($K$1,$K$2,QFZ$4),Table1[],(MATCH(Calendar!$A18,DB!$1:$1,0)),FALSE)),"")</f>
        <v/>
      </c>
      <c r="QGA18" s="28" t="str">
        <f>IFERROR(IF(QGJ3="No",IF(VLOOKUP(DATE($K$1,$K$2,QGA$4),Table1[],(MATCH(Calendar!$A18,DB!$1:$1,0)),FALSE)&gt;=5,"Good","Bad"),VLOOKUP(DATE($K$1,$K$2,QGA$4),Table1[],(MATCH(Calendar!$A18,DB!$1:$1,0)),FALSE)),"")</f>
        <v/>
      </c>
      <c r="QGB18" s="28" t="str">
        <f>IFERROR(IF(QGK3="No",IF(VLOOKUP(DATE($K$1,$K$2,QGB$4),Table1[],(MATCH(Calendar!$A18,DB!$1:$1,0)),FALSE)&gt;=5,"Good","Bad"),VLOOKUP(DATE($K$1,$K$2,QGB$4),Table1[],(MATCH(Calendar!$A18,DB!$1:$1,0)),FALSE)),"")</f>
        <v/>
      </c>
      <c r="QGC18" s="28" t="str">
        <f>IFERROR(IF(QGL3="No",IF(VLOOKUP(DATE($K$1,$K$2,QGC$4),Table1[],(MATCH(Calendar!$A18,DB!$1:$1,0)),FALSE)&gt;=5,"Good","Bad"),VLOOKUP(DATE($K$1,$K$2,QGC$4),Table1[],(MATCH(Calendar!$A18,DB!$1:$1,0)),FALSE)),"")</f>
        <v/>
      </c>
      <c r="QGD18" s="28" t="str">
        <f>IFERROR(IF(QGM3="No",IF(VLOOKUP(DATE($K$1,$K$2,QGD$4),Table1[],(MATCH(Calendar!$A18,DB!$1:$1,0)),FALSE)&gt;=5,"Good","Bad"),VLOOKUP(DATE($K$1,$K$2,QGD$4),Table1[],(MATCH(Calendar!$A18,DB!$1:$1,0)),FALSE)),"")</f>
        <v/>
      </c>
      <c r="QGE18" s="28" t="str">
        <f>IFERROR(IF(QGN3="No",IF(VLOOKUP(DATE($K$1,$K$2,QGE$4),Table1[],(MATCH(Calendar!$A18,DB!$1:$1,0)),FALSE)&gt;=5,"Good","Bad"),VLOOKUP(DATE($K$1,$K$2,QGE$4),Table1[],(MATCH(Calendar!$A18,DB!$1:$1,0)),FALSE)),"")</f>
        <v/>
      </c>
      <c r="QGF18" s="28" t="str">
        <f>IFERROR(IF(QGO3="No",IF(VLOOKUP(DATE($K$1,$K$2,QGF$4),Table1[],(MATCH(Calendar!$A18,DB!$1:$1,0)),FALSE)&gt;=5,"Good","Bad"),VLOOKUP(DATE($K$1,$K$2,QGF$4),Table1[],(MATCH(Calendar!$A18,DB!$1:$1,0)),FALSE)),"")</f>
        <v/>
      </c>
      <c r="QGG18" s="28" t="str">
        <f>IFERROR(IF(QGP3="No",IF(VLOOKUP(DATE($K$1,$K$2,QGG$4),Table1[],(MATCH(Calendar!$A18,DB!$1:$1,0)),FALSE)&gt;=5,"Good","Bad"),VLOOKUP(DATE($K$1,$K$2,QGG$4),Table1[],(MATCH(Calendar!$A18,DB!$1:$1,0)),FALSE)),"")</f>
        <v/>
      </c>
      <c r="QGH18" s="28" t="str">
        <f>IFERROR(IF(QGQ3="No",IF(VLOOKUP(DATE($K$1,$K$2,QGH$4),Table1[],(MATCH(Calendar!$A18,DB!$1:$1,0)),FALSE)&gt;=5,"Good","Bad"),VLOOKUP(DATE($K$1,$K$2,QGH$4),Table1[],(MATCH(Calendar!$A18,DB!$1:$1,0)),FALSE)),"")</f>
        <v/>
      </c>
      <c r="QGI18" s="28" t="str">
        <f>IFERROR(IF(QGR3="No",IF(VLOOKUP(DATE($K$1,$K$2,QGI$4),Table1[],(MATCH(Calendar!$A18,DB!$1:$1,0)),FALSE)&gt;=5,"Good","Bad"),VLOOKUP(DATE($K$1,$K$2,QGI$4),Table1[],(MATCH(Calendar!$A18,DB!$1:$1,0)),FALSE)),"")</f>
        <v/>
      </c>
      <c r="QGJ18" s="28" t="str">
        <f>IFERROR(IF(QGS3="No",IF(VLOOKUP(DATE($K$1,$K$2,QGJ$4),Table1[],(MATCH(Calendar!$A18,DB!$1:$1,0)),FALSE)&gt;=5,"Good","Bad"),VLOOKUP(DATE($K$1,$K$2,QGJ$4),Table1[],(MATCH(Calendar!$A18,DB!$1:$1,0)),FALSE)),"")</f>
        <v/>
      </c>
      <c r="QGK18" s="28" t="str">
        <f>IFERROR(IF(QGT3="No",IF(VLOOKUP(DATE($K$1,$K$2,QGK$4),Table1[],(MATCH(Calendar!$A18,DB!$1:$1,0)),FALSE)&gt;=5,"Good","Bad"),VLOOKUP(DATE($K$1,$K$2,QGK$4),Table1[],(MATCH(Calendar!$A18,DB!$1:$1,0)),FALSE)),"")</f>
        <v/>
      </c>
      <c r="QGL18" s="28" t="str">
        <f>IFERROR(IF(QGU3="No",IF(VLOOKUP(DATE($K$1,$K$2,QGL$4),Table1[],(MATCH(Calendar!$A18,DB!$1:$1,0)),FALSE)&gt;=5,"Good","Bad"),VLOOKUP(DATE($K$1,$K$2,QGL$4),Table1[],(MATCH(Calendar!$A18,DB!$1:$1,0)),FALSE)),"")</f>
        <v/>
      </c>
      <c r="QGM18" s="28" t="str">
        <f>IFERROR(IF(QGV3="No",IF(VLOOKUP(DATE($K$1,$K$2,QGM$4),Table1[],(MATCH(Calendar!$A18,DB!$1:$1,0)),FALSE)&gt;=5,"Good","Bad"),VLOOKUP(DATE($K$1,$K$2,QGM$4),Table1[],(MATCH(Calendar!$A18,DB!$1:$1,0)),FALSE)),"")</f>
        <v/>
      </c>
      <c r="QGN18" s="28" t="str">
        <f>IFERROR(IF(QGW3="No",IF(VLOOKUP(DATE($K$1,$K$2,QGN$4),Table1[],(MATCH(Calendar!$A18,DB!$1:$1,0)),FALSE)&gt;=5,"Good","Bad"),VLOOKUP(DATE($K$1,$K$2,QGN$4),Table1[],(MATCH(Calendar!$A18,DB!$1:$1,0)),FALSE)),"")</f>
        <v/>
      </c>
      <c r="QGO18" s="28" t="str">
        <f>IFERROR(IF(QGX3="No",IF(VLOOKUP(DATE($K$1,$K$2,QGO$4),Table1[],(MATCH(Calendar!$A18,DB!$1:$1,0)),FALSE)&gt;=5,"Good","Bad"),VLOOKUP(DATE($K$1,$K$2,QGO$4),Table1[],(MATCH(Calendar!$A18,DB!$1:$1,0)),FALSE)),"")</f>
        <v/>
      </c>
      <c r="QGP18" s="28" t="str">
        <f>IFERROR(IF(QGY3="No",IF(VLOOKUP(DATE($K$1,$K$2,QGP$4),Table1[],(MATCH(Calendar!$A18,DB!$1:$1,0)),FALSE)&gt;=5,"Good","Bad"),VLOOKUP(DATE($K$1,$K$2,QGP$4),Table1[],(MATCH(Calendar!$A18,DB!$1:$1,0)),FALSE)),"")</f>
        <v/>
      </c>
      <c r="QGQ18" s="28" t="str">
        <f>IFERROR(IF(QGZ3="No",IF(VLOOKUP(DATE($K$1,$K$2,QGQ$4),Table1[],(MATCH(Calendar!$A18,DB!$1:$1,0)),FALSE)&gt;=5,"Good","Bad"),VLOOKUP(DATE($K$1,$K$2,QGQ$4),Table1[],(MATCH(Calendar!$A18,DB!$1:$1,0)),FALSE)),"")</f>
        <v/>
      </c>
      <c r="QGR18" s="28" t="str">
        <f>IFERROR(IF(QHA3="No",IF(VLOOKUP(DATE($K$1,$K$2,QGR$4),Table1[],(MATCH(Calendar!$A18,DB!$1:$1,0)),FALSE)&gt;=5,"Good","Bad"),VLOOKUP(DATE($K$1,$K$2,QGR$4),Table1[],(MATCH(Calendar!$A18,DB!$1:$1,0)),FALSE)),"")</f>
        <v/>
      </c>
      <c r="QGS18" s="28" t="str">
        <f>IFERROR(IF(QHB3="No",IF(VLOOKUP(DATE($K$1,$K$2,QGS$4),Table1[],(MATCH(Calendar!$A18,DB!$1:$1,0)),FALSE)&gt;=5,"Good","Bad"),VLOOKUP(DATE($K$1,$K$2,QGS$4),Table1[],(MATCH(Calendar!$A18,DB!$1:$1,0)),FALSE)),"")</f>
        <v/>
      </c>
      <c r="QGT18" s="28" t="str">
        <f>IFERROR(IF(QHC3="No",IF(VLOOKUP(DATE($K$1,$K$2,QGT$4),Table1[],(MATCH(Calendar!$A18,DB!$1:$1,0)),FALSE)&gt;=5,"Good","Bad"),VLOOKUP(DATE($K$1,$K$2,QGT$4),Table1[],(MATCH(Calendar!$A18,DB!$1:$1,0)),FALSE)),"")</f>
        <v/>
      </c>
      <c r="QGU18" s="28" t="str">
        <f>IFERROR(IF(QHD3="No",IF(VLOOKUP(DATE($K$1,$K$2,QGU$4),Table1[],(MATCH(Calendar!$A18,DB!$1:$1,0)),FALSE)&gt;=5,"Good","Bad"),VLOOKUP(DATE($K$1,$K$2,QGU$4),Table1[],(MATCH(Calendar!$A18,DB!$1:$1,0)),FALSE)),"")</f>
        <v/>
      </c>
      <c r="QGV18" s="28" t="str">
        <f>IFERROR(IF(QHE3="No",IF(VLOOKUP(DATE($K$1,$K$2,QGV$4),Table1[],(MATCH(Calendar!$A18,DB!$1:$1,0)),FALSE)&gt;=5,"Good","Bad"),VLOOKUP(DATE($K$1,$K$2,QGV$4),Table1[],(MATCH(Calendar!$A18,DB!$1:$1,0)),FALSE)),"")</f>
        <v/>
      </c>
      <c r="QGW18" s="28" t="str">
        <f>IFERROR(IF(QHF3="No",IF(VLOOKUP(DATE($K$1,$K$2,QGW$4),Table1[],(MATCH(Calendar!$A18,DB!$1:$1,0)),FALSE)&gt;=5,"Good","Bad"),VLOOKUP(DATE($K$1,$K$2,QGW$4),Table1[],(MATCH(Calendar!$A18,DB!$1:$1,0)),FALSE)),"")</f>
        <v/>
      </c>
      <c r="QGX18" s="28" t="str">
        <f>IFERROR(IF(QHG3="No",IF(VLOOKUP(DATE($K$1,$K$2,QGX$4),Table1[],(MATCH(Calendar!$A18,DB!$1:$1,0)),FALSE)&gt;=5,"Good","Bad"),VLOOKUP(DATE($K$1,$K$2,QGX$4),Table1[],(MATCH(Calendar!$A18,DB!$1:$1,0)),FALSE)),"")</f>
        <v/>
      </c>
      <c r="QGY18" s="28" t="str">
        <f>IFERROR(IF(QHH3="No",IF(VLOOKUP(DATE($K$1,$K$2,QGY$4),Table1[],(MATCH(Calendar!$A18,DB!$1:$1,0)),FALSE)&gt;=5,"Good","Bad"),VLOOKUP(DATE($K$1,$K$2,QGY$4),Table1[],(MATCH(Calendar!$A18,DB!$1:$1,0)),FALSE)),"")</f>
        <v/>
      </c>
      <c r="QGZ18" s="28" t="str">
        <f>IFERROR(IF(QHI3="No",IF(VLOOKUP(DATE($K$1,$K$2,QGZ$4),Table1[],(MATCH(Calendar!$A18,DB!$1:$1,0)),FALSE)&gt;=5,"Good","Bad"),VLOOKUP(DATE($K$1,$K$2,QGZ$4),Table1[],(MATCH(Calendar!$A18,DB!$1:$1,0)),FALSE)),"")</f>
        <v/>
      </c>
      <c r="QHA18" s="28" t="str">
        <f>IFERROR(IF(QHJ3="No",IF(VLOOKUP(DATE($K$1,$K$2,QHA$4),Table1[],(MATCH(Calendar!$A18,DB!$1:$1,0)),FALSE)&gt;=5,"Good","Bad"),VLOOKUP(DATE($K$1,$K$2,QHA$4),Table1[],(MATCH(Calendar!$A18,DB!$1:$1,0)),FALSE)),"")</f>
        <v/>
      </c>
      <c r="QHB18" s="28" t="str">
        <f>IFERROR(IF(QHK3="No",IF(VLOOKUP(DATE($K$1,$K$2,QHB$4),Table1[],(MATCH(Calendar!$A18,DB!$1:$1,0)),FALSE)&gt;=5,"Good","Bad"),VLOOKUP(DATE($K$1,$K$2,QHB$4),Table1[],(MATCH(Calendar!$A18,DB!$1:$1,0)),FALSE)),"")</f>
        <v/>
      </c>
      <c r="QHC18" s="28" t="str">
        <f>IFERROR(IF(QHL3="No",IF(VLOOKUP(DATE($K$1,$K$2,QHC$4),Table1[],(MATCH(Calendar!$A18,DB!$1:$1,0)),FALSE)&gt;=5,"Good","Bad"),VLOOKUP(DATE($K$1,$K$2,QHC$4),Table1[],(MATCH(Calendar!$A18,DB!$1:$1,0)),FALSE)),"")</f>
        <v/>
      </c>
      <c r="QHD18" s="28" t="str">
        <f>IFERROR(IF(QHM3="No",IF(VLOOKUP(DATE($K$1,$K$2,QHD$4),Table1[],(MATCH(Calendar!$A18,DB!$1:$1,0)),FALSE)&gt;=5,"Good","Bad"),VLOOKUP(DATE($K$1,$K$2,QHD$4),Table1[],(MATCH(Calendar!$A18,DB!$1:$1,0)),FALSE)),"")</f>
        <v/>
      </c>
      <c r="QHE18" s="28" t="str">
        <f>IFERROR(IF(QHN3="No",IF(VLOOKUP(DATE($K$1,$K$2,QHE$4),Table1[],(MATCH(Calendar!$A18,DB!$1:$1,0)),FALSE)&gt;=5,"Good","Bad"),VLOOKUP(DATE($K$1,$K$2,QHE$4),Table1[],(MATCH(Calendar!$A18,DB!$1:$1,0)),FALSE)),"")</f>
        <v/>
      </c>
      <c r="QHF18" s="28" t="str">
        <f>IFERROR(IF(QHO3="No",IF(VLOOKUP(DATE($K$1,$K$2,QHF$4),Table1[],(MATCH(Calendar!$A18,DB!$1:$1,0)),FALSE)&gt;=5,"Good","Bad"),VLOOKUP(DATE($K$1,$K$2,QHF$4),Table1[],(MATCH(Calendar!$A18,DB!$1:$1,0)),FALSE)),"")</f>
        <v/>
      </c>
      <c r="QHG18" s="28" t="str">
        <f>IFERROR(IF(QHP3="No",IF(VLOOKUP(DATE($K$1,$K$2,QHG$4),Table1[],(MATCH(Calendar!$A18,DB!$1:$1,0)),FALSE)&gt;=5,"Good","Bad"),VLOOKUP(DATE($K$1,$K$2,QHG$4),Table1[],(MATCH(Calendar!$A18,DB!$1:$1,0)),FALSE)),"")</f>
        <v/>
      </c>
      <c r="QHH18" s="28" t="str">
        <f>IFERROR(IF(QHQ3="No",IF(VLOOKUP(DATE($K$1,$K$2,QHH$4),Table1[],(MATCH(Calendar!$A18,DB!$1:$1,0)),FALSE)&gt;=5,"Good","Bad"),VLOOKUP(DATE($K$1,$K$2,QHH$4),Table1[],(MATCH(Calendar!$A18,DB!$1:$1,0)),FALSE)),"")</f>
        <v/>
      </c>
      <c r="QHI18" s="28" t="str">
        <f>IFERROR(IF(QHR3="No",IF(VLOOKUP(DATE($K$1,$K$2,QHI$4),Table1[],(MATCH(Calendar!$A18,DB!$1:$1,0)),FALSE)&gt;=5,"Good","Bad"),VLOOKUP(DATE($K$1,$K$2,QHI$4),Table1[],(MATCH(Calendar!$A18,DB!$1:$1,0)),FALSE)),"")</f>
        <v/>
      </c>
      <c r="QHJ18" s="28" t="str">
        <f>IFERROR(IF(QHS3="No",IF(VLOOKUP(DATE($K$1,$K$2,QHJ$4),Table1[],(MATCH(Calendar!$A18,DB!$1:$1,0)),FALSE)&gt;=5,"Good","Bad"),VLOOKUP(DATE($K$1,$K$2,QHJ$4),Table1[],(MATCH(Calendar!$A18,DB!$1:$1,0)),FALSE)),"")</f>
        <v/>
      </c>
      <c r="QHK18" s="28" t="str">
        <f>IFERROR(IF(QHT3="No",IF(VLOOKUP(DATE($K$1,$K$2,QHK$4),Table1[],(MATCH(Calendar!$A18,DB!$1:$1,0)),FALSE)&gt;=5,"Good","Bad"),VLOOKUP(DATE($K$1,$K$2,QHK$4),Table1[],(MATCH(Calendar!$A18,DB!$1:$1,0)),FALSE)),"")</f>
        <v/>
      </c>
      <c r="QHL18" s="28" t="str">
        <f>IFERROR(IF(QHU3="No",IF(VLOOKUP(DATE($K$1,$K$2,QHL$4),Table1[],(MATCH(Calendar!$A18,DB!$1:$1,0)),FALSE)&gt;=5,"Good","Bad"),VLOOKUP(DATE($K$1,$K$2,QHL$4),Table1[],(MATCH(Calendar!$A18,DB!$1:$1,0)),FALSE)),"")</f>
        <v/>
      </c>
      <c r="QHM18" s="28" t="str">
        <f>IFERROR(IF(QHV3="No",IF(VLOOKUP(DATE($K$1,$K$2,QHM$4),Table1[],(MATCH(Calendar!$A18,DB!$1:$1,0)),FALSE)&gt;=5,"Good","Bad"),VLOOKUP(DATE($K$1,$K$2,QHM$4),Table1[],(MATCH(Calendar!$A18,DB!$1:$1,0)),FALSE)),"")</f>
        <v/>
      </c>
      <c r="QHN18" s="28" t="str">
        <f>IFERROR(IF(QHW3="No",IF(VLOOKUP(DATE($K$1,$K$2,QHN$4),Table1[],(MATCH(Calendar!$A18,DB!$1:$1,0)),FALSE)&gt;=5,"Good","Bad"),VLOOKUP(DATE($K$1,$K$2,QHN$4),Table1[],(MATCH(Calendar!$A18,DB!$1:$1,0)),FALSE)),"")</f>
        <v/>
      </c>
      <c r="QHO18" s="28" t="str">
        <f>IFERROR(IF(QHX3="No",IF(VLOOKUP(DATE($K$1,$K$2,QHO$4),Table1[],(MATCH(Calendar!$A18,DB!$1:$1,0)),FALSE)&gt;=5,"Good","Bad"),VLOOKUP(DATE($K$1,$K$2,QHO$4),Table1[],(MATCH(Calendar!$A18,DB!$1:$1,0)),FALSE)),"")</f>
        <v/>
      </c>
      <c r="QHP18" s="28" t="str">
        <f>IFERROR(IF(QHY3="No",IF(VLOOKUP(DATE($K$1,$K$2,QHP$4),Table1[],(MATCH(Calendar!$A18,DB!$1:$1,0)),FALSE)&gt;=5,"Good","Bad"),VLOOKUP(DATE($K$1,$K$2,QHP$4),Table1[],(MATCH(Calendar!$A18,DB!$1:$1,0)),FALSE)),"")</f>
        <v/>
      </c>
      <c r="QHQ18" s="28" t="str">
        <f>IFERROR(IF(QHZ3="No",IF(VLOOKUP(DATE($K$1,$K$2,QHQ$4),Table1[],(MATCH(Calendar!$A18,DB!$1:$1,0)),FALSE)&gt;=5,"Good","Bad"),VLOOKUP(DATE($K$1,$K$2,QHQ$4),Table1[],(MATCH(Calendar!$A18,DB!$1:$1,0)),FALSE)),"")</f>
        <v/>
      </c>
      <c r="QHR18" s="28" t="str">
        <f>IFERROR(IF(QIA3="No",IF(VLOOKUP(DATE($K$1,$K$2,QHR$4),Table1[],(MATCH(Calendar!$A18,DB!$1:$1,0)),FALSE)&gt;=5,"Good","Bad"),VLOOKUP(DATE($K$1,$K$2,QHR$4),Table1[],(MATCH(Calendar!$A18,DB!$1:$1,0)),FALSE)),"")</f>
        <v/>
      </c>
      <c r="QHS18" s="28" t="str">
        <f>IFERROR(IF(QIB3="No",IF(VLOOKUP(DATE($K$1,$K$2,QHS$4),Table1[],(MATCH(Calendar!$A18,DB!$1:$1,0)),FALSE)&gt;=5,"Good","Bad"),VLOOKUP(DATE($K$1,$K$2,QHS$4),Table1[],(MATCH(Calendar!$A18,DB!$1:$1,0)),FALSE)),"")</f>
        <v/>
      </c>
      <c r="QHT18" s="28" t="str">
        <f>IFERROR(IF(QIC3="No",IF(VLOOKUP(DATE($K$1,$K$2,QHT$4),Table1[],(MATCH(Calendar!$A18,DB!$1:$1,0)),FALSE)&gt;=5,"Good","Bad"),VLOOKUP(DATE($K$1,$K$2,QHT$4),Table1[],(MATCH(Calendar!$A18,DB!$1:$1,0)),FALSE)),"")</f>
        <v/>
      </c>
      <c r="QHU18" s="28" t="str">
        <f>IFERROR(IF(QID3="No",IF(VLOOKUP(DATE($K$1,$K$2,QHU$4),Table1[],(MATCH(Calendar!$A18,DB!$1:$1,0)),FALSE)&gt;=5,"Good","Bad"),VLOOKUP(DATE($K$1,$K$2,QHU$4),Table1[],(MATCH(Calendar!$A18,DB!$1:$1,0)),FALSE)),"")</f>
        <v/>
      </c>
      <c r="QHV18" s="28" t="str">
        <f>IFERROR(IF(QIE3="No",IF(VLOOKUP(DATE($K$1,$K$2,QHV$4),Table1[],(MATCH(Calendar!$A18,DB!$1:$1,0)),FALSE)&gt;=5,"Good","Bad"),VLOOKUP(DATE($K$1,$K$2,QHV$4),Table1[],(MATCH(Calendar!$A18,DB!$1:$1,0)),FALSE)),"")</f>
        <v/>
      </c>
      <c r="QHW18" s="28" t="str">
        <f>IFERROR(IF(QIF3="No",IF(VLOOKUP(DATE($K$1,$K$2,QHW$4),Table1[],(MATCH(Calendar!$A18,DB!$1:$1,0)),FALSE)&gt;=5,"Good","Bad"),VLOOKUP(DATE($K$1,$K$2,QHW$4),Table1[],(MATCH(Calendar!$A18,DB!$1:$1,0)),FALSE)),"")</f>
        <v/>
      </c>
      <c r="QHX18" s="28" t="str">
        <f>IFERROR(IF(QIG3="No",IF(VLOOKUP(DATE($K$1,$K$2,QHX$4),Table1[],(MATCH(Calendar!$A18,DB!$1:$1,0)),FALSE)&gt;=5,"Good","Bad"),VLOOKUP(DATE($K$1,$K$2,QHX$4),Table1[],(MATCH(Calendar!$A18,DB!$1:$1,0)),FALSE)),"")</f>
        <v/>
      </c>
      <c r="QHY18" s="28" t="str">
        <f>IFERROR(IF(QIH3="No",IF(VLOOKUP(DATE($K$1,$K$2,QHY$4),Table1[],(MATCH(Calendar!$A18,DB!$1:$1,0)),FALSE)&gt;=5,"Good","Bad"),VLOOKUP(DATE($K$1,$K$2,QHY$4),Table1[],(MATCH(Calendar!$A18,DB!$1:$1,0)),FALSE)),"")</f>
        <v/>
      </c>
      <c r="QHZ18" s="28" t="str">
        <f>IFERROR(IF(QII3="No",IF(VLOOKUP(DATE($K$1,$K$2,QHZ$4),Table1[],(MATCH(Calendar!$A18,DB!$1:$1,0)),FALSE)&gt;=5,"Good","Bad"),VLOOKUP(DATE($K$1,$K$2,QHZ$4),Table1[],(MATCH(Calendar!$A18,DB!$1:$1,0)),FALSE)),"")</f>
        <v/>
      </c>
      <c r="QIA18" s="28" t="str">
        <f>IFERROR(IF(QIJ3="No",IF(VLOOKUP(DATE($K$1,$K$2,QIA$4),Table1[],(MATCH(Calendar!$A18,DB!$1:$1,0)),FALSE)&gt;=5,"Good","Bad"),VLOOKUP(DATE($K$1,$K$2,QIA$4),Table1[],(MATCH(Calendar!$A18,DB!$1:$1,0)),FALSE)),"")</f>
        <v/>
      </c>
      <c r="QIB18" s="28" t="str">
        <f>IFERROR(IF(QIK3="No",IF(VLOOKUP(DATE($K$1,$K$2,QIB$4),Table1[],(MATCH(Calendar!$A18,DB!$1:$1,0)),FALSE)&gt;=5,"Good","Bad"),VLOOKUP(DATE($K$1,$K$2,QIB$4),Table1[],(MATCH(Calendar!$A18,DB!$1:$1,0)),FALSE)),"")</f>
        <v/>
      </c>
      <c r="QIC18" s="28" t="str">
        <f>IFERROR(IF(QIL3="No",IF(VLOOKUP(DATE($K$1,$K$2,QIC$4),Table1[],(MATCH(Calendar!$A18,DB!$1:$1,0)),FALSE)&gt;=5,"Good","Bad"),VLOOKUP(DATE($K$1,$K$2,QIC$4),Table1[],(MATCH(Calendar!$A18,DB!$1:$1,0)),FALSE)),"")</f>
        <v/>
      </c>
      <c r="QID18" s="28" t="str">
        <f>IFERROR(IF(QIM3="No",IF(VLOOKUP(DATE($K$1,$K$2,QID$4),Table1[],(MATCH(Calendar!$A18,DB!$1:$1,0)),FALSE)&gt;=5,"Good","Bad"),VLOOKUP(DATE($K$1,$K$2,QID$4),Table1[],(MATCH(Calendar!$A18,DB!$1:$1,0)),FALSE)),"")</f>
        <v/>
      </c>
      <c r="QIE18" s="28" t="str">
        <f>IFERROR(IF(QIN3="No",IF(VLOOKUP(DATE($K$1,$K$2,QIE$4),Table1[],(MATCH(Calendar!$A18,DB!$1:$1,0)),FALSE)&gt;=5,"Good","Bad"),VLOOKUP(DATE($K$1,$K$2,QIE$4),Table1[],(MATCH(Calendar!$A18,DB!$1:$1,0)),FALSE)),"")</f>
        <v/>
      </c>
      <c r="QIF18" s="28" t="str">
        <f>IFERROR(IF(QIO3="No",IF(VLOOKUP(DATE($K$1,$K$2,QIF$4),Table1[],(MATCH(Calendar!$A18,DB!$1:$1,0)),FALSE)&gt;=5,"Good","Bad"),VLOOKUP(DATE($K$1,$K$2,QIF$4),Table1[],(MATCH(Calendar!$A18,DB!$1:$1,0)),FALSE)),"")</f>
        <v/>
      </c>
      <c r="QIG18" s="28" t="str">
        <f>IFERROR(IF(QIP3="No",IF(VLOOKUP(DATE($K$1,$K$2,QIG$4),Table1[],(MATCH(Calendar!$A18,DB!$1:$1,0)),FALSE)&gt;=5,"Good","Bad"),VLOOKUP(DATE($K$1,$K$2,QIG$4),Table1[],(MATCH(Calendar!$A18,DB!$1:$1,0)),FALSE)),"")</f>
        <v/>
      </c>
      <c r="QIH18" s="28" t="str">
        <f>IFERROR(IF(QIQ3="No",IF(VLOOKUP(DATE($K$1,$K$2,QIH$4),Table1[],(MATCH(Calendar!$A18,DB!$1:$1,0)),FALSE)&gt;=5,"Good","Bad"),VLOOKUP(DATE($K$1,$K$2,QIH$4),Table1[],(MATCH(Calendar!$A18,DB!$1:$1,0)),FALSE)),"")</f>
        <v/>
      </c>
      <c r="QII18" s="28" t="str">
        <f>IFERROR(IF(QIR3="No",IF(VLOOKUP(DATE($K$1,$K$2,QII$4),Table1[],(MATCH(Calendar!$A18,DB!$1:$1,0)),FALSE)&gt;=5,"Good","Bad"),VLOOKUP(DATE($K$1,$K$2,QII$4),Table1[],(MATCH(Calendar!$A18,DB!$1:$1,0)),FALSE)),"")</f>
        <v/>
      </c>
      <c r="QIJ18" s="28" t="str">
        <f>IFERROR(IF(QIS3="No",IF(VLOOKUP(DATE($K$1,$K$2,QIJ$4),Table1[],(MATCH(Calendar!$A18,DB!$1:$1,0)),FALSE)&gt;=5,"Good","Bad"),VLOOKUP(DATE($K$1,$K$2,QIJ$4),Table1[],(MATCH(Calendar!$A18,DB!$1:$1,0)),FALSE)),"")</f>
        <v/>
      </c>
      <c r="QIK18" s="28" t="str">
        <f>IFERROR(IF(QIT3="No",IF(VLOOKUP(DATE($K$1,$K$2,QIK$4),Table1[],(MATCH(Calendar!$A18,DB!$1:$1,0)),FALSE)&gt;=5,"Good","Bad"),VLOOKUP(DATE($K$1,$K$2,QIK$4),Table1[],(MATCH(Calendar!$A18,DB!$1:$1,0)),FALSE)),"")</f>
        <v/>
      </c>
      <c r="QIL18" s="28" t="str">
        <f>IFERROR(IF(QIU3="No",IF(VLOOKUP(DATE($K$1,$K$2,QIL$4),Table1[],(MATCH(Calendar!$A18,DB!$1:$1,0)),FALSE)&gt;=5,"Good","Bad"),VLOOKUP(DATE($K$1,$K$2,QIL$4),Table1[],(MATCH(Calendar!$A18,DB!$1:$1,0)),FALSE)),"")</f>
        <v/>
      </c>
      <c r="QIM18" s="28" t="str">
        <f>IFERROR(IF(QIV3="No",IF(VLOOKUP(DATE($K$1,$K$2,QIM$4),Table1[],(MATCH(Calendar!$A18,DB!$1:$1,0)),FALSE)&gt;=5,"Good","Bad"),VLOOKUP(DATE($K$1,$K$2,QIM$4),Table1[],(MATCH(Calendar!$A18,DB!$1:$1,0)),FALSE)),"")</f>
        <v/>
      </c>
      <c r="QIN18" s="28" t="str">
        <f>IFERROR(IF(QIW3="No",IF(VLOOKUP(DATE($K$1,$K$2,QIN$4),Table1[],(MATCH(Calendar!$A18,DB!$1:$1,0)),FALSE)&gt;=5,"Good","Bad"),VLOOKUP(DATE($K$1,$K$2,QIN$4),Table1[],(MATCH(Calendar!$A18,DB!$1:$1,0)),FALSE)),"")</f>
        <v/>
      </c>
      <c r="QIO18" s="28" t="str">
        <f>IFERROR(IF(QIX3="No",IF(VLOOKUP(DATE($K$1,$K$2,QIO$4),Table1[],(MATCH(Calendar!$A18,DB!$1:$1,0)),FALSE)&gt;=5,"Good","Bad"),VLOOKUP(DATE($K$1,$K$2,QIO$4),Table1[],(MATCH(Calendar!$A18,DB!$1:$1,0)),FALSE)),"")</f>
        <v/>
      </c>
      <c r="QIP18" s="28" t="str">
        <f>IFERROR(IF(QIY3="No",IF(VLOOKUP(DATE($K$1,$K$2,QIP$4),Table1[],(MATCH(Calendar!$A18,DB!$1:$1,0)),FALSE)&gt;=5,"Good","Bad"),VLOOKUP(DATE($K$1,$K$2,QIP$4),Table1[],(MATCH(Calendar!$A18,DB!$1:$1,0)),FALSE)),"")</f>
        <v/>
      </c>
      <c r="QIQ18" s="28" t="str">
        <f>IFERROR(IF(QIZ3="No",IF(VLOOKUP(DATE($K$1,$K$2,QIQ$4),Table1[],(MATCH(Calendar!$A18,DB!$1:$1,0)),FALSE)&gt;=5,"Good","Bad"),VLOOKUP(DATE($K$1,$K$2,QIQ$4),Table1[],(MATCH(Calendar!$A18,DB!$1:$1,0)),FALSE)),"")</f>
        <v/>
      </c>
      <c r="QIR18" s="28" t="str">
        <f>IFERROR(IF(QJA3="No",IF(VLOOKUP(DATE($K$1,$K$2,QIR$4),Table1[],(MATCH(Calendar!$A18,DB!$1:$1,0)),FALSE)&gt;=5,"Good","Bad"),VLOOKUP(DATE($K$1,$K$2,QIR$4),Table1[],(MATCH(Calendar!$A18,DB!$1:$1,0)),FALSE)),"")</f>
        <v/>
      </c>
      <c r="QIS18" s="28" t="str">
        <f>IFERROR(IF(QJB3="No",IF(VLOOKUP(DATE($K$1,$K$2,QIS$4),Table1[],(MATCH(Calendar!$A18,DB!$1:$1,0)),FALSE)&gt;=5,"Good","Bad"),VLOOKUP(DATE($K$1,$K$2,QIS$4),Table1[],(MATCH(Calendar!$A18,DB!$1:$1,0)),FALSE)),"")</f>
        <v/>
      </c>
      <c r="QIT18" s="28" t="str">
        <f>IFERROR(IF(QJC3="No",IF(VLOOKUP(DATE($K$1,$K$2,QIT$4),Table1[],(MATCH(Calendar!$A18,DB!$1:$1,0)),FALSE)&gt;=5,"Good","Bad"),VLOOKUP(DATE($K$1,$K$2,QIT$4),Table1[],(MATCH(Calendar!$A18,DB!$1:$1,0)),FALSE)),"")</f>
        <v/>
      </c>
      <c r="QIU18" s="28" t="str">
        <f>IFERROR(IF(QJD3="No",IF(VLOOKUP(DATE($K$1,$K$2,QIU$4),Table1[],(MATCH(Calendar!$A18,DB!$1:$1,0)),FALSE)&gt;=5,"Good","Bad"),VLOOKUP(DATE($K$1,$K$2,QIU$4),Table1[],(MATCH(Calendar!$A18,DB!$1:$1,0)),FALSE)),"")</f>
        <v/>
      </c>
      <c r="QIV18" s="28" t="str">
        <f>IFERROR(IF(QJE3="No",IF(VLOOKUP(DATE($K$1,$K$2,QIV$4),Table1[],(MATCH(Calendar!$A18,DB!$1:$1,0)),FALSE)&gt;=5,"Good","Bad"),VLOOKUP(DATE($K$1,$K$2,QIV$4),Table1[],(MATCH(Calendar!$A18,DB!$1:$1,0)),FALSE)),"")</f>
        <v/>
      </c>
      <c r="QIW18" s="28" t="str">
        <f>IFERROR(IF(QJF3="No",IF(VLOOKUP(DATE($K$1,$K$2,QIW$4),Table1[],(MATCH(Calendar!$A18,DB!$1:$1,0)),FALSE)&gt;=5,"Good","Bad"),VLOOKUP(DATE($K$1,$K$2,QIW$4),Table1[],(MATCH(Calendar!$A18,DB!$1:$1,0)),FALSE)),"")</f>
        <v/>
      </c>
      <c r="QIX18" s="28" t="str">
        <f>IFERROR(IF(QJG3="No",IF(VLOOKUP(DATE($K$1,$K$2,QIX$4),Table1[],(MATCH(Calendar!$A18,DB!$1:$1,0)),FALSE)&gt;=5,"Good","Bad"),VLOOKUP(DATE($K$1,$K$2,QIX$4),Table1[],(MATCH(Calendar!$A18,DB!$1:$1,0)),FALSE)),"")</f>
        <v/>
      </c>
      <c r="QIY18" s="28" t="str">
        <f>IFERROR(IF(QJH3="No",IF(VLOOKUP(DATE($K$1,$K$2,QIY$4),Table1[],(MATCH(Calendar!$A18,DB!$1:$1,0)),FALSE)&gt;=5,"Good","Bad"),VLOOKUP(DATE($K$1,$K$2,QIY$4),Table1[],(MATCH(Calendar!$A18,DB!$1:$1,0)),FALSE)),"")</f>
        <v/>
      </c>
      <c r="QIZ18" s="28" t="str">
        <f>IFERROR(IF(QJI3="No",IF(VLOOKUP(DATE($K$1,$K$2,QIZ$4),Table1[],(MATCH(Calendar!$A18,DB!$1:$1,0)),FALSE)&gt;=5,"Good","Bad"),VLOOKUP(DATE($K$1,$K$2,QIZ$4),Table1[],(MATCH(Calendar!$A18,DB!$1:$1,0)),FALSE)),"")</f>
        <v/>
      </c>
      <c r="QJA18" s="28" t="str">
        <f>IFERROR(IF(QJJ3="No",IF(VLOOKUP(DATE($K$1,$K$2,QJA$4),Table1[],(MATCH(Calendar!$A18,DB!$1:$1,0)),FALSE)&gt;=5,"Good","Bad"),VLOOKUP(DATE($K$1,$K$2,QJA$4),Table1[],(MATCH(Calendar!$A18,DB!$1:$1,0)),FALSE)),"")</f>
        <v/>
      </c>
      <c r="QJB18" s="28" t="str">
        <f>IFERROR(IF(QJK3="No",IF(VLOOKUP(DATE($K$1,$K$2,QJB$4),Table1[],(MATCH(Calendar!$A18,DB!$1:$1,0)),FALSE)&gt;=5,"Good","Bad"),VLOOKUP(DATE($K$1,$K$2,QJB$4),Table1[],(MATCH(Calendar!$A18,DB!$1:$1,0)),FALSE)),"")</f>
        <v/>
      </c>
      <c r="QJC18" s="28" t="str">
        <f>IFERROR(IF(QJL3="No",IF(VLOOKUP(DATE($K$1,$K$2,QJC$4),Table1[],(MATCH(Calendar!$A18,DB!$1:$1,0)),FALSE)&gt;=5,"Good","Bad"),VLOOKUP(DATE($K$1,$K$2,QJC$4),Table1[],(MATCH(Calendar!$A18,DB!$1:$1,0)),FALSE)),"")</f>
        <v/>
      </c>
      <c r="QJD18" s="28" t="str">
        <f>IFERROR(IF(QJM3="No",IF(VLOOKUP(DATE($K$1,$K$2,QJD$4),Table1[],(MATCH(Calendar!$A18,DB!$1:$1,0)),FALSE)&gt;=5,"Good","Bad"),VLOOKUP(DATE($K$1,$K$2,QJD$4),Table1[],(MATCH(Calendar!$A18,DB!$1:$1,0)),FALSE)),"")</f>
        <v/>
      </c>
      <c r="QJE18" s="28" t="str">
        <f>IFERROR(IF(QJN3="No",IF(VLOOKUP(DATE($K$1,$K$2,QJE$4),Table1[],(MATCH(Calendar!$A18,DB!$1:$1,0)),FALSE)&gt;=5,"Good","Bad"),VLOOKUP(DATE($K$1,$K$2,QJE$4),Table1[],(MATCH(Calendar!$A18,DB!$1:$1,0)),FALSE)),"")</f>
        <v/>
      </c>
      <c r="QJF18" s="28" t="str">
        <f>IFERROR(IF(QJO3="No",IF(VLOOKUP(DATE($K$1,$K$2,QJF$4),Table1[],(MATCH(Calendar!$A18,DB!$1:$1,0)),FALSE)&gt;=5,"Good","Bad"),VLOOKUP(DATE($K$1,$K$2,QJF$4),Table1[],(MATCH(Calendar!$A18,DB!$1:$1,0)),FALSE)),"")</f>
        <v/>
      </c>
      <c r="QJG18" s="28" t="str">
        <f>IFERROR(IF(QJP3="No",IF(VLOOKUP(DATE($K$1,$K$2,QJG$4),Table1[],(MATCH(Calendar!$A18,DB!$1:$1,0)),FALSE)&gt;=5,"Good","Bad"),VLOOKUP(DATE($K$1,$K$2,QJG$4),Table1[],(MATCH(Calendar!$A18,DB!$1:$1,0)),FALSE)),"")</f>
        <v/>
      </c>
      <c r="QJH18" s="28" t="str">
        <f>IFERROR(IF(QJQ3="No",IF(VLOOKUP(DATE($K$1,$K$2,QJH$4),Table1[],(MATCH(Calendar!$A18,DB!$1:$1,0)),FALSE)&gt;=5,"Good","Bad"),VLOOKUP(DATE($K$1,$K$2,QJH$4),Table1[],(MATCH(Calendar!$A18,DB!$1:$1,0)),FALSE)),"")</f>
        <v/>
      </c>
      <c r="QJI18" s="28" t="str">
        <f>IFERROR(IF(QJR3="No",IF(VLOOKUP(DATE($K$1,$K$2,QJI$4),Table1[],(MATCH(Calendar!$A18,DB!$1:$1,0)),FALSE)&gt;=5,"Good","Bad"),VLOOKUP(DATE($K$1,$K$2,QJI$4),Table1[],(MATCH(Calendar!$A18,DB!$1:$1,0)),FALSE)),"")</f>
        <v/>
      </c>
      <c r="QJJ18" s="28" t="str">
        <f>IFERROR(IF(QJS3="No",IF(VLOOKUP(DATE($K$1,$K$2,QJJ$4),Table1[],(MATCH(Calendar!$A18,DB!$1:$1,0)),FALSE)&gt;=5,"Good","Bad"),VLOOKUP(DATE($K$1,$K$2,QJJ$4),Table1[],(MATCH(Calendar!$A18,DB!$1:$1,0)),FALSE)),"")</f>
        <v/>
      </c>
      <c r="QJK18" s="28" t="str">
        <f>IFERROR(IF(QJT3="No",IF(VLOOKUP(DATE($K$1,$K$2,QJK$4),Table1[],(MATCH(Calendar!$A18,DB!$1:$1,0)),FALSE)&gt;=5,"Good","Bad"),VLOOKUP(DATE($K$1,$K$2,QJK$4),Table1[],(MATCH(Calendar!$A18,DB!$1:$1,0)),FALSE)),"")</f>
        <v/>
      </c>
      <c r="QJL18" s="28" t="str">
        <f>IFERROR(IF(QJU3="No",IF(VLOOKUP(DATE($K$1,$K$2,QJL$4),Table1[],(MATCH(Calendar!$A18,DB!$1:$1,0)),FALSE)&gt;=5,"Good","Bad"),VLOOKUP(DATE($K$1,$K$2,QJL$4),Table1[],(MATCH(Calendar!$A18,DB!$1:$1,0)),FALSE)),"")</f>
        <v/>
      </c>
      <c r="QJM18" s="28" t="str">
        <f>IFERROR(IF(QJV3="No",IF(VLOOKUP(DATE($K$1,$K$2,QJM$4),Table1[],(MATCH(Calendar!$A18,DB!$1:$1,0)),FALSE)&gt;=5,"Good","Bad"),VLOOKUP(DATE($K$1,$K$2,QJM$4),Table1[],(MATCH(Calendar!$A18,DB!$1:$1,0)),FALSE)),"")</f>
        <v/>
      </c>
      <c r="QJN18" s="28" t="str">
        <f>IFERROR(IF(QJW3="No",IF(VLOOKUP(DATE($K$1,$K$2,QJN$4),Table1[],(MATCH(Calendar!$A18,DB!$1:$1,0)),FALSE)&gt;=5,"Good","Bad"),VLOOKUP(DATE($K$1,$K$2,QJN$4),Table1[],(MATCH(Calendar!$A18,DB!$1:$1,0)),FALSE)),"")</f>
        <v/>
      </c>
      <c r="QJO18" s="28" t="str">
        <f>IFERROR(IF(QJX3="No",IF(VLOOKUP(DATE($K$1,$K$2,QJO$4),Table1[],(MATCH(Calendar!$A18,DB!$1:$1,0)),FALSE)&gt;=5,"Good","Bad"),VLOOKUP(DATE($K$1,$K$2,QJO$4),Table1[],(MATCH(Calendar!$A18,DB!$1:$1,0)),FALSE)),"")</f>
        <v/>
      </c>
      <c r="QJP18" s="28" t="str">
        <f>IFERROR(IF(QJY3="No",IF(VLOOKUP(DATE($K$1,$K$2,QJP$4),Table1[],(MATCH(Calendar!$A18,DB!$1:$1,0)),FALSE)&gt;=5,"Good","Bad"),VLOOKUP(DATE($K$1,$K$2,QJP$4),Table1[],(MATCH(Calendar!$A18,DB!$1:$1,0)),FALSE)),"")</f>
        <v/>
      </c>
      <c r="QJQ18" s="28" t="str">
        <f>IFERROR(IF(QJZ3="No",IF(VLOOKUP(DATE($K$1,$K$2,QJQ$4),Table1[],(MATCH(Calendar!$A18,DB!$1:$1,0)),FALSE)&gt;=5,"Good","Bad"),VLOOKUP(DATE($K$1,$K$2,QJQ$4),Table1[],(MATCH(Calendar!$A18,DB!$1:$1,0)),FALSE)),"")</f>
        <v/>
      </c>
      <c r="QJR18" s="28" t="str">
        <f>IFERROR(IF(QKA3="No",IF(VLOOKUP(DATE($K$1,$K$2,QJR$4),Table1[],(MATCH(Calendar!$A18,DB!$1:$1,0)),FALSE)&gt;=5,"Good","Bad"),VLOOKUP(DATE($K$1,$K$2,QJR$4),Table1[],(MATCH(Calendar!$A18,DB!$1:$1,0)),FALSE)),"")</f>
        <v/>
      </c>
      <c r="QJS18" s="28" t="str">
        <f>IFERROR(IF(QKB3="No",IF(VLOOKUP(DATE($K$1,$K$2,QJS$4),Table1[],(MATCH(Calendar!$A18,DB!$1:$1,0)),FALSE)&gt;=5,"Good","Bad"),VLOOKUP(DATE($K$1,$K$2,QJS$4),Table1[],(MATCH(Calendar!$A18,DB!$1:$1,0)),FALSE)),"")</f>
        <v/>
      </c>
      <c r="QJT18" s="28" t="str">
        <f>IFERROR(IF(QKC3="No",IF(VLOOKUP(DATE($K$1,$K$2,QJT$4),Table1[],(MATCH(Calendar!$A18,DB!$1:$1,0)),FALSE)&gt;=5,"Good","Bad"),VLOOKUP(DATE($K$1,$K$2,QJT$4),Table1[],(MATCH(Calendar!$A18,DB!$1:$1,0)),FALSE)),"")</f>
        <v/>
      </c>
      <c r="QJU18" s="28" t="str">
        <f>IFERROR(IF(QKD3="No",IF(VLOOKUP(DATE($K$1,$K$2,QJU$4),Table1[],(MATCH(Calendar!$A18,DB!$1:$1,0)),FALSE)&gt;=5,"Good","Bad"),VLOOKUP(DATE($K$1,$K$2,QJU$4),Table1[],(MATCH(Calendar!$A18,DB!$1:$1,0)),FALSE)),"")</f>
        <v/>
      </c>
      <c r="QJV18" s="28" t="str">
        <f>IFERROR(IF(QKE3="No",IF(VLOOKUP(DATE($K$1,$K$2,QJV$4),Table1[],(MATCH(Calendar!$A18,DB!$1:$1,0)),FALSE)&gt;=5,"Good","Bad"),VLOOKUP(DATE($K$1,$K$2,QJV$4),Table1[],(MATCH(Calendar!$A18,DB!$1:$1,0)),FALSE)),"")</f>
        <v/>
      </c>
      <c r="QJW18" s="28" t="str">
        <f>IFERROR(IF(QKF3="No",IF(VLOOKUP(DATE($K$1,$K$2,QJW$4),Table1[],(MATCH(Calendar!$A18,DB!$1:$1,0)),FALSE)&gt;=5,"Good","Bad"),VLOOKUP(DATE($K$1,$K$2,QJW$4),Table1[],(MATCH(Calendar!$A18,DB!$1:$1,0)),FALSE)),"")</f>
        <v/>
      </c>
      <c r="QJX18" s="28" t="str">
        <f>IFERROR(IF(QKG3="No",IF(VLOOKUP(DATE($K$1,$K$2,QJX$4),Table1[],(MATCH(Calendar!$A18,DB!$1:$1,0)),FALSE)&gt;=5,"Good","Bad"),VLOOKUP(DATE($K$1,$K$2,QJX$4),Table1[],(MATCH(Calendar!$A18,DB!$1:$1,0)),FALSE)),"")</f>
        <v/>
      </c>
      <c r="QJY18" s="28" t="str">
        <f>IFERROR(IF(QKH3="No",IF(VLOOKUP(DATE($K$1,$K$2,QJY$4),Table1[],(MATCH(Calendar!$A18,DB!$1:$1,0)),FALSE)&gt;=5,"Good","Bad"),VLOOKUP(DATE($K$1,$K$2,QJY$4),Table1[],(MATCH(Calendar!$A18,DB!$1:$1,0)),FALSE)),"")</f>
        <v/>
      </c>
      <c r="QJZ18" s="28" t="str">
        <f>IFERROR(IF(QKI3="No",IF(VLOOKUP(DATE($K$1,$K$2,QJZ$4),Table1[],(MATCH(Calendar!$A18,DB!$1:$1,0)),FALSE)&gt;=5,"Good","Bad"),VLOOKUP(DATE($K$1,$K$2,QJZ$4),Table1[],(MATCH(Calendar!$A18,DB!$1:$1,0)),FALSE)),"")</f>
        <v/>
      </c>
      <c r="QKA18" s="28" t="str">
        <f>IFERROR(IF(QKJ3="No",IF(VLOOKUP(DATE($K$1,$K$2,QKA$4),Table1[],(MATCH(Calendar!$A18,DB!$1:$1,0)),FALSE)&gt;=5,"Good","Bad"),VLOOKUP(DATE($K$1,$K$2,QKA$4),Table1[],(MATCH(Calendar!$A18,DB!$1:$1,0)),FALSE)),"")</f>
        <v/>
      </c>
      <c r="QKB18" s="28" t="str">
        <f>IFERROR(IF(QKK3="No",IF(VLOOKUP(DATE($K$1,$K$2,QKB$4),Table1[],(MATCH(Calendar!$A18,DB!$1:$1,0)),FALSE)&gt;=5,"Good","Bad"),VLOOKUP(DATE($K$1,$K$2,QKB$4),Table1[],(MATCH(Calendar!$A18,DB!$1:$1,0)),FALSE)),"")</f>
        <v/>
      </c>
      <c r="QKC18" s="28" t="str">
        <f>IFERROR(IF(QKL3="No",IF(VLOOKUP(DATE($K$1,$K$2,QKC$4),Table1[],(MATCH(Calendar!$A18,DB!$1:$1,0)),FALSE)&gt;=5,"Good","Bad"),VLOOKUP(DATE($K$1,$K$2,QKC$4),Table1[],(MATCH(Calendar!$A18,DB!$1:$1,0)),FALSE)),"")</f>
        <v/>
      </c>
      <c r="QKD18" s="28" t="str">
        <f>IFERROR(IF(QKM3="No",IF(VLOOKUP(DATE($K$1,$K$2,QKD$4),Table1[],(MATCH(Calendar!$A18,DB!$1:$1,0)),FALSE)&gt;=5,"Good","Bad"),VLOOKUP(DATE($K$1,$K$2,QKD$4),Table1[],(MATCH(Calendar!$A18,DB!$1:$1,0)),FALSE)),"")</f>
        <v/>
      </c>
      <c r="QKE18" s="28" t="str">
        <f>IFERROR(IF(QKN3="No",IF(VLOOKUP(DATE($K$1,$K$2,QKE$4),Table1[],(MATCH(Calendar!$A18,DB!$1:$1,0)),FALSE)&gt;=5,"Good","Bad"),VLOOKUP(DATE($K$1,$K$2,QKE$4),Table1[],(MATCH(Calendar!$A18,DB!$1:$1,0)),FALSE)),"")</f>
        <v/>
      </c>
      <c r="QKF18" s="28" t="str">
        <f>IFERROR(IF(QKO3="No",IF(VLOOKUP(DATE($K$1,$K$2,QKF$4),Table1[],(MATCH(Calendar!$A18,DB!$1:$1,0)),FALSE)&gt;=5,"Good","Bad"),VLOOKUP(DATE($K$1,$K$2,QKF$4),Table1[],(MATCH(Calendar!$A18,DB!$1:$1,0)),FALSE)),"")</f>
        <v/>
      </c>
      <c r="QKG18" s="28" t="str">
        <f>IFERROR(IF(QKP3="No",IF(VLOOKUP(DATE($K$1,$K$2,QKG$4),Table1[],(MATCH(Calendar!$A18,DB!$1:$1,0)),FALSE)&gt;=5,"Good","Bad"),VLOOKUP(DATE($K$1,$K$2,QKG$4),Table1[],(MATCH(Calendar!$A18,DB!$1:$1,0)),FALSE)),"")</f>
        <v/>
      </c>
      <c r="QKH18" s="28" t="str">
        <f>IFERROR(IF(QKQ3="No",IF(VLOOKUP(DATE($K$1,$K$2,QKH$4),Table1[],(MATCH(Calendar!$A18,DB!$1:$1,0)),FALSE)&gt;=5,"Good","Bad"),VLOOKUP(DATE($K$1,$K$2,QKH$4),Table1[],(MATCH(Calendar!$A18,DB!$1:$1,0)),FALSE)),"")</f>
        <v/>
      </c>
      <c r="QKI18" s="28" t="str">
        <f>IFERROR(IF(QKR3="No",IF(VLOOKUP(DATE($K$1,$K$2,QKI$4),Table1[],(MATCH(Calendar!$A18,DB!$1:$1,0)),FALSE)&gt;=5,"Good","Bad"),VLOOKUP(DATE($K$1,$K$2,QKI$4),Table1[],(MATCH(Calendar!$A18,DB!$1:$1,0)),FALSE)),"")</f>
        <v/>
      </c>
      <c r="QKJ18" s="28" t="str">
        <f>IFERROR(IF(QKS3="No",IF(VLOOKUP(DATE($K$1,$K$2,QKJ$4),Table1[],(MATCH(Calendar!$A18,DB!$1:$1,0)),FALSE)&gt;=5,"Good","Bad"),VLOOKUP(DATE($K$1,$K$2,QKJ$4),Table1[],(MATCH(Calendar!$A18,DB!$1:$1,0)),FALSE)),"")</f>
        <v/>
      </c>
      <c r="QKK18" s="28" t="str">
        <f>IFERROR(IF(QKT3="No",IF(VLOOKUP(DATE($K$1,$K$2,QKK$4),Table1[],(MATCH(Calendar!$A18,DB!$1:$1,0)),FALSE)&gt;=5,"Good","Bad"),VLOOKUP(DATE($K$1,$K$2,QKK$4),Table1[],(MATCH(Calendar!$A18,DB!$1:$1,0)),FALSE)),"")</f>
        <v/>
      </c>
      <c r="QKL18" s="28" t="str">
        <f>IFERROR(IF(QKU3="No",IF(VLOOKUP(DATE($K$1,$K$2,QKL$4),Table1[],(MATCH(Calendar!$A18,DB!$1:$1,0)),FALSE)&gt;=5,"Good","Bad"),VLOOKUP(DATE($K$1,$K$2,QKL$4),Table1[],(MATCH(Calendar!$A18,DB!$1:$1,0)),FALSE)),"")</f>
        <v/>
      </c>
      <c r="QKM18" s="28" t="str">
        <f>IFERROR(IF(QKV3="No",IF(VLOOKUP(DATE($K$1,$K$2,QKM$4),Table1[],(MATCH(Calendar!$A18,DB!$1:$1,0)),FALSE)&gt;=5,"Good","Bad"),VLOOKUP(DATE($K$1,$K$2,QKM$4),Table1[],(MATCH(Calendar!$A18,DB!$1:$1,0)),FALSE)),"")</f>
        <v/>
      </c>
      <c r="QKN18" s="28" t="str">
        <f>IFERROR(IF(QKW3="No",IF(VLOOKUP(DATE($K$1,$K$2,QKN$4),Table1[],(MATCH(Calendar!$A18,DB!$1:$1,0)),FALSE)&gt;=5,"Good","Bad"),VLOOKUP(DATE($K$1,$K$2,QKN$4),Table1[],(MATCH(Calendar!$A18,DB!$1:$1,0)),FALSE)),"")</f>
        <v/>
      </c>
      <c r="QKO18" s="28" t="str">
        <f>IFERROR(IF(QKX3="No",IF(VLOOKUP(DATE($K$1,$K$2,QKO$4),Table1[],(MATCH(Calendar!$A18,DB!$1:$1,0)),FALSE)&gt;=5,"Good","Bad"),VLOOKUP(DATE($K$1,$K$2,QKO$4),Table1[],(MATCH(Calendar!$A18,DB!$1:$1,0)),FALSE)),"")</f>
        <v/>
      </c>
      <c r="QKP18" s="28" t="str">
        <f>IFERROR(IF(QKY3="No",IF(VLOOKUP(DATE($K$1,$K$2,QKP$4),Table1[],(MATCH(Calendar!$A18,DB!$1:$1,0)),FALSE)&gt;=5,"Good","Bad"),VLOOKUP(DATE($K$1,$K$2,QKP$4),Table1[],(MATCH(Calendar!$A18,DB!$1:$1,0)),FALSE)),"")</f>
        <v/>
      </c>
      <c r="QKQ18" s="28" t="str">
        <f>IFERROR(IF(QKZ3="No",IF(VLOOKUP(DATE($K$1,$K$2,QKQ$4),Table1[],(MATCH(Calendar!$A18,DB!$1:$1,0)),FALSE)&gt;=5,"Good","Bad"),VLOOKUP(DATE($K$1,$K$2,QKQ$4),Table1[],(MATCH(Calendar!$A18,DB!$1:$1,0)),FALSE)),"")</f>
        <v/>
      </c>
      <c r="QKR18" s="28" t="str">
        <f>IFERROR(IF(QLA3="No",IF(VLOOKUP(DATE($K$1,$K$2,QKR$4),Table1[],(MATCH(Calendar!$A18,DB!$1:$1,0)),FALSE)&gt;=5,"Good","Bad"),VLOOKUP(DATE($K$1,$K$2,QKR$4),Table1[],(MATCH(Calendar!$A18,DB!$1:$1,0)),FALSE)),"")</f>
        <v/>
      </c>
      <c r="QKS18" s="28" t="str">
        <f>IFERROR(IF(QLB3="No",IF(VLOOKUP(DATE($K$1,$K$2,QKS$4),Table1[],(MATCH(Calendar!$A18,DB!$1:$1,0)),FALSE)&gt;=5,"Good","Bad"),VLOOKUP(DATE($K$1,$K$2,QKS$4),Table1[],(MATCH(Calendar!$A18,DB!$1:$1,0)),FALSE)),"")</f>
        <v/>
      </c>
      <c r="QKT18" s="28" t="str">
        <f>IFERROR(IF(QLC3="No",IF(VLOOKUP(DATE($K$1,$K$2,QKT$4),Table1[],(MATCH(Calendar!$A18,DB!$1:$1,0)),FALSE)&gt;=5,"Good","Bad"),VLOOKUP(DATE($K$1,$K$2,QKT$4),Table1[],(MATCH(Calendar!$A18,DB!$1:$1,0)),FALSE)),"")</f>
        <v/>
      </c>
      <c r="QKU18" s="28" t="str">
        <f>IFERROR(IF(QLD3="No",IF(VLOOKUP(DATE($K$1,$K$2,QKU$4),Table1[],(MATCH(Calendar!$A18,DB!$1:$1,0)),FALSE)&gt;=5,"Good","Bad"),VLOOKUP(DATE($K$1,$K$2,QKU$4),Table1[],(MATCH(Calendar!$A18,DB!$1:$1,0)),FALSE)),"")</f>
        <v/>
      </c>
      <c r="QKV18" s="28" t="str">
        <f>IFERROR(IF(QLE3="No",IF(VLOOKUP(DATE($K$1,$K$2,QKV$4),Table1[],(MATCH(Calendar!$A18,DB!$1:$1,0)),FALSE)&gt;=5,"Good","Bad"),VLOOKUP(DATE($K$1,$K$2,QKV$4),Table1[],(MATCH(Calendar!$A18,DB!$1:$1,0)),FALSE)),"")</f>
        <v/>
      </c>
      <c r="QKW18" s="28" t="str">
        <f>IFERROR(IF(QLF3="No",IF(VLOOKUP(DATE($K$1,$K$2,QKW$4),Table1[],(MATCH(Calendar!$A18,DB!$1:$1,0)),FALSE)&gt;=5,"Good","Bad"),VLOOKUP(DATE($K$1,$K$2,QKW$4),Table1[],(MATCH(Calendar!$A18,DB!$1:$1,0)),FALSE)),"")</f>
        <v/>
      </c>
      <c r="QKX18" s="28" t="str">
        <f>IFERROR(IF(QLG3="No",IF(VLOOKUP(DATE($K$1,$K$2,QKX$4),Table1[],(MATCH(Calendar!$A18,DB!$1:$1,0)),FALSE)&gt;=5,"Good","Bad"),VLOOKUP(DATE($K$1,$K$2,QKX$4),Table1[],(MATCH(Calendar!$A18,DB!$1:$1,0)),FALSE)),"")</f>
        <v/>
      </c>
      <c r="QKY18" s="28" t="str">
        <f>IFERROR(IF(QLH3="No",IF(VLOOKUP(DATE($K$1,$K$2,QKY$4),Table1[],(MATCH(Calendar!$A18,DB!$1:$1,0)),FALSE)&gt;=5,"Good","Bad"),VLOOKUP(DATE($K$1,$K$2,QKY$4),Table1[],(MATCH(Calendar!$A18,DB!$1:$1,0)),FALSE)),"")</f>
        <v/>
      </c>
      <c r="QKZ18" s="28" t="str">
        <f>IFERROR(IF(QLI3="No",IF(VLOOKUP(DATE($K$1,$K$2,QKZ$4),Table1[],(MATCH(Calendar!$A18,DB!$1:$1,0)),FALSE)&gt;=5,"Good","Bad"),VLOOKUP(DATE($K$1,$K$2,QKZ$4),Table1[],(MATCH(Calendar!$A18,DB!$1:$1,0)),FALSE)),"")</f>
        <v/>
      </c>
      <c r="QLA18" s="28" t="str">
        <f>IFERROR(IF(QLJ3="No",IF(VLOOKUP(DATE($K$1,$K$2,QLA$4),Table1[],(MATCH(Calendar!$A18,DB!$1:$1,0)),FALSE)&gt;=5,"Good","Bad"),VLOOKUP(DATE($K$1,$K$2,QLA$4),Table1[],(MATCH(Calendar!$A18,DB!$1:$1,0)),FALSE)),"")</f>
        <v/>
      </c>
      <c r="QLB18" s="28" t="str">
        <f>IFERROR(IF(QLK3="No",IF(VLOOKUP(DATE($K$1,$K$2,QLB$4),Table1[],(MATCH(Calendar!$A18,DB!$1:$1,0)),FALSE)&gt;=5,"Good","Bad"),VLOOKUP(DATE($K$1,$K$2,QLB$4),Table1[],(MATCH(Calendar!$A18,DB!$1:$1,0)),FALSE)),"")</f>
        <v/>
      </c>
      <c r="QLC18" s="28" t="str">
        <f>IFERROR(IF(QLL3="No",IF(VLOOKUP(DATE($K$1,$K$2,QLC$4),Table1[],(MATCH(Calendar!$A18,DB!$1:$1,0)),FALSE)&gt;=5,"Good","Bad"),VLOOKUP(DATE($K$1,$K$2,QLC$4),Table1[],(MATCH(Calendar!$A18,DB!$1:$1,0)),FALSE)),"")</f>
        <v/>
      </c>
      <c r="QLD18" s="28" t="str">
        <f>IFERROR(IF(QLM3="No",IF(VLOOKUP(DATE($K$1,$K$2,QLD$4),Table1[],(MATCH(Calendar!$A18,DB!$1:$1,0)),FALSE)&gt;=5,"Good","Bad"),VLOOKUP(DATE($K$1,$K$2,QLD$4),Table1[],(MATCH(Calendar!$A18,DB!$1:$1,0)),FALSE)),"")</f>
        <v/>
      </c>
      <c r="QLE18" s="28" t="str">
        <f>IFERROR(IF(QLN3="No",IF(VLOOKUP(DATE($K$1,$K$2,QLE$4),Table1[],(MATCH(Calendar!$A18,DB!$1:$1,0)),FALSE)&gt;=5,"Good","Bad"),VLOOKUP(DATE($K$1,$K$2,QLE$4),Table1[],(MATCH(Calendar!$A18,DB!$1:$1,0)),FALSE)),"")</f>
        <v/>
      </c>
      <c r="QLF18" s="28" t="str">
        <f>IFERROR(IF(QLO3="No",IF(VLOOKUP(DATE($K$1,$K$2,QLF$4),Table1[],(MATCH(Calendar!$A18,DB!$1:$1,0)),FALSE)&gt;=5,"Good","Bad"),VLOOKUP(DATE($K$1,$K$2,QLF$4),Table1[],(MATCH(Calendar!$A18,DB!$1:$1,0)),FALSE)),"")</f>
        <v/>
      </c>
      <c r="QLG18" s="28" t="str">
        <f>IFERROR(IF(QLP3="No",IF(VLOOKUP(DATE($K$1,$K$2,QLG$4),Table1[],(MATCH(Calendar!$A18,DB!$1:$1,0)),FALSE)&gt;=5,"Good","Bad"),VLOOKUP(DATE($K$1,$K$2,QLG$4),Table1[],(MATCH(Calendar!$A18,DB!$1:$1,0)),FALSE)),"")</f>
        <v/>
      </c>
      <c r="QLH18" s="28" t="str">
        <f>IFERROR(IF(QLQ3="No",IF(VLOOKUP(DATE($K$1,$K$2,QLH$4),Table1[],(MATCH(Calendar!$A18,DB!$1:$1,0)),FALSE)&gt;=5,"Good","Bad"),VLOOKUP(DATE($K$1,$K$2,QLH$4),Table1[],(MATCH(Calendar!$A18,DB!$1:$1,0)),FALSE)),"")</f>
        <v/>
      </c>
      <c r="QLI18" s="28" t="str">
        <f>IFERROR(IF(QLR3="No",IF(VLOOKUP(DATE($K$1,$K$2,QLI$4),Table1[],(MATCH(Calendar!$A18,DB!$1:$1,0)),FALSE)&gt;=5,"Good","Bad"),VLOOKUP(DATE($K$1,$K$2,QLI$4),Table1[],(MATCH(Calendar!$A18,DB!$1:$1,0)),FALSE)),"")</f>
        <v/>
      </c>
      <c r="QLJ18" s="28" t="str">
        <f>IFERROR(IF(QLS3="No",IF(VLOOKUP(DATE($K$1,$K$2,QLJ$4),Table1[],(MATCH(Calendar!$A18,DB!$1:$1,0)),FALSE)&gt;=5,"Good","Bad"),VLOOKUP(DATE($K$1,$K$2,QLJ$4),Table1[],(MATCH(Calendar!$A18,DB!$1:$1,0)),FALSE)),"")</f>
        <v/>
      </c>
      <c r="QLK18" s="28" t="str">
        <f>IFERROR(IF(QLT3="No",IF(VLOOKUP(DATE($K$1,$K$2,QLK$4),Table1[],(MATCH(Calendar!$A18,DB!$1:$1,0)),FALSE)&gt;=5,"Good","Bad"),VLOOKUP(DATE($K$1,$K$2,QLK$4),Table1[],(MATCH(Calendar!$A18,DB!$1:$1,0)),FALSE)),"")</f>
        <v/>
      </c>
      <c r="QLL18" s="28" t="str">
        <f>IFERROR(IF(QLU3="No",IF(VLOOKUP(DATE($K$1,$K$2,QLL$4),Table1[],(MATCH(Calendar!$A18,DB!$1:$1,0)),FALSE)&gt;=5,"Good","Bad"),VLOOKUP(DATE($K$1,$K$2,QLL$4),Table1[],(MATCH(Calendar!$A18,DB!$1:$1,0)),FALSE)),"")</f>
        <v/>
      </c>
      <c r="QLM18" s="28" t="str">
        <f>IFERROR(IF(QLV3="No",IF(VLOOKUP(DATE($K$1,$K$2,QLM$4),Table1[],(MATCH(Calendar!$A18,DB!$1:$1,0)),FALSE)&gt;=5,"Good","Bad"),VLOOKUP(DATE($K$1,$K$2,QLM$4),Table1[],(MATCH(Calendar!$A18,DB!$1:$1,0)),FALSE)),"")</f>
        <v/>
      </c>
      <c r="QLN18" s="28" t="str">
        <f>IFERROR(IF(QLW3="No",IF(VLOOKUP(DATE($K$1,$K$2,QLN$4),Table1[],(MATCH(Calendar!$A18,DB!$1:$1,0)),FALSE)&gt;=5,"Good","Bad"),VLOOKUP(DATE($K$1,$K$2,QLN$4),Table1[],(MATCH(Calendar!$A18,DB!$1:$1,0)),FALSE)),"")</f>
        <v/>
      </c>
      <c r="QLO18" s="28" t="str">
        <f>IFERROR(IF(QLX3="No",IF(VLOOKUP(DATE($K$1,$K$2,QLO$4),Table1[],(MATCH(Calendar!$A18,DB!$1:$1,0)),FALSE)&gt;=5,"Good","Bad"),VLOOKUP(DATE($K$1,$K$2,QLO$4),Table1[],(MATCH(Calendar!$A18,DB!$1:$1,0)),FALSE)),"")</f>
        <v/>
      </c>
      <c r="QLP18" s="28" t="str">
        <f>IFERROR(IF(QLY3="No",IF(VLOOKUP(DATE($K$1,$K$2,QLP$4),Table1[],(MATCH(Calendar!$A18,DB!$1:$1,0)),FALSE)&gt;=5,"Good","Bad"),VLOOKUP(DATE($K$1,$K$2,QLP$4),Table1[],(MATCH(Calendar!$A18,DB!$1:$1,0)),FALSE)),"")</f>
        <v/>
      </c>
      <c r="QLQ18" s="28" t="str">
        <f>IFERROR(IF(QLZ3="No",IF(VLOOKUP(DATE($K$1,$K$2,QLQ$4),Table1[],(MATCH(Calendar!$A18,DB!$1:$1,0)),FALSE)&gt;=5,"Good","Bad"),VLOOKUP(DATE($K$1,$K$2,QLQ$4),Table1[],(MATCH(Calendar!$A18,DB!$1:$1,0)),FALSE)),"")</f>
        <v/>
      </c>
      <c r="QLR18" s="28" t="str">
        <f>IFERROR(IF(QMA3="No",IF(VLOOKUP(DATE($K$1,$K$2,QLR$4),Table1[],(MATCH(Calendar!$A18,DB!$1:$1,0)),FALSE)&gt;=5,"Good","Bad"),VLOOKUP(DATE($K$1,$K$2,QLR$4),Table1[],(MATCH(Calendar!$A18,DB!$1:$1,0)),FALSE)),"")</f>
        <v/>
      </c>
      <c r="QLS18" s="28" t="str">
        <f>IFERROR(IF(QMB3="No",IF(VLOOKUP(DATE($K$1,$K$2,QLS$4),Table1[],(MATCH(Calendar!$A18,DB!$1:$1,0)),FALSE)&gt;=5,"Good","Bad"),VLOOKUP(DATE($K$1,$K$2,QLS$4),Table1[],(MATCH(Calendar!$A18,DB!$1:$1,0)),FALSE)),"")</f>
        <v/>
      </c>
      <c r="QLT18" s="28" t="str">
        <f>IFERROR(IF(QMC3="No",IF(VLOOKUP(DATE($K$1,$K$2,QLT$4),Table1[],(MATCH(Calendar!$A18,DB!$1:$1,0)),FALSE)&gt;=5,"Good","Bad"),VLOOKUP(DATE($K$1,$K$2,QLT$4),Table1[],(MATCH(Calendar!$A18,DB!$1:$1,0)),FALSE)),"")</f>
        <v/>
      </c>
      <c r="QLU18" s="28" t="str">
        <f>IFERROR(IF(QMD3="No",IF(VLOOKUP(DATE($K$1,$K$2,QLU$4),Table1[],(MATCH(Calendar!$A18,DB!$1:$1,0)),FALSE)&gt;=5,"Good","Bad"),VLOOKUP(DATE($K$1,$K$2,QLU$4),Table1[],(MATCH(Calendar!$A18,DB!$1:$1,0)),FALSE)),"")</f>
        <v/>
      </c>
      <c r="QLV18" s="28" t="str">
        <f>IFERROR(IF(QME3="No",IF(VLOOKUP(DATE($K$1,$K$2,QLV$4),Table1[],(MATCH(Calendar!$A18,DB!$1:$1,0)),FALSE)&gt;=5,"Good","Bad"),VLOOKUP(DATE($K$1,$K$2,QLV$4),Table1[],(MATCH(Calendar!$A18,DB!$1:$1,0)),FALSE)),"")</f>
        <v/>
      </c>
      <c r="QLW18" s="28" t="str">
        <f>IFERROR(IF(QMF3="No",IF(VLOOKUP(DATE($K$1,$K$2,QLW$4),Table1[],(MATCH(Calendar!$A18,DB!$1:$1,0)),FALSE)&gt;=5,"Good","Bad"),VLOOKUP(DATE($K$1,$K$2,QLW$4),Table1[],(MATCH(Calendar!$A18,DB!$1:$1,0)),FALSE)),"")</f>
        <v/>
      </c>
      <c r="QLX18" s="28" t="str">
        <f>IFERROR(IF(QMG3="No",IF(VLOOKUP(DATE($K$1,$K$2,QLX$4),Table1[],(MATCH(Calendar!$A18,DB!$1:$1,0)),FALSE)&gt;=5,"Good","Bad"),VLOOKUP(DATE($K$1,$K$2,QLX$4),Table1[],(MATCH(Calendar!$A18,DB!$1:$1,0)),FALSE)),"")</f>
        <v/>
      </c>
      <c r="QLY18" s="28" t="str">
        <f>IFERROR(IF(QMH3="No",IF(VLOOKUP(DATE($K$1,$K$2,QLY$4),Table1[],(MATCH(Calendar!$A18,DB!$1:$1,0)),FALSE)&gt;=5,"Good","Bad"),VLOOKUP(DATE($K$1,$K$2,QLY$4),Table1[],(MATCH(Calendar!$A18,DB!$1:$1,0)),FALSE)),"")</f>
        <v/>
      </c>
      <c r="QLZ18" s="28" t="str">
        <f>IFERROR(IF(QMI3="No",IF(VLOOKUP(DATE($K$1,$K$2,QLZ$4),Table1[],(MATCH(Calendar!$A18,DB!$1:$1,0)),FALSE)&gt;=5,"Good","Bad"),VLOOKUP(DATE($K$1,$K$2,QLZ$4),Table1[],(MATCH(Calendar!$A18,DB!$1:$1,0)),FALSE)),"")</f>
        <v/>
      </c>
      <c r="QMA18" s="28" t="str">
        <f>IFERROR(IF(QMJ3="No",IF(VLOOKUP(DATE($K$1,$K$2,QMA$4),Table1[],(MATCH(Calendar!$A18,DB!$1:$1,0)),FALSE)&gt;=5,"Good","Bad"),VLOOKUP(DATE($K$1,$K$2,QMA$4),Table1[],(MATCH(Calendar!$A18,DB!$1:$1,0)),FALSE)),"")</f>
        <v/>
      </c>
      <c r="QMB18" s="28" t="str">
        <f>IFERROR(IF(QMK3="No",IF(VLOOKUP(DATE($K$1,$K$2,QMB$4),Table1[],(MATCH(Calendar!$A18,DB!$1:$1,0)),FALSE)&gt;=5,"Good","Bad"),VLOOKUP(DATE($K$1,$K$2,QMB$4),Table1[],(MATCH(Calendar!$A18,DB!$1:$1,0)),FALSE)),"")</f>
        <v/>
      </c>
      <c r="QMC18" s="28" t="str">
        <f>IFERROR(IF(QML3="No",IF(VLOOKUP(DATE($K$1,$K$2,QMC$4),Table1[],(MATCH(Calendar!$A18,DB!$1:$1,0)),FALSE)&gt;=5,"Good","Bad"),VLOOKUP(DATE($K$1,$K$2,QMC$4),Table1[],(MATCH(Calendar!$A18,DB!$1:$1,0)),FALSE)),"")</f>
        <v/>
      </c>
      <c r="QMD18" s="28" t="str">
        <f>IFERROR(IF(QMM3="No",IF(VLOOKUP(DATE($K$1,$K$2,QMD$4),Table1[],(MATCH(Calendar!$A18,DB!$1:$1,0)),FALSE)&gt;=5,"Good","Bad"),VLOOKUP(DATE($K$1,$K$2,QMD$4),Table1[],(MATCH(Calendar!$A18,DB!$1:$1,0)),FALSE)),"")</f>
        <v/>
      </c>
      <c r="QME18" s="28" t="str">
        <f>IFERROR(IF(QMN3="No",IF(VLOOKUP(DATE($K$1,$K$2,QME$4),Table1[],(MATCH(Calendar!$A18,DB!$1:$1,0)),FALSE)&gt;=5,"Good","Bad"),VLOOKUP(DATE($K$1,$K$2,QME$4),Table1[],(MATCH(Calendar!$A18,DB!$1:$1,0)),FALSE)),"")</f>
        <v/>
      </c>
      <c r="QMF18" s="28" t="str">
        <f>IFERROR(IF(QMO3="No",IF(VLOOKUP(DATE($K$1,$K$2,QMF$4),Table1[],(MATCH(Calendar!$A18,DB!$1:$1,0)),FALSE)&gt;=5,"Good","Bad"),VLOOKUP(DATE($K$1,$K$2,QMF$4),Table1[],(MATCH(Calendar!$A18,DB!$1:$1,0)),FALSE)),"")</f>
        <v/>
      </c>
      <c r="QMG18" s="28" t="str">
        <f>IFERROR(IF(QMP3="No",IF(VLOOKUP(DATE($K$1,$K$2,QMG$4),Table1[],(MATCH(Calendar!$A18,DB!$1:$1,0)),FALSE)&gt;=5,"Good","Bad"),VLOOKUP(DATE($K$1,$K$2,QMG$4),Table1[],(MATCH(Calendar!$A18,DB!$1:$1,0)),FALSE)),"")</f>
        <v/>
      </c>
      <c r="QMH18" s="28" t="str">
        <f>IFERROR(IF(QMQ3="No",IF(VLOOKUP(DATE($K$1,$K$2,QMH$4),Table1[],(MATCH(Calendar!$A18,DB!$1:$1,0)),FALSE)&gt;=5,"Good","Bad"),VLOOKUP(DATE($K$1,$K$2,QMH$4),Table1[],(MATCH(Calendar!$A18,DB!$1:$1,0)),FALSE)),"")</f>
        <v/>
      </c>
      <c r="QMI18" s="28" t="str">
        <f>IFERROR(IF(QMR3="No",IF(VLOOKUP(DATE($K$1,$K$2,QMI$4),Table1[],(MATCH(Calendar!$A18,DB!$1:$1,0)),FALSE)&gt;=5,"Good","Bad"),VLOOKUP(DATE($K$1,$K$2,QMI$4),Table1[],(MATCH(Calendar!$A18,DB!$1:$1,0)),FALSE)),"")</f>
        <v/>
      </c>
      <c r="QMJ18" s="28" t="str">
        <f>IFERROR(IF(QMS3="No",IF(VLOOKUP(DATE($K$1,$K$2,QMJ$4),Table1[],(MATCH(Calendar!$A18,DB!$1:$1,0)),FALSE)&gt;=5,"Good","Bad"),VLOOKUP(DATE($K$1,$K$2,QMJ$4),Table1[],(MATCH(Calendar!$A18,DB!$1:$1,0)),FALSE)),"")</f>
        <v/>
      </c>
      <c r="QMK18" s="28" t="str">
        <f>IFERROR(IF(QMT3="No",IF(VLOOKUP(DATE($K$1,$K$2,QMK$4),Table1[],(MATCH(Calendar!$A18,DB!$1:$1,0)),FALSE)&gt;=5,"Good","Bad"),VLOOKUP(DATE($K$1,$K$2,QMK$4),Table1[],(MATCH(Calendar!$A18,DB!$1:$1,0)),FALSE)),"")</f>
        <v/>
      </c>
      <c r="QML18" s="28" t="str">
        <f>IFERROR(IF(QMU3="No",IF(VLOOKUP(DATE($K$1,$K$2,QML$4),Table1[],(MATCH(Calendar!$A18,DB!$1:$1,0)),FALSE)&gt;=5,"Good","Bad"),VLOOKUP(DATE($K$1,$K$2,QML$4),Table1[],(MATCH(Calendar!$A18,DB!$1:$1,0)),FALSE)),"")</f>
        <v/>
      </c>
      <c r="QMM18" s="28" t="str">
        <f>IFERROR(IF(QMV3="No",IF(VLOOKUP(DATE($K$1,$K$2,QMM$4),Table1[],(MATCH(Calendar!$A18,DB!$1:$1,0)),FALSE)&gt;=5,"Good","Bad"),VLOOKUP(DATE($K$1,$K$2,QMM$4),Table1[],(MATCH(Calendar!$A18,DB!$1:$1,0)),FALSE)),"")</f>
        <v/>
      </c>
      <c r="QMN18" s="28" t="str">
        <f>IFERROR(IF(QMW3="No",IF(VLOOKUP(DATE($K$1,$K$2,QMN$4),Table1[],(MATCH(Calendar!$A18,DB!$1:$1,0)),FALSE)&gt;=5,"Good","Bad"),VLOOKUP(DATE($K$1,$K$2,QMN$4),Table1[],(MATCH(Calendar!$A18,DB!$1:$1,0)),FALSE)),"")</f>
        <v/>
      </c>
      <c r="QMO18" s="28" t="str">
        <f>IFERROR(IF(QMX3="No",IF(VLOOKUP(DATE($K$1,$K$2,QMO$4),Table1[],(MATCH(Calendar!$A18,DB!$1:$1,0)),FALSE)&gt;=5,"Good","Bad"),VLOOKUP(DATE($K$1,$K$2,QMO$4),Table1[],(MATCH(Calendar!$A18,DB!$1:$1,0)),FALSE)),"")</f>
        <v/>
      </c>
      <c r="QMP18" s="28" t="str">
        <f>IFERROR(IF(QMY3="No",IF(VLOOKUP(DATE($K$1,$K$2,QMP$4),Table1[],(MATCH(Calendar!$A18,DB!$1:$1,0)),FALSE)&gt;=5,"Good","Bad"),VLOOKUP(DATE($K$1,$K$2,QMP$4),Table1[],(MATCH(Calendar!$A18,DB!$1:$1,0)),FALSE)),"")</f>
        <v/>
      </c>
      <c r="QMQ18" s="28" t="str">
        <f>IFERROR(IF(QMZ3="No",IF(VLOOKUP(DATE($K$1,$K$2,QMQ$4),Table1[],(MATCH(Calendar!$A18,DB!$1:$1,0)),FALSE)&gt;=5,"Good","Bad"),VLOOKUP(DATE($K$1,$K$2,QMQ$4),Table1[],(MATCH(Calendar!$A18,DB!$1:$1,0)),FALSE)),"")</f>
        <v/>
      </c>
      <c r="QMR18" s="28" t="str">
        <f>IFERROR(IF(QNA3="No",IF(VLOOKUP(DATE($K$1,$K$2,QMR$4),Table1[],(MATCH(Calendar!$A18,DB!$1:$1,0)),FALSE)&gt;=5,"Good","Bad"),VLOOKUP(DATE($K$1,$K$2,QMR$4),Table1[],(MATCH(Calendar!$A18,DB!$1:$1,0)),FALSE)),"")</f>
        <v/>
      </c>
      <c r="QMS18" s="28" t="str">
        <f>IFERROR(IF(QNB3="No",IF(VLOOKUP(DATE($K$1,$K$2,QMS$4),Table1[],(MATCH(Calendar!$A18,DB!$1:$1,0)),FALSE)&gt;=5,"Good","Bad"),VLOOKUP(DATE($K$1,$K$2,QMS$4),Table1[],(MATCH(Calendar!$A18,DB!$1:$1,0)),FALSE)),"")</f>
        <v/>
      </c>
      <c r="QMT18" s="28" t="str">
        <f>IFERROR(IF(QNC3="No",IF(VLOOKUP(DATE($K$1,$K$2,QMT$4),Table1[],(MATCH(Calendar!$A18,DB!$1:$1,0)),FALSE)&gt;=5,"Good","Bad"),VLOOKUP(DATE($K$1,$K$2,QMT$4),Table1[],(MATCH(Calendar!$A18,DB!$1:$1,0)),FALSE)),"")</f>
        <v/>
      </c>
      <c r="QMU18" s="28" t="str">
        <f>IFERROR(IF(QND3="No",IF(VLOOKUP(DATE($K$1,$K$2,QMU$4),Table1[],(MATCH(Calendar!$A18,DB!$1:$1,0)),FALSE)&gt;=5,"Good","Bad"),VLOOKUP(DATE($K$1,$K$2,QMU$4),Table1[],(MATCH(Calendar!$A18,DB!$1:$1,0)),FALSE)),"")</f>
        <v/>
      </c>
      <c r="QMV18" s="28" t="str">
        <f>IFERROR(IF(QNE3="No",IF(VLOOKUP(DATE($K$1,$K$2,QMV$4),Table1[],(MATCH(Calendar!$A18,DB!$1:$1,0)),FALSE)&gt;=5,"Good","Bad"),VLOOKUP(DATE($K$1,$K$2,QMV$4),Table1[],(MATCH(Calendar!$A18,DB!$1:$1,0)),FALSE)),"")</f>
        <v/>
      </c>
      <c r="QMW18" s="28" t="str">
        <f>IFERROR(IF(QNF3="No",IF(VLOOKUP(DATE($K$1,$K$2,QMW$4),Table1[],(MATCH(Calendar!$A18,DB!$1:$1,0)),FALSE)&gt;=5,"Good","Bad"),VLOOKUP(DATE($K$1,$K$2,QMW$4),Table1[],(MATCH(Calendar!$A18,DB!$1:$1,0)),FALSE)),"")</f>
        <v/>
      </c>
      <c r="QMX18" s="28" t="str">
        <f>IFERROR(IF(QNG3="No",IF(VLOOKUP(DATE($K$1,$K$2,QMX$4),Table1[],(MATCH(Calendar!$A18,DB!$1:$1,0)),FALSE)&gt;=5,"Good","Bad"),VLOOKUP(DATE($K$1,$K$2,QMX$4),Table1[],(MATCH(Calendar!$A18,DB!$1:$1,0)),FALSE)),"")</f>
        <v/>
      </c>
      <c r="QMY18" s="28" t="str">
        <f>IFERROR(IF(QNH3="No",IF(VLOOKUP(DATE($K$1,$K$2,QMY$4),Table1[],(MATCH(Calendar!$A18,DB!$1:$1,0)),FALSE)&gt;=5,"Good","Bad"),VLOOKUP(DATE($K$1,$K$2,QMY$4),Table1[],(MATCH(Calendar!$A18,DB!$1:$1,0)),FALSE)),"")</f>
        <v/>
      </c>
      <c r="QMZ18" s="28" t="str">
        <f>IFERROR(IF(QNI3="No",IF(VLOOKUP(DATE($K$1,$K$2,QMZ$4),Table1[],(MATCH(Calendar!$A18,DB!$1:$1,0)),FALSE)&gt;=5,"Good","Bad"),VLOOKUP(DATE($K$1,$K$2,QMZ$4),Table1[],(MATCH(Calendar!$A18,DB!$1:$1,0)),FALSE)),"")</f>
        <v/>
      </c>
      <c r="QNA18" s="28" t="str">
        <f>IFERROR(IF(QNJ3="No",IF(VLOOKUP(DATE($K$1,$K$2,QNA$4),Table1[],(MATCH(Calendar!$A18,DB!$1:$1,0)),FALSE)&gt;=5,"Good","Bad"),VLOOKUP(DATE($K$1,$K$2,QNA$4),Table1[],(MATCH(Calendar!$A18,DB!$1:$1,0)),FALSE)),"")</f>
        <v/>
      </c>
      <c r="QNB18" s="28" t="str">
        <f>IFERROR(IF(QNK3="No",IF(VLOOKUP(DATE($K$1,$K$2,QNB$4),Table1[],(MATCH(Calendar!$A18,DB!$1:$1,0)),FALSE)&gt;=5,"Good","Bad"),VLOOKUP(DATE($K$1,$K$2,QNB$4),Table1[],(MATCH(Calendar!$A18,DB!$1:$1,0)),FALSE)),"")</f>
        <v/>
      </c>
      <c r="QNC18" s="28" t="str">
        <f>IFERROR(IF(QNL3="No",IF(VLOOKUP(DATE($K$1,$K$2,QNC$4),Table1[],(MATCH(Calendar!$A18,DB!$1:$1,0)),FALSE)&gt;=5,"Good","Bad"),VLOOKUP(DATE($K$1,$K$2,QNC$4),Table1[],(MATCH(Calendar!$A18,DB!$1:$1,0)),FALSE)),"")</f>
        <v/>
      </c>
      <c r="QND18" s="28" t="str">
        <f>IFERROR(IF(QNM3="No",IF(VLOOKUP(DATE($K$1,$K$2,QND$4),Table1[],(MATCH(Calendar!$A18,DB!$1:$1,0)),FALSE)&gt;=5,"Good","Bad"),VLOOKUP(DATE($K$1,$K$2,QND$4),Table1[],(MATCH(Calendar!$A18,DB!$1:$1,0)),FALSE)),"")</f>
        <v/>
      </c>
      <c r="QNE18" s="28" t="str">
        <f>IFERROR(IF(QNN3="No",IF(VLOOKUP(DATE($K$1,$K$2,QNE$4),Table1[],(MATCH(Calendar!$A18,DB!$1:$1,0)),FALSE)&gt;=5,"Good","Bad"),VLOOKUP(DATE($K$1,$K$2,QNE$4),Table1[],(MATCH(Calendar!$A18,DB!$1:$1,0)),FALSE)),"")</f>
        <v/>
      </c>
      <c r="QNF18" s="28" t="str">
        <f>IFERROR(IF(QNO3="No",IF(VLOOKUP(DATE($K$1,$K$2,QNF$4),Table1[],(MATCH(Calendar!$A18,DB!$1:$1,0)),FALSE)&gt;=5,"Good","Bad"),VLOOKUP(DATE($K$1,$K$2,QNF$4),Table1[],(MATCH(Calendar!$A18,DB!$1:$1,0)),FALSE)),"")</f>
        <v/>
      </c>
      <c r="QNG18" s="28" t="str">
        <f>IFERROR(IF(QNP3="No",IF(VLOOKUP(DATE($K$1,$K$2,QNG$4),Table1[],(MATCH(Calendar!$A18,DB!$1:$1,0)),FALSE)&gt;=5,"Good","Bad"),VLOOKUP(DATE($K$1,$K$2,QNG$4),Table1[],(MATCH(Calendar!$A18,DB!$1:$1,0)),FALSE)),"")</f>
        <v/>
      </c>
      <c r="QNH18" s="28" t="str">
        <f>IFERROR(IF(QNQ3="No",IF(VLOOKUP(DATE($K$1,$K$2,QNH$4),Table1[],(MATCH(Calendar!$A18,DB!$1:$1,0)),FALSE)&gt;=5,"Good","Bad"),VLOOKUP(DATE($K$1,$K$2,QNH$4),Table1[],(MATCH(Calendar!$A18,DB!$1:$1,0)),FALSE)),"")</f>
        <v/>
      </c>
      <c r="QNI18" s="28" t="str">
        <f>IFERROR(IF(QNR3="No",IF(VLOOKUP(DATE($K$1,$K$2,QNI$4),Table1[],(MATCH(Calendar!$A18,DB!$1:$1,0)),FALSE)&gt;=5,"Good","Bad"),VLOOKUP(DATE($K$1,$K$2,QNI$4),Table1[],(MATCH(Calendar!$A18,DB!$1:$1,0)),FALSE)),"")</f>
        <v/>
      </c>
      <c r="QNJ18" s="28" t="str">
        <f>IFERROR(IF(QNS3="No",IF(VLOOKUP(DATE($K$1,$K$2,QNJ$4),Table1[],(MATCH(Calendar!$A18,DB!$1:$1,0)),FALSE)&gt;=5,"Good","Bad"),VLOOKUP(DATE($K$1,$K$2,QNJ$4),Table1[],(MATCH(Calendar!$A18,DB!$1:$1,0)),FALSE)),"")</f>
        <v/>
      </c>
      <c r="QNK18" s="28" t="str">
        <f>IFERROR(IF(QNT3="No",IF(VLOOKUP(DATE($K$1,$K$2,QNK$4),Table1[],(MATCH(Calendar!$A18,DB!$1:$1,0)),FALSE)&gt;=5,"Good","Bad"),VLOOKUP(DATE($K$1,$K$2,QNK$4),Table1[],(MATCH(Calendar!$A18,DB!$1:$1,0)),FALSE)),"")</f>
        <v/>
      </c>
      <c r="QNL18" s="28" t="str">
        <f>IFERROR(IF(QNU3="No",IF(VLOOKUP(DATE($K$1,$K$2,QNL$4),Table1[],(MATCH(Calendar!$A18,DB!$1:$1,0)),FALSE)&gt;=5,"Good","Bad"),VLOOKUP(DATE($K$1,$K$2,QNL$4),Table1[],(MATCH(Calendar!$A18,DB!$1:$1,0)),FALSE)),"")</f>
        <v/>
      </c>
      <c r="QNM18" s="28" t="str">
        <f>IFERROR(IF(QNV3="No",IF(VLOOKUP(DATE($K$1,$K$2,QNM$4),Table1[],(MATCH(Calendar!$A18,DB!$1:$1,0)),FALSE)&gt;=5,"Good","Bad"),VLOOKUP(DATE($K$1,$K$2,QNM$4),Table1[],(MATCH(Calendar!$A18,DB!$1:$1,0)),FALSE)),"")</f>
        <v/>
      </c>
      <c r="QNN18" s="28" t="str">
        <f>IFERROR(IF(QNW3="No",IF(VLOOKUP(DATE($K$1,$K$2,QNN$4),Table1[],(MATCH(Calendar!$A18,DB!$1:$1,0)),FALSE)&gt;=5,"Good","Bad"),VLOOKUP(DATE($K$1,$K$2,QNN$4),Table1[],(MATCH(Calendar!$A18,DB!$1:$1,0)),FALSE)),"")</f>
        <v/>
      </c>
      <c r="QNO18" s="28" t="str">
        <f>IFERROR(IF(QNX3="No",IF(VLOOKUP(DATE($K$1,$K$2,QNO$4),Table1[],(MATCH(Calendar!$A18,DB!$1:$1,0)),FALSE)&gt;=5,"Good","Bad"),VLOOKUP(DATE($K$1,$K$2,QNO$4),Table1[],(MATCH(Calendar!$A18,DB!$1:$1,0)),FALSE)),"")</f>
        <v/>
      </c>
      <c r="QNP18" s="28" t="str">
        <f>IFERROR(IF(QNY3="No",IF(VLOOKUP(DATE($K$1,$K$2,QNP$4),Table1[],(MATCH(Calendar!$A18,DB!$1:$1,0)),FALSE)&gt;=5,"Good","Bad"),VLOOKUP(DATE($K$1,$K$2,QNP$4),Table1[],(MATCH(Calendar!$A18,DB!$1:$1,0)),FALSE)),"")</f>
        <v/>
      </c>
      <c r="QNQ18" s="28" t="str">
        <f>IFERROR(IF(QNZ3="No",IF(VLOOKUP(DATE($K$1,$K$2,QNQ$4),Table1[],(MATCH(Calendar!$A18,DB!$1:$1,0)),FALSE)&gt;=5,"Good","Bad"),VLOOKUP(DATE($K$1,$K$2,QNQ$4),Table1[],(MATCH(Calendar!$A18,DB!$1:$1,0)),FALSE)),"")</f>
        <v/>
      </c>
      <c r="QNR18" s="28" t="str">
        <f>IFERROR(IF(QOA3="No",IF(VLOOKUP(DATE($K$1,$K$2,QNR$4),Table1[],(MATCH(Calendar!$A18,DB!$1:$1,0)),FALSE)&gt;=5,"Good","Bad"),VLOOKUP(DATE($K$1,$K$2,QNR$4),Table1[],(MATCH(Calendar!$A18,DB!$1:$1,0)),FALSE)),"")</f>
        <v/>
      </c>
      <c r="QNS18" s="28" t="str">
        <f>IFERROR(IF(QOB3="No",IF(VLOOKUP(DATE($K$1,$K$2,QNS$4),Table1[],(MATCH(Calendar!$A18,DB!$1:$1,0)),FALSE)&gt;=5,"Good","Bad"),VLOOKUP(DATE($K$1,$K$2,QNS$4),Table1[],(MATCH(Calendar!$A18,DB!$1:$1,0)),FALSE)),"")</f>
        <v/>
      </c>
      <c r="QNT18" s="28" t="str">
        <f>IFERROR(IF(QOC3="No",IF(VLOOKUP(DATE($K$1,$K$2,QNT$4),Table1[],(MATCH(Calendar!$A18,DB!$1:$1,0)),FALSE)&gt;=5,"Good","Bad"),VLOOKUP(DATE($K$1,$K$2,QNT$4),Table1[],(MATCH(Calendar!$A18,DB!$1:$1,0)),FALSE)),"")</f>
        <v/>
      </c>
      <c r="QNU18" s="28" t="str">
        <f>IFERROR(IF(QOD3="No",IF(VLOOKUP(DATE($K$1,$K$2,QNU$4),Table1[],(MATCH(Calendar!$A18,DB!$1:$1,0)),FALSE)&gt;=5,"Good","Bad"),VLOOKUP(DATE($K$1,$K$2,QNU$4),Table1[],(MATCH(Calendar!$A18,DB!$1:$1,0)),FALSE)),"")</f>
        <v/>
      </c>
      <c r="QNV18" s="28" t="str">
        <f>IFERROR(IF(QOE3="No",IF(VLOOKUP(DATE($K$1,$K$2,QNV$4),Table1[],(MATCH(Calendar!$A18,DB!$1:$1,0)),FALSE)&gt;=5,"Good","Bad"),VLOOKUP(DATE($K$1,$K$2,QNV$4),Table1[],(MATCH(Calendar!$A18,DB!$1:$1,0)),FALSE)),"")</f>
        <v/>
      </c>
      <c r="QNW18" s="28" t="str">
        <f>IFERROR(IF(QOF3="No",IF(VLOOKUP(DATE($K$1,$K$2,QNW$4),Table1[],(MATCH(Calendar!$A18,DB!$1:$1,0)),FALSE)&gt;=5,"Good","Bad"),VLOOKUP(DATE($K$1,$K$2,QNW$4),Table1[],(MATCH(Calendar!$A18,DB!$1:$1,0)),FALSE)),"")</f>
        <v/>
      </c>
      <c r="QNX18" s="28" t="str">
        <f>IFERROR(IF(QOG3="No",IF(VLOOKUP(DATE($K$1,$K$2,QNX$4),Table1[],(MATCH(Calendar!$A18,DB!$1:$1,0)),FALSE)&gt;=5,"Good","Bad"),VLOOKUP(DATE($K$1,$K$2,QNX$4),Table1[],(MATCH(Calendar!$A18,DB!$1:$1,0)),FALSE)),"")</f>
        <v/>
      </c>
      <c r="QNY18" s="28" t="str">
        <f>IFERROR(IF(QOH3="No",IF(VLOOKUP(DATE($K$1,$K$2,QNY$4),Table1[],(MATCH(Calendar!$A18,DB!$1:$1,0)),FALSE)&gt;=5,"Good","Bad"),VLOOKUP(DATE($K$1,$K$2,QNY$4),Table1[],(MATCH(Calendar!$A18,DB!$1:$1,0)),FALSE)),"")</f>
        <v/>
      </c>
      <c r="QNZ18" s="28" t="str">
        <f>IFERROR(IF(QOI3="No",IF(VLOOKUP(DATE($K$1,$K$2,QNZ$4),Table1[],(MATCH(Calendar!$A18,DB!$1:$1,0)),FALSE)&gt;=5,"Good","Bad"),VLOOKUP(DATE($K$1,$K$2,QNZ$4),Table1[],(MATCH(Calendar!$A18,DB!$1:$1,0)),FALSE)),"")</f>
        <v/>
      </c>
      <c r="QOA18" s="28" t="str">
        <f>IFERROR(IF(QOJ3="No",IF(VLOOKUP(DATE($K$1,$K$2,QOA$4),Table1[],(MATCH(Calendar!$A18,DB!$1:$1,0)),FALSE)&gt;=5,"Good","Bad"),VLOOKUP(DATE($K$1,$K$2,QOA$4),Table1[],(MATCH(Calendar!$A18,DB!$1:$1,0)),FALSE)),"")</f>
        <v/>
      </c>
      <c r="QOB18" s="28" t="str">
        <f>IFERROR(IF(QOK3="No",IF(VLOOKUP(DATE($K$1,$K$2,QOB$4),Table1[],(MATCH(Calendar!$A18,DB!$1:$1,0)),FALSE)&gt;=5,"Good","Bad"),VLOOKUP(DATE($K$1,$K$2,QOB$4),Table1[],(MATCH(Calendar!$A18,DB!$1:$1,0)),FALSE)),"")</f>
        <v/>
      </c>
      <c r="QOC18" s="28" t="str">
        <f>IFERROR(IF(QOL3="No",IF(VLOOKUP(DATE($K$1,$K$2,QOC$4),Table1[],(MATCH(Calendar!$A18,DB!$1:$1,0)),FALSE)&gt;=5,"Good","Bad"),VLOOKUP(DATE($K$1,$K$2,QOC$4),Table1[],(MATCH(Calendar!$A18,DB!$1:$1,0)),FALSE)),"")</f>
        <v/>
      </c>
      <c r="QOD18" s="28" t="str">
        <f>IFERROR(IF(QOM3="No",IF(VLOOKUP(DATE($K$1,$K$2,QOD$4),Table1[],(MATCH(Calendar!$A18,DB!$1:$1,0)),FALSE)&gt;=5,"Good","Bad"),VLOOKUP(DATE($K$1,$K$2,QOD$4),Table1[],(MATCH(Calendar!$A18,DB!$1:$1,0)),FALSE)),"")</f>
        <v/>
      </c>
      <c r="QOE18" s="28" t="str">
        <f>IFERROR(IF(QON3="No",IF(VLOOKUP(DATE($K$1,$K$2,QOE$4),Table1[],(MATCH(Calendar!$A18,DB!$1:$1,0)),FALSE)&gt;=5,"Good","Bad"),VLOOKUP(DATE($K$1,$K$2,QOE$4),Table1[],(MATCH(Calendar!$A18,DB!$1:$1,0)),FALSE)),"")</f>
        <v/>
      </c>
      <c r="QOF18" s="28" t="str">
        <f>IFERROR(IF(QOO3="No",IF(VLOOKUP(DATE($K$1,$K$2,QOF$4),Table1[],(MATCH(Calendar!$A18,DB!$1:$1,0)),FALSE)&gt;=5,"Good","Bad"),VLOOKUP(DATE($K$1,$K$2,QOF$4),Table1[],(MATCH(Calendar!$A18,DB!$1:$1,0)),FALSE)),"")</f>
        <v/>
      </c>
      <c r="QOG18" s="28" t="str">
        <f>IFERROR(IF(QOP3="No",IF(VLOOKUP(DATE($K$1,$K$2,QOG$4),Table1[],(MATCH(Calendar!$A18,DB!$1:$1,0)),FALSE)&gt;=5,"Good","Bad"),VLOOKUP(DATE($K$1,$K$2,QOG$4),Table1[],(MATCH(Calendar!$A18,DB!$1:$1,0)),FALSE)),"")</f>
        <v/>
      </c>
      <c r="QOH18" s="28" t="str">
        <f>IFERROR(IF(QOQ3="No",IF(VLOOKUP(DATE($K$1,$K$2,QOH$4),Table1[],(MATCH(Calendar!$A18,DB!$1:$1,0)),FALSE)&gt;=5,"Good","Bad"),VLOOKUP(DATE($K$1,$K$2,QOH$4),Table1[],(MATCH(Calendar!$A18,DB!$1:$1,0)),FALSE)),"")</f>
        <v/>
      </c>
      <c r="QOI18" s="28" t="str">
        <f>IFERROR(IF(QOR3="No",IF(VLOOKUP(DATE($K$1,$K$2,QOI$4),Table1[],(MATCH(Calendar!$A18,DB!$1:$1,0)),FALSE)&gt;=5,"Good","Bad"),VLOOKUP(DATE($K$1,$K$2,QOI$4),Table1[],(MATCH(Calendar!$A18,DB!$1:$1,0)),FALSE)),"")</f>
        <v/>
      </c>
      <c r="QOJ18" s="28" t="str">
        <f>IFERROR(IF(QOS3="No",IF(VLOOKUP(DATE($K$1,$K$2,QOJ$4),Table1[],(MATCH(Calendar!$A18,DB!$1:$1,0)),FALSE)&gt;=5,"Good","Bad"),VLOOKUP(DATE($K$1,$K$2,QOJ$4),Table1[],(MATCH(Calendar!$A18,DB!$1:$1,0)),FALSE)),"")</f>
        <v/>
      </c>
      <c r="QOK18" s="28" t="str">
        <f>IFERROR(IF(QOT3="No",IF(VLOOKUP(DATE($K$1,$K$2,QOK$4),Table1[],(MATCH(Calendar!$A18,DB!$1:$1,0)),FALSE)&gt;=5,"Good","Bad"),VLOOKUP(DATE($K$1,$K$2,QOK$4),Table1[],(MATCH(Calendar!$A18,DB!$1:$1,0)),FALSE)),"")</f>
        <v/>
      </c>
      <c r="QOL18" s="28" t="str">
        <f>IFERROR(IF(QOU3="No",IF(VLOOKUP(DATE($K$1,$K$2,QOL$4),Table1[],(MATCH(Calendar!$A18,DB!$1:$1,0)),FALSE)&gt;=5,"Good","Bad"),VLOOKUP(DATE($K$1,$K$2,QOL$4),Table1[],(MATCH(Calendar!$A18,DB!$1:$1,0)),FALSE)),"")</f>
        <v/>
      </c>
      <c r="QOM18" s="28" t="str">
        <f>IFERROR(IF(QOV3="No",IF(VLOOKUP(DATE($K$1,$K$2,QOM$4),Table1[],(MATCH(Calendar!$A18,DB!$1:$1,0)),FALSE)&gt;=5,"Good","Bad"),VLOOKUP(DATE($K$1,$K$2,QOM$4),Table1[],(MATCH(Calendar!$A18,DB!$1:$1,0)),FALSE)),"")</f>
        <v/>
      </c>
      <c r="QON18" s="28" t="str">
        <f>IFERROR(IF(QOW3="No",IF(VLOOKUP(DATE($K$1,$K$2,QON$4),Table1[],(MATCH(Calendar!$A18,DB!$1:$1,0)),FALSE)&gt;=5,"Good","Bad"),VLOOKUP(DATE($K$1,$K$2,QON$4),Table1[],(MATCH(Calendar!$A18,DB!$1:$1,0)),FALSE)),"")</f>
        <v/>
      </c>
      <c r="QOO18" s="28" t="str">
        <f>IFERROR(IF(QOX3="No",IF(VLOOKUP(DATE($K$1,$K$2,QOO$4),Table1[],(MATCH(Calendar!$A18,DB!$1:$1,0)),FALSE)&gt;=5,"Good","Bad"),VLOOKUP(DATE($K$1,$K$2,QOO$4),Table1[],(MATCH(Calendar!$A18,DB!$1:$1,0)),FALSE)),"")</f>
        <v/>
      </c>
      <c r="QOP18" s="28" t="str">
        <f>IFERROR(IF(QOY3="No",IF(VLOOKUP(DATE($K$1,$K$2,QOP$4),Table1[],(MATCH(Calendar!$A18,DB!$1:$1,0)),FALSE)&gt;=5,"Good","Bad"),VLOOKUP(DATE($K$1,$K$2,QOP$4),Table1[],(MATCH(Calendar!$A18,DB!$1:$1,0)),FALSE)),"")</f>
        <v/>
      </c>
      <c r="QOQ18" s="28" t="str">
        <f>IFERROR(IF(QOZ3="No",IF(VLOOKUP(DATE($K$1,$K$2,QOQ$4),Table1[],(MATCH(Calendar!$A18,DB!$1:$1,0)),FALSE)&gt;=5,"Good","Bad"),VLOOKUP(DATE($K$1,$K$2,QOQ$4),Table1[],(MATCH(Calendar!$A18,DB!$1:$1,0)),FALSE)),"")</f>
        <v/>
      </c>
      <c r="QOR18" s="28" t="str">
        <f>IFERROR(IF(QPA3="No",IF(VLOOKUP(DATE($K$1,$K$2,QOR$4),Table1[],(MATCH(Calendar!$A18,DB!$1:$1,0)),FALSE)&gt;=5,"Good","Bad"),VLOOKUP(DATE($K$1,$K$2,QOR$4),Table1[],(MATCH(Calendar!$A18,DB!$1:$1,0)),FALSE)),"")</f>
        <v/>
      </c>
      <c r="QOS18" s="28" t="str">
        <f>IFERROR(IF(QPB3="No",IF(VLOOKUP(DATE($K$1,$K$2,QOS$4),Table1[],(MATCH(Calendar!$A18,DB!$1:$1,0)),FALSE)&gt;=5,"Good","Bad"),VLOOKUP(DATE($K$1,$K$2,QOS$4),Table1[],(MATCH(Calendar!$A18,DB!$1:$1,0)),FALSE)),"")</f>
        <v/>
      </c>
      <c r="QOT18" s="28" t="str">
        <f>IFERROR(IF(QPC3="No",IF(VLOOKUP(DATE($K$1,$K$2,QOT$4),Table1[],(MATCH(Calendar!$A18,DB!$1:$1,0)),FALSE)&gt;=5,"Good","Bad"),VLOOKUP(DATE($K$1,$K$2,QOT$4),Table1[],(MATCH(Calendar!$A18,DB!$1:$1,0)),FALSE)),"")</f>
        <v/>
      </c>
      <c r="QOU18" s="28" t="str">
        <f>IFERROR(IF(QPD3="No",IF(VLOOKUP(DATE($K$1,$K$2,QOU$4),Table1[],(MATCH(Calendar!$A18,DB!$1:$1,0)),FALSE)&gt;=5,"Good","Bad"),VLOOKUP(DATE($K$1,$K$2,QOU$4),Table1[],(MATCH(Calendar!$A18,DB!$1:$1,0)),FALSE)),"")</f>
        <v/>
      </c>
      <c r="QOV18" s="28" t="str">
        <f>IFERROR(IF(QPE3="No",IF(VLOOKUP(DATE($K$1,$K$2,QOV$4),Table1[],(MATCH(Calendar!$A18,DB!$1:$1,0)),FALSE)&gt;=5,"Good","Bad"),VLOOKUP(DATE($K$1,$K$2,QOV$4),Table1[],(MATCH(Calendar!$A18,DB!$1:$1,0)),FALSE)),"")</f>
        <v/>
      </c>
      <c r="QOW18" s="28" t="str">
        <f>IFERROR(IF(QPF3="No",IF(VLOOKUP(DATE($K$1,$K$2,QOW$4),Table1[],(MATCH(Calendar!$A18,DB!$1:$1,0)),FALSE)&gt;=5,"Good","Bad"),VLOOKUP(DATE($K$1,$K$2,QOW$4),Table1[],(MATCH(Calendar!$A18,DB!$1:$1,0)),FALSE)),"")</f>
        <v/>
      </c>
      <c r="QOX18" s="28" t="str">
        <f>IFERROR(IF(QPG3="No",IF(VLOOKUP(DATE($K$1,$K$2,QOX$4),Table1[],(MATCH(Calendar!$A18,DB!$1:$1,0)),FALSE)&gt;=5,"Good","Bad"),VLOOKUP(DATE($K$1,$K$2,QOX$4),Table1[],(MATCH(Calendar!$A18,DB!$1:$1,0)),FALSE)),"")</f>
        <v/>
      </c>
      <c r="QOY18" s="28" t="str">
        <f>IFERROR(IF(QPH3="No",IF(VLOOKUP(DATE($K$1,$K$2,QOY$4),Table1[],(MATCH(Calendar!$A18,DB!$1:$1,0)),FALSE)&gt;=5,"Good","Bad"),VLOOKUP(DATE($K$1,$K$2,QOY$4),Table1[],(MATCH(Calendar!$A18,DB!$1:$1,0)),FALSE)),"")</f>
        <v/>
      </c>
      <c r="QOZ18" s="28" t="str">
        <f>IFERROR(IF(QPI3="No",IF(VLOOKUP(DATE($K$1,$K$2,QOZ$4),Table1[],(MATCH(Calendar!$A18,DB!$1:$1,0)),FALSE)&gt;=5,"Good","Bad"),VLOOKUP(DATE($K$1,$K$2,QOZ$4),Table1[],(MATCH(Calendar!$A18,DB!$1:$1,0)),FALSE)),"")</f>
        <v/>
      </c>
      <c r="QPA18" s="28" t="str">
        <f>IFERROR(IF(QPJ3="No",IF(VLOOKUP(DATE($K$1,$K$2,QPA$4),Table1[],(MATCH(Calendar!$A18,DB!$1:$1,0)),FALSE)&gt;=5,"Good","Bad"),VLOOKUP(DATE($K$1,$K$2,QPA$4),Table1[],(MATCH(Calendar!$A18,DB!$1:$1,0)),FALSE)),"")</f>
        <v/>
      </c>
      <c r="QPB18" s="28" t="str">
        <f>IFERROR(IF(QPK3="No",IF(VLOOKUP(DATE($K$1,$K$2,QPB$4),Table1[],(MATCH(Calendar!$A18,DB!$1:$1,0)),FALSE)&gt;=5,"Good","Bad"),VLOOKUP(DATE($K$1,$K$2,QPB$4),Table1[],(MATCH(Calendar!$A18,DB!$1:$1,0)),FALSE)),"")</f>
        <v/>
      </c>
      <c r="QPC18" s="28" t="str">
        <f>IFERROR(IF(QPL3="No",IF(VLOOKUP(DATE($K$1,$K$2,QPC$4),Table1[],(MATCH(Calendar!$A18,DB!$1:$1,0)),FALSE)&gt;=5,"Good","Bad"),VLOOKUP(DATE($K$1,$K$2,QPC$4),Table1[],(MATCH(Calendar!$A18,DB!$1:$1,0)),FALSE)),"")</f>
        <v/>
      </c>
      <c r="QPD18" s="28" t="str">
        <f>IFERROR(IF(QPM3="No",IF(VLOOKUP(DATE($K$1,$K$2,QPD$4),Table1[],(MATCH(Calendar!$A18,DB!$1:$1,0)),FALSE)&gt;=5,"Good","Bad"),VLOOKUP(DATE($K$1,$K$2,QPD$4),Table1[],(MATCH(Calendar!$A18,DB!$1:$1,0)),FALSE)),"")</f>
        <v/>
      </c>
      <c r="QPE18" s="28" t="str">
        <f>IFERROR(IF(QPN3="No",IF(VLOOKUP(DATE($K$1,$K$2,QPE$4),Table1[],(MATCH(Calendar!$A18,DB!$1:$1,0)),FALSE)&gt;=5,"Good","Bad"),VLOOKUP(DATE($K$1,$K$2,QPE$4),Table1[],(MATCH(Calendar!$A18,DB!$1:$1,0)),FALSE)),"")</f>
        <v/>
      </c>
      <c r="QPF18" s="28" t="str">
        <f>IFERROR(IF(QPO3="No",IF(VLOOKUP(DATE($K$1,$K$2,QPF$4),Table1[],(MATCH(Calendar!$A18,DB!$1:$1,0)),FALSE)&gt;=5,"Good","Bad"),VLOOKUP(DATE($K$1,$K$2,QPF$4),Table1[],(MATCH(Calendar!$A18,DB!$1:$1,0)),FALSE)),"")</f>
        <v/>
      </c>
      <c r="QPG18" s="28" t="str">
        <f>IFERROR(IF(QPP3="No",IF(VLOOKUP(DATE($K$1,$K$2,QPG$4),Table1[],(MATCH(Calendar!$A18,DB!$1:$1,0)),FALSE)&gt;=5,"Good","Bad"),VLOOKUP(DATE($K$1,$K$2,QPG$4),Table1[],(MATCH(Calendar!$A18,DB!$1:$1,0)),FALSE)),"")</f>
        <v/>
      </c>
      <c r="QPH18" s="28" t="str">
        <f>IFERROR(IF(QPQ3="No",IF(VLOOKUP(DATE($K$1,$K$2,QPH$4),Table1[],(MATCH(Calendar!$A18,DB!$1:$1,0)),FALSE)&gt;=5,"Good","Bad"),VLOOKUP(DATE($K$1,$K$2,QPH$4),Table1[],(MATCH(Calendar!$A18,DB!$1:$1,0)),FALSE)),"")</f>
        <v/>
      </c>
      <c r="QPI18" s="28" t="str">
        <f>IFERROR(IF(QPR3="No",IF(VLOOKUP(DATE($K$1,$K$2,QPI$4),Table1[],(MATCH(Calendar!$A18,DB!$1:$1,0)),FALSE)&gt;=5,"Good","Bad"),VLOOKUP(DATE($K$1,$K$2,QPI$4),Table1[],(MATCH(Calendar!$A18,DB!$1:$1,0)),FALSE)),"")</f>
        <v/>
      </c>
      <c r="QPJ18" s="28" t="str">
        <f>IFERROR(IF(QPS3="No",IF(VLOOKUP(DATE($K$1,$K$2,QPJ$4),Table1[],(MATCH(Calendar!$A18,DB!$1:$1,0)),FALSE)&gt;=5,"Good","Bad"),VLOOKUP(DATE($K$1,$K$2,QPJ$4),Table1[],(MATCH(Calendar!$A18,DB!$1:$1,0)),FALSE)),"")</f>
        <v/>
      </c>
      <c r="QPK18" s="28" t="str">
        <f>IFERROR(IF(QPT3="No",IF(VLOOKUP(DATE($K$1,$K$2,QPK$4),Table1[],(MATCH(Calendar!$A18,DB!$1:$1,0)),FALSE)&gt;=5,"Good","Bad"),VLOOKUP(DATE($K$1,$K$2,QPK$4),Table1[],(MATCH(Calendar!$A18,DB!$1:$1,0)),FALSE)),"")</f>
        <v/>
      </c>
      <c r="QPL18" s="28" t="str">
        <f>IFERROR(IF(QPU3="No",IF(VLOOKUP(DATE($K$1,$K$2,QPL$4),Table1[],(MATCH(Calendar!$A18,DB!$1:$1,0)),FALSE)&gt;=5,"Good","Bad"),VLOOKUP(DATE($K$1,$K$2,QPL$4),Table1[],(MATCH(Calendar!$A18,DB!$1:$1,0)),FALSE)),"")</f>
        <v/>
      </c>
      <c r="QPM18" s="28" t="str">
        <f>IFERROR(IF(QPV3="No",IF(VLOOKUP(DATE($K$1,$K$2,QPM$4),Table1[],(MATCH(Calendar!$A18,DB!$1:$1,0)),FALSE)&gt;=5,"Good","Bad"),VLOOKUP(DATE($K$1,$K$2,QPM$4),Table1[],(MATCH(Calendar!$A18,DB!$1:$1,0)),FALSE)),"")</f>
        <v/>
      </c>
      <c r="QPN18" s="28" t="str">
        <f>IFERROR(IF(QPW3="No",IF(VLOOKUP(DATE($K$1,$K$2,QPN$4),Table1[],(MATCH(Calendar!$A18,DB!$1:$1,0)),FALSE)&gt;=5,"Good","Bad"),VLOOKUP(DATE($K$1,$K$2,QPN$4),Table1[],(MATCH(Calendar!$A18,DB!$1:$1,0)),FALSE)),"")</f>
        <v/>
      </c>
      <c r="QPO18" s="28" t="str">
        <f>IFERROR(IF(QPX3="No",IF(VLOOKUP(DATE($K$1,$K$2,QPO$4),Table1[],(MATCH(Calendar!$A18,DB!$1:$1,0)),FALSE)&gt;=5,"Good","Bad"),VLOOKUP(DATE($K$1,$K$2,QPO$4),Table1[],(MATCH(Calendar!$A18,DB!$1:$1,0)),FALSE)),"")</f>
        <v/>
      </c>
      <c r="QPP18" s="28" t="str">
        <f>IFERROR(IF(QPY3="No",IF(VLOOKUP(DATE($K$1,$K$2,QPP$4),Table1[],(MATCH(Calendar!$A18,DB!$1:$1,0)),FALSE)&gt;=5,"Good","Bad"),VLOOKUP(DATE($K$1,$K$2,QPP$4),Table1[],(MATCH(Calendar!$A18,DB!$1:$1,0)),FALSE)),"")</f>
        <v/>
      </c>
      <c r="QPQ18" s="28" t="str">
        <f>IFERROR(IF(QPZ3="No",IF(VLOOKUP(DATE($K$1,$K$2,QPQ$4),Table1[],(MATCH(Calendar!$A18,DB!$1:$1,0)),FALSE)&gt;=5,"Good","Bad"),VLOOKUP(DATE($K$1,$K$2,QPQ$4),Table1[],(MATCH(Calendar!$A18,DB!$1:$1,0)),FALSE)),"")</f>
        <v/>
      </c>
      <c r="QPR18" s="28" t="str">
        <f>IFERROR(IF(QQA3="No",IF(VLOOKUP(DATE($K$1,$K$2,QPR$4),Table1[],(MATCH(Calendar!$A18,DB!$1:$1,0)),FALSE)&gt;=5,"Good","Bad"),VLOOKUP(DATE($K$1,$K$2,QPR$4),Table1[],(MATCH(Calendar!$A18,DB!$1:$1,0)),FALSE)),"")</f>
        <v/>
      </c>
      <c r="QPS18" s="28" t="str">
        <f>IFERROR(IF(QQB3="No",IF(VLOOKUP(DATE($K$1,$K$2,QPS$4),Table1[],(MATCH(Calendar!$A18,DB!$1:$1,0)),FALSE)&gt;=5,"Good","Bad"),VLOOKUP(DATE($K$1,$K$2,QPS$4),Table1[],(MATCH(Calendar!$A18,DB!$1:$1,0)),FALSE)),"")</f>
        <v/>
      </c>
      <c r="QPT18" s="28" t="str">
        <f>IFERROR(IF(QQC3="No",IF(VLOOKUP(DATE($K$1,$K$2,QPT$4),Table1[],(MATCH(Calendar!$A18,DB!$1:$1,0)),FALSE)&gt;=5,"Good","Bad"),VLOOKUP(DATE($K$1,$K$2,QPT$4),Table1[],(MATCH(Calendar!$A18,DB!$1:$1,0)),FALSE)),"")</f>
        <v/>
      </c>
      <c r="QPU18" s="28" t="str">
        <f>IFERROR(IF(QQD3="No",IF(VLOOKUP(DATE($K$1,$K$2,QPU$4),Table1[],(MATCH(Calendar!$A18,DB!$1:$1,0)),FALSE)&gt;=5,"Good","Bad"),VLOOKUP(DATE($K$1,$K$2,QPU$4),Table1[],(MATCH(Calendar!$A18,DB!$1:$1,0)),FALSE)),"")</f>
        <v/>
      </c>
      <c r="QPV18" s="28" t="str">
        <f>IFERROR(IF(QQE3="No",IF(VLOOKUP(DATE($K$1,$K$2,QPV$4),Table1[],(MATCH(Calendar!$A18,DB!$1:$1,0)),FALSE)&gt;=5,"Good","Bad"),VLOOKUP(DATE($K$1,$K$2,QPV$4),Table1[],(MATCH(Calendar!$A18,DB!$1:$1,0)),FALSE)),"")</f>
        <v/>
      </c>
      <c r="QPW18" s="28" t="str">
        <f>IFERROR(IF(QQF3="No",IF(VLOOKUP(DATE($K$1,$K$2,QPW$4),Table1[],(MATCH(Calendar!$A18,DB!$1:$1,0)),FALSE)&gt;=5,"Good","Bad"),VLOOKUP(DATE($K$1,$K$2,QPW$4),Table1[],(MATCH(Calendar!$A18,DB!$1:$1,0)),FALSE)),"")</f>
        <v/>
      </c>
      <c r="QPX18" s="28" t="str">
        <f>IFERROR(IF(QQG3="No",IF(VLOOKUP(DATE($K$1,$K$2,QPX$4),Table1[],(MATCH(Calendar!$A18,DB!$1:$1,0)),FALSE)&gt;=5,"Good","Bad"),VLOOKUP(DATE($K$1,$K$2,QPX$4),Table1[],(MATCH(Calendar!$A18,DB!$1:$1,0)),FALSE)),"")</f>
        <v/>
      </c>
      <c r="QPY18" s="28" t="str">
        <f>IFERROR(IF(QQH3="No",IF(VLOOKUP(DATE($K$1,$K$2,QPY$4),Table1[],(MATCH(Calendar!$A18,DB!$1:$1,0)),FALSE)&gt;=5,"Good","Bad"),VLOOKUP(DATE($K$1,$K$2,QPY$4),Table1[],(MATCH(Calendar!$A18,DB!$1:$1,0)),FALSE)),"")</f>
        <v/>
      </c>
      <c r="QPZ18" s="28" t="str">
        <f>IFERROR(IF(QQI3="No",IF(VLOOKUP(DATE($K$1,$K$2,QPZ$4),Table1[],(MATCH(Calendar!$A18,DB!$1:$1,0)),FALSE)&gt;=5,"Good","Bad"),VLOOKUP(DATE($K$1,$K$2,QPZ$4),Table1[],(MATCH(Calendar!$A18,DB!$1:$1,0)),FALSE)),"")</f>
        <v/>
      </c>
      <c r="QQA18" s="28" t="str">
        <f>IFERROR(IF(QQJ3="No",IF(VLOOKUP(DATE($K$1,$K$2,QQA$4),Table1[],(MATCH(Calendar!$A18,DB!$1:$1,0)),FALSE)&gt;=5,"Good","Bad"),VLOOKUP(DATE($K$1,$K$2,QQA$4),Table1[],(MATCH(Calendar!$A18,DB!$1:$1,0)),FALSE)),"")</f>
        <v/>
      </c>
      <c r="QQB18" s="28" t="str">
        <f>IFERROR(IF(QQK3="No",IF(VLOOKUP(DATE($K$1,$K$2,QQB$4),Table1[],(MATCH(Calendar!$A18,DB!$1:$1,0)),FALSE)&gt;=5,"Good","Bad"),VLOOKUP(DATE($K$1,$K$2,QQB$4),Table1[],(MATCH(Calendar!$A18,DB!$1:$1,0)),FALSE)),"")</f>
        <v/>
      </c>
      <c r="QQC18" s="28" t="str">
        <f>IFERROR(IF(QQL3="No",IF(VLOOKUP(DATE($K$1,$K$2,QQC$4),Table1[],(MATCH(Calendar!$A18,DB!$1:$1,0)),FALSE)&gt;=5,"Good","Bad"),VLOOKUP(DATE($K$1,$K$2,QQC$4),Table1[],(MATCH(Calendar!$A18,DB!$1:$1,0)),FALSE)),"")</f>
        <v/>
      </c>
      <c r="QQD18" s="28" t="str">
        <f>IFERROR(IF(QQM3="No",IF(VLOOKUP(DATE($K$1,$K$2,QQD$4),Table1[],(MATCH(Calendar!$A18,DB!$1:$1,0)),FALSE)&gt;=5,"Good","Bad"),VLOOKUP(DATE($K$1,$K$2,QQD$4),Table1[],(MATCH(Calendar!$A18,DB!$1:$1,0)),FALSE)),"")</f>
        <v/>
      </c>
      <c r="QQE18" s="28" t="str">
        <f>IFERROR(IF(QQN3="No",IF(VLOOKUP(DATE($K$1,$K$2,QQE$4),Table1[],(MATCH(Calendar!$A18,DB!$1:$1,0)),FALSE)&gt;=5,"Good","Bad"),VLOOKUP(DATE($K$1,$K$2,QQE$4),Table1[],(MATCH(Calendar!$A18,DB!$1:$1,0)),FALSE)),"")</f>
        <v/>
      </c>
      <c r="QQF18" s="28" t="str">
        <f>IFERROR(IF(QQO3="No",IF(VLOOKUP(DATE($K$1,$K$2,QQF$4),Table1[],(MATCH(Calendar!$A18,DB!$1:$1,0)),FALSE)&gt;=5,"Good","Bad"),VLOOKUP(DATE($K$1,$K$2,QQF$4),Table1[],(MATCH(Calendar!$A18,DB!$1:$1,0)),FALSE)),"")</f>
        <v/>
      </c>
      <c r="QQG18" s="28" t="str">
        <f>IFERROR(IF(QQP3="No",IF(VLOOKUP(DATE($K$1,$K$2,QQG$4),Table1[],(MATCH(Calendar!$A18,DB!$1:$1,0)),FALSE)&gt;=5,"Good","Bad"),VLOOKUP(DATE($K$1,$K$2,QQG$4),Table1[],(MATCH(Calendar!$A18,DB!$1:$1,0)),FALSE)),"")</f>
        <v/>
      </c>
      <c r="QQH18" s="28" t="str">
        <f>IFERROR(IF(QQQ3="No",IF(VLOOKUP(DATE($K$1,$K$2,QQH$4),Table1[],(MATCH(Calendar!$A18,DB!$1:$1,0)),FALSE)&gt;=5,"Good","Bad"),VLOOKUP(DATE($K$1,$K$2,QQH$4),Table1[],(MATCH(Calendar!$A18,DB!$1:$1,0)),FALSE)),"")</f>
        <v/>
      </c>
      <c r="QQI18" s="28" t="str">
        <f>IFERROR(IF(QQR3="No",IF(VLOOKUP(DATE($K$1,$K$2,QQI$4),Table1[],(MATCH(Calendar!$A18,DB!$1:$1,0)),FALSE)&gt;=5,"Good","Bad"),VLOOKUP(DATE($K$1,$K$2,QQI$4),Table1[],(MATCH(Calendar!$A18,DB!$1:$1,0)),FALSE)),"")</f>
        <v/>
      </c>
      <c r="QQJ18" s="28" t="str">
        <f>IFERROR(IF(QQS3="No",IF(VLOOKUP(DATE($K$1,$K$2,QQJ$4),Table1[],(MATCH(Calendar!$A18,DB!$1:$1,0)),FALSE)&gt;=5,"Good","Bad"),VLOOKUP(DATE($K$1,$K$2,QQJ$4),Table1[],(MATCH(Calendar!$A18,DB!$1:$1,0)),FALSE)),"")</f>
        <v/>
      </c>
      <c r="QQK18" s="28" t="str">
        <f>IFERROR(IF(QQT3="No",IF(VLOOKUP(DATE($K$1,$K$2,QQK$4),Table1[],(MATCH(Calendar!$A18,DB!$1:$1,0)),FALSE)&gt;=5,"Good","Bad"),VLOOKUP(DATE($K$1,$K$2,QQK$4),Table1[],(MATCH(Calendar!$A18,DB!$1:$1,0)),FALSE)),"")</f>
        <v/>
      </c>
      <c r="QQL18" s="28" t="str">
        <f>IFERROR(IF(QQU3="No",IF(VLOOKUP(DATE($K$1,$K$2,QQL$4),Table1[],(MATCH(Calendar!$A18,DB!$1:$1,0)),FALSE)&gt;=5,"Good","Bad"),VLOOKUP(DATE($K$1,$K$2,QQL$4),Table1[],(MATCH(Calendar!$A18,DB!$1:$1,0)),FALSE)),"")</f>
        <v/>
      </c>
      <c r="QQM18" s="28" t="str">
        <f>IFERROR(IF(QQV3="No",IF(VLOOKUP(DATE($K$1,$K$2,QQM$4),Table1[],(MATCH(Calendar!$A18,DB!$1:$1,0)),FALSE)&gt;=5,"Good","Bad"),VLOOKUP(DATE($K$1,$K$2,QQM$4),Table1[],(MATCH(Calendar!$A18,DB!$1:$1,0)),FALSE)),"")</f>
        <v/>
      </c>
      <c r="QQN18" s="28" t="str">
        <f>IFERROR(IF(QQW3="No",IF(VLOOKUP(DATE($K$1,$K$2,QQN$4),Table1[],(MATCH(Calendar!$A18,DB!$1:$1,0)),FALSE)&gt;=5,"Good","Bad"),VLOOKUP(DATE($K$1,$K$2,QQN$4),Table1[],(MATCH(Calendar!$A18,DB!$1:$1,0)),FALSE)),"")</f>
        <v/>
      </c>
      <c r="QQO18" s="28" t="str">
        <f>IFERROR(IF(QQX3="No",IF(VLOOKUP(DATE($K$1,$K$2,QQO$4),Table1[],(MATCH(Calendar!$A18,DB!$1:$1,0)),FALSE)&gt;=5,"Good","Bad"),VLOOKUP(DATE($K$1,$K$2,QQO$4),Table1[],(MATCH(Calendar!$A18,DB!$1:$1,0)),FALSE)),"")</f>
        <v/>
      </c>
      <c r="QQP18" s="28" t="str">
        <f>IFERROR(IF(QQY3="No",IF(VLOOKUP(DATE($K$1,$K$2,QQP$4),Table1[],(MATCH(Calendar!$A18,DB!$1:$1,0)),FALSE)&gt;=5,"Good","Bad"),VLOOKUP(DATE($K$1,$K$2,QQP$4),Table1[],(MATCH(Calendar!$A18,DB!$1:$1,0)),FALSE)),"")</f>
        <v/>
      </c>
      <c r="QQQ18" s="28" t="str">
        <f>IFERROR(IF(QQZ3="No",IF(VLOOKUP(DATE($K$1,$K$2,QQQ$4),Table1[],(MATCH(Calendar!$A18,DB!$1:$1,0)),FALSE)&gt;=5,"Good","Bad"),VLOOKUP(DATE($K$1,$K$2,QQQ$4),Table1[],(MATCH(Calendar!$A18,DB!$1:$1,0)),FALSE)),"")</f>
        <v/>
      </c>
      <c r="QQR18" s="28" t="str">
        <f>IFERROR(IF(QRA3="No",IF(VLOOKUP(DATE($K$1,$K$2,QQR$4),Table1[],(MATCH(Calendar!$A18,DB!$1:$1,0)),FALSE)&gt;=5,"Good","Bad"),VLOOKUP(DATE($K$1,$K$2,QQR$4),Table1[],(MATCH(Calendar!$A18,DB!$1:$1,0)),FALSE)),"")</f>
        <v/>
      </c>
      <c r="QQS18" s="28" t="str">
        <f>IFERROR(IF(QRB3="No",IF(VLOOKUP(DATE($K$1,$K$2,QQS$4),Table1[],(MATCH(Calendar!$A18,DB!$1:$1,0)),FALSE)&gt;=5,"Good","Bad"),VLOOKUP(DATE($K$1,$K$2,QQS$4),Table1[],(MATCH(Calendar!$A18,DB!$1:$1,0)),FALSE)),"")</f>
        <v/>
      </c>
      <c r="QQT18" s="28" t="str">
        <f>IFERROR(IF(QRC3="No",IF(VLOOKUP(DATE($K$1,$K$2,QQT$4),Table1[],(MATCH(Calendar!$A18,DB!$1:$1,0)),FALSE)&gt;=5,"Good","Bad"),VLOOKUP(DATE($K$1,$K$2,QQT$4),Table1[],(MATCH(Calendar!$A18,DB!$1:$1,0)),FALSE)),"")</f>
        <v/>
      </c>
      <c r="QQU18" s="28" t="str">
        <f>IFERROR(IF(QRD3="No",IF(VLOOKUP(DATE($K$1,$K$2,QQU$4),Table1[],(MATCH(Calendar!$A18,DB!$1:$1,0)),FALSE)&gt;=5,"Good","Bad"),VLOOKUP(DATE($K$1,$K$2,QQU$4),Table1[],(MATCH(Calendar!$A18,DB!$1:$1,0)),FALSE)),"")</f>
        <v/>
      </c>
      <c r="QQV18" s="28" t="str">
        <f>IFERROR(IF(QRE3="No",IF(VLOOKUP(DATE($K$1,$K$2,QQV$4),Table1[],(MATCH(Calendar!$A18,DB!$1:$1,0)),FALSE)&gt;=5,"Good","Bad"),VLOOKUP(DATE($K$1,$K$2,QQV$4),Table1[],(MATCH(Calendar!$A18,DB!$1:$1,0)),FALSE)),"")</f>
        <v/>
      </c>
      <c r="QQW18" s="28" t="str">
        <f>IFERROR(IF(QRF3="No",IF(VLOOKUP(DATE($K$1,$K$2,QQW$4),Table1[],(MATCH(Calendar!$A18,DB!$1:$1,0)),FALSE)&gt;=5,"Good","Bad"),VLOOKUP(DATE($K$1,$K$2,QQW$4),Table1[],(MATCH(Calendar!$A18,DB!$1:$1,0)),FALSE)),"")</f>
        <v/>
      </c>
      <c r="QQX18" s="28" t="str">
        <f>IFERROR(IF(QRG3="No",IF(VLOOKUP(DATE($K$1,$K$2,QQX$4),Table1[],(MATCH(Calendar!$A18,DB!$1:$1,0)),FALSE)&gt;=5,"Good","Bad"),VLOOKUP(DATE($K$1,$K$2,QQX$4),Table1[],(MATCH(Calendar!$A18,DB!$1:$1,0)),FALSE)),"")</f>
        <v/>
      </c>
      <c r="QQY18" s="28" t="str">
        <f>IFERROR(IF(QRH3="No",IF(VLOOKUP(DATE($K$1,$K$2,QQY$4),Table1[],(MATCH(Calendar!$A18,DB!$1:$1,0)),FALSE)&gt;=5,"Good","Bad"),VLOOKUP(DATE($K$1,$K$2,QQY$4),Table1[],(MATCH(Calendar!$A18,DB!$1:$1,0)),FALSE)),"")</f>
        <v/>
      </c>
      <c r="QQZ18" s="28" t="str">
        <f>IFERROR(IF(QRI3="No",IF(VLOOKUP(DATE($K$1,$K$2,QQZ$4),Table1[],(MATCH(Calendar!$A18,DB!$1:$1,0)),FALSE)&gt;=5,"Good","Bad"),VLOOKUP(DATE($K$1,$K$2,QQZ$4),Table1[],(MATCH(Calendar!$A18,DB!$1:$1,0)),FALSE)),"")</f>
        <v/>
      </c>
      <c r="QRA18" s="28" t="str">
        <f>IFERROR(IF(QRJ3="No",IF(VLOOKUP(DATE($K$1,$K$2,QRA$4),Table1[],(MATCH(Calendar!$A18,DB!$1:$1,0)),FALSE)&gt;=5,"Good","Bad"),VLOOKUP(DATE($K$1,$K$2,QRA$4),Table1[],(MATCH(Calendar!$A18,DB!$1:$1,0)),FALSE)),"")</f>
        <v/>
      </c>
      <c r="QRB18" s="28" t="str">
        <f>IFERROR(IF(QRK3="No",IF(VLOOKUP(DATE($K$1,$K$2,QRB$4),Table1[],(MATCH(Calendar!$A18,DB!$1:$1,0)),FALSE)&gt;=5,"Good","Bad"),VLOOKUP(DATE($K$1,$K$2,QRB$4),Table1[],(MATCH(Calendar!$A18,DB!$1:$1,0)),FALSE)),"")</f>
        <v/>
      </c>
      <c r="QRC18" s="28" t="str">
        <f>IFERROR(IF(QRL3="No",IF(VLOOKUP(DATE($K$1,$K$2,QRC$4),Table1[],(MATCH(Calendar!$A18,DB!$1:$1,0)),FALSE)&gt;=5,"Good","Bad"),VLOOKUP(DATE($K$1,$K$2,QRC$4),Table1[],(MATCH(Calendar!$A18,DB!$1:$1,0)),FALSE)),"")</f>
        <v/>
      </c>
      <c r="QRD18" s="28" t="str">
        <f>IFERROR(IF(QRM3="No",IF(VLOOKUP(DATE($K$1,$K$2,QRD$4),Table1[],(MATCH(Calendar!$A18,DB!$1:$1,0)),FALSE)&gt;=5,"Good","Bad"),VLOOKUP(DATE($K$1,$K$2,QRD$4),Table1[],(MATCH(Calendar!$A18,DB!$1:$1,0)),FALSE)),"")</f>
        <v/>
      </c>
      <c r="QRE18" s="28" t="str">
        <f>IFERROR(IF(QRN3="No",IF(VLOOKUP(DATE($K$1,$K$2,QRE$4),Table1[],(MATCH(Calendar!$A18,DB!$1:$1,0)),FALSE)&gt;=5,"Good","Bad"),VLOOKUP(DATE($K$1,$K$2,QRE$4),Table1[],(MATCH(Calendar!$A18,DB!$1:$1,0)),FALSE)),"")</f>
        <v/>
      </c>
      <c r="QRF18" s="28" t="str">
        <f>IFERROR(IF(QRO3="No",IF(VLOOKUP(DATE($K$1,$K$2,QRF$4),Table1[],(MATCH(Calendar!$A18,DB!$1:$1,0)),FALSE)&gt;=5,"Good","Bad"),VLOOKUP(DATE($K$1,$K$2,QRF$4),Table1[],(MATCH(Calendar!$A18,DB!$1:$1,0)),FALSE)),"")</f>
        <v/>
      </c>
      <c r="QRG18" s="28" t="str">
        <f>IFERROR(IF(QRP3="No",IF(VLOOKUP(DATE($K$1,$K$2,QRG$4),Table1[],(MATCH(Calendar!$A18,DB!$1:$1,0)),FALSE)&gt;=5,"Good","Bad"),VLOOKUP(DATE($K$1,$K$2,QRG$4),Table1[],(MATCH(Calendar!$A18,DB!$1:$1,0)),FALSE)),"")</f>
        <v/>
      </c>
      <c r="QRH18" s="28" t="str">
        <f>IFERROR(IF(QRQ3="No",IF(VLOOKUP(DATE($K$1,$K$2,QRH$4),Table1[],(MATCH(Calendar!$A18,DB!$1:$1,0)),FALSE)&gt;=5,"Good","Bad"),VLOOKUP(DATE($K$1,$K$2,QRH$4),Table1[],(MATCH(Calendar!$A18,DB!$1:$1,0)),FALSE)),"")</f>
        <v/>
      </c>
      <c r="QRI18" s="28" t="str">
        <f>IFERROR(IF(QRR3="No",IF(VLOOKUP(DATE($K$1,$K$2,QRI$4),Table1[],(MATCH(Calendar!$A18,DB!$1:$1,0)),FALSE)&gt;=5,"Good","Bad"),VLOOKUP(DATE($K$1,$K$2,QRI$4),Table1[],(MATCH(Calendar!$A18,DB!$1:$1,0)),FALSE)),"")</f>
        <v/>
      </c>
      <c r="QRJ18" s="28" t="str">
        <f>IFERROR(IF(QRS3="No",IF(VLOOKUP(DATE($K$1,$K$2,QRJ$4),Table1[],(MATCH(Calendar!$A18,DB!$1:$1,0)),FALSE)&gt;=5,"Good","Bad"),VLOOKUP(DATE($K$1,$K$2,QRJ$4),Table1[],(MATCH(Calendar!$A18,DB!$1:$1,0)),FALSE)),"")</f>
        <v/>
      </c>
      <c r="QRK18" s="28" t="str">
        <f>IFERROR(IF(QRT3="No",IF(VLOOKUP(DATE($K$1,$K$2,QRK$4),Table1[],(MATCH(Calendar!$A18,DB!$1:$1,0)),FALSE)&gt;=5,"Good","Bad"),VLOOKUP(DATE($K$1,$K$2,QRK$4),Table1[],(MATCH(Calendar!$A18,DB!$1:$1,0)),FALSE)),"")</f>
        <v/>
      </c>
      <c r="QRL18" s="28" t="str">
        <f>IFERROR(IF(QRU3="No",IF(VLOOKUP(DATE($K$1,$K$2,QRL$4),Table1[],(MATCH(Calendar!$A18,DB!$1:$1,0)),FALSE)&gt;=5,"Good","Bad"),VLOOKUP(DATE($K$1,$K$2,QRL$4),Table1[],(MATCH(Calendar!$A18,DB!$1:$1,0)),FALSE)),"")</f>
        <v/>
      </c>
      <c r="QRM18" s="28" t="str">
        <f>IFERROR(IF(QRV3="No",IF(VLOOKUP(DATE($K$1,$K$2,QRM$4),Table1[],(MATCH(Calendar!$A18,DB!$1:$1,0)),FALSE)&gt;=5,"Good","Bad"),VLOOKUP(DATE($K$1,$K$2,QRM$4),Table1[],(MATCH(Calendar!$A18,DB!$1:$1,0)),FALSE)),"")</f>
        <v/>
      </c>
      <c r="QRN18" s="28" t="str">
        <f>IFERROR(IF(QRW3="No",IF(VLOOKUP(DATE($K$1,$K$2,QRN$4),Table1[],(MATCH(Calendar!$A18,DB!$1:$1,0)),FALSE)&gt;=5,"Good","Bad"),VLOOKUP(DATE($K$1,$K$2,QRN$4),Table1[],(MATCH(Calendar!$A18,DB!$1:$1,0)),FALSE)),"")</f>
        <v/>
      </c>
      <c r="QRO18" s="28" t="str">
        <f>IFERROR(IF(QRX3="No",IF(VLOOKUP(DATE($K$1,$K$2,QRO$4),Table1[],(MATCH(Calendar!$A18,DB!$1:$1,0)),FALSE)&gt;=5,"Good","Bad"),VLOOKUP(DATE($K$1,$K$2,QRO$4),Table1[],(MATCH(Calendar!$A18,DB!$1:$1,0)),FALSE)),"")</f>
        <v/>
      </c>
      <c r="QRP18" s="28" t="str">
        <f>IFERROR(IF(QRY3="No",IF(VLOOKUP(DATE($K$1,$K$2,QRP$4),Table1[],(MATCH(Calendar!$A18,DB!$1:$1,0)),FALSE)&gt;=5,"Good","Bad"),VLOOKUP(DATE($K$1,$K$2,QRP$4),Table1[],(MATCH(Calendar!$A18,DB!$1:$1,0)),FALSE)),"")</f>
        <v/>
      </c>
      <c r="QRQ18" s="28" t="str">
        <f>IFERROR(IF(QRZ3="No",IF(VLOOKUP(DATE($K$1,$K$2,QRQ$4),Table1[],(MATCH(Calendar!$A18,DB!$1:$1,0)),FALSE)&gt;=5,"Good","Bad"),VLOOKUP(DATE($K$1,$K$2,QRQ$4),Table1[],(MATCH(Calendar!$A18,DB!$1:$1,0)),FALSE)),"")</f>
        <v/>
      </c>
      <c r="QRR18" s="28" t="str">
        <f>IFERROR(IF(QSA3="No",IF(VLOOKUP(DATE($K$1,$K$2,QRR$4),Table1[],(MATCH(Calendar!$A18,DB!$1:$1,0)),FALSE)&gt;=5,"Good","Bad"),VLOOKUP(DATE($K$1,$K$2,QRR$4),Table1[],(MATCH(Calendar!$A18,DB!$1:$1,0)),FALSE)),"")</f>
        <v/>
      </c>
      <c r="QRS18" s="28" t="str">
        <f>IFERROR(IF(QSB3="No",IF(VLOOKUP(DATE($K$1,$K$2,QRS$4),Table1[],(MATCH(Calendar!$A18,DB!$1:$1,0)),FALSE)&gt;=5,"Good","Bad"),VLOOKUP(DATE($K$1,$K$2,QRS$4),Table1[],(MATCH(Calendar!$A18,DB!$1:$1,0)),FALSE)),"")</f>
        <v/>
      </c>
      <c r="QRT18" s="28" t="str">
        <f>IFERROR(IF(QSC3="No",IF(VLOOKUP(DATE($K$1,$K$2,QRT$4),Table1[],(MATCH(Calendar!$A18,DB!$1:$1,0)),FALSE)&gt;=5,"Good","Bad"),VLOOKUP(DATE($K$1,$K$2,QRT$4),Table1[],(MATCH(Calendar!$A18,DB!$1:$1,0)),FALSE)),"")</f>
        <v/>
      </c>
      <c r="QRU18" s="28" t="str">
        <f>IFERROR(IF(QSD3="No",IF(VLOOKUP(DATE($K$1,$K$2,QRU$4),Table1[],(MATCH(Calendar!$A18,DB!$1:$1,0)),FALSE)&gt;=5,"Good","Bad"),VLOOKUP(DATE($K$1,$K$2,QRU$4),Table1[],(MATCH(Calendar!$A18,DB!$1:$1,0)),FALSE)),"")</f>
        <v/>
      </c>
      <c r="QRV18" s="28" t="str">
        <f>IFERROR(IF(QSE3="No",IF(VLOOKUP(DATE($K$1,$K$2,QRV$4),Table1[],(MATCH(Calendar!$A18,DB!$1:$1,0)),FALSE)&gt;=5,"Good","Bad"),VLOOKUP(DATE($K$1,$K$2,QRV$4),Table1[],(MATCH(Calendar!$A18,DB!$1:$1,0)),FALSE)),"")</f>
        <v/>
      </c>
      <c r="QRW18" s="28" t="str">
        <f>IFERROR(IF(QSF3="No",IF(VLOOKUP(DATE($K$1,$K$2,QRW$4),Table1[],(MATCH(Calendar!$A18,DB!$1:$1,0)),FALSE)&gt;=5,"Good","Bad"),VLOOKUP(DATE($K$1,$K$2,QRW$4),Table1[],(MATCH(Calendar!$A18,DB!$1:$1,0)),FALSE)),"")</f>
        <v/>
      </c>
      <c r="QRX18" s="28" t="str">
        <f>IFERROR(IF(QSG3="No",IF(VLOOKUP(DATE($K$1,$K$2,QRX$4),Table1[],(MATCH(Calendar!$A18,DB!$1:$1,0)),FALSE)&gt;=5,"Good","Bad"),VLOOKUP(DATE($K$1,$K$2,QRX$4),Table1[],(MATCH(Calendar!$A18,DB!$1:$1,0)),FALSE)),"")</f>
        <v/>
      </c>
      <c r="QRY18" s="28" t="str">
        <f>IFERROR(IF(QSH3="No",IF(VLOOKUP(DATE($K$1,$K$2,QRY$4),Table1[],(MATCH(Calendar!$A18,DB!$1:$1,0)),FALSE)&gt;=5,"Good","Bad"),VLOOKUP(DATE($K$1,$K$2,QRY$4),Table1[],(MATCH(Calendar!$A18,DB!$1:$1,0)),FALSE)),"")</f>
        <v/>
      </c>
      <c r="QRZ18" s="28" t="str">
        <f>IFERROR(IF(QSI3="No",IF(VLOOKUP(DATE($K$1,$K$2,QRZ$4),Table1[],(MATCH(Calendar!$A18,DB!$1:$1,0)),FALSE)&gt;=5,"Good","Bad"),VLOOKUP(DATE($K$1,$K$2,QRZ$4),Table1[],(MATCH(Calendar!$A18,DB!$1:$1,0)),FALSE)),"")</f>
        <v/>
      </c>
      <c r="QSA18" s="28" t="str">
        <f>IFERROR(IF(QSJ3="No",IF(VLOOKUP(DATE($K$1,$K$2,QSA$4),Table1[],(MATCH(Calendar!$A18,DB!$1:$1,0)),FALSE)&gt;=5,"Good","Bad"),VLOOKUP(DATE($K$1,$K$2,QSA$4),Table1[],(MATCH(Calendar!$A18,DB!$1:$1,0)),FALSE)),"")</f>
        <v/>
      </c>
      <c r="QSB18" s="28" t="str">
        <f>IFERROR(IF(QSK3="No",IF(VLOOKUP(DATE($K$1,$K$2,QSB$4),Table1[],(MATCH(Calendar!$A18,DB!$1:$1,0)),FALSE)&gt;=5,"Good","Bad"),VLOOKUP(DATE($K$1,$K$2,QSB$4),Table1[],(MATCH(Calendar!$A18,DB!$1:$1,0)),FALSE)),"")</f>
        <v/>
      </c>
      <c r="QSC18" s="28" t="str">
        <f>IFERROR(IF(QSL3="No",IF(VLOOKUP(DATE($K$1,$K$2,QSC$4),Table1[],(MATCH(Calendar!$A18,DB!$1:$1,0)),FALSE)&gt;=5,"Good","Bad"),VLOOKUP(DATE($K$1,$K$2,QSC$4),Table1[],(MATCH(Calendar!$A18,DB!$1:$1,0)),FALSE)),"")</f>
        <v/>
      </c>
      <c r="QSD18" s="28" t="str">
        <f>IFERROR(IF(QSM3="No",IF(VLOOKUP(DATE($K$1,$K$2,QSD$4),Table1[],(MATCH(Calendar!$A18,DB!$1:$1,0)),FALSE)&gt;=5,"Good","Bad"),VLOOKUP(DATE($K$1,$K$2,QSD$4),Table1[],(MATCH(Calendar!$A18,DB!$1:$1,0)),FALSE)),"")</f>
        <v/>
      </c>
      <c r="QSE18" s="28" t="str">
        <f>IFERROR(IF(QSN3="No",IF(VLOOKUP(DATE($K$1,$K$2,QSE$4),Table1[],(MATCH(Calendar!$A18,DB!$1:$1,0)),FALSE)&gt;=5,"Good","Bad"),VLOOKUP(DATE($K$1,$K$2,QSE$4),Table1[],(MATCH(Calendar!$A18,DB!$1:$1,0)),FALSE)),"")</f>
        <v/>
      </c>
      <c r="QSF18" s="28" t="str">
        <f>IFERROR(IF(QSO3="No",IF(VLOOKUP(DATE($K$1,$K$2,QSF$4),Table1[],(MATCH(Calendar!$A18,DB!$1:$1,0)),FALSE)&gt;=5,"Good","Bad"),VLOOKUP(DATE($K$1,$K$2,QSF$4),Table1[],(MATCH(Calendar!$A18,DB!$1:$1,0)),FALSE)),"")</f>
        <v/>
      </c>
      <c r="QSG18" s="28" t="str">
        <f>IFERROR(IF(QSP3="No",IF(VLOOKUP(DATE($K$1,$K$2,QSG$4),Table1[],(MATCH(Calendar!$A18,DB!$1:$1,0)),FALSE)&gt;=5,"Good","Bad"),VLOOKUP(DATE($K$1,$K$2,QSG$4),Table1[],(MATCH(Calendar!$A18,DB!$1:$1,0)),FALSE)),"")</f>
        <v/>
      </c>
      <c r="QSH18" s="28" t="str">
        <f>IFERROR(IF(QSQ3="No",IF(VLOOKUP(DATE($K$1,$K$2,QSH$4),Table1[],(MATCH(Calendar!$A18,DB!$1:$1,0)),FALSE)&gt;=5,"Good","Bad"),VLOOKUP(DATE($K$1,$K$2,QSH$4),Table1[],(MATCH(Calendar!$A18,DB!$1:$1,0)),FALSE)),"")</f>
        <v/>
      </c>
      <c r="QSI18" s="28" t="str">
        <f>IFERROR(IF(QSR3="No",IF(VLOOKUP(DATE($K$1,$K$2,QSI$4),Table1[],(MATCH(Calendar!$A18,DB!$1:$1,0)),FALSE)&gt;=5,"Good","Bad"),VLOOKUP(DATE($K$1,$K$2,QSI$4),Table1[],(MATCH(Calendar!$A18,DB!$1:$1,0)),FALSE)),"")</f>
        <v/>
      </c>
      <c r="QSJ18" s="28" t="str">
        <f>IFERROR(IF(QSS3="No",IF(VLOOKUP(DATE($K$1,$K$2,QSJ$4),Table1[],(MATCH(Calendar!$A18,DB!$1:$1,0)),FALSE)&gt;=5,"Good","Bad"),VLOOKUP(DATE($K$1,$K$2,QSJ$4),Table1[],(MATCH(Calendar!$A18,DB!$1:$1,0)),FALSE)),"")</f>
        <v/>
      </c>
      <c r="QSK18" s="28" t="str">
        <f>IFERROR(IF(QST3="No",IF(VLOOKUP(DATE($K$1,$K$2,QSK$4),Table1[],(MATCH(Calendar!$A18,DB!$1:$1,0)),FALSE)&gt;=5,"Good","Bad"),VLOOKUP(DATE($K$1,$K$2,QSK$4),Table1[],(MATCH(Calendar!$A18,DB!$1:$1,0)),FALSE)),"")</f>
        <v/>
      </c>
      <c r="QSL18" s="28" t="str">
        <f>IFERROR(IF(QSU3="No",IF(VLOOKUP(DATE($K$1,$K$2,QSL$4),Table1[],(MATCH(Calendar!$A18,DB!$1:$1,0)),FALSE)&gt;=5,"Good","Bad"),VLOOKUP(DATE($K$1,$K$2,QSL$4),Table1[],(MATCH(Calendar!$A18,DB!$1:$1,0)),FALSE)),"")</f>
        <v/>
      </c>
      <c r="QSM18" s="28" t="str">
        <f>IFERROR(IF(QSV3="No",IF(VLOOKUP(DATE($K$1,$K$2,QSM$4),Table1[],(MATCH(Calendar!$A18,DB!$1:$1,0)),FALSE)&gt;=5,"Good","Bad"),VLOOKUP(DATE($K$1,$K$2,QSM$4),Table1[],(MATCH(Calendar!$A18,DB!$1:$1,0)),FALSE)),"")</f>
        <v/>
      </c>
      <c r="QSN18" s="28" t="str">
        <f>IFERROR(IF(QSW3="No",IF(VLOOKUP(DATE($K$1,$K$2,QSN$4),Table1[],(MATCH(Calendar!$A18,DB!$1:$1,0)),FALSE)&gt;=5,"Good","Bad"),VLOOKUP(DATE($K$1,$K$2,QSN$4),Table1[],(MATCH(Calendar!$A18,DB!$1:$1,0)),FALSE)),"")</f>
        <v/>
      </c>
      <c r="QSO18" s="28" t="str">
        <f>IFERROR(IF(QSX3="No",IF(VLOOKUP(DATE($K$1,$K$2,QSO$4),Table1[],(MATCH(Calendar!$A18,DB!$1:$1,0)),FALSE)&gt;=5,"Good","Bad"),VLOOKUP(DATE($K$1,$K$2,QSO$4),Table1[],(MATCH(Calendar!$A18,DB!$1:$1,0)),FALSE)),"")</f>
        <v/>
      </c>
      <c r="QSP18" s="28" t="str">
        <f>IFERROR(IF(QSY3="No",IF(VLOOKUP(DATE($K$1,$K$2,QSP$4),Table1[],(MATCH(Calendar!$A18,DB!$1:$1,0)),FALSE)&gt;=5,"Good","Bad"),VLOOKUP(DATE($K$1,$K$2,QSP$4),Table1[],(MATCH(Calendar!$A18,DB!$1:$1,0)),FALSE)),"")</f>
        <v/>
      </c>
      <c r="QSQ18" s="28" t="str">
        <f>IFERROR(IF(QSZ3="No",IF(VLOOKUP(DATE($K$1,$K$2,QSQ$4),Table1[],(MATCH(Calendar!$A18,DB!$1:$1,0)),FALSE)&gt;=5,"Good","Bad"),VLOOKUP(DATE($K$1,$K$2,QSQ$4),Table1[],(MATCH(Calendar!$A18,DB!$1:$1,0)),FALSE)),"")</f>
        <v/>
      </c>
      <c r="QSR18" s="28" t="str">
        <f>IFERROR(IF(QTA3="No",IF(VLOOKUP(DATE($K$1,$K$2,QSR$4),Table1[],(MATCH(Calendar!$A18,DB!$1:$1,0)),FALSE)&gt;=5,"Good","Bad"),VLOOKUP(DATE($K$1,$K$2,QSR$4),Table1[],(MATCH(Calendar!$A18,DB!$1:$1,0)),FALSE)),"")</f>
        <v/>
      </c>
      <c r="QSS18" s="28" t="str">
        <f>IFERROR(IF(QTB3="No",IF(VLOOKUP(DATE($K$1,$K$2,QSS$4),Table1[],(MATCH(Calendar!$A18,DB!$1:$1,0)),FALSE)&gt;=5,"Good","Bad"),VLOOKUP(DATE($K$1,$K$2,QSS$4),Table1[],(MATCH(Calendar!$A18,DB!$1:$1,0)),FALSE)),"")</f>
        <v/>
      </c>
      <c r="QST18" s="28" t="str">
        <f>IFERROR(IF(QTC3="No",IF(VLOOKUP(DATE($K$1,$K$2,QST$4),Table1[],(MATCH(Calendar!$A18,DB!$1:$1,0)),FALSE)&gt;=5,"Good","Bad"),VLOOKUP(DATE($K$1,$K$2,QST$4),Table1[],(MATCH(Calendar!$A18,DB!$1:$1,0)),FALSE)),"")</f>
        <v/>
      </c>
      <c r="QSU18" s="28" t="str">
        <f>IFERROR(IF(QTD3="No",IF(VLOOKUP(DATE($K$1,$K$2,QSU$4),Table1[],(MATCH(Calendar!$A18,DB!$1:$1,0)),FALSE)&gt;=5,"Good","Bad"),VLOOKUP(DATE($K$1,$K$2,QSU$4),Table1[],(MATCH(Calendar!$A18,DB!$1:$1,0)),FALSE)),"")</f>
        <v/>
      </c>
      <c r="QSV18" s="28" t="str">
        <f>IFERROR(IF(QTE3="No",IF(VLOOKUP(DATE($K$1,$K$2,QSV$4),Table1[],(MATCH(Calendar!$A18,DB!$1:$1,0)),FALSE)&gt;=5,"Good","Bad"),VLOOKUP(DATE($K$1,$K$2,QSV$4),Table1[],(MATCH(Calendar!$A18,DB!$1:$1,0)),FALSE)),"")</f>
        <v/>
      </c>
      <c r="QSW18" s="28" t="str">
        <f>IFERROR(IF(QTF3="No",IF(VLOOKUP(DATE($K$1,$K$2,QSW$4),Table1[],(MATCH(Calendar!$A18,DB!$1:$1,0)),FALSE)&gt;=5,"Good","Bad"),VLOOKUP(DATE($K$1,$K$2,QSW$4),Table1[],(MATCH(Calendar!$A18,DB!$1:$1,0)),FALSE)),"")</f>
        <v/>
      </c>
      <c r="QSX18" s="28" t="str">
        <f>IFERROR(IF(QTG3="No",IF(VLOOKUP(DATE($K$1,$K$2,QSX$4),Table1[],(MATCH(Calendar!$A18,DB!$1:$1,0)),FALSE)&gt;=5,"Good","Bad"),VLOOKUP(DATE($K$1,$K$2,QSX$4),Table1[],(MATCH(Calendar!$A18,DB!$1:$1,0)),FALSE)),"")</f>
        <v/>
      </c>
      <c r="QSY18" s="28" t="str">
        <f>IFERROR(IF(QTH3="No",IF(VLOOKUP(DATE($K$1,$K$2,QSY$4),Table1[],(MATCH(Calendar!$A18,DB!$1:$1,0)),FALSE)&gt;=5,"Good","Bad"),VLOOKUP(DATE($K$1,$K$2,QSY$4),Table1[],(MATCH(Calendar!$A18,DB!$1:$1,0)),FALSE)),"")</f>
        <v/>
      </c>
      <c r="QSZ18" s="28" t="str">
        <f>IFERROR(IF(QTI3="No",IF(VLOOKUP(DATE($K$1,$K$2,QSZ$4),Table1[],(MATCH(Calendar!$A18,DB!$1:$1,0)),FALSE)&gt;=5,"Good","Bad"),VLOOKUP(DATE($K$1,$K$2,QSZ$4),Table1[],(MATCH(Calendar!$A18,DB!$1:$1,0)),FALSE)),"")</f>
        <v/>
      </c>
      <c r="QTA18" s="28" t="str">
        <f>IFERROR(IF(QTJ3="No",IF(VLOOKUP(DATE($K$1,$K$2,QTA$4),Table1[],(MATCH(Calendar!$A18,DB!$1:$1,0)),FALSE)&gt;=5,"Good","Bad"),VLOOKUP(DATE($K$1,$K$2,QTA$4),Table1[],(MATCH(Calendar!$A18,DB!$1:$1,0)),FALSE)),"")</f>
        <v/>
      </c>
      <c r="QTB18" s="28" t="str">
        <f>IFERROR(IF(QTK3="No",IF(VLOOKUP(DATE($K$1,$K$2,QTB$4),Table1[],(MATCH(Calendar!$A18,DB!$1:$1,0)),FALSE)&gt;=5,"Good","Bad"),VLOOKUP(DATE($K$1,$K$2,QTB$4),Table1[],(MATCH(Calendar!$A18,DB!$1:$1,0)),FALSE)),"")</f>
        <v/>
      </c>
      <c r="QTC18" s="28" t="str">
        <f>IFERROR(IF(QTL3="No",IF(VLOOKUP(DATE($K$1,$K$2,QTC$4),Table1[],(MATCH(Calendar!$A18,DB!$1:$1,0)),FALSE)&gt;=5,"Good","Bad"),VLOOKUP(DATE($K$1,$K$2,QTC$4),Table1[],(MATCH(Calendar!$A18,DB!$1:$1,0)),FALSE)),"")</f>
        <v/>
      </c>
      <c r="QTD18" s="28" t="str">
        <f>IFERROR(IF(QTM3="No",IF(VLOOKUP(DATE($K$1,$K$2,QTD$4),Table1[],(MATCH(Calendar!$A18,DB!$1:$1,0)),FALSE)&gt;=5,"Good","Bad"),VLOOKUP(DATE($K$1,$K$2,QTD$4),Table1[],(MATCH(Calendar!$A18,DB!$1:$1,0)),FALSE)),"")</f>
        <v/>
      </c>
      <c r="QTE18" s="28" t="str">
        <f>IFERROR(IF(QTN3="No",IF(VLOOKUP(DATE($K$1,$K$2,QTE$4),Table1[],(MATCH(Calendar!$A18,DB!$1:$1,0)),FALSE)&gt;=5,"Good","Bad"),VLOOKUP(DATE($K$1,$K$2,QTE$4),Table1[],(MATCH(Calendar!$A18,DB!$1:$1,0)),FALSE)),"")</f>
        <v/>
      </c>
      <c r="QTF18" s="28" t="str">
        <f>IFERROR(IF(QTO3="No",IF(VLOOKUP(DATE($K$1,$K$2,QTF$4),Table1[],(MATCH(Calendar!$A18,DB!$1:$1,0)),FALSE)&gt;=5,"Good","Bad"),VLOOKUP(DATE($K$1,$K$2,QTF$4),Table1[],(MATCH(Calendar!$A18,DB!$1:$1,0)),FALSE)),"")</f>
        <v/>
      </c>
      <c r="QTG18" s="28" t="str">
        <f>IFERROR(IF(QTP3="No",IF(VLOOKUP(DATE($K$1,$K$2,QTG$4),Table1[],(MATCH(Calendar!$A18,DB!$1:$1,0)),FALSE)&gt;=5,"Good","Bad"),VLOOKUP(DATE($K$1,$K$2,QTG$4),Table1[],(MATCH(Calendar!$A18,DB!$1:$1,0)),FALSE)),"")</f>
        <v/>
      </c>
      <c r="QTH18" s="28" t="str">
        <f>IFERROR(IF(QTQ3="No",IF(VLOOKUP(DATE($K$1,$K$2,QTH$4),Table1[],(MATCH(Calendar!$A18,DB!$1:$1,0)),FALSE)&gt;=5,"Good","Bad"),VLOOKUP(DATE($K$1,$K$2,QTH$4),Table1[],(MATCH(Calendar!$A18,DB!$1:$1,0)),FALSE)),"")</f>
        <v/>
      </c>
      <c r="QTI18" s="28" t="str">
        <f>IFERROR(IF(QTR3="No",IF(VLOOKUP(DATE($K$1,$K$2,QTI$4),Table1[],(MATCH(Calendar!$A18,DB!$1:$1,0)),FALSE)&gt;=5,"Good","Bad"),VLOOKUP(DATE($K$1,$K$2,QTI$4),Table1[],(MATCH(Calendar!$A18,DB!$1:$1,0)),FALSE)),"")</f>
        <v/>
      </c>
      <c r="QTJ18" s="28" t="str">
        <f>IFERROR(IF(QTS3="No",IF(VLOOKUP(DATE($K$1,$K$2,QTJ$4),Table1[],(MATCH(Calendar!$A18,DB!$1:$1,0)),FALSE)&gt;=5,"Good","Bad"),VLOOKUP(DATE($K$1,$K$2,QTJ$4),Table1[],(MATCH(Calendar!$A18,DB!$1:$1,0)),FALSE)),"")</f>
        <v/>
      </c>
      <c r="QTK18" s="28" t="str">
        <f>IFERROR(IF(QTT3="No",IF(VLOOKUP(DATE($K$1,$K$2,QTK$4),Table1[],(MATCH(Calendar!$A18,DB!$1:$1,0)),FALSE)&gt;=5,"Good","Bad"),VLOOKUP(DATE($K$1,$K$2,QTK$4),Table1[],(MATCH(Calendar!$A18,DB!$1:$1,0)),FALSE)),"")</f>
        <v/>
      </c>
      <c r="QTL18" s="28" t="str">
        <f>IFERROR(IF(QTU3="No",IF(VLOOKUP(DATE($K$1,$K$2,QTL$4),Table1[],(MATCH(Calendar!$A18,DB!$1:$1,0)),FALSE)&gt;=5,"Good","Bad"),VLOOKUP(DATE($K$1,$K$2,QTL$4),Table1[],(MATCH(Calendar!$A18,DB!$1:$1,0)),FALSE)),"")</f>
        <v/>
      </c>
      <c r="QTM18" s="28" t="str">
        <f>IFERROR(IF(QTV3="No",IF(VLOOKUP(DATE($K$1,$K$2,QTM$4),Table1[],(MATCH(Calendar!$A18,DB!$1:$1,0)),FALSE)&gt;=5,"Good","Bad"),VLOOKUP(DATE($K$1,$K$2,QTM$4),Table1[],(MATCH(Calendar!$A18,DB!$1:$1,0)),FALSE)),"")</f>
        <v/>
      </c>
      <c r="QTN18" s="28" t="str">
        <f>IFERROR(IF(QTW3="No",IF(VLOOKUP(DATE($K$1,$K$2,QTN$4),Table1[],(MATCH(Calendar!$A18,DB!$1:$1,0)),FALSE)&gt;=5,"Good","Bad"),VLOOKUP(DATE($K$1,$K$2,QTN$4),Table1[],(MATCH(Calendar!$A18,DB!$1:$1,0)),FALSE)),"")</f>
        <v/>
      </c>
      <c r="QTO18" s="28" t="str">
        <f>IFERROR(IF(QTX3="No",IF(VLOOKUP(DATE($K$1,$K$2,QTO$4),Table1[],(MATCH(Calendar!$A18,DB!$1:$1,0)),FALSE)&gt;=5,"Good","Bad"),VLOOKUP(DATE($K$1,$K$2,QTO$4),Table1[],(MATCH(Calendar!$A18,DB!$1:$1,0)),FALSE)),"")</f>
        <v/>
      </c>
      <c r="QTP18" s="28" t="str">
        <f>IFERROR(IF(QTY3="No",IF(VLOOKUP(DATE($K$1,$K$2,QTP$4),Table1[],(MATCH(Calendar!$A18,DB!$1:$1,0)),FALSE)&gt;=5,"Good","Bad"),VLOOKUP(DATE($K$1,$K$2,QTP$4),Table1[],(MATCH(Calendar!$A18,DB!$1:$1,0)),FALSE)),"")</f>
        <v/>
      </c>
      <c r="QTQ18" s="28" t="str">
        <f>IFERROR(IF(QTZ3="No",IF(VLOOKUP(DATE($K$1,$K$2,QTQ$4),Table1[],(MATCH(Calendar!$A18,DB!$1:$1,0)),FALSE)&gt;=5,"Good","Bad"),VLOOKUP(DATE($K$1,$K$2,QTQ$4),Table1[],(MATCH(Calendar!$A18,DB!$1:$1,0)),FALSE)),"")</f>
        <v/>
      </c>
      <c r="QTR18" s="28" t="str">
        <f>IFERROR(IF(QUA3="No",IF(VLOOKUP(DATE($K$1,$K$2,QTR$4),Table1[],(MATCH(Calendar!$A18,DB!$1:$1,0)),FALSE)&gt;=5,"Good","Bad"),VLOOKUP(DATE($K$1,$K$2,QTR$4),Table1[],(MATCH(Calendar!$A18,DB!$1:$1,0)),FALSE)),"")</f>
        <v/>
      </c>
      <c r="QTS18" s="28" t="str">
        <f>IFERROR(IF(QUB3="No",IF(VLOOKUP(DATE($K$1,$K$2,QTS$4),Table1[],(MATCH(Calendar!$A18,DB!$1:$1,0)),FALSE)&gt;=5,"Good","Bad"),VLOOKUP(DATE($K$1,$K$2,QTS$4),Table1[],(MATCH(Calendar!$A18,DB!$1:$1,0)),FALSE)),"")</f>
        <v/>
      </c>
      <c r="QTT18" s="28" t="str">
        <f>IFERROR(IF(QUC3="No",IF(VLOOKUP(DATE($K$1,$K$2,QTT$4),Table1[],(MATCH(Calendar!$A18,DB!$1:$1,0)),FALSE)&gt;=5,"Good","Bad"),VLOOKUP(DATE($K$1,$K$2,QTT$4),Table1[],(MATCH(Calendar!$A18,DB!$1:$1,0)),FALSE)),"")</f>
        <v/>
      </c>
      <c r="QTU18" s="28" t="str">
        <f>IFERROR(IF(QUD3="No",IF(VLOOKUP(DATE($K$1,$K$2,QTU$4),Table1[],(MATCH(Calendar!$A18,DB!$1:$1,0)),FALSE)&gt;=5,"Good","Bad"),VLOOKUP(DATE($K$1,$K$2,QTU$4),Table1[],(MATCH(Calendar!$A18,DB!$1:$1,0)),FALSE)),"")</f>
        <v/>
      </c>
      <c r="QTV18" s="28" t="str">
        <f>IFERROR(IF(QUE3="No",IF(VLOOKUP(DATE($K$1,$K$2,QTV$4),Table1[],(MATCH(Calendar!$A18,DB!$1:$1,0)),FALSE)&gt;=5,"Good","Bad"),VLOOKUP(DATE($K$1,$K$2,QTV$4),Table1[],(MATCH(Calendar!$A18,DB!$1:$1,0)),FALSE)),"")</f>
        <v/>
      </c>
      <c r="QTW18" s="28" t="str">
        <f>IFERROR(IF(QUF3="No",IF(VLOOKUP(DATE($K$1,$K$2,QTW$4),Table1[],(MATCH(Calendar!$A18,DB!$1:$1,0)),FALSE)&gt;=5,"Good","Bad"),VLOOKUP(DATE($K$1,$K$2,QTW$4),Table1[],(MATCH(Calendar!$A18,DB!$1:$1,0)),FALSE)),"")</f>
        <v/>
      </c>
      <c r="QTX18" s="28" t="str">
        <f>IFERROR(IF(QUG3="No",IF(VLOOKUP(DATE($K$1,$K$2,QTX$4),Table1[],(MATCH(Calendar!$A18,DB!$1:$1,0)),FALSE)&gt;=5,"Good","Bad"),VLOOKUP(DATE($K$1,$K$2,QTX$4),Table1[],(MATCH(Calendar!$A18,DB!$1:$1,0)),FALSE)),"")</f>
        <v/>
      </c>
      <c r="QTY18" s="28" t="str">
        <f>IFERROR(IF(QUH3="No",IF(VLOOKUP(DATE($K$1,$K$2,QTY$4),Table1[],(MATCH(Calendar!$A18,DB!$1:$1,0)),FALSE)&gt;=5,"Good","Bad"),VLOOKUP(DATE($K$1,$K$2,QTY$4),Table1[],(MATCH(Calendar!$A18,DB!$1:$1,0)),FALSE)),"")</f>
        <v/>
      </c>
      <c r="QTZ18" s="28" t="str">
        <f>IFERROR(IF(QUI3="No",IF(VLOOKUP(DATE($K$1,$K$2,QTZ$4),Table1[],(MATCH(Calendar!$A18,DB!$1:$1,0)),FALSE)&gt;=5,"Good","Bad"),VLOOKUP(DATE($K$1,$K$2,QTZ$4),Table1[],(MATCH(Calendar!$A18,DB!$1:$1,0)),FALSE)),"")</f>
        <v/>
      </c>
      <c r="QUA18" s="28" t="str">
        <f>IFERROR(IF(QUJ3="No",IF(VLOOKUP(DATE($K$1,$K$2,QUA$4),Table1[],(MATCH(Calendar!$A18,DB!$1:$1,0)),FALSE)&gt;=5,"Good","Bad"),VLOOKUP(DATE($K$1,$K$2,QUA$4),Table1[],(MATCH(Calendar!$A18,DB!$1:$1,0)),FALSE)),"")</f>
        <v/>
      </c>
      <c r="QUB18" s="28" t="str">
        <f>IFERROR(IF(QUK3="No",IF(VLOOKUP(DATE($K$1,$K$2,QUB$4),Table1[],(MATCH(Calendar!$A18,DB!$1:$1,0)),FALSE)&gt;=5,"Good","Bad"),VLOOKUP(DATE($K$1,$K$2,QUB$4),Table1[],(MATCH(Calendar!$A18,DB!$1:$1,0)),FALSE)),"")</f>
        <v/>
      </c>
      <c r="QUC18" s="28" t="str">
        <f>IFERROR(IF(QUL3="No",IF(VLOOKUP(DATE($K$1,$K$2,QUC$4),Table1[],(MATCH(Calendar!$A18,DB!$1:$1,0)),FALSE)&gt;=5,"Good","Bad"),VLOOKUP(DATE($K$1,$K$2,QUC$4),Table1[],(MATCH(Calendar!$A18,DB!$1:$1,0)),FALSE)),"")</f>
        <v/>
      </c>
      <c r="QUD18" s="28" t="str">
        <f>IFERROR(IF(QUM3="No",IF(VLOOKUP(DATE($K$1,$K$2,QUD$4),Table1[],(MATCH(Calendar!$A18,DB!$1:$1,0)),FALSE)&gt;=5,"Good","Bad"),VLOOKUP(DATE($K$1,$K$2,QUD$4),Table1[],(MATCH(Calendar!$A18,DB!$1:$1,0)),FALSE)),"")</f>
        <v/>
      </c>
      <c r="QUE18" s="28" t="str">
        <f>IFERROR(IF(QUN3="No",IF(VLOOKUP(DATE($K$1,$K$2,QUE$4),Table1[],(MATCH(Calendar!$A18,DB!$1:$1,0)),FALSE)&gt;=5,"Good","Bad"),VLOOKUP(DATE($K$1,$K$2,QUE$4),Table1[],(MATCH(Calendar!$A18,DB!$1:$1,0)),FALSE)),"")</f>
        <v/>
      </c>
      <c r="QUF18" s="28" t="str">
        <f>IFERROR(IF(QUO3="No",IF(VLOOKUP(DATE($K$1,$K$2,QUF$4),Table1[],(MATCH(Calendar!$A18,DB!$1:$1,0)),FALSE)&gt;=5,"Good","Bad"),VLOOKUP(DATE($K$1,$K$2,QUF$4),Table1[],(MATCH(Calendar!$A18,DB!$1:$1,0)),FALSE)),"")</f>
        <v/>
      </c>
      <c r="QUG18" s="28" t="str">
        <f>IFERROR(IF(QUP3="No",IF(VLOOKUP(DATE($K$1,$K$2,QUG$4),Table1[],(MATCH(Calendar!$A18,DB!$1:$1,0)),FALSE)&gt;=5,"Good","Bad"),VLOOKUP(DATE($K$1,$K$2,QUG$4),Table1[],(MATCH(Calendar!$A18,DB!$1:$1,0)),FALSE)),"")</f>
        <v/>
      </c>
      <c r="QUH18" s="28" t="str">
        <f>IFERROR(IF(QUQ3="No",IF(VLOOKUP(DATE($K$1,$K$2,QUH$4),Table1[],(MATCH(Calendar!$A18,DB!$1:$1,0)),FALSE)&gt;=5,"Good","Bad"),VLOOKUP(DATE($K$1,$K$2,QUH$4),Table1[],(MATCH(Calendar!$A18,DB!$1:$1,0)),FALSE)),"")</f>
        <v/>
      </c>
      <c r="QUI18" s="28" t="str">
        <f>IFERROR(IF(QUR3="No",IF(VLOOKUP(DATE($K$1,$K$2,QUI$4),Table1[],(MATCH(Calendar!$A18,DB!$1:$1,0)),FALSE)&gt;=5,"Good","Bad"),VLOOKUP(DATE($K$1,$K$2,QUI$4),Table1[],(MATCH(Calendar!$A18,DB!$1:$1,0)),FALSE)),"")</f>
        <v/>
      </c>
      <c r="QUJ18" s="28" t="str">
        <f>IFERROR(IF(QUS3="No",IF(VLOOKUP(DATE($K$1,$K$2,QUJ$4),Table1[],(MATCH(Calendar!$A18,DB!$1:$1,0)),FALSE)&gt;=5,"Good","Bad"),VLOOKUP(DATE($K$1,$K$2,QUJ$4),Table1[],(MATCH(Calendar!$A18,DB!$1:$1,0)),FALSE)),"")</f>
        <v/>
      </c>
      <c r="QUK18" s="28" t="str">
        <f>IFERROR(IF(QUT3="No",IF(VLOOKUP(DATE($K$1,$K$2,QUK$4),Table1[],(MATCH(Calendar!$A18,DB!$1:$1,0)),FALSE)&gt;=5,"Good","Bad"),VLOOKUP(DATE($K$1,$K$2,QUK$4),Table1[],(MATCH(Calendar!$A18,DB!$1:$1,0)),FALSE)),"")</f>
        <v/>
      </c>
      <c r="QUL18" s="28" t="str">
        <f>IFERROR(IF(QUU3="No",IF(VLOOKUP(DATE($K$1,$K$2,QUL$4),Table1[],(MATCH(Calendar!$A18,DB!$1:$1,0)),FALSE)&gt;=5,"Good","Bad"),VLOOKUP(DATE($K$1,$K$2,QUL$4),Table1[],(MATCH(Calendar!$A18,DB!$1:$1,0)),FALSE)),"")</f>
        <v/>
      </c>
      <c r="QUM18" s="28" t="str">
        <f>IFERROR(IF(QUV3="No",IF(VLOOKUP(DATE($K$1,$K$2,QUM$4),Table1[],(MATCH(Calendar!$A18,DB!$1:$1,0)),FALSE)&gt;=5,"Good","Bad"),VLOOKUP(DATE($K$1,$K$2,QUM$4),Table1[],(MATCH(Calendar!$A18,DB!$1:$1,0)),FALSE)),"")</f>
        <v/>
      </c>
      <c r="QUN18" s="28" t="str">
        <f>IFERROR(IF(QUW3="No",IF(VLOOKUP(DATE($K$1,$K$2,QUN$4),Table1[],(MATCH(Calendar!$A18,DB!$1:$1,0)),FALSE)&gt;=5,"Good","Bad"),VLOOKUP(DATE($K$1,$K$2,QUN$4),Table1[],(MATCH(Calendar!$A18,DB!$1:$1,0)),FALSE)),"")</f>
        <v/>
      </c>
      <c r="QUO18" s="28" t="str">
        <f>IFERROR(IF(QUX3="No",IF(VLOOKUP(DATE($K$1,$K$2,QUO$4),Table1[],(MATCH(Calendar!$A18,DB!$1:$1,0)),FALSE)&gt;=5,"Good","Bad"),VLOOKUP(DATE($K$1,$K$2,QUO$4),Table1[],(MATCH(Calendar!$A18,DB!$1:$1,0)),FALSE)),"")</f>
        <v/>
      </c>
      <c r="QUP18" s="28" t="str">
        <f>IFERROR(IF(QUY3="No",IF(VLOOKUP(DATE($K$1,$K$2,QUP$4),Table1[],(MATCH(Calendar!$A18,DB!$1:$1,0)),FALSE)&gt;=5,"Good","Bad"),VLOOKUP(DATE($K$1,$K$2,QUP$4),Table1[],(MATCH(Calendar!$A18,DB!$1:$1,0)),FALSE)),"")</f>
        <v/>
      </c>
      <c r="QUQ18" s="28" t="str">
        <f>IFERROR(IF(QUZ3="No",IF(VLOOKUP(DATE($K$1,$K$2,QUQ$4),Table1[],(MATCH(Calendar!$A18,DB!$1:$1,0)),FALSE)&gt;=5,"Good","Bad"),VLOOKUP(DATE($K$1,$K$2,QUQ$4),Table1[],(MATCH(Calendar!$A18,DB!$1:$1,0)),FALSE)),"")</f>
        <v/>
      </c>
      <c r="QUR18" s="28" t="str">
        <f>IFERROR(IF(QVA3="No",IF(VLOOKUP(DATE($K$1,$K$2,QUR$4),Table1[],(MATCH(Calendar!$A18,DB!$1:$1,0)),FALSE)&gt;=5,"Good","Bad"),VLOOKUP(DATE($K$1,$K$2,QUR$4),Table1[],(MATCH(Calendar!$A18,DB!$1:$1,0)),FALSE)),"")</f>
        <v/>
      </c>
      <c r="QUS18" s="28" t="str">
        <f>IFERROR(IF(QVB3="No",IF(VLOOKUP(DATE($K$1,$K$2,QUS$4),Table1[],(MATCH(Calendar!$A18,DB!$1:$1,0)),FALSE)&gt;=5,"Good","Bad"),VLOOKUP(DATE($K$1,$K$2,QUS$4),Table1[],(MATCH(Calendar!$A18,DB!$1:$1,0)),FALSE)),"")</f>
        <v/>
      </c>
      <c r="QUT18" s="28" t="str">
        <f>IFERROR(IF(QVC3="No",IF(VLOOKUP(DATE($K$1,$K$2,QUT$4),Table1[],(MATCH(Calendar!$A18,DB!$1:$1,0)),FALSE)&gt;=5,"Good","Bad"),VLOOKUP(DATE($K$1,$K$2,QUT$4),Table1[],(MATCH(Calendar!$A18,DB!$1:$1,0)),FALSE)),"")</f>
        <v/>
      </c>
      <c r="QUU18" s="28" t="str">
        <f>IFERROR(IF(QVD3="No",IF(VLOOKUP(DATE($K$1,$K$2,QUU$4),Table1[],(MATCH(Calendar!$A18,DB!$1:$1,0)),FALSE)&gt;=5,"Good","Bad"),VLOOKUP(DATE($K$1,$K$2,QUU$4),Table1[],(MATCH(Calendar!$A18,DB!$1:$1,0)),FALSE)),"")</f>
        <v/>
      </c>
      <c r="QUV18" s="28" t="str">
        <f>IFERROR(IF(QVE3="No",IF(VLOOKUP(DATE($K$1,$K$2,QUV$4),Table1[],(MATCH(Calendar!$A18,DB!$1:$1,0)),FALSE)&gt;=5,"Good","Bad"),VLOOKUP(DATE($K$1,$K$2,QUV$4),Table1[],(MATCH(Calendar!$A18,DB!$1:$1,0)),FALSE)),"")</f>
        <v/>
      </c>
      <c r="QUW18" s="28" t="str">
        <f>IFERROR(IF(QVF3="No",IF(VLOOKUP(DATE($K$1,$K$2,QUW$4),Table1[],(MATCH(Calendar!$A18,DB!$1:$1,0)),FALSE)&gt;=5,"Good","Bad"),VLOOKUP(DATE($K$1,$K$2,QUW$4),Table1[],(MATCH(Calendar!$A18,DB!$1:$1,0)),FALSE)),"")</f>
        <v/>
      </c>
      <c r="QUX18" s="28" t="str">
        <f>IFERROR(IF(QVG3="No",IF(VLOOKUP(DATE($K$1,$K$2,QUX$4),Table1[],(MATCH(Calendar!$A18,DB!$1:$1,0)),FALSE)&gt;=5,"Good","Bad"),VLOOKUP(DATE($K$1,$K$2,QUX$4),Table1[],(MATCH(Calendar!$A18,DB!$1:$1,0)),FALSE)),"")</f>
        <v/>
      </c>
      <c r="QUY18" s="28" t="str">
        <f>IFERROR(IF(QVH3="No",IF(VLOOKUP(DATE($K$1,$K$2,QUY$4),Table1[],(MATCH(Calendar!$A18,DB!$1:$1,0)),FALSE)&gt;=5,"Good","Bad"),VLOOKUP(DATE($K$1,$K$2,QUY$4),Table1[],(MATCH(Calendar!$A18,DB!$1:$1,0)),FALSE)),"")</f>
        <v/>
      </c>
      <c r="QUZ18" s="28" t="str">
        <f>IFERROR(IF(QVI3="No",IF(VLOOKUP(DATE($K$1,$K$2,QUZ$4),Table1[],(MATCH(Calendar!$A18,DB!$1:$1,0)),FALSE)&gt;=5,"Good","Bad"),VLOOKUP(DATE($K$1,$K$2,QUZ$4),Table1[],(MATCH(Calendar!$A18,DB!$1:$1,0)),FALSE)),"")</f>
        <v/>
      </c>
      <c r="QVA18" s="28" t="str">
        <f>IFERROR(IF(QVJ3="No",IF(VLOOKUP(DATE($K$1,$K$2,QVA$4),Table1[],(MATCH(Calendar!$A18,DB!$1:$1,0)),FALSE)&gt;=5,"Good","Bad"),VLOOKUP(DATE($K$1,$K$2,QVA$4),Table1[],(MATCH(Calendar!$A18,DB!$1:$1,0)),FALSE)),"")</f>
        <v/>
      </c>
      <c r="QVB18" s="28" t="str">
        <f>IFERROR(IF(QVK3="No",IF(VLOOKUP(DATE($K$1,$K$2,QVB$4),Table1[],(MATCH(Calendar!$A18,DB!$1:$1,0)),FALSE)&gt;=5,"Good","Bad"),VLOOKUP(DATE($K$1,$K$2,QVB$4),Table1[],(MATCH(Calendar!$A18,DB!$1:$1,0)),FALSE)),"")</f>
        <v/>
      </c>
      <c r="QVC18" s="28" t="str">
        <f>IFERROR(IF(QVL3="No",IF(VLOOKUP(DATE($K$1,$K$2,QVC$4),Table1[],(MATCH(Calendar!$A18,DB!$1:$1,0)),FALSE)&gt;=5,"Good","Bad"),VLOOKUP(DATE($K$1,$K$2,QVC$4),Table1[],(MATCH(Calendar!$A18,DB!$1:$1,0)),FALSE)),"")</f>
        <v/>
      </c>
      <c r="QVD18" s="28" t="str">
        <f>IFERROR(IF(QVM3="No",IF(VLOOKUP(DATE($K$1,$K$2,QVD$4),Table1[],(MATCH(Calendar!$A18,DB!$1:$1,0)),FALSE)&gt;=5,"Good","Bad"),VLOOKUP(DATE($K$1,$K$2,QVD$4),Table1[],(MATCH(Calendar!$A18,DB!$1:$1,0)),FALSE)),"")</f>
        <v/>
      </c>
      <c r="QVE18" s="28" t="str">
        <f>IFERROR(IF(QVN3="No",IF(VLOOKUP(DATE($K$1,$K$2,QVE$4),Table1[],(MATCH(Calendar!$A18,DB!$1:$1,0)),FALSE)&gt;=5,"Good","Bad"),VLOOKUP(DATE($K$1,$K$2,QVE$4),Table1[],(MATCH(Calendar!$A18,DB!$1:$1,0)),FALSE)),"")</f>
        <v/>
      </c>
      <c r="QVF18" s="28" t="str">
        <f>IFERROR(IF(QVO3="No",IF(VLOOKUP(DATE($K$1,$K$2,QVF$4),Table1[],(MATCH(Calendar!$A18,DB!$1:$1,0)),FALSE)&gt;=5,"Good","Bad"),VLOOKUP(DATE($K$1,$K$2,QVF$4),Table1[],(MATCH(Calendar!$A18,DB!$1:$1,0)),FALSE)),"")</f>
        <v/>
      </c>
      <c r="QVG18" s="28" t="str">
        <f>IFERROR(IF(QVP3="No",IF(VLOOKUP(DATE($K$1,$K$2,QVG$4),Table1[],(MATCH(Calendar!$A18,DB!$1:$1,0)),FALSE)&gt;=5,"Good","Bad"),VLOOKUP(DATE($K$1,$K$2,QVG$4),Table1[],(MATCH(Calendar!$A18,DB!$1:$1,0)),FALSE)),"")</f>
        <v/>
      </c>
      <c r="QVH18" s="28" t="str">
        <f>IFERROR(IF(QVQ3="No",IF(VLOOKUP(DATE($K$1,$K$2,QVH$4),Table1[],(MATCH(Calendar!$A18,DB!$1:$1,0)),FALSE)&gt;=5,"Good","Bad"),VLOOKUP(DATE($K$1,$K$2,QVH$4),Table1[],(MATCH(Calendar!$A18,DB!$1:$1,0)),FALSE)),"")</f>
        <v/>
      </c>
      <c r="QVI18" s="28" t="str">
        <f>IFERROR(IF(QVR3="No",IF(VLOOKUP(DATE($K$1,$K$2,QVI$4),Table1[],(MATCH(Calendar!$A18,DB!$1:$1,0)),FALSE)&gt;=5,"Good","Bad"),VLOOKUP(DATE($K$1,$K$2,QVI$4),Table1[],(MATCH(Calendar!$A18,DB!$1:$1,0)),FALSE)),"")</f>
        <v/>
      </c>
      <c r="QVJ18" s="28" t="str">
        <f>IFERROR(IF(QVS3="No",IF(VLOOKUP(DATE($K$1,$K$2,QVJ$4),Table1[],(MATCH(Calendar!$A18,DB!$1:$1,0)),FALSE)&gt;=5,"Good","Bad"),VLOOKUP(DATE($K$1,$K$2,QVJ$4),Table1[],(MATCH(Calendar!$A18,DB!$1:$1,0)),FALSE)),"")</f>
        <v/>
      </c>
      <c r="QVK18" s="28" t="str">
        <f>IFERROR(IF(QVT3="No",IF(VLOOKUP(DATE($K$1,$K$2,QVK$4),Table1[],(MATCH(Calendar!$A18,DB!$1:$1,0)),FALSE)&gt;=5,"Good","Bad"),VLOOKUP(DATE($K$1,$K$2,QVK$4),Table1[],(MATCH(Calendar!$A18,DB!$1:$1,0)),FALSE)),"")</f>
        <v/>
      </c>
      <c r="QVL18" s="28" t="str">
        <f>IFERROR(IF(QVU3="No",IF(VLOOKUP(DATE($K$1,$K$2,QVL$4),Table1[],(MATCH(Calendar!$A18,DB!$1:$1,0)),FALSE)&gt;=5,"Good","Bad"),VLOOKUP(DATE($K$1,$K$2,QVL$4),Table1[],(MATCH(Calendar!$A18,DB!$1:$1,0)),FALSE)),"")</f>
        <v/>
      </c>
      <c r="QVM18" s="28" t="str">
        <f>IFERROR(IF(QVV3="No",IF(VLOOKUP(DATE($K$1,$K$2,QVM$4),Table1[],(MATCH(Calendar!$A18,DB!$1:$1,0)),FALSE)&gt;=5,"Good","Bad"),VLOOKUP(DATE($K$1,$K$2,QVM$4),Table1[],(MATCH(Calendar!$A18,DB!$1:$1,0)),FALSE)),"")</f>
        <v/>
      </c>
      <c r="QVN18" s="28" t="str">
        <f>IFERROR(IF(QVW3="No",IF(VLOOKUP(DATE($K$1,$K$2,QVN$4),Table1[],(MATCH(Calendar!$A18,DB!$1:$1,0)),FALSE)&gt;=5,"Good","Bad"),VLOOKUP(DATE($K$1,$K$2,QVN$4),Table1[],(MATCH(Calendar!$A18,DB!$1:$1,0)),FALSE)),"")</f>
        <v/>
      </c>
      <c r="QVO18" s="28" t="str">
        <f>IFERROR(IF(QVX3="No",IF(VLOOKUP(DATE($K$1,$K$2,QVO$4),Table1[],(MATCH(Calendar!$A18,DB!$1:$1,0)),FALSE)&gt;=5,"Good","Bad"),VLOOKUP(DATE($K$1,$K$2,QVO$4),Table1[],(MATCH(Calendar!$A18,DB!$1:$1,0)),FALSE)),"")</f>
        <v/>
      </c>
      <c r="QVP18" s="28" t="str">
        <f>IFERROR(IF(QVY3="No",IF(VLOOKUP(DATE($K$1,$K$2,QVP$4),Table1[],(MATCH(Calendar!$A18,DB!$1:$1,0)),FALSE)&gt;=5,"Good","Bad"),VLOOKUP(DATE($K$1,$K$2,QVP$4),Table1[],(MATCH(Calendar!$A18,DB!$1:$1,0)),FALSE)),"")</f>
        <v/>
      </c>
      <c r="QVQ18" s="28" t="str">
        <f>IFERROR(IF(QVZ3="No",IF(VLOOKUP(DATE($K$1,$K$2,QVQ$4),Table1[],(MATCH(Calendar!$A18,DB!$1:$1,0)),FALSE)&gt;=5,"Good","Bad"),VLOOKUP(DATE($K$1,$K$2,QVQ$4),Table1[],(MATCH(Calendar!$A18,DB!$1:$1,0)),FALSE)),"")</f>
        <v/>
      </c>
      <c r="QVR18" s="28" t="str">
        <f>IFERROR(IF(QWA3="No",IF(VLOOKUP(DATE($K$1,$K$2,QVR$4),Table1[],(MATCH(Calendar!$A18,DB!$1:$1,0)),FALSE)&gt;=5,"Good","Bad"),VLOOKUP(DATE($K$1,$K$2,QVR$4),Table1[],(MATCH(Calendar!$A18,DB!$1:$1,0)),FALSE)),"")</f>
        <v/>
      </c>
      <c r="QVS18" s="28" t="str">
        <f>IFERROR(IF(QWB3="No",IF(VLOOKUP(DATE($K$1,$K$2,QVS$4),Table1[],(MATCH(Calendar!$A18,DB!$1:$1,0)),FALSE)&gt;=5,"Good","Bad"),VLOOKUP(DATE($K$1,$K$2,QVS$4),Table1[],(MATCH(Calendar!$A18,DB!$1:$1,0)),FALSE)),"")</f>
        <v/>
      </c>
      <c r="QVT18" s="28" t="str">
        <f>IFERROR(IF(QWC3="No",IF(VLOOKUP(DATE($K$1,$K$2,QVT$4),Table1[],(MATCH(Calendar!$A18,DB!$1:$1,0)),FALSE)&gt;=5,"Good","Bad"),VLOOKUP(DATE($K$1,$K$2,QVT$4),Table1[],(MATCH(Calendar!$A18,DB!$1:$1,0)),FALSE)),"")</f>
        <v/>
      </c>
      <c r="QVU18" s="28" t="str">
        <f>IFERROR(IF(QWD3="No",IF(VLOOKUP(DATE($K$1,$K$2,QVU$4),Table1[],(MATCH(Calendar!$A18,DB!$1:$1,0)),FALSE)&gt;=5,"Good","Bad"),VLOOKUP(DATE($K$1,$K$2,QVU$4),Table1[],(MATCH(Calendar!$A18,DB!$1:$1,0)),FALSE)),"")</f>
        <v/>
      </c>
      <c r="QVV18" s="28" t="str">
        <f>IFERROR(IF(QWE3="No",IF(VLOOKUP(DATE($K$1,$K$2,QVV$4),Table1[],(MATCH(Calendar!$A18,DB!$1:$1,0)),FALSE)&gt;=5,"Good","Bad"),VLOOKUP(DATE($K$1,$K$2,QVV$4),Table1[],(MATCH(Calendar!$A18,DB!$1:$1,0)),FALSE)),"")</f>
        <v/>
      </c>
      <c r="QVW18" s="28" t="str">
        <f>IFERROR(IF(QWF3="No",IF(VLOOKUP(DATE($K$1,$K$2,QVW$4),Table1[],(MATCH(Calendar!$A18,DB!$1:$1,0)),FALSE)&gt;=5,"Good","Bad"),VLOOKUP(DATE($K$1,$K$2,QVW$4),Table1[],(MATCH(Calendar!$A18,DB!$1:$1,0)),FALSE)),"")</f>
        <v/>
      </c>
      <c r="QVX18" s="28" t="str">
        <f>IFERROR(IF(QWG3="No",IF(VLOOKUP(DATE($K$1,$K$2,QVX$4),Table1[],(MATCH(Calendar!$A18,DB!$1:$1,0)),FALSE)&gt;=5,"Good","Bad"),VLOOKUP(DATE($K$1,$K$2,QVX$4),Table1[],(MATCH(Calendar!$A18,DB!$1:$1,0)),FALSE)),"")</f>
        <v/>
      </c>
      <c r="QVY18" s="28" t="str">
        <f>IFERROR(IF(QWH3="No",IF(VLOOKUP(DATE($K$1,$K$2,QVY$4),Table1[],(MATCH(Calendar!$A18,DB!$1:$1,0)),FALSE)&gt;=5,"Good","Bad"),VLOOKUP(DATE($K$1,$K$2,QVY$4),Table1[],(MATCH(Calendar!$A18,DB!$1:$1,0)),FALSE)),"")</f>
        <v/>
      </c>
      <c r="QVZ18" s="28" t="str">
        <f>IFERROR(IF(QWI3="No",IF(VLOOKUP(DATE($K$1,$K$2,QVZ$4),Table1[],(MATCH(Calendar!$A18,DB!$1:$1,0)),FALSE)&gt;=5,"Good","Bad"),VLOOKUP(DATE($K$1,$K$2,QVZ$4),Table1[],(MATCH(Calendar!$A18,DB!$1:$1,0)),FALSE)),"")</f>
        <v/>
      </c>
      <c r="QWA18" s="28" t="str">
        <f>IFERROR(IF(QWJ3="No",IF(VLOOKUP(DATE($K$1,$K$2,QWA$4),Table1[],(MATCH(Calendar!$A18,DB!$1:$1,0)),FALSE)&gt;=5,"Good","Bad"),VLOOKUP(DATE($K$1,$K$2,QWA$4),Table1[],(MATCH(Calendar!$A18,DB!$1:$1,0)),FALSE)),"")</f>
        <v/>
      </c>
      <c r="QWB18" s="28" t="str">
        <f>IFERROR(IF(QWK3="No",IF(VLOOKUP(DATE($K$1,$K$2,QWB$4),Table1[],(MATCH(Calendar!$A18,DB!$1:$1,0)),FALSE)&gt;=5,"Good","Bad"),VLOOKUP(DATE($K$1,$K$2,QWB$4),Table1[],(MATCH(Calendar!$A18,DB!$1:$1,0)),FALSE)),"")</f>
        <v/>
      </c>
      <c r="QWC18" s="28" t="str">
        <f>IFERROR(IF(QWL3="No",IF(VLOOKUP(DATE($K$1,$K$2,QWC$4),Table1[],(MATCH(Calendar!$A18,DB!$1:$1,0)),FALSE)&gt;=5,"Good","Bad"),VLOOKUP(DATE($K$1,$K$2,QWC$4),Table1[],(MATCH(Calendar!$A18,DB!$1:$1,0)),FALSE)),"")</f>
        <v/>
      </c>
      <c r="QWD18" s="28" t="str">
        <f>IFERROR(IF(QWM3="No",IF(VLOOKUP(DATE($K$1,$K$2,QWD$4),Table1[],(MATCH(Calendar!$A18,DB!$1:$1,0)),FALSE)&gt;=5,"Good","Bad"),VLOOKUP(DATE($K$1,$K$2,QWD$4),Table1[],(MATCH(Calendar!$A18,DB!$1:$1,0)),FALSE)),"")</f>
        <v/>
      </c>
      <c r="QWE18" s="28" t="str">
        <f>IFERROR(IF(QWN3="No",IF(VLOOKUP(DATE($K$1,$K$2,QWE$4),Table1[],(MATCH(Calendar!$A18,DB!$1:$1,0)),FALSE)&gt;=5,"Good","Bad"),VLOOKUP(DATE($K$1,$K$2,QWE$4),Table1[],(MATCH(Calendar!$A18,DB!$1:$1,0)),FALSE)),"")</f>
        <v/>
      </c>
      <c r="QWF18" s="28" t="str">
        <f>IFERROR(IF(QWO3="No",IF(VLOOKUP(DATE($K$1,$K$2,QWF$4),Table1[],(MATCH(Calendar!$A18,DB!$1:$1,0)),FALSE)&gt;=5,"Good","Bad"),VLOOKUP(DATE($K$1,$K$2,QWF$4),Table1[],(MATCH(Calendar!$A18,DB!$1:$1,0)),FALSE)),"")</f>
        <v/>
      </c>
      <c r="QWG18" s="28" t="str">
        <f>IFERROR(IF(QWP3="No",IF(VLOOKUP(DATE($K$1,$K$2,QWG$4),Table1[],(MATCH(Calendar!$A18,DB!$1:$1,0)),FALSE)&gt;=5,"Good","Bad"),VLOOKUP(DATE($K$1,$K$2,QWG$4),Table1[],(MATCH(Calendar!$A18,DB!$1:$1,0)),FALSE)),"")</f>
        <v/>
      </c>
      <c r="QWH18" s="28" t="str">
        <f>IFERROR(IF(QWQ3="No",IF(VLOOKUP(DATE($K$1,$K$2,QWH$4),Table1[],(MATCH(Calendar!$A18,DB!$1:$1,0)),FALSE)&gt;=5,"Good","Bad"),VLOOKUP(DATE($K$1,$K$2,QWH$4),Table1[],(MATCH(Calendar!$A18,DB!$1:$1,0)),FALSE)),"")</f>
        <v/>
      </c>
      <c r="QWI18" s="28" t="str">
        <f>IFERROR(IF(QWR3="No",IF(VLOOKUP(DATE($K$1,$K$2,QWI$4),Table1[],(MATCH(Calendar!$A18,DB!$1:$1,0)),FALSE)&gt;=5,"Good","Bad"),VLOOKUP(DATE($K$1,$K$2,QWI$4),Table1[],(MATCH(Calendar!$A18,DB!$1:$1,0)),FALSE)),"")</f>
        <v/>
      </c>
      <c r="QWJ18" s="28" t="str">
        <f>IFERROR(IF(QWS3="No",IF(VLOOKUP(DATE($K$1,$K$2,QWJ$4),Table1[],(MATCH(Calendar!$A18,DB!$1:$1,0)),FALSE)&gt;=5,"Good","Bad"),VLOOKUP(DATE($K$1,$K$2,QWJ$4),Table1[],(MATCH(Calendar!$A18,DB!$1:$1,0)),FALSE)),"")</f>
        <v/>
      </c>
      <c r="QWK18" s="28" t="str">
        <f>IFERROR(IF(QWT3="No",IF(VLOOKUP(DATE($K$1,$K$2,QWK$4),Table1[],(MATCH(Calendar!$A18,DB!$1:$1,0)),FALSE)&gt;=5,"Good","Bad"),VLOOKUP(DATE($K$1,$K$2,QWK$4),Table1[],(MATCH(Calendar!$A18,DB!$1:$1,0)),FALSE)),"")</f>
        <v/>
      </c>
      <c r="QWL18" s="28" t="str">
        <f>IFERROR(IF(QWU3="No",IF(VLOOKUP(DATE($K$1,$K$2,QWL$4),Table1[],(MATCH(Calendar!$A18,DB!$1:$1,0)),FALSE)&gt;=5,"Good","Bad"),VLOOKUP(DATE($K$1,$K$2,QWL$4),Table1[],(MATCH(Calendar!$A18,DB!$1:$1,0)),FALSE)),"")</f>
        <v/>
      </c>
      <c r="QWM18" s="28" t="str">
        <f>IFERROR(IF(QWV3="No",IF(VLOOKUP(DATE($K$1,$K$2,QWM$4),Table1[],(MATCH(Calendar!$A18,DB!$1:$1,0)),FALSE)&gt;=5,"Good","Bad"),VLOOKUP(DATE($K$1,$K$2,QWM$4),Table1[],(MATCH(Calendar!$A18,DB!$1:$1,0)),FALSE)),"")</f>
        <v/>
      </c>
      <c r="QWN18" s="28" t="str">
        <f>IFERROR(IF(QWW3="No",IF(VLOOKUP(DATE($K$1,$K$2,QWN$4),Table1[],(MATCH(Calendar!$A18,DB!$1:$1,0)),FALSE)&gt;=5,"Good","Bad"),VLOOKUP(DATE($K$1,$K$2,QWN$4),Table1[],(MATCH(Calendar!$A18,DB!$1:$1,0)),FALSE)),"")</f>
        <v/>
      </c>
      <c r="QWO18" s="28" t="str">
        <f>IFERROR(IF(QWX3="No",IF(VLOOKUP(DATE($K$1,$K$2,QWO$4),Table1[],(MATCH(Calendar!$A18,DB!$1:$1,0)),FALSE)&gt;=5,"Good","Bad"),VLOOKUP(DATE($K$1,$K$2,QWO$4),Table1[],(MATCH(Calendar!$A18,DB!$1:$1,0)),FALSE)),"")</f>
        <v/>
      </c>
      <c r="QWP18" s="28" t="str">
        <f>IFERROR(IF(QWY3="No",IF(VLOOKUP(DATE($K$1,$K$2,QWP$4),Table1[],(MATCH(Calendar!$A18,DB!$1:$1,0)),FALSE)&gt;=5,"Good","Bad"),VLOOKUP(DATE($K$1,$K$2,QWP$4),Table1[],(MATCH(Calendar!$A18,DB!$1:$1,0)),FALSE)),"")</f>
        <v/>
      </c>
      <c r="QWQ18" s="28" t="str">
        <f>IFERROR(IF(QWZ3="No",IF(VLOOKUP(DATE($K$1,$K$2,QWQ$4),Table1[],(MATCH(Calendar!$A18,DB!$1:$1,0)),FALSE)&gt;=5,"Good","Bad"),VLOOKUP(DATE($K$1,$K$2,QWQ$4),Table1[],(MATCH(Calendar!$A18,DB!$1:$1,0)),FALSE)),"")</f>
        <v/>
      </c>
      <c r="QWR18" s="28" t="str">
        <f>IFERROR(IF(QXA3="No",IF(VLOOKUP(DATE($K$1,$K$2,QWR$4),Table1[],(MATCH(Calendar!$A18,DB!$1:$1,0)),FALSE)&gt;=5,"Good","Bad"),VLOOKUP(DATE($K$1,$K$2,QWR$4),Table1[],(MATCH(Calendar!$A18,DB!$1:$1,0)),FALSE)),"")</f>
        <v/>
      </c>
      <c r="QWS18" s="28" t="str">
        <f>IFERROR(IF(QXB3="No",IF(VLOOKUP(DATE($K$1,$K$2,QWS$4),Table1[],(MATCH(Calendar!$A18,DB!$1:$1,0)),FALSE)&gt;=5,"Good","Bad"),VLOOKUP(DATE($K$1,$K$2,QWS$4),Table1[],(MATCH(Calendar!$A18,DB!$1:$1,0)),FALSE)),"")</f>
        <v/>
      </c>
      <c r="QWT18" s="28" t="str">
        <f>IFERROR(IF(QXC3="No",IF(VLOOKUP(DATE($K$1,$K$2,QWT$4),Table1[],(MATCH(Calendar!$A18,DB!$1:$1,0)),FALSE)&gt;=5,"Good","Bad"),VLOOKUP(DATE($K$1,$K$2,QWT$4),Table1[],(MATCH(Calendar!$A18,DB!$1:$1,0)),FALSE)),"")</f>
        <v/>
      </c>
      <c r="QWU18" s="28" t="str">
        <f>IFERROR(IF(QXD3="No",IF(VLOOKUP(DATE($K$1,$K$2,QWU$4),Table1[],(MATCH(Calendar!$A18,DB!$1:$1,0)),FALSE)&gt;=5,"Good","Bad"),VLOOKUP(DATE($K$1,$K$2,QWU$4),Table1[],(MATCH(Calendar!$A18,DB!$1:$1,0)),FALSE)),"")</f>
        <v/>
      </c>
      <c r="QWV18" s="28" t="str">
        <f>IFERROR(IF(QXE3="No",IF(VLOOKUP(DATE($K$1,$K$2,QWV$4),Table1[],(MATCH(Calendar!$A18,DB!$1:$1,0)),FALSE)&gt;=5,"Good","Bad"),VLOOKUP(DATE($K$1,$K$2,QWV$4),Table1[],(MATCH(Calendar!$A18,DB!$1:$1,0)),FALSE)),"")</f>
        <v/>
      </c>
      <c r="QWW18" s="28" t="str">
        <f>IFERROR(IF(QXF3="No",IF(VLOOKUP(DATE($K$1,$K$2,QWW$4),Table1[],(MATCH(Calendar!$A18,DB!$1:$1,0)),FALSE)&gt;=5,"Good","Bad"),VLOOKUP(DATE($K$1,$K$2,QWW$4),Table1[],(MATCH(Calendar!$A18,DB!$1:$1,0)),FALSE)),"")</f>
        <v/>
      </c>
      <c r="QWX18" s="28" t="str">
        <f>IFERROR(IF(QXG3="No",IF(VLOOKUP(DATE($K$1,$K$2,QWX$4),Table1[],(MATCH(Calendar!$A18,DB!$1:$1,0)),FALSE)&gt;=5,"Good","Bad"),VLOOKUP(DATE($K$1,$K$2,QWX$4),Table1[],(MATCH(Calendar!$A18,DB!$1:$1,0)),FALSE)),"")</f>
        <v/>
      </c>
      <c r="QWY18" s="28" t="str">
        <f>IFERROR(IF(QXH3="No",IF(VLOOKUP(DATE($K$1,$K$2,QWY$4),Table1[],(MATCH(Calendar!$A18,DB!$1:$1,0)),FALSE)&gt;=5,"Good","Bad"),VLOOKUP(DATE($K$1,$K$2,QWY$4),Table1[],(MATCH(Calendar!$A18,DB!$1:$1,0)),FALSE)),"")</f>
        <v/>
      </c>
      <c r="QWZ18" s="28" t="str">
        <f>IFERROR(IF(QXI3="No",IF(VLOOKUP(DATE($K$1,$K$2,QWZ$4),Table1[],(MATCH(Calendar!$A18,DB!$1:$1,0)),FALSE)&gt;=5,"Good","Bad"),VLOOKUP(DATE($K$1,$K$2,QWZ$4),Table1[],(MATCH(Calendar!$A18,DB!$1:$1,0)),FALSE)),"")</f>
        <v/>
      </c>
      <c r="QXA18" s="28" t="str">
        <f>IFERROR(IF(QXJ3="No",IF(VLOOKUP(DATE($K$1,$K$2,QXA$4),Table1[],(MATCH(Calendar!$A18,DB!$1:$1,0)),FALSE)&gt;=5,"Good","Bad"),VLOOKUP(DATE($K$1,$K$2,QXA$4),Table1[],(MATCH(Calendar!$A18,DB!$1:$1,0)),FALSE)),"")</f>
        <v/>
      </c>
      <c r="QXB18" s="28" t="str">
        <f>IFERROR(IF(QXK3="No",IF(VLOOKUP(DATE($K$1,$K$2,QXB$4),Table1[],(MATCH(Calendar!$A18,DB!$1:$1,0)),FALSE)&gt;=5,"Good","Bad"),VLOOKUP(DATE($K$1,$K$2,QXB$4),Table1[],(MATCH(Calendar!$A18,DB!$1:$1,0)),FALSE)),"")</f>
        <v/>
      </c>
      <c r="QXC18" s="28" t="str">
        <f>IFERROR(IF(QXL3="No",IF(VLOOKUP(DATE($K$1,$K$2,QXC$4),Table1[],(MATCH(Calendar!$A18,DB!$1:$1,0)),FALSE)&gt;=5,"Good","Bad"),VLOOKUP(DATE($K$1,$K$2,QXC$4),Table1[],(MATCH(Calendar!$A18,DB!$1:$1,0)),FALSE)),"")</f>
        <v/>
      </c>
      <c r="QXD18" s="28" t="str">
        <f>IFERROR(IF(QXM3="No",IF(VLOOKUP(DATE($K$1,$K$2,QXD$4),Table1[],(MATCH(Calendar!$A18,DB!$1:$1,0)),FALSE)&gt;=5,"Good","Bad"),VLOOKUP(DATE($K$1,$K$2,QXD$4),Table1[],(MATCH(Calendar!$A18,DB!$1:$1,0)),FALSE)),"")</f>
        <v/>
      </c>
      <c r="QXE18" s="28" t="str">
        <f>IFERROR(IF(QXN3="No",IF(VLOOKUP(DATE($K$1,$K$2,QXE$4),Table1[],(MATCH(Calendar!$A18,DB!$1:$1,0)),FALSE)&gt;=5,"Good","Bad"),VLOOKUP(DATE($K$1,$K$2,QXE$4),Table1[],(MATCH(Calendar!$A18,DB!$1:$1,0)),FALSE)),"")</f>
        <v/>
      </c>
      <c r="QXF18" s="28" t="str">
        <f>IFERROR(IF(QXO3="No",IF(VLOOKUP(DATE($K$1,$K$2,QXF$4),Table1[],(MATCH(Calendar!$A18,DB!$1:$1,0)),FALSE)&gt;=5,"Good","Bad"),VLOOKUP(DATE($K$1,$K$2,QXF$4),Table1[],(MATCH(Calendar!$A18,DB!$1:$1,0)),FALSE)),"")</f>
        <v/>
      </c>
      <c r="QXG18" s="28" t="str">
        <f>IFERROR(IF(QXP3="No",IF(VLOOKUP(DATE($K$1,$K$2,QXG$4),Table1[],(MATCH(Calendar!$A18,DB!$1:$1,0)),FALSE)&gt;=5,"Good","Bad"),VLOOKUP(DATE($K$1,$K$2,QXG$4),Table1[],(MATCH(Calendar!$A18,DB!$1:$1,0)),FALSE)),"")</f>
        <v/>
      </c>
      <c r="QXH18" s="28" t="str">
        <f>IFERROR(IF(QXQ3="No",IF(VLOOKUP(DATE($K$1,$K$2,QXH$4),Table1[],(MATCH(Calendar!$A18,DB!$1:$1,0)),FALSE)&gt;=5,"Good","Bad"),VLOOKUP(DATE($K$1,$K$2,QXH$4),Table1[],(MATCH(Calendar!$A18,DB!$1:$1,0)),FALSE)),"")</f>
        <v/>
      </c>
      <c r="QXI18" s="28" t="str">
        <f>IFERROR(IF(QXR3="No",IF(VLOOKUP(DATE($K$1,$K$2,QXI$4),Table1[],(MATCH(Calendar!$A18,DB!$1:$1,0)),FALSE)&gt;=5,"Good","Bad"),VLOOKUP(DATE($K$1,$K$2,QXI$4),Table1[],(MATCH(Calendar!$A18,DB!$1:$1,0)),FALSE)),"")</f>
        <v/>
      </c>
      <c r="QXJ18" s="28" t="str">
        <f>IFERROR(IF(QXS3="No",IF(VLOOKUP(DATE($K$1,$K$2,QXJ$4),Table1[],(MATCH(Calendar!$A18,DB!$1:$1,0)),FALSE)&gt;=5,"Good","Bad"),VLOOKUP(DATE($K$1,$K$2,QXJ$4),Table1[],(MATCH(Calendar!$A18,DB!$1:$1,0)),FALSE)),"")</f>
        <v/>
      </c>
      <c r="QXK18" s="28" t="str">
        <f>IFERROR(IF(QXT3="No",IF(VLOOKUP(DATE($K$1,$K$2,QXK$4),Table1[],(MATCH(Calendar!$A18,DB!$1:$1,0)),FALSE)&gt;=5,"Good","Bad"),VLOOKUP(DATE($K$1,$K$2,QXK$4),Table1[],(MATCH(Calendar!$A18,DB!$1:$1,0)),FALSE)),"")</f>
        <v/>
      </c>
      <c r="QXL18" s="28" t="str">
        <f>IFERROR(IF(QXU3="No",IF(VLOOKUP(DATE($K$1,$K$2,QXL$4),Table1[],(MATCH(Calendar!$A18,DB!$1:$1,0)),FALSE)&gt;=5,"Good","Bad"),VLOOKUP(DATE($K$1,$K$2,QXL$4),Table1[],(MATCH(Calendar!$A18,DB!$1:$1,0)),FALSE)),"")</f>
        <v/>
      </c>
      <c r="QXM18" s="28" t="str">
        <f>IFERROR(IF(QXV3="No",IF(VLOOKUP(DATE($K$1,$K$2,QXM$4),Table1[],(MATCH(Calendar!$A18,DB!$1:$1,0)),FALSE)&gt;=5,"Good","Bad"),VLOOKUP(DATE($K$1,$K$2,QXM$4),Table1[],(MATCH(Calendar!$A18,DB!$1:$1,0)),FALSE)),"")</f>
        <v/>
      </c>
      <c r="QXN18" s="28" t="str">
        <f>IFERROR(IF(QXW3="No",IF(VLOOKUP(DATE($K$1,$K$2,QXN$4),Table1[],(MATCH(Calendar!$A18,DB!$1:$1,0)),FALSE)&gt;=5,"Good","Bad"),VLOOKUP(DATE($K$1,$K$2,QXN$4),Table1[],(MATCH(Calendar!$A18,DB!$1:$1,0)),FALSE)),"")</f>
        <v/>
      </c>
      <c r="QXO18" s="28" t="str">
        <f>IFERROR(IF(QXX3="No",IF(VLOOKUP(DATE($K$1,$K$2,QXO$4),Table1[],(MATCH(Calendar!$A18,DB!$1:$1,0)),FALSE)&gt;=5,"Good","Bad"),VLOOKUP(DATE($K$1,$K$2,QXO$4),Table1[],(MATCH(Calendar!$A18,DB!$1:$1,0)),FALSE)),"")</f>
        <v/>
      </c>
      <c r="QXP18" s="28" t="str">
        <f>IFERROR(IF(QXY3="No",IF(VLOOKUP(DATE($K$1,$K$2,QXP$4),Table1[],(MATCH(Calendar!$A18,DB!$1:$1,0)),FALSE)&gt;=5,"Good","Bad"),VLOOKUP(DATE($K$1,$K$2,QXP$4),Table1[],(MATCH(Calendar!$A18,DB!$1:$1,0)),FALSE)),"")</f>
        <v/>
      </c>
      <c r="QXQ18" s="28" t="str">
        <f>IFERROR(IF(QXZ3="No",IF(VLOOKUP(DATE($K$1,$K$2,QXQ$4),Table1[],(MATCH(Calendar!$A18,DB!$1:$1,0)),FALSE)&gt;=5,"Good","Bad"),VLOOKUP(DATE($K$1,$K$2,QXQ$4),Table1[],(MATCH(Calendar!$A18,DB!$1:$1,0)),FALSE)),"")</f>
        <v/>
      </c>
      <c r="QXR18" s="28" t="str">
        <f>IFERROR(IF(QYA3="No",IF(VLOOKUP(DATE($K$1,$K$2,QXR$4),Table1[],(MATCH(Calendar!$A18,DB!$1:$1,0)),FALSE)&gt;=5,"Good","Bad"),VLOOKUP(DATE($K$1,$K$2,QXR$4),Table1[],(MATCH(Calendar!$A18,DB!$1:$1,0)),FALSE)),"")</f>
        <v/>
      </c>
      <c r="QXS18" s="28" t="str">
        <f>IFERROR(IF(QYB3="No",IF(VLOOKUP(DATE($K$1,$K$2,QXS$4),Table1[],(MATCH(Calendar!$A18,DB!$1:$1,0)),FALSE)&gt;=5,"Good","Bad"),VLOOKUP(DATE($K$1,$K$2,QXS$4),Table1[],(MATCH(Calendar!$A18,DB!$1:$1,0)),FALSE)),"")</f>
        <v/>
      </c>
      <c r="QXT18" s="28" t="str">
        <f>IFERROR(IF(QYC3="No",IF(VLOOKUP(DATE($K$1,$K$2,QXT$4),Table1[],(MATCH(Calendar!$A18,DB!$1:$1,0)),FALSE)&gt;=5,"Good","Bad"),VLOOKUP(DATE($K$1,$K$2,QXT$4),Table1[],(MATCH(Calendar!$A18,DB!$1:$1,0)),FALSE)),"")</f>
        <v/>
      </c>
      <c r="QXU18" s="28" t="str">
        <f>IFERROR(IF(QYD3="No",IF(VLOOKUP(DATE($K$1,$K$2,QXU$4),Table1[],(MATCH(Calendar!$A18,DB!$1:$1,0)),FALSE)&gt;=5,"Good","Bad"),VLOOKUP(DATE($K$1,$K$2,QXU$4),Table1[],(MATCH(Calendar!$A18,DB!$1:$1,0)),FALSE)),"")</f>
        <v/>
      </c>
      <c r="QXV18" s="28" t="str">
        <f>IFERROR(IF(QYE3="No",IF(VLOOKUP(DATE($K$1,$K$2,QXV$4),Table1[],(MATCH(Calendar!$A18,DB!$1:$1,0)),FALSE)&gt;=5,"Good","Bad"),VLOOKUP(DATE($K$1,$K$2,QXV$4),Table1[],(MATCH(Calendar!$A18,DB!$1:$1,0)),FALSE)),"")</f>
        <v/>
      </c>
      <c r="QXW18" s="28" t="str">
        <f>IFERROR(IF(QYF3="No",IF(VLOOKUP(DATE($K$1,$K$2,QXW$4),Table1[],(MATCH(Calendar!$A18,DB!$1:$1,0)),FALSE)&gt;=5,"Good","Bad"),VLOOKUP(DATE($K$1,$K$2,QXW$4),Table1[],(MATCH(Calendar!$A18,DB!$1:$1,0)),FALSE)),"")</f>
        <v/>
      </c>
      <c r="QXX18" s="28" t="str">
        <f>IFERROR(IF(QYG3="No",IF(VLOOKUP(DATE($K$1,$K$2,QXX$4),Table1[],(MATCH(Calendar!$A18,DB!$1:$1,0)),FALSE)&gt;=5,"Good","Bad"),VLOOKUP(DATE($K$1,$K$2,QXX$4),Table1[],(MATCH(Calendar!$A18,DB!$1:$1,0)),FALSE)),"")</f>
        <v/>
      </c>
      <c r="QXY18" s="28" t="str">
        <f>IFERROR(IF(QYH3="No",IF(VLOOKUP(DATE($K$1,$K$2,QXY$4),Table1[],(MATCH(Calendar!$A18,DB!$1:$1,0)),FALSE)&gt;=5,"Good","Bad"),VLOOKUP(DATE($K$1,$K$2,QXY$4),Table1[],(MATCH(Calendar!$A18,DB!$1:$1,0)),FALSE)),"")</f>
        <v/>
      </c>
      <c r="QXZ18" s="28" t="str">
        <f>IFERROR(IF(QYI3="No",IF(VLOOKUP(DATE($K$1,$K$2,QXZ$4),Table1[],(MATCH(Calendar!$A18,DB!$1:$1,0)),FALSE)&gt;=5,"Good","Bad"),VLOOKUP(DATE($K$1,$K$2,QXZ$4),Table1[],(MATCH(Calendar!$A18,DB!$1:$1,0)),FALSE)),"")</f>
        <v/>
      </c>
      <c r="QYA18" s="28" t="str">
        <f>IFERROR(IF(QYJ3="No",IF(VLOOKUP(DATE($K$1,$K$2,QYA$4),Table1[],(MATCH(Calendar!$A18,DB!$1:$1,0)),FALSE)&gt;=5,"Good","Bad"),VLOOKUP(DATE($K$1,$K$2,QYA$4),Table1[],(MATCH(Calendar!$A18,DB!$1:$1,0)),FALSE)),"")</f>
        <v/>
      </c>
      <c r="QYB18" s="28" t="str">
        <f>IFERROR(IF(QYK3="No",IF(VLOOKUP(DATE($K$1,$K$2,QYB$4),Table1[],(MATCH(Calendar!$A18,DB!$1:$1,0)),FALSE)&gt;=5,"Good","Bad"),VLOOKUP(DATE($K$1,$K$2,QYB$4),Table1[],(MATCH(Calendar!$A18,DB!$1:$1,0)),FALSE)),"")</f>
        <v/>
      </c>
      <c r="QYC18" s="28" t="str">
        <f>IFERROR(IF(QYL3="No",IF(VLOOKUP(DATE($K$1,$K$2,QYC$4),Table1[],(MATCH(Calendar!$A18,DB!$1:$1,0)),FALSE)&gt;=5,"Good","Bad"),VLOOKUP(DATE($K$1,$K$2,QYC$4),Table1[],(MATCH(Calendar!$A18,DB!$1:$1,0)),FALSE)),"")</f>
        <v/>
      </c>
      <c r="QYD18" s="28" t="str">
        <f>IFERROR(IF(QYM3="No",IF(VLOOKUP(DATE($K$1,$K$2,QYD$4),Table1[],(MATCH(Calendar!$A18,DB!$1:$1,0)),FALSE)&gt;=5,"Good","Bad"),VLOOKUP(DATE($K$1,$K$2,QYD$4),Table1[],(MATCH(Calendar!$A18,DB!$1:$1,0)),FALSE)),"")</f>
        <v/>
      </c>
      <c r="QYE18" s="28" t="str">
        <f>IFERROR(IF(QYN3="No",IF(VLOOKUP(DATE($K$1,$K$2,QYE$4),Table1[],(MATCH(Calendar!$A18,DB!$1:$1,0)),FALSE)&gt;=5,"Good","Bad"),VLOOKUP(DATE($K$1,$K$2,QYE$4),Table1[],(MATCH(Calendar!$A18,DB!$1:$1,0)),FALSE)),"")</f>
        <v/>
      </c>
      <c r="QYF18" s="28" t="str">
        <f>IFERROR(IF(QYO3="No",IF(VLOOKUP(DATE($K$1,$K$2,QYF$4),Table1[],(MATCH(Calendar!$A18,DB!$1:$1,0)),FALSE)&gt;=5,"Good","Bad"),VLOOKUP(DATE($K$1,$K$2,QYF$4),Table1[],(MATCH(Calendar!$A18,DB!$1:$1,0)),FALSE)),"")</f>
        <v/>
      </c>
      <c r="QYG18" s="28" t="str">
        <f>IFERROR(IF(QYP3="No",IF(VLOOKUP(DATE($K$1,$K$2,QYG$4),Table1[],(MATCH(Calendar!$A18,DB!$1:$1,0)),FALSE)&gt;=5,"Good","Bad"),VLOOKUP(DATE($K$1,$K$2,QYG$4),Table1[],(MATCH(Calendar!$A18,DB!$1:$1,0)),FALSE)),"")</f>
        <v/>
      </c>
      <c r="QYH18" s="28" t="str">
        <f>IFERROR(IF(QYQ3="No",IF(VLOOKUP(DATE($K$1,$K$2,QYH$4),Table1[],(MATCH(Calendar!$A18,DB!$1:$1,0)),FALSE)&gt;=5,"Good","Bad"),VLOOKUP(DATE($K$1,$K$2,QYH$4),Table1[],(MATCH(Calendar!$A18,DB!$1:$1,0)),FALSE)),"")</f>
        <v/>
      </c>
      <c r="QYI18" s="28" t="str">
        <f>IFERROR(IF(QYR3="No",IF(VLOOKUP(DATE($K$1,$K$2,QYI$4),Table1[],(MATCH(Calendar!$A18,DB!$1:$1,0)),FALSE)&gt;=5,"Good","Bad"),VLOOKUP(DATE($K$1,$K$2,QYI$4),Table1[],(MATCH(Calendar!$A18,DB!$1:$1,0)),FALSE)),"")</f>
        <v/>
      </c>
      <c r="QYJ18" s="28" t="str">
        <f>IFERROR(IF(QYS3="No",IF(VLOOKUP(DATE($K$1,$K$2,QYJ$4),Table1[],(MATCH(Calendar!$A18,DB!$1:$1,0)),FALSE)&gt;=5,"Good","Bad"),VLOOKUP(DATE($K$1,$K$2,QYJ$4),Table1[],(MATCH(Calendar!$A18,DB!$1:$1,0)),FALSE)),"")</f>
        <v/>
      </c>
      <c r="QYK18" s="28" t="str">
        <f>IFERROR(IF(QYT3="No",IF(VLOOKUP(DATE($K$1,$K$2,QYK$4),Table1[],(MATCH(Calendar!$A18,DB!$1:$1,0)),FALSE)&gt;=5,"Good","Bad"),VLOOKUP(DATE($K$1,$K$2,QYK$4),Table1[],(MATCH(Calendar!$A18,DB!$1:$1,0)),FALSE)),"")</f>
        <v/>
      </c>
      <c r="QYL18" s="28" t="str">
        <f>IFERROR(IF(QYU3="No",IF(VLOOKUP(DATE($K$1,$K$2,QYL$4),Table1[],(MATCH(Calendar!$A18,DB!$1:$1,0)),FALSE)&gt;=5,"Good","Bad"),VLOOKUP(DATE($K$1,$K$2,QYL$4),Table1[],(MATCH(Calendar!$A18,DB!$1:$1,0)),FALSE)),"")</f>
        <v/>
      </c>
      <c r="QYM18" s="28" t="str">
        <f>IFERROR(IF(QYV3="No",IF(VLOOKUP(DATE($K$1,$K$2,QYM$4),Table1[],(MATCH(Calendar!$A18,DB!$1:$1,0)),FALSE)&gt;=5,"Good","Bad"),VLOOKUP(DATE($K$1,$K$2,QYM$4),Table1[],(MATCH(Calendar!$A18,DB!$1:$1,0)),FALSE)),"")</f>
        <v/>
      </c>
      <c r="QYN18" s="28" t="str">
        <f>IFERROR(IF(QYW3="No",IF(VLOOKUP(DATE($K$1,$K$2,QYN$4),Table1[],(MATCH(Calendar!$A18,DB!$1:$1,0)),FALSE)&gt;=5,"Good","Bad"),VLOOKUP(DATE($K$1,$K$2,QYN$4),Table1[],(MATCH(Calendar!$A18,DB!$1:$1,0)),FALSE)),"")</f>
        <v/>
      </c>
      <c r="QYO18" s="28" t="str">
        <f>IFERROR(IF(QYX3="No",IF(VLOOKUP(DATE($K$1,$K$2,QYO$4),Table1[],(MATCH(Calendar!$A18,DB!$1:$1,0)),FALSE)&gt;=5,"Good","Bad"),VLOOKUP(DATE($K$1,$K$2,QYO$4),Table1[],(MATCH(Calendar!$A18,DB!$1:$1,0)),FALSE)),"")</f>
        <v/>
      </c>
      <c r="QYP18" s="28" t="str">
        <f>IFERROR(IF(QYY3="No",IF(VLOOKUP(DATE($K$1,$K$2,QYP$4),Table1[],(MATCH(Calendar!$A18,DB!$1:$1,0)),FALSE)&gt;=5,"Good","Bad"),VLOOKUP(DATE($K$1,$K$2,QYP$4),Table1[],(MATCH(Calendar!$A18,DB!$1:$1,0)),FALSE)),"")</f>
        <v/>
      </c>
      <c r="QYQ18" s="28" t="str">
        <f>IFERROR(IF(QYZ3="No",IF(VLOOKUP(DATE($K$1,$K$2,QYQ$4),Table1[],(MATCH(Calendar!$A18,DB!$1:$1,0)),FALSE)&gt;=5,"Good","Bad"),VLOOKUP(DATE($K$1,$K$2,QYQ$4),Table1[],(MATCH(Calendar!$A18,DB!$1:$1,0)),FALSE)),"")</f>
        <v/>
      </c>
      <c r="QYR18" s="28" t="str">
        <f>IFERROR(IF(QZA3="No",IF(VLOOKUP(DATE($K$1,$K$2,QYR$4),Table1[],(MATCH(Calendar!$A18,DB!$1:$1,0)),FALSE)&gt;=5,"Good","Bad"),VLOOKUP(DATE($K$1,$K$2,QYR$4),Table1[],(MATCH(Calendar!$A18,DB!$1:$1,0)),FALSE)),"")</f>
        <v/>
      </c>
      <c r="QYS18" s="28" t="str">
        <f>IFERROR(IF(QZB3="No",IF(VLOOKUP(DATE($K$1,$K$2,QYS$4),Table1[],(MATCH(Calendar!$A18,DB!$1:$1,0)),FALSE)&gt;=5,"Good","Bad"),VLOOKUP(DATE($K$1,$K$2,QYS$4),Table1[],(MATCH(Calendar!$A18,DB!$1:$1,0)),FALSE)),"")</f>
        <v/>
      </c>
      <c r="QYT18" s="28" t="str">
        <f>IFERROR(IF(QZC3="No",IF(VLOOKUP(DATE($K$1,$K$2,QYT$4),Table1[],(MATCH(Calendar!$A18,DB!$1:$1,0)),FALSE)&gt;=5,"Good","Bad"),VLOOKUP(DATE($K$1,$K$2,QYT$4),Table1[],(MATCH(Calendar!$A18,DB!$1:$1,0)),FALSE)),"")</f>
        <v/>
      </c>
      <c r="QYU18" s="28" t="str">
        <f>IFERROR(IF(QZD3="No",IF(VLOOKUP(DATE($K$1,$K$2,QYU$4),Table1[],(MATCH(Calendar!$A18,DB!$1:$1,0)),FALSE)&gt;=5,"Good","Bad"),VLOOKUP(DATE($K$1,$K$2,QYU$4),Table1[],(MATCH(Calendar!$A18,DB!$1:$1,0)),FALSE)),"")</f>
        <v/>
      </c>
      <c r="QYV18" s="28" t="str">
        <f>IFERROR(IF(QZE3="No",IF(VLOOKUP(DATE($K$1,$K$2,QYV$4),Table1[],(MATCH(Calendar!$A18,DB!$1:$1,0)),FALSE)&gt;=5,"Good","Bad"),VLOOKUP(DATE($K$1,$K$2,QYV$4),Table1[],(MATCH(Calendar!$A18,DB!$1:$1,0)),FALSE)),"")</f>
        <v/>
      </c>
      <c r="QYW18" s="28" t="str">
        <f>IFERROR(IF(QZF3="No",IF(VLOOKUP(DATE($K$1,$K$2,QYW$4),Table1[],(MATCH(Calendar!$A18,DB!$1:$1,0)),FALSE)&gt;=5,"Good","Bad"),VLOOKUP(DATE($K$1,$K$2,QYW$4),Table1[],(MATCH(Calendar!$A18,DB!$1:$1,0)),FALSE)),"")</f>
        <v/>
      </c>
      <c r="QYX18" s="28" t="str">
        <f>IFERROR(IF(QZG3="No",IF(VLOOKUP(DATE($K$1,$K$2,QYX$4),Table1[],(MATCH(Calendar!$A18,DB!$1:$1,0)),FALSE)&gt;=5,"Good","Bad"),VLOOKUP(DATE($K$1,$K$2,QYX$4),Table1[],(MATCH(Calendar!$A18,DB!$1:$1,0)),FALSE)),"")</f>
        <v/>
      </c>
      <c r="QYY18" s="28" t="str">
        <f>IFERROR(IF(QZH3="No",IF(VLOOKUP(DATE($K$1,$K$2,QYY$4),Table1[],(MATCH(Calendar!$A18,DB!$1:$1,0)),FALSE)&gt;=5,"Good","Bad"),VLOOKUP(DATE($K$1,$K$2,QYY$4),Table1[],(MATCH(Calendar!$A18,DB!$1:$1,0)),FALSE)),"")</f>
        <v/>
      </c>
      <c r="QYZ18" s="28" t="str">
        <f>IFERROR(IF(QZI3="No",IF(VLOOKUP(DATE($K$1,$K$2,QYZ$4),Table1[],(MATCH(Calendar!$A18,DB!$1:$1,0)),FALSE)&gt;=5,"Good","Bad"),VLOOKUP(DATE($K$1,$K$2,QYZ$4),Table1[],(MATCH(Calendar!$A18,DB!$1:$1,0)),FALSE)),"")</f>
        <v/>
      </c>
      <c r="QZA18" s="28" t="str">
        <f>IFERROR(IF(QZJ3="No",IF(VLOOKUP(DATE($K$1,$K$2,QZA$4),Table1[],(MATCH(Calendar!$A18,DB!$1:$1,0)),FALSE)&gt;=5,"Good","Bad"),VLOOKUP(DATE($K$1,$K$2,QZA$4),Table1[],(MATCH(Calendar!$A18,DB!$1:$1,0)),FALSE)),"")</f>
        <v/>
      </c>
      <c r="QZB18" s="28" t="str">
        <f>IFERROR(IF(QZK3="No",IF(VLOOKUP(DATE($K$1,$K$2,QZB$4),Table1[],(MATCH(Calendar!$A18,DB!$1:$1,0)),FALSE)&gt;=5,"Good","Bad"),VLOOKUP(DATE($K$1,$K$2,QZB$4),Table1[],(MATCH(Calendar!$A18,DB!$1:$1,0)),FALSE)),"")</f>
        <v/>
      </c>
      <c r="QZC18" s="28" t="str">
        <f>IFERROR(IF(QZL3="No",IF(VLOOKUP(DATE($K$1,$K$2,QZC$4),Table1[],(MATCH(Calendar!$A18,DB!$1:$1,0)),FALSE)&gt;=5,"Good","Bad"),VLOOKUP(DATE($K$1,$K$2,QZC$4),Table1[],(MATCH(Calendar!$A18,DB!$1:$1,0)),FALSE)),"")</f>
        <v/>
      </c>
      <c r="QZD18" s="28" t="str">
        <f>IFERROR(IF(QZM3="No",IF(VLOOKUP(DATE($K$1,$K$2,QZD$4),Table1[],(MATCH(Calendar!$A18,DB!$1:$1,0)),FALSE)&gt;=5,"Good","Bad"),VLOOKUP(DATE($K$1,$K$2,QZD$4),Table1[],(MATCH(Calendar!$A18,DB!$1:$1,0)),FALSE)),"")</f>
        <v/>
      </c>
      <c r="QZE18" s="28" t="str">
        <f>IFERROR(IF(QZN3="No",IF(VLOOKUP(DATE($K$1,$K$2,QZE$4),Table1[],(MATCH(Calendar!$A18,DB!$1:$1,0)),FALSE)&gt;=5,"Good","Bad"),VLOOKUP(DATE($K$1,$K$2,QZE$4),Table1[],(MATCH(Calendar!$A18,DB!$1:$1,0)),FALSE)),"")</f>
        <v/>
      </c>
      <c r="QZF18" s="28" t="str">
        <f>IFERROR(IF(QZO3="No",IF(VLOOKUP(DATE($K$1,$K$2,QZF$4),Table1[],(MATCH(Calendar!$A18,DB!$1:$1,0)),FALSE)&gt;=5,"Good","Bad"),VLOOKUP(DATE($K$1,$K$2,QZF$4),Table1[],(MATCH(Calendar!$A18,DB!$1:$1,0)),FALSE)),"")</f>
        <v/>
      </c>
      <c r="QZG18" s="28" t="str">
        <f>IFERROR(IF(QZP3="No",IF(VLOOKUP(DATE($K$1,$K$2,QZG$4),Table1[],(MATCH(Calendar!$A18,DB!$1:$1,0)),FALSE)&gt;=5,"Good","Bad"),VLOOKUP(DATE($K$1,$K$2,QZG$4),Table1[],(MATCH(Calendar!$A18,DB!$1:$1,0)),FALSE)),"")</f>
        <v/>
      </c>
      <c r="QZH18" s="28" t="str">
        <f>IFERROR(IF(QZQ3="No",IF(VLOOKUP(DATE($K$1,$K$2,QZH$4),Table1[],(MATCH(Calendar!$A18,DB!$1:$1,0)),FALSE)&gt;=5,"Good","Bad"),VLOOKUP(DATE($K$1,$K$2,QZH$4),Table1[],(MATCH(Calendar!$A18,DB!$1:$1,0)),FALSE)),"")</f>
        <v/>
      </c>
      <c r="QZI18" s="28" t="str">
        <f>IFERROR(IF(QZR3="No",IF(VLOOKUP(DATE($K$1,$K$2,QZI$4),Table1[],(MATCH(Calendar!$A18,DB!$1:$1,0)),FALSE)&gt;=5,"Good","Bad"),VLOOKUP(DATE($K$1,$K$2,QZI$4),Table1[],(MATCH(Calendar!$A18,DB!$1:$1,0)),FALSE)),"")</f>
        <v/>
      </c>
      <c r="QZJ18" s="28" t="str">
        <f>IFERROR(IF(QZS3="No",IF(VLOOKUP(DATE($K$1,$K$2,QZJ$4),Table1[],(MATCH(Calendar!$A18,DB!$1:$1,0)),FALSE)&gt;=5,"Good","Bad"),VLOOKUP(DATE($K$1,$K$2,QZJ$4),Table1[],(MATCH(Calendar!$A18,DB!$1:$1,0)),FALSE)),"")</f>
        <v/>
      </c>
      <c r="QZK18" s="28" t="str">
        <f>IFERROR(IF(QZT3="No",IF(VLOOKUP(DATE($K$1,$K$2,QZK$4),Table1[],(MATCH(Calendar!$A18,DB!$1:$1,0)),FALSE)&gt;=5,"Good","Bad"),VLOOKUP(DATE($K$1,$K$2,QZK$4),Table1[],(MATCH(Calendar!$A18,DB!$1:$1,0)),FALSE)),"")</f>
        <v/>
      </c>
      <c r="QZL18" s="28" t="str">
        <f>IFERROR(IF(QZU3="No",IF(VLOOKUP(DATE($K$1,$K$2,QZL$4),Table1[],(MATCH(Calendar!$A18,DB!$1:$1,0)),FALSE)&gt;=5,"Good","Bad"),VLOOKUP(DATE($K$1,$K$2,QZL$4),Table1[],(MATCH(Calendar!$A18,DB!$1:$1,0)),FALSE)),"")</f>
        <v/>
      </c>
      <c r="QZM18" s="28" t="str">
        <f>IFERROR(IF(QZV3="No",IF(VLOOKUP(DATE($K$1,$K$2,QZM$4),Table1[],(MATCH(Calendar!$A18,DB!$1:$1,0)),FALSE)&gt;=5,"Good","Bad"),VLOOKUP(DATE($K$1,$K$2,QZM$4),Table1[],(MATCH(Calendar!$A18,DB!$1:$1,0)),FALSE)),"")</f>
        <v/>
      </c>
      <c r="QZN18" s="28" t="str">
        <f>IFERROR(IF(QZW3="No",IF(VLOOKUP(DATE($K$1,$K$2,QZN$4),Table1[],(MATCH(Calendar!$A18,DB!$1:$1,0)),FALSE)&gt;=5,"Good","Bad"),VLOOKUP(DATE($K$1,$K$2,QZN$4),Table1[],(MATCH(Calendar!$A18,DB!$1:$1,0)),FALSE)),"")</f>
        <v/>
      </c>
      <c r="QZO18" s="28" t="str">
        <f>IFERROR(IF(QZX3="No",IF(VLOOKUP(DATE($K$1,$K$2,QZO$4),Table1[],(MATCH(Calendar!$A18,DB!$1:$1,0)),FALSE)&gt;=5,"Good","Bad"),VLOOKUP(DATE($K$1,$K$2,QZO$4),Table1[],(MATCH(Calendar!$A18,DB!$1:$1,0)),FALSE)),"")</f>
        <v/>
      </c>
      <c r="QZP18" s="28" t="str">
        <f>IFERROR(IF(QZY3="No",IF(VLOOKUP(DATE($K$1,$K$2,QZP$4),Table1[],(MATCH(Calendar!$A18,DB!$1:$1,0)),FALSE)&gt;=5,"Good","Bad"),VLOOKUP(DATE($K$1,$K$2,QZP$4),Table1[],(MATCH(Calendar!$A18,DB!$1:$1,0)),FALSE)),"")</f>
        <v/>
      </c>
      <c r="QZQ18" s="28" t="str">
        <f>IFERROR(IF(QZZ3="No",IF(VLOOKUP(DATE($K$1,$K$2,QZQ$4),Table1[],(MATCH(Calendar!$A18,DB!$1:$1,0)),FALSE)&gt;=5,"Good","Bad"),VLOOKUP(DATE($K$1,$K$2,QZQ$4),Table1[],(MATCH(Calendar!$A18,DB!$1:$1,0)),FALSE)),"")</f>
        <v/>
      </c>
      <c r="QZR18" s="28" t="str">
        <f>IFERROR(IF(RAA3="No",IF(VLOOKUP(DATE($K$1,$K$2,QZR$4),Table1[],(MATCH(Calendar!$A18,DB!$1:$1,0)),FALSE)&gt;=5,"Good","Bad"),VLOOKUP(DATE($K$1,$K$2,QZR$4),Table1[],(MATCH(Calendar!$A18,DB!$1:$1,0)),FALSE)),"")</f>
        <v/>
      </c>
      <c r="QZS18" s="28" t="str">
        <f>IFERROR(IF(RAB3="No",IF(VLOOKUP(DATE($K$1,$K$2,QZS$4),Table1[],(MATCH(Calendar!$A18,DB!$1:$1,0)),FALSE)&gt;=5,"Good","Bad"),VLOOKUP(DATE($K$1,$K$2,QZS$4),Table1[],(MATCH(Calendar!$A18,DB!$1:$1,0)),FALSE)),"")</f>
        <v/>
      </c>
      <c r="QZT18" s="28" t="str">
        <f>IFERROR(IF(RAC3="No",IF(VLOOKUP(DATE($K$1,$K$2,QZT$4),Table1[],(MATCH(Calendar!$A18,DB!$1:$1,0)),FALSE)&gt;=5,"Good","Bad"),VLOOKUP(DATE($K$1,$K$2,QZT$4),Table1[],(MATCH(Calendar!$A18,DB!$1:$1,0)),FALSE)),"")</f>
        <v/>
      </c>
      <c r="QZU18" s="28" t="str">
        <f>IFERROR(IF(RAD3="No",IF(VLOOKUP(DATE($K$1,$K$2,QZU$4),Table1[],(MATCH(Calendar!$A18,DB!$1:$1,0)),FALSE)&gt;=5,"Good","Bad"),VLOOKUP(DATE($K$1,$K$2,QZU$4),Table1[],(MATCH(Calendar!$A18,DB!$1:$1,0)),FALSE)),"")</f>
        <v/>
      </c>
      <c r="QZV18" s="28" t="str">
        <f>IFERROR(IF(RAE3="No",IF(VLOOKUP(DATE($K$1,$K$2,QZV$4),Table1[],(MATCH(Calendar!$A18,DB!$1:$1,0)),FALSE)&gt;=5,"Good","Bad"),VLOOKUP(DATE($K$1,$K$2,QZV$4),Table1[],(MATCH(Calendar!$A18,DB!$1:$1,0)),FALSE)),"")</f>
        <v/>
      </c>
      <c r="QZW18" s="28" t="str">
        <f>IFERROR(IF(RAF3="No",IF(VLOOKUP(DATE($K$1,$K$2,QZW$4),Table1[],(MATCH(Calendar!$A18,DB!$1:$1,0)),FALSE)&gt;=5,"Good","Bad"),VLOOKUP(DATE($K$1,$K$2,QZW$4),Table1[],(MATCH(Calendar!$A18,DB!$1:$1,0)),FALSE)),"")</f>
        <v/>
      </c>
      <c r="QZX18" s="28" t="str">
        <f>IFERROR(IF(RAG3="No",IF(VLOOKUP(DATE($K$1,$K$2,QZX$4),Table1[],(MATCH(Calendar!$A18,DB!$1:$1,0)),FALSE)&gt;=5,"Good","Bad"),VLOOKUP(DATE($K$1,$K$2,QZX$4),Table1[],(MATCH(Calendar!$A18,DB!$1:$1,0)),FALSE)),"")</f>
        <v/>
      </c>
      <c r="QZY18" s="28" t="str">
        <f>IFERROR(IF(RAH3="No",IF(VLOOKUP(DATE($K$1,$K$2,QZY$4),Table1[],(MATCH(Calendar!$A18,DB!$1:$1,0)),FALSE)&gt;=5,"Good","Bad"),VLOOKUP(DATE($K$1,$K$2,QZY$4),Table1[],(MATCH(Calendar!$A18,DB!$1:$1,0)),FALSE)),"")</f>
        <v/>
      </c>
      <c r="QZZ18" s="28" t="str">
        <f>IFERROR(IF(RAI3="No",IF(VLOOKUP(DATE($K$1,$K$2,QZZ$4),Table1[],(MATCH(Calendar!$A18,DB!$1:$1,0)),FALSE)&gt;=5,"Good","Bad"),VLOOKUP(DATE($K$1,$K$2,QZZ$4),Table1[],(MATCH(Calendar!$A18,DB!$1:$1,0)),FALSE)),"")</f>
        <v/>
      </c>
      <c r="RAA18" s="28" t="str">
        <f>IFERROR(IF(RAJ3="No",IF(VLOOKUP(DATE($K$1,$K$2,RAA$4),Table1[],(MATCH(Calendar!$A18,DB!$1:$1,0)),FALSE)&gt;=5,"Good","Bad"),VLOOKUP(DATE($K$1,$K$2,RAA$4),Table1[],(MATCH(Calendar!$A18,DB!$1:$1,0)),FALSE)),"")</f>
        <v/>
      </c>
      <c r="RAB18" s="28" t="str">
        <f>IFERROR(IF(RAK3="No",IF(VLOOKUP(DATE($K$1,$K$2,RAB$4),Table1[],(MATCH(Calendar!$A18,DB!$1:$1,0)),FALSE)&gt;=5,"Good","Bad"),VLOOKUP(DATE($K$1,$K$2,RAB$4),Table1[],(MATCH(Calendar!$A18,DB!$1:$1,0)),FALSE)),"")</f>
        <v/>
      </c>
      <c r="RAC18" s="28" t="str">
        <f>IFERROR(IF(RAL3="No",IF(VLOOKUP(DATE($K$1,$K$2,RAC$4),Table1[],(MATCH(Calendar!$A18,DB!$1:$1,0)),FALSE)&gt;=5,"Good","Bad"),VLOOKUP(DATE($K$1,$K$2,RAC$4),Table1[],(MATCH(Calendar!$A18,DB!$1:$1,0)),FALSE)),"")</f>
        <v/>
      </c>
      <c r="RAD18" s="28" t="str">
        <f>IFERROR(IF(RAM3="No",IF(VLOOKUP(DATE($K$1,$K$2,RAD$4),Table1[],(MATCH(Calendar!$A18,DB!$1:$1,0)),FALSE)&gt;=5,"Good","Bad"),VLOOKUP(DATE($K$1,$K$2,RAD$4),Table1[],(MATCH(Calendar!$A18,DB!$1:$1,0)),FALSE)),"")</f>
        <v/>
      </c>
      <c r="RAE18" s="28" t="str">
        <f>IFERROR(IF(RAN3="No",IF(VLOOKUP(DATE($K$1,$K$2,RAE$4),Table1[],(MATCH(Calendar!$A18,DB!$1:$1,0)),FALSE)&gt;=5,"Good","Bad"),VLOOKUP(DATE($K$1,$K$2,RAE$4),Table1[],(MATCH(Calendar!$A18,DB!$1:$1,0)),FALSE)),"")</f>
        <v/>
      </c>
      <c r="RAF18" s="28" t="str">
        <f>IFERROR(IF(RAO3="No",IF(VLOOKUP(DATE($K$1,$K$2,RAF$4),Table1[],(MATCH(Calendar!$A18,DB!$1:$1,0)),FALSE)&gt;=5,"Good","Bad"),VLOOKUP(DATE($K$1,$K$2,RAF$4),Table1[],(MATCH(Calendar!$A18,DB!$1:$1,0)),FALSE)),"")</f>
        <v/>
      </c>
      <c r="RAG18" s="28" t="str">
        <f>IFERROR(IF(RAP3="No",IF(VLOOKUP(DATE($K$1,$K$2,RAG$4),Table1[],(MATCH(Calendar!$A18,DB!$1:$1,0)),FALSE)&gt;=5,"Good","Bad"),VLOOKUP(DATE($K$1,$K$2,RAG$4),Table1[],(MATCH(Calendar!$A18,DB!$1:$1,0)),FALSE)),"")</f>
        <v/>
      </c>
      <c r="RAH18" s="28" t="str">
        <f>IFERROR(IF(RAQ3="No",IF(VLOOKUP(DATE($K$1,$K$2,RAH$4),Table1[],(MATCH(Calendar!$A18,DB!$1:$1,0)),FALSE)&gt;=5,"Good","Bad"),VLOOKUP(DATE($K$1,$K$2,RAH$4),Table1[],(MATCH(Calendar!$A18,DB!$1:$1,0)),FALSE)),"")</f>
        <v/>
      </c>
      <c r="RAI18" s="28" t="str">
        <f>IFERROR(IF(RAR3="No",IF(VLOOKUP(DATE($K$1,$K$2,RAI$4),Table1[],(MATCH(Calendar!$A18,DB!$1:$1,0)),FALSE)&gt;=5,"Good","Bad"),VLOOKUP(DATE($K$1,$K$2,RAI$4),Table1[],(MATCH(Calendar!$A18,DB!$1:$1,0)),FALSE)),"")</f>
        <v/>
      </c>
      <c r="RAJ18" s="28" t="str">
        <f>IFERROR(IF(RAS3="No",IF(VLOOKUP(DATE($K$1,$K$2,RAJ$4),Table1[],(MATCH(Calendar!$A18,DB!$1:$1,0)),FALSE)&gt;=5,"Good","Bad"),VLOOKUP(DATE($K$1,$K$2,RAJ$4),Table1[],(MATCH(Calendar!$A18,DB!$1:$1,0)),FALSE)),"")</f>
        <v/>
      </c>
      <c r="RAK18" s="28" t="str">
        <f>IFERROR(IF(RAT3="No",IF(VLOOKUP(DATE($K$1,$K$2,RAK$4),Table1[],(MATCH(Calendar!$A18,DB!$1:$1,0)),FALSE)&gt;=5,"Good","Bad"),VLOOKUP(DATE($K$1,$K$2,RAK$4),Table1[],(MATCH(Calendar!$A18,DB!$1:$1,0)),FALSE)),"")</f>
        <v/>
      </c>
      <c r="RAL18" s="28" t="str">
        <f>IFERROR(IF(RAU3="No",IF(VLOOKUP(DATE($K$1,$K$2,RAL$4),Table1[],(MATCH(Calendar!$A18,DB!$1:$1,0)),FALSE)&gt;=5,"Good","Bad"),VLOOKUP(DATE($K$1,$K$2,RAL$4),Table1[],(MATCH(Calendar!$A18,DB!$1:$1,0)),FALSE)),"")</f>
        <v/>
      </c>
      <c r="RAM18" s="28" t="str">
        <f>IFERROR(IF(RAV3="No",IF(VLOOKUP(DATE($K$1,$K$2,RAM$4),Table1[],(MATCH(Calendar!$A18,DB!$1:$1,0)),FALSE)&gt;=5,"Good","Bad"),VLOOKUP(DATE($K$1,$K$2,RAM$4),Table1[],(MATCH(Calendar!$A18,DB!$1:$1,0)),FALSE)),"")</f>
        <v/>
      </c>
      <c r="RAN18" s="28" t="str">
        <f>IFERROR(IF(RAW3="No",IF(VLOOKUP(DATE($K$1,$K$2,RAN$4),Table1[],(MATCH(Calendar!$A18,DB!$1:$1,0)),FALSE)&gt;=5,"Good","Bad"),VLOOKUP(DATE($K$1,$K$2,RAN$4),Table1[],(MATCH(Calendar!$A18,DB!$1:$1,0)),FALSE)),"")</f>
        <v/>
      </c>
      <c r="RAO18" s="28" t="str">
        <f>IFERROR(IF(RAX3="No",IF(VLOOKUP(DATE($K$1,$K$2,RAO$4),Table1[],(MATCH(Calendar!$A18,DB!$1:$1,0)),FALSE)&gt;=5,"Good","Bad"),VLOOKUP(DATE($K$1,$K$2,RAO$4),Table1[],(MATCH(Calendar!$A18,DB!$1:$1,0)),FALSE)),"")</f>
        <v/>
      </c>
      <c r="RAP18" s="28" t="str">
        <f>IFERROR(IF(RAY3="No",IF(VLOOKUP(DATE($K$1,$K$2,RAP$4),Table1[],(MATCH(Calendar!$A18,DB!$1:$1,0)),FALSE)&gt;=5,"Good","Bad"),VLOOKUP(DATE($K$1,$K$2,RAP$4),Table1[],(MATCH(Calendar!$A18,DB!$1:$1,0)),FALSE)),"")</f>
        <v/>
      </c>
      <c r="RAQ18" s="28" t="str">
        <f>IFERROR(IF(RAZ3="No",IF(VLOOKUP(DATE($K$1,$K$2,RAQ$4),Table1[],(MATCH(Calendar!$A18,DB!$1:$1,0)),FALSE)&gt;=5,"Good","Bad"),VLOOKUP(DATE($K$1,$K$2,RAQ$4),Table1[],(MATCH(Calendar!$A18,DB!$1:$1,0)),FALSE)),"")</f>
        <v/>
      </c>
      <c r="RAR18" s="28" t="str">
        <f>IFERROR(IF(RBA3="No",IF(VLOOKUP(DATE($K$1,$K$2,RAR$4),Table1[],(MATCH(Calendar!$A18,DB!$1:$1,0)),FALSE)&gt;=5,"Good","Bad"),VLOOKUP(DATE($K$1,$K$2,RAR$4),Table1[],(MATCH(Calendar!$A18,DB!$1:$1,0)),FALSE)),"")</f>
        <v/>
      </c>
      <c r="RAS18" s="28" t="str">
        <f>IFERROR(IF(RBB3="No",IF(VLOOKUP(DATE($K$1,$K$2,RAS$4),Table1[],(MATCH(Calendar!$A18,DB!$1:$1,0)),FALSE)&gt;=5,"Good","Bad"),VLOOKUP(DATE($K$1,$K$2,RAS$4),Table1[],(MATCH(Calendar!$A18,DB!$1:$1,0)),FALSE)),"")</f>
        <v/>
      </c>
      <c r="RAT18" s="28" t="str">
        <f>IFERROR(IF(RBC3="No",IF(VLOOKUP(DATE($K$1,$K$2,RAT$4),Table1[],(MATCH(Calendar!$A18,DB!$1:$1,0)),FALSE)&gt;=5,"Good","Bad"),VLOOKUP(DATE($K$1,$K$2,RAT$4),Table1[],(MATCH(Calendar!$A18,DB!$1:$1,0)),FALSE)),"")</f>
        <v/>
      </c>
      <c r="RAU18" s="28" t="str">
        <f>IFERROR(IF(RBD3="No",IF(VLOOKUP(DATE($K$1,$K$2,RAU$4),Table1[],(MATCH(Calendar!$A18,DB!$1:$1,0)),FALSE)&gt;=5,"Good","Bad"),VLOOKUP(DATE($K$1,$K$2,RAU$4),Table1[],(MATCH(Calendar!$A18,DB!$1:$1,0)),FALSE)),"")</f>
        <v/>
      </c>
      <c r="RAV18" s="28" t="str">
        <f>IFERROR(IF(RBE3="No",IF(VLOOKUP(DATE($K$1,$K$2,RAV$4),Table1[],(MATCH(Calendar!$A18,DB!$1:$1,0)),FALSE)&gt;=5,"Good","Bad"),VLOOKUP(DATE($K$1,$K$2,RAV$4),Table1[],(MATCH(Calendar!$A18,DB!$1:$1,0)),FALSE)),"")</f>
        <v/>
      </c>
      <c r="RAW18" s="28" t="str">
        <f>IFERROR(IF(RBF3="No",IF(VLOOKUP(DATE($K$1,$K$2,RAW$4),Table1[],(MATCH(Calendar!$A18,DB!$1:$1,0)),FALSE)&gt;=5,"Good","Bad"),VLOOKUP(DATE($K$1,$K$2,RAW$4),Table1[],(MATCH(Calendar!$A18,DB!$1:$1,0)),FALSE)),"")</f>
        <v/>
      </c>
      <c r="RAX18" s="28" t="str">
        <f>IFERROR(IF(RBG3="No",IF(VLOOKUP(DATE($K$1,$K$2,RAX$4),Table1[],(MATCH(Calendar!$A18,DB!$1:$1,0)),FALSE)&gt;=5,"Good","Bad"),VLOOKUP(DATE($K$1,$K$2,RAX$4),Table1[],(MATCH(Calendar!$A18,DB!$1:$1,0)),FALSE)),"")</f>
        <v/>
      </c>
      <c r="RAY18" s="28" t="str">
        <f>IFERROR(IF(RBH3="No",IF(VLOOKUP(DATE($K$1,$K$2,RAY$4),Table1[],(MATCH(Calendar!$A18,DB!$1:$1,0)),FALSE)&gt;=5,"Good","Bad"),VLOOKUP(DATE($K$1,$K$2,RAY$4),Table1[],(MATCH(Calendar!$A18,DB!$1:$1,0)),FALSE)),"")</f>
        <v/>
      </c>
      <c r="RAZ18" s="28" t="str">
        <f>IFERROR(IF(RBI3="No",IF(VLOOKUP(DATE($K$1,$K$2,RAZ$4),Table1[],(MATCH(Calendar!$A18,DB!$1:$1,0)),FALSE)&gt;=5,"Good","Bad"),VLOOKUP(DATE($K$1,$K$2,RAZ$4),Table1[],(MATCH(Calendar!$A18,DB!$1:$1,0)),FALSE)),"")</f>
        <v/>
      </c>
      <c r="RBA18" s="28" t="str">
        <f>IFERROR(IF(RBJ3="No",IF(VLOOKUP(DATE($K$1,$K$2,RBA$4),Table1[],(MATCH(Calendar!$A18,DB!$1:$1,0)),FALSE)&gt;=5,"Good","Bad"),VLOOKUP(DATE($K$1,$K$2,RBA$4),Table1[],(MATCH(Calendar!$A18,DB!$1:$1,0)),FALSE)),"")</f>
        <v/>
      </c>
      <c r="RBB18" s="28" t="str">
        <f>IFERROR(IF(RBK3="No",IF(VLOOKUP(DATE($K$1,$K$2,RBB$4),Table1[],(MATCH(Calendar!$A18,DB!$1:$1,0)),FALSE)&gt;=5,"Good","Bad"),VLOOKUP(DATE($K$1,$K$2,RBB$4),Table1[],(MATCH(Calendar!$A18,DB!$1:$1,0)),FALSE)),"")</f>
        <v/>
      </c>
      <c r="RBC18" s="28" t="str">
        <f>IFERROR(IF(RBL3="No",IF(VLOOKUP(DATE($K$1,$K$2,RBC$4),Table1[],(MATCH(Calendar!$A18,DB!$1:$1,0)),FALSE)&gt;=5,"Good","Bad"),VLOOKUP(DATE($K$1,$K$2,RBC$4),Table1[],(MATCH(Calendar!$A18,DB!$1:$1,0)),FALSE)),"")</f>
        <v/>
      </c>
      <c r="RBD18" s="28" t="str">
        <f>IFERROR(IF(RBM3="No",IF(VLOOKUP(DATE($K$1,$K$2,RBD$4),Table1[],(MATCH(Calendar!$A18,DB!$1:$1,0)),FALSE)&gt;=5,"Good","Bad"),VLOOKUP(DATE($K$1,$K$2,RBD$4),Table1[],(MATCH(Calendar!$A18,DB!$1:$1,0)),FALSE)),"")</f>
        <v/>
      </c>
      <c r="RBE18" s="28" t="str">
        <f>IFERROR(IF(RBN3="No",IF(VLOOKUP(DATE($K$1,$K$2,RBE$4),Table1[],(MATCH(Calendar!$A18,DB!$1:$1,0)),FALSE)&gt;=5,"Good","Bad"),VLOOKUP(DATE($K$1,$K$2,RBE$4),Table1[],(MATCH(Calendar!$A18,DB!$1:$1,0)),FALSE)),"")</f>
        <v/>
      </c>
      <c r="RBF18" s="28" t="str">
        <f>IFERROR(IF(RBO3="No",IF(VLOOKUP(DATE($K$1,$K$2,RBF$4),Table1[],(MATCH(Calendar!$A18,DB!$1:$1,0)),FALSE)&gt;=5,"Good","Bad"),VLOOKUP(DATE($K$1,$K$2,RBF$4),Table1[],(MATCH(Calendar!$A18,DB!$1:$1,0)),FALSE)),"")</f>
        <v/>
      </c>
      <c r="RBG18" s="28" t="str">
        <f>IFERROR(IF(RBP3="No",IF(VLOOKUP(DATE($K$1,$K$2,RBG$4),Table1[],(MATCH(Calendar!$A18,DB!$1:$1,0)),FALSE)&gt;=5,"Good","Bad"),VLOOKUP(DATE($K$1,$K$2,RBG$4),Table1[],(MATCH(Calendar!$A18,DB!$1:$1,0)),FALSE)),"")</f>
        <v/>
      </c>
      <c r="RBH18" s="28" t="str">
        <f>IFERROR(IF(RBQ3="No",IF(VLOOKUP(DATE($K$1,$K$2,RBH$4),Table1[],(MATCH(Calendar!$A18,DB!$1:$1,0)),FALSE)&gt;=5,"Good","Bad"),VLOOKUP(DATE($K$1,$K$2,RBH$4),Table1[],(MATCH(Calendar!$A18,DB!$1:$1,0)),FALSE)),"")</f>
        <v/>
      </c>
      <c r="RBI18" s="28" t="str">
        <f>IFERROR(IF(RBR3="No",IF(VLOOKUP(DATE($K$1,$K$2,RBI$4),Table1[],(MATCH(Calendar!$A18,DB!$1:$1,0)),FALSE)&gt;=5,"Good","Bad"),VLOOKUP(DATE($K$1,$K$2,RBI$4),Table1[],(MATCH(Calendar!$A18,DB!$1:$1,0)),FALSE)),"")</f>
        <v/>
      </c>
      <c r="RBJ18" s="28" t="str">
        <f>IFERROR(IF(RBS3="No",IF(VLOOKUP(DATE($K$1,$K$2,RBJ$4),Table1[],(MATCH(Calendar!$A18,DB!$1:$1,0)),FALSE)&gt;=5,"Good","Bad"),VLOOKUP(DATE($K$1,$K$2,RBJ$4),Table1[],(MATCH(Calendar!$A18,DB!$1:$1,0)),FALSE)),"")</f>
        <v/>
      </c>
      <c r="RBK18" s="28" t="str">
        <f>IFERROR(IF(RBT3="No",IF(VLOOKUP(DATE($K$1,$K$2,RBK$4),Table1[],(MATCH(Calendar!$A18,DB!$1:$1,0)),FALSE)&gt;=5,"Good","Bad"),VLOOKUP(DATE($K$1,$K$2,RBK$4),Table1[],(MATCH(Calendar!$A18,DB!$1:$1,0)),FALSE)),"")</f>
        <v/>
      </c>
      <c r="RBL18" s="28" t="str">
        <f>IFERROR(IF(RBU3="No",IF(VLOOKUP(DATE($K$1,$K$2,RBL$4),Table1[],(MATCH(Calendar!$A18,DB!$1:$1,0)),FALSE)&gt;=5,"Good","Bad"),VLOOKUP(DATE($K$1,$K$2,RBL$4),Table1[],(MATCH(Calendar!$A18,DB!$1:$1,0)),FALSE)),"")</f>
        <v/>
      </c>
      <c r="RBM18" s="28" t="str">
        <f>IFERROR(IF(RBV3="No",IF(VLOOKUP(DATE($K$1,$K$2,RBM$4),Table1[],(MATCH(Calendar!$A18,DB!$1:$1,0)),FALSE)&gt;=5,"Good","Bad"),VLOOKUP(DATE($K$1,$K$2,RBM$4),Table1[],(MATCH(Calendar!$A18,DB!$1:$1,0)),FALSE)),"")</f>
        <v/>
      </c>
      <c r="RBN18" s="28" t="str">
        <f>IFERROR(IF(RBW3="No",IF(VLOOKUP(DATE($K$1,$K$2,RBN$4),Table1[],(MATCH(Calendar!$A18,DB!$1:$1,0)),FALSE)&gt;=5,"Good","Bad"),VLOOKUP(DATE($K$1,$K$2,RBN$4),Table1[],(MATCH(Calendar!$A18,DB!$1:$1,0)),FALSE)),"")</f>
        <v/>
      </c>
      <c r="RBO18" s="28" t="str">
        <f>IFERROR(IF(RBX3="No",IF(VLOOKUP(DATE($K$1,$K$2,RBO$4),Table1[],(MATCH(Calendar!$A18,DB!$1:$1,0)),FALSE)&gt;=5,"Good","Bad"),VLOOKUP(DATE($K$1,$K$2,RBO$4),Table1[],(MATCH(Calendar!$A18,DB!$1:$1,0)),FALSE)),"")</f>
        <v/>
      </c>
      <c r="RBP18" s="28" t="str">
        <f>IFERROR(IF(RBY3="No",IF(VLOOKUP(DATE($K$1,$K$2,RBP$4),Table1[],(MATCH(Calendar!$A18,DB!$1:$1,0)),FALSE)&gt;=5,"Good","Bad"),VLOOKUP(DATE($K$1,$K$2,RBP$4),Table1[],(MATCH(Calendar!$A18,DB!$1:$1,0)),FALSE)),"")</f>
        <v/>
      </c>
      <c r="RBQ18" s="28" t="str">
        <f>IFERROR(IF(RBZ3="No",IF(VLOOKUP(DATE($K$1,$K$2,RBQ$4),Table1[],(MATCH(Calendar!$A18,DB!$1:$1,0)),FALSE)&gt;=5,"Good","Bad"),VLOOKUP(DATE($K$1,$K$2,RBQ$4),Table1[],(MATCH(Calendar!$A18,DB!$1:$1,0)),FALSE)),"")</f>
        <v/>
      </c>
      <c r="RBR18" s="28" t="str">
        <f>IFERROR(IF(RCA3="No",IF(VLOOKUP(DATE($K$1,$K$2,RBR$4),Table1[],(MATCH(Calendar!$A18,DB!$1:$1,0)),FALSE)&gt;=5,"Good","Bad"),VLOOKUP(DATE($K$1,$K$2,RBR$4),Table1[],(MATCH(Calendar!$A18,DB!$1:$1,0)),FALSE)),"")</f>
        <v/>
      </c>
      <c r="RBS18" s="28" t="str">
        <f>IFERROR(IF(RCB3="No",IF(VLOOKUP(DATE($K$1,$K$2,RBS$4),Table1[],(MATCH(Calendar!$A18,DB!$1:$1,0)),FALSE)&gt;=5,"Good","Bad"),VLOOKUP(DATE($K$1,$K$2,RBS$4),Table1[],(MATCH(Calendar!$A18,DB!$1:$1,0)),FALSE)),"")</f>
        <v/>
      </c>
      <c r="RBT18" s="28" t="str">
        <f>IFERROR(IF(RCC3="No",IF(VLOOKUP(DATE($K$1,$K$2,RBT$4),Table1[],(MATCH(Calendar!$A18,DB!$1:$1,0)),FALSE)&gt;=5,"Good","Bad"),VLOOKUP(DATE($K$1,$K$2,RBT$4),Table1[],(MATCH(Calendar!$A18,DB!$1:$1,0)),FALSE)),"")</f>
        <v/>
      </c>
      <c r="RBU18" s="28" t="str">
        <f>IFERROR(IF(RCD3="No",IF(VLOOKUP(DATE($K$1,$K$2,RBU$4),Table1[],(MATCH(Calendar!$A18,DB!$1:$1,0)),FALSE)&gt;=5,"Good","Bad"),VLOOKUP(DATE($K$1,$K$2,RBU$4),Table1[],(MATCH(Calendar!$A18,DB!$1:$1,0)),FALSE)),"")</f>
        <v/>
      </c>
      <c r="RBV18" s="28" t="str">
        <f>IFERROR(IF(RCE3="No",IF(VLOOKUP(DATE($K$1,$K$2,RBV$4),Table1[],(MATCH(Calendar!$A18,DB!$1:$1,0)),FALSE)&gt;=5,"Good","Bad"),VLOOKUP(DATE($K$1,$K$2,RBV$4),Table1[],(MATCH(Calendar!$A18,DB!$1:$1,0)),FALSE)),"")</f>
        <v/>
      </c>
      <c r="RBW18" s="28" t="str">
        <f>IFERROR(IF(RCF3="No",IF(VLOOKUP(DATE($K$1,$K$2,RBW$4),Table1[],(MATCH(Calendar!$A18,DB!$1:$1,0)),FALSE)&gt;=5,"Good","Bad"),VLOOKUP(DATE($K$1,$K$2,RBW$4),Table1[],(MATCH(Calendar!$A18,DB!$1:$1,0)),FALSE)),"")</f>
        <v/>
      </c>
      <c r="RBX18" s="28" t="str">
        <f>IFERROR(IF(RCG3="No",IF(VLOOKUP(DATE($K$1,$K$2,RBX$4),Table1[],(MATCH(Calendar!$A18,DB!$1:$1,0)),FALSE)&gt;=5,"Good","Bad"),VLOOKUP(DATE($K$1,$K$2,RBX$4),Table1[],(MATCH(Calendar!$A18,DB!$1:$1,0)),FALSE)),"")</f>
        <v/>
      </c>
      <c r="RBY18" s="28" t="str">
        <f>IFERROR(IF(RCH3="No",IF(VLOOKUP(DATE($K$1,$K$2,RBY$4),Table1[],(MATCH(Calendar!$A18,DB!$1:$1,0)),FALSE)&gt;=5,"Good","Bad"),VLOOKUP(DATE($K$1,$K$2,RBY$4),Table1[],(MATCH(Calendar!$A18,DB!$1:$1,0)),FALSE)),"")</f>
        <v/>
      </c>
      <c r="RBZ18" s="28" t="str">
        <f>IFERROR(IF(RCI3="No",IF(VLOOKUP(DATE($K$1,$K$2,RBZ$4),Table1[],(MATCH(Calendar!$A18,DB!$1:$1,0)),FALSE)&gt;=5,"Good","Bad"),VLOOKUP(DATE($K$1,$K$2,RBZ$4),Table1[],(MATCH(Calendar!$A18,DB!$1:$1,0)),FALSE)),"")</f>
        <v/>
      </c>
      <c r="RCA18" s="28" t="str">
        <f>IFERROR(IF(RCJ3="No",IF(VLOOKUP(DATE($K$1,$K$2,RCA$4),Table1[],(MATCH(Calendar!$A18,DB!$1:$1,0)),FALSE)&gt;=5,"Good","Bad"),VLOOKUP(DATE($K$1,$K$2,RCA$4),Table1[],(MATCH(Calendar!$A18,DB!$1:$1,0)),FALSE)),"")</f>
        <v/>
      </c>
      <c r="RCB18" s="28" t="str">
        <f>IFERROR(IF(RCK3="No",IF(VLOOKUP(DATE($K$1,$K$2,RCB$4),Table1[],(MATCH(Calendar!$A18,DB!$1:$1,0)),FALSE)&gt;=5,"Good","Bad"),VLOOKUP(DATE($K$1,$K$2,RCB$4),Table1[],(MATCH(Calendar!$A18,DB!$1:$1,0)),FALSE)),"")</f>
        <v/>
      </c>
      <c r="RCC18" s="28" t="str">
        <f>IFERROR(IF(RCL3="No",IF(VLOOKUP(DATE($K$1,$K$2,RCC$4),Table1[],(MATCH(Calendar!$A18,DB!$1:$1,0)),FALSE)&gt;=5,"Good","Bad"),VLOOKUP(DATE($K$1,$K$2,RCC$4),Table1[],(MATCH(Calendar!$A18,DB!$1:$1,0)),FALSE)),"")</f>
        <v/>
      </c>
      <c r="RCD18" s="28" t="str">
        <f>IFERROR(IF(RCM3="No",IF(VLOOKUP(DATE($K$1,$K$2,RCD$4),Table1[],(MATCH(Calendar!$A18,DB!$1:$1,0)),FALSE)&gt;=5,"Good","Bad"),VLOOKUP(DATE($K$1,$K$2,RCD$4),Table1[],(MATCH(Calendar!$A18,DB!$1:$1,0)),FALSE)),"")</f>
        <v/>
      </c>
      <c r="RCE18" s="28" t="str">
        <f>IFERROR(IF(RCN3="No",IF(VLOOKUP(DATE($K$1,$K$2,RCE$4),Table1[],(MATCH(Calendar!$A18,DB!$1:$1,0)),FALSE)&gt;=5,"Good","Bad"),VLOOKUP(DATE($K$1,$K$2,RCE$4),Table1[],(MATCH(Calendar!$A18,DB!$1:$1,0)),FALSE)),"")</f>
        <v/>
      </c>
      <c r="RCF18" s="28" t="str">
        <f>IFERROR(IF(RCO3="No",IF(VLOOKUP(DATE($K$1,$K$2,RCF$4),Table1[],(MATCH(Calendar!$A18,DB!$1:$1,0)),FALSE)&gt;=5,"Good","Bad"),VLOOKUP(DATE($K$1,$K$2,RCF$4),Table1[],(MATCH(Calendar!$A18,DB!$1:$1,0)),FALSE)),"")</f>
        <v/>
      </c>
      <c r="RCG18" s="28" t="str">
        <f>IFERROR(IF(RCP3="No",IF(VLOOKUP(DATE($K$1,$K$2,RCG$4),Table1[],(MATCH(Calendar!$A18,DB!$1:$1,0)),FALSE)&gt;=5,"Good","Bad"),VLOOKUP(DATE($K$1,$K$2,RCG$4),Table1[],(MATCH(Calendar!$A18,DB!$1:$1,0)),FALSE)),"")</f>
        <v/>
      </c>
      <c r="RCH18" s="28" t="str">
        <f>IFERROR(IF(RCQ3="No",IF(VLOOKUP(DATE($K$1,$K$2,RCH$4),Table1[],(MATCH(Calendar!$A18,DB!$1:$1,0)),FALSE)&gt;=5,"Good","Bad"),VLOOKUP(DATE($K$1,$K$2,RCH$4),Table1[],(MATCH(Calendar!$A18,DB!$1:$1,0)),FALSE)),"")</f>
        <v/>
      </c>
      <c r="RCI18" s="28" t="str">
        <f>IFERROR(IF(RCR3="No",IF(VLOOKUP(DATE($K$1,$K$2,RCI$4),Table1[],(MATCH(Calendar!$A18,DB!$1:$1,0)),FALSE)&gt;=5,"Good","Bad"),VLOOKUP(DATE($K$1,$K$2,RCI$4),Table1[],(MATCH(Calendar!$A18,DB!$1:$1,0)),FALSE)),"")</f>
        <v/>
      </c>
      <c r="RCJ18" s="28" t="str">
        <f>IFERROR(IF(RCS3="No",IF(VLOOKUP(DATE($K$1,$K$2,RCJ$4),Table1[],(MATCH(Calendar!$A18,DB!$1:$1,0)),FALSE)&gt;=5,"Good","Bad"),VLOOKUP(DATE($K$1,$K$2,RCJ$4),Table1[],(MATCH(Calendar!$A18,DB!$1:$1,0)),FALSE)),"")</f>
        <v/>
      </c>
      <c r="RCK18" s="28" t="str">
        <f>IFERROR(IF(RCT3="No",IF(VLOOKUP(DATE($K$1,$K$2,RCK$4),Table1[],(MATCH(Calendar!$A18,DB!$1:$1,0)),FALSE)&gt;=5,"Good","Bad"),VLOOKUP(DATE($K$1,$K$2,RCK$4),Table1[],(MATCH(Calendar!$A18,DB!$1:$1,0)),FALSE)),"")</f>
        <v/>
      </c>
      <c r="RCL18" s="28" t="str">
        <f>IFERROR(IF(RCU3="No",IF(VLOOKUP(DATE($K$1,$K$2,RCL$4),Table1[],(MATCH(Calendar!$A18,DB!$1:$1,0)),FALSE)&gt;=5,"Good","Bad"),VLOOKUP(DATE($K$1,$K$2,RCL$4),Table1[],(MATCH(Calendar!$A18,DB!$1:$1,0)),FALSE)),"")</f>
        <v/>
      </c>
      <c r="RCM18" s="28" t="str">
        <f>IFERROR(IF(RCV3="No",IF(VLOOKUP(DATE($K$1,$K$2,RCM$4),Table1[],(MATCH(Calendar!$A18,DB!$1:$1,0)),FALSE)&gt;=5,"Good","Bad"),VLOOKUP(DATE($K$1,$K$2,RCM$4),Table1[],(MATCH(Calendar!$A18,DB!$1:$1,0)),FALSE)),"")</f>
        <v/>
      </c>
      <c r="RCN18" s="28" t="str">
        <f>IFERROR(IF(RCW3="No",IF(VLOOKUP(DATE($K$1,$K$2,RCN$4),Table1[],(MATCH(Calendar!$A18,DB!$1:$1,0)),FALSE)&gt;=5,"Good","Bad"),VLOOKUP(DATE($K$1,$K$2,RCN$4),Table1[],(MATCH(Calendar!$A18,DB!$1:$1,0)),FALSE)),"")</f>
        <v/>
      </c>
      <c r="RCO18" s="28" t="str">
        <f>IFERROR(IF(RCX3="No",IF(VLOOKUP(DATE($K$1,$K$2,RCO$4),Table1[],(MATCH(Calendar!$A18,DB!$1:$1,0)),FALSE)&gt;=5,"Good","Bad"),VLOOKUP(DATE($K$1,$K$2,RCO$4),Table1[],(MATCH(Calendar!$A18,DB!$1:$1,0)),FALSE)),"")</f>
        <v/>
      </c>
      <c r="RCP18" s="28" t="str">
        <f>IFERROR(IF(RCY3="No",IF(VLOOKUP(DATE($K$1,$K$2,RCP$4),Table1[],(MATCH(Calendar!$A18,DB!$1:$1,0)),FALSE)&gt;=5,"Good","Bad"),VLOOKUP(DATE($K$1,$K$2,RCP$4),Table1[],(MATCH(Calendar!$A18,DB!$1:$1,0)),FALSE)),"")</f>
        <v/>
      </c>
      <c r="RCQ18" s="28" t="str">
        <f>IFERROR(IF(RCZ3="No",IF(VLOOKUP(DATE($K$1,$K$2,RCQ$4),Table1[],(MATCH(Calendar!$A18,DB!$1:$1,0)),FALSE)&gt;=5,"Good","Bad"),VLOOKUP(DATE($K$1,$K$2,RCQ$4),Table1[],(MATCH(Calendar!$A18,DB!$1:$1,0)),FALSE)),"")</f>
        <v/>
      </c>
      <c r="RCR18" s="28" t="str">
        <f>IFERROR(IF(RDA3="No",IF(VLOOKUP(DATE($K$1,$K$2,RCR$4),Table1[],(MATCH(Calendar!$A18,DB!$1:$1,0)),FALSE)&gt;=5,"Good","Bad"),VLOOKUP(DATE($K$1,$K$2,RCR$4),Table1[],(MATCH(Calendar!$A18,DB!$1:$1,0)),FALSE)),"")</f>
        <v/>
      </c>
      <c r="RCS18" s="28" t="str">
        <f>IFERROR(IF(RDB3="No",IF(VLOOKUP(DATE($K$1,$K$2,RCS$4),Table1[],(MATCH(Calendar!$A18,DB!$1:$1,0)),FALSE)&gt;=5,"Good","Bad"),VLOOKUP(DATE($K$1,$K$2,RCS$4),Table1[],(MATCH(Calendar!$A18,DB!$1:$1,0)),FALSE)),"")</f>
        <v/>
      </c>
      <c r="RCT18" s="28" t="str">
        <f>IFERROR(IF(RDC3="No",IF(VLOOKUP(DATE($K$1,$K$2,RCT$4),Table1[],(MATCH(Calendar!$A18,DB!$1:$1,0)),FALSE)&gt;=5,"Good","Bad"),VLOOKUP(DATE($K$1,$K$2,RCT$4),Table1[],(MATCH(Calendar!$A18,DB!$1:$1,0)),FALSE)),"")</f>
        <v/>
      </c>
      <c r="RCU18" s="28" t="str">
        <f>IFERROR(IF(RDD3="No",IF(VLOOKUP(DATE($K$1,$K$2,RCU$4),Table1[],(MATCH(Calendar!$A18,DB!$1:$1,0)),FALSE)&gt;=5,"Good","Bad"),VLOOKUP(DATE($K$1,$K$2,RCU$4),Table1[],(MATCH(Calendar!$A18,DB!$1:$1,0)),FALSE)),"")</f>
        <v/>
      </c>
      <c r="RCV18" s="28" t="str">
        <f>IFERROR(IF(RDE3="No",IF(VLOOKUP(DATE($K$1,$K$2,RCV$4),Table1[],(MATCH(Calendar!$A18,DB!$1:$1,0)),FALSE)&gt;=5,"Good","Bad"),VLOOKUP(DATE($K$1,$K$2,RCV$4),Table1[],(MATCH(Calendar!$A18,DB!$1:$1,0)),FALSE)),"")</f>
        <v/>
      </c>
      <c r="RCW18" s="28" t="str">
        <f>IFERROR(IF(RDF3="No",IF(VLOOKUP(DATE($K$1,$K$2,RCW$4),Table1[],(MATCH(Calendar!$A18,DB!$1:$1,0)),FALSE)&gt;=5,"Good","Bad"),VLOOKUP(DATE($K$1,$K$2,RCW$4),Table1[],(MATCH(Calendar!$A18,DB!$1:$1,0)),FALSE)),"")</f>
        <v/>
      </c>
      <c r="RCX18" s="28" t="str">
        <f>IFERROR(IF(RDG3="No",IF(VLOOKUP(DATE($K$1,$K$2,RCX$4),Table1[],(MATCH(Calendar!$A18,DB!$1:$1,0)),FALSE)&gt;=5,"Good","Bad"),VLOOKUP(DATE($K$1,$K$2,RCX$4),Table1[],(MATCH(Calendar!$A18,DB!$1:$1,0)),FALSE)),"")</f>
        <v/>
      </c>
      <c r="RCY18" s="28" t="str">
        <f>IFERROR(IF(RDH3="No",IF(VLOOKUP(DATE($K$1,$K$2,RCY$4),Table1[],(MATCH(Calendar!$A18,DB!$1:$1,0)),FALSE)&gt;=5,"Good","Bad"),VLOOKUP(DATE($K$1,$K$2,RCY$4),Table1[],(MATCH(Calendar!$A18,DB!$1:$1,0)),FALSE)),"")</f>
        <v/>
      </c>
      <c r="RCZ18" s="28" t="str">
        <f>IFERROR(IF(RDI3="No",IF(VLOOKUP(DATE($K$1,$K$2,RCZ$4),Table1[],(MATCH(Calendar!$A18,DB!$1:$1,0)),FALSE)&gt;=5,"Good","Bad"),VLOOKUP(DATE($K$1,$K$2,RCZ$4),Table1[],(MATCH(Calendar!$A18,DB!$1:$1,0)),FALSE)),"")</f>
        <v/>
      </c>
      <c r="RDA18" s="28" t="str">
        <f>IFERROR(IF(RDJ3="No",IF(VLOOKUP(DATE($K$1,$K$2,RDA$4),Table1[],(MATCH(Calendar!$A18,DB!$1:$1,0)),FALSE)&gt;=5,"Good","Bad"),VLOOKUP(DATE($K$1,$K$2,RDA$4),Table1[],(MATCH(Calendar!$A18,DB!$1:$1,0)),FALSE)),"")</f>
        <v/>
      </c>
      <c r="RDB18" s="28" t="str">
        <f>IFERROR(IF(RDK3="No",IF(VLOOKUP(DATE($K$1,$K$2,RDB$4),Table1[],(MATCH(Calendar!$A18,DB!$1:$1,0)),FALSE)&gt;=5,"Good","Bad"),VLOOKUP(DATE($K$1,$K$2,RDB$4),Table1[],(MATCH(Calendar!$A18,DB!$1:$1,0)),FALSE)),"")</f>
        <v/>
      </c>
      <c r="RDC18" s="28" t="str">
        <f>IFERROR(IF(RDL3="No",IF(VLOOKUP(DATE($K$1,$K$2,RDC$4),Table1[],(MATCH(Calendar!$A18,DB!$1:$1,0)),FALSE)&gt;=5,"Good","Bad"),VLOOKUP(DATE($K$1,$K$2,RDC$4),Table1[],(MATCH(Calendar!$A18,DB!$1:$1,0)),FALSE)),"")</f>
        <v/>
      </c>
      <c r="RDD18" s="28" t="str">
        <f>IFERROR(IF(RDM3="No",IF(VLOOKUP(DATE($K$1,$K$2,RDD$4),Table1[],(MATCH(Calendar!$A18,DB!$1:$1,0)),FALSE)&gt;=5,"Good","Bad"),VLOOKUP(DATE($K$1,$K$2,RDD$4),Table1[],(MATCH(Calendar!$A18,DB!$1:$1,0)),FALSE)),"")</f>
        <v/>
      </c>
      <c r="RDE18" s="28" t="str">
        <f>IFERROR(IF(RDN3="No",IF(VLOOKUP(DATE($K$1,$K$2,RDE$4),Table1[],(MATCH(Calendar!$A18,DB!$1:$1,0)),FALSE)&gt;=5,"Good","Bad"),VLOOKUP(DATE($K$1,$K$2,RDE$4),Table1[],(MATCH(Calendar!$A18,DB!$1:$1,0)),FALSE)),"")</f>
        <v/>
      </c>
      <c r="RDF18" s="28" t="str">
        <f>IFERROR(IF(RDO3="No",IF(VLOOKUP(DATE($K$1,$K$2,RDF$4),Table1[],(MATCH(Calendar!$A18,DB!$1:$1,0)),FALSE)&gt;=5,"Good","Bad"),VLOOKUP(DATE($K$1,$K$2,RDF$4),Table1[],(MATCH(Calendar!$A18,DB!$1:$1,0)),FALSE)),"")</f>
        <v/>
      </c>
      <c r="RDG18" s="28" t="str">
        <f>IFERROR(IF(RDP3="No",IF(VLOOKUP(DATE($K$1,$K$2,RDG$4),Table1[],(MATCH(Calendar!$A18,DB!$1:$1,0)),FALSE)&gt;=5,"Good","Bad"),VLOOKUP(DATE($K$1,$K$2,RDG$4),Table1[],(MATCH(Calendar!$A18,DB!$1:$1,0)),FALSE)),"")</f>
        <v/>
      </c>
      <c r="RDH18" s="28" t="str">
        <f>IFERROR(IF(RDQ3="No",IF(VLOOKUP(DATE($K$1,$K$2,RDH$4),Table1[],(MATCH(Calendar!$A18,DB!$1:$1,0)),FALSE)&gt;=5,"Good","Bad"),VLOOKUP(DATE($K$1,$K$2,RDH$4),Table1[],(MATCH(Calendar!$A18,DB!$1:$1,0)),FALSE)),"")</f>
        <v/>
      </c>
      <c r="RDI18" s="28" t="str">
        <f>IFERROR(IF(RDR3="No",IF(VLOOKUP(DATE($K$1,$K$2,RDI$4),Table1[],(MATCH(Calendar!$A18,DB!$1:$1,0)),FALSE)&gt;=5,"Good","Bad"),VLOOKUP(DATE($K$1,$K$2,RDI$4),Table1[],(MATCH(Calendar!$A18,DB!$1:$1,0)),FALSE)),"")</f>
        <v/>
      </c>
      <c r="RDJ18" s="28" t="str">
        <f>IFERROR(IF(RDS3="No",IF(VLOOKUP(DATE($K$1,$K$2,RDJ$4),Table1[],(MATCH(Calendar!$A18,DB!$1:$1,0)),FALSE)&gt;=5,"Good","Bad"),VLOOKUP(DATE($K$1,$K$2,RDJ$4),Table1[],(MATCH(Calendar!$A18,DB!$1:$1,0)),FALSE)),"")</f>
        <v/>
      </c>
      <c r="RDK18" s="28" t="str">
        <f>IFERROR(IF(RDT3="No",IF(VLOOKUP(DATE($K$1,$K$2,RDK$4),Table1[],(MATCH(Calendar!$A18,DB!$1:$1,0)),FALSE)&gt;=5,"Good","Bad"),VLOOKUP(DATE($K$1,$K$2,RDK$4),Table1[],(MATCH(Calendar!$A18,DB!$1:$1,0)),FALSE)),"")</f>
        <v/>
      </c>
      <c r="RDL18" s="28" t="str">
        <f>IFERROR(IF(RDU3="No",IF(VLOOKUP(DATE($K$1,$K$2,RDL$4),Table1[],(MATCH(Calendar!$A18,DB!$1:$1,0)),FALSE)&gt;=5,"Good","Bad"),VLOOKUP(DATE($K$1,$K$2,RDL$4),Table1[],(MATCH(Calendar!$A18,DB!$1:$1,0)),FALSE)),"")</f>
        <v/>
      </c>
      <c r="RDM18" s="28" t="str">
        <f>IFERROR(IF(RDV3="No",IF(VLOOKUP(DATE($K$1,$K$2,RDM$4),Table1[],(MATCH(Calendar!$A18,DB!$1:$1,0)),FALSE)&gt;=5,"Good","Bad"),VLOOKUP(DATE($K$1,$K$2,RDM$4),Table1[],(MATCH(Calendar!$A18,DB!$1:$1,0)),FALSE)),"")</f>
        <v/>
      </c>
      <c r="RDN18" s="28" t="str">
        <f>IFERROR(IF(RDW3="No",IF(VLOOKUP(DATE($K$1,$K$2,RDN$4),Table1[],(MATCH(Calendar!$A18,DB!$1:$1,0)),FALSE)&gt;=5,"Good","Bad"),VLOOKUP(DATE($K$1,$K$2,RDN$4),Table1[],(MATCH(Calendar!$A18,DB!$1:$1,0)),FALSE)),"")</f>
        <v/>
      </c>
      <c r="RDO18" s="28" t="str">
        <f>IFERROR(IF(RDX3="No",IF(VLOOKUP(DATE($K$1,$K$2,RDO$4),Table1[],(MATCH(Calendar!$A18,DB!$1:$1,0)),FALSE)&gt;=5,"Good","Bad"),VLOOKUP(DATE($K$1,$K$2,RDO$4),Table1[],(MATCH(Calendar!$A18,DB!$1:$1,0)),FALSE)),"")</f>
        <v/>
      </c>
      <c r="RDP18" s="28" t="str">
        <f>IFERROR(IF(RDY3="No",IF(VLOOKUP(DATE($K$1,$K$2,RDP$4),Table1[],(MATCH(Calendar!$A18,DB!$1:$1,0)),FALSE)&gt;=5,"Good","Bad"),VLOOKUP(DATE($K$1,$K$2,RDP$4),Table1[],(MATCH(Calendar!$A18,DB!$1:$1,0)),FALSE)),"")</f>
        <v/>
      </c>
      <c r="RDQ18" s="28" t="str">
        <f>IFERROR(IF(RDZ3="No",IF(VLOOKUP(DATE($K$1,$K$2,RDQ$4),Table1[],(MATCH(Calendar!$A18,DB!$1:$1,0)),FALSE)&gt;=5,"Good","Bad"),VLOOKUP(DATE($K$1,$K$2,RDQ$4),Table1[],(MATCH(Calendar!$A18,DB!$1:$1,0)),FALSE)),"")</f>
        <v/>
      </c>
      <c r="RDR18" s="28" t="str">
        <f>IFERROR(IF(REA3="No",IF(VLOOKUP(DATE($K$1,$K$2,RDR$4),Table1[],(MATCH(Calendar!$A18,DB!$1:$1,0)),FALSE)&gt;=5,"Good","Bad"),VLOOKUP(DATE($K$1,$K$2,RDR$4),Table1[],(MATCH(Calendar!$A18,DB!$1:$1,0)),FALSE)),"")</f>
        <v/>
      </c>
      <c r="RDS18" s="28" t="str">
        <f>IFERROR(IF(REB3="No",IF(VLOOKUP(DATE($K$1,$K$2,RDS$4),Table1[],(MATCH(Calendar!$A18,DB!$1:$1,0)),FALSE)&gt;=5,"Good","Bad"),VLOOKUP(DATE($K$1,$K$2,RDS$4),Table1[],(MATCH(Calendar!$A18,DB!$1:$1,0)),FALSE)),"")</f>
        <v/>
      </c>
      <c r="RDT18" s="28" t="str">
        <f>IFERROR(IF(REC3="No",IF(VLOOKUP(DATE($K$1,$K$2,RDT$4),Table1[],(MATCH(Calendar!$A18,DB!$1:$1,0)),FALSE)&gt;=5,"Good","Bad"),VLOOKUP(DATE($K$1,$K$2,RDT$4),Table1[],(MATCH(Calendar!$A18,DB!$1:$1,0)),FALSE)),"")</f>
        <v/>
      </c>
      <c r="RDU18" s="28" t="str">
        <f>IFERROR(IF(RED3="No",IF(VLOOKUP(DATE($K$1,$K$2,RDU$4),Table1[],(MATCH(Calendar!$A18,DB!$1:$1,0)),FALSE)&gt;=5,"Good","Bad"),VLOOKUP(DATE($K$1,$K$2,RDU$4),Table1[],(MATCH(Calendar!$A18,DB!$1:$1,0)),FALSE)),"")</f>
        <v/>
      </c>
      <c r="RDV18" s="28" t="str">
        <f>IFERROR(IF(REE3="No",IF(VLOOKUP(DATE($K$1,$K$2,RDV$4),Table1[],(MATCH(Calendar!$A18,DB!$1:$1,0)),FALSE)&gt;=5,"Good","Bad"),VLOOKUP(DATE($K$1,$K$2,RDV$4),Table1[],(MATCH(Calendar!$A18,DB!$1:$1,0)),FALSE)),"")</f>
        <v/>
      </c>
      <c r="RDW18" s="28" t="str">
        <f>IFERROR(IF(REF3="No",IF(VLOOKUP(DATE($K$1,$K$2,RDW$4),Table1[],(MATCH(Calendar!$A18,DB!$1:$1,0)),FALSE)&gt;=5,"Good","Bad"),VLOOKUP(DATE($K$1,$K$2,RDW$4),Table1[],(MATCH(Calendar!$A18,DB!$1:$1,0)),FALSE)),"")</f>
        <v/>
      </c>
      <c r="RDX18" s="28" t="str">
        <f>IFERROR(IF(REG3="No",IF(VLOOKUP(DATE($K$1,$K$2,RDX$4),Table1[],(MATCH(Calendar!$A18,DB!$1:$1,0)),FALSE)&gt;=5,"Good","Bad"),VLOOKUP(DATE($K$1,$K$2,RDX$4),Table1[],(MATCH(Calendar!$A18,DB!$1:$1,0)),FALSE)),"")</f>
        <v/>
      </c>
      <c r="RDY18" s="28" t="str">
        <f>IFERROR(IF(REH3="No",IF(VLOOKUP(DATE($K$1,$K$2,RDY$4),Table1[],(MATCH(Calendar!$A18,DB!$1:$1,0)),FALSE)&gt;=5,"Good","Bad"),VLOOKUP(DATE($K$1,$K$2,RDY$4),Table1[],(MATCH(Calendar!$A18,DB!$1:$1,0)),FALSE)),"")</f>
        <v/>
      </c>
      <c r="RDZ18" s="28" t="str">
        <f>IFERROR(IF(REI3="No",IF(VLOOKUP(DATE($K$1,$K$2,RDZ$4),Table1[],(MATCH(Calendar!$A18,DB!$1:$1,0)),FALSE)&gt;=5,"Good","Bad"),VLOOKUP(DATE($K$1,$K$2,RDZ$4),Table1[],(MATCH(Calendar!$A18,DB!$1:$1,0)),FALSE)),"")</f>
        <v/>
      </c>
      <c r="REA18" s="28" t="str">
        <f>IFERROR(IF(REJ3="No",IF(VLOOKUP(DATE($K$1,$K$2,REA$4),Table1[],(MATCH(Calendar!$A18,DB!$1:$1,0)),FALSE)&gt;=5,"Good","Bad"),VLOOKUP(DATE($K$1,$K$2,REA$4),Table1[],(MATCH(Calendar!$A18,DB!$1:$1,0)),FALSE)),"")</f>
        <v/>
      </c>
      <c r="REB18" s="28" t="str">
        <f>IFERROR(IF(REK3="No",IF(VLOOKUP(DATE($K$1,$K$2,REB$4),Table1[],(MATCH(Calendar!$A18,DB!$1:$1,0)),FALSE)&gt;=5,"Good","Bad"),VLOOKUP(DATE($K$1,$K$2,REB$4),Table1[],(MATCH(Calendar!$A18,DB!$1:$1,0)),FALSE)),"")</f>
        <v/>
      </c>
      <c r="REC18" s="28" t="str">
        <f>IFERROR(IF(REL3="No",IF(VLOOKUP(DATE($K$1,$K$2,REC$4),Table1[],(MATCH(Calendar!$A18,DB!$1:$1,0)),FALSE)&gt;=5,"Good","Bad"),VLOOKUP(DATE($K$1,$K$2,REC$4),Table1[],(MATCH(Calendar!$A18,DB!$1:$1,0)),FALSE)),"")</f>
        <v/>
      </c>
      <c r="RED18" s="28" t="str">
        <f>IFERROR(IF(REM3="No",IF(VLOOKUP(DATE($K$1,$K$2,RED$4),Table1[],(MATCH(Calendar!$A18,DB!$1:$1,0)),FALSE)&gt;=5,"Good","Bad"),VLOOKUP(DATE($K$1,$K$2,RED$4),Table1[],(MATCH(Calendar!$A18,DB!$1:$1,0)),FALSE)),"")</f>
        <v/>
      </c>
      <c r="REE18" s="28" t="str">
        <f>IFERROR(IF(REN3="No",IF(VLOOKUP(DATE($K$1,$K$2,REE$4),Table1[],(MATCH(Calendar!$A18,DB!$1:$1,0)),FALSE)&gt;=5,"Good","Bad"),VLOOKUP(DATE($K$1,$K$2,REE$4),Table1[],(MATCH(Calendar!$A18,DB!$1:$1,0)),FALSE)),"")</f>
        <v/>
      </c>
      <c r="REF18" s="28" t="str">
        <f>IFERROR(IF(REO3="No",IF(VLOOKUP(DATE($K$1,$K$2,REF$4),Table1[],(MATCH(Calendar!$A18,DB!$1:$1,0)),FALSE)&gt;=5,"Good","Bad"),VLOOKUP(DATE($K$1,$K$2,REF$4),Table1[],(MATCH(Calendar!$A18,DB!$1:$1,0)),FALSE)),"")</f>
        <v/>
      </c>
      <c r="REG18" s="28" t="str">
        <f>IFERROR(IF(REP3="No",IF(VLOOKUP(DATE($K$1,$K$2,REG$4),Table1[],(MATCH(Calendar!$A18,DB!$1:$1,0)),FALSE)&gt;=5,"Good","Bad"),VLOOKUP(DATE($K$1,$K$2,REG$4),Table1[],(MATCH(Calendar!$A18,DB!$1:$1,0)),FALSE)),"")</f>
        <v/>
      </c>
      <c r="REH18" s="28" t="str">
        <f>IFERROR(IF(REQ3="No",IF(VLOOKUP(DATE($K$1,$K$2,REH$4),Table1[],(MATCH(Calendar!$A18,DB!$1:$1,0)),FALSE)&gt;=5,"Good","Bad"),VLOOKUP(DATE($K$1,$K$2,REH$4),Table1[],(MATCH(Calendar!$A18,DB!$1:$1,0)),FALSE)),"")</f>
        <v/>
      </c>
      <c r="REI18" s="28" t="str">
        <f>IFERROR(IF(RER3="No",IF(VLOOKUP(DATE($K$1,$K$2,REI$4),Table1[],(MATCH(Calendar!$A18,DB!$1:$1,0)),FALSE)&gt;=5,"Good","Bad"),VLOOKUP(DATE($K$1,$K$2,REI$4),Table1[],(MATCH(Calendar!$A18,DB!$1:$1,0)),FALSE)),"")</f>
        <v/>
      </c>
      <c r="REJ18" s="28" t="str">
        <f>IFERROR(IF(RES3="No",IF(VLOOKUP(DATE($K$1,$K$2,REJ$4),Table1[],(MATCH(Calendar!$A18,DB!$1:$1,0)),FALSE)&gt;=5,"Good","Bad"),VLOOKUP(DATE($K$1,$K$2,REJ$4),Table1[],(MATCH(Calendar!$A18,DB!$1:$1,0)),FALSE)),"")</f>
        <v/>
      </c>
      <c r="REK18" s="28" t="str">
        <f>IFERROR(IF(RET3="No",IF(VLOOKUP(DATE($K$1,$K$2,REK$4),Table1[],(MATCH(Calendar!$A18,DB!$1:$1,0)),FALSE)&gt;=5,"Good","Bad"),VLOOKUP(DATE($K$1,$K$2,REK$4),Table1[],(MATCH(Calendar!$A18,DB!$1:$1,0)),FALSE)),"")</f>
        <v/>
      </c>
      <c r="REL18" s="28" t="str">
        <f>IFERROR(IF(REU3="No",IF(VLOOKUP(DATE($K$1,$K$2,REL$4),Table1[],(MATCH(Calendar!$A18,DB!$1:$1,0)),FALSE)&gt;=5,"Good","Bad"),VLOOKUP(DATE($K$1,$K$2,REL$4),Table1[],(MATCH(Calendar!$A18,DB!$1:$1,0)),FALSE)),"")</f>
        <v/>
      </c>
      <c r="REM18" s="28" t="str">
        <f>IFERROR(IF(REV3="No",IF(VLOOKUP(DATE($K$1,$K$2,REM$4),Table1[],(MATCH(Calendar!$A18,DB!$1:$1,0)),FALSE)&gt;=5,"Good","Bad"),VLOOKUP(DATE($K$1,$K$2,REM$4),Table1[],(MATCH(Calendar!$A18,DB!$1:$1,0)),FALSE)),"")</f>
        <v/>
      </c>
      <c r="REN18" s="28" t="str">
        <f>IFERROR(IF(REW3="No",IF(VLOOKUP(DATE($K$1,$K$2,REN$4),Table1[],(MATCH(Calendar!$A18,DB!$1:$1,0)),FALSE)&gt;=5,"Good","Bad"),VLOOKUP(DATE($K$1,$K$2,REN$4),Table1[],(MATCH(Calendar!$A18,DB!$1:$1,0)),FALSE)),"")</f>
        <v/>
      </c>
      <c r="REO18" s="28" t="str">
        <f>IFERROR(IF(REX3="No",IF(VLOOKUP(DATE($K$1,$K$2,REO$4),Table1[],(MATCH(Calendar!$A18,DB!$1:$1,0)),FALSE)&gt;=5,"Good","Bad"),VLOOKUP(DATE($K$1,$K$2,REO$4),Table1[],(MATCH(Calendar!$A18,DB!$1:$1,0)),FALSE)),"")</f>
        <v/>
      </c>
      <c r="REP18" s="28" t="str">
        <f>IFERROR(IF(REY3="No",IF(VLOOKUP(DATE($K$1,$K$2,REP$4),Table1[],(MATCH(Calendar!$A18,DB!$1:$1,0)),FALSE)&gt;=5,"Good","Bad"),VLOOKUP(DATE($K$1,$K$2,REP$4),Table1[],(MATCH(Calendar!$A18,DB!$1:$1,0)),FALSE)),"")</f>
        <v/>
      </c>
      <c r="REQ18" s="28" t="str">
        <f>IFERROR(IF(REZ3="No",IF(VLOOKUP(DATE($K$1,$K$2,REQ$4),Table1[],(MATCH(Calendar!$A18,DB!$1:$1,0)),FALSE)&gt;=5,"Good","Bad"),VLOOKUP(DATE($K$1,$K$2,REQ$4),Table1[],(MATCH(Calendar!$A18,DB!$1:$1,0)),FALSE)),"")</f>
        <v/>
      </c>
      <c r="RER18" s="28" t="str">
        <f>IFERROR(IF(RFA3="No",IF(VLOOKUP(DATE($K$1,$K$2,RER$4),Table1[],(MATCH(Calendar!$A18,DB!$1:$1,0)),FALSE)&gt;=5,"Good","Bad"),VLOOKUP(DATE($K$1,$K$2,RER$4),Table1[],(MATCH(Calendar!$A18,DB!$1:$1,0)),FALSE)),"")</f>
        <v/>
      </c>
      <c r="RES18" s="28" t="str">
        <f>IFERROR(IF(RFB3="No",IF(VLOOKUP(DATE($K$1,$K$2,RES$4),Table1[],(MATCH(Calendar!$A18,DB!$1:$1,0)),FALSE)&gt;=5,"Good","Bad"),VLOOKUP(DATE($K$1,$K$2,RES$4),Table1[],(MATCH(Calendar!$A18,DB!$1:$1,0)),FALSE)),"")</f>
        <v/>
      </c>
      <c r="RET18" s="28" t="str">
        <f>IFERROR(IF(RFC3="No",IF(VLOOKUP(DATE($K$1,$K$2,RET$4),Table1[],(MATCH(Calendar!$A18,DB!$1:$1,0)),FALSE)&gt;=5,"Good","Bad"),VLOOKUP(DATE($K$1,$K$2,RET$4),Table1[],(MATCH(Calendar!$A18,DB!$1:$1,0)),FALSE)),"")</f>
        <v/>
      </c>
      <c r="REU18" s="28" t="str">
        <f>IFERROR(IF(RFD3="No",IF(VLOOKUP(DATE($K$1,$K$2,REU$4),Table1[],(MATCH(Calendar!$A18,DB!$1:$1,0)),FALSE)&gt;=5,"Good","Bad"),VLOOKUP(DATE($K$1,$K$2,REU$4),Table1[],(MATCH(Calendar!$A18,DB!$1:$1,0)),FALSE)),"")</f>
        <v/>
      </c>
      <c r="REV18" s="28" t="str">
        <f>IFERROR(IF(RFE3="No",IF(VLOOKUP(DATE($K$1,$K$2,REV$4),Table1[],(MATCH(Calendar!$A18,DB!$1:$1,0)),FALSE)&gt;=5,"Good","Bad"),VLOOKUP(DATE($K$1,$K$2,REV$4),Table1[],(MATCH(Calendar!$A18,DB!$1:$1,0)),FALSE)),"")</f>
        <v/>
      </c>
      <c r="REW18" s="28" t="str">
        <f>IFERROR(IF(RFF3="No",IF(VLOOKUP(DATE($K$1,$K$2,REW$4),Table1[],(MATCH(Calendar!$A18,DB!$1:$1,0)),FALSE)&gt;=5,"Good","Bad"),VLOOKUP(DATE($K$1,$K$2,REW$4),Table1[],(MATCH(Calendar!$A18,DB!$1:$1,0)),FALSE)),"")</f>
        <v/>
      </c>
      <c r="REX18" s="28" t="str">
        <f>IFERROR(IF(RFG3="No",IF(VLOOKUP(DATE($K$1,$K$2,REX$4),Table1[],(MATCH(Calendar!$A18,DB!$1:$1,0)),FALSE)&gt;=5,"Good","Bad"),VLOOKUP(DATE($K$1,$K$2,REX$4),Table1[],(MATCH(Calendar!$A18,DB!$1:$1,0)),FALSE)),"")</f>
        <v/>
      </c>
      <c r="REY18" s="28" t="str">
        <f>IFERROR(IF(RFH3="No",IF(VLOOKUP(DATE($K$1,$K$2,REY$4),Table1[],(MATCH(Calendar!$A18,DB!$1:$1,0)),FALSE)&gt;=5,"Good","Bad"),VLOOKUP(DATE($K$1,$K$2,REY$4),Table1[],(MATCH(Calendar!$A18,DB!$1:$1,0)),FALSE)),"")</f>
        <v/>
      </c>
      <c r="REZ18" s="28" t="str">
        <f>IFERROR(IF(RFI3="No",IF(VLOOKUP(DATE($K$1,$K$2,REZ$4),Table1[],(MATCH(Calendar!$A18,DB!$1:$1,0)),FALSE)&gt;=5,"Good","Bad"),VLOOKUP(DATE($K$1,$K$2,REZ$4),Table1[],(MATCH(Calendar!$A18,DB!$1:$1,0)),FALSE)),"")</f>
        <v/>
      </c>
      <c r="RFA18" s="28" t="str">
        <f>IFERROR(IF(RFJ3="No",IF(VLOOKUP(DATE($K$1,$K$2,RFA$4),Table1[],(MATCH(Calendar!$A18,DB!$1:$1,0)),FALSE)&gt;=5,"Good","Bad"),VLOOKUP(DATE($K$1,$K$2,RFA$4),Table1[],(MATCH(Calendar!$A18,DB!$1:$1,0)),FALSE)),"")</f>
        <v/>
      </c>
      <c r="RFB18" s="28" t="str">
        <f>IFERROR(IF(RFK3="No",IF(VLOOKUP(DATE($K$1,$K$2,RFB$4),Table1[],(MATCH(Calendar!$A18,DB!$1:$1,0)),FALSE)&gt;=5,"Good","Bad"),VLOOKUP(DATE($K$1,$K$2,RFB$4),Table1[],(MATCH(Calendar!$A18,DB!$1:$1,0)),FALSE)),"")</f>
        <v/>
      </c>
      <c r="RFC18" s="28" t="str">
        <f>IFERROR(IF(RFL3="No",IF(VLOOKUP(DATE($K$1,$K$2,RFC$4),Table1[],(MATCH(Calendar!$A18,DB!$1:$1,0)),FALSE)&gt;=5,"Good","Bad"),VLOOKUP(DATE($K$1,$K$2,RFC$4),Table1[],(MATCH(Calendar!$A18,DB!$1:$1,0)),FALSE)),"")</f>
        <v/>
      </c>
      <c r="RFD18" s="28" t="str">
        <f>IFERROR(IF(RFM3="No",IF(VLOOKUP(DATE($K$1,$K$2,RFD$4),Table1[],(MATCH(Calendar!$A18,DB!$1:$1,0)),FALSE)&gt;=5,"Good","Bad"),VLOOKUP(DATE($K$1,$K$2,RFD$4),Table1[],(MATCH(Calendar!$A18,DB!$1:$1,0)),FALSE)),"")</f>
        <v/>
      </c>
      <c r="RFE18" s="28" t="str">
        <f>IFERROR(IF(RFN3="No",IF(VLOOKUP(DATE($K$1,$K$2,RFE$4),Table1[],(MATCH(Calendar!$A18,DB!$1:$1,0)),FALSE)&gt;=5,"Good","Bad"),VLOOKUP(DATE($K$1,$K$2,RFE$4),Table1[],(MATCH(Calendar!$A18,DB!$1:$1,0)),FALSE)),"")</f>
        <v/>
      </c>
      <c r="RFF18" s="28" t="str">
        <f>IFERROR(IF(RFO3="No",IF(VLOOKUP(DATE($K$1,$K$2,RFF$4),Table1[],(MATCH(Calendar!$A18,DB!$1:$1,0)),FALSE)&gt;=5,"Good","Bad"),VLOOKUP(DATE($K$1,$K$2,RFF$4),Table1[],(MATCH(Calendar!$A18,DB!$1:$1,0)),FALSE)),"")</f>
        <v/>
      </c>
      <c r="RFG18" s="28" t="str">
        <f>IFERROR(IF(RFP3="No",IF(VLOOKUP(DATE($K$1,$K$2,RFG$4),Table1[],(MATCH(Calendar!$A18,DB!$1:$1,0)),FALSE)&gt;=5,"Good","Bad"),VLOOKUP(DATE($K$1,$K$2,RFG$4),Table1[],(MATCH(Calendar!$A18,DB!$1:$1,0)),FALSE)),"")</f>
        <v/>
      </c>
      <c r="RFH18" s="28" t="str">
        <f>IFERROR(IF(RFQ3="No",IF(VLOOKUP(DATE($K$1,$K$2,RFH$4),Table1[],(MATCH(Calendar!$A18,DB!$1:$1,0)),FALSE)&gt;=5,"Good","Bad"),VLOOKUP(DATE($K$1,$K$2,RFH$4),Table1[],(MATCH(Calendar!$A18,DB!$1:$1,0)),FALSE)),"")</f>
        <v/>
      </c>
      <c r="RFI18" s="28" t="str">
        <f>IFERROR(IF(RFR3="No",IF(VLOOKUP(DATE($K$1,$K$2,RFI$4),Table1[],(MATCH(Calendar!$A18,DB!$1:$1,0)),FALSE)&gt;=5,"Good","Bad"),VLOOKUP(DATE($K$1,$K$2,RFI$4),Table1[],(MATCH(Calendar!$A18,DB!$1:$1,0)),FALSE)),"")</f>
        <v/>
      </c>
      <c r="RFJ18" s="28" t="str">
        <f>IFERROR(IF(RFS3="No",IF(VLOOKUP(DATE($K$1,$K$2,RFJ$4),Table1[],(MATCH(Calendar!$A18,DB!$1:$1,0)),FALSE)&gt;=5,"Good","Bad"),VLOOKUP(DATE($K$1,$K$2,RFJ$4),Table1[],(MATCH(Calendar!$A18,DB!$1:$1,0)),FALSE)),"")</f>
        <v/>
      </c>
      <c r="RFK18" s="28" t="str">
        <f>IFERROR(IF(RFT3="No",IF(VLOOKUP(DATE($K$1,$K$2,RFK$4),Table1[],(MATCH(Calendar!$A18,DB!$1:$1,0)),FALSE)&gt;=5,"Good","Bad"),VLOOKUP(DATE($K$1,$K$2,RFK$4),Table1[],(MATCH(Calendar!$A18,DB!$1:$1,0)),FALSE)),"")</f>
        <v/>
      </c>
      <c r="RFL18" s="28" t="str">
        <f>IFERROR(IF(RFU3="No",IF(VLOOKUP(DATE($K$1,$K$2,RFL$4),Table1[],(MATCH(Calendar!$A18,DB!$1:$1,0)),FALSE)&gt;=5,"Good","Bad"),VLOOKUP(DATE($K$1,$K$2,RFL$4),Table1[],(MATCH(Calendar!$A18,DB!$1:$1,0)),FALSE)),"")</f>
        <v/>
      </c>
      <c r="RFM18" s="28" t="str">
        <f>IFERROR(IF(RFV3="No",IF(VLOOKUP(DATE($K$1,$K$2,RFM$4),Table1[],(MATCH(Calendar!$A18,DB!$1:$1,0)),FALSE)&gt;=5,"Good","Bad"),VLOOKUP(DATE($K$1,$K$2,RFM$4),Table1[],(MATCH(Calendar!$A18,DB!$1:$1,0)),FALSE)),"")</f>
        <v/>
      </c>
      <c r="RFN18" s="28" t="str">
        <f>IFERROR(IF(RFW3="No",IF(VLOOKUP(DATE($K$1,$K$2,RFN$4),Table1[],(MATCH(Calendar!$A18,DB!$1:$1,0)),FALSE)&gt;=5,"Good","Bad"),VLOOKUP(DATE($K$1,$K$2,RFN$4),Table1[],(MATCH(Calendar!$A18,DB!$1:$1,0)),FALSE)),"")</f>
        <v/>
      </c>
      <c r="RFO18" s="28" t="str">
        <f>IFERROR(IF(RFX3="No",IF(VLOOKUP(DATE($K$1,$K$2,RFO$4),Table1[],(MATCH(Calendar!$A18,DB!$1:$1,0)),FALSE)&gt;=5,"Good","Bad"),VLOOKUP(DATE($K$1,$K$2,RFO$4),Table1[],(MATCH(Calendar!$A18,DB!$1:$1,0)),FALSE)),"")</f>
        <v/>
      </c>
      <c r="RFP18" s="28" t="str">
        <f>IFERROR(IF(RFY3="No",IF(VLOOKUP(DATE($K$1,$K$2,RFP$4),Table1[],(MATCH(Calendar!$A18,DB!$1:$1,0)),FALSE)&gt;=5,"Good","Bad"),VLOOKUP(DATE($K$1,$K$2,RFP$4),Table1[],(MATCH(Calendar!$A18,DB!$1:$1,0)),FALSE)),"")</f>
        <v/>
      </c>
      <c r="RFQ18" s="28" t="str">
        <f>IFERROR(IF(RFZ3="No",IF(VLOOKUP(DATE($K$1,$K$2,RFQ$4),Table1[],(MATCH(Calendar!$A18,DB!$1:$1,0)),FALSE)&gt;=5,"Good","Bad"),VLOOKUP(DATE($K$1,$K$2,RFQ$4),Table1[],(MATCH(Calendar!$A18,DB!$1:$1,0)),FALSE)),"")</f>
        <v/>
      </c>
      <c r="RFR18" s="28" t="str">
        <f>IFERROR(IF(RGA3="No",IF(VLOOKUP(DATE($K$1,$K$2,RFR$4),Table1[],(MATCH(Calendar!$A18,DB!$1:$1,0)),FALSE)&gt;=5,"Good","Bad"),VLOOKUP(DATE($K$1,$K$2,RFR$4),Table1[],(MATCH(Calendar!$A18,DB!$1:$1,0)),FALSE)),"")</f>
        <v/>
      </c>
      <c r="RFS18" s="28" t="str">
        <f>IFERROR(IF(RGB3="No",IF(VLOOKUP(DATE($K$1,$K$2,RFS$4),Table1[],(MATCH(Calendar!$A18,DB!$1:$1,0)),FALSE)&gt;=5,"Good","Bad"),VLOOKUP(DATE($K$1,$K$2,RFS$4),Table1[],(MATCH(Calendar!$A18,DB!$1:$1,0)),FALSE)),"")</f>
        <v/>
      </c>
      <c r="RFT18" s="28" t="str">
        <f>IFERROR(IF(RGC3="No",IF(VLOOKUP(DATE($K$1,$K$2,RFT$4),Table1[],(MATCH(Calendar!$A18,DB!$1:$1,0)),FALSE)&gt;=5,"Good","Bad"),VLOOKUP(DATE($K$1,$K$2,RFT$4),Table1[],(MATCH(Calendar!$A18,DB!$1:$1,0)),FALSE)),"")</f>
        <v/>
      </c>
      <c r="RFU18" s="28" t="str">
        <f>IFERROR(IF(RGD3="No",IF(VLOOKUP(DATE($K$1,$K$2,RFU$4),Table1[],(MATCH(Calendar!$A18,DB!$1:$1,0)),FALSE)&gt;=5,"Good","Bad"),VLOOKUP(DATE($K$1,$K$2,RFU$4),Table1[],(MATCH(Calendar!$A18,DB!$1:$1,0)),FALSE)),"")</f>
        <v/>
      </c>
      <c r="RFV18" s="28" t="str">
        <f>IFERROR(IF(RGE3="No",IF(VLOOKUP(DATE($K$1,$K$2,RFV$4),Table1[],(MATCH(Calendar!$A18,DB!$1:$1,0)),FALSE)&gt;=5,"Good","Bad"),VLOOKUP(DATE($K$1,$K$2,RFV$4),Table1[],(MATCH(Calendar!$A18,DB!$1:$1,0)),FALSE)),"")</f>
        <v/>
      </c>
      <c r="RFW18" s="28" t="str">
        <f>IFERROR(IF(RGF3="No",IF(VLOOKUP(DATE($K$1,$K$2,RFW$4),Table1[],(MATCH(Calendar!$A18,DB!$1:$1,0)),FALSE)&gt;=5,"Good","Bad"),VLOOKUP(DATE($K$1,$K$2,RFW$4),Table1[],(MATCH(Calendar!$A18,DB!$1:$1,0)),FALSE)),"")</f>
        <v/>
      </c>
      <c r="RFX18" s="28" t="str">
        <f>IFERROR(IF(RGG3="No",IF(VLOOKUP(DATE($K$1,$K$2,RFX$4),Table1[],(MATCH(Calendar!$A18,DB!$1:$1,0)),FALSE)&gt;=5,"Good","Bad"),VLOOKUP(DATE($K$1,$K$2,RFX$4),Table1[],(MATCH(Calendar!$A18,DB!$1:$1,0)),FALSE)),"")</f>
        <v/>
      </c>
      <c r="RFY18" s="28" t="str">
        <f>IFERROR(IF(RGH3="No",IF(VLOOKUP(DATE($K$1,$K$2,RFY$4),Table1[],(MATCH(Calendar!$A18,DB!$1:$1,0)),FALSE)&gt;=5,"Good","Bad"),VLOOKUP(DATE($K$1,$K$2,RFY$4),Table1[],(MATCH(Calendar!$A18,DB!$1:$1,0)),FALSE)),"")</f>
        <v/>
      </c>
      <c r="RFZ18" s="28" t="str">
        <f>IFERROR(IF(RGI3="No",IF(VLOOKUP(DATE($K$1,$K$2,RFZ$4),Table1[],(MATCH(Calendar!$A18,DB!$1:$1,0)),FALSE)&gt;=5,"Good","Bad"),VLOOKUP(DATE($K$1,$K$2,RFZ$4),Table1[],(MATCH(Calendar!$A18,DB!$1:$1,0)),FALSE)),"")</f>
        <v/>
      </c>
      <c r="RGA18" s="28" t="str">
        <f>IFERROR(IF(RGJ3="No",IF(VLOOKUP(DATE($K$1,$K$2,RGA$4),Table1[],(MATCH(Calendar!$A18,DB!$1:$1,0)),FALSE)&gt;=5,"Good","Bad"),VLOOKUP(DATE($K$1,$K$2,RGA$4),Table1[],(MATCH(Calendar!$A18,DB!$1:$1,0)),FALSE)),"")</f>
        <v/>
      </c>
      <c r="RGB18" s="28" t="str">
        <f>IFERROR(IF(RGK3="No",IF(VLOOKUP(DATE($K$1,$K$2,RGB$4),Table1[],(MATCH(Calendar!$A18,DB!$1:$1,0)),FALSE)&gt;=5,"Good","Bad"),VLOOKUP(DATE($K$1,$K$2,RGB$4),Table1[],(MATCH(Calendar!$A18,DB!$1:$1,0)),FALSE)),"")</f>
        <v/>
      </c>
      <c r="RGC18" s="28" t="str">
        <f>IFERROR(IF(RGL3="No",IF(VLOOKUP(DATE($K$1,$K$2,RGC$4),Table1[],(MATCH(Calendar!$A18,DB!$1:$1,0)),FALSE)&gt;=5,"Good","Bad"),VLOOKUP(DATE($K$1,$K$2,RGC$4),Table1[],(MATCH(Calendar!$A18,DB!$1:$1,0)),FALSE)),"")</f>
        <v/>
      </c>
      <c r="RGD18" s="28" t="str">
        <f>IFERROR(IF(RGM3="No",IF(VLOOKUP(DATE($K$1,$K$2,RGD$4),Table1[],(MATCH(Calendar!$A18,DB!$1:$1,0)),FALSE)&gt;=5,"Good","Bad"),VLOOKUP(DATE($K$1,$K$2,RGD$4),Table1[],(MATCH(Calendar!$A18,DB!$1:$1,0)),FALSE)),"")</f>
        <v/>
      </c>
      <c r="RGE18" s="28" t="str">
        <f>IFERROR(IF(RGN3="No",IF(VLOOKUP(DATE($K$1,$K$2,RGE$4),Table1[],(MATCH(Calendar!$A18,DB!$1:$1,0)),FALSE)&gt;=5,"Good","Bad"),VLOOKUP(DATE($K$1,$K$2,RGE$4),Table1[],(MATCH(Calendar!$A18,DB!$1:$1,0)),FALSE)),"")</f>
        <v/>
      </c>
      <c r="RGF18" s="28" t="str">
        <f>IFERROR(IF(RGO3="No",IF(VLOOKUP(DATE($K$1,$K$2,RGF$4),Table1[],(MATCH(Calendar!$A18,DB!$1:$1,0)),FALSE)&gt;=5,"Good","Bad"),VLOOKUP(DATE($K$1,$K$2,RGF$4),Table1[],(MATCH(Calendar!$A18,DB!$1:$1,0)),FALSE)),"")</f>
        <v/>
      </c>
      <c r="RGG18" s="28" t="str">
        <f>IFERROR(IF(RGP3="No",IF(VLOOKUP(DATE($K$1,$K$2,RGG$4),Table1[],(MATCH(Calendar!$A18,DB!$1:$1,0)),FALSE)&gt;=5,"Good","Bad"),VLOOKUP(DATE($K$1,$K$2,RGG$4),Table1[],(MATCH(Calendar!$A18,DB!$1:$1,0)),FALSE)),"")</f>
        <v/>
      </c>
      <c r="RGH18" s="28" t="str">
        <f>IFERROR(IF(RGQ3="No",IF(VLOOKUP(DATE($K$1,$K$2,RGH$4),Table1[],(MATCH(Calendar!$A18,DB!$1:$1,0)),FALSE)&gt;=5,"Good","Bad"),VLOOKUP(DATE($K$1,$K$2,RGH$4),Table1[],(MATCH(Calendar!$A18,DB!$1:$1,0)),FALSE)),"")</f>
        <v/>
      </c>
      <c r="RGI18" s="28" t="str">
        <f>IFERROR(IF(RGR3="No",IF(VLOOKUP(DATE($K$1,$K$2,RGI$4),Table1[],(MATCH(Calendar!$A18,DB!$1:$1,0)),FALSE)&gt;=5,"Good","Bad"),VLOOKUP(DATE($K$1,$K$2,RGI$4),Table1[],(MATCH(Calendar!$A18,DB!$1:$1,0)),FALSE)),"")</f>
        <v/>
      </c>
      <c r="RGJ18" s="28" t="str">
        <f>IFERROR(IF(RGS3="No",IF(VLOOKUP(DATE($K$1,$K$2,RGJ$4),Table1[],(MATCH(Calendar!$A18,DB!$1:$1,0)),FALSE)&gt;=5,"Good","Bad"),VLOOKUP(DATE($K$1,$K$2,RGJ$4),Table1[],(MATCH(Calendar!$A18,DB!$1:$1,0)),FALSE)),"")</f>
        <v/>
      </c>
      <c r="RGK18" s="28" t="str">
        <f>IFERROR(IF(RGT3="No",IF(VLOOKUP(DATE($K$1,$K$2,RGK$4),Table1[],(MATCH(Calendar!$A18,DB!$1:$1,0)),FALSE)&gt;=5,"Good","Bad"),VLOOKUP(DATE($K$1,$K$2,RGK$4),Table1[],(MATCH(Calendar!$A18,DB!$1:$1,0)),FALSE)),"")</f>
        <v/>
      </c>
      <c r="RGL18" s="28" t="str">
        <f>IFERROR(IF(RGU3="No",IF(VLOOKUP(DATE($K$1,$K$2,RGL$4),Table1[],(MATCH(Calendar!$A18,DB!$1:$1,0)),FALSE)&gt;=5,"Good","Bad"),VLOOKUP(DATE($K$1,$K$2,RGL$4),Table1[],(MATCH(Calendar!$A18,DB!$1:$1,0)),FALSE)),"")</f>
        <v/>
      </c>
      <c r="RGM18" s="28" t="str">
        <f>IFERROR(IF(RGV3="No",IF(VLOOKUP(DATE($K$1,$K$2,RGM$4),Table1[],(MATCH(Calendar!$A18,DB!$1:$1,0)),FALSE)&gt;=5,"Good","Bad"),VLOOKUP(DATE($K$1,$K$2,RGM$4),Table1[],(MATCH(Calendar!$A18,DB!$1:$1,0)),FALSE)),"")</f>
        <v/>
      </c>
      <c r="RGN18" s="28" t="str">
        <f>IFERROR(IF(RGW3="No",IF(VLOOKUP(DATE($K$1,$K$2,RGN$4),Table1[],(MATCH(Calendar!$A18,DB!$1:$1,0)),FALSE)&gt;=5,"Good","Bad"),VLOOKUP(DATE($K$1,$K$2,RGN$4),Table1[],(MATCH(Calendar!$A18,DB!$1:$1,0)),FALSE)),"")</f>
        <v/>
      </c>
      <c r="RGO18" s="28" t="str">
        <f>IFERROR(IF(RGX3="No",IF(VLOOKUP(DATE($K$1,$K$2,RGO$4),Table1[],(MATCH(Calendar!$A18,DB!$1:$1,0)),FALSE)&gt;=5,"Good","Bad"),VLOOKUP(DATE($K$1,$K$2,RGO$4),Table1[],(MATCH(Calendar!$A18,DB!$1:$1,0)),FALSE)),"")</f>
        <v/>
      </c>
      <c r="RGP18" s="28" t="str">
        <f>IFERROR(IF(RGY3="No",IF(VLOOKUP(DATE($K$1,$K$2,RGP$4),Table1[],(MATCH(Calendar!$A18,DB!$1:$1,0)),FALSE)&gt;=5,"Good","Bad"),VLOOKUP(DATE($K$1,$K$2,RGP$4),Table1[],(MATCH(Calendar!$A18,DB!$1:$1,0)),FALSE)),"")</f>
        <v/>
      </c>
      <c r="RGQ18" s="28" t="str">
        <f>IFERROR(IF(RGZ3="No",IF(VLOOKUP(DATE($K$1,$K$2,RGQ$4),Table1[],(MATCH(Calendar!$A18,DB!$1:$1,0)),FALSE)&gt;=5,"Good","Bad"),VLOOKUP(DATE($K$1,$K$2,RGQ$4),Table1[],(MATCH(Calendar!$A18,DB!$1:$1,0)),FALSE)),"")</f>
        <v/>
      </c>
      <c r="RGR18" s="28" t="str">
        <f>IFERROR(IF(RHA3="No",IF(VLOOKUP(DATE($K$1,$K$2,RGR$4),Table1[],(MATCH(Calendar!$A18,DB!$1:$1,0)),FALSE)&gt;=5,"Good","Bad"),VLOOKUP(DATE($K$1,$K$2,RGR$4),Table1[],(MATCH(Calendar!$A18,DB!$1:$1,0)),FALSE)),"")</f>
        <v/>
      </c>
      <c r="RGS18" s="28" t="str">
        <f>IFERROR(IF(RHB3="No",IF(VLOOKUP(DATE($K$1,$K$2,RGS$4),Table1[],(MATCH(Calendar!$A18,DB!$1:$1,0)),FALSE)&gt;=5,"Good","Bad"),VLOOKUP(DATE($K$1,$K$2,RGS$4),Table1[],(MATCH(Calendar!$A18,DB!$1:$1,0)),FALSE)),"")</f>
        <v/>
      </c>
      <c r="RGT18" s="28" t="str">
        <f>IFERROR(IF(RHC3="No",IF(VLOOKUP(DATE($K$1,$K$2,RGT$4),Table1[],(MATCH(Calendar!$A18,DB!$1:$1,0)),FALSE)&gt;=5,"Good","Bad"),VLOOKUP(DATE($K$1,$K$2,RGT$4),Table1[],(MATCH(Calendar!$A18,DB!$1:$1,0)),FALSE)),"")</f>
        <v/>
      </c>
      <c r="RGU18" s="28" t="str">
        <f>IFERROR(IF(RHD3="No",IF(VLOOKUP(DATE($K$1,$K$2,RGU$4),Table1[],(MATCH(Calendar!$A18,DB!$1:$1,0)),FALSE)&gt;=5,"Good","Bad"),VLOOKUP(DATE($K$1,$K$2,RGU$4),Table1[],(MATCH(Calendar!$A18,DB!$1:$1,0)),FALSE)),"")</f>
        <v/>
      </c>
      <c r="RGV18" s="28" t="str">
        <f>IFERROR(IF(RHE3="No",IF(VLOOKUP(DATE($K$1,$K$2,RGV$4),Table1[],(MATCH(Calendar!$A18,DB!$1:$1,0)),FALSE)&gt;=5,"Good","Bad"),VLOOKUP(DATE($K$1,$K$2,RGV$4),Table1[],(MATCH(Calendar!$A18,DB!$1:$1,0)),FALSE)),"")</f>
        <v/>
      </c>
      <c r="RGW18" s="28" t="str">
        <f>IFERROR(IF(RHF3="No",IF(VLOOKUP(DATE($K$1,$K$2,RGW$4),Table1[],(MATCH(Calendar!$A18,DB!$1:$1,0)),FALSE)&gt;=5,"Good","Bad"),VLOOKUP(DATE($K$1,$K$2,RGW$4),Table1[],(MATCH(Calendar!$A18,DB!$1:$1,0)),FALSE)),"")</f>
        <v/>
      </c>
      <c r="RGX18" s="28" t="str">
        <f>IFERROR(IF(RHG3="No",IF(VLOOKUP(DATE($K$1,$K$2,RGX$4),Table1[],(MATCH(Calendar!$A18,DB!$1:$1,0)),FALSE)&gt;=5,"Good","Bad"),VLOOKUP(DATE($K$1,$K$2,RGX$4),Table1[],(MATCH(Calendar!$A18,DB!$1:$1,0)),FALSE)),"")</f>
        <v/>
      </c>
      <c r="RGY18" s="28" t="str">
        <f>IFERROR(IF(RHH3="No",IF(VLOOKUP(DATE($K$1,$K$2,RGY$4),Table1[],(MATCH(Calendar!$A18,DB!$1:$1,0)),FALSE)&gt;=5,"Good","Bad"),VLOOKUP(DATE($K$1,$K$2,RGY$4),Table1[],(MATCH(Calendar!$A18,DB!$1:$1,0)),FALSE)),"")</f>
        <v/>
      </c>
      <c r="RGZ18" s="28" t="str">
        <f>IFERROR(IF(RHI3="No",IF(VLOOKUP(DATE($K$1,$K$2,RGZ$4),Table1[],(MATCH(Calendar!$A18,DB!$1:$1,0)),FALSE)&gt;=5,"Good","Bad"),VLOOKUP(DATE($K$1,$K$2,RGZ$4),Table1[],(MATCH(Calendar!$A18,DB!$1:$1,0)),FALSE)),"")</f>
        <v/>
      </c>
      <c r="RHA18" s="28" t="str">
        <f>IFERROR(IF(RHJ3="No",IF(VLOOKUP(DATE($K$1,$K$2,RHA$4),Table1[],(MATCH(Calendar!$A18,DB!$1:$1,0)),FALSE)&gt;=5,"Good","Bad"),VLOOKUP(DATE($K$1,$K$2,RHA$4),Table1[],(MATCH(Calendar!$A18,DB!$1:$1,0)),FALSE)),"")</f>
        <v/>
      </c>
      <c r="RHB18" s="28" t="str">
        <f>IFERROR(IF(RHK3="No",IF(VLOOKUP(DATE($K$1,$K$2,RHB$4),Table1[],(MATCH(Calendar!$A18,DB!$1:$1,0)),FALSE)&gt;=5,"Good","Bad"),VLOOKUP(DATE($K$1,$K$2,RHB$4),Table1[],(MATCH(Calendar!$A18,DB!$1:$1,0)),FALSE)),"")</f>
        <v/>
      </c>
      <c r="RHC18" s="28" t="str">
        <f>IFERROR(IF(RHL3="No",IF(VLOOKUP(DATE($K$1,$K$2,RHC$4),Table1[],(MATCH(Calendar!$A18,DB!$1:$1,0)),FALSE)&gt;=5,"Good","Bad"),VLOOKUP(DATE($K$1,$K$2,RHC$4),Table1[],(MATCH(Calendar!$A18,DB!$1:$1,0)),FALSE)),"")</f>
        <v/>
      </c>
      <c r="RHD18" s="28" t="str">
        <f>IFERROR(IF(RHM3="No",IF(VLOOKUP(DATE($K$1,$K$2,RHD$4),Table1[],(MATCH(Calendar!$A18,DB!$1:$1,0)),FALSE)&gt;=5,"Good","Bad"),VLOOKUP(DATE($K$1,$K$2,RHD$4),Table1[],(MATCH(Calendar!$A18,DB!$1:$1,0)),FALSE)),"")</f>
        <v/>
      </c>
      <c r="RHE18" s="28" t="str">
        <f>IFERROR(IF(RHN3="No",IF(VLOOKUP(DATE($K$1,$K$2,RHE$4),Table1[],(MATCH(Calendar!$A18,DB!$1:$1,0)),FALSE)&gt;=5,"Good","Bad"),VLOOKUP(DATE($K$1,$K$2,RHE$4),Table1[],(MATCH(Calendar!$A18,DB!$1:$1,0)),FALSE)),"")</f>
        <v/>
      </c>
      <c r="RHF18" s="28" t="str">
        <f>IFERROR(IF(RHO3="No",IF(VLOOKUP(DATE($K$1,$K$2,RHF$4),Table1[],(MATCH(Calendar!$A18,DB!$1:$1,0)),FALSE)&gt;=5,"Good","Bad"),VLOOKUP(DATE($K$1,$K$2,RHF$4),Table1[],(MATCH(Calendar!$A18,DB!$1:$1,0)),FALSE)),"")</f>
        <v/>
      </c>
      <c r="RHG18" s="28" t="str">
        <f>IFERROR(IF(RHP3="No",IF(VLOOKUP(DATE($K$1,$K$2,RHG$4),Table1[],(MATCH(Calendar!$A18,DB!$1:$1,0)),FALSE)&gt;=5,"Good","Bad"),VLOOKUP(DATE($K$1,$K$2,RHG$4),Table1[],(MATCH(Calendar!$A18,DB!$1:$1,0)),FALSE)),"")</f>
        <v/>
      </c>
      <c r="RHH18" s="28" t="str">
        <f>IFERROR(IF(RHQ3="No",IF(VLOOKUP(DATE($K$1,$K$2,RHH$4),Table1[],(MATCH(Calendar!$A18,DB!$1:$1,0)),FALSE)&gt;=5,"Good","Bad"),VLOOKUP(DATE($K$1,$K$2,RHH$4),Table1[],(MATCH(Calendar!$A18,DB!$1:$1,0)),FALSE)),"")</f>
        <v/>
      </c>
      <c r="RHI18" s="28" t="str">
        <f>IFERROR(IF(RHR3="No",IF(VLOOKUP(DATE($K$1,$K$2,RHI$4),Table1[],(MATCH(Calendar!$A18,DB!$1:$1,0)),FALSE)&gt;=5,"Good","Bad"),VLOOKUP(DATE($K$1,$K$2,RHI$4),Table1[],(MATCH(Calendar!$A18,DB!$1:$1,0)),FALSE)),"")</f>
        <v/>
      </c>
      <c r="RHJ18" s="28" t="str">
        <f>IFERROR(IF(RHS3="No",IF(VLOOKUP(DATE($K$1,$K$2,RHJ$4),Table1[],(MATCH(Calendar!$A18,DB!$1:$1,0)),FALSE)&gt;=5,"Good","Bad"),VLOOKUP(DATE($K$1,$K$2,RHJ$4),Table1[],(MATCH(Calendar!$A18,DB!$1:$1,0)),FALSE)),"")</f>
        <v/>
      </c>
      <c r="RHK18" s="28" t="str">
        <f>IFERROR(IF(RHT3="No",IF(VLOOKUP(DATE($K$1,$K$2,RHK$4),Table1[],(MATCH(Calendar!$A18,DB!$1:$1,0)),FALSE)&gt;=5,"Good","Bad"),VLOOKUP(DATE($K$1,$K$2,RHK$4),Table1[],(MATCH(Calendar!$A18,DB!$1:$1,0)),FALSE)),"")</f>
        <v/>
      </c>
      <c r="RHL18" s="28" t="str">
        <f>IFERROR(IF(RHU3="No",IF(VLOOKUP(DATE($K$1,$K$2,RHL$4),Table1[],(MATCH(Calendar!$A18,DB!$1:$1,0)),FALSE)&gt;=5,"Good","Bad"),VLOOKUP(DATE($K$1,$K$2,RHL$4),Table1[],(MATCH(Calendar!$A18,DB!$1:$1,0)),FALSE)),"")</f>
        <v/>
      </c>
      <c r="RHM18" s="28" t="str">
        <f>IFERROR(IF(RHV3="No",IF(VLOOKUP(DATE($K$1,$K$2,RHM$4),Table1[],(MATCH(Calendar!$A18,DB!$1:$1,0)),FALSE)&gt;=5,"Good","Bad"),VLOOKUP(DATE($K$1,$K$2,RHM$4),Table1[],(MATCH(Calendar!$A18,DB!$1:$1,0)),FALSE)),"")</f>
        <v/>
      </c>
      <c r="RHN18" s="28" t="str">
        <f>IFERROR(IF(RHW3="No",IF(VLOOKUP(DATE($K$1,$K$2,RHN$4),Table1[],(MATCH(Calendar!$A18,DB!$1:$1,0)),FALSE)&gt;=5,"Good","Bad"),VLOOKUP(DATE($K$1,$K$2,RHN$4),Table1[],(MATCH(Calendar!$A18,DB!$1:$1,0)),FALSE)),"")</f>
        <v/>
      </c>
      <c r="RHO18" s="28" t="str">
        <f>IFERROR(IF(RHX3="No",IF(VLOOKUP(DATE($K$1,$K$2,RHO$4),Table1[],(MATCH(Calendar!$A18,DB!$1:$1,0)),FALSE)&gt;=5,"Good","Bad"),VLOOKUP(DATE($K$1,$K$2,RHO$4),Table1[],(MATCH(Calendar!$A18,DB!$1:$1,0)),FALSE)),"")</f>
        <v/>
      </c>
      <c r="RHP18" s="28" t="str">
        <f>IFERROR(IF(RHY3="No",IF(VLOOKUP(DATE($K$1,$K$2,RHP$4),Table1[],(MATCH(Calendar!$A18,DB!$1:$1,0)),FALSE)&gt;=5,"Good","Bad"),VLOOKUP(DATE($K$1,$K$2,RHP$4),Table1[],(MATCH(Calendar!$A18,DB!$1:$1,0)),FALSE)),"")</f>
        <v/>
      </c>
      <c r="RHQ18" s="28" t="str">
        <f>IFERROR(IF(RHZ3="No",IF(VLOOKUP(DATE($K$1,$K$2,RHQ$4),Table1[],(MATCH(Calendar!$A18,DB!$1:$1,0)),FALSE)&gt;=5,"Good","Bad"),VLOOKUP(DATE($K$1,$K$2,RHQ$4),Table1[],(MATCH(Calendar!$A18,DB!$1:$1,0)),FALSE)),"")</f>
        <v/>
      </c>
      <c r="RHR18" s="28" t="str">
        <f>IFERROR(IF(RIA3="No",IF(VLOOKUP(DATE($K$1,$K$2,RHR$4),Table1[],(MATCH(Calendar!$A18,DB!$1:$1,0)),FALSE)&gt;=5,"Good","Bad"),VLOOKUP(DATE($K$1,$K$2,RHR$4),Table1[],(MATCH(Calendar!$A18,DB!$1:$1,0)),FALSE)),"")</f>
        <v/>
      </c>
      <c r="RHS18" s="28" t="str">
        <f>IFERROR(IF(RIB3="No",IF(VLOOKUP(DATE($K$1,$K$2,RHS$4),Table1[],(MATCH(Calendar!$A18,DB!$1:$1,0)),FALSE)&gt;=5,"Good","Bad"),VLOOKUP(DATE($K$1,$K$2,RHS$4),Table1[],(MATCH(Calendar!$A18,DB!$1:$1,0)),FALSE)),"")</f>
        <v/>
      </c>
      <c r="RHT18" s="28" t="str">
        <f>IFERROR(IF(RIC3="No",IF(VLOOKUP(DATE($K$1,$K$2,RHT$4),Table1[],(MATCH(Calendar!$A18,DB!$1:$1,0)),FALSE)&gt;=5,"Good","Bad"),VLOOKUP(DATE($K$1,$K$2,RHT$4),Table1[],(MATCH(Calendar!$A18,DB!$1:$1,0)),FALSE)),"")</f>
        <v/>
      </c>
      <c r="RHU18" s="28" t="str">
        <f>IFERROR(IF(RID3="No",IF(VLOOKUP(DATE($K$1,$K$2,RHU$4),Table1[],(MATCH(Calendar!$A18,DB!$1:$1,0)),FALSE)&gt;=5,"Good","Bad"),VLOOKUP(DATE($K$1,$K$2,RHU$4),Table1[],(MATCH(Calendar!$A18,DB!$1:$1,0)),FALSE)),"")</f>
        <v/>
      </c>
      <c r="RHV18" s="28" t="str">
        <f>IFERROR(IF(RIE3="No",IF(VLOOKUP(DATE($K$1,$K$2,RHV$4),Table1[],(MATCH(Calendar!$A18,DB!$1:$1,0)),FALSE)&gt;=5,"Good","Bad"),VLOOKUP(DATE($K$1,$K$2,RHV$4),Table1[],(MATCH(Calendar!$A18,DB!$1:$1,0)),FALSE)),"")</f>
        <v/>
      </c>
      <c r="RHW18" s="28" t="str">
        <f>IFERROR(IF(RIF3="No",IF(VLOOKUP(DATE($K$1,$K$2,RHW$4),Table1[],(MATCH(Calendar!$A18,DB!$1:$1,0)),FALSE)&gt;=5,"Good","Bad"),VLOOKUP(DATE($K$1,$K$2,RHW$4),Table1[],(MATCH(Calendar!$A18,DB!$1:$1,0)),FALSE)),"")</f>
        <v/>
      </c>
      <c r="RHX18" s="28" t="str">
        <f>IFERROR(IF(RIG3="No",IF(VLOOKUP(DATE($K$1,$K$2,RHX$4),Table1[],(MATCH(Calendar!$A18,DB!$1:$1,0)),FALSE)&gt;=5,"Good","Bad"),VLOOKUP(DATE($K$1,$K$2,RHX$4),Table1[],(MATCH(Calendar!$A18,DB!$1:$1,0)),FALSE)),"")</f>
        <v/>
      </c>
      <c r="RHY18" s="28" t="str">
        <f>IFERROR(IF(RIH3="No",IF(VLOOKUP(DATE($K$1,$K$2,RHY$4),Table1[],(MATCH(Calendar!$A18,DB!$1:$1,0)),FALSE)&gt;=5,"Good","Bad"),VLOOKUP(DATE($K$1,$K$2,RHY$4),Table1[],(MATCH(Calendar!$A18,DB!$1:$1,0)),FALSE)),"")</f>
        <v/>
      </c>
      <c r="RHZ18" s="28" t="str">
        <f>IFERROR(IF(RII3="No",IF(VLOOKUP(DATE($K$1,$K$2,RHZ$4),Table1[],(MATCH(Calendar!$A18,DB!$1:$1,0)),FALSE)&gt;=5,"Good","Bad"),VLOOKUP(DATE($K$1,$K$2,RHZ$4),Table1[],(MATCH(Calendar!$A18,DB!$1:$1,0)),FALSE)),"")</f>
        <v/>
      </c>
      <c r="RIA18" s="28" t="str">
        <f>IFERROR(IF(RIJ3="No",IF(VLOOKUP(DATE($K$1,$K$2,RIA$4),Table1[],(MATCH(Calendar!$A18,DB!$1:$1,0)),FALSE)&gt;=5,"Good","Bad"),VLOOKUP(DATE($K$1,$K$2,RIA$4),Table1[],(MATCH(Calendar!$A18,DB!$1:$1,0)),FALSE)),"")</f>
        <v/>
      </c>
      <c r="RIB18" s="28" t="str">
        <f>IFERROR(IF(RIK3="No",IF(VLOOKUP(DATE($K$1,$K$2,RIB$4),Table1[],(MATCH(Calendar!$A18,DB!$1:$1,0)),FALSE)&gt;=5,"Good","Bad"),VLOOKUP(DATE($K$1,$K$2,RIB$4),Table1[],(MATCH(Calendar!$A18,DB!$1:$1,0)),FALSE)),"")</f>
        <v/>
      </c>
      <c r="RIC18" s="28" t="str">
        <f>IFERROR(IF(RIL3="No",IF(VLOOKUP(DATE($K$1,$K$2,RIC$4),Table1[],(MATCH(Calendar!$A18,DB!$1:$1,0)),FALSE)&gt;=5,"Good","Bad"),VLOOKUP(DATE($K$1,$K$2,RIC$4),Table1[],(MATCH(Calendar!$A18,DB!$1:$1,0)),FALSE)),"")</f>
        <v/>
      </c>
      <c r="RID18" s="28" t="str">
        <f>IFERROR(IF(RIM3="No",IF(VLOOKUP(DATE($K$1,$K$2,RID$4),Table1[],(MATCH(Calendar!$A18,DB!$1:$1,0)),FALSE)&gt;=5,"Good","Bad"),VLOOKUP(DATE($K$1,$K$2,RID$4),Table1[],(MATCH(Calendar!$A18,DB!$1:$1,0)),FALSE)),"")</f>
        <v/>
      </c>
      <c r="RIE18" s="28" t="str">
        <f>IFERROR(IF(RIN3="No",IF(VLOOKUP(DATE($K$1,$K$2,RIE$4),Table1[],(MATCH(Calendar!$A18,DB!$1:$1,0)),FALSE)&gt;=5,"Good","Bad"),VLOOKUP(DATE($K$1,$K$2,RIE$4),Table1[],(MATCH(Calendar!$A18,DB!$1:$1,0)),FALSE)),"")</f>
        <v/>
      </c>
      <c r="RIF18" s="28" t="str">
        <f>IFERROR(IF(RIO3="No",IF(VLOOKUP(DATE($K$1,$K$2,RIF$4),Table1[],(MATCH(Calendar!$A18,DB!$1:$1,0)),FALSE)&gt;=5,"Good","Bad"),VLOOKUP(DATE($K$1,$K$2,RIF$4),Table1[],(MATCH(Calendar!$A18,DB!$1:$1,0)),FALSE)),"")</f>
        <v/>
      </c>
      <c r="RIG18" s="28" t="str">
        <f>IFERROR(IF(RIP3="No",IF(VLOOKUP(DATE($K$1,$K$2,RIG$4),Table1[],(MATCH(Calendar!$A18,DB!$1:$1,0)),FALSE)&gt;=5,"Good","Bad"),VLOOKUP(DATE($K$1,$K$2,RIG$4),Table1[],(MATCH(Calendar!$A18,DB!$1:$1,0)),FALSE)),"")</f>
        <v/>
      </c>
      <c r="RIH18" s="28" t="str">
        <f>IFERROR(IF(RIQ3="No",IF(VLOOKUP(DATE($K$1,$K$2,RIH$4),Table1[],(MATCH(Calendar!$A18,DB!$1:$1,0)),FALSE)&gt;=5,"Good","Bad"),VLOOKUP(DATE($K$1,$K$2,RIH$4),Table1[],(MATCH(Calendar!$A18,DB!$1:$1,0)),FALSE)),"")</f>
        <v/>
      </c>
      <c r="RII18" s="28" t="str">
        <f>IFERROR(IF(RIR3="No",IF(VLOOKUP(DATE($K$1,$K$2,RII$4),Table1[],(MATCH(Calendar!$A18,DB!$1:$1,0)),FALSE)&gt;=5,"Good","Bad"),VLOOKUP(DATE($K$1,$K$2,RII$4),Table1[],(MATCH(Calendar!$A18,DB!$1:$1,0)),FALSE)),"")</f>
        <v/>
      </c>
      <c r="RIJ18" s="28" t="str">
        <f>IFERROR(IF(RIS3="No",IF(VLOOKUP(DATE($K$1,$K$2,RIJ$4),Table1[],(MATCH(Calendar!$A18,DB!$1:$1,0)),FALSE)&gt;=5,"Good","Bad"),VLOOKUP(DATE($K$1,$K$2,RIJ$4),Table1[],(MATCH(Calendar!$A18,DB!$1:$1,0)),FALSE)),"")</f>
        <v/>
      </c>
      <c r="RIK18" s="28" t="str">
        <f>IFERROR(IF(RIT3="No",IF(VLOOKUP(DATE($K$1,$K$2,RIK$4),Table1[],(MATCH(Calendar!$A18,DB!$1:$1,0)),FALSE)&gt;=5,"Good","Bad"),VLOOKUP(DATE($K$1,$K$2,RIK$4),Table1[],(MATCH(Calendar!$A18,DB!$1:$1,0)),FALSE)),"")</f>
        <v/>
      </c>
      <c r="RIL18" s="28" t="str">
        <f>IFERROR(IF(RIU3="No",IF(VLOOKUP(DATE($K$1,$K$2,RIL$4),Table1[],(MATCH(Calendar!$A18,DB!$1:$1,0)),FALSE)&gt;=5,"Good","Bad"),VLOOKUP(DATE($K$1,$K$2,RIL$4),Table1[],(MATCH(Calendar!$A18,DB!$1:$1,0)),FALSE)),"")</f>
        <v/>
      </c>
      <c r="RIM18" s="28" t="str">
        <f>IFERROR(IF(RIV3="No",IF(VLOOKUP(DATE($K$1,$K$2,RIM$4),Table1[],(MATCH(Calendar!$A18,DB!$1:$1,0)),FALSE)&gt;=5,"Good","Bad"),VLOOKUP(DATE($K$1,$K$2,RIM$4),Table1[],(MATCH(Calendar!$A18,DB!$1:$1,0)),FALSE)),"")</f>
        <v/>
      </c>
      <c r="RIN18" s="28" t="str">
        <f>IFERROR(IF(RIW3="No",IF(VLOOKUP(DATE($K$1,$K$2,RIN$4),Table1[],(MATCH(Calendar!$A18,DB!$1:$1,0)),FALSE)&gt;=5,"Good","Bad"),VLOOKUP(DATE($K$1,$K$2,RIN$4),Table1[],(MATCH(Calendar!$A18,DB!$1:$1,0)),FALSE)),"")</f>
        <v/>
      </c>
      <c r="RIO18" s="28" t="str">
        <f>IFERROR(IF(RIX3="No",IF(VLOOKUP(DATE($K$1,$K$2,RIO$4),Table1[],(MATCH(Calendar!$A18,DB!$1:$1,0)),FALSE)&gt;=5,"Good","Bad"),VLOOKUP(DATE($K$1,$K$2,RIO$4),Table1[],(MATCH(Calendar!$A18,DB!$1:$1,0)),FALSE)),"")</f>
        <v/>
      </c>
      <c r="RIP18" s="28" t="str">
        <f>IFERROR(IF(RIY3="No",IF(VLOOKUP(DATE($K$1,$K$2,RIP$4),Table1[],(MATCH(Calendar!$A18,DB!$1:$1,0)),FALSE)&gt;=5,"Good","Bad"),VLOOKUP(DATE($K$1,$K$2,RIP$4),Table1[],(MATCH(Calendar!$A18,DB!$1:$1,0)),FALSE)),"")</f>
        <v/>
      </c>
      <c r="RIQ18" s="28" t="str">
        <f>IFERROR(IF(RIZ3="No",IF(VLOOKUP(DATE($K$1,$K$2,RIQ$4),Table1[],(MATCH(Calendar!$A18,DB!$1:$1,0)),FALSE)&gt;=5,"Good","Bad"),VLOOKUP(DATE($K$1,$K$2,RIQ$4),Table1[],(MATCH(Calendar!$A18,DB!$1:$1,0)),FALSE)),"")</f>
        <v/>
      </c>
      <c r="RIR18" s="28" t="str">
        <f>IFERROR(IF(RJA3="No",IF(VLOOKUP(DATE($K$1,$K$2,RIR$4),Table1[],(MATCH(Calendar!$A18,DB!$1:$1,0)),FALSE)&gt;=5,"Good","Bad"),VLOOKUP(DATE($K$1,$K$2,RIR$4),Table1[],(MATCH(Calendar!$A18,DB!$1:$1,0)),FALSE)),"")</f>
        <v/>
      </c>
      <c r="RIS18" s="28" t="str">
        <f>IFERROR(IF(RJB3="No",IF(VLOOKUP(DATE($K$1,$K$2,RIS$4),Table1[],(MATCH(Calendar!$A18,DB!$1:$1,0)),FALSE)&gt;=5,"Good","Bad"),VLOOKUP(DATE($K$1,$K$2,RIS$4),Table1[],(MATCH(Calendar!$A18,DB!$1:$1,0)),FALSE)),"")</f>
        <v/>
      </c>
      <c r="RIT18" s="28" t="str">
        <f>IFERROR(IF(RJC3="No",IF(VLOOKUP(DATE($K$1,$K$2,RIT$4),Table1[],(MATCH(Calendar!$A18,DB!$1:$1,0)),FALSE)&gt;=5,"Good","Bad"),VLOOKUP(DATE($K$1,$K$2,RIT$4),Table1[],(MATCH(Calendar!$A18,DB!$1:$1,0)),FALSE)),"")</f>
        <v/>
      </c>
      <c r="RIU18" s="28" t="str">
        <f>IFERROR(IF(RJD3="No",IF(VLOOKUP(DATE($K$1,$K$2,RIU$4),Table1[],(MATCH(Calendar!$A18,DB!$1:$1,0)),FALSE)&gt;=5,"Good","Bad"),VLOOKUP(DATE($K$1,$K$2,RIU$4),Table1[],(MATCH(Calendar!$A18,DB!$1:$1,0)),FALSE)),"")</f>
        <v/>
      </c>
      <c r="RIV18" s="28" t="str">
        <f>IFERROR(IF(RJE3="No",IF(VLOOKUP(DATE($K$1,$K$2,RIV$4),Table1[],(MATCH(Calendar!$A18,DB!$1:$1,0)),FALSE)&gt;=5,"Good","Bad"),VLOOKUP(DATE($K$1,$K$2,RIV$4),Table1[],(MATCH(Calendar!$A18,DB!$1:$1,0)),FALSE)),"")</f>
        <v/>
      </c>
      <c r="RIW18" s="28" t="str">
        <f>IFERROR(IF(RJF3="No",IF(VLOOKUP(DATE($K$1,$K$2,RIW$4),Table1[],(MATCH(Calendar!$A18,DB!$1:$1,0)),FALSE)&gt;=5,"Good","Bad"),VLOOKUP(DATE($K$1,$K$2,RIW$4),Table1[],(MATCH(Calendar!$A18,DB!$1:$1,0)),FALSE)),"")</f>
        <v/>
      </c>
      <c r="RIX18" s="28" t="str">
        <f>IFERROR(IF(RJG3="No",IF(VLOOKUP(DATE($K$1,$K$2,RIX$4),Table1[],(MATCH(Calendar!$A18,DB!$1:$1,0)),FALSE)&gt;=5,"Good","Bad"),VLOOKUP(DATE($K$1,$K$2,RIX$4),Table1[],(MATCH(Calendar!$A18,DB!$1:$1,0)),FALSE)),"")</f>
        <v/>
      </c>
      <c r="RIY18" s="28" t="str">
        <f>IFERROR(IF(RJH3="No",IF(VLOOKUP(DATE($K$1,$K$2,RIY$4),Table1[],(MATCH(Calendar!$A18,DB!$1:$1,0)),FALSE)&gt;=5,"Good","Bad"),VLOOKUP(DATE($K$1,$K$2,RIY$4),Table1[],(MATCH(Calendar!$A18,DB!$1:$1,0)),FALSE)),"")</f>
        <v/>
      </c>
      <c r="RIZ18" s="28" t="str">
        <f>IFERROR(IF(RJI3="No",IF(VLOOKUP(DATE($K$1,$K$2,RIZ$4),Table1[],(MATCH(Calendar!$A18,DB!$1:$1,0)),FALSE)&gt;=5,"Good","Bad"),VLOOKUP(DATE($K$1,$K$2,RIZ$4),Table1[],(MATCH(Calendar!$A18,DB!$1:$1,0)),FALSE)),"")</f>
        <v/>
      </c>
      <c r="RJA18" s="28" t="str">
        <f>IFERROR(IF(RJJ3="No",IF(VLOOKUP(DATE($K$1,$K$2,RJA$4),Table1[],(MATCH(Calendar!$A18,DB!$1:$1,0)),FALSE)&gt;=5,"Good","Bad"),VLOOKUP(DATE($K$1,$K$2,RJA$4),Table1[],(MATCH(Calendar!$A18,DB!$1:$1,0)),FALSE)),"")</f>
        <v/>
      </c>
      <c r="RJB18" s="28" t="str">
        <f>IFERROR(IF(RJK3="No",IF(VLOOKUP(DATE($K$1,$K$2,RJB$4),Table1[],(MATCH(Calendar!$A18,DB!$1:$1,0)),FALSE)&gt;=5,"Good","Bad"),VLOOKUP(DATE($K$1,$K$2,RJB$4),Table1[],(MATCH(Calendar!$A18,DB!$1:$1,0)),FALSE)),"")</f>
        <v/>
      </c>
      <c r="RJC18" s="28" t="str">
        <f>IFERROR(IF(RJL3="No",IF(VLOOKUP(DATE($K$1,$K$2,RJC$4),Table1[],(MATCH(Calendar!$A18,DB!$1:$1,0)),FALSE)&gt;=5,"Good","Bad"),VLOOKUP(DATE($K$1,$K$2,RJC$4),Table1[],(MATCH(Calendar!$A18,DB!$1:$1,0)),FALSE)),"")</f>
        <v/>
      </c>
      <c r="RJD18" s="28" t="str">
        <f>IFERROR(IF(RJM3="No",IF(VLOOKUP(DATE($K$1,$K$2,RJD$4),Table1[],(MATCH(Calendar!$A18,DB!$1:$1,0)),FALSE)&gt;=5,"Good","Bad"),VLOOKUP(DATE($K$1,$K$2,RJD$4),Table1[],(MATCH(Calendar!$A18,DB!$1:$1,0)),FALSE)),"")</f>
        <v/>
      </c>
      <c r="RJE18" s="28" t="str">
        <f>IFERROR(IF(RJN3="No",IF(VLOOKUP(DATE($K$1,$K$2,RJE$4),Table1[],(MATCH(Calendar!$A18,DB!$1:$1,0)),FALSE)&gt;=5,"Good","Bad"),VLOOKUP(DATE($K$1,$K$2,RJE$4),Table1[],(MATCH(Calendar!$A18,DB!$1:$1,0)),FALSE)),"")</f>
        <v/>
      </c>
      <c r="RJF18" s="28" t="str">
        <f>IFERROR(IF(RJO3="No",IF(VLOOKUP(DATE($K$1,$K$2,RJF$4),Table1[],(MATCH(Calendar!$A18,DB!$1:$1,0)),FALSE)&gt;=5,"Good","Bad"),VLOOKUP(DATE($K$1,$K$2,RJF$4),Table1[],(MATCH(Calendar!$A18,DB!$1:$1,0)),FALSE)),"")</f>
        <v/>
      </c>
      <c r="RJG18" s="28" t="str">
        <f>IFERROR(IF(RJP3="No",IF(VLOOKUP(DATE($K$1,$K$2,RJG$4),Table1[],(MATCH(Calendar!$A18,DB!$1:$1,0)),FALSE)&gt;=5,"Good","Bad"),VLOOKUP(DATE($K$1,$K$2,RJG$4),Table1[],(MATCH(Calendar!$A18,DB!$1:$1,0)),FALSE)),"")</f>
        <v/>
      </c>
      <c r="RJH18" s="28" t="str">
        <f>IFERROR(IF(RJQ3="No",IF(VLOOKUP(DATE($K$1,$K$2,RJH$4),Table1[],(MATCH(Calendar!$A18,DB!$1:$1,0)),FALSE)&gt;=5,"Good","Bad"),VLOOKUP(DATE($K$1,$K$2,RJH$4),Table1[],(MATCH(Calendar!$A18,DB!$1:$1,0)),FALSE)),"")</f>
        <v/>
      </c>
      <c r="RJI18" s="28" t="str">
        <f>IFERROR(IF(RJR3="No",IF(VLOOKUP(DATE($K$1,$K$2,RJI$4),Table1[],(MATCH(Calendar!$A18,DB!$1:$1,0)),FALSE)&gt;=5,"Good","Bad"),VLOOKUP(DATE($K$1,$K$2,RJI$4),Table1[],(MATCH(Calendar!$A18,DB!$1:$1,0)),FALSE)),"")</f>
        <v/>
      </c>
      <c r="RJJ18" s="28" t="str">
        <f>IFERROR(IF(RJS3="No",IF(VLOOKUP(DATE($K$1,$K$2,RJJ$4),Table1[],(MATCH(Calendar!$A18,DB!$1:$1,0)),FALSE)&gt;=5,"Good","Bad"),VLOOKUP(DATE($K$1,$K$2,RJJ$4),Table1[],(MATCH(Calendar!$A18,DB!$1:$1,0)),FALSE)),"")</f>
        <v/>
      </c>
      <c r="RJK18" s="28" t="str">
        <f>IFERROR(IF(RJT3="No",IF(VLOOKUP(DATE($K$1,$K$2,RJK$4),Table1[],(MATCH(Calendar!$A18,DB!$1:$1,0)),FALSE)&gt;=5,"Good","Bad"),VLOOKUP(DATE($K$1,$K$2,RJK$4),Table1[],(MATCH(Calendar!$A18,DB!$1:$1,0)),FALSE)),"")</f>
        <v/>
      </c>
      <c r="RJL18" s="28" t="str">
        <f>IFERROR(IF(RJU3="No",IF(VLOOKUP(DATE($K$1,$K$2,RJL$4),Table1[],(MATCH(Calendar!$A18,DB!$1:$1,0)),FALSE)&gt;=5,"Good","Bad"),VLOOKUP(DATE($K$1,$K$2,RJL$4),Table1[],(MATCH(Calendar!$A18,DB!$1:$1,0)),FALSE)),"")</f>
        <v/>
      </c>
      <c r="RJM18" s="28" t="str">
        <f>IFERROR(IF(RJV3="No",IF(VLOOKUP(DATE($K$1,$K$2,RJM$4),Table1[],(MATCH(Calendar!$A18,DB!$1:$1,0)),FALSE)&gt;=5,"Good","Bad"),VLOOKUP(DATE($K$1,$K$2,RJM$4),Table1[],(MATCH(Calendar!$A18,DB!$1:$1,0)),FALSE)),"")</f>
        <v/>
      </c>
      <c r="RJN18" s="28" t="str">
        <f>IFERROR(IF(RJW3="No",IF(VLOOKUP(DATE($K$1,$K$2,RJN$4),Table1[],(MATCH(Calendar!$A18,DB!$1:$1,0)),FALSE)&gt;=5,"Good","Bad"),VLOOKUP(DATE($K$1,$K$2,RJN$4),Table1[],(MATCH(Calendar!$A18,DB!$1:$1,0)),FALSE)),"")</f>
        <v/>
      </c>
      <c r="RJO18" s="28" t="str">
        <f>IFERROR(IF(RJX3="No",IF(VLOOKUP(DATE($K$1,$K$2,RJO$4),Table1[],(MATCH(Calendar!$A18,DB!$1:$1,0)),FALSE)&gt;=5,"Good","Bad"),VLOOKUP(DATE($K$1,$K$2,RJO$4),Table1[],(MATCH(Calendar!$A18,DB!$1:$1,0)),FALSE)),"")</f>
        <v/>
      </c>
      <c r="RJP18" s="28" t="str">
        <f>IFERROR(IF(RJY3="No",IF(VLOOKUP(DATE($K$1,$K$2,RJP$4),Table1[],(MATCH(Calendar!$A18,DB!$1:$1,0)),FALSE)&gt;=5,"Good","Bad"),VLOOKUP(DATE($K$1,$K$2,RJP$4),Table1[],(MATCH(Calendar!$A18,DB!$1:$1,0)),FALSE)),"")</f>
        <v/>
      </c>
      <c r="RJQ18" s="28" t="str">
        <f>IFERROR(IF(RJZ3="No",IF(VLOOKUP(DATE($K$1,$K$2,RJQ$4),Table1[],(MATCH(Calendar!$A18,DB!$1:$1,0)),FALSE)&gt;=5,"Good","Bad"),VLOOKUP(DATE($K$1,$K$2,RJQ$4),Table1[],(MATCH(Calendar!$A18,DB!$1:$1,0)),FALSE)),"")</f>
        <v/>
      </c>
      <c r="RJR18" s="28" t="str">
        <f>IFERROR(IF(RKA3="No",IF(VLOOKUP(DATE($K$1,$K$2,RJR$4),Table1[],(MATCH(Calendar!$A18,DB!$1:$1,0)),FALSE)&gt;=5,"Good","Bad"),VLOOKUP(DATE($K$1,$K$2,RJR$4),Table1[],(MATCH(Calendar!$A18,DB!$1:$1,0)),FALSE)),"")</f>
        <v/>
      </c>
      <c r="RJS18" s="28" t="str">
        <f>IFERROR(IF(RKB3="No",IF(VLOOKUP(DATE($K$1,$K$2,RJS$4),Table1[],(MATCH(Calendar!$A18,DB!$1:$1,0)),FALSE)&gt;=5,"Good","Bad"),VLOOKUP(DATE($K$1,$K$2,RJS$4),Table1[],(MATCH(Calendar!$A18,DB!$1:$1,0)),FALSE)),"")</f>
        <v/>
      </c>
      <c r="RJT18" s="28" t="str">
        <f>IFERROR(IF(RKC3="No",IF(VLOOKUP(DATE($K$1,$K$2,RJT$4),Table1[],(MATCH(Calendar!$A18,DB!$1:$1,0)),FALSE)&gt;=5,"Good","Bad"),VLOOKUP(DATE($K$1,$K$2,RJT$4),Table1[],(MATCH(Calendar!$A18,DB!$1:$1,0)),FALSE)),"")</f>
        <v/>
      </c>
      <c r="RJU18" s="28" t="str">
        <f>IFERROR(IF(RKD3="No",IF(VLOOKUP(DATE($K$1,$K$2,RJU$4),Table1[],(MATCH(Calendar!$A18,DB!$1:$1,0)),FALSE)&gt;=5,"Good","Bad"),VLOOKUP(DATE($K$1,$K$2,RJU$4),Table1[],(MATCH(Calendar!$A18,DB!$1:$1,0)),FALSE)),"")</f>
        <v/>
      </c>
      <c r="RJV18" s="28" t="str">
        <f>IFERROR(IF(RKE3="No",IF(VLOOKUP(DATE($K$1,$K$2,RJV$4),Table1[],(MATCH(Calendar!$A18,DB!$1:$1,0)),FALSE)&gt;=5,"Good","Bad"),VLOOKUP(DATE($K$1,$K$2,RJV$4),Table1[],(MATCH(Calendar!$A18,DB!$1:$1,0)),FALSE)),"")</f>
        <v/>
      </c>
      <c r="RJW18" s="28" t="str">
        <f>IFERROR(IF(RKF3="No",IF(VLOOKUP(DATE($K$1,$K$2,RJW$4),Table1[],(MATCH(Calendar!$A18,DB!$1:$1,0)),FALSE)&gt;=5,"Good","Bad"),VLOOKUP(DATE($K$1,$K$2,RJW$4),Table1[],(MATCH(Calendar!$A18,DB!$1:$1,0)),FALSE)),"")</f>
        <v/>
      </c>
      <c r="RJX18" s="28" t="str">
        <f>IFERROR(IF(RKG3="No",IF(VLOOKUP(DATE($K$1,$K$2,RJX$4),Table1[],(MATCH(Calendar!$A18,DB!$1:$1,0)),FALSE)&gt;=5,"Good","Bad"),VLOOKUP(DATE($K$1,$K$2,RJX$4),Table1[],(MATCH(Calendar!$A18,DB!$1:$1,0)),FALSE)),"")</f>
        <v/>
      </c>
      <c r="RJY18" s="28" t="str">
        <f>IFERROR(IF(RKH3="No",IF(VLOOKUP(DATE($K$1,$K$2,RJY$4),Table1[],(MATCH(Calendar!$A18,DB!$1:$1,0)),FALSE)&gt;=5,"Good","Bad"),VLOOKUP(DATE($K$1,$K$2,RJY$4),Table1[],(MATCH(Calendar!$A18,DB!$1:$1,0)),FALSE)),"")</f>
        <v/>
      </c>
      <c r="RJZ18" s="28" t="str">
        <f>IFERROR(IF(RKI3="No",IF(VLOOKUP(DATE($K$1,$K$2,RJZ$4),Table1[],(MATCH(Calendar!$A18,DB!$1:$1,0)),FALSE)&gt;=5,"Good","Bad"),VLOOKUP(DATE($K$1,$K$2,RJZ$4),Table1[],(MATCH(Calendar!$A18,DB!$1:$1,0)),FALSE)),"")</f>
        <v/>
      </c>
      <c r="RKA18" s="28" t="str">
        <f>IFERROR(IF(RKJ3="No",IF(VLOOKUP(DATE($K$1,$K$2,RKA$4),Table1[],(MATCH(Calendar!$A18,DB!$1:$1,0)),FALSE)&gt;=5,"Good","Bad"),VLOOKUP(DATE($K$1,$K$2,RKA$4),Table1[],(MATCH(Calendar!$A18,DB!$1:$1,0)),FALSE)),"")</f>
        <v/>
      </c>
      <c r="RKB18" s="28" t="str">
        <f>IFERROR(IF(RKK3="No",IF(VLOOKUP(DATE($K$1,$K$2,RKB$4),Table1[],(MATCH(Calendar!$A18,DB!$1:$1,0)),FALSE)&gt;=5,"Good","Bad"),VLOOKUP(DATE($K$1,$K$2,RKB$4),Table1[],(MATCH(Calendar!$A18,DB!$1:$1,0)),FALSE)),"")</f>
        <v/>
      </c>
      <c r="RKC18" s="28" t="str">
        <f>IFERROR(IF(RKL3="No",IF(VLOOKUP(DATE($K$1,$K$2,RKC$4),Table1[],(MATCH(Calendar!$A18,DB!$1:$1,0)),FALSE)&gt;=5,"Good","Bad"),VLOOKUP(DATE($K$1,$K$2,RKC$4),Table1[],(MATCH(Calendar!$A18,DB!$1:$1,0)),FALSE)),"")</f>
        <v/>
      </c>
      <c r="RKD18" s="28" t="str">
        <f>IFERROR(IF(RKM3="No",IF(VLOOKUP(DATE($K$1,$K$2,RKD$4),Table1[],(MATCH(Calendar!$A18,DB!$1:$1,0)),FALSE)&gt;=5,"Good","Bad"),VLOOKUP(DATE($K$1,$K$2,RKD$4),Table1[],(MATCH(Calendar!$A18,DB!$1:$1,0)),FALSE)),"")</f>
        <v/>
      </c>
      <c r="RKE18" s="28" t="str">
        <f>IFERROR(IF(RKN3="No",IF(VLOOKUP(DATE($K$1,$K$2,RKE$4),Table1[],(MATCH(Calendar!$A18,DB!$1:$1,0)),FALSE)&gt;=5,"Good","Bad"),VLOOKUP(DATE($K$1,$K$2,RKE$4),Table1[],(MATCH(Calendar!$A18,DB!$1:$1,0)),FALSE)),"")</f>
        <v/>
      </c>
      <c r="RKF18" s="28" t="str">
        <f>IFERROR(IF(RKO3="No",IF(VLOOKUP(DATE($K$1,$K$2,RKF$4),Table1[],(MATCH(Calendar!$A18,DB!$1:$1,0)),FALSE)&gt;=5,"Good","Bad"),VLOOKUP(DATE($K$1,$K$2,RKF$4),Table1[],(MATCH(Calendar!$A18,DB!$1:$1,0)),FALSE)),"")</f>
        <v/>
      </c>
      <c r="RKG18" s="28" t="str">
        <f>IFERROR(IF(RKP3="No",IF(VLOOKUP(DATE($K$1,$K$2,RKG$4),Table1[],(MATCH(Calendar!$A18,DB!$1:$1,0)),FALSE)&gt;=5,"Good","Bad"),VLOOKUP(DATE($K$1,$K$2,RKG$4),Table1[],(MATCH(Calendar!$A18,DB!$1:$1,0)),FALSE)),"")</f>
        <v/>
      </c>
      <c r="RKH18" s="28" t="str">
        <f>IFERROR(IF(RKQ3="No",IF(VLOOKUP(DATE($K$1,$K$2,RKH$4),Table1[],(MATCH(Calendar!$A18,DB!$1:$1,0)),FALSE)&gt;=5,"Good","Bad"),VLOOKUP(DATE($K$1,$K$2,RKH$4),Table1[],(MATCH(Calendar!$A18,DB!$1:$1,0)),FALSE)),"")</f>
        <v/>
      </c>
      <c r="RKI18" s="28" t="str">
        <f>IFERROR(IF(RKR3="No",IF(VLOOKUP(DATE($K$1,$K$2,RKI$4),Table1[],(MATCH(Calendar!$A18,DB!$1:$1,0)),FALSE)&gt;=5,"Good","Bad"),VLOOKUP(DATE($K$1,$K$2,RKI$4),Table1[],(MATCH(Calendar!$A18,DB!$1:$1,0)),FALSE)),"")</f>
        <v/>
      </c>
      <c r="RKJ18" s="28" t="str">
        <f>IFERROR(IF(RKS3="No",IF(VLOOKUP(DATE($K$1,$K$2,RKJ$4),Table1[],(MATCH(Calendar!$A18,DB!$1:$1,0)),FALSE)&gt;=5,"Good","Bad"),VLOOKUP(DATE($K$1,$K$2,RKJ$4),Table1[],(MATCH(Calendar!$A18,DB!$1:$1,0)),FALSE)),"")</f>
        <v/>
      </c>
      <c r="RKK18" s="28" t="str">
        <f>IFERROR(IF(RKT3="No",IF(VLOOKUP(DATE($K$1,$K$2,RKK$4),Table1[],(MATCH(Calendar!$A18,DB!$1:$1,0)),FALSE)&gt;=5,"Good","Bad"),VLOOKUP(DATE($K$1,$K$2,RKK$4),Table1[],(MATCH(Calendar!$A18,DB!$1:$1,0)),FALSE)),"")</f>
        <v/>
      </c>
      <c r="RKL18" s="28" t="str">
        <f>IFERROR(IF(RKU3="No",IF(VLOOKUP(DATE($K$1,$K$2,RKL$4),Table1[],(MATCH(Calendar!$A18,DB!$1:$1,0)),FALSE)&gt;=5,"Good","Bad"),VLOOKUP(DATE($K$1,$K$2,RKL$4),Table1[],(MATCH(Calendar!$A18,DB!$1:$1,0)),FALSE)),"")</f>
        <v/>
      </c>
      <c r="RKM18" s="28" t="str">
        <f>IFERROR(IF(RKV3="No",IF(VLOOKUP(DATE($K$1,$K$2,RKM$4),Table1[],(MATCH(Calendar!$A18,DB!$1:$1,0)),FALSE)&gt;=5,"Good","Bad"),VLOOKUP(DATE($K$1,$K$2,RKM$4),Table1[],(MATCH(Calendar!$A18,DB!$1:$1,0)),FALSE)),"")</f>
        <v/>
      </c>
      <c r="RKN18" s="28" t="str">
        <f>IFERROR(IF(RKW3="No",IF(VLOOKUP(DATE($K$1,$K$2,RKN$4),Table1[],(MATCH(Calendar!$A18,DB!$1:$1,0)),FALSE)&gt;=5,"Good","Bad"),VLOOKUP(DATE($K$1,$K$2,RKN$4),Table1[],(MATCH(Calendar!$A18,DB!$1:$1,0)),FALSE)),"")</f>
        <v/>
      </c>
      <c r="RKO18" s="28" t="str">
        <f>IFERROR(IF(RKX3="No",IF(VLOOKUP(DATE($K$1,$K$2,RKO$4),Table1[],(MATCH(Calendar!$A18,DB!$1:$1,0)),FALSE)&gt;=5,"Good","Bad"),VLOOKUP(DATE($K$1,$K$2,RKO$4),Table1[],(MATCH(Calendar!$A18,DB!$1:$1,0)),FALSE)),"")</f>
        <v/>
      </c>
      <c r="RKP18" s="28" t="str">
        <f>IFERROR(IF(RKY3="No",IF(VLOOKUP(DATE($K$1,$K$2,RKP$4),Table1[],(MATCH(Calendar!$A18,DB!$1:$1,0)),FALSE)&gt;=5,"Good","Bad"),VLOOKUP(DATE($K$1,$K$2,RKP$4),Table1[],(MATCH(Calendar!$A18,DB!$1:$1,0)),FALSE)),"")</f>
        <v/>
      </c>
      <c r="RKQ18" s="28" t="str">
        <f>IFERROR(IF(RKZ3="No",IF(VLOOKUP(DATE($K$1,$K$2,RKQ$4),Table1[],(MATCH(Calendar!$A18,DB!$1:$1,0)),FALSE)&gt;=5,"Good","Bad"),VLOOKUP(DATE($K$1,$K$2,RKQ$4),Table1[],(MATCH(Calendar!$A18,DB!$1:$1,0)),FALSE)),"")</f>
        <v/>
      </c>
      <c r="RKR18" s="28" t="str">
        <f>IFERROR(IF(RLA3="No",IF(VLOOKUP(DATE($K$1,$K$2,RKR$4),Table1[],(MATCH(Calendar!$A18,DB!$1:$1,0)),FALSE)&gt;=5,"Good","Bad"),VLOOKUP(DATE($K$1,$K$2,RKR$4),Table1[],(MATCH(Calendar!$A18,DB!$1:$1,0)),FALSE)),"")</f>
        <v/>
      </c>
      <c r="RKS18" s="28" t="str">
        <f>IFERROR(IF(RLB3="No",IF(VLOOKUP(DATE($K$1,$K$2,RKS$4),Table1[],(MATCH(Calendar!$A18,DB!$1:$1,0)),FALSE)&gt;=5,"Good","Bad"),VLOOKUP(DATE($K$1,$K$2,RKS$4),Table1[],(MATCH(Calendar!$A18,DB!$1:$1,0)),FALSE)),"")</f>
        <v/>
      </c>
      <c r="RKT18" s="28" t="str">
        <f>IFERROR(IF(RLC3="No",IF(VLOOKUP(DATE($K$1,$K$2,RKT$4),Table1[],(MATCH(Calendar!$A18,DB!$1:$1,0)),FALSE)&gt;=5,"Good","Bad"),VLOOKUP(DATE($K$1,$K$2,RKT$4),Table1[],(MATCH(Calendar!$A18,DB!$1:$1,0)),FALSE)),"")</f>
        <v/>
      </c>
      <c r="RKU18" s="28" t="str">
        <f>IFERROR(IF(RLD3="No",IF(VLOOKUP(DATE($K$1,$K$2,RKU$4),Table1[],(MATCH(Calendar!$A18,DB!$1:$1,0)),FALSE)&gt;=5,"Good","Bad"),VLOOKUP(DATE($K$1,$K$2,RKU$4),Table1[],(MATCH(Calendar!$A18,DB!$1:$1,0)),FALSE)),"")</f>
        <v/>
      </c>
      <c r="RKV18" s="28" t="str">
        <f>IFERROR(IF(RLE3="No",IF(VLOOKUP(DATE($K$1,$K$2,RKV$4),Table1[],(MATCH(Calendar!$A18,DB!$1:$1,0)),FALSE)&gt;=5,"Good","Bad"),VLOOKUP(DATE($K$1,$K$2,RKV$4),Table1[],(MATCH(Calendar!$A18,DB!$1:$1,0)),FALSE)),"")</f>
        <v/>
      </c>
      <c r="RKW18" s="28" t="str">
        <f>IFERROR(IF(RLF3="No",IF(VLOOKUP(DATE($K$1,$K$2,RKW$4),Table1[],(MATCH(Calendar!$A18,DB!$1:$1,0)),FALSE)&gt;=5,"Good","Bad"),VLOOKUP(DATE($K$1,$K$2,RKW$4),Table1[],(MATCH(Calendar!$A18,DB!$1:$1,0)),FALSE)),"")</f>
        <v/>
      </c>
      <c r="RKX18" s="28" t="str">
        <f>IFERROR(IF(RLG3="No",IF(VLOOKUP(DATE($K$1,$K$2,RKX$4),Table1[],(MATCH(Calendar!$A18,DB!$1:$1,0)),FALSE)&gt;=5,"Good","Bad"),VLOOKUP(DATE($K$1,$K$2,RKX$4),Table1[],(MATCH(Calendar!$A18,DB!$1:$1,0)),FALSE)),"")</f>
        <v/>
      </c>
      <c r="RKY18" s="28" t="str">
        <f>IFERROR(IF(RLH3="No",IF(VLOOKUP(DATE($K$1,$K$2,RKY$4),Table1[],(MATCH(Calendar!$A18,DB!$1:$1,0)),FALSE)&gt;=5,"Good","Bad"),VLOOKUP(DATE($K$1,$K$2,RKY$4),Table1[],(MATCH(Calendar!$A18,DB!$1:$1,0)),FALSE)),"")</f>
        <v/>
      </c>
      <c r="RKZ18" s="28" t="str">
        <f>IFERROR(IF(RLI3="No",IF(VLOOKUP(DATE($K$1,$K$2,RKZ$4),Table1[],(MATCH(Calendar!$A18,DB!$1:$1,0)),FALSE)&gt;=5,"Good","Bad"),VLOOKUP(DATE($K$1,$K$2,RKZ$4),Table1[],(MATCH(Calendar!$A18,DB!$1:$1,0)),FALSE)),"")</f>
        <v/>
      </c>
      <c r="RLA18" s="28" t="str">
        <f>IFERROR(IF(RLJ3="No",IF(VLOOKUP(DATE($K$1,$K$2,RLA$4),Table1[],(MATCH(Calendar!$A18,DB!$1:$1,0)),FALSE)&gt;=5,"Good","Bad"),VLOOKUP(DATE($K$1,$K$2,RLA$4),Table1[],(MATCH(Calendar!$A18,DB!$1:$1,0)),FALSE)),"")</f>
        <v/>
      </c>
      <c r="RLB18" s="28" t="str">
        <f>IFERROR(IF(RLK3="No",IF(VLOOKUP(DATE($K$1,$K$2,RLB$4),Table1[],(MATCH(Calendar!$A18,DB!$1:$1,0)),FALSE)&gt;=5,"Good","Bad"),VLOOKUP(DATE($K$1,$K$2,RLB$4),Table1[],(MATCH(Calendar!$A18,DB!$1:$1,0)),FALSE)),"")</f>
        <v/>
      </c>
      <c r="RLC18" s="28" t="str">
        <f>IFERROR(IF(RLL3="No",IF(VLOOKUP(DATE($K$1,$K$2,RLC$4),Table1[],(MATCH(Calendar!$A18,DB!$1:$1,0)),FALSE)&gt;=5,"Good","Bad"),VLOOKUP(DATE($K$1,$K$2,RLC$4),Table1[],(MATCH(Calendar!$A18,DB!$1:$1,0)),FALSE)),"")</f>
        <v/>
      </c>
      <c r="RLD18" s="28" t="str">
        <f>IFERROR(IF(RLM3="No",IF(VLOOKUP(DATE($K$1,$K$2,RLD$4),Table1[],(MATCH(Calendar!$A18,DB!$1:$1,0)),FALSE)&gt;=5,"Good","Bad"),VLOOKUP(DATE($K$1,$K$2,RLD$4),Table1[],(MATCH(Calendar!$A18,DB!$1:$1,0)),FALSE)),"")</f>
        <v/>
      </c>
      <c r="RLE18" s="28" t="str">
        <f>IFERROR(IF(RLN3="No",IF(VLOOKUP(DATE($K$1,$K$2,RLE$4),Table1[],(MATCH(Calendar!$A18,DB!$1:$1,0)),FALSE)&gt;=5,"Good","Bad"),VLOOKUP(DATE($K$1,$K$2,RLE$4),Table1[],(MATCH(Calendar!$A18,DB!$1:$1,0)),FALSE)),"")</f>
        <v/>
      </c>
      <c r="RLF18" s="28" t="str">
        <f>IFERROR(IF(RLO3="No",IF(VLOOKUP(DATE($K$1,$K$2,RLF$4),Table1[],(MATCH(Calendar!$A18,DB!$1:$1,0)),FALSE)&gt;=5,"Good","Bad"),VLOOKUP(DATE($K$1,$K$2,RLF$4),Table1[],(MATCH(Calendar!$A18,DB!$1:$1,0)),FALSE)),"")</f>
        <v/>
      </c>
      <c r="RLG18" s="28" t="str">
        <f>IFERROR(IF(RLP3="No",IF(VLOOKUP(DATE($K$1,$K$2,RLG$4),Table1[],(MATCH(Calendar!$A18,DB!$1:$1,0)),FALSE)&gt;=5,"Good","Bad"),VLOOKUP(DATE($K$1,$K$2,RLG$4),Table1[],(MATCH(Calendar!$A18,DB!$1:$1,0)),FALSE)),"")</f>
        <v/>
      </c>
      <c r="RLH18" s="28" t="str">
        <f>IFERROR(IF(RLQ3="No",IF(VLOOKUP(DATE($K$1,$K$2,RLH$4),Table1[],(MATCH(Calendar!$A18,DB!$1:$1,0)),FALSE)&gt;=5,"Good","Bad"),VLOOKUP(DATE($K$1,$K$2,RLH$4),Table1[],(MATCH(Calendar!$A18,DB!$1:$1,0)),FALSE)),"")</f>
        <v/>
      </c>
      <c r="RLI18" s="28" t="str">
        <f>IFERROR(IF(RLR3="No",IF(VLOOKUP(DATE($K$1,$K$2,RLI$4),Table1[],(MATCH(Calendar!$A18,DB!$1:$1,0)),FALSE)&gt;=5,"Good","Bad"),VLOOKUP(DATE($K$1,$K$2,RLI$4),Table1[],(MATCH(Calendar!$A18,DB!$1:$1,0)),FALSE)),"")</f>
        <v/>
      </c>
      <c r="RLJ18" s="28" t="str">
        <f>IFERROR(IF(RLS3="No",IF(VLOOKUP(DATE($K$1,$K$2,RLJ$4),Table1[],(MATCH(Calendar!$A18,DB!$1:$1,0)),FALSE)&gt;=5,"Good","Bad"),VLOOKUP(DATE($K$1,$K$2,RLJ$4),Table1[],(MATCH(Calendar!$A18,DB!$1:$1,0)),FALSE)),"")</f>
        <v/>
      </c>
      <c r="RLK18" s="28" t="str">
        <f>IFERROR(IF(RLT3="No",IF(VLOOKUP(DATE($K$1,$K$2,RLK$4),Table1[],(MATCH(Calendar!$A18,DB!$1:$1,0)),FALSE)&gt;=5,"Good","Bad"),VLOOKUP(DATE($K$1,$K$2,RLK$4),Table1[],(MATCH(Calendar!$A18,DB!$1:$1,0)),FALSE)),"")</f>
        <v/>
      </c>
      <c r="RLL18" s="28" t="str">
        <f>IFERROR(IF(RLU3="No",IF(VLOOKUP(DATE($K$1,$K$2,RLL$4),Table1[],(MATCH(Calendar!$A18,DB!$1:$1,0)),FALSE)&gt;=5,"Good","Bad"),VLOOKUP(DATE($K$1,$K$2,RLL$4),Table1[],(MATCH(Calendar!$A18,DB!$1:$1,0)),FALSE)),"")</f>
        <v/>
      </c>
      <c r="RLM18" s="28" t="str">
        <f>IFERROR(IF(RLV3="No",IF(VLOOKUP(DATE($K$1,$K$2,RLM$4),Table1[],(MATCH(Calendar!$A18,DB!$1:$1,0)),FALSE)&gt;=5,"Good","Bad"),VLOOKUP(DATE($K$1,$K$2,RLM$4),Table1[],(MATCH(Calendar!$A18,DB!$1:$1,0)),FALSE)),"")</f>
        <v/>
      </c>
      <c r="RLN18" s="28" t="str">
        <f>IFERROR(IF(RLW3="No",IF(VLOOKUP(DATE($K$1,$K$2,RLN$4),Table1[],(MATCH(Calendar!$A18,DB!$1:$1,0)),FALSE)&gt;=5,"Good","Bad"),VLOOKUP(DATE($K$1,$K$2,RLN$4),Table1[],(MATCH(Calendar!$A18,DB!$1:$1,0)),FALSE)),"")</f>
        <v/>
      </c>
      <c r="RLO18" s="28" t="str">
        <f>IFERROR(IF(RLX3="No",IF(VLOOKUP(DATE($K$1,$K$2,RLO$4),Table1[],(MATCH(Calendar!$A18,DB!$1:$1,0)),FALSE)&gt;=5,"Good","Bad"),VLOOKUP(DATE($K$1,$K$2,RLO$4),Table1[],(MATCH(Calendar!$A18,DB!$1:$1,0)),FALSE)),"")</f>
        <v/>
      </c>
      <c r="RLP18" s="28" t="str">
        <f>IFERROR(IF(RLY3="No",IF(VLOOKUP(DATE($K$1,$K$2,RLP$4),Table1[],(MATCH(Calendar!$A18,DB!$1:$1,0)),FALSE)&gt;=5,"Good","Bad"),VLOOKUP(DATE($K$1,$K$2,RLP$4),Table1[],(MATCH(Calendar!$A18,DB!$1:$1,0)),FALSE)),"")</f>
        <v/>
      </c>
      <c r="RLQ18" s="28" t="str">
        <f>IFERROR(IF(RLZ3="No",IF(VLOOKUP(DATE($K$1,$K$2,RLQ$4),Table1[],(MATCH(Calendar!$A18,DB!$1:$1,0)),FALSE)&gt;=5,"Good","Bad"),VLOOKUP(DATE($K$1,$K$2,RLQ$4),Table1[],(MATCH(Calendar!$A18,DB!$1:$1,0)),FALSE)),"")</f>
        <v/>
      </c>
      <c r="RLR18" s="28" t="str">
        <f>IFERROR(IF(RMA3="No",IF(VLOOKUP(DATE($K$1,$K$2,RLR$4),Table1[],(MATCH(Calendar!$A18,DB!$1:$1,0)),FALSE)&gt;=5,"Good","Bad"),VLOOKUP(DATE($K$1,$K$2,RLR$4),Table1[],(MATCH(Calendar!$A18,DB!$1:$1,0)),FALSE)),"")</f>
        <v/>
      </c>
      <c r="RLS18" s="28" t="str">
        <f>IFERROR(IF(RMB3="No",IF(VLOOKUP(DATE($K$1,$K$2,RLS$4),Table1[],(MATCH(Calendar!$A18,DB!$1:$1,0)),FALSE)&gt;=5,"Good","Bad"),VLOOKUP(DATE($K$1,$K$2,RLS$4),Table1[],(MATCH(Calendar!$A18,DB!$1:$1,0)),FALSE)),"")</f>
        <v/>
      </c>
      <c r="RLT18" s="28" t="str">
        <f>IFERROR(IF(RMC3="No",IF(VLOOKUP(DATE($K$1,$K$2,RLT$4),Table1[],(MATCH(Calendar!$A18,DB!$1:$1,0)),FALSE)&gt;=5,"Good","Bad"),VLOOKUP(DATE($K$1,$K$2,RLT$4),Table1[],(MATCH(Calendar!$A18,DB!$1:$1,0)),FALSE)),"")</f>
        <v/>
      </c>
      <c r="RLU18" s="28" t="str">
        <f>IFERROR(IF(RMD3="No",IF(VLOOKUP(DATE($K$1,$K$2,RLU$4),Table1[],(MATCH(Calendar!$A18,DB!$1:$1,0)),FALSE)&gt;=5,"Good","Bad"),VLOOKUP(DATE($K$1,$K$2,RLU$4),Table1[],(MATCH(Calendar!$A18,DB!$1:$1,0)),FALSE)),"")</f>
        <v/>
      </c>
      <c r="RLV18" s="28" t="str">
        <f>IFERROR(IF(RME3="No",IF(VLOOKUP(DATE($K$1,$K$2,RLV$4),Table1[],(MATCH(Calendar!$A18,DB!$1:$1,0)),FALSE)&gt;=5,"Good","Bad"),VLOOKUP(DATE($K$1,$K$2,RLV$4),Table1[],(MATCH(Calendar!$A18,DB!$1:$1,0)),FALSE)),"")</f>
        <v/>
      </c>
      <c r="RLW18" s="28" t="str">
        <f>IFERROR(IF(RMF3="No",IF(VLOOKUP(DATE($K$1,$K$2,RLW$4),Table1[],(MATCH(Calendar!$A18,DB!$1:$1,0)),FALSE)&gt;=5,"Good","Bad"),VLOOKUP(DATE($K$1,$K$2,RLW$4),Table1[],(MATCH(Calendar!$A18,DB!$1:$1,0)),FALSE)),"")</f>
        <v/>
      </c>
      <c r="RLX18" s="28" t="str">
        <f>IFERROR(IF(RMG3="No",IF(VLOOKUP(DATE($K$1,$K$2,RLX$4),Table1[],(MATCH(Calendar!$A18,DB!$1:$1,0)),FALSE)&gt;=5,"Good","Bad"),VLOOKUP(DATE($K$1,$K$2,RLX$4),Table1[],(MATCH(Calendar!$A18,DB!$1:$1,0)),FALSE)),"")</f>
        <v/>
      </c>
      <c r="RLY18" s="28" t="str">
        <f>IFERROR(IF(RMH3="No",IF(VLOOKUP(DATE($K$1,$K$2,RLY$4),Table1[],(MATCH(Calendar!$A18,DB!$1:$1,0)),FALSE)&gt;=5,"Good","Bad"),VLOOKUP(DATE($K$1,$K$2,RLY$4),Table1[],(MATCH(Calendar!$A18,DB!$1:$1,0)),FALSE)),"")</f>
        <v/>
      </c>
      <c r="RLZ18" s="28" t="str">
        <f>IFERROR(IF(RMI3="No",IF(VLOOKUP(DATE($K$1,$K$2,RLZ$4),Table1[],(MATCH(Calendar!$A18,DB!$1:$1,0)),FALSE)&gt;=5,"Good","Bad"),VLOOKUP(DATE($K$1,$K$2,RLZ$4),Table1[],(MATCH(Calendar!$A18,DB!$1:$1,0)),FALSE)),"")</f>
        <v/>
      </c>
      <c r="RMA18" s="28" t="str">
        <f>IFERROR(IF(RMJ3="No",IF(VLOOKUP(DATE($K$1,$K$2,RMA$4),Table1[],(MATCH(Calendar!$A18,DB!$1:$1,0)),FALSE)&gt;=5,"Good","Bad"),VLOOKUP(DATE($K$1,$K$2,RMA$4),Table1[],(MATCH(Calendar!$A18,DB!$1:$1,0)),FALSE)),"")</f>
        <v/>
      </c>
      <c r="RMB18" s="28" t="str">
        <f>IFERROR(IF(RMK3="No",IF(VLOOKUP(DATE($K$1,$K$2,RMB$4),Table1[],(MATCH(Calendar!$A18,DB!$1:$1,0)),FALSE)&gt;=5,"Good","Bad"),VLOOKUP(DATE($K$1,$K$2,RMB$4),Table1[],(MATCH(Calendar!$A18,DB!$1:$1,0)),FALSE)),"")</f>
        <v/>
      </c>
      <c r="RMC18" s="28" t="str">
        <f>IFERROR(IF(RML3="No",IF(VLOOKUP(DATE($K$1,$K$2,RMC$4),Table1[],(MATCH(Calendar!$A18,DB!$1:$1,0)),FALSE)&gt;=5,"Good","Bad"),VLOOKUP(DATE($K$1,$K$2,RMC$4),Table1[],(MATCH(Calendar!$A18,DB!$1:$1,0)),FALSE)),"")</f>
        <v/>
      </c>
      <c r="RMD18" s="28" t="str">
        <f>IFERROR(IF(RMM3="No",IF(VLOOKUP(DATE($K$1,$K$2,RMD$4),Table1[],(MATCH(Calendar!$A18,DB!$1:$1,0)),FALSE)&gt;=5,"Good","Bad"),VLOOKUP(DATE($K$1,$K$2,RMD$4),Table1[],(MATCH(Calendar!$A18,DB!$1:$1,0)),FALSE)),"")</f>
        <v/>
      </c>
      <c r="RME18" s="28" t="str">
        <f>IFERROR(IF(RMN3="No",IF(VLOOKUP(DATE($K$1,$K$2,RME$4),Table1[],(MATCH(Calendar!$A18,DB!$1:$1,0)),FALSE)&gt;=5,"Good","Bad"),VLOOKUP(DATE($K$1,$K$2,RME$4),Table1[],(MATCH(Calendar!$A18,DB!$1:$1,0)),FALSE)),"")</f>
        <v/>
      </c>
      <c r="RMF18" s="28" t="str">
        <f>IFERROR(IF(RMO3="No",IF(VLOOKUP(DATE($K$1,$K$2,RMF$4),Table1[],(MATCH(Calendar!$A18,DB!$1:$1,0)),FALSE)&gt;=5,"Good","Bad"),VLOOKUP(DATE($K$1,$K$2,RMF$4),Table1[],(MATCH(Calendar!$A18,DB!$1:$1,0)),FALSE)),"")</f>
        <v/>
      </c>
      <c r="RMG18" s="28" t="str">
        <f>IFERROR(IF(RMP3="No",IF(VLOOKUP(DATE($K$1,$K$2,RMG$4),Table1[],(MATCH(Calendar!$A18,DB!$1:$1,0)),FALSE)&gt;=5,"Good","Bad"),VLOOKUP(DATE($K$1,$K$2,RMG$4),Table1[],(MATCH(Calendar!$A18,DB!$1:$1,0)),FALSE)),"")</f>
        <v/>
      </c>
      <c r="RMH18" s="28" t="str">
        <f>IFERROR(IF(RMQ3="No",IF(VLOOKUP(DATE($K$1,$K$2,RMH$4),Table1[],(MATCH(Calendar!$A18,DB!$1:$1,0)),FALSE)&gt;=5,"Good","Bad"),VLOOKUP(DATE($K$1,$K$2,RMH$4),Table1[],(MATCH(Calendar!$A18,DB!$1:$1,0)),FALSE)),"")</f>
        <v/>
      </c>
      <c r="RMI18" s="28" t="str">
        <f>IFERROR(IF(RMR3="No",IF(VLOOKUP(DATE($K$1,$K$2,RMI$4),Table1[],(MATCH(Calendar!$A18,DB!$1:$1,0)),FALSE)&gt;=5,"Good","Bad"),VLOOKUP(DATE($K$1,$K$2,RMI$4),Table1[],(MATCH(Calendar!$A18,DB!$1:$1,0)),FALSE)),"")</f>
        <v/>
      </c>
      <c r="RMJ18" s="28" t="str">
        <f>IFERROR(IF(RMS3="No",IF(VLOOKUP(DATE($K$1,$K$2,RMJ$4),Table1[],(MATCH(Calendar!$A18,DB!$1:$1,0)),FALSE)&gt;=5,"Good","Bad"),VLOOKUP(DATE($K$1,$K$2,RMJ$4),Table1[],(MATCH(Calendar!$A18,DB!$1:$1,0)),FALSE)),"")</f>
        <v/>
      </c>
      <c r="RMK18" s="28" t="str">
        <f>IFERROR(IF(RMT3="No",IF(VLOOKUP(DATE($K$1,$K$2,RMK$4),Table1[],(MATCH(Calendar!$A18,DB!$1:$1,0)),FALSE)&gt;=5,"Good","Bad"),VLOOKUP(DATE($K$1,$K$2,RMK$4),Table1[],(MATCH(Calendar!$A18,DB!$1:$1,0)),FALSE)),"")</f>
        <v/>
      </c>
      <c r="RML18" s="28" t="str">
        <f>IFERROR(IF(RMU3="No",IF(VLOOKUP(DATE($K$1,$K$2,RML$4),Table1[],(MATCH(Calendar!$A18,DB!$1:$1,0)),FALSE)&gt;=5,"Good","Bad"),VLOOKUP(DATE($K$1,$K$2,RML$4),Table1[],(MATCH(Calendar!$A18,DB!$1:$1,0)),FALSE)),"")</f>
        <v/>
      </c>
      <c r="RMM18" s="28" t="str">
        <f>IFERROR(IF(RMV3="No",IF(VLOOKUP(DATE($K$1,$K$2,RMM$4),Table1[],(MATCH(Calendar!$A18,DB!$1:$1,0)),FALSE)&gt;=5,"Good","Bad"),VLOOKUP(DATE($K$1,$K$2,RMM$4),Table1[],(MATCH(Calendar!$A18,DB!$1:$1,0)),FALSE)),"")</f>
        <v/>
      </c>
      <c r="RMN18" s="28" t="str">
        <f>IFERROR(IF(RMW3="No",IF(VLOOKUP(DATE($K$1,$K$2,RMN$4),Table1[],(MATCH(Calendar!$A18,DB!$1:$1,0)),FALSE)&gt;=5,"Good","Bad"),VLOOKUP(DATE($K$1,$K$2,RMN$4),Table1[],(MATCH(Calendar!$A18,DB!$1:$1,0)),FALSE)),"")</f>
        <v/>
      </c>
      <c r="RMO18" s="28" t="str">
        <f>IFERROR(IF(RMX3="No",IF(VLOOKUP(DATE($K$1,$K$2,RMO$4),Table1[],(MATCH(Calendar!$A18,DB!$1:$1,0)),FALSE)&gt;=5,"Good","Bad"),VLOOKUP(DATE($K$1,$K$2,RMO$4),Table1[],(MATCH(Calendar!$A18,DB!$1:$1,0)),FALSE)),"")</f>
        <v/>
      </c>
      <c r="RMP18" s="28" t="str">
        <f>IFERROR(IF(RMY3="No",IF(VLOOKUP(DATE($K$1,$K$2,RMP$4),Table1[],(MATCH(Calendar!$A18,DB!$1:$1,0)),FALSE)&gt;=5,"Good","Bad"),VLOOKUP(DATE($K$1,$K$2,RMP$4),Table1[],(MATCH(Calendar!$A18,DB!$1:$1,0)),FALSE)),"")</f>
        <v/>
      </c>
      <c r="RMQ18" s="28" t="str">
        <f>IFERROR(IF(RMZ3="No",IF(VLOOKUP(DATE($K$1,$K$2,RMQ$4),Table1[],(MATCH(Calendar!$A18,DB!$1:$1,0)),FALSE)&gt;=5,"Good","Bad"),VLOOKUP(DATE($K$1,$K$2,RMQ$4),Table1[],(MATCH(Calendar!$A18,DB!$1:$1,0)),FALSE)),"")</f>
        <v/>
      </c>
      <c r="RMR18" s="28" t="str">
        <f>IFERROR(IF(RNA3="No",IF(VLOOKUP(DATE($K$1,$K$2,RMR$4),Table1[],(MATCH(Calendar!$A18,DB!$1:$1,0)),FALSE)&gt;=5,"Good","Bad"),VLOOKUP(DATE($K$1,$K$2,RMR$4),Table1[],(MATCH(Calendar!$A18,DB!$1:$1,0)),FALSE)),"")</f>
        <v/>
      </c>
      <c r="RMS18" s="28" t="str">
        <f>IFERROR(IF(RNB3="No",IF(VLOOKUP(DATE($K$1,$K$2,RMS$4),Table1[],(MATCH(Calendar!$A18,DB!$1:$1,0)),FALSE)&gt;=5,"Good","Bad"),VLOOKUP(DATE($K$1,$K$2,RMS$4),Table1[],(MATCH(Calendar!$A18,DB!$1:$1,0)),FALSE)),"")</f>
        <v/>
      </c>
      <c r="RMT18" s="28" t="str">
        <f>IFERROR(IF(RNC3="No",IF(VLOOKUP(DATE($K$1,$K$2,RMT$4),Table1[],(MATCH(Calendar!$A18,DB!$1:$1,0)),FALSE)&gt;=5,"Good","Bad"),VLOOKUP(DATE($K$1,$K$2,RMT$4),Table1[],(MATCH(Calendar!$A18,DB!$1:$1,0)),FALSE)),"")</f>
        <v/>
      </c>
      <c r="RMU18" s="28" t="str">
        <f>IFERROR(IF(RND3="No",IF(VLOOKUP(DATE($K$1,$K$2,RMU$4),Table1[],(MATCH(Calendar!$A18,DB!$1:$1,0)),FALSE)&gt;=5,"Good","Bad"),VLOOKUP(DATE($K$1,$K$2,RMU$4),Table1[],(MATCH(Calendar!$A18,DB!$1:$1,0)),FALSE)),"")</f>
        <v/>
      </c>
      <c r="RMV18" s="28" t="str">
        <f>IFERROR(IF(RNE3="No",IF(VLOOKUP(DATE($K$1,$K$2,RMV$4),Table1[],(MATCH(Calendar!$A18,DB!$1:$1,0)),FALSE)&gt;=5,"Good","Bad"),VLOOKUP(DATE($K$1,$K$2,RMV$4),Table1[],(MATCH(Calendar!$A18,DB!$1:$1,0)),FALSE)),"")</f>
        <v/>
      </c>
      <c r="RMW18" s="28" t="str">
        <f>IFERROR(IF(RNF3="No",IF(VLOOKUP(DATE($K$1,$K$2,RMW$4),Table1[],(MATCH(Calendar!$A18,DB!$1:$1,0)),FALSE)&gt;=5,"Good","Bad"),VLOOKUP(DATE($K$1,$K$2,RMW$4),Table1[],(MATCH(Calendar!$A18,DB!$1:$1,0)),FALSE)),"")</f>
        <v/>
      </c>
      <c r="RMX18" s="28" t="str">
        <f>IFERROR(IF(RNG3="No",IF(VLOOKUP(DATE($K$1,$K$2,RMX$4),Table1[],(MATCH(Calendar!$A18,DB!$1:$1,0)),FALSE)&gt;=5,"Good","Bad"),VLOOKUP(DATE($K$1,$K$2,RMX$4),Table1[],(MATCH(Calendar!$A18,DB!$1:$1,0)),FALSE)),"")</f>
        <v/>
      </c>
      <c r="RMY18" s="28" t="str">
        <f>IFERROR(IF(RNH3="No",IF(VLOOKUP(DATE($K$1,$K$2,RMY$4),Table1[],(MATCH(Calendar!$A18,DB!$1:$1,0)),FALSE)&gt;=5,"Good","Bad"),VLOOKUP(DATE($K$1,$K$2,RMY$4),Table1[],(MATCH(Calendar!$A18,DB!$1:$1,0)),FALSE)),"")</f>
        <v/>
      </c>
      <c r="RMZ18" s="28" t="str">
        <f>IFERROR(IF(RNI3="No",IF(VLOOKUP(DATE($K$1,$K$2,RMZ$4),Table1[],(MATCH(Calendar!$A18,DB!$1:$1,0)),FALSE)&gt;=5,"Good","Bad"),VLOOKUP(DATE($K$1,$K$2,RMZ$4),Table1[],(MATCH(Calendar!$A18,DB!$1:$1,0)),FALSE)),"")</f>
        <v/>
      </c>
      <c r="RNA18" s="28" t="str">
        <f>IFERROR(IF(RNJ3="No",IF(VLOOKUP(DATE($K$1,$K$2,RNA$4),Table1[],(MATCH(Calendar!$A18,DB!$1:$1,0)),FALSE)&gt;=5,"Good","Bad"),VLOOKUP(DATE($K$1,$K$2,RNA$4),Table1[],(MATCH(Calendar!$A18,DB!$1:$1,0)),FALSE)),"")</f>
        <v/>
      </c>
      <c r="RNB18" s="28" t="str">
        <f>IFERROR(IF(RNK3="No",IF(VLOOKUP(DATE($K$1,$K$2,RNB$4),Table1[],(MATCH(Calendar!$A18,DB!$1:$1,0)),FALSE)&gt;=5,"Good","Bad"),VLOOKUP(DATE($K$1,$K$2,RNB$4),Table1[],(MATCH(Calendar!$A18,DB!$1:$1,0)),FALSE)),"")</f>
        <v/>
      </c>
      <c r="RNC18" s="28" t="str">
        <f>IFERROR(IF(RNL3="No",IF(VLOOKUP(DATE($K$1,$K$2,RNC$4),Table1[],(MATCH(Calendar!$A18,DB!$1:$1,0)),FALSE)&gt;=5,"Good","Bad"),VLOOKUP(DATE($K$1,$K$2,RNC$4),Table1[],(MATCH(Calendar!$A18,DB!$1:$1,0)),FALSE)),"")</f>
        <v/>
      </c>
      <c r="RND18" s="28" t="str">
        <f>IFERROR(IF(RNM3="No",IF(VLOOKUP(DATE($K$1,$K$2,RND$4),Table1[],(MATCH(Calendar!$A18,DB!$1:$1,0)),FALSE)&gt;=5,"Good","Bad"),VLOOKUP(DATE($K$1,$K$2,RND$4),Table1[],(MATCH(Calendar!$A18,DB!$1:$1,0)),FALSE)),"")</f>
        <v/>
      </c>
      <c r="RNE18" s="28" t="str">
        <f>IFERROR(IF(RNN3="No",IF(VLOOKUP(DATE($K$1,$K$2,RNE$4),Table1[],(MATCH(Calendar!$A18,DB!$1:$1,0)),FALSE)&gt;=5,"Good","Bad"),VLOOKUP(DATE($K$1,$K$2,RNE$4),Table1[],(MATCH(Calendar!$A18,DB!$1:$1,0)),FALSE)),"")</f>
        <v/>
      </c>
      <c r="RNF18" s="28" t="str">
        <f>IFERROR(IF(RNO3="No",IF(VLOOKUP(DATE($K$1,$K$2,RNF$4),Table1[],(MATCH(Calendar!$A18,DB!$1:$1,0)),FALSE)&gt;=5,"Good","Bad"),VLOOKUP(DATE($K$1,$K$2,RNF$4),Table1[],(MATCH(Calendar!$A18,DB!$1:$1,0)),FALSE)),"")</f>
        <v/>
      </c>
      <c r="RNG18" s="28" t="str">
        <f>IFERROR(IF(RNP3="No",IF(VLOOKUP(DATE($K$1,$K$2,RNG$4),Table1[],(MATCH(Calendar!$A18,DB!$1:$1,0)),FALSE)&gt;=5,"Good","Bad"),VLOOKUP(DATE($K$1,$K$2,RNG$4),Table1[],(MATCH(Calendar!$A18,DB!$1:$1,0)),FALSE)),"")</f>
        <v/>
      </c>
      <c r="RNH18" s="28" t="str">
        <f>IFERROR(IF(RNQ3="No",IF(VLOOKUP(DATE($K$1,$K$2,RNH$4),Table1[],(MATCH(Calendar!$A18,DB!$1:$1,0)),FALSE)&gt;=5,"Good","Bad"),VLOOKUP(DATE($K$1,$K$2,RNH$4),Table1[],(MATCH(Calendar!$A18,DB!$1:$1,0)),FALSE)),"")</f>
        <v/>
      </c>
      <c r="RNI18" s="28" t="str">
        <f>IFERROR(IF(RNR3="No",IF(VLOOKUP(DATE($K$1,$K$2,RNI$4),Table1[],(MATCH(Calendar!$A18,DB!$1:$1,0)),FALSE)&gt;=5,"Good","Bad"),VLOOKUP(DATE($K$1,$K$2,RNI$4),Table1[],(MATCH(Calendar!$A18,DB!$1:$1,0)),FALSE)),"")</f>
        <v/>
      </c>
      <c r="RNJ18" s="28" t="str">
        <f>IFERROR(IF(RNS3="No",IF(VLOOKUP(DATE($K$1,$K$2,RNJ$4),Table1[],(MATCH(Calendar!$A18,DB!$1:$1,0)),FALSE)&gt;=5,"Good","Bad"),VLOOKUP(DATE($K$1,$K$2,RNJ$4),Table1[],(MATCH(Calendar!$A18,DB!$1:$1,0)),FALSE)),"")</f>
        <v/>
      </c>
      <c r="RNK18" s="28" t="str">
        <f>IFERROR(IF(RNT3="No",IF(VLOOKUP(DATE($K$1,$K$2,RNK$4),Table1[],(MATCH(Calendar!$A18,DB!$1:$1,0)),FALSE)&gt;=5,"Good","Bad"),VLOOKUP(DATE($K$1,$K$2,RNK$4),Table1[],(MATCH(Calendar!$A18,DB!$1:$1,0)),FALSE)),"")</f>
        <v/>
      </c>
      <c r="RNL18" s="28" t="str">
        <f>IFERROR(IF(RNU3="No",IF(VLOOKUP(DATE($K$1,$K$2,RNL$4),Table1[],(MATCH(Calendar!$A18,DB!$1:$1,0)),FALSE)&gt;=5,"Good","Bad"),VLOOKUP(DATE($K$1,$K$2,RNL$4),Table1[],(MATCH(Calendar!$A18,DB!$1:$1,0)),FALSE)),"")</f>
        <v/>
      </c>
      <c r="RNM18" s="28" t="str">
        <f>IFERROR(IF(RNV3="No",IF(VLOOKUP(DATE($K$1,$K$2,RNM$4),Table1[],(MATCH(Calendar!$A18,DB!$1:$1,0)),FALSE)&gt;=5,"Good","Bad"),VLOOKUP(DATE($K$1,$K$2,RNM$4),Table1[],(MATCH(Calendar!$A18,DB!$1:$1,0)),FALSE)),"")</f>
        <v/>
      </c>
      <c r="RNN18" s="28" t="str">
        <f>IFERROR(IF(RNW3="No",IF(VLOOKUP(DATE($K$1,$K$2,RNN$4),Table1[],(MATCH(Calendar!$A18,DB!$1:$1,0)),FALSE)&gt;=5,"Good","Bad"),VLOOKUP(DATE($K$1,$K$2,RNN$4),Table1[],(MATCH(Calendar!$A18,DB!$1:$1,0)),FALSE)),"")</f>
        <v/>
      </c>
      <c r="RNO18" s="28" t="str">
        <f>IFERROR(IF(RNX3="No",IF(VLOOKUP(DATE($K$1,$K$2,RNO$4),Table1[],(MATCH(Calendar!$A18,DB!$1:$1,0)),FALSE)&gt;=5,"Good","Bad"),VLOOKUP(DATE($K$1,$K$2,RNO$4),Table1[],(MATCH(Calendar!$A18,DB!$1:$1,0)),FALSE)),"")</f>
        <v/>
      </c>
      <c r="RNP18" s="28" t="str">
        <f>IFERROR(IF(RNY3="No",IF(VLOOKUP(DATE($K$1,$K$2,RNP$4),Table1[],(MATCH(Calendar!$A18,DB!$1:$1,0)),FALSE)&gt;=5,"Good","Bad"),VLOOKUP(DATE($K$1,$K$2,RNP$4),Table1[],(MATCH(Calendar!$A18,DB!$1:$1,0)),FALSE)),"")</f>
        <v/>
      </c>
      <c r="RNQ18" s="28" t="str">
        <f>IFERROR(IF(RNZ3="No",IF(VLOOKUP(DATE($K$1,$K$2,RNQ$4),Table1[],(MATCH(Calendar!$A18,DB!$1:$1,0)),FALSE)&gt;=5,"Good","Bad"),VLOOKUP(DATE($K$1,$K$2,RNQ$4),Table1[],(MATCH(Calendar!$A18,DB!$1:$1,0)),FALSE)),"")</f>
        <v/>
      </c>
      <c r="RNR18" s="28" t="str">
        <f>IFERROR(IF(ROA3="No",IF(VLOOKUP(DATE($K$1,$K$2,RNR$4),Table1[],(MATCH(Calendar!$A18,DB!$1:$1,0)),FALSE)&gt;=5,"Good","Bad"),VLOOKUP(DATE($K$1,$K$2,RNR$4),Table1[],(MATCH(Calendar!$A18,DB!$1:$1,0)),FALSE)),"")</f>
        <v/>
      </c>
      <c r="RNS18" s="28" t="str">
        <f>IFERROR(IF(ROB3="No",IF(VLOOKUP(DATE($K$1,$K$2,RNS$4),Table1[],(MATCH(Calendar!$A18,DB!$1:$1,0)),FALSE)&gt;=5,"Good","Bad"),VLOOKUP(DATE($K$1,$K$2,RNS$4),Table1[],(MATCH(Calendar!$A18,DB!$1:$1,0)),FALSE)),"")</f>
        <v/>
      </c>
      <c r="RNT18" s="28" t="str">
        <f>IFERROR(IF(ROC3="No",IF(VLOOKUP(DATE($K$1,$K$2,RNT$4),Table1[],(MATCH(Calendar!$A18,DB!$1:$1,0)),FALSE)&gt;=5,"Good","Bad"),VLOOKUP(DATE($K$1,$K$2,RNT$4),Table1[],(MATCH(Calendar!$A18,DB!$1:$1,0)),FALSE)),"")</f>
        <v/>
      </c>
      <c r="RNU18" s="28" t="str">
        <f>IFERROR(IF(ROD3="No",IF(VLOOKUP(DATE($K$1,$K$2,RNU$4),Table1[],(MATCH(Calendar!$A18,DB!$1:$1,0)),FALSE)&gt;=5,"Good","Bad"),VLOOKUP(DATE($K$1,$K$2,RNU$4),Table1[],(MATCH(Calendar!$A18,DB!$1:$1,0)),FALSE)),"")</f>
        <v/>
      </c>
      <c r="RNV18" s="28" t="str">
        <f>IFERROR(IF(ROE3="No",IF(VLOOKUP(DATE($K$1,$K$2,RNV$4),Table1[],(MATCH(Calendar!$A18,DB!$1:$1,0)),FALSE)&gt;=5,"Good","Bad"),VLOOKUP(DATE($K$1,$K$2,RNV$4),Table1[],(MATCH(Calendar!$A18,DB!$1:$1,0)),FALSE)),"")</f>
        <v/>
      </c>
      <c r="RNW18" s="28" t="str">
        <f>IFERROR(IF(ROF3="No",IF(VLOOKUP(DATE($K$1,$K$2,RNW$4),Table1[],(MATCH(Calendar!$A18,DB!$1:$1,0)),FALSE)&gt;=5,"Good","Bad"),VLOOKUP(DATE($K$1,$K$2,RNW$4),Table1[],(MATCH(Calendar!$A18,DB!$1:$1,0)),FALSE)),"")</f>
        <v/>
      </c>
      <c r="RNX18" s="28" t="str">
        <f>IFERROR(IF(ROG3="No",IF(VLOOKUP(DATE($K$1,$K$2,RNX$4),Table1[],(MATCH(Calendar!$A18,DB!$1:$1,0)),FALSE)&gt;=5,"Good","Bad"),VLOOKUP(DATE($K$1,$K$2,RNX$4),Table1[],(MATCH(Calendar!$A18,DB!$1:$1,0)),FALSE)),"")</f>
        <v/>
      </c>
      <c r="RNY18" s="28" t="str">
        <f>IFERROR(IF(ROH3="No",IF(VLOOKUP(DATE($K$1,$K$2,RNY$4),Table1[],(MATCH(Calendar!$A18,DB!$1:$1,0)),FALSE)&gt;=5,"Good","Bad"),VLOOKUP(DATE($K$1,$K$2,RNY$4),Table1[],(MATCH(Calendar!$A18,DB!$1:$1,0)),FALSE)),"")</f>
        <v/>
      </c>
      <c r="RNZ18" s="28" t="str">
        <f>IFERROR(IF(ROI3="No",IF(VLOOKUP(DATE($K$1,$K$2,RNZ$4),Table1[],(MATCH(Calendar!$A18,DB!$1:$1,0)),FALSE)&gt;=5,"Good","Bad"),VLOOKUP(DATE($K$1,$K$2,RNZ$4),Table1[],(MATCH(Calendar!$A18,DB!$1:$1,0)),FALSE)),"")</f>
        <v/>
      </c>
      <c r="ROA18" s="28" t="str">
        <f>IFERROR(IF(ROJ3="No",IF(VLOOKUP(DATE($K$1,$K$2,ROA$4),Table1[],(MATCH(Calendar!$A18,DB!$1:$1,0)),FALSE)&gt;=5,"Good","Bad"),VLOOKUP(DATE($K$1,$K$2,ROA$4),Table1[],(MATCH(Calendar!$A18,DB!$1:$1,0)),FALSE)),"")</f>
        <v/>
      </c>
      <c r="ROB18" s="28" t="str">
        <f>IFERROR(IF(ROK3="No",IF(VLOOKUP(DATE($K$1,$K$2,ROB$4),Table1[],(MATCH(Calendar!$A18,DB!$1:$1,0)),FALSE)&gt;=5,"Good","Bad"),VLOOKUP(DATE($K$1,$K$2,ROB$4),Table1[],(MATCH(Calendar!$A18,DB!$1:$1,0)),FALSE)),"")</f>
        <v/>
      </c>
      <c r="ROC18" s="28" t="str">
        <f>IFERROR(IF(ROL3="No",IF(VLOOKUP(DATE($K$1,$K$2,ROC$4),Table1[],(MATCH(Calendar!$A18,DB!$1:$1,0)),FALSE)&gt;=5,"Good","Bad"),VLOOKUP(DATE($K$1,$K$2,ROC$4),Table1[],(MATCH(Calendar!$A18,DB!$1:$1,0)),FALSE)),"")</f>
        <v/>
      </c>
      <c r="ROD18" s="28" t="str">
        <f>IFERROR(IF(ROM3="No",IF(VLOOKUP(DATE($K$1,$K$2,ROD$4),Table1[],(MATCH(Calendar!$A18,DB!$1:$1,0)),FALSE)&gt;=5,"Good","Bad"),VLOOKUP(DATE($K$1,$K$2,ROD$4),Table1[],(MATCH(Calendar!$A18,DB!$1:$1,0)),FALSE)),"")</f>
        <v/>
      </c>
      <c r="ROE18" s="28" t="str">
        <f>IFERROR(IF(RON3="No",IF(VLOOKUP(DATE($K$1,$K$2,ROE$4),Table1[],(MATCH(Calendar!$A18,DB!$1:$1,0)),FALSE)&gt;=5,"Good","Bad"),VLOOKUP(DATE($K$1,$K$2,ROE$4),Table1[],(MATCH(Calendar!$A18,DB!$1:$1,0)),FALSE)),"")</f>
        <v/>
      </c>
      <c r="ROF18" s="28" t="str">
        <f>IFERROR(IF(ROO3="No",IF(VLOOKUP(DATE($K$1,$K$2,ROF$4),Table1[],(MATCH(Calendar!$A18,DB!$1:$1,0)),FALSE)&gt;=5,"Good","Bad"),VLOOKUP(DATE($K$1,$K$2,ROF$4),Table1[],(MATCH(Calendar!$A18,DB!$1:$1,0)),FALSE)),"")</f>
        <v/>
      </c>
      <c r="ROG18" s="28" t="str">
        <f>IFERROR(IF(ROP3="No",IF(VLOOKUP(DATE($K$1,$K$2,ROG$4),Table1[],(MATCH(Calendar!$A18,DB!$1:$1,0)),FALSE)&gt;=5,"Good","Bad"),VLOOKUP(DATE($K$1,$K$2,ROG$4),Table1[],(MATCH(Calendar!$A18,DB!$1:$1,0)),FALSE)),"")</f>
        <v/>
      </c>
      <c r="ROH18" s="28" t="str">
        <f>IFERROR(IF(ROQ3="No",IF(VLOOKUP(DATE($K$1,$K$2,ROH$4),Table1[],(MATCH(Calendar!$A18,DB!$1:$1,0)),FALSE)&gt;=5,"Good","Bad"),VLOOKUP(DATE($K$1,$K$2,ROH$4),Table1[],(MATCH(Calendar!$A18,DB!$1:$1,0)),FALSE)),"")</f>
        <v/>
      </c>
      <c r="ROI18" s="28" t="str">
        <f>IFERROR(IF(ROR3="No",IF(VLOOKUP(DATE($K$1,$K$2,ROI$4),Table1[],(MATCH(Calendar!$A18,DB!$1:$1,0)),FALSE)&gt;=5,"Good","Bad"),VLOOKUP(DATE($K$1,$K$2,ROI$4),Table1[],(MATCH(Calendar!$A18,DB!$1:$1,0)),FALSE)),"")</f>
        <v/>
      </c>
      <c r="ROJ18" s="28" t="str">
        <f>IFERROR(IF(ROS3="No",IF(VLOOKUP(DATE($K$1,$K$2,ROJ$4),Table1[],(MATCH(Calendar!$A18,DB!$1:$1,0)),FALSE)&gt;=5,"Good","Bad"),VLOOKUP(DATE($K$1,$K$2,ROJ$4),Table1[],(MATCH(Calendar!$A18,DB!$1:$1,0)),FALSE)),"")</f>
        <v/>
      </c>
      <c r="ROK18" s="28" t="str">
        <f>IFERROR(IF(ROT3="No",IF(VLOOKUP(DATE($K$1,$K$2,ROK$4),Table1[],(MATCH(Calendar!$A18,DB!$1:$1,0)),FALSE)&gt;=5,"Good","Bad"),VLOOKUP(DATE($K$1,$K$2,ROK$4),Table1[],(MATCH(Calendar!$A18,DB!$1:$1,0)),FALSE)),"")</f>
        <v/>
      </c>
      <c r="ROL18" s="28" t="str">
        <f>IFERROR(IF(ROU3="No",IF(VLOOKUP(DATE($K$1,$K$2,ROL$4),Table1[],(MATCH(Calendar!$A18,DB!$1:$1,0)),FALSE)&gt;=5,"Good","Bad"),VLOOKUP(DATE($K$1,$K$2,ROL$4),Table1[],(MATCH(Calendar!$A18,DB!$1:$1,0)),FALSE)),"")</f>
        <v/>
      </c>
      <c r="ROM18" s="28" t="str">
        <f>IFERROR(IF(ROV3="No",IF(VLOOKUP(DATE($K$1,$K$2,ROM$4),Table1[],(MATCH(Calendar!$A18,DB!$1:$1,0)),FALSE)&gt;=5,"Good","Bad"),VLOOKUP(DATE($K$1,$K$2,ROM$4),Table1[],(MATCH(Calendar!$A18,DB!$1:$1,0)),FALSE)),"")</f>
        <v/>
      </c>
      <c r="RON18" s="28" t="str">
        <f>IFERROR(IF(ROW3="No",IF(VLOOKUP(DATE($K$1,$K$2,RON$4),Table1[],(MATCH(Calendar!$A18,DB!$1:$1,0)),FALSE)&gt;=5,"Good","Bad"),VLOOKUP(DATE($K$1,$K$2,RON$4),Table1[],(MATCH(Calendar!$A18,DB!$1:$1,0)),FALSE)),"")</f>
        <v/>
      </c>
      <c r="ROO18" s="28" t="str">
        <f>IFERROR(IF(ROX3="No",IF(VLOOKUP(DATE($K$1,$K$2,ROO$4),Table1[],(MATCH(Calendar!$A18,DB!$1:$1,0)),FALSE)&gt;=5,"Good","Bad"),VLOOKUP(DATE($K$1,$K$2,ROO$4),Table1[],(MATCH(Calendar!$A18,DB!$1:$1,0)),FALSE)),"")</f>
        <v/>
      </c>
      <c r="ROP18" s="28" t="str">
        <f>IFERROR(IF(ROY3="No",IF(VLOOKUP(DATE($K$1,$K$2,ROP$4),Table1[],(MATCH(Calendar!$A18,DB!$1:$1,0)),FALSE)&gt;=5,"Good","Bad"),VLOOKUP(DATE($K$1,$K$2,ROP$4),Table1[],(MATCH(Calendar!$A18,DB!$1:$1,0)),FALSE)),"")</f>
        <v/>
      </c>
      <c r="ROQ18" s="28" t="str">
        <f>IFERROR(IF(ROZ3="No",IF(VLOOKUP(DATE($K$1,$K$2,ROQ$4),Table1[],(MATCH(Calendar!$A18,DB!$1:$1,0)),FALSE)&gt;=5,"Good","Bad"),VLOOKUP(DATE($K$1,$K$2,ROQ$4),Table1[],(MATCH(Calendar!$A18,DB!$1:$1,0)),FALSE)),"")</f>
        <v/>
      </c>
      <c r="ROR18" s="28" t="str">
        <f>IFERROR(IF(RPA3="No",IF(VLOOKUP(DATE($K$1,$K$2,ROR$4),Table1[],(MATCH(Calendar!$A18,DB!$1:$1,0)),FALSE)&gt;=5,"Good","Bad"),VLOOKUP(DATE($K$1,$K$2,ROR$4),Table1[],(MATCH(Calendar!$A18,DB!$1:$1,0)),FALSE)),"")</f>
        <v/>
      </c>
      <c r="ROS18" s="28" t="str">
        <f>IFERROR(IF(RPB3="No",IF(VLOOKUP(DATE($K$1,$K$2,ROS$4),Table1[],(MATCH(Calendar!$A18,DB!$1:$1,0)),FALSE)&gt;=5,"Good","Bad"),VLOOKUP(DATE($K$1,$K$2,ROS$4),Table1[],(MATCH(Calendar!$A18,DB!$1:$1,0)),FALSE)),"")</f>
        <v/>
      </c>
      <c r="ROT18" s="28" t="str">
        <f>IFERROR(IF(RPC3="No",IF(VLOOKUP(DATE($K$1,$K$2,ROT$4),Table1[],(MATCH(Calendar!$A18,DB!$1:$1,0)),FALSE)&gt;=5,"Good","Bad"),VLOOKUP(DATE($K$1,$K$2,ROT$4),Table1[],(MATCH(Calendar!$A18,DB!$1:$1,0)),FALSE)),"")</f>
        <v/>
      </c>
      <c r="ROU18" s="28" t="str">
        <f>IFERROR(IF(RPD3="No",IF(VLOOKUP(DATE($K$1,$K$2,ROU$4),Table1[],(MATCH(Calendar!$A18,DB!$1:$1,0)),FALSE)&gt;=5,"Good","Bad"),VLOOKUP(DATE($K$1,$K$2,ROU$4),Table1[],(MATCH(Calendar!$A18,DB!$1:$1,0)),FALSE)),"")</f>
        <v/>
      </c>
      <c r="ROV18" s="28" t="str">
        <f>IFERROR(IF(RPE3="No",IF(VLOOKUP(DATE($K$1,$K$2,ROV$4),Table1[],(MATCH(Calendar!$A18,DB!$1:$1,0)),FALSE)&gt;=5,"Good","Bad"),VLOOKUP(DATE($K$1,$K$2,ROV$4),Table1[],(MATCH(Calendar!$A18,DB!$1:$1,0)),FALSE)),"")</f>
        <v/>
      </c>
      <c r="ROW18" s="28" t="str">
        <f>IFERROR(IF(RPF3="No",IF(VLOOKUP(DATE($K$1,$K$2,ROW$4),Table1[],(MATCH(Calendar!$A18,DB!$1:$1,0)),FALSE)&gt;=5,"Good","Bad"),VLOOKUP(DATE($K$1,$K$2,ROW$4),Table1[],(MATCH(Calendar!$A18,DB!$1:$1,0)),FALSE)),"")</f>
        <v/>
      </c>
      <c r="ROX18" s="28" t="str">
        <f>IFERROR(IF(RPG3="No",IF(VLOOKUP(DATE($K$1,$K$2,ROX$4),Table1[],(MATCH(Calendar!$A18,DB!$1:$1,0)),FALSE)&gt;=5,"Good","Bad"),VLOOKUP(DATE($K$1,$K$2,ROX$4),Table1[],(MATCH(Calendar!$A18,DB!$1:$1,0)),FALSE)),"")</f>
        <v/>
      </c>
      <c r="ROY18" s="28" t="str">
        <f>IFERROR(IF(RPH3="No",IF(VLOOKUP(DATE($K$1,$K$2,ROY$4),Table1[],(MATCH(Calendar!$A18,DB!$1:$1,0)),FALSE)&gt;=5,"Good","Bad"),VLOOKUP(DATE($K$1,$K$2,ROY$4),Table1[],(MATCH(Calendar!$A18,DB!$1:$1,0)),FALSE)),"")</f>
        <v/>
      </c>
      <c r="ROZ18" s="28" t="str">
        <f>IFERROR(IF(RPI3="No",IF(VLOOKUP(DATE($K$1,$K$2,ROZ$4),Table1[],(MATCH(Calendar!$A18,DB!$1:$1,0)),FALSE)&gt;=5,"Good","Bad"),VLOOKUP(DATE($K$1,$K$2,ROZ$4),Table1[],(MATCH(Calendar!$A18,DB!$1:$1,0)),FALSE)),"")</f>
        <v/>
      </c>
      <c r="RPA18" s="28" t="str">
        <f>IFERROR(IF(RPJ3="No",IF(VLOOKUP(DATE($K$1,$K$2,RPA$4),Table1[],(MATCH(Calendar!$A18,DB!$1:$1,0)),FALSE)&gt;=5,"Good","Bad"),VLOOKUP(DATE($K$1,$K$2,RPA$4),Table1[],(MATCH(Calendar!$A18,DB!$1:$1,0)),FALSE)),"")</f>
        <v/>
      </c>
      <c r="RPB18" s="28" t="str">
        <f>IFERROR(IF(RPK3="No",IF(VLOOKUP(DATE($K$1,$K$2,RPB$4),Table1[],(MATCH(Calendar!$A18,DB!$1:$1,0)),FALSE)&gt;=5,"Good","Bad"),VLOOKUP(DATE($K$1,$K$2,RPB$4),Table1[],(MATCH(Calendar!$A18,DB!$1:$1,0)),FALSE)),"")</f>
        <v/>
      </c>
      <c r="RPC18" s="28" t="str">
        <f>IFERROR(IF(RPL3="No",IF(VLOOKUP(DATE($K$1,$K$2,RPC$4),Table1[],(MATCH(Calendar!$A18,DB!$1:$1,0)),FALSE)&gt;=5,"Good","Bad"),VLOOKUP(DATE($K$1,$K$2,RPC$4),Table1[],(MATCH(Calendar!$A18,DB!$1:$1,0)),FALSE)),"")</f>
        <v/>
      </c>
      <c r="RPD18" s="28" t="str">
        <f>IFERROR(IF(RPM3="No",IF(VLOOKUP(DATE($K$1,$K$2,RPD$4),Table1[],(MATCH(Calendar!$A18,DB!$1:$1,0)),FALSE)&gt;=5,"Good","Bad"),VLOOKUP(DATE($K$1,$K$2,RPD$4),Table1[],(MATCH(Calendar!$A18,DB!$1:$1,0)),FALSE)),"")</f>
        <v/>
      </c>
      <c r="RPE18" s="28" t="str">
        <f>IFERROR(IF(RPN3="No",IF(VLOOKUP(DATE($K$1,$K$2,RPE$4),Table1[],(MATCH(Calendar!$A18,DB!$1:$1,0)),FALSE)&gt;=5,"Good","Bad"),VLOOKUP(DATE($K$1,$K$2,RPE$4),Table1[],(MATCH(Calendar!$A18,DB!$1:$1,0)),FALSE)),"")</f>
        <v/>
      </c>
      <c r="RPF18" s="28" t="str">
        <f>IFERROR(IF(RPO3="No",IF(VLOOKUP(DATE($K$1,$K$2,RPF$4),Table1[],(MATCH(Calendar!$A18,DB!$1:$1,0)),FALSE)&gt;=5,"Good","Bad"),VLOOKUP(DATE($K$1,$K$2,RPF$4),Table1[],(MATCH(Calendar!$A18,DB!$1:$1,0)),FALSE)),"")</f>
        <v/>
      </c>
      <c r="RPG18" s="28" t="str">
        <f>IFERROR(IF(RPP3="No",IF(VLOOKUP(DATE($K$1,$K$2,RPG$4),Table1[],(MATCH(Calendar!$A18,DB!$1:$1,0)),FALSE)&gt;=5,"Good","Bad"),VLOOKUP(DATE($K$1,$K$2,RPG$4),Table1[],(MATCH(Calendar!$A18,DB!$1:$1,0)),FALSE)),"")</f>
        <v/>
      </c>
      <c r="RPH18" s="28" t="str">
        <f>IFERROR(IF(RPQ3="No",IF(VLOOKUP(DATE($K$1,$K$2,RPH$4),Table1[],(MATCH(Calendar!$A18,DB!$1:$1,0)),FALSE)&gt;=5,"Good","Bad"),VLOOKUP(DATE($K$1,$K$2,RPH$4),Table1[],(MATCH(Calendar!$A18,DB!$1:$1,0)),FALSE)),"")</f>
        <v/>
      </c>
      <c r="RPI18" s="28" t="str">
        <f>IFERROR(IF(RPR3="No",IF(VLOOKUP(DATE($K$1,$K$2,RPI$4),Table1[],(MATCH(Calendar!$A18,DB!$1:$1,0)),FALSE)&gt;=5,"Good","Bad"),VLOOKUP(DATE($K$1,$K$2,RPI$4),Table1[],(MATCH(Calendar!$A18,DB!$1:$1,0)),FALSE)),"")</f>
        <v/>
      </c>
      <c r="RPJ18" s="28" t="str">
        <f>IFERROR(IF(RPS3="No",IF(VLOOKUP(DATE($K$1,$K$2,RPJ$4),Table1[],(MATCH(Calendar!$A18,DB!$1:$1,0)),FALSE)&gt;=5,"Good","Bad"),VLOOKUP(DATE($K$1,$K$2,RPJ$4),Table1[],(MATCH(Calendar!$A18,DB!$1:$1,0)),FALSE)),"")</f>
        <v/>
      </c>
      <c r="RPK18" s="28" t="str">
        <f>IFERROR(IF(RPT3="No",IF(VLOOKUP(DATE($K$1,$K$2,RPK$4),Table1[],(MATCH(Calendar!$A18,DB!$1:$1,0)),FALSE)&gt;=5,"Good","Bad"),VLOOKUP(DATE($K$1,$K$2,RPK$4),Table1[],(MATCH(Calendar!$A18,DB!$1:$1,0)),FALSE)),"")</f>
        <v/>
      </c>
      <c r="RPL18" s="28" t="str">
        <f>IFERROR(IF(RPU3="No",IF(VLOOKUP(DATE($K$1,$K$2,RPL$4),Table1[],(MATCH(Calendar!$A18,DB!$1:$1,0)),FALSE)&gt;=5,"Good","Bad"),VLOOKUP(DATE($K$1,$K$2,RPL$4),Table1[],(MATCH(Calendar!$A18,DB!$1:$1,0)),FALSE)),"")</f>
        <v/>
      </c>
      <c r="RPM18" s="28" t="str">
        <f>IFERROR(IF(RPV3="No",IF(VLOOKUP(DATE($K$1,$K$2,RPM$4),Table1[],(MATCH(Calendar!$A18,DB!$1:$1,0)),FALSE)&gt;=5,"Good","Bad"),VLOOKUP(DATE($K$1,$K$2,RPM$4),Table1[],(MATCH(Calendar!$A18,DB!$1:$1,0)),FALSE)),"")</f>
        <v/>
      </c>
      <c r="RPN18" s="28" t="str">
        <f>IFERROR(IF(RPW3="No",IF(VLOOKUP(DATE($K$1,$K$2,RPN$4),Table1[],(MATCH(Calendar!$A18,DB!$1:$1,0)),FALSE)&gt;=5,"Good","Bad"),VLOOKUP(DATE($K$1,$K$2,RPN$4),Table1[],(MATCH(Calendar!$A18,DB!$1:$1,0)),FALSE)),"")</f>
        <v/>
      </c>
      <c r="RPO18" s="28" t="str">
        <f>IFERROR(IF(RPX3="No",IF(VLOOKUP(DATE($K$1,$K$2,RPO$4),Table1[],(MATCH(Calendar!$A18,DB!$1:$1,0)),FALSE)&gt;=5,"Good","Bad"),VLOOKUP(DATE($K$1,$K$2,RPO$4),Table1[],(MATCH(Calendar!$A18,DB!$1:$1,0)),FALSE)),"")</f>
        <v/>
      </c>
      <c r="RPP18" s="28" t="str">
        <f>IFERROR(IF(RPY3="No",IF(VLOOKUP(DATE($K$1,$K$2,RPP$4),Table1[],(MATCH(Calendar!$A18,DB!$1:$1,0)),FALSE)&gt;=5,"Good","Bad"),VLOOKUP(DATE($K$1,$K$2,RPP$4),Table1[],(MATCH(Calendar!$A18,DB!$1:$1,0)),FALSE)),"")</f>
        <v/>
      </c>
      <c r="RPQ18" s="28" t="str">
        <f>IFERROR(IF(RPZ3="No",IF(VLOOKUP(DATE($K$1,$K$2,RPQ$4),Table1[],(MATCH(Calendar!$A18,DB!$1:$1,0)),FALSE)&gt;=5,"Good","Bad"),VLOOKUP(DATE($K$1,$K$2,RPQ$4),Table1[],(MATCH(Calendar!$A18,DB!$1:$1,0)),FALSE)),"")</f>
        <v/>
      </c>
      <c r="RPR18" s="28" t="str">
        <f>IFERROR(IF(RQA3="No",IF(VLOOKUP(DATE($K$1,$K$2,RPR$4),Table1[],(MATCH(Calendar!$A18,DB!$1:$1,0)),FALSE)&gt;=5,"Good","Bad"),VLOOKUP(DATE($K$1,$K$2,RPR$4),Table1[],(MATCH(Calendar!$A18,DB!$1:$1,0)),FALSE)),"")</f>
        <v/>
      </c>
      <c r="RPS18" s="28" t="str">
        <f>IFERROR(IF(RQB3="No",IF(VLOOKUP(DATE($K$1,$K$2,RPS$4),Table1[],(MATCH(Calendar!$A18,DB!$1:$1,0)),FALSE)&gt;=5,"Good","Bad"),VLOOKUP(DATE($K$1,$K$2,RPS$4),Table1[],(MATCH(Calendar!$A18,DB!$1:$1,0)),FALSE)),"")</f>
        <v/>
      </c>
      <c r="RPT18" s="28" t="str">
        <f>IFERROR(IF(RQC3="No",IF(VLOOKUP(DATE($K$1,$K$2,RPT$4),Table1[],(MATCH(Calendar!$A18,DB!$1:$1,0)),FALSE)&gt;=5,"Good","Bad"),VLOOKUP(DATE($K$1,$K$2,RPT$4),Table1[],(MATCH(Calendar!$A18,DB!$1:$1,0)),FALSE)),"")</f>
        <v/>
      </c>
      <c r="RPU18" s="28" t="str">
        <f>IFERROR(IF(RQD3="No",IF(VLOOKUP(DATE($K$1,$K$2,RPU$4),Table1[],(MATCH(Calendar!$A18,DB!$1:$1,0)),FALSE)&gt;=5,"Good","Bad"),VLOOKUP(DATE($K$1,$K$2,RPU$4),Table1[],(MATCH(Calendar!$A18,DB!$1:$1,0)),FALSE)),"")</f>
        <v/>
      </c>
      <c r="RPV18" s="28" t="str">
        <f>IFERROR(IF(RQE3="No",IF(VLOOKUP(DATE($K$1,$K$2,RPV$4),Table1[],(MATCH(Calendar!$A18,DB!$1:$1,0)),FALSE)&gt;=5,"Good","Bad"),VLOOKUP(DATE($K$1,$K$2,RPV$4),Table1[],(MATCH(Calendar!$A18,DB!$1:$1,0)),FALSE)),"")</f>
        <v/>
      </c>
      <c r="RPW18" s="28" t="str">
        <f>IFERROR(IF(RQF3="No",IF(VLOOKUP(DATE($K$1,$K$2,RPW$4),Table1[],(MATCH(Calendar!$A18,DB!$1:$1,0)),FALSE)&gt;=5,"Good","Bad"),VLOOKUP(DATE($K$1,$K$2,RPW$4),Table1[],(MATCH(Calendar!$A18,DB!$1:$1,0)),FALSE)),"")</f>
        <v/>
      </c>
      <c r="RPX18" s="28" t="str">
        <f>IFERROR(IF(RQG3="No",IF(VLOOKUP(DATE($K$1,$K$2,RPX$4),Table1[],(MATCH(Calendar!$A18,DB!$1:$1,0)),FALSE)&gt;=5,"Good","Bad"),VLOOKUP(DATE($K$1,$K$2,RPX$4),Table1[],(MATCH(Calendar!$A18,DB!$1:$1,0)),FALSE)),"")</f>
        <v/>
      </c>
      <c r="RPY18" s="28" t="str">
        <f>IFERROR(IF(RQH3="No",IF(VLOOKUP(DATE($K$1,$K$2,RPY$4),Table1[],(MATCH(Calendar!$A18,DB!$1:$1,0)),FALSE)&gt;=5,"Good","Bad"),VLOOKUP(DATE($K$1,$K$2,RPY$4),Table1[],(MATCH(Calendar!$A18,DB!$1:$1,0)),FALSE)),"")</f>
        <v/>
      </c>
      <c r="RPZ18" s="28" t="str">
        <f>IFERROR(IF(RQI3="No",IF(VLOOKUP(DATE($K$1,$K$2,RPZ$4),Table1[],(MATCH(Calendar!$A18,DB!$1:$1,0)),FALSE)&gt;=5,"Good","Bad"),VLOOKUP(DATE($K$1,$K$2,RPZ$4),Table1[],(MATCH(Calendar!$A18,DB!$1:$1,0)),FALSE)),"")</f>
        <v/>
      </c>
      <c r="RQA18" s="28" t="str">
        <f>IFERROR(IF(RQJ3="No",IF(VLOOKUP(DATE($K$1,$K$2,RQA$4),Table1[],(MATCH(Calendar!$A18,DB!$1:$1,0)),FALSE)&gt;=5,"Good","Bad"),VLOOKUP(DATE($K$1,$K$2,RQA$4),Table1[],(MATCH(Calendar!$A18,DB!$1:$1,0)),FALSE)),"")</f>
        <v/>
      </c>
      <c r="RQB18" s="28" t="str">
        <f>IFERROR(IF(RQK3="No",IF(VLOOKUP(DATE($K$1,$K$2,RQB$4),Table1[],(MATCH(Calendar!$A18,DB!$1:$1,0)),FALSE)&gt;=5,"Good","Bad"),VLOOKUP(DATE($K$1,$K$2,RQB$4),Table1[],(MATCH(Calendar!$A18,DB!$1:$1,0)),FALSE)),"")</f>
        <v/>
      </c>
      <c r="RQC18" s="28" t="str">
        <f>IFERROR(IF(RQL3="No",IF(VLOOKUP(DATE($K$1,$K$2,RQC$4),Table1[],(MATCH(Calendar!$A18,DB!$1:$1,0)),FALSE)&gt;=5,"Good","Bad"),VLOOKUP(DATE($K$1,$K$2,RQC$4),Table1[],(MATCH(Calendar!$A18,DB!$1:$1,0)),FALSE)),"")</f>
        <v/>
      </c>
      <c r="RQD18" s="28" t="str">
        <f>IFERROR(IF(RQM3="No",IF(VLOOKUP(DATE($K$1,$K$2,RQD$4),Table1[],(MATCH(Calendar!$A18,DB!$1:$1,0)),FALSE)&gt;=5,"Good","Bad"),VLOOKUP(DATE($K$1,$K$2,RQD$4),Table1[],(MATCH(Calendar!$A18,DB!$1:$1,0)),FALSE)),"")</f>
        <v/>
      </c>
      <c r="RQE18" s="28" t="str">
        <f>IFERROR(IF(RQN3="No",IF(VLOOKUP(DATE($K$1,$K$2,RQE$4),Table1[],(MATCH(Calendar!$A18,DB!$1:$1,0)),FALSE)&gt;=5,"Good","Bad"),VLOOKUP(DATE($K$1,$K$2,RQE$4),Table1[],(MATCH(Calendar!$A18,DB!$1:$1,0)),FALSE)),"")</f>
        <v/>
      </c>
      <c r="RQF18" s="28" t="str">
        <f>IFERROR(IF(RQO3="No",IF(VLOOKUP(DATE($K$1,$K$2,RQF$4),Table1[],(MATCH(Calendar!$A18,DB!$1:$1,0)),FALSE)&gt;=5,"Good","Bad"),VLOOKUP(DATE($K$1,$K$2,RQF$4),Table1[],(MATCH(Calendar!$A18,DB!$1:$1,0)),FALSE)),"")</f>
        <v/>
      </c>
      <c r="RQG18" s="28" t="str">
        <f>IFERROR(IF(RQP3="No",IF(VLOOKUP(DATE($K$1,$K$2,RQG$4),Table1[],(MATCH(Calendar!$A18,DB!$1:$1,0)),FALSE)&gt;=5,"Good","Bad"),VLOOKUP(DATE($K$1,$K$2,RQG$4),Table1[],(MATCH(Calendar!$A18,DB!$1:$1,0)),FALSE)),"")</f>
        <v/>
      </c>
      <c r="RQH18" s="28" t="str">
        <f>IFERROR(IF(RQQ3="No",IF(VLOOKUP(DATE($K$1,$K$2,RQH$4),Table1[],(MATCH(Calendar!$A18,DB!$1:$1,0)),FALSE)&gt;=5,"Good","Bad"),VLOOKUP(DATE($K$1,$K$2,RQH$4),Table1[],(MATCH(Calendar!$A18,DB!$1:$1,0)),FALSE)),"")</f>
        <v/>
      </c>
      <c r="RQI18" s="28" t="str">
        <f>IFERROR(IF(RQR3="No",IF(VLOOKUP(DATE($K$1,$K$2,RQI$4),Table1[],(MATCH(Calendar!$A18,DB!$1:$1,0)),FALSE)&gt;=5,"Good","Bad"),VLOOKUP(DATE($K$1,$K$2,RQI$4),Table1[],(MATCH(Calendar!$A18,DB!$1:$1,0)),FALSE)),"")</f>
        <v/>
      </c>
      <c r="RQJ18" s="28" t="str">
        <f>IFERROR(IF(RQS3="No",IF(VLOOKUP(DATE($K$1,$K$2,RQJ$4),Table1[],(MATCH(Calendar!$A18,DB!$1:$1,0)),FALSE)&gt;=5,"Good","Bad"),VLOOKUP(DATE($K$1,$K$2,RQJ$4),Table1[],(MATCH(Calendar!$A18,DB!$1:$1,0)),FALSE)),"")</f>
        <v/>
      </c>
      <c r="RQK18" s="28" t="str">
        <f>IFERROR(IF(RQT3="No",IF(VLOOKUP(DATE($K$1,$K$2,RQK$4),Table1[],(MATCH(Calendar!$A18,DB!$1:$1,0)),FALSE)&gt;=5,"Good","Bad"),VLOOKUP(DATE($K$1,$K$2,RQK$4),Table1[],(MATCH(Calendar!$A18,DB!$1:$1,0)),FALSE)),"")</f>
        <v/>
      </c>
      <c r="RQL18" s="28" t="str">
        <f>IFERROR(IF(RQU3="No",IF(VLOOKUP(DATE($K$1,$K$2,RQL$4),Table1[],(MATCH(Calendar!$A18,DB!$1:$1,0)),FALSE)&gt;=5,"Good","Bad"),VLOOKUP(DATE($K$1,$K$2,RQL$4),Table1[],(MATCH(Calendar!$A18,DB!$1:$1,0)),FALSE)),"")</f>
        <v/>
      </c>
      <c r="RQM18" s="28" t="str">
        <f>IFERROR(IF(RQV3="No",IF(VLOOKUP(DATE($K$1,$K$2,RQM$4),Table1[],(MATCH(Calendar!$A18,DB!$1:$1,0)),FALSE)&gt;=5,"Good","Bad"),VLOOKUP(DATE($K$1,$K$2,RQM$4),Table1[],(MATCH(Calendar!$A18,DB!$1:$1,0)),FALSE)),"")</f>
        <v/>
      </c>
      <c r="RQN18" s="28" t="str">
        <f>IFERROR(IF(RQW3="No",IF(VLOOKUP(DATE($K$1,$K$2,RQN$4),Table1[],(MATCH(Calendar!$A18,DB!$1:$1,0)),FALSE)&gt;=5,"Good","Bad"),VLOOKUP(DATE($K$1,$K$2,RQN$4),Table1[],(MATCH(Calendar!$A18,DB!$1:$1,0)),FALSE)),"")</f>
        <v/>
      </c>
      <c r="RQO18" s="28" t="str">
        <f>IFERROR(IF(RQX3="No",IF(VLOOKUP(DATE($K$1,$K$2,RQO$4),Table1[],(MATCH(Calendar!$A18,DB!$1:$1,0)),FALSE)&gt;=5,"Good","Bad"),VLOOKUP(DATE($K$1,$K$2,RQO$4),Table1[],(MATCH(Calendar!$A18,DB!$1:$1,0)),FALSE)),"")</f>
        <v/>
      </c>
      <c r="RQP18" s="28" t="str">
        <f>IFERROR(IF(RQY3="No",IF(VLOOKUP(DATE($K$1,$K$2,RQP$4),Table1[],(MATCH(Calendar!$A18,DB!$1:$1,0)),FALSE)&gt;=5,"Good","Bad"),VLOOKUP(DATE($K$1,$K$2,RQP$4),Table1[],(MATCH(Calendar!$A18,DB!$1:$1,0)),FALSE)),"")</f>
        <v/>
      </c>
      <c r="RQQ18" s="28" t="str">
        <f>IFERROR(IF(RQZ3="No",IF(VLOOKUP(DATE($K$1,$K$2,RQQ$4),Table1[],(MATCH(Calendar!$A18,DB!$1:$1,0)),FALSE)&gt;=5,"Good","Bad"),VLOOKUP(DATE($K$1,$K$2,RQQ$4),Table1[],(MATCH(Calendar!$A18,DB!$1:$1,0)),FALSE)),"")</f>
        <v/>
      </c>
      <c r="RQR18" s="28" t="str">
        <f>IFERROR(IF(RRA3="No",IF(VLOOKUP(DATE($K$1,$K$2,RQR$4),Table1[],(MATCH(Calendar!$A18,DB!$1:$1,0)),FALSE)&gt;=5,"Good","Bad"),VLOOKUP(DATE($K$1,$K$2,RQR$4),Table1[],(MATCH(Calendar!$A18,DB!$1:$1,0)),FALSE)),"")</f>
        <v/>
      </c>
      <c r="RQS18" s="28" t="str">
        <f>IFERROR(IF(RRB3="No",IF(VLOOKUP(DATE($K$1,$K$2,RQS$4),Table1[],(MATCH(Calendar!$A18,DB!$1:$1,0)),FALSE)&gt;=5,"Good","Bad"),VLOOKUP(DATE($K$1,$K$2,RQS$4),Table1[],(MATCH(Calendar!$A18,DB!$1:$1,0)),FALSE)),"")</f>
        <v/>
      </c>
      <c r="RQT18" s="28" t="str">
        <f>IFERROR(IF(RRC3="No",IF(VLOOKUP(DATE($K$1,$K$2,RQT$4),Table1[],(MATCH(Calendar!$A18,DB!$1:$1,0)),FALSE)&gt;=5,"Good","Bad"),VLOOKUP(DATE($K$1,$K$2,RQT$4),Table1[],(MATCH(Calendar!$A18,DB!$1:$1,0)),FALSE)),"")</f>
        <v/>
      </c>
      <c r="RQU18" s="28" t="str">
        <f>IFERROR(IF(RRD3="No",IF(VLOOKUP(DATE($K$1,$K$2,RQU$4),Table1[],(MATCH(Calendar!$A18,DB!$1:$1,0)),FALSE)&gt;=5,"Good","Bad"),VLOOKUP(DATE($K$1,$K$2,RQU$4),Table1[],(MATCH(Calendar!$A18,DB!$1:$1,0)),FALSE)),"")</f>
        <v/>
      </c>
      <c r="RQV18" s="28" t="str">
        <f>IFERROR(IF(RRE3="No",IF(VLOOKUP(DATE($K$1,$K$2,RQV$4),Table1[],(MATCH(Calendar!$A18,DB!$1:$1,0)),FALSE)&gt;=5,"Good","Bad"),VLOOKUP(DATE($K$1,$K$2,RQV$4),Table1[],(MATCH(Calendar!$A18,DB!$1:$1,0)),FALSE)),"")</f>
        <v/>
      </c>
      <c r="RQW18" s="28" t="str">
        <f>IFERROR(IF(RRF3="No",IF(VLOOKUP(DATE($K$1,$K$2,RQW$4),Table1[],(MATCH(Calendar!$A18,DB!$1:$1,0)),FALSE)&gt;=5,"Good","Bad"),VLOOKUP(DATE($K$1,$K$2,RQW$4),Table1[],(MATCH(Calendar!$A18,DB!$1:$1,0)),FALSE)),"")</f>
        <v/>
      </c>
      <c r="RQX18" s="28" t="str">
        <f>IFERROR(IF(RRG3="No",IF(VLOOKUP(DATE($K$1,$K$2,RQX$4),Table1[],(MATCH(Calendar!$A18,DB!$1:$1,0)),FALSE)&gt;=5,"Good","Bad"),VLOOKUP(DATE($K$1,$K$2,RQX$4),Table1[],(MATCH(Calendar!$A18,DB!$1:$1,0)),FALSE)),"")</f>
        <v/>
      </c>
      <c r="RQY18" s="28" t="str">
        <f>IFERROR(IF(RRH3="No",IF(VLOOKUP(DATE($K$1,$K$2,RQY$4),Table1[],(MATCH(Calendar!$A18,DB!$1:$1,0)),FALSE)&gt;=5,"Good","Bad"),VLOOKUP(DATE($K$1,$K$2,RQY$4),Table1[],(MATCH(Calendar!$A18,DB!$1:$1,0)),FALSE)),"")</f>
        <v/>
      </c>
      <c r="RQZ18" s="28" t="str">
        <f>IFERROR(IF(RRI3="No",IF(VLOOKUP(DATE($K$1,$K$2,RQZ$4),Table1[],(MATCH(Calendar!$A18,DB!$1:$1,0)),FALSE)&gt;=5,"Good","Bad"),VLOOKUP(DATE($K$1,$K$2,RQZ$4),Table1[],(MATCH(Calendar!$A18,DB!$1:$1,0)),FALSE)),"")</f>
        <v/>
      </c>
      <c r="RRA18" s="28" t="str">
        <f>IFERROR(IF(RRJ3="No",IF(VLOOKUP(DATE($K$1,$K$2,RRA$4),Table1[],(MATCH(Calendar!$A18,DB!$1:$1,0)),FALSE)&gt;=5,"Good","Bad"),VLOOKUP(DATE($K$1,$K$2,RRA$4),Table1[],(MATCH(Calendar!$A18,DB!$1:$1,0)),FALSE)),"")</f>
        <v/>
      </c>
      <c r="RRB18" s="28" t="str">
        <f>IFERROR(IF(RRK3="No",IF(VLOOKUP(DATE($K$1,$K$2,RRB$4),Table1[],(MATCH(Calendar!$A18,DB!$1:$1,0)),FALSE)&gt;=5,"Good","Bad"),VLOOKUP(DATE($K$1,$K$2,RRB$4),Table1[],(MATCH(Calendar!$A18,DB!$1:$1,0)),FALSE)),"")</f>
        <v/>
      </c>
      <c r="RRC18" s="28" t="str">
        <f>IFERROR(IF(RRL3="No",IF(VLOOKUP(DATE($K$1,$K$2,RRC$4),Table1[],(MATCH(Calendar!$A18,DB!$1:$1,0)),FALSE)&gt;=5,"Good","Bad"),VLOOKUP(DATE($K$1,$K$2,RRC$4),Table1[],(MATCH(Calendar!$A18,DB!$1:$1,0)),FALSE)),"")</f>
        <v/>
      </c>
      <c r="RRD18" s="28" t="str">
        <f>IFERROR(IF(RRM3="No",IF(VLOOKUP(DATE($K$1,$K$2,RRD$4),Table1[],(MATCH(Calendar!$A18,DB!$1:$1,0)),FALSE)&gt;=5,"Good","Bad"),VLOOKUP(DATE($K$1,$K$2,RRD$4),Table1[],(MATCH(Calendar!$A18,DB!$1:$1,0)),FALSE)),"")</f>
        <v/>
      </c>
      <c r="RRE18" s="28" t="str">
        <f>IFERROR(IF(RRN3="No",IF(VLOOKUP(DATE($K$1,$K$2,RRE$4),Table1[],(MATCH(Calendar!$A18,DB!$1:$1,0)),FALSE)&gt;=5,"Good","Bad"),VLOOKUP(DATE($K$1,$K$2,RRE$4),Table1[],(MATCH(Calendar!$A18,DB!$1:$1,0)),FALSE)),"")</f>
        <v/>
      </c>
      <c r="RRF18" s="28" t="str">
        <f>IFERROR(IF(RRO3="No",IF(VLOOKUP(DATE($K$1,$K$2,RRF$4),Table1[],(MATCH(Calendar!$A18,DB!$1:$1,0)),FALSE)&gt;=5,"Good","Bad"),VLOOKUP(DATE($K$1,$K$2,RRF$4),Table1[],(MATCH(Calendar!$A18,DB!$1:$1,0)),FALSE)),"")</f>
        <v/>
      </c>
      <c r="RRG18" s="28" t="str">
        <f>IFERROR(IF(RRP3="No",IF(VLOOKUP(DATE($K$1,$K$2,RRG$4),Table1[],(MATCH(Calendar!$A18,DB!$1:$1,0)),FALSE)&gt;=5,"Good","Bad"),VLOOKUP(DATE($K$1,$K$2,RRG$4),Table1[],(MATCH(Calendar!$A18,DB!$1:$1,0)),FALSE)),"")</f>
        <v/>
      </c>
      <c r="RRH18" s="28" t="str">
        <f>IFERROR(IF(RRQ3="No",IF(VLOOKUP(DATE($K$1,$K$2,RRH$4),Table1[],(MATCH(Calendar!$A18,DB!$1:$1,0)),FALSE)&gt;=5,"Good","Bad"),VLOOKUP(DATE($K$1,$K$2,RRH$4),Table1[],(MATCH(Calendar!$A18,DB!$1:$1,0)),FALSE)),"")</f>
        <v/>
      </c>
      <c r="RRI18" s="28" t="str">
        <f>IFERROR(IF(RRR3="No",IF(VLOOKUP(DATE($K$1,$K$2,RRI$4),Table1[],(MATCH(Calendar!$A18,DB!$1:$1,0)),FALSE)&gt;=5,"Good","Bad"),VLOOKUP(DATE($K$1,$K$2,RRI$4),Table1[],(MATCH(Calendar!$A18,DB!$1:$1,0)),FALSE)),"")</f>
        <v/>
      </c>
      <c r="RRJ18" s="28" t="str">
        <f>IFERROR(IF(RRS3="No",IF(VLOOKUP(DATE($K$1,$K$2,RRJ$4),Table1[],(MATCH(Calendar!$A18,DB!$1:$1,0)),FALSE)&gt;=5,"Good","Bad"),VLOOKUP(DATE($K$1,$K$2,RRJ$4),Table1[],(MATCH(Calendar!$A18,DB!$1:$1,0)),FALSE)),"")</f>
        <v/>
      </c>
      <c r="RRK18" s="28" t="str">
        <f>IFERROR(IF(RRT3="No",IF(VLOOKUP(DATE($K$1,$K$2,RRK$4),Table1[],(MATCH(Calendar!$A18,DB!$1:$1,0)),FALSE)&gt;=5,"Good","Bad"),VLOOKUP(DATE($K$1,$K$2,RRK$4),Table1[],(MATCH(Calendar!$A18,DB!$1:$1,0)),FALSE)),"")</f>
        <v/>
      </c>
      <c r="RRL18" s="28" t="str">
        <f>IFERROR(IF(RRU3="No",IF(VLOOKUP(DATE($K$1,$K$2,RRL$4),Table1[],(MATCH(Calendar!$A18,DB!$1:$1,0)),FALSE)&gt;=5,"Good","Bad"),VLOOKUP(DATE($K$1,$K$2,RRL$4),Table1[],(MATCH(Calendar!$A18,DB!$1:$1,0)),FALSE)),"")</f>
        <v/>
      </c>
      <c r="RRM18" s="28" t="str">
        <f>IFERROR(IF(RRV3="No",IF(VLOOKUP(DATE($K$1,$K$2,RRM$4),Table1[],(MATCH(Calendar!$A18,DB!$1:$1,0)),FALSE)&gt;=5,"Good","Bad"),VLOOKUP(DATE($K$1,$K$2,RRM$4),Table1[],(MATCH(Calendar!$A18,DB!$1:$1,0)),FALSE)),"")</f>
        <v/>
      </c>
      <c r="RRN18" s="28" t="str">
        <f>IFERROR(IF(RRW3="No",IF(VLOOKUP(DATE($K$1,$K$2,RRN$4),Table1[],(MATCH(Calendar!$A18,DB!$1:$1,0)),FALSE)&gt;=5,"Good","Bad"),VLOOKUP(DATE($K$1,$K$2,RRN$4),Table1[],(MATCH(Calendar!$A18,DB!$1:$1,0)),FALSE)),"")</f>
        <v/>
      </c>
      <c r="RRO18" s="28" t="str">
        <f>IFERROR(IF(RRX3="No",IF(VLOOKUP(DATE($K$1,$K$2,RRO$4),Table1[],(MATCH(Calendar!$A18,DB!$1:$1,0)),FALSE)&gt;=5,"Good","Bad"),VLOOKUP(DATE($K$1,$K$2,RRO$4),Table1[],(MATCH(Calendar!$A18,DB!$1:$1,0)),FALSE)),"")</f>
        <v/>
      </c>
      <c r="RRP18" s="28" t="str">
        <f>IFERROR(IF(RRY3="No",IF(VLOOKUP(DATE($K$1,$K$2,RRP$4),Table1[],(MATCH(Calendar!$A18,DB!$1:$1,0)),FALSE)&gt;=5,"Good","Bad"),VLOOKUP(DATE($K$1,$K$2,RRP$4),Table1[],(MATCH(Calendar!$A18,DB!$1:$1,0)),FALSE)),"")</f>
        <v/>
      </c>
      <c r="RRQ18" s="28" t="str">
        <f>IFERROR(IF(RRZ3="No",IF(VLOOKUP(DATE($K$1,$K$2,RRQ$4),Table1[],(MATCH(Calendar!$A18,DB!$1:$1,0)),FALSE)&gt;=5,"Good","Bad"),VLOOKUP(DATE($K$1,$K$2,RRQ$4),Table1[],(MATCH(Calendar!$A18,DB!$1:$1,0)),FALSE)),"")</f>
        <v/>
      </c>
      <c r="RRR18" s="28" t="str">
        <f>IFERROR(IF(RSA3="No",IF(VLOOKUP(DATE($K$1,$K$2,RRR$4),Table1[],(MATCH(Calendar!$A18,DB!$1:$1,0)),FALSE)&gt;=5,"Good","Bad"),VLOOKUP(DATE($K$1,$K$2,RRR$4),Table1[],(MATCH(Calendar!$A18,DB!$1:$1,0)),FALSE)),"")</f>
        <v/>
      </c>
      <c r="RRS18" s="28" t="str">
        <f>IFERROR(IF(RSB3="No",IF(VLOOKUP(DATE($K$1,$K$2,RRS$4),Table1[],(MATCH(Calendar!$A18,DB!$1:$1,0)),FALSE)&gt;=5,"Good","Bad"),VLOOKUP(DATE($K$1,$K$2,RRS$4),Table1[],(MATCH(Calendar!$A18,DB!$1:$1,0)),FALSE)),"")</f>
        <v/>
      </c>
      <c r="RRT18" s="28" t="str">
        <f>IFERROR(IF(RSC3="No",IF(VLOOKUP(DATE($K$1,$K$2,RRT$4),Table1[],(MATCH(Calendar!$A18,DB!$1:$1,0)),FALSE)&gt;=5,"Good","Bad"),VLOOKUP(DATE($K$1,$K$2,RRT$4),Table1[],(MATCH(Calendar!$A18,DB!$1:$1,0)),FALSE)),"")</f>
        <v/>
      </c>
      <c r="RRU18" s="28" t="str">
        <f>IFERROR(IF(RSD3="No",IF(VLOOKUP(DATE($K$1,$K$2,RRU$4),Table1[],(MATCH(Calendar!$A18,DB!$1:$1,0)),FALSE)&gt;=5,"Good","Bad"),VLOOKUP(DATE($K$1,$K$2,RRU$4),Table1[],(MATCH(Calendar!$A18,DB!$1:$1,0)),FALSE)),"")</f>
        <v/>
      </c>
      <c r="RRV18" s="28" t="str">
        <f>IFERROR(IF(RSE3="No",IF(VLOOKUP(DATE($K$1,$K$2,RRV$4),Table1[],(MATCH(Calendar!$A18,DB!$1:$1,0)),FALSE)&gt;=5,"Good","Bad"),VLOOKUP(DATE($K$1,$K$2,RRV$4),Table1[],(MATCH(Calendar!$A18,DB!$1:$1,0)),FALSE)),"")</f>
        <v/>
      </c>
      <c r="RRW18" s="28" t="str">
        <f>IFERROR(IF(RSF3="No",IF(VLOOKUP(DATE($K$1,$K$2,RRW$4),Table1[],(MATCH(Calendar!$A18,DB!$1:$1,0)),FALSE)&gt;=5,"Good","Bad"),VLOOKUP(DATE($K$1,$K$2,RRW$4),Table1[],(MATCH(Calendar!$A18,DB!$1:$1,0)),FALSE)),"")</f>
        <v/>
      </c>
      <c r="RRX18" s="28" t="str">
        <f>IFERROR(IF(RSG3="No",IF(VLOOKUP(DATE($K$1,$K$2,RRX$4),Table1[],(MATCH(Calendar!$A18,DB!$1:$1,0)),FALSE)&gt;=5,"Good","Bad"),VLOOKUP(DATE($K$1,$K$2,RRX$4),Table1[],(MATCH(Calendar!$A18,DB!$1:$1,0)),FALSE)),"")</f>
        <v/>
      </c>
      <c r="RRY18" s="28" t="str">
        <f>IFERROR(IF(RSH3="No",IF(VLOOKUP(DATE($K$1,$K$2,RRY$4),Table1[],(MATCH(Calendar!$A18,DB!$1:$1,0)),FALSE)&gt;=5,"Good","Bad"),VLOOKUP(DATE($K$1,$K$2,RRY$4),Table1[],(MATCH(Calendar!$A18,DB!$1:$1,0)),FALSE)),"")</f>
        <v/>
      </c>
      <c r="RRZ18" s="28" t="str">
        <f>IFERROR(IF(RSI3="No",IF(VLOOKUP(DATE($K$1,$K$2,RRZ$4),Table1[],(MATCH(Calendar!$A18,DB!$1:$1,0)),FALSE)&gt;=5,"Good","Bad"),VLOOKUP(DATE($K$1,$K$2,RRZ$4),Table1[],(MATCH(Calendar!$A18,DB!$1:$1,0)),FALSE)),"")</f>
        <v/>
      </c>
      <c r="RSA18" s="28" t="str">
        <f>IFERROR(IF(RSJ3="No",IF(VLOOKUP(DATE($K$1,$K$2,RSA$4),Table1[],(MATCH(Calendar!$A18,DB!$1:$1,0)),FALSE)&gt;=5,"Good","Bad"),VLOOKUP(DATE($K$1,$K$2,RSA$4),Table1[],(MATCH(Calendar!$A18,DB!$1:$1,0)),FALSE)),"")</f>
        <v/>
      </c>
      <c r="RSB18" s="28" t="str">
        <f>IFERROR(IF(RSK3="No",IF(VLOOKUP(DATE($K$1,$K$2,RSB$4),Table1[],(MATCH(Calendar!$A18,DB!$1:$1,0)),FALSE)&gt;=5,"Good","Bad"),VLOOKUP(DATE($K$1,$K$2,RSB$4),Table1[],(MATCH(Calendar!$A18,DB!$1:$1,0)),FALSE)),"")</f>
        <v/>
      </c>
      <c r="RSC18" s="28" t="str">
        <f>IFERROR(IF(RSL3="No",IF(VLOOKUP(DATE($K$1,$K$2,RSC$4),Table1[],(MATCH(Calendar!$A18,DB!$1:$1,0)),FALSE)&gt;=5,"Good","Bad"),VLOOKUP(DATE($K$1,$K$2,RSC$4),Table1[],(MATCH(Calendar!$A18,DB!$1:$1,0)),FALSE)),"")</f>
        <v/>
      </c>
      <c r="RSD18" s="28" t="str">
        <f>IFERROR(IF(RSM3="No",IF(VLOOKUP(DATE($K$1,$K$2,RSD$4),Table1[],(MATCH(Calendar!$A18,DB!$1:$1,0)),FALSE)&gt;=5,"Good","Bad"),VLOOKUP(DATE($K$1,$K$2,RSD$4),Table1[],(MATCH(Calendar!$A18,DB!$1:$1,0)),FALSE)),"")</f>
        <v/>
      </c>
      <c r="RSE18" s="28" t="str">
        <f>IFERROR(IF(RSN3="No",IF(VLOOKUP(DATE($K$1,$K$2,RSE$4),Table1[],(MATCH(Calendar!$A18,DB!$1:$1,0)),FALSE)&gt;=5,"Good","Bad"),VLOOKUP(DATE($K$1,$K$2,RSE$4),Table1[],(MATCH(Calendar!$A18,DB!$1:$1,0)),FALSE)),"")</f>
        <v/>
      </c>
      <c r="RSF18" s="28" t="str">
        <f>IFERROR(IF(RSO3="No",IF(VLOOKUP(DATE($K$1,$K$2,RSF$4),Table1[],(MATCH(Calendar!$A18,DB!$1:$1,0)),FALSE)&gt;=5,"Good","Bad"),VLOOKUP(DATE($K$1,$K$2,RSF$4),Table1[],(MATCH(Calendar!$A18,DB!$1:$1,0)),FALSE)),"")</f>
        <v/>
      </c>
      <c r="RSG18" s="28" t="str">
        <f>IFERROR(IF(RSP3="No",IF(VLOOKUP(DATE($K$1,$K$2,RSG$4),Table1[],(MATCH(Calendar!$A18,DB!$1:$1,0)),FALSE)&gt;=5,"Good","Bad"),VLOOKUP(DATE($K$1,$K$2,RSG$4),Table1[],(MATCH(Calendar!$A18,DB!$1:$1,0)),FALSE)),"")</f>
        <v/>
      </c>
      <c r="RSH18" s="28" t="str">
        <f>IFERROR(IF(RSQ3="No",IF(VLOOKUP(DATE($K$1,$K$2,RSH$4),Table1[],(MATCH(Calendar!$A18,DB!$1:$1,0)),FALSE)&gt;=5,"Good","Bad"),VLOOKUP(DATE($K$1,$K$2,RSH$4),Table1[],(MATCH(Calendar!$A18,DB!$1:$1,0)),FALSE)),"")</f>
        <v/>
      </c>
      <c r="RSI18" s="28" t="str">
        <f>IFERROR(IF(RSR3="No",IF(VLOOKUP(DATE($K$1,$K$2,RSI$4),Table1[],(MATCH(Calendar!$A18,DB!$1:$1,0)),FALSE)&gt;=5,"Good","Bad"),VLOOKUP(DATE($K$1,$K$2,RSI$4),Table1[],(MATCH(Calendar!$A18,DB!$1:$1,0)),FALSE)),"")</f>
        <v/>
      </c>
      <c r="RSJ18" s="28" t="str">
        <f>IFERROR(IF(RSS3="No",IF(VLOOKUP(DATE($K$1,$K$2,RSJ$4),Table1[],(MATCH(Calendar!$A18,DB!$1:$1,0)),FALSE)&gt;=5,"Good","Bad"),VLOOKUP(DATE($K$1,$K$2,RSJ$4),Table1[],(MATCH(Calendar!$A18,DB!$1:$1,0)),FALSE)),"")</f>
        <v/>
      </c>
      <c r="RSK18" s="28" t="str">
        <f>IFERROR(IF(RST3="No",IF(VLOOKUP(DATE($K$1,$K$2,RSK$4),Table1[],(MATCH(Calendar!$A18,DB!$1:$1,0)),FALSE)&gt;=5,"Good","Bad"),VLOOKUP(DATE($K$1,$K$2,RSK$4),Table1[],(MATCH(Calendar!$A18,DB!$1:$1,0)),FALSE)),"")</f>
        <v/>
      </c>
      <c r="RSL18" s="28" t="str">
        <f>IFERROR(IF(RSU3="No",IF(VLOOKUP(DATE($K$1,$K$2,RSL$4),Table1[],(MATCH(Calendar!$A18,DB!$1:$1,0)),FALSE)&gt;=5,"Good","Bad"),VLOOKUP(DATE($K$1,$K$2,RSL$4),Table1[],(MATCH(Calendar!$A18,DB!$1:$1,0)),FALSE)),"")</f>
        <v/>
      </c>
      <c r="RSM18" s="28" t="str">
        <f>IFERROR(IF(RSV3="No",IF(VLOOKUP(DATE($K$1,$K$2,RSM$4),Table1[],(MATCH(Calendar!$A18,DB!$1:$1,0)),FALSE)&gt;=5,"Good","Bad"),VLOOKUP(DATE($K$1,$K$2,RSM$4),Table1[],(MATCH(Calendar!$A18,DB!$1:$1,0)),FALSE)),"")</f>
        <v/>
      </c>
      <c r="RSN18" s="28" t="str">
        <f>IFERROR(IF(RSW3="No",IF(VLOOKUP(DATE($K$1,$K$2,RSN$4),Table1[],(MATCH(Calendar!$A18,DB!$1:$1,0)),FALSE)&gt;=5,"Good","Bad"),VLOOKUP(DATE($K$1,$K$2,RSN$4),Table1[],(MATCH(Calendar!$A18,DB!$1:$1,0)),FALSE)),"")</f>
        <v/>
      </c>
      <c r="RSO18" s="28" t="str">
        <f>IFERROR(IF(RSX3="No",IF(VLOOKUP(DATE($K$1,$K$2,RSO$4),Table1[],(MATCH(Calendar!$A18,DB!$1:$1,0)),FALSE)&gt;=5,"Good","Bad"),VLOOKUP(DATE($K$1,$K$2,RSO$4),Table1[],(MATCH(Calendar!$A18,DB!$1:$1,0)),FALSE)),"")</f>
        <v/>
      </c>
      <c r="RSP18" s="28" t="str">
        <f>IFERROR(IF(RSY3="No",IF(VLOOKUP(DATE($K$1,$K$2,RSP$4),Table1[],(MATCH(Calendar!$A18,DB!$1:$1,0)),FALSE)&gt;=5,"Good","Bad"),VLOOKUP(DATE($K$1,$K$2,RSP$4),Table1[],(MATCH(Calendar!$A18,DB!$1:$1,0)),FALSE)),"")</f>
        <v/>
      </c>
      <c r="RSQ18" s="28" t="str">
        <f>IFERROR(IF(RSZ3="No",IF(VLOOKUP(DATE($K$1,$K$2,RSQ$4),Table1[],(MATCH(Calendar!$A18,DB!$1:$1,0)),FALSE)&gt;=5,"Good","Bad"),VLOOKUP(DATE($K$1,$K$2,RSQ$4),Table1[],(MATCH(Calendar!$A18,DB!$1:$1,0)),FALSE)),"")</f>
        <v/>
      </c>
      <c r="RSR18" s="28" t="str">
        <f>IFERROR(IF(RTA3="No",IF(VLOOKUP(DATE($K$1,$K$2,RSR$4),Table1[],(MATCH(Calendar!$A18,DB!$1:$1,0)),FALSE)&gt;=5,"Good","Bad"),VLOOKUP(DATE($K$1,$K$2,RSR$4),Table1[],(MATCH(Calendar!$A18,DB!$1:$1,0)),FALSE)),"")</f>
        <v/>
      </c>
      <c r="RSS18" s="28" t="str">
        <f>IFERROR(IF(RTB3="No",IF(VLOOKUP(DATE($K$1,$K$2,RSS$4),Table1[],(MATCH(Calendar!$A18,DB!$1:$1,0)),FALSE)&gt;=5,"Good","Bad"),VLOOKUP(DATE($K$1,$K$2,RSS$4),Table1[],(MATCH(Calendar!$A18,DB!$1:$1,0)),FALSE)),"")</f>
        <v/>
      </c>
      <c r="RST18" s="28" t="str">
        <f>IFERROR(IF(RTC3="No",IF(VLOOKUP(DATE($K$1,$K$2,RST$4),Table1[],(MATCH(Calendar!$A18,DB!$1:$1,0)),FALSE)&gt;=5,"Good","Bad"),VLOOKUP(DATE($K$1,$K$2,RST$4),Table1[],(MATCH(Calendar!$A18,DB!$1:$1,0)),FALSE)),"")</f>
        <v/>
      </c>
      <c r="RSU18" s="28" t="str">
        <f>IFERROR(IF(RTD3="No",IF(VLOOKUP(DATE($K$1,$K$2,RSU$4),Table1[],(MATCH(Calendar!$A18,DB!$1:$1,0)),FALSE)&gt;=5,"Good","Bad"),VLOOKUP(DATE($K$1,$K$2,RSU$4),Table1[],(MATCH(Calendar!$A18,DB!$1:$1,0)),FALSE)),"")</f>
        <v/>
      </c>
      <c r="RSV18" s="28" t="str">
        <f>IFERROR(IF(RTE3="No",IF(VLOOKUP(DATE($K$1,$K$2,RSV$4),Table1[],(MATCH(Calendar!$A18,DB!$1:$1,0)),FALSE)&gt;=5,"Good","Bad"),VLOOKUP(DATE($K$1,$K$2,RSV$4),Table1[],(MATCH(Calendar!$A18,DB!$1:$1,0)),FALSE)),"")</f>
        <v/>
      </c>
      <c r="RSW18" s="28" t="str">
        <f>IFERROR(IF(RTF3="No",IF(VLOOKUP(DATE($K$1,$K$2,RSW$4),Table1[],(MATCH(Calendar!$A18,DB!$1:$1,0)),FALSE)&gt;=5,"Good","Bad"),VLOOKUP(DATE($K$1,$K$2,RSW$4),Table1[],(MATCH(Calendar!$A18,DB!$1:$1,0)),FALSE)),"")</f>
        <v/>
      </c>
      <c r="RSX18" s="28" t="str">
        <f>IFERROR(IF(RTG3="No",IF(VLOOKUP(DATE($K$1,$K$2,RSX$4),Table1[],(MATCH(Calendar!$A18,DB!$1:$1,0)),FALSE)&gt;=5,"Good","Bad"),VLOOKUP(DATE($K$1,$K$2,RSX$4),Table1[],(MATCH(Calendar!$A18,DB!$1:$1,0)),FALSE)),"")</f>
        <v/>
      </c>
      <c r="RSY18" s="28" t="str">
        <f>IFERROR(IF(RTH3="No",IF(VLOOKUP(DATE($K$1,$K$2,RSY$4),Table1[],(MATCH(Calendar!$A18,DB!$1:$1,0)),FALSE)&gt;=5,"Good","Bad"),VLOOKUP(DATE($K$1,$K$2,RSY$4),Table1[],(MATCH(Calendar!$A18,DB!$1:$1,0)),FALSE)),"")</f>
        <v/>
      </c>
      <c r="RSZ18" s="28" t="str">
        <f>IFERROR(IF(RTI3="No",IF(VLOOKUP(DATE($K$1,$K$2,RSZ$4),Table1[],(MATCH(Calendar!$A18,DB!$1:$1,0)),FALSE)&gt;=5,"Good","Bad"),VLOOKUP(DATE($K$1,$K$2,RSZ$4),Table1[],(MATCH(Calendar!$A18,DB!$1:$1,0)),FALSE)),"")</f>
        <v/>
      </c>
      <c r="RTA18" s="28" t="str">
        <f>IFERROR(IF(RTJ3="No",IF(VLOOKUP(DATE($K$1,$K$2,RTA$4),Table1[],(MATCH(Calendar!$A18,DB!$1:$1,0)),FALSE)&gt;=5,"Good","Bad"),VLOOKUP(DATE($K$1,$K$2,RTA$4),Table1[],(MATCH(Calendar!$A18,DB!$1:$1,0)),FALSE)),"")</f>
        <v/>
      </c>
      <c r="RTB18" s="28" t="str">
        <f>IFERROR(IF(RTK3="No",IF(VLOOKUP(DATE($K$1,$K$2,RTB$4),Table1[],(MATCH(Calendar!$A18,DB!$1:$1,0)),FALSE)&gt;=5,"Good","Bad"),VLOOKUP(DATE($K$1,$K$2,RTB$4),Table1[],(MATCH(Calendar!$A18,DB!$1:$1,0)),FALSE)),"")</f>
        <v/>
      </c>
      <c r="RTC18" s="28" t="str">
        <f>IFERROR(IF(RTL3="No",IF(VLOOKUP(DATE($K$1,$K$2,RTC$4),Table1[],(MATCH(Calendar!$A18,DB!$1:$1,0)),FALSE)&gt;=5,"Good","Bad"),VLOOKUP(DATE($K$1,$K$2,RTC$4),Table1[],(MATCH(Calendar!$A18,DB!$1:$1,0)),FALSE)),"")</f>
        <v/>
      </c>
      <c r="RTD18" s="28" t="str">
        <f>IFERROR(IF(RTM3="No",IF(VLOOKUP(DATE($K$1,$K$2,RTD$4),Table1[],(MATCH(Calendar!$A18,DB!$1:$1,0)),FALSE)&gt;=5,"Good","Bad"),VLOOKUP(DATE($K$1,$K$2,RTD$4),Table1[],(MATCH(Calendar!$A18,DB!$1:$1,0)),FALSE)),"")</f>
        <v/>
      </c>
      <c r="RTE18" s="28" t="str">
        <f>IFERROR(IF(RTN3="No",IF(VLOOKUP(DATE($K$1,$K$2,RTE$4),Table1[],(MATCH(Calendar!$A18,DB!$1:$1,0)),FALSE)&gt;=5,"Good","Bad"),VLOOKUP(DATE($K$1,$K$2,RTE$4),Table1[],(MATCH(Calendar!$A18,DB!$1:$1,0)),FALSE)),"")</f>
        <v/>
      </c>
      <c r="RTF18" s="28" t="str">
        <f>IFERROR(IF(RTO3="No",IF(VLOOKUP(DATE($K$1,$K$2,RTF$4),Table1[],(MATCH(Calendar!$A18,DB!$1:$1,0)),FALSE)&gt;=5,"Good","Bad"),VLOOKUP(DATE($K$1,$K$2,RTF$4),Table1[],(MATCH(Calendar!$A18,DB!$1:$1,0)),FALSE)),"")</f>
        <v/>
      </c>
      <c r="RTG18" s="28" t="str">
        <f>IFERROR(IF(RTP3="No",IF(VLOOKUP(DATE($K$1,$K$2,RTG$4),Table1[],(MATCH(Calendar!$A18,DB!$1:$1,0)),FALSE)&gt;=5,"Good","Bad"),VLOOKUP(DATE($K$1,$K$2,RTG$4),Table1[],(MATCH(Calendar!$A18,DB!$1:$1,0)),FALSE)),"")</f>
        <v/>
      </c>
      <c r="RTH18" s="28" t="str">
        <f>IFERROR(IF(RTQ3="No",IF(VLOOKUP(DATE($K$1,$K$2,RTH$4),Table1[],(MATCH(Calendar!$A18,DB!$1:$1,0)),FALSE)&gt;=5,"Good","Bad"),VLOOKUP(DATE($K$1,$K$2,RTH$4),Table1[],(MATCH(Calendar!$A18,DB!$1:$1,0)),FALSE)),"")</f>
        <v/>
      </c>
      <c r="RTI18" s="28" t="str">
        <f>IFERROR(IF(RTR3="No",IF(VLOOKUP(DATE($K$1,$K$2,RTI$4),Table1[],(MATCH(Calendar!$A18,DB!$1:$1,0)),FALSE)&gt;=5,"Good","Bad"),VLOOKUP(DATE($K$1,$K$2,RTI$4),Table1[],(MATCH(Calendar!$A18,DB!$1:$1,0)),FALSE)),"")</f>
        <v/>
      </c>
      <c r="RTJ18" s="28" t="str">
        <f>IFERROR(IF(RTS3="No",IF(VLOOKUP(DATE($K$1,$K$2,RTJ$4),Table1[],(MATCH(Calendar!$A18,DB!$1:$1,0)),FALSE)&gt;=5,"Good","Bad"),VLOOKUP(DATE($K$1,$K$2,RTJ$4),Table1[],(MATCH(Calendar!$A18,DB!$1:$1,0)),FALSE)),"")</f>
        <v/>
      </c>
      <c r="RTK18" s="28" t="str">
        <f>IFERROR(IF(RTT3="No",IF(VLOOKUP(DATE($K$1,$K$2,RTK$4),Table1[],(MATCH(Calendar!$A18,DB!$1:$1,0)),FALSE)&gt;=5,"Good","Bad"),VLOOKUP(DATE($K$1,$K$2,RTK$4),Table1[],(MATCH(Calendar!$A18,DB!$1:$1,0)),FALSE)),"")</f>
        <v/>
      </c>
      <c r="RTL18" s="28" t="str">
        <f>IFERROR(IF(RTU3="No",IF(VLOOKUP(DATE($K$1,$K$2,RTL$4),Table1[],(MATCH(Calendar!$A18,DB!$1:$1,0)),FALSE)&gt;=5,"Good","Bad"),VLOOKUP(DATE($K$1,$K$2,RTL$4),Table1[],(MATCH(Calendar!$A18,DB!$1:$1,0)),FALSE)),"")</f>
        <v/>
      </c>
      <c r="RTM18" s="28" t="str">
        <f>IFERROR(IF(RTV3="No",IF(VLOOKUP(DATE($K$1,$K$2,RTM$4),Table1[],(MATCH(Calendar!$A18,DB!$1:$1,0)),FALSE)&gt;=5,"Good","Bad"),VLOOKUP(DATE($K$1,$K$2,RTM$4),Table1[],(MATCH(Calendar!$A18,DB!$1:$1,0)),FALSE)),"")</f>
        <v/>
      </c>
      <c r="RTN18" s="28" t="str">
        <f>IFERROR(IF(RTW3="No",IF(VLOOKUP(DATE($K$1,$K$2,RTN$4),Table1[],(MATCH(Calendar!$A18,DB!$1:$1,0)),FALSE)&gt;=5,"Good","Bad"),VLOOKUP(DATE($K$1,$K$2,RTN$4),Table1[],(MATCH(Calendar!$A18,DB!$1:$1,0)),FALSE)),"")</f>
        <v/>
      </c>
      <c r="RTO18" s="28" t="str">
        <f>IFERROR(IF(RTX3="No",IF(VLOOKUP(DATE($K$1,$K$2,RTO$4),Table1[],(MATCH(Calendar!$A18,DB!$1:$1,0)),FALSE)&gt;=5,"Good","Bad"),VLOOKUP(DATE($K$1,$K$2,RTO$4),Table1[],(MATCH(Calendar!$A18,DB!$1:$1,0)),FALSE)),"")</f>
        <v/>
      </c>
      <c r="RTP18" s="28" t="str">
        <f>IFERROR(IF(RTY3="No",IF(VLOOKUP(DATE($K$1,$K$2,RTP$4),Table1[],(MATCH(Calendar!$A18,DB!$1:$1,0)),FALSE)&gt;=5,"Good","Bad"),VLOOKUP(DATE($K$1,$K$2,RTP$4),Table1[],(MATCH(Calendar!$A18,DB!$1:$1,0)),FALSE)),"")</f>
        <v/>
      </c>
      <c r="RTQ18" s="28" t="str">
        <f>IFERROR(IF(RTZ3="No",IF(VLOOKUP(DATE($K$1,$K$2,RTQ$4),Table1[],(MATCH(Calendar!$A18,DB!$1:$1,0)),FALSE)&gt;=5,"Good","Bad"),VLOOKUP(DATE($K$1,$K$2,RTQ$4),Table1[],(MATCH(Calendar!$A18,DB!$1:$1,0)),FALSE)),"")</f>
        <v/>
      </c>
      <c r="RTR18" s="28" t="str">
        <f>IFERROR(IF(RUA3="No",IF(VLOOKUP(DATE($K$1,$K$2,RTR$4),Table1[],(MATCH(Calendar!$A18,DB!$1:$1,0)),FALSE)&gt;=5,"Good","Bad"),VLOOKUP(DATE($K$1,$K$2,RTR$4),Table1[],(MATCH(Calendar!$A18,DB!$1:$1,0)),FALSE)),"")</f>
        <v/>
      </c>
      <c r="RTS18" s="28" t="str">
        <f>IFERROR(IF(RUB3="No",IF(VLOOKUP(DATE($K$1,$K$2,RTS$4),Table1[],(MATCH(Calendar!$A18,DB!$1:$1,0)),FALSE)&gt;=5,"Good","Bad"),VLOOKUP(DATE($K$1,$K$2,RTS$4),Table1[],(MATCH(Calendar!$A18,DB!$1:$1,0)),FALSE)),"")</f>
        <v/>
      </c>
      <c r="RTT18" s="28" t="str">
        <f>IFERROR(IF(RUC3="No",IF(VLOOKUP(DATE($K$1,$K$2,RTT$4),Table1[],(MATCH(Calendar!$A18,DB!$1:$1,0)),FALSE)&gt;=5,"Good","Bad"),VLOOKUP(DATE($K$1,$K$2,RTT$4),Table1[],(MATCH(Calendar!$A18,DB!$1:$1,0)),FALSE)),"")</f>
        <v/>
      </c>
      <c r="RTU18" s="28" t="str">
        <f>IFERROR(IF(RUD3="No",IF(VLOOKUP(DATE($K$1,$K$2,RTU$4),Table1[],(MATCH(Calendar!$A18,DB!$1:$1,0)),FALSE)&gt;=5,"Good","Bad"),VLOOKUP(DATE($K$1,$K$2,RTU$4),Table1[],(MATCH(Calendar!$A18,DB!$1:$1,0)),FALSE)),"")</f>
        <v/>
      </c>
      <c r="RTV18" s="28" t="str">
        <f>IFERROR(IF(RUE3="No",IF(VLOOKUP(DATE($K$1,$K$2,RTV$4),Table1[],(MATCH(Calendar!$A18,DB!$1:$1,0)),FALSE)&gt;=5,"Good","Bad"),VLOOKUP(DATE($K$1,$K$2,RTV$4),Table1[],(MATCH(Calendar!$A18,DB!$1:$1,0)),FALSE)),"")</f>
        <v/>
      </c>
      <c r="RTW18" s="28" t="str">
        <f>IFERROR(IF(RUF3="No",IF(VLOOKUP(DATE($K$1,$K$2,RTW$4),Table1[],(MATCH(Calendar!$A18,DB!$1:$1,0)),FALSE)&gt;=5,"Good","Bad"),VLOOKUP(DATE($K$1,$K$2,RTW$4),Table1[],(MATCH(Calendar!$A18,DB!$1:$1,0)),FALSE)),"")</f>
        <v/>
      </c>
      <c r="RTX18" s="28" t="str">
        <f>IFERROR(IF(RUG3="No",IF(VLOOKUP(DATE($K$1,$K$2,RTX$4),Table1[],(MATCH(Calendar!$A18,DB!$1:$1,0)),FALSE)&gt;=5,"Good","Bad"),VLOOKUP(DATE($K$1,$K$2,RTX$4),Table1[],(MATCH(Calendar!$A18,DB!$1:$1,0)),FALSE)),"")</f>
        <v/>
      </c>
      <c r="RTY18" s="28" t="str">
        <f>IFERROR(IF(RUH3="No",IF(VLOOKUP(DATE($K$1,$K$2,RTY$4),Table1[],(MATCH(Calendar!$A18,DB!$1:$1,0)),FALSE)&gt;=5,"Good","Bad"),VLOOKUP(DATE($K$1,$K$2,RTY$4),Table1[],(MATCH(Calendar!$A18,DB!$1:$1,0)),FALSE)),"")</f>
        <v/>
      </c>
      <c r="RTZ18" s="28" t="str">
        <f>IFERROR(IF(RUI3="No",IF(VLOOKUP(DATE($K$1,$K$2,RTZ$4),Table1[],(MATCH(Calendar!$A18,DB!$1:$1,0)),FALSE)&gt;=5,"Good","Bad"),VLOOKUP(DATE($K$1,$K$2,RTZ$4),Table1[],(MATCH(Calendar!$A18,DB!$1:$1,0)),FALSE)),"")</f>
        <v/>
      </c>
      <c r="RUA18" s="28" t="str">
        <f>IFERROR(IF(RUJ3="No",IF(VLOOKUP(DATE($K$1,$K$2,RUA$4),Table1[],(MATCH(Calendar!$A18,DB!$1:$1,0)),FALSE)&gt;=5,"Good","Bad"),VLOOKUP(DATE($K$1,$K$2,RUA$4),Table1[],(MATCH(Calendar!$A18,DB!$1:$1,0)),FALSE)),"")</f>
        <v/>
      </c>
      <c r="RUB18" s="28" t="str">
        <f>IFERROR(IF(RUK3="No",IF(VLOOKUP(DATE($K$1,$K$2,RUB$4),Table1[],(MATCH(Calendar!$A18,DB!$1:$1,0)),FALSE)&gt;=5,"Good","Bad"),VLOOKUP(DATE($K$1,$K$2,RUB$4),Table1[],(MATCH(Calendar!$A18,DB!$1:$1,0)),FALSE)),"")</f>
        <v/>
      </c>
      <c r="RUC18" s="28" t="str">
        <f>IFERROR(IF(RUL3="No",IF(VLOOKUP(DATE($K$1,$K$2,RUC$4),Table1[],(MATCH(Calendar!$A18,DB!$1:$1,0)),FALSE)&gt;=5,"Good","Bad"),VLOOKUP(DATE($K$1,$K$2,RUC$4),Table1[],(MATCH(Calendar!$A18,DB!$1:$1,0)),FALSE)),"")</f>
        <v/>
      </c>
      <c r="RUD18" s="28" t="str">
        <f>IFERROR(IF(RUM3="No",IF(VLOOKUP(DATE($K$1,$K$2,RUD$4),Table1[],(MATCH(Calendar!$A18,DB!$1:$1,0)),FALSE)&gt;=5,"Good","Bad"),VLOOKUP(DATE($K$1,$K$2,RUD$4),Table1[],(MATCH(Calendar!$A18,DB!$1:$1,0)),FALSE)),"")</f>
        <v/>
      </c>
      <c r="RUE18" s="28" t="str">
        <f>IFERROR(IF(RUN3="No",IF(VLOOKUP(DATE($K$1,$K$2,RUE$4),Table1[],(MATCH(Calendar!$A18,DB!$1:$1,0)),FALSE)&gt;=5,"Good","Bad"),VLOOKUP(DATE($K$1,$K$2,RUE$4),Table1[],(MATCH(Calendar!$A18,DB!$1:$1,0)),FALSE)),"")</f>
        <v/>
      </c>
      <c r="RUF18" s="28" t="str">
        <f>IFERROR(IF(RUO3="No",IF(VLOOKUP(DATE($K$1,$K$2,RUF$4),Table1[],(MATCH(Calendar!$A18,DB!$1:$1,0)),FALSE)&gt;=5,"Good","Bad"),VLOOKUP(DATE($K$1,$K$2,RUF$4),Table1[],(MATCH(Calendar!$A18,DB!$1:$1,0)),FALSE)),"")</f>
        <v/>
      </c>
      <c r="RUG18" s="28" t="str">
        <f>IFERROR(IF(RUP3="No",IF(VLOOKUP(DATE($K$1,$K$2,RUG$4),Table1[],(MATCH(Calendar!$A18,DB!$1:$1,0)),FALSE)&gt;=5,"Good","Bad"),VLOOKUP(DATE($K$1,$K$2,RUG$4),Table1[],(MATCH(Calendar!$A18,DB!$1:$1,0)),FALSE)),"")</f>
        <v/>
      </c>
      <c r="RUH18" s="28" t="str">
        <f>IFERROR(IF(RUQ3="No",IF(VLOOKUP(DATE($K$1,$K$2,RUH$4),Table1[],(MATCH(Calendar!$A18,DB!$1:$1,0)),FALSE)&gt;=5,"Good","Bad"),VLOOKUP(DATE($K$1,$K$2,RUH$4),Table1[],(MATCH(Calendar!$A18,DB!$1:$1,0)),FALSE)),"")</f>
        <v/>
      </c>
      <c r="RUI18" s="28" t="str">
        <f>IFERROR(IF(RUR3="No",IF(VLOOKUP(DATE($K$1,$K$2,RUI$4),Table1[],(MATCH(Calendar!$A18,DB!$1:$1,0)),FALSE)&gt;=5,"Good","Bad"),VLOOKUP(DATE($K$1,$K$2,RUI$4),Table1[],(MATCH(Calendar!$A18,DB!$1:$1,0)),FALSE)),"")</f>
        <v/>
      </c>
      <c r="RUJ18" s="28" t="str">
        <f>IFERROR(IF(RUS3="No",IF(VLOOKUP(DATE($K$1,$K$2,RUJ$4),Table1[],(MATCH(Calendar!$A18,DB!$1:$1,0)),FALSE)&gt;=5,"Good","Bad"),VLOOKUP(DATE($K$1,$K$2,RUJ$4),Table1[],(MATCH(Calendar!$A18,DB!$1:$1,0)),FALSE)),"")</f>
        <v/>
      </c>
      <c r="RUK18" s="28" t="str">
        <f>IFERROR(IF(RUT3="No",IF(VLOOKUP(DATE($K$1,$K$2,RUK$4),Table1[],(MATCH(Calendar!$A18,DB!$1:$1,0)),FALSE)&gt;=5,"Good","Bad"),VLOOKUP(DATE($K$1,$K$2,RUK$4),Table1[],(MATCH(Calendar!$A18,DB!$1:$1,0)),FALSE)),"")</f>
        <v/>
      </c>
      <c r="RUL18" s="28" t="str">
        <f>IFERROR(IF(RUU3="No",IF(VLOOKUP(DATE($K$1,$K$2,RUL$4),Table1[],(MATCH(Calendar!$A18,DB!$1:$1,0)),FALSE)&gt;=5,"Good","Bad"),VLOOKUP(DATE($K$1,$K$2,RUL$4),Table1[],(MATCH(Calendar!$A18,DB!$1:$1,0)),FALSE)),"")</f>
        <v/>
      </c>
      <c r="RUM18" s="28" t="str">
        <f>IFERROR(IF(RUV3="No",IF(VLOOKUP(DATE($K$1,$K$2,RUM$4),Table1[],(MATCH(Calendar!$A18,DB!$1:$1,0)),FALSE)&gt;=5,"Good","Bad"),VLOOKUP(DATE($K$1,$K$2,RUM$4),Table1[],(MATCH(Calendar!$A18,DB!$1:$1,0)),FALSE)),"")</f>
        <v/>
      </c>
      <c r="RUN18" s="28" t="str">
        <f>IFERROR(IF(RUW3="No",IF(VLOOKUP(DATE($K$1,$K$2,RUN$4),Table1[],(MATCH(Calendar!$A18,DB!$1:$1,0)),FALSE)&gt;=5,"Good","Bad"),VLOOKUP(DATE($K$1,$K$2,RUN$4),Table1[],(MATCH(Calendar!$A18,DB!$1:$1,0)),FALSE)),"")</f>
        <v/>
      </c>
      <c r="RUO18" s="28" t="str">
        <f>IFERROR(IF(RUX3="No",IF(VLOOKUP(DATE($K$1,$K$2,RUO$4),Table1[],(MATCH(Calendar!$A18,DB!$1:$1,0)),FALSE)&gt;=5,"Good","Bad"),VLOOKUP(DATE($K$1,$K$2,RUO$4),Table1[],(MATCH(Calendar!$A18,DB!$1:$1,0)),FALSE)),"")</f>
        <v/>
      </c>
      <c r="RUP18" s="28" t="str">
        <f>IFERROR(IF(RUY3="No",IF(VLOOKUP(DATE($K$1,$K$2,RUP$4),Table1[],(MATCH(Calendar!$A18,DB!$1:$1,0)),FALSE)&gt;=5,"Good","Bad"),VLOOKUP(DATE($K$1,$K$2,RUP$4),Table1[],(MATCH(Calendar!$A18,DB!$1:$1,0)),FALSE)),"")</f>
        <v/>
      </c>
      <c r="RUQ18" s="28" t="str">
        <f>IFERROR(IF(RUZ3="No",IF(VLOOKUP(DATE($K$1,$K$2,RUQ$4),Table1[],(MATCH(Calendar!$A18,DB!$1:$1,0)),FALSE)&gt;=5,"Good","Bad"),VLOOKUP(DATE($K$1,$K$2,RUQ$4),Table1[],(MATCH(Calendar!$A18,DB!$1:$1,0)),FALSE)),"")</f>
        <v/>
      </c>
      <c r="RUR18" s="28" t="str">
        <f>IFERROR(IF(RVA3="No",IF(VLOOKUP(DATE($K$1,$K$2,RUR$4),Table1[],(MATCH(Calendar!$A18,DB!$1:$1,0)),FALSE)&gt;=5,"Good","Bad"),VLOOKUP(DATE($K$1,$K$2,RUR$4),Table1[],(MATCH(Calendar!$A18,DB!$1:$1,0)),FALSE)),"")</f>
        <v/>
      </c>
      <c r="RUS18" s="28" t="str">
        <f>IFERROR(IF(RVB3="No",IF(VLOOKUP(DATE($K$1,$K$2,RUS$4),Table1[],(MATCH(Calendar!$A18,DB!$1:$1,0)),FALSE)&gt;=5,"Good","Bad"),VLOOKUP(DATE($K$1,$K$2,RUS$4),Table1[],(MATCH(Calendar!$A18,DB!$1:$1,0)),FALSE)),"")</f>
        <v/>
      </c>
      <c r="RUT18" s="28" t="str">
        <f>IFERROR(IF(RVC3="No",IF(VLOOKUP(DATE($K$1,$K$2,RUT$4),Table1[],(MATCH(Calendar!$A18,DB!$1:$1,0)),FALSE)&gt;=5,"Good","Bad"),VLOOKUP(DATE($K$1,$K$2,RUT$4),Table1[],(MATCH(Calendar!$A18,DB!$1:$1,0)),FALSE)),"")</f>
        <v/>
      </c>
      <c r="RUU18" s="28" t="str">
        <f>IFERROR(IF(RVD3="No",IF(VLOOKUP(DATE($K$1,$K$2,RUU$4),Table1[],(MATCH(Calendar!$A18,DB!$1:$1,0)),FALSE)&gt;=5,"Good","Bad"),VLOOKUP(DATE($K$1,$K$2,RUU$4),Table1[],(MATCH(Calendar!$A18,DB!$1:$1,0)),FALSE)),"")</f>
        <v/>
      </c>
      <c r="RUV18" s="28" t="str">
        <f>IFERROR(IF(RVE3="No",IF(VLOOKUP(DATE($K$1,$K$2,RUV$4),Table1[],(MATCH(Calendar!$A18,DB!$1:$1,0)),FALSE)&gt;=5,"Good","Bad"),VLOOKUP(DATE($K$1,$K$2,RUV$4),Table1[],(MATCH(Calendar!$A18,DB!$1:$1,0)),FALSE)),"")</f>
        <v/>
      </c>
      <c r="RUW18" s="28" t="str">
        <f>IFERROR(IF(RVF3="No",IF(VLOOKUP(DATE($K$1,$K$2,RUW$4),Table1[],(MATCH(Calendar!$A18,DB!$1:$1,0)),FALSE)&gt;=5,"Good","Bad"),VLOOKUP(DATE($K$1,$K$2,RUW$4),Table1[],(MATCH(Calendar!$A18,DB!$1:$1,0)),FALSE)),"")</f>
        <v/>
      </c>
      <c r="RUX18" s="28" t="str">
        <f>IFERROR(IF(RVG3="No",IF(VLOOKUP(DATE($K$1,$K$2,RUX$4),Table1[],(MATCH(Calendar!$A18,DB!$1:$1,0)),FALSE)&gt;=5,"Good","Bad"),VLOOKUP(DATE($K$1,$K$2,RUX$4),Table1[],(MATCH(Calendar!$A18,DB!$1:$1,0)),FALSE)),"")</f>
        <v/>
      </c>
      <c r="RUY18" s="28" t="str">
        <f>IFERROR(IF(RVH3="No",IF(VLOOKUP(DATE($K$1,$K$2,RUY$4),Table1[],(MATCH(Calendar!$A18,DB!$1:$1,0)),FALSE)&gt;=5,"Good","Bad"),VLOOKUP(DATE($K$1,$K$2,RUY$4),Table1[],(MATCH(Calendar!$A18,DB!$1:$1,0)),FALSE)),"")</f>
        <v/>
      </c>
      <c r="RUZ18" s="28" t="str">
        <f>IFERROR(IF(RVI3="No",IF(VLOOKUP(DATE($K$1,$K$2,RUZ$4),Table1[],(MATCH(Calendar!$A18,DB!$1:$1,0)),FALSE)&gt;=5,"Good","Bad"),VLOOKUP(DATE($K$1,$K$2,RUZ$4),Table1[],(MATCH(Calendar!$A18,DB!$1:$1,0)),FALSE)),"")</f>
        <v/>
      </c>
      <c r="RVA18" s="28" t="str">
        <f>IFERROR(IF(RVJ3="No",IF(VLOOKUP(DATE($K$1,$K$2,RVA$4),Table1[],(MATCH(Calendar!$A18,DB!$1:$1,0)),FALSE)&gt;=5,"Good","Bad"),VLOOKUP(DATE($K$1,$K$2,RVA$4),Table1[],(MATCH(Calendar!$A18,DB!$1:$1,0)),FALSE)),"")</f>
        <v/>
      </c>
      <c r="RVB18" s="28" t="str">
        <f>IFERROR(IF(RVK3="No",IF(VLOOKUP(DATE($K$1,$K$2,RVB$4),Table1[],(MATCH(Calendar!$A18,DB!$1:$1,0)),FALSE)&gt;=5,"Good","Bad"),VLOOKUP(DATE($K$1,$K$2,RVB$4),Table1[],(MATCH(Calendar!$A18,DB!$1:$1,0)),FALSE)),"")</f>
        <v/>
      </c>
      <c r="RVC18" s="28" t="str">
        <f>IFERROR(IF(RVL3="No",IF(VLOOKUP(DATE($K$1,$K$2,RVC$4),Table1[],(MATCH(Calendar!$A18,DB!$1:$1,0)),FALSE)&gt;=5,"Good","Bad"),VLOOKUP(DATE($K$1,$K$2,RVC$4),Table1[],(MATCH(Calendar!$A18,DB!$1:$1,0)),FALSE)),"")</f>
        <v/>
      </c>
      <c r="RVD18" s="28" t="str">
        <f>IFERROR(IF(RVM3="No",IF(VLOOKUP(DATE($K$1,$K$2,RVD$4),Table1[],(MATCH(Calendar!$A18,DB!$1:$1,0)),FALSE)&gt;=5,"Good","Bad"),VLOOKUP(DATE($K$1,$K$2,RVD$4),Table1[],(MATCH(Calendar!$A18,DB!$1:$1,0)),FALSE)),"")</f>
        <v/>
      </c>
      <c r="RVE18" s="28" t="str">
        <f>IFERROR(IF(RVN3="No",IF(VLOOKUP(DATE($K$1,$K$2,RVE$4),Table1[],(MATCH(Calendar!$A18,DB!$1:$1,0)),FALSE)&gt;=5,"Good","Bad"),VLOOKUP(DATE($K$1,$K$2,RVE$4),Table1[],(MATCH(Calendar!$A18,DB!$1:$1,0)),FALSE)),"")</f>
        <v/>
      </c>
      <c r="RVF18" s="28" t="str">
        <f>IFERROR(IF(RVO3="No",IF(VLOOKUP(DATE($K$1,$K$2,RVF$4),Table1[],(MATCH(Calendar!$A18,DB!$1:$1,0)),FALSE)&gt;=5,"Good","Bad"),VLOOKUP(DATE($K$1,$K$2,RVF$4),Table1[],(MATCH(Calendar!$A18,DB!$1:$1,0)),FALSE)),"")</f>
        <v/>
      </c>
      <c r="RVG18" s="28" t="str">
        <f>IFERROR(IF(RVP3="No",IF(VLOOKUP(DATE($K$1,$K$2,RVG$4),Table1[],(MATCH(Calendar!$A18,DB!$1:$1,0)),FALSE)&gt;=5,"Good","Bad"),VLOOKUP(DATE($K$1,$K$2,RVG$4),Table1[],(MATCH(Calendar!$A18,DB!$1:$1,0)),FALSE)),"")</f>
        <v/>
      </c>
      <c r="RVH18" s="28" t="str">
        <f>IFERROR(IF(RVQ3="No",IF(VLOOKUP(DATE($K$1,$K$2,RVH$4),Table1[],(MATCH(Calendar!$A18,DB!$1:$1,0)),FALSE)&gt;=5,"Good","Bad"),VLOOKUP(DATE($K$1,$K$2,RVH$4),Table1[],(MATCH(Calendar!$A18,DB!$1:$1,0)),FALSE)),"")</f>
        <v/>
      </c>
      <c r="RVI18" s="28" t="str">
        <f>IFERROR(IF(RVR3="No",IF(VLOOKUP(DATE($K$1,$K$2,RVI$4),Table1[],(MATCH(Calendar!$A18,DB!$1:$1,0)),FALSE)&gt;=5,"Good","Bad"),VLOOKUP(DATE($K$1,$K$2,RVI$4),Table1[],(MATCH(Calendar!$A18,DB!$1:$1,0)),FALSE)),"")</f>
        <v/>
      </c>
      <c r="RVJ18" s="28" t="str">
        <f>IFERROR(IF(RVS3="No",IF(VLOOKUP(DATE($K$1,$K$2,RVJ$4),Table1[],(MATCH(Calendar!$A18,DB!$1:$1,0)),FALSE)&gt;=5,"Good","Bad"),VLOOKUP(DATE($K$1,$K$2,RVJ$4),Table1[],(MATCH(Calendar!$A18,DB!$1:$1,0)),FALSE)),"")</f>
        <v/>
      </c>
      <c r="RVK18" s="28" t="str">
        <f>IFERROR(IF(RVT3="No",IF(VLOOKUP(DATE($K$1,$K$2,RVK$4),Table1[],(MATCH(Calendar!$A18,DB!$1:$1,0)),FALSE)&gt;=5,"Good","Bad"),VLOOKUP(DATE($K$1,$K$2,RVK$4),Table1[],(MATCH(Calendar!$A18,DB!$1:$1,0)),FALSE)),"")</f>
        <v/>
      </c>
      <c r="RVL18" s="28" t="str">
        <f>IFERROR(IF(RVU3="No",IF(VLOOKUP(DATE($K$1,$K$2,RVL$4),Table1[],(MATCH(Calendar!$A18,DB!$1:$1,0)),FALSE)&gt;=5,"Good","Bad"),VLOOKUP(DATE($K$1,$K$2,RVL$4),Table1[],(MATCH(Calendar!$A18,DB!$1:$1,0)),FALSE)),"")</f>
        <v/>
      </c>
      <c r="RVM18" s="28" t="str">
        <f>IFERROR(IF(RVV3="No",IF(VLOOKUP(DATE($K$1,$K$2,RVM$4),Table1[],(MATCH(Calendar!$A18,DB!$1:$1,0)),FALSE)&gt;=5,"Good","Bad"),VLOOKUP(DATE($K$1,$K$2,RVM$4),Table1[],(MATCH(Calendar!$A18,DB!$1:$1,0)),FALSE)),"")</f>
        <v/>
      </c>
      <c r="RVN18" s="28" t="str">
        <f>IFERROR(IF(RVW3="No",IF(VLOOKUP(DATE($K$1,$K$2,RVN$4),Table1[],(MATCH(Calendar!$A18,DB!$1:$1,0)),FALSE)&gt;=5,"Good","Bad"),VLOOKUP(DATE($K$1,$K$2,RVN$4),Table1[],(MATCH(Calendar!$A18,DB!$1:$1,0)),FALSE)),"")</f>
        <v/>
      </c>
      <c r="RVO18" s="28" t="str">
        <f>IFERROR(IF(RVX3="No",IF(VLOOKUP(DATE($K$1,$K$2,RVO$4),Table1[],(MATCH(Calendar!$A18,DB!$1:$1,0)),FALSE)&gt;=5,"Good","Bad"),VLOOKUP(DATE($K$1,$K$2,RVO$4),Table1[],(MATCH(Calendar!$A18,DB!$1:$1,0)),FALSE)),"")</f>
        <v/>
      </c>
      <c r="RVP18" s="28" t="str">
        <f>IFERROR(IF(RVY3="No",IF(VLOOKUP(DATE($K$1,$K$2,RVP$4),Table1[],(MATCH(Calendar!$A18,DB!$1:$1,0)),FALSE)&gt;=5,"Good","Bad"),VLOOKUP(DATE($K$1,$K$2,RVP$4),Table1[],(MATCH(Calendar!$A18,DB!$1:$1,0)),FALSE)),"")</f>
        <v/>
      </c>
      <c r="RVQ18" s="28" t="str">
        <f>IFERROR(IF(RVZ3="No",IF(VLOOKUP(DATE($K$1,$K$2,RVQ$4),Table1[],(MATCH(Calendar!$A18,DB!$1:$1,0)),FALSE)&gt;=5,"Good","Bad"),VLOOKUP(DATE($K$1,$K$2,RVQ$4),Table1[],(MATCH(Calendar!$A18,DB!$1:$1,0)),FALSE)),"")</f>
        <v/>
      </c>
      <c r="RVR18" s="28" t="str">
        <f>IFERROR(IF(RWA3="No",IF(VLOOKUP(DATE($K$1,$K$2,RVR$4),Table1[],(MATCH(Calendar!$A18,DB!$1:$1,0)),FALSE)&gt;=5,"Good","Bad"),VLOOKUP(DATE($K$1,$K$2,RVR$4),Table1[],(MATCH(Calendar!$A18,DB!$1:$1,0)),FALSE)),"")</f>
        <v/>
      </c>
      <c r="RVS18" s="28" t="str">
        <f>IFERROR(IF(RWB3="No",IF(VLOOKUP(DATE($K$1,$K$2,RVS$4),Table1[],(MATCH(Calendar!$A18,DB!$1:$1,0)),FALSE)&gt;=5,"Good","Bad"),VLOOKUP(DATE($K$1,$K$2,RVS$4),Table1[],(MATCH(Calendar!$A18,DB!$1:$1,0)),FALSE)),"")</f>
        <v/>
      </c>
      <c r="RVT18" s="28" t="str">
        <f>IFERROR(IF(RWC3="No",IF(VLOOKUP(DATE($K$1,$K$2,RVT$4),Table1[],(MATCH(Calendar!$A18,DB!$1:$1,0)),FALSE)&gt;=5,"Good","Bad"),VLOOKUP(DATE($K$1,$K$2,RVT$4),Table1[],(MATCH(Calendar!$A18,DB!$1:$1,0)),FALSE)),"")</f>
        <v/>
      </c>
      <c r="RVU18" s="28" t="str">
        <f>IFERROR(IF(RWD3="No",IF(VLOOKUP(DATE($K$1,$K$2,RVU$4),Table1[],(MATCH(Calendar!$A18,DB!$1:$1,0)),FALSE)&gt;=5,"Good","Bad"),VLOOKUP(DATE($K$1,$K$2,RVU$4),Table1[],(MATCH(Calendar!$A18,DB!$1:$1,0)),FALSE)),"")</f>
        <v/>
      </c>
      <c r="RVV18" s="28" t="str">
        <f>IFERROR(IF(RWE3="No",IF(VLOOKUP(DATE($K$1,$K$2,RVV$4),Table1[],(MATCH(Calendar!$A18,DB!$1:$1,0)),FALSE)&gt;=5,"Good","Bad"),VLOOKUP(DATE($K$1,$K$2,RVV$4),Table1[],(MATCH(Calendar!$A18,DB!$1:$1,0)),FALSE)),"")</f>
        <v/>
      </c>
      <c r="RVW18" s="28" t="str">
        <f>IFERROR(IF(RWF3="No",IF(VLOOKUP(DATE($K$1,$K$2,RVW$4),Table1[],(MATCH(Calendar!$A18,DB!$1:$1,0)),FALSE)&gt;=5,"Good","Bad"),VLOOKUP(DATE($K$1,$K$2,RVW$4),Table1[],(MATCH(Calendar!$A18,DB!$1:$1,0)),FALSE)),"")</f>
        <v/>
      </c>
      <c r="RVX18" s="28" t="str">
        <f>IFERROR(IF(RWG3="No",IF(VLOOKUP(DATE($K$1,$K$2,RVX$4),Table1[],(MATCH(Calendar!$A18,DB!$1:$1,0)),FALSE)&gt;=5,"Good","Bad"),VLOOKUP(DATE($K$1,$K$2,RVX$4),Table1[],(MATCH(Calendar!$A18,DB!$1:$1,0)),FALSE)),"")</f>
        <v/>
      </c>
      <c r="RVY18" s="28" t="str">
        <f>IFERROR(IF(RWH3="No",IF(VLOOKUP(DATE($K$1,$K$2,RVY$4),Table1[],(MATCH(Calendar!$A18,DB!$1:$1,0)),FALSE)&gt;=5,"Good","Bad"),VLOOKUP(DATE($K$1,$K$2,RVY$4),Table1[],(MATCH(Calendar!$A18,DB!$1:$1,0)),FALSE)),"")</f>
        <v/>
      </c>
      <c r="RVZ18" s="28" t="str">
        <f>IFERROR(IF(RWI3="No",IF(VLOOKUP(DATE($K$1,$K$2,RVZ$4),Table1[],(MATCH(Calendar!$A18,DB!$1:$1,0)),FALSE)&gt;=5,"Good","Bad"),VLOOKUP(DATE($K$1,$K$2,RVZ$4),Table1[],(MATCH(Calendar!$A18,DB!$1:$1,0)),FALSE)),"")</f>
        <v/>
      </c>
      <c r="RWA18" s="28" t="str">
        <f>IFERROR(IF(RWJ3="No",IF(VLOOKUP(DATE($K$1,$K$2,RWA$4),Table1[],(MATCH(Calendar!$A18,DB!$1:$1,0)),FALSE)&gt;=5,"Good","Bad"),VLOOKUP(DATE($K$1,$K$2,RWA$4),Table1[],(MATCH(Calendar!$A18,DB!$1:$1,0)),FALSE)),"")</f>
        <v/>
      </c>
      <c r="RWB18" s="28" t="str">
        <f>IFERROR(IF(RWK3="No",IF(VLOOKUP(DATE($K$1,$K$2,RWB$4),Table1[],(MATCH(Calendar!$A18,DB!$1:$1,0)),FALSE)&gt;=5,"Good","Bad"),VLOOKUP(DATE($K$1,$K$2,RWB$4),Table1[],(MATCH(Calendar!$A18,DB!$1:$1,0)),FALSE)),"")</f>
        <v/>
      </c>
      <c r="RWC18" s="28" t="str">
        <f>IFERROR(IF(RWL3="No",IF(VLOOKUP(DATE($K$1,$K$2,RWC$4),Table1[],(MATCH(Calendar!$A18,DB!$1:$1,0)),FALSE)&gt;=5,"Good","Bad"),VLOOKUP(DATE($K$1,$K$2,RWC$4),Table1[],(MATCH(Calendar!$A18,DB!$1:$1,0)),FALSE)),"")</f>
        <v/>
      </c>
      <c r="RWD18" s="28" t="str">
        <f>IFERROR(IF(RWM3="No",IF(VLOOKUP(DATE($K$1,$K$2,RWD$4),Table1[],(MATCH(Calendar!$A18,DB!$1:$1,0)),FALSE)&gt;=5,"Good","Bad"),VLOOKUP(DATE($K$1,$K$2,RWD$4),Table1[],(MATCH(Calendar!$A18,DB!$1:$1,0)),FALSE)),"")</f>
        <v/>
      </c>
      <c r="RWE18" s="28" t="str">
        <f>IFERROR(IF(RWN3="No",IF(VLOOKUP(DATE($K$1,$K$2,RWE$4),Table1[],(MATCH(Calendar!$A18,DB!$1:$1,0)),FALSE)&gt;=5,"Good","Bad"),VLOOKUP(DATE($K$1,$K$2,RWE$4),Table1[],(MATCH(Calendar!$A18,DB!$1:$1,0)),FALSE)),"")</f>
        <v/>
      </c>
      <c r="RWF18" s="28" t="str">
        <f>IFERROR(IF(RWO3="No",IF(VLOOKUP(DATE($K$1,$K$2,RWF$4),Table1[],(MATCH(Calendar!$A18,DB!$1:$1,0)),FALSE)&gt;=5,"Good","Bad"),VLOOKUP(DATE($K$1,$K$2,RWF$4),Table1[],(MATCH(Calendar!$A18,DB!$1:$1,0)),FALSE)),"")</f>
        <v/>
      </c>
      <c r="RWG18" s="28" t="str">
        <f>IFERROR(IF(RWP3="No",IF(VLOOKUP(DATE($K$1,$K$2,RWG$4),Table1[],(MATCH(Calendar!$A18,DB!$1:$1,0)),FALSE)&gt;=5,"Good","Bad"),VLOOKUP(DATE($K$1,$K$2,RWG$4),Table1[],(MATCH(Calendar!$A18,DB!$1:$1,0)),FALSE)),"")</f>
        <v/>
      </c>
      <c r="RWH18" s="28" t="str">
        <f>IFERROR(IF(RWQ3="No",IF(VLOOKUP(DATE($K$1,$K$2,RWH$4),Table1[],(MATCH(Calendar!$A18,DB!$1:$1,0)),FALSE)&gt;=5,"Good","Bad"),VLOOKUP(DATE($K$1,$K$2,RWH$4),Table1[],(MATCH(Calendar!$A18,DB!$1:$1,0)),FALSE)),"")</f>
        <v/>
      </c>
      <c r="RWI18" s="28" t="str">
        <f>IFERROR(IF(RWR3="No",IF(VLOOKUP(DATE($K$1,$K$2,RWI$4),Table1[],(MATCH(Calendar!$A18,DB!$1:$1,0)),FALSE)&gt;=5,"Good","Bad"),VLOOKUP(DATE($K$1,$K$2,RWI$4),Table1[],(MATCH(Calendar!$A18,DB!$1:$1,0)),FALSE)),"")</f>
        <v/>
      </c>
      <c r="RWJ18" s="28" t="str">
        <f>IFERROR(IF(RWS3="No",IF(VLOOKUP(DATE($K$1,$K$2,RWJ$4),Table1[],(MATCH(Calendar!$A18,DB!$1:$1,0)),FALSE)&gt;=5,"Good","Bad"),VLOOKUP(DATE($K$1,$K$2,RWJ$4),Table1[],(MATCH(Calendar!$A18,DB!$1:$1,0)),FALSE)),"")</f>
        <v/>
      </c>
      <c r="RWK18" s="28" t="str">
        <f>IFERROR(IF(RWT3="No",IF(VLOOKUP(DATE($K$1,$K$2,RWK$4),Table1[],(MATCH(Calendar!$A18,DB!$1:$1,0)),FALSE)&gt;=5,"Good","Bad"),VLOOKUP(DATE($K$1,$K$2,RWK$4),Table1[],(MATCH(Calendar!$A18,DB!$1:$1,0)),FALSE)),"")</f>
        <v/>
      </c>
      <c r="RWL18" s="28" t="str">
        <f>IFERROR(IF(RWU3="No",IF(VLOOKUP(DATE($K$1,$K$2,RWL$4),Table1[],(MATCH(Calendar!$A18,DB!$1:$1,0)),FALSE)&gt;=5,"Good","Bad"),VLOOKUP(DATE($K$1,$K$2,RWL$4),Table1[],(MATCH(Calendar!$A18,DB!$1:$1,0)),FALSE)),"")</f>
        <v/>
      </c>
      <c r="RWM18" s="28" t="str">
        <f>IFERROR(IF(RWV3="No",IF(VLOOKUP(DATE($K$1,$K$2,RWM$4),Table1[],(MATCH(Calendar!$A18,DB!$1:$1,0)),FALSE)&gt;=5,"Good","Bad"),VLOOKUP(DATE($K$1,$K$2,RWM$4),Table1[],(MATCH(Calendar!$A18,DB!$1:$1,0)),FALSE)),"")</f>
        <v/>
      </c>
      <c r="RWN18" s="28" t="str">
        <f>IFERROR(IF(RWW3="No",IF(VLOOKUP(DATE($K$1,$K$2,RWN$4),Table1[],(MATCH(Calendar!$A18,DB!$1:$1,0)),FALSE)&gt;=5,"Good","Bad"),VLOOKUP(DATE($K$1,$K$2,RWN$4),Table1[],(MATCH(Calendar!$A18,DB!$1:$1,0)),FALSE)),"")</f>
        <v/>
      </c>
      <c r="RWO18" s="28" t="str">
        <f>IFERROR(IF(RWX3="No",IF(VLOOKUP(DATE($K$1,$K$2,RWO$4),Table1[],(MATCH(Calendar!$A18,DB!$1:$1,0)),FALSE)&gt;=5,"Good","Bad"),VLOOKUP(DATE($K$1,$K$2,RWO$4),Table1[],(MATCH(Calendar!$A18,DB!$1:$1,0)),FALSE)),"")</f>
        <v/>
      </c>
      <c r="RWP18" s="28" t="str">
        <f>IFERROR(IF(RWY3="No",IF(VLOOKUP(DATE($K$1,$K$2,RWP$4),Table1[],(MATCH(Calendar!$A18,DB!$1:$1,0)),FALSE)&gt;=5,"Good","Bad"),VLOOKUP(DATE($K$1,$K$2,RWP$4),Table1[],(MATCH(Calendar!$A18,DB!$1:$1,0)),FALSE)),"")</f>
        <v/>
      </c>
      <c r="RWQ18" s="28" t="str">
        <f>IFERROR(IF(RWZ3="No",IF(VLOOKUP(DATE($K$1,$K$2,RWQ$4),Table1[],(MATCH(Calendar!$A18,DB!$1:$1,0)),FALSE)&gt;=5,"Good","Bad"),VLOOKUP(DATE($K$1,$K$2,RWQ$4),Table1[],(MATCH(Calendar!$A18,DB!$1:$1,0)),FALSE)),"")</f>
        <v/>
      </c>
      <c r="RWR18" s="28" t="str">
        <f>IFERROR(IF(RXA3="No",IF(VLOOKUP(DATE($K$1,$K$2,RWR$4),Table1[],(MATCH(Calendar!$A18,DB!$1:$1,0)),FALSE)&gt;=5,"Good","Bad"),VLOOKUP(DATE($K$1,$K$2,RWR$4),Table1[],(MATCH(Calendar!$A18,DB!$1:$1,0)),FALSE)),"")</f>
        <v/>
      </c>
      <c r="RWS18" s="28" t="str">
        <f>IFERROR(IF(RXB3="No",IF(VLOOKUP(DATE($K$1,$K$2,RWS$4),Table1[],(MATCH(Calendar!$A18,DB!$1:$1,0)),FALSE)&gt;=5,"Good","Bad"),VLOOKUP(DATE($K$1,$K$2,RWS$4),Table1[],(MATCH(Calendar!$A18,DB!$1:$1,0)),FALSE)),"")</f>
        <v/>
      </c>
      <c r="RWT18" s="28" t="str">
        <f>IFERROR(IF(RXC3="No",IF(VLOOKUP(DATE($K$1,$K$2,RWT$4),Table1[],(MATCH(Calendar!$A18,DB!$1:$1,0)),FALSE)&gt;=5,"Good","Bad"),VLOOKUP(DATE($K$1,$K$2,RWT$4),Table1[],(MATCH(Calendar!$A18,DB!$1:$1,0)),FALSE)),"")</f>
        <v/>
      </c>
      <c r="RWU18" s="28" t="str">
        <f>IFERROR(IF(RXD3="No",IF(VLOOKUP(DATE($K$1,$K$2,RWU$4),Table1[],(MATCH(Calendar!$A18,DB!$1:$1,0)),FALSE)&gt;=5,"Good","Bad"),VLOOKUP(DATE($K$1,$K$2,RWU$4),Table1[],(MATCH(Calendar!$A18,DB!$1:$1,0)),FALSE)),"")</f>
        <v/>
      </c>
      <c r="RWV18" s="28" t="str">
        <f>IFERROR(IF(RXE3="No",IF(VLOOKUP(DATE($K$1,$K$2,RWV$4),Table1[],(MATCH(Calendar!$A18,DB!$1:$1,0)),FALSE)&gt;=5,"Good","Bad"),VLOOKUP(DATE($K$1,$K$2,RWV$4),Table1[],(MATCH(Calendar!$A18,DB!$1:$1,0)),FALSE)),"")</f>
        <v/>
      </c>
      <c r="RWW18" s="28" t="str">
        <f>IFERROR(IF(RXF3="No",IF(VLOOKUP(DATE($K$1,$K$2,RWW$4),Table1[],(MATCH(Calendar!$A18,DB!$1:$1,0)),FALSE)&gt;=5,"Good","Bad"),VLOOKUP(DATE($K$1,$K$2,RWW$4),Table1[],(MATCH(Calendar!$A18,DB!$1:$1,0)),FALSE)),"")</f>
        <v/>
      </c>
      <c r="RWX18" s="28" t="str">
        <f>IFERROR(IF(RXG3="No",IF(VLOOKUP(DATE($K$1,$K$2,RWX$4),Table1[],(MATCH(Calendar!$A18,DB!$1:$1,0)),FALSE)&gt;=5,"Good","Bad"),VLOOKUP(DATE($K$1,$K$2,RWX$4),Table1[],(MATCH(Calendar!$A18,DB!$1:$1,0)),FALSE)),"")</f>
        <v/>
      </c>
      <c r="RWY18" s="28" t="str">
        <f>IFERROR(IF(RXH3="No",IF(VLOOKUP(DATE($K$1,$K$2,RWY$4),Table1[],(MATCH(Calendar!$A18,DB!$1:$1,0)),FALSE)&gt;=5,"Good","Bad"),VLOOKUP(DATE($K$1,$K$2,RWY$4),Table1[],(MATCH(Calendar!$A18,DB!$1:$1,0)),FALSE)),"")</f>
        <v/>
      </c>
      <c r="RWZ18" s="28" t="str">
        <f>IFERROR(IF(RXI3="No",IF(VLOOKUP(DATE($K$1,$K$2,RWZ$4),Table1[],(MATCH(Calendar!$A18,DB!$1:$1,0)),FALSE)&gt;=5,"Good","Bad"),VLOOKUP(DATE($K$1,$K$2,RWZ$4),Table1[],(MATCH(Calendar!$A18,DB!$1:$1,0)),FALSE)),"")</f>
        <v/>
      </c>
      <c r="RXA18" s="28" t="str">
        <f>IFERROR(IF(RXJ3="No",IF(VLOOKUP(DATE($K$1,$K$2,RXA$4),Table1[],(MATCH(Calendar!$A18,DB!$1:$1,0)),FALSE)&gt;=5,"Good","Bad"),VLOOKUP(DATE($K$1,$K$2,RXA$4),Table1[],(MATCH(Calendar!$A18,DB!$1:$1,0)),FALSE)),"")</f>
        <v/>
      </c>
      <c r="RXB18" s="28" t="str">
        <f>IFERROR(IF(RXK3="No",IF(VLOOKUP(DATE($K$1,$K$2,RXB$4),Table1[],(MATCH(Calendar!$A18,DB!$1:$1,0)),FALSE)&gt;=5,"Good","Bad"),VLOOKUP(DATE($K$1,$K$2,RXB$4),Table1[],(MATCH(Calendar!$A18,DB!$1:$1,0)),FALSE)),"")</f>
        <v/>
      </c>
      <c r="RXC18" s="28" t="str">
        <f>IFERROR(IF(RXL3="No",IF(VLOOKUP(DATE($K$1,$K$2,RXC$4),Table1[],(MATCH(Calendar!$A18,DB!$1:$1,0)),FALSE)&gt;=5,"Good","Bad"),VLOOKUP(DATE($K$1,$K$2,RXC$4),Table1[],(MATCH(Calendar!$A18,DB!$1:$1,0)),FALSE)),"")</f>
        <v/>
      </c>
      <c r="RXD18" s="28" t="str">
        <f>IFERROR(IF(RXM3="No",IF(VLOOKUP(DATE($K$1,$K$2,RXD$4),Table1[],(MATCH(Calendar!$A18,DB!$1:$1,0)),FALSE)&gt;=5,"Good","Bad"),VLOOKUP(DATE($K$1,$K$2,RXD$4),Table1[],(MATCH(Calendar!$A18,DB!$1:$1,0)),FALSE)),"")</f>
        <v/>
      </c>
      <c r="RXE18" s="28" t="str">
        <f>IFERROR(IF(RXN3="No",IF(VLOOKUP(DATE($K$1,$K$2,RXE$4),Table1[],(MATCH(Calendar!$A18,DB!$1:$1,0)),FALSE)&gt;=5,"Good","Bad"),VLOOKUP(DATE($K$1,$K$2,RXE$4),Table1[],(MATCH(Calendar!$A18,DB!$1:$1,0)),FALSE)),"")</f>
        <v/>
      </c>
      <c r="RXF18" s="28" t="str">
        <f>IFERROR(IF(RXO3="No",IF(VLOOKUP(DATE($K$1,$K$2,RXF$4),Table1[],(MATCH(Calendar!$A18,DB!$1:$1,0)),FALSE)&gt;=5,"Good","Bad"),VLOOKUP(DATE($K$1,$K$2,RXF$4),Table1[],(MATCH(Calendar!$A18,DB!$1:$1,0)),FALSE)),"")</f>
        <v/>
      </c>
      <c r="RXG18" s="28" t="str">
        <f>IFERROR(IF(RXP3="No",IF(VLOOKUP(DATE($K$1,$K$2,RXG$4),Table1[],(MATCH(Calendar!$A18,DB!$1:$1,0)),FALSE)&gt;=5,"Good","Bad"),VLOOKUP(DATE($K$1,$K$2,RXG$4),Table1[],(MATCH(Calendar!$A18,DB!$1:$1,0)),FALSE)),"")</f>
        <v/>
      </c>
      <c r="RXH18" s="28" t="str">
        <f>IFERROR(IF(RXQ3="No",IF(VLOOKUP(DATE($K$1,$K$2,RXH$4),Table1[],(MATCH(Calendar!$A18,DB!$1:$1,0)),FALSE)&gt;=5,"Good","Bad"),VLOOKUP(DATE($K$1,$K$2,RXH$4),Table1[],(MATCH(Calendar!$A18,DB!$1:$1,0)),FALSE)),"")</f>
        <v/>
      </c>
      <c r="RXI18" s="28" t="str">
        <f>IFERROR(IF(RXR3="No",IF(VLOOKUP(DATE($K$1,$K$2,RXI$4),Table1[],(MATCH(Calendar!$A18,DB!$1:$1,0)),FALSE)&gt;=5,"Good","Bad"),VLOOKUP(DATE($K$1,$K$2,RXI$4),Table1[],(MATCH(Calendar!$A18,DB!$1:$1,0)),FALSE)),"")</f>
        <v/>
      </c>
      <c r="RXJ18" s="28" t="str">
        <f>IFERROR(IF(RXS3="No",IF(VLOOKUP(DATE($K$1,$K$2,RXJ$4),Table1[],(MATCH(Calendar!$A18,DB!$1:$1,0)),FALSE)&gt;=5,"Good","Bad"),VLOOKUP(DATE($K$1,$K$2,RXJ$4),Table1[],(MATCH(Calendar!$A18,DB!$1:$1,0)),FALSE)),"")</f>
        <v/>
      </c>
      <c r="RXK18" s="28" t="str">
        <f>IFERROR(IF(RXT3="No",IF(VLOOKUP(DATE($K$1,$K$2,RXK$4),Table1[],(MATCH(Calendar!$A18,DB!$1:$1,0)),FALSE)&gt;=5,"Good","Bad"),VLOOKUP(DATE($K$1,$K$2,RXK$4),Table1[],(MATCH(Calendar!$A18,DB!$1:$1,0)),FALSE)),"")</f>
        <v/>
      </c>
      <c r="RXL18" s="28" t="str">
        <f>IFERROR(IF(RXU3="No",IF(VLOOKUP(DATE($K$1,$K$2,RXL$4),Table1[],(MATCH(Calendar!$A18,DB!$1:$1,0)),FALSE)&gt;=5,"Good","Bad"),VLOOKUP(DATE($K$1,$K$2,RXL$4),Table1[],(MATCH(Calendar!$A18,DB!$1:$1,0)),FALSE)),"")</f>
        <v/>
      </c>
      <c r="RXM18" s="28" t="str">
        <f>IFERROR(IF(RXV3="No",IF(VLOOKUP(DATE($K$1,$K$2,RXM$4),Table1[],(MATCH(Calendar!$A18,DB!$1:$1,0)),FALSE)&gt;=5,"Good","Bad"),VLOOKUP(DATE($K$1,$K$2,RXM$4),Table1[],(MATCH(Calendar!$A18,DB!$1:$1,0)),FALSE)),"")</f>
        <v/>
      </c>
      <c r="RXN18" s="28" t="str">
        <f>IFERROR(IF(RXW3="No",IF(VLOOKUP(DATE($K$1,$K$2,RXN$4),Table1[],(MATCH(Calendar!$A18,DB!$1:$1,0)),FALSE)&gt;=5,"Good","Bad"),VLOOKUP(DATE($K$1,$K$2,RXN$4),Table1[],(MATCH(Calendar!$A18,DB!$1:$1,0)),FALSE)),"")</f>
        <v/>
      </c>
      <c r="RXO18" s="28" t="str">
        <f>IFERROR(IF(RXX3="No",IF(VLOOKUP(DATE($K$1,$K$2,RXO$4),Table1[],(MATCH(Calendar!$A18,DB!$1:$1,0)),FALSE)&gt;=5,"Good","Bad"),VLOOKUP(DATE($K$1,$K$2,RXO$4),Table1[],(MATCH(Calendar!$A18,DB!$1:$1,0)),FALSE)),"")</f>
        <v/>
      </c>
      <c r="RXP18" s="28" t="str">
        <f>IFERROR(IF(RXY3="No",IF(VLOOKUP(DATE($K$1,$K$2,RXP$4),Table1[],(MATCH(Calendar!$A18,DB!$1:$1,0)),FALSE)&gt;=5,"Good","Bad"),VLOOKUP(DATE($K$1,$K$2,RXP$4),Table1[],(MATCH(Calendar!$A18,DB!$1:$1,0)),FALSE)),"")</f>
        <v/>
      </c>
      <c r="RXQ18" s="28" t="str">
        <f>IFERROR(IF(RXZ3="No",IF(VLOOKUP(DATE($K$1,$K$2,RXQ$4),Table1[],(MATCH(Calendar!$A18,DB!$1:$1,0)),FALSE)&gt;=5,"Good","Bad"),VLOOKUP(DATE($K$1,$K$2,RXQ$4),Table1[],(MATCH(Calendar!$A18,DB!$1:$1,0)),FALSE)),"")</f>
        <v/>
      </c>
      <c r="RXR18" s="28" t="str">
        <f>IFERROR(IF(RYA3="No",IF(VLOOKUP(DATE($K$1,$K$2,RXR$4),Table1[],(MATCH(Calendar!$A18,DB!$1:$1,0)),FALSE)&gt;=5,"Good","Bad"),VLOOKUP(DATE($K$1,$K$2,RXR$4),Table1[],(MATCH(Calendar!$A18,DB!$1:$1,0)),FALSE)),"")</f>
        <v/>
      </c>
      <c r="RXS18" s="28" t="str">
        <f>IFERROR(IF(RYB3="No",IF(VLOOKUP(DATE($K$1,$K$2,RXS$4),Table1[],(MATCH(Calendar!$A18,DB!$1:$1,0)),FALSE)&gt;=5,"Good","Bad"),VLOOKUP(DATE($K$1,$K$2,RXS$4),Table1[],(MATCH(Calendar!$A18,DB!$1:$1,0)),FALSE)),"")</f>
        <v/>
      </c>
      <c r="RXT18" s="28" t="str">
        <f>IFERROR(IF(RYC3="No",IF(VLOOKUP(DATE($K$1,$K$2,RXT$4),Table1[],(MATCH(Calendar!$A18,DB!$1:$1,0)),FALSE)&gt;=5,"Good","Bad"),VLOOKUP(DATE($K$1,$K$2,RXT$4),Table1[],(MATCH(Calendar!$A18,DB!$1:$1,0)),FALSE)),"")</f>
        <v/>
      </c>
      <c r="RXU18" s="28" t="str">
        <f>IFERROR(IF(RYD3="No",IF(VLOOKUP(DATE($K$1,$K$2,RXU$4),Table1[],(MATCH(Calendar!$A18,DB!$1:$1,0)),FALSE)&gt;=5,"Good","Bad"),VLOOKUP(DATE($K$1,$K$2,RXU$4),Table1[],(MATCH(Calendar!$A18,DB!$1:$1,0)),FALSE)),"")</f>
        <v/>
      </c>
      <c r="RXV18" s="28" t="str">
        <f>IFERROR(IF(RYE3="No",IF(VLOOKUP(DATE($K$1,$K$2,RXV$4),Table1[],(MATCH(Calendar!$A18,DB!$1:$1,0)),FALSE)&gt;=5,"Good","Bad"),VLOOKUP(DATE($K$1,$K$2,RXV$4),Table1[],(MATCH(Calendar!$A18,DB!$1:$1,0)),FALSE)),"")</f>
        <v/>
      </c>
      <c r="RXW18" s="28" t="str">
        <f>IFERROR(IF(RYF3="No",IF(VLOOKUP(DATE($K$1,$K$2,RXW$4),Table1[],(MATCH(Calendar!$A18,DB!$1:$1,0)),FALSE)&gt;=5,"Good","Bad"),VLOOKUP(DATE($K$1,$K$2,RXW$4),Table1[],(MATCH(Calendar!$A18,DB!$1:$1,0)),FALSE)),"")</f>
        <v/>
      </c>
      <c r="RXX18" s="28" t="str">
        <f>IFERROR(IF(RYG3="No",IF(VLOOKUP(DATE($K$1,$K$2,RXX$4),Table1[],(MATCH(Calendar!$A18,DB!$1:$1,0)),FALSE)&gt;=5,"Good","Bad"),VLOOKUP(DATE($K$1,$K$2,RXX$4),Table1[],(MATCH(Calendar!$A18,DB!$1:$1,0)),FALSE)),"")</f>
        <v/>
      </c>
      <c r="RXY18" s="28" t="str">
        <f>IFERROR(IF(RYH3="No",IF(VLOOKUP(DATE($K$1,$K$2,RXY$4),Table1[],(MATCH(Calendar!$A18,DB!$1:$1,0)),FALSE)&gt;=5,"Good","Bad"),VLOOKUP(DATE($K$1,$K$2,RXY$4),Table1[],(MATCH(Calendar!$A18,DB!$1:$1,0)),FALSE)),"")</f>
        <v/>
      </c>
      <c r="RXZ18" s="28" t="str">
        <f>IFERROR(IF(RYI3="No",IF(VLOOKUP(DATE($K$1,$K$2,RXZ$4),Table1[],(MATCH(Calendar!$A18,DB!$1:$1,0)),FALSE)&gt;=5,"Good","Bad"),VLOOKUP(DATE($K$1,$K$2,RXZ$4),Table1[],(MATCH(Calendar!$A18,DB!$1:$1,0)),FALSE)),"")</f>
        <v/>
      </c>
      <c r="RYA18" s="28" t="str">
        <f>IFERROR(IF(RYJ3="No",IF(VLOOKUP(DATE($K$1,$K$2,RYA$4),Table1[],(MATCH(Calendar!$A18,DB!$1:$1,0)),FALSE)&gt;=5,"Good","Bad"),VLOOKUP(DATE($K$1,$K$2,RYA$4),Table1[],(MATCH(Calendar!$A18,DB!$1:$1,0)),FALSE)),"")</f>
        <v/>
      </c>
      <c r="RYB18" s="28" t="str">
        <f>IFERROR(IF(RYK3="No",IF(VLOOKUP(DATE($K$1,$K$2,RYB$4),Table1[],(MATCH(Calendar!$A18,DB!$1:$1,0)),FALSE)&gt;=5,"Good","Bad"),VLOOKUP(DATE($K$1,$K$2,RYB$4),Table1[],(MATCH(Calendar!$A18,DB!$1:$1,0)),FALSE)),"")</f>
        <v/>
      </c>
      <c r="RYC18" s="28" t="str">
        <f>IFERROR(IF(RYL3="No",IF(VLOOKUP(DATE($K$1,$K$2,RYC$4),Table1[],(MATCH(Calendar!$A18,DB!$1:$1,0)),FALSE)&gt;=5,"Good","Bad"),VLOOKUP(DATE($K$1,$K$2,RYC$4),Table1[],(MATCH(Calendar!$A18,DB!$1:$1,0)),FALSE)),"")</f>
        <v/>
      </c>
      <c r="RYD18" s="28" t="str">
        <f>IFERROR(IF(RYM3="No",IF(VLOOKUP(DATE($K$1,$K$2,RYD$4),Table1[],(MATCH(Calendar!$A18,DB!$1:$1,0)),FALSE)&gt;=5,"Good","Bad"),VLOOKUP(DATE($K$1,$K$2,RYD$4),Table1[],(MATCH(Calendar!$A18,DB!$1:$1,0)),FALSE)),"")</f>
        <v/>
      </c>
      <c r="RYE18" s="28" t="str">
        <f>IFERROR(IF(RYN3="No",IF(VLOOKUP(DATE($K$1,$K$2,RYE$4),Table1[],(MATCH(Calendar!$A18,DB!$1:$1,0)),FALSE)&gt;=5,"Good","Bad"),VLOOKUP(DATE($K$1,$K$2,RYE$4),Table1[],(MATCH(Calendar!$A18,DB!$1:$1,0)),FALSE)),"")</f>
        <v/>
      </c>
      <c r="RYF18" s="28" t="str">
        <f>IFERROR(IF(RYO3="No",IF(VLOOKUP(DATE($K$1,$K$2,RYF$4),Table1[],(MATCH(Calendar!$A18,DB!$1:$1,0)),FALSE)&gt;=5,"Good","Bad"),VLOOKUP(DATE($K$1,$K$2,RYF$4),Table1[],(MATCH(Calendar!$A18,DB!$1:$1,0)),FALSE)),"")</f>
        <v/>
      </c>
      <c r="RYG18" s="28" t="str">
        <f>IFERROR(IF(RYP3="No",IF(VLOOKUP(DATE($K$1,$K$2,RYG$4),Table1[],(MATCH(Calendar!$A18,DB!$1:$1,0)),FALSE)&gt;=5,"Good","Bad"),VLOOKUP(DATE($K$1,$K$2,RYG$4),Table1[],(MATCH(Calendar!$A18,DB!$1:$1,0)),FALSE)),"")</f>
        <v/>
      </c>
      <c r="RYH18" s="28" t="str">
        <f>IFERROR(IF(RYQ3="No",IF(VLOOKUP(DATE($K$1,$K$2,RYH$4),Table1[],(MATCH(Calendar!$A18,DB!$1:$1,0)),FALSE)&gt;=5,"Good","Bad"),VLOOKUP(DATE($K$1,$K$2,RYH$4),Table1[],(MATCH(Calendar!$A18,DB!$1:$1,0)),FALSE)),"")</f>
        <v/>
      </c>
      <c r="RYI18" s="28" t="str">
        <f>IFERROR(IF(RYR3="No",IF(VLOOKUP(DATE($K$1,$K$2,RYI$4),Table1[],(MATCH(Calendar!$A18,DB!$1:$1,0)),FALSE)&gt;=5,"Good","Bad"),VLOOKUP(DATE($K$1,$K$2,RYI$4),Table1[],(MATCH(Calendar!$A18,DB!$1:$1,0)),FALSE)),"")</f>
        <v/>
      </c>
      <c r="RYJ18" s="28" t="str">
        <f>IFERROR(IF(RYS3="No",IF(VLOOKUP(DATE($K$1,$K$2,RYJ$4),Table1[],(MATCH(Calendar!$A18,DB!$1:$1,0)),FALSE)&gt;=5,"Good","Bad"),VLOOKUP(DATE($K$1,$K$2,RYJ$4),Table1[],(MATCH(Calendar!$A18,DB!$1:$1,0)),FALSE)),"")</f>
        <v/>
      </c>
      <c r="RYK18" s="28" t="str">
        <f>IFERROR(IF(RYT3="No",IF(VLOOKUP(DATE($K$1,$K$2,RYK$4),Table1[],(MATCH(Calendar!$A18,DB!$1:$1,0)),FALSE)&gt;=5,"Good","Bad"),VLOOKUP(DATE($K$1,$K$2,RYK$4),Table1[],(MATCH(Calendar!$A18,DB!$1:$1,0)),FALSE)),"")</f>
        <v/>
      </c>
      <c r="RYL18" s="28" t="str">
        <f>IFERROR(IF(RYU3="No",IF(VLOOKUP(DATE($K$1,$K$2,RYL$4),Table1[],(MATCH(Calendar!$A18,DB!$1:$1,0)),FALSE)&gt;=5,"Good","Bad"),VLOOKUP(DATE($K$1,$K$2,RYL$4),Table1[],(MATCH(Calendar!$A18,DB!$1:$1,0)),FALSE)),"")</f>
        <v/>
      </c>
      <c r="RYM18" s="28" t="str">
        <f>IFERROR(IF(RYV3="No",IF(VLOOKUP(DATE($K$1,$K$2,RYM$4),Table1[],(MATCH(Calendar!$A18,DB!$1:$1,0)),FALSE)&gt;=5,"Good","Bad"),VLOOKUP(DATE($K$1,$K$2,RYM$4),Table1[],(MATCH(Calendar!$A18,DB!$1:$1,0)),FALSE)),"")</f>
        <v/>
      </c>
      <c r="RYN18" s="28" t="str">
        <f>IFERROR(IF(RYW3="No",IF(VLOOKUP(DATE($K$1,$K$2,RYN$4),Table1[],(MATCH(Calendar!$A18,DB!$1:$1,0)),FALSE)&gt;=5,"Good","Bad"),VLOOKUP(DATE($K$1,$K$2,RYN$4),Table1[],(MATCH(Calendar!$A18,DB!$1:$1,0)),FALSE)),"")</f>
        <v/>
      </c>
      <c r="RYO18" s="28" t="str">
        <f>IFERROR(IF(RYX3="No",IF(VLOOKUP(DATE($K$1,$K$2,RYO$4),Table1[],(MATCH(Calendar!$A18,DB!$1:$1,0)),FALSE)&gt;=5,"Good","Bad"),VLOOKUP(DATE($K$1,$K$2,RYO$4),Table1[],(MATCH(Calendar!$A18,DB!$1:$1,0)),FALSE)),"")</f>
        <v/>
      </c>
      <c r="RYP18" s="28" t="str">
        <f>IFERROR(IF(RYY3="No",IF(VLOOKUP(DATE($K$1,$K$2,RYP$4),Table1[],(MATCH(Calendar!$A18,DB!$1:$1,0)),FALSE)&gt;=5,"Good","Bad"),VLOOKUP(DATE($K$1,$K$2,RYP$4),Table1[],(MATCH(Calendar!$A18,DB!$1:$1,0)),FALSE)),"")</f>
        <v/>
      </c>
      <c r="RYQ18" s="28" t="str">
        <f>IFERROR(IF(RYZ3="No",IF(VLOOKUP(DATE($K$1,$K$2,RYQ$4),Table1[],(MATCH(Calendar!$A18,DB!$1:$1,0)),FALSE)&gt;=5,"Good","Bad"),VLOOKUP(DATE($K$1,$K$2,RYQ$4),Table1[],(MATCH(Calendar!$A18,DB!$1:$1,0)),FALSE)),"")</f>
        <v/>
      </c>
      <c r="RYR18" s="28" t="str">
        <f>IFERROR(IF(RZA3="No",IF(VLOOKUP(DATE($K$1,$K$2,RYR$4),Table1[],(MATCH(Calendar!$A18,DB!$1:$1,0)),FALSE)&gt;=5,"Good","Bad"),VLOOKUP(DATE($K$1,$K$2,RYR$4),Table1[],(MATCH(Calendar!$A18,DB!$1:$1,0)),FALSE)),"")</f>
        <v/>
      </c>
      <c r="RYS18" s="28" t="str">
        <f>IFERROR(IF(RZB3="No",IF(VLOOKUP(DATE($K$1,$K$2,RYS$4),Table1[],(MATCH(Calendar!$A18,DB!$1:$1,0)),FALSE)&gt;=5,"Good","Bad"),VLOOKUP(DATE($K$1,$K$2,RYS$4),Table1[],(MATCH(Calendar!$A18,DB!$1:$1,0)),FALSE)),"")</f>
        <v/>
      </c>
      <c r="RYT18" s="28" t="str">
        <f>IFERROR(IF(RZC3="No",IF(VLOOKUP(DATE($K$1,$K$2,RYT$4),Table1[],(MATCH(Calendar!$A18,DB!$1:$1,0)),FALSE)&gt;=5,"Good","Bad"),VLOOKUP(DATE($K$1,$K$2,RYT$4),Table1[],(MATCH(Calendar!$A18,DB!$1:$1,0)),FALSE)),"")</f>
        <v/>
      </c>
      <c r="RYU18" s="28" t="str">
        <f>IFERROR(IF(RZD3="No",IF(VLOOKUP(DATE($K$1,$K$2,RYU$4),Table1[],(MATCH(Calendar!$A18,DB!$1:$1,0)),FALSE)&gt;=5,"Good","Bad"),VLOOKUP(DATE($K$1,$K$2,RYU$4),Table1[],(MATCH(Calendar!$A18,DB!$1:$1,0)),FALSE)),"")</f>
        <v/>
      </c>
      <c r="RYV18" s="28" t="str">
        <f>IFERROR(IF(RZE3="No",IF(VLOOKUP(DATE($K$1,$K$2,RYV$4),Table1[],(MATCH(Calendar!$A18,DB!$1:$1,0)),FALSE)&gt;=5,"Good","Bad"),VLOOKUP(DATE($K$1,$K$2,RYV$4),Table1[],(MATCH(Calendar!$A18,DB!$1:$1,0)),FALSE)),"")</f>
        <v/>
      </c>
      <c r="RYW18" s="28" t="str">
        <f>IFERROR(IF(RZF3="No",IF(VLOOKUP(DATE($K$1,$K$2,RYW$4),Table1[],(MATCH(Calendar!$A18,DB!$1:$1,0)),FALSE)&gt;=5,"Good","Bad"),VLOOKUP(DATE($K$1,$K$2,RYW$4),Table1[],(MATCH(Calendar!$A18,DB!$1:$1,0)),FALSE)),"")</f>
        <v/>
      </c>
      <c r="RYX18" s="28" t="str">
        <f>IFERROR(IF(RZG3="No",IF(VLOOKUP(DATE($K$1,$K$2,RYX$4),Table1[],(MATCH(Calendar!$A18,DB!$1:$1,0)),FALSE)&gt;=5,"Good","Bad"),VLOOKUP(DATE($K$1,$K$2,RYX$4),Table1[],(MATCH(Calendar!$A18,DB!$1:$1,0)),FALSE)),"")</f>
        <v/>
      </c>
      <c r="RYY18" s="28" t="str">
        <f>IFERROR(IF(RZH3="No",IF(VLOOKUP(DATE($K$1,$K$2,RYY$4),Table1[],(MATCH(Calendar!$A18,DB!$1:$1,0)),FALSE)&gt;=5,"Good","Bad"),VLOOKUP(DATE($K$1,$K$2,RYY$4),Table1[],(MATCH(Calendar!$A18,DB!$1:$1,0)),FALSE)),"")</f>
        <v/>
      </c>
      <c r="RYZ18" s="28" t="str">
        <f>IFERROR(IF(RZI3="No",IF(VLOOKUP(DATE($K$1,$K$2,RYZ$4),Table1[],(MATCH(Calendar!$A18,DB!$1:$1,0)),FALSE)&gt;=5,"Good","Bad"),VLOOKUP(DATE($K$1,$K$2,RYZ$4),Table1[],(MATCH(Calendar!$A18,DB!$1:$1,0)),FALSE)),"")</f>
        <v/>
      </c>
      <c r="RZA18" s="28" t="str">
        <f>IFERROR(IF(RZJ3="No",IF(VLOOKUP(DATE($K$1,$K$2,RZA$4),Table1[],(MATCH(Calendar!$A18,DB!$1:$1,0)),FALSE)&gt;=5,"Good","Bad"),VLOOKUP(DATE($K$1,$K$2,RZA$4),Table1[],(MATCH(Calendar!$A18,DB!$1:$1,0)),FALSE)),"")</f>
        <v/>
      </c>
      <c r="RZB18" s="28" t="str">
        <f>IFERROR(IF(RZK3="No",IF(VLOOKUP(DATE($K$1,$K$2,RZB$4),Table1[],(MATCH(Calendar!$A18,DB!$1:$1,0)),FALSE)&gt;=5,"Good","Bad"),VLOOKUP(DATE($K$1,$K$2,RZB$4),Table1[],(MATCH(Calendar!$A18,DB!$1:$1,0)),FALSE)),"")</f>
        <v/>
      </c>
      <c r="RZC18" s="28" t="str">
        <f>IFERROR(IF(RZL3="No",IF(VLOOKUP(DATE($K$1,$K$2,RZC$4),Table1[],(MATCH(Calendar!$A18,DB!$1:$1,0)),FALSE)&gt;=5,"Good","Bad"),VLOOKUP(DATE($K$1,$K$2,RZC$4),Table1[],(MATCH(Calendar!$A18,DB!$1:$1,0)),FALSE)),"")</f>
        <v/>
      </c>
      <c r="RZD18" s="28" t="str">
        <f>IFERROR(IF(RZM3="No",IF(VLOOKUP(DATE($K$1,$K$2,RZD$4),Table1[],(MATCH(Calendar!$A18,DB!$1:$1,0)),FALSE)&gt;=5,"Good","Bad"),VLOOKUP(DATE($K$1,$K$2,RZD$4),Table1[],(MATCH(Calendar!$A18,DB!$1:$1,0)),FALSE)),"")</f>
        <v/>
      </c>
      <c r="RZE18" s="28" t="str">
        <f>IFERROR(IF(RZN3="No",IF(VLOOKUP(DATE($K$1,$K$2,RZE$4),Table1[],(MATCH(Calendar!$A18,DB!$1:$1,0)),FALSE)&gt;=5,"Good","Bad"),VLOOKUP(DATE($K$1,$K$2,RZE$4),Table1[],(MATCH(Calendar!$A18,DB!$1:$1,0)),FALSE)),"")</f>
        <v/>
      </c>
      <c r="RZF18" s="28" t="str">
        <f>IFERROR(IF(RZO3="No",IF(VLOOKUP(DATE($K$1,$K$2,RZF$4),Table1[],(MATCH(Calendar!$A18,DB!$1:$1,0)),FALSE)&gt;=5,"Good","Bad"),VLOOKUP(DATE($K$1,$K$2,RZF$4),Table1[],(MATCH(Calendar!$A18,DB!$1:$1,0)),FALSE)),"")</f>
        <v/>
      </c>
      <c r="RZG18" s="28" t="str">
        <f>IFERROR(IF(RZP3="No",IF(VLOOKUP(DATE($K$1,$K$2,RZG$4),Table1[],(MATCH(Calendar!$A18,DB!$1:$1,0)),FALSE)&gt;=5,"Good","Bad"),VLOOKUP(DATE($K$1,$K$2,RZG$4),Table1[],(MATCH(Calendar!$A18,DB!$1:$1,0)),FALSE)),"")</f>
        <v/>
      </c>
      <c r="RZH18" s="28" t="str">
        <f>IFERROR(IF(RZQ3="No",IF(VLOOKUP(DATE($K$1,$K$2,RZH$4),Table1[],(MATCH(Calendar!$A18,DB!$1:$1,0)),FALSE)&gt;=5,"Good","Bad"),VLOOKUP(DATE($K$1,$K$2,RZH$4),Table1[],(MATCH(Calendar!$A18,DB!$1:$1,0)),FALSE)),"")</f>
        <v/>
      </c>
      <c r="RZI18" s="28" t="str">
        <f>IFERROR(IF(RZR3="No",IF(VLOOKUP(DATE($K$1,$K$2,RZI$4),Table1[],(MATCH(Calendar!$A18,DB!$1:$1,0)),FALSE)&gt;=5,"Good","Bad"),VLOOKUP(DATE($K$1,$K$2,RZI$4),Table1[],(MATCH(Calendar!$A18,DB!$1:$1,0)),FALSE)),"")</f>
        <v/>
      </c>
      <c r="RZJ18" s="28" t="str">
        <f>IFERROR(IF(RZS3="No",IF(VLOOKUP(DATE($K$1,$K$2,RZJ$4),Table1[],(MATCH(Calendar!$A18,DB!$1:$1,0)),FALSE)&gt;=5,"Good","Bad"),VLOOKUP(DATE($K$1,$K$2,RZJ$4),Table1[],(MATCH(Calendar!$A18,DB!$1:$1,0)),FALSE)),"")</f>
        <v/>
      </c>
      <c r="RZK18" s="28" t="str">
        <f>IFERROR(IF(RZT3="No",IF(VLOOKUP(DATE($K$1,$K$2,RZK$4),Table1[],(MATCH(Calendar!$A18,DB!$1:$1,0)),FALSE)&gt;=5,"Good","Bad"),VLOOKUP(DATE($K$1,$K$2,RZK$4),Table1[],(MATCH(Calendar!$A18,DB!$1:$1,0)),FALSE)),"")</f>
        <v/>
      </c>
      <c r="RZL18" s="28" t="str">
        <f>IFERROR(IF(RZU3="No",IF(VLOOKUP(DATE($K$1,$K$2,RZL$4),Table1[],(MATCH(Calendar!$A18,DB!$1:$1,0)),FALSE)&gt;=5,"Good","Bad"),VLOOKUP(DATE($K$1,$K$2,RZL$4),Table1[],(MATCH(Calendar!$A18,DB!$1:$1,0)),FALSE)),"")</f>
        <v/>
      </c>
      <c r="RZM18" s="28" t="str">
        <f>IFERROR(IF(RZV3="No",IF(VLOOKUP(DATE($K$1,$K$2,RZM$4),Table1[],(MATCH(Calendar!$A18,DB!$1:$1,0)),FALSE)&gt;=5,"Good","Bad"),VLOOKUP(DATE($K$1,$K$2,RZM$4),Table1[],(MATCH(Calendar!$A18,DB!$1:$1,0)),FALSE)),"")</f>
        <v/>
      </c>
      <c r="RZN18" s="28" t="str">
        <f>IFERROR(IF(RZW3="No",IF(VLOOKUP(DATE($K$1,$K$2,RZN$4),Table1[],(MATCH(Calendar!$A18,DB!$1:$1,0)),FALSE)&gt;=5,"Good","Bad"),VLOOKUP(DATE($K$1,$K$2,RZN$4),Table1[],(MATCH(Calendar!$A18,DB!$1:$1,0)),FALSE)),"")</f>
        <v/>
      </c>
      <c r="RZO18" s="28" t="str">
        <f>IFERROR(IF(RZX3="No",IF(VLOOKUP(DATE($K$1,$K$2,RZO$4),Table1[],(MATCH(Calendar!$A18,DB!$1:$1,0)),FALSE)&gt;=5,"Good","Bad"),VLOOKUP(DATE($K$1,$K$2,RZO$4),Table1[],(MATCH(Calendar!$A18,DB!$1:$1,0)),FALSE)),"")</f>
        <v/>
      </c>
      <c r="RZP18" s="28" t="str">
        <f>IFERROR(IF(RZY3="No",IF(VLOOKUP(DATE($K$1,$K$2,RZP$4),Table1[],(MATCH(Calendar!$A18,DB!$1:$1,0)),FALSE)&gt;=5,"Good","Bad"),VLOOKUP(DATE($K$1,$K$2,RZP$4),Table1[],(MATCH(Calendar!$A18,DB!$1:$1,0)),FALSE)),"")</f>
        <v/>
      </c>
      <c r="RZQ18" s="28" t="str">
        <f>IFERROR(IF(RZZ3="No",IF(VLOOKUP(DATE($K$1,$K$2,RZQ$4),Table1[],(MATCH(Calendar!$A18,DB!$1:$1,0)),FALSE)&gt;=5,"Good","Bad"),VLOOKUP(DATE($K$1,$K$2,RZQ$4),Table1[],(MATCH(Calendar!$A18,DB!$1:$1,0)),FALSE)),"")</f>
        <v/>
      </c>
      <c r="RZR18" s="28" t="str">
        <f>IFERROR(IF(SAA3="No",IF(VLOOKUP(DATE($K$1,$K$2,RZR$4),Table1[],(MATCH(Calendar!$A18,DB!$1:$1,0)),FALSE)&gt;=5,"Good","Bad"),VLOOKUP(DATE($K$1,$K$2,RZR$4),Table1[],(MATCH(Calendar!$A18,DB!$1:$1,0)),FALSE)),"")</f>
        <v/>
      </c>
      <c r="RZS18" s="28" t="str">
        <f>IFERROR(IF(SAB3="No",IF(VLOOKUP(DATE($K$1,$K$2,RZS$4),Table1[],(MATCH(Calendar!$A18,DB!$1:$1,0)),FALSE)&gt;=5,"Good","Bad"),VLOOKUP(DATE($K$1,$K$2,RZS$4),Table1[],(MATCH(Calendar!$A18,DB!$1:$1,0)),FALSE)),"")</f>
        <v/>
      </c>
      <c r="RZT18" s="28" t="str">
        <f>IFERROR(IF(SAC3="No",IF(VLOOKUP(DATE($K$1,$K$2,RZT$4),Table1[],(MATCH(Calendar!$A18,DB!$1:$1,0)),FALSE)&gt;=5,"Good","Bad"),VLOOKUP(DATE($K$1,$K$2,RZT$4),Table1[],(MATCH(Calendar!$A18,DB!$1:$1,0)),FALSE)),"")</f>
        <v/>
      </c>
      <c r="RZU18" s="28" t="str">
        <f>IFERROR(IF(SAD3="No",IF(VLOOKUP(DATE($K$1,$K$2,RZU$4),Table1[],(MATCH(Calendar!$A18,DB!$1:$1,0)),FALSE)&gt;=5,"Good","Bad"),VLOOKUP(DATE($K$1,$K$2,RZU$4),Table1[],(MATCH(Calendar!$A18,DB!$1:$1,0)),FALSE)),"")</f>
        <v/>
      </c>
      <c r="RZV18" s="28" t="str">
        <f>IFERROR(IF(SAE3="No",IF(VLOOKUP(DATE($K$1,$K$2,RZV$4),Table1[],(MATCH(Calendar!$A18,DB!$1:$1,0)),FALSE)&gt;=5,"Good","Bad"),VLOOKUP(DATE($K$1,$K$2,RZV$4),Table1[],(MATCH(Calendar!$A18,DB!$1:$1,0)),FALSE)),"")</f>
        <v/>
      </c>
      <c r="RZW18" s="28" t="str">
        <f>IFERROR(IF(SAF3="No",IF(VLOOKUP(DATE($K$1,$K$2,RZW$4),Table1[],(MATCH(Calendar!$A18,DB!$1:$1,0)),FALSE)&gt;=5,"Good","Bad"),VLOOKUP(DATE($K$1,$K$2,RZW$4),Table1[],(MATCH(Calendar!$A18,DB!$1:$1,0)),FALSE)),"")</f>
        <v/>
      </c>
      <c r="RZX18" s="28" t="str">
        <f>IFERROR(IF(SAG3="No",IF(VLOOKUP(DATE($K$1,$K$2,RZX$4),Table1[],(MATCH(Calendar!$A18,DB!$1:$1,0)),FALSE)&gt;=5,"Good","Bad"),VLOOKUP(DATE($K$1,$K$2,RZX$4),Table1[],(MATCH(Calendar!$A18,DB!$1:$1,0)),FALSE)),"")</f>
        <v/>
      </c>
      <c r="RZY18" s="28" t="str">
        <f>IFERROR(IF(SAH3="No",IF(VLOOKUP(DATE($K$1,$K$2,RZY$4),Table1[],(MATCH(Calendar!$A18,DB!$1:$1,0)),FALSE)&gt;=5,"Good","Bad"),VLOOKUP(DATE($K$1,$K$2,RZY$4),Table1[],(MATCH(Calendar!$A18,DB!$1:$1,0)),FALSE)),"")</f>
        <v/>
      </c>
      <c r="RZZ18" s="28" t="str">
        <f>IFERROR(IF(SAI3="No",IF(VLOOKUP(DATE($K$1,$K$2,RZZ$4),Table1[],(MATCH(Calendar!$A18,DB!$1:$1,0)),FALSE)&gt;=5,"Good","Bad"),VLOOKUP(DATE($K$1,$K$2,RZZ$4),Table1[],(MATCH(Calendar!$A18,DB!$1:$1,0)),FALSE)),"")</f>
        <v/>
      </c>
      <c r="SAA18" s="28" t="str">
        <f>IFERROR(IF(SAJ3="No",IF(VLOOKUP(DATE($K$1,$K$2,SAA$4),Table1[],(MATCH(Calendar!$A18,DB!$1:$1,0)),FALSE)&gt;=5,"Good","Bad"),VLOOKUP(DATE($K$1,$K$2,SAA$4),Table1[],(MATCH(Calendar!$A18,DB!$1:$1,0)),FALSE)),"")</f>
        <v/>
      </c>
      <c r="SAB18" s="28" t="str">
        <f>IFERROR(IF(SAK3="No",IF(VLOOKUP(DATE($K$1,$K$2,SAB$4),Table1[],(MATCH(Calendar!$A18,DB!$1:$1,0)),FALSE)&gt;=5,"Good","Bad"),VLOOKUP(DATE($K$1,$K$2,SAB$4),Table1[],(MATCH(Calendar!$A18,DB!$1:$1,0)),FALSE)),"")</f>
        <v/>
      </c>
      <c r="SAC18" s="28" t="str">
        <f>IFERROR(IF(SAL3="No",IF(VLOOKUP(DATE($K$1,$K$2,SAC$4),Table1[],(MATCH(Calendar!$A18,DB!$1:$1,0)),FALSE)&gt;=5,"Good","Bad"),VLOOKUP(DATE($K$1,$K$2,SAC$4),Table1[],(MATCH(Calendar!$A18,DB!$1:$1,0)),FALSE)),"")</f>
        <v/>
      </c>
      <c r="SAD18" s="28" t="str">
        <f>IFERROR(IF(SAM3="No",IF(VLOOKUP(DATE($K$1,$K$2,SAD$4),Table1[],(MATCH(Calendar!$A18,DB!$1:$1,0)),FALSE)&gt;=5,"Good","Bad"),VLOOKUP(DATE($K$1,$K$2,SAD$4),Table1[],(MATCH(Calendar!$A18,DB!$1:$1,0)),FALSE)),"")</f>
        <v/>
      </c>
      <c r="SAE18" s="28" t="str">
        <f>IFERROR(IF(SAN3="No",IF(VLOOKUP(DATE($K$1,$K$2,SAE$4),Table1[],(MATCH(Calendar!$A18,DB!$1:$1,0)),FALSE)&gt;=5,"Good","Bad"),VLOOKUP(DATE($K$1,$K$2,SAE$4),Table1[],(MATCH(Calendar!$A18,DB!$1:$1,0)),FALSE)),"")</f>
        <v/>
      </c>
      <c r="SAF18" s="28" t="str">
        <f>IFERROR(IF(SAO3="No",IF(VLOOKUP(DATE($K$1,$K$2,SAF$4),Table1[],(MATCH(Calendar!$A18,DB!$1:$1,0)),FALSE)&gt;=5,"Good","Bad"),VLOOKUP(DATE($K$1,$K$2,SAF$4),Table1[],(MATCH(Calendar!$A18,DB!$1:$1,0)),FALSE)),"")</f>
        <v/>
      </c>
      <c r="SAG18" s="28" t="str">
        <f>IFERROR(IF(SAP3="No",IF(VLOOKUP(DATE($K$1,$K$2,SAG$4),Table1[],(MATCH(Calendar!$A18,DB!$1:$1,0)),FALSE)&gt;=5,"Good","Bad"),VLOOKUP(DATE($K$1,$K$2,SAG$4),Table1[],(MATCH(Calendar!$A18,DB!$1:$1,0)),FALSE)),"")</f>
        <v/>
      </c>
      <c r="SAH18" s="28" t="str">
        <f>IFERROR(IF(SAQ3="No",IF(VLOOKUP(DATE($K$1,$K$2,SAH$4),Table1[],(MATCH(Calendar!$A18,DB!$1:$1,0)),FALSE)&gt;=5,"Good","Bad"),VLOOKUP(DATE($K$1,$K$2,SAH$4),Table1[],(MATCH(Calendar!$A18,DB!$1:$1,0)),FALSE)),"")</f>
        <v/>
      </c>
      <c r="SAI18" s="28" t="str">
        <f>IFERROR(IF(SAR3="No",IF(VLOOKUP(DATE($K$1,$K$2,SAI$4),Table1[],(MATCH(Calendar!$A18,DB!$1:$1,0)),FALSE)&gt;=5,"Good","Bad"),VLOOKUP(DATE($K$1,$K$2,SAI$4),Table1[],(MATCH(Calendar!$A18,DB!$1:$1,0)),FALSE)),"")</f>
        <v/>
      </c>
      <c r="SAJ18" s="28" t="str">
        <f>IFERROR(IF(SAS3="No",IF(VLOOKUP(DATE($K$1,$K$2,SAJ$4),Table1[],(MATCH(Calendar!$A18,DB!$1:$1,0)),FALSE)&gt;=5,"Good","Bad"),VLOOKUP(DATE($K$1,$K$2,SAJ$4),Table1[],(MATCH(Calendar!$A18,DB!$1:$1,0)),FALSE)),"")</f>
        <v/>
      </c>
      <c r="SAK18" s="28" t="str">
        <f>IFERROR(IF(SAT3="No",IF(VLOOKUP(DATE($K$1,$K$2,SAK$4),Table1[],(MATCH(Calendar!$A18,DB!$1:$1,0)),FALSE)&gt;=5,"Good","Bad"),VLOOKUP(DATE($K$1,$K$2,SAK$4),Table1[],(MATCH(Calendar!$A18,DB!$1:$1,0)),FALSE)),"")</f>
        <v/>
      </c>
      <c r="SAL18" s="28" t="str">
        <f>IFERROR(IF(SAU3="No",IF(VLOOKUP(DATE($K$1,$K$2,SAL$4),Table1[],(MATCH(Calendar!$A18,DB!$1:$1,0)),FALSE)&gt;=5,"Good","Bad"),VLOOKUP(DATE($K$1,$K$2,SAL$4),Table1[],(MATCH(Calendar!$A18,DB!$1:$1,0)),FALSE)),"")</f>
        <v/>
      </c>
      <c r="SAM18" s="28" t="str">
        <f>IFERROR(IF(SAV3="No",IF(VLOOKUP(DATE($K$1,$K$2,SAM$4),Table1[],(MATCH(Calendar!$A18,DB!$1:$1,0)),FALSE)&gt;=5,"Good","Bad"),VLOOKUP(DATE($K$1,$K$2,SAM$4),Table1[],(MATCH(Calendar!$A18,DB!$1:$1,0)),FALSE)),"")</f>
        <v/>
      </c>
      <c r="SAN18" s="28" t="str">
        <f>IFERROR(IF(SAW3="No",IF(VLOOKUP(DATE($K$1,$K$2,SAN$4),Table1[],(MATCH(Calendar!$A18,DB!$1:$1,0)),FALSE)&gt;=5,"Good","Bad"),VLOOKUP(DATE($K$1,$K$2,SAN$4),Table1[],(MATCH(Calendar!$A18,DB!$1:$1,0)),FALSE)),"")</f>
        <v/>
      </c>
      <c r="SAO18" s="28" t="str">
        <f>IFERROR(IF(SAX3="No",IF(VLOOKUP(DATE($K$1,$K$2,SAO$4),Table1[],(MATCH(Calendar!$A18,DB!$1:$1,0)),FALSE)&gt;=5,"Good","Bad"),VLOOKUP(DATE($K$1,$K$2,SAO$4),Table1[],(MATCH(Calendar!$A18,DB!$1:$1,0)),FALSE)),"")</f>
        <v/>
      </c>
      <c r="SAP18" s="28" t="str">
        <f>IFERROR(IF(SAY3="No",IF(VLOOKUP(DATE($K$1,$K$2,SAP$4),Table1[],(MATCH(Calendar!$A18,DB!$1:$1,0)),FALSE)&gt;=5,"Good","Bad"),VLOOKUP(DATE($K$1,$K$2,SAP$4),Table1[],(MATCH(Calendar!$A18,DB!$1:$1,0)),FALSE)),"")</f>
        <v/>
      </c>
      <c r="SAQ18" s="28" t="str">
        <f>IFERROR(IF(SAZ3="No",IF(VLOOKUP(DATE($K$1,$K$2,SAQ$4),Table1[],(MATCH(Calendar!$A18,DB!$1:$1,0)),FALSE)&gt;=5,"Good","Bad"),VLOOKUP(DATE($K$1,$K$2,SAQ$4),Table1[],(MATCH(Calendar!$A18,DB!$1:$1,0)),FALSE)),"")</f>
        <v/>
      </c>
      <c r="SAR18" s="28" t="str">
        <f>IFERROR(IF(SBA3="No",IF(VLOOKUP(DATE($K$1,$K$2,SAR$4),Table1[],(MATCH(Calendar!$A18,DB!$1:$1,0)),FALSE)&gt;=5,"Good","Bad"),VLOOKUP(DATE($K$1,$K$2,SAR$4),Table1[],(MATCH(Calendar!$A18,DB!$1:$1,0)),FALSE)),"")</f>
        <v/>
      </c>
      <c r="SAS18" s="28" t="str">
        <f>IFERROR(IF(SBB3="No",IF(VLOOKUP(DATE($K$1,$K$2,SAS$4),Table1[],(MATCH(Calendar!$A18,DB!$1:$1,0)),FALSE)&gt;=5,"Good","Bad"),VLOOKUP(DATE($K$1,$K$2,SAS$4),Table1[],(MATCH(Calendar!$A18,DB!$1:$1,0)),FALSE)),"")</f>
        <v/>
      </c>
      <c r="SAT18" s="28" t="str">
        <f>IFERROR(IF(SBC3="No",IF(VLOOKUP(DATE($K$1,$K$2,SAT$4),Table1[],(MATCH(Calendar!$A18,DB!$1:$1,0)),FALSE)&gt;=5,"Good","Bad"),VLOOKUP(DATE($K$1,$K$2,SAT$4),Table1[],(MATCH(Calendar!$A18,DB!$1:$1,0)),FALSE)),"")</f>
        <v/>
      </c>
      <c r="SAU18" s="28" t="str">
        <f>IFERROR(IF(SBD3="No",IF(VLOOKUP(DATE($K$1,$K$2,SAU$4),Table1[],(MATCH(Calendar!$A18,DB!$1:$1,0)),FALSE)&gt;=5,"Good","Bad"),VLOOKUP(DATE($K$1,$K$2,SAU$4),Table1[],(MATCH(Calendar!$A18,DB!$1:$1,0)),FALSE)),"")</f>
        <v/>
      </c>
      <c r="SAV18" s="28" t="str">
        <f>IFERROR(IF(SBE3="No",IF(VLOOKUP(DATE($K$1,$K$2,SAV$4),Table1[],(MATCH(Calendar!$A18,DB!$1:$1,0)),FALSE)&gt;=5,"Good","Bad"),VLOOKUP(DATE($K$1,$K$2,SAV$4),Table1[],(MATCH(Calendar!$A18,DB!$1:$1,0)),FALSE)),"")</f>
        <v/>
      </c>
      <c r="SAW18" s="28" t="str">
        <f>IFERROR(IF(SBF3="No",IF(VLOOKUP(DATE($K$1,$K$2,SAW$4),Table1[],(MATCH(Calendar!$A18,DB!$1:$1,0)),FALSE)&gt;=5,"Good","Bad"),VLOOKUP(DATE($K$1,$K$2,SAW$4),Table1[],(MATCH(Calendar!$A18,DB!$1:$1,0)),FALSE)),"")</f>
        <v/>
      </c>
      <c r="SAX18" s="28" t="str">
        <f>IFERROR(IF(SBG3="No",IF(VLOOKUP(DATE($K$1,$K$2,SAX$4),Table1[],(MATCH(Calendar!$A18,DB!$1:$1,0)),FALSE)&gt;=5,"Good","Bad"),VLOOKUP(DATE($K$1,$K$2,SAX$4),Table1[],(MATCH(Calendar!$A18,DB!$1:$1,0)),FALSE)),"")</f>
        <v/>
      </c>
      <c r="SAY18" s="28" t="str">
        <f>IFERROR(IF(SBH3="No",IF(VLOOKUP(DATE($K$1,$K$2,SAY$4),Table1[],(MATCH(Calendar!$A18,DB!$1:$1,0)),FALSE)&gt;=5,"Good","Bad"),VLOOKUP(DATE($K$1,$K$2,SAY$4),Table1[],(MATCH(Calendar!$A18,DB!$1:$1,0)),FALSE)),"")</f>
        <v/>
      </c>
      <c r="SAZ18" s="28" t="str">
        <f>IFERROR(IF(SBI3="No",IF(VLOOKUP(DATE($K$1,$K$2,SAZ$4),Table1[],(MATCH(Calendar!$A18,DB!$1:$1,0)),FALSE)&gt;=5,"Good","Bad"),VLOOKUP(DATE($K$1,$K$2,SAZ$4),Table1[],(MATCH(Calendar!$A18,DB!$1:$1,0)),FALSE)),"")</f>
        <v/>
      </c>
      <c r="SBA18" s="28" t="str">
        <f>IFERROR(IF(SBJ3="No",IF(VLOOKUP(DATE($K$1,$K$2,SBA$4),Table1[],(MATCH(Calendar!$A18,DB!$1:$1,0)),FALSE)&gt;=5,"Good","Bad"),VLOOKUP(DATE($K$1,$K$2,SBA$4),Table1[],(MATCH(Calendar!$A18,DB!$1:$1,0)),FALSE)),"")</f>
        <v/>
      </c>
      <c r="SBB18" s="28" t="str">
        <f>IFERROR(IF(SBK3="No",IF(VLOOKUP(DATE($K$1,$K$2,SBB$4),Table1[],(MATCH(Calendar!$A18,DB!$1:$1,0)),FALSE)&gt;=5,"Good","Bad"),VLOOKUP(DATE($K$1,$K$2,SBB$4),Table1[],(MATCH(Calendar!$A18,DB!$1:$1,0)),FALSE)),"")</f>
        <v/>
      </c>
      <c r="SBC18" s="28" t="str">
        <f>IFERROR(IF(SBL3="No",IF(VLOOKUP(DATE($K$1,$K$2,SBC$4),Table1[],(MATCH(Calendar!$A18,DB!$1:$1,0)),FALSE)&gt;=5,"Good","Bad"),VLOOKUP(DATE($K$1,$K$2,SBC$4),Table1[],(MATCH(Calendar!$A18,DB!$1:$1,0)),FALSE)),"")</f>
        <v/>
      </c>
      <c r="SBD18" s="28" t="str">
        <f>IFERROR(IF(SBM3="No",IF(VLOOKUP(DATE($K$1,$K$2,SBD$4),Table1[],(MATCH(Calendar!$A18,DB!$1:$1,0)),FALSE)&gt;=5,"Good","Bad"),VLOOKUP(DATE($K$1,$K$2,SBD$4),Table1[],(MATCH(Calendar!$A18,DB!$1:$1,0)),FALSE)),"")</f>
        <v/>
      </c>
      <c r="SBE18" s="28" t="str">
        <f>IFERROR(IF(SBN3="No",IF(VLOOKUP(DATE($K$1,$K$2,SBE$4),Table1[],(MATCH(Calendar!$A18,DB!$1:$1,0)),FALSE)&gt;=5,"Good","Bad"),VLOOKUP(DATE($K$1,$K$2,SBE$4),Table1[],(MATCH(Calendar!$A18,DB!$1:$1,0)),FALSE)),"")</f>
        <v/>
      </c>
      <c r="SBF18" s="28" t="str">
        <f>IFERROR(IF(SBO3="No",IF(VLOOKUP(DATE($K$1,$K$2,SBF$4),Table1[],(MATCH(Calendar!$A18,DB!$1:$1,0)),FALSE)&gt;=5,"Good","Bad"),VLOOKUP(DATE($K$1,$K$2,SBF$4),Table1[],(MATCH(Calendar!$A18,DB!$1:$1,0)),FALSE)),"")</f>
        <v/>
      </c>
      <c r="SBG18" s="28" t="str">
        <f>IFERROR(IF(SBP3="No",IF(VLOOKUP(DATE($K$1,$K$2,SBG$4),Table1[],(MATCH(Calendar!$A18,DB!$1:$1,0)),FALSE)&gt;=5,"Good","Bad"),VLOOKUP(DATE($K$1,$K$2,SBG$4),Table1[],(MATCH(Calendar!$A18,DB!$1:$1,0)),FALSE)),"")</f>
        <v/>
      </c>
      <c r="SBH18" s="28" t="str">
        <f>IFERROR(IF(SBQ3="No",IF(VLOOKUP(DATE($K$1,$K$2,SBH$4),Table1[],(MATCH(Calendar!$A18,DB!$1:$1,0)),FALSE)&gt;=5,"Good","Bad"),VLOOKUP(DATE($K$1,$K$2,SBH$4),Table1[],(MATCH(Calendar!$A18,DB!$1:$1,0)),FALSE)),"")</f>
        <v/>
      </c>
      <c r="SBI18" s="28" t="str">
        <f>IFERROR(IF(SBR3="No",IF(VLOOKUP(DATE($K$1,$K$2,SBI$4),Table1[],(MATCH(Calendar!$A18,DB!$1:$1,0)),FALSE)&gt;=5,"Good","Bad"),VLOOKUP(DATE($K$1,$K$2,SBI$4),Table1[],(MATCH(Calendar!$A18,DB!$1:$1,0)),FALSE)),"")</f>
        <v/>
      </c>
      <c r="SBJ18" s="28" t="str">
        <f>IFERROR(IF(SBS3="No",IF(VLOOKUP(DATE($K$1,$K$2,SBJ$4),Table1[],(MATCH(Calendar!$A18,DB!$1:$1,0)),FALSE)&gt;=5,"Good","Bad"),VLOOKUP(DATE($K$1,$K$2,SBJ$4),Table1[],(MATCH(Calendar!$A18,DB!$1:$1,0)),FALSE)),"")</f>
        <v/>
      </c>
      <c r="SBK18" s="28" t="str">
        <f>IFERROR(IF(SBT3="No",IF(VLOOKUP(DATE($K$1,$K$2,SBK$4),Table1[],(MATCH(Calendar!$A18,DB!$1:$1,0)),FALSE)&gt;=5,"Good","Bad"),VLOOKUP(DATE($K$1,$K$2,SBK$4),Table1[],(MATCH(Calendar!$A18,DB!$1:$1,0)),FALSE)),"")</f>
        <v/>
      </c>
      <c r="SBL18" s="28" t="str">
        <f>IFERROR(IF(SBU3="No",IF(VLOOKUP(DATE($K$1,$K$2,SBL$4),Table1[],(MATCH(Calendar!$A18,DB!$1:$1,0)),FALSE)&gt;=5,"Good","Bad"),VLOOKUP(DATE($K$1,$K$2,SBL$4),Table1[],(MATCH(Calendar!$A18,DB!$1:$1,0)),FALSE)),"")</f>
        <v/>
      </c>
      <c r="SBM18" s="28" t="str">
        <f>IFERROR(IF(SBV3="No",IF(VLOOKUP(DATE($K$1,$K$2,SBM$4),Table1[],(MATCH(Calendar!$A18,DB!$1:$1,0)),FALSE)&gt;=5,"Good","Bad"),VLOOKUP(DATE($K$1,$K$2,SBM$4),Table1[],(MATCH(Calendar!$A18,DB!$1:$1,0)),FALSE)),"")</f>
        <v/>
      </c>
      <c r="SBN18" s="28" t="str">
        <f>IFERROR(IF(SBW3="No",IF(VLOOKUP(DATE($K$1,$K$2,SBN$4),Table1[],(MATCH(Calendar!$A18,DB!$1:$1,0)),FALSE)&gt;=5,"Good","Bad"),VLOOKUP(DATE($K$1,$K$2,SBN$4),Table1[],(MATCH(Calendar!$A18,DB!$1:$1,0)),FALSE)),"")</f>
        <v/>
      </c>
      <c r="SBO18" s="28" t="str">
        <f>IFERROR(IF(SBX3="No",IF(VLOOKUP(DATE($K$1,$K$2,SBO$4),Table1[],(MATCH(Calendar!$A18,DB!$1:$1,0)),FALSE)&gt;=5,"Good","Bad"),VLOOKUP(DATE($K$1,$K$2,SBO$4),Table1[],(MATCH(Calendar!$A18,DB!$1:$1,0)),FALSE)),"")</f>
        <v/>
      </c>
      <c r="SBP18" s="28" t="str">
        <f>IFERROR(IF(SBY3="No",IF(VLOOKUP(DATE($K$1,$K$2,SBP$4),Table1[],(MATCH(Calendar!$A18,DB!$1:$1,0)),FALSE)&gt;=5,"Good","Bad"),VLOOKUP(DATE($K$1,$K$2,SBP$4),Table1[],(MATCH(Calendar!$A18,DB!$1:$1,0)),FALSE)),"")</f>
        <v/>
      </c>
      <c r="SBQ18" s="28" t="str">
        <f>IFERROR(IF(SBZ3="No",IF(VLOOKUP(DATE($K$1,$K$2,SBQ$4),Table1[],(MATCH(Calendar!$A18,DB!$1:$1,0)),FALSE)&gt;=5,"Good","Bad"),VLOOKUP(DATE($K$1,$K$2,SBQ$4),Table1[],(MATCH(Calendar!$A18,DB!$1:$1,0)),FALSE)),"")</f>
        <v/>
      </c>
      <c r="SBR18" s="28" t="str">
        <f>IFERROR(IF(SCA3="No",IF(VLOOKUP(DATE($K$1,$K$2,SBR$4),Table1[],(MATCH(Calendar!$A18,DB!$1:$1,0)),FALSE)&gt;=5,"Good","Bad"),VLOOKUP(DATE($K$1,$K$2,SBR$4),Table1[],(MATCH(Calendar!$A18,DB!$1:$1,0)),FALSE)),"")</f>
        <v/>
      </c>
      <c r="SBS18" s="28" t="str">
        <f>IFERROR(IF(SCB3="No",IF(VLOOKUP(DATE($K$1,$K$2,SBS$4),Table1[],(MATCH(Calendar!$A18,DB!$1:$1,0)),FALSE)&gt;=5,"Good","Bad"),VLOOKUP(DATE($K$1,$K$2,SBS$4),Table1[],(MATCH(Calendar!$A18,DB!$1:$1,0)),FALSE)),"")</f>
        <v/>
      </c>
      <c r="SBT18" s="28" t="str">
        <f>IFERROR(IF(SCC3="No",IF(VLOOKUP(DATE($K$1,$K$2,SBT$4),Table1[],(MATCH(Calendar!$A18,DB!$1:$1,0)),FALSE)&gt;=5,"Good","Bad"),VLOOKUP(DATE($K$1,$K$2,SBT$4),Table1[],(MATCH(Calendar!$A18,DB!$1:$1,0)),FALSE)),"")</f>
        <v/>
      </c>
      <c r="SBU18" s="28" t="str">
        <f>IFERROR(IF(SCD3="No",IF(VLOOKUP(DATE($K$1,$K$2,SBU$4),Table1[],(MATCH(Calendar!$A18,DB!$1:$1,0)),FALSE)&gt;=5,"Good","Bad"),VLOOKUP(DATE($K$1,$K$2,SBU$4),Table1[],(MATCH(Calendar!$A18,DB!$1:$1,0)),FALSE)),"")</f>
        <v/>
      </c>
      <c r="SBV18" s="28" t="str">
        <f>IFERROR(IF(SCE3="No",IF(VLOOKUP(DATE($K$1,$K$2,SBV$4),Table1[],(MATCH(Calendar!$A18,DB!$1:$1,0)),FALSE)&gt;=5,"Good","Bad"),VLOOKUP(DATE($K$1,$K$2,SBV$4),Table1[],(MATCH(Calendar!$A18,DB!$1:$1,0)),FALSE)),"")</f>
        <v/>
      </c>
      <c r="SBW18" s="28" t="str">
        <f>IFERROR(IF(SCF3="No",IF(VLOOKUP(DATE($K$1,$K$2,SBW$4),Table1[],(MATCH(Calendar!$A18,DB!$1:$1,0)),FALSE)&gt;=5,"Good","Bad"),VLOOKUP(DATE($K$1,$K$2,SBW$4),Table1[],(MATCH(Calendar!$A18,DB!$1:$1,0)),FALSE)),"")</f>
        <v/>
      </c>
      <c r="SBX18" s="28" t="str">
        <f>IFERROR(IF(SCG3="No",IF(VLOOKUP(DATE($K$1,$K$2,SBX$4),Table1[],(MATCH(Calendar!$A18,DB!$1:$1,0)),FALSE)&gt;=5,"Good","Bad"),VLOOKUP(DATE($K$1,$K$2,SBX$4),Table1[],(MATCH(Calendar!$A18,DB!$1:$1,0)),FALSE)),"")</f>
        <v/>
      </c>
      <c r="SBY18" s="28" t="str">
        <f>IFERROR(IF(SCH3="No",IF(VLOOKUP(DATE($K$1,$K$2,SBY$4),Table1[],(MATCH(Calendar!$A18,DB!$1:$1,0)),FALSE)&gt;=5,"Good","Bad"),VLOOKUP(DATE($K$1,$K$2,SBY$4),Table1[],(MATCH(Calendar!$A18,DB!$1:$1,0)),FALSE)),"")</f>
        <v/>
      </c>
      <c r="SBZ18" s="28" t="str">
        <f>IFERROR(IF(SCI3="No",IF(VLOOKUP(DATE($K$1,$K$2,SBZ$4),Table1[],(MATCH(Calendar!$A18,DB!$1:$1,0)),FALSE)&gt;=5,"Good","Bad"),VLOOKUP(DATE($K$1,$K$2,SBZ$4),Table1[],(MATCH(Calendar!$A18,DB!$1:$1,0)),FALSE)),"")</f>
        <v/>
      </c>
      <c r="SCA18" s="28" t="str">
        <f>IFERROR(IF(SCJ3="No",IF(VLOOKUP(DATE($K$1,$K$2,SCA$4),Table1[],(MATCH(Calendar!$A18,DB!$1:$1,0)),FALSE)&gt;=5,"Good","Bad"),VLOOKUP(DATE($K$1,$K$2,SCA$4),Table1[],(MATCH(Calendar!$A18,DB!$1:$1,0)),FALSE)),"")</f>
        <v/>
      </c>
      <c r="SCB18" s="28" t="str">
        <f>IFERROR(IF(SCK3="No",IF(VLOOKUP(DATE($K$1,$K$2,SCB$4),Table1[],(MATCH(Calendar!$A18,DB!$1:$1,0)),FALSE)&gt;=5,"Good","Bad"),VLOOKUP(DATE($K$1,$K$2,SCB$4),Table1[],(MATCH(Calendar!$A18,DB!$1:$1,0)),FALSE)),"")</f>
        <v/>
      </c>
      <c r="SCC18" s="28" t="str">
        <f>IFERROR(IF(SCL3="No",IF(VLOOKUP(DATE($K$1,$K$2,SCC$4),Table1[],(MATCH(Calendar!$A18,DB!$1:$1,0)),FALSE)&gt;=5,"Good","Bad"),VLOOKUP(DATE($K$1,$K$2,SCC$4),Table1[],(MATCH(Calendar!$A18,DB!$1:$1,0)),FALSE)),"")</f>
        <v/>
      </c>
      <c r="SCD18" s="28" t="str">
        <f>IFERROR(IF(SCM3="No",IF(VLOOKUP(DATE($K$1,$K$2,SCD$4),Table1[],(MATCH(Calendar!$A18,DB!$1:$1,0)),FALSE)&gt;=5,"Good","Bad"),VLOOKUP(DATE($K$1,$K$2,SCD$4),Table1[],(MATCH(Calendar!$A18,DB!$1:$1,0)),FALSE)),"")</f>
        <v/>
      </c>
      <c r="SCE18" s="28" t="str">
        <f>IFERROR(IF(SCN3="No",IF(VLOOKUP(DATE($K$1,$K$2,SCE$4),Table1[],(MATCH(Calendar!$A18,DB!$1:$1,0)),FALSE)&gt;=5,"Good","Bad"),VLOOKUP(DATE($K$1,$K$2,SCE$4),Table1[],(MATCH(Calendar!$A18,DB!$1:$1,0)),FALSE)),"")</f>
        <v/>
      </c>
      <c r="SCF18" s="28" t="str">
        <f>IFERROR(IF(SCO3="No",IF(VLOOKUP(DATE($K$1,$K$2,SCF$4),Table1[],(MATCH(Calendar!$A18,DB!$1:$1,0)),FALSE)&gt;=5,"Good","Bad"),VLOOKUP(DATE($K$1,$K$2,SCF$4),Table1[],(MATCH(Calendar!$A18,DB!$1:$1,0)),FALSE)),"")</f>
        <v/>
      </c>
      <c r="SCG18" s="28" t="str">
        <f>IFERROR(IF(SCP3="No",IF(VLOOKUP(DATE($K$1,$K$2,SCG$4),Table1[],(MATCH(Calendar!$A18,DB!$1:$1,0)),FALSE)&gt;=5,"Good","Bad"),VLOOKUP(DATE($K$1,$K$2,SCG$4),Table1[],(MATCH(Calendar!$A18,DB!$1:$1,0)),FALSE)),"")</f>
        <v/>
      </c>
      <c r="SCH18" s="28" t="str">
        <f>IFERROR(IF(SCQ3="No",IF(VLOOKUP(DATE($K$1,$K$2,SCH$4),Table1[],(MATCH(Calendar!$A18,DB!$1:$1,0)),FALSE)&gt;=5,"Good","Bad"),VLOOKUP(DATE($K$1,$K$2,SCH$4),Table1[],(MATCH(Calendar!$A18,DB!$1:$1,0)),FALSE)),"")</f>
        <v/>
      </c>
      <c r="SCI18" s="28" t="str">
        <f>IFERROR(IF(SCR3="No",IF(VLOOKUP(DATE($K$1,$K$2,SCI$4),Table1[],(MATCH(Calendar!$A18,DB!$1:$1,0)),FALSE)&gt;=5,"Good","Bad"),VLOOKUP(DATE($K$1,$K$2,SCI$4),Table1[],(MATCH(Calendar!$A18,DB!$1:$1,0)),FALSE)),"")</f>
        <v/>
      </c>
      <c r="SCJ18" s="28" t="str">
        <f>IFERROR(IF(SCS3="No",IF(VLOOKUP(DATE($K$1,$K$2,SCJ$4),Table1[],(MATCH(Calendar!$A18,DB!$1:$1,0)),FALSE)&gt;=5,"Good","Bad"),VLOOKUP(DATE($K$1,$K$2,SCJ$4),Table1[],(MATCH(Calendar!$A18,DB!$1:$1,0)),FALSE)),"")</f>
        <v/>
      </c>
      <c r="SCK18" s="28" t="str">
        <f>IFERROR(IF(SCT3="No",IF(VLOOKUP(DATE($K$1,$K$2,SCK$4),Table1[],(MATCH(Calendar!$A18,DB!$1:$1,0)),FALSE)&gt;=5,"Good","Bad"),VLOOKUP(DATE($K$1,$K$2,SCK$4),Table1[],(MATCH(Calendar!$A18,DB!$1:$1,0)),FALSE)),"")</f>
        <v/>
      </c>
      <c r="SCL18" s="28" t="str">
        <f>IFERROR(IF(SCU3="No",IF(VLOOKUP(DATE($K$1,$K$2,SCL$4),Table1[],(MATCH(Calendar!$A18,DB!$1:$1,0)),FALSE)&gt;=5,"Good","Bad"),VLOOKUP(DATE($K$1,$K$2,SCL$4),Table1[],(MATCH(Calendar!$A18,DB!$1:$1,0)),FALSE)),"")</f>
        <v/>
      </c>
      <c r="SCM18" s="28" t="str">
        <f>IFERROR(IF(SCV3="No",IF(VLOOKUP(DATE($K$1,$K$2,SCM$4),Table1[],(MATCH(Calendar!$A18,DB!$1:$1,0)),FALSE)&gt;=5,"Good","Bad"),VLOOKUP(DATE($K$1,$K$2,SCM$4),Table1[],(MATCH(Calendar!$A18,DB!$1:$1,0)),FALSE)),"")</f>
        <v/>
      </c>
      <c r="SCN18" s="28" t="str">
        <f>IFERROR(IF(SCW3="No",IF(VLOOKUP(DATE($K$1,$K$2,SCN$4),Table1[],(MATCH(Calendar!$A18,DB!$1:$1,0)),FALSE)&gt;=5,"Good","Bad"),VLOOKUP(DATE($K$1,$K$2,SCN$4),Table1[],(MATCH(Calendar!$A18,DB!$1:$1,0)),FALSE)),"")</f>
        <v/>
      </c>
      <c r="SCO18" s="28" t="str">
        <f>IFERROR(IF(SCX3="No",IF(VLOOKUP(DATE($K$1,$K$2,SCO$4),Table1[],(MATCH(Calendar!$A18,DB!$1:$1,0)),FALSE)&gt;=5,"Good","Bad"),VLOOKUP(DATE($K$1,$K$2,SCO$4),Table1[],(MATCH(Calendar!$A18,DB!$1:$1,0)),FALSE)),"")</f>
        <v/>
      </c>
      <c r="SCP18" s="28" t="str">
        <f>IFERROR(IF(SCY3="No",IF(VLOOKUP(DATE($K$1,$K$2,SCP$4),Table1[],(MATCH(Calendar!$A18,DB!$1:$1,0)),FALSE)&gt;=5,"Good","Bad"),VLOOKUP(DATE($K$1,$K$2,SCP$4),Table1[],(MATCH(Calendar!$A18,DB!$1:$1,0)),FALSE)),"")</f>
        <v/>
      </c>
      <c r="SCQ18" s="28" t="str">
        <f>IFERROR(IF(SCZ3="No",IF(VLOOKUP(DATE($K$1,$K$2,SCQ$4),Table1[],(MATCH(Calendar!$A18,DB!$1:$1,0)),FALSE)&gt;=5,"Good","Bad"),VLOOKUP(DATE($K$1,$K$2,SCQ$4),Table1[],(MATCH(Calendar!$A18,DB!$1:$1,0)),FALSE)),"")</f>
        <v/>
      </c>
      <c r="SCR18" s="28" t="str">
        <f>IFERROR(IF(SDA3="No",IF(VLOOKUP(DATE($K$1,$K$2,SCR$4),Table1[],(MATCH(Calendar!$A18,DB!$1:$1,0)),FALSE)&gt;=5,"Good","Bad"),VLOOKUP(DATE($K$1,$K$2,SCR$4),Table1[],(MATCH(Calendar!$A18,DB!$1:$1,0)),FALSE)),"")</f>
        <v/>
      </c>
      <c r="SCS18" s="28" t="str">
        <f>IFERROR(IF(SDB3="No",IF(VLOOKUP(DATE($K$1,$K$2,SCS$4),Table1[],(MATCH(Calendar!$A18,DB!$1:$1,0)),FALSE)&gt;=5,"Good","Bad"),VLOOKUP(DATE($K$1,$K$2,SCS$4),Table1[],(MATCH(Calendar!$A18,DB!$1:$1,0)),FALSE)),"")</f>
        <v/>
      </c>
      <c r="SCT18" s="28" t="str">
        <f>IFERROR(IF(SDC3="No",IF(VLOOKUP(DATE($K$1,$K$2,SCT$4),Table1[],(MATCH(Calendar!$A18,DB!$1:$1,0)),FALSE)&gt;=5,"Good","Bad"),VLOOKUP(DATE($K$1,$K$2,SCT$4),Table1[],(MATCH(Calendar!$A18,DB!$1:$1,0)),FALSE)),"")</f>
        <v/>
      </c>
      <c r="SCU18" s="28" t="str">
        <f>IFERROR(IF(SDD3="No",IF(VLOOKUP(DATE($K$1,$K$2,SCU$4),Table1[],(MATCH(Calendar!$A18,DB!$1:$1,0)),FALSE)&gt;=5,"Good","Bad"),VLOOKUP(DATE($K$1,$K$2,SCU$4),Table1[],(MATCH(Calendar!$A18,DB!$1:$1,0)),FALSE)),"")</f>
        <v/>
      </c>
      <c r="SCV18" s="28" t="str">
        <f>IFERROR(IF(SDE3="No",IF(VLOOKUP(DATE($K$1,$K$2,SCV$4),Table1[],(MATCH(Calendar!$A18,DB!$1:$1,0)),FALSE)&gt;=5,"Good","Bad"),VLOOKUP(DATE($K$1,$K$2,SCV$4),Table1[],(MATCH(Calendar!$A18,DB!$1:$1,0)),FALSE)),"")</f>
        <v/>
      </c>
      <c r="SCW18" s="28" t="str">
        <f>IFERROR(IF(SDF3="No",IF(VLOOKUP(DATE($K$1,$K$2,SCW$4),Table1[],(MATCH(Calendar!$A18,DB!$1:$1,0)),FALSE)&gt;=5,"Good","Bad"),VLOOKUP(DATE($K$1,$K$2,SCW$4),Table1[],(MATCH(Calendar!$A18,DB!$1:$1,0)),FALSE)),"")</f>
        <v/>
      </c>
      <c r="SCX18" s="28" t="str">
        <f>IFERROR(IF(SDG3="No",IF(VLOOKUP(DATE($K$1,$K$2,SCX$4),Table1[],(MATCH(Calendar!$A18,DB!$1:$1,0)),FALSE)&gt;=5,"Good","Bad"),VLOOKUP(DATE($K$1,$K$2,SCX$4),Table1[],(MATCH(Calendar!$A18,DB!$1:$1,0)),FALSE)),"")</f>
        <v/>
      </c>
      <c r="SCY18" s="28" t="str">
        <f>IFERROR(IF(SDH3="No",IF(VLOOKUP(DATE($K$1,$K$2,SCY$4),Table1[],(MATCH(Calendar!$A18,DB!$1:$1,0)),FALSE)&gt;=5,"Good","Bad"),VLOOKUP(DATE($K$1,$K$2,SCY$4),Table1[],(MATCH(Calendar!$A18,DB!$1:$1,0)),FALSE)),"")</f>
        <v/>
      </c>
      <c r="SCZ18" s="28" t="str">
        <f>IFERROR(IF(SDI3="No",IF(VLOOKUP(DATE($K$1,$K$2,SCZ$4),Table1[],(MATCH(Calendar!$A18,DB!$1:$1,0)),FALSE)&gt;=5,"Good","Bad"),VLOOKUP(DATE($K$1,$K$2,SCZ$4),Table1[],(MATCH(Calendar!$A18,DB!$1:$1,0)),FALSE)),"")</f>
        <v/>
      </c>
      <c r="SDA18" s="28" t="str">
        <f>IFERROR(IF(SDJ3="No",IF(VLOOKUP(DATE($K$1,$K$2,SDA$4),Table1[],(MATCH(Calendar!$A18,DB!$1:$1,0)),FALSE)&gt;=5,"Good","Bad"),VLOOKUP(DATE($K$1,$K$2,SDA$4),Table1[],(MATCH(Calendar!$A18,DB!$1:$1,0)),FALSE)),"")</f>
        <v/>
      </c>
      <c r="SDB18" s="28" t="str">
        <f>IFERROR(IF(SDK3="No",IF(VLOOKUP(DATE($K$1,$K$2,SDB$4),Table1[],(MATCH(Calendar!$A18,DB!$1:$1,0)),FALSE)&gt;=5,"Good","Bad"),VLOOKUP(DATE($K$1,$K$2,SDB$4),Table1[],(MATCH(Calendar!$A18,DB!$1:$1,0)),FALSE)),"")</f>
        <v/>
      </c>
      <c r="SDC18" s="28" t="str">
        <f>IFERROR(IF(SDL3="No",IF(VLOOKUP(DATE($K$1,$K$2,SDC$4),Table1[],(MATCH(Calendar!$A18,DB!$1:$1,0)),FALSE)&gt;=5,"Good","Bad"),VLOOKUP(DATE($K$1,$K$2,SDC$4),Table1[],(MATCH(Calendar!$A18,DB!$1:$1,0)),FALSE)),"")</f>
        <v/>
      </c>
      <c r="SDD18" s="28" t="str">
        <f>IFERROR(IF(SDM3="No",IF(VLOOKUP(DATE($K$1,$K$2,SDD$4),Table1[],(MATCH(Calendar!$A18,DB!$1:$1,0)),FALSE)&gt;=5,"Good","Bad"),VLOOKUP(DATE($K$1,$K$2,SDD$4),Table1[],(MATCH(Calendar!$A18,DB!$1:$1,0)),FALSE)),"")</f>
        <v/>
      </c>
      <c r="SDE18" s="28" t="str">
        <f>IFERROR(IF(SDN3="No",IF(VLOOKUP(DATE($K$1,$K$2,SDE$4),Table1[],(MATCH(Calendar!$A18,DB!$1:$1,0)),FALSE)&gt;=5,"Good","Bad"),VLOOKUP(DATE($K$1,$K$2,SDE$4),Table1[],(MATCH(Calendar!$A18,DB!$1:$1,0)),FALSE)),"")</f>
        <v/>
      </c>
      <c r="SDF18" s="28" t="str">
        <f>IFERROR(IF(SDO3="No",IF(VLOOKUP(DATE($K$1,$K$2,SDF$4),Table1[],(MATCH(Calendar!$A18,DB!$1:$1,0)),FALSE)&gt;=5,"Good","Bad"),VLOOKUP(DATE($K$1,$K$2,SDF$4),Table1[],(MATCH(Calendar!$A18,DB!$1:$1,0)),FALSE)),"")</f>
        <v/>
      </c>
      <c r="SDG18" s="28" t="str">
        <f>IFERROR(IF(SDP3="No",IF(VLOOKUP(DATE($K$1,$K$2,SDG$4),Table1[],(MATCH(Calendar!$A18,DB!$1:$1,0)),FALSE)&gt;=5,"Good","Bad"),VLOOKUP(DATE($K$1,$K$2,SDG$4),Table1[],(MATCH(Calendar!$A18,DB!$1:$1,0)),FALSE)),"")</f>
        <v/>
      </c>
      <c r="SDH18" s="28" t="str">
        <f>IFERROR(IF(SDQ3="No",IF(VLOOKUP(DATE($K$1,$K$2,SDH$4),Table1[],(MATCH(Calendar!$A18,DB!$1:$1,0)),FALSE)&gt;=5,"Good","Bad"),VLOOKUP(DATE($K$1,$K$2,SDH$4),Table1[],(MATCH(Calendar!$A18,DB!$1:$1,0)),FALSE)),"")</f>
        <v/>
      </c>
      <c r="SDI18" s="28" t="str">
        <f>IFERROR(IF(SDR3="No",IF(VLOOKUP(DATE($K$1,$K$2,SDI$4),Table1[],(MATCH(Calendar!$A18,DB!$1:$1,0)),FALSE)&gt;=5,"Good","Bad"),VLOOKUP(DATE($K$1,$K$2,SDI$4),Table1[],(MATCH(Calendar!$A18,DB!$1:$1,0)),FALSE)),"")</f>
        <v/>
      </c>
      <c r="SDJ18" s="28" t="str">
        <f>IFERROR(IF(SDS3="No",IF(VLOOKUP(DATE($K$1,$K$2,SDJ$4),Table1[],(MATCH(Calendar!$A18,DB!$1:$1,0)),FALSE)&gt;=5,"Good","Bad"),VLOOKUP(DATE($K$1,$K$2,SDJ$4),Table1[],(MATCH(Calendar!$A18,DB!$1:$1,0)),FALSE)),"")</f>
        <v/>
      </c>
      <c r="SDK18" s="28" t="str">
        <f>IFERROR(IF(SDT3="No",IF(VLOOKUP(DATE($K$1,$K$2,SDK$4),Table1[],(MATCH(Calendar!$A18,DB!$1:$1,0)),FALSE)&gt;=5,"Good","Bad"),VLOOKUP(DATE($K$1,$K$2,SDK$4),Table1[],(MATCH(Calendar!$A18,DB!$1:$1,0)),FALSE)),"")</f>
        <v/>
      </c>
      <c r="SDL18" s="28" t="str">
        <f>IFERROR(IF(SDU3="No",IF(VLOOKUP(DATE($K$1,$K$2,SDL$4),Table1[],(MATCH(Calendar!$A18,DB!$1:$1,0)),FALSE)&gt;=5,"Good","Bad"),VLOOKUP(DATE($K$1,$K$2,SDL$4),Table1[],(MATCH(Calendar!$A18,DB!$1:$1,0)),FALSE)),"")</f>
        <v/>
      </c>
      <c r="SDM18" s="28" t="str">
        <f>IFERROR(IF(SDV3="No",IF(VLOOKUP(DATE($K$1,$K$2,SDM$4),Table1[],(MATCH(Calendar!$A18,DB!$1:$1,0)),FALSE)&gt;=5,"Good","Bad"),VLOOKUP(DATE($K$1,$K$2,SDM$4),Table1[],(MATCH(Calendar!$A18,DB!$1:$1,0)),FALSE)),"")</f>
        <v/>
      </c>
      <c r="SDN18" s="28" t="str">
        <f>IFERROR(IF(SDW3="No",IF(VLOOKUP(DATE($K$1,$K$2,SDN$4),Table1[],(MATCH(Calendar!$A18,DB!$1:$1,0)),FALSE)&gt;=5,"Good","Bad"),VLOOKUP(DATE($K$1,$K$2,SDN$4),Table1[],(MATCH(Calendar!$A18,DB!$1:$1,0)),FALSE)),"")</f>
        <v/>
      </c>
      <c r="SDO18" s="28" t="str">
        <f>IFERROR(IF(SDX3="No",IF(VLOOKUP(DATE($K$1,$K$2,SDO$4),Table1[],(MATCH(Calendar!$A18,DB!$1:$1,0)),FALSE)&gt;=5,"Good","Bad"),VLOOKUP(DATE($K$1,$K$2,SDO$4),Table1[],(MATCH(Calendar!$A18,DB!$1:$1,0)),FALSE)),"")</f>
        <v/>
      </c>
      <c r="SDP18" s="28" t="str">
        <f>IFERROR(IF(SDY3="No",IF(VLOOKUP(DATE($K$1,$K$2,SDP$4),Table1[],(MATCH(Calendar!$A18,DB!$1:$1,0)),FALSE)&gt;=5,"Good","Bad"),VLOOKUP(DATE($K$1,$K$2,SDP$4),Table1[],(MATCH(Calendar!$A18,DB!$1:$1,0)),FALSE)),"")</f>
        <v/>
      </c>
      <c r="SDQ18" s="28" t="str">
        <f>IFERROR(IF(SDZ3="No",IF(VLOOKUP(DATE($K$1,$K$2,SDQ$4),Table1[],(MATCH(Calendar!$A18,DB!$1:$1,0)),FALSE)&gt;=5,"Good","Bad"),VLOOKUP(DATE($K$1,$K$2,SDQ$4),Table1[],(MATCH(Calendar!$A18,DB!$1:$1,0)),FALSE)),"")</f>
        <v/>
      </c>
      <c r="SDR18" s="28" t="str">
        <f>IFERROR(IF(SEA3="No",IF(VLOOKUP(DATE($K$1,$K$2,SDR$4),Table1[],(MATCH(Calendar!$A18,DB!$1:$1,0)),FALSE)&gt;=5,"Good","Bad"),VLOOKUP(DATE($K$1,$K$2,SDR$4),Table1[],(MATCH(Calendar!$A18,DB!$1:$1,0)),FALSE)),"")</f>
        <v/>
      </c>
      <c r="SDS18" s="28" t="str">
        <f>IFERROR(IF(SEB3="No",IF(VLOOKUP(DATE($K$1,$K$2,SDS$4),Table1[],(MATCH(Calendar!$A18,DB!$1:$1,0)),FALSE)&gt;=5,"Good","Bad"),VLOOKUP(DATE($K$1,$K$2,SDS$4),Table1[],(MATCH(Calendar!$A18,DB!$1:$1,0)),FALSE)),"")</f>
        <v/>
      </c>
      <c r="SDT18" s="28" t="str">
        <f>IFERROR(IF(SEC3="No",IF(VLOOKUP(DATE($K$1,$K$2,SDT$4),Table1[],(MATCH(Calendar!$A18,DB!$1:$1,0)),FALSE)&gt;=5,"Good","Bad"),VLOOKUP(DATE($K$1,$K$2,SDT$4),Table1[],(MATCH(Calendar!$A18,DB!$1:$1,0)),FALSE)),"")</f>
        <v/>
      </c>
      <c r="SDU18" s="28" t="str">
        <f>IFERROR(IF(SED3="No",IF(VLOOKUP(DATE($K$1,$K$2,SDU$4),Table1[],(MATCH(Calendar!$A18,DB!$1:$1,0)),FALSE)&gt;=5,"Good","Bad"),VLOOKUP(DATE($K$1,$K$2,SDU$4),Table1[],(MATCH(Calendar!$A18,DB!$1:$1,0)),FALSE)),"")</f>
        <v/>
      </c>
      <c r="SDV18" s="28" t="str">
        <f>IFERROR(IF(SEE3="No",IF(VLOOKUP(DATE($K$1,$K$2,SDV$4),Table1[],(MATCH(Calendar!$A18,DB!$1:$1,0)),FALSE)&gt;=5,"Good","Bad"),VLOOKUP(DATE($K$1,$K$2,SDV$4),Table1[],(MATCH(Calendar!$A18,DB!$1:$1,0)),FALSE)),"")</f>
        <v/>
      </c>
      <c r="SDW18" s="28" t="str">
        <f>IFERROR(IF(SEF3="No",IF(VLOOKUP(DATE($K$1,$K$2,SDW$4),Table1[],(MATCH(Calendar!$A18,DB!$1:$1,0)),FALSE)&gt;=5,"Good","Bad"),VLOOKUP(DATE($K$1,$K$2,SDW$4),Table1[],(MATCH(Calendar!$A18,DB!$1:$1,0)),FALSE)),"")</f>
        <v/>
      </c>
      <c r="SDX18" s="28" t="str">
        <f>IFERROR(IF(SEG3="No",IF(VLOOKUP(DATE($K$1,$K$2,SDX$4),Table1[],(MATCH(Calendar!$A18,DB!$1:$1,0)),FALSE)&gt;=5,"Good","Bad"),VLOOKUP(DATE($K$1,$K$2,SDX$4),Table1[],(MATCH(Calendar!$A18,DB!$1:$1,0)),FALSE)),"")</f>
        <v/>
      </c>
      <c r="SDY18" s="28" t="str">
        <f>IFERROR(IF(SEH3="No",IF(VLOOKUP(DATE($K$1,$K$2,SDY$4),Table1[],(MATCH(Calendar!$A18,DB!$1:$1,0)),FALSE)&gt;=5,"Good","Bad"),VLOOKUP(DATE($K$1,$K$2,SDY$4),Table1[],(MATCH(Calendar!$A18,DB!$1:$1,0)),FALSE)),"")</f>
        <v/>
      </c>
      <c r="SDZ18" s="28" t="str">
        <f>IFERROR(IF(SEI3="No",IF(VLOOKUP(DATE($K$1,$K$2,SDZ$4),Table1[],(MATCH(Calendar!$A18,DB!$1:$1,0)),FALSE)&gt;=5,"Good","Bad"),VLOOKUP(DATE($K$1,$K$2,SDZ$4),Table1[],(MATCH(Calendar!$A18,DB!$1:$1,0)),FALSE)),"")</f>
        <v/>
      </c>
      <c r="SEA18" s="28" t="str">
        <f>IFERROR(IF(SEJ3="No",IF(VLOOKUP(DATE($K$1,$K$2,SEA$4),Table1[],(MATCH(Calendar!$A18,DB!$1:$1,0)),FALSE)&gt;=5,"Good","Bad"),VLOOKUP(DATE($K$1,$K$2,SEA$4),Table1[],(MATCH(Calendar!$A18,DB!$1:$1,0)),FALSE)),"")</f>
        <v/>
      </c>
      <c r="SEB18" s="28" t="str">
        <f>IFERROR(IF(SEK3="No",IF(VLOOKUP(DATE($K$1,$K$2,SEB$4),Table1[],(MATCH(Calendar!$A18,DB!$1:$1,0)),FALSE)&gt;=5,"Good","Bad"),VLOOKUP(DATE($K$1,$K$2,SEB$4),Table1[],(MATCH(Calendar!$A18,DB!$1:$1,0)),FALSE)),"")</f>
        <v/>
      </c>
      <c r="SEC18" s="28" t="str">
        <f>IFERROR(IF(SEL3="No",IF(VLOOKUP(DATE($K$1,$K$2,SEC$4),Table1[],(MATCH(Calendar!$A18,DB!$1:$1,0)),FALSE)&gt;=5,"Good","Bad"),VLOOKUP(DATE($K$1,$K$2,SEC$4),Table1[],(MATCH(Calendar!$A18,DB!$1:$1,0)),FALSE)),"")</f>
        <v/>
      </c>
      <c r="SED18" s="28" t="str">
        <f>IFERROR(IF(SEM3="No",IF(VLOOKUP(DATE($K$1,$K$2,SED$4),Table1[],(MATCH(Calendar!$A18,DB!$1:$1,0)),FALSE)&gt;=5,"Good","Bad"),VLOOKUP(DATE($K$1,$K$2,SED$4),Table1[],(MATCH(Calendar!$A18,DB!$1:$1,0)),FALSE)),"")</f>
        <v/>
      </c>
      <c r="SEE18" s="28" t="str">
        <f>IFERROR(IF(SEN3="No",IF(VLOOKUP(DATE($K$1,$K$2,SEE$4),Table1[],(MATCH(Calendar!$A18,DB!$1:$1,0)),FALSE)&gt;=5,"Good","Bad"),VLOOKUP(DATE($K$1,$K$2,SEE$4),Table1[],(MATCH(Calendar!$A18,DB!$1:$1,0)),FALSE)),"")</f>
        <v/>
      </c>
      <c r="SEF18" s="28" t="str">
        <f>IFERROR(IF(SEO3="No",IF(VLOOKUP(DATE($K$1,$K$2,SEF$4),Table1[],(MATCH(Calendar!$A18,DB!$1:$1,0)),FALSE)&gt;=5,"Good","Bad"),VLOOKUP(DATE($K$1,$K$2,SEF$4),Table1[],(MATCH(Calendar!$A18,DB!$1:$1,0)),FALSE)),"")</f>
        <v/>
      </c>
      <c r="SEG18" s="28" t="str">
        <f>IFERROR(IF(SEP3="No",IF(VLOOKUP(DATE($K$1,$K$2,SEG$4),Table1[],(MATCH(Calendar!$A18,DB!$1:$1,0)),FALSE)&gt;=5,"Good","Bad"),VLOOKUP(DATE($K$1,$K$2,SEG$4),Table1[],(MATCH(Calendar!$A18,DB!$1:$1,0)),FALSE)),"")</f>
        <v/>
      </c>
      <c r="SEH18" s="28" t="str">
        <f>IFERROR(IF(SEQ3="No",IF(VLOOKUP(DATE($K$1,$K$2,SEH$4),Table1[],(MATCH(Calendar!$A18,DB!$1:$1,0)),FALSE)&gt;=5,"Good","Bad"),VLOOKUP(DATE($K$1,$K$2,SEH$4),Table1[],(MATCH(Calendar!$A18,DB!$1:$1,0)),FALSE)),"")</f>
        <v/>
      </c>
      <c r="SEI18" s="28" t="str">
        <f>IFERROR(IF(SER3="No",IF(VLOOKUP(DATE($K$1,$K$2,SEI$4),Table1[],(MATCH(Calendar!$A18,DB!$1:$1,0)),FALSE)&gt;=5,"Good","Bad"),VLOOKUP(DATE($K$1,$K$2,SEI$4),Table1[],(MATCH(Calendar!$A18,DB!$1:$1,0)),FALSE)),"")</f>
        <v/>
      </c>
      <c r="SEJ18" s="28" t="str">
        <f>IFERROR(IF(SES3="No",IF(VLOOKUP(DATE($K$1,$K$2,SEJ$4),Table1[],(MATCH(Calendar!$A18,DB!$1:$1,0)),FALSE)&gt;=5,"Good","Bad"),VLOOKUP(DATE($K$1,$K$2,SEJ$4),Table1[],(MATCH(Calendar!$A18,DB!$1:$1,0)),FALSE)),"")</f>
        <v/>
      </c>
      <c r="SEK18" s="28" t="str">
        <f>IFERROR(IF(SET3="No",IF(VLOOKUP(DATE($K$1,$K$2,SEK$4),Table1[],(MATCH(Calendar!$A18,DB!$1:$1,0)),FALSE)&gt;=5,"Good","Bad"),VLOOKUP(DATE($K$1,$K$2,SEK$4),Table1[],(MATCH(Calendar!$A18,DB!$1:$1,0)),FALSE)),"")</f>
        <v/>
      </c>
      <c r="SEL18" s="28" t="str">
        <f>IFERROR(IF(SEU3="No",IF(VLOOKUP(DATE($K$1,$K$2,SEL$4),Table1[],(MATCH(Calendar!$A18,DB!$1:$1,0)),FALSE)&gt;=5,"Good","Bad"),VLOOKUP(DATE($K$1,$K$2,SEL$4),Table1[],(MATCH(Calendar!$A18,DB!$1:$1,0)),FALSE)),"")</f>
        <v/>
      </c>
      <c r="SEM18" s="28" t="str">
        <f>IFERROR(IF(SEV3="No",IF(VLOOKUP(DATE($K$1,$K$2,SEM$4),Table1[],(MATCH(Calendar!$A18,DB!$1:$1,0)),FALSE)&gt;=5,"Good","Bad"),VLOOKUP(DATE($K$1,$K$2,SEM$4),Table1[],(MATCH(Calendar!$A18,DB!$1:$1,0)),FALSE)),"")</f>
        <v/>
      </c>
      <c r="SEN18" s="28" t="str">
        <f>IFERROR(IF(SEW3="No",IF(VLOOKUP(DATE($K$1,$K$2,SEN$4),Table1[],(MATCH(Calendar!$A18,DB!$1:$1,0)),FALSE)&gt;=5,"Good","Bad"),VLOOKUP(DATE($K$1,$K$2,SEN$4),Table1[],(MATCH(Calendar!$A18,DB!$1:$1,0)),FALSE)),"")</f>
        <v/>
      </c>
      <c r="SEO18" s="28" t="str">
        <f>IFERROR(IF(SEX3="No",IF(VLOOKUP(DATE($K$1,$K$2,SEO$4),Table1[],(MATCH(Calendar!$A18,DB!$1:$1,0)),FALSE)&gt;=5,"Good","Bad"),VLOOKUP(DATE($K$1,$K$2,SEO$4),Table1[],(MATCH(Calendar!$A18,DB!$1:$1,0)),FALSE)),"")</f>
        <v/>
      </c>
      <c r="SEP18" s="28" t="str">
        <f>IFERROR(IF(SEY3="No",IF(VLOOKUP(DATE($K$1,$K$2,SEP$4),Table1[],(MATCH(Calendar!$A18,DB!$1:$1,0)),FALSE)&gt;=5,"Good","Bad"),VLOOKUP(DATE($K$1,$K$2,SEP$4),Table1[],(MATCH(Calendar!$A18,DB!$1:$1,0)),FALSE)),"")</f>
        <v/>
      </c>
      <c r="SEQ18" s="28" t="str">
        <f>IFERROR(IF(SEZ3="No",IF(VLOOKUP(DATE($K$1,$K$2,SEQ$4),Table1[],(MATCH(Calendar!$A18,DB!$1:$1,0)),FALSE)&gt;=5,"Good","Bad"),VLOOKUP(DATE($K$1,$K$2,SEQ$4),Table1[],(MATCH(Calendar!$A18,DB!$1:$1,0)),FALSE)),"")</f>
        <v/>
      </c>
      <c r="SER18" s="28" t="str">
        <f>IFERROR(IF(SFA3="No",IF(VLOOKUP(DATE($K$1,$K$2,SER$4),Table1[],(MATCH(Calendar!$A18,DB!$1:$1,0)),FALSE)&gt;=5,"Good","Bad"),VLOOKUP(DATE($K$1,$K$2,SER$4),Table1[],(MATCH(Calendar!$A18,DB!$1:$1,0)),FALSE)),"")</f>
        <v/>
      </c>
      <c r="SES18" s="28" t="str">
        <f>IFERROR(IF(SFB3="No",IF(VLOOKUP(DATE($K$1,$K$2,SES$4),Table1[],(MATCH(Calendar!$A18,DB!$1:$1,0)),FALSE)&gt;=5,"Good","Bad"),VLOOKUP(DATE($K$1,$K$2,SES$4),Table1[],(MATCH(Calendar!$A18,DB!$1:$1,0)),FALSE)),"")</f>
        <v/>
      </c>
      <c r="SET18" s="28" t="str">
        <f>IFERROR(IF(SFC3="No",IF(VLOOKUP(DATE($K$1,$K$2,SET$4),Table1[],(MATCH(Calendar!$A18,DB!$1:$1,0)),FALSE)&gt;=5,"Good","Bad"),VLOOKUP(DATE($K$1,$K$2,SET$4),Table1[],(MATCH(Calendar!$A18,DB!$1:$1,0)),FALSE)),"")</f>
        <v/>
      </c>
      <c r="SEU18" s="28" t="str">
        <f>IFERROR(IF(SFD3="No",IF(VLOOKUP(DATE($K$1,$K$2,SEU$4),Table1[],(MATCH(Calendar!$A18,DB!$1:$1,0)),FALSE)&gt;=5,"Good","Bad"),VLOOKUP(DATE($K$1,$K$2,SEU$4),Table1[],(MATCH(Calendar!$A18,DB!$1:$1,0)),FALSE)),"")</f>
        <v/>
      </c>
      <c r="SEV18" s="28" t="str">
        <f>IFERROR(IF(SFE3="No",IF(VLOOKUP(DATE($K$1,$K$2,SEV$4),Table1[],(MATCH(Calendar!$A18,DB!$1:$1,0)),FALSE)&gt;=5,"Good","Bad"),VLOOKUP(DATE($K$1,$K$2,SEV$4),Table1[],(MATCH(Calendar!$A18,DB!$1:$1,0)),FALSE)),"")</f>
        <v/>
      </c>
      <c r="SEW18" s="28" t="str">
        <f>IFERROR(IF(SFF3="No",IF(VLOOKUP(DATE($K$1,$K$2,SEW$4),Table1[],(MATCH(Calendar!$A18,DB!$1:$1,0)),FALSE)&gt;=5,"Good","Bad"),VLOOKUP(DATE($K$1,$K$2,SEW$4),Table1[],(MATCH(Calendar!$A18,DB!$1:$1,0)),FALSE)),"")</f>
        <v/>
      </c>
      <c r="SEX18" s="28" t="str">
        <f>IFERROR(IF(SFG3="No",IF(VLOOKUP(DATE($K$1,$K$2,SEX$4),Table1[],(MATCH(Calendar!$A18,DB!$1:$1,0)),FALSE)&gt;=5,"Good","Bad"),VLOOKUP(DATE($K$1,$K$2,SEX$4),Table1[],(MATCH(Calendar!$A18,DB!$1:$1,0)),FALSE)),"")</f>
        <v/>
      </c>
      <c r="SEY18" s="28" t="str">
        <f>IFERROR(IF(SFH3="No",IF(VLOOKUP(DATE($K$1,$K$2,SEY$4),Table1[],(MATCH(Calendar!$A18,DB!$1:$1,0)),FALSE)&gt;=5,"Good","Bad"),VLOOKUP(DATE($K$1,$K$2,SEY$4),Table1[],(MATCH(Calendar!$A18,DB!$1:$1,0)),FALSE)),"")</f>
        <v/>
      </c>
      <c r="SEZ18" s="28" t="str">
        <f>IFERROR(IF(SFI3="No",IF(VLOOKUP(DATE($K$1,$K$2,SEZ$4),Table1[],(MATCH(Calendar!$A18,DB!$1:$1,0)),FALSE)&gt;=5,"Good","Bad"),VLOOKUP(DATE($K$1,$K$2,SEZ$4),Table1[],(MATCH(Calendar!$A18,DB!$1:$1,0)),FALSE)),"")</f>
        <v/>
      </c>
      <c r="SFA18" s="28" t="str">
        <f>IFERROR(IF(SFJ3="No",IF(VLOOKUP(DATE($K$1,$K$2,SFA$4),Table1[],(MATCH(Calendar!$A18,DB!$1:$1,0)),FALSE)&gt;=5,"Good","Bad"),VLOOKUP(DATE($K$1,$K$2,SFA$4),Table1[],(MATCH(Calendar!$A18,DB!$1:$1,0)),FALSE)),"")</f>
        <v/>
      </c>
      <c r="SFB18" s="28" t="str">
        <f>IFERROR(IF(SFK3="No",IF(VLOOKUP(DATE($K$1,$K$2,SFB$4),Table1[],(MATCH(Calendar!$A18,DB!$1:$1,0)),FALSE)&gt;=5,"Good","Bad"),VLOOKUP(DATE($K$1,$K$2,SFB$4),Table1[],(MATCH(Calendar!$A18,DB!$1:$1,0)),FALSE)),"")</f>
        <v/>
      </c>
      <c r="SFC18" s="28" t="str">
        <f>IFERROR(IF(SFL3="No",IF(VLOOKUP(DATE($K$1,$K$2,SFC$4),Table1[],(MATCH(Calendar!$A18,DB!$1:$1,0)),FALSE)&gt;=5,"Good","Bad"),VLOOKUP(DATE($K$1,$K$2,SFC$4),Table1[],(MATCH(Calendar!$A18,DB!$1:$1,0)),FALSE)),"")</f>
        <v/>
      </c>
      <c r="SFD18" s="28" t="str">
        <f>IFERROR(IF(SFM3="No",IF(VLOOKUP(DATE($K$1,$K$2,SFD$4),Table1[],(MATCH(Calendar!$A18,DB!$1:$1,0)),FALSE)&gt;=5,"Good","Bad"),VLOOKUP(DATE($K$1,$K$2,SFD$4),Table1[],(MATCH(Calendar!$A18,DB!$1:$1,0)),FALSE)),"")</f>
        <v/>
      </c>
      <c r="SFE18" s="28" t="str">
        <f>IFERROR(IF(SFN3="No",IF(VLOOKUP(DATE($K$1,$K$2,SFE$4),Table1[],(MATCH(Calendar!$A18,DB!$1:$1,0)),FALSE)&gt;=5,"Good","Bad"),VLOOKUP(DATE($K$1,$K$2,SFE$4),Table1[],(MATCH(Calendar!$A18,DB!$1:$1,0)),FALSE)),"")</f>
        <v/>
      </c>
      <c r="SFF18" s="28" t="str">
        <f>IFERROR(IF(SFO3="No",IF(VLOOKUP(DATE($K$1,$K$2,SFF$4),Table1[],(MATCH(Calendar!$A18,DB!$1:$1,0)),FALSE)&gt;=5,"Good","Bad"),VLOOKUP(DATE($K$1,$K$2,SFF$4),Table1[],(MATCH(Calendar!$A18,DB!$1:$1,0)),FALSE)),"")</f>
        <v/>
      </c>
      <c r="SFG18" s="28" t="str">
        <f>IFERROR(IF(SFP3="No",IF(VLOOKUP(DATE($K$1,$K$2,SFG$4),Table1[],(MATCH(Calendar!$A18,DB!$1:$1,0)),FALSE)&gt;=5,"Good","Bad"),VLOOKUP(DATE($K$1,$K$2,SFG$4),Table1[],(MATCH(Calendar!$A18,DB!$1:$1,0)),FALSE)),"")</f>
        <v/>
      </c>
      <c r="SFH18" s="28" t="str">
        <f>IFERROR(IF(SFQ3="No",IF(VLOOKUP(DATE($K$1,$K$2,SFH$4),Table1[],(MATCH(Calendar!$A18,DB!$1:$1,0)),FALSE)&gt;=5,"Good","Bad"),VLOOKUP(DATE($K$1,$K$2,SFH$4),Table1[],(MATCH(Calendar!$A18,DB!$1:$1,0)),FALSE)),"")</f>
        <v/>
      </c>
      <c r="SFI18" s="28" t="str">
        <f>IFERROR(IF(SFR3="No",IF(VLOOKUP(DATE($K$1,$K$2,SFI$4),Table1[],(MATCH(Calendar!$A18,DB!$1:$1,0)),FALSE)&gt;=5,"Good","Bad"),VLOOKUP(DATE($K$1,$K$2,SFI$4),Table1[],(MATCH(Calendar!$A18,DB!$1:$1,0)),FALSE)),"")</f>
        <v/>
      </c>
      <c r="SFJ18" s="28" t="str">
        <f>IFERROR(IF(SFS3="No",IF(VLOOKUP(DATE($K$1,$K$2,SFJ$4),Table1[],(MATCH(Calendar!$A18,DB!$1:$1,0)),FALSE)&gt;=5,"Good","Bad"),VLOOKUP(DATE($K$1,$K$2,SFJ$4),Table1[],(MATCH(Calendar!$A18,DB!$1:$1,0)),FALSE)),"")</f>
        <v/>
      </c>
      <c r="SFK18" s="28" t="str">
        <f>IFERROR(IF(SFT3="No",IF(VLOOKUP(DATE($K$1,$K$2,SFK$4),Table1[],(MATCH(Calendar!$A18,DB!$1:$1,0)),FALSE)&gt;=5,"Good","Bad"),VLOOKUP(DATE($K$1,$K$2,SFK$4),Table1[],(MATCH(Calendar!$A18,DB!$1:$1,0)),FALSE)),"")</f>
        <v/>
      </c>
      <c r="SFL18" s="28" t="str">
        <f>IFERROR(IF(SFU3="No",IF(VLOOKUP(DATE($K$1,$K$2,SFL$4),Table1[],(MATCH(Calendar!$A18,DB!$1:$1,0)),FALSE)&gt;=5,"Good","Bad"),VLOOKUP(DATE($K$1,$K$2,SFL$4),Table1[],(MATCH(Calendar!$A18,DB!$1:$1,0)),FALSE)),"")</f>
        <v/>
      </c>
      <c r="SFM18" s="28" t="str">
        <f>IFERROR(IF(SFV3="No",IF(VLOOKUP(DATE($K$1,$K$2,SFM$4),Table1[],(MATCH(Calendar!$A18,DB!$1:$1,0)),FALSE)&gt;=5,"Good","Bad"),VLOOKUP(DATE($K$1,$K$2,SFM$4),Table1[],(MATCH(Calendar!$A18,DB!$1:$1,0)),FALSE)),"")</f>
        <v/>
      </c>
      <c r="SFN18" s="28" t="str">
        <f>IFERROR(IF(SFW3="No",IF(VLOOKUP(DATE($K$1,$K$2,SFN$4),Table1[],(MATCH(Calendar!$A18,DB!$1:$1,0)),FALSE)&gt;=5,"Good","Bad"),VLOOKUP(DATE($K$1,$K$2,SFN$4),Table1[],(MATCH(Calendar!$A18,DB!$1:$1,0)),FALSE)),"")</f>
        <v/>
      </c>
      <c r="SFO18" s="28" t="str">
        <f>IFERROR(IF(SFX3="No",IF(VLOOKUP(DATE($K$1,$K$2,SFO$4),Table1[],(MATCH(Calendar!$A18,DB!$1:$1,0)),FALSE)&gt;=5,"Good","Bad"),VLOOKUP(DATE($K$1,$K$2,SFO$4),Table1[],(MATCH(Calendar!$A18,DB!$1:$1,0)),FALSE)),"")</f>
        <v/>
      </c>
      <c r="SFP18" s="28" t="str">
        <f>IFERROR(IF(SFY3="No",IF(VLOOKUP(DATE($K$1,$K$2,SFP$4),Table1[],(MATCH(Calendar!$A18,DB!$1:$1,0)),FALSE)&gt;=5,"Good","Bad"),VLOOKUP(DATE($K$1,$K$2,SFP$4),Table1[],(MATCH(Calendar!$A18,DB!$1:$1,0)),FALSE)),"")</f>
        <v/>
      </c>
      <c r="SFQ18" s="28" t="str">
        <f>IFERROR(IF(SFZ3="No",IF(VLOOKUP(DATE($K$1,$K$2,SFQ$4),Table1[],(MATCH(Calendar!$A18,DB!$1:$1,0)),FALSE)&gt;=5,"Good","Bad"),VLOOKUP(DATE($K$1,$K$2,SFQ$4),Table1[],(MATCH(Calendar!$A18,DB!$1:$1,0)),FALSE)),"")</f>
        <v/>
      </c>
      <c r="SFR18" s="28" t="str">
        <f>IFERROR(IF(SGA3="No",IF(VLOOKUP(DATE($K$1,$K$2,SFR$4),Table1[],(MATCH(Calendar!$A18,DB!$1:$1,0)),FALSE)&gt;=5,"Good","Bad"),VLOOKUP(DATE($K$1,$K$2,SFR$4),Table1[],(MATCH(Calendar!$A18,DB!$1:$1,0)),FALSE)),"")</f>
        <v/>
      </c>
      <c r="SFS18" s="28" t="str">
        <f>IFERROR(IF(SGB3="No",IF(VLOOKUP(DATE($K$1,$K$2,SFS$4),Table1[],(MATCH(Calendar!$A18,DB!$1:$1,0)),FALSE)&gt;=5,"Good","Bad"),VLOOKUP(DATE($K$1,$K$2,SFS$4),Table1[],(MATCH(Calendar!$A18,DB!$1:$1,0)),FALSE)),"")</f>
        <v/>
      </c>
      <c r="SFT18" s="28" t="str">
        <f>IFERROR(IF(SGC3="No",IF(VLOOKUP(DATE($K$1,$K$2,SFT$4),Table1[],(MATCH(Calendar!$A18,DB!$1:$1,0)),FALSE)&gt;=5,"Good","Bad"),VLOOKUP(DATE($K$1,$K$2,SFT$4),Table1[],(MATCH(Calendar!$A18,DB!$1:$1,0)),FALSE)),"")</f>
        <v/>
      </c>
      <c r="SFU18" s="28" t="str">
        <f>IFERROR(IF(SGD3="No",IF(VLOOKUP(DATE($K$1,$K$2,SFU$4),Table1[],(MATCH(Calendar!$A18,DB!$1:$1,0)),FALSE)&gt;=5,"Good","Bad"),VLOOKUP(DATE($K$1,$K$2,SFU$4),Table1[],(MATCH(Calendar!$A18,DB!$1:$1,0)),FALSE)),"")</f>
        <v/>
      </c>
      <c r="SFV18" s="28" t="str">
        <f>IFERROR(IF(SGE3="No",IF(VLOOKUP(DATE($K$1,$K$2,SFV$4),Table1[],(MATCH(Calendar!$A18,DB!$1:$1,0)),FALSE)&gt;=5,"Good","Bad"),VLOOKUP(DATE($K$1,$K$2,SFV$4),Table1[],(MATCH(Calendar!$A18,DB!$1:$1,0)),FALSE)),"")</f>
        <v/>
      </c>
      <c r="SFW18" s="28" t="str">
        <f>IFERROR(IF(SGF3="No",IF(VLOOKUP(DATE($K$1,$K$2,SFW$4),Table1[],(MATCH(Calendar!$A18,DB!$1:$1,0)),FALSE)&gt;=5,"Good","Bad"),VLOOKUP(DATE($K$1,$K$2,SFW$4),Table1[],(MATCH(Calendar!$A18,DB!$1:$1,0)),FALSE)),"")</f>
        <v/>
      </c>
      <c r="SFX18" s="28" t="str">
        <f>IFERROR(IF(SGG3="No",IF(VLOOKUP(DATE($K$1,$K$2,SFX$4),Table1[],(MATCH(Calendar!$A18,DB!$1:$1,0)),FALSE)&gt;=5,"Good","Bad"),VLOOKUP(DATE($K$1,$K$2,SFX$4),Table1[],(MATCH(Calendar!$A18,DB!$1:$1,0)),FALSE)),"")</f>
        <v/>
      </c>
      <c r="SFY18" s="28" t="str">
        <f>IFERROR(IF(SGH3="No",IF(VLOOKUP(DATE($K$1,$K$2,SFY$4),Table1[],(MATCH(Calendar!$A18,DB!$1:$1,0)),FALSE)&gt;=5,"Good","Bad"),VLOOKUP(DATE($K$1,$K$2,SFY$4),Table1[],(MATCH(Calendar!$A18,DB!$1:$1,0)),FALSE)),"")</f>
        <v/>
      </c>
      <c r="SFZ18" s="28" t="str">
        <f>IFERROR(IF(SGI3="No",IF(VLOOKUP(DATE($K$1,$K$2,SFZ$4),Table1[],(MATCH(Calendar!$A18,DB!$1:$1,0)),FALSE)&gt;=5,"Good","Bad"),VLOOKUP(DATE($K$1,$K$2,SFZ$4),Table1[],(MATCH(Calendar!$A18,DB!$1:$1,0)),FALSE)),"")</f>
        <v/>
      </c>
      <c r="SGA18" s="28" t="str">
        <f>IFERROR(IF(SGJ3="No",IF(VLOOKUP(DATE($K$1,$K$2,SGA$4),Table1[],(MATCH(Calendar!$A18,DB!$1:$1,0)),FALSE)&gt;=5,"Good","Bad"),VLOOKUP(DATE($K$1,$K$2,SGA$4),Table1[],(MATCH(Calendar!$A18,DB!$1:$1,0)),FALSE)),"")</f>
        <v/>
      </c>
      <c r="SGB18" s="28" t="str">
        <f>IFERROR(IF(SGK3="No",IF(VLOOKUP(DATE($K$1,$K$2,SGB$4),Table1[],(MATCH(Calendar!$A18,DB!$1:$1,0)),FALSE)&gt;=5,"Good","Bad"),VLOOKUP(DATE($K$1,$K$2,SGB$4),Table1[],(MATCH(Calendar!$A18,DB!$1:$1,0)),FALSE)),"")</f>
        <v/>
      </c>
      <c r="SGC18" s="28" t="str">
        <f>IFERROR(IF(SGL3="No",IF(VLOOKUP(DATE($K$1,$K$2,SGC$4),Table1[],(MATCH(Calendar!$A18,DB!$1:$1,0)),FALSE)&gt;=5,"Good","Bad"),VLOOKUP(DATE($K$1,$K$2,SGC$4),Table1[],(MATCH(Calendar!$A18,DB!$1:$1,0)),FALSE)),"")</f>
        <v/>
      </c>
      <c r="SGD18" s="28" t="str">
        <f>IFERROR(IF(SGM3="No",IF(VLOOKUP(DATE($K$1,$K$2,SGD$4),Table1[],(MATCH(Calendar!$A18,DB!$1:$1,0)),FALSE)&gt;=5,"Good","Bad"),VLOOKUP(DATE($K$1,$K$2,SGD$4),Table1[],(MATCH(Calendar!$A18,DB!$1:$1,0)),FALSE)),"")</f>
        <v/>
      </c>
      <c r="SGE18" s="28" t="str">
        <f>IFERROR(IF(SGN3="No",IF(VLOOKUP(DATE($K$1,$K$2,SGE$4),Table1[],(MATCH(Calendar!$A18,DB!$1:$1,0)),FALSE)&gt;=5,"Good","Bad"),VLOOKUP(DATE($K$1,$K$2,SGE$4),Table1[],(MATCH(Calendar!$A18,DB!$1:$1,0)),FALSE)),"")</f>
        <v/>
      </c>
      <c r="SGF18" s="28" t="str">
        <f>IFERROR(IF(SGO3="No",IF(VLOOKUP(DATE($K$1,$K$2,SGF$4),Table1[],(MATCH(Calendar!$A18,DB!$1:$1,0)),FALSE)&gt;=5,"Good","Bad"),VLOOKUP(DATE($K$1,$K$2,SGF$4),Table1[],(MATCH(Calendar!$A18,DB!$1:$1,0)),FALSE)),"")</f>
        <v/>
      </c>
      <c r="SGG18" s="28" t="str">
        <f>IFERROR(IF(SGP3="No",IF(VLOOKUP(DATE($K$1,$K$2,SGG$4),Table1[],(MATCH(Calendar!$A18,DB!$1:$1,0)),FALSE)&gt;=5,"Good","Bad"),VLOOKUP(DATE($K$1,$K$2,SGG$4),Table1[],(MATCH(Calendar!$A18,DB!$1:$1,0)),FALSE)),"")</f>
        <v/>
      </c>
      <c r="SGH18" s="28" t="str">
        <f>IFERROR(IF(SGQ3="No",IF(VLOOKUP(DATE($K$1,$K$2,SGH$4),Table1[],(MATCH(Calendar!$A18,DB!$1:$1,0)),FALSE)&gt;=5,"Good","Bad"),VLOOKUP(DATE($K$1,$K$2,SGH$4),Table1[],(MATCH(Calendar!$A18,DB!$1:$1,0)),FALSE)),"")</f>
        <v/>
      </c>
      <c r="SGI18" s="28" t="str">
        <f>IFERROR(IF(SGR3="No",IF(VLOOKUP(DATE($K$1,$K$2,SGI$4),Table1[],(MATCH(Calendar!$A18,DB!$1:$1,0)),FALSE)&gt;=5,"Good","Bad"),VLOOKUP(DATE($K$1,$K$2,SGI$4),Table1[],(MATCH(Calendar!$A18,DB!$1:$1,0)),FALSE)),"")</f>
        <v/>
      </c>
      <c r="SGJ18" s="28" t="str">
        <f>IFERROR(IF(SGS3="No",IF(VLOOKUP(DATE($K$1,$K$2,SGJ$4),Table1[],(MATCH(Calendar!$A18,DB!$1:$1,0)),FALSE)&gt;=5,"Good","Bad"),VLOOKUP(DATE($K$1,$K$2,SGJ$4),Table1[],(MATCH(Calendar!$A18,DB!$1:$1,0)),FALSE)),"")</f>
        <v/>
      </c>
      <c r="SGK18" s="28" t="str">
        <f>IFERROR(IF(SGT3="No",IF(VLOOKUP(DATE($K$1,$K$2,SGK$4),Table1[],(MATCH(Calendar!$A18,DB!$1:$1,0)),FALSE)&gt;=5,"Good","Bad"),VLOOKUP(DATE($K$1,$K$2,SGK$4),Table1[],(MATCH(Calendar!$A18,DB!$1:$1,0)),FALSE)),"")</f>
        <v/>
      </c>
      <c r="SGL18" s="28" t="str">
        <f>IFERROR(IF(SGU3="No",IF(VLOOKUP(DATE($K$1,$K$2,SGL$4),Table1[],(MATCH(Calendar!$A18,DB!$1:$1,0)),FALSE)&gt;=5,"Good","Bad"),VLOOKUP(DATE($K$1,$K$2,SGL$4),Table1[],(MATCH(Calendar!$A18,DB!$1:$1,0)),FALSE)),"")</f>
        <v/>
      </c>
      <c r="SGM18" s="28" t="str">
        <f>IFERROR(IF(SGV3="No",IF(VLOOKUP(DATE($K$1,$K$2,SGM$4),Table1[],(MATCH(Calendar!$A18,DB!$1:$1,0)),FALSE)&gt;=5,"Good","Bad"),VLOOKUP(DATE($K$1,$K$2,SGM$4),Table1[],(MATCH(Calendar!$A18,DB!$1:$1,0)),FALSE)),"")</f>
        <v/>
      </c>
      <c r="SGN18" s="28" t="str">
        <f>IFERROR(IF(SGW3="No",IF(VLOOKUP(DATE($K$1,$K$2,SGN$4),Table1[],(MATCH(Calendar!$A18,DB!$1:$1,0)),FALSE)&gt;=5,"Good","Bad"),VLOOKUP(DATE($K$1,$K$2,SGN$4),Table1[],(MATCH(Calendar!$A18,DB!$1:$1,0)),FALSE)),"")</f>
        <v/>
      </c>
      <c r="SGO18" s="28" t="str">
        <f>IFERROR(IF(SGX3="No",IF(VLOOKUP(DATE($K$1,$K$2,SGO$4),Table1[],(MATCH(Calendar!$A18,DB!$1:$1,0)),FALSE)&gt;=5,"Good","Bad"),VLOOKUP(DATE($K$1,$K$2,SGO$4),Table1[],(MATCH(Calendar!$A18,DB!$1:$1,0)),FALSE)),"")</f>
        <v/>
      </c>
      <c r="SGP18" s="28" t="str">
        <f>IFERROR(IF(SGY3="No",IF(VLOOKUP(DATE($K$1,$K$2,SGP$4),Table1[],(MATCH(Calendar!$A18,DB!$1:$1,0)),FALSE)&gt;=5,"Good","Bad"),VLOOKUP(DATE($K$1,$K$2,SGP$4),Table1[],(MATCH(Calendar!$A18,DB!$1:$1,0)),FALSE)),"")</f>
        <v/>
      </c>
      <c r="SGQ18" s="28" t="str">
        <f>IFERROR(IF(SGZ3="No",IF(VLOOKUP(DATE($K$1,$K$2,SGQ$4),Table1[],(MATCH(Calendar!$A18,DB!$1:$1,0)),FALSE)&gt;=5,"Good","Bad"),VLOOKUP(DATE($K$1,$K$2,SGQ$4),Table1[],(MATCH(Calendar!$A18,DB!$1:$1,0)),FALSE)),"")</f>
        <v/>
      </c>
      <c r="SGR18" s="28" t="str">
        <f>IFERROR(IF(SHA3="No",IF(VLOOKUP(DATE($K$1,$K$2,SGR$4),Table1[],(MATCH(Calendar!$A18,DB!$1:$1,0)),FALSE)&gt;=5,"Good","Bad"),VLOOKUP(DATE($K$1,$K$2,SGR$4),Table1[],(MATCH(Calendar!$A18,DB!$1:$1,0)),FALSE)),"")</f>
        <v/>
      </c>
      <c r="SGS18" s="28" t="str">
        <f>IFERROR(IF(SHB3="No",IF(VLOOKUP(DATE($K$1,$K$2,SGS$4),Table1[],(MATCH(Calendar!$A18,DB!$1:$1,0)),FALSE)&gt;=5,"Good","Bad"),VLOOKUP(DATE($K$1,$K$2,SGS$4),Table1[],(MATCH(Calendar!$A18,DB!$1:$1,0)),FALSE)),"")</f>
        <v/>
      </c>
      <c r="SGT18" s="28" t="str">
        <f>IFERROR(IF(SHC3="No",IF(VLOOKUP(DATE($K$1,$K$2,SGT$4),Table1[],(MATCH(Calendar!$A18,DB!$1:$1,0)),FALSE)&gt;=5,"Good","Bad"),VLOOKUP(DATE($K$1,$K$2,SGT$4),Table1[],(MATCH(Calendar!$A18,DB!$1:$1,0)),FALSE)),"")</f>
        <v/>
      </c>
      <c r="SGU18" s="28" t="str">
        <f>IFERROR(IF(SHD3="No",IF(VLOOKUP(DATE($K$1,$K$2,SGU$4),Table1[],(MATCH(Calendar!$A18,DB!$1:$1,0)),FALSE)&gt;=5,"Good","Bad"),VLOOKUP(DATE($K$1,$K$2,SGU$4),Table1[],(MATCH(Calendar!$A18,DB!$1:$1,0)),FALSE)),"")</f>
        <v/>
      </c>
      <c r="SGV18" s="28" t="str">
        <f>IFERROR(IF(SHE3="No",IF(VLOOKUP(DATE($K$1,$K$2,SGV$4),Table1[],(MATCH(Calendar!$A18,DB!$1:$1,0)),FALSE)&gt;=5,"Good","Bad"),VLOOKUP(DATE($K$1,$K$2,SGV$4),Table1[],(MATCH(Calendar!$A18,DB!$1:$1,0)),FALSE)),"")</f>
        <v/>
      </c>
      <c r="SGW18" s="28" t="str">
        <f>IFERROR(IF(SHF3="No",IF(VLOOKUP(DATE($K$1,$K$2,SGW$4),Table1[],(MATCH(Calendar!$A18,DB!$1:$1,0)),FALSE)&gt;=5,"Good","Bad"),VLOOKUP(DATE($K$1,$K$2,SGW$4),Table1[],(MATCH(Calendar!$A18,DB!$1:$1,0)),FALSE)),"")</f>
        <v/>
      </c>
      <c r="SGX18" s="28" t="str">
        <f>IFERROR(IF(SHG3="No",IF(VLOOKUP(DATE($K$1,$K$2,SGX$4),Table1[],(MATCH(Calendar!$A18,DB!$1:$1,0)),FALSE)&gt;=5,"Good","Bad"),VLOOKUP(DATE($K$1,$K$2,SGX$4),Table1[],(MATCH(Calendar!$A18,DB!$1:$1,0)),FALSE)),"")</f>
        <v/>
      </c>
      <c r="SGY18" s="28" t="str">
        <f>IFERROR(IF(SHH3="No",IF(VLOOKUP(DATE($K$1,$K$2,SGY$4),Table1[],(MATCH(Calendar!$A18,DB!$1:$1,0)),FALSE)&gt;=5,"Good","Bad"),VLOOKUP(DATE($K$1,$K$2,SGY$4),Table1[],(MATCH(Calendar!$A18,DB!$1:$1,0)),FALSE)),"")</f>
        <v/>
      </c>
      <c r="SGZ18" s="28" t="str">
        <f>IFERROR(IF(SHI3="No",IF(VLOOKUP(DATE($K$1,$K$2,SGZ$4),Table1[],(MATCH(Calendar!$A18,DB!$1:$1,0)),FALSE)&gt;=5,"Good","Bad"),VLOOKUP(DATE($K$1,$K$2,SGZ$4),Table1[],(MATCH(Calendar!$A18,DB!$1:$1,0)),FALSE)),"")</f>
        <v/>
      </c>
      <c r="SHA18" s="28" t="str">
        <f>IFERROR(IF(SHJ3="No",IF(VLOOKUP(DATE($K$1,$K$2,SHA$4),Table1[],(MATCH(Calendar!$A18,DB!$1:$1,0)),FALSE)&gt;=5,"Good","Bad"),VLOOKUP(DATE($K$1,$K$2,SHA$4),Table1[],(MATCH(Calendar!$A18,DB!$1:$1,0)),FALSE)),"")</f>
        <v/>
      </c>
      <c r="SHB18" s="28" t="str">
        <f>IFERROR(IF(SHK3="No",IF(VLOOKUP(DATE($K$1,$K$2,SHB$4),Table1[],(MATCH(Calendar!$A18,DB!$1:$1,0)),FALSE)&gt;=5,"Good","Bad"),VLOOKUP(DATE($K$1,$K$2,SHB$4),Table1[],(MATCH(Calendar!$A18,DB!$1:$1,0)),FALSE)),"")</f>
        <v/>
      </c>
      <c r="SHC18" s="28" t="str">
        <f>IFERROR(IF(SHL3="No",IF(VLOOKUP(DATE($K$1,$K$2,SHC$4),Table1[],(MATCH(Calendar!$A18,DB!$1:$1,0)),FALSE)&gt;=5,"Good","Bad"),VLOOKUP(DATE($K$1,$K$2,SHC$4),Table1[],(MATCH(Calendar!$A18,DB!$1:$1,0)),FALSE)),"")</f>
        <v/>
      </c>
      <c r="SHD18" s="28" t="str">
        <f>IFERROR(IF(SHM3="No",IF(VLOOKUP(DATE($K$1,$K$2,SHD$4),Table1[],(MATCH(Calendar!$A18,DB!$1:$1,0)),FALSE)&gt;=5,"Good","Bad"),VLOOKUP(DATE($K$1,$K$2,SHD$4),Table1[],(MATCH(Calendar!$A18,DB!$1:$1,0)),FALSE)),"")</f>
        <v/>
      </c>
      <c r="SHE18" s="28" t="str">
        <f>IFERROR(IF(SHN3="No",IF(VLOOKUP(DATE($K$1,$K$2,SHE$4),Table1[],(MATCH(Calendar!$A18,DB!$1:$1,0)),FALSE)&gt;=5,"Good","Bad"),VLOOKUP(DATE($K$1,$K$2,SHE$4),Table1[],(MATCH(Calendar!$A18,DB!$1:$1,0)),FALSE)),"")</f>
        <v/>
      </c>
      <c r="SHF18" s="28" t="str">
        <f>IFERROR(IF(SHO3="No",IF(VLOOKUP(DATE($K$1,$K$2,SHF$4),Table1[],(MATCH(Calendar!$A18,DB!$1:$1,0)),FALSE)&gt;=5,"Good","Bad"),VLOOKUP(DATE($K$1,$K$2,SHF$4),Table1[],(MATCH(Calendar!$A18,DB!$1:$1,0)),FALSE)),"")</f>
        <v/>
      </c>
      <c r="SHG18" s="28" t="str">
        <f>IFERROR(IF(SHP3="No",IF(VLOOKUP(DATE($K$1,$K$2,SHG$4),Table1[],(MATCH(Calendar!$A18,DB!$1:$1,0)),FALSE)&gt;=5,"Good","Bad"),VLOOKUP(DATE($K$1,$K$2,SHG$4),Table1[],(MATCH(Calendar!$A18,DB!$1:$1,0)),FALSE)),"")</f>
        <v/>
      </c>
      <c r="SHH18" s="28" t="str">
        <f>IFERROR(IF(SHQ3="No",IF(VLOOKUP(DATE($K$1,$K$2,SHH$4),Table1[],(MATCH(Calendar!$A18,DB!$1:$1,0)),FALSE)&gt;=5,"Good","Bad"),VLOOKUP(DATE($K$1,$K$2,SHH$4),Table1[],(MATCH(Calendar!$A18,DB!$1:$1,0)),FALSE)),"")</f>
        <v/>
      </c>
      <c r="SHI18" s="28" t="str">
        <f>IFERROR(IF(SHR3="No",IF(VLOOKUP(DATE($K$1,$K$2,SHI$4),Table1[],(MATCH(Calendar!$A18,DB!$1:$1,0)),FALSE)&gt;=5,"Good","Bad"),VLOOKUP(DATE($K$1,$K$2,SHI$4),Table1[],(MATCH(Calendar!$A18,DB!$1:$1,0)),FALSE)),"")</f>
        <v/>
      </c>
      <c r="SHJ18" s="28" t="str">
        <f>IFERROR(IF(SHS3="No",IF(VLOOKUP(DATE($K$1,$K$2,SHJ$4),Table1[],(MATCH(Calendar!$A18,DB!$1:$1,0)),FALSE)&gt;=5,"Good","Bad"),VLOOKUP(DATE($K$1,$K$2,SHJ$4),Table1[],(MATCH(Calendar!$A18,DB!$1:$1,0)),FALSE)),"")</f>
        <v/>
      </c>
      <c r="SHK18" s="28" t="str">
        <f>IFERROR(IF(SHT3="No",IF(VLOOKUP(DATE($K$1,$K$2,SHK$4),Table1[],(MATCH(Calendar!$A18,DB!$1:$1,0)),FALSE)&gt;=5,"Good","Bad"),VLOOKUP(DATE($K$1,$K$2,SHK$4),Table1[],(MATCH(Calendar!$A18,DB!$1:$1,0)),FALSE)),"")</f>
        <v/>
      </c>
      <c r="SHL18" s="28" t="str">
        <f>IFERROR(IF(SHU3="No",IF(VLOOKUP(DATE($K$1,$K$2,SHL$4),Table1[],(MATCH(Calendar!$A18,DB!$1:$1,0)),FALSE)&gt;=5,"Good","Bad"),VLOOKUP(DATE($K$1,$K$2,SHL$4),Table1[],(MATCH(Calendar!$A18,DB!$1:$1,0)),FALSE)),"")</f>
        <v/>
      </c>
      <c r="SHM18" s="28" t="str">
        <f>IFERROR(IF(SHV3="No",IF(VLOOKUP(DATE($K$1,$K$2,SHM$4),Table1[],(MATCH(Calendar!$A18,DB!$1:$1,0)),FALSE)&gt;=5,"Good","Bad"),VLOOKUP(DATE($K$1,$K$2,SHM$4),Table1[],(MATCH(Calendar!$A18,DB!$1:$1,0)),FALSE)),"")</f>
        <v/>
      </c>
      <c r="SHN18" s="28" t="str">
        <f>IFERROR(IF(SHW3="No",IF(VLOOKUP(DATE($K$1,$K$2,SHN$4),Table1[],(MATCH(Calendar!$A18,DB!$1:$1,0)),FALSE)&gt;=5,"Good","Bad"),VLOOKUP(DATE($K$1,$K$2,SHN$4),Table1[],(MATCH(Calendar!$A18,DB!$1:$1,0)),FALSE)),"")</f>
        <v/>
      </c>
      <c r="SHO18" s="28" t="str">
        <f>IFERROR(IF(SHX3="No",IF(VLOOKUP(DATE($K$1,$K$2,SHO$4),Table1[],(MATCH(Calendar!$A18,DB!$1:$1,0)),FALSE)&gt;=5,"Good","Bad"),VLOOKUP(DATE($K$1,$K$2,SHO$4),Table1[],(MATCH(Calendar!$A18,DB!$1:$1,0)),FALSE)),"")</f>
        <v/>
      </c>
      <c r="SHP18" s="28" t="str">
        <f>IFERROR(IF(SHY3="No",IF(VLOOKUP(DATE($K$1,$K$2,SHP$4),Table1[],(MATCH(Calendar!$A18,DB!$1:$1,0)),FALSE)&gt;=5,"Good","Bad"),VLOOKUP(DATE($K$1,$K$2,SHP$4),Table1[],(MATCH(Calendar!$A18,DB!$1:$1,0)),FALSE)),"")</f>
        <v/>
      </c>
      <c r="SHQ18" s="28" t="str">
        <f>IFERROR(IF(SHZ3="No",IF(VLOOKUP(DATE($K$1,$K$2,SHQ$4),Table1[],(MATCH(Calendar!$A18,DB!$1:$1,0)),FALSE)&gt;=5,"Good","Bad"),VLOOKUP(DATE($K$1,$K$2,SHQ$4),Table1[],(MATCH(Calendar!$A18,DB!$1:$1,0)),FALSE)),"")</f>
        <v/>
      </c>
      <c r="SHR18" s="28" t="str">
        <f>IFERROR(IF(SIA3="No",IF(VLOOKUP(DATE($K$1,$K$2,SHR$4),Table1[],(MATCH(Calendar!$A18,DB!$1:$1,0)),FALSE)&gt;=5,"Good","Bad"),VLOOKUP(DATE($K$1,$K$2,SHR$4),Table1[],(MATCH(Calendar!$A18,DB!$1:$1,0)),FALSE)),"")</f>
        <v/>
      </c>
      <c r="SHS18" s="28" t="str">
        <f>IFERROR(IF(SIB3="No",IF(VLOOKUP(DATE($K$1,$K$2,SHS$4),Table1[],(MATCH(Calendar!$A18,DB!$1:$1,0)),FALSE)&gt;=5,"Good","Bad"),VLOOKUP(DATE($K$1,$K$2,SHS$4),Table1[],(MATCH(Calendar!$A18,DB!$1:$1,0)),FALSE)),"")</f>
        <v/>
      </c>
      <c r="SHT18" s="28" t="str">
        <f>IFERROR(IF(SIC3="No",IF(VLOOKUP(DATE($K$1,$K$2,SHT$4),Table1[],(MATCH(Calendar!$A18,DB!$1:$1,0)),FALSE)&gt;=5,"Good","Bad"),VLOOKUP(DATE($K$1,$K$2,SHT$4),Table1[],(MATCH(Calendar!$A18,DB!$1:$1,0)),FALSE)),"")</f>
        <v/>
      </c>
      <c r="SHU18" s="28" t="str">
        <f>IFERROR(IF(SID3="No",IF(VLOOKUP(DATE($K$1,$K$2,SHU$4),Table1[],(MATCH(Calendar!$A18,DB!$1:$1,0)),FALSE)&gt;=5,"Good","Bad"),VLOOKUP(DATE($K$1,$K$2,SHU$4),Table1[],(MATCH(Calendar!$A18,DB!$1:$1,0)),FALSE)),"")</f>
        <v/>
      </c>
      <c r="SHV18" s="28" t="str">
        <f>IFERROR(IF(SIE3="No",IF(VLOOKUP(DATE($K$1,$K$2,SHV$4),Table1[],(MATCH(Calendar!$A18,DB!$1:$1,0)),FALSE)&gt;=5,"Good","Bad"),VLOOKUP(DATE($K$1,$K$2,SHV$4),Table1[],(MATCH(Calendar!$A18,DB!$1:$1,0)),FALSE)),"")</f>
        <v/>
      </c>
      <c r="SHW18" s="28" t="str">
        <f>IFERROR(IF(SIF3="No",IF(VLOOKUP(DATE($K$1,$K$2,SHW$4),Table1[],(MATCH(Calendar!$A18,DB!$1:$1,0)),FALSE)&gt;=5,"Good","Bad"),VLOOKUP(DATE($K$1,$K$2,SHW$4),Table1[],(MATCH(Calendar!$A18,DB!$1:$1,0)),FALSE)),"")</f>
        <v/>
      </c>
      <c r="SHX18" s="28" t="str">
        <f>IFERROR(IF(SIG3="No",IF(VLOOKUP(DATE($K$1,$K$2,SHX$4),Table1[],(MATCH(Calendar!$A18,DB!$1:$1,0)),FALSE)&gt;=5,"Good","Bad"),VLOOKUP(DATE($K$1,$K$2,SHX$4),Table1[],(MATCH(Calendar!$A18,DB!$1:$1,0)),FALSE)),"")</f>
        <v/>
      </c>
      <c r="SHY18" s="28" t="str">
        <f>IFERROR(IF(SIH3="No",IF(VLOOKUP(DATE($K$1,$K$2,SHY$4),Table1[],(MATCH(Calendar!$A18,DB!$1:$1,0)),FALSE)&gt;=5,"Good","Bad"),VLOOKUP(DATE($K$1,$K$2,SHY$4),Table1[],(MATCH(Calendar!$A18,DB!$1:$1,0)),FALSE)),"")</f>
        <v/>
      </c>
      <c r="SHZ18" s="28" t="str">
        <f>IFERROR(IF(SII3="No",IF(VLOOKUP(DATE($K$1,$K$2,SHZ$4),Table1[],(MATCH(Calendar!$A18,DB!$1:$1,0)),FALSE)&gt;=5,"Good","Bad"),VLOOKUP(DATE($K$1,$K$2,SHZ$4),Table1[],(MATCH(Calendar!$A18,DB!$1:$1,0)),FALSE)),"")</f>
        <v/>
      </c>
      <c r="SIA18" s="28" t="str">
        <f>IFERROR(IF(SIJ3="No",IF(VLOOKUP(DATE($K$1,$K$2,SIA$4),Table1[],(MATCH(Calendar!$A18,DB!$1:$1,0)),FALSE)&gt;=5,"Good","Bad"),VLOOKUP(DATE($K$1,$K$2,SIA$4),Table1[],(MATCH(Calendar!$A18,DB!$1:$1,0)),FALSE)),"")</f>
        <v/>
      </c>
      <c r="SIB18" s="28" t="str">
        <f>IFERROR(IF(SIK3="No",IF(VLOOKUP(DATE($K$1,$K$2,SIB$4),Table1[],(MATCH(Calendar!$A18,DB!$1:$1,0)),FALSE)&gt;=5,"Good","Bad"),VLOOKUP(DATE($K$1,$K$2,SIB$4),Table1[],(MATCH(Calendar!$A18,DB!$1:$1,0)),FALSE)),"")</f>
        <v/>
      </c>
      <c r="SIC18" s="28" t="str">
        <f>IFERROR(IF(SIL3="No",IF(VLOOKUP(DATE($K$1,$K$2,SIC$4),Table1[],(MATCH(Calendar!$A18,DB!$1:$1,0)),FALSE)&gt;=5,"Good","Bad"),VLOOKUP(DATE($K$1,$K$2,SIC$4),Table1[],(MATCH(Calendar!$A18,DB!$1:$1,0)),FALSE)),"")</f>
        <v/>
      </c>
      <c r="SID18" s="28" t="str">
        <f>IFERROR(IF(SIM3="No",IF(VLOOKUP(DATE($K$1,$K$2,SID$4),Table1[],(MATCH(Calendar!$A18,DB!$1:$1,0)),FALSE)&gt;=5,"Good","Bad"),VLOOKUP(DATE($K$1,$K$2,SID$4),Table1[],(MATCH(Calendar!$A18,DB!$1:$1,0)),FALSE)),"")</f>
        <v/>
      </c>
      <c r="SIE18" s="28" t="str">
        <f>IFERROR(IF(SIN3="No",IF(VLOOKUP(DATE($K$1,$K$2,SIE$4),Table1[],(MATCH(Calendar!$A18,DB!$1:$1,0)),FALSE)&gt;=5,"Good","Bad"),VLOOKUP(DATE($K$1,$K$2,SIE$4),Table1[],(MATCH(Calendar!$A18,DB!$1:$1,0)),FALSE)),"")</f>
        <v/>
      </c>
      <c r="SIF18" s="28" t="str">
        <f>IFERROR(IF(SIO3="No",IF(VLOOKUP(DATE($K$1,$K$2,SIF$4),Table1[],(MATCH(Calendar!$A18,DB!$1:$1,0)),FALSE)&gt;=5,"Good","Bad"),VLOOKUP(DATE($K$1,$K$2,SIF$4),Table1[],(MATCH(Calendar!$A18,DB!$1:$1,0)),FALSE)),"")</f>
        <v/>
      </c>
      <c r="SIG18" s="28" t="str">
        <f>IFERROR(IF(SIP3="No",IF(VLOOKUP(DATE($K$1,$K$2,SIG$4),Table1[],(MATCH(Calendar!$A18,DB!$1:$1,0)),FALSE)&gt;=5,"Good","Bad"),VLOOKUP(DATE($K$1,$K$2,SIG$4),Table1[],(MATCH(Calendar!$A18,DB!$1:$1,0)),FALSE)),"")</f>
        <v/>
      </c>
      <c r="SIH18" s="28" t="str">
        <f>IFERROR(IF(SIQ3="No",IF(VLOOKUP(DATE($K$1,$K$2,SIH$4),Table1[],(MATCH(Calendar!$A18,DB!$1:$1,0)),FALSE)&gt;=5,"Good","Bad"),VLOOKUP(DATE($K$1,$K$2,SIH$4),Table1[],(MATCH(Calendar!$A18,DB!$1:$1,0)),FALSE)),"")</f>
        <v/>
      </c>
      <c r="SII18" s="28" t="str">
        <f>IFERROR(IF(SIR3="No",IF(VLOOKUP(DATE($K$1,$K$2,SII$4),Table1[],(MATCH(Calendar!$A18,DB!$1:$1,0)),FALSE)&gt;=5,"Good","Bad"),VLOOKUP(DATE($K$1,$K$2,SII$4),Table1[],(MATCH(Calendar!$A18,DB!$1:$1,0)),FALSE)),"")</f>
        <v/>
      </c>
      <c r="SIJ18" s="28" t="str">
        <f>IFERROR(IF(SIS3="No",IF(VLOOKUP(DATE($K$1,$K$2,SIJ$4),Table1[],(MATCH(Calendar!$A18,DB!$1:$1,0)),FALSE)&gt;=5,"Good","Bad"),VLOOKUP(DATE($K$1,$K$2,SIJ$4),Table1[],(MATCH(Calendar!$A18,DB!$1:$1,0)),FALSE)),"")</f>
        <v/>
      </c>
      <c r="SIK18" s="28" t="str">
        <f>IFERROR(IF(SIT3="No",IF(VLOOKUP(DATE($K$1,$K$2,SIK$4),Table1[],(MATCH(Calendar!$A18,DB!$1:$1,0)),FALSE)&gt;=5,"Good","Bad"),VLOOKUP(DATE($K$1,$K$2,SIK$4),Table1[],(MATCH(Calendar!$A18,DB!$1:$1,0)),FALSE)),"")</f>
        <v/>
      </c>
      <c r="SIL18" s="28" t="str">
        <f>IFERROR(IF(SIU3="No",IF(VLOOKUP(DATE($K$1,$K$2,SIL$4),Table1[],(MATCH(Calendar!$A18,DB!$1:$1,0)),FALSE)&gt;=5,"Good","Bad"),VLOOKUP(DATE($K$1,$K$2,SIL$4),Table1[],(MATCH(Calendar!$A18,DB!$1:$1,0)),FALSE)),"")</f>
        <v/>
      </c>
      <c r="SIM18" s="28" t="str">
        <f>IFERROR(IF(SIV3="No",IF(VLOOKUP(DATE($K$1,$K$2,SIM$4),Table1[],(MATCH(Calendar!$A18,DB!$1:$1,0)),FALSE)&gt;=5,"Good","Bad"),VLOOKUP(DATE($K$1,$K$2,SIM$4),Table1[],(MATCH(Calendar!$A18,DB!$1:$1,0)),FALSE)),"")</f>
        <v/>
      </c>
      <c r="SIN18" s="28" t="str">
        <f>IFERROR(IF(SIW3="No",IF(VLOOKUP(DATE($K$1,$K$2,SIN$4),Table1[],(MATCH(Calendar!$A18,DB!$1:$1,0)),FALSE)&gt;=5,"Good","Bad"),VLOOKUP(DATE($K$1,$K$2,SIN$4),Table1[],(MATCH(Calendar!$A18,DB!$1:$1,0)),FALSE)),"")</f>
        <v/>
      </c>
      <c r="SIO18" s="28" t="str">
        <f>IFERROR(IF(SIX3="No",IF(VLOOKUP(DATE($K$1,$K$2,SIO$4),Table1[],(MATCH(Calendar!$A18,DB!$1:$1,0)),FALSE)&gt;=5,"Good","Bad"),VLOOKUP(DATE($K$1,$K$2,SIO$4),Table1[],(MATCH(Calendar!$A18,DB!$1:$1,0)),FALSE)),"")</f>
        <v/>
      </c>
      <c r="SIP18" s="28" t="str">
        <f>IFERROR(IF(SIY3="No",IF(VLOOKUP(DATE($K$1,$K$2,SIP$4),Table1[],(MATCH(Calendar!$A18,DB!$1:$1,0)),FALSE)&gt;=5,"Good","Bad"),VLOOKUP(DATE($K$1,$K$2,SIP$4),Table1[],(MATCH(Calendar!$A18,DB!$1:$1,0)),FALSE)),"")</f>
        <v/>
      </c>
      <c r="SIQ18" s="28" t="str">
        <f>IFERROR(IF(SIZ3="No",IF(VLOOKUP(DATE($K$1,$K$2,SIQ$4),Table1[],(MATCH(Calendar!$A18,DB!$1:$1,0)),FALSE)&gt;=5,"Good","Bad"),VLOOKUP(DATE($K$1,$K$2,SIQ$4),Table1[],(MATCH(Calendar!$A18,DB!$1:$1,0)),FALSE)),"")</f>
        <v/>
      </c>
      <c r="SIR18" s="28" t="str">
        <f>IFERROR(IF(SJA3="No",IF(VLOOKUP(DATE($K$1,$K$2,SIR$4),Table1[],(MATCH(Calendar!$A18,DB!$1:$1,0)),FALSE)&gt;=5,"Good","Bad"),VLOOKUP(DATE($K$1,$K$2,SIR$4),Table1[],(MATCH(Calendar!$A18,DB!$1:$1,0)),FALSE)),"")</f>
        <v/>
      </c>
      <c r="SIS18" s="28" t="str">
        <f>IFERROR(IF(SJB3="No",IF(VLOOKUP(DATE($K$1,$K$2,SIS$4),Table1[],(MATCH(Calendar!$A18,DB!$1:$1,0)),FALSE)&gt;=5,"Good","Bad"),VLOOKUP(DATE($K$1,$K$2,SIS$4),Table1[],(MATCH(Calendar!$A18,DB!$1:$1,0)),FALSE)),"")</f>
        <v/>
      </c>
      <c r="SIT18" s="28" t="str">
        <f>IFERROR(IF(SJC3="No",IF(VLOOKUP(DATE($K$1,$K$2,SIT$4),Table1[],(MATCH(Calendar!$A18,DB!$1:$1,0)),FALSE)&gt;=5,"Good","Bad"),VLOOKUP(DATE($K$1,$K$2,SIT$4),Table1[],(MATCH(Calendar!$A18,DB!$1:$1,0)),FALSE)),"")</f>
        <v/>
      </c>
      <c r="SIU18" s="28" t="str">
        <f>IFERROR(IF(SJD3="No",IF(VLOOKUP(DATE($K$1,$K$2,SIU$4),Table1[],(MATCH(Calendar!$A18,DB!$1:$1,0)),FALSE)&gt;=5,"Good","Bad"),VLOOKUP(DATE($K$1,$K$2,SIU$4),Table1[],(MATCH(Calendar!$A18,DB!$1:$1,0)),FALSE)),"")</f>
        <v/>
      </c>
      <c r="SIV18" s="28" t="str">
        <f>IFERROR(IF(SJE3="No",IF(VLOOKUP(DATE($K$1,$K$2,SIV$4),Table1[],(MATCH(Calendar!$A18,DB!$1:$1,0)),FALSE)&gt;=5,"Good","Bad"),VLOOKUP(DATE($K$1,$K$2,SIV$4),Table1[],(MATCH(Calendar!$A18,DB!$1:$1,0)),FALSE)),"")</f>
        <v/>
      </c>
      <c r="SIW18" s="28" t="str">
        <f>IFERROR(IF(SJF3="No",IF(VLOOKUP(DATE($K$1,$K$2,SIW$4),Table1[],(MATCH(Calendar!$A18,DB!$1:$1,0)),FALSE)&gt;=5,"Good","Bad"),VLOOKUP(DATE($K$1,$K$2,SIW$4),Table1[],(MATCH(Calendar!$A18,DB!$1:$1,0)),FALSE)),"")</f>
        <v/>
      </c>
      <c r="SIX18" s="28" t="str">
        <f>IFERROR(IF(SJG3="No",IF(VLOOKUP(DATE($K$1,$K$2,SIX$4),Table1[],(MATCH(Calendar!$A18,DB!$1:$1,0)),FALSE)&gt;=5,"Good","Bad"),VLOOKUP(DATE($K$1,$K$2,SIX$4),Table1[],(MATCH(Calendar!$A18,DB!$1:$1,0)),FALSE)),"")</f>
        <v/>
      </c>
      <c r="SIY18" s="28" t="str">
        <f>IFERROR(IF(SJH3="No",IF(VLOOKUP(DATE($K$1,$K$2,SIY$4),Table1[],(MATCH(Calendar!$A18,DB!$1:$1,0)),FALSE)&gt;=5,"Good","Bad"),VLOOKUP(DATE($K$1,$K$2,SIY$4),Table1[],(MATCH(Calendar!$A18,DB!$1:$1,0)),FALSE)),"")</f>
        <v/>
      </c>
      <c r="SIZ18" s="28" t="str">
        <f>IFERROR(IF(SJI3="No",IF(VLOOKUP(DATE($K$1,$K$2,SIZ$4),Table1[],(MATCH(Calendar!$A18,DB!$1:$1,0)),FALSE)&gt;=5,"Good","Bad"),VLOOKUP(DATE($K$1,$K$2,SIZ$4),Table1[],(MATCH(Calendar!$A18,DB!$1:$1,0)),FALSE)),"")</f>
        <v/>
      </c>
      <c r="SJA18" s="28" t="str">
        <f>IFERROR(IF(SJJ3="No",IF(VLOOKUP(DATE($K$1,$K$2,SJA$4),Table1[],(MATCH(Calendar!$A18,DB!$1:$1,0)),FALSE)&gt;=5,"Good","Bad"),VLOOKUP(DATE($K$1,$K$2,SJA$4),Table1[],(MATCH(Calendar!$A18,DB!$1:$1,0)),FALSE)),"")</f>
        <v/>
      </c>
      <c r="SJB18" s="28" t="str">
        <f>IFERROR(IF(SJK3="No",IF(VLOOKUP(DATE($K$1,$K$2,SJB$4),Table1[],(MATCH(Calendar!$A18,DB!$1:$1,0)),FALSE)&gt;=5,"Good","Bad"),VLOOKUP(DATE($K$1,$K$2,SJB$4),Table1[],(MATCH(Calendar!$A18,DB!$1:$1,0)),FALSE)),"")</f>
        <v/>
      </c>
      <c r="SJC18" s="28" t="str">
        <f>IFERROR(IF(SJL3="No",IF(VLOOKUP(DATE($K$1,$K$2,SJC$4),Table1[],(MATCH(Calendar!$A18,DB!$1:$1,0)),FALSE)&gt;=5,"Good","Bad"),VLOOKUP(DATE($K$1,$K$2,SJC$4),Table1[],(MATCH(Calendar!$A18,DB!$1:$1,0)),FALSE)),"")</f>
        <v/>
      </c>
      <c r="SJD18" s="28" t="str">
        <f>IFERROR(IF(SJM3="No",IF(VLOOKUP(DATE($K$1,$K$2,SJD$4),Table1[],(MATCH(Calendar!$A18,DB!$1:$1,0)),FALSE)&gt;=5,"Good","Bad"),VLOOKUP(DATE($K$1,$K$2,SJD$4),Table1[],(MATCH(Calendar!$A18,DB!$1:$1,0)),FALSE)),"")</f>
        <v/>
      </c>
      <c r="SJE18" s="28" t="str">
        <f>IFERROR(IF(SJN3="No",IF(VLOOKUP(DATE($K$1,$K$2,SJE$4),Table1[],(MATCH(Calendar!$A18,DB!$1:$1,0)),FALSE)&gt;=5,"Good","Bad"),VLOOKUP(DATE($K$1,$K$2,SJE$4),Table1[],(MATCH(Calendar!$A18,DB!$1:$1,0)),FALSE)),"")</f>
        <v/>
      </c>
      <c r="SJF18" s="28" t="str">
        <f>IFERROR(IF(SJO3="No",IF(VLOOKUP(DATE($K$1,$K$2,SJF$4),Table1[],(MATCH(Calendar!$A18,DB!$1:$1,0)),FALSE)&gt;=5,"Good","Bad"),VLOOKUP(DATE($K$1,$K$2,SJF$4),Table1[],(MATCH(Calendar!$A18,DB!$1:$1,0)),FALSE)),"")</f>
        <v/>
      </c>
      <c r="SJG18" s="28" t="str">
        <f>IFERROR(IF(SJP3="No",IF(VLOOKUP(DATE($K$1,$K$2,SJG$4),Table1[],(MATCH(Calendar!$A18,DB!$1:$1,0)),FALSE)&gt;=5,"Good","Bad"),VLOOKUP(DATE($K$1,$K$2,SJG$4),Table1[],(MATCH(Calendar!$A18,DB!$1:$1,0)),FALSE)),"")</f>
        <v/>
      </c>
      <c r="SJH18" s="28" t="str">
        <f>IFERROR(IF(SJQ3="No",IF(VLOOKUP(DATE($K$1,$K$2,SJH$4),Table1[],(MATCH(Calendar!$A18,DB!$1:$1,0)),FALSE)&gt;=5,"Good","Bad"),VLOOKUP(DATE($K$1,$K$2,SJH$4),Table1[],(MATCH(Calendar!$A18,DB!$1:$1,0)),FALSE)),"")</f>
        <v/>
      </c>
      <c r="SJI18" s="28" t="str">
        <f>IFERROR(IF(SJR3="No",IF(VLOOKUP(DATE($K$1,$K$2,SJI$4),Table1[],(MATCH(Calendar!$A18,DB!$1:$1,0)),FALSE)&gt;=5,"Good","Bad"),VLOOKUP(DATE($K$1,$K$2,SJI$4),Table1[],(MATCH(Calendar!$A18,DB!$1:$1,0)),FALSE)),"")</f>
        <v/>
      </c>
      <c r="SJJ18" s="28" t="str">
        <f>IFERROR(IF(SJS3="No",IF(VLOOKUP(DATE($K$1,$K$2,SJJ$4),Table1[],(MATCH(Calendar!$A18,DB!$1:$1,0)),FALSE)&gt;=5,"Good","Bad"),VLOOKUP(DATE($K$1,$K$2,SJJ$4),Table1[],(MATCH(Calendar!$A18,DB!$1:$1,0)),FALSE)),"")</f>
        <v/>
      </c>
      <c r="SJK18" s="28" t="str">
        <f>IFERROR(IF(SJT3="No",IF(VLOOKUP(DATE($K$1,$K$2,SJK$4),Table1[],(MATCH(Calendar!$A18,DB!$1:$1,0)),FALSE)&gt;=5,"Good","Bad"),VLOOKUP(DATE($K$1,$K$2,SJK$4),Table1[],(MATCH(Calendar!$A18,DB!$1:$1,0)),FALSE)),"")</f>
        <v/>
      </c>
      <c r="SJL18" s="28" t="str">
        <f>IFERROR(IF(SJU3="No",IF(VLOOKUP(DATE($K$1,$K$2,SJL$4),Table1[],(MATCH(Calendar!$A18,DB!$1:$1,0)),FALSE)&gt;=5,"Good","Bad"),VLOOKUP(DATE($K$1,$K$2,SJL$4),Table1[],(MATCH(Calendar!$A18,DB!$1:$1,0)),FALSE)),"")</f>
        <v/>
      </c>
      <c r="SJM18" s="28" t="str">
        <f>IFERROR(IF(SJV3="No",IF(VLOOKUP(DATE($K$1,$K$2,SJM$4),Table1[],(MATCH(Calendar!$A18,DB!$1:$1,0)),FALSE)&gt;=5,"Good","Bad"),VLOOKUP(DATE($K$1,$K$2,SJM$4),Table1[],(MATCH(Calendar!$A18,DB!$1:$1,0)),FALSE)),"")</f>
        <v/>
      </c>
      <c r="SJN18" s="28" t="str">
        <f>IFERROR(IF(SJW3="No",IF(VLOOKUP(DATE($K$1,$K$2,SJN$4),Table1[],(MATCH(Calendar!$A18,DB!$1:$1,0)),FALSE)&gt;=5,"Good","Bad"),VLOOKUP(DATE($K$1,$K$2,SJN$4),Table1[],(MATCH(Calendar!$A18,DB!$1:$1,0)),FALSE)),"")</f>
        <v/>
      </c>
      <c r="SJO18" s="28" t="str">
        <f>IFERROR(IF(SJX3="No",IF(VLOOKUP(DATE($K$1,$K$2,SJO$4),Table1[],(MATCH(Calendar!$A18,DB!$1:$1,0)),FALSE)&gt;=5,"Good","Bad"),VLOOKUP(DATE($K$1,$K$2,SJO$4),Table1[],(MATCH(Calendar!$A18,DB!$1:$1,0)),FALSE)),"")</f>
        <v/>
      </c>
      <c r="SJP18" s="28" t="str">
        <f>IFERROR(IF(SJY3="No",IF(VLOOKUP(DATE($K$1,$K$2,SJP$4),Table1[],(MATCH(Calendar!$A18,DB!$1:$1,0)),FALSE)&gt;=5,"Good","Bad"),VLOOKUP(DATE($K$1,$K$2,SJP$4),Table1[],(MATCH(Calendar!$A18,DB!$1:$1,0)),FALSE)),"")</f>
        <v/>
      </c>
      <c r="SJQ18" s="28" t="str">
        <f>IFERROR(IF(SJZ3="No",IF(VLOOKUP(DATE($K$1,$K$2,SJQ$4),Table1[],(MATCH(Calendar!$A18,DB!$1:$1,0)),FALSE)&gt;=5,"Good","Bad"),VLOOKUP(DATE($K$1,$K$2,SJQ$4),Table1[],(MATCH(Calendar!$A18,DB!$1:$1,0)),FALSE)),"")</f>
        <v/>
      </c>
      <c r="SJR18" s="28" t="str">
        <f>IFERROR(IF(SKA3="No",IF(VLOOKUP(DATE($K$1,$K$2,SJR$4),Table1[],(MATCH(Calendar!$A18,DB!$1:$1,0)),FALSE)&gt;=5,"Good","Bad"),VLOOKUP(DATE($K$1,$K$2,SJR$4),Table1[],(MATCH(Calendar!$A18,DB!$1:$1,0)),FALSE)),"")</f>
        <v/>
      </c>
      <c r="SJS18" s="28" t="str">
        <f>IFERROR(IF(SKB3="No",IF(VLOOKUP(DATE($K$1,$K$2,SJS$4),Table1[],(MATCH(Calendar!$A18,DB!$1:$1,0)),FALSE)&gt;=5,"Good","Bad"),VLOOKUP(DATE($K$1,$K$2,SJS$4),Table1[],(MATCH(Calendar!$A18,DB!$1:$1,0)),FALSE)),"")</f>
        <v/>
      </c>
      <c r="SJT18" s="28" t="str">
        <f>IFERROR(IF(SKC3="No",IF(VLOOKUP(DATE($K$1,$K$2,SJT$4),Table1[],(MATCH(Calendar!$A18,DB!$1:$1,0)),FALSE)&gt;=5,"Good","Bad"),VLOOKUP(DATE($K$1,$K$2,SJT$4),Table1[],(MATCH(Calendar!$A18,DB!$1:$1,0)),FALSE)),"")</f>
        <v/>
      </c>
      <c r="SJU18" s="28" t="str">
        <f>IFERROR(IF(SKD3="No",IF(VLOOKUP(DATE($K$1,$K$2,SJU$4),Table1[],(MATCH(Calendar!$A18,DB!$1:$1,0)),FALSE)&gt;=5,"Good","Bad"),VLOOKUP(DATE($K$1,$K$2,SJU$4),Table1[],(MATCH(Calendar!$A18,DB!$1:$1,0)),FALSE)),"")</f>
        <v/>
      </c>
      <c r="SJV18" s="28" t="str">
        <f>IFERROR(IF(SKE3="No",IF(VLOOKUP(DATE($K$1,$K$2,SJV$4),Table1[],(MATCH(Calendar!$A18,DB!$1:$1,0)),FALSE)&gt;=5,"Good","Bad"),VLOOKUP(DATE($K$1,$K$2,SJV$4),Table1[],(MATCH(Calendar!$A18,DB!$1:$1,0)),FALSE)),"")</f>
        <v/>
      </c>
      <c r="SJW18" s="28" t="str">
        <f>IFERROR(IF(SKF3="No",IF(VLOOKUP(DATE($K$1,$K$2,SJW$4),Table1[],(MATCH(Calendar!$A18,DB!$1:$1,0)),FALSE)&gt;=5,"Good","Bad"),VLOOKUP(DATE($K$1,$K$2,SJW$4),Table1[],(MATCH(Calendar!$A18,DB!$1:$1,0)),FALSE)),"")</f>
        <v/>
      </c>
      <c r="SJX18" s="28" t="str">
        <f>IFERROR(IF(SKG3="No",IF(VLOOKUP(DATE($K$1,$K$2,SJX$4),Table1[],(MATCH(Calendar!$A18,DB!$1:$1,0)),FALSE)&gt;=5,"Good","Bad"),VLOOKUP(DATE($K$1,$K$2,SJX$4),Table1[],(MATCH(Calendar!$A18,DB!$1:$1,0)),FALSE)),"")</f>
        <v/>
      </c>
      <c r="SJY18" s="28" t="str">
        <f>IFERROR(IF(SKH3="No",IF(VLOOKUP(DATE($K$1,$K$2,SJY$4),Table1[],(MATCH(Calendar!$A18,DB!$1:$1,0)),FALSE)&gt;=5,"Good","Bad"),VLOOKUP(DATE($K$1,$K$2,SJY$4),Table1[],(MATCH(Calendar!$A18,DB!$1:$1,0)),FALSE)),"")</f>
        <v/>
      </c>
      <c r="SJZ18" s="28" t="str">
        <f>IFERROR(IF(SKI3="No",IF(VLOOKUP(DATE($K$1,$K$2,SJZ$4),Table1[],(MATCH(Calendar!$A18,DB!$1:$1,0)),FALSE)&gt;=5,"Good","Bad"),VLOOKUP(DATE($K$1,$K$2,SJZ$4),Table1[],(MATCH(Calendar!$A18,DB!$1:$1,0)),FALSE)),"")</f>
        <v/>
      </c>
      <c r="SKA18" s="28" t="str">
        <f>IFERROR(IF(SKJ3="No",IF(VLOOKUP(DATE($K$1,$K$2,SKA$4),Table1[],(MATCH(Calendar!$A18,DB!$1:$1,0)),FALSE)&gt;=5,"Good","Bad"),VLOOKUP(DATE($K$1,$K$2,SKA$4),Table1[],(MATCH(Calendar!$A18,DB!$1:$1,0)),FALSE)),"")</f>
        <v/>
      </c>
      <c r="SKB18" s="28" t="str">
        <f>IFERROR(IF(SKK3="No",IF(VLOOKUP(DATE($K$1,$K$2,SKB$4),Table1[],(MATCH(Calendar!$A18,DB!$1:$1,0)),FALSE)&gt;=5,"Good","Bad"),VLOOKUP(DATE($K$1,$K$2,SKB$4),Table1[],(MATCH(Calendar!$A18,DB!$1:$1,0)),FALSE)),"")</f>
        <v/>
      </c>
      <c r="SKC18" s="28" t="str">
        <f>IFERROR(IF(SKL3="No",IF(VLOOKUP(DATE($K$1,$K$2,SKC$4),Table1[],(MATCH(Calendar!$A18,DB!$1:$1,0)),FALSE)&gt;=5,"Good","Bad"),VLOOKUP(DATE($K$1,$K$2,SKC$4),Table1[],(MATCH(Calendar!$A18,DB!$1:$1,0)),FALSE)),"")</f>
        <v/>
      </c>
      <c r="SKD18" s="28" t="str">
        <f>IFERROR(IF(SKM3="No",IF(VLOOKUP(DATE($K$1,$K$2,SKD$4),Table1[],(MATCH(Calendar!$A18,DB!$1:$1,0)),FALSE)&gt;=5,"Good","Bad"),VLOOKUP(DATE($K$1,$K$2,SKD$4),Table1[],(MATCH(Calendar!$A18,DB!$1:$1,0)),FALSE)),"")</f>
        <v/>
      </c>
      <c r="SKE18" s="28" t="str">
        <f>IFERROR(IF(SKN3="No",IF(VLOOKUP(DATE($K$1,$K$2,SKE$4),Table1[],(MATCH(Calendar!$A18,DB!$1:$1,0)),FALSE)&gt;=5,"Good","Bad"),VLOOKUP(DATE($K$1,$K$2,SKE$4),Table1[],(MATCH(Calendar!$A18,DB!$1:$1,0)),FALSE)),"")</f>
        <v/>
      </c>
      <c r="SKF18" s="28" t="str">
        <f>IFERROR(IF(SKO3="No",IF(VLOOKUP(DATE($K$1,$K$2,SKF$4),Table1[],(MATCH(Calendar!$A18,DB!$1:$1,0)),FALSE)&gt;=5,"Good","Bad"),VLOOKUP(DATE($K$1,$K$2,SKF$4),Table1[],(MATCH(Calendar!$A18,DB!$1:$1,0)),FALSE)),"")</f>
        <v/>
      </c>
      <c r="SKG18" s="28" t="str">
        <f>IFERROR(IF(SKP3="No",IF(VLOOKUP(DATE($K$1,$K$2,SKG$4),Table1[],(MATCH(Calendar!$A18,DB!$1:$1,0)),FALSE)&gt;=5,"Good","Bad"),VLOOKUP(DATE($K$1,$K$2,SKG$4),Table1[],(MATCH(Calendar!$A18,DB!$1:$1,0)),FALSE)),"")</f>
        <v/>
      </c>
      <c r="SKH18" s="28" t="str">
        <f>IFERROR(IF(SKQ3="No",IF(VLOOKUP(DATE($K$1,$K$2,SKH$4),Table1[],(MATCH(Calendar!$A18,DB!$1:$1,0)),FALSE)&gt;=5,"Good","Bad"),VLOOKUP(DATE($K$1,$K$2,SKH$4),Table1[],(MATCH(Calendar!$A18,DB!$1:$1,0)),FALSE)),"")</f>
        <v/>
      </c>
      <c r="SKI18" s="28" t="str">
        <f>IFERROR(IF(SKR3="No",IF(VLOOKUP(DATE($K$1,$K$2,SKI$4),Table1[],(MATCH(Calendar!$A18,DB!$1:$1,0)),FALSE)&gt;=5,"Good","Bad"),VLOOKUP(DATE($K$1,$K$2,SKI$4),Table1[],(MATCH(Calendar!$A18,DB!$1:$1,0)),FALSE)),"")</f>
        <v/>
      </c>
      <c r="SKJ18" s="28" t="str">
        <f>IFERROR(IF(SKS3="No",IF(VLOOKUP(DATE($K$1,$K$2,SKJ$4),Table1[],(MATCH(Calendar!$A18,DB!$1:$1,0)),FALSE)&gt;=5,"Good","Bad"),VLOOKUP(DATE($K$1,$K$2,SKJ$4),Table1[],(MATCH(Calendar!$A18,DB!$1:$1,0)),FALSE)),"")</f>
        <v/>
      </c>
      <c r="SKK18" s="28" t="str">
        <f>IFERROR(IF(SKT3="No",IF(VLOOKUP(DATE($K$1,$K$2,SKK$4),Table1[],(MATCH(Calendar!$A18,DB!$1:$1,0)),FALSE)&gt;=5,"Good","Bad"),VLOOKUP(DATE($K$1,$K$2,SKK$4),Table1[],(MATCH(Calendar!$A18,DB!$1:$1,0)),FALSE)),"")</f>
        <v/>
      </c>
      <c r="SKL18" s="28" t="str">
        <f>IFERROR(IF(SKU3="No",IF(VLOOKUP(DATE($K$1,$K$2,SKL$4),Table1[],(MATCH(Calendar!$A18,DB!$1:$1,0)),FALSE)&gt;=5,"Good","Bad"),VLOOKUP(DATE($K$1,$K$2,SKL$4),Table1[],(MATCH(Calendar!$A18,DB!$1:$1,0)),FALSE)),"")</f>
        <v/>
      </c>
      <c r="SKM18" s="28" t="str">
        <f>IFERROR(IF(SKV3="No",IF(VLOOKUP(DATE($K$1,$K$2,SKM$4),Table1[],(MATCH(Calendar!$A18,DB!$1:$1,0)),FALSE)&gt;=5,"Good","Bad"),VLOOKUP(DATE($K$1,$K$2,SKM$4),Table1[],(MATCH(Calendar!$A18,DB!$1:$1,0)),FALSE)),"")</f>
        <v/>
      </c>
      <c r="SKN18" s="28" t="str">
        <f>IFERROR(IF(SKW3="No",IF(VLOOKUP(DATE($K$1,$K$2,SKN$4),Table1[],(MATCH(Calendar!$A18,DB!$1:$1,0)),FALSE)&gt;=5,"Good","Bad"),VLOOKUP(DATE($K$1,$K$2,SKN$4),Table1[],(MATCH(Calendar!$A18,DB!$1:$1,0)),FALSE)),"")</f>
        <v/>
      </c>
      <c r="SKO18" s="28" t="str">
        <f>IFERROR(IF(SKX3="No",IF(VLOOKUP(DATE($K$1,$K$2,SKO$4),Table1[],(MATCH(Calendar!$A18,DB!$1:$1,0)),FALSE)&gt;=5,"Good","Bad"),VLOOKUP(DATE($K$1,$K$2,SKO$4),Table1[],(MATCH(Calendar!$A18,DB!$1:$1,0)),FALSE)),"")</f>
        <v/>
      </c>
      <c r="SKP18" s="28" t="str">
        <f>IFERROR(IF(SKY3="No",IF(VLOOKUP(DATE($K$1,$K$2,SKP$4),Table1[],(MATCH(Calendar!$A18,DB!$1:$1,0)),FALSE)&gt;=5,"Good","Bad"),VLOOKUP(DATE($K$1,$K$2,SKP$4),Table1[],(MATCH(Calendar!$A18,DB!$1:$1,0)),FALSE)),"")</f>
        <v/>
      </c>
      <c r="SKQ18" s="28" t="str">
        <f>IFERROR(IF(SKZ3="No",IF(VLOOKUP(DATE($K$1,$K$2,SKQ$4),Table1[],(MATCH(Calendar!$A18,DB!$1:$1,0)),FALSE)&gt;=5,"Good","Bad"),VLOOKUP(DATE($K$1,$K$2,SKQ$4),Table1[],(MATCH(Calendar!$A18,DB!$1:$1,0)),FALSE)),"")</f>
        <v/>
      </c>
      <c r="SKR18" s="28" t="str">
        <f>IFERROR(IF(SLA3="No",IF(VLOOKUP(DATE($K$1,$K$2,SKR$4),Table1[],(MATCH(Calendar!$A18,DB!$1:$1,0)),FALSE)&gt;=5,"Good","Bad"),VLOOKUP(DATE($K$1,$K$2,SKR$4),Table1[],(MATCH(Calendar!$A18,DB!$1:$1,0)),FALSE)),"")</f>
        <v/>
      </c>
      <c r="SKS18" s="28" t="str">
        <f>IFERROR(IF(SLB3="No",IF(VLOOKUP(DATE($K$1,$K$2,SKS$4),Table1[],(MATCH(Calendar!$A18,DB!$1:$1,0)),FALSE)&gt;=5,"Good","Bad"),VLOOKUP(DATE($K$1,$K$2,SKS$4),Table1[],(MATCH(Calendar!$A18,DB!$1:$1,0)),FALSE)),"")</f>
        <v/>
      </c>
      <c r="SKT18" s="28" t="str">
        <f>IFERROR(IF(SLC3="No",IF(VLOOKUP(DATE($K$1,$K$2,SKT$4),Table1[],(MATCH(Calendar!$A18,DB!$1:$1,0)),FALSE)&gt;=5,"Good","Bad"),VLOOKUP(DATE($K$1,$K$2,SKT$4),Table1[],(MATCH(Calendar!$A18,DB!$1:$1,0)),FALSE)),"")</f>
        <v/>
      </c>
      <c r="SKU18" s="28" t="str">
        <f>IFERROR(IF(SLD3="No",IF(VLOOKUP(DATE($K$1,$K$2,SKU$4),Table1[],(MATCH(Calendar!$A18,DB!$1:$1,0)),FALSE)&gt;=5,"Good","Bad"),VLOOKUP(DATE($K$1,$K$2,SKU$4),Table1[],(MATCH(Calendar!$A18,DB!$1:$1,0)),FALSE)),"")</f>
        <v/>
      </c>
      <c r="SKV18" s="28" t="str">
        <f>IFERROR(IF(SLE3="No",IF(VLOOKUP(DATE($K$1,$K$2,SKV$4),Table1[],(MATCH(Calendar!$A18,DB!$1:$1,0)),FALSE)&gt;=5,"Good","Bad"),VLOOKUP(DATE($K$1,$K$2,SKV$4),Table1[],(MATCH(Calendar!$A18,DB!$1:$1,0)),FALSE)),"")</f>
        <v/>
      </c>
      <c r="SKW18" s="28" t="str">
        <f>IFERROR(IF(SLF3="No",IF(VLOOKUP(DATE($K$1,$K$2,SKW$4),Table1[],(MATCH(Calendar!$A18,DB!$1:$1,0)),FALSE)&gt;=5,"Good","Bad"),VLOOKUP(DATE($K$1,$K$2,SKW$4),Table1[],(MATCH(Calendar!$A18,DB!$1:$1,0)),FALSE)),"")</f>
        <v/>
      </c>
      <c r="SKX18" s="28" t="str">
        <f>IFERROR(IF(SLG3="No",IF(VLOOKUP(DATE($K$1,$K$2,SKX$4),Table1[],(MATCH(Calendar!$A18,DB!$1:$1,0)),FALSE)&gt;=5,"Good","Bad"),VLOOKUP(DATE($K$1,$K$2,SKX$4),Table1[],(MATCH(Calendar!$A18,DB!$1:$1,0)),FALSE)),"")</f>
        <v/>
      </c>
      <c r="SKY18" s="28" t="str">
        <f>IFERROR(IF(SLH3="No",IF(VLOOKUP(DATE($K$1,$K$2,SKY$4),Table1[],(MATCH(Calendar!$A18,DB!$1:$1,0)),FALSE)&gt;=5,"Good","Bad"),VLOOKUP(DATE($K$1,$K$2,SKY$4),Table1[],(MATCH(Calendar!$A18,DB!$1:$1,0)),FALSE)),"")</f>
        <v/>
      </c>
      <c r="SKZ18" s="28" t="str">
        <f>IFERROR(IF(SLI3="No",IF(VLOOKUP(DATE($K$1,$K$2,SKZ$4),Table1[],(MATCH(Calendar!$A18,DB!$1:$1,0)),FALSE)&gt;=5,"Good","Bad"),VLOOKUP(DATE($K$1,$K$2,SKZ$4),Table1[],(MATCH(Calendar!$A18,DB!$1:$1,0)),FALSE)),"")</f>
        <v/>
      </c>
      <c r="SLA18" s="28" t="str">
        <f>IFERROR(IF(SLJ3="No",IF(VLOOKUP(DATE($K$1,$K$2,SLA$4),Table1[],(MATCH(Calendar!$A18,DB!$1:$1,0)),FALSE)&gt;=5,"Good","Bad"),VLOOKUP(DATE($K$1,$K$2,SLA$4),Table1[],(MATCH(Calendar!$A18,DB!$1:$1,0)),FALSE)),"")</f>
        <v/>
      </c>
      <c r="SLB18" s="28" t="str">
        <f>IFERROR(IF(SLK3="No",IF(VLOOKUP(DATE($K$1,$K$2,SLB$4),Table1[],(MATCH(Calendar!$A18,DB!$1:$1,0)),FALSE)&gt;=5,"Good","Bad"),VLOOKUP(DATE($K$1,$K$2,SLB$4),Table1[],(MATCH(Calendar!$A18,DB!$1:$1,0)),FALSE)),"")</f>
        <v/>
      </c>
      <c r="SLC18" s="28" t="str">
        <f>IFERROR(IF(SLL3="No",IF(VLOOKUP(DATE($K$1,$K$2,SLC$4),Table1[],(MATCH(Calendar!$A18,DB!$1:$1,0)),FALSE)&gt;=5,"Good","Bad"),VLOOKUP(DATE($K$1,$K$2,SLC$4),Table1[],(MATCH(Calendar!$A18,DB!$1:$1,0)),FALSE)),"")</f>
        <v/>
      </c>
      <c r="SLD18" s="28" t="str">
        <f>IFERROR(IF(SLM3="No",IF(VLOOKUP(DATE($K$1,$K$2,SLD$4),Table1[],(MATCH(Calendar!$A18,DB!$1:$1,0)),FALSE)&gt;=5,"Good","Bad"),VLOOKUP(DATE($K$1,$K$2,SLD$4),Table1[],(MATCH(Calendar!$A18,DB!$1:$1,0)),FALSE)),"")</f>
        <v/>
      </c>
      <c r="SLE18" s="28" t="str">
        <f>IFERROR(IF(SLN3="No",IF(VLOOKUP(DATE($K$1,$K$2,SLE$4),Table1[],(MATCH(Calendar!$A18,DB!$1:$1,0)),FALSE)&gt;=5,"Good","Bad"),VLOOKUP(DATE($K$1,$K$2,SLE$4),Table1[],(MATCH(Calendar!$A18,DB!$1:$1,0)),FALSE)),"")</f>
        <v/>
      </c>
      <c r="SLF18" s="28" t="str">
        <f>IFERROR(IF(SLO3="No",IF(VLOOKUP(DATE($K$1,$K$2,SLF$4),Table1[],(MATCH(Calendar!$A18,DB!$1:$1,0)),FALSE)&gt;=5,"Good","Bad"),VLOOKUP(DATE($K$1,$K$2,SLF$4),Table1[],(MATCH(Calendar!$A18,DB!$1:$1,0)),FALSE)),"")</f>
        <v/>
      </c>
      <c r="SLG18" s="28" t="str">
        <f>IFERROR(IF(SLP3="No",IF(VLOOKUP(DATE($K$1,$K$2,SLG$4),Table1[],(MATCH(Calendar!$A18,DB!$1:$1,0)),FALSE)&gt;=5,"Good","Bad"),VLOOKUP(DATE($K$1,$K$2,SLG$4),Table1[],(MATCH(Calendar!$A18,DB!$1:$1,0)),FALSE)),"")</f>
        <v/>
      </c>
      <c r="SLH18" s="28" t="str">
        <f>IFERROR(IF(SLQ3="No",IF(VLOOKUP(DATE($K$1,$K$2,SLH$4),Table1[],(MATCH(Calendar!$A18,DB!$1:$1,0)),FALSE)&gt;=5,"Good","Bad"),VLOOKUP(DATE($K$1,$K$2,SLH$4),Table1[],(MATCH(Calendar!$A18,DB!$1:$1,0)),FALSE)),"")</f>
        <v/>
      </c>
      <c r="SLI18" s="28" t="str">
        <f>IFERROR(IF(SLR3="No",IF(VLOOKUP(DATE($K$1,$K$2,SLI$4),Table1[],(MATCH(Calendar!$A18,DB!$1:$1,0)),FALSE)&gt;=5,"Good","Bad"),VLOOKUP(DATE($K$1,$K$2,SLI$4),Table1[],(MATCH(Calendar!$A18,DB!$1:$1,0)),FALSE)),"")</f>
        <v/>
      </c>
      <c r="SLJ18" s="28" t="str">
        <f>IFERROR(IF(SLS3="No",IF(VLOOKUP(DATE($K$1,$K$2,SLJ$4),Table1[],(MATCH(Calendar!$A18,DB!$1:$1,0)),FALSE)&gt;=5,"Good","Bad"),VLOOKUP(DATE($K$1,$K$2,SLJ$4),Table1[],(MATCH(Calendar!$A18,DB!$1:$1,0)),FALSE)),"")</f>
        <v/>
      </c>
      <c r="SLK18" s="28" t="str">
        <f>IFERROR(IF(SLT3="No",IF(VLOOKUP(DATE($K$1,$K$2,SLK$4),Table1[],(MATCH(Calendar!$A18,DB!$1:$1,0)),FALSE)&gt;=5,"Good","Bad"),VLOOKUP(DATE($K$1,$K$2,SLK$4),Table1[],(MATCH(Calendar!$A18,DB!$1:$1,0)),FALSE)),"")</f>
        <v/>
      </c>
      <c r="SLL18" s="28" t="str">
        <f>IFERROR(IF(SLU3="No",IF(VLOOKUP(DATE($K$1,$K$2,SLL$4),Table1[],(MATCH(Calendar!$A18,DB!$1:$1,0)),FALSE)&gt;=5,"Good","Bad"),VLOOKUP(DATE($K$1,$K$2,SLL$4),Table1[],(MATCH(Calendar!$A18,DB!$1:$1,0)),FALSE)),"")</f>
        <v/>
      </c>
      <c r="SLM18" s="28" t="str">
        <f>IFERROR(IF(SLV3="No",IF(VLOOKUP(DATE($K$1,$K$2,SLM$4),Table1[],(MATCH(Calendar!$A18,DB!$1:$1,0)),FALSE)&gt;=5,"Good","Bad"),VLOOKUP(DATE($K$1,$K$2,SLM$4),Table1[],(MATCH(Calendar!$A18,DB!$1:$1,0)),FALSE)),"")</f>
        <v/>
      </c>
      <c r="SLN18" s="28" t="str">
        <f>IFERROR(IF(SLW3="No",IF(VLOOKUP(DATE($K$1,$K$2,SLN$4),Table1[],(MATCH(Calendar!$A18,DB!$1:$1,0)),FALSE)&gt;=5,"Good","Bad"),VLOOKUP(DATE($K$1,$K$2,SLN$4),Table1[],(MATCH(Calendar!$A18,DB!$1:$1,0)),FALSE)),"")</f>
        <v/>
      </c>
      <c r="SLO18" s="28" t="str">
        <f>IFERROR(IF(SLX3="No",IF(VLOOKUP(DATE($K$1,$K$2,SLO$4),Table1[],(MATCH(Calendar!$A18,DB!$1:$1,0)),FALSE)&gt;=5,"Good","Bad"),VLOOKUP(DATE($K$1,$K$2,SLO$4),Table1[],(MATCH(Calendar!$A18,DB!$1:$1,0)),FALSE)),"")</f>
        <v/>
      </c>
      <c r="SLP18" s="28" t="str">
        <f>IFERROR(IF(SLY3="No",IF(VLOOKUP(DATE($K$1,$K$2,SLP$4),Table1[],(MATCH(Calendar!$A18,DB!$1:$1,0)),FALSE)&gt;=5,"Good","Bad"),VLOOKUP(DATE($K$1,$K$2,SLP$4),Table1[],(MATCH(Calendar!$A18,DB!$1:$1,0)),FALSE)),"")</f>
        <v/>
      </c>
      <c r="SLQ18" s="28" t="str">
        <f>IFERROR(IF(SLZ3="No",IF(VLOOKUP(DATE($K$1,$K$2,SLQ$4),Table1[],(MATCH(Calendar!$A18,DB!$1:$1,0)),FALSE)&gt;=5,"Good","Bad"),VLOOKUP(DATE($K$1,$K$2,SLQ$4),Table1[],(MATCH(Calendar!$A18,DB!$1:$1,0)),FALSE)),"")</f>
        <v/>
      </c>
      <c r="SLR18" s="28" t="str">
        <f>IFERROR(IF(SMA3="No",IF(VLOOKUP(DATE($K$1,$K$2,SLR$4),Table1[],(MATCH(Calendar!$A18,DB!$1:$1,0)),FALSE)&gt;=5,"Good","Bad"),VLOOKUP(DATE($K$1,$K$2,SLR$4),Table1[],(MATCH(Calendar!$A18,DB!$1:$1,0)),FALSE)),"")</f>
        <v/>
      </c>
      <c r="SLS18" s="28" t="str">
        <f>IFERROR(IF(SMB3="No",IF(VLOOKUP(DATE($K$1,$K$2,SLS$4),Table1[],(MATCH(Calendar!$A18,DB!$1:$1,0)),FALSE)&gt;=5,"Good","Bad"),VLOOKUP(DATE($K$1,$K$2,SLS$4),Table1[],(MATCH(Calendar!$A18,DB!$1:$1,0)),FALSE)),"")</f>
        <v/>
      </c>
      <c r="SLT18" s="28" t="str">
        <f>IFERROR(IF(SMC3="No",IF(VLOOKUP(DATE($K$1,$K$2,SLT$4),Table1[],(MATCH(Calendar!$A18,DB!$1:$1,0)),FALSE)&gt;=5,"Good","Bad"),VLOOKUP(DATE($K$1,$K$2,SLT$4),Table1[],(MATCH(Calendar!$A18,DB!$1:$1,0)),FALSE)),"")</f>
        <v/>
      </c>
      <c r="SLU18" s="28" t="str">
        <f>IFERROR(IF(SMD3="No",IF(VLOOKUP(DATE($K$1,$K$2,SLU$4),Table1[],(MATCH(Calendar!$A18,DB!$1:$1,0)),FALSE)&gt;=5,"Good","Bad"),VLOOKUP(DATE($K$1,$K$2,SLU$4),Table1[],(MATCH(Calendar!$A18,DB!$1:$1,0)),FALSE)),"")</f>
        <v/>
      </c>
      <c r="SLV18" s="28" t="str">
        <f>IFERROR(IF(SME3="No",IF(VLOOKUP(DATE($K$1,$K$2,SLV$4),Table1[],(MATCH(Calendar!$A18,DB!$1:$1,0)),FALSE)&gt;=5,"Good","Bad"),VLOOKUP(DATE($K$1,$K$2,SLV$4),Table1[],(MATCH(Calendar!$A18,DB!$1:$1,0)),FALSE)),"")</f>
        <v/>
      </c>
      <c r="SLW18" s="28" t="str">
        <f>IFERROR(IF(SMF3="No",IF(VLOOKUP(DATE($K$1,$K$2,SLW$4),Table1[],(MATCH(Calendar!$A18,DB!$1:$1,0)),FALSE)&gt;=5,"Good","Bad"),VLOOKUP(DATE($K$1,$K$2,SLW$4),Table1[],(MATCH(Calendar!$A18,DB!$1:$1,0)),FALSE)),"")</f>
        <v/>
      </c>
      <c r="SLX18" s="28" t="str">
        <f>IFERROR(IF(SMG3="No",IF(VLOOKUP(DATE($K$1,$K$2,SLX$4),Table1[],(MATCH(Calendar!$A18,DB!$1:$1,0)),FALSE)&gt;=5,"Good","Bad"),VLOOKUP(DATE($K$1,$K$2,SLX$4),Table1[],(MATCH(Calendar!$A18,DB!$1:$1,0)),FALSE)),"")</f>
        <v/>
      </c>
      <c r="SLY18" s="28" t="str">
        <f>IFERROR(IF(SMH3="No",IF(VLOOKUP(DATE($K$1,$K$2,SLY$4),Table1[],(MATCH(Calendar!$A18,DB!$1:$1,0)),FALSE)&gt;=5,"Good","Bad"),VLOOKUP(DATE($K$1,$K$2,SLY$4),Table1[],(MATCH(Calendar!$A18,DB!$1:$1,0)),FALSE)),"")</f>
        <v/>
      </c>
      <c r="SLZ18" s="28" t="str">
        <f>IFERROR(IF(SMI3="No",IF(VLOOKUP(DATE($K$1,$K$2,SLZ$4),Table1[],(MATCH(Calendar!$A18,DB!$1:$1,0)),FALSE)&gt;=5,"Good","Bad"),VLOOKUP(DATE($K$1,$K$2,SLZ$4),Table1[],(MATCH(Calendar!$A18,DB!$1:$1,0)),FALSE)),"")</f>
        <v/>
      </c>
      <c r="SMA18" s="28" t="str">
        <f>IFERROR(IF(SMJ3="No",IF(VLOOKUP(DATE($K$1,$K$2,SMA$4),Table1[],(MATCH(Calendar!$A18,DB!$1:$1,0)),FALSE)&gt;=5,"Good","Bad"),VLOOKUP(DATE($K$1,$K$2,SMA$4),Table1[],(MATCH(Calendar!$A18,DB!$1:$1,0)),FALSE)),"")</f>
        <v/>
      </c>
      <c r="SMB18" s="28" t="str">
        <f>IFERROR(IF(SMK3="No",IF(VLOOKUP(DATE($K$1,$K$2,SMB$4),Table1[],(MATCH(Calendar!$A18,DB!$1:$1,0)),FALSE)&gt;=5,"Good","Bad"),VLOOKUP(DATE($K$1,$K$2,SMB$4),Table1[],(MATCH(Calendar!$A18,DB!$1:$1,0)),FALSE)),"")</f>
        <v/>
      </c>
      <c r="SMC18" s="28" t="str">
        <f>IFERROR(IF(SML3="No",IF(VLOOKUP(DATE($K$1,$K$2,SMC$4),Table1[],(MATCH(Calendar!$A18,DB!$1:$1,0)),FALSE)&gt;=5,"Good","Bad"),VLOOKUP(DATE($K$1,$K$2,SMC$4),Table1[],(MATCH(Calendar!$A18,DB!$1:$1,0)),FALSE)),"")</f>
        <v/>
      </c>
      <c r="SMD18" s="28" t="str">
        <f>IFERROR(IF(SMM3="No",IF(VLOOKUP(DATE($K$1,$K$2,SMD$4),Table1[],(MATCH(Calendar!$A18,DB!$1:$1,0)),FALSE)&gt;=5,"Good","Bad"),VLOOKUP(DATE($K$1,$K$2,SMD$4),Table1[],(MATCH(Calendar!$A18,DB!$1:$1,0)),FALSE)),"")</f>
        <v/>
      </c>
      <c r="SME18" s="28" t="str">
        <f>IFERROR(IF(SMN3="No",IF(VLOOKUP(DATE($K$1,$K$2,SME$4),Table1[],(MATCH(Calendar!$A18,DB!$1:$1,0)),FALSE)&gt;=5,"Good","Bad"),VLOOKUP(DATE($K$1,$K$2,SME$4),Table1[],(MATCH(Calendar!$A18,DB!$1:$1,0)),FALSE)),"")</f>
        <v/>
      </c>
      <c r="SMF18" s="28" t="str">
        <f>IFERROR(IF(SMO3="No",IF(VLOOKUP(DATE($K$1,$K$2,SMF$4),Table1[],(MATCH(Calendar!$A18,DB!$1:$1,0)),FALSE)&gt;=5,"Good","Bad"),VLOOKUP(DATE($K$1,$K$2,SMF$4),Table1[],(MATCH(Calendar!$A18,DB!$1:$1,0)),FALSE)),"")</f>
        <v/>
      </c>
      <c r="SMG18" s="28" t="str">
        <f>IFERROR(IF(SMP3="No",IF(VLOOKUP(DATE($K$1,$K$2,SMG$4),Table1[],(MATCH(Calendar!$A18,DB!$1:$1,0)),FALSE)&gt;=5,"Good","Bad"),VLOOKUP(DATE($K$1,$K$2,SMG$4),Table1[],(MATCH(Calendar!$A18,DB!$1:$1,0)),FALSE)),"")</f>
        <v/>
      </c>
      <c r="SMH18" s="28" t="str">
        <f>IFERROR(IF(SMQ3="No",IF(VLOOKUP(DATE($K$1,$K$2,SMH$4),Table1[],(MATCH(Calendar!$A18,DB!$1:$1,0)),FALSE)&gt;=5,"Good","Bad"),VLOOKUP(DATE($K$1,$K$2,SMH$4),Table1[],(MATCH(Calendar!$A18,DB!$1:$1,0)),FALSE)),"")</f>
        <v/>
      </c>
      <c r="SMI18" s="28" t="str">
        <f>IFERROR(IF(SMR3="No",IF(VLOOKUP(DATE($K$1,$K$2,SMI$4),Table1[],(MATCH(Calendar!$A18,DB!$1:$1,0)),FALSE)&gt;=5,"Good","Bad"),VLOOKUP(DATE($K$1,$K$2,SMI$4),Table1[],(MATCH(Calendar!$A18,DB!$1:$1,0)),FALSE)),"")</f>
        <v/>
      </c>
      <c r="SMJ18" s="28" t="str">
        <f>IFERROR(IF(SMS3="No",IF(VLOOKUP(DATE($K$1,$K$2,SMJ$4),Table1[],(MATCH(Calendar!$A18,DB!$1:$1,0)),FALSE)&gt;=5,"Good","Bad"),VLOOKUP(DATE($K$1,$K$2,SMJ$4),Table1[],(MATCH(Calendar!$A18,DB!$1:$1,0)),FALSE)),"")</f>
        <v/>
      </c>
      <c r="SMK18" s="28" t="str">
        <f>IFERROR(IF(SMT3="No",IF(VLOOKUP(DATE($K$1,$K$2,SMK$4),Table1[],(MATCH(Calendar!$A18,DB!$1:$1,0)),FALSE)&gt;=5,"Good","Bad"),VLOOKUP(DATE($K$1,$K$2,SMK$4),Table1[],(MATCH(Calendar!$A18,DB!$1:$1,0)),FALSE)),"")</f>
        <v/>
      </c>
      <c r="SML18" s="28" t="str">
        <f>IFERROR(IF(SMU3="No",IF(VLOOKUP(DATE($K$1,$K$2,SML$4),Table1[],(MATCH(Calendar!$A18,DB!$1:$1,0)),FALSE)&gt;=5,"Good","Bad"),VLOOKUP(DATE($K$1,$K$2,SML$4),Table1[],(MATCH(Calendar!$A18,DB!$1:$1,0)),FALSE)),"")</f>
        <v/>
      </c>
      <c r="SMM18" s="28" t="str">
        <f>IFERROR(IF(SMV3="No",IF(VLOOKUP(DATE($K$1,$K$2,SMM$4),Table1[],(MATCH(Calendar!$A18,DB!$1:$1,0)),FALSE)&gt;=5,"Good","Bad"),VLOOKUP(DATE($K$1,$K$2,SMM$4),Table1[],(MATCH(Calendar!$A18,DB!$1:$1,0)),FALSE)),"")</f>
        <v/>
      </c>
      <c r="SMN18" s="28" t="str">
        <f>IFERROR(IF(SMW3="No",IF(VLOOKUP(DATE($K$1,$K$2,SMN$4),Table1[],(MATCH(Calendar!$A18,DB!$1:$1,0)),FALSE)&gt;=5,"Good","Bad"),VLOOKUP(DATE($K$1,$K$2,SMN$4),Table1[],(MATCH(Calendar!$A18,DB!$1:$1,0)),FALSE)),"")</f>
        <v/>
      </c>
      <c r="SMO18" s="28" t="str">
        <f>IFERROR(IF(SMX3="No",IF(VLOOKUP(DATE($K$1,$K$2,SMO$4),Table1[],(MATCH(Calendar!$A18,DB!$1:$1,0)),FALSE)&gt;=5,"Good","Bad"),VLOOKUP(DATE($K$1,$K$2,SMO$4),Table1[],(MATCH(Calendar!$A18,DB!$1:$1,0)),FALSE)),"")</f>
        <v/>
      </c>
      <c r="SMP18" s="28" t="str">
        <f>IFERROR(IF(SMY3="No",IF(VLOOKUP(DATE($K$1,$K$2,SMP$4),Table1[],(MATCH(Calendar!$A18,DB!$1:$1,0)),FALSE)&gt;=5,"Good","Bad"),VLOOKUP(DATE($K$1,$K$2,SMP$4),Table1[],(MATCH(Calendar!$A18,DB!$1:$1,0)),FALSE)),"")</f>
        <v/>
      </c>
      <c r="SMQ18" s="28" t="str">
        <f>IFERROR(IF(SMZ3="No",IF(VLOOKUP(DATE($K$1,$K$2,SMQ$4),Table1[],(MATCH(Calendar!$A18,DB!$1:$1,0)),FALSE)&gt;=5,"Good","Bad"),VLOOKUP(DATE($K$1,$K$2,SMQ$4),Table1[],(MATCH(Calendar!$A18,DB!$1:$1,0)),FALSE)),"")</f>
        <v/>
      </c>
      <c r="SMR18" s="28" t="str">
        <f>IFERROR(IF(SNA3="No",IF(VLOOKUP(DATE($K$1,$K$2,SMR$4),Table1[],(MATCH(Calendar!$A18,DB!$1:$1,0)),FALSE)&gt;=5,"Good","Bad"),VLOOKUP(DATE($K$1,$K$2,SMR$4),Table1[],(MATCH(Calendar!$A18,DB!$1:$1,0)),FALSE)),"")</f>
        <v/>
      </c>
      <c r="SMS18" s="28" t="str">
        <f>IFERROR(IF(SNB3="No",IF(VLOOKUP(DATE($K$1,$K$2,SMS$4),Table1[],(MATCH(Calendar!$A18,DB!$1:$1,0)),FALSE)&gt;=5,"Good","Bad"),VLOOKUP(DATE($K$1,$K$2,SMS$4),Table1[],(MATCH(Calendar!$A18,DB!$1:$1,0)),FALSE)),"")</f>
        <v/>
      </c>
      <c r="SMT18" s="28" t="str">
        <f>IFERROR(IF(SNC3="No",IF(VLOOKUP(DATE($K$1,$K$2,SMT$4),Table1[],(MATCH(Calendar!$A18,DB!$1:$1,0)),FALSE)&gt;=5,"Good","Bad"),VLOOKUP(DATE($K$1,$K$2,SMT$4),Table1[],(MATCH(Calendar!$A18,DB!$1:$1,0)),FALSE)),"")</f>
        <v/>
      </c>
      <c r="SMU18" s="28" t="str">
        <f>IFERROR(IF(SND3="No",IF(VLOOKUP(DATE($K$1,$K$2,SMU$4),Table1[],(MATCH(Calendar!$A18,DB!$1:$1,0)),FALSE)&gt;=5,"Good","Bad"),VLOOKUP(DATE($K$1,$K$2,SMU$4),Table1[],(MATCH(Calendar!$A18,DB!$1:$1,0)),FALSE)),"")</f>
        <v/>
      </c>
      <c r="SMV18" s="28" t="str">
        <f>IFERROR(IF(SNE3="No",IF(VLOOKUP(DATE($K$1,$K$2,SMV$4),Table1[],(MATCH(Calendar!$A18,DB!$1:$1,0)),FALSE)&gt;=5,"Good","Bad"),VLOOKUP(DATE($K$1,$K$2,SMV$4),Table1[],(MATCH(Calendar!$A18,DB!$1:$1,0)),FALSE)),"")</f>
        <v/>
      </c>
      <c r="SMW18" s="28" t="str">
        <f>IFERROR(IF(SNF3="No",IF(VLOOKUP(DATE($K$1,$K$2,SMW$4),Table1[],(MATCH(Calendar!$A18,DB!$1:$1,0)),FALSE)&gt;=5,"Good","Bad"),VLOOKUP(DATE($K$1,$K$2,SMW$4),Table1[],(MATCH(Calendar!$A18,DB!$1:$1,0)),FALSE)),"")</f>
        <v/>
      </c>
      <c r="SMX18" s="28" t="str">
        <f>IFERROR(IF(SNG3="No",IF(VLOOKUP(DATE($K$1,$K$2,SMX$4),Table1[],(MATCH(Calendar!$A18,DB!$1:$1,0)),FALSE)&gt;=5,"Good","Bad"),VLOOKUP(DATE($K$1,$K$2,SMX$4),Table1[],(MATCH(Calendar!$A18,DB!$1:$1,0)),FALSE)),"")</f>
        <v/>
      </c>
      <c r="SMY18" s="28" t="str">
        <f>IFERROR(IF(SNH3="No",IF(VLOOKUP(DATE($K$1,$K$2,SMY$4),Table1[],(MATCH(Calendar!$A18,DB!$1:$1,0)),FALSE)&gt;=5,"Good","Bad"),VLOOKUP(DATE($K$1,$K$2,SMY$4),Table1[],(MATCH(Calendar!$A18,DB!$1:$1,0)),FALSE)),"")</f>
        <v/>
      </c>
      <c r="SMZ18" s="28" t="str">
        <f>IFERROR(IF(SNI3="No",IF(VLOOKUP(DATE($K$1,$K$2,SMZ$4),Table1[],(MATCH(Calendar!$A18,DB!$1:$1,0)),FALSE)&gt;=5,"Good","Bad"),VLOOKUP(DATE($K$1,$K$2,SMZ$4),Table1[],(MATCH(Calendar!$A18,DB!$1:$1,0)),FALSE)),"")</f>
        <v/>
      </c>
      <c r="SNA18" s="28" t="str">
        <f>IFERROR(IF(SNJ3="No",IF(VLOOKUP(DATE($K$1,$K$2,SNA$4),Table1[],(MATCH(Calendar!$A18,DB!$1:$1,0)),FALSE)&gt;=5,"Good","Bad"),VLOOKUP(DATE($K$1,$K$2,SNA$4),Table1[],(MATCH(Calendar!$A18,DB!$1:$1,0)),FALSE)),"")</f>
        <v/>
      </c>
      <c r="SNB18" s="28" t="str">
        <f>IFERROR(IF(SNK3="No",IF(VLOOKUP(DATE($K$1,$K$2,SNB$4),Table1[],(MATCH(Calendar!$A18,DB!$1:$1,0)),FALSE)&gt;=5,"Good","Bad"),VLOOKUP(DATE($K$1,$K$2,SNB$4),Table1[],(MATCH(Calendar!$A18,DB!$1:$1,0)),FALSE)),"")</f>
        <v/>
      </c>
      <c r="SNC18" s="28" t="str">
        <f>IFERROR(IF(SNL3="No",IF(VLOOKUP(DATE($K$1,$K$2,SNC$4),Table1[],(MATCH(Calendar!$A18,DB!$1:$1,0)),FALSE)&gt;=5,"Good","Bad"),VLOOKUP(DATE($K$1,$K$2,SNC$4),Table1[],(MATCH(Calendar!$A18,DB!$1:$1,0)),FALSE)),"")</f>
        <v/>
      </c>
      <c r="SND18" s="28" t="str">
        <f>IFERROR(IF(SNM3="No",IF(VLOOKUP(DATE($K$1,$K$2,SND$4),Table1[],(MATCH(Calendar!$A18,DB!$1:$1,0)),FALSE)&gt;=5,"Good","Bad"),VLOOKUP(DATE($K$1,$K$2,SND$4),Table1[],(MATCH(Calendar!$A18,DB!$1:$1,0)),FALSE)),"")</f>
        <v/>
      </c>
      <c r="SNE18" s="28" t="str">
        <f>IFERROR(IF(SNN3="No",IF(VLOOKUP(DATE($K$1,$K$2,SNE$4),Table1[],(MATCH(Calendar!$A18,DB!$1:$1,0)),FALSE)&gt;=5,"Good","Bad"),VLOOKUP(DATE($K$1,$K$2,SNE$4),Table1[],(MATCH(Calendar!$A18,DB!$1:$1,0)),FALSE)),"")</f>
        <v/>
      </c>
      <c r="SNF18" s="28" t="str">
        <f>IFERROR(IF(SNO3="No",IF(VLOOKUP(DATE($K$1,$K$2,SNF$4),Table1[],(MATCH(Calendar!$A18,DB!$1:$1,0)),FALSE)&gt;=5,"Good","Bad"),VLOOKUP(DATE($K$1,$K$2,SNF$4),Table1[],(MATCH(Calendar!$A18,DB!$1:$1,0)),FALSE)),"")</f>
        <v/>
      </c>
      <c r="SNG18" s="28" t="str">
        <f>IFERROR(IF(SNP3="No",IF(VLOOKUP(DATE($K$1,$K$2,SNG$4),Table1[],(MATCH(Calendar!$A18,DB!$1:$1,0)),FALSE)&gt;=5,"Good","Bad"),VLOOKUP(DATE($K$1,$K$2,SNG$4),Table1[],(MATCH(Calendar!$A18,DB!$1:$1,0)),FALSE)),"")</f>
        <v/>
      </c>
      <c r="SNH18" s="28" t="str">
        <f>IFERROR(IF(SNQ3="No",IF(VLOOKUP(DATE($K$1,$K$2,SNH$4),Table1[],(MATCH(Calendar!$A18,DB!$1:$1,0)),FALSE)&gt;=5,"Good","Bad"),VLOOKUP(DATE($K$1,$K$2,SNH$4),Table1[],(MATCH(Calendar!$A18,DB!$1:$1,0)),FALSE)),"")</f>
        <v/>
      </c>
      <c r="SNI18" s="28" t="str">
        <f>IFERROR(IF(SNR3="No",IF(VLOOKUP(DATE($K$1,$K$2,SNI$4),Table1[],(MATCH(Calendar!$A18,DB!$1:$1,0)),FALSE)&gt;=5,"Good","Bad"),VLOOKUP(DATE($K$1,$K$2,SNI$4),Table1[],(MATCH(Calendar!$A18,DB!$1:$1,0)),FALSE)),"")</f>
        <v/>
      </c>
      <c r="SNJ18" s="28" t="str">
        <f>IFERROR(IF(SNS3="No",IF(VLOOKUP(DATE($K$1,$K$2,SNJ$4),Table1[],(MATCH(Calendar!$A18,DB!$1:$1,0)),FALSE)&gt;=5,"Good","Bad"),VLOOKUP(DATE($K$1,$K$2,SNJ$4),Table1[],(MATCH(Calendar!$A18,DB!$1:$1,0)),FALSE)),"")</f>
        <v/>
      </c>
      <c r="SNK18" s="28" t="str">
        <f>IFERROR(IF(SNT3="No",IF(VLOOKUP(DATE($K$1,$K$2,SNK$4),Table1[],(MATCH(Calendar!$A18,DB!$1:$1,0)),FALSE)&gt;=5,"Good","Bad"),VLOOKUP(DATE($K$1,$K$2,SNK$4),Table1[],(MATCH(Calendar!$A18,DB!$1:$1,0)),FALSE)),"")</f>
        <v/>
      </c>
      <c r="SNL18" s="28" t="str">
        <f>IFERROR(IF(SNU3="No",IF(VLOOKUP(DATE($K$1,$K$2,SNL$4),Table1[],(MATCH(Calendar!$A18,DB!$1:$1,0)),FALSE)&gt;=5,"Good","Bad"),VLOOKUP(DATE($K$1,$K$2,SNL$4),Table1[],(MATCH(Calendar!$A18,DB!$1:$1,0)),FALSE)),"")</f>
        <v/>
      </c>
      <c r="SNM18" s="28" t="str">
        <f>IFERROR(IF(SNV3="No",IF(VLOOKUP(DATE($K$1,$K$2,SNM$4),Table1[],(MATCH(Calendar!$A18,DB!$1:$1,0)),FALSE)&gt;=5,"Good","Bad"),VLOOKUP(DATE($K$1,$K$2,SNM$4),Table1[],(MATCH(Calendar!$A18,DB!$1:$1,0)),FALSE)),"")</f>
        <v/>
      </c>
      <c r="SNN18" s="28" t="str">
        <f>IFERROR(IF(SNW3="No",IF(VLOOKUP(DATE($K$1,$K$2,SNN$4),Table1[],(MATCH(Calendar!$A18,DB!$1:$1,0)),FALSE)&gt;=5,"Good","Bad"),VLOOKUP(DATE($K$1,$K$2,SNN$4),Table1[],(MATCH(Calendar!$A18,DB!$1:$1,0)),FALSE)),"")</f>
        <v/>
      </c>
      <c r="SNO18" s="28" t="str">
        <f>IFERROR(IF(SNX3="No",IF(VLOOKUP(DATE($K$1,$K$2,SNO$4),Table1[],(MATCH(Calendar!$A18,DB!$1:$1,0)),FALSE)&gt;=5,"Good","Bad"),VLOOKUP(DATE($K$1,$K$2,SNO$4),Table1[],(MATCH(Calendar!$A18,DB!$1:$1,0)),FALSE)),"")</f>
        <v/>
      </c>
      <c r="SNP18" s="28" t="str">
        <f>IFERROR(IF(SNY3="No",IF(VLOOKUP(DATE($K$1,$K$2,SNP$4),Table1[],(MATCH(Calendar!$A18,DB!$1:$1,0)),FALSE)&gt;=5,"Good","Bad"),VLOOKUP(DATE($K$1,$K$2,SNP$4),Table1[],(MATCH(Calendar!$A18,DB!$1:$1,0)),FALSE)),"")</f>
        <v/>
      </c>
      <c r="SNQ18" s="28" t="str">
        <f>IFERROR(IF(SNZ3="No",IF(VLOOKUP(DATE($K$1,$K$2,SNQ$4),Table1[],(MATCH(Calendar!$A18,DB!$1:$1,0)),FALSE)&gt;=5,"Good","Bad"),VLOOKUP(DATE($K$1,$K$2,SNQ$4),Table1[],(MATCH(Calendar!$A18,DB!$1:$1,0)),FALSE)),"")</f>
        <v/>
      </c>
      <c r="SNR18" s="28" t="str">
        <f>IFERROR(IF(SOA3="No",IF(VLOOKUP(DATE($K$1,$K$2,SNR$4),Table1[],(MATCH(Calendar!$A18,DB!$1:$1,0)),FALSE)&gt;=5,"Good","Bad"),VLOOKUP(DATE($K$1,$K$2,SNR$4),Table1[],(MATCH(Calendar!$A18,DB!$1:$1,0)),FALSE)),"")</f>
        <v/>
      </c>
      <c r="SNS18" s="28" t="str">
        <f>IFERROR(IF(SOB3="No",IF(VLOOKUP(DATE($K$1,$K$2,SNS$4),Table1[],(MATCH(Calendar!$A18,DB!$1:$1,0)),FALSE)&gt;=5,"Good","Bad"),VLOOKUP(DATE($K$1,$K$2,SNS$4),Table1[],(MATCH(Calendar!$A18,DB!$1:$1,0)),FALSE)),"")</f>
        <v/>
      </c>
      <c r="SNT18" s="28" t="str">
        <f>IFERROR(IF(SOC3="No",IF(VLOOKUP(DATE($K$1,$K$2,SNT$4),Table1[],(MATCH(Calendar!$A18,DB!$1:$1,0)),FALSE)&gt;=5,"Good","Bad"),VLOOKUP(DATE($K$1,$K$2,SNT$4),Table1[],(MATCH(Calendar!$A18,DB!$1:$1,0)),FALSE)),"")</f>
        <v/>
      </c>
      <c r="SNU18" s="28" t="str">
        <f>IFERROR(IF(SOD3="No",IF(VLOOKUP(DATE($K$1,$K$2,SNU$4),Table1[],(MATCH(Calendar!$A18,DB!$1:$1,0)),FALSE)&gt;=5,"Good","Bad"),VLOOKUP(DATE($K$1,$K$2,SNU$4),Table1[],(MATCH(Calendar!$A18,DB!$1:$1,0)),FALSE)),"")</f>
        <v/>
      </c>
      <c r="SNV18" s="28" t="str">
        <f>IFERROR(IF(SOE3="No",IF(VLOOKUP(DATE($K$1,$K$2,SNV$4),Table1[],(MATCH(Calendar!$A18,DB!$1:$1,0)),FALSE)&gt;=5,"Good","Bad"),VLOOKUP(DATE($K$1,$K$2,SNV$4),Table1[],(MATCH(Calendar!$A18,DB!$1:$1,0)),FALSE)),"")</f>
        <v/>
      </c>
      <c r="SNW18" s="28" t="str">
        <f>IFERROR(IF(SOF3="No",IF(VLOOKUP(DATE($K$1,$K$2,SNW$4),Table1[],(MATCH(Calendar!$A18,DB!$1:$1,0)),FALSE)&gt;=5,"Good","Bad"),VLOOKUP(DATE($K$1,$K$2,SNW$4),Table1[],(MATCH(Calendar!$A18,DB!$1:$1,0)),FALSE)),"")</f>
        <v/>
      </c>
      <c r="SNX18" s="28" t="str">
        <f>IFERROR(IF(SOG3="No",IF(VLOOKUP(DATE($K$1,$K$2,SNX$4),Table1[],(MATCH(Calendar!$A18,DB!$1:$1,0)),FALSE)&gt;=5,"Good","Bad"),VLOOKUP(DATE($K$1,$K$2,SNX$4),Table1[],(MATCH(Calendar!$A18,DB!$1:$1,0)),FALSE)),"")</f>
        <v/>
      </c>
      <c r="SNY18" s="28" t="str">
        <f>IFERROR(IF(SOH3="No",IF(VLOOKUP(DATE($K$1,$K$2,SNY$4),Table1[],(MATCH(Calendar!$A18,DB!$1:$1,0)),FALSE)&gt;=5,"Good","Bad"),VLOOKUP(DATE($K$1,$K$2,SNY$4),Table1[],(MATCH(Calendar!$A18,DB!$1:$1,0)),FALSE)),"")</f>
        <v/>
      </c>
      <c r="SNZ18" s="28" t="str">
        <f>IFERROR(IF(SOI3="No",IF(VLOOKUP(DATE($K$1,$K$2,SNZ$4),Table1[],(MATCH(Calendar!$A18,DB!$1:$1,0)),FALSE)&gt;=5,"Good","Bad"),VLOOKUP(DATE($K$1,$K$2,SNZ$4),Table1[],(MATCH(Calendar!$A18,DB!$1:$1,0)),FALSE)),"")</f>
        <v/>
      </c>
      <c r="SOA18" s="28" t="str">
        <f>IFERROR(IF(SOJ3="No",IF(VLOOKUP(DATE($K$1,$K$2,SOA$4),Table1[],(MATCH(Calendar!$A18,DB!$1:$1,0)),FALSE)&gt;=5,"Good","Bad"),VLOOKUP(DATE($K$1,$K$2,SOA$4),Table1[],(MATCH(Calendar!$A18,DB!$1:$1,0)),FALSE)),"")</f>
        <v/>
      </c>
      <c r="SOB18" s="28" t="str">
        <f>IFERROR(IF(SOK3="No",IF(VLOOKUP(DATE($K$1,$K$2,SOB$4),Table1[],(MATCH(Calendar!$A18,DB!$1:$1,0)),FALSE)&gt;=5,"Good","Bad"),VLOOKUP(DATE($K$1,$K$2,SOB$4),Table1[],(MATCH(Calendar!$A18,DB!$1:$1,0)),FALSE)),"")</f>
        <v/>
      </c>
      <c r="SOC18" s="28" t="str">
        <f>IFERROR(IF(SOL3="No",IF(VLOOKUP(DATE($K$1,$K$2,SOC$4),Table1[],(MATCH(Calendar!$A18,DB!$1:$1,0)),FALSE)&gt;=5,"Good","Bad"),VLOOKUP(DATE($K$1,$K$2,SOC$4),Table1[],(MATCH(Calendar!$A18,DB!$1:$1,0)),FALSE)),"")</f>
        <v/>
      </c>
      <c r="SOD18" s="28" t="str">
        <f>IFERROR(IF(SOM3="No",IF(VLOOKUP(DATE($K$1,$K$2,SOD$4),Table1[],(MATCH(Calendar!$A18,DB!$1:$1,0)),FALSE)&gt;=5,"Good","Bad"),VLOOKUP(DATE($K$1,$K$2,SOD$4),Table1[],(MATCH(Calendar!$A18,DB!$1:$1,0)),FALSE)),"")</f>
        <v/>
      </c>
      <c r="SOE18" s="28" t="str">
        <f>IFERROR(IF(SON3="No",IF(VLOOKUP(DATE($K$1,$K$2,SOE$4),Table1[],(MATCH(Calendar!$A18,DB!$1:$1,0)),FALSE)&gt;=5,"Good","Bad"),VLOOKUP(DATE($K$1,$K$2,SOE$4),Table1[],(MATCH(Calendar!$A18,DB!$1:$1,0)),FALSE)),"")</f>
        <v/>
      </c>
      <c r="SOF18" s="28" t="str">
        <f>IFERROR(IF(SOO3="No",IF(VLOOKUP(DATE($K$1,$K$2,SOF$4),Table1[],(MATCH(Calendar!$A18,DB!$1:$1,0)),FALSE)&gt;=5,"Good","Bad"),VLOOKUP(DATE($K$1,$K$2,SOF$4),Table1[],(MATCH(Calendar!$A18,DB!$1:$1,0)),FALSE)),"")</f>
        <v/>
      </c>
      <c r="SOG18" s="28" t="str">
        <f>IFERROR(IF(SOP3="No",IF(VLOOKUP(DATE($K$1,$K$2,SOG$4),Table1[],(MATCH(Calendar!$A18,DB!$1:$1,0)),FALSE)&gt;=5,"Good","Bad"),VLOOKUP(DATE($K$1,$K$2,SOG$4),Table1[],(MATCH(Calendar!$A18,DB!$1:$1,0)),FALSE)),"")</f>
        <v/>
      </c>
      <c r="SOH18" s="28" t="str">
        <f>IFERROR(IF(SOQ3="No",IF(VLOOKUP(DATE($K$1,$K$2,SOH$4),Table1[],(MATCH(Calendar!$A18,DB!$1:$1,0)),FALSE)&gt;=5,"Good","Bad"),VLOOKUP(DATE($K$1,$K$2,SOH$4),Table1[],(MATCH(Calendar!$A18,DB!$1:$1,0)),FALSE)),"")</f>
        <v/>
      </c>
      <c r="SOI18" s="28" t="str">
        <f>IFERROR(IF(SOR3="No",IF(VLOOKUP(DATE($K$1,$K$2,SOI$4),Table1[],(MATCH(Calendar!$A18,DB!$1:$1,0)),FALSE)&gt;=5,"Good","Bad"),VLOOKUP(DATE($K$1,$K$2,SOI$4),Table1[],(MATCH(Calendar!$A18,DB!$1:$1,0)),FALSE)),"")</f>
        <v/>
      </c>
      <c r="SOJ18" s="28" t="str">
        <f>IFERROR(IF(SOS3="No",IF(VLOOKUP(DATE($K$1,$K$2,SOJ$4),Table1[],(MATCH(Calendar!$A18,DB!$1:$1,0)),FALSE)&gt;=5,"Good","Bad"),VLOOKUP(DATE($K$1,$K$2,SOJ$4),Table1[],(MATCH(Calendar!$A18,DB!$1:$1,0)),FALSE)),"")</f>
        <v/>
      </c>
      <c r="SOK18" s="28" t="str">
        <f>IFERROR(IF(SOT3="No",IF(VLOOKUP(DATE($K$1,$K$2,SOK$4),Table1[],(MATCH(Calendar!$A18,DB!$1:$1,0)),FALSE)&gt;=5,"Good","Bad"),VLOOKUP(DATE($K$1,$K$2,SOK$4),Table1[],(MATCH(Calendar!$A18,DB!$1:$1,0)),FALSE)),"")</f>
        <v/>
      </c>
      <c r="SOL18" s="28" t="str">
        <f>IFERROR(IF(SOU3="No",IF(VLOOKUP(DATE($K$1,$K$2,SOL$4),Table1[],(MATCH(Calendar!$A18,DB!$1:$1,0)),FALSE)&gt;=5,"Good","Bad"),VLOOKUP(DATE($K$1,$K$2,SOL$4),Table1[],(MATCH(Calendar!$A18,DB!$1:$1,0)),FALSE)),"")</f>
        <v/>
      </c>
      <c r="SOM18" s="28" t="str">
        <f>IFERROR(IF(SOV3="No",IF(VLOOKUP(DATE($K$1,$K$2,SOM$4),Table1[],(MATCH(Calendar!$A18,DB!$1:$1,0)),FALSE)&gt;=5,"Good","Bad"),VLOOKUP(DATE($K$1,$K$2,SOM$4),Table1[],(MATCH(Calendar!$A18,DB!$1:$1,0)),FALSE)),"")</f>
        <v/>
      </c>
      <c r="SON18" s="28" t="str">
        <f>IFERROR(IF(SOW3="No",IF(VLOOKUP(DATE($K$1,$K$2,SON$4),Table1[],(MATCH(Calendar!$A18,DB!$1:$1,0)),FALSE)&gt;=5,"Good","Bad"),VLOOKUP(DATE($K$1,$K$2,SON$4),Table1[],(MATCH(Calendar!$A18,DB!$1:$1,0)),FALSE)),"")</f>
        <v/>
      </c>
      <c r="SOO18" s="28" t="str">
        <f>IFERROR(IF(SOX3="No",IF(VLOOKUP(DATE($K$1,$K$2,SOO$4),Table1[],(MATCH(Calendar!$A18,DB!$1:$1,0)),FALSE)&gt;=5,"Good","Bad"),VLOOKUP(DATE($K$1,$K$2,SOO$4),Table1[],(MATCH(Calendar!$A18,DB!$1:$1,0)),FALSE)),"")</f>
        <v/>
      </c>
      <c r="SOP18" s="28" t="str">
        <f>IFERROR(IF(SOY3="No",IF(VLOOKUP(DATE($K$1,$K$2,SOP$4),Table1[],(MATCH(Calendar!$A18,DB!$1:$1,0)),FALSE)&gt;=5,"Good","Bad"),VLOOKUP(DATE($K$1,$K$2,SOP$4),Table1[],(MATCH(Calendar!$A18,DB!$1:$1,0)),FALSE)),"")</f>
        <v/>
      </c>
      <c r="SOQ18" s="28" t="str">
        <f>IFERROR(IF(SOZ3="No",IF(VLOOKUP(DATE($K$1,$K$2,SOQ$4),Table1[],(MATCH(Calendar!$A18,DB!$1:$1,0)),FALSE)&gt;=5,"Good","Bad"),VLOOKUP(DATE($K$1,$K$2,SOQ$4),Table1[],(MATCH(Calendar!$A18,DB!$1:$1,0)),FALSE)),"")</f>
        <v/>
      </c>
      <c r="SOR18" s="28" t="str">
        <f>IFERROR(IF(SPA3="No",IF(VLOOKUP(DATE($K$1,$K$2,SOR$4),Table1[],(MATCH(Calendar!$A18,DB!$1:$1,0)),FALSE)&gt;=5,"Good","Bad"),VLOOKUP(DATE($K$1,$K$2,SOR$4),Table1[],(MATCH(Calendar!$A18,DB!$1:$1,0)),FALSE)),"")</f>
        <v/>
      </c>
      <c r="SOS18" s="28" t="str">
        <f>IFERROR(IF(SPB3="No",IF(VLOOKUP(DATE($K$1,$K$2,SOS$4),Table1[],(MATCH(Calendar!$A18,DB!$1:$1,0)),FALSE)&gt;=5,"Good","Bad"),VLOOKUP(DATE($K$1,$K$2,SOS$4),Table1[],(MATCH(Calendar!$A18,DB!$1:$1,0)),FALSE)),"")</f>
        <v/>
      </c>
      <c r="SOT18" s="28" t="str">
        <f>IFERROR(IF(SPC3="No",IF(VLOOKUP(DATE($K$1,$K$2,SOT$4),Table1[],(MATCH(Calendar!$A18,DB!$1:$1,0)),FALSE)&gt;=5,"Good","Bad"),VLOOKUP(DATE($K$1,$K$2,SOT$4),Table1[],(MATCH(Calendar!$A18,DB!$1:$1,0)),FALSE)),"")</f>
        <v/>
      </c>
      <c r="SOU18" s="28" t="str">
        <f>IFERROR(IF(SPD3="No",IF(VLOOKUP(DATE($K$1,$K$2,SOU$4),Table1[],(MATCH(Calendar!$A18,DB!$1:$1,0)),FALSE)&gt;=5,"Good","Bad"),VLOOKUP(DATE($K$1,$K$2,SOU$4),Table1[],(MATCH(Calendar!$A18,DB!$1:$1,0)),FALSE)),"")</f>
        <v/>
      </c>
      <c r="SOV18" s="28" t="str">
        <f>IFERROR(IF(SPE3="No",IF(VLOOKUP(DATE($K$1,$K$2,SOV$4),Table1[],(MATCH(Calendar!$A18,DB!$1:$1,0)),FALSE)&gt;=5,"Good","Bad"),VLOOKUP(DATE($K$1,$K$2,SOV$4),Table1[],(MATCH(Calendar!$A18,DB!$1:$1,0)),FALSE)),"")</f>
        <v/>
      </c>
      <c r="SOW18" s="28" t="str">
        <f>IFERROR(IF(SPF3="No",IF(VLOOKUP(DATE($K$1,$K$2,SOW$4),Table1[],(MATCH(Calendar!$A18,DB!$1:$1,0)),FALSE)&gt;=5,"Good","Bad"),VLOOKUP(DATE($K$1,$K$2,SOW$4),Table1[],(MATCH(Calendar!$A18,DB!$1:$1,0)),FALSE)),"")</f>
        <v/>
      </c>
      <c r="SOX18" s="28" t="str">
        <f>IFERROR(IF(SPG3="No",IF(VLOOKUP(DATE($K$1,$K$2,SOX$4),Table1[],(MATCH(Calendar!$A18,DB!$1:$1,0)),FALSE)&gt;=5,"Good","Bad"),VLOOKUP(DATE($K$1,$K$2,SOX$4),Table1[],(MATCH(Calendar!$A18,DB!$1:$1,0)),FALSE)),"")</f>
        <v/>
      </c>
      <c r="SOY18" s="28" t="str">
        <f>IFERROR(IF(SPH3="No",IF(VLOOKUP(DATE($K$1,$K$2,SOY$4),Table1[],(MATCH(Calendar!$A18,DB!$1:$1,0)),FALSE)&gt;=5,"Good","Bad"),VLOOKUP(DATE($K$1,$K$2,SOY$4),Table1[],(MATCH(Calendar!$A18,DB!$1:$1,0)),FALSE)),"")</f>
        <v/>
      </c>
      <c r="SOZ18" s="28" t="str">
        <f>IFERROR(IF(SPI3="No",IF(VLOOKUP(DATE($K$1,$K$2,SOZ$4),Table1[],(MATCH(Calendar!$A18,DB!$1:$1,0)),FALSE)&gt;=5,"Good","Bad"),VLOOKUP(DATE($K$1,$K$2,SOZ$4),Table1[],(MATCH(Calendar!$A18,DB!$1:$1,0)),FALSE)),"")</f>
        <v/>
      </c>
      <c r="SPA18" s="28" t="str">
        <f>IFERROR(IF(SPJ3="No",IF(VLOOKUP(DATE($K$1,$K$2,SPA$4),Table1[],(MATCH(Calendar!$A18,DB!$1:$1,0)),FALSE)&gt;=5,"Good","Bad"),VLOOKUP(DATE($K$1,$K$2,SPA$4),Table1[],(MATCH(Calendar!$A18,DB!$1:$1,0)),FALSE)),"")</f>
        <v/>
      </c>
      <c r="SPB18" s="28" t="str">
        <f>IFERROR(IF(SPK3="No",IF(VLOOKUP(DATE($K$1,$K$2,SPB$4),Table1[],(MATCH(Calendar!$A18,DB!$1:$1,0)),FALSE)&gt;=5,"Good","Bad"),VLOOKUP(DATE($K$1,$K$2,SPB$4),Table1[],(MATCH(Calendar!$A18,DB!$1:$1,0)),FALSE)),"")</f>
        <v/>
      </c>
      <c r="SPC18" s="28" t="str">
        <f>IFERROR(IF(SPL3="No",IF(VLOOKUP(DATE($K$1,$K$2,SPC$4),Table1[],(MATCH(Calendar!$A18,DB!$1:$1,0)),FALSE)&gt;=5,"Good","Bad"),VLOOKUP(DATE($K$1,$K$2,SPC$4),Table1[],(MATCH(Calendar!$A18,DB!$1:$1,0)),FALSE)),"")</f>
        <v/>
      </c>
      <c r="SPD18" s="28" t="str">
        <f>IFERROR(IF(SPM3="No",IF(VLOOKUP(DATE($K$1,$K$2,SPD$4),Table1[],(MATCH(Calendar!$A18,DB!$1:$1,0)),FALSE)&gt;=5,"Good","Bad"),VLOOKUP(DATE($K$1,$K$2,SPD$4),Table1[],(MATCH(Calendar!$A18,DB!$1:$1,0)),FALSE)),"")</f>
        <v/>
      </c>
      <c r="SPE18" s="28" t="str">
        <f>IFERROR(IF(SPN3="No",IF(VLOOKUP(DATE($K$1,$K$2,SPE$4),Table1[],(MATCH(Calendar!$A18,DB!$1:$1,0)),FALSE)&gt;=5,"Good","Bad"),VLOOKUP(DATE($K$1,$K$2,SPE$4),Table1[],(MATCH(Calendar!$A18,DB!$1:$1,0)),FALSE)),"")</f>
        <v/>
      </c>
      <c r="SPF18" s="28" t="str">
        <f>IFERROR(IF(SPO3="No",IF(VLOOKUP(DATE($K$1,$K$2,SPF$4),Table1[],(MATCH(Calendar!$A18,DB!$1:$1,0)),FALSE)&gt;=5,"Good","Bad"),VLOOKUP(DATE($K$1,$K$2,SPF$4),Table1[],(MATCH(Calendar!$A18,DB!$1:$1,0)),FALSE)),"")</f>
        <v/>
      </c>
      <c r="SPG18" s="28" t="str">
        <f>IFERROR(IF(SPP3="No",IF(VLOOKUP(DATE($K$1,$K$2,SPG$4),Table1[],(MATCH(Calendar!$A18,DB!$1:$1,0)),FALSE)&gt;=5,"Good","Bad"),VLOOKUP(DATE($K$1,$K$2,SPG$4),Table1[],(MATCH(Calendar!$A18,DB!$1:$1,0)),FALSE)),"")</f>
        <v/>
      </c>
      <c r="SPH18" s="28" t="str">
        <f>IFERROR(IF(SPQ3="No",IF(VLOOKUP(DATE($K$1,$K$2,SPH$4),Table1[],(MATCH(Calendar!$A18,DB!$1:$1,0)),FALSE)&gt;=5,"Good","Bad"),VLOOKUP(DATE($K$1,$K$2,SPH$4),Table1[],(MATCH(Calendar!$A18,DB!$1:$1,0)),FALSE)),"")</f>
        <v/>
      </c>
      <c r="SPI18" s="28" t="str">
        <f>IFERROR(IF(SPR3="No",IF(VLOOKUP(DATE($K$1,$K$2,SPI$4),Table1[],(MATCH(Calendar!$A18,DB!$1:$1,0)),FALSE)&gt;=5,"Good","Bad"),VLOOKUP(DATE($K$1,$K$2,SPI$4),Table1[],(MATCH(Calendar!$A18,DB!$1:$1,0)),FALSE)),"")</f>
        <v/>
      </c>
      <c r="SPJ18" s="28" t="str">
        <f>IFERROR(IF(SPS3="No",IF(VLOOKUP(DATE($K$1,$K$2,SPJ$4),Table1[],(MATCH(Calendar!$A18,DB!$1:$1,0)),FALSE)&gt;=5,"Good","Bad"),VLOOKUP(DATE($K$1,$K$2,SPJ$4),Table1[],(MATCH(Calendar!$A18,DB!$1:$1,0)),FALSE)),"")</f>
        <v/>
      </c>
      <c r="SPK18" s="28" t="str">
        <f>IFERROR(IF(SPT3="No",IF(VLOOKUP(DATE($K$1,$K$2,SPK$4),Table1[],(MATCH(Calendar!$A18,DB!$1:$1,0)),FALSE)&gt;=5,"Good","Bad"),VLOOKUP(DATE($K$1,$K$2,SPK$4),Table1[],(MATCH(Calendar!$A18,DB!$1:$1,0)),FALSE)),"")</f>
        <v/>
      </c>
      <c r="SPL18" s="28" t="str">
        <f>IFERROR(IF(SPU3="No",IF(VLOOKUP(DATE($K$1,$K$2,SPL$4),Table1[],(MATCH(Calendar!$A18,DB!$1:$1,0)),FALSE)&gt;=5,"Good","Bad"),VLOOKUP(DATE($K$1,$K$2,SPL$4),Table1[],(MATCH(Calendar!$A18,DB!$1:$1,0)),FALSE)),"")</f>
        <v/>
      </c>
      <c r="SPM18" s="28" t="str">
        <f>IFERROR(IF(SPV3="No",IF(VLOOKUP(DATE($K$1,$K$2,SPM$4),Table1[],(MATCH(Calendar!$A18,DB!$1:$1,0)),FALSE)&gt;=5,"Good","Bad"),VLOOKUP(DATE($K$1,$K$2,SPM$4),Table1[],(MATCH(Calendar!$A18,DB!$1:$1,0)),FALSE)),"")</f>
        <v/>
      </c>
      <c r="SPN18" s="28" t="str">
        <f>IFERROR(IF(SPW3="No",IF(VLOOKUP(DATE($K$1,$K$2,SPN$4),Table1[],(MATCH(Calendar!$A18,DB!$1:$1,0)),FALSE)&gt;=5,"Good","Bad"),VLOOKUP(DATE($K$1,$K$2,SPN$4),Table1[],(MATCH(Calendar!$A18,DB!$1:$1,0)),FALSE)),"")</f>
        <v/>
      </c>
      <c r="SPO18" s="28" t="str">
        <f>IFERROR(IF(SPX3="No",IF(VLOOKUP(DATE($K$1,$K$2,SPO$4),Table1[],(MATCH(Calendar!$A18,DB!$1:$1,0)),FALSE)&gt;=5,"Good","Bad"),VLOOKUP(DATE($K$1,$K$2,SPO$4),Table1[],(MATCH(Calendar!$A18,DB!$1:$1,0)),FALSE)),"")</f>
        <v/>
      </c>
      <c r="SPP18" s="28" t="str">
        <f>IFERROR(IF(SPY3="No",IF(VLOOKUP(DATE($K$1,$K$2,SPP$4),Table1[],(MATCH(Calendar!$A18,DB!$1:$1,0)),FALSE)&gt;=5,"Good","Bad"),VLOOKUP(DATE($K$1,$K$2,SPP$4),Table1[],(MATCH(Calendar!$A18,DB!$1:$1,0)),FALSE)),"")</f>
        <v/>
      </c>
      <c r="SPQ18" s="28" t="str">
        <f>IFERROR(IF(SPZ3="No",IF(VLOOKUP(DATE($K$1,$K$2,SPQ$4),Table1[],(MATCH(Calendar!$A18,DB!$1:$1,0)),FALSE)&gt;=5,"Good","Bad"),VLOOKUP(DATE($K$1,$K$2,SPQ$4),Table1[],(MATCH(Calendar!$A18,DB!$1:$1,0)),FALSE)),"")</f>
        <v/>
      </c>
      <c r="SPR18" s="28" t="str">
        <f>IFERROR(IF(SQA3="No",IF(VLOOKUP(DATE($K$1,$K$2,SPR$4),Table1[],(MATCH(Calendar!$A18,DB!$1:$1,0)),FALSE)&gt;=5,"Good","Bad"),VLOOKUP(DATE($K$1,$K$2,SPR$4),Table1[],(MATCH(Calendar!$A18,DB!$1:$1,0)),FALSE)),"")</f>
        <v/>
      </c>
      <c r="SPS18" s="28" t="str">
        <f>IFERROR(IF(SQB3="No",IF(VLOOKUP(DATE($K$1,$K$2,SPS$4),Table1[],(MATCH(Calendar!$A18,DB!$1:$1,0)),FALSE)&gt;=5,"Good","Bad"),VLOOKUP(DATE($K$1,$K$2,SPS$4),Table1[],(MATCH(Calendar!$A18,DB!$1:$1,0)),FALSE)),"")</f>
        <v/>
      </c>
      <c r="SPT18" s="28" t="str">
        <f>IFERROR(IF(SQC3="No",IF(VLOOKUP(DATE($K$1,$K$2,SPT$4),Table1[],(MATCH(Calendar!$A18,DB!$1:$1,0)),FALSE)&gt;=5,"Good","Bad"),VLOOKUP(DATE($K$1,$K$2,SPT$4),Table1[],(MATCH(Calendar!$A18,DB!$1:$1,0)),FALSE)),"")</f>
        <v/>
      </c>
      <c r="SPU18" s="28" t="str">
        <f>IFERROR(IF(SQD3="No",IF(VLOOKUP(DATE($K$1,$K$2,SPU$4),Table1[],(MATCH(Calendar!$A18,DB!$1:$1,0)),FALSE)&gt;=5,"Good","Bad"),VLOOKUP(DATE($K$1,$K$2,SPU$4),Table1[],(MATCH(Calendar!$A18,DB!$1:$1,0)),FALSE)),"")</f>
        <v/>
      </c>
      <c r="SPV18" s="28" t="str">
        <f>IFERROR(IF(SQE3="No",IF(VLOOKUP(DATE($K$1,$K$2,SPV$4),Table1[],(MATCH(Calendar!$A18,DB!$1:$1,0)),FALSE)&gt;=5,"Good","Bad"),VLOOKUP(DATE($K$1,$K$2,SPV$4),Table1[],(MATCH(Calendar!$A18,DB!$1:$1,0)),FALSE)),"")</f>
        <v/>
      </c>
      <c r="SPW18" s="28" t="str">
        <f>IFERROR(IF(SQF3="No",IF(VLOOKUP(DATE($K$1,$K$2,SPW$4),Table1[],(MATCH(Calendar!$A18,DB!$1:$1,0)),FALSE)&gt;=5,"Good","Bad"),VLOOKUP(DATE($K$1,$K$2,SPW$4),Table1[],(MATCH(Calendar!$A18,DB!$1:$1,0)),FALSE)),"")</f>
        <v/>
      </c>
      <c r="SPX18" s="28" t="str">
        <f>IFERROR(IF(SQG3="No",IF(VLOOKUP(DATE($K$1,$K$2,SPX$4),Table1[],(MATCH(Calendar!$A18,DB!$1:$1,0)),FALSE)&gt;=5,"Good","Bad"),VLOOKUP(DATE($K$1,$K$2,SPX$4),Table1[],(MATCH(Calendar!$A18,DB!$1:$1,0)),FALSE)),"")</f>
        <v/>
      </c>
      <c r="SPY18" s="28" t="str">
        <f>IFERROR(IF(SQH3="No",IF(VLOOKUP(DATE($K$1,$K$2,SPY$4),Table1[],(MATCH(Calendar!$A18,DB!$1:$1,0)),FALSE)&gt;=5,"Good","Bad"),VLOOKUP(DATE($K$1,$K$2,SPY$4),Table1[],(MATCH(Calendar!$A18,DB!$1:$1,0)),FALSE)),"")</f>
        <v/>
      </c>
      <c r="SPZ18" s="28" t="str">
        <f>IFERROR(IF(SQI3="No",IF(VLOOKUP(DATE($K$1,$K$2,SPZ$4),Table1[],(MATCH(Calendar!$A18,DB!$1:$1,0)),FALSE)&gt;=5,"Good","Bad"),VLOOKUP(DATE($K$1,$K$2,SPZ$4),Table1[],(MATCH(Calendar!$A18,DB!$1:$1,0)),FALSE)),"")</f>
        <v/>
      </c>
      <c r="SQA18" s="28" t="str">
        <f>IFERROR(IF(SQJ3="No",IF(VLOOKUP(DATE($K$1,$K$2,SQA$4),Table1[],(MATCH(Calendar!$A18,DB!$1:$1,0)),FALSE)&gt;=5,"Good","Bad"),VLOOKUP(DATE($K$1,$K$2,SQA$4),Table1[],(MATCH(Calendar!$A18,DB!$1:$1,0)),FALSE)),"")</f>
        <v/>
      </c>
      <c r="SQB18" s="28" t="str">
        <f>IFERROR(IF(SQK3="No",IF(VLOOKUP(DATE($K$1,$K$2,SQB$4),Table1[],(MATCH(Calendar!$A18,DB!$1:$1,0)),FALSE)&gt;=5,"Good","Bad"),VLOOKUP(DATE($K$1,$K$2,SQB$4),Table1[],(MATCH(Calendar!$A18,DB!$1:$1,0)),FALSE)),"")</f>
        <v/>
      </c>
      <c r="SQC18" s="28" t="str">
        <f>IFERROR(IF(SQL3="No",IF(VLOOKUP(DATE($K$1,$K$2,SQC$4),Table1[],(MATCH(Calendar!$A18,DB!$1:$1,0)),FALSE)&gt;=5,"Good","Bad"),VLOOKUP(DATE($K$1,$K$2,SQC$4),Table1[],(MATCH(Calendar!$A18,DB!$1:$1,0)),FALSE)),"")</f>
        <v/>
      </c>
      <c r="SQD18" s="28" t="str">
        <f>IFERROR(IF(SQM3="No",IF(VLOOKUP(DATE($K$1,$K$2,SQD$4),Table1[],(MATCH(Calendar!$A18,DB!$1:$1,0)),FALSE)&gt;=5,"Good","Bad"),VLOOKUP(DATE($K$1,$K$2,SQD$4),Table1[],(MATCH(Calendar!$A18,DB!$1:$1,0)),FALSE)),"")</f>
        <v/>
      </c>
      <c r="SQE18" s="28" t="str">
        <f>IFERROR(IF(SQN3="No",IF(VLOOKUP(DATE($K$1,$K$2,SQE$4),Table1[],(MATCH(Calendar!$A18,DB!$1:$1,0)),FALSE)&gt;=5,"Good","Bad"),VLOOKUP(DATE($K$1,$K$2,SQE$4),Table1[],(MATCH(Calendar!$A18,DB!$1:$1,0)),FALSE)),"")</f>
        <v/>
      </c>
      <c r="SQF18" s="28" t="str">
        <f>IFERROR(IF(SQO3="No",IF(VLOOKUP(DATE($K$1,$K$2,SQF$4),Table1[],(MATCH(Calendar!$A18,DB!$1:$1,0)),FALSE)&gt;=5,"Good","Bad"),VLOOKUP(DATE($K$1,$K$2,SQF$4),Table1[],(MATCH(Calendar!$A18,DB!$1:$1,0)),FALSE)),"")</f>
        <v/>
      </c>
      <c r="SQG18" s="28" t="str">
        <f>IFERROR(IF(SQP3="No",IF(VLOOKUP(DATE($K$1,$K$2,SQG$4),Table1[],(MATCH(Calendar!$A18,DB!$1:$1,0)),FALSE)&gt;=5,"Good","Bad"),VLOOKUP(DATE($K$1,$K$2,SQG$4),Table1[],(MATCH(Calendar!$A18,DB!$1:$1,0)),FALSE)),"")</f>
        <v/>
      </c>
      <c r="SQH18" s="28" t="str">
        <f>IFERROR(IF(SQQ3="No",IF(VLOOKUP(DATE($K$1,$K$2,SQH$4),Table1[],(MATCH(Calendar!$A18,DB!$1:$1,0)),FALSE)&gt;=5,"Good","Bad"),VLOOKUP(DATE($K$1,$K$2,SQH$4),Table1[],(MATCH(Calendar!$A18,DB!$1:$1,0)),FALSE)),"")</f>
        <v/>
      </c>
      <c r="SQI18" s="28" t="str">
        <f>IFERROR(IF(SQR3="No",IF(VLOOKUP(DATE($K$1,$K$2,SQI$4),Table1[],(MATCH(Calendar!$A18,DB!$1:$1,0)),FALSE)&gt;=5,"Good","Bad"),VLOOKUP(DATE($K$1,$K$2,SQI$4),Table1[],(MATCH(Calendar!$A18,DB!$1:$1,0)),FALSE)),"")</f>
        <v/>
      </c>
      <c r="SQJ18" s="28" t="str">
        <f>IFERROR(IF(SQS3="No",IF(VLOOKUP(DATE($K$1,$K$2,SQJ$4),Table1[],(MATCH(Calendar!$A18,DB!$1:$1,0)),FALSE)&gt;=5,"Good","Bad"),VLOOKUP(DATE($K$1,$K$2,SQJ$4),Table1[],(MATCH(Calendar!$A18,DB!$1:$1,0)),FALSE)),"")</f>
        <v/>
      </c>
      <c r="SQK18" s="28" t="str">
        <f>IFERROR(IF(SQT3="No",IF(VLOOKUP(DATE($K$1,$K$2,SQK$4),Table1[],(MATCH(Calendar!$A18,DB!$1:$1,0)),FALSE)&gt;=5,"Good","Bad"),VLOOKUP(DATE($K$1,$K$2,SQK$4),Table1[],(MATCH(Calendar!$A18,DB!$1:$1,0)),FALSE)),"")</f>
        <v/>
      </c>
      <c r="SQL18" s="28" t="str">
        <f>IFERROR(IF(SQU3="No",IF(VLOOKUP(DATE($K$1,$K$2,SQL$4),Table1[],(MATCH(Calendar!$A18,DB!$1:$1,0)),FALSE)&gt;=5,"Good","Bad"),VLOOKUP(DATE($K$1,$K$2,SQL$4),Table1[],(MATCH(Calendar!$A18,DB!$1:$1,0)),FALSE)),"")</f>
        <v/>
      </c>
      <c r="SQM18" s="28" t="str">
        <f>IFERROR(IF(SQV3="No",IF(VLOOKUP(DATE($K$1,$K$2,SQM$4),Table1[],(MATCH(Calendar!$A18,DB!$1:$1,0)),FALSE)&gt;=5,"Good","Bad"),VLOOKUP(DATE($K$1,$K$2,SQM$4),Table1[],(MATCH(Calendar!$A18,DB!$1:$1,0)),FALSE)),"")</f>
        <v/>
      </c>
      <c r="SQN18" s="28" t="str">
        <f>IFERROR(IF(SQW3="No",IF(VLOOKUP(DATE($K$1,$K$2,SQN$4),Table1[],(MATCH(Calendar!$A18,DB!$1:$1,0)),FALSE)&gt;=5,"Good","Bad"),VLOOKUP(DATE($K$1,$K$2,SQN$4),Table1[],(MATCH(Calendar!$A18,DB!$1:$1,0)),FALSE)),"")</f>
        <v/>
      </c>
      <c r="SQO18" s="28" t="str">
        <f>IFERROR(IF(SQX3="No",IF(VLOOKUP(DATE($K$1,$K$2,SQO$4),Table1[],(MATCH(Calendar!$A18,DB!$1:$1,0)),FALSE)&gt;=5,"Good","Bad"),VLOOKUP(DATE($K$1,$K$2,SQO$4),Table1[],(MATCH(Calendar!$A18,DB!$1:$1,0)),FALSE)),"")</f>
        <v/>
      </c>
      <c r="SQP18" s="28" t="str">
        <f>IFERROR(IF(SQY3="No",IF(VLOOKUP(DATE($K$1,$K$2,SQP$4),Table1[],(MATCH(Calendar!$A18,DB!$1:$1,0)),FALSE)&gt;=5,"Good","Bad"),VLOOKUP(DATE($K$1,$K$2,SQP$4),Table1[],(MATCH(Calendar!$A18,DB!$1:$1,0)),FALSE)),"")</f>
        <v/>
      </c>
      <c r="SQQ18" s="28" t="str">
        <f>IFERROR(IF(SQZ3="No",IF(VLOOKUP(DATE($K$1,$K$2,SQQ$4),Table1[],(MATCH(Calendar!$A18,DB!$1:$1,0)),FALSE)&gt;=5,"Good","Bad"),VLOOKUP(DATE($K$1,$K$2,SQQ$4),Table1[],(MATCH(Calendar!$A18,DB!$1:$1,0)),FALSE)),"")</f>
        <v/>
      </c>
      <c r="SQR18" s="28" t="str">
        <f>IFERROR(IF(SRA3="No",IF(VLOOKUP(DATE($K$1,$K$2,SQR$4),Table1[],(MATCH(Calendar!$A18,DB!$1:$1,0)),FALSE)&gt;=5,"Good","Bad"),VLOOKUP(DATE($K$1,$K$2,SQR$4),Table1[],(MATCH(Calendar!$A18,DB!$1:$1,0)),FALSE)),"")</f>
        <v/>
      </c>
      <c r="SQS18" s="28" t="str">
        <f>IFERROR(IF(SRB3="No",IF(VLOOKUP(DATE($K$1,$K$2,SQS$4),Table1[],(MATCH(Calendar!$A18,DB!$1:$1,0)),FALSE)&gt;=5,"Good","Bad"),VLOOKUP(DATE($K$1,$K$2,SQS$4),Table1[],(MATCH(Calendar!$A18,DB!$1:$1,0)),FALSE)),"")</f>
        <v/>
      </c>
      <c r="SQT18" s="28" t="str">
        <f>IFERROR(IF(SRC3="No",IF(VLOOKUP(DATE($K$1,$K$2,SQT$4),Table1[],(MATCH(Calendar!$A18,DB!$1:$1,0)),FALSE)&gt;=5,"Good","Bad"),VLOOKUP(DATE($K$1,$K$2,SQT$4),Table1[],(MATCH(Calendar!$A18,DB!$1:$1,0)),FALSE)),"")</f>
        <v/>
      </c>
      <c r="SQU18" s="28" t="str">
        <f>IFERROR(IF(SRD3="No",IF(VLOOKUP(DATE($K$1,$K$2,SQU$4),Table1[],(MATCH(Calendar!$A18,DB!$1:$1,0)),FALSE)&gt;=5,"Good","Bad"),VLOOKUP(DATE($K$1,$K$2,SQU$4),Table1[],(MATCH(Calendar!$A18,DB!$1:$1,0)),FALSE)),"")</f>
        <v/>
      </c>
      <c r="SQV18" s="28" t="str">
        <f>IFERROR(IF(SRE3="No",IF(VLOOKUP(DATE($K$1,$K$2,SQV$4),Table1[],(MATCH(Calendar!$A18,DB!$1:$1,0)),FALSE)&gt;=5,"Good","Bad"),VLOOKUP(DATE($K$1,$K$2,SQV$4),Table1[],(MATCH(Calendar!$A18,DB!$1:$1,0)),FALSE)),"")</f>
        <v/>
      </c>
      <c r="SQW18" s="28" t="str">
        <f>IFERROR(IF(SRF3="No",IF(VLOOKUP(DATE($K$1,$K$2,SQW$4),Table1[],(MATCH(Calendar!$A18,DB!$1:$1,0)),FALSE)&gt;=5,"Good","Bad"),VLOOKUP(DATE($K$1,$K$2,SQW$4),Table1[],(MATCH(Calendar!$A18,DB!$1:$1,0)),FALSE)),"")</f>
        <v/>
      </c>
      <c r="SQX18" s="28" t="str">
        <f>IFERROR(IF(SRG3="No",IF(VLOOKUP(DATE($K$1,$K$2,SQX$4),Table1[],(MATCH(Calendar!$A18,DB!$1:$1,0)),FALSE)&gt;=5,"Good","Bad"),VLOOKUP(DATE($K$1,$K$2,SQX$4),Table1[],(MATCH(Calendar!$A18,DB!$1:$1,0)),FALSE)),"")</f>
        <v/>
      </c>
      <c r="SQY18" s="28" t="str">
        <f>IFERROR(IF(SRH3="No",IF(VLOOKUP(DATE($K$1,$K$2,SQY$4),Table1[],(MATCH(Calendar!$A18,DB!$1:$1,0)),FALSE)&gt;=5,"Good","Bad"),VLOOKUP(DATE($K$1,$K$2,SQY$4),Table1[],(MATCH(Calendar!$A18,DB!$1:$1,0)),FALSE)),"")</f>
        <v/>
      </c>
      <c r="SQZ18" s="28" t="str">
        <f>IFERROR(IF(SRI3="No",IF(VLOOKUP(DATE($K$1,$K$2,SQZ$4),Table1[],(MATCH(Calendar!$A18,DB!$1:$1,0)),FALSE)&gt;=5,"Good","Bad"),VLOOKUP(DATE($K$1,$K$2,SQZ$4),Table1[],(MATCH(Calendar!$A18,DB!$1:$1,0)),FALSE)),"")</f>
        <v/>
      </c>
      <c r="SRA18" s="28" t="str">
        <f>IFERROR(IF(SRJ3="No",IF(VLOOKUP(DATE($K$1,$K$2,SRA$4),Table1[],(MATCH(Calendar!$A18,DB!$1:$1,0)),FALSE)&gt;=5,"Good","Bad"),VLOOKUP(DATE($K$1,$K$2,SRA$4),Table1[],(MATCH(Calendar!$A18,DB!$1:$1,0)),FALSE)),"")</f>
        <v/>
      </c>
      <c r="SRB18" s="28" t="str">
        <f>IFERROR(IF(SRK3="No",IF(VLOOKUP(DATE($K$1,$K$2,SRB$4),Table1[],(MATCH(Calendar!$A18,DB!$1:$1,0)),FALSE)&gt;=5,"Good","Bad"),VLOOKUP(DATE($K$1,$K$2,SRB$4),Table1[],(MATCH(Calendar!$A18,DB!$1:$1,0)),FALSE)),"")</f>
        <v/>
      </c>
      <c r="SRC18" s="28" t="str">
        <f>IFERROR(IF(SRL3="No",IF(VLOOKUP(DATE($K$1,$K$2,SRC$4),Table1[],(MATCH(Calendar!$A18,DB!$1:$1,0)),FALSE)&gt;=5,"Good","Bad"),VLOOKUP(DATE($K$1,$K$2,SRC$4),Table1[],(MATCH(Calendar!$A18,DB!$1:$1,0)),FALSE)),"")</f>
        <v/>
      </c>
      <c r="SRD18" s="28" t="str">
        <f>IFERROR(IF(SRM3="No",IF(VLOOKUP(DATE($K$1,$K$2,SRD$4),Table1[],(MATCH(Calendar!$A18,DB!$1:$1,0)),FALSE)&gt;=5,"Good","Bad"),VLOOKUP(DATE($K$1,$K$2,SRD$4),Table1[],(MATCH(Calendar!$A18,DB!$1:$1,0)),FALSE)),"")</f>
        <v/>
      </c>
      <c r="SRE18" s="28" t="str">
        <f>IFERROR(IF(SRN3="No",IF(VLOOKUP(DATE($K$1,$K$2,SRE$4),Table1[],(MATCH(Calendar!$A18,DB!$1:$1,0)),FALSE)&gt;=5,"Good","Bad"),VLOOKUP(DATE($K$1,$K$2,SRE$4),Table1[],(MATCH(Calendar!$A18,DB!$1:$1,0)),FALSE)),"")</f>
        <v/>
      </c>
      <c r="SRF18" s="28" t="str">
        <f>IFERROR(IF(SRO3="No",IF(VLOOKUP(DATE($K$1,$K$2,SRF$4),Table1[],(MATCH(Calendar!$A18,DB!$1:$1,0)),FALSE)&gt;=5,"Good","Bad"),VLOOKUP(DATE($K$1,$K$2,SRF$4),Table1[],(MATCH(Calendar!$A18,DB!$1:$1,0)),FALSE)),"")</f>
        <v/>
      </c>
      <c r="SRG18" s="28" t="str">
        <f>IFERROR(IF(SRP3="No",IF(VLOOKUP(DATE($K$1,$K$2,SRG$4),Table1[],(MATCH(Calendar!$A18,DB!$1:$1,0)),FALSE)&gt;=5,"Good","Bad"),VLOOKUP(DATE($K$1,$K$2,SRG$4),Table1[],(MATCH(Calendar!$A18,DB!$1:$1,0)),FALSE)),"")</f>
        <v/>
      </c>
      <c r="SRH18" s="28" t="str">
        <f>IFERROR(IF(SRQ3="No",IF(VLOOKUP(DATE($K$1,$K$2,SRH$4),Table1[],(MATCH(Calendar!$A18,DB!$1:$1,0)),FALSE)&gt;=5,"Good","Bad"),VLOOKUP(DATE($K$1,$K$2,SRH$4),Table1[],(MATCH(Calendar!$A18,DB!$1:$1,0)),FALSE)),"")</f>
        <v/>
      </c>
      <c r="SRI18" s="28" t="str">
        <f>IFERROR(IF(SRR3="No",IF(VLOOKUP(DATE($K$1,$K$2,SRI$4),Table1[],(MATCH(Calendar!$A18,DB!$1:$1,0)),FALSE)&gt;=5,"Good","Bad"),VLOOKUP(DATE($K$1,$K$2,SRI$4),Table1[],(MATCH(Calendar!$A18,DB!$1:$1,0)),FALSE)),"")</f>
        <v/>
      </c>
      <c r="SRJ18" s="28" t="str">
        <f>IFERROR(IF(SRS3="No",IF(VLOOKUP(DATE($K$1,$K$2,SRJ$4),Table1[],(MATCH(Calendar!$A18,DB!$1:$1,0)),FALSE)&gt;=5,"Good","Bad"),VLOOKUP(DATE($K$1,$K$2,SRJ$4),Table1[],(MATCH(Calendar!$A18,DB!$1:$1,0)),FALSE)),"")</f>
        <v/>
      </c>
      <c r="SRK18" s="28" t="str">
        <f>IFERROR(IF(SRT3="No",IF(VLOOKUP(DATE($K$1,$K$2,SRK$4),Table1[],(MATCH(Calendar!$A18,DB!$1:$1,0)),FALSE)&gt;=5,"Good","Bad"),VLOOKUP(DATE($K$1,$K$2,SRK$4),Table1[],(MATCH(Calendar!$A18,DB!$1:$1,0)),FALSE)),"")</f>
        <v/>
      </c>
      <c r="SRL18" s="28" t="str">
        <f>IFERROR(IF(SRU3="No",IF(VLOOKUP(DATE($K$1,$K$2,SRL$4),Table1[],(MATCH(Calendar!$A18,DB!$1:$1,0)),FALSE)&gt;=5,"Good","Bad"),VLOOKUP(DATE($K$1,$K$2,SRL$4),Table1[],(MATCH(Calendar!$A18,DB!$1:$1,0)),FALSE)),"")</f>
        <v/>
      </c>
      <c r="SRM18" s="28" t="str">
        <f>IFERROR(IF(SRV3="No",IF(VLOOKUP(DATE($K$1,$K$2,SRM$4),Table1[],(MATCH(Calendar!$A18,DB!$1:$1,0)),FALSE)&gt;=5,"Good","Bad"),VLOOKUP(DATE($K$1,$K$2,SRM$4),Table1[],(MATCH(Calendar!$A18,DB!$1:$1,0)),FALSE)),"")</f>
        <v/>
      </c>
      <c r="SRN18" s="28" t="str">
        <f>IFERROR(IF(SRW3="No",IF(VLOOKUP(DATE($K$1,$K$2,SRN$4),Table1[],(MATCH(Calendar!$A18,DB!$1:$1,0)),FALSE)&gt;=5,"Good","Bad"),VLOOKUP(DATE($K$1,$K$2,SRN$4),Table1[],(MATCH(Calendar!$A18,DB!$1:$1,0)),FALSE)),"")</f>
        <v/>
      </c>
      <c r="SRO18" s="28" t="str">
        <f>IFERROR(IF(SRX3="No",IF(VLOOKUP(DATE($K$1,$K$2,SRO$4),Table1[],(MATCH(Calendar!$A18,DB!$1:$1,0)),FALSE)&gt;=5,"Good","Bad"),VLOOKUP(DATE($K$1,$K$2,SRO$4),Table1[],(MATCH(Calendar!$A18,DB!$1:$1,0)),FALSE)),"")</f>
        <v/>
      </c>
      <c r="SRP18" s="28" t="str">
        <f>IFERROR(IF(SRY3="No",IF(VLOOKUP(DATE($K$1,$K$2,SRP$4),Table1[],(MATCH(Calendar!$A18,DB!$1:$1,0)),FALSE)&gt;=5,"Good","Bad"),VLOOKUP(DATE($K$1,$K$2,SRP$4),Table1[],(MATCH(Calendar!$A18,DB!$1:$1,0)),FALSE)),"")</f>
        <v/>
      </c>
      <c r="SRQ18" s="28" t="str">
        <f>IFERROR(IF(SRZ3="No",IF(VLOOKUP(DATE($K$1,$K$2,SRQ$4),Table1[],(MATCH(Calendar!$A18,DB!$1:$1,0)),FALSE)&gt;=5,"Good","Bad"),VLOOKUP(DATE($K$1,$K$2,SRQ$4),Table1[],(MATCH(Calendar!$A18,DB!$1:$1,0)),FALSE)),"")</f>
        <v/>
      </c>
      <c r="SRR18" s="28" t="str">
        <f>IFERROR(IF(SSA3="No",IF(VLOOKUP(DATE($K$1,$K$2,SRR$4),Table1[],(MATCH(Calendar!$A18,DB!$1:$1,0)),FALSE)&gt;=5,"Good","Bad"),VLOOKUP(DATE($K$1,$K$2,SRR$4),Table1[],(MATCH(Calendar!$A18,DB!$1:$1,0)),FALSE)),"")</f>
        <v/>
      </c>
      <c r="SRS18" s="28" t="str">
        <f>IFERROR(IF(SSB3="No",IF(VLOOKUP(DATE($K$1,$K$2,SRS$4),Table1[],(MATCH(Calendar!$A18,DB!$1:$1,0)),FALSE)&gt;=5,"Good","Bad"),VLOOKUP(DATE($K$1,$K$2,SRS$4),Table1[],(MATCH(Calendar!$A18,DB!$1:$1,0)),FALSE)),"")</f>
        <v/>
      </c>
      <c r="SRT18" s="28" t="str">
        <f>IFERROR(IF(SSC3="No",IF(VLOOKUP(DATE($K$1,$K$2,SRT$4),Table1[],(MATCH(Calendar!$A18,DB!$1:$1,0)),FALSE)&gt;=5,"Good","Bad"),VLOOKUP(DATE($K$1,$K$2,SRT$4),Table1[],(MATCH(Calendar!$A18,DB!$1:$1,0)),FALSE)),"")</f>
        <v/>
      </c>
      <c r="SRU18" s="28" t="str">
        <f>IFERROR(IF(SSD3="No",IF(VLOOKUP(DATE($K$1,$K$2,SRU$4),Table1[],(MATCH(Calendar!$A18,DB!$1:$1,0)),FALSE)&gt;=5,"Good","Bad"),VLOOKUP(DATE($K$1,$K$2,SRU$4),Table1[],(MATCH(Calendar!$A18,DB!$1:$1,0)),FALSE)),"")</f>
        <v/>
      </c>
      <c r="SRV18" s="28" t="str">
        <f>IFERROR(IF(SSE3="No",IF(VLOOKUP(DATE($K$1,$K$2,SRV$4),Table1[],(MATCH(Calendar!$A18,DB!$1:$1,0)),FALSE)&gt;=5,"Good","Bad"),VLOOKUP(DATE($K$1,$K$2,SRV$4),Table1[],(MATCH(Calendar!$A18,DB!$1:$1,0)),FALSE)),"")</f>
        <v/>
      </c>
      <c r="SRW18" s="28" t="str">
        <f>IFERROR(IF(SSF3="No",IF(VLOOKUP(DATE($K$1,$K$2,SRW$4),Table1[],(MATCH(Calendar!$A18,DB!$1:$1,0)),FALSE)&gt;=5,"Good","Bad"),VLOOKUP(DATE($K$1,$K$2,SRW$4),Table1[],(MATCH(Calendar!$A18,DB!$1:$1,0)),FALSE)),"")</f>
        <v/>
      </c>
      <c r="SRX18" s="28" t="str">
        <f>IFERROR(IF(SSG3="No",IF(VLOOKUP(DATE($K$1,$K$2,SRX$4),Table1[],(MATCH(Calendar!$A18,DB!$1:$1,0)),FALSE)&gt;=5,"Good","Bad"),VLOOKUP(DATE($K$1,$K$2,SRX$4),Table1[],(MATCH(Calendar!$A18,DB!$1:$1,0)),FALSE)),"")</f>
        <v/>
      </c>
      <c r="SRY18" s="28" t="str">
        <f>IFERROR(IF(SSH3="No",IF(VLOOKUP(DATE($K$1,$K$2,SRY$4),Table1[],(MATCH(Calendar!$A18,DB!$1:$1,0)),FALSE)&gt;=5,"Good","Bad"),VLOOKUP(DATE($K$1,$K$2,SRY$4),Table1[],(MATCH(Calendar!$A18,DB!$1:$1,0)),FALSE)),"")</f>
        <v/>
      </c>
      <c r="SRZ18" s="28" t="str">
        <f>IFERROR(IF(SSI3="No",IF(VLOOKUP(DATE($K$1,$K$2,SRZ$4),Table1[],(MATCH(Calendar!$A18,DB!$1:$1,0)),FALSE)&gt;=5,"Good","Bad"),VLOOKUP(DATE($K$1,$K$2,SRZ$4),Table1[],(MATCH(Calendar!$A18,DB!$1:$1,0)),FALSE)),"")</f>
        <v/>
      </c>
      <c r="SSA18" s="28" t="str">
        <f>IFERROR(IF(SSJ3="No",IF(VLOOKUP(DATE($K$1,$K$2,SSA$4),Table1[],(MATCH(Calendar!$A18,DB!$1:$1,0)),FALSE)&gt;=5,"Good","Bad"),VLOOKUP(DATE($K$1,$K$2,SSA$4),Table1[],(MATCH(Calendar!$A18,DB!$1:$1,0)),FALSE)),"")</f>
        <v/>
      </c>
      <c r="SSB18" s="28" t="str">
        <f>IFERROR(IF(SSK3="No",IF(VLOOKUP(DATE($K$1,$K$2,SSB$4),Table1[],(MATCH(Calendar!$A18,DB!$1:$1,0)),FALSE)&gt;=5,"Good","Bad"),VLOOKUP(DATE($K$1,$K$2,SSB$4),Table1[],(MATCH(Calendar!$A18,DB!$1:$1,0)),FALSE)),"")</f>
        <v/>
      </c>
      <c r="SSC18" s="28" t="str">
        <f>IFERROR(IF(SSL3="No",IF(VLOOKUP(DATE($K$1,$K$2,SSC$4),Table1[],(MATCH(Calendar!$A18,DB!$1:$1,0)),FALSE)&gt;=5,"Good","Bad"),VLOOKUP(DATE($K$1,$K$2,SSC$4),Table1[],(MATCH(Calendar!$A18,DB!$1:$1,0)),FALSE)),"")</f>
        <v/>
      </c>
      <c r="SSD18" s="28" t="str">
        <f>IFERROR(IF(SSM3="No",IF(VLOOKUP(DATE($K$1,$K$2,SSD$4),Table1[],(MATCH(Calendar!$A18,DB!$1:$1,0)),FALSE)&gt;=5,"Good","Bad"),VLOOKUP(DATE($K$1,$K$2,SSD$4),Table1[],(MATCH(Calendar!$A18,DB!$1:$1,0)),FALSE)),"")</f>
        <v/>
      </c>
      <c r="SSE18" s="28" t="str">
        <f>IFERROR(IF(SSN3="No",IF(VLOOKUP(DATE($K$1,$K$2,SSE$4),Table1[],(MATCH(Calendar!$A18,DB!$1:$1,0)),FALSE)&gt;=5,"Good","Bad"),VLOOKUP(DATE($K$1,$K$2,SSE$4),Table1[],(MATCH(Calendar!$A18,DB!$1:$1,0)),FALSE)),"")</f>
        <v/>
      </c>
      <c r="SSF18" s="28" t="str">
        <f>IFERROR(IF(SSO3="No",IF(VLOOKUP(DATE($K$1,$K$2,SSF$4),Table1[],(MATCH(Calendar!$A18,DB!$1:$1,0)),FALSE)&gt;=5,"Good","Bad"),VLOOKUP(DATE($K$1,$K$2,SSF$4),Table1[],(MATCH(Calendar!$A18,DB!$1:$1,0)),FALSE)),"")</f>
        <v/>
      </c>
      <c r="SSG18" s="28" t="str">
        <f>IFERROR(IF(SSP3="No",IF(VLOOKUP(DATE($K$1,$K$2,SSG$4),Table1[],(MATCH(Calendar!$A18,DB!$1:$1,0)),FALSE)&gt;=5,"Good","Bad"),VLOOKUP(DATE($K$1,$K$2,SSG$4),Table1[],(MATCH(Calendar!$A18,DB!$1:$1,0)),FALSE)),"")</f>
        <v/>
      </c>
      <c r="SSH18" s="28" t="str">
        <f>IFERROR(IF(SSQ3="No",IF(VLOOKUP(DATE($K$1,$K$2,SSH$4),Table1[],(MATCH(Calendar!$A18,DB!$1:$1,0)),FALSE)&gt;=5,"Good","Bad"),VLOOKUP(DATE($K$1,$K$2,SSH$4),Table1[],(MATCH(Calendar!$A18,DB!$1:$1,0)),FALSE)),"")</f>
        <v/>
      </c>
      <c r="SSI18" s="28" t="str">
        <f>IFERROR(IF(SSR3="No",IF(VLOOKUP(DATE($K$1,$K$2,SSI$4),Table1[],(MATCH(Calendar!$A18,DB!$1:$1,0)),FALSE)&gt;=5,"Good","Bad"),VLOOKUP(DATE($K$1,$K$2,SSI$4),Table1[],(MATCH(Calendar!$A18,DB!$1:$1,0)),FALSE)),"")</f>
        <v/>
      </c>
      <c r="SSJ18" s="28" t="str">
        <f>IFERROR(IF(SSS3="No",IF(VLOOKUP(DATE($K$1,$K$2,SSJ$4),Table1[],(MATCH(Calendar!$A18,DB!$1:$1,0)),FALSE)&gt;=5,"Good","Bad"),VLOOKUP(DATE($K$1,$K$2,SSJ$4),Table1[],(MATCH(Calendar!$A18,DB!$1:$1,0)),FALSE)),"")</f>
        <v/>
      </c>
      <c r="SSK18" s="28" t="str">
        <f>IFERROR(IF(SST3="No",IF(VLOOKUP(DATE($K$1,$K$2,SSK$4),Table1[],(MATCH(Calendar!$A18,DB!$1:$1,0)),FALSE)&gt;=5,"Good","Bad"),VLOOKUP(DATE($K$1,$K$2,SSK$4),Table1[],(MATCH(Calendar!$A18,DB!$1:$1,0)),FALSE)),"")</f>
        <v/>
      </c>
      <c r="SSL18" s="28" t="str">
        <f>IFERROR(IF(SSU3="No",IF(VLOOKUP(DATE($K$1,$K$2,SSL$4),Table1[],(MATCH(Calendar!$A18,DB!$1:$1,0)),FALSE)&gt;=5,"Good","Bad"),VLOOKUP(DATE($K$1,$K$2,SSL$4),Table1[],(MATCH(Calendar!$A18,DB!$1:$1,0)),FALSE)),"")</f>
        <v/>
      </c>
      <c r="SSM18" s="28" t="str">
        <f>IFERROR(IF(SSV3="No",IF(VLOOKUP(DATE($K$1,$K$2,SSM$4),Table1[],(MATCH(Calendar!$A18,DB!$1:$1,0)),FALSE)&gt;=5,"Good","Bad"),VLOOKUP(DATE($K$1,$K$2,SSM$4),Table1[],(MATCH(Calendar!$A18,DB!$1:$1,0)),FALSE)),"")</f>
        <v/>
      </c>
      <c r="SSN18" s="28" t="str">
        <f>IFERROR(IF(SSW3="No",IF(VLOOKUP(DATE($K$1,$K$2,SSN$4),Table1[],(MATCH(Calendar!$A18,DB!$1:$1,0)),FALSE)&gt;=5,"Good","Bad"),VLOOKUP(DATE($K$1,$K$2,SSN$4),Table1[],(MATCH(Calendar!$A18,DB!$1:$1,0)),FALSE)),"")</f>
        <v/>
      </c>
      <c r="SSO18" s="28" t="str">
        <f>IFERROR(IF(SSX3="No",IF(VLOOKUP(DATE($K$1,$K$2,SSO$4),Table1[],(MATCH(Calendar!$A18,DB!$1:$1,0)),FALSE)&gt;=5,"Good","Bad"),VLOOKUP(DATE($K$1,$K$2,SSO$4),Table1[],(MATCH(Calendar!$A18,DB!$1:$1,0)),FALSE)),"")</f>
        <v/>
      </c>
      <c r="SSP18" s="28" t="str">
        <f>IFERROR(IF(SSY3="No",IF(VLOOKUP(DATE($K$1,$K$2,SSP$4),Table1[],(MATCH(Calendar!$A18,DB!$1:$1,0)),FALSE)&gt;=5,"Good","Bad"),VLOOKUP(DATE($K$1,$K$2,SSP$4),Table1[],(MATCH(Calendar!$A18,DB!$1:$1,0)),FALSE)),"")</f>
        <v/>
      </c>
      <c r="SSQ18" s="28" t="str">
        <f>IFERROR(IF(SSZ3="No",IF(VLOOKUP(DATE($K$1,$K$2,SSQ$4),Table1[],(MATCH(Calendar!$A18,DB!$1:$1,0)),FALSE)&gt;=5,"Good","Bad"),VLOOKUP(DATE($K$1,$K$2,SSQ$4),Table1[],(MATCH(Calendar!$A18,DB!$1:$1,0)),FALSE)),"")</f>
        <v/>
      </c>
      <c r="SSR18" s="28" t="str">
        <f>IFERROR(IF(STA3="No",IF(VLOOKUP(DATE($K$1,$K$2,SSR$4),Table1[],(MATCH(Calendar!$A18,DB!$1:$1,0)),FALSE)&gt;=5,"Good","Bad"),VLOOKUP(DATE($K$1,$K$2,SSR$4),Table1[],(MATCH(Calendar!$A18,DB!$1:$1,0)),FALSE)),"")</f>
        <v/>
      </c>
      <c r="SSS18" s="28" t="str">
        <f>IFERROR(IF(STB3="No",IF(VLOOKUP(DATE($K$1,$K$2,SSS$4),Table1[],(MATCH(Calendar!$A18,DB!$1:$1,0)),FALSE)&gt;=5,"Good","Bad"),VLOOKUP(DATE($K$1,$K$2,SSS$4),Table1[],(MATCH(Calendar!$A18,DB!$1:$1,0)),FALSE)),"")</f>
        <v/>
      </c>
      <c r="SST18" s="28" t="str">
        <f>IFERROR(IF(STC3="No",IF(VLOOKUP(DATE($K$1,$K$2,SST$4),Table1[],(MATCH(Calendar!$A18,DB!$1:$1,0)),FALSE)&gt;=5,"Good","Bad"),VLOOKUP(DATE($K$1,$K$2,SST$4),Table1[],(MATCH(Calendar!$A18,DB!$1:$1,0)),FALSE)),"")</f>
        <v/>
      </c>
      <c r="SSU18" s="28" t="str">
        <f>IFERROR(IF(STD3="No",IF(VLOOKUP(DATE($K$1,$K$2,SSU$4),Table1[],(MATCH(Calendar!$A18,DB!$1:$1,0)),FALSE)&gt;=5,"Good","Bad"),VLOOKUP(DATE($K$1,$K$2,SSU$4),Table1[],(MATCH(Calendar!$A18,DB!$1:$1,0)),FALSE)),"")</f>
        <v/>
      </c>
      <c r="SSV18" s="28" t="str">
        <f>IFERROR(IF(STE3="No",IF(VLOOKUP(DATE($K$1,$K$2,SSV$4),Table1[],(MATCH(Calendar!$A18,DB!$1:$1,0)),FALSE)&gt;=5,"Good","Bad"),VLOOKUP(DATE($K$1,$K$2,SSV$4),Table1[],(MATCH(Calendar!$A18,DB!$1:$1,0)),FALSE)),"")</f>
        <v/>
      </c>
      <c r="SSW18" s="28" t="str">
        <f>IFERROR(IF(STF3="No",IF(VLOOKUP(DATE($K$1,$K$2,SSW$4),Table1[],(MATCH(Calendar!$A18,DB!$1:$1,0)),FALSE)&gt;=5,"Good","Bad"),VLOOKUP(DATE($K$1,$K$2,SSW$4),Table1[],(MATCH(Calendar!$A18,DB!$1:$1,0)),FALSE)),"")</f>
        <v/>
      </c>
      <c r="SSX18" s="28" t="str">
        <f>IFERROR(IF(STG3="No",IF(VLOOKUP(DATE($K$1,$K$2,SSX$4),Table1[],(MATCH(Calendar!$A18,DB!$1:$1,0)),FALSE)&gt;=5,"Good","Bad"),VLOOKUP(DATE($K$1,$K$2,SSX$4),Table1[],(MATCH(Calendar!$A18,DB!$1:$1,0)),FALSE)),"")</f>
        <v/>
      </c>
      <c r="SSY18" s="28" t="str">
        <f>IFERROR(IF(STH3="No",IF(VLOOKUP(DATE($K$1,$K$2,SSY$4),Table1[],(MATCH(Calendar!$A18,DB!$1:$1,0)),FALSE)&gt;=5,"Good","Bad"),VLOOKUP(DATE($K$1,$K$2,SSY$4),Table1[],(MATCH(Calendar!$A18,DB!$1:$1,0)),FALSE)),"")</f>
        <v/>
      </c>
      <c r="SSZ18" s="28" t="str">
        <f>IFERROR(IF(STI3="No",IF(VLOOKUP(DATE($K$1,$K$2,SSZ$4),Table1[],(MATCH(Calendar!$A18,DB!$1:$1,0)),FALSE)&gt;=5,"Good","Bad"),VLOOKUP(DATE($K$1,$K$2,SSZ$4),Table1[],(MATCH(Calendar!$A18,DB!$1:$1,0)),FALSE)),"")</f>
        <v/>
      </c>
      <c r="STA18" s="28" t="str">
        <f>IFERROR(IF(STJ3="No",IF(VLOOKUP(DATE($K$1,$K$2,STA$4),Table1[],(MATCH(Calendar!$A18,DB!$1:$1,0)),FALSE)&gt;=5,"Good","Bad"),VLOOKUP(DATE($K$1,$K$2,STA$4),Table1[],(MATCH(Calendar!$A18,DB!$1:$1,0)),FALSE)),"")</f>
        <v/>
      </c>
      <c r="STB18" s="28" t="str">
        <f>IFERROR(IF(STK3="No",IF(VLOOKUP(DATE($K$1,$K$2,STB$4),Table1[],(MATCH(Calendar!$A18,DB!$1:$1,0)),FALSE)&gt;=5,"Good","Bad"),VLOOKUP(DATE($K$1,$K$2,STB$4),Table1[],(MATCH(Calendar!$A18,DB!$1:$1,0)),FALSE)),"")</f>
        <v/>
      </c>
      <c r="STC18" s="28" t="str">
        <f>IFERROR(IF(STL3="No",IF(VLOOKUP(DATE($K$1,$K$2,STC$4),Table1[],(MATCH(Calendar!$A18,DB!$1:$1,0)),FALSE)&gt;=5,"Good","Bad"),VLOOKUP(DATE($K$1,$K$2,STC$4),Table1[],(MATCH(Calendar!$A18,DB!$1:$1,0)),FALSE)),"")</f>
        <v/>
      </c>
      <c r="STD18" s="28" t="str">
        <f>IFERROR(IF(STM3="No",IF(VLOOKUP(DATE($K$1,$K$2,STD$4),Table1[],(MATCH(Calendar!$A18,DB!$1:$1,0)),FALSE)&gt;=5,"Good","Bad"),VLOOKUP(DATE($K$1,$K$2,STD$4),Table1[],(MATCH(Calendar!$A18,DB!$1:$1,0)),FALSE)),"")</f>
        <v/>
      </c>
      <c r="STE18" s="28" t="str">
        <f>IFERROR(IF(STN3="No",IF(VLOOKUP(DATE($K$1,$K$2,STE$4),Table1[],(MATCH(Calendar!$A18,DB!$1:$1,0)),FALSE)&gt;=5,"Good","Bad"),VLOOKUP(DATE($K$1,$K$2,STE$4),Table1[],(MATCH(Calendar!$A18,DB!$1:$1,0)),FALSE)),"")</f>
        <v/>
      </c>
      <c r="STF18" s="28" t="str">
        <f>IFERROR(IF(STO3="No",IF(VLOOKUP(DATE($K$1,$K$2,STF$4),Table1[],(MATCH(Calendar!$A18,DB!$1:$1,0)),FALSE)&gt;=5,"Good","Bad"),VLOOKUP(DATE($K$1,$K$2,STF$4),Table1[],(MATCH(Calendar!$A18,DB!$1:$1,0)),FALSE)),"")</f>
        <v/>
      </c>
      <c r="STG18" s="28" t="str">
        <f>IFERROR(IF(STP3="No",IF(VLOOKUP(DATE($K$1,$K$2,STG$4),Table1[],(MATCH(Calendar!$A18,DB!$1:$1,0)),FALSE)&gt;=5,"Good","Bad"),VLOOKUP(DATE($K$1,$K$2,STG$4),Table1[],(MATCH(Calendar!$A18,DB!$1:$1,0)),FALSE)),"")</f>
        <v/>
      </c>
      <c r="STH18" s="28" t="str">
        <f>IFERROR(IF(STQ3="No",IF(VLOOKUP(DATE($K$1,$K$2,STH$4),Table1[],(MATCH(Calendar!$A18,DB!$1:$1,0)),FALSE)&gt;=5,"Good","Bad"),VLOOKUP(DATE($K$1,$K$2,STH$4),Table1[],(MATCH(Calendar!$A18,DB!$1:$1,0)),FALSE)),"")</f>
        <v/>
      </c>
      <c r="STI18" s="28" t="str">
        <f>IFERROR(IF(STR3="No",IF(VLOOKUP(DATE($K$1,$K$2,STI$4),Table1[],(MATCH(Calendar!$A18,DB!$1:$1,0)),FALSE)&gt;=5,"Good","Bad"),VLOOKUP(DATE($K$1,$K$2,STI$4),Table1[],(MATCH(Calendar!$A18,DB!$1:$1,0)),FALSE)),"")</f>
        <v/>
      </c>
      <c r="STJ18" s="28" t="str">
        <f>IFERROR(IF(STS3="No",IF(VLOOKUP(DATE($K$1,$K$2,STJ$4),Table1[],(MATCH(Calendar!$A18,DB!$1:$1,0)),FALSE)&gt;=5,"Good","Bad"),VLOOKUP(DATE($K$1,$K$2,STJ$4),Table1[],(MATCH(Calendar!$A18,DB!$1:$1,0)),FALSE)),"")</f>
        <v/>
      </c>
      <c r="STK18" s="28" t="str">
        <f>IFERROR(IF(STT3="No",IF(VLOOKUP(DATE($K$1,$K$2,STK$4),Table1[],(MATCH(Calendar!$A18,DB!$1:$1,0)),FALSE)&gt;=5,"Good","Bad"),VLOOKUP(DATE($K$1,$K$2,STK$4),Table1[],(MATCH(Calendar!$A18,DB!$1:$1,0)),FALSE)),"")</f>
        <v/>
      </c>
      <c r="STL18" s="28" t="str">
        <f>IFERROR(IF(STU3="No",IF(VLOOKUP(DATE($K$1,$K$2,STL$4),Table1[],(MATCH(Calendar!$A18,DB!$1:$1,0)),FALSE)&gt;=5,"Good","Bad"),VLOOKUP(DATE($K$1,$K$2,STL$4),Table1[],(MATCH(Calendar!$A18,DB!$1:$1,0)),FALSE)),"")</f>
        <v/>
      </c>
      <c r="STM18" s="28" t="str">
        <f>IFERROR(IF(STV3="No",IF(VLOOKUP(DATE($K$1,$K$2,STM$4),Table1[],(MATCH(Calendar!$A18,DB!$1:$1,0)),FALSE)&gt;=5,"Good","Bad"),VLOOKUP(DATE($K$1,$K$2,STM$4),Table1[],(MATCH(Calendar!$A18,DB!$1:$1,0)),FALSE)),"")</f>
        <v/>
      </c>
      <c r="STN18" s="28" t="str">
        <f>IFERROR(IF(STW3="No",IF(VLOOKUP(DATE($K$1,$K$2,STN$4),Table1[],(MATCH(Calendar!$A18,DB!$1:$1,0)),FALSE)&gt;=5,"Good","Bad"),VLOOKUP(DATE($K$1,$K$2,STN$4),Table1[],(MATCH(Calendar!$A18,DB!$1:$1,0)),FALSE)),"")</f>
        <v/>
      </c>
      <c r="STO18" s="28" t="str">
        <f>IFERROR(IF(STX3="No",IF(VLOOKUP(DATE($K$1,$K$2,STO$4),Table1[],(MATCH(Calendar!$A18,DB!$1:$1,0)),FALSE)&gt;=5,"Good","Bad"),VLOOKUP(DATE($K$1,$K$2,STO$4),Table1[],(MATCH(Calendar!$A18,DB!$1:$1,0)),FALSE)),"")</f>
        <v/>
      </c>
      <c r="STP18" s="28" t="str">
        <f>IFERROR(IF(STY3="No",IF(VLOOKUP(DATE($K$1,$K$2,STP$4),Table1[],(MATCH(Calendar!$A18,DB!$1:$1,0)),FALSE)&gt;=5,"Good","Bad"),VLOOKUP(DATE($K$1,$K$2,STP$4),Table1[],(MATCH(Calendar!$A18,DB!$1:$1,0)),FALSE)),"")</f>
        <v/>
      </c>
      <c r="STQ18" s="28" t="str">
        <f>IFERROR(IF(STZ3="No",IF(VLOOKUP(DATE($K$1,$K$2,STQ$4),Table1[],(MATCH(Calendar!$A18,DB!$1:$1,0)),FALSE)&gt;=5,"Good","Bad"),VLOOKUP(DATE($K$1,$K$2,STQ$4),Table1[],(MATCH(Calendar!$A18,DB!$1:$1,0)),FALSE)),"")</f>
        <v/>
      </c>
      <c r="STR18" s="28" t="str">
        <f>IFERROR(IF(SUA3="No",IF(VLOOKUP(DATE($K$1,$K$2,STR$4),Table1[],(MATCH(Calendar!$A18,DB!$1:$1,0)),FALSE)&gt;=5,"Good","Bad"),VLOOKUP(DATE($K$1,$K$2,STR$4),Table1[],(MATCH(Calendar!$A18,DB!$1:$1,0)),FALSE)),"")</f>
        <v/>
      </c>
      <c r="STS18" s="28" t="str">
        <f>IFERROR(IF(SUB3="No",IF(VLOOKUP(DATE($K$1,$K$2,STS$4),Table1[],(MATCH(Calendar!$A18,DB!$1:$1,0)),FALSE)&gt;=5,"Good","Bad"),VLOOKUP(DATE($K$1,$K$2,STS$4),Table1[],(MATCH(Calendar!$A18,DB!$1:$1,0)),FALSE)),"")</f>
        <v/>
      </c>
      <c r="STT18" s="28" t="str">
        <f>IFERROR(IF(SUC3="No",IF(VLOOKUP(DATE($K$1,$K$2,STT$4),Table1[],(MATCH(Calendar!$A18,DB!$1:$1,0)),FALSE)&gt;=5,"Good","Bad"),VLOOKUP(DATE($K$1,$K$2,STT$4),Table1[],(MATCH(Calendar!$A18,DB!$1:$1,0)),FALSE)),"")</f>
        <v/>
      </c>
      <c r="STU18" s="28" t="str">
        <f>IFERROR(IF(SUD3="No",IF(VLOOKUP(DATE($K$1,$K$2,STU$4),Table1[],(MATCH(Calendar!$A18,DB!$1:$1,0)),FALSE)&gt;=5,"Good","Bad"),VLOOKUP(DATE($K$1,$K$2,STU$4),Table1[],(MATCH(Calendar!$A18,DB!$1:$1,0)),FALSE)),"")</f>
        <v/>
      </c>
      <c r="STV18" s="28" t="str">
        <f>IFERROR(IF(SUE3="No",IF(VLOOKUP(DATE($K$1,$K$2,STV$4),Table1[],(MATCH(Calendar!$A18,DB!$1:$1,0)),FALSE)&gt;=5,"Good","Bad"),VLOOKUP(DATE($K$1,$K$2,STV$4),Table1[],(MATCH(Calendar!$A18,DB!$1:$1,0)),FALSE)),"")</f>
        <v/>
      </c>
      <c r="STW18" s="28" t="str">
        <f>IFERROR(IF(SUF3="No",IF(VLOOKUP(DATE($K$1,$K$2,STW$4),Table1[],(MATCH(Calendar!$A18,DB!$1:$1,0)),FALSE)&gt;=5,"Good","Bad"),VLOOKUP(DATE($K$1,$K$2,STW$4),Table1[],(MATCH(Calendar!$A18,DB!$1:$1,0)),FALSE)),"")</f>
        <v/>
      </c>
      <c r="STX18" s="28" t="str">
        <f>IFERROR(IF(SUG3="No",IF(VLOOKUP(DATE($K$1,$K$2,STX$4),Table1[],(MATCH(Calendar!$A18,DB!$1:$1,0)),FALSE)&gt;=5,"Good","Bad"),VLOOKUP(DATE($K$1,$K$2,STX$4),Table1[],(MATCH(Calendar!$A18,DB!$1:$1,0)),FALSE)),"")</f>
        <v/>
      </c>
      <c r="STY18" s="28" t="str">
        <f>IFERROR(IF(SUH3="No",IF(VLOOKUP(DATE($K$1,$K$2,STY$4),Table1[],(MATCH(Calendar!$A18,DB!$1:$1,0)),FALSE)&gt;=5,"Good","Bad"),VLOOKUP(DATE($K$1,$K$2,STY$4),Table1[],(MATCH(Calendar!$A18,DB!$1:$1,0)),FALSE)),"")</f>
        <v/>
      </c>
      <c r="STZ18" s="28" t="str">
        <f>IFERROR(IF(SUI3="No",IF(VLOOKUP(DATE($K$1,$K$2,STZ$4),Table1[],(MATCH(Calendar!$A18,DB!$1:$1,0)),FALSE)&gt;=5,"Good","Bad"),VLOOKUP(DATE($K$1,$K$2,STZ$4),Table1[],(MATCH(Calendar!$A18,DB!$1:$1,0)),FALSE)),"")</f>
        <v/>
      </c>
      <c r="SUA18" s="28" t="str">
        <f>IFERROR(IF(SUJ3="No",IF(VLOOKUP(DATE($K$1,$K$2,SUA$4),Table1[],(MATCH(Calendar!$A18,DB!$1:$1,0)),FALSE)&gt;=5,"Good","Bad"),VLOOKUP(DATE($K$1,$K$2,SUA$4),Table1[],(MATCH(Calendar!$A18,DB!$1:$1,0)),FALSE)),"")</f>
        <v/>
      </c>
      <c r="SUB18" s="28" t="str">
        <f>IFERROR(IF(SUK3="No",IF(VLOOKUP(DATE($K$1,$K$2,SUB$4),Table1[],(MATCH(Calendar!$A18,DB!$1:$1,0)),FALSE)&gt;=5,"Good","Bad"),VLOOKUP(DATE($K$1,$K$2,SUB$4),Table1[],(MATCH(Calendar!$A18,DB!$1:$1,0)),FALSE)),"")</f>
        <v/>
      </c>
      <c r="SUC18" s="28" t="str">
        <f>IFERROR(IF(SUL3="No",IF(VLOOKUP(DATE($K$1,$K$2,SUC$4),Table1[],(MATCH(Calendar!$A18,DB!$1:$1,0)),FALSE)&gt;=5,"Good","Bad"),VLOOKUP(DATE($K$1,$K$2,SUC$4),Table1[],(MATCH(Calendar!$A18,DB!$1:$1,0)),FALSE)),"")</f>
        <v/>
      </c>
      <c r="SUD18" s="28" t="str">
        <f>IFERROR(IF(SUM3="No",IF(VLOOKUP(DATE($K$1,$K$2,SUD$4),Table1[],(MATCH(Calendar!$A18,DB!$1:$1,0)),FALSE)&gt;=5,"Good","Bad"),VLOOKUP(DATE($K$1,$K$2,SUD$4),Table1[],(MATCH(Calendar!$A18,DB!$1:$1,0)),FALSE)),"")</f>
        <v/>
      </c>
      <c r="SUE18" s="28" t="str">
        <f>IFERROR(IF(SUN3="No",IF(VLOOKUP(DATE($K$1,$K$2,SUE$4),Table1[],(MATCH(Calendar!$A18,DB!$1:$1,0)),FALSE)&gt;=5,"Good","Bad"),VLOOKUP(DATE($K$1,$K$2,SUE$4),Table1[],(MATCH(Calendar!$A18,DB!$1:$1,0)),FALSE)),"")</f>
        <v/>
      </c>
      <c r="SUF18" s="28" t="str">
        <f>IFERROR(IF(SUO3="No",IF(VLOOKUP(DATE($K$1,$K$2,SUF$4),Table1[],(MATCH(Calendar!$A18,DB!$1:$1,0)),FALSE)&gt;=5,"Good","Bad"),VLOOKUP(DATE($K$1,$K$2,SUF$4),Table1[],(MATCH(Calendar!$A18,DB!$1:$1,0)),FALSE)),"")</f>
        <v/>
      </c>
      <c r="SUG18" s="28" t="str">
        <f>IFERROR(IF(SUP3="No",IF(VLOOKUP(DATE($K$1,$K$2,SUG$4),Table1[],(MATCH(Calendar!$A18,DB!$1:$1,0)),FALSE)&gt;=5,"Good","Bad"),VLOOKUP(DATE($K$1,$K$2,SUG$4),Table1[],(MATCH(Calendar!$A18,DB!$1:$1,0)),FALSE)),"")</f>
        <v/>
      </c>
      <c r="SUH18" s="28" t="str">
        <f>IFERROR(IF(SUQ3="No",IF(VLOOKUP(DATE($K$1,$K$2,SUH$4),Table1[],(MATCH(Calendar!$A18,DB!$1:$1,0)),FALSE)&gt;=5,"Good","Bad"),VLOOKUP(DATE($K$1,$K$2,SUH$4),Table1[],(MATCH(Calendar!$A18,DB!$1:$1,0)),FALSE)),"")</f>
        <v/>
      </c>
      <c r="SUI18" s="28" t="str">
        <f>IFERROR(IF(SUR3="No",IF(VLOOKUP(DATE($K$1,$K$2,SUI$4),Table1[],(MATCH(Calendar!$A18,DB!$1:$1,0)),FALSE)&gt;=5,"Good","Bad"),VLOOKUP(DATE($K$1,$K$2,SUI$4),Table1[],(MATCH(Calendar!$A18,DB!$1:$1,0)),FALSE)),"")</f>
        <v/>
      </c>
      <c r="SUJ18" s="28" t="str">
        <f>IFERROR(IF(SUS3="No",IF(VLOOKUP(DATE($K$1,$K$2,SUJ$4),Table1[],(MATCH(Calendar!$A18,DB!$1:$1,0)),FALSE)&gt;=5,"Good","Bad"),VLOOKUP(DATE($K$1,$K$2,SUJ$4),Table1[],(MATCH(Calendar!$A18,DB!$1:$1,0)),FALSE)),"")</f>
        <v/>
      </c>
      <c r="SUK18" s="28" t="str">
        <f>IFERROR(IF(SUT3="No",IF(VLOOKUP(DATE($K$1,$K$2,SUK$4),Table1[],(MATCH(Calendar!$A18,DB!$1:$1,0)),FALSE)&gt;=5,"Good","Bad"),VLOOKUP(DATE($K$1,$K$2,SUK$4),Table1[],(MATCH(Calendar!$A18,DB!$1:$1,0)),FALSE)),"")</f>
        <v/>
      </c>
      <c r="SUL18" s="28" t="str">
        <f>IFERROR(IF(SUU3="No",IF(VLOOKUP(DATE($K$1,$K$2,SUL$4),Table1[],(MATCH(Calendar!$A18,DB!$1:$1,0)),FALSE)&gt;=5,"Good","Bad"),VLOOKUP(DATE($K$1,$K$2,SUL$4),Table1[],(MATCH(Calendar!$A18,DB!$1:$1,0)),FALSE)),"")</f>
        <v/>
      </c>
      <c r="SUM18" s="28" t="str">
        <f>IFERROR(IF(SUV3="No",IF(VLOOKUP(DATE($K$1,$K$2,SUM$4),Table1[],(MATCH(Calendar!$A18,DB!$1:$1,0)),FALSE)&gt;=5,"Good","Bad"),VLOOKUP(DATE($K$1,$K$2,SUM$4),Table1[],(MATCH(Calendar!$A18,DB!$1:$1,0)),FALSE)),"")</f>
        <v/>
      </c>
      <c r="SUN18" s="28" t="str">
        <f>IFERROR(IF(SUW3="No",IF(VLOOKUP(DATE($K$1,$K$2,SUN$4),Table1[],(MATCH(Calendar!$A18,DB!$1:$1,0)),FALSE)&gt;=5,"Good","Bad"),VLOOKUP(DATE($K$1,$K$2,SUN$4),Table1[],(MATCH(Calendar!$A18,DB!$1:$1,0)),FALSE)),"")</f>
        <v/>
      </c>
      <c r="SUO18" s="28" t="str">
        <f>IFERROR(IF(SUX3="No",IF(VLOOKUP(DATE($K$1,$K$2,SUO$4),Table1[],(MATCH(Calendar!$A18,DB!$1:$1,0)),FALSE)&gt;=5,"Good","Bad"),VLOOKUP(DATE($K$1,$K$2,SUO$4),Table1[],(MATCH(Calendar!$A18,DB!$1:$1,0)),FALSE)),"")</f>
        <v/>
      </c>
      <c r="SUP18" s="28" t="str">
        <f>IFERROR(IF(SUY3="No",IF(VLOOKUP(DATE($K$1,$K$2,SUP$4),Table1[],(MATCH(Calendar!$A18,DB!$1:$1,0)),FALSE)&gt;=5,"Good","Bad"),VLOOKUP(DATE($K$1,$K$2,SUP$4),Table1[],(MATCH(Calendar!$A18,DB!$1:$1,0)),FALSE)),"")</f>
        <v/>
      </c>
      <c r="SUQ18" s="28" t="str">
        <f>IFERROR(IF(SUZ3="No",IF(VLOOKUP(DATE($K$1,$K$2,SUQ$4),Table1[],(MATCH(Calendar!$A18,DB!$1:$1,0)),FALSE)&gt;=5,"Good","Bad"),VLOOKUP(DATE($K$1,$K$2,SUQ$4),Table1[],(MATCH(Calendar!$A18,DB!$1:$1,0)),FALSE)),"")</f>
        <v/>
      </c>
      <c r="SUR18" s="28" t="str">
        <f>IFERROR(IF(SVA3="No",IF(VLOOKUP(DATE($K$1,$K$2,SUR$4),Table1[],(MATCH(Calendar!$A18,DB!$1:$1,0)),FALSE)&gt;=5,"Good","Bad"),VLOOKUP(DATE($K$1,$K$2,SUR$4),Table1[],(MATCH(Calendar!$A18,DB!$1:$1,0)),FALSE)),"")</f>
        <v/>
      </c>
      <c r="SUS18" s="28" t="str">
        <f>IFERROR(IF(SVB3="No",IF(VLOOKUP(DATE($K$1,$K$2,SUS$4),Table1[],(MATCH(Calendar!$A18,DB!$1:$1,0)),FALSE)&gt;=5,"Good","Bad"),VLOOKUP(DATE($K$1,$K$2,SUS$4),Table1[],(MATCH(Calendar!$A18,DB!$1:$1,0)),FALSE)),"")</f>
        <v/>
      </c>
      <c r="SUT18" s="28" t="str">
        <f>IFERROR(IF(SVC3="No",IF(VLOOKUP(DATE($K$1,$K$2,SUT$4),Table1[],(MATCH(Calendar!$A18,DB!$1:$1,0)),FALSE)&gt;=5,"Good","Bad"),VLOOKUP(DATE($K$1,$K$2,SUT$4),Table1[],(MATCH(Calendar!$A18,DB!$1:$1,0)),FALSE)),"")</f>
        <v/>
      </c>
      <c r="SUU18" s="28" t="str">
        <f>IFERROR(IF(SVD3="No",IF(VLOOKUP(DATE($K$1,$K$2,SUU$4),Table1[],(MATCH(Calendar!$A18,DB!$1:$1,0)),FALSE)&gt;=5,"Good","Bad"),VLOOKUP(DATE($K$1,$K$2,SUU$4),Table1[],(MATCH(Calendar!$A18,DB!$1:$1,0)),FALSE)),"")</f>
        <v/>
      </c>
      <c r="SUV18" s="28" t="str">
        <f>IFERROR(IF(SVE3="No",IF(VLOOKUP(DATE($K$1,$K$2,SUV$4),Table1[],(MATCH(Calendar!$A18,DB!$1:$1,0)),FALSE)&gt;=5,"Good","Bad"),VLOOKUP(DATE($K$1,$K$2,SUV$4),Table1[],(MATCH(Calendar!$A18,DB!$1:$1,0)),FALSE)),"")</f>
        <v/>
      </c>
      <c r="SUW18" s="28" t="str">
        <f>IFERROR(IF(SVF3="No",IF(VLOOKUP(DATE($K$1,$K$2,SUW$4),Table1[],(MATCH(Calendar!$A18,DB!$1:$1,0)),FALSE)&gt;=5,"Good","Bad"),VLOOKUP(DATE($K$1,$K$2,SUW$4),Table1[],(MATCH(Calendar!$A18,DB!$1:$1,0)),FALSE)),"")</f>
        <v/>
      </c>
      <c r="SUX18" s="28" t="str">
        <f>IFERROR(IF(SVG3="No",IF(VLOOKUP(DATE($K$1,$K$2,SUX$4),Table1[],(MATCH(Calendar!$A18,DB!$1:$1,0)),FALSE)&gt;=5,"Good","Bad"),VLOOKUP(DATE($K$1,$K$2,SUX$4),Table1[],(MATCH(Calendar!$A18,DB!$1:$1,0)),FALSE)),"")</f>
        <v/>
      </c>
      <c r="SUY18" s="28" t="str">
        <f>IFERROR(IF(SVH3="No",IF(VLOOKUP(DATE($K$1,$K$2,SUY$4),Table1[],(MATCH(Calendar!$A18,DB!$1:$1,0)),FALSE)&gt;=5,"Good","Bad"),VLOOKUP(DATE($K$1,$K$2,SUY$4),Table1[],(MATCH(Calendar!$A18,DB!$1:$1,0)),FALSE)),"")</f>
        <v/>
      </c>
      <c r="SUZ18" s="28" t="str">
        <f>IFERROR(IF(SVI3="No",IF(VLOOKUP(DATE($K$1,$K$2,SUZ$4),Table1[],(MATCH(Calendar!$A18,DB!$1:$1,0)),FALSE)&gt;=5,"Good","Bad"),VLOOKUP(DATE($K$1,$K$2,SUZ$4),Table1[],(MATCH(Calendar!$A18,DB!$1:$1,0)),FALSE)),"")</f>
        <v/>
      </c>
      <c r="SVA18" s="28" t="str">
        <f>IFERROR(IF(SVJ3="No",IF(VLOOKUP(DATE($K$1,$K$2,SVA$4),Table1[],(MATCH(Calendar!$A18,DB!$1:$1,0)),FALSE)&gt;=5,"Good","Bad"),VLOOKUP(DATE($K$1,$K$2,SVA$4),Table1[],(MATCH(Calendar!$A18,DB!$1:$1,0)),FALSE)),"")</f>
        <v/>
      </c>
      <c r="SVB18" s="28" t="str">
        <f>IFERROR(IF(SVK3="No",IF(VLOOKUP(DATE($K$1,$K$2,SVB$4),Table1[],(MATCH(Calendar!$A18,DB!$1:$1,0)),FALSE)&gt;=5,"Good","Bad"),VLOOKUP(DATE($K$1,$K$2,SVB$4),Table1[],(MATCH(Calendar!$A18,DB!$1:$1,0)),FALSE)),"")</f>
        <v/>
      </c>
      <c r="SVC18" s="28" t="str">
        <f>IFERROR(IF(SVL3="No",IF(VLOOKUP(DATE($K$1,$K$2,SVC$4),Table1[],(MATCH(Calendar!$A18,DB!$1:$1,0)),FALSE)&gt;=5,"Good","Bad"),VLOOKUP(DATE($K$1,$K$2,SVC$4),Table1[],(MATCH(Calendar!$A18,DB!$1:$1,0)),FALSE)),"")</f>
        <v/>
      </c>
      <c r="SVD18" s="28" t="str">
        <f>IFERROR(IF(SVM3="No",IF(VLOOKUP(DATE($K$1,$K$2,SVD$4),Table1[],(MATCH(Calendar!$A18,DB!$1:$1,0)),FALSE)&gt;=5,"Good","Bad"),VLOOKUP(DATE($K$1,$K$2,SVD$4),Table1[],(MATCH(Calendar!$A18,DB!$1:$1,0)),FALSE)),"")</f>
        <v/>
      </c>
      <c r="SVE18" s="28" t="str">
        <f>IFERROR(IF(SVN3="No",IF(VLOOKUP(DATE($K$1,$K$2,SVE$4),Table1[],(MATCH(Calendar!$A18,DB!$1:$1,0)),FALSE)&gt;=5,"Good","Bad"),VLOOKUP(DATE($K$1,$K$2,SVE$4),Table1[],(MATCH(Calendar!$A18,DB!$1:$1,0)),FALSE)),"")</f>
        <v/>
      </c>
      <c r="SVF18" s="28" t="str">
        <f>IFERROR(IF(SVO3="No",IF(VLOOKUP(DATE($K$1,$K$2,SVF$4),Table1[],(MATCH(Calendar!$A18,DB!$1:$1,0)),FALSE)&gt;=5,"Good","Bad"),VLOOKUP(DATE($K$1,$K$2,SVF$4),Table1[],(MATCH(Calendar!$A18,DB!$1:$1,0)),FALSE)),"")</f>
        <v/>
      </c>
      <c r="SVG18" s="28" t="str">
        <f>IFERROR(IF(SVP3="No",IF(VLOOKUP(DATE($K$1,$K$2,SVG$4),Table1[],(MATCH(Calendar!$A18,DB!$1:$1,0)),FALSE)&gt;=5,"Good","Bad"),VLOOKUP(DATE($K$1,$K$2,SVG$4),Table1[],(MATCH(Calendar!$A18,DB!$1:$1,0)),FALSE)),"")</f>
        <v/>
      </c>
      <c r="SVH18" s="28" t="str">
        <f>IFERROR(IF(SVQ3="No",IF(VLOOKUP(DATE($K$1,$K$2,SVH$4),Table1[],(MATCH(Calendar!$A18,DB!$1:$1,0)),FALSE)&gt;=5,"Good","Bad"),VLOOKUP(DATE($K$1,$K$2,SVH$4),Table1[],(MATCH(Calendar!$A18,DB!$1:$1,0)),FALSE)),"")</f>
        <v/>
      </c>
      <c r="SVI18" s="28" t="str">
        <f>IFERROR(IF(SVR3="No",IF(VLOOKUP(DATE($K$1,$K$2,SVI$4),Table1[],(MATCH(Calendar!$A18,DB!$1:$1,0)),FALSE)&gt;=5,"Good","Bad"),VLOOKUP(DATE($K$1,$K$2,SVI$4),Table1[],(MATCH(Calendar!$A18,DB!$1:$1,0)),FALSE)),"")</f>
        <v/>
      </c>
      <c r="SVJ18" s="28" t="str">
        <f>IFERROR(IF(SVS3="No",IF(VLOOKUP(DATE($K$1,$K$2,SVJ$4),Table1[],(MATCH(Calendar!$A18,DB!$1:$1,0)),FALSE)&gt;=5,"Good","Bad"),VLOOKUP(DATE($K$1,$K$2,SVJ$4),Table1[],(MATCH(Calendar!$A18,DB!$1:$1,0)),FALSE)),"")</f>
        <v/>
      </c>
      <c r="SVK18" s="28" t="str">
        <f>IFERROR(IF(SVT3="No",IF(VLOOKUP(DATE($K$1,$K$2,SVK$4),Table1[],(MATCH(Calendar!$A18,DB!$1:$1,0)),FALSE)&gt;=5,"Good","Bad"),VLOOKUP(DATE($K$1,$K$2,SVK$4),Table1[],(MATCH(Calendar!$A18,DB!$1:$1,0)),FALSE)),"")</f>
        <v/>
      </c>
      <c r="SVL18" s="28" t="str">
        <f>IFERROR(IF(SVU3="No",IF(VLOOKUP(DATE($K$1,$K$2,SVL$4),Table1[],(MATCH(Calendar!$A18,DB!$1:$1,0)),FALSE)&gt;=5,"Good","Bad"),VLOOKUP(DATE($K$1,$K$2,SVL$4),Table1[],(MATCH(Calendar!$A18,DB!$1:$1,0)),FALSE)),"")</f>
        <v/>
      </c>
      <c r="SVM18" s="28" t="str">
        <f>IFERROR(IF(SVV3="No",IF(VLOOKUP(DATE($K$1,$K$2,SVM$4),Table1[],(MATCH(Calendar!$A18,DB!$1:$1,0)),FALSE)&gt;=5,"Good","Bad"),VLOOKUP(DATE($K$1,$K$2,SVM$4),Table1[],(MATCH(Calendar!$A18,DB!$1:$1,0)),FALSE)),"")</f>
        <v/>
      </c>
      <c r="SVN18" s="28" t="str">
        <f>IFERROR(IF(SVW3="No",IF(VLOOKUP(DATE($K$1,$K$2,SVN$4),Table1[],(MATCH(Calendar!$A18,DB!$1:$1,0)),FALSE)&gt;=5,"Good","Bad"),VLOOKUP(DATE($K$1,$K$2,SVN$4),Table1[],(MATCH(Calendar!$A18,DB!$1:$1,0)),FALSE)),"")</f>
        <v/>
      </c>
      <c r="SVO18" s="28" t="str">
        <f>IFERROR(IF(SVX3="No",IF(VLOOKUP(DATE($K$1,$K$2,SVO$4),Table1[],(MATCH(Calendar!$A18,DB!$1:$1,0)),FALSE)&gt;=5,"Good","Bad"),VLOOKUP(DATE($K$1,$K$2,SVO$4),Table1[],(MATCH(Calendar!$A18,DB!$1:$1,0)),FALSE)),"")</f>
        <v/>
      </c>
      <c r="SVP18" s="28" t="str">
        <f>IFERROR(IF(SVY3="No",IF(VLOOKUP(DATE($K$1,$K$2,SVP$4),Table1[],(MATCH(Calendar!$A18,DB!$1:$1,0)),FALSE)&gt;=5,"Good","Bad"),VLOOKUP(DATE($K$1,$K$2,SVP$4),Table1[],(MATCH(Calendar!$A18,DB!$1:$1,0)),FALSE)),"")</f>
        <v/>
      </c>
      <c r="SVQ18" s="28" t="str">
        <f>IFERROR(IF(SVZ3="No",IF(VLOOKUP(DATE($K$1,$K$2,SVQ$4),Table1[],(MATCH(Calendar!$A18,DB!$1:$1,0)),FALSE)&gt;=5,"Good","Bad"),VLOOKUP(DATE($K$1,$K$2,SVQ$4),Table1[],(MATCH(Calendar!$A18,DB!$1:$1,0)),FALSE)),"")</f>
        <v/>
      </c>
      <c r="SVR18" s="28" t="str">
        <f>IFERROR(IF(SWA3="No",IF(VLOOKUP(DATE($K$1,$K$2,SVR$4),Table1[],(MATCH(Calendar!$A18,DB!$1:$1,0)),FALSE)&gt;=5,"Good","Bad"),VLOOKUP(DATE($K$1,$K$2,SVR$4),Table1[],(MATCH(Calendar!$A18,DB!$1:$1,0)),FALSE)),"")</f>
        <v/>
      </c>
      <c r="SVS18" s="28" t="str">
        <f>IFERROR(IF(SWB3="No",IF(VLOOKUP(DATE($K$1,$K$2,SVS$4),Table1[],(MATCH(Calendar!$A18,DB!$1:$1,0)),FALSE)&gt;=5,"Good","Bad"),VLOOKUP(DATE($K$1,$K$2,SVS$4),Table1[],(MATCH(Calendar!$A18,DB!$1:$1,0)),FALSE)),"")</f>
        <v/>
      </c>
      <c r="SVT18" s="28" t="str">
        <f>IFERROR(IF(SWC3="No",IF(VLOOKUP(DATE($K$1,$K$2,SVT$4),Table1[],(MATCH(Calendar!$A18,DB!$1:$1,0)),FALSE)&gt;=5,"Good","Bad"),VLOOKUP(DATE($K$1,$K$2,SVT$4),Table1[],(MATCH(Calendar!$A18,DB!$1:$1,0)),FALSE)),"")</f>
        <v/>
      </c>
      <c r="SVU18" s="28" t="str">
        <f>IFERROR(IF(SWD3="No",IF(VLOOKUP(DATE($K$1,$K$2,SVU$4),Table1[],(MATCH(Calendar!$A18,DB!$1:$1,0)),FALSE)&gt;=5,"Good","Bad"),VLOOKUP(DATE($K$1,$K$2,SVU$4),Table1[],(MATCH(Calendar!$A18,DB!$1:$1,0)),FALSE)),"")</f>
        <v/>
      </c>
      <c r="SVV18" s="28" t="str">
        <f>IFERROR(IF(SWE3="No",IF(VLOOKUP(DATE($K$1,$K$2,SVV$4),Table1[],(MATCH(Calendar!$A18,DB!$1:$1,0)),FALSE)&gt;=5,"Good","Bad"),VLOOKUP(DATE($K$1,$K$2,SVV$4),Table1[],(MATCH(Calendar!$A18,DB!$1:$1,0)),FALSE)),"")</f>
        <v/>
      </c>
      <c r="SVW18" s="28" t="str">
        <f>IFERROR(IF(SWF3="No",IF(VLOOKUP(DATE($K$1,$K$2,SVW$4),Table1[],(MATCH(Calendar!$A18,DB!$1:$1,0)),FALSE)&gt;=5,"Good","Bad"),VLOOKUP(DATE($K$1,$K$2,SVW$4),Table1[],(MATCH(Calendar!$A18,DB!$1:$1,0)),FALSE)),"")</f>
        <v/>
      </c>
      <c r="SVX18" s="28" t="str">
        <f>IFERROR(IF(SWG3="No",IF(VLOOKUP(DATE($K$1,$K$2,SVX$4),Table1[],(MATCH(Calendar!$A18,DB!$1:$1,0)),FALSE)&gt;=5,"Good","Bad"),VLOOKUP(DATE($K$1,$K$2,SVX$4),Table1[],(MATCH(Calendar!$A18,DB!$1:$1,0)),FALSE)),"")</f>
        <v/>
      </c>
      <c r="SVY18" s="28" t="str">
        <f>IFERROR(IF(SWH3="No",IF(VLOOKUP(DATE($K$1,$K$2,SVY$4),Table1[],(MATCH(Calendar!$A18,DB!$1:$1,0)),FALSE)&gt;=5,"Good","Bad"),VLOOKUP(DATE($K$1,$K$2,SVY$4),Table1[],(MATCH(Calendar!$A18,DB!$1:$1,0)),FALSE)),"")</f>
        <v/>
      </c>
      <c r="SVZ18" s="28" t="str">
        <f>IFERROR(IF(SWI3="No",IF(VLOOKUP(DATE($K$1,$K$2,SVZ$4),Table1[],(MATCH(Calendar!$A18,DB!$1:$1,0)),FALSE)&gt;=5,"Good","Bad"),VLOOKUP(DATE($K$1,$K$2,SVZ$4),Table1[],(MATCH(Calendar!$A18,DB!$1:$1,0)),FALSE)),"")</f>
        <v/>
      </c>
      <c r="SWA18" s="28" t="str">
        <f>IFERROR(IF(SWJ3="No",IF(VLOOKUP(DATE($K$1,$K$2,SWA$4),Table1[],(MATCH(Calendar!$A18,DB!$1:$1,0)),FALSE)&gt;=5,"Good","Bad"),VLOOKUP(DATE($K$1,$K$2,SWA$4),Table1[],(MATCH(Calendar!$A18,DB!$1:$1,0)),FALSE)),"")</f>
        <v/>
      </c>
      <c r="SWB18" s="28" t="str">
        <f>IFERROR(IF(SWK3="No",IF(VLOOKUP(DATE($K$1,$K$2,SWB$4),Table1[],(MATCH(Calendar!$A18,DB!$1:$1,0)),FALSE)&gt;=5,"Good","Bad"),VLOOKUP(DATE($K$1,$K$2,SWB$4),Table1[],(MATCH(Calendar!$A18,DB!$1:$1,0)),FALSE)),"")</f>
        <v/>
      </c>
      <c r="SWC18" s="28" t="str">
        <f>IFERROR(IF(SWL3="No",IF(VLOOKUP(DATE($K$1,$K$2,SWC$4),Table1[],(MATCH(Calendar!$A18,DB!$1:$1,0)),FALSE)&gt;=5,"Good","Bad"),VLOOKUP(DATE($K$1,$K$2,SWC$4),Table1[],(MATCH(Calendar!$A18,DB!$1:$1,0)),FALSE)),"")</f>
        <v/>
      </c>
      <c r="SWD18" s="28" t="str">
        <f>IFERROR(IF(SWM3="No",IF(VLOOKUP(DATE($K$1,$K$2,SWD$4),Table1[],(MATCH(Calendar!$A18,DB!$1:$1,0)),FALSE)&gt;=5,"Good","Bad"),VLOOKUP(DATE($K$1,$K$2,SWD$4),Table1[],(MATCH(Calendar!$A18,DB!$1:$1,0)),FALSE)),"")</f>
        <v/>
      </c>
      <c r="SWE18" s="28" t="str">
        <f>IFERROR(IF(SWN3="No",IF(VLOOKUP(DATE($K$1,$K$2,SWE$4),Table1[],(MATCH(Calendar!$A18,DB!$1:$1,0)),FALSE)&gt;=5,"Good","Bad"),VLOOKUP(DATE($K$1,$K$2,SWE$4),Table1[],(MATCH(Calendar!$A18,DB!$1:$1,0)),FALSE)),"")</f>
        <v/>
      </c>
      <c r="SWF18" s="28" t="str">
        <f>IFERROR(IF(SWO3="No",IF(VLOOKUP(DATE($K$1,$K$2,SWF$4),Table1[],(MATCH(Calendar!$A18,DB!$1:$1,0)),FALSE)&gt;=5,"Good","Bad"),VLOOKUP(DATE($K$1,$K$2,SWF$4),Table1[],(MATCH(Calendar!$A18,DB!$1:$1,0)),FALSE)),"")</f>
        <v/>
      </c>
      <c r="SWG18" s="28" t="str">
        <f>IFERROR(IF(SWP3="No",IF(VLOOKUP(DATE($K$1,$K$2,SWG$4),Table1[],(MATCH(Calendar!$A18,DB!$1:$1,0)),FALSE)&gt;=5,"Good","Bad"),VLOOKUP(DATE($K$1,$K$2,SWG$4),Table1[],(MATCH(Calendar!$A18,DB!$1:$1,0)),FALSE)),"")</f>
        <v/>
      </c>
      <c r="SWH18" s="28" t="str">
        <f>IFERROR(IF(SWQ3="No",IF(VLOOKUP(DATE($K$1,$K$2,SWH$4),Table1[],(MATCH(Calendar!$A18,DB!$1:$1,0)),FALSE)&gt;=5,"Good","Bad"),VLOOKUP(DATE($K$1,$K$2,SWH$4),Table1[],(MATCH(Calendar!$A18,DB!$1:$1,0)),FALSE)),"")</f>
        <v/>
      </c>
      <c r="SWI18" s="28" t="str">
        <f>IFERROR(IF(SWR3="No",IF(VLOOKUP(DATE($K$1,$K$2,SWI$4),Table1[],(MATCH(Calendar!$A18,DB!$1:$1,0)),FALSE)&gt;=5,"Good","Bad"),VLOOKUP(DATE($K$1,$K$2,SWI$4),Table1[],(MATCH(Calendar!$A18,DB!$1:$1,0)),FALSE)),"")</f>
        <v/>
      </c>
      <c r="SWJ18" s="28" t="str">
        <f>IFERROR(IF(SWS3="No",IF(VLOOKUP(DATE($K$1,$K$2,SWJ$4),Table1[],(MATCH(Calendar!$A18,DB!$1:$1,0)),FALSE)&gt;=5,"Good","Bad"),VLOOKUP(DATE($K$1,$K$2,SWJ$4),Table1[],(MATCH(Calendar!$A18,DB!$1:$1,0)),FALSE)),"")</f>
        <v/>
      </c>
      <c r="SWK18" s="28" t="str">
        <f>IFERROR(IF(SWT3="No",IF(VLOOKUP(DATE($K$1,$K$2,SWK$4),Table1[],(MATCH(Calendar!$A18,DB!$1:$1,0)),FALSE)&gt;=5,"Good","Bad"),VLOOKUP(DATE($K$1,$K$2,SWK$4),Table1[],(MATCH(Calendar!$A18,DB!$1:$1,0)),FALSE)),"")</f>
        <v/>
      </c>
      <c r="SWL18" s="28" t="str">
        <f>IFERROR(IF(SWU3="No",IF(VLOOKUP(DATE($K$1,$K$2,SWL$4),Table1[],(MATCH(Calendar!$A18,DB!$1:$1,0)),FALSE)&gt;=5,"Good","Bad"),VLOOKUP(DATE($K$1,$K$2,SWL$4),Table1[],(MATCH(Calendar!$A18,DB!$1:$1,0)),FALSE)),"")</f>
        <v/>
      </c>
      <c r="SWM18" s="28" t="str">
        <f>IFERROR(IF(SWV3="No",IF(VLOOKUP(DATE($K$1,$K$2,SWM$4),Table1[],(MATCH(Calendar!$A18,DB!$1:$1,0)),FALSE)&gt;=5,"Good","Bad"),VLOOKUP(DATE($K$1,$K$2,SWM$4),Table1[],(MATCH(Calendar!$A18,DB!$1:$1,0)),FALSE)),"")</f>
        <v/>
      </c>
      <c r="SWN18" s="28" t="str">
        <f>IFERROR(IF(SWW3="No",IF(VLOOKUP(DATE($K$1,$K$2,SWN$4),Table1[],(MATCH(Calendar!$A18,DB!$1:$1,0)),FALSE)&gt;=5,"Good","Bad"),VLOOKUP(DATE($K$1,$K$2,SWN$4),Table1[],(MATCH(Calendar!$A18,DB!$1:$1,0)),FALSE)),"")</f>
        <v/>
      </c>
      <c r="SWO18" s="28" t="str">
        <f>IFERROR(IF(SWX3="No",IF(VLOOKUP(DATE($K$1,$K$2,SWO$4),Table1[],(MATCH(Calendar!$A18,DB!$1:$1,0)),FALSE)&gt;=5,"Good","Bad"),VLOOKUP(DATE($K$1,$K$2,SWO$4),Table1[],(MATCH(Calendar!$A18,DB!$1:$1,0)),FALSE)),"")</f>
        <v/>
      </c>
      <c r="SWP18" s="28" t="str">
        <f>IFERROR(IF(SWY3="No",IF(VLOOKUP(DATE($K$1,$K$2,SWP$4),Table1[],(MATCH(Calendar!$A18,DB!$1:$1,0)),FALSE)&gt;=5,"Good","Bad"),VLOOKUP(DATE($K$1,$K$2,SWP$4),Table1[],(MATCH(Calendar!$A18,DB!$1:$1,0)),FALSE)),"")</f>
        <v/>
      </c>
      <c r="SWQ18" s="28" t="str">
        <f>IFERROR(IF(SWZ3="No",IF(VLOOKUP(DATE($K$1,$K$2,SWQ$4),Table1[],(MATCH(Calendar!$A18,DB!$1:$1,0)),FALSE)&gt;=5,"Good","Bad"),VLOOKUP(DATE($K$1,$K$2,SWQ$4),Table1[],(MATCH(Calendar!$A18,DB!$1:$1,0)),FALSE)),"")</f>
        <v/>
      </c>
      <c r="SWR18" s="28" t="str">
        <f>IFERROR(IF(SXA3="No",IF(VLOOKUP(DATE($K$1,$K$2,SWR$4),Table1[],(MATCH(Calendar!$A18,DB!$1:$1,0)),FALSE)&gt;=5,"Good","Bad"),VLOOKUP(DATE($K$1,$K$2,SWR$4),Table1[],(MATCH(Calendar!$A18,DB!$1:$1,0)),FALSE)),"")</f>
        <v/>
      </c>
      <c r="SWS18" s="28" t="str">
        <f>IFERROR(IF(SXB3="No",IF(VLOOKUP(DATE($K$1,$K$2,SWS$4),Table1[],(MATCH(Calendar!$A18,DB!$1:$1,0)),FALSE)&gt;=5,"Good","Bad"),VLOOKUP(DATE($K$1,$K$2,SWS$4),Table1[],(MATCH(Calendar!$A18,DB!$1:$1,0)),FALSE)),"")</f>
        <v/>
      </c>
      <c r="SWT18" s="28" t="str">
        <f>IFERROR(IF(SXC3="No",IF(VLOOKUP(DATE($K$1,$K$2,SWT$4),Table1[],(MATCH(Calendar!$A18,DB!$1:$1,0)),FALSE)&gt;=5,"Good","Bad"),VLOOKUP(DATE($K$1,$K$2,SWT$4),Table1[],(MATCH(Calendar!$A18,DB!$1:$1,0)),FALSE)),"")</f>
        <v/>
      </c>
      <c r="SWU18" s="28" t="str">
        <f>IFERROR(IF(SXD3="No",IF(VLOOKUP(DATE($K$1,$K$2,SWU$4),Table1[],(MATCH(Calendar!$A18,DB!$1:$1,0)),FALSE)&gt;=5,"Good","Bad"),VLOOKUP(DATE($K$1,$K$2,SWU$4),Table1[],(MATCH(Calendar!$A18,DB!$1:$1,0)),FALSE)),"")</f>
        <v/>
      </c>
      <c r="SWV18" s="28" t="str">
        <f>IFERROR(IF(SXE3="No",IF(VLOOKUP(DATE($K$1,$K$2,SWV$4),Table1[],(MATCH(Calendar!$A18,DB!$1:$1,0)),FALSE)&gt;=5,"Good","Bad"),VLOOKUP(DATE($K$1,$K$2,SWV$4),Table1[],(MATCH(Calendar!$A18,DB!$1:$1,0)),FALSE)),"")</f>
        <v/>
      </c>
      <c r="SWW18" s="28" t="str">
        <f>IFERROR(IF(SXF3="No",IF(VLOOKUP(DATE($K$1,$K$2,SWW$4),Table1[],(MATCH(Calendar!$A18,DB!$1:$1,0)),FALSE)&gt;=5,"Good","Bad"),VLOOKUP(DATE($K$1,$K$2,SWW$4),Table1[],(MATCH(Calendar!$A18,DB!$1:$1,0)),FALSE)),"")</f>
        <v/>
      </c>
      <c r="SWX18" s="28" t="str">
        <f>IFERROR(IF(SXG3="No",IF(VLOOKUP(DATE($K$1,$K$2,SWX$4),Table1[],(MATCH(Calendar!$A18,DB!$1:$1,0)),FALSE)&gt;=5,"Good","Bad"),VLOOKUP(DATE($K$1,$K$2,SWX$4),Table1[],(MATCH(Calendar!$A18,DB!$1:$1,0)),FALSE)),"")</f>
        <v/>
      </c>
      <c r="SWY18" s="28" t="str">
        <f>IFERROR(IF(SXH3="No",IF(VLOOKUP(DATE($K$1,$K$2,SWY$4),Table1[],(MATCH(Calendar!$A18,DB!$1:$1,0)),FALSE)&gt;=5,"Good","Bad"),VLOOKUP(DATE($K$1,$K$2,SWY$4),Table1[],(MATCH(Calendar!$A18,DB!$1:$1,0)),FALSE)),"")</f>
        <v/>
      </c>
      <c r="SWZ18" s="28" t="str">
        <f>IFERROR(IF(SXI3="No",IF(VLOOKUP(DATE($K$1,$K$2,SWZ$4),Table1[],(MATCH(Calendar!$A18,DB!$1:$1,0)),FALSE)&gt;=5,"Good","Bad"),VLOOKUP(DATE($K$1,$K$2,SWZ$4),Table1[],(MATCH(Calendar!$A18,DB!$1:$1,0)),FALSE)),"")</f>
        <v/>
      </c>
      <c r="SXA18" s="28" t="str">
        <f>IFERROR(IF(SXJ3="No",IF(VLOOKUP(DATE($K$1,$K$2,SXA$4),Table1[],(MATCH(Calendar!$A18,DB!$1:$1,0)),FALSE)&gt;=5,"Good","Bad"),VLOOKUP(DATE($K$1,$K$2,SXA$4),Table1[],(MATCH(Calendar!$A18,DB!$1:$1,0)),FALSE)),"")</f>
        <v/>
      </c>
      <c r="SXB18" s="28" t="str">
        <f>IFERROR(IF(SXK3="No",IF(VLOOKUP(DATE($K$1,$K$2,SXB$4),Table1[],(MATCH(Calendar!$A18,DB!$1:$1,0)),FALSE)&gt;=5,"Good","Bad"),VLOOKUP(DATE($K$1,$K$2,SXB$4),Table1[],(MATCH(Calendar!$A18,DB!$1:$1,0)),FALSE)),"")</f>
        <v/>
      </c>
      <c r="SXC18" s="28" t="str">
        <f>IFERROR(IF(SXL3="No",IF(VLOOKUP(DATE($K$1,$K$2,SXC$4),Table1[],(MATCH(Calendar!$A18,DB!$1:$1,0)),FALSE)&gt;=5,"Good","Bad"),VLOOKUP(DATE($K$1,$K$2,SXC$4),Table1[],(MATCH(Calendar!$A18,DB!$1:$1,0)),FALSE)),"")</f>
        <v/>
      </c>
      <c r="SXD18" s="28" t="str">
        <f>IFERROR(IF(SXM3="No",IF(VLOOKUP(DATE($K$1,$K$2,SXD$4),Table1[],(MATCH(Calendar!$A18,DB!$1:$1,0)),FALSE)&gt;=5,"Good","Bad"),VLOOKUP(DATE($K$1,$K$2,SXD$4),Table1[],(MATCH(Calendar!$A18,DB!$1:$1,0)),FALSE)),"")</f>
        <v/>
      </c>
      <c r="SXE18" s="28" t="str">
        <f>IFERROR(IF(SXN3="No",IF(VLOOKUP(DATE($K$1,$K$2,SXE$4),Table1[],(MATCH(Calendar!$A18,DB!$1:$1,0)),FALSE)&gt;=5,"Good","Bad"),VLOOKUP(DATE($K$1,$K$2,SXE$4),Table1[],(MATCH(Calendar!$A18,DB!$1:$1,0)),FALSE)),"")</f>
        <v/>
      </c>
      <c r="SXF18" s="28" t="str">
        <f>IFERROR(IF(SXO3="No",IF(VLOOKUP(DATE($K$1,$K$2,SXF$4),Table1[],(MATCH(Calendar!$A18,DB!$1:$1,0)),FALSE)&gt;=5,"Good","Bad"),VLOOKUP(DATE($K$1,$K$2,SXF$4),Table1[],(MATCH(Calendar!$A18,DB!$1:$1,0)),FALSE)),"")</f>
        <v/>
      </c>
      <c r="SXG18" s="28" t="str">
        <f>IFERROR(IF(SXP3="No",IF(VLOOKUP(DATE($K$1,$K$2,SXG$4),Table1[],(MATCH(Calendar!$A18,DB!$1:$1,0)),FALSE)&gt;=5,"Good","Bad"),VLOOKUP(DATE($K$1,$K$2,SXG$4),Table1[],(MATCH(Calendar!$A18,DB!$1:$1,0)),FALSE)),"")</f>
        <v/>
      </c>
      <c r="SXH18" s="28" t="str">
        <f>IFERROR(IF(SXQ3="No",IF(VLOOKUP(DATE($K$1,$K$2,SXH$4),Table1[],(MATCH(Calendar!$A18,DB!$1:$1,0)),FALSE)&gt;=5,"Good","Bad"),VLOOKUP(DATE($K$1,$K$2,SXH$4),Table1[],(MATCH(Calendar!$A18,DB!$1:$1,0)),FALSE)),"")</f>
        <v/>
      </c>
      <c r="SXI18" s="28" t="str">
        <f>IFERROR(IF(SXR3="No",IF(VLOOKUP(DATE($K$1,$K$2,SXI$4),Table1[],(MATCH(Calendar!$A18,DB!$1:$1,0)),FALSE)&gt;=5,"Good","Bad"),VLOOKUP(DATE($K$1,$K$2,SXI$4),Table1[],(MATCH(Calendar!$A18,DB!$1:$1,0)),FALSE)),"")</f>
        <v/>
      </c>
      <c r="SXJ18" s="28" t="str">
        <f>IFERROR(IF(SXS3="No",IF(VLOOKUP(DATE($K$1,$K$2,SXJ$4),Table1[],(MATCH(Calendar!$A18,DB!$1:$1,0)),FALSE)&gt;=5,"Good","Bad"),VLOOKUP(DATE($K$1,$K$2,SXJ$4),Table1[],(MATCH(Calendar!$A18,DB!$1:$1,0)),FALSE)),"")</f>
        <v/>
      </c>
      <c r="SXK18" s="28" t="str">
        <f>IFERROR(IF(SXT3="No",IF(VLOOKUP(DATE($K$1,$K$2,SXK$4),Table1[],(MATCH(Calendar!$A18,DB!$1:$1,0)),FALSE)&gt;=5,"Good","Bad"),VLOOKUP(DATE($K$1,$K$2,SXK$4),Table1[],(MATCH(Calendar!$A18,DB!$1:$1,0)),FALSE)),"")</f>
        <v/>
      </c>
      <c r="SXL18" s="28" t="str">
        <f>IFERROR(IF(SXU3="No",IF(VLOOKUP(DATE($K$1,$K$2,SXL$4),Table1[],(MATCH(Calendar!$A18,DB!$1:$1,0)),FALSE)&gt;=5,"Good","Bad"),VLOOKUP(DATE($K$1,$K$2,SXL$4),Table1[],(MATCH(Calendar!$A18,DB!$1:$1,0)),FALSE)),"")</f>
        <v/>
      </c>
      <c r="SXM18" s="28" t="str">
        <f>IFERROR(IF(SXV3="No",IF(VLOOKUP(DATE($K$1,$K$2,SXM$4),Table1[],(MATCH(Calendar!$A18,DB!$1:$1,0)),FALSE)&gt;=5,"Good","Bad"),VLOOKUP(DATE($K$1,$K$2,SXM$4),Table1[],(MATCH(Calendar!$A18,DB!$1:$1,0)),FALSE)),"")</f>
        <v/>
      </c>
      <c r="SXN18" s="28" t="str">
        <f>IFERROR(IF(SXW3="No",IF(VLOOKUP(DATE($K$1,$K$2,SXN$4),Table1[],(MATCH(Calendar!$A18,DB!$1:$1,0)),FALSE)&gt;=5,"Good","Bad"),VLOOKUP(DATE($K$1,$K$2,SXN$4),Table1[],(MATCH(Calendar!$A18,DB!$1:$1,0)),FALSE)),"")</f>
        <v/>
      </c>
      <c r="SXO18" s="28" t="str">
        <f>IFERROR(IF(SXX3="No",IF(VLOOKUP(DATE($K$1,$K$2,SXO$4),Table1[],(MATCH(Calendar!$A18,DB!$1:$1,0)),FALSE)&gt;=5,"Good","Bad"),VLOOKUP(DATE($K$1,$K$2,SXO$4),Table1[],(MATCH(Calendar!$A18,DB!$1:$1,0)),FALSE)),"")</f>
        <v/>
      </c>
      <c r="SXP18" s="28" t="str">
        <f>IFERROR(IF(SXY3="No",IF(VLOOKUP(DATE($K$1,$K$2,SXP$4),Table1[],(MATCH(Calendar!$A18,DB!$1:$1,0)),FALSE)&gt;=5,"Good","Bad"),VLOOKUP(DATE($K$1,$K$2,SXP$4),Table1[],(MATCH(Calendar!$A18,DB!$1:$1,0)),FALSE)),"")</f>
        <v/>
      </c>
      <c r="SXQ18" s="28" t="str">
        <f>IFERROR(IF(SXZ3="No",IF(VLOOKUP(DATE($K$1,$K$2,SXQ$4),Table1[],(MATCH(Calendar!$A18,DB!$1:$1,0)),FALSE)&gt;=5,"Good","Bad"),VLOOKUP(DATE($K$1,$K$2,SXQ$4),Table1[],(MATCH(Calendar!$A18,DB!$1:$1,0)),FALSE)),"")</f>
        <v/>
      </c>
      <c r="SXR18" s="28" t="str">
        <f>IFERROR(IF(SYA3="No",IF(VLOOKUP(DATE($K$1,$K$2,SXR$4),Table1[],(MATCH(Calendar!$A18,DB!$1:$1,0)),FALSE)&gt;=5,"Good","Bad"),VLOOKUP(DATE($K$1,$K$2,SXR$4),Table1[],(MATCH(Calendar!$A18,DB!$1:$1,0)),FALSE)),"")</f>
        <v/>
      </c>
      <c r="SXS18" s="28" t="str">
        <f>IFERROR(IF(SYB3="No",IF(VLOOKUP(DATE($K$1,$K$2,SXS$4),Table1[],(MATCH(Calendar!$A18,DB!$1:$1,0)),FALSE)&gt;=5,"Good","Bad"),VLOOKUP(DATE($K$1,$K$2,SXS$4),Table1[],(MATCH(Calendar!$A18,DB!$1:$1,0)),FALSE)),"")</f>
        <v/>
      </c>
      <c r="SXT18" s="28" t="str">
        <f>IFERROR(IF(SYC3="No",IF(VLOOKUP(DATE($K$1,$K$2,SXT$4),Table1[],(MATCH(Calendar!$A18,DB!$1:$1,0)),FALSE)&gt;=5,"Good","Bad"),VLOOKUP(DATE($K$1,$K$2,SXT$4),Table1[],(MATCH(Calendar!$A18,DB!$1:$1,0)),FALSE)),"")</f>
        <v/>
      </c>
      <c r="SXU18" s="28" t="str">
        <f>IFERROR(IF(SYD3="No",IF(VLOOKUP(DATE($K$1,$K$2,SXU$4),Table1[],(MATCH(Calendar!$A18,DB!$1:$1,0)),FALSE)&gt;=5,"Good","Bad"),VLOOKUP(DATE($K$1,$K$2,SXU$4),Table1[],(MATCH(Calendar!$A18,DB!$1:$1,0)),FALSE)),"")</f>
        <v/>
      </c>
      <c r="SXV18" s="28" t="str">
        <f>IFERROR(IF(SYE3="No",IF(VLOOKUP(DATE($K$1,$K$2,SXV$4),Table1[],(MATCH(Calendar!$A18,DB!$1:$1,0)),FALSE)&gt;=5,"Good","Bad"),VLOOKUP(DATE($K$1,$K$2,SXV$4),Table1[],(MATCH(Calendar!$A18,DB!$1:$1,0)),FALSE)),"")</f>
        <v/>
      </c>
      <c r="SXW18" s="28" t="str">
        <f>IFERROR(IF(SYF3="No",IF(VLOOKUP(DATE($K$1,$K$2,SXW$4),Table1[],(MATCH(Calendar!$A18,DB!$1:$1,0)),FALSE)&gt;=5,"Good","Bad"),VLOOKUP(DATE($K$1,$K$2,SXW$4),Table1[],(MATCH(Calendar!$A18,DB!$1:$1,0)),FALSE)),"")</f>
        <v/>
      </c>
      <c r="SXX18" s="28" t="str">
        <f>IFERROR(IF(SYG3="No",IF(VLOOKUP(DATE($K$1,$K$2,SXX$4),Table1[],(MATCH(Calendar!$A18,DB!$1:$1,0)),FALSE)&gt;=5,"Good","Bad"),VLOOKUP(DATE($K$1,$K$2,SXX$4),Table1[],(MATCH(Calendar!$A18,DB!$1:$1,0)),FALSE)),"")</f>
        <v/>
      </c>
      <c r="SXY18" s="28" t="str">
        <f>IFERROR(IF(SYH3="No",IF(VLOOKUP(DATE($K$1,$K$2,SXY$4),Table1[],(MATCH(Calendar!$A18,DB!$1:$1,0)),FALSE)&gt;=5,"Good","Bad"),VLOOKUP(DATE($K$1,$K$2,SXY$4),Table1[],(MATCH(Calendar!$A18,DB!$1:$1,0)),FALSE)),"")</f>
        <v/>
      </c>
      <c r="SXZ18" s="28" t="str">
        <f>IFERROR(IF(SYI3="No",IF(VLOOKUP(DATE($K$1,$K$2,SXZ$4),Table1[],(MATCH(Calendar!$A18,DB!$1:$1,0)),FALSE)&gt;=5,"Good","Bad"),VLOOKUP(DATE($K$1,$K$2,SXZ$4),Table1[],(MATCH(Calendar!$A18,DB!$1:$1,0)),FALSE)),"")</f>
        <v/>
      </c>
      <c r="SYA18" s="28" t="str">
        <f>IFERROR(IF(SYJ3="No",IF(VLOOKUP(DATE($K$1,$K$2,SYA$4),Table1[],(MATCH(Calendar!$A18,DB!$1:$1,0)),FALSE)&gt;=5,"Good","Bad"),VLOOKUP(DATE($K$1,$K$2,SYA$4),Table1[],(MATCH(Calendar!$A18,DB!$1:$1,0)),FALSE)),"")</f>
        <v/>
      </c>
      <c r="SYB18" s="28" t="str">
        <f>IFERROR(IF(SYK3="No",IF(VLOOKUP(DATE($K$1,$K$2,SYB$4),Table1[],(MATCH(Calendar!$A18,DB!$1:$1,0)),FALSE)&gt;=5,"Good","Bad"),VLOOKUP(DATE($K$1,$K$2,SYB$4),Table1[],(MATCH(Calendar!$A18,DB!$1:$1,0)),FALSE)),"")</f>
        <v/>
      </c>
      <c r="SYC18" s="28" t="str">
        <f>IFERROR(IF(SYL3="No",IF(VLOOKUP(DATE($K$1,$K$2,SYC$4),Table1[],(MATCH(Calendar!$A18,DB!$1:$1,0)),FALSE)&gt;=5,"Good","Bad"),VLOOKUP(DATE($K$1,$K$2,SYC$4),Table1[],(MATCH(Calendar!$A18,DB!$1:$1,0)),FALSE)),"")</f>
        <v/>
      </c>
      <c r="SYD18" s="28" t="str">
        <f>IFERROR(IF(SYM3="No",IF(VLOOKUP(DATE($K$1,$K$2,SYD$4),Table1[],(MATCH(Calendar!$A18,DB!$1:$1,0)),FALSE)&gt;=5,"Good","Bad"),VLOOKUP(DATE($K$1,$K$2,SYD$4),Table1[],(MATCH(Calendar!$A18,DB!$1:$1,0)),FALSE)),"")</f>
        <v/>
      </c>
      <c r="SYE18" s="28" t="str">
        <f>IFERROR(IF(SYN3="No",IF(VLOOKUP(DATE($K$1,$K$2,SYE$4),Table1[],(MATCH(Calendar!$A18,DB!$1:$1,0)),FALSE)&gt;=5,"Good","Bad"),VLOOKUP(DATE($K$1,$K$2,SYE$4),Table1[],(MATCH(Calendar!$A18,DB!$1:$1,0)),FALSE)),"")</f>
        <v/>
      </c>
      <c r="SYF18" s="28" t="str">
        <f>IFERROR(IF(SYO3="No",IF(VLOOKUP(DATE($K$1,$K$2,SYF$4),Table1[],(MATCH(Calendar!$A18,DB!$1:$1,0)),FALSE)&gt;=5,"Good","Bad"),VLOOKUP(DATE($K$1,$K$2,SYF$4),Table1[],(MATCH(Calendar!$A18,DB!$1:$1,0)),FALSE)),"")</f>
        <v/>
      </c>
      <c r="SYG18" s="28" t="str">
        <f>IFERROR(IF(SYP3="No",IF(VLOOKUP(DATE($K$1,$K$2,SYG$4),Table1[],(MATCH(Calendar!$A18,DB!$1:$1,0)),FALSE)&gt;=5,"Good","Bad"),VLOOKUP(DATE($K$1,$K$2,SYG$4),Table1[],(MATCH(Calendar!$A18,DB!$1:$1,0)),FALSE)),"")</f>
        <v/>
      </c>
      <c r="SYH18" s="28" t="str">
        <f>IFERROR(IF(SYQ3="No",IF(VLOOKUP(DATE($K$1,$K$2,SYH$4),Table1[],(MATCH(Calendar!$A18,DB!$1:$1,0)),FALSE)&gt;=5,"Good","Bad"),VLOOKUP(DATE($K$1,$K$2,SYH$4),Table1[],(MATCH(Calendar!$A18,DB!$1:$1,0)),FALSE)),"")</f>
        <v/>
      </c>
      <c r="SYI18" s="28" t="str">
        <f>IFERROR(IF(SYR3="No",IF(VLOOKUP(DATE($K$1,$K$2,SYI$4),Table1[],(MATCH(Calendar!$A18,DB!$1:$1,0)),FALSE)&gt;=5,"Good","Bad"),VLOOKUP(DATE($K$1,$K$2,SYI$4),Table1[],(MATCH(Calendar!$A18,DB!$1:$1,0)),FALSE)),"")</f>
        <v/>
      </c>
      <c r="SYJ18" s="28" t="str">
        <f>IFERROR(IF(SYS3="No",IF(VLOOKUP(DATE($K$1,$K$2,SYJ$4),Table1[],(MATCH(Calendar!$A18,DB!$1:$1,0)),FALSE)&gt;=5,"Good","Bad"),VLOOKUP(DATE($K$1,$K$2,SYJ$4),Table1[],(MATCH(Calendar!$A18,DB!$1:$1,0)),FALSE)),"")</f>
        <v/>
      </c>
      <c r="SYK18" s="28" t="str">
        <f>IFERROR(IF(SYT3="No",IF(VLOOKUP(DATE($K$1,$K$2,SYK$4),Table1[],(MATCH(Calendar!$A18,DB!$1:$1,0)),FALSE)&gt;=5,"Good","Bad"),VLOOKUP(DATE($K$1,$K$2,SYK$4),Table1[],(MATCH(Calendar!$A18,DB!$1:$1,0)),FALSE)),"")</f>
        <v/>
      </c>
      <c r="SYL18" s="28" t="str">
        <f>IFERROR(IF(SYU3="No",IF(VLOOKUP(DATE($K$1,$K$2,SYL$4),Table1[],(MATCH(Calendar!$A18,DB!$1:$1,0)),FALSE)&gt;=5,"Good","Bad"),VLOOKUP(DATE($K$1,$K$2,SYL$4),Table1[],(MATCH(Calendar!$A18,DB!$1:$1,0)),FALSE)),"")</f>
        <v/>
      </c>
      <c r="SYM18" s="28" t="str">
        <f>IFERROR(IF(SYV3="No",IF(VLOOKUP(DATE($K$1,$K$2,SYM$4),Table1[],(MATCH(Calendar!$A18,DB!$1:$1,0)),FALSE)&gt;=5,"Good","Bad"),VLOOKUP(DATE($K$1,$K$2,SYM$4),Table1[],(MATCH(Calendar!$A18,DB!$1:$1,0)),FALSE)),"")</f>
        <v/>
      </c>
      <c r="SYN18" s="28" t="str">
        <f>IFERROR(IF(SYW3="No",IF(VLOOKUP(DATE($K$1,$K$2,SYN$4),Table1[],(MATCH(Calendar!$A18,DB!$1:$1,0)),FALSE)&gt;=5,"Good","Bad"),VLOOKUP(DATE($K$1,$K$2,SYN$4),Table1[],(MATCH(Calendar!$A18,DB!$1:$1,0)),FALSE)),"")</f>
        <v/>
      </c>
      <c r="SYO18" s="28" t="str">
        <f>IFERROR(IF(SYX3="No",IF(VLOOKUP(DATE($K$1,$K$2,SYO$4),Table1[],(MATCH(Calendar!$A18,DB!$1:$1,0)),FALSE)&gt;=5,"Good","Bad"),VLOOKUP(DATE($K$1,$K$2,SYO$4),Table1[],(MATCH(Calendar!$A18,DB!$1:$1,0)),FALSE)),"")</f>
        <v/>
      </c>
      <c r="SYP18" s="28" t="str">
        <f>IFERROR(IF(SYY3="No",IF(VLOOKUP(DATE($K$1,$K$2,SYP$4),Table1[],(MATCH(Calendar!$A18,DB!$1:$1,0)),FALSE)&gt;=5,"Good","Bad"),VLOOKUP(DATE($K$1,$K$2,SYP$4),Table1[],(MATCH(Calendar!$A18,DB!$1:$1,0)),FALSE)),"")</f>
        <v/>
      </c>
      <c r="SYQ18" s="28" t="str">
        <f>IFERROR(IF(SYZ3="No",IF(VLOOKUP(DATE($K$1,$K$2,SYQ$4),Table1[],(MATCH(Calendar!$A18,DB!$1:$1,0)),FALSE)&gt;=5,"Good","Bad"),VLOOKUP(DATE($K$1,$K$2,SYQ$4),Table1[],(MATCH(Calendar!$A18,DB!$1:$1,0)),FALSE)),"")</f>
        <v/>
      </c>
      <c r="SYR18" s="28" t="str">
        <f>IFERROR(IF(SZA3="No",IF(VLOOKUP(DATE($K$1,$K$2,SYR$4),Table1[],(MATCH(Calendar!$A18,DB!$1:$1,0)),FALSE)&gt;=5,"Good","Bad"),VLOOKUP(DATE($K$1,$K$2,SYR$4),Table1[],(MATCH(Calendar!$A18,DB!$1:$1,0)),FALSE)),"")</f>
        <v/>
      </c>
      <c r="SYS18" s="28" t="str">
        <f>IFERROR(IF(SZB3="No",IF(VLOOKUP(DATE($K$1,$K$2,SYS$4),Table1[],(MATCH(Calendar!$A18,DB!$1:$1,0)),FALSE)&gt;=5,"Good","Bad"),VLOOKUP(DATE($K$1,$K$2,SYS$4),Table1[],(MATCH(Calendar!$A18,DB!$1:$1,0)),FALSE)),"")</f>
        <v/>
      </c>
      <c r="SYT18" s="28" t="str">
        <f>IFERROR(IF(SZC3="No",IF(VLOOKUP(DATE($K$1,$K$2,SYT$4),Table1[],(MATCH(Calendar!$A18,DB!$1:$1,0)),FALSE)&gt;=5,"Good","Bad"),VLOOKUP(DATE($K$1,$K$2,SYT$4),Table1[],(MATCH(Calendar!$A18,DB!$1:$1,0)),FALSE)),"")</f>
        <v/>
      </c>
      <c r="SYU18" s="28" t="str">
        <f>IFERROR(IF(SZD3="No",IF(VLOOKUP(DATE($K$1,$K$2,SYU$4),Table1[],(MATCH(Calendar!$A18,DB!$1:$1,0)),FALSE)&gt;=5,"Good","Bad"),VLOOKUP(DATE($K$1,$K$2,SYU$4),Table1[],(MATCH(Calendar!$A18,DB!$1:$1,0)),FALSE)),"")</f>
        <v/>
      </c>
      <c r="SYV18" s="28" t="str">
        <f>IFERROR(IF(SZE3="No",IF(VLOOKUP(DATE($K$1,$K$2,SYV$4),Table1[],(MATCH(Calendar!$A18,DB!$1:$1,0)),FALSE)&gt;=5,"Good","Bad"),VLOOKUP(DATE($K$1,$K$2,SYV$4),Table1[],(MATCH(Calendar!$A18,DB!$1:$1,0)),FALSE)),"")</f>
        <v/>
      </c>
      <c r="SYW18" s="28" t="str">
        <f>IFERROR(IF(SZF3="No",IF(VLOOKUP(DATE($K$1,$K$2,SYW$4),Table1[],(MATCH(Calendar!$A18,DB!$1:$1,0)),FALSE)&gt;=5,"Good","Bad"),VLOOKUP(DATE($K$1,$K$2,SYW$4),Table1[],(MATCH(Calendar!$A18,DB!$1:$1,0)),FALSE)),"")</f>
        <v/>
      </c>
      <c r="SYX18" s="28" t="str">
        <f>IFERROR(IF(SZG3="No",IF(VLOOKUP(DATE($K$1,$K$2,SYX$4),Table1[],(MATCH(Calendar!$A18,DB!$1:$1,0)),FALSE)&gt;=5,"Good","Bad"),VLOOKUP(DATE($K$1,$K$2,SYX$4),Table1[],(MATCH(Calendar!$A18,DB!$1:$1,0)),FALSE)),"")</f>
        <v/>
      </c>
      <c r="SYY18" s="28" t="str">
        <f>IFERROR(IF(SZH3="No",IF(VLOOKUP(DATE($K$1,$K$2,SYY$4),Table1[],(MATCH(Calendar!$A18,DB!$1:$1,0)),FALSE)&gt;=5,"Good","Bad"),VLOOKUP(DATE($K$1,$K$2,SYY$4),Table1[],(MATCH(Calendar!$A18,DB!$1:$1,0)),FALSE)),"")</f>
        <v/>
      </c>
      <c r="SYZ18" s="28" t="str">
        <f>IFERROR(IF(SZI3="No",IF(VLOOKUP(DATE($K$1,$K$2,SYZ$4),Table1[],(MATCH(Calendar!$A18,DB!$1:$1,0)),FALSE)&gt;=5,"Good","Bad"),VLOOKUP(DATE($K$1,$K$2,SYZ$4),Table1[],(MATCH(Calendar!$A18,DB!$1:$1,0)),FALSE)),"")</f>
        <v/>
      </c>
      <c r="SZA18" s="28" t="str">
        <f>IFERROR(IF(SZJ3="No",IF(VLOOKUP(DATE($K$1,$K$2,SZA$4),Table1[],(MATCH(Calendar!$A18,DB!$1:$1,0)),FALSE)&gt;=5,"Good","Bad"),VLOOKUP(DATE($K$1,$K$2,SZA$4),Table1[],(MATCH(Calendar!$A18,DB!$1:$1,0)),FALSE)),"")</f>
        <v/>
      </c>
      <c r="SZB18" s="28" t="str">
        <f>IFERROR(IF(SZK3="No",IF(VLOOKUP(DATE($K$1,$K$2,SZB$4),Table1[],(MATCH(Calendar!$A18,DB!$1:$1,0)),FALSE)&gt;=5,"Good","Bad"),VLOOKUP(DATE($K$1,$K$2,SZB$4),Table1[],(MATCH(Calendar!$A18,DB!$1:$1,0)),FALSE)),"")</f>
        <v/>
      </c>
      <c r="SZC18" s="28" t="str">
        <f>IFERROR(IF(SZL3="No",IF(VLOOKUP(DATE($K$1,$K$2,SZC$4),Table1[],(MATCH(Calendar!$A18,DB!$1:$1,0)),FALSE)&gt;=5,"Good","Bad"),VLOOKUP(DATE($K$1,$K$2,SZC$4),Table1[],(MATCH(Calendar!$A18,DB!$1:$1,0)),FALSE)),"")</f>
        <v/>
      </c>
      <c r="SZD18" s="28" t="str">
        <f>IFERROR(IF(SZM3="No",IF(VLOOKUP(DATE($K$1,$K$2,SZD$4),Table1[],(MATCH(Calendar!$A18,DB!$1:$1,0)),FALSE)&gt;=5,"Good","Bad"),VLOOKUP(DATE($K$1,$K$2,SZD$4),Table1[],(MATCH(Calendar!$A18,DB!$1:$1,0)),FALSE)),"")</f>
        <v/>
      </c>
      <c r="SZE18" s="28" t="str">
        <f>IFERROR(IF(SZN3="No",IF(VLOOKUP(DATE($K$1,$K$2,SZE$4),Table1[],(MATCH(Calendar!$A18,DB!$1:$1,0)),FALSE)&gt;=5,"Good","Bad"),VLOOKUP(DATE($K$1,$K$2,SZE$4),Table1[],(MATCH(Calendar!$A18,DB!$1:$1,0)),FALSE)),"")</f>
        <v/>
      </c>
      <c r="SZF18" s="28" t="str">
        <f>IFERROR(IF(SZO3="No",IF(VLOOKUP(DATE($K$1,$K$2,SZF$4),Table1[],(MATCH(Calendar!$A18,DB!$1:$1,0)),FALSE)&gt;=5,"Good","Bad"),VLOOKUP(DATE($K$1,$K$2,SZF$4),Table1[],(MATCH(Calendar!$A18,DB!$1:$1,0)),FALSE)),"")</f>
        <v/>
      </c>
      <c r="SZG18" s="28" t="str">
        <f>IFERROR(IF(SZP3="No",IF(VLOOKUP(DATE($K$1,$K$2,SZG$4),Table1[],(MATCH(Calendar!$A18,DB!$1:$1,0)),FALSE)&gt;=5,"Good","Bad"),VLOOKUP(DATE($K$1,$K$2,SZG$4),Table1[],(MATCH(Calendar!$A18,DB!$1:$1,0)),FALSE)),"")</f>
        <v/>
      </c>
      <c r="SZH18" s="28" t="str">
        <f>IFERROR(IF(SZQ3="No",IF(VLOOKUP(DATE($K$1,$K$2,SZH$4),Table1[],(MATCH(Calendar!$A18,DB!$1:$1,0)),FALSE)&gt;=5,"Good","Bad"),VLOOKUP(DATE($K$1,$K$2,SZH$4),Table1[],(MATCH(Calendar!$A18,DB!$1:$1,0)),FALSE)),"")</f>
        <v/>
      </c>
      <c r="SZI18" s="28" t="str">
        <f>IFERROR(IF(SZR3="No",IF(VLOOKUP(DATE($K$1,$K$2,SZI$4),Table1[],(MATCH(Calendar!$A18,DB!$1:$1,0)),FALSE)&gt;=5,"Good","Bad"),VLOOKUP(DATE($K$1,$K$2,SZI$4),Table1[],(MATCH(Calendar!$A18,DB!$1:$1,0)),FALSE)),"")</f>
        <v/>
      </c>
      <c r="SZJ18" s="28" t="str">
        <f>IFERROR(IF(SZS3="No",IF(VLOOKUP(DATE($K$1,$K$2,SZJ$4),Table1[],(MATCH(Calendar!$A18,DB!$1:$1,0)),FALSE)&gt;=5,"Good","Bad"),VLOOKUP(DATE($K$1,$K$2,SZJ$4),Table1[],(MATCH(Calendar!$A18,DB!$1:$1,0)),FALSE)),"")</f>
        <v/>
      </c>
      <c r="SZK18" s="28" t="str">
        <f>IFERROR(IF(SZT3="No",IF(VLOOKUP(DATE($K$1,$K$2,SZK$4),Table1[],(MATCH(Calendar!$A18,DB!$1:$1,0)),FALSE)&gt;=5,"Good","Bad"),VLOOKUP(DATE($K$1,$K$2,SZK$4),Table1[],(MATCH(Calendar!$A18,DB!$1:$1,0)),FALSE)),"")</f>
        <v/>
      </c>
      <c r="SZL18" s="28" t="str">
        <f>IFERROR(IF(SZU3="No",IF(VLOOKUP(DATE($K$1,$K$2,SZL$4),Table1[],(MATCH(Calendar!$A18,DB!$1:$1,0)),FALSE)&gt;=5,"Good","Bad"),VLOOKUP(DATE($K$1,$K$2,SZL$4),Table1[],(MATCH(Calendar!$A18,DB!$1:$1,0)),FALSE)),"")</f>
        <v/>
      </c>
      <c r="SZM18" s="28" t="str">
        <f>IFERROR(IF(SZV3="No",IF(VLOOKUP(DATE($K$1,$K$2,SZM$4),Table1[],(MATCH(Calendar!$A18,DB!$1:$1,0)),FALSE)&gt;=5,"Good","Bad"),VLOOKUP(DATE($K$1,$K$2,SZM$4),Table1[],(MATCH(Calendar!$A18,DB!$1:$1,0)),FALSE)),"")</f>
        <v/>
      </c>
      <c r="SZN18" s="28" t="str">
        <f>IFERROR(IF(SZW3="No",IF(VLOOKUP(DATE($K$1,$K$2,SZN$4),Table1[],(MATCH(Calendar!$A18,DB!$1:$1,0)),FALSE)&gt;=5,"Good","Bad"),VLOOKUP(DATE($K$1,$K$2,SZN$4),Table1[],(MATCH(Calendar!$A18,DB!$1:$1,0)),FALSE)),"")</f>
        <v/>
      </c>
      <c r="SZO18" s="28" t="str">
        <f>IFERROR(IF(SZX3="No",IF(VLOOKUP(DATE($K$1,$K$2,SZO$4),Table1[],(MATCH(Calendar!$A18,DB!$1:$1,0)),FALSE)&gt;=5,"Good","Bad"),VLOOKUP(DATE($K$1,$K$2,SZO$4),Table1[],(MATCH(Calendar!$A18,DB!$1:$1,0)),FALSE)),"")</f>
        <v/>
      </c>
      <c r="SZP18" s="28" t="str">
        <f>IFERROR(IF(SZY3="No",IF(VLOOKUP(DATE($K$1,$K$2,SZP$4),Table1[],(MATCH(Calendar!$A18,DB!$1:$1,0)),FALSE)&gt;=5,"Good","Bad"),VLOOKUP(DATE($K$1,$K$2,SZP$4),Table1[],(MATCH(Calendar!$A18,DB!$1:$1,0)),FALSE)),"")</f>
        <v/>
      </c>
      <c r="SZQ18" s="28" t="str">
        <f>IFERROR(IF(SZZ3="No",IF(VLOOKUP(DATE($K$1,$K$2,SZQ$4),Table1[],(MATCH(Calendar!$A18,DB!$1:$1,0)),FALSE)&gt;=5,"Good","Bad"),VLOOKUP(DATE($K$1,$K$2,SZQ$4),Table1[],(MATCH(Calendar!$A18,DB!$1:$1,0)),FALSE)),"")</f>
        <v/>
      </c>
      <c r="SZR18" s="28" t="str">
        <f>IFERROR(IF(TAA3="No",IF(VLOOKUP(DATE($K$1,$K$2,SZR$4),Table1[],(MATCH(Calendar!$A18,DB!$1:$1,0)),FALSE)&gt;=5,"Good","Bad"),VLOOKUP(DATE($K$1,$K$2,SZR$4),Table1[],(MATCH(Calendar!$A18,DB!$1:$1,0)),FALSE)),"")</f>
        <v/>
      </c>
      <c r="SZS18" s="28" t="str">
        <f>IFERROR(IF(TAB3="No",IF(VLOOKUP(DATE($K$1,$K$2,SZS$4),Table1[],(MATCH(Calendar!$A18,DB!$1:$1,0)),FALSE)&gt;=5,"Good","Bad"),VLOOKUP(DATE($K$1,$K$2,SZS$4),Table1[],(MATCH(Calendar!$A18,DB!$1:$1,0)),FALSE)),"")</f>
        <v/>
      </c>
      <c r="SZT18" s="28" t="str">
        <f>IFERROR(IF(TAC3="No",IF(VLOOKUP(DATE($K$1,$K$2,SZT$4),Table1[],(MATCH(Calendar!$A18,DB!$1:$1,0)),FALSE)&gt;=5,"Good","Bad"),VLOOKUP(DATE($K$1,$K$2,SZT$4),Table1[],(MATCH(Calendar!$A18,DB!$1:$1,0)),FALSE)),"")</f>
        <v/>
      </c>
      <c r="SZU18" s="28" t="str">
        <f>IFERROR(IF(TAD3="No",IF(VLOOKUP(DATE($K$1,$K$2,SZU$4),Table1[],(MATCH(Calendar!$A18,DB!$1:$1,0)),FALSE)&gt;=5,"Good","Bad"),VLOOKUP(DATE($K$1,$K$2,SZU$4),Table1[],(MATCH(Calendar!$A18,DB!$1:$1,0)),FALSE)),"")</f>
        <v/>
      </c>
      <c r="SZV18" s="28" t="str">
        <f>IFERROR(IF(TAE3="No",IF(VLOOKUP(DATE($K$1,$K$2,SZV$4),Table1[],(MATCH(Calendar!$A18,DB!$1:$1,0)),FALSE)&gt;=5,"Good","Bad"),VLOOKUP(DATE($K$1,$K$2,SZV$4),Table1[],(MATCH(Calendar!$A18,DB!$1:$1,0)),FALSE)),"")</f>
        <v/>
      </c>
      <c r="SZW18" s="28" t="str">
        <f>IFERROR(IF(TAF3="No",IF(VLOOKUP(DATE($K$1,$K$2,SZW$4),Table1[],(MATCH(Calendar!$A18,DB!$1:$1,0)),FALSE)&gt;=5,"Good","Bad"),VLOOKUP(DATE($K$1,$K$2,SZW$4),Table1[],(MATCH(Calendar!$A18,DB!$1:$1,0)),FALSE)),"")</f>
        <v/>
      </c>
      <c r="SZX18" s="28" t="str">
        <f>IFERROR(IF(TAG3="No",IF(VLOOKUP(DATE($K$1,$K$2,SZX$4),Table1[],(MATCH(Calendar!$A18,DB!$1:$1,0)),FALSE)&gt;=5,"Good","Bad"),VLOOKUP(DATE($K$1,$K$2,SZX$4),Table1[],(MATCH(Calendar!$A18,DB!$1:$1,0)),FALSE)),"")</f>
        <v/>
      </c>
      <c r="SZY18" s="28" t="str">
        <f>IFERROR(IF(TAH3="No",IF(VLOOKUP(DATE($K$1,$K$2,SZY$4),Table1[],(MATCH(Calendar!$A18,DB!$1:$1,0)),FALSE)&gt;=5,"Good","Bad"),VLOOKUP(DATE($K$1,$K$2,SZY$4),Table1[],(MATCH(Calendar!$A18,DB!$1:$1,0)),FALSE)),"")</f>
        <v/>
      </c>
      <c r="SZZ18" s="28" t="str">
        <f>IFERROR(IF(TAI3="No",IF(VLOOKUP(DATE($K$1,$K$2,SZZ$4),Table1[],(MATCH(Calendar!$A18,DB!$1:$1,0)),FALSE)&gt;=5,"Good","Bad"),VLOOKUP(DATE($K$1,$K$2,SZZ$4),Table1[],(MATCH(Calendar!$A18,DB!$1:$1,0)),FALSE)),"")</f>
        <v/>
      </c>
      <c r="TAA18" s="28" t="str">
        <f>IFERROR(IF(TAJ3="No",IF(VLOOKUP(DATE($K$1,$K$2,TAA$4),Table1[],(MATCH(Calendar!$A18,DB!$1:$1,0)),FALSE)&gt;=5,"Good","Bad"),VLOOKUP(DATE($K$1,$K$2,TAA$4),Table1[],(MATCH(Calendar!$A18,DB!$1:$1,0)),FALSE)),"")</f>
        <v/>
      </c>
      <c r="TAB18" s="28" t="str">
        <f>IFERROR(IF(TAK3="No",IF(VLOOKUP(DATE($K$1,$K$2,TAB$4),Table1[],(MATCH(Calendar!$A18,DB!$1:$1,0)),FALSE)&gt;=5,"Good","Bad"),VLOOKUP(DATE($K$1,$K$2,TAB$4),Table1[],(MATCH(Calendar!$A18,DB!$1:$1,0)),FALSE)),"")</f>
        <v/>
      </c>
      <c r="TAC18" s="28" t="str">
        <f>IFERROR(IF(TAL3="No",IF(VLOOKUP(DATE($K$1,$K$2,TAC$4),Table1[],(MATCH(Calendar!$A18,DB!$1:$1,0)),FALSE)&gt;=5,"Good","Bad"),VLOOKUP(DATE($K$1,$K$2,TAC$4),Table1[],(MATCH(Calendar!$A18,DB!$1:$1,0)),FALSE)),"")</f>
        <v/>
      </c>
      <c r="TAD18" s="28" t="str">
        <f>IFERROR(IF(TAM3="No",IF(VLOOKUP(DATE($K$1,$K$2,TAD$4),Table1[],(MATCH(Calendar!$A18,DB!$1:$1,0)),FALSE)&gt;=5,"Good","Bad"),VLOOKUP(DATE($K$1,$K$2,TAD$4),Table1[],(MATCH(Calendar!$A18,DB!$1:$1,0)),FALSE)),"")</f>
        <v/>
      </c>
      <c r="TAE18" s="28" t="str">
        <f>IFERROR(IF(TAN3="No",IF(VLOOKUP(DATE($K$1,$K$2,TAE$4),Table1[],(MATCH(Calendar!$A18,DB!$1:$1,0)),FALSE)&gt;=5,"Good","Bad"),VLOOKUP(DATE($K$1,$K$2,TAE$4),Table1[],(MATCH(Calendar!$A18,DB!$1:$1,0)),FALSE)),"")</f>
        <v/>
      </c>
      <c r="TAF18" s="28" t="str">
        <f>IFERROR(IF(TAO3="No",IF(VLOOKUP(DATE($K$1,$K$2,TAF$4),Table1[],(MATCH(Calendar!$A18,DB!$1:$1,0)),FALSE)&gt;=5,"Good","Bad"),VLOOKUP(DATE($K$1,$K$2,TAF$4),Table1[],(MATCH(Calendar!$A18,DB!$1:$1,0)),FALSE)),"")</f>
        <v/>
      </c>
      <c r="TAG18" s="28" t="str">
        <f>IFERROR(IF(TAP3="No",IF(VLOOKUP(DATE($K$1,$K$2,TAG$4),Table1[],(MATCH(Calendar!$A18,DB!$1:$1,0)),FALSE)&gt;=5,"Good","Bad"),VLOOKUP(DATE($K$1,$K$2,TAG$4),Table1[],(MATCH(Calendar!$A18,DB!$1:$1,0)),FALSE)),"")</f>
        <v/>
      </c>
      <c r="TAH18" s="28" t="str">
        <f>IFERROR(IF(TAQ3="No",IF(VLOOKUP(DATE($K$1,$K$2,TAH$4),Table1[],(MATCH(Calendar!$A18,DB!$1:$1,0)),FALSE)&gt;=5,"Good","Bad"),VLOOKUP(DATE($K$1,$K$2,TAH$4),Table1[],(MATCH(Calendar!$A18,DB!$1:$1,0)),FALSE)),"")</f>
        <v/>
      </c>
      <c r="TAI18" s="28" t="str">
        <f>IFERROR(IF(TAR3="No",IF(VLOOKUP(DATE($K$1,$K$2,TAI$4),Table1[],(MATCH(Calendar!$A18,DB!$1:$1,0)),FALSE)&gt;=5,"Good","Bad"),VLOOKUP(DATE($K$1,$K$2,TAI$4),Table1[],(MATCH(Calendar!$A18,DB!$1:$1,0)),FALSE)),"")</f>
        <v/>
      </c>
      <c r="TAJ18" s="28" t="str">
        <f>IFERROR(IF(TAS3="No",IF(VLOOKUP(DATE($K$1,$K$2,TAJ$4),Table1[],(MATCH(Calendar!$A18,DB!$1:$1,0)),FALSE)&gt;=5,"Good","Bad"),VLOOKUP(DATE($K$1,$K$2,TAJ$4),Table1[],(MATCH(Calendar!$A18,DB!$1:$1,0)),FALSE)),"")</f>
        <v/>
      </c>
      <c r="TAK18" s="28" t="str">
        <f>IFERROR(IF(TAT3="No",IF(VLOOKUP(DATE($K$1,$K$2,TAK$4),Table1[],(MATCH(Calendar!$A18,DB!$1:$1,0)),FALSE)&gt;=5,"Good","Bad"),VLOOKUP(DATE($K$1,$K$2,TAK$4),Table1[],(MATCH(Calendar!$A18,DB!$1:$1,0)),FALSE)),"")</f>
        <v/>
      </c>
      <c r="TAL18" s="28" t="str">
        <f>IFERROR(IF(TAU3="No",IF(VLOOKUP(DATE($K$1,$K$2,TAL$4),Table1[],(MATCH(Calendar!$A18,DB!$1:$1,0)),FALSE)&gt;=5,"Good","Bad"),VLOOKUP(DATE($K$1,$K$2,TAL$4),Table1[],(MATCH(Calendar!$A18,DB!$1:$1,0)),FALSE)),"")</f>
        <v/>
      </c>
      <c r="TAM18" s="28" t="str">
        <f>IFERROR(IF(TAV3="No",IF(VLOOKUP(DATE($K$1,$K$2,TAM$4),Table1[],(MATCH(Calendar!$A18,DB!$1:$1,0)),FALSE)&gt;=5,"Good","Bad"),VLOOKUP(DATE($K$1,$K$2,TAM$4),Table1[],(MATCH(Calendar!$A18,DB!$1:$1,0)),FALSE)),"")</f>
        <v/>
      </c>
      <c r="TAN18" s="28" t="str">
        <f>IFERROR(IF(TAW3="No",IF(VLOOKUP(DATE($K$1,$K$2,TAN$4),Table1[],(MATCH(Calendar!$A18,DB!$1:$1,0)),FALSE)&gt;=5,"Good","Bad"),VLOOKUP(DATE($K$1,$K$2,TAN$4),Table1[],(MATCH(Calendar!$A18,DB!$1:$1,0)),FALSE)),"")</f>
        <v/>
      </c>
      <c r="TAO18" s="28" t="str">
        <f>IFERROR(IF(TAX3="No",IF(VLOOKUP(DATE($K$1,$K$2,TAO$4),Table1[],(MATCH(Calendar!$A18,DB!$1:$1,0)),FALSE)&gt;=5,"Good","Bad"),VLOOKUP(DATE($K$1,$K$2,TAO$4),Table1[],(MATCH(Calendar!$A18,DB!$1:$1,0)),FALSE)),"")</f>
        <v/>
      </c>
      <c r="TAP18" s="28" t="str">
        <f>IFERROR(IF(TAY3="No",IF(VLOOKUP(DATE($K$1,$K$2,TAP$4),Table1[],(MATCH(Calendar!$A18,DB!$1:$1,0)),FALSE)&gt;=5,"Good","Bad"),VLOOKUP(DATE($K$1,$K$2,TAP$4),Table1[],(MATCH(Calendar!$A18,DB!$1:$1,0)),FALSE)),"")</f>
        <v/>
      </c>
      <c r="TAQ18" s="28" t="str">
        <f>IFERROR(IF(TAZ3="No",IF(VLOOKUP(DATE($K$1,$K$2,TAQ$4),Table1[],(MATCH(Calendar!$A18,DB!$1:$1,0)),FALSE)&gt;=5,"Good","Bad"),VLOOKUP(DATE($K$1,$K$2,TAQ$4),Table1[],(MATCH(Calendar!$A18,DB!$1:$1,0)),FALSE)),"")</f>
        <v/>
      </c>
      <c r="TAR18" s="28" t="str">
        <f>IFERROR(IF(TBA3="No",IF(VLOOKUP(DATE($K$1,$K$2,TAR$4),Table1[],(MATCH(Calendar!$A18,DB!$1:$1,0)),FALSE)&gt;=5,"Good","Bad"),VLOOKUP(DATE($K$1,$K$2,TAR$4),Table1[],(MATCH(Calendar!$A18,DB!$1:$1,0)),FALSE)),"")</f>
        <v/>
      </c>
      <c r="TAS18" s="28" t="str">
        <f>IFERROR(IF(TBB3="No",IF(VLOOKUP(DATE($K$1,$K$2,TAS$4),Table1[],(MATCH(Calendar!$A18,DB!$1:$1,0)),FALSE)&gt;=5,"Good","Bad"),VLOOKUP(DATE($K$1,$K$2,TAS$4),Table1[],(MATCH(Calendar!$A18,DB!$1:$1,0)),FALSE)),"")</f>
        <v/>
      </c>
      <c r="TAT18" s="28" t="str">
        <f>IFERROR(IF(TBC3="No",IF(VLOOKUP(DATE($K$1,$K$2,TAT$4),Table1[],(MATCH(Calendar!$A18,DB!$1:$1,0)),FALSE)&gt;=5,"Good","Bad"),VLOOKUP(DATE($K$1,$K$2,TAT$4),Table1[],(MATCH(Calendar!$A18,DB!$1:$1,0)),FALSE)),"")</f>
        <v/>
      </c>
      <c r="TAU18" s="28" t="str">
        <f>IFERROR(IF(TBD3="No",IF(VLOOKUP(DATE($K$1,$K$2,TAU$4),Table1[],(MATCH(Calendar!$A18,DB!$1:$1,0)),FALSE)&gt;=5,"Good","Bad"),VLOOKUP(DATE($K$1,$K$2,TAU$4),Table1[],(MATCH(Calendar!$A18,DB!$1:$1,0)),FALSE)),"")</f>
        <v/>
      </c>
      <c r="TAV18" s="28" t="str">
        <f>IFERROR(IF(TBE3="No",IF(VLOOKUP(DATE($K$1,$K$2,TAV$4),Table1[],(MATCH(Calendar!$A18,DB!$1:$1,0)),FALSE)&gt;=5,"Good","Bad"),VLOOKUP(DATE($K$1,$K$2,TAV$4),Table1[],(MATCH(Calendar!$A18,DB!$1:$1,0)),FALSE)),"")</f>
        <v/>
      </c>
      <c r="TAW18" s="28" t="str">
        <f>IFERROR(IF(TBF3="No",IF(VLOOKUP(DATE($K$1,$K$2,TAW$4),Table1[],(MATCH(Calendar!$A18,DB!$1:$1,0)),FALSE)&gt;=5,"Good","Bad"),VLOOKUP(DATE($K$1,$K$2,TAW$4),Table1[],(MATCH(Calendar!$A18,DB!$1:$1,0)),FALSE)),"")</f>
        <v/>
      </c>
      <c r="TAX18" s="28" t="str">
        <f>IFERROR(IF(TBG3="No",IF(VLOOKUP(DATE($K$1,$K$2,TAX$4),Table1[],(MATCH(Calendar!$A18,DB!$1:$1,0)),FALSE)&gt;=5,"Good","Bad"),VLOOKUP(DATE($K$1,$K$2,TAX$4),Table1[],(MATCH(Calendar!$A18,DB!$1:$1,0)),FALSE)),"")</f>
        <v/>
      </c>
      <c r="TAY18" s="28" t="str">
        <f>IFERROR(IF(TBH3="No",IF(VLOOKUP(DATE($K$1,$K$2,TAY$4),Table1[],(MATCH(Calendar!$A18,DB!$1:$1,0)),FALSE)&gt;=5,"Good","Bad"),VLOOKUP(DATE($K$1,$K$2,TAY$4),Table1[],(MATCH(Calendar!$A18,DB!$1:$1,0)),FALSE)),"")</f>
        <v/>
      </c>
      <c r="TAZ18" s="28" t="str">
        <f>IFERROR(IF(TBI3="No",IF(VLOOKUP(DATE($K$1,$K$2,TAZ$4),Table1[],(MATCH(Calendar!$A18,DB!$1:$1,0)),FALSE)&gt;=5,"Good","Bad"),VLOOKUP(DATE($K$1,$K$2,TAZ$4),Table1[],(MATCH(Calendar!$A18,DB!$1:$1,0)),FALSE)),"")</f>
        <v/>
      </c>
      <c r="TBA18" s="28" t="str">
        <f>IFERROR(IF(TBJ3="No",IF(VLOOKUP(DATE($K$1,$K$2,TBA$4),Table1[],(MATCH(Calendar!$A18,DB!$1:$1,0)),FALSE)&gt;=5,"Good","Bad"),VLOOKUP(DATE($K$1,$K$2,TBA$4),Table1[],(MATCH(Calendar!$A18,DB!$1:$1,0)),FALSE)),"")</f>
        <v/>
      </c>
      <c r="TBB18" s="28" t="str">
        <f>IFERROR(IF(TBK3="No",IF(VLOOKUP(DATE($K$1,$K$2,TBB$4),Table1[],(MATCH(Calendar!$A18,DB!$1:$1,0)),FALSE)&gt;=5,"Good","Bad"),VLOOKUP(DATE($K$1,$K$2,TBB$4),Table1[],(MATCH(Calendar!$A18,DB!$1:$1,0)),FALSE)),"")</f>
        <v/>
      </c>
      <c r="TBC18" s="28" t="str">
        <f>IFERROR(IF(TBL3="No",IF(VLOOKUP(DATE($K$1,$K$2,TBC$4),Table1[],(MATCH(Calendar!$A18,DB!$1:$1,0)),FALSE)&gt;=5,"Good","Bad"),VLOOKUP(DATE($K$1,$K$2,TBC$4),Table1[],(MATCH(Calendar!$A18,DB!$1:$1,0)),FALSE)),"")</f>
        <v/>
      </c>
      <c r="TBD18" s="28" t="str">
        <f>IFERROR(IF(TBM3="No",IF(VLOOKUP(DATE($K$1,$K$2,TBD$4),Table1[],(MATCH(Calendar!$A18,DB!$1:$1,0)),FALSE)&gt;=5,"Good","Bad"),VLOOKUP(DATE($K$1,$K$2,TBD$4),Table1[],(MATCH(Calendar!$A18,DB!$1:$1,0)),FALSE)),"")</f>
        <v/>
      </c>
      <c r="TBE18" s="28" t="str">
        <f>IFERROR(IF(TBN3="No",IF(VLOOKUP(DATE($K$1,$K$2,TBE$4),Table1[],(MATCH(Calendar!$A18,DB!$1:$1,0)),FALSE)&gt;=5,"Good","Bad"),VLOOKUP(DATE($K$1,$K$2,TBE$4),Table1[],(MATCH(Calendar!$A18,DB!$1:$1,0)),FALSE)),"")</f>
        <v/>
      </c>
      <c r="TBF18" s="28" t="str">
        <f>IFERROR(IF(TBO3="No",IF(VLOOKUP(DATE($K$1,$K$2,TBF$4),Table1[],(MATCH(Calendar!$A18,DB!$1:$1,0)),FALSE)&gt;=5,"Good","Bad"),VLOOKUP(DATE($K$1,$K$2,TBF$4),Table1[],(MATCH(Calendar!$A18,DB!$1:$1,0)),FALSE)),"")</f>
        <v/>
      </c>
      <c r="TBG18" s="28" t="str">
        <f>IFERROR(IF(TBP3="No",IF(VLOOKUP(DATE($K$1,$K$2,TBG$4),Table1[],(MATCH(Calendar!$A18,DB!$1:$1,0)),FALSE)&gt;=5,"Good","Bad"),VLOOKUP(DATE($K$1,$K$2,TBG$4),Table1[],(MATCH(Calendar!$A18,DB!$1:$1,0)),FALSE)),"")</f>
        <v/>
      </c>
      <c r="TBH18" s="28" t="str">
        <f>IFERROR(IF(TBQ3="No",IF(VLOOKUP(DATE($K$1,$K$2,TBH$4),Table1[],(MATCH(Calendar!$A18,DB!$1:$1,0)),FALSE)&gt;=5,"Good","Bad"),VLOOKUP(DATE($K$1,$K$2,TBH$4),Table1[],(MATCH(Calendar!$A18,DB!$1:$1,0)),FALSE)),"")</f>
        <v/>
      </c>
      <c r="TBI18" s="28" t="str">
        <f>IFERROR(IF(TBR3="No",IF(VLOOKUP(DATE($K$1,$K$2,TBI$4),Table1[],(MATCH(Calendar!$A18,DB!$1:$1,0)),FALSE)&gt;=5,"Good","Bad"),VLOOKUP(DATE($K$1,$K$2,TBI$4),Table1[],(MATCH(Calendar!$A18,DB!$1:$1,0)),FALSE)),"")</f>
        <v/>
      </c>
      <c r="TBJ18" s="28" t="str">
        <f>IFERROR(IF(TBS3="No",IF(VLOOKUP(DATE($K$1,$K$2,TBJ$4),Table1[],(MATCH(Calendar!$A18,DB!$1:$1,0)),FALSE)&gt;=5,"Good","Bad"),VLOOKUP(DATE($K$1,$K$2,TBJ$4),Table1[],(MATCH(Calendar!$A18,DB!$1:$1,0)),FALSE)),"")</f>
        <v/>
      </c>
      <c r="TBK18" s="28" t="str">
        <f>IFERROR(IF(TBT3="No",IF(VLOOKUP(DATE($K$1,$K$2,TBK$4),Table1[],(MATCH(Calendar!$A18,DB!$1:$1,0)),FALSE)&gt;=5,"Good","Bad"),VLOOKUP(DATE($K$1,$K$2,TBK$4),Table1[],(MATCH(Calendar!$A18,DB!$1:$1,0)),FALSE)),"")</f>
        <v/>
      </c>
      <c r="TBL18" s="28" t="str">
        <f>IFERROR(IF(TBU3="No",IF(VLOOKUP(DATE($K$1,$K$2,TBL$4),Table1[],(MATCH(Calendar!$A18,DB!$1:$1,0)),FALSE)&gt;=5,"Good","Bad"),VLOOKUP(DATE($K$1,$K$2,TBL$4),Table1[],(MATCH(Calendar!$A18,DB!$1:$1,0)),FALSE)),"")</f>
        <v/>
      </c>
      <c r="TBM18" s="28" t="str">
        <f>IFERROR(IF(TBV3="No",IF(VLOOKUP(DATE($K$1,$K$2,TBM$4),Table1[],(MATCH(Calendar!$A18,DB!$1:$1,0)),FALSE)&gt;=5,"Good","Bad"),VLOOKUP(DATE($K$1,$K$2,TBM$4),Table1[],(MATCH(Calendar!$A18,DB!$1:$1,0)),FALSE)),"")</f>
        <v/>
      </c>
      <c r="TBN18" s="28" t="str">
        <f>IFERROR(IF(TBW3="No",IF(VLOOKUP(DATE($K$1,$K$2,TBN$4),Table1[],(MATCH(Calendar!$A18,DB!$1:$1,0)),FALSE)&gt;=5,"Good","Bad"),VLOOKUP(DATE($K$1,$K$2,TBN$4),Table1[],(MATCH(Calendar!$A18,DB!$1:$1,0)),FALSE)),"")</f>
        <v/>
      </c>
      <c r="TBO18" s="28" t="str">
        <f>IFERROR(IF(TBX3="No",IF(VLOOKUP(DATE($K$1,$K$2,TBO$4),Table1[],(MATCH(Calendar!$A18,DB!$1:$1,0)),FALSE)&gt;=5,"Good","Bad"),VLOOKUP(DATE($K$1,$K$2,TBO$4),Table1[],(MATCH(Calendar!$A18,DB!$1:$1,0)),FALSE)),"")</f>
        <v/>
      </c>
      <c r="TBP18" s="28" t="str">
        <f>IFERROR(IF(TBY3="No",IF(VLOOKUP(DATE($K$1,$K$2,TBP$4),Table1[],(MATCH(Calendar!$A18,DB!$1:$1,0)),FALSE)&gt;=5,"Good","Bad"),VLOOKUP(DATE($K$1,$K$2,TBP$4),Table1[],(MATCH(Calendar!$A18,DB!$1:$1,0)),FALSE)),"")</f>
        <v/>
      </c>
      <c r="TBQ18" s="28" t="str">
        <f>IFERROR(IF(TBZ3="No",IF(VLOOKUP(DATE($K$1,$K$2,TBQ$4),Table1[],(MATCH(Calendar!$A18,DB!$1:$1,0)),FALSE)&gt;=5,"Good","Bad"),VLOOKUP(DATE($K$1,$K$2,TBQ$4),Table1[],(MATCH(Calendar!$A18,DB!$1:$1,0)),FALSE)),"")</f>
        <v/>
      </c>
      <c r="TBR18" s="28" t="str">
        <f>IFERROR(IF(TCA3="No",IF(VLOOKUP(DATE($K$1,$K$2,TBR$4),Table1[],(MATCH(Calendar!$A18,DB!$1:$1,0)),FALSE)&gt;=5,"Good","Bad"),VLOOKUP(DATE($K$1,$K$2,TBR$4),Table1[],(MATCH(Calendar!$A18,DB!$1:$1,0)),FALSE)),"")</f>
        <v/>
      </c>
      <c r="TBS18" s="28" t="str">
        <f>IFERROR(IF(TCB3="No",IF(VLOOKUP(DATE($K$1,$K$2,TBS$4),Table1[],(MATCH(Calendar!$A18,DB!$1:$1,0)),FALSE)&gt;=5,"Good","Bad"),VLOOKUP(DATE($K$1,$K$2,TBS$4),Table1[],(MATCH(Calendar!$A18,DB!$1:$1,0)),FALSE)),"")</f>
        <v/>
      </c>
      <c r="TBT18" s="28" t="str">
        <f>IFERROR(IF(TCC3="No",IF(VLOOKUP(DATE($K$1,$K$2,TBT$4),Table1[],(MATCH(Calendar!$A18,DB!$1:$1,0)),FALSE)&gt;=5,"Good","Bad"),VLOOKUP(DATE($K$1,$K$2,TBT$4),Table1[],(MATCH(Calendar!$A18,DB!$1:$1,0)),FALSE)),"")</f>
        <v/>
      </c>
      <c r="TBU18" s="28" t="str">
        <f>IFERROR(IF(TCD3="No",IF(VLOOKUP(DATE($K$1,$K$2,TBU$4),Table1[],(MATCH(Calendar!$A18,DB!$1:$1,0)),FALSE)&gt;=5,"Good","Bad"),VLOOKUP(DATE($K$1,$K$2,TBU$4),Table1[],(MATCH(Calendar!$A18,DB!$1:$1,0)),FALSE)),"")</f>
        <v/>
      </c>
      <c r="TBV18" s="28" t="str">
        <f>IFERROR(IF(TCE3="No",IF(VLOOKUP(DATE($K$1,$K$2,TBV$4),Table1[],(MATCH(Calendar!$A18,DB!$1:$1,0)),FALSE)&gt;=5,"Good","Bad"),VLOOKUP(DATE($K$1,$K$2,TBV$4),Table1[],(MATCH(Calendar!$A18,DB!$1:$1,0)),FALSE)),"")</f>
        <v/>
      </c>
      <c r="TBW18" s="28" t="str">
        <f>IFERROR(IF(TCF3="No",IF(VLOOKUP(DATE($K$1,$K$2,TBW$4),Table1[],(MATCH(Calendar!$A18,DB!$1:$1,0)),FALSE)&gt;=5,"Good","Bad"),VLOOKUP(DATE($K$1,$K$2,TBW$4),Table1[],(MATCH(Calendar!$A18,DB!$1:$1,0)),FALSE)),"")</f>
        <v/>
      </c>
      <c r="TBX18" s="28" t="str">
        <f>IFERROR(IF(TCG3="No",IF(VLOOKUP(DATE($K$1,$K$2,TBX$4),Table1[],(MATCH(Calendar!$A18,DB!$1:$1,0)),FALSE)&gt;=5,"Good","Bad"),VLOOKUP(DATE($K$1,$K$2,TBX$4),Table1[],(MATCH(Calendar!$A18,DB!$1:$1,0)),FALSE)),"")</f>
        <v/>
      </c>
      <c r="TBY18" s="28" t="str">
        <f>IFERROR(IF(TCH3="No",IF(VLOOKUP(DATE($K$1,$K$2,TBY$4),Table1[],(MATCH(Calendar!$A18,DB!$1:$1,0)),FALSE)&gt;=5,"Good","Bad"),VLOOKUP(DATE($K$1,$K$2,TBY$4),Table1[],(MATCH(Calendar!$A18,DB!$1:$1,0)),FALSE)),"")</f>
        <v/>
      </c>
      <c r="TBZ18" s="28" t="str">
        <f>IFERROR(IF(TCI3="No",IF(VLOOKUP(DATE($K$1,$K$2,TBZ$4),Table1[],(MATCH(Calendar!$A18,DB!$1:$1,0)),FALSE)&gt;=5,"Good","Bad"),VLOOKUP(DATE($K$1,$K$2,TBZ$4),Table1[],(MATCH(Calendar!$A18,DB!$1:$1,0)),FALSE)),"")</f>
        <v/>
      </c>
      <c r="TCA18" s="28" t="str">
        <f>IFERROR(IF(TCJ3="No",IF(VLOOKUP(DATE($K$1,$K$2,TCA$4),Table1[],(MATCH(Calendar!$A18,DB!$1:$1,0)),FALSE)&gt;=5,"Good","Bad"),VLOOKUP(DATE($K$1,$K$2,TCA$4),Table1[],(MATCH(Calendar!$A18,DB!$1:$1,0)),FALSE)),"")</f>
        <v/>
      </c>
      <c r="TCB18" s="28" t="str">
        <f>IFERROR(IF(TCK3="No",IF(VLOOKUP(DATE($K$1,$K$2,TCB$4),Table1[],(MATCH(Calendar!$A18,DB!$1:$1,0)),FALSE)&gt;=5,"Good","Bad"),VLOOKUP(DATE($K$1,$K$2,TCB$4),Table1[],(MATCH(Calendar!$A18,DB!$1:$1,0)),FALSE)),"")</f>
        <v/>
      </c>
      <c r="TCC18" s="28" t="str">
        <f>IFERROR(IF(TCL3="No",IF(VLOOKUP(DATE($K$1,$K$2,TCC$4),Table1[],(MATCH(Calendar!$A18,DB!$1:$1,0)),FALSE)&gt;=5,"Good","Bad"),VLOOKUP(DATE($K$1,$K$2,TCC$4),Table1[],(MATCH(Calendar!$A18,DB!$1:$1,0)),FALSE)),"")</f>
        <v/>
      </c>
      <c r="TCD18" s="28" t="str">
        <f>IFERROR(IF(TCM3="No",IF(VLOOKUP(DATE($K$1,$K$2,TCD$4),Table1[],(MATCH(Calendar!$A18,DB!$1:$1,0)),FALSE)&gt;=5,"Good","Bad"),VLOOKUP(DATE($K$1,$K$2,TCD$4),Table1[],(MATCH(Calendar!$A18,DB!$1:$1,0)),FALSE)),"")</f>
        <v/>
      </c>
      <c r="TCE18" s="28" t="str">
        <f>IFERROR(IF(TCN3="No",IF(VLOOKUP(DATE($K$1,$K$2,TCE$4),Table1[],(MATCH(Calendar!$A18,DB!$1:$1,0)),FALSE)&gt;=5,"Good","Bad"),VLOOKUP(DATE($K$1,$K$2,TCE$4),Table1[],(MATCH(Calendar!$A18,DB!$1:$1,0)),FALSE)),"")</f>
        <v/>
      </c>
      <c r="TCF18" s="28" t="str">
        <f>IFERROR(IF(TCO3="No",IF(VLOOKUP(DATE($K$1,$K$2,TCF$4),Table1[],(MATCH(Calendar!$A18,DB!$1:$1,0)),FALSE)&gt;=5,"Good","Bad"),VLOOKUP(DATE($K$1,$K$2,TCF$4),Table1[],(MATCH(Calendar!$A18,DB!$1:$1,0)),FALSE)),"")</f>
        <v/>
      </c>
      <c r="TCG18" s="28" t="str">
        <f>IFERROR(IF(TCP3="No",IF(VLOOKUP(DATE($K$1,$K$2,TCG$4),Table1[],(MATCH(Calendar!$A18,DB!$1:$1,0)),FALSE)&gt;=5,"Good","Bad"),VLOOKUP(DATE($K$1,$K$2,TCG$4),Table1[],(MATCH(Calendar!$A18,DB!$1:$1,0)),FALSE)),"")</f>
        <v/>
      </c>
      <c r="TCH18" s="28" t="str">
        <f>IFERROR(IF(TCQ3="No",IF(VLOOKUP(DATE($K$1,$K$2,TCH$4),Table1[],(MATCH(Calendar!$A18,DB!$1:$1,0)),FALSE)&gt;=5,"Good","Bad"),VLOOKUP(DATE($K$1,$K$2,TCH$4),Table1[],(MATCH(Calendar!$A18,DB!$1:$1,0)),FALSE)),"")</f>
        <v/>
      </c>
      <c r="TCI18" s="28" t="str">
        <f>IFERROR(IF(TCR3="No",IF(VLOOKUP(DATE($K$1,$K$2,TCI$4),Table1[],(MATCH(Calendar!$A18,DB!$1:$1,0)),FALSE)&gt;=5,"Good","Bad"),VLOOKUP(DATE($K$1,$K$2,TCI$4),Table1[],(MATCH(Calendar!$A18,DB!$1:$1,0)),FALSE)),"")</f>
        <v/>
      </c>
      <c r="TCJ18" s="28" t="str">
        <f>IFERROR(IF(TCS3="No",IF(VLOOKUP(DATE($K$1,$K$2,TCJ$4),Table1[],(MATCH(Calendar!$A18,DB!$1:$1,0)),FALSE)&gt;=5,"Good","Bad"),VLOOKUP(DATE($K$1,$K$2,TCJ$4),Table1[],(MATCH(Calendar!$A18,DB!$1:$1,0)),FALSE)),"")</f>
        <v/>
      </c>
      <c r="TCK18" s="28" t="str">
        <f>IFERROR(IF(TCT3="No",IF(VLOOKUP(DATE($K$1,$K$2,TCK$4),Table1[],(MATCH(Calendar!$A18,DB!$1:$1,0)),FALSE)&gt;=5,"Good","Bad"),VLOOKUP(DATE($K$1,$K$2,TCK$4),Table1[],(MATCH(Calendar!$A18,DB!$1:$1,0)),FALSE)),"")</f>
        <v/>
      </c>
      <c r="TCL18" s="28" t="str">
        <f>IFERROR(IF(TCU3="No",IF(VLOOKUP(DATE($K$1,$K$2,TCL$4),Table1[],(MATCH(Calendar!$A18,DB!$1:$1,0)),FALSE)&gt;=5,"Good","Bad"),VLOOKUP(DATE($K$1,$K$2,TCL$4),Table1[],(MATCH(Calendar!$A18,DB!$1:$1,0)),FALSE)),"")</f>
        <v/>
      </c>
      <c r="TCM18" s="28" t="str">
        <f>IFERROR(IF(TCV3="No",IF(VLOOKUP(DATE($K$1,$K$2,TCM$4),Table1[],(MATCH(Calendar!$A18,DB!$1:$1,0)),FALSE)&gt;=5,"Good","Bad"),VLOOKUP(DATE($K$1,$K$2,TCM$4),Table1[],(MATCH(Calendar!$A18,DB!$1:$1,0)),FALSE)),"")</f>
        <v/>
      </c>
      <c r="TCN18" s="28" t="str">
        <f>IFERROR(IF(TCW3="No",IF(VLOOKUP(DATE($K$1,$K$2,TCN$4),Table1[],(MATCH(Calendar!$A18,DB!$1:$1,0)),FALSE)&gt;=5,"Good","Bad"),VLOOKUP(DATE($K$1,$K$2,TCN$4),Table1[],(MATCH(Calendar!$A18,DB!$1:$1,0)),FALSE)),"")</f>
        <v/>
      </c>
      <c r="TCO18" s="28" t="str">
        <f>IFERROR(IF(TCX3="No",IF(VLOOKUP(DATE($K$1,$K$2,TCO$4),Table1[],(MATCH(Calendar!$A18,DB!$1:$1,0)),FALSE)&gt;=5,"Good","Bad"),VLOOKUP(DATE($K$1,$K$2,TCO$4),Table1[],(MATCH(Calendar!$A18,DB!$1:$1,0)),FALSE)),"")</f>
        <v/>
      </c>
      <c r="TCP18" s="28" t="str">
        <f>IFERROR(IF(TCY3="No",IF(VLOOKUP(DATE($K$1,$K$2,TCP$4),Table1[],(MATCH(Calendar!$A18,DB!$1:$1,0)),FALSE)&gt;=5,"Good","Bad"),VLOOKUP(DATE($K$1,$K$2,TCP$4),Table1[],(MATCH(Calendar!$A18,DB!$1:$1,0)),FALSE)),"")</f>
        <v/>
      </c>
      <c r="TCQ18" s="28" t="str">
        <f>IFERROR(IF(TCZ3="No",IF(VLOOKUP(DATE($K$1,$K$2,TCQ$4),Table1[],(MATCH(Calendar!$A18,DB!$1:$1,0)),FALSE)&gt;=5,"Good","Bad"),VLOOKUP(DATE($K$1,$K$2,TCQ$4),Table1[],(MATCH(Calendar!$A18,DB!$1:$1,0)),FALSE)),"")</f>
        <v/>
      </c>
      <c r="TCR18" s="28" t="str">
        <f>IFERROR(IF(TDA3="No",IF(VLOOKUP(DATE($K$1,$K$2,TCR$4),Table1[],(MATCH(Calendar!$A18,DB!$1:$1,0)),FALSE)&gt;=5,"Good","Bad"),VLOOKUP(DATE($K$1,$K$2,TCR$4),Table1[],(MATCH(Calendar!$A18,DB!$1:$1,0)),FALSE)),"")</f>
        <v/>
      </c>
      <c r="TCS18" s="28" t="str">
        <f>IFERROR(IF(TDB3="No",IF(VLOOKUP(DATE($K$1,$K$2,TCS$4),Table1[],(MATCH(Calendar!$A18,DB!$1:$1,0)),FALSE)&gt;=5,"Good","Bad"),VLOOKUP(DATE($K$1,$K$2,TCS$4),Table1[],(MATCH(Calendar!$A18,DB!$1:$1,0)),FALSE)),"")</f>
        <v/>
      </c>
      <c r="TCT18" s="28" t="str">
        <f>IFERROR(IF(TDC3="No",IF(VLOOKUP(DATE($K$1,$K$2,TCT$4),Table1[],(MATCH(Calendar!$A18,DB!$1:$1,0)),FALSE)&gt;=5,"Good","Bad"),VLOOKUP(DATE($K$1,$K$2,TCT$4),Table1[],(MATCH(Calendar!$A18,DB!$1:$1,0)),FALSE)),"")</f>
        <v/>
      </c>
      <c r="TCU18" s="28" t="str">
        <f>IFERROR(IF(TDD3="No",IF(VLOOKUP(DATE($K$1,$K$2,TCU$4),Table1[],(MATCH(Calendar!$A18,DB!$1:$1,0)),FALSE)&gt;=5,"Good","Bad"),VLOOKUP(DATE($K$1,$K$2,TCU$4),Table1[],(MATCH(Calendar!$A18,DB!$1:$1,0)),FALSE)),"")</f>
        <v/>
      </c>
      <c r="TCV18" s="28" t="str">
        <f>IFERROR(IF(TDE3="No",IF(VLOOKUP(DATE($K$1,$K$2,TCV$4),Table1[],(MATCH(Calendar!$A18,DB!$1:$1,0)),FALSE)&gt;=5,"Good","Bad"),VLOOKUP(DATE($K$1,$K$2,TCV$4),Table1[],(MATCH(Calendar!$A18,DB!$1:$1,0)),FALSE)),"")</f>
        <v/>
      </c>
      <c r="TCW18" s="28" t="str">
        <f>IFERROR(IF(TDF3="No",IF(VLOOKUP(DATE($K$1,$K$2,TCW$4),Table1[],(MATCH(Calendar!$A18,DB!$1:$1,0)),FALSE)&gt;=5,"Good","Bad"),VLOOKUP(DATE($K$1,$K$2,TCW$4),Table1[],(MATCH(Calendar!$A18,DB!$1:$1,0)),FALSE)),"")</f>
        <v/>
      </c>
      <c r="TCX18" s="28" t="str">
        <f>IFERROR(IF(TDG3="No",IF(VLOOKUP(DATE($K$1,$K$2,TCX$4),Table1[],(MATCH(Calendar!$A18,DB!$1:$1,0)),FALSE)&gt;=5,"Good","Bad"),VLOOKUP(DATE($K$1,$K$2,TCX$4),Table1[],(MATCH(Calendar!$A18,DB!$1:$1,0)),FALSE)),"")</f>
        <v/>
      </c>
      <c r="TCY18" s="28" t="str">
        <f>IFERROR(IF(TDH3="No",IF(VLOOKUP(DATE($K$1,$K$2,TCY$4),Table1[],(MATCH(Calendar!$A18,DB!$1:$1,0)),FALSE)&gt;=5,"Good","Bad"),VLOOKUP(DATE($K$1,$K$2,TCY$4),Table1[],(MATCH(Calendar!$A18,DB!$1:$1,0)),FALSE)),"")</f>
        <v/>
      </c>
      <c r="TCZ18" s="28" t="str">
        <f>IFERROR(IF(TDI3="No",IF(VLOOKUP(DATE($K$1,$K$2,TCZ$4),Table1[],(MATCH(Calendar!$A18,DB!$1:$1,0)),FALSE)&gt;=5,"Good","Bad"),VLOOKUP(DATE($K$1,$K$2,TCZ$4),Table1[],(MATCH(Calendar!$A18,DB!$1:$1,0)),FALSE)),"")</f>
        <v/>
      </c>
      <c r="TDA18" s="28" t="str">
        <f>IFERROR(IF(TDJ3="No",IF(VLOOKUP(DATE($K$1,$K$2,TDA$4),Table1[],(MATCH(Calendar!$A18,DB!$1:$1,0)),FALSE)&gt;=5,"Good","Bad"),VLOOKUP(DATE($K$1,$K$2,TDA$4),Table1[],(MATCH(Calendar!$A18,DB!$1:$1,0)),FALSE)),"")</f>
        <v/>
      </c>
      <c r="TDB18" s="28" t="str">
        <f>IFERROR(IF(TDK3="No",IF(VLOOKUP(DATE($K$1,$K$2,TDB$4),Table1[],(MATCH(Calendar!$A18,DB!$1:$1,0)),FALSE)&gt;=5,"Good","Bad"),VLOOKUP(DATE($K$1,$K$2,TDB$4),Table1[],(MATCH(Calendar!$A18,DB!$1:$1,0)),FALSE)),"")</f>
        <v/>
      </c>
      <c r="TDC18" s="28" t="str">
        <f>IFERROR(IF(TDL3="No",IF(VLOOKUP(DATE($K$1,$K$2,TDC$4),Table1[],(MATCH(Calendar!$A18,DB!$1:$1,0)),FALSE)&gt;=5,"Good","Bad"),VLOOKUP(DATE($K$1,$K$2,TDC$4),Table1[],(MATCH(Calendar!$A18,DB!$1:$1,0)),FALSE)),"")</f>
        <v/>
      </c>
      <c r="TDD18" s="28" t="str">
        <f>IFERROR(IF(TDM3="No",IF(VLOOKUP(DATE($K$1,$K$2,TDD$4),Table1[],(MATCH(Calendar!$A18,DB!$1:$1,0)),FALSE)&gt;=5,"Good","Bad"),VLOOKUP(DATE($K$1,$K$2,TDD$4),Table1[],(MATCH(Calendar!$A18,DB!$1:$1,0)),FALSE)),"")</f>
        <v/>
      </c>
      <c r="TDE18" s="28" t="str">
        <f>IFERROR(IF(TDN3="No",IF(VLOOKUP(DATE($K$1,$K$2,TDE$4),Table1[],(MATCH(Calendar!$A18,DB!$1:$1,0)),FALSE)&gt;=5,"Good","Bad"),VLOOKUP(DATE($K$1,$K$2,TDE$4),Table1[],(MATCH(Calendar!$A18,DB!$1:$1,0)),FALSE)),"")</f>
        <v/>
      </c>
      <c r="TDF18" s="28" t="str">
        <f>IFERROR(IF(TDO3="No",IF(VLOOKUP(DATE($K$1,$K$2,TDF$4),Table1[],(MATCH(Calendar!$A18,DB!$1:$1,0)),FALSE)&gt;=5,"Good","Bad"),VLOOKUP(DATE($K$1,$K$2,TDF$4),Table1[],(MATCH(Calendar!$A18,DB!$1:$1,0)),FALSE)),"")</f>
        <v/>
      </c>
      <c r="TDG18" s="28" t="str">
        <f>IFERROR(IF(TDP3="No",IF(VLOOKUP(DATE($K$1,$K$2,TDG$4),Table1[],(MATCH(Calendar!$A18,DB!$1:$1,0)),FALSE)&gt;=5,"Good","Bad"),VLOOKUP(DATE($K$1,$K$2,TDG$4),Table1[],(MATCH(Calendar!$A18,DB!$1:$1,0)),FALSE)),"")</f>
        <v/>
      </c>
      <c r="TDH18" s="28" t="str">
        <f>IFERROR(IF(TDQ3="No",IF(VLOOKUP(DATE($K$1,$K$2,TDH$4),Table1[],(MATCH(Calendar!$A18,DB!$1:$1,0)),FALSE)&gt;=5,"Good","Bad"),VLOOKUP(DATE($K$1,$K$2,TDH$4),Table1[],(MATCH(Calendar!$A18,DB!$1:$1,0)),FALSE)),"")</f>
        <v/>
      </c>
      <c r="TDI18" s="28" t="str">
        <f>IFERROR(IF(TDR3="No",IF(VLOOKUP(DATE($K$1,$K$2,TDI$4),Table1[],(MATCH(Calendar!$A18,DB!$1:$1,0)),FALSE)&gt;=5,"Good","Bad"),VLOOKUP(DATE($K$1,$K$2,TDI$4),Table1[],(MATCH(Calendar!$A18,DB!$1:$1,0)),FALSE)),"")</f>
        <v/>
      </c>
      <c r="TDJ18" s="28" t="str">
        <f>IFERROR(IF(TDS3="No",IF(VLOOKUP(DATE($K$1,$K$2,TDJ$4),Table1[],(MATCH(Calendar!$A18,DB!$1:$1,0)),FALSE)&gt;=5,"Good","Bad"),VLOOKUP(DATE($K$1,$K$2,TDJ$4),Table1[],(MATCH(Calendar!$A18,DB!$1:$1,0)),FALSE)),"")</f>
        <v/>
      </c>
      <c r="TDK18" s="28" t="str">
        <f>IFERROR(IF(TDT3="No",IF(VLOOKUP(DATE($K$1,$K$2,TDK$4),Table1[],(MATCH(Calendar!$A18,DB!$1:$1,0)),FALSE)&gt;=5,"Good","Bad"),VLOOKUP(DATE($K$1,$K$2,TDK$4),Table1[],(MATCH(Calendar!$A18,DB!$1:$1,0)),FALSE)),"")</f>
        <v/>
      </c>
      <c r="TDL18" s="28" t="str">
        <f>IFERROR(IF(TDU3="No",IF(VLOOKUP(DATE($K$1,$K$2,TDL$4),Table1[],(MATCH(Calendar!$A18,DB!$1:$1,0)),FALSE)&gt;=5,"Good","Bad"),VLOOKUP(DATE($K$1,$K$2,TDL$4),Table1[],(MATCH(Calendar!$A18,DB!$1:$1,0)),FALSE)),"")</f>
        <v/>
      </c>
      <c r="TDM18" s="28" t="str">
        <f>IFERROR(IF(TDV3="No",IF(VLOOKUP(DATE($K$1,$K$2,TDM$4),Table1[],(MATCH(Calendar!$A18,DB!$1:$1,0)),FALSE)&gt;=5,"Good","Bad"),VLOOKUP(DATE($K$1,$K$2,TDM$4),Table1[],(MATCH(Calendar!$A18,DB!$1:$1,0)),FALSE)),"")</f>
        <v/>
      </c>
      <c r="TDN18" s="28" t="str">
        <f>IFERROR(IF(TDW3="No",IF(VLOOKUP(DATE($K$1,$K$2,TDN$4),Table1[],(MATCH(Calendar!$A18,DB!$1:$1,0)),FALSE)&gt;=5,"Good","Bad"),VLOOKUP(DATE($K$1,$K$2,TDN$4),Table1[],(MATCH(Calendar!$A18,DB!$1:$1,0)),FALSE)),"")</f>
        <v/>
      </c>
      <c r="TDO18" s="28" t="str">
        <f>IFERROR(IF(TDX3="No",IF(VLOOKUP(DATE($K$1,$K$2,TDO$4),Table1[],(MATCH(Calendar!$A18,DB!$1:$1,0)),FALSE)&gt;=5,"Good","Bad"),VLOOKUP(DATE($K$1,$K$2,TDO$4),Table1[],(MATCH(Calendar!$A18,DB!$1:$1,0)),FALSE)),"")</f>
        <v/>
      </c>
      <c r="TDP18" s="28" t="str">
        <f>IFERROR(IF(TDY3="No",IF(VLOOKUP(DATE($K$1,$K$2,TDP$4),Table1[],(MATCH(Calendar!$A18,DB!$1:$1,0)),FALSE)&gt;=5,"Good","Bad"),VLOOKUP(DATE($K$1,$K$2,TDP$4),Table1[],(MATCH(Calendar!$A18,DB!$1:$1,0)),FALSE)),"")</f>
        <v/>
      </c>
      <c r="TDQ18" s="28" t="str">
        <f>IFERROR(IF(TDZ3="No",IF(VLOOKUP(DATE($K$1,$K$2,TDQ$4),Table1[],(MATCH(Calendar!$A18,DB!$1:$1,0)),FALSE)&gt;=5,"Good","Bad"),VLOOKUP(DATE($K$1,$K$2,TDQ$4),Table1[],(MATCH(Calendar!$A18,DB!$1:$1,0)),FALSE)),"")</f>
        <v/>
      </c>
      <c r="TDR18" s="28" t="str">
        <f>IFERROR(IF(TEA3="No",IF(VLOOKUP(DATE($K$1,$K$2,TDR$4),Table1[],(MATCH(Calendar!$A18,DB!$1:$1,0)),FALSE)&gt;=5,"Good","Bad"),VLOOKUP(DATE($K$1,$K$2,TDR$4),Table1[],(MATCH(Calendar!$A18,DB!$1:$1,0)),FALSE)),"")</f>
        <v/>
      </c>
      <c r="TDS18" s="28" t="str">
        <f>IFERROR(IF(TEB3="No",IF(VLOOKUP(DATE($K$1,$K$2,TDS$4),Table1[],(MATCH(Calendar!$A18,DB!$1:$1,0)),FALSE)&gt;=5,"Good","Bad"),VLOOKUP(DATE($K$1,$K$2,TDS$4),Table1[],(MATCH(Calendar!$A18,DB!$1:$1,0)),FALSE)),"")</f>
        <v/>
      </c>
      <c r="TDT18" s="28" t="str">
        <f>IFERROR(IF(TEC3="No",IF(VLOOKUP(DATE($K$1,$K$2,TDT$4),Table1[],(MATCH(Calendar!$A18,DB!$1:$1,0)),FALSE)&gt;=5,"Good","Bad"),VLOOKUP(DATE($K$1,$K$2,TDT$4),Table1[],(MATCH(Calendar!$A18,DB!$1:$1,0)),FALSE)),"")</f>
        <v/>
      </c>
      <c r="TDU18" s="28" t="str">
        <f>IFERROR(IF(TED3="No",IF(VLOOKUP(DATE($K$1,$K$2,TDU$4),Table1[],(MATCH(Calendar!$A18,DB!$1:$1,0)),FALSE)&gt;=5,"Good","Bad"),VLOOKUP(DATE($K$1,$K$2,TDU$4),Table1[],(MATCH(Calendar!$A18,DB!$1:$1,0)),FALSE)),"")</f>
        <v/>
      </c>
      <c r="TDV18" s="28" t="str">
        <f>IFERROR(IF(TEE3="No",IF(VLOOKUP(DATE($K$1,$K$2,TDV$4),Table1[],(MATCH(Calendar!$A18,DB!$1:$1,0)),FALSE)&gt;=5,"Good","Bad"),VLOOKUP(DATE($K$1,$K$2,TDV$4),Table1[],(MATCH(Calendar!$A18,DB!$1:$1,0)),FALSE)),"")</f>
        <v/>
      </c>
      <c r="TDW18" s="28" t="str">
        <f>IFERROR(IF(TEF3="No",IF(VLOOKUP(DATE($K$1,$K$2,TDW$4),Table1[],(MATCH(Calendar!$A18,DB!$1:$1,0)),FALSE)&gt;=5,"Good","Bad"),VLOOKUP(DATE($K$1,$K$2,TDW$4),Table1[],(MATCH(Calendar!$A18,DB!$1:$1,0)),FALSE)),"")</f>
        <v/>
      </c>
      <c r="TDX18" s="28" t="str">
        <f>IFERROR(IF(TEG3="No",IF(VLOOKUP(DATE($K$1,$K$2,TDX$4),Table1[],(MATCH(Calendar!$A18,DB!$1:$1,0)),FALSE)&gt;=5,"Good","Bad"),VLOOKUP(DATE($K$1,$K$2,TDX$4),Table1[],(MATCH(Calendar!$A18,DB!$1:$1,0)),FALSE)),"")</f>
        <v/>
      </c>
      <c r="TDY18" s="28" t="str">
        <f>IFERROR(IF(TEH3="No",IF(VLOOKUP(DATE($K$1,$K$2,TDY$4),Table1[],(MATCH(Calendar!$A18,DB!$1:$1,0)),FALSE)&gt;=5,"Good","Bad"),VLOOKUP(DATE($K$1,$K$2,TDY$4),Table1[],(MATCH(Calendar!$A18,DB!$1:$1,0)),FALSE)),"")</f>
        <v/>
      </c>
      <c r="TDZ18" s="28" t="str">
        <f>IFERROR(IF(TEI3="No",IF(VLOOKUP(DATE($K$1,$K$2,TDZ$4),Table1[],(MATCH(Calendar!$A18,DB!$1:$1,0)),FALSE)&gt;=5,"Good","Bad"),VLOOKUP(DATE($K$1,$K$2,TDZ$4),Table1[],(MATCH(Calendar!$A18,DB!$1:$1,0)),FALSE)),"")</f>
        <v/>
      </c>
      <c r="TEA18" s="28" t="str">
        <f>IFERROR(IF(TEJ3="No",IF(VLOOKUP(DATE($K$1,$K$2,TEA$4),Table1[],(MATCH(Calendar!$A18,DB!$1:$1,0)),FALSE)&gt;=5,"Good","Bad"),VLOOKUP(DATE($K$1,$K$2,TEA$4),Table1[],(MATCH(Calendar!$A18,DB!$1:$1,0)),FALSE)),"")</f>
        <v/>
      </c>
      <c r="TEB18" s="28" t="str">
        <f>IFERROR(IF(TEK3="No",IF(VLOOKUP(DATE($K$1,$K$2,TEB$4),Table1[],(MATCH(Calendar!$A18,DB!$1:$1,0)),FALSE)&gt;=5,"Good","Bad"),VLOOKUP(DATE($K$1,$K$2,TEB$4),Table1[],(MATCH(Calendar!$A18,DB!$1:$1,0)),FALSE)),"")</f>
        <v/>
      </c>
      <c r="TEC18" s="28" t="str">
        <f>IFERROR(IF(TEL3="No",IF(VLOOKUP(DATE($K$1,$K$2,TEC$4),Table1[],(MATCH(Calendar!$A18,DB!$1:$1,0)),FALSE)&gt;=5,"Good","Bad"),VLOOKUP(DATE($K$1,$K$2,TEC$4),Table1[],(MATCH(Calendar!$A18,DB!$1:$1,0)),FALSE)),"")</f>
        <v/>
      </c>
      <c r="TED18" s="28" t="str">
        <f>IFERROR(IF(TEM3="No",IF(VLOOKUP(DATE($K$1,$K$2,TED$4),Table1[],(MATCH(Calendar!$A18,DB!$1:$1,0)),FALSE)&gt;=5,"Good","Bad"),VLOOKUP(DATE($K$1,$K$2,TED$4),Table1[],(MATCH(Calendar!$A18,DB!$1:$1,0)),FALSE)),"")</f>
        <v/>
      </c>
      <c r="TEE18" s="28" t="str">
        <f>IFERROR(IF(TEN3="No",IF(VLOOKUP(DATE($K$1,$K$2,TEE$4),Table1[],(MATCH(Calendar!$A18,DB!$1:$1,0)),FALSE)&gt;=5,"Good","Bad"),VLOOKUP(DATE($K$1,$K$2,TEE$4),Table1[],(MATCH(Calendar!$A18,DB!$1:$1,0)),FALSE)),"")</f>
        <v/>
      </c>
      <c r="TEF18" s="28" t="str">
        <f>IFERROR(IF(TEO3="No",IF(VLOOKUP(DATE($K$1,$K$2,TEF$4),Table1[],(MATCH(Calendar!$A18,DB!$1:$1,0)),FALSE)&gt;=5,"Good","Bad"),VLOOKUP(DATE($K$1,$K$2,TEF$4),Table1[],(MATCH(Calendar!$A18,DB!$1:$1,0)),FALSE)),"")</f>
        <v/>
      </c>
      <c r="TEG18" s="28" t="str">
        <f>IFERROR(IF(TEP3="No",IF(VLOOKUP(DATE($K$1,$K$2,TEG$4),Table1[],(MATCH(Calendar!$A18,DB!$1:$1,0)),FALSE)&gt;=5,"Good","Bad"),VLOOKUP(DATE($K$1,$K$2,TEG$4),Table1[],(MATCH(Calendar!$A18,DB!$1:$1,0)),FALSE)),"")</f>
        <v/>
      </c>
      <c r="TEH18" s="28" t="str">
        <f>IFERROR(IF(TEQ3="No",IF(VLOOKUP(DATE($K$1,$K$2,TEH$4),Table1[],(MATCH(Calendar!$A18,DB!$1:$1,0)),FALSE)&gt;=5,"Good","Bad"),VLOOKUP(DATE($K$1,$K$2,TEH$4),Table1[],(MATCH(Calendar!$A18,DB!$1:$1,0)),FALSE)),"")</f>
        <v/>
      </c>
      <c r="TEI18" s="28" t="str">
        <f>IFERROR(IF(TER3="No",IF(VLOOKUP(DATE($K$1,$K$2,TEI$4),Table1[],(MATCH(Calendar!$A18,DB!$1:$1,0)),FALSE)&gt;=5,"Good","Bad"),VLOOKUP(DATE($K$1,$K$2,TEI$4),Table1[],(MATCH(Calendar!$A18,DB!$1:$1,0)),FALSE)),"")</f>
        <v/>
      </c>
      <c r="TEJ18" s="28" t="str">
        <f>IFERROR(IF(TES3="No",IF(VLOOKUP(DATE($K$1,$K$2,TEJ$4),Table1[],(MATCH(Calendar!$A18,DB!$1:$1,0)),FALSE)&gt;=5,"Good","Bad"),VLOOKUP(DATE($K$1,$K$2,TEJ$4),Table1[],(MATCH(Calendar!$A18,DB!$1:$1,0)),FALSE)),"")</f>
        <v/>
      </c>
      <c r="TEK18" s="28" t="str">
        <f>IFERROR(IF(TET3="No",IF(VLOOKUP(DATE($K$1,$K$2,TEK$4),Table1[],(MATCH(Calendar!$A18,DB!$1:$1,0)),FALSE)&gt;=5,"Good","Bad"),VLOOKUP(DATE($K$1,$K$2,TEK$4),Table1[],(MATCH(Calendar!$A18,DB!$1:$1,0)),FALSE)),"")</f>
        <v/>
      </c>
      <c r="TEL18" s="28" t="str">
        <f>IFERROR(IF(TEU3="No",IF(VLOOKUP(DATE($K$1,$K$2,TEL$4),Table1[],(MATCH(Calendar!$A18,DB!$1:$1,0)),FALSE)&gt;=5,"Good","Bad"),VLOOKUP(DATE($K$1,$K$2,TEL$4),Table1[],(MATCH(Calendar!$A18,DB!$1:$1,0)),FALSE)),"")</f>
        <v/>
      </c>
      <c r="TEM18" s="28" t="str">
        <f>IFERROR(IF(TEV3="No",IF(VLOOKUP(DATE($K$1,$K$2,TEM$4),Table1[],(MATCH(Calendar!$A18,DB!$1:$1,0)),FALSE)&gt;=5,"Good","Bad"),VLOOKUP(DATE($K$1,$K$2,TEM$4),Table1[],(MATCH(Calendar!$A18,DB!$1:$1,0)),FALSE)),"")</f>
        <v/>
      </c>
      <c r="TEN18" s="28" t="str">
        <f>IFERROR(IF(TEW3="No",IF(VLOOKUP(DATE($K$1,$K$2,TEN$4),Table1[],(MATCH(Calendar!$A18,DB!$1:$1,0)),FALSE)&gt;=5,"Good","Bad"),VLOOKUP(DATE($K$1,$K$2,TEN$4),Table1[],(MATCH(Calendar!$A18,DB!$1:$1,0)),FALSE)),"")</f>
        <v/>
      </c>
      <c r="TEO18" s="28" t="str">
        <f>IFERROR(IF(TEX3="No",IF(VLOOKUP(DATE($K$1,$K$2,TEO$4),Table1[],(MATCH(Calendar!$A18,DB!$1:$1,0)),FALSE)&gt;=5,"Good","Bad"),VLOOKUP(DATE($K$1,$K$2,TEO$4),Table1[],(MATCH(Calendar!$A18,DB!$1:$1,0)),FALSE)),"")</f>
        <v/>
      </c>
      <c r="TEP18" s="28" t="str">
        <f>IFERROR(IF(TEY3="No",IF(VLOOKUP(DATE($K$1,$K$2,TEP$4),Table1[],(MATCH(Calendar!$A18,DB!$1:$1,0)),FALSE)&gt;=5,"Good","Bad"),VLOOKUP(DATE($K$1,$K$2,TEP$4),Table1[],(MATCH(Calendar!$A18,DB!$1:$1,0)),FALSE)),"")</f>
        <v/>
      </c>
      <c r="TEQ18" s="28" t="str">
        <f>IFERROR(IF(TEZ3="No",IF(VLOOKUP(DATE($K$1,$K$2,TEQ$4),Table1[],(MATCH(Calendar!$A18,DB!$1:$1,0)),FALSE)&gt;=5,"Good","Bad"),VLOOKUP(DATE($K$1,$K$2,TEQ$4),Table1[],(MATCH(Calendar!$A18,DB!$1:$1,0)),FALSE)),"")</f>
        <v/>
      </c>
      <c r="TER18" s="28" t="str">
        <f>IFERROR(IF(TFA3="No",IF(VLOOKUP(DATE($K$1,$K$2,TER$4),Table1[],(MATCH(Calendar!$A18,DB!$1:$1,0)),FALSE)&gt;=5,"Good","Bad"),VLOOKUP(DATE($K$1,$K$2,TER$4),Table1[],(MATCH(Calendar!$A18,DB!$1:$1,0)),FALSE)),"")</f>
        <v/>
      </c>
      <c r="TES18" s="28" t="str">
        <f>IFERROR(IF(TFB3="No",IF(VLOOKUP(DATE($K$1,$K$2,TES$4),Table1[],(MATCH(Calendar!$A18,DB!$1:$1,0)),FALSE)&gt;=5,"Good","Bad"),VLOOKUP(DATE($K$1,$K$2,TES$4),Table1[],(MATCH(Calendar!$A18,DB!$1:$1,0)),FALSE)),"")</f>
        <v/>
      </c>
      <c r="TET18" s="28" t="str">
        <f>IFERROR(IF(TFC3="No",IF(VLOOKUP(DATE($K$1,$K$2,TET$4),Table1[],(MATCH(Calendar!$A18,DB!$1:$1,0)),FALSE)&gt;=5,"Good","Bad"),VLOOKUP(DATE($K$1,$K$2,TET$4),Table1[],(MATCH(Calendar!$A18,DB!$1:$1,0)),FALSE)),"")</f>
        <v/>
      </c>
      <c r="TEU18" s="28" t="str">
        <f>IFERROR(IF(TFD3="No",IF(VLOOKUP(DATE($K$1,$K$2,TEU$4),Table1[],(MATCH(Calendar!$A18,DB!$1:$1,0)),FALSE)&gt;=5,"Good","Bad"),VLOOKUP(DATE($K$1,$K$2,TEU$4),Table1[],(MATCH(Calendar!$A18,DB!$1:$1,0)),FALSE)),"")</f>
        <v/>
      </c>
      <c r="TEV18" s="28" t="str">
        <f>IFERROR(IF(TFE3="No",IF(VLOOKUP(DATE($K$1,$K$2,TEV$4),Table1[],(MATCH(Calendar!$A18,DB!$1:$1,0)),FALSE)&gt;=5,"Good","Bad"),VLOOKUP(DATE($K$1,$K$2,TEV$4),Table1[],(MATCH(Calendar!$A18,DB!$1:$1,0)),FALSE)),"")</f>
        <v/>
      </c>
      <c r="TEW18" s="28" t="str">
        <f>IFERROR(IF(TFF3="No",IF(VLOOKUP(DATE($K$1,$K$2,TEW$4),Table1[],(MATCH(Calendar!$A18,DB!$1:$1,0)),FALSE)&gt;=5,"Good","Bad"),VLOOKUP(DATE($K$1,$K$2,TEW$4),Table1[],(MATCH(Calendar!$A18,DB!$1:$1,0)),FALSE)),"")</f>
        <v/>
      </c>
      <c r="TEX18" s="28" t="str">
        <f>IFERROR(IF(TFG3="No",IF(VLOOKUP(DATE($K$1,$K$2,TEX$4),Table1[],(MATCH(Calendar!$A18,DB!$1:$1,0)),FALSE)&gt;=5,"Good","Bad"),VLOOKUP(DATE($K$1,$K$2,TEX$4),Table1[],(MATCH(Calendar!$A18,DB!$1:$1,0)),FALSE)),"")</f>
        <v/>
      </c>
      <c r="TEY18" s="28" t="str">
        <f>IFERROR(IF(TFH3="No",IF(VLOOKUP(DATE($K$1,$K$2,TEY$4),Table1[],(MATCH(Calendar!$A18,DB!$1:$1,0)),FALSE)&gt;=5,"Good","Bad"),VLOOKUP(DATE($K$1,$K$2,TEY$4),Table1[],(MATCH(Calendar!$A18,DB!$1:$1,0)),FALSE)),"")</f>
        <v/>
      </c>
      <c r="TEZ18" s="28" t="str">
        <f>IFERROR(IF(TFI3="No",IF(VLOOKUP(DATE($K$1,$K$2,TEZ$4),Table1[],(MATCH(Calendar!$A18,DB!$1:$1,0)),FALSE)&gt;=5,"Good","Bad"),VLOOKUP(DATE($K$1,$K$2,TEZ$4),Table1[],(MATCH(Calendar!$A18,DB!$1:$1,0)),FALSE)),"")</f>
        <v/>
      </c>
      <c r="TFA18" s="28" t="str">
        <f>IFERROR(IF(TFJ3="No",IF(VLOOKUP(DATE($K$1,$K$2,TFA$4),Table1[],(MATCH(Calendar!$A18,DB!$1:$1,0)),FALSE)&gt;=5,"Good","Bad"),VLOOKUP(DATE($K$1,$K$2,TFA$4),Table1[],(MATCH(Calendar!$A18,DB!$1:$1,0)),FALSE)),"")</f>
        <v/>
      </c>
      <c r="TFB18" s="28" t="str">
        <f>IFERROR(IF(TFK3="No",IF(VLOOKUP(DATE($K$1,$K$2,TFB$4),Table1[],(MATCH(Calendar!$A18,DB!$1:$1,0)),FALSE)&gt;=5,"Good","Bad"),VLOOKUP(DATE($K$1,$K$2,TFB$4),Table1[],(MATCH(Calendar!$A18,DB!$1:$1,0)),FALSE)),"")</f>
        <v/>
      </c>
      <c r="TFC18" s="28" t="str">
        <f>IFERROR(IF(TFL3="No",IF(VLOOKUP(DATE($K$1,$K$2,TFC$4),Table1[],(MATCH(Calendar!$A18,DB!$1:$1,0)),FALSE)&gt;=5,"Good","Bad"),VLOOKUP(DATE($K$1,$K$2,TFC$4),Table1[],(MATCH(Calendar!$A18,DB!$1:$1,0)),FALSE)),"")</f>
        <v/>
      </c>
      <c r="TFD18" s="28" t="str">
        <f>IFERROR(IF(TFM3="No",IF(VLOOKUP(DATE($K$1,$K$2,TFD$4),Table1[],(MATCH(Calendar!$A18,DB!$1:$1,0)),FALSE)&gt;=5,"Good","Bad"),VLOOKUP(DATE($K$1,$K$2,TFD$4),Table1[],(MATCH(Calendar!$A18,DB!$1:$1,0)),FALSE)),"")</f>
        <v/>
      </c>
      <c r="TFE18" s="28" t="str">
        <f>IFERROR(IF(TFN3="No",IF(VLOOKUP(DATE($K$1,$K$2,TFE$4),Table1[],(MATCH(Calendar!$A18,DB!$1:$1,0)),FALSE)&gt;=5,"Good","Bad"),VLOOKUP(DATE($K$1,$K$2,TFE$4),Table1[],(MATCH(Calendar!$A18,DB!$1:$1,0)),FALSE)),"")</f>
        <v/>
      </c>
      <c r="TFF18" s="28" t="str">
        <f>IFERROR(IF(TFO3="No",IF(VLOOKUP(DATE($K$1,$K$2,TFF$4),Table1[],(MATCH(Calendar!$A18,DB!$1:$1,0)),FALSE)&gt;=5,"Good","Bad"),VLOOKUP(DATE($K$1,$K$2,TFF$4),Table1[],(MATCH(Calendar!$A18,DB!$1:$1,0)),FALSE)),"")</f>
        <v/>
      </c>
      <c r="TFG18" s="28" t="str">
        <f>IFERROR(IF(TFP3="No",IF(VLOOKUP(DATE($K$1,$K$2,TFG$4),Table1[],(MATCH(Calendar!$A18,DB!$1:$1,0)),FALSE)&gt;=5,"Good","Bad"),VLOOKUP(DATE($K$1,$K$2,TFG$4),Table1[],(MATCH(Calendar!$A18,DB!$1:$1,0)),FALSE)),"")</f>
        <v/>
      </c>
      <c r="TFH18" s="28" t="str">
        <f>IFERROR(IF(TFQ3="No",IF(VLOOKUP(DATE($K$1,$K$2,TFH$4),Table1[],(MATCH(Calendar!$A18,DB!$1:$1,0)),FALSE)&gt;=5,"Good","Bad"),VLOOKUP(DATE($K$1,$K$2,TFH$4),Table1[],(MATCH(Calendar!$A18,DB!$1:$1,0)),FALSE)),"")</f>
        <v/>
      </c>
      <c r="TFI18" s="28" t="str">
        <f>IFERROR(IF(TFR3="No",IF(VLOOKUP(DATE($K$1,$K$2,TFI$4),Table1[],(MATCH(Calendar!$A18,DB!$1:$1,0)),FALSE)&gt;=5,"Good","Bad"),VLOOKUP(DATE($K$1,$K$2,TFI$4),Table1[],(MATCH(Calendar!$A18,DB!$1:$1,0)),FALSE)),"")</f>
        <v/>
      </c>
      <c r="TFJ18" s="28" t="str">
        <f>IFERROR(IF(TFS3="No",IF(VLOOKUP(DATE($K$1,$K$2,TFJ$4),Table1[],(MATCH(Calendar!$A18,DB!$1:$1,0)),FALSE)&gt;=5,"Good","Bad"),VLOOKUP(DATE($K$1,$K$2,TFJ$4),Table1[],(MATCH(Calendar!$A18,DB!$1:$1,0)),FALSE)),"")</f>
        <v/>
      </c>
      <c r="TFK18" s="28" t="str">
        <f>IFERROR(IF(TFT3="No",IF(VLOOKUP(DATE($K$1,$K$2,TFK$4),Table1[],(MATCH(Calendar!$A18,DB!$1:$1,0)),FALSE)&gt;=5,"Good","Bad"),VLOOKUP(DATE($K$1,$K$2,TFK$4),Table1[],(MATCH(Calendar!$A18,DB!$1:$1,0)),FALSE)),"")</f>
        <v/>
      </c>
      <c r="TFL18" s="28" t="str">
        <f>IFERROR(IF(TFU3="No",IF(VLOOKUP(DATE($K$1,$K$2,TFL$4),Table1[],(MATCH(Calendar!$A18,DB!$1:$1,0)),FALSE)&gt;=5,"Good","Bad"),VLOOKUP(DATE($K$1,$K$2,TFL$4),Table1[],(MATCH(Calendar!$A18,DB!$1:$1,0)),FALSE)),"")</f>
        <v/>
      </c>
      <c r="TFM18" s="28" t="str">
        <f>IFERROR(IF(TFV3="No",IF(VLOOKUP(DATE($K$1,$K$2,TFM$4),Table1[],(MATCH(Calendar!$A18,DB!$1:$1,0)),FALSE)&gt;=5,"Good","Bad"),VLOOKUP(DATE($K$1,$K$2,TFM$4),Table1[],(MATCH(Calendar!$A18,DB!$1:$1,0)),FALSE)),"")</f>
        <v/>
      </c>
      <c r="TFN18" s="28" t="str">
        <f>IFERROR(IF(TFW3="No",IF(VLOOKUP(DATE($K$1,$K$2,TFN$4),Table1[],(MATCH(Calendar!$A18,DB!$1:$1,0)),FALSE)&gt;=5,"Good","Bad"),VLOOKUP(DATE($K$1,$K$2,TFN$4),Table1[],(MATCH(Calendar!$A18,DB!$1:$1,0)),FALSE)),"")</f>
        <v/>
      </c>
      <c r="TFO18" s="28" t="str">
        <f>IFERROR(IF(TFX3="No",IF(VLOOKUP(DATE($K$1,$K$2,TFO$4),Table1[],(MATCH(Calendar!$A18,DB!$1:$1,0)),FALSE)&gt;=5,"Good","Bad"),VLOOKUP(DATE($K$1,$K$2,TFO$4),Table1[],(MATCH(Calendar!$A18,DB!$1:$1,0)),FALSE)),"")</f>
        <v/>
      </c>
      <c r="TFP18" s="28" t="str">
        <f>IFERROR(IF(TFY3="No",IF(VLOOKUP(DATE($K$1,$K$2,TFP$4),Table1[],(MATCH(Calendar!$A18,DB!$1:$1,0)),FALSE)&gt;=5,"Good","Bad"),VLOOKUP(DATE($K$1,$K$2,TFP$4),Table1[],(MATCH(Calendar!$A18,DB!$1:$1,0)),FALSE)),"")</f>
        <v/>
      </c>
      <c r="TFQ18" s="28" t="str">
        <f>IFERROR(IF(TFZ3="No",IF(VLOOKUP(DATE($K$1,$K$2,TFQ$4),Table1[],(MATCH(Calendar!$A18,DB!$1:$1,0)),FALSE)&gt;=5,"Good","Bad"),VLOOKUP(DATE($K$1,$K$2,TFQ$4),Table1[],(MATCH(Calendar!$A18,DB!$1:$1,0)),FALSE)),"")</f>
        <v/>
      </c>
      <c r="TFR18" s="28" t="str">
        <f>IFERROR(IF(TGA3="No",IF(VLOOKUP(DATE($K$1,$K$2,TFR$4),Table1[],(MATCH(Calendar!$A18,DB!$1:$1,0)),FALSE)&gt;=5,"Good","Bad"),VLOOKUP(DATE($K$1,$K$2,TFR$4),Table1[],(MATCH(Calendar!$A18,DB!$1:$1,0)),FALSE)),"")</f>
        <v/>
      </c>
      <c r="TFS18" s="28" t="str">
        <f>IFERROR(IF(TGB3="No",IF(VLOOKUP(DATE($K$1,$K$2,TFS$4),Table1[],(MATCH(Calendar!$A18,DB!$1:$1,0)),FALSE)&gt;=5,"Good","Bad"),VLOOKUP(DATE($K$1,$K$2,TFS$4),Table1[],(MATCH(Calendar!$A18,DB!$1:$1,0)),FALSE)),"")</f>
        <v/>
      </c>
      <c r="TFT18" s="28" t="str">
        <f>IFERROR(IF(TGC3="No",IF(VLOOKUP(DATE($K$1,$K$2,TFT$4),Table1[],(MATCH(Calendar!$A18,DB!$1:$1,0)),FALSE)&gt;=5,"Good","Bad"),VLOOKUP(DATE($K$1,$K$2,TFT$4),Table1[],(MATCH(Calendar!$A18,DB!$1:$1,0)),FALSE)),"")</f>
        <v/>
      </c>
      <c r="TFU18" s="28" t="str">
        <f>IFERROR(IF(TGD3="No",IF(VLOOKUP(DATE($K$1,$K$2,TFU$4),Table1[],(MATCH(Calendar!$A18,DB!$1:$1,0)),FALSE)&gt;=5,"Good","Bad"),VLOOKUP(DATE($K$1,$K$2,TFU$4),Table1[],(MATCH(Calendar!$A18,DB!$1:$1,0)),FALSE)),"")</f>
        <v/>
      </c>
      <c r="TFV18" s="28" t="str">
        <f>IFERROR(IF(TGE3="No",IF(VLOOKUP(DATE($K$1,$K$2,TFV$4),Table1[],(MATCH(Calendar!$A18,DB!$1:$1,0)),FALSE)&gt;=5,"Good","Bad"),VLOOKUP(DATE($K$1,$K$2,TFV$4),Table1[],(MATCH(Calendar!$A18,DB!$1:$1,0)),FALSE)),"")</f>
        <v/>
      </c>
      <c r="TFW18" s="28" t="str">
        <f>IFERROR(IF(TGF3="No",IF(VLOOKUP(DATE($K$1,$K$2,TFW$4),Table1[],(MATCH(Calendar!$A18,DB!$1:$1,0)),FALSE)&gt;=5,"Good","Bad"),VLOOKUP(DATE($K$1,$K$2,TFW$4),Table1[],(MATCH(Calendar!$A18,DB!$1:$1,0)),FALSE)),"")</f>
        <v/>
      </c>
      <c r="TFX18" s="28" t="str">
        <f>IFERROR(IF(TGG3="No",IF(VLOOKUP(DATE($K$1,$K$2,TFX$4),Table1[],(MATCH(Calendar!$A18,DB!$1:$1,0)),FALSE)&gt;=5,"Good","Bad"),VLOOKUP(DATE($K$1,$K$2,TFX$4),Table1[],(MATCH(Calendar!$A18,DB!$1:$1,0)),FALSE)),"")</f>
        <v/>
      </c>
      <c r="TFY18" s="28" t="str">
        <f>IFERROR(IF(TGH3="No",IF(VLOOKUP(DATE($K$1,$K$2,TFY$4),Table1[],(MATCH(Calendar!$A18,DB!$1:$1,0)),FALSE)&gt;=5,"Good","Bad"),VLOOKUP(DATE($K$1,$K$2,TFY$4),Table1[],(MATCH(Calendar!$A18,DB!$1:$1,0)),FALSE)),"")</f>
        <v/>
      </c>
      <c r="TFZ18" s="28" t="str">
        <f>IFERROR(IF(TGI3="No",IF(VLOOKUP(DATE($K$1,$K$2,TFZ$4),Table1[],(MATCH(Calendar!$A18,DB!$1:$1,0)),FALSE)&gt;=5,"Good","Bad"),VLOOKUP(DATE($K$1,$K$2,TFZ$4),Table1[],(MATCH(Calendar!$A18,DB!$1:$1,0)),FALSE)),"")</f>
        <v/>
      </c>
      <c r="TGA18" s="28" t="str">
        <f>IFERROR(IF(TGJ3="No",IF(VLOOKUP(DATE($K$1,$K$2,TGA$4),Table1[],(MATCH(Calendar!$A18,DB!$1:$1,0)),FALSE)&gt;=5,"Good","Bad"),VLOOKUP(DATE($K$1,$K$2,TGA$4),Table1[],(MATCH(Calendar!$A18,DB!$1:$1,0)),FALSE)),"")</f>
        <v/>
      </c>
      <c r="TGB18" s="28" t="str">
        <f>IFERROR(IF(TGK3="No",IF(VLOOKUP(DATE($K$1,$K$2,TGB$4),Table1[],(MATCH(Calendar!$A18,DB!$1:$1,0)),FALSE)&gt;=5,"Good","Bad"),VLOOKUP(DATE($K$1,$K$2,TGB$4),Table1[],(MATCH(Calendar!$A18,DB!$1:$1,0)),FALSE)),"")</f>
        <v/>
      </c>
      <c r="TGC18" s="28" t="str">
        <f>IFERROR(IF(TGL3="No",IF(VLOOKUP(DATE($K$1,$K$2,TGC$4),Table1[],(MATCH(Calendar!$A18,DB!$1:$1,0)),FALSE)&gt;=5,"Good","Bad"),VLOOKUP(DATE($K$1,$K$2,TGC$4),Table1[],(MATCH(Calendar!$A18,DB!$1:$1,0)),FALSE)),"")</f>
        <v/>
      </c>
      <c r="TGD18" s="28" t="str">
        <f>IFERROR(IF(TGM3="No",IF(VLOOKUP(DATE($K$1,$K$2,TGD$4),Table1[],(MATCH(Calendar!$A18,DB!$1:$1,0)),FALSE)&gt;=5,"Good","Bad"),VLOOKUP(DATE($K$1,$K$2,TGD$4),Table1[],(MATCH(Calendar!$A18,DB!$1:$1,0)),FALSE)),"")</f>
        <v/>
      </c>
      <c r="TGE18" s="28" t="str">
        <f>IFERROR(IF(TGN3="No",IF(VLOOKUP(DATE($K$1,$K$2,TGE$4),Table1[],(MATCH(Calendar!$A18,DB!$1:$1,0)),FALSE)&gt;=5,"Good","Bad"),VLOOKUP(DATE($K$1,$K$2,TGE$4),Table1[],(MATCH(Calendar!$A18,DB!$1:$1,0)),FALSE)),"")</f>
        <v/>
      </c>
      <c r="TGF18" s="28" t="str">
        <f>IFERROR(IF(TGO3="No",IF(VLOOKUP(DATE($K$1,$K$2,TGF$4),Table1[],(MATCH(Calendar!$A18,DB!$1:$1,0)),FALSE)&gt;=5,"Good","Bad"),VLOOKUP(DATE($K$1,$K$2,TGF$4),Table1[],(MATCH(Calendar!$A18,DB!$1:$1,0)),FALSE)),"")</f>
        <v/>
      </c>
      <c r="TGG18" s="28" t="str">
        <f>IFERROR(IF(TGP3="No",IF(VLOOKUP(DATE($K$1,$K$2,TGG$4),Table1[],(MATCH(Calendar!$A18,DB!$1:$1,0)),FALSE)&gt;=5,"Good","Bad"),VLOOKUP(DATE($K$1,$K$2,TGG$4),Table1[],(MATCH(Calendar!$A18,DB!$1:$1,0)),FALSE)),"")</f>
        <v/>
      </c>
      <c r="TGH18" s="28" t="str">
        <f>IFERROR(IF(TGQ3="No",IF(VLOOKUP(DATE($K$1,$K$2,TGH$4),Table1[],(MATCH(Calendar!$A18,DB!$1:$1,0)),FALSE)&gt;=5,"Good","Bad"),VLOOKUP(DATE($K$1,$K$2,TGH$4),Table1[],(MATCH(Calendar!$A18,DB!$1:$1,0)),FALSE)),"")</f>
        <v/>
      </c>
      <c r="TGI18" s="28" t="str">
        <f>IFERROR(IF(TGR3="No",IF(VLOOKUP(DATE($K$1,$K$2,TGI$4),Table1[],(MATCH(Calendar!$A18,DB!$1:$1,0)),FALSE)&gt;=5,"Good","Bad"),VLOOKUP(DATE($K$1,$K$2,TGI$4),Table1[],(MATCH(Calendar!$A18,DB!$1:$1,0)),FALSE)),"")</f>
        <v/>
      </c>
      <c r="TGJ18" s="28" t="str">
        <f>IFERROR(IF(TGS3="No",IF(VLOOKUP(DATE($K$1,$K$2,TGJ$4),Table1[],(MATCH(Calendar!$A18,DB!$1:$1,0)),FALSE)&gt;=5,"Good","Bad"),VLOOKUP(DATE($K$1,$K$2,TGJ$4),Table1[],(MATCH(Calendar!$A18,DB!$1:$1,0)),FALSE)),"")</f>
        <v/>
      </c>
      <c r="TGK18" s="28" t="str">
        <f>IFERROR(IF(TGT3="No",IF(VLOOKUP(DATE($K$1,$K$2,TGK$4),Table1[],(MATCH(Calendar!$A18,DB!$1:$1,0)),FALSE)&gt;=5,"Good","Bad"),VLOOKUP(DATE($K$1,$K$2,TGK$4),Table1[],(MATCH(Calendar!$A18,DB!$1:$1,0)),FALSE)),"")</f>
        <v/>
      </c>
      <c r="TGL18" s="28" t="str">
        <f>IFERROR(IF(TGU3="No",IF(VLOOKUP(DATE($K$1,$K$2,TGL$4),Table1[],(MATCH(Calendar!$A18,DB!$1:$1,0)),FALSE)&gt;=5,"Good","Bad"),VLOOKUP(DATE($K$1,$K$2,TGL$4),Table1[],(MATCH(Calendar!$A18,DB!$1:$1,0)),FALSE)),"")</f>
        <v/>
      </c>
      <c r="TGM18" s="28" t="str">
        <f>IFERROR(IF(TGV3="No",IF(VLOOKUP(DATE($K$1,$K$2,TGM$4),Table1[],(MATCH(Calendar!$A18,DB!$1:$1,0)),FALSE)&gt;=5,"Good","Bad"),VLOOKUP(DATE($K$1,$K$2,TGM$4),Table1[],(MATCH(Calendar!$A18,DB!$1:$1,0)),FALSE)),"")</f>
        <v/>
      </c>
      <c r="TGN18" s="28" t="str">
        <f>IFERROR(IF(TGW3="No",IF(VLOOKUP(DATE($K$1,$K$2,TGN$4),Table1[],(MATCH(Calendar!$A18,DB!$1:$1,0)),FALSE)&gt;=5,"Good","Bad"),VLOOKUP(DATE($K$1,$K$2,TGN$4),Table1[],(MATCH(Calendar!$A18,DB!$1:$1,0)),FALSE)),"")</f>
        <v/>
      </c>
      <c r="TGO18" s="28" t="str">
        <f>IFERROR(IF(TGX3="No",IF(VLOOKUP(DATE($K$1,$K$2,TGO$4),Table1[],(MATCH(Calendar!$A18,DB!$1:$1,0)),FALSE)&gt;=5,"Good","Bad"),VLOOKUP(DATE($K$1,$K$2,TGO$4),Table1[],(MATCH(Calendar!$A18,DB!$1:$1,0)),FALSE)),"")</f>
        <v/>
      </c>
      <c r="TGP18" s="28" t="str">
        <f>IFERROR(IF(TGY3="No",IF(VLOOKUP(DATE($K$1,$K$2,TGP$4),Table1[],(MATCH(Calendar!$A18,DB!$1:$1,0)),FALSE)&gt;=5,"Good","Bad"),VLOOKUP(DATE($K$1,$K$2,TGP$4),Table1[],(MATCH(Calendar!$A18,DB!$1:$1,0)),FALSE)),"")</f>
        <v/>
      </c>
      <c r="TGQ18" s="28" t="str">
        <f>IFERROR(IF(TGZ3="No",IF(VLOOKUP(DATE($K$1,$K$2,TGQ$4),Table1[],(MATCH(Calendar!$A18,DB!$1:$1,0)),FALSE)&gt;=5,"Good","Bad"),VLOOKUP(DATE($K$1,$K$2,TGQ$4),Table1[],(MATCH(Calendar!$A18,DB!$1:$1,0)),FALSE)),"")</f>
        <v/>
      </c>
      <c r="TGR18" s="28" t="str">
        <f>IFERROR(IF(THA3="No",IF(VLOOKUP(DATE($K$1,$K$2,TGR$4),Table1[],(MATCH(Calendar!$A18,DB!$1:$1,0)),FALSE)&gt;=5,"Good","Bad"),VLOOKUP(DATE($K$1,$K$2,TGR$4),Table1[],(MATCH(Calendar!$A18,DB!$1:$1,0)),FALSE)),"")</f>
        <v/>
      </c>
      <c r="TGS18" s="28" t="str">
        <f>IFERROR(IF(THB3="No",IF(VLOOKUP(DATE($K$1,$K$2,TGS$4),Table1[],(MATCH(Calendar!$A18,DB!$1:$1,0)),FALSE)&gt;=5,"Good","Bad"),VLOOKUP(DATE($K$1,$K$2,TGS$4),Table1[],(MATCH(Calendar!$A18,DB!$1:$1,0)),FALSE)),"")</f>
        <v/>
      </c>
      <c r="TGT18" s="28" t="str">
        <f>IFERROR(IF(THC3="No",IF(VLOOKUP(DATE($K$1,$K$2,TGT$4),Table1[],(MATCH(Calendar!$A18,DB!$1:$1,0)),FALSE)&gt;=5,"Good","Bad"),VLOOKUP(DATE($K$1,$K$2,TGT$4),Table1[],(MATCH(Calendar!$A18,DB!$1:$1,0)),FALSE)),"")</f>
        <v/>
      </c>
      <c r="TGU18" s="28" t="str">
        <f>IFERROR(IF(THD3="No",IF(VLOOKUP(DATE($K$1,$K$2,TGU$4),Table1[],(MATCH(Calendar!$A18,DB!$1:$1,0)),FALSE)&gt;=5,"Good","Bad"),VLOOKUP(DATE($K$1,$K$2,TGU$4),Table1[],(MATCH(Calendar!$A18,DB!$1:$1,0)),FALSE)),"")</f>
        <v/>
      </c>
      <c r="TGV18" s="28" t="str">
        <f>IFERROR(IF(THE3="No",IF(VLOOKUP(DATE($K$1,$K$2,TGV$4),Table1[],(MATCH(Calendar!$A18,DB!$1:$1,0)),FALSE)&gt;=5,"Good","Bad"),VLOOKUP(DATE($K$1,$K$2,TGV$4),Table1[],(MATCH(Calendar!$A18,DB!$1:$1,0)),FALSE)),"")</f>
        <v/>
      </c>
      <c r="TGW18" s="28" t="str">
        <f>IFERROR(IF(THF3="No",IF(VLOOKUP(DATE($K$1,$K$2,TGW$4),Table1[],(MATCH(Calendar!$A18,DB!$1:$1,0)),FALSE)&gt;=5,"Good","Bad"),VLOOKUP(DATE($K$1,$K$2,TGW$4),Table1[],(MATCH(Calendar!$A18,DB!$1:$1,0)),FALSE)),"")</f>
        <v/>
      </c>
      <c r="TGX18" s="28" t="str">
        <f>IFERROR(IF(THG3="No",IF(VLOOKUP(DATE($K$1,$K$2,TGX$4),Table1[],(MATCH(Calendar!$A18,DB!$1:$1,0)),FALSE)&gt;=5,"Good","Bad"),VLOOKUP(DATE($K$1,$K$2,TGX$4),Table1[],(MATCH(Calendar!$A18,DB!$1:$1,0)),FALSE)),"")</f>
        <v/>
      </c>
      <c r="TGY18" s="28" t="str">
        <f>IFERROR(IF(THH3="No",IF(VLOOKUP(DATE($K$1,$K$2,TGY$4),Table1[],(MATCH(Calendar!$A18,DB!$1:$1,0)),FALSE)&gt;=5,"Good","Bad"),VLOOKUP(DATE($K$1,$K$2,TGY$4),Table1[],(MATCH(Calendar!$A18,DB!$1:$1,0)),FALSE)),"")</f>
        <v/>
      </c>
      <c r="TGZ18" s="28" t="str">
        <f>IFERROR(IF(THI3="No",IF(VLOOKUP(DATE($K$1,$K$2,TGZ$4),Table1[],(MATCH(Calendar!$A18,DB!$1:$1,0)),FALSE)&gt;=5,"Good","Bad"),VLOOKUP(DATE($K$1,$K$2,TGZ$4),Table1[],(MATCH(Calendar!$A18,DB!$1:$1,0)),FALSE)),"")</f>
        <v/>
      </c>
      <c r="THA18" s="28" t="str">
        <f>IFERROR(IF(THJ3="No",IF(VLOOKUP(DATE($K$1,$K$2,THA$4),Table1[],(MATCH(Calendar!$A18,DB!$1:$1,0)),FALSE)&gt;=5,"Good","Bad"),VLOOKUP(DATE($K$1,$K$2,THA$4),Table1[],(MATCH(Calendar!$A18,DB!$1:$1,0)),FALSE)),"")</f>
        <v/>
      </c>
      <c r="THB18" s="28" t="str">
        <f>IFERROR(IF(THK3="No",IF(VLOOKUP(DATE($K$1,$K$2,THB$4),Table1[],(MATCH(Calendar!$A18,DB!$1:$1,0)),FALSE)&gt;=5,"Good","Bad"),VLOOKUP(DATE($K$1,$K$2,THB$4),Table1[],(MATCH(Calendar!$A18,DB!$1:$1,0)),FALSE)),"")</f>
        <v/>
      </c>
      <c r="THC18" s="28" t="str">
        <f>IFERROR(IF(THL3="No",IF(VLOOKUP(DATE($K$1,$K$2,THC$4),Table1[],(MATCH(Calendar!$A18,DB!$1:$1,0)),FALSE)&gt;=5,"Good","Bad"),VLOOKUP(DATE($K$1,$K$2,THC$4),Table1[],(MATCH(Calendar!$A18,DB!$1:$1,0)),FALSE)),"")</f>
        <v/>
      </c>
      <c r="THD18" s="28" t="str">
        <f>IFERROR(IF(THM3="No",IF(VLOOKUP(DATE($K$1,$K$2,THD$4),Table1[],(MATCH(Calendar!$A18,DB!$1:$1,0)),FALSE)&gt;=5,"Good","Bad"),VLOOKUP(DATE($K$1,$K$2,THD$4),Table1[],(MATCH(Calendar!$A18,DB!$1:$1,0)),FALSE)),"")</f>
        <v/>
      </c>
      <c r="THE18" s="28" t="str">
        <f>IFERROR(IF(THN3="No",IF(VLOOKUP(DATE($K$1,$K$2,THE$4),Table1[],(MATCH(Calendar!$A18,DB!$1:$1,0)),FALSE)&gt;=5,"Good","Bad"),VLOOKUP(DATE($K$1,$K$2,THE$4),Table1[],(MATCH(Calendar!$A18,DB!$1:$1,0)),FALSE)),"")</f>
        <v/>
      </c>
      <c r="THF18" s="28" t="str">
        <f>IFERROR(IF(THO3="No",IF(VLOOKUP(DATE($K$1,$K$2,THF$4),Table1[],(MATCH(Calendar!$A18,DB!$1:$1,0)),FALSE)&gt;=5,"Good","Bad"),VLOOKUP(DATE($K$1,$K$2,THF$4),Table1[],(MATCH(Calendar!$A18,DB!$1:$1,0)),FALSE)),"")</f>
        <v/>
      </c>
      <c r="THG18" s="28" t="str">
        <f>IFERROR(IF(THP3="No",IF(VLOOKUP(DATE($K$1,$K$2,THG$4),Table1[],(MATCH(Calendar!$A18,DB!$1:$1,0)),FALSE)&gt;=5,"Good","Bad"),VLOOKUP(DATE($K$1,$K$2,THG$4),Table1[],(MATCH(Calendar!$A18,DB!$1:$1,0)),FALSE)),"")</f>
        <v/>
      </c>
      <c r="THH18" s="28" t="str">
        <f>IFERROR(IF(THQ3="No",IF(VLOOKUP(DATE($K$1,$K$2,THH$4),Table1[],(MATCH(Calendar!$A18,DB!$1:$1,0)),FALSE)&gt;=5,"Good","Bad"),VLOOKUP(DATE($K$1,$K$2,THH$4),Table1[],(MATCH(Calendar!$A18,DB!$1:$1,0)),FALSE)),"")</f>
        <v/>
      </c>
      <c r="THI18" s="28" t="str">
        <f>IFERROR(IF(THR3="No",IF(VLOOKUP(DATE($K$1,$K$2,THI$4),Table1[],(MATCH(Calendar!$A18,DB!$1:$1,0)),FALSE)&gt;=5,"Good","Bad"),VLOOKUP(DATE($K$1,$K$2,THI$4),Table1[],(MATCH(Calendar!$A18,DB!$1:$1,0)),FALSE)),"")</f>
        <v/>
      </c>
      <c r="THJ18" s="28" t="str">
        <f>IFERROR(IF(THS3="No",IF(VLOOKUP(DATE($K$1,$K$2,THJ$4),Table1[],(MATCH(Calendar!$A18,DB!$1:$1,0)),FALSE)&gt;=5,"Good","Bad"),VLOOKUP(DATE($K$1,$K$2,THJ$4),Table1[],(MATCH(Calendar!$A18,DB!$1:$1,0)),FALSE)),"")</f>
        <v/>
      </c>
      <c r="THK18" s="28" t="str">
        <f>IFERROR(IF(THT3="No",IF(VLOOKUP(DATE($K$1,$K$2,THK$4),Table1[],(MATCH(Calendar!$A18,DB!$1:$1,0)),FALSE)&gt;=5,"Good","Bad"),VLOOKUP(DATE($K$1,$K$2,THK$4),Table1[],(MATCH(Calendar!$A18,DB!$1:$1,0)),FALSE)),"")</f>
        <v/>
      </c>
      <c r="THL18" s="28" t="str">
        <f>IFERROR(IF(THU3="No",IF(VLOOKUP(DATE($K$1,$K$2,THL$4),Table1[],(MATCH(Calendar!$A18,DB!$1:$1,0)),FALSE)&gt;=5,"Good","Bad"),VLOOKUP(DATE($K$1,$K$2,THL$4),Table1[],(MATCH(Calendar!$A18,DB!$1:$1,0)),FALSE)),"")</f>
        <v/>
      </c>
      <c r="THM18" s="28" t="str">
        <f>IFERROR(IF(THV3="No",IF(VLOOKUP(DATE($K$1,$K$2,THM$4),Table1[],(MATCH(Calendar!$A18,DB!$1:$1,0)),FALSE)&gt;=5,"Good","Bad"),VLOOKUP(DATE($K$1,$K$2,THM$4),Table1[],(MATCH(Calendar!$A18,DB!$1:$1,0)),FALSE)),"")</f>
        <v/>
      </c>
      <c r="THN18" s="28" t="str">
        <f>IFERROR(IF(THW3="No",IF(VLOOKUP(DATE($K$1,$K$2,THN$4),Table1[],(MATCH(Calendar!$A18,DB!$1:$1,0)),FALSE)&gt;=5,"Good","Bad"),VLOOKUP(DATE($K$1,$K$2,THN$4),Table1[],(MATCH(Calendar!$A18,DB!$1:$1,0)),FALSE)),"")</f>
        <v/>
      </c>
      <c r="THO18" s="28" t="str">
        <f>IFERROR(IF(THX3="No",IF(VLOOKUP(DATE($K$1,$K$2,THO$4),Table1[],(MATCH(Calendar!$A18,DB!$1:$1,0)),FALSE)&gt;=5,"Good","Bad"),VLOOKUP(DATE($K$1,$K$2,THO$4),Table1[],(MATCH(Calendar!$A18,DB!$1:$1,0)),FALSE)),"")</f>
        <v/>
      </c>
      <c r="THP18" s="28" t="str">
        <f>IFERROR(IF(THY3="No",IF(VLOOKUP(DATE($K$1,$K$2,THP$4),Table1[],(MATCH(Calendar!$A18,DB!$1:$1,0)),FALSE)&gt;=5,"Good","Bad"),VLOOKUP(DATE($K$1,$K$2,THP$4),Table1[],(MATCH(Calendar!$A18,DB!$1:$1,0)),FALSE)),"")</f>
        <v/>
      </c>
      <c r="THQ18" s="28" t="str">
        <f>IFERROR(IF(THZ3="No",IF(VLOOKUP(DATE($K$1,$K$2,THQ$4),Table1[],(MATCH(Calendar!$A18,DB!$1:$1,0)),FALSE)&gt;=5,"Good","Bad"),VLOOKUP(DATE($K$1,$K$2,THQ$4),Table1[],(MATCH(Calendar!$A18,DB!$1:$1,0)),FALSE)),"")</f>
        <v/>
      </c>
      <c r="THR18" s="28" t="str">
        <f>IFERROR(IF(TIA3="No",IF(VLOOKUP(DATE($K$1,$K$2,THR$4),Table1[],(MATCH(Calendar!$A18,DB!$1:$1,0)),FALSE)&gt;=5,"Good","Bad"),VLOOKUP(DATE($K$1,$K$2,THR$4),Table1[],(MATCH(Calendar!$A18,DB!$1:$1,0)),FALSE)),"")</f>
        <v/>
      </c>
      <c r="THS18" s="28" t="str">
        <f>IFERROR(IF(TIB3="No",IF(VLOOKUP(DATE($K$1,$K$2,THS$4),Table1[],(MATCH(Calendar!$A18,DB!$1:$1,0)),FALSE)&gt;=5,"Good","Bad"),VLOOKUP(DATE($K$1,$K$2,THS$4),Table1[],(MATCH(Calendar!$A18,DB!$1:$1,0)),FALSE)),"")</f>
        <v/>
      </c>
      <c r="THT18" s="28" t="str">
        <f>IFERROR(IF(TIC3="No",IF(VLOOKUP(DATE($K$1,$K$2,THT$4),Table1[],(MATCH(Calendar!$A18,DB!$1:$1,0)),FALSE)&gt;=5,"Good","Bad"),VLOOKUP(DATE($K$1,$K$2,THT$4),Table1[],(MATCH(Calendar!$A18,DB!$1:$1,0)),FALSE)),"")</f>
        <v/>
      </c>
      <c r="THU18" s="28" t="str">
        <f>IFERROR(IF(TID3="No",IF(VLOOKUP(DATE($K$1,$K$2,THU$4),Table1[],(MATCH(Calendar!$A18,DB!$1:$1,0)),FALSE)&gt;=5,"Good","Bad"),VLOOKUP(DATE($K$1,$K$2,THU$4),Table1[],(MATCH(Calendar!$A18,DB!$1:$1,0)),FALSE)),"")</f>
        <v/>
      </c>
      <c r="THV18" s="28" t="str">
        <f>IFERROR(IF(TIE3="No",IF(VLOOKUP(DATE($K$1,$K$2,THV$4),Table1[],(MATCH(Calendar!$A18,DB!$1:$1,0)),FALSE)&gt;=5,"Good","Bad"),VLOOKUP(DATE($K$1,$K$2,THV$4),Table1[],(MATCH(Calendar!$A18,DB!$1:$1,0)),FALSE)),"")</f>
        <v/>
      </c>
      <c r="THW18" s="28" t="str">
        <f>IFERROR(IF(TIF3="No",IF(VLOOKUP(DATE($K$1,$K$2,THW$4),Table1[],(MATCH(Calendar!$A18,DB!$1:$1,0)),FALSE)&gt;=5,"Good","Bad"),VLOOKUP(DATE($K$1,$K$2,THW$4),Table1[],(MATCH(Calendar!$A18,DB!$1:$1,0)),FALSE)),"")</f>
        <v/>
      </c>
      <c r="THX18" s="28" t="str">
        <f>IFERROR(IF(TIG3="No",IF(VLOOKUP(DATE($K$1,$K$2,THX$4),Table1[],(MATCH(Calendar!$A18,DB!$1:$1,0)),FALSE)&gt;=5,"Good","Bad"),VLOOKUP(DATE($K$1,$K$2,THX$4),Table1[],(MATCH(Calendar!$A18,DB!$1:$1,0)),FALSE)),"")</f>
        <v/>
      </c>
      <c r="THY18" s="28" t="str">
        <f>IFERROR(IF(TIH3="No",IF(VLOOKUP(DATE($K$1,$K$2,THY$4),Table1[],(MATCH(Calendar!$A18,DB!$1:$1,0)),FALSE)&gt;=5,"Good","Bad"),VLOOKUP(DATE($K$1,$K$2,THY$4),Table1[],(MATCH(Calendar!$A18,DB!$1:$1,0)),FALSE)),"")</f>
        <v/>
      </c>
      <c r="THZ18" s="28" t="str">
        <f>IFERROR(IF(TII3="No",IF(VLOOKUP(DATE($K$1,$K$2,THZ$4),Table1[],(MATCH(Calendar!$A18,DB!$1:$1,0)),FALSE)&gt;=5,"Good","Bad"),VLOOKUP(DATE($K$1,$K$2,THZ$4),Table1[],(MATCH(Calendar!$A18,DB!$1:$1,0)),FALSE)),"")</f>
        <v/>
      </c>
      <c r="TIA18" s="28" t="str">
        <f>IFERROR(IF(TIJ3="No",IF(VLOOKUP(DATE($K$1,$K$2,TIA$4),Table1[],(MATCH(Calendar!$A18,DB!$1:$1,0)),FALSE)&gt;=5,"Good","Bad"),VLOOKUP(DATE($K$1,$K$2,TIA$4),Table1[],(MATCH(Calendar!$A18,DB!$1:$1,0)),FALSE)),"")</f>
        <v/>
      </c>
      <c r="TIB18" s="28" t="str">
        <f>IFERROR(IF(TIK3="No",IF(VLOOKUP(DATE($K$1,$K$2,TIB$4),Table1[],(MATCH(Calendar!$A18,DB!$1:$1,0)),FALSE)&gt;=5,"Good","Bad"),VLOOKUP(DATE($K$1,$K$2,TIB$4),Table1[],(MATCH(Calendar!$A18,DB!$1:$1,0)),FALSE)),"")</f>
        <v/>
      </c>
      <c r="TIC18" s="28" t="str">
        <f>IFERROR(IF(TIL3="No",IF(VLOOKUP(DATE($K$1,$K$2,TIC$4),Table1[],(MATCH(Calendar!$A18,DB!$1:$1,0)),FALSE)&gt;=5,"Good","Bad"),VLOOKUP(DATE($K$1,$K$2,TIC$4),Table1[],(MATCH(Calendar!$A18,DB!$1:$1,0)),FALSE)),"")</f>
        <v/>
      </c>
      <c r="TID18" s="28" t="str">
        <f>IFERROR(IF(TIM3="No",IF(VLOOKUP(DATE($K$1,$K$2,TID$4),Table1[],(MATCH(Calendar!$A18,DB!$1:$1,0)),FALSE)&gt;=5,"Good","Bad"),VLOOKUP(DATE($K$1,$K$2,TID$4),Table1[],(MATCH(Calendar!$A18,DB!$1:$1,0)),FALSE)),"")</f>
        <v/>
      </c>
      <c r="TIE18" s="28" t="str">
        <f>IFERROR(IF(TIN3="No",IF(VLOOKUP(DATE($K$1,$K$2,TIE$4),Table1[],(MATCH(Calendar!$A18,DB!$1:$1,0)),FALSE)&gt;=5,"Good","Bad"),VLOOKUP(DATE($K$1,$K$2,TIE$4),Table1[],(MATCH(Calendar!$A18,DB!$1:$1,0)),FALSE)),"")</f>
        <v/>
      </c>
      <c r="TIF18" s="28" t="str">
        <f>IFERROR(IF(TIO3="No",IF(VLOOKUP(DATE($K$1,$K$2,TIF$4),Table1[],(MATCH(Calendar!$A18,DB!$1:$1,0)),FALSE)&gt;=5,"Good","Bad"),VLOOKUP(DATE($K$1,$K$2,TIF$4),Table1[],(MATCH(Calendar!$A18,DB!$1:$1,0)),FALSE)),"")</f>
        <v/>
      </c>
      <c r="TIG18" s="28" t="str">
        <f>IFERROR(IF(TIP3="No",IF(VLOOKUP(DATE($K$1,$K$2,TIG$4),Table1[],(MATCH(Calendar!$A18,DB!$1:$1,0)),FALSE)&gt;=5,"Good","Bad"),VLOOKUP(DATE($K$1,$K$2,TIG$4),Table1[],(MATCH(Calendar!$A18,DB!$1:$1,0)),FALSE)),"")</f>
        <v/>
      </c>
      <c r="TIH18" s="28" t="str">
        <f>IFERROR(IF(TIQ3="No",IF(VLOOKUP(DATE($K$1,$K$2,TIH$4),Table1[],(MATCH(Calendar!$A18,DB!$1:$1,0)),FALSE)&gt;=5,"Good","Bad"),VLOOKUP(DATE($K$1,$K$2,TIH$4),Table1[],(MATCH(Calendar!$A18,DB!$1:$1,0)),FALSE)),"")</f>
        <v/>
      </c>
      <c r="TII18" s="28" t="str">
        <f>IFERROR(IF(TIR3="No",IF(VLOOKUP(DATE($K$1,$K$2,TII$4),Table1[],(MATCH(Calendar!$A18,DB!$1:$1,0)),FALSE)&gt;=5,"Good","Bad"),VLOOKUP(DATE($K$1,$K$2,TII$4),Table1[],(MATCH(Calendar!$A18,DB!$1:$1,0)),FALSE)),"")</f>
        <v/>
      </c>
      <c r="TIJ18" s="28" t="str">
        <f>IFERROR(IF(TIS3="No",IF(VLOOKUP(DATE($K$1,$K$2,TIJ$4),Table1[],(MATCH(Calendar!$A18,DB!$1:$1,0)),FALSE)&gt;=5,"Good","Bad"),VLOOKUP(DATE($K$1,$K$2,TIJ$4),Table1[],(MATCH(Calendar!$A18,DB!$1:$1,0)),FALSE)),"")</f>
        <v/>
      </c>
      <c r="TIK18" s="28" t="str">
        <f>IFERROR(IF(TIT3="No",IF(VLOOKUP(DATE($K$1,$K$2,TIK$4),Table1[],(MATCH(Calendar!$A18,DB!$1:$1,0)),FALSE)&gt;=5,"Good","Bad"),VLOOKUP(DATE($K$1,$K$2,TIK$4),Table1[],(MATCH(Calendar!$A18,DB!$1:$1,0)),FALSE)),"")</f>
        <v/>
      </c>
      <c r="TIL18" s="28" t="str">
        <f>IFERROR(IF(TIU3="No",IF(VLOOKUP(DATE($K$1,$K$2,TIL$4),Table1[],(MATCH(Calendar!$A18,DB!$1:$1,0)),FALSE)&gt;=5,"Good","Bad"),VLOOKUP(DATE($K$1,$K$2,TIL$4),Table1[],(MATCH(Calendar!$A18,DB!$1:$1,0)),FALSE)),"")</f>
        <v/>
      </c>
      <c r="TIM18" s="28" t="str">
        <f>IFERROR(IF(TIV3="No",IF(VLOOKUP(DATE($K$1,$K$2,TIM$4),Table1[],(MATCH(Calendar!$A18,DB!$1:$1,0)),FALSE)&gt;=5,"Good","Bad"),VLOOKUP(DATE($K$1,$K$2,TIM$4),Table1[],(MATCH(Calendar!$A18,DB!$1:$1,0)),FALSE)),"")</f>
        <v/>
      </c>
      <c r="TIN18" s="28" t="str">
        <f>IFERROR(IF(TIW3="No",IF(VLOOKUP(DATE($K$1,$K$2,TIN$4),Table1[],(MATCH(Calendar!$A18,DB!$1:$1,0)),FALSE)&gt;=5,"Good","Bad"),VLOOKUP(DATE($K$1,$K$2,TIN$4),Table1[],(MATCH(Calendar!$A18,DB!$1:$1,0)),FALSE)),"")</f>
        <v/>
      </c>
      <c r="TIO18" s="28" t="str">
        <f>IFERROR(IF(TIX3="No",IF(VLOOKUP(DATE($K$1,$K$2,TIO$4),Table1[],(MATCH(Calendar!$A18,DB!$1:$1,0)),FALSE)&gt;=5,"Good","Bad"),VLOOKUP(DATE($K$1,$K$2,TIO$4),Table1[],(MATCH(Calendar!$A18,DB!$1:$1,0)),FALSE)),"")</f>
        <v/>
      </c>
      <c r="TIP18" s="28" t="str">
        <f>IFERROR(IF(TIY3="No",IF(VLOOKUP(DATE($K$1,$K$2,TIP$4),Table1[],(MATCH(Calendar!$A18,DB!$1:$1,0)),FALSE)&gt;=5,"Good","Bad"),VLOOKUP(DATE($K$1,$K$2,TIP$4),Table1[],(MATCH(Calendar!$A18,DB!$1:$1,0)),FALSE)),"")</f>
        <v/>
      </c>
      <c r="TIQ18" s="28" t="str">
        <f>IFERROR(IF(TIZ3="No",IF(VLOOKUP(DATE($K$1,$K$2,TIQ$4),Table1[],(MATCH(Calendar!$A18,DB!$1:$1,0)),FALSE)&gt;=5,"Good","Bad"),VLOOKUP(DATE($K$1,$K$2,TIQ$4),Table1[],(MATCH(Calendar!$A18,DB!$1:$1,0)),FALSE)),"")</f>
        <v/>
      </c>
      <c r="TIR18" s="28" t="str">
        <f>IFERROR(IF(TJA3="No",IF(VLOOKUP(DATE($K$1,$K$2,TIR$4),Table1[],(MATCH(Calendar!$A18,DB!$1:$1,0)),FALSE)&gt;=5,"Good","Bad"),VLOOKUP(DATE($K$1,$K$2,TIR$4),Table1[],(MATCH(Calendar!$A18,DB!$1:$1,0)),FALSE)),"")</f>
        <v/>
      </c>
      <c r="TIS18" s="28" t="str">
        <f>IFERROR(IF(TJB3="No",IF(VLOOKUP(DATE($K$1,$K$2,TIS$4),Table1[],(MATCH(Calendar!$A18,DB!$1:$1,0)),FALSE)&gt;=5,"Good","Bad"),VLOOKUP(DATE($K$1,$K$2,TIS$4),Table1[],(MATCH(Calendar!$A18,DB!$1:$1,0)),FALSE)),"")</f>
        <v/>
      </c>
      <c r="TIT18" s="28" t="str">
        <f>IFERROR(IF(TJC3="No",IF(VLOOKUP(DATE($K$1,$K$2,TIT$4),Table1[],(MATCH(Calendar!$A18,DB!$1:$1,0)),FALSE)&gt;=5,"Good","Bad"),VLOOKUP(DATE($K$1,$K$2,TIT$4),Table1[],(MATCH(Calendar!$A18,DB!$1:$1,0)),FALSE)),"")</f>
        <v/>
      </c>
      <c r="TIU18" s="28" t="str">
        <f>IFERROR(IF(TJD3="No",IF(VLOOKUP(DATE($K$1,$K$2,TIU$4),Table1[],(MATCH(Calendar!$A18,DB!$1:$1,0)),FALSE)&gt;=5,"Good","Bad"),VLOOKUP(DATE($K$1,$K$2,TIU$4),Table1[],(MATCH(Calendar!$A18,DB!$1:$1,0)),FALSE)),"")</f>
        <v/>
      </c>
      <c r="TIV18" s="28" t="str">
        <f>IFERROR(IF(TJE3="No",IF(VLOOKUP(DATE($K$1,$K$2,TIV$4),Table1[],(MATCH(Calendar!$A18,DB!$1:$1,0)),FALSE)&gt;=5,"Good","Bad"),VLOOKUP(DATE($K$1,$K$2,TIV$4),Table1[],(MATCH(Calendar!$A18,DB!$1:$1,0)),FALSE)),"")</f>
        <v/>
      </c>
      <c r="TIW18" s="28" t="str">
        <f>IFERROR(IF(TJF3="No",IF(VLOOKUP(DATE($K$1,$K$2,TIW$4),Table1[],(MATCH(Calendar!$A18,DB!$1:$1,0)),FALSE)&gt;=5,"Good","Bad"),VLOOKUP(DATE($K$1,$K$2,TIW$4),Table1[],(MATCH(Calendar!$A18,DB!$1:$1,0)),FALSE)),"")</f>
        <v/>
      </c>
      <c r="TIX18" s="28" t="str">
        <f>IFERROR(IF(TJG3="No",IF(VLOOKUP(DATE($K$1,$K$2,TIX$4),Table1[],(MATCH(Calendar!$A18,DB!$1:$1,0)),FALSE)&gt;=5,"Good","Bad"),VLOOKUP(DATE($K$1,$K$2,TIX$4),Table1[],(MATCH(Calendar!$A18,DB!$1:$1,0)),FALSE)),"")</f>
        <v/>
      </c>
      <c r="TIY18" s="28" t="str">
        <f>IFERROR(IF(TJH3="No",IF(VLOOKUP(DATE($K$1,$K$2,TIY$4),Table1[],(MATCH(Calendar!$A18,DB!$1:$1,0)),FALSE)&gt;=5,"Good","Bad"),VLOOKUP(DATE($K$1,$K$2,TIY$4),Table1[],(MATCH(Calendar!$A18,DB!$1:$1,0)),FALSE)),"")</f>
        <v/>
      </c>
      <c r="TIZ18" s="28" t="str">
        <f>IFERROR(IF(TJI3="No",IF(VLOOKUP(DATE($K$1,$K$2,TIZ$4),Table1[],(MATCH(Calendar!$A18,DB!$1:$1,0)),FALSE)&gt;=5,"Good","Bad"),VLOOKUP(DATE($K$1,$K$2,TIZ$4),Table1[],(MATCH(Calendar!$A18,DB!$1:$1,0)),FALSE)),"")</f>
        <v/>
      </c>
      <c r="TJA18" s="28" t="str">
        <f>IFERROR(IF(TJJ3="No",IF(VLOOKUP(DATE($K$1,$K$2,TJA$4),Table1[],(MATCH(Calendar!$A18,DB!$1:$1,0)),FALSE)&gt;=5,"Good","Bad"),VLOOKUP(DATE($K$1,$K$2,TJA$4),Table1[],(MATCH(Calendar!$A18,DB!$1:$1,0)),FALSE)),"")</f>
        <v/>
      </c>
      <c r="TJB18" s="28" t="str">
        <f>IFERROR(IF(TJK3="No",IF(VLOOKUP(DATE($K$1,$K$2,TJB$4),Table1[],(MATCH(Calendar!$A18,DB!$1:$1,0)),FALSE)&gt;=5,"Good","Bad"),VLOOKUP(DATE($K$1,$K$2,TJB$4),Table1[],(MATCH(Calendar!$A18,DB!$1:$1,0)),FALSE)),"")</f>
        <v/>
      </c>
      <c r="TJC18" s="28" t="str">
        <f>IFERROR(IF(TJL3="No",IF(VLOOKUP(DATE($K$1,$K$2,TJC$4),Table1[],(MATCH(Calendar!$A18,DB!$1:$1,0)),FALSE)&gt;=5,"Good","Bad"),VLOOKUP(DATE($K$1,$K$2,TJC$4),Table1[],(MATCH(Calendar!$A18,DB!$1:$1,0)),FALSE)),"")</f>
        <v/>
      </c>
      <c r="TJD18" s="28" t="str">
        <f>IFERROR(IF(TJM3="No",IF(VLOOKUP(DATE($K$1,$K$2,TJD$4),Table1[],(MATCH(Calendar!$A18,DB!$1:$1,0)),FALSE)&gt;=5,"Good","Bad"),VLOOKUP(DATE($K$1,$K$2,TJD$4),Table1[],(MATCH(Calendar!$A18,DB!$1:$1,0)),FALSE)),"")</f>
        <v/>
      </c>
      <c r="TJE18" s="28" t="str">
        <f>IFERROR(IF(TJN3="No",IF(VLOOKUP(DATE($K$1,$K$2,TJE$4),Table1[],(MATCH(Calendar!$A18,DB!$1:$1,0)),FALSE)&gt;=5,"Good","Bad"),VLOOKUP(DATE($K$1,$K$2,TJE$4),Table1[],(MATCH(Calendar!$A18,DB!$1:$1,0)),FALSE)),"")</f>
        <v/>
      </c>
      <c r="TJF18" s="28" t="str">
        <f>IFERROR(IF(TJO3="No",IF(VLOOKUP(DATE($K$1,$K$2,TJF$4),Table1[],(MATCH(Calendar!$A18,DB!$1:$1,0)),FALSE)&gt;=5,"Good","Bad"),VLOOKUP(DATE($K$1,$K$2,TJF$4),Table1[],(MATCH(Calendar!$A18,DB!$1:$1,0)),FALSE)),"")</f>
        <v/>
      </c>
      <c r="TJG18" s="28" t="str">
        <f>IFERROR(IF(TJP3="No",IF(VLOOKUP(DATE($K$1,$K$2,TJG$4),Table1[],(MATCH(Calendar!$A18,DB!$1:$1,0)),FALSE)&gt;=5,"Good","Bad"),VLOOKUP(DATE($K$1,$K$2,TJG$4),Table1[],(MATCH(Calendar!$A18,DB!$1:$1,0)),FALSE)),"")</f>
        <v/>
      </c>
      <c r="TJH18" s="28" t="str">
        <f>IFERROR(IF(TJQ3="No",IF(VLOOKUP(DATE($K$1,$K$2,TJH$4),Table1[],(MATCH(Calendar!$A18,DB!$1:$1,0)),FALSE)&gt;=5,"Good","Bad"),VLOOKUP(DATE($K$1,$K$2,TJH$4),Table1[],(MATCH(Calendar!$A18,DB!$1:$1,0)),FALSE)),"")</f>
        <v/>
      </c>
      <c r="TJI18" s="28" t="str">
        <f>IFERROR(IF(TJR3="No",IF(VLOOKUP(DATE($K$1,$K$2,TJI$4),Table1[],(MATCH(Calendar!$A18,DB!$1:$1,0)),FALSE)&gt;=5,"Good","Bad"),VLOOKUP(DATE($K$1,$K$2,TJI$4),Table1[],(MATCH(Calendar!$A18,DB!$1:$1,0)),FALSE)),"")</f>
        <v/>
      </c>
      <c r="TJJ18" s="28" t="str">
        <f>IFERROR(IF(TJS3="No",IF(VLOOKUP(DATE($K$1,$K$2,TJJ$4),Table1[],(MATCH(Calendar!$A18,DB!$1:$1,0)),FALSE)&gt;=5,"Good","Bad"),VLOOKUP(DATE($K$1,$K$2,TJJ$4),Table1[],(MATCH(Calendar!$A18,DB!$1:$1,0)),FALSE)),"")</f>
        <v/>
      </c>
      <c r="TJK18" s="28" t="str">
        <f>IFERROR(IF(TJT3="No",IF(VLOOKUP(DATE($K$1,$K$2,TJK$4),Table1[],(MATCH(Calendar!$A18,DB!$1:$1,0)),FALSE)&gt;=5,"Good","Bad"),VLOOKUP(DATE($K$1,$K$2,TJK$4),Table1[],(MATCH(Calendar!$A18,DB!$1:$1,0)),FALSE)),"")</f>
        <v/>
      </c>
      <c r="TJL18" s="28" t="str">
        <f>IFERROR(IF(TJU3="No",IF(VLOOKUP(DATE($K$1,$K$2,TJL$4),Table1[],(MATCH(Calendar!$A18,DB!$1:$1,0)),FALSE)&gt;=5,"Good","Bad"),VLOOKUP(DATE($K$1,$K$2,TJL$4),Table1[],(MATCH(Calendar!$A18,DB!$1:$1,0)),FALSE)),"")</f>
        <v/>
      </c>
      <c r="TJM18" s="28" t="str">
        <f>IFERROR(IF(TJV3="No",IF(VLOOKUP(DATE($K$1,$K$2,TJM$4),Table1[],(MATCH(Calendar!$A18,DB!$1:$1,0)),FALSE)&gt;=5,"Good","Bad"),VLOOKUP(DATE($K$1,$K$2,TJM$4),Table1[],(MATCH(Calendar!$A18,DB!$1:$1,0)),FALSE)),"")</f>
        <v/>
      </c>
      <c r="TJN18" s="28" t="str">
        <f>IFERROR(IF(TJW3="No",IF(VLOOKUP(DATE($K$1,$K$2,TJN$4),Table1[],(MATCH(Calendar!$A18,DB!$1:$1,0)),FALSE)&gt;=5,"Good","Bad"),VLOOKUP(DATE($K$1,$K$2,TJN$4),Table1[],(MATCH(Calendar!$A18,DB!$1:$1,0)),FALSE)),"")</f>
        <v/>
      </c>
      <c r="TJO18" s="28" t="str">
        <f>IFERROR(IF(TJX3="No",IF(VLOOKUP(DATE($K$1,$K$2,TJO$4),Table1[],(MATCH(Calendar!$A18,DB!$1:$1,0)),FALSE)&gt;=5,"Good","Bad"),VLOOKUP(DATE($K$1,$K$2,TJO$4),Table1[],(MATCH(Calendar!$A18,DB!$1:$1,0)),FALSE)),"")</f>
        <v/>
      </c>
      <c r="TJP18" s="28" t="str">
        <f>IFERROR(IF(TJY3="No",IF(VLOOKUP(DATE($K$1,$K$2,TJP$4),Table1[],(MATCH(Calendar!$A18,DB!$1:$1,0)),FALSE)&gt;=5,"Good","Bad"),VLOOKUP(DATE($K$1,$K$2,TJP$4),Table1[],(MATCH(Calendar!$A18,DB!$1:$1,0)),FALSE)),"")</f>
        <v/>
      </c>
      <c r="TJQ18" s="28" t="str">
        <f>IFERROR(IF(TJZ3="No",IF(VLOOKUP(DATE($K$1,$K$2,TJQ$4),Table1[],(MATCH(Calendar!$A18,DB!$1:$1,0)),FALSE)&gt;=5,"Good","Bad"),VLOOKUP(DATE($K$1,$K$2,TJQ$4),Table1[],(MATCH(Calendar!$A18,DB!$1:$1,0)),FALSE)),"")</f>
        <v/>
      </c>
      <c r="TJR18" s="28" t="str">
        <f>IFERROR(IF(TKA3="No",IF(VLOOKUP(DATE($K$1,$K$2,TJR$4),Table1[],(MATCH(Calendar!$A18,DB!$1:$1,0)),FALSE)&gt;=5,"Good","Bad"),VLOOKUP(DATE($K$1,$K$2,TJR$4),Table1[],(MATCH(Calendar!$A18,DB!$1:$1,0)),FALSE)),"")</f>
        <v/>
      </c>
      <c r="TJS18" s="28" t="str">
        <f>IFERROR(IF(TKB3="No",IF(VLOOKUP(DATE($K$1,$K$2,TJS$4),Table1[],(MATCH(Calendar!$A18,DB!$1:$1,0)),FALSE)&gt;=5,"Good","Bad"),VLOOKUP(DATE($K$1,$K$2,TJS$4),Table1[],(MATCH(Calendar!$A18,DB!$1:$1,0)),FALSE)),"")</f>
        <v/>
      </c>
      <c r="TJT18" s="28" t="str">
        <f>IFERROR(IF(TKC3="No",IF(VLOOKUP(DATE($K$1,$K$2,TJT$4),Table1[],(MATCH(Calendar!$A18,DB!$1:$1,0)),FALSE)&gt;=5,"Good","Bad"),VLOOKUP(DATE($K$1,$K$2,TJT$4),Table1[],(MATCH(Calendar!$A18,DB!$1:$1,0)),FALSE)),"")</f>
        <v/>
      </c>
      <c r="TJU18" s="28" t="str">
        <f>IFERROR(IF(TKD3="No",IF(VLOOKUP(DATE($K$1,$K$2,TJU$4),Table1[],(MATCH(Calendar!$A18,DB!$1:$1,0)),FALSE)&gt;=5,"Good","Bad"),VLOOKUP(DATE($K$1,$K$2,TJU$4),Table1[],(MATCH(Calendar!$A18,DB!$1:$1,0)),FALSE)),"")</f>
        <v/>
      </c>
      <c r="TJV18" s="28" t="str">
        <f>IFERROR(IF(TKE3="No",IF(VLOOKUP(DATE($K$1,$K$2,TJV$4),Table1[],(MATCH(Calendar!$A18,DB!$1:$1,0)),FALSE)&gt;=5,"Good","Bad"),VLOOKUP(DATE($K$1,$K$2,TJV$4),Table1[],(MATCH(Calendar!$A18,DB!$1:$1,0)),FALSE)),"")</f>
        <v/>
      </c>
      <c r="TJW18" s="28" t="str">
        <f>IFERROR(IF(TKF3="No",IF(VLOOKUP(DATE($K$1,$K$2,TJW$4),Table1[],(MATCH(Calendar!$A18,DB!$1:$1,0)),FALSE)&gt;=5,"Good","Bad"),VLOOKUP(DATE($K$1,$K$2,TJW$4),Table1[],(MATCH(Calendar!$A18,DB!$1:$1,0)),FALSE)),"")</f>
        <v/>
      </c>
      <c r="TJX18" s="28" t="str">
        <f>IFERROR(IF(TKG3="No",IF(VLOOKUP(DATE($K$1,$K$2,TJX$4),Table1[],(MATCH(Calendar!$A18,DB!$1:$1,0)),FALSE)&gt;=5,"Good","Bad"),VLOOKUP(DATE($K$1,$K$2,TJX$4),Table1[],(MATCH(Calendar!$A18,DB!$1:$1,0)),FALSE)),"")</f>
        <v/>
      </c>
      <c r="TJY18" s="28" t="str">
        <f>IFERROR(IF(TKH3="No",IF(VLOOKUP(DATE($K$1,$K$2,TJY$4),Table1[],(MATCH(Calendar!$A18,DB!$1:$1,0)),FALSE)&gt;=5,"Good","Bad"),VLOOKUP(DATE($K$1,$K$2,TJY$4),Table1[],(MATCH(Calendar!$A18,DB!$1:$1,0)),FALSE)),"")</f>
        <v/>
      </c>
      <c r="TJZ18" s="28" t="str">
        <f>IFERROR(IF(TKI3="No",IF(VLOOKUP(DATE($K$1,$K$2,TJZ$4),Table1[],(MATCH(Calendar!$A18,DB!$1:$1,0)),FALSE)&gt;=5,"Good","Bad"),VLOOKUP(DATE($K$1,$K$2,TJZ$4),Table1[],(MATCH(Calendar!$A18,DB!$1:$1,0)),FALSE)),"")</f>
        <v/>
      </c>
      <c r="TKA18" s="28" t="str">
        <f>IFERROR(IF(TKJ3="No",IF(VLOOKUP(DATE($K$1,$K$2,TKA$4),Table1[],(MATCH(Calendar!$A18,DB!$1:$1,0)),FALSE)&gt;=5,"Good","Bad"),VLOOKUP(DATE($K$1,$K$2,TKA$4),Table1[],(MATCH(Calendar!$A18,DB!$1:$1,0)),FALSE)),"")</f>
        <v/>
      </c>
      <c r="TKB18" s="28" t="str">
        <f>IFERROR(IF(TKK3="No",IF(VLOOKUP(DATE($K$1,$K$2,TKB$4),Table1[],(MATCH(Calendar!$A18,DB!$1:$1,0)),FALSE)&gt;=5,"Good","Bad"),VLOOKUP(DATE($K$1,$K$2,TKB$4),Table1[],(MATCH(Calendar!$A18,DB!$1:$1,0)),FALSE)),"")</f>
        <v/>
      </c>
      <c r="TKC18" s="28" t="str">
        <f>IFERROR(IF(TKL3="No",IF(VLOOKUP(DATE($K$1,$K$2,TKC$4),Table1[],(MATCH(Calendar!$A18,DB!$1:$1,0)),FALSE)&gt;=5,"Good","Bad"),VLOOKUP(DATE($K$1,$K$2,TKC$4),Table1[],(MATCH(Calendar!$A18,DB!$1:$1,0)),FALSE)),"")</f>
        <v/>
      </c>
      <c r="TKD18" s="28" t="str">
        <f>IFERROR(IF(TKM3="No",IF(VLOOKUP(DATE($K$1,$K$2,TKD$4),Table1[],(MATCH(Calendar!$A18,DB!$1:$1,0)),FALSE)&gt;=5,"Good","Bad"),VLOOKUP(DATE($K$1,$K$2,TKD$4),Table1[],(MATCH(Calendar!$A18,DB!$1:$1,0)),FALSE)),"")</f>
        <v/>
      </c>
      <c r="TKE18" s="28" t="str">
        <f>IFERROR(IF(TKN3="No",IF(VLOOKUP(DATE($K$1,$K$2,TKE$4),Table1[],(MATCH(Calendar!$A18,DB!$1:$1,0)),FALSE)&gt;=5,"Good","Bad"),VLOOKUP(DATE($K$1,$K$2,TKE$4),Table1[],(MATCH(Calendar!$A18,DB!$1:$1,0)),FALSE)),"")</f>
        <v/>
      </c>
      <c r="TKF18" s="28" t="str">
        <f>IFERROR(IF(TKO3="No",IF(VLOOKUP(DATE($K$1,$K$2,TKF$4),Table1[],(MATCH(Calendar!$A18,DB!$1:$1,0)),FALSE)&gt;=5,"Good","Bad"),VLOOKUP(DATE($K$1,$K$2,TKF$4),Table1[],(MATCH(Calendar!$A18,DB!$1:$1,0)),FALSE)),"")</f>
        <v/>
      </c>
      <c r="TKG18" s="28" t="str">
        <f>IFERROR(IF(TKP3="No",IF(VLOOKUP(DATE($K$1,$K$2,TKG$4),Table1[],(MATCH(Calendar!$A18,DB!$1:$1,0)),FALSE)&gt;=5,"Good","Bad"),VLOOKUP(DATE($K$1,$K$2,TKG$4),Table1[],(MATCH(Calendar!$A18,DB!$1:$1,0)),FALSE)),"")</f>
        <v/>
      </c>
      <c r="TKH18" s="28" t="str">
        <f>IFERROR(IF(TKQ3="No",IF(VLOOKUP(DATE($K$1,$K$2,TKH$4),Table1[],(MATCH(Calendar!$A18,DB!$1:$1,0)),FALSE)&gt;=5,"Good","Bad"),VLOOKUP(DATE($K$1,$K$2,TKH$4),Table1[],(MATCH(Calendar!$A18,DB!$1:$1,0)),FALSE)),"")</f>
        <v/>
      </c>
      <c r="TKI18" s="28" t="str">
        <f>IFERROR(IF(TKR3="No",IF(VLOOKUP(DATE($K$1,$K$2,TKI$4),Table1[],(MATCH(Calendar!$A18,DB!$1:$1,0)),FALSE)&gt;=5,"Good","Bad"),VLOOKUP(DATE($K$1,$K$2,TKI$4),Table1[],(MATCH(Calendar!$A18,DB!$1:$1,0)),FALSE)),"")</f>
        <v/>
      </c>
      <c r="TKJ18" s="28" t="str">
        <f>IFERROR(IF(TKS3="No",IF(VLOOKUP(DATE($K$1,$K$2,TKJ$4),Table1[],(MATCH(Calendar!$A18,DB!$1:$1,0)),FALSE)&gt;=5,"Good","Bad"),VLOOKUP(DATE($K$1,$K$2,TKJ$4),Table1[],(MATCH(Calendar!$A18,DB!$1:$1,0)),FALSE)),"")</f>
        <v/>
      </c>
      <c r="TKK18" s="28" t="str">
        <f>IFERROR(IF(TKT3="No",IF(VLOOKUP(DATE($K$1,$K$2,TKK$4),Table1[],(MATCH(Calendar!$A18,DB!$1:$1,0)),FALSE)&gt;=5,"Good","Bad"),VLOOKUP(DATE($K$1,$K$2,TKK$4),Table1[],(MATCH(Calendar!$A18,DB!$1:$1,0)),FALSE)),"")</f>
        <v/>
      </c>
      <c r="TKL18" s="28" t="str">
        <f>IFERROR(IF(TKU3="No",IF(VLOOKUP(DATE($K$1,$K$2,TKL$4),Table1[],(MATCH(Calendar!$A18,DB!$1:$1,0)),FALSE)&gt;=5,"Good","Bad"),VLOOKUP(DATE($K$1,$K$2,TKL$4),Table1[],(MATCH(Calendar!$A18,DB!$1:$1,0)),FALSE)),"")</f>
        <v/>
      </c>
      <c r="TKM18" s="28" t="str">
        <f>IFERROR(IF(TKV3="No",IF(VLOOKUP(DATE($K$1,$K$2,TKM$4),Table1[],(MATCH(Calendar!$A18,DB!$1:$1,0)),FALSE)&gt;=5,"Good","Bad"),VLOOKUP(DATE($K$1,$K$2,TKM$4),Table1[],(MATCH(Calendar!$A18,DB!$1:$1,0)),FALSE)),"")</f>
        <v/>
      </c>
      <c r="TKN18" s="28" t="str">
        <f>IFERROR(IF(TKW3="No",IF(VLOOKUP(DATE($K$1,$K$2,TKN$4),Table1[],(MATCH(Calendar!$A18,DB!$1:$1,0)),FALSE)&gt;=5,"Good","Bad"),VLOOKUP(DATE($K$1,$K$2,TKN$4),Table1[],(MATCH(Calendar!$A18,DB!$1:$1,0)),FALSE)),"")</f>
        <v/>
      </c>
      <c r="TKO18" s="28" t="str">
        <f>IFERROR(IF(TKX3="No",IF(VLOOKUP(DATE($K$1,$K$2,TKO$4),Table1[],(MATCH(Calendar!$A18,DB!$1:$1,0)),FALSE)&gt;=5,"Good","Bad"),VLOOKUP(DATE($K$1,$K$2,TKO$4),Table1[],(MATCH(Calendar!$A18,DB!$1:$1,0)),FALSE)),"")</f>
        <v/>
      </c>
      <c r="TKP18" s="28" t="str">
        <f>IFERROR(IF(TKY3="No",IF(VLOOKUP(DATE($K$1,$K$2,TKP$4),Table1[],(MATCH(Calendar!$A18,DB!$1:$1,0)),FALSE)&gt;=5,"Good","Bad"),VLOOKUP(DATE($K$1,$K$2,TKP$4),Table1[],(MATCH(Calendar!$A18,DB!$1:$1,0)),FALSE)),"")</f>
        <v/>
      </c>
      <c r="TKQ18" s="28" t="str">
        <f>IFERROR(IF(TKZ3="No",IF(VLOOKUP(DATE($K$1,$K$2,TKQ$4),Table1[],(MATCH(Calendar!$A18,DB!$1:$1,0)),FALSE)&gt;=5,"Good","Bad"),VLOOKUP(DATE($K$1,$K$2,TKQ$4),Table1[],(MATCH(Calendar!$A18,DB!$1:$1,0)),FALSE)),"")</f>
        <v/>
      </c>
      <c r="TKR18" s="28" t="str">
        <f>IFERROR(IF(TLA3="No",IF(VLOOKUP(DATE($K$1,$K$2,TKR$4),Table1[],(MATCH(Calendar!$A18,DB!$1:$1,0)),FALSE)&gt;=5,"Good","Bad"),VLOOKUP(DATE($K$1,$K$2,TKR$4),Table1[],(MATCH(Calendar!$A18,DB!$1:$1,0)),FALSE)),"")</f>
        <v/>
      </c>
      <c r="TKS18" s="28" t="str">
        <f>IFERROR(IF(TLB3="No",IF(VLOOKUP(DATE($K$1,$K$2,TKS$4),Table1[],(MATCH(Calendar!$A18,DB!$1:$1,0)),FALSE)&gt;=5,"Good","Bad"),VLOOKUP(DATE($K$1,$K$2,TKS$4),Table1[],(MATCH(Calendar!$A18,DB!$1:$1,0)),FALSE)),"")</f>
        <v/>
      </c>
      <c r="TKT18" s="28" t="str">
        <f>IFERROR(IF(TLC3="No",IF(VLOOKUP(DATE($K$1,$K$2,TKT$4),Table1[],(MATCH(Calendar!$A18,DB!$1:$1,0)),FALSE)&gt;=5,"Good","Bad"),VLOOKUP(DATE($K$1,$K$2,TKT$4),Table1[],(MATCH(Calendar!$A18,DB!$1:$1,0)),FALSE)),"")</f>
        <v/>
      </c>
      <c r="TKU18" s="28" t="str">
        <f>IFERROR(IF(TLD3="No",IF(VLOOKUP(DATE($K$1,$K$2,TKU$4),Table1[],(MATCH(Calendar!$A18,DB!$1:$1,0)),FALSE)&gt;=5,"Good","Bad"),VLOOKUP(DATE($K$1,$K$2,TKU$4),Table1[],(MATCH(Calendar!$A18,DB!$1:$1,0)),FALSE)),"")</f>
        <v/>
      </c>
      <c r="TKV18" s="28" t="str">
        <f>IFERROR(IF(TLE3="No",IF(VLOOKUP(DATE($K$1,$K$2,TKV$4),Table1[],(MATCH(Calendar!$A18,DB!$1:$1,0)),FALSE)&gt;=5,"Good","Bad"),VLOOKUP(DATE($K$1,$K$2,TKV$4),Table1[],(MATCH(Calendar!$A18,DB!$1:$1,0)),FALSE)),"")</f>
        <v/>
      </c>
      <c r="TKW18" s="28" t="str">
        <f>IFERROR(IF(TLF3="No",IF(VLOOKUP(DATE($K$1,$K$2,TKW$4),Table1[],(MATCH(Calendar!$A18,DB!$1:$1,0)),FALSE)&gt;=5,"Good","Bad"),VLOOKUP(DATE($K$1,$K$2,TKW$4),Table1[],(MATCH(Calendar!$A18,DB!$1:$1,0)),FALSE)),"")</f>
        <v/>
      </c>
      <c r="TKX18" s="28" t="str">
        <f>IFERROR(IF(TLG3="No",IF(VLOOKUP(DATE($K$1,$K$2,TKX$4),Table1[],(MATCH(Calendar!$A18,DB!$1:$1,0)),FALSE)&gt;=5,"Good","Bad"),VLOOKUP(DATE($K$1,$K$2,TKX$4),Table1[],(MATCH(Calendar!$A18,DB!$1:$1,0)),FALSE)),"")</f>
        <v/>
      </c>
      <c r="TKY18" s="28" t="str">
        <f>IFERROR(IF(TLH3="No",IF(VLOOKUP(DATE($K$1,$K$2,TKY$4),Table1[],(MATCH(Calendar!$A18,DB!$1:$1,0)),FALSE)&gt;=5,"Good","Bad"),VLOOKUP(DATE($K$1,$K$2,TKY$4),Table1[],(MATCH(Calendar!$A18,DB!$1:$1,0)),FALSE)),"")</f>
        <v/>
      </c>
      <c r="TKZ18" s="28" t="str">
        <f>IFERROR(IF(TLI3="No",IF(VLOOKUP(DATE($K$1,$K$2,TKZ$4),Table1[],(MATCH(Calendar!$A18,DB!$1:$1,0)),FALSE)&gt;=5,"Good","Bad"),VLOOKUP(DATE($K$1,$K$2,TKZ$4),Table1[],(MATCH(Calendar!$A18,DB!$1:$1,0)),FALSE)),"")</f>
        <v/>
      </c>
      <c r="TLA18" s="28" t="str">
        <f>IFERROR(IF(TLJ3="No",IF(VLOOKUP(DATE($K$1,$K$2,TLA$4),Table1[],(MATCH(Calendar!$A18,DB!$1:$1,0)),FALSE)&gt;=5,"Good","Bad"),VLOOKUP(DATE($K$1,$K$2,TLA$4),Table1[],(MATCH(Calendar!$A18,DB!$1:$1,0)),FALSE)),"")</f>
        <v/>
      </c>
      <c r="TLB18" s="28" t="str">
        <f>IFERROR(IF(TLK3="No",IF(VLOOKUP(DATE($K$1,$K$2,TLB$4),Table1[],(MATCH(Calendar!$A18,DB!$1:$1,0)),FALSE)&gt;=5,"Good","Bad"),VLOOKUP(DATE($K$1,$K$2,TLB$4),Table1[],(MATCH(Calendar!$A18,DB!$1:$1,0)),FALSE)),"")</f>
        <v/>
      </c>
      <c r="TLC18" s="28" t="str">
        <f>IFERROR(IF(TLL3="No",IF(VLOOKUP(DATE($K$1,$K$2,TLC$4),Table1[],(MATCH(Calendar!$A18,DB!$1:$1,0)),FALSE)&gt;=5,"Good","Bad"),VLOOKUP(DATE($K$1,$K$2,TLC$4),Table1[],(MATCH(Calendar!$A18,DB!$1:$1,0)),FALSE)),"")</f>
        <v/>
      </c>
      <c r="TLD18" s="28" t="str">
        <f>IFERROR(IF(TLM3="No",IF(VLOOKUP(DATE($K$1,$K$2,TLD$4),Table1[],(MATCH(Calendar!$A18,DB!$1:$1,0)),FALSE)&gt;=5,"Good","Bad"),VLOOKUP(DATE($K$1,$K$2,TLD$4),Table1[],(MATCH(Calendar!$A18,DB!$1:$1,0)),FALSE)),"")</f>
        <v/>
      </c>
      <c r="TLE18" s="28" t="str">
        <f>IFERROR(IF(TLN3="No",IF(VLOOKUP(DATE($K$1,$K$2,TLE$4),Table1[],(MATCH(Calendar!$A18,DB!$1:$1,0)),FALSE)&gt;=5,"Good","Bad"),VLOOKUP(DATE($K$1,$K$2,TLE$4),Table1[],(MATCH(Calendar!$A18,DB!$1:$1,0)),FALSE)),"")</f>
        <v/>
      </c>
      <c r="TLF18" s="28" t="str">
        <f>IFERROR(IF(TLO3="No",IF(VLOOKUP(DATE($K$1,$K$2,TLF$4),Table1[],(MATCH(Calendar!$A18,DB!$1:$1,0)),FALSE)&gt;=5,"Good","Bad"),VLOOKUP(DATE($K$1,$K$2,TLF$4),Table1[],(MATCH(Calendar!$A18,DB!$1:$1,0)),FALSE)),"")</f>
        <v/>
      </c>
      <c r="TLG18" s="28" t="str">
        <f>IFERROR(IF(TLP3="No",IF(VLOOKUP(DATE($K$1,$K$2,TLG$4),Table1[],(MATCH(Calendar!$A18,DB!$1:$1,0)),FALSE)&gt;=5,"Good","Bad"),VLOOKUP(DATE($K$1,$K$2,TLG$4),Table1[],(MATCH(Calendar!$A18,DB!$1:$1,0)),FALSE)),"")</f>
        <v/>
      </c>
      <c r="TLH18" s="28" t="str">
        <f>IFERROR(IF(TLQ3="No",IF(VLOOKUP(DATE($K$1,$K$2,TLH$4),Table1[],(MATCH(Calendar!$A18,DB!$1:$1,0)),FALSE)&gt;=5,"Good","Bad"),VLOOKUP(DATE($K$1,$K$2,TLH$4),Table1[],(MATCH(Calendar!$A18,DB!$1:$1,0)),FALSE)),"")</f>
        <v/>
      </c>
      <c r="TLI18" s="28" t="str">
        <f>IFERROR(IF(TLR3="No",IF(VLOOKUP(DATE($K$1,$K$2,TLI$4),Table1[],(MATCH(Calendar!$A18,DB!$1:$1,0)),FALSE)&gt;=5,"Good","Bad"),VLOOKUP(DATE($K$1,$K$2,TLI$4),Table1[],(MATCH(Calendar!$A18,DB!$1:$1,0)),FALSE)),"")</f>
        <v/>
      </c>
      <c r="TLJ18" s="28" t="str">
        <f>IFERROR(IF(TLS3="No",IF(VLOOKUP(DATE($K$1,$K$2,TLJ$4),Table1[],(MATCH(Calendar!$A18,DB!$1:$1,0)),FALSE)&gt;=5,"Good","Bad"),VLOOKUP(DATE($K$1,$K$2,TLJ$4),Table1[],(MATCH(Calendar!$A18,DB!$1:$1,0)),FALSE)),"")</f>
        <v/>
      </c>
      <c r="TLK18" s="28" t="str">
        <f>IFERROR(IF(TLT3="No",IF(VLOOKUP(DATE($K$1,$K$2,TLK$4),Table1[],(MATCH(Calendar!$A18,DB!$1:$1,0)),FALSE)&gt;=5,"Good","Bad"),VLOOKUP(DATE($K$1,$K$2,TLK$4),Table1[],(MATCH(Calendar!$A18,DB!$1:$1,0)),FALSE)),"")</f>
        <v/>
      </c>
      <c r="TLL18" s="28" t="str">
        <f>IFERROR(IF(TLU3="No",IF(VLOOKUP(DATE($K$1,$K$2,TLL$4),Table1[],(MATCH(Calendar!$A18,DB!$1:$1,0)),FALSE)&gt;=5,"Good","Bad"),VLOOKUP(DATE($K$1,$K$2,TLL$4),Table1[],(MATCH(Calendar!$A18,DB!$1:$1,0)),FALSE)),"")</f>
        <v/>
      </c>
      <c r="TLM18" s="28" t="str">
        <f>IFERROR(IF(TLV3="No",IF(VLOOKUP(DATE($K$1,$K$2,TLM$4),Table1[],(MATCH(Calendar!$A18,DB!$1:$1,0)),FALSE)&gt;=5,"Good","Bad"),VLOOKUP(DATE($K$1,$K$2,TLM$4),Table1[],(MATCH(Calendar!$A18,DB!$1:$1,0)),FALSE)),"")</f>
        <v/>
      </c>
      <c r="TLN18" s="28" t="str">
        <f>IFERROR(IF(TLW3="No",IF(VLOOKUP(DATE($K$1,$K$2,TLN$4),Table1[],(MATCH(Calendar!$A18,DB!$1:$1,0)),FALSE)&gt;=5,"Good","Bad"),VLOOKUP(DATE($K$1,$K$2,TLN$4),Table1[],(MATCH(Calendar!$A18,DB!$1:$1,0)),FALSE)),"")</f>
        <v/>
      </c>
      <c r="TLO18" s="28" t="str">
        <f>IFERROR(IF(TLX3="No",IF(VLOOKUP(DATE($K$1,$K$2,TLO$4),Table1[],(MATCH(Calendar!$A18,DB!$1:$1,0)),FALSE)&gt;=5,"Good","Bad"),VLOOKUP(DATE($K$1,$K$2,TLO$4),Table1[],(MATCH(Calendar!$A18,DB!$1:$1,0)),FALSE)),"")</f>
        <v/>
      </c>
      <c r="TLP18" s="28" t="str">
        <f>IFERROR(IF(TLY3="No",IF(VLOOKUP(DATE($K$1,$K$2,TLP$4),Table1[],(MATCH(Calendar!$A18,DB!$1:$1,0)),FALSE)&gt;=5,"Good","Bad"),VLOOKUP(DATE($K$1,$K$2,TLP$4),Table1[],(MATCH(Calendar!$A18,DB!$1:$1,0)),FALSE)),"")</f>
        <v/>
      </c>
      <c r="TLQ18" s="28" t="str">
        <f>IFERROR(IF(TLZ3="No",IF(VLOOKUP(DATE($K$1,$K$2,TLQ$4),Table1[],(MATCH(Calendar!$A18,DB!$1:$1,0)),FALSE)&gt;=5,"Good","Bad"),VLOOKUP(DATE($K$1,$K$2,TLQ$4),Table1[],(MATCH(Calendar!$A18,DB!$1:$1,0)),FALSE)),"")</f>
        <v/>
      </c>
      <c r="TLR18" s="28" t="str">
        <f>IFERROR(IF(TMA3="No",IF(VLOOKUP(DATE($K$1,$K$2,TLR$4),Table1[],(MATCH(Calendar!$A18,DB!$1:$1,0)),FALSE)&gt;=5,"Good","Bad"),VLOOKUP(DATE($K$1,$K$2,TLR$4),Table1[],(MATCH(Calendar!$A18,DB!$1:$1,0)),FALSE)),"")</f>
        <v/>
      </c>
      <c r="TLS18" s="28" t="str">
        <f>IFERROR(IF(TMB3="No",IF(VLOOKUP(DATE($K$1,$K$2,TLS$4),Table1[],(MATCH(Calendar!$A18,DB!$1:$1,0)),FALSE)&gt;=5,"Good","Bad"),VLOOKUP(DATE($K$1,$K$2,TLS$4),Table1[],(MATCH(Calendar!$A18,DB!$1:$1,0)),FALSE)),"")</f>
        <v/>
      </c>
      <c r="TLT18" s="28" t="str">
        <f>IFERROR(IF(TMC3="No",IF(VLOOKUP(DATE($K$1,$K$2,TLT$4),Table1[],(MATCH(Calendar!$A18,DB!$1:$1,0)),FALSE)&gt;=5,"Good","Bad"),VLOOKUP(DATE($K$1,$K$2,TLT$4),Table1[],(MATCH(Calendar!$A18,DB!$1:$1,0)),FALSE)),"")</f>
        <v/>
      </c>
      <c r="TLU18" s="28" t="str">
        <f>IFERROR(IF(TMD3="No",IF(VLOOKUP(DATE($K$1,$K$2,TLU$4),Table1[],(MATCH(Calendar!$A18,DB!$1:$1,0)),FALSE)&gt;=5,"Good","Bad"),VLOOKUP(DATE($K$1,$K$2,TLU$4),Table1[],(MATCH(Calendar!$A18,DB!$1:$1,0)),FALSE)),"")</f>
        <v/>
      </c>
      <c r="TLV18" s="28" t="str">
        <f>IFERROR(IF(TME3="No",IF(VLOOKUP(DATE($K$1,$K$2,TLV$4),Table1[],(MATCH(Calendar!$A18,DB!$1:$1,0)),FALSE)&gt;=5,"Good","Bad"),VLOOKUP(DATE($K$1,$K$2,TLV$4),Table1[],(MATCH(Calendar!$A18,DB!$1:$1,0)),FALSE)),"")</f>
        <v/>
      </c>
      <c r="TLW18" s="28" t="str">
        <f>IFERROR(IF(TMF3="No",IF(VLOOKUP(DATE($K$1,$K$2,TLW$4),Table1[],(MATCH(Calendar!$A18,DB!$1:$1,0)),FALSE)&gt;=5,"Good","Bad"),VLOOKUP(DATE($K$1,$K$2,TLW$4),Table1[],(MATCH(Calendar!$A18,DB!$1:$1,0)),FALSE)),"")</f>
        <v/>
      </c>
      <c r="TLX18" s="28" t="str">
        <f>IFERROR(IF(TMG3="No",IF(VLOOKUP(DATE($K$1,$K$2,TLX$4),Table1[],(MATCH(Calendar!$A18,DB!$1:$1,0)),FALSE)&gt;=5,"Good","Bad"),VLOOKUP(DATE($K$1,$K$2,TLX$4),Table1[],(MATCH(Calendar!$A18,DB!$1:$1,0)),FALSE)),"")</f>
        <v/>
      </c>
      <c r="TLY18" s="28" t="str">
        <f>IFERROR(IF(TMH3="No",IF(VLOOKUP(DATE($K$1,$K$2,TLY$4),Table1[],(MATCH(Calendar!$A18,DB!$1:$1,0)),FALSE)&gt;=5,"Good","Bad"),VLOOKUP(DATE($K$1,$K$2,TLY$4),Table1[],(MATCH(Calendar!$A18,DB!$1:$1,0)),FALSE)),"")</f>
        <v/>
      </c>
      <c r="TLZ18" s="28" t="str">
        <f>IFERROR(IF(TMI3="No",IF(VLOOKUP(DATE($K$1,$K$2,TLZ$4),Table1[],(MATCH(Calendar!$A18,DB!$1:$1,0)),FALSE)&gt;=5,"Good","Bad"),VLOOKUP(DATE($K$1,$K$2,TLZ$4),Table1[],(MATCH(Calendar!$A18,DB!$1:$1,0)),FALSE)),"")</f>
        <v/>
      </c>
      <c r="TMA18" s="28" t="str">
        <f>IFERROR(IF(TMJ3="No",IF(VLOOKUP(DATE($K$1,$K$2,TMA$4),Table1[],(MATCH(Calendar!$A18,DB!$1:$1,0)),FALSE)&gt;=5,"Good","Bad"),VLOOKUP(DATE($K$1,$K$2,TMA$4),Table1[],(MATCH(Calendar!$A18,DB!$1:$1,0)),FALSE)),"")</f>
        <v/>
      </c>
      <c r="TMB18" s="28" t="str">
        <f>IFERROR(IF(TMK3="No",IF(VLOOKUP(DATE($K$1,$K$2,TMB$4),Table1[],(MATCH(Calendar!$A18,DB!$1:$1,0)),FALSE)&gt;=5,"Good","Bad"),VLOOKUP(DATE($K$1,$K$2,TMB$4),Table1[],(MATCH(Calendar!$A18,DB!$1:$1,0)),FALSE)),"")</f>
        <v/>
      </c>
      <c r="TMC18" s="28" t="str">
        <f>IFERROR(IF(TML3="No",IF(VLOOKUP(DATE($K$1,$K$2,TMC$4),Table1[],(MATCH(Calendar!$A18,DB!$1:$1,0)),FALSE)&gt;=5,"Good","Bad"),VLOOKUP(DATE($K$1,$K$2,TMC$4),Table1[],(MATCH(Calendar!$A18,DB!$1:$1,0)),FALSE)),"")</f>
        <v/>
      </c>
      <c r="TMD18" s="28" t="str">
        <f>IFERROR(IF(TMM3="No",IF(VLOOKUP(DATE($K$1,$K$2,TMD$4),Table1[],(MATCH(Calendar!$A18,DB!$1:$1,0)),FALSE)&gt;=5,"Good","Bad"),VLOOKUP(DATE($K$1,$K$2,TMD$4),Table1[],(MATCH(Calendar!$A18,DB!$1:$1,0)),FALSE)),"")</f>
        <v/>
      </c>
      <c r="TME18" s="28" t="str">
        <f>IFERROR(IF(TMN3="No",IF(VLOOKUP(DATE($K$1,$K$2,TME$4),Table1[],(MATCH(Calendar!$A18,DB!$1:$1,0)),FALSE)&gt;=5,"Good","Bad"),VLOOKUP(DATE($K$1,$K$2,TME$4),Table1[],(MATCH(Calendar!$A18,DB!$1:$1,0)),FALSE)),"")</f>
        <v/>
      </c>
      <c r="TMF18" s="28" t="str">
        <f>IFERROR(IF(TMO3="No",IF(VLOOKUP(DATE($K$1,$K$2,TMF$4),Table1[],(MATCH(Calendar!$A18,DB!$1:$1,0)),FALSE)&gt;=5,"Good","Bad"),VLOOKUP(DATE($K$1,$K$2,TMF$4),Table1[],(MATCH(Calendar!$A18,DB!$1:$1,0)),FALSE)),"")</f>
        <v/>
      </c>
      <c r="TMG18" s="28" t="str">
        <f>IFERROR(IF(TMP3="No",IF(VLOOKUP(DATE($K$1,$K$2,TMG$4),Table1[],(MATCH(Calendar!$A18,DB!$1:$1,0)),FALSE)&gt;=5,"Good","Bad"),VLOOKUP(DATE($K$1,$K$2,TMG$4),Table1[],(MATCH(Calendar!$A18,DB!$1:$1,0)),FALSE)),"")</f>
        <v/>
      </c>
      <c r="TMH18" s="28" t="str">
        <f>IFERROR(IF(TMQ3="No",IF(VLOOKUP(DATE($K$1,$K$2,TMH$4),Table1[],(MATCH(Calendar!$A18,DB!$1:$1,0)),FALSE)&gt;=5,"Good","Bad"),VLOOKUP(DATE($K$1,$K$2,TMH$4),Table1[],(MATCH(Calendar!$A18,DB!$1:$1,0)),FALSE)),"")</f>
        <v/>
      </c>
      <c r="TMI18" s="28" t="str">
        <f>IFERROR(IF(TMR3="No",IF(VLOOKUP(DATE($K$1,$K$2,TMI$4),Table1[],(MATCH(Calendar!$A18,DB!$1:$1,0)),FALSE)&gt;=5,"Good","Bad"),VLOOKUP(DATE($K$1,$K$2,TMI$4),Table1[],(MATCH(Calendar!$A18,DB!$1:$1,0)),FALSE)),"")</f>
        <v/>
      </c>
      <c r="TMJ18" s="28" t="str">
        <f>IFERROR(IF(TMS3="No",IF(VLOOKUP(DATE($K$1,$K$2,TMJ$4),Table1[],(MATCH(Calendar!$A18,DB!$1:$1,0)),FALSE)&gt;=5,"Good","Bad"),VLOOKUP(DATE($K$1,$K$2,TMJ$4),Table1[],(MATCH(Calendar!$A18,DB!$1:$1,0)),FALSE)),"")</f>
        <v/>
      </c>
      <c r="TMK18" s="28" t="str">
        <f>IFERROR(IF(TMT3="No",IF(VLOOKUP(DATE($K$1,$K$2,TMK$4),Table1[],(MATCH(Calendar!$A18,DB!$1:$1,0)),FALSE)&gt;=5,"Good","Bad"),VLOOKUP(DATE($K$1,$K$2,TMK$4),Table1[],(MATCH(Calendar!$A18,DB!$1:$1,0)),FALSE)),"")</f>
        <v/>
      </c>
      <c r="TML18" s="28" t="str">
        <f>IFERROR(IF(TMU3="No",IF(VLOOKUP(DATE($K$1,$K$2,TML$4),Table1[],(MATCH(Calendar!$A18,DB!$1:$1,0)),FALSE)&gt;=5,"Good","Bad"),VLOOKUP(DATE($K$1,$K$2,TML$4),Table1[],(MATCH(Calendar!$A18,DB!$1:$1,0)),FALSE)),"")</f>
        <v/>
      </c>
      <c r="TMM18" s="28" t="str">
        <f>IFERROR(IF(TMV3="No",IF(VLOOKUP(DATE($K$1,$K$2,TMM$4),Table1[],(MATCH(Calendar!$A18,DB!$1:$1,0)),FALSE)&gt;=5,"Good","Bad"),VLOOKUP(DATE($K$1,$K$2,TMM$4),Table1[],(MATCH(Calendar!$A18,DB!$1:$1,0)),FALSE)),"")</f>
        <v/>
      </c>
      <c r="TMN18" s="28" t="str">
        <f>IFERROR(IF(TMW3="No",IF(VLOOKUP(DATE($K$1,$K$2,TMN$4),Table1[],(MATCH(Calendar!$A18,DB!$1:$1,0)),FALSE)&gt;=5,"Good","Bad"),VLOOKUP(DATE($K$1,$K$2,TMN$4),Table1[],(MATCH(Calendar!$A18,DB!$1:$1,0)),FALSE)),"")</f>
        <v/>
      </c>
      <c r="TMO18" s="28" t="str">
        <f>IFERROR(IF(TMX3="No",IF(VLOOKUP(DATE($K$1,$K$2,TMO$4),Table1[],(MATCH(Calendar!$A18,DB!$1:$1,0)),FALSE)&gt;=5,"Good","Bad"),VLOOKUP(DATE($K$1,$K$2,TMO$4),Table1[],(MATCH(Calendar!$A18,DB!$1:$1,0)),FALSE)),"")</f>
        <v/>
      </c>
      <c r="TMP18" s="28" t="str">
        <f>IFERROR(IF(TMY3="No",IF(VLOOKUP(DATE($K$1,$K$2,TMP$4),Table1[],(MATCH(Calendar!$A18,DB!$1:$1,0)),FALSE)&gt;=5,"Good","Bad"),VLOOKUP(DATE($K$1,$K$2,TMP$4),Table1[],(MATCH(Calendar!$A18,DB!$1:$1,0)),FALSE)),"")</f>
        <v/>
      </c>
      <c r="TMQ18" s="28" t="str">
        <f>IFERROR(IF(TMZ3="No",IF(VLOOKUP(DATE($K$1,$K$2,TMQ$4),Table1[],(MATCH(Calendar!$A18,DB!$1:$1,0)),FALSE)&gt;=5,"Good","Bad"),VLOOKUP(DATE($K$1,$K$2,TMQ$4),Table1[],(MATCH(Calendar!$A18,DB!$1:$1,0)),FALSE)),"")</f>
        <v/>
      </c>
      <c r="TMR18" s="28" t="str">
        <f>IFERROR(IF(TNA3="No",IF(VLOOKUP(DATE($K$1,$K$2,TMR$4),Table1[],(MATCH(Calendar!$A18,DB!$1:$1,0)),FALSE)&gt;=5,"Good","Bad"),VLOOKUP(DATE($K$1,$K$2,TMR$4),Table1[],(MATCH(Calendar!$A18,DB!$1:$1,0)),FALSE)),"")</f>
        <v/>
      </c>
      <c r="TMS18" s="28" t="str">
        <f>IFERROR(IF(TNB3="No",IF(VLOOKUP(DATE($K$1,$K$2,TMS$4),Table1[],(MATCH(Calendar!$A18,DB!$1:$1,0)),FALSE)&gt;=5,"Good","Bad"),VLOOKUP(DATE($K$1,$K$2,TMS$4),Table1[],(MATCH(Calendar!$A18,DB!$1:$1,0)),FALSE)),"")</f>
        <v/>
      </c>
      <c r="TMT18" s="28" t="str">
        <f>IFERROR(IF(TNC3="No",IF(VLOOKUP(DATE($K$1,$K$2,TMT$4),Table1[],(MATCH(Calendar!$A18,DB!$1:$1,0)),FALSE)&gt;=5,"Good","Bad"),VLOOKUP(DATE($K$1,$K$2,TMT$4),Table1[],(MATCH(Calendar!$A18,DB!$1:$1,0)),FALSE)),"")</f>
        <v/>
      </c>
      <c r="TMU18" s="28" t="str">
        <f>IFERROR(IF(TND3="No",IF(VLOOKUP(DATE($K$1,$K$2,TMU$4),Table1[],(MATCH(Calendar!$A18,DB!$1:$1,0)),FALSE)&gt;=5,"Good","Bad"),VLOOKUP(DATE($K$1,$K$2,TMU$4),Table1[],(MATCH(Calendar!$A18,DB!$1:$1,0)),FALSE)),"")</f>
        <v/>
      </c>
      <c r="TMV18" s="28" t="str">
        <f>IFERROR(IF(TNE3="No",IF(VLOOKUP(DATE($K$1,$K$2,TMV$4),Table1[],(MATCH(Calendar!$A18,DB!$1:$1,0)),FALSE)&gt;=5,"Good","Bad"),VLOOKUP(DATE($K$1,$K$2,TMV$4),Table1[],(MATCH(Calendar!$A18,DB!$1:$1,0)),FALSE)),"")</f>
        <v/>
      </c>
      <c r="TMW18" s="28" t="str">
        <f>IFERROR(IF(TNF3="No",IF(VLOOKUP(DATE($K$1,$K$2,TMW$4),Table1[],(MATCH(Calendar!$A18,DB!$1:$1,0)),FALSE)&gt;=5,"Good","Bad"),VLOOKUP(DATE($K$1,$K$2,TMW$4),Table1[],(MATCH(Calendar!$A18,DB!$1:$1,0)),FALSE)),"")</f>
        <v/>
      </c>
      <c r="TMX18" s="28" t="str">
        <f>IFERROR(IF(TNG3="No",IF(VLOOKUP(DATE($K$1,$K$2,TMX$4),Table1[],(MATCH(Calendar!$A18,DB!$1:$1,0)),FALSE)&gt;=5,"Good","Bad"),VLOOKUP(DATE($K$1,$K$2,TMX$4),Table1[],(MATCH(Calendar!$A18,DB!$1:$1,0)),FALSE)),"")</f>
        <v/>
      </c>
      <c r="TMY18" s="28" t="str">
        <f>IFERROR(IF(TNH3="No",IF(VLOOKUP(DATE($K$1,$K$2,TMY$4),Table1[],(MATCH(Calendar!$A18,DB!$1:$1,0)),FALSE)&gt;=5,"Good","Bad"),VLOOKUP(DATE($K$1,$K$2,TMY$4),Table1[],(MATCH(Calendar!$A18,DB!$1:$1,0)),FALSE)),"")</f>
        <v/>
      </c>
      <c r="TMZ18" s="28" t="str">
        <f>IFERROR(IF(TNI3="No",IF(VLOOKUP(DATE($K$1,$K$2,TMZ$4),Table1[],(MATCH(Calendar!$A18,DB!$1:$1,0)),FALSE)&gt;=5,"Good","Bad"),VLOOKUP(DATE($K$1,$K$2,TMZ$4),Table1[],(MATCH(Calendar!$A18,DB!$1:$1,0)),FALSE)),"")</f>
        <v/>
      </c>
      <c r="TNA18" s="28" t="str">
        <f>IFERROR(IF(TNJ3="No",IF(VLOOKUP(DATE($K$1,$K$2,TNA$4),Table1[],(MATCH(Calendar!$A18,DB!$1:$1,0)),FALSE)&gt;=5,"Good","Bad"),VLOOKUP(DATE($K$1,$K$2,TNA$4),Table1[],(MATCH(Calendar!$A18,DB!$1:$1,0)),FALSE)),"")</f>
        <v/>
      </c>
      <c r="TNB18" s="28" t="str">
        <f>IFERROR(IF(TNK3="No",IF(VLOOKUP(DATE($K$1,$K$2,TNB$4),Table1[],(MATCH(Calendar!$A18,DB!$1:$1,0)),FALSE)&gt;=5,"Good","Bad"),VLOOKUP(DATE($K$1,$K$2,TNB$4),Table1[],(MATCH(Calendar!$A18,DB!$1:$1,0)),FALSE)),"")</f>
        <v/>
      </c>
      <c r="TNC18" s="28" t="str">
        <f>IFERROR(IF(TNL3="No",IF(VLOOKUP(DATE($K$1,$K$2,TNC$4),Table1[],(MATCH(Calendar!$A18,DB!$1:$1,0)),FALSE)&gt;=5,"Good","Bad"),VLOOKUP(DATE($K$1,$K$2,TNC$4),Table1[],(MATCH(Calendar!$A18,DB!$1:$1,0)),FALSE)),"")</f>
        <v/>
      </c>
      <c r="TND18" s="28" t="str">
        <f>IFERROR(IF(TNM3="No",IF(VLOOKUP(DATE($K$1,$K$2,TND$4),Table1[],(MATCH(Calendar!$A18,DB!$1:$1,0)),FALSE)&gt;=5,"Good","Bad"),VLOOKUP(DATE($K$1,$K$2,TND$4),Table1[],(MATCH(Calendar!$A18,DB!$1:$1,0)),FALSE)),"")</f>
        <v/>
      </c>
      <c r="TNE18" s="28" t="str">
        <f>IFERROR(IF(TNN3="No",IF(VLOOKUP(DATE($K$1,$K$2,TNE$4),Table1[],(MATCH(Calendar!$A18,DB!$1:$1,0)),FALSE)&gt;=5,"Good","Bad"),VLOOKUP(DATE($K$1,$K$2,TNE$4),Table1[],(MATCH(Calendar!$A18,DB!$1:$1,0)),FALSE)),"")</f>
        <v/>
      </c>
      <c r="TNF18" s="28" t="str">
        <f>IFERROR(IF(TNO3="No",IF(VLOOKUP(DATE($K$1,$K$2,TNF$4),Table1[],(MATCH(Calendar!$A18,DB!$1:$1,0)),FALSE)&gt;=5,"Good","Bad"),VLOOKUP(DATE($K$1,$K$2,TNF$4),Table1[],(MATCH(Calendar!$A18,DB!$1:$1,0)),FALSE)),"")</f>
        <v/>
      </c>
      <c r="TNG18" s="28" t="str">
        <f>IFERROR(IF(TNP3="No",IF(VLOOKUP(DATE($K$1,$K$2,TNG$4),Table1[],(MATCH(Calendar!$A18,DB!$1:$1,0)),FALSE)&gt;=5,"Good","Bad"),VLOOKUP(DATE($K$1,$K$2,TNG$4),Table1[],(MATCH(Calendar!$A18,DB!$1:$1,0)),FALSE)),"")</f>
        <v/>
      </c>
      <c r="TNH18" s="28" t="str">
        <f>IFERROR(IF(TNQ3="No",IF(VLOOKUP(DATE($K$1,$K$2,TNH$4),Table1[],(MATCH(Calendar!$A18,DB!$1:$1,0)),FALSE)&gt;=5,"Good","Bad"),VLOOKUP(DATE($K$1,$K$2,TNH$4),Table1[],(MATCH(Calendar!$A18,DB!$1:$1,0)),FALSE)),"")</f>
        <v/>
      </c>
      <c r="TNI18" s="28" t="str">
        <f>IFERROR(IF(TNR3="No",IF(VLOOKUP(DATE($K$1,$K$2,TNI$4),Table1[],(MATCH(Calendar!$A18,DB!$1:$1,0)),FALSE)&gt;=5,"Good","Bad"),VLOOKUP(DATE($K$1,$K$2,TNI$4),Table1[],(MATCH(Calendar!$A18,DB!$1:$1,0)),FALSE)),"")</f>
        <v/>
      </c>
      <c r="TNJ18" s="28" t="str">
        <f>IFERROR(IF(TNS3="No",IF(VLOOKUP(DATE($K$1,$K$2,TNJ$4),Table1[],(MATCH(Calendar!$A18,DB!$1:$1,0)),FALSE)&gt;=5,"Good","Bad"),VLOOKUP(DATE($K$1,$K$2,TNJ$4),Table1[],(MATCH(Calendar!$A18,DB!$1:$1,0)),FALSE)),"")</f>
        <v/>
      </c>
      <c r="TNK18" s="28" t="str">
        <f>IFERROR(IF(TNT3="No",IF(VLOOKUP(DATE($K$1,$K$2,TNK$4),Table1[],(MATCH(Calendar!$A18,DB!$1:$1,0)),FALSE)&gt;=5,"Good","Bad"),VLOOKUP(DATE($K$1,$K$2,TNK$4),Table1[],(MATCH(Calendar!$A18,DB!$1:$1,0)),FALSE)),"")</f>
        <v/>
      </c>
      <c r="TNL18" s="28" t="str">
        <f>IFERROR(IF(TNU3="No",IF(VLOOKUP(DATE($K$1,$K$2,TNL$4),Table1[],(MATCH(Calendar!$A18,DB!$1:$1,0)),FALSE)&gt;=5,"Good","Bad"),VLOOKUP(DATE($K$1,$K$2,TNL$4),Table1[],(MATCH(Calendar!$A18,DB!$1:$1,0)),FALSE)),"")</f>
        <v/>
      </c>
      <c r="TNM18" s="28" t="str">
        <f>IFERROR(IF(TNV3="No",IF(VLOOKUP(DATE($K$1,$K$2,TNM$4),Table1[],(MATCH(Calendar!$A18,DB!$1:$1,0)),FALSE)&gt;=5,"Good","Bad"),VLOOKUP(DATE($K$1,$K$2,TNM$4),Table1[],(MATCH(Calendar!$A18,DB!$1:$1,0)),FALSE)),"")</f>
        <v/>
      </c>
      <c r="TNN18" s="28" t="str">
        <f>IFERROR(IF(TNW3="No",IF(VLOOKUP(DATE($K$1,$K$2,TNN$4),Table1[],(MATCH(Calendar!$A18,DB!$1:$1,0)),FALSE)&gt;=5,"Good","Bad"),VLOOKUP(DATE($K$1,$K$2,TNN$4),Table1[],(MATCH(Calendar!$A18,DB!$1:$1,0)),FALSE)),"")</f>
        <v/>
      </c>
      <c r="TNO18" s="28" t="str">
        <f>IFERROR(IF(TNX3="No",IF(VLOOKUP(DATE($K$1,$K$2,TNO$4),Table1[],(MATCH(Calendar!$A18,DB!$1:$1,0)),FALSE)&gt;=5,"Good","Bad"),VLOOKUP(DATE($K$1,$K$2,TNO$4),Table1[],(MATCH(Calendar!$A18,DB!$1:$1,0)),FALSE)),"")</f>
        <v/>
      </c>
      <c r="TNP18" s="28" t="str">
        <f>IFERROR(IF(TNY3="No",IF(VLOOKUP(DATE($K$1,$K$2,TNP$4),Table1[],(MATCH(Calendar!$A18,DB!$1:$1,0)),FALSE)&gt;=5,"Good","Bad"),VLOOKUP(DATE($K$1,$K$2,TNP$4),Table1[],(MATCH(Calendar!$A18,DB!$1:$1,0)),FALSE)),"")</f>
        <v/>
      </c>
      <c r="TNQ18" s="28" t="str">
        <f>IFERROR(IF(TNZ3="No",IF(VLOOKUP(DATE($K$1,$K$2,TNQ$4),Table1[],(MATCH(Calendar!$A18,DB!$1:$1,0)),FALSE)&gt;=5,"Good","Bad"),VLOOKUP(DATE($K$1,$K$2,TNQ$4),Table1[],(MATCH(Calendar!$A18,DB!$1:$1,0)),FALSE)),"")</f>
        <v/>
      </c>
      <c r="TNR18" s="28" t="str">
        <f>IFERROR(IF(TOA3="No",IF(VLOOKUP(DATE($K$1,$K$2,TNR$4),Table1[],(MATCH(Calendar!$A18,DB!$1:$1,0)),FALSE)&gt;=5,"Good","Bad"),VLOOKUP(DATE($K$1,$K$2,TNR$4),Table1[],(MATCH(Calendar!$A18,DB!$1:$1,0)),FALSE)),"")</f>
        <v/>
      </c>
      <c r="TNS18" s="28" t="str">
        <f>IFERROR(IF(TOB3="No",IF(VLOOKUP(DATE($K$1,$K$2,TNS$4),Table1[],(MATCH(Calendar!$A18,DB!$1:$1,0)),FALSE)&gt;=5,"Good","Bad"),VLOOKUP(DATE($K$1,$K$2,TNS$4),Table1[],(MATCH(Calendar!$A18,DB!$1:$1,0)),FALSE)),"")</f>
        <v/>
      </c>
      <c r="TNT18" s="28" t="str">
        <f>IFERROR(IF(TOC3="No",IF(VLOOKUP(DATE($K$1,$K$2,TNT$4),Table1[],(MATCH(Calendar!$A18,DB!$1:$1,0)),FALSE)&gt;=5,"Good","Bad"),VLOOKUP(DATE($K$1,$K$2,TNT$4),Table1[],(MATCH(Calendar!$A18,DB!$1:$1,0)),FALSE)),"")</f>
        <v/>
      </c>
      <c r="TNU18" s="28" t="str">
        <f>IFERROR(IF(TOD3="No",IF(VLOOKUP(DATE($K$1,$K$2,TNU$4),Table1[],(MATCH(Calendar!$A18,DB!$1:$1,0)),FALSE)&gt;=5,"Good","Bad"),VLOOKUP(DATE($K$1,$K$2,TNU$4),Table1[],(MATCH(Calendar!$A18,DB!$1:$1,0)),FALSE)),"")</f>
        <v/>
      </c>
      <c r="TNV18" s="28" t="str">
        <f>IFERROR(IF(TOE3="No",IF(VLOOKUP(DATE($K$1,$K$2,TNV$4),Table1[],(MATCH(Calendar!$A18,DB!$1:$1,0)),FALSE)&gt;=5,"Good","Bad"),VLOOKUP(DATE($K$1,$K$2,TNV$4),Table1[],(MATCH(Calendar!$A18,DB!$1:$1,0)),FALSE)),"")</f>
        <v/>
      </c>
      <c r="TNW18" s="28" t="str">
        <f>IFERROR(IF(TOF3="No",IF(VLOOKUP(DATE($K$1,$K$2,TNW$4),Table1[],(MATCH(Calendar!$A18,DB!$1:$1,0)),FALSE)&gt;=5,"Good","Bad"),VLOOKUP(DATE($K$1,$K$2,TNW$4),Table1[],(MATCH(Calendar!$A18,DB!$1:$1,0)),FALSE)),"")</f>
        <v/>
      </c>
      <c r="TNX18" s="28" t="str">
        <f>IFERROR(IF(TOG3="No",IF(VLOOKUP(DATE($K$1,$K$2,TNX$4),Table1[],(MATCH(Calendar!$A18,DB!$1:$1,0)),FALSE)&gt;=5,"Good","Bad"),VLOOKUP(DATE($K$1,$K$2,TNX$4),Table1[],(MATCH(Calendar!$A18,DB!$1:$1,0)),FALSE)),"")</f>
        <v/>
      </c>
      <c r="TNY18" s="28" t="str">
        <f>IFERROR(IF(TOH3="No",IF(VLOOKUP(DATE($K$1,$K$2,TNY$4),Table1[],(MATCH(Calendar!$A18,DB!$1:$1,0)),FALSE)&gt;=5,"Good","Bad"),VLOOKUP(DATE($K$1,$K$2,TNY$4),Table1[],(MATCH(Calendar!$A18,DB!$1:$1,0)),FALSE)),"")</f>
        <v/>
      </c>
      <c r="TNZ18" s="28" t="str">
        <f>IFERROR(IF(TOI3="No",IF(VLOOKUP(DATE($K$1,$K$2,TNZ$4),Table1[],(MATCH(Calendar!$A18,DB!$1:$1,0)),FALSE)&gt;=5,"Good","Bad"),VLOOKUP(DATE($K$1,$K$2,TNZ$4),Table1[],(MATCH(Calendar!$A18,DB!$1:$1,0)),FALSE)),"")</f>
        <v/>
      </c>
      <c r="TOA18" s="28" t="str">
        <f>IFERROR(IF(TOJ3="No",IF(VLOOKUP(DATE($K$1,$K$2,TOA$4),Table1[],(MATCH(Calendar!$A18,DB!$1:$1,0)),FALSE)&gt;=5,"Good","Bad"),VLOOKUP(DATE($K$1,$K$2,TOA$4),Table1[],(MATCH(Calendar!$A18,DB!$1:$1,0)),FALSE)),"")</f>
        <v/>
      </c>
      <c r="TOB18" s="28" t="str">
        <f>IFERROR(IF(TOK3="No",IF(VLOOKUP(DATE($K$1,$K$2,TOB$4),Table1[],(MATCH(Calendar!$A18,DB!$1:$1,0)),FALSE)&gt;=5,"Good","Bad"),VLOOKUP(DATE($K$1,$K$2,TOB$4),Table1[],(MATCH(Calendar!$A18,DB!$1:$1,0)),FALSE)),"")</f>
        <v/>
      </c>
      <c r="TOC18" s="28" t="str">
        <f>IFERROR(IF(TOL3="No",IF(VLOOKUP(DATE($K$1,$K$2,TOC$4),Table1[],(MATCH(Calendar!$A18,DB!$1:$1,0)),FALSE)&gt;=5,"Good","Bad"),VLOOKUP(DATE($K$1,$K$2,TOC$4),Table1[],(MATCH(Calendar!$A18,DB!$1:$1,0)),FALSE)),"")</f>
        <v/>
      </c>
      <c r="TOD18" s="28" t="str">
        <f>IFERROR(IF(TOM3="No",IF(VLOOKUP(DATE($K$1,$K$2,TOD$4),Table1[],(MATCH(Calendar!$A18,DB!$1:$1,0)),FALSE)&gt;=5,"Good","Bad"),VLOOKUP(DATE($K$1,$K$2,TOD$4),Table1[],(MATCH(Calendar!$A18,DB!$1:$1,0)),FALSE)),"")</f>
        <v/>
      </c>
      <c r="TOE18" s="28" t="str">
        <f>IFERROR(IF(TON3="No",IF(VLOOKUP(DATE($K$1,$K$2,TOE$4),Table1[],(MATCH(Calendar!$A18,DB!$1:$1,0)),FALSE)&gt;=5,"Good","Bad"),VLOOKUP(DATE($K$1,$K$2,TOE$4),Table1[],(MATCH(Calendar!$A18,DB!$1:$1,0)),FALSE)),"")</f>
        <v/>
      </c>
      <c r="TOF18" s="28" t="str">
        <f>IFERROR(IF(TOO3="No",IF(VLOOKUP(DATE($K$1,$K$2,TOF$4),Table1[],(MATCH(Calendar!$A18,DB!$1:$1,0)),FALSE)&gt;=5,"Good","Bad"),VLOOKUP(DATE($K$1,$K$2,TOF$4),Table1[],(MATCH(Calendar!$A18,DB!$1:$1,0)),FALSE)),"")</f>
        <v/>
      </c>
      <c r="TOG18" s="28" t="str">
        <f>IFERROR(IF(TOP3="No",IF(VLOOKUP(DATE($K$1,$K$2,TOG$4),Table1[],(MATCH(Calendar!$A18,DB!$1:$1,0)),FALSE)&gt;=5,"Good","Bad"),VLOOKUP(DATE($K$1,$K$2,TOG$4),Table1[],(MATCH(Calendar!$A18,DB!$1:$1,0)),FALSE)),"")</f>
        <v/>
      </c>
      <c r="TOH18" s="28" t="str">
        <f>IFERROR(IF(TOQ3="No",IF(VLOOKUP(DATE($K$1,$K$2,TOH$4),Table1[],(MATCH(Calendar!$A18,DB!$1:$1,0)),FALSE)&gt;=5,"Good","Bad"),VLOOKUP(DATE($K$1,$K$2,TOH$4),Table1[],(MATCH(Calendar!$A18,DB!$1:$1,0)),FALSE)),"")</f>
        <v/>
      </c>
      <c r="TOI18" s="28" t="str">
        <f>IFERROR(IF(TOR3="No",IF(VLOOKUP(DATE($K$1,$K$2,TOI$4),Table1[],(MATCH(Calendar!$A18,DB!$1:$1,0)),FALSE)&gt;=5,"Good","Bad"),VLOOKUP(DATE($K$1,$K$2,TOI$4),Table1[],(MATCH(Calendar!$A18,DB!$1:$1,0)),FALSE)),"")</f>
        <v/>
      </c>
      <c r="TOJ18" s="28" t="str">
        <f>IFERROR(IF(TOS3="No",IF(VLOOKUP(DATE($K$1,$K$2,TOJ$4),Table1[],(MATCH(Calendar!$A18,DB!$1:$1,0)),FALSE)&gt;=5,"Good","Bad"),VLOOKUP(DATE($K$1,$K$2,TOJ$4),Table1[],(MATCH(Calendar!$A18,DB!$1:$1,0)),FALSE)),"")</f>
        <v/>
      </c>
      <c r="TOK18" s="28" t="str">
        <f>IFERROR(IF(TOT3="No",IF(VLOOKUP(DATE($K$1,$K$2,TOK$4),Table1[],(MATCH(Calendar!$A18,DB!$1:$1,0)),FALSE)&gt;=5,"Good","Bad"),VLOOKUP(DATE($K$1,$K$2,TOK$4),Table1[],(MATCH(Calendar!$A18,DB!$1:$1,0)),FALSE)),"")</f>
        <v/>
      </c>
      <c r="TOL18" s="28" t="str">
        <f>IFERROR(IF(TOU3="No",IF(VLOOKUP(DATE($K$1,$K$2,TOL$4),Table1[],(MATCH(Calendar!$A18,DB!$1:$1,0)),FALSE)&gt;=5,"Good","Bad"),VLOOKUP(DATE($K$1,$K$2,TOL$4),Table1[],(MATCH(Calendar!$A18,DB!$1:$1,0)),FALSE)),"")</f>
        <v/>
      </c>
      <c r="TOM18" s="28" t="str">
        <f>IFERROR(IF(TOV3="No",IF(VLOOKUP(DATE($K$1,$K$2,TOM$4),Table1[],(MATCH(Calendar!$A18,DB!$1:$1,0)),FALSE)&gt;=5,"Good","Bad"),VLOOKUP(DATE($K$1,$K$2,TOM$4),Table1[],(MATCH(Calendar!$A18,DB!$1:$1,0)),FALSE)),"")</f>
        <v/>
      </c>
      <c r="TON18" s="28" t="str">
        <f>IFERROR(IF(TOW3="No",IF(VLOOKUP(DATE($K$1,$K$2,TON$4),Table1[],(MATCH(Calendar!$A18,DB!$1:$1,0)),FALSE)&gt;=5,"Good","Bad"),VLOOKUP(DATE($K$1,$K$2,TON$4),Table1[],(MATCH(Calendar!$A18,DB!$1:$1,0)),FALSE)),"")</f>
        <v/>
      </c>
      <c r="TOO18" s="28" t="str">
        <f>IFERROR(IF(TOX3="No",IF(VLOOKUP(DATE($K$1,$K$2,TOO$4),Table1[],(MATCH(Calendar!$A18,DB!$1:$1,0)),FALSE)&gt;=5,"Good","Bad"),VLOOKUP(DATE($K$1,$K$2,TOO$4),Table1[],(MATCH(Calendar!$A18,DB!$1:$1,0)),FALSE)),"")</f>
        <v/>
      </c>
      <c r="TOP18" s="28" t="str">
        <f>IFERROR(IF(TOY3="No",IF(VLOOKUP(DATE($K$1,$K$2,TOP$4),Table1[],(MATCH(Calendar!$A18,DB!$1:$1,0)),FALSE)&gt;=5,"Good","Bad"),VLOOKUP(DATE($K$1,$K$2,TOP$4),Table1[],(MATCH(Calendar!$A18,DB!$1:$1,0)),FALSE)),"")</f>
        <v/>
      </c>
      <c r="TOQ18" s="28" t="str">
        <f>IFERROR(IF(TOZ3="No",IF(VLOOKUP(DATE($K$1,$K$2,TOQ$4),Table1[],(MATCH(Calendar!$A18,DB!$1:$1,0)),FALSE)&gt;=5,"Good","Bad"),VLOOKUP(DATE($K$1,$K$2,TOQ$4),Table1[],(MATCH(Calendar!$A18,DB!$1:$1,0)),FALSE)),"")</f>
        <v/>
      </c>
      <c r="TOR18" s="28" t="str">
        <f>IFERROR(IF(TPA3="No",IF(VLOOKUP(DATE($K$1,$K$2,TOR$4),Table1[],(MATCH(Calendar!$A18,DB!$1:$1,0)),FALSE)&gt;=5,"Good","Bad"),VLOOKUP(DATE($K$1,$K$2,TOR$4),Table1[],(MATCH(Calendar!$A18,DB!$1:$1,0)),FALSE)),"")</f>
        <v/>
      </c>
      <c r="TOS18" s="28" t="str">
        <f>IFERROR(IF(TPB3="No",IF(VLOOKUP(DATE($K$1,$K$2,TOS$4),Table1[],(MATCH(Calendar!$A18,DB!$1:$1,0)),FALSE)&gt;=5,"Good","Bad"),VLOOKUP(DATE($K$1,$K$2,TOS$4),Table1[],(MATCH(Calendar!$A18,DB!$1:$1,0)),FALSE)),"")</f>
        <v/>
      </c>
      <c r="TOT18" s="28" t="str">
        <f>IFERROR(IF(TPC3="No",IF(VLOOKUP(DATE($K$1,$K$2,TOT$4),Table1[],(MATCH(Calendar!$A18,DB!$1:$1,0)),FALSE)&gt;=5,"Good","Bad"),VLOOKUP(DATE($K$1,$K$2,TOT$4),Table1[],(MATCH(Calendar!$A18,DB!$1:$1,0)),FALSE)),"")</f>
        <v/>
      </c>
      <c r="TOU18" s="28" t="str">
        <f>IFERROR(IF(TPD3="No",IF(VLOOKUP(DATE($K$1,$K$2,TOU$4),Table1[],(MATCH(Calendar!$A18,DB!$1:$1,0)),FALSE)&gt;=5,"Good","Bad"),VLOOKUP(DATE($K$1,$K$2,TOU$4),Table1[],(MATCH(Calendar!$A18,DB!$1:$1,0)),FALSE)),"")</f>
        <v/>
      </c>
      <c r="TOV18" s="28" t="str">
        <f>IFERROR(IF(TPE3="No",IF(VLOOKUP(DATE($K$1,$K$2,TOV$4),Table1[],(MATCH(Calendar!$A18,DB!$1:$1,0)),FALSE)&gt;=5,"Good","Bad"),VLOOKUP(DATE($K$1,$K$2,TOV$4),Table1[],(MATCH(Calendar!$A18,DB!$1:$1,0)),FALSE)),"")</f>
        <v/>
      </c>
      <c r="TOW18" s="28" t="str">
        <f>IFERROR(IF(TPF3="No",IF(VLOOKUP(DATE($K$1,$K$2,TOW$4),Table1[],(MATCH(Calendar!$A18,DB!$1:$1,0)),FALSE)&gt;=5,"Good","Bad"),VLOOKUP(DATE($K$1,$K$2,TOW$4),Table1[],(MATCH(Calendar!$A18,DB!$1:$1,0)),FALSE)),"")</f>
        <v/>
      </c>
      <c r="TOX18" s="28" t="str">
        <f>IFERROR(IF(TPG3="No",IF(VLOOKUP(DATE($K$1,$K$2,TOX$4),Table1[],(MATCH(Calendar!$A18,DB!$1:$1,0)),FALSE)&gt;=5,"Good","Bad"),VLOOKUP(DATE($K$1,$K$2,TOX$4),Table1[],(MATCH(Calendar!$A18,DB!$1:$1,0)),FALSE)),"")</f>
        <v/>
      </c>
      <c r="TOY18" s="28" t="str">
        <f>IFERROR(IF(TPH3="No",IF(VLOOKUP(DATE($K$1,$K$2,TOY$4),Table1[],(MATCH(Calendar!$A18,DB!$1:$1,0)),FALSE)&gt;=5,"Good","Bad"),VLOOKUP(DATE($K$1,$K$2,TOY$4),Table1[],(MATCH(Calendar!$A18,DB!$1:$1,0)),FALSE)),"")</f>
        <v/>
      </c>
      <c r="TOZ18" s="28" t="str">
        <f>IFERROR(IF(TPI3="No",IF(VLOOKUP(DATE($K$1,$K$2,TOZ$4),Table1[],(MATCH(Calendar!$A18,DB!$1:$1,0)),FALSE)&gt;=5,"Good","Bad"),VLOOKUP(DATE($K$1,$K$2,TOZ$4),Table1[],(MATCH(Calendar!$A18,DB!$1:$1,0)),FALSE)),"")</f>
        <v/>
      </c>
      <c r="TPA18" s="28" t="str">
        <f>IFERROR(IF(TPJ3="No",IF(VLOOKUP(DATE($K$1,$K$2,TPA$4),Table1[],(MATCH(Calendar!$A18,DB!$1:$1,0)),FALSE)&gt;=5,"Good","Bad"),VLOOKUP(DATE($K$1,$K$2,TPA$4),Table1[],(MATCH(Calendar!$A18,DB!$1:$1,0)),FALSE)),"")</f>
        <v/>
      </c>
      <c r="TPB18" s="28" t="str">
        <f>IFERROR(IF(TPK3="No",IF(VLOOKUP(DATE($K$1,$K$2,TPB$4),Table1[],(MATCH(Calendar!$A18,DB!$1:$1,0)),FALSE)&gt;=5,"Good","Bad"),VLOOKUP(DATE($K$1,$K$2,TPB$4),Table1[],(MATCH(Calendar!$A18,DB!$1:$1,0)),FALSE)),"")</f>
        <v/>
      </c>
      <c r="TPC18" s="28" t="str">
        <f>IFERROR(IF(TPL3="No",IF(VLOOKUP(DATE($K$1,$K$2,TPC$4),Table1[],(MATCH(Calendar!$A18,DB!$1:$1,0)),FALSE)&gt;=5,"Good","Bad"),VLOOKUP(DATE($K$1,$K$2,TPC$4),Table1[],(MATCH(Calendar!$A18,DB!$1:$1,0)),FALSE)),"")</f>
        <v/>
      </c>
      <c r="TPD18" s="28" t="str">
        <f>IFERROR(IF(TPM3="No",IF(VLOOKUP(DATE($K$1,$K$2,TPD$4),Table1[],(MATCH(Calendar!$A18,DB!$1:$1,0)),FALSE)&gt;=5,"Good","Bad"),VLOOKUP(DATE($K$1,$K$2,TPD$4),Table1[],(MATCH(Calendar!$A18,DB!$1:$1,0)),FALSE)),"")</f>
        <v/>
      </c>
      <c r="TPE18" s="28" t="str">
        <f>IFERROR(IF(TPN3="No",IF(VLOOKUP(DATE($K$1,$K$2,TPE$4),Table1[],(MATCH(Calendar!$A18,DB!$1:$1,0)),FALSE)&gt;=5,"Good","Bad"),VLOOKUP(DATE($K$1,$K$2,TPE$4),Table1[],(MATCH(Calendar!$A18,DB!$1:$1,0)),FALSE)),"")</f>
        <v/>
      </c>
      <c r="TPF18" s="28" t="str">
        <f>IFERROR(IF(TPO3="No",IF(VLOOKUP(DATE($K$1,$K$2,TPF$4),Table1[],(MATCH(Calendar!$A18,DB!$1:$1,0)),FALSE)&gt;=5,"Good","Bad"),VLOOKUP(DATE($K$1,$K$2,TPF$4),Table1[],(MATCH(Calendar!$A18,DB!$1:$1,0)),FALSE)),"")</f>
        <v/>
      </c>
      <c r="TPG18" s="28" t="str">
        <f>IFERROR(IF(TPP3="No",IF(VLOOKUP(DATE($K$1,$K$2,TPG$4),Table1[],(MATCH(Calendar!$A18,DB!$1:$1,0)),FALSE)&gt;=5,"Good","Bad"),VLOOKUP(DATE($K$1,$K$2,TPG$4),Table1[],(MATCH(Calendar!$A18,DB!$1:$1,0)),FALSE)),"")</f>
        <v/>
      </c>
      <c r="TPH18" s="28" t="str">
        <f>IFERROR(IF(TPQ3="No",IF(VLOOKUP(DATE($K$1,$K$2,TPH$4),Table1[],(MATCH(Calendar!$A18,DB!$1:$1,0)),FALSE)&gt;=5,"Good","Bad"),VLOOKUP(DATE($K$1,$K$2,TPH$4),Table1[],(MATCH(Calendar!$A18,DB!$1:$1,0)),FALSE)),"")</f>
        <v/>
      </c>
      <c r="TPI18" s="28" t="str">
        <f>IFERROR(IF(TPR3="No",IF(VLOOKUP(DATE($K$1,$K$2,TPI$4),Table1[],(MATCH(Calendar!$A18,DB!$1:$1,0)),FALSE)&gt;=5,"Good","Bad"),VLOOKUP(DATE($K$1,$K$2,TPI$4),Table1[],(MATCH(Calendar!$A18,DB!$1:$1,0)),FALSE)),"")</f>
        <v/>
      </c>
      <c r="TPJ18" s="28" t="str">
        <f>IFERROR(IF(TPS3="No",IF(VLOOKUP(DATE($K$1,$K$2,TPJ$4),Table1[],(MATCH(Calendar!$A18,DB!$1:$1,0)),FALSE)&gt;=5,"Good","Bad"),VLOOKUP(DATE($K$1,$K$2,TPJ$4),Table1[],(MATCH(Calendar!$A18,DB!$1:$1,0)),FALSE)),"")</f>
        <v/>
      </c>
      <c r="TPK18" s="28" t="str">
        <f>IFERROR(IF(TPT3="No",IF(VLOOKUP(DATE($K$1,$K$2,TPK$4),Table1[],(MATCH(Calendar!$A18,DB!$1:$1,0)),FALSE)&gt;=5,"Good","Bad"),VLOOKUP(DATE($K$1,$K$2,TPK$4),Table1[],(MATCH(Calendar!$A18,DB!$1:$1,0)),FALSE)),"")</f>
        <v/>
      </c>
      <c r="TPL18" s="28" t="str">
        <f>IFERROR(IF(TPU3="No",IF(VLOOKUP(DATE($K$1,$K$2,TPL$4),Table1[],(MATCH(Calendar!$A18,DB!$1:$1,0)),FALSE)&gt;=5,"Good","Bad"),VLOOKUP(DATE($K$1,$K$2,TPL$4),Table1[],(MATCH(Calendar!$A18,DB!$1:$1,0)),FALSE)),"")</f>
        <v/>
      </c>
      <c r="TPM18" s="28" t="str">
        <f>IFERROR(IF(TPV3="No",IF(VLOOKUP(DATE($K$1,$K$2,TPM$4),Table1[],(MATCH(Calendar!$A18,DB!$1:$1,0)),FALSE)&gt;=5,"Good","Bad"),VLOOKUP(DATE($K$1,$K$2,TPM$4),Table1[],(MATCH(Calendar!$A18,DB!$1:$1,0)),FALSE)),"")</f>
        <v/>
      </c>
      <c r="TPN18" s="28" t="str">
        <f>IFERROR(IF(TPW3="No",IF(VLOOKUP(DATE($K$1,$K$2,TPN$4),Table1[],(MATCH(Calendar!$A18,DB!$1:$1,0)),FALSE)&gt;=5,"Good","Bad"),VLOOKUP(DATE($K$1,$K$2,TPN$4),Table1[],(MATCH(Calendar!$A18,DB!$1:$1,0)),FALSE)),"")</f>
        <v/>
      </c>
      <c r="TPO18" s="28" t="str">
        <f>IFERROR(IF(TPX3="No",IF(VLOOKUP(DATE($K$1,$K$2,TPO$4),Table1[],(MATCH(Calendar!$A18,DB!$1:$1,0)),FALSE)&gt;=5,"Good","Bad"),VLOOKUP(DATE($K$1,$K$2,TPO$4),Table1[],(MATCH(Calendar!$A18,DB!$1:$1,0)),FALSE)),"")</f>
        <v/>
      </c>
      <c r="TPP18" s="28" t="str">
        <f>IFERROR(IF(TPY3="No",IF(VLOOKUP(DATE($K$1,$K$2,TPP$4),Table1[],(MATCH(Calendar!$A18,DB!$1:$1,0)),FALSE)&gt;=5,"Good","Bad"),VLOOKUP(DATE($K$1,$K$2,TPP$4),Table1[],(MATCH(Calendar!$A18,DB!$1:$1,0)),FALSE)),"")</f>
        <v/>
      </c>
      <c r="TPQ18" s="28" t="str">
        <f>IFERROR(IF(TPZ3="No",IF(VLOOKUP(DATE($K$1,$K$2,TPQ$4),Table1[],(MATCH(Calendar!$A18,DB!$1:$1,0)),FALSE)&gt;=5,"Good","Bad"),VLOOKUP(DATE($K$1,$K$2,TPQ$4),Table1[],(MATCH(Calendar!$A18,DB!$1:$1,0)),FALSE)),"")</f>
        <v/>
      </c>
      <c r="TPR18" s="28" t="str">
        <f>IFERROR(IF(TQA3="No",IF(VLOOKUP(DATE($K$1,$K$2,TPR$4),Table1[],(MATCH(Calendar!$A18,DB!$1:$1,0)),FALSE)&gt;=5,"Good","Bad"),VLOOKUP(DATE($K$1,$K$2,TPR$4),Table1[],(MATCH(Calendar!$A18,DB!$1:$1,0)),FALSE)),"")</f>
        <v/>
      </c>
      <c r="TPS18" s="28" t="str">
        <f>IFERROR(IF(TQB3="No",IF(VLOOKUP(DATE($K$1,$K$2,TPS$4),Table1[],(MATCH(Calendar!$A18,DB!$1:$1,0)),FALSE)&gt;=5,"Good","Bad"),VLOOKUP(DATE($K$1,$K$2,TPS$4),Table1[],(MATCH(Calendar!$A18,DB!$1:$1,0)),FALSE)),"")</f>
        <v/>
      </c>
      <c r="TPT18" s="28" t="str">
        <f>IFERROR(IF(TQC3="No",IF(VLOOKUP(DATE($K$1,$K$2,TPT$4),Table1[],(MATCH(Calendar!$A18,DB!$1:$1,0)),FALSE)&gt;=5,"Good","Bad"),VLOOKUP(DATE($K$1,$K$2,TPT$4),Table1[],(MATCH(Calendar!$A18,DB!$1:$1,0)),FALSE)),"")</f>
        <v/>
      </c>
      <c r="TPU18" s="28" t="str">
        <f>IFERROR(IF(TQD3="No",IF(VLOOKUP(DATE($K$1,$K$2,TPU$4),Table1[],(MATCH(Calendar!$A18,DB!$1:$1,0)),FALSE)&gt;=5,"Good","Bad"),VLOOKUP(DATE($K$1,$K$2,TPU$4),Table1[],(MATCH(Calendar!$A18,DB!$1:$1,0)),FALSE)),"")</f>
        <v/>
      </c>
      <c r="TPV18" s="28" t="str">
        <f>IFERROR(IF(TQE3="No",IF(VLOOKUP(DATE($K$1,$K$2,TPV$4),Table1[],(MATCH(Calendar!$A18,DB!$1:$1,0)),FALSE)&gt;=5,"Good","Bad"),VLOOKUP(DATE($K$1,$K$2,TPV$4),Table1[],(MATCH(Calendar!$A18,DB!$1:$1,0)),FALSE)),"")</f>
        <v/>
      </c>
      <c r="TPW18" s="28" t="str">
        <f>IFERROR(IF(TQF3="No",IF(VLOOKUP(DATE($K$1,$K$2,TPW$4),Table1[],(MATCH(Calendar!$A18,DB!$1:$1,0)),FALSE)&gt;=5,"Good","Bad"),VLOOKUP(DATE($K$1,$K$2,TPW$4),Table1[],(MATCH(Calendar!$A18,DB!$1:$1,0)),FALSE)),"")</f>
        <v/>
      </c>
      <c r="TPX18" s="28" t="str">
        <f>IFERROR(IF(TQG3="No",IF(VLOOKUP(DATE($K$1,$K$2,TPX$4),Table1[],(MATCH(Calendar!$A18,DB!$1:$1,0)),FALSE)&gt;=5,"Good","Bad"),VLOOKUP(DATE($K$1,$K$2,TPX$4),Table1[],(MATCH(Calendar!$A18,DB!$1:$1,0)),FALSE)),"")</f>
        <v/>
      </c>
      <c r="TPY18" s="28" t="str">
        <f>IFERROR(IF(TQH3="No",IF(VLOOKUP(DATE($K$1,$K$2,TPY$4),Table1[],(MATCH(Calendar!$A18,DB!$1:$1,0)),FALSE)&gt;=5,"Good","Bad"),VLOOKUP(DATE($K$1,$K$2,TPY$4),Table1[],(MATCH(Calendar!$A18,DB!$1:$1,0)),FALSE)),"")</f>
        <v/>
      </c>
      <c r="TPZ18" s="28" t="str">
        <f>IFERROR(IF(TQI3="No",IF(VLOOKUP(DATE($K$1,$K$2,TPZ$4),Table1[],(MATCH(Calendar!$A18,DB!$1:$1,0)),FALSE)&gt;=5,"Good","Bad"),VLOOKUP(DATE($K$1,$K$2,TPZ$4),Table1[],(MATCH(Calendar!$A18,DB!$1:$1,0)),FALSE)),"")</f>
        <v/>
      </c>
      <c r="TQA18" s="28" t="str">
        <f>IFERROR(IF(TQJ3="No",IF(VLOOKUP(DATE($K$1,$K$2,TQA$4),Table1[],(MATCH(Calendar!$A18,DB!$1:$1,0)),FALSE)&gt;=5,"Good","Bad"),VLOOKUP(DATE($K$1,$K$2,TQA$4),Table1[],(MATCH(Calendar!$A18,DB!$1:$1,0)),FALSE)),"")</f>
        <v/>
      </c>
      <c r="TQB18" s="28" t="str">
        <f>IFERROR(IF(TQK3="No",IF(VLOOKUP(DATE($K$1,$K$2,TQB$4),Table1[],(MATCH(Calendar!$A18,DB!$1:$1,0)),FALSE)&gt;=5,"Good","Bad"),VLOOKUP(DATE($K$1,$K$2,TQB$4),Table1[],(MATCH(Calendar!$A18,DB!$1:$1,0)),FALSE)),"")</f>
        <v/>
      </c>
      <c r="TQC18" s="28" t="str">
        <f>IFERROR(IF(TQL3="No",IF(VLOOKUP(DATE($K$1,$K$2,TQC$4),Table1[],(MATCH(Calendar!$A18,DB!$1:$1,0)),FALSE)&gt;=5,"Good","Bad"),VLOOKUP(DATE($K$1,$K$2,TQC$4),Table1[],(MATCH(Calendar!$A18,DB!$1:$1,0)),FALSE)),"")</f>
        <v/>
      </c>
      <c r="TQD18" s="28" t="str">
        <f>IFERROR(IF(TQM3="No",IF(VLOOKUP(DATE($K$1,$K$2,TQD$4),Table1[],(MATCH(Calendar!$A18,DB!$1:$1,0)),FALSE)&gt;=5,"Good","Bad"),VLOOKUP(DATE($K$1,$K$2,TQD$4),Table1[],(MATCH(Calendar!$A18,DB!$1:$1,0)),FALSE)),"")</f>
        <v/>
      </c>
      <c r="TQE18" s="28" t="str">
        <f>IFERROR(IF(TQN3="No",IF(VLOOKUP(DATE($K$1,$K$2,TQE$4),Table1[],(MATCH(Calendar!$A18,DB!$1:$1,0)),FALSE)&gt;=5,"Good","Bad"),VLOOKUP(DATE($K$1,$K$2,TQE$4),Table1[],(MATCH(Calendar!$A18,DB!$1:$1,0)),FALSE)),"")</f>
        <v/>
      </c>
      <c r="TQF18" s="28" t="str">
        <f>IFERROR(IF(TQO3="No",IF(VLOOKUP(DATE($K$1,$K$2,TQF$4),Table1[],(MATCH(Calendar!$A18,DB!$1:$1,0)),FALSE)&gt;=5,"Good","Bad"),VLOOKUP(DATE($K$1,$K$2,TQF$4),Table1[],(MATCH(Calendar!$A18,DB!$1:$1,0)),FALSE)),"")</f>
        <v/>
      </c>
      <c r="TQG18" s="28" t="str">
        <f>IFERROR(IF(TQP3="No",IF(VLOOKUP(DATE($K$1,$K$2,TQG$4),Table1[],(MATCH(Calendar!$A18,DB!$1:$1,0)),FALSE)&gt;=5,"Good","Bad"),VLOOKUP(DATE($K$1,$K$2,TQG$4),Table1[],(MATCH(Calendar!$A18,DB!$1:$1,0)),FALSE)),"")</f>
        <v/>
      </c>
      <c r="TQH18" s="28" t="str">
        <f>IFERROR(IF(TQQ3="No",IF(VLOOKUP(DATE($K$1,$K$2,TQH$4),Table1[],(MATCH(Calendar!$A18,DB!$1:$1,0)),FALSE)&gt;=5,"Good","Bad"),VLOOKUP(DATE($K$1,$K$2,TQH$4),Table1[],(MATCH(Calendar!$A18,DB!$1:$1,0)),FALSE)),"")</f>
        <v/>
      </c>
      <c r="TQI18" s="28" t="str">
        <f>IFERROR(IF(TQR3="No",IF(VLOOKUP(DATE($K$1,$K$2,TQI$4),Table1[],(MATCH(Calendar!$A18,DB!$1:$1,0)),FALSE)&gt;=5,"Good","Bad"),VLOOKUP(DATE($K$1,$K$2,TQI$4),Table1[],(MATCH(Calendar!$A18,DB!$1:$1,0)),FALSE)),"")</f>
        <v/>
      </c>
      <c r="TQJ18" s="28" t="str">
        <f>IFERROR(IF(TQS3="No",IF(VLOOKUP(DATE($K$1,$K$2,TQJ$4),Table1[],(MATCH(Calendar!$A18,DB!$1:$1,0)),FALSE)&gt;=5,"Good","Bad"),VLOOKUP(DATE($K$1,$K$2,TQJ$4),Table1[],(MATCH(Calendar!$A18,DB!$1:$1,0)),FALSE)),"")</f>
        <v/>
      </c>
      <c r="TQK18" s="28" t="str">
        <f>IFERROR(IF(TQT3="No",IF(VLOOKUP(DATE($K$1,$K$2,TQK$4),Table1[],(MATCH(Calendar!$A18,DB!$1:$1,0)),FALSE)&gt;=5,"Good","Bad"),VLOOKUP(DATE($K$1,$K$2,TQK$4),Table1[],(MATCH(Calendar!$A18,DB!$1:$1,0)),FALSE)),"")</f>
        <v/>
      </c>
      <c r="TQL18" s="28" t="str">
        <f>IFERROR(IF(TQU3="No",IF(VLOOKUP(DATE($K$1,$K$2,TQL$4),Table1[],(MATCH(Calendar!$A18,DB!$1:$1,0)),FALSE)&gt;=5,"Good","Bad"),VLOOKUP(DATE($K$1,$K$2,TQL$4),Table1[],(MATCH(Calendar!$A18,DB!$1:$1,0)),FALSE)),"")</f>
        <v/>
      </c>
      <c r="TQM18" s="28" t="str">
        <f>IFERROR(IF(TQV3="No",IF(VLOOKUP(DATE($K$1,$K$2,TQM$4),Table1[],(MATCH(Calendar!$A18,DB!$1:$1,0)),FALSE)&gt;=5,"Good","Bad"),VLOOKUP(DATE($K$1,$K$2,TQM$4),Table1[],(MATCH(Calendar!$A18,DB!$1:$1,0)),FALSE)),"")</f>
        <v/>
      </c>
      <c r="TQN18" s="28" t="str">
        <f>IFERROR(IF(TQW3="No",IF(VLOOKUP(DATE($K$1,$K$2,TQN$4),Table1[],(MATCH(Calendar!$A18,DB!$1:$1,0)),FALSE)&gt;=5,"Good","Bad"),VLOOKUP(DATE($K$1,$K$2,TQN$4),Table1[],(MATCH(Calendar!$A18,DB!$1:$1,0)),FALSE)),"")</f>
        <v/>
      </c>
      <c r="TQO18" s="28" t="str">
        <f>IFERROR(IF(TQX3="No",IF(VLOOKUP(DATE($K$1,$K$2,TQO$4),Table1[],(MATCH(Calendar!$A18,DB!$1:$1,0)),FALSE)&gt;=5,"Good","Bad"),VLOOKUP(DATE($K$1,$K$2,TQO$4),Table1[],(MATCH(Calendar!$A18,DB!$1:$1,0)),FALSE)),"")</f>
        <v/>
      </c>
      <c r="TQP18" s="28" t="str">
        <f>IFERROR(IF(TQY3="No",IF(VLOOKUP(DATE($K$1,$K$2,TQP$4),Table1[],(MATCH(Calendar!$A18,DB!$1:$1,0)),FALSE)&gt;=5,"Good","Bad"),VLOOKUP(DATE($K$1,$K$2,TQP$4),Table1[],(MATCH(Calendar!$A18,DB!$1:$1,0)),FALSE)),"")</f>
        <v/>
      </c>
      <c r="TQQ18" s="28" t="str">
        <f>IFERROR(IF(TQZ3="No",IF(VLOOKUP(DATE($K$1,$K$2,TQQ$4),Table1[],(MATCH(Calendar!$A18,DB!$1:$1,0)),FALSE)&gt;=5,"Good","Bad"),VLOOKUP(DATE($K$1,$K$2,TQQ$4),Table1[],(MATCH(Calendar!$A18,DB!$1:$1,0)),FALSE)),"")</f>
        <v/>
      </c>
      <c r="TQR18" s="28" t="str">
        <f>IFERROR(IF(TRA3="No",IF(VLOOKUP(DATE($K$1,$K$2,TQR$4),Table1[],(MATCH(Calendar!$A18,DB!$1:$1,0)),FALSE)&gt;=5,"Good","Bad"),VLOOKUP(DATE($K$1,$K$2,TQR$4),Table1[],(MATCH(Calendar!$A18,DB!$1:$1,0)),FALSE)),"")</f>
        <v/>
      </c>
      <c r="TQS18" s="28" t="str">
        <f>IFERROR(IF(TRB3="No",IF(VLOOKUP(DATE($K$1,$K$2,TQS$4),Table1[],(MATCH(Calendar!$A18,DB!$1:$1,0)),FALSE)&gt;=5,"Good","Bad"),VLOOKUP(DATE($K$1,$K$2,TQS$4),Table1[],(MATCH(Calendar!$A18,DB!$1:$1,0)),FALSE)),"")</f>
        <v/>
      </c>
      <c r="TQT18" s="28" t="str">
        <f>IFERROR(IF(TRC3="No",IF(VLOOKUP(DATE($K$1,$K$2,TQT$4),Table1[],(MATCH(Calendar!$A18,DB!$1:$1,0)),FALSE)&gt;=5,"Good","Bad"),VLOOKUP(DATE($K$1,$K$2,TQT$4),Table1[],(MATCH(Calendar!$A18,DB!$1:$1,0)),FALSE)),"")</f>
        <v/>
      </c>
      <c r="TQU18" s="28" t="str">
        <f>IFERROR(IF(TRD3="No",IF(VLOOKUP(DATE($K$1,$K$2,TQU$4),Table1[],(MATCH(Calendar!$A18,DB!$1:$1,0)),FALSE)&gt;=5,"Good","Bad"),VLOOKUP(DATE($K$1,$K$2,TQU$4),Table1[],(MATCH(Calendar!$A18,DB!$1:$1,0)),FALSE)),"")</f>
        <v/>
      </c>
      <c r="TQV18" s="28" t="str">
        <f>IFERROR(IF(TRE3="No",IF(VLOOKUP(DATE($K$1,$K$2,TQV$4),Table1[],(MATCH(Calendar!$A18,DB!$1:$1,0)),FALSE)&gt;=5,"Good","Bad"),VLOOKUP(DATE($K$1,$K$2,TQV$4),Table1[],(MATCH(Calendar!$A18,DB!$1:$1,0)),FALSE)),"")</f>
        <v/>
      </c>
      <c r="TQW18" s="28" t="str">
        <f>IFERROR(IF(TRF3="No",IF(VLOOKUP(DATE($K$1,$K$2,TQW$4),Table1[],(MATCH(Calendar!$A18,DB!$1:$1,0)),FALSE)&gt;=5,"Good","Bad"),VLOOKUP(DATE($K$1,$K$2,TQW$4),Table1[],(MATCH(Calendar!$A18,DB!$1:$1,0)),FALSE)),"")</f>
        <v/>
      </c>
      <c r="TQX18" s="28" t="str">
        <f>IFERROR(IF(TRG3="No",IF(VLOOKUP(DATE($K$1,$K$2,TQX$4),Table1[],(MATCH(Calendar!$A18,DB!$1:$1,0)),FALSE)&gt;=5,"Good","Bad"),VLOOKUP(DATE($K$1,$K$2,TQX$4),Table1[],(MATCH(Calendar!$A18,DB!$1:$1,0)),FALSE)),"")</f>
        <v/>
      </c>
      <c r="TQY18" s="28" t="str">
        <f>IFERROR(IF(TRH3="No",IF(VLOOKUP(DATE($K$1,$K$2,TQY$4),Table1[],(MATCH(Calendar!$A18,DB!$1:$1,0)),FALSE)&gt;=5,"Good","Bad"),VLOOKUP(DATE($K$1,$K$2,TQY$4),Table1[],(MATCH(Calendar!$A18,DB!$1:$1,0)),FALSE)),"")</f>
        <v/>
      </c>
      <c r="TQZ18" s="28" t="str">
        <f>IFERROR(IF(TRI3="No",IF(VLOOKUP(DATE($K$1,$K$2,TQZ$4),Table1[],(MATCH(Calendar!$A18,DB!$1:$1,0)),FALSE)&gt;=5,"Good","Bad"),VLOOKUP(DATE($K$1,$K$2,TQZ$4),Table1[],(MATCH(Calendar!$A18,DB!$1:$1,0)),FALSE)),"")</f>
        <v/>
      </c>
      <c r="TRA18" s="28" t="str">
        <f>IFERROR(IF(TRJ3="No",IF(VLOOKUP(DATE($K$1,$K$2,TRA$4),Table1[],(MATCH(Calendar!$A18,DB!$1:$1,0)),FALSE)&gt;=5,"Good","Bad"),VLOOKUP(DATE($K$1,$K$2,TRA$4),Table1[],(MATCH(Calendar!$A18,DB!$1:$1,0)),FALSE)),"")</f>
        <v/>
      </c>
      <c r="TRB18" s="28" t="str">
        <f>IFERROR(IF(TRK3="No",IF(VLOOKUP(DATE($K$1,$K$2,TRB$4),Table1[],(MATCH(Calendar!$A18,DB!$1:$1,0)),FALSE)&gt;=5,"Good","Bad"),VLOOKUP(DATE($K$1,$K$2,TRB$4),Table1[],(MATCH(Calendar!$A18,DB!$1:$1,0)),FALSE)),"")</f>
        <v/>
      </c>
      <c r="TRC18" s="28" t="str">
        <f>IFERROR(IF(TRL3="No",IF(VLOOKUP(DATE($K$1,$K$2,TRC$4),Table1[],(MATCH(Calendar!$A18,DB!$1:$1,0)),FALSE)&gt;=5,"Good","Bad"),VLOOKUP(DATE($K$1,$K$2,TRC$4),Table1[],(MATCH(Calendar!$A18,DB!$1:$1,0)),FALSE)),"")</f>
        <v/>
      </c>
      <c r="TRD18" s="28" t="str">
        <f>IFERROR(IF(TRM3="No",IF(VLOOKUP(DATE($K$1,$K$2,TRD$4),Table1[],(MATCH(Calendar!$A18,DB!$1:$1,0)),FALSE)&gt;=5,"Good","Bad"),VLOOKUP(DATE($K$1,$K$2,TRD$4),Table1[],(MATCH(Calendar!$A18,DB!$1:$1,0)),FALSE)),"")</f>
        <v/>
      </c>
      <c r="TRE18" s="28" t="str">
        <f>IFERROR(IF(TRN3="No",IF(VLOOKUP(DATE($K$1,$K$2,TRE$4),Table1[],(MATCH(Calendar!$A18,DB!$1:$1,0)),FALSE)&gt;=5,"Good","Bad"),VLOOKUP(DATE($K$1,$K$2,TRE$4),Table1[],(MATCH(Calendar!$A18,DB!$1:$1,0)),FALSE)),"")</f>
        <v/>
      </c>
      <c r="TRF18" s="28" t="str">
        <f>IFERROR(IF(TRO3="No",IF(VLOOKUP(DATE($K$1,$K$2,TRF$4),Table1[],(MATCH(Calendar!$A18,DB!$1:$1,0)),FALSE)&gt;=5,"Good","Bad"),VLOOKUP(DATE($K$1,$K$2,TRF$4),Table1[],(MATCH(Calendar!$A18,DB!$1:$1,0)),FALSE)),"")</f>
        <v/>
      </c>
      <c r="TRG18" s="28" t="str">
        <f>IFERROR(IF(TRP3="No",IF(VLOOKUP(DATE($K$1,$K$2,TRG$4),Table1[],(MATCH(Calendar!$A18,DB!$1:$1,0)),FALSE)&gt;=5,"Good","Bad"),VLOOKUP(DATE($K$1,$K$2,TRG$4),Table1[],(MATCH(Calendar!$A18,DB!$1:$1,0)),FALSE)),"")</f>
        <v/>
      </c>
      <c r="TRH18" s="28" t="str">
        <f>IFERROR(IF(TRQ3="No",IF(VLOOKUP(DATE($K$1,$K$2,TRH$4),Table1[],(MATCH(Calendar!$A18,DB!$1:$1,0)),FALSE)&gt;=5,"Good","Bad"),VLOOKUP(DATE($K$1,$K$2,TRH$4),Table1[],(MATCH(Calendar!$A18,DB!$1:$1,0)),FALSE)),"")</f>
        <v/>
      </c>
      <c r="TRI18" s="28" t="str">
        <f>IFERROR(IF(TRR3="No",IF(VLOOKUP(DATE($K$1,$K$2,TRI$4),Table1[],(MATCH(Calendar!$A18,DB!$1:$1,0)),FALSE)&gt;=5,"Good","Bad"),VLOOKUP(DATE($K$1,$K$2,TRI$4),Table1[],(MATCH(Calendar!$A18,DB!$1:$1,0)),FALSE)),"")</f>
        <v/>
      </c>
      <c r="TRJ18" s="28" t="str">
        <f>IFERROR(IF(TRS3="No",IF(VLOOKUP(DATE($K$1,$K$2,TRJ$4),Table1[],(MATCH(Calendar!$A18,DB!$1:$1,0)),FALSE)&gt;=5,"Good","Bad"),VLOOKUP(DATE($K$1,$K$2,TRJ$4),Table1[],(MATCH(Calendar!$A18,DB!$1:$1,0)),FALSE)),"")</f>
        <v/>
      </c>
      <c r="TRK18" s="28" t="str">
        <f>IFERROR(IF(TRT3="No",IF(VLOOKUP(DATE($K$1,$K$2,TRK$4),Table1[],(MATCH(Calendar!$A18,DB!$1:$1,0)),FALSE)&gt;=5,"Good","Bad"),VLOOKUP(DATE($K$1,$K$2,TRK$4),Table1[],(MATCH(Calendar!$A18,DB!$1:$1,0)),FALSE)),"")</f>
        <v/>
      </c>
      <c r="TRL18" s="28" t="str">
        <f>IFERROR(IF(TRU3="No",IF(VLOOKUP(DATE($K$1,$K$2,TRL$4),Table1[],(MATCH(Calendar!$A18,DB!$1:$1,0)),FALSE)&gt;=5,"Good","Bad"),VLOOKUP(DATE($K$1,$K$2,TRL$4),Table1[],(MATCH(Calendar!$A18,DB!$1:$1,0)),FALSE)),"")</f>
        <v/>
      </c>
      <c r="TRM18" s="28" t="str">
        <f>IFERROR(IF(TRV3="No",IF(VLOOKUP(DATE($K$1,$K$2,TRM$4),Table1[],(MATCH(Calendar!$A18,DB!$1:$1,0)),FALSE)&gt;=5,"Good","Bad"),VLOOKUP(DATE($K$1,$K$2,TRM$4),Table1[],(MATCH(Calendar!$A18,DB!$1:$1,0)),FALSE)),"")</f>
        <v/>
      </c>
      <c r="TRN18" s="28" t="str">
        <f>IFERROR(IF(TRW3="No",IF(VLOOKUP(DATE($K$1,$K$2,TRN$4),Table1[],(MATCH(Calendar!$A18,DB!$1:$1,0)),FALSE)&gt;=5,"Good","Bad"),VLOOKUP(DATE($K$1,$K$2,TRN$4),Table1[],(MATCH(Calendar!$A18,DB!$1:$1,0)),FALSE)),"")</f>
        <v/>
      </c>
      <c r="TRO18" s="28" t="str">
        <f>IFERROR(IF(TRX3="No",IF(VLOOKUP(DATE($K$1,$K$2,TRO$4),Table1[],(MATCH(Calendar!$A18,DB!$1:$1,0)),FALSE)&gt;=5,"Good","Bad"),VLOOKUP(DATE($K$1,$K$2,TRO$4),Table1[],(MATCH(Calendar!$A18,DB!$1:$1,0)),FALSE)),"")</f>
        <v/>
      </c>
      <c r="TRP18" s="28" t="str">
        <f>IFERROR(IF(TRY3="No",IF(VLOOKUP(DATE($K$1,$K$2,TRP$4),Table1[],(MATCH(Calendar!$A18,DB!$1:$1,0)),FALSE)&gt;=5,"Good","Bad"),VLOOKUP(DATE($K$1,$K$2,TRP$4),Table1[],(MATCH(Calendar!$A18,DB!$1:$1,0)),FALSE)),"")</f>
        <v/>
      </c>
      <c r="TRQ18" s="28" t="str">
        <f>IFERROR(IF(TRZ3="No",IF(VLOOKUP(DATE($K$1,$K$2,TRQ$4),Table1[],(MATCH(Calendar!$A18,DB!$1:$1,0)),FALSE)&gt;=5,"Good","Bad"),VLOOKUP(DATE($K$1,$K$2,TRQ$4),Table1[],(MATCH(Calendar!$A18,DB!$1:$1,0)),FALSE)),"")</f>
        <v/>
      </c>
      <c r="TRR18" s="28" t="str">
        <f>IFERROR(IF(TSA3="No",IF(VLOOKUP(DATE($K$1,$K$2,TRR$4),Table1[],(MATCH(Calendar!$A18,DB!$1:$1,0)),FALSE)&gt;=5,"Good","Bad"),VLOOKUP(DATE($K$1,$K$2,TRR$4),Table1[],(MATCH(Calendar!$A18,DB!$1:$1,0)),FALSE)),"")</f>
        <v/>
      </c>
      <c r="TRS18" s="28" t="str">
        <f>IFERROR(IF(TSB3="No",IF(VLOOKUP(DATE($K$1,$K$2,TRS$4),Table1[],(MATCH(Calendar!$A18,DB!$1:$1,0)),FALSE)&gt;=5,"Good","Bad"),VLOOKUP(DATE($K$1,$K$2,TRS$4),Table1[],(MATCH(Calendar!$A18,DB!$1:$1,0)),FALSE)),"")</f>
        <v/>
      </c>
      <c r="TRT18" s="28" t="str">
        <f>IFERROR(IF(TSC3="No",IF(VLOOKUP(DATE($K$1,$K$2,TRT$4),Table1[],(MATCH(Calendar!$A18,DB!$1:$1,0)),FALSE)&gt;=5,"Good","Bad"),VLOOKUP(DATE($K$1,$K$2,TRT$4),Table1[],(MATCH(Calendar!$A18,DB!$1:$1,0)),FALSE)),"")</f>
        <v/>
      </c>
      <c r="TRU18" s="28" t="str">
        <f>IFERROR(IF(TSD3="No",IF(VLOOKUP(DATE($K$1,$K$2,TRU$4),Table1[],(MATCH(Calendar!$A18,DB!$1:$1,0)),FALSE)&gt;=5,"Good","Bad"),VLOOKUP(DATE($K$1,$K$2,TRU$4),Table1[],(MATCH(Calendar!$A18,DB!$1:$1,0)),FALSE)),"")</f>
        <v/>
      </c>
      <c r="TRV18" s="28" t="str">
        <f>IFERROR(IF(TSE3="No",IF(VLOOKUP(DATE($K$1,$K$2,TRV$4),Table1[],(MATCH(Calendar!$A18,DB!$1:$1,0)),FALSE)&gt;=5,"Good","Bad"),VLOOKUP(DATE($K$1,$K$2,TRV$4),Table1[],(MATCH(Calendar!$A18,DB!$1:$1,0)),FALSE)),"")</f>
        <v/>
      </c>
      <c r="TRW18" s="28" t="str">
        <f>IFERROR(IF(TSF3="No",IF(VLOOKUP(DATE($K$1,$K$2,TRW$4),Table1[],(MATCH(Calendar!$A18,DB!$1:$1,0)),FALSE)&gt;=5,"Good","Bad"),VLOOKUP(DATE($K$1,$K$2,TRW$4),Table1[],(MATCH(Calendar!$A18,DB!$1:$1,0)),FALSE)),"")</f>
        <v/>
      </c>
      <c r="TRX18" s="28" t="str">
        <f>IFERROR(IF(TSG3="No",IF(VLOOKUP(DATE($K$1,$K$2,TRX$4),Table1[],(MATCH(Calendar!$A18,DB!$1:$1,0)),FALSE)&gt;=5,"Good","Bad"),VLOOKUP(DATE($K$1,$K$2,TRX$4),Table1[],(MATCH(Calendar!$A18,DB!$1:$1,0)),FALSE)),"")</f>
        <v/>
      </c>
      <c r="TRY18" s="28" t="str">
        <f>IFERROR(IF(TSH3="No",IF(VLOOKUP(DATE($K$1,$K$2,TRY$4),Table1[],(MATCH(Calendar!$A18,DB!$1:$1,0)),FALSE)&gt;=5,"Good","Bad"),VLOOKUP(DATE($K$1,$K$2,TRY$4),Table1[],(MATCH(Calendar!$A18,DB!$1:$1,0)),FALSE)),"")</f>
        <v/>
      </c>
      <c r="TRZ18" s="28" t="str">
        <f>IFERROR(IF(TSI3="No",IF(VLOOKUP(DATE($K$1,$K$2,TRZ$4),Table1[],(MATCH(Calendar!$A18,DB!$1:$1,0)),FALSE)&gt;=5,"Good","Bad"),VLOOKUP(DATE($K$1,$K$2,TRZ$4),Table1[],(MATCH(Calendar!$A18,DB!$1:$1,0)),FALSE)),"")</f>
        <v/>
      </c>
      <c r="TSA18" s="28" t="str">
        <f>IFERROR(IF(TSJ3="No",IF(VLOOKUP(DATE($K$1,$K$2,TSA$4),Table1[],(MATCH(Calendar!$A18,DB!$1:$1,0)),FALSE)&gt;=5,"Good","Bad"),VLOOKUP(DATE($K$1,$K$2,TSA$4),Table1[],(MATCH(Calendar!$A18,DB!$1:$1,0)),FALSE)),"")</f>
        <v/>
      </c>
      <c r="TSB18" s="28" t="str">
        <f>IFERROR(IF(TSK3="No",IF(VLOOKUP(DATE($K$1,$K$2,TSB$4),Table1[],(MATCH(Calendar!$A18,DB!$1:$1,0)),FALSE)&gt;=5,"Good","Bad"),VLOOKUP(DATE($K$1,$K$2,TSB$4),Table1[],(MATCH(Calendar!$A18,DB!$1:$1,0)),FALSE)),"")</f>
        <v/>
      </c>
      <c r="TSC18" s="28" t="str">
        <f>IFERROR(IF(TSL3="No",IF(VLOOKUP(DATE($K$1,$K$2,TSC$4),Table1[],(MATCH(Calendar!$A18,DB!$1:$1,0)),FALSE)&gt;=5,"Good","Bad"),VLOOKUP(DATE($K$1,$K$2,TSC$4),Table1[],(MATCH(Calendar!$A18,DB!$1:$1,0)),FALSE)),"")</f>
        <v/>
      </c>
      <c r="TSD18" s="28" t="str">
        <f>IFERROR(IF(TSM3="No",IF(VLOOKUP(DATE($K$1,$K$2,TSD$4),Table1[],(MATCH(Calendar!$A18,DB!$1:$1,0)),FALSE)&gt;=5,"Good","Bad"),VLOOKUP(DATE($K$1,$K$2,TSD$4),Table1[],(MATCH(Calendar!$A18,DB!$1:$1,0)),FALSE)),"")</f>
        <v/>
      </c>
      <c r="TSE18" s="28" t="str">
        <f>IFERROR(IF(TSN3="No",IF(VLOOKUP(DATE($K$1,$K$2,TSE$4),Table1[],(MATCH(Calendar!$A18,DB!$1:$1,0)),FALSE)&gt;=5,"Good","Bad"),VLOOKUP(DATE($K$1,$K$2,TSE$4),Table1[],(MATCH(Calendar!$A18,DB!$1:$1,0)),FALSE)),"")</f>
        <v/>
      </c>
      <c r="TSF18" s="28" t="str">
        <f>IFERROR(IF(TSO3="No",IF(VLOOKUP(DATE($K$1,$K$2,TSF$4),Table1[],(MATCH(Calendar!$A18,DB!$1:$1,0)),FALSE)&gt;=5,"Good","Bad"),VLOOKUP(DATE($K$1,$K$2,TSF$4),Table1[],(MATCH(Calendar!$A18,DB!$1:$1,0)),FALSE)),"")</f>
        <v/>
      </c>
      <c r="TSG18" s="28" t="str">
        <f>IFERROR(IF(TSP3="No",IF(VLOOKUP(DATE($K$1,$K$2,TSG$4),Table1[],(MATCH(Calendar!$A18,DB!$1:$1,0)),FALSE)&gt;=5,"Good","Bad"),VLOOKUP(DATE($K$1,$K$2,TSG$4),Table1[],(MATCH(Calendar!$A18,DB!$1:$1,0)),FALSE)),"")</f>
        <v/>
      </c>
      <c r="TSH18" s="28" t="str">
        <f>IFERROR(IF(TSQ3="No",IF(VLOOKUP(DATE($K$1,$K$2,TSH$4),Table1[],(MATCH(Calendar!$A18,DB!$1:$1,0)),FALSE)&gt;=5,"Good","Bad"),VLOOKUP(DATE($K$1,$K$2,TSH$4),Table1[],(MATCH(Calendar!$A18,DB!$1:$1,0)),FALSE)),"")</f>
        <v/>
      </c>
      <c r="TSI18" s="28" t="str">
        <f>IFERROR(IF(TSR3="No",IF(VLOOKUP(DATE($K$1,$K$2,TSI$4),Table1[],(MATCH(Calendar!$A18,DB!$1:$1,0)),FALSE)&gt;=5,"Good","Bad"),VLOOKUP(DATE($K$1,$K$2,TSI$4),Table1[],(MATCH(Calendar!$A18,DB!$1:$1,0)),FALSE)),"")</f>
        <v/>
      </c>
      <c r="TSJ18" s="28" t="str">
        <f>IFERROR(IF(TSS3="No",IF(VLOOKUP(DATE($K$1,$K$2,TSJ$4),Table1[],(MATCH(Calendar!$A18,DB!$1:$1,0)),FALSE)&gt;=5,"Good","Bad"),VLOOKUP(DATE($K$1,$K$2,TSJ$4),Table1[],(MATCH(Calendar!$A18,DB!$1:$1,0)),FALSE)),"")</f>
        <v/>
      </c>
      <c r="TSK18" s="28" t="str">
        <f>IFERROR(IF(TST3="No",IF(VLOOKUP(DATE($K$1,$K$2,TSK$4),Table1[],(MATCH(Calendar!$A18,DB!$1:$1,0)),FALSE)&gt;=5,"Good","Bad"),VLOOKUP(DATE($K$1,$K$2,TSK$4),Table1[],(MATCH(Calendar!$A18,DB!$1:$1,0)),FALSE)),"")</f>
        <v/>
      </c>
      <c r="TSL18" s="28" t="str">
        <f>IFERROR(IF(TSU3="No",IF(VLOOKUP(DATE($K$1,$K$2,TSL$4),Table1[],(MATCH(Calendar!$A18,DB!$1:$1,0)),FALSE)&gt;=5,"Good","Bad"),VLOOKUP(DATE($K$1,$K$2,TSL$4),Table1[],(MATCH(Calendar!$A18,DB!$1:$1,0)),FALSE)),"")</f>
        <v/>
      </c>
      <c r="TSM18" s="28" t="str">
        <f>IFERROR(IF(TSV3="No",IF(VLOOKUP(DATE($K$1,$K$2,TSM$4),Table1[],(MATCH(Calendar!$A18,DB!$1:$1,0)),FALSE)&gt;=5,"Good","Bad"),VLOOKUP(DATE($K$1,$K$2,TSM$4),Table1[],(MATCH(Calendar!$A18,DB!$1:$1,0)),FALSE)),"")</f>
        <v/>
      </c>
      <c r="TSN18" s="28" t="str">
        <f>IFERROR(IF(TSW3="No",IF(VLOOKUP(DATE($K$1,$K$2,TSN$4),Table1[],(MATCH(Calendar!$A18,DB!$1:$1,0)),FALSE)&gt;=5,"Good","Bad"),VLOOKUP(DATE($K$1,$K$2,TSN$4),Table1[],(MATCH(Calendar!$A18,DB!$1:$1,0)),FALSE)),"")</f>
        <v/>
      </c>
      <c r="TSO18" s="28" t="str">
        <f>IFERROR(IF(TSX3="No",IF(VLOOKUP(DATE($K$1,$K$2,TSO$4),Table1[],(MATCH(Calendar!$A18,DB!$1:$1,0)),FALSE)&gt;=5,"Good","Bad"),VLOOKUP(DATE($K$1,$K$2,TSO$4),Table1[],(MATCH(Calendar!$A18,DB!$1:$1,0)),FALSE)),"")</f>
        <v/>
      </c>
      <c r="TSP18" s="28" t="str">
        <f>IFERROR(IF(TSY3="No",IF(VLOOKUP(DATE($K$1,$K$2,TSP$4),Table1[],(MATCH(Calendar!$A18,DB!$1:$1,0)),FALSE)&gt;=5,"Good","Bad"),VLOOKUP(DATE($K$1,$K$2,TSP$4),Table1[],(MATCH(Calendar!$A18,DB!$1:$1,0)),FALSE)),"")</f>
        <v/>
      </c>
      <c r="TSQ18" s="28" t="str">
        <f>IFERROR(IF(TSZ3="No",IF(VLOOKUP(DATE($K$1,$K$2,TSQ$4),Table1[],(MATCH(Calendar!$A18,DB!$1:$1,0)),FALSE)&gt;=5,"Good","Bad"),VLOOKUP(DATE($K$1,$K$2,TSQ$4),Table1[],(MATCH(Calendar!$A18,DB!$1:$1,0)),FALSE)),"")</f>
        <v/>
      </c>
      <c r="TSR18" s="28" t="str">
        <f>IFERROR(IF(TTA3="No",IF(VLOOKUP(DATE($K$1,$K$2,TSR$4),Table1[],(MATCH(Calendar!$A18,DB!$1:$1,0)),FALSE)&gt;=5,"Good","Bad"),VLOOKUP(DATE($K$1,$K$2,TSR$4),Table1[],(MATCH(Calendar!$A18,DB!$1:$1,0)),FALSE)),"")</f>
        <v/>
      </c>
      <c r="TSS18" s="28" t="str">
        <f>IFERROR(IF(TTB3="No",IF(VLOOKUP(DATE($K$1,$K$2,TSS$4),Table1[],(MATCH(Calendar!$A18,DB!$1:$1,0)),FALSE)&gt;=5,"Good","Bad"),VLOOKUP(DATE($K$1,$K$2,TSS$4),Table1[],(MATCH(Calendar!$A18,DB!$1:$1,0)),FALSE)),"")</f>
        <v/>
      </c>
      <c r="TST18" s="28" t="str">
        <f>IFERROR(IF(TTC3="No",IF(VLOOKUP(DATE($K$1,$K$2,TST$4),Table1[],(MATCH(Calendar!$A18,DB!$1:$1,0)),FALSE)&gt;=5,"Good","Bad"),VLOOKUP(DATE($K$1,$K$2,TST$4),Table1[],(MATCH(Calendar!$A18,DB!$1:$1,0)),FALSE)),"")</f>
        <v/>
      </c>
      <c r="TSU18" s="28" t="str">
        <f>IFERROR(IF(TTD3="No",IF(VLOOKUP(DATE($K$1,$K$2,TSU$4),Table1[],(MATCH(Calendar!$A18,DB!$1:$1,0)),FALSE)&gt;=5,"Good","Bad"),VLOOKUP(DATE($K$1,$K$2,TSU$4),Table1[],(MATCH(Calendar!$A18,DB!$1:$1,0)),FALSE)),"")</f>
        <v/>
      </c>
      <c r="TSV18" s="28" t="str">
        <f>IFERROR(IF(TTE3="No",IF(VLOOKUP(DATE($K$1,$K$2,TSV$4),Table1[],(MATCH(Calendar!$A18,DB!$1:$1,0)),FALSE)&gt;=5,"Good","Bad"),VLOOKUP(DATE($K$1,$K$2,TSV$4),Table1[],(MATCH(Calendar!$A18,DB!$1:$1,0)),FALSE)),"")</f>
        <v/>
      </c>
      <c r="TSW18" s="28" t="str">
        <f>IFERROR(IF(TTF3="No",IF(VLOOKUP(DATE($K$1,$K$2,TSW$4),Table1[],(MATCH(Calendar!$A18,DB!$1:$1,0)),FALSE)&gt;=5,"Good","Bad"),VLOOKUP(DATE($K$1,$K$2,TSW$4),Table1[],(MATCH(Calendar!$A18,DB!$1:$1,0)),FALSE)),"")</f>
        <v/>
      </c>
      <c r="TSX18" s="28" t="str">
        <f>IFERROR(IF(TTG3="No",IF(VLOOKUP(DATE($K$1,$K$2,TSX$4),Table1[],(MATCH(Calendar!$A18,DB!$1:$1,0)),FALSE)&gt;=5,"Good","Bad"),VLOOKUP(DATE($K$1,$K$2,TSX$4),Table1[],(MATCH(Calendar!$A18,DB!$1:$1,0)),FALSE)),"")</f>
        <v/>
      </c>
      <c r="TSY18" s="28" t="str">
        <f>IFERROR(IF(TTH3="No",IF(VLOOKUP(DATE($K$1,$K$2,TSY$4),Table1[],(MATCH(Calendar!$A18,DB!$1:$1,0)),FALSE)&gt;=5,"Good","Bad"),VLOOKUP(DATE($K$1,$K$2,TSY$4),Table1[],(MATCH(Calendar!$A18,DB!$1:$1,0)),FALSE)),"")</f>
        <v/>
      </c>
      <c r="TSZ18" s="28" t="str">
        <f>IFERROR(IF(TTI3="No",IF(VLOOKUP(DATE($K$1,$K$2,TSZ$4),Table1[],(MATCH(Calendar!$A18,DB!$1:$1,0)),FALSE)&gt;=5,"Good","Bad"),VLOOKUP(DATE($K$1,$K$2,TSZ$4),Table1[],(MATCH(Calendar!$A18,DB!$1:$1,0)),FALSE)),"")</f>
        <v/>
      </c>
      <c r="TTA18" s="28" t="str">
        <f>IFERROR(IF(TTJ3="No",IF(VLOOKUP(DATE($K$1,$K$2,TTA$4),Table1[],(MATCH(Calendar!$A18,DB!$1:$1,0)),FALSE)&gt;=5,"Good","Bad"),VLOOKUP(DATE($K$1,$K$2,TTA$4),Table1[],(MATCH(Calendar!$A18,DB!$1:$1,0)),FALSE)),"")</f>
        <v/>
      </c>
      <c r="TTB18" s="28" t="str">
        <f>IFERROR(IF(TTK3="No",IF(VLOOKUP(DATE($K$1,$K$2,TTB$4),Table1[],(MATCH(Calendar!$A18,DB!$1:$1,0)),FALSE)&gt;=5,"Good","Bad"),VLOOKUP(DATE($K$1,$K$2,TTB$4),Table1[],(MATCH(Calendar!$A18,DB!$1:$1,0)),FALSE)),"")</f>
        <v/>
      </c>
      <c r="TTC18" s="28" t="str">
        <f>IFERROR(IF(TTL3="No",IF(VLOOKUP(DATE($K$1,$K$2,TTC$4),Table1[],(MATCH(Calendar!$A18,DB!$1:$1,0)),FALSE)&gt;=5,"Good","Bad"),VLOOKUP(DATE($K$1,$K$2,TTC$4),Table1[],(MATCH(Calendar!$A18,DB!$1:$1,0)),FALSE)),"")</f>
        <v/>
      </c>
      <c r="TTD18" s="28" t="str">
        <f>IFERROR(IF(TTM3="No",IF(VLOOKUP(DATE($K$1,$K$2,TTD$4),Table1[],(MATCH(Calendar!$A18,DB!$1:$1,0)),FALSE)&gt;=5,"Good","Bad"),VLOOKUP(DATE($K$1,$K$2,TTD$4),Table1[],(MATCH(Calendar!$A18,DB!$1:$1,0)),FALSE)),"")</f>
        <v/>
      </c>
      <c r="TTE18" s="28" t="str">
        <f>IFERROR(IF(TTN3="No",IF(VLOOKUP(DATE($K$1,$K$2,TTE$4),Table1[],(MATCH(Calendar!$A18,DB!$1:$1,0)),FALSE)&gt;=5,"Good","Bad"),VLOOKUP(DATE($K$1,$K$2,TTE$4),Table1[],(MATCH(Calendar!$A18,DB!$1:$1,0)),FALSE)),"")</f>
        <v/>
      </c>
      <c r="TTF18" s="28" t="str">
        <f>IFERROR(IF(TTO3="No",IF(VLOOKUP(DATE($K$1,$K$2,TTF$4),Table1[],(MATCH(Calendar!$A18,DB!$1:$1,0)),FALSE)&gt;=5,"Good","Bad"),VLOOKUP(DATE($K$1,$K$2,TTF$4),Table1[],(MATCH(Calendar!$A18,DB!$1:$1,0)),FALSE)),"")</f>
        <v/>
      </c>
      <c r="TTG18" s="28" t="str">
        <f>IFERROR(IF(TTP3="No",IF(VLOOKUP(DATE($K$1,$K$2,TTG$4),Table1[],(MATCH(Calendar!$A18,DB!$1:$1,0)),FALSE)&gt;=5,"Good","Bad"),VLOOKUP(DATE($K$1,$K$2,TTG$4),Table1[],(MATCH(Calendar!$A18,DB!$1:$1,0)),FALSE)),"")</f>
        <v/>
      </c>
      <c r="TTH18" s="28" t="str">
        <f>IFERROR(IF(TTQ3="No",IF(VLOOKUP(DATE($K$1,$K$2,TTH$4),Table1[],(MATCH(Calendar!$A18,DB!$1:$1,0)),FALSE)&gt;=5,"Good","Bad"),VLOOKUP(DATE($K$1,$K$2,TTH$4),Table1[],(MATCH(Calendar!$A18,DB!$1:$1,0)),FALSE)),"")</f>
        <v/>
      </c>
      <c r="TTI18" s="28" t="str">
        <f>IFERROR(IF(TTR3="No",IF(VLOOKUP(DATE($K$1,$K$2,TTI$4),Table1[],(MATCH(Calendar!$A18,DB!$1:$1,0)),FALSE)&gt;=5,"Good","Bad"),VLOOKUP(DATE($K$1,$K$2,TTI$4),Table1[],(MATCH(Calendar!$A18,DB!$1:$1,0)),FALSE)),"")</f>
        <v/>
      </c>
      <c r="TTJ18" s="28" t="str">
        <f>IFERROR(IF(TTS3="No",IF(VLOOKUP(DATE($K$1,$K$2,TTJ$4),Table1[],(MATCH(Calendar!$A18,DB!$1:$1,0)),FALSE)&gt;=5,"Good","Bad"),VLOOKUP(DATE($K$1,$K$2,TTJ$4),Table1[],(MATCH(Calendar!$A18,DB!$1:$1,0)),FALSE)),"")</f>
        <v/>
      </c>
      <c r="TTK18" s="28" t="str">
        <f>IFERROR(IF(TTT3="No",IF(VLOOKUP(DATE($K$1,$K$2,TTK$4),Table1[],(MATCH(Calendar!$A18,DB!$1:$1,0)),FALSE)&gt;=5,"Good","Bad"),VLOOKUP(DATE($K$1,$K$2,TTK$4),Table1[],(MATCH(Calendar!$A18,DB!$1:$1,0)),FALSE)),"")</f>
        <v/>
      </c>
      <c r="TTL18" s="28" t="str">
        <f>IFERROR(IF(TTU3="No",IF(VLOOKUP(DATE($K$1,$K$2,TTL$4),Table1[],(MATCH(Calendar!$A18,DB!$1:$1,0)),FALSE)&gt;=5,"Good","Bad"),VLOOKUP(DATE($K$1,$K$2,TTL$4),Table1[],(MATCH(Calendar!$A18,DB!$1:$1,0)),FALSE)),"")</f>
        <v/>
      </c>
      <c r="TTM18" s="28" t="str">
        <f>IFERROR(IF(TTV3="No",IF(VLOOKUP(DATE($K$1,$K$2,TTM$4),Table1[],(MATCH(Calendar!$A18,DB!$1:$1,0)),FALSE)&gt;=5,"Good","Bad"),VLOOKUP(DATE($K$1,$K$2,TTM$4),Table1[],(MATCH(Calendar!$A18,DB!$1:$1,0)),FALSE)),"")</f>
        <v/>
      </c>
      <c r="TTN18" s="28" t="str">
        <f>IFERROR(IF(TTW3="No",IF(VLOOKUP(DATE($K$1,$K$2,TTN$4),Table1[],(MATCH(Calendar!$A18,DB!$1:$1,0)),FALSE)&gt;=5,"Good","Bad"),VLOOKUP(DATE($K$1,$K$2,TTN$4),Table1[],(MATCH(Calendar!$A18,DB!$1:$1,0)),FALSE)),"")</f>
        <v/>
      </c>
      <c r="TTO18" s="28" t="str">
        <f>IFERROR(IF(TTX3="No",IF(VLOOKUP(DATE($K$1,$K$2,TTO$4),Table1[],(MATCH(Calendar!$A18,DB!$1:$1,0)),FALSE)&gt;=5,"Good","Bad"),VLOOKUP(DATE($K$1,$K$2,TTO$4),Table1[],(MATCH(Calendar!$A18,DB!$1:$1,0)),FALSE)),"")</f>
        <v/>
      </c>
      <c r="TTP18" s="28" t="str">
        <f>IFERROR(IF(TTY3="No",IF(VLOOKUP(DATE($K$1,$K$2,TTP$4),Table1[],(MATCH(Calendar!$A18,DB!$1:$1,0)),FALSE)&gt;=5,"Good","Bad"),VLOOKUP(DATE($K$1,$K$2,TTP$4),Table1[],(MATCH(Calendar!$A18,DB!$1:$1,0)),FALSE)),"")</f>
        <v/>
      </c>
      <c r="TTQ18" s="28" t="str">
        <f>IFERROR(IF(TTZ3="No",IF(VLOOKUP(DATE($K$1,$K$2,TTQ$4),Table1[],(MATCH(Calendar!$A18,DB!$1:$1,0)),FALSE)&gt;=5,"Good","Bad"),VLOOKUP(DATE($K$1,$K$2,TTQ$4),Table1[],(MATCH(Calendar!$A18,DB!$1:$1,0)),FALSE)),"")</f>
        <v/>
      </c>
      <c r="TTR18" s="28" t="str">
        <f>IFERROR(IF(TUA3="No",IF(VLOOKUP(DATE($K$1,$K$2,TTR$4),Table1[],(MATCH(Calendar!$A18,DB!$1:$1,0)),FALSE)&gt;=5,"Good","Bad"),VLOOKUP(DATE($K$1,$K$2,TTR$4),Table1[],(MATCH(Calendar!$A18,DB!$1:$1,0)),FALSE)),"")</f>
        <v/>
      </c>
      <c r="TTS18" s="28" t="str">
        <f>IFERROR(IF(TUB3="No",IF(VLOOKUP(DATE($K$1,$K$2,TTS$4),Table1[],(MATCH(Calendar!$A18,DB!$1:$1,0)),FALSE)&gt;=5,"Good","Bad"),VLOOKUP(DATE($K$1,$K$2,TTS$4),Table1[],(MATCH(Calendar!$A18,DB!$1:$1,0)),FALSE)),"")</f>
        <v/>
      </c>
      <c r="TTT18" s="28" t="str">
        <f>IFERROR(IF(TUC3="No",IF(VLOOKUP(DATE($K$1,$K$2,TTT$4),Table1[],(MATCH(Calendar!$A18,DB!$1:$1,0)),FALSE)&gt;=5,"Good","Bad"),VLOOKUP(DATE($K$1,$K$2,TTT$4),Table1[],(MATCH(Calendar!$A18,DB!$1:$1,0)),FALSE)),"")</f>
        <v/>
      </c>
      <c r="TTU18" s="28" t="str">
        <f>IFERROR(IF(TUD3="No",IF(VLOOKUP(DATE($K$1,$K$2,TTU$4),Table1[],(MATCH(Calendar!$A18,DB!$1:$1,0)),FALSE)&gt;=5,"Good","Bad"),VLOOKUP(DATE($K$1,$K$2,TTU$4),Table1[],(MATCH(Calendar!$A18,DB!$1:$1,0)),FALSE)),"")</f>
        <v/>
      </c>
      <c r="TTV18" s="28" t="str">
        <f>IFERROR(IF(TUE3="No",IF(VLOOKUP(DATE($K$1,$K$2,TTV$4),Table1[],(MATCH(Calendar!$A18,DB!$1:$1,0)),FALSE)&gt;=5,"Good","Bad"),VLOOKUP(DATE($K$1,$K$2,TTV$4),Table1[],(MATCH(Calendar!$A18,DB!$1:$1,0)),FALSE)),"")</f>
        <v/>
      </c>
      <c r="TTW18" s="28" t="str">
        <f>IFERROR(IF(TUF3="No",IF(VLOOKUP(DATE($K$1,$K$2,TTW$4),Table1[],(MATCH(Calendar!$A18,DB!$1:$1,0)),FALSE)&gt;=5,"Good","Bad"),VLOOKUP(DATE($K$1,$K$2,TTW$4),Table1[],(MATCH(Calendar!$A18,DB!$1:$1,0)),FALSE)),"")</f>
        <v/>
      </c>
      <c r="TTX18" s="28" t="str">
        <f>IFERROR(IF(TUG3="No",IF(VLOOKUP(DATE($K$1,$K$2,TTX$4),Table1[],(MATCH(Calendar!$A18,DB!$1:$1,0)),FALSE)&gt;=5,"Good","Bad"),VLOOKUP(DATE($K$1,$K$2,TTX$4),Table1[],(MATCH(Calendar!$A18,DB!$1:$1,0)),FALSE)),"")</f>
        <v/>
      </c>
      <c r="TTY18" s="28" t="str">
        <f>IFERROR(IF(TUH3="No",IF(VLOOKUP(DATE($K$1,$K$2,TTY$4),Table1[],(MATCH(Calendar!$A18,DB!$1:$1,0)),FALSE)&gt;=5,"Good","Bad"),VLOOKUP(DATE($K$1,$K$2,TTY$4),Table1[],(MATCH(Calendar!$A18,DB!$1:$1,0)),FALSE)),"")</f>
        <v/>
      </c>
      <c r="TTZ18" s="28" t="str">
        <f>IFERROR(IF(TUI3="No",IF(VLOOKUP(DATE($K$1,$K$2,TTZ$4),Table1[],(MATCH(Calendar!$A18,DB!$1:$1,0)),FALSE)&gt;=5,"Good","Bad"),VLOOKUP(DATE($K$1,$K$2,TTZ$4),Table1[],(MATCH(Calendar!$A18,DB!$1:$1,0)),FALSE)),"")</f>
        <v/>
      </c>
      <c r="TUA18" s="28" t="str">
        <f>IFERROR(IF(TUJ3="No",IF(VLOOKUP(DATE($K$1,$K$2,TUA$4),Table1[],(MATCH(Calendar!$A18,DB!$1:$1,0)),FALSE)&gt;=5,"Good","Bad"),VLOOKUP(DATE($K$1,$K$2,TUA$4),Table1[],(MATCH(Calendar!$A18,DB!$1:$1,0)),FALSE)),"")</f>
        <v/>
      </c>
      <c r="TUB18" s="28" t="str">
        <f>IFERROR(IF(TUK3="No",IF(VLOOKUP(DATE($K$1,$K$2,TUB$4),Table1[],(MATCH(Calendar!$A18,DB!$1:$1,0)),FALSE)&gt;=5,"Good","Bad"),VLOOKUP(DATE($K$1,$K$2,TUB$4),Table1[],(MATCH(Calendar!$A18,DB!$1:$1,0)),FALSE)),"")</f>
        <v/>
      </c>
      <c r="TUC18" s="28" t="str">
        <f>IFERROR(IF(TUL3="No",IF(VLOOKUP(DATE($K$1,$K$2,TUC$4),Table1[],(MATCH(Calendar!$A18,DB!$1:$1,0)),FALSE)&gt;=5,"Good","Bad"),VLOOKUP(DATE($K$1,$K$2,TUC$4),Table1[],(MATCH(Calendar!$A18,DB!$1:$1,0)),FALSE)),"")</f>
        <v/>
      </c>
      <c r="TUD18" s="28" t="str">
        <f>IFERROR(IF(TUM3="No",IF(VLOOKUP(DATE($K$1,$K$2,TUD$4),Table1[],(MATCH(Calendar!$A18,DB!$1:$1,0)),FALSE)&gt;=5,"Good","Bad"),VLOOKUP(DATE($K$1,$K$2,TUD$4),Table1[],(MATCH(Calendar!$A18,DB!$1:$1,0)),FALSE)),"")</f>
        <v/>
      </c>
      <c r="TUE18" s="28" t="str">
        <f>IFERROR(IF(TUN3="No",IF(VLOOKUP(DATE($K$1,$K$2,TUE$4),Table1[],(MATCH(Calendar!$A18,DB!$1:$1,0)),FALSE)&gt;=5,"Good","Bad"),VLOOKUP(DATE($K$1,$K$2,TUE$4),Table1[],(MATCH(Calendar!$A18,DB!$1:$1,0)),FALSE)),"")</f>
        <v/>
      </c>
      <c r="TUF18" s="28" t="str">
        <f>IFERROR(IF(TUO3="No",IF(VLOOKUP(DATE($K$1,$K$2,TUF$4),Table1[],(MATCH(Calendar!$A18,DB!$1:$1,0)),FALSE)&gt;=5,"Good","Bad"),VLOOKUP(DATE($K$1,$K$2,TUF$4),Table1[],(MATCH(Calendar!$A18,DB!$1:$1,0)),FALSE)),"")</f>
        <v/>
      </c>
      <c r="TUG18" s="28" t="str">
        <f>IFERROR(IF(TUP3="No",IF(VLOOKUP(DATE($K$1,$K$2,TUG$4),Table1[],(MATCH(Calendar!$A18,DB!$1:$1,0)),FALSE)&gt;=5,"Good","Bad"),VLOOKUP(DATE($K$1,$K$2,TUG$4),Table1[],(MATCH(Calendar!$A18,DB!$1:$1,0)),FALSE)),"")</f>
        <v/>
      </c>
      <c r="TUH18" s="28" t="str">
        <f>IFERROR(IF(TUQ3="No",IF(VLOOKUP(DATE($K$1,$K$2,TUH$4),Table1[],(MATCH(Calendar!$A18,DB!$1:$1,0)),FALSE)&gt;=5,"Good","Bad"),VLOOKUP(DATE($K$1,$K$2,TUH$4),Table1[],(MATCH(Calendar!$A18,DB!$1:$1,0)),FALSE)),"")</f>
        <v/>
      </c>
      <c r="TUI18" s="28" t="str">
        <f>IFERROR(IF(TUR3="No",IF(VLOOKUP(DATE($K$1,$K$2,TUI$4),Table1[],(MATCH(Calendar!$A18,DB!$1:$1,0)),FALSE)&gt;=5,"Good","Bad"),VLOOKUP(DATE($K$1,$K$2,TUI$4),Table1[],(MATCH(Calendar!$A18,DB!$1:$1,0)),FALSE)),"")</f>
        <v/>
      </c>
      <c r="TUJ18" s="28" t="str">
        <f>IFERROR(IF(TUS3="No",IF(VLOOKUP(DATE($K$1,$K$2,TUJ$4),Table1[],(MATCH(Calendar!$A18,DB!$1:$1,0)),FALSE)&gt;=5,"Good","Bad"),VLOOKUP(DATE($K$1,$K$2,TUJ$4),Table1[],(MATCH(Calendar!$A18,DB!$1:$1,0)),FALSE)),"")</f>
        <v/>
      </c>
      <c r="TUK18" s="28" t="str">
        <f>IFERROR(IF(TUT3="No",IF(VLOOKUP(DATE($K$1,$K$2,TUK$4),Table1[],(MATCH(Calendar!$A18,DB!$1:$1,0)),FALSE)&gt;=5,"Good","Bad"),VLOOKUP(DATE($K$1,$K$2,TUK$4),Table1[],(MATCH(Calendar!$A18,DB!$1:$1,0)),FALSE)),"")</f>
        <v/>
      </c>
      <c r="TUL18" s="28" t="str">
        <f>IFERROR(IF(TUU3="No",IF(VLOOKUP(DATE($K$1,$K$2,TUL$4),Table1[],(MATCH(Calendar!$A18,DB!$1:$1,0)),FALSE)&gt;=5,"Good","Bad"),VLOOKUP(DATE($K$1,$K$2,TUL$4),Table1[],(MATCH(Calendar!$A18,DB!$1:$1,0)),FALSE)),"")</f>
        <v/>
      </c>
      <c r="TUM18" s="28" t="str">
        <f>IFERROR(IF(TUV3="No",IF(VLOOKUP(DATE($K$1,$K$2,TUM$4),Table1[],(MATCH(Calendar!$A18,DB!$1:$1,0)),FALSE)&gt;=5,"Good","Bad"),VLOOKUP(DATE($K$1,$K$2,TUM$4),Table1[],(MATCH(Calendar!$A18,DB!$1:$1,0)),FALSE)),"")</f>
        <v/>
      </c>
      <c r="TUN18" s="28" t="str">
        <f>IFERROR(IF(TUW3="No",IF(VLOOKUP(DATE($K$1,$K$2,TUN$4),Table1[],(MATCH(Calendar!$A18,DB!$1:$1,0)),FALSE)&gt;=5,"Good","Bad"),VLOOKUP(DATE($K$1,$K$2,TUN$4),Table1[],(MATCH(Calendar!$A18,DB!$1:$1,0)),FALSE)),"")</f>
        <v/>
      </c>
      <c r="TUO18" s="28" t="str">
        <f>IFERROR(IF(TUX3="No",IF(VLOOKUP(DATE($K$1,$K$2,TUO$4),Table1[],(MATCH(Calendar!$A18,DB!$1:$1,0)),FALSE)&gt;=5,"Good","Bad"),VLOOKUP(DATE($K$1,$K$2,TUO$4),Table1[],(MATCH(Calendar!$A18,DB!$1:$1,0)),FALSE)),"")</f>
        <v/>
      </c>
      <c r="TUP18" s="28" t="str">
        <f>IFERROR(IF(TUY3="No",IF(VLOOKUP(DATE($K$1,$K$2,TUP$4),Table1[],(MATCH(Calendar!$A18,DB!$1:$1,0)),FALSE)&gt;=5,"Good","Bad"),VLOOKUP(DATE($K$1,$K$2,TUP$4),Table1[],(MATCH(Calendar!$A18,DB!$1:$1,0)),FALSE)),"")</f>
        <v/>
      </c>
      <c r="TUQ18" s="28" t="str">
        <f>IFERROR(IF(TUZ3="No",IF(VLOOKUP(DATE($K$1,$K$2,TUQ$4),Table1[],(MATCH(Calendar!$A18,DB!$1:$1,0)),FALSE)&gt;=5,"Good","Bad"),VLOOKUP(DATE($K$1,$K$2,TUQ$4),Table1[],(MATCH(Calendar!$A18,DB!$1:$1,0)),FALSE)),"")</f>
        <v/>
      </c>
      <c r="TUR18" s="28" t="str">
        <f>IFERROR(IF(TVA3="No",IF(VLOOKUP(DATE($K$1,$K$2,TUR$4),Table1[],(MATCH(Calendar!$A18,DB!$1:$1,0)),FALSE)&gt;=5,"Good","Bad"),VLOOKUP(DATE($K$1,$K$2,TUR$4),Table1[],(MATCH(Calendar!$A18,DB!$1:$1,0)),FALSE)),"")</f>
        <v/>
      </c>
      <c r="TUS18" s="28" t="str">
        <f>IFERROR(IF(TVB3="No",IF(VLOOKUP(DATE($K$1,$K$2,TUS$4),Table1[],(MATCH(Calendar!$A18,DB!$1:$1,0)),FALSE)&gt;=5,"Good","Bad"),VLOOKUP(DATE($K$1,$K$2,TUS$4),Table1[],(MATCH(Calendar!$A18,DB!$1:$1,0)),FALSE)),"")</f>
        <v/>
      </c>
      <c r="TUT18" s="28" t="str">
        <f>IFERROR(IF(TVC3="No",IF(VLOOKUP(DATE($K$1,$K$2,TUT$4),Table1[],(MATCH(Calendar!$A18,DB!$1:$1,0)),FALSE)&gt;=5,"Good","Bad"),VLOOKUP(DATE($K$1,$K$2,TUT$4),Table1[],(MATCH(Calendar!$A18,DB!$1:$1,0)),FALSE)),"")</f>
        <v/>
      </c>
      <c r="TUU18" s="28" t="str">
        <f>IFERROR(IF(TVD3="No",IF(VLOOKUP(DATE($K$1,$K$2,TUU$4),Table1[],(MATCH(Calendar!$A18,DB!$1:$1,0)),FALSE)&gt;=5,"Good","Bad"),VLOOKUP(DATE($K$1,$K$2,TUU$4),Table1[],(MATCH(Calendar!$A18,DB!$1:$1,0)),FALSE)),"")</f>
        <v/>
      </c>
      <c r="TUV18" s="28" t="str">
        <f>IFERROR(IF(TVE3="No",IF(VLOOKUP(DATE($K$1,$K$2,TUV$4),Table1[],(MATCH(Calendar!$A18,DB!$1:$1,0)),FALSE)&gt;=5,"Good","Bad"),VLOOKUP(DATE($K$1,$K$2,TUV$4),Table1[],(MATCH(Calendar!$A18,DB!$1:$1,0)),FALSE)),"")</f>
        <v/>
      </c>
      <c r="TUW18" s="28" t="str">
        <f>IFERROR(IF(TVF3="No",IF(VLOOKUP(DATE($K$1,$K$2,TUW$4),Table1[],(MATCH(Calendar!$A18,DB!$1:$1,0)),FALSE)&gt;=5,"Good","Bad"),VLOOKUP(DATE($K$1,$K$2,TUW$4),Table1[],(MATCH(Calendar!$A18,DB!$1:$1,0)),FALSE)),"")</f>
        <v/>
      </c>
      <c r="TUX18" s="28" t="str">
        <f>IFERROR(IF(TVG3="No",IF(VLOOKUP(DATE($K$1,$K$2,TUX$4),Table1[],(MATCH(Calendar!$A18,DB!$1:$1,0)),FALSE)&gt;=5,"Good","Bad"),VLOOKUP(DATE($K$1,$K$2,TUX$4),Table1[],(MATCH(Calendar!$A18,DB!$1:$1,0)),FALSE)),"")</f>
        <v/>
      </c>
      <c r="TUY18" s="28" t="str">
        <f>IFERROR(IF(TVH3="No",IF(VLOOKUP(DATE($K$1,$K$2,TUY$4),Table1[],(MATCH(Calendar!$A18,DB!$1:$1,0)),FALSE)&gt;=5,"Good","Bad"),VLOOKUP(DATE($K$1,$K$2,TUY$4),Table1[],(MATCH(Calendar!$A18,DB!$1:$1,0)),FALSE)),"")</f>
        <v/>
      </c>
      <c r="TUZ18" s="28" t="str">
        <f>IFERROR(IF(TVI3="No",IF(VLOOKUP(DATE($K$1,$K$2,TUZ$4),Table1[],(MATCH(Calendar!$A18,DB!$1:$1,0)),FALSE)&gt;=5,"Good","Bad"),VLOOKUP(DATE($K$1,$K$2,TUZ$4),Table1[],(MATCH(Calendar!$A18,DB!$1:$1,0)),FALSE)),"")</f>
        <v/>
      </c>
      <c r="TVA18" s="28" t="str">
        <f>IFERROR(IF(TVJ3="No",IF(VLOOKUP(DATE($K$1,$K$2,TVA$4),Table1[],(MATCH(Calendar!$A18,DB!$1:$1,0)),FALSE)&gt;=5,"Good","Bad"),VLOOKUP(DATE($K$1,$K$2,TVA$4),Table1[],(MATCH(Calendar!$A18,DB!$1:$1,0)),FALSE)),"")</f>
        <v/>
      </c>
      <c r="TVB18" s="28" t="str">
        <f>IFERROR(IF(TVK3="No",IF(VLOOKUP(DATE($K$1,$K$2,TVB$4),Table1[],(MATCH(Calendar!$A18,DB!$1:$1,0)),FALSE)&gt;=5,"Good","Bad"),VLOOKUP(DATE($K$1,$K$2,TVB$4),Table1[],(MATCH(Calendar!$A18,DB!$1:$1,0)),FALSE)),"")</f>
        <v/>
      </c>
      <c r="TVC18" s="28" t="str">
        <f>IFERROR(IF(TVL3="No",IF(VLOOKUP(DATE($K$1,$K$2,TVC$4),Table1[],(MATCH(Calendar!$A18,DB!$1:$1,0)),FALSE)&gt;=5,"Good","Bad"),VLOOKUP(DATE($K$1,$K$2,TVC$4),Table1[],(MATCH(Calendar!$A18,DB!$1:$1,0)),FALSE)),"")</f>
        <v/>
      </c>
      <c r="TVD18" s="28" t="str">
        <f>IFERROR(IF(TVM3="No",IF(VLOOKUP(DATE($K$1,$K$2,TVD$4),Table1[],(MATCH(Calendar!$A18,DB!$1:$1,0)),FALSE)&gt;=5,"Good","Bad"),VLOOKUP(DATE($K$1,$K$2,TVD$4),Table1[],(MATCH(Calendar!$A18,DB!$1:$1,0)),FALSE)),"")</f>
        <v/>
      </c>
      <c r="TVE18" s="28" t="str">
        <f>IFERROR(IF(TVN3="No",IF(VLOOKUP(DATE($K$1,$K$2,TVE$4),Table1[],(MATCH(Calendar!$A18,DB!$1:$1,0)),FALSE)&gt;=5,"Good","Bad"),VLOOKUP(DATE($K$1,$K$2,TVE$4),Table1[],(MATCH(Calendar!$A18,DB!$1:$1,0)),FALSE)),"")</f>
        <v/>
      </c>
      <c r="TVF18" s="28" t="str">
        <f>IFERROR(IF(TVO3="No",IF(VLOOKUP(DATE($K$1,$K$2,TVF$4),Table1[],(MATCH(Calendar!$A18,DB!$1:$1,0)),FALSE)&gt;=5,"Good","Bad"),VLOOKUP(DATE($K$1,$K$2,TVF$4),Table1[],(MATCH(Calendar!$A18,DB!$1:$1,0)),FALSE)),"")</f>
        <v/>
      </c>
      <c r="TVG18" s="28" t="str">
        <f>IFERROR(IF(TVP3="No",IF(VLOOKUP(DATE($K$1,$K$2,TVG$4),Table1[],(MATCH(Calendar!$A18,DB!$1:$1,0)),FALSE)&gt;=5,"Good","Bad"),VLOOKUP(DATE($K$1,$K$2,TVG$4),Table1[],(MATCH(Calendar!$A18,DB!$1:$1,0)),FALSE)),"")</f>
        <v/>
      </c>
      <c r="TVH18" s="28" t="str">
        <f>IFERROR(IF(TVQ3="No",IF(VLOOKUP(DATE($K$1,$K$2,TVH$4),Table1[],(MATCH(Calendar!$A18,DB!$1:$1,0)),FALSE)&gt;=5,"Good","Bad"),VLOOKUP(DATE($K$1,$K$2,TVH$4),Table1[],(MATCH(Calendar!$A18,DB!$1:$1,0)),FALSE)),"")</f>
        <v/>
      </c>
      <c r="TVI18" s="28" t="str">
        <f>IFERROR(IF(TVR3="No",IF(VLOOKUP(DATE($K$1,$K$2,TVI$4),Table1[],(MATCH(Calendar!$A18,DB!$1:$1,0)),FALSE)&gt;=5,"Good","Bad"),VLOOKUP(DATE($K$1,$K$2,TVI$4),Table1[],(MATCH(Calendar!$A18,DB!$1:$1,0)),FALSE)),"")</f>
        <v/>
      </c>
      <c r="TVJ18" s="28" t="str">
        <f>IFERROR(IF(TVS3="No",IF(VLOOKUP(DATE($K$1,$K$2,TVJ$4),Table1[],(MATCH(Calendar!$A18,DB!$1:$1,0)),FALSE)&gt;=5,"Good","Bad"),VLOOKUP(DATE($K$1,$K$2,TVJ$4),Table1[],(MATCH(Calendar!$A18,DB!$1:$1,0)),FALSE)),"")</f>
        <v/>
      </c>
      <c r="TVK18" s="28" t="str">
        <f>IFERROR(IF(TVT3="No",IF(VLOOKUP(DATE($K$1,$K$2,TVK$4),Table1[],(MATCH(Calendar!$A18,DB!$1:$1,0)),FALSE)&gt;=5,"Good","Bad"),VLOOKUP(DATE($K$1,$K$2,TVK$4),Table1[],(MATCH(Calendar!$A18,DB!$1:$1,0)),FALSE)),"")</f>
        <v/>
      </c>
      <c r="TVL18" s="28" t="str">
        <f>IFERROR(IF(TVU3="No",IF(VLOOKUP(DATE($K$1,$K$2,TVL$4),Table1[],(MATCH(Calendar!$A18,DB!$1:$1,0)),FALSE)&gt;=5,"Good","Bad"),VLOOKUP(DATE($K$1,$K$2,TVL$4),Table1[],(MATCH(Calendar!$A18,DB!$1:$1,0)),FALSE)),"")</f>
        <v/>
      </c>
      <c r="TVM18" s="28" t="str">
        <f>IFERROR(IF(TVV3="No",IF(VLOOKUP(DATE($K$1,$K$2,TVM$4),Table1[],(MATCH(Calendar!$A18,DB!$1:$1,0)),FALSE)&gt;=5,"Good","Bad"),VLOOKUP(DATE($K$1,$K$2,TVM$4),Table1[],(MATCH(Calendar!$A18,DB!$1:$1,0)),FALSE)),"")</f>
        <v/>
      </c>
      <c r="TVN18" s="28" t="str">
        <f>IFERROR(IF(TVW3="No",IF(VLOOKUP(DATE($K$1,$K$2,TVN$4),Table1[],(MATCH(Calendar!$A18,DB!$1:$1,0)),FALSE)&gt;=5,"Good","Bad"),VLOOKUP(DATE($K$1,$K$2,TVN$4),Table1[],(MATCH(Calendar!$A18,DB!$1:$1,0)),FALSE)),"")</f>
        <v/>
      </c>
      <c r="TVO18" s="28" t="str">
        <f>IFERROR(IF(TVX3="No",IF(VLOOKUP(DATE($K$1,$K$2,TVO$4),Table1[],(MATCH(Calendar!$A18,DB!$1:$1,0)),FALSE)&gt;=5,"Good","Bad"),VLOOKUP(DATE($K$1,$K$2,TVO$4),Table1[],(MATCH(Calendar!$A18,DB!$1:$1,0)),FALSE)),"")</f>
        <v/>
      </c>
      <c r="TVP18" s="28" t="str">
        <f>IFERROR(IF(TVY3="No",IF(VLOOKUP(DATE($K$1,$K$2,TVP$4),Table1[],(MATCH(Calendar!$A18,DB!$1:$1,0)),FALSE)&gt;=5,"Good","Bad"),VLOOKUP(DATE($K$1,$K$2,TVP$4),Table1[],(MATCH(Calendar!$A18,DB!$1:$1,0)),FALSE)),"")</f>
        <v/>
      </c>
      <c r="TVQ18" s="28" t="str">
        <f>IFERROR(IF(TVZ3="No",IF(VLOOKUP(DATE($K$1,$K$2,TVQ$4),Table1[],(MATCH(Calendar!$A18,DB!$1:$1,0)),FALSE)&gt;=5,"Good","Bad"),VLOOKUP(DATE($K$1,$K$2,TVQ$4),Table1[],(MATCH(Calendar!$A18,DB!$1:$1,0)),FALSE)),"")</f>
        <v/>
      </c>
      <c r="TVR18" s="28" t="str">
        <f>IFERROR(IF(TWA3="No",IF(VLOOKUP(DATE($K$1,$K$2,TVR$4),Table1[],(MATCH(Calendar!$A18,DB!$1:$1,0)),FALSE)&gt;=5,"Good","Bad"),VLOOKUP(DATE($K$1,$K$2,TVR$4),Table1[],(MATCH(Calendar!$A18,DB!$1:$1,0)),FALSE)),"")</f>
        <v/>
      </c>
      <c r="TVS18" s="28" t="str">
        <f>IFERROR(IF(TWB3="No",IF(VLOOKUP(DATE($K$1,$K$2,TVS$4),Table1[],(MATCH(Calendar!$A18,DB!$1:$1,0)),FALSE)&gt;=5,"Good","Bad"),VLOOKUP(DATE($K$1,$K$2,TVS$4),Table1[],(MATCH(Calendar!$A18,DB!$1:$1,0)),FALSE)),"")</f>
        <v/>
      </c>
      <c r="TVT18" s="28" t="str">
        <f>IFERROR(IF(TWC3="No",IF(VLOOKUP(DATE($K$1,$K$2,TVT$4),Table1[],(MATCH(Calendar!$A18,DB!$1:$1,0)),FALSE)&gt;=5,"Good","Bad"),VLOOKUP(DATE($K$1,$K$2,TVT$4),Table1[],(MATCH(Calendar!$A18,DB!$1:$1,0)),FALSE)),"")</f>
        <v/>
      </c>
      <c r="TVU18" s="28" t="str">
        <f>IFERROR(IF(TWD3="No",IF(VLOOKUP(DATE($K$1,$K$2,TVU$4),Table1[],(MATCH(Calendar!$A18,DB!$1:$1,0)),FALSE)&gt;=5,"Good","Bad"),VLOOKUP(DATE($K$1,$K$2,TVU$4),Table1[],(MATCH(Calendar!$A18,DB!$1:$1,0)),FALSE)),"")</f>
        <v/>
      </c>
      <c r="TVV18" s="28" t="str">
        <f>IFERROR(IF(TWE3="No",IF(VLOOKUP(DATE($K$1,$K$2,TVV$4),Table1[],(MATCH(Calendar!$A18,DB!$1:$1,0)),FALSE)&gt;=5,"Good","Bad"),VLOOKUP(DATE($K$1,$K$2,TVV$4),Table1[],(MATCH(Calendar!$A18,DB!$1:$1,0)),FALSE)),"")</f>
        <v/>
      </c>
      <c r="TVW18" s="28" t="str">
        <f>IFERROR(IF(TWF3="No",IF(VLOOKUP(DATE($K$1,$K$2,TVW$4),Table1[],(MATCH(Calendar!$A18,DB!$1:$1,0)),FALSE)&gt;=5,"Good","Bad"),VLOOKUP(DATE($K$1,$K$2,TVW$4),Table1[],(MATCH(Calendar!$A18,DB!$1:$1,0)),FALSE)),"")</f>
        <v/>
      </c>
      <c r="TVX18" s="28" t="str">
        <f>IFERROR(IF(TWG3="No",IF(VLOOKUP(DATE($K$1,$K$2,TVX$4),Table1[],(MATCH(Calendar!$A18,DB!$1:$1,0)),FALSE)&gt;=5,"Good","Bad"),VLOOKUP(DATE($K$1,$K$2,TVX$4),Table1[],(MATCH(Calendar!$A18,DB!$1:$1,0)),FALSE)),"")</f>
        <v/>
      </c>
      <c r="TVY18" s="28" t="str">
        <f>IFERROR(IF(TWH3="No",IF(VLOOKUP(DATE($K$1,$K$2,TVY$4),Table1[],(MATCH(Calendar!$A18,DB!$1:$1,0)),FALSE)&gt;=5,"Good","Bad"),VLOOKUP(DATE($K$1,$K$2,TVY$4),Table1[],(MATCH(Calendar!$A18,DB!$1:$1,0)),FALSE)),"")</f>
        <v/>
      </c>
      <c r="TVZ18" s="28" t="str">
        <f>IFERROR(IF(TWI3="No",IF(VLOOKUP(DATE($K$1,$K$2,TVZ$4),Table1[],(MATCH(Calendar!$A18,DB!$1:$1,0)),FALSE)&gt;=5,"Good","Bad"),VLOOKUP(DATE($K$1,$K$2,TVZ$4),Table1[],(MATCH(Calendar!$A18,DB!$1:$1,0)),FALSE)),"")</f>
        <v/>
      </c>
      <c r="TWA18" s="28" t="str">
        <f>IFERROR(IF(TWJ3="No",IF(VLOOKUP(DATE($K$1,$K$2,TWA$4),Table1[],(MATCH(Calendar!$A18,DB!$1:$1,0)),FALSE)&gt;=5,"Good","Bad"),VLOOKUP(DATE($K$1,$K$2,TWA$4),Table1[],(MATCH(Calendar!$A18,DB!$1:$1,0)),FALSE)),"")</f>
        <v/>
      </c>
      <c r="TWB18" s="28" t="str">
        <f>IFERROR(IF(TWK3="No",IF(VLOOKUP(DATE($K$1,$K$2,TWB$4),Table1[],(MATCH(Calendar!$A18,DB!$1:$1,0)),FALSE)&gt;=5,"Good","Bad"),VLOOKUP(DATE($K$1,$K$2,TWB$4),Table1[],(MATCH(Calendar!$A18,DB!$1:$1,0)),FALSE)),"")</f>
        <v/>
      </c>
      <c r="TWC18" s="28" t="str">
        <f>IFERROR(IF(TWL3="No",IF(VLOOKUP(DATE($K$1,$K$2,TWC$4),Table1[],(MATCH(Calendar!$A18,DB!$1:$1,0)),FALSE)&gt;=5,"Good","Bad"),VLOOKUP(DATE($K$1,$K$2,TWC$4),Table1[],(MATCH(Calendar!$A18,DB!$1:$1,0)),FALSE)),"")</f>
        <v/>
      </c>
      <c r="TWD18" s="28" t="str">
        <f>IFERROR(IF(TWM3="No",IF(VLOOKUP(DATE($K$1,$K$2,TWD$4),Table1[],(MATCH(Calendar!$A18,DB!$1:$1,0)),FALSE)&gt;=5,"Good","Bad"),VLOOKUP(DATE($K$1,$K$2,TWD$4),Table1[],(MATCH(Calendar!$A18,DB!$1:$1,0)),FALSE)),"")</f>
        <v/>
      </c>
      <c r="TWE18" s="28" t="str">
        <f>IFERROR(IF(TWN3="No",IF(VLOOKUP(DATE($K$1,$K$2,TWE$4),Table1[],(MATCH(Calendar!$A18,DB!$1:$1,0)),FALSE)&gt;=5,"Good","Bad"),VLOOKUP(DATE($K$1,$K$2,TWE$4),Table1[],(MATCH(Calendar!$A18,DB!$1:$1,0)),FALSE)),"")</f>
        <v/>
      </c>
      <c r="TWF18" s="28" t="str">
        <f>IFERROR(IF(TWO3="No",IF(VLOOKUP(DATE($K$1,$K$2,TWF$4),Table1[],(MATCH(Calendar!$A18,DB!$1:$1,0)),FALSE)&gt;=5,"Good","Bad"),VLOOKUP(DATE($K$1,$K$2,TWF$4),Table1[],(MATCH(Calendar!$A18,DB!$1:$1,0)),FALSE)),"")</f>
        <v/>
      </c>
      <c r="TWG18" s="28" t="str">
        <f>IFERROR(IF(TWP3="No",IF(VLOOKUP(DATE($K$1,$K$2,TWG$4),Table1[],(MATCH(Calendar!$A18,DB!$1:$1,0)),FALSE)&gt;=5,"Good","Bad"),VLOOKUP(DATE($K$1,$K$2,TWG$4),Table1[],(MATCH(Calendar!$A18,DB!$1:$1,0)),FALSE)),"")</f>
        <v/>
      </c>
      <c r="TWH18" s="28" t="str">
        <f>IFERROR(IF(TWQ3="No",IF(VLOOKUP(DATE($K$1,$K$2,TWH$4),Table1[],(MATCH(Calendar!$A18,DB!$1:$1,0)),FALSE)&gt;=5,"Good","Bad"),VLOOKUP(DATE($K$1,$K$2,TWH$4),Table1[],(MATCH(Calendar!$A18,DB!$1:$1,0)),FALSE)),"")</f>
        <v/>
      </c>
      <c r="TWI18" s="28" t="str">
        <f>IFERROR(IF(TWR3="No",IF(VLOOKUP(DATE($K$1,$K$2,TWI$4),Table1[],(MATCH(Calendar!$A18,DB!$1:$1,0)),FALSE)&gt;=5,"Good","Bad"),VLOOKUP(DATE($K$1,$K$2,TWI$4),Table1[],(MATCH(Calendar!$A18,DB!$1:$1,0)),FALSE)),"")</f>
        <v/>
      </c>
      <c r="TWJ18" s="28" t="str">
        <f>IFERROR(IF(TWS3="No",IF(VLOOKUP(DATE($K$1,$K$2,TWJ$4),Table1[],(MATCH(Calendar!$A18,DB!$1:$1,0)),FALSE)&gt;=5,"Good","Bad"),VLOOKUP(DATE($K$1,$K$2,TWJ$4),Table1[],(MATCH(Calendar!$A18,DB!$1:$1,0)),FALSE)),"")</f>
        <v/>
      </c>
      <c r="TWK18" s="28" t="str">
        <f>IFERROR(IF(TWT3="No",IF(VLOOKUP(DATE($K$1,$K$2,TWK$4),Table1[],(MATCH(Calendar!$A18,DB!$1:$1,0)),FALSE)&gt;=5,"Good","Bad"),VLOOKUP(DATE($K$1,$K$2,TWK$4),Table1[],(MATCH(Calendar!$A18,DB!$1:$1,0)),FALSE)),"")</f>
        <v/>
      </c>
      <c r="TWL18" s="28" t="str">
        <f>IFERROR(IF(TWU3="No",IF(VLOOKUP(DATE($K$1,$K$2,TWL$4),Table1[],(MATCH(Calendar!$A18,DB!$1:$1,0)),FALSE)&gt;=5,"Good","Bad"),VLOOKUP(DATE($K$1,$K$2,TWL$4),Table1[],(MATCH(Calendar!$A18,DB!$1:$1,0)),FALSE)),"")</f>
        <v/>
      </c>
      <c r="TWM18" s="28" t="str">
        <f>IFERROR(IF(TWV3="No",IF(VLOOKUP(DATE($K$1,$K$2,TWM$4),Table1[],(MATCH(Calendar!$A18,DB!$1:$1,0)),FALSE)&gt;=5,"Good","Bad"),VLOOKUP(DATE($K$1,$K$2,TWM$4),Table1[],(MATCH(Calendar!$A18,DB!$1:$1,0)),FALSE)),"")</f>
        <v/>
      </c>
      <c r="TWN18" s="28" t="str">
        <f>IFERROR(IF(TWW3="No",IF(VLOOKUP(DATE($K$1,$K$2,TWN$4),Table1[],(MATCH(Calendar!$A18,DB!$1:$1,0)),FALSE)&gt;=5,"Good","Bad"),VLOOKUP(DATE($K$1,$K$2,TWN$4),Table1[],(MATCH(Calendar!$A18,DB!$1:$1,0)),FALSE)),"")</f>
        <v/>
      </c>
      <c r="TWO18" s="28" t="str">
        <f>IFERROR(IF(TWX3="No",IF(VLOOKUP(DATE($K$1,$K$2,TWO$4),Table1[],(MATCH(Calendar!$A18,DB!$1:$1,0)),FALSE)&gt;=5,"Good","Bad"),VLOOKUP(DATE($K$1,$K$2,TWO$4),Table1[],(MATCH(Calendar!$A18,DB!$1:$1,0)),FALSE)),"")</f>
        <v/>
      </c>
      <c r="TWP18" s="28" t="str">
        <f>IFERROR(IF(TWY3="No",IF(VLOOKUP(DATE($K$1,$K$2,TWP$4),Table1[],(MATCH(Calendar!$A18,DB!$1:$1,0)),FALSE)&gt;=5,"Good","Bad"),VLOOKUP(DATE($K$1,$K$2,TWP$4),Table1[],(MATCH(Calendar!$A18,DB!$1:$1,0)),FALSE)),"")</f>
        <v/>
      </c>
      <c r="TWQ18" s="28" t="str">
        <f>IFERROR(IF(TWZ3="No",IF(VLOOKUP(DATE($K$1,$K$2,TWQ$4),Table1[],(MATCH(Calendar!$A18,DB!$1:$1,0)),FALSE)&gt;=5,"Good","Bad"),VLOOKUP(DATE($K$1,$K$2,TWQ$4),Table1[],(MATCH(Calendar!$A18,DB!$1:$1,0)),FALSE)),"")</f>
        <v/>
      </c>
      <c r="TWR18" s="28" t="str">
        <f>IFERROR(IF(TXA3="No",IF(VLOOKUP(DATE($K$1,$K$2,TWR$4),Table1[],(MATCH(Calendar!$A18,DB!$1:$1,0)),FALSE)&gt;=5,"Good","Bad"),VLOOKUP(DATE($K$1,$K$2,TWR$4),Table1[],(MATCH(Calendar!$A18,DB!$1:$1,0)),FALSE)),"")</f>
        <v/>
      </c>
      <c r="TWS18" s="28" t="str">
        <f>IFERROR(IF(TXB3="No",IF(VLOOKUP(DATE($K$1,$K$2,TWS$4),Table1[],(MATCH(Calendar!$A18,DB!$1:$1,0)),FALSE)&gt;=5,"Good","Bad"),VLOOKUP(DATE($K$1,$K$2,TWS$4),Table1[],(MATCH(Calendar!$A18,DB!$1:$1,0)),FALSE)),"")</f>
        <v/>
      </c>
      <c r="TWT18" s="28" t="str">
        <f>IFERROR(IF(TXC3="No",IF(VLOOKUP(DATE($K$1,$K$2,TWT$4),Table1[],(MATCH(Calendar!$A18,DB!$1:$1,0)),FALSE)&gt;=5,"Good","Bad"),VLOOKUP(DATE($K$1,$K$2,TWT$4),Table1[],(MATCH(Calendar!$A18,DB!$1:$1,0)),FALSE)),"")</f>
        <v/>
      </c>
      <c r="TWU18" s="28" t="str">
        <f>IFERROR(IF(TXD3="No",IF(VLOOKUP(DATE($K$1,$K$2,TWU$4),Table1[],(MATCH(Calendar!$A18,DB!$1:$1,0)),FALSE)&gt;=5,"Good","Bad"),VLOOKUP(DATE($K$1,$K$2,TWU$4),Table1[],(MATCH(Calendar!$A18,DB!$1:$1,0)),FALSE)),"")</f>
        <v/>
      </c>
      <c r="TWV18" s="28" t="str">
        <f>IFERROR(IF(TXE3="No",IF(VLOOKUP(DATE($K$1,$K$2,TWV$4),Table1[],(MATCH(Calendar!$A18,DB!$1:$1,0)),FALSE)&gt;=5,"Good","Bad"),VLOOKUP(DATE($K$1,$K$2,TWV$4),Table1[],(MATCH(Calendar!$A18,DB!$1:$1,0)),FALSE)),"")</f>
        <v/>
      </c>
      <c r="TWW18" s="28" t="str">
        <f>IFERROR(IF(TXF3="No",IF(VLOOKUP(DATE($K$1,$K$2,TWW$4),Table1[],(MATCH(Calendar!$A18,DB!$1:$1,0)),FALSE)&gt;=5,"Good","Bad"),VLOOKUP(DATE($K$1,$K$2,TWW$4),Table1[],(MATCH(Calendar!$A18,DB!$1:$1,0)),FALSE)),"")</f>
        <v/>
      </c>
      <c r="TWX18" s="28" t="str">
        <f>IFERROR(IF(TXG3="No",IF(VLOOKUP(DATE($K$1,$K$2,TWX$4),Table1[],(MATCH(Calendar!$A18,DB!$1:$1,0)),FALSE)&gt;=5,"Good","Bad"),VLOOKUP(DATE($K$1,$K$2,TWX$4),Table1[],(MATCH(Calendar!$A18,DB!$1:$1,0)),FALSE)),"")</f>
        <v/>
      </c>
      <c r="TWY18" s="28" t="str">
        <f>IFERROR(IF(TXH3="No",IF(VLOOKUP(DATE($K$1,$K$2,TWY$4),Table1[],(MATCH(Calendar!$A18,DB!$1:$1,0)),FALSE)&gt;=5,"Good","Bad"),VLOOKUP(DATE($K$1,$K$2,TWY$4),Table1[],(MATCH(Calendar!$A18,DB!$1:$1,0)),FALSE)),"")</f>
        <v/>
      </c>
      <c r="TWZ18" s="28" t="str">
        <f>IFERROR(IF(TXI3="No",IF(VLOOKUP(DATE($K$1,$K$2,TWZ$4),Table1[],(MATCH(Calendar!$A18,DB!$1:$1,0)),FALSE)&gt;=5,"Good","Bad"),VLOOKUP(DATE($K$1,$K$2,TWZ$4),Table1[],(MATCH(Calendar!$A18,DB!$1:$1,0)),FALSE)),"")</f>
        <v/>
      </c>
      <c r="TXA18" s="28" t="str">
        <f>IFERROR(IF(TXJ3="No",IF(VLOOKUP(DATE($K$1,$K$2,TXA$4),Table1[],(MATCH(Calendar!$A18,DB!$1:$1,0)),FALSE)&gt;=5,"Good","Bad"),VLOOKUP(DATE($K$1,$K$2,TXA$4),Table1[],(MATCH(Calendar!$A18,DB!$1:$1,0)),FALSE)),"")</f>
        <v/>
      </c>
      <c r="TXB18" s="28" t="str">
        <f>IFERROR(IF(TXK3="No",IF(VLOOKUP(DATE($K$1,$K$2,TXB$4),Table1[],(MATCH(Calendar!$A18,DB!$1:$1,0)),FALSE)&gt;=5,"Good","Bad"),VLOOKUP(DATE($K$1,$K$2,TXB$4),Table1[],(MATCH(Calendar!$A18,DB!$1:$1,0)),FALSE)),"")</f>
        <v/>
      </c>
      <c r="TXC18" s="28" t="str">
        <f>IFERROR(IF(TXL3="No",IF(VLOOKUP(DATE($K$1,$K$2,TXC$4),Table1[],(MATCH(Calendar!$A18,DB!$1:$1,0)),FALSE)&gt;=5,"Good","Bad"),VLOOKUP(DATE($K$1,$K$2,TXC$4),Table1[],(MATCH(Calendar!$A18,DB!$1:$1,0)),FALSE)),"")</f>
        <v/>
      </c>
      <c r="TXD18" s="28" t="str">
        <f>IFERROR(IF(TXM3="No",IF(VLOOKUP(DATE($K$1,$K$2,TXD$4),Table1[],(MATCH(Calendar!$A18,DB!$1:$1,0)),FALSE)&gt;=5,"Good","Bad"),VLOOKUP(DATE($K$1,$K$2,TXD$4),Table1[],(MATCH(Calendar!$A18,DB!$1:$1,0)),FALSE)),"")</f>
        <v/>
      </c>
      <c r="TXE18" s="28" t="str">
        <f>IFERROR(IF(TXN3="No",IF(VLOOKUP(DATE($K$1,$K$2,TXE$4),Table1[],(MATCH(Calendar!$A18,DB!$1:$1,0)),FALSE)&gt;=5,"Good","Bad"),VLOOKUP(DATE($K$1,$K$2,TXE$4),Table1[],(MATCH(Calendar!$A18,DB!$1:$1,0)),FALSE)),"")</f>
        <v/>
      </c>
      <c r="TXF18" s="28" t="str">
        <f>IFERROR(IF(TXO3="No",IF(VLOOKUP(DATE($K$1,$K$2,TXF$4),Table1[],(MATCH(Calendar!$A18,DB!$1:$1,0)),FALSE)&gt;=5,"Good","Bad"),VLOOKUP(DATE($K$1,$K$2,TXF$4),Table1[],(MATCH(Calendar!$A18,DB!$1:$1,0)),FALSE)),"")</f>
        <v/>
      </c>
      <c r="TXG18" s="28" t="str">
        <f>IFERROR(IF(TXP3="No",IF(VLOOKUP(DATE($K$1,$K$2,TXG$4),Table1[],(MATCH(Calendar!$A18,DB!$1:$1,0)),FALSE)&gt;=5,"Good","Bad"),VLOOKUP(DATE($K$1,$K$2,TXG$4),Table1[],(MATCH(Calendar!$A18,DB!$1:$1,0)),FALSE)),"")</f>
        <v/>
      </c>
      <c r="TXH18" s="28" t="str">
        <f>IFERROR(IF(TXQ3="No",IF(VLOOKUP(DATE($K$1,$K$2,TXH$4),Table1[],(MATCH(Calendar!$A18,DB!$1:$1,0)),FALSE)&gt;=5,"Good","Bad"),VLOOKUP(DATE($K$1,$K$2,TXH$4),Table1[],(MATCH(Calendar!$A18,DB!$1:$1,0)),FALSE)),"")</f>
        <v/>
      </c>
      <c r="TXI18" s="28" t="str">
        <f>IFERROR(IF(TXR3="No",IF(VLOOKUP(DATE($K$1,$K$2,TXI$4),Table1[],(MATCH(Calendar!$A18,DB!$1:$1,0)),FALSE)&gt;=5,"Good","Bad"),VLOOKUP(DATE($K$1,$K$2,TXI$4),Table1[],(MATCH(Calendar!$A18,DB!$1:$1,0)),FALSE)),"")</f>
        <v/>
      </c>
      <c r="TXJ18" s="28" t="str">
        <f>IFERROR(IF(TXS3="No",IF(VLOOKUP(DATE($K$1,$K$2,TXJ$4),Table1[],(MATCH(Calendar!$A18,DB!$1:$1,0)),FALSE)&gt;=5,"Good","Bad"),VLOOKUP(DATE($K$1,$K$2,TXJ$4),Table1[],(MATCH(Calendar!$A18,DB!$1:$1,0)),FALSE)),"")</f>
        <v/>
      </c>
      <c r="TXK18" s="28" t="str">
        <f>IFERROR(IF(TXT3="No",IF(VLOOKUP(DATE($K$1,$K$2,TXK$4),Table1[],(MATCH(Calendar!$A18,DB!$1:$1,0)),FALSE)&gt;=5,"Good","Bad"),VLOOKUP(DATE($K$1,$K$2,TXK$4),Table1[],(MATCH(Calendar!$A18,DB!$1:$1,0)),FALSE)),"")</f>
        <v/>
      </c>
      <c r="TXL18" s="28" t="str">
        <f>IFERROR(IF(TXU3="No",IF(VLOOKUP(DATE($K$1,$K$2,TXL$4),Table1[],(MATCH(Calendar!$A18,DB!$1:$1,0)),FALSE)&gt;=5,"Good","Bad"),VLOOKUP(DATE($K$1,$K$2,TXL$4),Table1[],(MATCH(Calendar!$A18,DB!$1:$1,0)),FALSE)),"")</f>
        <v/>
      </c>
      <c r="TXM18" s="28" t="str">
        <f>IFERROR(IF(TXV3="No",IF(VLOOKUP(DATE($K$1,$K$2,TXM$4),Table1[],(MATCH(Calendar!$A18,DB!$1:$1,0)),FALSE)&gt;=5,"Good","Bad"),VLOOKUP(DATE($K$1,$K$2,TXM$4),Table1[],(MATCH(Calendar!$A18,DB!$1:$1,0)),FALSE)),"")</f>
        <v/>
      </c>
      <c r="TXN18" s="28" t="str">
        <f>IFERROR(IF(TXW3="No",IF(VLOOKUP(DATE($K$1,$K$2,TXN$4),Table1[],(MATCH(Calendar!$A18,DB!$1:$1,0)),FALSE)&gt;=5,"Good","Bad"),VLOOKUP(DATE($K$1,$K$2,TXN$4),Table1[],(MATCH(Calendar!$A18,DB!$1:$1,0)),FALSE)),"")</f>
        <v/>
      </c>
      <c r="TXO18" s="28" t="str">
        <f>IFERROR(IF(TXX3="No",IF(VLOOKUP(DATE($K$1,$K$2,TXO$4),Table1[],(MATCH(Calendar!$A18,DB!$1:$1,0)),FALSE)&gt;=5,"Good","Bad"),VLOOKUP(DATE($K$1,$K$2,TXO$4),Table1[],(MATCH(Calendar!$A18,DB!$1:$1,0)),FALSE)),"")</f>
        <v/>
      </c>
      <c r="TXP18" s="28" t="str">
        <f>IFERROR(IF(TXY3="No",IF(VLOOKUP(DATE($K$1,$K$2,TXP$4),Table1[],(MATCH(Calendar!$A18,DB!$1:$1,0)),FALSE)&gt;=5,"Good","Bad"),VLOOKUP(DATE($K$1,$K$2,TXP$4),Table1[],(MATCH(Calendar!$A18,DB!$1:$1,0)),FALSE)),"")</f>
        <v/>
      </c>
      <c r="TXQ18" s="28" t="str">
        <f>IFERROR(IF(TXZ3="No",IF(VLOOKUP(DATE($K$1,$K$2,TXQ$4),Table1[],(MATCH(Calendar!$A18,DB!$1:$1,0)),FALSE)&gt;=5,"Good","Bad"),VLOOKUP(DATE($K$1,$K$2,TXQ$4),Table1[],(MATCH(Calendar!$A18,DB!$1:$1,0)),FALSE)),"")</f>
        <v/>
      </c>
      <c r="TXR18" s="28" t="str">
        <f>IFERROR(IF(TYA3="No",IF(VLOOKUP(DATE($K$1,$K$2,TXR$4),Table1[],(MATCH(Calendar!$A18,DB!$1:$1,0)),FALSE)&gt;=5,"Good","Bad"),VLOOKUP(DATE($K$1,$K$2,TXR$4),Table1[],(MATCH(Calendar!$A18,DB!$1:$1,0)),FALSE)),"")</f>
        <v/>
      </c>
      <c r="TXS18" s="28" t="str">
        <f>IFERROR(IF(TYB3="No",IF(VLOOKUP(DATE($K$1,$K$2,TXS$4),Table1[],(MATCH(Calendar!$A18,DB!$1:$1,0)),FALSE)&gt;=5,"Good","Bad"),VLOOKUP(DATE($K$1,$K$2,TXS$4),Table1[],(MATCH(Calendar!$A18,DB!$1:$1,0)),FALSE)),"")</f>
        <v/>
      </c>
      <c r="TXT18" s="28" t="str">
        <f>IFERROR(IF(TYC3="No",IF(VLOOKUP(DATE($K$1,$K$2,TXT$4),Table1[],(MATCH(Calendar!$A18,DB!$1:$1,0)),FALSE)&gt;=5,"Good","Bad"),VLOOKUP(DATE($K$1,$K$2,TXT$4),Table1[],(MATCH(Calendar!$A18,DB!$1:$1,0)),FALSE)),"")</f>
        <v/>
      </c>
      <c r="TXU18" s="28" t="str">
        <f>IFERROR(IF(TYD3="No",IF(VLOOKUP(DATE($K$1,$K$2,TXU$4),Table1[],(MATCH(Calendar!$A18,DB!$1:$1,0)),FALSE)&gt;=5,"Good","Bad"),VLOOKUP(DATE($K$1,$K$2,TXU$4),Table1[],(MATCH(Calendar!$A18,DB!$1:$1,0)),FALSE)),"")</f>
        <v/>
      </c>
      <c r="TXV18" s="28" t="str">
        <f>IFERROR(IF(TYE3="No",IF(VLOOKUP(DATE($K$1,$K$2,TXV$4),Table1[],(MATCH(Calendar!$A18,DB!$1:$1,0)),FALSE)&gt;=5,"Good","Bad"),VLOOKUP(DATE($K$1,$K$2,TXV$4),Table1[],(MATCH(Calendar!$A18,DB!$1:$1,0)),FALSE)),"")</f>
        <v/>
      </c>
      <c r="TXW18" s="28" t="str">
        <f>IFERROR(IF(TYF3="No",IF(VLOOKUP(DATE($K$1,$K$2,TXW$4),Table1[],(MATCH(Calendar!$A18,DB!$1:$1,0)),FALSE)&gt;=5,"Good","Bad"),VLOOKUP(DATE($K$1,$K$2,TXW$4),Table1[],(MATCH(Calendar!$A18,DB!$1:$1,0)),FALSE)),"")</f>
        <v/>
      </c>
      <c r="TXX18" s="28" t="str">
        <f>IFERROR(IF(TYG3="No",IF(VLOOKUP(DATE($K$1,$K$2,TXX$4),Table1[],(MATCH(Calendar!$A18,DB!$1:$1,0)),FALSE)&gt;=5,"Good","Bad"),VLOOKUP(DATE($K$1,$K$2,TXX$4),Table1[],(MATCH(Calendar!$A18,DB!$1:$1,0)),FALSE)),"")</f>
        <v/>
      </c>
      <c r="TXY18" s="28" t="str">
        <f>IFERROR(IF(TYH3="No",IF(VLOOKUP(DATE($K$1,$K$2,TXY$4),Table1[],(MATCH(Calendar!$A18,DB!$1:$1,0)),FALSE)&gt;=5,"Good","Bad"),VLOOKUP(DATE($K$1,$K$2,TXY$4),Table1[],(MATCH(Calendar!$A18,DB!$1:$1,0)),FALSE)),"")</f>
        <v/>
      </c>
      <c r="TXZ18" s="28" t="str">
        <f>IFERROR(IF(TYI3="No",IF(VLOOKUP(DATE($K$1,$K$2,TXZ$4),Table1[],(MATCH(Calendar!$A18,DB!$1:$1,0)),FALSE)&gt;=5,"Good","Bad"),VLOOKUP(DATE($K$1,$K$2,TXZ$4),Table1[],(MATCH(Calendar!$A18,DB!$1:$1,0)),FALSE)),"")</f>
        <v/>
      </c>
      <c r="TYA18" s="28" t="str">
        <f>IFERROR(IF(TYJ3="No",IF(VLOOKUP(DATE($K$1,$K$2,TYA$4),Table1[],(MATCH(Calendar!$A18,DB!$1:$1,0)),FALSE)&gt;=5,"Good","Bad"),VLOOKUP(DATE($K$1,$K$2,TYA$4),Table1[],(MATCH(Calendar!$A18,DB!$1:$1,0)),FALSE)),"")</f>
        <v/>
      </c>
      <c r="TYB18" s="28" t="str">
        <f>IFERROR(IF(TYK3="No",IF(VLOOKUP(DATE($K$1,$K$2,TYB$4),Table1[],(MATCH(Calendar!$A18,DB!$1:$1,0)),FALSE)&gt;=5,"Good","Bad"),VLOOKUP(DATE($K$1,$K$2,TYB$4),Table1[],(MATCH(Calendar!$A18,DB!$1:$1,0)),FALSE)),"")</f>
        <v/>
      </c>
      <c r="TYC18" s="28" t="str">
        <f>IFERROR(IF(TYL3="No",IF(VLOOKUP(DATE($K$1,$K$2,TYC$4),Table1[],(MATCH(Calendar!$A18,DB!$1:$1,0)),FALSE)&gt;=5,"Good","Bad"),VLOOKUP(DATE($K$1,$K$2,TYC$4),Table1[],(MATCH(Calendar!$A18,DB!$1:$1,0)),FALSE)),"")</f>
        <v/>
      </c>
      <c r="TYD18" s="28" t="str">
        <f>IFERROR(IF(TYM3="No",IF(VLOOKUP(DATE($K$1,$K$2,TYD$4),Table1[],(MATCH(Calendar!$A18,DB!$1:$1,0)),FALSE)&gt;=5,"Good","Bad"),VLOOKUP(DATE($K$1,$K$2,TYD$4),Table1[],(MATCH(Calendar!$A18,DB!$1:$1,0)),FALSE)),"")</f>
        <v/>
      </c>
      <c r="TYE18" s="28" t="str">
        <f>IFERROR(IF(TYN3="No",IF(VLOOKUP(DATE($K$1,$K$2,TYE$4),Table1[],(MATCH(Calendar!$A18,DB!$1:$1,0)),FALSE)&gt;=5,"Good","Bad"),VLOOKUP(DATE($K$1,$K$2,TYE$4),Table1[],(MATCH(Calendar!$A18,DB!$1:$1,0)),FALSE)),"")</f>
        <v/>
      </c>
      <c r="TYF18" s="28" t="str">
        <f>IFERROR(IF(TYO3="No",IF(VLOOKUP(DATE($K$1,$K$2,TYF$4),Table1[],(MATCH(Calendar!$A18,DB!$1:$1,0)),FALSE)&gt;=5,"Good","Bad"),VLOOKUP(DATE($K$1,$K$2,TYF$4),Table1[],(MATCH(Calendar!$A18,DB!$1:$1,0)),FALSE)),"")</f>
        <v/>
      </c>
      <c r="TYG18" s="28" t="str">
        <f>IFERROR(IF(TYP3="No",IF(VLOOKUP(DATE($K$1,$K$2,TYG$4),Table1[],(MATCH(Calendar!$A18,DB!$1:$1,0)),FALSE)&gt;=5,"Good","Bad"),VLOOKUP(DATE($K$1,$K$2,TYG$4),Table1[],(MATCH(Calendar!$A18,DB!$1:$1,0)),FALSE)),"")</f>
        <v/>
      </c>
      <c r="TYH18" s="28" t="str">
        <f>IFERROR(IF(TYQ3="No",IF(VLOOKUP(DATE($K$1,$K$2,TYH$4),Table1[],(MATCH(Calendar!$A18,DB!$1:$1,0)),FALSE)&gt;=5,"Good","Bad"),VLOOKUP(DATE($K$1,$K$2,TYH$4),Table1[],(MATCH(Calendar!$A18,DB!$1:$1,0)),FALSE)),"")</f>
        <v/>
      </c>
      <c r="TYI18" s="28" t="str">
        <f>IFERROR(IF(TYR3="No",IF(VLOOKUP(DATE($K$1,$K$2,TYI$4),Table1[],(MATCH(Calendar!$A18,DB!$1:$1,0)),FALSE)&gt;=5,"Good","Bad"),VLOOKUP(DATE($K$1,$K$2,TYI$4),Table1[],(MATCH(Calendar!$A18,DB!$1:$1,0)),FALSE)),"")</f>
        <v/>
      </c>
      <c r="TYJ18" s="28" t="str">
        <f>IFERROR(IF(TYS3="No",IF(VLOOKUP(DATE($K$1,$K$2,TYJ$4),Table1[],(MATCH(Calendar!$A18,DB!$1:$1,0)),FALSE)&gt;=5,"Good","Bad"),VLOOKUP(DATE($K$1,$K$2,TYJ$4),Table1[],(MATCH(Calendar!$A18,DB!$1:$1,0)),FALSE)),"")</f>
        <v/>
      </c>
      <c r="TYK18" s="28" t="str">
        <f>IFERROR(IF(TYT3="No",IF(VLOOKUP(DATE($K$1,$K$2,TYK$4),Table1[],(MATCH(Calendar!$A18,DB!$1:$1,0)),FALSE)&gt;=5,"Good","Bad"),VLOOKUP(DATE($K$1,$K$2,TYK$4),Table1[],(MATCH(Calendar!$A18,DB!$1:$1,0)),FALSE)),"")</f>
        <v/>
      </c>
      <c r="TYL18" s="28" t="str">
        <f>IFERROR(IF(TYU3="No",IF(VLOOKUP(DATE($K$1,$K$2,TYL$4),Table1[],(MATCH(Calendar!$A18,DB!$1:$1,0)),FALSE)&gt;=5,"Good","Bad"),VLOOKUP(DATE($K$1,$K$2,TYL$4),Table1[],(MATCH(Calendar!$A18,DB!$1:$1,0)),FALSE)),"")</f>
        <v/>
      </c>
      <c r="TYM18" s="28" t="str">
        <f>IFERROR(IF(TYV3="No",IF(VLOOKUP(DATE($K$1,$K$2,TYM$4),Table1[],(MATCH(Calendar!$A18,DB!$1:$1,0)),FALSE)&gt;=5,"Good","Bad"),VLOOKUP(DATE($K$1,$K$2,TYM$4),Table1[],(MATCH(Calendar!$A18,DB!$1:$1,0)),FALSE)),"")</f>
        <v/>
      </c>
      <c r="TYN18" s="28" t="str">
        <f>IFERROR(IF(TYW3="No",IF(VLOOKUP(DATE($K$1,$K$2,TYN$4),Table1[],(MATCH(Calendar!$A18,DB!$1:$1,0)),FALSE)&gt;=5,"Good","Bad"),VLOOKUP(DATE($K$1,$K$2,TYN$4),Table1[],(MATCH(Calendar!$A18,DB!$1:$1,0)),FALSE)),"")</f>
        <v/>
      </c>
      <c r="TYO18" s="28" t="str">
        <f>IFERROR(IF(TYX3="No",IF(VLOOKUP(DATE($K$1,$K$2,TYO$4),Table1[],(MATCH(Calendar!$A18,DB!$1:$1,0)),FALSE)&gt;=5,"Good","Bad"),VLOOKUP(DATE($K$1,$K$2,TYO$4),Table1[],(MATCH(Calendar!$A18,DB!$1:$1,0)),FALSE)),"")</f>
        <v/>
      </c>
      <c r="TYP18" s="28" t="str">
        <f>IFERROR(IF(TYY3="No",IF(VLOOKUP(DATE($K$1,$K$2,TYP$4),Table1[],(MATCH(Calendar!$A18,DB!$1:$1,0)),FALSE)&gt;=5,"Good","Bad"),VLOOKUP(DATE($K$1,$K$2,TYP$4),Table1[],(MATCH(Calendar!$A18,DB!$1:$1,0)),FALSE)),"")</f>
        <v/>
      </c>
      <c r="TYQ18" s="28" t="str">
        <f>IFERROR(IF(TYZ3="No",IF(VLOOKUP(DATE($K$1,$K$2,TYQ$4),Table1[],(MATCH(Calendar!$A18,DB!$1:$1,0)),FALSE)&gt;=5,"Good","Bad"),VLOOKUP(DATE($K$1,$K$2,TYQ$4),Table1[],(MATCH(Calendar!$A18,DB!$1:$1,0)),FALSE)),"")</f>
        <v/>
      </c>
      <c r="TYR18" s="28" t="str">
        <f>IFERROR(IF(TZA3="No",IF(VLOOKUP(DATE($K$1,$K$2,TYR$4),Table1[],(MATCH(Calendar!$A18,DB!$1:$1,0)),FALSE)&gt;=5,"Good","Bad"),VLOOKUP(DATE($K$1,$K$2,TYR$4),Table1[],(MATCH(Calendar!$A18,DB!$1:$1,0)),FALSE)),"")</f>
        <v/>
      </c>
      <c r="TYS18" s="28" t="str">
        <f>IFERROR(IF(TZB3="No",IF(VLOOKUP(DATE($K$1,$K$2,TYS$4),Table1[],(MATCH(Calendar!$A18,DB!$1:$1,0)),FALSE)&gt;=5,"Good","Bad"),VLOOKUP(DATE($K$1,$K$2,TYS$4),Table1[],(MATCH(Calendar!$A18,DB!$1:$1,0)),FALSE)),"")</f>
        <v/>
      </c>
      <c r="TYT18" s="28" t="str">
        <f>IFERROR(IF(TZC3="No",IF(VLOOKUP(DATE($K$1,$K$2,TYT$4),Table1[],(MATCH(Calendar!$A18,DB!$1:$1,0)),FALSE)&gt;=5,"Good","Bad"),VLOOKUP(DATE($K$1,$K$2,TYT$4),Table1[],(MATCH(Calendar!$A18,DB!$1:$1,0)),FALSE)),"")</f>
        <v/>
      </c>
      <c r="TYU18" s="28" t="str">
        <f>IFERROR(IF(TZD3="No",IF(VLOOKUP(DATE($K$1,$K$2,TYU$4),Table1[],(MATCH(Calendar!$A18,DB!$1:$1,0)),FALSE)&gt;=5,"Good","Bad"),VLOOKUP(DATE($K$1,$K$2,TYU$4),Table1[],(MATCH(Calendar!$A18,DB!$1:$1,0)),FALSE)),"")</f>
        <v/>
      </c>
      <c r="TYV18" s="28" t="str">
        <f>IFERROR(IF(TZE3="No",IF(VLOOKUP(DATE($K$1,$K$2,TYV$4),Table1[],(MATCH(Calendar!$A18,DB!$1:$1,0)),FALSE)&gt;=5,"Good","Bad"),VLOOKUP(DATE($K$1,$K$2,TYV$4),Table1[],(MATCH(Calendar!$A18,DB!$1:$1,0)),FALSE)),"")</f>
        <v/>
      </c>
      <c r="TYW18" s="28" t="str">
        <f>IFERROR(IF(TZF3="No",IF(VLOOKUP(DATE($K$1,$K$2,TYW$4),Table1[],(MATCH(Calendar!$A18,DB!$1:$1,0)),FALSE)&gt;=5,"Good","Bad"),VLOOKUP(DATE($K$1,$K$2,TYW$4),Table1[],(MATCH(Calendar!$A18,DB!$1:$1,0)),FALSE)),"")</f>
        <v/>
      </c>
      <c r="TYX18" s="28" t="str">
        <f>IFERROR(IF(TZG3="No",IF(VLOOKUP(DATE($K$1,$K$2,TYX$4),Table1[],(MATCH(Calendar!$A18,DB!$1:$1,0)),FALSE)&gt;=5,"Good","Bad"),VLOOKUP(DATE($K$1,$K$2,TYX$4),Table1[],(MATCH(Calendar!$A18,DB!$1:$1,0)),FALSE)),"")</f>
        <v/>
      </c>
      <c r="TYY18" s="28" t="str">
        <f>IFERROR(IF(TZH3="No",IF(VLOOKUP(DATE($K$1,$K$2,TYY$4),Table1[],(MATCH(Calendar!$A18,DB!$1:$1,0)),FALSE)&gt;=5,"Good","Bad"),VLOOKUP(DATE($K$1,$K$2,TYY$4),Table1[],(MATCH(Calendar!$A18,DB!$1:$1,0)),FALSE)),"")</f>
        <v/>
      </c>
      <c r="TYZ18" s="28" t="str">
        <f>IFERROR(IF(TZI3="No",IF(VLOOKUP(DATE($K$1,$K$2,TYZ$4),Table1[],(MATCH(Calendar!$A18,DB!$1:$1,0)),FALSE)&gt;=5,"Good","Bad"),VLOOKUP(DATE($K$1,$K$2,TYZ$4),Table1[],(MATCH(Calendar!$A18,DB!$1:$1,0)),FALSE)),"")</f>
        <v/>
      </c>
      <c r="TZA18" s="28" t="str">
        <f>IFERROR(IF(TZJ3="No",IF(VLOOKUP(DATE($K$1,$K$2,TZA$4),Table1[],(MATCH(Calendar!$A18,DB!$1:$1,0)),FALSE)&gt;=5,"Good","Bad"),VLOOKUP(DATE($K$1,$K$2,TZA$4),Table1[],(MATCH(Calendar!$A18,DB!$1:$1,0)),FALSE)),"")</f>
        <v/>
      </c>
      <c r="TZB18" s="28" t="str">
        <f>IFERROR(IF(TZK3="No",IF(VLOOKUP(DATE($K$1,$K$2,TZB$4),Table1[],(MATCH(Calendar!$A18,DB!$1:$1,0)),FALSE)&gt;=5,"Good","Bad"),VLOOKUP(DATE($K$1,$K$2,TZB$4),Table1[],(MATCH(Calendar!$A18,DB!$1:$1,0)),FALSE)),"")</f>
        <v/>
      </c>
      <c r="TZC18" s="28" t="str">
        <f>IFERROR(IF(TZL3="No",IF(VLOOKUP(DATE($K$1,$K$2,TZC$4),Table1[],(MATCH(Calendar!$A18,DB!$1:$1,0)),FALSE)&gt;=5,"Good","Bad"),VLOOKUP(DATE($K$1,$K$2,TZC$4),Table1[],(MATCH(Calendar!$A18,DB!$1:$1,0)),FALSE)),"")</f>
        <v/>
      </c>
      <c r="TZD18" s="28" t="str">
        <f>IFERROR(IF(TZM3="No",IF(VLOOKUP(DATE($K$1,$K$2,TZD$4),Table1[],(MATCH(Calendar!$A18,DB!$1:$1,0)),FALSE)&gt;=5,"Good","Bad"),VLOOKUP(DATE($K$1,$K$2,TZD$4),Table1[],(MATCH(Calendar!$A18,DB!$1:$1,0)),FALSE)),"")</f>
        <v/>
      </c>
      <c r="TZE18" s="28" t="str">
        <f>IFERROR(IF(TZN3="No",IF(VLOOKUP(DATE($K$1,$K$2,TZE$4),Table1[],(MATCH(Calendar!$A18,DB!$1:$1,0)),FALSE)&gt;=5,"Good","Bad"),VLOOKUP(DATE($K$1,$K$2,TZE$4),Table1[],(MATCH(Calendar!$A18,DB!$1:$1,0)),FALSE)),"")</f>
        <v/>
      </c>
      <c r="TZF18" s="28" t="str">
        <f>IFERROR(IF(TZO3="No",IF(VLOOKUP(DATE($K$1,$K$2,TZF$4),Table1[],(MATCH(Calendar!$A18,DB!$1:$1,0)),FALSE)&gt;=5,"Good","Bad"),VLOOKUP(DATE($K$1,$K$2,TZF$4),Table1[],(MATCH(Calendar!$A18,DB!$1:$1,0)),FALSE)),"")</f>
        <v/>
      </c>
      <c r="TZG18" s="28" t="str">
        <f>IFERROR(IF(TZP3="No",IF(VLOOKUP(DATE($K$1,$K$2,TZG$4),Table1[],(MATCH(Calendar!$A18,DB!$1:$1,0)),FALSE)&gt;=5,"Good","Bad"),VLOOKUP(DATE($K$1,$K$2,TZG$4),Table1[],(MATCH(Calendar!$A18,DB!$1:$1,0)),FALSE)),"")</f>
        <v/>
      </c>
      <c r="TZH18" s="28" t="str">
        <f>IFERROR(IF(TZQ3="No",IF(VLOOKUP(DATE($K$1,$K$2,TZH$4),Table1[],(MATCH(Calendar!$A18,DB!$1:$1,0)),FALSE)&gt;=5,"Good","Bad"),VLOOKUP(DATE($K$1,$K$2,TZH$4),Table1[],(MATCH(Calendar!$A18,DB!$1:$1,0)),FALSE)),"")</f>
        <v/>
      </c>
      <c r="TZI18" s="28" t="str">
        <f>IFERROR(IF(TZR3="No",IF(VLOOKUP(DATE($K$1,$K$2,TZI$4),Table1[],(MATCH(Calendar!$A18,DB!$1:$1,0)),FALSE)&gt;=5,"Good","Bad"),VLOOKUP(DATE($K$1,$K$2,TZI$4),Table1[],(MATCH(Calendar!$A18,DB!$1:$1,0)),FALSE)),"")</f>
        <v/>
      </c>
      <c r="TZJ18" s="28" t="str">
        <f>IFERROR(IF(TZS3="No",IF(VLOOKUP(DATE($K$1,$K$2,TZJ$4),Table1[],(MATCH(Calendar!$A18,DB!$1:$1,0)),FALSE)&gt;=5,"Good","Bad"),VLOOKUP(DATE($K$1,$K$2,TZJ$4),Table1[],(MATCH(Calendar!$A18,DB!$1:$1,0)),FALSE)),"")</f>
        <v/>
      </c>
      <c r="TZK18" s="28" t="str">
        <f>IFERROR(IF(TZT3="No",IF(VLOOKUP(DATE($K$1,$K$2,TZK$4),Table1[],(MATCH(Calendar!$A18,DB!$1:$1,0)),FALSE)&gt;=5,"Good","Bad"),VLOOKUP(DATE($K$1,$K$2,TZK$4),Table1[],(MATCH(Calendar!$A18,DB!$1:$1,0)),FALSE)),"")</f>
        <v/>
      </c>
      <c r="TZL18" s="28" t="str">
        <f>IFERROR(IF(TZU3="No",IF(VLOOKUP(DATE($K$1,$K$2,TZL$4),Table1[],(MATCH(Calendar!$A18,DB!$1:$1,0)),FALSE)&gt;=5,"Good","Bad"),VLOOKUP(DATE($K$1,$K$2,TZL$4),Table1[],(MATCH(Calendar!$A18,DB!$1:$1,0)),FALSE)),"")</f>
        <v/>
      </c>
      <c r="TZM18" s="28" t="str">
        <f>IFERROR(IF(TZV3="No",IF(VLOOKUP(DATE($K$1,$K$2,TZM$4),Table1[],(MATCH(Calendar!$A18,DB!$1:$1,0)),FALSE)&gt;=5,"Good","Bad"),VLOOKUP(DATE($K$1,$K$2,TZM$4),Table1[],(MATCH(Calendar!$A18,DB!$1:$1,0)),FALSE)),"")</f>
        <v/>
      </c>
      <c r="TZN18" s="28" t="str">
        <f>IFERROR(IF(TZW3="No",IF(VLOOKUP(DATE($K$1,$K$2,TZN$4),Table1[],(MATCH(Calendar!$A18,DB!$1:$1,0)),FALSE)&gt;=5,"Good","Bad"),VLOOKUP(DATE($K$1,$K$2,TZN$4),Table1[],(MATCH(Calendar!$A18,DB!$1:$1,0)),FALSE)),"")</f>
        <v/>
      </c>
      <c r="TZO18" s="28" t="str">
        <f>IFERROR(IF(TZX3="No",IF(VLOOKUP(DATE($K$1,$K$2,TZO$4),Table1[],(MATCH(Calendar!$A18,DB!$1:$1,0)),FALSE)&gt;=5,"Good","Bad"),VLOOKUP(DATE($K$1,$K$2,TZO$4),Table1[],(MATCH(Calendar!$A18,DB!$1:$1,0)),FALSE)),"")</f>
        <v/>
      </c>
      <c r="TZP18" s="28" t="str">
        <f>IFERROR(IF(TZY3="No",IF(VLOOKUP(DATE($K$1,$K$2,TZP$4),Table1[],(MATCH(Calendar!$A18,DB!$1:$1,0)),FALSE)&gt;=5,"Good","Bad"),VLOOKUP(DATE($K$1,$K$2,TZP$4),Table1[],(MATCH(Calendar!$A18,DB!$1:$1,0)),FALSE)),"")</f>
        <v/>
      </c>
      <c r="TZQ18" s="28" t="str">
        <f>IFERROR(IF(TZZ3="No",IF(VLOOKUP(DATE($K$1,$K$2,TZQ$4),Table1[],(MATCH(Calendar!$A18,DB!$1:$1,0)),FALSE)&gt;=5,"Good","Bad"),VLOOKUP(DATE($K$1,$K$2,TZQ$4),Table1[],(MATCH(Calendar!$A18,DB!$1:$1,0)),FALSE)),"")</f>
        <v/>
      </c>
      <c r="TZR18" s="28" t="str">
        <f>IFERROR(IF(UAA3="No",IF(VLOOKUP(DATE($K$1,$K$2,TZR$4),Table1[],(MATCH(Calendar!$A18,DB!$1:$1,0)),FALSE)&gt;=5,"Good","Bad"),VLOOKUP(DATE($K$1,$K$2,TZR$4),Table1[],(MATCH(Calendar!$A18,DB!$1:$1,0)),FALSE)),"")</f>
        <v/>
      </c>
      <c r="TZS18" s="28" t="str">
        <f>IFERROR(IF(UAB3="No",IF(VLOOKUP(DATE($K$1,$K$2,TZS$4),Table1[],(MATCH(Calendar!$A18,DB!$1:$1,0)),FALSE)&gt;=5,"Good","Bad"),VLOOKUP(DATE($K$1,$K$2,TZS$4),Table1[],(MATCH(Calendar!$A18,DB!$1:$1,0)),FALSE)),"")</f>
        <v/>
      </c>
      <c r="TZT18" s="28" t="str">
        <f>IFERROR(IF(UAC3="No",IF(VLOOKUP(DATE($K$1,$K$2,TZT$4),Table1[],(MATCH(Calendar!$A18,DB!$1:$1,0)),FALSE)&gt;=5,"Good","Bad"),VLOOKUP(DATE($K$1,$K$2,TZT$4),Table1[],(MATCH(Calendar!$A18,DB!$1:$1,0)),FALSE)),"")</f>
        <v/>
      </c>
      <c r="TZU18" s="28" t="str">
        <f>IFERROR(IF(UAD3="No",IF(VLOOKUP(DATE($K$1,$K$2,TZU$4),Table1[],(MATCH(Calendar!$A18,DB!$1:$1,0)),FALSE)&gt;=5,"Good","Bad"),VLOOKUP(DATE($K$1,$K$2,TZU$4),Table1[],(MATCH(Calendar!$A18,DB!$1:$1,0)),FALSE)),"")</f>
        <v/>
      </c>
      <c r="TZV18" s="28" t="str">
        <f>IFERROR(IF(UAE3="No",IF(VLOOKUP(DATE($K$1,$K$2,TZV$4),Table1[],(MATCH(Calendar!$A18,DB!$1:$1,0)),FALSE)&gt;=5,"Good","Bad"),VLOOKUP(DATE($K$1,$K$2,TZV$4),Table1[],(MATCH(Calendar!$A18,DB!$1:$1,0)),FALSE)),"")</f>
        <v/>
      </c>
      <c r="TZW18" s="28" t="str">
        <f>IFERROR(IF(UAF3="No",IF(VLOOKUP(DATE($K$1,$K$2,TZW$4),Table1[],(MATCH(Calendar!$A18,DB!$1:$1,0)),FALSE)&gt;=5,"Good","Bad"),VLOOKUP(DATE($K$1,$K$2,TZW$4),Table1[],(MATCH(Calendar!$A18,DB!$1:$1,0)),FALSE)),"")</f>
        <v/>
      </c>
      <c r="TZX18" s="28" t="str">
        <f>IFERROR(IF(UAG3="No",IF(VLOOKUP(DATE($K$1,$K$2,TZX$4),Table1[],(MATCH(Calendar!$A18,DB!$1:$1,0)),FALSE)&gt;=5,"Good","Bad"),VLOOKUP(DATE($K$1,$K$2,TZX$4),Table1[],(MATCH(Calendar!$A18,DB!$1:$1,0)),FALSE)),"")</f>
        <v/>
      </c>
      <c r="TZY18" s="28" t="str">
        <f>IFERROR(IF(UAH3="No",IF(VLOOKUP(DATE($K$1,$K$2,TZY$4),Table1[],(MATCH(Calendar!$A18,DB!$1:$1,0)),FALSE)&gt;=5,"Good","Bad"),VLOOKUP(DATE($K$1,$K$2,TZY$4),Table1[],(MATCH(Calendar!$A18,DB!$1:$1,0)),FALSE)),"")</f>
        <v/>
      </c>
      <c r="TZZ18" s="28" t="str">
        <f>IFERROR(IF(UAI3="No",IF(VLOOKUP(DATE($K$1,$K$2,TZZ$4),Table1[],(MATCH(Calendar!$A18,DB!$1:$1,0)),FALSE)&gt;=5,"Good","Bad"),VLOOKUP(DATE($K$1,$K$2,TZZ$4),Table1[],(MATCH(Calendar!$A18,DB!$1:$1,0)),FALSE)),"")</f>
        <v/>
      </c>
      <c r="UAA18" s="28" t="str">
        <f>IFERROR(IF(UAJ3="No",IF(VLOOKUP(DATE($K$1,$K$2,UAA$4),Table1[],(MATCH(Calendar!$A18,DB!$1:$1,0)),FALSE)&gt;=5,"Good","Bad"),VLOOKUP(DATE($K$1,$K$2,UAA$4),Table1[],(MATCH(Calendar!$A18,DB!$1:$1,0)),FALSE)),"")</f>
        <v/>
      </c>
      <c r="UAB18" s="28" t="str">
        <f>IFERROR(IF(UAK3="No",IF(VLOOKUP(DATE($K$1,$K$2,UAB$4),Table1[],(MATCH(Calendar!$A18,DB!$1:$1,0)),FALSE)&gt;=5,"Good","Bad"),VLOOKUP(DATE($K$1,$K$2,UAB$4),Table1[],(MATCH(Calendar!$A18,DB!$1:$1,0)),FALSE)),"")</f>
        <v/>
      </c>
      <c r="UAC18" s="28" t="str">
        <f>IFERROR(IF(UAL3="No",IF(VLOOKUP(DATE($K$1,$K$2,UAC$4),Table1[],(MATCH(Calendar!$A18,DB!$1:$1,0)),FALSE)&gt;=5,"Good","Bad"),VLOOKUP(DATE($K$1,$K$2,UAC$4),Table1[],(MATCH(Calendar!$A18,DB!$1:$1,0)),FALSE)),"")</f>
        <v/>
      </c>
      <c r="UAD18" s="28" t="str">
        <f>IFERROR(IF(UAM3="No",IF(VLOOKUP(DATE($K$1,$K$2,UAD$4),Table1[],(MATCH(Calendar!$A18,DB!$1:$1,0)),FALSE)&gt;=5,"Good","Bad"),VLOOKUP(DATE($K$1,$K$2,UAD$4),Table1[],(MATCH(Calendar!$A18,DB!$1:$1,0)),FALSE)),"")</f>
        <v/>
      </c>
      <c r="UAE18" s="28" t="str">
        <f>IFERROR(IF(UAN3="No",IF(VLOOKUP(DATE($K$1,$K$2,UAE$4),Table1[],(MATCH(Calendar!$A18,DB!$1:$1,0)),FALSE)&gt;=5,"Good","Bad"),VLOOKUP(DATE($K$1,$K$2,UAE$4),Table1[],(MATCH(Calendar!$A18,DB!$1:$1,0)),FALSE)),"")</f>
        <v/>
      </c>
      <c r="UAF18" s="28" t="str">
        <f>IFERROR(IF(UAO3="No",IF(VLOOKUP(DATE($K$1,$K$2,UAF$4),Table1[],(MATCH(Calendar!$A18,DB!$1:$1,0)),FALSE)&gt;=5,"Good","Bad"),VLOOKUP(DATE($K$1,$K$2,UAF$4),Table1[],(MATCH(Calendar!$A18,DB!$1:$1,0)),FALSE)),"")</f>
        <v/>
      </c>
      <c r="UAG18" s="28" t="str">
        <f>IFERROR(IF(UAP3="No",IF(VLOOKUP(DATE($K$1,$K$2,UAG$4),Table1[],(MATCH(Calendar!$A18,DB!$1:$1,0)),FALSE)&gt;=5,"Good","Bad"),VLOOKUP(DATE($K$1,$K$2,UAG$4),Table1[],(MATCH(Calendar!$A18,DB!$1:$1,0)),FALSE)),"")</f>
        <v/>
      </c>
      <c r="UAH18" s="28" t="str">
        <f>IFERROR(IF(UAQ3="No",IF(VLOOKUP(DATE($K$1,$K$2,UAH$4),Table1[],(MATCH(Calendar!$A18,DB!$1:$1,0)),FALSE)&gt;=5,"Good","Bad"),VLOOKUP(DATE($K$1,$K$2,UAH$4),Table1[],(MATCH(Calendar!$A18,DB!$1:$1,0)),FALSE)),"")</f>
        <v/>
      </c>
      <c r="UAI18" s="28" t="str">
        <f>IFERROR(IF(UAR3="No",IF(VLOOKUP(DATE($K$1,$K$2,UAI$4),Table1[],(MATCH(Calendar!$A18,DB!$1:$1,0)),FALSE)&gt;=5,"Good","Bad"),VLOOKUP(DATE($K$1,$K$2,UAI$4),Table1[],(MATCH(Calendar!$A18,DB!$1:$1,0)),FALSE)),"")</f>
        <v/>
      </c>
      <c r="UAJ18" s="28" t="str">
        <f>IFERROR(IF(UAS3="No",IF(VLOOKUP(DATE($K$1,$K$2,UAJ$4),Table1[],(MATCH(Calendar!$A18,DB!$1:$1,0)),FALSE)&gt;=5,"Good","Bad"),VLOOKUP(DATE($K$1,$K$2,UAJ$4),Table1[],(MATCH(Calendar!$A18,DB!$1:$1,0)),FALSE)),"")</f>
        <v/>
      </c>
      <c r="UAK18" s="28" t="str">
        <f>IFERROR(IF(UAT3="No",IF(VLOOKUP(DATE($K$1,$K$2,UAK$4),Table1[],(MATCH(Calendar!$A18,DB!$1:$1,0)),FALSE)&gt;=5,"Good","Bad"),VLOOKUP(DATE($K$1,$K$2,UAK$4),Table1[],(MATCH(Calendar!$A18,DB!$1:$1,0)),FALSE)),"")</f>
        <v/>
      </c>
      <c r="UAL18" s="28" t="str">
        <f>IFERROR(IF(UAU3="No",IF(VLOOKUP(DATE($K$1,$K$2,UAL$4),Table1[],(MATCH(Calendar!$A18,DB!$1:$1,0)),FALSE)&gt;=5,"Good","Bad"),VLOOKUP(DATE($K$1,$K$2,UAL$4),Table1[],(MATCH(Calendar!$A18,DB!$1:$1,0)),FALSE)),"")</f>
        <v/>
      </c>
      <c r="UAM18" s="28" t="str">
        <f>IFERROR(IF(UAV3="No",IF(VLOOKUP(DATE($K$1,$K$2,UAM$4),Table1[],(MATCH(Calendar!$A18,DB!$1:$1,0)),FALSE)&gt;=5,"Good","Bad"),VLOOKUP(DATE($K$1,$K$2,UAM$4),Table1[],(MATCH(Calendar!$A18,DB!$1:$1,0)),FALSE)),"")</f>
        <v/>
      </c>
      <c r="UAN18" s="28" t="str">
        <f>IFERROR(IF(UAW3="No",IF(VLOOKUP(DATE($K$1,$K$2,UAN$4),Table1[],(MATCH(Calendar!$A18,DB!$1:$1,0)),FALSE)&gt;=5,"Good","Bad"),VLOOKUP(DATE($K$1,$K$2,UAN$4),Table1[],(MATCH(Calendar!$A18,DB!$1:$1,0)),FALSE)),"")</f>
        <v/>
      </c>
      <c r="UAO18" s="28" t="str">
        <f>IFERROR(IF(UAX3="No",IF(VLOOKUP(DATE($K$1,$K$2,UAO$4),Table1[],(MATCH(Calendar!$A18,DB!$1:$1,0)),FALSE)&gt;=5,"Good","Bad"),VLOOKUP(DATE($K$1,$K$2,UAO$4),Table1[],(MATCH(Calendar!$A18,DB!$1:$1,0)),FALSE)),"")</f>
        <v/>
      </c>
      <c r="UAP18" s="28" t="str">
        <f>IFERROR(IF(UAY3="No",IF(VLOOKUP(DATE($K$1,$K$2,UAP$4),Table1[],(MATCH(Calendar!$A18,DB!$1:$1,0)),FALSE)&gt;=5,"Good","Bad"),VLOOKUP(DATE($K$1,$K$2,UAP$4),Table1[],(MATCH(Calendar!$A18,DB!$1:$1,0)),FALSE)),"")</f>
        <v/>
      </c>
      <c r="UAQ18" s="28" t="str">
        <f>IFERROR(IF(UAZ3="No",IF(VLOOKUP(DATE($K$1,$K$2,UAQ$4),Table1[],(MATCH(Calendar!$A18,DB!$1:$1,0)),FALSE)&gt;=5,"Good","Bad"),VLOOKUP(DATE($K$1,$K$2,UAQ$4),Table1[],(MATCH(Calendar!$A18,DB!$1:$1,0)),FALSE)),"")</f>
        <v/>
      </c>
      <c r="UAR18" s="28" t="str">
        <f>IFERROR(IF(UBA3="No",IF(VLOOKUP(DATE($K$1,$K$2,UAR$4),Table1[],(MATCH(Calendar!$A18,DB!$1:$1,0)),FALSE)&gt;=5,"Good","Bad"),VLOOKUP(DATE($K$1,$K$2,UAR$4),Table1[],(MATCH(Calendar!$A18,DB!$1:$1,0)),FALSE)),"")</f>
        <v/>
      </c>
      <c r="UAS18" s="28" t="str">
        <f>IFERROR(IF(UBB3="No",IF(VLOOKUP(DATE($K$1,$K$2,UAS$4),Table1[],(MATCH(Calendar!$A18,DB!$1:$1,0)),FALSE)&gt;=5,"Good","Bad"),VLOOKUP(DATE($K$1,$K$2,UAS$4),Table1[],(MATCH(Calendar!$A18,DB!$1:$1,0)),FALSE)),"")</f>
        <v/>
      </c>
      <c r="UAT18" s="28" t="str">
        <f>IFERROR(IF(UBC3="No",IF(VLOOKUP(DATE($K$1,$K$2,UAT$4),Table1[],(MATCH(Calendar!$A18,DB!$1:$1,0)),FALSE)&gt;=5,"Good","Bad"),VLOOKUP(DATE($K$1,$K$2,UAT$4),Table1[],(MATCH(Calendar!$A18,DB!$1:$1,0)),FALSE)),"")</f>
        <v/>
      </c>
      <c r="UAU18" s="28" t="str">
        <f>IFERROR(IF(UBD3="No",IF(VLOOKUP(DATE($K$1,$K$2,UAU$4),Table1[],(MATCH(Calendar!$A18,DB!$1:$1,0)),FALSE)&gt;=5,"Good","Bad"),VLOOKUP(DATE($K$1,$K$2,UAU$4),Table1[],(MATCH(Calendar!$A18,DB!$1:$1,0)),FALSE)),"")</f>
        <v/>
      </c>
      <c r="UAV18" s="28" t="str">
        <f>IFERROR(IF(UBE3="No",IF(VLOOKUP(DATE($K$1,$K$2,UAV$4),Table1[],(MATCH(Calendar!$A18,DB!$1:$1,0)),FALSE)&gt;=5,"Good","Bad"),VLOOKUP(DATE($K$1,$K$2,UAV$4),Table1[],(MATCH(Calendar!$A18,DB!$1:$1,0)),FALSE)),"")</f>
        <v/>
      </c>
      <c r="UAW18" s="28" t="str">
        <f>IFERROR(IF(UBF3="No",IF(VLOOKUP(DATE($K$1,$K$2,UAW$4),Table1[],(MATCH(Calendar!$A18,DB!$1:$1,0)),FALSE)&gt;=5,"Good","Bad"),VLOOKUP(DATE($K$1,$K$2,UAW$4),Table1[],(MATCH(Calendar!$A18,DB!$1:$1,0)),FALSE)),"")</f>
        <v/>
      </c>
      <c r="UAX18" s="28" t="str">
        <f>IFERROR(IF(UBG3="No",IF(VLOOKUP(DATE($K$1,$K$2,UAX$4),Table1[],(MATCH(Calendar!$A18,DB!$1:$1,0)),FALSE)&gt;=5,"Good","Bad"),VLOOKUP(DATE($K$1,$K$2,UAX$4),Table1[],(MATCH(Calendar!$A18,DB!$1:$1,0)),FALSE)),"")</f>
        <v/>
      </c>
      <c r="UAY18" s="28" t="str">
        <f>IFERROR(IF(UBH3="No",IF(VLOOKUP(DATE($K$1,$K$2,UAY$4),Table1[],(MATCH(Calendar!$A18,DB!$1:$1,0)),FALSE)&gt;=5,"Good","Bad"),VLOOKUP(DATE($K$1,$K$2,UAY$4),Table1[],(MATCH(Calendar!$A18,DB!$1:$1,0)),FALSE)),"")</f>
        <v/>
      </c>
      <c r="UAZ18" s="28" t="str">
        <f>IFERROR(IF(UBI3="No",IF(VLOOKUP(DATE($K$1,$K$2,UAZ$4),Table1[],(MATCH(Calendar!$A18,DB!$1:$1,0)),FALSE)&gt;=5,"Good","Bad"),VLOOKUP(DATE($K$1,$K$2,UAZ$4),Table1[],(MATCH(Calendar!$A18,DB!$1:$1,0)),FALSE)),"")</f>
        <v/>
      </c>
      <c r="UBA18" s="28" t="str">
        <f>IFERROR(IF(UBJ3="No",IF(VLOOKUP(DATE($K$1,$K$2,UBA$4),Table1[],(MATCH(Calendar!$A18,DB!$1:$1,0)),FALSE)&gt;=5,"Good","Bad"),VLOOKUP(DATE($K$1,$K$2,UBA$4),Table1[],(MATCH(Calendar!$A18,DB!$1:$1,0)),FALSE)),"")</f>
        <v/>
      </c>
      <c r="UBB18" s="28" t="str">
        <f>IFERROR(IF(UBK3="No",IF(VLOOKUP(DATE($K$1,$K$2,UBB$4),Table1[],(MATCH(Calendar!$A18,DB!$1:$1,0)),FALSE)&gt;=5,"Good","Bad"),VLOOKUP(DATE($K$1,$K$2,UBB$4),Table1[],(MATCH(Calendar!$A18,DB!$1:$1,0)),FALSE)),"")</f>
        <v/>
      </c>
      <c r="UBC18" s="28" t="str">
        <f>IFERROR(IF(UBL3="No",IF(VLOOKUP(DATE($K$1,$K$2,UBC$4),Table1[],(MATCH(Calendar!$A18,DB!$1:$1,0)),FALSE)&gt;=5,"Good","Bad"),VLOOKUP(DATE($K$1,$K$2,UBC$4),Table1[],(MATCH(Calendar!$A18,DB!$1:$1,0)),FALSE)),"")</f>
        <v/>
      </c>
      <c r="UBD18" s="28" t="str">
        <f>IFERROR(IF(UBM3="No",IF(VLOOKUP(DATE($K$1,$K$2,UBD$4),Table1[],(MATCH(Calendar!$A18,DB!$1:$1,0)),FALSE)&gt;=5,"Good","Bad"),VLOOKUP(DATE($K$1,$K$2,UBD$4),Table1[],(MATCH(Calendar!$A18,DB!$1:$1,0)),FALSE)),"")</f>
        <v/>
      </c>
      <c r="UBE18" s="28" t="str">
        <f>IFERROR(IF(UBN3="No",IF(VLOOKUP(DATE($K$1,$K$2,UBE$4),Table1[],(MATCH(Calendar!$A18,DB!$1:$1,0)),FALSE)&gt;=5,"Good","Bad"),VLOOKUP(DATE($K$1,$K$2,UBE$4),Table1[],(MATCH(Calendar!$A18,DB!$1:$1,0)),FALSE)),"")</f>
        <v/>
      </c>
      <c r="UBF18" s="28" t="str">
        <f>IFERROR(IF(UBO3="No",IF(VLOOKUP(DATE($K$1,$K$2,UBF$4),Table1[],(MATCH(Calendar!$A18,DB!$1:$1,0)),FALSE)&gt;=5,"Good","Bad"),VLOOKUP(DATE($K$1,$K$2,UBF$4),Table1[],(MATCH(Calendar!$A18,DB!$1:$1,0)),FALSE)),"")</f>
        <v/>
      </c>
      <c r="UBG18" s="28" t="str">
        <f>IFERROR(IF(UBP3="No",IF(VLOOKUP(DATE($K$1,$K$2,UBG$4),Table1[],(MATCH(Calendar!$A18,DB!$1:$1,0)),FALSE)&gt;=5,"Good","Bad"),VLOOKUP(DATE($K$1,$K$2,UBG$4),Table1[],(MATCH(Calendar!$A18,DB!$1:$1,0)),FALSE)),"")</f>
        <v/>
      </c>
      <c r="UBH18" s="28" t="str">
        <f>IFERROR(IF(UBQ3="No",IF(VLOOKUP(DATE($K$1,$K$2,UBH$4),Table1[],(MATCH(Calendar!$A18,DB!$1:$1,0)),FALSE)&gt;=5,"Good","Bad"),VLOOKUP(DATE($K$1,$K$2,UBH$4),Table1[],(MATCH(Calendar!$A18,DB!$1:$1,0)),FALSE)),"")</f>
        <v/>
      </c>
      <c r="UBI18" s="28" t="str">
        <f>IFERROR(IF(UBR3="No",IF(VLOOKUP(DATE($K$1,$K$2,UBI$4),Table1[],(MATCH(Calendar!$A18,DB!$1:$1,0)),FALSE)&gt;=5,"Good","Bad"),VLOOKUP(DATE($K$1,$K$2,UBI$4),Table1[],(MATCH(Calendar!$A18,DB!$1:$1,0)),FALSE)),"")</f>
        <v/>
      </c>
      <c r="UBJ18" s="28" t="str">
        <f>IFERROR(IF(UBS3="No",IF(VLOOKUP(DATE($K$1,$K$2,UBJ$4),Table1[],(MATCH(Calendar!$A18,DB!$1:$1,0)),FALSE)&gt;=5,"Good","Bad"),VLOOKUP(DATE($K$1,$K$2,UBJ$4),Table1[],(MATCH(Calendar!$A18,DB!$1:$1,0)),FALSE)),"")</f>
        <v/>
      </c>
      <c r="UBK18" s="28" t="str">
        <f>IFERROR(IF(UBT3="No",IF(VLOOKUP(DATE($K$1,$K$2,UBK$4),Table1[],(MATCH(Calendar!$A18,DB!$1:$1,0)),FALSE)&gt;=5,"Good","Bad"),VLOOKUP(DATE($K$1,$K$2,UBK$4),Table1[],(MATCH(Calendar!$A18,DB!$1:$1,0)),FALSE)),"")</f>
        <v/>
      </c>
      <c r="UBL18" s="28" t="str">
        <f>IFERROR(IF(UBU3="No",IF(VLOOKUP(DATE($K$1,$K$2,UBL$4),Table1[],(MATCH(Calendar!$A18,DB!$1:$1,0)),FALSE)&gt;=5,"Good","Bad"),VLOOKUP(DATE($K$1,$K$2,UBL$4),Table1[],(MATCH(Calendar!$A18,DB!$1:$1,0)),FALSE)),"")</f>
        <v/>
      </c>
      <c r="UBM18" s="28" t="str">
        <f>IFERROR(IF(UBV3="No",IF(VLOOKUP(DATE($K$1,$K$2,UBM$4),Table1[],(MATCH(Calendar!$A18,DB!$1:$1,0)),FALSE)&gt;=5,"Good","Bad"),VLOOKUP(DATE($K$1,$K$2,UBM$4),Table1[],(MATCH(Calendar!$A18,DB!$1:$1,0)),FALSE)),"")</f>
        <v/>
      </c>
      <c r="UBN18" s="28" t="str">
        <f>IFERROR(IF(UBW3="No",IF(VLOOKUP(DATE($K$1,$K$2,UBN$4),Table1[],(MATCH(Calendar!$A18,DB!$1:$1,0)),FALSE)&gt;=5,"Good","Bad"),VLOOKUP(DATE($K$1,$K$2,UBN$4),Table1[],(MATCH(Calendar!$A18,DB!$1:$1,0)),FALSE)),"")</f>
        <v/>
      </c>
      <c r="UBO18" s="28" t="str">
        <f>IFERROR(IF(UBX3="No",IF(VLOOKUP(DATE($K$1,$K$2,UBO$4),Table1[],(MATCH(Calendar!$A18,DB!$1:$1,0)),FALSE)&gt;=5,"Good","Bad"),VLOOKUP(DATE($K$1,$K$2,UBO$4),Table1[],(MATCH(Calendar!$A18,DB!$1:$1,0)),FALSE)),"")</f>
        <v/>
      </c>
      <c r="UBP18" s="28" t="str">
        <f>IFERROR(IF(UBY3="No",IF(VLOOKUP(DATE($K$1,$K$2,UBP$4),Table1[],(MATCH(Calendar!$A18,DB!$1:$1,0)),FALSE)&gt;=5,"Good","Bad"),VLOOKUP(DATE($K$1,$K$2,UBP$4),Table1[],(MATCH(Calendar!$A18,DB!$1:$1,0)),FALSE)),"")</f>
        <v/>
      </c>
      <c r="UBQ18" s="28" t="str">
        <f>IFERROR(IF(UBZ3="No",IF(VLOOKUP(DATE($K$1,$K$2,UBQ$4),Table1[],(MATCH(Calendar!$A18,DB!$1:$1,0)),FALSE)&gt;=5,"Good","Bad"),VLOOKUP(DATE($K$1,$K$2,UBQ$4),Table1[],(MATCH(Calendar!$A18,DB!$1:$1,0)),FALSE)),"")</f>
        <v/>
      </c>
      <c r="UBR18" s="28" t="str">
        <f>IFERROR(IF(UCA3="No",IF(VLOOKUP(DATE($K$1,$K$2,UBR$4),Table1[],(MATCH(Calendar!$A18,DB!$1:$1,0)),FALSE)&gt;=5,"Good","Bad"),VLOOKUP(DATE($K$1,$K$2,UBR$4),Table1[],(MATCH(Calendar!$A18,DB!$1:$1,0)),FALSE)),"")</f>
        <v/>
      </c>
      <c r="UBS18" s="28" t="str">
        <f>IFERROR(IF(UCB3="No",IF(VLOOKUP(DATE($K$1,$K$2,UBS$4),Table1[],(MATCH(Calendar!$A18,DB!$1:$1,0)),FALSE)&gt;=5,"Good","Bad"),VLOOKUP(DATE($K$1,$K$2,UBS$4),Table1[],(MATCH(Calendar!$A18,DB!$1:$1,0)),FALSE)),"")</f>
        <v/>
      </c>
      <c r="UBT18" s="28" t="str">
        <f>IFERROR(IF(UCC3="No",IF(VLOOKUP(DATE($K$1,$K$2,UBT$4),Table1[],(MATCH(Calendar!$A18,DB!$1:$1,0)),FALSE)&gt;=5,"Good","Bad"),VLOOKUP(DATE($K$1,$K$2,UBT$4),Table1[],(MATCH(Calendar!$A18,DB!$1:$1,0)),FALSE)),"")</f>
        <v/>
      </c>
      <c r="UBU18" s="28" t="str">
        <f>IFERROR(IF(UCD3="No",IF(VLOOKUP(DATE($K$1,$K$2,UBU$4),Table1[],(MATCH(Calendar!$A18,DB!$1:$1,0)),FALSE)&gt;=5,"Good","Bad"),VLOOKUP(DATE($K$1,$K$2,UBU$4),Table1[],(MATCH(Calendar!$A18,DB!$1:$1,0)),FALSE)),"")</f>
        <v/>
      </c>
      <c r="UBV18" s="28" t="str">
        <f>IFERROR(IF(UCE3="No",IF(VLOOKUP(DATE($K$1,$K$2,UBV$4),Table1[],(MATCH(Calendar!$A18,DB!$1:$1,0)),FALSE)&gt;=5,"Good","Bad"),VLOOKUP(DATE($K$1,$K$2,UBV$4),Table1[],(MATCH(Calendar!$A18,DB!$1:$1,0)),FALSE)),"")</f>
        <v/>
      </c>
      <c r="UBW18" s="28" t="str">
        <f>IFERROR(IF(UCF3="No",IF(VLOOKUP(DATE($K$1,$K$2,UBW$4),Table1[],(MATCH(Calendar!$A18,DB!$1:$1,0)),FALSE)&gt;=5,"Good","Bad"),VLOOKUP(DATE($K$1,$K$2,UBW$4),Table1[],(MATCH(Calendar!$A18,DB!$1:$1,0)),FALSE)),"")</f>
        <v/>
      </c>
      <c r="UBX18" s="28" t="str">
        <f>IFERROR(IF(UCG3="No",IF(VLOOKUP(DATE($K$1,$K$2,UBX$4),Table1[],(MATCH(Calendar!$A18,DB!$1:$1,0)),FALSE)&gt;=5,"Good","Bad"),VLOOKUP(DATE($K$1,$K$2,UBX$4),Table1[],(MATCH(Calendar!$A18,DB!$1:$1,0)),FALSE)),"")</f>
        <v/>
      </c>
      <c r="UBY18" s="28" t="str">
        <f>IFERROR(IF(UCH3="No",IF(VLOOKUP(DATE($K$1,$K$2,UBY$4),Table1[],(MATCH(Calendar!$A18,DB!$1:$1,0)),FALSE)&gt;=5,"Good","Bad"),VLOOKUP(DATE($K$1,$K$2,UBY$4),Table1[],(MATCH(Calendar!$A18,DB!$1:$1,0)),FALSE)),"")</f>
        <v/>
      </c>
      <c r="UBZ18" s="28" t="str">
        <f>IFERROR(IF(UCI3="No",IF(VLOOKUP(DATE($K$1,$K$2,UBZ$4),Table1[],(MATCH(Calendar!$A18,DB!$1:$1,0)),FALSE)&gt;=5,"Good","Bad"),VLOOKUP(DATE($K$1,$K$2,UBZ$4),Table1[],(MATCH(Calendar!$A18,DB!$1:$1,0)),FALSE)),"")</f>
        <v/>
      </c>
      <c r="UCA18" s="28" t="str">
        <f>IFERROR(IF(UCJ3="No",IF(VLOOKUP(DATE($K$1,$K$2,UCA$4),Table1[],(MATCH(Calendar!$A18,DB!$1:$1,0)),FALSE)&gt;=5,"Good","Bad"),VLOOKUP(DATE($K$1,$K$2,UCA$4),Table1[],(MATCH(Calendar!$A18,DB!$1:$1,0)),FALSE)),"")</f>
        <v/>
      </c>
      <c r="UCB18" s="28" t="str">
        <f>IFERROR(IF(UCK3="No",IF(VLOOKUP(DATE($K$1,$K$2,UCB$4),Table1[],(MATCH(Calendar!$A18,DB!$1:$1,0)),FALSE)&gt;=5,"Good","Bad"),VLOOKUP(DATE($K$1,$K$2,UCB$4),Table1[],(MATCH(Calendar!$A18,DB!$1:$1,0)),FALSE)),"")</f>
        <v/>
      </c>
      <c r="UCC18" s="28" t="str">
        <f>IFERROR(IF(UCL3="No",IF(VLOOKUP(DATE($K$1,$K$2,UCC$4),Table1[],(MATCH(Calendar!$A18,DB!$1:$1,0)),FALSE)&gt;=5,"Good","Bad"),VLOOKUP(DATE($K$1,$K$2,UCC$4),Table1[],(MATCH(Calendar!$A18,DB!$1:$1,0)),FALSE)),"")</f>
        <v/>
      </c>
      <c r="UCD18" s="28" t="str">
        <f>IFERROR(IF(UCM3="No",IF(VLOOKUP(DATE($K$1,$K$2,UCD$4),Table1[],(MATCH(Calendar!$A18,DB!$1:$1,0)),FALSE)&gt;=5,"Good","Bad"),VLOOKUP(DATE($K$1,$K$2,UCD$4),Table1[],(MATCH(Calendar!$A18,DB!$1:$1,0)),FALSE)),"")</f>
        <v/>
      </c>
      <c r="UCE18" s="28" t="str">
        <f>IFERROR(IF(UCN3="No",IF(VLOOKUP(DATE($K$1,$K$2,UCE$4),Table1[],(MATCH(Calendar!$A18,DB!$1:$1,0)),FALSE)&gt;=5,"Good","Bad"),VLOOKUP(DATE($K$1,$K$2,UCE$4),Table1[],(MATCH(Calendar!$A18,DB!$1:$1,0)),FALSE)),"")</f>
        <v/>
      </c>
      <c r="UCF18" s="28" t="str">
        <f>IFERROR(IF(UCO3="No",IF(VLOOKUP(DATE($K$1,$K$2,UCF$4),Table1[],(MATCH(Calendar!$A18,DB!$1:$1,0)),FALSE)&gt;=5,"Good","Bad"),VLOOKUP(DATE($K$1,$K$2,UCF$4),Table1[],(MATCH(Calendar!$A18,DB!$1:$1,0)),FALSE)),"")</f>
        <v/>
      </c>
      <c r="UCG18" s="28" t="str">
        <f>IFERROR(IF(UCP3="No",IF(VLOOKUP(DATE($K$1,$K$2,UCG$4),Table1[],(MATCH(Calendar!$A18,DB!$1:$1,0)),FALSE)&gt;=5,"Good","Bad"),VLOOKUP(DATE($K$1,$K$2,UCG$4),Table1[],(MATCH(Calendar!$A18,DB!$1:$1,0)),FALSE)),"")</f>
        <v/>
      </c>
      <c r="UCH18" s="28" t="str">
        <f>IFERROR(IF(UCQ3="No",IF(VLOOKUP(DATE($K$1,$K$2,UCH$4),Table1[],(MATCH(Calendar!$A18,DB!$1:$1,0)),FALSE)&gt;=5,"Good","Bad"),VLOOKUP(DATE($K$1,$K$2,UCH$4),Table1[],(MATCH(Calendar!$A18,DB!$1:$1,0)),FALSE)),"")</f>
        <v/>
      </c>
      <c r="UCI18" s="28" t="str">
        <f>IFERROR(IF(UCR3="No",IF(VLOOKUP(DATE($K$1,$K$2,UCI$4),Table1[],(MATCH(Calendar!$A18,DB!$1:$1,0)),FALSE)&gt;=5,"Good","Bad"),VLOOKUP(DATE($K$1,$K$2,UCI$4),Table1[],(MATCH(Calendar!$A18,DB!$1:$1,0)),FALSE)),"")</f>
        <v/>
      </c>
      <c r="UCJ18" s="28" t="str">
        <f>IFERROR(IF(UCS3="No",IF(VLOOKUP(DATE($K$1,$K$2,UCJ$4),Table1[],(MATCH(Calendar!$A18,DB!$1:$1,0)),FALSE)&gt;=5,"Good","Bad"),VLOOKUP(DATE($K$1,$K$2,UCJ$4),Table1[],(MATCH(Calendar!$A18,DB!$1:$1,0)),FALSE)),"")</f>
        <v/>
      </c>
      <c r="UCK18" s="28" t="str">
        <f>IFERROR(IF(UCT3="No",IF(VLOOKUP(DATE($K$1,$K$2,UCK$4),Table1[],(MATCH(Calendar!$A18,DB!$1:$1,0)),FALSE)&gt;=5,"Good","Bad"),VLOOKUP(DATE($K$1,$K$2,UCK$4),Table1[],(MATCH(Calendar!$A18,DB!$1:$1,0)),FALSE)),"")</f>
        <v/>
      </c>
      <c r="UCL18" s="28" t="str">
        <f>IFERROR(IF(UCU3="No",IF(VLOOKUP(DATE($K$1,$K$2,UCL$4),Table1[],(MATCH(Calendar!$A18,DB!$1:$1,0)),FALSE)&gt;=5,"Good","Bad"),VLOOKUP(DATE($K$1,$K$2,UCL$4),Table1[],(MATCH(Calendar!$A18,DB!$1:$1,0)),FALSE)),"")</f>
        <v/>
      </c>
      <c r="UCM18" s="28" t="str">
        <f>IFERROR(IF(UCV3="No",IF(VLOOKUP(DATE($K$1,$K$2,UCM$4),Table1[],(MATCH(Calendar!$A18,DB!$1:$1,0)),FALSE)&gt;=5,"Good","Bad"),VLOOKUP(DATE($K$1,$K$2,UCM$4),Table1[],(MATCH(Calendar!$A18,DB!$1:$1,0)),FALSE)),"")</f>
        <v/>
      </c>
      <c r="UCN18" s="28" t="str">
        <f>IFERROR(IF(UCW3="No",IF(VLOOKUP(DATE($K$1,$K$2,UCN$4),Table1[],(MATCH(Calendar!$A18,DB!$1:$1,0)),FALSE)&gt;=5,"Good","Bad"),VLOOKUP(DATE($K$1,$K$2,UCN$4),Table1[],(MATCH(Calendar!$A18,DB!$1:$1,0)),FALSE)),"")</f>
        <v/>
      </c>
      <c r="UCO18" s="28" t="str">
        <f>IFERROR(IF(UCX3="No",IF(VLOOKUP(DATE($K$1,$K$2,UCO$4),Table1[],(MATCH(Calendar!$A18,DB!$1:$1,0)),FALSE)&gt;=5,"Good","Bad"),VLOOKUP(DATE($K$1,$K$2,UCO$4),Table1[],(MATCH(Calendar!$A18,DB!$1:$1,0)),FALSE)),"")</f>
        <v/>
      </c>
      <c r="UCP18" s="28" t="str">
        <f>IFERROR(IF(UCY3="No",IF(VLOOKUP(DATE($K$1,$K$2,UCP$4),Table1[],(MATCH(Calendar!$A18,DB!$1:$1,0)),FALSE)&gt;=5,"Good","Bad"),VLOOKUP(DATE($K$1,$K$2,UCP$4),Table1[],(MATCH(Calendar!$A18,DB!$1:$1,0)),FALSE)),"")</f>
        <v/>
      </c>
      <c r="UCQ18" s="28" t="str">
        <f>IFERROR(IF(UCZ3="No",IF(VLOOKUP(DATE($K$1,$K$2,UCQ$4),Table1[],(MATCH(Calendar!$A18,DB!$1:$1,0)),FALSE)&gt;=5,"Good","Bad"),VLOOKUP(DATE($K$1,$K$2,UCQ$4),Table1[],(MATCH(Calendar!$A18,DB!$1:$1,0)),FALSE)),"")</f>
        <v/>
      </c>
      <c r="UCR18" s="28" t="str">
        <f>IFERROR(IF(UDA3="No",IF(VLOOKUP(DATE($K$1,$K$2,UCR$4),Table1[],(MATCH(Calendar!$A18,DB!$1:$1,0)),FALSE)&gt;=5,"Good","Bad"),VLOOKUP(DATE($K$1,$K$2,UCR$4),Table1[],(MATCH(Calendar!$A18,DB!$1:$1,0)),FALSE)),"")</f>
        <v/>
      </c>
      <c r="UCS18" s="28" t="str">
        <f>IFERROR(IF(UDB3="No",IF(VLOOKUP(DATE($K$1,$K$2,UCS$4),Table1[],(MATCH(Calendar!$A18,DB!$1:$1,0)),FALSE)&gt;=5,"Good","Bad"),VLOOKUP(DATE($K$1,$K$2,UCS$4),Table1[],(MATCH(Calendar!$A18,DB!$1:$1,0)),FALSE)),"")</f>
        <v/>
      </c>
      <c r="UCT18" s="28" t="str">
        <f>IFERROR(IF(UDC3="No",IF(VLOOKUP(DATE($K$1,$K$2,UCT$4),Table1[],(MATCH(Calendar!$A18,DB!$1:$1,0)),FALSE)&gt;=5,"Good","Bad"),VLOOKUP(DATE($K$1,$K$2,UCT$4),Table1[],(MATCH(Calendar!$A18,DB!$1:$1,0)),FALSE)),"")</f>
        <v/>
      </c>
      <c r="UCU18" s="28" t="str">
        <f>IFERROR(IF(UDD3="No",IF(VLOOKUP(DATE($K$1,$K$2,UCU$4),Table1[],(MATCH(Calendar!$A18,DB!$1:$1,0)),FALSE)&gt;=5,"Good","Bad"),VLOOKUP(DATE($K$1,$K$2,UCU$4),Table1[],(MATCH(Calendar!$A18,DB!$1:$1,0)),FALSE)),"")</f>
        <v/>
      </c>
      <c r="UCV18" s="28" t="str">
        <f>IFERROR(IF(UDE3="No",IF(VLOOKUP(DATE($K$1,$K$2,UCV$4),Table1[],(MATCH(Calendar!$A18,DB!$1:$1,0)),FALSE)&gt;=5,"Good","Bad"),VLOOKUP(DATE($K$1,$K$2,UCV$4),Table1[],(MATCH(Calendar!$A18,DB!$1:$1,0)),FALSE)),"")</f>
        <v/>
      </c>
      <c r="UCW18" s="28" t="str">
        <f>IFERROR(IF(UDF3="No",IF(VLOOKUP(DATE($K$1,$K$2,UCW$4),Table1[],(MATCH(Calendar!$A18,DB!$1:$1,0)),FALSE)&gt;=5,"Good","Bad"),VLOOKUP(DATE($K$1,$K$2,UCW$4),Table1[],(MATCH(Calendar!$A18,DB!$1:$1,0)),FALSE)),"")</f>
        <v/>
      </c>
      <c r="UCX18" s="28" t="str">
        <f>IFERROR(IF(UDG3="No",IF(VLOOKUP(DATE($K$1,$K$2,UCX$4),Table1[],(MATCH(Calendar!$A18,DB!$1:$1,0)),FALSE)&gt;=5,"Good","Bad"),VLOOKUP(DATE($K$1,$K$2,UCX$4),Table1[],(MATCH(Calendar!$A18,DB!$1:$1,0)),FALSE)),"")</f>
        <v/>
      </c>
      <c r="UCY18" s="28" t="str">
        <f>IFERROR(IF(UDH3="No",IF(VLOOKUP(DATE($K$1,$K$2,UCY$4),Table1[],(MATCH(Calendar!$A18,DB!$1:$1,0)),FALSE)&gt;=5,"Good","Bad"),VLOOKUP(DATE($K$1,$K$2,UCY$4),Table1[],(MATCH(Calendar!$A18,DB!$1:$1,0)),FALSE)),"")</f>
        <v/>
      </c>
      <c r="UCZ18" s="28" t="str">
        <f>IFERROR(IF(UDI3="No",IF(VLOOKUP(DATE($K$1,$K$2,UCZ$4),Table1[],(MATCH(Calendar!$A18,DB!$1:$1,0)),FALSE)&gt;=5,"Good","Bad"),VLOOKUP(DATE($K$1,$K$2,UCZ$4),Table1[],(MATCH(Calendar!$A18,DB!$1:$1,0)),FALSE)),"")</f>
        <v/>
      </c>
      <c r="UDA18" s="28" t="str">
        <f>IFERROR(IF(UDJ3="No",IF(VLOOKUP(DATE($K$1,$K$2,UDA$4),Table1[],(MATCH(Calendar!$A18,DB!$1:$1,0)),FALSE)&gt;=5,"Good","Bad"),VLOOKUP(DATE($K$1,$K$2,UDA$4),Table1[],(MATCH(Calendar!$A18,DB!$1:$1,0)),FALSE)),"")</f>
        <v/>
      </c>
      <c r="UDB18" s="28" t="str">
        <f>IFERROR(IF(UDK3="No",IF(VLOOKUP(DATE($K$1,$K$2,UDB$4),Table1[],(MATCH(Calendar!$A18,DB!$1:$1,0)),FALSE)&gt;=5,"Good","Bad"),VLOOKUP(DATE($K$1,$K$2,UDB$4),Table1[],(MATCH(Calendar!$A18,DB!$1:$1,0)),FALSE)),"")</f>
        <v/>
      </c>
      <c r="UDC18" s="28" t="str">
        <f>IFERROR(IF(UDL3="No",IF(VLOOKUP(DATE($K$1,$K$2,UDC$4),Table1[],(MATCH(Calendar!$A18,DB!$1:$1,0)),FALSE)&gt;=5,"Good","Bad"),VLOOKUP(DATE($K$1,$K$2,UDC$4),Table1[],(MATCH(Calendar!$A18,DB!$1:$1,0)),FALSE)),"")</f>
        <v/>
      </c>
      <c r="UDD18" s="28" t="str">
        <f>IFERROR(IF(UDM3="No",IF(VLOOKUP(DATE($K$1,$K$2,UDD$4),Table1[],(MATCH(Calendar!$A18,DB!$1:$1,0)),FALSE)&gt;=5,"Good","Bad"),VLOOKUP(DATE($K$1,$K$2,UDD$4),Table1[],(MATCH(Calendar!$A18,DB!$1:$1,0)),FALSE)),"")</f>
        <v/>
      </c>
      <c r="UDE18" s="28" t="str">
        <f>IFERROR(IF(UDN3="No",IF(VLOOKUP(DATE($K$1,$K$2,UDE$4),Table1[],(MATCH(Calendar!$A18,DB!$1:$1,0)),FALSE)&gt;=5,"Good","Bad"),VLOOKUP(DATE($K$1,$K$2,UDE$4),Table1[],(MATCH(Calendar!$A18,DB!$1:$1,0)),FALSE)),"")</f>
        <v/>
      </c>
      <c r="UDF18" s="28" t="str">
        <f>IFERROR(IF(UDO3="No",IF(VLOOKUP(DATE($K$1,$K$2,UDF$4),Table1[],(MATCH(Calendar!$A18,DB!$1:$1,0)),FALSE)&gt;=5,"Good","Bad"),VLOOKUP(DATE($K$1,$K$2,UDF$4),Table1[],(MATCH(Calendar!$A18,DB!$1:$1,0)),FALSE)),"")</f>
        <v/>
      </c>
      <c r="UDG18" s="28" t="str">
        <f>IFERROR(IF(UDP3="No",IF(VLOOKUP(DATE($K$1,$K$2,UDG$4),Table1[],(MATCH(Calendar!$A18,DB!$1:$1,0)),FALSE)&gt;=5,"Good","Bad"),VLOOKUP(DATE($K$1,$K$2,UDG$4),Table1[],(MATCH(Calendar!$A18,DB!$1:$1,0)),FALSE)),"")</f>
        <v/>
      </c>
      <c r="UDH18" s="28" t="str">
        <f>IFERROR(IF(UDQ3="No",IF(VLOOKUP(DATE($K$1,$K$2,UDH$4),Table1[],(MATCH(Calendar!$A18,DB!$1:$1,0)),FALSE)&gt;=5,"Good","Bad"),VLOOKUP(DATE($K$1,$K$2,UDH$4),Table1[],(MATCH(Calendar!$A18,DB!$1:$1,0)),FALSE)),"")</f>
        <v/>
      </c>
      <c r="UDI18" s="28" t="str">
        <f>IFERROR(IF(UDR3="No",IF(VLOOKUP(DATE($K$1,$K$2,UDI$4),Table1[],(MATCH(Calendar!$A18,DB!$1:$1,0)),FALSE)&gt;=5,"Good","Bad"),VLOOKUP(DATE($K$1,$K$2,UDI$4),Table1[],(MATCH(Calendar!$A18,DB!$1:$1,0)),FALSE)),"")</f>
        <v/>
      </c>
      <c r="UDJ18" s="28" t="str">
        <f>IFERROR(IF(UDS3="No",IF(VLOOKUP(DATE($K$1,$K$2,UDJ$4),Table1[],(MATCH(Calendar!$A18,DB!$1:$1,0)),FALSE)&gt;=5,"Good","Bad"),VLOOKUP(DATE($K$1,$K$2,UDJ$4),Table1[],(MATCH(Calendar!$A18,DB!$1:$1,0)),FALSE)),"")</f>
        <v/>
      </c>
      <c r="UDK18" s="28" t="str">
        <f>IFERROR(IF(UDT3="No",IF(VLOOKUP(DATE($K$1,$K$2,UDK$4),Table1[],(MATCH(Calendar!$A18,DB!$1:$1,0)),FALSE)&gt;=5,"Good","Bad"),VLOOKUP(DATE($K$1,$K$2,UDK$4),Table1[],(MATCH(Calendar!$A18,DB!$1:$1,0)),FALSE)),"")</f>
        <v/>
      </c>
      <c r="UDL18" s="28" t="str">
        <f>IFERROR(IF(UDU3="No",IF(VLOOKUP(DATE($K$1,$K$2,UDL$4),Table1[],(MATCH(Calendar!$A18,DB!$1:$1,0)),FALSE)&gt;=5,"Good","Bad"),VLOOKUP(DATE($K$1,$K$2,UDL$4),Table1[],(MATCH(Calendar!$A18,DB!$1:$1,0)),FALSE)),"")</f>
        <v/>
      </c>
      <c r="UDM18" s="28" t="str">
        <f>IFERROR(IF(UDV3="No",IF(VLOOKUP(DATE($K$1,$K$2,UDM$4),Table1[],(MATCH(Calendar!$A18,DB!$1:$1,0)),FALSE)&gt;=5,"Good","Bad"),VLOOKUP(DATE($K$1,$K$2,UDM$4),Table1[],(MATCH(Calendar!$A18,DB!$1:$1,0)),FALSE)),"")</f>
        <v/>
      </c>
      <c r="UDN18" s="28" t="str">
        <f>IFERROR(IF(UDW3="No",IF(VLOOKUP(DATE($K$1,$K$2,UDN$4),Table1[],(MATCH(Calendar!$A18,DB!$1:$1,0)),FALSE)&gt;=5,"Good","Bad"),VLOOKUP(DATE($K$1,$K$2,UDN$4),Table1[],(MATCH(Calendar!$A18,DB!$1:$1,0)),FALSE)),"")</f>
        <v/>
      </c>
      <c r="UDO18" s="28" t="str">
        <f>IFERROR(IF(UDX3="No",IF(VLOOKUP(DATE($K$1,$K$2,UDO$4),Table1[],(MATCH(Calendar!$A18,DB!$1:$1,0)),FALSE)&gt;=5,"Good","Bad"),VLOOKUP(DATE($K$1,$K$2,UDO$4),Table1[],(MATCH(Calendar!$A18,DB!$1:$1,0)),FALSE)),"")</f>
        <v/>
      </c>
      <c r="UDP18" s="28" t="str">
        <f>IFERROR(IF(UDY3="No",IF(VLOOKUP(DATE($K$1,$K$2,UDP$4),Table1[],(MATCH(Calendar!$A18,DB!$1:$1,0)),FALSE)&gt;=5,"Good","Bad"),VLOOKUP(DATE($K$1,$K$2,UDP$4),Table1[],(MATCH(Calendar!$A18,DB!$1:$1,0)),FALSE)),"")</f>
        <v/>
      </c>
      <c r="UDQ18" s="28" t="str">
        <f>IFERROR(IF(UDZ3="No",IF(VLOOKUP(DATE($K$1,$K$2,UDQ$4),Table1[],(MATCH(Calendar!$A18,DB!$1:$1,0)),FALSE)&gt;=5,"Good","Bad"),VLOOKUP(DATE($K$1,$K$2,UDQ$4),Table1[],(MATCH(Calendar!$A18,DB!$1:$1,0)),FALSE)),"")</f>
        <v/>
      </c>
      <c r="UDR18" s="28" t="str">
        <f>IFERROR(IF(UEA3="No",IF(VLOOKUP(DATE($K$1,$K$2,UDR$4),Table1[],(MATCH(Calendar!$A18,DB!$1:$1,0)),FALSE)&gt;=5,"Good","Bad"),VLOOKUP(DATE($K$1,$K$2,UDR$4),Table1[],(MATCH(Calendar!$A18,DB!$1:$1,0)),FALSE)),"")</f>
        <v/>
      </c>
      <c r="UDS18" s="28" t="str">
        <f>IFERROR(IF(UEB3="No",IF(VLOOKUP(DATE($K$1,$K$2,UDS$4),Table1[],(MATCH(Calendar!$A18,DB!$1:$1,0)),FALSE)&gt;=5,"Good","Bad"),VLOOKUP(DATE($K$1,$K$2,UDS$4),Table1[],(MATCH(Calendar!$A18,DB!$1:$1,0)),FALSE)),"")</f>
        <v/>
      </c>
      <c r="UDT18" s="28" t="str">
        <f>IFERROR(IF(UEC3="No",IF(VLOOKUP(DATE($K$1,$K$2,UDT$4),Table1[],(MATCH(Calendar!$A18,DB!$1:$1,0)),FALSE)&gt;=5,"Good","Bad"),VLOOKUP(DATE($K$1,$K$2,UDT$4),Table1[],(MATCH(Calendar!$A18,DB!$1:$1,0)),FALSE)),"")</f>
        <v/>
      </c>
      <c r="UDU18" s="28" t="str">
        <f>IFERROR(IF(UED3="No",IF(VLOOKUP(DATE($K$1,$K$2,UDU$4),Table1[],(MATCH(Calendar!$A18,DB!$1:$1,0)),FALSE)&gt;=5,"Good","Bad"),VLOOKUP(DATE($K$1,$K$2,UDU$4),Table1[],(MATCH(Calendar!$A18,DB!$1:$1,0)),FALSE)),"")</f>
        <v/>
      </c>
      <c r="UDV18" s="28" t="str">
        <f>IFERROR(IF(UEE3="No",IF(VLOOKUP(DATE($K$1,$K$2,UDV$4),Table1[],(MATCH(Calendar!$A18,DB!$1:$1,0)),FALSE)&gt;=5,"Good","Bad"),VLOOKUP(DATE($K$1,$K$2,UDV$4),Table1[],(MATCH(Calendar!$A18,DB!$1:$1,0)),FALSE)),"")</f>
        <v/>
      </c>
      <c r="UDW18" s="28" t="str">
        <f>IFERROR(IF(UEF3="No",IF(VLOOKUP(DATE($K$1,$K$2,UDW$4),Table1[],(MATCH(Calendar!$A18,DB!$1:$1,0)),FALSE)&gt;=5,"Good","Bad"),VLOOKUP(DATE($K$1,$K$2,UDW$4),Table1[],(MATCH(Calendar!$A18,DB!$1:$1,0)),FALSE)),"")</f>
        <v/>
      </c>
      <c r="UDX18" s="28" t="str">
        <f>IFERROR(IF(UEG3="No",IF(VLOOKUP(DATE($K$1,$K$2,UDX$4),Table1[],(MATCH(Calendar!$A18,DB!$1:$1,0)),FALSE)&gt;=5,"Good","Bad"),VLOOKUP(DATE($K$1,$K$2,UDX$4),Table1[],(MATCH(Calendar!$A18,DB!$1:$1,0)),FALSE)),"")</f>
        <v/>
      </c>
      <c r="UDY18" s="28" t="str">
        <f>IFERROR(IF(UEH3="No",IF(VLOOKUP(DATE($K$1,$K$2,UDY$4),Table1[],(MATCH(Calendar!$A18,DB!$1:$1,0)),FALSE)&gt;=5,"Good","Bad"),VLOOKUP(DATE($K$1,$K$2,UDY$4),Table1[],(MATCH(Calendar!$A18,DB!$1:$1,0)),FALSE)),"")</f>
        <v/>
      </c>
      <c r="UDZ18" s="28" t="str">
        <f>IFERROR(IF(UEI3="No",IF(VLOOKUP(DATE($K$1,$K$2,UDZ$4),Table1[],(MATCH(Calendar!$A18,DB!$1:$1,0)),FALSE)&gt;=5,"Good","Bad"),VLOOKUP(DATE($K$1,$K$2,UDZ$4),Table1[],(MATCH(Calendar!$A18,DB!$1:$1,0)),FALSE)),"")</f>
        <v/>
      </c>
      <c r="UEA18" s="28" t="str">
        <f>IFERROR(IF(UEJ3="No",IF(VLOOKUP(DATE($K$1,$K$2,UEA$4),Table1[],(MATCH(Calendar!$A18,DB!$1:$1,0)),FALSE)&gt;=5,"Good","Bad"),VLOOKUP(DATE($K$1,$K$2,UEA$4),Table1[],(MATCH(Calendar!$A18,DB!$1:$1,0)),FALSE)),"")</f>
        <v/>
      </c>
      <c r="UEB18" s="28" t="str">
        <f>IFERROR(IF(UEK3="No",IF(VLOOKUP(DATE($K$1,$K$2,UEB$4),Table1[],(MATCH(Calendar!$A18,DB!$1:$1,0)),FALSE)&gt;=5,"Good","Bad"),VLOOKUP(DATE($K$1,$K$2,UEB$4),Table1[],(MATCH(Calendar!$A18,DB!$1:$1,0)),FALSE)),"")</f>
        <v/>
      </c>
      <c r="UEC18" s="28" t="str">
        <f>IFERROR(IF(UEL3="No",IF(VLOOKUP(DATE($K$1,$K$2,UEC$4),Table1[],(MATCH(Calendar!$A18,DB!$1:$1,0)),FALSE)&gt;=5,"Good","Bad"),VLOOKUP(DATE($K$1,$K$2,UEC$4),Table1[],(MATCH(Calendar!$A18,DB!$1:$1,0)),FALSE)),"")</f>
        <v/>
      </c>
      <c r="UED18" s="28" t="str">
        <f>IFERROR(IF(UEM3="No",IF(VLOOKUP(DATE($K$1,$K$2,UED$4),Table1[],(MATCH(Calendar!$A18,DB!$1:$1,0)),FALSE)&gt;=5,"Good","Bad"),VLOOKUP(DATE($K$1,$K$2,UED$4),Table1[],(MATCH(Calendar!$A18,DB!$1:$1,0)),FALSE)),"")</f>
        <v/>
      </c>
      <c r="UEE18" s="28" t="str">
        <f>IFERROR(IF(UEN3="No",IF(VLOOKUP(DATE($K$1,$K$2,UEE$4),Table1[],(MATCH(Calendar!$A18,DB!$1:$1,0)),FALSE)&gt;=5,"Good","Bad"),VLOOKUP(DATE($K$1,$K$2,UEE$4),Table1[],(MATCH(Calendar!$A18,DB!$1:$1,0)),FALSE)),"")</f>
        <v/>
      </c>
      <c r="UEF18" s="28" t="str">
        <f>IFERROR(IF(UEO3="No",IF(VLOOKUP(DATE($K$1,$K$2,UEF$4),Table1[],(MATCH(Calendar!$A18,DB!$1:$1,0)),FALSE)&gt;=5,"Good","Bad"),VLOOKUP(DATE($K$1,$K$2,UEF$4),Table1[],(MATCH(Calendar!$A18,DB!$1:$1,0)),FALSE)),"")</f>
        <v/>
      </c>
      <c r="UEG18" s="28" t="str">
        <f>IFERROR(IF(UEP3="No",IF(VLOOKUP(DATE($K$1,$K$2,UEG$4),Table1[],(MATCH(Calendar!$A18,DB!$1:$1,0)),FALSE)&gt;=5,"Good","Bad"),VLOOKUP(DATE($K$1,$K$2,UEG$4),Table1[],(MATCH(Calendar!$A18,DB!$1:$1,0)),FALSE)),"")</f>
        <v/>
      </c>
      <c r="UEH18" s="28" t="str">
        <f>IFERROR(IF(UEQ3="No",IF(VLOOKUP(DATE($K$1,$K$2,UEH$4),Table1[],(MATCH(Calendar!$A18,DB!$1:$1,0)),FALSE)&gt;=5,"Good","Bad"),VLOOKUP(DATE($K$1,$K$2,UEH$4),Table1[],(MATCH(Calendar!$A18,DB!$1:$1,0)),FALSE)),"")</f>
        <v/>
      </c>
      <c r="UEI18" s="28" t="str">
        <f>IFERROR(IF(UER3="No",IF(VLOOKUP(DATE($K$1,$K$2,UEI$4),Table1[],(MATCH(Calendar!$A18,DB!$1:$1,0)),FALSE)&gt;=5,"Good","Bad"),VLOOKUP(DATE($K$1,$K$2,UEI$4),Table1[],(MATCH(Calendar!$A18,DB!$1:$1,0)),FALSE)),"")</f>
        <v/>
      </c>
      <c r="UEJ18" s="28" t="str">
        <f>IFERROR(IF(UES3="No",IF(VLOOKUP(DATE($K$1,$K$2,UEJ$4),Table1[],(MATCH(Calendar!$A18,DB!$1:$1,0)),FALSE)&gt;=5,"Good","Bad"),VLOOKUP(DATE($K$1,$K$2,UEJ$4),Table1[],(MATCH(Calendar!$A18,DB!$1:$1,0)),FALSE)),"")</f>
        <v/>
      </c>
      <c r="UEK18" s="28" t="str">
        <f>IFERROR(IF(UET3="No",IF(VLOOKUP(DATE($K$1,$K$2,UEK$4),Table1[],(MATCH(Calendar!$A18,DB!$1:$1,0)),FALSE)&gt;=5,"Good","Bad"),VLOOKUP(DATE($K$1,$K$2,UEK$4),Table1[],(MATCH(Calendar!$A18,DB!$1:$1,0)),FALSE)),"")</f>
        <v/>
      </c>
      <c r="UEL18" s="28" t="str">
        <f>IFERROR(IF(UEU3="No",IF(VLOOKUP(DATE($K$1,$K$2,UEL$4),Table1[],(MATCH(Calendar!$A18,DB!$1:$1,0)),FALSE)&gt;=5,"Good","Bad"),VLOOKUP(DATE($K$1,$K$2,UEL$4),Table1[],(MATCH(Calendar!$A18,DB!$1:$1,0)),FALSE)),"")</f>
        <v/>
      </c>
      <c r="UEM18" s="28" t="str">
        <f>IFERROR(IF(UEV3="No",IF(VLOOKUP(DATE($K$1,$K$2,UEM$4),Table1[],(MATCH(Calendar!$A18,DB!$1:$1,0)),FALSE)&gt;=5,"Good","Bad"),VLOOKUP(DATE($K$1,$K$2,UEM$4),Table1[],(MATCH(Calendar!$A18,DB!$1:$1,0)),FALSE)),"")</f>
        <v/>
      </c>
      <c r="UEN18" s="28" t="str">
        <f>IFERROR(IF(UEW3="No",IF(VLOOKUP(DATE($K$1,$K$2,UEN$4),Table1[],(MATCH(Calendar!$A18,DB!$1:$1,0)),FALSE)&gt;=5,"Good","Bad"),VLOOKUP(DATE($K$1,$K$2,UEN$4),Table1[],(MATCH(Calendar!$A18,DB!$1:$1,0)),FALSE)),"")</f>
        <v/>
      </c>
      <c r="UEO18" s="28" t="str">
        <f>IFERROR(IF(UEX3="No",IF(VLOOKUP(DATE($K$1,$K$2,UEO$4),Table1[],(MATCH(Calendar!$A18,DB!$1:$1,0)),FALSE)&gt;=5,"Good","Bad"),VLOOKUP(DATE($K$1,$K$2,UEO$4),Table1[],(MATCH(Calendar!$A18,DB!$1:$1,0)),FALSE)),"")</f>
        <v/>
      </c>
      <c r="UEP18" s="28" t="str">
        <f>IFERROR(IF(UEY3="No",IF(VLOOKUP(DATE($K$1,$K$2,UEP$4),Table1[],(MATCH(Calendar!$A18,DB!$1:$1,0)),FALSE)&gt;=5,"Good","Bad"),VLOOKUP(DATE($K$1,$K$2,UEP$4),Table1[],(MATCH(Calendar!$A18,DB!$1:$1,0)),FALSE)),"")</f>
        <v/>
      </c>
      <c r="UEQ18" s="28" t="str">
        <f>IFERROR(IF(UEZ3="No",IF(VLOOKUP(DATE($K$1,$K$2,UEQ$4),Table1[],(MATCH(Calendar!$A18,DB!$1:$1,0)),FALSE)&gt;=5,"Good","Bad"),VLOOKUP(DATE($K$1,$K$2,UEQ$4),Table1[],(MATCH(Calendar!$A18,DB!$1:$1,0)),FALSE)),"")</f>
        <v/>
      </c>
      <c r="UER18" s="28" t="str">
        <f>IFERROR(IF(UFA3="No",IF(VLOOKUP(DATE($K$1,$K$2,UER$4),Table1[],(MATCH(Calendar!$A18,DB!$1:$1,0)),FALSE)&gt;=5,"Good","Bad"),VLOOKUP(DATE($K$1,$K$2,UER$4),Table1[],(MATCH(Calendar!$A18,DB!$1:$1,0)),FALSE)),"")</f>
        <v/>
      </c>
      <c r="UES18" s="28" t="str">
        <f>IFERROR(IF(UFB3="No",IF(VLOOKUP(DATE($K$1,$K$2,UES$4),Table1[],(MATCH(Calendar!$A18,DB!$1:$1,0)),FALSE)&gt;=5,"Good","Bad"),VLOOKUP(DATE($K$1,$K$2,UES$4),Table1[],(MATCH(Calendar!$A18,DB!$1:$1,0)),FALSE)),"")</f>
        <v/>
      </c>
      <c r="UET18" s="28" t="str">
        <f>IFERROR(IF(UFC3="No",IF(VLOOKUP(DATE($K$1,$K$2,UET$4),Table1[],(MATCH(Calendar!$A18,DB!$1:$1,0)),FALSE)&gt;=5,"Good","Bad"),VLOOKUP(DATE($K$1,$K$2,UET$4),Table1[],(MATCH(Calendar!$A18,DB!$1:$1,0)),FALSE)),"")</f>
        <v/>
      </c>
      <c r="UEU18" s="28" t="str">
        <f>IFERROR(IF(UFD3="No",IF(VLOOKUP(DATE($K$1,$K$2,UEU$4),Table1[],(MATCH(Calendar!$A18,DB!$1:$1,0)),FALSE)&gt;=5,"Good","Bad"),VLOOKUP(DATE($K$1,$K$2,UEU$4),Table1[],(MATCH(Calendar!$A18,DB!$1:$1,0)),FALSE)),"")</f>
        <v/>
      </c>
      <c r="UEV18" s="28" t="str">
        <f>IFERROR(IF(UFE3="No",IF(VLOOKUP(DATE($K$1,$K$2,UEV$4),Table1[],(MATCH(Calendar!$A18,DB!$1:$1,0)),FALSE)&gt;=5,"Good","Bad"),VLOOKUP(DATE($K$1,$K$2,UEV$4),Table1[],(MATCH(Calendar!$A18,DB!$1:$1,0)),FALSE)),"")</f>
        <v/>
      </c>
      <c r="UEW18" s="28" t="str">
        <f>IFERROR(IF(UFF3="No",IF(VLOOKUP(DATE($K$1,$K$2,UEW$4),Table1[],(MATCH(Calendar!$A18,DB!$1:$1,0)),FALSE)&gt;=5,"Good","Bad"),VLOOKUP(DATE($K$1,$K$2,UEW$4),Table1[],(MATCH(Calendar!$A18,DB!$1:$1,0)),FALSE)),"")</f>
        <v/>
      </c>
      <c r="UEX18" s="28" t="str">
        <f>IFERROR(IF(UFG3="No",IF(VLOOKUP(DATE($K$1,$K$2,UEX$4),Table1[],(MATCH(Calendar!$A18,DB!$1:$1,0)),FALSE)&gt;=5,"Good","Bad"),VLOOKUP(DATE($K$1,$K$2,UEX$4),Table1[],(MATCH(Calendar!$A18,DB!$1:$1,0)),FALSE)),"")</f>
        <v/>
      </c>
      <c r="UEY18" s="28" t="str">
        <f>IFERROR(IF(UFH3="No",IF(VLOOKUP(DATE($K$1,$K$2,UEY$4),Table1[],(MATCH(Calendar!$A18,DB!$1:$1,0)),FALSE)&gt;=5,"Good","Bad"),VLOOKUP(DATE($K$1,$K$2,UEY$4),Table1[],(MATCH(Calendar!$A18,DB!$1:$1,0)),FALSE)),"")</f>
        <v/>
      </c>
      <c r="UEZ18" s="28" t="str">
        <f>IFERROR(IF(UFI3="No",IF(VLOOKUP(DATE($K$1,$K$2,UEZ$4),Table1[],(MATCH(Calendar!$A18,DB!$1:$1,0)),FALSE)&gt;=5,"Good","Bad"),VLOOKUP(DATE($K$1,$K$2,UEZ$4),Table1[],(MATCH(Calendar!$A18,DB!$1:$1,0)),FALSE)),"")</f>
        <v/>
      </c>
      <c r="UFA18" s="28" t="str">
        <f>IFERROR(IF(UFJ3="No",IF(VLOOKUP(DATE($K$1,$K$2,UFA$4),Table1[],(MATCH(Calendar!$A18,DB!$1:$1,0)),FALSE)&gt;=5,"Good","Bad"),VLOOKUP(DATE($K$1,$K$2,UFA$4),Table1[],(MATCH(Calendar!$A18,DB!$1:$1,0)),FALSE)),"")</f>
        <v/>
      </c>
      <c r="UFB18" s="28" t="str">
        <f>IFERROR(IF(UFK3="No",IF(VLOOKUP(DATE($K$1,$K$2,UFB$4),Table1[],(MATCH(Calendar!$A18,DB!$1:$1,0)),FALSE)&gt;=5,"Good","Bad"),VLOOKUP(DATE($K$1,$K$2,UFB$4),Table1[],(MATCH(Calendar!$A18,DB!$1:$1,0)),FALSE)),"")</f>
        <v/>
      </c>
      <c r="UFC18" s="28" t="str">
        <f>IFERROR(IF(UFL3="No",IF(VLOOKUP(DATE($K$1,$K$2,UFC$4),Table1[],(MATCH(Calendar!$A18,DB!$1:$1,0)),FALSE)&gt;=5,"Good","Bad"),VLOOKUP(DATE($K$1,$K$2,UFC$4),Table1[],(MATCH(Calendar!$A18,DB!$1:$1,0)),FALSE)),"")</f>
        <v/>
      </c>
      <c r="UFD18" s="28" t="str">
        <f>IFERROR(IF(UFM3="No",IF(VLOOKUP(DATE($K$1,$K$2,UFD$4),Table1[],(MATCH(Calendar!$A18,DB!$1:$1,0)),FALSE)&gt;=5,"Good","Bad"),VLOOKUP(DATE($K$1,$K$2,UFD$4),Table1[],(MATCH(Calendar!$A18,DB!$1:$1,0)),FALSE)),"")</f>
        <v/>
      </c>
      <c r="UFE18" s="28" t="str">
        <f>IFERROR(IF(UFN3="No",IF(VLOOKUP(DATE($K$1,$K$2,UFE$4),Table1[],(MATCH(Calendar!$A18,DB!$1:$1,0)),FALSE)&gt;=5,"Good","Bad"),VLOOKUP(DATE($K$1,$K$2,UFE$4),Table1[],(MATCH(Calendar!$A18,DB!$1:$1,0)),FALSE)),"")</f>
        <v/>
      </c>
      <c r="UFF18" s="28" t="str">
        <f>IFERROR(IF(UFO3="No",IF(VLOOKUP(DATE($K$1,$K$2,UFF$4),Table1[],(MATCH(Calendar!$A18,DB!$1:$1,0)),FALSE)&gt;=5,"Good","Bad"),VLOOKUP(DATE($K$1,$K$2,UFF$4),Table1[],(MATCH(Calendar!$A18,DB!$1:$1,0)),FALSE)),"")</f>
        <v/>
      </c>
      <c r="UFG18" s="28" t="str">
        <f>IFERROR(IF(UFP3="No",IF(VLOOKUP(DATE($K$1,$K$2,UFG$4),Table1[],(MATCH(Calendar!$A18,DB!$1:$1,0)),FALSE)&gt;=5,"Good","Bad"),VLOOKUP(DATE($K$1,$K$2,UFG$4),Table1[],(MATCH(Calendar!$A18,DB!$1:$1,0)),FALSE)),"")</f>
        <v/>
      </c>
      <c r="UFH18" s="28" t="str">
        <f>IFERROR(IF(UFQ3="No",IF(VLOOKUP(DATE($K$1,$K$2,UFH$4),Table1[],(MATCH(Calendar!$A18,DB!$1:$1,0)),FALSE)&gt;=5,"Good","Bad"),VLOOKUP(DATE($K$1,$K$2,UFH$4),Table1[],(MATCH(Calendar!$A18,DB!$1:$1,0)),FALSE)),"")</f>
        <v/>
      </c>
      <c r="UFI18" s="28" t="str">
        <f>IFERROR(IF(UFR3="No",IF(VLOOKUP(DATE($K$1,$K$2,UFI$4),Table1[],(MATCH(Calendar!$A18,DB!$1:$1,0)),FALSE)&gt;=5,"Good","Bad"),VLOOKUP(DATE($K$1,$K$2,UFI$4),Table1[],(MATCH(Calendar!$A18,DB!$1:$1,0)),FALSE)),"")</f>
        <v/>
      </c>
      <c r="UFJ18" s="28" t="str">
        <f>IFERROR(IF(UFS3="No",IF(VLOOKUP(DATE($K$1,$K$2,UFJ$4),Table1[],(MATCH(Calendar!$A18,DB!$1:$1,0)),FALSE)&gt;=5,"Good","Bad"),VLOOKUP(DATE($K$1,$K$2,UFJ$4),Table1[],(MATCH(Calendar!$A18,DB!$1:$1,0)),FALSE)),"")</f>
        <v/>
      </c>
      <c r="UFK18" s="28" t="str">
        <f>IFERROR(IF(UFT3="No",IF(VLOOKUP(DATE($K$1,$K$2,UFK$4),Table1[],(MATCH(Calendar!$A18,DB!$1:$1,0)),FALSE)&gt;=5,"Good","Bad"),VLOOKUP(DATE($K$1,$K$2,UFK$4),Table1[],(MATCH(Calendar!$A18,DB!$1:$1,0)),FALSE)),"")</f>
        <v/>
      </c>
      <c r="UFL18" s="28" t="str">
        <f>IFERROR(IF(UFU3="No",IF(VLOOKUP(DATE($K$1,$K$2,UFL$4),Table1[],(MATCH(Calendar!$A18,DB!$1:$1,0)),FALSE)&gt;=5,"Good","Bad"),VLOOKUP(DATE($K$1,$K$2,UFL$4),Table1[],(MATCH(Calendar!$A18,DB!$1:$1,0)),FALSE)),"")</f>
        <v/>
      </c>
      <c r="UFM18" s="28" t="str">
        <f>IFERROR(IF(UFV3="No",IF(VLOOKUP(DATE($K$1,$K$2,UFM$4),Table1[],(MATCH(Calendar!$A18,DB!$1:$1,0)),FALSE)&gt;=5,"Good","Bad"),VLOOKUP(DATE($K$1,$K$2,UFM$4),Table1[],(MATCH(Calendar!$A18,DB!$1:$1,0)),FALSE)),"")</f>
        <v/>
      </c>
      <c r="UFN18" s="28" t="str">
        <f>IFERROR(IF(UFW3="No",IF(VLOOKUP(DATE($K$1,$K$2,UFN$4),Table1[],(MATCH(Calendar!$A18,DB!$1:$1,0)),FALSE)&gt;=5,"Good","Bad"),VLOOKUP(DATE($K$1,$K$2,UFN$4),Table1[],(MATCH(Calendar!$A18,DB!$1:$1,0)),FALSE)),"")</f>
        <v/>
      </c>
      <c r="UFO18" s="28" t="str">
        <f>IFERROR(IF(UFX3="No",IF(VLOOKUP(DATE($K$1,$K$2,UFO$4),Table1[],(MATCH(Calendar!$A18,DB!$1:$1,0)),FALSE)&gt;=5,"Good","Bad"),VLOOKUP(DATE($K$1,$K$2,UFO$4),Table1[],(MATCH(Calendar!$A18,DB!$1:$1,0)),FALSE)),"")</f>
        <v/>
      </c>
      <c r="UFP18" s="28" t="str">
        <f>IFERROR(IF(UFY3="No",IF(VLOOKUP(DATE($K$1,$K$2,UFP$4),Table1[],(MATCH(Calendar!$A18,DB!$1:$1,0)),FALSE)&gt;=5,"Good","Bad"),VLOOKUP(DATE($K$1,$K$2,UFP$4),Table1[],(MATCH(Calendar!$A18,DB!$1:$1,0)),FALSE)),"")</f>
        <v/>
      </c>
      <c r="UFQ18" s="28" t="str">
        <f>IFERROR(IF(UFZ3="No",IF(VLOOKUP(DATE($K$1,$K$2,UFQ$4),Table1[],(MATCH(Calendar!$A18,DB!$1:$1,0)),FALSE)&gt;=5,"Good","Bad"),VLOOKUP(DATE($K$1,$K$2,UFQ$4),Table1[],(MATCH(Calendar!$A18,DB!$1:$1,0)),FALSE)),"")</f>
        <v/>
      </c>
      <c r="UFR18" s="28" t="str">
        <f>IFERROR(IF(UGA3="No",IF(VLOOKUP(DATE($K$1,$K$2,UFR$4),Table1[],(MATCH(Calendar!$A18,DB!$1:$1,0)),FALSE)&gt;=5,"Good","Bad"),VLOOKUP(DATE($K$1,$K$2,UFR$4),Table1[],(MATCH(Calendar!$A18,DB!$1:$1,0)),FALSE)),"")</f>
        <v/>
      </c>
      <c r="UFS18" s="28" t="str">
        <f>IFERROR(IF(UGB3="No",IF(VLOOKUP(DATE($K$1,$K$2,UFS$4),Table1[],(MATCH(Calendar!$A18,DB!$1:$1,0)),FALSE)&gt;=5,"Good","Bad"),VLOOKUP(DATE($K$1,$K$2,UFS$4),Table1[],(MATCH(Calendar!$A18,DB!$1:$1,0)),FALSE)),"")</f>
        <v/>
      </c>
      <c r="UFT18" s="28" t="str">
        <f>IFERROR(IF(UGC3="No",IF(VLOOKUP(DATE($K$1,$K$2,UFT$4),Table1[],(MATCH(Calendar!$A18,DB!$1:$1,0)),FALSE)&gt;=5,"Good","Bad"),VLOOKUP(DATE($K$1,$K$2,UFT$4),Table1[],(MATCH(Calendar!$A18,DB!$1:$1,0)),FALSE)),"")</f>
        <v/>
      </c>
      <c r="UFU18" s="28" t="str">
        <f>IFERROR(IF(UGD3="No",IF(VLOOKUP(DATE($K$1,$K$2,UFU$4),Table1[],(MATCH(Calendar!$A18,DB!$1:$1,0)),FALSE)&gt;=5,"Good","Bad"),VLOOKUP(DATE($K$1,$K$2,UFU$4),Table1[],(MATCH(Calendar!$A18,DB!$1:$1,0)),FALSE)),"")</f>
        <v/>
      </c>
      <c r="UFV18" s="28" t="str">
        <f>IFERROR(IF(UGE3="No",IF(VLOOKUP(DATE($K$1,$K$2,UFV$4),Table1[],(MATCH(Calendar!$A18,DB!$1:$1,0)),FALSE)&gt;=5,"Good","Bad"),VLOOKUP(DATE($K$1,$K$2,UFV$4),Table1[],(MATCH(Calendar!$A18,DB!$1:$1,0)),FALSE)),"")</f>
        <v/>
      </c>
      <c r="UFW18" s="28" t="str">
        <f>IFERROR(IF(UGF3="No",IF(VLOOKUP(DATE($K$1,$K$2,UFW$4),Table1[],(MATCH(Calendar!$A18,DB!$1:$1,0)),FALSE)&gt;=5,"Good","Bad"),VLOOKUP(DATE($K$1,$K$2,UFW$4),Table1[],(MATCH(Calendar!$A18,DB!$1:$1,0)),FALSE)),"")</f>
        <v/>
      </c>
      <c r="UFX18" s="28" t="str">
        <f>IFERROR(IF(UGG3="No",IF(VLOOKUP(DATE($K$1,$K$2,UFX$4),Table1[],(MATCH(Calendar!$A18,DB!$1:$1,0)),FALSE)&gt;=5,"Good","Bad"),VLOOKUP(DATE($K$1,$K$2,UFX$4),Table1[],(MATCH(Calendar!$A18,DB!$1:$1,0)),FALSE)),"")</f>
        <v/>
      </c>
      <c r="UFY18" s="28" t="str">
        <f>IFERROR(IF(UGH3="No",IF(VLOOKUP(DATE($K$1,$K$2,UFY$4),Table1[],(MATCH(Calendar!$A18,DB!$1:$1,0)),FALSE)&gt;=5,"Good","Bad"),VLOOKUP(DATE($K$1,$K$2,UFY$4),Table1[],(MATCH(Calendar!$A18,DB!$1:$1,0)),FALSE)),"")</f>
        <v/>
      </c>
      <c r="UFZ18" s="28" t="str">
        <f>IFERROR(IF(UGI3="No",IF(VLOOKUP(DATE($K$1,$K$2,UFZ$4),Table1[],(MATCH(Calendar!$A18,DB!$1:$1,0)),FALSE)&gt;=5,"Good","Bad"),VLOOKUP(DATE($K$1,$K$2,UFZ$4),Table1[],(MATCH(Calendar!$A18,DB!$1:$1,0)),FALSE)),"")</f>
        <v/>
      </c>
      <c r="UGA18" s="28" t="str">
        <f>IFERROR(IF(UGJ3="No",IF(VLOOKUP(DATE($K$1,$K$2,UGA$4),Table1[],(MATCH(Calendar!$A18,DB!$1:$1,0)),FALSE)&gt;=5,"Good","Bad"),VLOOKUP(DATE($K$1,$K$2,UGA$4),Table1[],(MATCH(Calendar!$A18,DB!$1:$1,0)),FALSE)),"")</f>
        <v/>
      </c>
      <c r="UGB18" s="28" t="str">
        <f>IFERROR(IF(UGK3="No",IF(VLOOKUP(DATE($K$1,$K$2,UGB$4),Table1[],(MATCH(Calendar!$A18,DB!$1:$1,0)),FALSE)&gt;=5,"Good","Bad"),VLOOKUP(DATE($K$1,$K$2,UGB$4),Table1[],(MATCH(Calendar!$A18,DB!$1:$1,0)),FALSE)),"")</f>
        <v/>
      </c>
      <c r="UGC18" s="28" t="str">
        <f>IFERROR(IF(UGL3="No",IF(VLOOKUP(DATE($K$1,$K$2,UGC$4),Table1[],(MATCH(Calendar!$A18,DB!$1:$1,0)),FALSE)&gt;=5,"Good","Bad"),VLOOKUP(DATE($K$1,$K$2,UGC$4),Table1[],(MATCH(Calendar!$A18,DB!$1:$1,0)),FALSE)),"")</f>
        <v/>
      </c>
      <c r="UGD18" s="28" t="str">
        <f>IFERROR(IF(UGM3="No",IF(VLOOKUP(DATE($K$1,$K$2,UGD$4),Table1[],(MATCH(Calendar!$A18,DB!$1:$1,0)),FALSE)&gt;=5,"Good","Bad"),VLOOKUP(DATE($K$1,$K$2,UGD$4),Table1[],(MATCH(Calendar!$A18,DB!$1:$1,0)),FALSE)),"")</f>
        <v/>
      </c>
      <c r="UGE18" s="28" t="str">
        <f>IFERROR(IF(UGN3="No",IF(VLOOKUP(DATE($K$1,$K$2,UGE$4),Table1[],(MATCH(Calendar!$A18,DB!$1:$1,0)),FALSE)&gt;=5,"Good","Bad"),VLOOKUP(DATE($K$1,$K$2,UGE$4),Table1[],(MATCH(Calendar!$A18,DB!$1:$1,0)),FALSE)),"")</f>
        <v/>
      </c>
      <c r="UGF18" s="28" t="str">
        <f>IFERROR(IF(UGO3="No",IF(VLOOKUP(DATE($K$1,$K$2,UGF$4),Table1[],(MATCH(Calendar!$A18,DB!$1:$1,0)),FALSE)&gt;=5,"Good","Bad"),VLOOKUP(DATE($K$1,$K$2,UGF$4),Table1[],(MATCH(Calendar!$A18,DB!$1:$1,0)),FALSE)),"")</f>
        <v/>
      </c>
      <c r="UGG18" s="28" t="str">
        <f>IFERROR(IF(UGP3="No",IF(VLOOKUP(DATE($K$1,$K$2,UGG$4),Table1[],(MATCH(Calendar!$A18,DB!$1:$1,0)),FALSE)&gt;=5,"Good","Bad"),VLOOKUP(DATE($K$1,$K$2,UGG$4),Table1[],(MATCH(Calendar!$A18,DB!$1:$1,0)),FALSE)),"")</f>
        <v/>
      </c>
      <c r="UGH18" s="28" t="str">
        <f>IFERROR(IF(UGQ3="No",IF(VLOOKUP(DATE($K$1,$K$2,UGH$4),Table1[],(MATCH(Calendar!$A18,DB!$1:$1,0)),FALSE)&gt;=5,"Good","Bad"),VLOOKUP(DATE($K$1,$K$2,UGH$4),Table1[],(MATCH(Calendar!$A18,DB!$1:$1,0)),FALSE)),"")</f>
        <v/>
      </c>
      <c r="UGI18" s="28" t="str">
        <f>IFERROR(IF(UGR3="No",IF(VLOOKUP(DATE($K$1,$K$2,UGI$4),Table1[],(MATCH(Calendar!$A18,DB!$1:$1,0)),FALSE)&gt;=5,"Good","Bad"),VLOOKUP(DATE($K$1,$K$2,UGI$4),Table1[],(MATCH(Calendar!$A18,DB!$1:$1,0)),FALSE)),"")</f>
        <v/>
      </c>
      <c r="UGJ18" s="28" t="str">
        <f>IFERROR(IF(UGS3="No",IF(VLOOKUP(DATE($K$1,$K$2,UGJ$4),Table1[],(MATCH(Calendar!$A18,DB!$1:$1,0)),FALSE)&gt;=5,"Good","Bad"),VLOOKUP(DATE($K$1,$K$2,UGJ$4),Table1[],(MATCH(Calendar!$A18,DB!$1:$1,0)),FALSE)),"")</f>
        <v/>
      </c>
      <c r="UGK18" s="28" t="str">
        <f>IFERROR(IF(UGT3="No",IF(VLOOKUP(DATE($K$1,$K$2,UGK$4),Table1[],(MATCH(Calendar!$A18,DB!$1:$1,0)),FALSE)&gt;=5,"Good","Bad"),VLOOKUP(DATE($K$1,$K$2,UGK$4),Table1[],(MATCH(Calendar!$A18,DB!$1:$1,0)),FALSE)),"")</f>
        <v/>
      </c>
      <c r="UGL18" s="28" t="str">
        <f>IFERROR(IF(UGU3="No",IF(VLOOKUP(DATE($K$1,$K$2,UGL$4),Table1[],(MATCH(Calendar!$A18,DB!$1:$1,0)),FALSE)&gt;=5,"Good","Bad"),VLOOKUP(DATE($K$1,$K$2,UGL$4),Table1[],(MATCH(Calendar!$A18,DB!$1:$1,0)),FALSE)),"")</f>
        <v/>
      </c>
      <c r="UGM18" s="28" t="str">
        <f>IFERROR(IF(UGV3="No",IF(VLOOKUP(DATE($K$1,$K$2,UGM$4),Table1[],(MATCH(Calendar!$A18,DB!$1:$1,0)),FALSE)&gt;=5,"Good","Bad"),VLOOKUP(DATE($K$1,$K$2,UGM$4),Table1[],(MATCH(Calendar!$A18,DB!$1:$1,0)),FALSE)),"")</f>
        <v/>
      </c>
      <c r="UGN18" s="28" t="str">
        <f>IFERROR(IF(UGW3="No",IF(VLOOKUP(DATE($K$1,$K$2,UGN$4),Table1[],(MATCH(Calendar!$A18,DB!$1:$1,0)),FALSE)&gt;=5,"Good","Bad"),VLOOKUP(DATE($K$1,$K$2,UGN$4),Table1[],(MATCH(Calendar!$A18,DB!$1:$1,0)),FALSE)),"")</f>
        <v/>
      </c>
      <c r="UGO18" s="28" t="str">
        <f>IFERROR(IF(UGX3="No",IF(VLOOKUP(DATE($K$1,$K$2,UGO$4),Table1[],(MATCH(Calendar!$A18,DB!$1:$1,0)),FALSE)&gt;=5,"Good","Bad"),VLOOKUP(DATE($K$1,$K$2,UGO$4),Table1[],(MATCH(Calendar!$A18,DB!$1:$1,0)),FALSE)),"")</f>
        <v/>
      </c>
      <c r="UGP18" s="28" t="str">
        <f>IFERROR(IF(UGY3="No",IF(VLOOKUP(DATE($K$1,$K$2,UGP$4),Table1[],(MATCH(Calendar!$A18,DB!$1:$1,0)),FALSE)&gt;=5,"Good","Bad"),VLOOKUP(DATE($K$1,$K$2,UGP$4),Table1[],(MATCH(Calendar!$A18,DB!$1:$1,0)),FALSE)),"")</f>
        <v/>
      </c>
      <c r="UGQ18" s="28" t="str">
        <f>IFERROR(IF(UGZ3="No",IF(VLOOKUP(DATE($K$1,$K$2,UGQ$4),Table1[],(MATCH(Calendar!$A18,DB!$1:$1,0)),FALSE)&gt;=5,"Good","Bad"),VLOOKUP(DATE($K$1,$K$2,UGQ$4),Table1[],(MATCH(Calendar!$A18,DB!$1:$1,0)),FALSE)),"")</f>
        <v/>
      </c>
      <c r="UGR18" s="28" t="str">
        <f>IFERROR(IF(UHA3="No",IF(VLOOKUP(DATE($K$1,$K$2,UGR$4),Table1[],(MATCH(Calendar!$A18,DB!$1:$1,0)),FALSE)&gt;=5,"Good","Bad"),VLOOKUP(DATE($K$1,$K$2,UGR$4),Table1[],(MATCH(Calendar!$A18,DB!$1:$1,0)),FALSE)),"")</f>
        <v/>
      </c>
      <c r="UGS18" s="28" t="str">
        <f>IFERROR(IF(UHB3="No",IF(VLOOKUP(DATE($K$1,$K$2,UGS$4),Table1[],(MATCH(Calendar!$A18,DB!$1:$1,0)),FALSE)&gt;=5,"Good","Bad"),VLOOKUP(DATE($K$1,$K$2,UGS$4),Table1[],(MATCH(Calendar!$A18,DB!$1:$1,0)),FALSE)),"")</f>
        <v/>
      </c>
      <c r="UGT18" s="28" t="str">
        <f>IFERROR(IF(UHC3="No",IF(VLOOKUP(DATE($K$1,$K$2,UGT$4),Table1[],(MATCH(Calendar!$A18,DB!$1:$1,0)),FALSE)&gt;=5,"Good","Bad"),VLOOKUP(DATE($K$1,$K$2,UGT$4),Table1[],(MATCH(Calendar!$A18,DB!$1:$1,0)),FALSE)),"")</f>
        <v/>
      </c>
      <c r="UGU18" s="28" t="str">
        <f>IFERROR(IF(UHD3="No",IF(VLOOKUP(DATE($K$1,$K$2,UGU$4),Table1[],(MATCH(Calendar!$A18,DB!$1:$1,0)),FALSE)&gt;=5,"Good","Bad"),VLOOKUP(DATE($K$1,$K$2,UGU$4),Table1[],(MATCH(Calendar!$A18,DB!$1:$1,0)),FALSE)),"")</f>
        <v/>
      </c>
      <c r="UGV18" s="28" t="str">
        <f>IFERROR(IF(UHE3="No",IF(VLOOKUP(DATE($K$1,$K$2,UGV$4),Table1[],(MATCH(Calendar!$A18,DB!$1:$1,0)),FALSE)&gt;=5,"Good","Bad"),VLOOKUP(DATE($K$1,$K$2,UGV$4),Table1[],(MATCH(Calendar!$A18,DB!$1:$1,0)),FALSE)),"")</f>
        <v/>
      </c>
      <c r="UGW18" s="28" t="str">
        <f>IFERROR(IF(UHF3="No",IF(VLOOKUP(DATE($K$1,$K$2,UGW$4),Table1[],(MATCH(Calendar!$A18,DB!$1:$1,0)),FALSE)&gt;=5,"Good","Bad"),VLOOKUP(DATE($K$1,$K$2,UGW$4),Table1[],(MATCH(Calendar!$A18,DB!$1:$1,0)),FALSE)),"")</f>
        <v/>
      </c>
      <c r="UGX18" s="28" t="str">
        <f>IFERROR(IF(UHG3="No",IF(VLOOKUP(DATE($K$1,$K$2,UGX$4),Table1[],(MATCH(Calendar!$A18,DB!$1:$1,0)),FALSE)&gt;=5,"Good","Bad"),VLOOKUP(DATE($K$1,$K$2,UGX$4),Table1[],(MATCH(Calendar!$A18,DB!$1:$1,0)),FALSE)),"")</f>
        <v/>
      </c>
      <c r="UGY18" s="28" t="str">
        <f>IFERROR(IF(UHH3="No",IF(VLOOKUP(DATE($K$1,$K$2,UGY$4),Table1[],(MATCH(Calendar!$A18,DB!$1:$1,0)),FALSE)&gt;=5,"Good","Bad"),VLOOKUP(DATE($K$1,$K$2,UGY$4),Table1[],(MATCH(Calendar!$A18,DB!$1:$1,0)),FALSE)),"")</f>
        <v/>
      </c>
      <c r="UGZ18" s="28" t="str">
        <f>IFERROR(IF(UHI3="No",IF(VLOOKUP(DATE($K$1,$K$2,UGZ$4),Table1[],(MATCH(Calendar!$A18,DB!$1:$1,0)),FALSE)&gt;=5,"Good","Bad"),VLOOKUP(DATE($K$1,$K$2,UGZ$4),Table1[],(MATCH(Calendar!$A18,DB!$1:$1,0)),FALSE)),"")</f>
        <v/>
      </c>
      <c r="UHA18" s="28" t="str">
        <f>IFERROR(IF(UHJ3="No",IF(VLOOKUP(DATE($K$1,$K$2,UHA$4),Table1[],(MATCH(Calendar!$A18,DB!$1:$1,0)),FALSE)&gt;=5,"Good","Bad"),VLOOKUP(DATE($K$1,$K$2,UHA$4),Table1[],(MATCH(Calendar!$A18,DB!$1:$1,0)),FALSE)),"")</f>
        <v/>
      </c>
      <c r="UHB18" s="28" t="str">
        <f>IFERROR(IF(UHK3="No",IF(VLOOKUP(DATE($K$1,$K$2,UHB$4),Table1[],(MATCH(Calendar!$A18,DB!$1:$1,0)),FALSE)&gt;=5,"Good","Bad"),VLOOKUP(DATE($K$1,$K$2,UHB$4),Table1[],(MATCH(Calendar!$A18,DB!$1:$1,0)),FALSE)),"")</f>
        <v/>
      </c>
      <c r="UHC18" s="28" t="str">
        <f>IFERROR(IF(UHL3="No",IF(VLOOKUP(DATE($K$1,$K$2,UHC$4),Table1[],(MATCH(Calendar!$A18,DB!$1:$1,0)),FALSE)&gt;=5,"Good","Bad"),VLOOKUP(DATE($K$1,$K$2,UHC$4),Table1[],(MATCH(Calendar!$A18,DB!$1:$1,0)),FALSE)),"")</f>
        <v/>
      </c>
      <c r="UHD18" s="28" t="str">
        <f>IFERROR(IF(UHM3="No",IF(VLOOKUP(DATE($K$1,$K$2,UHD$4),Table1[],(MATCH(Calendar!$A18,DB!$1:$1,0)),FALSE)&gt;=5,"Good","Bad"),VLOOKUP(DATE($K$1,$K$2,UHD$4),Table1[],(MATCH(Calendar!$A18,DB!$1:$1,0)),FALSE)),"")</f>
        <v/>
      </c>
      <c r="UHE18" s="28" t="str">
        <f>IFERROR(IF(UHN3="No",IF(VLOOKUP(DATE($K$1,$K$2,UHE$4),Table1[],(MATCH(Calendar!$A18,DB!$1:$1,0)),FALSE)&gt;=5,"Good","Bad"),VLOOKUP(DATE($K$1,$K$2,UHE$4),Table1[],(MATCH(Calendar!$A18,DB!$1:$1,0)),FALSE)),"")</f>
        <v/>
      </c>
      <c r="UHF18" s="28" t="str">
        <f>IFERROR(IF(UHO3="No",IF(VLOOKUP(DATE($K$1,$K$2,UHF$4),Table1[],(MATCH(Calendar!$A18,DB!$1:$1,0)),FALSE)&gt;=5,"Good","Bad"),VLOOKUP(DATE($K$1,$K$2,UHF$4),Table1[],(MATCH(Calendar!$A18,DB!$1:$1,0)),FALSE)),"")</f>
        <v/>
      </c>
      <c r="UHG18" s="28" t="str">
        <f>IFERROR(IF(UHP3="No",IF(VLOOKUP(DATE($K$1,$K$2,UHG$4),Table1[],(MATCH(Calendar!$A18,DB!$1:$1,0)),FALSE)&gt;=5,"Good","Bad"),VLOOKUP(DATE($K$1,$K$2,UHG$4),Table1[],(MATCH(Calendar!$A18,DB!$1:$1,0)),FALSE)),"")</f>
        <v/>
      </c>
      <c r="UHH18" s="28" t="str">
        <f>IFERROR(IF(UHQ3="No",IF(VLOOKUP(DATE($K$1,$K$2,UHH$4),Table1[],(MATCH(Calendar!$A18,DB!$1:$1,0)),FALSE)&gt;=5,"Good","Bad"),VLOOKUP(DATE($K$1,$K$2,UHH$4),Table1[],(MATCH(Calendar!$A18,DB!$1:$1,0)),FALSE)),"")</f>
        <v/>
      </c>
      <c r="UHI18" s="28" t="str">
        <f>IFERROR(IF(UHR3="No",IF(VLOOKUP(DATE($K$1,$K$2,UHI$4),Table1[],(MATCH(Calendar!$A18,DB!$1:$1,0)),FALSE)&gt;=5,"Good","Bad"),VLOOKUP(DATE($K$1,$K$2,UHI$4),Table1[],(MATCH(Calendar!$A18,DB!$1:$1,0)),FALSE)),"")</f>
        <v/>
      </c>
      <c r="UHJ18" s="28" t="str">
        <f>IFERROR(IF(UHS3="No",IF(VLOOKUP(DATE($K$1,$K$2,UHJ$4),Table1[],(MATCH(Calendar!$A18,DB!$1:$1,0)),FALSE)&gt;=5,"Good","Bad"),VLOOKUP(DATE($K$1,$K$2,UHJ$4),Table1[],(MATCH(Calendar!$A18,DB!$1:$1,0)),FALSE)),"")</f>
        <v/>
      </c>
      <c r="UHK18" s="28" t="str">
        <f>IFERROR(IF(UHT3="No",IF(VLOOKUP(DATE($K$1,$K$2,UHK$4),Table1[],(MATCH(Calendar!$A18,DB!$1:$1,0)),FALSE)&gt;=5,"Good","Bad"),VLOOKUP(DATE($K$1,$K$2,UHK$4),Table1[],(MATCH(Calendar!$A18,DB!$1:$1,0)),FALSE)),"")</f>
        <v/>
      </c>
      <c r="UHL18" s="28" t="str">
        <f>IFERROR(IF(UHU3="No",IF(VLOOKUP(DATE($K$1,$K$2,UHL$4),Table1[],(MATCH(Calendar!$A18,DB!$1:$1,0)),FALSE)&gt;=5,"Good","Bad"),VLOOKUP(DATE($K$1,$K$2,UHL$4),Table1[],(MATCH(Calendar!$A18,DB!$1:$1,0)),FALSE)),"")</f>
        <v/>
      </c>
      <c r="UHM18" s="28" t="str">
        <f>IFERROR(IF(UHV3="No",IF(VLOOKUP(DATE($K$1,$K$2,UHM$4),Table1[],(MATCH(Calendar!$A18,DB!$1:$1,0)),FALSE)&gt;=5,"Good","Bad"),VLOOKUP(DATE($K$1,$K$2,UHM$4),Table1[],(MATCH(Calendar!$A18,DB!$1:$1,0)),FALSE)),"")</f>
        <v/>
      </c>
      <c r="UHN18" s="28" t="str">
        <f>IFERROR(IF(UHW3="No",IF(VLOOKUP(DATE($K$1,$K$2,UHN$4),Table1[],(MATCH(Calendar!$A18,DB!$1:$1,0)),FALSE)&gt;=5,"Good","Bad"),VLOOKUP(DATE($K$1,$K$2,UHN$4),Table1[],(MATCH(Calendar!$A18,DB!$1:$1,0)),FALSE)),"")</f>
        <v/>
      </c>
      <c r="UHO18" s="28" t="str">
        <f>IFERROR(IF(UHX3="No",IF(VLOOKUP(DATE($K$1,$K$2,UHO$4),Table1[],(MATCH(Calendar!$A18,DB!$1:$1,0)),FALSE)&gt;=5,"Good","Bad"),VLOOKUP(DATE($K$1,$K$2,UHO$4),Table1[],(MATCH(Calendar!$A18,DB!$1:$1,0)),FALSE)),"")</f>
        <v/>
      </c>
      <c r="UHP18" s="28" t="str">
        <f>IFERROR(IF(UHY3="No",IF(VLOOKUP(DATE($K$1,$K$2,UHP$4),Table1[],(MATCH(Calendar!$A18,DB!$1:$1,0)),FALSE)&gt;=5,"Good","Bad"),VLOOKUP(DATE($K$1,$K$2,UHP$4),Table1[],(MATCH(Calendar!$A18,DB!$1:$1,0)),FALSE)),"")</f>
        <v/>
      </c>
      <c r="UHQ18" s="28" t="str">
        <f>IFERROR(IF(UHZ3="No",IF(VLOOKUP(DATE($K$1,$K$2,UHQ$4),Table1[],(MATCH(Calendar!$A18,DB!$1:$1,0)),FALSE)&gt;=5,"Good","Bad"),VLOOKUP(DATE($K$1,$K$2,UHQ$4),Table1[],(MATCH(Calendar!$A18,DB!$1:$1,0)),FALSE)),"")</f>
        <v/>
      </c>
      <c r="UHR18" s="28" t="str">
        <f>IFERROR(IF(UIA3="No",IF(VLOOKUP(DATE($K$1,$K$2,UHR$4),Table1[],(MATCH(Calendar!$A18,DB!$1:$1,0)),FALSE)&gt;=5,"Good","Bad"),VLOOKUP(DATE($K$1,$K$2,UHR$4),Table1[],(MATCH(Calendar!$A18,DB!$1:$1,0)),FALSE)),"")</f>
        <v/>
      </c>
      <c r="UHS18" s="28" t="str">
        <f>IFERROR(IF(UIB3="No",IF(VLOOKUP(DATE($K$1,$K$2,UHS$4),Table1[],(MATCH(Calendar!$A18,DB!$1:$1,0)),FALSE)&gt;=5,"Good","Bad"),VLOOKUP(DATE($K$1,$K$2,UHS$4),Table1[],(MATCH(Calendar!$A18,DB!$1:$1,0)),FALSE)),"")</f>
        <v/>
      </c>
      <c r="UHT18" s="28" t="str">
        <f>IFERROR(IF(UIC3="No",IF(VLOOKUP(DATE($K$1,$K$2,UHT$4),Table1[],(MATCH(Calendar!$A18,DB!$1:$1,0)),FALSE)&gt;=5,"Good","Bad"),VLOOKUP(DATE($K$1,$K$2,UHT$4),Table1[],(MATCH(Calendar!$A18,DB!$1:$1,0)),FALSE)),"")</f>
        <v/>
      </c>
      <c r="UHU18" s="28" t="str">
        <f>IFERROR(IF(UID3="No",IF(VLOOKUP(DATE($K$1,$K$2,UHU$4),Table1[],(MATCH(Calendar!$A18,DB!$1:$1,0)),FALSE)&gt;=5,"Good","Bad"),VLOOKUP(DATE($K$1,$K$2,UHU$4),Table1[],(MATCH(Calendar!$A18,DB!$1:$1,0)),FALSE)),"")</f>
        <v/>
      </c>
      <c r="UHV18" s="28" t="str">
        <f>IFERROR(IF(UIE3="No",IF(VLOOKUP(DATE($K$1,$K$2,UHV$4),Table1[],(MATCH(Calendar!$A18,DB!$1:$1,0)),FALSE)&gt;=5,"Good","Bad"),VLOOKUP(DATE($K$1,$K$2,UHV$4),Table1[],(MATCH(Calendar!$A18,DB!$1:$1,0)),FALSE)),"")</f>
        <v/>
      </c>
      <c r="UHW18" s="28" t="str">
        <f>IFERROR(IF(UIF3="No",IF(VLOOKUP(DATE($K$1,$K$2,UHW$4),Table1[],(MATCH(Calendar!$A18,DB!$1:$1,0)),FALSE)&gt;=5,"Good","Bad"),VLOOKUP(DATE($K$1,$K$2,UHW$4),Table1[],(MATCH(Calendar!$A18,DB!$1:$1,0)),FALSE)),"")</f>
        <v/>
      </c>
      <c r="UHX18" s="28" t="str">
        <f>IFERROR(IF(UIG3="No",IF(VLOOKUP(DATE($K$1,$K$2,UHX$4),Table1[],(MATCH(Calendar!$A18,DB!$1:$1,0)),FALSE)&gt;=5,"Good","Bad"),VLOOKUP(DATE($K$1,$K$2,UHX$4),Table1[],(MATCH(Calendar!$A18,DB!$1:$1,0)),FALSE)),"")</f>
        <v/>
      </c>
      <c r="UHY18" s="28" t="str">
        <f>IFERROR(IF(UIH3="No",IF(VLOOKUP(DATE($K$1,$K$2,UHY$4),Table1[],(MATCH(Calendar!$A18,DB!$1:$1,0)),FALSE)&gt;=5,"Good","Bad"),VLOOKUP(DATE($K$1,$K$2,UHY$4),Table1[],(MATCH(Calendar!$A18,DB!$1:$1,0)),FALSE)),"")</f>
        <v/>
      </c>
      <c r="UHZ18" s="28" t="str">
        <f>IFERROR(IF(UII3="No",IF(VLOOKUP(DATE($K$1,$K$2,UHZ$4),Table1[],(MATCH(Calendar!$A18,DB!$1:$1,0)),FALSE)&gt;=5,"Good","Bad"),VLOOKUP(DATE($K$1,$K$2,UHZ$4),Table1[],(MATCH(Calendar!$A18,DB!$1:$1,0)),FALSE)),"")</f>
        <v/>
      </c>
      <c r="UIA18" s="28" t="str">
        <f>IFERROR(IF(UIJ3="No",IF(VLOOKUP(DATE($K$1,$K$2,UIA$4),Table1[],(MATCH(Calendar!$A18,DB!$1:$1,0)),FALSE)&gt;=5,"Good","Bad"),VLOOKUP(DATE($K$1,$K$2,UIA$4),Table1[],(MATCH(Calendar!$A18,DB!$1:$1,0)),FALSE)),"")</f>
        <v/>
      </c>
      <c r="UIB18" s="28" t="str">
        <f>IFERROR(IF(UIK3="No",IF(VLOOKUP(DATE($K$1,$K$2,UIB$4),Table1[],(MATCH(Calendar!$A18,DB!$1:$1,0)),FALSE)&gt;=5,"Good","Bad"),VLOOKUP(DATE($K$1,$K$2,UIB$4),Table1[],(MATCH(Calendar!$A18,DB!$1:$1,0)),FALSE)),"")</f>
        <v/>
      </c>
      <c r="UIC18" s="28" t="str">
        <f>IFERROR(IF(UIL3="No",IF(VLOOKUP(DATE($K$1,$K$2,UIC$4),Table1[],(MATCH(Calendar!$A18,DB!$1:$1,0)),FALSE)&gt;=5,"Good","Bad"),VLOOKUP(DATE($K$1,$K$2,UIC$4),Table1[],(MATCH(Calendar!$A18,DB!$1:$1,0)),FALSE)),"")</f>
        <v/>
      </c>
      <c r="UID18" s="28" t="str">
        <f>IFERROR(IF(UIM3="No",IF(VLOOKUP(DATE($K$1,$K$2,UID$4),Table1[],(MATCH(Calendar!$A18,DB!$1:$1,0)),FALSE)&gt;=5,"Good","Bad"),VLOOKUP(DATE($K$1,$K$2,UID$4),Table1[],(MATCH(Calendar!$A18,DB!$1:$1,0)),FALSE)),"")</f>
        <v/>
      </c>
      <c r="UIE18" s="28" t="str">
        <f>IFERROR(IF(UIN3="No",IF(VLOOKUP(DATE($K$1,$K$2,UIE$4),Table1[],(MATCH(Calendar!$A18,DB!$1:$1,0)),FALSE)&gt;=5,"Good","Bad"),VLOOKUP(DATE($K$1,$K$2,UIE$4),Table1[],(MATCH(Calendar!$A18,DB!$1:$1,0)),FALSE)),"")</f>
        <v/>
      </c>
      <c r="UIF18" s="28" t="str">
        <f>IFERROR(IF(UIO3="No",IF(VLOOKUP(DATE($K$1,$K$2,UIF$4),Table1[],(MATCH(Calendar!$A18,DB!$1:$1,0)),FALSE)&gt;=5,"Good","Bad"),VLOOKUP(DATE($K$1,$K$2,UIF$4),Table1[],(MATCH(Calendar!$A18,DB!$1:$1,0)),FALSE)),"")</f>
        <v/>
      </c>
      <c r="UIG18" s="28" t="str">
        <f>IFERROR(IF(UIP3="No",IF(VLOOKUP(DATE($K$1,$K$2,UIG$4),Table1[],(MATCH(Calendar!$A18,DB!$1:$1,0)),FALSE)&gt;=5,"Good","Bad"),VLOOKUP(DATE($K$1,$K$2,UIG$4),Table1[],(MATCH(Calendar!$A18,DB!$1:$1,0)),FALSE)),"")</f>
        <v/>
      </c>
      <c r="UIH18" s="28" t="str">
        <f>IFERROR(IF(UIQ3="No",IF(VLOOKUP(DATE($K$1,$K$2,UIH$4),Table1[],(MATCH(Calendar!$A18,DB!$1:$1,0)),FALSE)&gt;=5,"Good","Bad"),VLOOKUP(DATE($K$1,$K$2,UIH$4),Table1[],(MATCH(Calendar!$A18,DB!$1:$1,0)),FALSE)),"")</f>
        <v/>
      </c>
      <c r="UII18" s="28" t="str">
        <f>IFERROR(IF(UIR3="No",IF(VLOOKUP(DATE($K$1,$K$2,UII$4),Table1[],(MATCH(Calendar!$A18,DB!$1:$1,0)),FALSE)&gt;=5,"Good","Bad"),VLOOKUP(DATE($K$1,$K$2,UII$4),Table1[],(MATCH(Calendar!$A18,DB!$1:$1,0)),FALSE)),"")</f>
        <v/>
      </c>
      <c r="UIJ18" s="28" t="str">
        <f>IFERROR(IF(UIS3="No",IF(VLOOKUP(DATE($K$1,$K$2,UIJ$4),Table1[],(MATCH(Calendar!$A18,DB!$1:$1,0)),FALSE)&gt;=5,"Good","Bad"),VLOOKUP(DATE($K$1,$K$2,UIJ$4),Table1[],(MATCH(Calendar!$A18,DB!$1:$1,0)),FALSE)),"")</f>
        <v/>
      </c>
      <c r="UIK18" s="28" t="str">
        <f>IFERROR(IF(UIT3="No",IF(VLOOKUP(DATE($K$1,$K$2,UIK$4),Table1[],(MATCH(Calendar!$A18,DB!$1:$1,0)),FALSE)&gt;=5,"Good","Bad"),VLOOKUP(DATE($K$1,$K$2,UIK$4),Table1[],(MATCH(Calendar!$A18,DB!$1:$1,0)),FALSE)),"")</f>
        <v/>
      </c>
      <c r="UIL18" s="28" t="str">
        <f>IFERROR(IF(UIU3="No",IF(VLOOKUP(DATE($K$1,$K$2,UIL$4),Table1[],(MATCH(Calendar!$A18,DB!$1:$1,0)),FALSE)&gt;=5,"Good","Bad"),VLOOKUP(DATE($K$1,$K$2,UIL$4),Table1[],(MATCH(Calendar!$A18,DB!$1:$1,0)),FALSE)),"")</f>
        <v/>
      </c>
      <c r="UIM18" s="28" t="str">
        <f>IFERROR(IF(UIV3="No",IF(VLOOKUP(DATE($K$1,$K$2,UIM$4),Table1[],(MATCH(Calendar!$A18,DB!$1:$1,0)),FALSE)&gt;=5,"Good","Bad"),VLOOKUP(DATE($K$1,$K$2,UIM$4),Table1[],(MATCH(Calendar!$A18,DB!$1:$1,0)),FALSE)),"")</f>
        <v/>
      </c>
      <c r="UIN18" s="28" t="str">
        <f>IFERROR(IF(UIW3="No",IF(VLOOKUP(DATE($K$1,$K$2,UIN$4),Table1[],(MATCH(Calendar!$A18,DB!$1:$1,0)),FALSE)&gt;=5,"Good","Bad"),VLOOKUP(DATE($K$1,$K$2,UIN$4),Table1[],(MATCH(Calendar!$A18,DB!$1:$1,0)),FALSE)),"")</f>
        <v/>
      </c>
      <c r="UIO18" s="28" t="str">
        <f>IFERROR(IF(UIX3="No",IF(VLOOKUP(DATE($K$1,$K$2,UIO$4),Table1[],(MATCH(Calendar!$A18,DB!$1:$1,0)),FALSE)&gt;=5,"Good","Bad"),VLOOKUP(DATE($K$1,$K$2,UIO$4),Table1[],(MATCH(Calendar!$A18,DB!$1:$1,0)),FALSE)),"")</f>
        <v/>
      </c>
      <c r="UIP18" s="28" t="str">
        <f>IFERROR(IF(UIY3="No",IF(VLOOKUP(DATE($K$1,$K$2,UIP$4),Table1[],(MATCH(Calendar!$A18,DB!$1:$1,0)),FALSE)&gt;=5,"Good","Bad"),VLOOKUP(DATE($K$1,$K$2,UIP$4),Table1[],(MATCH(Calendar!$A18,DB!$1:$1,0)),FALSE)),"")</f>
        <v/>
      </c>
      <c r="UIQ18" s="28" t="str">
        <f>IFERROR(IF(UIZ3="No",IF(VLOOKUP(DATE($K$1,$K$2,UIQ$4),Table1[],(MATCH(Calendar!$A18,DB!$1:$1,0)),FALSE)&gt;=5,"Good","Bad"),VLOOKUP(DATE($K$1,$K$2,UIQ$4),Table1[],(MATCH(Calendar!$A18,DB!$1:$1,0)),FALSE)),"")</f>
        <v/>
      </c>
      <c r="UIR18" s="28" t="str">
        <f>IFERROR(IF(UJA3="No",IF(VLOOKUP(DATE($K$1,$K$2,UIR$4),Table1[],(MATCH(Calendar!$A18,DB!$1:$1,0)),FALSE)&gt;=5,"Good","Bad"),VLOOKUP(DATE($K$1,$K$2,UIR$4),Table1[],(MATCH(Calendar!$A18,DB!$1:$1,0)),FALSE)),"")</f>
        <v/>
      </c>
      <c r="UIS18" s="28" t="str">
        <f>IFERROR(IF(UJB3="No",IF(VLOOKUP(DATE($K$1,$K$2,UIS$4),Table1[],(MATCH(Calendar!$A18,DB!$1:$1,0)),FALSE)&gt;=5,"Good","Bad"),VLOOKUP(DATE($K$1,$K$2,UIS$4),Table1[],(MATCH(Calendar!$A18,DB!$1:$1,0)),FALSE)),"")</f>
        <v/>
      </c>
      <c r="UIT18" s="28" t="str">
        <f>IFERROR(IF(UJC3="No",IF(VLOOKUP(DATE($K$1,$K$2,UIT$4),Table1[],(MATCH(Calendar!$A18,DB!$1:$1,0)),FALSE)&gt;=5,"Good","Bad"),VLOOKUP(DATE($K$1,$K$2,UIT$4),Table1[],(MATCH(Calendar!$A18,DB!$1:$1,0)),FALSE)),"")</f>
        <v/>
      </c>
      <c r="UIU18" s="28" t="str">
        <f>IFERROR(IF(UJD3="No",IF(VLOOKUP(DATE($K$1,$K$2,UIU$4),Table1[],(MATCH(Calendar!$A18,DB!$1:$1,0)),FALSE)&gt;=5,"Good","Bad"),VLOOKUP(DATE($K$1,$K$2,UIU$4),Table1[],(MATCH(Calendar!$A18,DB!$1:$1,0)),FALSE)),"")</f>
        <v/>
      </c>
      <c r="UIV18" s="28" t="str">
        <f>IFERROR(IF(UJE3="No",IF(VLOOKUP(DATE($K$1,$K$2,UIV$4),Table1[],(MATCH(Calendar!$A18,DB!$1:$1,0)),FALSE)&gt;=5,"Good","Bad"),VLOOKUP(DATE($K$1,$K$2,UIV$4),Table1[],(MATCH(Calendar!$A18,DB!$1:$1,0)),FALSE)),"")</f>
        <v/>
      </c>
      <c r="UIW18" s="28" t="str">
        <f>IFERROR(IF(UJF3="No",IF(VLOOKUP(DATE($K$1,$K$2,UIW$4),Table1[],(MATCH(Calendar!$A18,DB!$1:$1,0)),FALSE)&gt;=5,"Good","Bad"),VLOOKUP(DATE($K$1,$K$2,UIW$4),Table1[],(MATCH(Calendar!$A18,DB!$1:$1,0)),FALSE)),"")</f>
        <v/>
      </c>
      <c r="UIX18" s="28" t="str">
        <f>IFERROR(IF(UJG3="No",IF(VLOOKUP(DATE($K$1,$K$2,UIX$4),Table1[],(MATCH(Calendar!$A18,DB!$1:$1,0)),FALSE)&gt;=5,"Good","Bad"),VLOOKUP(DATE($K$1,$K$2,UIX$4),Table1[],(MATCH(Calendar!$A18,DB!$1:$1,0)),FALSE)),"")</f>
        <v/>
      </c>
      <c r="UIY18" s="28" t="str">
        <f>IFERROR(IF(UJH3="No",IF(VLOOKUP(DATE($K$1,$K$2,UIY$4),Table1[],(MATCH(Calendar!$A18,DB!$1:$1,0)),FALSE)&gt;=5,"Good","Bad"),VLOOKUP(DATE($K$1,$K$2,UIY$4),Table1[],(MATCH(Calendar!$A18,DB!$1:$1,0)),FALSE)),"")</f>
        <v/>
      </c>
      <c r="UIZ18" s="28" t="str">
        <f>IFERROR(IF(UJI3="No",IF(VLOOKUP(DATE($K$1,$K$2,UIZ$4),Table1[],(MATCH(Calendar!$A18,DB!$1:$1,0)),FALSE)&gt;=5,"Good","Bad"),VLOOKUP(DATE($K$1,$K$2,UIZ$4),Table1[],(MATCH(Calendar!$A18,DB!$1:$1,0)),FALSE)),"")</f>
        <v/>
      </c>
      <c r="UJA18" s="28" t="str">
        <f>IFERROR(IF(UJJ3="No",IF(VLOOKUP(DATE($K$1,$K$2,UJA$4),Table1[],(MATCH(Calendar!$A18,DB!$1:$1,0)),FALSE)&gt;=5,"Good","Bad"),VLOOKUP(DATE($K$1,$K$2,UJA$4),Table1[],(MATCH(Calendar!$A18,DB!$1:$1,0)),FALSE)),"")</f>
        <v/>
      </c>
      <c r="UJB18" s="28" t="str">
        <f>IFERROR(IF(UJK3="No",IF(VLOOKUP(DATE($K$1,$K$2,UJB$4),Table1[],(MATCH(Calendar!$A18,DB!$1:$1,0)),FALSE)&gt;=5,"Good","Bad"),VLOOKUP(DATE($K$1,$K$2,UJB$4),Table1[],(MATCH(Calendar!$A18,DB!$1:$1,0)),FALSE)),"")</f>
        <v/>
      </c>
      <c r="UJC18" s="28" t="str">
        <f>IFERROR(IF(UJL3="No",IF(VLOOKUP(DATE($K$1,$K$2,UJC$4),Table1[],(MATCH(Calendar!$A18,DB!$1:$1,0)),FALSE)&gt;=5,"Good","Bad"),VLOOKUP(DATE($K$1,$K$2,UJC$4),Table1[],(MATCH(Calendar!$A18,DB!$1:$1,0)),FALSE)),"")</f>
        <v/>
      </c>
      <c r="UJD18" s="28" t="str">
        <f>IFERROR(IF(UJM3="No",IF(VLOOKUP(DATE($K$1,$K$2,UJD$4),Table1[],(MATCH(Calendar!$A18,DB!$1:$1,0)),FALSE)&gt;=5,"Good","Bad"),VLOOKUP(DATE($K$1,$K$2,UJD$4),Table1[],(MATCH(Calendar!$A18,DB!$1:$1,0)),FALSE)),"")</f>
        <v/>
      </c>
      <c r="UJE18" s="28" t="str">
        <f>IFERROR(IF(UJN3="No",IF(VLOOKUP(DATE($K$1,$K$2,UJE$4),Table1[],(MATCH(Calendar!$A18,DB!$1:$1,0)),FALSE)&gt;=5,"Good","Bad"),VLOOKUP(DATE($K$1,$K$2,UJE$4),Table1[],(MATCH(Calendar!$A18,DB!$1:$1,0)),FALSE)),"")</f>
        <v/>
      </c>
      <c r="UJF18" s="28" t="str">
        <f>IFERROR(IF(UJO3="No",IF(VLOOKUP(DATE($K$1,$K$2,UJF$4),Table1[],(MATCH(Calendar!$A18,DB!$1:$1,0)),FALSE)&gt;=5,"Good","Bad"),VLOOKUP(DATE($K$1,$K$2,UJF$4),Table1[],(MATCH(Calendar!$A18,DB!$1:$1,0)),FALSE)),"")</f>
        <v/>
      </c>
      <c r="UJG18" s="28" t="str">
        <f>IFERROR(IF(UJP3="No",IF(VLOOKUP(DATE($K$1,$K$2,UJG$4),Table1[],(MATCH(Calendar!$A18,DB!$1:$1,0)),FALSE)&gt;=5,"Good","Bad"),VLOOKUP(DATE($K$1,$K$2,UJG$4),Table1[],(MATCH(Calendar!$A18,DB!$1:$1,0)),FALSE)),"")</f>
        <v/>
      </c>
      <c r="UJH18" s="28" t="str">
        <f>IFERROR(IF(UJQ3="No",IF(VLOOKUP(DATE($K$1,$K$2,UJH$4),Table1[],(MATCH(Calendar!$A18,DB!$1:$1,0)),FALSE)&gt;=5,"Good","Bad"),VLOOKUP(DATE($K$1,$K$2,UJH$4),Table1[],(MATCH(Calendar!$A18,DB!$1:$1,0)),FALSE)),"")</f>
        <v/>
      </c>
      <c r="UJI18" s="28" t="str">
        <f>IFERROR(IF(UJR3="No",IF(VLOOKUP(DATE($K$1,$K$2,UJI$4),Table1[],(MATCH(Calendar!$A18,DB!$1:$1,0)),FALSE)&gt;=5,"Good","Bad"),VLOOKUP(DATE($K$1,$K$2,UJI$4),Table1[],(MATCH(Calendar!$A18,DB!$1:$1,0)),FALSE)),"")</f>
        <v/>
      </c>
      <c r="UJJ18" s="28" t="str">
        <f>IFERROR(IF(UJS3="No",IF(VLOOKUP(DATE($K$1,$K$2,UJJ$4),Table1[],(MATCH(Calendar!$A18,DB!$1:$1,0)),FALSE)&gt;=5,"Good","Bad"),VLOOKUP(DATE($K$1,$K$2,UJJ$4),Table1[],(MATCH(Calendar!$A18,DB!$1:$1,0)),FALSE)),"")</f>
        <v/>
      </c>
      <c r="UJK18" s="28" t="str">
        <f>IFERROR(IF(UJT3="No",IF(VLOOKUP(DATE($K$1,$K$2,UJK$4),Table1[],(MATCH(Calendar!$A18,DB!$1:$1,0)),FALSE)&gt;=5,"Good","Bad"),VLOOKUP(DATE($K$1,$K$2,UJK$4),Table1[],(MATCH(Calendar!$A18,DB!$1:$1,0)),FALSE)),"")</f>
        <v/>
      </c>
      <c r="UJL18" s="28" t="str">
        <f>IFERROR(IF(UJU3="No",IF(VLOOKUP(DATE($K$1,$K$2,UJL$4),Table1[],(MATCH(Calendar!$A18,DB!$1:$1,0)),FALSE)&gt;=5,"Good","Bad"),VLOOKUP(DATE($K$1,$K$2,UJL$4),Table1[],(MATCH(Calendar!$A18,DB!$1:$1,0)),FALSE)),"")</f>
        <v/>
      </c>
      <c r="UJM18" s="28" t="str">
        <f>IFERROR(IF(UJV3="No",IF(VLOOKUP(DATE($K$1,$K$2,UJM$4),Table1[],(MATCH(Calendar!$A18,DB!$1:$1,0)),FALSE)&gt;=5,"Good","Bad"),VLOOKUP(DATE($K$1,$K$2,UJM$4),Table1[],(MATCH(Calendar!$A18,DB!$1:$1,0)),FALSE)),"")</f>
        <v/>
      </c>
      <c r="UJN18" s="28" t="str">
        <f>IFERROR(IF(UJW3="No",IF(VLOOKUP(DATE($K$1,$K$2,UJN$4),Table1[],(MATCH(Calendar!$A18,DB!$1:$1,0)),FALSE)&gt;=5,"Good","Bad"),VLOOKUP(DATE($K$1,$K$2,UJN$4),Table1[],(MATCH(Calendar!$A18,DB!$1:$1,0)),FALSE)),"")</f>
        <v/>
      </c>
      <c r="UJO18" s="28" t="str">
        <f>IFERROR(IF(UJX3="No",IF(VLOOKUP(DATE($K$1,$K$2,UJO$4),Table1[],(MATCH(Calendar!$A18,DB!$1:$1,0)),FALSE)&gt;=5,"Good","Bad"),VLOOKUP(DATE($K$1,$K$2,UJO$4),Table1[],(MATCH(Calendar!$A18,DB!$1:$1,0)),FALSE)),"")</f>
        <v/>
      </c>
      <c r="UJP18" s="28" t="str">
        <f>IFERROR(IF(UJY3="No",IF(VLOOKUP(DATE($K$1,$K$2,UJP$4),Table1[],(MATCH(Calendar!$A18,DB!$1:$1,0)),FALSE)&gt;=5,"Good","Bad"),VLOOKUP(DATE($K$1,$K$2,UJP$4),Table1[],(MATCH(Calendar!$A18,DB!$1:$1,0)),FALSE)),"")</f>
        <v/>
      </c>
      <c r="UJQ18" s="28" t="str">
        <f>IFERROR(IF(UJZ3="No",IF(VLOOKUP(DATE($K$1,$K$2,UJQ$4),Table1[],(MATCH(Calendar!$A18,DB!$1:$1,0)),FALSE)&gt;=5,"Good","Bad"),VLOOKUP(DATE($K$1,$K$2,UJQ$4),Table1[],(MATCH(Calendar!$A18,DB!$1:$1,0)),FALSE)),"")</f>
        <v/>
      </c>
      <c r="UJR18" s="28" t="str">
        <f>IFERROR(IF(UKA3="No",IF(VLOOKUP(DATE($K$1,$K$2,UJR$4),Table1[],(MATCH(Calendar!$A18,DB!$1:$1,0)),FALSE)&gt;=5,"Good","Bad"),VLOOKUP(DATE($K$1,$K$2,UJR$4),Table1[],(MATCH(Calendar!$A18,DB!$1:$1,0)),FALSE)),"")</f>
        <v/>
      </c>
      <c r="UJS18" s="28" t="str">
        <f>IFERROR(IF(UKB3="No",IF(VLOOKUP(DATE($K$1,$K$2,UJS$4),Table1[],(MATCH(Calendar!$A18,DB!$1:$1,0)),FALSE)&gt;=5,"Good","Bad"),VLOOKUP(DATE($K$1,$K$2,UJS$4),Table1[],(MATCH(Calendar!$A18,DB!$1:$1,0)),FALSE)),"")</f>
        <v/>
      </c>
      <c r="UJT18" s="28" t="str">
        <f>IFERROR(IF(UKC3="No",IF(VLOOKUP(DATE($K$1,$K$2,UJT$4),Table1[],(MATCH(Calendar!$A18,DB!$1:$1,0)),FALSE)&gt;=5,"Good","Bad"),VLOOKUP(DATE($K$1,$K$2,UJT$4),Table1[],(MATCH(Calendar!$A18,DB!$1:$1,0)),FALSE)),"")</f>
        <v/>
      </c>
      <c r="UJU18" s="28" t="str">
        <f>IFERROR(IF(UKD3="No",IF(VLOOKUP(DATE($K$1,$K$2,UJU$4),Table1[],(MATCH(Calendar!$A18,DB!$1:$1,0)),FALSE)&gt;=5,"Good","Bad"),VLOOKUP(DATE($K$1,$K$2,UJU$4),Table1[],(MATCH(Calendar!$A18,DB!$1:$1,0)),FALSE)),"")</f>
        <v/>
      </c>
      <c r="UJV18" s="28" t="str">
        <f>IFERROR(IF(UKE3="No",IF(VLOOKUP(DATE($K$1,$K$2,UJV$4),Table1[],(MATCH(Calendar!$A18,DB!$1:$1,0)),FALSE)&gt;=5,"Good","Bad"),VLOOKUP(DATE($K$1,$K$2,UJV$4),Table1[],(MATCH(Calendar!$A18,DB!$1:$1,0)),FALSE)),"")</f>
        <v/>
      </c>
      <c r="UJW18" s="28" t="str">
        <f>IFERROR(IF(UKF3="No",IF(VLOOKUP(DATE($K$1,$K$2,UJW$4),Table1[],(MATCH(Calendar!$A18,DB!$1:$1,0)),FALSE)&gt;=5,"Good","Bad"),VLOOKUP(DATE($K$1,$K$2,UJW$4),Table1[],(MATCH(Calendar!$A18,DB!$1:$1,0)),FALSE)),"")</f>
        <v/>
      </c>
      <c r="UJX18" s="28" t="str">
        <f>IFERROR(IF(UKG3="No",IF(VLOOKUP(DATE($K$1,$K$2,UJX$4),Table1[],(MATCH(Calendar!$A18,DB!$1:$1,0)),FALSE)&gt;=5,"Good","Bad"),VLOOKUP(DATE($K$1,$K$2,UJX$4),Table1[],(MATCH(Calendar!$A18,DB!$1:$1,0)),FALSE)),"")</f>
        <v/>
      </c>
      <c r="UJY18" s="28" t="str">
        <f>IFERROR(IF(UKH3="No",IF(VLOOKUP(DATE($K$1,$K$2,UJY$4),Table1[],(MATCH(Calendar!$A18,DB!$1:$1,0)),FALSE)&gt;=5,"Good","Bad"),VLOOKUP(DATE($K$1,$K$2,UJY$4),Table1[],(MATCH(Calendar!$A18,DB!$1:$1,0)),FALSE)),"")</f>
        <v/>
      </c>
      <c r="UJZ18" s="28" t="str">
        <f>IFERROR(IF(UKI3="No",IF(VLOOKUP(DATE($K$1,$K$2,UJZ$4),Table1[],(MATCH(Calendar!$A18,DB!$1:$1,0)),FALSE)&gt;=5,"Good","Bad"),VLOOKUP(DATE($K$1,$K$2,UJZ$4),Table1[],(MATCH(Calendar!$A18,DB!$1:$1,0)),FALSE)),"")</f>
        <v/>
      </c>
      <c r="UKA18" s="28" t="str">
        <f>IFERROR(IF(UKJ3="No",IF(VLOOKUP(DATE($K$1,$K$2,UKA$4),Table1[],(MATCH(Calendar!$A18,DB!$1:$1,0)),FALSE)&gt;=5,"Good","Bad"),VLOOKUP(DATE($K$1,$K$2,UKA$4),Table1[],(MATCH(Calendar!$A18,DB!$1:$1,0)),FALSE)),"")</f>
        <v/>
      </c>
      <c r="UKB18" s="28" t="str">
        <f>IFERROR(IF(UKK3="No",IF(VLOOKUP(DATE($K$1,$K$2,UKB$4),Table1[],(MATCH(Calendar!$A18,DB!$1:$1,0)),FALSE)&gt;=5,"Good","Bad"),VLOOKUP(DATE($K$1,$K$2,UKB$4),Table1[],(MATCH(Calendar!$A18,DB!$1:$1,0)),FALSE)),"")</f>
        <v/>
      </c>
      <c r="UKC18" s="28" t="str">
        <f>IFERROR(IF(UKL3="No",IF(VLOOKUP(DATE($K$1,$K$2,UKC$4),Table1[],(MATCH(Calendar!$A18,DB!$1:$1,0)),FALSE)&gt;=5,"Good","Bad"),VLOOKUP(DATE($K$1,$K$2,UKC$4),Table1[],(MATCH(Calendar!$A18,DB!$1:$1,0)),FALSE)),"")</f>
        <v/>
      </c>
      <c r="UKD18" s="28" t="str">
        <f>IFERROR(IF(UKM3="No",IF(VLOOKUP(DATE($K$1,$K$2,UKD$4),Table1[],(MATCH(Calendar!$A18,DB!$1:$1,0)),FALSE)&gt;=5,"Good","Bad"),VLOOKUP(DATE($K$1,$K$2,UKD$4),Table1[],(MATCH(Calendar!$A18,DB!$1:$1,0)),FALSE)),"")</f>
        <v/>
      </c>
      <c r="UKE18" s="28" t="str">
        <f>IFERROR(IF(UKN3="No",IF(VLOOKUP(DATE($K$1,$K$2,UKE$4),Table1[],(MATCH(Calendar!$A18,DB!$1:$1,0)),FALSE)&gt;=5,"Good","Bad"),VLOOKUP(DATE($K$1,$K$2,UKE$4),Table1[],(MATCH(Calendar!$A18,DB!$1:$1,0)),FALSE)),"")</f>
        <v/>
      </c>
      <c r="UKF18" s="28" t="str">
        <f>IFERROR(IF(UKO3="No",IF(VLOOKUP(DATE($K$1,$K$2,UKF$4),Table1[],(MATCH(Calendar!$A18,DB!$1:$1,0)),FALSE)&gt;=5,"Good","Bad"),VLOOKUP(DATE($K$1,$K$2,UKF$4),Table1[],(MATCH(Calendar!$A18,DB!$1:$1,0)),FALSE)),"")</f>
        <v/>
      </c>
      <c r="UKG18" s="28" t="str">
        <f>IFERROR(IF(UKP3="No",IF(VLOOKUP(DATE($K$1,$K$2,UKG$4),Table1[],(MATCH(Calendar!$A18,DB!$1:$1,0)),FALSE)&gt;=5,"Good","Bad"),VLOOKUP(DATE($K$1,$K$2,UKG$4),Table1[],(MATCH(Calendar!$A18,DB!$1:$1,0)),FALSE)),"")</f>
        <v/>
      </c>
      <c r="UKH18" s="28" t="str">
        <f>IFERROR(IF(UKQ3="No",IF(VLOOKUP(DATE($K$1,$K$2,UKH$4),Table1[],(MATCH(Calendar!$A18,DB!$1:$1,0)),FALSE)&gt;=5,"Good","Bad"),VLOOKUP(DATE($K$1,$K$2,UKH$4),Table1[],(MATCH(Calendar!$A18,DB!$1:$1,0)),FALSE)),"")</f>
        <v/>
      </c>
      <c r="UKI18" s="28" t="str">
        <f>IFERROR(IF(UKR3="No",IF(VLOOKUP(DATE($K$1,$K$2,UKI$4),Table1[],(MATCH(Calendar!$A18,DB!$1:$1,0)),FALSE)&gt;=5,"Good","Bad"),VLOOKUP(DATE($K$1,$K$2,UKI$4),Table1[],(MATCH(Calendar!$A18,DB!$1:$1,0)),FALSE)),"")</f>
        <v/>
      </c>
      <c r="UKJ18" s="28" t="str">
        <f>IFERROR(IF(UKS3="No",IF(VLOOKUP(DATE($K$1,$K$2,UKJ$4),Table1[],(MATCH(Calendar!$A18,DB!$1:$1,0)),FALSE)&gt;=5,"Good","Bad"),VLOOKUP(DATE($K$1,$K$2,UKJ$4),Table1[],(MATCH(Calendar!$A18,DB!$1:$1,0)),FALSE)),"")</f>
        <v/>
      </c>
      <c r="UKK18" s="28" t="str">
        <f>IFERROR(IF(UKT3="No",IF(VLOOKUP(DATE($K$1,$K$2,UKK$4),Table1[],(MATCH(Calendar!$A18,DB!$1:$1,0)),FALSE)&gt;=5,"Good","Bad"),VLOOKUP(DATE($K$1,$K$2,UKK$4),Table1[],(MATCH(Calendar!$A18,DB!$1:$1,0)),FALSE)),"")</f>
        <v/>
      </c>
      <c r="UKL18" s="28" t="str">
        <f>IFERROR(IF(UKU3="No",IF(VLOOKUP(DATE($K$1,$K$2,UKL$4),Table1[],(MATCH(Calendar!$A18,DB!$1:$1,0)),FALSE)&gt;=5,"Good","Bad"),VLOOKUP(DATE($K$1,$K$2,UKL$4),Table1[],(MATCH(Calendar!$A18,DB!$1:$1,0)),FALSE)),"")</f>
        <v/>
      </c>
      <c r="UKM18" s="28" t="str">
        <f>IFERROR(IF(UKV3="No",IF(VLOOKUP(DATE($K$1,$K$2,UKM$4),Table1[],(MATCH(Calendar!$A18,DB!$1:$1,0)),FALSE)&gt;=5,"Good","Bad"),VLOOKUP(DATE($K$1,$K$2,UKM$4),Table1[],(MATCH(Calendar!$A18,DB!$1:$1,0)),FALSE)),"")</f>
        <v/>
      </c>
      <c r="UKN18" s="28" t="str">
        <f>IFERROR(IF(UKW3="No",IF(VLOOKUP(DATE($K$1,$K$2,UKN$4),Table1[],(MATCH(Calendar!$A18,DB!$1:$1,0)),FALSE)&gt;=5,"Good","Bad"),VLOOKUP(DATE($K$1,$K$2,UKN$4),Table1[],(MATCH(Calendar!$A18,DB!$1:$1,0)),FALSE)),"")</f>
        <v/>
      </c>
      <c r="UKO18" s="28" t="str">
        <f>IFERROR(IF(UKX3="No",IF(VLOOKUP(DATE($K$1,$K$2,UKO$4),Table1[],(MATCH(Calendar!$A18,DB!$1:$1,0)),FALSE)&gt;=5,"Good","Bad"),VLOOKUP(DATE($K$1,$K$2,UKO$4),Table1[],(MATCH(Calendar!$A18,DB!$1:$1,0)),FALSE)),"")</f>
        <v/>
      </c>
      <c r="UKP18" s="28" t="str">
        <f>IFERROR(IF(UKY3="No",IF(VLOOKUP(DATE($K$1,$K$2,UKP$4),Table1[],(MATCH(Calendar!$A18,DB!$1:$1,0)),FALSE)&gt;=5,"Good","Bad"),VLOOKUP(DATE($K$1,$K$2,UKP$4),Table1[],(MATCH(Calendar!$A18,DB!$1:$1,0)),FALSE)),"")</f>
        <v/>
      </c>
      <c r="UKQ18" s="28" t="str">
        <f>IFERROR(IF(UKZ3="No",IF(VLOOKUP(DATE($K$1,$K$2,UKQ$4),Table1[],(MATCH(Calendar!$A18,DB!$1:$1,0)),FALSE)&gt;=5,"Good","Bad"),VLOOKUP(DATE($K$1,$K$2,UKQ$4),Table1[],(MATCH(Calendar!$A18,DB!$1:$1,0)),FALSE)),"")</f>
        <v/>
      </c>
      <c r="UKR18" s="28" t="str">
        <f>IFERROR(IF(ULA3="No",IF(VLOOKUP(DATE($K$1,$K$2,UKR$4),Table1[],(MATCH(Calendar!$A18,DB!$1:$1,0)),FALSE)&gt;=5,"Good","Bad"),VLOOKUP(DATE($K$1,$K$2,UKR$4),Table1[],(MATCH(Calendar!$A18,DB!$1:$1,0)),FALSE)),"")</f>
        <v/>
      </c>
      <c r="UKS18" s="28" t="str">
        <f>IFERROR(IF(ULB3="No",IF(VLOOKUP(DATE($K$1,$K$2,UKS$4),Table1[],(MATCH(Calendar!$A18,DB!$1:$1,0)),FALSE)&gt;=5,"Good","Bad"),VLOOKUP(DATE($K$1,$K$2,UKS$4),Table1[],(MATCH(Calendar!$A18,DB!$1:$1,0)),FALSE)),"")</f>
        <v/>
      </c>
      <c r="UKT18" s="28" t="str">
        <f>IFERROR(IF(ULC3="No",IF(VLOOKUP(DATE($K$1,$K$2,UKT$4),Table1[],(MATCH(Calendar!$A18,DB!$1:$1,0)),FALSE)&gt;=5,"Good","Bad"),VLOOKUP(DATE($K$1,$K$2,UKT$4),Table1[],(MATCH(Calendar!$A18,DB!$1:$1,0)),FALSE)),"")</f>
        <v/>
      </c>
      <c r="UKU18" s="28" t="str">
        <f>IFERROR(IF(ULD3="No",IF(VLOOKUP(DATE($K$1,$K$2,UKU$4),Table1[],(MATCH(Calendar!$A18,DB!$1:$1,0)),FALSE)&gt;=5,"Good","Bad"),VLOOKUP(DATE($K$1,$K$2,UKU$4),Table1[],(MATCH(Calendar!$A18,DB!$1:$1,0)),FALSE)),"")</f>
        <v/>
      </c>
      <c r="UKV18" s="28" t="str">
        <f>IFERROR(IF(ULE3="No",IF(VLOOKUP(DATE($K$1,$K$2,UKV$4),Table1[],(MATCH(Calendar!$A18,DB!$1:$1,0)),FALSE)&gt;=5,"Good","Bad"),VLOOKUP(DATE($K$1,$K$2,UKV$4),Table1[],(MATCH(Calendar!$A18,DB!$1:$1,0)),FALSE)),"")</f>
        <v/>
      </c>
      <c r="UKW18" s="28" t="str">
        <f>IFERROR(IF(ULF3="No",IF(VLOOKUP(DATE($K$1,$K$2,UKW$4),Table1[],(MATCH(Calendar!$A18,DB!$1:$1,0)),FALSE)&gt;=5,"Good","Bad"),VLOOKUP(DATE($K$1,$K$2,UKW$4),Table1[],(MATCH(Calendar!$A18,DB!$1:$1,0)),FALSE)),"")</f>
        <v/>
      </c>
      <c r="UKX18" s="28" t="str">
        <f>IFERROR(IF(ULG3="No",IF(VLOOKUP(DATE($K$1,$K$2,UKX$4),Table1[],(MATCH(Calendar!$A18,DB!$1:$1,0)),FALSE)&gt;=5,"Good","Bad"),VLOOKUP(DATE($K$1,$K$2,UKX$4),Table1[],(MATCH(Calendar!$A18,DB!$1:$1,0)),FALSE)),"")</f>
        <v/>
      </c>
      <c r="UKY18" s="28" t="str">
        <f>IFERROR(IF(ULH3="No",IF(VLOOKUP(DATE($K$1,$K$2,UKY$4),Table1[],(MATCH(Calendar!$A18,DB!$1:$1,0)),FALSE)&gt;=5,"Good","Bad"),VLOOKUP(DATE($K$1,$K$2,UKY$4),Table1[],(MATCH(Calendar!$A18,DB!$1:$1,0)),FALSE)),"")</f>
        <v/>
      </c>
      <c r="UKZ18" s="28" t="str">
        <f>IFERROR(IF(ULI3="No",IF(VLOOKUP(DATE($K$1,$K$2,UKZ$4),Table1[],(MATCH(Calendar!$A18,DB!$1:$1,0)),FALSE)&gt;=5,"Good","Bad"),VLOOKUP(DATE($K$1,$K$2,UKZ$4),Table1[],(MATCH(Calendar!$A18,DB!$1:$1,0)),FALSE)),"")</f>
        <v/>
      </c>
      <c r="ULA18" s="28" t="str">
        <f>IFERROR(IF(ULJ3="No",IF(VLOOKUP(DATE($K$1,$K$2,ULA$4),Table1[],(MATCH(Calendar!$A18,DB!$1:$1,0)),FALSE)&gt;=5,"Good","Bad"),VLOOKUP(DATE($K$1,$K$2,ULA$4),Table1[],(MATCH(Calendar!$A18,DB!$1:$1,0)),FALSE)),"")</f>
        <v/>
      </c>
      <c r="ULB18" s="28" t="str">
        <f>IFERROR(IF(ULK3="No",IF(VLOOKUP(DATE($K$1,$K$2,ULB$4),Table1[],(MATCH(Calendar!$A18,DB!$1:$1,0)),FALSE)&gt;=5,"Good","Bad"),VLOOKUP(DATE($K$1,$K$2,ULB$4),Table1[],(MATCH(Calendar!$A18,DB!$1:$1,0)),FALSE)),"")</f>
        <v/>
      </c>
      <c r="ULC18" s="28" t="str">
        <f>IFERROR(IF(ULL3="No",IF(VLOOKUP(DATE($K$1,$K$2,ULC$4),Table1[],(MATCH(Calendar!$A18,DB!$1:$1,0)),FALSE)&gt;=5,"Good","Bad"),VLOOKUP(DATE($K$1,$K$2,ULC$4),Table1[],(MATCH(Calendar!$A18,DB!$1:$1,0)),FALSE)),"")</f>
        <v/>
      </c>
      <c r="ULD18" s="28" t="str">
        <f>IFERROR(IF(ULM3="No",IF(VLOOKUP(DATE($K$1,$K$2,ULD$4),Table1[],(MATCH(Calendar!$A18,DB!$1:$1,0)),FALSE)&gt;=5,"Good","Bad"),VLOOKUP(DATE($K$1,$K$2,ULD$4),Table1[],(MATCH(Calendar!$A18,DB!$1:$1,0)),FALSE)),"")</f>
        <v/>
      </c>
      <c r="ULE18" s="28" t="str">
        <f>IFERROR(IF(ULN3="No",IF(VLOOKUP(DATE($K$1,$K$2,ULE$4),Table1[],(MATCH(Calendar!$A18,DB!$1:$1,0)),FALSE)&gt;=5,"Good","Bad"),VLOOKUP(DATE($K$1,$K$2,ULE$4),Table1[],(MATCH(Calendar!$A18,DB!$1:$1,0)),FALSE)),"")</f>
        <v/>
      </c>
      <c r="ULF18" s="28" t="str">
        <f>IFERROR(IF(ULO3="No",IF(VLOOKUP(DATE($K$1,$K$2,ULF$4),Table1[],(MATCH(Calendar!$A18,DB!$1:$1,0)),FALSE)&gt;=5,"Good","Bad"),VLOOKUP(DATE($K$1,$K$2,ULF$4),Table1[],(MATCH(Calendar!$A18,DB!$1:$1,0)),FALSE)),"")</f>
        <v/>
      </c>
      <c r="ULG18" s="28" t="str">
        <f>IFERROR(IF(ULP3="No",IF(VLOOKUP(DATE($K$1,$K$2,ULG$4),Table1[],(MATCH(Calendar!$A18,DB!$1:$1,0)),FALSE)&gt;=5,"Good","Bad"),VLOOKUP(DATE($K$1,$K$2,ULG$4),Table1[],(MATCH(Calendar!$A18,DB!$1:$1,0)),FALSE)),"")</f>
        <v/>
      </c>
      <c r="ULH18" s="28" t="str">
        <f>IFERROR(IF(ULQ3="No",IF(VLOOKUP(DATE($K$1,$K$2,ULH$4),Table1[],(MATCH(Calendar!$A18,DB!$1:$1,0)),FALSE)&gt;=5,"Good","Bad"),VLOOKUP(DATE($K$1,$K$2,ULH$4),Table1[],(MATCH(Calendar!$A18,DB!$1:$1,0)),FALSE)),"")</f>
        <v/>
      </c>
      <c r="ULI18" s="28" t="str">
        <f>IFERROR(IF(ULR3="No",IF(VLOOKUP(DATE($K$1,$K$2,ULI$4),Table1[],(MATCH(Calendar!$A18,DB!$1:$1,0)),FALSE)&gt;=5,"Good","Bad"),VLOOKUP(DATE($K$1,$K$2,ULI$4),Table1[],(MATCH(Calendar!$A18,DB!$1:$1,0)),FALSE)),"")</f>
        <v/>
      </c>
      <c r="ULJ18" s="28" t="str">
        <f>IFERROR(IF(ULS3="No",IF(VLOOKUP(DATE($K$1,$K$2,ULJ$4),Table1[],(MATCH(Calendar!$A18,DB!$1:$1,0)),FALSE)&gt;=5,"Good","Bad"),VLOOKUP(DATE($K$1,$K$2,ULJ$4),Table1[],(MATCH(Calendar!$A18,DB!$1:$1,0)),FALSE)),"")</f>
        <v/>
      </c>
      <c r="ULK18" s="28" t="str">
        <f>IFERROR(IF(ULT3="No",IF(VLOOKUP(DATE($K$1,$K$2,ULK$4),Table1[],(MATCH(Calendar!$A18,DB!$1:$1,0)),FALSE)&gt;=5,"Good","Bad"),VLOOKUP(DATE($K$1,$K$2,ULK$4),Table1[],(MATCH(Calendar!$A18,DB!$1:$1,0)),FALSE)),"")</f>
        <v/>
      </c>
      <c r="ULL18" s="28" t="str">
        <f>IFERROR(IF(ULU3="No",IF(VLOOKUP(DATE($K$1,$K$2,ULL$4),Table1[],(MATCH(Calendar!$A18,DB!$1:$1,0)),FALSE)&gt;=5,"Good","Bad"),VLOOKUP(DATE($K$1,$K$2,ULL$4),Table1[],(MATCH(Calendar!$A18,DB!$1:$1,0)),FALSE)),"")</f>
        <v/>
      </c>
      <c r="ULM18" s="28" t="str">
        <f>IFERROR(IF(ULV3="No",IF(VLOOKUP(DATE($K$1,$K$2,ULM$4),Table1[],(MATCH(Calendar!$A18,DB!$1:$1,0)),FALSE)&gt;=5,"Good","Bad"),VLOOKUP(DATE($K$1,$K$2,ULM$4),Table1[],(MATCH(Calendar!$A18,DB!$1:$1,0)),FALSE)),"")</f>
        <v/>
      </c>
      <c r="ULN18" s="28" t="str">
        <f>IFERROR(IF(ULW3="No",IF(VLOOKUP(DATE($K$1,$K$2,ULN$4),Table1[],(MATCH(Calendar!$A18,DB!$1:$1,0)),FALSE)&gt;=5,"Good","Bad"),VLOOKUP(DATE($K$1,$K$2,ULN$4),Table1[],(MATCH(Calendar!$A18,DB!$1:$1,0)),FALSE)),"")</f>
        <v/>
      </c>
      <c r="ULO18" s="28" t="str">
        <f>IFERROR(IF(ULX3="No",IF(VLOOKUP(DATE($K$1,$K$2,ULO$4),Table1[],(MATCH(Calendar!$A18,DB!$1:$1,0)),FALSE)&gt;=5,"Good","Bad"),VLOOKUP(DATE($K$1,$K$2,ULO$4),Table1[],(MATCH(Calendar!$A18,DB!$1:$1,0)),FALSE)),"")</f>
        <v/>
      </c>
      <c r="ULP18" s="28" t="str">
        <f>IFERROR(IF(ULY3="No",IF(VLOOKUP(DATE($K$1,$K$2,ULP$4),Table1[],(MATCH(Calendar!$A18,DB!$1:$1,0)),FALSE)&gt;=5,"Good","Bad"),VLOOKUP(DATE($K$1,$K$2,ULP$4),Table1[],(MATCH(Calendar!$A18,DB!$1:$1,0)),FALSE)),"")</f>
        <v/>
      </c>
      <c r="ULQ18" s="28" t="str">
        <f>IFERROR(IF(ULZ3="No",IF(VLOOKUP(DATE($K$1,$K$2,ULQ$4),Table1[],(MATCH(Calendar!$A18,DB!$1:$1,0)),FALSE)&gt;=5,"Good","Bad"),VLOOKUP(DATE($K$1,$K$2,ULQ$4),Table1[],(MATCH(Calendar!$A18,DB!$1:$1,0)),FALSE)),"")</f>
        <v/>
      </c>
      <c r="ULR18" s="28" t="str">
        <f>IFERROR(IF(UMA3="No",IF(VLOOKUP(DATE($K$1,$K$2,ULR$4),Table1[],(MATCH(Calendar!$A18,DB!$1:$1,0)),FALSE)&gt;=5,"Good","Bad"),VLOOKUP(DATE($K$1,$K$2,ULR$4),Table1[],(MATCH(Calendar!$A18,DB!$1:$1,0)),FALSE)),"")</f>
        <v/>
      </c>
      <c r="ULS18" s="28" t="str">
        <f>IFERROR(IF(UMB3="No",IF(VLOOKUP(DATE($K$1,$K$2,ULS$4),Table1[],(MATCH(Calendar!$A18,DB!$1:$1,0)),FALSE)&gt;=5,"Good","Bad"),VLOOKUP(DATE($K$1,$K$2,ULS$4),Table1[],(MATCH(Calendar!$A18,DB!$1:$1,0)),FALSE)),"")</f>
        <v/>
      </c>
      <c r="ULT18" s="28" t="str">
        <f>IFERROR(IF(UMC3="No",IF(VLOOKUP(DATE($K$1,$K$2,ULT$4),Table1[],(MATCH(Calendar!$A18,DB!$1:$1,0)),FALSE)&gt;=5,"Good","Bad"),VLOOKUP(DATE($K$1,$K$2,ULT$4),Table1[],(MATCH(Calendar!$A18,DB!$1:$1,0)),FALSE)),"")</f>
        <v/>
      </c>
      <c r="ULU18" s="28" t="str">
        <f>IFERROR(IF(UMD3="No",IF(VLOOKUP(DATE($K$1,$K$2,ULU$4),Table1[],(MATCH(Calendar!$A18,DB!$1:$1,0)),FALSE)&gt;=5,"Good","Bad"),VLOOKUP(DATE($K$1,$K$2,ULU$4),Table1[],(MATCH(Calendar!$A18,DB!$1:$1,0)),FALSE)),"")</f>
        <v/>
      </c>
      <c r="ULV18" s="28" t="str">
        <f>IFERROR(IF(UME3="No",IF(VLOOKUP(DATE($K$1,$K$2,ULV$4),Table1[],(MATCH(Calendar!$A18,DB!$1:$1,0)),FALSE)&gt;=5,"Good","Bad"),VLOOKUP(DATE($K$1,$K$2,ULV$4),Table1[],(MATCH(Calendar!$A18,DB!$1:$1,0)),FALSE)),"")</f>
        <v/>
      </c>
      <c r="ULW18" s="28" t="str">
        <f>IFERROR(IF(UMF3="No",IF(VLOOKUP(DATE($K$1,$K$2,ULW$4),Table1[],(MATCH(Calendar!$A18,DB!$1:$1,0)),FALSE)&gt;=5,"Good","Bad"),VLOOKUP(DATE($K$1,$K$2,ULW$4),Table1[],(MATCH(Calendar!$A18,DB!$1:$1,0)),FALSE)),"")</f>
        <v/>
      </c>
      <c r="ULX18" s="28" t="str">
        <f>IFERROR(IF(UMG3="No",IF(VLOOKUP(DATE($K$1,$K$2,ULX$4),Table1[],(MATCH(Calendar!$A18,DB!$1:$1,0)),FALSE)&gt;=5,"Good","Bad"),VLOOKUP(DATE($K$1,$K$2,ULX$4),Table1[],(MATCH(Calendar!$A18,DB!$1:$1,0)),FALSE)),"")</f>
        <v/>
      </c>
      <c r="ULY18" s="28" t="str">
        <f>IFERROR(IF(UMH3="No",IF(VLOOKUP(DATE($K$1,$K$2,ULY$4),Table1[],(MATCH(Calendar!$A18,DB!$1:$1,0)),FALSE)&gt;=5,"Good","Bad"),VLOOKUP(DATE($K$1,$K$2,ULY$4),Table1[],(MATCH(Calendar!$A18,DB!$1:$1,0)),FALSE)),"")</f>
        <v/>
      </c>
      <c r="ULZ18" s="28" t="str">
        <f>IFERROR(IF(UMI3="No",IF(VLOOKUP(DATE($K$1,$K$2,ULZ$4),Table1[],(MATCH(Calendar!$A18,DB!$1:$1,0)),FALSE)&gt;=5,"Good","Bad"),VLOOKUP(DATE($K$1,$K$2,ULZ$4),Table1[],(MATCH(Calendar!$A18,DB!$1:$1,0)),FALSE)),"")</f>
        <v/>
      </c>
      <c r="UMA18" s="28" t="str">
        <f>IFERROR(IF(UMJ3="No",IF(VLOOKUP(DATE($K$1,$K$2,UMA$4),Table1[],(MATCH(Calendar!$A18,DB!$1:$1,0)),FALSE)&gt;=5,"Good","Bad"),VLOOKUP(DATE($K$1,$K$2,UMA$4),Table1[],(MATCH(Calendar!$A18,DB!$1:$1,0)),FALSE)),"")</f>
        <v/>
      </c>
      <c r="UMB18" s="28" t="str">
        <f>IFERROR(IF(UMK3="No",IF(VLOOKUP(DATE($K$1,$K$2,UMB$4),Table1[],(MATCH(Calendar!$A18,DB!$1:$1,0)),FALSE)&gt;=5,"Good","Bad"),VLOOKUP(DATE($K$1,$K$2,UMB$4),Table1[],(MATCH(Calendar!$A18,DB!$1:$1,0)),FALSE)),"")</f>
        <v/>
      </c>
      <c r="UMC18" s="28" t="str">
        <f>IFERROR(IF(UML3="No",IF(VLOOKUP(DATE($K$1,$K$2,UMC$4),Table1[],(MATCH(Calendar!$A18,DB!$1:$1,0)),FALSE)&gt;=5,"Good","Bad"),VLOOKUP(DATE($K$1,$K$2,UMC$4),Table1[],(MATCH(Calendar!$A18,DB!$1:$1,0)),FALSE)),"")</f>
        <v/>
      </c>
      <c r="UMD18" s="28" t="str">
        <f>IFERROR(IF(UMM3="No",IF(VLOOKUP(DATE($K$1,$K$2,UMD$4),Table1[],(MATCH(Calendar!$A18,DB!$1:$1,0)),FALSE)&gt;=5,"Good","Bad"),VLOOKUP(DATE($K$1,$K$2,UMD$4),Table1[],(MATCH(Calendar!$A18,DB!$1:$1,0)),FALSE)),"")</f>
        <v/>
      </c>
      <c r="UME18" s="28" t="str">
        <f>IFERROR(IF(UMN3="No",IF(VLOOKUP(DATE($K$1,$K$2,UME$4),Table1[],(MATCH(Calendar!$A18,DB!$1:$1,0)),FALSE)&gt;=5,"Good","Bad"),VLOOKUP(DATE($K$1,$K$2,UME$4),Table1[],(MATCH(Calendar!$A18,DB!$1:$1,0)),FALSE)),"")</f>
        <v/>
      </c>
      <c r="UMF18" s="28" t="str">
        <f>IFERROR(IF(UMO3="No",IF(VLOOKUP(DATE($K$1,$K$2,UMF$4),Table1[],(MATCH(Calendar!$A18,DB!$1:$1,0)),FALSE)&gt;=5,"Good","Bad"),VLOOKUP(DATE($K$1,$K$2,UMF$4),Table1[],(MATCH(Calendar!$A18,DB!$1:$1,0)),FALSE)),"")</f>
        <v/>
      </c>
      <c r="UMG18" s="28" t="str">
        <f>IFERROR(IF(UMP3="No",IF(VLOOKUP(DATE($K$1,$K$2,UMG$4),Table1[],(MATCH(Calendar!$A18,DB!$1:$1,0)),FALSE)&gt;=5,"Good","Bad"),VLOOKUP(DATE($K$1,$K$2,UMG$4),Table1[],(MATCH(Calendar!$A18,DB!$1:$1,0)),FALSE)),"")</f>
        <v/>
      </c>
      <c r="UMH18" s="28" t="str">
        <f>IFERROR(IF(UMQ3="No",IF(VLOOKUP(DATE($K$1,$K$2,UMH$4),Table1[],(MATCH(Calendar!$A18,DB!$1:$1,0)),FALSE)&gt;=5,"Good","Bad"),VLOOKUP(DATE($K$1,$K$2,UMH$4),Table1[],(MATCH(Calendar!$A18,DB!$1:$1,0)),FALSE)),"")</f>
        <v/>
      </c>
      <c r="UMI18" s="28" t="str">
        <f>IFERROR(IF(UMR3="No",IF(VLOOKUP(DATE($K$1,$K$2,UMI$4),Table1[],(MATCH(Calendar!$A18,DB!$1:$1,0)),FALSE)&gt;=5,"Good","Bad"),VLOOKUP(DATE($K$1,$K$2,UMI$4),Table1[],(MATCH(Calendar!$A18,DB!$1:$1,0)),FALSE)),"")</f>
        <v/>
      </c>
      <c r="UMJ18" s="28" t="str">
        <f>IFERROR(IF(UMS3="No",IF(VLOOKUP(DATE($K$1,$K$2,UMJ$4),Table1[],(MATCH(Calendar!$A18,DB!$1:$1,0)),FALSE)&gt;=5,"Good","Bad"),VLOOKUP(DATE($K$1,$K$2,UMJ$4),Table1[],(MATCH(Calendar!$A18,DB!$1:$1,0)),FALSE)),"")</f>
        <v/>
      </c>
      <c r="UMK18" s="28" t="str">
        <f>IFERROR(IF(UMT3="No",IF(VLOOKUP(DATE($K$1,$K$2,UMK$4),Table1[],(MATCH(Calendar!$A18,DB!$1:$1,0)),FALSE)&gt;=5,"Good","Bad"),VLOOKUP(DATE($K$1,$K$2,UMK$4),Table1[],(MATCH(Calendar!$A18,DB!$1:$1,0)),FALSE)),"")</f>
        <v/>
      </c>
      <c r="UML18" s="28" t="str">
        <f>IFERROR(IF(UMU3="No",IF(VLOOKUP(DATE($K$1,$K$2,UML$4),Table1[],(MATCH(Calendar!$A18,DB!$1:$1,0)),FALSE)&gt;=5,"Good","Bad"),VLOOKUP(DATE($K$1,$K$2,UML$4),Table1[],(MATCH(Calendar!$A18,DB!$1:$1,0)),FALSE)),"")</f>
        <v/>
      </c>
      <c r="UMM18" s="28" t="str">
        <f>IFERROR(IF(UMV3="No",IF(VLOOKUP(DATE($K$1,$K$2,UMM$4),Table1[],(MATCH(Calendar!$A18,DB!$1:$1,0)),FALSE)&gt;=5,"Good","Bad"),VLOOKUP(DATE($K$1,$K$2,UMM$4),Table1[],(MATCH(Calendar!$A18,DB!$1:$1,0)),FALSE)),"")</f>
        <v/>
      </c>
      <c r="UMN18" s="28" t="str">
        <f>IFERROR(IF(UMW3="No",IF(VLOOKUP(DATE($K$1,$K$2,UMN$4),Table1[],(MATCH(Calendar!$A18,DB!$1:$1,0)),FALSE)&gt;=5,"Good","Bad"),VLOOKUP(DATE($K$1,$K$2,UMN$4),Table1[],(MATCH(Calendar!$A18,DB!$1:$1,0)),FALSE)),"")</f>
        <v/>
      </c>
      <c r="UMO18" s="28" t="str">
        <f>IFERROR(IF(UMX3="No",IF(VLOOKUP(DATE($K$1,$K$2,UMO$4),Table1[],(MATCH(Calendar!$A18,DB!$1:$1,0)),FALSE)&gt;=5,"Good","Bad"),VLOOKUP(DATE($K$1,$K$2,UMO$4),Table1[],(MATCH(Calendar!$A18,DB!$1:$1,0)),FALSE)),"")</f>
        <v/>
      </c>
      <c r="UMP18" s="28" t="str">
        <f>IFERROR(IF(UMY3="No",IF(VLOOKUP(DATE($K$1,$K$2,UMP$4),Table1[],(MATCH(Calendar!$A18,DB!$1:$1,0)),FALSE)&gt;=5,"Good","Bad"),VLOOKUP(DATE($K$1,$K$2,UMP$4),Table1[],(MATCH(Calendar!$A18,DB!$1:$1,0)),FALSE)),"")</f>
        <v/>
      </c>
      <c r="UMQ18" s="28" t="str">
        <f>IFERROR(IF(UMZ3="No",IF(VLOOKUP(DATE($K$1,$K$2,UMQ$4),Table1[],(MATCH(Calendar!$A18,DB!$1:$1,0)),FALSE)&gt;=5,"Good","Bad"),VLOOKUP(DATE($K$1,$K$2,UMQ$4),Table1[],(MATCH(Calendar!$A18,DB!$1:$1,0)),FALSE)),"")</f>
        <v/>
      </c>
      <c r="UMR18" s="28" t="str">
        <f>IFERROR(IF(UNA3="No",IF(VLOOKUP(DATE($K$1,$K$2,UMR$4),Table1[],(MATCH(Calendar!$A18,DB!$1:$1,0)),FALSE)&gt;=5,"Good","Bad"),VLOOKUP(DATE($K$1,$K$2,UMR$4),Table1[],(MATCH(Calendar!$A18,DB!$1:$1,0)),FALSE)),"")</f>
        <v/>
      </c>
      <c r="UMS18" s="28" t="str">
        <f>IFERROR(IF(UNB3="No",IF(VLOOKUP(DATE($K$1,$K$2,UMS$4),Table1[],(MATCH(Calendar!$A18,DB!$1:$1,0)),FALSE)&gt;=5,"Good","Bad"),VLOOKUP(DATE($K$1,$K$2,UMS$4),Table1[],(MATCH(Calendar!$A18,DB!$1:$1,0)),FALSE)),"")</f>
        <v/>
      </c>
      <c r="UMT18" s="28" t="str">
        <f>IFERROR(IF(UNC3="No",IF(VLOOKUP(DATE($K$1,$K$2,UMT$4),Table1[],(MATCH(Calendar!$A18,DB!$1:$1,0)),FALSE)&gt;=5,"Good","Bad"),VLOOKUP(DATE($K$1,$K$2,UMT$4),Table1[],(MATCH(Calendar!$A18,DB!$1:$1,0)),FALSE)),"")</f>
        <v/>
      </c>
      <c r="UMU18" s="28" t="str">
        <f>IFERROR(IF(UND3="No",IF(VLOOKUP(DATE($K$1,$K$2,UMU$4),Table1[],(MATCH(Calendar!$A18,DB!$1:$1,0)),FALSE)&gt;=5,"Good","Bad"),VLOOKUP(DATE($K$1,$K$2,UMU$4),Table1[],(MATCH(Calendar!$A18,DB!$1:$1,0)),FALSE)),"")</f>
        <v/>
      </c>
      <c r="UMV18" s="28" t="str">
        <f>IFERROR(IF(UNE3="No",IF(VLOOKUP(DATE($K$1,$K$2,UMV$4),Table1[],(MATCH(Calendar!$A18,DB!$1:$1,0)),FALSE)&gt;=5,"Good","Bad"),VLOOKUP(DATE($K$1,$K$2,UMV$4),Table1[],(MATCH(Calendar!$A18,DB!$1:$1,0)),FALSE)),"")</f>
        <v/>
      </c>
      <c r="UMW18" s="28" t="str">
        <f>IFERROR(IF(UNF3="No",IF(VLOOKUP(DATE($K$1,$K$2,UMW$4),Table1[],(MATCH(Calendar!$A18,DB!$1:$1,0)),FALSE)&gt;=5,"Good","Bad"),VLOOKUP(DATE($K$1,$K$2,UMW$4),Table1[],(MATCH(Calendar!$A18,DB!$1:$1,0)),FALSE)),"")</f>
        <v/>
      </c>
      <c r="UMX18" s="28" t="str">
        <f>IFERROR(IF(UNG3="No",IF(VLOOKUP(DATE($K$1,$K$2,UMX$4),Table1[],(MATCH(Calendar!$A18,DB!$1:$1,0)),FALSE)&gt;=5,"Good","Bad"),VLOOKUP(DATE($K$1,$K$2,UMX$4),Table1[],(MATCH(Calendar!$A18,DB!$1:$1,0)),FALSE)),"")</f>
        <v/>
      </c>
      <c r="UMY18" s="28" t="str">
        <f>IFERROR(IF(UNH3="No",IF(VLOOKUP(DATE($K$1,$K$2,UMY$4),Table1[],(MATCH(Calendar!$A18,DB!$1:$1,0)),FALSE)&gt;=5,"Good","Bad"),VLOOKUP(DATE($K$1,$K$2,UMY$4),Table1[],(MATCH(Calendar!$A18,DB!$1:$1,0)),FALSE)),"")</f>
        <v/>
      </c>
      <c r="UMZ18" s="28" t="str">
        <f>IFERROR(IF(UNI3="No",IF(VLOOKUP(DATE($K$1,$K$2,UMZ$4),Table1[],(MATCH(Calendar!$A18,DB!$1:$1,0)),FALSE)&gt;=5,"Good","Bad"),VLOOKUP(DATE($K$1,$K$2,UMZ$4),Table1[],(MATCH(Calendar!$A18,DB!$1:$1,0)),FALSE)),"")</f>
        <v/>
      </c>
      <c r="UNA18" s="28" t="str">
        <f>IFERROR(IF(UNJ3="No",IF(VLOOKUP(DATE($K$1,$K$2,UNA$4),Table1[],(MATCH(Calendar!$A18,DB!$1:$1,0)),FALSE)&gt;=5,"Good","Bad"),VLOOKUP(DATE($K$1,$K$2,UNA$4),Table1[],(MATCH(Calendar!$A18,DB!$1:$1,0)),FALSE)),"")</f>
        <v/>
      </c>
      <c r="UNB18" s="28" t="str">
        <f>IFERROR(IF(UNK3="No",IF(VLOOKUP(DATE($K$1,$K$2,UNB$4),Table1[],(MATCH(Calendar!$A18,DB!$1:$1,0)),FALSE)&gt;=5,"Good","Bad"),VLOOKUP(DATE($K$1,$K$2,UNB$4),Table1[],(MATCH(Calendar!$A18,DB!$1:$1,0)),FALSE)),"")</f>
        <v/>
      </c>
      <c r="UNC18" s="28" t="str">
        <f>IFERROR(IF(UNL3="No",IF(VLOOKUP(DATE($K$1,$K$2,UNC$4),Table1[],(MATCH(Calendar!$A18,DB!$1:$1,0)),FALSE)&gt;=5,"Good","Bad"),VLOOKUP(DATE($K$1,$K$2,UNC$4),Table1[],(MATCH(Calendar!$A18,DB!$1:$1,0)),FALSE)),"")</f>
        <v/>
      </c>
      <c r="UND18" s="28" t="str">
        <f>IFERROR(IF(UNM3="No",IF(VLOOKUP(DATE($K$1,$K$2,UND$4),Table1[],(MATCH(Calendar!$A18,DB!$1:$1,0)),FALSE)&gt;=5,"Good","Bad"),VLOOKUP(DATE($K$1,$K$2,UND$4),Table1[],(MATCH(Calendar!$A18,DB!$1:$1,0)),FALSE)),"")</f>
        <v/>
      </c>
      <c r="UNE18" s="28" t="str">
        <f>IFERROR(IF(UNN3="No",IF(VLOOKUP(DATE($K$1,$K$2,UNE$4),Table1[],(MATCH(Calendar!$A18,DB!$1:$1,0)),FALSE)&gt;=5,"Good","Bad"),VLOOKUP(DATE($K$1,$K$2,UNE$4),Table1[],(MATCH(Calendar!$A18,DB!$1:$1,0)),FALSE)),"")</f>
        <v/>
      </c>
      <c r="UNF18" s="28" t="str">
        <f>IFERROR(IF(UNO3="No",IF(VLOOKUP(DATE($K$1,$K$2,UNF$4),Table1[],(MATCH(Calendar!$A18,DB!$1:$1,0)),FALSE)&gt;=5,"Good","Bad"),VLOOKUP(DATE($K$1,$K$2,UNF$4),Table1[],(MATCH(Calendar!$A18,DB!$1:$1,0)),FALSE)),"")</f>
        <v/>
      </c>
      <c r="UNG18" s="28" t="str">
        <f>IFERROR(IF(UNP3="No",IF(VLOOKUP(DATE($K$1,$K$2,UNG$4),Table1[],(MATCH(Calendar!$A18,DB!$1:$1,0)),FALSE)&gt;=5,"Good","Bad"),VLOOKUP(DATE($K$1,$K$2,UNG$4),Table1[],(MATCH(Calendar!$A18,DB!$1:$1,0)),FALSE)),"")</f>
        <v/>
      </c>
      <c r="UNH18" s="28" t="str">
        <f>IFERROR(IF(UNQ3="No",IF(VLOOKUP(DATE($K$1,$K$2,UNH$4),Table1[],(MATCH(Calendar!$A18,DB!$1:$1,0)),FALSE)&gt;=5,"Good","Bad"),VLOOKUP(DATE($K$1,$K$2,UNH$4),Table1[],(MATCH(Calendar!$A18,DB!$1:$1,0)),FALSE)),"")</f>
        <v/>
      </c>
      <c r="UNI18" s="28" t="str">
        <f>IFERROR(IF(UNR3="No",IF(VLOOKUP(DATE($K$1,$K$2,UNI$4),Table1[],(MATCH(Calendar!$A18,DB!$1:$1,0)),FALSE)&gt;=5,"Good","Bad"),VLOOKUP(DATE($K$1,$K$2,UNI$4),Table1[],(MATCH(Calendar!$A18,DB!$1:$1,0)),FALSE)),"")</f>
        <v/>
      </c>
      <c r="UNJ18" s="28" t="str">
        <f>IFERROR(IF(UNS3="No",IF(VLOOKUP(DATE($K$1,$K$2,UNJ$4),Table1[],(MATCH(Calendar!$A18,DB!$1:$1,0)),FALSE)&gt;=5,"Good","Bad"),VLOOKUP(DATE($K$1,$K$2,UNJ$4),Table1[],(MATCH(Calendar!$A18,DB!$1:$1,0)),FALSE)),"")</f>
        <v/>
      </c>
      <c r="UNK18" s="28" t="str">
        <f>IFERROR(IF(UNT3="No",IF(VLOOKUP(DATE($K$1,$K$2,UNK$4),Table1[],(MATCH(Calendar!$A18,DB!$1:$1,0)),FALSE)&gt;=5,"Good","Bad"),VLOOKUP(DATE($K$1,$K$2,UNK$4),Table1[],(MATCH(Calendar!$A18,DB!$1:$1,0)),FALSE)),"")</f>
        <v/>
      </c>
      <c r="UNL18" s="28" t="str">
        <f>IFERROR(IF(UNU3="No",IF(VLOOKUP(DATE($K$1,$K$2,UNL$4),Table1[],(MATCH(Calendar!$A18,DB!$1:$1,0)),FALSE)&gt;=5,"Good","Bad"),VLOOKUP(DATE($K$1,$K$2,UNL$4),Table1[],(MATCH(Calendar!$A18,DB!$1:$1,0)),FALSE)),"")</f>
        <v/>
      </c>
      <c r="UNM18" s="28" t="str">
        <f>IFERROR(IF(UNV3="No",IF(VLOOKUP(DATE($K$1,$K$2,UNM$4),Table1[],(MATCH(Calendar!$A18,DB!$1:$1,0)),FALSE)&gt;=5,"Good","Bad"),VLOOKUP(DATE($K$1,$K$2,UNM$4),Table1[],(MATCH(Calendar!$A18,DB!$1:$1,0)),FALSE)),"")</f>
        <v/>
      </c>
      <c r="UNN18" s="28" t="str">
        <f>IFERROR(IF(UNW3="No",IF(VLOOKUP(DATE($K$1,$K$2,UNN$4),Table1[],(MATCH(Calendar!$A18,DB!$1:$1,0)),FALSE)&gt;=5,"Good","Bad"),VLOOKUP(DATE($K$1,$K$2,UNN$4),Table1[],(MATCH(Calendar!$A18,DB!$1:$1,0)),FALSE)),"")</f>
        <v/>
      </c>
      <c r="UNO18" s="28" t="str">
        <f>IFERROR(IF(UNX3="No",IF(VLOOKUP(DATE($K$1,$K$2,UNO$4),Table1[],(MATCH(Calendar!$A18,DB!$1:$1,0)),FALSE)&gt;=5,"Good","Bad"),VLOOKUP(DATE($K$1,$K$2,UNO$4),Table1[],(MATCH(Calendar!$A18,DB!$1:$1,0)),FALSE)),"")</f>
        <v/>
      </c>
      <c r="UNP18" s="28" t="str">
        <f>IFERROR(IF(UNY3="No",IF(VLOOKUP(DATE($K$1,$K$2,UNP$4),Table1[],(MATCH(Calendar!$A18,DB!$1:$1,0)),FALSE)&gt;=5,"Good","Bad"),VLOOKUP(DATE($K$1,$K$2,UNP$4),Table1[],(MATCH(Calendar!$A18,DB!$1:$1,0)),FALSE)),"")</f>
        <v/>
      </c>
      <c r="UNQ18" s="28" t="str">
        <f>IFERROR(IF(UNZ3="No",IF(VLOOKUP(DATE($K$1,$K$2,UNQ$4),Table1[],(MATCH(Calendar!$A18,DB!$1:$1,0)),FALSE)&gt;=5,"Good","Bad"),VLOOKUP(DATE($K$1,$K$2,UNQ$4),Table1[],(MATCH(Calendar!$A18,DB!$1:$1,0)),FALSE)),"")</f>
        <v/>
      </c>
      <c r="UNR18" s="28" t="str">
        <f>IFERROR(IF(UOA3="No",IF(VLOOKUP(DATE($K$1,$K$2,UNR$4),Table1[],(MATCH(Calendar!$A18,DB!$1:$1,0)),FALSE)&gt;=5,"Good","Bad"),VLOOKUP(DATE($K$1,$K$2,UNR$4),Table1[],(MATCH(Calendar!$A18,DB!$1:$1,0)),FALSE)),"")</f>
        <v/>
      </c>
      <c r="UNS18" s="28" t="str">
        <f>IFERROR(IF(UOB3="No",IF(VLOOKUP(DATE($K$1,$K$2,UNS$4),Table1[],(MATCH(Calendar!$A18,DB!$1:$1,0)),FALSE)&gt;=5,"Good","Bad"),VLOOKUP(DATE($K$1,$K$2,UNS$4),Table1[],(MATCH(Calendar!$A18,DB!$1:$1,0)),FALSE)),"")</f>
        <v/>
      </c>
      <c r="UNT18" s="28" t="str">
        <f>IFERROR(IF(UOC3="No",IF(VLOOKUP(DATE($K$1,$K$2,UNT$4),Table1[],(MATCH(Calendar!$A18,DB!$1:$1,0)),FALSE)&gt;=5,"Good","Bad"),VLOOKUP(DATE($K$1,$K$2,UNT$4),Table1[],(MATCH(Calendar!$A18,DB!$1:$1,0)),FALSE)),"")</f>
        <v/>
      </c>
      <c r="UNU18" s="28" t="str">
        <f>IFERROR(IF(UOD3="No",IF(VLOOKUP(DATE($K$1,$K$2,UNU$4),Table1[],(MATCH(Calendar!$A18,DB!$1:$1,0)),FALSE)&gt;=5,"Good","Bad"),VLOOKUP(DATE($K$1,$K$2,UNU$4),Table1[],(MATCH(Calendar!$A18,DB!$1:$1,0)),FALSE)),"")</f>
        <v/>
      </c>
      <c r="UNV18" s="28" t="str">
        <f>IFERROR(IF(UOE3="No",IF(VLOOKUP(DATE($K$1,$K$2,UNV$4),Table1[],(MATCH(Calendar!$A18,DB!$1:$1,0)),FALSE)&gt;=5,"Good","Bad"),VLOOKUP(DATE($K$1,$K$2,UNV$4),Table1[],(MATCH(Calendar!$A18,DB!$1:$1,0)),FALSE)),"")</f>
        <v/>
      </c>
      <c r="UNW18" s="28" t="str">
        <f>IFERROR(IF(UOF3="No",IF(VLOOKUP(DATE($K$1,$K$2,UNW$4),Table1[],(MATCH(Calendar!$A18,DB!$1:$1,0)),FALSE)&gt;=5,"Good","Bad"),VLOOKUP(DATE($K$1,$K$2,UNW$4),Table1[],(MATCH(Calendar!$A18,DB!$1:$1,0)),FALSE)),"")</f>
        <v/>
      </c>
      <c r="UNX18" s="28" t="str">
        <f>IFERROR(IF(UOG3="No",IF(VLOOKUP(DATE($K$1,$K$2,UNX$4),Table1[],(MATCH(Calendar!$A18,DB!$1:$1,0)),FALSE)&gt;=5,"Good","Bad"),VLOOKUP(DATE($K$1,$K$2,UNX$4),Table1[],(MATCH(Calendar!$A18,DB!$1:$1,0)),FALSE)),"")</f>
        <v/>
      </c>
      <c r="UNY18" s="28" t="str">
        <f>IFERROR(IF(UOH3="No",IF(VLOOKUP(DATE($K$1,$K$2,UNY$4),Table1[],(MATCH(Calendar!$A18,DB!$1:$1,0)),FALSE)&gt;=5,"Good","Bad"),VLOOKUP(DATE($K$1,$K$2,UNY$4),Table1[],(MATCH(Calendar!$A18,DB!$1:$1,0)),FALSE)),"")</f>
        <v/>
      </c>
      <c r="UNZ18" s="28" t="str">
        <f>IFERROR(IF(UOI3="No",IF(VLOOKUP(DATE($K$1,$K$2,UNZ$4),Table1[],(MATCH(Calendar!$A18,DB!$1:$1,0)),FALSE)&gt;=5,"Good","Bad"),VLOOKUP(DATE($K$1,$K$2,UNZ$4),Table1[],(MATCH(Calendar!$A18,DB!$1:$1,0)),FALSE)),"")</f>
        <v/>
      </c>
      <c r="UOA18" s="28" t="str">
        <f>IFERROR(IF(UOJ3="No",IF(VLOOKUP(DATE($K$1,$K$2,UOA$4),Table1[],(MATCH(Calendar!$A18,DB!$1:$1,0)),FALSE)&gt;=5,"Good","Bad"),VLOOKUP(DATE($K$1,$K$2,UOA$4),Table1[],(MATCH(Calendar!$A18,DB!$1:$1,0)),FALSE)),"")</f>
        <v/>
      </c>
      <c r="UOB18" s="28" t="str">
        <f>IFERROR(IF(UOK3="No",IF(VLOOKUP(DATE($K$1,$K$2,UOB$4),Table1[],(MATCH(Calendar!$A18,DB!$1:$1,0)),FALSE)&gt;=5,"Good","Bad"),VLOOKUP(DATE($K$1,$K$2,UOB$4),Table1[],(MATCH(Calendar!$A18,DB!$1:$1,0)),FALSE)),"")</f>
        <v/>
      </c>
      <c r="UOC18" s="28" t="str">
        <f>IFERROR(IF(UOL3="No",IF(VLOOKUP(DATE($K$1,$K$2,UOC$4),Table1[],(MATCH(Calendar!$A18,DB!$1:$1,0)),FALSE)&gt;=5,"Good","Bad"),VLOOKUP(DATE($K$1,$K$2,UOC$4),Table1[],(MATCH(Calendar!$A18,DB!$1:$1,0)),FALSE)),"")</f>
        <v/>
      </c>
      <c r="UOD18" s="28" t="str">
        <f>IFERROR(IF(UOM3="No",IF(VLOOKUP(DATE($K$1,$K$2,UOD$4),Table1[],(MATCH(Calendar!$A18,DB!$1:$1,0)),FALSE)&gt;=5,"Good","Bad"),VLOOKUP(DATE($K$1,$K$2,UOD$4),Table1[],(MATCH(Calendar!$A18,DB!$1:$1,0)),FALSE)),"")</f>
        <v/>
      </c>
      <c r="UOE18" s="28" t="str">
        <f>IFERROR(IF(UON3="No",IF(VLOOKUP(DATE($K$1,$K$2,UOE$4),Table1[],(MATCH(Calendar!$A18,DB!$1:$1,0)),FALSE)&gt;=5,"Good","Bad"),VLOOKUP(DATE($K$1,$K$2,UOE$4),Table1[],(MATCH(Calendar!$A18,DB!$1:$1,0)),FALSE)),"")</f>
        <v/>
      </c>
      <c r="UOF18" s="28" t="str">
        <f>IFERROR(IF(UOO3="No",IF(VLOOKUP(DATE($K$1,$K$2,UOF$4),Table1[],(MATCH(Calendar!$A18,DB!$1:$1,0)),FALSE)&gt;=5,"Good","Bad"),VLOOKUP(DATE($K$1,$K$2,UOF$4),Table1[],(MATCH(Calendar!$A18,DB!$1:$1,0)),FALSE)),"")</f>
        <v/>
      </c>
      <c r="UOG18" s="28" t="str">
        <f>IFERROR(IF(UOP3="No",IF(VLOOKUP(DATE($K$1,$K$2,UOG$4),Table1[],(MATCH(Calendar!$A18,DB!$1:$1,0)),FALSE)&gt;=5,"Good","Bad"),VLOOKUP(DATE($K$1,$K$2,UOG$4),Table1[],(MATCH(Calendar!$A18,DB!$1:$1,0)),FALSE)),"")</f>
        <v/>
      </c>
      <c r="UOH18" s="28" t="str">
        <f>IFERROR(IF(UOQ3="No",IF(VLOOKUP(DATE($K$1,$K$2,UOH$4),Table1[],(MATCH(Calendar!$A18,DB!$1:$1,0)),FALSE)&gt;=5,"Good","Bad"),VLOOKUP(DATE($K$1,$K$2,UOH$4),Table1[],(MATCH(Calendar!$A18,DB!$1:$1,0)),FALSE)),"")</f>
        <v/>
      </c>
      <c r="UOI18" s="28" t="str">
        <f>IFERROR(IF(UOR3="No",IF(VLOOKUP(DATE($K$1,$K$2,UOI$4),Table1[],(MATCH(Calendar!$A18,DB!$1:$1,0)),FALSE)&gt;=5,"Good","Bad"),VLOOKUP(DATE($K$1,$K$2,UOI$4),Table1[],(MATCH(Calendar!$A18,DB!$1:$1,0)),FALSE)),"")</f>
        <v/>
      </c>
      <c r="UOJ18" s="28" t="str">
        <f>IFERROR(IF(UOS3="No",IF(VLOOKUP(DATE($K$1,$K$2,UOJ$4),Table1[],(MATCH(Calendar!$A18,DB!$1:$1,0)),FALSE)&gt;=5,"Good","Bad"),VLOOKUP(DATE($K$1,$K$2,UOJ$4),Table1[],(MATCH(Calendar!$A18,DB!$1:$1,0)),FALSE)),"")</f>
        <v/>
      </c>
      <c r="UOK18" s="28" t="str">
        <f>IFERROR(IF(UOT3="No",IF(VLOOKUP(DATE($K$1,$K$2,UOK$4),Table1[],(MATCH(Calendar!$A18,DB!$1:$1,0)),FALSE)&gt;=5,"Good","Bad"),VLOOKUP(DATE($K$1,$K$2,UOK$4),Table1[],(MATCH(Calendar!$A18,DB!$1:$1,0)),FALSE)),"")</f>
        <v/>
      </c>
      <c r="UOL18" s="28" t="str">
        <f>IFERROR(IF(UOU3="No",IF(VLOOKUP(DATE($K$1,$K$2,UOL$4),Table1[],(MATCH(Calendar!$A18,DB!$1:$1,0)),FALSE)&gt;=5,"Good","Bad"),VLOOKUP(DATE($K$1,$K$2,UOL$4),Table1[],(MATCH(Calendar!$A18,DB!$1:$1,0)),FALSE)),"")</f>
        <v/>
      </c>
      <c r="UOM18" s="28" t="str">
        <f>IFERROR(IF(UOV3="No",IF(VLOOKUP(DATE($K$1,$K$2,UOM$4),Table1[],(MATCH(Calendar!$A18,DB!$1:$1,0)),FALSE)&gt;=5,"Good","Bad"),VLOOKUP(DATE($K$1,$K$2,UOM$4),Table1[],(MATCH(Calendar!$A18,DB!$1:$1,0)),FALSE)),"")</f>
        <v/>
      </c>
      <c r="UON18" s="28" t="str">
        <f>IFERROR(IF(UOW3="No",IF(VLOOKUP(DATE($K$1,$K$2,UON$4),Table1[],(MATCH(Calendar!$A18,DB!$1:$1,0)),FALSE)&gt;=5,"Good","Bad"),VLOOKUP(DATE($K$1,$K$2,UON$4),Table1[],(MATCH(Calendar!$A18,DB!$1:$1,0)),FALSE)),"")</f>
        <v/>
      </c>
      <c r="UOO18" s="28" t="str">
        <f>IFERROR(IF(UOX3="No",IF(VLOOKUP(DATE($K$1,$K$2,UOO$4),Table1[],(MATCH(Calendar!$A18,DB!$1:$1,0)),FALSE)&gt;=5,"Good","Bad"),VLOOKUP(DATE($K$1,$K$2,UOO$4),Table1[],(MATCH(Calendar!$A18,DB!$1:$1,0)),FALSE)),"")</f>
        <v/>
      </c>
      <c r="UOP18" s="28" t="str">
        <f>IFERROR(IF(UOY3="No",IF(VLOOKUP(DATE($K$1,$K$2,UOP$4),Table1[],(MATCH(Calendar!$A18,DB!$1:$1,0)),FALSE)&gt;=5,"Good","Bad"),VLOOKUP(DATE($K$1,$K$2,UOP$4),Table1[],(MATCH(Calendar!$A18,DB!$1:$1,0)),FALSE)),"")</f>
        <v/>
      </c>
      <c r="UOQ18" s="28" t="str">
        <f>IFERROR(IF(UOZ3="No",IF(VLOOKUP(DATE($K$1,$K$2,UOQ$4),Table1[],(MATCH(Calendar!$A18,DB!$1:$1,0)),FALSE)&gt;=5,"Good","Bad"),VLOOKUP(DATE($K$1,$K$2,UOQ$4),Table1[],(MATCH(Calendar!$A18,DB!$1:$1,0)),FALSE)),"")</f>
        <v/>
      </c>
      <c r="UOR18" s="28" t="str">
        <f>IFERROR(IF(UPA3="No",IF(VLOOKUP(DATE($K$1,$K$2,UOR$4),Table1[],(MATCH(Calendar!$A18,DB!$1:$1,0)),FALSE)&gt;=5,"Good","Bad"),VLOOKUP(DATE($K$1,$K$2,UOR$4),Table1[],(MATCH(Calendar!$A18,DB!$1:$1,0)),FALSE)),"")</f>
        <v/>
      </c>
      <c r="UOS18" s="28" t="str">
        <f>IFERROR(IF(UPB3="No",IF(VLOOKUP(DATE($K$1,$K$2,UOS$4),Table1[],(MATCH(Calendar!$A18,DB!$1:$1,0)),FALSE)&gt;=5,"Good","Bad"),VLOOKUP(DATE($K$1,$K$2,UOS$4),Table1[],(MATCH(Calendar!$A18,DB!$1:$1,0)),FALSE)),"")</f>
        <v/>
      </c>
      <c r="UOT18" s="28" t="str">
        <f>IFERROR(IF(UPC3="No",IF(VLOOKUP(DATE($K$1,$K$2,UOT$4),Table1[],(MATCH(Calendar!$A18,DB!$1:$1,0)),FALSE)&gt;=5,"Good","Bad"),VLOOKUP(DATE($K$1,$K$2,UOT$4),Table1[],(MATCH(Calendar!$A18,DB!$1:$1,0)),FALSE)),"")</f>
        <v/>
      </c>
      <c r="UOU18" s="28" t="str">
        <f>IFERROR(IF(UPD3="No",IF(VLOOKUP(DATE($K$1,$K$2,UOU$4),Table1[],(MATCH(Calendar!$A18,DB!$1:$1,0)),FALSE)&gt;=5,"Good","Bad"),VLOOKUP(DATE($K$1,$K$2,UOU$4),Table1[],(MATCH(Calendar!$A18,DB!$1:$1,0)),FALSE)),"")</f>
        <v/>
      </c>
      <c r="UOV18" s="28" t="str">
        <f>IFERROR(IF(UPE3="No",IF(VLOOKUP(DATE($K$1,$K$2,UOV$4),Table1[],(MATCH(Calendar!$A18,DB!$1:$1,0)),FALSE)&gt;=5,"Good","Bad"),VLOOKUP(DATE($K$1,$K$2,UOV$4),Table1[],(MATCH(Calendar!$A18,DB!$1:$1,0)),FALSE)),"")</f>
        <v/>
      </c>
      <c r="UOW18" s="28" t="str">
        <f>IFERROR(IF(UPF3="No",IF(VLOOKUP(DATE($K$1,$K$2,UOW$4),Table1[],(MATCH(Calendar!$A18,DB!$1:$1,0)),FALSE)&gt;=5,"Good","Bad"),VLOOKUP(DATE($K$1,$K$2,UOW$4),Table1[],(MATCH(Calendar!$A18,DB!$1:$1,0)),FALSE)),"")</f>
        <v/>
      </c>
      <c r="UOX18" s="28" t="str">
        <f>IFERROR(IF(UPG3="No",IF(VLOOKUP(DATE($K$1,$K$2,UOX$4),Table1[],(MATCH(Calendar!$A18,DB!$1:$1,0)),FALSE)&gt;=5,"Good","Bad"),VLOOKUP(DATE($K$1,$K$2,UOX$4),Table1[],(MATCH(Calendar!$A18,DB!$1:$1,0)),FALSE)),"")</f>
        <v/>
      </c>
      <c r="UOY18" s="28" t="str">
        <f>IFERROR(IF(UPH3="No",IF(VLOOKUP(DATE($K$1,$K$2,UOY$4),Table1[],(MATCH(Calendar!$A18,DB!$1:$1,0)),FALSE)&gt;=5,"Good","Bad"),VLOOKUP(DATE($K$1,$K$2,UOY$4),Table1[],(MATCH(Calendar!$A18,DB!$1:$1,0)),FALSE)),"")</f>
        <v/>
      </c>
      <c r="UOZ18" s="28" t="str">
        <f>IFERROR(IF(UPI3="No",IF(VLOOKUP(DATE($K$1,$K$2,UOZ$4),Table1[],(MATCH(Calendar!$A18,DB!$1:$1,0)),FALSE)&gt;=5,"Good","Bad"),VLOOKUP(DATE($K$1,$K$2,UOZ$4),Table1[],(MATCH(Calendar!$A18,DB!$1:$1,0)),FALSE)),"")</f>
        <v/>
      </c>
      <c r="UPA18" s="28" t="str">
        <f>IFERROR(IF(UPJ3="No",IF(VLOOKUP(DATE($K$1,$K$2,UPA$4),Table1[],(MATCH(Calendar!$A18,DB!$1:$1,0)),FALSE)&gt;=5,"Good","Bad"),VLOOKUP(DATE($K$1,$K$2,UPA$4),Table1[],(MATCH(Calendar!$A18,DB!$1:$1,0)),FALSE)),"")</f>
        <v/>
      </c>
      <c r="UPB18" s="28" t="str">
        <f>IFERROR(IF(UPK3="No",IF(VLOOKUP(DATE($K$1,$K$2,UPB$4),Table1[],(MATCH(Calendar!$A18,DB!$1:$1,0)),FALSE)&gt;=5,"Good","Bad"),VLOOKUP(DATE($K$1,$K$2,UPB$4),Table1[],(MATCH(Calendar!$A18,DB!$1:$1,0)),FALSE)),"")</f>
        <v/>
      </c>
      <c r="UPC18" s="28" t="str">
        <f>IFERROR(IF(UPL3="No",IF(VLOOKUP(DATE($K$1,$K$2,UPC$4),Table1[],(MATCH(Calendar!$A18,DB!$1:$1,0)),FALSE)&gt;=5,"Good","Bad"),VLOOKUP(DATE($K$1,$K$2,UPC$4),Table1[],(MATCH(Calendar!$A18,DB!$1:$1,0)),FALSE)),"")</f>
        <v/>
      </c>
      <c r="UPD18" s="28" t="str">
        <f>IFERROR(IF(UPM3="No",IF(VLOOKUP(DATE($K$1,$K$2,UPD$4),Table1[],(MATCH(Calendar!$A18,DB!$1:$1,0)),FALSE)&gt;=5,"Good","Bad"),VLOOKUP(DATE($K$1,$K$2,UPD$4),Table1[],(MATCH(Calendar!$A18,DB!$1:$1,0)),FALSE)),"")</f>
        <v/>
      </c>
      <c r="UPE18" s="28" t="str">
        <f>IFERROR(IF(UPN3="No",IF(VLOOKUP(DATE($K$1,$K$2,UPE$4),Table1[],(MATCH(Calendar!$A18,DB!$1:$1,0)),FALSE)&gt;=5,"Good","Bad"),VLOOKUP(DATE($K$1,$K$2,UPE$4),Table1[],(MATCH(Calendar!$A18,DB!$1:$1,0)),FALSE)),"")</f>
        <v/>
      </c>
      <c r="UPF18" s="28" t="str">
        <f>IFERROR(IF(UPO3="No",IF(VLOOKUP(DATE($K$1,$K$2,UPF$4),Table1[],(MATCH(Calendar!$A18,DB!$1:$1,0)),FALSE)&gt;=5,"Good","Bad"),VLOOKUP(DATE($K$1,$K$2,UPF$4),Table1[],(MATCH(Calendar!$A18,DB!$1:$1,0)),FALSE)),"")</f>
        <v/>
      </c>
      <c r="UPG18" s="28" t="str">
        <f>IFERROR(IF(UPP3="No",IF(VLOOKUP(DATE($K$1,$K$2,UPG$4),Table1[],(MATCH(Calendar!$A18,DB!$1:$1,0)),FALSE)&gt;=5,"Good","Bad"),VLOOKUP(DATE($K$1,$K$2,UPG$4),Table1[],(MATCH(Calendar!$A18,DB!$1:$1,0)),FALSE)),"")</f>
        <v/>
      </c>
      <c r="UPH18" s="28" t="str">
        <f>IFERROR(IF(UPQ3="No",IF(VLOOKUP(DATE($K$1,$K$2,UPH$4),Table1[],(MATCH(Calendar!$A18,DB!$1:$1,0)),FALSE)&gt;=5,"Good","Bad"),VLOOKUP(DATE($K$1,$K$2,UPH$4),Table1[],(MATCH(Calendar!$A18,DB!$1:$1,0)),FALSE)),"")</f>
        <v/>
      </c>
      <c r="UPI18" s="28" t="str">
        <f>IFERROR(IF(UPR3="No",IF(VLOOKUP(DATE($K$1,$K$2,UPI$4),Table1[],(MATCH(Calendar!$A18,DB!$1:$1,0)),FALSE)&gt;=5,"Good","Bad"),VLOOKUP(DATE($K$1,$K$2,UPI$4),Table1[],(MATCH(Calendar!$A18,DB!$1:$1,0)),FALSE)),"")</f>
        <v/>
      </c>
      <c r="UPJ18" s="28" t="str">
        <f>IFERROR(IF(UPS3="No",IF(VLOOKUP(DATE($K$1,$K$2,UPJ$4),Table1[],(MATCH(Calendar!$A18,DB!$1:$1,0)),FALSE)&gt;=5,"Good","Bad"),VLOOKUP(DATE($K$1,$K$2,UPJ$4),Table1[],(MATCH(Calendar!$A18,DB!$1:$1,0)),FALSE)),"")</f>
        <v/>
      </c>
      <c r="UPK18" s="28" t="str">
        <f>IFERROR(IF(UPT3="No",IF(VLOOKUP(DATE($K$1,$K$2,UPK$4),Table1[],(MATCH(Calendar!$A18,DB!$1:$1,0)),FALSE)&gt;=5,"Good","Bad"),VLOOKUP(DATE($K$1,$K$2,UPK$4),Table1[],(MATCH(Calendar!$A18,DB!$1:$1,0)),FALSE)),"")</f>
        <v/>
      </c>
      <c r="UPL18" s="28" t="str">
        <f>IFERROR(IF(UPU3="No",IF(VLOOKUP(DATE($K$1,$K$2,UPL$4),Table1[],(MATCH(Calendar!$A18,DB!$1:$1,0)),FALSE)&gt;=5,"Good","Bad"),VLOOKUP(DATE($K$1,$K$2,UPL$4),Table1[],(MATCH(Calendar!$A18,DB!$1:$1,0)),FALSE)),"")</f>
        <v/>
      </c>
      <c r="UPM18" s="28" t="str">
        <f>IFERROR(IF(UPV3="No",IF(VLOOKUP(DATE($K$1,$K$2,UPM$4),Table1[],(MATCH(Calendar!$A18,DB!$1:$1,0)),FALSE)&gt;=5,"Good","Bad"),VLOOKUP(DATE($K$1,$K$2,UPM$4),Table1[],(MATCH(Calendar!$A18,DB!$1:$1,0)),FALSE)),"")</f>
        <v/>
      </c>
      <c r="UPN18" s="28" t="str">
        <f>IFERROR(IF(UPW3="No",IF(VLOOKUP(DATE($K$1,$K$2,UPN$4),Table1[],(MATCH(Calendar!$A18,DB!$1:$1,0)),FALSE)&gt;=5,"Good","Bad"),VLOOKUP(DATE($K$1,$K$2,UPN$4),Table1[],(MATCH(Calendar!$A18,DB!$1:$1,0)),FALSE)),"")</f>
        <v/>
      </c>
      <c r="UPO18" s="28" t="str">
        <f>IFERROR(IF(UPX3="No",IF(VLOOKUP(DATE($K$1,$K$2,UPO$4),Table1[],(MATCH(Calendar!$A18,DB!$1:$1,0)),FALSE)&gt;=5,"Good","Bad"),VLOOKUP(DATE($K$1,$K$2,UPO$4),Table1[],(MATCH(Calendar!$A18,DB!$1:$1,0)),FALSE)),"")</f>
        <v/>
      </c>
      <c r="UPP18" s="28" t="str">
        <f>IFERROR(IF(UPY3="No",IF(VLOOKUP(DATE($K$1,$K$2,UPP$4),Table1[],(MATCH(Calendar!$A18,DB!$1:$1,0)),FALSE)&gt;=5,"Good","Bad"),VLOOKUP(DATE($K$1,$K$2,UPP$4),Table1[],(MATCH(Calendar!$A18,DB!$1:$1,0)),FALSE)),"")</f>
        <v/>
      </c>
      <c r="UPQ18" s="28" t="str">
        <f>IFERROR(IF(UPZ3="No",IF(VLOOKUP(DATE($K$1,$K$2,UPQ$4),Table1[],(MATCH(Calendar!$A18,DB!$1:$1,0)),FALSE)&gt;=5,"Good","Bad"),VLOOKUP(DATE($K$1,$K$2,UPQ$4),Table1[],(MATCH(Calendar!$A18,DB!$1:$1,0)),FALSE)),"")</f>
        <v/>
      </c>
      <c r="UPR18" s="28" t="str">
        <f>IFERROR(IF(UQA3="No",IF(VLOOKUP(DATE($K$1,$K$2,UPR$4),Table1[],(MATCH(Calendar!$A18,DB!$1:$1,0)),FALSE)&gt;=5,"Good","Bad"),VLOOKUP(DATE($K$1,$K$2,UPR$4),Table1[],(MATCH(Calendar!$A18,DB!$1:$1,0)),FALSE)),"")</f>
        <v/>
      </c>
      <c r="UPS18" s="28" t="str">
        <f>IFERROR(IF(UQB3="No",IF(VLOOKUP(DATE($K$1,$K$2,UPS$4),Table1[],(MATCH(Calendar!$A18,DB!$1:$1,0)),FALSE)&gt;=5,"Good","Bad"),VLOOKUP(DATE($K$1,$K$2,UPS$4),Table1[],(MATCH(Calendar!$A18,DB!$1:$1,0)),FALSE)),"")</f>
        <v/>
      </c>
      <c r="UPT18" s="28" t="str">
        <f>IFERROR(IF(UQC3="No",IF(VLOOKUP(DATE($K$1,$K$2,UPT$4),Table1[],(MATCH(Calendar!$A18,DB!$1:$1,0)),FALSE)&gt;=5,"Good","Bad"),VLOOKUP(DATE($K$1,$K$2,UPT$4),Table1[],(MATCH(Calendar!$A18,DB!$1:$1,0)),FALSE)),"")</f>
        <v/>
      </c>
      <c r="UPU18" s="28" t="str">
        <f>IFERROR(IF(UQD3="No",IF(VLOOKUP(DATE($K$1,$K$2,UPU$4),Table1[],(MATCH(Calendar!$A18,DB!$1:$1,0)),FALSE)&gt;=5,"Good","Bad"),VLOOKUP(DATE($K$1,$K$2,UPU$4),Table1[],(MATCH(Calendar!$A18,DB!$1:$1,0)),FALSE)),"")</f>
        <v/>
      </c>
      <c r="UPV18" s="28" t="str">
        <f>IFERROR(IF(UQE3="No",IF(VLOOKUP(DATE($K$1,$K$2,UPV$4),Table1[],(MATCH(Calendar!$A18,DB!$1:$1,0)),FALSE)&gt;=5,"Good","Bad"),VLOOKUP(DATE($K$1,$K$2,UPV$4),Table1[],(MATCH(Calendar!$A18,DB!$1:$1,0)),FALSE)),"")</f>
        <v/>
      </c>
      <c r="UPW18" s="28" t="str">
        <f>IFERROR(IF(UQF3="No",IF(VLOOKUP(DATE($K$1,$K$2,UPW$4),Table1[],(MATCH(Calendar!$A18,DB!$1:$1,0)),FALSE)&gt;=5,"Good","Bad"),VLOOKUP(DATE($K$1,$K$2,UPW$4),Table1[],(MATCH(Calendar!$A18,DB!$1:$1,0)),FALSE)),"")</f>
        <v/>
      </c>
      <c r="UPX18" s="28" t="str">
        <f>IFERROR(IF(UQG3="No",IF(VLOOKUP(DATE($K$1,$K$2,UPX$4),Table1[],(MATCH(Calendar!$A18,DB!$1:$1,0)),FALSE)&gt;=5,"Good","Bad"),VLOOKUP(DATE($K$1,$K$2,UPX$4),Table1[],(MATCH(Calendar!$A18,DB!$1:$1,0)),FALSE)),"")</f>
        <v/>
      </c>
      <c r="UPY18" s="28" t="str">
        <f>IFERROR(IF(UQH3="No",IF(VLOOKUP(DATE($K$1,$K$2,UPY$4),Table1[],(MATCH(Calendar!$A18,DB!$1:$1,0)),FALSE)&gt;=5,"Good","Bad"),VLOOKUP(DATE($K$1,$K$2,UPY$4),Table1[],(MATCH(Calendar!$A18,DB!$1:$1,0)),FALSE)),"")</f>
        <v/>
      </c>
      <c r="UPZ18" s="28" t="str">
        <f>IFERROR(IF(UQI3="No",IF(VLOOKUP(DATE($K$1,$K$2,UPZ$4),Table1[],(MATCH(Calendar!$A18,DB!$1:$1,0)),FALSE)&gt;=5,"Good","Bad"),VLOOKUP(DATE($K$1,$K$2,UPZ$4),Table1[],(MATCH(Calendar!$A18,DB!$1:$1,0)),FALSE)),"")</f>
        <v/>
      </c>
      <c r="UQA18" s="28" t="str">
        <f>IFERROR(IF(UQJ3="No",IF(VLOOKUP(DATE($K$1,$K$2,UQA$4),Table1[],(MATCH(Calendar!$A18,DB!$1:$1,0)),FALSE)&gt;=5,"Good","Bad"),VLOOKUP(DATE($K$1,$K$2,UQA$4),Table1[],(MATCH(Calendar!$A18,DB!$1:$1,0)),FALSE)),"")</f>
        <v/>
      </c>
      <c r="UQB18" s="28" t="str">
        <f>IFERROR(IF(UQK3="No",IF(VLOOKUP(DATE($K$1,$K$2,UQB$4),Table1[],(MATCH(Calendar!$A18,DB!$1:$1,0)),FALSE)&gt;=5,"Good","Bad"),VLOOKUP(DATE($K$1,$K$2,UQB$4),Table1[],(MATCH(Calendar!$A18,DB!$1:$1,0)),FALSE)),"")</f>
        <v/>
      </c>
      <c r="UQC18" s="28" t="str">
        <f>IFERROR(IF(UQL3="No",IF(VLOOKUP(DATE($K$1,$K$2,UQC$4),Table1[],(MATCH(Calendar!$A18,DB!$1:$1,0)),FALSE)&gt;=5,"Good","Bad"),VLOOKUP(DATE($K$1,$K$2,UQC$4),Table1[],(MATCH(Calendar!$A18,DB!$1:$1,0)),FALSE)),"")</f>
        <v/>
      </c>
      <c r="UQD18" s="28" t="str">
        <f>IFERROR(IF(UQM3="No",IF(VLOOKUP(DATE($K$1,$K$2,UQD$4),Table1[],(MATCH(Calendar!$A18,DB!$1:$1,0)),FALSE)&gt;=5,"Good","Bad"),VLOOKUP(DATE($K$1,$K$2,UQD$4),Table1[],(MATCH(Calendar!$A18,DB!$1:$1,0)),FALSE)),"")</f>
        <v/>
      </c>
      <c r="UQE18" s="28" t="str">
        <f>IFERROR(IF(UQN3="No",IF(VLOOKUP(DATE($K$1,$K$2,UQE$4),Table1[],(MATCH(Calendar!$A18,DB!$1:$1,0)),FALSE)&gt;=5,"Good","Bad"),VLOOKUP(DATE($K$1,$K$2,UQE$4),Table1[],(MATCH(Calendar!$A18,DB!$1:$1,0)),FALSE)),"")</f>
        <v/>
      </c>
      <c r="UQF18" s="28" t="str">
        <f>IFERROR(IF(UQO3="No",IF(VLOOKUP(DATE($K$1,$K$2,UQF$4),Table1[],(MATCH(Calendar!$A18,DB!$1:$1,0)),FALSE)&gt;=5,"Good","Bad"),VLOOKUP(DATE($K$1,$K$2,UQF$4),Table1[],(MATCH(Calendar!$A18,DB!$1:$1,0)),FALSE)),"")</f>
        <v/>
      </c>
      <c r="UQG18" s="28" t="str">
        <f>IFERROR(IF(UQP3="No",IF(VLOOKUP(DATE($K$1,$K$2,UQG$4),Table1[],(MATCH(Calendar!$A18,DB!$1:$1,0)),FALSE)&gt;=5,"Good","Bad"),VLOOKUP(DATE($K$1,$K$2,UQG$4),Table1[],(MATCH(Calendar!$A18,DB!$1:$1,0)),FALSE)),"")</f>
        <v/>
      </c>
      <c r="UQH18" s="28" t="str">
        <f>IFERROR(IF(UQQ3="No",IF(VLOOKUP(DATE($K$1,$K$2,UQH$4),Table1[],(MATCH(Calendar!$A18,DB!$1:$1,0)),FALSE)&gt;=5,"Good","Bad"),VLOOKUP(DATE($K$1,$K$2,UQH$4),Table1[],(MATCH(Calendar!$A18,DB!$1:$1,0)),FALSE)),"")</f>
        <v/>
      </c>
      <c r="UQI18" s="28" t="str">
        <f>IFERROR(IF(UQR3="No",IF(VLOOKUP(DATE($K$1,$K$2,UQI$4),Table1[],(MATCH(Calendar!$A18,DB!$1:$1,0)),FALSE)&gt;=5,"Good","Bad"),VLOOKUP(DATE($K$1,$K$2,UQI$4),Table1[],(MATCH(Calendar!$A18,DB!$1:$1,0)),FALSE)),"")</f>
        <v/>
      </c>
      <c r="UQJ18" s="28" t="str">
        <f>IFERROR(IF(UQS3="No",IF(VLOOKUP(DATE($K$1,$K$2,UQJ$4),Table1[],(MATCH(Calendar!$A18,DB!$1:$1,0)),FALSE)&gt;=5,"Good","Bad"),VLOOKUP(DATE($K$1,$K$2,UQJ$4),Table1[],(MATCH(Calendar!$A18,DB!$1:$1,0)),FALSE)),"")</f>
        <v/>
      </c>
      <c r="UQK18" s="28" t="str">
        <f>IFERROR(IF(UQT3="No",IF(VLOOKUP(DATE($K$1,$K$2,UQK$4),Table1[],(MATCH(Calendar!$A18,DB!$1:$1,0)),FALSE)&gt;=5,"Good","Bad"),VLOOKUP(DATE($K$1,$K$2,UQK$4),Table1[],(MATCH(Calendar!$A18,DB!$1:$1,0)),FALSE)),"")</f>
        <v/>
      </c>
      <c r="UQL18" s="28" t="str">
        <f>IFERROR(IF(UQU3="No",IF(VLOOKUP(DATE($K$1,$K$2,UQL$4),Table1[],(MATCH(Calendar!$A18,DB!$1:$1,0)),FALSE)&gt;=5,"Good","Bad"),VLOOKUP(DATE($K$1,$K$2,UQL$4),Table1[],(MATCH(Calendar!$A18,DB!$1:$1,0)),FALSE)),"")</f>
        <v/>
      </c>
      <c r="UQM18" s="28" t="str">
        <f>IFERROR(IF(UQV3="No",IF(VLOOKUP(DATE($K$1,$K$2,UQM$4),Table1[],(MATCH(Calendar!$A18,DB!$1:$1,0)),FALSE)&gt;=5,"Good","Bad"),VLOOKUP(DATE($K$1,$K$2,UQM$4),Table1[],(MATCH(Calendar!$A18,DB!$1:$1,0)),FALSE)),"")</f>
        <v/>
      </c>
      <c r="UQN18" s="28" t="str">
        <f>IFERROR(IF(UQW3="No",IF(VLOOKUP(DATE($K$1,$K$2,UQN$4),Table1[],(MATCH(Calendar!$A18,DB!$1:$1,0)),FALSE)&gt;=5,"Good","Bad"),VLOOKUP(DATE($K$1,$K$2,UQN$4),Table1[],(MATCH(Calendar!$A18,DB!$1:$1,0)),FALSE)),"")</f>
        <v/>
      </c>
      <c r="UQO18" s="28" t="str">
        <f>IFERROR(IF(UQX3="No",IF(VLOOKUP(DATE($K$1,$K$2,UQO$4),Table1[],(MATCH(Calendar!$A18,DB!$1:$1,0)),FALSE)&gt;=5,"Good","Bad"),VLOOKUP(DATE($K$1,$K$2,UQO$4),Table1[],(MATCH(Calendar!$A18,DB!$1:$1,0)),FALSE)),"")</f>
        <v/>
      </c>
      <c r="UQP18" s="28" t="str">
        <f>IFERROR(IF(UQY3="No",IF(VLOOKUP(DATE($K$1,$K$2,UQP$4),Table1[],(MATCH(Calendar!$A18,DB!$1:$1,0)),FALSE)&gt;=5,"Good","Bad"),VLOOKUP(DATE($K$1,$K$2,UQP$4),Table1[],(MATCH(Calendar!$A18,DB!$1:$1,0)),FALSE)),"")</f>
        <v/>
      </c>
      <c r="UQQ18" s="28" t="str">
        <f>IFERROR(IF(UQZ3="No",IF(VLOOKUP(DATE($K$1,$K$2,UQQ$4),Table1[],(MATCH(Calendar!$A18,DB!$1:$1,0)),FALSE)&gt;=5,"Good","Bad"),VLOOKUP(DATE($K$1,$K$2,UQQ$4),Table1[],(MATCH(Calendar!$A18,DB!$1:$1,0)),FALSE)),"")</f>
        <v/>
      </c>
      <c r="UQR18" s="28" t="str">
        <f>IFERROR(IF(URA3="No",IF(VLOOKUP(DATE($K$1,$K$2,UQR$4),Table1[],(MATCH(Calendar!$A18,DB!$1:$1,0)),FALSE)&gt;=5,"Good","Bad"),VLOOKUP(DATE($K$1,$K$2,UQR$4),Table1[],(MATCH(Calendar!$A18,DB!$1:$1,0)),FALSE)),"")</f>
        <v/>
      </c>
      <c r="UQS18" s="28" t="str">
        <f>IFERROR(IF(URB3="No",IF(VLOOKUP(DATE($K$1,$K$2,UQS$4),Table1[],(MATCH(Calendar!$A18,DB!$1:$1,0)),FALSE)&gt;=5,"Good","Bad"),VLOOKUP(DATE($K$1,$K$2,UQS$4),Table1[],(MATCH(Calendar!$A18,DB!$1:$1,0)),FALSE)),"")</f>
        <v/>
      </c>
      <c r="UQT18" s="28" t="str">
        <f>IFERROR(IF(URC3="No",IF(VLOOKUP(DATE($K$1,$K$2,UQT$4),Table1[],(MATCH(Calendar!$A18,DB!$1:$1,0)),FALSE)&gt;=5,"Good","Bad"),VLOOKUP(DATE($K$1,$K$2,UQT$4),Table1[],(MATCH(Calendar!$A18,DB!$1:$1,0)),FALSE)),"")</f>
        <v/>
      </c>
      <c r="UQU18" s="28" t="str">
        <f>IFERROR(IF(URD3="No",IF(VLOOKUP(DATE($K$1,$K$2,UQU$4),Table1[],(MATCH(Calendar!$A18,DB!$1:$1,0)),FALSE)&gt;=5,"Good","Bad"),VLOOKUP(DATE($K$1,$K$2,UQU$4),Table1[],(MATCH(Calendar!$A18,DB!$1:$1,0)),FALSE)),"")</f>
        <v/>
      </c>
      <c r="UQV18" s="28" t="str">
        <f>IFERROR(IF(URE3="No",IF(VLOOKUP(DATE($K$1,$K$2,UQV$4),Table1[],(MATCH(Calendar!$A18,DB!$1:$1,0)),FALSE)&gt;=5,"Good","Bad"),VLOOKUP(DATE($K$1,$K$2,UQV$4),Table1[],(MATCH(Calendar!$A18,DB!$1:$1,0)),FALSE)),"")</f>
        <v/>
      </c>
      <c r="UQW18" s="28" t="str">
        <f>IFERROR(IF(URF3="No",IF(VLOOKUP(DATE($K$1,$K$2,UQW$4),Table1[],(MATCH(Calendar!$A18,DB!$1:$1,0)),FALSE)&gt;=5,"Good","Bad"),VLOOKUP(DATE($K$1,$K$2,UQW$4),Table1[],(MATCH(Calendar!$A18,DB!$1:$1,0)),FALSE)),"")</f>
        <v/>
      </c>
      <c r="UQX18" s="28" t="str">
        <f>IFERROR(IF(URG3="No",IF(VLOOKUP(DATE($K$1,$K$2,UQX$4),Table1[],(MATCH(Calendar!$A18,DB!$1:$1,0)),FALSE)&gt;=5,"Good","Bad"),VLOOKUP(DATE($K$1,$K$2,UQX$4),Table1[],(MATCH(Calendar!$A18,DB!$1:$1,0)),FALSE)),"")</f>
        <v/>
      </c>
      <c r="UQY18" s="28" t="str">
        <f>IFERROR(IF(URH3="No",IF(VLOOKUP(DATE($K$1,$K$2,UQY$4),Table1[],(MATCH(Calendar!$A18,DB!$1:$1,0)),FALSE)&gt;=5,"Good","Bad"),VLOOKUP(DATE($K$1,$K$2,UQY$4),Table1[],(MATCH(Calendar!$A18,DB!$1:$1,0)),FALSE)),"")</f>
        <v/>
      </c>
      <c r="UQZ18" s="28" t="str">
        <f>IFERROR(IF(URI3="No",IF(VLOOKUP(DATE($K$1,$K$2,UQZ$4),Table1[],(MATCH(Calendar!$A18,DB!$1:$1,0)),FALSE)&gt;=5,"Good","Bad"),VLOOKUP(DATE($K$1,$K$2,UQZ$4),Table1[],(MATCH(Calendar!$A18,DB!$1:$1,0)),FALSE)),"")</f>
        <v/>
      </c>
      <c r="URA18" s="28" t="str">
        <f>IFERROR(IF(URJ3="No",IF(VLOOKUP(DATE($K$1,$K$2,URA$4),Table1[],(MATCH(Calendar!$A18,DB!$1:$1,0)),FALSE)&gt;=5,"Good","Bad"),VLOOKUP(DATE($K$1,$K$2,URA$4),Table1[],(MATCH(Calendar!$A18,DB!$1:$1,0)),FALSE)),"")</f>
        <v/>
      </c>
      <c r="URB18" s="28" t="str">
        <f>IFERROR(IF(URK3="No",IF(VLOOKUP(DATE($K$1,$K$2,URB$4),Table1[],(MATCH(Calendar!$A18,DB!$1:$1,0)),FALSE)&gt;=5,"Good","Bad"),VLOOKUP(DATE($K$1,$K$2,URB$4),Table1[],(MATCH(Calendar!$A18,DB!$1:$1,0)),FALSE)),"")</f>
        <v/>
      </c>
      <c r="URC18" s="28" t="str">
        <f>IFERROR(IF(URL3="No",IF(VLOOKUP(DATE($K$1,$K$2,URC$4),Table1[],(MATCH(Calendar!$A18,DB!$1:$1,0)),FALSE)&gt;=5,"Good","Bad"),VLOOKUP(DATE($K$1,$K$2,URC$4),Table1[],(MATCH(Calendar!$A18,DB!$1:$1,0)),FALSE)),"")</f>
        <v/>
      </c>
      <c r="URD18" s="28" t="str">
        <f>IFERROR(IF(URM3="No",IF(VLOOKUP(DATE($K$1,$K$2,URD$4),Table1[],(MATCH(Calendar!$A18,DB!$1:$1,0)),FALSE)&gt;=5,"Good","Bad"),VLOOKUP(DATE($K$1,$K$2,URD$4),Table1[],(MATCH(Calendar!$A18,DB!$1:$1,0)),FALSE)),"")</f>
        <v/>
      </c>
      <c r="URE18" s="28" t="str">
        <f>IFERROR(IF(URN3="No",IF(VLOOKUP(DATE($K$1,$K$2,URE$4),Table1[],(MATCH(Calendar!$A18,DB!$1:$1,0)),FALSE)&gt;=5,"Good","Bad"),VLOOKUP(DATE($K$1,$K$2,URE$4),Table1[],(MATCH(Calendar!$A18,DB!$1:$1,0)),FALSE)),"")</f>
        <v/>
      </c>
      <c r="URF18" s="28" t="str">
        <f>IFERROR(IF(URO3="No",IF(VLOOKUP(DATE($K$1,$K$2,URF$4),Table1[],(MATCH(Calendar!$A18,DB!$1:$1,0)),FALSE)&gt;=5,"Good","Bad"),VLOOKUP(DATE($K$1,$K$2,URF$4),Table1[],(MATCH(Calendar!$A18,DB!$1:$1,0)),FALSE)),"")</f>
        <v/>
      </c>
      <c r="URG18" s="28" t="str">
        <f>IFERROR(IF(URP3="No",IF(VLOOKUP(DATE($K$1,$K$2,URG$4),Table1[],(MATCH(Calendar!$A18,DB!$1:$1,0)),FALSE)&gt;=5,"Good","Bad"),VLOOKUP(DATE($K$1,$K$2,URG$4),Table1[],(MATCH(Calendar!$A18,DB!$1:$1,0)),FALSE)),"")</f>
        <v/>
      </c>
      <c r="URH18" s="28" t="str">
        <f>IFERROR(IF(URQ3="No",IF(VLOOKUP(DATE($K$1,$K$2,URH$4),Table1[],(MATCH(Calendar!$A18,DB!$1:$1,0)),FALSE)&gt;=5,"Good","Bad"),VLOOKUP(DATE($K$1,$K$2,URH$4),Table1[],(MATCH(Calendar!$A18,DB!$1:$1,0)),FALSE)),"")</f>
        <v/>
      </c>
      <c r="URI18" s="28" t="str">
        <f>IFERROR(IF(URR3="No",IF(VLOOKUP(DATE($K$1,$K$2,URI$4),Table1[],(MATCH(Calendar!$A18,DB!$1:$1,0)),FALSE)&gt;=5,"Good","Bad"),VLOOKUP(DATE($K$1,$K$2,URI$4),Table1[],(MATCH(Calendar!$A18,DB!$1:$1,0)),FALSE)),"")</f>
        <v/>
      </c>
      <c r="URJ18" s="28" t="str">
        <f>IFERROR(IF(URS3="No",IF(VLOOKUP(DATE($K$1,$K$2,URJ$4),Table1[],(MATCH(Calendar!$A18,DB!$1:$1,0)),FALSE)&gt;=5,"Good","Bad"),VLOOKUP(DATE($K$1,$K$2,URJ$4),Table1[],(MATCH(Calendar!$A18,DB!$1:$1,0)),FALSE)),"")</f>
        <v/>
      </c>
      <c r="URK18" s="28" t="str">
        <f>IFERROR(IF(URT3="No",IF(VLOOKUP(DATE($K$1,$K$2,URK$4),Table1[],(MATCH(Calendar!$A18,DB!$1:$1,0)),FALSE)&gt;=5,"Good","Bad"),VLOOKUP(DATE($K$1,$K$2,URK$4),Table1[],(MATCH(Calendar!$A18,DB!$1:$1,0)),FALSE)),"")</f>
        <v/>
      </c>
      <c r="URL18" s="28" t="str">
        <f>IFERROR(IF(URU3="No",IF(VLOOKUP(DATE($K$1,$K$2,URL$4),Table1[],(MATCH(Calendar!$A18,DB!$1:$1,0)),FALSE)&gt;=5,"Good","Bad"),VLOOKUP(DATE($K$1,$K$2,URL$4),Table1[],(MATCH(Calendar!$A18,DB!$1:$1,0)),FALSE)),"")</f>
        <v/>
      </c>
      <c r="URM18" s="28" t="str">
        <f>IFERROR(IF(URV3="No",IF(VLOOKUP(DATE($K$1,$K$2,URM$4),Table1[],(MATCH(Calendar!$A18,DB!$1:$1,0)),FALSE)&gt;=5,"Good","Bad"),VLOOKUP(DATE($K$1,$K$2,URM$4),Table1[],(MATCH(Calendar!$A18,DB!$1:$1,0)),FALSE)),"")</f>
        <v/>
      </c>
      <c r="URN18" s="28" t="str">
        <f>IFERROR(IF(URW3="No",IF(VLOOKUP(DATE($K$1,$K$2,URN$4),Table1[],(MATCH(Calendar!$A18,DB!$1:$1,0)),FALSE)&gt;=5,"Good","Bad"),VLOOKUP(DATE($K$1,$K$2,URN$4),Table1[],(MATCH(Calendar!$A18,DB!$1:$1,0)),FALSE)),"")</f>
        <v/>
      </c>
      <c r="URO18" s="28" t="str">
        <f>IFERROR(IF(URX3="No",IF(VLOOKUP(DATE($K$1,$K$2,URO$4),Table1[],(MATCH(Calendar!$A18,DB!$1:$1,0)),FALSE)&gt;=5,"Good","Bad"),VLOOKUP(DATE($K$1,$K$2,URO$4),Table1[],(MATCH(Calendar!$A18,DB!$1:$1,0)),FALSE)),"")</f>
        <v/>
      </c>
      <c r="URP18" s="28" t="str">
        <f>IFERROR(IF(URY3="No",IF(VLOOKUP(DATE($K$1,$K$2,URP$4),Table1[],(MATCH(Calendar!$A18,DB!$1:$1,0)),FALSE)&gt;=5,"Good","Bad"),VLOOKUP(DATE($K$1,$K$2,URP$4),Table1[],(MATCH(Calendar!$A18,DB!$1:$1,0)),FALSE)),"")</f>
        <v/>
      </c>
      <c r="URQ18" s="28" t="str">
        <f>IFERROR(IF(URZ3="No",IF(VLOOKUP(DATE($K$1,$K$2,URQ$4),Table1[],(MATCH(Calendar!$A18,DB!$1:$1,0)),FALSE)&gt;=5,"Good","Bad"),VLOOKUP(DATE($K$1,$K$2,URQ$4),Table1[],(MATCH(Calendar!$A18,DB!$1:$1,0)),FALSE)),"")</f>
        <v/>
      </c>
      <c r="URR18" s="28" t="str">
        <f>IFERROR(IF(USA3="No",IF(VLOOKUP(DATE($K$1,$K$2,URR$4),Table1[],(MATCH(Calendar!$A18,DB!$1:$1,0)),FALSE)&gt;=5,"Good","Bad"),VLOOKUP(DATE($K$1,$K$2,URR$4),Table1[],(MATCH(Calendar!$A18,DB!$1:$1,0)),FALSE)),"")</f>
        <v/>
      </c>
      <c r="URS18" s="28" t="str">
        <f>IFERROR(IF(USB3="No",IF(VLOOKUP(DATE($K$1,$K$2,URS$4),Table1[],(MATCH(Calendar!$A18,DB!$1:$1,0)),FALSE)&gt;=5,"Good","Bad"),VLOOKUP(DATE($K$1,$K$2,URS$4),Table1[],(MATCH(Calendar!$A18,DB!$1:$1,0)),FALSE)),"")</f>
        <v/>
      </c>
      <c r="URT18" s="28" t="str">
        <f>IFERROR(IF(USC3="No",IF(VLOOKUP(DATE($K$1,$K$2,URT$4),Table1[],(MATCH(Calendar!$A18,DB!$1:$1,0)),FALSE)&gt;=5,"Good","Bad"),VLOOKUP(DATE($K$1,$K$2,URT$4),Table1[],(MATCH(Calendar!$A18,DB!$1:$1,0)),FALSE)),"")</f>
        <v/>
      </c>
      <c r="URU18" s="28" t="str">
        <f>IFERROR(IF(USD3="No",IF(VLOOKUP(DATE($K$1,$K$2,URU$4),Table1[],(MATCH(Calendar!$A18,DB!$1:$1,0)),FALSE)&gt;=5,"Good","Bad"),VLOOKUP(DATE($K$1,$K$2,URU$4),Table1[],(MATCH(Calendar!$A18,DB!$1:$1,0)),FALSE)),"")</f>
        <v/>
      </c>
      <c r="URV18" s="28" t="str">
        <f>IFERROR(IF(USE3="No",IF(VLOOKUP(DATE($K$1,$K$2,URV$4),Table1[],(MATCH(Calendar!$A18,DB!$1:$1,0)),FALSE)&gt;=5,"Good","Bad"),VLOOKUP(DATE($K$1,$K$2,URV$4),Table1[],(MATCH(Calendar!$A18,DB!$1:$1,0)),FALSE)),"")</f>
        <v/>
      </c>
      <c r="URW18" s="28" t="str">
        <f>IFERROR(IF(USF3="No",IF(VLOOKUP(DATE($K$1,$K$2,URW$4),Table1[],(MATCH(Calendar!$A18,DB!$1:$1,0)),FALSE)&gt;=5,"Good","Bad"),VLOOKUP(DATE($K$1,$K$2,URW$4),Table1[],(MATCH(Calendar!$A18,DB!$1:$1,0)),FALSE)),"")</f>
        <v/>
      </c>
      <c r="URX18" s="28" t="str">
        <f>IFERROR(IF(USG3="No",IF(VLOOKUP(DATE($K$1,$K$2,URX$4),Table1[],(MATCH(Calendar!$A18,DB!$1:$1,0)),FALSE)&gt;=5,"Good","Bad"),VLOOKUP(DATE($K$1,$K$2,URX$4),Table1[],(MATCH(Calendar!$A18,DB!$1:$1,0)),FALSE)),"")</f>
        <v/>
      </c>
      <c r="URY18" s="28" t="str">
        <f>IFERROR(IF(USH3="No",IF(VLOOKUP(DATE($K$1,$K$2,URY$4),Table1[],(MATCH(Calendar!$A18,DB!$1:$1,0)),FALSE)&gt;=5,"Good","Bad"),VLOOKUP(DATE($K$1,$K$2,URY$4),Table1[],(MATCH(Calendar!$A18,DB!$1:$1,0)),FALSE)),"")</f>
        <v/>
      </c>
      <c r="URZ18" s="28" t="str">
        <f>IFERROR(IF(USI3="No",IF(VLOOKUP(DATE($K$1,$K$2,URZ$4),Table1[],(MATCH(Calendar!$A18,DB!$1:$1,0)),FALSE)&gt;=5,"Good","Bad"),VLOOKUP(DATE($K$1,$K$2,URZ$4),Table1[],(MATCH(Calendar!$A18,DB!$1:$1,0)),FALSE)),"")</f>
        <v/>
      </c>
      <c r="USA18" s="28" t="str">
        <f>IFERROR(IF(USJ3="No",IF(VLOOKUP(DATE($K$1,$K$2,USA$4),Table1[],(MATCH(Calendar!$A18,DB!$1:$1,0)),FALSE)&gt;=5,"Good","Bad"),VLOOKUP(DATE($K$1,$K$2,USA$4),Table1[],(MATCH(Calendar!$A18,DB!$1:$1,0)),FALSE)),"")</f>
        <v/>
      </c>
      <c r="USB18" s="28" t="str">
        <f>IFERROR(IF(USK3="No",IF(VLOOKUP(DATE($K$1,$K$2,USB$4),Table1[],(MATCH(Calendar!$A18,DB!$1:$1,0)),FALSE)&gt;=5,"Good","Bad"),VLOOKUP(DATE($K$1,$K$2,USB$4),Table1[],(MATCH(Calendar!$A18,DB!$1:$1,0)),FALSE)),"")</f>
        <v/>
      </c>
      <c r="USC18" s="28" t="str">
        <f>IFERROR(IF(USL3="No",IF(VLOOKUP(DATE($K$1,$K$2,USC$4),Table1[],(MATCH(Calendar!$A18,DB!$1:$1,0)),FALSE)&gt;=5,"Good","Bad"),VLOOKUP(DATE($K$1,$K$2,USC$4),Table1[],(MATCH(Calendar!$A18,DB!$1:$1,0)),FALSE)),"")</f>
        <v/>
      </c>
      <c r="USD18" s="28" t="str">
        <f>IFERROR(IF(USM3="No",IF(VLOOKUP(DATE($K$1,$K$2,USD$4),Table1[],(MATCH(Calendar!$A18,DB!$1:$1,0)),FALSE)&gt;=5,"Good","Bad"),VLOOKUP(DATE($K$1,$K$2,USD$4),Table1[],(MATCH(Calendar!$A18,DB!$1:$1,0)),FALSE)),"")</f>
        <v/>
      </c>
      <c r="USE18" s="28" t="str">
        <f>IFERROR(IF(USN3="No",IF(VLOOKUP(DATE($K$1,$K$2,USE$4),Table1[],(MATCH(Calendar!$A18,DB!$1:$1,0)),FALSE)&gt;=5,"Good","Bad"),VLOOKUP(DATE($K$1,$K$2,USE$4),Table1[],(MATCH(Calendar!$A18,DB!$1:$1,0)),FALSE)),"")</f>
        <v/>
      </c>
      <c r="USF18" s="28" t="str">
        <f>IFERROR(IF(USO3="No",IF(VLOOKUP(DATE($K$1,$K$2,USF$4),Table1[],(MATCH(Calendar!$A18,DB!$1:$1,0)),FALSE)&gt;=5,"Good","Bad"),VLOOKUP(DATE($K$1,$K$2,USF$4),Table1[],(MATCH(Calendar!$A18,DB!$1:$1,0)),FALSE)),"")</f>
        <v/>
      </c>
      <c r="USG18" s="28" t="str">
        <f>IFERROR(IF(USP3="No",IF(VLOOKUP(DATE($K$1,$K$2,USG$4),Table1[],(MATCH(Calendar!$A18,DB!$1:$1,0)),FALSE)&gt;=5,"Good","Bad"),VLOOKUP(DATE($K$1,$K$2,USG$4),Table1[],(MATCH(Calendar!$A18,DB!$1:$1,0)),FALSE)),"")</f>
        <v/>
      </c>
      <c r="USH18" s="28" t="str">
        <f>IFERROR(IF(USQ3="No",IF(VLOOKUP(DATE($K$1,$K$2,USH$4),Table1[],(MATCH(Calendar!$A18,DB!$1:$1,0)),FALSE)&gt;=5,"Good","Bad"),VLOOKUP(DATE($K$1,$K$2,USH$4),Table1[],(MATCH(Calendar!$A18,DB!$1:$1,0)),FALSE)),"")</f>
        <v/>
      </c>
      <c r="USI18" s="28" t="str">
        <f>IFERROR(IF(USR3="No",IF(VLOOKUP(DATE($K$1,$K$2,USI$4),Table1[],(MATCH(Calendar!$A18,DB!$1:$1,0)),FALSE)&gt;=5,"Good","Bad"),VLOOKUP(DATE($K$1,$K$2,USI$4),Table1[],(MATCH(Calendar!$A18,DB!$1:$1,0)),FALSE)),"")</f>
        <v/>
      </c>
      <c r="USJ18" s="28" t="str">
        <f>IFERROR(IF(USS3="No",IF(VLOOKUP(DATE($K$1,$K$2,USJ$4),Table1[],(MATCH(Calendar!$A18,DB!$1:$1,0)),FALSE)&gt;=5,"Good","Bad"),VLOOKUP(DATE($K$1,$K$2,USJ$4),Table1[],(MATCH(Calendar!$A18,DB!$1:$1,0)),FALSE)),"")</f>
        <v/>
      </c>
      <c r="USK18" s="28" t="str">
        <f>IFERROR(IF(UST3="No",IF(VLOOKUP(DATE($K$1,$K$2,USK$4),Table1[],(MATCH(Calendar!$A18,DB!$1:$1,0)),FALSE)&gt;=5,"Good","Bad"),VLOOKUP(DATE($K$1,$K$2,USK$4),Table1[],(MATCH(Calendar!$A18,DB!$1:$1,0)),FALSE)),"")</f>
        <v/>
      </c>
      <c r="USL18" s="28" t="str">
        <f>IFERROR(IF(USU3="No",IF(VLOOKUP(DATE($K$1,$K$2,USL$4),Table1[],(MATCH(Calendar!$A18,DB!$1:$1,0)),FALSE)&gt;=5,"Good","Bad"),VLOOKUP(DATE($K$1,$K$2,USL$4),Table1[],(MATCH(Calendar!$A18,DB!$1:$1,0)),FALSE)),"")</f>
        <v/>
      </c>
      <c r="USM18" s="28" t="str">
        <f>IFERROR(IF(USV3="No",IF(VLOOKUP(DATE($K$1,$K$2,USM$4),Table1[],(MATCH(Calendar!$A18,DB!$1:$1,0)),FALSE)&gt;=5,"Good","Bad"),VLOOKUP(DATE($K$1,$K$2,USM$4),Table1[],(MATCH(Calendar!$A18,DB!$1:$1,0)),FALSE)),"")</f>
        <v/>
      </c>
      <c r="USN18" s="28" t="str">
        <f>IFERROR(IF(USW3="No",IF(VLOOKUP(DATE($K$1,$K$2,USN$4),Table1[],(MATCH(Calendar!$A18,DB!$1:$1,0)),FALSE)&gt;=5,"Good","Bad"),VLOOKUP(DATE($K$1,$K$2,USN$4),Table1[],(MATCH(Calendar!$A18,DB!$1:$1,0)),FALSE)),"")</f>
        <v/>
      </c>
      <c r="USO18" s="28" t="str">
        <f>IFERROR(IF(USX3="No",IF(VLOOKUP(DATE($K$1,$K$2,USO$4),Table1[],(MATCH(Calendar!$A18,DB!$1:$1,0)),FALSE)&gt;=5,"Good","Bad"),VLOOKUP(DATE($K$1,$K$2,USO$4),Table1[],(MATCH(Calendar!$A18,DB!$1:$1,0)),FALSE)),"")</f>
        <v/>
      </c>
      <c r="USP18" s="28" t="str">
        <f>IFERROR(IF(USY3="No",IF(VLOOKUP(DATE($K$1,$K$2,USP$4),Table1[],(MATCH(Calendar!$A18,DB!$1:$1,0)),FALSE)&gt;=5,"Good","Bad"),VLOOKUP(DATE($K$1,$K$2,USP$4),Table1[],(MATCH(Calendar!$A18,DB!$1:$1,0)),FALSE)),"")</f>
        <v/>
      </c>
      <c r="USQ18" s="28" t="str">
        <f>IFERROR(IF(USZ3="No",IF(VLOOKUP(DATE($K$1,$K$2,USQ$4),Table1[],(MATCH(Calendar!$A18,DB!$1:$1,0)),FALSE)&gt;=5,"Good","Bad"),VLOOKUP(DATE($K$1,$K$2,USQ$4),Table1[],(MATCH(Calendar!$A18,DB!$1:$1,0)),FALSE)),"")</f>
        <v/>
      </c>
      <c r="USR18" s="28" t="str">
        <f>IFERROR(IF(UTA3="No",IF(VLOOKUP(DATE($K$1,$K$2,USR$4),Table1[],(MATCH(Calendar!$A18,DB!$1:$1,0)),FALSE)&gt;=5,"Good","Bad"),VLOOKUP(DATE($K$1,$K$2,USR$4),Table1[],(MATCH(Calendar!$A18,DB!$1:$1,0)),FALSE)),"")</f>
        <v/>
      </c>
      <c r="USS18" s="28" t="str">
        <f>IFERROR(IF(UTB3="No",IF(VLOOKUP(DATE($K$1,$K$2,USS$4),Table1[],(MATCH(Calendar!$A18,DB!$1:$1,0)),FALSE)&gt;=5,"Good","Bad"),VLOOKUP(DATE($K$1,$K$2,USS$4),Table1[],(MATCH(Calendar!$A18,DB!$1:$1,0)),FALSE)),"")</f>
        <v/>
      </c>
      <c r="UST18" s="28" t="str">
        <f>IFERROR(IF(UTC3="No",IF(VLOOKUP(DATE($K$1,$K$2,UST$4),Table1[],(MATCH(Calendar!$A18,DB!$1:$1,0)),FALSE)&gt;=5,"Good","Bad"),VLOOKUP(DATE($K$1,$K$2,UST$4),Table1[],(MATCH(Calendar!$A18,DB!$1:$1,0)),FALSE)),"")</f>
        <v/>
      </c>
      <c r="USU18" s="28" t="str">
        <f>IFERROR(IF(UTD3="No",IF(VLOOKUP(DATE($K$1,$K$2,USU$4),Table1[],(MATCH(Calendar!$A18,DB!$1:$1,0)),FALSE)&gt;=5,"Good","Bad"),VLOOKUP(DATE($K$1,$K$2,USU$4),Table1[],(MATCH(Calendar!$A18,DB!$1:$1,0)),FALSE)),"")</f>
        <v/>
      </c>
      <c r="USV18" s="28" t="str">
        <f>IFERROR(IF(UTE3="No",IF(VLOOKUP(DATE($K$1,$K$2,USV$4),Table1[],(MATCH(Calendar!$A18,DB!$1:$1,0)),FALSE)&gt;=5,"Good","Bad"),VLOOKUP(DATE($K$1,$K$2,USV$4),Table1[],(MATCH(Calendar!$A18,DB!$1:$1,0)),FALSE)),"")</f>
        <v/>
      </c>
      <c r="USW18" s="28" t="str">
        <f>IFERROR(IF(UTF3="No",IF(VLOOKUP(DATE($K$1,$K$2,USW$4),Table1[],(MATCH(Calendar!$A18,DB!$1:$1,0)),FALSE)&gt;=5,"Good","Bad"),VLOOKUP(DATE($K$1,$K$2,USW$4),Table1[],(MATCH(Calendar!$A18,DB!$1:$1,0)),FALSE)),"")</f>
        <v/>
      </c>
      <c r="USX18" s="28" t="str">
        <f>IFERROR(IF(UTG3="No",IF(VLOOKUP(DATE($K$1,$K$2,USX$4),Table1[],(MATCH(Calendar!$A18,DB!$1:$1,0)),FALSE)&gt;=5,"Good","Bad"),VLOOKUP(DATE($K$1,$K$2,USX$4),Table1[],(MATCH(Calendar!$A18,DB!$1:$1,0)),FALSE)),"")</f>
        <v/>
      </c>
      <c r="USY18" s="28" t="str">
        <f>IFERROR(IF(UTH3="No",IF(VLOOKUP(DATE($K$1,$K$2,USY$4),Table1[],(MATCH(Calendar!$A18,DB!$1:$1,0)),FALSE)&gt;=5,"Good","Bad"),VLOOKUP(DATE($K$1,$K$2,USY$4),Table1[],(MATCH(Calendar!$A18,DB!$1:$1,0)),FALSE)),"")</f>
        <v/>
      </c>
      <c r="USZ18" s="28" t="str">
        <f>IFERROR(IF(UTI3="No",IF(VLOOKUP(DATE($K$1,$K$2,USZ$4),Table1[],(MATCH(Calendar!$A18,DB!$1:$1,0)),FALSE)&gt;=5,"Good","Bad"),VLOOKUP(DATE($K$1,$K$2,USZ$4),Table1[],(MATCH(Calendar!$A18,DB!$1:$1,0)),FALSE)),"")</f>
        <v/>
      </c>
      <c r="UTA18" s="28" t="str">
        <f>IFERROR(IF(UTJ3="No",IF(VLOOKUP(DATE($K$1,$K$2,UTA$4),Table1[],(MATCH(Calendar!$A18,DB!$1:$1,0)),FALSE)&gt;=5,"Good","Bad"),VLOOKUP(DATE($K$1,$K$2,UTA$4),Table1[],(MATCH(Calendar!$A18,DB!$1:$1,0)),FALSE)),"")</f>
        <v/>
      </c>
      <c r="UTB18" s="28" t="str">
        <f>IFERROR(IF(UTK3="No",IF(VLOOKUP(DATE($K$1,$K$2,UTB$4),Table1[],(MATCH(Calendar!$A18,DB!$1:$1,0)),FALSE)&gt;=5,"Good","Bad"),VLOOKUP(DATE($K$1,$K$2,UTB$4),Table1[],(MATCH(Calendar!$A18,DB!$1:$1,0)),FALSE)),"")</f>
        <v/>
      </c>
      <c r="UTC18" s="28" t="str">
        <f>IFERROR(IF(UTL3="No",IF(VLOOKUP(DATE($K$1,$K$2,UTC$4),Table1[],(MATCH(Calendar!$A18,DB!$1:$1,0)),FALSE)&gt;=5,"Good","Bad"),VLOOKUP(DATE($K$1,$K$2,UTC$4),Table1[],(MATCH(Calendar!$A18,DB!$1:$1,0)),FALSE)),"")</f>
        <v/>
      </c>
      <c r="UTD18" s="28" t="str">
        <f>IFERROR(IF(UTM3="No",IF(VLOOKUP(DATE($K$1,$K$2,UTD$4),Table1[],(MATCH(Calendar!$A18,DB!$1:$1,0)),FALSE)&gt;=5,"Good","Bad"),VLOOKUP(DATE($K$1,$K$2,UTD$4),Table1[],(MATCH(Calendar!$A18,DB!$1:$1,0)),FALSE)),"")</f>
        <v/>
      </c>
      <c r="UTE18" s="28" t="str">
        <f>IFERROR(IF(UTN3="No",IF(VLOOKUP(DATE($K$1,$K$2,UTE$4),Table1[],(MATCH(Calendar!$A18,DB!$1:$1,0)),FALSE)&gt;=5,"Good","Bad"),VLOOKUP(DATE($K$1,$K$2,UTE$4),Table1[],(MATCH(Calendar!$A18,DB!$1:$1,0)),FALSE)),"")</f>
        <v/>
      </c>
      <c r="UTF18" s="28" t="str">
        <f>IFERROR(IF(UTO3="No",IF(VLOOKUP(DATE($K$1,$K$2,UTF$4),Table1[],(MATCH(Calendar!$A18,DB!$1:$1,0)),FALSE)&gt;=5,"Good","Bad"),VLOOKUP(DATE($K$1,$K$2,UTF$4),Table1[],(MATCH(Calendar!$A18,DB!$1:$1,0)),FALSE)),"")</f>
        <v/>
      </c>
      <c r="UTG18" s="28" t="str">
        <f>IFERROR(IF(UTP3="No",IF(VLOOKUP(DATE($K$1,$K$2,UTG$4),Table1[],(MATCH(Calendar!$A18,DB!$1:$1,0)),FALSE)&gt;=5,"Good","Bad"),VLOOKUP(DATE($K$1,$K$2,UTG$4),Table1[],(MATCH(Calendar!$A18,DB!$1:$1,0)),FALSE)),"")</f>
        <v/>
      </c>
      <c r="UTH18" s="28" t="str">
        <f>IFERROR(IF(UTQ3="No",IF(VLOOKUP(DATE($K$1,$K$2,UTH$4),Table1[],(MATCH(Calendar!$A18,DB!$1:$1,0)),FALSE)&gt;=5,"Good","Bad"),VLOOKUP(DATE($K$1,$K$2,UTH$4),Table1[],(MATCH(Calendar!$A18,DB!$1:$1,0)),FALSE)),"")</f>
        <v/>
      </c>
      <c r="UTI18" s="28" t="str">
        <f>IFERROR(IF(UTR3="No",IF(VLOOKUP(DATE($K$1,$K$2,UTI$4),Table1[],(MATCH(Calendar!$A18,DB!$1:$1,0)),FALSE)&gt;=5,"Good","Bad"),VLOOKUP(DATE($K$1,$K$2,UTI$4),Table1[],(MATCH(Calendar!$A18,DB!$1:$1,0)),FALSE)),"")</f>
        <v/>
      </c>
      <c r="UTJ18" s="28" t="str">
        <f>IFERROR(IF(UTS3="No",IF(VLOOKUP(DATE($K$1,$K$2,UTJ$4),Table1[],(MATCH(Calendar!$A18,DB!$1:$1,0)),FALSE)&gt;=5,"Good","Bad"),VLOOKUP(DATE($K$1,$K$2,UTJ$4),Table1[],(MATCH(Calendar!$A18,DB!$1:$1,0)),FALSE)),"")</f>
        <v/>
      </c>
      <c r="UTK18" s="28" t="str">
        <f>IFERROR(IF(UTT3="No",IF(VLOOKUP(DATE($K$1,$K$2,UTK$4),Table1[],(MATCH(Calendar!$A18,DB!$1:$1,0)),FALSE)&gt;=5,"Good","Bad"),VLOOKUP(DATE($K$1,$K$2,UTK$4),Table1[],(MATCH(Calendar!$A18,DB!$1:$1,0)),FALSE)),"")</f>
        <v/>
      </c>
      <c r="UTL18" s="28" t="str">
        <f>IFERROR(IF(UTU3="No",IF(VLOOKUP(DATE($K$1,$K$2,UTL$4),Table1[],(MATCH(Calendar!$A18,DB!$1:$1,0)),FALSE)&gt;=5,"Good","Bad"),VLOOKUP(DATE($K$1,$K$2,UTL$4),Table1[],(MATCH(Calendar!$A18,DB!$1:$1,0)),FALSE)),"")</f>
        <v/>
      </c>
      <c r="UTM18" s="28" t="str">
        <f>IFERROR(IF(UTV3="No",IF(VLOOKUP(DATE($K$1,$K$2,UTM$4),Table1[],(MATCH(Calendar!$A18,DB!$1:$1,0)),FALSE)&gt;=5,"Good","Bad"),VLOOKUP(DATE($K$1,$K$2,UTM$4),Table1[],(MATCH(Calendar!$A18,DB!$1:$1,0)),FALSE)),"")</f>
        <v/>
      </c>
      <c r="UTN18" s="28" t="str">
        <f>IFERROR(IF(UTW3="No",IF(VLOOKUP(DATE($K$1,$K$2,UTN$4),Table1[],(MATCH(Calendar!$A18,DB!$1:$1,0)),FALSE)&gt;=5,"Good","Bad"),VLOOKUP(DATE($K$1,$K$2,UTN$4),Table1[],(MATCH(Calendar!$A18,DB!$1:$1,0)),FALSE)),"")</f>
        <v/>
      </c>
      <c r="UTO18" s="28" t="str">
        <f>IFERROR(IF(UTX3="No",IF(VLOOKUP(DATE($K$1,$K$2,UTO$4),Table1[],(MATCH(Calendar!$A18,DB!$1:$1,0)),FALSE)&gt;=5,"Good","Bad"),VLOOKUP(DATE($K$1,$K$2,UTO$4),Table1[],(MATCH(Calendar!$A18,DB!$1:$1,0)),FALSE)),"")</f>
        <v/>
      </c>
      <c r="UTP18" s="28" t="str">
        <f>IFERROR(IF(UTY3="No",IF(VLOOKUP(DATE($K$1,$K$2,UTP$4),Table1[],(MATCH(Calendar!$A18,DB!$1:$1,0)),FALSE)&gt;=5,"Good","Bad"),VLOOKUP(DATE($K$1,$K$2,UTP$4),Table1[],(MATCH(Calendar!$A18,DB!$1:$1,0)),FALSE)),"")</f>
        <v/>
      </c>
      <c r="UTQ18" s="28" t="str">
        <f>IFERROR(IF(UTZ3="No",IF(VLOOKUP(DATE($K$1,$K$2,UTQ$4),Table1[],(MATCH(Calendar!$A18,DB!$1:$1,0)),FALSE)&gt;=5,"Good","Bad"),VLOOKUP(DATE($K$1,$K$2,UTQ$4),Table1[],(MATCH(Calendar!$A18,DB!$1:$1,0)),FALSE)),"")</f>
        <v/>
      </c>
      <c r="UTR18" s="28" t="str">
        <f>IFERROR(IF(UUA3="No",IF(VLOOKUP(DATE($K$1,$K$2,UTR$4),Table1[],(MATCH(Calendar!$A18,DB!$1:$1,0)),FALSE)&gt;=5,"Good","Bad"),VLOOKUP(DATE($K$1,$K$2,UTR$4),Table1[],(MATCH(Calendar!$A18,DB!$1:$1,0)),FALSE)),"")</f>
        <v/>
      </c>
      <c r="UTS18" s="28" t="str">
        <f>IFERROR(IF(UUB3="No",IF(VLOOKUP(DATE($K$1,$K$2,UTS$4),Table1[],(MATCH(Calendar!$A18,DB!$1:$1,0)),FALSE)&gt;=5,"Good","Bad"),VLOOKUP(DATE($K$1,$K$2,UTS$4),Table1[],(MATCH(Calendar!$A18,DB!$1:$1,0)),FALSE)),"")</f>
        <v/>
      </c>
      <c r="UTT18" s="28" t="str">
        <f>IFERROR(IF(UUC3="No",IF(VLOOKUP(DATE($K$1,$K$2,UTT$4),Table1[],(MATCH(Calendar!$A18,DB!$1:$1,0)),FALSE)&gt;=5,"Good","Bad"),VLOOKUP(DATE($K$1,$K$2,UTT$4),Table1[],(MATCH(Calendar!$A18,DB!$1:$1,0)),FALSE)),"")</f>
        <v/>
      </c>
      <c r="UTU18" s="28" t="str">
        <f>IFERROR(IF(UUD3="No",IF(VLOOKUP(DATE($K$1,$K$2,UTU$4),Table1[],(MATCH(Calendar!$A18,DB!$1:$1,0)),FALSE)&gt;=5,"Good","Bad"),VLOOKUP(DATE($K$1,$K$2,UTU$4),Table1[],(MATCH(Calendar!$A18,DB!$1:$1,0)),FALSE)),"")</f>
        <v/>
      </c>
      <c r="UTV18" s="28" t="str">
        <f>IFERROR(IF(UUE3="No",IF(VLOOKUP(DATE($K$1,$K$2,UTV$4),Table1[],(MATCH(Calendar!$A18,DB!$1:$1,0)),FALSE)&gt;=5,"Good","Bad"),VLOOKUP(DATE($K$1,$K$2,UTV$4),Table1[],(MATCH(Calendar!$A18,DB!$1:$1,0)),FALSE)),"")</f>
        <v/>
      </c>
      <c r="UTW18" s="28" t="str">
        <f>IFERROR(IF(UUF3="No",IF(VLOOKUP(DATE($K$1,$K$2,UTW$4),Table1[],(MATCH(Calendar!$A18,DB!$1:$1,0)),FALSE)&gt;=5,"Good","Bad"),VLOOKUP(DATE($K$1,$K$2,UTW$4),Table1[],(MATCH(Calendar!$A18,DB!$1:$1,0)),FALSE)),"")</f>
        <v/>
      </c>
      <c r="UTX18" s="28" t="str">
        <f>IFERROR(IF(UUG3="No",IF(VLOOKUP(DATE($K$1,$K$2,UTX$4),Table1[],(MATCH(Calendar!$A18,DB!$1:$1,0)),FALSE)&gt;=5,"Good","Bad"),VLOOKUP(DATE($K$1,$K$2,UTX$4),Table1[],(MATCH(Calendar!$A18,DB!$1:$1,0)),FALSE)),"")</f>
        <v/>
      </c>
      <c r="UTY18" s="28" t="str">
        <f>IFERROR(IF(UUH3="No",IF(VLOOKUP(DATE($K$1,$K$2,UTY$4),Table1[],(MATCH(Calendar!$A18,DB!$1:$1,0)),FALSE)&gt;=5,"Good","Bad"),VLOOKUP(DATE($K$1,$K$2,UTY$4),Table1[],(MATCH(Calendar!$A18,DB!$1:$1,0)),FALSE)),"")</f>
        <v/>
      </c>
      <c r="UTZ18" s="28" t="str">
        <f>IFERROR(IF(UUI3="No",IF(VLOOKUP(DATE($K$1,$K$2,UTZ$4),Table1[],(MATCH(Calendar!$A18,DB!$1:$1,0)),FALSE)&gt;=5,"Good","Bad"),VLOOKUP(DATE($K$1,$K$2,UTZ$4),Table1[],(MATCH(Calendar!$A18,DB!$1:$1,0)),FALSE)),"")</f>
        <v/>
      </c>
      <c r="UUA18" s="28" t="str">
        <f>IFERROR(IF(UUJ3="No",IF(VLOOKUP(DATE($K$1,$K$2,UUA$4),Table1[],(MATCH(Calendar!$A18,DB!$1:$1,0)),FALSE)&gt;=5,"Good","Bad"),VLOOKUP(DATE($K$1,$K$2,UUA$4),Table1[],(MATCH(Calendar!$A18,DB!$1:$1,0)),FALSE)),"")</f>
        <v/>
      </c>
      <c r="UUB18" s="28" t="str">
        <f>IFERROR(IF(UUK3="No",IF(VLOOKUP(DATE($K$1,$K$2,UUB$4),Table1[],(MATCH(Calendar!$A18,DB!$1:$1,0)),FALSE)&gt;=5,"Good","Bad"),VLOOKUP(DATE($K$1,$K$2,UUB$4),Table1[],(MATCH(Calendar!$A18,DB!$1:$1,0)),FALSE)),"")</f>
        <v/>
      </c>
      <c r="UUC18" s="28" t="str">
        <f>IFERROR(IF(UUL3="No",IF(VLOOKUP(DATE($K$1,$K$2,UUC$4),Table1[],(MATCH(Calendar!$A18,DB!$1:$1,0)),FALSE)&gt;=5,"Good","Bad"),VLOOKUP(DATE($K$1,$K$2,UUC$4),Table1[],(MATCH(Calendar!$A18,DB!$1:$1,0)),FALSE)),"")</f>
        <v/>
      </c>
      <c r="UUD18" s="28" t="str">
        <f>IFERROR(IF(UUM3="No",IF(VLOOKUP(DATE($K$1,$K$2,UUD$4),Table1[],(MATCH(Calendar!$A18,DB!$1:$1,0)),FALSE)&gt;=5,"Good","Bad"),VLOOKUP(DATE($K$1,$K$2,UUD$4),Table1[],(MATCH(Calendar!$A18,DB!$1:$1,0)),FALSE)),"")</f>
        <v/>
      </c>
      <c r="UUE18" s="28" t="str">
        <f>IFERROR(IF(UUN3="No",IF(VLOOKUP(DATE($K$1,$K$2,UUE$4),Table1[],(MATCH(Calendar!$A18,DB!$1:$1,0)),FALSE)&gt;=5,"Good","Bad"),VLOOKUP(DATE($K$1,$K$2,UUE$4),Table1[],(MATCH(Calendar!$A18,DB!$1:$1,0)),FALSE)),"")</f>
        <v/>
      </c>
      <c r="UUF18" s="28" t="str">
        <f>IFERROR(IF(UUO3="No",IF(VLOOKUP(DATE($K$1,$K$2,UUF$4),Table1[],(MATCH(Calendar!$A18,DB!$1:$1,0)),FALSE)&gt;=5,"Good","Bad"),VLOOKUP(DATE($K$1,$K$2,UUF$4),Table1[],(MATCH(Calendar!$A18,DB!$1:$1,0)),FALSE)),"")</f>
        <v/>
      </c>
      <c r="UUG18" s="28" t="str">
        <f>IFERROR(IF(UUP3="No",IF(VLOOKUP(DATE($K$1,$K$2,UUG$4),Table1[],(MATCH(Calendar!$A18,DB!$1:$1,0)),FALSE)&gt;=5,"Good","Bad"),VLOOKUP(DATE($K$1,$K$2,UUG$4),Table1[],(MATCH(Calendar!$A18,DB!$1:$1,0)),FALSE)),"")</f>
        <v/>
      </c>
      <c r="UUH18" s="28" t="str">
        <f>IFERROR(IF(UUQ3="No",IF(VLOOKUP(DATE($K$1,$K$2,UUH$4),Table1[],(MATCH(Calendar!$A18,DB!$1:$1,0)),FALSE)&gt;=5,"Good","Bad"),VLOOKUP(DATE($K$1,$K$2,UUH$4),Table1[],(MATCH(Calendar!$A18,DB!$1:$1,0)),FALSE)),"")</f>
        <v/>
      </c>
      <c r="UUI18" s="28" t="str">
        <f>IFERROR(IF(UUR3="No",IF(VLOOKUP(DATE($K$1,$K$2,UUI$4),Table1[],(MATCH(Calendar!$A18,DB!$1:$1,0)),FALSE)&gt;=5,"Good","Bad"),VLOOKUP(DATE($K$1,$K$2,UUI$4),Table1[],(MATCH(Calendar!$A18,DB!$1:$1,0)),FALSE)),"")</f>
        <v/>
      </c>
      <c r="UUJ18" s="28" t="str">
        <f>IFERROR(IF(UUS3="No",IF(VLOOKUP(DATE($K$1,$K$2,UUJ$4),Table1[],(MATCH(Calendar!$A18,DB!$1:$1,0)),FALSE)&gt;=5,"Good","Bad"),VLOOKUP(DATE($K$1,$K$2,UUJ$4),Table1[],(MATCH(Calendar!$A18,DB!$1:$1,0)),FALSE)),"")</f>
        <v/>
      </c>
      <c r="UUK18" s="28" t="str">
        <f>IFERROR(IF(UUT3="No",IF(VLOOKUP(DATE($K$1,$K$2,UUK$4),Table1[],(MATCH(Calendar!$A18,DB!$1:$1,0)),FALSE)&gt;=5,"Good","Bad"),VLOOKUP(DATE($K$1,$K$2,UUK$4),Table1[],(MATCH(Calendar!$A18,DB!$1:$1,0)),FALSE)),"")</f>
        <v/>
      </c>
      <c r="UUL18" s="28" t="str">
        <f>IFERROR(IF(UUU3="No",IF(VLOOKUP(DATE($K$1,$K$2,UUL$4),Table1[],(MATCH(Calendar!$A18,DB!$1:$1,0)),FALSE)&gt;=5,"Good","Bad"),VLOOKUP(DATE($K$1,$K$2,UUL$4),Table1[],(MATCH(Calendar!$A18,DB!$1:$1,0)),FALSE)),"")</f>
        <v/>
      </c>
      <c r="UUM18" s="28" t="str">
        <f>IFERROR(IF(UUV3="No",IF(VLOOKUP(DATE($K$1,$K$2,UUM$4),Table1[],(MATCH(Calendar!$A18,DB!$1:$1,0)),FALSE)&gt;=5,"Good","Bad"),VLOOKUP(DATE($K$1,$K$2,UUM$4),Table1[],(MATCH(Calendar!$A18,DB!$1:$1,0)),FALSE)),"")</f>
        <v/>
      </c>
      <c r="UUN18" s="28" t="str">
        <f>IFERROR(IF(UUW3="No",IF(VLOOKUP(DATE($K$1,$K$2,UUN$4),Table1[],(MATCH(Calendar!$A18,DB!$1:$1,0)),FALSE)&gt;=5,"Good","Bad"),VLOOKUP(DATE($K$1,$K$2,UUN$4),Table1[],(MATCH(Calendar!$A18,DB!$1:$1,0)),FALSE)),"")</f>
        <v/>
      </c>
      <c r="UUO18" s="28" t="str">
        <f>IFERROR(IF(UUX3="No",IF(VLOOKUP(DATE($K$1,$K$2,UUO$4),Table1[],(MATCH(Calendar!$A18,DB!$1:$1,0)),FALSE)&gt;=5,"Good","Bad"),VLOOKUP(DATE($K$1,$K$2,UUO$4),Table1[],(MATCH(Calendar!$A18,DB!$1:$1,0)),FALSE)),"")</f>
        <v/>
      </c>
      <c r="UUP18" s="28" t="str">
        <f>IFERROR(IF(UUY3="No",IF(VLOOKUP(DATE($K$1,$K$2,UUP$4),Table1[],(MATCH(Calendar!$A18,DB!$1:$1,0)),FALSE)&gt;=5,"Good","Bad"),VLOOKUP(DATE($K$1,$K$2,UUP$4),Table1[],(MATCH(Calendar!$A18,DB!$1:$1,0)),FALSE)),"")</f>
        <v/>
      </c>
      <c r="UUQ18" s="28" t="str">
        <f>IFERROR(IF(UUZ3="No",IF(VLOOKUP(DATE($K$1,$K$2,UUQ$4),Table1[],(MATCH(Calendar!$A18,DB!$1:$1,0)),FALSE)&gt;=5,"Good","Bad"),VLOOKUP(DATE($K$1,$K$2,UUQ$4),Table1[],(MATCH(Calendar!$A18,DB!$1:$1,0)),FALSE)),"")</f>
        <v/>
      </c>
      <c r="UUR18" s="28" t="str">
        <f>IFERROR(IF(UVA3="No",IF(VLOOKUP(DATE($K$1,$K$2,UUR$4),Table1[],(MATCH(Calendar!$A18,DB!$1:$1,0)),FALSE)&gt;=5,"Good","Bad"),VLOOKUP(DATE($K$1,$K$2,UUR$4),Table1[],(MATCH(Calendar!$A18,DB!$1:$1,0)),FALSE)),"")</f>
        <v/>
      </c>
      <c r="UUS18" s="28" t="str">
        <f>IFERROR(IF(UVB3="No",IF(VLOOKUP(DATE($K$1,$K$2,UUS$4),Table1[],(MATCH(Calendar!$A18,DB!$1:$1,0)),FALSE)&gt;=5,"Good","Bad"),VLOOKUP(DATE($K$1,$K$2,UUS$4),Table1[],(MATCH(Calendar!$A18,DB!$1:$1,0)),FALSE)),"")</f>
        <v/>
      </c>
      <c r="UUT18" s="28" t="str">
        <f>IFERROR(IF(UVC3="No",IF(VLOOKUP(DATE($K$1,$K$2,UUT$4),Table1[],(MATCH(Calendar!$A18,DB!$1:$1,0)),FALSE)&gt;=5,"Good","Bad"),VLOOKUP(DATE($K$1,$K$2,UUT$4),Table1[],(MATCH(Calendar!$A18,DB!$1:$1,0)),FALSE)),"")</f>
        <v/>
      </c>
      <c r="UUU18" s="28" t="str">
        <f>IFERROR(IF(UVD3="No",IF(VLOOKUP(DATE($K$1,$K$2,UUU$4),Table1[],(MATCH(Calendar!$A18,DB!$1:$1,0)),FALSE)&gt;=5,"Good","Bad"),VLOOKUP(DATE($K$1,$K$2,UUU$4),Table1[],(MATCH(Calendar!$A18,DB!$1:$1,0)),FALSE)),"")</f>
        <v/>
      </c>
      <c r="UUV18" s="28" t="str">
        <f>IFERROR(IF(UVE3="No",IF(VLOOKUP(DATE($K$1,$K$2,UUV$4),Table1[],(MATCH(Calendar!$A18,DB!$1:$1,0)),FALSE)&gt;=5,"Good","Bad"),VLOOKUP(DATE($K$1,$K$2,UUV$4),Table1[],(MATCH(Calendar!$A18,DB!$1:$1,0)),FALSE)),"")</f>
        <v/>
      </c>
      <c r="UUW18" s="28" t="str">
        <f>IFERROR(IF(UVF3="No",IF(VLOOKUP(DATE($K$1,$K$2,UUW$4),Table1[],(MATCH(Calendar!$A18,DB!$1:$1,0)),FALSE)&gt;=5,"Good","Bad"),VLOOKUP(DATE($K$1,$K$2,UUW$4),Table1[],(MATCH(Calendar!$A18,DB!$1:$1,0)),FALSE)),"")</f>
        <v/>
      </c>
      <c r="UUX18" s="28" t="str">
        <f>IFERROR(IF(UVG3="No",IF(VLOOKUP(DATE($K$1,$K$2,UUX$4),Table1[],(MATCH(Calendar!$A18,DB!$1:$1,0)),FALSE)&gt;=5,"Good","Bad"),VLOOKUP(DATE($K$1,$K$2,UUX$4),Table1[],(MATCH(Calendar!$A18,DB!$1:$1,0)),FALSE)),"")</f>
        <v/>
      </c>
      <c r="UUY18" s="28" t="str">
        <f>IFERROR(IF(UVH3="No",IF(VLOOKUP(DATE($K$1,$K$2,UUY$4),Table1[],(MATCH(Calendar!$A18,DB!$1:$1,0)),FALSE)&gt;=5,"Good","Bad"),VLOOKUP(DATE($K$1,$K$2,UUY$4),Table1[],(MATCH(Calendar!$A18,DB!$1:$1,0)),FALSE)),"")</f>
        <v/>
      </c>
      <c r="UUZ18" s="28" t="str">
        <f>IFERROR(IF(UVI3="No",IF(VLOOKUP(DATE($K$1,$K$2,UUZ$4),Table1[],(MATCH(Calendar!$A18,DB!$1:$1,0)),FALSE)&gt;=5,"Good","Bad"),VLOOKUP(DATE($K$1,$K$2,UUZ$4),Table1[],(MATCH(Calendar!$A18,DB!$1:$1,0)),FALSE)),"")</f>
        <v/>
      </c>
      <c r="UVA18" s="28" t="str">
        <f>IFERROR(IF(UVJ3="No",IF(VLOOKUP(DATE($K$1,$K$2,UVA$4),Table1[],(MATCH(Calendar!$A18,DB!$1:$1,0)),FALSE)&gt;=5,"Good","Bad"),VLOOKUP(DATE($K$1,$K$2,UVA$4),Table1[],(MATCH(Calendar!$A18,DB!$1:$1,0)),FALSE)),"")</f>
        <v/>
      </c>
      <c r="UVB18" s="28" t="str">
        <f>IFERROR(IF(UVK3="No",IF(VLOOKUP(DATE($K$1,$K$2,UVB$4),Table1[],(MATCH(Calendar!$A18,DB!$1:$1,0)),FALSE)&gt;=5,"Good","Bad"),VLOOKUP(DATE($K$1,$K$2,UVB$4),Table1[],(MATCH(Calendar!$A18,DB!$1:$1,0)),FALSE)),"")</f>
        <v/>
      </c>
      <c r="UVC18" s="28" t="str">
        <f>IFERROR(IF(UVL3="No",IF(VLOOKUP(DATE($K$1,$K$2,UVC$4),Table1[],(MATCH(Calendar!$A18,DB!$1:$1,0)),FALSE)&gt;=5,"Good","Bad"),VLOOKUP(DATE($K$1,$K$2,UVC$4),Table1[],(MATCH(Calendar!$A18,DB!$1:$1,0)),FALSE)),"")</f>
        <v/>
      </c>
      <c r="UVD18" s="28" t="str">
        <f>IFERROR(IF(UVM3="No",IF(VLOOKUP(DATE($K$1,$K$2,UVD$4),Table1[],(MATCH(Calendar!$A18,DB!$1:$1,0)),FALSE)&gt;=5,"Good","Bad"),VLOOKUP(DATE($K$1,$K$2,UVD$4),Table1[],(MATCH(Calendar!$A18,DB!$1:$1,0)),FALSE)),"")</f>
        <v/>
      </c>
      <c r="UVE18" s="28" t="str">
        <f>IFERROR(IF(UVN3="No",IF(VLOOKUP(DATE($K$1,$K$2,UVE$4),Table1[],(MATCH(Calendar!$A18,DB!$1:$1,0)),FALSE)&gt;=5,"Good","Bad"),VLOOKUP(DATE($K$1,$K$2,UVE$4),Table1[],(MATCH(Calendar!$A18,DB!$1:$1,0)),FALSE)),"")</f>
        <v/>
      </c>
      <c r="UVF18" s="28" t="str">
        <f>IFERROR(IF(UVO3="No",IF(VLOOKUP(DATE($K$1,$K$2,UVF$4),Table1[],(MATCH(Calendar!$A18,DB!$1:$1,0)),FALSE)&gt;=5,"Good","Bad"),VLOOKUP(DATE($K$1,$K$2,UVF$4),Table1[],(MATCH(Calendar!$A18,DB!$1:$1,0)),FALSE)),"")</f>
        <v/>
      </c>
      <c r="UVG18" s="28" t="str">
        <f>IFERROR(IF(UVP3="No",IF(VLOOKUP(DATE($K$1,$K$2,UVG$4),Table1[],(MATCH(Calendar!$A18,DB!$1:$1,0)),FALSE)&gt;=5,"Good","Bad"),VLOOKUP(DATE($K$1,$K$2,UVG$4),Table1[],(MATCH(Calendar!$A18,DB!$1:$1,0)),FALSE)),"")</f>
        <v/>
      </c>
      <c r="UVH18" s="28" t="str">
        <f>IFERROR(IF(UVQ3="No",IF(VLOOKUP(DATE($K$1,$K$2,UVH$4),Table1[],(MATCH(Calendar!$A18,DB!$1:$1,0)),FALSE)&gt;=5,"Good","Bad"),VLOOKUP(DATE($K$1,$K$2,UVH$4),Table1[],(MATCH(Calendar!$A18,DB!$1:$1,0)),FALSE)),"")</f>
        <v/>
      </c>
      <c r="UVI18" s="28" t="str">
        <f>IFERROR(IF(UVR3="No",IF(VLOOKUP(DATE($K$1,$K$2,UVI$4),Table1[],(MATCH(Calendar!$A18,DB!$1:$1,0)),FALSE)&gt;=5,"Good","Bad"),VLOOKUP(DATE($K$1,$K$2,UVI$4),Table1[],(MATCH(Calendar!$A18,DB!$1:$1,0)),FALSE)),"")</f>
        <v/>
      </c>
      <c r="UVJ18" s="28" t="str">
        <f>IFERROR(IF(UVS3="No",IF(VLOOKUP(DATE($K$1,$K$2,UVJ$4),Table1[],(MATCH(Calendar!$A18,DB!$1:$1,0)),FALSE)&gt;=5,"Good","Bad"),VLOOKUP(DATE($K$1,$K$2,UVJ$4),Table1[],(MATCH(Calendar!$A18,DB!$1:$1,0)),FALSE)),"")</f>
        <v/>
      </c>
      <c r="UVK18" s="28" t="str">
        <f>IFERROR(IF(UVT3="No",IF(VLOOKUP(DATE($K$1,$K$2,UVK$4),Table1[],(MATCH(Calendar!$A18,DB!$1:$1,0)),FALSE)&gt;=5,"Good","Bad"),VLOOKUP(DATE($K$1,$K$2,UVK$4),Table1[],(MATCH(Calendar!$A18,DB!$1:$1,0)),FALSE)),"")</f>
        <v/>
      </c>
      <c r="UVL18" s="28" t="str">
        <f>IFERROR(IF(UVU3="No",IF(VLOOKUP(DATE($K$1,$K$2,UVL$4),Table1[],(MATCH(Calendar!$A18,DB!$1:$1,0)),FALSE)&gt;=5,"Good","Bad"),VLOOKUP(DATE($K$1,$K$2,UVL$4),Table1[],(MATCH(Calendar!$A18,DB!$1:$1,0)),FALSE)),"")</f>
        <v/>
      </c>
      <c r="UVM18" s="28" t="str">
        <f>IFERROR(IF(UVV3="No",IF(VLOOKUP(DATE($K$1,$K$2,UVM$4),Table1[],(MATCH(Calendar!$A18,DB!$1:$1,0)),FALSE)&gt;=5,"Good","Bad"),VLOOKUP(DATE($K$1,$K$2,UVM$4),Table1[],(MATCH(Calendar!$A18,DB!$1:$1,0)),FALSE)),"")</f>
        <v/>
      </c>
      <c r="UVN18" s="28" t="str">
        <f>IFERROR(IF(UVW3="No",IF(VLOOKUP(DATE($K$1,$K$2,UVN$4),Table1[],(MATCH(Calendar!$A18,DB!$1:$1,0)),FALSE)&gt;=5,"Good","Bad"),VLOOKUP(DATE($K$1,$K$2,UVN$4),Table1[],(MATCH(Calendar!$A18,DB!$1:$1,0)),FALSE)),"")</f>
        <v/>
      </c>
      <c r="UVO18" s="28" t="str">
        <f>IFERROR(IF(UVX3="No",IF(VLOOKUP(DATE($K$1,$K$2,UVO$4),Table1[],(MATCH(Calendar!$A18,DB!$1:$1,0)),FALSE)&gt;=5,"Good","Bad"),VLOOKUP(DATE($K$1,$K$2,UVO$4),Table1[],(MATCH(Calendar!$A18,DB!$1:$1,0)),FALSE)),"")</f>
        <v/>
      </c>
      <c r="UVP18" s="28" t="str">
        <f>IFERROR(IF(UVY3="No",IF(VLOOKUP(DATE($K$1,$K$2,UVP$4),Table1[],(MATCH(Calendar!$A18,DB!$1:$1,0)),FALSE)&gt;=5,"Good","Bad"),VLOOKUP(DATE($K$1,$K$2,UVP$4),Table1[],(MATCH(Calendar!$A18,DB!$1:$1,0)),FALSE)),"")</f>
        <v/>
      </c>
      <c r="UVQ18" s="28" t="str">
        <f>IFERROR(IF(UVZ3="No",IF(VLOOKUP(DATE($K$1,$K$2,UVQ$4),Table1[],(MATCH(Calendar!$A18,DB!$1:$1,0)),FALSE)&gt;=5,"Good","Bad"),VLOOKUP(DATE($K$1,$K$2,UVQ$4),Table1[],(MATCH(Calendar!$A18,DB!$1:$1,0)),FALSE)),"")</f>
        <v/>
      </c>
      <c r="UVR18" s="28" t="str">
        <f>IFERROR(IF(UWA3="No",IF(VLOOKUP(DATE($K$1,$K$2,UVR$4),Table1[],(MATCH(Calendar!$A18,DB!$1:$1,0)),FALSE)&gt;=5,"Good","Bad"),VLOOKUP(DATE($K$1,$K$2,UVR$4),Table1[],(MATCH(Calendar!$A18,DB!$1:$1,0)),FALSE)),"")</f>
        <v/>
      </c>
      <c r="UVS18" s="28" t="str">
        <f>IFERROR(IF(UWB3="No",IF(VLOOKUP(DATE($K$1,$K$2,UVS$4),Table1[],(MATCH(Calendar!$A18,DB!$1:$1,0)),FALSE)&gt;=5,"Good","Bad"),VLOOKUP(DATE($K$1,$K$2,UVS$4),Table1[],(MATCH(Calendar!$A18,DB!$1:$1,0)),FALSE)),"")</f>
        <v/>
      </c>
      <c r="UVT18" s="28" t="str">
        <f>IFERROR(IF(UWC3="No",IF(VLOOKUP(DATE($K$1,$K$2,UVT$4),Table1[],(MATCH(Calendar!$A18,DB!$1:$1,0)),FALSE)&gt;=5,"Good","Bad"),VLOOKUP(DATE($K$1,$K$2,UVT$4),Table1[],(MATCH(Calendar!$A18,DB!$1:$1,0)),FALSE)),"")</f>
        <v/>
      </c>
      <c r="UVU18" s="28" t="str">
        <f>IFERROR(IF(UWD3="No",IF(VLOOKUP(DATE($K$1,$K$2,UVU$4),Table1[],(MATCH(Calendar!$A18,DB!$1:$1,0)),FALSE)&gt;=5,"Good","Bad"),VLOOKUP(DATE($K$1,$K$2,UVU$4),Table1[],(MATCH(Calendar!$A18,DB!$1:$1,0)),FALSE)),"")</f>
        <v/>
      </c>
      <c r="UVV18" s="28" t="str">
        <f>IFERROR(IF(UWE3="No",IF(VLOOKUP(DATE($K$1,$K$2,UVV$4),Table1[],(MATCH(Calendar!$A18,DB!$1:$1,0)),FALSE)&gt;=5,"Good","Bad"),VLOOKUP(DATE($K$1,$K$2,UVV$4),Table1[],(MATCH(Calendar!$A18,DB!$1:$1,0)),FALSE)),"")</f>
        <v/>
      </c>
      <c r="UVW18" s="28" t="str">
        <f>IFERROR(IF(UWF3="No",IF(VLOOKUP(DATE($K$1,$K$2,UVW$4),Table1[],(MATCH(Calendar!$A18,DB!$1:$1,0)),FALSE)&gt;=5,"Good","Bad"),VLOOKUP(DATE($K$1,$K$2,UVW$4),Table1[],(MATCH(Calendar!$A18,DB!$1:$1,0)),FALSE)),"")</f>
        <v/>
      </c>
      <c r="UVX18" s="28" t="str">
        <f>IFERROR(IF(UWG3="No",IF(VLOOKUP(DATE($K$1,$K$2,UVX$4),Table1[],(MATCH(Calendar!$A18,DB!$1:$1,0)),FALSE)&gt;=5,"Good","Bad"),VLOOKUP(DATE($K$1,$K$2,UVX$4),Table1[],(MATCH(Calendar!$A18,DB!$1:$1,0)),FALSE)),"")</f>
        <v/>
      </c>
      <c r="UVY18" s="28" t="str">
        <f>IFERROR(IF(UWH3="No",IF(VLOOKUP(DATE($K$1,$K$2,UVY$4),Table1[],(MATCH(Calendar!$A18,DB!$1:$1,0)),FALSE)&gt;=5,"Good","Bad"),VLOOKUP(DATE($K$1,$K$2,UVY$4),Table1[],(MATCH(Calendar!$A18,DB!$1:$1,0)),FALSE)),"")</f>
        <v/>
      </c>
      <c r="UVZ18" s="28" t="str">
        <f>IFERROR(IF(UWI3="No",IF(VLOOKUP(DATE($K$1,$K$2,UVZ$4),Table1[],(MATCH(Calendar!$A18,DB!$1:$1,0)),FALSE)&gt;=5,"Good","Bad"),VLOOKUP(DATE($K$1,$K$2,UVZ$4),Table1[],(MATCH(Calendar!$A18,DB!$1:$1,0)),FALSE)),"")</f>
        <v/>
      </c>
      <c r="UWA18" s="28" t="str">
        <f>IFERROR(IF(UWJ3="No",IF(VLOOKUP(DATE($K$1,$K$2,UWA$4),Table1[],(MATCH(Calendar!$A18,DB!$1:$1,0)),FALSE)&gt;=5,"Good","Bad"),VLOOKUP(DATE($K$1,$K$2,UWA$4),Table1[],(MATCH(Calendar!$A18,DB!$1:$1,0)),FALSE)),"")</f>
        <v/>
      </c>
      <c r="UWB18" s="28" t="str">
        <f>IFERROR(IF(UWK3="No",IF(VLOOKUP(DATE($K$1,$K$2,UWB$4),Table1[],(MATCH(Calendar!$A18,DB!$1:$1,0)),FALSE)&gt;=5,"Good","Bad"),VLOOKUP(DATE($K$1,$K$2,UWB$4),Table1[],(MATCH(Calendar!$A18,DB!$1:$1,0)),FALSE)),"")</f>
        <v/>
      </c>
      <c r="UWC18" s="28" t="str">
        <f>IFERROR(IF(UWL3="No",IF(VLOOKUP(DATE($K$1,$K$2,UWC$4),Table1[],(MATCH(Calendar!$A18,DB!$1:$1,0)),FALSE)&gt;=5,"Good","Bad"),VLOOKUP(DATE($K$1,$K$2,UWC$4),Table1[],(MATCH(Calendar!$A18,DB!$1:$1,0)),FALSE)),"")</f>
        <v/>
      </c>
      <c r="UWD18" s="28" t="str">
        <f>IFERROR(IF(UWM3="No",IF(VLOOKUP(DATE($K$1,$K$2,UWD$4),Table1[],(MATCH(Calendar!$A18,DB!$1:$1,0)),FALSE)&gt;=5,"Good","Bad"),VLOOKUP(DATE($K$1,$K$2,UWD$4),Table1[],(MATCH(Calendar!$A18,DB!$1:$1,0)),FALSE)),"")</f>
        <v/>
      </c>
      <c r="UWE18" s="28" t="str">
        <f>IFERROR(IF(UWN3="No",IF(VLOOKUP(DATE($K$1,$K$2,UWE$4),Table1[],(MATCH(Calendar!$A18,DB!$1:$1,0)),FALSE)&gt;=5,"Good","Bad"),VLOOKUP(DATE($K$1,$K$2,UWE$4),Table1[],(MATCH(Calendar!$A18,DB!$1:$1,0)),FALSE)),"")</f>
        <v/>
      </c>
      <c r="UWF18" s="28" t="str">
        <f>IFERROR(IF(UWO3="No",IF(VLOOKUP(DATE($K$1,$K$2,UWF$4),Table1[],(MATCH(Calendar!$A18,DB!$1:$1,0)),FALSE)&gt;=5,"Good","Bad"),VLOOKUP(DATE($K$1,$K$2,UWF$4),Table1[],(MATCH(Calendar!$A18,DB!$1:$1,0)),FALSE)),"")</f>
        <v/>
      </c>
      <c r="UWG18" s="28" t="str">
        <f>IFERROR(IF(UWP3="No",IF(VLOOKUP(DATE($K$1,$K$2,UWG$4),Table1[],(MATCH(Calendar!$A18,DB!$1:$1,0)),FALSE)&gt;=5,"Good","Bad"),VLOOKUP(DATE($K$1,$K$2,UWG$4),Table1[],(MATCH(Calendar!$A18,DB!$1:$1,0)),FALSE)),"")</f>
        <v/>
      </c>
      <c r="UWH18" s="28" t="str">
        <f>IFERROR(IF(UWQ3="No",IF(VLOOKUP(DATE($K$1,$K$2,UWH$4),Table1[],(MATCH(Calendar!$A18,DB!$1:$1,0)),FALSE)&gt;=5,"Good","Bad"),VLOOKUP(DATE($K$1,$K$2,UWH$4),Table1[],(MATCH(Calendar!$A18,DB!$1:$1,0)),FALSE)),"")</f>
        <v/>
      </c>
      <c r="UWI18" s="28" t="str">
        <f>IFERROR(IF(UWR3="No",IF(VLOOKUP(DATE($K$1,$K$2,UWI$4),Table1[],(MATCH(Calendar!$A18,DB!$1:$1,0)),FALSE)&gt;=5,"Good","Bad"),VLOOKUP(DATE($K$1,$K$2,UWI$4),Table1[],(MATCH(Calendar!$A18,DB!$1:$1,0)),FALSE)),"")</f>
        <v/>
      </c>
      <c r="UWJ18" s="28" t="str">
        <f>IFERROR(IF(UWS3="No",IF(VLOOKUP(DATE($K$1,$K$2,UWJ$4),Table1[],(MATCH(Calendar!$A18,DB!$1:$1,0)),FALSE)&gt;=5,"Good","Bad"),VLOOKUP(DATE($K$1,$K$2,UWJ$4),Table1[],(MATCH(Calendar!$A18,DB!$1:$1,0)),FALSE)),"")</f>
        <v/>
      </c>
      <c r="UWK18" s="28" t="str">
        <f>IFERROR(IF(UWT3="No",IF(VLOOKUP(DATE($K$1,$K$2,UWK$4),Table1[],(MATCH(Calendar!$A18,DB!$1:$1,0)),FALSE)&gt;=5,"Good","Bad"),VLOOKUP(DATE($K$1,$K$2,UWK$4),Table1[],(MATCH(Calendar!$A18,DB!$1:$1,0)),FALSE)),"")</f>
        <v/>
      </c>
      <c r="UWL18" s="28" t="str">
        <f>IFERROR(IF(UWU3="No",IF(VLOOKUP(DATE($K$1,$K$2,UWL$4),Table1[],(MATCH(Calendar!$A18,DB!$1:$1,0)),FALSE)&gt;=5,"Good","Bad"),VLOOKUP(DATE($K$1,$K$2,UWL$4),Table1[],(MATCH(Calendar!$A18,DB!$1:$1,0)),FALSE)),"")</f>
        <v/>
      </c>
      <c r="UWM18" s="28" t="str">
        <f>IFERROR(IF(UWV3="No",IF(VLOOKUP(DATE($K$1,$K$2,UWM$4),Table1[],(MATCH(Calendar!$A18,DB!$1:$1,0)),FALSE)&gt;=5,"Good","Bad"),VLOOKUP(DATE($K$1,$K$2,UWM$4),Table1[],(MATCH(Calendar!$A18,DB!$1:$1,0)),FALSE)),"")</f>
        <v/>
      </c>
      <c r="UWN18" s="28" t="str">
        <f>IFERROR(IF(UWW3="No",IF(VLOOKUP(DATE($K$1,$K$2,UWN$4),Table1[],(MATCH(Calendar!$A18,DB!$1:$1,0)),FALSE)&gt;=5,"Good","Bad"),VLOOKUP(DATE($K$1,$K$2,UWN$4),Table1[],(MATCH(Calendar!$A18,DB!$1:$1,0)),FALSE)),"")</f>
        <v/>
      </c>
      <c r="UWO18" s="28" t="str">
        <f>IFERROR(IF(UWX3="No",IF(VLOOKUP(DATE($K$1,$K$2,UWO$4),Table1[],(MATCH(Calendar!$A18,DB!$1:$1,0)),FALSE)&gt;=5,"Good","Bad"),VLOOKUP(DATE($K$1,$K$2,UWO$4),Table1[],(MATCH(Calendar!$A18,DB!$1:$1,0)),FALSE)),"")</f>
        <v/>
      </c>
      <c r="UWP18" s="28" t="str">
        <f>IFERROR(IF(UWY3="No",IF(VLOOKUP(DATE($K$1,$K$2,UWP$4),Table1[],(MATCH(Calendar!$A18,DB!$1:$1,0)),FALSE)&gt;=5,"Good","Bad"),VLOOKUP(DATE($K$1,$K$2,UWP$4),Table1[],(MATCH(Calendar!$A18,DB!$1:$1,0)),FALSE)),"")</f>
        <v/>
      </c>
      <c r="UWQ18" s="28" t="str">
        <f>IFERROR(IF(UWZ3="No",IF(VLOOKUP(DATE($K$1,$K$2,UWQ$4),Table1[],(MATCH(Calendar!$A18,DB!$1:$1,0)),FALSE)&gt;=5,"Good","Bad"),VLOOKUP(DATE($K$1,$K$2,UWQ$4),Table1[],(MATCH(Calendar!$A18,DB!$1:$1,0)),FALSE)),"")</f>
        <v/>
      </c>
      <c r="UWR18" s="28" t="str">
        <f>IFERROR(IF(UXA3="No",IF(VLOOKUP(DATE($K$1,$K$2,UWR$4),Table1[],(MATCH(Calendar!$A18,DB!$1:$1,0)),FALSE)&gt;=5,"Good","Bad"),VLOOKUP(DATE($K$1,$K$2,UWR$4),Table1[],(MATCH(Calendar!$A18,DB!$1:$1,0)),FALSE)),"")</f>
        <v/>
      </c>
      <c r="UWS18" s="28" t="str">
        <f>IFERROR(IF(UXB3="No",IF(VLOOKUP(DATE($K$1,$K$2,UWS$4),Table1[],(MATCH(Calendar!$A18,DB!$1:$1,0)),FALSE)&gt;=5,"Good","Bad"),VLOOKUP(DATE($K$1,$K$2,UWS$4),Table1[],(MATCH(Calendar!$A18,DB!$1:$1,0)),FALSE)),"")</f>
        <v/>
      </c>
      <c r="UWT18" s="28" t="str">
        <f>IFERROR(IF(UXC3="No",IF(VLOOKUP(DATE($K$1,$K$2,UWT$4),Table1[],(MATCH(Calendar!$A18,DB!$1:$1,0)),FALSE)&gt;=5,"Good","Bad"),VLOOKUP(DATE($K$1,$K$2,UWT$4),Table1[],(MATCH(Calendar!$A18,DB!$1:$1,0)),FALSE)),"")</f>
        <v/>
      </c>
      <c r="UWU18" s="28" t="str">
        <f>IFERROR(IF(UXD3="No",IF(VLOOKUP(DATE($K$1,$K$2,UWU$4),Table1[],(MATCH(Calendar!$A18,DB!$1:$1,0)),FALSE)&gt;=5,"Good","Bad"),VLOOKUP(DATE($K$1,$K$2,UWU$4),Table1[],(MATCH(Calendar!$A18,DB!$1:$1,0)),FALSE)),"")</f>
        <v/>
      </c>
      <c r="UWV18" s="28" t="str">
        <f>IFERROR(IF(UXE3="No",IF(VLOOKUP(DATE($K$1,$K$2,UWV$4),Table1[],(MATCH(Calendar!$A18,DB!$1:$1,0)),FALSE)&gt;=5,"Good","Bad"),VLOOKUP(DATE($K$1,$K$2,UWV$4),Table1[],(MATCH(Calendar!$A18,DB!$1:$1,0)),FALSE)),"")</f>
        <v/>
      </c>
      <c r="UWW18" s="28" t="str">
        <f>IFERROR(IF(UXF3="No",IF(VLOOKUP(DATE($K$1,$K$2,UWW$4),Table1[],(MATCH(Calendar!$A18,DB!$1:$1,0)),FALSE)&gt;=5,"Good","Bad"),VLOOKUP(DATE($K$1,$K$2,UWW$4),Table1[],(MATCH(Calendar!$A18,DB!$1:$1,0)),FALSE)),"")</f>
        <v/>
      </c>
      <c r="UWX18" s="28" t="str">
        <f>IFERROR(IF(UXG3="No",IF(VLOOKUP(DATE($K$1,$K$2,UWX$4),Table1[],(MATCH(Calendar!$A18,DB!$1:$1,0)),FALSE)&gt;=5,"Good","Bad"),VLOOKUP(DATE($K$1,$K$2,UWX$4),Table1[],(MATCH(Calendar!$A18,DB!$1:$1,0)),FALSE)),"")</f>
        <v/>
      </c>
      <c r="UWY18" s="28" t="str">
        <f>IFERROR(IF(UXH3="No",IF(VLOOKUP(DATE($K$1,$K$2,UWY$4),Table1[],(MATCH(Calendar!$A18,DB!$1:$1,0)),FALSE)&gt;=5,"Good","Bad"),VLOOKUP(DATE($K$1,$K$2,UWY$4),Table1[],(MATCH(Calendar!$A18,DB!$1:$1,0)),FALSE)),"")</f>
        <v/>
      </c>
      <c r="UWZ18" s="28" t="str">
        <f>IFERROR(IF(UXI3="No",IF(VLOOKUP(DATE($K$1,$K$2,UWZ$4),Table1[],(MATCH(Calendar!$A18,DB!$1:$1,0)),FALSE)&gt;=5,"Good","Bad"),VLOOKUP(DATE($K$1,$K$2,UWZ$4),Table1[],(MATCH(Calendar!$A18,DB!$1:$1,0)),FALSE)),"")</f>
        <v/>
      </c>
      <c r="UXA18" s="28" t="str">
        <f>IFERROR(IF(UXJ3="No",IF(VLOOKUP(DATE($K$1,$K$2,UXA$4),Table1[],(MATCH(Calendar!$A18,DB!$1:$1,0)),FALSE)&gt;=5,"Good","Bad"),VLOOKUP(DATE($K$1,$K$2,UXA$4),Table1[],(MATCH(Calendar!$A18,DB!$1:$1,0)),FALSE)),"")</f>
        <v/>
      </c>
      <c r="UXB18" s="28" t="str">
        <f>IFERROR(IF(UXK3="No",IF(VLOOKUP(DATE($K$1,$K$2,UXB$4),Table1[],(MATCH(Calendar!$A18,DB!$1:$1,0)),FALSE)&gt;=5,"Good","Bad"),VLOOKUP(DATE($K$1,$K$2,UXB$4),Table1[],(MATCH(Calendar!$A18,DB!$1:$1,0)),FALSE)),"")</f>
        <v/>
      </c>
      <c r="UXC18" s="28" t="str">
        <f>IFERROR(IF(UXL3="No",IF(VLOOKUP(DATE($K$1,$K$2,UXC$4),Table1[],(MATCH(Calendar!$A18,DB!$1:$1,0)),FALSE)&gt;=5,"Good","Bad"),VLOOKUP(DATE($K$1,$K$2,UXC$4),Table1[],(MATCH(Calendar!$A18,DB!$1:$1,0)),FALSE)),"")</f>
        <v/>
      </c>
      <c r="UXD18" s="28" t="str">
        <f>IFERROR(IF(UXM3="No",IF(VLOOKUP(DATE($K$1,$K$2,UXD$4),Table1[],(MATCH(Calendar!$A18,DB!$1:$1,0)),FALSE)&gt;=5,"Good","Bad"),VLOOKUP(DATE($K$1,$K$2,UXD$4),Table1[],(MATCH(Calendar!$A18,DB!$1:$1,0)),FALSE)),"")</f>
        <v/>
      </c>
      <c r="UXE18" s="28" t="str">
        <f>IFERROR(IF(UXN3="No",IF(VLOOKUP(DATE($K$1,$K$2,UXE$4),Table1[],(MATCH(Calendar!$A18,DB!$1:$1,0)),FALSE)&gt;=5,"Good","Bad"),VLOOKUP(DATE($K$1,$K$2,UXE$4),Table1[],(MATCH(Calendar!$A18,DB!$1:$1,0)),FALSE)),"")</f>
        <v/>
      </c>
      <c r="UXF18" s="28" t="str">
        <f>IFERROR(IF(UXO3="No",IF(VLOOKUP(DATE($K$1,$K$2,UXF$4),Table1[],(MATCH(Calendar!$A18,DB!$1:$1,0)),FALSE)&gt;=5,"Good","Bad"),VLOOKUP(DATE($K$1,$K$2,UXF$4),Table1[],(MATCH(Calendar!$A18,DB!$1:$1,0)),FALSE)),"")</f>
        <v/>
      </c>
      <c r="UXG18" s="28" t="str">
        <f>IFERROR(IF(UXP3="No",IF(VLOOKUP(DATE($K$1,$K$2,UXG$4),Table1[],(MATCH(Calendar!$A18,DB!$1:$1,0)),FALSE)&gt;=5,"Good","Bad"),VLOOKUP(DATE($K$1,$K$2,UXG$4),Table1[],(MATCH(Calendar!$A18,DB!$1:$1,0)),FALSE)),"")</f>
        <v/>
      </c>
      <c r="UXH18" s="28" t="str">
        <f>IFERROR(IF(UXQ3="No",IF(VLOOKUP(DATE($K$1,$K$2,UXH$4),Table1[],(MATCH(Calendar!$A18,DB!$1:$1,0)),FALSE)&gt;=5,"Good","Bad"),VLOOKUP(DATE($K$1,$K$2,UXH$4),Table1[],(MATCH(Calendar!$A18,DB!$1:$1,0)),FALSE)),"")</f>
        <v/>
      </c>
      <c r="UXI18" s="28" t="str">
        <f>IFERROR(IF(UXR3="No",IF(VLOOKUP(DATE($K$1,$K$2,UXI$4),Table1[],(MATCH(Calendar!$A18,DB!$1:$1,0)),FALSE)&gt;=5,"Good","Bad"),VLOOKUP(DATE($K$1,$K$2,UXI$4),Table1[],(MATCH(Calendar!$A18,DB!$1:$1,0)),FALSE)),"")</f>
        <v/>
      </c>
      <c r="UXJ18" s="28" t="str">
        <f>IFERROR(IF(UXS3="No",IF(VLOOKUP(DATE($K$1,$K$2,UXJ$4),Table1[],(MATCH(Calendar!$A18,DB!$1:$1,0)),FALSE)&gt;=5,"Good","Bad"),VLOOKUP(DATE($K$1,$K$2,UXJ$4),Table1[],(MATCH(Calendar!$A18,DB!$1:$1,0)),FALSE)),"")</f>
        <v/>
      </c>
      <c r="UXK18" s="28" t="str">
        <f>IFERROR(IF(UXT3="No",IF(VLOOKUP(DATE($K$1,$K$2,UXK$4),Table1[],(MATCH(Calendar!$A18,DB!$1:$1,0)),FALSE)&gt;=5,"Good","Bad"),VLOOKUP(DATE($K$1,$K$2,UXK$4),Table1[],(MATCH(Calendar!$A18,DB!$1:$1,0)),FALSE)),"")</f>
        <v/>
      </c>
      <c r="UXL18" s="28" t="str">
        <f>IFERROR(IF(UXU3="No",IF(VLOOKUP(DATE($K$1,$K$2,UXL$4),Table1[],(MATCH(Calendar!$A18,DB!$1:$1,0)),FALSE)&gt;=5,"Good","Bad"),VLOOKUP(DATE($K$1,$K$2,UXL$4),Table1[],(MATCH(Calendar!$A18,DB!$1:$1,0)),FALSE)),"")</f>
        <v/>
      </c>
      <c r="UXM18" s="28" t="str">
        <f>IFERROR(IF(UXV3="No",IF(VLOOKUP(DATE($K$1,$K$2,UXM$4),Table1[],(MATCH(Calendar!$A18,DB!$1:$1,0)),FALSE)&gt;=5,"Good","Bad"),VLOOKUP(DATE($K$1,$K$2,UXM$4),Table1[],(MATCH(Calendar!$A18,DB!$1:$1,0)),FALSE)),"")</f>
        <v/>
      </c>
      <c r="UXN18" s="28" t="str">
        <f>IFERROR(IF(UXW3="No",IF(VLOOKUP(DATE($K$1,$K$2,UXN$4),Table1[],(MATCH(Calendar!$A18,DB!$1:$1,0)),FALSE)&gt;=5,"Good","Bad"),VLOOKUP(DATE($K$1,$K$2,UXN$4),Table1[],(MATCH(Calendar!$A18,DB!$1:$1,0)),FALSE)),"")</f>
        <v/>
      </c>
      <c r="UXO18" s="28" t="str">
        <f>IFERROR(IF(UXX3="No",IF(VLOOKUP(DATE($K$1,$K$2,UXO$4),Table1[],(MATCH(Calendar!$A18,DB!$1:$1,0)),FALSE)&gt;=5,"Good","Bad"),VLOOKUP(DATE($K$1,$K$2,UXO$4),Table1[],(MATCH(Calendar!$A18,DB!$1:$1,0)),FALSE)),"")</f>
        <v/>
      </c>
      <c r="UXP18" s="28" t="str">
        <f>IFERROR(IF(UXY3="No",IF(VLOOKUP(DATE($K$1,$K$2,UXP$4),Table1[],(MATCH(Calendar!$A18,DB!$1:$1,0)),FALSE)&gt;=5,"Good","Bad"),VLOOKUP(DATE($K$1,$K$2,UXP$4),Table1[],(MATCH(Calendar!$A18,DB!$1:$1,0)),FALSE)),"")</f>
        <v/>
      </c>
      <c r="UXQ18" s="28" t="str">
        <f>IFERROR(IF(UXZ3="No",IF(VLOOKUP(DATE($K$1,$K$2,UXQ$4),Table1[],(MATCH(Calendar!$A18,DB!$1:$1,0)),FALSE)&gt;=5,"Good","Bad"),VLOOKUP(DATE($K$1,$K$2,UXQ$4),Table1[],(MATCH(Calendar!$A18,DB!$1:$1,0)),FALSE)),"")</f>
        <v/>
      </c>
      <c r="UXR18" s="28" t="str">
        <f>IFERROR(IF(UYA3="No",IF(VLOOKUP(DATE($K$1,$K$2,UXR$4),Table1[],(MATCH(Calendar!$A18,DB!$1:$1,0)),FALSE)&gt;=5,"Good","Bad"),VLOOKUP(DATE($K$1,$K$2,UXR$4),Table1[],(MATCH(Calendar!$A18,DB!$1:$1,0)),FALSE)),"")</f>
        <v/>
      </c>
      <c r="UXS18" s="28" t="str">
        <f>IFERROR(IF(UYB3="No",IF(VLOOKUP(DATE($K$1,$K$2,UXS$4),Table1[],(MATCH(Calendar!$A18,DB!$1:$1,0)),FALSE)&gt;=5,"Good","Bad"),VLOOKUP(DATE($K$1,$K$2,UXS$4),Table1[],(MATCH(Calendar!$A18,DB!$1:$1,0)),FALSE)),"")</f>
        <v/>
      </c>
      <c r="UXT18" s="28" t="str">
        <f>IFERROR(IF(UYC3="No",IF(VLOOKUP(DATE($K$1,$K$2,UXT$4),Table1[],(MATCH(Calendar!$A18,DB!$1:$1,0)),FALSE)&gt;=5,"Good","Bad"),VLOOKUP(DATE($K$1,$K$2,UXT$4),Table1[],(MATCH(Calendar!$A18,DB!$1:$1,0)),FALSE)),"")</f>
        <v/>
      </c>
      <c r="UXU18" s="28" t="str">
        <f>IFERROR(IF(UYD3="No",IF(VLOOKUP(DATE($K$1,$K$2,UXU$4),Table1[],(MATCH(Calendar!$A18,DB!$1:$1,0)),FALSE)&gt;=5,"Good","Bad"),VLOOKUP(DATE($K$1,$K$2,UXU$4),Table1[],(MATCH(Calendar!$A18,DB!$1:$1,0)),FALSE)),"")</f>
        <v/>
      </c>
      <c r="UXV18" s="28" t="str">
        <f>IFERROR(IF(UYE3="No",IF(VLOOKUP(DATE($K$1,$K$2,UXV$4),Table1[],(MATCH(Calendar!$A18,DB!$1:$1,0)),FALSE)&gt;=5,"Good","Bad"),VLOOKUP(DATE($K$1,$K$2,UXV$4),Table1[],(MATCH(Calendar!$A18,DB!$1:$1,0)),FALSE)),"")</f>
        <v/>
      </c>
      <c r="UXW18" s="28" t="str">
        <f>IFERROR(IF(UYF3="No",IF(VLOOKUP(DATE($K$1,$K$2,UXW$4),Table1[],(MATCH(Calendar!$A18,DB!$1:$1,0)),FALSE)&gt;=5,"Good","Bad"),VLOOKUP(DATE($K$1,$K$2,UXW$4),Table1[],(MATCH(Calendar!$A18,DB!$1:$1,0)),FALSE)),"")</f>
        <v/>
      </c>
      <c r="UXX18" s="28" t="str">
        <f>IFERROR(IF(UYG3="No",IF(VLOOKUP(DATE($K$1,$K$2,UXX$4),Table1[],(MATCH(Calendar!$A18,DB!$1:$1,0)),FALSE)&gt;=5,"Good","Bad"),VLOOKUP(DATE($K$1,$K$2,UXX$4),Table1[],(MATCH(Calendar!$A18,DB!$1:$1,0)),FALSE)),"")</f>
        <v/>
      </c>
      <c r="UXY18" s="28" t="str">
        <f>IFERROR(IF(UYH3="No",IF(VLOOKUP(DATE($K$1,$K$2,UXY$4),Table1[],(MATCH(Calendar!$A18,DB!$1:$1,0)),FALSE)&gt;=5,"Good","Bad"),VLOOKUP(DATE($K$1,$K$2,UXY$4),Table1[],(MATCH(Calendar!$A18,DB!$1:$1,0)),FALSE)),"")</f>
        <v/>
      </c>
      <c r="UXZ18" s="28" t="str">
        <f>IFERROR(IF(UYI3="No",IF(VLOOKUP(DATE($K$1,$K$2,UXZ$4),Table1[],(MATCH(Calendar!$A18,DB!$1:$1,0)),FALSE)&gt;=5,"Good","Bad"),VLOOKUP(DATE($K$1,$K$2,UXZ$4),Table1[],(MATCH(Calendar!$A18,DB!$1:$1,0)),FALSE)),"")</f>
        <v/>
      </c>
      <c r="UYA18" s="28" t="str">
        <f>IFERROR(IF(UYJ3="No",IF(VLOOKUP(DATE($K$1,$K$2,UYA$4),Table1[],(MATCH(Calendar!$A18,DB!$1:$1,0)),FALSE)&gt;=5,"Good","Bad"),VLOOKUP(DATE($K$1,$K$2,UYA$4),Table1[],(MATCH(Calendar!$A18,DB!$1:$1,0)),FALSE)),"")</f>
        <v/>
      </c>
      <c r="UYB18" s="28" t="str">
        <f>IFERROR(IF(UYK3="No",IF(VLOOKUP(DATE($K$1,$K$2,UYB$4),Table1[],(MATCH(Calendar!$A18,DB!$1:$1,0)),FALSE)&gt;=5,"Good","Bad"),VLOOKUP(DATE($K$1,$K$2,UYB$4),Table1[],(MATCH(Calendar!$A18,DB!$1:$1,0)),FALSE)),"")</f>
        <v/>
      </c>
      <c r="UYC18" s="28" t="str">
        <f>IFERROR(IF(UYL3="No",IF(VLOOKUP(DATE($K$1,$K$2,UYC$4),Table1[],(MATCH(Calendar!$A18,DB!$1:$1,0)),FALSE)&gt;=5,"Good","Bad"),VLOOKUP(DATE($K$1,$K$2,UYC$4),Table1[],(MATCH(Calendar!$A18,DB!$1:$1,0)),FALSE)),"")</f>
        <v/>
      </c>
      <c r="UYD18" s="28" t="str">
        <f>IFERROR(IF(UYM3="No",IF(VLOOKUP(DATE($K$1,$K$2,UYD$4),Table1[],(MATCH(Calendar!$A18,DB!$1:$1,0)),FALSE)&gt;=5,"Good","Bad"),VLOOKUP(DATE($K$1,$K$2,UYD$4),Table1[],(MATCH(Calendar!$A18,DB!$1:$1,0)),FALSE)),"")</f>
        <v/>
      </c>
      <c r="UYE18" s="28" t="str">
        <f>IFERROR(IF(UYN3="No",IF(VLOOKUP(DATE($K$1,$K$2,UYE$4),Table1[],(MATCH(Calendar!$A18,DB!$1:$1,0)),FALSE)&gt;=5,"Good","Bad"),VLOOKUP(DATE($K$1,$K$2,UYE$4),Table1[],(MATCH(Calendar!$A18,DB!$1:$1,0)),FALSE)),"")</f>
        <v/>
      </c>
      <c r="UYF18" s="28" t="str">
        <f>IFERROR(IF(UYO3="No",IF(VLOOKUP(DATE($K$1,$K$2,UYF$4),Table1[],(MATCH(Calendar!$A18,DB!$1:$1,0)),FALSE)&gt;=5,"Good","Bad"),VLOOKUP(DATE($K$1,$K$2,UYF$4),Table1[],(MATCH(Calendar!$A18,DB!$1:$1,0)),FALSE)),"")</f>
        <v/>
      </c>
      <c r="UYG18" s="28" t="str">
        <f>IFERROR(IF(UYP3="No",IF(VLOOKUP(DATE($K$1,$K$2,UYG$4),Table1[],(MATCH(Calendar!$A18,DB!$1:$1,0)),FALSE)&gt;=5,"Good","Bad"),VLOOKUP(DATE($K$1,$K$2,UYG$4),Table1[],(MATCH(Calendar!$A18,DB!$1:$1,0)),FALSE)),"")</f>
        <v/>
      </c>
      <c r="UYH18" s="28" t="str">
        <f>IFERROR(IF(UYQ3="No",IF(VLOOKUP(DATE($K$1,$K$2,UYH$4),Table1[],(MATCH(Calendar!$A18,DB!$1:$1,0)),FALSE)&gt;=5,"Good","Bad"),VLOOKUP(DATE($K$1,$K$2,UYH$4),Table1[],(MATCH(Calendar!$A18,DB!$1:$1,0)),FALSE)),"")</f>
        <v/>
      </c>
      <c r="UYI18" s="28" t="str">
        <f>IFERROR(IF(UYR3="No",IF(VLOOKUP(DATE($K$1,$K$2,UYI$4),Table1[],(MATCH(Calendar!$A18,DB!$1:$1,0)),FALSE)&gt;=5,"Good","Bad"),VLOOKUP(DATE($K$1,$K$2,UYI$4),Table1[],(MATCH(Calendar!$A18,DB!$1:$1,0)),FALSE)),"")</f>
        <v/>
      </c>
      <c r="UYJ18" s="28" t="str">
        <f>IFERROR(IF(UYS3="No",IF(VLOOKUP(DATE($K$1,$K$2,UYJ$4),Table1[],(MATCH(Calendar!$A18,DB!$1:$1,0)),FALSE)&gt;=5,"Good","Bad"),VLOOKUP(DATE($K$1,$K$2,UYJ$4),Table1[],(MATCH(Calendar!$A18,DB!$1:$1,0)),FALSE)),"")</f>
        <v/>
      </c>
      <c r="UYK18" s="28" t="str">
        <f>IFERROR(IF(UYT3="No",IF(VLOOKUP(DATE($K$1,$K$2,UYK$4),Table1[],(MATCH(Calendar!$A18,DB!$1:$1,0)),FALSE)&gt;=5,"Good","Bad"),VLOOKUP(DATE($K$1,$K$2,UYK$4),Table1[],(MATCH(Calendar!$A18,DB!$1:$1,0)),FALSE)),"")</f>
        <v/>
      </c>
      <c r="UYL18" s="28" t="str">
        <f>IFERROR(IF(UYU3="No",IF(VLOOKUP(DATE($K$1,$K$2,UYL$4),Table1[],(MATCH(Calendar!$A18,DB!$1:$1,0)),FALSE)&gt;=5,"Good","Bad"),VLOOKUP(DATE($K$1,$K$2,UYL$4),Table1[],(MATCH(Calendar!$A18,DB!$1:$1,0)),FALSE)),"")</f>
        <v/>
      </c>
      <c r="UYM18" s="28" t="str">
        <f>IFERROR(IF(UYV3="No",IF(VLOOKUP(DATE($K$1,$K$2,UYM$4),Table1[],(MATCH(Calendar!$A18,DB!$1:$1,0)),FALSE)&gt;=5,"Good","Bad"),VLOOKUP(DATE($K$1,$K$2,UYM$4),Table1[],(MATCH(Calendar!$A18,DB!$1:$1,0)),FALSE)),"")</f>
        <v/>
      </c>
      <c r="UYN18" s="28" t="str">
        <f>IFERROR(IF(UYW3="No",IF(VLOOKUP(DATE($K$1,$K$2,UYN$4),Table1[],(MATCH(Calendar!$A18,DB!$1:$1,0)),FALSE)&gt;=5,"Good","Bad"),VLOOKUP(DATE($K$1,$K$2,UYN$4),Table1[],(MATCH(Calendar!$A18,DB!$1:$1,0)),FALSE)),"")</f>
        <v/>
      </c>
      <c r="UYO18" s="28" t="str">
        <f>IFERROR(IF(UYX3="No",IF(VLOOKUP(DATE($K$1,$K$2,UYO$4),Table1[],(MATCH(Calendar!$A18,DB!$1:$1,0)),FALSE)&gt;=5,"Good","Bad"),VLOOKUP(DATE($K$1,$K$2,UYO$4),Table1[],(MATCH(Calendar!$A18,DB!$1:$1,0)),FALSE)),"")</f>
        <v/>
      </c>
      <c r="UYP18" s="28" t="str">
        <f>IFERROR(IF(UYY3="No",IF(VLOOKUP(DATE($K$1,$K$2,UYP$4),Table1[],(MATCH(Calendar!$A18,DB!$1:$1,0)),FALSE)&gt;=5,"Good","Bad"),VLOOKUP(DATE($K$1,$K$2,UYP$4),Table1[],(MATCH(Calendar!$A18,DB!$1:$1,0)),FALSE)),"")</f>
        <v/>
      </c>
      <c r="UYQ18" s="28" t="str">
        <f>IFERROR(IF(UYZ3="No",IF(VLOOKUP(DATE($K$1,$K$2,UYQ$4),Table1[],(MATCH(Calendar!$A18,DB!$1:$1,0)),FALSE)&gt;=5,"Good","Bad"),VLOOKUP(DATE($K$1,$K$2,UYQ$4),Table1[],(MATCH(Calendar!$A18,DB!$1:$1,0)),FALSE)),"")</f>
        <v/>
      </c>
      <c r="UYR18" s="28" t="str">
        <f>IFERROR(IF(UZA3="No",IF(VLOOKUP(DATE($K$1,$K$2,UYR$4),Table1[],(MATCH(Calendar!$A18,DB!$1:$1,0)),FALSE)&gt;=5,"Good","Bad"),VLOOKUP(DATE($K$1,$K$2,UYR$4),Table1[],(MATCH(Calendar!$A18,DB!$1:$1,0)),FALSE)),"")</f>
        <v/>
      </c>
      <c r="UYS18" s="28" t="str">
        <f>IFERROR(IF(UZB3="No",IF(VLOOKUP(DATE($K$1,$K$2,UYS$4),Table1[],(MATCH(Calendar!$A18,DB!$1:$1,0)),FALSE)&gt;=5,"Good","Bad"),VLOOKUP(DATE($K$1,$K$2,UYS$4),Table1[],(MATCH(Calendar!$A18,DB!$1:$1,0)),FALSE)),"")</f>
        <v/>
      </c>
      <c r="UYT18" s="28" t="str">
        <f>IFERROR(IF(UZC3="No",IF(VLOOKUP(DATE($K$1,$K$2,UYT$4),Table1[],(MATCH(Calendar!$A18,DB!$1:$1,0)),FALSE)&gt;=5,"Good","Bad"),VLOOKUP(DATE($K$1,$K$2,UYT$4),Table1[],(MATCH(Calendar!$A18,DB!$1:$1,0)),FALSE)),"")</f>
        <v/>
      </c>
      <c r="UYU18" s="28" t="str">
        <f>IFERROR(IF(UZD3="No",IF(VLOOKUP(DATE($K$1,$K$2,UYU$4),Table1[],(MATCH(Calendar!$A18,DB!$1:$1,0)),FALSE)&gt;=5,"Good","Bad"),VLOOKUP(DATE($K$1,$K$2,UYU$4),Table1[],(MATCH(Calendar!$A18,DB!$1:$1,0)),FALSE)),"")</f>
        <v/>
      </c>
      <c r="UYV18" s="28" t="str">
        <f>IFERROR(IF(UZE3="No",IF(VLOOKUP(DATE($K$1,$K$2,UYV$4),Table1[],(MATCH(Calendar!$A18,DB!$1:$1,0)),FALSE)&gt;=5,"Good","Bad"),VLOOKUP(DATE($K$1,$K$2,UYV$4),Table1[],(MATCH(Calendar!$A18,DB!$1:$1,0)),FALSE)),"")</f>
        <v/>
      </c>
      <c r="UYW18" s="28" t="str">
        <f>IFERROR(IF(UZF3="No",IF(VLOOKUP(DATE($K$1,$K$2,UYW$4),Table1[],(MATCH(Calendar!$A18,DB!$1:$1,0)),FALSE)&gt;=5,"Good","Bad"),VLOOKUP(DATE($K$1,$K$2,UYW$4),Table1[],(MATCH(Calendar!$A18,DB!$1:$1,0)),FALSE)),"")</f>
        <v/>
      </c>
      <c r="UYX18" s="28" t="str">
        <f>IFERROR(IF(UZG3="No",IF(VLOOKUP(DATE($K$1,$K$2,UYX$4),Table1[],(MATCH(Calendar!$A18,DB!$1:$1,0)),FALSE)&gt;=5,"Good","Bad"),VLOOKUP(DATE($K$1,$K$2,UYX$4),Table1[],(MATCH(Calendar!$A18,DB!$1:$1,0)),FALSE)),"")</f>
        <v/>
      </c>
      <c r="UYY18" s="28" t="str">
        <f>IFERROR(IF(UZH3="No",IF(VLOOKUP(DATE($K$1,$K$2,UYY$4),Table1[],(MATCH(Calendar!$A18,DB!$1:$1,0)),FALSE)&gt;=5,"Good","Bad"),VLOOKUP(DATE($K$1,$K$2,UYY$4),Table1[],(MATCH(Calendar!$A18,DB!$1:$1,0)),FALSE)),"")</f>
        <v/>
      </c>
      <c r="UYZ18" s="28" t="str">
        <f>IFERROR(IF(UZI3="No",IF(VLOOKUP(DATE($K$1,$K$2,UYZ$4),Table1[],(MATCH(Calendar!$A18,DB!$1:$1,0)),FALSE)&gt;=5,"Good","Bad"),VLOOKUP(DATE($K$1,$K$2,UYZ$4),Table1[],(MATCH(Calendar!$A18,DB!$1:$1,0)),FALSE)),"")</f>
        <v/>
      </c>
      <c r="UZA18" s="28" t="str">
        <f>IFERROR(IF(UZJ3="No",IF(VLOOKUP(DATE($K$1,$K$2,UZA$4),Table1[],(MATCH(Calendar!$A18,DB!$1:$1,0)),FALSE)&gt;=5,"Good","Bad"),VLOOKUP(DATE($K$1,$K$2,UZA$4),Table1[],(MATCH(Calendar!$A18,DB!$1:$1,0)),FALSE)),"")</f>
        <v/>
      </c>
      <c r="UZB18" s="28" t="str">
        <f>IFERROR(IF(UZK3="No",IF(VLOOKUP(DATE($K$1,$K$2,UZB$4),Table1[],(MATCH(Calendar!$A18,DB!$1:$1,0)),FALSE)&gt;=5,"Good","Bad"),VLOOKUP(DATE($K$1,$K$2,UZB$4),Table1[],(MATCH(Calendar!$A18,DB!$1:$1,0)),FALSE)),"")</f>
        <v/>
      </c>
      <c r="UZC18" s="28" t="str">
        <f>IFERROR(IF(UZL3="No",IF(VLOOKUP(DATE($K$1,$K$2,UZC$4),Table1[],(MATCH(Calendar!$A18,DB!$1:$1,0)),FALSE)&gt;=5,"Good","Bad"),VLOOKUP(DATE($K$1,$K$2,UZC$4),Table1[],(MATCH(Calendar!$A18,DB!$1:$1,0)),FALSE)),"")</f>
        <v/>
      </c>
      <c r="UZD18" s="28" t="str">
        <f>IFERROR(IF(UZM3="No",IF(VLOOKUP(DATE($K$1,$K$2,UZD$4),Table1[],(MATCH(Calendar!$A18,DB!$1:$1,0)),FALSE)&gt;=5,"Good","Bad"),VLOOKUP(DATE($K$1,$K$2,UZD$4),Table1[],(MATCH(Calendar!$A18,DB!$1:$1,0)),FALSE)),"")</f>
        <v/>
      </c>
      <c r="UZE18" s="28" t="str">
        <f>IFERROR(IF(UZN3="No",IF(VLOOKUP(DATE($K$1,$K$2,UZE$4),Table1[],(MATCH(Calendar!$A18,DB!$1:$1,0)),FALSE)&gt;=5,"Good","Bad"),VLOOKUP(DATE($K$1,$K$2,UZE$4),Table1[],(MATCH(Calendar!$A18,DB!$1:$1,0)),FALSE)),"")</f>
        <v/>
      </c>
      <c r="UZF18" s="28" t="str">
        <f>IFERROR(IF(UZO3="No",IF(VLOOKUP(DATE($K$1,$K$2,UZF$4),Table1[],(MATCH(Calendar!$A18,DB!$1:$1,0)),FALSE)&gt;=5,"Good","Bad"),VLOOKUP(DATE($K$1,$K$2,UZF$4),Table1[],(MATCH(Calendar!$A18,DB!$1:$1,0)),FALSE)),"")</f>
        <v/>
      </c>
      <c r="UZG18" s="28" t="str">
        <f>IFERROR(IF(UZP3="No",IF(VLOOKUP(DATE($K$1,$K$2,UZG$4),Table1[],(MATCH(Calendar!$A18,DB!$1:$1,0)),FALSE)&gt;=5,"Good","Bad"),VLOOKUP(DATE($K$1,$K$2,UZG$4),Table1[],(MATCH(Calendar!$A18,DB!$1:$1,0)),FALSE)),"")</f>
        <v/>
      </c>
      <c r="UZH18" s="28" t="str">
        <f>IFERROR(IF(UZQ3="No",IF(VLOOKUP(DATE($K$1,$K$2,UZH$4),Table1[],(MATCH(Calendar!$A18,DB!$1:$1,0)),FALSE)&gt;=5,"Good","Bad"),VLOOKUP(DATE($K$1,$K$2,UZH$4),Table1[],(MATCH(Calendar!$A18,DB!$1:$1,0)),FALSE)),"")</f>
        <v/>
      </c>
      <c r="UZI18" s="28" t="str">
        <f>IFERROR(IF(UZR3="No",IF(VLOOKUP(DATE($K$1,$K$2,UZI$4),Table1[],(MATCH(Calendar!$A18,DB!$1:$1,0)),FALSE)&gt;=5,"Good","Bad"),VLOOKUP(DATE($K$1,$K$2,UZI$4),Table1[],(MATCH(Calendar!$A18,DB!$1:$1,0)),FALSE)),"")</f>
        <v/>
      </c>
      <c r="UZJ18" s="28" t="str">
        <f>IFERROR(IF(UZS3="No",IF(VLOOKUP(DATE($K$1,$K$2,UZJ$4),Table1[],(MATCH(Calendar!$A18,DB!$1:$1,0)),FALSE)&gt;=5,"Good","Bad"),VLOOKUP(DATE($K$1,$K$2,UZJ$4),Table1[],(MATCH(Calendar!$A18,DB!$1:$1,0)),FALSE)),"")</f>
        <v/>
      </c>
      <c r="UZK18" s="28" t="str">
        <f>IFERROR(IF(UZT3="No",IF(VLOOKUP(DATE($K$1,$K$2,UZK$4),Table1[],(MATCH(Calendar!$A18,DB!$1:$1,0)),FALSE)&gt;=5,"Good","Bad"),VLOOKUP(DATE($K$1,$K$2,UZK$4),Table1[],(MATCH(Calendar!$A18,DB!$1:$1,0)),FALSE)),"")</f>
        <v/>
      </c>
      <c r="UZL18" s="28" t="str">
        <f>IFERROR(IF(UZU3="No",IF(VLOOKUP(DATE($K$1,$K$2,UZL$4),Table1[],(MATCH(Calendar!$A18,DB!$1:$1,0)),FALSE)&gt;=5,"Good","Bad"),VLOOKUP(DATE($K$1,$K$2,UZL$4),Table1[],(MATCH(Calendar!$A18,DB!$1:$1,0)),FALSE)),"")</f>
        <v/>
      </c>
      <c r="UZM18" s="28" t="str">
        <f>IFERROR(IF(UZV3="No",IF(VLOOKUP(DATE($K$1,$K$2,UZM$4),Table1[],(MATCH(Calendar!$A18,DB!$1:$1,0)),FALSE)&gt;=5,"Good","Bad"),VLOOKUP(DATE($K$1,$K$2,UZM$4),Table1[],(MATCH(Calendar!$A18,DB!$1:$1,0)),FALSE)),"")</f>
        <v/>
      </c>
      <c r="UZN18" s="28" t="str">
        <f>IFERROR(IF(UZW3="No",IF(VLOOKUP(DATE($K$1,$K$2,UZN$4),Table1[],(MATCH(Calendar!$A18,DB!$1:$1,0)),FALSE)&gt;=5,"Good","Bad"),VLOOKUP(DATE($K$1,$K$2,UZN$4),Table1[],(MATCH(Calendar!$A18,DB!$1:$1,0)),FALSE)),"")</f>
        <v/>
      </c>
      <c r="UZO18" s="28" t="str">
        <f>IFERROR(IF(UZX3="No",IF(VLOOKUP(DATE($K$1,$K$2,UZO$4),Table1[],(MATCH(Calendar!$A18,DB!$1:$1,0)),FALSE)&gt;=5,"Good","Bad"),VLOOKUP(DATE($K$1,$K$2,UZO$4),Table1[],(MATCH(Calendar!$A18,DB!$1:$1,0)),FALSE)),"")</f>
        <v/>
      </c>
      <c r="UZP18" s="28" t="str">
        <f>IFERROR(IF(UZY3="No",IF(VLOOKUP(DATE($K$1,$K$2,UZP$4),Table1[],(MATCH(Calendar!$A18,DB!$1:$1,0)),FALSE)&gt;=5,"Good","Bad"),VLOOKUP(DATE($K$1,$K$2,UZP$4),Table1[],(MATCH(Calendar!$A18,DB!$1:$1,0)),FALSE)),"")</f>
        <v/>
      </c>
      <c r="UZQ18" s="28" t="str">
        <f>IFERROR(IF(UZZ3="No",IF(VLOOKUP(DATE($K$1,$K$2,UZQ$4),Table1[],(MATCH(Calendar!$A18,DB!$1:$1,0)),FALSE)&gt;=5,"Good","Bad"),VLOOKUP(DATE($K$1,$K$2,UZQ$4),Table1[],(MATCH(Calendar!$A18,DB!$1:$1,0)),FALSE)),"")</f>
        <v/>
      </c>
      <c r="UZR18" s="28" t="str">
        <f>IFERROR(IF(VAA3="No",IF(VLOOKUP(DATE($K$1,$K$2,UZR$4),Table1[],(MATCH(Calendar!$A18,DB!$1:$1,0)),FALSE)&gt;=5,"Good","Bad"),VLOOKUP(DATE($K$1,$K$2,UZR$4),Table1[],(MATCH(Calendar!$A18,DB!$1:$1,0)),FALSE)),"")</f>
        <v/>
      </c>
      <c r="UZS18" s="28" t="str">
        <f>IFERROR(IF(VAB3="No",IF(VLOOKUP(DATE($K$1,$K$2,UZS$4),Table1[],(MATCH(Calendar!$A18,DB!$1:$1,0)),FALSE)&gt;=5,"Good","Bad"),VLOOKUP(DATE($K$1,$K$2,UZS$4),Table1[],(MATCH(Calendar!$A18,DB!$1:$1,0)),FALSE)),"")</f>
        <v/>
      </c>
      <c r="UZT18" s="28" t="str">
        <f>IFERROR(IF(VAC3="No",IF(VLOOKUP(DATE($K$1,$K$2,UZT$4),Table1[],(MATCH(Calendar!$A18,DB!$1:$1,0)),FALSE)&gt;=5,"Good","Bad"),VLOOKUP(DATE($K$1,$K$2,UZT$4),Table1[],(MATCH(Calendar!$A18,DB!$1:$1,0)),FALSE)),"")</f>
        <v/>
      </c>
      <c r="UZU18" s="28" t="str">
        <f>IFERROR(IF(VAD3="No",IF(VLOOKUP(DATE($K$1,$K$2,UZU$4),Table1[],(MATCH(Calendar!$A18,DB!$1:$1,0)),FALSE)&gt;=5,"Good","Bad"),VLOOKUP(DATE($K$1,$K$2,UZU$4),Table1[],(MATCH(Calendar!$A18,DB!$1:$1,0)),FALSE)),"")</f>
        <v/>
      </c>
      <c r="UZV18" s="28" t="str">
        <f>IFERROR(IF(VAE3="No",IF(VLOOKUP(DATE($K$1,$K$2,UZV$4),Table1[],(MATCH(Calendar!$A18,DB!$1:$1,0)),FALSE)&gt;=5,"Good","Bad"),VLOOKUP(DATE($K$1,$K$2,UZV$4),Table1[],(MATCH(Calendar!$A18,DB!$1:$1,0)),FALSE)),"")</f>
        <v/>
      </c>
      <c r="UZW18" s="28" t="str">
        <f>IFERROR(IF(VAF3="No",IF(VLOOKUP(DATE($K$1,$K$2,UZW$4),Table1[],(MATCH(Calendar!$A18,DB!$1:$1,0)),FALSE)&gt;=5,"Good","Bad"),VLOOKUP(DATE($K$1,$K$2,UZW$4),Table1[],(MATCH(Calendar!$A18,DB!$1:$1,0)),FALSE)),"")</f>
        <v/>
      </c>
      <c r="UZX18" s="28" t="str">
        <f>IFERROR(IF(VAG3="No",IF(VLOOKUP(DATE($K$1,$K$2,UZX$4),Table1[],(MATCH(Calendar!$A18,DB!$1:$1,0)),FALSE)&gt;=5,"Good","Bad"),VLOOKUP(DATE($K$1,$K$2,UZX$4),Table1[],(MATCH(Calendar!$A18,DB!$1:$1,0)),FALSE)),"")</f>
        <v/>
      </c>
      <c r="UZY18" s="28" t="str">
        <f>IFERROR(IF(VAH3="No",IF(VLOOKUP(DATE($K$1,$K$2,UZY$4),Table1[],(MATCH(Calendar!$A18,DB!$1:$1,0)),FALSE)&gt;=5,"Good","Bad"),VLOOKUP(DATE($K$1,$K$2,UZY$4),Table1[],(MATCH(Calendar!$A18,DB!$1:$1,0)),FALSE)),"")</f>
        <v/>
      </c>
      <c r="UZZ18" s="28" t="str">
        <f>IFERROR(IF(VAI3="No",IF(VLOOKUP(DATE($K$1,$K$2,UZZ$4),Table1[],(MATCH(Calendar!$A18,DB!$1:$1,0)),FALSE)&gt;=5,"Good","Bad"),VLOOKUP(DATE($K$1,$K$2,UZZ$4),Table1[],(MATCH(Calendar!$A18,DB!$1:$1,0)),FALSE)),"")</f>
        <v/>
      </c>
      <c r="VAA18" s="28" t="str">
        <f>IFERROR(IF(VAJ3="No",IF(VLOOKUP(DATE($K$1,$K$2,VAA$4),Table1[],(MATCH(Calendar!$A18,DB!$1:$1,0)),FALSE)&gt;=5,"Good","Bad"),VLOOKUP(DATE($K$1,$K$2,VAA$4),Table1[],(MATCH(Calendar!$A18,DB!$1:$1,0)),FALSE)),"")</f>
        <v/>
      </c>
      <c r="VAB18" s="28" t="str">
        <f>IFERROR(IF(VAK3="No",IF(VLOOKUP(DATE($K$1,$K$2,VAB$4),Table1[],(MATCH(Calendar!$A18,DB!$1:$1,0)),FALSE)&gt;=5,"Good","Bad"),VLOOKUP(DATE($K$1,$K$2,VAB$4),Table1[],(MATCH(Calendar!$A18,DB!$1:$1,0)),FALSE)),"")</f>
        <v/>
      </c>
      <c r="VAC18" s="28" t="str">
        <f>IFERROR(IF(VAL3="No",IF(VLOOKUP(DATE($K$1,$K$2,VAC$4),Table1[],(MATCH(Calendar!$A18,DB!$1:$1,0)),FALSE)&gt;=5,"Good","Bad"),VLOOKUP(DATE($K$1,$K$2,VAC$4),Table1[],(MATCH(Calendar!$A18,DB!$1:$1,0)),FALSE)),"")</f>
        <v/>
      </c>
      <c r="VAD18" s="28" t="str">
        <f>IFERROR(IF(VAM3="No",IF(VLOOKUP(DATE($K$1,$K$2,VAD$4),Table1[],(MATCH(Calendar!$A18,DB!$1:$1,0)),FALSE)&gt;=5,"Good","Bad"),VLOOKUP(DATE($K$1,$K$2,VAD$4),Table1[],(MATCH(Calendar!$A18,DB!$1:$1,0)),FALSE)),"")</f>
        <v/>
      </c>
      <c r="VAE18" s="28" t="str">
        <f>IFERROR(IF(VAN3="No",IF(VLOOKUP(DATE($K$1,$K$2,VAE$4),Table1[],(MATCH(Calendar!$A18,DB!$1:$1,0)),FALSE)&gt;=5,"Good","Bad"),VLOOKUP(DATE($K$1,$K$2,VAE$4),Table1[],(MATCH(Calendar!$A18,DB!$1:$1,0)),FALSE)),"")</f>
        <v/>
      </c>
      <c r="VAF18" s="28" t="str">
        <f>IFERROR(IF(VAO3="No",IF(VLOOKUP(DATE($K$1,$K$2,VAF$4),Table1[],(MATCH(Calendar!$A18,DB!$1:$1,0)),FALSE)&gt;=5,"Good","Bad"),VLOOKUP(DATE($K$1,$K$2,VAF$4),Table1[],(MATCH(Calendar!$A18,DB!$1:$1,0)),FALSE)),"")</f>
        <v/>
      </c>
      <c r="VAG18" s="28" t="str">
        <f>IFERROR(IF(VAP3="No",IF(VLOOKUP(DATE($K$1,$K$2,VAG$4),Table1[],(MATCH(Calendar!$A18,DB!$1:$1,0)),FALSE)&gt;=5,"Good","Bad"),VLOOKUP(DATE($K$1,$K$2,VAG$4),Table1[],(MATCH(Calendar!$A18,DB!$1:$1,0)),FALSE)),"")</f>
        <v/>
      </c>
      <c r="VAH18" s="28" t="str">
        <f>IFERROR(IF(VAQ3="No",IF(VLOOKUP(DATE($K$1,$K$2,VAH$4),Table1[],(MATCH(Calendar!$A18,DB!$1:$1,0)),FALSE)&gt;=5,"Good","Bad"),VLOOKUP(DATE($K$1,$K$2,VAH$4),Table1[],(MATCH(Calendar!$A18,DB!$1:$1,0)),FALSE)),"")</f>
        <v/>
      </c>
      <c r="VAI18" s="28" t="str">
        <f>IFERROR(IF(VAR3="No",IF(VLOOKUP(DATE($K$1,$K$2,VAI$4),Table1[],(MATCH(Calendar!$A18,DB!$1:$1,0)),FALSE)&gt;=5,"Good","Bad"),VLOOKUP(DATE($K$1,$K$2,VAI$4),Table1[],(MATCH(Calendar!$A18,DB!$1:$1,0)),FALSE)),"")</f>
        <v/>
      </c>
      <c r="VAJ18" s="28" t="str">
        <f>IFERROR(IF(VAS3="No",IF(VLOOKUP(DATE($K$1,$K$2,VAJ$4),Table1[],(MATCH(Calendar!$A18,DB!$1:$1,0)),FALSE)&gt;=5,"Good","Bad"),VLOOKUP(DATE($K$1,$K$2,VAJ$4),Table1[],(MATCH(Calendar!$A18,DB!$1:$1,0)),FALSE)),"")</f>
        <v/>
      </c>
      <c r="VAK18" s="28" t="str">
        <f>IFERROR(IF(VAT3="No",IF(VLOOKUP(DATE($K$1,$K$2,VAK$4),Table1[],(MATCH(Calendar!$A18,DB!$1:$1,0)),FALSE)&gt;=5,"Good","Bad"),VLOOKUP(DATE($K$1,$K$2,VAK$4),Table1[],(MATCH(Calendar!$A18,DB!$1:$1,0)),FALSE)),"")</f>
        <v/>
      </c>
      <c r="VAL18" s="28" t="str">
        <f>IFERROR(IF(VAU3="No",IF(VLOOKUP(DATE($K$1,$K$2,VAL$4),Table1[],(MATCH(Calendar!$A18,DB!$1:$1,0)),FALSE)&gt;=5,"Good","Bad"),VLOOKUP(DATE($K$1,$K$2,VAL$4),Table1[],(MATCH(Calendar!$A18,DB!$1:$1,0)),FALSE)),"")</f>
        <v/>
      </c>
      <c r="VAM18" s="28" t="str">
        <f>IFERROR(IF(VAV3="No",IF(VLOOKUP(DATE($K$1,$K$2,VAM$4),Table1[],(MATCH(Calendar!$A18,DB!$1:$1,0)),FALSE)&gt;=5,"Good","Bad"),VLOOKUP(DATE($K$1,$K$2,VAM$4),Table1[],(MATCH(Calendar!$A18,DB!$1:$1,0)),FALSE)),"")</f>
        <v/>
      </c>
      <c r="VAN18" s="28" t="str">
        <f>IFERROR(IF(VAW3="No",IF(VLOOKUP(DATE($K$1,$K$2,VAN$4),Table1[],(MATCH(Calendar!$A18,DB!$1:$1,0)),FALSE)&gt;=5,"Good","Bad"),VLOOKUP(DATE($K$1,$K$2,VAN$4),Table1[],(MATCH(Calendar!$A18,DB!$1:$1,0)),FALSE)),"")</f>
        <v/>
      </c>
      <c r="VAO18" s="28" t="str">
        <f>IFERROR(IF(VAX3="No",IF(VLOOKUP(DATE($K$1,$K$2,VAO$4),Table1[],(MATCH(Calendar!$A18,DB!$1:$1,0)),FALSE)&gt;=5,"Good","Bad"),VLOOKUP(DATE($K$1,$K$2,VAO$4),Table1[],(MATCH(Calendar!$A18,DB!$1:$1,0)),FALSE)),"")</f>
        <v/>
      </c>
      <c r="VAP18" s="28" t="str">
        <f>IFERROR(IF(VAY3="No",IF(VLOOKUP(DATE($K$1,$K$2,VAP$4),Table1[],(MATCH(Calendar!$A18,DB!$1:$1,0)),FALSE)&gt;=5,"Good","Bad"),VLOOKUP(DATE($K$1,$K$2,VAP$4),Table1[],(MATCH(Calendar!$A18,DB!$1:$1,0)),FALSE)),"")</f>
        <v/>
      </c>
      <c r="VAQ18" s="28" t="str">
        <f>IFERROR(IF(VAZ3="No",IF(VLOOKUP(DATE($K$1,$K$2,VAQ$4),Table1[],(MATCH(Calendar!$A18,DB!$1:$1,0)),FALSE)&gt;=5,"Good","Bad"),VLOOKUP(DATE($K$1,$K$2,VAQ$4),Table1[],(MATCH(Calendar!$A18,DB!$1:$1,0)),FALSE)),"")</f>
        <v/>
      </c>
      <c r="VAR18" s="28" t="str">
        <f>IFERROR(IF(VBA3="No",IF(VLOOKUP(DATE($K$1,$K$2,VAR$4),Table1[],(MATCH(Calendar!$A18,DB!$1:$1,0)),FALSE)&gt;=5,"Good","Bad"),VLOOKUP(DATE($K$1,$K$2,VAR$4),Table1[],(MATCH(Calendar!$A18,DB!$1:$1,0)),FALSE)),"")</f>
        <v/>
      </c>
      <c r="VAS18" s="28" t="str">
        <f>IFERROR(IF(VBB3="No",IF(VLOOKUP(DATE($K$1,$K$2,VAS$4),Table1[],(MATCH(Calendar!$A18,DB!$1:$1,0)),FALSE)&gt;=5,"Good","Bad"),VLOOKUP(DATE($K$1,$K$2,VAS$4),Table1[],(MATCH(Calendar!$A18,DB!$1:$1,0)),FALSE)),"")</f>
        <v/>
      </c>
      <c r="VAT18" s="28" t="str">
        <f>IFERROR(IF(VBC3="No",IF(VLOOKUP(DATE($K$1,$K$2,VAT$4),Table1[],(MATCH(Calendar!$A18,DB!$1:$1,0)),FALSE)&gt;=5,"Good","Bad"),VLOOKUP(DATE($K$1,$K$2,VAT$4),Table1[],(MATCH(Calendar!$A18,DB!$1:$1,0)),FALSE)),"")</f>
        <v/>
      </c>
      <c r="VAU18" s="28" t="str">
        <f>IFERROR(IF(VBD3="No",IF(VLOOKUP(DATE($K$1,$K$2,VAU$4),Table1[],(MATCH(Calendar!$A18,DB!$1:$1,0)),FALSE)&gt;=5,"Good","Bad"),VLOOKUP(DATE($K$1,$K$2,VAU$4),Table1[],(MATCH(Calendar!$A18,DB!$1:$1,0)),FALSE)),"")</f>
        <v/>
      </c>
      <c r="VAV18" s="28" t="str">
        <f>IFERROR(IF(VBE3="No",IF(VLOOKUP(DATE($K$1,$K$2,VAV$4),Table1[],(MATCH(Calendar!$A18,DB!$1:$1,0)),FALSE)&gt;=5,"Good","Bad"),VLOOKUP(DATE($K$1,$K$2,VAV$4),Table1[],(MATCH(Calendar!$A18,DB!$1:$1,0)),FALSE)),"")</f>
        <v/>
      </c>
      <c r="VAW18" s="28" t="str">
        <f>IFERROR(IF(VBF3="No",IF(VLOOKUP(DATE($K$1,$K$2,VAW$4),Table1[],(MATCH(Calendar!$A18,DB!$1:$1,0)),FALSE)&gt;=5,"Good","Bad"),VLOOKUP(DATE($K$1,$K$2,VAW$4),Table1[],(MATCH(Calendar!$A18,DB!$1:$1,0)),FALSE)),"")</f>
        <v/>
      </c>
      <c r="VAX18" s="28" t="str">
        <f>IFERROR(IF(VBG3="No",IF(VLOOKUP(DATE($K$1,$K$2,VAX$4),Table1[],(MATCH(Calendar!$A18,DB!$1:$1,0)),FALSE)&gt;=5,"Good","Bad"),VLOOKUP(DATE($K$1,$K$2,VAX$4),Table1[],(MATCH(Calendar!$A18,DB!$1:$1,0)),FALSE)),"")</f>
        <v/>
      </c>
      <c r="VAY18" s="28" t="str">
        <f>IFERROR(IF(VBH3="No",IF(VLOOKUP(DATE($K$1,$K$2,VAY$4),Table1[],(MATCH(Calendar!$A18,DB!$1:$1,0)),FALSE)&gt;=5,"Good","Bad"),VLOOKUP(DATE($K$1,$K$2,VAY$4),Table1[],(MATCH(Calendar!$A18,DB!$1:$1,0)),FALSE)),"")</f>
        <v/>
      </c>
      <c r="VAZ18" s="28" t="str">
        <f>IFERROR(IF(VBI3="No",IF(VLOOKUP(DATE($K$1,$K$2,VAZ$4),Table1[],(MATCH(Calendar!$A18,DB!$1:$1,0)),FALSE)&gt;=5,"Good","Bad"),VLOOKUP(DATE($K$1,$K$2,VAZ$4),Table1[],(MATCH(Calendar!$A18,DB!$1:$1,0)),FALSE)),"")</f>
        <v/>
      </c>
      <c r="VBA18" s="28" t="str">
        <f>IFERROR(IF(VBJ3="No",IF(VLOOKUP(DATE($K$1,$K$2,VBA$4),Table1[],(MATCH(Calendar!$A18,DB!$1:$1,0)),FALSE)&gt;=5,"Good","Bad"),VLOOKUP(DATE($K$1,$K$2,VBA$4),Table1[],(MATCH(Calendar!$A18,DB!$1:$1,0)),FALSE)),"")</f>
        <v/>
      </c>
      <c r="VBB18" s="28" t="str">
        <f>IFERROR(IF(VBK3="No",IF(VLOOKUP(DATE($K$1,$K$2,VBB$4),Table1[],(MATCH(Calendar!$A18,DB!$1:$1,0)),FALSE)&gt;=5,"Good","Bad"),VLOOKUP(DATE($K$1,$K$2,VBB$4),Table1[],(MATCH(Calendar!$A18,DB!$1:$1,0)),FALSE)),"")</f>
        <v/>
      </c>
      <c r="VBC18" s="28" t="str">
        <f>IFERROR(IF(VBL3="No",IF(VLOOKUP(DATE($K$1,$K$2,VBC$4),Table1[],(MATCH(Calendar!$A18,DB!$1:$1,0)),FALSE)&gt;=5,"Good","Bad"),VLOOKUP(DATE($K$1,$K$2,VBC$4),Table1[],(MATCH(Calendar!$A18,DB!$1:$1,0)),FALSE)),"")</f>
        <v/>
      </c>
      <c r="VBD18" s="28" t="str">
        <f>IFERROR(IF(VBM3="No",IF(VLOOKUP(DATE($K$1,$K$2,VBD$4),Table1[],(MATCH(Calendar!$A18,DB!$1:$1,0)),FALSE)&gt;=5,"Good","Bad"),VLOOKUP(DATE($K$1,$K$2,VBD$4),Table1[],(MATCH(Calendar!$A18,DB!$1:$1,0)),FALSE)),"")</f>
        <v/>
      </c>
      <c r="VBE18" s="28" t="str">
        <f>IFERROR(IF(VBN3="No",IF(VLOOKUP(DATE($K$1,$K$2,VBE$4),Table1[],(MATCH(Calendar!$A18,DB!$1:$1,0)),FALSE)&gt;=5,"Good","Bad"),VLOOKUP(DATE($K$1,$K$2,VBE$4),Table1[],(MATCH(Calendar!$A18,DB!$1:$1,0)),FALSE)),"")</f>
        <v/>
      </c>
      <c r="VBF18" s="28" t="str">
        <f>IFERROR(IF(VBO3="No",IF(VLOOKUP(DATE($K$1,$K$2,VBF$4),Table1[],(MATCH(Calendar!$A18,DB!$1:$1,0)),FALSE)&gt;=5,"Good","Bad"),VLOOKUP(DATE($K$1,$K$2,VBF$4),Table1[],(MATCH(Calendar!$A18,DB!$1:$1,0)),FALSE)),"")</f>
        <v/>
      </c>
      <c r="VBG18" s="28" t="str">
        <f>IFERROR(IF(VBP3="No",IF(VLOOKUP(DATE($K$1,$K$2,VBG$4),Table1[],(MATCH(Calendar!$A18,DB!$1:$1,0)),FALSE)&gt;=5,"Good","Bad"),VLOOKUP(DATE($K$1,$K$2,VBG$4),Table1[],(MATCH(Calendar!$A18,DB!$1:$1,0)),FALSE)),"")</f>
        <v/>
      </c>
      <c r="VBH18" s="28" t="str">
        <f>IFERROR(IF(VBQ3="No",IF(VLOOKUP(DATE($K$1,$K$2,VBH$4),Table1[],(MATCH(Calendar!$A18,DB!$1:$1,0)),FALSE)&gt;=5,"Good","Bad"),VLOOKUP(DATE($K$1,$K$2,VBH$4),Table1[],(MATCH(Calendar!$A18,DB!$1:$1,0)),FALSE)),"")</f>
        <v/>
      </c>
      <c r="VBI18" s="28" t="str">
        <f>IFERROR(IF(VBR3="No",IF(VLOOKUP(DATE($K$1,$K$2,VBI$4),Table1[],(MATCH(Calendar!$A18,DB!$1:$1,0)),FALSE)&gt;=5,"Good","Bad"),VLOOKUP(DATE($K$1,$K$2,VBI$4),Table1[],(MATCH(Calendar!$A18,DB!$1:$1,0)),FALSE)),"")</f>
        <v/>
      </c>
      <c r="VBJ18" s="28" t="str">
        <f>IFERROR(IF(VBS3="No",IF(VLOOKUP(DATE($K$1,$K$2,VBJ$4),Table1[],(MATCH(Calendar!$A18,DB!$1:$1,0)),FALSE)&gt;=5,"Good","Bad"),VLOOKUP(DATE($K$1,$K$2,VBJ$4),Table1[],(MATCH(Calendar!$A18,DB!$1:$1,0)),FALSE)),"")</f>
        <v/>
      </c>
      <c r="VBK18" s="28" t="str">
        <f>IFERROR(IF(VBT3="No",IF(VLOOKUP(DATE($K$1,$K$2,VBK$4),Table1[],(MATCH(Calendar!$A18,DB!$1:$1,0)),FALSE)&gt;=5,"Good","Bad"),VLOOKUP(DATE($K$1,$K$2,VBK$4),Table1[],(MATCH(Calendar!$A18,DB!$1:$1,0)),FALSE)),"")</f>
        <v/>
      </c>
      <c r="VBL18" s="28" t="str">
        <f>IFERROR(IF(VBU3="No",IF(VLOOKUP(DATE($K$1,$K$2,VBL$4),Table1[],(MATCH(Calendar!$A18,DB!$1:$1,0)),FALSE)&gt;=5,"Good","Bad"),VLOOKUP(DATE($K$1,$K$2,VBL$4),Table1[],(MATCH(Calendar!$A18,DB!$1:$1,0)),FALSE)),"")</f>
        <v/>
      </c>
      <c r="VBM18" s="28" t="str">
        <f>IFERROR(IF(VBV3="No",IF(VLOOKUP(DATE($K$1,$K$2,VBM$4),Table1[],(MATCH(Calendar!$A18,DB!$1:$1,0)),FALSE)&gt;=5,"Good","Bad"),VLOOKUP(DATE($K$1,$K$2,VBM$4),Table1[],(MATCH(Calendar!$A18,DB!$1:$1,0)),FALSE)),"")</f>
        <v/>
      </c>
      <c r="VBN18" s="28" t="str">
        <f>IFERROR(IF(VBW3="No",IF(VLOOKUP(DATE($K$1,$K$2,VBN$4),Table1[],(MATCH(Calendar!$A18,DB!$1:$1,0)),FALSE)&gt;=5,"Good","Bad"),VLOOKUP(DATE($K$1,$K$2,VBN$4),Table1[],(MATCH(Calendar!$A18,DB!$1:$1,0)),FALSE)),"")</f>
        <v/>
      </c>
      <c r="VBO18" s="28" t="str">
        <f>IFERROR(IF(VBX3="No",IF(VLOOKUP(DATE($K$1,$K$2,VBO$4),Table1[],(MATCH(Calendar!$A18,DB!$1:$1,0)),FALSE)&gt;=5,"Good","Bad"),VLOOKUP(DATE($K$1,$K$2,VBO$4),Table1[],(MATCH(Calendar!$A18,DB!$1:$1,0)),FALSE)),"")</f>
        <v/>
      </c>
      <c r="VBP18" s="28" t="str">
        <f>IFERROR(IF(VBY3="No",IF(VLOOKUP(DATE($K$1,$K$2,VBP$4),Table1[],(MATCH(Calendar!$A18,DB!$1:$1,0)),FALSE)&gt;=5,"Good","Bad"),VLOOKUP(DATE($K$1,$K$2,VBP$4),Table1[],(MATCH(Calendar!$A18,DB!$1:$1,0)),FALSE)),"")</f>
        <v/>
      </c>
      <c r="VBQ18" s="28" t="str">
        <f>IFERROR(IF(VBZ3="No",IF(VLOOKUP(DATE($K$1,$K$2,VBQ$4),Table1[],(MATCH(Calendar!$A18,DB!$1:$1,0)),FALSE)&gt;=5,"Good","Bad"),VLOOKUP(DATE($K$1,$K$2,VBQ$4),Table1[],(MATCH(Calendar!$A18,DB!$1:$1,0)),FALSE)),"")</f>
        <v/>
      </c>
      <c r="VBR18" s="28" t="str">
        <f>IFERROR(IF(VCA3="No",IF(VLOOKUP(DATE($K$1,$K$2,VBR$4),Table1[],(MATCH(Calendar!$A18,DB!$1:$1,0)),FALSE)&gt;=5,"Good","Bad"),VLOOKUP(DATE($K$1,$K$2,VBR$4),Table1[],(MATCH(Calendar!$A18,DB!$1:$1,0)),FALSE)),"")</f>
        <v/>
      </c>
      <c r="VBS18" s="28" t="str">
        <f>IFERROR(IF(VCB3="No",IF(VLOOKUP(DATE($K$1,$K$2,VBS$4),Table1[],(MATCH(Calendar!$A18,DB!$1:$1,0)),FALSE)&gt;=5,"Good","Bad"),VLOOKUP(DATE($K$1,$K$2,VBS$4),Table1[],(MATCH(Calendar!$A18,DB!$1:$1,0)),FALSE)),"")</f>
        <v/>
      </c>
      <c r="VBT18" s="28" t="str">
        <f>IFERROR(IF(VCC3="No",IF(VLOOKUP(DATE($K$1,$K$2,VBT$4),Table1[],(MATCH(Calendar!$A18,DB!$1:$1,0)),FALSE)&gt;=5,"Good","Bad"),VLOOKUP(DATE($K$1,$K$2,VBT$4),Table1[],(MATCH(Calendar!$A18,DB!$1:$1,0)),FALSE)),"")</f>
        <v/>
      </c>
      <c r="VBU18" s="28" t="str">
        <f>IFERROR(IF(VCD3="No",IF(VLOOKUP(DATE($K$1,$K$2,VBU$4),Table1[],(MATCH(Calendar!$A18,DB!$1:$1,0)),FALSE)&gt;=5,"Good","Bad"),VLOOKUP(DATE($K$1,$K$2,VBU$4),Table1[],(MATCH(Calendar!$A18,DB!$1:$1,0)),FALSE)),"")</f>
        <v/>
      </c>
      <c r="VBV18" s="28" t="str">
        <f>IFERROR(IF(VCE3="No",IF(VLOOKUP(DATE($K$1,$K$2,VBV$4),Table1[],(MATCH(Calendar!$A18,DB!$1:$1,0)),FALSE)&gt;=5,"Good","Bad"),VLOOKUP(DATE($K$1,$K$2,VBV$4),Table1[],(MATCH(Calendar!$A18,DB!$1:$1,0)),FALSE)),"")</f>
        <v/>
      </c>
      <c r="VBW18" s="28" t="str">
        <f>IFERROR(IF(VCF3="No",IF(VLOOKUP(DATE($K$1,$K$2,VBW$4),Table1[],(MATCH(Calendar!$A18,DB!$1:$1,0)),FALSE)&gt;=5,"Good","Bad"),VLOOKUP(DATE($K$1,$K$2,VBW$4),Table1[],(MATCH(Calendar!$A18,DB!$1:$1,0)),FALSE)),"")</f>
        <v/>
      </c>
      <c r="VBX18" s="28" t="str">
        <f>IFERROR(IF(VCG3="No",IF(VLOOKUP(DATE($K$1,$K$2,VBX$4),Table1[],(MATCH(Calendar!$A18,DB!$1:$1,0)),FALSE)&gt;=5,"Good","Bad"),VLOOKUP(DATE($K$1,$K$2,VBX$4),Table1[],(MATCH(Calendar!$A18,DB!$1:$1,0)),FALSE)),"")</f>
        <v/>
      </c>
      <c r="VBY18" s="28" t="str">
        <f>IFERROR(IF(VCH3="No",IF(VLOOKUP(DATE($K$1,$K$2,VBY$4),Table1[],(MATCH(Calendar!$A18,DB!$1:$1,0)),FALSE)&gt;=5,"Good","Bad"),VLOOKUP(DATE($K$1,$K$2,VBY$4),Table1[],(MATCH(Calendar!$A18,DB!$1:$1,0)),FALSE)),"")</f>
        <v/>
      </c>
      <c r="VBZ18" s="28" t="str">
        <f>IFERROR(IF(VCI3="No",IF(VLOOKUP(DATE($K$1,$K$2,VBZ$4),Table1[],(MATCH(Calendar!$A18,DB!$1:$1,0)),FALSE)&gt;=5,"Good","Bad"),VLOOKUP(DATE($K$1,$K$2,VBZ$4),Table1[],(MATCH(Calendar!$A18,DB!$1:$1,0)),FALSE)),"")</f>
        <v/>
      </c>
      <c r="VCA18" s="28" t="str">
        <f>IFERROR(IF(VCJ3="No",IF(VLOOKUP(DATE($K$1,$K$2,VCA$4),Table1[],(MATCH(Calendar!$A18,DB!$1:$1,0)),FALSE)&gt;=5,"Good","Bad"),VLOOKUP(DATE($K$1,$K$2,VCA$4),Table1[],(MATCH(Calendar!$A18,DB!$1:$1,0)),FALSE)),"")</f>
        <v/>
      </c>
      <c r="VCB18" s="28" t="str">
        <f>IFERROR(IF(VCK3="No",IF(VLOOKUP(DATE($K$1,$K$2,VCB$4),Table1[],(MATCH(Calendar!$A18,DB!$1:$1,0)),FALSE)&gt;=5,"Good","Bad"),VLOOKUP(DATE($K$1,$K$2,VCB$4),Table1[],(MATCH(Calendar!$A18,DB!$1:$1,0)),FALSE)),"")</f>
        <v/>
      </c>
      <c r="VCC18" s="28" t="str">
        <f>IFERROR(IF(VCL3="No",IF(VLOOKUP(DATE($K$1,$K$2,VCC$4),Table1[],(MATCH(Calendar!$A18,DB!$1:$1,0)),FALSE)&gt;=5,"Good","Bad"),VLOOKUP(DATE($K$1,$K$2,VCC$4),Table1[],(MATCH(Calendar!$A18,DB!$1:$1,0)),FALSE)),"")</f>
        <v/>
      </c>
      <c r="VCD18" s="28" t="str">
        <f>IFERROR(IF(VCM3="No",IF(VLOOKUP(DATE($K$1,$K$2,VCD$4),Table1[],(MATCH(Calendar!$A18,DB!$1:$1,0)),FALSE)&gt;=5,"Good","Bad"),VLOOKUP(DATE($K$1,$K$2,VCD$4),Table1[],(MATCH(Calendar!$A18,DB!$1:$1,0)),FALSE)),"")</f>
        <v/>
      </c>
      <c r="VCE18" s="28" t="str">
        <f>IFERROR(IF(VCN3="No",IF(VLOOKUP(DATE($K$1,$K$2,VCE$4),Table1[],(MATCH(Calendar!$A18,DB!$1:$1,0)),FALSE)&gt;=5,"Good","Bad"),VLOOKUP(DATE($K$1,$K$2,VCE$4),Table1[],(MATCH(Calendar!$A18,DB!$1:$1,0)),FALSE)),"")</f>
        <v/>
      </c>
      <c r="VCF18" s="28" t="str">
        <f>IFERROR(IF(VCO3="No",IF(VLOOKUP(DATE($K$1,$K$2,VCF$4),Table1[],(MATCH(Calendar!$A18,DB!$1:$1,0)),FALSE)&gt;=5,"Good","Bad"),VLOOKUP(DATE($K$1,$K$2,VCF$4),Table1[],(MATCH(Calendar!$A18,DB!$1:$1,0)),FALSE)),"")</f>
        <v/>
      </c>
      <c r="VCG18" s="28" t="str">
        <f>IFERROR(IF(VCP3="No",IF(VLOOKUP(DATE($K$1,$K$2,VCG$4),Table1[],(MATCH(Calendar!$A18,DB!$1:$1,0)),FALSE)&gt;=5,"Good","Bad"),VLOOKUP(DATE($K$1,$K$2,VCG$4),Table1[],(MATCH(Calendar!$A18,DB!$1:$1,0)),FALSE)),"")</f>
        <v/>
      </c>
      <c r="VCH18" s="28" t="str">
        <f>IFERROR(IF(VCQ3="No",IF(VLOOKUP(DATE($K$1,$K$2,VCH$4),Table1[],(MATCH(Calendar!$A18,DB!$1:$1,0)),FALSE)&gt;=5,"Good","Bad"),VLOOKUP(DATE($K$1,$K$2,VCH$4),Table1[],(MATCH(Calendar!$A18,DB!$1:$1,0)),FALSE)),"")</f>
        <v/>
      </c>
      <c r="VCI18" s="28" t="str">
        <f>IFERROR(IF(VCR3="No",IF(VLOOKUP(DATE($K$1,$K$2,VCI$4),Table1[],(MATCH(Calendar!$A18,DB!$1:$1,0)),FALSE)&gt;=5,"Good","Bad"),VLOOKUP(DATE($K$1,$K$2,VCI$4),Table1[],(MATCH(Calendar!$A18,DB!$1:$1,0)),FALSE)),"")</f>
        <v/>
      </c>
      <c r="VCJ18" s="28" t="str">
        <f>IFERROR(IF(VCS3="No",IF(VLOOKUP(DATE($K$1,$K$2,VCJ$4),Table1[],(MATCH(Calendar!$A18,DB!$1:$1,0)),FALSE)&gt;=5,"Good","Bad"),VLOOKUP(DATE($K$1,$K$2,VCJ$4),Table1[],(MATCH(Calendar!$A18,DB!$1:$1,0)),FALSE)),"")</f>
        <v/>
      </c>
      <c r="VCK18" s="28" t="str">
        <f>IFERROR(IF(VCT3="No",IF(VLOOKUP(DATE($K$1,$K$2,VCK$4),Table1[],(MATCH(Calendar!$A18,DB!$1:$1,0)),FALSE)&gt;=5,"Good","Bad"),VLOOKUP(DATE($K$1,$K$2,VCK$4),Table1[],(MATCH(Calendar!$A18,DB!$1:$1,0)),FALSE)),"")</f>
        <v/>
      </c>
      <c r="VCL18" s="28" t="str">
        <f>IFERROR(IF(VCU3="No",IF(VLOOKUP(DATE($K$1,$K$2,VCL$4),Table1[],(MATCH(Calendar!$A18,DB!$1:$1,0)),FALSE)&gt;=5,"Good","Bad"),VLOOKUP(DATE($K$1,$K$2,VCL$4),Table1[],(MATCH(Calendar!$A18,DB!$1:$1,0)),FALSE)),"")</f>
        <v/>
      </c>
      <c r="VCM18" s="28" t="str">
        <f>IFERROR(IF(VCV3="No",IF(VLOOKUP(DATE($K$1,$K$2,VCM$4),Table1[],(MATCH(Calendar!$A18,DB!$1:$1,0)),FALSE)&gt;=5,"Good","Bad"),VLOOKUP(DATE($K$1,$K$2,VCM$4),Table1[],(MATCH(Calendar!$A18,DB!$1:$1,0)),FALSE)),"")</f>
        <v/>
      </c>
      <c r="VCN18" s="28" t="str">
        <f>IFERROR(IF(VCW3="No",IF(VLOOKUP(DATE($K$1,$K$2,VCN$4),Table1[],(MATCH(Calendar!$A18,DB!$1:$1,0)),FALSE)&gt;=5,"Good","Bad"),VLOOKUP(DATE($K$1,$K$2,VCN$4),Table1[],(MATCH(Calendar!$A18,DB!$1:$1,0)),FALSE)),"")</f>
        <v/>
      </c>
      <c r="VCO18" s="28" t="str">
        <f>IFERROR(IF(VCX3="No",IF(VLOOKUP(DATE($K$1,$K$2,VCO$4),Table1[],(MATCH(Calendar!$A18,DB!$1:$1,0)),FALSE)&gt;=5,"Good","Bad"),VLOOKUP(DATE($K$1,$K$2,VCO$4),Table1[],(MATCH(Calendar!$A18,DB!$1:$1,0)),FALSE)),"")</f>
        <v/>
      </c>
      <c r="VCP18" s="28" t="str">
        <f>IFERROR(IF(VCY3="No",IF(VLOOKUP(DATE($K$1,$K$2,VCP$4),Table1[],(MATCH(Calendar!$A18,DB!$1:$1,0)),FALSE)&gt;=5,"Good","Bad"),VLOOKUP(DATE($K$1,$K$2,VCP$4),Table1[],(MATCH(Calendar!$A18,DB!$1:$1,0)),FALSE)),"")</f>
        <v/>
      </c>
      <c r="VCQ18" s="28" t="str">
        <f>IFERROR(IF(VCZ3="No",IF(VLOOKUP(DATE($K$1,$K$2,VCQ$4),Table1[],(MATCH(Calendar!$A18,DB!$1:$1,0)),FALSE)&gt;=5,"Good","Bad"),VLOOKUP(DATE($K$1,$K$2,VCQ$4),Table1[],(MATCH(Calendar!$A18,DB!$1:$1,0)),FALSE)),"")</f>
        <v/>
      </c>
      <c r="VCR18" s="28" t="str">
        <f>IFERROR(IF(VDA3="No",IF(VLOOKUP(DATE($K$1,$K$2,VCR$4),Table1[],(MATCH(Calendar!$A18,DB!$1:$1,0)),FALSE)&gt;=5,"Good","Bad"),VLOOKUP(DATE($K$1,$K$2,VCR$4),Table1[],(MATCH(Calendar!$A18,DB!$1:$1,0)),FALSE)),"")</f>
        <v/>
      </c>
      <c r="VCS18" s="28" t="str">
        <f>IFERROR(IF(VDB3="No",IF(VLOOKUP(DATE($K$1,$K$2,VCS$4),Table1[],(MATCH(Calendar!$A18,DB!$1:$1,0)),FALSE)&gt;=5,"Good","Bad"),VLOOKUP(DATE($K$1,$K$2,VCS$4),Table1[],(MATCH(Calendar!$A18,DB!$1:$1,0)),FALSE)),"")</f>
        <v/>
      </c>
      <c r="VCT18" s="28" t="str">
        <f>IFERROR(IF(VDC3="No",IF(VLOOKUP(DATE($K$1,$K$2,VCT$4),Table1[],(MATCH(Calendar!$A18,DB!$1:$1,0)),FALSE)&gt;=5,"Good","Bad"),VLOOKUP(DATE($K$1,$K$2,VCT$4),Table1[],(MATCH(Calendar!$A18,DB!$1:$1,0)),FALSE)),"")</f>
        <v/>
      </c>
      <c r="VCU18" s="28" t="str">
        <f>IFERROR(IF(VDD3="No",IF(VLOOKUP(DATE($K$1,$K$2,VCU$4),Table1[],(MATCH(Calendar!$A18,DB!$1:$1,0)),FALSE)&gt;=5,"Good","Bad"),VLOOKUP(DATE($K$1,$K$2,VCU$4),Table1[],(MATCH(Calendar!$A18,DB!$1:$1,0)),FALSE)),"")</f>
        <v/>
      </c>
      <c r="VCV18" s="28" t="str">
        <f>IFERROR(IF(VDE3="No",IF(VLOOKUP(DATE($K$1,$K$2,VCV$4),Table1[],(MATCH(Calendar!$A18,DB!$1:$1,0)),FALSE)&gt;=5,"Good","Bad"),VLOOKUP(DATE($K$1,$K$2,VCV$4),Table1[],(MATCH(Calendar!$A18,DB!$1:$1,0)),FALSE)),"")</f>
        <v/>
      </c>
      <c r="VCW18" s="28" t="str">
        <f>IFERROR(IF(VDF3="No",IF(VLOOKUP(DATE($K$1,$K$2,VCW$4),Table1[],(MATCH(Calendar!$A18,DB!$1:$1,0)),FALSE)&gt;=5,"Good","Bad"),VLOOKUP(DATE($K$1,$K$2,VCW$4),Table1[],(MATCH(Calendar!$A18,DB!$1:$1,0)),FALSE)),"")</f>
        <v/>
      </c>
      <c r="VCX18" s="28" t="str">
        <f>IFERROR(IF(VDG3="No",IF(VLOOKUP(DATE($K$1,$K$2,VCX$4),Table1[],(MATCH(Calendar!$A18,DB!$1:$1,0)),FALSE)&gt;=5,"Good","Bad"),VLOOKUP(DATE($K$1,$K$2,VCX$4),Table1[],(MATCH(Calendar!$A18,DB!$1:$1,0)),FALSE)),"")</f>
        <v/>
      </c>
      <c r="VCY18" s="28" t="str">
        <f>IFERROR(IF(VDH3="No",IF(VLOOKUP(DATE($K$1,$K$2,VCY$4),Table1[],(MATCH(Calendar!$A18,DB!$1:$1,0)),FALSE)&gt;=5,"Good","Bad"),VLOOKUP(DATE($K$1,$K$2,VCY$4),Table1[],(MATCH(Calendar!$A18,DB!$1:$1,0)),FALSE)),"")</f>
        <v/>
      </c>
      <c r="VCZ18" s="28" t="str">
        <f>IFERROR(IF(VDI3="No",IF(VLOOKUP(DATE($K$1,$K$2,VCZ$4),Table1[],(MATCH(Calendar!$A18,DB!$1:$1,0)),FALSE)&gt;=5,"Good","Bad"),VLOOKUP(DATE($K$1,$K$2,VCZ$4),Table1[],(MATCH(Calendar!$A18,DB!$1:$1,0)),FALSE)),"")</f>
        <v/>
      </c>
      <c r="VDA18" s="28" t="str">
        <f>IFERROR(IF(VDJ3="No",IF(VLOOKUP(DATE($K$1,$K$2,VDA$4),Table1[],(MATCH(Calendar!$A18,DB!$1:$1,0)),FALSE)&gt;=5,"Good","Bad"),VLOOKUP(DATE($K$1,$K$2,VDA$4),Table1[],(MATCH(Calendar!$A18,DB!$1:$1,0)),FALSE)),"")</f>
        <v/>
      </c>
      <c r="VDB18" s="28" t="str">
        <f>IFERROR(IF(VDK3="No",IF(VLOOKUP(DATE($K$1,$K$2,VDB$4),Table1[],(MATCH(Calendar!$A18,DB!$1:$1,0)),FALSE)&gt;=5,"Good","Bad"),VLOOKUP(DATE($K$1,$K$2,VDB$4),Table1[],(MATCH(Calendar!$A18,DB!$1:$1,0)),FALSE)),"")</f>
        <v/>
      </c>
      <c r="VDC18" s="28" t="str">
        <f>IFERROR(IF(VDL3="No",IF(VLOOKUP(DATE($K$1,$K$2,VDC$4),Table1[],(MATCH(Calendar!$A18,DB!$1:$1,0)),FALSE)&gt;=5,"Good","Bad"),VLOOKUP(DATE($K$1,$K$2,VDC$4),Table1[],(MATCH(Calendar!$A18,DB!$1:$1,0)),FALSE)),"")</f>
        <v/>
      </c>
      <c r="VDD18" s="28" t="str">
        <f>IFERROR(IF(VDM3="No",IF(VLOOKUP(DATE($K$1,$K$2,VDD$4),Table1[],(MATCH(Calendar!$A18,DB!$1:$1,0)),FALSE)&gt;=5,"Good","Bad"),VLOOKUP(DATE($K$1,$K$2,VDD$4),Table1[],(MATCH(Calendar!$A18,DB!$1:$1,0)),FALSE)),"")</f>
        <v/>
      </c>
      <c r="VDE18" s="28" t="str">
        <f>IFERROR(IF(VDN3="No",IF(VLOOKUP(DATE($K$1,$K$2,VDE$4),Table1[],(MATCH(Calendar!$A18,DB!$1:$1,0)),FALSE)&gt;=5,"Good","Bad"),VLOOKUP(DATE($K$1,$K$2,VDE$4),Table1[],(MATCH(Calendar!$A18,DB!$1:$1,0)),FALSE)),"")</f>
        <v/>
      </c>
      <c r="VDF18" s="28" t="str">
        <f>IFERROR(IF(VDO3="No",IF(VLOOKUP(DATE($K$1,$K$2,VDF$4),Table1[],(MATCH(Calendar!$A18,DB!$1:$1,0)),FALSE)&gt;=5,"Good","Bad"),VLOOKUP(DATE($K$1,$K$2,VDF$4),Table1[],(MATCH(Calendar!$A18,DB!$1:$1,0)),FALSE)),"")</f>
        <v/>
      </c>
      <c r="VDG18" s="28" t="str">
        <f>IFERROR(IF(VDP3="No",IF(VLOOKUP(DATE($K$1,$K$2,VDG$4),Table1[],(MATCH(Calendar!$A18,DB!$1:$1,0)),FALSE)&gt;=5,"Good","Bad"),VLOOKUP(DATE($K$1,$K$2,VDG$4),Table1[],(MATCH(Calendar!$A18,DB!$1:$1,0)),FALSE)),"")</f>
        <v/>
      </c>
      <c r="VDH18" s="28" t="str">
        <f>IFERROR(IF(VDQ3="No",IF(VLOOKUP(DATE($K$1,$K$2,VDH$4),Table1[],(MATCH(Calendar!$A18,DB!$1:$1,0)),FALSE)&gt;=5,"Good","Bad"),VLOOKUP(DATE($K$1,$K$2,VDH$4),Table1[],(MATCH(Calendar!$A18,DB!$1:$1,0)),FALSE)),"")</f>
        <v/>
      </c>
      <c r="VDI18" s="28" t="str">
        <f>IFERROR(IF(VDR3="No",IF(VLOOKUP(DATE($K$1,$K$2,VDI$4),Table1[],(MATCH(Calendar!$A18,DB!$1:$1,0)),FALSE)&gt;=5,"Good","Bad"),VLOOKUP(DATE($K$1,$K$2,VDI$4),Table1[],(MATCH(Calendar!$A18,DB!$1:$1,0)),FALSE)),"")</f>
        <v/>
      </c>
      <c r="VDJ18" s="28" t="str">
        <f>IFERROR(IF(VDS3="No",IF(VLOOKUP(DATE($K$1,$K$2,VDJ$4),Table1[],(MATCH(Calendar!$A18,DB!$1:$1,0)),FALSE)&gt;=5,"Good","Bad"),VLOOKUP(DATE($K$1,$K$2,VDJ$4),Table1[],(MATCH(Calendar!$A18,DB!$1:$1,0)),FALSE)),"")</f>
        <v/>
      </c>
      <c r="VDK18" s="28" t="str">
        <f>IFERROR(IF(VDT3="No",IF(VLOOKUP(DATE($K$1,$K$2,VDK$4),Table1[],(MATCH(Calendar!$A18,DB!$1:$1,0)),FALSE)&gt;=5,"Good","Bad"),VLOOKUP(DATE($K$1,$K$2,VDK$4),Table1[],(MATCH(Calendar!$A18,DB!$1:$1,0)),FALSE)),"")</f>
        <v/>
      </c>
      <c r="VDL18" s="28" t="str">
        <f>IFERROR(IF(VDU3="No",IF(VLOOKUP(DATE($K$1,$K$2,VDL$4),Table1[],(MATCH(Calendar!$A18,DB!$1:$1,0)),FALSE)&gt;=5,"Good","Bad"),VLOOKUP(DATE($K$1,$K$2,VDL$4),Table1[],(MATCH(Calendar!$A18,DB!$1:$1,0)),FALSE)),"")</f>
        <v/>
      </c>
      <c r="VDM18" s="28" t="str">
        <f>IFERROR(IF(VDV3="No",IF(VLOOKUP(DATE($K$1,$K$2,VDM$4),Table1[],(MATCH(Calendar!$A18,DB!$1:$1,0)),FALSE)&gt;=5,"Good","Bad"),VLOOKUP(DATE($K$1,$K$2,VDM$4),Table1[],(MATCH(Calendar!$A18,DB!$1:$1,0)),FALSE)),"")</f>
        <v/>
      </c>
      <c r="VDN18" s="28" t="str">
        <f>IFERROR(IF(VDW3="No",IF(VLOOKUP(DATE($K$1,$K$2,VDN$4),Table1[],(MATCH(Calendar!$A18,DB!$1:$1,0)),FALSE)&gt;=5,"Good","Bad"),VLOOKUP(DATE($K$1,$K$2,VDN$4),Table1[],(MATCH(Calendar!$A18,DB!$1:$1,0)),FALSE)),"")</f>
        <v/>
      </c>
      <c r="VDO18" s="28" t="str">
        <f>IFERROR(IF(VDX3="No",IF(VLOOKUP(DATE($K$1,$K$2,VDO$4),Table1[],(MATCH(Calendar!$A18,DB!$1:$1,0)),FALSE)&gt;=5,"Good","Bad"),VLOOKUP(DATE($K$1,$K$2,VDO$4),Table1[],(MATCH(Calendar!$A18,DB!$1:$1,0)),FALSE)),"")</f>
        <v/>
      </c>
      <c r="VDP18" s="28" t="str">
        <f>IFERROR(IF(VDY3="No",IF(VLOOKUP(DATE($K$1,$K$2,VDP$4),Table1[],(MATCH(Calendar!$A18,DB!$1:$1,0)),FALSE)&gt;=5,"Good","Bad"),VLOOKUP(DATE($K$1,$K$2,VDP$4),Table1[],(MATCH(Calendar!$A18,DB!$1:$1,0)),FALSE)),"")</f>
        <v/>
      </c>
      <c r="VDQ18" s="28" t="str">
        <f>IFERROR(IF(VDZ3="No",IF(VLOOKUP(DATE($K$1,$K$2,VDQ$4),Table1[],(MATCH(Calendar!$A18,DB!$1:$1,0)),FALSE)&gt;=5,"Good","Bad"),VLOOKUP(DATE($K$1,$K$2,VDQ$4),Table1[],(MATCH(Calendar!$A18,DB!$1:$1,0)),FALSE)),"")</f>
        <v/>
      </c>
      <c r="VDR18" s="28" t="str">
        <f>IFERROR(IF(VEA3="No",IF(VLOOKUP(DATE($K$1,$K$2,VDR$4),Table1[],(MATCH(Calendar!$A18,DB!$1:$1,0)),FALSE)&gt;=5,"Good","Bad"),VLOOKUP(DATE($K$1,$K$2,VDR$4),Table1[],(MATCH(Calendar!$A18,DB!$1:$1,0)),FALSE)),"")</f>
        <v/>
      </c>
      <c r="VDS18" s="28" t="str">
        <f>IFERROR(IF(VEB3="No",IF(VLOOKUP(DATE($K$1,$K$2,VDS$4),Table1[],(MATCH(Calendar!$A18,DB!$1:$1,0)),FALSE)&gt;=5,"Good","Bad"),VLOOKUP(DATE($K$1,$K$2,VDS$4),Table1[],(MATCH(Calendar!$A18,DB!$1:$1,0)),FALSE)),"")</f>
        <v/>
      </c>
      <c r="VDT18" s="28" t="str">
        <f>IFERROR(IF(VEC3="No",IF(VLOOKUP(DATE($K$1,$K$2,VDT$4),Table1[],(MATCH(Calendar!$A18,DB!$1:$1,0)),FALSE)&gt;=5,"Good","Bad"),VLOOKUP(DATE($K$1,$K$2,VDT$4),Table1[],(MATCH(Calendar!$A18,DB!$1:$1,0)),FALSE)),"")</f>
        <v/>
      </c>
      <c r="VDU18" s="28" t="str">
        <f>IFERROR(IF(VED3="No",IF(VLOOKUP(DATE($K$1,$K$2,VDU$4),Table1[],(MATCH(Calendar!$A18,DB!$1:$1,0)),FALSE)&gt;=5,"Good","Bad"),VLOOKUP(DATE($K$1,$K$2,VDU$4),Table1[],(MATCH(Calendar!$A18,DB!$1:$1,0)),FALSE)),"")</f>
        <v/>
      </c>
      <c r="VDV18" s="28" t="str">
        <f>IFERROR(IF(VEE3="No",IF(VLOOKUP(DATE($K$1,$K$2,VDV$4),Table1[],(MATCH(Calendar!$A18,DB!$1:$1,0)),FALSE)&gt;=5,"Good","Bad"),VLOOKUP(DATE($K$1,$K$2,VDV$4),Table1[],(MATCH(Calendar!$A18,DB!$1:$1,0)),FALSE)),"")</f>
        <v/>
      </c>
      <c r="VDW18" s="28" t="str">
        <f>IFERROR(IF(VEF3="No",IF(VLOOKUP(DATE($K$1,$K$2,VDW$4),Table1[],(MATCH(Calendar!$A18,DB!$1:$1,0)),FALSE)&gt;=5,"Good","Bad"),VLOOKUP(DATE($K$1,$K$2,VDW$4),Table1[],(MATCH(Calendar!$A18,DB!$1:$1,0)),FALSE)),"")</f>
        <v/>
      </c>
      <c r="VDX18" s="28" t="str">
        <f>IFERROR(IF(VEG3="No",IF(VLOOKUP(DATE($K$1,$K$2,VDX$4),Table1[],(MATCH(Calendar!$A18,DB!$1:$1,0)),FALSE)&gt;=5,"Good","Bad"),VLOOKUP(DATE($K$1,$K$2,VDX$4),Table1[],(MATCH(Calendar!$A18,DB!$1:$1,0)),FALSE)),"")</f>
        <v/>
      </c>
      <c r="VDY18" s="28" t="str">
        <f>IFERROR(IF(VEH3="No",IF(VLOOKUP(DATE($K$1,$K$2,VDY$4),Table1[],(MATCH(Calendar!$A18,DB!$1:$1,0)),FALSE)&gt;=5,"Good","Bad"),VLOOKUP(DATE($K$1,$K$2,VDY$4),Table1[],(MATCH(Calendar!$A18,DB!$1:$1,0)),FALSE)),"")</f>
        <v/>
      </c>
      <c r="VDZ18" s="28" t="str">
        <f>IFERROR(IF(VEI3="No",IF(VLOOKUP(DATE($K$1,$K$2,VDZ$4),Table1[],(MATCH(Calendar!$A18,DB!$1:$1,0)),FALSE)&gt;=5,"Good","Bad"),VLOOKUP(DATE($K$1,$K$2,VDZ$4),Table1[],(MATCH(Calendar!$A18,DB!$1:$1,0)),FALSE)),"")</f>
        <v/>
      </c>
      <c r="VEA18" s="28" t="str">
        <f>IFERROR(IF(VEJ3="No",IF(VLOOKUP(DATE($K$1,$K$2,VEA$4),Table1[],(MATCH(Calendar!$A18,DB!$1:$1,0)),FALSE)&gt;=5,"Good","Bad"),VLOOKUP(DATE($K$1,$K$2,VEA$4),Table1[],(MATCH(Calendar!$A18,DB!$1:$1,0)),FALSE)),"")</f>
        <v/>
      </c>
      <c r="VEB18" s="28" t="str">
        <f>IFERROR(IF(VEK3="No",IF(VLOOKUP(DATE($K$1,$K$2,VEB$4),Table1[],(MATCH(Calendar!$A18,DB!$1:$1,0)),FALSE)&gt;=5,"Good","Bad"),VLOOKUP(DATE($K$1,$K$2,VEB$4),Table1[],(MATCH(Calendar!$A18,DB!$1:$1,0)),FALSE)),"")</f>
        <v/>
      </c>
      <c r="VEC18" s="28" t="str">
        <f>IFERROR(IF(VEL3="No",IF(VLOOKUP(DATE($K$1,$K$2,VEC$4),Table1[],(MATCH(Calendar!$A18,DB!$1:$1,0)),FALSE)&gt;=5,"Good","Bad"),VLOOKUP(DATE($K$1,$K$2,VEC$4),Table1[],(MATCH(Calendar!$A18,DB!$1:$1,0)),FALSE)),"")</f>
        <v/>
      </c>
      <c r="VED18" s="28" t="str">
        <f>IFERROR(IF(VEM3="No",IF(VLOOKUP(DATE($K$1,$K$2,VED$4),Table1[],(MATCH(Calendar!$A18,DB!$1:$1,0)),FALSE)&gt;=5,"Good","Bad"),VLOOKUP(DATE($K$1,$K$2,VED$4),Table1[],(MATCH(Calendar!$A18,DB!$1:$1,0)),FALSE)),"")</f>
        <v/>
      </c>
      <c r="VEE18" s="28" t="str">
        <f>IFERROR(IF(VEN3="No",IF(VLOOKUP(DATE($K$1,$K$2,VEE$4),Table1[],(MATCH(Calendar!$A18,DB!$1:$1,0)),FALSE)&gt;=5,"Good","Bad"),VLOOKUP(DATE($K$1,$K$2,VEE$4),Table1[],(MATCH(Calendar!$A18,DB!$1:$1,0)),FALSE)),"")</f>
        <v/>
      </c>
      <c r="VEF18" s="28" t="str">
        <f>IFERROR(IF(VEO3="No",IF(VLOOKUP(DATE($K$1,$K$2,VEF$4),Table1[],(MATCH(Calendar!$A18,DB!$1:$1,0)),FALSE)&gt;=5,"Good","Bad"),VLOOKUP(DATE($K$1,$K$2,VEF$4),Table1[],(MATCH(Calendar!$A18,DB!$1:$1,0)),FALSE)),"")</f>
        <v/>
      </c>
      <c r="VEG18" s="28" t="str">
        <f>IFERROR(IF(VEP3="No",IF(VLOOKUP(DATE($K$1,$K$2,VEG$4),Table1[],(MATCH(Calendar!$A18,DB!$1:$1,0)),FALSE)&gt;=5,"Good","Bad"),VLOOKUP(DATE($K$1,$K$2,VEG$4),Table1[],(MATCH(Calendar!$A18,DB!$1:$1,0)),FALSE)),"")</f>
        <v/>
      </c>
      <c r="VEH18" s="28" t="str">
        <f>IFERROR(IF(VEQ3="No",IF(VLOOKUP(DATE($K$1,$K$2,VEH$4),Table1[],(MATCH(Calendar!$A18,DB!$1:$1,0)),FALSE)&gt;=5,"Good","Bad"),VLOOKUP(DATE($K$1,$K$2,VEH$4),Table1[],(MATCH(Calendar!$A18,DB!$1:$1,0)),FALSE)),"")</f>
        <v/>
      </c>
      <c r="VEI18" s="28" t="str">
        <f>IFERROR(IF(VER3="No",IF(VLOOKUP(DATE($K$1,$K$2,VEI$4),Table1[],(MATCH(Calendar!$A18,DB!$1:$1,0)),FALSE)&gt;=5,"Good","Bad"),VLOOKUP(DATE($K$1,$K$2,VEI$4),Table1[],(MATCH(Calendar!$A18,DB!$1:$1,0)),FALSE)),"")</f>
        <v/>
      </c>
      <c r="VEJ18" s="28" t="str">
        <f>IFERROR(IF(VES3="No",IF(VLOOKUP(DATE($K$1,$K$2,VEJ$4),Table1[],(MATCH(Calendar!$A18,DB!$1:$1,0)),FALSE)&gt;=5,"Good","Bad"),VLOOKUP(DATE($K$1,$K$2,VEJ$4),Table1[],(MATCH(Calendar!$A18,DB!$1:$1,0)),FALSE)),"")</f>
        <v/>
      </c>
      <c r="VEK18" s="28" t="str">
        <f>IFERROR(IF(VET3="No",IF(VLOOKUP(DATE($K$1,$K$2,VEK$4),Table1[],(MATCH(Calendar!$A18,DB!$1:$1,0)),FALSE)&gt;=5,"Good","Bad"),VLOOKUP(DATE($K$1,$K$2,VEK$4),Table1[],(MATCH(Calendar!$A18,DB!$1:$1,0)),FALSE)),"")</f>
        <v/>
      </c>
      <c r="VEL18" s="28" t="str">
        <f>IFERROR(IF(VEU3="No",IF(VLOOKUP(DATE($K$1,$K$2,VEL$4),Table1[],(MATCH(Calendar!$A18,DB!$1:$1,0)),FALSE)&gt;=5,"Good","Bad"),VLOOKUP(DATE($K$1,$K$2,VEL$4),Table1[],(MATCH(Calendar!$A18,DB!$1:$1,0)),FALSE)),"")</f>
        <v/>
      </c>
      <c r="VEM18" s="28" t="str">
        <f>IFERROR(IF(VEV3="No",IF(VLOOKUP(DATE($K$1,$K$2,VEM$4),Table1[],(MATCH(Calendar!$A18,DB!$1:$1,0)),FALSE)&gt;=5,"Good","Bad"),VLOOKUP(DATE($K$1,$K$2,VEM$4),Table1[],(MATCH(Calendar!$A18,DB!$1:$1,0)),FALSE)),"")</f>
        <v/>
      </c>
      <c r="VEN18" s="28" t="str">
        <f>IFERROR(IF(VEW3="No",IF(VLOOKUP(DATE($K$1,$K$2,VEN$4),Table1[],(MATCH(Calendar!$A18,DB!$1:$1,0)),FALSE)&gt;=5,"Good","Bad"),VLOOKUP(DATE($K$1,$K$2,VEN$4),Table1[],(MATCH(Calendar!$A18,DB!$1:$1,0)),FALSE)),"")</f>
        <v/>
      </c>
      <c r="VEO18" s="28" t="str">
        <f>IFERROR(IF(VEX3="No",IF(VLOOKUP(DATE($K$1,$K$2,VEO$4),Table1[],(MATCH(Calendar!$A18,DB!$1:$1,0)),FALSE)&gt;=5,"Good","Bad"),VLOOKUP(DATE($K$1,$K$2,VEO$4),Table1[],(MATCH(Calendar!$A18,DB!$1:$1,0)),FALSE)),"")</f>
        <v/>
      </c>
      <c r="VEP18" s="28" t="str">
        <f>IFERROR(IF(VEY3="No",IF(VLOOKUP(DATE($K$1,$K$2,VEP$4),Table1[],(MATCH(Calendar!$A18,DB!$1:$1,0)),FALSE)&gt;=5,"Good","Bad"),VLOOKUP(DATE($K$1,$K$2,VEP$4),Table1[],(MATCH(Calendar!$A18,DB!$1:$1,0)),FALSE)),"")</f>
        <v/>
      </c>
      <c r="VEQ18" s="28" t="str">
        <f>IFERROR(IF(VEZ3="No",IF(VLOOKUP(DATE($K$1,$K$2,VEQ$4),Table1[],(MATCH(Calendar!$A18,DB!$1:$1,0)),FALSE)&gt;=5,"Good","Bad"),VLOOKUP(DATE($K$1,$K$2,VEQ$4),Table1[],(MATCH(Calendar!$A18,DB!$1:$1,0)),FALSE)),"")</f>
        <v/>
      </c>
      <c r="VER18" s="28" t="str">
        <f>IFERROR(IF(VFA3="No",IF(VLOOKUP(DATE($K$1,$K$2,VER$4),Table1[],(MATCH(Calendar!$A18,DB!$1:$1,0)),FALSE)&gt;=5,"Good","Bad"),VLOOKUP(DATE($K$1,$K$2,VER$4),Table1[],(MATCH(Calendar!$A18,DB!$1:$1,0)),FALSE)),"")</f>
        <v/>
      </c>
      <c r="VES18" s="28" t="str">
        <f>IFERROR(IF(VFB3="No",IF(VLOOKUP(DATE($K$1,$K$2,VES$4),Table1[],(MATCH(Calendar!$A18,DB!$1:$1,0)),FALSE)&gt;=5,"Good","Bad"),VLOOKUP(DATE($K$1,$K$2,VES$4),Table1[],(MATCH(Calendar!$A18,DB!$1:$1,0)),FALSE)),"")</f>
        <v/>
      </c>
      <c r="VET18" s="28" t="str">
        <f>IFERROR(IF(VFC3="No",IF(VLOOKUP(DATE($K$1,$K$2,VET$4),Table1[],(MATCH(Calendar!$A18,DB!$1:$1,0)),FALSE)&gt;=5,"Good","Bad"),VLOOKUP(DATE($K$1,$K$2,VET$4),Table1[],(MATCH(Calendar!$A18,DB!$1:$1,0)),FALSE)),"")</f>
        <v/>
      </c>
      <c r="VEU18" s="28" t="str">
        <f>IFERROR(IF(VFD3="No",IF(VLOOKUP(DATE($K$1,$K$2,VEU$4),Table1[],(MATCH(Calendar!$A18,DB!$1:$1,0)),FALSE)&gt;=5,"Good","Bad"),VLOOKUP(DATE($K$1,$K$2,VEU$4),Table1[],(MATCH(Calendar!$A18,DB!$1:$1,0)),FALSE)),"")</f>
        <v/>
      </c>
      <c r="VEV18" s="28" t="str">
        <f>IFERROR(IF(VFE3="No",IF(VLOOKUP(DATE($K$1,$K$2,VEV$4),Table1[],(MATCH(Calendar!$A18,DB!$1:$1,0)),FALSE)&gt;=5,"Good","Bad"),VLOOKUP(DATE($K$1,$K$2,VEV$4),Table1[],(MATCH(Calendar!$A18,DB!$1:$1,0)),FALSE)),"")</f>
        <v/>
      </c>
      <c r="VEW18" s="28" t="str">
        <f>IFERROR(IF(VFF3="No",IF(VLOOKUP(DATE($K$1,$K$2,VEW$4),Table1[],(MATCH(Calendar!$A18,DB!$1:$1,0)),FALSE)&gt;=5,"Good","Bad"),VLOOKUP(DATE($K$1,$K$2,VEW$4),Table1[],(MATCH(Calendar!$A18,DB!$1:$1,0)),FALSE)),"")</f>
        <v/>
      </c>
      <c r="VEX18" s="28" t="str">
        <f>IFERROR(IF(VFG3="No",IF(VLOOKUP(DATE($K$1,$K$2,VEX$4),Table1[],(MATCH(Calendar!$A18,DB!$1:$1,0)),FALSE)&gt;=5,"Good","Bad"),VLOOKUP(DATE($K$1,$K$2,VEX$4),Table1[],(MATCH(Calendar!$A18,DB!$1:$1,0)),FALSE)),"")</f>
        <v/>
      </c>
      <c r="VEY18" s="28" t="str">
        <f>IFERROR(IF(VFH3="No",IF(VLOOKUP(DATE($K$1,$K$2,VEY$4),Table1[],(MATCH(Calendar!$A18,DB!$1:$1,0)),FALSE)&gt;=5,"Good","Bad"),VLOOKUP(DATE($K$1,$K$2,VEY$4),Table1[],(MATCH(Calendar!$A18,DB!$1:$1,0)),FALSE)),"")</f>
        <v/>
      </c>
      <c r="VEZ18" s="28" t="str">
        <f>IFERROR(IF(VFI3="No",IF(VLOOKUP(DATE($K$1,$K$2,VEZ$4),Table1[],(MATCH(Calendar!$A18,DB!$1:$1,0)),FALSE)&gt;=5,"Good","Bad"),VLOOKUP(DATE($K$1,$K$2,VEZ$4),Table1[],(MATCH(Calendar!$A18,DB!$1:$1,0)),FALSE)),"")</f>
        <v/>
      </c>
      <c r="VFA18" s="28" t="str">
        <f>IFERROR(IF(VFJ3="No",IF(VLOOKUP(DATE($K$1,$K$2,VFA$4),Table1[],(MATCH(Calendar!$A18,DB!$1:$1,0)),FALSE)&gt;=5,"Good","Bad"),VLOOKUP(DATE($K$1,$K$2,VFA$4),Table1[],(MATCH(Calendar!$A18,DB!$1:$1,0)),FALSE)),"")</f>
        <v/>
      </c>
      <c r="VFB18" s="28" t="str">
        <f>IFERROR(IF(VFK3="No",IF(VLOOKUP(DATE($K$1,$K$2,VFB$4),Table1[],(MATCH(Calendar!$A18,DB!$1:$1,0)),FALSE)&gt;=5,"Good","Bad"),VLOOKUP(DATE($K$1,$K$2,VFB$4),Table1[],(MATCH(Calendar!$A18,DB!$1:$1,0)),FALSE)),"")</f>
        <v/>
      </c>
      <c r="VFC18" s="28" t="str">
        <f>IFERROR(IF(VFL3="No",IF(VLOOKUP(DATE($K$1,$K$2,VFC$4),Table1[],(MATCH(Calendar!$A18,DB!$1:$1,0)),FALSE)&gt;=5,"Good","Bad"),VLOOKUP(DATE($K$1,$K$2,VFC$4),Table1[],(MATCH(Calendar!$A18,DB!$1:$1,0)),FALSE)),"")</f>
        <v/>
      </c>
      <c r="VFD18" s="28" t="str">
        <f>IFERROR(IF(VFM3="No",IF(VLOOKUP(DATE($K$1,$K$2,VFD$4),Table1[],(MATCH(Calendar!$A18,DB!$1:$1,0)),FALSE)&gt;=5,"Good","Bad"),VLOOKUP(DATE($K$1,$K$2,VFD$4),Table1[],(MATCH(Calendar!$A18,DB!$1:$1,0)),FALSE)),"")</f>
        <v/>
      </c>
      <c r="VFE18" s="28" t="str">
        <f>IFERROR(IF(VFN3="No",IF(VLOOKUP(DATE($K$1,$K$2,VFE$4),Table1[],(MATCH(Calendar!$A18,DB!$1:$1,0)),FALSE)&gt;=5,"Good","Bad"),VLOOKUP(DATE($K$1,$K$2,VFE$4),Table1[],(MATCH(Calendar!$A18,DB!$1:$1,0)),FALSE)),"")</f>
        <v/>
      </c>
      <c r="VFF18" s="28" t="str">
        <f>IFERROR(IF(VFO3="No",IF(VLOOKUP(DATE($K$1,$K$2,VFF$4),Table1[],(MATCH(Calendar!$A18,DB!$1:$1,0)),FALSE)&gt;=5,"Good","Bad"),VLOOKUP(DATE($K$1,$K$2,VFF$4),Table1[],(MATCH(Calendar!$A18,DB!$1:$1,0)),FALSE)),"")</f>
        <v/>
      </c>
      <c r="VFG18" s="28" t="str">
        <f>IFERROR(IF(VFP3="No",IF(VLOOKUP(DATE($K$1,$K$2,VFG$4),Table1[],(MATCH(Calendar!$A18,DB!$1:$1,0)),FALSE)&gt;=5,"Good","Bad"),VLOOKUP(DATE($K$1,$K$2,VFG$4),Table1[],(MATCH(Calendar!$A18,DB!$1:$1,0)),FALSE)),"")</f>
        <v/>
      </c>
      <c r="VFH18" s="28" t="str">
        <f>IFERROR(IF(VFQ3="No",IF(VLOOKUP(DATE($K$1,$K$2,VFH$4),Table1[],(MATCH(Calendar!$A18,DB!$1:$1,0)),FALSE)&gt;=5,"Good","Bad"),VLOOKUP(DATE($K$1,$K$2,VFH$4),Table1[],(MATCH(Calendar!$A18,DB!$1:$1,0)),FALSE)),"")</f>
        <v/>
      </c>
      <c r="VFI18" s="28" t="str">
        <f>IFERROR(IF(VFR3="No",IF(VLOOKUP(DATE($K$1,$K$2,VFI$4),Table1[],(MATCH(Calendar!$A18,DB!$1:$1,0)),FALSE)&gt;=5,"Good","Bad"),VLOOKUP(DATE($K$1,$K$2,VFI$4),Table1[],(MATCH(Calendar!$A18,DB!$1:$1,0)),FALSE)),"")</f>
        <v/>
      </c>
      <c r="VFJ18" s="28" t="str">
        <f>IFERROR(IF(VFS3="No",IF(VLOOKUP(DATE($K$1,$K$2,VFJ$4),Table1[],(MATCH(Calendar!$A18,DB!$1:$1,0)),FALSE)&gt;=5,"Good","Bad"),VLOOKUP(DATE($K$1,$K$2,VFJ$4),Table1[],(MATCH(Calendar!$A18,DB!$1:$1,0)),FALSE)),"")</f>
        <v/>
      </c>
      <c r="VFK18" s="28" t="str">
        <f>IFERROR(IF(VFT3="No",IF(VLOOKUP(DATE($K$1,$K$2,VFK$4),Table1[],(MATCH(Calendar!$A18,DB!$1:$1,0)),FALSE)&gt;=5,"Good","Bad"),VLOOKUP(DATE($K$1,$K$2,VFK$4),Table1[],(MATCH(Calendar!$A18,DB!$1:$1,0)),FALSE)),"")</f>
        <v/>
      </c>
      <c r="VFL18" s="28" t="str">
        <f>IFERROR(IF(VFU3="No",IF(VLOOKUP(DATE($K$1,$K$2,VFL$4),Table1[],(MATCH(Calendar!$A18,DB!$1:$1,0)),FALSE)&gt;=5,"Good","Bad"),VLOOKUP(DATE($K$1,$K$2,VFL$4),Table1[],(MATCH(Calendar!$A18,DB!$1:$1,0)),FALSE)),"")</f>
        <v/>
      </c>
      <c r="VFM18" s="28" t="str">
        <f>IFERROR(IF(VFV3="No",IF(VLOOKUP(DATE($K$1,$K$2,VFM$4),Table1[],(MATCH(Calendar!$A18,DB!$1:$1,0)),FALSE)&gt;=5,"Good","Bad"),VLOOKUP(DATE($K$1,$K$2,VFM$4),Table1[],(MATCH(Calendar!$A18,DB!$1:$1,0)),FALSE)),"")</f>
        <v/>
      </c>
      <c r="VFN18" s="28" t="str">
        <f>IFERROR(IF(VFW3="No",IF(VLOOKUP(DATE($K$1,$K$2,VFN$4),Table1[],(MATCH(Calendar!$A18,DB!$1:$1,0)),FALSE)&gt;=5,"Good","Bad"),VLOOKUP(DATE($K$1,$K$2,VFN$4),Table1[],(MATCH(Calendar!$A18,DB!$1:$1,0)),FALSE)),"")</f>
        <v/>
      </c>
      <c r="VFO18" s="28" t="str">
        <f>IFERROR(IF(VFX3="No",IF(VLOOKUP(DATE($K$1,$K$2,VFO$4),Table1[],(MATCH(Calendar!$A18,DB!$1:$1,0)),FALSE)&gt;=5,"Good","Bad"),VLOOKUP(DATE($K$1,$K$2,VFO$4),Table1[],(MATCH(Calendar!$A18,DB!$1:$1,0)),FALSE)),"")</f>
        <v/>
      </c>
      <c r="VFP18" s="28" t="str">
        <f>IFERROR(IF(VFY3="No",IF(VLOOKUP(DATE($K$1,$K$2,VFP$4),Table1[],(MATCH(Calendar!$A18,DB!$1:$1,0)),FALSE)&gt;=5,"Good","Bad"),VLOOKUP(DATE($K$1,$K$2,VFP$4),Table1[],(MATCH(Calendar!$A18,DB!$1:$1,0)),FALSE)),"")</f>
        <v/>
      </c>
      <c r="VFQ18" s="28" t="str">
        <f>IFERROR(IF(VFZ3="No",IF(VLOOKUP(DATE($K$1,$K$2,VFQ$4),Table1[],(MATCH(Calendar!$A18,DB!$1:$1,0)),FALSE)&gt;=5,"Good","Bad"),VLOOKUP(DATE($K$1,$K$2,VFQ$4),Table1[],(MATCH(Calendar!$A18,DB!$1:$1,0)),FALSE)),"")</f>
        <v/>
      </c>
      <c r="VFR18" s="28" t="str">
        <f>IFERROR(IF(VGA3="No",IF(VLOOKUP(DATE($K$1,$K$2,VFR$4),Table1[],(MATCH(Calendar!$A18,DB!$1:$1,0)),FALSE)&gt;=5,"Good","Bad"),VLOOKUP(DATE($K$1,$K$2,VFR$4),Table1[],(MATCH(Calendar!$A18,DB!$1:$1,0)),FALSE)),"")</f>
        <v/>
      </c>
      <c r="VFS18" s="28" t="str">
        <f>IFERROR(IF(VGB3="No",IF(VLOOKUP(DATE($K$1,$K$2,VFS$4),Table1[],(MATCH(Calendar!$A18,DB!$1:$1,0)),FALSE)&gt;=5,"Good","Bad"),VLOOKUP(DATE($K$1,$K$2,VFS$4),Table1[],(MATCH(Calendar!$A18,DB!$1:$1,0)),FALSE)),"")</f>
        <v/>
      </c>
      <c r="VFT18" s="28" t="str">
        <f>IFERROR(IF(VGC3="No",IF(VLOOKUP(DATE($K$1,$K$2,VFT$4),Table1[],(MATCH(Calendar!$A18,DB!$1:$1,0)),FALSE)&gt;=5,"Good","Bad"),VLOOKUP(DATE($K$1,$K$2,VFT$4),Table1[],(MATCH(Calendar!$A18,DB!$1:$1,0)),FALSE)),"")</f>
        <v/>
      </c>
      <c r="VFU18" s="28" t="str">
        <f>IFERROR(IF(VGD3="No",IF(VLOOKUP(DATE($K$1,$K$2,VFU$4),Table1[],(MATCH(Calendar!$A18,DB!$1:$1,0)),FALSE)&gt;=5,"Good","Bad"),VLOOKUP(DATE($K$1,$K$2,VFU$4),Table1[],(MATCH(Calendar!$A18,DB!$1:$1,0)),FALSE)),"")</f>
        <v/>
      </c>
      <c r="VFV18" s="28" t="str">
        <f>IFERROR(IF(VGE3="No",IF(VLOOKUP(DATE($K$1,$K$2,VFV$4),Table1[],(MATCH(Calendar!$A18,DB!$1:$1,0)),FALSE)&gt;=5,"Good","Bad"),VLOOKUP(DATE($K$1,$K$2,VFV$4),Table1[],(MATCH(Calendar!$A18,DB!$1:$1,0)),FALSE)),"")</f>
        <v/>
      </c>
      <c r="VFW18" s="28" t="str">
        <f>IFERROR(IF(VGF3="No",IF(VLOOKUP(DATE($K$1,$K$2,VFW$4),Table1[],(MATCH(Calendar!$A18,DB!$1:$1,0)),FALSE)&gt;=5,"Good","Bad"),VLOOKUP(DATE($K$1,$K$2,VFW$4),Table1[],(MATCH(Calendar!$A18,DB!$1:$1,0)),FALSE)),"")</f>
        <v/>
      </c>
      <c r="VFX18" s="28" t="str">
        <f>IFERROR(IF(VGG3="No",IF(VLOOKUP(DATE($K$1,$K$2,VFX$4),Table1[],(MATCH(Calendar!$A18,DB!$1:$1,0)),FALSE)&gt;=5,"Good","Bad"),VLOOKUP(DATE($K$1,$K$2,VFX$4),Table1[],(MATCH(Calendar!$A18,DB!$1:$1,0)),FALSE)),"")</f>
        <v/>
      </c>
      <c r="VFY18" s="28" t="str">
        <f>IFERROR(IF(VGH3="No",IF(VLOOKUP(DATE($K$1,$K$2,VFY$4),Table1[],(MATCH(Calendar!$A18,DB!$1:$1,0)),FALSE)&gt;=5,"Good","Bad"),VLOOKUP(DATE($K$1,$K$2,VFY$4),Table1[],(MATCH(Calendar!$A18,DB!$1:$1,0)),FALSE)),"")</f>
        <v/>
      </c>
      <c r="VFZ18" s="28" t="str">
        <f>IFERROR(IF(VGI3="No",IF(VLOOKUP(DATE($K$1,$K$2,VFZ$4),Table1[],(MATCH(Calendar!$A18,DB!$1:$1,0)),FALSE)&gt;=5,"Good","Bad"),VLOOKUP(DATE($K$1,$K$2,VFZ$4),Table1[],(MATCH(Calendar!$A18,DB!$1:$1,0)),FALSE)),"")</f>
        <v/>
      </c>
      <c r="VGA18" s="28" t="str">
        <f>IFERROR(IF(VGJ3="No",IF(VLOOKUP(DATE($K$1,$K$2,VGA$4),Table1[],(MATCH(Calendar!$A18,DB!$1:$1,0)),FALSE)&gt;=5,"Good","Bad"),VLOOKUP(DATE($K$1,$K$2,VGA$4),Table1[],(MATCH(Calendar!$A18,DB!$1:$1,0)),FALSE)),"")</f>
        <v/>
      </c>
      <c r="VGB18" s="28" t="str">
        <f>IFERROR(IF(VGK3="No",IF(VLOOKUP(DATE($K$1,$K$2,VGB$4),Table1[],(MATCH(Calendar!$A18,DB!$1:$1,0)),FALSE)&gt;=5,"Good","Bad"),VLOOKUP(DATE($K$1,$K$2,VGB$4),Table1[],(MATCH(Calendar!$A18,DB!$1:$1,0)),FALSE)),"")</f>
        <v/>
      </c>
      <c r="VGC18" s="28" t="str">
        <f>IFERROR(IF(VGL3="No",IF(VLOOKUP(DATE($K$1,$K$2,VGC$4),Table1[],(MATCH(Calendar!$A18,DB!$1:$1,0)),FALSE)&gt;=5,"Good","Bad"),VLOOKUP(DATE($K$1,$K$2,VGC$4),Table1[],(MATCH(Calendar!$A18,DB!$1:$1,0)),FALSE)),"")</f>
        <v/>
      </c>
      <c r="VGD18" s="28" t="str">
        <f>IFERROR(IF(VGM3="No",IF(VLOOKUP(DATE($K$1,$K$2,VGD$4),Table1[],(MATCH(Calendar!$A18,DB!$1:$1,0)),FALSE)&gt;=5,"Good","Bad"),VLOOKUP(DATE($K$1,$K$2,VGD$4),Table1[],(MATCH(Calendar!$A18,DB!$1:$1,0)),FALSE)),"")</f>
        <v/>
      </c>
      <c r="VGE18" s="28" t="str">
        <f>IFERROR(IF(VGN3="No",IF(VLOOKUP(DATE($K$1,$K$2,VGE$4),Table1[],(MATCH(Calendar!$A18,DB!$1:$1,0)),FALSE)&gt;=5,"Good","Bad"),VLOOKUP(DATE($K$1,$K$2,VGE$4),Table1[],(MATCH(Calendar!$A18,DB!$1:$1,0)),FALSE)),"")</f>
        <v/>
      </c>
      <c r="VGF18" s="28" t="str">
        <f>IFERROR(IF(VGO3="No",IF(VLOOKUP(DATE($K$1,$K$2,VGF$4),Table1[],(MATCH(Calendar!$A18,DB!$1:$1,0)),FALSE)&gt;=5,"Good","Bad"),VLOOKUP(DATE($K$1,$K$2,VGF$4),Table1[],(MATCH(Calendar!$A18,DB!$1:$1,0)),FALSE)),"")</f>
        <v/>
      </c>
      <c r="VGG18" s="28" t="str">
        <f>IFERROR(IF(VGP3="No",IF(VLOOKUP(DATE($K$1,$K$2,VGG$4),Table1[],(MATCH(Calendar!$A18,DB!$1:$1,0)),FALSE)&gt;=5,"Good","Bad"),VLOOKUP(DATE($K$1,$K$2,VGG$4),Table1[],(MATCH(Calendar!$A18,DB!$1:$1,0)),FALSE)),"")</f>
        <v/>
      </c>
      <c r="VGH18" s="28" t="str">
        <f>IFERROR(IF(VGQ3="No",IF(VLOOKUP(DATE($K$1,$K$2,VGH$4),Table1[],(MATCH(Calendar!$A18,DB!$1:$1,0)),FALSE)&gt;=5,"Good","Bad"),VLOOKUP(DATE($K$1,$K$2,VGH$4),Table1[],(MATCH(Calendar!$A18,DB!$1:$1,0)),FALSE)),"")</f>
        <v/>
      </c>
      <c r="VGI18" s="28" t="str">
        <f>IFERROR(IF(VGR3="No",IF(VLOOKUP(DATE($K$1,$K$2,VGI$4),Table1[],(MATCH(Calendar!$A18,DB!$1:$1,0)),FALSE)&gt;=5,"Good","Bad"),VLOOKUP(DATE($K$1,$K$2,VGI$4),Table1[],(MATCH(Calendar!$A18,DB!$1:$1,0)),FALSE)),"")</f>
        <v/>
      </c>
      <c r="VGJ18" s="28" t="str">
        <f>IFERROR(IF(VGS3="No",IF(VLOOKUP(DATE($K$1,$K$2,VGJ$4),Table1[],(MATCH(Calendar!$A18,DB!$1:$1,0)),FALSE)&gt;=5,"Good","Bad"),VLOOKUP(DATE($K$1,$K$2,VGJ$4),Table1[],(MATCH(Calendar!$A18,DB!$1:$1,0)),FALSE)),"")</f>
        <v/>
      </c>
      <c r="VGK18" s="28" t="str">
        <f>IFERROR(IF(VGT3="No",IF(VLOOKUP(DATE($K$1,$K$2,VGK$4),Table1[],(MATCH(Calendar!$A18,DB!$1:$1,0)),FALSE)&gt;=5,"Good","Bad"),VLOOKUP(DATE($K$1,$K$2,VGK$4),Table1[],(MATCH(Calendar!$A18,DB!$1:$1,0)),FALSE)),"")</f>
        <v/>
      </c>
      <c r="VGL18" s="28" t="str">
        <f>IFERROR(IF(VGU3="No",IF(VLOOKUP(DATE($K$1,$K$2,VGL$4),Table1[],(MATCH(Calendar!$A18,DB!$1:$1,0)),FALSE)&gt;=5,"Good","Bad"),VLOOKUP(DATE($K$1,$K$2,VGL$4),Table1[],(MATCH(Calendar!$A18,DB!$1:$1,0)),FALSE)),"")</f>
        <v/>
      </c>
      <c r="VGM18" s="28" t="str">
        <f>IFERROR(IF(VGV3="No",IF(VLOOKUP(DATE($K$1,$K$2,VGM$4),Table1[],(MATCH(Calendar!$A18,DB!$1:$1,0)),FALSE)&gt;=5,"Good","Bad"),VLOOKUP(DATE($K$1,$K$2,VGM$4),Table1[],(MATCH(Calendar!$A18,DB!$1:$1,0)),FALSE)),"")</f>
        <v/>
      </c>
      <c r="VGN18" s="28" t="str">
        <f>IFERROR(IF(VGW3="No",IF(VLOOKUP(DATE($K$1,$K$2,VGN$4),Table1[],(MATCH(Calendar!$A18,DB!$1:$1,0)),FALSE)&gt;=5,"Good","Bad"),VLOOKUP(DATE($K$1,$K$2,VGN$4),Table1[],(MATCH(Calendar!$A18,DB!$1:$1,0)),FALSE)),"")</f>
        <v/>
      </c>
      <c r="VGO18" s="28" t="str">
        <f>IFERROR(IF(VGX3="No",IF(VLOOKUP(DATE($K$1,$K$2,VGO$4),Table1[],(MATCH(Calendar!$A18,DB!$1:$1,0)),FALSE)&gt;=5,"Good","Bad"),VLOOKUP(DATE($K$1,$K$2,VGO$4),Table1[],(MATCH(Calendar!$A18,DB!$1:$1,0)),FALSE)),"")</f>
        <v/>
      </c>
      <c r="VGP18" s="28" t="str">
        <f>IFERROR(IF(VGY3="No",IF(VLOOKUP(DATE($K$1,$K$2,VGP$4),Table1[],(MATCH(Calendar!$A18,DB!$1:$1,0)),FALSE)&gt;=5,"Good","Bad"),VLOOKUP(DATE($K$1,$K$2,VGP$4),Table1[],(MATCH(Calendar!$A18,DB!$1:$1,0)),FALSE)),"")</f>
        <v/>
      </c>
      <c r="VGQ18" s="28" t="str">
        <f>IFERROR(IF(VGZ3="No",IF(VLOOKUP(DATE($K$1,$K$2,VGQ$4),Table1[],(MATCH(Calendar!$A18,DB!$1:$1,0)),FALSE)&gt;=5,"Good","Bad"),VLOOKUP(DATE($K$1,$K$2,VGQ$4),Table1[],(MATCH(Calendar!$A18,DB!$1:$1,0)),FALSE)),"")</f>
        <v/>
      </c>
      <c r="VGR18" s="28" t="str">
        <f>IFERROR(IF(VHA3="No",IF(VLOOKUP(DATE($K$1,$K$2,VGR$4),Table1[],(MATCH(Calendar!$A18,DB!$1:$1,0)),FALSE)&gt;=5,"Good","Bad"),VLOOKUP(DATE($K$1,$K$2,VGR$4),Table1[],(MATCH(Calendar!$A18,DB!$1:$1,0)),FALSE)),"")</f>
        <v/>
      </c>
      <c r="VGS18" s="28" t="str">
        <f>IFERROR(IF(VHB3="No",IF(VLOOKUP(DATE($K$1,$K$2,VGS$4),Table1[],(MATCH(Calendar!$A18,DB!$1:$1,0)),FALSE)&gt;=5,"Good","Bad"),VLOOKUP(DATE($K$1,$K$2,VGS$4),Table1[],(MATCH(Calendar!$A18,DB!$1:$1,0)),FALSE)),"")</f>
        <v/>
      </c>
      <c r="VGT18" s="28" t="str">
        <f>IFERROR(IF(VHC3="No",IF(VLOOKUP(DATE($K$1,$K$2,VGT$4),Table1[],(MATCH(Calendar!$A18,DB!$1:$1,0)),FALSE)&gt;=5,"Good","Bad"),VLOOKUP(DATE($K$1,$K$2,VGT$4),Table1[],(MATCH(Calendar!$A18,DB!$1:$1,0)),FALSE)),"")</f>
        <v/>
      </c>
      <c r="VGU18" s="28" t="str">
        <f>IFERROR(IF(VHD3="No",IF(VLOOKUP(DATE($K$1,$K$2,VGU$4),Table1[],(MATCH(Calendar!$A18,DB!$1:$1,0)),FALSE)&gt;=5,"Good","Bad"),VLOOKUP(DATE($K$1,$K$2,VGU$4),Table1[],(MATCH(Calendar!$A18,DB!$1:$1,0)),FALSE)),"")</f>
        <v/>
      </c>
      <c r="VGV18" s="28" t="str">
        <f>IFERROR(IF(VHE3="No",IF(VLOOKUP(DATE($K$1,$K$2,VGV$4),Table1[],(MATCH(Calendar!$A18,DB!$1:$1,0)),FALSE)&gt;=5,"Good","Bad"),VLOOKUP(DATE($K$1,$K$2,VGV$4),Table1[],(MATCH(Calendar!$A18,DB!$1:$1,0)),FALSE)),"")</f>
        <v/>
      </c>
      <c r="VGW18" s="28" t="str">
        <f>IFERROR(IF(VHF3="No",IF(VLOOKUP(DATE($K$1,$K$2,VGW$4),Table1[],(MATCH(Calendar!$A18,DB!$1:$1,0)),FALSE)&gt;=5,"Good","Bad"),VLOOKUP(DATE($K$1,$K$2,VGW$4),Table1[],(MATCH(Calendar!$A18,DB!$1:$1,0)),FALSE)),"")</f>
        <v/>
      </c>
      <c r="VGX18" s="28" t="str">
        <f>IFERROR(IF(VHG3="No",IF(VLOOKUP(DATE($K$1,$K$2,VGX$4),Table1[],(MATCH(Calendar!$A18,DB!$1:$1,0)),FALSE)&gt;=5,"Good","Bad"),VLOOKUP(DATE($K$1,$K$2,VGX$4),Table1[],(MATCH(Calendar!$A18,DB!$1:$1,0)),FALSE)),"")</f>
        <v/>
      </c>
      <c r="VGY18" s="28" t="str">
        <f>IFERROR(IF(VHH3="No",IF(VLOOKUP(DATE($K$1,$K$2,VGY$4),Table1[],(MATCH(Calendar!$A18,DB!$1:$1,0)),FALSE)&gt;=5,"Good","Bad"),VLOOKUP(DATE($K$1,$K$2,VGY$4),Table1[],(MATCH(Calendar!$A18,DB!$1:$1,0)),FALSE)),"")</f>
        <v/>
      </c>
      <c r="VGZ18" s="28" t="str">
        <f>IFERROR(IF(VHI3="No",IF(VLOOKUP(DATE($K$1,$K$2,VGZ$4),Table1[],(MATCH(Calendar!$A18,DB!$1:$1,0)),FALSE)&gt;=5,"Good","Bad"),VLOOKUP(DATE($K$1,$K$2,VGZ$4),Table1[],(MATCH(Calendar!$A18,DB!$1:$1,0)),FALSE)),"")</f>
        <v/>
      </c>
      <c r="VHA18" s="28" t="str">
        <f>IFERROR(IF(VHJ3="No",IF(VLOOKUP(DATE($K$1,$K$2,VHA$4),Table1[],(MATCH(Calendar!$A18,DB!$1:$1,0)),FALSE)&gt;=5,"Good","Bad"),VLOOKUP(DATE($K$1,$K$2,VHA$4),Table1[],(MATCH(Calendar!$A18,DB!$1:$1,0)),FALSE)),"")</f>
        <v/>
      </c>
      <c r="VHB18" s="28" t="str">
        <f>IFERROR(IF(VHK3="No",IF(VLOOKUP(DATE($K$1,$K$2,VHB$4),Table1[],(MATCH(Calendar!$A18,DB!$1:$1,0)),FALSE)&gt;=5,"Good","Bad"),VLOOKUP(DATE($K$1,$K$2,VHB$4),Table1[],(MATCH(Calendar!$A18,DB!$1:$1,0)),FALSE)),"")</f>
        <v/>
      </c>
      <c r="VHC18" s="28" t="str">
        <f>IFERROR(IF(VHL3="No",IF(VLOOKUP(DATE($K$1,$K$2,VHC$4),Table1[],(MATCH(Calendar!$A18,DB!$1:$1,0)),FALSE)&gt;=5,"Good","Bad"),VLOOKUP(DATE($K$1,$K$2,VHC$4),Table1[],(MATCH(Calendar!$A18,DB!$1:$1,0)),FALSE)),"")</f>
        <v/>
      </c>
      <c r="VHD18" s="28" t="str">
        <f>IFERROR(IF(VHM3="No",IF(VLOOKUP(DATE($K$1,$K$2,VHD$4),Table1[],(MATCH(Calendar!$A18,DB!$1:$1,0)),FALSE)&gt;=5,"Good","Bad"),VLOOKUP(DATE($K$1,$K$2,VHD$4),Table1[],(MATCH(Calendar!$A18,DB!$1:$1,0)),FALSE)),"")</f>
        <v/>
      </c>
      <c r="VHE18" s="28" t="str">
        <f>IFERROR(IF(VHN3="No",IF(VLOOKUP(DATE($K$1,$K$2,VHE$4),Table1[],(MATCH(Calendar!$A18,DB!$1:$1,0)),FALSE)&gt;=5,"Good","Bad"),VLOOKUP(DATE($K$1,$K$2,VHE$4),Table1[],(MATCH(Calendar!$A18,DB!$1:$1,0)),FALSE)),"")</f>
        <v/>
      </c>
      <c r="VHF18" s="28" t="str">
        <f>IFERROR(IF(VHO3="No",IF(VLOOKUP(DATE($K$1,$K$2,VHF$4),Table1[],(MATCH(Calendar!$A18,DB!$1:$1,0)),FALSE)&gt;=5,"Good","Bad"),VLOOKUP(DATE($K$1,$K$2,VHF$4),Table1[],(MATCH(Calendar!$A18,DB!$1:$1,0)),FALSE)),"")</f>
        <v/>
      </c>
      <c r="VHG18" s="28" t="str">
        <f>IFERROR(IF(VHP3="No",IF(VLOOKUP(DATE($K$1,$K$2,VHG$4),Table1[],(MATCH(Calendar!$A18,DB!$1:$1,0)),FALSE)&gt;=5,"Good","Bad"),VLOOKUP(DATE($K$1,$K$2,VHG$4),Table1[],(MATCH(Calendar!$A18,DB!$1:$1,0)),FALSE)),"")</f>
        <v/>
      </c>
      <c r="VHH18" s="28" t="str">
        <f>IFERROR(IF(VHQ3="No",IF(VLOOKUP(DATE($K$1,$K$2,VHH$4),Table1[],(MATCH(Calendar!$A18,DB!$1:$1,0)),FALSE)&gt;=5,"Good","Bad"),VLOOKUP(DATE($K$1,$K$2,VHH$4),Table1[],(MATCH(Calendar!$A18,DB!$1:$1,0)),FALSE)),"")</f>
        <v/>
      </c>
      <c r="VHI18" s="28" t="str">
        <f>IFERROR(IF(VHR3="No",IF(VLOOKUP(DATE($K$1,$K$2,VHI$4),Table1[],(MATCH(Calendar!$A18,DB!$1:$1,0)),FALSE)&gt;=5,"Good","Bad"),VLOOKUP(DATE($K$1,$K$2,VHI$4),Table1[],(MATCH(Calendar!$A18,DB!$1:$1,0)),FALSE)),"")</f>
        <v/>
      </c>
      <c r="VHJ18" s="28" t="str">
        <f>IFERROR(IF(VHS3="No",IF(VLOOKUP(DATE($K$1,$K$2,VHJ$4),Table1[],(MATCH(Calendar!$A18,DB!$1:$1,0)),FALSE)&gt;=5,"Good","Bad"),VLOOKUP(DATE($K$1,$K$2,VHJ$4),Table1[],(MATCH(Calendar!$A18,DB!$1:$1,0)),FALSE)),"")</f>
        <v/>
      </c>
      <c r="VHK18" s="28" t="str">
        <f>IFERROR(IF(VHT3="No",IF(VLOOKUP(DATE($K$1,$K$2,VHK$4),Table1[],(MATCH(Calendar!$A18,DB!$1:$1,0)),FALSE)&gt;=5,"Good","Bad"),VLOOKUP(DATE($K$1,$K$2,VHK$4),Table1[],(MATCH(Calendar!$A18,DB!$1:$1,0)),FALSE)),"")</f>
        <v/>
      </c>
      <c r="VHL18" s="28" t="str">
        <f>IFERROR(IF(VHU3="No",IF(VLOOKUP(DATE($K$1,$K$2,VHL$4),Table1[],(MATCH(Calendar!$A18,DB!$1:$1,0)),FALSE)&gt;=5,"Good","Bad"),VLOOKUP(DATE($K$1,$K$2,VHL$4),Table1[],(MATCH(Calendar!$A18,DB!$1:$1,0)),FALSE)),"")</f>
        <v/>
      </c>
      <c r="VHM18" s="28" t="str">
        <f>IFERROR(IF(VHV3="No",IF(VLOOKUP(DATE($K$1,$K$2,VHM$4),Table1[],(MATCH(Calendar!$A18,DB!$1:$1,0)),FALSE)&gt;=5,"Good","Bad"),VLOOKUP(DATE($K$1,$K$2,VHM$4),Table1[],(MATCH(Calendar!$A18,DB!$1:$1,0)),FALSE)),"")</f>
        <v/>
      </c>
      <c r="VHN18" s="28" t="str">
        <f>IFERROR(IF(VHW3="No",IF(VLOOKUP(DATE($K$1,$K$2,VHN$4),Table1[],(MATCH(Calendar!$A18,DB!$1:$1,0)),FALSE)&gt;=5,"Good","Bad"),VLOOKUP(DATE($K$1,$K$2,VHN$4),Table1[],(MATCH(Calendar!$A18,DB!$1:$1,0)),FALSE)),"")</f>
        <v/>
      </c>
      <c r="VHO18" s="28" t="str">
        <f>IFERROR(IF(VHX3="No",IF(VLOOKUP(DATE($K$1,$K$2,VHO$4),Table1[],(MATCH(Calendar!$A18,DB!$1:$1,0)),FALSE)&gt;=5,"Good","Bad"),VLOOKUP(DATE($K$1,$K$2,VHO$4),Table1[],(MATCH(Calendar!$A18,DB!$1:$1,0)),FALSE)),"")</f>
        <v/>
      </c>
      <c r="VHP18" s="28" t="str">
        <f>IFERROR(IF(VHY3="No",IF(VLOOKUP(DATE($K$1,$K$2,VHP$4),Table1[],(MATCH(Calendar!$A18,DB!$1:$1,0)),FALSE)&gt;=5,"Good","Bad"),VLOOKUP(DATE($K$1,$K$2,VHP$4),Table1[],(MATCH(Calendar!$A18,DB!$1:$1,0)),FALSE)),"")</f>
        <v/>
      </c>
      <c r="VHQ18" s="28" t="str">
        <f>IFERROR(IF(VHZ3="No",IF(VLOOKUP(DATE($K$1,$K$2,VHQ$4),Table1[],(MATCH(Calendar!$A18,DB!$1:$1,0)),FALSE)&gt;=5,"Good","Bad"),VLOOKUP(DATE($K$1,$K$2,VHQ$4),Table1[],(MATCH(Calendar!$A18,DB!$1:$1,0)),FALSE)),"")</f>
        <v/>
      </c>
      <c r="VHR18" s="28" t="str">
        <f>IFERROR(IF(VIA3="No",IF(VLOOKUP(DATE($K$1,$K$2,VHR$4),Table1[],(MATCH(Calendar!$A18,DB!$1:$1,0)),FALSE)&gt;=5,"Good","Bad"),VLOOKUP(DATE($K$1,$K$2,VHR$4),Table1[],(MATCH(Calendar!$A18,DB!$1:$1,0)),FALSE)),"")</f>
        <v/>
      </c>
      <c r="VHS18" s="28" t="str">
        <f>IFERROR(IF(VIB3="No",IF(VLOOKUP(DATE($K$1,$K$2,VHS$4),Table1[],(MATCH(Calendar!$A18,DB!$1:$1,0)),FALSE)&gt;=5,"Good","Bad"),VLOOKUP(DATE($K$1,$K$2,VHS$4),Table1[],(MATCH(Calendar!$A18,DB!$1:$1,0)),FALSE)),"")</f>
        <v/>
      </c>
      <c r="VHT18" s="28" t="str">
        <f>IFERROR(IF(VIC3="No",IF(VLOOKUP(DATE($K$1,$K$2,VHT$4),Table1[],(MATCH(Calendar!$A18,DB!$1:$1,0)),FALSE)&gt;=5,"Good","Bad"),VLOOKUP(DATE($K$1,$K$2,VHT$4),Table1[],(MATCH(Calendar!$A18,DB!$1:$1,0)),FALSE)),"")</f>
        <v/>
      </c>
      <c r="VHU18" s="28" t="str">
        <f>IFERROR(IF(VID3="No",IF(VLOOKUP(DATE($K$1,$K$2,VHU$4),Table1[],(MATCH(Calendar!$A18,DB!$1:$1,0)),FALSE)&gt;=5,"Good","Bad"),VLOOKUP(DATE($K$1,$K$2,VHU$4),Table1[],(MATCH(Calendar!$A18,DB!$1:$1,0)),FALSE)),"")</f>
        <v/>
      </c>
      <c r="VHV18" s="28" t="str">
        <f>IFERROR(IF(VIE3="No",IF(VLOOKUP(DATE($K$1,$K$2,VHV$4),Table1[],(MATCH(Calendar!$A18,DB!$1:$1,0)),FALSE)&gt;=5,"Good","Bad"),VLOOKUP(DATE($K$1,$K$2,VHV$4),Table1[],(MATCH(Calendar!$A18,DB!$1:$1,0)),FALSE)),"")</f>
        <v/>
      </c>
      <c r="VHW18" s="28" t="str">
        <f>IFERROR(IF(VIF3="No",IF(VLOOKUP(DATE($K$1,$K$2,VHW$4),Table1[],(MATCH(Calendar!$A18,DB!$1:$1,0)),FALSE)&gt;=5,"Good","Bad"),VLOOKUP(DATE($K$1,$K$2,VHW$4),Table1[],(MATCH(Calendar!$A18,DB!$1:$1,0)),FALSE)),"")</f>
        <v/>
      </c>
      <c r="VHX18" s="28" t="str">
        <f>IFERROR(IF(VIG3="No",IF(VLOOKUP(DATE($K$1,$K$2,VHX$4),Table1[],(MATCH(Calendar!$A18,DB!$1:$1,0)),FALSE)&gt;=5,"Good","Bad"),VLOOKUP(DATE($K$1,$K$2,VHX$4),Table1[],(MATCH(Calendar!$A18,DB!$1:$1,0)),FALSE)),"")</f>
        <v/>
      </c>
      <c r="VHY18" s="28" t="str">
        <f>IFERROR(IF(VIH3="No",IF(VLOOKUP(DATE($K$1,$K$2,VHY$4),Table1[],(MATCH(Calendar!$A18,DB!$1:$1,0)),FALSE)&gt;=5,"Good","Bad"),VLOOKUP(DATE($K$1,$K$2,VHY$4),Table1[],(MATCH(Calendar!$A18,DB!$1:$1,0)),FALSE)),"")</f>
        <v/>
      </c>
      <c r="VHZ18" s="28" t="str">
        <f>IFERROR(IF(VII3="No",IF(VLOOKUP(DATE($K$1,$K$2,VHZ$4),Table1[],(MATCH(Calendar!$A18,DB!$1:$1,0)),FALSE)&gt;=5,"Good","Bad"),VLOOKUP(DATE($K$1,$K$2,VHZ$4),Table1[],(MATCH(Calendar!$A18,DB!$1:$1,0)),FALSE)),"")</f>
        <v/>
      </c>
      <c r="VIA18" s="28" t="str">
        <f>IFERROR(IF(VIJ3="No",IF(VLOOKUP(DATE($K$1,$K$2,VIA$4),Table1[],(MATCH(Calendar!$A18,DB!$1:$1,0)),FALSE)&gt;=5,"Good","Bad"),VLOOKUP(DATE($K$1,$K$2,VIA$4),Table1[],(MATCH(Calendar!$A18,DB!$1:$1,0)),FALSE)),"")</f>
        <v/>
      </c>
      <c r="VIB18" s="28" t="str">
        <f>IFERROR(IF(VIK3="No",IF(VLOOKUP(DATE($K$1,$K$2,VIB$4),Table1[],(MATCH(Calendar!$A18,DB!$1:$1,0)),FALSE)&gt;=5,"Good","Bad"),VLOOKUP(DATE($K$1,$K$2,VIB$4),Table1[],(MATCH(Calendar!$A18,DB!$1:$1,0)),FALSE)),"")</f>
        <v/>
      </c>
      <c r="VIC18" s="28" t="str">
        <f>IFERROR(IF(VIL3="No",IF(VLOOKUP(DATE($K$1,$K$2,VIC$4),Table1[],(MATCH(Calendar!$A18,DB!$1:$1,0)),FALSE)&gt;=5,"Good","Bad"),VLOOKUP(DATE($K$1,$K$2,VIC$4),Table1[],(MATCH(Calendar!$A18,DB!$1:$1,0)),FALSE)),"")</f>
        <v/>
      </c>
      <c r="VID18" s="28" t="str">
        <f>IFERROR(IF(VIM3="No",IF(VLOOKUP(DATE($K$1,$K$2,VID$4),Table1[],(MATCH(Calendar!$A18,DB!$1:$1,0)),FALSE)&gt;=5,"Good","Bad"),VLOOKUP(DATE($K$1,$K$2,VID$4),Table1[],(MATCH(Calendar!$A18,DB!$1:$1,0)),FALSE)),"")</f>
        <v/>
      </c>
      <c r="VIE18" s="28" t="str">
        <f>IFERROR(IF(VIN3="No",IF(VLOOKUP(DATE($K$1,$K$2,VIE$4),Table1[],(MATCH(Calendar!$A18,DB!$1:$1,0)),FALSE)&gt;=5,"Good","Bad"),VLOOKUP(DATE($K$1,$K$2,VIE$4),Table1[],(MATCH(Calendar!$A18,DB!$1:$1,0)),FALSE)),"")</f>
        <v/>
      </c>
      <c r="VIF18" s="28" t="str">
        <f>IFERROR(IF(VIO3="No",IF(VLOOKUP(DATE($K$1,$K$2,VIF$4),Table1[],(MATCH(Calendar!$A18,DB!$1:$1,0)),FALSE)&gt;=5,"Good","Bad"),VLOOKUP(DATE($K$1,$K$2,VIF$4),Table1[],(MATCH(Calendar!$A18,DB!$1:$1,0)),FALSE)),"")</f>
        <v/>
      </c>
      <c r="VIG18" s="28" t="str">
        <f>IFERROR(IF(VIP3="No",IF(VLOOKUP(DATE($K$1,$K$2,VIG$4),Table1[],(MATCH(Calendar!$A18,DB!$1:$1,0)),FALSE)&gt;=5,"Good","Bad"),VLOOKUP(DATE($K$1,$K$2,VIG$4),Table1[],(MATCH(Calendar!$A18,DB!$1:$1,0)),FALSE)),"")</f>
        <v/>
      </c>
      <c r="VIH18" s="28" t="str">
        <f>IFERROR(IF(VIQ3="No",IF(VLOOKUP(DATE($K$1,$K$2,VIH$4),Table1[],(MATCH(Calendar!$A18,DB!$1:$1,0)),FALSE)&gt;=5,"Good","Bad"),VLOOKUP(DATE($K$1,$K$2,VIH$4),Table1[],(MATCH(Calendar!$A18,DB!$1:$1,0)),FALSE)),"")</f>
        <v/>
      </c>
      <c r="VII18" s="28" t="str">
        <f>IFERROR(IF(VIR3="No",IF(VLOOKUP(DATE($K$1,$K$2,VII$4),Table1[],(MATCH(Calendar!$A18,DB!$1:$1,0)),FALSE)&gt;=5,"Good","Bad"),VLOOKUP(DATE($K$1,$K$2,VII$4),Table1[],(MATCH(Calendar!$A18,DB!$1:$1,0)),FALSE)),"")</f>
        <v/>
      </c>
      <c r="VIJ18" s="28" t="str">
        <f>IFERROR(IF(VIS3="No",IF(VLOOKUP(DATE($K$1,$K$2,VIJ$4),Table1[],(MATCH(Calendar!$A18,DB!$1:$1,0)),FALSE)&gt;=5,"Good","Bad"),VLOOKUP(DATE($K$1,$K$2,VIJ$4),Table1[],(MATCH(Calendar!$A18,DB!$1:$1,0)),FALSE)),"")</f>
        <v/>
      </c>
      <c r="VIK18" s="28" t="str">
        <f>IFERROR(IF(VIT3="No",IF(VLOOKUP(DATE($K$1,$K$2,VIK$4),Table1[],(MATCH(Calendar!$A18,DB!$1:$1,0)),FALSE)&gt;=5,"Good","Bad"),VLOOKUP(DATE($K$1,$K$2,VIK$4),Table1[],(MATCH(Calendar!$A18,DB!$1:$1,0)),FALSE)),"")</f>
        <v/>
      </c>
      <c r="VIL18" s="28" t="str">
        <f>IFERROR(IF(VIU3="No",IF(VLOOKUP(DATE($K$1,$K$2,VIL$4),Table1[],(MATCH(Calendar!$A18,DB!$1:$1,0)),FALSE)&gt;=5,"Good","Bad"),VLOOKUP(DATE($K$1,$K$2,VIL$4),Table1[],(MATCH(Calendar!$A18,DB!$1:$1,0)),FALSE)),"")</f>
        <v/>
      </c>
      <c r="VIM18" s="28" t="str">
        <f>IFERROR(IF(VIV3="No",IF(VLOOKUP(DATE($K$1,$K$2,VIM$4),Table1[],(MATCH(Calendar!$A18,DB!$1:$1,0)),FALSE)&gt;=5,"Good","Bad"),VLOOKUP(DATE($K$1,$K$2,VIM$4),Table1[],(MATCH(Calendar!$A18,DB!$1:$1,0)),FALSE)),"")</f>
        <v/>
      </c>
      <c r="VIN18" s="28" t="str">
        <f>IFERROR(IF(VIW3="No",IF(VLOOKUP(DATE($K$1,$K$2,VIN$4),Table1[],(MATCH(Calendar!$A18,DB!$1:$1,0)),FALSE)&gt;=5,"Good","Bad"),VLOOKUP(DATE($K$1,$K$2,VIN$4),Table1[],(MATCH(Calendar!$A18,DB!$1:$1,0)),FALSE)),"")</f>
        <v/>
      </c>
      <c r="VIO18" s="28" t="str">
        <f>IFERROR(IF(VIX3="No",IF(VLOOKUP(DATE($K$1,$K$2,VIO$4),Table1[],(MATCH(Calendar!$A18,DB!$1:$1,0)),FALSE)&gt;=5,"Good","Bad"),VLOOKUP(DATE($K$1,$K$2,VIO$4),Table1[],(MATCH(Calendar!$A18,DB!$1:$1,0)),FALSE)),"")</f>
        <v/>
      </c>
      <c r="VIP18" s="28" t="str">
        <f>IFERROR(IF(VIY3="No",IF(VLOOKUP(DATE($K$1,$K$2,VIP$4),Table1[],(MATCH(Calendar!$A18,DB!$1:$1,0)),FALSE)&gt;=5,"Good","Bad"),VLOOKUP(DATE($K$1,$K$2,VIP$4),Table1[],(MATCH(Calendar!$A18,DB!$1:$1,0)),FALSE)),"")</f>
        <v/>
      </c>
      <c r="VIQ18" s="28" t="str">
        <f>IFERROR(IF(VIZ3="No",IF(VLOOKUP(DATE($K$1,$K$2,VIQ$4),Table1[],(MATCH(Calendar!$A18,DB!$1:$1,0)),FALSE)&gt;=5,"Good","Bad"),VLOOKUP(DATE($K$1,$K$2,VIQ$4),Table1[],(MATCH(Calendar!$A18,DB!$1:$1,0)),FALSE)),"")</f>
        <v/>
      </c>
      <c r="VIR18" s="28" t="str">
        <f>IFERROR(IF(VJA3="No",IF(VLOOKUP(DATE($K$1,$K$2,VIR$4),Table1[],(MATCH(Calendar!$A18,DB!$1:$1,0)),FALSE)&gt;=5,"Good","Bad"),VLOOKUP(DATE($K$1,$K$2,VIR$4),Table1[],(MATCH(Calendar!$A18,DB!$1:$1,0)),FALSE)),"")</f>
        <v/>
      </c>
      <c r="VIS18" s="28" t="str">
        <f>IFERROR(IF(VJB3="No",IF(VLOOKUP(DATE($K$1,$K$2,VIS$4),Table1[],(MATCH(Calendar!$A18,DB!$1:$1,0)),FALSE)&gt;=5,"Good","Bad"),VLOOKUP(DATE($K$1,$K$2,VIS$4),Table1[],(MATCH(Calendar!$A18,DB!$1:$1,0)),FALSE)),"")</f>
        <v/>
      </c>
      <c r="VIT18" s="28" t="str">
        <f>IFERROR(IF(VJC3="No",IF(VLOOKUP(DATE($K$1,$K$2,VIT$4),Table1[],(MATCH(Calendar!$A18,DB!$1:$1,0)),FALSE)&gt;=5,"Good","Bad"),VLOOKUP(DATE($K$1,$K$2,VIT$4),Table1[],(MATCH(Calendar!$A18,DB!$1:$1,0)),FALSE)),"")</f>
        <v/>
      </c>
      <c r="VIU18" s="28" t="str">
        <f>IFERROR(IF(VJD3="No",IF(VLOOKUP(DATE($K$1,$K$2,VIU$4),Table1[],(MATCH(Calendar!$A18,DB!$1:$1,0)),FALSE)&gt;=5,"Good","Bad"),VLOOKUP(DATE($K$1,$K$2,VIU$4),Table1[],(MATCH(Calendar!$A18,DB!$1:$1,0)),FALSE)),"")</f>
        <v/>
      </c>
      <c r="VIV18" s="28" t="str">
        <f>IFERROR(IF(VJE3="No",IF(VLOOKUP(DATE($K$1,$K$2,VIV$4),Table1[],(MATCH(Calendar!$A18,DB!$1:$1,0)),FALSE)&gt;=5,"Good","Bad"),VLOOKUP(DATE($K$1,$K$2,VIV$4),Table1[],(MATCH(Calendar!$A18,DB!$1:$1,0)),FALSE)),"")</f>
        <v/>
      </c>
      <c r="VIW18" s="28" t="str">
        <f>IFERROR(IF(VJF3="No",IF(VLOOKUP(DATE($K$1,$K$2,VIW$4),Table1[],(MATCH(Calendar!$A18,DB!$1:$1,0)),FALSE)&gt;=5,"Good","Bad"),VLOOKUP(DATE($K$1,$K$2,VIW$4),Table1[],(MATCH(Calendar!$A18,DB!$1:$1,0)),FALSE)),"")</f>
        <v/>
      </c>
      <c r="VIX18" s="28" t="str">
        <f>IFERROR(IF(VJG3="No",IF(VLOOKUP(DATE($K$1,$K$2,VIX$4),Table1[],(MATCH(Calendar!$A18,DB!$1:$1,0)),FALSE)&gt;=5,"Good","Bad"),VLOOKUP(DATE($K$1,$K$2,VIX$4),Table1[],(MATCH(Calendar!$A18,DB!$1:$1,0)),FALSE)),"")</f>
        <v/>
      </c>
      <c r="VIY18" s="28" t="str">
        <f>IFERROR(IF(VJH3="No",IF(VLOOKUP(DATE($K$1,$K$2,VIY$4),Table1[],(MATCH(Calendar!$A18,DB!$1:$1,0)),FALSE)&gt;=5,"Good","Bad"),VLOOKUP(DATE($K$1,$K$2,VIY$4),Table1[],(MATCH(Calendar!$A18,DB!$1:$1,0)),FALSE)),"")</f>
        <v/>
      </c>
      <c r="VIZ18" s="28" t="str">
        <f>IFERROR(IF(VJI3="No",IF(VLOOKUP(DATE($K$1,$K$2,VIZ$4),Table1[],(MATCH(Calendar!$A18,DB!$1:$1,0)),FALSE)&gt;=5,"Good","Bad"),VLOOKUP(DATE($K$1,$K$2,VIZ$4),Table1[],(MATCH(Calendar!$A18,DB!$1:$1,0)),FALSE)),"")</f>
        <v/>
      </c>
      <c r="VJA18" s="28" t="str">
        <f>IFERROR(IF(VJJ3="No",IF(VLOOKUP(DATE($K$1,$K$2,VJA$4),Table1[],(MATCH(Calendar!$A18,DB!$1:$1,0)),FALSE)&gt;=5,"Good","Bad"),VLOOKUP(DATE($K$1,$K$2,VJA$4),Table1[],(MATCH(Calendar!$A18,DB!$1:$1,0)),FALSE)),"")</f>
        <v/>
      </c>
      <c r="VJB18" s="28" t="str">
        <f>IFERROR(IF(VJK3="No",IF(VLOOKUP(DATE($K$1,$K$2,VJB$4),Table1[],(MATCH(Calendar!$A18,DB!$1:$1,0)),FALSE)&gt;=5,"Good","Bad"),VLOOKUP(DATE($K$1,$K$2,VJB$4),Table1[],(MATCH(Calendar!$A18,DB!$1:$1,0)),FALSE)),"")</f>
        <v/>
      </c>
      <c r="VJC18" s="28" t="str">
        <f>IFERROR(IF(VJL3="No",IF(VLOOKUP(DATE($K$1,$K$2,VJC$4),Table1[],(MATCH(Calendar!$A18,DB!$1:$1,0)),FALSE)&gt;=5,"Good","Bad"),VLOOKUP(DATE($K$1,$K$2,VJC$4),Table1[],(MATCH(Calendar!$A18,DB!$1:$1,0)),FALSE)),"")</f>
        <v/>
      </c>
      <c r="VJD18" s="28" t="str">
        <f>IFERROR(IF(VJM3="No",IF(VLOOKUP(DATE($K$1,$K$2,VJD$4),Table1[],(MATCH(Calendar!$A18,DB!$1:$1,0)),FALSE)&gt;=5,"Good","Bad"),VLOOKUP(DATE($K$1,$K$2,VJD$4),Table1[],(MATCH(Calendar!$A18,DB!$1:$1,0)),FALSE)),"")</f>
        <v/>
      </c>
      <c r="VJE18" s="28" t="str">
        <f>IFERROR(IF(VJN3="No",IF(VLOOKUP(DATE($K$1,$K$2,VJE$4),Table1[],(MATCH(Calendar!$A18,DB!$1:$1,0)),FALSE)&gt;=5,"Good","Bad"),VLOOKUP(DATE($K$1,$K$2,VJE$4),Table1[],(MATCH(Calendar!$A18,DB!$1:$1,0)),FALSE)),"")</f>
        <v/>
      </c>
      <c r="VJF18" s="28" t="str">
        <f>IFERROR(IF(VJO3="No",IF(VLOOKUP(DATE($K$1,$K$2,VJF$4),Table1[],(MATCH(Calendar!$A18,DB!$1:$1,0)),FALSE)&gt;=5,"Good","Bad"),VLOOKUP(DATE($K$1,$K$2,VJF$4),Table1[],(MATCH(Calendar!$A18,DB!$1:$1,0)),FALSE)),"")</f>
        <v/>
      </c>
      <c r="VJG18" s="28" t="str">
        <f>IFERROR(IF(VJP3="No",IF(VLOOKUP(DATE($K$1,$K$2,VJG$4),Table1[],(MATCH(Calendar!$A18,DB!$1:$1,0)),FALSE)&gt;=5,"Good","Bad"),VLOOKUP(DATE($K$1,$K$2,VJG$4),Table1[],(MATCH(Calendar!$A18,DB!$1:$1,0)),FALSE)),"")</f>
        <v/>
      </c>
      <c r="VJH18" s="28" t="str">
        <f>IFERROR(IF(VJQ3="No",IF(VLOOKUP(DATE($K$1,$K$2,VJH$4),Table1[],(MATCH(Calendar!$A18,DB!$1:$1,0)),FALSE)&gt;=5,"Good","Bad"),VLOOKUP(DATE($K$1,$K$2,VJH$4),Table1[],(MATCH(Calendar!$A18,DB!$1:$1,0)),FALSE)),"")</f>
        <v/>
      </c>
      <c r="VJI18" s="28" t="str">
        <f>IFERROR(IF(VJR3="No",IF(VLOOKUP(DATE($K$1,$K$2,VJI$4),Table1[],(MATCH(Calendar!$A18,DB!$1:$1,0)),FALSE)&gt;=5,"Good","Bad"),VLOOKUP(DATE($K$1,$K$2,VJI$4),Table1[],(MATCH(Calendar!$A18,DB!$1:$1,0)),FALSE)),"")</f>
        <v/>
      </c>
      <c r="VJJ18" s="28" t="str">
        <f>IFERROR(IF(VJS3="No",IF(VLOOKUP(DATE($K$1,$K$2,VJJ$4),Table1[],(MATCH(Calendar!$A18,DB!$1:$1,0)),FALSE)&gt;=5,"Good","Bad"),VLOOKUP(DATE($K$1,$K$2,VJJ$4),Table1[],(MATCH(Calendar!$A18,DB!$1:$1,0)),FALSE)),"")</f>
        <v/>
      </c>
      <c r="VJK18" s="28" t="str">
        <f>IFERROR(IF(VJT3="No",IF(VLOOKUP(DATE($K$1,$K$2,VJK$4),Table1[],(MATCH(Calendar!$A18,DB!$1:$1,0)),FALSE)&gt;=5,"Good","Bad"),VLOOKUP(DATE($K$1,$K$2,VJK$4),Table1[],(MATCH(Calendar!$A18,DB!$1:$1,0)),FALSE)),"")</f>
        <v/>
      </c>
      <c r="VJL18" s="28" t="str">
        <f>IFERROR(IF(VJU3="No",IF(VLOOKUP(DATE($K$1,$K$2,VJL$4),Table1[],(MATCH(Calendar!$A18,DB!$1:$1,0)),FALSE)&gt;=5,"Good","Bad"),VLOOKUP(DATE($K$1,$K$2,VJL$4),Table1[],(MATCH(Calendar!$A18,DB!$1:$1,0)),FALSE)),"")</f>
        <v/>
      </c>
      <c r="VJM18" s="28" t="str">
        <f>IFERROR(IF(VJV3="No",IF(VLOOKUP(DATE($K$1,$K$2,VJM$4),Table1[],(MATCH(Calendar!$A18,DB!$1:$1,0)),FALSE)&gt;=5,"Good","Bad"),VLOOKUP(DATE($K$1,$K$2,VJM$4),Table1[],(MATCH(Calendar!$A18,DB!$1:$1,0)),FALSE)),"")</f>
        <v/>
      </c>
      <c r="VJN18" s="28" t="str">
        <f>IFERROR(IF(VJW3="No",IF(VLOOKUP(DATE($K$1,$K$2,VJN$4),Table1[],(MATCH(Calendar!$A18,DB!$1:$1,0)),FALSE)&gt;=5,"Good","Bad"),VLOOKUP(DATE($K$1,$K$2,VJN$4),Table1[],(MATCH(Calendar!$A18,DB!$1:$1,0)),FALSE)),"")</f>
        <v/>
      </c>
      <c r="VJO18" s="28" t="str">
        <f>IFERROR(IF(VJX3="No",IF(VLOOKUP(DATE($K$1,$K$2,VJO$4),Table1[],(MATCH(Calendar!$A18,DB!$1:$1,0)),FALSE)&gt;=5,"Good","Bad"),VLOOKUP(DATE($K$1,$K$2,VJO$4),Table1[],(MATCH(Calendar!$A18,DB!$1:$1,0)),FALSE)),"")</f>
        <v/>
      </c>
      <c r="VJP18" s="28" t="str">
        <f>IFERROR(IF(VJY3="No",IF(VLOOKUP(DATE($K$1,$K$2,VJP$4),Table1[],(MATCH(Calendar!$A18,DB!$1:$1,0)),FALSE)&gt;=5,"Good","Bad"),VLOOKUP(DATE($K$1,$K$2,VJP$4),Table1[],(MATCH(Calendar!$A18,DB!$1:$1,0)),FALSE)),"")</f>
        <v/>
      </c>
      <c r="VJQ18" s="28" t="str">
        <f>IFERROR(IF(VJZ3="No",IF(VLOOKUP(DATE($K$1,$K$2,VJQ$4),Table1[],(MATCH(Calendar!$A18,DB!$1:$1,0)),FALSE)&gt;=5,"Good","Bad"),VLOOKUP(DATE($K$1,$K$2,VJQ$4),Table1[],(MATCH(Calendar!$A18,DB!$1:$1,0)),FALSE)),"")</f>
        <v/>
      </c>
      <c r="VJR18" s="28" t="str">
        <f>IFERROR(IF(VKA3="No",IF(VLOOKUP(DATE($K$1,$K$2,VJR$4),Table1[],(MATCH(Calendar!$A18,DB!$1:$1,0)),FALSE)&gt;=5,"Good","Bad"),VLOOKUP(DATE($K$1,$K$2,VJR$4),Table1[],(MATCH(Calendar!$A18,DB!$1:$1,0)),FALSE)),"")</f>
        <v/>
      </c>
      <c r="VJS18" s="28" t="str">
        <f>IFERROR(IF(VKB3="No",IF(VLOOKUP(DATE($K$1,$K$2,VJS$4),Table1[],(MATCH(Calendar!$A18,DB!$1:$1,0)),FALSE)&gt;=5,"Good","Bad"),VLOOKUP(DATE($K$1,$K$2,VJS$4),Table1[],(MATCH(Calendar!$A18,DB!$1:$1,0)),FALSE)),"")</f>
        <v/>
      </c>
      <c r="VJT18" s="28" t="str">
        <f>IFERROR(IF(VKC3="No",IF(VLOOKUP(DATE($K$1,$K$2,VJT$4),Table1[],(MATCH(Calendar!$A18,DB!$1:$1,0)),FALSE)&gt;=5,"Good","Bad"),VLOOKUP(DATE($K$1,$K$2,VJT$4),Table1[],(MATCH(Calendar!$A18,DB!$1:$1,0)),FALSE)),"")</f>
        <v/>
      </c>
      <c r="VJU18" s="28" t="str">
        <f>IFERROR(IF(VKD3="No",IF(VLOOKUP(DATE($K$1,$K$2,VJU$4),Table1[],(MATCH(Calendar!$A18,DB!$1:$1,0)),FALSE)&gt;=5,"Good","Bad"),VLOOKUP(DATE($K$1,$K$2,VJU$4),Table1[],(MATCH(Calendar!$A18,DB!$1:$1,0)),FALSE)),"")</f>
        <v/>
      </c>
      <c r="VJV18" s="28" t="str">
        <f>IFERROR(IF(VKE3="No",IF(VLOOKUP(DATE($K$1,$K$2,VJV$4),Table1[],(MATCH(Calendar!$A18,DB!$1:$1,0)),FALSE)&gt;=5,"Good","Bad"),VLOOKUP(DATE($K$1,$K$2,VJV$4),Table1[],(MATCH(Calendar!$A18,DB!$1:$1,0)),FALSE)),"")</f>
        <v/>
      </c>
      <c r="VJW18" s="28" t="str">
        <f>IFERROR(IF(VKF3="No",IF(VLOOKUP(DATE($K$1,$K$2,VJW$4),Table1[],(MATCH(Calendar!$A18,DB!$1:$1,0)),FALSE)&gt;=5,"Good","Bad"),VLOOKUP(DATE($K$1,$K$2,VJW$4),Table1[],(MATCH(Calendar!$A18,DB!$1:$1,0)),FALSE)),"")</f>
        <v/>
      </c>
      <c r="VJX18" s="28" t="str">
        <f>IFERROR(IF(VKG3="No",IF(VLOOKUP(DATE($K$1,$K$2,VJX$4),Table1[],(MATCH(Calendar!$A18,DB!$1:$1,0)),FALSE)&gt;=5,"Good","Bad"),VLOOKUP(DATE($K$1,$K$2,VJX$4),Table1[],(MATCH(Calendar!$A18,DB!$1:$1,0)),FALSE)),"")</f>
        <v/>
      </c>
      <c r="VJY18" s="28" t="str">
        <f>IFERROR(IF(VKH3="No",IF(VLOOKUP(DATE($K$1,$K$2,VJY$4),Table1[],(MATCH(Calendar!$A18,DB!$1:$1,0)),FALSE)&gt;=5,"Good","Bad"),VLOOKUP(DATE($K$1,$K$2,VJY$4),Table1[],(MATCH(Calendar!$A18,DB!$1:$1,0)),FALSE)),"")</f>
        <v/>
      </c>
      <c r="VJZ18" s="28" t="str">
        <f>IFERROR(IF(VKI3="No",IF(VLOOKUP(DATE($K$1,$K$2,VJZ$4),Table1[],(MATCH(Calendar!$A18,DB!$1:$1,0)),FALSE)&gt;=5,"Good","Bad"),VLOOKUP(DATE($K$1,$K$2,VJZ$4),Table1[],(MATCH(Calendar!$A18,DB!$1:$1,0)),FALSE)),"")</f>
        <v/>
      </c>
      <c r="VKA18" s="28" t="str">
        <f>IFERROR(IF(VKJ3="No",IF(VLOOKUP(DATE($K$1,$K$2,VKA$4),Table1[],(MATCH(Calendar!$A18,DB!$1:$1,0)),FALSE)&gt;=5,"Good","Bad"),VLOOKUP(DATE($K$1,$K$2,VKA$4),Table1[],(MATCH(Calendar!$A18,DB!$1:$1,0)),FALSE)),"")</f>
        <v/>
      </c>
      <c r="VKB18" s="28" t="str">
        <f>IFERROR(IF(VKK3="No",IF(VLOOKUP(DATE($K$1,$K$2,VKB$4),Table1[],(MATCH(Calendar!$A18,DB!$1:$1,0)),FALSE)&gt;=5,"Good","Bad"),VLOOKUP(DATE($K$1,$K$2,VKB$4),Table1[],(MATCH(Calendar!$A18,DB!$1:$1,0)),FALSE)),"")</f>
        <v/>
      </c>
      <c r="VKC18" s="28" t="str">
        <f>IFERROR(IF(VKL3="No",IF(VLOOKUP(DATE($K$1,$K$2,VKC$4),Table1[],(MATCH(Calendar!$A18,DB!$1:$1,0)),FALSE)&gt;=5,"Good","Bad"),VLOOKUP(DATE($K$1,$K$2,VKC$4),Table1[],(MATCH(Calendar!$A18,DB!$1:$1,0)),FALSE)),"")</f>
        <v/>
      </c>
      <c r="VKD18" s="28" t="str">
        <f>IFERROR(IF(VKM3="No",IF(VLOOKUP(DATE($K$1,$K$2,VKD$4),Table1[],(MATCH(Calendar!$A18,DB!$1:$1,0)),FALSE)&gt;=5,"Good","Bad"),VLOOKUP(DATE($K$1,$K$2,VKD$4),Table1[],(MATCH(Calendar!$A18,DB!$1:$1,0)),FALSE)),"")</f>
        <v/>
      </c>
      <c r="VKE18" s="28" t="str">
        <f>IFERROR(IF(VKN3="No",IF(VLOOKUP(DATE($K$1,$K$2,VKE$4),Table1[],(MATCH(Calendar!$A18,DB!$1:$1,0)),FALSE)&gt;=5,"Good","Bad"),VLOOKUP(DATE($K$1,$K$2,VKE$4),Table1[],(MATCH(Calendar!$A18,DB!$1:$1,0)),FALSE)),"")</f>
        <v/>
      </c>
      <c r="VKF18" s="28" t="str">
        <f>IFERROR(IF(VKO3="No",IF(VLOOKUP(DATE($K$1,$K$2,VKF$4),Table1[],(MATCH(Calendar!$A18,DB!$1:$1,0)),FALSE)&gt;=5,"Good","Bad"),VLOOKUP(DATE($K$1,$K$2,VKF$4),Table1[],(MATCH(Calendar!$A18,DB!$1:$1,0)),FALSE)),"")</f>
        <v/>
      </c>
      <c r="VKG18" s="28" t="str">
        <f>IFERROR(IF(VKP3="No",IF(VLOOKUP(DATE($K$1,$K$2,VKG$4),Table1[],(MATCH(Calendar!$A18,DB!$1:$1,0)),FALSE)&gt;=5,"Good","Bad"),VLOOKUP(DATE($K$1,$K$2,VKG$4),Table1[],(MATCH(Calendar!$A18,DB!$1:$1,0)),FALSE)),"")</f>
        <v/>
      </c>
      <c r="VKH18" s="28" t="str">
        <f>IFERROR(IF(VKQ3="No",IF(VLOOKUP(DATE($K$1,$K$2,VKH$4),Table1[],(MATCH(Calendar!$A18,DB!$1:$1,0)),FALSE)&gt;=5,"Good","Bad"),VLOOKUP(DATE($K$1,$K$2,VKH$4),Table1[],(MATCH(Calendar!$A18,DB!$1:$1,0)),FALSE)),"")</f>
        <v/>
      </c>
      <c r="VKI18" s="28" t="str">
        <f>IFERROR(IF(VKR3="No",IF(VLOOKUP(DATE($K$1,$K$2,VKI$4),Table1[],(MATCH(Calendar!$A18,DB!$1:$1,0)),FALSE)&gt;=5,"Good","Bad"),VLOOKUP(DATE($K$1,$K$2,VKI$4),Table1[],(MATCH(Calendar!$A18,DB!$1:$1,0)),FALSE)),"")</f>
        <v/>
      </c>
      <c r="VKJ18" s="28" t="str">
        <f>IFERROR(IF(VKS3="No",IF(VLOOKUP(DATE($K$1,$K$2,VKJ$4),Table1[],(MATCH(Calendar!$A18,DB!$1:$1,0)),FALSE)&gt;=5,"Good","Bad"),VLOOKUP(DATE($K$1,$K$2,VKJ$4),Table1[],(MATCH(Calendar!$A18,DB!$1:$1,0)),FALSE)),"")</f>
        <v/>
      </c>
      <c r="VKK18" s="28" t="str">
        <f>IFERROR(IF(VKT3="No",IF(VLOOKUP(DATE($K$1,$K$2,VKK$4),Table1[],(MATCH(Calendar!$A18,DB!$1:$1,0)),FALSE)&gt;=5,"Good","Bad"),VLOOKUP(DATE($K$1,$K$2,VKK$4),Table1[],(MATCH(Calendar!$A18,DB!$1:$1,0)),FALSE)),"")</f>
        <v/>
      </c>
      <c r="VKL18" s="28" t="str">
        <f>IFERROR(IF(VKU3="No",IF(VLOOKUP(DATE($K$1,$K$2,VKL$4),Table1[],(MATCH(Calendar!$A18,DB!$1:$1,0)),FALSE)&gt;=5,"Good","Bad"),VLOOKUP(DATE($K$1,$K$2,VKL$4),Table1[],(MATCH(Calendar!$A18,DB!$1:$1,0)),FALSE)),"")</f>
        <v/>
      </c>
      <c r="VKM18" s="28" t="str">
        <f>IFERROR(IF(VKV3="No",IF(VLOOKUP(DATE($K$1,$K$2,VKM$4),Table1[],(MATCH(Calendar!$A18,DB!$1:$1,0)),FALSE)&gt;=5,"Good","Bad"),VLOOKUP(DATE($K$1,$K$2,VKM$4),Table1[],(MATCH(Calendar!$A18,DB!$1:$1,0)),FALSE)),"")</f>
        <v/>
      </c>
      <c r="VKN18" s="28" t="str">
        <f>IFERROR(IF(VKW3="No",IF(VLOOKUP(DATE($K$1,$K$2,VKN$4),Table1[],(MATCH(Calendar!$A18,DB!$1:$1,0)),FALSE)&gt;=5,"Good","Bad"),VLOOKUP(DATE($K$1,$K$2,VKN$4),Table1[],(MATCH(Calendar!$A18,DB!$1:$1,0)),FALSE)),"")</f>
        <v/>
      </c>
      <c r="VKO18" s="28" t="str">
        <f>IFERROR(IF(VKX3="No",IF(VLOOKUP(DATE($K$1,$K$2,VKO$4),Table1[],(MATCH(Calendar!$A18,DB!$1:$1,0)),FALSE)&gt;=5,"Good","Bad"),VLOOKUP(DATE($K$1,$K$2,VKO$4),Table1[],(MATCH(Calendar!$A18,DB!$1:$1,0)),FALSE)),"")</f>
        <v/>
      </c>
      <c r="VKP18" s="28" t="str">
        <f>IFERROR(IF(VKY3="No",IF(VLOOKUP(DATE($K$1,$K$2,VKP$4),Table1[],(MATCH(Calendar!$A18,DB!$1:$1,0)),FALSE)&gt;=5,"Good","Bad"),VLOOKUP(DATE($K$1,$K$2,VKP$4),Table1[],(MATCH(Calendar!$A18,DB!$1:$1,0)),FALSE)),"")</f>
        <v/>
      </c>
      <c r="VKQ18" s="28" t="str">
        <f>IFERROR(IF(VKZ3="No",IF(VLOOKUP(DATE($K$1,$K$2,VKQ$4),Table1[],(MATCH(Calendar!$A18,DB!$1:$1,0)),FALSE)&gt;=5,"Good","Bad"),VLOOKUP(DATE($K$1,$K$2,VKQ$4),Table1[],(MATCH(Calendar!$A18,DB!$1:$1,0)),FALSE)),"")</f>
        <v/>
      </c>
      <c r="VKR18" s="28" t="str">
        <f>IFERROR(IF(VLA3="No",IF(VLOOKUP(DATE($K$1,$K$2,VKR$4),Table1[],(MATCH(Calendar!$A18,DB!$1:$1,0)),FALSE)&gt;=5,"Good","Bad"),VLOOKUP(DATE($K$1,$K$2,VKR$4),Table1[],(MATCH(Calendar!$A18,DB!$1:$1,0)),FALSE)),"")</f>
        <v/>
      </c>
      <c r="VKS18" s="28" t="str">
        <f>IFERROR(IF(VLB3="No",IF(VLOOKUP(DATE($K$1,$K$2,VKS$4),Table1[],(MATCH(Calendar!$A18,DB!$1:$1,0)),FALSE)&gt;=5,"Good","Bad"),VLOOKUP(DATE($K$1,$K$2,VKS$4),Table1[],(MATCH(Calendar!$A18,DB!$1:$1,0)),FALSE)),"")</f>
        <v/>
      </c>
      <c r="VKT18" s="28" t="str">
        <f>IFERROR(IF(VLC3="No",IF(VLOOKUP(DATE($K$1,$K$2,VKT$4),Table1[],(MATCH(Calendar!$A18,DB!$1:$1,0)),FALSE)&gt;=5,"Good","Bad"),VLOOKUP(DATE($K$1,$K$2,VKT$4),Table1[],(MATCH(Calendar!$A18,DB!$1:$1,0)),FALSE)),"")</f>
        <v/>
      </c>
      <c r="VKU18" s="28" t="str">
        <f>IFERROR(IF(VLD3="No",IF(VLOOKUP(DATE($K$1,$K$2,VKU$4),Table1[],(MATCH(Calendar!$A18,DB!$1:$1,0)),FALSE)&gt;=5,"Good","Bad"),VLOOKUP(DATE($K$1,$K$2,VKU$4),Table1[],(MATCH(Calendar!$A18,DB!$1:$1,0)),FALSE)),"")</f>
        <v/>
      </c>
      <c r="VKV18" s="28" t="str">
        <f>IFERROR(IF(VLE3="No",IF(VLOOKUP(DATE($K$1,$K$2,VKV$4),Table1[],(MATCH(Calendar!$A18,DB!$1:$1,0)),FALSE)&gt;=5,"Good","Bad"),VLOOKUP(DATE($K$1,$K$2,VKV$4),Table1[],(MATCH(Calendar!$A18,DB!$1:$1,0)),FALSE)),"")</f>
        <v/>
      </c>
      <c r="VKW18" s="28" t="str">
        <f>IFERROR(IF(VLF3="No",IF(VLOOKUP(DATE($K$1,$K$2,VKW$4),Table1[],(MATCH(Calendar!$A18,DB!$1:$1,0)),FALSE)&gt;=5,"Good","Bad"),VLOOKUP(DATE($K$1,$K$2,VKW$4),Table1[],(MATCH(Calendar!$A18,DB!$1:$1,0)),FALSE)),"")</f>
        <v/>
      </c>
      <c r="VKX18" s="28" t="str">
        <f>IFERROR(IF(VLG3="No",IF(VLOOKUP(DATE($K$1,$K$2,VKX$4),Table1[],(MATCH(Calendar!$A18,DB!$1:$1,0)),FALSE)&gt;=5,"Good","Bad"),VLOOKUP(DATE($K$1,$K$2,VKX$4),Table1[],(MATCH(Calendar!$A18,DB!$1:$1,0)),FALSE)),"")</f>
        <v/>
      </c>
      <c r="VKY18" s="28" t="str">
        <f>IFERROR(IF(VLH3="No",IF(VLOOKUP(DATE($K$1,$K$2,VKY$4),Table1[],(MATCH(Calendar!$A18,DB!$1:$1,0)),FALSE)&gt;=5,"Good","Bad"),VLOOKUP(DATE($K$1,$K$2,VKY$4),Table1[],(MATCH(Calendar!$A18,DB!$1:$1,0)),FALSE)),"")</f>
        <v/>
      </c>
      <c r="VKZ18" s="28" t="str">
        <f>IFERROR(IF(VLI3="No",IF(VLOOKUP(DATE($K$1,$K$2,VKZ$4),Table1[],(MATCH(Calendar!$A18,DB!$1:$1,0)),FALSE)&gt;=5,"Good","Bad"),VLOOKUP(DATE($K$1,$K$2,VKZ$4),Table1[],(MATCH(Calendar!$A18,DB!$1:$1,0)),FALSE)),"")</f>
        <v/>
      </c>
      <c r="VLA18" s="28" t="str">
        <f>IFERROR(IF(VLJ3="No",IF(VLOOKUP(DATE($K$1,$K$2,VLA$4),Table1[],(MATCH(Calendar!$A18,DB!$1:$1,0)),FALSE)&gt;=5,"Good","Bad"),VLOOKUP(DATE($K$1,$K$2,VLA$4),Table1[],(MATCH(Calendar!$A18,DB!$1:$1,0)),FALSE)),"")</f>
        <v/>
      </c>
      <c r="VLB18" s="28" t="str">
        <f>IFERROR(IF(VLK3="No",IF(VLOOKUP(DATE($K$1,$K$2,VLB$4),Table1[],(MATCH(Calendar!$A18,DB!$1:$1,0)),FALSE)&gt;=5,"Good","Bad"),VLOOKUP(DATE($K$1,$K$2,VLB$4),Table1[],(MATCH(Calendar!$A18,DB!$1:$1,0)),FALSE)),"")</f>
        <v/>
      </c>
      <c r="VLC18" s="28" t="str">
        <f>IFERROR(IF(VLL3="No",IF(VLOOKUP(DATE($K$1,$K$2,VLC$4),Table1[],(MATCH(Calendar!$A18,DB!$1:$1,0)),FALSE)&gt;=5,"Good","Bad"),VLOOKUP(DATE($K$1,$K$2,VLC$4),Table1[],(MATCH(Calendar!$A18,DB!$1:$1,0)),FALSE)),"")</f>
        <v/>
      </c>
      <c r="VLD18" s="28" t="str">
        <f>IFERROR(IF(VLM3="No",IF(VLOOKUP(DATE($K$1,$K$2,VLD$4),Table1[],(MATCH(Calendar!$A18,DB!$1:$1,0)),FALSE)&gt;=5,"Good","Bad"),VLOOKUP(DATE($K$1,$K$2,VLD$4),Table1[],(MATCH(Calendar!$A18,DB!$1:$1,0)),FALSE)),"")</f>
        <v/>
      </c>
      <c r="VLE18" s="28" t="str">
        <f>IFERROR(IF(VLN3="No",IF(VLOOKUP(DATE($K$1,$K$2,VLE$4),Table1[],(MATCH(Calendar!$A18,DB!$1:$1,0)),FALSE)&gt;=5,"Good","Bad"),VLOOKUP(DATE($K$1,$K$2,VLE$4),Table1[],(MATCH(Calendar!$A18,DB!$1:$1,0)),FALSE)),"")</f>
        <v/>
      </c>
      <c r="VLF18" s="28" t="str">
        <f>IFERROR(IF(VLO3="No",IF(VLOOKUP(DATE($K$1,$K$2,VLF$4),Table1[],(MATCH(Calendar!$A18,DB!$1:$1,0)),FALSE)&gt;=5,"Good","Bad"),VLOOKUP(DATE($K$1,$K$2,VLF$4),Table1[],(MATCH(Calendar!$A18,DB!$1:$1,0)),FALSE)),"")</f>
        <v/>
      </c>
      <c r="VLG18" s="28" t="str">
        <f>IFERROR(IF(VLP3="No",IF(VLOOKUP(DATE($K$1,$K$2,VLG$4),Table1[],(MATCH(Calendar!$A18,DB!$1:$1,0)),FALSE)&gt;=5,"Good","Bad"),VLOOKUP(DATE($K$1,$K$2,VLG$4),Table1[],(MATCH(Calendar!$A18,DB!$1:$1,0)),FALSE)),"")</f>
        <v/>
      </c>
      <c r="VLH18" s="28" t="str">
        <f>IFERROR(IF(VLQ3="No",IF(VLOOKUP(DATE($K$1,$K$2,VLH$4),Table1[],(MATCH(Calendar!$A18,DB!$1:$1,0)),FALSE)&gt;=5,"Good","Bad"),VLOOKUP(DATE($K$1,$K$2,VLH$4),Table1[],(MATCH(Calendar!$A18,DB!$1:$1,0)),FALSE)),"")</f>
        <v/>
      </c>
      <c r="VLI18" s="28" t="str">
        <f>IFERROR(IF(VLR3="No",IF(VLOOKUP(DATE($K$1,$K$2,VLI$4),Table1[],(MATCH(Calendar!$A18,DB!$1:$1,0)),FALSE)&gt;=5,"Good","Bad"),VLOOKUP(DATE($K$1,$K$2,VLI$4),Table1[],(MATCH(Calendar!$A18,DB!$1:$1,0)),FALSE)),"")</f>
        <v/>
      </c>
      <c r="VLJ18" s="28" t="str">
        <f>IFERROR(IF(VLS3="No",IF(VLOOKUP(DATE($K$1,$K$2,VLJ$4),Table1[],(MATCH(Calendar!$A18,DB!$1:$1,0)),FALSE)&gt;=5,"Good","Bad"),VLOOKUP(DATE($K$1,$K$2,VLJ$4),Table1[],(MATCH(Calendar!$A18,DB!$1:$1,0)),FALSE)),"")</f>
        <v/>
      </c>
      <c r="VLK18" s="28" t="str">
        <f>IFERROR(IF(VLT3="No",IF(VLOOKUP(DATE($K$1,$K$2,VLK$4),Table1[],(MATCH(Calendar!$A18,DB!$1:$1,0)),FALSE)&gt;=5,"Good","Bad"),VLOOKUP(DATE($K$1,$K$2,VLK$4),Table1[],(MATCH(Calendar!$A18,DB!$1:$1,0)),FALSE)),"")</f>
        <v/>
      </c>
      <c r="VLL18" s="28" t="str">
        <f>IFERROR(IF(VLU3="No",IF(VLOOKUP(DATE($K$1,$K$2,VLL$4),Table1[],(MATCH(Calendar!$A18,DB!$1:$1,0)),FALSE)&gt;=5,"Good","Bad"),VLOOKUP(DATE($K$1,$K$2,VLL$4),Table1[],(MATCH(Calendar!$A18,DB!$1:$1,0)),FALSE)),"")</f>
        <v/>
      </c>
      <c r="VLM18" s="28" t="str">
        <f>IFERROR(IF(VLV3="No",IF(VLOOKUP(DATE($K$1,$K$2,VLM$4),Table1[],(MATCH(Calendar!$A18,DB!$1:$1,0)),FALSE)&gt;=5,"Good","Bad"),VLOOKUP(DATE($K$1,$K$2,VLM$4),Table1[],(MATCH(Calendar!$A18,DB!$1:$1,0)),FALSE)),"")</f>
        <v/>
      </c>
      <c r="VLN18" s="28" t="str">
        <f>IFERROR(IF(VLW3="No",IF(VLOOKUP(DATE($K$1,$K$2,VLN$4),Table1[],(MATCH(Calendar!$A18,DB!$1:$1,0)),FALSE)&gt;=5,"Good","Bad"),VLOOKUP(DATE($K$1,$K$2,VLN$4),Table1[],(MATCH(Calendar!$A18,DB!$1:$1,0)),FALSE)),"")</f>
        <v/>
      </c>
      <c r="VLO18" s="28" t="str">
        <f>IFERROR(IF(VLX3="No",IF(VLOOKUP(DATE($K$1,$K$2,VLO$4),Table1[],(MATCH(Calendar!$A18,DB!$1:$1,0)),FALSE)&gt;=5,"Good","Bad"),VLOOKUP(DATE($K$1,$K$2,VLO$4),Table1[],(MATCH(Calendar!$A18,DB!$1:$1,0)),FALSE)),"")</f>
        <v/>
      </c>
      <c r="VLP18" s="28" t="str">
        <f>IFERROR(IF(VLY3="No",IF(VLOOKUP(DATE($K$1,$K$2,VLP$4),Table1[],(MATCH(Calendar!$A18,DB!$1:$1,0)),FALSE)&gt;=5,"Good","Bad"),VLOOKUP(DATE($K$1,$K$2,VLP$4),Table1[],(MATCH(Calendar!$A18,DB!$1:$1,0)),FALSE)),"")</f>
        <v/>
      </c>
      <c r="VLQ18" s="28" t="str">
        <f>IFERROR(IF(VLZ3="No",IF(VLOOKUP(DATE($K$1,$K$2,VLQ$4),Table1[],(MATCH(Calendar!$A18,DB!$1:$1,0)),FALSE)&gt;=5,"Good","Bad"),VLOOKUP(DATE($K$1,$K$2,VLQ$4),Table1[],(MATCH(Calendar!$A18,DB!$1:$1,0)),FALSE)),"")</f>
        <v/>
      </c>
      <c r="VLR18" s="28" t="str">
        <f>IFERROR(IF(VMA3="No",IF(VLOOKUP(DATE($K$1,$K$2,VLR$4),Table1[],(MATCH(Calendar!$A18,DB!$1:$1,0)),FALSE)&gt;=5,"Good","Bad"),VLOOKUP(DATE($K$1,$K$2,VLR$4),Table1[],(MATCH(Calendar!$A18,DB!$1:$1,0)),FALSE)),"")</f>
        <v/>
      </c>
      <c r="VLS18" s="28" t="str">
        <f>IFERROR(IF(VMB3="No",IF(VLOOKUP(DATE($K$1,$K$2,VLS$4),Table1[],(MATCH(Calendar!$A18,DB!$1:$1,0)),FALSE)&gt;=5,"Good","Bad"),VLOOKUP(DATE($K$1,$K$2,VLS$4),Table1[],(MATCH(Calendar!$A18,DB!$1:$1,0)),FALSE)),"")</f>
        <v/>
      </c>
      <c r="VLT18" s="28" t="str">
        <f>IFERROR(IF(VMC3="No",IF(VLOOKUP(DATE($K$1,$K$2,VLT$4),Table1[],(MATCH(Calendar!$A18,DB!$1:$1,0)),FALSE)&gt;=5,"Good","Bad"),VLOOKUP(DATE($K$1,$K$2,VLT$4),Table1[],(MATCH(Calendar!$A18,DB!$1:$1,0)),FALSE)),"")</f>
        <v/>
      </c>
      <c r="VLU18" s="28" t="str">
        <f>IFERROR(IF(VMD3="No",IF(VLOOKUP(DATE($K$1,$K$2,VLU$4),Table1[],(MATCH(Calendar!$A18,DB!$1:$1,0)),FALSE)&gt;=5,"Good","Bad"),VLOOKUP(DATE($K$1,$K$2,VLU$4),Table1[],(MATCH(Calendar!$A18,DB!$1:$1,0)),FALSE)),"")</f>
        <v/>
      </c>
      <c r="VLV18" s="28" t="str">
        <f>IFERROR(IF(VME3="No",IF(VLOOKUP(DATE($K$1,$K$2,VLV$4),Table1[],(MATCH(Calendar!$A18,DB!$1:$1,0)),FALSE)&gt;=5,"Good","Bad"),VLOOKUP(DATE($K$1,$K$2,VLV$4),Table1[],(MATCH(Calendar!$A18,DB!$1:$1,0)),FALSE)),"")</f>
        <v/>
      </c>
      <c r="VLW18" s="28" t="str">
        <f>IFERROR(IF(VMF3="No",IF(VLOOKUP(DATE($K$1,$K$2,VLW$4),Table1[],(MATCH(Calendar!$A18,DB!$1:$1,0)),FALSE)&gt;=5,"Good","Bad"),VLOOKUP(DATE($K$1,$K$2,VLW$4),Table1[],(MATCH(Calendar!$A18,DB!$1:$1,0)),FALSE)),"")</f>
        <v/>
      </c>
      <c r="VLX18" s="28" t="str">
        <f>IFERROR(IF(VMG3="No",IF(VLOOKUP(DATE($K$1,$K$2,VLX$4),Table1[],(MATCH(Calendar!$A18,DB!$1:$1,0)),FALSE)&gt;=5,"Good","Bad"),VLOOKUP(DATE($K$1,$K$2,VLX$4),Table1[],(MATCH(Calendar!$A18,DB!$1:$1,0)),FALSE)),"")</f>
        <v/>
      </c>
      <c r="VLY18" s="28" t="str">
        <f>IFERROR(IF(VMH3="No",IF(VLOOKUP(DATE($K$1,$K$2,VLY$4),Table1[],(MATCH(Calendar!$A18,DB!$1:$1,0)),FALSE)&gt;=5,"Good","Bad"),VLOOKUP(DATE($K$1,$K$2,VLY$4),Table1[],(MATCH(Calendar!$A18,DB!$1:$1,0)),FALSE)),"")</f>
        <v/>
      </c>
      <c r="VLZ18" s="28" t="str">
        <f>IFERROR(IF(VMI3="No",IF(VLOOKUP(DATE($K$1,$K$2,VLZ$4),Table1[],(MATCH(Calendar!$A18,DB!$1:$1,0)),FALSE)&gt;=5,"Good","Bad"),VLOOKUP(DATE($K$1,$K$2,VLZ$4),Table1[],(MATCH(Calendar!$A18,DB!$1:$1,0)),FALSE)),"")</f>
        <v/>
      </c>
      <c r="VMA18" s="28" t="str">
        <f>IFERROR(IF(VMJ3="No",IF(VLOOKUP(DATE($K$1,$K$2,VMA$4),Table1[],(MATCH(Calendar!$A18,DB!$1:$1,0)),FALSE)&gt;=5,"Good","Bad"),VLOOKUP(DATE($K$1,$K$2,VMA$4),Table1[],(MATCH(Calendar!$A18,DB!$1:$1,0)),FALSE)),"")</f>
        <v/>
      </c>
      <c r="VMB18" s="28" t="str">
        <f>IFERROR(IF(VMK3="No",IF(VLOOKUP(DATE($K$1,$K$2,VMB$4),Table1[],(MATCH(Calendar!$A18,DB!$1:$1,0)),FALSE)&gt;=5,"Good","Bad"),VLOOKUP(DATE($K$1,$K$2,VMB$4),Table1[],(MATCH(Calendar!$A18,DB!$1:$1,0)),FALSE)),"")</f>
        <v/>
      </c>
      <c r="VMC18" s="28" t="str">
        <f>IFERROR(IF(VML3="No",IF(VLOOKUP(DATE($K$1,$K$2,VMC$4),Table1[],(MATCH(Calendar!$A18,DB!$1:$1,0)),FALSE)&gt;=5,"Good","Bad"),VLOOKUP(DATE($K$1,$K$2,VMC$4),Table1[],(MATCH(Calendar!$A18,DB!$1:$1,0)),FALSE)),"")</f>
        <v/>
      </c>
      <c r="VMD18" s="28" t="str">
        <f>IFERROR(IF(VMM3="No",IF(VLOOKUP(DATE($K$1,$K$2,VMD$4),Table1[],(MATCH(Calendar!$A18,DB!$1:$1,0)),FALSE)&gt;=5,"Good","Bad"),VLOOKUP(DATE($K$1,$K$2,VMD$4),Table1[],(MATCH(Calendar!$A18,DB!$1:$1,0)),FALSE)),"")</f>
        <v/>
      </c>
      <c r="VME18" s="28" t="str">
        <f>IFERROR(IF(VMN3="No",IF(VLOOKUP(DATE($K$1,$K$2,VME$4),Table1[],(MATCH(Calendar!$A18,DB!$1:$1,0)),FALSE)&gt;=5,"Good","Bad"),VLOOKUP(DATE($K$1,$K$2,VME$4),Table1[],(MATCH(Calendar!$A18,DB!$1:$1,0)),FALSE)),"")</f>
        <v/>
      </c>
      <c r="VMF18" s="28" t="str">
        <f>IFERROR(IF(VMO3="No",IF(VLOOKUP(DATE($K$1,$K$2,VMF$4),Table1[],(MATCH(Calendar!$A18,DB!$1:$1,0)),FALSE)&gt;=5,"Good","Bad"),VLOOKUP(DATE($K$1,$K$2,VMF$4),Table1[],(MATCH(Calendar!$A18,DB!$1:$1,0)),FALSE)),"")</f>
        <v/>
      </c>
      <c r="VMG18" s="28" t="str">
        <f>IFERROR(IF(VMP3="No",IF(VLOOKUP(DATE($K$1,$K$2,VMG$4),Table1[],(MATCH(Calendar!$A18,DB!$1:$1,0)),FALSE)&gt;=5,"Good","Bad"),VLOOKUP(DATE($K$1,$K$2,VMG$4),Table1[],(MATCH(Calendar!$A18,DB!$1:$1,0)),FALSE)),"")</f>
        <v/>
      </c>
      <c r="VMH18" s="28" t="str">
        <f>IFERROR(IF(VMQ3="No",IF(VLOOKUP(DATE($K$1,$K$2,VMH$4),Table1[],(MATCH(Calendar!$A18,DB!$1:$1,0)),FALSE)&gt;=5,"Good","Bad"),VLOOKUP(DATE($K$1,$K$2,VMH$4),Table1[],(MATCH(Calendar!$A18,DB!$1:$1,0)),FALSE)),"")</f>
        <v/>
      </c>
      <c r="VMI18" s="28" t="str">
        <f>IFERROR(IF(VMR3="No",IF(VLOOKUP(DATE($K$1,$K$2,VMI$4),Table1[],(MATCH(Calendar!$A18,DB!$1:$1,0)),FALSE)&gt;=5,"Good","Bad"),VLOOKUP(DATE($K$1,$K$2,VMI$4),Table1[],(MATCH(Calendar!$A18,DB!$1:$1,0)),FALSE)),"")</f>
        <v/>
      </c>
      <c r="VMJ18" s="28" t="str">
        <f>IFERROR(IF(VMS3="No",IF(VLOOKUP(DATE($K$1,$K$2,VMJ$4),Table1[],(MATCH(Calendar!$A18,DB!$1:$1,0)),FALSE)&gt;=5,"Good","Bad"),VLOOKUP(DATE($K$1,$K$2,VMJ$4),Table1[],(MATCH(Calendar!$A18,DB!$1:$1,0)),FALSE)),"")</f>
        <v/>
      </c>
      <c r="VMK18" s="28" t="str">
        <f>IFERROR(IF(VMT3="No",IF(VLOOKUP(DATE($K$1,$K$2,VMK$4),Table1[],(MATCH(Calendar!$A18,DB!$1:$1,0)),FALSE)&gt;=5,"Good","Bad"),VLOOKUP(DATE($K$1,$K$2,VMK$4),Table1[],(MATCH(Calendar!$A18,DB!$1:$1,0)),FALSE)),"")</f>
        <v/>
      </c>
      <c r="VML18" s="28" t="str">
        <f>IFERROR(IF(VMU3="No",IF(VLOOKUP(DATE($K$1,$K$2,VML$4),Table1[],(MATCH(Calendar!$A18,DB!$1:$1,0)),FALSE)&gt;=5,"Good","Bad"),VLOOKUP(DATE($K$1,$K$2,VML$4),Table1[],(MATCH(Calendar!$A18,DB!$1:$1,0)),FALSE)),"")</f>
        <v/>
      </c>
      <c r="VMM18" s="28" t="str">
        <f>IFERROR(IF(VMV3="No",IF(VLOOKUP(DATE($K$1,$K$2,VMM$4),Table1[],(MATCH(Calendar!$A18,DB!$1:$1,0)),FALSE)&gt;=5,"Good","Bad"),VLOOKUP(DATE($K$1,$K$2,VMM$4),Table1[],(MATCH(Calendar!$A18,DB!$1:$1,0)),FALSE)),"")</f>
        <v/>
      </c>
      <c r="VMN18" s="28" t="str">
        <f>IFERROR(IF(VMW3="No",IF(VLOOKUP(DATE($K$1,$K$2,VMN$4),Table1[],(MATCH(Calendar!$A18,DB!$1:$1,0)),FALSE)&gt;=5,"Good","Bad"),VLOOKUP(DATE($K$1,$K$2,VMN$4),Table1[],(MATCH(Calendar!$A18,DB!$1:$1,0)),FALSE)),"")</f>
        <v/>
      </c>
      <c r="VMO18" s="28" t="str">
        <f>IFERROR(IF(VMX3="No",IF(VLOOKUP(DATE($K$1,$K$2,VMO$4),Table1[],(MATCH(Calendar!$A18,DB!$1:$1,0)),FALSE)&gt;=5,"Good","Bad"),VLOOKUP(DATE($K$1,$K$2,VMO$4),Table1[],(MATCH(Calendar!$A18,DB!$1:$1,0)),FALSE)),"")</f>
        <v/>
      </c>
      <c r="VMP18" s="28" t="str">
        <f>IFERROR(IF(VMY3="No",IF(VLOOKUP(DATE($K$1,$K$2,VMP$4),Table1[],(MATCH(Calendar!$A18,DB!$1:$1,0)),FALSE)&gt;=5,"Good","Bad"),VLOOKUP(DATE($K$1,$K$2,VMP$4),Table1[],(MATCH(Calendar!$A18,DB!$1:$1,0)),FALSE)),"")</f>
        <v/>
      </c>
      <c r="VMQ18" s="28" t="str">
        <f>IFERROR(IF(VMZ3="No",IF(VLOOKUP(DATE($K$1,$K$2,VMQ$4),Table1[],(MATCH(Calendar!$A18,DB!$1:$1,0)),FALSE)&gt;=5,"Good","Bad"),VLOOKUP(DATE($K$1,$K$2,VMQ$4),Table1[],(MATCH(Calendar!$A18,DB!$1:$1,0)),FALSE)),"")</f>
        <v/>
      </c>
      <c r="VMR18" s="28" t="str">
        <f>IFERROR(IF(VNA3="No",IF(VLOOKUP(DATE($K$1,$K$2,VMR$4),Table1[],(MATCH(Calendar!$A18,DB!$1:$1,0)),FALSE)&gt;=5,"Good","Bad"),VLOOKUP(DATE($K$1,$K$2,VMR$4),Table1[],(MATCH(Calendar!$A18,DB!$1:$1,0)),FALSE)),"")</f>
        <v/>
      </c>
      <c r="VMS18" s="28" t="str">
        <f>IFERROR(IF(VNB3="No",IF(VLOOKUP(DATE($K$1,$K$2,VMS$4),Table1[],(MATCH(Calendar!$A18,DB!$1:$1,0)),FALSE)&gt;=5,"Good","Bad"),VLOOKUP(DATE($K$1,$K$2,VMS$4),Table1[],(MATCH(Calendar!$A18,DB!$1:$1,0)),FALSE)),"")</f>
        <v/>
      </c>
      <c r="VMT18" s="28" t="str">
        <f>IFERROR(IF(VNC3="No",IF(VLOOKUP(DATE($K$1,$K$2,VMT$4),Table1[],(MATCH(Calendar!$A18,DB!$1:$1,0)),FALSE)&gt;=5,"Good","Bad"),VLOOKUP(DATE($K$1,$K$2,VMT$4),Table1[],(MATCH(Calendar!$A18,DB!$1:$1,0)),FALSE)),"")</f>
        <v/>
      </c>
      <c r="VMU18" s="28" t="str">
        <f>IFERROR(IF(VND3="No",IF(VLOOKUP(DATE($K$1,$K$2,VMU$4),Table1[],(MATCH(Calendar!$A18,DB!$1:$1,0)),FALSE)&gt;=5,"Good","Bad"),VLOOKUP(DATE($K$1,$K$2,VMU$4),Table1[],(MATCH(Calendar!$A18,DB!$1:$1,0)),FALSE)),"")</f>
        <v/>
      </c>
      <c r="VMV18" s="28" t="str">
        <f>IFERROR(IF(VNE3="No",IF(VLOOKUP(DATE($K$1,$K$2,VMV$4),Table1[],(MATCH(Calendar!$A18,DB!$1:$1,0)),FALSE)&gt;=5,"Good","Bad"),VLOOKUP(DATE($K$1,$K$2,VMV$4),Table1[],(MATCH(Calendar!$A18,DB!$1:$1,0)),FALSE)),"")</f>
        <v/>
      </c>
      <c r="VMW18" s="28" t="str">
        <f>IFERROR(IF(VNF3="No",IF(VLOOKUP(DATE($K$1,$K$2,VMW$4),Table1[],(MATCH(Calendar!$A18,DB!$1:$1,0)),FALSE)&gt;=5,"Good","Bad"),VLOOKUP(DATE($K$1,$K$2,VMW$4),Table1[],(MATCH(Calendar!$A18,DB!$1:$1,0)),FALSE)),"")</f>
        <v/>
      </c>
      <c r="VMX18" s="28" t="str">
        <f>IFERROR(IF(VNG3="No",IF(VLOOKUP(DATE($K$1,$K$2,VMX$4),Table1[],(MATCH(Calendar!$A18,DB!$1:$1,0)),FALSE)&gt;=5,"Good","Bad"),VLOOKUP(DATE($K$1,$K$2,VMX$4),Table1[],(MATCH(Calendar!$A18,DB!$1:$1,0)),FALSE)),"")</f>
        <v/>
      </c>
      <c r="VMY18" s="28" t="str">
        <f>IFERROR(IF(VNH3="No",IF(VLOOKUP(DATE($K$1,$K$2,VMY$4),Table1[],(MATCH(Calendar!$A18,DB!$1:$1,0)),FALSE)&gt;=5,"Good","Bad"),VLOOKUP(DATE($K$1,$K$2,VMY$4),Table1[],(MATCH(Calendar!$A18,DB!$1:$1,0)),FALSE)),"")</f>
        <v/>
      </c>
      <c r="VMZ18" s="28" t="str">
        <f>IFERROR(IF(VNI3="No",IF(VLOOKUP(DATE($K$1,$K$2,VMZ$4),Table1[],(MATCH(Calendar!$A18,DB!$1:$1,0)),FALSE)&gt;=5,"Good","Bad"),VLOOKUP(DATE($K$1,$K$2,VMZ$4),Table1[],(MATCH(Calendar!$A18,DB!$1:$1,0)),FALSE)),"")</f>
        <v/>
      </c>
      <c r="VNA18" s="28" t="str">
        <f>IFERROR(IF(VNJ3="No",IF(VLOOKUP(DATE($K$1,$K$2,VNA$4),Table1[],(MATCH(Calendar!$A18,DB!$1:$1,0)),FALSE)&gt;=5,"Good","Bad"),VLOOKUP(DATE($K$1,$K$2,VNA$4),Table1[],(MATCH(Calendar!$A18,DB!$1:$1,0)),FALSE)),"")</f>
        <v/>
      </c>
      <c r="VNB18" s="28" t="str">
        <f>IFERROR(IF(VNK3="No",IF(VLOOKUP(DATE($K$1,$K$2,VNB$4),Table1[],(MATCH(Calendar!$A18,DB!$1:$1,0)),FALSE)&gt;=5,"Good","Bad"),VLOOKUP(DATE($K$1,$K$2,VNB$4),Table1[],(MATCH(Calendar!$A18,DB!$1:$1,0)),FALSE)),"")</f>
        <v/>
      </c>
      <c r="VNC18" s="28" t="str">
        <f>IFERROR(IF(VNL3="No",IF(VLOOKUP(DATE($K$1,$K$2,VNC$4),Table1[],(MATCH(Calendar!$A18,DB!$1:$1,0)),FALSE)&gt;=5,"Good","Bad"),VLOOKUP(DATE($K$1,$K$2,VNC$4),Table1[],(MATCH(Calendar!$A18,DB!$1:$1,0)),FALSE)),"")</f>
        <v/>
      </c>
      <c r="VND18" s="28" t="str">
        <f>IFERROR(IF(VNM3="No",IF(VLOOKUP(DATE($K$1,$K$2,VND$4),Table1[],(MATCH(Calendar!$A18,DB!$1:$1,0)),FALSE)&gt;=5,"Good","Bad"),VLOOKUP(DATE($K$1,$K$2,VND$4),Table1[],(MATCH(Calendar!$A18,DB!$1:$1,0)),FALSE)),"")</f>
        <v/>
      </c>
      <c r="VNE18" s="28" t="str">
        <f>IFERROR(IF(VNN3="No",IF(VLOOKUP(DATE($K$1,$K$2,VNE$4),Table1[],(MATCH(Calendar!$A18,DB!$1:$1,0)),FALSE)&gt;=5,"Good","Bad"),VLOOKUP(DATE($K$1,$K$2,VNE$4),Table1[],(MATCH(Calendar!$A18,DB!$1:$1,0)),FALSE)),"")</f>
        <v/>
      </c>
      <c r="VNF18" s="28" t="str">
        <f>IFERROR(IF(VNO3="No",IF(VLOOKUP(DATE($K$1,$K$2,VNF$4),Table1[],(MATCH(Calendar!$A18,DB!$1:$1,0)),FALSE)&gt;=5,"Good","Bad"),VLOOKUP(DATE($K$1,$K$2,VNF$4),Table1[],(MATCH(Calendar!$A18,DB!$1:$1,0)),FALSE)),"")</f>
        <v/>
      </c>
      <c r="VNG18" s="28" t="str">
        <f>IFERROR(IF(VNP3="No",IF(VLOOKUP(DATE($K$1,$K$2,VNG$4),Table1[],(MATCH(Calendar!$A18,DB!$1:$1,0)),FALSE)&gt;=5,"Good","Bad"),VLOOKUP(DATE($K$1,$K$2,VNG$4),Table1[],(MATCH(Calendar!$A18,DB!$1:$1,0)),FALSE)),"")</f>
        <v/>
      </c>
      <c r="VNH18" s="28" t="str">
        <f>IFERROR(IF(VNQ3="No",IF(VLOOKUP(DATE($K$1,$K$2,VNH$4),Table1[],(MATCH(Calendar!$A18,DB!$1:$1,0)),FALSE)&gt;=5,"Good","Bad"),VLOOKUP(DATE($K$1,$K$2,VNH$4),Table1[],(MATCH(Calendar!$A18,DB!$1:$1,0)),FALSE)),"")</f>
        <v/>
      </c>
      <c r="VNI18" s="28" t="str">
        <f>IFERROR(IF(VNR3="No",IF(VLOOKUP(DATE($K$1,$K$2,VNI$4),Table1[],(MATCH(Calendar!$A18,DB!$1:$1,0)),FALSE)&gt;=5,"Good","Bad"),VLOOKUP(DATE($K$1,$K$2,VNI$4),Table1[],(MATCH(Calendar!$A18,DB!$1:$1,0)),FALSE)),"")</f>
        <v/>
      </c>
      <c r="VNJ18" s="28" t="str">
        <f>IFERROR(IF(VNS3="No",IF(VLOOKUP(DATE($K$1,$K$2,VNJ$4),Table1[],(MATCH(Calendar!$A18,DB!$1:$1,0)),FALSE)&gt;=5,"Good","Bad"),VLOOKUP(DATE($K$1,$K$2,VNJ$4),Table1[],(MATCH(Calendar!$A18,DB!$1:$1,0)),FALSE)),"")</f>
        <v/>
      </c>
      <c r="VNK18" s="28" t="str">
        <f>IFERROR(IF(VNT3="No",IF(VLOOKUP(DATE($K$1,$K$2,VNK$4),Table1[],(MATCH(Calendar!$A18,DB!$1:$1,0)),FALSE)&gt;=5,"Good","Bad"),VLOOKUP(DATE($K$1,$K$2,VNK$4),Table1[],(MATCH(Calendar!$A18,DB!$1:$1,0)),FALSE)),"")</f>
        <v/>
      </c>
      <c r="VNL18" s="28" t="str">
        <f>IFERROR(IF(VNU3="No",IF(VLOOKUP(DATE($K$1,$K$2,VNL$4),Table1[],(MATCH(Calendar!$A18,DB!$1:$1,0)),FALSE)&gt;=5,"Good","Bad"),VLOOKUP(DATE($K$1,$K$2,VNL$4),Table1[],(MATCH(Calendar!$A18,DB!$1:$1,0)),FALSE)),"")</f>
        <v/>
      </c>
      <c r="VNM18" s="28" t="str">
        <f>IFERROR(IF(VNV3="No",IF(VLOOKUP(DATE($K$1,$K$2,VNM$4),Table1[],(MATCH(Calendar!$A18,DB!$1:$1,0)),FALSE)&gt;=5,"Good","Bad"),VLOOKUP(DATE($K$1,$K$2,VNM$4),Table1[],(MATCH(Calendar!$A18,DB!$1:$1,0)),FALSE)),"")</f>
        <v/>
      </c>
      <c r="VNN18" s="28" t="str">
        <f>IFERROR(IF(VNW3="No",IF(VLOOKUP(DATE($K$1,$K$2,VNN$4),Table1[],(MATCH(Calendar!$A18,DB!$1:$1,0)),FALSE)&gt;=5,"Good","Bad"),VLOOKUP(DATE($K$1,$K$2,VNN$4),Table1[],(MATCH(Calendar!$A18,DB!$1:$1,0)),FALSE)),"")</f>
        <v/>
      </c>
      <c r="VNO18" s="28" t="str">
        <f>IFERROR(IF(VNX3="No",IF(VLOOKUP(DATE($K$1,$K$2,VNO$4),Table1[],(MATCH(Calendar!$A18,DB!$1:$1,0)),FALSE)&gt;=5,"Good","Bad"),VLOOKUP(DATE($K$1,$K$2,VNO$4),Table1[],(MATCH(Calendar!$A18,DB!$1:$1,0)),FALSE)),"")</f>
        <v/>
      </c>
      <c r="VNP18" s="28" t="str">
        <f>IFERROR(IF(VNY3="No",IF(VLOOKUP(DATE($K$1,$K$2,VNP$4),Table1[],(MATCH(Calendar!$A18,DB!$1:$1,0)),FALSE)&gt;=5,"Good","Bad"),VLOOKUP(DATE($K$1,$K$2,VNP$4),Table1[],(MATCH(Calendar!$A18,DB!$1:$1,0)),FALSE)),"")</f>
        <v/>
      </c>
      <c r="VNQ18" s="28" t="str">
        <f>IFERROR(IF(VNZ3="No",IF(VLOOKUP(DATE($K$1,$K$2,VNQ$4),Table1[],(MATCH(Calendar!$A18,DB!$1:$1,0)),FALSE)&gt;=5,"Good","Bad"),VLOOKUP(DATE($K$1,$K$2,VNQ$4),Table1[],(MATCH(Calendar!$A18,DB!$1:$1,0)),FALSE)),"")</f>
        <v/>
      </c>
      <c r="VNR18" s="28" t="str">
        <f>IFERROR(IF(VOA3="No",IF(VLOOKUP(DATE($K$1,$K$2,VNR$4),Table1[],(MATCH(Calendar!$A18,DB!$1:$1,0)),FALSE)&gt;=5,"Good","Bad"),VLOOKUP(DATE($K$1,$K$2,VNR$4),Table1[],(MATCH(Calendar!$A18,DB!$1:$1,0)),FALSE)),"")</f>
        <v/>
      </c>
      <c r="VNS18" s="28" t="str">
        <f>IFERROR(IF(VOB3="No",IF(VLOOKUP(DATE($K$1,$K$2,VNS$4),Table1[],(MATCH(Calendar!$A18,DB!$1:$1,0)),FALSE)&gt;=5,"Good","Bad"),VLOOKUP(DATE($K$1,$K$2,VNS$4),Table1[],(MATCH(Calendar!$A18,DB!$1:$1,0)),FALSE)),"")</f>
        <v/>
      </c>
      <c r="VNT18" s="28" t="str">
        <f>IFERROR(IF(VOC3="No",IF(VLOOKUP(DATE($K$1,$K$2,VNT$4),Table1[],(MATCH(Calendar!$A18,DB!$1:$1,0)),FALSE)&gt;=5,"Good","Bad"),VLOOKUP(DATE($K$1,$K$2,VNT$4),Table1[],(MATCH(Calendar!$A18,DB!$1:$1,0)),FALSE)),"")</f>
        <v/>
      </c>
      <c r="VNU18" s="28" t="str">
        <f>IFERROR(IF(VOD3="No",IF(VLOOKUP(DATE($K$1,$K$2,VNU$4),Table1[],(MATCH(Calendar!$A18,DB!$1:$1,0)),FALSE)&gt;=5,"Good","Bad"),VLOOKUP(DATE($K$1,$K$2,VNU$4),Table1[],(MATCH(Calendar!$A18,DB!$1:$1,0)),FALSE)),"")</f>
        <v/>
      </c>
      <c r="VNV18" s="28" t="str">
        <f>IFERROR(IF(VOE3="No",IF(VLOOKUP(DATE($K$1,$K$2,VNV$4),Table1[],(MATCH(Calendar!$A18,DB!$1:$1,0)),FALSE)&gt;=5,"Good","Bad"),VLOOKUP(DATE($K$1,$K$2,VNV$4),Table1[],(MATCH(Calendar!$A18,DB!$1:$1,0)),FALSE)),"")</f>
        <v/>
      </c>
      <c r="VNW18" s="28" t="str">
        <f>IFERROR(IF(VOF3="No",IF(VLOOKUP(DATE($K$1,$K$2,VNW$4),Table1[],(MATCH(Calendar!$A18,DB!$1:$1,0)),FALSE)&gt;=5,"Good","Bad"),VLOOKUP(DATE($K$1,$K$2,VNW$4),Table1[],(MATCH(Calendar!$A18,DB!$1:$1,0)),FALSE)),"")</f>
        <v/>
      </c>
      <c r="VNX18" s="28" t="str">
        <f>IFERROR(IF(VOG3="No",IF(VLOOKUP(DATE($K$1,$K$2,VNX$4),Table1[],(MATCH(Calendar!$A18,DB!$1:$1,0)),FALSE)&gt;=5,"Good","Bad"),VLOOKUP(DATE($K$1,$K$2,VNX$4),Table1[],(MATCH(Calendar!$A18,DB!$1:$1,0)),FALSE)),"")</f>
        <v/>
      </c>
      <c r="VNY18" s="28" t="str">
        <f>IFERROR(IF(VOH3="No",IF(VLOOKUP(DATE($K$1,$K$2,VNY$4),Table1[],(MATCH(Calendar!$A18,DB!$1:$1,0)),FALSE)&gt;=5,"Good","Bad"),VLOOKUP(DATE($K$1,$K$2,VNY$4),Table1[],(MATCH(Calendar!$A18,DB!$1:$1,0)),FALSE)),"")</f>
        <v/>
      </c>
      <c r="VNZ18" s="28" t="str">
        <f>IFERROR(IF(VOI3="No",IF(VLOOKUP(DATE($K$1,$K$2,VNZ$4),Table1[],(MATCH(Calendar!$A18,DB!$1:$1,0)),FALSE)&gt;=5,"Good","Bad"),VLOOKUP(DATE($K$1,$K$2,VNZ$4),Table1[],(MATCH(Calendar!$A18,DB!$1:$1,0)),FALSE)),"")</f>
        <v/>
      </c>
      <c r="VOA18" s="28" t="str">
        <f>IFERROR(IF(VOJ3="No",IF(VLOOKUP(DATE($K$1,$K$2,VOA$4),Table1[],(MATCH(Calendar!$A18,DB!$1:$1,0)),FALSE)&gt;=5,"Good","Bad"),VLOOKUP(DATE($K$1,$K$2,VOA$4),Table1[],(MATCH(Calendar!$A18,DB!$1:$1,0)),FALSE)),"")</f>
        <v/>
      </c>
      <c r="VOB18" s="28" t="str">
        <f>IFERROR(IF(VOK3="No",IF(VLOOKUP(DATE($K$1,$K$2,VOB$4),Table1[],(MATCH(Calendar!$A18,DB!$1:$1,0)),FALSE)&gt;=5,"Good","Bad"),VLOOKUP(DATE($K$1,$K$2,VOB$4),Table1[],(MATCH(Calendar!$A18,DB!$1:$1,0)),FALSE)),"")</f>
        <v/>
      </c>
      <c r="VOC18" s="28" t="str">
        <f>IFERROR(IF(VOL3="No",IF(VLOOKUP(DATE($K$1,$K$2,VOC$4),Table1[],(MATCH(Calendar!$A18,DB!$1:$1,0)),FALSE)&gt;=5,"Good","Bad"),VLOOKUP(DATE($K$1,$K$2,VOC$4),Table1[],(MATCH(Calendar!$A18,DB!$1:$1,0)),FALSE)),"")</f>
        <v/>
      </c>
      <c r="VOD18" s="28" t="str">
        <f>IFERROR(IF(VOM3="No",IF(VLOOKUP(DATE($K$1,$K$2,VOD$4),Table1[],(MATCH(Calendar!$A18,DB!$1:$1,0)),FALSE)&gt;=5,"Good","Bad"),VLOOKUP(DATE($K$1,$K$2,VOD$4),Table1[],(MATCH(Calendar!$A18,DB!$1:$1,0)),FALSE)),"")</f>
        <v/>
      </c>
      <c r="VOE18" s="28" t="str">
        <f>IFERROR(IF(VON3="No",IF(VLOOKUP(DATE($K$1,$K$2,VOE$4),Table1[],(MATCH(Calendar!$A18,DB!$1:$1,0)),FALSE)&gt;=5,"Good","Bad"),VLOOKUP(DATE($K$1,$K$2,VOE$4),Table1[],(MATCH(Calendar!$A18,DB!$1:$1,0)),FALSE)),"")</f>
        <v/>
      </c>
      <c r="VOF18" s="28" t="str">
        <f>IFERROR(IF(VOO3="No",IF(VLOOKUP(DATE($K$1,$K$2,VOF$4),Table1[],(MATCH(Calendar!$A18,DB!$1:$1,0)),FALSE)&gt;=5,"Good","Bad"),VLOOKUP(DATE($K$1,$K$2,VOF$4),Table1[],(MATCH(Calendar!$A18,DB!$1:$1,0)),FALSE)),"")</f>
        <v/>
      </c>
      <c r="VOG18" s="28" t="str">
        <f>IFERROR(IF(VOP3="No",IF(VLOOKUP(DATE($K$1,$K$2,VOG$4),Table1[],(MATCH(Calendar!$A18,DB!$1:$1,0)),FALSE)&gt;=5,"Good","Bad"),VLOOKUP(DATE($K$1,$K$2,VOG$4),Table1[],(MATCH(Calendar!$A18,DB!$1:$1,0)),FALSE)),"")</f>
        <v/>
      </c>
      <c r="VOH18" s="28" t="str">
        <f>IFERROR(IF(VOQ3="No",IF(VLOOKUP(DATE($K$1,$K$2,VOH$4),Table1[],(MATCH(Calendar!$A18,DB!$1:$1,0)),FALSE)&gt;=5,"Good","Bad"),VLOOKUP(DATE($K$1,$K$2,VOH$4),Table1[],(MATCH(Calendar!$A18,DB!$1:$1,0)),FALSE)),"")</f>
        <v/>
      </c>
      <c r="VOI18" s="28" t="str">
        <f>IFERROR(IF(VOR3="No",IF(VLOOKUP(DATE($K$1,$K$2,VOI$4),Table1[],(MATCH(Calendar!$A18,DB!$1:$1,0)),FALSE)&gt;=5,"Good","Bad"),VLOOKUP(DATE($K$1,$K$2,VOI$4),Table1[],(MATCH(Calendar!$A18,DB!$1:$1,0)),FALSE)),"")</f>
        <v/>
      </c>
      <c r="VOJ18" s="28" t="str">
        <f>IFERROR(IF(VOS3="No",IF(VLOOKUP(DATE($K$1,$K$2,VOJ$4),Table1[],(MATCH(Calendar!$A18,DB!$1:$1,0)),FALSE)&gt;=5,"Good","Bad"),VLOOKUP(DATE($K$1,$K$2,VOJ$4),Table1[],(MATCH(Calendar!$A18,DB!$1:$1,0)),FALSE)),"")</f>
        <v/>
      </c>
      <c r="VOK18" s="28" t="str">
        <f>IFERROR(IF(VOT3="No",IF(VLOOKUP(DATE($K$1,$K$2,VOK$4),Table1[],(MATCH(Calendar!$A18,DB!$1:$1,0)),FALSE)&gt;=5,"Good","Bad"),VLOOKUP(DATE($K$1,$K$2,VOK$4),Table1[],(MATCH(Calendar!$A18,DB!$1:$1,0)),FALSE)),"")</f>
        <v/>
      </c>
      <c r="VOL18" s="28" t="str">
        <f>IFERROR(IF(VOU3="No",IF(VLOOKUP(DATE($K$1,$K$2,VOL$4),Table1[],(MATCH(Calendar!$A18,DB!$1:$1,0)),FALSE)&gt;=5,"Good","Bad"),VLOOKUP(DATE($K$1,$K$2,VOL$4),Table1[],(MATCH(Calendar!$A18,DB!$1:$1,0)),FALSE)),"")</f>
        <v/>
      </c>
      <c r="VOM18" s="28" t="str">
        <f>IFERROR(IF(VOV3="No",IF(VLOOKUP(DATE($K$1,$K$2,VOM$4),Table1[],(MATCH(Calendar!$A18,DB!$1:$1,0)),FALSE)&gt;=5,"Good","Bad"),VLOOKUP(DATE($K$1,$K$2,VOM$4),Table1[],(MATCH(Calendar!$A18,DB!$1:$1,0)),FALSE)),"")</f>
        <v/>
      </c>
      <c r="VON18" s="28" t="str">
        <f>IFERROR(IF(VOW3="No",IF(VLOOKUP(DATE($K$1,$K$2,VON$4),Table1[],(MATCH(Calendar!$A18,DB!$1:$1,0)),FALSE)&gt;=5,"Good","Bad"),VLOOKUP(DATE($K$1,$K$2,VON$4),Table1[],(MATCH(Calendar!$A18,DB!$1:$1,0)),FALSE)),"")</f>
        <v/>
      </c>
      <c r="VOO18" s="28" t="str">
        <f>IFERROR(IF(VOX3="No",IF(VLOOKUP(DATE($K$1,$K$2,VOO$4),Table1[],(MATCH(Calendar!$A18,DB!$1:$1,0)),FALSE)&gt;=5,"Good","Bad"),VLOOKUP(DATE($K$1,$K$2,VOO$4),Table1[],(MATCH(Calendar!$A18,DB!$1:$1,0)),FALSE)),"")</f>
        <v/>
      </c>
      <c r="VOP18" s="28" t="str">
        <f>IFERROR(IF(VOY3="No",IF(VLOOKUP(DATE($K$1,$K$2,VOP$4),Table1[],(MATCH(Calendar!$A18,DB!$1:$1,0)),FALSE)&gt;=5,"Good","Bad"),VLOOKUP(DATE($K$1,$K$2,VOP$4),Table1[],(MATCH(Calendar!$A18,DB!$1:$1,0)),FALSE)),"")</f>
        <v/>
      </c>
      <c r="VOQ18" s="28" t="str">
        <f>IFERROR(IF(VOZ3="No",IF(VLOOKUP(DATE($K$1,$K$2,VOQ$4),Table1[],(MATCH(Calendar!$A18,DB!$1:$1,0)),FALSE)&gt;=5,"Good","Bad"),VLOOKUP(DATE($K$1,$K$2,VOQ$4),Table1[],(MATCH(Calendar!$A18,DB!$1:$1,0)),FALSE)),"")</f>
        <v/>
      </c>
      <c r="VOR18" s="28" t="str">
        <f>IFERROR(IF(VPA3="No",IF(VLOOKUP(DATE($K$1,$K$2,VOR$4),Table1[],(MATCH(Calendar!$A18,DB!$1:$1,0)),FALSE)&gt;=5,"Good","Bad"),VLOOKUP(DATE($K$1,$K$2,VOR$4),Table1[],(MATCH(Calendar!$A18,DB!$1:$1,0)),FALSE)),"")</f>
        <v/>
      </c>
      <c r="VOS18" s="28" t="str">
        <f>IFERROR(IF(VPB3="No",IF(VLOOKUP(DATE($K$1,$K$2,VOS$4),Table1[],(MATCH(Calendar!$A18,DB!$1:$1,0)),FALSE)&gt;=5,"Good","Bad"),VLOOKUP(DATE($K$1,$K$2,VOS$4),Table1[],(MATCH(Calendar!$A18,DB!$1:$1,0)),FALSE)),"")</f>
        <v/>
      </c>
      <c r="VOT18" s="28" t="str">
        <f>IFERROR(IF(VPC3="No",IF(VLOOKUP(DATE($K$1,$K$2,VOT$4),Table1[],(MATCH(Calendar!$A18,DB!$1:$1,0)),FALSE)&gt;=5,"Good","Bad"),VLOOKUP(DATE($K$1,$K$2,VOT$4),Table1[],(MATCH(Calendar!$A18,DB!$1:$1,0)),FALSE)),"")</f>
        <v/>
      </c>
      <c r="VOU18" s="28" t="str">
        <f>IFERROR(IF(VPD3="No",IF(VLOOKUP(DATE($K$1,$K$2,VOU$4),Table1[],(MATCH(Calendar!$A18,DB!$1:$1,0)),FALSE)&gt;=5,"Good","Bad"),VLOOKUP(DATE($K$1,$K$2,VOU$4),Table1[],(MATCH(Calendar!$A18,DB!$1:$1,0)),FALSE)),"")</f>
        <v/>
      </c>
      <c r="VOV18" s="28" t="str">
        <f>IFERROR(IF(VPE3="No",IF(VLOOKUP(DATE($K$1,$K$2,VOV$4),Table1[],(MATCH(Calendar!$A18,DB!$1:$1,0)),FALSE)&gt;=5,"Good","Bad"),VLOOKUP(DATE($K$1,$K$2,VOV$4),Table1[],(MATCH(Calendar!$A18,DB!$1:$1,0)),FALSE)),"")</f>
        <v/>
      </c>
      <c r="VOW18" s="28" t="str">
        <f>IFERROR(IF(VPF3="No",IF(VLOOKUP(DATE($K$1,$K$2,VOW$4),Table1[],(MATCH(Calendar!$A18,DB!$1:$1,0)),FALSE)&gt;=5,"Good","Bad"),VLOOKUP(DATE($K$1,$K$2,VOW$4),Table1[],(MATCH(Calendar!$A18,DB!$1:$1,0)),FALSE)),"")</f>
        <v/>
      </c>
      <c r="VOX18" s="28" t="str">
        <f>IFERROR(IF(VPG3="No",IF(VLOOKUP(DATE($K$1,$K$2,VOX$4),Table1[],(MATCH(Calendar!$A18,DB!$1:$1,0)),FALSE)&gt;=5,"Good","Bad"),VLOOKUP(DATE($K$1,$K$2,VOX$4),Table1[],(MATCH(Calendar!$A18,DB!$1:$1,0)),FALSE)),"")</f>
        <v/>
      </c>
      <c r="VOY18" s="28" t="str">
        <f>IFERROR(IF(VPH3="No",IF(VLOOKUP(DATE($K$1,$K$2,VOY$4),Table1[],(MATCH(Calendar!$A18,DB!$1:$1,0)),FALSE)&gt;=5,"Good","Bad"),VLOOKUP(DATE($K$1,$K$2,VOY$4),Table1[],(MATCH(Calendar!$A18,DB!$1:$1,0)),FALSE)),"")</f>
        <v/>
      </c>
      <c r="VOZ18" s="28" t="str">
        <f>IFERROR(IF(VPI3="No",IF(VLOOKUP(DATE($K$1,$K$2,VOZ$4),Table1[],(MATCH(Calendar!$A18,DB!$1:$1,0)),FALSE)&gt;=5,"Good","Bad"),VLOOKUP(DATE($K$1,$K$2,VOZ$4),Table1[],(MATCH(Calendar!$A18,DB!$1:$1,0)),FALSE)),"")</f>
        <v/>
      </c>
      <c r="VPA18" s="28" t="str">
        <f>IFERROR(IF(VPJ3="No",IF(VLOOKUP(DATE($K$1,$K$2,VPA$4),Table1[],(MATCH(Calendar!$A18,DB!$1:$1,0)),FALSE)&gt;=5,"Good","Bad"),VLOOKUP(DATE($K$1,$K$2,VPA$4),Table1[],(MATCH(Calendar!$A18,DB!$1:$1,0)),FALSE)),"")</f>
        <v/>
      </c>
      <c r="VPB18" s="28" t="str">
        <f>IFERROR(IF(VPK3="No",IF(VLOOKUP(DATE($K$1,$K$2,VPB$4),Table1[],(MATCH(Calendar!$A18,DB!$1:$1,0)),FALSE)&gt;=5,"Good","Bad"),VLOOKUP(DATE($K$1,$K$2,VPB$4),Table1[],(MATCH(Calendar!$A18,DB!$1:$1,0)),FALSE)),"")</f>
        <v/>
      </c>
      <c r="VPC18" s="28" t="str">
        <f>IFERROR(IF(VPL3="No",IF(VLOOKUP(DATE($K$1,$K$2,VPC$4),Table1[],(MATCH(Calendar!$A18,DB!$1:$1,0)),FALSE)&gt;=5,"Good","Bad"),VLOOKUP(DATE($K$1,$K$2,VPC$4),Table1[],(MATCH(Calendar!$A18,DB!$1:$1,0)),FALSE)),"")</f>
        <v/>
      </c>
      <c r="VPD18" s="28" t="str">
        <f>IFERROR(IF(VPM3="No",IF(VLOOKUP(DATE($K$1,$K$2,VPD$4),Table1[],(MATCH(Calendar!$A18,DB!$1:$1,0)),FALSE)&gt;=5,"Good","Bad"),VLOOKUP(DATE($K$1,$K$2,VPD$4),Table1[],(MATCH(Calendar!$A18,DB!$1:$1,0)),FALSE)),"")</f>
        <v/>
      </c>
      <c r="VPE18" s="28" t="str">
        <f>IFERROR(IF(VPN3="No",IF(VLOOKUP(DATE($K$1,$K$2,VPE$4),Table1[],(MATCH(Calendar!$A18,DB!$1:$1,0)),FALSE)&gt;=5,"Good","Bad"),VLOOKUP(DATE($K$1,$K$2,VPE$4),Table1[],(MATCH(Calendar!$A18,DB!$1:$1,0)),FALSE)),"")</f>
        <v/>
      </c>
      <c r="VPF18" s="28" t="str">
        <f>IFERROR(IF(VPO3="No",IF(VLOOKUP(DATE($K$1,$K$2,VPF$4),Table1[],(MATCH(Calendar!$A18,DB!$1:$1,0)),FALSE)&gt;=5,"Good","Bad"),VLOOKUP(DATE($K$1,$K$2,VPF$4),Table1[],(MATCH(Calendar!$A18,DB!$1:$1,0)),FALSE)),"")</f>
        <v/>
      </c>
      <c r="VPG18" s="28" t="str">
        <f>IFERROR(IF(VPP3="No",IF(VLOOKUP(DATE($K$1,$K$2,VPG$4),Table1[],(MATCH(Calendar!$A18,DB!$1:$1,0)),FALSE)&gt;=5,"Good","Bad"),VLOOKUP(DATE($K$1,$K$2,VPG$4),Table1[],(MATCH(Calendar!$A18,DB!$1:$1,0)),FALSE)),"")</f>
        <v/>
      </c>
      <c r="VPH18" s="28" t="str">
        <f>IFERROR(IF(VPQ3="No",IF(VLOOKUP(DATE($K$1,$K$2,VPH$4),Table1[],(MATCH(Calendar!$A18,DB!$1:$1,0)),FALSE)&gt;=5,"Good","Bad"),VLOOKUP(DATE($K$1,$K$2,VPH$4),Table1[],(MATCH(Calendar!$A18,DB!$1:$1,0)),FALSE)),"")</f>
        <v/>
      </c>
      <c r="VPI18" s="28" t="str">
        <f>IFERROR(IF(VPR3="No",IF(VLOOKUP(DATE($K$1,$K$2,VPI$4),Table1[],(MATCH(Calendar!$A18,DB!$1:$1,0)),FALSE)&gt;=5,"Good","Bad"),VLOOKUP(DATE($K$1,$K$2,VPI$4),Table1[],(MATCH(Calendar!$A18,DB!$1:$1,0)),FALSE)),"")</f>
        <v/>
      </c>
      <c r="VPJ18" s="28" t="str">
        <f>IFERROR(IF(VPS3="No",IF(VLOOKUP(DATE($K$1,$K$2,VPJ$4),Table1[],(MATCH(Calendar!$A18,DB!$1:$1,0)),FALSE)&gt;=5,"Good","Bad"),VLOOKUP(DATE($K$1,$K$2,VPJ$4),Table1[],(MATCH(Calendar!$A18,DB!$1:$1,0)),FALSE)),"")</f>
        <v/>
      </c>
      <c r="VPK18" s="28" t="str">
        <f>IFERROR(IF(VPT3="No",IF(VLOOKUP(DATE($K$1,$K$2,VPK$4),Table1[],(MATCH(Calendar!$A18,DB!$1:$1,0)),FALSE)&gt;=5,"Good","Bad"),VLOOKUP(DATE($K$1,$K$2,VPK$4),Table1[],(MATCH(Calendar!$A18,DB!$1:$1,0)),FALSE)),"")</f>
        <v/>
      </c>
      <c r="VPL18" s="28" t="str">
        <f>IFERROR(IF(VPU3="No",IF(VLOOKUP(DATE($K$1,$K$2,VPL$4),Table1[],(MATCH(Calendar!$A18,DB!$1:$1,0)),FALSE)&gt;=5,"Good","Bad"),VLOOKUP(DATE($K$1,$K$2,VPL$4),Table1[],(MATCH(Calendar!$A18,DB!$1:$1,0)),FALSE)),"")</f>
        <v/>
      </c>
      <c r="VPM18" s="28" t="str">
        <f>IFERROR(IF(VPV3="No",IF(VLOOKUP(DATE($K$1,$K$2,VPM$4),Table1[],(MATCH(Calendar!$A18,DB!$1:$1,0)),FALSE)&gt;=5,"Good","Bad"),VLOOKUP(DATE($K$1,$K$2,VPM$4),Table1[],(MATCH(Calendar!$A18,DB!$1:$1,0)),FALSE)),"")</f>
        <v/>
      </c>
      <c r="VPN18" s="28" t="str">
        <f>IFERROR(IF(VPW3="No",IF(VLOOKUP(DATE($K$1,$K$2,VPN$4),Table1[],(MATCH(Calendar!$A18,DB!$1:$1,0)),FALSE)&gt;=5,"Good","Bad"),VLOOKUP(DATE($K$1,$K$2,VPN$4),Table1[],(MATCH(Calendar!$A18,DB!$1:$1,0)),FALSE)),"")</f>
        <v/>
      </c>
      <c r="VPO18" s="28" t="str">
        <f>IFERROR(IF(VPX3="No",IF(VLOOKUP(DATE($K$1,$K$2,VPO$4),Table1[],(MATCH(Calendar!$A18,DB!$1:$1,0)),FALSE)&gt;=5,"Good","Bad"),VLOOKUP(DATE($K$1,$K$2,VPO$4),Table1[],(MATCH(Calendar!$A18,DB!$1:$1,0)),FALSE)),"")</f>
        <v/>
      </c>
      <c r="VPP18" s="28" t="str">
        <f>IFERROR(IF(VPY3="No",IF(VLOOKUP(DATE($K$1,$K$2,VPP$4),Table1[],(MATCH(Calendar!$A18,DB!$1:$1,0)),FALSE)&gt;=5,"Good","Bad"),VLOOKUP(DATE($K$1,$K$2,VPP$4),Table1[],(MATCH(Calendar!$A18,DB!$1:$1,0)),FALSE)),"")</f>
        <v/>
      </c>
      <c r="VPQ18" s="28" t="str">
        <f>IFERROR(IF(VPZ3="No",IF(VLOOKUP(DATE($K$1,$K$2,VPQ$4),Table1[],(MATCH(Calendar!$A18,DB!$1:$1,0)),FALSE)&gt;=5,"Good","Bad"),VLOOKUP(DATE($K$1,$K$2,VPQ$4),Table1[],(MATCH(Calendar!$A18,DB!$1:$1,0)),FALSE)),"")</f>
        <v/>
      </c>
      <c r="VPR18" s="28" t="str">
        <f>IFERROR(IF(VQA3="No",IF(VLOOKUP(DATE($K$1,$K$2,VPR$4),Table1[],(MATCH(Calendar!$A18,DB!$1:$1,0)),FALSE)&gt;=5,"Good","Bad"),VLOOKUP(DATE($K$1,$K$2,VPR$4),Table1[],(MATCH(Calendar!$A18,DB!$1:$1,0)),FALSE)),"")</f>
        <v/>
      </c>
      <c r="VPS18" s="28" t="str">
        <f>IFERROR(IF(VQB3="No",IF(VLOOKUP(DATE($K$1,$K$2,VPS$4),Table1[],(MATCH(Calendar!$A18,DB!$1:$1,0)),FALSE)&gt;=5,"Good","Bad"),VLOOKUP(DATE($K$1,$K$2,VPS$4),Table1[],(MATCH(Calendar!$A18,DB!$1:$1,0)),FALSE)),"")</f>
        <v/>
      </c>
      <c r="VPT18" s="28" t="str">
        <f>IFERROR(IF(VQC3="No",IF(VLOOKUP(DATE($K$1,$K$2,VPT$4),Table1[],(MATCH(Calendar!$A18,DB!$1:$1,0)),FALSE)&gt;=5,"Good","Bad"),VLOOKUP(DATE($K$1,$K$2,VPT$4),Table1[],(MATCH(Calendar!$A18,DB!$1:$1,0)),FALSE)),"")</f>
        <v/>
      </c>
      <c r="VPU18" s="28" t="str">
        <f>IFERROR(IF(VQD3="No",IF(VLOOKUP(DATE($K$1,$K$2,VPU$4),Table1[],(MATCH(Calendar!$A18,DB!$1:$1,0)),FALSE)&gt;=5,"Good","Bad"),VLOOKUP(DATE($K$1,$K$2,VPU$4),Table1[],(MATCH(Calendar!$A18,DB!$1:$1,0)),FALSE)),"")</f>
        <v/>
      </c>
      <c r="VPV18" s="28" t="str">
        <f>IFERROR(IF(VQE3="No",IF(VLOOKUP(DATE($K$1,$K$2,VPV$4),Table1[],(MATCH(Calendar!$A18,DB!$1:$1,0)),FALSE)&gt;=5,"Good","Bad"),VLOOKUP(DATE($K$1,$K$2,VPV$4),Table1[],(MATCH(Calendar!$A18,DB!$1:$1,0)),FALSE)),"")</f>
        <v/>
      </c>
      <c r="VPW18" s="28" t="str">
        <f>IFERROR(IF(VQF3="No",IF(VLOOKUP(DATE($K$1,$K$2,VPW$4),Table1[],(MATCH(Calendar!$A18,DB!$1:$1,0)),FALSE)&gt;=5,"Good","Bad"),VLOOKUP(DATE($K$1,$K$2,VPW$4),Table1[],(MATCH(Calendar!$A18,DB!$1:$1,0)),FALSE)),"")</f>
        <v/>
      </c>
      <c r="VPX18" s="28" t="str">
        <f>IFERROR(IF(VQG3="No",IF(VLOOKUP(DATE($K$1,$K$2,VPX$4),Table1[],(MATCH(Calendar!$A18,DB!$1:$1,0)),FALSE)&gt;=5,"Good","Bad"),VLOOKUP(DATE($K$1,$K$2,VPX$4),Table1[],(MATCH(Calendar!$A18,DB!$1:$1,0)),FALSE)),"")</f>
        <v/>
      </c>
      <c r="VPY18" s="28" t="str">
        <f>IFERROR(IF(VQH3="No",IF(VLOOKUP(DATE($K$1,$K$2,VPY$4),Table1[],(MATCH(Calendar!$A18,DB!$1:$1,0)),FALSE)&gt;=5,"Good","Bad"),VLOOKUP(DATE($K$1,$K$2,VPY$4),Table1[],(MATCH(Calendar!$A18,DB!$1:$1,0)),FALSE)),"")</f>
        <v/>
      </c>
      <c r="VPZ18" s="28" t="str">
        <f>IFERROR(IF(VQI3="No",IF(VLOOKUP(DATE($K$1,$K$2,VPZ$4),Table1[],(MATCH(Calendar!$A18,DB!$1:$1,0)),FALSE)&gt;=5,"Good","Bad"),VLOOKUP(DATE($K$1,$K$2,VPZ$4),Table1[],(MATCH(Calendar!$A18,DB!$1:$1,0)),FALSE)),"")</f>
        <v/>
      </c>
      <c r="VQA18" s="28" t="str">
        <f>IFERROR(IF(VQJ3="No",IF(VLOOKUP(DATE($K$1,$K$2,VQA$4),Table1[],(MATCH(Calendar!$A18,DB!$1:$1,0)),FALSE)&gt;=5,"Good","Bad"),VLOOKUP(DATE($K$1,$K$2,VQA$4),Table1[],(MATCH(Calendar!$A18,DB!$1:$1,0)),FALSE)),"")</f>
        <v/>
      </c>
      <c r="VQB18" s="28" t="str">
        <f>IFERROR(IF(VQK3="No",IF(VLOOKUP(DATE($K$1,$K$2,VQB$4),Table1[],(MATCH(Calendar!$A18,DB!$1:$1,0)),FALSE)&gt;=5,"Good","Bad"),VLOOKUP(DATE($K$1,$K$2,VQB$4),Table1[],(MATCH(Calendar!$A18,DB!$1:$1,0)),FALSE)),"")</f>
        <v/>
      </c>
      <c r="VQC18" s="28" t="str">
        <f>IFERROR(IF(VQL3="No",IF(VLOOKUP(DATE($K$1,$K$2,VQC$4),Table1[],(MATCH(Calendar!$A18,DB!$1:$1,0)),FALSE)&gt;=5,"Good","Bad"),VLOOKUP(DATE($K$1,$K$2,VQC$4),Table1[],(MATCH(Calendar!$A18,DB!$1:$1,0)),FALSE)),"")</f>
        <v/>
      </c>
      <c r="VQD18" s="28" t="str">
        <f>IFERROR(IF(VQM3="No",IF(VLOOKUP(DATE($K$1,$K$2,VQD$4),Table1[],(MATCH(Calendar!$A18,DB!$1:$1,0)),FALSE)&gt;=5,"Good","Bad"),VLOOKUP(DATE($K$1,$K$2,VQD$4),Table1[],(MATCH(Calendar!$A18,DB!$1:$1,0)),FALSE)),"")</f>
        <v/>
      </c>
      <c r="VQE18" s="28" t="str">
        <f>IFERROR(IF(VQN3="No",IF(VLOOKUP(DATE($K$1,$K$2,VQE$4),Table1[],(MATCH(Calendar!$A18,DB!$1:$1,0)),FALSE)&gt;=5,"Good","Bad"),VLOOKUP(DATE($K$1,$K$2,VQE$4),Table1[],(MATCH(Calendar!$A18,DB!$1:$1,0)),FALSE)),"")</f>
        <v/>
      </c>
      <c r="VQF18" s="28" t="str">
        <f>IFERROR(IF(VQO3="No",IF(VLOOKUP(DATE($K$1,$K$2,VQF$4),Table1[],(MATCH(Calendar!$A18,DB!$1:$1,0)),FALSE)&gt;=5,"Good","Bad"),VLOOKUP(DATE($K$1,$K$2,VQF$4),Table1[],(MATCH(Calendar!$A18,DB!$1:$1,0)),FALSE)),"")</f>
        <v/>
      </c>
      <c r="VQG18" s="28" t="str">
        <f>IFERROR(IF(VQP3="No",IF(VLOOKUP(DATE($K$1,$K$2,VQG$4),Table1[],(MATCH(Calendar!$A18,DB!$1:$1,0)),FALSE)&gt;=5,"Good","Bad"),VLOOKUP(DATE($K$1,$K$2,VQG$4),Table1[],(MATCH(Calendar!$A18,DB!$1:$1,0)),FALSE)),"")</f>
        <v/>
      </c>
      <c r="VQH18" s="28" t="str">
        <f>IFERROR(IF(VQQ3="No",IF(VLOOKUP(DATE($K$1,$K$2,VQH$4),Table1[],(MATCH(Calendar!$A18,DB!$1:$1,0)),FALSE)&gt;=5,"Good","Bad"),VLOOKUP(DATE($K$1,$K$2,VQH$4),Table1[],(MATCH(Calendar!$A18,DB!$1:$1,0)),FALSE)),"")</f>
        <v/>
      </c>
      <c r="VQI18" s="28" t="str">
        <f>IFERROR(IF(VQR3="No",IF(VLOOKUP(DATE($K$1,$K$2,VQI$4),Table1[],(MATCH(Calendar!$A18,DB!$1:$1,0)),FALSE)&gt;=5,"Good","Bad"),VLOOKUP(DATE($K$1,$K$2,VQI$4),Table1[],(MATCH(Calendar!$A18,DB!$1:$1,0)),FALSE)),"")</f>
        <v/>
      </c>
      <c r="VQJ18" s="28" t="str">
        <f>IFERROR(IF(VQS3="No",IF(VLOOKUP(DATE($K$1,$K$2,VQJ$4),Table1[],(MATCH(Calendar!$A18,DB!$1:$1,0)),FALSE)&gt;=5,"Good","Bad"),VLOOKUP(DATE($K$1,$K$2,VQJ$4),Table1[],(MATCH(Calendar!$A18,DB!$1:$1,0)),FALSE)),"")</f>
        <v/>
      </c>
      <c r="VQK18" s="28" t="str">
        <f>IFERROR(IF(VQT3="No",IF(VLOOKUP(DATE($K$1,$K$2,VQK$4),Table1[],(MATCH(Calendar!$A18,DB!$1:$1,0)),FALSE)&gt;=5,"Good","Bad"),VLOOKUP(DATE($K$1,$K$2,VQK$4),Table1[],(MATCH(Calendar!$A18,DB!$1:$1,0)),FALSE)),"")</f>
        <v/>
      </c>
      <c r="VQL18" s="28" t="str">
        <f>IFERROR(IF(VQU3="No",IF(VLOOKUP(DATE($K$1,$K$2,VQL$4),Table1[],(MATCH(Calendar!$A18,DB!$1:$1,0)),FALSE)&gt;=5,"Good","Bad"),VLOOKUP(DATE($K$1,$K$2,VQL$4),Table1[],(MATCH(Calendar!$A18,DB!$1:$1,0)),FALSE)),"")</f>
        <v/>
      </c>
      <c r="VQM18" s="28" t="str">
        <f>IFERROR(IF(VQV3="No",IF(VLOOKUP(DATE($K$1,$K$2,VQM$4),Table1[],(MATCH(Calendar!$A18,DB!$1:$1,0)),FALSE)&gt;=5,"Good","Bad"),VLOOKUP(DATE($K$1,$K$2,VQM$4),Table1[],(MATCH(Calendar!$A18,DB!$1:$1,0)),FALSE)),"")</f>
        <v/>
      </c>
      <c r="VQN18" s="28" t="str">
        <f>IFERROR(IF(VQW3="No",IF(VLOOKUP(DATE($K$1,$K$2,VQN$4),Table1[],(MATCH(Calendar!$A18,DB!$1:$1,0)),FALSE)&gt;=5,"Good","Bad"),VLOOKUP(DATE($K$1,$K$2,VQN$4),Table1[],(MATCH(Calendar!$A18,DB!$1:$1,0)),FALSE)),"")</f>
        <v/>
      </c>
      <c r="VQO18" s="28" t="str">
        <f>IFERROR(IF(VQX3="No",IF(VLOOKUP(DATE($K$1,$K$2,VQO$4),Table1[],(MATCH(Calendar!$A18,DB!$1:$1,0)),FALSE)&gt;=5,"Good","Bad"),VLOOKUP(DATE($K$1,$K$2,VQO$4),Table1[],(MATCH(Calendar!$A18,DB!$1:$1,0)),FALSE)),"")</f>
        <v/>
      </c>
      <c r="VQP18" s="28" t="str">
        <f>IFERROR(IF(VQY3="No",IF(VLOOKUP(DATE($K$1,$K$2,VQP$4),Table1[],(MATCH(Calendar!$A18,DB!$1:$1,0)),FALSE)&gt;=5,"Good","Bad"),VLOOKUP(DATE($K$1,$K$2,VQP$4),Table1[],(MATCH(Calendar!$A18,DB!$1:$1,0)),FALSE)),"")</f>
        <v/>
      </c>
      <c r="VQQ18" s="28" t="str">
        <f>IFERROR(IF(VQZ3="No",IF(VLOOKUP(DATE($K$1,$K$2,VQQ$4),Table1[],(MATCH(Calendar!$A18,DB!$1:$1,0)),FALSE)&gt;=5,"Good","Bad"),VLOOKUP(DATE($K$1,$K$2,VQQ$4),Table1[],(MATCH(Calendar!$A18,DB!$1:$1,0)),FALSE)),"")</f>
        <v/>
      </c>
      <c r="VQR18" s="28" t="str">
        <f>IFERROR(IF(VRA3="No",IF(VLOOKUP(DATE($K$1,$K$2,VQR$4),Table1[],(MATCH(Calendar!$A18,DB!$1:$1,0)),FALSE)&gt;=5,"Good","Bad"),VLOOKUP(DATE($K$1,$K$2,VQR$4),Table1[],(MATCH(Calendar!$A18,DB!$1:$1,0)),FALSE)),"")</f>
        <v/>
      </c>
      <c r="VQS18" s="28" t="str">
        <f>IFERROR(IF(VRB3="No",IF(VLOOKUP(DATE($K$1,$K$2,VQS$4),Table1[],(MATCH(Calendar!$A18,DB!$1:$1,0)),FALSE)&gt;=5,"Good","Bad"),VLOOKUP(DATE($K$1,$K$2,VQS$4),Table1[],(MATCH(Calendar!$A18,DB!$1:$1,0)),FALSE)),"")</f>
        <v/>
      </c>
      <c r="VQT18" s="28" t="str">
        <f>IFERROR(IF(VRC3="No",IF(VLOOKUP(DATE($K$1,$K$2,VQT$4),Table1[],(MATCH(Calendar!$A18,DB!$1:$1,0)),FALSE)&gt;=5,"Good","Bad"),VLOOKUP(DATE($K$1,$K$2,VQT$4),Table1[],(MATCH(Calendar!$A18,DB!$1:$1,0)),FALSE)),"")</f>
        <v/>
      </c>
      <c r="VQU18" s="28" t="str">
        <f>IFERROR(IF(VRD3="No",IF(VLOOKUP(DATE($K$1,$K$2,VQU$4),Table1[],(MATCH(Calendar!$A18,DB!$1:$1,0)),FALSE)&gt;=5,"Good","Bad"),VLOOKUP(DATE($K$1,$K$2,VQU$4),Table1[],(MATCH(Calendar!$A18,DB!$1:$1,0)),FALSE)),"")</f>
        <v/>
      </c>
      <c r="VQV18" s="28" t="str">
        <f>IFERROR(IF(VRE3="No",IF(VLOOKUP(DATE($K$1,$K$2,VQV$4),Table1[],(MATCH(Calendar!$A18,DB!$1:$1,0)),FALSE)&gt;=5,"Good","Bad"),VLOOKUP(DATE($K$1,$K$2,VQV$4),Table1[],(MATCH(Calendar!$A18,DB!$1:$1,0)),FALSE)),"")</f>
        <v/>
      </c>
      <c r="VQW18" s="28" t="str">
        <f>IFERROR(IF(VRF3="No",IF(VLOOKUP(DATE($K$1,$K$2,VQW$4),Table1[],(MATCH(Calendar!$A18,DB!$1:$1,0)),FALSE)&gt;=5,"Good","Bad"),VLOOKUP(DATE($K$1,$K$2,VQW$4),Table1[],(MATCH(Calendar!$A18,DB!$1:$1,0)),FALSE)),"")</f>
        <v/>
      </c>
      <c r="VQX18" s="28" t="str">
        <f>IFERROR(IF(VRG3="No",IF(VLOOKUP(DATE($K$1,$K$2,VQX$4),Table1[],(MATCH(Calendar!$A18,DB!$1:$1,0)),FALSE)&gt;=5,"Good","Bad"),VLOOKUP(DATE($K$1,$K$2,VQX$4),Table1[],(MATCH(Calendar!$A18,DB!$1:$1,0)),FALSE)),"")</f>
        <v/>
      </c>
      <c r="VQY18" s="28" t="str">
        <f>IFERROR(IF(VRH3="No",IF(VLOOKUP(DATE($K$1,$K$2,VQY$4),Table1[],(MATCH(Calendar!$A18,DB!$1:$1,0)),FALSE)&gt;=5,"Good","Bad"),VLOOKUP(DATE($K$1,$K$2,VQY$4),Table1[],(MATCH(Calendar!$A18,DB!$1:$1,0)),FALSE)),"")</f>
        <v/>
      </c>
      <c r="VQZ18" s="28" t="str">
        <f>IFERROR(IF(VRI3="No",IF(VLOOKUP(DATE($K$1,$K$2,VQZ$4),Table1[],(MATCH(Calendar!$A18,DB!$1:$1,0)),FALSE)&gt;=5,"Good","Bad"),VLOOKUP(DATE($K$1,$K$2,VQZ$4),Table1[],(MATCH(Calendar!$A18,DB!$1:$1,0)),FALSE)),"")</f>
        <v/>
      </c>
      <c r="VRA18" s="28" t="str">
        <f>IFERROR(IF(VRJ3="No",IF(VLOOKUP(DATE($K$1,$K$2,VRA$4),Table1[],(MATCH(Calendar!$A18,DB!$1:$1,0)),FALSE)&gt;=5,"Good","Bad"),VLOOKUP(DATE($K$1,$K$2,VRA$4),Table1[],(MATCH(Calendar!$A18,DB!$1:$1,0)),FALSE)),"")</f>
        <v/>
      </c>
      <c r="VRB18" s="28" t="str">
        <f>IFERROR(IF(VRK3="No",IF(VLOOKUP(DATE($K$1,$K$2,VRB$4),Table1[],(MATCH(Calendar!$A18,DB!$1:$1,0)),FALSE)&gt;=5,"Good","Bad"),VLOOKUP(DATE($K$1,$K$2,VRB$4),Table1[],(MATCH(Calendar!$A18,DB!$1:$1,0)),FALSE)),"")</f>
        <v/>
      </c>
      <c r="VRC18" s="28" t="str">
        <f>IFERROR(IF(VRL3="No",IF(VLOOKUP(DATE($K$1,$K$2,VRC$4),Table1[],(MATCH(Calendar!$A18,DB!$1:$1,0)),FALSE)&gt;=5,"Good","Bad"),VLOOKUP(DATE($K$1,$K$2,VRC$4),Table1[],(MATCH(Calendar!$A18,DB!$1:$1,0)),FALSE)),"")</f>
        <v/>
      </c>
      <c r="VRD18" s="28" t="str">
        <f>IFERROR(IF(VRM3="No",IF(VLOOKUP(DATE($K$1,$K$2,VRD$4),Table1[],(MATCH(Calendar!$A18,DB!$1:$1,0)),FALSE)&gt;=5,"Good","Bad"),VLOOKUP(DATE($K$1,$K$2,VRD$4),Table1[],(MATCH(Calendar!$A18,DB!$1:$1,0)),FALSE)),"")</f>
        <v/>
      </c>
      <c r="VRE18" s="28" t="str">
        <f>IFERROR(IF(VRN3="No",IF(VLOOKUP(DATE($K$1,$K$2,VRE$4),Table1[],(MATCH(Calendar!$A18,DB!$1:$1,0)),FALSE)&gt;=5,"Good","Bad"),VLOOKUP(DATE($K$1,$K$2,VRE$4),Table1[],(MATCH(Calendar!$A18,DB!$1:$1,0)),FALSE)),"")</f>
        <v/>
      </c>
      <c r="VRF18" s="28" t="str">
        <f>IFERROR(IF(VRO3="No",IF(VLOOKUP(DATE($K$1,$K$2,VRF$4),Table1[],(MATCH(Calendar!$A18,DB!$1:$1,0)),FALSE)&gt;=5,"Good","Bad"),VLOOKUP(DATE($K$1,$K$2,VRF$4),Table1[],(MATCH(Calendar!$A18,DB!$1:$1,0)),FALSE)),"")</f>
        <v/>
      </c>
      <c r="VRG18" s="28" t="str">
        <f>IFERROR(IF(VRP3="No",IF(VLOOKUP(DATE($K$1,$K$2,VRG$4),Table1[],(MATCH(Calendar!$A18,DB!$1:$1,0)),FALSE)&gt;=5,"Good","Bad"),VLOOKUP(DATE($K$1,$K$2,VRG$4),Table1[],(MATCH(Calendar!$A18,DB!$1:$1,0)),FALSE)),"")</f>
        <v/>
      </c>
      <c r="VRH18" s="28" t="str">
        <f>IFERROR(IF(VRQ3="No",IF(VLOOKUP(DATE($K$1,$K$2,VRH$4),Table1[],(MATCH(Calendar!$A18,DB!$1:$1,0)),FALSE)&gt;=5,"Good","Bad"),VLOOKUP(DATE($K$1,$K$2,VRH$4),Table1[],(MATCH(Calendar!$A18,DB!$1:$1,0)),FALSE)),"")</f>
        <v/>
      </c>
      <c r="VRI18" s="28" t="str">
        <f>IFERROR(IF(VRR3="No",IF(VLOOKUP(DATE($K$1,$K$2,VRI$4),Table1[],(MATCH(Calendar!$A18,DB!$1:$1,0)),FALSE)&gt;=5,"Good","Bad"),VLOOKUP(DATE($K$1,$K$2,VRI$4),Table1[],(MATCH(Calendar!$A18,DB!$1:$1,0)),FALSE)),"")</f>
        <v/>
      </c>
      <c r="VRJ18" s="28" t="str">
        <f>IFERROR(IF(VRS3="No",IF(VLOOKUP(DATE($K$1,$K$2,VRJ$4),Table1[],(MATCH(Calendar!$A18,DB!$1:$1,0)),FALSE)&gt;=5,"Good","Bad"),VLOOKUP(DATE($K$1,$K$2,VRJ$4),Table1[],(MATCH(Calendar!$A18,DB!$1:$1,0)),FALSE)),"")</f>
        <v/>
      </c>
      <c r="VRK18" s="28" t="str">
        <f>IFERROR(IF(VRT3="No",IF(VLOOKUP(DATE($K$1,$K$2,VRK$4),Table1[],(MATCH(Calendar!$A18,DB!$1:$1,0)),FALSE)&gt;=5,"Good","Bad"),VLOOKUP(DATE($K$1,$K$2,VRK$4),Table1[],(MATCH(Calendar!$A18,DB!$1:$1,0)),FALSE)),"")</f>
        <v/>
      </c>
      <c r="VRL18" s="28" t="str">
        <f>IFERROR(IF(VRU3="No",IF(VLOOKUP(DATE($K$1,$K$2,VRL$4),Table1[],(MATCH(Calendar!$A18,DB!$1:$1,0)),FALSE)&gt;=5,"Good","Bad"),VLOOKUP(DATE($K$1,$K$2,VRL$4),Table1[],(MATCH(Calendar!$A18,DB!$1:$1,0)),FALSE)),"")</f>
        <v/>
      </c>
      <c r="VRM18" s="28" t="str">
        <f>IFERROR(IF(VRV3="No",IF(VLOOKUP(DATE($K$1,$K$2,VRM$4),Table1[],(MATCH(Calendar!$A18,DB!$1:$1,0)),FALSE)&gt;=5,"Good","Bad"),VLOOKUP(DATE($K$1,$K$2,VRM$4),Table1[],(MATCH(Calendar!$A18,DB!$1:$1,0)),FALSE)),"")</f>
        <v/>
      </c>
      <c r="VRN18" s="28" t="str">
        <f>IFERROR(IF(VRW3="No",IF(VLOOKUP(DATE($K$1,$K$2,VRN$4),Table1[],(MATCH(Calendar!$A18,DB!$1:$1,0)),FALSE)&gt;=5,"Good","Bad"),VLOOKUP(DATE($K$1,$K$2,VRN$4),Table1[],(MATCH(Calendar!$A18,DB!$1:$1,0)),FALSE)),"")</f>
        <v/>
      </c>
      <c r="VRO18" s="28" t="str">
        <f>IFERROR(IF(VRX3="No",IF(VLOOKUP(DATE($K$1,$K$2,VRO$4),Table1[],(MATCH(Calendar!$A18,DB!$1:$1,0)),FALSE)&gt;=5,"Good","Bad"),VLOOKUP(DATE($K$1,$K$2,VRO$4),Table1[],(MATCH(Calendar!$A18,DB!$1:$1,0)),FALSE)),"")</f>
        <v/>
      </c>
      <c r="VRP18" s="28" t="str">
        <f>IFERROR(IF(VRY3="No",IF(VLOOKUP(DATE($K$1,$K$2,VRP$4),Table1[],(MATCH(Calendar!$A18,DB!$1:$1,0)),FALSE)&gt;=5,"Good","Bad"),VLOOKUP(DATE($K$1,$K$2,VRP$4),Table1[],(MATCH(Calendar!$A18,DB!$1:$1,0)),FALSE)),"")</f>
        <v/>
      </c>
      <c r="VRQ18" s="28" t="str">
        <f>IFERROR(IF(VRZ3="No",IF(VLOOKUP(DATE($K$1,$K$2,VRQ$4),Table1[],(MATCH(Calendar!$A18,DB!$1:$1,0)),FALSE)&gt;=5,"Good","Bad"),VLOOKUP(DATE($K$1,$K$2,VRQ$4),Table1[],(MATCH(Calendar!$A18,DB!$1:$1,0)),FALSE)),"")</f>
        <v/>
      </c>
      <c r="VRR18" s="28" t="str">
        <f>IFERROR(IF(VSA3="No",IF(VLOOKUP(DATE($K$1,$K$2,VRR$4),Table1[],(MATCH(Calendar!$A18,DB!$1:$1,0)),FALSE)&gt;=5,"Good","Bad"),VLOOKUP(DATE($K$1,$K$2,VRR$4),Table1[],(MATCH(Calendar!$A18,DB!$1:$1,0)),FALSE)),"")</f>
        <v/>
      </c>
      <c r="VRS18" s="28" t="str">
        <f>IFERROR(IF(VSB3="No",IF(VLOOKUP(DATE($K$1,$K$2,VRS$4),Table1[],(MATCH(Calendar!$A18,DB!$1:$1,0)),FALSE)&gt;=5,"Good","Bad"),VLOOKUP(DATE($K$1,$K$2,VRS$4),Table1[],(MATCH(Calendar!$A18,DB!$1:$1,0)),FALSE)),"")</f>
        <v/>
      </c>
      <c r="VRT18" s="28" t="str">
        <f>IFERROR(IF(VSC3="No",IF(VLOOKUP(DATE($K$1,$K$2,VRT$4),Table1[],(MATCH(Calendar!$A18,DB!$1:$1,0)),FALSE)&gt;=5,"Good","Bad"),VLOOKUP(DATE($K$1,$K$2,VRT$4),Table1[],(MATCH(Calendar!$A18,DB!$1:$1,0)),FALSE)),"")</f>
        <v/>
      </c>
      <c r="VRU18" s="28" t="str">
        <f>IFERROR(IF(VSD3="No",IF(VLOOKUP(DATE($K$1,$K$2,VRU$4),Table1[],(MATCH(Calendar!$A18,DB!$1:$1,0)),FALSE)&gt;=5,"Good","Bad"),VLOOKUP(DATE($K$1,$K$2,VRU$4),Table1[],(MATCH(Calendar!$A18,DB!$1:$1,0)),FALSE)),"")</f>
        <v/>
      </c>
      <c r="VRV18" s="28" t="str">
        <f>IFERROR(IF(VSE3="No",IF(VLOOKUP(DATE($K$1,$K$2,VRV$4),Table1[],(MATCH(Calendar!$A18,DB!$1:$1,0)),FALSE)&gt;=5,"Good","Bad"),VLOOKUP(DATE($K$1,$K$2,VRV$4),Table1[],(MATCH(Calendar!$A18,DB!$1:$1,0)),FALSE)),"")</f>
        <v/>
      </c>
      <c r="VRW18" s="28" t="str">
        <f>IFERROR(IF(VSF3="No",IF(VLOOKUP(DATE($K$1,$K$2,VRW$4),Table1[],(MATCH(Calendar!$A18,DB!$1:$1,0)),FALSE)&gt;=5,"Good","Bad"),VLOOKUP(DATE($K$1,$K$2,VRW$4),Table1[],(MATCH(Calendar!$A18,DB!$1:$1,0)),FALSE)),"")</f>
        <v/>
      </c>
      <c r="VRX18" s="28" t="str">
        <f>IFERROR(IF(VSG3="No",IF(VLOOKUP(DATE($K$1,$K$2,VRX$4),Table1[],(MATCH(Calendar!$A18,DB!$1:$1,0)),FALSE)&gt;=5,"Good","Bad"),VLOOKUP(DATE($K$1,$K$2,VRX$4),Table1[],(MATCH(Calendar!$A18,DB!$1:$1,0)),FALSE)),"")</f>
        <v/>
      </c>
      <c r="VRY18" s="28" t="str">
        <f>IFERROR(IF(VSH3="No",IF(VLOOKUP(DATE($K$1,$K$2,VRY$4),Table1[],(MATCH(Calendar!$A18,DB!$1:$1,0)),FALSE)&gt;=5,"Good","Bad"),VLOOKUP(DATE($K$1,$K$2,VRY$4),Table1[],(MATCH(Calendar!$A18,DB!$1:$1,0)),FALSE)),"")</f>
        <v/>
      </c>
      <c r="VRZ18" s="28" t="str">
        <f>IFERROR(IF(VSI3="No",IF(VLOOKUP(DATE($K$1,$K$2,VRZ$4),Table1[],(MATCH(Calendar!$A18,DB!$1:$1,0)),FALSE)&gt;=5,"Good","Bad"),VLOOKUP(DATE($K$1,$K$2,VRZ$4),Table1[],(MATCH(Calendar!$A18,DB!$1:$1,0)),FALSE)),"")</f>
        <v/>
      </c>
      <c r="VSA18" s="28" t="str">
        <f>IFERROR(IF(VSJ3="No",IF(VLOOKUP(DATE($K$1,$K$2,VSA$4),Table1[],(MATCH(Calendar!$A18,DB!$1:$1,0)),FALSE)&gt;=5,"Good","Bad"),VLOOKUP(DATE($K$1,$K$2,VSA$4),Table1[],(MATCH(Calendar!$A18,DB!$1:$1,0)),FALSE)),"")</f>
        <v/>
      </c>
      <c r="VSB18" s="28" t="str">
        <f>IFERROR(IF(VSK3="No",IF(VLOOKUP(DATE($K$1,$K$2,VSB$4),Table1[],(MATCH(Calendar!$A18,DB!$1:$1,0)),FALSE)&gt;=5,"Good","Bad"),VLOOKUP(DATE($K$1,$K$2,VSB$4),Table1[],(MATCH(Calendar!$A18,DB!$1:$1,0)),FALSE)),"")</f>
        <v/>
      </c>
      <c r="VSC18" s="28" t="str">
        <f>IFERROR(IF(VSL3="No",IF(VLOOKUP(DATE($K$1,$K$2,VSC$4),Table1[],(MATCH(Calendar!$A18,DB!$1:$1,0)),FALSE)&gt;=5,"Good","Bad"),VLOOKUP(DATE($K$1,$K$2,VSC$4),Table1[],(MATCH(Calendar!$A18,DB!$1:$1,0)),FALSE)),"")</f>
        <v/>
      </c>
      <c r="VSD18" s="28" t="str">
        <f>IFERROR(IF(VSM3="No",IF(VLOOKUP(DATE($K$1,$K$2,VSD$4),Table1[],(MATCH(Calendar!$A18,DB!$1:$1,0)),FALSE)&gt;=5,"Good","Bad"),VLOOKUP(DATE($K$1,$K$2,VSD$4),Table1[],(MATCH(Calendar!$A18,DB!$1:$1,0)),FALSE)),"")</f>
        <v/>
      </c>
      <c r="VSE18" s="28" t="str">
        <f>IFERROR(IF(VSN3="No",IF(VLOOKUP(DATE($K$1,$K$2,VSE$4),Table1[],(MATCH(Calendar!$A18,DB!$1:$1,0)),FALSE)&gt;=5,"Good","Bad"),VLOOKUP(DATE($K$1,$K$2,VSE$4),Table1[],(MATCH(Calendar!$A18,DB!$1:$1,0)),FALSE)),"")</f>
        <v/>
      </c>
      <c r="VSF18" s="28" t="str">
        <f>IFERROR(IF(VSO3="No",IF(VLOOKUP(DATE($K$1,$K$2,VSF$4),Table1[],(MATCH(Calendar!$A18,DB!$1:$1,0)),FALSE)&gt;=5,"Good","Bad"),VLOOKUP(DATE($K$1,$K$2,VSF$4),Table1[],(MATCH(Calendar!$A18,DB!$1:$1,0)),FALSE)),"")</f>
        <v/>
      </c>
      <c r="VSG18" s="28" t="str">
        <f>IFERROR(IF(VSP3="No",IF(VLOOKUP(DATE($K$1,$K$2,VSG$4),Table1[],(MATCH(Calendar!$A18,DB!$1:$1,0)),FALSE)&gt;=5,"Good","Bad"),VLOOKUP(DATE($K$1,$K$2,VSG$4),Table1[],(MATCH(Calendar!$A18,DB!$1:$1,0)),FALSE)),"")</f>
        <v/>
      </c>
      <c r="VSH18" s="28" t="str">
        <f>IFERROR(IF(VSQ3="No",IF(VLOOKUP(DATE($K$1,$K$2,VSH$4),Table1[],(MATCH(Calendar!$A18,DB!$1:$1,0)),FALSE)&gt;=5,"Good","Bad"),VLOOKUP(DATE($K$1,$K$2,VSH$4),Table1[],(MATCH(Calendar!$A18,DB!$1:$1,0)),FALSE)),"")</f>
        <v/>
      </c>
      <c r="VSI18" s="28" t="str">
        <f>IFERROR(IF(VSR3="No",IF(VLOOKUP(DATE($K$1,$K$2,VSI$4),Table1[],(MATCH(Calendar!$A18,DB!$1:$1,0)),FALSE)&gt;=5,"Good","Bad"),VLOOKUP(DATE($K$1,$K$2,VSI$4),Table1[],(MATCH(Calendar!$A18,DB!$1:$1,0)),FALSE)),"")</f>
        <v/>
      </c>
      <c r="VSJ18" s="28" t="str">
        <f>IFERROR(IF(VSS3="No",IF(VLOOKUP(DATE($K$1,$K$2,VSJ$4),Table1[],(MATCH(Calendar!$A18,DB!$1:$1,0)),FALSE)&gt;=5,"Good","Bad"),VLOOKUP(DATE($K$1,$K$2,VSJ$4),Table1[],(MATCH(Calendar!$A18,DB!$1:$1,0)),FALSE)),"")</f>
        <v/>
      </c>
      <c r="VSK18" s="28" t="str">
        <f>IFERROR(IF(VST3="No",IF(VLOOKUP(DATE($K$1,$K$2,VSK$4),Table1[],(MATCH(Calendar!$A18,DB!$1:$1,0)),FALSE)&gt;=5,"Good","Bad"),VLOOKUP(DATE($K$1,$K$2,VSK$4),Table1[],(MATCH(Calendar!$A18,DB!$1:$1,0)),FALSE)),"")</f>
        <v/>
      </c>
      <c r="VSL18" s="28" t="str">
        <f>IFERROR(IF(VSU3="No",IF(VLOOKUP(DATE($K$1,$K$2,VSL$4),Table1[],(MATCH(Calendar!$A18,DB!$1:$1,0)),FALSE)&gt;=5,"Good","Bad"),VLOOKUP(DATE($K$1,$K$2,VSL$4),Table1[],(MATCH(Calendar!$A18,DB!$1:$1,0)),FALSE)),"")</f>
        <v/>
      </c>
      <c r="VSM18" s="28" t="str">
        <f>IFERROR(IF(VSV3="No",IF(VLOOKUP(DATE($K$1,$K$2,VSM$4),Table1[],(MATCH(Calendar!$A18,DB!$1:$1,0)),FALSE)&gt;=5,"Good","Bad"),VLOOKUP(DATE($K$1,$K$2,VSM$4),Table1[],(MATCH(Calendar!$A18,DB!$1:$1,0)),FALSE)),"")</f>
        <v/>
      </c>
      <c r="VSN18" s="28" t="str">
        <f>IFERROR(IF(VSW3="No",IF(VLOOKUP(DATE($K$1,$K$2,VSN$4),Table1[],(MATCH(Calendar!$A18,DB!$1:$1,0)),FALSE)&gt;=5,"Good","Bad"),VLOOKUP(DATE($K$1,$K$2,VSN$4),Table1[],(MATCH(Calendar!$A18,DB!$1:$1,0)),FALSE)),"")</f>
        <v/>
      </c>
      <c r="VSO18" s="28" t="str">
        <f>IFERROR(IF(VSX3="No",IF(VLOOKUP(DATE($K$1,$K$2,VSO$4),Table1[],(MATCH(Calendar!$A18,DB!$1:$1,0)),FALSE)&gt;=5,"Good","Bad"),VLOOKUP(DATE($K$1,$K$2,VSO$4),Table1[],(MATCH(Calendar!$A18,DB!$1:$1,0)),FALSE)),"")</f>
        <v/>
      </c>
      <c r="VSP18" s="28" t="str">
        <f>IFERROR(IF(VSY3="No",IF(VLOOKUP(DATE($K$1,$K$2,VSP$4),Table1[],(MATCH(Calendar!$A18,DB!$1:$1,0)),FALSE)&gt;=5,"Good","Bad"),VLOOKUP(DATE($K$1,$K$2,VSP$4),Table1[],(MATCH(Calendar!$A18,DB!$1:$1,0)),FALSE)),"")</f>
        <v/>
      </c>
      <c r="VSQ18" s="28" t="str">
        <f>IFERROR(IF(VSZ3="No",IF(VLOOKUP(DATE($K$1,$K$2,VSQ$4),Table1[],(MATCH(Calendar!$A18,DB!$1:$1,0)),FALSE)&gt;=5,"Good","Bad"),VLOOKUP(DATE($K$1,$K$2,VSQ$4),Table1[],(MATCH(Calendar!$A18,DB!$1:$1,0)),FALSE)),"")</f>
        <v/>
      </c>
      <c r="VSR18" s="28" t="str">
        <f>IFERROR(IF(VTA3="No",IF(VLOOKUP(DATE($K$1,$K$2,VSR$4),Table1[],(MATCH(Calendar!$A18,DB!$1:$1,0)),FALSE)&gt;=5,"Good","Bad"),VLOOKUP(DATE($K$1,$K$2,VSR$4),Table1[],(MATCH(Calendar!$A18,DB!$1:$1,0)),FALSE)),"")</f>
        <v/>
      </c>
      <c r="VSS18" s="28" t="str">
        <f>IFERROR(IF(VTB3="No",IF(VLOOKUP(DATE($K$1,$K$2,VSS$4),Table1[],(MATCH(Calendar!$A18,DB!$1:$1,0)),FALSE)&gt;=5,"Good","Bad"),VLOOKUP(DATE($K$1,$K$2,VSS$4),Table1[],(MATCH(Calendar!$A18,DB!$1:$1,0)),FALSE)),"")</f>
        <v/>
      </c>
      <c r="VST18" s="28" t="str">
        <f>IFERROR(IF(VTC3="No",IF(VLOOKUP(DATE($K$1,$K$2,VST$4),Table1[],(MATCH(Calendar!$A18,DB!$1:$1,0)),FALSE)&gt;=5,"Good","Bad"),VLOOKUP(DATE($K$1,$K$2,VST$4),Table1[],(MATCH(Calendar!$A18,DB!$1:$1,0)),FALSE)),"")</f>
        <v/>
      </c>
      <c r="VSU18" s="28" t="str">
        <f>IFERROR(IF(VTD3="No",IF(VLOOKUP(DATE($K$1,$K$2,VSU$4),Table1[],(MATCH(Calendar!$A18,DB!$1:$1,0)),FALSE)&gt;=5,"Good","Bad"),VLOOKUP(DATE($K$1,$K$2,VSU$4),Table1[],(MATCH(Calendar!$A18,DB!$1:$1,0)),FALSE)),"")</f>
        <v/>
      </c>
      <c r="VSV18" s="28" t="str">
        <f>IFERROR(IF(VTE3="No",IF(VLOOKUP(DATE($K$1,$K$2,VSV$4),Table1[],(MATCH(Calendar!$A18,DB!$1:$1,0)),FALSE)&gt;=5,"Good","Bad"),VLOOKUP(DATE($K$1,$K$2,VSV$4),Table1[],(MATCH(Calendar!$A18,DB!$1:$1,0)),FALSE)),"")</f>
        <v/>
      </c>
      <c r="VSW18" s="28" t="str">
        <f>IFERROR(IF(VTF3="No",IF(VLOOKUP(DATE($K$1,$K$2,VSW$4),Table1[],(MATCH(Calendar!$A18,DB!$1:$1,0)),FALSE)&gt;=5,"Good","Bad"),VLOOKUP(DATE($K$1,$K$2,VSW$4),Table1[],(MATCH(Calendar!$A18,DB!$1:$1,0)),FALSE)),"")</f>
        <v/>
      </c>
      <c r="VSX18" s="28" t="str">
        <f>IFERROR(IF(VTG3="No",IF(VLOOKUP(DATE($K$1,$K$2,VSX$4),Table1[],(MATCH(Calendar!$A18,DB!$1:$1,0)),FALSE)&gt;=5,"Good","Bad"),VLOOKUP(DATE($K$1,$K$2,VSX$4),Table1[],(MATCH(Calendar!$A18,DB!$1:$1,0)),FALSE)),"")</f>
        <v/>
      </c>
      <c r="VSY18" s="28" t="str">
        <f>IFERROR(IF(VTH3="No",IF(VLOOKUP(DATE($K$1,$K$2,VSY$4),Table1[],(MATCH(Calendar!$A18,DB!$1:$1,0)),FALSE)&gt;=5,"Good","Bad"),VLOOKUP(DATE($K$1,$K$2,VSY$4),Table1[],(MATCH(Calendar!$A18,DB!$1:$1,0)),FALSE)),"")</f>
        <v/>
      </c>
      <c r="VSZ18" s="28" t="str">
        <f>IFERROR(IF(VTI3="No",IF(VLOOKUP(DATE($K$1,$K$2,VSZ$4),Table1[],(MATCH(Calendar!$A18,DB!$1:$1,0)),FALSE)&gt;=5,"Good","Bad"),VLOOKUP(DATE($K$1,$K$2,VSZ$4),Table1[],(MATCH(Calendar!$A18,DB!$1:$1,0)),FALSE)),"")</f>
        <v/>
      </c>
      <c r="VTA18" s="28" t="str">
        <f>IFERROR(IF(VTJ3="No",IF(VLOOKUP(DATE($K$1,$K$2,VTA$4),Table1[],(MATCH(Calendar!$A18,DB!$1:$1,0)),FALSE)&gt;=5,"Good","Bad"),VLOOKUP(DATE($K$1,$K$2,VTA$4),Table1[],(MATCH(Calendar!$A18,DB!$1:$1,0)),FALSE)),"")</f>
        <v/>
      </c>
      <c r="VTB18" s="28" t="str">
        <f>IFERROR(IF(VTK3="No",IF(VLOOKUP(DATE($K$1,$K$2,VTB$4),Table1[],(MATCH(Calendar!$A18,DB!$1:$1,0)),FALSE)&gt;=5,"Good","Bad"),VLOOKUP(DATE($K$1,$K$2,VTB$4),Table1[],(MATCH(Calendar!$A18,DB!$1:$1,0)),FALSE)),"")</f>
        <v/>
      </c>
      <c r="VTC18" s="28" t="str">
        <f>IFERROR(IF(VTL3="No",IF(VLOOKUP(DATE($K$1,$K$2,VTC$4),Table1[],(MATCH(Calendar!$A18,DB!$1:$1,0)),FALSE)&gt;=5,"Good","Bad"),VLOOKUP(DATE($K$1,$K$2,VTC$4),Table1[],(MATCH(Calendar!$A18,DB!$1:$1,0)),FALSE)),"")</f>
        <v/>
      </c>
      <c r="VTD18" s="28" t="str">
        <f>IFERROR(IF(VTM3="No",IF(VLOOKUP(DATE($K$1,$K$2,VTD$4),Table1[],(MATCH(Calendar!$A18,DB!$1:$1,0)),FALSE)&gt;=5,"Good","Bad"),VLOOKUP(DATE($K$1,$K$2,VTD$4),Table1[],(MATCH(Calendar!$A18,DB!$1:$1,0)),FALSE)),"")</f>
        <v/>
      </c>
      <c r="VTE18" s="28" t="str">
        <f>IFERROR(IF(VTN3="No",IF(VLOOKUP(DATE($K$1,$K$2,VTE$4),Table1[],(MATCH(Calendar!$A18,DB!$1:$1,0)),FALSE)&gt;=5,"Good","Bad"),VLOOKUP(DATE($K$1,$K$2,VTE$4),Table1[],(MATCH(Calendar!$A18,DB!$1:$1,0)),FALSE)),"")</f>
        <v/>
      </c>
      <c r="VTF18" s="28" t="str">
        <f>IFERROR(IF(VTO3="No",IF(VLOOKUP(DATE($K$1,$K$2,VTF$4),Table1[],(MATCH(Calendar!$A18,DB!$1:$1,0)),FALSE)&gt;=5,"Good","Bad"),VLOOKUP(DATE($K$1,$K$2,VTF$4),Table1[],(MATCH(Calendar!$A18,DB!$1:$1,0)),FALSE)),"")</f>
        <v/>
      </c>
      <c r="VTG18" s="28" t="str">
        <f>IFERROR(IF(VTP3="No",IF(VLOOKUP(DATE($K$1,$K$2,VTG$4),Table1[],(MATCH(Calendar!$A18,DB!$1:$1,0)),FALSE)&gt;=5,"Good","Bad"),VLOOKUP(DATE($K$1,$K$2,VTG$4),Table1[],(MATCH(Calendar!$A18,DB!$1:$1,0)),FALSE)),"")</f>
        <v/>
      </c>
      <c r="VTH18" s="28" t="str">
        <f>IFERROR(IF(VTQ3="No",IF(VLOOKUP(DATE($K$1,$K$2,VTH$4),Table1[],(MATCH(Calendar!$A18,DB!$1:$1,0)),FALSE)&gt;=5,"Good","Bad"),VLOOKUP(DATE($K$1,$K$2,VTH$4),Table1[],(MATCH(Calendar!$A18,DB!$1:$1,0)),FALSE)),"")</f>
        <v/>
      </c>
      <c r="VTI18" s="28" t="str">
        <f>IFERROR(IF(VTR3="No",IF(VLOOKUP(DATE($K$1,$K$2,VTI$4),Table1[],(MATCH(Calendar!$A18,DB!$1:$1,0)),FALSE)&gt;=5,"Good","Bad"),VLOOKUP(DATE($K$1,$K$2,VTI$4),Table1[],(MATCH(Calendar!$A18,DB!$1:$1,0)),FALSE)),"")</f>
        <v/>
      </c>
      <c r="VTJ18" s="28" t="str">
        <f>IFERROR(IF(VTS3="No",IF(VLOOKUP(DATE($K$1,$K$2,VTJ$4),Table1[],(MATCH(Calendar!$A18,DB!$1:$1,0)),FALSE)&gt;=5,"Good","Bad"),VLOOKUP(DATE($K$1,$K$2,VTJ$4),Table1[],(MATCH(Calendar!$A18,DB!$1:$1,0)),FALSE)),"")</f>
        <v/>
      </c>
      <c r="VTK18" s="28" t="str">
        <f>IFERROR(IF(VTT3="No",IF(VLOOKUP(DATE($K$1,$K$2,VTK$4),Table1[],(MATCH(Calendar!$A18,DB!$1:$1,0)),FALSE)&gt;=5,"Good","Bad"),VLOOKUP(DATE($K$1,$K$2,VTK$4),Table1[],(MATCH(Calendar!$A18,DB!$1:$1,0)),FALSE)),"")</f>
        <v/>
      </c>
      <c r="VTL18" s="28" t="str">
        <f>IFERROR(IF(VTU3="No",IF(VLOOKUP(DATE($K$1,$K$2,VTL$4),Table1[],(MATCH(Calendar!$A18,DB!$1:$1,0)),FALSE)&gt;=5,"Good","Bad"),VLOOKUP(DATE($K$1,$K$2,VTL$4),Table1[],(MATCH(Calendar!$A18,DB!$1:$1,0)),FALSE)),"")</f>
        <v/>
      </c>
      <c r="VTM18" s="28" t="str">
        <f>IFERROR(IF(VTV3="No",IF(VLOOKUP(DATE($K$1,$K$2,VTM$4),Table1[],(MATCH(Calendar!$A18,DB!$1:$1,0)),FALSE)&gt;=5,"Good","Bad"),VLOOKUP(DATE($K$1,$K$2,VTM$4),Table1[],(MATCH(Calendar!$A18,DB!$1:$1,0)),FALSE)),"")</f>
        <v/>
      </c>
      <c r="VTN18" s="28" t="str">
        <f>IFERROR(IF(VTW3="No",IF(VLOOKUP(DATE($K$1,$K$2,VTN$4),Table1[],(MATCH(Calendar!$A18,DB!$1:$1,0)),FALSE)&gt;=5,"Good","Bad"),VLOOKUP(DATE($K$1,$K$2,VTN$4),Table1[],(MATCH(Calendar!$A18,DB!$1:$1,0)),FALSE)),"")</f>
        <v/>
      </c>
      <c r="VTO18" s="28" t="str">
        <f>IFERROR(IF(VTX3="No",IF(VLOOKUP(DATE($K$1,$K$2,VTO$4),Table1[],(MATCH(Calendar!$A18,DB!$1:$1,0)),FALSE)&gt;=5,"Good","Bad"),VLOOKUP(DATE($K$1,$K$2,VTO$4),Table1[],(MATCH(Calendar!$A18,DB!$1:$1,0)),FALSE)),"")</f>
        <v/>
      </c>
      <c r="VTP18" s="28" t="str">
        <f>IFERROR(IF(VTY3="No",IF(VLOOKUP(DATE($K$1,$K$2,VTP$4),Table1[],(MATCH(Calendar!$A18,DB!$1:$1,0)),FALSE)&gt;=5,"Good","Bad"),VLOOKUP(DATE($K$1,$K$2,VTP$4),Table1[],(MATCH(Calendar!$A18,DB!$1:$1,0)),FALSE)),"")</f>
        <v/>
      </c>
      <c r="VTQ18" s="28" t="str">
        <f>IFERROR(IF(VTZ3="No",IF(VLOOKUP(DATE($K$1,$K$2,VTQ$4),Table1[],(MATCH(Calendar!$A18,DB!$1:$1,0)),FALSE)&gt;=5,"Good","Bad"),VLOOKUP(DATE($K$1,$K$2,VTQ$4),Table1[],(MATCH(Calendar!$A18,DB!$1:$1,0)),FALSE)),"")</f>
        <v/>
      </c>
      <c r="VTR18" s="28" t="str">
        <f>IFERROR(IF(VUA3="No",IF(VLOOKUP(DATE($K$1,$K$2,VTR$4),Table1[],(MATCH(Calendar!$A18,DB!$1:$1,0)),FALSE)&gt;=5,"Good","Bad"),VLOOKUP(DATE($K$1,$K$2,VTR$4),Table1[],(MATCH(Calendar!$A18,DB!$1:$1,0)),FALSE)),"")</f>
        <v/>
      </c>
      <c r="VTS18" s="28" t="str">
        <f>IFERROR(IF(VUB3="No",IF(VLOOKUP(DATE($K$1,$K$2,VTS$4),Table1[],(MATCH(Calendar!$A18,DB!$1:$1,0)),FALSE)&gt;=5,"Good","Bad"),VLOOKUP(DATE($K$1,$K$2,VTS$4),Table1[],(MATCH(Calendar!$A18,DB!$1:$1,0)),FALSE)),"")</f>
        <v/>
      </c>
      <c r="VTT18" s="28" t="str">
        <f>IFERROR(IF(VUC3="No",IF(VLOOKUP(DATE($K$1,$K$2,VTT$4),Table1[],(MATCH(Calendar!$A18,DB!$1:$1,0)),FALSE)&gt;=5,"Good","Bad"),VLOOKUP(DATE($K$1,$K$2,VTT$4),Table1[],(MATCH(Calendar!$A18,DB!$1:$1,0)),FALSE)),"")</f>
        <v/>
      </c>
      <c r="VTU18" s="28" t="str">
        <f>IFERROR(IF(VUD3="No",IF(VLOOKUP(DATE($K$1,$K$2,VTU$4),Table1[],(MATCH(Calendar!$A18,DB!$1:$1,0)),FALSE)&gt;=5,"Good","Bad"),VLOOKUP(DATE($K$1,$K$2,VTU$4),Table1[],(MATCH(Calendar!$A18,DB!$1:$1,0)),FALSE)),"")</f>
        <v/>
      </c>
      <c r="VTV18" s="28" t="str">
        <f>IFERROR(IF(VUE3="No",IF(VLOOKUP(DATE($K$1,$K$2,VTV$4),Table1[],(MATCH(Calendar!$A18,DB!$1:$1,0)),FALSE)&gt;=5,"Good","Bad"),VLOOKUP(DATE($K$1,$K$2,VTV$4),Table1[],(MATCH(Calendar!$A18,DB!$1:$1,0)),FALSE)),"")</f>
        <v/>
      </c>
      <c r="VTW18" s="28" t="str">
        <f>IFERROR(IF(VUF3="No",IF(VLOOKUP(DATE($K$1,$K$2,VTW$4),Table1[],(MATCH(Calendar!$A18,DB!$1:$1,0)),FALSE)&gt;=5,"Good","Bad"),VLOOKUP(DATE($K$1,$K$2,VTW$4),Table1[],(MATCH(Calendar!$A18,DB!$1:$1,0)),FALSE)),"")</f>
        <v/>
      </c>
      <c r="VTX18" s="28" t="str">
        <f>IFERROR(IF(VUG3="No",IF(VLOOKUP(DATE($K$1,$K$2,VTX$4),Table1[],(MATCH(Calendar!$A18,DB!$1:$1,0)),FALSE)&gt;=5,"Good","Bad"),VLOOKUP(DATE($K$1,$K$2,VTX$4),Table1[],(MATCH(Calendar!$A18,DB!$1:$1,0)),FALSE)),"")</f>
        <v/>
      </c>
      <c r="VTY18" s="28" t="str">
        <f>IFERROR(IF(VUH3="No",IF(VLOOKUP(DATE($K$1,$K$2,VTY$4),Table1[],(MATCH(Calendar!$A18,DB!$1:$1,0)),FALSE)&gt;=5,"Good","Bad"),VLOOKUP(DATE($K$1,$K$2,VTY$4),Table1[],(MATCH(Calendar!$A18,DB!$1:$1,0)),FALSE)),"")</f>
        <v/>
      </c>
      <c r="VTZ18" s="28" t="str">
        <f>IFERROR(IF(VUI3="No",IF(VLOOKUP(DATE($K$1,$K$2,VTZ$4),Table1[],(MATCH(Calendar!$A18,DB!$1:$1,0)),FALSE)&gt;=5,"Good","Bad"),VLOOKUP(DATE($K$1,$K$2,VTZ$4),Table1[],(MATCH(Calendar!$A18,DB!$1:$1,0)),FALSE)),"")</f>
        <v/>
      </c>
      <c r="VUA18" s="28" t="str">
        <f>IFERROR(IF(VUJ3="No",IF(VLOOKUP(DATE($K$1,$K$2,VUA$4),Table1[],(MATCH(Calendar!$A18,DB!$1:$1,0)),FALSE)&gt;=5,"Good","Bad"),VLOOKUP(DATE($K$1,$K$2,VUA$4),Table1[],(MATCH(Calendar!$A18,DB!$1:$1,0)),FALSE)),"")</f>
        <v/>
      </c>
      <c r="VUB18" s="28" t="str">
        <f>IFERROR(IF(VUK3="No",IF(VLOOKUP(DATE($K$1,$K$2,VUB$4),Table1[],(MATCH(Calendar!$A18,DB!$1:$1,0)),FALSE)&gt;=5,"Good","Bad"),VLOOKUP(DATE($K$1,$K$2,VUB$4),Table1[],(MATCH(Calendar!$A18,DB!$1:$1,0)),FALSE)),"")</f>
        <v/>
      </c>
      <c r="VUC18" s="28" t="str">
        <f>IFERROR(IF(VUL3="No",IF(VLOOKUP(DATE($K$1,$K$2,VUC$4),Table1[],(MATCH(Calendar!$A18,DB!$1:$1,0)),FALSE)&gt;=5,"Good","Bad"),VLOOKUP(DATE($K$1,$K$2,VUC$4),Table1[],(MATCH(Calendar!$A18,DB!$1:$1,0)),FALSE)),"")</f>
        <v/>
      </c>
      <c r="VUD18" s="28" t="str">
        <f>IFERROR(IF(VUM3="No",IF(VLOOKUP(DATE($K$1,$K$2,VUD$4),Table1[],(MATCH(Calendar!$A18,DB!$1:$1,0)),FALSE)&gt;=5,"Good","Bad"),VLOOKUP(DATE($K$1,$K$2,VUD$4),Table1[],(MATCH(Calendar!$A18,DB!$1:$1,0)),FALSE)),"")</f>
        <v/>
      </c>
      <c r="VUE18" s="28" t="str">
        <f>IFERROR(IF(VUN3="No",IF(VLOOKUP(DATE($K$1,$K$2,VUE$4),Table1[],(MATCH(Calendar!$A18,DB!$1:$1,0)),FALSE)&gt;=5,"Good","Bad"),VLOOKUP(DATE($K$1,$K$2,VUE$4),Table1[],(MATCH(Calendar!$A18,DB!$1:$1,0)),FALSE)),"")</f>
        <v/>
      </c>
      <c r="VUF18" s="28" t="str">
        <f>IFERROR(IF(VUO3="No",IF(VLOOKUP(DATE($K$1,$K$2,VUF$4),Table1[],(MATCH(Calendar!$A18,DB!$1:$1,0)),FALSE)&gt;=5,"Good","Bad"),VLOOKUP(DATE($K$1,$K$2,VUF$4),Table1[],(MATCH(Calendar!$A18,DB!$1:$1,0)),FALSE)),"")</f>
        <v/>
      </c>
      <c r="VUG18" s="28" t="str">
        <f>IFERROR(IF(VUP3="No",IF(VLOOKUP(DATE($K$1,$K$2,VUG$4),Table1[],(MATCH(Calendar!$A18,DB!$1:$1,0)),FALSE)&gt;=5,"Good","Bad"),VLOOKUP(DATE($K$1,$K$2,VUG$4),Table1[],(MATCH(Calendar!$A18,DB!$1:$1,0)),FALSE)),"")</f>
        <v/>
      </c>
      <c r="VUH18" s="28" t="str">
        <f>IFERROR(IF(VUQ3="No",IF(VLOOKUP(DATE($K$1,$K$2,VUH$4),Table1[],(MATCH(Calendar!$A18,DB!$1:$1,0)),FALSE)&gt;=5,"Good","Bad"),VLOOKUP(DATE($K$1,$K$2,VUH$4),Table1[],(MATCH(Calendar!$A18,DB!$1:$1,0)),FALSE)),"")</f>
        <v/>
      </c>
      <c r="VUI18" s="28" t="str">
        <f>IFERROR(IF(VUR3="No",IF(VLOOKUP(DATE($K$1,$K$2,VUI$4),Table1[],(MATCH(Calendar!$A18,DB!$1:$1,0)),FALSE)&gt;=5,"Good","Bad"),VLOOKUP(DATE($K$1,$K$2,VUI$4),Table1[],(MATCH(Calendar!$A18,DB!$1:$1,0)),FALSE)),"")</f>
        <v/>
      </c>
      <c r="VUJ18" s="28" t="str">
        <f>IFERROR(IF(VUS3="No",IF(VLOOKUP(DATE($K$1,$K$2,VUJ$4),Table1[],(MATCH(Calendar!$A18,DB!$1:$1,0)),FALSE)&gt;=5,"Good","Bad"),VLOOKUP(DATE($K$1,$K$2,VUJ$4),Table1[],(MATCH(Calendar!$A18,DB!$1:$1,0)),FALSE)),"")</f>
        <v/>
      </c>
      <c r="VUK18" s="28" t="str">
        <f>IFERROR(IF(VUT3="No",IF(VLOOKUP(DATE($K$1,$K$2,VUK$4),Table1[],(MATCH(Calendar!$A18,DB!$1:$1,0)),FALSE)&gt;=5,"Good","Bad"),VLOOKUP(DATE($K$1,$K$2,VUK$4),Table1[],(MATCH(Calendar!$A18,DB!$1:$1,0)),FALSE)),"")</f>
        <v/>
      </c>
      <c r="VUL18" s="28" t="str">
        <f>IFERROR(IF(VUU3="No",IF(VLOOKUP(DATE($K$1,$K$2,VUL$4),Table1[],(MATCH(Calendar!$A18,DB!$1:$1,0)),FALSE)&gt;=5,"Good","Bad"),VLOOKUP(DATE($K$1,$K$2,VUL$4),Table1[],(MATCH(Calendar!$A18,DB!$1:$1,0)),FALSE)),"")</f>
        <v/>
      </c>
      <c r="VUM18" s="28" t="str">
        <f>IFERROR(IF(VUV3="No",IF(VLOOKUP(DATE($K$1,$K$2,VUM$4),Table1[],(MATCH(Calendar!$A18,DB!$1:$1,0)),FALSE)&gt;=5,"Good","Bad"),VLOOKUP(DATE($K$1,$K$2,VUM$4),Table1[],(MATCH(Calendar!$A18,DB!$1:$1,0)),FALSE)),"")</f>
        <v/>
      </c>
      <c r="VUN18" s="28" t="str">
        <f>IFERROR(IF(VUW3="No",IF(VLOOKUP(DATE($K$1,$K$2,VUN$4),Table1[],(MATCH(Calendar!$A18,DB!$1:$1,0)),FALSE)&gt;=5,"Good","Bad"),VLOOKUP(DATE($K$1,$K$2,VUN$4),Table1[],(MATCH(Calendar!$A18,DB!$1:$1,0)),FALSE)),"")</f>
        <v/>
      </c>
      <c r="VUO18" s="28" t="str">
        <f>IFERROR(IF(VUX3="No",IF(VLOOKUP(DATE($K$1,$K$2,VUO$4),Table1[],(MATCH(Calendar!$A18,DB!$1:$1,0)),FALSE)&gt;=5,"Good","Bad"),VLOOKUP(DATE($K$1,$K$2,VUO$4),Table1[],(MATCH(Calendar!$A18,DB!$1:$1,0)),FALSE)),"")</f>
        <v/>
      </c>
      <c r="VUP18" s="28" t="str">
        <f>IFERROR(IF(VUY3="No",IF(VLOOKUP(DATE($K$1,$K$2,VUP$4),Table1[],(MATCH(Calendar!$A18,DB!$1:$1,0)),FALSE)&gt;=5,"Good","Bad"),VLOOKUP(DATE($K$1,$K$2,VUP$4),Table1[],(MATCH(Calendar!$A18,DB!$1:$1,0)),FALSE)),"")</f>
        <v/>
      </c>
      <c r="VUQ18" s="28" t="str">
        <f>IFERROR(IF(VUZ3="No",IF(VLOOKUP(DATE($K$1,$K$2,VUQ$4),Table1[],(MATCH(Calendar!$A18,DB!$1:$1,0)),FALSE)&gt;=5,"Good","Bad"),VLOOKUP(DATE($K$1,$K$2,VUQ$4),Table1[],(MATCH(Calendar!$A18,DB!$1:$1,0)),FALSE)),"")</f>
        <v/>
      </c>
      <c r="VUR18" s="28" t="str">
        <f>IFERROR(IF(VVA3="No",IF(VLOOKUP(DATE($K$1,$K$2,VUR$4),Table1[],(MATCH(Calendar!$A18,DB!$1:$1,0)),FALSE)&gt;=5,"Good","Bad"),VLOOKUP(DATE($K$1,$K$2,VUR$4),Table1[],(MATCH(Calendar!$A18,DB!$1:$1,0)),FALSE)),"")</f>
        <v/>
      </c>
      <c r="VUS18" s="28" t="str">
        <f>IFERROR(IF(VVB3="No",IF(VLOOKUP(DATE($K$1,$K$2,VUS$4),Table1[],(MATCH(Calendar!$A18,DB!$1:$1,0)),FALSE)&gt;=5,"Good","Bad"),VLOOKUP(DATE($K$1,$K$2,VUS$4),Table1[],(MATCH(Calendar!$A18,DB!$1:$1,0)),FALSE)),"")</f>
        <v/>
      </c>
      <c r="VUT18" s="28" t="str">
        <f>IFERROR(IF(VVC3="No",IF(VLOOKUP(DATE($K$1,$K$2,VUT$4),Table1[],(MATCH(Calendar!$A18,DB!$1:$1,0)),FALSE)&gt;=5,"Good","Bad"),VLOOKUP(DATE($K$1,$K$2,VUT$4),Table1[],(MATCH(Calendar!$A18,DB!$1:$1,0)),FALSE)),"")</f>
        <v/>
      </c>
      <c r="VUU18" s="28" t="str">
        <f>IFERROR(IF(VVD3="No",IF(VLOOKUP(DATE($K$1,$K$2,VUU$4),Table1[],(MATCH(Calendar!$A18,DB!$1:$1,0)),FALSE)&gt;=5,"Good","Bad"),VLOOKUP(DATE($K$1,$K$2,VUU$4),Table1[],(MATCH(Calendar!$A18,DB!$1:$1,0)),FALSE)),"")</f>
        <v/>
      </c>
      <c r="VUV18" s="28" t="str">
        <f>IFERROR(IF(VVE3="No",IF(VLOOKUP(DATE($K$1,$K$2,VUV$4),Table1[],(MATCH(Calendar!$A18,DB!$1:$1,0)),FALSE)&gt;=5,"Good","Bad"),VLOOKUP(DATE($K$1,$K$2,VUV$4),Table1[],(MATCH(Calendar!$A18,DB!$1:$1,0)),FALSE)),"")</f>
        <v/>
      </c>
      <c r="VUW18" s="28" t="str">
        <f>IFERROR(IF(VVF3="No",IF(VLOOKUP(DATE($K$1,$K$2,VUW$4),Table1[],(MATCH(Calendar!$A18,DB!$1:$1,0)),FALSE)&gt;=5,"Good","Bad"),VLOOKUP(DATE($K$1,$K$2,VUW$4),Table1[],(MATCH(Calendar!$A18,DB!$1:$1,0)),FALSE)),"")</f>
        <v/>
      </c>
      <c r="VUX18" s="28" t="str">
        <f>IFERROR(IF(VVG3="No",IF(VLOOKUP(DATE($K$1,$K$2,VUX$4),Table1[],(MATCH(Calendar!$A18,DB!$1:$1,0)),FALSE)&gt;=5,"Good","Bad"),VLOOKUP(DATE($K$1,$K$2,VUX$4),Table1[],(MATCH(Calendar!$A18,DB!$1:$1,0)),FALSE)),"")</f>
        <v/>
      </c>
      <c r="VUY18" s="28" t="str">
        <f>IFERROR(IF(VVH3="No",IF(VLOOKUP(DATE($K$1,$K$2,VUY$4),Table1[],(MATCH(Calendar!$A18,DB!$1:$1,0)),FALSE)&gt;=5,"Good","Bad"),VLOOKUP(DATE($K$1,$K$2,VUY$4),Table1[],(MATCH(Calendar!$A18,DB!$1:$1,0)),FALSE)),"")</f>
        <v/>
      </c>
      <c r="VUZ18" s="28" t="str">
        <f>IFERROR(IF(VVI3="No",IF(VLOOKUP(DATE($K$1,$K$2,VUZ$4),Table1[],(MATCH(Calendar!$A18,DB!$1:$1,0)),FALSE)&gt;=5,"Good","Bad"),VLOOKUP(DATE($K$1,$K$2,VUZ$4),Table1[],(MATCH(Calendar!$A18,DB!$1:$1,0)),FALSE)),"")</f>
        <v/>
      </c>
      <c r="VVA18" s="28" t="str">
        <f>IFERROR(IF(VVJ3="No",IF(VLOOKUP(DATE($K$1,$K$2,VVA$4),Table1[],(MATCH(Calendar!$A18,DB!$1:$1,0)),FALSE)&gt;=5,"Good","Bad"),VLOOKUP(DATE($K$1,$K$2,VVA$4),Table1[],(MATCH(Calendar!$A18,DB!$1:$1,0)),FALSE)),"")</f>
        <v/>
      </c>
      <c r="VVB18" s="28" t="str">
        <f>IFERROR(IF(VVK3="No",IF(VLOOKUP(DATE($K$1,$K$2,VVB$4),Table1[],(MATCH(Calendar!$A18,DB!$1:$1,0)),FALSE)&gt;=5,"Good","Bad"),VLOOKUP(DATE($K$1,$K$2,VVB$4),Table1[],(MATCH(Calendar!$A18,DB!$1:$1,0)),FALSE)),"")</f>
        <v/>
      </c>
      <c r="VVC18" s="28" t="str">
        <f>IFERROR(IF(VVL3="No",IF(VLOOKUP(DATE($K$1,$K$2,VVC$4),Table1[],(MATCH(Calendar!$A18,DB!$1:$1,0)),FALSE)&gt;=5,"Good","Bad"),VLOOKUP(DATE($K$1,$K$2,VVC$4),Table1[],(MATCH(Calendar!$A18,DB!$1:$1,0)),FALSE)),"")</f>
        <v/>
      </c>
      <c r="VVD18" s="28" t="str">
        <f>IFERROR(IF(VVM3="No",IF(VLOOKUP(DATE($K$1,$K$2,VVD$4),Table1[],(MATCH(Calendar!$A18,DB!$1:$1,0)),FALSE)&gt;=5,"Good","Bad"),VLOOKUP(DATE($K$1,$K$2,VVD$4),Table1[],(MATCH(Calendar!$A18,DB!$1:$1,0)),FALSE)),"")</f>
        <v/>
      </c>
      <c r="VVE18" s="28" t="str">
        <f>IFERROR(IF(VVN3="No",IF(VLOOKUP(DATE($K$1,$K$2,VVE$4),Table1[],(MATCH(Calendar!$A18,DB!$1:$1,0)),FALSE)&gt;=5,"Good","Bad"),VLOOKUP(DATE($K$1,$K$2,VVE$4),Table1[],(MATCH(Calendar!$A18,DB!$1:$1,0)),FALSE)),"")</f>
        <v/>
      </c>
      <c r="VVF18" s="28" t="str">
        <f>IFERROR(IF(VVO3="No",IF(VLOOKUP(DATE($K$1,$K$2,VVF$4),Table1[],(MATCH(Calendar!$A18,DB!$1:$1,0)),FALSE)&gt;=5,"Good","Bad"),VLOOKUP(DATE($K$1,$K$2,VVF$4),Table1[],(MATCH(Calendar!$A18,DB!$1:$1,0)),FALSE)),"")</f>
        <v/>
      </c>
      <c r="VVG18" s="28" t="str">
        <f>IFERROR(IF(VVP3="No",IF(VLOOKUP(DATE($K$1,$K$2,VVG$4),Table1[],(MATCH(Calendar!$A18,DB!$1:$1,0)),FALSE)&gt;=5,"Good","Bad"),VLOOKUP(DATE($K$1,$K$2,VVG$4),Table1[],(MATCH(Calendar!$A18,DB!$1:$1,0)),FALSE)),"")</f>
        <v/>
      </c>
      <c r="VVH18" s="28" t="str">
        <f>IFERROR(IF(VVQ3="No",IF(VLOOKUP(DATE($K$1,$K$2,VVH$4),Table1[],(MATCH(Calendar!$A18,DB!$1:$1,0)),FALSE)&gt;=5,"Good","Bad"),VLOOKUP(DATE($K$1,$K$2,VVH$4),Table1[],(MATCH(Calendar!$A18,DB!$1:$1,0)),FALSE)),"")</f>
        <v/>
      </c>
      <c r="VVI18" s="28" t="str">
        <f>IFERROR(IF(VVR3="No",IF(VLOOKUP(DATE($K$1,$K$2,VVI$4),Table1[],(MATCH(Calendar!$A18,DB!$1:$1,0)),FALSE)&gt;=5,"Good","Bad"),VLOOKUP(DATE($K$1,$K$2,VVI$4),Table1[],(MATCH(Calendar!$A18,DB!$1:$1,0)),FALSE)),"")</f>
        <v/>
      </c>
      <c r="VVJ18" s="28" t="str">
        <f>IFERROR(IF(VVS3="No",IF(VLOOKUP(DATE($K$1,$K$2,VVJ$4),Table1[],(MATCH(Calendar!$A18,DB!$1:$1,0)),FALSE)&gt;=5,"Good","Bad"),VLOOKUP(DATE($K$1,$K$2,VVJ$4),Table1[],(MATCH(Calendar!$A18,DB!$1:$1,0)),FALSE)),"")</f>
        <v/>
      </c>
      <c r="VVK18" s="28" t="str">
        <f>IFERROR(IF(VVT3="No",IF(VLOOKUP(DATE($K$1,$K$2,VVK$4),Table1[],(MATCH(Calendar!$A18,DB!$1:$1,0)),FALSE)&gt;=5,"Good","Bad"),VLOOKUP(DATE($K$1,$K$2,VVK$4),Table1[],(MATCH(Calendar!$A18,DB!$1:$1,0)),FALSE)),"")</f>
        <v/>
      </c>
      <c r="VVL18" s="28" t="str">
        <f>IFERROR(IF(VVU3="No",IF(VLOOKUP(DATE($K$1,$K$2,VVL$4),Table1[],(MATCH(Calendar!$A18,DB!$1:$1,0)),FALSE)&gt;=5,"Good","Bad"),VLOOKUP(DATE($K$1,$K$2,VVL$4),Table1[],(MATCH(Calendar!$A18,DB!$1:$1,0)),FALSE)),"")</f>
        <v/>
      </c>
      <c r="VVM18" s="28" t="str">
        <f>IFERROR(IF(VVV3="No",IF(VLOOKUP(DATE($K$1,$K$2,VVM$4),Table1[],(MATCH(Calendar!$A18,DB!$1:$1,0)),FALSE)&gt;=5,"Good","Bad"),VLOOKUP(DATE($K$1,$K$2,VVM$4),Table1[],(MATCH(Calendar!$A18,DB!$1:$1,0)),FALSE)),"")</f>
        <v/>
      </c>
      <c r="VVN18" s="28" t="str">
        <f>IFERROR(IF(VVW3="No",IF(VLOOKUP(DATE($K$1,$K$2,VVN$4),Table1[],(MATCH(Calendar!$A18,DB!$1:$1,0)),FALSE)&gt;=5,"Good","Bad"),VLOOKUP(DATE($K$1,$K$2,VVN$4),Table1[],(MATCH(Calendar!$A18,DB!$1:$1,0)),FALSE)),"")</f>
        <v/>
      </c>
      <c r="VVO18" s="28" t="str">
        <f>IFERROR(IF(VVX3="No",IF(VLOOKUP(DATE($K$1,$K$2,VVO$4),Table1[],(MATCH(Calendar!$A18,DB!$1:$1,0)),FALSE)&gt;=5,"Good","Bad"),VLOOKUP(DATE($K$1,$K$2,VVO$4),Table1[],(MATCH(Calendar!$A18,DB!$1:$1,0)),FALSE)),"")</f>
        <v/>
      </c>
      <c r="VVP18" s="28" t="str">
        <f>IFERROR(IF(VVY3="No",IF(VLOOKUP(DATE($K$1,$K$2,VVP$4),Table1[],(MATCH(Calendar!$A18,DB!$1:$1,0)),FALSE)&gt;=5,"Good","Bad"),VLOOKUP(DATE($K$1,$K$2,VVP$4),Table1[],(MATCH(Calendar!$A18,DB!$1:$1,0)),FALSE)),"")</f>
        <v/>
      </c>
      <c r="VVQ18" s="28" t="str">
        <f>IFERROR(IF(VVZ3="No",IF(VLOOKUP(DATE($K$1,$K$2,VVQ$4),Table1[],(MATCH(Calendar!$A18,DB!$1:$1,0)),FALSE)&gt;=5,"Good","Bad"),VLOOKUP(DATE($K$1,$K$2,VVQ$4),Table1[],(MATCH(Calendar!$A18,DB!$1:$1,0)),FALSE)),"")</f>
        <v/>
      </c>
      <c r="VVR18" s="28" t="str">
        <f>IFERROR(IF(VWA3="No",IF(VLOOKUP(DATE($K$1,$K$2,VVR$4),Table1[],(MATCH(Calendar!$A18,DB!$1:$1,0)),FALSE)&gt;=5,"Good","Bad"),VLOOKUP(DATE($K$1,$K$2,VVR$4),Table1[],(MATCH(Calendar!$A18,DB!$1:$1,0)),FALSE)),"")</f>
        <v/>
      </c>
      <c r="VVS18" s="28" t="str">
        <f>IFERROR(IF(VWB3="No",IF(VLOOKUP(DATE($K$1,$K$2,VVS$4),Table1[],(MATCH(Calendar!$A18,DB!$1:$1,0)),FALSE)&gt;=5,"Good","Bad"),VLOOKUP(DATE($K$1,$K$2,VVS$4),Table1[],(MATCH(Calendar!$A18,DB!$1:$1,0)),FALSE)),"")</f>
        <v/>
      </c>
      <c r="VVT18" s="28" t="str">
        <f>IFERROR(IF(VWC3="No",IF(VLOOKUP(DATE($K$1,$K$2,VVT$4),Table1[],(MATCH(Calendar!$A18,DB!$1:$1,0)),FALSE)&gt;=5,"Good","Bad"),VLOOKUP(DATE($K$1,$K$2,VVT$4),Table1[],(MATCH(Calendar!$A18,DB!$1:$1,0)),FALSE)),"")</f>
        <v/>
      </c>
      <c r="VVU18" s="28" t="str">
        <f>IFERROR(IF(VWD3="No",IF(VLOOKUP(DATE($K$1,$K$2,VVU$4),Table1[],(MATCH(Calendar!$A18,DB!$1:$1,0)),FALSE)&gt;=5,"Good","Bad"),VLOOKUP(DATE($K$1,$K$2,VVU$4),Table1[],(MATCH(Calendar!$A18,DB!$1:$1,0)),FALSE)),"")</f>
        <v/>
      </c>
      <c r="VVV18" s="28" t="str">
        <f>IFERROR(IF(VWE3="No",IF(VLOOKUP(DATE($K$1,$K$2,VVV$4),Table1[],(MATCH(Calendar!$A18,DB!$1:$1,0)),FALSE)&gt;=5,"Good","Bad"),VLOOKUP(DATE($K$1,$K$2,VVV$4),Table1[],(MATCH(Calendar!$A18,DB!$1:$1,0)),FALSE)),"")</f>
        <v/>
      </c>
      <c r="VVW18" s="28" t="str">
        <f>IFERROR(IF(VWF3="No",IF(VLOOKUP(DATE($K$1,$K$2,VVW$4),Table1[],(MATCH(Calendar!$A18,DB!$1:$1,0)),FALSE)&gt;=5,"Good","Bad"),VLOOKUP(DATE($K$1,$K$2,VVW$4),Table1[],(MATCH(Calendar!$A18,DB!$1:$1,0)),FALSE)),"")</f>
        <v/>
      </c>
      <c r="VVX18" s="28" t="str">
        <f>IFERROR(IF(VWG3="No",IF(VLOOKUP(DATE($K$1,$K$2,VVX$4),Table1[],(MATCH(Calendar!$A18,DB!$1:$1,0)),FALSE)&gt;=5,"Good","Bad"),VLOOKUP(DATE($K$1,$K$2,VVX$4),Table1[],(MATCH(Calendar!$A18,DB!$1:$1,0)),FALSE)),"")</f>
        <v/>
      </c>
      <c r="VVY18" s="28" t="str">
        <f>IFERROR(IF(VWH3="No",IF(VLOOKUP(DATE($K$1,$K$2,VVY$4),Table1[],(MATCH(Calendar!$A18,DB!$1:$1,0)),FALSE)&gt;=5,"Good","Bad"),VLOOKUP(DATE($K$1,$K$2,VVY$4),Table1[],(MATCH(Calendar!$A18,DB!$1:$1,0)),FALSE)),"")</f>
        <v/>
      </c>
      <c r="VVZ18" s="28" t="str">
        <f>IFERROR(IF(VWI3="No",IF(VLOOKUP(DATE($K$1,$K$2,VVZ$4),Table1[],(MATCH(Calendar!$A18,DB!$1:$1,0)),FALSE)&gt;=5,"Good","Bad"),VLOOKUP(DATE($K$1,$K$2,VVZ$4),Table1[],(MATCH(Calendar!$A18,DB!$1:$1,0)),FALSE)),"")</f>
        <v/>
      </c>
      <c r="VWA18" s="28" t="str">
        <f>IFERROR(IF(VWJ3="No",IF(VLOOKUP(DATE($K$1,$K$2,VWA$4),Table1[],(MATCH(Calendar!$A18,DB!$1:$1,0)),FALSE)&gt;=5,"Good","Bad"),VLOOKUP(DATE($K$1,$K$2,VWA$4),Table1[],(MATCH(Calendar!$A18,DB!$1:$1,0)),FALSE)),"")</f>
        <v/>
      </c>
      <c r="VWB18" s="28" t="str">
        <f>IFERROR(IF(VWK3="No",IF(VLOOKUP(DATE($K$1,$K$2,VWB$4),Table1[],(MATCH(Calendar!$A18,DB!$1:$1,0)),FALSE)&gt;=5,"Good","Bad"),VLOOKUP(DATE($K$1,$K$2,VWB$4),Table1[],(MATCH(Calendar!$A18,DB!$1:$1,0)),FALSE)),"")</f>
        <v/>
      </c>
      <c r="VWC18" s="28" t="str">
        <f>IFERROR(IF(VWL3="No",IF(VLOOKUP(DATE($K$1,$K$2,VWC$4),Table1[],(MATCH(Calendar!$A18,DB!$1:$1,0)),FALSE)&gt;=5,"Good","Bad"),VLOOKUP(DATE($K$1,$K$2,VWC$4),Table1[],(MATCH(Calendar!$A18,DB!$1:$1,0)),FALSE)),"")</f>
        <v/>
      </c>
      <c r="VWD18" s="28" t="str">
        <f>IFERROR(IF(VWM3="No",IF(VLOOKUP(DATE($K$1,$K$2,VWD$4),Table1[],(MATCH(Calendar!$A18,DB!$1:$1,0)),FALSE)&gt;=5,"Good","Bad"),VLOOKUP(DATE($K$1,$K$2,VWD$4),Table1[],(MATCH(Calendar!$A18,DB!$1:$1,0)),FALSE)),"")</f>
        <v/>
      </c>
      <c r="VWE18" s="28" t="str">
        <f>IFERROR(IF(VWN3="No",IF(VLOOKUP(DATE($K$1,$K$2,VWE$4),Table1[],(MATCH(Calendar!$A18,DB!$1:$1,0)),FALSE)&gt;=5,"Good","Bad"),VLOOKUP(DATE($K$1,$K$2,VWE$4),Table1[],(MATCH(Calendar!$A18,DB!$1:$1,0)),FALSE)),"")</f>
        <v/>
      </c>
      <c r="VWF18" s="28" t="str">
        <f>IFERROR(IF(VWO3="No",IF(VLOOKUP(DATE($K$1,$K$2,VWF$4),Table1[],(MATCH(Calendar!$A18,DB!$1:$1,0)),FALSE)&gt;=5,"Good","Bad"),VLOOKUP(DATE($K$1,$K$2,VWF$4),Table1[],(MATCH(Calendar!$A18,DB!$1:$1,0)),FALSE)),"")</f>
        <v/>
      </c>
      <c r="VWG18" s="28" t="str">
        <f>IFERROR(IF(VWP3="No",IF(VLOOKUP(DATE($K$1,$K$2,VWG$4),Table1[],(MATCH(Calendar!$A18,DB!$1:$1,0)),FALSE)&gt;=5,"Good","Bad"),VLOOKUP(DATE($K$1,$K$2,VWG$4),Table1[],(MATCH(Calendar!$A18,DB!$1:$1,0)),FALSE)),"")</f>
        <v/>
      </c>
      <c r="VWH18" s="28" t="str">
        <f>IFERROR(IF(VWQ3="No",IF(VLOOKUP(DATE($K$1,$K$2,VWH$4),Table1[],(MATCH(Calendar!$A18,DB!$1:$1,0)),FALSE)&gt;=5,"Good","Bad"),VLOOKUP(DATE($K$1,$K$2,VWH$4),Table1[],(MATCH(Calendar!$A18,DB!$1:$1,0)),FALSE)),"")</f>
        <v/>
      </c>
      <c r="VWI18" s="28" t="str">
        <f>IFERROR(IF(VWR3="No",IF(VLOOKUP(DATE($K$1,$K$2,VWI$4),Table1[],(MATCH(Calendar!$A18,DB!$1:$1,0)),FALSE)&gt;=5,"Good","Bad"),VLOOKUP(DATE($K$1,$K$2,VWI$4),Table1[],(MATCH(Calendar!$A18,DB!$1:$1,0)),FALSE)),"")</f>
        <v/>
      </c>
      <c r="VWJ18" s="28" t="str">
        <f>IFERROR(IF(VWS3="No",IF(VLOOKUP(DATE($K$1,$K$2,VWJ$4),Table1[],(MATCH(Calendar!$A18,DB!$1:$1,0)),FALSE)&gt;=5,"Good","Bad"),VLOOKUP(DATE($K$1,$K$2,VWJ$4),Table1[],(MATCH(Calendar!$A18,DB!$1:$1,0)),FALSE)),"")</f>
        <v/>
      </c>
      <c r="VWK18" s="28" t="str">
        <f>IFERROR(IF(VWT3="No",IF(VLOOKUP(DATE($K$1,$K$2,VWK$4),Table1[],(MATCH(Calendar!$A18,DB!$1:$1,0)),FALSE)&gt;=5,"Good","Bad"),VLOOKUP(DATE($K$1,$K$2,VWK$4),Table1[],(MATCH(Calendar!$A18,DB!$1:$1,0)),FALSE)),"")</f>
        <v/>
      </c>
      <c r="VWL18" s="28" t="str">
        <f>IFERROR(IF(VWU3="No",IF(VLOOKUP(DATE($K$1,$K$2,VWL$4),Table1[],(MATCH(Calendar!$A18,DB!$1:$1,0)),FALSE)&gt;=5,"Good","Bad"),VLOOKUP(DATE($K$1,$K$2,VWL$4),Table1[],(MATCH(Calendar!$A18,DB!$1:$1,0)),FALSE)),"")</f>
        <v/>
      </c>
      <c r="VWM18" s="28" t="str">
        <f>IFERROR(IF(VWV3="No",IF(VLOOKUP(DATE($K$1,$K$2,VWM$4),Table1[],(MATCH(Calendar!$A18,DB!$1:$1,0)),FALSE)&gt;=5,"Good","Bad"),VLOOKUP(DATE($K$1,$K$2,VWM$4),Table1[],(MATCH(Calendar!$A18,DB!$1:$1,0)),FALSE)),"")</f>
        <v/>
      </c>
      <c r="VWN18" s="28" t="str">
        <f>IFERROR(IF(VWW3="No",IF(VLOOKUP(DATE($K$1,$K$2,VWN$4),Table1[],(MATCH(Calendar!$A18,DB!$1:$1,0)),FALSE)&gt;=5,"Good","Bad"),VLOOKUP(DATE($K$1,$K$2,VWN$4),Table1[],(MATCH(Calendar!$A18,DB!$1:$1,0)),FALSE)),"")</f>
        <v/>
      </c>
      <c r="VWO18" s="28" t="str">
        <f>IFERROR(IF(VWX3="No",IF(VLOOKUP(DATE($K$1,$K$2,VWO$4),Table1[],(MATCH(Calendar!$A18,DB!$1:$1,0)),FALSE)&gt;=5,"Good","Bad"),VLOOKUP(DATE($K$1,$K$2,VWO$4),Table1[],(MATCH(Calendar!$A18,DB!$1:$1,0)),FALSE)),"")</f>
        <v/>
      </c>
      <c r="VWP18" s="28" t="str">
        <f>IFERROR(IF(VWY3="No",IF(VLOOKUP(DATE($K$1,$K$2,VWP$4),Table1[],(MATCH(Calendar!$A18,DB!$1:$1,0)),FALSE)&gt;=5,"Good","Bad"),VLOOKUP(DATE($K$1,$K$2,VWP$4),Table1[],(MATCH(Calendar!$A18,DB!$1:$1,0)),FALSE)),"")</f>
        <v/>
      </c>
      <c r="VWQ18" s="28" t="str">
        <f>IFERROR(IF(VWZ3="No",IF(VLOOKUP(DATE($K$1,$K$2,VWQ$4),Table1[],(MATCH(Calendar!$A18,DB!$1:$1,0)),FALSE)&gt;=5,"Good","Bad"),VLOOKUP(DATE($K$1,$K$2,VWQ$4),Table1[],(MATCH(Calendar!$A18,DB!$1:$1,0)),FALSE)),"")</f>
        <v/>
      </c>
      <c r="VWR18" s="28" t="str">
        <f>IFERROR(IF(VXA3="No",IF(VLOOKUP(DATE($K$1,$K$2,VWR$4),Table1[],(MATCH(Calendar!$A18,DB!$1:$1,0)),FALSE)&gt;=5,"Good","Bad"),VLOOKUP(DATE($K$1,$K$2,VWR$4),Table1[],(MATCH(Calendar!$A18,DB!$1:$1,0)),FALSE)),"")</f>
        <v/>
      </c>
      <c r="VWS18" s="28" t="str">
        <f>IFERROR(IF(VXB3="No",IF(VLOOKUP(DATE($K$1,$K$2,VWS$4),Table1[],(MATCH(Calendar!$A18,DB!$1:$1,0)),FALSE)&gt;=5,"Good","Bad"),VLOOKUP(DATE($K$1,$K$2,VWS$4),Table1[],(MATCH(Calendar!$A18,DB!$1:$1,0)),FALSE)),"")</f>
        <v/>
      </c>
      <c r="VWT18" s="28" t="str">
        <f>IFERROR(IF(VXC3="No",IF(VLOOKUP(DATE($K$1,$K$2,VWT$4),Table1[],(MATCH(Calendar!$A18,DB!$1:$1,0)),FALSE)&gt;=5,"Good","Bad"),VLOOKUP(DATE($K$1,$K$2,VWT$4),Table1[],(MATCH(Calendar!$A18,DB!$1:$1,0)),FALSE)),"")</f>
        <v/>
      </c>
      <c r="VWU18" s="28" t="str">
        <f>IFERROR(IF(VXD3="No",IF(VLOOKUP(DATE($K$1,$K$2,VWU$4),Table1[],(MATCH(Calendar!$A18,DB!$1:$1,0)),FALSE)&gt;=5,"Good","Bad"),VLOOKUP(DATE($K$1,$K$2,VWU$4),Table1[],(MATCH(Calendar!$A18,DB!$1:$1,0)),FALSE)),"")</f>
        <v/>
      </c>
      <c r="VWV18" s="28" t="str">
        <f>IFERROR(IF(VXE3="No",IF(VLOOKUP(DATE($K$1,$K$2,VWV$4),Table1[],(MATCH(Calendar!$A18,DB!$1:$1,0)),FALSE)&gt;=5,"Good","Bad"),VLOOKUP(DATE($K$1,$K$2,VWV$4),Table1[],(MATCH(Calendar!$A18,DB!$1:$1,0)),FALSE)),"")</f>
        <v/>
      </c>
      <c r="VWW18" s="28" t="str">
        <f>IFERROR(IF(VXF3="No",IF(VLOOKUP(DATE($K$1,$K$2,VWW$4),Table1[],(MATCH(Calendar!$A18,DB!$1:$1,0)),FALSE)&gt;=5,"Good","Bad"),VLOOKUP(DATE($K$1,$K$2,VWW$4),Table1[],(MATCH(Calendar!$A18,DB!$1:$1,0)),FALSE)),"")</f>
        <v/>
      </c>
      <c r="VWX18" s="28" t="str">
        <f>IFERROR(IF(VXG3="No",IF(VLOOKUP(DATE($K$1,$K$2,VWX$4),Table1[],(MATCH(Calendar!$A18,DB!$1:$1,0)),FALSE)&gt;=5,"Good","Bad"),VLOOKUP(DATE($K$1,$K$2,VWX$4),Table1[],(MATCH(Calendar!$A18,DB!$1:$1,0)),FALSE)),"")</f>
        <v/>
      </c>
      <c r="VWY18" s="28" t="str">
        <f>IFERROR(IF(VXH3="No",IF(VLOOKUP(DATE($K$1,$K$2,VWY$4),Table1[],(MATCH(Calendar!$A18,DB!$1:$1,0)),FALSE)&gt;=5,"Good","Bad"),VLOOKUP(DATE($K$1,$K$2,VWY$4),Table1[],(MATCH(Calendar!$A18,DB!$1:$1,0)),FALSE)),"")</f>
        <v/>
      </c>
      <c r="VWZ18" s="28" t="str">
        <f>IFERROR(IF(VXI3="No",IF(VLOOKUP(DATE($K$1,$K$2,VWZ$4),Table1[],(MATCH(Calendar!$A18,DB!$1:$1,0)),FALSE)&gt;=5,"Good","Bad"),VLOOKUP(DATE($K$1,$K$2,VWZ$4),Table1[],(MATCH(Calendar!$A18,DB!$1:$1,0)),FALSE)),"")</f>
        <v/>
      </c>
      <c r="VXA18" s="28" t="str">
        <f>IFERROR(IF(VXJ3="No",IF(VLOOKUP(DATE($K$1,$K$2,VXA$4),Table1[],(MATCH(Calendar!$A18,DB!$1:$1,0)),FALSE)&gt;=5,"Good","Bad"),VLOOKUP(DATE($K$1,$K$2,VXA$4),Table1[],(MATCH(Calendar!$A18,DB!$1:$1,0)),FALSE)),"")</f>
        <v/>
      </c>
      <c r="VXB18" s="28" t="str">
        <f>IFERROR(IF(VXK3="No",IF(VLOOKUP(DATE($K$1,$K$2,VXB$4),Table1[],(MATCH(Calendar!$A18,DB!$1:$1,0)),FALSE)&gt;=5,"Good","Bad"),VLOOKUP(DATE($K$1,$K$2,VXB$4),Table1[],(MATCH(Calendar!$A18,DB!$1:$1,0)),FALSE)),"")</f>
        <v/>
      </c>
      <c r="VXC18" s="28" t="str">
        <f>IFERROR(IF(VXL3="No",IF(VLOOKUP(DATE($K$1,$K$2,VXC$4),Table1[],(MATCH(Calendar!$A18,DB!$1:$1,0)),FALSE)&gt;=5,"Good","Bad"),VLOOKUP(DATE($K$1,$K$2,VXC$4),Table1[],(MATCH(Calendar!$A18,DB!$1:$1,0)),FALSE)),"")</f>
        <v/>
      </c>
      <c r="VXD18" s="28" t="str">
        <f>IFERROR(IF(VXM3="No",IF(VLOOKUP(DATE($K$1,$K$2,VXD$4),Table1[],(MATCH(Calendar!$A18,DB!$1:$1,0)),FALSE)&gt;=5,"Good","Bad"),VLOOKUP(DATE($K$1,$K$2,VXD$4),Table1[],(MATCH(Calendar!$A18,DB!$1:$1,0)),FALSE)),"")</f>
        <v/>
      </c>
      <c r="VXE18" s="28" t="str">
        <f>IFERROR(IF(VXN3="No",IF(VLOOKUP(DATE($K$1,$K$2,VXE$4),Table1[],(MATCH(Calendar!$A18,DB!$1:$1,0)),FALSE)&gt;=5,"Good","Bad"),VLOOKUP(DATE($K$1,$K$2,VXE$4),Table1[],(MATCH(Calendar!$A18,DB!$1:$1,0)),FALSE)),"")</f>
        <v/>
      </c>
      <c r="VXF18" s="28" t="str">
        <f>IFERROR(IF(VXO3="No",IF(VLOOKUP(DATE($K$1,$K$2,VXF$4),Table1[],(MATCH(Calendar!$A18,DB!$1:$1,0)),FALSE)&gt;=5,"Good","Bad"),VLOOKUP(DATE($K$1,$K$2,VXF$4),Table1[],(MATCH(Calendar!$A18,DB!$1:$1,0)),FALSE)),"")</f>
        <v/>
      </c>
      <c r="VXG18" s="28" t="str">
        <f>IFERROR(IF(VXP3="No",IF(VLOOKUP(DATE($K$1,$K$2,VXG$4),Table1[],(MATCH(Calendar!$A18,DB!$1:$1,0)),FALSE)&gt;=5,"Good","Bad"),VLOOKUP(DATE($K$1,$K$2,VXG$4),Table1[],(MATCH(Calendar!$A18,DB!$1:$1,0)),FALSE)),"")</f>
        <v/>
      </c>
      <c r="VXH18" s="28" t="str">
        <f>IFERROR(IF(VXQ3="No",IF(VLOOKUP(DATE($K$1,$K$2,VXH$4),Table1[],(MATCH(Calendar!$A18,DB!$1:$1,0)),FALSE)&gt;=5,"Good","Bad"),VLOOKUP(DATE($K$1,$K$2,VXH$4),Table1[],(MATCH(Calendar!$A18,DB!$1:$1,0)),FALSE)),"")</f>
        <v/>
      </c>
      <c r="VXI18" s="28" t="str">
        <f>IFERROR(IF(VXR3="No",IF(VLOOKUP(DATE($K$1,$K$2,VXI$4),Table1[],(MATCH(Calendar!$A18,DB!$1:$1,0)),FALSE)&gt;=5,"Good","Bad"),VLOOKUP(DATE($K$1,$K$2,VXI$4),Table1[],(MATCH(Calendar!$A18,DB!$1:$1,0)),FALSE)),"")</f>
        <v/>
      </c>
      <c r="VXJ18" s="28" t="str">
        <f>IFERROR(IF(VXS3="No",IF(VLOOKUP(DATE($K$1,$K$2,VXJ$4),Table1[],(MATCH(Calendar!$A18,DB!$1:$1,0)),FALSE)&gt;=5,"Good","Bad"),VLOOKUP(DATE($K$1,$K$2,VXJ$4),Table1[],(MATCH(Calendar!$A18,DB!$1:$1,0)),FALSE)),"")</f>
        <v/>
      </c>
      <c r="VXK18" s="28" t="str">
        <f>IFERROR(IF(VXT3="No",IF(VLOOKUP(DATE($K$1,$K$2,VXK$4),Table1[],(MATCH(Calendar!$A18,DB!$1:$1,0)),FALSE)&gt;=5,"Good","Bad"),VLOOKUP(DATE($K$1,$K$2,VXK$4),Table1[],(MATCH(Calendar!$A18,DB!$1:$1,0)),FALSE)),"")</f>
        <v/>
      </c>
      <c r="VXL18" s="28" t="str">
        <f>IFERROR(IF(VXU3="No",IF(VLOOKUP(DATE($K$1,$K$2,VXL$4),Table1[],(MATCH(Calendar!$A18,DB!$1:$1,0)),FALSE)&gt;=5,"Good","Bad"),VLOOKUP(DATE($K$1,$K$2,VXL$4),Table1[],(MATCH(Calendar!$A18,DB!$1:$1,0)),FALSE)),"")</f>
        <v/>
      </c>
      <c r="VXM18" s="28" t="str">
        <f>IFERROR(IF(VXV3="No",IF(VLOOKUP(DATE($K$1,$K$2,VXM$4),Table1[],(MATCH(Calendar!$A18,DB!$1:$1,0)),FALSE)&gt;=5,"Good","Bad"),VLOOKUP(DATE($K$1,$K$2,VXM$4),Table1[],(MATCH(Calendar!$A18,DB!$1:$1,0)),FALSE)),"")</f>
        <v/>
      </c>
      <c r="VXN18" s="28" t="str">
        <f>IFERROR(IF(VXW3="No",IF(VLOOKUP(DATE($K$1,$K$2,VXN$4),Table1[],(MATCH(Calendar!$A18,DB!$1:$1,0)),FALSE)&gt;=5,"Good","Bad"),VLOOKUP(DATE($K$1,$K$2,VXN$4),Table1[],(MATCH(Calendar!$A18,DB!$1:$1,0)),FALSE)),"")</f>
        <v/>
      </c>
      <c r="VXO18" s="28" t="str">
        <f>IFERROR(IF(VXX3="No",IF(VLOOKUP(DATE($K$1,$K$2,VXO$4),Table1[],(MATCH(Calendar!$A18,DB!$1:$1,0)),FALSE)&gt;=5,"Good","Bad"),VLOOKUP(DATE($K$1,$K$2,VXO$4),Table1[],(MATCH(Calendar!$A18,DB!$1:$1,0)),FALSE)),"")</f>
        <v/>
      </c>
      <c r="VXP18" s="28" t="str">
        <f>IFERROR(IF(VXY3="No",IF(VLOOKUP(DATE($K$1,$K$2,VXP$4),Table1[],(MATCH(Calendar!$A18,DB!$1:$1,0)),FALSE)&gt;=5,"Good","Bad"),VLOOKUP(DATE($K$1,$K$2,VXP$4),Table1[],(MATCH(Calendar!$A18,DB!$1:$1,0)),FALSE)),"")</f>
        <v/>
      </c>
      <c r="VXQ18" s="28" t="str">
        <f>IFERROR(IF(VXZ3="No",IF(VLOOKUP(DATE($K$1,$K$2,VXQ$4),Table1[],(MATCH(Calendar!$A18,DB!$1:$1,0)),FALSE)&gt;=5,"Good","Bad"),VLOOKUP(DATE($K$1,$K$2,VXQ$4),Table1[],(MATCH(Calendar!$A18,DB!$1:$1,0)),FALSE)),"")</f>
        <v/>
      </c>
      <c r="VXR18" s="28" t="str">
        <f>IFERROR(IF(VYA3="No",IF(VLOOKUP(DATE($K$1,$K$2,VXR$4),Table1[],(MATCH(Calendar!$A18,DB!$1:$1,0)),FALSE)&gt;=5,"Good","Bad"),VLOOKUP(DATE($K$1,$K$2,VXR$4),Table1[],(MATCH(Calendar!$A18,DB!$1:$1,0)),FALSE)),"")</f>
        <v/>
      </c>
      <c r="VXS18" s="28" t="str">
        <f>IFERROR(IF(VYB3="No",IF(VLOOKUP(DATE($K$1,$K$2,VXS$4),Table1[],(MATCH(Calendar!$A18,DB!$1:$1,0)),FALSE)&gt;=5,"Good","Bad"),VLOOKUP(DATE($K$1,$K$2,VXS$4),Table1[],(MATCH(Calendar!$A18,DB!$1:$1,0)),FALSE)),"")</f>
        <v/>
      </c>
      <c r="VXT18" s="28" t="str">
        <f>IFERROR(IF(VYC3="No",IF(VLOOKUP(DATE($K$1,$K$2,VXT$4),Table1[],(MATCH(Calendar!$A18,DB!$1:$1,0)),FALSE)&gt;=5,"Good","Bad"),VLOOKUP(DATE($K$1,$K$2,VXT$4),Table1[],(MATCH(Calendar!$A18,DB!$1:$1,0)),FALSE)),"")</f>
        <v/>
      </c>
      <c r="VXU18" s="28" t="str">
        <f>IFERROR(IF(VYD3="No",IF(VLOOKUP(DATE($K$1,$K$2,VXU$4),Table1[],(MATCH(Calendar!$A18,DB!$1:$1,0)),FALSE)&gt;=5,"Good","Bad"),VLOOKUP(DATE($K$1,$K$2,VXU$4),Table1[],(MATCH(Calendar!$A18,DB!$1:$1,0)),FALSE)),"")</f>
        <v/>
      </c>
      <c r="VXV18" s="28" t="str">
        <f>IFERROR(IF(VYE3="No",IF(VLOOKUP(DATE($K$1,$K$2,VXV$4),Table1[],(MATCH(Calendar!$A18,DB!$1:$1,0)),FALSE)&gt;=5,"Good","Bad"),VLOOKUP(DATE($K$1,$K$2,VXV$4),Table1[],(MATCH(Calendar!$A18,DB!$1:$1,0)),FALSE)),"")</f>
        <v/>
      </c>
      <c r="VXW18" s="28" t="str">
        <f>IFERROR(IF(VYF3="No",IF(VLOOKUP(DATE($K$1,$K$2,VXW$4),Table1[],(MATCH(Calendar!$A18,DB!$1:$1,0)),FALSE)&gt;=5,"Good","Bad"),VLOOKUP(DATE($K$1,$K$2,VXW$4),Table1[],(MATCH(Calendar!$A18,DB!$1:$1,0)),FALSE)),"")</f>
        <v/>
      </c>
      <c r="VXX18" s="28" t="str">
        <f>IFERROR(IF(VYG3="No",IF(VLOOKUP(DATE($K$1,$K$2,VXX$4),Table1[],(MATCH(Calendar!$A18,DB!$1:$1,0)),FALSE)&gt;=5,"Good","Bad"),VLOOKUP(DATE($K$1,$K$2,VXX$4),Table1[],(MATCH(Calendar!$A18,DB!$1:$1,0)),FALSE)),"")</f>
        <v/>
      </c>
      <c r="VXY18" s="28" t="str">
        <f>IFERROR(IF(VYH3="No",IF(VLOOKUP(DATE($K$1,$K$2,VXY$4),Table1[],(MATCH(Calendar!$A18,DB!$1:$1,0)),FALSE)&gt;=5,"Good","Bad"),VLOOKUP(DATE($K$1,$K$2,VXY$4),Table1[],(MATCH(Calendar!$A18,DB!$1:$1,0)),FALSE)),"")</f>
        <v/>
      </c>
      <c r="VXZ18" s="28" t="str">
        <f>IFERROR(IF(VYI3="No",IF(VLOOKUP(DATE($K$1,$K$2,VXZ$4),Table1[],(MATCH(Calendar!$A18,DB!$1:$1,0)),FALSE)&gt;=5,"Good","Bad"),VLOOKUP(DATE($K$1,$K$2,VXZ$4),Table1[],(MATCH(Calendar!$A18,DB!$1:$1,0)),FALSE)),"")</f>
        <v/>
      </c>
      <c r="VYA18" s="28" t="str">
        <f>IFERROR(IF(VYJ3="No",IF(VLOOKUP(DATE($K$1,$K$2,VYA$4),Table1[],(MATCH(Calendar!$A18,DB!$1:$1,0)),FALSE)&gt;=5,"Good","Bad"),VLOOKUP(DATE($K$1,$K$2,VYA$4),Table1[],(MATCH(Calendar!$A18,DB!$1:$1,0)),FALSE)),"")</f>
        <v/>
      </c>
      <c r="VYB18" s="28" t="str">
        <f>IFERROR(IF(VYK3="No",IF(VLOOKUP(DATE($K$1,$K$2,VYB$4),Table1[],(MATCH(Calendar!$A18,DB!$1:$1,0)),FALSE)&gt;=5,"Good","Bad"),VLOOKUP(DATE($K$1,$K$2,VYB$4),Table1[],(MATCH(Calendar!$A18,DB!$1:$1,0)),FALSE)),"")</f>
        <v/>
      </c>
      <c r="VYC18" s="28" t="str">
        <f>IFERROR(IF(VYL3="No",IF(VLOOKUP(DATE($K$1,$K$2,VYC$4),Table1[],(MATCH(Calendar!$A18,DB!$1:$1,0)),FALSE)&gt;=5,"Good","Bad"),VLOOKUP(DATE($K$1,$K$2,VYC$4),Table1[],(MATCH(Calendar!$A18,DB!$1:$1,0)),FALSE)),"")</f>
        <v/>
      </c>
      <c r="VYD18" s="28" t="str">
        <f>IFERROR(IF(VYM3="No",IF(VLOOKUP(DATE($K$1,$K$2,VYD$4),Table1[],(MATCH(Calendar!$A18,DB!$1:$1,0)),FALSE)&gt;=5,"Good","Bad"),VLOOKUP(DATE($K$1,$K$2,VYD$4),Table1[],(MATCH(Calendar!$A18,DB!$1:$1,0)),FALSE)),"")</f>
        <v/>
      </c>
      <c r="VYE18" s="28" t="str">
        <f>IFERROR(IF(VYN3="No",IF(VLOOKUP(DATE($K$1,$K$2,VYE$4),Table1[],(MATCH(Calendar!$A18,DB!$1:$1,0)),FALSE)&gt;=5,"Good","Bad"),VLOOKUP(DATE($K$1,$K$2,VYE$4),Table1[],(MATCH(Calendar!$A18,DB!$1:$1,0)),FALSE)),"")</f>
        <v/>
      </c>
      <c r="VYF18" s="28" t="str">
        <f>IFERROR(IF(VYO3="No",IF(VLOOKUP(DATE($K$1,$K$2,VYF$4),Table1[],(MATCH(Calendar!$A18,DB!$1:$1,0)),FALSE)&gt;=5,"Good","Bad"),VLOOKUP(DATE($K$1,$K$2,VYF$4),Table1[],(MATCH(Calendar!$A18,DB!$1:$1,0)),FALSE)),"")</f>
        <v/>
      </c>
      <c r="VYG18" s="28" t="str">
        <f>IFERROR(IF(VYP3="No",IF(VLOOKUP(DATE($K$1,$K$2,VYG$4),Table1[],(MATCH(Calendar!$A18,DB!$1:$1,0)),FALSE)&gt;=5,"Good","Bad"),VLOOKUP(DATE($K$1,$K$2,VYG$4),Table1[],(MATCH(Calendar!$A18,DB!$1:$1,0)),FALSE)),"")</f>
        <v/>
      </c>
      <c r="VYH18" s="28" t="str">
        <f>IFERROR(IF(VYQ3="No",IF(VLOOKUP(DATE($K$1,$K$2,VYH$4),Table1[],(MATCH(Calendar!$A18,DB!$1:$1,0)),FALSE)&gt;=5,"Good","Bad"),VLOOKUP(DATE($K$1,$K$2,VYH$4),Table1[],(MATCH(Calendar!$A18,DB!$1:$1,0)),FALSE)),"")</f>
        <v/>
      </c>
      <c r="VYI18" s="28" t="str">
        <f>IFERROR(IF(VYR3="No",IF(VLOOKUP(DATE($K$1,$K$2,VYI$4),Table1[],(MATCH(Calendar!$A18,DB!$1:$1,0)),FALSE)&gt;=5,"Good","Bad"),VLOOKUP(DATE($K$1,$K$2,VYI$4),Table1[],(MATCH(Calendar!$A18,DB!$1:$1,0)),FALSE)),"")</f>
        <v/>
      </c>
      <c r="VYJ18" s="28" t="str">
        <f>IFERROR(IF(VYS3="No",IF(VLOOKUP(DATE($K$1,$K$2,VYJ$4),Table1[],(MATCH(Calendar!$A18,DB!$1:$1,0)),FALSE)&gt;=5,"Good","Bad"),VLOOKUP(DATE($K$1,$K$2,VYJ$4),Table1[],(MATCH(Calendar!$A18,DB!$1:$1,0)),FALSE)),"")</f>
        <v/>
      </c>
      <c r="VYK18" s="28" t="str">
        <f>IFERROR(IF(VYT3="No",IF(VLOOKUP(DATE($K$1,$K$2,VYK$4),Table1[],(MATCH(Calendar!$A18,DB!$1:$1,0)),FALSE)&gt;=5,"Good","Bad"),VLOOKUP(DATE($K$1,$K$2,VYK$4),Table1[],(MATCH(Calendar!$A18,DB!$1:$1,0)),FALSE)),"")</f>
        <v/>
      </c>
      <c r="VYL18" s="28" t="str">
        <f>IFERROR(IF(VYU3="No",IF(VLOOKUP(DATE($K$1,$K$2,VYL$4),Table1[],(MATCH(Calendar!$A18,DB!$1:$1,0)),FALSE)&gt;=5,"Good","Bad"),VLOOKUP(DATE($K$1,$K$2,VYL$4),Table1[],(MATCH(Calendar!$A18,DB!$1:$1,0)),FALSE)),"")</f>
        <v/>
      </c>
      <c r="VYM18" s="28" t="str">
        <f>IFERROR(IF(VYV3="No",IF(VLOOKUP(DATE($K$1,$K$2,VYM$4),Table1[],(MATCH(Calendar!$A18,DB!$1:$1,0)),FALSE)&gt;=5,"Good","Bad"),VLOOKUP(DATE($K$1,$K$2,VYM$4),Table1[],(MATCH(Calendar!$A18,DB!$1:$1,0)),FALSE)),"")</f>
        <v/>
      </c>
      <c r="VYN18" s="28" t="str">
        <f>IFERROR(IF(VYW3="No",IF(VLOOKUP(DATE($K$1,$K$2,VYN$4),Table1[],(MATCH(Calendar!$A18,DB!$1:$1,0)),FALSE)&gt;=5,"Good","Bad"),VLOOKUP(DATE($K$1,$K$2,VYN$4),Table1[],(MATCH(Calendar!$A18,DB!$1:$1,0)),FALSE)),"")</f>
        <v/>
      </c>
      <c r="VYO18" s="28" t="str">
        <f>IFERROR(IF(VYX3="No",IF(VLOOKUP(DATE($K$1,$K$2,VYO$4),Table1[],(MATCH(Calendar!$A18,DB!$1:$1,0)),FALSE)&gt;=5,"Good","Bad"),VLOOKUP(DATE($K$1,$K$2,VYO$4),Table1[],(MATCH(Calendar!$A18,DB!$1:$1,0)),FALSE)),"")</f>
        <v/>
      </c>
      <c r="VYP18" s="28" t="str">
        <f>IFERROR(IF(VYY3="No",IF(VLOOKUP(DATE($K$1,$K$2,VYP$4),Table1[],(MATCH(Calendar!$A18,DB!$1:$1,0)),FALSE)&gt;=5,"Good","Bad"),VLOOKUP(DATE($K$1,$K$2,VYP$4),Table1[],(MATCH(Calendar!$A18,DB!$1:$1,0)),FALSE)),"")</f>
        <v/>
      </c>
      <c r="VYQ18" s="28" t="str">
        <f>IFERROR(IF(VYZ3="No",IF(VLOOKUP(DATE($K$1,$K$2,VYQ$4),Table1[],(MATCH(Calendar!$A18,DB!$1:$1,0)),FALSE)&gt;=5,"Good","Bad"),VLOOKUP(DATE($K$1,$K$2,VYQ$4),Table1[],(MATCH(Calendar!$A18,DB!$1:$1,0)),FALSE)),"")</f>
        <v/>
      </c>
      <c r="VYR18" s="28" t="str">
        <f>IFERROR(IF(VZA3="No",IF(VLOOKUP(DATE($K$1,$K$2,VYR$4),Table1[],(MATCH(Calendar!$A18,DB!$1:$1,0)),FALSE)&gt;=5,"Good","Bad"),VLOOKUP(DATE($K$1,$K$2,VYR$4),Table1[],(MATCH(Calendar!$A18,DB!$1:$1,0)),FALSE)),"")</f>
        <v/>
      </c>
      <c r="VYS18" s="28" t="str">
        <f>IFERROR(IF(VZB3="No",IF(VLOOKUP(DATE($K$1,$K$2,VYS$4),Table1[],(MATCH(Calendar!$A18,DB!$1:$1,0)),FALSE)&gt;=5,"Good","Bad"),VLOOKUP(DATE($K$1,$K$2,VYS$4),Table1[],(MATCH(Calendar!$A18,DB!$1:$1,0)),FALSE)),"")</f>
        <v/>
      </c>
      <c r="VYT18" s="28" t="str">
        <f>IFERROR(IF(VZC3="No",IF(VLOOKUP(DATE($K$1,$K$2,VYT$4),Table1[],(MATCH(Calendar!$A18,DB!$1:$1,0)),FALSE)&gt;=5,"Good","Bad"),VLOOKUP(DATE($K$1,$K$2,VYT$4),Table1[],(MATCH(Calendar!$A18,DB!$1:$1,0)),FALSE)),"")</f>
        <v/>
      </c>
      <c r="VYU18" s="28" t="str">
        <f>IFERROR(IF(VZD3="No",IF(VLOOKUP(DATE($K$1,$K$2,VYU$4),Table1[],(MATCH(Calendar!$A18,DB!$1:$1,0)),FALSE)&gt;=5,"Good","Bad"),VLOOKUP(DATE($K$1,$K$2,VYU$4),Table1[],(MATCH(Calendar!$A18,DB!$1:$1,0)),FALSE)),"")</f>
        <v/>
      </c>
      <c r="VYV18" s="28" t="str">
        <f>IFERROR(IF(VZE3="No",IF(VLOOKUP(DATE($K$1,$K$2,VYV$4),Table1[],(MATCH(Calendar!$A18,DB!$1:$1,0)),FALSE)&gt;=5,"Good","Bad"),VLOOKUP(DATE($K$1,$K$2,VYV$4),Table1[],(MATCH(Calendar!$A18,DB!$1:$1,0)),FALSE)),"")</f>
        <v/>
      </c>
      <c r="VYW18" s="28" t="str">
        <f>IFERROR(IF(VZF3="No",IF(VLOOKUP(DATE($K$1,$K$2,VYW$4),Table1[],(MATCH(Calendar!$A18,DB!$1:$1,0)),FALSE)&gt;=5,"Good","Bad"),VLOOKUP(DATE($K$1,$K$2,VYW$4),Table1[],(MATCH(Calendar!$A18,DB!$1:$1,0)),FALSE)),"")</f>
        <v/>
      </c>
      <c r="VYX18" s="28" t="str">
        <f>IFERROR(IF(VZG3="No",IF(VLOOKUP(DATE($K$1,$K$2,VYX$4),Table1[],(MATCH(Calendar!$A18,DB!$1:$1,0)),FALSE)&gt;=5,"Good","Bad"),VLOOKUP(DATE($K$1,$K$2,VYX$4),Table1[],(MATCH(Calendar!$A18,DB!$1:$1,0)),FALSE)),"")</f>
        <v/>
      </c>
      <c r="VYY18" s="28" t="str">
        <f>IFERROR(IF(VZH3="No",IF(VLOOKUP(DATE($K$1,$K$2,VYY$4),Table1[],(MATCH(Calendar!$A18,DB!$1:$1,0)),FALSE)&gt;=5,"Good","Bad"),VLOOKUP(DATE($K$1,$K$2,VYY$4),Table1[],(MATCH(Calendar!$A18,DB!$1:$1,0)),FALSE)),"")</f>
        <v/>
      </c>
      <c r="VYZ18" s="28" t="str">
        <f>IFERROR(IF(VZI3="No",IF(VLOOKUP(DATE($K$1,$K$2,VYZ$4),Table1[],(MATCH(Calendar!$A18,DB!$1:$1,0)),FALSE)&gt;=5,"Good","Bad"),VLOOKUP(DATE($K$1,$K$2,VYZ$4),Table1[],(MATCH(Calendar!$A18,DB!$1:$1,0)),FALSE)),"")</f>
        <v/>
      </c>
      <c r="VZA18" s="28" t="str">
        <f>IFERROR(IF(VZJ3="No",IF(VLOOKUP(DATE($K$1,$K$2,VZA$4),Table1[],(MATCH(Calendar!$A18,DB!$1:$1,0)),FALSE)&gt;=5,"Good","Bad"),VLOOKUP(DATE($K$1,$K$2,VZA$4),Table1[],(MATCH(Calendar!$A18,DB!$1:$1,0)),FALSE)),"")</f>
        <v/>
      </c>
      <c r="VZB18" s="28" t="str">
        <f>IFERROR(IF(VZK3="No",IF(VLOOKUP(DATE($K$1,$K$2,VZB$4),Table1[],(MATCH(Calendar!$A18,DB!$1:$1,0)),FALSE)&gt;=5,"Good","Bad"),VLOOKUP(DATE($K$1,$K$2,VZB$4),Table1[],(MATCH(Calendar!$A18,DB!$1:$1,0)),FALSE)),"")</f>
        <v/>
      </c>
      <c r="VZC18" s="28" t="str">
        <f>IFERROR(IF(VZL3="No",IF(VLOOKUP(DATE($K$1,$K$2,VZC$4),Table1[],(MATCH(Calendar!$A18,DB!$1:$1,0)),FALSE)&gt;=5,"Good","Bad"),VLOOKUP(DATE($K$1,$K$2,VZC$4),Table1[],(MATCH(Calendar!$A18,DB!$1:$1,0)),FALSE)),"")</f>
        <v/>
      </c>
      <c r="VZD18" s="28" t="str">
        <f>IFERROR(IF(VZM3="No",IF(VLOOKUP(DATE($K$1,$K$2,VZD$4),Table1[],(MATCH(Calendar!$A18,DB!$1:$1,0)),FALSE)&gt;=5,"Good","Bad"),VLOOKUP(DATE($K$1,$K$2,VZD$4),Table1[],(MATCH(Calendar!$A18,DB!$1:$1,0)),FALSE)),"")</f>
        <v/>
      </c>
      <c r="VZE18" s="28" t="str">
        <f>IFERROR(IF(VZN3="No",IF(VLOOKUP(DATE($K$1,$K$2,VZE$4),Table1[],(MATCH(Calendar!$A18,DB!$1:$1,0)),FALSE)&gt;=5,"Good","Bad"),VLOOKUP(DATE($K$1,$K$2,VZE$4),Table1[],(MATCH(Calendar!$A18,DB!$1:$1,0)),FALSE)),"")</f>
        <v/>
      </c>
      <c r="VZF18" s="28" t="str">
        <f>IFERROR(IF(VZO3="No",IF(VLOOKUP(DATE($K$1,$K$2,VZF$4),Table1[],(MATCH(Calendar!$A18,DB!$1:$1,0)),FALSE)&gt;=5,"Good","Bad"),VLOOKUP(DATE($K$1,$K$2,VZF$4),Table1[],(MATCH(Calendar!$A18,DB!$1:$1,0)),FALSE)),"")</f>
        <v/>
      </c>
      <c r="VZG18" s="28" t="str">
        <f>IFERROR(IF(VZP3="No",IF(VLOOKUP(DATE($K$1,$K$2,VZG$4),Table1[],(MATCH(Calendar!$A18,DB!$1:$1,0)),FALSE)&gt;=5,"Good","Bad"),VLOOKUP(DATE($K$1,$K$2,VZG$4),Table1[],(MATCH(Calendar!$A18,DB!$1:$1,0)),FALSE)),"")</f>
        <v/>
      </c>
      <c r="VZH18" s="28" t="str">
        <f>IFERROR(IF(VZQ3="No",IF(VLOOKUP(DATE($K$1,$K$2,VZH$4),Table1[],(MATCH(Calendar!$A18,DB!$1:$1,0)),FALSE)&gt;=5,"Good","Bad"),VLOOKUP(DATE($K$1,$K$2,VZH$4),Table1[],(MATCH(Calendar!$A18,DB!$1:$1,0)),FALSE)),"")</f>
        <v/>
      </c>
      <c r="VZI18" s="28" t="str">
        <f>IFERROR(IF(VZR3="No",IF(VLOOKUP(DATE($K$1,$K$2,VZI$4),Table1[],(MATCH(Calendar!$A18,DB!$1:$1,0)),FALSE)&gt;=5,"Good","Bad"),VLOOKUP(DATE($K$1,$K$2,VZI$4),Table1[],(MATCH(Calendar!$A18,DB!$1:$1,0)),FALSE)),"")</f>
        <v/>
      </c>
      <c r="VZJ18" s="28" t="str">
        <f>IFERROR(IF(VZS3="No",IF(VLOOKUP(DATE($K$1,$K$2,VZJ$4),Table1[],(MATCH(Calendar!$A18,DB!$1:$1,0)),FALSE)&gt;=5,"Good","Bad"),VLOOKUP(DATE($K$1,$K$2,VZJ$4),Table1[],(MATCH(Calendar!$A18,DB!$1:$1,0)),FALSE)),"")</f>
        <v/>
      </c>
      <c r="VZK18" s="28" t="str">
        <f>IFERROR(IF(VZT3="No",IF(VLOOKUP(DATE($K$1,$K$2,VZK$4),Table1[],(MATCH(Calendar!$A18,DB!$1:$1,0)),FALSE)&gt;=5,"Good","Bad"),VLOOKUP(DATE($K$1,$K$2,VZK$4),Table1[],(MATCH(Calendar!$A18,DB!$1:$1,0)),FALSE)),"")</f>
        <v/>
      </c>
      <c r="VZL18" s="28" t="str">
        <f>IFERROR(IF(VZU3="No",IF(VLOOKUP(DATE($K$1,$K$2,VZL$4),Table1[],(MATCH(Calendar!$A18,DB!$1:$1,0)),FALSE)&gt;=5,"Good","Bad"),VLOOKUP(DATE($K$1,$K$2,VZL$4),Table1[],(MATCH(Calendar!$A18,DB!$1:$1,0)),FALSE)),"")</f>
        <v/>
      </c>
      <c r="VZM18" s="28" t="str">
        <f>IFERROR(IF(VZV3="No",IF(VLOOKUP(DATE($K$1,$K$2,VZM$4),Table1[],(MATCH(Calendar!$A18,DB!$1:$1,0)),FALSE)&gt;=5,"Good","Bad"),VLOOKUP(DATE($K$1,$K$2,VZM$4),Table1[],(MATCH(Calendar!$A18,DB!$1:$1,0)),FALSE)),"")</f>
        <v/>
      </c>
      <c r="VZN18" s="28" t="str">
        <f>IFERROR(IF(VZW3="No",IF(VLOOKUP(DATE($K$1,$K$2,VZN$4),Table1[],(MATCH(Calendar!$A18,DB!$1:$1,0)),FALSE)&gt;=5,"Good","Bad"),VLOOKUP(DATE($K$1,$K$2,VZN$4),Table1[],(MATCH(Calendar!$A18,DB!$1:$1,0)),FALSE)),"")</f>
        <v/>
      </c>
      <c r="VZO18" s="28" t="str">
        <f>IFERROR(IF(VZX3="No",IF(VLOOKUP(DATE($K$1,$K$2,VZO$4),Table1[],(MATCH(Calendar!$A18,DB!$1:$1,0)),FALSE)&gt;=5,"Good","Bad"),VLOOKUP(DATE($K$1,$K$2,VZO$4),Table1[],(MATCH(Calendar!$A18,DB!$1:$1,0)),FALSE)),"")</f>
        <v/>
      </c>
      <c r="VZP18" s="28" t="str">
        <f>IFERROR(IF(VZY3="No",IF(VLOOKUP(DATE($K$1,$K$2,VZP$4),Table1[],(MATCH(Calendar!$A18,DB!$1:$1,0)),FALSE)&gt;=5,"Good","Bad"),VLOOKUP(DATE($K$1,$K$2,VZP$4),Table1[],(MATCH(Calendar!$A18,DB!$1:$1,0)),FALSE)),"")</f>
        <v/>
      </c>
      <c r="VZQ18" s="28" t="str">
        <f>IFERROR(IF(VZZ3="No",IF(VLOOKUP(DATE($K$1,$K$2,VZQ$4),Table1[],(MATCH(Calendar!$A18,DB!$1:$1,0)),FALSE)&gt;=5,"Good","Bad"),VLOOKUP(DATE($K$1,$K$2,VZQ$4),Table1[],(MATCH(Calendar!$A18,DB!$1:$1,0)),FALSE)),"")</f>
        <v/>
      </c>
      <c r="VZR18" s="28" t="str">
        <f>IFERROR(IF(WAA3="No",IF(VLOOKUP(DATE($K$1,$K$2,VZR$4),Table1[],(MATCH(Calendar!$A18,DB!$1:$1,0)),FALSE)&gt;=5,"Good","Bad"),VLOOKUP(DATE($K$1,$K$2,VZR$4),Table1[],(MATCH(Calendar!$A18,DB!$1:$1,0)),FALSE)),"")</f>
        <v/>
      </c>
      <c r="VZS18" s="28" t="str">
        <f>IFERROR(IF(WAB3="No",IF(VLOOKUP(DATE($K$1,$K$2,VZS$4),Table1[],(MATCH(Calendar!$A18,DB!$1:$1,0)),FALSE)&gt;=5,"Good","Bad"),VLOOKUP(DATE($K$1,$K$2,VZS$4),Table1[],(MATCH(Calendar!$A18,DB!$1:$1,0)),FALSE)),"")</f>
        <v/>
      </c>
      <c r="VZT18" s="28" t="str">
        <f>IFERROR(IF(WAC3="No",IF(VLOOKUP(DATE($K$1,$K$2,VZT$4),Table1[],(MATCH(Calendar!$A18,DB!$1:$1,0)),FALSE)&gt;=5,"Good","Bad"),VLOOKUP(DATE($K$1,$K$2,VZT$4),Table1[],(MATCH(Calendar!$A18,DB!$1:$1,0)),FALSE)),"")</f>
        <v/>
      </c>
      <c r="VZU18" s="28" t="str">
        <f>IFERROR(IF(WAD3="No",IF(VLOOKUP(DATE($K$1,$K$2,VZU$4),Table1[],(MATCH(Calendar!$A18,DB!$1:$1,0)),FALSE)&gt;=5,"Good","Bad"),VLOOKUP(DATE($K$1,$K$2,VZU$4),Table1[],(MATCH(Calendar!$A18,DB!$1:$1,0)),FALSE)),"")</f>
        <v/>
      </c>
      <c r="VZV18" s="28" t="str">
        <f>IFERROR(IF(WAE3="No",IF(VLOOKUP(DATE($K$1,$K$2,VZV$4),Table1[],(MATCH(Calendar!$A18,DB!$1:$1,0)),FALSE)&gt;=5,"Good","Bad"),VLOOKUP(DATE($K$1,$K$2,VZV$4),Table1[],(MATCH(Calendar!$A18,DB!$1:$1,0)),FALSE)),"")</f>
        <v/>
      </c>
      <c r="VZW18" s="28" t="str">
        <f>IFERROR(IF(WAF3="No",IF(VLOOKUP(DATE($K$1,$K$2,VZW$4),Table1[],(MATCH(Calendar!$A18,DB!$1:$1,0)),FALSE)&gt;=5,"Good","Bad"),VLOOKUP(DATE($K$1,$K$2,VZW$4),Table1[],(MATCH(Calendar!$A18,DB!$1:$1,0)),FALSE)),"")</f>
        <v/>
      </c>
      <c r="VZX18" s="28" t="str">
        <f>IFERROR(IF(WAG3="No",IF(VLOOKUP(DATE($K$1,$K$2,VZX$4),Table1[],(MATCH(Calendar!$A18,DB!$1:$1,0)),FALSE)&gt;=5,"Good","Bad"),VLOOKUP(DATE($K$1,$K$2,VZX$4),Table1[],(MATCH(Calendar!$A18,DB!$1:$1,0)),FALSE)),"")</f>
        <v/>
      </c>
      <c r="VZY18" s="28" t="str">
        <f>IFERROR(IF(WAH3="No",IF(VLOOKUP(DATE($K$1,$K$2,VZY$4),Table1[],(MATCH(Calendar!$A18,DB!$1:$1,0)),FALSE)&gt;=5,"Good","Bad"),VLOOKUP(DATE($K$1,$K$2,VZY$4),Table1[],(MATCH(Calendar!$A18,DB!$1:$1,0)),FALSE)),"")</f>
        <v/>
      </c>
      <c r="VZZ18" s="28" t="str">
        <f>IFERROR(IF(WAI3="No",IF(VLOOKUP(DATE($K$1,$K$2,VZZ$4),Table1[],(MATCH(Calendar!$A18,DB!$1:$1,0)),FALSE)&gt;=5,"Good","Bad"),VLOOKUP(DATE($K$1,$K$2,VZZ$4),Table1[],(MATCH(Calendar!$A18,DB!$1:$1,0)),FALSE)),"")</f>
        <v/>
      </c>
      <c r="WAA18" s="28" t="str">
        <f>IFERROR(IF(WAJ3="No",IF(VLOOKUP(DATE($K$1,$K$2,WAA$4),Table1[],(MATCH(Calendar!$A18,DB!$1:$1,0)),FALSE)&gt;=5,"Good","Bad"),VLOOKUP(DATE($K$1,$K$2,WAA$4),Table1[],(MATCH(Calendar!$A18,DB!$1:$1,0)),FALSE)),"")</f>
        <v/>
      </c>
      <c r="WAB18" s="28" t="str">
        <f>IFERROR(IF(WAK3="No",IF(VLOOKUP(DATE($K$1,$K$2,WAB$4),Table1[],(MATCH(Calendar!$A18,DB!$1:$1,0)),FALSE)&gt;=5,"Good","Bad"),VLOOKUP(DATE($K$1,$K$2,WAB$4),Table1[],(MATCH(Calendar!$A18,DB!$1:$1,0)),FALSE)),"")</f>
        <v/>
      </c>
      <c r="WAC18" s="28" t="str">
        <f>IFERROR(IF(WAL3="No",IF(VLOOKUP(DATE($K$1,$K$2,WAC$4),Table1[],(MATCH(Calendar!$A18,DB!$1:$1,0)),FALSE)&gt;=5,"Good","Bad"),VLOOKUP(DATE($K$1,$K$2,WAC$4),Table1[],(MATCH(Calendar!$A18,DB!$1:$1,0)),FALSE)),"")</f>
        <v/>
      </c>
      <c r="WAD18" s="28" t="str">
        <f>IFERROR(IF(WAM3="No",IF(VLOOKUP(DATE($K$1,$K$2,WAD$4),Table1[],(MATCH(Calendar!$A18,DB!$1:$1,0)),FALSE)&gt;=5,"Good","Bad"),VLOOKUP(DATE($K$1,$K$2,WAD$4),Table1[],(MATCH(Calendar!$A18,DB!$1:$1,0)),FALSE)),"")</f>
        <v/>
      </c>
      <c r="WAE18" s="28" t="str">
        <f>IFERROR(IF(WAN3="No",IF(VLOOKUP(DATE($K$1,$K$2,WAE$4),Table1[],(MATCH(Calendar!$A18,DB!$1:$1,0)),FALSE)&gt;=5,"Good","Bad"),VLOOKUP(DATE($K$1,$K$2,WAE$4),Table1[],(MATCH(Calendar!$A18,DB!$1:$1,0)),FALSE)),"")</f>
        <v/>
      </c>
      <c r="WAF18" s="28" t="str">
        <f>IFERROR(IF(WAO3="No",IF(VLOOKUP(DATE($K$1,$K$2,WAF$4),Table1[],(MATCH(Calendar!$A18,DB!$1:$1,0)),FALSE)&gt;=5,"Good","Bad"),VLOOKUP(DATE($K$1,$K$2,WAF$4),Table1[],(MATCH(Calendar!$A18,DB!$1:$1,0)),FALSE)),"")</f>
        <v/>
      </c>
      <c r="WAG18" s="28" t="str">
        <f>IFERROR(IF(WAP3="No",IF(VLOOKUP(DATE($K$1,$K$2,WAG$4),Table1[],(MATCH(Calendar!$A18,DB!$1:$1,0)),FALSE)&gt;=5,"Good","Bad"),VLOOKUP(DATE($K$1,$K$2,WAG$4),Table1[],(MATCH(Calendar!$A18,DB!$1:$1,0)),FALSE)),"")</f>
        <v/>
      </c>
      <c r="WAH18" s="28" t="str">
        <f>IFERROR(IF(WAQ3="No",IF(VLOOKUP(DATE($K$1,$K$2,WAH$4),Table1[],(MATCH(Calendar!$A18,DB!$1:$1,0)),FALSE)&gt;=5,"Good","Bad"),VLOOKUP(DATE($K$1,$K$2,WAH$4),Table1[],(MATCH(Calendar!$A18,DB!$1:$1,0)),FALSE)),"")</f>
        <v/>
      </c>
      <c r="WAI18" s="28" t="str">
        <f>IFERROR(IF(WAR3="No",IF(VLOOKUP(DATE($K$1,$K$2,WAI$4),Table1[],(MATCH(Calendar!$A18,DB!$1:$1,0)),FALSE)&gt;=5,"Good","Bad"),VLOOKUP(DATE($K$1,$K$2,WAI$4),Table1[],(MATCH(Calendar!$A18,DB!$1:$1,0)),FALSE)),"")</f>
        <v/>
      </c>
      <c r="WAJ18" s="28" t="str">
        <f>IFERROR(IF(WAS3="No",IF(VLOOKUP(DATE($K$1,$K$2,WAJ$4),Table1[],(MATCH(Calendar!$A18,DB!$1:$1,0)),FALSE)&gt;=5,"Good","Bad"),VLOOKUP(DATE($K$1,$K$2,WAJ$4),Table1[],(MATCH(Calendar!$A18,DB!$1:$1,0)),FALSE)),"")</f>
        <v/>
      </c>
      <c r="WAK18" s="28" t="str">
        <f>IFERROR(IF(WAT3="No",IF(VLOOKUP(DATE($K$1,$K$2,WAK$4),Table1[],(MATCH(Calendar!$A18,DB!$1:$1,0)),FALSE)&gt;=5,"Good","Bad"),VLOOKUP(DATE($K$1,$K$2,WAK$4),Table1[],(MATCH(Calendar!$A18,DB!$1:$1,0)),FALSE)),"")</f>
        <v/>
      </c>
      <c r="WAL18" s="28" t="str">
        <f>IFERROR(IF(WAU3="No",IF(VLOOKUP(DATE($K$1,$K$2,WAL$4),Table1[],(MATCH(Calendar!$A18,DB!$1:$1,0)),FALSE)&gt;=5,"Good","Bad"),VLOOKUP(DATE($K$1,$K$2,WAL$4),Table1[],(MATCH(Calendar!$A18,DB!$1:$1,0)),FALSE)),"")</f>
        <v/>
      </c>
      <c r="WAM18" s="28" t="str">
        <f>IFERROR(IF(WAV3="No",IF(VLOOKUP(DATE($K$1,$K$2,WAM$4),Table1[],(MATCH(Calendar!$A18,DB!$1:$1,0)),FALSE)&gt;=5,"Good","Bad"),VLOOKUP(DATE($K$1,$K$2,WAM$4),Table1[],(MATCH(Calendar!$A18,DB!$1:$1,0)),FALSE)),"")</f>
        <v/>
      </c>
      <c r="WAN18" s="28" t="str">
        <f>IFERROR(IF(WAW3="No",IF(VLOOKUP(DATE($K$1,$K$2,WAN$4),Table1[],(MATCH(Calendar!$A18,DB!$1:$1,0)),FALSE)&gt;=5,"Good","Bad"),VLOOKUP(DATE($K$1,$K$2,WAN$4),Table1[],(MATCH(Calendar!$A18,DB!$1:$1,0)),FALSE)),"")</f>
        <v/>
      </c>
      <c r="WAO18" s="28" t="str">
        <f>IFERROR(IF(WAX3="No",IF(VLOOKUP(DATE($K$1,$K$2,WAO$4),Table1[],(MATCH(Calendar!$A18,DB!$1:$1,0)),FALSE)&gt;=5,"Good","Bad"),VLOOKUP(DATE($K$1,$K$2,WAO$4),Table1[],(MATCH(Calendar!$A18,DB!$1:$1,0)),FALSE)),"")</f>
        <v/>
      </c>
      <c r="WAP18" s="28" t="str">
        <f>IFERROR(IF(WAY3="No",IF(VLOOKUP(DATE($K$1,$K$2,WAP$4),Table1[],(MATCH(Calendar!$A18,DB!$1:$1,0)),FALSE)&gt;=5,"Good","Bad"),VLOOKUP(DATE($K$1,$K$2,WAP$4),Table1[],(MATCH(Calendar!$A18,DB!$1:$1,0)),FALSE)),"")</f>
        <v/>
      </c>
      <c r="WAQ18" s="28" t="str">
        <f>IFERROR(IF(WAZ3="No",IF(VLOOKUP(DATE($K$1,$K$2,WAQ$4),Table1[],(MATCH(Calendar!$A18,DB!$1:$1,0)),FALSE)&gt;=5,"Good","Bad"),VLOOKUP(DATE($K$1,$K$2,WAQ$4),Table1[],(MATCH(Calendar!$A18,DB!$1:$1,0)),FALSE)),"")</f>
        <v/>
      </c>
      <c r="WAR18" s="28" t="str">
        <f>IFERROR(IF(WBA3="No",IF(VLOOKUP(DATE($K$1,$K$2,WAR$4),Table1[],(MATCH(Calendar!$A18,DB!$1:$1,0)),FALSE)&gt;=5,"Good","Bad"),VLOOKUP(DATE($K$1,$K$2,WAR$4),Table1[],(MATCH(Calendar!$A18,DB!$1:$1,0)),FALSE)),"")</f>
        <v/>
      </c>
      <c r="WAS18" s="28" t="str">
        <f>IFERROR(IF(WBB3="No",IF(VLOOKUP(DATE($K$1,$K$2,WAS$4),Table1[],(MATCH(Calendar!$A18,DB!$1:$1,0)),FALSE)&gt;=5,"Good","Bad"),VLOOKUP(DATE($K$1,$K$2,WAS$4),Table1[],(MATCH(Calendar!$A18,DB!$1:$1,0)),FALSE)),"")</f>
        <v/>
      </c>
      <c r="WAT18" s="28" t="str">
        <f>IFERROR(IF(WBC3="No",IF(VLOOKUP(DATE($K$1,$K$2,WAT$4),Table1[],(MATCH(Calendar!$A18,DB!$1:$1,0)),FALSE)&gt;=5,"Good","Bad"),VLOOKUP(DATE($K$1,$K$2,WAT$4),Table1[],(MATCH(Calendar!$A18,DB!$1:$1,0)),FALSE)),"")</f>
        <v/>
      </c>
      <c r="WAU18" s="28" t="str">
        <f>IFERROR(IF(WBD3="No",IF(VLOOKUP(DATE($K$1,$K$2,WAU$4),Table1[],(MATCH(Calendar!$A18,DB!$1:$1,0)),FALSE)&gt;=5,"Good","Bad"),VLOOKUP(DATE($K$1,$K$2,WAU$4),Table1[],(MATCH(Calendar!$A18,DB!$1:$1,0)),FALSE)),"")</f>
        <v/>
      </c>
      <c r="WAV18" s="28" t="str">
        <f>IFERROR(IF(WBE3="No",IF(VLOOKUP(DATE($K$1,$K$2,WAV$4),Table1[],(MATCH(Calendar!$A18,DB!$1:$1,0)),FALSE)&gt;=5,"Good","Bad"),VLOOKUP(DATE($K$1,$K$2,WAV$4),Table1[],(MATCH(Calendar!$A18,DB!$1:$1,0)),FALSE)),"")</f>
        <v/>
      </c>
      <c r="WAW18" s="28" t="str">
        <f>IFERROR(IF(WBF3="No",IF(VLOOKUP(DATE($K$1,$K$2,WAW$4),Table1[],(MATCH(Calendar!$A18,DB!$1:$1,0)),FALSE)&gt;=5,"Good","Bad"),VLOOKUP(DATE($K$1,$K$2,WAW$4),Table1[],(MATCH(Calendar!$A18,DB!$1:$1,0)),FALSE)),"")</f>
        <v/>
      </c>
      <c r="WAX18" s="28" t="str">
        <f>IFERROR(IF(WBG3="No",IF(VLOOKUP(DATE($K$1,$K$2,WAX$4),Table1[],(MATCH(Calendar!$A18,DB!$1:$1,0)),FALSE)&gt;=5,"Good","Bad"),VLOOKUP(DATE($K$1,$K$2,WAX$4),Table1[],(MATCH(Calendar!$A18,DB!$1:$1,0)),FALSE)),"")</f>
        <v/>
      </c>
      <c r="WAY18" s="28" t="str">
        <f>IFERROR(IF(WBH3="No",IF(VLOOKUP(DATE($K$1,$K$2,WAY$4),Table1[],(MATCH(Calendar!$A18,DB!$1:$1,0)),FALSE)&gt;=5,"Good","Bad"),VLOOKUP(DATE($K$1,$K$2,WAY$4),Table1[],(MATCH(Calendar!$A18,DB!$1:$1,0)),FALSE)),"")</f>
        <v/>
      </c>
      <c r="WAZ18" s="28" t="str">
        <f>IFERROR(IF(WBI3="No",IF(VLOOKUP(DATE($K$1,$K$2,WAZ$4),Table1[],(MATCH(Calendar!$A18,DB!$1:$1,0)),FALSE)&gt;=5,"Good","Bad"),VLOOKUP(DATE($K$1,$K$2,WAZ$4),Table1[],(MATCH(Calendar!$A18,DB!$1:$1,0)),FALSE)),"")</f>
        <v/>
      </c>
      <c r="WBA18" s="28" t="str">
        <f>IFERROR(IF(WBJ3="No",IF(VLOOKUP(DATE($K$1,$K$2,WBA$4),Table1[],(MATCH(Calendar!$A18,DB!$1:$1,0)),FALSE)&gt;=5,"Good","Bad"),VLOOKUP(DATE($K$1,$K$2,WBA$4),Table1[],(MATCH(Calendar!$A18,DB!$1:$1,0)),FALSE)),"")</f>
        <v/>
      </c>
      <c r="WBB18" s="28" t="str">
        <f>IFERROR(IF(WBK3="No",IF(VLOOKUP(DATE($K$1,$K$2,WBB$4),Table1[],(MATCH(Calendar!$A18,DB!$1:$1,0)),FALSE)&gt;=5,"Good","Bad"),VLOOKUP(DATE($K$1,$K$2,WBB$4),Table1[],(MATCH(Calendar!$A18,DB!$1:$1,0)),FALSE)),"")</f>
        <v/>
      </c>
      <c r="WBC18" s="28" t="str">
        <f>IFERROR(IF(WBL3="No",IF(VLOOKUP(DATE($K$1,$K$2,WBC$4),Table1[],(MATCH(Calendar!$A18,DB!$1:$1,0)),FALSE)&gt;=5,"Good","Bad"),VLOOKUP(DATE($K$1,$K$2,WBC$4),Table1[],(MATCH(Calendar!$A18,DB!$1:$1,0)),FALSE)),"")</f>
        <v/>
      </c>
      <c r="WBD18" s="28" t="str">
        <f>IFERROR(IF(WBM3="No",IF(VLOOKUP(DATE($K$1,$K$2,WBD$4),Table1[],(MATCH(Calendar!$A18,DB!$1:$1,0)),FALSE)&gt;=5,"Good","Bad"),VLOOKUP(DATE($K$1,$K$2,WBD$4),Table1[],(MATCH(Calendar!$A18,DB!$1:$1,0)),FALSE)),"")</f>
        <v/>
      </c>
      <c r="WBE18" s="28" t="str">
        <f>IFERROR(IF(WBN3="No",IF(VLOOKUP(DATE($K$1,$K$2,WBE$4),Table1[],(MATCH(Calendar!$A18,DB!$1:$1,0)),FALSE)&gt;=5,"Good","Bad"),VLOOKUP(DATE($K$1,$K$2,WBE$4),Table1[],(MATCH(Calendar!$A18,DB!$1:$1,0)),FALSE)),"")</f>
        <v/>
      </c>
      <c r="WBF18" s="28" t="str">
        <f>IFERROR(IF(WBO3="No",IF(VLOOKUP(DATE($K$1,$K$2,WBF$4),Table1[],(MATCH(Calendar!$A18,DB!$1:$1,0)),FALSE)&gt;=5,"Good","Bad"),VLOOKUP(DATE($K$1,$K$2,WBF$4),Table1[],(MATCH(Calendar!$A18,DB!$1:$1,0)),FALSE)),"")</f>
        <v/>
      </c>
      <c r="WBG18" s="28" t="str">
        <f>IFERROR(IF(WBP3="No",IF(VLOOKUP(DATE($K$1,$K$2,WBG$4),Table1[],(MATCH(Calendar!$A18,DB!$1:$1,0)),FALSE)&gt;=5,"Good","Bad"),VLOOKUP(DATE($K$1,$K$2,WBG$4),Table1[],(MATCH(Calendar!$A18,DB!$1:$1,0)),FALSE)),"")</f>
        <v/>
      </c>
      <c r="WBH18" s="28" t="str">
        <f>IFERROR(IF(WBQ3="No",IF(VLOOKUP(DATE($K$1,$K$2,WBH$4),Table1[],(MATCH(Calendar!$A18,DB!$1:$1,0)),FALSE)&gt;=5,"Good","Bad"),VLOOKUP(DATE($K$1,$K$2,WBH$4),Table1[],(MATCH(Calendar!$A18,DB!$1:$1,0)),FALSE)),"")</f>
        <v/>
      </c>
      <c r="WBI18" s="28" t="str">
        <f>IFERROR(IF(WBR3="No",IF(VLOOKUP(DATE($K$1,$K$2,WBI$4),Table1[],(MATCH(Calendar!$A18,DB!$1:$1,0)),FALSE)&gt;=5,"Good","Bad"),VLOOKUP(DATE($K$1,$K$2,WBI$4),Table1[],(MATCH(Calendar!$A18,DB!$1:$1,0)),FALSE)),"")</f>
        <v/>
      </c>
      <c r="WBJ18" s="28" t="str">
        <f>IFERROR(IF(WBS3="No",IF(VLOOKUP(DATE($K$1,$K$2,WBJ$4),Table1[],(MATCH(Calendar!$A18,DB!$1:$1,0)),FALSE)&gt;=5,"Good","Bad"),VLOOKUP(DATE($K$1,$K$2,WBJ$4),Table1[],(MATCH(Calendar!$A18,DB!$1:$1,0)),FALSE)),"")</f>
        <v/>
      </c>
      <c r="WBK18" s="28" t="str">
        <f>IFERROR(IF(WBT3="No",IF(VLOOKUP(DATE($K$1,$K$2,WBK$4),Table1[],(MATCH(Calendar!$A18,DB!$1:$1,0)),FALSE)&gt;=5,"Good","Bad"),VLOOKUP(DATE($K$1,$K$2,WBK$4),Table1[],(MATCH(Calendar!$A18,DB!$1:$1,0)),FALSE)),"")</f>
        <v/>
      </c>
      <c r="WBL18" s="28" t="str">
        <f>IFERROR(IF(WBU3="No",IF(VLOOKUP(DATE($K$1,$K$2,WBL$4),Table1[],(MATCH(Calendar!$A18,DB!$1:$1,0)),FALSE)&gt;=5,"Good","Bad"),VLOOKUP(DATE($K$1,$K$2,WBL$4),Table1[],(MATCH(Calendar!$A18,DB!$1:$1,0)),FALSE)),"")</f>
        <v/>
      </c>
      <c r="WBM18" s="28" t="str">
        <f>IFERROR(IF(WBV3="No",IF(VLOOKUP(DATE($K$1,$K$2,WBM$4),Table1[],(MATCH(Calendar!$A18,DB!$1:$1,0)),FALSE)&gt;=5,"Good","Bad"),VLOOKUP(DATE($K$1,$K$2,WBM$4),Table1[],(MATCH(Calendar!$A18,DB!$1:$1,0)),FALSE)),"")</f>
        <v/>
      </c>
      <c r="WBN18" s="28" t="str">
        <f>IFERROR(IF(WBW3="No",IF(VLOOKUP(DATE($K$1,$K$2,WBN$4),Table1[],(MATCH(Calendar!$A18,DB!$1:$1,0)),FALSE)&gt;=5,"Good","Bad"),VLOOKUP(DATE($K$1,$K$2,WBN$4),Table1[],(MATCH(Calendar!$A18,DB!$1:$1,0)),FALSE)),"")</f>
        <v/>
      </c>
      <c r="WBO18" s="28" t="str">
        <f>IFERROR(IF(WBX3="No",IF(VLOOKUP(DATE($K$1,$K$2,WBO$4),Table1[],(MATCH(Calendar!$A18,DB!$1:$1,0)),FALSE)&gt;=5,"Good","Bad"),VLOOKUP(DATE($K$1,$K$2,WBO$4),Table1[],(MATCH(Calendar!$A18,DB!$1:$1,0)),FALSE)),"")</f>
        <v/>
      </c>
      <c r="WBP18" s="28" t="str">
        <f>IFERROR(IF(WBY3="No",IF(VLOOKUP(DATE($K$1,$K$2,WBP$4),Table1[],(MATCH(Calendar!$A18,DB!$1:$1,0)),FALSE)&gt;=5,"Good","Bad"),VLOOKUP(DATE($K$1,$K$2,WBP$4),Table1[],(MATCH(Calendar!$A18,DB!$1:$1,0)),FALSE)),"")</f>
        <v/>
      </c>
      <c r="WBQ18" s="28" t="str">
        <f>IFERROR(IF(WBZ3="No",IF(VLOOKUP(DATE($K$1,$K$2,WBQ$4),Table1[],(MATCH(Calendar!$A18,DB!$1:$1,0)),FALSE)&gt;=5,"Good","Bad"),VLOOKUP(DATE($K$1,$K$2,WBQ$4),Table1[],(MATCH(Calendar!$A18,DB!$1:$1,0)),FALSE)),"")</f>
        <v/>
      </c>
      <c r="WBR18" s="28" t="str">
        <f>IFERROR(IF(WCA3="No",IF(VLOOKUP(DATE($K$1,$K$2,WBR$4),Table1[],(MATCH(Calendar!$A18,DB!$1:$1,0)),FALSE)&gt;=5,"Good","Bad"),VLOOKUP(DATE($K$1,$K$2,WBR$4),Table1[],(MATCH(Calendar!$A18,DB!$1:$1,0)),FALSE)),"")</f>
        <v/>
      </c>
      <c r="WBS18" s="28" t="str">
        <f>IFERROR(IF(WCB3="No",IF(VLOOKUP(DATE($K$1,$K$2,WBS$4),Table1[],(MATCH(Calendar!$A18,DB!$1:$1,0)),FALSE)&gt;=5,"Good","Bad"),VLOOKUP(DATE($K$1,$K$2,WBS$4),Table1[],(MATCH(Calendar!$A18,DB!$1:$1,0)),FALSE)),"")</f>
        <v/>
      </c>
      <c r="WBT18" s="28" t="str">
        <f>IFERROR(IF(WCC3="No",IF(VLOOKUP(DATE($K$1,$K$2,WBT$4),Table1[],(MATCH(Calendar!$A18,DB!$1:$1,0)),FALSE)&gt;=5,"Good","Bad"),VLOOKUP(DATE($K$1,$K$2,WBT$4),Table1[],(MATCH(Calendar!$A18,DB!$1:$1,0)),FALSE)),"")</f>
        <v/>
      </c>
      <c r="WBU18" s="28" t="str">
        <f>IFERROR(IF(WCD3="No",IF(VLOOKUP(DATE($K$1,$K$2,WBU$4),Table1[],(MATCH(Calendar!$A18,DB!$1:$1,0)),FALSE)&gt;=5,"Good","Bad"),VLOOKUP(DATE($K$1,$K$2,WBU$4),Table1[],(MATCH(Calendar!$A18,DB!$1:$1,0)),FALSE)),"")</f>
        <v/>
      </c>
      <c r="WBV18" s="28" t="str">
        <f>IFERROR(IF(WCE3="No",IF(VLOOKUP(DATE($K$1,$K$2,WBV$4),Table1[],(MATCH(Calendar!$A18,DB!$1:$1,0)),FALSE)&gt;=5,"Good","Bad"),VLOOKUP(DATE($K$1,$K$2,WBV$4),Table1[],(MATCH(Calendar!$A18,DB!$1:$1,0)),FALSE)),"")</f>
        <v/>
      </c>
      <c r="WBW18" s="28" t="str">
        <f>IFERROR(IF(WCF3="No",IF(VLOOKUP(DATE($K$1,$K$2,WBW$4),Table1[],(MATCH(Calendar!$A18,DB!$1:$1,0)),FALSE)&gt;=5,"Good","Bad"),VLOOKUP(DATE($K$1,$K$2,WBW$4),Table1[],(MATCH(Calendar!$A18,DB!$1:$1,0)),FALSE)),"")</f>
        <v/>
      </c>
      <c r="WBX18" s="28" t="str">
        <f>IFERROR(IF(WCG3="No",IF(VLOOKUP(DATE($K$1,$K$2,WBX$4),Table1[],(MATCH(Calendar!$A18,DB!$1:$1,0)),FALSE)&gt;=5,"Good","Bad"),VLOOKUP(DATE($K$1,$K$2,WBX$4),Table1[],(MATCH(Calendar!$A18,DB!$1:$1,0)),FALSE)),"")</f>
        <v/>
      </c>
      <c r="WBY18" s="28" t="str">
        <f>IFERROR(IF(WCH3="No",IF(VLOOKUP(DATE($K$1,$K$2,WBY$4),Table1[],(MATCH(Calendar!$A18,DB!$1:$1,0)),FALSE)&gt;=5,"Good","Bad"),VLOOKUP(DATE($K$1,$K$2,WBY$4),Table1[],(MATCH(Calendar!$A18,DB!$1:$1,0)),FALSE)),"")</f>
        <v/>
      </c>
      <c r="WBZ18" s="28" t="str">
        <f>IFERROR(IF(WCI3="No",IF(VLOOKUP(DATE($K$1,$K$2,WBZ$4),Table1[],(MATCH(Calendar!$A18,DB!$1:$1,0)),FALSE)&gt;=5,"Good","Bad"),VLOOKUP(DATE($K$1,$K$2,WBZ$4),Table1[],(MATCH(Calendar!$A18,DB!$1:$1,0)),FALSE)),"")</f>
        <v/>
      </c>
      <c r="WCA18" s="28" t="str">
        <f>IFERROR(IF(WCJ3="No",IF(VLOOKUP(DATE($K$1,$K$2,WCA$4),Table1[],(MATCH(Calendar!$A18,DB!$1:$1,0)),FALSE)&gt;=5,"Good","Bad"),VLOOKUP(DATE($K$1,$K$2,WCA$4),Table1[],(MATCH(Calendar!$A18,DB!$1:$1,0)),FALSE)),"")</f>
        <v/>
      </c>
      <c r="WCB18" s="28" t="str">
        <f>IFERROR(IF(WCK3="No",IF(VLOOKUP(DATE($K$1,$K$2,WCB$4),Table1[],(MATCH(Calendar!$A18,DB!$1:$1,0)),FALSE)&gt;=5,"Good","Bad"),VLOOKUP(DATE($K$1,$K$2,WCB$4),Table1[],(MATCH(Calendar!$A18,DB!$1:$1,0)),FALSE)),"")</f>
        <v/>
      </c>
      <c r="WCC18" s="28" t="str">
        <f>IFERROR(IF(WCL3="No",IF(VLOOKUP(DATE($K$1,$K$2,WCC$4),Table1[],(MATCH(Calendar!$A18,DB!$1:$1,0)),FALSE)&gt;=5,"Good","Bad"),VLOOKUP(DATE($K$1,$K$2,WCC$4),Table1[],(MATCH(Calendar!$A18,DB!$1:$1,0)),FALSE)),"")</f>
        <v/>
      </c>
      <c r="WCD18" s="28" t="str">
        <f>IFERROR(IF(WCM3="No",IF(VLOOKUP(DATE($K$1,$K$2,WCD$4),Table1[],(MATCH(Calendar!$A18,DB!$1:$1,0)),FALSE)&gt;=5,"Good","Bad"),VLOOKUP(DATE($K$1,$K$2,WCD$4),Table1[],(MATCH(Calendar!$A18,DB!$1:$1,0)),FALSE)),"")</f>
        <v/>
      </c>
      <c r="WCE18" s="28" t="str">
        <f>IFERROR(IF(WCN3="No",IF(VLOOKUP(DATE($K$1,$K$2,WCE$4),Table1[],(MATCH(Calendar!$A18,DB!$1:$1,0)),FALSE)&gt;=5,"Good","Bad"),VLOOKUP(DATE($K$1,$K$2,WCE$4),Table1[],(MATCH(Calendar!$A18,DB!$1:$1,0)),FALSE)),"")</f>
        <v/>
      </c>
      <c r="WCF18" s="28" t="str">
        <f>IFERROR(IF(WCO3="No",IF(VLOOKUP(DATE($K$1,$K$2,WCF$4),Table1[],(MATCH(Calendar!$A18,DB!$1:$1,0)),FALSE)&gt;=5,"Good","Bad"),VLOOKUP(DATE($K$1,$K$2,WCF$4),Table1[],(MATCH(Calendar!$A18,DB!$1:$1,0)),FALSE)),"")</f>
        <v/>
      </c>
      <c r="WCG18" s="28" t="str">
        <f>IFERROR(IF(WCP3="No",IF(VLOOKUP(DATE($K$1,$K$2,WCG$4),Table1[],(MATCH(Calendar!$A18,DB!$1:$1,0)),FALSE)&gt;=5,"Good","Bad"),VLOOKUP(DATE($K$1,$K$2,WCG$4),Table1[],(MATCH(Calendar!$A18,DB!$1:$1,0)),FALSE)),"")</f>
        <v/>
      </c>
      <c r="WCH18" s="28" t="str">
        <f>IFERROR(IF(WCQ3="No",IF(VLOOKUP(DATE($K$1,$K$2,WCH$4),Table1[],(MATCH(Calendar!$A18,DB!$1:$1,0)),FALSE)&gt;=5,"Good","Bad"),VLOOKUP(DATE($K$1,$K$2,WCH$4),Table1[],(MATCH(Calendar!$A18,DB!$1:$1,0)),FALSE)),"")</f>
        <v/>
      </c>
      <c r="WCI18" s="28" t="str">
        <f>IFERROR(IF(WCR3="No",IF(VLOOKUP(DATE($K$1,$K$2,WCI$4),Table1[],(MATCH(Calendar!$A18,DB!$1:$1,0)),FALSE)&gt;=5,"Good","Bad"),VLOOKUP(DATE($K$1,$K$2,WCI$4),Table1[],(MATCH(Calendar!$A18,DB!$1:$1,0)),FALSE)),"")</f>
        <v/>
      </c>
      <c r="WCJ18" s="28" t="str">
        <f>IFERROR(IF(WCS3="No",IF(VLOOKUP(DATE($K$1,$K$2,WCJ$4),Table1[],(MATCH(Calendar!$A18,DB!$1:$1,0)),FALSE)&gt;=5,"Good","Bad"),VLOOKUP(DATE($K$1,$K$2,WCJ$4),Table1[],(MATCH(Calendar!$A18,DB!$1:$1,0)),FALSE)),"")</f>
        <v/>
      </c>
      <c r="WCK18" s="28" t="str">
        <f>IFERROR(IF(WCT3="No",IF(VLOOKUP(DATE($K$1,$K$2,WCK$4),Table1[],(MATCH(Calendar!$A18,DB!$1:$1,0)),FALSE)&gt;=5,"Good","Bad"),VLOOKUP(DATE($K$1,$K$2,WCK$4),Table1[],(MATCH(Calendar!$A18,DB!$1:$1,0)),FALSE)),"")</f>
        <v/>
      </c>
      <c r="WCL18" s="28" t="str">
        <f>IFERROR(IF(WCU3="No",IF(VLOOKUP(DATE($K$1,$K$2,WCL$4),Table1[],(MATCH(Calendar!$A18,DB!$1:$1,0)),FALSE)&gt;=5,"Good","Bad"),VLOOKUP(DATE($K$1,$K$2,WCL$4),Table1[],(MATCH(Calendar!$A18,DB!$1:$1,0)),FALSE)),"")</f>
        <v/>
      </c>
      <c r="WCM18" s="28" t="str">
        <f>IFERROR(IF(WCV3="No",IF(VLOOKUP(DATE($K$1,$K$2,WCM$4),Table1[],(MATCH(Calendar!$A18,DB!$1:$1,0)),FALSE)&gt;=5,"Good","Bad"),VLOOKUP(DATE($K$1,$K$2,WCM$4),Table1[],(MATCH(Calendar!$A18,DB!$1:$1,0)),FALSE)),"")</f>
        <v/>
      </c>
      <c r="WCN18" s="28" t="str">
        <f>IFERROR(IF(WCW3="No",IF(VLOOKUP(DATE($K$1,$K$2,WCN$4),Table1[],(MATCH(Calendar!$A18,DB!$1:$1,0)),FALSE)&gt;=5,"Good","Bad"),VLOOKUP(DATE($K$1,$K$2,WCN$4),Table1[],(MATCH(Calendar!$A18,DB!$1:$1,0)),FALSE)),"")</f>
        <v/>
      </c>
      <c r="WCO18" s="28" t="str">
        <f>IFERROR(IF(WCX3="No",IF(VLOOKUP(DATE($K$1,$K$2,WCO$4),Table1[],(MATCH(Calendar!$A18,DB!$1:$1,0)),FALSE)&gt;=5,"Good","Bad"),VLOOKUP(DATE($K$1,$K$2,WCO$4),Table1[],(MATCH(Calendar!$A18,DB!$1:$1,0)),FALSE)),"")</f>
        <v/>
      </c>
      <c r="WCP18" s="28" t="str">
        <f>IFERROR(IF(WCY3="No",IF(VLOOKUP(DATE($K$1,$K$2,WCP$4),Table1[],(MATCH(Calendar!$A18,DB!$1:$1,0)),FALSE)&gt;=5,"Good","Bad"),VLOOKUP(DATE($K$1,$K$2,WCP$4),Table1[],(MATCH(Calendar!$A18,DB!$1:$1,0)),FALSE)),"")</f>
        <v/>
      </c>
      <c r="WCQ18" s="28" t="str">
        <f>IFERROR(IF(WCZ3="No",IF(VLOOKUP(DATE($K$1,$K$2,WCQ$4),Table1[],(MATCH(Calendar!$A18,DB!$1:$1,0)),FALSE)&gt;=5,"Good","Bad"),VLOOKUP(DATE($K$1,$K$2,WCQ$4),Table1[],(MATCH(Calendar!$A18,DB!$1:$1,0)),FALSE)),"")</f>
        <v/>
      </c>
      <c r="WCR18" s="28" t="str">
        <f>IFERROR(IF(WDA3="No",IF(VLOOKUP(DATE($K$1,$K$2,WCR$4),Table1[],(MATCH(Calendar!$A18,DB!$1:$1,0)),FALSE)&gt;=5,"Good","Bad"),VLOOKUP(DATE($K$1,$K$2,WCR$4),Table1[],(MATCH(Calendar!$A18,DB!$1:$1,0)),FALSE)),"")</f>
        <v/>
      </c>
      <c r="WCS18" s="28" t="str">
        <f>IFERROR(IF(WDB3="No",IF(VLOOKUP(DATE($K$1,$K$2,WCS$4),Table1[],(MATCH(Calendar!$A18,DB!$1:$1,0)),FALSE)&gt;=5,"Good","Bad"),VLOOKUP(DATE($K$1,$K$2,WCS$4),Table1[],(MATCH(Calendar!$A18,DB!$1:$1,0)),FALSE)),"")</f>
        <v/>
      </c>
      <c r="WCT18" s="28" t="str">
        <f>IFERROR(IF(WDC3="No",IF(VLOOKUP(DATE($K$1,$K$2,WCT$4),Table1[],(MATCH(Calendar!$A18,DB!$1:$1,0)),FALSE)&gt;=5,"Good","Bad"),VLOOKUP(DATE($K$1,$K$2,WCT$4),Table1[],(MATCH(Calendar!$A18,DB!$1:$1,0)),FALSE)),"")</f>
        <v/>
      </c>
      <c r="WCU18" s="28" t="str">
        <f>IFERROR(IF(WDD3="No",IF(VLOOKUP(DATE($K$1,$K$2,WCU$4),Table1[],(MATCH(Calendar!$A18,DB!$1:$1,0)),FALSE)&gt;=5,"Good","Bad"),VLOOKUP(DATE($K$1,$K$2,WCU$4),Table1[],(MATCH(Calendar!$A18,DB!$1:$1,0)),FALSE)),"")</f>
        <v/>
      </c>
      <c r="WCV18" s="28" t="str">
        <f>IFERROR(IF(WDE3="No",IF(VLOOKUP(DATE($K$1,$K$2,WCV$4),Table1[],(MATCH(Calendar!$A18,DB!$1:$1,0)),FALSE)&gt;=5,"Good","Bad"),VLOOKUP(DATE($K$1,$K$2,WCV$4),Table1[],(MATCH(Calendar!$A18,DB!$1:$1,0)),FALSE)),"")</f>
        <v/>
      </c>
      <c r="WCW18" s="28" t="str">
        <f>IFERROR(IF(WDF3="No",IF(VLOOKUP(DATE($K$1,$K$2,WCW$4),Table1[],(MATCH(Calendar!$A18,DB!$1:$1,0)),FALSE)&gt;=5,"Good","Bad"),VLOOKUP(DATE($K$1,$K$2,WCW$4),Table1[],(MATCH(Calendar!$A18,DB!$1:$1,0)),FALSE)),"")</f>
        <v/>
      </c>
      <c r="WCX18" s="28" t="str">
        <f>IFERROR(IF(WDG3="No",IF(VLOOKUP(DATE($K$1,$K$2,WCX$4),Table1[],(MATCH(Calendar!$A18,DB!$1:$1,0)),FALSE)&gt;=5,"Good","Bad"),VLOOKUP(DATE($K$1,$K$2,WCX$4),Table1[],(MATCH(Calendar!$A18,DB!$1:$1,0)),FALSE)),"")</f>
        <v/>
      </c>
      <c r="WCY18" s="28" t="str">
        <f>IFERROR(IF(WDH3="No",IF(VLOOKUP(DATE($K$1,$K$2,WCY$4),Table1[],(MATCH(Calendar!$A18,DB!$1:$1,0)),FALSE)&gt;=5,"Good","Bad"),VLOOKUP(DATE($K$1,$K$2,WCY$4),Table1[],(MATCH(Calendar!$A18,DB!$1:$1,0)),FALSE)),"")</f>
        <v/>
      </c>
      <c r="WCZ18" s="28" t="str">
        <f>IFERROR(IF(WDI3="No",IF(VLOOKUP(DATE($K$1,$K$2,WCZ$4),Table1[],(MATCH(Calendar!$A18,DB!$1:$1,0)),FALSE)&gt;=5,"Good","Bad"),VLOOKUP(DATE($K$1,$K$2,WCZ$4),Table1[],(MATCH(Calendar!$A18,DB!$1:$1,0)),FALSE)),"")</f>
        <v/>
      </c>
      <c r="WDA18" s="28" t="str">
        <f>IFERROR(IF(WDJ3="No",IF(VLOOKUP(DATE($K$1,$K$2,WDA$4),Table1[],(MATCH(Calendar!$A18,DB!$1:$1,0)),FALSE)&gt;=5,"Good","Bad"),VLOOKUP(DATE($K$1,$K$2,WDA$4),Table1[],(MATCH(Calendar!$A18,DB!$1:$1,0)),FALSE)),"")</f>
        <v/>
      </c>
      <c r="WDB18" s="28" t="str">
        <f>IFERROR(IF(WDK3="No",IF(VLOOKUP(DATE($K$1,$K$2,WDB$4),Table1[],(MATCH(Calendar!$A18,DB!$1:$1,0)),FALSE)&gt;=5,"Good","Bad"),VLOOKUP(DATE($K$1,$K$2,WDB$4),Table1[],(MATCH(Calendar!$A18,DB!$1:$1,0)),FALSE)),"")</f>
        <v/>
      </c>
      <c r="WDC18" s="28" t="str">
        <f>IFERROR(IF(WDL3="No",IF(VLOOKUP(DATE($K$1,$K$2,WDC$4),Table1[],(MATCH(Calendar!$A18,DB!$1:$1,0)),FALSE)&gt;=5,"Good","Bad"),VLOOKUP(DATE($K$1,$K$2,WDC$4),Table1[],(MATCH(Calendar!$A18,DB!$1:$1,0)),FALSE)),"")</f>
        <v/>
      </c>
      <c r="WDD18" s="28" t="str">
        <f>IFERROR(IF(WDM3="No",IF(VLOOKUP(DATE($K$1,$K$2,WDD$4),Table1[],(MATCH(Calendar!$A18,DB!$1:$1,0)),FALSE)&gt;=5,"Good","Bad"),VLOOKUP(DATE($K$1,$K$2,WDD$4),Table1[],(MATCH(Calendar!$A18,DB!$1:$1,0)),FALSE)),"")</f>
        <v/>
      </c>
      <c r="WDE18" s="28" t="str">
        <f>IFERROR(IF(WDN3="No",IF(VLOOKUP(DATE($K$1,$K$2,WDE$4),Table1[],(MATCH(Calendar!$A18,DB!$1:$1,0)),FALSE)&gt;=5,"Good","Bad"),VLOOKUP(DATE($K$1,$K$2,WDE$4),Table1[],(MATCH(Calendar!$A18,DB!$1:$1,0)),FALSE)),"")</f>
        <v/>
      </c>
      <c r="WDF18" s="28" t="str">
        <f>IFERROR(IF(WDO3="No",IF(VLOOKUP(DATE($K$1,$K$2,WDF$4),Table1[],(MATCH(Calendar!$A18,DB!$1:$1,0)),FALSE)&gt;=5,"Good","Bad"),VLOOKUP(DATE($K$1,$K$2,WDF$4),Table1[],(MATCH(Calendar!$A18,DB!$1:$1,0)),FALSE)),"")</f>
        <v/>
      </c>
      <c r="WDG18" s="28" t="str">
        <f>IFERROR(IF(WDP3="No",IF(VLOOKUP(DATE($K$1,$K$2,WDG$4),Table1[],(MATCH(Calendar!$A18,DB!$1:$1,0)),FALSE)&gt;=5,"Good","Bad"),VLOOKUP(DATE($K$1,$K$2,WDG$4),Table1[],(MATCH(Calendar!$A18,DB!$1:$1,0)),FALSE)),"")</f>
        <v/>
      </c>
      <c r="WDH18" s="28" t="str">
        <f>IFERROR(IF(WDQ3="No",IF(VLOOKUP(DATE($K$1,$K$2,WDH$4),Table1[],(MATCH(Calendar!$A18,DB!$1:$1,0)),FALSE)&gt;=5,"Good","Bad"),VLOOKUP(DATE($K$1,$K$2,WDH$4),Table1[],(MATCH(Calendar!$A18,DB!$1:$1,0)),FALSE)),"")</f>
        <v/>
      </c>
      <c r="WDI18" s="28" t="str">
        <f>IFERROR(IF(WDR3="No",IF(VLOOKUP(DATE($K$1,$K$2,WDI$4),Table1[],(MATCH(Calendar!$A18,DB!$1:$1,0)),FALSE)&gt;=5,"Good","Bad"),VLOOKUP(DATE($K$1,$K$2,WDI$4),Table1[],(MATCH(Calendar!$A18,DB!$1:$1,0)),FALSE)),"")</f>
        <v/>
      </c>
      <c r="WDJ18" s="28" t="str">
        <f>IFERROR(IF(WDS3="No",IF(VLOOKUP(DATE($K$1,$K$2,WDJ$4),Table1[],(MATCH(Calendar!$A18,DB!$1:$1,0)),FALSE)&gt;=5,"Good","Bad"),VLOOKUP(DATE($K$1,$K$2,WDJ$4),Table1[],(MATCH(Calendar!$A18,DB!$1:$1,0)),FALSE)),"")</f>
        <v/>
      </c>
      <c r="WDK18" s="28" t="str">
        <f>IFERROR(IF(WDT3="No",IF(VLOOKUP(DATE($K$1,$K$2,WDK$4),Table1[],(MATCH(Calendar!$A18,DB!$1:$1,0)),FALSE)&gt;=5,"Good","Bad"),VLOOKUP(DATE($K$1,$K$2,WDK$4),Table1[],(MATCH(Calendar!$A18,DB!$1:$1,0)),FALSE)),"")</f>
        <v/>
      </c>
      <c r="WDL18" s="28" t="str">
        <f>IFERROR(IF(WDU3="No",IF(VLOOKUP(DATE($K$1,$K$2,WDL$4),Table1[],(MATCH(Calendar!$A18,DB!$1:$1,0)),FALSE)&gt;=5,"Good","Bad"),VLOOKUP(DATE($K$1,$K$2,WDL$4),Table1[],(MATCH(Calendar!$A18,DB!$1:$1,0)),FALSE)),"")</f>
        <v/>
      </c>
      <c r="WDM18" s="28" t="str">
        <f>IFERROR(IF(WDV3="No",IF(VLOOKUP(DATE($K$1,$K$2,WDM$4),Table1[],(MATCH(Calendar!$A18,DB!$1:$1,0)),FALSE)&gt;=5,"Good","Bad"),VLOOKUP(DATE($K$1,$K$2,WDM$4),Table1[],(MATCH(Calendar!$A18,DB!$1:$1,0)),FALSE)),"")</f>
        <v/>
      </c>
      <c r="WDN18" s="28" t="str">
        <f>IFERROR(IF(WDW3="No",IF(VLOOKUP(DATE($K$1,$K$2,WDN$4),Table1[],(MATCH(Calendar!$A18,DB!$1:$1,0)),FALSE)&gt;=5,"Good","Bad"),VLOOKUP(DATE($K$1,$K$2,WDN$4),Table1[],(MATCH(Calendar!$A18,DB!$1:$1,0)),FALSE)),"")</f>
        <v/>
      </c>
      <c r="WDO18" s="28" t="str">
        <f>IFERROR(IF(WDX3="No",IF(VLOOKUP(DATE($K$1,$K$2,WDO$4),Table1[],(MATCH(Calendar!$A18,DB!$1:$1,0)),FALSE)&gt;=5,"Good","Bad"),VLOOKUP(DATE($K$1,$K$2,WDO$4),Table1[],(MATCH(Calendar!$A18,DB!$1:$1,0)),FALSE)),"")</f>
        <v/>
      </c>
      <c r="WDP18" s="28" t="str">
        <f>IFERROR(IF(WDY3="No",IF(VLOOKUP(DATE($K$1,$K$2,WDP$4),Table1[],(MATCH(Calendar!$A18,DB!$1:$1,0)),FALSE)&gt;=5,"Good","Bad"),VLOOKUP(DATE($K$1,$K$2,WDP$4),Table1[],(MATCH(Calendar!$A18,DB!$1:$1,0)),FALSE)),"")</f>
        <v/>
      </c>
      <c r="WDQ18" s="28" t="str">
        <f>IFERROR(IF(WDZ3="No",IF(VLOOKUP(DATE($K$1,$K$2,WDQ$4),Table1[],(MATCH(Calendar!$A18,DB!$1:$1,0)),FALSE)&gt;=5,"Good","Bad"),VLOOKUP(DATE($K$1,$K$2,WDQ$4),Table1[],(MATCH(Calendar!$A18,DB!$1:$1,0)),FALSE)),"")</f>
        <v/>
      </c>
      <c r="WDR18" s="28" t="str">
        <f>IFERROR(IF(WEA3="No",IF(VLOOKUP(DATE($K$1,$K$2,WDR$4),Table1[],(MATCH(Calendar!$A18,DB!$1:$1,0)),FALSE)&gt;=5,"Good","Bad"),VLOOKUP(DATE($K$1,$K$2,WDR$4),Table1[],(MATCH(Calendar!$A18,DB!$1:$1,0)),FALSE)),"")</f>
        <v/>
      </c>
      <c r="WDS18" s="28" t="str">
        <f>IFERROR(IF(WEB3="No",IF(VLOOKUP(DATE($K$1,$K$2,WDS$4),Table1[],(MATCH(Calendar!$A18,DB!$1:$1,0)),FALSE)&gt;=5,"Good","Bad"),VLOOKUP(DATE($K$1,$K$2,WDS$4),Table1[],(MATCH(Calendar!$A18,DB!$1:$1,0)),FALSE)),"")</f>
        <v/>
      </c>
      <c r="WDT18" s="28" t="str">
        <f>IFERROR(IF(WEC3="No",IF(VLOOKUP(DATE($K$1,$K$2,WDT$4),Table1[],(MATCH(Calendar!$A18,DB!$1:$1,0)),FALSE)&gt;=5,"Good","Bad"),VLOOKUP(DATE($K$1,$K$2,WDT$4),Table1[],(MATCH(Calendar!$A18,DB!$1:$1,0)),FALSE)),"")</f>
        <v/>
      </c>
      <c r="WDU18" s="28" t="str">
        <f>IFERROR(IF(WED3="No",IF(VLOOKUP(DATE($K$1,$K$2,WDU$4),Table1[],(MATCH(Calendar!$A18,DB!$1:$1,0)),FALSE)&gt;=5,"Good","Bad"),VLOOKUP(DATE($K$1,$K$2,WDU$4),Table1[],(MATCH(Calendar!$A18,DB!$1:$1,0)),FALSE)),"")</f>
        <v/>
      </c>
      <c r="WDV18" s="28" t="str">
        <f>IFERROR(IF(WEE3="No",IF(VLOOKUP(DATE($K$1,$K$2,WDV$4),Table1[],(MATCH(Calendar!$A18,DB!$1:$1,0)),FALSE)&gt;=5,"Good","Bad"),VLOOKUP(DATE($K$1,$K$2,WDV$4),Table1[],(MATCH(Calendar!$A18,DB!$1:$1,0)),FALSE)),"")</f>
        <v/>
      </c>
      <c r="WDW18" s="28" t="str">
        <f>IFERROR(IF(WEF3="No",IF(VLOOKUP(DATE($K$1,$K$2,WDW$4),Table1[],(MATCH(Calendar!$A18,DB!$1:$1,0)),FALSE)&gt;=5,"Good","Bad"),VLOOKUP(DATE($K$1,$K$2,WDW$4),Table1[],(MATCH(Calendar!$A18,DB!$1:$1,0)),FALSE)),"")</f>
        <v/>
      </c>
      <c r="WDX18" s="28" t="str">
        <f>IFERROR(IF(WEG3="No",IF(VLOOKUP(DATE($K$1,$K$2,WDX$4),Table1[],(MATCH(Calendar!$A18,DB!$1:$1,0)),FALSE)&gt;=5,"Good","Bad"),VLOOKUP(DATE($K$1,$K$2,WDX$4),Table1[],(MATCH(Calendar!$A18,DB!$1:$1,0)),FALSE)),"")</f>
        <v/>
      </c>
      <c r="WDY18" s="28" t="str">
        <f>IFERROR(IF(WEH3="No",IF(VLOOKUP(DATE($K$1,$K$2,WDY$4),Table1[],(MATCH(Calendar!$A18,DB!$1:$1,0)),FALSE)&gt;=5,"Good","Bad"),VLOOKUP(DATE($K$1,$K$2,WDY$4),Table1[],(MATCH(Calendar!$A18,DB!$1:$1,0)),FALSE)),"")</f>
        <v/>
      </c>
      <c r="WDZ18" s="28" t="str">
        <f>IFERROR(IF(WEI3="No",IF(VLOOKUP(DATE($K$1,$K$2,WDZ$4),Table1[],(MATCH(Calendar!$A18,DB!$1:$1,0)),FALSE)&gt;=5,"Good","Bad"),VLOOKUP(DATE($K$1,$K$2,WDZ$4),Table1[],(MATCH(Calendar!$A18,DB!$1:$1,0)),FALSE)),"")</f>
        <v/>
      </c>
      <c r="WEA18" s="28" t="str">
        <f>IFERROR(IF(WEJ3="No",IF(VLOOKUP(DATE($K$1,$K$2,WEA$4),Table1[],(MATCH(Calendar!$A18,DB!$1:$1,0)),FALSE)&gt;=5,"Good","Bad"),VLOOKUP(DATE($K$1,$K$2,WEA$4),Table1[],(MATCH(Calendar!$A18,DB!$1:$1,0)),FALSE)),"")</f>
        <v/>
      </c>
      <c r="WEB18" s="28" t="str">
        <f>IFERROR(IF(WEK3="No",IF(VLOOKUP(DATE($K$1,$K$2,WEB$4),Table1[],(MATCH(Calendar!$A18,DB!$1:$1,0)),FALSE)&gt;=5,"Good","Bad"),VLOOKUP(DATE($K$1,$K$2,WEB$4),Table1[],(MATCH(Calendar!$A18,DB!$1:$1,0)),FALSE)),"")</f>
        <v/>
      </c>
      <c r="WEC18" s="28" t="str">
        <f>IFERROR(IF(WEL3="No",IF(VLOOKUP(DATE($K$1,$K$2,WEC$4),Table1[],(MATCH(Calendar!$A18,DB!$1:$1,0)),FALSE)&gt;=5,"Good","Bad"),VLOOKUP(DATE($K$1,$K$2,WEC$4),Table1[],(MATCH(Calendar!$A18,DB!$1:$1,0)),FALSE)),"")</f>
        <v/>
      </c>
      <c r="WED18" s="28" t="str">
        <f>IFERROR(IF(WEM3="No",IF(VLOOKUP(DATE($K$1,$K$2,WED$4),Table1[],(MATCH(Calendar!$A18,DB!$1:$1,0)),FALSE)&gt;=5,"Good","Bad"),VLOOKUP(DATE($K$1,$K$2,WED$4),Table1[],(MATCH(Calendar!$A18,DB!$1:$1,0)),FALSE)),"")</f>
        <v/>
      </c>
      <c r="WEE18" s="28" t="str">
        <f>IFERROR(IF(WEN3="No",IF(VLOOKUP(DATE($K$1,$K$2,WEE$4),Table1[],(MATCH(Calendar!$A18,DB!$1:$1,0)),FALSE)&gt;=5,"Good","Bad"),VLOOKUP(DATE($K$1,$K$2,WEE$4),Table1[],(MATCH(Calendar!$A18,DB!$1:$1,0)),FALSE)),"")</f>
        <v/>
      </c>
      <c r="WEF18" s="28" t="str">
        <f>IFERROR(IF(WEO3="No",IF(VLOOKUP(DATE($K$1,$K$2,WEF$4),Table1[],(MATCH(Calendar!$A18,DB!$1:$1,0)),FALSE)&gt;=5,"Good","Bad"),VLOOKUP(DATE($K$1,$K$2,WEF$4),Table1[],(MATCH(Calendar!$A18,DB!$1:$1,0)),FALSE)),"")</f>
        <v/>
      </c>
      <c r="WEG18" s="28" t="str">
        <f>IFERROR(IF(WEP3="No",IF(VLOOKUP(DATE($K$1,$K$2,WEG$4),Table1[],(MATCH(Calendar!$A18,DB!$1:$1,0)),FALSE)&gt;=5,"Good","Bad"),VLOOKUP(DATE($K$1,$K$2,WEG$4),Table1[],(MATCH(Calendar!$A18,DB!$1:$1,0)),FALSE)),"")</f>
        <v/>
      </c>
      <c r="WEH18" s="28" t="str">
        <f>IFERROR(IF(WEQ3="No",IF(VLOOKUP(DATE($K$1,$K$2,WEH$4),Table1[],(MATCH(Calendar!$A18,DB!$1:$1,0)),FALSE)&gt;=5,"Good","Bad"),VLOOKUP(DATE($K$1,$K$2,WEH$4),Table1[],(MATCH(Calendar!$A18,DB!$1:$1,0)),FALSE)),"")</f>
        <v/>
      </c>
      <c r="WEI18" s="28" t="str">
        <f>IFERROR(IF(WER3="No",IF(VLOOKUP(DATE($K$1,$K$2,WEI$4),Table1[],(MATCH(Calendar!$A18,DB!$1:$1,0)),FALSE)&gt;=5,"Good","Bad"),VLOOKUP(DATE($K$1,$K$2,WEI$4),Table1[],(MATCH(Calendar!$A18,DB!$1:$1,0)),FALSE)),"")</f>
        <v/>
      </c>
      <c r="WEJ18" s="28" t="str">
        <f>IFERROR(IF(WES3="No",IF(VLOOKUP(DATE($K$1,$K$2,WEJ$4),Table1[],(MATCH(Calendar!$A18,DB!$1:$1,0)),FALSE)&gt;=5,"Good","Bad"),VLOOKUP(DATE($K$1,$K$2,WEJ$4),Table1[],(MATCH(Calendar!$A18,DB!$1:$1,0)),FALSE)),"")</f>
        <v/>
      </c>
      <c r="WEK18" s="28" t="str">
        <f>IFERROR(IF(WET3="No",IF(VLOOKUP(DATE($K$1,$K$2,WEK$4),Table1[],(MATCH(Calendar!$A18,DB!$1:$1,0)),FALSE)&gt;=5,"Good","Bad"),VLOOKUP(DATE($K$1,$K$2,WEK$4),Table1[],(MATCH(Calendar!$A18,DB!$1:$1,0)),FALSE)),"")</f>
        <v/>
      </c>
      <c r="WEL18" s="28" t="str">
        <f>IFERROR(IF(WEU3="No",IF(VLOOKUP(DATE($K$1,$K$2,WEL$4),Table1[],(MATCH(Calendar!$A18,DB!$1:$1,0)),FALSE)&gt;=5,"Good","Bad"),VLOOKUP(DATE($K$1,$K$2,WEL$4),Table1[],(MATCH(Calendar!$A18,DB!$1:$1,0)),FALSE)),"")</f>
        <v/>
      </c>
      <c r="WEM18" s="28" t="str">
        <f>IFERROR(IF(WEV3="No",IF(VLOOKUP(DATE($K$1,$K$2,WEM$4),Table1[],(MATCH(Calendar!$A18,DB!$1:$1,0)),FALSE)&gt;=5,"Good","Bad"),VLOOKUP(DATE($K$1,$K$2,WEM$4),Table1[],(MATCH(Calendar!$A18,DB!$1:$1,0)),FALSE)),"")</f>
        <v/>
      </c>
      <c r="WEN18" s="28" t="str">
        <f>IFERROR(IF(WEW3="No",IF(VLOOKUP(DATE($K$1,$K$2,WEN$4),Table1[],(MATCH(Calendar!$A18,DB!$1:$1,0)),FALSE)&gt;=5,"Good","Bad"),VLOOKUP(DATE($K$1,$K$2,WEN$4),Table1[],(MATCH(Calendar!$A18,DB!$1:$1,0)),FALSE)),"")</f>
        <v/>
      </c>
      <c r="WEO18" s="28" t="str">
        <f>IFERROR(IF(WEX3="No",IF(VLOOKUP(DATE($K$1,$K$2,WEO$4),Table1[],(MATCH(Calendar!$A18,DB!$1:$1,0)),FALSE)&gt;=5,"Good","Bad"),VLOOKUP(DATE($K$1,$K$2,WEO$4),Table1[],(MATCH(Calendar!$A18,DB!$1:$1,0)),FALSE)),"")</f>
        <v/>
      </c>
      <c r="WEP18" s="28" t="str">
        <f>IFERROR(IF(WEY3="No",IF(VLOOKUP(DATE($K$1,$K$2,WEP$4),Table1[],(MATCH(Calendar!$A18,DB!$1:$1,0)),FALSE)&gt;=5,"Good","Bad"),VLOOKUP(DATE($K$1,$K$2,WEP$4),Table1[],(MATCH(Calendar!$A18,DB!$1:$1,0)),FALSE)),"")</f>
        <v/>
      </c>
      <c r="WEQ18" s="28" t="str">
        <f>IFERROR(IF(WEZ3="No",IF(VLOOKUP(DATE($K$1,$K$2,WEQ$4),Table1[],(MATCH(Calendar!$A18,DB!$1:$1,0)),FALSE)&gt;=5,"Good","Bad"),VLOOKUP(DATE($K$1,$K$2,WEQ$4),Table1[],(MATCH(Calendar!$A18,DB!$1:$1,0)),FALSE)),"")</f>
        <v/>
      </c>
      <c r="WER18" s="28" t="str">
        <f>IFERROR(IF(WFA3="No",IF(VLOOKUP(DATE($K$1,$K$2,WER$4),Table1[],(MATCH(Calendar!$A18,DB!$1:$1,0)),FALSE)&gt;=5,"Good","Bad"),VLOOKUP(DATE($K$1,$K$2,WER$4),Table1[],(MATCH(Calendar!$A18,DB!$1:$1,0)),FALSE)),"")</f>
        <v/>
      </c>
      <c r="WES18" s="28" t="str">
        <f>IFERROR(IF(WFB3="No",IF(VLOOKUP(DATE($K$1,$K$2,WES$4),Table1[],(MATCH(Calendar!$A18,DB!$1:$1,0)),FALSE)&gt;=5,"Good","Bad"),VLOOKUP(DATE($K$1,$K$2,WES$4),Table1[],(MATCH(Calendar!$A18,DB!$1:$1,0)),FALSE)),"")</f>
        <v/>
      </c>
      <c r="WET18" s="28" t="str">
        <f>IFERROR(IF(WFC3="No",IF(VLOOKUP(DATE($K$1,$K$2,WET$4),Table1[],(MATCH(Calendar!$A18,DB!$1:$1,0)),FALSE)&gt;=5,"Good","Bad"),VLOOKUP(DATE($K$1,$K$2,WET$4),Table1[],(MATCH(Calendar!$A18,DB!$1:$1,0)),FALSE)),"")</f>
        <v/>
      </c>
      <c r="WEU18" s="28" t="str">
        <f>IFERROR(IF(WFD3="No",IF(VLOOKUP(DATE($K$1,$K$2,WEU$4),Table1[],(MATCH(Calendar!$A18,DB!$1:$1,0)),FALSE)&gt;=5,"Good","Bad"),VLOOKUP(DATE($K$1,$K$2,WEU$4),Table1[],(MATCH(Calendar!$A18,DB!$1:$1,0)),FALSE)),"")</f>
        <v/>
      </c>
      <c r="WEV18" s="28" t="str">
        <f>IFERROR(IF(WFE3="No",IF(VLOOKUP(DATE($K$1,$K$2,WEV$4),Table1[],(MATCH(Calendar!$A18,DB!$1:$1,0)),FALSE)&gt;=5,"Good","Bad"),VLOOKUP(DATE($K$1,$K$2,WEV$4),Table1[],(MATCH(Calendar!$A18,DB!$1:$1,0)),FALSE)),"")</f>
        <v/>
      </c>
      <c r="WEW18" s="28" t="str">
        <f>IFERROR(IF(WFF3="No",IF(VLOOKUP(DATE($K$1,$K$2,WEW$4),Table1[],(MATCH(Calendar!$A18,DB!$1:$1,0)),FALSE)&gt;=5,"Good","Bad"),VLOOKUP(DATE($K$1,$K$2,WEW$4),Table1[],(MATCH(Calendar!$A18,DB!$1:$1,0)),FALSE)),"")</f>
        <v/>
      </c>
      <c r="WEX18" s="28" t="str">
        <f>IFERROR(IF(WFG3="No",IF(VLOOKUP(DATE($K$1,$K$2,WEX$4),Table1[],(MATCH(Calendar!$A18,DB!$1:$1,0)),FALSE)&gt;=5,"Good","Bad"),VLOOKUP(DATE($K$1,$K$2,WEX$4),Table1[],(MATCH(Calendar!$A18,DB!$1:$1,0)),FALSE)),"")</f>
        <v/>
      </c>
      <c r="WEY18" s="28" t="str">
        <f>IFERROR(IF(WFH3="No",IF(VLOOKUP(DATE($K$1,$K$2,WEY$4),Table1[],(MATCH(Calendar!$A18,DB!$1:$1,0)),FALSE)&gt;=5,"Good","Bad"),VLOOKUP(DATE($K$1,$K$2,WEY$4),Table1[],(MATCH(Calendar!$A18,DB!$1:$1,0)),FALSE)),"")</f>
        <v/>
      </c>
      <c r="WEZ18" s="28" t="str">
        <f>IFERROR(IF(WFI3="No",IF(VLOOKUP(DATE($K$1,$K$2,WEZ$4),Table1[],(MATCH(Calendar!$A18,DB!$1:$1,0)),FALSE)&gt;=5,"Good","Bad"),VLOOKUP(DATE($K$1,$K$2,WEZ$4),Table1[],(MATCH(Calendar!$A18,DB!$1:$1,0)),FALSE)),"")</f>
        <v/>
      </c>
      <c r="WFA18" s="28" t="str">
        <f>IFERROR(IF(WFJ3="No",IF(VLOOKUP(DATE($K$1,$K$2,WFA$4),Table1[],(MATCH(Calendar!$A18,DB!$1:$1,0)),FALSE)&gt;=5,"Good","Bad"),VLOOKUP(DATE($K$1,$K$2,WFA$4),Table1[],(MATCH(Calendar!$A18,DB!$1:$1,0)),FALSE)),"")</f>
        <v/>
      </c>
      <c r="WFB18" s="28" t="str">
        <f>IFERROR(IF(WFK3="No",IF(VLOOKUP(DATE($K$1,$K$2,WFB$4),Table1[],(MATCH(Calendar!$A18,DB!$1:$1,0)),FALSE)&gt;=5,"Good","Bad"),VLOOKUP(DATE($K$1,$K$2,WFB$4),Table1[],(MATCH(Calendar!$A18,DB!$1:$1,0)),FALSE)),"")</f>
        <v/>
      </c>
      <c r="WFC18" s="28" t="str">
        <f>IFERROR(IF(WFL3="No",IF(VLOOKUP(DATE($K$1,$K$2,WFC$4),Table1[],(MATCH(Calendar!$A18,DB!$1:$1,0)),FALSE)&gt;=5,"Good","Bad"),VLOOKUP(DATE($K$1,$K$2,WFC$4),Table1[],(MATCH(Calendar!$A18,DB!$1:$1,0)),FALSE)),"")</f>
        <v/>
      </c>
      <c r="WFD18" s="28" t="str">
        <f>IFERROR(IF(WFM3="No",IF(VLOOKUP(DATE($K$1,$K$2,WFD$4),Table1[],(MATCH(Calendar!$A18,DB!$1:$1,0)),FALSE)&gt;=5,"Good","Bad"),VLOOKUP(DATE($K$1,$K$2,WFD$4),Table1[],(MATCH(Calendar!$A18,DB!$1:$1,0)),FALSE)),"")</f>
        <v/>
      </c>
      <c r="WFE18" s="28" t="str">
        <f>IFERROR(IF(WFN3="No",IF(VLOOKUP(DATE($K$1,$K$2,WFE$4),Table1[],(MATCH(Calendar!$A18,DB!$1:$1,0)),FALSE)&gt;=5,"Good","Bad"),VLOOKUP(DATE($K$1,$K$2,WFE$4),Table1[],(MATCH(Calendar!$A18,DB!$1:$1,0)),FALSE)),"")</f>
        <v/>
      </c>
      <c r="WFF18" s="28" t="str">
        <f>IFERROR(IF(WFO3="No",IF(VLOOKUP(DATE($K$1,$K$2,WFF$4),Table1[],(MATCH(Calendar!$A18,DB!$1:$1,0)),FALSE)&gt;=5,"Good","Bad"),VLOOKUP(DATE($K$1,$K$2,WFF$4),Table1[],(MATCH(Calendar!$A18,DB!$1:$1,0)),FALSE)),"")</f>
        <v/>
      </c>
      <c r="WFG18" s="28" t="str">
        <f>IFERROR(IF(WFP3="No",IF(VLOOKUP(DATE($K$1,$K$2,WFG$4),Table1[],(MATCH(Calendar!$A18,DB!$1:$1,0)),FALSE)&gt;=5,"Good","Bad"),VLOOKUP(DATE($K$1,$K$2,WFG$4),Table1[],(MATCH(Calendar!$A18,DB!$1:$1,0)),FALSE)),"")</f>
        <v/>
      </c>
      <c r="WFH18" s="28" t="str">
        <f>IFERROR(IF(WFQ3="No",IF(VLOOKUP(DATE($K$1,$K$2,WFH$4),Table1[],(MATCH(Calendar!$A18,DB!$1:$1,0)),FALSE)&gt;=5,"Good","Bad"),VLOOKUP(DATE($K$1,$K$2,WFH$4),Table1[],(MATCH(Calendar!$A18,DB!$1:$1,0)),FALSE)),"")</f>
        <v/>
      </c>
      <c r="WFI18" s="28" t="str">
        <f>IFERROR(IF(WFR3="No",IF(VLOOKUP(DATE($K$1,$K$2,WFI$4),Table1[],(MATCH(Calendar!$A18,DB!$1:$1,0)),FALSE)&gt;=5,"Good","Bad"),VLOOKUP(DATE($K$1,$K$2,WFI$4),Table1[],(MATCH(Calendar!$A18,DB!$1:$1,0)),FALSE)),"")</f>
        <v/>
      </c>
      <c r="WFJ18" s="28" t="str">
        <f>IFERROR(IF(WFS3="No",IF(VLOOKUP(DATE($K$1,$K$2,WFJ$4),Table1[],(MATCH(Calendar!$A18,DB!$1:$1,0)),FALSE)&gt;=5,"Good","Bad"),VLOOKUP(DATE($K$1,$K$2,WFJ$4),Table1[],(MATCH(Calendar!$A18,DB!$1:$1,0)),FALSE)),"")</f>
        <v/>
      </c>
      <c r="WFK18" s="28" t="str">
        <f>IFERROR(IF(WFT3="No",IF(VLOOKUP(DATE($K$1,$K$2,WFK$4),Table1[],(MATCH(Calendar!$A18,DB!$1:$1,0)),FALSE)&gt;=5,"Good","Bad"),VLOOKUP(DATE($K$1,$K$2,WFK$4),Table1[],(MATCH(Calendar!$A18,DB!$1:$1,0)),FALSE)),"")</f>
        <v/>
      </c>
      <c r="WFL18" s="28" t="str">
        <f>IFERROR(IF(WFU3="No",IF(VLOOKUP(DATE($K$1,$K$2,WFL$4),Table1[],(MATCH(Calendar!$A18,DB!$1:$1,0)),FALSE)&gt;=5,"Good","Bad"),VLOOKUP(DATE($K$1,$K$2,WFL$4),Table1[],(MATCH(Calendar!$A18,DB!$1:$1,0)),FALSE)),"")</f>
        <v/>
      </c>
      <c r="WFM18" s="28" t="str">
        <f>IFERROR(IF(WFV3="No",IF(VLOOKUP(DATE($K$1,$K$2,WFM$4),Table1[],(MATCH(Calendar!$A18,DB!$1:$1,0)),FALSE)&gt;=5,"Good","Bad"),VLOOKUP(DATE($K$1,$K$2,WFM$4),Table1[],(MATCH(Calendar!$A18,DB!$1:$1,0)),FALSE)),"")</f>
        <v/>
      </c>
      <c r="WFN18" s="28" t="str">
        <f>IFERROR(IF(WFW3="No",IF(VLOOKUP(DATE($K$1,$K$2,WFN$4),Table1[],(MATCH(Calendar!$A18,DB!$1:$1,0)),FALSE)&gt;=5,"Good","Bad"),VLOOKUP(DATE($K$1,$K$2,WFN$4),Table1[],(MATCH(Calendar!$A18,DB!$1:$1,0)),FALSE)),"")</f>
        <v/>
      </c>
      <c r="WFO18" s="28" t="str">
        <f>IFERROR(IF(WFX3="No",IF(VLOOKUP(DATE($K$1,$K$2,WFO$4),Table1[],(MATCH(Calendar!$A18,DB!$1:$1,0)),FALSE)&gt;=5,"Good","Bad"),VLOOKUP(DATE($K$1,$K$2,WFO$4),Table1[],(MATCH(Calendar!$A18,DB!$1:$1,0)),FALSE)),"")</f>
        <v/>
      </c>
      <c r="WFP18" s="28" t="str">
        <f>IFERROR(IF(WFY3="No",IF(VLOOKUP(DATE($K$1,$K$2,WFP$4),Table1[],(MATCH(Calendar!$A18,DB!$1:$1,0)),FALSE)&gt;=5,"Good","Bad"),VLOOKUP(DATE($K$1,$K$2,WFP$4),Table1[],(MATCH(Calendar!$A18,DB!$1:$1,0)),FALSE)),"")</f>
        <v/>
      </c>
      <c r="WFQ18" s="28" t="str">
        <f>IFERROR(IF(WFZ3="No",IF(VLOOKUP(DATE($K$1,$K$2,WFQ$4),Table1[],(MATCH(Calendar!$A18,DB!$1:$1,0)),FALSE)&gt;=5,"Good","Bad"),VLOOKUP(DATE($K$1,$K$2,WFQ$4),Table1[],(MATCH(Calendar!$A18,DB!$1:$1,0)),FALSE)),"")</f>
        <v/>
      </c>
      <c r="WFR18" s="28" t="str">
        <f>IFERROR(IF(WGA3="No",IF(VLOOKUP(DATE($K$1,$K$2,WFR$4),Table1[],(MATCH(Calendar!$A18,DB!$1:$1,0)),FALSE)&gt;=5,"Good","Bad"),VLOOKUP(DATE($K$1,$K$2,WFR$4),Table1[],(MATCH(Calendar!$A18,DB!$1:$1,0)),FALSE)),"")</f>
        <v/>
      </c>
      <c r="WFS18" s="28" t="str">
        <f>IFERROR(IF(WGB3="No",IF(VLOOKUP(DATE($K$1,$K$2,WFS$4),Table1[],(MATCH(Calendar!$A18,DB!$1:$1,0)),FALSE)&gt;=5,"Good","Bad"),VLOOKUP(DATE($K$1,$K$2,WFS$4),Table1[],(MATCH(Calendar!$A18,DB!$1:$1,0)),FALSE)),"")</f>
        <v/>
      </c>
      <c r="WFT18" s="28" t="str">
        <f>IFERROR(IF(WGC3="No",IF(VLOOKUP(DATE($K$1,$K$2,WFT$4),Table1[],(MATCH(Calendar!$A18,DB!$1:$1,0)),FALSE)&gt;=5,"Good","Bad"),VLOOKUP(DATE($K$1,$K$2,WFT$4),Table1[],(MATCH(Calendar!$A18,DB!$1:$1,0)),FALSE)),"")</f>
        <v/>
      </c>
      <c r="WFU18" s="28" t="str">
        <f>IFERROR(IF(WGD3="No",IF(VLOOKUP(DATE($K$1,$K$2,WFU$4),Table1[],(MATCH(Calendar!$A18,DB!$1:$1,0)),FALSE)&gt;=5,"Good","Bad"),VLOOKUP(DATE($K$1,$K$2,WFU$4),Table1[],(MATCH(Calendar!$A18,DB!$1:$1,0)),FALSE)),"")</f>
        <v/>
      </c>
      <c r="WFV18" s="28" t="str">
        <f>IFERROR(IF(WGE3="No",IF(VLOOKUP(DATE($K$1,$K$2,WFV$4),Table1[],(MATCH(Calendar!$A18,DB!$1:$1,0)),FALSE)&gt;=5,"Good","Bad"),VLOOKUP(DATE($K$1,$K$2,WFV$4),Table1[],(MATCH(Calendar!$A18,DB!$1:$1,0)),FALSE)),"")</f>
        <v/>
      </c>
      <c r="WFW18" s="28" t="str">
        <f>IFERROR(IF(WGF3="No",IF(VLOOKUP(DATE($K$1,$K$2,WFW$4),Table1[],(MATCH(Calendar!$A18,DB!$1:$1,0)),FALSE)&gt;=5,"Good","Bad"),VLOOKUP(DATE($K$1,$K$2,WFW$4),Table1[],(MATCH(Calendar!$A18,DB!$1:$1,0)),FALSE)),"")</f>
        <v/>
      </c>
      <c r="WFX18" s="28" t="str">
        <f>IFERROR(IF(WGG3="No",IF(VLOOKUP(DATE($K$1,$K$2,WFX$4),Table1[],(MATCH(Calendar!$A18,DB!$1:$1,0)),FALSE)&gt;=5,"Good","Bad"),VLOOKUP(DATE($K$1,$K$2,WFX$4),Table1[],(MATCH(Calendar!$A18,DB!$1:$1,0)),FALSE)),"")</f>
        <v/>
      </c>
      <c r="WFY18" s="28" t="str">
        <f>IFERROR(IF(WGH3="No",IF(VLOOKUP(DATE($K$1,$K$2,WFY$4),Table1[],(MATCH(Calendar!$A18,DB!$1:$1,0)),FALSE)&gt;=5,"Good","Bad"),VLOOKUP(DATE($K$1,$K$2,WFY$4),Table1[],(MATCH(Calendar!$A18,DB!$1:$1,0)),FALSE)),"")</f>
        <v/>
      </c>
      <c r="WFZ18" s="28" t="str">
        <f>IFERROR(IF(WGI3="No",IF(VLOOKUP(DATE($K$1,$K$2,WFZ$4),Table1[],(MATCH(Calendar!$A18,DB!$1:$1,0)),FALSE)&gt;=5,"Good","Bad"),VLOOKUP(DATE($K$1,$K$2,WFZ$4),Table1[],(MATCH(Calendar!$A18,DB!$1:$1,0)),FALSE)),"")</f>
        <v/>
      </c>
      <c r="WGA18" s="28" t="str">
        <f>IFERROR(IF(WGJ3="No",IF(VLOOKUP(DATE($K$1,$K$2,WGA$4),Table1[],(MATCH(Calendar!$A18,DB!$1:$1,0)),FALSE)&gt;=5,"Good","Bad"),VLOOKUP(DATE($K$1,$K$2,WGA$4),Table1[],(MATCH(Calendar!$A18,DB!$1:$1,0)),FALSE)),"")</f>
        <v/>
      </c>
      <c r="WGB18" s="28" t="str">
        <f>IFERROR(IF(WGK3="No",IF(VLOOKUP(DATE($K$1,$K$2,WGB$4),Table1[],(MATCH(Calendar!$A18,DB!$1:$1,0)),FALSE)&gt;=5,"Good","Bad"),VLOOKUP(DATE($K$1,$K$2,WGB$4),Table1[],(MATCH(Calendar!$A18,DB!$1:$1,0)),FALSE)),"")</f>
        <v/>
      </c>
      <c r="WGC18" s="28" t="str">
        <f>IFERROR(IF(WGL3="No",IF(VLOOKUP(DATE($K$1,$K$2,WGC$4),Table1[],(MATCH(Calendar!$A18,DB!$1:$1,0)),FALSE)&gt;=5,"Good","Bad"),VLOOKUP(DATE($K$1,$K$2,WGC$4),Table1[],(MATCH(Calendar!$A18,DB!$1:$1,0)),FALSE)),"")</f>
        <v/>
      </c>
      <c r="WGD18" s="28" t="str">
        <f>IFERROR(IF(WGM3="No",IF(VLOOKUP(DATE($K$1,$K$2,WGD$4),Table1[],(MATCH(Calendar!$A18,DB!$1:$1,0)),FALSE)&gt;=5,"Good","Bad"),VLOOKUP(DATE($K$1,$K$2,WGD$4),Table1[],(MATCH(Calendar!$A18,DB!$1:$1,0)),FALSE)),"")</f>
        <v/>
      </c>
      <c r="WGE18" s="28" t="str">
        <f>IFERROR(IF(WGN3="No",IF(VLOOKUP(DATE($K$1,$K$2,WGE$4),Table1[],(MATCH(Calendar!$A18,DB!$1:$1,0)),FALSE)&gt;=5,"Good","Bad"),VLOOKUP(DATE($K$1,$K$2,WGE$4),Table1[],(MATCH(Calendar!$A18,DB!$1:$1,0)),FALSE)),"")</f>
        <v/>
      </c>
      <c r="WGF18" s="28" t="str">
        <f>IFERROR(IF(WGO3="No",IF(VLOOKUP(DATE($K$1,$K$2,WGF$4),Table1[],(MATCH(Calendar!$A18,DB!$1:$1,0)),FALSE)&gt;=5,"Good","Bad"),VLOOKUP(DATE($K$1,$K$2,WGF$4),Table1[],(MATCH(Calendar!$A18,DB!$1:$1,0)),FALSE)),"")</f>
        <v/>
      </c>
      <c r="WGG18" s="28" t="str">
        <f>IFERROR(IF(WGP3="No",IF(VLOOKUP(DATE($K$1,$K$2,WGG$4),Table1[],(MATCH(Calendar!$A18,DB!$1:$1,0)),FALSE)&gt;=5,"Good","Bad"),VLOOKUP(DATE($K$1,$K$2,WGG$4),Table1[],(MATCH(Calendar!$A18,DB!$1:$1,0)),FALSE)),"")</f>
        <v/>
      </c>
      <c r="WGH18" s="28" t="str">
        <f>IFERROR(IF(WGQ3="No",IF(VLOOKUP(DATE($K$1,$K$2,WGH$4),Table1[],(MATCH(Calendar!$A18,DB!$1:$1,0)),FALSE)&gt;=5,"Good","Bad"),VLOOKUP(DATE($K$1,$K$2,WGH$4),Table1[],(MATCH(Calendar!$A18,DB!$1:$1,0)),FALSE)),"")</f>
        <v/>
      </c>
      <c r="WGI18" s="28" t="str">
        <f>IFERROR(IF(WGR3="No",IF(VLOOKUP(DATE($K$1,$K$2,WGI$4),Table1[],(MATCH(Calendar!$A18,DB!$1:$1,0)),FALSE)&gt;=5,"Good","Bad"),VLOOKUP(DATE($K$1,$K$2,WGI$4),Table1[],(MATCH(Calendar!$A18,DB!$1:$1,0)),FALSE)),"")</f>
        <v/>
      </c>
      <c r="WGJ18" s="28" t="str">
        <f>IFERROR(IF(WGS3="No",IF(VLOOKUP(DATE($K$1,$K$2,WGJ$4),Table1[],(MATCH(Calendar!$A18,DB!$1:$1,0)),FALSE)&gt;=5,"Good","Bad"),VLOOKUP(DATE($K$1,$K$2,WGJ$4),Table1[],(MATCH(Calendar!$A18,DB!$1:$1,0)),FALSE)),"")</f>
        <v/>
      </c>
      <c r="WGK18" s="28" t="str">
        <f>IFERROR(IF(WGT3="No",IF(VLOOKUP(DATE($K$1,$K$2,WGK$4),Table1[],(MATCH(Calendar!$A18,DB!$1:$1,0)),FALSE)&gt;=5,"Good","Bad"),VLOOKUP(DATE($K$1,$K$2,WGK$4),Table1[],(MATCH(Calendar!$A18,DB!$1:$1,0)),FALSE)),"")</f>
        <v/>
      </c>
      <c r="WGL18" s="28" t="str">
        <f>IFERROR(IF(WGU3="No",IF(VLOOKUP(DATE($K$1,$K$2,WGL$4),Table1[],(MATCH(Calendar!$A18,DB!$1:$1,0)),FALSE)&gt;=5,"Good","Bad"),VLOOKUP(DATE($K$1,$K$2,WGL$4),Table1[],(MATCH(Calendar!$A18,DB!$1:$1,0)),FALSE)),"")</f>
        <v/>
      </c>
      <c r="WGM18" s="28" t="str">
        <f>IFERROR(IF(WGV3="No",IF(VLOOKUP(DATE($K$1,$K$2,WGM$4),Table1[],(MATCH(Calendar!$A18,DB!$1:$1,0)),FALSE)&gt;=5,"Good","Bad"),VLOOKUP(DATE($K$1,$K$2,WGM$4),Table1[],(MATCH(Calendar!$A18,DB!$1:$1,0)),FALSE)),"")</f>
        <v/>
      </c>
      <c r="WGN18" s="28" t="str">
        <f>IFERROR(IF(WGW3="No",IF(VLOOKUP(DATE($K$1,$K$2,WGN$4),Table1[],(MATCH(Calendar!$A18,DB!$1:$1,0)),FALSE)&gt;=5,"Good","Bad"),VLOOKUP(DATE($K$1,$K$2,WGN$4),Table1[],(MATCH(Calendar!$A18,DB!$1:$1,0)),FALSE)),"")</f>
        <v/>
      </c>
      <c r="WGO18" s="28" t="str">
        <f>IFERROR(IF(WGX3="No",IF(VLOOKUP(DATE($K$1,$K$2,WGO$4),Table1[],(MATCH(Calendar!$A18,DB!$1:$1,0)),FALSE)&gt;=5,"Good","Bad"),VLOOKUP(DATE($K$1,$K$2,WGO$4),Table1[],(MATCH(Calendar!$A18,DB!$1:$1,0)),FALSE)),"")</f>
        <v/>
      </c>
      <c r="WGP18" s="28" t="str">
        <f>IFERROR(IF(WGY3="No",IF(VLOOKUP(DATE($K$1,$K$2,WGP$4),Table1[],(MATCH(Calendar!$A18,DB!$1:$1,0)),FALSE)&gt;=5,"Good","Bad"),VLOOKUP(DATE($K$1,$K$2,WGP$4),Table1[],(MATCH(Calendar!$A18,DB!$1:$1,0)),FALSE)),"")</f>
        <v/>
      </c>
      <c r="WGQ18" s="28" t="str">
        <f>IFERROR(IF(WGZ3="No",IF(VLOOKUP(DATE($K$1,$K$2,WGQ$4),Table1[],(MATCH(Calendar!$A18,DB!$1:$1,0)),FALSE)&gt;=5,"Good","Bad"),VLOOKUP(DATE($K$1,$K$2,WGQ$4),Table1[],(MATCH(Calendar!$A18,DB!$1:$1,0)),FALSE)),"")</f>
        <v/>
      </c>
      <c r="WGR18" s="28" t="str">
        <f>IFERROR(IF(WHA3="No",IF(VLOOKUP(DATE($K$1,$K$2,WGR$4),Table1[],(MATCH(Calendar!$A18,DB!$1:$1,0)),FALSE)&gt;=5,"Good","Bad"),VLOOKUP(DATE($K$1,$K$2,WGR$4),Table1[],(MATCH(Calendar!$A18,DB!$1:$1,0)),FALSE)),"")</f>
        <v/>
      </c>
      <c r="WGS18" s="28" t="str">
        <f>IFERROR(IF(WHB3="No",IF(VLOOKUP(DATE($K$1,$K$2,WGS$4),Table1[],(MATCH(Calendar!$A18,DB!$1:$1,0)),FALSE)&gt;=5,"Good","Bad"),VLOOKUP(DATE($K$1,$K$2,WGS$4),Table1[],(MATCH(Calendar!$A18,DB!$1:$1,0)),FALSE)),"")</f>
        <v/>
      </c>
      <c r="WGT18" s="28" t="str">
        <f>IFERROR(IF(WHC3="No",IF(VLOOKUP(DATE($K$1,$K$2,WGT$4),Table1[],(MATCH(Calendar!$A18,DB!$1:$1,0)),FALSE)&gt;=5,"Good","Bad"),VLOOKUP(DATE($K$1,$K$2,WGT$4),Table1[],(MATCH(Calendar!$A18,DB!$1:$1,0)),FALSE)),"")</f>
        <v/>
      </c>
      <c r="WGU18" s="28" t="str">
        <f>IFERROR(IF(WHD3="No",IF(VLOOKUP(DATE($K$1,$K$2,WGU$4),Table1[],(MATCH(Calendar!$A18,DB!$1:$1,0)),FALSE)&gt;=5,"Good","Bad"),VLOOKUP(DATE($K$1,$K$2,WGU$4),Table1[],(MATCH(Calendar!$A18,DB!$1:$1,0)),FALSE)),"")</f>
        <v/>
      </c>
      <c r="WGV18" s="28" t="str">
        <f>IFERROR(IF(WHE3="No",IF(VLOOKUP(DATE($K$1,$K$2,WGV$4),Table1[],(MATCH(Calendar!$A18,DB!$1:$1,0)),FALSE)&gt;=5,"Good","Bad"),VLOOKUP(DATE($K$1,$K$2,WGV$4),Table1[],(MATCH(Calendar!$A18,DB!$1:$1,0)),FALSE)),"")</f>
        <v/>
      </c>
      <c r="WGW18" s="28" t="str">
        <f>IFERROR(IF(WHF3="No",IF(VLOOKUP(DATE($K$1,$K$2,WGW$4),Table1[],(MATCH(Calendar!$A18,DB!$1:$1,0)),FALSE)&gt;=5,"Good","Bad"),VLOOKUP(DATE($K$1,$K$2,WGW$4),Table1[],(MATCH(Calendar!$A18,DB!$1:$1,0)),FALSE)),"")</f>
        <v/>
      </c>
      <c r="WGX18" s="28" t="str">
        <f>IFERROR(IF(WHG3="No",IF(VLOOKUP(DATE($K$1,$K$2,WGX$4),Table1[],(MATCH(Calendar!$A18,DB!$1:$1,0)),FALSE)&gt;=5,"Good","Bad"),VLOOKUP(DATE($K$1,$K$2,WGX$4),Table1[],(MATCH(Calendar!$A18,DB!$1:$1,0)),FALSE)),"")</f>
        <v/>
      </c>
      <c r="WGY18" s="28" t="str">
        <f>IFERROR(IF(WHH3="No",IF(VLOOKUP(DATE($K$1,$K$2,WGY$4),Table1[],(MATCH(Calendar!$A18,DB!$1:$1,0)),FALSE)&gt;=5,"Good","Bad"),VLOOKUP(DATE($K$1,$K$2,WGY$4),Table1[],(MATCH(Calendar!$A18,DB!$1:$1,0)),FALSE)),"")</f>
        <v/>
      </c>
      <c r="WGZ18" s="28" t="str">
        <f>IFERROR(IF(WHI3="No",IF(VLOOKUP(DATE($K$1,$K$2,WGZ$4),Table1[],(MATCH(Calendar!$A18,DB!$1:$1,0)),FALSE)&gt;=5,"Good","Bad"),VLOOKUP(DATE($K$1,$K$2,WGZ$4),Table1[],(MATCH(Calendar!$A18,DB!$1:$1,0)),FALSE)),"")</f>
        <v/>
      </c>
      <c r="WHA18" s="28" t="str">
        <f>IFERROR(IF(WHJ3="No",IF(VLOOKUP(DATE($K$1,$K$2,WHA$4),Table1[],(MATCH(Calendar!$A18,DB!$1:$1,0)),FALSE)&gt;=5,"Good","Bad"),VLOOKUP(DATE($K$1,$K$2,WHA$4),Table1[],(MATCH(Calendar!$A18,DB!$1:$1,0)),FALSE)),"")</f>
        <v/>
      </c>
      <c r="WHB18" s="28" t="str">
        <f>IFERROR(IF(WHK3="No",IF(VLOOKUP(DATE($K$1,$K$2,WHB$4),Table1[],(MATCH(Calendar!$A18,DB!$1:$1,0)),FALSE)&gt;=5,"Good","Bad"),VLOOKUP(DATE($K$1,$K$2,WHB$4),Table1[],(MATCH(Calendar!$A18,DB!$1:$1,0)),FALSE)),"")</f>
        <v/>
      </c>
      <c r="WHC18" s="28" t="str">
        <f>IFERROR(IF(WHL3="No",IF(VLOOKUP(DATE($K$1,$K$2,WHC$4),Table1[],(MATCH(Calendar!$A18,DB!$1:$1,0)),FALSE)&gt;=5,"Good","Bad"),VLOOKUP(DATE($K$1,$K$2,WHC$4),Table1[],(MATCH(Calendar!$A18,DB!$1:$1,0)),FALSE)),"")</f>
        <v/>
      </c>
      <c r="WHD18" s="28" t="str">
        <f>IFERROR(IF(WHM3="No",IF(VLOOKUP(DATE($K$1,$K$2,WHD$4),Table1[],(MATCH(Calendar!$A18,DB!$1:$1,0)),FALSE)&gt;=5,"Good","Bad"),VLOOKUP(DATE($K$1,$K$2,WHD$4),Table1[],(MATCH(Calendar!$A18,DB!$1:$1,0)),FALSE)),"")</f>
        <v/>
      </c>
      <c r="WHE18" s="28" t="str">
        <f>IFERROR(IF(WHN3="No",IF(VLOOKUP(DATE($K$1,$K$2,WHE$4),Table1[],(MATCH(Calendar!$A18,DB!$1:$1,0)),FALSE)&gt;=5,"Good","Bad"),VLOOKUP(DATE($K$1,$K$2,WHE$4),Table1[],(MATCH(Calendar!$A18,DB!$1:$1,0)),FALSE)),"")</f>
        <v/>
      </c>
      <c r="WHF18" s="28" t="str">
        <f>IFERROR(IF(WHO3="No",IF(VLOOKUP(DATE($K$1,$K$2,WHF$4),Table1[],(MATCH(Calendar!$A18,DB!$1:$1,0)),FALSE)&gt;=5,"Good","Bad"),VLOOKUP(DATE($K$1,$K$2,WHF$4),Table1[],(MATCH(Calendar!$A18,DB!$1:$1,0)),FALSE)),"")</f>
        <v/>
      </c>
      <c r="WHG18" s="28" t="str">
        <f>IFERROR(IF(WHP3="No",IF(VLOOKUP(DATE($K$1,$K$2,WHG$4),Table1[],(MATCH(Calendar!$A18,DB!$1:$1,0)),FALSE)&gt;=5,"Good","Bad"),VLOOKUP(DATE($K$1,$K$2,WHG$4),Table1[],(MATCH(Calendar!$A18,DB!$1:$1,0)),FALSE)),"")</f>
        <v/>
      </c>
      <c r="WHH18" s="28" t="str">
        <f>IFERROR(IF(WHQ3="No",IF(VLOOKUP(DATE($K$1,$K$2,WHH$4),Table1[],(MATCH(Calendar!$A18,DB!$1:$1,0)),FALSE)&gt;=5,"Good","Bad"),VLOOKUP(DATE($K$1,$K$2,WHH$4),Table1[],(MATCH(Calendar!$A18,DB!$1:$1,0)),FALSE)),"")</f>
        <v/>
      </c>
      <c r="WHI18" s="28" t="str">
        <f>IFERROR(IF(WHR3="No",IF(VLOOKUP(DATE($K$1,$K$2,WHI$4),Table1[],(MATCH(Calendar!$A18,DB!$1:$1,0)),FALSE)&gt;=5,"Good","Bad"),VLOOKUP(DATE($K$1,$K$2,WHI$4),Table1[],(MATCH(Calendar!$A18,DB!$1:$1,0)),FALSE)),"")</f>
        <v/>
      </c>
      <c r="WHJ18" s="28" t="str">
        <f>IFERROR(IF(WHS3="No",IF(VLOOKUP(DATE($K$1,$K$2,WHJ$4),Table1[],(MATCH(Calendar!$A18,DB!$1:$1,0)),FALSE)&gt;=5,"Good","Bad"),VLOOKUP(DATE($K$1,$K$2,WHJ$4),Table1[],(MATCH(Calendar!$A18,DB!$1:$1,0)),FALSE)),"")</f>
        <v/>
      </c>
      <c r="WHK18" s="28" t="str">
        <f>IFERROR(IF(WHT3="No",IF(VLOOKUP(DATE($K$1,$K$2,WHK$4),Table1[],(MATCH(Calendar!$A18,DB!$1:$1,0)),FALSE)&gt;=5,"Good","Bad"),VLOOKUP(DATE($K$1,$K$2,WHK$4),Table1[],(MATCH(Calendar!$A18,DB!$1:$1,0)),FALSE)),"")</f>
        <v/>
      </c>
      <c r="WHL18" s="28" t="str">
        <f>IFERROR(IF(WHU3="No",IF(VLOOKUP(DATE($K$1,$K$2,WHL$4),Table1[],(MATCH(Calendar!$A18,DB!$1:$1,0)),FALSE)&gt;=5,"Good","Bad"),VLOOKUP(DATE($K$1,$K$2,WHL$4),Table1[],(MATCH(Calendar!$A18,DB!$1:$1,0)),FALSE)),"")</f>
        <v/>
      </c>
      <c r="WHM18" s="28" t="str">
        <f>IFERROR(IF(WHV3="No",IF(VLOOKUP(DATE($K$1,$K$2,WHM$4),Table1[],(MATCH(Calendar!$A18,DB!$1:$1,0)),FALSE)&gt;=5,"Good","Bad"),VLOOKUP(DATE($K$1,$K$2,WHM$4),Table1[],(MATCH(Calendar!$A18,DB!$1:$1,0)),FALSE)),"")</f>
        <v/>
      </c>
      <c r="WHN18" s="28" t="str">
        <f>IFERROR(IF(WHW3="No",IF(VLOOKUP(DATE($K$1,$K$2,WHN$4),Table1[],(MATCH(Calendar!$A18,DB!$1:$1,0)),FALSE)&gt;=5,"Good","Bad"),VLOOKUP(DATE($K$1,$K$2,WHN$4),Table1[],(MATCH(Calendar!$A18,DB!$1:$1,0)),FALSE)),"")</f>
        <v/>
      </c>
      <c r="WHO18" s="28" t="str">
        <f>IFERROR(IF(WHX3="No",IF(VLOOKUP(DATE($K$1,$K$2,WHO$4),Table1[],(MATCH(Calendar!$A18,DB!$1:$1,0)),FALSE)&gt;=5,"Good","Bad"),VLOOKUP(DATE($K$1,$K$2,WHO$4),Table1[],(MATCH(Calendar!$A18,DB!$1:$1,0)),FALSE)),"")</f>
        <v/>
      </c>
      <c r="WHP18" s="28" t="str">
        <f>IFERROR(IF(WHY3="No",IF(VLOOKUP(DATE($K$1,$K$2,WHP$4),Table1[],(MATCH(Calendar!$A18,DB!$1:$1,0)),FALSE)&gt;=5,"Good","Bad"),VLOOKUP(DATE($K$1,$K$2,WHP$4),Table1[],(MATCH(Calendar!$A18,DB!$1:$1,0)),FALSE)),"")</f>
        <v/>
      </c>
      <c r="WHQ18" s="28" t="str">
        <f>IFERROR(IF(WHZ3="No",IF(VLOOKUP(DATE($K$1,$K$2,WHQ$4),Table1[],(MATCH(Calendar!$A18,DB!$1:$1,0)),FALSE)&gt;=5,"Good","Bad"),VLOOKUP(DATE($K$1,$K$2,WHQ$4),Table1[],(MATCH(Calendar!$A18,DB!$1:$1,0)),FALSE)),"")</f>
        <v/>
      </c>
      <c r="WHR18" s="28" t="str">
        <f>IFERROR(IF(WIA3="No",IF(VLOOKUP(DATE($K$1,$K$2,WHR$4),Table1[],(MATCH(Calendar!$A18,DB!$1:$1,0)),FALSE)&gt;=5,"Good","Bad"),VLOOKUP(DATE($K$1,$K$2,WHR$4),Table1[],(MATCH(Calendar!$A18,DB!$1:$1,0)),FALSE)),"")</f>
        <v/>
      </c>
      <c r="WHS18" s="28" t="str">
        <f>IFERROR(IF(WIB3="No",IF(VLOOKUP(DATE($K$1,$K$2,WHS$4),Table1[],(MATCH(Calendar!$A18,DB!$1:$1,0)),FALSE)&gt;=5,"Good","Bad"),VLOOKUP(DATE($K$1,$K$2,WHS$4),Table1[],(MATCH(Calendar!$A18,DB!$1:$1,0)),FALSE)),"")</f>
        <v/>
      </c>
      <c r="WHT18" s="28" t="str">
        <f>IFERROR(IF(WIC3="No",IF(VLOOKUP(DATE($K$1,$K$2,WHT$4),Table1[],(MATCH(Calendar!$A18,DB!$1:$1,0)),FALSE)&gt;=5,"Good","Bad"),VLOOKUP(DATE($K$1,$K$2,WHT$4),Table1[],(MATCH(Calendar!$A18,DB!$1:$1,0)),FALSE)),"")</f>
        <v/>
      </c>
      <c r="WHU18" s="28" t="str">
        <f>IFERROR(IF(WID3="No",IF(VLOOKUP(DATE($K$1,$K$2,WHU$4),Table1[],(MATCH(Calendar!$A18,DB!$1:$1,0)),FALSE)&gt;=5,"Good","Bad"),VLOOKUP(DATE($K$1,$K$2,WHU$4),Table1[],(MATCH(Calendar!$A18,DB!$1:$1,0)),FALSE)),"")</f>
        <v/>
      </c>
      <c r="WHV18" s="28" t="str">
        <f>IFERROR(IF(WIE3="No",IF(VLOOKUP(DATE($K$1,$K$2,WHV$4),Table1[],(MATCH(Calendar!$A18,DB!$1:$1,0)),FALSE)&gt;=5,"Good","Bad"),VLOOKUP(DATE($K$1,$K$2,WHV$4),Table1[],(MATCH(Calendar!$A18,DB!$1:$1,0)),FALSE)),"")</f>
        <v/>
      </c>
      <c r="WHW18" s="28" t="str">
        <f>IFERROR(IF(WIF3="No",IF(VLOOKUP(DATE($K$1,$K$2,WHW$4),Table1[],(MATCH(Calendar!$A18,DB!$1:$1,0)),FALSE)&gt;=5,"Good","Bad"),VLOOKUP(DATE($K$1,$K$2,WHW$4),Table1[],(MATCH(Calendar!$A18,DB!$1:$1,0)),FALSE)),"")</f>
        <v/>
      </c>
      <c r="WHX18" s="28" t="str">
        <f>IFERROR(IF(WIG3="No",IF(VLOOKUP(DATE($K$1,$K$2,WHX$4),Table1[],(MATCH(Calendar!$A18,DB!$1:$1,0)),FALSE)&gt;=5,"Good","Bad"),VLOOKUP(DATE($K$1,$K$2,WHX$4),Table1[],(MATCH(Calendar!$A18,DB!$1:$1,0)),FALSE)),"")</f>
        <v/>
      </c>
      <c r="WHY18" s="28" t="str">
        <f>IFERROR(IF(WIH3="No",IF(VLOOKUP(DATE($K$1,$K$2,WHY$4),Table1[],(MATCH(Calendar!$A18,DB!$1:$1,0)),FALSE)&gt;=5,"Good","Bad"),VLOOKUP(DATE($K$1,$K$2,WHY$4),Table1[],(MATCH(Calendar!$A18,DB!$1:$1,0)),FALSE)),"")</f>
        <v/>
      </c>
      <c r="WHZ18" s="28" t="str">
        <f>IFERROR(IF(WII3="No",IF(VLOOKUP(DATE($K$1,$K$2,WHZ$4),Table1[],(MATCH(Calendar!$A18,DB!$1:$1,0)),FALSE)&gt;=5,"Good","Bad"),VLOOKUP(DATE($K$1,$K$2,WHZ$4),Table1[],(MATCH(Calendar!$A18,DB!$1:$1,0)),FALSE)),"")</f>
        <v/>
      </c>
      <c r="WIA18" s="28" t="str">
        <f>IFERROR(IF(WIJ3="No",IF(VLOOKUP(DATE($K$1,$K$2,WIA$4),Table1[],(MATCH(Calendar!$A18,DB!$1:$1,0)),FALSE)&gt;=5,"Good","Bad"),VLOOKUP(DATE($K$1,$K$2,WIA$4),Table1[],(MATCH(Calendar!$A18,DB!$1:$1,0)),FALSE)),"")</f>
        <v/>
      </c>
      <c r="WIB18" s="28" t="str">
        <f>IFERROR(IF(WIK3="No",IF(VLOOKUP(DATE($K$1,$K$2,WIB$4),Table1[],(MATCH(Calendar!$A18,DB!$1:$1,0)),FALSE)&gt;=5,"Good","Bad"),VLOOKUP(DATE($K$1,$K$2,WIB$4),Table1[],(MATCH(Calendar!$A18,DB!$1:$1,0)),FALSE)),"")</f>
        <v/>
      </c>
      <c r="WIC18" s="28" t="str">
        <f>IFERROR(IF(WIL3="No",IF(VLOOKUP(DATE($K$1,$K$2,WIC$4),Table1[],(MATCH(Calendar!$A18,DB!$1:$1,0)),FALSE)&gt;=5,"Good","Bad"),VLOOKUP(DATE($K$1,$K$2,WIC$4),Table1[],(MATCH(Calendar!$A18,DB!$1:$1,0)),FALSE)),"")</f>
        <v/>
      </c>
      <c r="WID18" s="28" t="str">
        <f>IFERROR(IF(WIM3="No",IF(VLOOKUP(DATE($K$1,$K$2,WID$4),Table1[],(MATCH(Calendar!$A18,DB!$1:$1,0)),FALSE)&gt;=5,"Good","Bad"),VLOOKUP(DATE($K$1,$K$2,WID$4),Table1[],(MATCH(Calendar!$A18,DB!$1:$1,0)),FALSE)),"")</f>
        <v/>
      </c>
      <c r="WIE18" s="28" t="str">
        <f>IFERROR(IF(WIN3="No",IF(VLOOKUP(DATE($K$1,$K$2,WIE$4),Table1[],(MATCH(Calendar!$A18,DB!$1:$1,0)),FALSE)&gt;=5,"Good","Bad"),VLOOKUP(DATE($K$1,$K$2,WIE$4),Table1[],(MATCH(Calendar!$A18,DB!$1:$1,0)),FALSE)),"")</f>
        <v/>
      </c>
      <c r="WIF18" s="28" t="str">
        <f>IFERROR(IF(WIO3="No",IF(VLOOKUP(DATE($K$1,$K$2,WIF$4),Table1[],(MATCH(Calendar!$A18,DB!$1:$1,0)),FALSE)&gt;=5,"Good","Bad"),VLOOKUP(DATE($K$1,$K$2,WIF$4),Table1[],(MATCH(Calendar!$A18,DB!$1:$1,0)),FALSE)),"")</f>
        <v/>
      </c>
      <c r="WIG18" s="28" t="str">
        <f>IFERROR(IF(WIP3="No",IF(VLOOKUP(DATE($K$1,$K$2,WIG$4),Table1[],(MATCH(Calendar!$A18,DB!$1:$1,0)),FALSE)&gt;=5,"Good","Bad"),VLOOKUP(DATE($K$1,$K$2,WIG$4),Table1[],(MATCH(Calendar!$A18,DB!$1:$1,0)),FALSE)),"")</f>
        <v/>
      </c>
      <c r="WIH18" s="28" t="str">
        <f>IFERROR(IF(WIQ3="No",IF(VLOOKUP(DATE($K$1,$K$2,WIH$4),Table1[],(MATCH(Calendar!$A18,DB!$1:$1,0)),FALSE)&gt;=5,"Good","Bad"),VLOOKUP(DATE($K$1,$K$2,WIH$4),Table1[],(MATCH(Calendar!$A18,DB!$1:$1,0)),FALSE)),"")</f>
        <v/>
      </c>
      <c r="WII18" s="28" t="str">
        <f>IFERROR(IF(WIR3="No",IF(VLOOKUP(DATE($K$1,$K$2,WII$4),Table1[],(MATCH(Calendar!$A18,DB!$1:$1,0)),FALSE)&gt;=5,"Good","Bad"),VLOOKUP(DATE($K$1,$K$2,WII$4),Table1[],(MATCH(Calendar!$A18,DB!$1:$1,0)),FALSE)),"")</f>
        <v/>
      </c>
      <c r="WIJ18" s="28" t="str">
        <f>IFERROR(IF(WIS3="No",IF(VLOOKUP(DATE($K$1,$K$2,WIJ$4),Table1[],(MATCH(Calendar!$A18,DB!$1:$1,0)),FALSE)&gt;=5,"Good","Bad"),VLOOKUP(DATE($K$1,$K$2,WIJ$4),Table1[],(MATCH(Calendar!$A18,DB!$1:$1,0)),FALSE)),"")</f>
        <v/>
      </c>
      <c r="WIK18" s="28" t="str">
        <f>IFERROR(IF(WIT3="No",IF(VLOOKUP(DATE($K$1,$K$2,WIK$4),Table1[],(MATCH(Calendar!$A18,DB!$1:$1,0)),FALSE)&gt;=5,"Good","Bad"),VLOOKUP(DATE($K$1,$K$2,WIK$4),Table1[],(MATCH(Calendar!$A18,DB!$1:$1,0)),FALSE)),"")</f>
        <v/>
      </c>
      <c r="WIL18" s="28" t="str">
        <f>IFERROR(IF(WIU3="No",IF(VLOOKUP(DATE($K$1,$K$2,WIL$4),Table1[],(MATCH(Calendar!$A18,DB!$1:$1,0)),FALSE)&gt;=5,"Good","Bad"),VLOOKUP(DATE($K$1,$K$2,WIL$4),Table1[],(MATCH(Calendar!$A18,DB!$1:$1,0)),FALSE)),"")</f>
        <v/>
      </c>
      <c r="WIM18" s="28" t="str">
        <f>IFERROR(IF(WIV3="No",IF(VLOOKUP(DATE($K$1,$K$2,WIM$4),Table1[],(MATCH(Calendar!$A18,DB!$1:$1,0)),FALSE)&gt;=5,"Good","Bad"),VLOOKUP(DATE($K$1,$K$2,WIM$4),Table1[],(MATCH(Calendar!$A18,DB!$1:$1,0)),FALSE)),"")</f>
        <v/>
      </c>
      <c r="WIN18" s="28" t="str">
        <f>IFERROR(IF(WIW3="No",IF(VLOOKUP(DATE($K$1,$K$2,WIN$4),Table1[],(MATCH(Calendar!$A18,DB!$1:$1,0)),FALSE)&gt;=5,"Good","Bad"),VLOOKUP(DATE($K$1,$K$2,WIN$4),Table1[],(MATCH(Calendar!$A18,DB!$1:$1,0)),FALSE)),"")</f>
        <v/>
      </c>
      <c r="WIO18" s="28" t="str">
        <f>IFERROR(IF(WIX3="No",IF(VLOOKUP(DATE($K$1,$K$2,WIO$4),Table1[],(MATCH(Calendar!$A18,DB!$1:$1,0)),FALSE)&gt;=5,"Good","Bad"),VLOOKUP(DATE($K$1,$K$2,WIO$4),Table1[],(MATCH(Calendar!$A18,DB!$1:$1,0)),FALSE)),"")</f>
        <v/>
      </c>
      <c r="WIP18" s="28" t="str">
        <f>IFERROR(IF(WIY3="No",IF(VLOOKUP(DATE($K$1,$K$2,WIP$4),Table1[],(MATCH(Calendar!$A18,DB!$1:$1,0)),FALSE)&gt;=5,"Good","Bad"),VLOOKUP(DATE($K$1,$K$2,WIP$4),Table1[],(MATCH(Calendar!$A18,DB!$1:$1,0)),FALSE)),"")</f>
        <v/>
      </c>
      <c r="WIQ18" s="28" t="str">
        <f>IFERROR(IF(WIZ3="No",IF(VLOOKUP(DATE($K$1,$K$2,WIQ$4),Table1[],(MATCH(Calendar!$A18,DB!$1:$1,0)),FALSE)&gt;=5,"Good","Bad"),VLOOKUP(DATE($K$1,$K$2,WIQ$4),Table1[],(MATCH(Calendar!$A18,DB!$1:$1,0)),FALSE)),"")</f>
        <v/>
      </c>
      <c r="WIR18" s="28" t="str">
        <f>IFERROR(IF(WJA3="No",IF(VLOOKUP(DATE($K$1,$K$2,WIR$4),Table1[],(MATCH(Calendar!$A18,DB!$1:$1,0)),FALSE)&gt;=5,"Good","Bad"),VLOOKUP(DATE($K$1,$K$2,WIR$4),Table1[],(MATCH(Calendar!$A18,DB!$1:$1,0)),FALSE)),"")</f>
        <v/>
      </c>
      <c r="WIS18" s="28" t="str">
        <f>IFERROR(IF(WJB3="No",IF(VLOOKUP(DATE($K$1,$K$2,WIS$4),Table1[],(MATCH(Calendar!$A18,DB!$1:$1,0)),FALSE)&gt;=5,"Good","Bad"),VLOOKUP(DATE($K$1,$K$2,WIS$4),Table1[],(MATCH(Calendar!$A18,DB!$1:$1,0)),FALSE)),"")</f>
        <v/>
      </c>
      <c r="WIT18" s="28" t="str">
        <f>IFERROR(IF(WJC3="No",IF(VLOOKUP(DATE($K$1,$K$2,WIT$4),Table1[],(MATCH(Calendar!$A18,DB!$1:$1,0)),FALSE)&gt;=5,"Good","Bad"),VLOOKUP(DATE($K$1,$K$2,WIT$4),Table1[],(MATCH(Calendar!$A18,DB!$1:$1,0)),FALSE)),"")</f>
        <v/>
      </c>
      <c r="WIU18" s="28" t="str">
        <f>IFERROR(IF(WJD3="No",IF(VLOOKUP(DATE($K$1,$K$2,WIU$4),Table1[],(MATCH(Calendar!$A18,DB!$1:$1,0)),FALSE)&gt;=5,"Good","Bad"),VLOOKUP(DATE($K$1,$K$2,WIU$4),Table1[],(MATCH(Calendar!$A18,DB!$1:$1,0)),FALSE)),"")</f>
        <v/>
      </c>
      <c r="WIV18" s="28" t="str">
        <f>IFERROR(IF(WJE3="No",IF(VLOOKUP(DATE($K$1,$K$2,WIV$4),Table1[],(MATCH(Calendar!$A18,DB!$1:$1,0)),FALSE)&gt;=5,"Good","Bad"),VLOOKUP(DATE($K$1,$K$2,WIV$4),Table1[],(MATCH(Calendar!$A18,DB!$1:$1,0)),FALSE)),"")</f>
        <v/>
      </c>
      <c r="WIW18" s="28" t="str">
        <f>IFERROR(IF(WJF3="No",IF(VLOOKUP(DATE($K$1,$K$2,WIW$4),Table1[],(MATCH(Calendar!$A18,DB!$1:$1,0)),FALSE)&gt;=5,"Good","Bad"),VLOOKUP(DATE($K$1,$K$2,WIW$4),Table1[],(MATCH(Calendar!$A18,DB!$1:$1,0)),FALSE)),"")</f>
        <v/>
      </c>
      <c r="WIX18" s="28" t="str">
        <f>IFERROR(IF(WJG3="No",IF(VLOOKUP(DATE($K$1,$K$2,WIX$4),Table1[],(MATCH(Calendar!$A18,DB!$1:$1,0)),FALSE)&gt;=5,"Good","Bad"),VLOOKUP(DATE($K$1,$K$2,WIX$4),Table1[],(MATCH(Calendar!$A18,DB!$1:$1,0)),FALSE)),"")</f>
        <v/>
      </c>
      <c r="WIY18" s="28" t="str">
        <f>IFERROR(IF(WJH3="No",IF(VLOOKUP(DATE($K$1,$K$2,WIY$4),Table1[],(MATCH(Calendar!$A18,DB!$1:$1,0)),FALSE)&gt;=5,"Good","Bad"),VLOOKUP(DATE($K$1,$K$2,WIY$4),Table1[],(MATCH(Calendar!$A18,DB!$1:$1,0)),FALSE)),"")</f>
        <v/>
      </c>
      <c r="WIZ18" s="28" t="str">
        <f>IFERROR(IF(WJI3="No",IF(VLOOKUP(DATE($K$1,$K$2,WIZ$4),Table1[],(MATCH(Calendar!$A18,DB!$1:$1,0)),FALSE)&gt;=5,"Good","Bad"),VLOOKUP(DATE($K$1,$K$2,WIZ$4),Table1[],(MATCH(Calendar!$A18,DB!$1:$1,0)),FALSE)),"")</f>
        <v/>
      </c>
      <c r="WJA18" s="28" t="str">
        <f>IFERROR(IF(WJJ3="No",IF(VLOOKUP(DATE($K$1,$K$2,WJA$4),Table1[],(MATCH(Calendar!$A18,DB!$1:$1,0)),FALSE)&gt;=5,"Good","Bad"),VLOOKUP(DATE($K$1,$K$2,WJA$4),Table1[],(MATCH(Calendar!$A18,DB!$1:$1,0)),FALSE)),"")</f>
        <v/>
      </c>
      <c r="WJB18" s="28" t="str">
        <f>IFERROR(IF(WJK3="No",IF(VLOOKUP(DATE($K$1,$K$2,WJB$4),Table1[],(MATCH(Calendar!$A18,DB!$1:$1,0)),FALSE)&gt;=5,"Good","Bad"),VLOOKUP(DATE($K$1,$K$2,WJB$4),Table1[],(MATCH(Calendar!$A18,DB!$1:$1,0)),FALSE)),"")</f>
        <v/>
      </c>
      <c r="WJC18" s="28" t="str">
        <f>IFERROR(IF(WJL3="No",IF(VLOOKUP(DATE($K$1,$K$2,WJC$4),Table1[],(MATCH(Calendar!$A18,DB!$1:$1,0)),FALSE)&gt;=5,"Good","Bad"),VLOOKUP(DATE($K$1,$K$2,WJC$4),Table1[],(MATCH(Calendar!$A18,DB!$1:$1,0)),FALSE)),"")</f>
        <v/>
      </c>
      <c r="WJD18" s="28" t="str">
        <f>IFERROR(IF(WJM3="No",IF(VLOOKUP(DATE($K$1,$K$2,WJD$4),Table1[],(MATCH(Calendar!$A18,DB!$1:$1,0)),FALSE)&gt;=5,"Good","Bad"),VLOOKUP(DATE($K$1,$K$2,WJD$4),Table1[],(MATCH(Calendar!$A18,DB!$1:$1,0)),FALSE)),"")</f>
        <v/>
      </c>
      <c r="WJE18" s="28" t="str">
        <f>IFERROR(IF(WJN3="No",IF(VLOOKUP(DATE($K$1,$K$2,WJE$4),Table1[],(MATCH(Calendar!$A18,DB!$1:$1,0)),FALSE)&gt;=5,"Good","Bad"),VLOOKUP(DATE($K$1,$K$2,WJE$4),Table1[],(MATCH(Calendar!$A18,DB!$1:$1,0)),FALSE)),"")</f>
        <v/>
      </c>
      <c r="WJF18" s="28" t="str">
        <f>IFERROR(IF(WJO3="No",IF(VLOOKUP(DATE($K$1,$K$2,WJF$4),Table1[],(MATCH(Calendar!$A18,DB!$1:$1,0)),FALSE)&gt;=5,"Good","Bad"),VLOOKUP(DATE($K$1,$K$2,WJF$4),Table1[],(MATCH(Calendar!$A18,DB!$1:$1,0)),FALSE)),"")</f>
        <v/>
      </c>
      <c r="WJG18" s="28" t="str">
        <f>IFERROR(IF(WJP3="No",IF(VLOOKUP(DATE($K$1,$K$2,WJG$4),Table1[],(MATCH(Calendar!$A18,DB!$1:$1,0)),FALSE)&gt;=5,"Good","Bad"),VLOOKUP(DATE($K$1,$K$2,WJG$4),Table1[],(MATCH(Calendar!$A18,DB!$1:$1,0)),FALSE)),"")</f>
        <v/>
      </c>
      <c r="WJH18" s="28" t="str">
        <f>IFERROR(IF(WJQ3="No",IF(VLOOKUP(DATE($K$1,$K$2,WJH$4),Table1[],(MATCH(Calendar!$A18,DB!$1:$1,0)),FALSE)&gt;=5,"Good","Bad"),VLOOKUP(DATE($K$1,$K$2,WJH$4),Table1[],(MATCH(Calendar!$A18,DB!$1:$1,0)),FALSE)),"")</f>
        <v/>
      </c>
      <c r="WJI18" s="28" t="str">
        <f>IFERROR(IF(WJR3="No",IF(VLOOKUP(DATE($K$1,$K$2,WJI$4),Table1[],(MATCH(Calendar!$A18,DB!$1:$1,0)),FALSE)&gt;=5,"Good","Bad"),VLOOKUP(DATE($K$1,$K$2,WJI$4),Table1[],(MATCH(Calendar!$A18,DB!$1:$1,0)),FALSE)),"")</f>
        <v/>
      </c>
      <c r="WJJ18" s="28" t="str">
        <f>IFERROR(IF(WJS3="No",IF(VLOOKUP(DATE($K$1,$K$2,WJJ$4),Table1[],(MATCH(Calendar!$A18,DB!$1:$1,0)),FALSE)&gt;=5,"Good","Bad"),VLOOKUP(DATE($K$1,$K$2,WJJ$4),Table1[],(MATCH(Calendar!$A18,DB!$1:$1,0)),FALSE)),"")</f>
        <v/>
      </c>
      <c r="WJK18" s="28" t="str">
        <f>IFERROR(IF(WJT3="No",IF(VLOOKUP(DATE($K$1,$K$2,WJK$4),Table1[],(MATCH(Calendar!$A18,DB!$1:$1,0)),FALSE)&gt;=5,"Good","Bad"),VLOOKUP(DATE($K$1,$K$2,WJK$4),Table1[],(MATCH(Calendar!$A18,DB!$1:$1,0)),FALSE)),"")</f>
        <v/>
      </c>
      <c r="WJL18" s="28" t="str">
        <f>IFERROR(IF(WJU3="No",IF(VLOOKUP(DATE($K$1,$K$2,WJL$4),Table1[],(MATCH(Calendar!$A18,DB!$1:$1,0)),FALSE)&gt;=5,"Good","Bad"),VLOOKUP(DATE($K$1,$K$2,WJL$4),Table1[],(MATCH(Calendar!$A18,DB!$1:$1,0)),FALSE)),"")</f>
        <v/>
      </c>
      <c r="WJM18" s="28" t="str">
        <f>IFERROR(IF(WJV3="No",IF(VLOOKUP(DATE($K$1,$K$2,WJM$4),Table1[],(MATCH(Calendar!$A18,DB!$1:$1,0)),FALSE)&gt;=5,"Good","Bad"),VLOOKUP(DATE($K$1,$K$2,WJM$4),Table1[],(MATCH(Calendar!$A18,DB!$1:$1,0)),FALSE)),"")</f>
        <v/>
      </c>
      <c r="WJN18" s="28" t="str">
        <f>IFERROR(IF(WJW3="No",IF(VLOOKUP(DATE($K$1,$K$2,WJN$4),Table1[],(MATCH(Calendar!$A18,DB!$1:$1,0)),FALSE)&gt;=5,"Good","Bad"),VLOOKUP(DATE($K$1,$K$2,WJN$4),Table1[],(MATCH(Calendar!$A18,DB!$1:$1,0)),FALSE)),"")</f>
        <v/>
      </c>
      <c r="WJO18" s="28" t="str">
        <f>IFERROR(IF(WJX3="No",IF(VLOOKUP(DATE($K$1,$K$2,WJO$4),Table1[],(MATCH(Calendar!$A18,DB!$1:$1,0)),FALSE)&gt;=5,"Good","Bad"),VLOOKUP(DATE($K$1,$K$2,WJO$4),Table1[],(MATCH(Calendar!$A18,DB!$1:$1,0)),FALSE)),"")</f>
        <v/>
      </c>
      <c r="WJP18" s="28" t="str">
        <f>IFERROR(IF(WJY3="No",IF(VLOOKUP(DATE($K$1,$K$2,WJP$4),Table1[],(MATCH(Calendar!$A18,DB!$1:$1,0)),FALSE)&gt;=5,"Good","Bad"),VLOOKUP(DATE($K$1,$K$2,WJP$4),Table1[],(MATCH(Calendar!$A18,DB!$1:$1,0)),FALSE)),"")</f>
        <v/>
      </c>
      <c r="WJQ18" s="28" t="str">
        <f>IFERROR(IF(WJZ3="No",IF(VLOOKUP(DATE($K$1,$K$2,WJQ$4),Table1[],(MATCH(Calendar!$A18,DB!$1:$1,0)),FALSE)&gt;=5,"Good","Bad"),VLOOKUP(DATE($K$1,$K$2,WJQ$4),Table1[],(MATCH(Calendar!$A18,DB!$1:$1,0)),FALSE)),"")</f>
        <v/>
      </c>
      <c r="WJR18" s="28" t="str">
        <f>IFERROR(IF(WKA3="No",IF(VLOOKUP(DATE($K$1,$K$2,WJR$4),Table1[],(MATCH(Calendar!$A18,DB!$1:$1,0)),FALSE)&gt;=5,"Good","Bad"),VLOOKUP(DATE($K$1,$K$2,WJR$4),Table1[],(MATCH(Calendar!$A18,DB!$1:$1,0)),FALSE)),"")</f>
        <v/>
      </c>
      <c r="WJS18" s="28" t="str">
        <f>IFERROR(IF(WKB3="No",IF(VLOOKUP(DATE($K$1,$K$2,WJS$4),Table1[],(MATCH(Calendar!$A18,DB!$1:$1,0)),FALSE)&gt;=5,"Good","Bad"),VLOOKUP(DATE($K$1,$K$2,WJS$4),Table1[],(MATCH(Calendar!$A18,DB!$1:$1,0)),FALSE)),"")</f>
        <v/>
      </c>
      <c r="WJT18" s="28" t="str">
        <f>IFERROR(IF(WKC3="No",IF(VLOOKUP(DATE($K$1,$K$2,WJT$4),Table1[],(MATCH(Calendar!$A18,DB!$1:$1,0)),FALSE)&gt;=5,"Good","Bad"),VLOOKUP(DATE($K$1,$K$2,WJT$4),Table1[],(MATCH(Calendar!$A18,DB!$1:$1,0)),FALSE)),"")</f>
        <v/>
      </c>
      <c r="WJU18" s="28" t="str">
        <f>IFERROR(IF(WKD3="No",IF(VLOOKUP(DATE($K$1,$K$2,WJU$4),Table1[],(MATCH(Calendar!$A18,DB!$1:$1,0)),FALSE)&gt;=5,"Good","Bad"),VLOOKUP(DATE($K$1,$K$2,WJU$4),Table1[],(MATCH(Calendar!$A18,DB!$1:$1,0)),FALSE)),"")</f>
        <v/>
      </c>
      <c r="WJV18" s="28" t="str">
        <f>IFERROR(IF(WKE3="No",IF(VLOOKUP(DATE($K$1,$K$2,WJV$4),Table1[],(MATCH(Calendar!$A18,DB!$1:$1,0)),FALSE)&gt;=5,"Good","Bad"),VLOOKUP(DATE($K$1,$K$2,WJV$4),Table1[],(MATCH(Calendar!$A18,DB!$1:$1,0)),FALSE)),"")</f>
        <v/>
      </c>
      <c r="WJW18" s="28" t="str">
        <f>IFERROR(IF(WKF3="No",IF(VLOOKUP(DATE($K$1,$K$2,WJW$4),Table1[],(MATCH(Calendar!$A18,DB!$1:$1,0)),FALSE)&gt;=5,"Good","Bad"),VLOOKUP(DATE($K$1,$K$2,WJW$4),Table1[],(MATCH(Calendar!$A18,DB!$1:$1,0)),FALSE)),"")</f>
        <v/>
      </c>
      <c r="WJX18" s="28" t="str">
        <f>IFERROR(IF(WKG3="No",IF(VLOOKUP(DATE($K$1,$K$2,WJX$4),Table1[],(MATCH(Calendar!$A18,DB!$1:$1,0)),FALSE)&gt;=5,"Good","Bad"),VLOOKUP(DATE($K$1,$K$2,WJX$4),Table1[],(MATCH(Calendar!$A18,DB!$1:$1,0)),FALSE)),"")</f>
        <v/>
      </c>
      <c r="WJY18" s="28" t="str">
        <f>IFERROR(IF(WKH3="No",IF(VLOOKUP(DATE($K$1,$K$2,WJY$4),Table1[],(MATCH(Calendar!$A18,DB!$1:$1,0)),FALSE)&gt;=5,"Good","Bad"),VLOOKUP(DATE($K$1,$K$2,WJY$4),Table1[],(MATCH(Calendar!$A18,DB!$1:$1,0)),FALSE)),"")</f>
        <v/>
      </c>
      <c r="WJZ18" s="28" t="str">
        <f>IFERROR(IF(WKI3="No",IF(VLOOKUP(DATE($K$1,$K$2,WJZ$4),Table1[],(MATCH(Calendar!$A18,DB!$1:$1,0)),FALSE)&gt;=5,"Good","Bad"),VLOOKUP(DATE($K$1,$K$2,WJZ$4),Table1[],(MATCH(Calendar!$A18,DB!$1:$1,0)),FALSE)),"")</f>
        <v/>
      </c>
      <c r="WKA18" s="28" t="str">
        <f>IFERROR(IF(WKJ3="No",IF(VLOOKUP(DATE($K$1,$K$2,WKA$4),Table1[],(MATCH(Calendar!$A18,DB!$1:$1,0)),FALSE)&gt;=5,"Good","Bad"),VLOOKUP(DATE($K$1,$K$2,WKA$4),Table1[],(MATCH(Calendar!$A18,DB!$1:$1,0)),FALSE)),"")</f>
        <v/>
      </c>
      <c r="WKB18" s="28" t="str">
        <f>IFERROR(IF(WKK3="No",IF(VLOOKUP(DATE($K$1,$K$2,WKB$4),Table1[],(MATCH(Calendar!$A18,DB!$1:$1,0)),FALSE)&gt;=5,"Good","Bad"),VLOOKUP(DATE($K$1,$K$2,WKB$4),Table1[],(MATCH(Calendar!$A18,DB!$1:$1,0)),FALSE)),"")</f>
        <v/>
      </c>
      <c r="WKC18" s="28" t="str">
        <f>IFERROR(IF(WKL3="No",IF(VLOOKUP(DATE($K$1,$K$2,WKC$4),Table1[],(MATCH(Calendar!$A18,DB!$1:$1,0)),FALSE)&gt;=5,"Good","Bad"),VLOOKUP(DATE($K$1,$K$2,WKC$4),Table1[],(MATCH(Calendar!$A18,DB!$1:$1,0)),FALSE)),"")</f>
        <v/>
      </c>
      <c r="WKD18" s="28" t="str">
        <f>IFERROR(IF(WKM3="No",IF(VLOOKUP(DATE($K$1,$K$2,WKD$4),Table1[],(MATCH(Calendar!$A18,DB!$1:$1,0)),FALSE)&gt;=5,"Good","Bad"),VLOOKUP(DATE($K$1,$K$2,WKD$4),Table1[],(MATCH(Calendar!$A18,DB!$1:$1,0)),FALSE)),"")</f>
        <v/>
      </c>
      <c r="WKE18" s="28" t="str">
        <f>IFERROR(IF(WKN3="No",IF(VLOOKUP(DATE($K$1,$K$2,WKE$4),Table1[],(MATCH(Calendar!$A18,DB!$1:$1,0)),FALSE)&gt;=5,"Good","Bad"),VLOOKUP(DATE($K$1,$K$2,WKE$4),Table1[],(MATCH(Calendar!$A18,DB!$1:$1,0)),FALSE)),"")</f>
        <v/>
      </c>
      <c r="WKF18" s="28" t="str">
        <f>IFERROR(IF(WKO3="No",IF(VLOOKUP(DATE($K$1,$K$2,WKF$4),Table1[],(MATCH(Calendar!$A18,DB!$1:$1,0)),FALSE)&gt;=5,"Good","Bad"),VLOOKUP(DATE($K$1,$K$2,WKF$4),Table1[],(MATCH(Calendar!$A18,DB!$1:$1,0)),FALSE)),"")</f>
        <v/>
      </c>
      <c r="WKG18" s="28" t="str">
        <f>IFERROR(IF(WKP3="No",IF(VLOOKUP(DATE($K$1,$K$2,WKG$4),Table1[],(MATCH(Calendar!$A18,DB!$1:$1,0)),FALSE)&gt;=5,"Good","Bad"),VLOOKUP(DATE($K$1,$K$2,WKG$4),Table1[],(MATCH(Calendar!$A18,DB!$1:$1,0)),FALSE)),"")</f>
        <v/>
      </c>
      <c r="WKH18" s="28" t="str">
        <f>IFERROR(IF(WKQ3="No",IF(VLOOKUP(DATE($K$1,$K$2,WKH$4),Table1[],(MATCH(Calendar!$A18,DB!$1:$1,0)),FALSE)&gt;=5,"Good","Bad"),VLOOKUP(DATE($K$1,$K$2,WKH$4),Table1[],(MATCH(Calendar!$A18,DB!$1:$1,0)),FALSE)),"")</f>
        <v/>
      </c>
      <c r="WKI18" s="28" t="str">
        <f>IFERROR(IF(WKR3="No",IF(VLOOKUP(DATE($K$1,$K$2,WKI$4),Table1[],(MATCH(Calendar!$A18,DB!$1:$1,0)),FALSE)&gt;=5,"Good","Bad"),VLOOKUP(DATE($K$1,$K$2,WKI$4),Table1[],(MATCH(Calendar!$A18,DB!$1:$1,0)),FALSE)),"")</f>
        <v/>
      </c>
      <c r="WKJ18" s="28" t="str">
        <f>IFERROR(IF(WKS3="No",IF(VLOOKUP(DATE($K$1,$K$2,WKJ$4),Table1[],(MATCH(Calendar!$A18,DB!$1:$1,0)),FALSE)&gt;=5,"Good","Bad"),VLOOKUP(DATE($K$1,$K$2,WKJ$4),Table1[],(MATCH(Calendar!$A18,DB!$1:$1,0)),FALSE)),"")</f>
        <v/>
      </c>
      <c r="WKK18" s="28" t="str">
        <f>IFERROR(IF(WKT3="No",IF(VLOOKUP(DATE($K$1,$K$2,WKK$4),Table1[],(MATCH(Calendar!$A18,DB!$1:$1,0)),FALSE)&gt;=5,"Good","Bad"),VLOOKUP(DATE($K$1,$K$2,WKK$4),Table1[],(MATCH(Calendar!$A18,DB!$1:$1,0)),FALSE)),"")</f>
        <v/>
      </c>
      <c r="WKL18" s="28" t="str">
        <f>IFERROR(IF(WKU3="No",IF(VLOOKUP(DATE($K$1,$K$2,WKL$4),Table1[],(MATCH(Calendar!$A18,DB!$1:$1,0)),FALSE)&gt;=5,"Good","Bad"),VLOOKUP(DATE($K$1,$K$2,WKL$4),Table1[],(MATCH(Calendar!$A18,DB!$1:$1,0)),FALSE)),"")</f>
        <v/>
      </c>
      <c r="WKM18" s="28" t="str">
        <f>IFERROR(IF(WKV3="No",IF(VLOOKUP(DATE($K$1,$K$2,WKM$4),Table1[],(MATCH(Calendar!$A18,DB!$1:$1,0)),FALSE)&gt;=5,"Good","Bad"),VLOOKUP(DATE($K$1,$K$2,WKM$4),Table1[],(MATCH(Calendar!$A18,DB!$1:$1,0)),FALSE)),"")</f>
        <v/>
      </c>
      <c r="WKN18" s="28" t="str">
        <f>IFERROR(IF(WKW3="No",IF(VLOOKUP(DATE($K$1,$K$2,WKN$4),Table1[],(MATCH(Calendar!$A18,DB!$1:$1,0)),FALSE)&gt;=5,"Good","Bad"),VLOOKUP(DATE($K$1,$K$2,WKN$4),Table1[],(MATCH(Calendar!$A18,DB!$1:$1,0)),FALSE)),"")</f>
        <v/>
      </c>
      <c r="WKO18" s="28" t="str">
        <f>IFERROR(IF(WKX3="No",IF(VLOOKUP(DATE($K$1,$K$2,WKO$4),Table1[],(MATCH(Calendar!$A18,DB!$1:$1,0)),FALSE)&gt;=5,"Good","Bad"),VLOOKUP(DATE($K$1,$K$2,WKO$4),Table1[],(MATCH(Calendar!$A18,DB!$1:$1,0)),FALSE)),"")</f>
        <v/>
      </c>
      <c r="WKP18" s="28" t="str">
        <f>IFERROR(IF(WKY3="No",IF(VLOOKUP(DATE($K$1,$K$2,WKP$4),Table1[],(MATCH(Calendar!$A18,DB!$1:$1,0)),FALSE)&gt;=5,"Good","Bad"),VLOOKUP(DATE($K$1,$K$2,WKP$4),Table1[],(MATCH(Calendar!$A18,DB!$1:$1,0)),FALSE)),"")</f>
        <v/>
      </c>
      <c r="WKQ18" s="28" t="str">
        <f>IFERROR(IF(WKZ3="No",IF(VLOOKUP(DATE($K$1,$K$2,WKQ$4),Table1[],(MATCH(Calendar!$A18,DB!$1:$1,0)),FALSE)&gt;=5,"Good","Bad"),VLOOKUP(DATE($K$1,$K$2,WKQ$4),Table1[],(MATCH(Calendar!$A18,DB!$1:$1,0)),FALSE)),"")</f>
        <v/>
      </c>
      <c r="WKR18" s="28" t="str">
        <f>IFERROR(IF(WLA3="No",IF(VLOOKUP(DATE($K$1,$K$2,WKR$4),Table1[],(MATCH(Calendar!$A18,DB!$1:$1,0)),FALSE)&gt;=5,"Good","Bad"),VLOOKUP(DATE($K$1,$K$2,WKR$4),Table1[],(MATCH(Calendar!$A18,DB!$1:$1,0)),FALSE)),"")</f>
        <v/>
      </c>
      <c r="WKS18" s="28" t="str">
        <f>IFERROR(IF(WLB3="No",IF(VLOOKUP(DATE($K$1,$K$2,WKS$4),Table1[],(MATCH(Calendar!$A18,DB!$1:$1,0)),FALSE)&gt;=5,"Good","Bad"),VLOOKUP(DATE($K$1,$K$2,WKS$4),Table1[],(MATCH(Calendar!$A18,DB!$1:$1,0)),FALSE)),"")</f>
        <v/>
      </c>
      <c r="WKT18" s="28" t="str">
        <f>IFERROR(IF(WLC3="No",IF(VLOOKUP(DATE($K$1,$K$2,WKT$4),Table1[],(MATCH(Calendar!$A18,DB!$1:$1,0)),FALSE)&gt;=5,"Good","Bad"),VLOOKUP(DATE($K$1,$K$2,WKT$4),Table1[],(MATCH(Calendar!$A18,DB!$1:$1,0)),FALSE)),"")</f>
        <v/>
      </c>
      <c r="WKU18" s="28" t="str">
        <f>IFERROR(IF(WLD3="No",IF(VLOOKUP(DATE($K$1,$K$2,WKU$4),Table1[],(MATCH(Calendar!$A18,DB!$1:$1,0)),FALSE)&gt;=5,"Good","Bad"),VLOOKUP(DATE($K$1,$K$2,WKU$4),Table1[],(MATCH(Calendar!$A18,DB!$1:$1,0)),FALSE)),"")</f>
        <v/>
      </c>
      <c r="WKV18" s="28" t="str">
        <f>IFERROR(IF(WLE3="No",IF(VLOOKUP(DATE($K$1,$K$2,WKV$4),Table1[],(MATCH(Calendar!$A18,DB!$1:$1,0)),FALSE)&gt;=5,"Good","Bad"),VLOOKUP(DATE($K$1,$K$2,WKV$4),Table1[],(MATCH(Calendar!$A18,DB!$1:$1,0)),FALSE)),"")</f>
        <v/>
      </c>
      <c r="WKW18" s="28" t="str">
        <f>IFERROR(IF(WLF3="No",IF(VLOOKUP(DATE($K$1,$K$2,WKW$4),Table1[],(MATCH(Calendar!$A18,DB!$1:$1,0)),FALSE)&gt;=5,"Good","Bad"),VLOOKUP(DATE($K$1,$K$2,WKW$4),Table1[],(MATCH(Calendar!$A18,DB!$1:$1,0)),FALSE)),"")</f>
        <v/>
      </c>
      <c r="WKX18" s="28" t="str">
        <f>IFERROR(IF(WLG3="No",IF(VLOOKUP(DATE($K$1,$K$2,WKX$4),Table1[],(MATCH(Calendar!$A18,DB!$1:$1,0)),FALSE)&gt;=5,"Good","Bad"),VLOOKUP(DATE($K$1,$K$2,WKX$4),Table1[],(MATCH(Calendar!$A18,DB!$1:$1,0)),FALSE)),"")</f>
        <v/>
      </c>
      <c r="WKY18" s="28" t="str">
        <f>IFERROR(IF(WLH3="No",IF(VLOOKUP(DATE($K$1,$K$2,WKY$4),Table1[],(MATCH(Calendar!$A18,DB!$1:$1,0)),FALSE)&gt;=5,"Good","Bad"),VLOOKUP(DATE($K$1,$K$2,WKY$4),Table1[],(MATCH(Calendar!$A18,DB!$1:$1,0)),FALSE)),"")</f>
        <v/>
      </c>
      <c r="WKZ18" s="28" t="str">
        <f>IFERROR(IF(WLI3="No",IF(VLOOKUP(DATE($K$1,$K$2,WKZ$4),Table1[],(MATCH(Calendar!$A18,DB!$1:$1,0)),FALSE)&gt;=5,"Good","Bad"),VLOOKUP(DATE($K$1,$K$2,WKZ$4),Table1[],(MATCH(Calendar!$A18,DB!$1:$1,0)),FALSE)),"")</f>
        <v/>
      </c>
      <c r="WLA18" s="28" t="str">
        <f>IFERROR(IF(WLJ3="No",IF(VLOOKUP(DATE($K$1,$K$2,WLA$4),Table1[],(MATCH(Calendar!$A18,DB!$1:$1,0)),FALSE)&gt;=5,"Good","Bad"),VLOOKUP(DATE($K$1,$K$2,WLA$4),Table1[],(MATCH(Calendar!$A18,DB!$1:$1,0)),FALSE)),"")</f>
        <v/>
      </c>
      <c r="WLB18" s="28" t="str">
        <f>IFERROR(IF(WLK3="No",IF(VLOOKUP(DATE($K$1,$K$2,WLB$4),Table1[],(MATCH(Calendar!$A18,DB!$1:$1,0)),FALSE)&gt;=5,"Good","Bad"),VLOOKUP(DATE($K$1,$K$2,WLB$4),Table1[],(MATCH(Calendar!$A18,DB!$1:$1,0)),FALSE)),"")</f>
        <v/>
      </c>
      <c r="WLC18" s="28" t="str">
        <f>IFERROR(IF(WLL3="No",IF(VLOOKUP(DATE($K$1,$K$2,WLC$4),Table1[],(MATCH(Calendar!$A18,DB!$1:$1,0)),FALSE)&gt;=5,"Good","Bad"),VLOOKUP(DATE($K$1,$K$2,WLC$4),Table1[],(MATCH(Calendar!$A18,DB!$1:$1,0)),FALSE)),"")</f>
        <v/>
      </c>
      <c r="WLD18" s="28" t="str">
        <f>IFERROR(IF(WLM3="No",IF(VLOOKUP(DATE($K$1,$K$2,WLD$4),Table1[],(MATCH(Calendar!$A18,DB!$1:$1,0)),FALSE)&gt;=5,"Good","Bad"),VLOOKUP(DATE($K$1,$K$2,WLD$4),Table1[],(MATCH(Calendar!$A18,DB!$1:$1,0)),FALSE)),"")</f>
        <v/>
      </c>
      <c r="WLE18" s="28" t="str">
        <f>IFERROR(IF(WLN3="No",IF(VLOOKUP(DATE($K$1,$K$2,WLE$4),Table1[],(MATCH(Calendar!$A18,DB!$1:$1,0)),FALSE)&gt;=5,"Good","Bad"),VLOOKUP(DATE($K$1,$K$2,WLE$4),Table1[],(MATCH(Calendar!$A18,DB!$1:$1,0)),FALSE)),"")</f>
        <v/>
      </c>
      <c r="WLF18" s="28" t="str">
        <f>IFERROR(IF(WLO3="No",IF(VLOOKUP(DATE($K$1,$K$2,WLF$4),Table1[],(MATCH(Calendar!$A18,DB!$1:$1,0)),FALSE)&gt;=5,"Good","Bad"),VLOOKUP(DATE($K$1,$K$2,WLF$4),Table1[],(MATCH(Calendar!$A18,DB!$1:$1,0)),FALSE)),"")</f>
        <v/>
      </c>
      <c r="WLG18" s="28" t="str">
        <f>IFERROR(IF(WLP3="No",IF(VLOOKUP(DATE($K$1,$K$2,WLG$4),Table1[],(MATCH(Calendar!$A18,DB!$1:$1,0)),FALSE)&gt;=5,"Good","Bad"),VLOOKUP(DATE($K$1,$K$2,WLG$4),Table1[],(MATCH(Calendar!$A18,DB!$1:$1,0)),FALSE)),"")</f>
        <v/>
      </c>
      <c r="WLH18" s="28" t="str">
        <f>IFERROR(IF(WLQ3="No",IF(VLOOKUP(DATE($K$1,$K$2,WLH$4),Table1[],(MATCH(Calendar!$A18,DB!$1:$1,0)),FALSE)&gt;=5,"Good","Bad"),VLOOKUP(DATE($K$1,$K$2,WLH$4),Table1[],(MATCH(Calendar!$A18,DB!$1:$1,0)),FALSE)),"")</f>
        <v/>
      </c>
      <c r="WLI18" s="28" t="str">
        <f>IFERROR(IF(WLR3="No",IF(VLOOKUP(DATE($K$1,$K$2,WLI$4),Table1[],(MATCH(Calendar!$A18,DB!$1:$1,0)),FALSE)&gt;=5,"Good","Bad"),VLOOKUP(DATE($K$1,$K$2,WLI$4),Table1[],(MATCH(Calendar!$A18,DB!$1:$1,0)),FALSE)),"")</f>
        <v/>
      </c>
      <c r="WLJ18" s="28" t="str">
        <f>IFERROR(IF(WLS3="No",IF(VLOOKUP(DATE($K$1,$K$2,WLJ$4),Table1[],(MATCH(Calendar!$A18,DB!$1:$1,0)),FALSE)&gt;=5,"Good","Bad"),VLOOKUP(DATE($K$1,$K$2,WLJ$4),Table1[],(MATCH(Calendar!$A18,DB!$1:$1,0)),FALSE)),"")</f>
        <v/>
      </c>
      <c r="WLK18" s="28" t="str">
        <f>IFERROR(IF(WLT3="No",IF(VLOOKUP(DATE($K$1,$K$2,WLK$4),Table1[],(MATCH(Calendar!$A18,DB!$1:$1,0)),FALSE)&gt;=5,"Good","Bad"),VLOOKUP(DATE($K$1,$K$2,WLK$4),Table1[],(MATCH(Calendar!$A18,DB!$1:$1,0)),FALSE)),"")</f>
        <v/>
      </c>
      <c r="WLL18" s="28" t="str">
        <f>IFERROR(IF(WLU3="No",IF(VLOOKUP(DATE($K$1,$K$2,WLL$4),Table1[],(MATCH(Calendar!$A18,DB!$1:$1,0)),FALSE)&gt;=5,"Good","Bad"),VLOOKUP(DATE($K$1,$K$2,WLL$4),Table1[],(MATCH(Calendar!$A18,DB!$1:$1,0)),FALSE)),"")</f>
        <v/>
      </c>
      <c r="WLM18" s="28" t="str">
        <f>IFERROR(IF(WLV3="No",IF(VLOOKUP(DATE($K$1,$K$2,WLM$4),Table1[],(MATCH(Calendar!$A18,DB!$1:$1,0)),FALSE)&gt;=5,"Good","Bad"),VLOOKUP(DATE($K$1,$K$2,WLM$4),Table1[],(MATCH(Calendar!$A18,DB!$1:$1,0)),FALSE)),"")</f>
        <v/>
      </c>
      <c r="WLN18" s="28" t="str">
        <f>IFERROR(IF(WLW3="No",IF(VLOOKUP(DATE($K$1,$K$2,WLN$4),Table1[],(MATCH(Calendar!$A18,DB!$1:$1,0)),FALSE)&gt;=5,"Good","Bad"),VLOOKUP(DATE($K$1,$K$2,WLN$4),Table1[],(MATCH(Calendar!$A18,DB!$1:$1,0)),FALSE)),"")</f>
        <v/>
      </c>
      <c r="WLO18" s="28" t="str">
        <f>IFERROR(IF(WLX3="No",IF(VLOOKUP(DATE($K$1,$K$2,WLO$4),Table1[],(MATCH(Calendar!$A18,DB!$1:$1,0)),FALSE)&gt;=5,"Good","Bad"),VLOOKUP(DATE($K$1,$K$2,WLO$4),Table1[],(MATCH(Calendar!$A18,DB!$1:$1,0)),FALSE)),"")</f>
        <v/>
      </c>
      <c r="WLP18" s="28" t="str">
        <f>IFERROR(IF(WLY3="No",IF(VLOOKUP(DATE($K$1,$K$2,WLP$4),Table1[],(MATCH(Calendar!$A18,DB!$1:$1,0)),FALSE)&gt;=5,"Good","Bad"),VLOOKUP(DATE($K$1,$K$2,WLP$4),Table1[],(MATCH(Calendar!$A18,DB!$1:$1,0)),FALSE)),"")</f>
        <v/>
      </c>
      <c r="WLQ18" s="28" t="str">
        <f>IFERROR(IF(WLZ3="No",IF(VLOOKUP(DATE($K$1,$K$2,WLQ$4),Table1[],(MATCH(Calendar!$A18,DB!$1:$1,0)),FALSE)&gt;=5,"Good","Bad"),VLOOKUP(DATE($K$1,$K$2,WLQ$4),Table1[],(MATCH(Calendar!$A18,DB!$1:$1,0)),FALSE)),"")</f>
        <v/>
      </c>
      <c r="WLR18" s="28" t="str">
        <f>IFERROR(IF(WMA3="No",IF(VLOOKUP(DATE($K$1,$K$2,WLR$4),Table1[],(MATCH(Calendar!$A18,DB!$1:$1,0)),FALSE)&gt;=5,"Good","Bad"),VLOOKUP(DATE($K$1,$K$2,WLR$4),Table1[],(MATCH(Calendar!$A18,DB!$1:$1,0)),FALSE)),"")</f>
        <v/>
      </c>
      <c r="WLS18" s="28" t="str">
        <f>IFERROR(IF(WMB3="No",IF(VLOOKUP(DATE($K$1,$K$2,WLS$4),Table1[],(MATCH(Calendar!$A18,DB!$1:$1,0)),FALSE)&gt;=5,"Good","Bad"),VLOOKUP(DATE($K$1,$K$2,WLS$4),Table1[],(MATCH(Calendar!$A18,DB!$1:$1,0)),FALSE)),"")</f>
        <v/>
      </c>
      <c r="WLT18" s="28" t="str">
        <f>IFERROR(IF(WMC3="No",IF(VLOOKUP(DATE($K$1,$K$2,WLT$4),Table1[],(MATCH(Calendar!$A18,DB!$1:$1,0)),FALSE)&gt;=5,"Good","Bad"),VLOOKUP(DATE($K$1,$K$2,WLT$4),Table1[],(MATCH(Calendar!$A18,DB!$1:$1,0)),FALSE)),"")</f>
        <v/>
      </c>
      <c r="WLU18" s="28" t="str">
        <f>IFERROR(IF(WMD3="No",IF(VLOOKUP(DATE($K$1,$K$2,WLU$4),Table1[],(MATCH(Calendar!$A18,DB!$1:$1,0)),FALSE)&gt;=5,"Good","Bad"),VLOOKUP(DATE($K$1,$K$2,WLU$4),Table1[],(MATCH(Calendar!$A18,DB!$1:$1,0)),FALSE)),"")</f>
        <v/>
      </c>
      <c r="WLV18" s="28" t="str">
        <f>IFERROR(IF(WME3="No",IF(VLOOKUP(DATE($K$1,$K$2,WLV$4),Table1[],(MATCH(Calendar!$A18,DB!$1:$1,0)),FALSE)&gt;=5,"Good","Bad"),VLOOKUP(DATE($K$1,$K$2,WLV$4),Table1[],(MATCH(Calendar!$A18,DB!$1:$1,0)),FALSE)),"")</f>
        <v/>
      </c>
      <c r="WLW18" s="28" t="str">
        <f>IFERROR(IF(WMF3="No",IF(VLOOKUP(DATE($K$1,$K$2,WLW$4),Table1[],(MATCH(Calendar!$A18,DB!$1:$1,0)),FALSE)&gt;=5,"Good","Bad"),VLOOKUP(DATE($K$1,$K$2,WLW$4),Table1[],(MATCH(Calendar!$A18,DB!$1:$1,0)),FALSE)),"")</f>
        <v/>
      </c>
      <c r="WLX18" s="28" t="str">
        <f>IFERROR(IF(WMG3="No",IF(VLOOKUP(DATE($K$1,$K$2,WLX$4),Table1[],(MATCH(Calendar!$A18,DB!$1:$1,0)),FALSE)&gt;=5,"Good","Bad"),VLOOKUP(DATE($K$1,$K$2,WLX$4),Table1[],(MATCH(Calendar!$A18,DB!$1:$1,0)),FALSE)),"")</f>
        <v/>
      </c>
      <c r="WLY18" s="28" t="str">
        <f>IFERROR(IF(WMH3="No",IF(VLOOKUP(DATE($K$1,$K$2,WLY$4),Table1[],(MATCH(Calendar!$A18,DB!$1:$1,0)),FALSE)&gt;=5,"Good","Bad"),VLOOKUP(DATE($K$1,$K$2,WLY$4),Table1[],(MATCH(Calendar!$A18,DB!$1:$1,0)),FALSE)),"")</f>
        <v/>
      </c>
      <c r="WLZ18" s="28" t="str">
        <f>IFERROR(IF(WMI3="No",IF(VLOOKUP(DATE($K$1,$K$2,WLZ$4),Table1[],(MATCH(Calendar!$A18,DB!$1:$1,0)),FALSE)&gt;=5,"Good","Bad"),VLOOKUP(DATE($K$1,$K$2,WLZ$4),Table1[],(MATCH(Calendar!$A18,DB!$1:$1,0)),FALSE)),"")</f>
        <v/>
      </c>
      <c r="WMA18" s="28" t="str">
        <f>IFERROR(IF(WMJ3="No",IF(VLOOKUP(DATE($K$1,$K$2,WMA$4),Table1[],(MATCH(Calendar!$A18,DB!$1:$1,0)),FALSE)&gt;=5,"Good","Bad"),VLOOKUP(DATE($K$1,$K$2,WMA$4),Table1[],(MATCH(Calendar!$A18,DB!$1:$1,0)),FALSE)),"")</f>
        <v/>
      </c>
      <c r="WMB18" s="28" t="str">
        <f>IFERROR(IF(WMK3="No",IF(VLOOKUP(DATE($K$1,$K$2,WMB$4),Table1[],(MATCH(Calendar!$A18,DB!$1:$1,0)),FALSE)&gt;=5,"Good","Bad"),VLOOKUP(DATE($K$1,$K$2,WMB$4),Table1[],(MATCH(Calendar!$A18,DB!$1:$1,0)),FALSE)),"")</f>
        <v/>
      </c>
      <c r="WMC18" s="28" t="str">
        <f>IFERROR(IF(WML3="No",IF(VLOOKUP(DATE($K$1,$K$2,WMC$4),Table1[],(MATCH(Calendar!$A18,DB!$1:$1,0)),FALSE)&gt;=5,"Good","Bad"),VLOOKUP(DATE($K$1,$K$2,WMC$4),Table1[],(MATCH(Calendar!$A18,DB!$1:$1,0)),FALSE)),"")</f>
        <v/>
      </c>
      <c r="WMD18" s="28" t="str">
        <f>IFERROR(IF(WMM3="No",IF(VLOOKUP(DATE($K$1,$K$2,WMD$4),Table1[],(MATCH(Calendar!$A18,DB!$1:$1,0)),FALSE)&gt;=5,"Good","Bad"),VLOOKUP(DATE($K$1,$K$2,WMD$4),Table1[],(MATCH(Calendar!$A18,DB!$1:$1,0)),FALSE)),"")</f>
        <v/>
      </c>
      <c r="WME18" s="28" t="str">
        <f>IFERROR(IF(WMN3="No",IF(VLOOKUP(DATE($K$1,$K$2,WME$4),Table1[],(MATCH(Calendar!$A18,DB!$1:$1,0)),FALSE)&gt;=5,"Good","Bad"),VLOOKUP(DATE($K$1,$K$2,WME$4),Table1[],(MATCH(Calendar!$A18,DB!$1:$1,0)),FALSE)),"")</f>
        <v/>
      </c>
      <c r="WMF18" s="28" t="str">
        <f>IFERROR(IF(WMO3="No",IF(VLOOKUP(DATE($K$1,$K$2,WMF$4),Table1[],(MATCH(Calendar!$A18,DB!$1:$1,0)),FALSE)&gt;=5,"Good","Bad"),VLOOKUP(DATE($K$1,$K$2,WMF$4),Table1[],(MATCH(Calendar!$A18,DB!$1:$1,0)),FALSE)),"")</f>
        <v/>
      </c>
      <c r="WMG18" s="28" t="str">
        <f>IFERROR(IF(WMP3="No",IF(VLOOKUP(DATE($K$1,$K$2,WMG$4),Table1[],(MATCH(Calendar!$A18,DB!$1:$1,0)),FALSE)&gt;=5,"Good","Bad"),VLOOKUP(DATE($K$1,$K$2,WMG$4),Table1[],(MATCH(Calendar!$A18,DB!$1:$1,0)),FALSE)),"")</f>
        <v/>
      </c>
      <c r="WMH18" s="28" t="str">
        <f>IFERROR(IF(WMQ3="No",IF(VLOOKUP(DATE($K$1,$K$2,WMH$4),Table1[],(MATCH(Calendar!$A18,DB!$1:$1,0)),FALSE)&gt;=5,"Good","Bad"),VLOOKUP(DATE($K$1,$K$2,WMH$4),Table1[],(MATCH(Calendar!$A18,DB!$1:$1,0)),FALSE)),"")</f>
        <v/>
      </c>
      <c r="WMI18" s="28" t="str">
        <f>IFERROR(IF(WMR3="No",IF(VLOOKUP(DATE($K$1,$K$2,WMI$4),Table1[],(MATCH(Calendar!$A18,DB!$1:$1,0)),FALSE)&gt;=5,"Good","Bad"),VLOOKUP(DATE($K$1,$K$2,WMI$4),Table1[],(MATCH(Calendar!$A18,DB!$1:$1,0)),FALSE)),"")</f>
        <v/>
      </c>
      <c r="WMJ18" s="28" t="str">
        <f>IFERROR(IF(WMS3="No",IF(VLOOKUP(DATE($K$1,$K$2,WMJ$4),Table1[],(MATCH(Calendar!$A18,DB!$1:$1,0)),FALSE)&gt;=5,"Good","Bad"),VLOOKUP(DATE($K$1,$K$2,WMJ$4),Table1[],(MATCH(Calendar!$A18,DB!$1:$1,0)),FALSE)),"")</f>
        <v/>
      </c>
      <c r="WMK18" s="28" t="str">
        <f>IFERROR(IF(WMT3="No",IF(VLOOKUP(DATE($K$1,$K$2,WMK$4),Table1[],(MATCH(Calendar!$A18,DB!$1:$1,0)),FALSE)&gt;=5,"Good","Bad"),VLOOKUP(DATE($K$1,$K$2,WMK$4),Table1[],(MATCH(Calendar!$A18,DB!$1:$1,0)),FALSE)),"")</f>
        <v/>
      </c>
      <c r="WML18" s="28" t="str">
        <f>IFERROR(IF(WMU3="No",IF(VLOOKUP(DATE($K$1,$K$2,WML$4),Table1[],(MATCH(Calendar!$A18,DB!$1:$1,0)),FALSE)&gt;=5,"Good","Bad"),VLOOKUP(DATE($K$1,$K$2,WML$4),Table1[],(MATCH(Calendar!$A18,DB!$1:$1,0)),FALSE)),"")</f>
        <v/>
      </c>
      <c r="WMM18" s="28" t="str">
        <f>IFERROR(IF(WMV3="No",IF(VLOOKUP(DATE($K$1,$K$2,WMM$4),Table1[],(MATCH(Calendar!$A18,DB!$1:$1,0)),FALSE)&gt;=5,"Good","Bad"),VLOOKUP(DATE($K$1,$K$2,WMM$4),Table1[],(MATCH(Calendar!$A18,DB!$1:$1,0)),FALSE)),"")</f>
        <v/>
      </c>
      <c r="WMN18" s="28" t="str">
        <f>IFERROR(IF(WMW3="No",IF(VLOOKUP(DATE($K$1,$K$2,WMN$4),Table1[],(MATCH(Calendar!$A18,DB!$1:$1,0)),FALSE)&gt;=5,"Good","Bad"),VLOOKUP(DATE($K$1,$K$2,WMN$4),Table1[],(MATCH(Calendar!$A18,DB!$1:$1,0)),FALSE)),"")</f>
        <v/>
      </c>
      <c r="WMO18" s="28" t="str">
        <f>IFERROR(IF(WMX3="No",IF(VLOOKUP(DATE($K$1,$K$2,WMO$4),Table1[],(MATCH(Calendar!$A18,DB!$1:$1,0)),FALSE)&gt;=5,"Good","Bad"),VLOOKUP(DATE($K$1,$K$2,WMO$4),Table1[],(MATCH(Calendar!$A18,DB!$1:$1,0)),FALSE)),"")</f>
        <v/>
      </c>
      <c r="WMP18" s="28" t="str">
        <f>IFERROR(IF(WMY3="No",IF(VLOOKUP(DATE($K$1,$K$2,WMP$4),Table1[],(MATCH(Calendar!$A18,DB!$1:$1,0)),FALSE)&gt;=5,"Good","Bad"),VLOOKUP(DATE($K$1,$K$2,WMP$4),Table1[],(MATCH(Calendar!$A18,DB!$1:$1,0)),FALSE)),"")</f>
        <v/>
      </c>
      <c r="WMQ18" s="28" t="str">
        <f>IFERROR(IF(WMZ3="No",IF(VLOOKUP(DATE($K$1,$K$2,WMQ$4),Table1[],(MATCH(Calendar!$A18,DB!$1:$1,0)),FALSE)&gt;=5,"Good","Bad"),VLOOKUP(DATE($K$1,$K$2,WMQ$4),Table1[],(MATCH(Calendar!$A18,DB!$1:$1,0)),FALSE)),"")</f>
        <v/>
      </c>
      <c r="WMR18" s="28" t="str">
        <f>IFERROR(IF(WNA3="No",IF(VLOOKUP(DATE($K$1,$K$2,WMR$4),Table1[],(MATCH(Calendar!$A18,DB!$1:$1,0)),FALSE)&gt;=5,"Good","Bad"),VLOOKUP(DATE($K$1,$K$2,WMR$4),Table1[],(MATCH(Calendar!$A18,DB!$1:$1,0)),FALSE)),"")</f>
        <v/>
      </c>
      <c r="WMS18" s="28" t="str">
        <f>IFERROR(IF(WNB3="No",IF(VLOOKUP(DATE($K$1,$K$2,WMS$4),Table1[],(MATCH(Calendar!$A18,DB!$1:$1,0)),FALSE)&gt;=5,"Good","Bad"),VLOOKUP(DATE($K$1,$K$2,WMS$4),Table1[],(MATCH(Calendar!$A18,DB!$1:$1,0)),FALSE)),"")</f>
        <v/>
      </c>
      <c r="WMT18" s="28" t="str">
        <f>IFERROR(IF(WNC3="No",IF(VLOOKUP(DATE($K$1,$K$2,WMT$4),Table1[],(MATCH(Calendar!$A18,DB!$1:$1,0)),FALSE)&gt;=5,"Good","Bad"),VLOOKUP(DATE($K$1,$K$2,WMT$4),Table1[],(MATCH(Calendar!$A18,DB!$1:$1,0)),FALSE)),"")</f>
        <v/>
      </c>
      <c r="WMU18" s="28" t="str">
        <f>IFERROR(IF(WND3="No",IF(VLOOKUP(DATE($K$1,$K$2,WMU$4),Table1[],(MATCH(Calendar!$A18,DB!$1:$1,0)),FALSE)&gt;=5,"Good","Bad"),VLOOKUP(DATE($K$1,$K$2,WMU$4),Table1[],(MATCH(Calendar!$A18,DB!$1:$1,0)),FALSE)),"")</f>
        <v/>
      </c>
      <c r="WMV18" s="28" t="str">
        <f>IFERROR(IF(WNE3="No",IF(VLOOKUP(DATE($K$1,$K$2,WMV$4),Table1[],(MATCH(Calendar!$A18,DB!$1:$1,0)),FALSE)&gt;=5,"Good","Bad"),VLOOKUP(DATE($K$1,$K$2,WMV$4),Table1[],(MATCH(Calendar!$A18,DB!$1:$1,0)),FALSE)),"")</f>
        <v/>
      </c>
      <c r="WMW18" s="28" t="str">
        <f>IFERROR(IF(WNF3="No",IF(VLOOKUP(DATE($K$1,$K$2,WMW$4),Table1[],(MATCH(Calendar!$A18,DB!$1:$1,0)),FALSE)&gt;=5,"Good","Bad"),VLOOKUP(DATE($K$1,$K$2,WMW$4),Table1[],(MATCH(Calendar!$A18,DB!$1:$1,0)),FALSE)),"")</f>
        <v/>
      </c>
      <c r="WMX18" s="28" t="str">
        <f>IFERROR(IF(WNG3="No",IF(VLOOKUP(DATE($K$1,$K$2,WMX$4),Table1[],(MATCH(Calendar!$A18,DB!$1:$1,0)),FALSE)&gt;=5,"Good","Bad"),VLOOKUP(DATE($K$1,$K$2,WMX$4),Table1[],(MATCH(Calendar!$A18,DB!$1:$1,0)),FALSE)),"")</f>
        <v/>
      </c>
      <c r="WMY18" s="28" t="str">
        <f>IFERROR(IF(WNH3="No",IF(VLOOKUP(DATE($K$1,$K$2,WMY$4),Table1[],(MATCH(Calendar!$A18,DB!$1:$1,0)),FALSE)&gt;=5,"Good","Bad"),VLOOKUP(DATE($K$1,$K$2,WMY$4),Table1[],(MATCH(Calendar!$A18,DB!$1:$1,0)),FALSE)),"")</f>
        <v/>
      </c>
      <c r="WMZ18" s="28" t="str">
        <f>IFERROR(IF(WNI3="No",IF(VLOOKUP(DATE($K$1,$K$2,WMZ$4),Table1[],(MATCH(Calendar!$A18,DB!$1:$1,0)),FALSE)&gt;=5,"Good","Bad"),VLOOKUP(DATE($K$1,$K$2,WMZ$4),Table1[],(MATCH(Calendar!$A18,DB!$1:$1,0)),FALSE)),"")</f>
        <v/>
      </c>
      <c r="WNA18" s="28" t="str">
        <f>IFERROR(IF(WNJ3="No",IF(VLOOKUP(DATE($K$1,$K$2,WNA$4),Table1[],(MATCH(Calendar!$A18,DB!$1:$1,0)),FALSE)&gt;=5,"Good","Bad"),VLOOKUP(DATE($K$1,$K$2,WNA$4),Table1[],(MATCH(Calendar!$A18,DB!$1:$1,0)),FALSE)),"")</f>
        <v/>
      </c>
      <c r="WNB18" s="28" t="str">
        <f>IFERROR(IF(WNK3="No",IF(VLOOKUP(DATE($K$1,$K$2,WNB$4),Table1[],(MATCH(Calendar!$A18,DB!$1:$1,0)),FALSE)&gt;=5,"Good","Bad"),VLOOKUP(DATE($K$1,$K$2,WNB$4),Table1[],(MATCH(Calendar!$A18,DB!$1:$1,0)),FALSE)),"")</f>
        <v/>
      </c>
      <c r="WNC18" s="28" t="str">
        <f>IFERROR(IF(WNL3="No",IF(VLOOKUP(DATE($K$1,$K$2,WNC$4),Table1[],(MATCH(Calendar!$A18,DB!$1:$1,0)),FALSE)&gt;=5,"Good","Bad"),VLOOKUP(DATE($K$1,$K$2,WNC$4),Table1[],(MATCH(Calendar!$A18,DB!$1:$1,0)),FALSE)),"")</f>
        <v/>
      </c>
      <c r="WND18" s="28" t="str">
        <f>IFERROR(IF(WNM3="No",IF(VLOOKUP(DATE($K$1,$K$2,WND$4),Table1[],(MATCH(Calendar!$A18,DB!$1:$1,0)),FALSE)&gt;=5,"Good","Bad"),VLOOKUP(DATE($K$1,$K$2,WND$4),Table1[],(MATCH(Calendar!$A18,DB!$1:$1,0)),FALSE)),"")</f>
        <v/>
      </c>
      <c r="WNE18" s="28" t="str">
        <f>IFERROR(IF(WNN3="No",IF(VLOOKUP(DATE($K$1,$K$2,WNE$4),Table1[],(MATCH(Calendar!$A18,DB!$1:$1,0)),FALSE)&gt;=5,"Good","Bad"),VLOOKUP(DATE($K$1,$K$2,WNE$4),Table1[],(MATCH(Calendar!$A18,DB!$1:$1,0)),FALSE)),"")</f>
        <v/>
      </c>
      <c r="WNF18" s="28" t="str">
        <f>IFERROR(IF(WNO3="No",IF(VLOOKUP(DATE($K$1,$K$2,WNF$4),Table1[],(MATCH(Calendar!$A18,DB!$1:$1,0)),FALSE)&gt;=5,"Good","Bad"),VLOOKUP(DATE($K$1,$K$2,WNF$4),Table1[],(MATCH(Calendar!$A18,DB!$1:$1,0)),FALSE)),"")</f>
        <v/>
      </c>
      <c r="WNG18" s="28" t="str">
        <f>IFERROR(IF(WNP3="No",IF(VLOOKUP(DATE($K$1,$K$2,WNG$4),Table1[],(MATCH(Calendar!$A18,DB!$1:$1,0)),FALSE)&gt;=5,"Good","Bad"),VLOOKUP(DATE($K$1,$K$2,WNG$4),Table1[],(MATCH(Calendar!$A18,DB!$1:$1,0)),FALSE)),"")</f>
        <v/>
      </c>
      <c r="WNH18" s="28" t="str">
        <f>IFERROR(IF(WNQ3="No",IF(VLOOKUP(DATE($K$1,$K$2,WNH$4),Table1[],(MATCH(Calendar!$A18,DB!$1:$1,0)),FALSE)&gt;=5,"Good","Bad"),VLOOKUP(DATE($K$1,$K$2,WNH$4),Table1[],(MATCH(Calendar!$A18,DB!$1:$1,0)),FALSE)),"")</f>
        <v/>
      </c>
      <c r="WNI18" s="28" t="str">
        <f>IFERROR(IF(WNR3="No",IF(VLOOKUP(DATE($K$1,$K$2,WNI$4),Table1[],(MATCH(Calendar!$A18,DB!$1:$1,0)),FALSE)&gt;=5,"Good","Bad"),VLOOKUP(DATE($K$1,$K$2,WNI$4),Table1[],(MATCH(Calendar!$A18,DB!$1:$1,0)),FALSE)),"")</f>
        <v/>
      </c>
      <c r="WNJ18" s="28" t="str">
        <f>IFERROR(IF(WNS3="No",IF(VLOOKUP(DATE($K$1,$K$2,WNJ$4),Table1[],(MATCH(Calendar!$A18,DB!$1:$1,0)),FALSE)&gt;=5,"Good","Bad"),VLOOKUP(DATE($K$1,$K$2,WNJ$4),Table1[],(MATCH(Calendar!$A18,DB!$1:$1,0)),FALSE)),"")</f>
        <v/>
      </c>
      <c r="WNK18" s="28" t="str">
        <f>IFERROR(IF(WNT3="No",IF(VLOOKUP(DATE($K$1,$K$2,WNK$4),Table1[],(MATCH(Calendar!$A18,DB!$1:$1,0)),FALSE)&gt;=5,"Good","Bad"),VLOOKUP(DATE($K$1,$K$2,WNK$4),Table1[],(MATCH(Calendar!$A18,DB!$1:$1,0)),FALSE)),"")</f>
        <v/>
      </c>
      <c r="WNL18" s="28" t="str">
        <f>IFERROR(IF(WNU3="No",IF(VLOOKUP(DATE($K$1,$K$2,WNL$4),Table1[],(MATCH(Calendar!$A18,DB!$1:$1,0)),FALSE)&gt;=5,"Good","Bad"),VLOOKUP(DATE($K$1,$K$2,WNL$4),Table1[],(MATCH(Calendar!$A18,DB!$1:$1,0)),FALSE)),"")</f>
        <v/>
      </c>
      <c r="WNM18" s="28" t="str">
        <f>IFERROR(IF(WNV3="No",IF(VLOOKUP(DATE($K$1,$K$2,WNM$4),Table1[],(MATCH(Calendar!$A18,DB!$1:$1,0)),FALSE)&gt;=5,"Good","Bad"),VLOOKUP(DATE($K$1,$K$2,WNM$4),Table1[],(MATCH(Calendar!$A18,DB!$1:$1,0)),FALSE)),"")</f>
        <v/>
      </c>
      <c r="WNN18" s="28" t="str">
        <f>IFERROR(IF(WNW3="No",IF(VLOOKUP(DATE($K$1,$K$2,WNN$4),Table1[],(MATCH(Calendar!$A18,DB!$1:$1,0)),FALSE)&gt;=5,"Good","Bad"),VLOOKUP(DATE($K$1,$K$2,WNN$4),Table1[],(MATCH(Calendar!$A18,DB!$1:$1,0)),FALSE)),"")</f>
        <v/>
      </c>
      <c r="WNO18" s="28" t="str">
        <f>IFERROR(IF(WNX3="No",IF(VLOOKUP(DATE($K$1,$K$2,WNO$4),Table1[],(MATCH(Calendar!$A18,DB!$1:$1,0)),FALSE)&gt;=5,"Good","Bad"),VLOOKUP(DATE($K$1,$K$2,WNO$4),Table1[],(MATCH(Calendar!$A18,DB!$1:$1,0)),FALSE)),"")</f>
        <v/>
      </c>
      <c r="WNP18" s="28" t="str">
        <f>IFERROR(IF(WNY3="No",IF(VLOOKUP(DATE($K$1,$K$2,WNP$4),Table1[],(MATCH(Calendar!$A18,DB!$1:$1,0)),FALSE)&gt;=5,"Good","Bad"),VLOOKUP(DATE($K$1,$K$2,WNP$4),Table1[],(MATCH(Calendar!$A18,DB!$1:$1,0)),FALSE)),"")</f>
        <v/>
      </c>
      <c r="WNQ18" s="28" t="str">
        <f>IFERROR(IF(WNZ3="No",IF(VLOOKUP(DATE($K$1,$K$2,WNQ$4),Table1[],(MATCH(Calendar!$A18,DB!$1:$1,0)),FALSE)&gt;=5,"Good","Bad"),VLOOKUP(DATE($K$1,$K$2,WNQ$4),Table1[],(MATCH(Calendar!$A18,DB!$1:$1,0)),FALSE)),"")</f>
        <v/>
      </c>
      <c r="WNR18" s="28" t="str">
        <f>IFERROR(IF(WOA3="No",IF(VLOOKUP(DATE($K$1,$K$2,WNR$4),Table1[],(MATCH(Calendar!$A18,DB!$1:$1,0)),FALSE)&gt;=5,"Good","Bad"),VLOOKUP(DATE($K$1,$K$2,WNR$4),Table1[],(MATCH(Calendar!$A18,DB!$1:$1,0)),FALSE)),"")</f>
        <v/>
      </c>
      <c r="WNS18" s="28" t="str">
        <f>IFERROR(IF(WOB3="No",IF(VLOOKUP(DATE($K$1,$K$2,WNS$4),Table1[],(MATCH(Calendar!$A18,DB!$1:$1,0)),FALSE)&gt;=5,"Good","Bad"),VLOOKUP(DATE($K$1,$K$2,WNS$4),Table1[],(MATCH(Calendar!$A18,DB!$1:$1,0)),FALSE)),"")</f>
        <v/>
      </c>
      <c r="WNT18" s="28" t="str">
        <f>IFERROR(IF(WOC3="No",IF(VLOOKUP(DATE($K$1,$K$2,WNT$4),Table1[],(MATCH(Calendar!$A18,DB!$1:$1,0)),FALSE)&gt;=5,"Good","Bad"),VLOOKUP(DATE($K$1,$K$2,WNT$4),Table1[],(MATCH(Calendar!$A18,DB!$1:$1,0)),FALSE)),"")</f>
        <v/>
      </c>
      <c r="WNU18" s="28" t="str">
        <f>IFERROR(IF(WOD3="No",IF(VLOOKUP(DATE($K$1,$K$2,WNU$4),Table1[],(MATCH(Calendar!$A18,DB!$1:$1,0)),FALSE)&gt;=5,"Good","Bad"),VLOOKUP(DATE($K$1,$K$2,WNU$4),Table1[],(MATCH(Calendar!$A18,DB!$1:$1,0)),FALSE)),"")</f>
        <v/>
      </c>
      <c r="WNV18" s="28" t="str">
        <f>IFERROR(IF(WOE3="No",IF(VLOOKUP(DATE($K$1,$K$2,WNV$4),Table1[],(MATCH(Calendar!$A18,DB!$1:$1,0)),FALSE)&gt;=5,"Good","Bad"),VLOOKUP(DATE($K$1,$K$2,WNV$4),Table1[],(MATCH(Calendar!$A18,DB!$1:$1,0)),FALSE)),"")</f>
        <v/>
      </c>
      <c r="WNW18" s="28" t="str">
        <f>IFERROR(IF(WOF3="No",IF(VLOOKUP(DATE($K$1,$K$2,WNW$4),Table1[],(MATCH(Calendar!$A18,DB!$1:$1,0)),FALSE)&gt;=5,"Good","Bad"),VLOOKUP(DATE($K$1,$K$2,WNW$4),Table1[],(MATCH(Calendar!$A18,DB!$1:$1,0)),FALSE)),"")</f>
        <v/>
      </c>
      <c r="WNX18" s="28" t="str">
        <f>IFERROR(IF(WOG3="No",IF(VLOOKUP(DATE($K$1,$K$2,WNX$4),Table1[],(MATCH(Calendar!$A18,DB!$1:$1,0)),FALSE)&gt;=5,"Good","Bad"),VLOOKUP(DATE($K$1,$K$2,WNX$4),Table1[],(MATCH(Calendar!$A18,DB!$1:$1,0)),FALSE)),"")</f>
        <v/>
      </c>
      <c r="WNY18" s="28" t="str">
        <f>IFERROR(IF(WOH3="No",IF(VLOOKUP(DATE($K$1,$K$2,WNY$4),Table1[],(MATCH(Calendar!$A18,DB!$1:$1,0)),FALSE)&gt;=5,"Good","Bad"),VLOOKUP(DATE($K$1,$K$2,WNY$4),Table1[],(MATCH(Calendar!$A18,DB!$1:$1,0)),FALSE)),"")</f>
        <v/>
      </c>
      <c r="WNZ18" s="28" t="str">
        <f>IFERROR(IF(WOI3="No",IF(VLOOKUP(DATE($K$1,$K$2,WNZ$4),Table1[],(MATCH(Calendar!$A18,DB!$1:$1,0)),FALSE)&gt;=5,"Good","Bad"),VLOOKUP(DATE($K$1,$K$2,WNZ$4),Table1[],(MATCH(Calendar!$A18,DB!$1:$1,0)),FALSE)),"")</f>
        <v/>
      </c>
      <c r="WOA18" s="28" t="str">
        <f>IFERROR(IF(WOJ3="No",IF(VLOOKUP(DATE($K$1,$K$2,WOA$4),Table1[],(MATCH(Calendar!$A18,DB!$1:$1,0)),FALSE)&gt;=5,"Good","Bad"),VLOOKUP(DATE($K$1,$K$2,WOA$4),Table1[],(MATCH(Calendar!$A18,DB!$1:$1,0)),FALSE)),"")</f>
        <v/>
      </c>
      <c r="WOB18" s="28" t="str">
        <f>IFERROR(IF(WOK3="No",IF(VLOOKUP(DATE($K$1,$K$2,WOB$4),Table1[],(MATCH(Calendar!$A18,DB!$1:$1,0)),FALSE)&gt;=5,"Good","Bad"),VLOOKUP(DATE($K$1,$K$2,WOB$4),Table1[],(MATCH(Calendar!$A18,DB!$1:$1,0)),FALSE)),"")</f>
        <v/>
      </c>
      <c r="WOC18" s="28" t="str">
        <f>IFERROR(IF(WOL3="No",IF(VLOOKUP(DATE($K$1,$K$2,WOC$4),Table1[],(MATCH(Calendar!$A18,DB!$1:$1,0)),FALSE)&gt;=5,"Good","Bad"),VLOOKUP(DATE($K$1,$K$2,WOC$4),Table1[],(MATCH(Calendar!$A18,DB!$1:$1,0)),FALSE)),"")</f>
        <v/>
      </c>
      <c r="WOD18" s="28" t="str">
        <f>IFERROR(IF(WOM3="No",IF(VLOOKUP(DATE($K$1,$K$2,WOD$4),Table1[],(MATCH(Calendar!$A18,DB!$1:$1,0)),FALSE)&gt;=5,"Good","Bad"),VLOOKUP(DATE($K$1,$K$2,WOD$4),Table1[],(MATCH(Calendar!$A18,DB!$1:$1,0)),FALSE)),"")</f>
        <v/>
      </c>
      <c r="WOE18" s="28" t="str">
        <f>IFERROR(IF(WON3="No",IF(VLOOKUP(DATE($K$1,$K$2,WOE$4),Table1[],(MATCH(Calendar!$A18,DB!$1:$1,0)),FALSE)&gt;=5,"Good","Bad"),VLOOKUP(DATE($K$1,$K$2,WOE$4),Table1[],(MATCH(Calendar!$A18,DB!$1:$1,0)),FALSE)),"")</f>
        <v/>
      </c>
      <c r="WOF18" s="28" t="str">
        <f>IFERROR(IF(WOO3="No",IF(VLOOKUP(DATE($K$1,$K$2,WOF$4),Table1[],(MATCH(Calendar!$A18,DB!$1:$1,0)),FALSE)&gt;=5,"Good","Bad"),VLOOKUP(DATE($K$1,$K$2,WOF$4),Table1[],(MATCH(Calendar!$A18,DB!$1:$1,0)),FALSE)),"")</f>
        <v/>
      </c>
      <c r="WOG18" s="28" t="str">
        <f>IFERROR(IF(WOP3="No",IF(VLOOKUP(DATE($K$1,$K$2,WOG$4),Table1[],(MATCH(Calendar!$A18,DB!$1:$1,0)),FALSE)&gt;=5,"Good","Bad"),VLOOKUP(DATE($K$1,$K$2,WOG$4),Table1[],(MATCH(Calendar!$A18,DB!$1:$1,0)),FALSE)),"")</f>
        <v/>
      </c>
      <c r="WOH18" s="28" t="str">
        <f>IFERROR(IF(WOQ3="No",IF(VLOOKUP(DATE($K$1,$K$2,WOH$4),Table1[],(MATCH(Calendar!$A18,DB!$1:$1,0)),FALSE)&gt;=5,"Good","Bad"),VLOOKUP(DATE($K$1,$K$2,WOH$4),Table1[],(MATCH(Calendar!$A18,DB!$1:$1,0)),FALSE)),"")</f>
        <v/>
      </c>
      <c r="WOI18" s="28" t="str">
        <f>IFERROR(IF(WOR3="No",IF(VLOOKUP(DATE($K$1,$K$2,WOI$4),Table1[],(MATCH(Calendar!$A18,DB!$1:$1,0)),FALSE)&gt;=5,"Good","Bad"),VLOOKUP(DATE($K$1,$K$2,WOI$4),Table1[],(MATCH(Calendar!$A18,DB!$1:$1,0)),FALSE)),"")</f>
        <v/>
      </c>
      <c r="WOJ18" s="28" t="str">
        <f>IFERROR(IF(WOS3="No",IF(VLOOKUP(DATE($K$1,$K$2,WOJ$4),Table1[],(MATCH(Calendar!$A18,DB!$1:$1,0)),FALSE)&gt;=5,"Good","Bad"),VLOOKUP(DATE($K$1,$K$2,WOJ$4),Table1[],(MATCH(Calendar!$A18,DB!$1:$1,0)),FALSE)),"")</f>
        <v/>
      </c>
      <c r="WOK18" s="28" t="str">
        <f>IFERROR(IF(WOT3="No",IF(VLOOKUP(DATE($K$1,$K$2,WOK$4),Table1[],(MATCH(Calendar!$A18,DB!$1:$1,0)),FALSE)&gt;=5,"Good","Bad"),VLOOKUP(DATE($K$1,$K$2,WOK$4),Table1[],(MATCH(Calendar!$A18,DB!$1:$1,0)),FALSE)),"")</f>
        <v/>
      </c>
      <c r="WOL18" s="28" t="str">
        <f>IFERROR(IF(WOU3="No",IF(VLOOKUP(DATE($K$1,$K$2,WOL$4),Table1[],(MATCH(Calendar!$A18,DB!$1:$1,0)),FALSE)&gt;=5,"Good","Bad"),VLOOKUP(DATE($K$1,$K$2,WOL$4),Table1[],(MATCH(Calendar!$A18,DB!$1:$1,0)),FALSE)),"")</f>
        <v/>
      </c>
      <c r="WOM18" s="28" t="str">
        <f>IFERROR(IF(WOV3="No",IF(VLOOKUP(DATE($K$1,$K$2,WOM$4),Table1[],(MATCH(Calendar!$A18,DB!$1:$1,0)),FALSE)&gt;=5,"Good","Bad"),VLOOKUP(DATE($K$1,$K$2,WOM$4),Table1[],(MATCH(Calendar!$A18,DB!$1:$1,0)),FALSE)),"")</f>
        <v/>
      </c>
      <c r="WON18" s="28" t="str">
        <f>IFERROR(IF(WOW3="No",IF(VLOOKUP(DATE($K$1,$K$2,WON$4),Table1[],(MATCH(Calendar!$A18,DB!$1:$1,0)),FALSE)&gt;=5,"Good","Bad"),VLOOKUP(DATE($K$1,$K$2,WON$4),Table1[],(MATCH(Calendar!$A18,DB!$1:$1,0)),FALSE)),"")</f>
        <v/>
      </c>
      <c r="WOO18" s="28" t="str">
        <f>IFERROR(IF(WOX3="No",IF(VLOOKUP(DATE($K$1,$K$2,WOO$4),Table1[],(MATCH(Calendar!$A18,DB!$1:$1,0)),FALSE)&gt;=5,"Good","Bad"),VLOOKUP(DATE($K$1,$K$2,WOO$4),Table1[],(MATCH(Calendar!$A18,DB!$1:$1,0)),FALSE)),"")</f>
        <v/>
      </c>
      <c r="WOP18" s="28" t="str">
        <f>IFERROR(IF(WOY3="No",IF(VLOOKUP(DATE($K$1,$K$2,WOP$4),Table1[],(MATCH(Calendar!$A18,DB!$1:$1,0)),FALSE)&gt;=5,"Good","Bad"),VLOOKUP(DATE($K$1,$K$2,WOP$4),Table1[],(MATCH(Calendar!$A18,DB!$1:$1,0)),FALSE)),"")</f>
        <v/>
      </c>
      <c r="WOQ18" s="28" t="str">
        <f>IFERROR(IF(WOZ3="No",IF(VLOOKUP(DATE($K$1,$K$2,WOQ$4),Table1[],(MATCH(Calendar!$A18,DB!$1:$1,0)),FALSE)&gt;=5,"Good","Bad"),VLOOKUP(DATE($K$1,$K$2,WOQ$4),Table1[],(MATCH(Calendar!$A18,DB!$1:$1,0)),FALSE)),"")</f>
        <v/>
      </c>
      <c r="WOR18" s="28" t="str">
        <f>IFERROR(IF(WPA3="No",IF(VLOOKUP(DATE($K$1,$K$2,WOR$4),Table1[],(MATCH(Calendar!$A18,DB!$1:$1,0)),FALSE)&gt;=5,"Good","Bad"),VLOOKUP(DATE($K$1,$K$2,WOR$4),Table1[],(MATCH(Calendar!$A18,DB!$1:$1,0)),FALSE)),"")</f>
        <v/>
      </c>
      <c r="WOS18" s="28" t="str">
        <f>IFERROR(IF(WPB3="No",IF(VLOOKUP(DATE($K$1,$K$2,WOS$4),Table1[],(MATCH(Calendar!$A18,DB!$1:$1,0)),FALSE)&gt;=5,"Good","Bad"),VLOOKUP(DATE($K$1,$K$2,WOS$4),Table1[],(MATCH(Calendar!$A18,DB!$1:$1,0)),FALSE)),"")</f>
        <v/>
      </c>
      <c r="WOT18" s="28" t="str">
        <f>IFERROR(IF(WPC3="No",IF(VLOOKUP(DATE($K$1,$K$2,WOT$4),Table1[],(MATCH(Calendar!$A18,DB!$1:$1,0)),FALSE)&gt;=5,"Good","Bad"),VLOOKUP(DATE($K$1,$K$2,WOT$4),Table1[],(MATCH(Calendar!$A18,DB!$1:$1,0)),FALSE)),"")</f>
        <v/>
      </c>
      <c r="WOU18" s="28" t="str">
        <f>IFERROR(IF(WPD3="No",IF(VLOOKUP(DATE($K$1,$K$2,WOU$4),Table1[],(MATCH(Calendar!$A18,DB!$1:$1,0)),FALSE)&gt;=5,"Good","Bad"),VLOOKUP(DATE($K$1,$K$2,WOU$4),Table1[],(MATCH(Calendar!$A18,DB!$1:$1,0)),FALSE)),"")</f>
        <v/>
      </c>
      <c r="WOV18" s="28" t="str">
        <f>IFERROR(IF(WPE3="No",IF(VLOOKUP(DATE($K$1,$K$2,WOV$4),Table1[],(MATCH(Calendar!$A18,DB!$1:$1,0)),FALSE)&gt;=5,"Good","Bad"),VLOOKUP(DATE($K$1,$K$2,WOV$4),Table1[],(MATCH(Calendar!$A18,DB!$1:$1,0)),FALSE)),"")</f>
        <v/>
      </c>
      <c r="WOW18" s="28" t="str">
        <f>IFERROR(IF(WPF3="No",IF(VLOOKUP(DATE($K$1,$K$2,WOW$4),Table1[],(MATCH(Calendar!$A18,DB!$1:$1,0)),FALSE)&gt;=5,"Good","Bad"),VLOOKUP(DATE($K$1,$K$2,WOW$4),Table1[],(MATCH(Calendar!$A18,DB!$1:$1,0)),FALSE)),"")</f>
        <v/>
      </c>
      <c r="WOX18" s="28" t="str">
        <f>IFERROR(IF(WPG3="No",IF(VLOOKUP(DATE($K$1,$K$2,WOX$4),Table1[],(MATCH(Calendar!$A18,DB!$1:$1,0)),FALSE)&gt;=5,"Good","Bad"),VLOOKUP(DATE($K$1,$K$2,WOX$4),Table1[],(MATCH(Calendar!$A18,DB!$1:$1,0)),FALSE)),"")</f>
        <v/>
      </c>
      <c r="WOY18" s="28" t="str">
        <f>IFERROR(IF(WPH3="No",IF(VLOOKUP(DATE($K$1,$K$2,WOY$4),Table1[],(MATCH(Calendar!$A18,DB!$1:$1,0)),FALSE)&gt;=5,"Good","Bad"),VLOOKUP(DATE($K$1,$K$2,WOY$4),Table1[],(MATCH(Calendar!$A18,DB!$1:$1,0)),FALSE)),"")</f>
        <v/>
      </c>
      <c r="WOZ18" s="28" t="str">
        <f>IFERROR(IF(WPI3="No",IF(VLOOKUP(DATE($K$1,$K$2,WOZ$4),Table1[],(MATCH(Calendar!$A18,DB!$1:$1,0)),FALSE)&gt;=5,"Good","Bad"),VLOOKUP(DATE($K$1,$K$2,WOZ$4),Table1[],(MATCH(Calendar!$A18,DB!$1:$1,0)),FALSE)),"")</f>
        <v/>
      </c>
      <c r="WPA18" s="28" t="str">
        <f>IFERROR(IF(WPJ3="No",IF(VLOOKUP(DATE($K$1,$K$2,WPA$4),Table1[],(MATCH(Calendar!$A18,DB!$1:$1,0)),FALSE)&gt;=5,"Good","Bad"),VLOOKUP(DATE($K$1,$K$2,WPA$4),Table1[],(MATCH(Calendar!$A18,DB!$1:$1,0)),FALSE)),"")</f>
        <v/>
      </c>
      <c r="WPB18" s="28" t="str">
        <f>IFERROR(IF(WPK3="No",IF(VLOOKUP(DATE($K$1,$K$2,WPB$4),Table1[],(MATCH(Calendar!$A18,DB!$1:$1,0)),FALSE)&gt;=5,"Good","Bad"),VLOOKUP(DATE($K$1,$K$2,WPB$4),Table1[],(MATCH(Calendar!$A18,DB!$1:$1,0)),FALSE)),"")</f>
        <v/>
      </c>
      <c r="WPC18" s="28" t="str">
        <f>IFERROR(IF(WPL3="No",IF(VLOOKUP(DATE($K$1,$K$2,WPC$4),Table1[],(MATCH(Calendar!$A18,DB!$1:$1,0)),FALSE)&gt;=5,"Good","Bad"),VLOOKUP(DATE($K$1,$K$2,WPC$4),Table1[],(MATCH(Calendar!$A18,DB!$1:$1,0)),FALSE)),"")</f>
        <v/>
      </c>
      <c r="WPD18" s="28" t="str">
        <f>IFERROR(IF(WPM3="No",IF(VLOOKUP(DATE($K$1,$K$2,WPD$4),Table1[],(MATCH(Calendar!$A18,DB!$1:$1,0)),FALSE)&gt;=5,"Good","Bad"),VLOOKUP(DATE($K$1,$K$2,WPD$4),Table1[],(MATCH(Calendar!$A18,DB!$1:$1,0)),FALSE)),"")</f>
        <v/>
      </c>
      <c r="WPE18" s="28" t="str">
        <f>IFERROR(IF(WPN3="No",IF(VLOOKUP(DATE($K$1,$K$2,WPE$4),Table1[],(MATCH(Calendar!$A18,DB!$1:$1,0)),FALSE)&gt;=5,"Good","Bad"),VLOOKUP(DATE($K$1,$K$2,WPE$4),Table1[],(MATCH(Calendar!$A18,DB!$1:$1,0)),FALSE)),"")</f>
        <v/>
      </c>
      <c r="WPF18" s="28" t="str">
        <f>IFERROR(IF(WPO3="No",IF(VLOOKUP(DATE($K$1,$K$2,WPF$4),Table1[],(MATCH(Calendar!$A18,DB!$1:$1,0)),FALSE)&gt;=5,"Good","Bad"),VLOOKUP(DATE($K$1,$K$2,WPF$4),Table1[],(MATCH(Calendar!$A18,DB!$1:$1,0)),FALSE)),"")</f>
        <v/>
      </c>
      <c r="WPG18" s="28" t="str">
        <f>IFERROR(IF(WPP3="No",IF(VLOOKUP(DATE($K$1,$K$2,WPG$4),Table1[],(MATCH(Calendar!$A18,DB!$1:$1,0)),FALSE)&gt;=5,"Good","Bad"),VLOOKUP(DATE($K$1,$K$2,WPG$4),Table1[],(MATCH(Calendar!$A18,DB!$1:$1,0)),FALSE)),"")</f>
        <v/>
      </c>
      <c r="WPH18" s="28" t="str">
        <f>IFERROR(IF(WPQ3="No",IF(VLOOKUP(DATE($K$1,$K$2,WPH$4),Table1[],(MATCH(Calendar!$A18,DB!$1:$1,0)),FALSE)&gt;=5,"Good","Bad"),VLOOKUP(DATE($K$1,$K$2,WPH$4),Table1[],(MATCH(Calendar!$A18,DB!$1:$1,0)),FALSE)),"")</f>
        <v/>
      </c>
      <c r="WPI18" s="28" t="str">
        <f>IFERROR(IF(WPR3="No",IF(VLOOKUP(DATE($K$1,$K$2,WPI$4),Table1[],(MATCH(Calendar!$A18,DB!$1:$1,0)),FALSE)&gt;=5,"Good","Bad"),VLOOKUP(DATE($K$1,$K$2,WPI$4),Table1[],(MATCH(Calendar!$A18,DB!$1:$1,0)),FALSE)),"")</f>
        <v/>
      </c>
      <c r="WPJ18" s="28" t="str">
        <f>IFERROR(IF(WPS3="No",IF(VLOOKUP(DATE($K$1,$K$2,WPJ$4),Table1[],(MATCH(Calendar!$A18,DB!$1:$1,0)),FALSE)&gt;=5,"Good","Bad"),VLOOKUP(DATE($K$1,$K$2,WPJ$4),Table1[],(MATCH(Calendar!$A18,DB!$1:$1,0)),FALSE)),"")</f>
        <v/>
      </c>
      <c r="WPK18" s="28" t="str">
        <f>IFERROR(IF(WPT3="No",IF(VLOOKUP(DATE($K$1,$K$2,WPK$4),Table1[],(MATCH(Calendar!$A18,DB!$1:$1,0)),FALSE)&gt;=5,"Good","Bad"),VLOOKUP(DATE($K$1,$K$2,WPK$4),Table1[],(MATCH(Calendar!$A18,DB!$1:$1,0)),FALSE)),"")</f>
        <v/>
      </c>
      <c r="WPL18" s="28" t="str">
        <f>IFERROR(IF(WPU3="No",IF(VLOOKUP(DATE($K$1,$K$2,WPL$4),Table1[],(MATCH(Calendar!$A18,DB!$1:$1,0)),FALSE)&gt;=5,"Good","Bad"),VLOOKUP(DATE($K$1,$K$2,WPL$4),Table1[],(MATCH(Calendar!$A18,DB!$1:$1,0)),FALSE)),"")</f>
        <v/>
      </c>
      <c r="WPM18" s="28" t="str">
        <f>IFERROR(IF(WPV3="No",IF(VLOOKUP(DATE($K$1,$K$2,WPM$4),Table1[],(MATCH(Calendar!$A18,DB!$1:$1,0)),FALSE)&gt;=5,"Good","Bad"),VLOOKUP(DATE($K$1,$K$2,WPM$4),Table1[],(MATCH(Calendar!$A18,DB!$1:$1,0)),FALSE)),"")</f>
        <v/>
      </c>
      <c r="WPN18" s="28" t="str">
        <f>IFERROR(IF(WPW3="No",IF(VLOOKUP(DATE($K$1,$K$2,WPN$4),Table1[],(MATCH(Calendar!$A18,DB!$1:$1,0)),FALSE)&gt;=5,"Good","Bad"),VLOOKUP(DATE($K$1,$K$2,WPN$4),Table1[],(MATCH(Calendar!$A18,DB!$1:$1,0)),FALSE)),"")</f>
        <v/>
      </c>
      <c r="WPO18" s="28" t="str">
        <f>IFERROR(IF(WPX3="No",IF(VLOOKUP(DATE($K$1,$K$2,WPO$4),Table1[],(MATCH(Calendar!$A18,DB!$1:$1,0)),FALSE)&gt;=5,"Good","Bad"),VLOOKUP(DATE($K$1,$K$2,WPO$4),Table1[],(MATCH(Calendar!$A18,DB!$1:$1,0)),FALSE)),"")</f>
        <v/>
      </c>
      <c r="WPP18" s="28" t="str">
        <f>IFERROR(IF(WPY3="No",IF(VLOOKUP(DATE($K$1,$K$2,WPP$4),Table1[],(MATCH(Calendar!$A18,DB!$1:$1,0)),FALSE)&gt;=5,"Good","Bad"),VLOOKUP(DATE($K$1,$K$2,WPP$4),Table1[],(MATCH(Calendar!$A18,DB!$1:$1,0)),FALSE)),"")</f>
        <v/>
      </c>
      <c r="WPQ18" s="28" t="str">
        <f>IFERROR(IF(WPZ3="No",IF(VLOOKUP(DATE($K$1,$K$2,WPQ$4),Table1[],(MATCH(Calendar!$A18,DB!$1:$1,0)),FALSE)&gt;=5,"Good","Bad"),VLOOKUP(DATE($K$1,$K$2,WPQ$4),Table1[],(MATCH(Calendar!$A18,DB!$1:$1,0)),FALSE)),"")</f>
        <v/>
      </c>
      <c r="WPR18" s="28" t="str">
        <f>IFERROR(IF(WQA3="No",IF(VLOOKUP(DATE($K$1,$K$2,WPR$4),Table1[],(MATCH(Calendar!$A18,DB!$1:$1,0)),FALSE)&gt;=5,"Good","Bad"),VLOOKUP(DATE($K$1,$K$2,WPR$4),Table1[],(MATCH(Calendar!$A18,DB!$1:$1,0)),FALSE)),"")</f>
        <v/>
      </c>
      <c r="WPS18" s="28" t="str">
        <f>IFERROR(IF(WQB3="No",IF(VLOOKUP(DATE($K$1,$K$2,WPS$4),Table1[],(MATCH(Calendar!$A18,DB!$1:$1,0)),FALSE)&gt;=5,"Good","Bad"),VLOOKUP(DATE($K$1,$K$2,WPS$4),Table1[],(MATCH(Calendar!$A18,DB!$1:$1,0)),FALSE)),"")</f>
        <v/>
      </c>
      <c r="WPT18" s="28" t="str">
        <f>IFERROR(IF(WQC3="No",IF(VLOOKUP(DATE($K$1,$K$2,WPT$4),Table1[],(MATCH(Calendar!$A18,DB!$1:$1,0)),FALSE)&gt;=5,"Good","Bad"),VLOOKUP(DATE($K$1,$K$2,WPT$4),Table1[],(MATCH(Calendar!$A18,DB!$1:$1,0)),FALSE)),"")</f>
        <v/>
      </c>
      <c r="WPU18" s="28" t="str">
        <f>IFERROR(IF(WQD3="No",IF(VLOOKUP(DATE($K$1,$K$2,WPU$4),Table1[],(MATCH(Calendar!$A18,DB!$1:$1,0)),FALSE)&gt;=5,"Good","Bad"),VLOOKUP(DATE($K$1,$K$2,WPU$4),Table1[],(MATCH(Calendar!$A18,DB!$1:$1,0)),FALSE)),"")</f>
        <v/>
      </c>
      <c r="WPV18" s="28" t="str">
        <f>IFERROR(IF(WQE3="No",IF(VLOOKUP(DATE($K$1,$K$2,WPV$4),Table1[],(MATCH(Calendar!$A18,DB!$1:$1,0)),FALSE)&gt;=5,"Good","Bad"),VLOOKUP(DATE($K$1,$K$2,WPV$4),Table1[],(MATCH(Calendar!$A18,DB!$1:$1,0)),FALSE)),"")</f>
        <v/>
      </c>
      <c r="WPW18" s="28" t="str">
        <f>IFERROR(IF(WQF3="No",IF(VLOOKUP(DATE($K$1,$K$2,WPW$4),Table1[],(MATCH(Calendar!$A18,DB!$1:$1,0)),FALSE)&gt;=5,"Good","Bad"),VLOOKUP(DATE($K$1,$K$2,WPW$4),Table1[],(MATCH(Calendar!$A18,DB!$1:$1,0)),FALSE)),"")</f>
        <v/>
      </c>
      <c r="WPX18" s="28" t="str">
        <f>IFERROR(IF(WQG3="No",IF(VLOOKUP(DATE($K$1,$K$2,WPX$4),Table1[],(MATCH(Calendar!$A18,DB!$1:$1,0)),FALSE)&gt;=5,"Good","Bad"),VLOOKUP(DATE($K$1,$K$2,WPX$4),Table1[],(MATCH(Calendar!$A18,DB!$1:$1,0)),FALSE)),"")</f>
        <v/>
      </c>
      <c r="WPY18" s="28" t="str">
        <f>IFERROR(IF(WQH3="No",IF(VLOOKUP(DATE($K$1,$K$2,WPY$4),Table1[],(MATCH(Calendar!$A18,DB!$1:$1,0)),FALSE)&gt;=5,"Good","Bad"),VLOOKUP(DATE($K$1,$K$2,WPY$4),Table1[],(MATCH(Calendar!$A18,DB!$1:$1,0)),FALSE)),"")</f>
        <v/>
      </c>
      <c r="WPZ18" s="28" t="str">
        <f>IFERROR(IF(WQI3="No",IF(VLOOKUP(DATE($K$1,$K$2,WPZ$4),Table1[],(MATCH(Calendar!$A18,DB!$1:$1,0)),FALSE)&gt;=5,"Good","Bad"),VLOOKUP(DATE($K$1,$K$2,WPZ$4),Table1[],(MATCH(Calendar!$A18,DB!$1:$1,0)),FALSE)),"")</f>
        <v/>
      </c>
      <c r="WQA18" s="28" t="str">
        <f>IFERROR(IF(WQJ3="No",IF(VLOOKUP(DATE($K$1,$K$2,WQA$4),Table1[],(MATCH(Calendar!$A18,DB!$1:$1,0)),FALSE)&gt;=5,"Good","Bad"),VLOOKUP(DATE($K$1,$K$2,WQA$4),Table1[],(MATCH(Calendar!$A18,DB!$1:$1,0)),FALSE)),"")</f>
        <v/>
      </c>
      <c r="WQB18" s="28" t="str">
        <f>IFERROR(IF(WQK3="No",IF(VLOOKUP(DATE($K$1,$K$2,WQB$4),Table1[],(MATCH(Calendar!$A18,DB!$1:$1,0)),FALSE)&gt;=5,"Good","Bad"),VLOOKUP(DATE($K$1,$K$2,WQB$4),Table1[],(MATCH(Calendar!$A18,DB!$1:$1,0)),FALSE)),"")</f>
        <v/>
      </c>
      <c r="WQC18" s="28" t="str">
        <f>IFERROR(IF(WQL3="No",IF(VLOOKUP(DATE($K$1,$K$2,WQC$4),Table1[],(MATCH(Calendar!$A18,DB!$1:$1,0)),FALSE)&gt;=5,"Good","Bad"),VLOOKUP(DATE($K$1,$K$2,WQC$4),Table1[],(MATCH(Calendar!$A18,DB!$1:$1,0)),FALSE)),"")</f>
        <v/>
      </c>
      <c r="WQD18" s="28" t="str">
        <f>IFERROR(IF(WQM3="No",IF(VLOOKUP(DATE($K$1,$K$2,WQD$4),Table1[],(MATCH(Calendar!$A18,DB!$1:$1,0)),FALSE)&gt;=5,"Good","Bad"),VLOOKUP(DATE($K$1,$K$2,WQD$4),Table1[],(MATCH(Calendar!$A18,DB!$1:$1,0)),FALSE)),"")</f>
        <v/>
      </c>
      <c r="WQE18" s="28" t="str">
        <f>IFERROR(IF(WQN3="No",IF(VLOOKUP(DATE($K$1,$K$2,WQE$4),Table1[],(MATCH(Calendar!$A18,DB!$1:$1,0)),FALSE)&gt;=5,"Good","Bad"),VLOOKUP(DATE($K$1,$K$2,WQE$4),Table1[],(MATCH(Calendar!$A18,DB!$1:$1,0)),FALSE)),"")</f>
        <v/>
      </c>
      <c r="WQF18" s="28" t="str">
        <f>IFERROR(IF(WQO3="No",IF(VLOOKUP(DATE($K$1,$K$2,WQF$4),Table1[],(MATCH(Calendar!$A18,DB!$1:$1,0)),FALSE)&gt;=5,"Good","Bad"),VLOOKUP(DATE($K$1,$K$2,WQF$4),Table1[],(MATCH(Calendar!$A18,DB!$1:$1,0)),FALSE)),"")</f>
        <v/>
      </c>
      <c r="WQG18" s="28" t="str">
        <f>IFERROR(IF(WQP3="No",IF(VLOOKUP(DATE($K$1,$K$2,WQG$4),Table1[],(MATCH(Calendar!$A18,DB!$1:$1,0)),FALSE)&gt;=5,"Good","Bad"),VLOOKUP(DATE($K$1,$K$2,WQG$4),Table1[],(MATCH(Calendar!$A18,DB!$1:$1,0)),FALSE)),"")</f>
        <v/>
      </c>
      <c r="WQH18" s="28" t="str">
        <f>IFERROR(IF(WQQ3="No",IF(VLOOKUP(DATE($K$1,$K$2,WQH$4),Table1[],(MATCH(Calendar!$A18,DB!$1:$1,0)),FALSE)&gt;=5,"Good","Bad"),VLOOKUP(DATE($K$1,$K$2,WQH$4),Table1[],(MATCH(Calendar!$A18,DB!$1:$1,0)),FALSE)),"")</f>
        <v/>
      </c>
      <c r="WQI18" s="28" t="str">
        <f>IFERROR(IF(WQR3="No",IF(VLOOKUP(DATE($K$1,$K$2,WQI$4),Table1[],(MATCH(Calendar!$A18,DB!$1:$1,0)),FALSE)&gt;=5,"Good","Bad"),VLOOKUP(DATE($K$1,$K$2,WQI$4),Table1[],(MATCH(Calendar!$A18,DB!$1:$1,0)),FALSE)),"")</f>
        <v/>
      </c>
      <c r="WQJ18" s="28" t="str">
        <f>IFERROR(IF(WQS3="No",IF(VLOOKUP(DATE($K$1,$K$2,WQJ$4),Table1[],(MATCH(Calendar!$A18,DB!$1:$1,0)),FALSE)&gt;=5,"Good","Bad"),VLOOKUP(DATE($K$1,$K$2,WQJ$4),Table1[],(MATCH(Calendar!$A18,DB!$1:$1,0)),FALSE)),"")</f>
        <v/>
      </c>
      <c r="WQK18" s="28" t="str">
        <f>IFERROR(IF(WQT3="No",IF(VLOOKUP(DATE($K$1,$K$2,WQK$4),Table1[],(MATCH(Calendar!$A18,DB!$1:$1,0)),FALSE)&gt;=5,"Good","Bad"),VLOOKUP(DATE($K$1,$K$2,WQK$4),Table1[],(MATCH(Calendar!$A18,DB!$1:$1,0)),FALSE)),"")</f>
        <v/>
      </c>
      <c r="WQL18" s="28" t="str">
        <f>IFERROR(IF(WQU3="No",IF(VLOOKUP(DATE($K$1,$K$2,WQL$4),Table1[],(MATCH(Calendar!$A18,DB!$1:$1,0)),FALSE)&gt;=5,"Good","Bad"),VLOOKUP(DATE($K$1,$K$2,WQL$4),Table1[],(MATCH(Calendar!$A18,DB!$1:$1,0)),FALSE)),"")</f>
        <v/>
      </c>
      <c r="WQM18" s="28" t="str">
        <f>IFERROR(IF(WQV3="No",IF(VLOOKUP(DATE($K$1,$K$2,WQM$4),Table1[],(MATCH(Calendar!$A18,DB!$1:$1,0)),FALSE)&gt;=5,"Good","Bad"),VLOOKUP(DATE($K$1,$K$2,WQM$4),Table1[],(MATCH(Calendar!$A18,DB!$1:$1,0)),FALSE)),"")</f>
        <v/>
      </c>
      <c r="WQN18" s="28" t="str">
        <f>IFERROR(IF(WQW3="No",IF(VLOOKUP(DATE($K$1,$K$2,WQN$4),Table1[],(MATCH(Calendar!$A18,DB!$1:$1,0)),FALSE)&gt;=5,"Good","Bad"),VLOOKUP(DATE($K$1,$K$2,WQN$4),Table1[],(MATCH(Calendar!$A18,DB!$1:$1,0)),FALSE)),"")</f>
        <v/>
      </c>
      <c r="WQO18" s="28" t="str">
        <f>IFERROR(IF(WQX3="No",IF(VLOOKUP(DATE($K$1,$K$2,WQO$4),Table1[],(MATCH(Calendar!$A18,DB!$1:$1,0)),FALSE)&gt;=5,"Good","Bad"),VLOOKUP(DATE($K$1,$K$2,WQO$4),Table1[],(MATCH(Calendar!$A18,DB!$1:$1,0)),FALSE)),"")</f>
        <v/>
      </c>
      <c r="WQP18" s="28" t="str">
        <f>IFERROR(IF(WQY3="No",IF(VLOOKUP(DATE($K$1,$K$2,WQP$4),Table1[],(MATCH(Calendar!$A18,DB!$1:$1,0)),FALSE)&gt;=5,"Good","Bad"),VLOOKUP(DATE($K$1,$K$2,WQP$4),Table1[],(MATCH(Calendar!$A18,DB!$1:$1,0)),FALSE)),"")</f>
        <v/>
      </c>
      <c r="WQQ18" s="28" t="str">
        <f>IFERROR(IF(WQZ3="No",IF(VLOOKUP(DATE($K$1,$K$2,WQQ$4),Table1[],(MATCH(Calendar!$A18,DB!$1:$1,0)),FALSE)&gt;=5,"Good","Bad"),VLOOKUP(DATE($K$1,$K$2,WQQ$4),Table1[],(MATCH(Calendar!$A18,DB!$1:$1,0)),FALSE)),"")</f>
        <v/>
      </c>
      <c r="WQR18" s="28" t="str">
        <f>IFERROR(IF(WRA3="No",IF(VLOOKUP(DATE($K$1,$K$2,WQR$4),Table1[],(MATCH(Calendar!$A18,DB!$1:$1,0)),FALSE)&gt;=5,"Good","Bad"),VLOOKUP(DATE($K$1,$K$2,WQR$4),Table1[],(MATCH(Calendar!$A18,DB!$1:$1,0)),FALSE)),"")</f>
        <v/>
      </c>
      <c r="WQS18" s="28" t="str">
        <f>IFERROR(IF(WRB3="No",IF(VLOOKUP(DATE($K$1,$K$2,WQS$4),Table1[],(MATCH(Calendar!$A18,DB!$1:$1,0)),FALSE)&gt;=5,"Good","Bad"),VLOOKUP(DATE($K$1,$K$2,WQS$4),Table1[],(MATCH(Calendar!$A18,DB!$1:$1,0)),FALSE)),"")</f>
        <v/>
      </c>
      <c r="WQT18" s="28" t="str">
        <f>IFERROR(IF(WRC3="No",IF(VLOOKUP(DATE($K$1,$K$2,WQT$4),Table1[],(MATCH(Calendar!$A18,DB!$1:$1,0)),FALSE)&gt;=5,"Good","Bad"),VLOOKUP(DATE($K$1,$K$2,WQT$4),Table1[],(MATCH(Calendar!$A18,DB!$1:$1,0)),FALSE)),"")</f>
        <v/>
      </c>
      <c r="WQU18" s="28" t="str">
        <f>IFERROR(IF(WRD3="No",IF(VLOOKUP(DATE($K$1,$K$2,WQU$4),Table1[],(MATCH(Calendar!$A18,DB!$1:$1,0)),FALSE)&gt;=5,"Good","Bad"),VLOOKUP(DATE($K$1,$K$2,WQU$4),Table1[],(MATCH(Calendar!$A18,DB!$1:$1,0)),FALSE)),"")</f>
        <v/>
      </c>
      <c r="WQV18" s="28" t="str">
        <f>IFERROR(IF(WRE3="No",IF(VLOOKUP(DATE($K$1,$K$2,WQV$4),Table1[],(MATCH(Calendar!$A18,DB!$1:$1,0)),FALSE)&gt;=5,"Good","Bad"),VLOOKUP(DATE($K$1,$K$2,WQV$4),Table1[],(MATCH(Calendar!$A18,DB!$1:$1,0)),FALSE)),"")</f>
        <v/>
      </c>
      <c r="WQW18" s="28" t="str">
        <f>IFERROR(IF(WRF3="No",IF(VLOOKUP(DATE($K$1,$K$2,WQW$4),Table1[],(MATCH(Calendar!$A18,DB!$1:$1,0)),FALSE)&gt;=5,"Good","Bad"),VLOOKUP(DATE($K$1,$K$2,WQW$4),Table1[],(MATCH(Calendar!$A18,DB!$1:$1,0)),FALSE)),"")</f>
        <v/>
      </c>
      <c r="WQX18" s="28" t="str">
        <f>IFERROR(IF(WRG3="No",IF(VLOOKUP(DATE($K$1,$K$2,WQX$4),Table1[],(MATCH(Calendar!$A18,DB!$1:$1,0)),FALSE)&gt;=5,"Good","Bad"),VLOOKUP(DATE($K$1,$K$2,WQX$4),Table1[],(MATCH(Calendar!$A18,DB!$1:$1,0)),FALSE)),"")</f>
        <v/>
      </c>
      <c r="WQY18" s="28" t="str">
        <f>IFERROR(IF(WRH3="No",IF(VLOOKUP(DATE($K$1,$K$2,WQY$4),Table1[],(MATCH(Calendar!$A18,DB!$1:$1,0)),FALSE)&gt;=5,"Good","Bad"),VLOOKUP(DATE($K$1,$K$2,WQY$4),Table1[],(MATCH(Calendar!$A18,DB!$1:$1,0)),FALSE)),"")</f>
        <v/>
      </c>
      <c r="WQZ18" s="28" t="str">
        <f>IFERROR(IF(WRI3="No",IF(VLOOKUP(DATE($K$1,$K$2,WQZ$4),Table1[],(MATCH(Calendar!$A18,DB!$1:$1,0)),FALSE)&gt;=5,"Good","Bad"),VLOOKUP(DATE($K$1,$K$2,WQZ$4),Table1[],(MATCH(Calendar!$A18,DB!$1:$1,0)),FALSE)),"")</f>
        <v/>
      </c>
      <c r="WRA18" s="28" t="str">
        <f>IFERROR(IF(WRJ3="No",IF(VLOOKUP(DATE($K$1,$K$2,WRA$4),Table1[],(MATCH(Calendar!$A18,DB!$1:$1,0)),FALSE)&gt;=5,"Good","Bad"),VLOOKUP(DATE($K$1,$K$2,WRA$4),Table1[],(MATCH(Calendar!$A18,DB!$1:$1,0)),FALSE)),"")</f>
        <v/>
      </c>
      <c r="WRB18" s="28" t="str">
        <f>IFERROR(IF(WRK3="No",IF(VLOOKUP(DATE($K$1,$K$2,WRB$4),Table1[],(MATCH(Calendar!$A18,DB!$1:$1,0)),FALSE)&gt;=5,"Good","Bad"),VLOOKUP(DATE($K$1,$K$2,WRB$4),Table1[],(MATCH(Calendar!$A18,DB!$1:$1,0)),FALSE)),"")</f>
        <v/>
      </c>
      <c r="WRC18" s="28" t="str">
        <f>IFERROR(IF(WRL3="No",IF(VLOOKUP(DATE($K$1,$K$2,WRC$4),Table1[],(MATCH(Calendar!$A18,DB!$1:$1,0)),FALSE)&gt;=5,"Good","Bad"),VLOOKUP(DATE($K$1,$K$2,WRC$4),Table1[],(MATCH(Calendar!$A18,DB!$1:$1,0)),FALSE)),"")</f>
        <v/>
      </c>
      <c r="WRD18" s="28" t="str">
        <f>IFERROR(IF(WRM3="No",IF(VLOOKUP(DATE($K$1,$K$2,WRD$4),Table1[],(MATCH(Calendar!$A18,DB!$1:$1,0)),FALSE)&gt;=5,"Good","Bad"),VLOOKUP(DATE($K$1,$K$2,WRD$4),Table1[],(MATCH(Calendar!$A18,DB!$1:$1,0)),FALSE)),"")</f>
        <v/>
      </c>
      <c r="WRE18" s="28" t="str">
        <f>IFERROR(IF(WRN3="No",IF(VLOOKUP(DATE($K$1,$K$2,WRE$4),Table1[],(MATCH(Calendar!$A18,DB!$1:$1,0)),FALSE)&gt;=5,"Good","Bad"),VLOOKUP(DATE($K$1,$K$2,WRE$4),Table1[],(MATCH(Calendar!$A18,DB!$1:$1,0)),FALSE)),"")</f>
        <v/>
      </c>
      <c r="WRF18" s="28" t="str">
        <f>IFERROR(IF(WRO3="No",IF(VLOOKUP(DATE($K$1,$K$2,WRF$4),Table1[],(MATCH(Calendar!$A18,DB!$1:$1,0)),FALSE)&gt;=5,"Good","Bad"),VLOOKUP(DATE($K$1,$K$2,WRF$4),Table1[],(MATCH(Calendar!$A18,DB!$1:$1,0)),FALSE)),"")</f>
        <v/>
      </c>
      <c r="WRG18" s="28" t="str">
        <f>IFERROR(IF(WRP3="No",IF(VLOOKUP(DATE($K$1,$K$2,WRG$4),Table1[],(MATCH(Calendar!$A18,DB!$1:$1,0)),FALSE)&gt;=5,"Good","Bad"),VLOOKUP(DATE($K$1,$K$2,WRG$4),Table1[],(MATCH(Calendar!$A18,DB!$1:$1,0)),FALSE)),"")</f>
        <v/>
      </c>
      <c r="WRH18" s="28" t="str">
        <f>IFERROR(IF(WRQ3="No",IF(VLOOKUP(DATE($K$1,$K$2,WRH$4),Table1[],(MATCH(Calendar!$A18,DB!$1:$1,0)),FALSE)&gt;=5,"Good","Bad"),VLOOKUP(DATE($K$1,$K$2,WRH$4),Table1[],(MATCH(Calendar!$A18,DB!$1:$1,0)),FALSE)),"")</f>
        <v/>
      </c>
      <c r="WRI18" s="28" t="str">
        <f>IFERROR(IF(WRR3="No",IF(VLOOKUP(DATE($K$1,$K$2,WRI$4),Table1[],(MATCH(Calendar!$A18,DB!$1:$1,0)),FALSE)&gt;=5,"Good","Bad"),VLOOKUP(DATE($K$1,$K$2,WRI$4),Table1[],(MATCH(Calendar!$A18,DB!$1:$1,0)),FALSE)),"")</f>
        <v/>
      </c>
      <c r="WRJ18" s="28" t="str">
        <f>IFERROR(IF(WRS3="No",IF(VLOOKUP(DATE($K$1,$K$2,WRJ$4),Table1[],(MATCH(Calendar!$A18,DB!$1:$1,0)),FALSE)&gt;=5,"Good","Bad"),VLOOKUP(DATE($K$1,$K$2,WRJ$4),Table1[],(MATCH(Calendar!$A18,DB!$1:$1,0)),FALSE)),"")</f>
        <v/>
      </c>
      <c r="WRK18" s="28" t="str">
        <f>IFERROR(IF(WRT3="No",IF(VLOOKUP(DATE($K$1,$K$2,WRK$4),Table1[],(MATCH(Calendar!$A18,DB!$1:$1,0)),FALSE)&gt;=5,"Good","Bad"),VLOOKUP(DATE($K$1,$K$2,WRK$4),Table1[],(MATCH(Calendar!$A18,DB!$1:$1,0)),FALSE)),"")</f>
        <v/>
      </c>
      <c r="WRL18" s="28" t="str">
        <f>IFERROR(IF(WRU3="No",IF(VLOOKUP(DATE($K$1,$K$2,WRL$4),Table1[],(MATCH(Calendar!$A18,DB!$1:$1,0)),FALSE)&gt;=5,"Good","Bad"),VLOOKUP(DATE($K$1,$K$2,WRL$4),Table1[],(MATCH(Calendar!$A18,DB!$1:$1,0)),FALSE)),"")</f>
        <v/>
      </c>
      <c r="WRM18" s="28" t="str">
        <f>IFERROR(IF(WRV3="No",IF(VLOOKUP(DATE($K$1,$K$2,WRM$4),Table1[],(MATCH(Calendar!$A18,DB!$1:$1,0)),FALSE)&gt;=5,"Good","Bad"),VLOOKUP(DATE($K$1,$K$2,WRM$4),Table1[],(MATCH(Calendar!$A18,DB!$1:$1,0)),FALSE)),"")</f>
        <v/>
      </c>
      <c r="WRN18" s="28" t="str">
        <f>IFERROR(IF(WRW3="No",IF(VLOOKUP(DATE($K$1,$K$2,WRN$4),Table1[],(MATCH(Calendar!$A18,DB!$1:$1,0)),FALSE)&gt;=5,"Good","Bad"),VLOOKUP(DATE($K$1,$K$2,WRN$4),Table1[],(MATCH(Calendar!$A18,DB!$1:$1,0)),FALSE)),"")</f>
        <v/>
      </c>
      <c r="WRO18" s="28" t="str">
        <f>IFERROR(IF(WRX3="No",IF(VLOOKUP(DATE($K$1,$K$2,WRO$4),Table1[],(MATCH(Calendar!$A18,DB!$1:$1,0)),FALSE)&gt;=5,"Good","Bad"),VLOOKUP(DATE($K$1,$K$2,WRO$4),Table1[],(MATCH(Calendar!$A18,DB!$1:$1,0)),FALSE)),"")</f>
        <v/>
      </c>
      <c r="WRP18" s="28" t="str">
        <f>IFERROR(IF(WRY3="No",IF(VLOOKUP(DATE($K$1,$K$2,WRP$4),Table1[],(MATCH(Calendar!$A18,DB!$1:$1,0)),FALSE)&gt;=5,"Good","Bad"),VLOOKUP(DATE($K$1,$K$2,WRP$4),Table1[],(MATCH(Calendar!$A18,DB!$1:$1,0)),FALSE)),"")</f>
        <v/>
      </c>
      <c r="WRQ18" s="28" t="str">
        <f>IFERROR(IF(WRZ3="No",IF(VLOOKUP(DATE($K$1,$K$2,WRQ$4),Table1[],(MATCH(Calendar!$A18,DB!$1:$1,0)),FALSE)&gt;=5,"Good","Bad"),VLOOKUP(DATE($K$1,$K$2,WRQ$4),Table1[],(MATCH(Calendar!$A18,DB!$1:$1,0)),FALSE)),"")</f>
        <v/>
      </c>
      <c r="WRR18" s="28" t="str">
        <f>IFERROR(IF(WSA3="No",IF(VLOOKUP(DATE($K$1,$K$2,WRR$4),Table1[],(MATCH(Calendar!$A18,DB!$1:$1,0)),FALSE)&gt;=5,"Good","Bad"),VLOOKUP(DATE($K$1,$K$2,WRR$4),Table1[],(MATCH(Calendar!$A18,DB!$1:$1,0)),FALSE)),"")</f>
        <v/>
      </c>
      <c r="WRS18" s="28" t="str">
        <f>IFERROR(IF(WSB3="No",IF(VLOOKUP(DATE($K$1,$K$2,WRS$4),Table1[],(MATCH(Calendar!$A18,DB!$1:$1,0)),FALSE)&gt;=5,"Good","Bad"),VLOOKUP(DATE($K$1,$K$2,WRS$4),Table1[],(MATCH(Calendar!$A18,DB!$1:$1,0)),FALSE)),"")</f>
        <v/>
      </c>
      <c r="WRT18" s="28" t="str">
        <f>IFERROR(IF(WSC3="No",IF(VLOOKUP(DATE($K$1,$K$2,WRT$4),Table1[],(MATCH(Calendar!$A18,DB!$1:$1,0)),FALSE)&gt;=5,"Good","Bad"),VLOOKUP(DATE($K$1,$K$2,WRT$4),Table1[],(MATCH(Calendar!$A18,DB!$1:$1,0)),FALSE)),"")</f>
        <v/>
      </c>
      <c r="WRU18" s="28" t="str">
        <f>IFERROR(IF(WSD3="No",IF(VLOOKUP(DATE($K$1,$K$2,WRU$4),Table1[],(MATCH(Calendar!$A18,DB!$1:$1,0)),FALSE)&gt;=5,"Good","Bad"),VLOOKUP(DATE($K$1,$K$2,WRU$4),Table1[],(MATCH(Calendar!$A18,DB!$1:$1,0)),FALSE)),"")</f>
        <v/>
      </c>
      <c r="WRV18" s="28" t="str">
        <f>IFERROR(IF(WSE3="No",IF(VLOOKUP(DATE($K$1,$K$2,WRV$4),Table1[],(MATCH(Calendar!$A18,DB!$1:$1,0)),FALSE)&gt;=5,"Good","Bad"),VLOOKUP(DATE($K$1,$K$2,WRV$4),Table1[],(MATCH(Calendar!$A18,DB!$1:$1,0)),FALSE)),"")</f>
        <v/>
      </c>
      <c r="WRW18" s="28" t="str">
        <f>IFERROR(IF(WSF3="No",IF(VLOOKUP(DATE($K$1,$K$2,WRW$4),Table1[],(MATCH(Calendar!$A18,DB!$1:$1,0)),FALSE)&gt;=5,"Good","Bad"),VLOOKUP(DATE($K$1,$K$2,WRW$4),Table1[],(MATCH(Calendar!$A18,DB!$1:$1,0)),FALSE)),"")</f>
        <v/>
      </c>
      <c r="WRX18" s="28" t="str">
        <f>IFERROR(IF(WSG3="No",IF(VLOOKUP(DATE($K$1,$K$2,WRX$4),Table1[],(MATCH(Calendar!$A18,DB!$1:$1,0)),FALSE)&gt;=5,"Good","Bad"),VLOOKUP(DATE($K$1,$K$2,WRX$4),Table1[],(MATCH(Calendar!$A18,DB!$1:$1,0)),FALSE)),"")</f>
        <v/>
      </c>
      <c r="WRY18" s="28" t="str">
        <f>IFERROR(IF(WSH3="No",IF(VLOOKUP(DATE($K$1,$K$2,WRY$4),Table1[],(MATCH(Calendar!$A18,DB!$1:$1,0)),FALSE)&gt;=5,"Good","Bad"),VLOOKUP(DATE($K$1,$K$2,WRY$4),Table1[],(MATCH(Calendar!$A18,DB!$1:$1,0)),FALSE)),"")</f>
        <v/>
      </c>
      <c r="WRZ18" s="28" t="str">
        <f>IFERROR(IF(WSI3="No",IF(VLOOKUP(DATE($K$1,$K$2,WRZ$4),Table1[],(MATCH(Calendar!$A18,DB!$1:$1,0)),FALSE)&gt;=5,"Good","Bad"),VLOOKUP(DATE($K$1,$K$2,WRZ$4),Table1[],(MATCH(Calendar!$A18,DB!$1:$1,0)),FALSE)),"")</f>
        <v/>
      </c>
      <c r="WSA18" s="28" t="str">
        <f>IFERROR(IF(WSJ3="No",IF(VLOOKUP(DATE($K$1,$K$2,WSA$4),Table1[],(MATCH(Calendar!$A18,DB!$1:$1,0)),FALSE)&gt;=5,"Good","Bad"),VLOOKUP(DATE($K$1,$K$2,WSA$4),Table1[],(MATCH(Calendar!$A18,DB!$1:$1,0)),FALSE)),"")</f>
        <v/>
      </c>
      <c r="WSB18" s="28" t="str">
        <f>IFERROR(IF(WSK3="No",IF(VLOOKUP(DATE($K$1,$K$2,WSB$4),Table1[],(MATCH(Calendar!$A18,DB!$1:$1,0)),FALSE)&gt;=5,"Good","Bad"),VLOOKUP(DATE($K$1,$K$2,WSB$4),Table1[],(MATCH(Calendar!$A18,DB!$1:$1,0)),FALSE)),"")</f>
        <v/>
      </c>
      <c r="WSC18" s="28" t="str">
        <f>IFERROR(IF(WSL3="No",IF(VLOOKUP(DATE($K$1,$K$2,WSC$4),Table1[],(MATCH(Calendar!$A18,DB!$1:$1,0)),FALSE)&gt;=5,"Good","Bad"),VLOOKUP(DATE($K$1,$K$2,WSC$4),Table1[],(MATCH(Calendar!$A18,DB!$1:$1,0)),FALSE)),"")</f>
        <v/>
      </c>
      <c r="WSD18" s="28" t="str">
        <f>IFERROR(IF(WSM3="No",IF(VLOOKUP(DATE($K$1,$K$2,WSD$4),Table1[],(MATCH(Calendar!$A18,DB!$1:$1,0)),FALSE)&gt;=5,"Good","Bad"),VLOOKUP(DATE($K$1,$K$2,WSD$4),Table1[],(MATCH(Calendar!$A18,DB!$1:$1,0)),FALSE)),"")</f>
        <v/>
      </c>
      <c r="WSE18" s="28" t="str">
        <f>IFERROR(IF(WSN3="No",IF(VLOOKUP(DATE($K$1,$K$2,WSE$4),Table1[],(MATCH(Calendar!$A18,DB!$1:$1,0)),FALSE)&gt;=5,"Good","Bad"),VLOOKUP(DATE($K$1,$K$2,WSE$4),Table1[],(MATCH(Calendar!$A18,DB!$1:$1,0)),FALSE)),"")</f>
        <v/>
      </c>
      <c r="WSF18" s="28" t="str">
        <f>IFERROR(IF(WSO3="No",IF(VLOOKUP(DATE($K$1,$K$2,WSF$4),Table1[],(MATCH(Calendar!$A18,DB!$1:$1,0)),FALSE)&gt;=5,"Good","Bad"),VLOOKUP(DATE($K$1,$K$2,WSF$4),Table1[],(MATCH(Calendar!$A18,DB!$1:$1,0)),FALSE)),"")</f>
        <v/>
      </c>
      <c r="WSG18" s="28" t="str">
        <f>IFERROR(IF(WSP3="No",IF(VLOOKUP(DATE($K$1,$K$2,WSG$4),Table1[],(MATCH(Calendar!$A18,DB!$1:$1,0)),FALSE)&gt;=5,"Good","Bad"),VLOOKUP(DATE($K$1,$K$2,WSG$4),Table1[],(MATCH(Calendar!$A18,DB!$1:$1,0)),FALSE)),"")</f>
        <v/>
      </c>
      <c r="WSH18" s="28" t="str">
        <f>IFERROR(IF(WSQ3="No",IF(VLOOKUP(DATE($K$1,$K$2,WSH$4),Table1[],(MATCH(Calendar!$A18,DB!$1:$1,0)),FALSE)&gt;=5,"Good","Bad"),VLOOKUP(DATE($K$1,$K$2,WSH$4),Table1[],(MATCH(Calendar!$A18,DB!$1:$1,0)),FALSE)),"")</f>
        <v/>
      </c>
      <c r="WSI18" s="28" t="str">
        <f>IFERROR(IF(WSR3="No",IF(VLOOKUP(DATE($K$1,$K$2,WSI$4),Table1[],(MATCH(Calendar!$A18,DB!$1:$1,0)),FALSE)&gt;=5,"Good","Bad"),VLOOKUP(DATE($K$1,$K$2,WSI$4),Table1[],(MATCH(Calendar!$A18,DB!$1:$1,0)),FALSE)),"")</f>
        <v/>
      </c>
      <c r="WSJ18" s="28" t="str">
        <f>IFERROR(IF(WSS3="No",IF(VLOOKUP(DATE($K$1,$K$2,WSJ$4),Table1[],(MATCH(Calendar!$A18,DB!$1:$1,0)),FALSE)&gt;=5,"Good","Bad"),VLOOKUP(DATE($K$1,$K$2,WSJ$4),Table1[],(MATCH(Calendar!$A18,DB!$1:$1,0)),FALSE)),"")</f>
        <v/>
      </c>
      <c r="WSK18" s="28" t="str">
        <f>IFERROR(IF(WST3="No",IF(VLOOKUP(DATE($K$1,$K$2,WSK$4),Table1[],(MATCH(Calendar!$A18,DB!$1:$1,0)),FALSE)&gt;=5,"Good","Bad"),VLOOKUP(DATE($K$1,$K$2,WSK$4),Table1[],(MATCH(Calendar!$A18,DB!$1:$1,0)),FALSE)),"")</f>
        <v/>
      </c>
      <c r="WSL18" s="28" t="str">
        <f>IFERROR(IF(WSU3="No",IF(VLOOKUP(DATE($K$1,$K$2,WSL$4),Table1[],(MATCH(Calendar!$A18,DB!$1:$1,0)),FALSE)&gt;=5,"Good","Bad"),VLOOKUP(DATE($K$1,$K$2,WSL$4),Table1[],(MATCH(Calendar!$A18,DB!$1:$1,0)),FALSE)),"")</f>
        <v/>
      </c>
      <c r="WSM18" s="28" t="str">
        <f>IFERROR(IF(WSV3="No",IF(VLOOKUP(DATE($K$1,$K$2,WSM$4),Table1[],(MATCH(Calendar!$A18,DB!$1:$1,0)),FALSE)&gt;=5,"Good","Bad"),VLOOKUP(DATE($K$1,$K$2,WSM$4),Table1[],(MATCH(Calendar!$A18,DB!$1:$1,0)),FALSE)),"")</f>
        <v/>
      </c>
      <c r="WSN18" s="28" t="str">
        <f>IFERROR(IF(WSW3="No",IF(VLOOKUP(DATE($K$1,$K$2,WSN$4),Table1[],(MATCH(Calendar!$A18,DB!$1:$1,0)),FALSE)&gt;=5,"Good","Bad"),VLOOKUP(DATE($K$1,$K$2,WSN$4),Table1[],(MATCH(Calendar!$A18,DB!$1:$1,0)),FALSE)),"")</f>
        <v/>
      </c>
      <c r="WSO18" s="28" t="str">
        <f>IFERROR(IF(WSX3="No",IF(VLOOKUP(DATE($K$1,$K$2,WSO$4),Table1[],(MATCH(Calendar!$A18,DB!$1:$1,0)),FALSE)&gt;=5,"Good","Bad"),VLOOKUP(DATE($K$1,$K$2,WSO$4),Table1[],(MATCH(Calendar!$A18,DB!$1:$1,0)),FALSE)),"")</f>
        <v/>
      </c>
      <c r="WSP18" s="28" t="str">
        <f>IFERROR(IF(WSY3="No",IF(VLOOKUP(DATE($K$1,$K$2,WSP$4),Table1[],(MATCH(Calendar!$A18,DB!$1:$1,0)),FALSE)&gt;=5,"Good","Bad"),VLOOKUP(DATE($K$1,$K$2,WSP$4),Table1[],(MATCH(Calendar!$A18,DB!$1:$1,0)),FALSE)),"")</f>
        <v/>
      </c>
      <c r="WSQ18" s="28" t="str">
        <f>IFERROR(IF(WSZ3="No",IF(VLOOKUP(DATE($K$1,$K$2,WSQ$4),Table1[],(MATCH(Calendar!$A18,DB!$1:$1,0)),FALSE)&gt;=5,"Good","Bad"),VLOOKUP(DATE($K$1,$K$2,WSQ$4),Table1[],(MATCH(Calendar!$A18,DB!$1:$1,0)),FALSE)),"")</f>
        <v/>
      </c>
      <c r="WSR18" s="28" t="str">
        <f>IFERROR(IF(WTA3="No",IF(VLOOKUP(DATE($K$1,$K$2,WSR$4),Table1[],(MATCH(Calendar!$A18,DB!$1:$1,0)),FALSE)&gt;=5,"Good","Bad"),VLOOKUP(DATE($K$1,$K$2,WSR$4),Table1[],(MATCH(Calendar!$A18,DB!$1:$1,0)),FALSE)),"")</f>
        <v/>
      </c>
      <c r="WSS18" s="28" t="str">
        <f>IFERROR(IF(WTB3="No",IF(VLOOKUP(DATE($K$1,$K$2,WSS$4),Table1[],(MATCH(Calendar!$A18,DB!$1:$1,0)),FALSE)&gt;=5,"Good","Bad"),VLOOKUP(DATE($K$1,$K$2,WSS$4),Table1[],(MATCH(Calendar!$A18,DB!$1:$1,0)),FALSE)),"")</f>
        <v/>
      </c>
      <c r="WST18" s="28" t="str">
        <f>IFERROR(IF(WTC3="No",IF(VLOOKUP(DATE($K$1,$K$2,WST$4),Table1[],(MATCH(Calendar!$A18,DB!$1:$1,0)),FALSE)&gt;=5,"Good","Bad"),VLOOKUP(DATE($K$1,$K$2,WST$4),Table1[],(MATCH(Calendar!$A18,DB!$1:$1,0)),FALSE)),"")</f>
        <v/>
      </c>
      <c r="WSU18" s="28" t="str">
        <f>IFERROR(IF(WTD3="No",IF(VLOOKUP(DATE($K$1,$K$2,WSU$4),Table1[],(MATCH(Calendar!$A18,DB!$1:$1,0)),FALSE)&gt;=5,"Good","Bad"),VLOOKUP(DATE($K$1,$K$2,WSU$4),Table1[],(MATCH(Calendar!$A18,DB!$1:$1,0)),FALSE)),"")</f>
        <v/>
      </c>
      <c r="WSV18" s="28" t="str">
        <f>IFERROR(IF(WTE3="No",IF(VLOOKUP(DATE($K$1,$K$2,WSV$4),Table1[],(MATCH(Calendar!$A18,DB!$1:$1,0)),FALSE)&gt;=5,"Good","Bad"),VLOOKUP(DATE($K$1,$K$2,WSV$4),Table1[],(MATCH(Calendar!$A18,DB!$1:$1,0)),FALSE)),"")</f>
        <v/>
      </c>
      <c r="WSW18" s="28" t="str">
        <f>IFERROR(IF(WTF3="No",IF(VLOOKUP(DATE($K$1,$K$2,WSW$4),Table1[],(MATCH(Calendar!$A18,DB!$1:$1,0)),FALSE)&gt;=5,"Good","Bad"),VLOOKUP(DATE($K$1,$K$2,WSW$4),Table1[],(MATCH(Calendar!$A18,DB!$1:$1,0)),FALSE)),"")</f>
        <v/>
      </c>
      <c r="WSX18" s="28" t="str">
        <f>IFERROR(IF(WTG3="No",IF(VLOOKUP(DATE($K$1,$K$2,WSX$4),Table1[],(MATCH(Calendar!$A18,DB!$1:$1,0)),FALSE)&gt;=5,"Good","Bad"),VLOOKUP(DATE($K$1,$K$2,WSX$4),Table1[],(MATCH(Calendar!$A18,DB!$1:$1,0)),FALSE)),"")</f>
        <v/>
      </c>
      <c r="WSY18" s="28" t="str">
        <f>IFERROR(IF(WTH3="No",IF(VLOOKUP(DATE($K$1,$K$2,WSY$4),Table1[],(MATCH(Calendar!$A18,DB!$1:$1,0)),FALSE)&gt;=5,"Good","Bad"),VLOOKUP(DATE($K$1,$K$2,WSY$4),Table1[],(MATCH(Calendar!$A18,DB!$1:$1,0)),FALSE)),"")</f>
        <v/>
      </c>
      <c r="WSZ18" s="28" t="str">
        <f>IFERROR(IF(WTI3="No",IF(VLOOKUP(DATE($K$1,$K$2,WSZ$4),Table1[],(MATCH(Calendar!$A18,DB!$1:$1,0)),FALSE)&gt;=5,"Good","Bad"),VLOOKUP(DATE($K$1,$K$2,WSZ$4),Table1[],(MATCH(Calendar!$A18,DB!$1:$1,0)),FALSE)),"")</f>
        <v/>
      </c>
      <c r="WTA18" s="28" t="str">
        <f>IFERROR(IF(WTJ3="No",IF(VLOOKUP(DATE($K$1,$K$2,WTA$4),Table1[],(MATCH(Calendar!$A18,DB!$1:$1,0)),FALSE)&gt;=5,"Good","Bad"),VLOOKUP(DATE($K$1,$K$2,WTA$4),Table1[],(MATCH(Calendar!$A18,DB!$1:$1,0)),FALSE)),"")</f>
        <v/>
      </c>
      <c r="WTB18" s="28" t="str">
        <f>IFERROR(IF(WTK3="No",IF(VLOOKUP(DATE($K$1,$K$2,WTB$4),Table1[],(MATCH(Calendar!$A18,DB!$1:$1,0)),FALSE)&gt;=5,"Good","Bad"),VLOOKUP(DATE($K$1,$K$2,WTB$4),Table1[],(MATCH(Calendar!$A18,DB!$1:$1,0)),FALSE)),"")</f>
        <v/>
      </c>
      <c r="WTC18" s="28" t="str">
        <f>IFERROR(IF(WTL3="No",IF(VLOOKUP(DATE($K$1,$K$2,WTC$4),Table1[],(MATCH(Calendar!$A18,DB!$1:$1,0)),FALSE)&gt;=5,"Good","Bad"),VLOOKUP(DATE($K$1,$K$2,WTC$4),Table1[],(MATCH(Calendar!$A18,DB!$1:$1,0)),FALSE)),"")</f>
        <v/>
      </c>
      <c r="WTD18" s="28" t="str">
        <f>IFERROR(IF(WTM3="No",IF(VLOOKUP(DATE($K$1,$K$2,WTD$4),Table1[],(MATCH(Calendar!$A18,DB!$1:$1,0)),FALSE)&gt;=5,"Good","Bad"),VLOOKUP(DATE($K$1,$K$2,WTD$4),Table1[],(MATCH(Calendar!$A18,DB!$1:$1,0)),FALSE)),"")</f>
        <v/>
      </c>
      <c r="WTE18" s="28" t="str">
        <f>IFERROR(IF(WTN3="No",IF(VLOOKUP(DATE($K$1,$K$2,WTE$4),Table1[],(MATCH(Calendar!$A18,DB!$1:$1,0)),FALSE)&gt;=5,"Good","Bad"),VLOOKUP(DATE($K$1,$K$2,WTE$4),Table1[],(MATCH(Calendar!$A18,DB!$1:$1,0)),FALSE)),"")</f>
        <v/>
      </c>
      <c r="WTF18" s="28" t="str">
        <f>IFERROR(IF(WTO3="No",IF(VLOOKUP(DATE($K$1,$K$2,WTF$4),Table1[],(MATCH(Calendar!$A18,DB!$1:$1,0)),FALSE)&gt;=5,"Good","Bad"),VLOOKUP(DATE($K$1,$K$2,WTF$4),Table1[],(MATCH(Calendar!$A18,DB!$1:$1,0)),FALSE)),"")</f>
        <v/>
      </c>
      <c r="WTG18" s="28" t="str">
        <f>IFERROR(IF(WTP3="No",IF(VLOOKUP(DATE($K$1,$K$2,WTG$4),Table1[],(MATCH(Calendar!$A18,DB!$1:$1,0)),FALSE)&gt;=5,"Good","Bad"),VLOOKUP(DATE($K$1,$K$2,WTG$4),Table1[],(MATCH(Calendar!$A18,DB!$1:$1,0)),FALSE)),"")</f>
        <v/>
      </c>
      <c r="WTH18" s="28" t="str">
        <f>IFERROR(IF(WTQ3="No",IF(VLOOKUP(DATE($K$1,$K$2,WTH$4),Table1[],(MATCH(Calendar!$A18,DB!$1:$1,0)),FALSE)&gt;=5,"Good","Bad"),VLOOKUP(DATE($K$1,$K$2,WTH$4),Table1[],(MATCH(Calendar!$A18,DB!$1:$1,0)),FALSE)),"")</f>
        <v/>
      </c>
      <c r="WTI18" s="28" t="str">
        <f>IFERROR(IF(WTR3="No",IF(VLOOKUP(DATE($K$1,$K$2,WTI$4),Table1[],(MATCH(Calendar!$A18,DB!$1:$1,0)),FALSE)&gt;=5,"Good","Bad"),VLOOKUP(DATE($K$1,$K$2,WTI$4),Table1[],(MATCH(Calendar!$A18,DB!$1:$1,0)),FALSE)),"")</f>
        <v/>
      </c>
      <c r="WTJ18" s="28" t="str">
        <f>IFERROR(IF(WTS3="No",IF(VLOOKUP(DATE($K$1,$K$2,WTJ$4),Table1[],(MATCH(Calendar!$A18,DB!$1:$1,0)),FALSE)&gt;=5,"Good","Bad"),VLOOKUP(DATE($K$1,$K$2,WTJ$4),Table1[],(MATCH(Calendar!$A18,DB!$1:$1,0)),FALSE)),"")</f>
        <v/>
      </c>
      <c r="WTK18" s="28" t="str">
        <f>IFERROR(IF(WTT3="No",IF(VLOOKUP(DATE($K$1,$K$2,WTK$4),Table1[],(MATCH(Calendar!$A18,DB!$1:$1,0)),FALSE)&gt;=5,"Good","Bad"),VLOOKUP(DATE($K$1,$K$2,WTK$4),Table1[],(MATCH(Calendar!$A18,DB!$1:$1,0)),FALSE)),"")</f>
        <v/>
      </c>
      <c r="WTL18" s="28" t="str">
        <f>IFERROR(IF(WTU3="No",IF(VLOOKUP(DATE($K$1,$K$2,WTL$4),Table1[],(MATCH(Calendar!$A18,DB!$1:$1,0)),FALSE)&gt;=5,"Good","Bad"),VLOOKUP(DATE($K$1,$K$2,WTL$4),Table1[],(MATCH(Calendar!$A18,DB!$1:$1,0)),FALSE)),"")</f>
        <v/>
      </c>
      <c r="WTM18" s="28" t="str">
        <f>IFERROR(IF(WTV3="No",IF(VLOOKUP(DATE($K$1,$K$2,WTM$4),Table1[],(MATCH(Calendar!$A18,DB!$1:$1,0)),FALSE)&gt;=5,"Good","Bad"),VLOOKUP(DATE($K$1,$K$2,WTM$4),Table1[],(MATCH(Calendar!$A18,DB!$1:$1,0)),FALSE)),"")</f>
        <v/>
      </c>
      <c r="WTN18" s="28" t="str">
        <f>IFERROR(IF(WTW3="No",IF(VLOOKUP(DATE($K$1,$K$2,WTN$4),Table1[],(MATCH(Calendar!$A18,DB!$1:$1,0)),FALSE)&gt;=5,"Good","Bad"),VLOOKUP(DATE($K$1,$K$2,WTN$4),Table1[],(MATCH(Calendar!$A18,DB!$1:$1,0)),FALSE)),"")</f>
        <v/>
      </c>
      <c r="WTO18" s="28" t="str">
        <f>IFERROR(IF(WTX3="No",IF(VLOOKUP(DATE($K$1,$K$2,WTO$4),Table1[],(MATCH(Calendar!$A18,DB!$1:$1,0)),FALSE)&gt;=5,"Good","Bad"),VLOOKUP(DATE($K$1,$K$2,WTO$4),Table1[],(MATCH(Calendar!$A18,DB!$1:$1,0)),FALSE)),"")</f>
        <v/>
      </c>
      <c r="WTP18" s="28" t="str">
        <f>IFERROR(IF(WTY3="No",IF(VLOOKUP(DATE($K$1,$K$2,WTP$4),Table1[],(MATCH(Calendar!$A18,DB!$1:$1,0)),FALSE)&gt;=5,"Good","Bad"),VLOOKUP(DATE($K$1,$K$2,WTP$4),Table1[],(MATCH(Calendar!$A18,DB!$1:$1,0)),FALSE)),"")</f>
        <v/>
      </c>
      <c r="WTQ18" s="28" t="str">
        <f>IFERROR(IF(WTZ3="No",IF(VLOOKUP(DATE($K$1,$K$2,WTQ$4),Table1[],(MATCH(Calendar!$A18,DB!$1:$1,0)),FALSE)&gt;=5,"Good","Bad"),VLOOKUP(DATE($K$1,$K$2,WTQ$4),Table1[],(MATCH(Calendar!$A18,DB!$1:$1,0)),FALSE)),"")</f>
        <v/>
      </c>
      <c r="WTR18" s="28" t="str">
        <f>IFERROR(IF(WUA3="No",IF(VLOOKUP(DATE($K$1,$K$2,WTR$4),Table1[],(MATCH(Calendar!$A18,DB!$1:$1,0)),FALSE)&gt;=5,"Good","Bad"),VLOOKUP(DATE($K$1,$K$2,WTR$4),Table1[],(MATCH(Calendar!$A18,DB!$1:$1,0)),FALSE)),"")</f>
        <v/>
      </c>
      <c r="WTS18" s="28" t="str">
        <f>IFERROR(IF(WUB3="No",IF(VLOOKUP(DATE($K$1,$K$2,WTS$4),Table1[],(MATCH(Calendar!$A18,DB!$1:$1,0)),FALSE)&gt;=5,"Good","Bad"),VLOOKUP(DATE($K$1,$K$2,WTS$4),Table1[],(MATCH(Calendar!$A18,DB!$1:$1,0)),FALSE)),"")</f>
        <v/>
      </c>
      <c r="WTT18" s="28" t="str">
        <f>IFERROR(IF(WUC3="No",IF(VLOOKUP(DATE($K$1,$K$2,WTT$4),Table1[],(MATCH(Calendar!$A18,DB!$1:$1,0)),FALSE)&gt;=5,"Good","Bad"),VLOOKUP(DATE($K$1,$K$2,WTT$4),Table1[],(MATCH(Calendar!$A18,DB!$1:$1,0)),FALSE)),"")</f>
        <v/>
      </c>
      <c r="WTU18" s="28" t="str">
        <f>IFERROR(IF(WUD3="No",IF(VLOOKUP(DATE($K$1,$K$2,WTU$4),Table1[],(MATCH(Calendar!$A18,DB!$1:$1,0)),FALSE)&gt;=5,"Good","Bad"),VLOOKUP(DATE($K$1,$K$2,WTU$4),Table1[],(MATCH(Calendar!$A18,DB!$1:$1,0)),FALSE)),"")</f>
        <v/>
      </c>
      <c r="WTV18" s="28" t="str">
        <f>IFERROR(IF(WUE3="No",IF(VLOOKUP(DATE($K$1,$K$2,WTV$4),Table1[],(MATCH(Calendar!$A18,DB!$1:$1,0)),FALSE)&gt;=5,"Good","Bad"),VLOOKUP(DATE($K$1,$K$2,WTV$4),Table1[],(MATCH(Calendar!$A18,DB!$1:$1,0)),FALSE)),"")</f>
        <v/>
      </c>
      <c r="WTW18" s="28" t="str">
        <f>IFERROR(IF(WUF3="No",IF(VLOOKUP(DATE($K$1,$K$2,WTW$4),Table1[],(MATCH(Calendar!$A18,DB!$1:$1,0)),FALSE)&gt;=5,"Good","Bad"),VLOOKUP(DATE($K$1,$K$2,WTW$4),Table1[],(MATCH(Calendar!$A18,DB!$1:$1,0)),FALSE)),"")</f>
        <v/>
      </c>
      <c r="WTX18" s="28" t="str">
        <f>IFERROR(IF(WUG3="No",IF(VLOOKUP(DATE($K$1,$K$2,WTX$4),Table1[],(MATCH(Calendar!$A18,DB!$1:$1,0)),FALSE)&gt;=5,"Good","Bad"),VLOOKUP(DATE($K$1,$K$2,WTX$4),Table1[],(MATCH(Calendar!$A18,DB!$1:$1,0)),FALSE)),"")</f>
        <v/>
      </c>
      <c r="WTY18" s="28" t="str">
        <f>IFERROR(IF(WUH3="No",IF(VLOOKUP(DATE($K$1,$K$2,WTY$4),Table1[],(MATCH(Calendar!$A18,DB!$1:$1,0)),FALSE)&gt;=5,"Good","Bad"),VLOOKUP(DATE($K$1,$K$2,WTY$4),Table1[],(MATCH(Calendar!$A18,DB!$1:$1,0)),FALSE)),"")</f>
        <v/>
      </c>
      <c r="WTZ18" s="28" t="str">
        <f>IFERROR(IF(WUI3="No",IF(VLOOKUP(DATE($K$1,$K$2,WTZ$4),Table1[],(MATCH(Calendar!$A18,DB!$1:$1,0)),FALSE)&gt;=5,"Good","Bad"),VLOOKUP(DATE($K$1,$K$2,WTZ$4),Table1[],(MATCH(Calendar!$A18,DB!$1:$1,0)),FALSE)),"")</f>
        <v/>
      </c>
      <c r="WUA18" s="28" t="str">
        <f>IFERROR(IF(WUJ3="No",IF(VLOOKUP(DATE($K$1,$K$2,WUA$4),Table1[],(MATCH(Calendar!$A18,DB!$1:$1,0)),FALSE)&gt;=5,"Good","Bad"),VLOOKUP(DATE($K$1,$K$2,WUA$4),Table1[],(MATCH(Calendar!$A18,DB!$1:$1,0)),FALSE)),"")</f>
        <v/>
      </c>
      <c r="WUB18" s="28" t="str">
        <f>IFERROR(IF(WUK3="No",IF(VLOOKUP(DATE($K$1,$K$2,WUB$4),Table1[],(MATCH(Calendar!$A18,DB!$1:$1,0)),FALSE)&gt;=5,"Good","Bad"),VLOOKUP(DATE($K$1,$K$2,WUB$4),Table1[],(MATCH(Calendar!$A18,DB!$1:$1,0)),FALSE)),"")</f>
        <v/>
      </c>
      <c r="WUC18" s="28" t="str">
        <f>IFERROR(IF(WUL3="No",IF(VLOOKUP(DATE($K$1,$K$2,WUC$4),Table1[],(MATCH(Calendar!$A18,DB!$1:$1,0)),FALSE)&gt;=5,"Good","Bad"),VLOOKUP(DATE($K$1,$K$2,WUC$4),Table1[],(MATCH(Calendar!$A18,DB!$1:$1,0)),FALSE)),"")</f>
        <v/>
      </c>
      <c r="WUD18" s="28" t="str">
        <f>IFERROR(IF(WUM3="No",IF(VLOOKUP(DATE($K$1,$K$2,WUD$4),Table1[],(MATCH(Calendar!$A18,DB!$1:$1,0)),FALSE)&gt;=5,"Good","Bad"),VLOOKUP(DATE($K$1,$K$2,WUD$4),Table1[],(MATCH(Calendar!$A18,DB!$1:$1,0)),FALSE)),"")</f>
        <v/>
      </c>
      <c r="WUE18" s="28" t="str">
        <f>IFERROR(IF(WUN3="No",IF(VLOOKUP(DATE($K$1,$K$2,WUE$4),Table1[],(MATCH(Calendar!$A18,DB!$1:$1,0)),FALSE)&gt;=5,"Good","Bad"),VLOOKUP(DATE($K$1,$K$2,WUE$4),Table1[],(MATCH(Calendar!$A18,DB!$1:$1,0)),FALSE)),"")</f>
        <v/>
      </c>
      <c r="WUF18" s="28" t="str">
        <f>IFERROR(IF(WUO3="No",IF(VLOOKUP(DATE($K$1,$K$2,WUF$4),Table1[],(MATCH(Calendar!$A18,DB!$1:$1,0)),FALSE)&gt;=5,"Good","Bad"),VLOOKUP(DATE($K$1,$K$2,WUF$4),Table1[],(MATCH(Calendar!$A18,DB!$1:$1,0)),FALSE)),"")</f>
        <v/>
      </c>
      <c r="WUG18" s="28" t="str">
        <f>IFERROR(IF(WUP3="No",IF(VLOOKUP(DATE($K$1,$K$2,WUG$4),Table1[],(MATCH(Calendar!$A18,DB!$1:$1,0)),FALSE)&gt;=5,"Good","Bad"),VLOOKUP(DATE($K$1,$K$2,WUG$4),Table1[],(MATCH(Calendar!$A18,DB!$1:$1,0)),FALSE)),"")</f>
        <v/>
      </c>
      <c r="WUH18" s="28" t="str">
        <f>IFERROR(IF(WUQ3="No",IF(VLOOKUP(DATE($K$1,$K$2,WUH$4),Table1[],(MATCH(Calendar!$A18,DB!$1:$1,0)),FALSE)&gt;=5,"Good","Bad"),VLOOKUP(DATE($K$1,$K$2,WUH$4),Table1[],(MATCH(Calendar!$A18,DB!$1:$1,0)),FALSE)),"")</f>
        <v/>
      </c>
      <c r="WUI18" s="28" t="str">
        <f>IFERROR(IF(WUR3="No",IF(VLOOKUP(DATE($K$1,$K$2,WUI$4),Table1[],(MATCH(Calendar!$A18,DB!$1:$1,0)),FALSE)&gt;=5,"Good","Bad"),VLOOKUP(DATE($K$1,$K$2,WUI$4),Table1[],(MATCH(Calendar!$A18,DB!$1:$1,0)),FALSE)),"")</f>
        <v/>
      </c>
      <c r="WUJ18" s="28" t="str">
        <f>IFERROR(IF(WUS3="No",IF(VLOOKUP(DATE($K$1,$K$2,WUJ$4),Table1[],(MATCH(Calendar!$A18,DB!$1:$1,0)),FALSE)&gt;=5,"Good","Bad"),VLOOKUP(DATE($K$1,$K$2,WUJ$4),Table1[],(MATCH(Calendar!$A18,DB!$1:$1,0)),FALSE)),"")</f>
        <v/>
      </c>
      <c r="WUK18" s="28" t="str">
        <f>IFERROR(IF(WUT3="No",IF(VLOOKUP(DATE($K$1,$K$2,WUK$4),Table1[],(MATCH(Calendar!$A18,DB!$1:$1,0)),FALSE)&gt;=5,"Good","Bad"),VLOOKUP(DATE($K$1,$K$2,WUK$4),Table1[],(MATCH(Calendar!$A18,DB!$1:$1,0)),FALSE)),"")</f>
        <v/>
      </c>
      <c r="WUL18" s="28" t="str">
        <f>IFERROR(IF(WUU3="No",IF(VLOOKUP(DATE($K$1,$K$2,WUL$4),Table1[],(MATCH(Calendar!$A18,DB!$1:$1,0)),FALSE)&gt;=5,"Good","Bad"),VLOOKUP(DATE($K$1,$K$2,WUL$4),Table1[],(MATCH(Calendar!$A18,DB!$1:$1,0)),FALSE)),"")</f>
        <v/>
      </c>
      <c r="WUM18" s="28" t="str">
        <f>IFERROR(IF(WUV3="No",IF(VLOOKUP(DATE($K$1,$K$2,WUM$4),Table1[],(MATCH(Calendar!$A18,DB!$1:$1,0)),FALSE)&gt;=5,"Good","Bad"),VLOOKUP(DATE($K$1,$K$2,WUM$4),Table1[],(MATCH(Calendar!$A18,DB!$1:$1,0)),FALSE)),"")</f>
        <v/>
      </c>
      <c r="WUN18" s="28" t="str">
        <f>IFERROR(IF(WUW3="No",IF(VLOOKUP(DATE($K$1,$K$2,WUN$4),Table1[],(MATCH(Calendar!$A18,DB!$1:$1,0)),FALSE)&gt;=5,"Good","Bad"),VLOOKUP(DATE($K$1,$K$2,WUN$4),Table1[],(MATCH(Calendar!$A18,DB!$1:$1,0)),FALSE)),"")</f>
        <v/>
      </c>
      <c r="WUO18" s="28" t="str">
        <f>IFERROR(IF(WUX3="No",IF(VLOOKUP(DATE($K$1,$K$2,WUO$4),Table1[],(MATCH(Calendar!$A18,DB!$1:$1,0)),FALSE)&gt;=5,"Good","Bad"),VLOOKUP(DATE($K$1,$K$2,WUO$4),Table1[],(MATCH(Calendar!$A18,DB!$1:$1,0)),FALSE)),"")</f>
        <v/>
      </c>
      <c r="WUP18" s="28" t="str">
        <f>IFERROR(IF(WUY3="No",IF(VLOOKUP(DATE($K$1,$K$2,WUP$4),Table1[],(MATCH(Calendar!$A18,DB!$1:$1,0)),FALSE)&gt;=5,"Good","Bad"),VLOOKUP(DATE($K$1,$K$2,WUP$4),Table1[],(MATCH(Calendar!$A18,DB!$1:$1,0)),FALSE)),"")</f>
        <v/>
      </c>
      <c r="WUQ18" s="28" t="str">
        <f>IFERROR(IF(WUZ3="No",IF(VLOOKUP(DATE($K$1,$K$2,WUQ$4),Table1[],(MATCH(Calendar!$A18,DB!$1:$1,0)),FALSE)&gt;=5,"Good","Bad"),VLOOKUP(DATE($K$1,$K$2,WUQ$4),Table1[],(MATCH(Calendar!$A18,DB!$1:$1,0)),FALSE)),"")</f>
        <v/>
      </c>
      <c r="WUR18" s="28" t="str">
        <f>IFERROR(IF(WVA3="No",IF(VLOOKUP(DATE($K$1,$K$2,WUR$4),Table1[],(MATCH(Calendar!$A18,DB!$1:$1,0)),FALSE)&gt;=5,"Good","Bad"),VLOOKUP(DATE($K$1,$K$2,WUR$4),Table1[],(MATCH(Calendar!$A18,DB!$1:$1,0)),FALSE)),"")</f>
        <v/>
      </c>
      <c r="WUS18" s="28" t="str">
        <f>IFERROR(IF(WVB3="No",IF(VLOOKUP(DATE($K$1,$K$2,WUS$4),Table1[],(MATCH(Calendar!$A18,DB!$1:$1,0)),FALSE)&gt;=5,"Good","Bad"),VLOOKUP(DATE($K$1,$K$2,WUS$4),Table1[],(MATCH(Calendar!$A18,DB!$1:$1,0)),FALSE)),"")</f>
        <v/>
      </c>
      <c r="WUT18" s="28" t="str">
        <f>IFERROR(IF(WVC3="No",IF(VLOOKUP(DATE($K$1,$K$2,WUT$4),Table1[],(MATCH(Calendar!$A18,DB!$1:$1,0)),FALSE)&gt;=5,"Good","Bad"),VLOOKUP(DATE($K$1,$K$2,WUT$4),Table1[],(MATCH(Calendar!$A18,DB!$1:$1,0)),FALSE)),"")</f>
        <v/>
      </c>
      <c r="WUU18" s="28" t="str">
        <f>IFERROR(IF(WVD3="No",IF(VLOOKUP(DATE($K$1,$K$2,WUU$4),Table1[],(MATCH(Calendar!$A18,DB!$1:$1,0)),FALSE)&gt;=5,"Good","Bad"),VLOOKUP(DATE($K$1,$K$2,WUU$4),Table1[],(MATCH(Calendar!$A18,DB!$1:$1,0)),FALSE)),"")</f>
        <v/>
      </c>
      <c r="WUV18" s="28" t="str">
        <f>IFERROR(IF(WVE3="No",IF(VLOOKUP(DATE($K$1,$K$2,WUV$4),Table1[],(MATCH(Calendar!$A18,DB!$1:$1,0)),FALSE)&gt;=5,"Good","Bad"),VLOOKUP(DATE($K$1,$K$2,WUV$4),Table1[],(MATCH(Calendar!$A18,DB!$1:$1,0)),FALSE)),"")</f>
        <v/>
      </c>
      <c r="WUW18" s="28" t="str">
        <f>IFERROR(IF(WVF3="No",IF(VLOOKUP(DATE($K$1,$K$2,WUW$4),Table1[],(MATCH(Calendar!$A18,DB!$1:$1,0)),FALSE)&gt;=5,"Good","Bad"),VLOOKUP(DATE($K$1,$K$2,WUW$4),Table1[],(MATCH(Calendar!$A18,DB!$1:$1,0)),FALSE)),"")</f>
        <v/>
      </c>
      <c r="WUX18" s="28" t="str">
        <f>IFERROR(IF(WVG3="No",IF(VLOOKUP(DATE($K$1,$K$2,WUX$4),Table1[],(MATCH(Calendar!$A18,DB!$1:$1,0)),FALSE)&gt;=5,"Good","Bad"),VLOOKUP(DATE($K$1,$K$2,WUX$4),Table1[],(MATCH(Calendar!$A18,DB!$1:$1,0)),FALSE)),"")</f>
        <v/>
      </c>
      <c r="WUY18" s="28" t="str">
        <f>IFERROR(IF(WVH3="No",IF(VLOOKUP(DATE($K$1,$K$2,WUY$4),Table1[],(MATCH(Calendar!$A18,DB!$1:$1,0)),FALSE)&gt;=5,"Good","Bad"),VLOOKUP(DATE($K$1,$K$2,WUY$4),Table1[],(MATCH(Calendar!$A18,DB!$1:$1,0)),FALSE)),"")</f>
        <v/>
      </c>
      <c r="WUZ18" s="28" t="str">
        <f>IFERROR(IF(WVI3="No",IF(VLOOKUP(DATE($K$1,$K$2,WUZ$4),Table1[],(MATCH(Calendar!$A18,DB!$1:$1,0)),FALSE)&gt;=5,"Good","Bad"),VLOOKUP(DATE($K$1,$K$2,WUZ$4),Table1[],(MATCH(Calendar!$A18,DB!$1:$1,0)),FALSE)),"")</f>
        <v/>
      </c>
      <c r="WVA18" s="28" t="str">
        <f>IFERROR(IF(WVJ3="No",IF(VLOOKUP(DATE($K$1,$K$2,WVA$4),Table1[],(MATCH(Calendar!$A18,DB!$1:$1,0)),FALSE)&gt;=5,"Good","Bad"),VLOOKUP(DATE($K$1,$K$2,WVA$4),Table1[],(MATCH(Calendar!$A18,DB!$1:$1,0)),FALSE)),"")</f>
        <v/>
      </c>
      <c r="WVB18" s="28" t="str">
        <f>IFERROR(IF(WVK3="No",IF(VLOOKUP(DATE($K$1,$K$2,WVB$4),Table1[],(MATCH(Calendar!$A18,DB!$1:$1,0)),FALSE)&gt;=5,"Good","Bad"),VLOOKUP(DATE($K$1,$K$2,WVB$4),Table1[],(MATCH(Calendar!$A18,DB!$1:$1,0)),FALSE)),"")</f>
        <v/>
      </c>
      <c r="WVC18" s="28" t="str">
        <f>IFERROR(IF(WVL3="No",IF(VLOOKUP(DATE($K$1,$K$2,WVC$4),Table1[],(MATCH(Calendar!$A18,DB!$1:$1,0)),FALSE)&gt;=5,"Good","Bad"),VLOOKUP(DATE($K$1,$K$2,WVC$4),Table1[],(MATCH(Calendar!$A18,DB!$1:$1,0)),FALSE)),"")</f>
        <v/>
      </c>
      <c r="WVD18" s="28" t="str">
        <f>IFERROR(IF(WVM3="No",IF(VLOOKUP(DATE($K$1,$K$2,WVD$4),Table1[],(MATCH(Calendar!$A18,DB!$1:$1,0)),FALSE)&gt;=5,"Good","Bad"),VLOOKUP(DATE($K$1,$K$2,WVD$4),Table1[],(MATCH(Calendar!$A18,DB!$1:$1,0)),FALSE)),"")</f>
        <v/>
      </c>
      <c r="WVE18" s="28" t="str">
        <f>IFERROR(IF(WVN3="No",IF(VLOOKUP(DATE($K$1,$K$2,WVE$4),Table1[],(MATCH(Calendar!$A18,DB!$1:$1,0)),FALSE)&gt;=5,"Good","Bad"),VLOOKUP(DATE($K$1,$K$2,WVE$4),Table1[],(MATCH(Calendar!$A18,DB!$1:$1,0)),FALSE)),"")</f>
        <v/>
      </c>
      <c r="WVF18" s="28" t="str">
        <f>IFERROR(IF(WVO3="No",IF(VLOOKUP(DATE($K$1,$K$2,WVF$4),Table1[],(MATCH(Calendar!$A18,DB!$1:$1,0)),FALSE)&gt;=5,"Good","Bad"),VLOOKUP(DATE($K$1,$K$2,WVF$4),Table1[],(MATCH(Calendar!$A18,DB!$1:$1,0)),FALSE)),"")</f>
        <v/>
      </c>
      <c r="WVG18" s="28" t="str">
        <f>IFERROR(IF(WVP3="No",IF(VLOOKUP(DATE($K$1,$K$2,WVG$4),Table1[],(MATCH(Calendar!$A18,DB!$1:$1,0)),FALSE)&gt;=5,"Good","Bad"),VLOOKUP(DATE($K$1,$K$2,WVG$4),Table1[],(MATCH(Calendar!$A18,DB!$1:$1,0)),FALSE)),"")</f>
        <v/>
      </c>
      <c r="WVH18" s="28" t="str">
        <f>IFERROR(IF(WVQ3="No",IF(VLOOKUP(DATE($K$1,$K$2,WVH$4),Table1[],(MATCH(Calendar!$A18,DB!$1:$1,0)),FALSE)&gt;=5,"Good","Bad"),VLOOKUP(DATE($K$1,$K$2,WVH$4),Table1[],(MATCH(Calendar!$A18,DB!$1:$1,0)),FALSE)),"")</f>
        <v/>
      </c>
      <c r="WVI18" s="28" t="str">
        <f>IFERROR(IF(WVR3="No",IF(VLOOKUP(DATE($K$1,$K$2,WVI$4),Table1[],(MATCH(Calendar!$A18,DB!$1:$1,0)),FALSE)&gt;=5,"Good","Bad"),VLOOKUP(DATE($K$1,$K$2,WVI$4),Table1[],(MATCH(Calendar!$A18,DB!$1:$1,0)),FALSE)),"")</f>
        <v/>
      </c>
      <c r="WVJ18" s="28" t="str">
        <f>IFERROR(IF(WVS3="No",IF(VLOOKUP(DATE($K$1,$K$2,WVJ$4),Table1[],(MATCH(Calendar!$A18,DB!$1:$1,0)),FALSE)&gt;=5,"Good","Bad"),VLOOKUP(DATE($K$1,$K$2,WVJ$4),Table1[],(MATCH(Calendar!$A18,DB!$1:$1,0)),FALSE)),"")</f>
        <v/>
      </c>
      <c r="WVK18" s="28" t="str">
        <f>IFERROR(IF(WVT3="No",IF(VLOOKUP(DATE($K$1,$K$2,WVK$4),Table1[],(MATCH(Calendar!$A18,DB!$1:$1,0)),FALSE)&gt;=5,"Good","Bad"),VLOOKUP(DATE($K$1,$K$2,WVK$4),Table1[],(MATCH(Calendar!$A18,DB!$1:$1,0)),FALSE)),"")</f>
        <v/>
      </c>
      <c r="WVL18" s="28" t="str">
        <f>IFERROR(IF(WVU3="No",IF(VLOOKUP(DATE($K$1,$K$2,WVL$4),Table1[],(MATCH(Calendar!$A18,DB!$1:$1,0)),FALSE)&gt;=5,"Good","Bad"),VLOOKUP(DATE($K$1,$K$2,WVL$4),Table1[],(MATCH(Calendar!$A18,DB!$1:$1,0)),FALSE)),"")</f>
        <v/>
      </c>
      <c r="WVM18" s="28" t="str">
        <f>IFERROR(IF(WVV3="No",IF(VLOOKUP(DATE($K$1,$K$2,WVM$4),Table1[],(MATCH(Calendar!$A18,DB!$1:$1,0)),FALSE)&gt;=5,"Good","Bad"),VLOOKUP(DATE($K$1,$K$2,WVM$4),Table1[],(MATCH(Calendar!$A18,DB!$1:$1,0)),FALSE)),"")</f>
        <v/>
      </c>
      <c r="WVN18" s="28" t="str">
        <f>IFERROR(IF(WVW3="No",IF(VLOOKUP(DATE($K$1,$K$2,WVN$4),Table1[],(MATCH(Calendar!$A18,DB!$1:$1,0)),FALSE)&gt;=5,"Good","Bad"),VLOOKUP(DATE($K$1,$K$2,WVN$4),Table1[],(MATCH(Calendar!$A18,DB!$1:$1,0)),FALSE)),"")</f>
        <v/>
      </c>
      <c r="WVO18" s="28" t="str">
        <f>IFERROR(IF(WVX3="No",IF(VLOOKUP(DATE($K$1,$K$2,WVO$4),Table1[],(MATCH(Calendar!$A18,DB!$1:$1,0)),FALSE)&gt;=5,"Good","Bad"),VLOOKUP(DATE($K$1,$K$2,WVO$4),Table1[],(MATCH(Calendar!$A18,DB!$1:$1,0)),FALSE)),"")</f>
        <v/>
      </c>
      <c r="WVP18" s="28" t="str">
        <f>IFERROR(IF(WVY3="No",IF(VLOOKUP(DATE($K$1,$K$2,WVP$4),Table1[],(MATCH(Calendar!$A18,DB!$1:$1,0)),FALSE)&gt;=5,"Good","Bad"),VLOOKUP(DATE($K$1,$K$2,WVP$4),Table1[],(MATCH(Calendar!$A18,DB!$1:$1,0)),FALSE)),"")</f>
        <v/>
      </c>
      <c r="WVQ18" s="28" t="str">
        <f>IFERROR(IF(WVZ3="No",IF(VLOOKUP(DATE($K$1,$K$2,WVQ$4),Table1[],(MATCH(Calendar!$A18,DB!$1:$1,0)),FALSE)&gt;=5,"Good","Bad"),VLOOKUP(DATE($K$1,$K$2,WVQ$4),Table1[],(MATCH(Calendar!$A18,DB!$1:$1,0)),FALSE)),"")</f>
        <v/>
      </c>
      <c r="WVR18" s="28" t="str">
        <f>IFERROR(IF(WWA3="No",IF(VLOOKUP(DATE($K$1,$K$2,WVR$4),Table1[],(MATCH(Calendar!$A18,DB!$1:$1,0)),FALSE)&gt;=5,"Good","Bad"),VLOOKUP(DATE($K$1,$K$2,WVR$4),Table1[],(MATCH(Calendar!$A18,DB!$1:$1,0)),FALSE)),"")</f>
        <v/>
      </c>
      <c r="WVS18" s="28" t="str">
        <f>IFERROR(IF(WWB3="No",IF(VLOOKUP(DATE($K$1,$K$2,WVS$4),Table1[],(MATCH(Calendar!$A18,DB!$1:$1,0)),FALSE)&gt;=5,"Good","Bad"),VLOOKUP(DATE($K$1,$K$2,WVS$4),Table1[],(MATCH(Calendar!$A18,DB!$1:$1,0)),FALSE)),"")</f>
        <v/>
      </c>
      <c r="WVT18" s="28" t="str">
        <f>IFERROR(IF(WWC3="No",IF(VLOOKUP(DATE($K$1,$K$2,WVT$4),Table1[],(MATCH(Calendar!$A18,DB!$1:$1,0)),FALSE)&gt;=5,"Good","Bad"),VLOOKUP(DATE($K$1,$K$2,WVT$4),Table1[],(MATCH(Calendar!$A18,DB!$1:$1,0)),FALSE)),"")</f>
        <v/>
      </c>
      <c r="WVU18" s="28" t="str">
        <f>IFERROR(IF(WWD3="No",IF(VLOOKUP(DATE($K$1,$K$2,WVU$4),Table1[],(MATCH(Calendar!$A18,DB!$1:$1,0)),FALSE)&gt;=5,"Good","Bad"),VLOOKUP(DATE($K$1,$K$2,WVU$4),Table1[],(MATCH(Calendar!$A18,DB!$1:$1,0)),FALSE)),"")</f>
        <v/>
      </c>
      <c r="WVV18" s="28" t="str">
        <f>IFERROR(IF(WWE3="No",IF(VLOOKUP(DATE($K$1,$K$2,WVV$4),Table1[],(MATCH(Calendar!$A18,DB!$1:$1,0)),FALSE)&gt;=5,"Good","Bad"),VLOOKUP(DATE($K$1,$K$2,WVV$4),Table1[],(MATCH(Calendar!$A18,DB!$1:$1,0)),FALSE)),"")</f>
        <v/>
      </c>
      <c r="WVW18" s="28" t="str">
        <f>IFERROR(IF(WWF3="No",IF(VLOOKUP(DATE($K$1,$K$2,WVW$4),Table1[],(MATCH(Calendar!$A18,DB!$1:$1,0)),FALSE)&gt;=5,"Good","Bad"),VLOOKUP(DATE($K$1,$K$2,WVW$4),Table1[],(MATCH(Calendar!$A18,DB!$1:$1,0)),FALSE)),"")</f>
        <v/>
      </c>
      <c r="WVX18" s="28" t="str">
        <f>IFERROR(IF(WWG3="No",IF(VLOOKUP(DATE($K$1,$K$2,WVX$4),Table1[],(MATCH(Calendar!$A18,DB!$1:$1,0)),FALSE)&gt;=5,"Good","Bad"),VLOOKUP(DATE($K$1,$K$2,WVX$4),Table1[],(MATCH(Calendar!$A18,DB!$1:$1,0)),FALSE)),"")</f>
        <v/>
      </c>
      <c r="WVY18" s="28" t="str">
        <f>IFERROR(IF(WWH3="No",IF(VLOOKUP(DATE($K$1,$K$2,WVY$4),Table1[],(MATCH(Calendar!$A18,DB!$1:$1,0)),FALSE)&gt;=5,"Good","Bad"),VLOOKUP(DATE($K$1,$K$2,WVY$4),Table1[],(MATCH(Calendar!$A18,DB!$1:$1,0)),FALSE)),"")</f>
        <v/>
      </c>
      <c r="WVZ18" s="28" t="str">
        <f>IFERROR(IF(WWI3="No",IF(VLOOKUP(DATE($K$1,$K$2,WVZ$4),Table1[],(MATCH(Calendar!$A18,DB!$1:$1,0)),FALSE)&gt;=5,"Good","Bad"),VLOOKUP(DATE($K$1,$K$2,WVZ$4),Table1[],(MATCH(Calendar!$A18,DB!$1:$1,0)),FALSE)),"")</f>
        <v/>
      </c>
      <c r="WWA18" s="28" t="str">
        <f>IFERROR(IF(WWJ3="No",IF(VLOOKUP(DATE($K$1,$K$2,WWA$4),Table1[],(MATCH(Calendar!$A18,DB!$1:$1,0)),FALSE)&gt;=5,"Good","Bad"),VLOOKUP(DATE($K$1,$K$2,WWA$4),Table1[],(MATCH(Calendar!$A18,DB!$1:$1,0)),FALSE)),"")</f>
        <v/>
      </c>
      <c r="WWB18" s="28" t="str">
        <f>IFERROR(IF(WWK3="No",IF(VLOOKUP(DATE($K$1,$K$2,WWB$4),Table1[],(MATCH(Calendar!$A18,DB!$1:$1,0)),FALSE)&gt;=5,"Good","Bad"),VLOOKUP(DATE($K$1,$K$2,WWB$4),Table1[],(MATCH(Calendar!$A18,DB!$1:$1,0)),FALSE)),"")</f>
        <v/>
      </c>
      <c r="WWC18" s="28" t="str">
        <f>IFERROR(IF(WWL3="No",IF(VLOOKUP(DATE($K$1,$K$2,WWC$4),Table1[],(MATCH(Calendar!$A18,DB!$1:$1,0)),FALSE)&gt;=5,"Good","Bad"),VLOOKUP(DATE($K$1,$K$2,WWC$4),Table1[],(MATCH(Calendar!$A18,DB!$1:$1,0)),FALSE)),"")</f>
        <v/>
      </c>
      <c r="WWD18" s="28" t="str">
        <f>IFERROR(IF(WWM3="No",IF(VLOOKUP(DATE($K$1,$K$2,WWD$4),Table1[],(MATCH(Calendar!$A18,DB!$1:$1,0)),FALSE)&gt;=5,"Good","Bad"),VLOOKUP(DATE($K$1,$K$2,WWD$4),Table1[],(MATCH(Calendar!$A18,DB!$1:$1,0)),FALSE)),"")</f>
        <v/>
      </c>
      <c r="WWE18" s="28" t="str">
        <f>IFERROR(IF(WWN3="No",IF(VLOOKUP(DATE($K$1,$K$2,WWE$4),Table1[],(MATCH(Calendar!$A18,DB!$1:$1,0)),FALSE)&gt;=5,"Good","Bad"),VLOOKUP(DATE($K$1,$K$2,WWE$4),Table1[],(MATCH(Calendar!$A18,DB!$1:$1,0)),FALSE)),"")</f>
        <v/>
      </c>
      <c r="WWF18" s="28" t="str">
        <f>IFERROR(IF(WWO3="No",IF(VLOOKUP(DATE($K$1,$K$2,WWF$4),Table1[],(MATCH(Calendar!$A18,DB!$1:$1,0)),FALSE)&gt;=5,"Good","Bad"),VLOOKUP(DATE($K$1,$K$2,WWF$4),Table1[],(MATCH(Calendar!$A18,DB!$1:$1,0)),FALSE)),"")</f>
        <v/>
      </c>
      <c r="WWG18" s="28" t="str">
        <f>IFERROR(IF(WWP3="No",IF(VLOOKUP(DATE($K$1,$K$2,WWG$4),Table1[],(MATCH(Calendar!$A18,DB!$1:$1,0)),FALSE)&gt;=5,"Good","Bad"),VLOOKUP(DATE($K$1,$K$2,WWG$4),Table1[],(MATCH(Calendar!$A18,DB!$1:$1,0)),FALSE)),"")</f>
        <v/>
      </c>
      <c r="WWH18" s="28" t="str">
        <f>IFERROR(IF(WWQ3="No",IF(VLOOKUP(DATE($K$1,$K$2,WWH$4),Table1[],(MATCH(Calendar!$A18,DB!$1:$1,0)),FALSE)&gt;=5,"Good","Bad"),VLOOKUP(DATE($K$1,$K$2,WWH$4),Table1[],(MATCH(Calendar!$A18,DB!$1:$1,0)),FALSE)),"")</f>
        <v/>
      </c>
      <c r="WWI18" s="28" t="str">
        <f>IFERROR(IF(WWR3="No",IF(VLOOKUP(DATE($K$1,$K$2,WWI$4),Table1[],(MATCH(Calendar!$A18,DB!$1:$1,0)),FALSE)&gt;=5,"Good","Bad"),VLOOKUP(DATE($K$1,$K$2,WWI$4),Table1[],(MATCH(Calendar!$A18,DB!$1:$1,0)),FALSE)),"")</f>
        <v/>
      </c>
      <c r="WWJ18" s="28" t="str">
        <f>IFERROR(IF(WWS3="No",IF(VLOOKUP(DATE($K$1,$K$2,WWJ$4),Table1[],(MATCH(Calendar!$A18,DB!$1:$1,0)),FALSE)&gt;=5,"Good","Bad"),VLOOKUP(DATE($K$1,$K$2,WWJ$4),Table1[],(MATCH(Calendar!$A18,DB!$1:$1,0)),FALSE)),"")</f>
        <v/>
      </c>
      <c r="WWK18" s="28" t="str">
        <f>IFERROR(IF(WWT3="No",IF(VLOOKUP(DATE($K$1,$K$2,WWK$4),Table1[],(MATCH(Calendar!$A18,DB!$1:$1,0)),FALSE)&gt;=5,"Good","Bad"),VLOOKUP(DATE($K$1,$K$2,WWK$4),Table1[],(MATCH(Calendar!$A18,DB!$1:$1,0)),FALSE)),"")</f>
        <v/>
      </c>
      <c r="WWL18" s="28" t="str">
        <f>IFERROR(IF(WWU3="No",IF(VLOOKUP(DATE($K$1,$K$2,WWL$4),Table1[],(MATCH(Calendar!$A18,DB!$1:$1,0)),FALSE)&gt;=5,"Good","Bad"),VLOOKUP(DATE($K$1,$K$2,WWL$4),Table1[],(MATCH(Calendar!$A18,DB!$1:$1,0)),FALSE)),"")</f>
        <v/>
      </c>
      <c r="WWM18" s="28" t="str">
        <f>IFERROR(IF(WWV3="No",IF(VLOOKUP(DATE($K$1,$K$2,WWM$4),Table1[],(MATCH(Calendar!$A18,DB!$1:$1,0)),FALSE)&gt;=5,"Good","Bad"),VLOOKUP(DATE($K$1,$K$2,WWM$4),Table1[],(MATCH(Calendar!$A18,DB!$1:$1,0)),FALSE)),"")</f>
        <v/>
      </c>
      <c r="WWN18" s="28" t="str">
        <f>IFERROR(IF(WWW3="No",IF(VLOOKUP(DATE($K$1,$K$2,WWN$4),Table1[],(MATCH(Calendar!$A18,DB!$1:$1,0)),FALSE)&gt;=5,"Good","Bad"),VLOOKUP(DATE($K$1,$K$2,WWN$4),Table1[],(MATCH(Calendar!$A18,DB!$1:$1,0)),FALSE)),"")</f>
        <v/>
      </c>
      <c r="WWO18" s="28" t="str">
        <f>IFERROR(IF(WWX3="No",IF(VLOOKUP(DATE($K$1,$K$2,WWO$4),Table1[],(MATCH(Calendar!$A18,DB!$1:$1,0)),FALSE)&gt;=5,"Good","Bad"),VLOOKUP(DATE($K$1,$K$2,WWO$4),Table1[],(MATCH(Calendar!$A18,DB!$1:$1,0)),FALSE)),"")</f>
        <v/>
      </c>
      <c r="WWP18" s="28" t="str">
        <f>IFERROR(IF(WWY3="No",IF(VLOOKUP(DATE($K$1,$K$2,WWP$4),Table1[],(MATCH(Calendar!$A18,DB!$1:$1,0)),FALSE)&gt;=5,"Good","Bad"),VLOOKUP(DATE($K$1,$K$2,WWP$4),Table1[],(MATCH(Calendar!$A18,DB!$1:$1,0)),FALSE)),"")</f>
        <v/>
      </c>
      <c r="WWQ18" s="28" t="str">
        <f>IFERROR(IF(WWZ3="No",IF(VLOOKUP(DATE($K$1,$K$2,WWQ$4),Table1[],(MATCH(Calendar!$A18,DB!$1:$1,0)),FALSE)&gt;=5,"Good","Bad"),VLOOKUP(DATE($K$1,$K$2,WWQ$4),Table1[],(MATCH(Calendar!$A18,DB!$1:$1,0)),FALSE)),"")</f>
        <v/>
      </c>
      <c r="WWR18" s="28" t="str">
        <f>IFERROR(IF(WXA3="No",IF(VLOOKUP(DATE($K$1,$K$2,WWR$4),Table1[],(MATCH(Calendar!$A18,DB!$1:$1,0)),FALSE)&gt;=5,"Good","Bad"),VLOOKUP(DATE($K$1,$K$2,WWR$4),Table1[],(MATCH(Calendar!$A18,DB!$1:$1,0)),FALSE)),"")</f>
        <v/>
      </c>
      <c r="WWS18" s="28" t="str">
        <f>IFERROR(IF(WXB3="No",IF(VLOOKUP(DATE($K$1,$K$2,WWS$4),Table1[],(MATCH(Calendar!$A18,DB!$1:$1,0)),FALSE)&gt;=5,"Good","Bad"),VLOOKUP(DATE($K$1,$K$2,WWS$4),Table1[],(MATCH(Calendar!$A18,DB!$1:$1,0)),FALSE)),"")</f>
        <v/>
      </c>
      <c r="WWT18" s="28" t="str">
        <f>IFERROR(IF(WXC3="No",IF(VLOOKUP(DATE($K$1,$K$2,WWT$4),Table1[],(MATCH(Calendar!$A18,DB!$1:$1,0)),FALSE)&gt;=5,"Good","Bad"),VLOOKUP(DATE($K$1,$K$2,WWT$4),Table1[],(MATCH(Calendar!$A18,DB!$1:$1,0)),FALSE)),"")</f>
        <v/>
      </c>
      <c r="WWU18" s="28" t="str">
        <f>IFERROR(IF(WXD3="No",IF(VLOOKUP(DATE($K$1,$K$2,WWU$4),Table1[],(MATCH(Calendar!$A18,DB!$1:$1,0)),FALSE)&gt;=5,"Good","Bad"),VLOOKUP(DATE($K$1,$K$2,WWU$4),Table1[],(MATCH(Calendar!$A18,DB!$1:$1,0)),FALSE)),"")</f>
        <v/>
      </c>
      <c r="WWV18" s="28" t="str">
        <f>IFERROR(IF(WXE3="No",IF(VLOOKUP(DATE($K$1,$K$2,WWV$4),Table1[],(MATCH(Calendar!$A18,DB!$1:$1,0)),FALSE)&gt;=5,"Good","Bad"),VLOOKUP(DATE($K$1,$K$2,WWV$4),Table1[],(MATCH(Calendar!$A18,DB!$1:$1,0)),FALSE)),"")</f>
        <v/>
      </c>
      <c r="WWW18" s="28" t="str">
        <f>IFERROR(IF(WXF3="No",IF(VLOOKUP(DATE($K$1,$K$2,WWW$4),Table1[],(MATCH(Calendar!$A18,DB!$1:$1,0)),FALSE)&gt;=5,"Good","Bad"),VLOOKUP(DATE($K$1,$K$2,WWW$4),Table1[],(MATCH(Calendar!$A18,DB!$1:$1,0)),FALSE)),"")</f>
        <v/>
      </c>
      <c r="WWX18" s="28" t="str">
        <f>IFERROR(IF(WXG3="No",IF(VLOOKUP(DATE($K$1,$K$2,WWX$4),Table1[],(MATCH(Calendar!$A18,DB!$1:$1,0)),FALSE)&gt;=5,"Good","Bad"),VLOOKUP(DATE($K$1,$K$2,WWX$4),Table1[],(MATCH(Calendar!$A18,DB!$1:$1,0)),FALSE)),"")</f>
        <v/>
      </c>
      <c r="WWY18" s="28" t="str">
        <f>IFERROR(IF(WXH3="No",IF(VLOOKUP(DATE($K$1,$K$2,WWY$4),Table1[],(MATCH(Calendar!$A18,DB!$1:$1,0)),FALSE)&gt;=5,"Good","Bad"),VLOOKUP(DATE($K$1,$K$2,WWY$4),Table1[],(MATCH(Calendar!$A18,DB!$1:$1,0)),FALSE)),"")</f>
        <v/>
      </c>
      <c r="WWZ18" s="28" t="str">
        <f>IFERROR(IF(WXI3="No",IF(VLOOKUP(DATE($K$1,$K$2,WWZ$4),Table1[],(MATCH(Calendar!$A18,DB!$1:$1,0)),FALSE)&gt;=5,"Good","Bad"),VLOOKUP(DATE($K$1,$K$2,WWZ$4),Table1[],(MATCH(Calendar!$A18,DB!$1:$1,0)),FALSE)),"")</f>
        <v/>
      </c>
      <c r="WXA18" s="28" t="str">
        <f>IFERROR(IF(WXJ3="No",IF(VLOOKUP(DATE($K$1,$K$2,WXA$4),Table1[],(MATCH(Calendar!$A18,DB!$1:$1,0)),FALSE)&gt;=5,"Good","Bad"),VLOOKUP(DATE($K$1,$K$2,WXA$4),Table1[],(MATCH(Calendar!$A18,DB!$1:$1,0)),FALSE)),"")</f>
        <v/>
      </c>
      <c r="WXB18" s="28" t="str">
        <f>IFERROR(IF(WXK3="No",IF(VLOOKUP(DATE($K$1,$K$2,WXB$4),Table1[],(MATCH(Calendar!$A18,DB!$1:$1,0)),FALSE)&gt;=5,"Good","Bad"),VLOOKUP(DATE($K$1,$K$2,WXB$4),Table1[],(MATCH(Calendar!$A18,DB!$1:$1,0)),FALSE)),"")</f>
        <v/>
      </c>
      <c r="WXC18" s="28" t="str">
        <f>IFERROR(IF(WXL3="No",IF(VLOOKUP(DATE($K$1,$K$2,WXC$4),Table1[],(MATCH(Calendar!$A18,DB!$1:$1,0)),FALSE)&gt;=5,"Good","Bad"),VLOOKUP(DATE($K$1,$K$2,WXC$4),Table1[],(MATCH(Calendar!$A18,DB!$1:$1,0)),FALSE)),"")</f>
        <v/>
      </c>
      <c r="WXD18" s="28" t="str">
        <f>IFERROR(IF(WXM3="No",IF(VLOOKUP(DATE($K$1,$K$2,WXD$4),Table1[],(MATCH(Calendar!$A18,DB!$1:$1,0)),FALSE)&gt;=5,"Good","Bad"),VLOOKUP(DATE($K$1,$K$2,WXD$4),Table1[],(MATCH(Calendar!$A18,DB!$1:$1,0)),FALSE)),"")</f>
        <v/>
      </c>
      <c r="WXE18" s="28" t="str">
        <f>IFERROR(IF(WXN3="No",IF(VLOOKUP(DATE($K$1,$K$2,WXE$4),Table1[],(MATCH(Calendar!$A18,DB!$1:$1,0)),FALSE)&gt;=5,"Good","Bad"),VLOOKUP(DATE($K$1,$K$2,WXE$4),Table1[],(MATCH(Calendar!$A18,DB!$1:$1,0)),FALSE)),"")</f>
        <v/>
      </c>
      <c r="WXF18" s="28" t="str">
        <f>IFERROR(IF(WXO3="No",IF(VLOOKUP(DATE($K$1,$K$2,WXF$4),Table1[],(MATCH(Calendar!$A18,DB!$1:$1,0)),FALSE)&gt;=5,"Good","Bad"),VLOOKUP(DATE($K$1,$K$2,WXF$4),Table1[],(MATCH(Calendar!$A18,DB!$1:$1,0)),FALSE)),"")</f>
        <v/>
      </c>
      <c r="WXG18" s="28" t="str">
        <f>IFERROR(IF(WXP3="No",IF(VLOOKUP(DATE($K$1,$K$2,WXG$4),Table1[],(MATCH(Calendar!$A18,DB!$1:$1,0)),FALSE)&gt;=5,"Good","Bad"),VLOOKUP(DATE($K$1,$K$2,WXG$4),Table1[],(MATCH(Calendar!$A18,DB!$1:$1,0)),FALSE)),"")</f>
        <v/>
      </c>
      <c r="WXH18" s="28" t="str">
        <f>IFERROR(IF(WXQ3="No",IF(VLOOKUP(DATE($K$1,$K$2,WXH$4),Table1[],(MATCH(Calendar!$A18,DB!$1:$1,0)),FALSE)&gt;=5,"Good","Bad"),VLOOKUP(DATE($K$1,$K$2,WXH$4),Table1[],(MATCH(Calendar!$A18,DB!$1:$1,0)),FALSE)),"")</f>
        <v/>
      </c>
      <c r="WXI18" s="28" t="str">
        <f>IFERROR(IF(WXR3="No",IF(VLOOKUP(DATE($K$1,$K$2,WXI$4),Table1[],(MATCH(Calendar!$A18,DB!$1:$1,0)),FALSE)&gt;=5,"Good","Bad"),VLOOKUP(DATE($K$1,$K$2,WXI$4),Table1[],(MATCH(Calendar!$A18,DB!$1:$1,0)),FALSE)),"")</f>
        <v/>
      </c>
      <c r="WXJ18" s="28" t="str">
        <f>IFERROR(IF(WXS3="No",IF(VLOOKUP(DATE($K$1,$K$2,WXJ$4),Table1[],(MATCH(Calendar!$A18,DB!$1:$1,0)),FALSE)&gt;=5,"Good","Bad"),VLOOKUP(DATE($K$1,$K$2,WXJ$4),Table1[],(MATCH(Calendar!$A18,DB!$1:$1,0)),FALSE)),"")</f>
        <v/>
      </c>
      <c r="WXK18" s="28" t="str">
        <f>IFERROR(IF(WXT3="No",IF(VLOOKUP(DATE($K$1,$K$2,WXK$4),Table1[],(MATCH(Calendar!$A18,DB!$1:$1,0)),FALSE)&gt;=5,"Good","Bad"),VLOOKUP(DATE($K$1,$K$2,WXK$4),Table1[],(MATCH(Calendar!$A18,DB!$1:$1,0)),FALSE)),"")</f>
        <v/>
      </c>
      <c r="WXL18" s="28" t="str">
        <f>IFERROR(IF(WXU3="No",IF(VLOOKUP(DATE($K$1,$K$2,WXL$4),Table1[],(MATCH(Calendar!$A18,DB!$1:$1,0)),FALSE)&gt;=5,"Good","Bad"),VLOOKUP(DATE($K$1,$K$2,WXL$4),Table1[],(MATCH(Calendar!$A18,DB!$1:$1,0)),FALSE)),"")</f>
        <v/>
      </c>
      <c r="WXM18" s="28" t="str">
        <f>IFERROR(IF(WXV3="No",IF(VLOOKUP(DATE($K$1,$K$2,WXM$4),Table1[],(MATCH(Calendar!$A18,DB!$1:$1,0)),FALSE)&gt;=5,"Good","Bad"),VLOOKUP(DATE($K$1,$K$2,WXM$4),Table1[],(MATCH(Calendar!$A18,DB!$1:$1,0)),FALSE)),"")</f>
        <v/>
      </c>
      <c r="WXN18" s="28" t="str">
        <f>IFERROR(IF(WXW3="No",IF(VLOOKUP(DATE($K$1,$K$2,WXN$4),Table1[],(MATCH(Calendar!$A18,DB!$1:$1,0)),FALSE)&gt;=5,"Good","Bad"),VLOOKUP(DATE($K$1,$K$2,WXN$4),Table1[],(MATCH(Calendar!$A18,DB!$1:$1,0)),FALSE)),"")</f>
        <v/>
      </c>
      <c r="WXO18" s="28" t="str">
        <f>IFERROR(IF(WXX3="No",IF(VLOOKUP(DATE($K$1,$K$2,WXO$4),Table1[],(MATCH(Calendar!$A18,DB!$1:$1,0)),FALSE)&gt;=5,"Good","Bad"),VLOOKUP(DATE($K$1,$K$2,WXO$4),Table1[],(MATCH(Calendar!$A18,DB!$1:$1,0)),FALSE)),"")</f>
        <v/>
      </c>
      <c r="WXP18" s="28" t="str">
        <f>IFERROR(IF(WXY3="No",IF(VLOOKUP(DATE($K$1,$K$2,WXP$4),Table1[],(MATCH(Calendar!$A18,DB!$1:$1,0)),FALSE)&gt;=5,"Good","Bad"),VLOOKUP(DATE($K$1,$K$2,WXP$4),Table1[],(MATCH(Calendar!$A18,DB!$1:$1,0)),FALSE)),"")</f>
        <v/>
      </c>
      <c r="WXQ18" s="28" t="str">
        <f>IFERROR(IF(WXZ3="No",IF(VLOOKUP(DATE($K$1,$K$2,WXQ$4),Table1[],(MATCH(Calendar!$A18,DB!$1:$1,0)),FALSE)&gt;=5,"Good","Bad"),VLOOKUP(DATE($K$1,$K$2,WXQ$4),Table1[],(MATCH(Calendar!$A18,DB!$1:$1,0)),FALSE)),"")</f>
        <v/>
      </c>
      <c r="WXR18" s="28" t="str">
        <f>IFERROR(IF(WYA3="No",IF(VLOOKUP(DATE($K$1,$K$2,WXR$4),Table1[],(MATCH(Calendar!$A18,DB!$1:$1,0)),FALSE)&gt;=5,"Good","Bad"),VLOOKUP(DATE($K$1,$K$2,WXR$4),Table1[],(MATCH(Calendar!$A18,DB!$1:$1,0)),FALSE)),"")</f>
        <v/>
      </c>
      <c r="WXS18" s="28" t="str">
        <f>IFERROR(IF(WYB3="No",IF(VLOOKUP(DATE($K$1,$K$2,WXS$4),Table1[],(MATCH(Calendar!$A18,DB!$1:$1,0)),FALSE)&gt;=5,"Good","Bad"),VLOOKUP(DATE($K$1,$K$2,WXS$4),Table1[],(MATCH(Calendar!$A18,DB!$1:$1,0)),FALSE)),"")</f>
        <v/>
      </c>
      <c r="WXT18" s="28" t="str">
        <f>IFERROR(IF(WYC3="No",IF(VLOOKUP(DATE($K$1,$K$2,WXT$4),Table1[],(MATCH(Calendar!$A18,DB!$1:$1,0)),FALSE)&gt;=5,"Good","Bad"),VLOOKUP(DATE($K$1,$K$2,WXT$4),Table1[],(MATCH(Calendar!$A18,DB!$1:$1,0)),FALSE)),"")</f>
        <v/>
      </c>
      <c r="WXU18" s="28" t="str">
        <f>IFERROR(IF(WYD3="No",IF(VLOOKUP(DATE($K$1,$K$2,WXU$4),Table1[],(MATCH(Calendar!$A18,DB!$1:$1,0)),FALSE)&gt;=5,"Good","Bad"),VLOOKUP(DATE($K$1,$K$2,WXU$4),Table1[],(MATCH(Calendar!$A18,DB!$1:$1,0)),FALSE)),"")</f>
        <v/>
      </c>
      <c r="WXV18" s="28" t="str">
        <f>IFERROR(IF(WYE3="No",IF(VLOOKUP(DATE($K$1,$K$2,WXV$4),Table1[],(MATCH(Calendar!$A18,DB!$1:$1,0)),FALSE)&gt;=5,"Good","Bad"),VLOOKUP(DATE($K$1,$K$2,WXV$4),Table1[],(MATCH(Calendar!$A18,DB!$1:$1,0)),FALSE)),"")</f>
        <v/>
      </c>
      <c r="WXW18" s="28" t="str">
        <f>IFERROR(IF(WYF3="No",IF(VLOOKUP(DATE($K$1,$K$2,WXW$4),Table1[],(MATCH(Calendar!$A18,DB!$1:$1,0)),FALSE)&gt;=5,"Good","Bad"),VLOOKUP(DATE($K$1,$K$2,WXW$4),Table1[],(MATCH(Calendar!$A18,DB!$1:$1,0)),FALSE)),"")</f>
        <v/>
      </c>
      <c r="WXX18" s="28" t="str">
        <f>IFERROR(IF(WYG3="No",IF(VLOOKUP(DATE($K$1,$K$2,WXX$4),Table1[],(MATCH(Calendar!$A18,DB!$1:$1,0)),FALSE)&gt;=5,"Good","Bad"),VLOOKUP(DATE($K$1,$K$2,WXX$4),Table1[],(MATCH(Calendar!$A18,DB!$1:$1,0)),FALSE)),"")</f>
        <v/>
      </c>
      <c r="WXY18" s="28" t="str">
        <f>IFERROR(IF(WYH3="No",IF(VLOOKUP(DATE($K$1,$K$2,WXY$4),Table1[],(MATCH(Calendar!$A18,DB!$1:$1,0)),FALSE)&gt;=5,"Good","Bad"),VLOOKUP(DATE($K$1,$K$2,WXY$4),Table1[],(MATCH(Calendar!$A18,DB!$1:$1,0)),FALSE)),"")</f>
        <v/>
      </c>
      <c r="WXZ18" s="28" t="str">
        <f>IFERROR(IF(WYI3="No",IF(VLOOKUP(DATE($K$1,$K$2,WXZ$4),Table1[],(MATCH(Calendar!$A18,DB!$1:$1,0)),FALSE)&gt;=5,"Good","Bad"),VLOOKUP(DATE($K$1,$K$2,WXZ$4),Table1[],(MATCH(Calendar!$A18,DB!$1:$1,0)),FALSE)),"")</f>
        <v/>
      </c>
      <c r="WYA18" s="28" t="str">
        <f>IFERROR(IF(WYJ3="No",IF(VLOOKUP(DATE($K$1,$K$2,WYA$4),Table1[],(MATCH(Calendar!$A18,DB!$1:$1,0)),FALSE)&gt;=5,"Good","Bad"),VLOOKUP(DATE($K$1,$K$2,WYA$4),Table1[],(MATCH(Calendar!$A18,DB!$1:$1,0)),FALSE)),"")</f>
        <v/>
      </c>
      <c r="WYB18" s="28" t="str">
        <f>IFERROR(IF(WYK3="No",IF(VLOOKUP(DATE($K$1,$K$2,WYB$4),Table1[],(MATCH(Calendar!$A18,DB!$1:$1,0)),FALSE)&gt;=5,"Good","Bad"),VLOOKUP(DATE($K$1,$K$2,WYB$4),Table1[],(MATCH(Calendar!$A18,DB!$1:$1,0)),FALSE)),"")</f>
        <v/>
      </c>
      <c r="WYC18" s="28" t="str">
        <f>IFERROR(IF(WYL3="No",IF(VLOOKUP(DATE($K$1,$K$2,WYC$4),Table1[],(MATCH(Calendar!$A18,DB!$1:$1,0)),FALSE)&gt;=5,"Good","Bad"),VLOOKUP(DATE($K$1,$K$2,WYC$4),Table1[],(MATCH(Calendar!$A18,DB!$1:$1,0)),FALSE)),"")</f>
        <v/>
      </c>
      <c r="WYD18" s="28" t="str">
        <f>IFERROR(IF(WYM3="No",IF(VLOOKUP(DATE($K$1,$K$2,WYD$4),Table1[],(MATCH(Calendar!$A18,DB!$1:$1,0)),FALSE)&gt;=5,"Good","Bad"),VLOOKUP(DATE($K$1,$K$2,WYD$4),Table1[],(MATCH(Calendar!$A18,DB!$1:$1,0)),FALSE)),"")</f>
        <v/>
      </c>
      <c r="WYE18" s="28" t="str">
        <f>IFERROR(IF(WYN3="No",IF(VLOOKUP(DATE($K$1,$K$2,WYE$4),Table1[],(MATCH(Calendar!$A18,DB!$1:$1,0)),FALSE)&gt;=5,"Good","Bad"),VLOOKUP(DATE($K$1,$K$2,WYE$4),Table1[],(MATCH(Calendar!$A18,DB!$1:$1,0)),FALSE)),"")</f>
        <v/>
      </c>
      <c r="WYF18" s="28" t="str">
        <f>IFERROR(IF(WYO3="No",IF(VLOOKUP(DATE($K$1,$K$2,WYF$4),Table1[],(MATCH(Calendar!$A18,DB!$1:$1,0)),FALSE)&gt;=5,"Good","Bad"),VLOOKUP(DATE($K$1,$K$2,WYF$4),Table1[],(MATCH(Calendar!$A18,DB!$1:$1,0)),FALSE)),"")</f>
        <v/>
      </c>
      <c r="WYG18" s="28" t="str">
        <f>IFERROR(IF(WYP3="No",IF(VLOOKUP(DATE($K$1,$K$2,WYG$4),Table1[],(MATCH(Calendar!$A18,DB!$1:$1,0)),FALSE)&gt;=5,"Good","Bad"),VLOOKUP(DATE($K$1,$K$2,WYG$4),Table1[],(MATCH(Calendar!$A18,DB!$1:$1,0)),FALSE)),"")</f>
        <v/>
      </c>
      <c r="WYH18" s="28" t="str">
        <f>IFERROR(IF(WYQ3="No",IF(VLOOKUP(DATE($K$1,$K$2,WYH$4),Table1[],(MATCH(Calendar!$A18,DB!$1:$1,0)),FALSE)&gt;=5,"Good","Bad"),VLOOKUP(DATE($K$1,$K$2,WYH$4),Table1[],(MATCH(Calendar!$A18,DB!$1:$1,0)),FALSE)),"")</f>
        <v/>
      </c>
      <c r="WYI18" s="28" t="str">
        <f>IFERROR(IF(WYR3="No",IF(VLOOKUP(DATE($K$1,$K$2,WYI$4),Table1[],(MATCH(Calendar!$A18,DB!$1:$1,0)),FALSE)&gt;=5,"Good","Bad"),VLOOKUP(DATE($K$1,$K$2,WYI$4),Table1[],(MATCH(Calendar!$A18,DB!$1:$1,0)),FALSE)),"")</f>
        <v/>
      </c>
      <c r="WYJ18" s="28" t="str">
        <f>IFERROR(IF(WYS3="No",IF(VLOOKUP(DATE($K$1,$K$2,WYJ$4),Table1[],(MATCH(Calendar!$A18,DB!$1:$1,0)),FALSE)&gt;=5,"Good","Bad"),VLOOKUP(DATE($K$1,$K$2,WYJ$4),Table1[],(MATCH(Calendar!$A18,DB!$1:$1,0)),FALSE)),"")</f>
        <v/>
      </c>
      <c r="WYK18" s="28" t="str">
        <f>IFERROR(IF(WYT3="No",IF(VLOOKUP(DATE($K$1,$K$2,WYK$4),Table1[],(MATCH(Calendar!$A18,DB!$1:$1,0)),FALSE)&gt;=5,"Good","Bad"),VLOOKUP(DATE($K$1,$K$2,WYK$4),Table1[],(MATCH(Calendar!$A18,DB!$1:$1,0)),FALSE)),"")</f>
        <v/>
      </c>
      <c r="WYL18" s="28" t="str">
        <f>IFERROR(IF(WYU3="No",IF(VLOOKUP(DATE($K$1,$K$2,WYL$4),Table1[],(MATCH(Calendar!$A18,DB!$1:$1,0)),FALSE)&gt;=5,"Good","Bad"),VLOOKUP(DATE($K$1,$K$2,WYL$4),Table1[],(MATCH(Calendar!$A18,DB!$1:$1,0)),FALSE)),"")</f>
        <v/>
      </c>
      <c r="WYM18" s="28" t="str">
        <f>IFERROR(IF(WYV3="No",IF(VLOOKUP(DATE($K$1,$K$2,WYM$4),Table1[],(MATCH(Calendar!$A18,DB!$1:$1,0)),FALSE)&gt;=5,"Good","Bad"),VLOOKUP(DATE($K$1,$K$2,WYM$4),Table1[],(MATCH(Calendar!$A18,DB!$1:$1,0)),FALSE)),"")</f>
        <v/>
      </c>
      <c r="WYN18" s="28" t="str">
        <f>IFERROR(IF(WYW3="No",IF(VLOOKUP(DATE($K$1,$K$2,WYN$4),Table1[],(MATCH(Calendar!$A18,DB!$1:$1,0)),FALSE)&gt;=5,"Good","Bad"),VLOOKUP(DATE($K$1,$K$2,WYN$4),Table1[],(MATCH(Calendar!$A18,DB!$1:$1,0)),FALSE)),"")</f>
        <v/>
      </c>
      <c r="WYO18" s="28" t="str">
        <f>IFERROR(IF(WYX3="No",IF(VLOOKUP(DATE($K$1,$K$2,WYO$4),Table1[],(MATCH(Calendar!$A18,DB!$1:$1,0)),FALSE)&gt;=5,"Good","Bad"),VLOOKUP(DATE($K$1,$K$2,WYO$4),Table1[],(MATCH(Calendar!$A18,DB!$1:$1,0)),FALSE)),"")</f>
        <v/>
      </c>
      <c r="WYP18" s="28" t="str">
        <f>IFERROR(IF(WYY3="No",IF(VLOOKUP(DATE($K$1,$K$2,WYP$4),Table1[],(MATCH(Calendar!$A18,DB!$1:$1,0)),FALSE)&gt;=5,"Good","Bad"),VLOOKUP(DATE($K$1,$K$2,WYP$4),Table1[],(MATCH(Calendar!$A18,DB!$1:$1,0)),FALSE)),"")</f>
        <v/>
      </c>
      <c r="WYQ18" s="28" t="str">
        <f>IFERROR(IF(WYZ3="No",IF(VLOOKUP(DATE($K$1,$K$2,WYQ$4),Table1[],(MATCH(Calendar!$A18,DB!$1:$1,0)),FALSE)&gt;=5,"Good","Bad"),VLOOKUP(DATE($K$1,$K$2,WYQ$4),Table1[],(MATCH(Calendar!$A18,DB!$1:$1,0)),FALSE)),"")</f>
        <v/>
      </c>
      <c r="WYR18" s="28" t="str">
        <f>IFERROR(IF(WZA3="No",IF(VLOOKUP(DATE($K$1,$K$2,WYR$4),Table1[],(MATCH(Calendar!$A18,DB!$1:$1,0)),FALSE)&gt;=5,"Good","Bad"),VLOOKUP(DATE($K$1,$K$2,WYR$4),Table1[],(MATCH(Calendar!$A18,DB!$1:$1,0)),FALSE)),"")</f>
        <v/>
      </c>
      <c r="WYS18" s="28" t="str">
        <f>IFERROR(IF(WZB3="No",IF(VLOOKUP(DATE($K$1,$K$2,WYS$4),Table1[],(MATCH(Calendar!$A18,DB!$1:$1,0)),FALSE)&gt;=5,"Good","Bad"),VLOOKUP(DATE($K$1,$K$2,WYS$4),Table1[],(MATCH(Calendar!$A18,DB!$1:$1,0)),FALSE)),"")</f>
        <v/>
      </c>
      <c r="WYT18" s="28" t="str">
        <f>IFERROR(IF(WZC3="No",IF(VLOOKUP(DATE($K$1,$K$2,WYT$4),Table1[],(MATCH(Calendar!$A18,DB!$1:$1,0)),FALSE)&gt;=5,"Good","Bad"),VLOOKUP(DATE($K$1,$K$2,WYT$4),Table1[],(MATCH(Calendar!$A18,DB!$1:$1,0)),FALSE)),"")</f>
        <v/>
      </c>
      <c r="WYU18" s="28" t="str">
        <f>IFERROR(IF(WZD3="No",IF(VLOOKUP(DATE($K$1,$K$2,WYU$4),Table1[],(MATCH(Calendar!$A18,DB!$1:$1,0)),FALSE)&gt;=5,"Good","Bad"),VLOOKUP(DATE($K$1,$K$2,WYU$4),Table1[],(MATCH(Calendar!$A18,DB!$1:$1,0)),FALSE)),"")</f>
        <v/>
      </c>
      <c r="WYV18" s="28" t="str">
        <f>IFERROR(IF(WZE3="No",IF(VLOOKUP(DATE($K$1,$K$2,WYV$4),Table1[],(MATCH(Calendar!$A18,DB!$1:$1,0)),FALSE)&gt;=5,"Good","Bad"),VLOOKUP(DATE($K$1,$K$2,WYV$4),Table1[],(MATCH(Calendar!$A18,DB!$1:$1,0)),FALSE)),"")</f>
        <v/>
      </c>
      <c r="WYW18" s="28" t="str">
        <f>IFERROR(IF(WZF3="No",IF(VLOOKUP(DATE($K$1,$K$2,WYW$4),Table1[],(MATCH(Calendar!$A18,DB!$1:$1,0)),FALSE)&gt;=5,"Good","Bad"),VLOOKUP(DATE($K$1,$K$2,WYW$4),Table1[],(MATCH(Calendar!$A18,DB!$1:$1,0)),FALSE)),"")</f>
        <v/>
      </c>
      <c r="WYX18" s="28" t="str">
        <f>IFERROR(IF(WZG3="No",IF(VLOOKUP(DATE($K$1,$K$2,WYX$4),Table1[],(MATCH(Calendar!$A18,DB!$1:$1,0)),FALSE)&gt;=5,"Good","Bad"),VLOOKUP(DATE($K$1,$K$2,WYX$4),Table1[],(MATCH(Calendar!$A18,DB!$1:$1,0)),FALSE)),"")</f>
        <v/>
      </c>
      <c r="WYY18" s="28" t="str">
        <f>IFERROR(IF(WZH3="No",IF(VLOOKUP(DATE($K$1,$K$2,WYY$4),Table1[],(MATCH(Calendar!$A18,DB!$1:$1,0)),FALSE)&gt;=5,"Good","Bad"),VLOOKUP(DATE($K$1,$K$2,WYY$4),Table1[],(MATCH(Calendar!$A18,DB!$1:$1,0)),FALSE)),"")</f>
        <v/>
      </c>
      <c r="WYZ18" s="28" t="str">
        <f>IFERROR(IF(WZI3="No",IF(VLOOKUP(DATE($K$1,$K$2,WYZ$4),Table1[],(MATCH(Calendar!$A18,DB!$1:$1,0)),FALSE)&gt;=5,"Good","Bad"),VLOOKUP(DATE($K$1,$K$2,WYZ$4),Table1[],(MATCH(Calendar!$A18,DB!$1:$1,0)),FALSE)),"")</f>
        <v/>
      </c>
      <c r="WZA18" s="28" t="str">
        <f>IFERROR(IF(WZJ3="No",IF(VLOOKUP(DATE($K$1,$K$2,WZA$4),Table1[],(MATCH(Calendar!$A18,DB!$1:$1,0)),FALSE)&gt;=5,"Good","Bad"),VLOOKUP(DATE($K$1,$K$2,WZA$4),Table1[],(MATCH(Calendar!$A18,DB!$1:$1,0)),FALSE)),"")</f>
        <v/>
      </c>
      <c r="WZB18" s="28" t="str">
        <f>IFERROR(IF(WZK3="No",IF(VLOOKUP(DATE($K$1,$K$2,WZB$4),Table1[],(MATCH(Calendar!$A18,DB!$1:$1,0)),FALSE)&gt;=5,"Good","Bad"),VLOOKUP(DATE($K$1,$K$2,WZB$4),Table1[],(MATCH(Calendar!$A18,DB!$1:$1,0)),FALSE)),"")</f>
        <v/>
      </c>
      <c r="WZC18" s="28" t="str">
        <f>IFERROR(IF(WZL3="No",IF(VLOOKUP(DATE($K$1,$K$2,WZC$4),Table1[],(MATCH(Calendar!$A18,DB!$1:$1,0)),FALSE)&gt;=5,"Good","Bad"),VLOOKUP(DATE($K$1,$K$2,WZC$4),Table1[],(MATCH(Calendar!$A18,DB!$1:$1,0)),FALSE)),"")</f>
        <v/>
      </c>
      <c r="WZD18" s="28" t="str">
        <f>IFERROR(IF(WZM3="No",IF(VLOOKUP(DATE($K$1,$K$2,WZD$4),Table1[],(MATCH(Calendar!$A18,DB!$1:$1,0)),FALSE)&gt;=5,"Good","Bad"),VLOOKUP(DATE($K$1,$K$2,WZD$4),Table1[],(MATCH(Calendar!$A18,DB!$1:$1,0)),FALSE)),"")</f>
        <v/>
      </c>
      <c r="WZE18" s="28" t="str">
        <f>IFERROR(IF(WZN3="No",IF(VLOOKUP(DATE($K$1,$K$2,WZE$4),Table1[],(MATCH(Calendar!$A18,DB!$1:$1,0)),FALSE)&gt;=5,"Good","Bad"),VLOOKUP(DATE($K$1,$K$2,WZE$4),Table1[],(MATCH(Calendar!$A18,DB!$1:$1,0)),FALSE)),"")</f>
        <v/>
      </c>
      <c r="WZF18" s="28" t="str">
        <f>IFERROR(IF(WZO3="No",IF(VLOOKUP(DATE($K$1,$K$2,WZF$4),Table1[],(MATCH(Calendar!$A18,DB!$1:$1,0)),FALSE)&gt;=5,"Good","Bad"),VLOOKUP(DATE($K$1,$K$2,WZF$4),Table1[],(MATCH(Calendar!$A18,DB!$1:$1,0)),FALSE)),"")</f>
        <v/>
      </c>
      <c r="WZG18" s="28" t="str">
        <f>IFERROR(IF(WZP3="No",IF(VLOOKUP(DATE($K$1,$K$2,WZG$4),Table1[],(MATCH(Calendar!$A18,DB!$1:$1,0)),FALSE)&gt;=5,"Good","Bad"),VLOOKUP(DATE($K$1,$K$2,WZG$4),Table1[],(MATCH(Calendar!$A18,DB!$1:$1,0)),FALSE)),"")</f>
        <v/>
      </c>
      <c r="WZH18" s="28" t="str">
        <f>IFERROR(IF(WZQ3="No",IF(VLOOKUP(DATE($K$1,$K$2,WZH$4),Table1[],(MATCH(Calendar!$A18,DB!$1:$1,0)),FALSE)&gt;=5,"Good","Bad"),VLOOKUP(DATE($K$1,$K$2,WZH$4),Table1[],(MATCH(Calendar!$A18,DB!$1:$1,0)),FALSE)),"")</f>
        <v/>
      </c>
      <c r="WZI18" s="28" t="str">
        <f>IFERROR(IF(WZR3="No",IF(VLOOKUP(DATE($K$1,$K$2,WZI$4),Table1[],(MATCH(Calendar!$A18,DB!$1:$1,0)),FALSE)&gt;=5,"Good","Bad"),VLOOKUP(DATE($K$1,$K$2,WZI$4),Table1[],(MATCH(Calendar!$A18,DB!$1:$1,0)),FALSE)),"")</f>
        <v/>
      </c>
      <c r="WZJ18" s="28" t="str">
        <f>IFERROR(IF(WZS3="No",IF(VLOOKUP(DATE($K$1,$K$2,WZJ$4),Table1[],(MATCH(Calendar!$A18,DB!$1:$1,0)),FALSE)&gt;=5,"Good","Bad"),VLOOKUP(DATE($K$1,$K$2,WZJ$4),Table1[],(MATCH(Calendar!$A18,DB!$1:$1,0)),FALSE)),"")</f>
        <v/>
      </c>
      <c r="WZK18" s="28" t="str">
        <f>IFERROR(IF(WZT3="No",IF(VLOOKUP(DATE($K$1,$K$2,WZK$4),Table1[],(MATCH(Calendar!$A18,DB!$1:$1,0)),FALSE)&gt;=5,"Good","Bad"),VLOOKUP(DATE($K$1,$K$2,WZK$4),Table1[],(MATCH(Calendar!$A18,DB!$1:$1,0)),FALSE)),"")</f>
        <v/>
      </c>
      <c r="WZL18" s="28" t="str">
        <f>IFERROR(IF(WZU3="No",IF(VLOOKUP(DATE($K$1,$K$2,WZL$4),Table1[],(MATCH(Calendar!$A18,DB!$1:$1,0)),FALSE)&gt;=5,"Good","Bad"),VLOOKUP(DATE($K$1,$K$2,WZL$4),Table1[],(MATCH(Calendar!$A18,DB!$1:$1,0)),FALSE)),"")</f>
        <v/>
      </c>
      <c r="WZM18" s="28" t="str">
        <f>IFERROR(IF(WZV3="No",IF(VLOOKUP(DATE($K$1,$K$2,WZM$4),Table1[],(MATCH(Calendar!$A18,DB!$1:$1,0)),FALSE)&gt;=5,"Good","Bad"),VLOOKUP(DATE($K$1,$K$2,WZM$4),Table1[],(MATCH(Calendar!$A18,DB!$1:$1,0)),FALSE)),"")</f>
        <v/>
      </c>
      <c r="WZN18" s="28" t="str">
        <f>IFERROR(IF(WZW3="No",IF(VLOOKUP(DATE($K$1,$K$2,WZN$4),Table1[],(MATCH(Calendar!$A18,DB!$1:$1,0)),FALSE)&gt;=5,"Good","Bad"),VLOOKUP(DATE($K$1,$K$2,WZN$4),Table1[],(MATCH(Calendar!$A18,DB!$1:$1,0)),FALSE)),"")</f>
        <v/>
      </c>
      <c r="WZO18" s="28" t="str">
        <f>IFERROR(IF(WZX3="No",IF(VLOOKUP(DATE($K$1,$K$2,WZO$4),Table1[],(MATCH(Calendar!$A18,DB!$1:$1,0)),FALSE)&gt;=5,"Good","Bad"),VLOOKUP(DATE($K$1,$K$2,WZO$4),Table1[],(MATCH(Calendar!$A18,DB!$1:$1,0)),FALSE)),"")</f>
        <v/>
      </c>
      <c r="WZP18" s="28" t="str">
        <f>IFERROR(IF(WZY3="No",IF(VLOOKUP(DATE($K$1,$K$2,WZP$4),Table1[],(MATCH(Calendar!$A18,DB!$1:$1,0)),FALSE)&gt;=5,"Good","Bad"),VLOOKUP(DATE($K$1,$K$2,WZP$4),Table1[],(MATCH(Calendar!$A18,DB!$1:$1,0)),FALSE)),"")</f>
        <v/>
      </c>
      <c r="WZQ18" s="28" t="str">
        <f>IFERROR(IF(WZZ3="No",IF(VLOOKUP(DATE($K$1,$K$2,WZQ$4),Table1[],(MATCH(Calendar!$A18,DB!$1:$1,0)),FALSE)&gt;=5,"Good","Bad"),VLOOKUP(DATE($K$1,$K$2,WZQ$4),Table1[],(MATCH(Calendar!$A18,DB!$1:$1,0)),FALSE)),"")</f>
        <v/>
      </c>
      <c r="WZR18" s="28" t="str">
        <f>IFERROR(IF(XAA3="No",IF(VLOOKUP(DATE($K$1,$K$2,WZR$4),Table1[],(MATCH(Calendar!$A18,DB!$1:$1,0)),FALSE)&gt;=5,"Good","Bad"),VLOOKUP(DATE($K$1,$K$2,WZR$4),Table1[],(MATCH(Calendar!$A18,DB!$1:$1,0)),FALSE)),"")</f>
        <v/>
      </c>
      <c r="WZS18" s="28" t="str">
        <f>IFERROR(IF(XAB3="No",IF(VLOOKUP(DATE($K$1,$K$2,WZS$4),Table1[],(MATCH(Calendar!$A18,DB!$1:$1,0)),FALSE)&gt;=5,"Good","Bad"),VLOOKUP(DATE($K$1,$K$2,WZS$4),Table1[],(MATCH(Calendar!$A18,DB!$1:$1,0)),FALSE)),"")</f>
        <v/>
      </c>
      <c r="WZT18" s="28" t="str">
        <f>IFERROR(IF(XAC3="No",IF(VLOOKUP(DATE($K$1,$K$2,WZT$4),Table1[],(MATCH(Calendar!$A18,DB!$1:$1,0)),FALSE)&gt;=5,"Good","Bad"),VLOOKUP(DATE($K$1,$K$2,WZT$4),Table1[],(MATCH(Calendar!$A18,DB!$1:$1,0)),FALSE)),"")</f>
        <v/>
      </c>
      <c r="WZU18" s="28" t="str">
        <f>IFERROR(IF(XAD3="No",IF(VLOOKUP(DATE($K$1,$K$2,WZU$4),Table1[],(MATCH(Calendar!$A18,DB!$1:$1,0)),FALSE)&gt;=5,"Good","Bad"),VLOOKUP(DATE($K$1,$K$2,WZU$4),Table1[],(MATCH(Calendar!$A18,DB!$1:$1,0)),FALSE)),"")</f>
        <v/>
      </c>
      <c r="WZV18" s="28" t="str">
        <f>IFERROR(IF(XAE3="No",IF(VLOOKUP(DATE($K$1,$K$2,WZV$4),Table1[],(MATCH(Calendar!$A18,DB!$1:$1,0)),FALSE)&gt;=5,"Good","Bad"),VLOOKUP(DATE($K$1,$K$2,WZV$4),Table1[],(MATCH(Calendar!$A18,DB!$1:$1,0)),FALSE)),"")</f>
        <v/>
      </c>
      <c r="WZW18" s="28" t="str">
        <f>IFERROR(IF(XAF3="No",IF(VLOOKUP(DATE($K$1,$K$2,WZW$4),Table1[],(MATCH(Calendar!$A18,DB!$1:$1,0)),FALSE)&gt;=5,"Good","Bad"),VLOOKUP(DATE($K$1,$K$2,WZW$4),Table1[],(MATCH(Calendar!$A18,DB!$1:$1,0)),FALSE)),"")</f>
        <v/>
      </c>
      <c r="WZX18" s="28" t="str">
        <f>IFERROR(IF(XAG3="No",IF(VLOOKUP(DATE($K$1,$K$2,WZX$4),Table1[],(MATCH(Calendar!$A18,DB!$1:$1,0)),FALSE)&gt;=5,"Good","Bad"),VLOOKUP(DATE($K$1,$K$2,WZX$4),Table1[],(MATCH(Calendar!$A18,DB!$1:$1,0)),FALSE)),"")</f>
        <v/>
      </c>
      <c r="WZY18" s="28" t="str">
        <f>IFERROR(IF(XAH3="No",IF(VLOOKUP(DATE($K$1,$K$2,WZY$4),Table1[],(MATCH(Calendar!$A18,DB!$1:$1,0)),FALSE)&gt;=5,"Good","Bad"),VLOOKUP(DATE($K$1,$K$2,WZY$4),Table1[],(MATCH(Calendar!$A18,DB!$1:$1,0)),FALSE)),"")</f>
        <v/>
      </c>
      <c r="WZZ18" s="28" t="str">
        <f>IFERROR(IF(XAI3="No",IF(VLOOKUP(DATE($K$1,$K$2,WZZ$4),Table1[],(MATCH(Calendar!$A18,DB!$1:$1,0)),FALSE)&gt;=5,"Good","Bad"),VLOOKUP(DATE($K$1,$K$2,WZZ$4),Table1[],(MATCH(Calendar!$A18,DB!$1:$1,0)),FALSE)),"")</f>
        <v/>
      </c>
      <c r="XAA18" s="28" t="str">
        <f>IFERROR(IF(XAJ3="No",IF(VLOOKUP(DATE($K$1,$K$2,XAA$4),Table1[],(MATCH(Calendar!$A18,DB!$1:$1,0)),FALSE)&gt;=5,"Good","Bad"),VLOOKUP(DATE($K$1,$K$2,XAA$4),Table1[],(MATCH(Calendar!$A18,DB!$1:$1,0)),FALSE)),"")</f>
        <v/>
      </c>
      <c r="XAB18" s="28" t="str">
        <f>IFERROR(IF(XAK3="No",IF(VLOOKUP(DATE($K$1,$K$2,XAB$4),Table1[],(MATCH(Calendar!$A18,DB!$1:$1,0)),FALSE)&gt;=5,"Good","Bad"),VLOOKUP(DATE($K$1,$K$2,XAB$4),Table1[],(MATCH(Calendar!$A18,DB!$1:$1,0)),FALSE)),"")</f>
        <v/>
      </c>
      <c r="XAC18" s="28" t="str">
        <f>IFERROR(IF(XAL3="No",IF(VLOOKUP(DATE($K$1,$K$2,XAC$4),Table1[],(MATCH(Calendar!$A18,DB!$1:$1,0)),FALSE)&gt;=5,"Good","Bad"),VLOOKUP(DATE($K$1,$K$2,XAC$4),Table1[],(MATCH(Calendar!$A18,DB!$1:$1,0)),FALSE)),"")</f>
        <v/>
      </c>
      <c r="XAD18" s="28" t="str">
        <f>IFERROR(IF(XAM3="No",IF(VLOOKUP(DATE($K$1,$K$2,XAD$4),Table1[],(MATCH(Calendar!$A18,DB!$1:$1,0)),FALSE)&gt;=5,"Good","Bad"),VLOOKUP(DATE($K$1,$K$2,XAD$4),Table1[],(MATCH(Calendar!$A18,DB!$1:$1,0)),FALSE)),"")</f>
        <v/>
      </c>
      <c r="XAE18" s="28" t="str">
        <f>IFERROR(IF(XAN3="No",IF(VLOOKUP(DATE($K$1,$K$2,XAE$4),Table1[],(MATCH(Calendar!$A18,DB!$1:$1,0)),FALSE)&gt;=5,"Good","Bad"),VLOOKUP(DATE($K$1,$K$2,XAE$4),Table1[],(MATCH(Calendar!$A18,DB!$1:$1,0)),FALSE)),"")</f>
        <v/>
      </c>
      <c r="XAF18" s="28" t="str">
        <f>IFERROR(IF(XAO3="No",IF(VLOOKUP(DATE($K$1,$K$2,XAF$4),Table1[],(MATCH(Calendar!$A18,DB!$1:$1,0)),FALSE)&gt;=5,"Good","Bad"),VLOOKUP(DATE($K$1,$K$2,XAF$4),Table1[],(MATCH(Calendar!$A18,DB!$1:$1,0)),FALSE)),"")</f>
        <v/>
      </c>
      <c r="XAG18" s="28" t="str">
        <f>IFERROR(IF(XAP3="No",IF(VLOOKUP(DATE($K$1,$K$2,XAG$4),Table1[],(MATCH(Calendar!$A18,DB!$1:$1,0)),FALSE)&gt;=5,"Good","Bad"),VLOOKUP(DATE($K$1,$K$2,XAG$4),Table1[],(MATCH(Calendar!$A18,DB!$1:$1,0)),FALSE)),"")</f>
        <v/>
      </c>
      <c r="XAH18" s="28" t="str">
        <f>IFERROR(IF(XAQ3="No",IF(VLOOKUP(DATE($K$1,$K$2,XAH$4),Table1[],(MATCH(Calendar!$A18,DB!$1:$1,0)),FALSE)&gt;=5,"Good","Bad"),VLOOKUP(DATE($K$1,$K$2,XAH$4),Table1[],(MATCH(Calendar!$A18,DB!$1:$1,0)),FALSE)),"")</f>
        <v/>
      </c>
      <c r="XAI18" s="28" t="str">
        <f>IFERROR(IF(XAR3="No",IF(VLOOKUP(DATE($K$1,$K$2,XAI$4),Table1[],(MATCH(Calendar!$A18,DB!$1:$1,0)),FALSE)&gt;=5,"Good","Bad"),VLOOKUP(DATE($K$1,$K$2,XAI$4),Table1[],(MATCH(Calendar!$A18,DB!$1:$1,0)),FALSE)),"")</f>
        <v/>
      </c>
      <c r="XAJ18" s="28" t="str">
        <f>IFERROR(IF(XAS3="No",IF(VLOOKUP(DATE($K$1,$K$2,XAJ$4),Table1[],(MATCH(Calendar!$A18,DB!$1:$1,0)),FALSE)&gt;=5,"Good","Bad"),VLOOKUP(DATE($K$1,$K$2,XAJ$4),Table1[],(MATCH(Calendar!$A18,DB!$1:$1,0)),FALSE)),"")</f>
        <v/>
      </c>
      <c r="XAK18" s="28" t="str">
        <f>IFERROR(IF(XAT3="No",IF(VLOOKUP(DATE($K$1,$K$2,XAK$4),Table1[],(MATCH(Calendar!$A18,DB!$1:$1,0)),FALSE)&gt;=5,"Good","Bad"),VLOOKUP(DATE($K$1,$K$2,XAK$4),Table1[],(MATCH(Calendar!$A18,DB!$1:$1,0)),FALSE)),"")</f>
        <v/>
      </c>
      <c r="XAL18" s="28" t="str">
        <f>IFERROR(IF(XAU3="No",IF(VLOOKUP(DATE($K$1,$K$2,XAL$4),Table1[],(MATCH(Calendar!$A18,DB!$1:$1,0)),FALSE)&gt;=5,"Good","Bad"),VLOOKUP(DATE($K$1,$K$2,XAL$4),Table1[],(MATCH(Calendar!$A18,DB!$1:$1,0)),FALSE)),"")</f>
        <v/>
      </c>
      <c r="XAM18" s="28" t="str">
        <f>IFERROR(IF(XAV3="No",IF(VLOOKUP(DATE($K$1,$K$2,XAM$4),Table1[],(MATCH(Calendar!$A18,DB!$1:$1,0)),FALSE)&gt;=5,"Good","Bad"),VLOOKUP(DATE($K$1,$K$2,XAM$4),Table1[],(MATCH(Calendar!$A18,DB!$1:$1,0)),FALSE)),"")</f>
        <v/>
      </c>
      <c r="XAN18" s="28" t="str">
        <f>IFERROR(IF(XAW3="No",IF(VLOOKUP(DATE($K$1,$K$2,XAN$4),Table1[],(MATCH(Calendar!$A18,DB!$1:$1,0)),FALSE)&gt;=5,"Good","Bad"),VLOOKUP(DATE($K$1,$K$2,XAN$4),Table1[],(MATCH(Calendar!$A18,DB!$1:$1,0)),FALSE)),"")</f>
        <v/>
      </c>
      <c r="XAO18" s="28" t="str">
        <f>IFERROR(IF(XAX3="No",IF(VLOOKUP(DATE($K$1,$K$2,XAO$4),Table1[],(MATCH(Calendar!$A18,DB!$1:$1,0)),FALSE)&gt;=5,"Good","Bad"),VLOOKUP(DATE($K$1,$K$2,XAO$4),Table1[],(MATCH(Calendar!$A18,DB!$1:$1,0)),FALSE)),"")</f>
        <v/>
      </c>
      <c r="XAP18" s="28" t="str">
        <f>IFERROR(IF(XAY3="No",IF(VLOOKUP(DATE($K$1,$K$2,XAP$4),Table1[],(MATCH(Calendar!$A18,DB!$1:$1,0)),FALSE)&gt;=5,"Good","Bad"),VLOOKUP(DATE($K$1,$K$2,XAP$4),Table1[],(MATCH(Calendar!$A18,DB!$1:$1,0)),FALSE)),"")</f>
        <v/>
      </c>
      <c r="XAQ18" s="28" t="str">
        <f>IFERROR(IF(XAZ3="No",IF(VLOOKUP(DATE($K$1,$K$2,XAQ$4),Table1[],(MATCH(Calendar!$A18,DB!$1:$1,0)),FALSE)&gt;=5,"Good","Bad"),VLOOKUP(DATE($K$1,$K$2,XAQ$4),Table1[],(MATCH(Calendar!$A18,DB!$1:$1,0)),FALSE)),"")</f>
        <v/>
      </c>
      <c r="XAR18" s="28" t="str">
        <f>IFERROR(IF(XBA3="No",IF(VLOOKUP(DATE($K$1,$K$2,XAR$4),Table1[],(MATCH(Calendar!$A18,DB!$1:$1,0)),FALSE)&gt;=5,"Good","Bad"),VLOOKUP(DATE($K$1,$K$2,XAR$4),Table1[],(MATCH(Calendar!$A18,DB!$1:$1,0)),FALSE)),"")</f>
        <v/>
      </c>
      <c r="XAS18" s="28" t="str">
        <f>IFERROR(IF(XBB3="No",IF(VLOOKUP(DATE($K$1,$K$2,XAS$4),Table1[],(MATCH(Calendar!$A18,DB!$1:$1,0)),FALSE)&gt;=5,"Good","Bad"),VLOOKUP(DATE($K$1,$K$2,XAS$4),Table1[],(MATCH(Calendar!$A18,DB!$1:$1,0)),FALSE)),"")</f>
        <v/>
      </c>
      <c r="XAT18" s="28" t="str">
        <f>IFERROR(IF(XBC3="No",IF(VLOOKUP(DATE($K$1,$K$2,XAT$4),Table1[],(MATCH(Calendar!$A18,DB!$1:$1,0)),FALSE)&gt;=5,"Good","Bad"),VLOOKUP(DATE($K$1,$K$2,XAT$4),Table1[],(MATCH(Calendar!$A18,DB!$1:$1,0)),FALSE)),"")</f>
        <v/>
      </c>
      <c r="XAU18" s="28" t="str">
        <f>IFERROR(IF(XBD3="No",IF(VLOOKUP(DATE($K$1,$K$2,XAU$4),Table1[],(MATCH(Calendar!$A18,DB!$1:$1,0)),FALSE)&gt;=5,"Good","Bad"),VLOOKUP(DATE($K$1,$K$2,XAU$4),Table1[],(MATCH(Calendar!$A18,DB!$1:$1,0)),FALSE)),"")</f>
        <v/>
      </c>
      <c r="XAV18" s="28" t="str">
        <f>IFERROR(IF(XBE3="No",IF(VLOOKUP(DATE($K$1,$K$2,XAV$4),Table1[],(MATCH(Calendar!$A18,DB!$1:$1,0)),FALSE)&gt;=5,"Good","Bad"),VLOOKUP(DATE($K$1,$K$2,XAV$4),Table1[],(MATCH(Calendar!$A18,DB!$1:$1,0)),FALSE)),"")</f>
        <v/>
      </c>
      <c r="XAW18" s="28" t="str">
        <f>IFERROR(IF(XBF3="No",IF(VLOOKUP(DATE($K$1,$K$2,XAW$4),Table1[],(MATCH(Calendar!$A18,DB!$1:$1,0)),FALSE)&gt;=5,"Good","Bad"),VLOOKUP(DATE($K$1,$K$2,XAW$4),Table1[],(MATCH(Calendar!$A18,DB!$1:$1,0)),FALSE)),"")</f>
        <v/>
      </c>
      <c r="XAX18" s="28" t="str">
        <f>IFERROR(IF(XBG3="No",IF(VLOOKUP(DATE($K$1,$K$2,XAX$4),Table1[],(MATCH(Calendar!$A18,DB!$1:$1,0)),FALSE)&gt;=5,"Good","Bad"),VLOOKUP(DATE($K$1,$K$2,XAX$4),Table1[],(MATCH(Calendar!$A18,DB!$1:$1,0)),FALSE)),"")</f>
        <v/>
      </c>
      <c r="XAY18" s="28" t="str">
        <f>IFERROR(IF(XBH3="No",IF(VLOOKUP(DATE($K$1,$K$2,XAY$4),Table1[],(MATCH(Calendar!$A18,DB!$1:$1,0)),FALSE)&gt;=5,"Good","Bad"),VLOOKUP(DATE($K$1,$K$2,XAY$4),Table1[],(MATCH(Calendar!$A18,DB!$1:$1,0)),FALSE)),"")</f>
        <v/>
      </c>
      <c r="XAZ18" s="28" t="str">
        <f>IFERROR(IF(XBI3="No",IF(VLOOKUP(DATE($K$1,$K$2,XAZ$4),Table1[],(MATCH(Calendar!$A18,DB!$1:$1,0)),FALSE)&gt;=5,"Good","Bad"),VLOOKUP(DATE($K$1,$K$2,XAZ$4),Table1[],(MATCH(Calendar!$A18,DB!$1:$1,0)),FALSE)),"")</f>
        <v/>
      </c>
      <c r="XBA18" s="28" t="str">
        <f>IFERROR(IF(XBJ3="No",IF(VLOOKUP(DATE($K$1,$K$2,XBA$4),Table1[],(MATCH(Calendar!$A18,DB!$1:$1,0)),FALSE)&gt;=5,"Good","Bad"),VLOOKUP(DATE($K$1,$K$2,XBA$4),Table1[],(MATCH(Calendar!$A18,DB!$1:$1,0)),FALSE)),"")</f>
        <v/>
      </c>
      <c r="XBB18" s="28" t="str">
        <f>IFERROR(IF(XBK3="No",IF(VLOOKUP(DATE($K$1,$K$2,XBB$4),Table1[],(MATCH(Calendar!$A18,DB!$1:$1,0)),FALSE)&gt;=5,"Good","Bad"),VLOOKUP(DATE($K$1,$K$2,XBB$4),Table1[],(MATCH(Calendar!$A18,DB!$1:$1,0)),FALSE)),"")</f>
        <v/>
      </c>
      <c r="XBC18" s="28" t="str">
        <f>IFERROR(IF(XBL3="No",IF(VLOOKUP(DATE($K$1,$K$2,XBC$4),Table1[],(MATCH(Calendar!$A18,DB!$1:$1,0)),FALSE)&gt;=5,"Good","Bad"),VLOOKUP(DATE($K$1,$K$2,XBC$4),Table1[],(MATCH(Calendar!$A18,DB!$1:$1,0)),FALSE)),"")</f>
        <v/>
      </c>
      <c r="XBD18" s="28" t="str">
        <f>IFERROR(IF(XBM3="No",IF(VLOOKUP(DATE($K$1,$K$2,XBD$4),Table1[],(MATCH(Calendar!$A18,DB!$1:$1,0)),FALSE)&gt;=5,"Good","Bad"),VLOOKUP(DATE($K$1,$K$2,XBD$4),Table1[],(MATCH(Calendar!$A18,DB!$1:$1,0)),FALSE)),"")</f>
        <v/>
      </c>
      <c r="XBE18" s="28" t="str">
        <f>IFERROR(IF(XBN3="No",IF(VLOOKUP(DATE($K$1,$K$2,XBE$4),Table1[],(MATCH(Calendar!$A18,DB!$1:$1,0)),FALSE)&gt;=5,"Good","Bad"),VLOOKUP(DATE($K$1,$K$2,XBE$4),Table1[],(MATCH(Calendar!$A18,DB!$1:$1,0)),FALSE)),"")</f>
        <v/>
      </c>
      <c r="XBF18" s="28" t="str">
        <f>IFERROR(IF(XBO3="No",IF(VLOOKUP(DATE($K$1,$K$2,XBF$4),Table1[],(MATCH(Calendar!$A18,DB!$1:$1,0)),FALSE)&gt;=5,"Good","Bad"),VLOOKUP(DATE($K$1,$K$2,XBF$4),Table1[],(MATCH(Calendar!$A18,DB!$1:$1,0)),FALSE)),"")</f>
        <v/>
      </c>
      <c r="XBG18" s="28" t="str">
        <f>IFERROR(IF(XBP3="No",IF(VLOOKUP(DATE($K$1,$K$2,XBG$4),Table1[],(MATCH(Calendar!$A18,DB!$1:$1,0)),FALSE)&gt;=5,"Good","Bad"),VLOOKUP(DATE($K$1,$K$2,XBG$4),Table1[],(MATCH(Calendar!$A18,DB!$1:$1,0)),FALSE)),"")</f>
        <v/>
      </c>
      <c r="XBH18" s="28" t="str">
        <f>IFERROR(IF(XBQ3="No",IF(VLOOKUP(DATE($K$1,$K$2,XBH$4),Table1[],(MATCH(Calendar!$A18,DB!$1:$1,0)),FALSE)&gt;=5,"Good","Bad"),VLOOKUP(DATE($K$1,$K$2,XBH$4),Table1[],(MATCH(Calendar!$A18,DB!$1:$1,0)),FALSE)),"")</f>
        <v/>
      </c>
      <c r="XBI18" s="28" t="str">
        <f>IFERROR(IF(XBR3="No",IF(VLOOKUP(DATE($K$1,$K$2,XBI$4),Table1[],(MATCH(Calendar!$A18,DB!$1:$1,0)),FALSE)&gt;=5,"Good","Bad"),VLOOKUP(DATE($K$1,$K$2,XBI$4),Table1[],(MATCH(Calendar!$A18,DB!$1:$1,0)),FALSE)),"")</f>
        <v/>
      </c>
      <c r="XBJ18" s="28" t="str">
        <f>IFERROR(IF(XBS3="No",IF(VLOOKUP(DATE($K$1,$K$2,XBJ$4),Table1[],(MATCH(Calendar!$A18,DB!$1:$1,0)),FALSE)&gt;=5,"Good","Bad"),VLOOKUP(DATE($K$1,$K$2,XBJ$4),Table1[],(MATCH(Calendar!$A18,DB!$1:$1,0)),FALSE)),"")</f>
        <v/>
      </c>
      <c r="XBK18" s="28" t="str">
        <f>IFERROR(IF(XBT3="No",IF(VLOOKUP(DATE($K$1,$K$2,XBK$4),Table1[],(MATCH(Calendar!$A18,DB!$1:$1,0)),FALSE)&gt;=5,"Good","Bad"),VLOOKUP(DATE($K$1,$K$2,XBK$4),Table1[],(MATCH(Calendar!$A18,DB!$1:$1,0)),FALSE)),"")</f>
        <v/>
      </c>
      <c r="XBL18" s="28" t="str">
        <f>IFERROR(IF(XBU3="No",IF(VLOOKUP(DATE($K$1,$K$2,XBL$4),Table1[],(MATCH(Calendar!$A18,DB!$1:$1,0)),FALSE)&gt;=5,"Good","Bad"),VLOOKUP(DATE($K$1,$K$2,XBL$4),Table1[],(MATCH(Calendar!$A18,DB!$1:$1,0)),FALSE)),"")</f>
        <v/>
      </c>
      <c r="XBM18" s="28" t="str">
        <f>IFERROR(IF(XBV3="No",IF(VLOOKUP(DATE($K$1,$K$2,XBM$4),Table1[],(MATCH(Calendar!$A18,DB!$1:$1,0)),FALSE)&gt;=5,"Good","Bad"),VLOOKUP(DATE($K$1,$K$2,XBM$4),Table1[],(MATCH(Calendar!$A18,DB!$1:$1,0)),FALSE)),"")</f>
        <v/>
      </c>
      <c r="XBN18" s="28" t="str">
        <f>IFERROR(IF(XBW3="No",IF(VLOOKUP(DATE($K$1,$K$2,XBN$4),Table1[],(MATCH(Calendar!$A18,DB!$1:$1,0)),FALSE)&gt;=5,"Good","Bad"),VLOOKUP(DATE($K$1,$K$2,XBN$4),Table1[],(MATCH(Calendar!$A18,DB!$1:$1,0)),FALSE)),"")</f>
        <v/>
      </c>
      <c r="XBO18" s="28" t="str">
        <f>IFERROR(IF(XBX3="No",IF(VLOOKUP(DATE($K$1,$K$2,XBO$4),Table1[],(MATCH(Calendar!$A18,DB!$1:$1,0)),FALSE)&gt;=5,"Good","Bad"),VLOOKUP(DATE($K$1,$K$2,XBO$4),Table1[],(MATCH(Calendar!$A18,DB!$1:$1,0)),FALSE)),"")</f>
        <v/>
      </c>
      <c r="XBP18" s="28" t="str">
        <f>IFERROR(IF(XBY3="No",IF(VLOOKUP(DATE($K$1,$K$2,XBP$4),Table1[],(MATCH(Calendar!$A18,DB!$1:$1,0)),FALSE)&gt;=5,"Good","Bad"),VLOOKUP(DATE($K$1,$K$2,XBP$4),Table1[],(MATCH(Calendar!$A18,DB!$1:$1,0)),FALSE)),"")</f>
        <v/>
      </c>
      <c r="XBQ18" s="28" t="str">
        <f>IFERROR(IF(XBZ3="No",IF(VLOOKUP(DATE($K$1,$K$2,XBQ$4),Table1[],(MATCH(Calendar!$A18,DB!$1:$1,0)),FALSE)&gt;=5,"Good","Bad"),VLOOKUP(DATE($K$1,$K$2,XBQ$4),Table1[],(MATCH(Calendar!$A18,DB!$1:$1,0)),FALSE)),"")</f>
        <v/>
      </c>
      <c r="XBR18" s="28" t="str">
        <f>IFERROR(IF(XCA3="No",IF(VLOOKUP(DATE($K$1,$K$2,XBR$4),Table1[],(MATCH(Calendar!$A18,DB!$1:$1,0)),FALSE)&gt;=5,"Good","Bad"),VLOOKUP(DATE($K$1,$K$2,XBR$4),Table1[],(MATCH(Calendar!$A18,DB!$1:$1,0)),FALSE)),"")</f>
        <v/>
      </c>
      <c r="XBS18" s="28" t="str">
        <f>IFERROR(IF(XCB3="No",IF(VLOOKUP(DATE($K$1,$K$2,XBS$4),Table1[],(MATCH(Calendar!$A18,DB!$1:$1,0)),FALSE)&gt;=5,"Good","Bad"),VLOOKUP(DATE($K$1,$K$2,XBS$4),Table1[],(MATCH(Calendar!$A18,DB!$1:$1,0)),FALSE)),"")</f>
        <v/>
      </c>
      <c r="XBT18" s="28" t="str">
        <f>IFERROR(IF(XCC3="No",IF(VLOOKUP(DATE($K$1,$K$2,XBT$4),Table1[],(MATCH(Calendar!$A18,DB!$1:$1,0)),FALSE)&gt;=5,"Good","Bad"),VLOOKUP(DATE($K$1,$K$2,XBT$4),Table1[],(MATCH(Calendar!$A18,DB!$1:$1,0)),FALSE)),"")</f>
        <v/>
      </c>
      <c r="XBU18" s="28" t="str">
        <f>IFERROR(IF(XCD3="No",IF(VLOOKUP(DATE($K$1,$K$2,XBU$4),Table1[],(MATCH(Calendar!$A18,DB!$1:$1,0)),FALSE)&gt;=5,"Good","Bad"),VLOOKUP(DATE($K$1,$K$2,XBU$4),Table1[],(MATCH(Calendar!$A18,DB!$1:$1,0)),FALSE)),"")</f>
        <v/>
      </c>
      <c r="XBV18" s="28" t="str">
        <f>IFERROR(IF(XCE3="No",IF(VLOOKUP(DATE($K$1,$K$2,XBV$4),Table1[],(MATCH(Calendar!$A18,DB!$1:$1,0)),FALSE)&gt;=5,"Good","Bad"),VLOOKUP(DATE($K$1,$K$2,XBV$4),Table1[],(MATCH(Calendar!$A18,DB!$1:$1,0)),FALSE)),"")</f>
        <v/>
      </c>
      <c r="XBW18" s="28" t="str">
        <f>IFERROR(IF(XCF3="No",IF(VLOOKUP(DATE($K$1,$K$2,XBW$4),Table1[],(MATCH(Calendar!$A18,DB!$1:$1,0)),FALSE)&gt;=5,"Good","Bad"),VLOOKUP(DATE($K$1,$K$2,XBW$4),Table1[],(MATCH(Calendar!$A18,DB!$1:$1,0)),FALSE)),"")</f>
        <v/>
      </c>
      <c r="XBX18" s="28" t="str">
        <f>IFERROR(IF(XCG3="No",IF(VLOOKUP(DATE($K$1,$K$2,XBX$4),Table1[],(MATCH(Calendar!$A18,DB!$1:$1,0)),FALSE)&gt;=5,"Good","Bad"),VLOOKUP(DATE($K$1,$K$2,XBX$4),Table1[],(MATCH(Calendar!$A18,DB!$1:$1,0)),FALSE)),"")</f>
        <v/>
      </c>
      <c r="XBY18" s="28" t="str">
        <f>IFERROR(IF(XCH3="No",IF(VLOOKUP(DATE($K$1,$K$2,XBY$4),Table1[],(MATCH(Calendar!$A18,DB!$1:$1,0)),FALSE)&gt;=5,"Good","Bad"),VLOOKUP(DATE($K$1,$K$2,XBY$4),Table1[],(MATCH(Calendar!$A18,DB!$1:$1,0)),FALSE)),"")</f>
        <v/>
      </c>
      <c r="XBZ18" s="28" t="str">
        <f>IFERROR(IF(XCI3="No",IF(VLOOKUP(DATE($K$1,$K$2,XBZ$4),Table1[],(MATCH(Calendar!$A18,DB!$1:$1,0)),FALSE)&gt;=5,"Good","Bad"),VLOOKUP(DATE($K$1,$K$2,XBZ$4),Table1[],(MATCH(Calendar!$A18,DB!$1:$1,0)),FALSE)),"")</f>
        <v/>
      </c>
      <c r="XCA18" s="28" t="str">
        <f>IFERROR(IF(XCJ3="No",IF(VLOOKUP(DATE($K$1,$K$2,XCA$4),Table1[],(MATCH(Calendar!$A18,DB!$1:$1,0)),FALSE)&gt;=5,"Good","Bad"),VLOOKUP(DATE($K$1,$K$2,XCA$4),Table1[],(MATCH(Calendar!$A18,DB!$1:$1,0)),FALSE)),"")</f>
        <v/>
      </c>
      <c r="XCB18" s="28" t="str">
        <f>IFERROR(IF(XCK3="No",IF(VLOOKUP(DATE($K$1,$K$2,XCB$4),Table1[],(MATCH(Calendar!$A18,DB!$1:$1,0)),FALSE)&gt;=5,"Good","Bad"),VLOOKUP(DATE($K$1,$K$2,XCB$4),Table1[],(MATCH(Calendar!$A18,DB!$1:$1,0)),FALSE)),"")</f>
        <v/>
      </c>
      <c r="XCC18" s="28" t="str">
        <f>IFERROR(IF(XCL3="No",IF(VLOOKUP(DATE($K$1,$K$2,XCC$4),Table1[],(MATCH(Calendar!$A18,DB!$1:$1,0)),FALSE)&gt;=5,"Good","Bad"),VLOOKUP(DATE($K$1,$K$2,XCC$4),Table1[],(MATCH(Calendar!$A18,DB!$1:$1,0)),FALSE)),"")</f>
        <v/>
      </c>
      <c r="XCD18" s="28" t="str">
        <f>IFERROR(IF(XCM3="No",IF(VLOOKUP(DATE($K$1,$K$2,XCD$4),Table1[],(MATCH(Calendar!$A18,DB!$1:$1,0)),FALSE)&gt;=5,"Good","Bad"),VLOOKUP(DATE($K$1,$K$2,XCD$4),Table1[],(MATCH(Calendar!$A18,DB!$1:$1,0)),FALSE)),"")</f>
        <v/>
      </c>
      <c r="XCE18" s="28" t="str">
        <f>IFERROR(IF(XCN3="No",IF(VLOOKUP(DATE($K$1,$K$2,XCE$4),Table1[],(MATCH(Calendar!$A18,DB!$1:$1,0)),FALSE)&gt;=5,"Good","Bad"),VLOOKUP(DATE($K$1,$K$2,XCE$4),Table1[],(MATCH(Calendar!$A18,DB!$1:$1,0)),FALSE)),"")</f>
        <v/>
      </c>
      <c r="XCF18" s="28" t="str">
        <f>IFERROR(IF(XCO3="No",IF(VLOOKUP(DATE($K$1,$K$2,XCF$4),Table1[],(MATCH(Calendar!$A18,DB!$1:$1,0)),FALSE)&gt;=5,"Good","Bad"),VLOOKUP(DATE($K$1,$K$2,XCF$4),Table1[],(MATCH(Calendar!$A18,DB!$1:$1,0)),FALSE)),"")</f>
        <v/>
      </c>
      <c r="XCG18" s="28" t="str">
        <f>IFERROR(IF(XCP3="No",IF(VLOOKUP(DATE($K$1,$K$2,XCG$4),Table1[],(MATCH(Calendar!$A18,DB!$1:$1,0)),FALSE)&gt;=5,"Good","Bad"),VLOOKUP(DATE($K$1,$K$2,XCG$4),Table1[],(MATCH(Calendar!$A18,DB!$1:$1,0)),FALSE)),"")</f>
        <v/>
      </c>
      <c r="XCH18" s="28" t="str">
        <f>IFERROR(IF(XCQ3="No",IF(VLOOKUP(DATE($K$1,$K$2,XCH$4),Table1[],(MATCH(Calendar!$A18,DB!$1:$1,0)),FALSE)&gt;=5,"Good","Bad"),VLOOKUP(DATE($K$1,$K$2,XCH$4),Table1[],(MATCH(Calendar!$A18,DB!$1:$1,0)),FALSE)),"")</f>
        <v/>
      </c>
      <c r="XCI18" s="28" t="str">
        <f>IFERROR(IF(XCR3="No",IF(VLOOKUP(DATE($K$1,$K$2,XCI$4),Table1[],(MATCH(Calendar!$A18,DB!$1:$1,0)),FALSE)&gt;=5,"Good","Bad"),VLOOKUP(DATE($K$1,$K$2,XCI$4),Table1[],(MATCH(Calendar!$A18,DB!$1:$1,0)),FALSE)),"")</f>
        <v/>
      </c>
      <c r="XCJ18" s="28" t="str">
        <f>IFERROR(IF(XCS3="No",IF(VLOOKUP(DATE($K$1,$K$2,XCJ$4),Table1[],(MATCH(Calendar!$A18,DB!$1:$1,0)),FALSE)&gt;=5,"Good","Bad"),VLOOKUP(DATE($K$1,$K$2,XCJ$4),Table1[],(MATCH(Calendar!$A18,DB!$1:$1,0)),FALSE)),"")</f>
        <v/>
      </c>
      <c r="XCK18" s="28" t="str">
        <f>IFERROR(IF(XCT3="No",IF(VLOOKUP(DATE($K$1,$K$2,XCK$4),Table1[],(MATCH(Calendar!$A18,DB!$1:$1,0)),FALSE)&gt;=5,"Good","Bad"),VLOOKUP(DATE($K$1,$K$2,XCK$4),Table1[],(MATCH(Calendar!$A18,DB!$1:$1,0)),FALSE)),"")</f>
        <v/>
      </c>
      <c r="XCL18" s="28" t="str">
        <f>IFERROR(IF(XCU3="No",IF(VLOOKUP(DATE($K$1,$K$2,XCL$4),Table1[],(MATCH(Calendar!$A18,DB!$1:$1,0)),FALSE)&gt;=5,"Good","Bad"),VLOOKUP(DATE($K$1,$K$2,XCL$4),Table1[],(MATCH(Calendar!$A18,DB!$1:$1,0)),FALSE)),"")</f>
        <v/>
      </c>
      <c r="XCM18" s="28" t="str">
        <f>IFERROR(IF(XCV3="No",IF(VLOOKUP(DATE($K$1,$K$2,XCM$4),Table1[],(MATCH(Calendar!$A18,DB!$1:$1,0)),FALSE)&gt;=5,"Good","Bad"),VLOOKUP(DATE($K$1,$K$2,XCM$4),Table1[],(MATCH(Calendar!$A18,DB!$1:$1,0)),FALSE)),"")</f>
        <v/>
      </c>
      <c r="XCN18" s="28" t="str">
        <f>IFERROR(IF(XCW3="No",IF(VLOOKUP(DATE($K$1,$K$2,XCN$4),Table1[],(MATCH(Calendar!$A18,DB!$1:$1,0)),FALSE)&gt;=5,"Good","Bad"),VLOOKUP(DATE($K$1,$K$2,XCN$4),Table1[],(MATCH(Calendar!$A18,DB!$1:$1,0)),FALSE)),"")</f>
        <v/>
      </c>
      <c r="XCO18" s="28" t="str">
        <f>IFERROR(IF(XCX3="No",IF(VLOOKUP(DATE($K$1,$K$2,XCO$4),Table1[],(MATCH(Calendar!$A18,DB!$1:$1,0)),FALSE)&gt;=5,"Good","Bad"),VLOOKUP(DATE($K$1,$K$2,XCO$4),Table1[],(MATCH(Calendar!$A18,DB!$1:$1,0)),FALSE)),"")</f>
        <v/>
      </c>
      <c r="XCP18" s="28" t="str">
        <f>IFERROR(IF(XCY3="No",IF(VLOOKUP(DATE($K$1,$K$2,XCP$4),Table1[],(MATCH(Calendar!$A18,DB!$1:$1,0)),FALSE)&gt;=5,"Good","Bad"),VLOOKUP(DATE($K$1,$K$2,XCP$4),Table1[],(MATCH(Calendar!$A18,DB!$1:$1,0)),FALSE)),"")</f>
        <v/>
      </c>
      <c r="XCQ18" s="28" t="str">
        <f>IFERROR(IF(XCZ3="No",IF(VLOOKUP(DATE($K$1,$K$2,XCQ$4),Table1[],(MATCH(Calendar!$A18,DB!$1:$1,0)),FALSE)&gt;=5,"Good","Bad"),VLOOKUP(DATE($K$1,$K$2,XCQ$4),Table1[],(MATCH(Calendar!$A18,DB!$1:$1,0)),FALSE)),"")</f>
        <v/>
      </c>
      <c r="XCR18" s="28" t="str">
        <f>IFERROR(IF(XDA3="No",IF(VLOOKUP(DATE($K$1,$K$2,XCR$4),Table1[],(MATCH(Calendar!$A18,DB!$1:$1,0)),FALSE)&gt;=5,"Good","Bad"),VLOOKUP(DATE($K$1,$K$2,XCR$4),Table1[],(MATCH(Calendar!$A18,DB!$1:$1,0)),FALSE)),"")</f>
        <v/>
      </c>
      <c r="XCS18" s="28" t="str">
        <f>IFERROR(IF(XDB3="No",IF(VLOOKUP(DATE($K$1,$K$2,XCS$4),Table1[],(MATCH(Calendar!$A18,DB!$1:$1,0)),FALSE)&gt;=5,"Good","Bad"),VLOOKUP(DATE($K$1,$K$2,XCS$4),Table1[],(MATCH(Calendar!$A18,DB!$1:$1,0)),FALSE)),"")</f>
        <v/>
      </c>
      <c r="XCT18" s="28" t="str">
        <f>IFERROR(IF(XDC3="No",IF(VLOOKUP(DATE($K$1,$K$2,XCT$4),Table1[],(MATCH(Calendar!$A18,DB!$1:$1,0)),FALSE)&gt;=5,"Good","Bad"),VLOOKUP(DATE($K$1,$K$2,XCT$4),Table1[],(MATCH(Calendar!$A18,DB!$1:$1,0)),FALSE)),"")</f>
        <v/>
      </c>
      <c r="XCU18" s="28" t="str">
        <f>IFERROR(IF(XDD3="No",IF(VLOOKUP(DATE($K$1,$K$2,XCU$4),Table1[],(MATCH(Calendar!$A18,DB!$1:$1,0)),FALSE)&gt;=5,"Good","Bad"),VLOOKUP(DATE($K$1,$K$2,XCU$4),Table1[],(MATCH(Calendar!$A18,DB!$1:$1,0)),FALSE)),"")</f>
        <v/>
      </c>
      <c r="XCV18" s="28" t="str">
        <f>IFERROR(IF(XDE3="No",IF(VLOOKUP(DATE($K$1,$K$2,XCV$4),Table1[],(MATCH(Calendar!$A18,DB!$1:$1,0)),FALSE)&gt;=5,"Good","Bad"),VLOOKUP(DATE($K$1,$K$2,XCV$4),Table1[],(MATCH(Calendar!$A18,DB!$1:$1,0)),FALSE)),"")</f>
        <v/>
      </c>
      <c r="XCW18" s="28" t="str">
        <f>IFERROR(IF(XDF3="No",IF(VLOOKUP(DATE($K$1,$K$2,XCW$4),Table1[],(MATCH(Calendar!$A18,DB!$1:$1,0)),FALSE)&gt;=5,"Good","Bad"),VLOOKUP(DATE($K$1,$K$2,XCW$4),Table1[],(MATCH(Calendar!$A18,DB!$1:$1,0)),FALSE)),"")</f>
        <v/>
      </c>
      <c r="XCX18" s="28" t="str">
        <f>IFERROR(IF(XDG3="No",IF(VLOOKUP(DATE($K$1,$K$2,XCX$4),Table1[],(MATCH(Calendar!$A18,DB!$1:$1,0)),FALSE)&gt;=5,"Good","Bad"),VLOOKUP(DATE($K$1,$K$2,XCX$4),Table1[],(MATCH(Calendar!$A18,DB!$1:$1,0)),FALSE)),"")</f>
        <v/>
      </c>
      <c r="XCY18" s="28" t="str">
        <f>IFERROR(IF(XDH3="No",IF(VLOOKUP(DATE($K$1,$K$2,XCY$4),Table1[],(MATCH(Calendar!$A18,DB!$1:$1,0)),FALSE)&gt;=5,"Good","Bad"),VLOOKUP(DATE($K$1,$K$2,XCY$4),Table1[],(MATCH(Calendar!$A18,DB!$1:$1,0)),FALSE)),"")</f>
        <v/>
      </c>
      <c r="XCZ18" s="28" t="str">
        <f>IFERROR(IF(XDI3="No",IF(VLOOKUP(DATE($K$1,$K$2,XCZ$4),Table1[],(MATCH(Calendar!$A18,DB!$1:$1,0)),FALSE)&gt;=5,"Good","Bad"),VLOOKUP(DATE($K$1,$K$2,XCZ$4),Table1[],(MATCH(Calendar!$A18,DB!$1:$1,0)),FALSE)),"")</f>
        <v/>
      </c>
      <c r="XDA18" s="28" t="str">
        <f>IFERROR(IF(XDJ3="No",IF(VLOOKUP(DATE($K$1,$K$2,XDA$4),Table1[],(MATCH(Calendar!$A18,DB!$1:$1,0)),FALSE)&gt;=5,"Good","Bad"),VLOOKUP(DATE($K$1,$K$2,XDA$4),Table1[],(MATCH(Calendar!$A18,DB!$1:$1,0)),FALSE)),"")</f>
        <v/>
      </c>
      <c r="XDB18" s="28" t="str">
        <f>IFERROR(IF(XDK3="No",IF(VLOOKUP(DATE($K$1,$K$2,XDB$4),Table1[],(MATCH(Calendar!$A18,DB!$1:$1,0)),FALSE)&gt;=5,"Good","Bad"),VLOOKUP(DATE($K$1,$K$2,XDB$4),Table1[],(MATCH(Calendar!$A18,DB!$1:$1,0)),FALSE)),"")</f>
        <v/>
      </c>
      <c r="XDC18" s="28" t="str">
        <f>IFERROR(IF(XDL3="No",IF(VLOOKUP(DATE($K$1,$K$2,XDC$4),Table1[],(MATCH(Calendar!$A18,DB!$1:$1,0)),FALSE)&gt;=5,"Good","Bad"),VLOOKUP(DATE($K$1,$K$2,XDC$4),Table1[],(MATCH(Calendar!$A18,DB!$1:$1,0)),FALSE)),"")</f>
        <v/>
      </c>
      <c r="XDD18" s="28" t="str">
        <f>IFERROR(IF(XDM3="No",IF(VLOOKUP(DATE($K$1,$K$2,XDD$4),Table1[],(MATCH(Calendar!$A18,DB!$1:$1,0)),FALSE)&gt;=5,"Good","Bad"),VLOOKUP(DATE($K$1,$K$2,XDD$4),Table1[],(MATCH(Calendar!$A18,DB!$1:$1,0)),FALSE)),"")</f>
        <v/>
      </c>
      <c r="XDE18" s="28" t="str">
        <f>IFERROR(IF(XDN3="No",IF(VLOOKUP(DATE($K$1,$K$2,XDE$4),Table1[],(MATCH(Calendar!$A18,DB!$1:$1,0)),FALSE)&gt;=5,"Good","Bad"),VLOOKUP(DATE($K$1,$K$2,XDE$4),Table1[],(MATCH(Calendar!$A18,DB!$1:$1,0)),FALSE)),"")</f>
        <v/>
      </c>
      <c r="XDF18" s="28" t="str">
        <f>IFERROR(IF(XDO3="No",IF(VLOOKUP(DATE($K$1,$K$2,XDF$4),Table1[],(MATCH(Calendar!$A18,DB!$1:$1,0)),FALSE)&gt;=5,"Good","Bad"),VLOOKUP(DATE($K$1,$K$2,XDF$4),Table1[],(MATCH(Calendar!$A18,DB!$1:$1,0)),FALSE)),"")</f>
        <v/>
      </c>
      <c r="XDG18" s="28" t="str">
        <f>IFERROR(IF(XDP3="No",IF(VLOOKUP(DATE($K$1,$K$2,XDG$4),Table1[],(MATCH(Calendar!$A18,DB!$1:$1,0)),FALSE)&gt;=5,"Good","Bad"),VLOOKUP(DATE($K$1,$K$2,XDG$4),Table1[],(MATCH(Calendar!$A18,DB!$1:$1,0)),FALSE)),"")</f>
        <v/>
      </c>
      <c r="XDH18" s="28" t="str">
        <f>IFERROR(IF(XDQ3="No",IF(VLOOKUP(DATE($K$1,$K$2,XDH$4),Table1[],(MATCH(Calendar!$A18,DB!$1:$1,0)),FALSE)&gt;=5,"Good","Bad"),VLOOKUP(DATE($K$1,$K$2,XDH$4),Table1[],(MATCH(Calendar!$A18,DB!$1:$1,0)),FALSE)),"")</f>
        <v/>
      </c>
      <c r="XDI18" s="28" t="str">
        <f>IFERROR(IF(XDR3="No",IF(VLOOKUP(DATE($K$1,$K$2,XDI$4),Table1[],(MATCH(Calendar!$A18,DB!$1:$1,0)),FALSE)&gt;=5,"Good","Bad"),VLOOKUP(DATE($K$1,$K$2,XDI$4),Table1[],(MATCH(Calendar!$A18,DB!$1:$1,0)),FALSE)),"")</f>
        <v/>
      </c>
      <c r="XDJ18" s="28" t="str">
        <f>IFERROR(IF(XDS3="No",IF(VLOOKUP(DATE($K$1,$K$2,XDJ$4),Table1[],(MATCH(Calendar!$A18,DB!$1:$1,0)),FALSE)&gt;=5,"Good","Bad"),VLOOKUP(DATE($K$1,$K$2,XDJ$4),Table1[],(MATCH(Calendar!$A18,DB!$1:$1,0)),FALSE)),"")</f>
        <v/>
      </c>
      <c r="XDK18" s="28" t="str">
        <f>IFERROR(IF(XDT3="No",IF(VLOOKUP(DATE($K$1,$K$2,XDK$4),Table1[],(MATCH(Calendar!$A18,DB!$1:$1,0)),FALSE)&gt;=5,"Good","Bad"),VLOOKUP(DATE($K$1,$K$2,XDK$4),Table1[],(MATCH(Calendar!$A18,DB!$1:$1,0)),FALSE)),"")</f>
        <v/>
      </c>
      <c r="XDL18" s="28" t="str">
        <f>IFERROR(IF(XDU3="No",IF(VLOOKUP(DATE($K$1,$K$2,XDL$4),Table1[],(MATCH(Calendar!$A18,DB!$1:$1,0)),FALSE)&gt;=5,"Good","Bad"),VLOOKUP(DATE($K$1,$K$2,XDL$4),Table1[],(MATCH(Calendar!$A18,DB!$1:$1,0)),FALSE)),"")</f>
        <v/>
      </c>
      <c r="XDM18" s="28" t="str">
        <f>IFERROR(IF(XDV3="No",IF(VLOOKUP(DATE($K$1,$K$2,XDM$4),Table1[],(MATCH(Calendar!$A18,DB!$1:$1,0)),FALSE)&gt;=5,"Good","Bad"),VLOOKUP(DATE($K$1,$K$2,XDM$4),Table1[],(MATCH(Calendar!$A18,DB!$1:$1,0)),FALSE)),"")</f>
        <v/>
      </c>
      <c r="XDN18" s="28" t="str">
        <f>IFERROR(IF(XDW3="No",IF(VLOOKUP(DATE($K$1,$K$2,XDN$4),Table1[],(MATCH(Calendar!$A18,DB!$1:$1,0)),FALSE)&gt;=5,"Good","Bad"),VLOOKUP(DATE($K$1,$K$2,XDN$4),Table1[],(MATCH(Calendar!$A18,DB!$1:$1,0)),FALSE)),"")</f>
        <v/>
      </c>
      <c r="XDO18" s="28" t="str">
        <f>IFERROR(IF(XDX3="No",IF(VLOOKUP(DATE($K$1,$K$2,XDO$4),Table1[],(MATCH(Calendar!$A18,DB!$1:$1,0)),FALSE)&gt;=5,"Good","Bad"),VLOOKUP(DATE($K$1,$K$2,XDO$4),Table1[],(MATCH(Calendar!$A18,DB!$1:$1,0)),FALSE)),"")</f>
        <v/>
      </c>
      <c r="XDP18" s="28" t="str">
        <f>IFERROR(IF(XDY3="No",IF(VLOOKUP(DATE($K$1,$K$2,XDP$4),Table1[],(MATCH(Calendar!$A18,DB!$1:$1,0)),FALSE)&gt;=5,"Good","Bad"),VLOOKUP(DATE($K$1,$K$2,XDP$4),Table1[],(MATCH(Calendar!$A18,DB!$1:$1,0)),FALSE)),"")</f>
        <v/>
      </c>
      <c r="XDQ18" s="28" t="str">
        <f>IFERROR(IF(XDZ3="No",IF(VLOOKUP(DATE($K$1,$K$2,XDQ$4),Table1[],(MATCH(Calendar!$A18,DB!$1:$1,0)),FALSE)&gt;=5,"Good","Bad"),VLOOKUP(DATE($K$1,$K$2,XDQ$4),Table1[],(MATCH(Calendar!$A18,DB!$1:$1,0)),FALSE)),"")</f>
        <v/>
      </c>
      <c r="XDR18" s="28" t="str">
        <f>IFERROR(IF(XEA3="No",IF(VLOOKUP(DATE($K$1,$K$2,XDR$4),Table1[],(MATCH(Calendar!$A18,DB!$1:$1,0)),FALSE)&gt;=5,"Good","Bad"),VLOOKUP(DATE($K$1,$K$2,XDR$4),Table1[],(MATCH(Calendar!$A18,DB!$1:$1,0)),FALSE)),"")</f>
        <v/>
      </c>
      <c r="XDS18" s="28" t="str">
        <f>IFERROR(IF(XEB3="No",IF(VLOOKUP(DATE($K$1,$K$2,XDS$4),Table1[],(MATCH(Calendar!$A18,DB!$1:$1,0)),FALSE)&gt;=5,"Good","Bad"),VLOOKUP(DATE($K$1,$K$2,XDS$4),Table1[],(MATCH(Calendar!$A18,DB!$1:$1,0)),FALSE)),"")</f>
        <v/>
      </c>
      <c r="XDT18" s="28" t="str">
        <f>IFERROR(IF(XEC3="No",IF(VLOOKUP(DATE($K$1,$K$2,XDT$4),Table1[],(MATCH(Calendar!$A18,DB!$1:$1,0)),FALSE)&gt;=5,"Good","Bad"),VLOOKUP(DATE($K$1,$K$2,XDT$4),Table1[],(MATCH(Calendar!$A18,DB!$1:$1,0)),FALSE)),"")</f>
        <v/>
      </c>
      <c r="XDU18" s="28" t="str">
        <f>IFERROR(IF(XED3="No",IF(VLOOKUP(DATE($K$1,$K$2,XDU$4),Table1[],(MATCH(Calendar!$A18,DB!$1:$1,0)),FALSE)&gt;=5,"Good","Bad"),VLOOKUP(DATE($K$1,$K$2,XDU$4),Table1[],(MATCH(Calendar!$A18,DB!$1:$1,0)),FALSE)),"")</f>
        <v/>
      </c>
      <c r="XDV18" s="28" t="str">
        <f>IFERROR(IF(XEE3="No",IF(VLOOKUP(DATE($K$1,$K$2,XDV$4),Table1[],(MATCH(Calendar!$A18,DB!$1:$1,0)),FALSE)&gt;=5,"Good","Bad"),VLOOKUP(DATE($K$1,$K$2,XDV$4),Table1[],(MATCH(Calendar!$A18,DB!$1:$1,0)),FALSE)),"")</f>
        <v/>
      </c>
      <c r="XDW18" s="28" t="str">
        <f>IFERROR(IF(XEF3="No",IF(VLOOKUP(DATE($K$1,$K$2,XDW$4),Table1[],(MATCH(Calendar!$A18,DB!$1:$1,0)),FALSE)&gt;=5,"Good","Bad"),VLOOKUP(DATE($K$1,$K$2,XDW$4),Table1[],(MATCH(Calendar!$A18,DB!$1:$1,0)),FALSE)),"")</f>
        <v/>
      </c>
      <c r="XDX18" s="28" t="str">
        <f>IFERROR(IF(XEG3="No",IF(VLOOKUP(DATE($K$1,$K$2,XDX$4),Table1[],(MATCH(Calendar!$A18,DB!$1:$1,0)),FALSE)&gt;=5,"Good","Bad"),VLOOKUP(DATE($K$1,$K$2,XDX$4),Table1[],(MATCH(Calendar!$A18,DB!$1:$1,0)),FALSE)),"")</f>
        <v/>
      </c>
      <c r="XDY18" s="28" t="str">
        <f>IFERROR(IF(XEH3="No",IF(VLOOKUP(DATE($K$1,$K$2,XDY$4),Table1[],(MATCH(Calendar!$A18,DB!$1:$1,0)),FALSE)&gt;=5,"Good","Bad"),VLOOKUP(DATE($K$1,$K$2,XDY$4),Table1[],(MATCH(Calendar!$A18,DB!$1:$1,0)),FALSE)),"")</f>
        <v/>
      </c>
      <c r="XDZ18" s="28" t="str">
        <f>IFERROR(IF(XEI3="No",IF(VLOOKUP(DATE($K$1,$K$2,XDZ$4),Table1[],(MATCH(Calendar!$A18,DB!$1:$1,0)),FALSE)&gt;=5,"Good","Bad"),VLOOKUP(DATE($K$1,$K$2,XDZ$4),Table1[],(MATCH(Calendar!$A18,DB!$1:$1,0)),FALSE)),"")</f>
        <v/>
      </c>
      <c r="XEA18" s="28" t="str">
        <f>IFERROR(IF(XEJ3="No",IF(VLOOKUP(DATE($K$1,$K$2,XEA$4),Table1[],(MATCH(Calendar!$A18,DB!$1:$1,0)),FALSE)&gt;=5,"Good","Bad"),VLOOKUP(DATE($K$1,$K$2,XEA$4),Table1[],(MATCH(Calendar!$A18,DB!$1:$1,0)),FALSE)),"")</f>
        <v/>
      </c>
      <c r="XEB18" s="28" t="str">
        <f>IFERROR(IF(XEK3="No",IF(VLOOKUP(DATE($K$1,$K$2,XEB$4),Table1[],(MATCH(Calendar!$A18,DB!$1:$1,0)),FALSE)&gt;=5,"Good","Bad"),VLOOKUP(DATE($K$1,$K$2,XEB$4),Table1[],(MATCH(Calendar!$A18,DB!$1:$1,0)),FALSE)),"")</f>
        <v/>
      </c>
      <c r="XEC18" s="28" t="str">
        <f>IFERROR(IF(XEL3="No",IF(VLOOKUP(DATE($K$1,$K$2,XEC$4),Table1[],(MATCH(Calendar!$A18,DB!$1:$1,0)),FALSE)&gt;=5,"Good","Bad"),VLOOKUP(DATE($K$1,$K$2,XEC$4),Table1[],(MATCH(Calendar!$A18,DB!$1:$1,0)),FALSE)),"")</f>
        <v/>
      </c>
      <c r="XED18" s="28" t="str">
        <f>IFERROR(IF(XEM3="No",IF(VLOOKUP(DATE($K$1,$K$2,XED$4),Table1[],(MATCH(Calendar!$A18,DB!$1:$1,0)),FALSE)&gt;=5,"Good","Bad"),VLOOKUP(DATE($K$1,$K$2,XED$4),Table1[],(MATCH(Calendar!$A18,DB!$1:$1,0)),FALSE)),"")</f>
        <v/>
      </c>
      <c r="XEE18" s="28" t="str">
        <f>IFERROR(IF(XEN3="No",IF(VLOOKUP(DATE($K$1,$K$2,XEE$4),Table1[],(MATCH(Calendar!$A18,DB!$1:$1,0)),FALSE)&gt;=5,"Good","Bad"),VLOOKUP(DATE($K$1,$K$2,XEE$4),Table1[],(MATCH(Calendar!$A18,DB!$1:$1,0)),FALSE)),"")</f>
        <v/>
      </c>
      <c r="XEF18" s="28" t="str">
        <f>IFERROR(IF(XEO3="No",IF(VLOOKUP(DATE($K$1,$K$2,XEF$4),Table1[],(MATCH(Calendar!$A18,DB!$1:$1,0)),FALSE)&gt;=5,"Good","Bad"),VLOOKUP(DATE($K$1,$K$2,XEF$4),Table1[],(MATCH(Calendar!$A18,DB!$1:$1,0)),FALSE)),"")</f>
        <v/>
      </c>
      <c r="XEG18" s="28" t="str">
        <f>IFERROR(IF(XEP3="No",IF(VLOOKUP(DATE($K$1,$K$2,XEG$4),Table1[],(MATCH(Calendar!$A18,DB!$1:$1,0)),FALSE)&gt;=5,"Good","Bad"),VLOOKUP(DATE($K$1,$K$2,XEG$4),Table1[],(MATCH(Calendar!$A18,DB!$1:$1,0)),FALSE)),"")</f>
        <v/>
      </c>
      <c r="XEH18" s="28" t="str">
        <f>IFERROR(IF(XEQ3="No",IF(VLOOKUP(DATE($K$1,$K$2,XEH$4),Table1[],(MATCH(Calendar!$A18,DB!$1:$1,0)),FALSE)&gt;=5,"Good","Bad"),VLOOKUP(DATE($K$1,$K$2,XEH$4),Table1[],(MATCH(Calendar!$A18,DB!$1:$1,0)),FALSE)),"")</f>
        <v/>
      </c>
      <c r="XEI18" s="28" t="str">
        <f>IFERROR(IF(XER3="No",IF(VLOOKUP(DATE($K$1,$K$2,XEI$4),Table1[],(MATCH(Calendar!$A18,DB!$1:$1,0)),FALSE)&gt;=5,"Good","Bad"),VLOOKUP(DATE($K$1,$K$2,XEI$4),Table1[],(MATCH(Calendar!$A18,DB!$1:$1,0)),FALSE)),"")</f>
        <v/>
      </c>
      <c r="XEJ18" s="28" t="str">
        <f>IFERROR(IF(XES3="No",IF(VLOOKUP(DATE($K$1,$K$2,XEJ$4),Table1[],(MATCH(Calendar!$A18,DB!$1:$1,0)),FALSE)&gt;=5,"Good","Bad"),VLOOKUP(DATE($K$1,$K$2,XEJ$4),Table1[],(MATCH(Calendar!$A18,DB!$1:$1,0)),FALSE)),"")</f>
        <v/>
      </c>
      <c r="XEK18" s="28" t="str">
        <f>IFERROR(IF(XET3="No",IF(VLOOKUP(DATE($K$1,$K$2,XEK$4),Table1[],(MATCH(Calendar!$A18,DB!$1:$1,0)),FALSE)&gt;=5,"Good","Bad"),VLOOKUP(DATE($K$1,$K$2,XEK$4),Table1[],(MATCH(Calendar!$A18,DB!$1:$1,0)),FALSE)),"")</f>
        <v/>
      </c>
      <c r="XEL18" s="28" t="str">
        <f>IFERROR(IF(XEU3="No",IF(VLOOKUP(DATE($K$1,$K$2,XEL$4),Table1[],(MATCH(Calendar!$A18,DB!$1:$1,0)),FALSE)&gt;=5,"Good","Bad"),VLOOKUP(DATE($K$1,$K$2,XEL$4),Table1[],(MATCH(Calendar!$A18,DB!$1:$1,0)),FALSE)),"")</f>
        <v/>
      </c>
      <c r="XEM18" s="28" t="str">
        <f>IFERROR(IF(XEV3="No",IF(VLOOKUP(DATE($K$1,$K$2,XEM$4),Table1[],(MATCH(Calendar!$A18,DB!$1:$1,0)),FALSE)&gt;=5,"Good","Bad"),VLOOKUP(DATE($K$1,$K$2,XEM$4),Table1[],(MATCH(Calendar!$A18,DB!$1:$1,0)),FALSE)),"")</f>
        <v/>
      </c>
      <c r="XEN18" s="28" t="str">
        <f>IFERROR(IF(XEW3="No",IF(VLOOKUP(DATE($K$1,$K$2,XEN$4),Table1[],(MATCH(Calendar!$A18,DB!$1:$1,0)),FALSE)&gt;=5,"Good","Bad"),VLOOKUP(DATE($K$1,$K$2,XEN$4),Table1[],(MATCH(Calendar!$A18,DB!$1:$1,0)),FALSE)),"")</f>
        <v/>
      </c>
      <c r="XEO18" s="28" t="str">
        <f>IFERROR(IF(XEX3="No",IF(VLOOKUP(DATE($K$1,$K$2,XEO$4),Table1[],(MATCH(Calendar!$A18,DB!$1:$1,0)),FALSE)&gt;=5,"Good","Bad"),VLOOKUP(DATE($K$1,$K$2,XEO$4),Table1[],(MATCH(Calendar!$A18,DB!$1:$1,0)),FALSE)),"")</f>
        <v/>
      </c>
      <c r="XEP18" s="28" t="str">
        <f>IFERROR(IF(XEY3="No",IF(VLOOKUP(DATE($K$1,$K$2,XEP$4),Table1[],(MATCH(Calendar!$A18,DB!$1:$1,0)),FALSE)&gt;=5,"Good","Bad"),VLOOKUP(DATE($K$1,$K$2,XEP$4),Table1[],(MATCH(Calendar!$A18,DB!$1:$1,0)),FALSE)),"")</f>
        <v/>
      </c>
      <c r="XEQ18" s="28" t="str">
        <f>IFERROR(IF(XEZ3="No",IF(VLOOKUP(DATE($K$1,$K$2,XEQ$4),Table1[],(MATCH(Calendar!$A18,DB!$1:$1,0)),FALSE)&gt;=5,"Good","Bad"),VLOOKUP(DATE($K$1,$K$2,XEQ$4),Table1[],(MATCH(Calendar!$A18,DB!$1:$1,0)),FALSE)),"")</f>
        <v/>
      </c>
      <c r="XER18" s="28" t="str">
        <f>IFERROR(IF(XFA3="No",IF(VLOOKUP(DATE($K$1,$K$2,XER$4),Table1[],(MATCH(Calendar!$A18,DB!$1:$1,0)),FALSE)&gt;=5,"Good","Bad"),VLOOKUP(DATE($K$1,$K$2,XER$4),Table1[],(MATCH(Calendar!$A18,DB!$1:$1,0)),FALSE)),"")</f>
        <v/>
      </c>
      <c r="XES18" s="28" t="str">
        <f>IFERROR(IF(XFB3="No",IF(VLOOKUP(DATE($K$1,$K$2,XES$4),Table1[],(MATCH(Calendar!$A18,DB!$1:$1,0)),FALSE)&gt;=5,"Good","Bad"),VLOOKUP(DATE($K$1,$K$2,XES$4),Table1[],(MATCH(Calendar!$A18,DB!$1:$1,0)),FALSE)),"")</f>
        <v/>
      </c>
      <c r="XET18" s="28" t="str">
        <f>IFERROR(IF(XFC3="No",IF(VLOOKUP(DATE($K$1,$K$2,XET$4),Table1[],(MATCH(Calendar!$A18,DB!$1:$1,0)),FALSE)&gt;=5,"Good","Bad"),VLOOKUP(DATE($K$1,$K$2,XET$4),Table1[],(MATCH(Calendar!$A18,DB!$1:$1,0)),FALSE)),"")</f>
        <v/>
      </c>
      <c r="XEU18" s="28" t="str">
        <f>IFERROR(IF(XFD3="No",IF(VLOOKUP(DATE($K$1,$K$2,XEU$4),Table1[],(MATCH(Calendar!$A18,DB!$1:$1,0)),FALSE)&gt;=5,"Good","Bad"),VLOOKUP(DATE($K$1,$K$2,XEU$4),Table1[],(MATCH(Calendar!$A18,DB!$1:$1,0)),FALSE)),"")</f>
        <v/>
      </c>
      <c r="XEV18" s="28" t="str">
        <f>IFERROR(IF(#REF!="No",IF(VLOOKUP(DATE($K$1,$K$2,XEV$4),Table1[],(MATCH(Calendar!$A18,DB!$1:$1,0)),FALSE)&gt;=5,"Good","Bad"),VLOOKUP(DATE($K$1,$K$2,XEV$4),Table1[],(MATCH(Calendar!$A18,DB!$1:$1,0)),FALSE)),"")</f>
        <v/>
      </c>
      <c r="XEW18" s="28" t="str">
        <f>IFERROR(IF(#REF!="No",IF(VLOOKUP(DATE($K$1,$K$2,XEW$4),Table1[],(MATCH(Calendar!$A18,DB!$1:$1,0)),FALSE)&gt;=5,"Good","Bad"),VLOOKUP(DATE($K$1,$K$2,XEW$4),Table1[],(MATCH(Calendar!$A18,DB!$1:$1,0)),FALSE)),"")</f>
        <v/>
      </c>
      <c r="XEX18" s="28" t="str">
        <f>IFERROR(IF(#REF!="No",IF(VLOOKUP(DATE($K$1,$K$2,XEX$4),Table1[],(MATCH(Calendar!$A18,DB!$1:$1,0)),FALSE)&gt;=5,"Good","Bad"),VLOOKUP(DATE($K$1,$K$2,XEX$4),Table1[],(MATCH(Calendar!$A18,DB!$1:$1,0)),FALSE)),"")</f>
        <v/>
      </c>
      <c r="XEY18" s="28" t="str">
        <f>IFERROR(IF(#REF!="No",IF(VLOOKUP(DATE($K$1,$K$2,XEY$4),Table1[],(MATCH(Calendar!$A18,DB!$1:$1,0)),FALSE)&gt;=5,"Good","Bad"),VLOOKUP(DATE($K$1,$K$2,XEY$4),Table1[],(MATCH(Calendar!$A18,DB!$1:$1,0)),FALSE)),"")</f>
        <v/>
      </c>
      <c r="XEZ18" s="28" t="str">
        <f>IFERROR(IF(#REF!="No",IF(VLOOKUP(DATE($K$1,$K$2,XEZ$4),Table1[],(MATCH(Calendar!$A18,DB!$1:$1,0)),FALSE)&gt;=5,"Good","Bad"),VLOOKUP(DATE($K$1,$K$2,XEZ$4),Table1[],(MATCH(Calendar!$A18,DB!$1:$1,0)),FALSE)),"")</f>
        <v/>
      </c>
      <c r="XFA18" s="28" t="str">
        <f>IFERROR(IF(#REF!="No",IF(VLOOKUP(DATE($K$1,$K$2,XFA$4),Table1[],(MATCH(Calendar!$A18,DB!$1:$1,0)),FALSE)&gt;=5,"Good","Bad"),VLOOKUP(DATE($K$1,$K$2,XFA$4),Table1[],(MATCH(Calendar!$A18,DB!$1:$1,0)),FALSE)),"")</f>
        <v/>
      </c>
      <c r="XFB18" s="28" t="str">
        <f>IFERROR(IF(#REF!="No",IF(VLOOKUP(DATE($K$1,$K$2,XFB$4),Table1[],(MATCH(Calendar!$A18,DB!$1:$1,0)),FALSE)&gt;=5,"Good","Bad"),VLOOKUP(DATE($K$1,$K$2,XFB$4),Table1[],(MATCH(Calendar!$A18,DB!$1:$1,0)),FALSE)),"")</f>
        <v/>
      </c>
      <c r="XFC18" s="28" t="str">
        <f>IFERROR(IF(#REF!="No",IF(VLOOKUP(DATE($K$1,$K$2,XFC$4),Table1[],(MATCH(Calendar!$A18,DB!$1:$1,0)),FALSE)&gt;=5,"Good","Bad"),VLOOKUP(DATE($K$1,$K$2,XFC$4),Table1[],(MATCH(Calendar!$A18,DB!$1:$1,0)),FALSE)),"")</f>
        <v/>
      </c>
      <c r="XFD18" s="28" t="str">
        <f>IFERROR(IF(#REF!="No",IF(VLOOKUP(DATE($K$1,$K$2,XFD$4),Table1[],(MATCH(Calendar!$A18,DB!$1:$1,0)),FALSE)&gt;=5,"Good","Bad"),VLOOKUP(DATE($K$1,$K$2,XFD$4),Table1[],(MATCH(Calendar!$A18,DB!$1:$1,0)),FALSE)),"")</f>
        <v/>
      </c>
    </row>
    <row r="19" spans="1:16384">
      <c r="A19" t="s">
        <v>101</v>
      </c>
      <c r="B19" s="28" t="str">
        <f>IFERROR(IF($K$3="No",IF(VLOOKUP(DATE($K$1,$K$2,B$4),Table1[],(MATCH(Calendar!$A19,DB!$1:$1,0)),FALSE)&gt;=5,"Good","Bad"),VLOOKUP(DATE($K$1,$K$2,B$4),Table1[],(MATCH(Calendar!$A19,DB!$1:$1,0)),FALSE)),"")</f>
        <v/>
      </c>
      <c r="C19" s="28" t="str">
        <f>IFERROR(IF($K$3="No",IF(VLOOKUP(DATE($K$1,$K$2,C$4),Table1[],(MATCH(Calendar!$A19,DB!$1:$1,0)),FALSE)&gt;=5,"Good","Bad"),VLOOKUP(DATE($K$1,$K$2,C$4),Table1[],(MATCH(Calendar!$A19,DB!$1:$1,0)),FALSE)),"")</f>
        <v/>
      </c>
      <c r="D19" s="28" t="str">
        <f>IFERROR(IF($K$3="No",IF(VLOOKUP(DATE($K$1,$K$2,D$4),Table1[],(MATCH(Calendar!$A19,DB!$1:$1,0)),FALSE)&gt;=5,"Good","Bad"),VLOOKUP(DATE($K$1,$K$2,D$4),Table1[],(MATCH(Calendar!$A19,DB!$1:$1,0)),FALSE)),"")</f>
        <v/>
      </c>
      <c r="E19" s="28" t="str">
        <f>IFERROR(IF($K$3="No",IF(VLOOKUP(DATE($K$1,$K$2,E$4),Table1[],(MATCH(Calendar!$A19,DB!$1:$1,0)),FALSE)&gt;=5,"Good","Bad"),VLOOKUP(DATE($K$1,$K$2,E$4),Table1[],(MATCH(Calendar!$A19,DB!$1:$1,0)),FALSE)),"")</f>
        <v/>
      </c>
      <c r="F19" s="28" t="str">
        <f>IFERROR(IF($K$3="No",IF(VLOOKUP(DATE($K$1,$K$2,F$4),Table1[],(MATCH(Calendar!$A19,DB!$1:$1,0)),FALSE)&gt;=5,"Good","Bad"),VLOOKUP(DATE($K$1,$K$2,F$4),Table1[],(MATCH(Calendar!$A19,DB!$1:$1,0)),FALSE)),"")</f>
        <v/>
      </c>
      <c r="G19" s="28" t="str">
        <f>IFERROR(IF($K$3="No",IF(VLOOKUP(DATE($K$1,$K$2,G$4),Table1[],(MATCH(Calendar!$A19,DB!$1:$1,0)),FALSE)&gt;=5,"Good","Bad"),VLOOKUP(DATE($K$1,$K$2,G$4),Table1[],(MATCH(Calendar!$A19,DB!$1:$1,0)),FALSE)),"")</f>
        <v/>
      </c>
      <c r="H19" s="28" t="str">
        <f>IFERROR(IF($K$3="No",IF(VLOOKUP(DATE($K$1,$K$2,H$4),Table1[],(MATCH(Calendar!$A19,DB!$1:$1,0)),FALSE)&gt;=5,"Good","Bad"),VLOOKUP(DATE($K$1,$K$2,H$4),Table1[],(MATCH(Calendar!$A19,DB!$1:$1,0)),FALSE)),"")</f>
        <v/>
      </c>
      <c r="I19" s="28" t="str">
        <f>IFERROR(IF($K$3="No",IF(VLOOKUP(DATE($K$1,$K$2,I$4),Table1[],(MATCH(Calendar!$A19,DB!$1:$1,0)),FALSE)&gt;=5,"Good","Bad"),VLOOKUP(DATE($K$1,$K$2,I$4),Table1[],(MATCH(Calendar!$A19,DB!$1:$1,0)),FALSE)),"")</f>
        <v/>
      </c>
      <c r="J19" s="28" t="str">
        <f>IFERROR(IF($K$3="No",IF(VLOOKUP(DATE($K$1,$K$2,J$4),Table1[],(MATCH(Calendar!$A19,DB!$1:$1,0)),FALSE)&gt;=5,"Good","Bad"),VLOOKUP(DATE($K$1,$K$2,J$4),Table1[],(MATCH(Calendar!$A19,DB!$1:$1,0)),FALSE)),"")</f>
        <v/>
      </c>
      <c r="K19" s="28" t="str">
        <f>IFERROR(IF($K$3="No",IF(VLOOKUP(DATE($K$1,$K$2,K$4),Table1[],(MATCH(Calendar!$A19,DB!$1:$1,0)),FALSE)&gt;=5,"Good","Bad"),VLOOKUP(DATE($K$1,$K$2,K$4),Table1[],(MATCH(Calendar!$A19,DB!$1:$1,0)),FALSE)),"")</f>
        <v/>
      </c>
      <c r="L19" s="28" t="str">
        <f>IFERROR(IF($K$3="No",IF(VLOOKUP(DATE($K$1,$K$2,L$4),Table1[],(MATCH(Calendar!$A19,DB!$1:$1,0)),FALSE)&gt;=5,"Good","Bad"),VLOOKUP(DATE($K$1,$K$2,L$4),Table1[],(MATCH(Calendar!$A19,DB!$1:$1,0)),FALSE)),"")</f>
        <v/>
      </c>
      <c r="M19" s="28" t="str">
        <f>IFERROR(IF($K$3="No",IF(VLOOKUP(DATE($K$1,$K$2,M$4),Table1[],(MATCH(Calendar!$A19,DB!$1:$1,0)),FALSE)&gt;=5,"Good","Bad"),VLOOKUP(DATE($K$1,$K$2,M$4),Table1[],(MATCH(Calendar!$A19,DB!$1:$1,0)),FALSE)),"")</f>
        <v/>
      </c>
      <c r="N19" s="28" t="str">
        <f>IFERROR(IF($K$3="No",IF(VLOOKUP(DATE($K$1,$K$2,N$4),Table1[],(MATCH(Calendar!$A19,DB!$1:$1,0)),FALSE)&gt;=5,"Good","Bad"),VLOOKUP(DATE($K$1,$K$2,N$4),Table1[],(MATCH(Calendar!$A19,DB!$1:$1,0)),FALSE)),"")</f>
        <v/>
      </c>
      <c r="O19" s="28" t="str">
        <f>IFERROR(IF($K$3="No",IF(VLOOKUP(DATE($K$1,$K$2,O$4),Table1[],(MATCH(Calendar!$A19,DB!$1:$1,0)),FALSE)&gt;=5,"Good","Bad"),VLOOKUP(DATE($K$1,$K$2,O$4),Table1[],(MATCH(Calendar!$A19,DB!$1:$1,0)),FALSE)),"")</f>
        <v/>
      </c>
      <c r="P19" s="28" t="str">
        <f>IFERROR(IF($K$3="No",IF(VLOOKUP(DATE($K$1,$K$2,P$4),Table1[],(MATCH(Calendar!$A19,DB!$1:$1,0)),FALSE)&gt;=5,"Good","Bad"),VLOOKUP(DATE($K$1,$K$2,P$4),Table1[],(MATCH(Calendar!$A19,DB!$1:$1,0)),FALSE)),"")</f>
        <v/>
      </c>
      <c r="Q19" s="28" t="str">
        <f>IFERROR(IF($K$3="No",IF(VLOOKUP(DATE($K$1,$K$2,Q$4),Table1[],(MATCH(Calendar!$A19,DB!$1:$1,0)),FALSE)&gt;=5,"Good","Bad"),VLOOKUP(DATE($K$1,$K$2,Q$4),Table1[],(MATCH(Calendar!$A19,DB!$1:$1,0)),FALSE)),"")</f>
        <v/>
      </c>
      <c r="R19" s="28" t="str">
        <f>IFERROR(IF($K$3="No",IF(VLOOKUP(DATE($K$1,$K$2,R$4),Table1[],(MATCH(Calendar!$A19,DB!$1:$1,0)),FALSE)&gt;=5,"Good","Bad"),VLOOKUP(DATE($K$1,$K$2,R$4),Table1[],(MATCH(Calendar!$A19,DB!$1:$1,0)),FALSE)),"")</f>
        <v/>
      </c>
      <c r="S19" s="28" t="str">
        <f>IFERROR(IF($K$3="No",IF(VLOOKUP(DATE($K$1,$K$2,S$4),Table1[],(MATCH(Calendar!$A19,DB!$1:$1,0)),FALSE)&gt;=5,"Good","Bad"),VLOOKUP(DATE($K$1,$K$2,S$4),Table1[],(MATCH(Calendar!$A19,DB!$1:$1,0)),FALSE)),"")</f>
        <v/>
      </c>
      <c r="T19" s="28" t="str">
        <f>IFERROR(IF($K$3="No",IF(VLOOKUP(DATE($K$1,$K$2,T$4),Table1[],(MATCH(Calendar!$A19,DB!$1:$1,0)),FALSE)&gt;=5,"Good","Bad"),VLOOKUP(DATE($K$1,$K$2,T$4),Table1[],(MATCH(Calendar!$A19,DB!$1:$1,0)),FALSE)),"")</f>
        <v/>
      </c>
      <c r="U19" s="28" t="str">
        <f>IFERROR(IF($K$3="No",IF(VLOOKUP(DATE($K$1,$K$2,U$4),Table1[],(MATCH(Calendar!$A19,DB!$1:$1,0)),FALSE)&gt;=5,"Good","Bad"),VLOOKUP(DATE($K$1,$K$2,U$4),Table1[],(MATCH(Calendar!$A19,DB!$1:$1,0)),FALSE)),"")</f>
        <v/>
      </c>
      <c r="V19" s="28" t="str">
        <f>IFERROR(IF($K$3="No",IF(VLOOKUP(DATE($K$1,$K$2,V$4),Table1[],(MATCH(Calendar!$A19,DB!$1:$1,0)),FALSE)&gt;=5,"Good","Bad"),VLOOKUP(DATE($K$1,$K$2,V$4),Table1[],(MATCH(Calendar!$A19,DB!$1:$1,0)),FALSE)),"")</f>
        <v/>
      </c>
      <c r="W19" s="28" t="str">
        <f>IFERROR(IF($K$3="No",IF(VLOOKUP(DATE($K$1,$K$2,W$4),Table1[],(MATCH(Calendar!$A19,DB!$1:$1,0)),FALSE)&gt;=5,"Good","Bad"),VLOOKUP(DATE($K$1,$K$2,W$4),Table1[],(MATCH(Calendar!$A19,DB!$1:$1,0)),FALSE)),"")</f>
        <v/>
      </c>
      <c r="X19" s="28" t="str">
        <f>IFERROR(IF($K$3="No",IF(VLOOKUP(DATE($K$1,$K$2,X$4),Table1[],(MATCH(Calendar!$A19,DB!$1:$1,0)),FALSE)&gt;=5,"Good","Bad"),VLOOKUP(DATE($K$1,$K$2,X$4),Table1[],(MATCH(Calendar!$A19,DB!$1:$1,0)),FALSE)),"")</f>
        <v/>
      </c>
      <c r="Y19" s="28" t="str">
        <f>IFERROR(IF($K$3="No",IF(VLOOKUP(DATE($K$1,$K$2,Y$4),Table1[],(MATCH(Calendar!$A19,DB!$1:$1,0)),FALSE)&gt;=5,"Good","Bad"),VLOOKUP(DATE($K$1,$K$2,Y$4),Table1[],(MATCH(Calendar!$A19,DB!$1:$1,0)),FALSE)),"")</f>
        <v/>
      </c>
      <c r="Z19" s="28" t="str">
        <f>IFERROR(IF($K$3="No",IF(VLOOKUP(DATE($K$1,$K$2,Z$4),Table1[],(MATCH(Calendar!$A19,DB!$1:$1,0)),FALSE)&gt;=5,"Good","Bad"),VLOOKUP(DATE($K$1,$K$2,Z$4),Table1[],(MATCH(Calendar!$A19,DB!$1:$1,0)),FALSE)),"")</f>
        <v/>
      </c>
      <c r="AA19" s="28" t="str">
        <f>IFERROR(IF($K$3="No",IF(VLOOKUP(DATE($K$1,$K$2,AA$4),Table1[],(MATCH(Calendar!$A19,DB!$1:$1,0)),FALSE)&gt;=5,"Good","Bad"),VLOOKUP(DATE($K$1,$K$2,AA$4),Table1[],(MATCH(Calendar!$A19,DB!$1:$1,0)),FALSE)),"")</f>
        <v/>
      </c>
      <c r="AB19" s="28" t="str">
        <f>IFERROR(IF($K$3="No",IF(VLOOKUP(DATE($K$1,$K$2,AB$4),Table1[],(MATCH(Calendar!$A19,DB!$1:$1,0)),FALSE)&gt;=5,"Good","Bad"),VLOOKUP(DATE($K$1,$K$2,AB$4),Table1[],(MATCH(Calendar!$A19,DB!$1:$1,0)),FALSE)),"")</f>
        <v/>
      </c>
      <c r="AC19" s="28" t="str">
        <f>IFERROR(IF($K$3="No",IF(VLOOKUP(DATE($K$1,$K$2,AC$4),Table1[],(MATCH(Calendar!$A19,DB!$1:$1,0)),FALSE)&gt;=5,"Good","Bad"),VLOOKUP(DATE($K$1,$K$2,AC$4),Table1[],(MATCH(Calendar!$A19,DB!$1:$1,0)),FALSE)),"")</f>
        <v/>
      </c>
      <c r="AD19" s="28" t="str">
        <f>IFERROR(IF($K$3="No",IF(VLOOKUP(DATE($K$1,$K$2,AD$4),Table1[],(MATCH(Calendar!$A19,DB!$1:$1,0)),FALSE)&gt;=5,"Good","Bad"),VLOOKUP(DATE($K$1,$K$2,AD$4),Table1[],(MATCH(Calendar!$A19,DB!$1:$1,0)),FALSE)),"")</f>
        <v/>
      </c>
      <c r="AE19" s="28" t="str">
        <f>IFERROR(IF($K$3="No",IF(VLOOKUP(DATE($K$1,$K$2,AE$4),Table1[],(MATCH(Calendar!$A19,DB!$1:$1,0)),FALSE)&gt;=5,"Good","Bad"),VLOOKUP(DATE($K$1,$K$2,AE$4),Table1[],(MATCH(Calendar!$A19,DB!$1:$1,0)),FALSE)),"")</f>
        <v/>
      </c>
      <c r="AF19" s="28" t="str">
        <f>IFERROR(IF($K$3="No",IF(VLOOKUP(DATE($K$1,$K$2,AF$4),Table1[],(MATCH(Calendar!$A19,DB!$1:$1,0)),FALSE)&gt;=5,"Good","Bad"),VLOOKUP(DATE($K$1,$K$2,AF$4),Table1[],(MATCH(Calendar!$A19,DB!$1:$1,0)),FALSE)),"")</f>
        <v/>
      </c>
      <c r="AG19" s="28" t="str">
        <f>IFERROR(VLOOKUP(DATE($K$1,$K$2,AG$4),Table1[],(MATCH(Calendar!$A19,DB!$1:$1,0)),FALSE),"")</f>
        <v/>
      </c>
      <c r="AH19" s="28" t="str">
        <f>IFERROR(VLOOKUP(DATE($K$1,$K$2,AH$4),Table1[],(MATCH(Calendar!$A19,DB!$1:$1,0)),FALSE),"")</f>
        <v/>
      </c>
      <c r="AI19" s="28" t="str">
        <f>IFERROR(VLOOKUP(DATE($K$1,$K$2,AI$4),Table1[],(MATCH(Calendar!$A19,DB!$1:$1,0)),FALSE),"")</f>
        <v/>
      </c>
      <c r="AJ19" s="28" t="str">
        <f>IFERROR(VLOOKUP(DATE($K$1,$K$2,AJ$4),Table1[],(MATCH(Calendar!$A19,DB!$1:$1,0)),FALSE),"")</f>
        <v/>
      </c>
      <c r="AK19" s="28" t="str">
        <f>IFERROR(VLOOKUP(DATE($K$1,$K$2,AK$4),Table1[],(MATCH(Calendar!$A19,DB!$1:$1,0)),FALSE),"")</f>
        <v/>
      </c>
      <c r="AL19" s="28" t="str">
        <f>IFERROR(VLOOKUP(DATE($K$1,$K$2,AL$4),Table1[],(MATCH(Calendar!$A19,DB!$1:$1,0)),FALSE),"")</f>
        <v/>
      </c>
      <c r="AM19" s="28" t="str">
        <f>IFERROR(VLOOKUP(DATE($K$1,$K$2,AM$4),Table1[],(MATCH(Calendar!$A19,DB!$1:$1,0)),FALSE),"")</f>
        <v/>
      </c>
      <c r="AN19" s="28" t="str">
        <f>IFERROR(VLOOKUP(DATE($K$1,$K$2,AN$4),Table1[],(MATCH(Calendar!$A19,DB!$1:$1,0)),FALSE),"")</f>
        <v/>
      </c>
      <c r="AO19" s="28" t="str">
        <f>IFERROR(VLOOKUP(DATE($K$1,$K$2,AO$4),Table1[],(MATCH(Calendar!$A19,DB!$1:$1,0)),FALSE),"")</f>
        <v/>
      </c>
      <c r="AP19" s="28" t="str">
        <f>IFERROR(VLOOKUP(DATE($K$1,$K$2,AP$4),Table1[],(MATCH(Calendar!$A19,DB!$1:$1,0)),FALSE),"")</f>
        <v/>
      </c>
      <c r="AQ19" s="28" t="str">
        <f>IFERROR(VLOOKUP(DATE($K$1,$K$2,AQ$4),Table1[],(MATCH(Calendar!$A19,DB!$1:$1,0)),FALSE),"")</f>
        <v/>
      </c>
      <c r="AR19" s="28" t="str">
        <f>IFERROR(VLOOKUP(DATE($K$1,$K$2,AR$4),Table1[],(MATCH(Calendar!$A19,DB!$1:$1,0)),FALSE),"")</f>
        <v/>
      </c>
      <c r="AS19" s="28" t="str">
        <f>IFERROR(VLOOKUP(DATE($K$1,$K$2,AS$4),Table1[],(MATCH(Calendar!$A19,DB!$1:$1,0)),FALSE),"")</f>
        <v/>
      </c>
      <c r="AT19" s="28" t="str">
        <f>IFERROR(VLOOKUP(DATE($K$1,$K$2,AT$4),Table1[],(MATCH(Calendar!$A19,DB!$1:$1,0)),FALSE),"")</f>
        <v/>
      </c>
      <c r="AU19" s="28" t="str">
        <f>IFERROR(VLOOKUP(DATE($K$1,$K$2,AU$4),Table1[],(MATCH(Calendar!$A19,DB!$1:$1,0)),FALSE),"")</f>
        <v/>
      </c>
      <c r="AV19" s="28" t="str">
        <f>IFERROR(VLOOKUP(DATE($K$1,$K$2,AV$4),Table1[],(MATCH(Calendar!$A19,DB!$1:$1,0)),FALSE),"")</f>
        <v/>
      </c>
      <c r="AW19" s="28" t="str">
        <f>IFERROR(VLOOKUP(DATE($K$1,$K$2,AW$4),Table1[],(MATCH(Calendar!$A19,DB!$1:$1,0)),FALSE),"")</f>
        <v/>
      </c>
      <c r="AX19" s="28" t="str">
        <f>IFERROR(VLOOKUP(DATE($K$1,$K$2,AX$4),Table1[],(MATCH(Calendar!$A19,DB!$1:$1,0)),FALSE),"")</f>
        <v/>
      </c>
      <c r="AY19" s="28" t="str">
        <f>IFERROR(VLOOKUP(DATE($K$1,$K$2,AY$4),Table1[],(MATCH(Calendar!$A19,DB!$1:$1,0)),FALSE),"")</f>
        <v/>
      </c>
      <c r="AZ19" s="28" t="str">
        <f>IFERROR(VLOOKUP(DATE($K$1,$K$2,AZ$4),Table1[],(MATCH(Calendar!$A19,DB!$1:$1,0)),FALSE),"")</f>
        <v/>
      </c>
      <c r="BA19" s="28" t="str">
        <f>IFERROR(VLOOKUP(DATE($K$1,$K$2,BA$4),Table1[],(MATCH(Calendar!$A19,DB!$1:$1,0)),FALSE),"")</f>
        <v/>
      </c>
      <c r="BB19" s="28" t="str">
        <f>IFERROR(VLOOKUP(DATE($K$1,$K$2,BB$4),Table1[],(MATCH(Calendar!$A19,DB!$1:$1,0)),FALSE),"")</f>
        <v/>
      </c>
      <c r="BC19" s="28" t="str">
        <f>IFERROR(VLOOKUP(DATE($K$1,$K$2,BC$4),Table1[],(MATCH(Calendar!$A19,DB!$1:$1,0)),FALSE),"")</f>
        <v/>
      </c>
      <c r="BD19" s="28" t="str">
        <f>IFERROR(VLOOKUP(DATE($K$1,$K$2,BD$4),Table1[],(MATCH(Calendar!$A19,DB!$1:$1,0)),FALSE),"")</f>
        <v/>
      </c>
      <c r="BE19" s="28" t="str">
        <f>IFERROR(VLOOKUP(DATE($K$1,$K$2,BE$4),Table1[],(MATCH(Calendar!$A19,DB!$1:$1,0)),FALSE),"")</f>
        <v/>
      </c>
      <c r="BF19" s="28" t="str">
        <f>IFERROR(VLOOKUP(DATE($K$1,$K$2,BF$4),Table1[],(MATCH(Calendar!$A19,DB!$1:$1,0)),FALSE),"")</f>
        <v/>
      </c>
      <c r="BG19" s="28" t="str">
        <f>IFERROR(VLOOKUP(DATE($K$1,$K$2,BG$4),Table1[],(MATCH(Calendar!$A19,DB!$1:$1,0)),FALSE),"")</f>
        <v/>
      </c>
      <c r="BH19" s="28" t="str">
        <f>IFERROR(VLOOKUP(DATE($K$1,$K$2,BH$4),Table1[],(MATCH(Calendar!$A19,DB!$1:$1,0)),FALSE),"")</f>
        <v/>
      </c>
      <c r="BI19" s="28" t="str">
        <f>IFERROR(VLOOKUP(DATE($K$1,$K$2,BI$4),Table1[],(MATCH(Calendar!$A19,DB!$1:$1,0)),FALSE),"")</f>
        <v/>
      </c>
      <c r="BJ19" s="28" t="str">
        <f>IFERROR(VLOOKUP(DATE($K$1,$K$2,BJ$4),Table1[],(MATCH(Calendar!$A19,DB!$1:$1,0)),FALSE),"")</f>
        <v/>
      </c>
      <c r="BK19" s="28" t="str">
        <f>IFERROR(VLOOKUP(DATE($K$1,$K$2,BK$4),Table1[],(MATCH(Calendar!$A19,DB!$1:$1,0)),FALSE),"")</f>
        <v/>
      </c>
      <c r="BL19" s="28" t="str">
        <f>IFERROR(VLOOKUP(DATE($K$1,$K$2,BL$4),Table1[],(MATCH(Calendar!$A19,DB!$1:$1,0)),FALSE),"")</f>
        <v/>
      </c>
      <c r="BM19" s="28" t="str">
        <f>IFERROR(VLOOKUP(DATE($K$1,$K$2,BM$4),Table1[],(MATCH(Calendar!$A19,DB!$1:$1,0)),FALSE),"")</f>
        <v/>
      </c>
      <c r="BN19" s="28" t="str">
        <f>IFERROR(VLOOKUP(DATE($K$1,$K$2,BN$4),Table1[],(MATCH(Calendar!$A19,DB!$1:$1,0)),FALSE),"")</f>
        <v/>
      </c>
      <c r="BO19" s="28" t="str">
        <f>IFERROR(VLOOKUP(DATE($K$1,$K$2,BO$4),Table1[],(MATCH(Calendar!$A19,DB!$1:$1,0)),FALSE),"")</f>
        <v/>
      </c>
      <c r="BP19" s="28" t="str">
        <f>IFERROR(VLOOKUP(DATE($K$1,$K$2,BP$4),Table1[],(MATCH(Calendar!$A19,DB!$1:$1,0)),FALSE),"")</f>
        <v/>
      </c>
      <c r="BQ19" s="28" t="str">
        <f>IFERROR(VLOOKUP(DATE($K$1,$K$2,BQ$4),Table1[],(MATCH(Calendar!$A19,DB!$1:$1,0)),FALSE),"")</f>
        <v/>
      </c>
      <c r="BR19" s="28" t="str">
        <f>IFERROR(VLOOKUP(DATE($K$1,$K$2,BR$4),Table1[],(MATCH(Calendar!$A19,DB!$1:$1,0)),FALSE),"")</f>
        <v/>
      </c>
      <c r="BS19" s="28" t="str">
        <f>IFERROR(VLOOKUP(DATE($K$1,$K$2,BS$4),Table1[],(MATCH(Calendar!$A19,DB!$1:$1,0)),FALSE),"")</f>
        <v/>
      </c>
      <c r="BT19" s="28" t="str">
        <f>IFERROR(VLOOKUP(DATE($K$1,$K$2,BT$4),Table1[],(MATCH(Calendar!$A19,DB!$1:$1,0)),FALSE),"")</f>
        <v/>
      </c>
      <c r="BU19" s="28" t="str">
        <f>IFERROR(VLOOKUP(DATE($K$1,$K$2,BU$4),Table1[],(MATCH(Calendar!$A19,DB!$1:$1,0)),FALSE),"")</f>
        <v/>
      </c>
      <c r="BV19" s="28" t="str">
        <f>IFERROR(VLOOKUP(DATE($K$1,$K$2,BV$4),Table1[],(MATCH(Calendar!$A19,DB!$1:$1,0)),FALSE),"")</f>
        <v/>
      </c>
      <c r="BW19" s="28" t="str">
        <f>IFERROR(VLOOKUP(DATE($K$1,$K$2,BW$4),Table1[],(MATCH(Calendar!$A19,DB!$1:$1,0)),FALSE),"")</f>
        <v/>
      </c>
      <c r="BX19" s="28" t="str">
        <f>IFERROR(VLOOKUP(DATE($K$1,$K$2,BX$4),Table1[],(MATCH(Calendar!$A19,DB!$1:$1,0)),FALSE),"")</f>
        <v/>
      </c>
      <c r="BY19" s="28" t="str">
        <f>IFERROR(VLOOKUP(DATE($K$1,$K$2,BY$4),Table1[],(MATCH(Calendar!$A19,DB!$1:$1,0)),FALSE),"")</f>
        <v/>
      </c>
      <c r="BZ19" s="28" t="str">
        <f>IFERROR(VLOOKUP(DATE($K$1,$K$2,BZ$4),Table1[],(MATCH(Calendar!$A19,DB!$1:$1,0)),FALSE),"")</f>
        <v/>
      </c>
      <c r="CA19" s="28" t="str">
        <f>IFERROR(VLOOKUP(DATE($K$1,$K$2,CA$4),Table1[],(MATCH(Calendar!$A19,DB!$1:$1,0)),FALSE),"")</f>
        <v/>
      </c>
      <c r="CB19" s="28" t="str">
        <f>IFERROR(VLOOKUP(DATE($K$1,$K$2,CB$4),Table1[],(MATCH(Calendar!$A19,DB!$1:$1,0)),FALSE),"")</f>
        <v/>
      </c>
      <c r="CC19" s="28" t="str">
        <f>IFERROR(VLOOKUP(DATE($K$1,$K$2,CC$4),Table1[],(MATCH(Calendar!$A19,DB!$1:$1,0)),FALSE),"")</f>
        <v/>
      </c>
      <c r="CD19" s="28" t="str">
        <f>IFERROR(VLOOKUP(DATE($K$1,$K$2,CD$4),Table1[],(MATCH(Calendar!$A19,DB!$1:$1,0)),FALSE),"")</f>
        <v/>
      </c>
      <c r="CE19" s="28" t="str">
        <f>IFERROR(VLOOKUP(DATE($K$1,$K$2,CE$4),Table1[],(MATCH(Calendar!$A19,DB!$1:$1,0)),FALSE),"")</f>
        <v/>
      </c>
      <c r="CF19" s="28" t="str">
        <f>IFERROR(VLOOKUP(DATE($K$1,$K$2,CF$4),Table1[],(MATCH(Calendar!$A19,DB!$1:$1,0)),FALSE),"")</f>
        <v/>
      </c>
      <c r="CG19" s="28" t="str">
        <f>IFERROR(VLOOKUP(DATE($K$1,$K$2,CG$4),Table1[],(MATCH(Calendar!$A19,DB!$1:$1,0)),FALSE),"")</f>
        <v/>
      </c>
      <c r="CH19" s="28" t="str">
        <f>IFERROR(VLOOKUP(DATE($K$1,$K$2,CH$4),Table1[],(MATCH(Calendar!$A19,DB!$1:$1,0)),FALSE),"")</f>
        <v/>
      </c>
      <c r="CI19" s="28" t="str">
        <f>IFERROR(VLOOKUP(DATE($K$1,$K$2,CI$4),Table1[],(MATCH(Calendar!$A19,DB!$1:$1,0)),FALSE),"")</f>
        <v/>
      </c>
      <c r="CJ19" s="28" t="str">
        <f>IFERROR(VLOOKUP(DATE($K$1,$K$2,CJ$4),Table1[],(MATCH(Calendar!$A19,DB!$1:$1,0)),FALSE),"")</f>
        <v/>
      </c>
      <c r="CK19" s="28" t="str">
        <f>IFERROR(VLOOKUP(DATE($K$1,$K$2,CK$4),Table1[],(MATCH(Calendar!$A19,DB!$1:$1,0)),FALSE),"")</f>
        <v/>
      </c>
      <c r="CL19" s="28" t="str">
        <f>IFERROR(VLOOKUP(DATE($K$1,$K$2,CL$4),Table1[],(MATCH(Calendar!$A19,DB!$1:$1,0)),FALSE),"")</f>
        <v/>
      </c>
      <c r="CM19" s="28" t="str">
        <f>IFERROR(VLOOKUP(DATE($K$1,$K$2,CM$4),Table1[],(MATCH(Calendar!$A19,DB!$1:$1,0)),FALSE),"")</f>
        <v/>
      </c>
      <c r="CN19" s="28" t="str">
        <f>IFERROR(VLOOKUP(DATE($K$1,$K$2,CN$4),Table1[],(MATCH(Calendar!$A19,DB!$1:$1,0)),FALSE),"")</f>
        <v/>
      </c>
      <c r="CO19" s="28" t="str">
        <f>IFERROR(VLOOKUP(DATE($K$1,$K$2,CO$4),Table1[],(MATCH(Calendar!$A19,DB!$1:$1,0)),FALSE),"")</f>
        <v/>
      </c>
      <c r="CP19" s="28" t="str">
        <f>IFERROR(VLOOKUP(DATE($K$1,$K$2,CP$4),Table1[],(MATCH(Calendar!$A19,DB!$1:$1,0)),FALSE),"")</f>
        <v/>
      </c>
      <c r="CQ19" s="28" t="str">
        <f>IFERROR(VLOOKUP(DATE($K$1,$K$2,CQ$4),Table1[],(MATCH(Calendar!$A19,DB!$1:$1,0)),FALSE),"")</f>
        <v/>
      </c>
      <c r="CR19" s="28" t="str">
        <f>IFERROR(VLOOKUP(DATE($K$1,$K$2,CR$4),Table1[],(MATCH(Calendar!$A19,DB!$1:$1,0)),FALSE),"")</f>
        <v/>
      </c>
      <c r="CS19" s="28" t="str">
        <f>IFERROR(VLOOKUP(DATE($K$1,$K$2,CS$4),Table1[],(MATCH(Calendar!$A19,DB!$1:$1,0)),FALSE),"")</f>
        <v/>
      </c>
      <c r="CT19" s="28" t="str">
        <f>IFERROR(VLOOKUP(DATE($K$1,$K$2,CT$4),Table1[],(MATCH(Calendar!$A19,DB!$1:$1,0)),FALSE),"")</f>
        <v/>
      </c>
      <c r="CU19" s="28" t="str">
        <f>IFERROR(VLOOKUP(DATE($K$1,$K$2,CU$4),Table1[],(MATCH(Calendar!$A19,DB!$1:$1,0)),FALSE),"")</f>
        <v/>
      </c>
      <c r="CV19" s="28" t="str">
        <f>IFERROR(VLOOKUP(DATE($K$1,$K$2,CV$4),Table1[],(MATCH(Calendar!$A19,DB!$1:$1,0)),FALSE),"")</f>
        <v/>
      </c>
      <c r="CW19" s="28" t="str">
        <f>IFERROR(VLOOKUP(DATE($K$1,$K$2,CW$4),Table1[],(MATCH(Calendar!$A19,DB!$1:$1,0)),FALSE),"")</f>
        <v/>
      </c>
      <c r="CX19" s="28" t="str">
        <f>IFERROR(VLOOKUP(DATE($K$1,$K$2,CX$4),Table1[],(MATCH(Calendar!$A19,DB!$1:$1,0)),FALSE),"")</f>
        <v/>
      </c>
      <c r="CY19" s="28" t="str">
        <f>IFERROR(VLOOKUP(DATE($K$1,$K$2,CY$4),Table1[],(MATCH(Calendar!$A19,DB!$1:$1,0)),FALSE),"")</f>
        <v/>
      </c>
      <c r="CZ19" s="28" t="str">
        <f>IFERROR(VLOOKUP(DATE($K$1,$K$2,CZ$4),Table1[],(MATCH(Calendar!$A19,DB!$1:$1,0)),FALSE),"")</f>
        <v/>
      </c>
      <c r="DA19" s="28" t="str">
        <f>IFERROR(VLOOKUP(DATE($K$1,$K$2,DA$4),Table1[],(MATCH(Calendar!$A19,DB!$1:$1,0)),FALSE),"")</f>
        <v/>
      </c>
      <c r="DB19" s="28" t="str">
        <f>IFERROR(VLOOKUP(DATE($K$1,$K$2,DB$4),Table1[],(MATCH(Calendar!$A19,DB!$1:$1,0)),FALSE),"")</f>
        <v/>
      </c>
      <c r="DC19" s="28" t="str">
        <f>IFERROR(VLOOKUP(DATE($K$1,$K$2,DC$4),Table1[],(MATCH(Calendar!$A19,DB!$1:$1,0)),FALSE),"")</f>
        <v/>
      </c>
      <c r="DD19" s="28" t="str">
        <f>IFERROR(VLOOKUP(DATE($K$1,$K$2,DD$4),Table1[],(MATCH(Calendar!$A19,DB!$1:$1,0)),FALSE),"")</f>
        <v/>
      </c>
      <c r="DE19" s="28" t="str">
        <f>IFERROR(VLOOKUP(DATE($K$1,$K$2,DE$4),Table1[],(MATCH(Calendar!$A19,DB!$1:$1,0)),FALSE),"")</f>
        <v/>
      </c>
      <c r="DF19" s="28" t="str">
        <f>IFERROR(VLOOKUP(DATE($K$1,$K$2,DF$4),Table1[],(MATCH(Calendar!$A19,DB!$1:$1,0)),FALSE),"")</f>
        <v/>
      </c>
      <c r="DG19" s="28" t="str">
        <f>IFERROR(VLOOKUP(DATE($K$1,$K$2,DG$4),Table1[],(MATCH(Calendar!$A19,DB!$1:$1,0)),FALSE),"")</f>
        <v/>
      </c>
      <c r="DH19" s="28" t="str">
        <f>IFERROR(VLOOKUP(DATE($K$1,$K$2,DH$4),Table1[],(MATCH(Calendar!$A19,DB!$1:$1,0)),FALSE),"")</f>
        <v/>
      </c>
      <c r="DI19" s="28" t="str">
        <f>IFERROR(VLOOKUP(DATE($K$1,$K$2,DI$4),Table1[],(MATCH(Calendar!$A19,DB!$1:$1,0)),FALSE),"")</f>
        <v/>
      </c>
      <c r="DJ19" s="28" t="str">
        <f>IFERROR(VLOOKUP(DATE($K$1,$K$2,DJ$4),Table1[],(MATCH(Calendar!$A19,DB!$1:$1,0)),FALSE),"")</f>
        <v/>
      </c>
      <c r="DK19" s="28" t="str">
        <f>IFERROR(VLOOKUP(DATE($K$1,$K$2,DK$4),Table1[],(MATCH(Calendar!$A19,DB!$1:$1,0)),FALSE),"")</f>
        <v/>
      </c>
      <c r="DL19" s="28" t="str">
        <f>IFERROR(VLOOKUP(DATE($K$1,$K$2,DL$4),Table1[],(MATCH(Calendar!$A19,DB!$1:$1,0)),FALSE),"")</f>
        <v/>
      </c>
      <c r="DM19" s="28" t="str">
        <f>IFERROR(VLOOKUP(DATE($K$1,$K$2,DM$4),Table1[],(MATCH(Calendar!$A19,DB!$1:$1,0)),FALSE),"")</f>
        <v/>
      </c>
      <c r="DN19" s="28" t="str">
        <f>IFERROR(VLOOKUP(DATE($K$1,$K$2,DN$4),Table1[],(MATCH(Calendar!$A19,DB!$1:$1,0)),FALSE),"")</f>
        <v/>
      </c>
      <c r="DO19" s="28" t="str">
        <f>IFERROR(VLOOKUP(DATE($K$1,$K$2,DO$4),Table1[],(MATCH(Calendar!$A19,DB!$1:$1,0)),FALSE),"")</f>
        <v/>
      </c>
      <c r="DP19" s="28" t="str">
        <f>IFERROR(VLOOKUP(DATE($K$1,$K$2,DP$4),Table1[],(MATCH(Calendar!$A19,DB!$1:$1,0)),FALSE),"")</f>
        <v/>
      </c>
      <c r="DQ19" s="28" t="str">
        <f>IFERROR(VLOOKUP(DATE($K$1,$K$2,DQ$4),Table1[],(MATCH(Calendar!$A19,DB!$1:$1,0)),FALSE),"")</f>
        <v/>
      </c>
      <c r="DR19" s="28" t="str">
        <f>IFERROR(VLOOKUP(DATE($K$1,$K$2,DR$4),Table1[],(MATCH(Calendar!$A19,DB!$1:$1,0)),FALSE),"")</f>
        <v/>
      </c>
      <c r="DS19" s="28" t="str">
        <f>IFERROR(VLOOKUP(DATE($K$1,$K$2,DS$4),Table1[],(MATCH(Calendar!$A19,DB!$1:$1,0)),FALSE),"")</f>
        <v/>
      </c>
      <c r="DT19" s="28" t="str">
        <f>IFERROR(VLOOKUP(DATE($K$1,$K$2,DT$4),Table1[],(MATCH(Calendar!$A19,DB!$1:$1,0)),FALSE),"")</f>
        <v/>
      </c>
      <c r="DU19" s="28" t="str">
        <f>IFERROR(VLOOKUP(DATE($K$1,$K$2,DU$4),Table1[],(MATCH(Calendar!$A19,DB!$1:$1,0)),FALSE),"")</f>
        <v/>
      </c>
      <c r="DV19" s="28" t="str">
        <f>IFERROR(VLOOKUP(DATE($K$1,$K$2,DV$4),Table1[],(MATCH(Calendar!$A19,DB!$1:$1,0)),FALSE),"")</f>
        <v/>
      </c>
      <c r="DW19" s="28" t="str">
        <f>IFERROR(VLOOKUP(DATE($K$1,$K$2,DW$4),Table1[],(MATCH(Calendar!$A19,DB!$1:$1,0)),FALSE),"")</f>
        <v/>
      </c>
      <c r="DX19" s="28" t="str">
        <f>IFERROR(VLOOKUP(DATE($K$1,$K$2,DX$4),Table1[],(MATCH(Calendar!$A19,DB!$1:$1,0)),FALSE),"")</f>
        <v/>
      </c>
      <c r="DY19" s="28" t="str">
        <f>IFERROR(VLOOKUP(DATE($K$1,$K$2,DY$4),Table1[],(MATCH(Calendar!$A19,DB!$1:$1,0)),FALSE),"")</f>
        <v/>
      </c>
      <c r="DZ19" s="28" t="str">
        <f>IFERROR(VLOOKUP(DATE($K$1,$K$2,DZ$4),Table1[],(MATCH(Calendar!$A19,DB!$1:$1,0)),FALSE),"")</f>
        <v/>
      </c>
      <c r="EA19" s="28" t="str">
        <f>IFERROR(VLOOKUP(DATE($K$1,$K$2,EA$4),Table1[],(MATCH(Calendar!$A19,DB!$1:$1,0)),FALSE),"")</f>
        <v/>
      </c>
      <c r="EB19" s="28" t="str">
        <f>IFERROR(VLOOKUP(DATE($K$1,$K$2,EB$4),Table1[],(MATCH(Calendar!$A19,DB!$1:$1,0)),FALSE),"")</f>
        <v/>
      </c>
      <c r="EC19" s="28" t="str">
        <f>IFERROR(VLOOKUP(DATE($K$1,$K$2,EC$4),Table1[],(MATCH(Calendar!$A19,DB!$1:$1,0)),FALSE),"")</f>
        <v/>
      </c>
      <c r="ED19" s="28" t="str">
        <f>IFERROR(VLOOKUP(DATE($K$1,$K$2,ED$4),Table1[],(MATCH(Calendar!$A19,DB!$1:$1,0)),FALSE),"")</f>
        <v/>
      </c>
      <c r="EE19" s="28" t="str">
        <f>IFERROR(VLOOKUP(DATE($K$1,$K$2,EE$4),Table1[],(MATCH(Calendar!$A19,DB!$1:$1,0)),FALSE),"")</f>
        <v/>
      </c>
      <c r="EF19" s="28" t="str">
        <f>IFERROR(VLOOKUP(DATE($K$1,$K$2,EF$4),Table1[],(MATCH(Calendar!$A19,DB!$1:$1,0)),FALSE),"")</f>
        <v/>
      </c>
      <c r="EG19" s="28" t="str">
        <f>IFERROR(VLOOKUP(DATE($K$1,$K$2,EG$4),Table1[],(MATCH(Calendar!$A19,DB!$1:$1,0)),FALSE),"")</f>
        <v/>
      </c>
      <c r="EH19" s="28" t="str">
        <f>IFERROR(VLOOKUP(DATE($K$1,$K$2,EH$4),Table1[],(MATCH(Calendar!$A19,DB!$1:$1,0)),FALSE),"")</f>
        <v/>
      </c>
      <c r="EI19" s="28" t="str">
        <f>IFERROR(VLOOKUP(DATE($K$1,$K$2,EI$4),Table1[],(MATCH(Calendar!$A19,DB!$1:$1,0)),FALSE),"")</f>
        <v/>
      </c>
      <c r="EJ19" s="28" t="str">
        <f>IFERROR(VLOOKUP(DATE($K$1,$K$2,EJ$4),Table1[],(MATCH(Calendar!$A19,DB!$1:$1,0)),FALSE),"")</f>
        <v/>
      </c>
      <c r="EK19" s="28" t="str">
        <f>IFERROR(VLOOKUP(DATE($K$1,$K$2,EK$4),Table1[],(MATCH(Calendar!$A19,DB!$1:$1,0)),FALSE),"")</f>
        <v/>
      </c>
      <c r="EL19" s="28" t="str">
        <f>IFERROR(VLOOKUP(DATE($K$1,$K$2,EL$4),Table1[],(MATCH(Calendar!$A19,DB!$1:$1,0)),FALSE),"")</f>
        <v/>
      </c>
      <c r="EM19" s="28" t="str">
        <f>IFERROR(VLOOKUP(DATE($K$1,$K$2,EM$4),Table1[],(MATCH(Calendar!$A19,DB!$1:$1,0)),FALSE),"")</f>
        <v/>
      </c>
      <c r="EN19" s="28" t="str">
        <f>IFERROR(VLOOKUP(DATE($K$1,$K$2,EN$4),Table1[],(MATCH(Calendar!$A19,DB!$1:$1,0)),FALSE),"")</f>
        <v/>
      </c>
      <c r="EO19" s="28" t="str">
        <f>IFERROR(VLOOKUP(DATE($K$1,$K$2,EO$4),Table1[],(MATCH(Calendar!$A19,DB!$1:$1,0)),FALSE),"")</f>
        <v/>
      </c>
      <c r="EP19" s="28" t="str">
        <f>IFERROR(VLOOKUP(DATE($K$1,$K$2,EP$4),Table1[],(MATCH(Calendar!$A19,DB!$1:$1,0)),FALSE),"")</f>
        <v/>
      </c>
      <c r="EQ19" s="28" t="str">
        <f>IFERROR(VLOOKUP(DATE($K$1,$K$2,EQ$4),Table1[],(MATCH(Calendar!$A19,DB!$1:$1,0)),FALSE),"")</f>
        <v/>
      </c>
      <c r="ER19" s="28" t="str">
        <f>IFERROR(VLOOKUP(DATE($K$1,$K$2,ER$4),Table1[],(MATCH(Calendar!$A19,DB!$1:$1,0)),FALSE),"")</f>
        <v/>
      </c>
      <c r="ES19" s="28" t="str">
        <f>IFERROR(VLOOKUP(DATE($K$1,$K$2,ES$4),Table1[],(MATCH(Calendar!$A19,DB!$1:$1,0)),FALSE),"")</f>
        <v/>
      </c>
      <c r="ET19" s="28" t="str">
        <f>IFERROR(VLOOKUP(DATE($K$1,$K$2,ET$4),Table1[],(MATCH(Calendar!$A19,DB!$1:$1,0)),FALSE),"")</f>
        <v/>
      </c>
      <c r="EU19" s="28" t="str">
        <f>IFERROR(VLOOKUP(DATE($K$1,$K$2,EU$4),Table1[],(MATCH(Calendar!$A19,DB!$1:$1,0)),FALSE),"")</f>
        <v/>
      </c>
      <c r="EV19" s="28" t="str">
        <f>IFERROR(VLOOKUP(DATE($K$1,$K$2,EV$4),Table1[],(MATCH(Calendar!$A19,DB!$1:$1,0)),FALSE),"")</f>
        <v/>
      </c>
      <c r="EW19" s="28" t="str">
        <f>IFERROR(VLOOKUP(DATE($K$1,$K$2,EW$4),Table1[],(MATCH(Calendar!$A19,DB!$1:$1,0)),FALSE),"")</f>
        <v/>
      </c>
      <c r="EX19" s="28" t="str">
        <f>IFERROR(VLOOKUP(DATE($K$1,$K$2,EX$4),Table1[],(MATCH(Calendar!$A19,DB!$1:$1,0)),FALSE),"")</f>
        <v/>
      </c>
      <c r="EY19" s="28" t="str">
        <f>IFERROR(VLOOKUP(DATE($K$1,$K$2,EY$4),Table1[],(MATCH(Calendar!$A19,DB!$1:$1,0)),FALSE),"")</f>
        <v/>
      </c>
      <c r="EZ19" s="28" t="str">
        <f>IFERROR(VLOOKUP(DATE($K$1,$K$2,EZ$4),Table1[],(MATCH(Calendar!$A19,DB!$1:$1,0)),FALSE),"")</f>
        <v/>
      </c>
      <c r="FA19" s="28" t="str">
        <f>IFERROR(VLOOKUP(DATE($K$1,$K$2,FA$4),Table1[],(MATCH(Calendar!$A19,DB!$1:$1,0)),FALSE),"")</f>
        <v/>
      </c>
      <c r="FB19" s="28" t="str">
        <f>IFERROR(VLOOKUP(DATE($K$1,$K$2,FB$4),Table1[],(MATCH(Calendar!$A19,DB!$1:$1,0)),FALSE),"")</f>
        <v/>
      </c>
      <c r="FC19" s="28" t="str">
        <f>IFERROR(VLOOKUP(DATE($K$1,$K$2,FC$4),Table1[],(MATCH(Calendar!$A19,DB!$1:$1,0)),FALSE),"")</f>
        <v/>
      </c>
      <c r="FD19" s="28" t="str">
        <f>IFERROR(VLOOKUP(DATE($K$1,$K$2,FD$4),Table1[],(MATCH(Calendar!$A19,DB!$1:$1,0)),FALSE),"")</f>
        <v/>
      </c>
      <c r="FE19" s="28" t="str">
        <f>IFERROR(VLOOKUP(DATE($K$1,$K$2,FE$4),Table1[],(MATCH(Calendar!$A19,DB!$1:$1,0)),FALSE),"")</f>
        <v/>
      </c>
      <c r="FF19" s="28" t="str">
        <f>IFERROR(VLOOKUP(DATE($K$1,$K$2,FF$4),Table1[],(MATCH(Calendar!$A19,DB!$1:$1,0)),FALSE),"")</f>
        <v/>
      </c>
      <c r="FG19" s="28" t="str">
        <f>IFERROR(VLOOKUP(DATE($K$1,$K$2,FG$4),Table1[],(MATCH(Calendar!$A19,DB!$1:$1,0)),FALSE),"")</f>
        <v/>
      </c>
      <c r="FH19" s="28" t="str">
        <f>IFERROR(VLOOKUP(DATE($K$1,$K$2,FH$4),Table1[],(MATCH(Calendar!$A19,DB!$1:$1,0)),FALSE),"")</f>
        <v/>
      </c>
      <c r="FI19" s="28" t="str">
        <f>IFERROR(VLOOKUP(DATE($K$1,$K$2,FI$4),Table1[],(MATCH(Calendar!$A19,DB!$1:$1,0)),FALSE),"")</f>
        <v/>
      </c>
      <c r="FJ19" s="28" t="str">
        <f>IFERROR(VLOOKUP(DATE($K$1,$K$2,FJ$4),Table1[],(MATCH(Calendar!$A19,DB!$1:$1,0)),FALSE),"")</f>
        <v/>
      </c>
      <c r="FK19" s="28" t="str">
        <f>IFERROR(VLOOKUP(DATE($K$1,$K$2,FK$4),Table1[],(MATCH(Calendar!$A19,DB!$1:$1,0)),FALSE),"")</f>
        <v/>
      </c>
      <c r="FL19" s="28" t="str">
        <f>IFERROR(VLOOKUP(DATE($K$1,$K$2,FL$4),Table1[],(MATCH(Calendar!$A19,DB!$1:$1,0)),FALSE),"")</f>
        <v/>
      </c>
      <c r="FM19" s="28" t="str">
        <f>IFERROR(VLOOKUP(DATE($K$1,$K$2,FM$4),Table1[],(MATCH(Calendar!$A19,DB!$1:$1,0)),FALSE),"")</f>
        <v/>
      </c>
      <c r="FN19" s="28" t="str">
        <f>IFERROR(VLOOKUP(DATE($K$1,$K$2,FN$4),Table1[],(MATCH(Calendar!$A19,DB!$1:$1,0)),FALSE),"")</f>
        <v/>
      </c>
      <c r="FO19" s="28" t="str">
        <f>IFERROR(VLOOKUP(DATE($K$1,$K$2,FO$4),Table1[],(MATCH(Calendar!$A19,DB!$1:$1,0)),FALSE),"")</f>
        <v/>
      </c>
      <c r="FP19" s="28" t="str">
        <f>IFERROR(VLOOKUP(DATE($K$1,$K$2,FP$4),Table1[],(MATCH(Calendar!$A19,DB!$1:$1,0)),FALSE),"")</f>
        <v/>
      </c>
      <c r="FQ19" s="28" t="str">
        <f>IFERROR(VLOOKUP(DATE($K$1,$K$2,FQ$4),Table1[],(MATCH(Calendar!$A19,DB!$1:$1,0)),FALSE),"")</f>
        <v/>
      </c>
      <c r="FR19" s="28" t="str">
        <f>IFERROR(VLOOKUP(DATE($K$1,$K$2,FR$4),Table1[],(MATCH(Calendar!$A19,DB!$1:$1,0)),FALSE),"")</f>
        <v/>
      </c>
      <c r="FS19" s="28" t="str">
        <f>IFERROR(VLOOKUP(DATE($K$1,$K$2,FS$4),Table1[],(MATCH(Calendar!$A19,DB!$1:$1,0)),FALSE),"")</f>
        <v/>
      </c>
      <c r="FT19" s="28" t="str">
        <f>IFERROR(VLOOKUP(DATE($K$1,$K$2,FT$4),Table1[],(MATCH(Calendar!$A19,DB!$1:$1,0)),FALSE),"")</f>
        <v/>
      </c>
      <c r="FU19" s="28" t="str">
        <f>IFERROR(VLOOKUP(DATE($K$1,$K$2,FU$4),Table1[],(MATCH(Calendar!$A19,DB!$1:$1,0)),FALSE),"")</f>
        <v/>
      </c>
      <c r="FV19" s="28" t="str">
        <f>IFERROR(VLOOKUP(DATE($K$1,$K$2,FV$4),Table1[],(MATCH(Calendar!$A19,DB!$1:$1,0)),FALSE),"")</f>
        <v/>
      </c>
      <c r="FW19" s="28" t="str">
        <f>IFERROR(VLOOKUP(DATE($K$1,$K$2,FW$4),Table1[],(MATCH(Calendar!$A19,DB!$1:$1,0)),FALSE),"")</f>
        <v/>
      </c>
      <c r="FX19" s="28" t="str">
        <f>IFERROR(VLOOKUP(DATE($K$1,$K$2,FX$4),Table1[],(MATCH(Calendar!$A19,DB!$1:$1,0)),FALSE),"")</f>
        <v/>
      </c>
      <c r="FY19" s="28" t="str">
        <f>IFERROR(VLOOKUP(DATE($K$1,$K$2,FY$4),Table1[],(MATCH(Calendar!$A19,DB!$1:$1,0)),FALSE),"")</f>
        <v/>
      </c>
      <c r="FZ19" s="28" t="str">
        <f>IFERROR(VLOOKUP(DATE($K$1,$K$2,FZ$4),Table1[],(MATCH(Calendar!$A19,DB!$1:$1,0)),FALSE),"")</f>
        <v/>
      </c>
      <c r="GA19" s="28" t="str">
        <f>IFERROR(VLOOKUP(DATE($K$1,$K$2,GA$4),Table1[],(MATCH(Calendar!$A19,DB!$1:$1,0)),FALSE),"")</f>
        <v/>
      </c>
      <c r="GB19" s="28" t="str">
        <f>IFERROR(VLOOKUP(DATE($K$1,$K$2,GB$4),Table1[],(MATCH(Calendar!$A19,DB!$1:$1,0)),FALSE),"")</f>
        <v/>
      </c>
      <c r="GC19" s="28" t="str">
        <f>IFERROR(VLOOKUP(DATE($K$1,$K$2,GC$4),Table1[],(MATCH(Calendar!$A19,DB!$1:$1,0)),FALSE),"")</f>
        <v/>
      </c>
      <c r="GD19" s="28" t="str">
        <f>IFERROR(VLOOKUP(DATE($K$1,$K$2,GD$4),Table1[],(MATCH(Calendar!$A19,DB!$1:$1,0)),FALSE),"")</f>
        <v/>
      </c>
      <c r="GE19" s="28" t="str">
        <f>IFERROR(VLOOKUP(DATE($K$1,$K$2,GE$4),Table1[],(MATCH(Calendar!$A19,DB!$1:$1,0)),FALSE),"")</f>
        <v/>
      </c>
      <c r="GF19" s="28" t="str">
        <f>IFERROR(VLOOKUP(DATE($K$1,$K$2,GF$4),Table1[],(MATCH(Calendar!$A19,DB!$1:$1,0)),FALSE),"")</f>
        <v/>
      </c>
      <c r="GG19" s="28" t="str">
        <f>IFERROR(VLOOKUP(DATE($K$1,$K$2,GG$4),Table1[],(MATCH(Calendar!$A19,DB!$1:$1,0)),FALSE),"")</f>
        <v/>
      </c>
      <c r="GH19" s="28" t="str">
        <f>IFERROR(VLOOKUP(DATE($K$1,$K$2,GH$4),Table1[],(MATCH(Calendar!$A19,DB!$1:$1,0)),FALSE),"")</f>
        <v/>
      </c>
      <c r="GI19" s="28" t="str">
        <f>IFERROR(VLOOKUP(DATE($K$1,$K$2,GI$4),Table1[],(MATCH(Calendar!$A19,DB!$1:$1,0)),FALSE),"")</f>
        <v/>
      </c>
      <c r="GJ19" s="28" t="str">
        <f>IFERROR(VLOOKUP(DATE($K$1,$K$2,GJ$4),Table1[],(MATCH(Calendar!$A19,DB!$1:$1,0)),FALSE),"")</f>
        <v/>
      </c>
      <c r="GK19" s="28" t="str">
        <f>IFERROR(VLOOKUP(DATE($K$1,$K$2,GK$4),Table1[],(MATCH(Calendar!$A19,DB!$1:$1,0)),FALSE),"")</f>
        <v/>
      </c>
      <c r="GL19" s="28" t="str">
        <f>IFERROR(VLOOKUP(DATE($K$1,$K$2,GL$4),Table1[],(MATCH(Calendar!$A19,DB!$1:$1,0)),FALSE),"")</f>
        <v/>
      </c>
      <c r="GM19" s="28" t="str">
        <f>IFERROR(VLOOKUP(DATE($K$1,$K$2,GM$4),Table1[],(MATCH(Calendar!$A19,DB!$1:$1,0)),FALSE),"")</f>
        <v/>
      </c>
      <c r="GN19" s="28" t="str">
        <f>IFERROR(VLOOKUP(DATE($K$1,$K$2,GN$4),Table1[],(MATCH(Calendar!$A19,DB!$1:$1,0)),FALSE),"")</f>
        <v/>
      </c>
      <c r="GO19" s="28" t="str">
        <f>IFERROR(VLOOKUP(DATE($K$1,$K$2,GO$4),Table1[],(MATCH(Calendar!$A19,DB!$1:$1,0)),FALSE),"")</f>
        <v/>
      </c>
      <c r="GP19" s="28" t="str">
        <f>IFERROR(VLOOKUP(DATE($K$1,$K$2,GP$4),Table1[],(MATCH(Calendar!$A19,DB!$1:$1,0)),FALSE),"")</f>
        <v/>
      </c>
      <c r="GQ19" s="28" t="str">
        <f>IFERROR(VLOOKUP(DATE($K$1,$K$2,GQ$4),Table1[],(MATCH(Calendar!$A19,DB!$1:$1,0)),FALSE),"")</f>
        <v/>
      </c>
      <c r="GR19" s="28" t="str">
        <f>IFERROR(VLOOKUP(DATE($K$1,$K$2,GR$4),Table1[],(MATCH(Calendar!$A19,DB!$1:$1,0)),FALSE),"")</f>
        <v/>
      </c>
      <c r="GS19" s="28" t="str">
        <f>IFERROR(VLOOKUP(DATE($K$1,$K$2,GS$4),Table1[],(MATCH(Calendar!$A19,DB!$1:$1,0)),FALSE),"")</f>
        <v/>
      </c>
      <c r="GT19" s="28" t="str">
        <f>IFERROR(VLOOKUP(DATE($K$1,$K$2,GT$4),Table1[],(MATCH(Calendar!$A19,DB!$1:$1,0)),FALSE),"")</f>
        <v/>
      </c>
      <c r="GU19" s="28" t="str">
        <f>IFERROR(VLOOKUP(DATE($K$1,$K$2,GU$4),Table1[],(MATCH(Calendar!$A19,DB!$1:$1,0)),FALSE),"")</f>
        <v/>
      </c>
      <c r="GV19" s="28" t="str">
        <f>IFERROR(VLOOKUP(DATE($K$1,$K$2,GV$4),Table1[],(MATCH(Calendar!$A19,DB!$1:$1,0)),FALSE),"")</f>
        <v/>
      </c>
      <c r="GW19" s="28" t="str">
        <f>IFERROR(VLOOKUP(DATE($K$1,$K$2,GW$4),Table1[],(MATCH(Calendar!$A19,DB!$1:$1,0)),FALSE),"")</f>
        <v/>
      </c>
      <c r="GX19" s="28" t="str">
        <f>IFERROR(VLOOKUP(DATE($K$1,$K$2,GX$4),Table1[],(MATCH(Calendar!$A19,DB!$1:$1,0)),FALSE),"")</f>
        <v/>
      </c>
      <c r="GY19" s="28" t="str">
        <f>IFERROR(VLOOKUP(DATE($K$1,$K$2,GY$4),Table1[],(MATCH(Calendar!$A19,DB!$1:$1,0)),FALSE),"")</f>
        <v/>
      </c>
      <c r="GZ19" s="28" t="str">
        <f>IFERROR(VLOOKUP(DATE($K$1,$K$2,GZ$4),Table1[],(MATCH(Calendar!$A19,DB!$1:$1,0)),FALSE),"")</f>
        <v/>
      </c>
      <c r="HA19" s="28" t="str">
        <f>IFERROR(VLOOKUP(DATE($K$1,$K$2,HA$4),Table1[],(MATCH(Calendar!$A19,DB!$1:$1,0)),FALSE),"")</f>
        <v/>
      </c>
      <c r="HB19" s="28" t="str">
        <f>IFERROR(VLOOKUP(DATE($K$1,$K$2,HB$4),Table1[],(MATCH(Calendar!$A19,DB!$1:$1,0)),FALSE),"")</f>
        <v/>
      </c>
      <c r="HC19" s="28" t="str">
        <f>IFERROR(VLOOKUP(DATE($K$1,$K$2,HC$4),Table1[],(MATCH(Calendar!$A19,DB!$1:$1,0)),FALSE),"")</f>
        <v/>
      </c>
      <c r="HD19" s="28" t="str">
        <f>IFERROR(VLOOKUP(DATE($K$1,$K$2,HD$4),Table1[],(MATCH(Calendar!$A19,DB!$1:$1,0)),FALSE),"")</f>
        <v/>
      </c>
      <c r="HE19" s="28" t="str">
        <f>IFERROR(VLOOKUP(DATE($K$1,$K$2,HE$4),Table1[],(MATCH(Calendar!$A19,DB!$1:$1,0)),FALSE),"")</f>
        <v/>
      </c>
      <c r="HF19" s="28" t="str">
        <f>IFERROR(VLOOKUP(DATE($K$1,$K$2,HF$4),Table1[],(MATCH(Calendar!$A19,DB!$1:$1,0)),FALSE),"")</f>
        <v/>
      </c>
      <c r="HG19" s="28" t="str">
        <f>IFERROR(VLOOKUP(DATE($K$1,$K$2,HG$4),Table1[],(MATCH(Calendar!$A19,DB!$1:$1,0)),FALSE),"")</f>
        <v/>
      </c>
      <c r="HH19" s="28" t="str">
        <f>IFERROR(VLOOKUP(DATE($K$1,$K$2,HH$4),Table1[],(MATCH(Calendar!$A19,DB!$1:$1,0)),FALSE),"")</f>
        <v/>
      </c>
      <c r="HI19" s="28" t="str">
        <f>IFERROR(VLOOKUP(DATE($K$1,$K$2,HI$4),Table1[],(MATCH(Calendar!$A19,DB!$1:$1,0)),FALSE),"")</f>
        <v/>
      </c>
      <c r="HJ19" s="28" t="str">
        <f>IFERROR(VLOOKUP(DATE($K$1,$K$2,HJ$4),Table1[],(MATCH(Calendar!$A19,DB!$1:$1,0)),FALSE),"")</f>
        <v/>
      </c>
      <c r="HK19" s="28" t="str">
        <f>IFERROR(VLOOKUP(DATE($K$1,$K$2,HK$4),Table1[],(MATCH(Calendar!$A19,DB!$1:$1,0)),FALSE),"")</f>
        <v/>
      </c>
      <c r="HL19" s="28" t="str">
        <f>IFERROR(VLOOKUP(DATE($K$1,$K$2,HL$4),Table1[],(MATCH(Calendar!$A19,DB!$1:$1,0)),FALSE),"")</f>
        <v/>
      </c>
      <c r="HM19" s="28" t="str">
        <f>IFERROR(VLOOKUP(DATE($K$1,$K$2,HM$4),Table1[],(MATCH(Calendar!$A19,DB!$1:$1,0)),FALSE),"")</f>
        <v/>
      </c>
      <c r="HN19" s="28" t="str">
        <f>IFERROR(VLOOKUP(DATE($K$1,$K$2,HN$4),Table1[],(MATCH(Calendar!$A19,DB!$1:$1,0)),FALSE),"")</f>
        <v/>
      </c>
      <c r="HO19" s="28" t="str">
        <f>IFERROR(VLOOKUP(DATE($K$1,$K$2,HO$4),Table1[],(MATCH(Calendar!$A19,DB!$1:$1,0)),FALSE),"")</f>
        <v/>
      </c>
      <c r="HP19" s="28" t="str">
        <f>IFERROR(VLOOKUP(DATE($K$1,$K$2,HP$4),Table1[],(MATCH(Calendar!$A19,DB!$1:$1,0)),FALSE),"")</f>
        <v/>
      </c>
      <c r="HQ19" s="28" t="str">
        <f>IFERROR(VLOOKUP(DATE($K$1,$K$2,HQ$4),Table1[],(MATCH(Calendar!$A19,DB!$1:$1,0)),FALSE),"")</f>
        <v/>
      </c>
      <c r="HR19" s="28" t="str">
        <f>IFERROR(VLOOKUP(DATE($K$1,$K$2,HR$4),Table1[],(MATCH(Calendar!$A19,DB!$1:$1,0)),FALSE),"")</f>
        <v/>
      </c>
      <c r="HS19" s="28" t="str">
        <f>IFERROR(VLOOKUP(DATE($K$1,$K$2,HS$4),Table1[],(MATCH(Calendar!$A19,DB!$1:$1,0)),FALSE),"")</f>
        <v/>
      </c>
      <c r="HT19" s="28" t="str">
        <f>IFERROR(VLOOKUP(DATE($K$1,$K$2,HT$4),Table1[],(MATCH(Calendar!$A19,DB!$1:$1,0)),FALSE),"")</f>
        <v/>
      </c>
      <c r="HU19" s="28" t="str">
        <f>IFERROR(VLOOKUP(DATE($K$1,$K$2,HU$4),Table1[],(MATCH(Calendar!$A19,DB!$1:$1,0)),FALSE),"")</f>
        <v/>
      </c>
      <c r="HV19" s="28" t="str">
        <f>IFERROR(VLOOKUP(DATE($K$1,$K$2,HV$4),Table1[],(MATCH(Calendar!$A19,DB!$1:$1,0)),FALSE),"")</f>
        <v/>
      </c>
      <c r="HW19" s="28" t="str">
        <f>IFERROR(VLOOKUP(DATE($K$1,$K$2,HW$4),Table1[],(MATCH(Calendar!$A19,DB!$1:$1,0)),FALSE),"")</f>
        <v/>
      </c>
      <c r="HX19" s="28" t="str">
        <f>IFERROR(VLOOKUP(DATE($K$1,$K$2,HX$4),Table1[],(MATCH(Calendar!$A19,DB!$1:$1,0)),FALSE),"")</f>
        <v/>
      </c>
      <c r="HY19" s="28" t="str">
        <f>IFERROR(VLOOKUP(DATE($K$1,$K$2,HY$4),Table1[],(MATCH(Calendar!$A19,DB!$1:$1,0)),FALSE),"")</f>
        <v/>
      </c>
      <c r="HZ19" s="28" t="str">
        <f>IFERROR(VLOOKUP(DATE($K$1,$K$2,HZ$4),Table1[],(MATCH(Calendar!$A19,DB!$1:$1,0)),FALSE),"")</f>
        <v/>
      </c>
      <c r="IA19" s="28" t="str">
        <f>IFERROR(VLOOKUP(DATE($K$1,$K$2,IA$4),Table1[],(MATCH(Calendar!$A19,DB!$1:$1,0)),FALSE),"")</f>
        <v/>
      </c>
      <c r="IB19" s="28" t="str">
        <f>IFERROR(VLOOKUP(DATE($K$1,$K$2,IB$4),Table1[],(MATCH(Calendar!$A19,DB!$1:$1,0)),FALSE),"")</f>
        <v/>
      </c>
      <c r="IC19" s="28" t="str">
        <f>IFERROR(VLOOKUP(DATE($K$1,$K$2,IC$4),Table1[],(MATCH(Calendar!$A19,DB!$1:$1,0)),FALSE),"")</f>
        <v/>
      </c>
      <c r="ID19" s="28" t="str">
        <f>IFERROR(VLOOKUP(DATE($K$1,$K$2,ID$4),Table1[],(MATCH(Calendar!$A19,DB!$1:$1,0)),FALSE),"")</f>
        <v/>
      </c>
      <c r="IE19" s="28" t="str">
        <f>IFERROR(VLOOKUP(DATE($K$1,$K$2,IE$4),Table1[],(MATCH(Calendar!$A19,DB!$1:$1,0)),FALSE),"")</f>
        <v/>
      </c>
      <c r="IF19" s="28" t="str">
        <f>IFERROR(VLOOKUP(DATE($K$1,$K$2,IF$4),Table1[],(MATCH(Calendar!$A19,DB!$1:$1,0)),FALSE),"")</f>
        <v/>
      </c>
      <c r="IG19" s="28" t="str">
        <f>IFERROR(VLOOKUP(DATE($K$1,$K$2,IG$4),Table1[],(MATCH(Calendar!$A19,DB!$1:$1,0)),FALSE),"")</f>
        <v/>
      </c>
      <c r="IH19" s="28" t="str">
        <f>IFERROR(VLOOKUP(DATE($K$1,$K$2,IH$4),Table1[],(MATCH(Calendar!$A19,DB!$1:$1,0)),FALSE),"")</f>
        <v/>
      </c>
      <c r="II19" s="28" t="str">
        <f>IFERROR(VLOOKUP(DATE($K$1,$K$2,II$4),Table1[],(MATCH(Calendar!$A19,DB!$1:$1,0)),FALSE),"")</f>
        <v/>
      </c>
      <c r="IJ19" s="28" t="str">
        <f>IFERROR(VLOOKUP(DATE($K$1,$K$2,IJ$4),Table1[],(MATCH(Calendar!$A19,DB!$1:$1,0)),FALSE),"")</f>
        <v/>
      </c>
      <c r="IK19" s="28" t="str">
        <f>IFERROR(VLOOKUP(DATE($K$1,$K$2,IK$4),Table1[],(MATCH(Calendar!$A19,DB!$1:$1,0)),FALSE),"")</f>
        <v/>
      </c>
      <c r="IL19" s="28" t="str">
        <f>IFERROR(VLOOKUP(DATE($K$1,$K$2,IL$4),Table1[],(MATCH(Calendar!$A19,DB!$1:$1,0)),FALSE),"")</f>
        <v/>
      </c>
      <c r="IM19" s="28" t="str">
        <f>IFERROR(VLOOKUP(DATE($K$1,$K$2,IM$4),Table1[],(MATCH(Calendar!$A19,DB!$1:$1,0)),FALSE),"")</f>
        <v/>
      </c>
      <c r="IN19" s="28" t="str">
        <f>IFERROR(VLOOKUP(DATE($K$1,$K$2,IN$4),Table1[],(MATCH(Calendar!$A19,DB!$1:$1,0)),FALSE),"")</f>
        <v/>
      </c>
      <c r="IO19" s="28" t="str">
        <f>IFERROR(VLOOKUP(DATE($K$1,$K$2,IO$4),Table1[],(MATCH(Calendar!$A19,DB!$1:$1,0)),FALSE),"")</f>
        <v/>
      </c>
      <c r="IP19" s="28" t="str">
        <f>IFERROR(VLOOKUP(DATE($K$1,$K$2,IP$4),Table1[],(MATCH(Calendar!$A19,DB!$1:$1,0)),FALSE),"")</f>
        <v/>
      </c>
      <c r="IQ19" s="28" t="str">
        <f>IFERROR(VLOOKUP(DATE($K$1,$K$2,IQ$4),Table1[],(MATCH(Calendar!$A19,DB!$1:$1,0)),FALSE),"")</f>
        <v/>
      </c>
      <c r="IR19" s="28" t="str">
        <f>IFERROR(VLOOKUP(DATE($K$1,$K$2,IR$4),Table1[],(MATCH(Calendar!$A19,DB!$1:$1,0)),FALSE),"")</f>
        <v/>
      </c>
      <c r="IS19" s="28" t="str">
        <f>IFERROR(VLOOKUP(DATE($K$1,$K$2,IS$4),Table1[],(MATCH(Calendar!$A19,DB!$1:$1,0)),FALSE),"")</f>
        <v/>
      </c>
      <c r="IT19" s="28" t="str">
        <f>IFERROR(VLOOKUP(DATE($K$1,$K$2,IT$4),Table1[],(MATCH(Calendar!$A19,DB!$1:$1,0)),FALSE),"")</f>
        <v/>
      </c>
      <c r="IU19" s="28" t="str">
        <f>IFERROR(VLOOKUP(DATE($K$1,$K$2,IU$4),Table1[],(MATCH(Calendar!$A19,DB!$1:$1,0)),FALSE),"")</f>
        <v/>
      </c>
      <c r="IV19" s="28" t="str">
        <f>IFERROR(VLOOKUP(DATE($K$1,$K$2,IV$4),Table1[],(MATCH(Calendar!$A19,DB!$1:$1,0)),FALSE),"")</f>
        <v/>
      </c>
      <c r="IW19" s="28" t="str">
        <f>IFERROR(VLOOKUP(DATE($K$1,$K$2,IW$4),Table1[],(MATCH(Calendar!$A19,DB!$1:$1,0)),FALSE),"")</f>
        <v/>
      </c>
      <c r="IX19" s="28" t="str">
        <f>IFERROR(VLOOKUP(DATE($K$1,$K$2,IX$4),Table1[],(MATCH(Calendar!$A19,DB!$1:$1,0)),FALSE),"")</f>
        <v/>
      </c>
      <c r="IY19" s="28" t="str">
        <f>IFERROR(VLOOKUP(DATE($K$1,$K$2,IY$4),Table1[],(MATCH(Calendar!$A19,DB!$1:$1,0)),FALSE),"")</f>
        <v/>
      </c>
      <c r="IZ19" s="28" t="str">
        <f>IFERROR(VLOOKUP(DATE($K$1,$K$2,IZ$4),Table1[],(MATCH(Calendar!$A19,DB!$1:$1,0)),FALSE),"")</f>
        <v/>
      </c>
      <c r="JA19" s="28" t="str">
        <f>IFERROR(VLOOKUP(DATE($K$1,$K$2,JA$4),Table1[],(MATCH(Calendar!$A19,DB!$1:$1,0)),FALSE),"")</f>
        <v/>
      </c>
      <c r="JB19" s="28" t="str">
        <f>IFERROR(VLOOKUP(DATE($K$1,$K$2,JB$4),Table1[],(MATCH(Calendar!$A19,DB!$1:$1,0)),FALSE),"")</f>
        <v/>
      </c>
      <c r="JC19" s="28" t="str">
        <f>IFERROR(VLOOKUP(DATE($K$1,$K$2,JC$4),Table1[],(MATCH(Calendar!$A19,DB!$1:$1,0)),FALSE),"")</f>
        <v/>
      </c>
      <c r="JD19" s="28" t="str">
        <f>IFERROR(VLOOKUP(DATE($K$1,$K$2,JD$4),Table1[],(MATCH(Calendar!$A19,DB!$1:$1,0)),FALSE),"")</f>
        <v/>
      </c>
      <c r="JE19" s="28" t="str">
        <f>IFERROR(VLOOKUP(DATE($K$1,$K$2,JE$4),Table1[],(MATCH(Calendar!$A19,DB!$1:$1,0)),FALSE),"")</f>
        <v/>
      </c>
      <c r="JF19" s="28" t="str">
        <f>IFERROR(VLOOKUP(DATE($K$1,$K$2,JF$4),Table1[],(MATCH(Calendar!$A19,DB!$1:$1,0)),FALSE),"")</f>
        <v/>
      </c>
      <c r="JG19" s="28" t="str">
        <f>IFERROR(VLOOKUP(DATE($K$1,$K$2,JG$4),Table1[],(MATCH(Calendar!$A19,DB!$1:$1,0)),FALSE),"")</f>
        <v/>
      </c>
      <c r="JH19" s="28" t="str">
        <f>IFERROR(VLOOKUP(DATE($K$1,$K$2,JH$4),Table1[],(MATCH(Calendar!$A19,DB!$1:$1,0)),FALSE),"")</f>
        <v/>
      </c>
      <c r="JI19" s="28" t="str">
        <f>IFERROR(VLOOKUP(DATE($K$1,$K$2,JI$4),Table1[],(MATCH(Calendar!$A19,DB!$1:$1,0)),FALSE),"")</f>
        <v/>
      </c>
      <c r="JJ19" s="28" t="str">
        <f>IFERROR(VLOOKUP(DATE($K$1,$K$2,JJ$4),Table1[],(MATCH(Calendar!$A19,DB!$1:$1,0)),FALSE),"")</f>
        <v/>
      </c>
      <c r="JK19" s="28" t="str">
        <f>IFERROR(VLOOKUP(DATE($K$1,$K$2,JK$4),Table1[],(MATCH(Calendar!$A19,DB!$1:$1,0)),FALSE),"")</f>
        <v/>
      </c>
      <c r="JL19" s="28" t="str">
        <f>IFERROR(VLOOKUP(DATE($K$1,$K$2,JL$4),Table1[],(MATCH(Calendar!$A19,DB!$1:$1,0)),FALSE),"")</f>
        <v/>
      </c>
      <c r="JM19" s="28" t="str">
        <f>IFERROR(VLOOKUP(DATE($K$1,$K$2,JM$4),Table1[],(MATCH(Calendar!$A19,DB!$1:$1,0)),FALSE),"")</f>
        <v/>
      </c>
      <c r="JN19" s="28" t="str">
        <f>IFERROR(VLOOKUP(DATE($K$1,$K$2,JN$4),Table1[],(MATCH(Calendar!$A19,DB!$1:$1,0)),FALSE),"")</f>
        <v/>
      </c>
      <c r="JO19" s="28" t="str">
        <f>IFERROR(VLOOKUP(DATE($K$1,$K$2,JO$4),Table1[],(MATCH(Calendar!$A19,DB!$1:$1,0)),FALSE),"")</f>
        <v/>
      </c>
      <c r="JP19" s="28" t="str">
        <f>IFERROR(VLOOKUP(DATE($K$1,$K$2,JP$4),Table1[],(MATCH(Calendar!$A19,DB!$1:$1,0)),FALSE),"")</f>
        <v/>
      </c>
      <c r="JQ19" s="28" t="str">
        <f>IFERROR(VLOOKUP(DATE($K$1,$K$2,JQ$4),Table1[],(MATCH(Calendar!$A19,DB!$1:$1,0)),FALSE),"")</f>
        <v/>
      </c>
      <c r="JR19" s="28" t="str">
        <f>IFERROR(VLOOKUP(DATE($K$1,$K$2,JR$4),Table1[],(MATCH(Calendar!$A19,DB!$1:$1,0)),FALSE),"")</f>
        <v/>
      </c>
      <c r="JS19" s="28" t="str">
        <f>IFERROR(VLOOKUP(DATE($K$1,$K$2,JS$4),Table1[],(MATCH(Calendar!$A19,DB!$1:$1,0)),FALSE),"")</f>
        <v/>
      </c>
      <c r="JT19" s="28" t="str">
        <f>IFERROR(VLOOKUP(DATE($K$1,$K$2,JT$4),Table1[],(MATCH(Calendar!$A19,DB!$1:$1,0)),FALSE),"")</f>
        <v/>
      </c>
      <c r="JU19" s="28" t="str">
        <f>IFERROR(VLOOKUP(DATE($K$1,$K$2,JU$4),Table1[],(MATCH(Calendar!$A19,DB!$1:$1,0)),FALSE),"")</f>
        <v/>
      </c>
      <c r="JV19" s="28" t="str">
        <f>IFERROR(VLOOKUP(DATE($K$1,$K$2,JV$4),Table1[],(MATCH(Calendar!$A19,DB!$1:$1,0)),FALSE),"")</f>
        <v/>
      </c>
      <c r="JW19" s="28" t="str">
        <f>IFERROR(VLOOKUP(DATE($K$1,$K$2,JW$4),Table1[],(MATCH(Calendar!$A19,DB!$1:$1,0)),FALSE),"")</f>
        <v/>
      </c>
      <c r="JX19" s="28" t="str">
        <f>IFERROR(VLOOKUP(DATE($K$1,$K$2,JX$4),Table1[],(MATCH(Calendar!$A19,DB!$1:$1,0)),FALSE),"")</f>
        <v/>
      </c>
      <c r="JY19" s="28" t="str">
        <f>IFERROR(VLOOKUP(DATE($K$1,$K$2,JY$4),Table1[],(MATCH(Calendar!$A19,DB!$1:$1,0)),FALSE),"")</f>
        <v/>
      </c>
      <c r="JZ19" s="28" t="str">
        <f>IFERROR(VLOOKUP(DATE($K$1,$K$2,JZ$4),Table1[],(MATCH(Calendar!$A19,DB!$1:$1,0)),FALSE),"")</f>
        <v/>
      </c>
      <c r="KA19" s="28" t="str">
        <f>IFERROR(VLOOKUP(DATE($K$1,$K$2,KA$4),Table1[],(MATCH(Calendar!$A19,DB!$1:$1,0)),FALSE),"")</f>
        <v/>
      </c>
      <c r="KB19" s="28" t="str">
        <f>IFERROR(VLOOKUP(DATE($K$1,$K$2,KB$4),Table1[],(MATCH(Calendar!$A19,DB!$1:$1,0)),FALSE),"")</f>
        <v/>
      </c>
      <c r="KC19" s="28" t="str">
        <f>IFERROR(VLOOKUP(DATE($K$1,$K$2,KC$4),Table1[],(MATCH(Calendar!$A19,DB!$1:$1,0)),FALSE),"")</f>
        <v/>
      </c>
      <c r="KD19" s="28" t="str">
        <f>IFERROR(VLOOKUP(DATE($K$1,$K$2,KD$4),Table1[],(MATCH(Calendar!$A19,DB!$1:$1,0)),FALSE),"")</f>
        <v/>
      </c>
      <c r="KE19" s="28" t="str">
        <f>IFERROR(VLOOKUP(DATE($K$1,$K$2,KE$4),Table1[],(MATCH(Calendar!$A19,DB!$1:$1,0)),FALSE),"")</f>
        <v/>
      </c>
      <c r="KF19" s="28" t="str">
        <f>IFERROR(VLOOKUP(DATE($K$1,$K$2,KF$4),Table1[],(MATCH(Calendar!$A19,DB!$1:$1,0)),FALSE),"")</f>
        <v/>
      </c>
      <c r="KG19" s="28" t="str">
        <f>IFERROR(VLOOKUP(DATE($K$1,$K$2,KG$4),Table1[],(MATCH(Calendar!$A19,DB!$1:$1,0)),FALSE),"")</f>
        <v/>
      </c>
      <c r="KH19" s="28" t="str">
        <f>IFERROR(VLOOKUP(DATE($K$1,$K$2,KH$4),Table1[],(MATCH(Calendar!$A19,DB!$1:$1,0)),FALSE),"")</f>
        <v/>
      </c>
      <c r="KI19" s="28" t="str">
        <f>IFERROR(VLOOKUP(DATE($K$1,$K$2,KI$4),Table1[],(MATCH(Calendar!$A19,DB!$1:$1,0)),FALSE),"")</f>
        <v/>
      </c>
      <c r="KJ19" s="28" t="str">
        <f>IFERROR(VLOOKUP(DATE($K$1,$K$2,KJ$4),Table1[],(MATCH(Calendar!$A19,DB!$1:$1,0)),FALSE),"")</f>
        <v/>
      </c>
      <c r="KK19" s="28" t="str">
        <f>IFERROR(VLOOKUP(DATE($K$1,$K$2,KK$4),Table1[],(MATCH(Calendar!$A19,DB!$1:$1,0)),FALSE),"")</f>
        <v/>
      </c>
      <c r="KL19" s="28" t="str">
        <f>IFERROR(VLOOKUP(DATE($K$1,$K$2,KL$4),Table1[],(MATCH(Calendar!$A19,DB!$1:$1,0)),FALSE),"")</f>
        <v/>
      </c>
      <c r="KM19" s="28" t="str">
        <f>IFERROR(VLOOKUP(DATE($K$1,$K$2,KM$4),Table1[],(MATCH(Calendar!$A19,DB!$1:$1,0)),FALSE),"")</f>
        <v/>
      </c>
      <c r="KN19" s="28" t="str">
        <f>IFERROR(VLOOKUP(DATE($K$1,$K$2,KN$4),Table1[],(MATCH(Calendar!$A19,DB!$1:$1,0)),FALSE),"")</f>
        <v/>
      </c>
      <c r="KO19" s="28" t="str">
        <f>IFERROR(VLOOKUP(DATE($K$1,$K$2,KO$4),Table1[],(MATCH(Calendar!$A19,DB!$1:$1,0)),FALSE),"")</f>
        <v/>
      </c>
      <c r="KP19" s="28" t="str">
        <f>IFERROR(VLOOKUP(DATE($K$1,$K$2,KP$4),Table1[],(MATCH(Calendar!$A19,DB!$1:$1,0)),FALSE),"")</f>
        <v/>
      </c>
      <c r="KQ19" s="28" t="str">
        <f>IFERROR(VLOOKUP(DATE($K$1,$K$2,KQ$4),Table1[],(MATCH(Calendar!$A19,DB!$1:$1,0)),FALSE),"")</f>
        <v/>
      </c>
      <c r="KR19" s="28" t="str">
        <f>IFERROR(VLOOKUP(DATE($K$1,$K$2,KR$4),Table1[],(MATCH(Calendar!$A19,DB!$1:$1,0)),FALSE),"")</f>
        <v/>
      </c>
      <c r="KS19" s="28" t="str">
        <f>IFERROR(VLOOKUP(DATE($K$1,$K$2,KS$4),Table1[],(MATCH(Calendar!$A19,DB!$1:$1,0)),FALSE),"")</f>
        <v/>
      </c>
      <c r="KT19" s="28" t="str">
        <f>IFERROR(VLOOKUP(DATE($K$1,$K$2,KT$4),Table1[],(MATCH(Calendar!$A19,DB!$1:$1,0)),FALSE),"")</f>
        <v/>
      </c>
      <c r="KU19" s="28" t="str">
        <f>IFERROR(VLOOKUP(DATE($K$1,$K$2,KU$4),Table1[],(MATCH(Calendar!$A19,DB!$1:$1,0)),FALSE),"")</f>
        <v/>
      </c>
      <c r="KV19" s="28" t="str">
        <f>IFERROR(VLOOKUP(DATE($K$1,$K$2,KV$4),Table1[],(MATCH(Calendar!$A19,DB!$1:$1,0)),FALSE),"")</f>
        <v/>
      </c>
      <c r="KW19" s="28" t="str">
        <f>IFERROR(VLOOKUP(DATE($K$1,$K$2,KW$4),Table1[],(MATCH(Calendar!$A19,DB!$1:$1,0)),FALSE),"")</f>
        <v/>
      </c>
      <c r="KX19" s="28" t="str">
        <f>IFERROR(VLOOKUP(DATE($K$1,$K$2,KX$4),Table1[],(MATCH(Calendar!$A19,DB!$1:$1,0)),FALSE),"")</f>
        <v/>
      </c>
      <c r="KY19" s="28" t="str">
        <f>IFERROR(VLOOKUP(DATE($K$1,$K$2,KY$4),Table1[],(MATCH(Calendar!$A19,DB!$1:$1,0)),FALSE),"")</f>
        <v/>
      </c>
      <c r="KZ19" s="28" t="str">
        <f>IFERROR(VLOOKUP(DATE($K$1,$K$2,KZ$4),Table1[],(MATCH(Calendar!$A19,DB!$1:$1,0)),FALSE),"")</f>
        <v/>
      </c>
      <c r="LA19" s="28" t="str">
        <f>IFERROR(VLOOKUP(DATE($K$1,$K$2,LA$4),Table1[],(MATCH(Calendar!$A19,DB!$1:$1,0)),FALSE),"")</f>
        <v/>
      </c>
      <c r="LB19" s="28" t="str">
        <f>IFERROR(VLOOKUP(DATE($K$1,$K$2,LB$4),Table1[],(MATCH(Calendar!$A19,DB!$1:$1,0)),FALSE),"")</f>
        <v/>
      </c>
      <c r="LC19" s="28" t="str">
        <f>IFERROR(VLOOKUP(DATE($K$1,$K$2,LC$4),Table1[],(MATCH(Calendar!$A19,DB!$1:$1,0)),FALSE),"")</f>
        <v/>
      </c>
      <c r="LD19" s="28" t="str">
        <f>IFERROR(VLOOKUP(DATE($K$1,$K$2,LD$4),Table1[],(MATCH(Calendar!$A19,DB!$1:$1,0)),FALSE),"")</f>
        <v/>
      </c>
      <c r="LE19" s="28" t="str">
        <f>IFERROR(VLOOKUP(DATE($K$1,$K$2,LE$4),Table1[],(MATCH(Calendar!$A19,DB!$1:$1,0)),FALSE),"")</f>
        <v/>
      </c>
      <c r="LF19" s="28" t="str">
        <f>IFERROR(VLOOKUP(DATE($K$1,$K$2,LF$4),Table1[],(MATCH(Calendar!$A19,DB!$1:$1,0)),FALSE),"")</f>
        <v/>
      </c>
      <c r="LG19" s="28" t="str">
        <f>IFERROR(VLOOKUP(DATE($K$1,$K$2,LG$4),Table1[],(MATCH(Calendar!$A19,DB!$1:$1,0)),FALSE),"")</f>
        <v/>
      </c>
      <c r="LH19" s="28" t="str">
        <f>IFERROR(VLOOKUP(DATE($K$1,$K$2,LH$4),Table1[],(MATCH(Calendar!$A19,DB!$1:$1,0)),FALSE),"")</f>
        <v/>
      </c>
      <c r="LI19" s="28" t="str">
        <f>IFERROR(VLOOKUP(DATE($K$1,$K$2,LI$4),Table1[],(MATCH(Calendar!$A19,DB!$1:$1,0)),FALSE),"")</f>
        <v/>
      </c>
      <c r="LJ19" s="28" t="str">
        <f>IFERROR(VLOOKUP(DATE($K$1,$K$2,LJ$4),Table1[],(MATCH(Calendar!$A19,DB!$1:$1,0)),FALSE),"")</f>
        <v/>
      </c>
      <c r="LK19" s="28" t="str">
        <f>IFERROR(VLOOKUP(DATE($K$1,$K$2,LK$4),Table1[],(MATCH(Calendar!$A19,DB!$1:$1,0)),FALSE),"")</f>
        <v/>
      </c>
      <c r="LL19" s="28" t="str">
        <f>IFERROR(VLOOKUP(DATE($K$1,$K$2,LL$4),Table1[],(MATCH(Calendar!$A19,DB!$1:$1,0)),FALSE),"")</f>
        <v/>
      </c>
      <c r="LM19" s="28" t="str">
        <f>IFERROR(VLOOKUP(DATE($K$1,$K$2,LM$4),Table1[],(MATCH(Calendar!$A19,DB!$1:$1,0)),FALSE),"")</f>
        <v/>
      </c>
      <c r="LN19" s="28" t="str">
        <f>IFERROR(VLOOKUP(DATE($K$1,$K$2,LN$4),Table1[],(MATCH(Calendar!$A19,DB!$1:$1,0)),FALSE),"")</f>
        <v/>
      </c>
      <c r="LO19" s="28" t="str">
        <f>IFERROR(VLOOKUP(DATE($K$1,$K$2,LO$4),Table1[],(MATCH(Calendar!$A19,DB!$1:$1,0)),FALSE),"")</f>
        <v/>
      </c>
      <c r="LP19" s="28" t="str">
        <f>IFERROR(VLOOKUP(DATE($K$1,$K$2,LP$4),Table1[],(MATCH(Calendar!$A19,DB!$1:$1,0)),FALSE),"")</f>
        <v/>
      </c>
      <c r="LQ19" s="28" t="str">
        <f>IFERROR(VLOOKUP(DATE($K$1,$K$2,LQ$4),Table1[],(MATCH(Calendar!$A19,DB!$1:$1,0)),FALSE),"")</f>
        <v/>
      </c>
      <c r="LR19" s="28" t="str">
        <f>IFERROR(VLOOKUP(DATE($K$1,$K$2,LR$4),Table1[],(MATCH(Calendar!$A19,DB!$1:$1,0)),FALSE),"")</f>
        <v/>
      </c>
      <c r="LS19" s="28" t="str">
        <f>IFERROR(VLOOKUP(DATE($K$1,$K$2,LS$4),Table1[],(MATCH(Calendar!$A19,DB!$1:$1,0)),FALSE),"")</f>
        <v/>
      </c>
      <c r="LT19" s="28" t="str">
        <f>IFERROR(VLOOKUP(DATE($K$1,$K$2,LT$4),Table1[],(MATCH(Calendar!$A19,DB!$1:$1,0)),FALSE),"")</f>
        <v/>
      </c>
      <c r="LU19" s="28" t="str">
        <f>IFERROR(VLOOKUP(DATE($K$1,$K$2,LU$4),Table1[],(MATCH(Calendar!$A19,DB!$1:$1,0)),FALSE),"")</f>
        <v/>
      </c>
      <c r="LV19" s="28" t="str">
        <f>IFERROR(VLOOKUP(DATE($K$1,$K$2,LV$4),Table1[],(MATCH(Calendar!$A19,DB!$1:$1,0)),FALSE),"")</f>
        <v/>
      </c>
      <c r="LW19" s="28" t="str">
        <f>IFERROR(VLOOKUP(DATE($K$1,$K$2,LW$4),Table1[],(MATCH(Calendar!$A19,DB!$1:$1,0)),FALSE),"")</f>
        <v/>
      </c>
      <c r="LX19" s="28" t="str">
        <f>IFERROR(VLOOKUP(DATE($K$1,$K$2,LX$4),Table1[],(MATCH(Calendar!$A19,DB!$1:$1,0)),FALSE),"")</f>
        <v/>
      </c>
      <c r="LY19" s="28" t="str">
        <f>IFERROR(VLOOKUP(DATE($K$1,$K$2,LY$4),Table1[],(MATCH(Calendar!$A19,DB!$1:$1,0)),FALSE),"")</f>
        <v/>
      </c>
      <c r="LZ19" s="28" t="str">
        <f>IFERROR(VLOOKUP(DATE($K$1,$K$2,LZ$4),Table1[],(MATCH(Calendar!$A19,DB!$1:$1,0)),FALSE),"")</f>
        <v/>
      </c>
      <c r="MA19" s="28" t="str">
        <f>IFERROR(VLOOKUP(DATE($K$1,$K$2,MA$4),Table1[],(MATCH(Calendar!$A19,DB!$1:$1,0)),FALSE),"")</f>
        <v/>
      </c>
      <c r="MB19" s="28" t="str">
        <f>IFERROR(VLOOKUP(DATE($K$1,$K$2,MB$4),Table1[],(MATCH(Calendar!$A19,DB!$1:$1,0)),FALSE),"")</f>
        <v/>
      </c>
      <c r="MC19" s="28" t="str">
        <f>IFERROR(VLOOKUP(DATE($K$1,$K$2,MC$4),Table1[],(MATCH(Calendar!$A19,DB!$1:$1,0)),FALSE),"")</f>
        <v/>
      </c>
      <c r="MD19" s="28" t="str">
        <f>IFERROR(VLOOKUP(DATE($K$1,$K$2,MD$4),Table1[],(MATCH(Calendar!$A19,DB!$1:$1,0)),FALSE),"")</f>
        <v/>
      </c>
      <c r="ME19" s="28" t="str">
        <f>IFERROR(VLOOKUP(DATE($K$1,$K$2,ME$4),Table1[],(MATCH(Calendar!$A19,DB!$1:$1,0)),FALSE),"")</f>
        <v/>
      </c>
      <c r="MF19" s="28" t="str">
        <f>IFERROR(VLOOKUP(DATE($K$1,$K$2,MF$4),Table1[],(MATCH(Calendar!$A19,DB!$1:$1,0)),FALSE),"")</f>
        <v/>
      </c>
      <c r="MG19" s="28" t="str">
        <f>IFERROR(VLOOKUP(DATE($K$1,$K$2,MG$4),Table1[],(MATCH(Calendar!$A19,DB!$1:$1,0)),FALSE),"")</f>
        <v/>
      </c>
      <c r="MH19" s="28" t="str">
        <f>IFERROR(VLOOKUP(DATE($K$1,$K$2,MH$4),Table1[],(MATCH(Calendar!$A19,DB!$1:$1,0)),FALSE),"")</f>
        <v/>
      </c>
      <c r="MI19" s="28" t="str">
        <f>IFERROR(VLOOKUP(DATE($K$1,$K$2,MI$4),Table1[],(MATCH(Calendar!$A19,DB!$1:$1,0)),FALSE),"")</f>
        <v/>
      </c>
      <c r="MJ19" s="28" t="str">
        <f>IFERROR(VLOOKUP(DATE($K$1,$K$2,MJ$4),Table1[],(MATCH(Calendar!$A19,DB!$1:$1,0)),FALSE),"")</f>
        <v/>
      </c>
      <c r="MK19" s="28" t="str">
        <f>IFERROR(VLOOKUP(DATE($K$1,$K$2,MK$4),Table1[],(MATCH(Calendar!$A19,DB!$1:$1,0)),FALSE),"")</f>
        <v/>
      </c>
      <c r="ML19" s="28" t="str">
        <f>IFERROR(VLOOKUP(DATE($K$1,$K$2,ML$4),Table1[],(MATCH(Calendar!$A19,DB!$1:$1,0)),FALSE),"")</f>
        <v/>
      </c>
      <c r="MM19" s="28" t="str">
        <f>IFERROR(VLOOKUP(DATE($K$1,$K$2,MM$4),Table1[],(MATCH(Calendar!$A19,DB!$1:$1,0)),FALSE),"")</f>
        <v/>
      </c>
      <c r="MN19" s="28" t="str">
        <f>IFERROR(VLOOKUP(DATE($K$1,$K$2,MN$4),Table1[],(MATCH(Calendar!$A19,DB!$1:$1,0)),FALSE),"")</f>
        <v/>
      </c>
      <c r="MO19" s="28" t="str">
        <f>IFERROR(VLOOKUP(DATE($K$1,$K$2,MO$4),Table1[],(MATCH(Calendar!$A19,DB!$1:$1,0)),FALSE),"")</f>
        <v/>
      </c>
      <c r="MP19" s="28" t="str">
        <f>IFERROR(VLOOKUP(DATE($K$1,$K$2,MP$4),Table1[],(MATCH(Calendar!$A19,DB!$1:$1,0)),FALSE),"")</f>
        <v/>
      </c>
      <c r="MQ19" s="28" t="str">
        <f>IFERROR(VLOOKUP(DATE($K$1,$K$2,MQ$4),Table1[],(MATCH(Calendar!$A19,DB!$1:$1,0)),FALSE),"")</f>
        <v/>
      </c>
      <c r="MR19" s="28" t="str">
        <f>IFERROR(VLOOKUP(DATE($K$1,$K$2,MR$4),Table1[],(MATCH(Calendar!$A19,DB!$1:$1,0)),FALSE),"")</f>
        <v/>
      </c>
      <c r="MS19" s="28" t="str">
        <f>IFERROR(VLOOKUP(DATE($K$1,$K$2,MS$4),Table1[],(MATCH(Calendar!$A19,DB!$1:$1,0)),FALSE),"")</f>
        <v/>
      </c>
      <c r="MT19" s="28" t="str">
        <f>IFERROR(VLOOKUP(DATE($K$1,$K$2,MT$4),Table1[],(MATCH(Calendar!$A19,DB!$1:$1,0)),FALSE),"")</f>
        <v/>
      </c>
      <c r="MU19" s="28" t="str">
        <f>IFERROR(VLOOKUP(DATE($K$1,$K$2,MU$4),Table1[],(MATCH(Calendar!$A19,DB!$1:$1,0)),FALSE),"")</f>
        <v/>
      </c>
      <c r="MV19" s="28" t="str">
        <f>IFERROR(VLOOKUP(DATE($K$1,$K$2,MV$4),Table1[],(MATCH(Calendar!$A19,DB!$1:$1,0)),FALSE),"")</f>
        <v/>
      </c>
      <c r="MW19" s="28" t="str">
        <f>IFERROR(VLOOKUP(DATE($K$1,$K$2,MW$4),Table1[],(MATCH(Calendar!$A19,DB!$1:$1,0)),FALSE),"")</f>
        <v/>
      </c>
      <c r="MX19" s="28" t="str">
        <f>IFERROR(VLOOKUP(DATE($K$1,$K$2,MX$4),Table1[],(MATCH(Calendar!$A19,DB!$1:$1,0)),FALSE),"")</f>
        <v/>
      </c>
      <c r="MY19" s="28" t="str">
        <f>IFERROR(VLOOKUP(DATE($K$1,$K$2,MY$4),Table1[],(MATCH(Calendar!$A19,DB!$1:$1,0)),FALSE),"")</f>
        <v/>
      </c>
      <c r="MZ19" s="28" t="str">
        <f>IFERROR(VLOOKUP(DATE($K$1,$K$2,MZ$4),Table1[],(MATCH(Calendar!$A19,DB!$1:$1,0)),FALSE),"")</f>
        <v/>
      </c>
      <c r="NA19" s="28" t="str">
        <f>IFERROR(VLOOKUP(DATE($K$1,$K$2,NA$4),Table1[],(MATCH(Calendar!$A19,DB!$1:$1,0)),FALSE),"")</f>
        <v/>
      </c>
      <c r="NB19" s="28" t="str">
        <f>IFERROR(VLOOKUP(DATE($K$1,$K$2,NB$4),Table1[],(MATCH(Calendar!$A19,DB!$1:$1,0)),FALSE),"")</f>
        <v/>
      </c>
      <c r="NC19" s="28" t="str">
        <f>IFERROR(VLOOKUP(DATE($K$1,$K$2,NC$4),Table1[],(MATCH(Calendar!$A19,DB!$1:$1,0)),FALSE),"")</f>
        <v/>
      </c>
      <c r="ND19" s="28" t="str">
        <f>IFERROR(VLOOKUP(DATE($K$1,$K$2,ND$4),Table1[],(MATCH(Calendar!$A19,DB!$1:$1,0)),FALSE),"")</f>
        <v/>
      </c>
      <c r="NE19" s="28" t="str">
        <f>IFERROR(VLOOKUP(DATE($K$1,$K$2,NE$4),Table1[],(MATCH(Calendar!$A19,DB!$1:$1,0)),FALSE),"")</f>
        <v/>
      </c>
      <c r="NF19" s="28" t="str">
        <f>IFERROR(VLOOKUP(DATE($K$1,$K$2,NF$4),Table1[],(MATCH(Calendar!$A19,DB!$1:$1,0)),FALSE),"")</f>
        <v/>
      </c>
      <c r="NG19" s="28" t="str">
        <f>IFERROR(VLOOKUP(DATE($K$1,$K$2,NG$4),Table1[],(MATCH(Calendar!$A19,DB!$1:$1,0)),FALSE),"")</f>
        <v/>
      </c>
      <c r="NH19" s="28" t="str">
        <f>IFERROR(VLOOKUP(DATE($K$1,$K$2,NH$4),Table1[],(MATCH(Calendar!$A19,DB!$1:$1,0)),FALSE),"")</f>
        <v/>
      </c>
      <c r="NI19" s="28" t="str">
        <f>IFERROR(VLOOKUP(DATE($K$1,$K$2,NI$4),Table1[],(MATCH(Calendar!$A19,DB!$1:$1,0)),FALSE),"")</f>
        <v/>
      </c>
      <c r="NJ19" s="28" t="str">
        <f>IFERROR(VLOOKUP(DATE($K$1,$K$2,NJ$4),Table1[],(MATCH(Calendar!$A19,DB!$1:$1,0)),FALSE),"")</f>
        <v/>
      </c>
      <c r="NK19" s="28" t="str">
        <f>IFERROR(VLOOKUP(DATE($K$1,$K$2,NK$4),Table1[],(MATCH(Calendar!$A19,DB!$1:$1,0)),FALSE),"")</f>
        <v/>
      </c>
      <c r="NL19" s="28" t="str">
        <f>IFERROR(VLOOKUP(DATE($K$1,$K$2,NL$4),Table1[],(MATCH(Calendar!$A19,DB!$1:$1,0)),FALSE),"")</f>
        <v/>
      </c>
      <c r="NM19" s="28" t="str">
        <f>IFERROR(VLOOKUP(DATE($K$1,$K$2,NM$4),Table1[],(MATCH(Calendar!$A19,DB!$1:$1,0)),FALSE),"")</f>
        <v/>
      </c>
      <c r="NN19" s="28" t="str">
        <f>IFERROR(VLOOKUP(DATE($K$1,$K$2,NN$4),Table1[],(MATCH(Calendar!$A19,DB!$1:$1,0)),FALSE),"")</f>
        <v/>
      </c>
      <c r="NO19" s="28" t="str">
        <f>IFERROR(VLOOKUP(DATE($K$1,$K$2,NO$4),Table1[],(MATCH(Calendar!$A19,DB!$1:$1,0)),FALSE),"")</f>
        <v/>
      </c>
      <c r="NP19" s="28" t="str">
        <f>IFERROR(VLOOKUP(DATE($K$1,$K$2,NP$4),Table1[],(MATCH(Calendar!$A19,DB!$1:$1,0)),FALSE),"")</f>
        <v/>
      </c>
      <c r="NQ19" s="28" t="str">
        <f>IFERROR(VLOOKUP(DATE($K$1,$K$2,NQ$4),Table1[],(MATCH(Calendar!$A19,DB!$1:$1,0)),FALSE),"")</f>
        <v/>
      </c>
      <c r="NR19" s="28" t="str">
        <f>IFERROR(VLOOKUP(DATE($K$1,$K$2,NR$4),Table1[],(MATCH(Calendar!$A19,DB!$1:$1,0)),FALSE),"")</f>
        <v/>
      </c>
      <c r="NS19" s="28" t="str">
        <f>IFERROR(VLOOKUP(DATE($K$1,$K$2,NS$4),Table1[],(MATCH(Calendar!$A19,DB!$1:$1,0)),FALSE),"")</f>
        <v/>
      </c>
      <c r="NT19" s="28" t="str">
        <f>IFERROR(VLOOKUP(DATE($K$1,$K$2,NT$4),Table1[],(MATCH(Calendar!$A19,DB!$1:$1,0)),FALSE),"")</f>
        <v/>
      </c>
      <c r="NU19" s="28" t="str">
        <f>IFERROR(VLOOKUP(DATE($K$1,$K$2,NU$4),Table1[],(MATCH(Calendar!$A19,DB!$1:$1,0)),FALSE),"")</f>
        <v/>
      </c>
      <c r="NV19" s="28" t="str">
        <f>IFERROR(VLOOKUP(DATE($K$1,$K$2,NV$4),Table1[],(MATCH(Calendar!$A19,DB!$1:$1,0)),FALSE),"")</f>
        <v/>
      </c>
      <c r="NW19" s="28" t="str">
        <f>IFERROR(VLOOKUP(DATE($K$1,$K$2,NW$4),Table1[],(MATCH(Calendar!$A19,DB!$1:$1,0)),FALSE),"")</f>
        <v/>
      </c>
      <c r="NX19" s="28" t="str">
        <f>IFERROR(VLOOKUP(DATE($K$1,$K$2,NX$4),Table1[],(MATCH(Calendar!$A19,DB!$1:$1,0)),FALSE),"")</f>
        <v/>
      </c>
      <c r="NY19" s="28" t="str">
        <f>IFERROR(VLOOKUP(DATE($K$1,$K$2,NY$4),Table1[],(MATCH(Calendar!$A19,DB!$1:$1,0)),FALSE),"")</f>
        <v/>
      </c>
      <c r="NZ19" s="28" t="str">
        <f>IFERROR(VLOOKUP(DATE($K$1,$K$2,NZ$4),Table1[],(MATCH(Calendar!$A19,DB!$1:$1,0)),FALSE),"")</f>
        <v/>
      </c>
      <c r="OA19" s="28" t="str">
        <f>IFERROR(VLOOKUP(DATE($K$1,$K$2,OA$4),Table1[],(MATCH(Calendar!$A19,DB!$1:$1,0)),FALSE),"")</f>
        <v/>
      </c>
      <c r="OB19" s="28" t="str">
        <f>IFERROR(VLOOKUP(DATE($K$1,$K$2,OB$4),Table1[],(MATCH(Calendar!$A19,DB!$1:$1,0)),FALSE),"")</f>
        <v/>
      </c>
      <c r="OC19" s="28" t="str">
        <f>IFERROR(VLOOKUP(DATE($K$1,$K$2,OC$4),Table1[],(MATCH(Calendar!$A19,DB!$1:$1,0)),FALSE),"")</f>
        <v/>
      </c>
      <c r="OD19" s="28" t="str">
        <f>IFERROR(VLOOKUP(DATE($K$1,$K$2,OD$4),Table1[],(MATCH(Calendar!$A19,DB!$1:$1,0)),FALSE),"")</f>
        <v/>
      </c>
      <c r="OE19" s="28" t="str">
        <f>IFERROR(VLOOKUP(DATE($K$1,$K$2,OE$4),Table1[],(MATCH(Calendar!$A19,DB!$1:$1,0)),FALSE),"")</f>
        <v/>
      </c>
      <c r="OF19" s="28" t="str">
        <f>IFERROR(VLOOKUP(DATE($K$1,$K$2,OF$4),Table1[],(MATCH(Calendar!$A19,DB!$1:$1,0)),FALSE),"")</f>
        <v/>
      </c>
      <c r="OG19" s="28" t="str">
        <f>IFERROR(VLOOKUP(DATE($K$1,$K$2,OG$4),Table1[],(MATCH(Calendar!$A19,DB!$1:$1,0)),FALSE),"")</f>
        <v/>
      </c>
      <c r="OH19" s="28" t="str">
        <f>IFERROR(VLOOKUP(DATE($K$1,$K$2,OH$4),Table1[],(MATCH(Calendar!$A19,DB!$1:$1,0)),FALSE),"")</f>
        <v/>
      </c>
      <c r="OI19" s="28" t="str">
        <f>IFERROR(VLOOKUP(DATE($K$1,$K$2,OI$4),Table1[],(MATCH(Calendar!$A19,DB!$1:$1,0)),FALSE),"")</f>
        <v/>
      </c>
      <c r="OJ19" s="28" t="str">
        <f>IFERROR(VLOOKUP(DATE($K$1,$K$2,OJ$4),Table1[],(MATCH(Calendar!$A19,DB!$1:$1,0)),FALSE),"")</f>
        <v/>
      </c>
      <c r="OK19" s="28" t="str">
        <f>IFERROR(VLOOKUP(DATE($K$1,$K$2,OK$4),Table1[],(MATCH(Calendar!$A19,DB!$1:$1,0)),FALSE),"")</f>
        <v/>
      </c>
      <c r="OL19" s="28" t="str">
        <f>IFERROR(VLOOKUP(DATE($K$1,$K$2,OL$4),Table1[],(MATCH(Calendar!$A19,DB!$1:$1,0)),FALSE),"")</f>
        <v/>
      </c>
      <c r="OM19" s="28" t="str">
        <f>IFERROR(VLOOKUP(DATE($K$1,$K$2,OM$4),Table1[],(MATCH(Calendar!$A19,DB!$1:$1,0)),FALSE),"")</f>
        <v/>
      </c>
      <c r="ON19" s="28" t="str">
        <f>IFERROR(VLOOKUP(DATE($K$1,$K$2,ON$4),Table1[],(MATCH(Calendar!$A19,DB!$1:$1,0)),FALSE),"")</f>
        <v/>
      </c>
      <c r="OO19" s="28" t="str">
        <f>IFERROR(VLOOKUP(DATE($K$1,$K$2,OO$4),Table1[],(MATCH(Calendar!$A19,DB!$1:$1,0)),FALSE),"")</f>
        <v/>
      </c>
      <c r="OP19" s="28" t="str">
        <f>IFERROR(VLOOKUP(DATE($K$1,$K$2,OP$4),Table1[],(MATCH(Calendar!$A19,DB!$1:$1,0)),FALSE),"")</f>
        <v/>
      </c>
      <c r="OQ19" s="28" t="str">
        <f>IFERROR(VLOOKUP(DATE($K$1,$K$2,OQ$4),Table1[],(MATCH(Calendar!$A19,DB!$1:$1,0)),FALSE),"")</f>
        <v/>
      </c>
      <c r="OR19" s="28" t="str">
        <f>IFERROR(VLOOKUP(DATE($K$1,$K$2,OR$4),Table1[],(MATCH(Calendar!$A19,DB!$1:$1,0)),FALSE),"")</f>
        <v/>
      </c>
      <c r="OS19" s="28" t="str">
        <f>IFERROR(VLOOKUP(DATE($K$1,$K$2,OS$4),Table1[],(MATCH(Calendar!$A19,DB!$1:$1,0)),FALSE),"")</f>
        <v/>
      </c>
      <c r="OT19" s="28" t="str">
        <f>IFERROR(VLOOKUP(DATE($K$1,$K$2,OT$4),Table1[],(MATCH(Calendar!$A19,DB!$1:$1,0)),FALSE),"")</f>
        <v/>
      </c>
      <c r="OU19" s="28" t="str">
        <f>IFERROR(VLOOKUP(DATE($K$1,$K$2,OU$4),Table1[],(MATCH(Calendar!$A19,DB!$1:$1,0)),FALSE),"")</f>
        <v/>
      </c>
      <c r="OV19" s="28" t="str">
        <f>IFERROR(VLOOKUP(DATE($K$1,$K$2,OV$4),Table1[],(MATCH(Calendar!$A19,DB!$1:$1,0)),FALSE),"")</f>
        <v/>
      </c>
      <c r="OW19" s="28" t="str">
        <f>IFERROR(VLOOKUP(DATE($K$1,$K$2,OW$4),Table1[],(MATCH(Calendar!$A19,DB!$1:$1,0)),FALSE),"")</f>
        <v/>
      </c>
      <c r="OX19" s="28" t="str">
        <f>IFERROR(VLOOKUP(DATE($K$1,$K$2,OX$4),Table1[],(MATCH(Calendar!$A19,DB!$1:$1,0)),FALSE),"")</f>
        <v/>
      </c>
      <c r="OY19" s="28" t="str">
        <f>IFERROR(VLOOKUP(DATE($K$1,$K$2,OY$4),Table1[],(MATCH(Calendar!$A19,DB!$1:$1,0)),FALSE),"")</f>
        <v/>
      </c>
      <c r="OZ19" s="28" t="str">
        <f>IFERROR(VLOOKUP(DATE($K$1,$K$2,OZ$4),Table1[],(MATCH(Calendar!$A19,DB!$1:$1,0)),FALSE),"")</f>
        <v/>
      </c>
      <c r="PA19" s="28" t="str">
        <f>IFERROR(VLOOKUP(DATE($K$1,$K$2,PA$4),Table1[],(MATCH(Calendar!$A19,DB!$1:$1,0)),FALSE),"")</f>
        <v/>
      </c>
      <c r="PB19" s="28" t="str">
        <f>IFERROR(VLOOKUP(DATE($K$1,$K$2,PB$4),Table1[],(MATCH(Calendar!$A19,DB!$1:$1,0)),FALSE),"")</f>
        <v/>
      </c>
      <c r="PC19" s="28" t="str">
        <f>IFERROR(VLOOKUP(DATE($K$1,$K$2,PC$4),Table1[],(MATCH(Calendar!$A19,DB!$1:$1,0)),FALSE),"")</f>
        <v/>
      </c>
      <c r="PD19" s="28" t="str">
        <f>IFERROR(VLOOKUP(DATE($K$1,$K$2,PD$4),Table1[],(MATCH(Calendar!$A19,DB!$1:$1,0)),FALSE),"")</f>
        <v/>
      </c>
      <c r="PE19" s="28" t="str">
        <f>IFERROR(VLOOKUP(DATE($K$1,$K$2,PE$4),Table1[],(MATCH(Calendar!$A19,DB!$1:$1,0)),FALSE),"")</f>
        <v/>
      </c>
      <c r="PF19" s="28" t="str">
        <f>IFERROR(VLOOKUP(DATE($K$1,$K$2,PF$4),Table1[],(MATCH(Calendar!$A19,DB!$1:$1,0)),FALSE),"")</f>
        <v/>
      </c>
      <c r="PG19" s="28" t="str">
        <f>IFERROR(VLOOKUP(DATE($K$1,$K$2,PG$4),Table1[],(MATCH(Calendar!$A19,DB!$1:$1,0)),FALSE),"")</f>
        <v/>
      </c>
      <c r="PH19" s="28" t="str">
        <f>IFERROR(VLOOKUP(DATE($K$1,$K$2,PH$4),Table1[],(MATCH(Calendar!$A19,DB!$1:$1,0)),FALSE),"")</f>
        <v/>
      </c>
      <c r="PI19" s="28" t="str">
        <f>IFERROR(VLOOKUP(DATE($K$1,$K$2,PI$4),Table1[],(MATCH(Calendar!$A19,DB!$1:$1,0)),FALSE),"")</f>
        <v/>
      </c>
      <c r="PJ19" s="28" t="str">
        <f>IFERROR(VLOOKUP(DATE($K$1,$K$2,PJ$4),Table1[],(MATCH(Calendar!$A19,DB!$1:$1,0)),FALSE),"")</f>
        <v/>
      </c>
      <c r="PK19" s="28" t="str">
        <f>IFERROR(VLOOKUP(DATE($K$1,$K$2,PK$4),Table1[],(MATCH(Calendar!$A19,DB!$1:$1,0)),FALSE),"")</f>
        <v/>
      </c>
      <c r="PL19" s="28" t="str">
        <f>IFERROR(VLOOKUP(DATE($K$1,$K$2,PL$4),Table1[],(MATCH(Calendar!$A19,DB!$1:$1,0)),FALSE),"")</f>
        <v/>
      </c>
      <c r="PM19" s="28" t="str">
        <f>IFERROR(VLOOKUP(DATE($K$1,$K$2,PM$4),Table1[],(MATCH(Calendar!$A19,DB!$1:$1,0)),FALSE),"")</f>
        <v/>
      </c>
      <c r="PN19" s="28" t="str">
        <f>IFERROR(VLOOKUP(DATE($K$1,$K$2,PN$4),Table1[],(MATCH(Calendar!$A19,DB!$1:$1,0)),FALSE),"")</f>
        <v/>
      </c>
      <c r="PO19" s="28" t="str">
        <f>IFERROR(VLOOKUP(DATE($K$1,$K$2,PO$4),Table1[],(MATCH(Calendar!$A19,DB!$1:$1,0)),FALSE),"")</f>
        <v/>
      </c>
      <c r="PP19" s="28" t="str">
        <f>IFERROR(VLOOKUP(DATE($K$1,$K$2,PP$4),Table1[],(MATCH(Calendar!$A19,DB!$1:$1,0)),FALSE),"")</f>
        <v/>
      </c>
      <c r="PQ19" s="28" t="str">
        <f>IFERROR(VLOOKUP(DATE($K$1,$K$2,PQ$4),Table1[],(MATCH(Calendar!$A19,DB!$1:$1,0)),FALSE),"")</f>
        <v/>
      </c>
      <c r="PR19" s="28" t="str">
        <f>IFERROR(VLOOKUP(DATE($K$1,$K$2,PR$4),Table1[],(MATCH(Calendar!$A19,DB!$1:$1,0)),FALSE),"")</f>
        <v/>
      </c>
      <c r="PS19" s="28" t="str">
        <f>IFERROR(VLOOKUP(DATE($K$1,$K$2,PS$4),Table1[],(MATCH(Calendar!$A19,DB!$1:$1,0)),FALSE),"")</f>
        <v/>
      </c>
      <c r="PT19" s="28" t="str">
        <f>IFERROR(VLOOKUP(DATE($K$1,$K$2,PT$4),Table1[],(MATCH(Calendar!$A19,DB!$1:$1,0)),FALSE),"")</f>
        <v/>
      </c>
      <c r="PU19" s="28" t="str">
        <f>IFERROR(VLOOKUP(DATE($K$1,$K$2,PU$4),Table1[],(MATCH(Calendar!$A19,DB!$1:$1,0)),FALSE),"")</f>
        <v/>
      </c>
      <c r="PV19" s="28" t="str">
        <f>IFERROR(VLOOKUP(DATE($K$1,$K$2,PV$4),Table1[],(MATCH(Calendar!$A19,DB!$1:$1,0)),FALSE),"")</f>
        <v/>
      </c>
      <c r="PW19" s="28" t="str">
        <f>IFERROR(VLOOKUP(DATE($K$1,$K$2,PW$4),Table1[],(MATCH(Calendar!$A19,DB!$1:$1,0)),FALSE),"")</f>
        <v/>
      </c>
      <c r="PX19" s="28" t="str">
        <f>IFERROR(VLOOKUP(DATE($K$1,$K$2,PX$4),Table1[],(MATCH(Calendar!$A19,DB!$1:$1,0)),FALSE),"")</f>
        <v/>
      </c>
      <c r="PY19" s="28" t="str">
        <f>IFERROR(VLOOKUP(DATE($K$1,$K$2,PY$4),Table1[],(MATCH(Calendar!$A19,DB!$1:$1,0)),FALSE),"")</f>
        <v/>
      </c>
      <c r="PZ19" s="28" t="str">
        <f>IFERROR(VLOOKUP(DATE($K$1,$K$2,PZ$4),Table1[],(MATCH(Calendar!$A19,DB!$1:$1,0)),FALSE),"")</f>
        <v/>
      </c>
      <c r="QA19" s="28" t="str">
        <f>IFERROR(VLOOKUP(DATE($K$1,$K$2,QA$4),Table1[],(MATCH(Calendar!$A19,DB!$1:$1,0)),FALSE),"")</f>
        <v/>
      </c>
      <c r="QB19" s="28" t="str">
        <f>IFERROR(VLOOKUP(DATE($K$1,$K$2,QB$4),Table1[],(MATCH(Calendar!$A19,DB!$1:$1,0)),FALSE),"")</f>
        <v/>
      </c>
      <c r="QC19" s="28" t="str">
        <f>IFERROR(VLOOKUP(DATE($K$1,$K$2,QC$4),Table1[],(MATCH(Calendar!$A19,DB!$1:$1,0)),FALSE),"")</f>
        <v/>
      </c>
      <c r="QD19" s="28" t="str">
        <f>IFERROR(VLOOKUP(DATE($K$1,$K$2,QD$4),Table1[],(MATCH(Calendar!$A19,DB!$1:$1,0)),FALSE),"")</f>
        <v/>
      </c>
      <c r="QE19" s="28" t="str">
        <f>IFERROR(VLOOKUP(DATE($K$1,$K$2,QE$4),Table1[],(MATCH(Calendar!$A19,DB!$1:$1,0)),FALSE),"")</f>
        <v/>
      </c>
      <c r="QF19" s="28" t="str">
        <f>IFERROR(VLOOKUP(DATE($K$1,$K$2,QF$4),Table1[],(MATCH(Calendar!$A19,DB!$1:$1,0)),FALSE),"")</f>
        <v/>
      </c>
      <c r="QG19" s="28" t="str">
        <f>IFERROR(VLOOKUP(DATE($K$1,$K$2,QG$4),Table1[],(MATCH(Calendar!$A19,DB!$1:$1,0)),FALSE),"")</f>
        <v/>
      </c>
      <c r="QH19" s="28" t="str">
        <f>IFERROR(VLOOKUP(DATE($K$1,$K$2,QH$4),Table1[],(MATCH(Calendar!$A19,DB!$1:$1,0)),FALSE),"")</f>
        <v/>
      </c>
      <c r="QI19" s="28" t="str">
        <f>IFERROR(VLOOKUP(DATE($K$1,$K$2,QI$4),Table1[],(MATCH(Calendar!$A19,DB!$1:$1,0)),FALSE),"")</f>
        <v/>
      </c>
      <c r="QJ19" s="28" t="str">
        <f>IFERROR(VLOOKUP(DATE($K$1,$K$2,QJ$4),Table1[],(MATCH(Calendar!$A19,DB!$1:$1,0)),FALSE),"")</f>
        <v/>
      </c>
      <c r="QK19" s="28" t="str">
        <f>IFERROR(VLOOKUP(DATE($K$1,$K$2,QK$4),Table1[],(MATCH(Calendar!$A19,DB!$1:$1,0)),FALSE),"")</f>
        <v/>
      </c>
      <c r="QL19" s="28" t="str">
        <f>IFERROR(VLOOKUP(DATE($K$1,$K$2,QL$4),Table1[],(MATCH(Calendar!$A19,DB!$1:$1,0)),FALSE),"")</f>
        <v/>
      </c>
      <c r="QM19" s="28" t="str">
        <f>IFERROR(VLOOKUP(DATE($K$1,$K$2,QM$4),Table1[],(MATCH(Calendar!$A19,DB!$1:$1,0)),FALSE),"")</f>
        <v/>
      </c>
      <c r="QN19" s="28" t="str">
        <f>IFERROR(VLOOKUP(DATE($K$1,$K$2,QN$4),Table1[],(MATCH(Calendar!$A19,DB!$1:$1,0)),FALSE),"")</f>
        <v/>
      </c>
      <c r="QO19" s="28" t="str">
        <f>IFERROR(VLOOKUP(DATE($K$1,$K$2,QO$4),Table1[],(MATCH(Calendar!$A19,DB!$1:$1,0)),FALSE),"")</f>
        <v/>
      </c>
      <c r="QP19" s="28" t="str">
        <f>IFERROR(VLOOKUP(DATE($K$1,$K$2,QP$4),Table1[],(MATCH(Calendar!$A19,DB!$1:$1,0)),FALSE),"")</f>
        <v/>
      </c>
      <c r="QQ19" s="28" t="str">
        <f>IFERROR(VLOOKUP(DATE($K$1,$K$2,QQ$4),Table1[],(MATCH(Calendar!$A19,DB!$1:$1,0)),FALSE),"")</f>
        <v/>
      </c>
      <c r="QR19" s="28" t="str">
        <f>IFERROR(VLOOKUP(DATE($K$1,$K$2,QR$4),Table1[],(MATCH(Calendar!$A19,DB!$1:$1,0)),FALSE),"")</f>
        <v/>
      </c>
      <c r="QS19" s="28" t="str">
        <f>IFERROR(VLOOKUP(DATE($K$1,$K$2,QS$4),Table1[],(MATCH(Calendar!$A19,DB!$1:$1,0)),FALSE),"")</f>
        <v/>
      </c>
      <c r="QT19" s="28" t="str">
        <f>IFERROR(VLOOKUP(DATE($K$1,$K$2,QT$4),Table1[],(MATCH(Calendar!$A19,DB!$1:$1,0)),FALSE),"")</f>
        <v/>
      </c>
      <c r="QU19" s="28" t="str">
        <f>IFERROR(VLOOKUP(DATE($K$1,$K$2,QU$4),Table1[],(MATCH(Calendar!$A19,DB!$1:$1,0)),FALSE),"")</f>
        <v/>
      </c>
      <c r="QV19" s="28" t="str">
        <f>IFERROR(VLOOKUP(DATE($K$1,$K$2,QV$4),Table1[],(MATCH(Calendar!$A19,DB!$1:$1,0)),FALSE),"")</f>
        <v/>
      </c>
      <c r="QW19" s="28" t="str">
        <f>IFERROR(VLOOKUP(DATE($K$1,$K$2,QW$4),Table1[],(MATCH(Calendar!$A19,DB!$1:$1,0)),FALSE),"")</f>
        <v/>
      </c>
      <c r="QX19" s="28" t="str">
        <f>IFERROR(VLOOKUP(DATE($K$1,$K$2,QX$4),Table1[],(MATCH(Calendar!$A19,DB!$1:$1,0)),FALSE),"")</f>
        <v/>
      </c>
      <c r="QY19" s="28" t="str">
        <f>IFERROR(VLOOKUP(DATE($K$1,$K$2,QY$4),Table1[],(MATCH(Calendar!$A19,DB!$1:$1,0)),FALSE),"")</f>
        <v/>
      </c>
      <c r="QZ19" s="28" t="str">
        <f>IFERROR(VLOOKUP(DATE($K$1,$K$2,QZ$4),Table1[],(MATCH(Calendar!$A19,DB!$1:$1,0)),FALSE),"")</f>
        <v/>
      </c>
      <c r="RA19" s="28" t="str">
        <f>IFERROR(VLOOKUP(DATE($K$1,$K$2,RA$4),Table1[],(MATCH(Calendar!$A19,DB!$1:$1,0)),FALSE),"")</f>
        <v/>
      </c>
      <c r="RB19" s="28" t="str">
        <f>IFERROR(VLOOKUP(DATE($K$1,$K$2,RB$4),Table1[],(MATCH(Calendar!$A19,DB!$1:$1,0)),FALSE),"")</f>
        <v/>
      </c>
      <c r="RC19" s="28" t="str">
        <f>IFERROR(VLOOKUP(DATE($K$1,$K$2,RC$4),Table1[],(MATCH(Calendar!$A19,DB!$1:$1,0)),FALSE),"")</f>
        <v/>
      </c>
      <c r="RD19" s="28" t="str">
        <f>IFERROR(VLOOKUP(DATE($K$1,$K$2,RD$4),Table1[],(MATCH(Calendar!$A19,DB!$1:$1,0)),FALSE),"")</f>
        <v/>
      </c>
      <c r="RE19" s="28" t="str">
        <f>IFERROR(VLOOKUP(DATE($K$1,$K$2,RE$4),Table1[],(MATCH(Calendar!$A19,DB!$1:$1,0)),FALSE),"")</f>
        <v/>
      </c>
      <c r="RF19" s="28" t="str">
        <f>IFERROR(VLOOKUP(DATE($K$1,$K$2,RF$4),Table1[],(MATCH(Calendar!$A19,DB!$1:$1,0)),FALSE),"")</f>
        <v/>
      </c>
      <c r="RG19" s="28" t="str">
        <f>IFERROR(VLOOKUP(DATE($K$1,$K$2,RG$4),Table1[],(MATCH(Calendar!$A19,DB!$1:$1,0)),FALSE),"")</f>
        <v/>
      </c>
      <c r="RH19" s="28" t="str">
        <f>IFERROR(VLOOKUP(DATE($K$1,$K$2,RH$4),Table1[],(MATCH(Calendar!$A19,DB!$1:$1,0)),FALSE),"")</f>
        <v/>
      </c>
      <c r="RI19" s="28" t="str">
        <f>IFERROR(VLOOKUP(DATE($K$1,$K$2,RI$4),Table1[],(MATCH(Calendar!$A19,DB!$1:$1,0)),FALSE),"")</f>
        <v/>
      </c>
      <c r="RJ19" s="28" t="str">
        <f>IFERROR(VLOOKUP(DATE($K$1,$K$2,RJ$4),Table1[],(MATCH(Calendar!$A19,DB!$1:$1,0)),FALSE),"")</f>
        <v/>
      </c>
      <c r="RK19" s="28" t="str">
        <f>IFERROR(VLOOKUP(DATE($K$1,$K$2,RK$4),Table1[],(MATCH(Calendar!$A19,DB!$1:$1,0)),FALSE),"")</f>
        <v/>
      </c>
      <c r="RL19" s="28" t="str">
        <f>IFERROR(VLOOKUP(DATE($K$1,$K$2,RL$4),Table1[],(MATCH(Calendar!$A19,DB!$1:$1,0)),FALSE),"")</f>
        <v/>
      </c>
      <c r="RM19" s="28" t="str">
        <f>IFERROR(VLOOKUP(DATE($K$1,$K$2,RM$4),Table1[],(MATCH(Calendar!$A19,DB!$1:$1,0)),FALSE),"")</f>
        <v/>
      </c>
      <c r="RN19" s="28" t="str">
        <f>IFERROR(VLOOKUP(DATE($K$1,$K$2,RN$4),Table1[],(MATCH(Calendar!$A19,DB!$1:$1,0)),FALSE),"")</f>
        <v/>
      </c>
      <c r="RO19" s="28" t="str">
        <f>IFERROR(VLOOKUP(DATE($K$1,$K$2,RO$4),Table1[],(MATCH(Calendar!$A19,DB!$1:$1,0)),FALSE),"")</f>
        <v/>
      </c>
      <c r="RP19" s="28" t="str">
        <f>IFERROR(VLOOKUP(DATE($K$1,$K$2,RP$4),Table1[],(MATCH(Calendar!$A19,DB!$1:$1,0)),FALSE),"")</f>
        <v/>
      </c>
      <c r="RQ19" s="28" t="str">
        <f>IFERROR(VLOOKUP(DATE($K$1,$K$2,RQ$4),Table1[],(MATCH(Calendar!$A19,DB!$1:$1,0)),FALSE),"")</f>
        <v/>
      </c>
      <c r="RR19" s="28" t="str">
        <f>IFERROR(VLOOKUP(DATE($K$1,$K$2,RR$4),Table1[],(MATCH(Calendar!$A19,DB!$1:$1,0)),FALSE),"")</f>
        <v/>
      </c>
      <c r="RS19" s="28" t="str">
        <f>IFERROR(VLOOKUP(DATE($K$1,$K$2,RS$4),Table1[],(MATCH(Calendar!$A19,DB!$1:$1,0)),FALSE),"")</f>
        <v/>
      </c>
      <c r="RT19" s="28" t="str">
        <f>IFERROR(VLOOKUP(DATE($K$1,$K$2,RT$4),Table1[],(MATCH(Calendar!$A19,DB!$1:$1,0)),FALSE),"")</f>
        <v/>
      </c>
      <c r="RU19" s="28" t="str">
        <f>IFERROR(VLOOKUP(DATE($K$1,$K$2,RU$4),Table1[],(MATCH(Calendar!$A19,DB!$1:$1,0)),FALSE),"")</f>
        <v/>
      </c>
      <c r="RV19" s="28" t="str">
        <f>IFERROR(VLOOKUP(DATE($K$1,$K$2,RV$4),Table1[],(MATCH(Calendar!$A19,DB!$1:$1,0)),FALSE),"")</f>
        <v/>
      </c>
      <c r="RW19" s="28" t="str">
        <f>IFERROR(VLOOKUP(DATE($K$1,$K$2,RW$4),Table1[],(MATCH(Calendar!$A19,DB!$1:$1,0)),FALSE),"")</f>
        <v/>
      </c>
      <c r="RX19" s="28" t="str">
        <f>IFERROR(VLOOKUP(DATE($K$1,$K$2,RX$4),Table1[],(MATCH(Calendar!$A19,DB!$1:$1,0)),FALSE),"")</f>
        <v/>
      </c>
      <c r="RY19" s="28" t="str">
        <f>IFERROR(VLOOKUP(DATE($K$1,$K$2,RY$4),Table1[],(MATCH(Calendar!$A19,DB!$1:$1,0)),FALSE),"")</f>
        <v/>
      </c>
      <c r="RZ19" s="28" t="str">
        <f>IFERROR(VLOOKUP(DATE($K$1,$K$2,RZ$4),Table1[],(MATCH(Calendar!$A19,DB!$1:$1,0)),FALSE),"")</f>
        <v/>
      </c>
      <c r="SA19" s="28" t="str">
        <f>IFERROR(VLOOKUP(DATE($K$1,$K$2,SA$4),Table1[],(MATCH(Calendar!$A19,DB!$1:$1,0)),FALSE),"")</f>
        <v/>
      </c>
      <c r="SB19" s="28" t="str">
        <f>IFERROR(VLOOKUP(DATE($K$1,$K$2,SB$4),Table1[],(MATCH(Calendar!$A19,DB!$1:$1,0)),FALSE),"")</f>
        <v/>
      </c>
      <c r="SC19" s="28" t="str">
        <f>IFERROR(VLOOKUP(DATE($K$1,$K$2,SC$4),Table1[],(MATCH(Calendar!$A19,DB!$1:$1,0)),FALSE),"")</f>
        <v/>
      </c>
      <c r="SD19" s="28" t="str">
        <f>IFERROR(VLOOKUP(DATE($K$1,$K$2,SD$4),Table1[],(MATCH(Calendar!$A19,DB!$1:$1,0)),FALSE),"")</f>
        <v/>
      </c>
      <c r="SE19" s="28" t="str">
        <f>IFERROR(VLOOKUP(DATE($K$1,$K$2,SE$4),Table1[],(MATCH(Calendar!$A19,DB!$1:$1,0)),FALSE),"")</f>
        <v/>
      </c>
      <c r="SF19" s="28" t="str">
        <f>IFERROR(VLOOKUP(DATE($K$1,$K$2,SF$4),Table1[],(MATCH(Calendar!$A19,DB!$1:$1,0)),FALSE),"")</f>
        <v/>
      </c>
      <c r="SG19" s="28" t="str">
        <f>IFERROR(VLOOKUP(DATE($K$1,$K$2,SG$4),Table1[],(MATCH(Calendar!$A19,DB!$1:$1,0)),FALSE),"")</f>
        <v/>
      </c>
      <c r="SH19" s="28" t="str">
        <f>IFERROR(VLOOKUP(DATE($K$1,$K$2,SH$4),Table1[],(MATCH(Calendar!$A19,DB!$1:$1,0)),FALSE),"")</f>
        <v/>
      </c>
      <c r="SI19" s="28" t="str">
        <f>IFERROR(VLOOKUP(DATE($K$1,$K$2,SI$4),Table1[],(MATCH(Calendar!$A19,DB!$1:$1,0)),FALSE),"")</f>
        <v/>
      </c>
      <c r="SJ19" s="28" t="str">
        <f>IFERROR(VLOOKUP(DATE($K$1,$K$2,SJ$4),Table1[],(MATCH(Calendar!$A19,DB!$1:$1,0)),FALSE),"")</f>
        <v/>
      </c>
      <c r="SK19" s="28" t="str">
        <f>IFERROR(VLOOKUP(DATE($K$1,$K$2,SK$4),Table1[],(MATCH(Calendar!$A19,DB!$1:$1,0)),FALSE),"")</f>
        <v/>
      </c>
      <c r="SL19" s="28" t="str">
        <f>IFERROR(VLOOKUP(DATE($K$1,$K$2,SL$4),Table1[],(MATCH(Calendar!$A19,DB!$1:$1,0)),FALSE),"")</f>
        <v/>
      </c>
      <c r="SM19" s="28" t="str">
        <f>IFERROR(VLOOKUP(DATE($K$1,$K$2,SM$4),Table1[],(MATCH(Calendar!$A19,DB!$1:$1,0)),FALSE),"")</f>
        <v/>
      </c>
      <c r="SN19" s="28" t="str">
        <f>IFERROR(VLOOKUP(DATE($K$1,$K$2,SN$4),Table1[],(MATCH(Calendar!$A19,DB!$1:$1,0)),FALSE),"")</f>
        <v/>
      </c>
      <c r="SO19" s="28" t="str">
        <f>IFERROR(VLOOKUP(DATE($K$1,$K$2,SO$4),Table1[],(MATCH(Calendar!$A19,DB!$1:$1,0)),FALSE),"")</f>
        <v/>
      </c>
      <c r="SP19" s="28" t="str">
        <f>IFERROR(VLOOKUP(DATE($K$1,$K$2,SP$4),Table1[],(MATCH(Calendar!$A19,DB!$1:$1,0)),FALSE),"")</f>
        <v/>
      </c>
      <c r="SQ19" s="28" t="str">
        <f>IFERROR(VLOOKUP(DATE($K$1,$K$2,SQ$4),Table1[],(MATCH(Calendar!$A19,DB!$1:$1,0)),FALSE),"")</f>
        <v/>
      </c>
      <c r="SR19" s="28" t="str">
        <f>IFERROR(VLOOKUP(DATE($K$1,$K$2,SR$4),Table1[],(MATCH(Calendar!$A19,DB!$1:$1,0)),FALSE),"")</f>
        <v/>
      </c>
      <c r="SS19" s="28" t="str">
        <f>IFERROR(VLOOKUP(DATE($K$1,$K$2,SS$4),Table1[],(MATCH(Calendar!$A19,DB!$1:$1,0)),FALSE),"")</f>
        <v/>
      </c>
      <c r="ST19" s="28" t="str">
        <f>IFERROR(VLOOKUP(DATE($K$1,$K$2,ST$4),Table1[],(MATCH(Calendar!$A19,DB!$1:$1,0)),FALSE),"")</f>
        <v/>
      </c>
      <c r="SU19" s="28" t="str">
        <f>IFERROR(VLOOKUP(DATE($K$1,$K$2,SU$4),Table1[],(MATCH(Calendar!$A19,DB!$1:$1,0)),FALSE),"")</f>
        <v/>
      </c>
      <c r="SV19" s="28" t="str">
        <f>IFERROR(VLOOKUP(DATE($K$1,$K$2,SV$4),Table1[],(MATCH(Calendar!$A19,DB!$1:$1,0)),FALSE),"")</f>
        <v/>
      </c>
      <c r="SW19" s="28" t="str">
        <f>IFERROR(VLOOKUP(DATE($K$1,$K$2,SW$4),Table1[],(MATCH(Calendar!$A19,DB!$1:$1,0)),FALSE),"")</f>
        <v/>
      </c>
      <c r="SX19" s="28" t="str">
        <f>IFERROR(VLOOKUP(DATE($K$1,$K$2,SX$4),Table1[],(MATCH(Calendar!$A19,DB!$1:$1,0)),FALSE),"")</f>
        <v/>
      </c>
      <c r="SY19" s="28" t="str">
        <f>IFERROR(VLOOKUP(DATE($K$1,$K$2,SY$4),Table1[],(MATCH(Calendar!$A19,DB!$1:$1,0)),FALSE),"")</f>
        <v/>
      </c>
      <c r="SZ19" s="28" t="str">
        <f>IFERROR(VLOOKUP(DATE($K$1,$K$2,SZ$4),Table1[],(MATCH(Calendar!$A19,DB!$1:$1,0)),FALSE),"")</f>
        <v/>
      </c>
      <c r="TA19" s="28" t="str">
        <f>IFERROR(VLOOKUP(DATE($K$1,$K$2,TA$4),Table1[],(MATCH(Calendar!$A19,DB!$1:$1,0)),FALSE),"")</f>
        <v/>
      </c>
      <c r="TB19" s="28" t="str">
        <f>IFERROR(VLOOKUP(DATE($K$1,$K$2,TB$4),Table1[],(MATCH(Calendar!$A19,DB!$1:$1,0)),FALSE),"")</f>
        <v/>
      </c>
      <c r="TC19" s="28" t="str">
        <f>IFERROR(VLOOKUP(DATE($K$1,$K$2,TC$4),Table1[],(MATCH(Calendar!$A19,DB!$1:$1,0)),FALSE),"")</f>
        <v/>
      </c>
      <c r="TD19" s="28" t="str">
        <f>IFERROR(VLOOKUP(DATE($K$1,$K$2,TD$4),Table1[],(MATCH(Calendar!$A19,DB!$1:$1,0)),FALSE),"")</f>
        <v/>
      </c>
      <c r="TE19" s="28" t="str">
        <f>IFERROR(VLOOKUP(DATE($K$1,$K$2,TE$4),Table1[],(MATCH(Calendar!$A19,DB!$1:$1,0)),FALSE),"")</f>
        <v/>
      </c>
      <c r="TF19" s="28" t="str">
        <f>IFERROR(VLOOKUP(DATE($K$1,$K$2,TF$4),Table1[],(MATCH(Calendar!$A19,DB!$1:$1,0)),FALSE),"")</f>
        <v/>
      </c>
      <c r="TG19" s="28" t="str">
        <f>IFERROR(VLOOKUP(DATE($K$1,$K$2,TG$4),Table1[],(MATCH(Calendar!$A19,DB!$1:$1,0)),FALSE),"")</f>
        <v/>
      </c>
      <c r="TH19" s="28" t="str">
        <f>IFERROR(VLOOKUP(DATE($K$1,$K$2,TH$4),Table1[],(MATCH(Calendar!$A19,DB!$1:$1,0)),FALSE),"")</f>
        <v/>
      </c>
      <c r="TI19" s="28" t="str">
        <f>IFERROR(VLOOKUP(DATE($K$1,$K$2,TI$4),Table1[],(MATCH(Calendar!$A19,DB!$1:$1,0)),FALSE),"")</f>
        <v/>
      </c>
      <c r="TJ19" s="28" t="str">
        <f>IFERROR(VLOOKUP(DATE($K$1,$K$2,TJ$4),Table1[],(MATCH(Calendar!$A19,DB!$1:$1,0)),FALSE),"")</f>
        <v/>
      </c>
      <c r="TK19" s="28" t="str">
        <f>IFERROR(VLOOKUP(DATE($K$1,$K$2,TK$4),Table1[],(MATCH(Calendar!$A19,DB!$1:$1,0)),FALSE),"")</f>
        <v/>
      </c>
      <c r="TL19" s="28" t="str">
        <f>IFERROR(VLOOKUP(DATE($K$1,$K$2,TL$4),Table1[],(MATCH(Calendar!$A19,DB!$1:$1,0)),FALSE),"")</f>
        <v/>
      </c>
      <c r="TM19" s="28" t="str">
        <f>IFERROR(VLOOKUP(DATE($K$1,$K$2,TM$4),Table1[],(MATCH(Calendar!$A19,DB!$1:$1,0)),FALSE),"")</f>
        <v/>
      </c>
      <c r="TN19" s="28" t="str">
        <f>IFERROR(VLOOKUP(DATE($K$1,$K$2,TN$4),Table1[],(MATCH(Calendar!$A19,DB!$1:$1,0)),FALSE),"")</f>
        <v/>
      </c>
      <c r="TO19" s="28" t="str">
        <f>IFERROR(VLOOKUP(DATE($K$1,$K$2,TO$4),Table1[],(MATCH(Calendar!$A19,DB!$1:$1,0)),FALSE),"")</f>
        <v/>
      </c>
      <c r="TP19" s="28" t="str">
        <f>IFERROR(VLOOKUP(DATE($K$1,$K$2,TP$4),Table1[],(MATCH(Calendar!$A19,DB!$1:$1,0)),FALSE),"")</f>
        <v/>
      </c>
      <c r="TQ19" s="28" t="str">
        <f>IFERROR(VLOOKUP(DATE($K$1,$K$2,TQ$4),Table1[],(MATCH(Calendar!$A19,DB!$1:$1,0)),FALSE),"")</f>
        <v/>
      </c>
      <c r="TR19" s="28" t="str">
        <f>IFERROR(VLOOKUP(DATE($K$1,$K$2,TR$4),Table1[],(MATCH(Calendar!$A19,DB!$1:$1,0)),FALSE),"")</f>
        <v/>
      </c>
      <c r="TS19" s="28" t="str">
        <f>IFERROR(VLOOKUP(DATE($K$1,$K$2,TS$4),Table1[],(MATCH(Calendar!$A19,DB!$1:$1,0)),FALSE),"")</f>
        <v/>
      </c>
      <c r="TT19" s="28" t="str">
        <f>IFERROR(VLOOKUP(DATE($K$1,$K$2,TT$4),Table1[],(MATCH(Calendar!$A19,DB!$1:$1,0)),FALSE),"")</f>
        <v/>
      </c>
      <c r="TU19" s="28" t="str">
        <f>IFERROR(VLOOKUP(DATE($K$1,$K$2,TU$4),Table1[],(MATCH(Calendar!$A19,DB!$1:$1,0)),FALSE),"")</f>
        <v/>
      </c>
      <c r="TV19" s="28" t="str">
        <f>IFERROR(VLOOKUP(DATE($K$1,$K$2,TV$4),Table1[],(MATCH(Calendar!$A19,DB!$1:$1,0)),FALSE),"")</f>
        <v/>
      </c>
      <c r="TW19" s="28" t="str">
        <f>IFERROR(VLOOKUP(DATE($K$1,$K$2,TW$4),Table1[],(MATCH(Calendar!$A19,DB!$1:$1,0)),FALSE),"")</f>
        <v/>
      </c>
      <c r="TX19" s="28" t="str">
        <f>IFERROR(VLOOKUP(DATE($K$1,$K$2,TX$4),Table1[],(MATCH(Calendar!$A19,DB!$1:$1,0)),FALSE),"")</f>
        <v/>
      </c>
      <c r="TY19" s="28" t="str">
        <f>IFERROR(VLOOKUP(DATE($K$1,$K$2,TY$4),Table1[],(MATCH(Calendar!$A19,DB!$1:$1,0)),FALSE),"")</f>
        <v/>
      </c>
      <c r="TZ19" s="28" t="str">
        <f>IFERROR(VLOOKUP(DATE($K$1,$K$2,TZ$4),Table1[],(MATCH(Calendar!$A19,DB!$1:$1,0)),FALSE),"")</f>
        <v/>
      </c>
      <c r="UA19" s="28" t="str">
        <f>IFERROR(VLOOKUP(DATE($K$1,$K$2,UA$4),Table1[],(MATCH(Calendar!$A19,DB!$1:$1,0)),FALSE),"")</f>
        <v/>
      </c>
      <c r="UB19" s="28" t="str">
        <f>IFERROR(VLOOKUP(DATE($K$1,$K$2,UB$4),Table1[],(MATCH(Calendar!$A19,DB!$1:$1,0)),FALSE),"")</f>
        <v/>
      </c>
      <c r="UC19" s="28" t="str">
        <f>IFERROR(VLOOKUP(DATE($K$1,$K$2,UC$4),Table1[],(MATCH(Calendar!$A19,DB!$1:$1,0)),FALSE),"")</f>
        <v/>
      </c>
      <c r="UD19" s="28" t="str">
        <f>IFERROR(VLOOKUP(DATE($K$1,$K$2,UD$4),Table1[],(MATCH(Calendar!$A19,DB!$1:$1,0)),FALSE),"")</f>
        <v/>
      </c>
      <c r="UE19" s="28" t="str">
        <f>IFERROR(VLOOKUP(DATE($K$1,$K$2,UE$4),Table1[],(MATCH(Calendar!$A19,DB!$1:$1,0)),FALSE),"")</f>
        <v/>
      </c>
      <c r="UF19" s="28" t="str">
        <f>IFERROR(VLOOKUP(DATE($K$1,$K$2,UF$4),Table1[],(MATCH(Calendar!$A19,DB!$1:$1,0)),FALSE),"")</f>
        <v/>
      </c>
      <c r="UG19" s="28" t="str">
        <f>IFERROR(VLOOKUP(DATE($K$1,$K$2,UG$4),Table1[],(MATCH(Calendar!$A19,DB!$1:$1,0)),FALSE),"")</f>
        <v/>
      </c>
      <c r="UH19" s="28" t="str">
        <f>IFERROR(VLOOKUP(DATE($K$1,$K$2,UH$4),Table1[],(MATCH(Calendar!$A19,DB!$1:$1,0)),FALSE),"")</f>
        <v/>
      </c>
      <c r="UI19" s="28" t="str">
        <f>IFERROR(VLOOKUP(DATE($K$1,$K$2,UI$4),Table1[],(MATCH(Calendar!$A19,DB!$1:$1,0)),FALSE),"")</f>
        <v/>
      </c>
      <c r="UJ19" s="28" t="str">
        <f>IFERROR(VLOOKUP(DATE($K$1,$K$2,UJ$4),Table1[],(MATCH(Calendar!$A19,DB!$1:$1,0)),FALSE),"")</f>
        <v/>
      </c>
      <c r="UK19" s="28" t="str">
        <f>IFERROR(VLOOKUP(DATE($K$1,$K$2,UK$4),Table1[],(MATCH(Calendar!$A19,DB!$1:$1,0)),FALSE),"")</f>
        <v/>
      </c>
      <c r="UL19" s="28" t="str">
        <f>IFERROR(VLOOKUP(DATE($K$1,$K$2,UL$4),Table1[],(MATCH(Calendar!$A19,DB!$1:$1,0)),FALSE),"")</f>
        <v/>
      </c>
      <c r="UM19" s="28" t="str">
        <f>IFERROR(VLOOKUP(DATE($K$1,$K$2,UM$4),Table1[],(MATCH(Calendar!$A19,DB!$1:$1,0)),FALSE),"")</f>
        <v/>
      </c>
      <c r="UN19" s="28" t="str">
        <f>IFERROR(VLOOKUP(DATE($K$1,$K$2,UN$4),Table1[],(MATCH(Calendar!$A19,DB!$1:$1,0)),FALSE),"")</f>
        <v/>
      </c>
      <c r="UO19" s="28" t="str">
        <f>IFERROR(VLOOKUP(DATE($K$1,$K$2,UO$4),Table1[],(MATCH(Calendar!$A19,DB!$1:$1,0)),FALSE),"")</f>
        <v/>
      </c>
      <c r="UP19" s="28" t="str">
        <f>IFERROR(VLOOKUP(DATE($K$1,$K$2,UP$4),Table1[],(MATCH(Calendar!$A19,DB!$1:$1,0)),FALSE),"")</f>
        <v/>
      </c>
      <c r="UQ19" s="28" t="str">
        <f>IFERROR(VLOOKUP(DATE($K$1,$K$2,UQ$4),Table1[],(MATCH(Calendar!$A19,DB!$1:$1,0)),FALSE),"")</f>
        <v/>
      </c>
      <c r="UR19" s="28" t="str">
        <f>IFERROR(VLOOKUP(DATE($K$1,$K$2,UR$4),Table1[],(MATCH(Calendar!$A19,DB!$1:$1,0)),FALSE),"")</f>
        <v/>
      </c>
      <c r="US19" s="28" t="str">
        <f>IFERROR(VLOOKUP(DATE($K$1,$K$2,US$4),Table1[],(MATCH(Calendar!$A19,DB!$1:$1,0)),FALSE),"")</f>
        <v/>
      </c>
      <c r="UT19" s="28" t="str">
        <f>IFERROR(VLOOKUP(DATE($K$1,$K$2,UT$4),Table1[],(MATCH(Calendar!$A19,DB!$1:$1,0)),FALSE),"")</f>
        <v/>
      </c>
      <c r="UU19" s="28" t="str">
        <f>IFERROR(VLOOKUP(DATE($K$1,$K$2,UU$4),Table1[],(MATCH(Calendar!$A19,DB!$1:$1,0)),FALSE),"")</f>
        <v/>
      </c>
      <c r="UV19" s="28" t="str">
        <f>IFERROR(VLOOKUP(DATE($K$1,$K$2,UV$4),Table1[],(MATCH(Calendar!$A19,DB!$1:$1,0)),FALSE),"")</f>
        <v/>
      </c>
      <c r="UW19" s="28" t="str">
        <f>IFERROR(VLOOKUP(DATE($K$1,$K$2,UW$4),Table1[],(MATCH(Calendar!$A19,DB!$1:$1,0)),FALSE),"")</f>
        <v/>
      </c>
      <c r="UX19" s="28" t="str">
        <f>IFERROR(VLOOKUP(DATE($K$1,$K$2,UX$4),Table1[],(MATCH(Calendar!$A19,DB!$1:$1,0)),FALSE),"")</f>
        <v/>
      </c>
      <c r="UY19" s="28" t="str">
        <f>IFERROR(VLOOKUP(DATE($K$1,$K$2,UY$4),Table1[],(MATCH(Calendar!$A19,DB!$1:$1,0)),FALSE),"")</f>
        <v/>
      </c>
      <c r="UZ19" s="28" t="str">
        <f>IFERROR(VLOOKUP(DATE($K$1,$K$2,UZ$4),Table1[],(MATCH(Calendar!$A19,DB!$1:$1,0)),FALSE),"")</f>
        <v/>
      </c>
      <c r="VA19" s="28" t="str">
        <f>IFERROR(VLOOKUP(DATE($K$1,$K$2,VA$4),Table1[],(MATCH(Calendar!$A19,DB!$1:$1,0)),FALSE),"")</f>
        <v/>
      </c>
      <c r="VB19" s="28" t="str">
        <f>IFERROR(VLOOKUP(DATE($K$1,$K$2,VB$4),Table1[],(MATCH(Calendar!$A19,DB!$1:$1,0)),FALSE),"")</f>
        <v/>
      </c>
      <c r="VC19" s="28" t="str">
        <f>IFERROR(VLOOKUP(DATE($K$1,$K$2,VC$4),Table1[],(MATCH(Calendar!$A19,DB!$1:$1,0)),FALSE),"")</f>
        <v/>
      </c>
      <c r="VD19" s="28" t="str">
        <f>IFERROR(VLOOKUP(DATE($K$1,$K$2,VD$4),Table1[],(MATCH(Calendar!$A19,DB!$1:$1,0)),FALSE),"")</f>
        <v/>
      </c>
      <c r="VE19" s="28" t="str">
        <f>IFERROR(VLOOKUP(DATE($K$1,$K$2,VE$4),Table1[],(MATCH(Calendar!$A19,DB!$1:$1,0)),FALSE),"")</f>
        <v/>
      </c>
      <c r="VF19" s="28" t="str">
        <f>IFERROR(VLOOKUP(DATE($K$1,$K$2,VF$4),Table1[],(MATCH(Calendar!$A19,DB!$1:$1,0)),FALSE),"")</f>
        <v/>
      </c>
      <c r="VG19" s="28" t="str">
        <f>IFERROR(VLOOKUP(DATE($K$1,$K$2,VG$4),Table1[],(MATCH(Calendar!$A19,DB!$1:$1,0)),FALSE),"")</f>
        <v/>
      </c>
      <c r="VH19" s="28" t="str">
        <f>IFERROR(VLOOKUP(DATE($K$1,$K$2,VH$4),Table1[],(MATCH(Calendar!$A19,DB!$1:$1,0)),FALSE),"")</f>
        <v/>
      </c>
      <c r="VI19" s="28" t="str">
        <f>IFERROR(VLOOKUP(DATE($K$1,$K$2,VI$4),Table1[],(MATCH(Calendar!$A19,DB!$1:$1,0)),FALSE),"")</f>
        <v/>
      </c>
      <c r="VJ19" s="28" t="str">
        <f>IFERROR(VLOOKUP(DATE($K$1,$K$2,VJ$4),Table1[],(MATCH(Calendar!$A19,DB!$1:$1,0)),FALSE),"")</f>
        <v/>
      </c>
      <c r="VK19" s="28" t="str">
        <f>IFERROR(VLOOKUP(DATE($K$1,$K$2,VK$4),Table1[],(MATCH(Calendar!$A19,DB!$1:$1,0)),FALSE),"")</f>
        <v/>
      </c>
      <c r="VL19" s="28" t="str">
        <f>IFERROR(VLOOKUP(DATE($K$1,$K$2,VL$4),Table1[],(MATCH(Calendar!$A19,DB!$1:$1,0)),FALSE),"")</f>
        <v/>
      </c>
      <c r="VM19" s="28" t="str">
        <f>IFERROR(VLOOKUP(DATE($K$1,$K$2,VM$4),Table1[],(MATCH(Calendar!$A19,DB!$1:$1,0)),FALSE),"")</f>
        <v/>
      </c>
      <c r="VN19" s="28" t="str">
        <f>IFERROR(VLOOKUP(DATE($K$1,$K$2,VN$4),Table1[],(MATCH(Calendar!$A19,DB!$1:$1,0)),FALSE),"")</f>
        <v/>
      </c>
      <c r="VO19" s="28" t="str">
        <f>IFERROR(VLOOKUP(DATE($K$1,$K$2,VO$4),Table1[],(MATCH(Calendar!$A19,DB!$1:$1,0)),FALSE),"")</f>
        <v/>
      </c>
      <c r="VP19" s="28" t="str">
        <f>IFERROR(VLOOKUP(DATE($K$1,$K$2,VP$4),Table1[],(MATCH(Calendar!$A19,DB!$1:$1,0)),FALSE),"")</f>
        <v/>
      </c>
      <c r="VQ19" s="28" t="str">
        <f>IFERROR(VLOOKUP(DATE($K$1,$K$2,VQ$4),Table1[],(MATCH(Calendar!$A19,DB!$1:$1,0)),FALSE),"")</f>
        <v/>
      </c>
      <c r="VR19" s="28" t="str">
        <f>IFERROR(VLOOKUP(DATE($K$1,$K$2,VR$4),Table1[],(MATCH(Calendar!$A19,DB!$1:$1,0)),FALSE),"")</f>
        <v/>
      </c>
      <c r="VS19" s="28" t="str">
        <f>IFERROR(VLOOKUP(DATE($K$1,$K$2,VS$4),Table1[],(MATCH(Calendar!$A19,DB!$1:$1,0)),FALSE),"")</f>
        <v/>
      </c>
      <c r="VT19" s="28" t="str">
        <f>IFERROR(VLOOKUP(DATE($K$1,$K$2,VT$4),Table1[],(MATCH(Calendar!$A19,DB!$1:$1,0)),FALSE),"")</f>
        <v/>
      </c>
      <c r="VU19" s="28" t="str">
        <f>IFERROR(VLOOKUP(DATE($K$1,$K$2,VU$4),Table1[],(MATCH(Calendar!$A19,DB!$1:$1,0)),FALSE),"")</f>
        <v/>
      </c>
      <c r="VV19" s="28" t="str">
        <f>IFERROR(VLOOKUP(DATE($K$1,$K$2,VV$4),Table1[],(MATCH(Calendar!$A19,DB!$1:$1,0)),FALSE),"")</f>
        <v/>
      </c>
      <c r="VW19" s="28" t="str">
        <f>IFERROR(VLOOKUP(DATE($K$1,$K$2,VW$4),Table1[],(MATCH(Calendar!$A19,DB!$1:$1,0)),FALSE),"")</f>
        <v/>
      </c>
      <c r="VX19" s="28" t="str">
        <f>IFERROR(VLOOKUP(DATE($K$1,$K$2,VX$4),Table1[],(MATCH(Calendar!$A19,DB!$1:$1,0)),FALSE),"")</f>
        <v/>
      </c>
      <c r="VY19" s="28" t="str">
        <f>IFERROR(VLOOKUP(DATE($K$1,$K$2,VY$4),Table1[],(MATCH(Calendar!$A19,DB!$1:$1,0)),FALSE),"")</f>
        <v/>
      </c>
      <c r="VZ19" s="28" t="str">
        <f>IFERROR(VLOOKUP(DATE($K$1,$K$2,VZ$4),Table1[],(MATCH(Calendar!$A19,DB!$1:$1,0)),FALSE),"")</f>
        <v/>
      </c>
      <c r="WA19" s="28" t="str">
        <f>IFERROR(VLOOKUP(DATE($K$1,$K$2,WA$4),Table1[],(MATCH(Calendar!$A19,DB!$1:$1,0)),FALSE),"")</f>
        <v/>
      </c>
      <c r="WB19" s="28" t="str">
        <f>IFERROR(VLOOKUP(DATE($K$1,$K$2,WB$4),Table1[],(MATCH(Calendar!$A19,DB!$1:$1,0)),FALSE),"")</f>
        <v/>
      </c>
      <c r="WC19" s="28" t="str">
        <f>IFERROR(VLOOKUP(DATE($K$1,$K$2,WC$4),Table1[],(MATCH(Calendar!$A19,DB!$1:$1,0)),FALSE),"")</f>
        <v/>
      </c>
      <c r="WD19" s="28" t="str">
        <f>IFERROR(VLOOKUP(DATE($K$1,$K$2,WD$4),Table1[],(MATCH(Calendar!$A19,DB!$1:$1,0)),FALSE),"")</f>
        <v/>
      </c>
      <c r="WE19" s="28" t="str">
        <f>IFERROR(VLOOKUP(DATE($K$1,$K$2,WE$4),Table1[],(MATCH(Calendar!$A19,DB!$1:$1,0)),FALSE),"")</f>
        <v/>
      </c>
      <c r="WF19" s="28" t="str">
        <f>IFERROR(VLOOKUP(DATE($K$1,$K$2,WF$4),Table1[],(MATCH(Calendar!$A19,DB!$1:$1,0)),FALSE),"")</f>
        <v/>
      </c>
      <c r="WG19" s="28" t="str">
        <f>IFERROR(VLOOKUP(DATE($K$1,$K$2,WG$4),Table1[],(MATCH(Calendar!$A19,DB!$1:$1,0)),FALSE),"")</f>
        <v/>
      </c>
      <c r="WH19" s="28" t="str">
        <f>IFERROR(VLOOKUP(DATE($K$1,$K$2,WH$4),Table1[],(MATCH(Calendar!$A19,DB!$1:$1,0)),FALSE),"")</f>
        <v/>
      </c>
      <c r="WI19" s="28" t="str">
        <f>IFERROR(VLOOKUP(DATE($K$1,$K$2,WI$4),Table1[],(MATCH(Calendar!$A19,DB!$1:$1,0)),FALSE),"")</f>
        <v/>
      </c>
      <c r="WJ19" s="28" t="str">
        <f>IFERROR(VLOOKUP(DATE($K$1,$K$2,WJ$4),Table1[],(MATCH(Calendar!$A19,DB!$1:$1,0)),FALSE),"")</f>
        <v/>
      </c>
      <c r="WK19" s="28" t="str">
        <f>IFERROR(VLOOKUP(DATE($K$1,$K$2,WK$4),Table1[],(MATCH(Calendar!$A19,DB!$1:$1,0)),FALSE),"")</f>
        <v/>
      </c>
      <c r="WL19" s="28" t="str">
        <f>IFERROR(VLOOKUP(DATE($K$1,$K$2,WL$4),Table1[],(MATCH(Calendar!$A19,DB!$1:$1,0)),FALSE),"")</f>
        <v/>
      </c>
      <c r="WM19" s="28" t="str">
        <f>IFERROR(VLOOKUP(DATE($K$1,$K$2,WM$4),Table1[],(MATCH(Calendar!$A19,DB!$1:$1,0)),FALSE),"")</f>
        <v/>
      </c>
      <c r="WN19" s="28" t="str">
        <f>IFERROR(VLOOKUP(DATE($K$1,$K$2,WN$4),Table1[],(MATCH(Calendar!$A19,DB!$1:$1,0)),FALSE),"")</f>
        <v/>
      </c>
      <c r="WO19" s="28" t="str">
        <f>IFERROR(VLOOKUP(DATE($K$1,$K$2,WO$4),Table1[],(MATCH(Calendar!$A19,DB!$1:$1,0)),FALSE),"")</f>
        <v/>
      </c>
      <c r="WP19" s="28" t="str">
        <f>IFERROR(VLOOKUP(DATE($K$1,$K$2,WP$4),Table1[],(MATCH(Calendar!$A19,DB!$1:$1,0)),FALSE),"")</f>
        <v/>
      </c>
      <c r="WQ19" s="28" t="str">
        <f>IFERROR(VLOOKUP(DATE($K$1,$K$2,WQ$4),Table1[],(MATCH(Calendar!$A19,DB!$1:$1,0)),FALSE),"")</f>
        <v/>
      </c>
      <c r="WR19" s="28" t="str">
        <f>IFERROR(VLOOKUP(DATE($K$1,$K$2,WR$4),Table1[],(MATCH(Calendar!$A19,DB!$1:$1,0)),FALSE),"")</f>
        <v/>
      </c>
      <c r="WS19" s="28" t="str">
        <f>IFERROR(VLOOKUP(DATE($K$1,$K$2,WS$4),Table1[],(MATCH(Calendar!$A19,DB!$1:$1,0)),FALSE),"")</f>
        <v/>
      </c>
      <c r="WT19" s="28" t="str">
        <f>IFERROR(VLOOKUP(DATE($K$1,$K$2,WT$4),Table1[],(MATCH(Calendar!$A19,DB!$1:$1,0)),FALSE),"")</f>
        <v/>
      </c>
      <c r="WU19" s="28" t="str">
        <f>IFERROR(VLOOKUP(DATE($K$1,$K$2,WU$4),Table1[],(MATCH(Calendar!$A19,DB!$1:$1,0)),FALSE),"")</f>
        <v/>
      </c>
      <c r="WV19" s="28" t="str">
        <f>IFERROR(VLOOKUP(DATE($K$1,$K$2,WV$4),Table1[],(MATCH(Calendar!$A19,DB!$1:$1,0)),FALSE),"")</f>
        <v/>
      </c>
      <c r="WW19" s="28" t="str">
        <f>IFERROR(VLOOKUP(DATE($K$1,$K$2,WW$4),Table1[],(MATCH(Calendar!$A19,DB!$1:$1,0)),FALSE),"")</f>
        <v/>
      </c>
      <c r="WX19" s="28" t="str">
        <f>IFERROR(VLOOKUP(DATE($K$1,$K$2,WX$4),Table1[],(MATCH(Calendar!$A19,DB!$1:$1,0)),FALSE),"")</f>
        <v/>
      </c>
      <c r="WY19" s="28" t="str">
        <f>IFERROR(VLOOKUP(DATE($K$1,$K$2,WY$4),Table1[],(MATCH(Calendar!$A19,DB!$1:$1,0)),FALSE),"")</f>
        <v/>
      </c>
      <c r="WZ19" s="28" t="str">
        <f>IFERROR(VLOOKUP(DATE($K$1,$K$2,WZ$4),Table1[],(MATCH(Calendar!$A19,DB!$1:$1,0)),FALSE),"")</f>
        <v/>
      </c>
      <c r="XA19" s="28" t="str">
        <f>IFERROR(VLOOKUP(DATE($K$1,$K$2,XA$4),Table1[],(MATCH(Calendar!$A19,DB!$1:$1,0)),FALSE),"")</f>
        <v/>
      </c>
      <c r="XB19" s="28" t="str">
        <f>IFERROR(VLOOKUP(DATE($K$1,$K$2,XB$4),Table1[],(MATCH(Calendar!$A19,DB!$1:$1,0)),FALSE),"")</f>
        <v/>
      </c>
      <c r="XC19" s="28" t="str">
        <f>IFERROR(VLOOKUP(DATE($K$1,$K$2,XC$4),Table1[],(MATCH(Calendar!$A19,DB!$1:$1,0)),FALSE),"")</f>
        <v/>
      </c>
      <c r="XD19" s="28" t="str">
        <f>IFERROR(VLOOKUP(DATE($K$1,$K$2,XD$4),Table1[],(MATCH(Calendar!$A19,DB!$1:$1,0)),FALSE),"")</f>
        <v/>
      </c>
      <c r="XE19" s="28" t="str">
        <f>IFERROR(VLOOKUP(DATE($K$1,$K$2,XE$4),Table1[],(MATCH(Calendar!$A19,DB!$1:$1,0)),FALSE),"")</f>
        <v/>
      </c>
      <c r="XF19" s="28" t="str">
        <f>IFERROR(VLOOKUP(DATE($K$1,$K$2,XF$4),Table1[],(MATCH(Calendar!$A19,DB!$1:$1,0)),FALSE),"")</f>
        <v/>
      </c>
      <c r="XG19" s="28" t="str">
        <f>IFERROR(VLOOKUP(DATE($K$1,$K$2,XG$4),Table1[],(MATCH(Calendar!$A19,DB!$1:$1,0)),FALSE),"")</f>
        <v/>
      </c>
      <c r="XH19" s="28" t="str">
        <f>IFERROR(VLOOKUP(DATE($K$1,$K$2,XH$4),Table1[],(MATCH(Calendar!$A19,DB!$1:$1,0)),FALSE),"")</f>
        <v/>
      </c>
      <c r="XI19" s="28" t="str">
        <f>IFERROR(VLOOKUP(DATE($K$1,$K$2,XI$4),Table1[],(MATCH(Calendar!$A19,DB!$1:$1,0)),FALSE),"")</f>
        <v/>
      </c>
      <c r="XJ19" s="28" t="str">
        <f>IFERROR(VLOOKUP(DATE($K$1,$K$2,XJ$4),Table1[],(MATCH(Calendar!$A19,DB!$1:$1,0)),FALSE),"")</f>
        <v/>
      </c>
      <c r="XK19" s="28" t="str">
        <f>IFERROR(VLOOKUP(DATE($K$1,$K$2,XK$4),Table1[],(MATCH(Calendar!$A19,DB!$1:$1,0)),FALSE),"")</f>
        <v/>
      </c>
      <c r="XL19" s="28" t="str">
        <f>IFERROR(VLOOKUP(DATE($K$1,$K$2,XL$4),Table1[],(MATCH(Calendar!$A19,DB!$1:$1,0)),FALSE),"")</f>
        <v/>
      </c>
      <c r="XM19" s="28" t="str">
        <f>IFERROR(VLOOKUP(DATE($K$1,$K$2,XM$4),Table1[],(MATCH(Calendar!$A19,DB!$1:$1,0)),FALSE),"")</f>
        <v/>
      </c>
      <c r="XN19" s="28" t="str">
        <f>IFERROR(VLOOKUP(DATE($K$1,$K$2,XN$4),Table1[],(MATCH(Calendar!$A19,DB!$1:$1,0)),FALSE),"")</f>
        <v/>
      </c>
      <c r="XO19" s="28" t="str">
        <f>IFERROR(VLOOKUP(DATE($K$1,$K$2,XO$4),Table1[],(MATCH(Calendar!$A19,DB!$1:$1,0)),FALSE),"")</f>
        <v/>
      </c>
      <c r="XP19" s="28" t="str">
        <f>IFERROR(VLOOKUP(DATE($K$1,$K$2,XP$4),Table1[],(MATCH(Calendar!$A19,DB!$1:$1,0)),FALSE),"")</f>
        <v/>
      </c>
      <c r="XQ19" s="28" t="str">
        <f>IFERROR(VLOOKUP(DATE($K$1,$K$2,XQ$4),Table1[],(MATCH(Calendar!$A19,DB!$1:$1,0)),FALSE),"")</f>
        <v/>
      </c>
      <c r="XR19" s="28" t="str">
        <f>IFERROR(VLOOKUP(DATE($K$1,$K$2,XR$4),Table1[],(MATCH(Calendar!$A19,DB!$1:$1,0)),FALSE),"")</f>
        <v/>
      </c>
      <c r="XS19" s="28" t="str">
        <f>IFERROR(VLOOKUP(DATE($K$1,$K$2,XS$4),Table1[],(MATCH(Calendar!$A19,DB!$1:$1,0)),FALSE),"")</f>
        <v/>
      </c>
      <c r="XT19" s="28" t="str">
        <f>IFERROR(VLOOKUP(DATE($K$1,$K$2,XT$4),Table1[],(MATCH(Calendar!$A19,DB!$1:$1,0)),FALSE),"")</f>
        <v/>
      </c>
      <c r="XU19" s="28" t="str">
        <f>IFERROR(VLOOKUP(DATE($K$1,$K$2,XU$4),Table1[],(MATCH(Calendar!$A19,DB!$1:$1,0)),FALSE),"")</f>
        <v/>
      </c>
      <c r="XV19" s="28" t="str">
        <f>IFERROR(VLOOKUP(DATE($K$1,$K$2,XV$4),Table1[],(MATCH(Calendar!$A19,DB!$1:$1,0)),FALSE),"")</f>
        <v/>
      </c>
      <c r="XW19" s="28" t="str">
        <f>IFERROR(VLOOKUP(DATE($K$1,$K$2,XW$4),Table1[],(MATCH(Calendar!$A19,DB!$1:$1,0)),FALSE),"")</f>
        <v/>
      </c>
      <c r="XX19" s="28" t="str">
        <f>IFERROR(VLOOKUP(DATE($K$1,$K$2,XX$4),Table1[],(MATCH(Calendar!$A19,DB!$1:$1,0)),FALSE),"")</f>
        <v/>
      </c>
      <c r="XY19" s="28" t="str">
        <f>IFERROR(VLOOKUP(DATE($K$1,$K$2,XY$4),Table1[],(MATCH(Calendar!$A19,DB!$1:$1,0)),FALSE),"")</f>
        <v/>
      </c>
      <c r="XZ19" s="28" t="str">
        <f>IFERROR(VLOOKUP(DATE($K$1,$K$2,XZ$4),Table1[],(MATCH(Calendar!$A19,DB!$1:$1,0)),FALSE),"")</f>
        <v/>
      </c>
      <c r="YA19" s="28" t="str">
        <f>IFERROR(VLOOKUP(DATE($K$1,$K$2,YA$4),Table1[],(MATCH(Calendar!$A19,DB!$1:$1,0)),FALSE),"")</f>
        <v/>
      </c>
      <c r="YB19" s="28" t="str">
        <f>IFERROR(VLOOKUP(DATE($K$1,$K$2,YB$4),Table1[],(MATCH(Calendar!$A19,DB!$1:$1,0)),FALSE),"")</f>
        <v/>
      </c>
      <c r="YC19" s="28" t="str">
        <f>IFERROR(VLOOKUP(DATE($K$1,$K$2,YC$4),Table1[],(MATCH(Calendar!$A19,DB!$1:$1,0)),FALSE),"")</f>
        <v/>
      </c>
      <c r="YD19" s="28" t="str">
        <f>IFERROR(VLOOKUP(DATE($K$1,$K$2,YD$4),Table1[],(MATCH(Calendar!$A19,DB!$1:$1,0)),FALSE),"")</f>
        <v/>
      </c>
      <c r="YE19" s="28" t="str">
        <f>IFERROR(VLOOKUP(DATE($K$1,$K$2,YE$4),Table1[],(MATCH(Calendar!$A19,DB!$1:$1,0)),FALSE),"")</f>
        <v/>
      </c>
      <c r="YF19" s="28" t="str">
        <f>IFERROR(VLOOKUP(DATE($K$1,$K$2,YF$4),Table1[],(MATCH(Calendar!$A19,DB!$1:$1,0)),FALSE),"")</f>
        <v/>
      </c>
      <c r="YG19" s="28" t="str">
        <f>IFERROR(VLOOKUP(DATE($K$1,$K$2,YG$4),Table1[],(MATCH(Calendar!$A19,DB!$1:$1,0)),FALSE),"")</f>
        <v/>
      </c>
      <c r="YH19" s="28" t="str">
        <f>IFERROR(VLOOKUP(DATE($K$1,$K$2,YH$4),Table1[],(MATCH(Calendar!$A19,DB!$1:$1,0)),FALSE),"")</f>
        <v/>
      </c>
      <c r="YI19" s="28" t="str">
        <f>IFERROR(VLOOKUP(DATE($K$1,$K$2,YI$4),Table1[],(MATCH(Calendar!$A19,DB!$1:$1,0)),FALSE),"")</f>
        <v/>
      </c>
      <c r="YJ19" s="28" t="str">
        <f>IFERROR(VLOOKUP(DATE($K$1,$K$2,YJ$4),Table1[],(MATCH(Calendar!$A19,DB!$1:$1,0)),FALSE),"")</f>
        <v/>
      </c>
      <c r="YK19" s="28" t="str">
        <f>IFERROR(VLOOKUP(DATE($K$1,$K$2,YK$4),Table1[],(MATCH(Calendar!$A19,DB!$1:$1,0)),FALSE),"")</f>
        <v/>
      </c>
      <c r="YL19" s="28" t="str">
        <f>IFERROR(VLOOKUP(DATE($K$1,$K$2,YL$4),Table1[],(MATCH(Calendar!$A19,DB!$1:$1,0)),FALSE),"")</f>
        <v/>
      </c>
      <c r="YM19" s="28" t="str">
        <f>IFERROR(VLOOKUP(DATE($K$1,$K$2,YM$4),Table1[],(MATCH(Calendar!$A19,DB!$1:$1,0)),FALSE),"")</f>
        <v/>
      </c>
      <c r="YN19" s="28" t="str">
        <f>IFERROR(VLOOKUP(DATE($K$1,$K$2,YN$4),Table1[],(MATCH(Calendar!$A19,DB!$1:$1,0)),FALSE),"")</f>
        <v/>
      </c>
      <c r="YO19" s="28" t="str">
        <f>IFERROR(VLOOKUP(DATE($K$1,$K$2,YO$4),Table1[],(MATCH(Calendar!$A19,DB!$1:$1,0)),FALSE),"")</f>
        <v/>
      </c>
      <c r="YP19" s="28" t="str">
        <f>IFERROR(VLOOKUP(DATE($K$1,$K$2,YP$4),Table1[],(MATCH(Calendar!$A19,DB!$1:$1,0)),FALSE),"")</f>
        <v/>
      </c>
      <c r="YQ19" s="28" t="str">
        <f>IFERROR(VLOOKUP(DATE($K$1,$K$2,YQ$4),Table1[],(MATCH(Calendar!$A19,DB!$1:$1,0)),FALSE),"")</f>
        <v/>
      </c>
      <c r="YR19" s="28" t="str">
        <f>IFERROR(VLOOKUP(DATE($K$1,$K$2,YR$4),Table1[],(MATCH(Calendar!$A19,DB!$1:$1,0)),FALSE),"")</f>
        <v/>
      </c>
      <c r="YS19" s="28" t="str">
        <f>IFERROR(VLOOKUP(DATE($K$1,$K$2,YS$4),Table1[],(MATCH(Calendar!$A19,DB!$1:$1,0)),FALSE),"")</f>
        <v/>
      </c>
      <c r="YT19" s="28" t="str">
        <f>IFERROR(VLOOKUP(DATE($K$1,$K$2,YT$4),Table1[],(MATCH(Calendar!$A19,DB!$1:$1,0)),FALSE),"")</f>
        <v/>
      </c>
      <c r="YU19" s="28" t="str">
        <f>IFERROR(VLOOKUP(DATE($K$1,$K$2,YU$4),Table1[],(MATCH(Calendar!$A19,DB!$1:$1,0)),FALSE),"")</f>
        <v/>
      </c>
      <c r="YV19" s="28" t="str">
        <f>IFERROR(VLOOKUP(DATE($K$1,$K$2,YV$4),Table1[],(MATCH(Calendar!$A19,DB!$1:$1,0)),FALSE),"")</f>
        <v/>
      </c>
      <c r="YW19" s="28" t="str">
        <f>IFERROR(VLOOKUP(DATE($K$1,$K$2,YW$4),Table1[],(MATCH(Calendar!$A19,DB!$1:$1,0)),FALSE),"")</f>
        <v/>
      </c>
      <c r="YX19" s="28" t="str">
        <f>IFERROR(VLOOKUP(DATE($K$1,$K$2,YX$4),Table1[],(MATCH(Calendar!$A19,DB!$1:$1,0)),FALSE),"")</f>
        <v/>
      </c>
      <c r="YY19" s="28" t="str">
        <f>IFERROR(VLOOKUP(DATE($K$1,$K$2,YY$4),Table1[],(MATCH(Calendar!$A19,DB!$1:$1,0)),FALSE),"")</f>
        <v/>
      </c>
      <c r="YZ19" s="28" t="str">
        <f>IFERROR(VLOOKUP(DATE($K$1,$K$2,YZ$4),Table1[],(MATCH(Calendar!$A19,DB!$1:$1,0)),FALSE),"")</f>
        <v/>
      </c>
      <c r="ZA19" s="28" t="str">
        <f>IFERROR(VLOOKUP(DATE($K$1,$K$2,ZA$4),Table1[],(MATCH(Calendar!$A19,DB!$1:$1,0)),FALSE),"")</f>
        <v/>
      </c>
      <c r="ZB19" s="28" t="str">
        <f>IFERROR(VLOOKUP(DATE($K$1,$K$2,ZB$4),Table1[],(MATCH(Calendar!$A19,DB!$1:$1,0)),FALSE),"")</f>
        <v/>
      </c>
      <c r="ZC19" s="28" t="str">
        <f>IFERROR(VLOOKUP(DATE($K$1,$K$2,ZC$4),Table1[],(MATCH(Calendar!$A19,DB!$1:$1,0)),FALSE),"")</f>
        <v/>
      </c>
      <c r="ZD19" s="28" t="str">
        <f>IFERROR(VLOOKUP(DATE($K$1,$K$2,ZD$4),Table1[],(MATCH(Calendar!$A19,DB!$1:$1,0)),FALSE),"")</f>
        <v/>
      </c>
      <c r="ZE19" s="28" t="str">
        <f>IFERROR(VLOOKUP(DATE($K$1,$K$2,ZE$4),Table1[],(MATCH(Calendar!$A19,DB!$1:$1,0)),FALSE),"")</f>
        <v/>
      </c>
      <c r="ZF19" s="28" t="str">
        <f>IFERROR(VLOOKUP(DATE($K$1,$K$2,ZF$4),Table1[],(MATCH(Calendar!$A19,DB!$1:$1,0)),FALSE),"")</f>
        <v/>
      </c>
      <c r="ZG19" s="28" t="str">
        <f>IFERROR(VLOOKUP(DATE($K$1,$K$2,ZG$4),Table1[],(MATCH(Calendar!$A19,DB!$1:$1,0)),FALSE),"")</f>
        <v/>
      </c>
      <c r="ZH19" s="28" t="str">
        <f>IFERROR(VLOOKUP(DATE($K$1,$K$2,ZH$4),Table1[],(MATCH(Calendar!$A19,DB!$1:$1,0)),FALSE),"")</f>
        <v/>
      </c>
      <c r="ZI19" s="28" t="str">
        <f>IFERROR(VLOOKUP(DATE($K$1,$K$2,ZI$4),Table1[],(MATCH(Calendar!$A19,DB!$1:$1,0)),FALSE),"")</f>
        <v/>
      </c>
      <c r="ZJ19" s="28" t="str">
        <f>IFERROR(VLOOKUP(DATE($K$1,$K$2,ZJ$4),Table1[],(MATCH(Calendar!$A19,DB!$1:$1,0)),FALSE),"")</f>
        <v/>
      </c>
      <c r="ZK19" s="28" t="str">
        <f>IFERROR(VLOOKUP(DATE($K$1,$K$2,ZK$4),Table1[],(MATCH(Calendar!$A19,DB!$1:$1,0)),FALSE),"")</f>
        <v/>
      </c>
      <c r="ZL19" s="28" t="str">
        <f>IFERROR(VLOOKUP(DATE($K$1,$K$2,ZL$4),Table1[],(MATCH(Calendar!$A19,DB!$1:$1,0)),FALSE),"")</f>
        <v/>
      </c>
      <c r="ZM19" s="28" t="str">
        <f>IFERROR(VLOOKUP(DATE($K$1,$K$2,ZM$4),Table1[],(MATCH(Calendar!$A19,DB!$1:$1,0)),FALSE),"")</f>
        <v/>
      </c>
      <c r="ZN19" s="28" t="str">
        <f>IFERROR(VLOOKUP(DATE($K$1,$K$2,ZN$4),Table1[],(MATCH(Calendar!$A19,DB!$1:$1,0)),FALSE),"")</f>
        <v/>
      </c>
      <c r="ZO19" s="28" t="str">
        <f>IFERROR(VLOOKUP(DATE($K$1,$K$2,ZO$4),Table1[],(MATCH(Calendar!$A19,DB!$1:$1,0)),FALSE),"")</f>
        <v/>
      </c>
      <c r="ZP19" s="28" t="str">
        <f>IFERROR(VLOOKUP(DATE($K$1,$K$2,ZP$4),Table1[],(MATCH(Calendar!$A19,DB!$1:$1,0)),FALSE),"")</f>
        <v/>
      </c>
      <c r="ZQ19" s="28" t="str">
        <f>IFERROR(VLOOKUP(DATE($K$1,$K$2,ZQ$4),Table1[],(MATCH(Calendar!$A19,DB!$1:$1,0)),FALSE),"")</f>
        <v/>
      </c>
      <c r="ZR19" s="28" t="str">
        <f>IFERROR(VLOOKUP(DATE($K$1,$K$2,ZR$4),Table1[],(MATCH(Calendar!$A19,DB!$1:$1,0)),FALSE),"")</f>
        <v/>
      </c>
      <c r="ZS19" s="28" t="str">
        <f>IFERROR(VLOOKUP(DATE($K$1,$K$2,ZS$4),Table1[],(MATCH(Calendar!$A19,DB!$1:$1,0)),FALSE),"")</f>
        <v/>
      </c>
      <c r="ZT19" s="28" t="str">
        <f>IFERROR(VLOOKUP(DATE($K$1,$K$2,ZT$4),Table1[],(MATCH(Calendar!$A19,DB!$1:$1,0)),FALSE),"")</f>
        <v/>
      </c>
      <c r="ZU19" s="28" t="str">
        <f>IFERROR(VLOOKUP(DATE($K$1,$K$2,ZU$4),Table1[],(MATCH(Calendar!$A19,DB!$1:$1,0)),FALSE),"")</f>
        <v/>
      </c>
      <c r="ZV19" s="28" t="str">
        <f>IFERROR(VLOOKUP(DATE($K$1,$K$2,ZV$4),Table1[],(MATCH(Calendar!$A19,DB!$1:$1,0)),FALSE),"")</f>
        <v/>
      </c>
      <c r="ZW19" s="28" t="str">
        <f>IFERROR(VLOOKUP(DATE($K$1,$K$2,ZW$4),Table1[],(MATCH(Calendar!$A19,DB!$1:$1,0)),FALSE),"")</f>
        <v/>
      </c>
      <c r="ZX19" s="28" t="str">
        <f>IFERROR(VLOOKUP(DATE($K$1,$K$2,ZX$4),Table1[],(MATCH(Calendar!$A19,DB!$1:$1,0)),FALSE),"")</f>
        <v/>
      </c>
      <c r="ZY19" s="28" t="str">
        <f>IFERROR(VLOOKUP(DATE($K$1,$K$2,ZY$4),Table1[],(MATCH(Calendar!$A19,DB!$1:$1,0)),FALSE),"")</f>
        <v/>
      </c>
      <c r="ZZ19" s="28" t="str">
        <f>IFERROR(VLOOKUP(DATE($K$1,$K$2,ZZ$4),Table1[],(MATCH(Calendar!$A19,DB!$1:$1,0)),FALSE),"")</f>
        <v/>
      </c>
      <c r="AAA19" s="28" t="str">
        <f>IFERROR(VLOOKUP(DATE($K$1,$K$2,AAA$4),Table1[],(MATCH(Calendar!$A19,DB!$1:$1,0)),FALSE),"")</f>
        <v/>
      </c>
      <c r="AAB19" s="28" t="str">
        <f>IFERROR(VLOOKUP(DATE($K$1,$K$2,AAB$4),Table1[],(MATCH(Calendar!$A19,DB!$1:$1,0)),FALSE),"")</f>
        <v/>
      </c>
      <c r="AAC19" s="28" t="str">
        <f>IFERROR(VLOOKUP(DATE($K$1,$K$2,AAC$4),Table1[],(MATCH(Calendar!$A19,DB!$1:$1,0)),FALSE),"")</f>
        <v/>
      </c>
      <c r="AAD19" s="28" t="str">
        <f>IFERROR(VLOOKUP(DATE($K$1,$K$2,AAD$4),Table1[],(MATCH(Calendar!$A19,DB!$1:$1,0)),FALSE),"")</f>
        <v/>
      </c>
      <c r="AAE19" s="28" t="str">
        <f>IFERROR(VLOOKUP(DATE($K$1,$K$2,AAE$4),Table1[],(MATCH(Calendar!$A19,DB!$1:$1,0)),FALSE),"")</f>
        <v/>
      </c>
      <c r="AAF19" s="28" t="str">
        <f>IFERROR(VLOOKUP(DATE($K$1,$K$2,AAF$4),Table1[],(MATCH(Calendar!$A19,DB!$1:$1,0)),FALSE),"")</f>
        <v/>
      </c>
      <c r="AAG19" s="28" t="str">
        <f>IFERROR(VLOOKUP(DATE($K$1,$K$2,AAG$4),Table1[],(MATCH(Calendar!$A19,DB!$1:$1,0)),FALSE),"")</f>
        <v/>
      </c>
      <c r="AAH19" s="28" t="str">
        <f>IFERROR(VLOOKUP(DATE($K$1,$K$2,AAH$4),Table1[],(MATCH(Calendar!$A19,DB!$1:$1,0)),FALSE),"")</f>
        <v/>
      </c>
      <c r="AAI19" s="28" t="str">
        <f>IFERROR(VLOOKUP(DATE($K$1,$K$2,AAI$4),Table1[],(MATCH(Calendar!$A19,DB!$1:$1,0)),FALSE),"")</f>
        <v/>
      </c>
      <c r="AAJ19" s="28" t="str">
        <f>IFERROR(VLOOKUP(DATE($K$1,$K$2,AAJ$4),Table1[],(MATCH(Calendar!$A19,DB!$1:$1,0)),FALSE),"")</f>
        <v/>
      </c>
      <c r="AAK19" s="28" t="str">
        <f>IFERROR(VLOOKUP(DATE($K$1,$K$2,AAK$4),Table1[],(MATCH(Calendar!$A19,DB!$1:$1,0)),FALSE),"")</f>
        <v/>
      </c>
      <c r="AAL19" s="28" t="str">
        <f>IFERROR(VLOOKUP(DATE($K$1,$K$2,AAL$4),Table1[],(MATCH(Calendar!$A19,DB!$1:$1,0)),FALSE),"")</f>
        <v/>
      </c>
      <c r="AAM19" s="28" t="str">
        <f>IFERROR(VLOOKUP(DATE($K$1,$K$2,AAM$4),Table1[],(MATCH(Calendar!$A19,DB!$1:$1,0)),FALSE),"")</f>
        <v/>
      </c>
      <c r="AAN19" s="28" t="str">
        <f>IFERROR(VLOOKUP(DATE($K$1,$K$2,AAN$4),Table1[],(MATCH(Calendar!$A19,DB!$1:$1,0)),FALSE),"")</f>
        <v/>
      </c>
      <c r="AAO19" s="28" t="str">
        <f>IFERROR(VLOOKUP(DATE($K$1,$K$2,AAO$4),Table1[],(MATCH(Calendar!$A19,DB!$1:$1,0)),FALSE),"")</f>
        <v/>
      </c>
      <c r="AAP19" s="28" t="str">
        <f>IFERROR(VLOOKUP(DATE($K$1,$K$2,AAP$4),Table1[],(MATCH(Calendar!$A19,DB!$1:$1,0)),FALSE),"")</f>
        <v/>
      </c>
      <c r="AAQ19" s="28" t="str">
        <f>IFERROR(VLOOKUP(DATE($K$1,$K$2,AAQ$4),Table1[],(MATCH(Calendar!$A19,DB!$1:$1,0)),FALSE),"")</f>
        <v/>
      </c>
      <c r="AAR19" s="28" t="str">
        <f>IFERROR(VLOOKUP(DATE($K$1,$K$2,AAR$4),Table1[],(MATCH(Calendar!$A19,DB!$1:$1,0)),FALSE),"")</f>
        <v/>
      </c>
      <c r="AAS19" s="28" t="str">
        <f>IFERROR(VLOOKUP(DATE($K$1,$K$2,AAS$4),Table1[],(MATCH(Calendar!$A19,DB!$1:$1,0)),FALSE),"")</f>
        <v/>
      </c>
      <c r="AAT19" s="28" t="str">
        <f>IFERROR(VLOOKUP(DATE($K$1,$K$2,AAT$4),Table1[],(MATCH(Calendar!$A19,DB!$1:$1,0)),FALSE),"")</f>
        <v/>
      </c>
      <c r="AAU19" s="28" t="str">
        <f>IFERROR(VLOOKUP(DATE($K$1,$K$2,AAU$4),Table1[],(MATCH(Calendar!$A19,DB!$1:$1,0)),FALSE),"")</f>
        <v/>
      </c>
      <c r="AAV19" s="28" t="str">
        <f>IFERROR(VLOOKUP(DATE($K$1,$K$2,AAV$4),Table1[],(MATCH(Calendar!$A19,DB!$1:$1,0)),FALSE),"")</f>
        <v/>
      </c>
      <c r="AAW19" s="28" t="str">
        <f>IFERROR(VLOOKUP(DATE($K$1,$K$2,AAW$4),Table1[],(MATCH(Calendar!$A19,DB!$1:$1,0)),FALSE),"")</f>
        <v/>
      </c>
      <c r="AAX19" s="28" t="str">
        <f>IFERROR(VLOOKUP(DATE($K$1,$K$2,AAX$4),Table1[],(MATCH(Calendar!$A19,DB!$1:$1,0)),FALSE),"")</f>
        <v/>
      </c>
      <c r="AAY19" s="28" t="str">
        <f>IFERROR(VLOOKUP(DATE($K$1,$K$2,AAY$4),Table1[],(MATCH(Calendar!$A19,DB!$1:$1,0)),FALSE),"")</f>
        <v/>
      </c>
      <c r="AAZ19" s="28" t="str">
        <f>IFERROR(VLOOKUP(DATE($K$1,$K$2,AAZ$4),Table1[],(MATCH(Calendar!$A19,DB!$1:$1,0)),FALSE),"")</f>
        <v/>
      </c>
      <c r="ABA19" s="28" t="str">
        <f>IFERROR(VLOOKUP(DATE($K$1,$K$2,ABA$4),Table1[],(MATCH(Calendar!$A19,DB!$1:$1,0)),FALSE),"")</f>
        <v/>
      </c>
      <c r="ABB19" s="28" t="str">
        <f>IFERROR(VLOOKUP(DATE($K$1,$K$2,ABB$4),Table1[],(MATCH(Calendar!$A19,DB!$1:$1,0)),FALSE),"")</f>
        <v/>
      </c>
      <c r="ABC19" s="28" t="str">
        <f>IFERROR(VLOOKUP(DATE($K$1,$K$2,ABC$4),Table1[],(MATCH(Calendar!$A19,DB!$1:$1,0)),FALSE),"")</f>
        <v/>
      </c>
      <c r="ABD19" s="28" t="str">
        <f>IFERROR(VLOOKUP(DATE($K$1,$K$2,ABD$4),Table1[],(MATCH(Calendar!$A19,DB!$1:$1,0)),FALSE),"")</f>
        <v/>
      </c>
      <c r="ABE19" s="28" t="str">
        <f>IFERROR(VLOOKUP(DATE($K$1,$K$2,ABE$4),Table1[],(MATCH(Calendar!$A19,DB!$1:$1,0)),FALSE),"")</f>
        <v/>
      </c>
      <c r="ABF19" s="28" t="str">
        <f>IFERROR(VLOOKUP(DATE($K$1,$K$2,ABF$4),Table1[],(MATCH(Calendar!$A19,DB!$1:$1,0)),FALSE),"")</f>
        <v/>
      </c>
      <c r="ABG19" s="28" t="str">
        <f>IFERROR(VLOOKUP(DATE($K$1,$K$2,ABG$4),Table1[],(MATCH(Calendar!$A19,DB!$1:$1,0)),FALSE),"")</f>
        <v/>
      </c>
      <c r="ABH19" s="28" t="str">
        <f>IFERROR(VLOOKUP(DATE($K$1,$K$2,ABH$4),Table1[],(MATCH(Calendar!$A19,DB!$1:$1,0)),FALSE),"")</f>
        <v/>
      </c>
      <c r="ABI19" s="28" t="str">
        <f>IFERROR(VLOOKUP(DATE($K$1,$K$2,ABI$4),Table1[],(MATCH(Calendar!$A19,DB!$1:$1,0)),FALSE),"")</f>
        <v/>
      </c>
      <c r="ABJ19" s="28" t="str">
        <f>IFERROR(VLOOKUP(DATE($K$1,$K$2,ABJ$4),Table1[],(MATCH(Calendar!$A19,DB!$1:$1,0)),FALSE),"")</f>
        <v/>
      </c>
      <c r="ABK19" s="28" t="str">
        <f>IFERROR(VLOOKUP(DATE($K$1,$K$2,ABK$4),Table1[],(MATCH(Calendar!$A19,DB!$1:$1,0)),FALSE),"")</f>
        <v/>
      </c>
      <c r="ABL19" s="28" t="str">
        <f>IFERROR(VLOOKUP(DATE($K$1,$K$2,ABL$4),Table1[],(MATCH(Calendar!$A19,DB!$1:$1,0)),FALSE),"")</f>
        <v/>
      </c>
      <c r="ABM19" s="28" t="str">
        <f>IFERROR(VLOOKUP(DATE($K$1,$K$2,ABM$4),Table1[],(MATCH(Calendar!$A19,DB!$1:$1,0)),FALSE),"")</f>
        <v/>
      </c>
      <c r="ABN19" s="28" t="str">
        <f>IFERROR(VLOOKUP(DATE($K$1,$K$2,ABN$4),Table1[],(MATCH(Calendar!$A19,DB!$1:$1,0)),FALSE),"")</f>
        <v/>
      </c>
      <c r="ABO19" s="28" t="str">
        <f>IFERROR(VLOOKUP(DATE($K$1,$K$2,ABO$4),Table1[],(MATCH(Calendar!$A19,DB!$1:$1,0)),FALSE),"")</f>
        <v/>
      </c>
      <c r="ABP19" s="28" t="str">
        <f>IFERROR(VLOOKUP(DATE($K$1,$K$2,ABP$4),Table1[],(MATCH(Calendar!$A19,DB!$1:$1,0)),FALSE),"")</f>
        <v/>
      </c>
      <c r="ABQ19" s="28" t="str">
        <f>IFERROR(VLOOKUP(DATE($K$1,$K$2,ABQ$4),Table1[],(MATCH(Calendar!$A19,DB!$1:$1,0)),FALSE),"")</f>
        <v/>
      </c>
      <c r="ABR19" s="28" t="str">
        <f>IFERROR(VLOOKUP(DATE($K$1,$K$2,ABR$4),Table1[],(MATCH(Calendar!$A19,DB!$1:$1,0)),FALSE),"")</f>
        <v/>
      </c>
      <c r="ABS19" s="28" t="str">
        <f>IFERROR(VLOOKUP(DATE($K$1,$K$2,ABS$4),Table1[],(MATCH(Calendar!$A19,DB!$1:$1,0)),FALSE),"")</f>
        <v/>
      </c>
      <c r="ABT19" s="28" t="str">
        <f>IFERROR(VLOOKUP(DATE($K$1,$K$2,ABT$4),Table1[],(MATCH(Calendar!$A19,DB!$1:$1,0)),FALSE),"")</f>
        <v/>
      </c>
      <c r="ABU19" s="28" t="str">
        <f>IFERROR(VLOOKUP(DATE($K$1,$K$2,ABU$4),Table1[],(MATCH(Calendar!$A19,DB!$1:$1,0)),FALSE),"")</f>
        <v/>
      </c>
      <c r="ABV19" s="28" t="str">
        <f>IFERROR(VLOOKUP(DATE($K$1,$K$2,ABV$4),Table1[],(MATCH(Calendar!$A19,DB!$1:$1,0)),FALSE),"")</f>
        <v/>
      </c>
      <c r="ABW19" s="28" t="str">
        <f>IFERROR(VLOOKUP(DATE($K$1,$K$2,ABW$4),Table1[],(MATCH(Calendar!$A19,DB!$1:$1,0)),FALSE),"")</f>
        <v/>
      </c>
      <c r="ABX19" s="28" t="str">
        <f>IFERROR(VLOOKUP(DATE($K$1,$K$2,ABX$4),Table1[],(MATCH(Calendar!$A19,DB!$1:$1,0)),FALSE),"")</f>
        <v/>
      </c>
      <c r="ABY19" s="28" t="str">
        <f>IFERROR(VLOOKUP(DATE($K$1,$K$2,ABY$4),Table1[],(MATCH(Calendar!$A19,DB!$1:$1,0)),FALSE),"")</f>
        <v/>
      </c>
      <c r="ABZ19" s="28" t="str">
        <f>IFERROR(VLOOKUP(DATE($K$1,$K$2,ABZ$4),Table1[],(MATCH(Calendar!$A19,DB!$1:$1,0)),FALSE),"")</f>
        <v/>
      </c>
      <c r="ACA19" s="28" t="str">
        <f>IFERROR(VLOOKUP(DATE($K$1,$K$2,ACA$4),Table1[],(MATCH(Calendar!$A19,DB!$1:$1,0)),FALSE),"")</f>
        <v/>
      </c>
      <c r="ACB19" s="28" t="str">
        <f>IFERROR(VLOOKUP(DATE($K$1,$K$2,ACB$4),Table1[],(MATCH(Calendar!$A19,DB!$1:$1,0)),FALSE),"")</f>
        <v/>
      </c>
      <c r="ACC19" s="28" t="str">
        <f>IFERROR(VLOOKUP(DATE($K$1,$K$2,ACC$4),Table1[],(MATCH(Calendar!$A19,DB!$1:$1,0)),FALSE),"")</f>
        <v/>
      </c>
      <c r="ACD19" s="28" t="str">
        <f>IFERROR(VLOOKUP(DATE($K$1,$K$2,ACD$4),Table1[],(MATCH(Calendar!$A19,DB!$1:$1,0)),FALSE),"")</f>
        <v/>
      </c>
      <c r="ACE19" s="28" t="str">
        <f>IFERROR(VLOOKUP(DATE($K$1,$K$2,ACE$4),Table1[],(MATCH(Calendar!$A19,DB!$1:$1,0)),FALSE),"")</f>
        <v/>
      </c>
      <c r="ACF19" s="28" t="str">
        <f>IFERROR(VLOOKUP(DATE($K$1,$K$2,ACF$4),Table1[],(MATCH(Calendar!$A19,DB!$1:$1,0)),FALSE),"")</f>
        <v/>
      </c>
      <c r="ACG19" s="28" t="str">
        <f>IFERROR(VLOOKUP(DATE($K$1,$K$2,ACG$4),Table1[],(MATCH(Calendar!$A19,DB!$1:$1,0)),FALSE),"")</f>
        <v/>
      </c>
      <c r="ACH19" s="28" t="str">
        <f>IFERROR(VLOOKUP(DATE($K$1,$K$2,ACH$4),Table1[],(MATCH(Calendar!$A19,DB!$1:$1,0)),FALSE),"")</f>
        <v/>
      </c>
      <c r="ACI19" s="28" t="str">
        <f>IFERROR(VLOOKUP(DATE($K$1,$K$2,ACI$4),Table1[],(MATCH(Calendar!$A19,DB!$1:$1,0)),FALSE),"")</f>
        <v/>
      </c>
      <c r="ACJ19" s="28" t="str">
        <f>IFERROR(VLOOKUP(DATE($K$1,$K$2,ACJ$4),Table1[],(MATCH(Calendar!$A19,DB!$1:$1,0)),FALSE),"")</f>
        <v/>
      </c>
      <c r="ACK19" s="28" t="str">
        <f>IFERROR(VLOOKUP(DATE($K$1,$K$2,ACK$4),Table1[],(MATCH(Calendar!$A19,DB!$1:$1,0)),FALSE),"")</f>
        <v/>
      </c>
      <c r="ACL19" s="28" t="str">
        <f>IFERROR(VLOOKUP(DATE($K$1,$K$2,ACL$4),Table1[],(MATCH(Calendar!$A19,DB!$1:$1,0)),FALSE),"")</f>
        <v/>
      </c>
      <c r="ACM19" s="28" t="str">
        <f>IFERROR(VLOOKUP(DATE($K$1,$K$2,ACM$4),Table1[],(MATCH(Calendar!$A19,DB!$1:$1,0)),FALSE),"")</f>
        <v/>
      </c>
      <c r="ACN19" s="28" t="str">
        <f>IFERROR(VLOOKUP(DATE($K$1,$K$2,ACN$4),Table1[],(MATCH(Calendar!$A19,DB!$1:$1,0)),FALSE),"")</f>
        <v/>
      </c>
      <c r="ACO19" s="28" t="str">
        <f>IFERROR(VLOOKUP(DATE($K$1,$K$2,ACO$4),Table1[],(MATCH(Calendar!$A19,DB!$1:$1,0)),FALSE),"")</f>
        <v/>
      </c>
      <c r="ACP19" s="28" t="str">
        <f>IFERROR(VLOOKUP(DATE($K$1,$K$2,ACP$4),Table1[],(MATCH(Calendar!$A19,DB!$1:$1,0)),FALSE),"")</f>
        <v/>
      </c>
      <c r="ACQ19" s="28" t="str">
        <f>IFERROR(VLOOKUP(DATE($K$1,$K$2,ACQ$4),Table1[],(MATCH(Calendar!$A19,DB!$1:$1,0)),FALSE),"")</f>
        <v/>
      </c>
      <c r="ACR19" s="28" t="str">
        <f>IFERROR(VLOOKUP(DATE($K$1,$K$2,ACR$4),Table1[],(MATCH(Calendar!$A19,DB!$1:$1,0)),FALSE),"")</f>
        <v/>
      </c>
      <c r="ACS19" s="28" t="str">
        <f>IFERROR(VLOOKUP(DATE($K$1,$K$2,ACS$4),Table1[],(MATCH(Calendar!$A19,DB!$1:$1,0)),FALSE),"")</f>
        <v/>
      </c>
      <c r="ACT19" s="28" t="str">
        <f>IFERROR(VLOOKUP(DATE($K$1,$K$2,ACT$4),Table1[],(MATCH(Calendar!$A19,DB!$1:$1,0)),FALSE),"")</f>
        <v/>
      </c>
      <c r="ACU19" s="28" t="str">
        <f>IFERROR(VLOOKUP(DATE($K$1,$K$2,ACU$4),Table1[],(MATCH(Calendar!$A19,DB!$1:$1,0)),FALSE),"")</f>
        <v/>
      </c>
      <c r="ACV19" s="28" t="str">
        <f>IFERROR(VLOOKUP(DATE($K$1,$K$2,ACV$4),Table1[],(MATCH(Calendar!$A19,DB!$1:$1,0)),FALSE),"")</f>
        <v/>
      </c>
      <c r="ACW19" s="28" t="str">
        <f>IFERROR(VLOOKUP(DATE($K$1,$K$2,ACW$4),Table1[],(MATCH(Calendar!$A19,DB!$1:$1,0)),FALSE),"")</f>
        <v/>
      </c>
      <c r="ACX19" s="28" t="str">
        <f>IFERROR(VLOOKUP(DATE($K$1,$K$2,ACX$4),Table1[],(MATCH(Calendar!$A19,DB!$1:$1,0)),FALSE),"")</f>
        <v/>
      </c>
      <c r="ACY19" s="28" t="str">
        <f>IFERROR(VLOOKUP(DATE($K$1,$K$2,ACY$4),Table1[],(MATCH(Calendar!$A19,DB!$1:$1,0)),FALSE),"")</f>
        <v/>
      </c>
      <c r="ACZ19" s="28" t="str">
        <f>IFERROR(VLOOKUP(DATE($K$1,$K$2,ACZ$4),Table1[],(MATCH(Calendar!$A19,DB!$1:$1,0)),FALSE),"")</f>
        <v/>
      </c>
      <c r="ADA19" s="28" t="str">
        <f>IFERROR(VLOOKUP(DATE($K$1,$K$2,ADA$4),Table1[],(MATCH(Calendar!$A19,DB!$1:$1,0)),FALSE),"")</f>
        <v/>
      </c>
      <c r="ADB19" s="28" t="str">
        <f>IFERROR(VLOOKUP(DATE($K$1,$K$2,ADB$4),Table1[],(MATCH(Calendar!$A19,DB!$1:$1,0)),FALSE),"")</f>
        <v/>
      </c>
      <c r="ADC19" s="28" t="str">
        <f>IFERROR(VLOOKUP(DATE($K$1,$K$2,ADC$4),Table1[],(MATCH(Calendar!$A19,DB!$1:$1,0)),FALSE),"")</f>
        <v/>
      </c>
      <c r="ADD19" s="28" t="str">
        <f>IFERROR(VLOOKUP(DATE($K$1,$K$2,ADD$4),Table1[],(MATCH(Calendar!$A19,DB!$1:$1,0)),FALSE),"")</f>
        <v/>
      </c>
      <c r="ADE19" s="28" t="str">
        <f>IFERROR(VLOOKUP(DATE($K$1,$K$2,ADE$4),Table1[],(MATCH(Calendar!$A19,DB!$1:$1,0)),FALSE),"")</f>
        <v/>
      </c>
      <c r="ADF19" s="28" t="str">
        <f>IFERROR(VLOOKUP(DATE($K$1,$K$2,ADF$4),Table1[],(MATCH(Calendar!$A19,DB!$1:$1,0)),FALSE),"")</f>
        <v/>
      </c>
      <c r="ADG19" s="28" t="str">
        <f>IFERROR(VLOOKUP(DATE($K$1,$K$2,ADG$4),Table1[],(MATCH(Calendar!$A19,DB!$1:$1,0)),FALSE),"")</f>
        <v/>
      </c>
      <c r="ADH19" s="28" t="str">
        <f>IFERROR(VLOOKUP(DATE($K$1,$K$2,ADH$4),Table1[],(MATCH(Calendar!$A19,DB!$1:$1,0)),FALSE),"")</f>
        <v/>
      </c>
      <c r="ADI19" s="28" t="str">
        <f>IFERROR(VLOOKUP(DATE($K$1,$K$2,ADI$4),Table1[],(MATCH(Calendar!$A19,DB!$1:$1,0)),FALSE),"")</f>
        <v/>
      </c>
      <c r="ADJ19" s="28" t="str">
        <f>IFERROR(VLOOKUP(DATE($K$1,$K$2,ADJ$4),Table1[],(MATCH(Calendar!$A19,DB!$1:$1,0)),FALSE),"")</f>
        <v/>
      </c>
      <c r="ADK19" s="28" t="str">
        <f>IFERROR(VLOOKUP(DATE($K$1,$K$2,ADK$4),Table1[],(MATCH(Calendar!$A19,DB!$1:$1,0)),FALSE),"")</f>
        <v/>
      </c>
      <c r="ADL19" s="28" t="str">
        <f>IFERROR(VLOOKUP(DATE($K$1,$K$2,ADL$4),Table1[],(MATCH(Calendar!$A19,DB!$1:$1,0)),FALSE),"")</f>
        <v/>
      </c>
      <c r="ADM19" s="28" t="str">
        <f>IFERROR(VLOOKUP(DATE($K$1,$K$2,ADM$4),Table1[],(MATCH(Calendar!$A19,DB!$1:$1,0)),FALSE),"")</f>
        <v/>
      </c>
      <c r="ADN19" s="28" t="str">
        <f>IFERROR(VLOOKUP(DATE($K$1,$K$2,ADN$4),Table1[],(MATCH(Calendar!$A19,DB!$1:$1,0)),FALSE),"")</f>
        <v/>
      </c>
      <c r="ADO19" s="28" t="str">
        <f>IFERROR(VLOOKUP(DATE($K$1,$K$2,ADO$4),Table1[],(MATCH(Calendar!$A19,DB!$1:$1,0)),FALSE),"")</f>
        <v/>
      </c>
      <c r="ADP19" s="28" t="str">
        <f>IFERROR(VLOOKUP(DATE($K$1,$K$2,ADP$4),Table1[],(MATCH(Calendar!$A19,DB!$1:$1,0)),FALSE),"")</f>
        <v/>
      </c>
      <c r="ADQ19" s="28" t="str">
        <f>IFERROR(VLOOKUP(DATE($K$1,$K$2,ADQ$4),Table1[],(MATCH(Calendar!$A19,DB!$1:$1,0)),FALSE),"")</f>
        <v/>
      </c>
      <c r="ADR19" s="28" t="str">
        <f>IFERROR(VLOOKUP(DATE($K$1,$K$2,ADR$4),Table1[],(MATCH(Calendar!$A19,DB!$1:$1,0)),FALSE),"")</f>
        <v/>
      </c>
      <c r="ADS19" s="28" t="str">
        <f>IFERROR(VLOOKUP(DATE($K$1,$K$2,ADS$4),Table1[],(MATCH(Calendar!$A19,DB!$1:$1,0)),FALSE),"")</f>
        <v/>
      </c>
      <c r="ADT19" s="28" t="str">
        <f>IFERROR(VLOOKUP(DATE($K$1,$K$2,ADT$4),Table1[],(MATCH(Calendar!$A19,DB!$1:$1,0)),FALSE),"")</f>
        <v/>
      </c>
      <c r="ADU19" s="28" t="str">
        <f>IFERROR(VLOOKUP(DATE($K$1,$K$2,ADU$4),Table1[],(MATCH(Calendar!$A19,DB!$1:$1,0)),FALSE),"")</f>
        <v/>
      </c>
      <c r="ADV19" s="28" t="str">
        <f>IFERROR(VLOOKUP(DATE($K$1,$K$2,ADV$4),Table1[],(MATCH(Calendar!$A19,DB!$1:$1,0)),FALSE),"")</f>
        <v/>
      </c>
      <c r="ADW19" s="28" t="str">
        <f>IFERROR(VLOOKUP(DATE($K$1,$K$2,ADW$4),Table1[],(MATCH(Calendar!$A19,DB!$1:$1,0)),FALSE),"")</f>
        <v/>
      </c>
      <c r="ADX19" s="28" t="str">
        <f>IFERROR(VLOOKUP(DATE($K$1,$K$2,ADX$4),Table1[],(MATCH(Calendar!$A19,DB!$1:$1,0)),FALSE),"")</f>
        <v/>
      </c>
      <c r="ADY19" s="28" t="str">
        <f>IFERROR(VLOOKUP(DATE($K$1,$K$2,ADY$4),Table1[],(MATCH(Calendar!$A19,DB!$1:$1,0)),FALSE),"")</f>
        <v/>
      </c>
      <c r="ADZ19" s="28" t="str">
        <f>IFERROR(VLOOKUP(DATE($K$1,$K$2,ADZ$4),Table1[],(MATCH(Calendar!$A19,DB!$1:$1,0)),FALSE),"")</f>
        <v/>
      </c>
      <c r="AEA19" s="28" t="str">
        <f>IFERROR(VLOOKUP(DATE($K$1,$K$2,AEA$4),Table1[],(MATCH(Calendar!$A19,DB!$1:$1,0)),FALSE),"")</f>
        <v/>
      </c>
      <c r="AEB19" s="28" t="str">
        <f>IFERROR(VLOOKUP(DATE($K$1,$K$2,AEB$4),Table1[],(MATCH(Calendar!$A19,DB!$1:$1,0)),FALSE),"")</f>
        <v/>
      </c>
      <c r="AEC19" s="28" t="str">
        <f>IFERROR(VLOOKUP(DATE($K$1,$K$2,AEC$4),Table1[],(MATCH(Calendar!$A19,DB!$1:$1,0)),FALSE),"")</f>
        <v/>
      </c>
      <c r="AED19" s="28" t="str">
        <f>IFERROR(VLOOKUP(DATE($K$1,$K$2,AED$4),Table1[],(MATCH(Calendar!$A19,DB!$1:$1,0)),FALSE),"")</f>
        <v/>
      </c>
      <c r="AEE19" s="28" t="str">
        <f>IFERROR(VLOOKUP(DATE($K$1,$K$2,AEE$4),Table1[],(MATCH(Calendar!$A19,DB!$1:$1,0)),FALSE),"")</f>
        <v/>
      </c>
      <c r="AEF19" s="28" t="str">
        <f>IFERROR(VLOOKUP(DATE($K$1,$K$2,AEF$4),Table1[],(MATCH(Calendar!$A19,DB!$1:$1,0)),FALSE),"")</f>
        <v/>
      </c>
      <c r="AEG19" s="28" t="str">
        <f>IFERROR(VLOOKUP(DATE($K$1,$K$2,AEG$4),Table1[],(MATCH(Calendar!$A19,DB!$1:$1,0)),FALSE),"")</f>
        <v/>
      </c>
      <c r="AEH19" s="28" t="str">
        <f>IFERROR(VLOOKUP(DATE($K$1,$K$2,AEH$4),Table1[],(MATCH(Calendar!$A19,DB!$1:$1,0)),FALSE),"")</f>
        <v/>
      </c>
      <c r="AEI19" s="28" t="str">
        <f>IFERROR(VLOOKUP(DATE($K$1,$K$2,AEI$4),Table1[],(MATCH(Calendar!$A19,DB!$1:$1,0)),FALSE),"")</f>
        <v/>
      </c>
      <c r="AEJ19" s="28" t="str">
        <f>IFERROR(VLOOKUP(DATE($K$1,$K$2,AEJ$4),Table1[],(MATCH(Calendar!$A19,DB!$1:$1,0)),FALSE),"")</f>
        <v/>
      </c>
      <c r="AEK19" s="28" t="str">
        <f>IFERROR(VLOOKUP(DATE($K$1,$K$2,AEK$4),Table1[],(MATCH(Calendar!$A19,DB!$1:$1,0)),FALSE),"")</f>
        <v/>
      </c>
      <c r="AEL19" s="28" t="str">
        <f>IFERROR(VLOOKUP(DATE($K$1,$K$2,AEL$4),Table1[],(MATCH(Calendar!$A19,DB!$1:$1,0)),FALSE),"")</f>
        <v/>
      </c>
      <c r="AEM19" s="28" t="str">
        <f>IFERROR(VLOOKUP(DATE($K$1,$K$2,AEM$4),Table1[],(MATCH(Calendar!$A19,DB!$1:$1,0)),FALSE),"")</f>
        <v/>
      </c>
      <c r="AEN19" s="28" t="str">
        <f>IFERROR(VLOOKUP(DATE($K$1,$K$2,AEN$4),Table1[],(MATCH(Calendar!$A19,DB!$1:$1,0)),FALSE),"")</f>
        <v/>
      </c>
      <c r="AEO19" s="28" t="str">
        <f>IFERROR(VLOOKUP(DATE($K$1,$K$2,AEO$4),Table1[],(MATCH(Calendar!$A19,DB!$1:$1,0)),FALSE),"")</f>
        <v/>
      </c>
      <c r="AEP19" s="28" t="str">
        <f>IFERROR(VLOOKUP(DATE($K$1,$K$2,AEP$4),Table1[],(MATCH(Calendar!$A19,DB!$1:$1,0)),FALSE),"")</f>
        <v/>
      </c>
      <c r="AEQ19" s="28" t="str">
        <f>IFERROR(VLOOKUP(DATE($K$1,$K$2,AEQ$4),Table1[],(MATCH(Calendar!$A19,DB!$1:$1,0)),FALSE),"")</f>
        <v/>
      </c>
      <c r="AER19" s="28" t="str">
        <f>IFERROR(VLOOKUP(DATE($K$1,$K$2,AER$4),Table1[],(MATCH(Calendar!$A19,DB!$1:$1,0)),FALSE),"")</f>
        <v/>
      </c>
      <c r="AES19" s="28" t="str">
        <f>IFERROR(VLOOKUP(DATE($K$1,$K$2,AES$4),Table1[],(MATCH(Calendar!$A19,DB!$1:$1,0)),FALSE),"")</f>
        <v/>
      </c>
      <c r="AET19" s="28" t="str">
        <f>IFERROR(VLOOKUP(DATE($K$1,$K$2,AET$4),Table1[],(MATCH(Calendar!$A19,DB!$1:$1,0)),FALSE),"")</f>
        <v/>
      </c>
      <c r="AEU19" s="28" t="str">
        <f>IFERROR(VLOOKUP(DATE($K$1,$K$2,AEU$4),Table1[],(MATCH(Calendar!$A19,DB!$1:$1,0)),FALSE),"")</f>
        <v/>
      </c>
      <c r="AEV19" s="28" t="str">
        <f>IFERROR(VLOOKUP(DATE($K$1,$K$2,AEV$4),Table1[],(MATCH(Calendar!$A19,DB!$1:$1,0)),FALSE),"")</f>
        <v/>
      </c>
      <c r="AEW19" s="28" t="str">
        <f>IFERROR(VLOOKUP(DATE($K$1,$K$2,AEW$4),Table1[],(MATCH(Calendar!$A19,DB!$1:$1,0)),FALSE),"")</f>
        <v/>
      </c>
      <c r="AEX19" s="28" t="str">
        <f>IFERROR(VLOOKUP(DATE($K$1,$K$2,AEX$4),Table1[],(MATCH(Calendar!$A19,DB!$1:$1,0)),FALSE),"")</f>
        <v/>
      </c>
      <c r="AEY19" s="28" t="str">
        <f>IFERROR(VLOOKUP(DATE($K$1,$K$2,AEY$4),Table1[],(MATCH(Calendar!$A19,DB!$1:$1,0)),FALSE),"")</f>
        <v/>
      </c>
      <c r="AEZ19" s="28" t="str">
        <f>IFERROR(VLOOKUP(DATE($K$1,$K$2,AEZ$4),Table1[],(MATCH(Calendar!$A19,DB!$1:$1,0)),FALSE),"")</f>
        <v/>
      </c>
      <c r="AFA19" s="28" t="str">
        <f>IFERROR(VLOOKUP(DATE($K$1,$K$2,AFA$4),Table1[],(MATCH(Calendar!$A19,DB!$1:$1,0)),FALSE),"")</f>
        <v/>
      </c>
      <c r="AFB19" s="28" t="str">
        <f>IFERROR(VLOOKUP(DATE($K$1,$K$2,AFB$4),Table1[],(MATCH(Calendar!$A19,DB!$1:$1,0)),FALSE),"")</f>
        <v/>
      </c>
      <c r="AFC19" s="28" t="str">
        <f>IFERROR(VLOOKUP(DATE($K$1,$K$2,AFC$4),Table1[],(MATCH(Calendar!$A19,DB!$1:$1,0)),FALSE),"")</f>
        <v/>
      </c>
      <c r="AFD19" s="28" t="str">
        <f>IFERROR(VLOOKUP(DATE($K$1,$K$2,AFD$4),Table1[],(MATCH(Calendar!$A19,DB!$1:$1,0)),FALSE),"")</f>
        <v/>
      </c>
      <c r="AFE19" s="28" t="str">
        <f>IFERROR(VLOOKUP(DATE($K$1,$K$2,AFE$4),Table1[],(MATCH(Calendar!$A19,DB!$1:$1,0)),FALSE),"")</f>
        <v/>
      </c>
      <c r="AFF19" s="28" t="str">
        <f>IFERROR(VLOOKUP(DATE($K$1,$K$2,AFF$4),Table1[],(MATCH(Calendar!$A19,DB!$1:$1,0)),FALSE),"")</f>
        <v/>
      </c>
      <c r="AFG19" s="28" t="str">
        <f>IFERROR(VLOOKUP(DATE($K$1,$K$2,AFG$4),Table1[],(MATCH(Calendar!$A19,DB!$1:$1,0)),FALSE),"")</f>
        <v/>
      </c>
      <c r="AFH19" s="28" t="str">
        <f>IFERROR(VLOOKUP(DATE($K$1,$K$2,AFH$4),Table1[],(MATCH(Calendar!$A19,DB!$1:$1,0)),FALSE),"")</f>
        <v/>
      </c>
      <c r="AFI19" s="28" t="str">
        <f>IFERROR(VLOOKUP(DATE($K$1,$K$2,AFI$4),Table1[],(MATCH(Calendar!$A19,DB!$1:$1,0)),FALSE),"")</f>
        <v/>
      </c>
      <c r="AFJ19" s="28" t="str">
        <f>IFERROR(VLOOKUP(DATE($K$1,$K$2,AFJ$4),Table1[],(MATCH(Calendar!$A19,DB!$1:$1,0)),FALSE),"")</f>
        <v/>
      </c>
      <c r="AFK19" s="28" t="str">
        <f>IFERROR(VLOOKUP(DATE($K$1,$K$2,AFK$4),Table1[],(MATCH(Calendar!$A19,DB!$1:$1,0)),FALSE),"")</f>
        <v/>
      </c>
      <c r="AFL19" s="28" t="str">
        <f>IFERROR(VLOOKUP(DATE($K$1,$K$2,AFL$4),Table1[],(MATCH(Calendar!$A19,DB!$1:$1,0)),FALSE),"")</f>
        <v/>
      </c>
      <c r="AFM19" s="28" t="str">
        <f>IFERROR(VLOOKUP(DATE($K$1,$K$2,AFM$4),Table1[],(MATCH(Calendar!$A19,DB!$1:$1,0)),FALSE),"")</f>
        <v/>
      </c>
      <c r="AFN19" s="28" t="str">
        <f>IFERROR(VLOOKUP(DATE($K$1,$K$2,AFN$4),Table1[],(MATCH(Calendar!$A19,DB!$1:$1,0)),FALSE),"")</f>
        <v/>
      </c>
      <c r="AFO19" s="28" t="str">
        <f>IFERROR(VLOOKUP(DATE($K$1,$K$2,AFO$4),Table1[],(MATCH(Calendar!$A19,DB!$1:$1,0)),FALSE),"")</f>
        <v/>
      </c>
      <c r="AFP19" s="28" t="str">
        <f>IFERROR(VLOOKUP(DATE($K$1,$K$2,AFP$4),Table1[],(MATCH(Calendar!$A19,DB!$1:$1,0)),FALSE),"")</f>
        <v/>
      </c>
      <c r="AFQ19" s="28" t="str">
        <f>IFERROR(VLOOKUP(DATE($K$1,$K$2,AFQ$4),Table1[],(MATCH(Calendar!$A19,DB!$1:$1,0)),FALSE),"")</f>
        <v/>
      </c>
      <c r="AFR19" s="28" t="str">
        <f>IFERROR(VLOOKUP(DATE($K$1,$K$2,AFR$4),Table1[],(MATCH(Calendar!$A19,DB!$1:$1,0)),FALSE),"")</f>
        <v/>
      </c>
      <c r="AFS19" s="28" t="str">
        <f>IFERROR(VLOOKUP(DATE($K$1,$K$2,AFS$4),Table1[],(MATCH(Calendar!$A19,DB!$1:$1,0)),FALSE),"")</f>
        <v/>
      </c>
      <c r="AFT19" s="28" t="str">
        <f>IFERROR(VLOOKUP(DATE($K$1,$K$2,AFT$4),Table1[],(MATCH(Calendar!$A19,DB!$1:$1,0)),FALSE),"")</f>
        <v/>
      </c>
      <c r="AFU19" s="28" t="str">
        <f>IFERROR(VLOOKUP(DATE($K$1,$K$2,AFU$4),Table1[],(MATCH(Calendar!$A19,DB!$1:$1,0)),FALSE),"")</f>
        <v/>
      </c>
      <c r="AFV19" s="28" t="str">
        <f>IFERROR(VLOOKUP(DATE($K$1,$K$2,AFV$4),Table1[],(MATCH(Calendar!$A19,DB!$1:$1,0)),FALSE),"")</f>
        <v/>
      </c>
      <c r="AFW19" s="28" t="str">
        <f>IFERROR(VLOOKUP(DATE($K$1,$K$2,AFW$4),Table1[],(MATCH(Calendar!$A19,DB!$1:$1,0)),FALSE),"")</f>
        <v/>
      </c>
      <c r="AFX19" s="28" t="str">
        <f>IFERROR(VLOOKUP(DATE($K$1,$K$2,AFX$4),Table1[],(MATCH(Calendar!$A19,DB!$1:$1,0)),FALSE),"")</f>
        <v/>
      </c>
      <c r="AFY19" s="28" t="str">
        <f>IFERROR(VLOOKUP(DATE($K$1,$K$2,AFY$4),Table1[],(MATCH(Calendar!$A19,DB!$1:$1,0)),FALSE),"")</f>
        <v/>
      </c>
      <c r="AFZ19" s="28" t="str">
        <f>IFERROR(VLOOKUP(DATE($K$1,$K$2,AFZ$4),Table1[],(MATCH(Calendar!$A19,DB!$1:$1,0)),FALSE),"")</f>
        <v/>
      </c>
      <c r="AGA19" s="28" t="str">
        <f>IFERROR(VLOOKUP(DATE($K$1,$K$2,AGA$4),Table1[],(MATCH(Calendar!$A19,DB!$1:$1,0)),FALSE),"")</f>
        <v/>
      </c>
      <c r="AGB19" s="28" t="str">
        <f>IFERROR(VLOOKUP(DATE($K$1,$K$2,AGB$4),Table1[],(MATCH(Calendar!$A19,DB!$1:$1,0)),FALSE),"")</f>
        <v/>
      </c>
      <c r="AGC19" s="28" t="str">
        <f>IFERROR(VLOOKUP(DATE($K$1,$K$2,AGC$4),Table1[],(MATCH(Calendar!$A19,DB!$1:$1,0)),FALSE),"")</f>
        <v/>
      </c>
      <c r="AGD19" s="28" t="str">
        <f>IFERROR(VLOOKUP(DATE($K$1,$K$2,AGD$4),Table1[],(MATCH(Calendar!$A19,DB!$1:$1,0)),FALSE),"")</f>
        <v/>
      </c>
      <c r="AGE19" s="28" t="str">
        <f>IFERROR(VLOOKUP(DATE($K$1,$K$2,AGE$4),Table1[],(MATCH(Calendar!$A19,DB!$1:$1,0)),FALSE),"")</f>
        <v/>
      </c>
      <c r="AGF19" s="28" t="str">
        <f>IFERROR(VLOOKUP(DATE($K$1,$K$2,AGF$4),Table1[],(MATCH(Calendar!$A19,DB!$1:$1,0)),FALSE),"")</f>
        <v/>
      </c>
      <c r="AGG19" s="28" t="str">
        <f>IFERROR(VLOOKUP(DATE($K$1,$K$2,AGG$4),Table1[],(MATCH(Calendar!$A19,DB!$1:$1,0)),FALSE),"")</f>
        <v/>
      </c>
      <c r="AGH19" s="28" t="str">
        <f>IFERROR(VLOOKUP(DATE($K$1,$K$2,AGH$4),Table1[],(MATCH(Calendar!$A19,DB!$1:$1,0)),FALSE),"")</f>
        <v/>
      </c>
      <c r="AGI19" s="28" t="str">
        <f>IFERROR(VLOOKUP(DATE($K$1,$K$2,AGI$4),Table1[],(MATCH(Calendar!$A19,DB!$1:$1,0)),FALSE),"")</f>
        <v/>
      </c>
      <c r="AGJ19" s="28" t="str">
        <f>IFERROR(VLOOKUP(DATE($K$1,$K$2,AGJ$4),Table1[],(MATCH(Calendar!$A19,DB!$1:$1,0)),FALSE),"")</f>
        <v/>
      </c>
      <c r="AGK19" s="28" t="str">
        <f>IFERROR(VLOOKUP(DATE($K$1,$K$2,AGK$4),Table1[],(MATCH(Calendar!$A19,DB!$1:$1,0)),FALSE),"")</f>
        <v/>
      </c>
      <c r="AGL19" s="28" t="str">
        <f>IFERROR(VLOOKUP(DATE($K$1,$K$2,AGL$4),Table1[],(MATCH(Calendar!$A19,DB!$1:$1,0)),FALSE),"")</f>
        <v/>
      </c>
      <c r="AGM19" s="28" t="str">
        <f>IFERROR(VLOOKUP(DATE($K$1,$K$2,AGM$4),Table1[],(MATCH(Calendar!$A19,DB!$1:$1,0)),FALSE),"")</f>
        <v/>
      </c>
      <c r="AGN19" s="28" t="str">
        <f>IFERROR(VLOOKUP(DATE($K$1,$K$2,AGN$4),Table1[],(MATCH(Calendar!$A19,DB!$1:$1,0)),FALSE),"")</f>
        <v/>
      </c>
      <c r="AGO19" s="28" t="str">
        <f>IFERROR(VLOOKUP(DATE($K$1,$K$2,AGO$4),Table1[],(MATCH(Calendar!$A19,DB!$1:$1,0)),FALSE),"")</f>
        <v/>
      </c>
      <c r="AGP19" s="28" t="str">
        <f>IFERROR(VLOOKUP(DATE($K$1,$K$2,AGP$4),Table1[],(MATCH(Calendar!$A19,DB!$1:$1,0)),FALSE),"")</f>
        <v/>
      </c>
      <c r="AGQ19" s="28" t="str">
        <f>IFERROR(VLOOKUP(DATE($K$1,$K$2,AGQ$4),Table1[],(MATCH(Calendar!$A19,DB!$1:$1,0)),FALSE),"")</f>
        <v/>
      </c>
      <c r="AGR19" s="28" t="str">
        <f>IFERROR(VLOOKUP(DATE($K$1,$K$2,AGR$4),Table1[],(MATCH(Calendar!$A19,DB!$1:$1,0)),FALSE),"")</f>
        <v/>
      </c>
      <c r="AGS19" s="28" t="str">
        <f>IFERROR(VLOOKUP(DATE($K$1,$K$2,AGS$4),Table1[],(MATCH(Calendar!$A19,DB!$1:$1,0)),FALSE),"")</f>
        <v/>
      </c>
      <c r="AGT19" s="28" t="str">
        <f>IFERROR(VLOOKUP(DATE($K$1,$K$2,AGT$4),Table1[],(MATCH(Calendar!$A19,DB!$1:$1,0)),FALSE),"")</f>
        <v/>
      </c>
      <c r="AGU19" s="28" t="str">
        <f>IFERROR(VLOOKUP(DATE($K$1,$K$2,AGU$4),Table1[],(MATCH(Calendar!$A19,DB!$1:$1,0)),FALSE),"")</f>
        <v/>
      </c>
      <c r="AGV19" s="28" t="str">
        <f>IFERROR(VLOOKUP(DATE($K$1,$K$2,AGV$4),Table1[],(MATCH(Calendar!$A19,DB!$1:$1,0)),FALSE),"")</f>
        <v/>
      </c>
      <c r="AGW19" s="28" t="str">
        <f>IFERROR(VLOOKUP(DATE($K$1,$K$2,AGW$4),Table1[],(MATCH(Calendar!$A19,DB!$1:$1,0)),FALSE),"")</f>
        <v/>
      </c>
      <c r="AGX19" s="28" t="str">
        <f>IFERROR(VLOOKUP(DATE($K$1,$K$2,AGX$4),Table1[],(MATCH(Calendar!$A19,DB!$1:$1,0)),FALSE),"")</f>
        <v/>
      </c>
      <c r="AGY19" s="28" t="str">
        <f>IFERROR(VLOOKUP(DATE($K$1,$K$2,AGY$4),Table1[],(MATCH(Calendar!$A19,DB!$1:$1,0)),FALSE),"")</f>
        <v/>
      </c>
      <c r="AGZ19" s="28" t="str">
        <f>IFERROR(VLOOKUP(DATE($K$1,$K$2,AGZ$4),Table1[],(MATCH(Calendar!$A19,DB!$1:$1,0)),FALSE),"")</f>
        <v/>
      </c>
      <c r="AHA19" s="28" t="str">
        <f>IFERROR(VLOOKUP(DATE($K$1,$K$2,AHA$4),Table1[],(MATCH(Calendar!$A19,DB!$1:$1,0)),FALSE),"")</f>
        <v/>
      </c>
      <c r="AHB19" s="28" t="str">
        <f>IFERROR(VLOOKUP(DATE($K$1,$K$2,AHB$4),Table1[],(MATCH(Calendar!$A19,DB!$1:$1,0)),FALSE),"")</f>
        <v/>
      </c>
      <c r="AHC19" s="28" t="str">
        <f>IFERROR(VLOOKUP(DATE($K$1,$K$2,AHC$4),Table1[],(MATCH(Calendar!$A19,DB!$1:$1,0)),FALSE),"")</f>
        <v/>
      </c>
      <c r="AHD19" s="28" t="str">
        <f>IFERROR(VLOOKUP(DATE($K$1,$K$2,AHD$4),Table1[],(MATCH(Calendar!$A19,DB!$1:$1,0)),FALSE),"")</f>
        <v/>
      </c>
      <c r="AHE19" s="28" t="str">
        <f>IFERROR(VLOOKUP(DATE($K$1,$K$2,AHE$4),Table1[],(MATCH(Calendar!$A19,DB!$1:$1,0)),FALSE),"")</f>
        <v/>
      </c>
      <c r="AHF19" s="28" t="str">
        <f>IFERROR(VLOOKUP(DATE($K$1,$K$2,AHF$4),Table1[],(MATCH(Calendar!$A19,DB!$1:$1,0)),FALSE),"")</f>
        <v/>
      </c>
      <c r="AHG19" s="28" t="str">
        <f>IFERROR(VLOOKUP(DATE($K$1,$K$2,AHG$4),Table1[],(MATCH(Calendar!$A19,DB!$1:$1,0)),FALSE),"")</f>
        <v/>
      </c>
      <c r="AHH19" s="28" t="str">
        <f>IFERROR(VLOOKUP(DATE($K$1,$K$2,AHH$4),Table1[],(MATCH(Calendar!$A19,DB!$1:$1,0)),FALSE),"")</f>
        <v/>
      </c>
      <c r="AHI19" s="28" t="str">
        <f>IFERROR(VLOOKUP(DATE($K$1,$K$2,AHI$4),Table1[],(MATCH(Calendar!$A19,DB!$1:$1,0)),FALSE),"")</f>
        <v/>
      </c>
      <c r="AHJ19" s="28" t="str">
        <f>IFERROR(VLOOKUP(DATE($K$1,$K$2,AHJ$4),Table1[],(MATCH(Calendar!$A19,DB!$1:$1,0)),FALSE),"")</f>
        <v/>
      </c>
      <c r="AHK19" s="28" t="str">
        <f>IFERROR(VLOOKUP(DATE($K$1,$K$2,AHK$4),Table1[],(MATCH(Calendar!$A19,DB!$1:$1,0)),FALSE),"")</f>
        <v/>
      </c>
      <c r="AHL19" s="28" t="str">
        <f>IFERROR(VLOOKUP(DATE($K$1,$K$2,AHL$4),Table1[],(MATCH(Calendar!$A19,DB!$1:$1,0)),FALSE),"")</f>
        <v/>
      </c>
      <c r="AHM19" s="28" t="str">
        <f>IFERROR(VLOOKUP(DATE($K$1,$K$2,AHM$4),Table1[],(MATCH(Calendar!$A19,DB!$1:$1,0)),FALSE),"")</f>
        <v/>
      </c>
      <c r="AHN19" s="28" t="str">
        <f>IFERROR(VLOOKUP(DATE($K$1,$K$2,AHN$4),Table1[],(MATCH(Calendar!$A19,DB!$1:$1,0)),FALSE),"")</f>
        <v/>
      </c>
      <c r="AHO19" s="28" t="str">
        <f>IFERROR(VLOOKUP(DATE($K$1,$K$2,AHO$4),Table1[],(MATCH(Calendar!$A19,DB!$1:$1,0)),FALSE),"")</f>
        <v/>
      </c>
      <c r="AHP19" s="28" t="str">
        <f>IFERROR(VLOOKUP(DATE($K$1,$K$2,AHP$4),Table1[],(MATCH(Calendar!$A19,DB!$1:$1,0)),FALSE),"")</f>
        <v/>
      </c>
      <c r="AHQ19" s="28" t="str">
        <f>IFERROR(VLOOKUP(DATE($K$1,$K$2,AHQ$4),Table1[],(MATCH(Calendar!$A19,DB!$1:$1,0)),FALSE),"")</f>
        <v/>
      </c>
      <c r="AHR19" s="28" t="str">
        <f>IFERROR(VLOOKUP(DATE($K$1,$K$2,AHR$4),Table1[],(MATCH(Calendar!$A19,DB!$1:$1,0)),FALSE),"")</f>
        <v/>
      </c>
      <c r="AHS19" s="28" t="str">
        <f>IFERROR(VLOOKUP(DATE($K$1,$K$2,AHS$4),Table1[],(MATCH(Calendar!$A19,DB!$1:$1,0)),FALSE),"")</f>
        <v/>
      </c>
      <c r="AHT19" s="28" t="str">
        <f>IFERROR(VLOOKUP(DATE($K$1,$K$2,AHT$4),Table1[],(MATCH(Calendar!$A19,DB!$1:$1,0)),FALSE),"")</f>
        <v/>
      </c>
      <c r="AHU19" s="28" t="str">
        <f>IFERROR(VLOOKUP(DATE($K$1,$K$2,AHU$4),Table1[],(MATCH(Calendar!$A19,DB!$1:$1,0)),FALSE),"")</f>
        <v/>
      </c>
      <c r="AHV19" s="28" t="str">
        <f>IFERROR(VLOOKUP(DATE($K$1,$K$2,AHV$4),Table1[],(MATCH(Calendar!$A19,DB!$1:$1,0)),FALSE),"")</f>
        <v/>
      </c>
      <c r="AHW19" s="28" t="str">
        <f>IFERROR(VLOOKUP(DATE($K$1,$K$2,AHW$4),Table1[],(MATCH(Calendar!$A19,DB!$1:$1,0)),FALSE),"")</f>
        <v/>
      </c>
      <c r="AHX19" s="28" t="str">
        <f>IFERROR(VLOOKUP(DATE($K$1,$K$2,AHX$4),Table1[],(MATCH(Calendar!$A19,DB!$1:$1,0)),FALSE),"")</f>
        <v/>
      </c>
      <c r="AHY19" s="28" t="str">
        <f>IFERROR(VLOOKUP(DATE($K$1,$K$2,AHY$4),Table1[],(MATCH(Calendar!$A19,DB!$1:$1,0)),FALSE),"")</f>
        <v/>
      </c>
      <c r="AHZ19" s="28" t="str">
        <f>IFERROR(VLOOKUP(DATE($K$1,$K$2,AHZ$4),Table1[],(MATCH(Calendar!$A19,DB!$1:$1,0)),FALSE),"")</f>
        <v/>
      </c>
      <c r="AIA19" s="28" t="str">
        <f>IFERROR(VLOOKUP(DATE($K$1,$K$2,AIA$4),Table1[],(MATCH(Calendar!$A19,DB!$1:$1,0)),FALSE),"")</f>
        <v/>
      </c>
      <c r="AIB19" s="28" t="str">
        <f>IFERROR(VLOOKUP(DATE($K$1,$K$2,AIB$4),Table1[],(MATCH(Calendar!$A19,DB!$1:$1,0)),FALSE),"")</f>
        <v/>
      </c>
      <c r="AIC19" s="28" t="str">
        <f>IFERROR(VLOOKUP(DATE($K$1,$K$2,AIC$4),Table1[],(MATCH(Calendar!$A19,DB!$1:$1,0)),FALSE),"")</f>
        <v/>
      </c>
      <c r="AID19" s="28" t="str">
        <f>IFERROR(VLOOKUP(DATE($K$1,$K$2,AID$4),Table1[],(MATCH(Calendar!$A19,DB!$1:$1,0)),FALSE),"")</f>
        <v/>
      </c>
      <c r="AIE19" s="28" t="str">
        <f>IFERROR(VLOOKUP(DATE($K$1,$K$2,AIE$4),Table1[],(MATCH(Calendar!$A19,DB!$1:$1,0)),FALSE),"")</f>
        <v/>
      </c>
      <c r="AIF19" s="28" t="str">
        <f>IFERROR(VLOOKUP(DATE($K$1,$K$2,AIF$4),Table1[],(MATCH(Calendar!$A19,DB!$1:$1,0)),FALSE),"")</f>
        <v/>
      </c>
      <c r="AIG19" s="28" t="str">
        <f>IFERROR(VLOOKUP(DATE($K$1,$K$2,AIG$4),Table1[],(MATCH(Calendar!$A19,DB!$1:$1,0)),FALSE),"")</f>
        <v/>
      </c>
      <c r="AIH19" s="28" t="str">
        <f>IFERROR(VLOOKUP(DATE($K$1,$K$2,AIH$4),Table1[],(MATCH(Calendar!$A19,DB!$1:$1,0)),FALSE),"")</f>
        <v/>
      </c>
      <c r="AII19" s="28" t="str">
        <f>IFERROR(VLOOKUP(DATE($K$1,$K$2,AII$4),Table1[],(MATCH(Calendar!$A19,DB!$1:$1,0)),FALSE),"")</f>
        <v/>
      </c>
      <c r="AIJ19" s="28" t="str">
        <f>IFERROR(VLOOKUP(DATE($K$1,$K$2,AIJ$4),Table1[],(MATCH(Calendar!$A19,DB!$1:$1,0)),FALSE),"")</f>
        <v/>
      </c>
      <c r="AIK19" s="28" t="str">
        <f>IFERROR(VLOOKUP(DATE($K$1,$K$2,AIK$4),Table1[],(MATCH(Calendar!$A19,DB!$1:$1,0)),FALSE),"")</f>
        <v/>
      </c>
      <c r="AIL19" s="28" t="str">
        <f>IFERROR(VLOOKUP(DATE($K$1,$K$2,AIL$4),Table1[],(MATCH(Calendar!$A19,DB!$1:$1,0)),FALSE),"")</f>
        <v/>
      </c>
      <c r="AIM19" s="28" t="str">
        <f>IFERROR(VLOOKUP(DATE($K$1,$K$2,AIM$4),Table1[],(MATCH(Calendar!$A19,DB!$1:$1,0)),FALSE),"")</f>
        <v/>
      </c>
      <c r="AIN19" s="28" t="str">
        <f>IFERROR(VLOOKUP(DATE($K$1,$K$2,AIN$4),Table1[],(MATCH(Calendar!$A19,DB!$1:$1,0)),FALSE),"")</f>
        <v/>
      </c>
      <c r="AIO19" s="28" t="str">
        <f>IFERROR(VLOOKUP(DATE($K$1,$K$2,AIO$4),Table1[],(MATCH(Calendar!$A19,DB!$1:$1,0)),FALSE),"")</f>
        <v/>
      </c>
      <c r="AIP19" s="28" t="str">
        <f>IFERROR(VLOOKUP(DATE($K$1,$K$2,AIP$4),Table1[],(MATCH(Calendar!$A19,DB!$1:$1,0)),FALSE),"")</f>
        <v/>
      </c>
      <c r="AIQ19" s="28" t="str">
        <f>IFERROR(VLOOKUP(DATE($K$1,$K$2,AIQ$4),Table1[],(MATCH(Calendar!$A19,DB!$1:$1,0)),FALSE),"")</f>
        <v/>
      </c>
      <c r="AIR19" s="28" t="str">
        <f>IFERROR(VLOOKUP(DATE($K$1,$K$2,AIR$4),Table1[],(MATCH(Calendar!$A19,DB!$1:$1,0)),FALSE),"")</f>
        <v/>
      </c>
      <c r="AIS19" s="28" t="str">
        <f>IFERROR(VLOOKUP(DATE($K$1,$K$2,AIS$4),Table1[],(MATCH(Calendar!$A19,DB!$1:$1,0)),FALSE),"")</f>
        <v/>
      </c>
      <c r="AIT19" s="28" t="str">
        <f>IFERROR(VLOOKUP(DATE($K$1,$K$2,AIT$4),Table1[],(MATCH(Calendar!$A19,DB!$1:$1,0)),FALSE),"")</f>
        <v/>
      </c>
      <c r="AIU19" s="28" t="str">
        <f>IFERROR(VLOOKUP(DATE($K$1,$K$2,AIU$4),Table1[],(MATCH(Calendar!$A19,DB!$1:$1,0)),FALSE),"")</f>
        <v/>
      </c>
      <c r="AIV19" s="28" t="str">
        <f>IFERROR(VLOOKUP(DATE($K$1,$K$2,AIV$4),Table1[],(MATCH(Calendar!$A19,DB!$1:$1,0)),FALSE),"")</f>
        <v/>
      </c>
      <c r="AIW19" s="28" t="str">
        <f>IFERROR(VLOOKUP(DATE($K$1,$K$2,AIW$4),Table1[],(MATCH(Calendar!$A19,DB!$1:$1,0)),FALSE),"")</f>
        <v/>
      </c>
      <c r="AIX19" s="28" t="str">
        <f>IFERROR(VLOOKUP(DATE($K$1,$K$2,AIX$4),Table1[],(MATCH(Calendar!$A19,DB!$1:$1,0)),FALSE),"")</f>
        <v/>
      </c>
      <c r="AIY19" s="28" t="str">
        <f>IFERROR(VLOOKUP(DATE($K$1,$K$2,AIY$4),Table1[],(MATCH(Calendar!$A19,DB!$1:$1,0)),FALSE),"")</f>
        <v/>
      </c>
      <c r="AIZ19" s="28" t="str">
        <f>IFERROR(VLOOKUP(DATE($K$1,$K$2,AIZ$4),Table1[],(MATCH(Calendar!$A19,DB!$1:$1,0)),FALSE),"")</f>
        <v/>
      </c>
      <c r="AJA19" s="28" t="str">
        <f>IFERROR(VLOOKUP(DATE($K$1,$K$2,AJA$4),Table1[],(MATCH(Calendar!$A19,DB!$1:$1,0)),FALSE),"")</f>
        <v/>
      </c>
      <c r="AJB19" s="28" t="str">
        <f>IFERROR(VLOOKUP(DATE($K$1,$K$2,AJB$4),Table1[],(MATCH(Calendar!$A19,DB!$1:$1,0)),FALSE),"")</f>
        <v/>
      </c>
      <c r="AJC19" s="28" t="str">
        <f>IFERROR(VLOOKUP(DATE($K$1,$K$2,AJC$4),Table1[],(MATCH(Calendar!$A19,DB!$1:$1,0)),FALSE),"")</f>
        <v/>
      </c>
      <c r="AJD19" s="28" t="str">
        <f>IFERROR(VLOOKUP(DATE($K$1,$K$2,AJD$4),Table1[],(MATCH(Calendar!$A19,DB!$1:$1,0)),FALSE),"")</f>
        <v/>
      </c>
      <c r="AJE19" s="28" t="str">
        <f>IFERROR(VLOOKUP(DATE($K$1,$K$2,AJE$4),Table1[],(MATCH(Calendar!$A19,DB!$1:$1,0)),FALSE),"")</f>
        <v/>
      </c>
      <c r="AJF19" s="28" t="str">
        <f>IFERROR(VLOOKUP(DATE($K$1,$K$2,AJF$4),Table1[],(MATCH(Calendar!$A19,DB!$1:$1,0)),FALSE),"")</f>
        <v/>
      </c>
      <c r="AJG19" s="28" t="str">
        <f>IFERROR(VLOOKUP(DATE($K$1,$K$2,AJG$4),Table1[],(MATCH(Calendar!$A19,DB!$1:$1,0)),FALSE),"")</f>
        <v/>
      </c>
      <c r="AJH19" s="28" t="str">
        <f>IFERROR(VLOOKUP(DATE($K$1,$K$2,AJH$4),Table1[],(MATCH(Calendar!$A19,DB!$1:$1,0)),FALSE),"")</f>
        <v/>
      </c>
      <c r="AJI19" s="28" t="str">
        <f>IFERROR(VLOOKUP(DATE($K$1,$K$2,AJI$4),Table1[],(MATCH(Calendar!$A19,DB!$1:$1,0)),FALSE),"")</f>
        <v/>
      </c>
      <c r="AJJ19" s="28" t="str">
        <f>IFERROR(VLOOKUP(DATE($K$1,$K$2,AJJ$4),Table1[],(MATCH(Calendar!$A19,DB!$1:$1,0)),FALSE),"")</f>
        <v/>
      </c>
      <c r="AJK19" s="28" t="str">
        <f>IFERROR(VLOOKUP(DATE($K$1,$K$2,AJK$4),Table1[],(MATCH(Calendar!$A19,DB!$1:$1,0)),FALSE),"")</f>
        <v/>
      </c>
      <c r="AJL19" s="28" t="str">
        <f>IFERROR(VLOOKUP(DATE($K$1,$K$2,AJL$4),Table1[],(MATCH(Calendar!$A19,DB!$1:$1,0)),FALSE),"")</f>
        <v/>
      </c>
      <c r="AJM19" s="28" t="str">
        <f>IFERROR(VLOOKUP(DATE($K$1,$K$2,AJM$4),Table1[],(MATCH(Calendar!$A19,DB!$1:$1,0)),FALSE),"")</f>
        <v/>
      </c>
      <c r="AJN19" s="28" t="str">
        <f>IFERROR(VLOOKUP(DATE($K$1,$K$2,AJN$4),Table1[],(MATCH(Calendar!$A19,DB!$1:$1,0)),FALSE),"")</f>
        <v/>
      </c>
      <c r="AJO19" s="28" t="str">
        <f>IFERROR(VLOOKUP(DATE($K$1,$K$2,AJO$4),Table1[],(MATCH(Calendar!$A19,DB!$1:$1,0)),FALSE),"")</f>
        <v/>
      </c>
      <c r="AJP19" s="28" t="str">
        <f>IFERROR(VLOOKUP(DATE($K$1,$K$2,AJP$4),Table1[],(MATCH(Calendar!$A19,DB!$1:$1,0)),FALSE),"")</f>
        <v/>
      </c>
      <c r="AJQ19" s="28" t="str">
        <f>IFERROR(VLOOKUP(DATE($K$1,$K$2,AJQ$4),Table1[],(MATCH(Calendar!$A19,DB!$1:$1,0)),FALSE),"")</f>
        <v/>
      </c>
      <c r="AJR19" s="28" t="str">
        <f>IFERROR(VLOOKUP(DATE($K$1,$K$2,AJR$4),Table1[],(MATCH(Calendar!$A19,DB!$1:$1,0)),FALSE),"")</f>
        <v/>
      </c>
      <c r="AJS19" s="28" t="str">
        <f>IFERROR(VLOOKUP(DATE($K$1,$K$2,AJS$4),Table1[],(MATCH(Calendar!$A19,DB!$1:$1,0)),FALSE),"")</f>
        <v/>
      </c>
      <c r="AJT19" s="28" t="str">
        <f>IFERROR(VLOOKUP(DATE($K$1,$K$2,AJT$4),Table1[],(MATCH(Calendar!$A19,DB!$1:$1,0)),FALSE),"")</f>
        <v/>
      </c>
      <c r="AJU19" s="28" t="str">
        <f>IFERROR(VLOOKUP(DATE($K$1,$K$2,AJU$4),Table1[],(MATCH(Calendar!$A19,DB!$1:$1,0)),FALSE),"")</f>
        <v/>
      </c>
      <c r="AJV19" s="28" t="str">
        <f>IFERROR(VLOOKUP(DATE($K$1,$K$2,AJV$4),Table1[],(MATCH(Calendar!$A19,DB!$1:$1,0)),FALSE),"")</f>
        <v/>
      </c>
      <c r="AJW19" s="28" t="str">
        <f>IFERROR(VLOOKUP(DATE($K$1,$K$2,AJW$4),Table1[],(MATCH(Calendar!$A19,DB!$1:$1,0)),FALSE),"")</f>
        <v/>
      </c>
      <c r="AJX19" s="28" t="str">
        <f>IFERROR(VLOOKUP(DATE($K$1,$K$2,AJX$4),Table1[],(MATCH(Calendar!$A19,DB!$1:$1,0)),FALSE),"")</f>
        <v/>
      </c>
      <c r="AJY19" s="28" t="str">
        <f>IFERROR(VLOOKUP(DATE($K$1,$K$2,AJY$4),Table1[],(MATCH(Calendar!$A19,DB!$1:$1,0)),FALSE),"")</f>
        <v/>
      </c>
      <c r="AJZ19" s="28" t="str">
        <f>IFERROR(VLOOKUP(DATE($K$1,$K$2,AJZ$4),Table1[],(MATCH(Calendar!$A19,DB!$1:$1,0)),FALSE),"")</f>
        <v/>
      </c>
      <c r="AKA19" s="28" t="str">
        <f>IFERROR(VLOOKUP(DATE($K$1,$K$2,AKA$4),Table1[],(MATCH(Calendar!$A19,DB!$1:$1,0)),FALSE),"")</f>
        <v/>
      </c>
      <c r="AKB19" s="28" t="str">
        <f>IFERROR(VLOOKUP(DATE($K$1,$K$2,AKB$4),Table1[],(MATCH(Calendar!$A19,DB!$1:$1,0)),FALSE),"")</f>
        <v/>
      </c>
      <c r="AKC19" s="28" t="str">
        <f>IFERROR(VLOOKUP(DATE($K$1,$K$2,AKC$4),Table1[],(MATCH(Calendar!$A19,DB!$1:$1,0)),FALSE),"")</f>
        <v/>
      </c>
      <c r="AKD19" s="28" t="str">
        <f>IFERROR(VLOOKUP(DATE($K$1,$K$2,AKD$4),Table1[],(MATCH(Calendar!$A19,DB!$1:$1,0)),FALSE),"")</f>
        <v/>
      </c>
      <c r="AKE19" s="28" t="str">
        <f>IFERROR(VLOOKUP(DATE($K$1,$K$2,AKE$4),Table1[],(MATCH(Calendar!$A19,DB!$1:$1,0)),FALSE),"")</f>
        <v/>
      </c>
      <c r="AKF19" s="28" t="str">
        <f>IFERROR(VLOOKUP(DATE($K$1,$K$2,AKF$4),Table1[],(MATCH(Calendar!$A19,DB!$1:$1,0)),FALSE),"")</f>
        <v/>
      </c>
      <c r="AKG19" s="28" t="str">
        <f>IFERROR(VLOOKUP(DATE($K$1,$K$2,AKG$4),Table1[],(MATCH(Calendar!$A19,DB!$1:$1,0)),FALSE),"")</f>
        <v/>
      </c>
      <c r="AKH19" s="28" t="str">
        <f>IFERROR(VLOOKUP(DATE($K$1,$K$2,AKH$4),Table1[],(MATCH(Calendar!$A19,DB!$1:$1,0)),FALSE),"")</f>
        <v/>
      </c>
      <c r="AKI19" s="28" t="str">
        <f>IFERROR(VLOOKUP(DATE($K$1,$K$2,AKI$4),Table1[],(MATCH(Calendar!$A19,DB!$1:$1,0)),FALSE),"")</f>
        <v/>
      </c>
      <c r="AKJ19" s="28" t="str">
        <f>IFERROR(VLOOKUP(DATE($K$1,$K$2,AKJ$4),Table1[],(MATCH(Calendar!$A19,DB!$1:$1,0)),FALSE),"")</f>
        <v/>
      </c>
      <c r="AKK19" s="28" t="str">
        <f>IFERROR(VLOOKUP(DATE($K$1,$K$2,AKK$4),Table1[],(MATCH(Calendar!$A19,DB!$1:$1,0)),FALSE),"")</f>
        <v/>
      </c>
      <c r="AKL19" s="28" t="str">
        <f>IFERROR(VLOOKUP(DATE($K$1,$K$2,AKL$4),Table1[],(MATCH(Calendar!$A19,DB!$1:$1,0)),FALSE),"")</f>
        <v/>
      </c>
      <c r="AKM19" s="28" t="str">
        <f>IFERROR(VLOOKUP(DATE($K$1,$K$2,AKM$4),Table1[],(MATCH(Calendar!$A19,DB!$1:$1,0)),FALSE),"")</f>
        <v/>
      </c>
      <c r="AKN19" s="28" t="str">
        <f>IFERROR(VLOOKUP(DATE($K$1,$K$2,AKN$4),Table1[],(MATCH(Calendar!$A19,DB!$1:$1,0)),FALSE),"")</f>
        <v/>
      </c>
      <c r="AKO19" s="28" t="str">
        <f>IFERROR(VLOOKUP(DATE($K$1,$K$2,AKO$4),Table1[],(MATCH(Calendar!$A19,DB!$1:$1,0)),FALSE),"")</f>
        <v/>
      </c>
      <c r="AKP19" s="28" t="str">
        <f>IFERROR(VLOOKUP(DATE($K$1,$K$2,AKP$4),Table1[],(MATCH(Calendar!$A19,DB!$1:$1,0)),FALSE),"")</f>
        <v/>
      </c>
      <c r="AKQ19" s="28" t="str">
        <f>IFERROR(VLOOKUP(DATE($K$1,$K$2,AKQ$4),Table1[],(MATCH(Calendar!$A19,DB!$1:$1,0)),FALSE),"")</f>
        <v/>
      </c>
      <c r="AKR19" s="28" t="str">
        <f>IFERROR(VLOOKUP(DATE($K$1,$K$2,AKR$4),Table1[],(MATCH(Calendar!$A19,DB!$1:$1,0)),FALSE),"")</f>
        <v/>
      </c>
      <c r="AKS19" s="28" t="str">
        <f>IFERROR(VLOOKUP(DATE($K$1,$K$2,AKS$4),Table1[],(MATCH(Calendar!$A19,DB!$1:$1,0)),FALSE),"")</f>
        <v/>
      </c>
      <c r="AKT19" s="28" t="str">
        <f>IFERROR(VLOOKUP(DATE($K$1,$K$2,AKT$4),Table1[],(MATCH(Calendar!$A19,DB!$1:$1,0)),FALSE),"")</f>
        <v/>
      </c>
      <c r="AKU19" s="28" t="str">
        <f>IFERROR(VLOOKUP(DATE($K$1,$K$2,AKU$4),Table1[],(MATCH(Calendar!$A19,DB!$1:$1,0)),FALSE),"")</f>
        <v/>
      </c>
      <c r="AKV19" s="28" t="str">
        <f>IFERROR(VLOOKUP(DATE($K$1,$K$2,AKV$4),Table1[],(MATCH(Calendar!$A19,DB!$1:$1,0)),FALSE),"")</f>
        <v/>
      </c>
      <c r="AKW19" s="28" t="str">
        <f>IFERROR(VLOOKUP(DATE($K$1,$K$2,AKW$4),Table1[],(MATCH(Calendar!$A19,DB!$1:$1,0)),FALSE),"")</f>
        <v/>
      </c>
      <c r="AKX19" s="28" t="str">
        <f>IFERROR(VLOOKUP(DATE($K$1,$K$2,AKX$4),Table1[],(MATCH(Calendar!$A19,DB!$1:$1,0)),FALSE),"")</f>
        <v/>
      </c>
      <c r="AKY19" s="28" t="str">
        <f>IFERROR(VLOOKUP(DATE($K$1,$K$2,AKY$4),Table1[],(MATCH(Calendar!$A19,DB!$1:$1,0)),FALSE),"")</f>
        <v/>
      </c>
      <c r="AKZ19" s="28" t="str">
        <f>IFERROR(VLOOKUP(DATE($K$1,$K$2,AKZ$4),Table1[],(MATCH(Calendar!$A19,DB!$1:$1,0)),FALSE),"")</f>
        <v/>
      </c>
      <c r="ALA19" s="28" t="str">
        <f>IFERROR(VLOOKUP(DATE($K$1,$K$2,ALA$4),Table1[],(MATCH(Calendar!$A19,DB!$1:$1,0)),FALSE),"")</f>
        <v/>
      </c>
      <c r="ALB19" s="28" t="str">
        <f>IFERROR(VLOOKUP(DATE($K$1,$K$2,ALB$4),Table1[],(MATCH(Calendar!$A19,DB!$1:$1,0)),FALSE),"")</f>
        <v/>
      </c>
      <c r="ALC19" s="28" t="str">
        <f>IFERROR(VLOOKUP(DATE($K$1,$K$2,ALC$4),Table1[],(MATCH(Calendar!$A19,DB!$1:$1,0)),FALSE),"")</f>
        <v/>
      </c>
      <c r="ALD19" s="28" t="str">
        <f>IFERROR(VLOOKUP(DATE($K$1,$K$2,ALD$4),Table1[],(MATCH(Calendar!$A19,DB!$1:$1,0)),FALSE),"")</f>
        <v/>
      </c>
      <c r="ALE19" s="28" t="str">
        <f>IFERROR(VLOOKUP(DATE($K$1,$K$2,ALE$4),Table1[],(MATCH(Calendar!$A19,DB!$1:$1,0)),FALSE),"")</f>
        <v/>
      </c>
      <c r="ALF19" s="28" t="str">
        <f>IFERROR(VLOOKUP(DATE($K$1,$K$2,ALF$4),Table1[],(MATCH(Calendar!$A19,DB!$1:$1,0)),FALSE),"")</f>
        <v/>
      </c>
      <c r="ALG19" s="28" t="str">
        <f>IFERROR(VLOOKUP(DATE($K$1,$K$2,ALG$4),Table1[],(MATCH(Calendar!$A19,DB!$1:$1,0)),FALSE),"")</f>
        <v/>
      </c>
      <c r="ALH19" s="28" t="str">
        <f>IFERROR(VLOOKUP(DATE($K$1,$K$2,ALH$4),Table1[],(MATCH(Calendar!$A19,DB!$1:$1,0)),FALSE),"")</f>
        <v/>
      </c>
      <c r="ALI19" s="28" t="str">
        <f>IFERROR(VLOOKUP(DATE($K$1,$K$2,ALI$4),Table1[],(MATCH(Calendar!$A19,DB!$1:$1,0)),FALSE),"")</f>
        <v/>
      </c>
      <c r="ALJ19" s="28" t="str">
        <f>IFERROR(VLOOKUP(DATE($K$1,$K$2,ALJ$4),Table1[],(MATCH(Calendar!$A19,DB!$1:$1,0)),FALSE),"")</f>
        <v/>
      </c>
      <c r="ALK19" s="28" t="str">
        <f>IFERROR(VLOOKUP(DATE($K$1,$K$2,ALK$4),Table1[],(MATCH(Calendar!$A19,DB!$1:$1,0)),FALSE),"")</f>
        <v/>
      </c>
      <c r="ALL19" s="28" t="str">
        <f>IFERROR(VLOOKUP(DATE($K$1,$K$2,ALL$4),Table1[],(MATCH(Calendar!$A19,DB!$1:$1,0)),FALSE),"")</f>
        <v/>
      </c>
      <c r="ALM19" s="28" t="str">
        <f>IFERROR(VLOOKUP(DATE($K$1,$K$2,ALM$4),Table1[],(MATCH(Calendar!$A19,DB!$1:$1,0)),FALSE),"")</f>
        <v/>
      </c>
      <c r="ALN19" s="28" t="str">
        <f>IFERROR(VLOOKUP(DATE($K$1,$K$2,ALN$4),Table1[],(MATCH(Calendar!$A19,DB!$1:$1,0)),FALSE),"")</f>
        <v/>
      </c>
      <c r="ALO19" s="28" t="str">
        <f>IFERROR(VLOOKUP(DATE($K$1,$K$2,ALO$4),Table1[],(MATCH(Calendar!$A19,DB!$1:$1,0)),FALSE),"")</f>
        <v/>
      </c>
      <c r="ALP19" s="28" t="str">
        <f>IFERROR(VLOOKUP(DATE($K$1,$K$2,ALP$4),Table1[],(MATCH(Calendar!$A19,DB!$1:$1,0)),FALSE),"")</f>
        <v/>
      </c>
      <c r="ALQ19" s="28" t="str">
        <f>IFERROR(VLOOKUP(DATE($K$1,$K$2,ALQ$4),Table1[],(MATCH(Calendar!$A19,DB!$1:$1,0)),FALSE),"")</f>
        <v/>
      </c>
      <c r="ALR19" s="28" t="str">
        <f>IFERROR(VLOOKUP(DATE($K$1,$K$2,ALR$4),Table1[],(MATCH(Calendar!$A19,DB!$1:$1,0)),FALSE),"")</f>
        <v/>
      </c>
      <c r="ALS19" s="28" t="str">
        <f>IFERROR(VLOOKUP(DATE($K$1,$K$2,ALS$4),Table1[],(MATCH(Calendar!$A19,DB!$1:$1,0)),FALSE),"")</f>
        <v/>
      </c>
      <c r="ALT19" s="28" t="str">
        <f>IFERROR(VLOOKUP(DATE($K$1,$K$2,ALT$4),Table1[],(MATCH(Calendar!$A19,DB!$1:$1,0)),FALSE),"")</f>
        <v/>
      </c>
      <c r="ALU19" s="28" t="str">
        <f>IFERROR(VLOOKUP(DATE($K$1,$K$2,ALU$4),Table1[],(MATCH(Calendar!$A19,DB!$1:$1,0)),FALSE),"")</f>
        <v/>
      </c>
      <c r="ALV19" s="28" t="str">
        <f>IFERROR(VLOOKUP(DATE($K$1,$K$2,ALV$4),Table1[],(MATCH(Calendar!$A19,DB!$1:$1,0)),FALSE),"")</f>
        <v/>
      </c>
      <c r="ALW19" s="28" t="str">
        <f>IFERROR(VLOOKUP(DATE($K$1,$K$2,ALW$4),Table1[],(MATCH(Calendar!$A19,DB!$1:$1,0)),FALSE),"")</f>
        <v/>
      </c>
      <c r="ALX19" s="28" t="str">
        <f>IFERROR(VLOOKUP(DATE($K$1,$K$2,ALX$4),Table1[],(MATCH(Calendar!$A19,DB!$1:$1,0)),FALSE),"")</f>
        <v/>
      </c>
      <c r="ALY19" s="28" t="str">
        <f>IFERROR(VLOOKUP(DATE($K$1,$K$2,ALY$4),Table1[],(MATCH(Calendar!$A19,DB!$1:$1,0)),FALSE),"")</f>
        <v/>
      </c>
      <c r="ALZ19" s="28" t="str">
        <f>IFERROR(VLOOKUP(DATE($K$1,$K$2,ALZ$4),Table1[],(MATCH(Calendar!$A19,DB!$1:$1,0)),FALSE),"")</f>
        <v/>
      </c>
      <c r="AMA19" s="28" t="str">
        <f>IFERROR(VLOOKUP(DATE($K$1,$K$2,AMA$4),Table1[],(MATCH(Calendar!$A19,DB!$1:$1,0)),FALSE),"")</f>
        <v/>
      </c>
      <c r="AMB19" s="28" t="str">
        <f>IFERROR(VLOOKUP(DATE($K$1,$K$2,AMB$4),Table1[],(MATCH(Calendar!$A19,DB!$1:$1,0)),FALSE),"")</f>
        <v/>
      </c>
      <c r="AMC19" s="28" t="str">
        <f>IFERROR(VLOOKUP(DATE($K$1,$K$2,AMC$4),Table1[],(MATCH(Calendar!$A19,DB!$1:$1,0)),FALSE),"")</f>
        <v/>
      </c>
      <c r="AMD19" s="28" t="str">
        <f>IFERROR(VLOOKUP(DATE($K$1,$K$2,AMD$4),Table1[],(MATCH(Calendar!$A19,DB!$1:$1,0)),FALSE),"")</f>
        <v/>
      </c>
      <c r="AME19" s="28" t="str">
        <f>IFERROR(VLOOKUP(DATE($K$1,$K$2,AME$4),Table1[],(MATCH(Calendar!$A19,DB!$1:$1,0)),FALSE),"")</f>
        <v/>
      </c>
      <c r="AMF19" s="28" t="str">
        <f>IFERROR(VLOOKUP(DATE($K$1,$K$2,AMF$4),Table1[],(MATCH(Calendar!$A19,DB!$1:$1,0)),FALSE),"")</f>
        <v/>
      </c>
      <c r="AMG19" s="28" t="str">
        <f>IFERROR(VLOOKUP(DATE($K$1,$K$2,AMG$4),Table1[],(MATCH(Calendar!$A19,DB!$1:$1,0)),FALSE),"")</f>
        <v/>
      </c>
      <c r="AMH19" s="28" t="str">
        <f>IFERROR(VLOOKUP(DATE($K$1,$K$2,AMH$4),Table1[],(MATCH(Calendar!$A19,DB!$1:$1,0)),FALSE),"")</f>
        <v/>
      </c>
      <c r="AMI19" s="28" t="str">
        <f>IFERROR(VLOOKUP(DATE($K$1,$K$2,AMI$4),Table1[],(MATCH(Calendar!$A19,DB!$1:$1,0)),FALSE),"")</f>
        <v/>
      </c>
      <c r="AMJ19" s="28" t="str">
        <f>IFERROR(VLOOKUP(DATE($K$1,$K$2,AMJ$4),Table1[],(MATCH(Calendar!$A19,DB!$1:$1,0)),FALSE),"")</f>
        <v/>
      </c>
      <c r="AMK19" s="28" t="str">
        <f>IFERROR(VLOOKUP(DATE($K$1,$K$2,AMK$4),Table1[],(MATCH(Calendar!$A19,DB!$1:$1,0)),FALSE),"")</f>
        <v/>
      </c>
      <c r="AML19" s="28" t="str">
        <f>IFERROR(VLOOKUP(DATE($K$1,$K$2,AML$4),Table1[],(MATCH(Calendar!$A19,DB!$1:$1,0)),FALSE),"")</f>
        <v/>
      </c>
      <c r="AMM19" s="28" t="str">
        <f>IFERROR(VLOOKUP(DATE($K$1,$K$2,AMM$4),Table1[],(MATCH(Calendar!$A19,DB!$1:$1,0)),FALSE),"")</f>
        <v/>
      </c>
      <c r="AMN19" s="28" t="str">
        <f>IFERROR(VLOOKUP(DATE($K$1,$K$2,AMN$4),Table1[],(MATCH(Calendar!$A19,DB!$1:$1,0)),FALSE),"")</f>
        <v/>
      </c>
      <c r="AMO19" s="28" t="str">
        <f>IFERROR(VLOOKUP(DATE($K$1,$K$2,AMO$4),Table1[],(MATCH(Calendar!$A19,DB!$1:$1,0)),FALSE),"")</f>
        <v/>
      </c>
      <c r="AMP19" s="28" t="str">
        <f>IFERROR(VLOOKUP(DATE($K$1,$K$2,AMP$4),Table1[],(MATCH(Calendar!$A19,DB!$1:$1,0)),FALSE),"")</f>
        <v/>
      </c>
      <c r="AMQ19" s="28" t="str">
        <f>IFERROR(VLOOKUP(DATE($K$1,$K$2,AMQ$4),Table1[],(MATCH(Calendar!$A19,DB!$1:$1,0)),FALSE),"")</f>
        <v/>
      </c>
      <c r="AMR19" s="28" t="str">
        <f>IFERROR(VLOOKUP(DATE($K$1,$K$2,AMR$4),Table1[],(MATCH(Calendar!$A19,DB!$1:$1,0)),FALSE),"")</f>
        <v/>
      </c>
      <c r="AMS19" s="28" t="str">
        <f>IFERROR(VLOOKUP(DATE($K$1,$K$2,AMS$4),Table1[],(MATCH(Calendar!$A19,DB!$1:$1,0)),FALSE),"")</f>
        <v/>
      </c>
      <c r="AMT19" s="28" t="str">
        <f>IFERROR(VLOOKUP(DATE($K$1,$K$2,AMT$4),Table1[],(MATCH(Calendar!$A19,DB!$1:$1,0)),FALSE),"")</f>
        <v/>
      </c>
      <c r="AMU19" s="28" t="str">
        <f>IFERROR(VLOOKUP(DATE($K$1,$K$2,AMU$4),Table1[],(MATCH(Calendar!$A19,DB!$1:$1,0)),FALSE),"")</f>
        <v/>
      </c>
      <c r="AMV19" s="28" t="str">
        <f>IFERROR(VLOOKUP(DATE($K$1,$K$2,AMV$4),Table1[],(MATCH(Calendar!$A19,DB!$1:$1,0)),FALSE),"")</f>
        <v/>
      </c>
      <c r="AMW19" s="28" t="str">
        <f>IFERROR(VLOOKUP(DATE($K$1,$K$2,AMW$4),Table1[],(MATCH(Calendar!$A19,DB!$1:$1,0)),FALSE),"")</f>
        <v/>
      </c>
      <c r="AMX19" s="28" t="str">
        <f>IFERROR(VLOOKUP(DATE($K$1,$K$2,AMX$4),Table1[],(MATCH(Calendar!$A19,DB!$1:$1,0)),FALSE),"")</f>
        <v/>
      </c>
      <c r="AMY19" s="28" t="str">
        <f>IFERROR(VLOOKUP(DATE($K$1,$K$2,AMY$4),Table1[],(MATCH(Calendar!$A19,DB!$1:$1,0)),FALSE),"")</f>
        <v/>
      </c>
      <c r="AMZ19" s="28" t="str">
        <f>IFERROR(VLOOKUP(DATE($K$1,$K$2,AMZ$4),Table1[],(MATCH(Calendar!$A19,DB!$1:$1,0)),FALSE),"")</f>
        <v/>
      </c>
      <c r="ANA19" s="28" t="str">
        <f>IFERROR(VLOOKUP(DATE($K$1,$K$2,ANA$4),Table1[],(MATCH(Calendar!$A19,DB!$1:$1,0)),FALSE),"")</f>
        <v/>
      </c>
      <c r="ANB19" s="28" t="str">
        <f>IFERROR(VLOOKUP(DATE($K$1,$K$2,ANB$4),Table1[],(MATCH(Calendar!$A19,DB!$1:$1,0)),FALSE),"")</f>
        <v/>
      </c>
      <c r="ANC19" s="28" t="str">
        <f>IFERROR(VLOOKUP(DATE($K$1,$K$2,ANC$4),Table1[],(MATCH(Calendar!$A19,DB!$1:$1,0)),FALSE),"")</f>
        <v/>
      </c>
      <c r="AND19" s="28" t="str">
        <f>IFERROR(VLOOKUP(DATE($K$1,$K$2,AND$4),Table1[],(MATCH(Calendar!$A19,DB!$1:$1,0)),FALSE),"")</f>
        <v/>
      </c>
      <c r="ANE19" s="28" t="str">
        <f>IFERROR(VLOOKUP(DATE($K$1,$K$2,ANE$4),Table1[],(MATCH(Calendar!$A19,DB!$1:$1,0)),FALSE),"")</f>
        <v/>
      </c>
      <c r="ANF19" s="28" t="str">
        <f>IFERROR(VLOOKUP(DATE($K$1,$K$2,ANF$4),Table1[],(MATCH(Calendar!$A19,DB!$1:$1,0)),FALSE),"")</f>
        <v/>
      </c>
      <c r="ANG19" s="28" t="str">
        <f>IFERROR(VLOOKUP(DATE($K$1,$K$2,ANG$4),Table1[],(MATCH(Calendar!$A19,DB!$1:$1,0)),FALSE),"")</f>
        <v/>
      </c>
      <c r="ANH19" s="28" t="str">
        <f>IFERROR(VLOOKUP(DATE($K$1,$K$2,ANH$4),Table1[],(MATCH(Calendar!$A19,DB!$1:$1,0)),FALSE),"")</f>
        <v/>
      </c>
      <c r="ANI19" s="28" t="str">
        <f>IFERROR(VLOOKUP(DATE($K$1,$K$2,ANI$4),Table1[],(MATCH(Calendar!$A19,DB!$1:$1,0)),FALSE),"")</f>
        <v/>
      </c>
      <c r="ANJ19" s="28" t="str">
        <f>IFERROR(VLOOKUP(DATE($K$1,$K$2,ANJ$4),Table1[],(MATCH(Calendar!$A19,DB!$1:$1,0)),FALSE),"")</f>
        <v/>
      </c>
      <c r="ANK19" s="28" t="str">
        <f>IFERROR(VLOOKUP(DATE($K$1,$K$2,ANK$4),Table1[],(MATCH(Calendar!$A19,DB!$1:$1,0)),FALSE),"")</f>
        <v/>
      </c>
      <c r="ANL19" s="28" t="str">
        <f>IFERROR(VLOOKUP(DATE($K$1,$K$2,ANL$4),Table1[],(MATCH(Calendar!$A19,DB!$1:$1,0)),FALSE),"")</f>
        <v/>
      </c>
      <c r="ANM19" s="28" t="str">
        <f>IFERROR(VLOOKUP(DATE($K$1,$K$2,ANM$4),Table1[],(MATCH(Calendar!$A19,DB!$1:$1,0)),FALSE),"")</f>
        <v/>
      </c>
      <c r="ANN19" s="28" t="str">
        <f>IFERROR(VLOOKUP(DATE($K$1,$K$2,ANN$4),Table1[],(MATCH(Calendar!$A19,DB!$1:$1,0)),FALSE),"")</f>
        <v/>
      </c>
      <c r="ANO19" s="28" t="str">
        <f>IFERROR(VLOOKUP(DATE($K$1,$K$2,ANO$4),Table1[],(MATCH(Calendar!$A19,DB!$1:$1,0)),FALSE),"")</f>
        <v/>
      </c>
      <c r="ANP19" s="28" t="str">
        <f>IFERROR(VLOOKUP(DATE($K$1,$K$2,ANP$4),Table1[],(MATCH(Calendar!$A19,DB!$1:$1,0)),FALSE),"")</f>
        <v/>
      </c>
      <c r="ANQ19" s="28" t="str">
        <f>IFERROR(VLOOKUP(DATE($K$1,$K$2,ANQ$4),Table1[],(MATCH(Calendar!$A19,DB!$1:$1,0)),FALSE),"")</f>
        <v/>
      </c>
      <c r="ANR19" s="28" t="str">
        <f>IFERROR(VLOOKUP(DATE($K$1,$K$2,ANR$4),Table1[],(MATCH(Calendar!$A19,DB!$1:$1,0)),FALSE),"")</f>
        <v/>
      </c>
      <c r="ANS19" s="28" t="str">
        <f>IFERROR(VLOOKUP(DATE($K$1,$K$2,ANS$4),Table1[],(MATCH(Calendar!$A19,DB!$1:$1,0)),FALSE),"")</f>
        <v/>
      </c>
      <c r="ANT19" s="28" t="str">
        <f>IFERROR(VLOOKUP(DATE($K$1,$K$2,ANT$4),Table1[],(MATCH(Calendar!$A19,DB!$1:$1,0)),FALSE),"")</f>
        <v/>
      </c>
      <c r="ANU19" s="28" t="str">
        <f>IFERROR(VLOOKUP(DATE($K$1,$K$2,ANU$4),Table1[],(MATCH(Calendar!$A19,DB!$1:$1,0)),FALSE),"")</f>
        <v/>
      </c>
      <c r="ANV19" s="28" t="str">
        <f>IFERROR(VLOOKUP(DATE($K$1,$K$2,ANV$4),Table1[],(MATCH(Calendar!$A19,DB!$1:$1,0)),FALSE),"")</f>
        <v/>
      </c>
      <c r="ANW19" s="28" t="str">
        <f>IFERROR(VLOOKUP(DATE($K$1,$K$2,ANW$4),Table1[],(MATCH(Calendar!$A19,DB!$1:$1,0)),FALSE),"")</f>
        <v/>
      </c>
      <c r="ANX19" s="28" t="str">
        <f>IFERROR(VLOOKUP(DATE($K$1,$K$2,ANX$4),Table1[],(MATCH(Calendar!$A19,DB!$1:$1,0)),FALSE),"")</f>
        <v/>
      </c>
      <c r="ANY19" s="28" t="str">
        <f>IFERROR(VLOOKUP(DATE($K$1,$K$2,ANY$4),Table1[],(MATCH(Calendar!$A19,DB!$1:$1,0)),FALSE),"")</f>
        <v/>
      </c>
      <c r="ANZ19" s="28" t="str">
        <f>IFERROR(VLOOKUP(DATE($K$1,$K$2,ANZ$4),Table1[],(MATCH(Calendar!$A19,DB!$1:$1,0)),FALSE),"")</f>
        <v/>
      </c>
      <c r="AOA19" s="28" t="str">
        <f>IFERROR(VLOOKUP(DATE($K$1,$K$2,AOA$4),Table1[],(MATCH(Calendar!$A19,DB!$1:$1,0)),FALSE),"")</f>
        <v/>
      </c>
      <c r="AOB19" s="28" t="str">
        <f>IFERROR(VLOOKUP(DATE($K$1,$K$2,AOB$4),Table1[],(MATCH(Calendar!$A19,DB!$1:$1,0)),FALSE),"")</f>
        <v/>
      </c>
      <c r="AOC19" s="28" t="str">
        <f>IFERROR(VLOOKUP(DATE($K$1,$K$2,AOC$4),Table1[],(MATCH(Calendar!$A19,DB!$1:$1,0)),FALSE),"")</f>
        <v/>
      </c>
      <c r="AOD19" s="28" t="str">
        <f>IFERROR(VLOOKUP(DATE($K$1,$K$2,AOD$4),Table1[],(MATCH(Calendar!$A19,DB!$1:$1,0)),FALSE),"")</f>
        <v/>
      </c>
      <c r="AOE19" s="28" t="str">
        <f>IFERROR(VLOOKUP(DATE($K$1,$K$2,AOE$4),Table1[],(MATCH(Calendar!$A19,DB!$1:$1,0)),FALSE),"")</f>
        <v/>
      </c>
      <c r="AOF19" s="28" t="str">
        <f>IFERROR(VLOOKUP(DATE($K$1,$K$2,AOF$4),Table1[],(MATCH(Calendar!$A19,DB!$1:$1,0)),FALSE),"")</f>
        <v/>
      </c>
      <c r="AOG19" s="28" t="str">
        <f>IFERROR(VLOOKUP(DATE($K$1,$K$2,AOG$4),Table1[],(MATCH(Calendar!$A19,DB!$1:$1,0)),FALSE),"")</f>
        <v/>
      </c>
      <c r="AOH19" s="28" t="str">
        <f>IFERROR(VLOOKUP(DATE($K$1,$K$2,AOH$4),Table1[],(MATCH(Calendar!$A19,DB!$1:$1,0)),FALSE),"")</f>
        <v/>
      </c>
      <c r="AOI19" s="28" t="str">
        <f>IFERROR(VLOOKUP(DATE($K$1,$K$2,AOI$4),Table1[],(MATCH(Calendar!$A19,DB!$1:$1,0)),FALSE),"")</f>
        <v/>
      </c>
      <c r="AOJ19" s="28" t="str">
        <f>IFERROR(VLOOKUP(DATE($K$1,$K$2,AOJ$4),Table1[],(MATCH(Calendar!$A19,DB!$1:$1,0)),FALSE),"")</f>
        <v/>
      </c>
      <c r="AOK19" s="28" t="str">
        <f>IFERROR(VLOOKUP(DATE($K$1,$K$2,AOK$4),Table1[],(MATCH(Calendar!$A19,DB!$1:$1,0)),FALSE),"")</f>
        <v/>
      </c>
      <c r="AOL19" s="28" t="str">
        <f>IFERROR(VLOOKUP(DATE($K$1,$K$2,AOL$4),Table1[],(MATCH(Calendar!$A19,DB!$1:$1,0)),FALSE),"")</f>
        <v/>
      </c>
      <c r="AOM19" s="28" t="str">
        <f>IFERROR(VLOOKUP(DATE($K$1,$K$2,AOM$4),Table1[],(MATCH(Calendar!$A19,DB!$1:$1,0)),FALSE),"")</f>
        <v/>
      </c>
      <c r="AON19" s="28" t="str">
        <f>IFERROR(VLOOKUP(DATE($K$1,$K$2,AON$4),Table1[],(MATCH(Calendar!$A19,DB!$1:$1,0)),FALSE),"")</f>
        <v/>
      </c>
      <c r="AOO19" s="28" t="str">
        <f>IFERROR(VLOOKUP(DATE($K$1,$K$2,AOO$4),Table1[],(MATCH(Calendar!$A19,DB!$1:$1,0)),FALSE),"")</f>
        <v/>
      </c>
      <c r="AOP19" s="28" t="str">
        <f>IFERROR(VLOOKUP(DATE($K$1,$K$2,AOP$4),Table1[],(MATCH(Calendar!$A19,DB!$1:$1,0)),FALSE),"")</f>
        <v/>
      </c>
      <c r="AOQ19" s="28" t="str">
        <f>IFERROR(VLOOKUP(DATE($K$1,$K$2,AOQ$4),Table1[],(MATCH(Calendar!$A19,DB!$1:$1,0)),FALSE),"")</f>
        <v/>
      </c>
      <c r="AOR19" s="28" t="str">
        <f>IFERROR(VLOOKUP(DATE($K$1,$K$2,AOR$4),Table1[],(MATCH(Calendar!$A19,DB!$1:$1,0)),FALSE),"")</f>
        <v/>
      </c>
      <c r="AOS19" s="28" t="str">
        <f>IFERROR(VLOOKUP(DATE($K$1,$K$2,AOS$4),Table1[],(MATCH(Calendar!$A19,DB!$1:$1,0)),FALSE),"")</f>
        <v/>
      </c>
      <c r="AOT19" s="28" t="str">
        <f>IFERROR(VLOOKUP(DATE($K$1,$K$2,AOT$4),Table1[],(MATCH(Calendar!$A19,DB!$1:$1,0)),FALSE),"")</f>
        <v/>
      </c>
      <c r="AOU19" s="28" t="str">
        <f>IFERROR(VLOOKUP(DATE($K$1,$K$2,AOU$4),Table1[],(MATCH(Calendar!$A19,DB!$1:$1,0)),FALSE),"")</f>
        <v/>
      </c>
      <c r="AOV19" s="28" t="str">
        <f>IFERROR(VLOOKUP(DATE($K$1,$K$2,AOV$4),Table1[],(MATCH(Calendar!$A19,DB!$1:$1,0)),FALSE),"")</f>
        <v/>
      </c>
      <c r="AOW19" s="28" t="str">
        <f>IFERROR(VLOOKUP(DATE($K$1,$K$2,AOW$4),Table1[],(MATCH(Calendar!$A19,DB!$1:$1,0)),FALSE),"")</f>
        <v/>
      </c>
      <c r="AOX19" s="28" t="str">
        <f>IFERROR(VLOOKUP(DATE($K$1,$K$2,AOX$4),Table1[],(MATCH(Calendar!$A19,DB!$1:$1,0)),FALSE),"")</f>
        <v/>
      </c>
      <c r="AOY19" s="28" t="str">
        <f>IFERROR(VLOOKUP(DATE($K$1,$K$2,AOY$4),Table1[],(MATCH(Calendar!$A19,DB!$1:$1,0)),FALSE),"")</f>
        <v/>
      </c>
      <c r="AOZ19" s="28" t="str">
        <f>IFERROR(VLOOKUP(DATE($K$1,$K$2,AOZ$4),Table1[],(MATCH(Calendar!$A19,DB!$1:$1,0)),FALSE),"")</f>
        <v/>
      </c>
      <c r="APA19" s="28" t="str">
        <f>IFERROR(VLOOKUP(DATE($K$1,$K$2,APA$4),Table1[],(MATCH(Calendar!$A19,DB!$1:$1,0)),FALSE),"")</f>
        <v/>
      </c>
      <c r="APB19" s="28" t="str">
        <f>IFERROR(VLOOKUP(DATE($K$1,$K$2,APB$4),Table1[],(MATCH(Calendar!$A19,DB!$1:$1,0)),FALSE),"")</f>
        <v/>
      </c>
      <c r="APC19" s="28" t="str">
        <f>IFERROR(VLOOKUP(DATE($K$1,$K$2,APC$4),Table1[],(MATCH(Calendar!$A19,DB!$1:$1,0)),FALSE),"")</f>
        <v/>
      </c>
      <c r="APD19" s="28" t="str">
        <f>IFERROR(VLOOKUP(DATE($K$1,$K$2,APD$4),Table1[],(MATCH(Calendar!$A19,DB!$1:$1,0)),FALSE),"")</f>
        <v/>
      </c>
      <c r="APE19" s="28" t="str">
        <f>IFERROR(VLOOKUP(DATE($K$1,$K$2,APE$4),Table1[],(MATCH(Calendar!$A19,DB!$1:$1,0)),FALSE),"")</f>
        <v/>
      </c>
      <c r="APF19" s="28" t="str">
        <f>IFERROR(VLOOKUP(DATE($K$1,$K$2,APF$4),Table1[],(MATCH(Calendar!$A19,DB!$1:$1,0)),FALSE),"")</f>
        <v/>
      </c>
      <c r="APG19" s="28" t="str">
        <f>IFERROR(VLOOKUP(DATE($K$1,$K$2,APG$4),Table1[],(MATCH(Calendar!$A19,DB!$1:$1,0)),FALSE),"")</f>
        <v/>
      </c>
      <c r="APH19" s="28" t="str">
        <f>IFERROR(VLOOKUP(DATE($K$1,$K$2,APH$4),Table1[],(MATCH(Calendar!$A19,DB!$1:$1,0)),FALSE),"")</f>
        <v/>
      </c>
      <c r="API19" s="28" t="str">
        <f>IFERROR(VLOOKUP(DATE($K$1,$K$2,API$4),Table1[],(MATCH(Calendar!$A19,DB!$1:$1,0)),FALSE),"")</f>
        <v/>
      </c>
      <c r="APJ19" s="28" t="str">
        <f>IFERROR(VLOOKUP(DATE($K$1,$K$2,APJ$4),Table1[],(MATCH(Calendar!$A19,DB!$1:$1,0)),FALSE),"")</f>
        <v/>
      </c>
      <c r="APK19" s="28" t="str">
        <f>IFERROR(VLOOKUP(DATE($K$1,$K$2,APK$4),Table1[],(MATCH(Calendar!$A19,DB!$1:$1,0)),FALSE),"")</f>
        <v/>
      </c>
      <c r="APL19" s="28" t="str">
        <f>IFERROR(VLOOKUP(DATE($K$1,$K$2,APL$4),Table1[],(MATCH(Calendar!$A19,DB!$1:$1,0)),FALSE),"")</f>
        <v/>
      </c>
      <c r="APM19" s="28" t="str">
        <f>IFERROR(VLOOKUP(DATE($K$1,$K$2,APM$4),Table1[],(MATCH(Calendar!$A19,DB!$1:$1,0)),FALSE),"")</f>
        <v/>
      </c>
      <c r="APN19" s="28" t="str">
        <f>IFERROR(VLOOKUP(DATE($K$1,$K$2,APN$4),Table1[],(MATCH(Calendar!$A19,DB!$1:$1,0)),FALSE),"")</f>
        <v/>
      </c>
      <c r="APO19" s="28" t="str">
        <f>IFERROR(VLOOKUP(DATE($K$1,$K$2,APO$4),Table1[],(MATCH(Calendar!$A19,DB!$1:$1,0)),FALSE),"")</f>
        <v/>
      </c>
      <c r="APP19" s="28" t="str">
        <f>IFERROR(VLOOKUP(DATE($K$1,$K$2,APP$4),Table1[],(MATCH(Calendar!$A19,DB!$1:$1,0)),FALSE),"")</f>
        <v/>
      </c>
      <c r="APQ19" s="28" t="str">
        <f>IFERROR(VLOOKUP(DATE($K$1,$K$2,APQ$4),Table1[],(MATCH(Calendar!$A19,DB!$1:$1,0)),FALSE),"")</f>
        <v/>
      </c>
      <c r="APR19" s="28" t="str">
        <f>IFERROR(VLOOKUP(DATE($K$1,$K$2,APR$4),Table1[],(MATCH(Calendar!$A19,DB!$1:$1,0)),FALSE),"")</f>
        <v/>
      </c>
      <c r="APS19" s="28" t="str">
        <f>IFERROR(VLOOKUP(DATE($K$1,$K$2,APS$4),Table1[],(MATCH(Calendar!$A19,DB!$1:$1,0)),FALSE),"")</f>
        <v/>
      </c>
      <c r="APT19" s="28" t="str">
        <f>IFERROR(VLOOKUP(DATE($K$1,$K$2,APT$4),Table1[],(MATCH(Calendar!$A19,DB!$1:$1,0)),FALSE),"")</f>
        <v/>
      </c>
      <c r="APU19" s="28" t="str">
        <f>IFERROR(VLOOKUP(DATE($K$1,$K$2,APU$4),Table1[],(MATCH(Calendar!$A19,DB!$1:$1,0)),FALSE),"")</f>
        <v/>
      </c>
      <c r="APV19" s="28" t="str">
        <f>IFERROR(VLOOKUP(DATE($K$1,$K$2,APV$4),Table1[],(MATCH(Calendar!$A19,DB!$1:$1,0)),FALSE),"")</f>
        <v/>
      </c>
      <c r="APW19" s="28" t="str">
        <f>IFERROR(VLOOKUP(DATE($K$1,$K$2,APW$4),Table1[],(MATCH(Calendar!$A19,DB!$1:$1,0)),FALSE),"")</f>
        <v/>
      </c>
      <c r="APX19" s="28" t="str">
        <f>IFERROR(VLOOKUP(DATE($K$1,$K$2,APX$4),Table1[],(MATCH(Calendar!$A19,DB!$1:$1,0)),FALSE),"")</f>
        <v/>
      </c>
      <c r="APY19" s="28" t="str">
        <f>IFERROR(VLOOKUP(DATE($K$1,$K$2,APY$4),Table1[],(MATCH(Calendar!$A19,DB!$1:$1,0)),FALSE),"")</f>
        <v/>
      </c>
      <c r="APZ19" s="28" t="str">
        <f>IFERROR(VLOOKUP(DATE($K$1,$K$2,APZ$4),Table1[],(MATCH(Calendar!$A19,DB!$1:$1,0)),FALSE),"")</f>
        <v/>
      </c>
      <c r="AQA19" s="28" t="str">
        <f>IFERROR(VLOOKUP(DATE($K$1,$K$2,AQA$4),Table1[],(MATCH(Calendar!$A19,DB!$1:$1,0)),FALSE),"")</f>
        <v/>
      </c>
      <c r="AQB19" s="28" t="str">
        <f>IFERROR(VLOOKUP(DATE($K$1,$K$2,AQB$4),Table1[],(MATCH(Calendar!$A19,DB!$1:$1,0)),FALSE),"")</f>
        <v/>
      </c>
      <c r="AQC19" s="28" t="str">
        <f>IFERROR(VLOOKUP(DATE($K$1,$K$2,AQC$4),Table1[],(MATCH(Calendar!$A19,DB!$1:$1,0)),FALSE),"")</f>
        <v/>
      </c>
      <c r="AQD19" s="28" t="str">
        <f>IFERROR(VLOOKUP(DATE($K$1,$K$2,AQD$4),Table1[],(MATCH(Calendar!$A19,DB!$1:$1,0)),FALSE),"")</f>
        <v/>
      </c>
      <c r="AQE19" s="28" t="str">
        <f>IFERROR(VLOOKUP(DATE($K$1,$K$2,AQE$4),Table1[],(MATCH(Calendar!$A19,DB!$1:$1,0)),FALSE),"")</f>
        <v/>
      </c>
      <c r="AQF19" s="28" t="str">
        <f>IFERROR(VLOOKUP(DATE($K$1,$K$2,AQF$4),Table1[],(MATCH(Calendar!$A19,DB!$1:$1,0)),FALSE),"")</f>
        <v/>
      </c>
      <c r="AQG19" s="28" t="str">
        <f>IFERROR(VLOOKUP(DATE($K$1,$K$2,AQG$4),Table1[],(MATCH(Calendar!$A19,DB!$1:$1,0)),FALSE),"")</f>
        <v/>
      </c>
      <c r="AQH19" s="28" t="str">
        <f>IFERROR(VLOOKUP(DATE($K$1,$K$2,AQH$4),Table1[],(MATCH(Calendar!$A19,DB!$1:$1,0)),FALSE),"")</f>
        <v/>
      </c>
      <c r="AQI19" s="28" t="str">
        <f>IFERROR(VLOOKUP(DATE($K$1,$K$2,AQI$4),Table1[],(MATCH(Calendar!$A19,DB!$1:$1,0)),FALSE),"")</f>
        <v/>
      </c>
      <c r="AQJ19" s="28" t="str">
        <f>IFERROR(VLOOKUP(DATE($K$1,$K$2,AQJ$4),Table1[],(MATCH(Calendar!$A19,DB!$1:$1,0)),FALSE),"")</f>
        <v/>
      </c>
      <c r="AQK19" s="28" t="str">
        <f>IFERROR(VLOOKUP(DATE($K$1,$K$2,AQK$4),Table1[],(MATCH(Calendar!$A19,DB!$1:$1,0)),FALSE),"")</f>
        <v/>
      </c>
      <c r="AQL19" s="28" t="str">
        <f>IFERROR(VLOOKUP(DATE($K$1,$K$2,AQL$4),Table1[],(MATCH(Calendar!$A19,DB!$1:$1,0)),FALSE),"")</f>
        <v/>
      </c>
      <c r="AQM19" s="28" t="str">
        <f>IFERROR(VLOOKUP(DATE($K$1,$K$2,AQM$4),Table1[],(MATCH(Calendar!$A19,DB!$1:$1,0)),FALSE),"")</f>
        <v/>
      </c>
      <c r="AQN19" s="28" t="str">
        <f>IFERROR(VLOOKUP(DATE($K$1,$K$2,AQN$4),Table1[],(MATCH(Calendar!$A19,DB!$1:$1,0)),FALSE),"")</f>
        <v/>
      </c>
      <c r="AQO19" s="28" t="str">
        <f>IFERROR(VLOOKUP(DATE($K$1,$K$2,AQO$4),Table1[],(MATCH(Calendar!$A19,DB!$1:$1,0)),FALSE),"")</f>
        <v/>
      </c>
      <c r="AQP19" s="28" t="str">
        <f>IFERROR(VLOOKUP(DATE($K$1,$K$2,AQP$4),Table1[],(MATCH(Calendar!$A19,DB!$1:$1,0)),FALSE),"")</f>
        <v/>
      </c>
      <c r="AQQ19" s="28" t="str">
        <f>IFERROR(VLOOKUP(DATE($K$1,$K$2,AQQ$4),Table1[],(MATCH(Calendar!$A19,DB!$1:$1,0)),FALSE),"")</f>
        <v/>
      </c>
      <c r="AQR19" s="28" t="str">
        <f>IFERROR(VLOOKUP(DATE($K$1,$K$2,AQR$4),Table1[],(MATCH(Calendar!$A19,DB!$1:$1,0)),FALSE),"")</f>
        <v/>
      </c>
      <c r="AQS19" s="28" t="str">
        <f>IFERROR(VLOOKUP(DATE($K$1,$K$2,AQS$4),Table1[],(MATCH(Calendar!$A19,DB!$1:$1,0)),FALSE),"")</f>
        <v/>
      </c>
      <c r="AQT19" s="28" t="str">
        <f>IFERROR(VLOOKUP(DATE($K$1,$K$2,AQT$4),Table1[],(MATCH(Calendar!$A19,DB!$1:$1,0)),FALSE),"")</f>
        <v/>
      </c>
      <c r="AQU19" s="28" t="str">
        <f>IFERROR(VLOOKUP(DATE($K$1,$K$2,AQU$4),Table1[],(MATCH(Calendar!$A19,DB!$1:$1,0)),FALSE),"")</f>
        <v/>
      </c>
      <c r="AQV19" s="28" t="str">
        <f>IFERROR(VLOOKUP(DATE($K$1,$K$2,AQV$4),Table1[],(MATCH(Calendar!$A19,DB!$1:$1,0)),FALSE),"")</f>
        <v/>
      </c>
      <c r="AQW19" s="28" t="str">
        <f>IFERROR(VLOOKUP(DATE($K$1,$K$2,AQW$4),Table1[],(MATCH(Calendar!$A19,DB!$1:$1,0)),FALSE),"")</f>
        <v/>
      </c>
      <c r="AQX19" s="28" t="str">
        <f>IFERROR(VLOOKUP(DATE($K$1,$K$2,AQX$4),Table1[],(MATCH(Calendar!$A19,DB!$1:$1,0)),FALSE),"")</f>
        <v/>
      </c>
      <c r="AQY19" s="28" t="str">
        <f>IFERROR(VLOOKUP(DATE($K$1,$K$2,AQY$4),Table1[],(MATCH(Calendar!$A19,DB!$1:$1,0)),FALSE),"")</f>
        <v/>
      </c>
      <c r="AQZ19" s="28" t="str">
        <f>IFERROR(VLOOKUP(DATE($K$1,$K$2,AQZ$4),Table1[],(MATCH(Calendar!$A19,DB!$1:$1,0)),FALSE),"")</f>
        <v/>
      </c>
      <c r="ARA19" s="28" t="str">
        <f>IFERROR(VLOOKUP(DATE($K$1,$K$2,ARA$4),Table1[],(MATCH(Calendar!$A19,DB!$1:$1,0)),FALSE),"")</f>
        <v/>
      </c>
      <c r="ARB19" s="28" t="str">
        <f>IFERROR(VLOOKUP(DATE($K$1,$K$2,ARB$4),Table1[],(MATCH(Calendar!$A19,DB!$1:$1,0)),FALSE),"")</f>
        <v/>
      </c>
      <c r="ARC19" s="28" t="str">
        <f>IFERROR(VLOOKUP(DATE($K$1,$K$2,ARC$4),Table1[],(MATCH(Calendar!$A19,DB!$1:$1,0)),FALSE),"")</f>
        <v/>
      </c>
      <c r="ARD19" s="28" t="str">
        <f>IFERROR(VLOOKUP(DATE($K$1,$K$2,ARD$4),Table1[],(MATCH(Calendar!$A19,DB!$1:$1,0)),FALSE),"")</f>
        <v/>
      </c>
      <c r="ARE19" s="28" t="str">
        <f>IFERROR(VLOOKUP(DATE($K$1,$K$2,ARE$4),Table1[],(MATCH(Calendar!$A19,DB!$1:$1,0)),FALSE),"")</f>
        <v/>
      </c>
      <c r="ARF19" s="28" t="str">
        <f>IFERROR(VLOOKUP(DATE($K$1,$K$2,ARF$4),Table1[],(MATCH(Calendar!$A19,DB!$1:$1,0)),FALSE),"")</f>
        <v/>
      </c>
      <c r="ARG19" s="28" t="str">
        <f>IFERROR(VLOOKUP(DATE($K$1,$K$2,ARG$4),Table1[],(MATCH(Calendar!$A19,DB!$1:$1,0)),FALSE),"")</f>
        <v/>
      </c>
      <c r="ARH19" s="28" t="str">
        <f>IFERROR(VLOOKUP(DATE($K$1,$K$2,ARH$4),Table1[],(MATCH(Calendar!$A19,DB!$1:$1,0)),FALSE),"")</f>
        <v/>
      </c>
      <c r="ARI19" s="28" t="str">
        <f>IFERROR(VLOOKUP(DATE($K$1,$K$2,ARI$4),Table1[],(MATCH(Calendar!$A19,DB!$1:$1,0)),FALSE),"")</f>
        <v/>
      </c>
      <c r="ARJ19" s="28" t="str">
        <f>IFERROR(VLOOKUP(DATE($K$1,$K$2,ARJ$4),Table1[],(MATCH(Calendar!$A19,DB!$1:$1,0)),FALSE),"")</f>
        <v/>
      </c>
      <c r="ARK19" s="28" t="str">
        <f>IFERROR(VLOOKUP(DATE($K$1,$K$2,ARK$4),Table1[],(MATCH(Calendar!$A19,DB!$1:$1,0)),FALSE),"")</f>
        <v/>
      </c>
      <c r="ARL19" s="28" t="str">
        <f>IFERROR(VLOOKUP(DATE($K$1,$K$2,ARL$4),Table1[],(MATCH(Calendar!$A19,DB!$1:$1,0)),FALSE),"")</f>
        <v/>
      </c>
      <c r="ARM19" s="28" t="str">
        <f>IFERROR(VLOOKUP(DATE($K$1,$K$2,ARM$4),Table1[],(MATCH(Calendar!$A19,DB!$1:$1,0)),FALSE),"")</f>
        <v/>
      </c>
      <c r="ARN19" s="28" t="str">
        <f>IFERROR(VLOOKUP(DATE($K$1,$K$2,ARN$4),Table1[],(MATCH(Calendar!$A19,DB!$1:$1,0)),FALSE),"")</f>
        <v/>
      </c>
      <c r="ARO19" s="28" t="str">
        <f>IFERROR(VLOOKUP(DATE($K$1,$K$2,ARO$4),Table1[],(MATCH(Calendar!$A19,DB!$1:$1,0)),FALSE),"")</f>
        <v/>
      </c>
      <c r="ARP19" s="28" t="str">
        <f>IFERROR(VLOOKUP(DATE($K$1,$K$2,ARP$4),Table1[],(MATCH(Calendar!$A19,DB!$1:$1,0)),FALSE),"")</f>
        <v/>
      </c>
      <c r="ARQ19" s="28" t="str">
        <f>IFERROR(VLOOKUP(DATE($K$1,$K$2,ARQ$4),Table1[],(MATCH(Calendar!$A19,DB!$1:$1,0)),FALSE),"")</f>
        <v/>
      </c>
      <c r="ARR19" s="28" t="str">
        <f>IFERROR(VLOOKUP(DATE($K$1,$K$2,ARR$4),Table1[],(MATCH(Calendar!$A19,DB!$1:$1,0)),FALSE),"")</f>
        <v/>
      </c>
      <c r="ARS19" s="28" t="str">
        <f>IFERROR(VLOOKUP(DATE($K$1,$K$2,ARS$4),Table1[],(MATCH(Calendar!$A19,DB!$1:$1,0)),FALSE),"")</f>
        <v/>
      </c>
      <c r="ART19" s="28" t="str">
        <f>IFERROR(VLOOKUP(DATE($K$1,$K$2,ART$4),Table1[],(MATCH(Calendar!$A19,DB!$1:$1,0)),FALSE),"")</f>
        <v/>
      </c>
      <c r="ARU19" s="28" t="str">
        <f>IFERROR(VLOOKUP(DATE($K$1,$K$2,ARU$4),Table1[],(MATCH(Calendar!$A19,DB!$1:$1,0)),FALSE),"")</f>
        <v/>
      </c>
      <c r="ARV19" s="28" t="str">
        <f>IFERROR(VLOOKUP(DATE($K$1,$K$2,ARV$4),Table1[],(MATCH(Calendar!$A19,DB!$1:$1,0)),FALSE),"")</f>
        <v/>
      </c>
      <c r="ARW19" s="28" t="str">
        <f>IFERROR(VLOOKUP(DATE($K$1,$K$2,ARW$4),Table1[],(MATCH(Calendar!$A19,DB!$1:$1,0)),FALSE),"")</f>
        <v/>
      </c>
      <c r="ARX19" s="28" t="str">
        <f>IFERROR(VLOOKUP(DATE($K$1,$K$2,ARX$4),Table1[],(MATCH(Calendar!$A19,DB!$1:$1,0)),FALSE),"")</f>
        <v/>
      </c>
      <c r="ARY19" s="28" t="str">
        <f>IFERROR(VLOOKUP(DATE($K$1,$K$2,ARY$4),Table1[],(MATCH(Calendar!$A19,DB!$1:$1,0)),FALSE),"")</f>
        <v/>
      </c>
      <c r="ARZ19" s="28" t="str">
        <f>IFERROR(VLOOKUP(DATE($K$1,$K$2,ARZ$4),Table1[],(MATCH(Calendar!$A19,DB!$1:$1,0)),FALSE),"")</f>
        <v/>
      </c>
      <c r="ASA19" s="28" t="str">
        <f>IFERROR(VLOOKUP(DATE($K$1,$K$2,ASA$4),Table1[],(MATCH(Calendar!$A19,DB!$1:$1,0)),FALSE),"")</f>
        <v/>
      </c>
      <c r="ASB19" s="28" t="str">
        <f>IFERROR(VLOOKUP(DATE($K$1,$K$2,ASB$4),Table1[],(MATCH(Calendar!$A19,DB!$1:$1,0)),FALSE),"")</f>
        <v/>
      </c>
      <c r="ASC19" s="28" t="str">
        <f>IFERROR(VLOOKUP(DATE($K$1,$K$2,ASC$4),Table1[],(MATCH(Calendar!$A19,DB!$1:$1,0)),FALSE),"")</f>
        <v/>
      </c>
      <c r="ASD19" s="28" t="str">
        <f>IFERROR(VLOOKUP(DATE($K$1,$K$2,ASD$4),Table1[],(MATCH(Calendar!$A19,DB!$1:$1,0)),FALSE),"")</f>
        <v/>
      </c>
      <c r="ASE19" s="28" t="str">
        <f>IFERROR(VLOOKUP(DATE($K$1,$K$2,ASE$4),Table1[],(MATCH(Calendar!$A19,DB!$1:$1,0)),FALSE),"")</f>
        <v/>
      </c>
      <c r="ASF19" s="28" t="str">
        <f>IFERROR(VLOOKUP(DATE($K$1,$K$2,ASF$4),Table1[],(MATCH(Calendar!$A19,DB!$1:$1,0)),FALSE),"")</f>
        <v/>
      </c>
      <c r="ASG19" s="28" t="str">
        <f>IFERROR(VLOOKUP(DATE($K$1,$K$2,ASG$4),Table1[],(MATCH(Calendar!$A19,DB!$1:$1,0)),FALSE),"")</f>
        <v/>
      </c>
      <c r="ASH19" s="28" t="str">
        <f>IFERROR(VLOOKUP(DATE($K$1,$K$2,ASH$4),Table1[],(MATCH(Calendar!$A19,DB!$1:$1,0)),FALSE),"")</f>
        <v/>
      </c>
      <c r="ASI19" s="28" t="str">
        <f>IFERROR(VLOOKUP(DATE($K$1,$K$2,ASI$4),Table1[],(MATCH(Calendar!$A19,DB!$1:$1,0)),FALSE),"")</f>
        <v/>
      </c>
      <c r="ASJ19" s="28" t="str">
        <f>IFERROR(VLOOKUP(DATE($K$1,$K$2,ASJ$4),Table1[],(MATCH(Calendar!$A19,DB!$1:$1,0)),FALSE),"")</f>
        <v/>
      </c>
      <c r="ASK19" s="28" t="str">
        <f>IFERROR(VLOOKUP(DATE($K$1,$K$2,ASK$4),Table1[],(MATCH(Calendar!$A19,DB!$1:$1,0)),FALSE),"")</f>
        <v/>
      </c>
      <c r="ASL19" s="28" t="str">
        <f>IFERROR(VLOOKUP(DATE($K$1,$K$2,ASL$4),Table1[],(MATCH(Calendar!$A19,DB!$1:$1,0)),FALSE),"")</f>
        <v/>
      </c>
      <c r="ASM19" s="28" t="str">
        <f>IFERROR(VLOOKUP(DATE($K$1,$K$2,ASM$4),Table1[],(MATCH(Calendar!$A19,DB!$1:$1,0)),FALSE),"")</f>
        <v/>
      </c>
      <c r="ASN19" s="28" t="str">
        <f>IFERROR(VLOOKUP(DATE($K$1,$K$2,ASN$4),Table1[],(MATCH(Calendar!$A19,DB!$1:$1,0)),FALSE),"")</f>
        <v/>
      </c>
      <c r="ASO19" s="28" t="str">
        <f>IFERROR(VLOOKUP(DATE($K$1,$K$2,ASO$4),Table1[],(MATCH(Calendar!$A19,DB!$1:$1,0)),FALSE),"")</f>
        <v/>
      </c>
      <c r="ASP19" s="28" t="str">
        <f>IFERROR(VLOOKUP(DATE($K$1,$K$2,ASP$4),Table1[],(MATCH(Calendar!$A19,DB!$1:$1,0)),FALSE),"")</f>
        <v/>
      </c>
      <c r="ASQ19" s="28" t="str">
        <f>IFERROR(VLOOKUP(DATE($K$1,$K$2,ASQ$4),Table1[],(MATCH(Calendar!$A19,DB!$1:$1,0)),FALSE),"")</f>
        <v/>
      </c>
      <c r="ASR19" s="28" t="str">
        <f>IFERROR(VLOOKUP(DATE($K$1,$K$2,ASR$4),Table1[],(MATCH(Calendar!$A19,DB!$1:$1,0)),FALSE),"")</f>
        <v/>
      </c>
      <c r="ASS19" s="28" t="str">
        <f>IFERROR(VLOOKUP(DATE($K$1,$K$2,ASS$4),Table1[],(MATCH(Calendar!$A19,DB!$1:$1,0)),FALSE),"")</f>
        <v/>
      </c>
      <c r="AST19" s="28" t="str">
        <f>IFERROR(VLOOKUP(DATE($K$1,$K$2,AST$4),Table1[],(MATCH(Calendar!$A19,DB!$1:$1,0)),FALSE),"")</f>
        <v/>
      </c>
      <c r="ASU19" s="28" t="str">
        <f>IFERROR(VLOOKUP(DATE($K$1,$K$2,ASU$4),Table1[],(MATCH(Calendar!$A19,DB!$1:$1,0)),FALSE),"")</f>
        <v/>
      </c>
      <c r="ASV19" s="28" t="str">
        <f>IFERROR(VLOOKUP(DATE($K$1,$K$2,ASV$4),Table1[],(MATCH(Calendar!$A19,DB!$1:$1,0)),FALSE),"")</f>
        <v/>
      </c>
      <c r="ASW19" s="28" t="str">
        <f>IFERROR(VLOOKUP(DATE($K$1,$K$2,ASW$4),Table1[],(MATCH(Calendar!$A19,DB!$1:$1,0)),FALSE),"")</f>
        <v/>
      </c>
      <c r="ASX19" s="28" t="str">
        <f>IFERROR(VLOOKUP(DATE($K$1,$K$2,ASX$4),Table1[],(MATCH(Calendar!$A19,DB!$1:$1,0)),FALSE),"")</f>
        <v/>
      </c>
      <c r="ASY19" s="28" t="str">
        <f>IFERROR(VLOOKUP(DATE($K$1,$K$2,ASY$4),Table1[],(MATCH(Calendar!$A19,DB!$1:$1,0)),FALSE),"")</f>
        <v/>
      </c>
      <c r="ASZ19" s="28" t="str">
        <f>IFERROR(VLOOKUP(DATE($K$1,$K$2,ASZ$4),Table1[],(MATCH(Calendar!$A19,DB!$1:$1,0)),FALSE),"")</f>
        <v/>
      </c>
      <c r="ATA19" s="28" t="str">
        <f>IFERROR(VLOOKUP(DATE($K$1,$K$2,ATA$4),Table1[],(MATCH(Calendar!$A19,DB!$1:$1,0)),FALSE),"")</f>
        <v/>
      </c>
      <c r="ATB19" s="28" t="str">
        <f>IFERROR(VLOOKUP(DATE($K$1,$K$2,ATB$4),Table1[],(MATCH(Calendar!$A19,DB!$1:$1,0)),FALSE),"")</f>
        <v/>
      </c>
      <c r="ATC19" s="28" t="str">
        <f>IFERROR(VLOOKUP(DATE($K$1,$K$2,ATC$4),Table1[],(MATCH(Calendar!$A19,DB!$1:$1,0)),FALSE),"")</f>
        <v/>
      </c>
      <c r="ATD19" s="28" t="str">
        <f>IFERROR(VLOOKUP(DATE($K$1,$K$2,ATD$4),Table1[],(MATCH(Calendar!$A19,DB!$1:$1,0)),FALSE),"")</f>
        <v/>
      </c>
      <c r="ATE19" s="28" t="str">
        <f>IFERROR(VLOOKUP(DATE($K$1,$K$2,ATE$4),Table1[],(MATCH(Calendar!$A19,DB!$1:$1,0)),FALSE),"")</f>
        <v/>
      </c>
      <c r="ATF19" s="28" t="str">
        <f>IFERROR(VLOOKUP(DATE($K$1,$K$2,ATF$4),Table1[],(MATCH(Calendar!$A19,DB!$1:$1,0)),FALSE),"")</f>
        <v/>
      </c>
      <c r="ATG19" s="28" t="str">
        <f>IFERROR(VLOOKUP(DATE($K$1,$K$2,ATG$4),Table1[],(MATCH(Calendar!$A19,DB!$1:$1,0)),FALSE),"")</f>
        <v/>
      </c>
      <c r="ATH19" s="28" t="str">
        <f>IFERROR(VLOOKUP(DATE($K$1,$K$2,ATH$4),Table1[],(MATCH(Calendar!$A19,DB!$1:$1,0)),FALSE),"")</f>
        <v/>
      </c>
      <c r="ATI19" s="28" t="str">
        <f>IFERROR(VLOOKUP(DATE($K$1,$K$2,ATI$4),Table1[],(MATCH(Calendar!$A19,DB!$1:$1,0)),FALSE),"")</f>
        <v/>
      </c>
      <c r="ATJ19" s="28" t="str">
        <f>IFERROR(VLOOKUP(DATE($K$1,$K$2,ATJ$4),Table1[],(MATCH(Calendar!$A19,DB!$1:$1,0)),FALSE),"")</f>
        <v/>
      </c>
      <c r="ATK19" s="28" t="str">
        <f>IFERROR(VLOOKUP(DATE($K$1,$K$2,ATK$4),Table1[],(MATCH(Calendar!$A19,DB!$1:$1,0)),FALSE),"")</f>
        <v/>
      </c>
      <c r="ATL19" s="28" t="str">
        <f>IFERROR(VLOOKUP(DATE($K$1,$K$2,ATL$4),Table1[],(MATCH(Calendar!$A19,DB!$1:$1,0)),FALSE),"")</f>
        <v/>
      </c>
      <c r="ATM19" s="28" t="str">
        <f>IFERROR(VLOOKUP(DATE($K$1,$K$2,ATM$4),Table1[],(MATCH(Calendar!$A19,DB!$1:$1,0)),FALSE),"")</f>
        <v/>
      </c>
      <c r="ATN19" s="28" t="str">
        <f>IFERROR(VLOOKUP(DATE($K$1,$K$2,ATN$4),Table1[],(MATCH(Calendar!$A19,DB!$1:$1,0)),FALSE),"")</f>
        <v/>
      </c>
      <c r="ATO19" s="28" t="str">
        <f>IFERROR(VLOOKUP(DATE($K$1,$K$2,ATO$4),Table1[],(MATCH(Calendar!$A19,DB!$1:$1,0)),FALSE),"")</f>
        <v/>
      </c>
      <c r="ATP19" s="28" t="str">
        <f>IFERROR(VLOOKUP(DATE($K$1,$K$2,ATP$4),Table1[],(MATCH(Calendar!$A19,DB!$1:$1,0)),FALSE),"")</f>
        <v/>
      </c>
      <c r="ATQ19" s="28" t="str">
        <f>IFERROR(VLOOKUP(DATE($K$1,$K$2,ATQ$4),Table1[],(MATCH(Calendar!$A19,DB!$1:$1,0)),FALSE),"")</f>
        <v/>
      </c>
      <c r="ATR19" s="28" t="str">
        <f>IFERROR(VLOOKUP(DATE($K$1,$K$2,ATR$4),Table1[],(MATCH(Calendar!$A19,DB!$1:$1,0)),FALSE),"")</f>
        <v/>
      </c>
      <c r="ATS19" s="28" t="str">
        <f>IFERROR(VLOOKUP(DATE($K$1,$K$2,ATS$4),Table1[],(MATCH(Calendar!$A19,DB!$1:$1,0)),FALSE),"")</f>
        <v/>
      </c>
      <c r="ATT19" s="28" t="str">
        <f>IFERROR(VLOOKUP(DATE($K$1,$K$2,ATT$4),Table1[],(MATCH(Calendar!$A19,DB!$1:$1,0)),FALSE),"")</f>
        <v/>
      </c>
      <c r="ATU19" s="28" t="str">
        <f>IFERROR(VLOOKUP(DATE($K$1,$K$2,ATU$4),Table1[],(MATCH(Calendar!$A19,DB!$1:$1,0)),FALSE),"")</f>
        <v/>
      </c>
      <c r="ATV19" s="28" t="str">
        <f>IFERROR(VLOOKUP(DATE($K$1,$K$2,ATV$4),Table1[],(MATCH(Calendar!$A19,DB!$1:$1,0)),FALSE),"")</f>
        <v/>
      </c>
      <c r="ATW19" s="28" t="str">
        <f>IFERROR(VLOOKUP(DATE($K$1,$K$2,ATW$4),Table1[],(MATCH(Calendar!$A19,DB!$1:$1,0)),FALSE),"")</f>
        <v/>
      </c>
      <c r="ATX19" s="28" t="str">
        <f>IFERROR(VLOOKUP(DATE($K$1,$K$2,ATX$4),Table1[],(MATCH(Calendar!$A19,DB!$1:$1,0)),FALSE),"")</f>
        <v/>
      </c>
      <c r="ATY19" s="28" t="str">
        <f>IFERROR(VLOOKUP(DATE($K$1,$K$2,ATY$4),Table1[],(MATCH(Calendar!$A19,DB!$1:$1,0)),FALSE),"")</f>
        <v/>
      </c>
      <c r="ATZ19" s="28" t="str">
        <f>IFERROR(VLOOKUP(DATE($K$1,$K$2,ATZ$4),Table1[],(MATCH(Calendar!$A19,DB!$1:$1,0)),FALSE),"")</f>
        <v/>
      </c>
      <c r="AUA19" s="28" t="str">
        <f>IFERROR(VLOOKUP(DATE($K$1,$K$2,AUA$4),Table1[],(MATCH(Calendar!$A19,DB!$1:$1,0)),FALSE),"")</f>
        <v/>
      </c>
      <c r="AUB19" s="28" t="str">
        <f>IFERROR(VLOOKUP(DATE($K$1,$K$2,AUB$4),Table1[],(MATCH(Calendar!$A19,DB!$1:$1,0)),FALSE),"")</f>
        <v/>
      </c>
      <c r="AUC19" s="28" t="str">
        <f>IFERROR(VLOOKUP(DATE($K$1,$K$2,AUC$4),Table1[],(MATCH(Calendar!$A19,DB!$1:$1,0)),FALSE),"")</f>
        <v/>
      </c>
      <c r="AUD19" s="28" t="str">
        <f>IFERROR(VLOOKUP(DATE($K$1,$K$2,AUD$4),Table1[],(MATCH(Calendar!$A19,DB!$1:$1,0)),FALSE),"")</f>
        <v/>
      </c>
      <c r="AUE19" s="28" t="str">
        <f>IFERROR(VLOOKUP(DATE($K$1,$K$2,AUE$4),Table1[],(MATCH(Calendar!$A19,DB!$1:$1,0)),FALSE),"")</f>
        <v/>
      </c>
      <c r="AUF19" s="28" t="str">
        <f>IFERROR(VLOOKUP(DATE($K$1,$K$2,AUF$4),Table1[],(MATCH(Calendar!$A19,DB!$1:$1,0)),FALSE),"")</f>
        <v/>
      </c>
      <c r="AUG19" s="28" t="str">
        <f>IFERROR(VLOOKUP(DATE($K$1,$K$2,AUG$4),Table1[],(MATCH(Calendar!$A19,DB!$1:$1,0)),FALSE),"")</f>
        <v/>
      </c>
      <c r="AUH19" s="28" t="str">
        <f>IFERROR(VLOOKUP(DATE($K$1,$K$2,AUH$4),Table1[],(MATCH(Calendar!$A19,DB!$1:$1,0)),FALSE),"")</f>
        <v/>
      </c>
      <c r="AUI19" s="28" t="str">
        <f>IFERROR(VLOOKUP(DATE($K$1,$K$2,AUI$4),Table1[],(MATCH(Calendar!$A19,DB!$1:$1,0)),FALSE),"")</f>
        <v/>
      </c>
      <c r="AUJ19" s="28" t="str">
        <f>IFERROR(VLOOKUP(DATE($K$1,$K$2,AUJ$4),Table1[],(MATCH(Calendar!$A19,DB!$1:$1,0)),FALSE),"")</f>
        <v/>
      </c>
      <c r="AUK19" s="28" t="str">
        <f>IFERROR(VLOOKUP(DATE($K$1,$K$2,AUK$4),Table1[],(MATCH(Calendar!$A19,DB!$1:$1,0)),FALSE),"")</f>
        <v/>
      </c>
      <c r="AUL19" s="28" t="str">
        <f>IFERROR(VLOOKUP(DATE($K$1,$K$2,AUL$4),Table1[],(MATCH(Calendar!$A19,DB!$1:$1,0)),FALSE),"")</f>
        <v/>
      </c>
      <c r="AUM19" s="28" t="str">
        <f>IFERROR(VLOOKUP(DATE($K$1,$K$2,AUM$4),Table1[],(MATCH(Calendar!$A19,DB!$1:$1,0)),FALSE),"")</f>
        <v/>
      </c>
      <c r="AUN19" s="28" t="str">
        <f>IFERROR(VLOOKUP(DATE($K$1,$K$2,AUN$4),Table1[],(MATCH(Calendar!$A19,DB!$1:$1,0)),FALSE),"")</f>
        <v/>
      </c>
      <c r="AUO19" s="28" t="str">
        <f>IFERROR(VLOOKUP(DATE($K$1,$K$2,AUO$4),Table1[],(MATCH(Calendar!$A19,DB!$1:$1,0)),FALSE),"")</f>
        <v/>
      </c>
      <c r="AUP19" s="28" t="str">
        <f>IFERROR(VLOOKUP(DATE($K$1,$K$2,AUP$4),Table1[],(MATCH(Calendar!$A19,DB!$1:$1,0)),FALSE),"")</f>
        <v/>
      </c>
      <c r="AUQ19" s="28" t="str">
        <f>IFERROR(VLOOKUP(DATE($K$1,$K$2,AUQ$4),Table1[],(MATCH(Calendar!$A19,DB!$1:$1,0)),FALSE),"")</f>
        <v/>
      </c>
      <c r="AUR19" s="28" t="str">
        <f>IFERROR(VLOOKUP(DATE($K$1,$K$2,AUR$4),Table1[],(MATCH(Calendar!$A19,DB!$1:$1,0)),FALSE),"")</f>
        <v/>
      </c>
      <c r="AUS19" s="28" t="str">
        <f>IFERROR(VLOOKUP(DATE($K$1,$K$2,AUS$4),Table1[],(MATCH(Calendar!$A19,DB!$1:$1,0)),FALSE),"")</f>
        <v/>
      </c>
      <c r="AUT19" s="28" t="str">
        <f>IFERROR(VLOOKUP(DATE($K$1,$K$2,AUT$4),Table1[],(MATCH(Calendar!$A19,DB!$1:$1,0)),FALSE),"")</f>
        <v/>
      </c>
      <c r="AUU19" s="28" t="str">
        <f>IFERROR(VLOOKUP(DATE($K$1,$K$2,AUU$4),Table1[],(MATCH(Calendar!$A19,DB!$1:$1,0)),FALSE),"")</f>
        <v/>
      </c>
      <c r="AUV19" s="28" t="str">
        <f>IFERROR(VLOOKUP(DATE($K$1,$K$2,AUV$4),Table1[],(MATCH(Calendar!$A19,DB!$1:$1,0)),FALSE),"")</f>
        <v/>
      </c>
      <c r="AUW19" s="28" t="str">
        <f>IFERROR(VLOOKUP(DATE($K$1,$K$2,AUW$4),Table1[],(MATCH(Calendar!$A19,DB!$1:$1,0)),FALSE),"")</f>
        <v/>
      </c>
      <c r="AUX19" s="28" t="str">
        <f>IFERROR(VLOOKUP(DATE($K$1,$K$2,AUX$4),Table1[],(MATCH(Calendar!$A19,DB!$1:$1,0)),FALSE),"")</f>
        <v/>
      </c>
      <c r="AUY19" s="28" t="str">
        <f>IFERROR(VLOOKUP(DATE($K$1,$K$2,AUY$4),Table1[],(MATCH(Calendar!$A19,DB!$1:$1,0)),FALSE),"")</f>
        <v/>
      </c>
      <c r="AUZ19" s="28" t="str">
        <f>IFERROR(VLOOKUP(DATE($K$1,$K$2,AUZ$4),Table1[],(MATCH(Calendar!$A19,DB!$1:$1,0)),FALSE),"")</f>
        <v/>
      </c>
      <c r="AVA19" s="28" t="str">
        <f>IFERROR(VLOOKUP(DATE($K$1,$K$2,AVA$4),Table1[],(MATCH(Calendar!$A19,DB!$1:$1,0)),FALSE),"")</f>
        <v/>
      </c>
      <c r="AVB19" s="28" t="str">
        <f>IFERROR(VLOOKUP(DATE($K$1,$K$2,AVB$4),Table1[],(MATCH(Calendar!$A19,DB!$1:$1,0)),FALSE),"")</f>
        <v/>
      </c>
      <c r="AVC19" s="28" t="str">
        <f>IFERROR(VLOOKUP(DATE($K$1,$K$2,AVC$4),Table1[],(MATCH(Calendar!$A19,DB!$1:$1,0)),FALSE),"")</f>
        <v/>
      </c>
      <c r="AVD19" s="28" t="str">
        <f>IFERROR(VLOOKUP(DATE($K$1,$K$2,AVD$4),Table1[],(MATCH(Calendar!$A19,DB!$1:$1,0)),FALSE),"")</f>
        <v/>
      </c>
      <c r="AVE19" s="28" t="str">
        <f>IFERROR(VLOOKUP(DATE($K$1,$K$2,AVE$4),Table1[],(MATCH(Calendar!$A19,DB!$1:$1,0)),FALSE),"")</f>
        <v/>
      </c>
      <c r="AVF19" s="28" t="str">
        <f>IFERROR(VLOOKUP(DATE($K$1,$K$2,AVF$4),Table1[],(MATCH(Calendar!$A19,DB!$1:$1,0)),FALSE),"")</f>
        <v/>
      </c>
      <c r="AVG19" s="28" t="str">
        <f>IFERROR(VLOOKUP(DATE($K$1,$K$2,AVG$4),Table1[],(MATCH(Calendar!$A19,DB!$1:$1,0)),FALSE),"")</f>
        <v/>
      </c>
      <c r="AVH19" s="28" t="str">
        <f>IFERROR(VLOOKUP(DATE($K$1,$K$2,AVH$4),Table1[],(MATCH(Calendar!$A19,DB!$1:$1,0)),FALSE),"")</f>
        <v/>
      </c>
      <c r="AVI19" s="28" t="str">
        <f>IFERROR(VLOOKUP(DATE($K$1,$K$2,AVI$4),Table1[],(MATCH(Calendar!$A19,DB!$1:$1,0)),FALSE),"")</f>
        <v/>
      </c>
      <c r="AVJ19" s="28" t="str">
        <f>IFERROR(VLOOKUP(DATE($K$1,$K$2,AVJ$4),Table1[],(MATCH(Calendar!$A19,DB!$1:$1,0)),FALSE),"")</f>
        <v/>
      </c>
      <c r="AVK19" s="28" t="str">
        <f>IFERROR(VLOOKUP(DATE($K$1,$K$2,AVK$4),Table1[],(MATCH(Calendar!$A19,DB!$1:$1,0)),FALSE),"")</f>
        <v/>
      </c>
      <c r="AVL19" s="28" t="str">
        <f>IFERROR(VLOOKUP(DATE($K$1,$K$2,AVL$4),Table1[],(MATCH(Calendar!$A19,DB!$1:$1,0)),FALSE),"")</f>
        <v/>
      </c>
      <c r="AVM19" s="28" t="str">
        <f>IFERROR(VLOOKUP(DATE($K$1,$K$2,AVM$4),Table1[],(MATCH(Calendar!$A19,DB!$1:$1,0)),FALSE),"")</f>
        <v/>
      </c>
      <c r="AVN19" s="28" t="str">
        <f>IFERROR(VLOOKUP(DATE($K$1,$K$2,AVN$4),Table1[],(MATCH(Calendar!$A19,DB!$1:$1,0)),FALSE),"")</f>
        <v/>
      </c>
      <c r="AVO19" s="28" t="str">
        <f>IFERROR(VLOOKUP(DATE($K$1,$K$2,AVO$4),Table1[],(MATCH(Calendar!$A19,DB!$1:$1,0)),FALSE),"")</f>
        <v/>
      </c>
      <c r="AVP19" s="28" t="str">
        <f>IFERROR(VLOOKUP(DATE($K$1,$K$2,AVP$4),Table1[],(MATCH(Calendar!$A19,DB!$1:$1,0)),FALSE),"")</f>
        <v/>
      </c>
      <c r="AVQ19" s="28" t="str">
        <f>IFERROR(VLOOKUP(DATE($K$1,$K$2,AVQ$4),Table1[],(MATCH(Calendar!$A19,DB!$1:$1,0)),FALSE),"")</f>
        <v/>
      </c>
      <c r="AVR19" s="28" t="str">
        <f>IFERROR(VLOOKUP(DATE($K$1,$K$2,AVR$4),Table1[],(MATCH(Calendar!$A19,DB!$1:$1,0)),FALSE),"")</f>
        <v/>
      </c>
      <c r="AVS19" s="28" t="str">
        <f>IFERROR(VLOOKUP(DATE($K$1,$K$2,AVS$4),Table1[],(MATCH(Calendar!$A19,DB!$1:$1,0)),FALSE),"")</f>
        <v/>
      </c>
      <c r="AVT19" s="28" t="str">
        <f>IFERROR(VLOOKUP(DATE($K$1,$K$2,AVT$4),Table1[],(MATCH(Calendar!$A19,DB!$1:$1,0)),FALSE),"")</f>
        <v/>
      </c>
      <c r="AVU19" s="28" t="str">
        <f>IFERROR(VLOOKUP(DATE($K$1,$K$2,AVU$4),Table1[],(MATCH(Calendar!$A19,DB!$1:$1,0)),FALSE),"")</f>
        <v/>
      </c>
      <c r="AVV19" s="28" t="str">
        <f>IFERROR(VLOOKUP(DATE($K$1,$K$2,AVV$4),Table1[],(MATCH(Calendar!$A19,DB!$1:$1,0)),FALSE),"")</f>
        <v/>
      </c>
      <c r="AVW19" s="28" t="str">
        <f>IFERROR(VLOOKUP(DATE($K$1,$K$2,AVW$4),Table1[],(MATCH(Calendar!$A19,DB!$1:$1,0)),FALSE),"")</f>
        <v/>
      </c>
      <c r="AVX19" s="28" t="str">
        <f>IFERROR(VLOOKUP(DATE($K$1,$K$2,AVX$4),Table1[],(MATCH(Calendar!$A19,DB!$1:$1,0)),FALSE),"")</f>
        <v/>
      </c>
      <c r="AVY19" s="28" t="str">
        <f>IFERROR(VLOOKUP(DATE($K$1,$K$2,AVY$4),Table1[],(MATCH(Calendar!$A19,DB!$1:$1,0)),FALSE),"")</f>
        <v/>
      </c>
      <c r="AVZ19" s="28" t="str">
        <f>IFERROR(VLOOKUP(DATE($K$1,$K$2,AVZ$4),Table1[],(MATCH(Calendar!$A19,DB!$1:$1,0)),FALSE),"")</f>
        <v/>
      </c>
      <c r="AWA19" s="28" t="str">
        <f>IFERROR(VLOOKUP(DATE($K$1,$K$2,AWA$4),Table1[],(MATCH(Calendar!$A19,DB!$1:$1,0)),FALSE),"")</f>
        <v/>
      </c>
      <c r="AWB19" s="28" t="str">
        <f>IFERROR(VLOOKUP(DATE($K$1,$K$2,AWB$4),Table1[],(MATCH(Calendar!$A19,DB!$1:$1,0)),FALSE),"")</f>
        <v/>
      </c>
      <c r="AWC19" s="28" t="str">
        <f>IFERROR(VLOOKUP(DATE($K$1,$K$2,AWC$4),Table1[],(MATCH(Calendar!$A19,DB!$1:$1,0)),FALSE),"")</f>
        <v/>
      </c>
      <c r="AWD19" s="28" t="str">
        <f>IFERROR(VLOOKUP(DATE($K$1,$K$2,AWD$4),Table1[],(MATCH(Calendar!$A19,DB!$1:$1,0)),FALSE),"")</f>
        <v/>
      </c>
      <c r="AWE19" s="28" t="str">
        <f>IFERROR(VLOOKUP(DATE($K$1,$K$2,AWE$4),Table1[],(MATCH(Calendar!$A19,DB!$1:$1,0)),FALSE),"")</f>
        <v/>
      </c>
      <c r="AWF19" s="28" t="str">
        <f>IFERROR(VLOOKUP(DATE($K$1,$K$2,AWF$4),Table1[],(MATCH(Calendar!$A19,DB!$1:$1,0)),FALSE),"")</f>
        <v/>
      </c>
      <c r="AWG19" s="28" t="str">
        <f>IFERROR(VLOOKUP(DATE($K$1,$K$2,AWG$4),Table1[],(MATCH(Calendar!$A19,DB!$1:$1,0)),FALSE),"")</f>
        <v/>
      </c>
      <c r="AWH19" s="28" t="str">
        <f>IFERROR(VLOOKUP(DATE($K$1,$K$2,AWH$4),Table1[],(MATCH(Calendar!$A19,DB!$1:$1,0)),FALSE),"")</f>
        <v/>
      </c>
      <c r="AWI19" s="28" t="str">
        <f>IFERROR(VLOOKUP(DATE($K$1,$K$2,AWI$4),Table1[],(MATCH(Calendar!$A19,DB!$1:$1,0)),FALSE),"")</f>
        <v/>
      </c>
      <c r="AWJ19" s="28" t="str">
        <f>IFERROR(VLOOKUP(DATE($K$1,$K$2,AWJ$4),Table1[],(MATCH(Calendar!$A19,DB!$1:$1,0)),FALSE),"")</f>
        <v/>
      </c>
      <c r="AWK19" s="28" t="str">
        <f>IFERROR(VLOOKUP(DATE($K$1,$K$2,AWK$4),Table1[],(MATCH(Calendar!$A19,DB!$1:$1,0)),FALSE),"")</f>
        <v/>
      </c>
      <c r="AWL19" s="28" t="str">
        <f>IFERROR(VLOOKUP(DATE($K$1,$K$2,AWL$4),Table1[],(MATCH(Calendar!$A19,DB!$1:$1,0)),FALSE),"")</f>
        <v/>
      </c>
      <c r="AWM19" s="28" t="str">
        <f>IFERROR(VLOOKUP(DATE($K$1,$K$2,AWM$4),Table1[],(MATCH(Calendar!$A19,DB!$1:$1,0)),FALSE),"")</f>
        <v/>
      </c>
      <c r="AWN19" s="28" t="str">
        <f>IFERROR(VLOOKUP(DATE($K$1,$K$2,AWN$4),Table1[],(MATCH(Calendar!$A19,DB!$1:$1,0)),FALSE),"")</f>
        <v/>
      </c>
      <c r="AWO19" s="28" t="str">
        <f>IFERROR(VLOOKUP(DATE($K$1,$K$2,AWO$4),Table1[],(MATCH(Calendar!$A19,DB!$1:$1,0)),FALSE),"")</f>
        <v/>
      </c>
      <c r="AWP19" s="28" t="str">
        <f>IFERROR(VLOOKUP(DATE($K$1,$K$2,AWP$4),Table1[],(MATCH(Calendar!$A19,DB!$1:$1,0)),FALSE),"")</f>
        <v/>
      </c>
      <c r="AWQ19" s="28" t="str">
        <f>IFERROR(VLOOKUP(DATE($K$1,$K$2,AWQ$4),Table1[],(MATCH(Calendar!$A19,DB!$1:$1,0)),FALSE),"")</f>
        <v/>
      </c>
      <c r="AWR19" s="28" t="str">
        <f>IFERROR(VLOOKUP(DATE($K$1,$K$2,AWR$4),Table1[],(MATCH(Calendar!$A19,DB!$1:$1,0)),FALSE),"")</f>
        <v/>
      </c>
      <c r="AWS19" s="28" t="str">
        <f>IFERROR(VLOOKUP(DATE($K$1,$K$2,AWS$4),Table1[],(MATCH(Calendar!$A19,DB!$1:$1,0)),FALSE),"")</f>
        <v/>
      </c>
      <c r="AWT19" s="28" t="str">
        <f>IFERROR(VLOOKUP(DATE($K$1,$K$2,AWT$4),Table1[],(MATCH(Calendar!$A19,DB!$1:$1,0)),FALSE),"")</f>
        <v/>
      </c>
      <c r="AWU19" s="28" t="str">
        <f>IFERROR(VLOOKUP(DATE($K$1,$K$2,AWU$4),Table1[],(MATCH(Calendar!$A19,DB!$1:$1,0)),FALSE),"")</f>
        <v/>
      </c>
      <c r="AWV19" s="28" t="str">
        <f>IFERROR(VLOOKUP(DATE($K$1,$K$2,AWV$4),Table1[],(MATCH(Calendar!$A19,DB!$1:$1,0)),FALSE),"")</f>
        <v/>
      </c>
      <c r="AWW19" s="28" t="str">
        <f>IFERROR(VLOOKUP(DATE($K$1,$K$2,AWW$4),Table1[],(MATCH(Calendar!$A19,DB!$1:$1,0)),FALSE),"")</f>
        <v/>
      </c>
      <c r="AWX19" s="28" t="str">
        <f>IFERROR(VLOOKUP(DATE($K$1,$K$2,AWX$4),Table1[],(MATCH(Calendar!$A19,DB!$1:$1,0)),FALSE),"")</f>
        <v/>
      </c>
      <c r="AWY19" s="28" t="str">
        <f>IFERROR(VLOOKUP(DATE($K$1,$K$2,AWY$4),Table1[],(MATCH(Calendar!$A19,DB!$1:$1,0)),FALSE),"")</f>
        <v/>
      </c>
      <c r="AWZ19" s="28" t="str">
        <f>IFERROR(VLOOKUP(DATE($K$1,$K$2,AWZ$4),Table1[],(MATCH(Calendar!$A19,DB!$1:$1,0)),FALSE),"")</f>
        <v/>
      </c>
      <c r="AXA19" s="28" t="str">
        <f>IFERROR(VLOOKUP(DATE($K$1,$K$2,AXA$4),Table1[],(MATCH(Calendar!$A19,DB!$1:$1,0)),FALSE),"")</f>
        <v/>
      </c>
      <c r="AXB19" s="28" t="str">
        <f>IFERROR(VLOOKUP(DATE($K$1,$K$2,AXB$4),Table1[],(MATCH(Calendar!$A19,DB!$1:$1,0)),FALSE),"")</f>
        <v/>
      </c>
      <c r="AXC19" s="28" t="str">
        <f>IFERROR(VLOOKUP(DATE($K$1,$K$2,AXC$4),Table1[],(MATCH(Calendar!$A19,DB!$1:$1,0)),FALSE),"")</f>
        <v/>
      </c>
      <c r="AXD19" s="28" t="str">
        <f>IFERROR(VLOOKUP(DATE($K$1,$K$2,AXD$4),Table1[],(MATCH(Calendar!$A19,DB!$1:$1,0)),FALSE),"")</f>
        <v/>
      </c>
      <c r="AXE19" s="28" t="str">
        <f>IFERROR(VLOOKUP(DATE($K$1,$K$2,AXE$4),Table1[],(MATCH(Calendar!$A19,DB!$1:$1,0)),FALSE),"")</f>
        <v/>
      </c>
      <c r="AXF19" s="28" t="str">
        <f>IFERROR(VLOOKUP(DATE($K$1,$K$2,AXF$4),Table1[],(MATCH(Calendar!$A19,DB!$1:$1,0)),FALSE),"")</f>
        <v/>
      </c>
      <c r="AXG19" s="28" t="str">
        <f>IFERROR(VLOOKUP(DATE($K$1,$K$2,AXG$4),Table1[],(MATCH(Calendar!$A19,DB!$1:$1,0)),FALSE),"")</f>
        <v/>
      </c>
      <c r="AXH19" s="28" t="str">
        <f>IFERROR(VLOOKUP(DATE($K$1,$K$2,AXH$4),Table1[],(MATCH(Calendar!$A19,DB!$1:$1,0)),FALSE),"")</f>
        <v/>
      </c>
      <c r="AXI19" s="28" t="str">
        <f>IFERROR(VLOOKUP(DATE($K$1,$K$2,AXI$4),Table1[],(MATCH(Calendar!$A19,DB!$1:$1,0)),FALSE),"")</f>
        <v/>
      </c>
      <c r="AXJ19" s="28" t="str">
        <f>IFERROR(VLOOKUP(DATE($K$1,$K$2,AXJ$4),Table1[],(MATCH(Calendar!$A19,DB!$1:$1,0)),FALSE),"")</f>
        <v/>
      </c>
      <c r="AXK19" s="28" t="str">
        <f>IFERROR(VLOOKUP(DATE($K$1,$K$2,AXK$4),Table1[],(MATCH(Calendar!$A19,DB!$1:$1,0)),FALSE),"")</f>
        <v/>
      </c>
      <c r="AXL19" s="28" t="str">
        <f>IFERROR(VLOOKUP(DATE($K$1,$K$2,AXL$4),Table1[],(MATCH(Calendar!$A19,DB!$1:$1,0)),FALSE),"")</f>
        <v/>
      </c>
      <c r="AXM19" s="28" t="str">
        <f>IFERROR(VLOOKUP(DATE($K$1,$K$2,AXM$4),Table1[],(MATCH(Calendar!$A19,DB!$1:$1,0)),FALSE),"")</f>
        <v/>
      </c>
      <c r="AXN19" s="28" t="str">
        <f>IFERROR(VLOOKUP(DATE($K$1,$K$2,AXN$4),Table1[],(MATCH(Calendar!$A19,DB!$1:$1,0)),FALSE),"")</f>
        <v/>
      </c>
      <c r="AXO19" s="28" t="str">
        <f>IFERROR(VLOOKUP(DATE($K$1,$K$2,AXO$4),Table1[],(MATCH(Calendar!$A19,DB!$1:$1,0)),FALSE),"")</f>
        <v/>
      </c>
      <c r="AXP19" s="28" t="str">
        <f>IFERROR(VLOOKUP(DATE($K$1,$K$2,AXP$4),Table1[],(MATCH(Calendar!$A19,DB!$1:$1,0)),FALSE),"")</f>
        <v/>
      </c>
      <c r="AXQ19" s="28" t="str">
        <f>IFERROR(VLOOKUP(DATE($K$1,$K$2,AXQ$4),Table1[],(MATCH(Calendar!$A19,DB!$1:$1,0)),FALSE),"")</f>
        <v/>
      </c>
      <c r="AXR19" s="28" t="str">
        <f>IFERROR(VLOOKUP(DATE($K$1,$K$2,AXR$4),Table1[],(MATCH(Calendar!$A19,DB!$1:$1,0)),FALSE),"")</f>
        <v/>
      </c>
      <c r="AXS19" s="28" t="str">
        <f>IFERROR(VLOOKUP(DATE($K$1,$K$2,AXS$4),Table1[],(MATCH(Calendar!$A19,DB!$1:$1,0)),FALSE),"")</f>
        <v/>
      </c>
      <c r="AXT19" s="28" t="str">
        <f>IFERROR(VLOOKUP(DATE($K$1,$K$2,AXT$4),Table1[],(MATCH(Calendar!$A19,DB!$1:$1,0)),FALSE),"")</f>
        <v/>
      </c>
      <c r="AXU19" s="28" t="str">
        <f>IFERROR(VLOOKUP(DATE($K$1,$K$2,AXU$4),Table1[],(MATCH(Calendar!$A19,DB!$1:$1,0)),FALSE),"")</f>
        <v/>
      </c>
      <c r="AXV19" s="28" t="str">
        <f>IFERROR(VLOOKUP(DATE($K$1,$K$2,AXV$4),Table1[],(MATCH(Calendar!$A19,DB!$1:$1,0)),FALSE),"")</f>
        <v/>
      </c>
      <c r="AXW19" s="28" t="str">
        <f>IFERROR(VLOOKUP(DATE($K$1,$K$2,AXW$4),Table1[],(MATCH(Calendar!$A19,DB!$1:$1,0)),FALSE),"")</f>
        <v/>
      </c>
      <c r="AXX19" s="28" t="str">
        <f>IFERROR(VLOOKUP(DATE($K$1,$K$2,AXX$4),Table1[],(MATCH(Calendar!$A19,DB!$1:$1,0)),FALSE),"")</f>
        <v/>
      </c>
      <c r="AXY19" s="28" t="str">
        <f>IFERROR(VLOOKUP(DATE($K$1,$K$2,AXY$4),Table1[],(MATCH(Calendar!$A19,DB!$1:$1,0)),FALSE),"")</f>
        <v/>
      </c>
      <c r="AXZ19" s="28" t="str">
        <f>IFERROR(VLOOKUP(DATE($K$1,$K$2,AXZ$4),Table1[],(MATCH(Calendar!$A19,DB!$1:$1,0)),FALSE),"")</f>
        <v/>
      </c>
      <c r="AYA19" s="28" t="str">
        <f>IFERROR(VLOOKUP(DATE($K$1,$K$2,AYA$4),Table1[],(MATCH(Calendar!$A19,DB!$1:$1,0)),FALSE),"")</f>
        <v/>
      </c>
      <c r="AYB19" s="28" t="str">
        <f>IFERROR(VLOOKUP(DATE($K$1,$K$2,AYB$4),Table1[],(MATCH(Calendar!$A19,DB!$1:$1,0)),FALSE),"")</f>
        <v/>
      </c>
      <c r="AYC19" s="28" t="str">
        <f>IFERROR(VLOOKUP(DATE($K$1,$K$2,AYC$4),Table1[],(MATCH(Calendar!$A19,DB!$1:$1,0)),FALSE),"")</f>
        <v/>
      </c>
      <c r="AYD19" s="28" t="str">
        <f>IFERROR(VLOOKUP(DATE($K$1,$K$2,AYD$4),Table1[],(MATCH(Calendar!$A19,DB!$1:$1,0)),FALSE),"")</f>
        <v/>
      </c>
      <c r="AYE19" s="28" t="str">
        <f>IFERROR(VLOOKUP(DATE($K$1,$K$2,AYE$4),Table1[],(MATCH(Calendar!$A19,DB!$1:$1,0)),FALSE),"")</f>
        <v/>
      </c>
      <c r="AYF19" s="28" t="str">
        <f>IFERROR(VLOOKUP(DATE($K$1,$K$2,AYF$4),Table1[],(MATCH(Calendar!$A19,DB!$1:$1,0)),FALSE),"")</f>
        <v/>
      </c>
      <c r="AYG19" s="28" t="str">
        <f>IFERROR(VLOOKUP(DATE($K$1,$K$2,AYG$4),Table1[],(MATCH(Calendar!$A19,DB!$1:$1,0)),FALSE),"")</f>
        <v/>
      </c>
      <c r="AYH19" s="28" t="str">
        <f>IFERROR(VLOOKUP(DATE($K$1,$K$2,AYH$4),Table1[],(MATCH(Calendar!$A19,DB!$1:$1,0)),FALSE),"")</f>
        <v/>
      </c>
      <c r="AYI19" s="28" t="str">
        <f>IFERROR(VLOOKUP(DATE($K$1,$K$2,AYI$4),Table1[],(MATCH(Calendar!$A19,DB!$1:$1,0)),FALSE),"")</f>
        <v/>
      </c>
      <c r="AYJ19" s="28" t="str">
        <f>IFERROR(VLOOKUP(DATE($K$1,$K$2,AYJ$4),Table1[],(MATCH(Calendar!$A19,DB!$1:$1,0)),FALSE),"")</f>
        <v/>
      </c>
      <c r="AYK19" s="28" t="str">
        <f>IFERROR(VLOOKUP(DATE($K$1,$K$2,AYK$4),Table1[],(MATCH(Calendar!$A19,DB!$1:$1,0)),FALSE),"")</f>
        <v/>
      </c>
      <c r="AYL19" s="28" t="str">
        <f>IFERROR(VLOOKUP(DATE($K$1,$K$2,AYL$4),Table1[],(MATCH(Calendar!$A19,DB!$1:$1,0)),FALSE),"")</f>
        <v/>
      </c>
      <c r="AYM19" s="28" t="str">
        <f>IFERROR(VLOOKUP(DATE($K$1,$K$2,AYM$4),Table1[],(MATCH(Calendar!$A19,DB!$1:$1,0)),FALSE),"")</f>
        <v/>
      </c>
      <c r="AYN19" s="28" t="str">
        <f>IFERROR(VLOOKUP(DATE($K$1,$K$2,AYN$4),Table1[],(MATCH(Calendar!$A19,DB!$1:$1,0)),FALSE),"")</f>
        <v/>
      </c>
      <c r="AYO19" s="28" t="str">
        <f>IFERROR(VLOOKUP(DATE($K$1,$K$2,AYO$4),Table1[],(MATCH(Calendar!$A19,DB!$1:$1,0)),FALSE),"")</f>
        <v/>
      </c>
      <c r="AYP19" s="28" t="str">
        <f>IFERROR(VLOOKUP(DATE($K$1,$K$2,AYP$4),Table1[],(MATCH(Calendar!$A19,DB!$1:$1,0)),FALSE),"")</f>
        <v/>
      </c>
      <c r="AYQ19" s="28" t="str">
        <f>IFERROR(VLOOKUP(DATE($K$1,$K$2,AYQ$4),Table1[],(MATCH(Calendar!$A19,DB!$1:$1,0)),FALSE),"")</f>
        <v/>
      </c>
      <c r="AYR19" s="28" t="str">
        <f>IFERROR(VLOOKUP(DATE($K$1,$K$2,AYR$4),Table1[],(MATCH(Calendar!$A19,DB!$1:$1,0)),FALSE),"")</f>
        <v/>
      </c>
      <c r="AYS19" s="28" t="str">
        <f>IFERROR(VLOOKUP(DATE($K$1,$K$2,AYS$4),Table1[],(MATCH(Calendar!$A19,DB!$1:$1,0)),FALSE),"")</f>
        <v/>
      </c>
      <c r="AYT19" s="28" t="str">
        <f>IFERROR(VLOOKUP(DATE($K$1,$K$2,AYT$4),Table1[],(MATCH(Calendar!$A19,DB!$1:$1,0)),FALSE),"")</f>
        <v/>
      </c>
      <c r="AYU19" s="28" t="str">
        <f>IFERROR(VLOOKUP(DATE($K$1,$K$2,AYU$4),Table1[],(MATCH(Calendar!$A19,DB!$1:$1,0)),FALSE),"")</f>
        <v/>
      </c>
      <c r="AYV19" s="28" t="str">
        <f>IFERROR(VLOOKUP(DATE($K$1,$K$2,AYV$4),Table1[],(MATCH(Calendar!$A19,DB!$1:$1,0)),FALSE),"")</f>
        <v/>
      </c>
      <c r="AYW19" s="28" t="str">
        <f>IFERROR(VLOOKUP(DATE($K$1,$K$2,AYW$4),Table1[],(MATCH(Calendar!$A19,DB!$1:$1,0)),FALSE),"")</f>
        <v/>
      </c>
      <c r="AYX19" s="28" t="str">
        <f>IFERROR(VLOOKUP(DATE($K$1,$K$2,AYX$4),Table1[],(MATCH(Calendar!$A19,DB!$1:$1,0)),FALSE),"")</f>
        <v/>
      </c>
      <c r="AYY19" s="28" t="str">
        <f>IFERROR(VLOOKUP(DATE($K$1,$K$2,AYY$4),Table1[],(MATCH(Calendar!$A19,DB!$1:$1,0)),FALSE),"")</f>
        <v/>
      </c>
      <c r="AYZ19" s="28" t="str">
        <f>IFERROR(VLOOKUP(DATE($K$1,$K$2,AYZ$4),Table1[],(MATCH(Calendar!$A19,DB!$1:$1,0)),FALSE),"")</f>
        <v/>
      </c>
      <c r="AZA19" s="28" t="str">
        <f>IFERROR(VLOOKUP(DATE($K$1,$K$2,AZA$4),Table1[],(MATCH(Calendar!$A19,DB!$1:$1,0)),FALSE),"")</f>
        <v/>
      </c>
      <c r="AZB19" s="28" t="str">
        <f>IFERROR(VLOOKUP(DATE($K$1,$K$2,AZB$4),Table1[],(MATCH(Calendar!$A19,DB!$1:$1,0)),FALSE),"")</f>
        <v/>
      </c>
      <c r="AZC19" s="28" t="str">
        <f>IFERROR(VLOOKUP(DATE($K$1,$K$2,AZC$4),Table1[],(MATCH(Calendar!$A19,DB!$1:$1,0)),FALSE),"")</f>
        <v/>
      </c>
      <c r="AZD19" s="28" t="str">
        <f>IFERROR(VLOOKUP(DATE($K$1,$K$2,AZD$4),Table1[],(MATCH(Calendar!$A19,DB!$1:$1,0)),FALSE),"")</f>
        <v/>
      </c>
      <c r="AZE19" s="28" t="str">
        <f>IFERROR(VLOOKUP(DATE($K$1,$K$2,AZE$4),Table1[],(MATCH(Calendar!$A19,DB!$1:$1,0)),FALSE),"")</f>
        <v/>
      </c>
      <c r="AZF19" s="28" t="str">
        <f>IFERROR(VLOOKUP(DATE($K$1,$K$2,AZF$4),Table1[],(MATCH(Calendar!$A19,DB!$1:$1,0)),FALSE),"")</f>
        <v/>
      </c>
      <c r="AZG19" s="28" t="str">
        <f>IFERROR(VLOOKUP(DATE($K$1,$K$2,AZG$4),Table1[],(MATCH(Calendar!$A19,DB!$1:$1,0)),FALSE),"")</f>
        <v/>
      </c>
      <c r="AZH19" s="28" t="str">
        <f>IFERROR(VLOOKUP(DATE($K$1,$K$2,AZH$4),Table1[],(MATCH(Calendar!$A19,DB!$1:$1,0)),FALSE),"")</f>
        <v/>
      </c>
      <c r="AZI19" s="28" t="str">
        <f>IFERROR(VLOOKUP(DATE($K$1,$K$2,AZI$4),Table1[],(MATCH(Calendar!$A19,DB!$1:$1,0)),FALSE),"")</f>
        <v/>
      </c>
      <c r="AZJ19" s="28" t="str">
        <f>IFERROR(VLOOKUP(DATE($K$1,$K$2,AZJ$4),Table1[],(MATCH(Calendar!$A19,DB!$1:$1,0)),FALSE),"")</f>
        <v/>
      </c>
      <c r="AZK19" s="28" t="str">
        <f>IFERROR(VLOOKUP(DATE($K$1,$K$2,AZK$4),Table1[],(MATCH(Calendar!$A19,DB!$1:$1,0)),FALSE),"")</f>
        <v/>
      </c>
      <c r="AZL19" s="28" t="str">
        <f>IFERROR(VLOOKUP(DATE($K$1,$K$2,AZL$4),Table1[],(MATCH(Calendar!$A19,DB!$1:$1,0)),FALSE),"")</f>
        <v/>
      </c>
      <c r="AZM19" s="28" t="str">
        <f>IFERROR(VLOOKUP(DATE($K$1,$K$2,AZM$4),Table1[],(MATCH(Calendar!$A19,DB!$1:$1,0)),FALSE),"")</f>
        <v/>
      </c>
      <c r="AZN19" s="28" t="str">
        <f>IFERROR(VLOOKUP(DATE($K$1,$K$2,AZN$4),Table1[],(MATCH(Calendar!$A19,DB!$1:$1,0)),FALSE),"")</f>
        <v/>
      </c>
      <c r="AZO19" s="28" t="str">
        <f>IFERROR(VLOOKUP(DATE($K$1,$K$2,AZO$4),Table1[],(MATCH(Calendar!$A19,DB!$1:$1,0)),FALSE),"")</f>
        <v/>
      </c>
      <c r="AZP19" s="28" t="str">
        <f>IFERROR(VLOOKUP(DATE($K$1,$K$2,AZP$4),Table1[],(MATCH(Calendar!$A19,DB!$1:$1,0)),FALSE),"")</f>
        <v/>
      </c>
      <c r="AZQ19" s="28" t="str">
        <f>IFERROR(VLOOKUP(DATE($K$1,$K$2,AZQ$4),Table1[],(MATCH(Calendar!$A19,DB!$1:$1,0)),FALSE),"")</f>
        <v/>
      </c>
      <c r="AZR19" s="28" t="str">
        <f>IFERROR(VLOOKUP(DATE($K$1,$K$2,AZR$4),Table1[],(MATCH(Calendar!$A19,DB!$1:$1,0)),FALSE),"")</f>
        <v/>
      </c>
      <c r="AZS19" s="28" t="str">
        <f>IFERROR(VLOOKUP(DATE($K$1,$K$2,AZS$4),Table1[],(MATCH(Calendar!$A19,DB!$1:$1,0)),FALSE),"")</f>
        <v/>
      </c>
      <c r="AZT19" s="28" t="str">
        <f>IFERROR(VLOOKUP(DATE($K$1,$K$2,AZT$4),Table1[],(MATCH(Calendar!$A19,DB!$1:$1,0)),FALSE),"")</f>
        <v/>
      </c>
      <c r="AZU19" s="28" t="str">
        <f>IFERROR(VLOOKUP(DATE($K$1,$K$2,AZU$4),Table1[],(MATCH(Calendar!$A19,DB!$1:$1,0)),FALSE),"")</f>
        <v/>
      </c>
      <c r="AZV19" s="28" t="str">
        <f>IFERROR(VLOOKUP(DATE($K$1,$K$2,AZV$4),Table1[],(MATCH(Calendar!$A19,DB!$1:$1,0)),FALSE),"")</f>
        <v/>
      </c>
      <c r="AZW19" s="28" t="str">
        <f>IFERROR(VLOOKUP(DATE($K$1,$K$2,AZW$4),Table1[],(MATCH(Calendar!$A19,DB!$1:$1,0)),FALSE),"")</f>
        <v/>
      </c>
      <c r="AZX19" s="28" t="str">
        <f>IFERROR(VLOOKUP(DATE($K$1,$K$2,AZX$4),Table1[],(MATCH(Calendar!$A19,DB!$1:$1,0)),FALSE),"")</f>
        <v/>
      </c>
      <c r="AZY19" s="28" t="str">
        <f>IFERROR(VLOOKUP(DATE($K$1,$K$2,AZY$4),Table1[],(MATCH(Calendar!$A19,DB!$1:$1,0)),FALSE),"")</f>
        <v/>
      </c>
      <c r="AZZ19" s="28" t="str">
        <f>IFERROR(VLOOKUP(DATE($K$1,$K$2,AZZ$4),Table1[],(MATCH(Calendar!$A19,DB!$1:$1,0)),FALSE),"")</f>
        <v/>
      </c>
      <c r="BAA19" s="28" t="str">
        <f>IFERROR(VLOOKUP(DATE($K$1,$K$2,BAA$4),Table1[],(MATCH(Calendar!$A19,DB!$1:$1,0)),FALSE),"")</f>
        <v/>
      </c>
      <c r="BAB19" s="28" t="str">
        <f>IFERROR(VLOOKUP(DATE($K$1,$K$2,BAB$4),Table1[],(MATCH(Calendar!$A19,DB!$1:$1,0)),FALSE),"")</f>
        <v/>
      </c>
      <c r="BAC19" s="28" t="str">
        <f>IFERROR(VLOOKUP(DATE($K$1,$K$2,BAC$4),Table1[],(MATCH(Calendar!$A19,DB!$1:$1,0)),FALSE),"")</f>
        <v/>
      </c>
      <c r="BAD19" s="28" t="str">
        <f>IFERROR(VLOOKUP(DATE($K$1,$K$2,BAD$4),Table1[],(MATCH(Calendar!$A19,DB!$1:$1,0)),FALSE),"")</f>
        <v/>
      </c>
      <c r="BAE19" s="28" t="str">
        <f>IFERROR(VLOOKUP(DATE($K$1,$K$2,BAE$4),Table1[],(MATCH(Calendar!$A19,DB!$1:$1,0)),FALSE),"")</f>
        <v/>
      </c>
      <c r="BAF19" s="28" t="str">
        <f>IFERROR(VLOOKUP(DATE($K$1,$K$2,BAF$4),Table1[],(MATCH(Calendar!$A19,DB!$1:$1,0)),FALSE),"")</f>
        <v/>
      </c>
      <c r="BAG19" s="28" t="str">
        <f>IFERROR(VLOOKUP(DATE($K$1,$K$2,BAG$4),Table1[],(MATCH(Calendar!$A19,DB!$1:$1,0)),FALSE),"")</f>
        <v/>
      </c>
      <c r="BAH19" s="28" t="str">
        <f>IFERROR(VLOOKUP(DATE($K$1,$K$2,BAH$4),Table1[],(MATCH(Calendar!$A19,DB!$1:$1,0)),FALSE),"")</f>
        <v/>
      </c>
      <c r="BAI19" s="28" t="str">
        <f>IFERROR(VLOOKUP(DATE($K$1,$K$2,BAI$4),Table1[],(MATCH(Calendar!$A19,DB!$1:$1,0)),FALSE),"")</f>
        <v/>
      </c>
      <c r="BAJ19" s="28" t="str">
        <f>IFERROR(VLOOKUP(DATE($K$1,$K$2,BAJ$4),Table1[],(MATCH(Calendar!$A19,DB!$1:$1,0)),FALSE),"")</f>
        <v/>
      </c>
      <c r="BAK19" s="28" t="str">
        <f>IFERROR(VLOOKUP(DATE($K$1,$K$2,BAK$4),Table1[],(MATCH(Calendar!$A19,DB!$1:$1,0)),FALSE),"")</f>
        <v/>
      </c>
      <c r="BAL19" s="28" t="str">
        <f>IFERROR(VLOOKUP(DATE($K$1,$K$2,BAL$4),Table1[],(MATCH(Calendar!$A19,DB!$1:$1,0)),FALSE),"")</f>
        <v/>
      </c>
      <c r="BAM19" s="28" t="str">
        <f>IFERROR(VLOOKUP(DATE($K$1,$K$2,BAM$4),Table1[],(MATCH(Calendar!$A19,DB!$1:$1,0)),FALSE),"")</f>
        <v/>
      </c>
      <c r="BAN19" s="28" t="str">
        <f>IFERROR(VLOOKUP(DATE($K$1,$K$2,BAN$4),Table1[],(MATCH(Calendar!$A19,DB!$1:$1,0)),FALSE),"")</f>
        <v/>
      </c>
      <c r="BAO19" s="28" t="str">
        <f>IFERROR(VLOOKUP(DATE($K$1,$K$2,BAO$4),Table1[],(MATCH(Calendar!$A19,DB!$1:$1,0)),FALSE),"")</f>
        <v/>
      </c>
      <c r="BAP19" s="28" t="str">
        <f>IFERROR(VLOOKUP(DATE($K$1,$K$2,BAP$4),Table1[],(MATCH(Calendar!$A19,DB!$1:$1,0)),FALSE),"")</f>
        <v/>
      </c>
      <c r="BAQ19" s="28" t="str">
        <f>IFERROR(VLOOKUP(DATE($K$1,$K$2,BAQ$4),Table1[],(MATCH(Calendar!$A19,DB!$1:$1,0)),FALSE),"")</f>
        <v/>
      </c>
      <c r="BAR19" s="28" t="str">
        <f>IFERROR(VLOOKUP(DATE($K$1,$K$2,BAR$4),Table1[],(MATCH(Calendar!$A19,DB!$1:$1,0)),FALSE),"")</f>
        <v/>
      </c>
      <c r="BAS19" s="28" t="str">
        <f>IFERROR(VLOOKUP(DATE($K$1,$K$2,BAS$4),Table1[],(MATCH(Calendar!$A19,DB!$1:$1,0)),FALSE),"")</f>
        <v/>
      </c>
      <c r="BAT19" s="28" t="str">
        <f>IFERROR(VLOOKUP(DATE($K$1,$K$2,BAT$4),Table1[],(MATCH(Calendar!$A19,DB!$1:$1,0)),FALSE),"")</f>
        <v/>
      </c>
      <c r="BAU19" s="28" t="str">
        <f>IFERROR(VLOOKUP(DATE($K$1,$K$2,BAU$4),Table1[],(MATCH(Calendar!$A19,DB!$1:$1,0)),FALSE),"")</f>
        <v/>
      </c>
      <c r="BAV19" s="28" t="str">
        <f>IFERROR(VLOOKUP(DATE($K$1,$K$2,BAV$4),Table1[],(MATCH(Calendar!$A19,DB!$1:$1,0)),FALSE),"")</f>
        <v/>
      </c>
      <c r="BAW19" s="28" t="str">
        <f>IFERROR(VLOOKUP(DATE($K$1,$K$2,BAW$4),Table1[],(MATCH(Calendar!$A19,DB!$1:$1,0)),FALSE),"")</f>
        <v/>
      </c>
      <c r="BAX19" s="28" t="str">
        <f>IFERROR(VLOOKUP(DATE($K$1,$K$2,BAX$4),Table1[],(MATCH(Calendar!$A19,DB!$1:$1,0)),FALSE),"")</f>
        <v/>
      </c>
      <c r="BAY19" s="28" t="str">
        <f>IFERROR(VLOOKUP(DATE($K$1,$K$2,BAY$4),Table1[],(MATCH(Calendar!$A19,DB!$1:$1,0)),FALSE),"")</f>
        <v/>
      </c>
      <c r="BAZ19" s="28" t="str">
        <f>IFERROR(VLOOKUP(DATE($K$1,$K$2,BAZ$4),Table1[],(MATCH(Calendar!$A19,DB!$1:$1,0)),FALSE),"")</f>
        <v/>
      </c>
      <c r="BBA19" s="28" t="str">
        <f>IFERROR(VLOOKUP(DATE($K$1,$K$2,BBA$4),Table1[],(MATCH(Calendar!$A19,DB!$1:$1,0)),FALSE),"")</f>
        <v/>
      </c>
      <c r="BBB19" s="28" t="str">
        <f>IFERROR(VLOOKUP(DATE($K$1,$K$2,BBB$4),Table1[],(MATCH(Calendar!$A19,DB!$1:$1,0)),FALSE),"")</f>
        <v/>
      </c>
      <c r="BBC19" s="28" t="str">
        <f>IFERROR(VLOOKUP(DATE($K$1,$K$2,BBC$4),Table1[],(MATCH(Calendar!$A19,DB!$1:$1,0)),FALSE),"")</f>
        <v/>
      </c>
      <c r="BBD19" s="28" t="str">
        <f>IFERROR(VLOOKUP(DATE($K$1,$K$2,BBD$4),Table1[],(MATCH(Calendar!$A19,DB!$1:$1,0)),FALSE),"")</f>
        <v/>
      </c>
      <c r="BBE19" s="28" t="str">
        <f>IFERROR(VLOOKUP(DATE($K$1,$K$2,BBE$4),Table1[],(MATCH(Calendar!$A19,DB!$1:$1,0)),FALSE),"")</f>
        <v/>
      </c>
      <c r="BBF19" s="28" t="str">
        <f>IFERROR(VLOOKUP(DATE($K$1,$K$2,BBF$4),Table1[],(MATCH(Calendar!$A19,DB!$1:$1,0)),FALSE),"")</f>
        <v/>
      </c>
      <c r="BBG19" s="28" t="str">
        <f>IFERROR(VLOOKUP(DATE($K$1,$K$2,BBG$4),Table1[],(MATCH(Calendar!$A19,DB!$1:$1,0)),FALSE),"")</f>
        <v/>
      </c>
      <c r="BBH19" s="28" t="str">
        <f>IFERROR(VLOOKUP(DATE($K$1,$K$2,BBH$4),Table1[],(MATCH(Calendar!$A19,DB!$1:$1,0)),FALSE),"")</f>
        <v/>
      </c>
      <c r="BBI19" s="28" t="str">
        <f>IFERROR(VLOOKUP(DATE($K$1,$K$2,BBI$4),Table1[],(MATCH(Calendar!$A19,DB!$1:$1,0)),FALSE),"")</f>
        <v/>
      </c>
      <c r="BBJ19" s="28" t="str">
        <f>IFERROR(VLOOKUP(DATE($K$1,$K$2,BBJ$4),Table1[],(MATCH(Calendar!$A19,DB!$1:$1,0)),FALSE),"")</f>
        <v/>
      </c>
      <c r="BBK19" s="28" t="str">
        <f>IFERROR(VLOOKUP(DATE($K$1,$K$2,BBK$4),Table1[],(MATCH(Calendar!$A19,DB!$1:$1,0)),FALSE),"")</f>
        <v/>
      </c>
      <c r="BBL19" s="28" t="str">
        <f>IFERROR(VLOOKUP(DATE($K$1,$K$2,BBL$4),Table1[],(MATCH(Calendar!$A19,DB!$1:$1,0)),FALSE),"")</f>
        <v/>
      </c>
      <c r="BBM19" s="28" t="str">
        <f>IFERROR(VLOOKUP(DATE($K$1,$K$2,BBM$4),Table1[],(MATCH(Calendar!$A19,DB!$1:$1,0)),FALSE),"")</f>
        <v/>
      </c>
      <c r="BBN19" s="28" t="str">
        <f>IFERROR(VLOOKUP(DATE($K$1,$K$2,BBN$4),Table1[],(MATCH(Calendar!$A19,DB!$1:$1,0)),FALSE),"")</f>
        <v/>
      </c>
      <c r="BBO19" s="28" t="str">
        <f>IFERROR(VLOOKUP(DATE($K$1,$K$2,BBO$4),Table1[],(MATCH(Calendar!$A19,DB!$1:$1,0)),FALSE),"")</f>
        <v/>
      </c>
      <c r="BBP19" s="28" t="str">
        <f>IFERROR(VLOOKUP(DATE($K$1,$K$2,BBP$4),Table1[],(MATCH(Calendar!$A19,DB!$1:$1,0)),FALSE),"")</f>
        <v/>
      </c>
      <c r="BBQ19" s="28" t="str">
        <f>IFERROR(VLOOKUP(DATE($K$1,$K$2,BBQ$4),Table1[],(MATCH(Calendar!$A19,DB!$1:$1,0)),FALSE),"")</f>
        <v/>
      </c>
      <c r="BBR19" s="28" t="str">
        <f>IFERROR(VLOOKUP(DATE($K$1,$K$2,BBR$4),Table1[],(MATCH(Calendar!$A19,DB!$1:$1,0)),FALSE),"")</f>
        <v/>
      </c>
      <c r="BBS19" s="28" t="str">
        <f>IFERROR(VLOOKUP(DATE($K$1,$K$2,BBS$4),Table1[],(MATCH(Calendar!$A19,DB!$1:$1,0)),FALSE),"")</f>
        <v/>
      </c>
      <c r="BBT19" s="28" t="str">
        <f>IFERROR(VLOOKUP(DATE($K$1,$K$2,BBT$4),Table1[],(MATCH(Calendar!$A19,DB!$1:$1,0)),FALSE),"")</f>
        <v/>
      </c>
      <c r="BBU19" s="28" t="str">
        <f>IFERROR(VLOOKUP(DATE($K$1,$K$2,BBU$4),Table1[],(MATCH(Calendar!$A19,DB!$1:$1,0)),FALSE),"")</f>
        <v/>
      </c>
      <c r="BBV19" s="28" t="str">
        <f>IFERROR(VLOOKUP(DATE($K$1,$K$2,BBV$4),Table1[],(MATCH(Calendar!$A19,DB!$1:$1,0)),FALSE),"")</f>
        <v/>
      </c>
      <c r="BBW19" s="28" t="str">
        <f>IFERROR(VLOOKUP(DATE($K$1,$K$2,BBW$4),Table1[],(MATCH(Calendar!$A19,DB!$1:$1,0)),FALSE),"")</f>
        <v/>
      </c>
      <c r="BBX19" s="28" t="str">
        <f>IFERROR(VLOOKUP(DATE($K$1,$K$2,BBX$4),Table1[],(MATCH(Calendar!$A19,DB!$1:$1,0)),FALSE),"")</f>
        <v/>
      </c>
      <c r="BBY19" s="28" t="str">
        <f>IFERROR(VLOOKUP(DATE($K$1,$K$2,BBY$4),Table1[],(MATCH(Calendar!$A19,DB!$1:$1,0)),FALSE),"")</f>
        <v/>
      </c>
      <c r="BBZ19" s="28" t="str">
        <f>IFERROR(VLOOKUP(DATE($K$1,$K$2,BBZ$4),Table1[],(MATCH(Calendar!$A19,DB!$1:$1,0)),FALSE),"")</f>
        <v/>
      </c>
      <c r="BCA19" s="28" t="str">
        <f>IFERROR(VLOOKUP(DATE($K$1,$K$2,BCA$4),Table1[],(MATCH(Calendar!$A19,DB!$1:$1,0)),FALSE),"")</f>
        <v/>
      </c>
      <c r="BCB19" s="28" t="str">
        <f>IFERROR(VLOOKUP(DATE($K$1,$K$2,BCB$4),Table1[],(MATCH(Calendar!$A19,DB!$1:$1,0)),FALSE),"")</f>
        <v/>
      </c>
      <c r="BCC19" s="28" t="str">
        <f>IFERROR(VLOOKUP(DATE($K$1,$K$2,BCC$4),Table1[],(MATCH(Calendar!$A19,DB!$1:$1,0)),FALSE),"")</f>
        <v/>
      </c>
      <c r="BCD19" s="28" t="str">
        <f>IFERROR(VLOOKUP(DATE($K$1,$K$2,BCD$4),Table1[],(MATCH(Calendar!$A19,DB!$1:$1,0)),FALSE),"")</f>
        <v/>
      </c>
      <c r="BCE19" s="28" t="str">
        <f>IFERROR(VLOOKUP(DATE($K$1,$K$2,BCE$4),Table1[],(MATCH(Calendar!$A19,DB!$1:$1,0)),FALSE),"")</f>
        <v/>
      </c>
      <c r="BCF19" s="28" t="str">
        <f>IFERROR(VLOOKUP(DATE($K$1,$K$2,BCF$4),Table1[],(MATCH(Calendar!$A19,DB!$1:$1,0)),FALSE),"")</f>
        <v/>
      </c>
      <c r="BCG19" s="28" t="str">
        <f>IFERROR(VLOOKUP(DATE($K$1,$K$2,BCG$4),Table1[],(MATCH(Calendar!$A19,DB!$1:$1,0)),FALSE),"")</f>
        <v/>
      </c>
      <c r="BCH19" s="28" t="str">
        <f>IFERROR(VLOOKUP(DATE($K$1,$K$2,BCH$4),Table1[],(MATCH(Calendar!$A19,DB!$1:$1,0)),FALSE),"")</f>
        <v/>
      </c>
      <c r="BCI19" s="28" t="str">
        <f>IFERROR(VLOOKUP(DATE($K$1,$K$2,BCI$4),Table1[],(MATCH(Calendar!$A19,DB!$1:$1,0)),FALSE),"")</f>
        <v/>
      </c>
      <c r="BCJ19" s="28" t="str">
        <f>IFERROR(VLOOKUP(DATE($K$1,$K$2,BCJ$4),Table1[],(MATCH(Calendar!$A19,DB!$1:$1,0)),FALSE),"")</f>
        <v/>
      </c>
      <c r="BCK19" s="28" t="str">
        <f>IFERROR(VLOOKUP(DATE($K$1,$K$2,BCK$4),Table1[],(MATCH(Calendar!$A19,DB!$1:$1,0)),FALSE),"")</f>
        <v/>
      </c>
      <c r="BCL19" s="28" t="str">
        <f>IFERROR(VLOOKUP(DATE($K$1,$K$2,BCL$4),Table1[],(MATCH(Calendar!$A19,DB!$1:$1,0)),FALSE),"")</f>
        <v/>
      </c>
      <c r="BCM19" s="28" t="str">
        <f>IFERROR(VLOOKUP(DATE($K$1,$K$2,BCM$4),Table1[],(MATCH(Calendar!$A19,DB!$1:$1,0)),FALSE),"")</f>
        <v/>
      </c>
      <c r="BCN19" s="28" t="str">
        <f>IFERROR(VLOOKUP(DATE($K$1,$K$2,BCN$4),Table1[],(MATCH(Calendar!$A19,DB!$1:$1,0)),FALSE),"")</f>
        <v/>
      </c>
      <c r="BCO19" s="28" t="str">
        <f>IFERROR(VLOOKUP(DATE($K$1,$K$2,BCO$4),Table1[],(MATCH(Calendar!$A19,DB!$1:$1,0)),FALSE),"")</f>
        <v/>
      </c>
      <c r="BCP19" s="28" t="str">
        <f>IFERROR(VLOOKUP(DATE($K$1,$K$2,BCP$4),Table1[],(MATCH(Calendar!$A19,DB!$1:$1,0)),FALSE),"")</f>
        <v/>
      </c>
      <c r="BCQ19" s="28" t="str">
        <f>IFERROR(VLOOKUP(DATE($K$1,$K$2,BCQ$4),Table1[],(MATCH(Calendar!$A19,DB!$1:$1,0)),FALSE),"")</f>
        <v/>
      </c>
      <c r="BCR19" s="28" t="str">
        <f>IFERROR(VLOOKUP(DATE($K$1,$K$2,BCR$4),Table1[],(MATCH(Calendar!$A19,DB!$1:$1,0)),FALSE),"")</f>
        <v/>
      </c>
      <c r="BCS19" s="28" t="str">
        <f>IFERROR(VLOOKUP(DATE($K$1,$K$2,BCS$4),Table1[],(MATCH(Calendar!$A19,DB!$1:$1,0)),FALSE),"")</f>
        <v/>
      </c>
      <c r="BCT19" s="28" t="str">
        <f>IFERROR(VLOOKUP(DATE($K$1,$K$2,BCT$4),Table1[],(MATCH(Calendar!$A19,DB!$1:$1,0)),FALSE),"")</f>
        <v/>
      </c>
      <c r="BCU19" s="28" t="str">
        <f>IFERROR(VLOOKUP(DATE($K$1,$K$2,BCU$4),Table1[],(MATCH(Calendar!$A19,DB!$1:$1,0)),FALSE),"")</f>
        <v/>
      </c>
      <c r="BCV19" s="28" t="str">
        <f>IFERROR(VLOOKUP(DATE($K$1,$K$2,BCV$4),Table1[],(MATCH(Calendar!$A19,DB!$1:$1,0)),FALSE),"")</f>
        <v/>
      </c>
      <c r="BCW19" s="28" t="str">
        <f>IFERROR(VLOOKUP(DATE($K$1,$K$2,BCW$4),Table1[],(MATCH(Calendar!$A19,DB!$1:$1,0)),FALSE),"")</f>
        <v/>
      </c>
      <c r="BCX19" s="28" t="str">
        <f>IFERROR(VLOOKUP(DATE($K$1,$K$2,BCX$4),Table1[],(MATCH(Calendar!$A19,DB!$1:$1,0)),FALSE),"")</f>
        <v/>
      </c>
      <c r="BCY19" s="28" t="str">
        <f>IFERROR(VLOOKUP(DATE($K$1,$K$2,BCY$4),Table1[],(MATCH(Calendar!$A19,DB!$1:$1,0)),FALSE),"")</f>
        <v/>
      </c>
      <c r="BCZ19" s="28" t="str">
        <f>IFERROR(VLOOKUP(DATE($K$1,$K$2,BCZ$4),Table1[],(MATCH(Calendar!$A19,DB!$1:$1,0)),FALSE),"")</f>
        <v/>
      </c>
      <c r="BDA19" s="28" t="str">
        <f>IFERROR(VLOOKUP(DATE($K$1,$K$2,BDA$4),Table1[],(MATCH(Calendar!$A19,DB!$1:$1,0)),FALSE),"")</f>
        <v/>
      </c>
      <c r="BDB19" s="28" t="str">
        <f>IFERROR(VLOOKUP(DATE($K$1,$K$2,BDB$4),Table1[],(MATCH(Calendar!$A19,DB!$1:$1,0)),FALSE),"")</f>
        <v/>
      </c>
      <c r="BDC19" s="28" t="str">
        <f>IFERROR(VLOOKUP(DATE($K$1,$K$2,BDC$4),Table1[],(MATCH(Calendar!$A19,DB!$1:$1,0)),FALSE),"")</f>
        <v/>
      </c>
      <c r="BDD19" s="28" t="str">
        <f>IFERROR(VLOOKUP(DATE($K$1,$K$2,BDD$4),Table1[],(MATCH(Calendar!$A19,DB!$1:$1,0)),FALSE),"")</f>
        <v/>
      </c>
      <c r="BDE19" s="28" t="str">
        <f>IFERROR(VLOOKUP(DATE($K$1,$K$2,BDE$4),Table1[],(MATCH(Calendar!$A19,DB!$1:$1,0)),FALSE),"")</f>
        <v/>
      </c>
      <c r="BDF19" s="28" t="str">
        <f>IFERROR(VLOOKUP(DATE($K$1,$K$2,BDF$4),Table1[],(MATCH(Calendar!$A19,DB!$1:$1,0)),FALSE),"")</f>
        <v/>
      </c>
      <c r="BDG19" s="28" t="str">
        <f>IFERROR(VLOOKUP(DATE($K$1,$K$2,BDG$4),Table1[],(MATCH(Calendar!$A19,DB!$1:$1,0)),FALSE),"")</f>
        <v/>
      </c>
      <c r="BDH19" s="28" t="str">
        <f>IFERROR(VLOOKUP(DATE($K$1,$K$2,BDH$4),Table1[],(MATCH(Calendar!$A19,DB!$1:$1,0)),FALSE),"")</f>
        <v/>
      </c>
      <c r="BDI19" s="28" t="str">
        <f>IFERROR(VLOOKUP(DATE($K$1,$K$2,BDI$4),Table1[],(MATCH(Calendar!$A19,DB!$1:$1,0)),FALSE),"")</f>
        <v/>
      </c>
      <c r="BDJ19" s="28" t="str">
        <f>IFERROR(VLOOKUP(DATE($K$1,$K$2,BDJ$4),Table1[],(MATCH(Calendar!$A19,DB!$1:$1,0)),FALSE),"")</f>
        <v/>
      </c>
      <c r="BDK19" s="28" t="str">
        <f>IFERROR(VLOOKUP(DATE($K$1,$K$2,BDK$4),Table1[],(MATCH(Calendar!$A19,DB!$1:$1,0)),FALSE),"")</f>
        <v/>
      </c>
      <c r="BDL19" s="28" t="str">
        <f>IFERROR(VLOOKUP(DATE($K$1,$K$2,BDL$4),Table1[],(MATCH(Calendar!$A19,DB!$1:$1,0)),FALSE),"")</f>
        <v/>
      </c>
      <c r="BDM19" s="28" t="str">
        <f>IFERROR(VLOOKUP(DATE($K$1,$K$2,BDM$4),Table1[],(MATCH(Calendar!$A19,DB!$1:$1,0)),FALSE),"")</f>
        <v/>
      </c>
      <c r="BDN19" s="28" t="str">
        <f>IFERROR(VLOOKUP(DATE($K$1,$K$2,BDN$4),Table1[],(MATCH(Calendar!$A19,DB!$1:$1,0)),FALSE),"")</f>
        <v/>
      </c>
      <c r="BDO19" s="28" t="str">
        <f>IFERROR(VLOOKUP(DATE($K$1,$K$2,BDO$4),Table1[],(MATCH(Calendar!$A19,DB!$1:$1,0)),FALSE),"")</f>
        <v/>
      </c>
      <c r="BDP19" s="28" t="str">
        <f>IFERROR(VLOOKUP(DATE($K$1,$K$2,BDP$4),Table1[],(MATCH(Calendar!$A19,DB!$1:$1,0)),FALSE),"")</f>
        <v/>
      </c>
      <c r="BDQ19" s="28" t="str">
        <f>IFERROR(VLOOKUP(DATE($K$1,$K$2,BDQ$4),Table1[],(MATCH(Calendar!$A19,DB!$1:$1,0)),FALSE),"")</f>
        <v/>
      </c>
      <c r="BDR19" s="28" t="str">
        <f>IFERROR(VLOOKUP(DATE($K$1,$K$2,BDR$4),Table1[],(MATCH(Calendar!$A19,DB!$1:$1,0)),FALSE),"")</f>
        <v/>
      </c>
      <c r="BDS19" s="28" t="str">
        <f>IFERROR(VLOOKUP(DATE($K$1,$K$2,BDS$4),Table1[],(MATCH(Calendar!$A19,DB!$1:$1,0)),FALSE),"")</f>
        <v/>
      </c>
      <c r="BDT19" s="28" t="str">
        <f>IFERROR(VLOOKUP(DATE($K$1,$K$2,BDT$4),Table1[],(MATCH(Calendar!$A19,DB!$1:$1,0)),FALSE),"")</f>
        <v/>
      </c>
      <c r="BDU19" s="28" t="str">
        <f>IFERROR(VLOOKUP(DATE($K$1,$K$2,BDU$4),Table1[],(MATCH(Calendar!$A19,DB!$1:$1,0)),FALSE),"")</f>
        <v/>
      </c>
      <c r="BDV19" s="28" t="str">
        <f>IFERROR(VLOOKUP(DATE($K$1,$K$2,BDV$4),Table1[],(MATCH(Calendar!$A19,DB!$1:$1,0)),FALSE),"")</f>
        <v/>
      </c>
      <c r="BDW19" s="28" t="str">
        <f>IFERROR(VLOOKUP(DATE($K$1,$K$2,BDW$4),Table1[],(MATCH(Calendar!$A19,DB!$1:$1,0)),FALSE),"")</f>
        <v/>
      </c>
      <c r="BDX19" s="28" t="str">
        <f>IFERROR(VLOOKUP(DATE($K$1,$K$2,BDX$4),Table1[],(MATCH(Calendar!$A19,DB!$1:$1,0)),FALSE),"")</f>
        <v/>
      </c>
      <c r="BDY19" s="28" t="str">
        <f>IFERROR(VLOOKUP(DATE($K$1,$K$2,BDY$4),Table1[],(MATCH(Calendar!$A19,DB!$1:$1,0)),FALSE),"")</f>
        <v/>
      </c>
      <c r="BDZ19" s="28" t="str">
        <f>IFERROR(VLOOKUP(DATE($K$1,$K$2,BDZ$4),Table1[],(MATCH(Calendar!$A19,DB!$1:$1,0)),FALSE),"")</f>
        <v/>
      </c>
      <c r="BEA19" s="28" t="str">
        <f>IFERROR(VLOOKUP(DATE($K$1,$K$2,BEA$4),Table1[],(MATCH(Calendar!$A19,DB!$1:$1,0)),FALSE),"")</f>
        <v/>
      </c>
      <c r="BEB19" s="28" t="str">
        <f>IFERROR(VLOOKUP(DATE($K$1,$K$2,BEB$4),Table1[],(MATCH(Calendar!$A19,DB!$1:$1,0)),FALSE),"")</f>
        <v/>
      </c>
      <c r="BEC19" s="28" t="str">
        <f>IFERROR(VLOOKUP(DATE($K$1,$K$2,BEC$4),Table1[],(MATCH(Calendar!$A19,DB!$1:$1,0)),FALSE),"")</f>
        <v/>
      </c>
      <c r="BED19" s="28" t="str">
        <f>IFERROR(VLOOKUP(DATE($K$1,$K$2,BED$4),Table1[],(MATCH(Calendar!$A19,DB!$1:$1,0)),FALSE),"")</f>
        <v/>
      </c>
      <c r="BEE19" s="28" t="str">
        <f>IFERROR(VLOOKUP(DATE($K$1,$K$2,BEE$4),Table1[],(MATCH(Calendar!$A19,DB!$1:$1,0)),FALSE),"")</f>
        <v/>
      </c>
      <c r="BEF19" s="28" t="str">
        <f>IFERROR(VLOOKUP(DATE($K$1,$K$2,BEF$4),Table1[],(MATCH(Calendar!$A19,DB!$1:$1,0)),FALSE),"")</f>
        <v/>
      </c>
      <c r="BEG19" s="28" t="str">
        <f>IFERROR(VLOOKUP(DATE($K$1,$K$2,BEG$4),Table1[],(MATCH(Calendar!$A19,DB!$1:$1,0)),FALSE),"")</f>
        <v/>
      </c>
      <c r="BEH19" s="28" t="str">
        <f>IFERROR(VLOOKUP(DATE($K$1,$K$2,BEH$4),Table1[],(MATCH(Calendar!$A19,DB!$1:$1,0)),FALSE),"")</f>
        <v/>
      </c>
      <c r="BEI19" s="28" t="str">
        <f>IFERROR(VLOOKUP(DATE($K$1,$K$2,BEI$4),Table1[],(MATCH(Calendar!$A19,DB!$1:$1,0)),FALSE),"")</f>
        <v/>
      </c>
      <c r="BEJ19" s="28" t="str">
        <f>IFERROR(VLOOKUP(DATE($K$1,$K$2,BEJ$4),Table1[],(MATCH(Calendar!$A19,DB!$1:$1,0)),FALSE),"")</f>
        <v/>
      </c>
      <c r="BEK19" s="28" t="str">
        <f>IFERROR(VLOOKUP(DATE($K$1,$K$2,BEK$4),Table1[],(MATCH(Calendar!$A19,DB!$1:$1,0)),FALSE),"")</f>
        <v/>
      </c>
      <c r="BEL19" s="28" t="str">
        <f>IFERROR(VLOOKUP(DATE($K$1,$K$2,BEL$4),Table1[],(MATCH(Calendar!$A19,DB!$1:$1,0)),FALSE),"")</f>
        <v/>
      </c>
      <c r="BEM19" s="28" t="str">
        <f>IFERROR(VLOOKUP(DATE($K$1,$K$2,BEM$4),Table1[],(MATCH(Calendar!$A19,DB!$1:$1,0)),FALSE),"")</f>
        <v/>
      </c>
      <c r="BEN19" s="28" t="str">
        <f>IFERROR(VLOOKUP(DATE($K$1,$K$2,BEN$4),Table1[],(MATCH(Calendar!$A19,DB!$1:$1,0)),FALSE),"")</f>
        <v/>
      </c>
      <c r="BEO19" s="28" t="str">
        <f>IFERROR(VLOOKUP(DATE($K$1,$K$2,BEO$4),Table1[],(MATCH(Calendar!$A19,DB!$1:$1,0)),FALSE),"")</f>
        <v/>
      </c>
      <c r="BEP19" s="28" t="str">
        <f>IFERROR(VLOOKUP(DATE($K$1,$K$2,BEP$4),Table1[],(MATCH(Calendar!$A19,DB!$1:$1,0)),FALSE),"")</f>
        <v/>
      </c>
      <c r="BEQ19" s="28" t="str">
        <f>IFERROR(VLOOKUP(DATE($K$1,$K$2,BEQ$4),Table1[],(MATCH(Calendar!$A19,DB!$1:$1,0)),FALSE),"")</f>
        <v/>
      </c>
      <c r="BER19" s="28" t="str">
        <f>IFERROR(VLOOKUP(DATE($K$1,$K$2,BER$4),Table1[],(MATCH(Calendar!$A19,DB!$1:$1,0)),FALSE),"")</f>
        <v/>
      </c>
      <c r="BES19" s="28" t="str">
        <f>IFERROR(VLOOKUP(DATE($K$1,$K$2,BES$4),Table1[],(MATCH(Calendar!$A19,DB!$1:$1,0)),FALSE),"")</f>
        <v/>
      </c>
      <c r="BET19" s="28" t="str">
        <f>IFERROR(VLOOKUP(DATE($K$1,$K$2,BET$4),Table1[],(MATCH(Calendar!$A19,DB!$1:$1,0)),FALSE),"")</f>
        <v/>
      </c>
      <c r="BEU19" s="28" t="str">
        <f>IFERROR(VLOOKUP(DATE($K$1,$K$2,BEU$4),Table1[],(MATCH(Calendar!$A19,DB!$1:$1,0)),FALSE),"")</f>
        <v/>
      </c>
      <c r="BEV19" s="28" t="str">
        <f>IFERROR(VLOOKUP(DATE($K$1,$K$2,BEV$4),Table1[],(MATCH(Calendar!$A19,DB!$1:$1,0)),FALSE),"")</f>
        <v/>
      </c>
      <c r="BEW19" s="28" t="str">
        <f>IFERROR(VLOOKUP(DATE($K$1,$K$2,BEW$4),Table1[],(MATCH(Calendar!$A19,DB!$1:$1,0)),FALSE),"")</f>
        <v/>
      </c>
      <c r="BEX19" s="28" t="str">
        <f>IFERROR(VLOOKUP(DATE($K$1,$K$2,BEX$4),Table1[],(MATCH(Calendar!$A19,DB!$1:$1,0)),FALSE),"")</f>
        <v/>
      </c>
      <c r="BEY19" s="28" t="str">
        <f>IFERROR(VLOOKUP(DATE($K$1,$K$2,BEY$4),Table1[],(MATCH(Calendar!$A19,DB!$1:$1,0)),FALSE),"")</f>
        <v/>
      </c>
      <c r="BEZ19" s="28" t="str">
        <f>IFERROR(VLOOKUP(DATE($K$1,$K$2,BEZ$4),Table1[],(MATCH(Calendar!$A19,DB!$1:$1,0)),FALSE),"")</f>
        <v/>
      </c>
      <c r="BFA19" s="28" t="str">
        <f>IFERROR(VLOOKUP(DATE($K$1,$K$2,BFA$4),Table1[],(MATCH(Calendar!$A19,DB!$1:$1,0)),FALSE),"")</f>
        <v/>
      </c>
      <c r="BFB19" s="28" t="str">
        <f>IFERROR(VLOOKUP(DATE($K$1,$K$2,BFB$4),Table1[],(MATCH(Calendar!$A19,DB!$1:$1,0)),FALSE),"")</f>
        <v/>
      </c>
      <c r="BFC19" s="28" t="str">
        <f>IFERROR(VLOOKUP(DATE($K$1,$K$2,BFC$4),Table1[],(MATCH(Calendar!$A19,DB!$1:$1,0)),FALSE),"")</f>
        <v/>
      </c>
      <c r="BFD19" s="28" t="str">
        <f>IFERROR(VLOOKUP(DATE($K$1,$K$2,BFD$4),Table1[],(MATCH(Calendar!$A19,DB!$1:$1,0)),FALSE),"")</f>
        <v/>
      </c>
      <c r="BFE19" s="28" t="str">
        <f>IFERROR(VLOOKUP(DATE($K$1,$K$2,BFE$4),Table1[],(MATCH(Calendar!$A19,DB!$1:$1,0)),FALSE),"")</f>
        <v/>
      </c>
      <c r="BFF19" s="28" t="str">
        <f>IFERROR(VLOOKUP(DATE($K$1,$K$2,BFF$4),Table1[],(MATCH(Calendar!$A19,DB!$1:$1,0)),FALSE),"")</f>
        <v/>
      </c>
      <c r="BFG19" s="28" t="str">
        <f>IFERROR(VLOOKUP(DATE($K$1,$K$2,BFG$4),Table1[],(MATCH(Calendar!$A19,DB!$1:$1,0)),FALSE),"")</f>
        <v/>
      </c>
      <c r="BFH19" s="28" t="str">
        <f>IFERROR(VLOOKUP(DATE($K$1,$K$2,BFH$4),Table1[],(MATCH(Calendar!$A19,DB!$1:$1,0)),FALSE),"")</f>
        <v/>
      </c>
      <c r="BFI19" s="28" t="str">
        <f>IFERROR(VLOOKUP(DATE($K$1,$K$2,BFI$4),Table1[],(MATCH(Calendar!$A19,DB!$1:$1,0)),FALSE),"")</f>
        <v/>
      </c>
      <c r="BFJ19" s="28" t="str">
        <f>IFERROR(VLOOKUP(DATE($K$1,$K$2,BFJ$4),Table1[],(MATCH(Calendar!$A19,DB!$1:$1,0)),FALSE),"")</f>
        <v/>
      </c>
      <c r="BFK19" s="28" t="str">
        <f>IFERROR(VLOOKUP(DATE($K$1,$K$2,BFK$4),Table1[],(MATCH(Calendar!$A19,DB!$1:$1,0)),FALSE),"")</f>
        <v/>
      </c>
      <c r="BFL19" s="28" t="str">
        <f>IFERROR(VLOOKUP(DATE($K$1,$K$2,BFL$4),Table1[],(MATCH(Calendar!$A19,DB!$1:$1,0)),FALSE),"")</f>
        <v/>
      </c>
      <c r="BFM19" s="28" t="str">
        <f>IFERROR(VLOOKUP(DATE($K$1,$K$2,BFM$4),Table1[],(MATCH(Calendar!$A19,DB!$1:$1,0)),FALSE),"")</f>
        <v/>
      </c>
      <c r="BFN19" s="28" t="str">
        <f>IFERROR(VLOOKUP(DATE($K$1,$K$2,BFN$4),Table1[],(MATCH(Calendar!$A19,DB!$1:$1,0)),FALSE),"")</f>
        <v/>
      </c>
      <c r="BFO19" s="28" t="str">
        <f>IFERROR(VLOOKUP(DATE($K$1,$K$2,BFO$4),Table1[],(MATCH(Calendar!$A19,DB!$1:$1,0)),FALSE),"")</f>
        <v/>
      </c>
      <c r="BFP19" s="28" t="str">
        <f>IFERROR(VLOOKUP(DATE($K$1,$K$2,BFP$4),Table1[],(MATCH(Calendar!$A19,DB!$1:$1,0)),FALSE),"")</f>
        <v/>
      </c>
      <c r="BFQ19" s="28" t="str">
        <f>IFERROR(VLOOKUP(DATE($K$1,$K$2,BFQ$4),Table1[],(MATCH(Calendar!$A19,DB!$1:$1,0)),FALSE),"")</f>
        <v/>
      </c>
      <c r="BFR19" s="28" t="str">
        <f>IFERROR(VLOOKUP(DATE($K$1,$K$2,BFR$4),Table1[],(MATCH(Calendar!$A19,DB!$1:$1,0)),FALSE),"")</f>
        <v/>
      </c>
      <c r="BFS19" s="28" t="str">
        <f>IFERROR(VLOOKUP(DATE($K$1,$K$2,BFS$4),Table1[],(MATCH(Calendar!$A19,DB!$1:$1,0)),FALSE),"")</f>
        <v/>
      </c>
      <c r="BFT19" s="28" t="str">
        <f>IFERROR(VLOOKUP(DATE($K$1,$K$2,BFT$4),Table1[],(MATCH(Calendar!$A19,DB!$1:$1,0)),FALSE),"")</f>
        <v/>
      </c>
      <c r="BFU19" s="28" t="str">
        <f>IFERROR(VLOOKUP(DATE($K$1,$K$2,BFU$4),Table1[],(MATCH(Calendar!$A19,DB!$1:$1,0)),FALSE),"")</f>
        <v/>
      </c>
      <c r="BFV19" s="28" t="str">
        <f>IFERROR(VLOOKUP(DATE($K$1,$K$2,BFV$4),Table1[],(MATCH(Calendar!$A19,DB!$1:$1,0)),FALSE),"")</f>
        <v/>
      </c>
      <c r="BFW19" s="28" t="str">
        <f>IFERROR(VLOOKUP(DATE($K$1,$K$2,BFW$4),Table1[],(MATCH(Calendar!$A19,DB!$1:$1,0)),FALSE),"")</f>
        <v/>
      </c>
      <c r="BFX19" s="28" t="str">
        <f>IFERROR(VLOOKUP(DATE($K$1,$K$2,BFX$4),Table1[],(MATCH(Calendar!$A19,DB!$1:$1,0)),FALSE),"")</f>
        <v/>
      </c>
      <c r="BFY19" s="28" t="str">
        <f>IFERROR(VLOOKUP(DATE($K$1,$K$2,BFY$4),Table1[],(MATCH(Calendar!$A19,DB!$1:$1,0)),FALSE),"")</f>
        <v/>
      </c>
      <c r="BFZ19" s="28" t="str">
        <f>IFERROR(VLOOKUP(DATE($K$1,$K$2,BFZ$4),Table1[],(MATCH(Calendar!$A19,DB!$1:$1,0)),FALSE),"")</f>
        <v/>
      </c>
      <c r="BGA19" s="28" t="str">
        <f>IFERROR(VLOOKUP(DATE($K$1,$K$2,BGA$4),Table1[],(MATCH(Calendar!$A19,DB!$1:$1,0)),FALSE),"")</f>
        <v/>
      </c>
      <c r="BGB19" s="28" t="str">
        <f>IFERROR(VLOOKUP(DATE($K$1,$K$2,BGB$4),Table1[],(MATCH(Calendar!$A19,DB!$1:$1,0)),FALSE),"")</f>
        <v/>
      </c>
      <c r="BGC19" s="28" t="str">
        <f>IFERROR(VLOOKUP(DATE($K$1,$K$2,BGC$4),Table1[],(MATCH(Calendar!$A19,DB!$1:$1,0)),FALSE),"")</f>
        <v/>
      </c>
      <c r="BGD19" s="28" t="str">
        <f>IFERROR(VLOOKUP(DATE($K$1,$K$2,BGD$4),Table1[],(MATCH(Calendar!$A19,DB!$1:$1,0)),FALSE),"")</f>
        <v/>
      </c>
      <c r="BGE19" s="28" t="str">
        <f>IFERROR(VLOOKUP(DATE($K$1,$K$2,BGE$4),Table1[],(MATCH(Calendar!$A19,DB!$1:$1,0)),FALSE),"")</f>
        <v/>
      </c>
      <c r="BGF19" s="28" t="str">
        <f>IFERROR(VLOOKUP(DATE($K$1,$K$2,BGF$4),Table1[],(MATCH(Calendar!$A19,DB!$1:$1,0)),FALSE),"")</f>
        <v/>
      </c>
      <c r="BGG19" s="28" t="str">
        <f>IFERROR(VLOOKUP(DATE($K$1,$K$2,BGG$4),Table1[],(MATCH(Calendar!$A19,DB!$1:$1,0)),FALSE),"")</f>
        <v/>
      </c>
      <c r="BGH19" s="28" t="str">
        <f>IFERROR(VLOOKUP(DATE($K$1,$K$2,BGH$4),Table1[],(MATCH(Calendar!$A19,DB!$1:$1,0)),FALSE),"")</f>
        <v/>
      </c>
      <c r="BGI19" s="28" t="str">
        <f>IFERROR(VLOOKUP(DATE($K$1,$K$2,BGI$4),Table1[],(MATCH(Calendar!$A19,DB!$1:$1,0)),FALSE),"")</f>
        <v/>
      </c>
      <c r="BGJ19" s="28" t="str">
        <f>IFERROR(VLOOKUP(DATE($K$1,$K$2,BGJ$4),Table1[],(MATCH(Calendar!$A19,DB!$1:$1,0)),FALSE),"")</f>
        <v/>
      </c>
      <c r="BGK19" s="28" t="str">
        <f>IFERROR(VLOOKUP(DATE($K$1,$K$2,BGK$4),Table1[],(MATCH(Calendar!$A19,DB!$1:$1,0)),FALSE),"")</f>
        <v/>
      </c>
      <c r="BGL19" s="28" t="str">
        <f>IFERROR(VLOOKUP(DATE($K$1,$K$2,BGL$4),Table1[],(MATCH(Calendar!$A19,DB!$1:$1,0)),FALSE),"")</f>
        <v/>
      </c>
      <c r="BGM19" s="28" t="str">
        <f>IFERROR(VLOOKUP(DATE($K$1,$K$2,BGM$4),Table1[],(MATCH(Calendar!$A19,DB!$1:$1,0)),FALSE),"")</f>
        <v/>
      </c>
      <c r="BGN19" s="28" t="str">
        <f>IFERROR(VLOOKUP(DATE($K$1,$K$2,BGN$4),Table1[],(MATCH(Calendar!$A19,DB!$1:$1,0)),FALSE),"")</f>
        <v/>
      </c>
      <c r="BGO19" s="28" t="str">
        <f>IFERROR(VLOOKUP(DATE($K$1,$K$2,BGO$4),Table1[],(MATCH(Calendar!$A19,DB!$1:$1,0)),FALSE),"")</f>
        <v/>
      </c>
      <c r="BGP19" s="28" t="str">
        <f>IFERROR(VLOOKUP(DATE($K$1,$K$2,BGP$4),Table1[],(MATCH(Calendar!$A19,DB!$1:$1,0)),FALSE),"")</f>
        <v/>
      </c>
      <c r="BGQ19" s="28" t="str">
        <f>IFERROR(VLOOKUP(DATE($K$1,$K$2,BGQ$4),Table1[],(MATCH(Calendar!$A19,DB!$1:$1,0)),FALSE),"")</f>
        <v/>
      </c>
      <c r="BGR19" s="28" t="str">
        <f>IFERROR(VLOOKUP(DATE($K$1,$K$2,BGR$4),Table1[],(MATCH(Calendar!$A19,DB!$1:$1,0)),FALSE),"")</f>
        <v/>
      </c>
      <c r="BGS19" s="28" t="str">
        <f>IFERROR(VLOOKUP(DATE($K$1,$K$2,BGS$4),Table1[],(MATCH(Calendar!$A19,DB!$1:$1,0)),FALSE),"")</f>
        <v/>
      </c>
      <c r="BGT19" s="28" t="str">
        <f>IFERROR(VLOOKUP(DATE($K$1,$K$2,BGT$4),Table1[],(MATCH(Calendar!$A19,DB!$1:$1,0)),FALSE),"")</f>
        <v/>
      </c>
      <c r="BGU19" s="28" t="str">
        <f>IFERROR(VLOOKUP(DATE($K$1,$K$2,BGU$4),Table1[],(MATCH(Calendar!$A19,DB!$1:$1,0)),FALSE),"")</f>
        <v/>
      </c>
      <c r="BGV19" s="28" t="str">
        <f>IFERROR(VLOOKUP(DATE($K$1,$K$2,BGV$4),Table1[],(MATCH(Calendar!$A19,DB!$1:$1,0)),FALSE),"")</f>
        <v/>
      </c>
      <c r="BGW19" s="28" t="str">
        <f>IFERROR(VLOOKUP(DATE($K$1,$K$2,BGW$4),Table1[],(MATCH(Calendar!$A19,DB!$1:$1,0)),FALSE),"")</f>
        <v/>
      </c>
      <c r="BGX19" s="28" t="str">
        <f>IFERROR(VLOOKUP(DATE($K$1,$K$2,BGX$4),Table1[],(MATCH(Calendar!$A19,DB!$1:$1,0)),FALSE),"")</f>
        <v/>
      </c>
      <c r="BGY19" s="28" t="str">
        <f>IFERROR(VLOOKUP(DATE($K$1,$K$2,BGY$4),Table1[],(MATCH(Calendar!$A19,DB!$1:$1,0)),FALSE),"")</f>
        <v/>
      </c>
      <c r="BGZ19" s="28" t="str">
        <f>IFERROR(VLOOKUP(DATE($K$1,$K$2,BGZ$4),Table1[],(MATCH(Calendar!$A19,DB!$1:$1,0)),FALSE),"")</f>
        <v/>
      </c>
      <c r="BHA19" s="28" t="str">
        <f>IFERROR(VLOOKUP(DATE($K$1,$K$2,BHA$4),Table1[],(MATCH(Calendar!$A19,DB!$1:$1,0)),FALSE),"")</f>
        <v/>
      </c>
      <c r="BHB19" s="28" t="str">
        <f>IFERROR(VLOOKUP(DATE($K$1,$K$2,BHB$4),Table1[],(MATCH(Calendar!$A19,DB!$1:$1,0)),FALSE),"")</f>
        <v/>
      </c>
      <c r="BHC19" s="28" t="str">
        <f>IFERROR(VLOOKUP(DATE($K$1,$K$2,BHC$4),Table1[],(MATCH(Calendar!$A19,DB!$1:$1,0)),FALSE),"")</f>
        <v/>
      </c>
      <c r="BHD19" s="28" t="str">
        <f>IFERROR(VLOOKUP(DATE($K$1,$K$2,BHD$4),Table1[],(MATCH(Calendar!$A19,DB!$1:$1,0)),FALSE),"")</f>
        <v/>
      </c>
      <c r="BHE19" s="28" t="str">
        <f>IFERROR(VLOOKUP(DATE($K$1,$K$2,BHE$4),Table1[],(MATCH(Calendar!$A19,DB!$1:$1,0)),FALSE),"")</f>
        <v/>
      </c>
      <c r="BHF19" s="28" t="str">
        <f>IFERROR(VLOOKUP(DATE($K$1,$K$2,BHF$4),Table1[],(MATCH(Calendar!$A19,DB!$1:$1,0)),FALSE),"")</f>
        <v/>
      </c>
      <c r="BHG19" s="28" t="str">
        <f>IFERROR(VLOOKUP(DATE($K$1,$K$2,BHG$4),Table1[],(MATCH(Calendar!$A19,DB!$1:$1,0)),FALSE),"")</f>
        <v/>
      </c>
      <c r="BHH19" s="28" t="str">
        <f>IFERROR(VLOOKUP(DATE($K$1,$K$2,BHH$4),Table1[],(MATCH(Calendar!$A19,DB!$1:$1,0)),FALSE),"")</f>
        <v/>
      </c>
      <c r="BHI19" s="28" t="str">
        <f>IFERROR(VLOOKUP(DATE($K$1,$K$2,BHI$4),Table1[],(MATCH(Calendar!$A19,DB!$1:$1,0)),FALSE),"")</f>
        <v/>
      </c>
      <c r="BHJ19" s="28" t="str">
        <f>IFERROR(VLOOKUP(DATE($K$1,$K$2,BHJ$4),Table1[],(MATCH(Calendar!$A19,DB!$1:$1,0)),FALSE),"")</f>
        <v/>
      </c>
      <c r="BHK19" s="28" t="str">
        <f>IFERROR(VLOOKUP(DATE($K$1,$K$2,BHK$4),Table1[],(MATCH(Calendar!$A19,DB!$1:$1,0)),FALSE),"")</f>
        <v/>
      </c>
      <c r="BHL19" s="28" t="str">
        <f>IFERROR(VLOOKUP(DATE($K$1,$K$2,BHL$4),Table1[],(MATCH(Calendar!$A19,DB!$1:$1,0)),FALSE),"")</f>
        <v/>
      </c>
      <c r="BHM19" s="28" t="str">
        <f>IFERROR(VLOOKUP(DATE($K$1,$K$2,BHM$4),Table1[],(MATCH(Calendar!$A19,DB!$1:$1,0)),FALSE),"")</f>
        <v/>
      </c>
      <c r="BHN19" s="28" t="str">
        <f>IFERROR(VLOOKUP(DATE($K$1,$K$2,BHN$4),Table1[],(MATCH(Calendar!$A19,DB!$1:$1,0)),FALSE),"")</f>
        <v/>
      </c>
      <c r="BHO19" s="28" t="str">
        <f>IFERROR(VLOOKUP(DATE($K$1,$K$2,BHO$4),Table1[],(MATCH(Calendar!$A19,DB!$1:$1,0)),FALSE),"")</f>
        <v/>
      </c>
      <c r="BHP19" s="28" t="str">
        <f>IFERROR(VLOOKUP(DATE($K$1,$K$2,BHP$4),Table1[],(MATCH(Calendar!$A19,DB!$1:$1,0)),FALSE),"")</f>
        <v/>
      </c>
      <c r="BHQ19" s="28" t="str">
        <f>IFERROR(VLOOKUP(DATE($K$1,$K$2,BHQ$4),Table1[],(MATCH(Calendar!$A19,DB!$1:$1,0)),FALSE),"")</f>
        <v/>
      </c>
      <c r="BHR19" s="28" t="str">
        <f>IFERROR(VLOOKUP(DATE($K$1,$K$2,BHR$4),Table1[],(MATCH(Calendar!$A19,DB!$1:$1,0)),FALSE),"")</f>
        <v/>
      </c>
      <c r="BHS19" s="28" t="str">
        <f>IFERROR(VLOOKUP(DATE($K$1,$K$2,BHS$4),Table1[],(MATCH(Calendar!$A19,DB!$1:$1,0)),FALSE),"")</f>
        <v/>
      </c>
      <c r="BHT19" s="28" t="str">
        <f>IFERROR(VLOOKUP(DATE($K$1,$K$2,BHT$4),Table1[],(MATCH(Calendar!$A19,DB!$1:$1,0)),FALSE),"")</f>
        <v/>
      </c>
      <c r="BHU19" s="28" t="str">
        <f>IFERROR(VLOOKUP(DATE($K$1,$K$2,BHU$4),Table1[],(MATCH(Calendar!$A19,DB!$1:$1,0)),FALSE),"")</f>
        <v/>
      </c>
      <c r="BHV19" s="28" t="str">
        <f>IFERROR(VLOOKUP(DATE($K$1,$K$2,BHV$4),Table1[],(MATCH(Calendar!$A19,DB!$1:$1,0)),FALSE),"")</f>
        <v/>
      </c>
      <c r="BHW19" s="28" t="str">
        <f>IFERROR(VLOOKUP(DATE($K$1,$K$2,BHW$4),Table1[],(MATCH(Calendar!$A19,DB!$1:$1,0)),FALSE),"")</f>
        <v/>
      </c>
      <c r="BHX19" s="28" t="str">
        <f>IFERROR(VLOOKUP(DATE($K$1,$K$2,BHX$4),Table1[],(MATCH(Calendar!$A19,DB!$1:$1,0)),FALSE),"")</f>
        <v/>
      </c>
      <c r="BHY19" s="28" t="str">
        <f>IFERROR(VLOOKUP(DATE($K$1,$K$2,BHY$4),Table1[],(MATCH(Calendar!$A19,DB!$1:$1,0)),FALSE),"")</f>
        <v/>
      </c>
      <c r="BHZ19" s="28" t="str">
        <f>IFERROR(VLOOKUP(DATE($K$1,$K$2,BHZ$4),Table1[],(MATCH(Calendar!$A19,DB!$1:$1,0)),FALSE),"")</f>
        <v/>
      </c>
      <c r="BIA19" s="28" t="str">
        <f>IFERROR(VLOOKUP(DATE($K$1,$K$2,BIA$4),Table1[],(MATCH(Calendar!$A19,DB!$1:$1,0)),FALSE),"")</f>
        <v/>
      </c>
      <c r="BIB19" s="28" t="str">
        <f>IFERROR(VLOOKUP(DATE($K$1,$K$2,BIB$4),Table1[],(MATCH(Calendar!$A19,DB!$1:$1,0)),FALSE),"")</f>
        <v/>
      </c>
      <c r="BIC19" s="28" t="str">
        <f>IFERROR(VLOOKUP(DATE($K$1,$K$2,BIC$4),Table1[],(MATCH(Calendar!$A19,DB!$1:$1,0)),FALSE),"")</f>
        <v/>
      </c>
      <c r="BID19" s="28" t="str">
        <f>IFERROR(VLOOKUP(DATE($K$1,$K$2,BID$4),Table1[],(MATCH(Calendar!$A19,DB!$1:$1,0)),FALSE),"")</f>
        <v/>
      </c>
      <c r="BIE19" s="28" t="str">
        <f>IFERROR(VLOOKUP(DATE($K$1,$K$2,BIE$4),Table1[],(MATCH(Calendar!$A19,DB!$1:$1,0)),FALSE),"")</f>
        <v/>
      </c>
      <c r="BIF19" s="28" t="str">
        <f>IFERROR(VLOOKUP(DATE($K$1,$K$2,BIF$4),Table1[],(MATCH(Calendar!$A19,DB!$1:$1,0)),FALSE),"")</f>
        <v/>
      </c>
      <c r="BIG19" s="28" t="str">
        <f>IFERROR(VLOOKUP(DATE($K$1,$K$2,BIG$4),Table1[],(MATCH(Calendar!$A19,DB!$1:$1,0)),FALSE),"")</f>
        <v/>
      </c>
      <c r="BIH19" s="28" t="str">
        <f>IFERROR(VLOOKUP(DATE($K$1,$K$2,BIH$4),Table1[],(MATCH(Calendar!$A19,DB!$1:$1,0)),FALSE),"")</f>
        <v/>
      </c>
      <c r="BII19" s="28" t="str">
        <f>IFERROR(VLOOKUP(DATE($K$1,$K$2,BII$4),Table1[],(MATCH(Calendar!$A19,DB!$1:$1,0)),FALSE),"")</f>
        <v/>
      </c>
      <c r="BIJ19" s="28" t="str">
        <f>IFERROR(VLOOKUP(DATE($K$1,$K$2,BIJ$4),Table1[],(MATCH(Calendar!$A19,DB!$1:$1,0)),FALSE),"")</f>
        <v/>
      </c>
      <c r="BIK19" s="28" t="str">
        <f>IFERROR(VLOOKUP(DATE($K$1,$K$2,BIK$4),Table1[],(MATCH(Calendar!$A19,DB!$1:$1,0)),FALSE),"")</f>
        <v/>
      </c>
      <c r="BIL19" s="28" t="str">
        <f>IFERROR(VLOOKUP(DATE($K$1,$K$2,BIL$4),Table1[],(MATCH(Calendar!$A19,DB!$1:$1,0)),FALSE),"")</f>
        <v/>
      </c>
      <c r="BIM19" s="28" t="str">
        <f>IFERROR(VLOOKUP(DATE($K$1,$K$2,BIM$4),Table1[],(MATCH(Calendar!$A19,DB!$1:$1,0)),FALSE),"")</f>
        <v/>
      </c>
      <c r="BIN19" s="28" t="str">
        <f>IFERROR(VLOOKUP(DATE($K$1,$K$2,BIN$4),Table1[],(MATCH(Calendar!$A19,DB!$1:$1,0)),FALSE),"")</f>
        <v/>
      </c>
      <c r="BIO19" s="28" t="str">
        <f>IFERROR(VLOOKUP(DATE($K$1,$K$2,BIO$4),Table1[],(MATCH(Calendar!$A19,DB!$1:$1,0)),FALSE),"")</f>
        <v/>
      </c>
      <c r="BIP19" s="28" t="str">
        <f>IFERROR(VLOOKUP(DATE($K$1,$K$2,BIP$4),Table1[],(MATCH(Calendar!$A19,DB!$1:$1,0)),FALSE),"")</f>
        <v/>
      </c>
      <c r="BIQ19" s="28" t="str">
        <f>IFERROR(VLOOKUP(DATE($K$1,$K$2,BIQ$4),Table1[],(MATCH(Calendar!$A19,DB!$1:$1,0)),FALSE),"")</f>
        <v/>
      </c>
      <c r="BIR19" s="28" t="str">
        <f>IFERROR(VLOOKUP(DATE($K$1,$K$2,BIR$4),Table1[],(MATCH(Calendar!$A19,DB!$1:$1,0)),FALSE),"")</f>
        <v/>
      </c>
      <c r="BIS19" s="28" t="str">
        <f>IFERROR(VLOOKUP(DATE($K$1,$K$2,BIS$4),Table1[],(MATCH(Calendar!$A19,DB!$1:$1,0)),FALSE),"")</f>
        <v/>
      </c>
      <c r="BIT19" s="28" t="str">
        <f>IFERROR(VLOOKUP(DATE($K$1,$K$2,BIT$4),Table1[],(MATCH(Calendar!$A19,DB!$1:$1,0)),FALSE),"")</f>
        <v/>
      </c>
      <c r="BIU19" s="28" t="str">
        <f>IFERROR(VLOOKUP(DATE($K$1,$K$2,BIU$4),Table1[],(MATCH(Calendar!$A19,DB!$1:$1,0)),FALSE),"")</f>
        <v/>
      </c>
      <c r="BIV19" s="28" t="str">
        <f>IFERROR(VLOOKUP(DATE($K$1,$K$2,BIV$4),Table1[],(MATCH(Calendar!$A19,DB!$1:$1,0)),FALSE),"")</f>
        <v/>
      </c>
      <c r="BIW19" s="28" t="str">
        <f>IFERROR(VLOOKUP(DATE($K$1,$K$2,BIW$4),Table1[],(MATCH(Calendar!$A19,DB!$1:$1,0)),FALSE),"")</f>
        <v/>
      </c>
      <c r="BIX19" s="28" t="str">
        <f>IFERROR(VLOOKUP(DATE($K$1,$K$2,BIX$4),Table1[],(MATCH(Calendar!$A19,DB!$1:$1,0)),FALSE),"")</f>
        <v/>
      </c>
      <c r="BIY19" s="28" t="str">
        <f>IFERROR(VLOOKUP(DATE($K$1,$K$2,BIY$4),Table1[],(MATCH(Calendar!$A19,DB!$1:$1,0)),FALSE),"")</f>
        <v/>
      </c>
      <c r="BIZ19" s="28" t="str">
        <f>IFERROR(VLOOKUP(DATE($K$1,$K$2,BIZ$4),Table1[],(MATCH(Calendar!$A19,DB!$1:$1,0)),FALSE),"")</f>
        <v/>
      </c>
      <c r="BJA19" s="28" t="str">
        <f>IFERROR(VLOOKUP(DATE($K$1,$K$2,BJA$4),Table1[],(MATCH(Calendar!$A19,DB!$1:$1,0)),FALSE),"")</f>
        <v/>
      </c>
      <c r="BJB19" s="28" t="str">
        <f>IFERROR(VLOOKUP(DATE($K$1,$K$2,BJB$4),Table1[],(MATCH(Calendar!$A19,DB!$1:$1,0)),FALSE),"")</f>
        <v/>
      </c>
      <c r="BJC19" s="28" t="str">
        <f>IFERROR(VLOOKUP(DATE($K$1,$K$2,BJC$4),Table1[],(MATCH(Calendar!$A19,DB!$1:$1,0)),FALSE),"")</f>
        <v/>
      </c>
      <c r="BJD19" s="28" t="str">
        <f>IFERROR(VLOOKUP(DATE($K$1,$K$2,BJD$4),Table1[],(MATCH(Calendar!$A19,DB!$1:$1,0)),FALSE),"")</f>
        <v/>
      </c>
      <c r="BJE19" s="28" t="str">
        <f>IFERROR(VLOOKUP(DATE($K$1,$K$2,BJE$4),Table1[],(MATCH(Calendar!$A19,DB!$1:$1,0)),FALSE),"")</f>
        <v/>
      </c>
      <c r="BJF19" s="28" t="str">
        <f>IFERROR(VLOOKUP(DATE($K$1,$K$2,BJF$4),Table1[],(MATCH(Calendar!$A19,DB!$1:$1,0)),FALSE),"")</f>
        <v/>
      </c>
      <c r="BJG19" s="28" t="str">
        <f>IFERROR(VLOOKUP(DATE($K$1,$K$2,BJG$4),Table1[],(MATCH(Calendar!$A19,DB!$1:$1,0)),FALSE),"")</f>
        <v/>
      </c>
      <c r="BJH19" s="28" t="str">
        <f>IFERROR(VLOOKUP(DATE($K$1,$K$2,BJH$4),Table1[],(MATCH(Calendar!$A19,DB!$1:$1,0)),FALSE),"")</f>
        <v/>
      </c>
      <c r="BJI19" s="28" t="str">
        <f>IFERROR(VLOOKUP(DATE($K$1,$K$2,BJI$4),Table1[],(MATCH(Calendar!$A19,DB!$1:$1,0)),FALSE),"")</f>
        <v/>
      </c>
      <c r="BJJ19" s="28" t="str">
        <f>IFERROR(VLOOKUP(DATE($K$1,$K$2,BJJ$4),Table1[],(MATCH(Calendar!$A19,DB!$1:$1,0)),FALSE),"")</f>
        <v/>
      </c>
      <c r="BJK19" s="28" t="str">
        <f>IFERROR(VLOOKUP(DATE($K$1,$K$2,BJK$4),Table1[],(MATCH(Calendar!$A19,DB!$1:$1,0)),FALSE),"")</f>
        <v/>
      </c>
      <c r="BJL19" s="28" t="str">
        <f>IFERROR(VLOOKUP(DATE($K$1,$K$2,BJL$4),Table1[],(MATCH(Calendar!$A19,DB!$1:$1,0)),FALSE),"")</f>
        <v/>
      </c>
      <c r="BJM19" s="28" t="str">
        <f>IFERROR(VLOOKUP(DATE($K$1,$K$2,BJM$4),Table1[],(MATCH(Calendar!$A19,DB!$1:$1,0)),FALSE),"")</f>
        <v/>
      </c>
      <c r="BJN19" s="28" t="str">
        <f>IFERROR(VLOOKUP(DATE($K$1,$K$2,BJN$4),Table1[],(MATCH(Calendar!$A19,DB!$1:$1,0)),FALSE),"")</f>
        <v/>
      </c>
      <c r="BJO19" s="28" t="str">
        <f>IFERROR(VLOOKUP(DATE($K$1,$K$2,BJO$4),Table1[],(MATCH(Calendar!$A19,DB!$1:$1,0)),FALSE),"")</f>
        <v/>
      </c>
      <c r="BJP19" s="28" t="str">
        <f>IFERROR(VLOOKUP(DATE($K$1,$K$2,BJP$4),Table1[],(MATCH(Calendar!$A19,DB!$1:$1,0)),FALSE),"")</f>
        <v/>
      </c>
      <c r="BJQ19" s="28" t="str">
        <f>IFERROR(VLOOKUP(DATE($K$1,$K$2,BJQ$4),Table1[],(MATCH(Calendar!$A19,DB!$1:$1,0)),FALSE),"")</f>
        <v/>
      </c>
      <c r="BJR19" s="28" t="str">
        <f>IFERROR(VLOOKUP(DATE($K$1,$K$2,BJR$4),Table1[],(MATCH(Calendar!$A19,DB!$1:$1,0)),FALSE),"")</f>
        <v/>
      </c>
      <c r="BJS19" s="28" t="str">
        <f>IFERROR(VLOOKUP(DATE($K$1,$K$2,BJS$4),Table1[],(MATCH(Calendar!$A19,DB!$1:$1,0)),FALSE),"")</f>
        <v/>
      </c>
      <c r="BJT19" s="28" t="str">
        <f>IFERROR(VLOOKUP(DATE($K$1,$K$2,BJT$4),Table1[],(MATCH(Calendar!$A19,DB!$1:$1,0)),FALSE),"")</f>
        <v/>
      </c>
      <c r="BJU19" s="28" t="str">
        <f>IFERROR(VLOOKUP(DATE($K$1,$K$2,BJU$4),Table1[],(MATCH(Calendar!$A19,DB!$1:$1,0)),FALSE),"")</f>
        <v/>
      </c>
      <c r="BJV19" s="28" t="str">
        <f>IFERROR(VLOOKUP(DATE($K$1,$K$2,BJV$4),Table1[],(MATCH(Calendar!$A19,DB!$1:$1,0)),FALSE),"")</f>
        <v/>
      </c>
      <c r="BJW19" s="28" t="str">
        <f>IFERROR(VLOOKUP(DATE($K$1,$K$2,BJW$4),Table1[],(MATCH(Calendar!$A19,DB!$1:$1,0)),FALSE),"")</f>
        <v/>
      </c>
      <c r="BJX19" s="28" t="str">
        <f>IFERROR(VLOOKUP(DATE($K$1,$K$2,BJX$4),Table1[],(MATCH(Calendar!$A19,DB!$1:$1,0)),FALSE),"")</f>
        <v/>
      </c>
      <c r="BJY19" s="28" t="str">
        <f>IFERROR(VLOOKUP(DATE($K$1,$K$2,BJY$4),Table1[],(MATCH(Calendar!$A19,DB!$1:$1,0)),FALSE),"")</f>
        <v/>
      </c>
      <c r="BJZ19" s="28" t="str">
        <f>IFERROR(VLOOKUP(DATE($K$1,$K$2,BJZ$4),Table1[],(MATCH(Calendar!$A19,DB!$1:$1,0)),FALSE),"")</f>
        <v/>
      </c>
      <c r="BKA19" s="28" t="str">
        <f>IFERROR(VLOOKUP(DATE($K$1,$K$2,BKA$4),Table1[],(MATCH(Calendar!$A19,DB!$1:$1,0)),FALSE),"")</f>
        <v/>
      </c>
      <c r="BKB19" s="28" t="str">
        <f>IFERROR(VLOOKUP(DATE($K$1,$K$2,BKB$4),Table1[],(MATCH(Calendar!$A19,DB!$1:$1,0)),FALSE),"")</f>
        <v/>
      </c>
      <c r="BKC19" s="28" t="str">
        <f>IFERROR(VLOOKUP(DATE($K$1,$K$2,BKC$4),Table1[],(MATCH(Calendar!$A19,DB!$1:$1,0)),FALSE),"")</f>
        <v/>
      </c>
      <c r="BKD19" s="28" t="str">
        <f>IFERROR(VLOOKUP(DATE($K$1,$K$2,BKD$4),Table1[],(MATCH(Calendar!$A19,DB!$1:$1,0)),FALSE),"")</f>
        <v/>
      </c>
      <c r="BKE19" s="28" t="str">
        <f>IFERROR(VLOOKUP(DATE($K$1,$K$2,BKE$4),Table1[],(MATCH(Calendar!$A19,DB!$1:$1,0)),FALSE),"")</f>
        <v/>
      </c>
      <c r="BKF19" s="28" t="str">
        <f>IFERROR(VLOOKUP(DATE($K$1,$K$2,BKF$4),Table1[],(MATCH(Calendar!$A19,DB!$1:$1,0)),FALSE),"")</f>
        <v/>
      </c>
      <c r="BKG19" s="28" t="str">
        <f>IFERROR(VLOOKUP(DATE($K$1,$K$2,BKG$4),Table1[],(MATCH(Calendar!$A19,DB!$1:$1,0)),FALSE),"")</f>
        <v/>
      </c>
      <c r="BKH19" s="28" t="str">
        <f>IFERROR(VLOOKUP(DATE($K$1,$K$2,BKH$4),Table1[],(MATCH(Calendar!$A19,DB!$1:$1,0)),FALSE),"")</f>
        <v/>
      </c>
      <c r="BKI19" s="28" t="str">
        <f>IFERROR(VLOOKUP(DATE($K$1,$K$2,BKI$4),Table1[],(MATCH(Calendar!$A19,DB!$1:$1,0)),FALSE),"")</f>
        <v/>
      </c>
      <c r="BKJ19" s="28" t="str">
        <f>IFERROR(VLOOKUP(DATE($K$1,$K$2,BKJ$4),Table1[],(MATCH(Calendar!$A19,DB!$1:$1,0)),FALSE),"")</f>
        <v/>
      </c>
      <c r="BKK19" s="28" t="str">
        <f>IFERROR(VLOOKUP(DATE($K$1,$K$2,BKK$4),Table1[],(MATCH(Calendar!$A19,DB!$1:$1,0)),FALSE),"")</f>
        <v/>
      </c>
      <c r="BKL19" s="28" t="str">
        <f>IFERROR(VLOOKUP(DATE($K$1,$K$2,BKL$4),Table1[],(MATCH(Calendar!$A19,DB!$1:$1,0)),FALSE),"")</f>
        <v/>
      </c>
      <c r="BKM19" s="28" t="str">
        <f>IFERROR(VLOOKUP(DATE($K$1,$K$2,BKM$4),Table1[],(MATCH(Calendar!$A19,DB!$1:$1,0)),FALSE),"")</f>
        <v/>
      </c>
      <c r="BKN19" s="28" t="str">
        <f>IFERROR(VLOOKUP(DATE($K$1,$K$2,BKN$4),Table1[],(MATCH(Calendar!$A19,DB!$1:$1,0)),FALSE),"")</f>
        <v/>
      </c>
      <c r="BKO19" s="28" t="str">
        <f>IFERROR(VLOOKUP(DATE($K$1,$K$2,BKO$4),Table1[],(MATCH(Calendar!$A19,DB!$1:$1,0)),FALSE),"")</f>
        <v/>
      </c>
      <c r="BKP19" s="28" t="str">
        <f>IFERROR(VLOOKUP(DATE($K$1,$K$2,BKP$4),Table1[],(MATCH(Calendar!$A19,DB!$1:$1,0)),FALSE),"")</f>
        <v/>
      </c>
      <c r="BKQ19" s="28" t="str">
        <f>IFERROR(VLOOKUP(DATE($K$1,$K$2,BKQ$4),Table1[],(MATCH(Calendar!$A19,DB!$1:$1,0)),FALSE),"")</f>
        <v/>
      </c>
      <c r="BKR19" s="28" t="str">
        <f>IFERROR(VLOOKUP(DATE($K$1,$K$2,BKR$4),Table1[],(MATCH(Calendar!$A19,DB!$1:$1,0)),FALSE),"")</f>
        <v/>
      </c>
      <c r="BKS19" s="28" t="str">
        <f>IFERROR(VLOOKUP(DATE($K$1,$K$2,BKS$4),Table1[],(MATCH(Calendar!$A19,DB!$1:$1,0)),FALSE),"")</f>
        <v/>
      </c>
      <c r="BKT19" s="28" t="str">
        <f>IFERROR(VLOOKUP(DATE($K$1,$K$2,BKT$4),Table1[],(MATCH(Calendar!$A19,DB!$1:$1,0)),FALSE),"")</f>
        <v/>
      </c>
      <c r="BKU19" s="28" t="str">
        <f>IFERROR(VLOOKUP(DATE($K$1,$K$2,BKU$4),Table1[],(MATCH(Calendar!$A19,DB!$1:$1,0)),FALSE),"")</f>
        <v/>
      </c>
      <c r="BKV19" s="28" t="str">
        <f>IFERROR(VLOOKUP(DATE($K$1,$K$2,BKV$4),Table1[],(MATCH(Calendar!$A19,DB!$1:$1,0)),FALSE),"")</f>
        <v/>
      </c>
      <c r="BKW19" s="28" t="str">
        <f>IFERROR(VLOOKUP(DATE($K$1,$K$2,BKW$4),Table1[],(MATCH(Calendar!$A19,DB!$1:$1,0)),FALSE),"")</f>
        <v/>
      </c>
      <c r="BKX19" s="28" t="str">
        <f>IFERROR(VLOOKUP(DATE($K$1,$K$2,BKX$4),Table1[],(MATCH(Calendar!$A19,DB!$1:$1,0)),FALSE),"")</f>
        <v/>
      </c>
      <c r="BKY19" s="28" t="str">
        <f>IFERROR(VLOOKUP(DATE($K$1,$K$2,BKY$4),Table1[],(MATCH(Calendar!$A19,DB!$1:$1,0)),FALSE),"")</f>
        <v/>
      </c>
      <c r="BKZ19" s="28" t="str">
        <f>IFERROR(VLOOKUP(DATE($K$1,$K$2,BKZ$4),Table1[],(MATCH(Calendar!$A19,DB!$1:$1,0)),FALSE),"")</f>
        <v/>
      </c>
      <c r="BLA19" s="28" t="str">
        <f>IFERROR(VLOOKUP(DATE($K$1,$K$2,BLA$4),Table1[],(MATCH(Calendar!$A19,DB!$1:$1,0)),FALSE),"")</f>
        <v/>
      </c>
      <c r="BLB19" s="28" t="str">
        <f>IFERROR(VLOOKUP(DATE($K$1,$K$2,BLB$4),Table1[],(MATCH(Calendar!$A19,DB!$1:$1,0)),FALSE),"")</f>
        <v/>
      </c>
      <c r="BLC19" s="28" t="str">
        <f>IFERROR(VLOOKUP(DATE($K$1,$K$2,BLC$4),Table1[],(MATCH(Calendar!$A19,DB!$1:$1,0)),FALSE),"")</f>
        <v/>
      </c>
      <c r="BLD19" s="28" t="str">
        <f>IFERROR(VLOOKUP(DATE($K$1,$K$2,BLD$4),Table1[],(MATCH(Calendar!$A19,DB!$1:$1,0)),FALSE),"")</f>
        <v/>
      </c>
      <c r="BLE19" s="28" t="str">
        <f>IFERROR(VLOOKUP(DATE($K$1,$K$2,BLE$4),Table1[],(MATCH(Calendar!$A19,DB!$1:$1,0)),FALSE),"")</f>
        <v/>
      </c>
      <c r="BLF19" s="28" t="str">
        <f>IFERROR(VLOOKUP(DATE($K$1,$K$2,BLF$4),Table1[],(MATCH(Calendar!$A19,DB!$1:$1,0)),FALSE),"")</f>
        <v/>
      </c>
      <c r="BLG19" s="28" t="str">
        <f>IFERROR(VLOOKUP(DATE($K$1,$K$2,BLG$4),Table1[],(MATCH(Calendar!$A19,DB!$1:$1,0)),FALSE),"")</f>
        <v/>
      </c>
      <c r="BLH19" s="28" t="str">
        <f>IFERROR(VLOOKUP(DATE($K$1,$K$2,BLH$4),Table1[],(MATCH(Calendar!$A19,DB!$1:$1,0)),FALSE),"")</f>
        <v/>
      </c>
      <c r="BLI19" s="28" t="str">
        <f>IFERROR(VLOOKUP(DATE($K$1,$K$2,BLI$4),Table1[],(MATCH(Calendar!$A19,DB!$1:$1,0)),FALSE),"")</f>
        <v/>
      </c>
      <c r="BLJ19" s="28" t="str">
        <f>IFERROR(VLOOKUP(DATE($K$1,$K$2,BLJ$4),Table1[],(MATCH(Calendar!$A19,DB!$1:$1,0)),FALSE),"")</f>
        <v/>
      </c>
      <c r="BLK19" s="28" t="str">
        <f>IFERROR(VLOOKUP(DATE($K$1,$K$2,BLK$4),Table1[],(MATCH(Calendar!$A19,DB!$1:$1,0)),FALSE),"")</f>
        <v/>
      </c>
      <c r="BLL19" s="28" t="str">
        <f>IFERROR(VLOOKUP(DATE($K$1,$K$2,BLL$4),Table1[],(MATCH(Calendar!$A19,DB!$1:$1,0)),FALSE),"")</f>
        <v/>
      </c>
      <c r="BLM19" s="28" t="str">
        <f>IFERROR(VLOOKUP(DATE($K$1,$K$2,BLM$4),Table1[],(MATCH(Calendar!$A19,DB!$1:$1,0)),FALSE),"")</f>
        <v/>
      </c>
      <c r="BLN19" s="28" t="str">
        <f>IFERROR(VLOOKUP(DATE($K$1,$K$2,BLN$4),Table1[],(MATCH(Calendar!$A19,DB!$1:$1,0)),FALSE),"")</f>
        <v/>
      </c>
      <c r="BLO19" s="28" t="str">
        <f>IFERROR(VLOOKUP(DATE($K$1,$K$2,BLO$4),Table1[],(MATCH(Calendar!$A19,DB!$1:$1,0)),FALSE),"")</f>
        <v/>
      </c>
      <c r="BLP19" s="28" t="str">
        <f>IFERROR(VLOOKUP(DATE($K$1,$K$2,BLP$4),Table1[],(MATCH(Calendar!$A19,DB!$1:$1,0)),FALSE),"")</f>
        <v/>
      </c>
      <c r="BLQ19" s="28" t="str">
        <f>IFERROR(VLOOKUP(DATE($K$1,$K$2,BLQ$4),Table1[],(MATCH(Calendar!$A19,DB!$1:$1,0)),FALSE),"")</f>
        <v/>
      </c>
      <c r="BLR19" s="28" t="str">
        <f>IFERROR(VLOOKUP(DATE($K$1,$K$2,BLR$4),Table1[],(MATCH(Calendar!$A19,DB!$1:$1,0)),FALSE),"")</f>
        <v/>
      </c>
      <c r="BLS19" s="28" t="str">
        <f>IFERROR(VLOOKUP(DATE($K$1,$K$2,BLS$4),Table1[],(MATCH(Calendar!$A19,DB!$1:$1,0)),FALSE),"")</f>
        <v/>
      </c>
      <c r="BLT19" s="28" t="str">
        <f>IFERROR(VLOOKUP(DATE($K$1,$K$2,BLT$4),Table1[],(MATCH(Calendar!$A19,DB!$1:$1,0)),FALSE),"")</f>
        <v/>
      </c>
      <c r="BLU19" s="28" t="str">
        <f>IFERROR(VLOOKUP(DATE($K$1,$K$2,BLU$4),Table1[],(MATCH(Calendar!$A19,DB!$1:$1,0)),FALSE),"")</f>
        <v/>
      </c>
      <c r="BLV19" s="28" t="str">
        <f>IFERROR(VLOOKUP(DATE($K$1,$K$2,BLV$4),Table1[],(MATCH(Calendar!$A19,DB!$1:$1,0)),FALSE),"")</f>
        <v/>
      </c>
      <c r="BLW19" s="28" t="str">
        <f>IFERROR(VLOOKUP(DATE($K$1,$K$2,BLW$4),Table1[],(MATCH(Calendar!$A19,DB!$1:$1,0)),FALSE),"")</f>
        <v/>
      </c>
      <c r="BLX19" s="28" t="str">
        <f>IFERROR(VLOOKUP(DATE($K$1,$K$2,BLX$4),Table1[],(MATCH(Calendar!$A19,DB!$1:$1,0)),FALSE),"")</f>
        <v/>
      </c>
      <c r="BLY19" s="28" t="str">
        <f>IFERROR(VLOOKUP(DATE($K$1,$K$2,BLY$4),Table1[],(MATCH(Calendar!$A19,DB!$1:$1,0)),FALSE),"")</f>
        <v/>
      </c>
      <c r="BLZ19" s="28" t="str">
        <f>IFERROR(VLOOKUP(DATE($K$1,$K$2,BLZ$4),Table1[],(MATCH(Calendar!$A19,DB!$1:$1,0)),FALSE),"")</f>
        <v/>
      </c>
      <c r="BMA19" s="28" t="str">
        <f>IFERROR(VLOOKUP(DATE($K$1,$K$2,BMA$4),Table1[],(MATCH(Calendar!$A19,DB!$1:$1,0)),FALSE),"")</f>
        <v/>
      </c>
      <c r="BMB19" s="28" t="str">
        <f>IFERROR(VLOOKUP(DATE($K$1,$K$2,BMB$4),Table1[],(MATCH(Calendar!$A19,DB!$1:$1,0)),FALSE),"")</f>
        <v/>
      </c>
      <c r="BMC19" s="28" t="str">
        <f>IFERROR(VLOOKUP(DATE($K$1,$K$2,BMC$4),Table1[],(MATCH(Calendar!$A19,DB!$1:$1,0)),FALSE),"")</f>
        <v/>
      </c>
      <c r="BMD19" s="28" t="str">
        <f>IFERROR(VLOOKUP(DATE($K$1,$K$2,BMD$4),Table1[],(MATCH(Calendar!$A19,DB!$1:$1,0)),FALSE),"")</f>
        <v/>
      </c>
      <c r="BME19" s="28" t="str">
        <f>IFERROR(VLOOKUP(DATE($K$1,$K$2,BME$4),Table1[],(MATCH(Calendar!$A19,DB!$1:$1,0)),FALSE),"")</f>
        <v/>
      </c>
      <c r="BMF19" s="28" t="str">
        <f>IFERROR(VLOOKUP(DATE($K$1,$K$2,BMF$4),Table1[],(MATCH(Calendar!$A19,DB!$1:$1,0)),FALSE),"")</f>
        <v/>
      </c>
      <c r="BMG19" s="28" t="str">
        <f>IFERROR(VLOOKUP(DATE($K$1,$K$2,BMG$4),Table1[],(MATCH(Calendar!$A19,DB!$1:$1,0)),FALSE),"")</f>
        <v/>
      </c>
      <c r="BMH19" s="28" t="str">
        <f>IFERROR(VLOOKUP(DATE($K$1,$K$2,BMH$4),Table1[],(MATCH(Calendar!$A19,DB!$1:$1,0)),FALSE),"")</f>
        <v/>
      </c>
      <c r="BMI19" s="28" t="str">
        <f>IFERROR(VLOOKUP(DATE($K$1,$K$2,BMI$4),Table1[],(MATCH(Calendar!$A19,DB!$1:$1,0)),FALSE),"")</f>
        <v/>
      </c>
      <c r="BMJ19" s="28" t="str">
        <f>IFERROR(VLOOKUP(DATE($K$1,$K$2,BMJ$4),Table1[],(MATCH(Calendar!$A19,DB!$1:$1,0)),FALSE),"")</f>
        <v/>
      </c>
      <c r="BMK19" s="28" t="str">
        <f>IFERROR(VLOOKUP(DATE($K$1,$K$2,BMK$4),Table1[],(MATCH(Calendar!$A19,DB!$1:$1,0)),FALSE),"")</f>
        <v/>
      </c>
      <c r="BML19" s="28" t="str">
        <f>IFERROR(VLOOKUP(DATE($K$1,$K$2,BML$4),Table1[],(MATCH(Calendar!$A19,DB!$1:$1,0)),FALSE),"")</f>
        <v/>
      </c>
      <c r="BMM19" s="28" t="str">
        <f>IFERROR(VLOOKUP(DATE($K$1,$K$2,BMM$4),Table1[],(MATCH(Calendar!$A19,DB!$1:$1,0)),FALSE),"")</f>
        <v/>
      </c>
      <c r="BMN19" s="28" t="str">
        <f>IFERROR(VLOOKUP(DATE($K$1,$K$2,BMN$4),Table1[],(MATCH(Calendar!$A19,DB!$1:$1,0)),FALSE),"")</f>
        <v/>
      </c>
      <c r="BMO19" s="28" t="str">
        <f>IFERROR(VLOOKUP(DATE($K$1,$K$2,BMO$4),Table1[],(MATCH(Calendar!$A19,DB!$1:$1,0)),FALSE),"")</f>
        <v/>
      </c>
      <c r="BMP19" s="28" t="str">
        <f>IFERROR(VLOOKUP(DATE($K$1,$K$2,BMP$4),Table1[],(MATCH(Calendar!$A19,DB!$1:$1,0)),FALSE),"")</f>
        <v/>
      </c>
      <c r="BMQ19" s="28" t="str">
        <f>IFERROR(VLOOKUP(DATE($K$1,$K$2,BMQ$4),Table1[],(MATCH(Calendar!$A19,DB!$1:$1,0)),FALSE),"")</f>
        <v/>
      </c>
      <c r="BMR19" s="28" t="str">
        <f>IFERROR(VLOOKUP(DATE($K$1,$K$2,BMR$4),Table1[],(MATCH(Calendar!$A19,DB!$1:$1,0)),FALSE),"")</f>
        <v/>
      </c>
      <c r="BMS19" s="28" t="str">
        <f>IFERROR(VLOOKUP(DATE($K$1,$K$2,BMS$4),Table1[],(MATCH(Calendar!$A19,DB!$1:$1,0)),FALSE),"")</f>
        <v/>
      </c>
      <c r="BMT19" s="28" t="str">
        <f>IFERROR(VLOOKUP(DATE($K$1,$K$2,BMT$4),Table1[],(MATCH(Calendar!$A19,DB!$1:$1,0)),FALSE),"")</f>
        <v/>
      </c>
      <c r="BMU19" s="28" t="str">
        <f>IFERROR(VLOOKUP(DATE($K$1,$K$2,BMU$4),Table1[],(MATCH(Calendar!$A19,DB!$1:$1,0)),FALSE),"")</f>
        <v/>
      </c>
      <c r="BMV19" s="28" t="str">
        <f>IFERROR(VLOOKUP(DATE($K$1,$K$2,BMV$4),Table1[],(MATCH(Calendar!$A19,DB!$1:$1,0)),FALSE),"")</f>
        <v/>
      </c>
      <c r="BMW19" s="28" t="str">
        <f>IFERROR(VLOOKUP(DATE($K$1,$K$2,BMW$4),Table1[],(MATCH(Calendar!$A19,DB!$1:$1,0)),FALSE),"")</f>
        <v/>
      </c>
      <c r="BMX19" s="28" t="str">
        <f>IFERROR(VLOOKUP(DATE($K$1,$K$2,BMX$4),Table1[],(MATCH(Calendar!$A19,DB!$1:$1,0)),FALSE),"")</f>
        <v/>
      </c>
      <c r="BMY19" s="28" t="str">
        <f>IFERROR(VLOOKUP(DATE($K$1,$K$2,BMY$4),Table1[],(MATCH(Calendar!$A19,DB!$1:$1,0)),FALSE),"")</f>
        <v/>
      </c>
      <c r="BMZ19" s="28" t="str">
        <f>IFERROR(VLOOKUP(DATE($K$1,$K$2,BMZ$4),Table1[],(MATCH(Calendar!$A19,DB!$1:$1,0)),FALSE),"")</f>
        <v/>
      </c>
      <c r="BNA19" s="28" t="str">
        <f>IFERROR(VLOOKUP(DATE($K$1,$K$2,BNA$4),Table1[],(MATCH(Calendar!$A19,DB!$1:$1,0)),FALSE),"")</f>
        <v/>
      </c>
      <c r="BNB19" s="28" t="str">
        <f>IFERROR(VLOOKUP(DATE($K$1,$K$2,BNB$4),Table1[],(MATCH(Calendar!$A19,DB!$1:$1,0)),FALSE),"")</f>
        <v/>
      </c>
      <c r="BNC19" s="28" t="str">
        <f>IFERROR(VLOOKUP(DATE($K$1,$K$2,BNC$4),Table1[],(MATCH(Calendar!$A19,DB!$1:$1,0)),FALSE),"")</f>
        <v/>
      </c>
      <c r="BND19" s="28" t="str">
        <f>IFERROR(VLOOKUP(DATE($K$1,$K$2,BND$4),Table1[],(MATCH(Calendar!$A19,DB!$1:$1,0)),FALSE),"")</f>
        <v/>
      </c>
      <c r="BNE19" s="28" t="str">
        <f>IFERROR(VLOOKUP(DATE($K$1,$K$2,BNE$4),Table1[],(MATCH(Calendar!$A19,DB!$1:$1,0)),FALSE),"")</f>
        <v/>
      </c>
      <c r="BNF19" s="28" t="str">
        <f>IFERROR(VLOOKUP(DATE($K$1,$K$2,BNF$4),Table1[],(MATCH(Calendar!$A19,DB!$1:$1,0)),FALSE),"")</f>
        <v/>
      </c>
      <c r="BNG19" s="28" t="str">
        <f>IFERROR(VLOOKUP(DATE($K$1,$K$2,BNG$4),Table1[],(MATCH(Calendar!$A19,DB!$1:$1,0)),FALSE),"")</f>
        <v/>
      </c>
      <c r="BNH19" s="28" t="str">
        <f>IFERROR(VLOOKUP(DATE($K$1,$K$2,BNH$4),Table1[],(MATCH(Calendar!$A19,DB!$1:$1,0)),FALSE),"")</f>
        <v/>
      </c>
      <c r="BNI19" s="28" t="str">
        <f>IFERROR(VLOOKUP(DATE($K$1,$K$2,BNI$4),Table1[],(MATCH(Calendar!$A19,DB!$1:$1,0)),FALSE),"")</f>
        <v/>
      </c>
      <c r="BNJ19" s="28" t="str">
        <f>IFERROR(VLOOKUP(DATE($K$1,$K$2,BNJ$4),Table1[],(MATCH(Calendar!$A19,DB!$1:$1,0)),FALSE),"")</f>
        <v/>
      </c>
      <c r="BNK19" s="28" t="str">
        <f>IFERROR(VLOOKUP(DATE($K$1,$K$2,BNK$4),Table1[],(MATCH(Calendar!$A19,DB!$1:$1,0)),FALSE),"")</f>
        <v/>
      </c>
      <c r="BNL19" s="28" t="str">
        <f>IFERROR(VLOOKUP(DATE($K$1,$K$2,BNL$4),Table1[],(MATCH(Calendar!$A19,DB!$1:$1,0)),FALSE),"")</f>
        <v/>
      </c>
      <c r="BNM19" s="28" t="str">
        <f>IFERROR(VLOOKUP(DATE($K$1,$K$2,BNM$4),Table1[],(MATCH(Calendar!$A19,DB!$1:$1,0)),FALSE),"")</f>
        <v/>
      </c>
      <c r="BNN19" s="28" t="str">
        <f>IFERROR(VLOOKUP(DATE($K$1,$K$2,BNN$4),Table1[],(MATCH(Calendar!$A19,DB!$1:$1,0)),FALSE),"")</f>
        <v/>
      </c>
      <c r="BNO19" s="28" t="str">
        <f>IFERROR(VLOOKUP(DATE($K$1,$K$2,BNO$4),Table1[],(MATCH(Calendar!$A19,DB!$1:$1,0)),FALSE),"")</f>
        <v/>
      </c>
      <c r="BNP19" s="28" t="str">
        <f>IFERROR(VLOOKUP(DATE($K$1,$K$2,BNP$4),Table1[],(MATCH(Calendar!$A19,DB!$1:$1,0)),FALSE),"")</f>
        <v/>
      </c>
      <c r="BNQ19" s="28" t="str">
        <f>IFERROR(VLOOKUP(DATE($K$1,$K$2,BNQ$4),Table1[],(MATCH(Calendar!$A19,DB!$1:$1,0)),FALSE),"")</f>
        <v/>
      </c>
      <c r="BNR19" s="28" t="str">
        <f>IFERROR(VLOOKUP(DATE($K$1,$K$2,BNR$4),Table1[],(MATCH(Calendar!$A19,DB!$1:$1,0)),FALSE),"")</f>
        <v/>
      </c>
      <c r="BNS19" s="28" t="str">
        <f>IFERROR(VLOOKUP(DATE($K$1,$K$2,BNS$4),Table1[],(MATCH(Calendar!$A19,DB!$1:$1,0)),FALSE),"")</f>
        <v/>
      </c>
      <c r="BNT19" s="28" t="str">
        <f>IFERROR(VLOOKUP(DATE($K$1,$K$2,BNT$4),Table1[],(MATCH(Calendar!$A19,DB!$1:$1,0)),FALSE),"")</f>
        <v/>
      </c>
      <c r="BNU19" s="28" t="str">
        <f>IFERROR(VLOOKUP(DATE($K$1,$K$2,BNU$4),Table1[],(MATCH(Calendar!$A19,DB!$1:$1,0)),FALSE),"")</f>
        <v/>
      </c>
      <c r="BNV19" s="28" t="str">
        <f>IFERROR(VLOOKUP(DATE($K$1,$K$2,BNV$4),Table1[],(MATCH(Calendar!$A19,DB!$1:$1,0)),FALSE),"")</f>
        <v/>
      </c>
      <c r="BNW19" s="28" t="str">
        <f>IFERROR(VLOOKUP(DATE($K$1,$K$2,BNW$4),Table1[],(MATCH(Calendar!$A19,DB!$1:$1,0)),FALSE),"")</f>
        <v/>
      </c>
      <c r="BNX19" s="28" t="str">
        <f>IFERROR(VLOOKUP(DATE($K$1,$K$2,BNX$4),Table1[],(MATCH(Calendar!$A19,DB!$1:$1,0)),FALSE),"")</f>
        <v/>
      </c>
      <c r="BNY19" s="28" t="str">
        <f>IFERROR(VLOOKUP(DATE($K$1,$K$2,BNY$4),Table1[],(MATCH(Calendar!$A19,DB!$1:$1,0)),FALSE),"")</f>
        <v/>
      </c>
      <c r="BNZ19" s="28" t="str">
        <f>IFERROR(VLOOKUP(DATE($K$1,$K$2,BNZ$4),Table1[],(MATCH(Calendar!$A19,DB!$1:$1,0)),FALSE),"")</f>
        <v/>
      </c>
      <c r="BOA19" s="28" t="str">
        <f>IFERROR(VLOOKUP(DATE($K$1,$K$2,BOA$4),Table1[],(MATCH(Calendar!$A19,DB!$1:$1,0)),FALSE),"")</f>
        <v/>
      </c>
      <c r="BOB19" s="28" t="str">
        <f>IFERROR(VLOOKUP(DATE($K$1,$K$2,BOB$4),Table1[],(MATCH(Calendar!$A19,DB!$1:$1,0)),FALSE),"")</f>
        <v/>
      </c>
      <c r="BOC19" s="28" t="str">
        <f>IFERROR(VLOOKUP(DATE($K$1,$K$2,BOC$4),Table1[],(MATCH(Calendar!$A19,DB!$1:$1,0)),FALSE),"")</f>
        <v/>
      </c>
      <c r="BOD19" s="28" t="str">
        <f>IFERROR(VLOOKUP(DATE($K$1,$K$2,BOD$4),Table1[],(MATCH(Calendar!$A19,DB!$1:$1,0)),FALSE),"")</f>
        <v/>
      </c>
      <c r="BOE19" s="28" t="str">
        <f>IFERROR(VLOOKUP(DATE($K$1,$K$2,BOE$4),Table1[],(MATCH(Calendar!$A19,DB!$1:$1,0)),FALSE),"")</f>
        <v/>
      </c>
      <c r="BOF19" s="28" t="str">
        <f>IFERROR(VLOOKUP(DATE($K$1,$K$2,BOF$4),Table1[],(MATCH(Calendar!$A19,DB!$1:$1,0)),FALSE),"")</f>
        <v/>
      </c>
      <c r="BOG19" s="28" t="str">
        <f>IFERROR(VLOOKUP(DATE($K$1,$K$2,BOG$4),Table1[],(MATCH(Calendar!$A19,DB!$1:$1,0)),FALSE),"")</f>
        <v/>
      </c>
      <c r="BOH19" s="28" t="str">
        <f>IFERROR(VLOOKUP(DATE($K$1,$K$2,BOH$4),Table1[],(MATCH(Calendar!$A19,DB!$1:$1,0)),FALSE),"")</f>
        <v/>
      </c>
      <c r="BOI19" s="28" t="str">
        <f>IFERROR(VLOOKUP(DATE($K$1,$K$2,BOI$4),Table1[],(MATCH(Calendar!$A19,DB!$1:$1,0)),FALSE),"")</f>
        <v/>
      </c>
      <c r="BOJ19" s="28" t="str">
        <f>IFERROR(VLOOKUP(DATE($K$1,$K$2,BOJ$4),Table1[],(MATCH(Calendar!$A19,DB!$1:$1,0)),FALSE),"")</f>
        <v/>
      </c>
      <c r="BOK19" s="28" t="str">
        <f>IFERROR(VLOOKUP(DATE($K$1,$K$2,BOK$4),Table1[],(MATCH(Calendar!$A19,DB!$1:$1,0)),FALSE),"")</f>
        <v/>
      </c>
      <c r="BOL19" s="28" t="str">
        <f>IFERROR(VLOOKUP(DATE($K$1,$K$2,BOL$4),Table1[],(MATCH(Calendar!$A19,DB!$1:$1,0)),FALSE),"")</f>
        <v/>
      </c>
      <c r="BOM19" s="28" t="str">
        <f>IFERROR(VLOOKUP(DATE($K$1,$K$2,BOM$4),Table1[],(MATCH(Calendar!$A19,DB!$1:$1,0)),FALSE),"")</f>
        <v/>
      </c>
      <c r="BON19" s="28" t="str">
        <f>IFERROR(VLOOKUP(DATE($K$1,$K$2,BON$4),Table1[],(MATCH(Calendar!$A19,DB!$1:$1,0)),FALSE),"")</f>
        <v/>
      </c>
      <c r="BOO19" s="28" t="str">
        <f>IFERROR(VLOOKUP(DATE($K$1,$K$2,BOO$4),Table1[],(MATCH(Calendar!$A19,DB!$1:$1,0)),FALSE),"")</f>
        <v/>
      </c>
      <c r="BOP19" s="28" t="str">
        <f>IFERROR(VLOOKUP(DATE($K$1,$K$2,BOP$4),Table1[],(MATCH(Calendar!$A19,DB!$1:$1,0)),FALSE),"")</f>
        <v/>
      </c>
      <c r="BOQ19" s="28" t="str">
        <f>IFERROR(VLOOKUP(DATE($K$1,$K$2,BOQ$4),Table1[],(MATCH(Calendar!$A19,DB!$1:$1,0)),FALSE),"")</f>
        <v/>
      </c>
      <c r="BOR19" s="28" t="str">
        <f>IFERROR(VLOOKUP(DATE($K$1,$K$2,BOR$4),Table1[],(MATCH(Calendar!$A19,DB!$1:$1,0)),FALSE),"")</f>
        <v/>
      </c>
      <c r="BOS19" s="28" t="str">
        <f>IFERROR(VLOOKUP(DATE($K$1,$K$2,BOS$4),Table1[],(MATCH(Calendar!$A19,DB!$1:$1,0)),FALSE),"")</f>
        <v/>
      </c>
      <c r="BOT19" s="28" t="str">
        <f>IFERROR(VLOOKUP(DATE($K$1,$K$2,BOT$4),Table1[],(MATCH(Calendar!$A19,DB!$1:$1,0)),FALSE),"")</f>
        <v/>
      </c>
      <c r="BOU19" s="28" t="str">
        <f>IFERROR(VLOOKUP(DATE($K$1,$K$2,BOU$4),Table1[],(MATCH(Calendar!$A19,DB!$1:$1,0)),FALSE),"")</f>
        <v/>
      </c>
      <c r="BOV19" s="28" t="str">
        <f>IFERROR(VLOOKUP(DATE($K$1,$K$2,BOV$4),Table1[],(MATCH(Calendar!$A19,DB!$1:$1,0)),FALSE),"")</f>
        <v/>
      </c>
      <c r="BOW19" s="28" t="str">
        <f>IFERROR(VLOOKUP(DATE($K$1,$K$2,BOW$4),Table1[],(MATCH(Calendar!$A19,DB!$1:$1,0)),FALSE),"")</f>
        <v/>
      </c>
      <c r="BOX19" s="28" t="str">
        <f>IFERROR(VLOOKUP(DATE($K$1,$K$2,BOX$4),Table1[],(MATCH(Calendar!$A19,DB!$1:$1,0)),FALSE),"")</f>
        <v/>
      </c>
      <c r="BOY19" s="28" t="str">
        <f>IFERROR(VLOOKUP(DATE($K$1,$K$2,BOY$4),Table1[],(MATCH(Calendar!$A19,DB!$1:$1,0)),FALSE),"")</f>
        <v/>
      </c>
      <c r="BOZ19" s="28" t="str">
        <f>IFERROR(VLOOKUP(DATE($K$1,$K$2,BOZ$4),Table1[],(MATCH(Calendar!$A19,DB!$1:$1,0)),FALSE),"")</f>
        <v/>
      </c>
      <c r="BPA19" s="28" t="str">
        <f>IFERROR(VLOOKUP(DATE($K$1,$K$2,BPA$4),Table1[],(MATCH(Calendar!$A19,DB!$1:$1,0)),FALSE),"")</f>
        <v/>
      </c>
      <c r="BPB19" s="28" t="str">
        <f>IFERROR(VLOOKUP(DATE($K$1,$K$2,BPB$4),Table1[],(MATCH(Calendar!$A19,DB!$1:$1,0)),FALSE),"")</f>
        <v/>
      </c>
      <c r="BPC19" s="28" t="str">
        <f>IFERROR(VLOOKUP(DATE($K$1,$K$2,BPC$4),Table1[],(MATCH(Calendar!$A19,DB!$1:$1,0)),FALSE),"")</f>
        <v/>
      </c>
      <c r="BPD19" s="28" t="str">
        <f>IFERROR(VLOOKUP(DATE($K$1,$K$2,BPD$4),Table1[],(MATCH(Calendar!$A19,DB!$1:$1,0)),FALSE),"")</f>
        <v/>
      </c>
      <c r="BPE19" s="28" t="str">
        <f>IFERROR(VLOOKUP(DATE($K$1,$K$2,BPE$4),Table1[],(MATCH(Calendar!$A19,DB!$1:$1,0)),FALSE),"")</f>
        <v/>
      </c>
      <c r="BPF19" s="28" t="str">
        <f>IFERROR(VLOOKUP(DATE($K$1,$K$2,BPF$4),Table1[],(MATCH(Calendar!$A19,DB!$1:$1,0)),FALSE),"")</f>
        <v/>
      </c>
      <c r="BPG19" s="28" t="str">
        <f>IFERROR(VLOOKUP(DATE($K$1,$K$2,BPG$4),Table1[],(MATCH(Calendar!$A19,DB!$1:$1,0)),FALSE),"")</f>
        <v/>
      </c>
      <c r="BPH19" s="28" t="str">
        <f>IFERROR(VLOOKUP(DATE($K$1,$K$2,BPH$4),Table1[],(MATCH(Calendar!$A19,DB!$1:$1,0)),FALSE),"")</f>
        <v/>
      </c>
      <c r="BPI19" s="28" t="str">
        <f>IFERROR(VLOOKUP(DATE($K$1,$K$2,BPI$4),Table1[],(MATCH(Calendar!$A19,DB!$1:$1,0)),FALSE),"")</f>
        <v/>
      </c>
      <c r="BPJ19" s="28" t="str">
        <f>IFERROR(VLOOKUP(DATE($K$1,$K$2,BPJ$4),Table1[],(MATCH(Calendar!$A19,DB!$1:$1,0)),FALSE),"")</f>
        <v/>
      </c>
      <c r="BPK19" s="28" t="str">
        <f>IFERROR(VLOOKUP(DATE($K$1,$K$2,BPK$4),Table1[],(MATCH(Calendar!$A19,DB!$1:$1,0)),FALSE),"")</f>
        <v/>
      </c>
      <c r="BPL19" s="28" t="str">
        <f>IFERROR(VLOOKUP(DATE($K$1,$K$2,BPL$4),Table1[],(MATCH(Calendar!$A19,DB!$1:$1,0)),FALSE),"")</f>
        <v/>
      </c>
      <c r="BPM19" s="28" t="str">
        <f>IFERROR(VLOOKUP(DATE($K$1,$K$2,BPM$4),Table1[],(MATCH(Calendar!$A19,DB!$1:$1,0)),FALSE),"")</f>
        <v/>
      </c>
      <c r="BPN19" s="28" t="str">
        <f>IFERROR(VLOOKUP(DATE($K$1,$K$2,BPN$4),Table1[],(MATCH(Calendar!$A19,DB!$1:$1,0)),FALSE),"")</f>
        <v/>
      </c>
      <c r="BPO19" s="28" t="str">
        <f>IFERROR(VLOOKUP(DATE($K$1,$K$2,BPO$4),Table1[],(MATCH(Calendar!$A19,DB!$1:$1,0)),FALSE),"")</f>
        <v/>
      </c>
      <c r="BPP19" s="28" t="str">
        <f>IFERROR(VLOOKUP(DATE($K$1,$K$2,BPP$4),Table1[],(MATCH(Calendar!$A19,DB!$1:$1,0)),FALSE),"")</f>
        <v/>
      </c>
      <c r="BPQ19" s="28" t="str">
        <f>IFERROR(VLOOKUP(DATE($K$1,$K$2,BPQ$4),Table1[],(MATCH(Calendar!$A19,DB!$1:$1,0)),FALSE),"")</f>
        <v/>
      </c>
      <c r="BPR19" s="28" t="str">
        <f>IFERROR(VLOOKUP(DATE($K$1,$K$2,BPR$4),Table1[],(MATCH(Calendar!$A19,DB!$1:$1,0)),FALSE),"")</f>
        <v/>
      </c>
      <c r="BPS19" s="28" t="str">
        <f>IFERROR(VLOOKUP(DATE($K$1,$K$2,BPS$4),Table1[],(MATCH(Calendar!$A19,DB!$1:$1,0)),FALSE),"")</f>
        <v/>
      </c>
      <c r="BPT19" s="28" t="str">
        <f>IFERROR(VLOOKUP(DATE($K$1,$K$2,BPT$4),Table1[],(MATCH(Calendar!$A19,DB!$1:$1,0)),FALSE),"")</f>
        <v/>
      </c>
      <c r="BPU19" s="28" t="str">
        <f>IFERROR(VLOOKUP(DATE($K$1,$K$2,BPU$4),Table1[],(MATCH(Calendar!$A19,DB!$1:$1,0)),FALSE),"")</f>
        <v/>
      </c>
      <c r="BPV19" s="28" t="str">
        <f>IFERROR(VLOOKUP(DATE($K$1,$K$2,BPV$4),Table1[],(MATCH(Calendar!$A19,DB!$1:$1,0)),FALSE),"")</f>
        <v/>
      </c>
      <c r="BPW19" s="28" t="str">
        <f>IFERROR(VLOOKUP(DATE($K$1,$K$2,BPW$4),Table1[],(MATCH(Calendar!$A19,DB!$1:$1,0)),FALSE),"")</f>
        <v/>
      </c>
      <c r="BPX19" s="28" t="str">
        <f>IFERROR(VLOOKUP(DATE($K$1,$K$2,BPX$4),Table1[],(MATCH(Calendar!$A19,DB!$1:$1,0)),FALSE),"")</f>
        <v/>
      </c>
      <c r="BPY19" s="28" t="str">
        <f>IFERROR(VLOOKUP(DATE($K$1,$K$2,BPY$4),Table1[],(MATCH(Calendar!$A19,DB!$1:$1,0)),FALSE),"")</f>
        <v/>
      </c>
      <c r="BPZ19" s="28" t="str">
        <f>IFERROR(VLOOKUP(DATE($K$1,$K$2,BPZ$4),Table1[],(MATCH(Calendar!$A19,DB!$1:$1,0)),FALSE),"")</f>
        <v/>
      </c>
      <c r="BQA19" s="28" t="str">
        <f>IFERROR(VLOOKUP(DATE($K$1,$K$2,BQA$4),Table1[],(MATCH(Calendar!$A19,DB!$1:$1,0)),FALSE),"")</f>
        <v/>
      </c>
      <c r="BQB19" s="28" t="str">
        <f>IFERROR(VLOOKUP(DATE($K$1,$K$2,BQB$4),Table1[],(MATCH(Calendar!$A19,DB!$1:$1,0)),FALSE),"")</f>
        <v/>
      </c>
      <c r="BQC19" s="28" t="str">
        <f>IFERROR(VLOOKUP(DATE($K$1,$K$2,BQC$4),Table1[],(MATCH(Calendar!$A19,DB!$1:$1,0)),FALSE),"")</f>
        <v/>
      </c>
      <c r="BQD19" s="28" t="str">
        <f>IFERROR(VLOOKUP(DATE($K$1,$K$2,BQD$4),Table1[],(MATCH(Calendar!$A19,DB!$1:$1,0)),FALSE),"")</f>
        <v/>
      </c>
      <c r="BQE19" s="28" t="str">
        <f>IFERROR(VLOOKUP(DATE($K$1,$K$2,BQE$4),Table1[],(MATCH(Calendar!$A19,DB!$1:$1,0)),FALSE),"")</f>
        <v/>
      </c>
      <c r="BQF19" s="28" t="str">
        <f>IFERROR(VLOOKUP(DATE($K$1,$K$2,BQF$4),Table1[],(MATCH(Calendar!$A19,DB!$1:$1,0)),FALSE),"")</f>
        <v/>
      </c>
      <c r="BQG19" s="28" t="str">
        <f>IFERROR(VLOOKUP(DATE($K$1,$K$2,BQG$4),Table1[],(MATCH(Calendar!$A19,DB!$1:$1,0)),FALSE),"")</f>
        <v/>
      </c>
      <c r="BQH19" s="28" t="str">
        <f>IFERROR(VLOOKUP(DATE($K$1,$K$2,BQH$4),Table1[],(MATCH(Calendar!$A19,DB!$1:$1,0)),FALSE),"")</f>
        <v/>
      </c>
      <c r="BQI19" s="28" t="str">
        <f>IFERROR(VLOOKUP(DATE($K$1,$K$2,BQI$4),Table1[],(MATCH(Calendar!$A19,DB!$1:$1,0)),FALSE),"")</f>
        <v/>
      </c>
      <c r="BQJ19" s="28" t="str">
        <f>IFERROR(VLOOKUP(DATE($K$1,$K$2,BQJ$4),Table1[],(MATCH(Calendar!$A19,DB!$1:$1,0)),FALSE),"")</f>
        <v/>
      </c>
      <c r="BQK19" s="28" t="str">
        <f>IFERROR(VLOOKUP(DATE($K$1,$K$2,BQK$4),Table1[],(MATCH(Calendar!$A19,DB!$1:$1,0)),FALSE),"")</f>
        <v/>
      </c>
      <c r="BQL19" s="28" t="str">
        <f>IFERROR(VLOOKUP(DATE($K$1,$K$2,BQL$4),Table1[],(MATCH(Calendar!$A19,DB!$1:$1,0)),FALSE),"")</f>
        <v/>
      </c>
      <c r="BQM19" s="28" t="str">
        <f>IFERROR(VLOOKUP(DATE($K$1,$K$2,BQM$4),Table1[],(MATCH(Calendar!$A19,DB!$1:$1,0)),FALSE),"")</f>
        <v/>
      </c>
      <c r="BQN19" s="28" t="str">
        <f>IFERROR(VLOOKUP(DATE($K$1,$K$2,BQN$4),Table1[],(MATCH(Calendar!$A19,DB!$1:$1,0)),FALSE),"")</f>
        <v/>
      </c>
      <c r="BQO19" s="28" t="str">
        <f>IFERROR(VLOOKUP(DATE($K$1,$K$2,BQO$4),Table1[],(MATCH(Calendar!$A19,DB!$1:$1,0)),FALSE),"")</f>
        <v/>
      </c>
      <c r="BQP19" s="28" t="str">
        <f>IFERROR(VLOOKUP(DATE($K$1,$K$2,BQP$4),Table1[],(MATCH(Calendar!$A19,DB!$1:$1,0)),FALSE),"")</f>
        <v/>
      </c>
      <c r="BQQ19" s="28" t="str">
        <f>IFERROR(VLOOKUP(DATE($K$1,$K$2,BQQ$4),Table1[],(MATCH(Calendar!$A19,DB!$1:$1,0)),FALSE),"")</f>
        <v/>
      </c>
      <c r="BQR19" s="28" t="str">
        <f>IFERROR(VLOOKUP(DATE($K$1,$K$2,BQR$4),Table1[],(MATCH(Calendar!$A19,DB!$1:$1,0)),FALSE),"")</f>
        <v/>
      </c>
      <c r="BQS19" s="28" t="str">
        <f>IFERROR(VLOOKUP(DATE($K$1,$K$2,BQS$4),Table1[],(MATCH(Calendar!$A19,DB!$1:$1,0)),FALSE),"")</f>
        <v/>
      </c>
      <c r="BQT19" s="28" t="str">
        <f>IFERROR(VLOOKUP(DATE($K$1,$K$2,BQT$4),Table1[],(MATCH(Calendar!$A19,DB!$1:$1,0)),FALSE),"")</f>
        <v/>
      </c>
      <c r="BQU19" s="28" t="str">
        <f>IFERROR(VLOOKUP(DATE($K$1,$K$2,BQU$4),Table1[],(MATCH(Calendar!$A19,DB!$1:$1,0)),FALSE),"")</f>
        <v/>
      </c>
      <c r="BQV19" s="28" t="str">
        <f>IFERROR(VLOOKUP(DATE($K$1,$K$2,BQV$4),Table1[],(MATCH(Calendar!$A19,DB!$1:$1,0)),FALSE),"")</f>
        <v/>
      </c>
      <c r="BQW19" s="28" t="str">
        <f>IFERROR(VLOOKUP(DATE($K$1,$K$2,BQW$4),Table1[],(MATCH(Calendar!$A19,DB!$1:$1,0)),FALSE),"")</f>
        <v/>
      </c>
      <c r="BQX19" s="28" t="str">
        <f>IFERROR(VLOOKUP(DATE($K$1,$K$2,BQX$4),Table1[],(MATCH(Calendar!$A19,DB!$1:$1,0)),FALSE),"")</f>
        <v/>
      </c>
      <c r="BQY19" s="28" t="str">
        <f>IFERROR(VLOOKUP(DATE($K$1,$K$2,BQY$4),Table1[],(MATCH(Calendar!$A19,DB!$1:$1,0)),FALSE),"")</f>
        <v/>
      </c>
      <c r="BQZ19" s="28" t="str">
        <f>IFERROR(VLOOKUP(DATE($K$1,$K$2,BQZ$4),Table1[],(MATCH(Calendar!$A19,DB!$1:$1,0)),FALSE),"")</f>
        <v/>
      </c>
      <c r="BRA19" s="28" t="str">
        <f>IFERROR(VLOOKUP(DATE($K$1,$K$2,BRA$4),Table1[],(MATCH(Calendar!$A19,DB!$1:$1,0)),FALSE),"")</f>
        <v/>
      </c>
      <c r="BRB19" s="28" t="str">
        <f>IFERROR(VLOOKUP(DATE($K$1,$K$2,BRB$4),Table1[],(MATCH(Calendar!$A19,DB!$1:$1,0)),FALSE),"")</f>
        <v/>
      </c>
      <c r="BRC19" s="28" t="str">
        <f>IFERROR(VLOOKUP(DATE($K$1,$K$2,BRC$4),Table1[],(MATCH(Calendar!$A19,DB!$1:$1,0)),FALSE),"")</f>
        <v/>
      </c>
      <c r="BRD19" s="28" t="str">
        <f>IFERROR(VLOOKUP(DATE($K$1,$K$2,BRD$4),Table1[],(MATCH(Calendar!$A19,DB!$1:$1,0)),FALSE),"")</f>
        <v/>
      </c>
      <c r="BRE19" s="28" t="str">
        <f>IFERROR(VLOOKUP(DATE($K$1,$K$2,BRE$4),Table1[],(MATCH(Calendar!$A19,DB!$1:$1,0)),FALSE),"")</f>
        <v/>
      </c>
      <c r="BRF19" s="28" t="str">
        <f>IFERROR(VLOOKUP(DATE($K$1,$K$2,BRF$4),Table1[],(MATCH(Calendar!$A19,DB!$1:$1,0)),FALSE),"")</f>
        <v/>
      </c>
      <c r="BRG19" s="28" t="str">
        <f>IFERROR(VLOOKUP(DATE($K$1,$K$2,BRG$4),Table1[],(MATCH(Calendar!$A19,DB!$1:$1,0)),FALSE),"")</f>
        <v/>
      </c>
      <c r="BRH19" s="28" t="str">
        <f>IFERROR(VLOOKUP(DATE($K$1,$K$2,BRH$4),Table1[],(MATCH(Calendar!$A19,DB!$1:$1,0)),FALSE),"")</f>
        <v/>
      </c>
      <c r="BRI19" s="28" t="str">
        <f>IFERROR(VLOOKUP(DATE($K$1,$K$2,BRI$4),Table1[],(MATCH(Calendar!$A19,DB!$1:$1,0)),FALSE),"")</f>
        <v/>
      </c>
      <c r="BRJ19" s="28" t="str">
        <f>IFERROR(VLOOKUP(DATE($K$1,$K$2,BRJ$4),Table1[],(MATCH(Calendar!$A19,DB!$1:$1,0)),FALSE),"")</f>
        <v/>
      </c>
      <c r="BRK19" s="28" t="str">
        <f>IFERROR(VLOOKUP(DATE($K$1,$K$2,BRK$4),Table1[],(MATCH(Calendar!$A19,DB!$1:$1,0)),FALSE),"")</f>
        <v/>
      </c>
      <c r="BRL19" s="28" t="str">
        <f>IFERROR(VLOOKUP(DATE($K$1,$K$2,BRL$4),Table1[],(MATCH(Calendar!$A19,DB!$1:$1,0)),FALSE),"")</f>
        <v/>
      </c>
      <c r="BRM19" s="28" t="str">
        <f>IFERROR(VLOOKUP(DATE($K$1,$K$2,BRM$4),Table1[],(MATCH(Calendar!$A19,DB!$1:$1,0)),FALSE),"")</f>
        <v/>
      </c>
      <c r="BRN19" s="28" t="str">
        <f>IFERROR(VLOOKUP(DATE($K$1,$K$2,BRN$4),Table1[],(MATCH(Calendar!$A19,DB!$1:$1,0)),FALSE),"")</f>
        <v/>
      </c>
      <c r="BRO19" s="28" t="str">
        <f>IFERROR(VLOOKUP(DATE($K$1,$K$2,BRO$4),Table1[],(MATCH(Calendar!$A19,DB!$1:$1,0)),FALSE),"")</f>
        <v/>
      </c>
      <c r="BRP19" s="28" t="str">
        <f>IFERROR(VLOOKUP(DATE($K$1,$K$2,BRP$4),Table1[],(MATCH(Calendar!$A19,DB!$1:$1,0)),FALSE),"")</f>
        <v/>
      </c>
      <c r="BRQ19" s="28" t="str">
        <f>IFERROR(VLOOKUP(DATE($K$1,$K$2,BRQ$4),Table1[],(MATCH(Calendar!$A19,DB!$1:$1,0)),FALSE),"")</f>
        <v/>
      </c>
      <c r="BRR19" s="28" t="str">
        <f>IFERROR(VLOOKUP(DATE($K$1,$K$2,BRR$4),Table1[],(MATCH(Calendar!$A19,DB!$1:$1,0)),FALSE),"")</f>
        <v/>
      </c>
      <c r="BRS19" s="28" t="str">
        <f>IFERROR(VLOOKUP(DATE($K$1,$K$2,BRS$4),Table1[],(MATCH(Calendar!$A19,DB!$1:$1,0)),FALSE),"")</f>
        <v/>
      </c>
      <c r="BRT19" s="28" t="str">
        <f>IFERROR(VLOOKUP(DATE($K$1,$K$2,BRT$4),Table1[],(MATCH(Calendar!$A19,DB!$1:$1,0)),FALSE),"")</f>
        <v/>
      </c>
      <c r="BRU19" s="28" t="str">
        <f>IFERROR(VLOOKUP(DATE($K$1,$K$2,BRU$4),Table1[],(MATCH(Calendar!$A19,DB!$1:$1,0)),FALSE),"")</f>
        <v/>
      </c>
      <c r="BRV19" s="28" t="str">
        <f>IFERROR(VLOOKUP(DATE($K$1,$K$2,BRV$4),Table1[],(MATCH(Calendar!$A19,DB!$1:$1,0)),FALSE),"")</f>
        <v/>
      </c>
      <c r="BRW19" s="28" t="str">
        <f>IFERROR(VLOOKUP(DATE($K$1,$K$2,BRW$4),Table1[],(MATCH(Calendar!$A19,DB!$1:$1,0)),FALSE),"")</f>
        <v/>
      </c>
      <c r="BRX19" s="28" t="str">
        <f>IFERROR(VLOOKUP(DATE($K$1,$K$2,BRX$4),Table1[],(MATCH(Calendar!$A19,DB!$1:$1,0)),FALSE),"")</f>
        <v/>
      </c>
      <c r="BRY19" s="28" t="str">
        <f>IFERROR(VLOOKUP(DATE($K$1,$K$2,BRY$4),Table1[],(MATCH(Calendar!$A19,DB!$1:$1,0)),FALSE),"")</f>
        <v/>
      </c>
      <c r="BRZ19" s="28" t="str">
        <f>IFERROR(VLOOKUP(DATE($K$1,$K$2,BRZ$4),Table1[],(MATCH(Calendar!$A19,DB!$1:$1,0)),FALSE),"")</f>
        <v/>
      </c>
      <c r="BSA19" s="28" t="str">
        <f>IFERROR(VLOOKUP(DATE($K$1,$K$2,BSA$4),Table1[],(MATCH(Calendar!$A19,DB!$1:$1,0)),FALSE),"")</f>
        <v/>
      </c>
      <c r="BSB19" s="28" t="str">
        <f>IFERROR(VLOOKUP(DATE($K$1,$K$2,BSB$4),Table1[],(MATCH(Calendar!$A19,DB!$1:$1,0)),FALSE),"")</f>
        <v/>
      </c>
      <c r="BSC19" s="28" t="str">
        <f>IFERROR(VLOOKUP(DATE($K$1,$K$2,BSC$4),Table1[],(MATCH(Calendar!$A19,DB!$1:$1,0)),FALSE),"")</f>
        <v/>
      </c>
      <c r="BSD19" s="28" t="str">
        <f>IFERROR(VLOOKUP(DATE($K$1,$K$2,BSD$4),Table1[],(MATCH(Calendar!$A19,DB!$1:$1,0)),FALSE),"")</f>
        <v/>
      </c>
      <c r="BSE19" s="28" t="str">
        <f>IFERROR(VLOOKUP(DATE($K$1,$K$2,BSE$4),Table1[],(MATCH(Calendar!$A19,DB!$1:$1,0)),FALSE),"")</f>
        <v/>
      </c>
      <c r="BSF19" s="28" t="str">
        <f>IFERROR(VLOOKUP(DATE($K$1,$K$2,BSF$4),Table1[],(MATCH(Calendar!$A19,DB!$1:$1,0)),FALSE),"")</f>
        <v/>
      </c>
      <c r="BSG19" s="28" t="str">
        <f>IFERROR(VLOOKUP(DATE($K$1,$K$2,BSG$4),Table1[],(MATCH(Calendar!$A19,DB!$1:$1,0)),FALSE),"")</f>
        <v/>
      </c>
      <c r="BSH19" s="28" t="str">
        <f>IFERROR(VLOOKUP(DATE($K$1,$K$2,BSH$4),Table1[],(MATCH(Calendar!$A19,DB!$1:$1,0)),FALSE),"")</f>
        <v/>
      </c>
      <c r="BSI19" s="28" t="str">
        <f>IFERROR(VLOOKUP(DATE($K$1,$K$2,BSI$4),Table1[],(MATCH(Calendar!$A19,DB!$1:$1,0)),FALSE),"")</f>
        <v/>
      </c>
      <c r="BSJ19" s="28" t="str">
        <f>IFERROR(VLOOKUP(DATE($K$1,$K$2,BSJ$4),Table1[],(MATCH(Calendar!$A19,DB!$1:$1,0)),FALSE),"")</f>
        <v/>
      </c>
      <c r="BSK19" s="28" t="str">
        <f>IFERROR(VLOOKUP(DATE($K$1,$K$2,BSK$4),Table1[],(MATCH(Calendar!$A19,DB!$1:$1,0)),FALSE),"")</f>
        <v/>
      </c>
      <c r="BSL19" s="28" t="str">
        <f>IFERROR(VLOOKUP(DATE($K$1,$K$2,BSL$4),Table1[],(MATCH(Calendar!$A19,DB!$1:$1,0)),FALSE),"")</f>
        <v/>
      </c>
      <c r="BSM19" s="28" t="str">
        <f>IFERROR(VLOOKUP(DATE($K$1,$K$2,BSM$4),Table1[],(MATCH(Calendar!$A19,DB!$1:$1,0)),FALSE),"")</f>
        <v/>
      </c>
      <c r="BSN19" s="28" t="str">
        <f>IFERROR(VLOOKUP(DATE($K$1,$K$2,BSN$4),Table1[],(MATCH(Calendar!$A19,DB!$1:$1,0)),FALSE),"")</f>
        <v/>
      </c>
      <c r="BSO19" s="28" t="str">
        <f>IFERROR(VLOOKUP(DATE($K$1,$K$2,BSO$4),Table1[],(MATCH(Calendar!$A19,DB!$1:$1,0)),FALSE),"")</f>
        <v/>
      </c>
      <c r="BSP19" s="28" t="str">
        <f>IFERROR(VLOOKUP(DATE($K$1,$K$2,BSP$4),Table1[],(MATCH(Calendar!$A19,DB!$1:$1,0)),FALSE),"")</f>
        <v/>
      </c>
      <c r="BSQ19" s="28" t="str">
        <f>IFERROR(VLOOKUP(DATE($K$1,$K$2,BSQ$4),Table1[],(MATCH(Calendar!$A19,DB!$1:$1,0)),FALSE),"")</f>
        <v/>
      </c>
      <c r="BSR19" s="28" t="str">
        <f>IFERROR(VLOOKUP(DATE($K$1,$K$2,BSR$4),Table1[],(MATCH(Calendar!$A19,DB!$1:$1,0)),FALSE),"")</f>
        <v/>
      </c>
      <c r="BSS19" s="28" t="str">
        <f>IFERROR(VLOOKUP(DATE($K$1,$K$2,BSS$4),Table1[],(MATCH(Calendar!$A19,DB!$1:$1,0)),FALSE),"")</f>
        <v/>
      </c>
      <c r="BST19" s="28" t="str">
        <f>IFERROR(VLOOKUP(DATE($K$1,$K$2,BST$4),Table1[],(MATCH(Calendar!$A19,DB!$1:$1,0)),FALSE),"")</f>
        <v/>
      </c>
      <c r="BSU19" s="28" t="str">
        <f>IFERROR(VLOOKUP(DATE($K$1,$K$2,BSU$4),Table1[],(MATCH(Calendar!$A19,DB!$1:$1,0)),FALSE),"")</f>
        <v/>
      </c>
      <c r="BSV19" s="28" t="str">
        <f>IFERROR(VLOOKUP(DATE($K$1,$K$2,BSV$4),Table1[],(MATCH(Calendar!$A19,DB!$1:$1,0)),FALSE),"")</f>
        <v/>
      </c>
      <c r="BSW19" s="28" t="str">
        <f>IFERROR(VLOOKUP(DATE($K$1,$K$2,BSW$4),Table1[],(MATCH(Calendar!$A19,DB!$1:$1,0)),FALSE),"")</f>
        <v/>
      </c>
      <c r="BSX19" s="28" t="str">
        <f>IFERROR(VLOOKUP(DATE($K$1,$K$2,BSX$4),Table1[],(MATCH(Calendar!$A19,DB!$1:$1,0)),FALSE),"")</f>
        <v/>
      </c>
      <c r="BSY19" s="28" t="str">
        <f>IFERROR(VLOOKUP(DATE($K$1,$K$2,BSY$4),Table1[],(MATCH(Calendar!$A19,DB!$1:$1,0)),FALSE),"")</f>
        <v/>
      </c>
      <c r="BSZ19" s="28" t="str">
        <f>IFERROR(VLOOKUP(DATE($K$1,$K$2,BSZ$4),Table1[],(MATCH(Calendar!$A19,DB!$1:$1,0)),FALSE),"")</f>
        <v/>
      </c>
      <c r="BTA19" s="28" t="str">
        <f>IFERROR(VLOOKUP(DATE($K$1,$K$2,BTA$4),Table1[],(MATCH(Calendar!$A19,DB!$1:$1,0)),FALSE),"")</f>
        <v/>
      </c>
      <c r="BTB19" s="28" t="str">
        <f>IFERROR(VLOOKUP(DATE($K$1,$K$2,BTB$4),Table1[],(MATCH(Calendar!$A19,DB!$1:$1,0)),FALSE),"")</f>
        <v/>
      </c>
      <c r="BTC19" s="28" t="str">
        <f>IFERROR(VLOOKUP(DATE($K$1,$K$2,BTC$4),Table1[],(MATCH(Calendar!$A19,DB!$1:$1,0)),FALSE),"")</f>
        <v/>
      </c>
      <c r="BTD19" s="28" t="str">
        <f>IFERROR(VLOOKUP(DATE($K$1,$K$2,BTD$4),Table1[],(MATCH(Calendar!$A19,DB!$1:$1,0)),FALSE),"")</f>
        <v/>
      </c>
      <c r="BTE19" s="28" t="str">
        <f>IFERROR(VLOOKUP(DATE($K$1,$K$2,BTE$4),Table1[],(MATCH(Calendar!$A19,DB!$1:$1,0)),FALSE),"")</f>
        <v/>
      </c>
      <c r="BTF19" s="28" t="str">
        <f>IFERROR(VLOOKUP(DATE($K$1,$K$2,BTF$4),Table1[],(MATCH(Calendar!$A19,DB!$1:$1,0)),FALSE),"")</f>
        <v/>
      </c>
      <c r="BTG19" s="28" t="str">
        <f>IFERROR(VLOOKUP(DATE($K$1,$K$2,BTG$4),Table1[],(MATCH(Calendar!$A19,DB!$1:$1,0)),FALSE),"")</f>
        <v/>
      </c>
      <c r="BTH19" s="28" t="str">
        <f>IFERROR(VLOOKUP(DATE($K$1,$K$2,BTH$4),Table1[],(MATCH(Calendar!$A19,DB!$1:$1,0)),FALSE),"")</f>
        <v/>
      </c>
      <c r="BTI19" s="28" t="str">
        <f>IFERROR(VLOOKUP(DATE($K$1,$K$2,BTI$4),Table1[],(MATCH(Calendar!$A19,DB!$1:$1,0)),FALSE),"")</f>
        <v/>
      </c>
      <c r="BTJ19" s="28" t="str">
        <f>IFERROR(VLOOKUP(DATE($K$1,$K$2,BTJ$4),Table1[],(MATCH(Calendar!$A19,DB!$1:$1,0)),FALSE),"")</f>
        <v/>
      </c>
      <c r="BTK19" s="28" t="str">
        <f>IFERROR(VLOOKUP(DATE($K$1,$K$2,BTK$4),Table1[],(MATCH(Calendar!$A19,DB!$1:$1,0)),FALSE),"")</f>
        <v/>
      </c>
      <c r="BTL19" s="28" t="str">
        <f>IFERROR(VLOOKUP(DATE($K$1,$K$2,BTL$4),Table1[],(MATCH(Calendar!$A19,DB!$1:$1,0)),FALSE),"")</f>
        <v/>
      </c>
      <c r="BTM19" s="28" t="str">
        <f>IFERROR(VLOOKUP(DATE($K$1,$K$2,BTM$4),Table1[],(MATCH(Calendar!$A19,DB!$1:$1,0)),FALSE),"")</f>
        <v/>
      </c>
      <c r="BTN19" s="28" t="str">
        <f>IFERROR(VLOOKUP(DATE($K$1,$K$2,BTN$4),Table1[],(MATCH(Calendar!$A19,DB!$1:$1,0)),FALSE),"")</f>
        <v/>
      </c>
      <c r="BTO19" s="28" t="str">
        <f>IFERROR(VLOOKUP(DATE($K$1,$K$2,BTO$4),Table1[],(MATCH(Calendar!$A19,DB!$1:$1,0)),FALSE),"")</f>
        <v/>
      </c>
      <c r="BTP19" s="28" t="str">
        <f>IFERROR(VLOOKUP(DATE($K$1,$K$2,BTP$4),Table1[],(MATCH(Calendar!$A19,DB!$1:$1,0)),FALSE),"")</f>
        <v/>
      </c>
      <c r="BTQ19" s="28" t="str">
        <f>IFERROR(VLOOKUP(DATE($K$1,$K$2,BTQ$4),Table1[],(MATCH(Calendar!$A19,DB!$1:$1,0)),FALSE),"")</f>
        <v/>
      </c>
      <c r="BTR19" s="28" t="str">
        <f>IFERROR(VLOOKUP(DATE($K$1,$K$2,BTR$4),Table1[],(MATCH(Calendar!$A19,DB!$1:$1,0)),FALSE),"")</f>
        <v/>
      </c>
      <c r="BTS19" s="28" t="str">
        <f>IFERROR(VLOOKUP(DATE($K$1,$K$2,BTS$4),Table1[],(MATCH(Calendar!$A19,DB!$1:$1,0)),FALSE),"")</f>
        <v/>
      </c>
      <c r="BTT19" s="28" t="str">
        <f>IFERROR(VLOOKUP(DATE($K$1,$K$2,BTT$4),Table1[],(MATCH(Calendar!$A19,DB!$1:$1,0)),FALSE),"")</f>
        <v/>
      </c>
      <c r="BTU19" s="28" t="str">
        <f>IFERROR(VLOOKUP(DATE($K$1,$K$2,BTU$4),Table1[],(MATCH(Calendar!$A19,DB!$1:$1,0)),FALSE),"")</f>
        <v/>
      </c>
      <c r="BTV19" s="28" t="str">
        <f>IFERROR(VLOOKUP(DATE($K$1,$K$2,BTV$4),Table1[],(MATCH(Calendar!$A19,DB!$1:$1,0)),FALSE),"")</f>
        <v/>
      </c>
      <c r="BTW19" s="28" t="str">
        <f>IFERROR(VLOOKUP(DATE($K$1,$K$2,BTW$4),Table1[],(MATCH(Calendar!$A19,DB!$1:$1,0)),FALSE),"")</f>
        <v/>
      </c>
      <c r="BTX19" s="28" t="str">
        <f>IFERROR(VLOOKUP(DATE($K$1,$K$2,BTX$4),Table1[],(MATCH(Calendar!$A19,DB!$1:$1,0)),FALSE),"")</f>
        <v/>
      </c>
      <c r="BTY19" s="28" t="str">
        <f>IFERROR(VLOOKUP(DATE($K$1,$K$2,BTY$4),Table1[],(MATCH(Calendar!$A19,DB!$1:$1,0)),FALSE),"")</f>
        <v/>
      </c>
      <c r="BTZ19" s="28" t="str">
        <f>IFERROR(VLOOKUP(DATE($K$1,$K$2,BTZ$4),Table1[],(MATCH(Calendar!$A19,DB!$1:$1,0)),FALSE),"")</f>
        <v/>
      </c>
      <c r="BUA19" s="28" t="str">
        <f>IFERROR(VLOOKUP(DATE($K$1,$K$2,BUA$4),Table1[],(MATCH(Calendar!$A19,DB!$1:$1,0)),FALSE),"")</f>
        <v/>
      </c>
      <c r="BUB19" s="28" t="str">
        <f>IFERROR(VLOOKUP(DATE($K$1,$K$2,BUB$4),Table1[],(MATCH(Calendar!$A19,DB!$1:$1,0)),FALSE),"")</f>
        <v/>
      </c>
      <c r="BUC19" s="28" t="str">
        <f>IFERROR(VLOOKUP(DATE($K$1,$K$2,BUC$4),Table1[],(MATCH(Calendar!$A19,DB!$1:$1,0)),FALSE),"")</f>
        <v/>
      </c>
      <c r="BUD19" s="28" t="str">
        <f>IFERROR(VLOOKUP(DATE($K$1,$K$2,BUD$4),Table1[],(MATCH(Calendar!$A19,DB!$1:$1,0)),FALSE),"")</f>
        <v/>
      </c>
      <c r="BUE19" s="28" t="str">
        <f>IFERROR(VLOOKUP(DATE($K$1,$K$2,BUE$4),Table1[],(MATCH(Calendar!$A19,DB!$1:$1,0)),FALSE),"")</f>
        <v/>
      </c>
      <c r="BUF19" s="28" t="str">
        <f>IFERROR(VLOOKUP(DATE($K$1,$K$2,BUF$4),Table1[],(MATCH(Calendar!$A19,DB!$1:$1,0)),FALSE),"")</f>
        <v/>
      </c>
      <c r="BUG19" s="28" t="str">
        <f>IFERROR(VLOOKUP(DATE($K$1,$K$2,BUG$4),Table1[],(MATCH(Calendar!$A19,DB!$1:$1,0)),FALSE),"")</f>
        <v/>
      </c>
      <c r="BUH19" s="28" t="str">
        <f>IFERROR(VLOOKUP(DATE($K$1,$K$2,BUH$4),Table1[],(MATCH(Calendar!$A19,DB!$1:$1,0)),FALSE),"")</f>
        <v/>
      </c>
      <c r="BUI19" s="28" t="str">
        <f>IFERROR(VLOOKUP(DATE($K$1,$K$2,BUI$4),Table1[],(MATCH(Calendar!$A19,DB!$1:$1,0)),FALSE),"")</f>
        <v/>
      </c>
      <c r="BUJ19" s="28" t="str">
        <f>IFERROR(VLOOKUP(DATE($K$1,$K$2,BUJ$4),Table1[],(MATCH(Calendar!$A19,DB!$1:$1,0)),FALSE),"")</f>
        <v/>
      </c>
      <c r="BUK19" s="28" t="str">
        <f>IFERROR(VLOOKUP(DATE($K$1,$K$2,BUK$4),Table1[],(MATCH(Calendar!$A19,DB!$1:$1,0)),FALSE),"")</f>
        <v/>
      </c>
      <c r="BUL19" s="28" t="str">
        <f>IFERROR(VLOOKUP(DATE($K$1,$K$2,BUL$4),Table1[],(MATCH(Calendar!$A19,DB!$1:$1,0)),FALSE),"")</f>
        <v/>
      </c>
      <c r="BUM19" s="28" t="str">
        <f>IFERROR(VLOOKUP(DATE($K$1,$K$2,BUM$4),Table1[],(MATCH(Calendar!$A19,DB!$1:$1,0)),FALSE),"")</f>
        <v/>
      </c>
      <c r="BUN19" s="28" t="str">
        <f>IFERROR(VLOOKUP(DATE($K$1,$K$2,BUN$4),Table1[],(MATCH(Calendar!$A19,DB!$1:$1,0)),FALSE),"")</f>
        <v/>
      </c>
      <c r="BUO19" s="28" t="str">
        <f>IFERROR(VLOOKUP(DATE($K$1,$K$2,BUO$4),Table1[],(MATCH(Calendar!$A19,DB!$1:$1,0)),FALSE),"")</f>
        <v/>
      </c>
      <c r="BUP19" s="28" t="str">
        <f>IFERROR(VLOOKUP(DATE($K$1,$K$2,BUP$4),Table1[],(MATCH(Calendar!$A19,DB!$1:$1,0)),FALSE),"")</f>
        <v/>
      </c>
      <c r="BUQ19" s="28" t="str">
        <f>IFERROR(VLOOKUP(DATE($K$1,$K$2,BUQ$4),Table1[],(MATCH(Calendar!$A19,DB!$1:$1,0)),FALSE),"")</f>
        <v/>
      </c>
      <c r="BUR19" s="28" t="str">
        <f>IFERROR(VLOOKUP(DATE($K$1,$K$2,BUR$4),Table1[],(MATCH(Calendar!$A19,DB!$1:$1,0)),FALSE),"")</f>
        <v/>
      </c>
      <c r="BUS19" s="28" t="str">
        <f>IFERROR(VLOOKUP(DATE($K$1,$K$2,BUS$4),Table1[],(MATCH(Calendar!$A19,DB!$1:$1,0)),FALSE),"")</f>
        <v/>
      </c>
      <c r="BUT19" s="28" t="str">
        <f>IFERROR(VLOOKUP(DATE($K$1,$K$2,BUT$4),Table1[],(MATCH(Calendar!$A19,DB!$1:$1,0)),FALSE),"")</f>
        <v/>
      </c>
      <c r="BUU19" s="28" t="str">
        <f>IFERROR(VLOOKUP(DATE($K$1,$K$2,BUU$4),Table1[],(MATCH(Calendar!$A19,DB!$1:$1,0)),FALSE),"")</f>
        <v/>
      </c>
      <c r="BUV19" s="28" t="str">
        <f>IFERROR(VLOOKUP(DATE($K$1,$K$2,BUV$4),Table1[],(MATCH(Calendar!$A19,DB!$1:$1,0)),FALSE),"")</f>
        <v/>
      </c>
      <c r="BUW19" s="28" t="str">
        <f>IFERROR(VLOOKUP(DATE($K$1,$K$2,BUW$4),Table1[],(MATCH(Calendar!$A19,DB!$1:$1,0)),FALSE),"")</f>
        <v/>
      </c>
      <c r="BUX19" s="28" t="str">
        <f>IFERROR(VLOOKUP(DATE($K$1,$K$2,BUX$4),Table1[],(MATCH(Calendar!$A19,DB!$1:$1,0)),FALSE),"")</f>
        <v/>
      </c>
      <c r="BUY19" s="28" t="str">
        <f>IFERROR(VLOOKUP(DATE($K$1,$K$2,BUY$4),Table1[],(MATCH(Calendar!$A19,DB!$1:$1,0)),FALSE),"")</f>
        <v/>
      </c>
      <c r="BUZ19" s="28" t="str">
        <f>IFERROR(VLOOKUP(DATE($K$1,$K$2,BUZ$4),Table1[],(MATCH(Calendar!$A19,DB!$1:$1,0)),FALSE),"")</f>
        <v/>
      </c>
      <c r="BVA19" s="28" t="str">
        <f>IFERROR(VLOOKUP(DATE($K$1,$K$2,BVA$4),Table1[],(MATCH(Calendar!$A19,DB!$1:$1,0)),FALSE),"")</f>
        <v/>
      </c>
      <c r="BVB19" s="28" t="str">
        <f>IFERROR(VLOOKUP(DATE($K$1,$K$2,BVB$4),Table1[],(MATCH(Calendar!$A19,DB!$1:$1,0)),FALSE),"")</f>
        <v/>
      </c>
      <c r="BVC19" s="28" t="str">
        <f>IFERROR(VLOOKUP(DATE($K$1,$K$2,BVC$4),Table1[],(MATCH(Calendar!$A19,DB!$1:$1,0)),FALSE),"")</f>
        <v/>
      </c>
      <c r="BVD19" s="28" t="str">
        <f>IFERROR(VLOOKUP(DATE($K$1,$K$2,BVD$4),Table1[],(MATCH(Calendar!$A19,DB!$1:$1,0)),FALSE),"")</f>
        <v/>
      </c>
      <c r="BVE19" s="28" t="str">
        <f>IFERROR(VLOOKUP(DATE($K$1,$K$2,BVE$4),Table1[],(MATCH(Calendar!$A19,DB!$1:$1,0)),FALSE),"")</f>
        <v/>
      </c>
      <c r="BVF19" s="28" t="str">
        <f>IFERROR(VLOOKUP(DATE($K$1,$K$2,BVF$4),Table1[],(MATCH(Calendar!$A19,DB!$1:$1,0)),FALSE),"")</f>
        <v/>
      </c>
      <c r="BVG19" s="28" t="str">
        <f>IFERROR(VLOOKUP(DATE($K$1,$K$2,BVG$4),Table1[],(MATCH(Calendar!$A19,DB!$1:$1,0)),FALSE),"")</f>
        <v/>
      </c>
      <c r="BVH19" s="28" t="str">
        <f>IFERROR(VLOOKUP(DATE($K$1,$K$2,BVH$4),Table1[],(MATCH(Calendar!$A19,DB!$1:$1,0)),FALSE),"")</f>
        <v/>
      </c>
      <c r="BVI19" s="28" t="str">
        <f>IFERROR(VLOOKUP(DATE($K$1,$K$2,BVI$4),Table1[],(MATCH(Calendar!$A19,DB!$1:$1,0)),FALSE),"")</f>
        <v/>
      </c>
      <c r="BVJ19" s="28" t="str">
        <f>IFERROR(VLOOKUP(DATE($K$1,$K$2,BVJ$4),Table1[],(MATCH(Calendar!$A19,DB!$1:$1,0)),FALSE),"")</f>
        <v/>
      </c>
      <c r="BVK19" s="28" t="str">
        <f>IFERROR(VLOOKUP(DATE($K$1,$K$2,BVK$4),Table1[],(MATCH(Calendar!$A19,DB!$1:$1,0)),FALSE),"")</f>
        <v/>
      </c>
      <c r="BVL19" s="28" t="str">
        <f>IFERROR(VLOOKUP(DATE($K$1,$K$2,BVL$4),Table1[],(MATCH(Calendar!$A19,DB!$1:$1,0)),FALSE),"")</f>
        <v/>
      </c>
      <c r="BVM19" s="28" t="str">
        <f>IFERROR(VLOOKUP(DATE($K$1,$K$2,BVM$4),Table1[],(MATCH(Calendar!$A19,DB!$1:$1,0)),FALSE),"")</f>
        <v/>
      </c>
      <c r="BVN19" s="28" t="str">
        <f>IFERROR(VLOOKUP(DATE($K$1,$K$2,BVN$4),Table1[],(MATCH(Calendar!$A19,DB!$1:$1,0)),FALSE),"")</f>
        <v/>
      </c>
      <c r="BVO19" s="28" t="str">
        <f>IFERROR(VLOOKUP(DATE($K$1,$K$2,BVO$4),Table1[],(MATCH(Calendar!$A19,DB!$1:$1,0)),FALSE),"")</f>
        <v/>
      </c>
      <c r="BVP19" s="28" t="str">
        <f>IFERROR(VLOOKUP(DATE($K$1,$K$2,BVP$4),Table1[],(MATCH(Calendar!$A19,DB!$1:$1,0)),FALSE),"")</f>
        <v/>
      </c>
      <c r="BVQ19" s="28" t="str">
        <f>IFERROR(VLOOKUP(DATE($K$1,$K$2,BVQ$4),Table1[],(MATCH(Calendar!$A19,DB!$1:$1,0)),FALSE),"")</f>
        <v/>
      </c>
      <c r="BVR19" s="28" t="str">
        <f>IFERROR(VLOOKUP(DATE($K$1,$K$2,BVR$4),Table1[],(MATCH(Calendar!$A19,DB!$1:$1,0)),FALSE),"")</f>
        <v/>
      </c>
      <c r="BVS19" s="28" t="str">
        <f>IFERROR(VLOOKUP(DATE($K$1,$K$2,BVS$4),Table1[],(MATCH(Calendar!$A19,DB!$1:$1,0)),FALSE),"")</f>
        <v/>
      </c>
      <c r="BVT19" s="28" t="str">
        <f>IFERROR(VLOOKUP(DATE($K$1,$K$2,BVT$4),Table1[],(MATCH(Calendar!$A19,DB!$1:$1,0)),FALSE),"")</f>
        <v/>
      </c>
      <c r="BVU19" s="28" t="str">
        <f>IFERROR(VLOOKUP(DATE($K$1,$K$2,BVU$4),Table1[],(MATCH(Calendar!$A19,DB!$1:$1,0)),FALSE),"")</f>
        <v/>
      </c>
      <c r="BVV19" s="28" t="str">
        <f>IFERROR(VLOOKUP(DATE($K$1,$K$2,BVV$4),Table1[],(MATCH(Calendar!$A19,DB!$1:$1,0)),FALSE),"")</f>
        <v/>
      </c>
      <c r="BVW19" s="28" t="str">
        <f>IFERROR(VLOOKUP(DATE($K$1,$K$2,BVW$4),Table1[],(MATCH(Calendar!$A19,DB!$1:$1,0)),FALSE),"")</f>
        <v/>
      </c>
      <c r="BVX19" s="28" t="str">
        <f>IFERROR(VLOOKUP(DATE($K$1,$K$2,BVX$4),Table1[],(MATCH(Calendar!$A19,DB!$1:$1,0)),FALSE),"")</f>
        <v/>
      </c>
      <c r="BVY19" s="28" t="str">
        <f>IFERROR(VLOOKUP(DATE($K$1,$K$2,BVY$4),Table1[],(MATCH(Calendar!$A19,DB!$1:$1,0)),FALSE),"")</f>
        <v/>
      </c>
      <c r="BVZ19" s="28" t="str">
        <f>IFERROR(VLOOKUP(DATE($K$1,$K$2,BVZ$4),Table1[],(MATCH(Calendar!$A19,DB!$1:$1,0)),FALSE),"")</f>
        <v/>
      </c>
      <c r="BWA19" s="28" t="str">
        <f>IFERROR(VLOOKUP(DATE($K$1,$K$2,BWA$4),Table1[],(MATCH(Calendar!$A19,DB!$1:$1,0)),FALSE),"")</f>
        <v/>
      </c>
      <c r="BWB19" s="28" t="str">
        <f>IFERROR(VLOOKUP(DATE($K$1,$K$2,BWB$4),Table1[],(MATCH(Calendar!$A19,DB!$1:$1,0)),FALSE),"")</f>
        <v/>
      </c>
      <c r="BWC19" s="28" t="str">
        <f>IFERROR(VLOOKUP(DATE($K$1,$K$2,BWC$4),Table1[],(MATCH(Calendar!$A19,DB!$1:$1,0)),FALSE),"")</f>
        <v/>
      </c>
      <c r="BWD19" s="28" t="str">
        <f>IFERROR(VLOOKUP(DATE($K$1,$K$2,BWD$4),Table1[],(MATCH(Calendar!$A19,DB!$1:$1,0)),FALSE),"")</f>
        <v/>
      </c>
      <c r="BWE19" s="28" t="str">
        <f>IFERROR(VLOOKUP(DATE($K$1,$K$2,BWE$4),Table1[],(MATCH(Calendar!$A19,DB!$1:$1,0)),FALSE),"")</f>
        <v/>
      </c>
      <c r="BWF19" s="28" t="str">
        <f>IFERROR(VLOOKUP(DATE($K$1,$K$2,BWF$4),Table1[],(MATCH(Calendar!$A19,DB!$1:$1,0)),FALSE),"")</f>
        <v/>
      </c>
      <c r="BWG19" s="28" t="str">
        <f>IFERROR(VLOOKUP(DATE($K$1,$K$2,BWG$4),Table1[],(MATCH(Calendar!$A19,DB!$1:$1,0)),FALSE),"")</f>
        <v/>
      </c>
      <c r="BWH19" s="28" t="str">
        <f>IFERROR(VLOOKUP(DATE($K$1,$K$2,BWH$4),Table1[],(MATCH(Calendar!$A19,DB!$1:$1,0)),FALSE),"")</f>
        <v/>
      </c>
      <c r="BWI19" s="28" t="str">
        <f>IFERROR(VLOOKUP(DATE($K$1,$K$2,BWI$4),Table1[],(MATCH(Calendar!$A19,DB!$1:$1,0)),FALSE),"")</f>
        <v/>
      </c>
      <c r="BWJ19" s="28" t="str">
        <f>IFERROR(VLOOKUP(DATE($K$1,$K$2,BWJ$4),Table1[],(MATCH(Calendar!$A19,DB!$1:$1,0)),FALSE),"")</f>
        <v/>
      </c>
      <c r="BWK19" s="28" t="str">
        <f>IFERROR(VLOOKUP(DATE($K$1,$K$2,BWK$4),Table1[],(MATCH(Calendar!$A19,DB!$1:$1,0)),FALSE),"")</f>
        <v/>
      </c>
      <c r="BWL19" s="28" t="str">
        <f>IFERROR(VLOOKUP(DATE($K$1,$K$2,BWL$4),Table1[],(MATCH(Calendar!$A19,DB!$1:$1,0)),FALSE),"")</f>
        <v/>
      </c>
      <c r="BWM19" s="28" t="str">
        <f>IFERROR(VLOOKUP(DATE($K$1,$K$2,BWM$4),Table1[],(MATCH(Calendar!$A19,DB!$1:$1,0)),FALSE),"")</f>
        <v/>
      </c>
      <c r="BWN19" s="28" t="str">
        <f>IFERROR(VLOOKUP(DATE($K$1,$K$2,BWN$4),Table1[],(MATCH(Calendar!$A19,DB!$1:$1,0)),FALSE),"")</f>
        <v/>
      </c>
      <c r="BWO19" s="28" t="str">
        <f>IFERROR(VLOOKUP(DATE($K$1,$K$2,BWO$4),Table1[],(MATCH(Calendar!$A19,DB!$1:$1,0)),FALSE),"")</f>
        <v/>
      </c>
      <c r="BWP19" s="28" t="str">
        <f>IFERROR(VLOOKUP(DATE($K$1,$K$2,BWP$4),Table1[],(MATCH(Calendar!$A19,DB!$1:$1,0)),FALSE),"")</f>
        <v/>
      </c>
      <c r="BWQ19" s="28" t="str">
        <f>IFERROR(VLOOKUP(DATE($K$1,$K$2,BWQ$4),Table1[],(MATCH(Calendar!$A19,DB!$1:$1,0)),FALSE),"")</f>
        <v/>
      </c>
      <c r="BWR19" s="28" t="str">
        <f>IFERROR(VLOOKUP(DATE($K$1,$K$2,BWR$4),Table1[],(MATCH(Calendar!$A19,DB!$1:$1,0)),FALSE),"")</f>
        <v/>
      </c>
      <c r="BWS19" s="28" t="str">
        <f>IFERROR(VLOOKUP(DATE($K$1,$K$2,BWS$4),Table1[],(MATCH(Calendar!$A19,DB!$1:$1,0)),FALSE),"")</f>
        <v/>
      </c>
      <c r="BWT19" s="28" t="str">
        <f>IFERROR(VLOOKUP(DATE($K$1,$K$2,BWT$4),Table1[],(MATCH(Calendar!$A19,DB!$1:$1,0)),FALSE),"")</f>
        <v/>
      </c>
      <c r="BWU19" s="28" t="str">
        <f>IFERROR(VLOOKUP(DATE($K$1,$K$2,BWU$4),Table1[],(MATCH(Calendar!$A19,DB!$1:$1,0)),FALSE),"")</f>
        <v/>
      </c>
      <c r="BWV19" s="28" t="str">
        <f>IFERROR(VLOOKUP(DATE($K$1,$K$2,BWV$4),Table1[],(MATCH(Calendar!$A19,DB!$1:$1,0)),FALSE),"")</f>
        <v/>
      </c>
      <c r="BWW19" s="28" t="str">
        <f>IFERROR(VLOOKUP(DATE($K$1,$K$2,BWW$4),Table1[],(MATCH(Calendar!$A19,DB!$1:$1,0)),FALSE),"")</f>
        <v/>
      </c>
      <c r="BWX19" s="28" t="str">
        <f>IFERROR(VLOOKUP(DATE($K$1,$K$2,BWX$4),Table1[],(MATCH(Calendar!$A19,DB!$1:$1,0)),FALSE),"")</f>
        <v/>
      </c>
      <c r="BWY19" s="28" t="str">
        <f>IFERROR(VLOOKUP(DATE($K$1,$K$2,BWY$4),Table1[],(MATCH(Calendar!$A19,DB!$1:$1,0)),FALSE),"")</f>
        <v/>
      </c>
      <c r="BWZ19" s="28" t="str">
        <f>IFERROR(VLOOKUP(DATE($K$1,$K$2,BWZ$4),Table1[],(MATCH(Calendar!$A19,DB!$1:$1,0)),FALSE),"")</f>
        <v/>
      </c>
      <c r="BXA19" s="28" t="str">
        <f>IFERROR(VLOOKUP(DATE($K$1,$K$2,BXA$4),Table1[],(MATCH(Calendar!$A19,DB!$1:$1,0)),FALSE),"")</f>
        <v/>
      </c>
      <c r="BXB19" s="28" t="str">
        <f>IFERROR(VLOOKUP(DATE($K$1,$K$2,BXB$4),Table1[],(MATCH(Calendar!$A19,DB!$1:$1,0)),FALSE),"")</f>
        <v/>
      </c>
      <c r="BXC19" s="28" t="str">
        <f>IFERROR(VLOOKUP(DATE($K$1,$K$2,BXC$4),Table1[],(MATCH(Calendar!$A19,DB!$1:$1,0)),FALSE),"")</f>
        <v/>
      </c>
      <c r="BXD19" s="28" t="str">
        <f>IFERROR(VLOOKUP(DATE($K$1,$K$2,BXD$4),Table1[],(MATCH(Calendar!$A19,DB!$1:$1,0)),FALSE),"")</f>
        <v/>
      </c>
      <c r="BXE19" s="28" t="str">
        <f>IFERROR(VLOOKUP(DATE($K$1,$K$2,BXE$4),Table1[],(MATCH(Calendar!$A19,DB!$1:$1,0)),FALSE),"")</f>
        <v/>
      </c>
      <c r="BXF19" s="28" t="str">
        <f>IFERROR(VLOOKUP(DATE($K$1,$K$2,BXF$4),Table1[],(MATCH(Calendar!$A19,DB!$1:$1,0)),FALSE),"")</f>
        <v/>
      </c>
      <c r="BXG19" s="28" t="str">
        <f>IFERROR(VLOOKUP(DATE($K$1,$K$2,BXG$4),Table1[],(MATCH(Calendar!$A19,DB!$1:$1,0)),FALSE),"")</f>
        <v/>
      </c>
      <c r="BXH19" s="28" t="str">
        <f>IFERROR(VLOOKUP(DATE($K$1,$K$2,BXH$4),Table1[],(MATCH(Calendar!$A19,DB!$1:$1,0)),FALSE),"")</f>
        <v/>
      </c>
      <c r="BXI19" s="28" t="str">
        <f>IFERROR(VLOOKUP(DATE($K$1,$K$2,BXI$4),Table1[],(MATCH(Calendar!$A19,DB!$1:$1,0)),FALSE),"")</f>
        <v/>
      </c>
      <c r="BXJ19" s="28" t="str">
        <f>IFERROR(VLOOKUP(DATE($K$1,$K$2,BXJ$4),Table1[],(MATCH(Calendar!$A19,DB!$1:$1,0)),FALSE),"")</f>
        <v/>
      </c>
      <c r="BXK19" s="28" t="str">
        <f>IFERROR(VLOOKUP(DATE($K$1,$K$2,BXK$4),Table1[],(MATCH(Calendar!$A19,DB!$1:$1,0)),FALSE),"")</f>
        <v/>
      </c>
      <c r="BXL19" s="28" t="str">
        <f>IFERROR(VLOOKUP(DATE($K$1,$K$2,BXL$4),Table1[],(MATCH(Calendar!$A19,DB!$1:$1,0)),FALSE),"")</f>
        <v/>
      </c>
      <c r="BXM19" s="28" t="str">
        <f>IFERROR(VLOOKUP(DATE($K$1,$K$2,BXM$4),Table1[],(MATCH(Calendar!$A19,DB!$1:$1,0)),FALSE),"")</f>
        <v/>
      </c>
      <c r="BXN19" s="28" t="str">
        <f>IFERROR(VLOOKUP(DATE($K$1,$K$2,BXN$4),Table1[],(MATCH(Calendar!$A19,DB!$1:$1,0)),FALSE),"")</f>
        <v/>
      </c>
      <c r="BXO19" s="28" t="str">
        <f>IFERROR(VLOOKUP(DATE($K$1,$K$2,BXO$4),Table1[],(MATCH(Calendar!$A19,DB!$1:$1,0)),FALSE),"")</f>
        <v/>
      </c>
      <c r="BXP19" s="28" t="str">
        <f>IFERROR(VLOOKUP(DATE($K$1,$K$2,BXP$4),Table1[],(MATCH(Calendar!$A19,DB!$1:$1,0)),FALSE),"")</f>
        <v/>
      </c>
      <c r="BXQ19" s="28" t="str">
        <f>IFERROR(VLOOKUP(DATE($K$1,$K$2,BXQ$4),Table1[],(MATCH(Calendar!$A19,DB!$1:$1,0)),FALSE),"")</f>
        <v/>
      </c>
      <c r="BXR19" s="28" t="str">
        <f>IFERROR(VLOOKUP(DATE($K$1,$K$2,BXR$4),Table1[],(MATCH(Calendar!$A19,DB!$1:$1,0)),FALSE),"")</f>
        <v/>
      </c>
      <c r="BXS19" s="28" t="str">
        <f>IFERROR(VLOOKUP(DATE($K$1,$K$2,BXS$4),Table1[],(MATCH(Calendar!$A19,DB!$1:$1,0)),FALSE),"")</f>
        <v/>
      </c>
      <c r="BXT19" s="28" t="str">
        <f>IFERROR(VLOOKUP(DATE($K$1,$K$2,BXT$4),Table1[],(MATCH(Calendar!$A19,DB!$1:$1,0)),FALSE),"")</f>
        <v/>
      </c>
      <c r="BXU19" s="28" t="str">
        <f>IFERROR(VLOOKUP(DATE($K$1,$K$2,BXU$4),Table1[],(MATCH(Calendar!$A19,DB!$1:$1,0)),FALSE),"")</f>
        <v/>
      </c>
      <c r="BXV19" s="28" t="str">
        <f>IFERROR(VLOOKUP(DATE($K$1,$K$2,BXV$4),Table1[],(MATCH(Calendar!$A19,DB!$1:$1,0)),FALSE),"")</f>
        <v/>
      </c>
      <c r="BXW19" s="28" t="str">
        <f>IFERROR(VLOOKUP(DATE($K$1,$K$2,BXW$4),Table1[],(MATCH(Calendar!$A19,DB!$1:$1,0)),FALSE),"")</f>
        <v/>
      </c>
      <c r="BXX19" s="28" t="str">
        <f>IFERROR(VLOOKUP(DATE($K$1,$K$2,BXX$4),Table1[],(MATCH(Calendar!$A19,DB!$1:$1,0)),FALSE),"")</f>
        <v/>
      </c>
      <c r="BXY19" s="28" t="str">
        <f>IFERROR(VLOOKUP(DATE($K$1,$K$2,BXY$4),Table1[],(MATCH(Calendar!$A19,DB!$1:$1,0)),FALSE),"")</f>
        <v/>
      </c>
      <c r="BXZ19" s="28" t="str">
        <f>IFERROR(VLOOKUP(DATE($K$1,$K$2,BXZ$4),Table1[],(MATCH(Calendar!$A19,DB!$1:$1,0)),FALSE),"")</f>
        <v/>
      </c>
      <c r="BYA19" s="28" t="str">
        <f>IFERROR(VLOOKUP(DATE($K$1,$K$2,BYA$4),Table1[],(MATCH(Calendar!$A19,DB!$1:$1,0)),FALSE),"")</f>
        <v/>
      </c>
      <c r="BYB19" s="28" t="str">
        <f>IFERROR(VLOOKUP(DATE($K$1,$K$2,BYB$4),Table1[],(MATCH(Calendar!$A19,DB!$1:$1,0)),FALSE),"")</f>
        <v/>
      </c>
      <c r="BYC19" s="28" t="str">
        <f>IFERROR(VLOOKUP(DATE($K$1,$K$2,BYC$4),Table1[],(MATCH(Calendar!$A19,DB!$1:$1,0)),FALSE),"")</f>
        <v/>
      </c>
      <c r="BYD19" s="28" t="str">
        <f>IFERROR(VLOOKUP(DATE($K$1,$K$2,BYD$4),Table1[],(MATCH(Calendar!$A19,DB!$1:$1,0)),FALSE),"")</f>
        <v/>
      </c>
      <c r="BYE19" s="28" t="str">
        <f>IFERROR(VLOOKUP(DATE($K$1,$K$2,BYE$4),Table1[],(MATCH(Calendar!$A19,DB!$1:$1,0)),FALSE),"")</f>
        <v/>
      </c>
      <c r="BYF19" s="28" t="str">
        <f>IFERROR(VLOOKUP(DATE($K$1,$K$2,BYF$4),Table1[],(MATCH(Calendar!$A19,DB!$1:$1,0)),FALSE),"")</f>
        <v/>
      </c>
      <c r="BYG19" s="28" t="str">
        <f>IFERROR(VLOOKUP(DATE($K$1,$K$2,BYG$4),Table1[],(MATCH(Calendar!$A19,DB!$1:$1,0)),FALSE),"")</f>
        <v/>
      </c>
      <c r="BYH19" s="28" t="str">
        <f>IFERROR(VLOOKUP(DATE($K$1,$K$2,BYH$4),Table1[],(MATCH(Calendar!$A19,DB!$1:$1,0)),FALSE),"")</f>
        <v/>
      </c>
      <c r="BYI19" s="28" t="str">
        <f>IFERROR(VLOOKUP(DATE($K$1,$K$2,BYI$4),Table1[],(MATCH(Calendar!$A19,DB!$1:$1,0)),FALSE),"")</f>
        <v/>
      </c>
      <c r="BYJ19" s="28" t="str">
        <f>IFERROR(VLOOKUP(DATE($K$1,$K$2,BYJ$4),Table1[],(MATCH(Calendar!$A19,DB!$1:$1,0)),FALSE),"")</f>
        <v/>
      </c>
      <c r="BYK19" s="28" t="str">
        <f>IFERROR(VLOOKUP(DATE($K$1,$K$2,BYK$4),Table1[],(MATCH(Calendar!$A19,DB!$1:$1,0)),FALSE),"")</f>
        <v/>
      </c>
      <c r="BYL19" s="28" t="str">
        <f>IFERROR(VLOOKUP(DATE($K$1,$K$2,BYL$4),Table1[],(MATCH(Calendar!$A19,DB!$1:$1,0)),FALSE),"")</f>
        <v/>
      </c>
      <c r="BYM19" s="28" t="str">
        <f>IFERROR(VLOOKUP(DATE($K$1,$K$2,BYM$4),Table1[],(MATCH(Calendar!$A19,DB!$1:$1,0)),FALSE),"")</f>
        <v/>
      </c>
      <c r="BYN19" s="28" t="str">
        <f>IFERROR(VLOOKUP(DATE($K$1,$K$2,BYN$4),Table1[],(MATCH(Calendar!$A19,DB!$1:$1,0)),FALSE),"")</f>
        <v/>
      </c>
      <c r="BYO19" s="28" t="str">
        <f>IFERROR(VLOOKUP(DATE($K$1,$K$2,BYO$4),Table1[],(MATCH(Calendar!$A19,DB!$1:$1,0)),FALSE),"")</f>
        <v/>
      </c>
      <c r="BYP19" s="28" t="str">
        <f>IFERROR(VLOOKUP(DATE($K$1,$K$2,BYP$4),Table1[],(MATCH(Calendar!$A19,DB!$1:$1,0)),FALSE),"")</f>
        <v/>
      </c>
      <c r="BYQ19" s="28" t="str">
        <f>IFERROR(VLOOKUP(DATE($K$1,$K$2,BYQ$4),Table1[],(MATCH(Calendar!$A19,DB!$1:$1,0)),FALSE),"")</f>
        <v/>
      </c>
      <c r="BYR19" s="28" t="str">
        <f>IFERROR(VLOOKUP(DATE($K$1,$K$2,BYR$4),Table1[],(MATCH(Calendar!$A19,DB!$1:$1,0)),FALSE),"")</f>
        <v/>
      </c>
      <c r="BYS19" s="28" t="str">
        <f>IFERROR(VLOOKUP(DATE($K$1,$K$2,BYS$4),Table1[],(MATCH(Calendar!$A19,DB!$1:$1,0)),FALSE),"")</f>
        <v/>
      </c>
      <c r="BYT19" s="28" t="str">
        <f>IFERROR(VLOOKUP(DATE($K$1,$K$2,BYT$4),Table1[],(MATCH(Calendar!$A19,DB!$1:$1,0)),FALSE),"")</f>
        <v/>
      </c>
      <c r="BYU19" s="28" t="str">
        <f>IFERROR(VLOOKUP(DATE($K$1,$K$2,BYU$4),Table1[],(MATCH(Calendar!$A19,DB!$1:$1,0)),FALSE),"")</f>
        <v/>
      </c>
      <c r="BYV19" s="28" t="str">
        <f>IFERROR(VLOOKUP(DATE($K$1,$K$2,BYV$4),Table1[],(MATCH(Calendar!$A19,DB!$1:$1,0)),FALSE),"")</f>
        <v/>
      </c>
      <c r="BYW19" s="28" t="str">
        <f>IFERROR(VLOOKUP(DATE($K$1,$K$2,BYW$4),Table1[],(MATCH(Calendar!$A19,DB!$1:$1,0)),FALSE),"")</f>
        <v/>
      </c>
      <c r="BYX19" s="28" t="str">
        <f>IFERROR(VLOOKUP(DATE($K$1,$K$2,BYX$4),Table1[],(MATCH(Calendar!$A19,DB!$1:$1,0)),FALSE),"")</f>
        <v/>
      </c>
      <c r="BYY19" s="28" t="str">
        <f>IFERROR(VLOOKUP(DATE($K$1,$K$2,BYY$4),Table1[],(MATCH(Calendar!$A19,DB!$1:$1,0)),FALSE),"")</f>
        <v/>
      </c>
      <c r="BYZ19" s="28" t="str">
        <f>IFERROR(VLOOKUP(DATE($K$1,$K$2,BYZ$4),Table1[],(MATCH(Calendar!$A19,DB!$1:$1,0)),FALSE),"")</f>
        <v/>
      </c>
      <c r="BZA19" s="28" t="str">
        <f>IFERROR(VLOOKUP(DATE($K$1,$K$2,BZA$4),Table1[],(MATCH(Calendar!$A19,DB!$1:$1,0)),FALSE),"")</f>
        <v/>
      </c>
      <c r="BZB19" s="28" t="str">
        <f>IFERROR(VLOOKUP(DATE($K$1,$K$2,BZB$4),Table1[],(MATCH(Calendar!$A19,DB!$1:$1,0)),FALSE),"")</f>
        <v/>
      </c>
      <c r="BZC19" s="28" t="str">
        <f>IFERROR(VLOOKUP(DATE($K$1,$K$2,BZC$4),Table1[],(MATCH(Calendar!$A19,DB!$1:$1,0)),FALSE),"")</f>
        <v/>
      </c>
      <c r="BZD19" s="28" t="str">
        <f>IFERROR(VLOOKUP(DATE($K$1,$K$2,BZD$4),Table1[],(MATCH(Calendar!$A19,DB!$1:$1,0)),FALSE),"")</f>
        <v/>
      </c>
      <c r="BZE19" s="28" t="str">
        <f>IFERROR(VLOOKUP(DATE($K$1,$K$2,BZE$4),Table1[],(MATCH(Calendar!$A19,DB!$1:$1,0)),FALSE),"")</f>
        <v/>
      </c>
      <c r="BZF19" s="28" t="str">
        <f>IFERROR(VLOOKUP(DATE($K$1,$K$2,BZF$4),Table1[],(MATCH(Calendar!$A19,DB!$1:$1,0)),FALSE),"")</f>
        <v/>
      </c>
      <c r="BZG19" s="28" t="str">
        <f>IFERROR(VLOOKUP(DATE($K$1,$K$2,BZG$4),Table1[],(MATCH(Calendar!$A19,DB!$1:$1,0)),FALSE),"")</f>
        <v/>
      </c>
      <c r="BZH19" s="28" t="str">
        <f>IFERROR(VLOOKUP(DATE($K$1,$K$2,BZH$4),Table1[],(MATCH(Calendar!$A19,DB!$1:$1,0)),FALSE),"")</f>
        <v/>
      </c>
      <c r="BZI19" s="28" t="str">
        <f>IFERROR(VLOOKUP(DATE($K$1,$K$2,BZI$4),Table1[],(MATCH(Calendar!$A19,DB!$1:$1,0)),FALSE),"")</f>
        <v/>
      </c>
      <c r="BZJ19" s="28" t="str">
        <f>IFERROR(VLOOKUP(DATE($K$1,$K$2,BZJ$4),Table1[],(MATCH(Calendar!$A19,DB!$1:$1,0)),FALSE),"")</f>
        <v/>
      </c>
      <c r="BZK19" s="28" t="str">
        <f>IFERROR(VLOOKUP(DATE($K$1,$K$2,BZK$4),Table1[],(MATCH(Calendar!$A19,DB!$1:$1,0)),FALSE),"")</f>
        <v/>
      </c>
      <c r="BZL19" s="28" t="str">
        <f>IFERROR(VLOOKUP(DATE($K$1,$K$2,BZL$4),Table1[],(MATCH(Calendar!$A19,DB!$1:$1,0)),FALSE),"")</f>
        <v/>
      </c>
      <c r="BZM19" s="28" t="str">
        <f>IFERROR(VLOOKUP(DATE($K$1,$K$2,BZM$4),Table1[],(MATCH(Calendar!$A19,DB!$1:$1,0)),FALSE),"")</f>
        <v/>
      </c>
      <c r="BZN19" s="28" t="str">
        <f>IFERROR(VLOOKUP(DATE($K$1,$K$2,BZN$4),Table1[],(MATCH(Calendar!$A19,DB!$1:$1,0)),FALSE),"")</f>
        <v/>
      </c>
      <c r="BZO19" s="28" t="str">
        <f>IFERROR(VLOOKUP(DATE($K$1,$K$2,BZO$4),Table1[],(MATCH(Calendar!$A19,DB!$1:$1,0)),FALSE),"")</f>
        <v/>
      </c>
      <c r="BZP19" s="28" t="str">
        <f>IFERROR(VLOOKUP(DATE($K$1,$K$2,BZP$4),Table1[],(MATCH(Calendar!$A19,DB!$1:$1,0)),FALSE),"")</f>
        <v/>
      </c>
      <c r="BZQ19" s="28" t="str">
        <f>IFERROR(VLOOKUP(DATE($K$1,$K$2,BZQ$4),Table1[],(MATCH(Calendar!$A19,DB!$1:$1,0)),FALSE),"")</f>
        <v/>
      </c>
      <c r="BZR19" s="28" t="str">
        <f>IFERROR(VLOOKUP(DATE($K$1,$K$2,BZR$4),Table1[],(MATCH(Calendar!$A19,DB!$1:$1,0)),FALSE),"")</f>
        <v/>
      </c>
      <c r="BZS19" s="28" t="str">
        <f>IFERROR(VLOOKUP(DATE($K$1,$K$2,BZS$4),Table1[],(MATCH(Calendar!$A19,DB!$1:$1,0)),FALSE),"")</f>
        <v/>
      </c>
      <c r="BZT19" s="28" t="str">
        <f>IFERROR(VLOOKUP(DATE($K$1,$K$2,BZT$4),Table1[],(MATCH(Calendar!$A19,DB!$1:$1,0)),FALSE),"")</f>
        <v/>
      </c>
      <c r="BZU19" s="28" t="str">
        <f>IFERROR(VLOOKUP(DATE($K$1,$K$2,BZU$4),Table1[],(MATCH(Calendar!$A19,DB!$1:$1,0)),FALSE),"")</f>
        <v/>
      </c>
      <c r="BZV19" s="28" t="str">
        <f>IFERROR(VLOOKUP(DATE($K$1,$K$2,BZV$4),Table1[],(MATCH(Calendar!$A19,DB!$1:$1,0)),FALSE),"")</f>
        <v/>
      </c>
      <c r="BZW19" s="28" t="str">
        <f>IFERROR(VLOOKUP(DATE($K$1,$K$2,BZW$4),Table1[],(MATCH(Calendar!$A19,DB!$1:$1,0)),FALSE),"")</f>
        <v/>
      </c>
      <c r="BZX19" s="28" t="str">
        <f>IFERROR(VLOOKUP(DATE($K$1,$K$2,BZX$4),Table1[],(MATCH(Calendar!$A19,DB!$1:$1,0)),FALSE),"")</f>
        <v/>
      </c>
      <c r="BZY19" s="28" t="str">
        <f>IFERROR(VLOOKUP(DATE($K$1,$K$2,BZY$4),Table1[],(MATCH(Calendar!$A19,DB!$1:$1,0)),FALSE),"")</f>
        <v/>
      </c>
      <c r="BZZ19" s="28" t="str">
        <f>IFERROR(VLOOKUP(DATE($K$1,$K$2,BZZ$4),Table1[],(MATCH(Calendar!$A19,DB!$1:$1,0)),FALSE),"")</f>
        <v/>
      </c>
      <c r="CAA19" s="28" t="str">
        <f>IFERROR(VLOOKUP(DATE($K$1,$K$2,CAA$4),Table1[],(MATCH(Calendar!$A19,DB!$1:$1,0)),FALSE),"")</f>
        <v/>
      </c>
      <c r="CAB19" s="28" t="str">
        <f>IFERROR(VLOOKUP(DATE($K$1,$K$2,CAB$4),Table1[],(MATCH(Calendar!$A19,DB!$1:$1,0)),FALSE),"")</f>
        <v/>
      </c>
      <c r="CAC19" s="28" t="str">
        <f>IFERROR(VLOOKUP(DATE($K$1,$K$2,CAC$4),Table1[],(MATCH(Calendar!$A19,DB!$1:$1,0)),FALSE),"")</f>
        <v/>
      </c>
      <c r="CAD19" s="28" t="str">
        <f>IFERROR(VLOOKUP(DATE($K$1,$K$2,CAD$4),Table1[],(MATCH(Calendar!$A19,DB!$1:$1,0)),FALSE),"")</f>
        <v/>
      </c>
      <c r="CAE19" s="28" t="str">
        <f>IFERROR(VLOOKUP(DATE($K$1,$K$2,CAE$4),Table1[],(MATCH(Calendar!$A19,DB!$1:$1,0)),FALSE),"")</f>
        <v/>
      </c>
      <c r="CAF19" s="28" t="str">
        <f>IFERROR(VLOOKUP(DATE($K$1,$K$2,CAF$4),Table1[],(MATCH(Calendar!$A19,DB!$1:$1,0)),FALSE),"")</f>
        <v/>
      </c>
      <c r="CAG19" s="28" t="str">
        <f>IFERROR(VLOOKUP(DATE($K$1,$K$2,CAG$4),Table1[],(MATCH(Calendar!$A19,DB!$1:$1,0)),FALSE),"")</f>
        <v/>
      </c>
      <c r="CAH19" s="28" t="str">
        <f>IFERROR(VLOOKUP(DATE($K$1,$K$2,CAH$4),Table1[],(MATCH(Calendar!$A19,DB!$1:$1,0)),FALSE),"")</f>
        <v/>
      </c>
      <c r="CAI19" s="28" t="str">
        <f>IFERROR(VLOOKUP(DATE($K$1,$K$2,CAI$4),Table1[],(MATCH(Calendar!$A19,DB!$1:$1,0)),FALSE),"")</f>
        <v/>
      </c>
      <c r="CAJ19" s="28" t="str">
        <f>IFERROR(VLOOKUP(DATE($K$1,$K$2,CAJ$4),Table1[],(MATCH(Calendar!$A19,DB!$1:$1,0)),FALSE),"")</f>
        <v/>
      </c>
      <c r="CAK19" s="28" t="str">
        <f>IFERROR(VLOOKUP(DATE($K$1,$K$2,CAK$4),Table1[],(MATCH(Calendar!$A19,DB!$1:$1,0)),FALSE),"")</f>
        <v/>
      </c>
      <c r="CAL19" s="28" t="str">
        <f>IFERROR(VLOOKUP(DATE($K$1,$K$2,CAL$4),Table1[],(MATCH(Calendar!$A19,DB!$1:$1,0)),FALSE),"")</f>
        <v/>
      </c>
      <c r="CAM19" s="28" t="str">
        <f>IFERROR(VLOOKUP(DATE($K$1,$K$2,CAM$4),Table1[],(MATCH(Calendar!$A19,DB!$1:$1,0)),FALSE),"")</f>
        <v/>
      </c>
      <c r="CAN19" s="28" t="str">
        <f>IFERROR(VLOOKUP(DATE($K$1,$K$2,CAN$4),Table1[],(MATCH(Calendar!$A19,DB!$1:$1,0)),FALSE),"")</f>
        <v/>
      </c>
      <c r="CAO19" s="28" t="str">
        <f>IFERROR(VLOOKUP(DATE($K$1,$K$2,CAO$4),Table1[],(MATCH(Calendar!$A19,DB!$1:$1,0)),FALSE),"")</f>
        <v/>
      </c>
      <c r="CAP19" s="28" t="str">
        <f>IFERROR(VLOOKUP(DATE($K$1,$K$2,CAP$4),Table1[],(MATCH(Calendar!$A19,DB!$1:$1,0)),FALSE),"")</f>
        <v/>
      </c>
      <c r="CAQ19" s="28" t="str">
        <f>IFERROR(VLOOKUP(DATE($K$1,$K$2,CAQ$4),Table1[],(MATCH(Calendar!$A19,DB!$1:$1,0)),FALSE),"")</f>
        <v/>
      </c>
      <c r="CAR19" s="28" t="str">
        <f>IFERROR(VLOOKUP(DATE($K$1,$K$2,CAR$4),Table1[],(MATCH(Calendar!$A19,DB!$1:$1,0)),FALSE),"")</f>
        <v/>
      </c>
      <c r="CAS19" s="28" t="str">
        <f>IFERROR(VLOOKUP(DATE($K$1,$K$2,CAS$4),Table1[],(MATCH(Calendar!$A19,DB!$1:$1,0)),FALSE),"")</f>
        <v/>
      </c>
      <c r="CAT19" s="28" t="str">
        <f>IFERROR(VLOOKUP(DATE($K$1,$K$2,CAT$4),Table1[],(MATCH(Calendar!$A19,DB!$1:$1,0)),FALSE),"")</f>
        <v/>
      </c>
      <c r="CAU19" s="28" t="str">
        <f>IFERROR(VLOOKUP(DATE($K$1,$K$2,CAU$4),Table1[],(MATCH(Calendar!$A19,DB!$1:$1,0)),FALSE),"")</f>
        <v/>
      </c>
      <c r="CAV19" s="28" t="str">
        <f>IFERROR(VLOOKUP(DATE($K$1,$K$2,CAV$4),Table1[],(MATCH(Calendar!$A19,DB!$1:$1,0)),FALSE),"")</f>
        <v/>
      </c>
      <c r="CAW19" s="28" t="str">
        <f>IFERROR(VLOOKUP(DATE($K$1,$K$2,CAW$4),Table1[],(MATCH(Calendar!$A19,DB!$1:$1,0)),FALSE),"")</f>
        <v/>
      </c>
      <c r="CAX19" s="28" t="str">
        <f>IFERROR(VLOOKUP(DATE($K$1,$K$2,CAX$4),Table1[],(MATCH(Calendar!$A19,DB!$1:$1,0)),FALSE),"")</f>
        <v/>
      </c>
      <c r="CAY19" s="28" t="str">
        <f>IFERROR(VLOOKUP(DATE($K$1,$K$2,CAY$4),Table1[],(MATCH(Calendar!$A19,DB!$1:$1,0)),FALSE),"")</f>
        <v/>
      </c>
      <c r="CAZ19" s="28" t="str">
        <f>IFERROR(VLOOKUP(DATE($K$1,$K$2,CAZ$4),Table1[],(MATCH(Calendar!$A19,DB!$1:$1,0)),FALSE),"")</f>
        <v/>
      </c>
      <c r="CBA19" s="28" t="str">
        <f>IFERROR(VLOOKUP(DATE($K$1,$K$2,CBA$4),Table1[],(MATCH(Calendar!$A19,DB!$1:$1,0)),FALSE),"")</f>
        <v/>
      </c>
      <c r="CBB19" s="28" t="str">
        <f>IFERROR(VLOOKUP(DATE($K$1,$K$2,CBB$4),Table1[],(MATCH(Calendar!$A19,DB!$1:$1,0)),FALSE),"")</f>
        <v/>
      </c>
      <c r="CBC19" s="28" t="str">
        <f>IFERROR(VLOOKUP(DATE($K$1,$K$2,CBC$4),Table1[],(MATCH(Calendar!$A19,DB!$1:$1,0)),FALSE),"")</f>
        <v/>
      </c>
      <c r="CBD19" s="28" t="str">
        <f>IFERROR(VLOOKUP(DATE($K$1,$K$2,CBD$4),Table1[],(MATCH(Calendar!$A19,DB!$1:$1,0)),FALSE),"")</f>
        <v/>
      </c>
      <c r="CBE19" s="28" t="str">
        <f>IFERROR(VLOOKUP(DATE($K$1,$K$2,CBE$4),Table1[],(MATCH(Calendar!$A19,DB!$1:$1,0)),FALSE),"")</f>
        <v/>
      </c>
      <c r="CBF19" s="28" t="str">
        <f>IFERROR(VLOOKUP(DATE($K$1,$K$2,CBF$4),Table1[],(MATCH(Calendar!$A19,DB!$1:$1,0)),FALSE),"")</f>
        <v/>
      </c>
      <c r="CBG19" s="28" t="str">
        <f>IFERROR(VLOOKUP(DATE($K$1,$K$2,CBG$4),Table1[],(MATCH(Calendar!$A19,DB!$1:$1,0)),FALSE),"")</f>
        <v/>
      </c>
      <c r="CBH19" s="28" t="str">
        <f>IFERROR(VLOOKUP(DATE($K$1,$K$2,CBH$4),Table1[],(MATCH(Calendar!$A19,DB!$1:$1,0)),FALSE),"")</f>
        <v/>
      </c>
      <c r="CBI19" s="28" t="str">
        <f>IFERROR(VLOOKUP(DATE($K$1,$K$2,CBI$4),Table1[],(MATCH(Calendar!$A19,DB!$1:$1,0)),FALSE),"")</f>
        <v/>
      </c>
      <c r="CBJ19" s="28" t="str">
        <f>IFERROR(VLOOKUP(DATE($K$1,$K$2,CBJ$4),Table1[],(MATCH(Calendar!$A19,DB!$1:$1,0)),FALSE),"")</f>
        <v/>
      </c>
      <c r="CBK19" s="28" t="str">
        <f>IFERROR(VLOOKUP(DATE($K$1,$K$2,CBK$4),Table1[],(MATCH(Calendar!$A19,DB!$1:$1,0)),FALSE),"")</f>
        <v/>
      </c>
      <c r="CBL19" s="28" t="str">
        <f>IFERROR(VLOOKUP(DATE($K$1,$K$2,CBL$4),Table1[],(MATCH(Calendar!$A19,DB!$1:$1,0)),FALSE),"")</f>
        <v/>
      </c>
      <c r="CBM19" s="28" t="str">
        <f>IFERROR(VLOOKUP(DATE($K$1,$K$2,CBM$4),Table1[],(MATCH(Calendar!$A19,DB!$1:$1,0)),FALSE),"")</f>
        <v/>
      </c>
      <c r="CBN19" s="28" t="str">
        <f>IFERROR(VLOOKUP(DATE($K$1,$K$2,CBN$4),Table1[],(MATCH(Calendar!$A19,DB!$1:$1,0)),FALSE),"")</f>
        <v/>
      </c>
      <c r="CBO19" s="28" t="str">
        <f>IFERROR(VLOOKUP(DATE($K$1,$K$2,CBO$4),Table1[],(MATCH(Calendar!$A19,DB!$1:$1,0)),FALSE),"")</f>
        <v/>
      </c>
      <c r="CBP19" s="28" t="str">
        <f>IFERROR(VLOOKUP(DATE($K$1,$K$2,CBP$4),Table1[],(MATCH(Calendar!$A19,DB!$1:$1,0)),FALSE),"")</f>
        <v/>
      </c>
      <c r="CBQ19" s="28" t="str">
        <f>IFERROR(VLOOKUP(DATE($K$1,$K$2,CBQ$4),Table1[],(MATCH(Calendar!$A19,DB!$1:$1,0)),FALSE),"")</f>
        <v/>
      </c>
      <c r="CBR19" s="28" t="str">
        <f>IFERROR(VLOOKUP(DATE($K$1,$K$2,CBR$4),Table1[],(MATCH(Calendar!$A19,DB!$1:$1,0)),FALSE),"")</f>
        <v/>
      </c>
      <c r="CBS19" s="28" t="str">
        <f>IFERROR(VLOOKUP(DATE($K$1,$K$2,CBS$4),Table1[],(MATCH(Calendar!$A19,DB!$1:$1,0)),FALSE),"")</f>
        <v/>
      </c>
      <c r="CBT19" s="28" t="str">
        <f>IFERROR(VLOOKUP(DATE($K$1,$K$2,CBT$4),Table1[],(MATCH(Calendar!$A19,DB!$1:$1,0)),FALSE),"")</f>
        <v/>
      </c>
      <c r="CBU19" s="28" t="str">
        <f>IFERROR(VLOOKUP(DATE($K$1,$K$2,CBU$4),Table1[],(MATCH(Calendar!$A19,DB!$1:$1,0)),FALSE),"")</f>
        <v/>
      </c>
      <c r="CBV19" s="28" t="str">
        <f>IFERROR(VLOOKUP(DATE($K$1,$K$2,CBV$4),Table1[],(MATCH(Calendar!$A19,DB!$1:$1,0)),FALSE),"")</f>
        <v/>
      </c>
      <c r="CBW19" s="28" t="str">
        <f>IFERROR(VLOOKUP(DATE($K$1,$K$2,CBW$4),Table1[],(MATCH(Calendar!$A19,DB!$1:$1,0)),FALSE),"")</f>
        <v/>
      </c>
      <c r="CBX19" s="28" t="str">
        <f>IFERROR(VLOOKUP(DATE($K$1,$K$2,CBX$4),Table1[],(MATCH(Calendar!$A19,DB!$1:$1,0)),FALSE),"")</f>
        <v/>
      </c>
      <c r="CBY19" s="28" t="str">
        <f>IFERROR(VLOOKUP(DATE($K$1,$K$2,CBY$4),Table1[],(MATCH(Calendar!$A19,DB!$1:$1,0)),FALSE),"")</f>
        <v/>
      </c>
      <c r="CBZ19" s="28" t="str">
        <f>IFERROR(VLOOKUP(DATE($K$1,$K$2,CBZ$4),Table1[],(MATCH(Calendar!$A19,DB!$1:$1,0)),FALSE),"")</f>
        <v/>
      </c>
      <c r="CCA19" s="28" t="str">
        <f>IFERROR(VLOOKUP(DATE($K$1,$K$2,CCA$4),Table1[],(MATCH(Calendar!$A19,DB!$1:$1,0)),FALSE),"")</f>
        <v/>
      </c>
      <c r="CCB19" s="28" t="str">
        <f>IFERROR(VLOOKUP(DATE($K$1,$K$2,CCB$4),Table1[],(MATCH(Calendar!$A19,DB!$1:$1,0)),FALSE),"")</f>
        <v/>
      </c>
      <c r="CCC19" s="28" t="str">
        <f>IFERROR(VLOOKUP(DATE($K$1,$K$2,CCC$4),Table1[],(MATCH(Calendar!$A19,DB!$1:$1,0)),FALSE),"")</f>
        <v/>
      </c>
      <c r="CCD19" s="28" t="str">
        <f>IFERROR(VLOOKUP(DATE($K$1,$K$2,CCD$4),Table1[],(MATCH(Calendar!$A19,DB!$1:$1,0)),FALSE),"")</f>
        <v/>
      </c>
      <c r="CCE19" s="28" t="str">
        <f>IFERROR(VLOOKUP(DATE($K$1,$K$2,CCE$4),Table1[],(MATCH(Calendar!$A19,DB!$1:$1,0)),FALSE),"")</f>
        <v/>
      </c>
      <c r="CCF19" s="28" t="str">
        <f>IFERROR(VLOOKUP(DATE($K$1,$K$2,CCF$4),Table1[],(MATCH(Calendar!$A19,DB!$1:$1,0)),FALSE),"")</f>
        <v/>
      </c>
      <c r="CCG19" s="28" t="str">
        <f>IFERROR(VLOOKUP(DATE($K$1,$K$2,CCG$4),Table1[],(MATCH(Calendar!$A19,DB!$1:$1,0)),FALSE),"")</f>
        <v/>
      </c>
      <c r="CCH19" s="28" t="str">
        <f>IFERROR(VLOOKUP(DATE($K$1,$K$2,CCH$4),Table1[],(MATCH(Calendar!$A19,DB!$1:$1,0)),FALSE),"")</f>
        <v/>
      </c>
      <c r="CCI19" s="28" t="str">
        <f>IFERROR(VLOOKUP(DATE($K$1,$K$2,CCI$4),Table1[],(MATCH(Calendar!$A19,DB!$1:$1,0)),FALSE),"")</f>
        <v/>
      </c>
      <c r="CCJ19" s="28" t="str">
        <f>IFERROR(VLOOKUP(DATE($K$1,$K$2,CCJ$4),Table1[],(MATCH(Calendar!$A19,DB!$1:$1,0)),FALSE),"")</f>
        <v/>
      </c>
      <c r="CCK19" s="28" t="str">
        <f>IFERROR(VLOOKUP(DATE($K$1,$K$2,CCK$4),Table1[],(MATCH(Calendar!$A19,DB!$1:$1,0)),FALSE),"")</f>
        <v/>
      </c>
      <c r="CCL19" s="28" t="str">
        <f>IFERROR(VLOOKUP(DATE($K$1,$K$2,CCL$4),Table1[],(MATCH(Calendar!$A19,DB!$1:$1,0)),FALSE),"")</f>
        <v/>
      </c>
      <c r="CCM19" s="28" t="str">
        <f>IFERROR(VLOOKUP(DATE($K$1,$K$2,CCM$4),Table1[],(MATCH(Calendar!$A19,DB!$1:$1,0)),FALSE),"")</f>
        <v/>
      </c>
      <c r="CCN19" s="28" t="str">
        <f>IFERROR(VLOOKUP(DATE($K$1,$K$2,CCN$4),Table1[],(MATCH(Calendar!$A19,DB!$1:$1,0)),FALSE),"")</f>
        <v/>
      </c>
      <c r="CCO19" s="28" t="str">
        <f>IFERROR(VLOOKUP(DATE($K$1,$K$2,CCO$4),Table1[],(MATCH(Calendar!$A19,DB!$1:$1,0)),FALSE),"")</f>
        <v/>
      </c>
      <c r="CCP19" s="28" t="str">
        <f>IFERROR(VLOOKUP(DATE($K$1,$K$2,CCP$4),Table1[],(MATCH(Calendar!$A19,DB!$1:$1,0)),FALSE),"")</f>
        <v/>
      </c>
      <c r="CCQ19" s="28" t="str">
        <f>IFERROR(VLOOKUP(DATE($K$1,$K$2,CCQ$4),Table1[],(MATCH(Calendar!$A19,DB!$1:$1,0)),FALSE),"")</f>
        <v/>
      </c>
      <c r="CCR19" s="28" t="str">
        <f>IFERROR(VLOOKUP(DATE($K$1,$K$2,CCR$4),Table1[],(MATCH(Calendar!$A19,DB!$1:$1,0)),FALSE),"")</f>
        <v/>
      </c>
      <c r="CCS19" s="28" t="str">
        <f>IFERROR(VLOOKUP(DATE($K$1,$K$2,CCS$4),Table1[],(MATCH(Calendar!$A19,DB!$1:$1,0)),FALSE),"")</f>
        <v/>
      </c>
      <c r="CCT19" s="28" t="str">
        <f>IFERROR(VLOOKUP(DATE($K$1,$K$2,CCT$4),Table1[],(MATCH(Calendar!$A19,DB!$1:$1,0)),FALSE),"")</f>
        <v/>
      </c>
      <c r="CCU19" s="28" t="str">
        <f>IFERROR(VLOOKUP(DATE($K$1,$K$2,CCU$4),Table1[],(MATCH(Calendar!$A19,DB!$1:$1,0)),FALSE),"")</f>
        <v/>
      </c>
      <c r="CCV19" s="28" t="str">
        <f>IFERROR(VLOOKUP(DATE($K$1,$K$2,CCV$4),Table1[],(MATCH(Calendar!$A19,DB!$1:$1,0)),FALSE),"")</f>
        <v/>
      </c>
      <c r="CCW19" s="28" t="str">
        <f>IFERROR(VLOOKUP(DATE($K$1,$K$2,CCW$4),Table1[],(MATCH(Calendar!$A19,DB!$1:$1,0)),FALSE),"")</f>
        <v/>
      </c>
      <c r="CCX19" s="28" t="str">
        <f>IFERROR(VLOOKUP(DATE($K$1,$K$2,CCX$4),Table1[],(MATCH(Calendar!$A19,DB!$1:$1,0)),FALSE),"")</f>
        <v/>
      </c>
      <c r="CCY19" s="28" t="str">
        <f>IFERROR(VLOOKUP(DATE($K$1,$K$2,CCY$4),Table1[],(MATCH(Calendar!$A19,DB!$1:$1,0)),FALSE),"")</f>
        <v/>
      </c>
      <c r="CCZ19" s="28" t="str">
        <f>IFERROR(VLOOKUP(DATE($K$1,$K$2,CCZ$4),Table1[],(MATCH(Calendar!$A19,DB!$1:$1,0)),FALSE),"")</f>
        <v/>
      </c>
      <c r="CDA19" s="28" t="str">
        <f>IFERROR(VLOOKUP(DATE($K$1,$K$2,CDA$4),Table1[],(MATCH(Calendar!$A19,DB!$1:$1,0)),FALSE),"")</f>
        <v/>
      </c>
      <c r="CDB19" s="28" t="str">
        <f>IFERROR(VLOOKUP(DATE($K$1,$K$2,CDB$4),Table1[],(MATCH(Calendar!$A19,DB!$1:$1,0)),FALSE),"")</f>
        <v/>
      </c>
      <c r="CDC19" s="28" t="str">
        <f>IFERROR(VLOOKUP(DATE($K$1,$K$2,CDC$4),Table1[],(MATCH(Calendar!$A19,DB!$1:$1,0)),FALSE),"")</f>
        <v/>
      </c>
      <c r="CDD19" s="28" t="str">
        <f>IFERROR(VLOOKUP(DATE($K$1,$K$2,CDD$4),Table1[],(MATCH(Calendar!$A19,DB!$1:$1,0)),FALSE),"")</f>
        <v/>
      </c>
      <c r="CDE19" s="28" t="str">
        <f>IFERROR(VLOOKUP(DATE($K$1,$K$2,CDE$4),Table1[],(MATCH(Calendar!$A19,DB!$1:$1,0)),FALSE),"")</f>
        <v/>
      </c>
      <c r="CDF19" s="28" t="str">
        <f>IFERROR(VLOOKUP(DATE($K$1,$K$2,CDF$4),Table1[],(MATCH(Calendar!$A19,DB!$1:$1,0)),FALSE),"")</f>
        <v/>
      </c>
      <c r="CDG19" s="28" t="str">
        <f>IFERROR(VLOOKUP(DATE($K$1,$K$2,CDG$4),Table1[],(MATCH(Calendar!$A19,DB!$1:$1,0)),FALSE),"")</f>
        <v/>
      </c>
      <c r="CDH19" s="28" t="str">
        <f>IFERROR(VLOOKUP(DATE($K$1,$K$2,CDH$4),Table1[],(MATCH(Calendar!$A19,DB!$1:$1,0)),FALSE),"")</f>
        <v/>
      </c>
      <c r="CDI19" s="28" t="str">
        <f>IFERROR(VLOOKUP(DATE($K$1,$K$2,CDI$4),Table1[],(MATCH(Calendar!$A19,DB!$1:$1,0)),FALSE),"")</f>
        <v/>
      </c>
      <c r="CDJ19" s="28" t="str">
        <f>IFERROR(VLOOKUP(DATE($K$1,$K$2,CDJ$4),Table1[],(MATCH(Calendar!$A19,DB!$1:$1,0)),FALSE),"")</f>
        <v/>
      </c>
      <c r="CDK19" s="28" t="str">
        <f>IFERROR(VLOOKUP(DATE($K$1,$K$2,CDK$4),Table1[],(MATCH(Calendar!$A19,DB!$1:$1,0)),FALSE),"")</f>
        <v/>
      </c>
      <c r="CDL19" s="28" t="str">
        <f>IFERROR(VLOOKUP(DATE($K$1,$K$2,CDL$4),Table1[],(MATCH(Calendar!$A19,DB!$1:$1,0)),FALSE),"")</f>
        <v/>
      </c>
      <c r="CDM19" s="28" t="str">
        <f>IFERROR(VLOOKUP(DATE($K$1,$K$2,CDM$4),Table1[],(MATCH(Calendar!$A19,DB!$1:$1,0)),FALSE),"")</f>
        <v/>
      </c>
      <c r="CDN19" s="28" t="str">
        <f>IFERROR(VLOOKUP(DATE($K$1,$K$2,CDN$4),Table1[],(MATCH(Calendar!$A19,DB!$1:$1,0)),FALSE),"")</f>
        <v/>
      </c>
      <c r="CDO19" s="28" t="str">
        <f>IFERROR(VLOOKUP(DATE($K$1,$K$2,CDO$4),Table1[],(MATCH(Calendar!$A19,DB!$1:$1,0)),FALSE),"")</f>
        <v/>
      </c>
      <c r="CDP19" s="28" t="str">
        <f>IFERROR(VLOOKUP(DATE($K$1,$K$2,CDP$4),Table1[],(MATCH(Calendar!$A19,DB!$1:$1,0)),FALSE),"")</f>
        <v/>
      </c>
      <c r="CDQ19" s="28" t="str">
        <f>IFERROR(VLOOKUP(DATE($K$1,$K$2,CDQ$4),Table1[],(MATCH(Calendar!$A19,DB!$1:$1,0)),FALSE),"")</f>
        <v/>
      </c>
      <c r="CDR19" s="28" t="str">
        <f>IFERROR(VLOOKUP(DATE($K$1,$K$2,CDR$4),Table1[],(MATCH(Calendar!$A19,DB!$1:$1,0)),FALSE),"")</f>
        <v/>
      </c>
      <c r="CDS19" s="28" t="str">
        <f>IFERROR(VLOOKUP(DATE($K$1,$K$2,CDS$4),Table1[],(MATCH(Calendar!$A19,DB!$1:$1,0)),FALSE),"")</f>
        <v/>
      </c>
      <c r="CDT19" s="28" t="str">
        <f>IFERROR(VLOOKUP(DATE($K$1,$K$2,CDT$4),Table1[],(MATCH(Calendar!$A19,DB!$1:$1,0)),FALSE),"")</f>
        <v/>
      </c>
      <c r="CDU19" s="28" t="str">
        <f>IFERROR(VLOOKUP(DATE($K$1,$K$2,CDU$4),Table1[],(MATCH(Calendar!$A19,DB!$1:$1,0)),FALSE),"")</f>
        <v/>
      </c>
      <c r="CDV19" s="28" t="str">
        <f>IFERROR(VLOOKUP(DATE($K$1,$K$2,CDV$4),Table1[],(MATCH(Calendar!$A19,DB!$1:$1,0)),FALSE),"")</f>
        <v/>
      </c>
      <c r="CDW19" s="28" t="str">
        <f>IFERROR(VLOOKUP(DATE($K$1,$K$2,CDW$4),Table1[],(MATCH(Calendar!$A19,DB!$1:$1,0)),FALSE),"")</f>
        <v/>
      </c>
      <c r="CDX19" s="28" t="str">
        <f>IFERROR(VLOOKUP(DATE($K$1,$K$2,CDX$4),Table1[],(MATCH(Calendar!$A19,DB!$1:$1,0)),FALSE),"")</f>
        <v/>
      </c>
      <c r="CDY19" s="28" t="str">
        <f>IFERROR(VLOOKUP(DATE($K$1,$K$2,CDY$4),Table1[],(MATCH(Calendar!$A19,DB!$1:$1,0)),FALSE),"")</f>
        <v/>
      </c>
      <c r="CDZ19" s="28" t="str">
        <f>IFERROR(VLOOKUP(DATE($K$1,$K$2,CDZ$4),Table1[],(MATCH(Calendar!$A19,DB!$1:$1,0)),FALSE),"")</f>
        <v/>
      </c>
      <c r="CEA19" s="28" t="str">
        <f>IFERROR(VLOOKUP(DATE($K$1,$K$2,CEA$4),Table1[],(MATCH(Calendar!$A19,DB!$1:$1,0)),FALSE),"")</f>
        <v/>
      </c>
      <c r="CEB19" s="28" t="str">
        <f>IFERROR(VLOOKUP(DATE($K$1,$K$2,CEB$4),Table1[],(MATCH(Calendar!$A19,DB!$1:$1,0)),FALSE),"")</f>
        <v/>
      </c>
      <c r="CEC19" s="28" t="str">
        <f>IFERROR(VLOOKUP(DATE($K$1,$K$2,CEC$4),Table1[],(MATCH(Calendar!$A19,DB!$1:$1,0)),FALSE),"")</f>
        <v/>
      </c>
      <c r="CED19" s="28" t="str">
        <f>IFERROR(VLOOKUP(DATE($K$1,$K$2,CED$4),Table1[],(MATCH(Calendar!$A19,DB!$1:$1,0)),FALSE),"")</f>
        <v/>
      </c>
      <c r="CEE19" s="28" t="str">
        <f>IFERROR(VLOOKUP(DATE($K$1,$K$2,CEE$4),Table1[],(MATCH(Calendar!$A19,DB!$1:$1,0)),FALSE),"")</f>
        <v/>
      </c>
      <c r="CEF19" s="28" t="str">
        <f>IFERROR(VLOOKUP(DATE($K$1,$K$2,CEF$4),Table1[],(MATCH(Calendar!$A19,DB!$1:$1,0)),FALSE),"")</f>
        <v/>
      </c>
      <c r="CEG19" s="28" t="str">
        <f>IFERROR(VLOOKUP(DATE($K$1,$K$2,CEG$4),Table1[],(MATCH(Calendar!$A19,DB!$1:$1,0)),FALSE),"")</f>
        <v/>
      </c>
      <c r="CEH19" s="28" t="str">
        <f>IFERROR(VLOOKUP(DATE($K$1,$K$2,CEH$4),Table1[],(MATCH(Calendar!$A19,DB!$1:$1,0)),FALSE),"")</f>
        <v/>
      </c>
      <c r="CEI19" s="28" t="str">
        <f>IFERROR(VLOOKUP(DATE($K$1,$K$2,CEI$4),Table1[],(MATCH(Calendar!$A19,DB!$1:$1,0)),FALSE),"")</f>
        <v/>
      </c>
      <c r="CEJ19" s="28" t="str">
        <f>IFERROR(VLOOKUP(DATE($K$1,$K$2,CEJ$4),Table1[],(MATCH(Calendar!$A19,DB!$1:$1,0)),FALSE),"")</f>
        <v/>
      </c>
      <c r="CEK19" s="28" t="str">
        <f>IFERROR(VLOOKUP(DATE($K$1,$K$2,CEK$4),Table1[],(MATCH(Calendar!$A19,DB!$1:$1,0)),FALSE),"")</f>
        <v/>
      </c>
      <c r="CEL19" s="28" t="str">
        <f>IFERROR(VLOOKUP(DATE($K$1,$K$2,CEL$4),Table1[],(MATCH(Calendar!$A19,DB!$1:$1,0)),FALSE),"")</f>
        <v/>
      </c>
      <c r="CEM19" s="28" t="str">
        <f>IFERROR(VLOOKUP(DATE($K$1,$K$2,CEM$4),Table1[],(MATCH(Calendar!$A19,DB!$1:$1,0)),FALSE),"")</f>
        <v/>
      </c>
      <c r="CEN19" s="28" t="str">
        <f>IFERROR(VLOOKUP(DATE($K$1,$K$2,CEN$4),Table1[],(MATCH(Calendar!$A19,DB!$1:$1,0)),FALSE),"")</f>
        <v/>
      </c>
      <c r="CEO19" s="28" t="str">
        <f>IFERROR(VLOOKUP(DATE($K$1,$K$2,CEO$4),Table1[],(MATCH(Calendar!$A19,DB!$1:$1,0)),FALSE),"")</f>
        <v/>
      </c>
      <c r="CEP19" s="28" t="str">
        <f>IFERROR(VLOOKUP(DATE($K$1,$K$2,CEP$4),Table1[],(MATCH(Calendar!$A19,DB!$1:$1,0)),FALSE),"")</f>
        <v/>
      </c>
      <c r="CEQ19" s="28" t="str">
        <f>IFERROR(VLOOKUP(DATE($K$1,$K$2,CEQ$4),Table1[],(MATCH(Calendar!$A19,DB!$1:$1,0)),FALSE),"")</f>
        <v/>
      </c>
      <c r="CER19" s="28" t="str">
        <f>IFERROR(VLOOKUP(DATE($K$1,$K$2,CER$4),Table1[],(MATCH(Calendar!$A19,DB!$1:$1,0)),FALSE),"")</f>
        <v/>
      </c>
      <c r="CES19" s="28" t="str">
        <f>IFERROR(VLOOKUP(DATE($K$1,$K$2,CES$4),Table1[],(MATCH(Calendar!$A19,DB!$1:$1,0)),FALSE),"")</f>
        <v/>
      </c>
      <c r="CET19" s="28" t="str">
        <f>IFERROR(VLOOKUP(DATE($K$1,$K$2,CET$4),Table1[],(MATCH(Calendar!$A19,DB!$1:$1,0)),FALSE),"")</f>
        <v/>
      </c>
      <c r="CEU19" s="28" t="str">
        <f>IFERROR(VLOOKUP(DATE($K$1,$K$2,CEU$4),Table1[],(MATCH(Calendar!$A19,DB!$1:$1,0)),FALSE),"")</f>
        <v/>
      </c>
      <c r="CEV19" s="28" t="str">
        <f>IFERROR(VLOOKUP(DATE($K$1,$K$2,CEV$4),Table1[],(MATCH(Calendar!$A19,DB!$1:$1,0)),FALSE),"")</f>
        <v/>
      </c>
      <c r="CEW19" s="28" t="str">
        <f>IFERROR(VLOOKUP(DATE($K$1,$K$2,CEW$4),Table1[],(MATCH(Calendar!$A19,DB!$1:$1,0)),FALSE),"")</f>
        <v/>
      </c>
      <c r="CEX19" s="28" t="str">
        <f>IFERROR(VLOOKUP(DATE($K$1,$K$2,CEX$4),Table1[],(MATCH(Calendar!$A19,DB!$1:$1,0)),FALSE),"")</f>
        <v/>
      </c>
      <c r="CEY19" s="28" t="str">
        <f>IFERROR(VLOOKUP(DATE($K$1,$K$2,CEY$4),Table1[],(MATCH(Calendar!$A19,DB!$1:$1,0)),FALSE),"")</f>
        <v/>
      </c>
      <c r="CEZ19" s="28" t="str">
        <f>IFERROR(VLOOKUP(DATE($K$1,$K$2,CEZ$4),Table1[],(MATCH(Calendar!$A19,DB!$1:$1,0)),FALSE),"")</f>
        <v/>
      </c>
      <c r="CFA19" s="28" t="str">
        <f>IFERROR(VLOOKUP(DATE($K$1,$K$2,CFA$4),Table1[],(MATCH(Calendar!$A19,DB!$1:$1,0)),FALSE),"")</f>
        <v/>
      </c>
      <c r="CFB19" s="28" t="str">
        <f>IFERROR(VLOOKUP(DATE($K$1,$K$2,CFB$4),Table1[],(MATCH(Calendar!$A19,DB!$1:$1,0)),FALSE),"")</f>
        <v/>
      </c>
      <c r="CFC19" s="28" t="str">
        <f>IFERROR(VLOOKUP(DATE($K$1,$K$2,CFC$4),Table1[],(MATCH(Calendar!$A19,DB!$1:$1,0)),FALSE),"")</f>
        <v/>
      </c>
      <c r="CFD19" s="28" t="str">
        <f>IFERROR(VLOOKUP(DATE($K$1,$K$2,CFD$4),Table1[],(MATCH(Calendar!$A19,DB!$1:$1,0)),FALSE),"")</f>
        <v/>
      </c>
      <c r="CFE19" s="28" t="str">
        <f>IFERROR(VLOOKUP(DATE($K$1,$K$2,CFE$4),Table1[],(MATCH(Calendar!$A19,DB!$1:$1,0)),FALSE),"")</f>
        <v/>
      </c>
      <c r="CFF19" s="28" t="str">
        <f>IFERROR(VLOOKUP(DATE($K$1,$K$2,CFF$4),Table1[],(MATCH(Calendar!$A19,DB!$1:$1,0)),FALSE),"")</f>
        <v/>
      </c>
      <c r="CFG19" s="28" t="str">
        <f>IFERROR(VLOOKUP(DATE($K$1,$K$2,CFG$4),Table1[],(MATCH(Calendar!$A19,DB!$1:$1,0)),FALSE),"")</f>
        <v/>
      </c>
      <c r="CFH19" s="28" t="str">
        <f>IFERROR(VLOOKUP(DATE($K$1,$K$2,CFH$4),Table1[],(MATCH(Calendar!$A19,DB!$1:$1,0)),FALSE),"")</f>
        <v/>
      </c>
      <c r="CFI19" s="28" t="str">
        <f>IFERROR(VLOOKUP(DATE($K$1,$K$2,CFI$4),Table1[],(MATCH(Calendar!$A19,DB!$1:$1,0)),FALSE),"")</f>
        <v/>
      </c>
      <c r="CFJ19" s="28" t="str">
        <f>IFERROR(VLOOKUP(DATE($K$1,$K$2,CFJ$4),Table1[],(MATCH(Calendar!$A19,DB!$1:$1,0)),FALSE),"")</f>
        <v/>
      </c>
      <c r="CFK19" s="28" t="str">
        <f>IFERROR(VLOOKUP(DATE($K$1,$K$2,CFK$4),Table1[],(MATCH(Calendar!$A19,DB!$1:$1,0)),FALSE),"")</f>
        <v/>
      </c>
      <c r="CFL19" s="28" t="str">
        <f>IFERROR(VLOOKUP(DATE($K$1,$K$2,CFL$4),Table1[],(MATCH(Calendar!$A19,DB!$1:$1,0)),FALSE),"")</f>
        <v/>
      </c>
      <c r="CFM19" s="28" t="str">
        <f>IFERROR(VLOOKUP(DATE($K$1,$K$2,CFM$4),Table1[],(MATCH(Calendar!$A19,DB!$1:$1,0)),FALSE),"")</f>
        <v/>
      </c>
      <c r="CFN19" s="28" t="str">
        <f>IFERROR(VLOOKUP(DATE($K$1,$K$2,CFN$4),Table1[],(MATCH(Calendar!$A19,DB!$1:$1,0)),FALSE),"")</f>
        <v/>
      </c>
      <c r="CFO19" s="28" t="str">
        <f>IFERROR(VLOOKUP(DATE($K$1,$K$2,CFO$4),Table1[],(MATCH(Calendar!$A19,DB!$1:$1,0)),FALSE),"")</f>
        <v/>
      </c>
      <c r="CFP19" s="28" t="str">
        <f>IFERROR(VLOOKUP(DATE($K$1,$K$2,CFP$4),Table1[],(MATCH(Calendar!$A19,DB!$1:$1,0)),FALSE),"")</f>
        <v/>
      </c>
      <c r="CFQ19" s="28" t="str">
        <f>IFERROR(VLOOKUP(DATE($K$1,$K$2,CFQ$4),Table1[],(MATCH(Calendar!$A19,DB!$1:$1,0)),FALSE),"")</f>
        <v/>
      </c>
      <c r="CFR19" s="28" t="str">
        <f>IFERROR(VLOOKUP(DATE($K$1,$K$2,CFR$4),Table1[],(MATCH(Calendar!$A19,DB!$1:$1,0)),FALSE),"")</f>
        <v/>
      </c>
      <c r="CFS19" s="28" t="str">
        <f>IFERROR(VLOOKUP(DATE($K$1,$K$2,CFS$4),Table1[],(MATCH(Calendar!$A19,DB!$1:$1,0)),FALSE),"")</f>
        <v/>
      </c>
      <c r="CFT19" s="28" t="str">
        <f>IFERROR(VLOOKUP(DATE($K$1,$K$2,CFT$4),Table1[],(MATCH(Calendar!$A19,DB!$1:$1,0)),FALSE),"")</f>
        <v/>
      </c>
      <c r="CFU19" s="28" t="str">
        <f>IFERROR(VLOOKUP(DATE($K$1,$K$2,CFU$4),Table1[],(MATCH(Calendar!$A19,DB!$1:$1,0)),FALSE),"")</f>
        <v/>
      </c>
      <c r="CFV19" s="28" t="str">
        <f>IFERROR(VLOOKUP(DATE($K$1,$K$2,CFV$4),Table1[],(MATCH(Calendar!$A19,DB!$1:$1,0)),FALSE),"")</f>
        <v/>
      </c>
      <c r="CFW19" s="28" t="str">
        <f>IFERROR(VLOOKUP(DATE($K$1,$K$2,CFW$4),Table1[],(MATCH(Calendar!$A19,DB!$1:$1,0)),FALSE),"")</f>
        <v/>
      </c>
      <c r="CFX19" s="28" t="str">
        <f>IFERROR(VLOOKUP(DATE($K$1,$K$2,CFX$4),Table1[],(MATCH(Calendar!$A19,DB!$1:$1,0)),FALSE),"")</f>
        <v/>
      </c>
      <c r="CFY19" s="28" t="str">
        <f>IFERROR(VLOOKUP(DATE($K$1,$K$2,CFY$4),Table1[],(MATCH(Calendar!$A19,DB!$1:$1,0)),FALSE),"")</f>
        <v/>
      </c>
      <c r="CFZ19" s="28" t="str">
        <f>IFERROR(VLOOKUP(DATE($K$1,$K$2,CFZ$4),Table1[],(MATCH(Calendar!$A19,DB!$1:$1,0)),FALSE),"")</f>
        <v/>
      </c>
      <c r="CGA19" s="28" t="str">
        <f>IFERROR(VLOOKUP(DATE($K$1,$K$2,CGA$4),Table1[],(MATCH(Calendar!$A19,DB!$1:$1,0)),FALSE),"")</f>
        <v/>
      </c>
      <c r="CGB19" s="28" t="str">
        <f>IFERROR(VLOOKUP(DATE($K$1,$K$2,CGB$4),Table1[],(MATCH(Calendar!$A19,DB!$1:$1,0)),FALSE),"")</f>
        <v/>
      </c>
      <c r="CGC19" s="28" t="str">
        <f>IFERROR(VLOOKUP(DATE($K$1,$K$2,CGC$4),Table1[],(MATCH(Calendar!$A19,DB!$1:$1,0)),FALSE),"")</f>
        <v/>
      </c>
      <c r="CGD19" s="28" t="str">
        <f>IFERROR(VLOOKUP(DATE($K$1,$K$2,CGD$4),Table1[],(MATCH(Calendar!$A19,DB!$1:$1,0)),FALSE),"")</f>
        <v/>
      </c>
      <c r="CGE19" s="28" t="str">
        <f>IFERROR(VLOOKUP(DATE($K$1,$K$2,CGE$4),Table1[],(MATCH(Calendar!$A19,DB!$1:$1,0)),FALSE),"")</f>
        <v/>
      </c>
      <c r="CGF19" s="28" t="str">
        <f>IFERROR(VLOOKUP(DATE($K$1,$K$2,CGF$4),Table1[],(MATCH(Calendar!$A19,DB!$1:$1,0)),FALSE),"")</f>
        <v/>
      </c>
      <c r="CGG19" s="28" t="str">
        <f>IFERROR(VLOOKUP(DATE($K$1,$K$2,CGG$4),Table1[],(MATCH(Calendar!$A19,DB!$1:$1,0)),FALSE),"")</f>
        <v/>
      </c>
      <c r="CGH19" s="28" t="str">
        <f>IFERROR(VLOOKUP(DATE($K$1,$K$2,CGH$4),Table1[],(MATCH(Calendar!$A19,DB!$1:$1,0)),FALSE),"")</f>
        <v/>
      </c>
      <c r="CGI19" s="28" t="str">
        <f>IFERROR(VLOOKUP(DATE($K$1,$K$2,CGI$4),Table1[],(MATCH(Calendar!$A19,DB!$1:$1,0)),FALSE),"")</f>
        <v/>
      </c>
      <c r="CGJ19" s="28" t="str">
        <f>IFERROR(VLOOKUP(DATE($K$1,$K$2,CGJ$4),Table1[],(MATCH(Calendar!$A19,DB!$1:$1,0)),FALSE),"")</f>
        <v/>
      </c>
      <c r="CGK19" s="28" t="str">
        <f>IFERROR(VLOOKUP(DATE($K$1,$K$2,CGK$4),Table1[],(MATCH(Calendar!$A19,DB!$1:$1,0)),FALSE),"")</f>
        <v/>
      </c>
      <c r="CGL19" s="28" t="str">
        <f>IFERROR(VLOOKUP(DATE($K$1,$K$2,CGL$4),Table1[],(MATCH(Calendar!$A19,DB!$1:$1,0)),FALSE),"")</f>
        <v/>
      </c>
      <c r="CGM19" s="28" t="str">
        <f>IFERROR(VLOOKUP(DATE($K$1,$K$2,CGM$4),Table1[],(MATCH(Calendar!$A19,DB!$1:$1,0)),FALSE),"")</f>
        <v/>
      </c>
      <c r="CGN19" s="28" t="str">
        <f>IFERROR(VLOOKUP(DATE($K$1,$K$2,CGN$4),Table1[],(MATCH(Calendar!$A19,DB!$1:$1,0)),FALSE),"")</f>
        <v/>
      </c>
      <c r="CGO19" s="28" t="str">
        <f>IFERROR(VLOOKUP(DATE($K$1,$K$2,CGO$4),Table1[],(MATCH(Calendar!$A19,DB!$1:$1,0)),FALSE),"")</f>
        <v/>
      </c>
      <c r="CGP19" s="28" t="str">
        <f>IFERROR(VLOOKUP(DATE($K$1,$K$2,CGP$4),Table1[],(MATCH(Calendar!$A19,DB!$1:$1,0)),FALSE),"")</f>
        <v/>
      </c>
      <c r="CGQ19" s="28" t="str">
        <f>IFERROR(VLOOKUP(DATE($K$1,$K$2,CGQ$4),Table1[],(MATCH(Calendar!$A19,DB!$1:$1,0)),FALSE),"")</f>
        <v/>
      </c>
      <c r="CGR19" s="28" t="str">
        <f>IFERROR(VLOOKUP(DATE($K$1,$K$2,CGR$4),Table1[],(MATCH(Calendar!$A19,DB!$1:$1,0)),FALSE),"")</f>
        <v/>
      </c>
      <c r="CGS19" s="28" t="str">
        <f>IFERROR(VLOOKUP(DATE($K$1,$K$2,CGS$4),Table1[],(MATCH(Calendar!$A19,DB!$1:$1,0)),FALSE),"")</f>
        <v/>
      </c>
      <c r="CGT19" s="28" t="str">
        <f>IFERROR(VLOOKUP(DATE($K$1,$K$2,CGT$4),Table1[],(MATCH(Calendar!$A19,DB!$1:$1,0)),FALSE),"")</f>
        <v/>
      </c>
      <c r="CGU19" s="28" t="str">
        <f>IFERROR(VLOOKUP(DATE($K$1,$K$2,CGU$4),Table1[],(MATCH(Calendar!$A19,DB!$1:$1,0)),FALSE),"")</f>
        <v/>
      </c>
      <c r="CGV19" s="28" t="str">
        <f>IFERROR(VLOOKUP(DATE($K$1,$K$2,CGV$4),Table1[],(MATCH(Calendar!$A19,DB!$1:$1,0)),FALSE),"")</f>
        <v/>
      </c>
      <c r="CGW19" s="28" t="str">
        <f>IFERROR(VLOOKUP(DATE($K$1,$K$2,CGW$4),Table1[],(MATCH(Calendar!$A19,DB!$1:$1,0)),FALSE),"")</f>
        <v/>
      </c>
      <c r="CGX19" s="28" t="str">
        <f>IFERROR(VLOOKUP(DATE($K$1,$K$2,CGX$4),Table1[],(MATCH(Calendar!$A19,DB!$1:$1,0)),FALSE),"")</f>
        <v/>
      </c>
      <c r="CGY19" s="28" t="str">
        <f>IFERROR(VLOOKUP(DATE($K$1,$K$2,CGY$4),Table1[],(MATCH(Calendar!$A19,DB!$1:$1,0)),FALSE),"")</f>
        <v/>
      </c>
      <c r="CGZ19" s="28" t="str">
        <f>IFERROR(VLOOKUP(DATE($K$1,$K$2,CGZ$4),Table1[],(MATCH(Calendar!$A19,DB!$1:$1,0)),FALSE),"")</f>
        <v/>
      </c>
      <c r="CHA19" s="28" t="str">
        <f>IFERROR(VLOOKUP(DATE($K$1,$K$2,CHA$4),Table1[],(MATCH(Calendar!$A19,DB!$1:$1,0)),FALSE),"")</f>
        <v/>
      </c>
      <c r="CHB19" s="28" t="str">
        <f>IFERROR(VLOOKUP(DATE($K$1,$K$2,CHB$4),Table1[],(MATCH(Calendar!$A19,DB!$1:$1,0)),FALSE),"")</f>
        <v/>
      </c>
      <c r="CHC19" s="28" t="str">
        <f>IFERROR(VLOOKUP(DATE($K$1,$K$2,CHC$4),Table1[],(MATCH(Calendar!$A19,DB!$1:$1,0)),FALSE),"")</f>
        <v/>
      </c>
      <c r="CHD19" s="28" t="str">
        <f>IFERROR(VLOOKUP(DATE($K$1,$K$2,CHD$4),Table1[],(MATCH(Calendar!$A19,DB!$1:$1,0)),FALSE),"")</f>
        <v/>
      </c>
      <c r="CHE19" s="28" t="str">
        <f>IFERROR(VLOOKUP(DATE($K$1,$K$2,CHE$4),Table1[],(MATCH(Calendar!$A19,DB!$1:$1,0)),FALSE),"")</f>
        <v/>
      </c>
      <c r="CHF19" s="28" t="str">
        <f>IFERROR(VLOOKUP(DATE($K$1,$K$2,CHF$4),Table1[],(MATCH(Calendar!$A19,DB!$1:$1,0)),FALSE),"")</f>
        <v/>
      </c>
      <c r="CHG19" s="28" t="str">
        <f>IFERROR(VLOOKUP(DATE($K$1,$K$2,CHG$4),Table1[],(MATCH(Calendar!$A19,DB!$1:$1,0)),FALSE),"")</f>
        <v/>
      </c>
      <c r="CHH19" s="28" t="str">
        <f>IFERROR(VLOOKUP(DATE($K$1,$K$2,CHH$4),Table1[],(MATCH(Calendar!$A19,DB!$1:$1,0)),FALSE),"")</f>
        <v/>
      </c>
      <c r="CHI19" s="28" t="str">
        <f>IFERROR(VLOOKUP(DATE($K$1,$K$2,CHI$4),Table1[],(MATCH(Calendar!$A19,DB!$1:$1,0)),FALSE),"")</f>
        <v/>
      </c>
      <c r="CHJ19" s="28" t="str">
        <f>IFERROR(VLOOKUP(DATE($K$1,$K$2,CHJ$4),Table1[],(MATCH(Calendar!$A19,DB!$1:$1,0)),FALSE),"")</f>
        <v/>
      </c>
      <c r="CHK19" s="28" t="str">
        <f>IFERROR(VLOOKUP(DATE($K$1,$K$2,CHK$4),Table1[],(MATCH(Calendar!$A19,DB!$1:$1,0)),FALSE),"")</f>
        <v/>
      </c>
      <c r="CHL19" s="28" t="str">
        <f>IFERROR(VLOOKUP(DATE($K$1,$K$2,CHL$4),Table1[],(MATCH(Calendar!$A19,DB!$1:$1,0)),FALSE),"")</f>
        <v/>
      </c>
      <c r="CHM19" s="28" t="str">
        <f>IFERROR(VLOOKUP(DATE($K$1,$K$2,CHM$4),Table1[],(MATCH(Calendar!$A19,DB!$1:$1,0)),FALSE),"")</f>
        <v/>
      </c>
      <c r="CHN19" s="28" t="str">
        <f>IFERROR(VLOOKUP(DATE($K$1,$K$2,CHN$4),Table1[],(MATCH(Calendar!$A19,DB!$1:$1,0)),FALSE),"")</f>
        <v/>
      </c>
      <c r="CHO19" s="28" t="str">
        <f>IFERROR(VLOOKUP(DATE($K$1,$K$2,CHO$4),Table1[],(MATCH(Calendar!$A19,DB!$1:$1,0)),FALSE),"")</f>
        <v/>
      </c>
      <c r="CHP19" s="28" t="str">
        <f>IFERROR(VLOOKUP(DATE($K$1,$K$2,CHP$4),Table1[],(MATCH(Calendar!$A19,DB!$1:$1,0)),FALSE),"")</f>
        <v/>
      </c>
      <c r="CHQ19" s="28" t="str">
        <f>IFERROR(VLOOKUP(DATE($K$1,$K$2,CHQ$4),Table1[],(MATCH(Calendar!$A19,DB!$1:$1,0)),FALSE),"")</f>
        <v/>
      </c>
      <c r="CHR19" s="28" t="str">
        <f>IFERROR(VLOOKUP(DATE($K$1,$K$2,CHR$4),Table1[],(MATCH(Calendar!$A19,DB!$1:$1,0)),FALSE),"")</f>
        <v/>
      </c>
      <c r="CHS19" s="28" t="str">
        <f>IFERROR(VLOOKUP(DATE($K$1,$K$2,CHS$4),Table1[],(MATCH(Calendar!$A19,DB!$1:$1,0)),FALSE),"")</f>
        <v/>
      </c>
      <c r="CHT19" s="28" t="str">
        <f>IFERROR(VLOOKUP(DATE($K$1,$K$2,CHT$4),Table1[],(MATCH(Calendar!$A19,DB!$1:$1,0)),FALSE),"")</f>
        <v/>
      </c>
      <c r="CHU19" s="28" t="str">
        <f>IFERROR(VLOOKUP(DATE($K$1,$K$2,CHU$4),Table1[],(MATCH(Calendar!$A19,DB!$1:$1,0)),FALSE),"")</f>
        <v/>
      </c>
      <c r="CHV19" s="28" t="str">
        <f>IFERROR(VLOOKUP(DATE($K$1,$K$2,CHV$4),Table1[],(MATCH(Calendar!$A19,DB!$1:$1,0)),FALSE),"")</f>
        <v/>
      </c>
      <c r="CHW19" s="28" t="str">
        <f>IFERROR(VLOOKUP(DATE($K$1,$K$2,CHW$4),Table1[],(MATCH(Calendar!$A19,DB!$1:$1,0)),FALSE),"")</f>
        <v/>
      </c>
      <c r="CHX19" s="28" t="str">
        <f>IFERROR(VLOOKUP(DATE($K$1,$K$2,CHX$4),Table1[],(MATCH(Calendar!$A19,DB!$1:$1,0)),FALSE),"")</f>
        <v/>
      </c>
      <c r="CHY19" s="28" t="str">
        <f>IFERROR(VLOOKUP(DATE($K$1,$K$2,CHY$4),Table1[],(MATCH(Calendar!$A19,DB!$1:$1,0)),FALSE),"")</f>
        <v/>
      </c>
      <c r="CHZ19" s="28" t="str">
        <f>IFERROR(VLOOKUP(DATE($K$1,$K$2,CHZ$4),Table1[],(MATCH(Calendar!$A19,DB!$1:$1,0)),FALSE),"")</f>
        <v/>
      </c>
      <c r="CIA19" s="28" t="str">
        <f>IFERROR(VLOOKUP(DATE($K$1,$K$2,CIA$4),Table1[],(MATCH(Calendar!$A19,DB!$1:$1,0)),FALSE),"")</f>
        <v/>
      </c>
      <c r="CIB19" s="28" t="str">
        <f>IFERROR(VLOOKUP(DATE($K$1,$K$2,CIB$4),Table1[],(MATCH(Calendar!$A19,DB!$1:$1,0)),FALSE),"")</f>
        <v/>
      </c>
      <c r="CIC19" s="28" t="str">
        <f>IFERROR(VLOOKUP(DATE($K$1,$K$2,CIC$4),Table1[],(MATCH(Calendar!$A19,DB!$1:$1,0)),FALSE),"")</f>
        <v/>
      </c>
      <c r="CID19" s="28" t="str">
        <f>IFERROR(VLOOKUP(DATE($K$1,$K$2,CID$4),Table1[],(MATCH(Calendar!$A19,DB!$1:$1,0)),FALSE),"")</f>
        <v/>
      </c>
      <c r="CIE19" s="28" t="str">
        <f>IFERROR(VLOOKUP(DATE($K$1,$K$2,CIE$4),Table1[],(MATCH(Calendar!$A19,DB!$1:$1,0)),FALSE),"")</f>
        <v/>
      </c>
      <c r="CIF19" s="28" t="str">
        <f>IFERROR(VLOOKUP(DATE($K$1,$K$2,CIF$4),Table1[],(MATCH(Calendar!$A19,DB!$1:$1,0)),FALSE),"")</f>
        <v/>
      </c>
      <c r="CIG19" s="28" t="str">
        <f>IFERROR(VLOOKUP(DATE($K$1,$K$2,CIG$4),Table1[],(MATCH(Calendar!$A19,DB!$1:$1,0)),FALSE),"")</f>
        <v/>
      </c>
      <c r="CIH19" s="28" t="str">
        <f>IFERROR(VLOOKUP(DATE($K$1,$K$2,CIH$4),Table1[],(MATCH(Calendar!$A19,DB!$1:$1,0)),FALSE),"")</f>
        <v/>
      </c>
      <c r="CII19" s="28" t="str">
        <f>IFERROR(VLOOKUP(DATE($K$1,$K$2,CII$4),Table1[],(MATCH(Calendar!$A19,DB!$1:$1,0)),FALSE),"")</f>
        <v/>
      </c>
      <c r="CIJ19" s="28" t="str">
        <f>IFERROR(VLOOKUP(DATE($K$1,$K$2,CIJ$4),Table1[],(MATCH(Calendar!$A19,DB!$1:$1,0)),FALSE),"")</f>
        <v/>
      </c>
      <c r="CIK19" s="28" t="str">
        <f>IFERROR(VLOOKUP(DATE($K$1,$K$2,CIK$4),Table1[],(MATCH(Calendar!$A19,DB!$1:$1,0)),FALSE),"")</f>
        <v/>
      </c>
      <c r="CIL19" s="28" t="str">
        <f>IFERROR(VLOOKUP(DATE($K$1,$K$2,CIL$4),Table1[],(MATCH(Calendar!$A19,DB!$1:$1,0)),FALSE),"")</f>
        <v/>
      </c>
      <c r="CIM19" s="28" t="str">
        <f>IFERROR(VLOOKUP(DATE($K$1,$K$2,CIM$4),Table1[],(MATCH(Calendar!$A19,DB!$1:$1,0)),FALSE),"")</f>
        <v/>
      </c>
      <c r="CIN19" s="28" t="str">
        <f>IFERROR(VLOOKUP(DATE($K$1,$K$2,CIN$4),Table1[],(MATCH(Calendar!$A19,DB!$1:$1,0)),FALSE),"")</f>
        <v/>
      </c>
      <c r="CIO19" s="28" t="str">
        <f>IFERROR(VLOOKUP(DATE($K$1,$K$2,CIO$4),Table1[],(MATCH(Calendar!$A19,DB!$1:$1,0)),FALSE),"")</f>
        <v/>
      </c>
      <c r="CIP19" s="28" t="str">
        <f>IFERROR(VLOOKUP(DATE($K$1,$K$2,CIP$4),Table1[],(MATCH(Calendar!$A19,DB!$1:$1,0)),FALSE),"")</f>
        <v/>
      </c>
      <c r="CIQ19" s="28" t="str">
        <f>IFERROR(VLOOKUP(DATE($K$1,$K$2,CIQ$4),Table1[],(MATCH(Calendar!$A19,DB!$1:$1,0)),FALSE),"")</f>
        <v/>
      </c>
      <c r="CIR19" s="28" t="str">
        <f>IFERROR(VLOOKUP(DATE($K$1,$K$2,CIR$4),Table1[],(MATCH(Calendar!$A19,DB!$1:$1,0)),FALSE),"")</f>
        <v/>
      </c>
      <c r="CIS19" s="28" t="str">
        <f>IFERROR(VLOOKUP(DATE($K$1,$K$2,CIS$4),Table1[],(MATCH(Calendar!$A19,DB!$1:$1,0)),FALSE),"")</f>
        <v/>
      </c>
      <c r="CIT19" s="28" t="str">
        <f>IFERROR(VLOOKUP(DATE($K$1,$K$2,CIT$4),Table1[],(MATCH(Calendar!$A19,DB!$1:$1,0)),FALSE),"")</f>
        <v/>
      </c>
      <c r="CIU19" s="28" t="str">
        <f>IFERROR(VLOOKUP(DATE($K$1,$K$2,CIU$4),Table1[],(MATCH(Calendar!$A19,DB!$1:$1,0)),FALSE),"")</f>
        <v/>
      </c>
      <c r="CIV19" s="28" t="str">
        <f>IFERROR(VLOOKUP(DATE($K$1,$K$2,CIV$4),Table1[],(MATCH(Calendar!$A19,DB!$1:$1,0)),FALSE),"")</f>
        <v/>
      </c>
      <c r="CIW19" s="28" t="str">
        <f>IFERROR(VLOOKUP(DATE($K$1,$K$2,CIW$4),Table1[],(MATCH(Calendar!$A19,DB!$1:$1,0)),FALSE),"")</f>
        <v/>
      </c>
      <c r="CIX19" s="28" t="str">
        <f>IFERROR(VLOOKUP(DATE($K$1,$K$2,CIX$4),Table1[],(MATCH(Calendar!$A19,DB!$1:$1,0)),FALSE),"")</f>
        <v/>
      </c>
      <c r="CIY19" s="28" t="str">
        <f>IFERROR(VLOOKUP(DATE($K$1,$K$2,CIY$4),Table1[],(MATCH(Calendar!$A19,DB!$1:$1,0)),FALSE),"")</f>
        <v/>
      </c>
      <c r="CIZ19" s="28" t="str">
        <f>IFERROR(VLOOKUP(DATE($K$1,$K$2,CIZ$4),Table1[],(MATCH(Calendar!$A19,DB!$1:$1,0)),FALSE),"")</f>
        <v/>
      </c>
      <c r="CJA19" s="28" t="str">
        <f>IFERROR(VLOOKUP(DATE($K$1,$K$2,CJA$4),Table1[],(MATCH(Calendar!$A19,DB!$1:$1,0)),FALSE),"")</f>
        <v/>
      </c>
      <c r="CJB19" s="28" t="str">
        <f>IFERROR(VLOOKUP(DATE($K$1,$K$2,CJB$4),Table1[],(MATCH(Calendar!$A19,DB!$1:$1,0)),FALSE),"")</f>
        <v/>
      </c>
      <c r="CJC19" s="28" t="str">
        <f>IFERROR(VLOOKUP(DATE($K$1,$K$2,CJC$4),Table1[],(MATCH(Calendar!$A19,DB!$1:$1,0)),FALSE),"")</f>
        <v/>
      </c>
      <c r="CJD19" s="28" t="str">
        <f>IFERROR(VLOOKUP(DATE($K$1,$K$2,CJD$4),Table1[],(MATCH(Calendar!$A19,DB!$1:$1,0)),FALSE),"")</f>
        <v/>
      </c>
      <c r="CJE19" s="28" t="str">
        <f>IFERROR(VLOOKUP(DATE($K$1,$K$2,CJE$4),Table1[],(MATCH(Calendar!$A19,DB!$1:$1,0)),FALSE),"")</f>
        <v/>
      </c>
      <c r="CJF19" s="28" t="str">
        <f>IFERROR(VLOOKUP(DATE($K$1,$K$2,CJF$4),Table1[],(MATCH(Calendar!$A19,DB!$1:$1,0)),FALSE),"")</f>
        <v/>
      </c>
      <c r="CJG19" s="28" t="str">
        <f>IFERROR(VLOOKUP(DATE($K$1,$K$2,CJG$4),Table1[],(MATCH(Calendar!$A19,DB!$1:$1,0)),FALSE),"")</f>
        <v/>
      </c>
      <c r="CJH19" s="28" t="str">
        <f>IFERROR(VLOOKUP(DATE($K$1,$K$2,CJH$4),Table1[],(MATCH(Calendar!$A19,DB!$1:$1,0)),FALSE),"")</f>
        <v/>
      </c>
      <c r="CJI19" s="28" t="str">
        <f>IFERROR(VLOOKUP(DATE($K$1,$K$2,CJI$4),Table1[],(MATCH(Calendar!$A19,DB!$1:$1,0)),FALSE),"")</f>
        <v/>
      </c>
      <c r="CJJ19" s="28" t="str">
        <f>IFERROR(VLOOKUP(DATE($K$1,$K$2,CJJ$4),Table1[],(MATCH(Calendar!$A19,DB!$1:$1,0)),FALSE),"")</f>
        <v/>
      </c>
      <c r="CJK19" s="28" t="str">
        <f>IFERROR(VLOOKUP(DATE($K$1,$K$2,CJK$4),Table1[],(MATCH(Calendar!$A19,DB!$1:$1,0)),FALSE),"")</f>
        <v/>
      </c>
      <c r="CJL19" s="28" t="str">
        <f>IFERROR(VLOOKUP(DATE($K$1,$K$2,CJL$4),Table1[],(MATCH(Calendar!$A19,DB!$1:$1,0)),FALSE),"")</f>
        <v/>
      </c>
      <c r="CJM19" s="28" t="str">
        <f>IFERROR(VLOOKUP(DATE($K$1,$K$2,CJM$4),Table1[],(MATCH(Calendar!$A19,DB!$1:$1,0)),FALSE),"")</f>
        <v/>
      </c>
      <c r="CJN19" s="28" t="str">
        <f>IFERROR(VLOOKUP(DATE($K$1,$K$2,CJN$4),Table1[],(MATCH(Calendar!$A19,DB!$1:$1,0)),FALSE),"")</f>
        <v/>
      </c>
      <c r="CJO19" s="28" t="str">
        <f>IFERROR(VLOOKUP(DATE($K$1,$K$2,CJO$4),Table1[],(MATCH(Calendar!$A19,DB!$1:$1,0)),FALSE),"")</f>
        <v/>
      </c>
      <c r="CJP19" s="28" t="str">
        <f>IFERROR(VLOOKUP(DATE($K$1,$K$2,CJP$4),Table1[],(MATCH(Calendar!$A19,DB!$1:$1,0)),FALSE),"")</f>
        <v/>
      </c>
      <c r="CJQ19" s="28" t="str">
        <f>IFERROR(VLOOKUP(DATE($K$1,$K$2,CJQ$4),Table1[],(MATCH(Calendar!$A19,DB!$1:$1,0)),FALSE),"")</f>
        <v/>
      </c>
      <c r="CJR19" s="28" t="str">
        <f>IFERROR(VLOOKUP(DATE($K$1,$K$2,CJR$4),Table1[],(MATCH(Calendar!$A19,DB!$1:$1,0)),FALSE),"")</f>
        <v/>
      </c>
      <c r="CJS19" s="28" t="str">
        <f>IFERROR(VLOOKUP(DATE($K$1,$K$2,CJS$4),Table1[],(MATCH(Calendar!$A19,DB!$1:$1,0)),FALSE),"")</f>
        <v/>
      </c>
      <c r="CJT19" s="28" t="str">
        <f>IFERROR(VLOOKUP(DATE($K$1,$K$2,CJT$4),Table1[],(MATCH(Calendar!$A19,DB!$1:$1,0)),FALSE),"")</f>
        <v/>
      </c>
      <c r="CJU19" s="28" t="str">
        <f>IFERROR(VLOOKUP(DATE($K$1,$K$2,CJU$4),Table1[],(MATCH(Calendar!$A19,DB!$1:$1,0)),FALSE),"")</f>
        <v/>
      </c>
      <c r="CJV19" s="28" t="str">
        <f>IFERROR(VLOOKUP(DATE($K$1,$K$2,CJV$4),Table1[],(MATCH(Calendar!$A19,DB!$1:$1,0)),FALSE),"")</f>
        <v/>
      </c>
      <c r="CJW19" s="28" t="str">
        <f>IFERROR(VLOOKUP(DATE($K$1,$K$2,CJW$4),Table1[],(MATCH(Calendar!$A19,DB!$1:$1,0)),FALSE),"")</f>
        <v/>
      </c>
      <c r="CJX19" s="28" t="str">
        <f>IFERROR(VLOOKUP(DATE($K$1,$K$2,CJX$4),Table1[],(MATCH(Calendar!$A19,DB!$1:$1,0)),FALSE),"")</f>
        <v/>
      </c>
      <c r="CJY19" s="28" t="str">
        <f>IFERROR(VLOOKUP(DATE($K$1,$K$2,CJY$4),Table1[],(MATCH(Calendar!$A19,DB!$1:$1,0)),FALSE),"")</f>
        <v/>
      </c>
      <c r="CJZ19" s="28" t="str">
        <f>IFERROR(VLOOKUP(DATE($K$1,$K$2,CJZ$4),Table1[],(MATCH(Calendar!$A19,DB!$1:$1,0)),FALSE),"")</f>
        <v/>
      </c>
      <c r="CKA19" s="28" t="str">
        <f>IFERROR(VLOOKUP(DATE($K$1,$K$2,CKA$4),Table1[],(MATCH(Calendar!$A19,DB!$1:$1,0)),FALSE),"")</f>
        <v/>
      </c>
      <c r="CKB19" s="28" t="str">
        <f>IFERROR(VLOOKUP(DATE($K$1,$K$2,CKB$4),Table1[],(MATCH(Calendar!$A19,DB!$1:$1,0)),FALSE),"")</f>
        <v/>
      </c>
      <c r="CKC19" s="28" t="str">
        <f>IFERROR(VLOOKUP(DATE($K$1,$K$2,CKC$4),Table1[],(MATCH(Calendar!$A19,DB!$1:$1,0)),FALSE),"")</f>
        <v/>
      </c>
      <c r="CKD19" s="28" t="str">
        <f>IFERROR(VLOOKUP(DATE($K$1,$K$2,CKD$4),Table1[],(MATCH(Calendar!$A19,DB!$1:$1,0)),FALSE),"")</f>
        <v/>
      </c>
      <c r="CKE19" s="28" t="str">
        <f>IFERROR(VLOOKUP(DATE($K$1,$K$2,CKE$4),Table1[],(MATCH(Calendar!$A19,DB!$1:$1,0)),FALSE),"")</f>
        <v/>
      </c>
      <c r="CKF19" s="28" t="str">
        <f>IFERROR(VLOOKUP(DATE($K$1,$K$2,CKF$4),Table1[],(MATCH(Calendar!$A19,DB!$1:$1,0)),FALSE),"")</f>
        <v/>
      </c>
      <c r="CKG19" s="28" t="str">
        <f>IFERROR(VLOOKUP(DATE($K$1,$K$2,CKG$4),Table1[],(MATCH(Calendar!$A19,DB!$1:$1,0)),FALSE),"")</f>
        <v/>
      </c>
      <c r="CKH19" s="28" t="str">
        <f>IFERROR(VLOOKUP(DATE($K$1,$K$2,CKH$4),Table1[],(MATCH(Calendar!$A19,DB!$1:$1,0)),FALSE),"")</f>
        <v/>
      </c>
      <c r="CKI19" s="28" t="str">
        <f>IFERROR(VLOOKUP(DATE($K$1,$K$2,CKI$4),Table1[],(MATCH(Calendar!$A19,DB!$1:$1,0)),FALSE),"")</f>
        <v/>
      </c>
      <c r="CKJ19" s="28" t="str">
        <f>IFERROR(VLOOKUP(DATE($K$1,$K$2,CKJ$4),Table1[],(MATCH(Calendar!$A19,DB!$1:$1,0)),FALSE),"")</f>
        <v/>
      </c>
      <c r="CKK19" s="28" t="str">
        <f>IFERROR(VLOOKUP(DATE($K$1,$K$2,CKK$4),Table1[],(MATCH(Calendar!$A19,DB!$1:$1,0)),FALSE),"")</f>
        <v/>
      </c>
      <c r="CKL19" s="28" t="str">
        <f>IFERROR(VLOOKUP(DATE($K$1,$K$2,CKL$4),Table1[],(MATCH(Calendar!$A19,DB!$1:$1,0)),FALSE),"")</f>
        <v/>
      </c>
      <c r="CKM19" s="28" t="str">
        <f>IFERROR(VLOOKUP(DATE($K$1,$K$2,CKM$4),Table1[],(MATCH(Calendar!$A19,DB!$1:$1,0)),FALSE),"")</f>
        <v/>
      </c>
      <c r="CKN19" s="28" t="str">
        <f>IFERROR(VLOOKUP(DATE($K$1,$K$2,CKN$4),Table1[],(MATCH(Calendar!$A19,DB!$1:$1,0)),FALSE),"")</f>
        <v/>
      </c>
      <c r="CKO19" s="28" t="str">
        <f>IFERROR(VLOOKUP(DATE($K$1,$K$2,CKO$4),Table1[],(MATCH(Calendar!$A19,DB!$1:$1,0)),FALSE),"")</f>
        <v/>
      </c>
      <c r="CKP19" s="28" t="str">
        <f>IFERROR(VLOOKUP(DATE($K$1,$K$2,CKP$4),Table1[],(MATCH(Calendar!$A19,DB!$1:$1,0)),FALSE),"")</f>
        <v/>
      </c>
      <c r="CKQ19" s="28" t="str">
        <f>IFERROR(VLOOKUP(DATE($K$1,$K$2,CKQ$4),Table1[],(MATCH(Calendar!$A19,DB!$1:$1,0)),FALSE),"")</f>
        <v/>
      </c>
      <c r="CKR19" s="28" t="str">
        <f>IFERROR(VLOOKUP(DATE($K$1,$K$2,CKR$4),Table1[],(MATCH(Calendar!$A19,DB!$1:$1,0)),FALSE),"")</f>
        <v/>
      </c>
      <c r="CKS19" s="28" t="str">
        <f>IFERROR(VLOOKUP(DATE($K$1,$K$2,CKS$4),Table1[],(MATCH(Calendar!$A19,DB!$1:$1,0)),FALSE),"")</f>
        <v/>
      </c>
      <c r="CKT19" s="28" t="str">
        <f>IFERROR(VLOOKUP(DATE($K$1,$K$2,CKT$4),Table1[],(MATCH(Calendar!$A19,DB!$1:$1,0)),FALSE),"")</f>
        <v/>
      </c>
      <c r="CKU19" s="28" t="str">
        <f>IFERROR(VLOOKUP(DATE($K$1,$K$2,CKU$4),Table1[],(MATCH(Calendar!$A19,DB!$1:$1,0)),FALSE),"")</f>
        <v/>
      </c>
      <c r="CKV19" s="28" t="str">
        <f>IFERROR(VLOOKUP(DATE($K$1,$K$2,CKV$4),Table1[],(MATCH(Calendar!$A19,DB!$1:$1,0)),FALSE),"")</f>
        <v/>
      </c>
      <c r="CKW19" s="28" t="str">
        <f>IFERROR(VLOOKUP(DATE($K$1,$K$2,CKW$4),Table1[],(MATCH(Calendar!$A19,DB!$1:$1,0)),FALSE),"")</f>
        <v/>
      </c>
      <c r="CKX19" s="28" t="str">
        <f>IFERROR(VLOOKUP(DATE($K$1,$K$2,CKX$4),Table1[],(MATCH(Calendar!$A19,DB!$1:$1,0)),FALSE),"")</f>
        <v/>
      </c>
      <c r="CKY19" s="28" t="str">
        <f>IFERROR(VLOOKUP(DATE($K$1,$K$2,CKY$4),Table1[],(MATCH(Calendar!$A19,DB!$1:$1,0)),FALSE),"")</f>
        <v/>
      </c>
      <c r="CKZ19" s="28" t="str">
        <f>IFERROR(VLOOKUP(DATE($K$1,$K$2,CKZ$4),Table1[],(MATCH(Calendar!$A19,DB!$1:$1,0)),FALSE),"")</f>
        <v/>
      </c>
      <c r="CLA19" s="28" t="str">
        <f>IFERROR(VLOOKUP(DATE($K$1,$K$2,CLA$4),Table1[],(MATCH(Calendar!$A19,DB!$1:$1,0)),FALSE),"")</f>
        <v/>
      </c>
      <c r="CLB19" s="28" t="str">
        <f>IFERROR(VLOOKUP(DATE($K$1,$K$2,CLB$4),Table1[],(MATCH(Calendar!$A19,DB!$1:$1,0)),FALSE),"")</f>
        <v/>
      </c>
      <c r="CLC19" s="28" t="str">
        <f>IFERROR(VLOOKUP(DATE($K$1,$K$2,CLC$4),Table1[],(MATCH(Calendar!$A19,DB!$1:$1,0)),FALSE),"")</f>
        <v/>
      </c>
      <c r="CLD19" s="28" t="str">
        <f>IFERROR(VLOOKUP(DATE($K$1,$K$2,CLD$4),Table1[],(MATCH(Calendar!$A19,DB!$1:$1,0)),FALSE),"")</f>
        <v/>
      </c>
      <c r="CLE19" s="28" t="str">
        <f>IFERROR(VLOOKUP(DATE($K$1,$K$2,CLE$4),Table1[],(MATCH(Calendar!$A19,DB!$1:$1,0)),FALSE),"")</f>
        <v/>
      </c>
      <c r="CLF19" s="28" t="str">
        <f>IFERROR(VLOOKUP(DATE($K$1,$K$2,CLF$4),Table1[],(MATCH(Calendar!$A19,DB!$1:$1,0)),FALSE),"")</f>
        <v/>
      </c>
      <c r="CLG19" s="28" t="str">
        <f>IFERROR(VLOOKUP(DATE($K$1,$K$2,CLG$4),Table1[],(MATCH(Calendar!$A19,DB!$1:$1,0)),FALSE),"")</f>
        <v/>
      </c>
      <c r="CLH19" s="28" t="str">
        <f>IFERROR(VLOOKUP(DATE($K$1,$K$2,CLH$4),Table1[],(MATCH(Calendar!$A19,DB!$1:$1,0)),FALSE),"")</f>
        <v/>
      </c>
      <c r="CLI19" s="28" t="str">
        <f>IFERROR(VLOOKUP(DATE($K$1,$K$2,CLI$4),Table1[],(MATCH(Calendar!$A19,DB!$1:$1,0)),FALSE),"")</f>
        <v/>
      </c>
      <c r="CLJ19" s="28" t="str">
        <f>IFERROR(VLOOKUP(DATE($K$1,$K$2,CLJ$4),Table1[],(MATCH(Calendar!$A19,DB!$1:$1,0)),FALSE),"")</f>
        <v/>
      </c>
      <c r="CLK19" s="28" t="str">
        <f>IFERROR(VLOOKUP(DATE($K$1,$K$2,CLK$4),Table1[],(MATCH(Calendar!$A19,DB!$1:$1,0)),FALSE),"")</f>
        <v/>
      </c>
      <c r="CLL19" s="28" t="str">
        <f>IFERROR(VLOOKUP(DATE($K$1,$K$2,CLL$4),Table1[],(MATCH(Calendar!$A19,DB!$1:$1,0)),FALSE),"")</f>
        <v/>
      </c>
      <c r="CLM19" s="28" t="str">
        <f>IFERROR(VLOOKUP(DATE($K$1,$K$2,CLM$4),Table1[],(MATCH(Calendar!$A19,DB!$1:$1,0)),FALSE),"")</f>
        <v/>
      </c>
      <c r="CLN19" s="28" t="str">
        <f>IFERROR(VLOOKUP(DATE($K$1,$K$2,CLN$4),Table1[],(MATCH(Calendar!$A19,DB!$1:$1,0)),FALSE),"")</f>
        <v/>
      </c>
      <c r="CLO19" s="28" t="str">
        <f>IFERROR(VLOOKUP(DATE($K$1,$K$2,CLO$4),Table1[],(MATCH(Calendar!$A19,DB!$1:$1,0)),FALSE),"")</f>
        <v/>
      </c>
      <c r="CLP19" s="28" t="str">
        <f>IFERROR(VLOOKUP(DATE($K$1,$K$2,CLP$4),Table1[],(MATCH(Calendar!$A19,DB!$1:$1,0)),FALSE),"")</f>
        <v/>
      </c>
      <c r="CLQ19" s="28" t="str">
        <f>IFERROR(VLOOKUP(DATE($K$1,$K$2,CLQ$4),Table1[],(MATCH(Calendar!$A19,DB!$1:$1,0)),FALSE),"")</f>
        <v/>
      </c>
      <c r="CLR19" s="28" t="str">
        <f>IFERROR(VLOOKUP(DATE($K$1,$K$2,CLR$4),Table1[],(MATCH(Calendar!$A19,DB!$1:$1,0)),FALSE),"")</f>
        <v/>
      </c>
      <c r="CLS19" s="28" t="str">
        <f>IFERROR(VLOOKUP(DATE($K$1,$K$2,CLS$4),Table1[],(MATCH(Calendar!$A19,DB!$1:$1,0)),FALSE),"")</f>
        <v/>
      </c>
      <c r="CLT19" s="28" t="str">
        <f>IFERROR(VLOOKUP(DATE($K$1,$K$2,CLT$4),Table1[],(MATCH(Calendar!$A19,DB!$1:$1,0)),FALSE),"")</f>
        <v/>
      </c>
      <c r="CLU19" s="28" t="str">
        <f>IFERROR(VLOOKUP(DATE($K$1,$K$2,CLU$4),Table1[],(MATCH(Calendar!$A19,DB!$1:$1,0)),FALSE),"")</f>
        <v/>
      </c>
      <c r="CLV19" s="28" t="str">
        <f>IFERROR(VLOOKUP(DATE($K$1,$K$2,CLV$4),Table1[],(MATCH(Calendar!$A19,DB!$1:$1,0)),FALSE),"")</f>
        <v/>
      </c>
      <c r="CLW19" s="28" t="str">
        <f>IFERROR(VLOOKUP(DATE($K$1,$K$2,CLW$4),Table1[],(MATCH(Calendar!$A19,DB!$1:$1,0)),FALSE),"")</f>
        <v/>
      </c>
      <c r="CLX19" s="28" t="str">
        <f>IFERROR(VLOOKUP(DATE($K$1,$K$2,CLX$4),Table1[],(MATCH(Calendar!$A19,DB!$1:$1,0)),FALSE),"")</f>
        <v/>
      </c>
      <c r="CLY19" s="28" t="str">
        <f>IFERROR(VLOOKUP(DATE($K$1,$K$2,CLY$4),Table1[],(MATCH(Calendar!$A19,DB!$1:$1,0)),FALSE),"")</f>
        <v/>
      </c>
      <c r="CLZ19" s="28" t="str">
        <f>IFERROR(VLOOKUP(DATE($K$1,$K$2,CLZ$4),Table1[],(MATCH(Calendar!$A19,DB!$1:$1,0)),FALSE),"")</f>
        <v/>
      </c>
      <c r="CMA19" s="28" t="str">
        <f>IFERROR(VLOOKUP(DATE($K$1,$K$2,CMA$4),Table1[],(MATCH(Calendar!$A19,DB!$1:$1,0)),FALSE),"")</f>
        <v/>
      </c>
      <c r="CMB19" s="28" t="str">
        <f>IFERROR(VLOOKUP(DATE($K$1,$K$2,CMB$4),Table1[],(MATCH(Calendar!$A19,DB!$1:$1,0)),FALSE),"")</f>
        <v/>
      </c>
      <c r="CMC19" s="28" t="str">
        <f>IFERROR(VLOOKUP(DATE($K$1,$K$2,CMC$4),Table1[],(MATCH(Calendar!$A19,DB!$1:$1,0)),FALSE),"")</f>
        <v/>
      </c>
      <c r="CMD19" s="28" t="str">
        <f>IFERROR(VLOOKUP(DATE($K$1,$K$2,CMD$4),Table1[],(MATCH(Calendar!$A19,DB!$1:$1,0)),FALSE),"")</f>
        <v/>
      </c>
      <c r="CME19" s="28" t="str">
        <f>IFERROR(VLOOKUP(DATE($K$1,$K$2,CME$4),Table1[],(MATCH(Calendar!$A19,DB!$1:$1,0)),FALSE),"")</f>
        <v/>
      </c>
      <c r="CMF19" s="28" t="str">
        <f>IFERROR(VLOOKUP(DATE($K$1,$K$2,CMF$4),Table1[],(MATCH(Calendar!$A19,DB!$1:$1,0)),FALSE),"")</f>
        <v/>
      </c>
      <c r="CMG19" s="28" t="str">
        <f>IFERROR(VLOOKUP(DATE($K$1,$K$2,CMG$4),Table1[],(MATCH(Calendar!$A19,DB!$1:$1,0)),FALSE),"")</f>
        <v/>
      </c>
      <c r="CMH19" s="28" t="str">
        <f>IFERROR(VLOOKUP(DATE($K$1,$K$2,CMH$4),Table1[],(MATCH(Calendar!$A19,DB!$1:$1,0)),FALSE),"")</f>
        <v/>
      </c>
      <c r="CMI19" s="28" t="str">
        <f>IFERROR(VLOOKUP(DATE($K$1,$K$2,CMI$4),Table1[],(MATCH(Calendar!$A19,DB!$1:$1,0)),FALSE),"")</f>
        <v/>
      </c>
      <c r="CMJ19" s="28" t="str">
        <f>IFERROR(VLOOKUP(DATE($K$1,$K$2,CMJ$4),Table1[],(MATCH(Calendar!$A19,DB!$1:$1,0)),FALSE),"")</f>
        <v/>
      </c>
      <c r="CMK19" s="28" t="str">
        <f>IFERROR(VLOOKUP(DATE($K$1,$K$2,CMK$4),Table1[],(MATCH(Calendar!$A19,DB!$1:$1,0)),FALSE),"")</f>
        <v/>
      </c>
      <c r="CML19" s="28" t="str">
        <f>IFERROR(VLOOKUP(DATE($K$1,$K$2,CML$4),Table1[],(MATCH(Calendar!$A19,DB!$1:$1,0)),FALSE),"")</f>
        <v/>
      </c>
      <c r="CMM19" s="28" t="str">
        <f>IFERROR(VLOOKUP(DATE($K$1,$K$2,CMM$4),Table1[],(MATCH(Calendar!$A19,DB!$1:$1,0)),FALSE),"")</f>
        <v/>
      </c>
      <c r="CMN19" s="28" t="str">
        <f>IFERROR(VLOOKUP(DATE($K$1,$K$2,CMN$4),Table1[],(MATCH(Calendar!$A19,DB!$1:$1,0)),FALSE),"")</f>
        <v/>
      </c>
      <c r="CMO19" s="28" t="str">
        <f>IFERROR(VLOOKUP(DATE($K$1,$K$2,CMO$4),Table1[],(MATCH(Calendar!$A19,DB!$1:$1,0)),FALSE),"")</f>
        <v/>
      </c>
      <c r="CMP19" s="28" t="str">
        <f>IFERROR(VLOOKUP(DATE($K$1,$K$2,CMP$4),Table1[],(MATCH(Calendar!$A19,DB!$1:$1,0)),FALSE),"")</f>
        <v/>
      </c>
      <c r="CMQ19" s="28" t="str">
        <f>IFERROR(VLOOKUP(DATE($K$1,$K$2,CMQ$4),Table1[],(MATCH(Calendar!$A19,DB!$1:$1,0)),FALSE),"")</f>
        <v/>
      </c>
      <c r="CMR19" s="28" t="str">
        <f>IFERROR(VLOOKUP(DATE($K$1,$K$2,CMR$4),Table1[],(MATCH(Calendar!$A19,DB!$1:$1,0)),FALSE),"")</f>
        <v/>
      </c>
      <c r="CMS19" s="28" t="str">
        <f>IFERROR(VLOOKUP(DATE($K$1,$K$2,CMS$4),Table1[],(MATCH(Calendar!$A19,DB!$1:$1,0)),FALSE),"")</f>
        <v/>
      </c>
      <c r="CMT19" s="28" t="str">
        <f>IFERROR(VLOOKUP(DATE($K$1,$K$2,CMT$4),Table1[],(MATCH(Calendar!$A19,DB!$1:$1,0)),FALSE),"")</f>
        <v/>
      </c>
      <c r="CMU19" s="28" t="str">
        <f>IFERROR(VLOOKUP(DATE($K$1,$K$2,CMU$4),Table1[],(MATCH(Calendar!$A19,DB!$1:$1,0)),FALSE),"")</f>
        <v/>
      </c>
      <c r="CMV19" s="28" t="str">
        <f>IFERROR(VLOOKUP(DATE($K$1,$K$2,CMV$4),Table1[],(MATCH(Calendar!$A19,DB!$1:$1,0)),FALSE),"")</f>
        <v/>
      </c>
      <c r="CMW19" s="28" t="str">
        <f>IFERROR(VLOOKUP(DATE($K$1,$K$2,CMW$4),Table1[],(MATCH(Calendar!$A19,DB!$1:$1,0)),FALSE),"")</f>
        <v/>
      </c>
      <c r="CMX19" s="28" t="str">
        <f>IFERROR(VLOOKUP(DATE($K$1,$K$2,CMX$4),Table1[],(MATCH(Calendar!$A19,DB!$1:$1,0)),FALSE),"")</f>
        <v/>
      </c>
      <c r="CMY19" s="28" t="str">
        <f>IFERROR(VLOOKUP(DATE($K$1,$K$2,CMY$4),Table1[],(MATCH(Calendar!$A19,DB!$1:$1,0)),FALSE),"")</f>
        <v/>
      </c>
      <c r="CMZ19" s="28" t="str">
        <f>IFERROR(VLOOKUP(DATE($K$1,$K$2,CMZ$4),Table1[],(MATCH(Calendar!$A19,DB!$1:$1,0)),FALSE),"")</f>
        <v/>
      </c>
      <c r="CNA19" s="28" t="str">
        <f>IFERROR(VLOOKUP(DATE($K$1,$K$2,CNA$4),Table1[],(MATCH(Calendar!$A19,DB!$1:$1,0)),FALSE),"")</f>
        <v/>
      </c>
      <c r="CNB19" s="28" t="str">
        <f>IFERROR(VLOOKUP(DATE($K$1,$K$2,CNB$4),Table1[],(MATCH(Calendar!$A19,DB!$1:$1,0)),FALSE),"")</f>
        <v/>
      </c>
      <c r="CNC19" s="28" t="str">
        <f>IFERROR(VLOOKUP(DATE($K$1,$K$2,CNC$4),Table1[],(MATCH(Calendar!$A19,DB!$1:$1,0)),FALSE),"")</f>
        <v/>
      </c>
      <c r="CND19" s="28" t="str">
        <f>IFERROR(VLOOKUP(DATE($K$1,$K$2,CND$4),Table1[],(MATCH(Calendar!$A19,DB!$1:$1,0)),FALSE),"")</f>
        <v/>
      </c>
      <c r="CNE19" s="28" t="str">
        <f>IFERROR(VLOOKUP(DATE($K$1,$K$2,CNE$4),Table1[],(MATCH(Calendar!$A19,DB!$1:$1,0)),FALSE),"")</f>
        <v/>
      </c>
      <c r="CNF19" s="28" t="str">
        <f>IFERROR(VLOOKUP(DATE($K$1,$K$2,CNF$4),Table1[],(MATCH(Calendar!$A19,DB!$1:$1,0)),FALSE),"")</f>
        <v/>
      </c>
      <c r="CNG19" s="28" t="str">
        <f>IFERROR(VLOOKUP(DATE($K$1,$K$2,CNG$4),Table1[],(MATCH(Calendar!$A19,DB!$1:$1,0)),FALSE),"")</f>
        <v/>
      </c>
      <c r="CNH19" s="28" t="str">
        <f>IFERROR(VLOOKUP(DATE($K$1,$K$2,CNH$4),Table1[],(MATCH(Calendar!$A19,DB!$1:$1,0)),FALSE),"")</f>
        <v/>
      </c>
      <c r="CNI19" s="28" t="str">
        <f>IFERROR(VLOOKUP(DATE($K$1,$K$2,CNI$4),Table1[],(MATCH(Calendar!$A19,DB!$1:$1,0)),FALSE),"")</f>
        <v/>
      </c>
      <c r="CNJ19" s="28" t="str">
        <f>IFERROR(VLOOKUP(DATE($K$1,$K$2,CNJ$4),Table1[],(MATCH(Calendar!$A19,DB!$1:$1,0)),FALSE),"")</f>
        <v/>
      </c>
      <c r="CNK19" s="28" t="str">
        <f>IFERROR(VLOOKUP(DATE($K$1,$K$2,CNK$4),Table1[],(MATCH(Calendar!$A19,DB!$1:$1,0)),FALSE),"")</f>
        <v/>
      </c>
      <c r="CNL19" s="28" t="str">
        <f>IFERROR(VLOOKUP(DATE($K$1,$K$2,CNL$4),Table1[],(MATCH(Calendar!$A19,DB!$1:$1,0)),FALSE),"")</f>
        <v/>
      </c>
      <c r="CNM19" s="28" t="str">
        <f>IFERROR(VLOOKUP(DATE($K$1,$K$2,CNM$4),Table1[],(MATCH(Calendar!$A19,DB!$1:$1,0)),FALSE),"")</f>
        <v/>
      </c>
      <c r="CNN19" s="28" t="str">
        <f>IFERROR(VLOOKUP(DATE($K$1,$K$2,CNN$4),Table1[],(MATCH(Calendar!$A19,DB!$1:$1,0)),FALSE),"")</f>
        <v/>
      </c>
      <c r="CNO19" s="28" t="str">
        <f>IFERROR(VLOOKUP(DATE($K$1,$K$2,CNO$4),Table1[],(MATCH(Calendar!$A19,DB!$1:$1,0)),FALSE),"")</f>
        <v/>
      </c>
      <c r="CNP19" s="28" t="str">
        <f>IFERROR(VLOOKUP(DATE($K$1,$K$2,CNP$4),Table1[],(MATCH(Calendar!$A19,DB!$1:$1,0)),FALSE),"")</f>
        <v/>
      </c>
      <c r="CNQ19" s="28" t="str">
        <f>IFERROR(VLOOKUP(DATE($K$1,$K$2,CNQ$4),Table1[],(MATCH(Calendar!$A19,DB!$1:$1,0)),FALSE),"")</f>
        <v/>
      </c>
      <c r="CNR19" s="28" t="str">
        <f>IFERROR(VLOOKUP(DATE($K$1,$K$2,CNR$4),Table1[],(MATCH(Calendar!$A19,DB!$1:$1,0)),FALSE),"")</f>
        <v/>
      </c>
      <c r="CNS19" s="28" t="str">
        <f>IFERROR(VLOOKUP(DATE($K$1,$K$2,CNS$4),Table1[],(MATCH(Calendar!$A19,DB!$1:$1,0)),FALSE),"")</f>
        <v/>
      </c>
      <c r="CNT19" s="28" t="str">
        <f>IFERROR(VLOOKUP(DATE($K$1,$K$2,CNT$4),Table1[],(MATCH(Calendar!$A19,DB!$1:$1,0)),FALSE),"")</f>
        <v/>
      </c>
      <c r="CNU19" s="28" t="str">
        <f>IFERROR(VLOOKUP(DATE($K$1,$K$2,CNU$4),Table1[],(MATCH(Calendar!$A19,DB!$1:$1,0)),FALSE),"")</f>
        <v/>
      </c>
      <c r="CNV19" s="28" t="str">
        <f>IFERROR(VLOOKUP(DATE($K$1,$K$2,CNV$4),Table1[],(MATCH(Calendar!$A19,DB!$1:$1,0)),FALSE),"")</f>
        <v/>
      </c>
      <c r="CNW19" s="28" t="str">
        <f>IFERROR(VLOOKUP(DATE($K$1,$K$2,CNW$4),Table1[],(MATCH(Calendar!$A19,DB!$1:$1,0)),FALSE),"")</f>
        <v/>
      </c>
      <c r="CNX19" s="28" t="str">
        <f>IFERROR(VLOOKUP(DATE($K$1,$K$2,CNX$4),Table1[],(MATCH(Calendar!$A19,DB!$1:$1,0)),FALSE),"")</f>
        <v/>
      </c>
      <c r="CNY19" s="28" t="str">
        <f>IFERROR(VLOOKUP(DATE($K$1,$K$2,CNY$4),Table1[],(MATCH(Calendar!$A19,DB!$1:$1,0)),FALSE),"")</f>
        <v/>
      </c>
      <c r="CNZ19" s="28" t="str">
        <f>IFERROR(VLOOKUP(DATE($K$1,$K$2,CNZ$4),Table1[],(MATCH(Calendar!$A19,DB!$1:$1,0)),FALSE),"")</f>
        <v/>
      </c>
      <c r="COA19" s="28" t="str">
        <f>IFERROR(VLOOKUP(DATE($K$1,$K$2,COA$4),Table1[],(MATCH(Calendar!$A19,DB!$1:$1,0)),FALSE),"")</f>
        <v/>
      </c>
      <c r="COB19" s="28" t="str">
        <f>IFERROR(VLOOKUP(DATE($K$1,$K$2,COB$4),Table1[],(MATCH(Calendar!$A19,DB!$1:$1,0)),FALSE),"")</f>
        <v/>
      </c>
      <c r="COC19" s="28" t="str">
        <f>IFERROR(VLOOKUP(DATE($K$1,$K$2,COC$4),Table1[],(MATCH(Calendar!$A19,DB!$1:$1,0)),FALSE),"")</f>
        <v/>
      </c>
      <c r="COD19" s="28" t="str">
        <f>IFERROR(VLOOKUP(DATE($K$1,$K$2,COD$4),Table1[],(MATCH(Calendar!$A19,DB!$1:$1,0)),FALSE),"")</f>
        <v/>
      </c>
      <c r="COE19" s="28" t="str">
        <f>IFERROR(VLOOKUP(DATE($K$1,$K$2,COE$4),Table1[],(MATCH(Calendar!$A19,DB!$1:$1,0)),FALSE),"")</f>
        <v/>
      </c>
      <c r="COF19" s="28" t="str">
        <f>IFERROR(VLOOKUP(DATE($K$1,$K$2,COF$4),Table1[],(MATCH(Calendar!$A19,DB!$1:$1,0)),FALSE),"")</f>
        <v/>
      </c>
      <c r="COG19" s="28" t="str">
        <f>IFERROR(VLOOKUP(DATE($K$1,$K$2,COG$4),Table1[],(MATCH(Calendar!$A19,DB!$1:$1,0)),FALSE),"")</f>
        <v/>
      </c>
      <c r="COH19" s="28" t="str">
        <f>IFERROR(VLOOKUP(DATE($K$1,$K$2,COH$4),Table1[],(MATCH(Calendar!$A19,DB!$1:$1,0)),FALSE),"")</f>
        <v/>
      </c>
      <c r="COI19" s="28" t="str">
        <f>IFERROR(VLOOKUP(DATE($K$1,$K$2,COI$4),Table1[],(MATCH(Calendar!$A19,DB!$1:$1,0)),FALSE),"")</f>
        <v/>
      </c>
      <c r="COJ19" s="28" t="str">
        <f>IFERROR(VLOOKUP(DATE($K$1,$K$2,COJ$4),Table1[],(MATCH(Calendar!$A19,DB!$1:$1,0)),FALSE),"")</f>
        <v/>
      </c>
      <c r="COK19" s="28" t="str">
        <f>IFERROR(VLOOKUP(DATE($K$1,$K$2,COK$4),Table1[],(MATCH(Calendar!$A19,DB!$1:$1,0)),FALSE),"")</f>
        <v/>
      </c>
      <c r="COL19" s="28" t="str">
        <f>IFERROR(VLOOKUP(DATE($K$1,$K$2,COL$4),Table1[],(MATCH(Calendar!$A19,DB!$1:$1,0)),FALSE),"")</f>
        <v/>
      </c>
      <c r="COM19" s="28" t="str">
        <f>IFERROR(VLOOKUP(DATE($K$1,$K$2,COM$4),Table1[],(MATCH(Calendar!$A19,DB!$1:$1,0)),FALSE),"")</f>
        <v/>
      </c>
      <c r="CON19" s="28" t="str">
        <f>IFERROR(VLOOKUP(DATE($K$1,$K$2,CON$4),Table1[],(MATCH(Calendar!$A19,DB!$1:$1,0)),FALSE),"")</f>
        <v/>
      </c>
      <c r="COO19" s="28" t="str">
        <f>IFERROR(VLOOKUP(DATE($K$1,$K$2,COO$4),Table1[],(MATCH(Calendar!$A19,DB!$1:$1,0)),FALSE),"")</f>
        <v/>
      </c>
      <c r="COP19" s="28" t="str">
        <f>IFERROR(VLOOKUP(DATE($K$1,$K$2,COP$4),Table1[],(MATCH(Calendar!$A19,DB!$1:$1,0)),FALSE),"")</f>
        <v/>
      </c>
      <c r="COQ19" s="28" t="str">
        <f>IFERROR(VLOOKUP(DATE($K$1,$K$2,COQ$4),Table1[],(MATCH(Calendar!$A19,DB!$1:$1,0)),FALSE),"")</f>
        <v/>
      </c>
      <c r="COR19" s="28" t="str">
        <f>IFERROR(VLOOKUP(DATE($K$1,$K$2,COR$4),Table1[],(MATCH(Calendar!$A19,DB!$1:$1,0)),FALSE),"")</f>
        <v/>
      </c>
      <c r="COS19" s="28" t="str">
        <f>IFERROR(VLOOKUP(DATE($K$1,$K$2,COS$4),Table1[],(MATCH(Calendar!$A19,DB!$1:$1,0)),FALSE),"")</f>
        <v/>
      </c>
      <c r="COT19" s="28" t="str">
        <f>IFERROR(VLOOKUP(DATE($K$1,$K$2,COT$4),Table1[],(MATCH(Calendar!$A19,DB!$1:$1,0)),FALSE),"")</f>
        <v/>
      </c>
      <c r="COU19" s="28" t="str">
        <f>IFERROR(VLOOKUP(DATE($K$1,$K$2,COU$4),Table1[],(MATCH(Calendar!$A19,DB!$1:$1,0)),FALSE),"")</f>
        <v/>
      </c>
      <c r="COV19" s="28" t="str">
        <f>IFERROR(VLOOKUP(DATE($K$1,$K$2,COV$4),Table1[],(MATCH(Calendar!$A19,DB!$1:$1,0)),FALSE),"")</f>
        <v/>
      </c>
      <c r="COW19" s="28" t="str">
        <f>IFERROR(VLOOKUP(DATE($K$1,$K$2,COW$4),Table1[],(MATCH(Calendar!$A19,DB!$1:$1,0)),FALSE),"")</f>
        <v/>
      </c>
      <c r="COX19" s="28" t="str">
        <f>IFERROR(VLOOKUP(DATE($K$1,$K$2,COX$4),Table1[],(MATCH(Calendar!$A19,DB!$1:$1,0)),FALSE),"")</f>
        <v/>
      </c>
      <c r="COY19" s="28" t="str">
        <f>IFERROR(VLOOKUP(DATE($K$1,$K$2,COY$4),Table1[],(MATCH(Calendar!$A19,DB!$1:$1,0)),FALSE),"")</f>
        <v/>
      </c>
      <c r="COZ19" s="28" t="str">
        <f>IFERROR(VLOOKUP(DATE($K$1,$K$2,COZ$4),Table1[],(MATCH(Calendar!$A19,DB!$1:$1,0)),FALSE),"")</f>
        <v/>
      </c>
      <c r="CPA19" s="28" t="str">
        <f>IFERROR(VLOOKUP(DATE($K$1,$K$2,CPA$4),Table1[],(MATCH(Calendar!$A19,DB!$1:$1,0)),FALSE),"")</f>
        <v/>
      </c>
      <c r="CPB19" s="28" t="str">
        <f>IFERROR(VLOOKUP(DATE($K$1,$K$2,CPB$4),Table1[],(MATCH(Calendar!$A19,DB!$1:$1,0)),FALSE),"")</f>
        <v/>
      </c>
      <c r="CPC19" s="28" t="str">
        <f>IFERROR(VLOOKUP(DATE($K$1,$K$2,CPC$4),Table1[],(MATCH(Calendar!$A19,DB!$1:$1,0)),FALSE),"")</f>
        <v/>
      </c>
      <c r="CPD19" s="28" t="str">
        <f>IFERROR(VLOOKUP(DATE($K$1,$K$2,CPD$4),Table1[],(MATCH(Calendar!$A19,DB!$1:$1,0)),FALSE),"")</f>
        <v/>
      </c>
      <c r="CPE19" s="28" t="str">
        <f>IFERROR(VLOOKUP(DATE($K$1,$K$2,CPE$4),Table1[],(MATCH(Calendar!$A19,DB!$1:$1,0)),FALSE),"")</f>
        <v/>
      </c>
      <c r="CPF19" s="28" t="str">
        <f>IFERROR(VLOOKUP(DATE($K$1,$K$2,CPF$4),Table1[],(MATCH(Calendar!$A19,DB!$1:$1,0)),FALSE),"")</f>
        <v/>
      </c>
      <c r="CPG19" s="28" t="str">
        <f>IFERROR(VLOOKUP(DATE($K$1,$K$2,CPG$4),Table1[],(MATCH(Calendar!$A19,DB!$1:$1,0)),FALSE),"")</f>
        <v/>
      </c>
      <c r="CPH19" s="28" t="str">
        <f>IFERROR(VLOOKUP(DATE($K$1,$K$2,CPH$4),Table1[],(MATCH(Calendar!$A19,DB!$1:$1,0)),FALSE),"")</f>
        <v/>
      </c>
      <c r="CPI19" s="28" t="str">
        <f>IFERROR(VLOOKUP(DATE($K$1,$K$2,CPI$4),Table1[],(MATCH(Calendar!$A19,DB!$1:$1,0)),FALSE),"")</f>
        <v/>
      </c>
      <c r="CPJ19" s="28" t="str">
        <f>IFERROR(VLOOKUP(DATE($K$1,$K$2,CPJ$4),Table1[],(MATCH(Calendar!$A19,DB!$1:$1,0)),FALSE),"")</f>
        <v/>
      </c>
      <c r="CPK19" s="28" t="str">
        <f>IFERROR(VLOOKUP(DATE($K$1,$K$2,CPK$4),Table1[],(MATCH(Calendar!$A19,DB!$1:$1,0)),FALSE),"")</f>
        <v/>
      </c>
      <c r="CPL19" s="28" t="str">
        <f>IFERROR(VLOOKUP(DATE($K$1,$K$2,CPL$4),Table1[],(MATCH(Calendar!$A19,DB!$1:$1,0)),FALSE),"")</f>
        <v/>
      </c>
      <c r="CPM19" s="28" t="str">
        <f>IFERROR(VLOOKUP(DATE($K$1,$K$2,CPM$4),Table1[],(MATCH(Calendar!$A19,DB!$1:$1,0)),FALSE),"")</f>
        <v/>
      </c>
      <c r="CPN19" s="28" t="str">
        <f>IFERROR(VLOOKUP(DATE($K$1,$K$2,CPN$4),Table1[],(MATCH(Calendar!$A19,DB!$1:$1,0)),FALSE),"")</f>
        <v/>
      </c>
      <c r="CPO19" s="28" t="str">
        <f>IFERROR(VLOOKUP(DATE($K$1,$K$2,CPO$4),Table1[],(MATCH(Calendar!$A19,DB!$1:$1,0)),FALSE),"")</f>
        <v/>
      </c>
      <c r="CPP19" s="28" t="str">
        <f>IFERROR(VLOOKUP(DATE($K$1,$K$2,CPP$4),Table1[],(MATCH(Calendar!$A19,DB!$1:$1,0)),FALSE),"")</f>
        <v/>
      </c>
      <c r="CPQ19" s="28" t="str">
        <f>IFERROR(VLOOKUP(DATE($K$1,$K$2,CPQ$4),Table1[],(MATCH(Calendar!$A19,DB!$1:$1,0)),FALSE),"")</f>
        <v/>
      </c>
      <c r="CPR19" s="28" t="str">
        <f>IFERROR(VLOOKUP(DATE($K$1,$K$2,CPR$4),Table1[],(MATCH(Calendar!$A19,DB!$1:$1,0)),FALSE),"")</f>
        <v/>
      </c>
      <c r="CPS19" s="28" t="str">
        <f>IFERROR(VLOOKUP(DATE($K$1,$K$2,CPS$4),Table1[],(MATCH(Calendar!$A19,DB!$1:$1,0)),FALSE),"")</f>
        <v/>
      </c>
      <c r="CPT19" s="28" t="str">
        <f>IFERROR(VLOOKUP(DATE($K$1,$K$2,CPT$4),Table1[],(MATCH(Calendar!$A19,DB!$1:$1,0)),FALSE),"")</f>
        <v/>
      </c>
      <c r="CPU19" s="28" t="str">
        <f>IFERROR(VLOOKUP(DATE($K$1,$K$2,CPU$4),Table1[],(MATCH(Calendar!$A19,DB!$1:$1,0)),FALSE),"")</f>
        <v/>
      </c>
      <c r="CPV19" s="28" t="str">
        <f>IFERROR(VLOOKUP(DATE($K$1,$K$2,CPV$4),Table1[],(MATCH(Calendar!$A19,DB!$1:$1,0)),FALSE),"")</f>
        <v/>
      </c>
      <c r="CPW19" s="28" t="str">
        <f>IFERROR(VLOOKUP(DATE($K$1,$K$2,CPW$4),Table1[],(MATCH(Calendar!$A19,DB!$1:$1,0)),FALSE),"")</f>
        <v/>
      </c>
      <c r="CPX19" s="28" t="str">
        <f>IFERROR(VLOOKUP(DATE($K$1,$K$2,CPX$4),Table1[],(MATCH(Calendar!$A19,DB!$1:$1,0)),FALSE),"")</f>
        <v/>
      </c>
      <c r="CPY19" s="28" t="str">
        <f>IFERROR(VLOOKUP(DATE($K$1,$K$2,CPY$4),Table1[],(MATCH(Calendar!$A19,DB!$1:$1,0)),FALSE),"")</f>
        <v/>
      </c>
      <c r="CPZ19" s="28" t="str">
        <f>IFERROR(VLOOKUP(DATE($K$1,$K$2,CPZ$4),Table1[],(MATCH(Calendar!$A19,DB!$1:$1,0)),FALSE),"")</f>
        <v/>
      </c>
      <c r="CQA19" s="28" t="str">
        <f>IFERROR(VLOOKUP(DATE($K$1,$K$2,CQA$4),Table1[],(MATCH(Calendar!$A19,DB!$1:$1,0)),FALSE),"")</f>
        <v/>
      </c>
      <c r="CQB19" s="28" t="str">
        <f>IFERROR(VLOOKUP(DATE($K$1,$K$2,CQB$4),Table1[],(MATCH(Calendar!$A19,DB!$1:$1,0)),FALSE),"")</f>
        <v/>
      </c>
      <c r="CQC19" s="28" t="str">
        <f>IFERROR(VLOOKUP(DATE($K$1,$K$2,CQC$4),Table1[],(MATCH(Calendar!$A19,DB!$1:$1,0)),FALSE),"")</f>
        <v/>
      </c>
      <c r="CQD19" s="28" t="str">
        <f>IFERROR(VLOOKUP(DATE($K$1,$K$2,CQD$4),Table1[],(MATCH(Calendar!$A19,DB!$1:$1,0)),FALSE),"")</f>
        <v/>
      </c>
      <c r="CQE19" s="28" t="str">
        <f>IFERROR(VLOOKUP(DATE($K$1,$K$2,CQE$4),Table1[],(MATCH(Calendar!$A19,DB!$1:$1,0)),FALSE),"")</f>
        <v/>
      </c>
      <c r="CQF19" s="28" t="str">
        <f>IFERROR(VLOOKUP(DATE($K$1,$K$2,CQF$4),Table1[],(MATCH(Calendar!$A19,DB!$1:$1,0)),FALSE),"")</f>
        <v/>
      </c>
      <c r="CQG19" s="28" t="str">
        <f>IFERROR(VLOOKUP(DATE($K$1,$K$2,CQG$4),Table1[],(MATCH(Calendar!$A19,DB!$1:$1,0)),FALSE),"")</f>
        <v/>
      </c>
      <c r="CQH19" s="28" t="str">
        <f>IFERROR(VLOOKUP(DATE($K$1,$K$2,CQH$4),Table1[],(MATCH(Calendar!$A19,DB!$1:$1,0)),FALSE),"")</f>
        <v/>
      </c>
      <c r="CQI19" s="28" t="str">
        <f>IFERROR(VLOOKUP(DATE($K$1,$K$2,CQI$4),Table1[],(MATCH(Calendar!$A19,DB!$1:$1,0)),FALSE),"")</f>
        <v/>
      </c>
      <c r="CQJ19" s="28" t="str">
        <f>IFERROR(VLOOKUP(DATE($K$1,$K$2,CQJ$4),Table1[],(MATCH(Calendar!$A19,DB!$1:$1,0)),FALSE),"")</f>
        <v/>
      </c>
      <c r="CQK19" s="28" t="str">
        <f>IFERROR(VLOOKUP(DATE($K$1,$K$2,CQK$4),Table1[],(MATCH(Calendar!$A19,DB!$1:$1,0)),FALSE),"")</f>
        <v/>
      </c>
      <c r="CQL19" s="28" t="str">
        <f>IFERROR(VLOOKUP(DATE($K$1,$K$2,CQL$4),Table1[],(MATCH(Calendar!$A19,DB!$1:$1,0)),FALSE),"")</f>
        <v/>
      </c>
      <c r="CQM19" s="28" t="str">
        <f>IFERROR(VLOOKUP(DATE($K$1,$K$2,CQM$4),Table1[],(MATCH(Calendar!$A19,DB!$1:$1,0)),FALSE),"")</f>
        <v/>
      </c>
      <c r="CQN19" s="28" t="str">
        <f>IFERROR(VLOOKUP(DATE($K$1,$K$2,CQN$4),Table1[],(MATCH(Calendar!$A19,DB!$1:$1,0)),FALSE),"")</f>
        <v/>
      </c>
      <c r="CQO19" s="28" t="str">
        <f>IFERROR(VLOOKUP(DATE($K$1,$K$2,CQO$4),Table1[],(MATCH(Calendar!$A19,DB!$1:$1,0)),FALSE),"")</f>
        <v/>
      </c>
      <c r="CQP19" s="28" t="str">
        <f>IFERROR(VLOOKUP(DATE($K$1,$K$2,CQP$4),Table1[],(MATCH(Calendar!$A19,DB!$1:$1,0)),FALSE),"")</f>
        <v/>
      </c>
      <c r="CQQ19" s="28" t="str">
        <f>IFERROR(VLOOKUP(DATE($K$1,$K$2,CQQ$4),Table1[],(MATCH(Calendar!$A19,DB!$1:$1,0)),FALSE),"")</f>
        <v/>
      </c>
      <c r="CQR19" s="28" t="str">
        <f>IFERROR(VLOOKUP(DATE($K$1,$K$2,CQR$4),Table1[],(MATCH(Calendar!$A19,DB!$1:$1,0)),FALSE),"")</f>
        <v/>
      </c>
      <c r="CQS19" s="28" t="str">
        <f>IFERROR(VLOOKUP(DATE($K$1,$K$2,CQS$4),Table1[],(MATCH(Calendar!$A19,DB!$1:$1,0)),FALSE),"")</f>
        <v/>
      </c>
      <c r="CQT19" s="28" t="str">
        <f>IFERROR(VLOOKUP(DATE($K$1,$K$2,CQT$4),Table1[],(MATCH(Calendar!$A19,DB!$1:$1,0)),FALSE),"")</f>
        <v/>
      </c>
      <c r="CQU19" s="28" t="str">
        <f>IFERROR(VLOOKUP(DATE($K$1,$K$2,CQU$4),Table1[],(MATCH(Calendar!$A19,DB!$1:$1,0)),FALSE),"")</f>
        <v/>
      </c>
      <c r="CQV19" s="28" t="str">
        <f>IFERROR(VLOOKUP(DATE($K$1,$K$2,CQV$4),Table1[],(MATCH(Calendar!$A19,DB!$1:$1,0)),FALSE),"")</f>
        <v/>
      </c>
      <c r="CQW19" s="28" t="str">
        <f>IFERROR(VLOOKUP(DATE($K$1,$K$2,CQW$4),Table1[],(MATCH(Calendar!$A19,DB!$1:$1,0)),FALSE),"")</f>
        <v/>
      </c>
      <c r="CQX19" s="28" t="str">
        <f>IFERROR(VLOOKUP(DATE($K$1,$K$2,CQX$4),Table1[],(MATCH(Calendar!$A19,DB!$1:$1,0)),FALSE),"")</f>
        <v/>
      </c>
      <c r="CQY19" s="28" t="str">
        <f>IFERROR(VLOOKUP(DATE($K$1,$K$2,CQY$4),Table1[],(MATCH(Calendar!$A19,DB!$1:$1,0)),FALSE),"")</f>
        <v/>
      </c>
      <c r="CQZ19" s="28" t="str">
        <f>IFERROR(VLOOKUP(DATE($K$1,$K$2,CQZ$4),Table1[],(MATCH(Calendar!$A19,DB!$1:$1,0)),FALSE),"")</f>
        <v/>
      </c>
      <c r="CRA19" s="28" t="str">
        <f>IFERROR(VLOOKUP(DATE($K$1,$K$2,CRA$4),Table1[],(MATCH(Calendar!$A19,DB!$1:$1,0)),FALSE),"")</f>
        <v/>
      </c>
      <c r="CRB19" s="28" t="str">
        <f>IFERROR(VLOOKUP(DATE($K$1,$K$2,CRB$4),Table1[],(MATCH(Calendar!$A19,DB!$1:$1,0)),FALSE),"")</f>
        <v/>
      </c>
      <c r="CRC19" s="28" t="str">
        <f>IFERROR(VLOOKUP(DATE($K$1,$K$2,CRC$4),Table1[],(MATCH(Calendar!$A19,DB!$1:$1,0)),FALSE),"")</f>
        <v/>
      </c>
      <c r="CRD19" s="28" t="str">
        <f>IFERROR(VLOOKUP(DATE($K$1,$K$2,CRD$4),Table1[],(MATCH(Calendar!$A19,DB!$1:$1,0)),FALSE),"")</f>
        <v/>
      </c>
      <c r="CRE19" s="28" t="str">
        <f>IFERROR(VLOOKUP(DATE($K$1,$K$2,CRE$4),Table1[],(MATCH(Calendar!$A19,DB!$1:$1,0)),FALSE),"")</f>
        <v/>
      </c>
      <c r="CRF19" s="28" t="str">
        <f>IFERROR(VLOOKUP(DATE($K$1,$K$2,CRF$4),Table1[],(MATCH(Calendar!$A19,DB!$1:$1,0)),FALSE),"")</f>
        <v/>
      </c>
      <c r="CRG19" s="28" t="str">
        <f>IFERROR(VLOOKUP(DATE($K$1,$K$2,CRG$4),Table1[],(MATCH(Calendar!$A19,DB!$1:$1,0)),FALSE),"")</f>
        <v/>
      </c>
      <c r="CRH19" s="28" t="str">
        <f>IFERROR(VLOOKUP(DATE($K$1,$K$2,CRH$4),Table1[],(MATCH(Calendar!$A19,DB!$1:$1,0)),FALSE),"")</f>
        <v/>
      </c>
      <c r="CRI19" s="28" t="str">
        <f>IFERROR(VLOOKUP(DATE($K$1,$K$2,CRI$4),Table1[],(MATCH(Calendar!$A19,DB!$1:$1,0)),FALSE),"")</f>
        <v/>
      </c>
      <c r="CRJ19" s="28" t="str">
        <f>IFERROR(VLOOKUP(DATE($K$1,$K$2,CRJ$4),Table1[],(MATCH(Calendar!$A19,DB!$1:$1,0)),FALSE),"")</f>
        <v/>
      </c>
      <c r="CRK19" s="28" t="str">
        <f>IFERROR(VLOOKUP(DATE($K$1,$K$2,CRK$4),Table1[],(MATCH(Calendar!$A19,DB!$1:$1,0)),FALSE),"")</f>
        <v/>
      </c>
      <c r="CRL19" s="28" t="str">
        <f>IFERROR(VLOOKUP(DATE($K$1,$K$2,CRL$4),Table1[],(MATCH(Calendar!$A19,DB!$1:$1,0)),FALSE),"")</f>
        <v/>
      </c>
      <c r="CRM19" s="28" t="str">
        <f>IFERROR(VLOOKUP(DATE($K$1,$K$2,CRM$4),Table1[],(MATCH(Calendar!$A19,DB!$1:$1,0)),FALSE),"")</f>
        <v/>
      </c>
      <c r="CRN19" s="28" t="str">
        <f>IFERROR(VLOOKUP(DATE($K$1,$K$2,CRN$4),Table1[],(MATCH(Calendar!$A19,DB!$1:$1,0)),FALSE),"")</f>
        <v/>
      </c>
      <c r="CRO19" s="28" t="str">
        <f>IFERROR(VLOOKUP(DATE($K$1,$K$2,CRO$4),Table1[],(MATCH(Calendar!$A19,DB!$1:$1,0)),FALSE),"")</f>
        <v/>
      </c>
      <c r="CRP19" s="28" t="str">
        <f>IFERROR(VLOOKUP(DATE($K$1,$K$2,CRP$4),Table1[],(MATCH(Calendar!$A19,DB!$1:$1,0)),FALSE),"")</f>
        <v/>
      </c>
      <c r="CRQ19" s="28" t="str">
        <f>IFERROR(VLOOKUP(DATE($K$1,$K$2,CRQ$4),Table1[],(MATCH(Calendar!$A19,DB!$1:$1,0)),FALSE),"")</f>
        <v/>
      </c>
      <c r="CRR19" s="28" t="str">
        <f>IFERROR(VLOOKUP(DATE($K$1,$K$2,CRR$4),Table1[],(MATCH(Calendar!$A19,DB!$1:$1,0)),FALSE),"")</f>
        <v/>
      </c>
      <c r="CRS19" s="28" t="str">
        <f>IFERROR(VLOOKUP(DATE($K$1,$K$2,CRS$4),Table1[],(MATCH(Calendar!$A19,DB!$1:$1,0)),FALSE),"")</f>
        <v/>
      </c>
      <c r="CRT19" s="28" t="str">
        <f>IFERROR(VLOOKUP(DATE($K$1,$K$2,CRT$4),Table1[],(MATCH(Calendar!$A19,DB!$1:$1,0)),FALSE),"")</f>
        <v/>
      </c>
      <c r="CRU19" s="28" t="str">
        <f>IFERROR(VLOOKUP(DATE($K$1,$K$2,CRU$4),Table1[],(MATCH(Calendar!$A19,DB!$1:$1,0)),FALSE),"")</f>
        <v/>
      </c>
      <c r="CRV19" s="28" t="str">
        <f>IFERROR(VLOOKUP(DATE($K$1,$K$2,CRV$4),Table1[],(MATCH(Calendar!$A19,DB!$1:$1,0)),FALSE),"")</f>
        <v/>
      </c>
      <c r="CRW19" s="28" t="str">
        <f>IFERROR(VLOOKUP(DATE($K$1,$K$2,CRW$4),Table1[],(MATCH(Calendar!$A19,DB!$1:$1,0)),FALSE),"")</f>
        <v/>
      </c>
      <c r="CRX19" s="28" t="str">
        <f>IFERROR(VLOOKUP(DATE($K$1,$K$2,CRX$4),Table1[],(MATCH(Calendar!$A19,DB!$1:$1,0)),FALSE),"")</f>
        <v/>
      </c>
      <c r="CRY19" s="28" t="str">
        <f>IFERROR(VLOOKUP(DATE($K$1,$K$2,CRY$4),Table1[],(MATCH(Calendar!$A19,DB!$1:$1,0)),FALSE),"")</f>
        <v/>
      </c>
      <c r="CRZ19" s="28" t="str">
        <f>IFERROR(VLOOKUP(DATE($K$1,$K$2,CRZ$4),Table1[],(MATCH(Calendar!$A19,DB!$1:$1,0)),FALSE),"")</f>
        <v/>
      </c>
      <c r="CSA19" s="28" t="str">
        <f>IFERROR(VLOOKUP(DATE($K$1,$K$2,CSA$4),Table1[],(MATCH(Calendar!$A19,DB!$1:$1,0)),FALSE),"")</f>
        <v/>
      </c>
      <c r="CSB19" s="28" t="str">
        <f>IFERROR(VLOOKUP(DATE($K$1,$K$2,CSB$4),Table1[],(MATCH(Calendar!$A19,DB!$1:$1,0)),FALSE),"")</f>
        <v/>
      </c>
      <c r="CSC19" s="28" t="str">
        <f>IFERROR(VLOOKUP(DATE($K$1,$K$2,CSC$4),Table1[],(MATCH(Calendar!$A19,DB!$1:$1,0)),FALSE),"")</f>
        <v/>
      </c>
      <c r="CSD19" s="28" t="str">
        <f>IFERROR(VLOOKUP(DATE($K$1,$K$2,CSD$4),Table1[],(MATCH(Calendar!$A19,DB!$1:$1,0)),FALSE),"")</f>
        <v/>
      </c>
      <c r="CSE19" s="28" t="str">
        <f>IFERROR(VLOOKUP(DATE($K$1,$K$2,CSE$4),Table1[],(MATCH(Calendar!$A19,DB!$1:$1,0)),FALSE),"")</f>
        <v/>
      </c>
      <c r="CSF19" s="28" t="str">
        <f>IFERROR(VLOOKUP(DATE($K$1,$K$2,CSF$4),Table1[],(MATCH(Calendar!$A19,DB!$1:$1,0)),FALSE),"")</f>
        <v/>
      </c>
      <c r="CSG19" s="28" t="str">
        <f>IFERROR(VLOOKUP(DATE($K$1,$K$2,CSG$4),Table1[],(MATCH(Calendar!$A19,DB!$1:$1,0)),FALSE),"")</f>
        <v/>
      </c>
      <c r="CSH19" s="28" t="str">
        <f>IFERROR(VLOOKUP(DATE($K$1,$K$2,CSH$4),Table1[],(MATCH(Calendar!$A19,DB!$1:$1,0)),FALSE),"")</f>
        <v/>
      </c>
      <c r="CSI19" s="28" t="str">
        <f>IFERROR(VLOOKUP(DATE($K$1,$K$2,CSI$4),Table1[],(MATCH(Calendar!$A19,DB!$1:$1,0)),FALSE),"")</f>
        <v/>
      </c>
      <c r="CSJ19" s="28" t="str">
        <f>IFERROR(VLOOKUP(DATE($K$1,$K$2,CSJ$4),Table1[],(MATCH(Calendar!$A19,DB!$1:$1,0)),FALSE),"")</f>
        <v/>
      </c>
      <c r="CSK19" s="28" t="str">
        <f>IFERROR(VLOOKUP(DATE($K$1,$K$2,CSK$4),Table1[],(MATCH(Calendar!$A19,DB!$1:$1,0)),FALSE),"")</f>
        <v/>
      </c>
      <c r="CSL19" s="28" t="str">
        <f>IFERROR(VLOOKUP(DATE($K$1,$K$2,CSL$4),Table1[],(MATCH(Calendar!$A19,DB!$1:$1,0)),FALSE),"")</f>
        <v/>
      </c>
      <c r="CSM19" s="28" t="str">
        <f>IFERROR(VLOOKUP(DATE($K$1,$K$2,CSM$4),Table1[],(MATCH(Calendar!$A19,DB!$1:$1,0)),FALSE),"")</f>
        <v/>
      </c>
      <c r="CSN19" s="28" t="str">
        <f>IFERROR(VLOOKUP(DATE($K$1,$K$2,CSN$4),Table1[],(MATCH(Calendar!$A19,DB!$1:$1,0)),FALSE),"")</f>
        <v/>
      </c>
      <c r="CSO19" s="28" t="str">
        <f>IFERROR(VLOOKUP(DATE($K$1,$K$2,CSO$4),Table1[],(MATCH(Calendar!$A19,DB!$1:$1,0)),FALSE),"")</f>
        <v/>
      </c>
      <c r="CSP19" s="28" t="str">
        <f>IFERROR(VLOOKUP(DATE($K$1,$K$2,CSP$4),Table1[],(MATCH(Calendar!$A19,DB!$1:$1,0)),FALSE),"")</f>
        <v/>
      </c>
      <c r="CSQ19" s="28" t="str">
        <f>IFERROR(VLOOKUP(DATE($K$1,$K$2,CSQ$4),Table1[],(MATCH(Calendar!$A19,DB!$1:$1,0)),FALSE),"")</f>
        <v/>
      </c>
      <c r="CSR19" s="28" t="str">
        <f>IFERROR(VLOOKUP(DATE($K$1,$K$2,CSR$4),Table1[],(MATCH(Calendar!$A19,DB!$1:$1,0)),FALSE),"")</f>
        <v/>
      </c>
      <c r="CSS19" s="28" t="str">
        <f>IFERROR(VLOOKUP(DATE($K$1,$K$2,CSS$4),Table1[],(MATCH(Calendar!$A19,DB!$1:$1,0)),FALSE),"")</f>
        <v/>
      </c>
      <c r="CST19" s="28" t="str">
        <f>IFERROR(VLOOKUP(DATE($K$1,$K$2,CST$4),Table1[],(MATCH(Calendar!$A19,DB!$1:$1,0)),FALSE),"")</f>
        <v/>
      </c>
      <c r="CSU19" s="28" t="str">
        <f>IFERROR(VLOOKUP(DATE($K$1,$K$2,CSU$4),Table1[],(MATCH(Calendar!$A19,DB!$1:$1,0)),FALSE),"")</f>
        <v/>
      </c>
      <c r="CSV19" s="28" t="str">
        <f>IFERROR(VLOOKUP(DATE($K$1,$K$2,CSV$4),Table1[],(MATCH(Calendar!$A19,DB!$1:$1,0)),FALSE),"")</f>
        <v/>
      </c>
      <c r="CSW19" s="28" t="str">
        <f>IFERROR(VLOOKUP(DATE($K$1,$K$2,CSW$4),Table1[],(MATCH(Calendar!$A19,DB!$1:$1,0)),FALSE),"")</f>
        <v/>
      </c>
      <c r="CSX19" s="28" t="str">
        <f>IFERROR(VLOOKUP(DATE($K$1,$K$2,CSX$4),Table1[],(MATCH(Calendar!$A19,DB!$1:$1,0)),FALSE),"")</f>
        <v/>
      </c>
      <c r="CSY19" s="28" t="str">
        <f>IFERROR(VLOOKUP(DATE($K$1,$K$2,CSY$4),Table1[],(MATCH(Calendar!$A19,DB!$1:$1,0)),FALSE),"")</f>
        <v/>
      </c>
      <c r="CSZ19" s="28" t="str">
        <f>IFERROR(VLOOKUP(DATE($K$1,$K$2,CSZ$4),Table1[],(MATCH(Calendar!$A19,DB!$1:$1,0)),FALSE),"")</f>
        <v/>
      </c>
      <c r="CTA19" s="28" t="str">
        <f>IFERROR(VLOOKUP(DATE($K$1,$K$2,CTA$4),Table1[],(MATCH(Calendar!$A19,DB!$1:$1,0)),FALSE),"")</f>
        <v/>
      </c>
      <c r="CTB19" s="28" t="str">
        <f>IFERROR(VLOOKUP(DATE($K$1,$K$2,CTB$4),Table1[],(MATCH(Calendar!$A19,DB!$1:$1,0)),FALSE),"")</f>
        <v/>
      </c>
      <c r="CTC19" s="28" t="str">
        <f>IFERROR(VLOOKUP(DATE($K$1,$K$2,CTC$4),Table1[],(MATCH(Calendar!$A19,DB!$1:$1,0)),FALSE),"")</f>
        <v/>
      </c>
      <c r="CTD19" s="28" t="str">
        <f>IFERROR(VLOOKUP(DATE($K$1,$K$2,CTD$4),Table1[],(MATCH(Calendar!$A19,DB!$1:$1,0)),FALSE),"")</f>
        <v/>
      </c>
      <c r="CTE19" s="28" t="str">
        <f>IFERROR(VLOOKUP(DATE($K$1,$K$2,CTE$4),Table1[],(MATCH(Calendar!$A19,DB!$1:$1,0)),FALSE),"")</f>
        <v/>
      </c>
      <c r="CTF19" s="28" t="str">
        <f>IFERROR(VLOOKUP(DATE($K$1,$K$2,CTF$4),Table1[],(MATCH(Calendar!$A19,DB!$1:$1,0)),FALSE),"")</f>
        <v/>
      </c>
      <c r="CTG19" s="28" t="str">
        <f>IFERROR(VLOOKUP(DATE($K$1,$K$2,CTG$4),Table1[],(MATCH(Calendar!$A19,DB!$1:$1,0)),FALSE),"")</f>
        <v/>
      </c>
      <c r="CTH19" s="28" t="str">
        <f>IFERROR(VLOOKUP(DATE($K$1,$K$2,CTH$4),Table1[],(MATCH(Calendar!$A19,DB!$1:$1,0)),FALSE),"")</f>
        <v/>
      </c>
      <c r="CTI19" s="28" t="str">
        <f>IFERROR(VLOOKUP(DATE($K$1,$K$2,CTI$4),Table1[],(MATCH(Calendar!$A19,DB!$1:$1,0)),FALSE),"")</f>
        <v/>
      </c>
      <c r="CTJ19" s="28" t="str">
        <f>IFERROR(VLOOKUP(DATE($K$1,$K$2,CTJ$4),Table1[],(MATCH(Calendar!$A19,DB!$1:$1,0)),FALSE),"")</f>
        <v/>
      </c>
      <c r="CTK19" s="28" t="str">
        <f>IFERROR(VLOOKUP(DATE($K$1,$K$2,CTK$4),Table1[],(MATCH(Calendar!$A19,DB!$1:$1,0)),FALSE),"")</f>
        <v/>
      </c>
      <c r="CTL19" s="28" t="str">
        <f>IFERROR(VLOOKUP(DATE($K$1,$K$2,CTL$4),Table1[],(MATCH(Calendar!$A19,DB!$1:$1,0)),FALSE),"")</f>
        <v/>
      </c>
      <c r="CTM19" s="28" t="str">
        <f>IFERROR(VLOOKUP(DATE($K$1,$K$2,CTM$4),Table1[],(MATCH(Calendar!$A19,DB!$1:$1,0)),FALSE),"")</f>
        <v/>
      </c>
      <c r="CTN19" s="28" t="str">
        <f>IFERROR(VLOOKUP(DATE($K$1,$K$2,CTN$4),Table1[],(MATCH(Calendar!$A19,DB!$1:$1,0)),FALSE),"")</f>
        <v/>
      </c>
      <c r="CTO19" s="28" t="str">
        <f>IFERROR(VLOOKUP(DATE($K$1,$K$2,CTO$4),Table1[],(MATCH(Calendar!$A19,DB!$1:$1,0)),FALSE),"")</f>
        <v/>
      </c>
      <c r="CTP19" s="28" t="str">
        <f>IFERROR(VLOOKUP(DATE($K$1,$K$2,CTP$4),Table1[],(MATCH(Calendar!$A19,DB!$1:$1,0)),FALSE),"")</f>
        <v/>
      </c>
      <c r="CTQ19" s="28" t="str">
        <f>IFERROR(VLOOKUP(DATE($K$1,$K$2,CTQ$4),Table1[],(MATCH(Calendar!$A19,DB!$1:$1,0)),FALSE),"")</f>
        <v/>
      </c>
      <c r="CTR19" s="28" t="str">
        <f>IFERROR(VLOOKUP(DATE($K$1,$K$2,CTR$4),Table1[],(MATCH(Calendar!$A19,DB!$1:$1,0)),FALSE),"")</f>
        <v/>
      </c>
      <c r="CTS19" s="28" t="str">
        <f>IFERROR(VLOOKUP(DATE($K$1,$K$2,CTS$4),Table1[],(MATCH(Calendar!$A19,DB!$1:$1,0)),FALSE),"")</f>
        <v/>
      </c>
      <c r="CTT19" s="28" t="str">
        <f>IFERROR(VLOOKUP(DATE($K$1,$K$2,CTT$4),Table1[],(MATCH(Calendar!$A19,DB!$1:$1,0)),FALSE),"")</f>
        <v/>
      </c>
      <c r="CTU19" s="28" t="str">
        <f>IFERROR(VLOOKUP(DATE($K$1,$K$2,CTU$4),Table1[],(MATCH(Calendar!$A19,DB!$1:$1,0)),FALSE),"")</f>
        <v/>
      </c>
      <c r="CTV19" s="28" t="str">
        <f>IFERROR(VLOOKUP(DATE($K$1,$K$2,CTV$4),Table1[],(MATCH(Calendar!$A19,DB!$1:$1,0)),FALSE),"")</f>
        <v/>
      </c>
      <c r="CTW19" s="28" t="str">
        <f>IFERROR(VLOOKUP(DATE($K$1,$K$2,CTW$4),Table1[],(MATCH(Calendar!$A19,DB!$1:$1,0)),FALSE),"")</f>
        <v/>
      </c>
      <c r="CTX19" s="28" t="str">
        <f>IFERROR(VLOOKUP(DATE($K$1,$K$2,CTX$4),Table1[],(MATCH(Calendar!$A19,DB!$1:$1,0)),FALSE),"")</f>
        <v/>
      </c>
      <c r="CTY19" s="28" t="str">
        <f>IFERROR(VLOOKUP(DATE($K$1,$K$2,CTY$4),Table1[],(MATCH(Calendar!$A19,DB!$1:$1,0)),FALSE),"")</f>
        <v/>
      </c>
      <c r="CTZ19" s="28" t="str">
        <f>IFERROR(VLOOKUP(DATE($K$1,$K$2,CTZ$4),Table1[],(MATCH(Calendar!$A19,DB!$1:$1,0)),FALSE),"")</f>
        <v/>
      </c>
      <c r="CUA19" s="28" t="str">
        <f>IFERROR(VLOOKUP(DATE($K$1,$K$2,CUA$4),Table1[],(MATCH(Calendar!$A19,DB!$1:$1,0)),FALSE),"")</f>
        <v/>
      </c>
      <c r="CUB19" s="28" t="str">
        <f>IFERROR(VLOOKUP(DATE($K$1,$K$2,CUB$4),Table1[],(MATCH(Calendar!$A19,DB!$1:$1,0)),FALSE),"")</f>
        <v/>
      </c>
      <c r="CUC19" s="28" t="str">
        <f>IFERROR(VLOOKUP(DATE($K$1,$K$2,CUC$4),Table1[],(MATCH(Calendar!$A19,DB!$1:$1,0)),FALSE),"")</f>
        <v/>
      </c>
      <c r="CUD19" s="28" t="str">
        <f>IFERROR(VLOOKUP(DATE($K$1,$K$2,CUD$4),Table1[],(MATCH(Calendar!$A19,DB!$1:$1,0)),FALSE),"")</f>
        <v/>
      </c>
      <c r="CUE19" s="28" t="str">
        <f>IFERROR(VLOOKUP(DATE($K$1,$K$2,CUE$4),Table1[],(MATCH(Calendar!$A19,DB!$1:$1,0)),FALSE),"")</f>
        <v/>
      </c>
      <c r="CUF19" s="28" t="str">
        <f>IFERROR(VLOOKUP(DATE($K$1,$K$2,CUF$4),Table1[],(MATCH(Calendar!$A19,DB!$1:$1,0)),FALSE),"")</f>
        <v/>
      </c>
      <c r="CUG19" s="28" t="str">
        <f>IFERROR(VLOOKUP(DATE($K$1,$K$2,CUG$4),Table1[],(MATCH(Calendar!$A19,DB!$1:$1,0)),FALSE),"")</f>
        <v/>
      </c>
      <c r="CUH19" s="28" t="str">
        <f>IFERROR(VLOOKUP(DATE($K$1,$K$2,CUH$4),Table1[],(MATCH(Calendar!$A19,DB!$1:$1,0)),FALSE),"")</f>
        <v/>
      </c>
      <c r="CUI19" s="28" t="str">
        <f>IFERROR(VLOOKUP(DATE($K$1,$K$2,CUI$4),Table1[],(MATCH(Calendar!$A19,DB!$1:$1,0)),FALSE),"")</f>
        <v/>
      </c>
      <c r="CUJ19" s="28" t="str">
        <f>IFERROR(VLOOKUP(DATE($K$1,$K$2,CUJ$4),Table1[],(MATCH(Calendar!$A19,DB!$1:$1,0)),FALSE),"")</f>
        <v/>
      </c>
      <c r="CUK19" s="28" t="str">
        <f>IFERROR(VLOOKUP(DATE($K$1,$K$2,CUK$4),Table1[],(MATCH(Calendar!$A19,DB!$1:$1,0)),FALSE),"")</f>
        <v/>
      </c>
      <c r="CUL19" s="28" t="str">
        <f>IFERROR(VLOOKUP(DATE($K$1,$K$2,CUL$4),Table1[],(MATCH(Calendar!$A19,DB!$1:$1,0)),FALSE),"")</f>
        <v/>
      </c>
      <c r="CUM19" s="28" t="str">
        <f>IFERROR(VLOOKUP(DATE($K$1,$K$2,CUM$4),Table1[],(MATCH(Calendar!$A19,DB!$1:$1,0)),FALSE),"")</f>
        <v/>
      </c>
      <c r="CUN19" s="28" t="str">
        <f>IFERROR(VLOOKUP(DATE($K$1,$K$2,CUN$4),Table1[],(MATCH(Calendar!$A19,DB!$1:$1,0)),FALSE),"")</f>
        <v/>
      </c>
      <c r="CUO19" s="28" t="str">
        <f>IFERROR(VLOOKUP(DATE($K$1,$K$2,CUO$4),Table1[],(MATCH(Calendar!$A19,DB!$1:$1,0)),FALSE),"")</f>
        <v/>
      </c>
      <c r="CUP19" s="28" t="str">
        <f>IFERROR(VLOOKUP(DATE($K$1,$K$2,CUP$4),Table1[],(MATCH(Calendar!$A19,DB!$1:$1,0)),FALSE),"")</f>
        <v/>
      </c>
      <c r="CUQ19" s="28" t="str">
        <f>IFERROR(VLOOKUP(DATE($K$1,$K$2,CUQ$4),Table1[],(MATCH(Calendar!$A19,DB!$1:$1,0)),FALSE),"")</f>
        <v/>
      </c>
      <c r="CUR19" s="28" t="str">
        <f>IFERROR(VLOOKUP(DATE($K$1,$K$2,CUR$4),Table1[],(MATCH(Calendar!$A19,DB!$1:$1,0)),FALSE),"")</f>
        <v/>
      </c>
      <c r="CUS19" s="28" t="str">
        <f>IFERROR(VLOOKUP(DATE($K$1,$K$2,CUS$4),Table1[],(MATCH(Calendar!$A19,DB!$1:$1,0)),FALSE),"")</f>
        <v/>
      </c>
      <c r="CUT19" s="28" t="str">
        <f>IFERROR(VLOOKUP(DATE($K$1,$K$2,CUT$4),Table1[],(MATCH(Calendar!$A19,DB!$1:$1,0)),FALSE),"")</f>
        <v/>
      </c>
      <c r="CUU19" s="28" t="str">
        <f>IFERROR(VLOOKUP(DATE($K$1,$K$2,CUU$4),Table1[],(MATCH(Calendar!$A19,DB!$1:$1,0)),FALSE),"")</f>
        <v/>
      </c>
      <c r="CUV19" s="28" t="str">
        <f>IFERROR(VLOOKUP(DATE($K$1,$K$2,CUV$4),Table1[],(MATCH(Calendar!$A19,DB!$1:$1,0)),FALSE),"")</f>
        <v/>
      </c>
      <c r="CUW19" s="28" t="str">
        <f>IFERROR(VLOOKUP(DATE($K$1,$K$2,CUW$4),Table1[],(MATCH(Calendar!$A19,DB!$1:$1,0)),FALSE),"")</f>
        <v/>
      </c>
      <c r="CUX19" s="28" t="str">
        <f>IFERROR(VLOOKUP(DATE($K$1,$K$2,CUX$4),Table1[],(MATCH(Calendar!$A19,DB!$1:$1,0)),FALSE),"")</f>
        <v/>
      </c>
      <c r="CUY19" s="28" t="str">
        <f>IFERROR(VLOOKUP(DATE($K$1,$K$2,CUY$4),Table1[],(MATCH(Calendar!$A19,DB!$1:$1,0)),FALSE),"")</f>
        <v/>
      </c>
      <c r="CUZ19" s="28" t="str">
        <f>IFERROR(VLOOKUP(DATE($K$1,$K$2,CUZ$4),Table1[],(MATCH(Calendar!$A19,DB!$1:$1,0)),FALSE),"")</f>
        <v/>
      </c>
      <c r="CVA19" s="28" t="str">
        <f>IFERROR(VLOOKUP(DATE($K$1,$K$2,CVA$4),Table1[],(MATCH(Calendar!$A19,DB!$1:$1,0)),FALSE),"")</f>
        <v/>
      </c>
      <c r="CVB19" s="28" t="str">
        <f>IFERROR(VLOOKUP(DATE($K$1,$K$2,CVB$4),Table1[],(MATCH(Calendar!$A19,DB!$1:$1,0)),FALSE),"")</f>
        <v/>
      </c>
      <c r="CVC19" s="28" t="str">
        <f>IFERROR(VLOOKUP(DATE($K$1,$K$2,CVC$4),Table1[],(MATCH(Calendar!$A19,DB!$1:$1,0)),FALSE),"")</f>
        <v/>
      </c>
      <c r="CVD19" s="28" t="str">
        <f>IFERROR(VLOOKUP(DATE($K$1,$K$2,CVD$4),Table1[],(MATCH(Calendar!$A19,DB!$1:$1,0)),FALSE),"")</f>
        <v/>
      </c>
      <c r="CVE19" s="28" t="str">
        <f>IFERROR(VLOOKUP(DATE($K$1,$K$2,CVE$4),Table1[],(MATCH(Calendar!$A19,DB!$1:$1,0)),FALSE),"")</f>
        <v/>
      </c>
      <c r="CVF19" s="28" t="str">
        <f>IFERROR(VLOOKUP(DATE($K$1,$K$2,CVF$4),Table1[],(MATCH(Calendar!$A19,DB!$1:$1,0)),FALSE),"")</f>
        <v/>
      </c>
      <c r="CVG19" s="28" t="str">
        <f>IFERROR(VLOOKUP(DATE($K$1,$K$2,CVG$4),Table1[],(MATCH(Calendar!$A19,DB!$1:$1,0)),FALSE),"")</f>
        <v/>
      </c>
      <c r="CVH19" s="28" t="str">
        <f>IFERROR(VLOOKUP(DATE($K$1,$K$2,CVH$4),Table1[],(MATCH(Calendar!$A19,DB!$1:$1,0)),FALSE),"")</f>
        <v/>
      </c>
      <c r="CVI19" s="28" t="str">
        <f>IFERROR(VLOOKUP(DATE($K$1,$K$2,CVI$4),Table1[],(MATCH(Calendar!$A19,DB!$1:$1,0)),FALSE),"")</f>
        <v/>
      </c>
      <c r="CVJ19" s="28" t="str">
        <f>IFERROR(VLOOKUP(DATE($K$1,$K$2,CVJ$4),Table1[],(MATCH(Calendar!$A19,DB!$1:$1,0)),FALSE),"")</f>
        <v/>
      </c>
      <c r="CVK19" s="28" t="str">
        <f>IFERROR(VLOOKUP(DATE($K$1,$K$2,CVK$4),Table1[],(MATCH(Calendar!$A19,DB!$1:$1,0)),FALSE),"")</f>
        <v/>
      </c>
      <c r="CVL19" s="28" t="str">
        <f>IFERROR(VLOOKUP(DATE($K$1,$K$2,CVL$4),Table1[],(MATCH(Calendar!$A19,DB!$1:$1,0)),FALSE),"")</f>
        <v/>
      </c>
      <c r="CVM19" s="28" t="str">
        <f>IFERROR(VLOOKUP(DATE($K$1,$K$2,CVM$4),Table1[],(MATCH(Calendar!$A19,DB!$1:$1,0)),FALSE),"")</f>
        <v/>
      </c>
      <c r="CVN19" s="28" t="str">
        <f>IFERROR(VLOOKUP(DATE($K$1,$K$2,CVN$4),Table1[],(MATCH(Calendar!$A19,DB!$1:$1,0)),FALSE),"")</f>
        <v/>
      </c>
      <c r="CVO19" s="28" t="str">
        <f>IFERROR(VLOOKUP(DATE($K$1,$K$2,CVO$4),Table1[],(MATCH(Calendar!$A19,DB!$1:$1,0)),FALSE),"")</f>
        <v/>
      </c>
      <c r="CVP19" s="28" t="str">
        <f>IFERROR(VLOOKUP(DATE($K$1,$K$2,CVP$4),Table1[],(MATCH(Calendar!$A19,DB!$1:$1,0)),FALSE),"")</f>
        <v/>
      </c>
      <c r="CVQ19" s="28" t="str">
        <f>IFERROR(VLOOKUP(DATE($K$1,$K$2,CVQ$4),Table1[],(MATCH(Calendar!$A19,DB!$1:$1,0)),FALSE),"")</f>
        <v/>
      </c>
      <c r="CVR19" s="28" t="str">
        <f>IFERROR(VLOOKUP(DATE($K$1,$K$2,CVR$4),Table1[],(MATCH(Calendar!$A19,DB!$1:$1,0)),FALSE),"")</f>
        <v/>
      </c>
      <c r="CVS19" s="28" t="str">
        <f>IFERROR(VLOOKUP(DATE($K$1,$K$2,CVS$4),Table1[],(MATCH(Calendar!$A19,DB!$1:$1,0)),FALSE),"")</f>
        <v/>
      </c>
      <c r="CVT19" s="28" t="str">
        <f>IFERROR(VLOOKUP(DATE($K$1,$K$2,CVT$4),Table1[],(MATCH(Calendar!$A19,DB!$1:$1,0)),FALSE),"")</f>
        <v/>
      </c>
      <c r="CVU19" s="28" t="str">
        <f>IFERROR(VLOOKUP(DATE($K$1,$K$2,CVU$4),Table1[],(MATCH(Calendar!$A19,DB!$1:$1,0)),FALSE),"")</f>
        <v/>
      </c>
      <c r="CVV19" s="28" t="str">
        <f>IFERROR(VLOOKUP(DATE($K$1,$K$2,CVV$4),Table1[],(MATCH(Calendar!$A19,DB!$1:$1,0)),FALSE),"")</f>
        <v/>
      </c>
      <c r="CVW19" s="28" t="str">
        <f>IFERROR(VLOOKUP(DATE($K$1,$K$2,CVW$4),Table1[],(MATCH(Calendar!$A19,DB!$1:$1,0)),FALSE),"")</f>
        <v/>
      </c>
      <c r="CVX19" s="28" t="str">
        <f>IFERROR(VLOOKUP(DATE($K$1,$K$2,CVX$4),Table1[],(MATCH(Calendar!$A19,DB!$1:$1,0)),FALSE),"")</f>
        <v/>
      </c>
      <c r="CVY19" s="28" t="str">
        <f>IFERROR(VLOOKUP(DATE($K$1,$K$2,CVY$4),Table1[],(MATCH(Calendar!$A19,DB!$1:$1,0)),FALSE),"")</f>
        <v/>
      </c>
      <c r="CVZ19" s="28" t="str">
        <f>IFERROR(VLOOKUP(DATE($K$1,$K$2,CVZ$4),Table1[],(MATCH(Calendar!$A19,DB!$1:$1,0)),FALSE),"")</f>
        <v/>
      </c>
      <c r="CWA19" s="28" t="str">
        <f>IFERROR(VLOOKUP(DATE($K$1,$K$2,CWA$4),Table1[],(MATCH(Calendar!$A19,DB!$1:$1,0)),FALSE),"")</f>
        <v/>
      </c>
      <c r="CWB19" s="28" t="str">
        <f>IFERROR(VLOOKUP(DATE($K$1,$K$2,CWB$4),Table1[],(MATCH(Calendar!$A19,DB!$1:$1,0)),FALSE),"")</f>
        <v/>
      </c>
      <c r="CWC19" s="28" t="str">
        <f>IFERROR(VLOOKUP(DATE($K$1,$K$2,CWC$4),Table1[],(MATCH(Calendar!$A19,DB!$1:$1,0)),FALSE),"")</f>
        <v/>
      </c>
      <c r="CWD19" s="28" t="str">
        <f>IFERROR(VLOOKUP(DATE($K$1,$K$2,CWD$4),Table1[],(MATCH(Calendar!$A19,DB!$1:$1,0)),FALSE),"")</f>
        <v/>
      </c>
      <c r="CWE19" s="28" t="str">
        <f>IFERROR(VLOOKUP(DATE($K$1,$K$2,CWE$4),Table1[],(MATCH(Calendar!$A19,DB!$1:$1,0)),FALSE),"")</f>
        <v/>
      </c>
      <c r="CWF19" s="28" t="str">
        <f>IFERROR(VLOOKUP(DATE($K$1,$K$2,CWF$4),Table1[],(MATCH(Calendar!$A19,DB!$1:$1,0)),FALSE),"")</f>
        <v/>
      </c>
      <c r="CWG19" s="28" t="str">
        <f>IFERROR(VLOOKUP(DATE($K$1,$K$2,CWG$4),Table1[],(MATCH(Calendar!$A19,DB!$1:$1,0)),FALSE),"")</f>
        <v/>
      </c>
      <c r="CWH19" s="28" t="str">
        <f>IFERROR(VLOOKUP(DATE($K$1,$K$2,CWH$4),Table1[],(MATCH(Calendar!$A19,DB!$1:$1,0)),FALSE),"")</f>
        <v/>
      </c>
      <c r="CWI19" s="28" t="str">
        <f>IFERROR(VLOOKUP(DATE($K$1,$K$2,CWI$4),Table1[],(MATCH(Calendar!$A19,DB!$1:$1,0)),FALSE),"")</f>
        <v/>
      </c>
      <c r="CWJ19" s="28" t="str">
        <f>IFERROR(VLOOKUP(DATE($K$1,$K$2,CWJ$4),Table1[],(MATCH(Calendar!$A19,DB!$1:$1,0)),FALSE),"")</f>
        <v/>
      </c>
      <c r="CWK19" s="28" t="str">
        <f>IFERROR(VLOOKUP(DATE($K$1,$K$2,CWK$4),Table1[],(MATCH(Calendar!$A19,DB!$1:$1,0)),FALSE),"")</f>
        <v/>
      </c>
      <c r="CWL19" s="28" t="str">
        <f>IFERROR(VLOOKUP(DATE($K$1,$K$2,CWL$4),Table1[],(MATCH(Calendar!$A19,DB!$1:$1,0)),FALSE),"")</f>
        <v/>
      </c>
      <c r="CWM19" s="28" t="str">
        <f>IFERROR(VLOOKUP(DATE($K$1,$K$2,CWM$4),Table1[],(MATCH(Calendar!$A19,DB!$1:$1,0)),FALSE),"")</f>
        <v/>
      </c>
      <c r="CWN19" s="28" t="str">
        <f>IFERROR(VLOOKUP(DATE($K$1,$K$2,CWN$4),Table1[],(MATCH(Calendar!$A19,DB!$1:$1,0)),FALSE),"")</f>
        <v/>
      </c>
      <c r="CWO19" s="28" t="str">
        <f>IFERROR(VLOOKUP(DATE($K$1,$K$2,CWO$4),Table1[],(MATCH(Calendar!$A19,DB!$1:$1,0)),FALSE),"")</f>
        <v/>
      </c>
      <c r="CWP19" s="28" t="str">
        <f>IFERROR(VLOOKUP(DATE($K$1,$K$2,CWP$4),Table1[],(MATCH(Calendar!$A19,DB!$1:$1,0)),FALSE),"")</f>
        <v/>
      </c>
      <c r="CWQ19" s="28" t="str">
        <f>IFERROR(VLOOKUP(DATE($K$1,$K$2,CWQ$4),Table1[],(MATCH(Calendar!$A19,DB!$1:$1,0)),FALSE),"")</f>
        <v/>
      </c>
      <c r="CWR19" s="28" t="str">
        <f>IFERROR(VLOOKUP(DATE($K$1,$K$2,CWR$4),Table1[],(MATCH(Calendar!$A19,DB!$1:$1,0)),FALSE),"")</f>
        <v/>
      </c>
      <c r="CWS19" s="28" t="str">
        <f>IFERROR(VLOOKUP(DATE($K$1,$K$2,CWS$4),Table1[],(MATCH(Calendar!$A19,DB!$1:$1,0)),FALSE),"")</f>
        <v/>
      </c>
      <c r="CWT19" s="28" t="str">
        <f>IFERROR(VLOOKUP(DATE($K$1,$K$2,CWT$4),Table1[],(MATCH(Calendar!$A19,DB!$1:$1,0)),FALSE),"")</f>
        <v/>
      </c>
      <c r="CWU19" s="28" t="str">
        <f>IFERROR(VLOOKUP(DATE($K$1,$K$2,CWU$4),Table1[],(MATCH(Calendar!$A19,DB!$1:$1,0)),FALSE),"")</f>
        <v/>
      </c>
      <c r="CWV19" s="28" t="str">
        <f>IFERROR(VLOOKUP(DATE($K$1,$K$2,CWV$4),Table1[],(MATCH(Calendar!$A19,DB!$1:$1,0)),FALSE),"")</f>
        <v/>
      </c>
      <c r="CWW19" s="28" t="str">
        <f>IFERROR(VLOOKUP(DATE($K$1,$K$2,CWW$4),Table1[],(MATCH(Calendar!$A19,DB!$1:$1,0)),FALSE),"")</f>
        <v/>
      </c>
      <c r="CWX19" s="28" t="str">
        <f>IFERROR(VLOOKUP(DATE($K$1,$K$2,CWX$4),Table1[],(MATCH(Calendar!$A19,DB!$1:$1,0)),FALSE),"")</f>
        <v/>
      </c>
      <c r="CWY19" s="28" t="str">
        <f>IFERROR(VLOOKUP(DATE($K$1,$K$2,CWY$4),Table1[],(MATCH(Calendar!$A19,DB!$1:$1,0)),FALSE),"")</f>
        <v/>
      </c>
      <c r="CWZ19" s="28" t="str">
        <f>IFERROR(VLOOKUP(DATE($K$1,$K$2,CWZ$4),Table1[],(MATCH(Calendar!$A19,DB!$1:$1,0)),FALSE),"")</f>
        <v/>
      </c>
      <c r="CXA19" s="28" t="str">
        <f>IFERROR(VLOOKUP(DATE($K$1,$K$2,CXA$4),Table1[],(MATCH(Calendar!$A19,DB!$1:$1,0)),FALSE),"")</f>
        <v/>
      </c>
      <c r="CXB19" s="28" t="str">
        <f>IFERROR(VLOOKUP(DATE($K$1,$K$2,CXB$4),Table1[],(MATCH(Calendar!$A19,DB!$1:$1,0)),FALSE),"")</f>
        <v/>
      </c>
      <c r="CXC19" s="28" t="str">
        <f>IFERROR(VLOOKUP(DATE($K$1,$K$2,CXC$4),Table1[],(MATCH(Calendar!$A19,DB!$1:$1,0)),FALSE),"")</f>
        <v/>
      </c>
      <c r="CXD19" s="28" t="str">
        <f>IFERROR(VLOOKUP(DATE($K$1,$K$2,CXD$4),Table1[],(MATCH(Calendar!$A19,DB!$1:$1,0)),FALSE),"")</f>
        <v/>
      </c>
      <c r="CXE19" s="28" t="str">
        <f>IFERROR(VLOOKUP(DATE($K$1,$K$2,CXE$4),Table1[],(MATCH(Calendar!$A19,DB!$1:$1,0)),FALSE),"")</f>
        <v/>
      </c>
      <c r="CXF19" s="28" t="str">
        <f>IFERROR(VLOOKUP(DATE($K$1,$K$2,CXF$4),Table1[],(MATCH(Calendar!$A19,DB!$1:$1,0)),FALSE),"")</f>
        <v/>
      </c>
      <c r="CXG19" s="28" t="str">
        <f>IFERROR(VLOOKUP(DATE($K$1,$K$2,CXG$4),Table1[],(MATCH(Calendar!$A19,DB!$1:$1,0)),FALSE),"")</f>
        <v/>
      </c>
      <c r="CXH19" s="28" t="str">
        <f>IFERROR(VLOOKUP(DATE($K$1,$K$2,CXH$4),Table1[],(MATCH(Calendar!$A19,DB!$1:$1,0)),FALSE),"")</f>
        <v/>
      </c>
      <c r="CXI19" s="28" t="str">
        <f>IFERROR(VLOOKUP(DATE($K$1,$K$2,CXI$4),Table1[],(MATCH(Calendar!$A19,DB!$1:$1,0)),FALSE),"")</f>
        <v/>
      </c>
      <c r="CXJ19" s="28" t="str">
        <f>IFERROR(VLOOKUP(DATE($K$1,$K$2,CXJ$4),Table1[],(MATCH(Calendar!$A19,DB!$1:$1,0)),FALSE),"")</f>
        <v/>
      </c>
      <c r="CXK19" s="28" t="str">
        <f>IFERROR(VLOOKUP(DATE($K$1,$K$2,CXK$4),Table1[],(MATCH(Calendar!$A19,DB!$1:$1,0)),FALSE),"")</f>
        <v/>
      </c>
      <c r="CXL19" s="28" t="str">
        <f>IFERROR(VLOOKUP(DATE($K$1,$K$2,CXL$4),Table1[],(MATCH(Calendar!$A19,DB!$1:$1,0)),FALSE),"")</f>
        <v/>
      </c>
      <c r="CXM19" s="28" t="str">
        <f>IFERROR(VLOOKUP(DATE($K$1,$K$2,CXM$4),Table1[],(MATCH(Calendar!$A19,DB!$1:$1,0)),FALSE),"")</f>
        <v/>
      </c>
      <c r="CXN19" s="28" t="str">
        <f>IFERROR(VLOOKUP(DATE($K$1,$K$2,CXN$4),Table1[],(MATCH(Calendar!$A19,DB!$1:$1,0)),FALSE),"")</f>
        <v/>
      </c>
      <c r="CXO19" s="28" t="str">
        <f>IFERROR(VLOOKUP(DATE($K$1,$K$2,CXO$4),Table1[],(MATCH(Calendar!$A19,DB!$1:$1,0)),FALSE),"")</f>
        <v/>
      </c>
      <c r="CXP19" s="28" t="str">
        <f>IFERROR(VLOOKUP(DATE($K$1,$K$2,CXP$4),Table1[],(MATCH(Calendar!$A19,DB!$1:$1,0)),FALSE),"")</f>
        <v/>
      </c>
      <c r="CXQ19" s="28" t="str">
        <f>IFERROR(VLOOKUP(DATE($K$1,$K$2,CXQ$4),Table1[],(MATCH(Calendar!$A19,DB!$1:$1,0)),FALSE),"")</f>
        <v/>
      </c>
      <c r="CXR19" s="28" t="str">
        <f>IFERROR(VLOOKUP(DATE($K$1,$K$2,CXR$4),Table1[],(MATCH(Calendar!$A19,DB!$1:$1,0)),FALSE),"")</f>
        <v/>
      </c>
      <c r="CXS19" s="28" t="str">
        <f>IFERROR(VLOOKUP(DATE($K$1,$K$2,CXS$4),Table1[],(MATCH(Calendar!$A19,DB!$1:$1,0)),FALSE),"")</f>
        <v/>
      </c>
      <c r="CXT19" s="28" t="str">
        <f>IFERROR(VLOOKUP(DATE($K$1,$K$2,CXT$4),Table1[],(MATCH(Calendar!$A19,DB!$1:$1,0)),FALSE),"")</f>
        <v/>
      </c>
      <c r="CXU19" s="28" t="str">
        <f>IFERROR(VLOOKUP(DATE($K$1,$K$2,CXU$4),Table1[],(MATCH(Calendar!$A19,DB!$1:$1,0)),FALSE),"")</f>
        <v/>
      </c>
      <c r="CXV19" s="28" t="str">
        <f>IFERROR(VLOOKUP(DATE($K$1,$K$2,CXV$4),Table1[],(MATCH(Calendar!$A19,DB!$1:$1,0)),FALSE),"")</f>
        <v/>
      </c>
      <c r="CXW19" s="28" t="str">
        <f>IFERROR(VLOOKUP(DATE($K$1,$K$2,CXW$4),Table1[],(MATCH(Calendar!$A19,DB!$1:$1,0)),FALSE),"")</f>
        <v/>
      </c>
      <c r="CXX19" s="28" t="str">
        <f>IFERROR(VLOOKUP(DATE($K$1,$K$2,CXX$4),Table1[],(MATCH(Calendar!$A19,DB!$1:$1,0)),FALSE),"")</f>
        <v/>
      </c>
      <c r="CXY19" s="28" t="str">
        <f>IFERROR(VLOOKUP(DATE($K$1,$K$2,CXY$4),Table1[],(MATCH(Calendar!$A19,DB!$1:$1,0)),FALSE),"")</f>
        <v/>
      </c>
      <c r="CXZ19" s="28" t="str">
        <f>IFERROR(VLOOKUP(DATE($K$1,$K$2,CXZ$4),Table1[],(MATCH(Calendar!$A19,DB!$1:$1,0)),FALSE),"")</f>
        <v/>
      </c>
      <c r="CYA19" s="28" t="str">
        <f>IFERROR(VLOOKUP(DATE($K$1,$K$2,CYA$4),Table1[],(MATCH(Calendar!$A19,DB!$1:$1,0)),FALSE),"")</f>
        <v/>
      </c>
      <c r="CYB19" s="28" t="str">
        <f>IFERROR(VLOOKUP(DATE($K$1,$K$2,CYB$4),Table1[],(MATCH(Calendar!$A19,DB!$1:$1,0)),FALSE),"")</f>
        <v/>
      </c>
      <c r="CYC19" s="28" t="str">
        <f>IFERROR(VLOOKUP(DATE($K$1,$K$2,CYC$4),Table1[],(MATCH(Calendar!$A19,DB!$1:$1,0)),FALSE),"")</f>
        <v/>
      </c>
      <c r="CYD19" s="28" t="str">
        <f>IFERROR(VLOOKUP(DATE($K$1,$K$2,CYD$4),Table1[],(MATCH(Calendar!$A19,DB!$1:$1,0)),FALSE),"")</f>
        <v/>
      </c>
      <c r="CYE19" s="28" t="str">
        <f>IFERROR(VLOOKUP(DATE($K$1,$K$2,CYE$4),Table1[],(MATCH(Calendar!$A19,DB!$1:$1,0)),FALSE),"")</f>
        <v/>
      </c>
      <c r="CYF19" s="28" t="str">
        <f>IFERROR(VLOOKUP(DATE($K$1,$K$2,CYF$4),Table1[],(MATCH(Calendar!$A19,DB!$1:$1,0)),FALSE),"")</f>
        <v/>
      </c>
      <c r="CYG19" s="28" t="str">
        <f>IFERROR(VLOOKUP(DATE($K$1,$K$2,CYG$4),Table1[],(MATCH(Calendar!$A19,DB!$1:$1,0)),FALSE),"")</f>
        <v/>
      </c>
      <c r="CYH19" s="28" t="str">
        <f>IFERROR(VLOOKUP(DATE($K$1,$K$2,CYH$4),Table1[],(MATCH(Calendar!$A19,DB!$1:$1,0)),FALSE),"")</f>
        <v/>
      </c>
      <c r="CYI19" s="28" t="str">
        <f>IFERROR(VLOOKUP(DATE($K$1,$K$2,CYI$4),Table1[],(MATCH(Calendar!$A19,DB!$1:$1,0)),FALSE),"")</f>
        <v/>
      </c>
      <c r="CYJ19" s="28" t="str">
        <f>IFERROR(VLOOKUP(DATE($K$1,$K$2,CYJ$4),Table1[],(MATCH(Calendar!$A19,DB!$1:$1,0)),FALSE),"")</f>
        <v/>
      </c>
      <c r="CYK19" s="28" t="str">
        <f>IFERROR(VLOOKUP(DATE($K$1,$K$2,CYK$4),Table1[],(MATCH(Calendar!$A19,DB!$1:$1,0)),FALSE),"")</f>
        <v/>
      </c>
      <c r="CYL19" s="28" t="str">
        <f>IFERROR(VLOOKUP(DATE($K$1,$K$2,CYL$4),Table1[],(MATCH(Calendar!$A19,DB!$1:$1,0)),FALSE),"")</f>
        <v/>
      </c>
      <c r="CYM19" s="28" t="str">
        <f>IFERROR(VLOOKUP(DATE($K$1,$K$2,CYM$4),Table1[],(MATCH(Calendar!$A19,DB!$1:$1,0)),FALSE),"")</f>
        <v/>
      </c>
      <c r="CYN19" s="28" t="str">
        <f>IFERROR(VLOOKUP(DATE($K$1,$K$2,CYN$4),Table1[],(MATCH(Calendar!$A19,DB!$1:$1,0)),FALSE),"")</f>
        <v/>
      </c>
      <c r="CYO19" s="28" t="str">
        <f>IFERROR(VLOOKUP(DATE($K$1,$K$2,CYO$4),Table1[],(MATCH(Calendar!$A19,DB!$1:$1,0)),FALSE),"")</f>
        <v/>
      </c>
      <c r="CYP19" s="28" t="str">
        <f>IFERROR(VLOOKUP(DATE($K$1,$K$2,CYP$4),Table1[],(MATCH(Calendar!$A19,DB!$1:$1,0)),FALSE),"")</f>
        <v/>
      </c>
      <c r="CYQ19" s="28" t="str">
        <f>IFERROR(VLOOKUP(DATE($K$1,$K$2,CYQ$4),Table1[],(MATCH(Calendar!$A19,DB!$1:$1,0)),FALSE),"")</f>
        <v/>
      </c>
      <c r="CYR19" s="28" t="str">
        <f>IFERROR(VLOOKUP(DATE($K$1,$K$2,CYR$4),Table1[],(MATCH(Calendar!$A19,DB!$1:$1,0)),FALSE),"")</f>
        <v/>
      </c>
      <c r="CYS19" s="28" t="str">
        <f>IFERROR(VLOOKUP(DATE($K$1,$K$2,CYS$4),Table1[],(MATCH(Calendar!$A19,DB!$1:$1,0)),FALSE),"")</f>
        <v/>
      </c>
      <c r="CYT19" s="28" t="str">
        <f>IFERROR(VLOOKUP(DATE($K$1,$K$2,CYT$4),Table1[],(MATCH(Calendar!$A19,DB!$1:$1,0)),FALSE),"")</f>
        <v/>
      </c>
      <c r="CYU19" s="28" t="str">
        <f>IFERROR(VLOOKUP(DATE($K$1,$K$2,CYU$4),Table1[],(MATCH(Calendar!$A19,DB!$1:$1,0)),FALSE),"")</f>
        <v/>
      </c>
      <c r="CYV19" s="28" t="str">
        <f>IFERROR(VLOOKUP(DATE($K$1,$K$2,CYV$4),Table1[],(MATCH(Calendar!$A19,DB!$1:$1,0)),FALSE),"")</f>
        <v/>
      </c>
      <c r="CYW19" s="28" t="str">
        <f>IFERROR(VLOOKUP(DATE($K$1,$K$2,CYW$4),Table1[],(MATCH(Calendar!$A19,DB!$1:$1,0)),FALSE),"")</f>
        <v/>
      </c>
      <c r="CYX19" s="28" t="str">
        <f>IFERROR(VLOOKUP(DATE($K$1,$K$2,CYX$4),Table1[],(MATCH(Calendar!$A19,DB!$1:$1,0)),FALSE),"")</f>
        <v/>
      </c>
      <c r="CYY19" s="28" t="str">
        <f>IFERROR(VLOOKUP(DATE($K$1,$K$2,CYY$4),Table1[],(MATCH(Calendar!$A19,DB!$1:$1,0)),FALSE),"")</f>
        <v/>
      </c>
      <c r="CYZ19" s="28" t="str">
        <f>IFERROR(VLOOKUP(DATE($K$1,$K$2,CYZ$4),Table1[],(MATCH(Calendar!$A19,DB!$1:$1,0)),FALSE),"")</f>
        <v/>
      </c>
      <c r="CZA19" s="28" t="str">
        <f>IFERROR(VLOOKUP(DATE($K$1,$K$2,CZA$4),Table1[],(MATCH(Calendar!$A19,DB!$1:$1,0)),FALSE),"")</f>
        <v/>
      </c>
      <c r="CZB19" s="28" t="str">
        <f>IFERROR(VLOOKUP(DATE($K$1,$K$2,CZB$4),Table1[],(MATCH(Calendar!$A19,DB!$1:$1,0)),FALSE),"")</f>
        <v/>
      </c>
      <c r="CZC19" s="28" t="str">
        <f>IFERROR(VLOOKUP(DATE($K$1,$K$2,CZC$4),Table1[],(MATCH(Calendar!$A19,DB!$1:$1,0)),FALSE),"")</f>
        <v/>
      </c>
      <c r="CZD19" s="28" t="str">
        <f>IFERROR(VLOOKUP(DATE($K$1,$K$2,CZD$4),Table1[],(MATCH(Calendar!$A19,DB!$1:$1,0)),FALSE),"")</f>
        <v/>
      </c>
      <c r="CZE19" s="28" t="str">
        <f>IFERROR(VLOOKUP(DATE($K$1,$K$2,CZE$4),Table1[],(MATCH(Calendar!$A19,DB!$1:$1,0)),FALSE),"")</f>
        <v/>
      </c>
      <c r="CZF19" s="28" t="str">
        <f>IFERROR(VLOOKUP(DATE($K$1,$K$2,CZF$4),Table1[],(MATCH(Calendar!$A19,DB!$1:$1,0)),FALSE),"")</f>
        <v/>
      </c>
      <c r="CZG19" s="28" t="str">
        <f>IFERROR(VLOOKUP(DATE($K$1,$K$2,CZG$4),Table1[],(MATCH(Calendar!$A19,DB!$1:$1,0)),FALSE),"")</f>
        <v/>
      </c>
      <c r="CZH19" s="28" t="str">
        <f>IFERROR(VLOOKUP(DATE($K$1,$K$2,CZH$4),Table1[],(MATCH(Calendar!$A19,DB!$1:$1,0)),FALSE),"")</f>
        <v/>
      </c>
      <c r="CZI19" s="28" t="str">
        <f>IFERROR(VLOOKUP(DATE($K$1,$K$2,CZI$4),Table1[],(MATCH(Calendar!$A19,DB!$1:$1,0)),FALSE),"")</f>
        <v/>
      </c>
      <c r="CZJ19" s="28" t="str">
        <f>IFERROR(VLOOKUP(DATE($K$1,$K$2,CZJ$4),Table1[],(MATCH(Calendar!$A19,DB!$1:$1,0)),FALSE),"")</f>
        <v/>
      </c>
      <c r="CZK19" s="28" t="str">
        <f>IFERROR(VLOOKUP(DATE($K$1,$K$2,CZK$4),Table1[],(MATCH(Calendar!$A19,DB!$1:$1,0)),FALSE),"")</f>
        <v/>
      </c>
      <c r="CZL19" s="28" t="str">
        <f>IFERROR(VLOOKUP(DATE($K$1,$K$2,CZL$4),Table1[],(MATCH(Calendar!$A19,DB!$1:$1,0)),FALSE),"")</f>
        <v/>
      </c>
      <c r="CZM19" s="28" t="str">
        <f>IFERROR(VLOOKUP(DATE($K$1,$K$2,CZM$4),Table1[],(MATCH(Calendar!$A19,DB!$1:$1,0)),FALSE),"")</f>
        <v/>
      </c>
      <c r="CZN19" s="28" t="str">
        <f>IFERROR(VLOOKUP(DATE($K$1,$K$2,CZN$4),Table1[],(MATCH(Calendar!$A19,DB!$1:$1,0)),FALSE),"")</f>
        <v/>
      </c>
      <c r="CZO19" s="28" t="str">
        <f>IFERROR(VLOOKUP(DATE($K$1,$K$2,CZO$4),Table1[],(MATCH(Calendar!$A19,DB!$1:$1,0)),FALSE),"")</f>
        <v/>
      </c>
      <c r="CZP19" s="28" t="str">
        <f>IFERROR(VLOOKUP(DATE($K$1,$K$2,CZP$4),Table1[],(MATCH(Calendar!$A19,DB!$1:$1,0)),FALSE),"")</f>
        <v/>
      </c>
      <c r="CZQ19" s="28" t="str">
        <f>IFERROR(VLOOKUP(DATE($K$1,$K$2,CZQ$4),Table1[],(MATCH(Calendar!$A19,DB!$1:$1,0)),FALSE),"")</f>
        <v/>
      </c>
      <c r="CZR19" s="28" t="str">
        <f>IFERROR(VLOOKUP(DATE($K$1,$K$2,CZR$4),Table1[],(MATCH(Calendar!$A19,DB!$1:$1,0)),FALSE),"")</f>
        <v/>
      </c>
      <c r="CZS19" s="28" t="str">
        <f>IFERROR(VLOOKUP(DATE($K$1,$K$2,CZS$4),Table1[],(MATCH(Calendar!$A19,DB!$1:$1,0)),FALSE),"")</f>
        <v/>
      </c>
      <c r="CZT19" s="28" t="str">
        <f>IFERROR(VLOOKUP(DATE($K$1,$K$2,CZT$4),Table1[],(MATCH(Calendar!$A19,DB!$1:$1,0)),FALSE),"")</f>
        <v/>
      </c>
      <c r="CZU19" s="28" t="str">
        <f>IFERROR(VLOOKUP(DATE($K$1,$K$2,CZU$4),Table1[],(MATCH(Calendar!$A19,DB!$1:$1,0)),FALSE),"")</f>
        <v/>
      </c>
      <c r="CZV19" s="28" t="str">
        <f>IFERROR(VLOOKUP(DATE($K$1,$K$2,CZV$4),Table1[],(MATCH(Calendar!$A19,DB!$1:$1,0)),FALSE),"")</f>
        <v/>
      </c>
      <c r="CZW19" s="28" t="str">
        <f>IFERROR(VLOOKUP(DATE($K$1,$K$2,CZW$4),Table1[],(MATCH(Calendar!$A19,DB!$1:$1,0)),FALSE),"")</f>
        <v/>
      </c>
      <c r="CZX19" s="28" t="str">
        <f>IFERROR(VLOOKUP(DATE($K$1,$K$2,CZX$4),Table1[],(MATCH(Calendar!$A19,DB!$1:$1,0)),FALSE),"")</f>
        <v/>
      </c>
      <c r="CZY19" s="28" t="str">
        <f>IFERROR(VLOOKUP(DATE($K$1,$K$2,CZY$4),Table1[],(MATCH(Calendar!$A19,DB!$1:$1,0)),FALSE),"")</f>
        <v/>
      </c>
      <c r="CZZ19" s="28" t="str">
        <f>IFERROR(VLOOKUP(DATE($K$1,$K$2,CZZ$4),Table1[],(MATCH(Calendar!$A19,DB!$1:$1,0)),FALSE),"")</f>
        <v/>
      </c>
      <c r="DAA19" s="28" t="str">
        <f>IFERROR(VLOOKUP(DATE($K$1,$K$2,DAA$4),Table1[],(MATCH(Calendar!$A19,DB!$1:$1,0)),FALSE),"")</f>
        <v/>
      </c>
      <c r="DAB19" s="28" t="str">
        <f>IFERROR(VLOOKUP(DATE($K$1,$K$2,DAB$4),Table1[],(MATCH(Calendar!$A19,DB!$1:$1,0)),FALSE),"")</f>
        <v/>
      </c>
      <c r="DAC19" s="28" t="str">
        <f>IFERROR(VLOOKUP(DATE($K$1,$K$2,DAC$4),Table1[],(MATCH(Calendar!$A19,DB!$1:$1,0)),FALSE),"")</f>
        <v/>
      </c>
      <c r="DAD19" s="28" t="str">
        <f>IFERROR(VLOOKUP(DATE($K$1,$K$2,DAD$4),Table1[],(MATCH(Calendar!$A19,DB!$1:$1,0)),FALSE),"")</f>
        <v/>
      </c>
      <c r="DAE19" s="28" t="str">
        <f>IFERROR(VLOOKUP(DATE($K$1,$K$2,DAE$4),Table1[],(MATCH(Calendar!$A19,DB!$1:$1,0)),FALSE),"")</f>
        <v/>
      </c>
      <c r="DAF19" s="28" t="str">
        <f>IFERROR(VLOOKUP(DATE($K$1,$K$2,DAF$4),Table1[],(MATCH(Calendar!$A19,DB!$1:$1,0)),FALSE),"")</f>
        <v/>
      </c>
      <c r="DAG19" s="28" t="str">
        <f>IFERROR(VLOOKUP(DATE($K$1,$K$2,DAG$4),Table1[],(MATCH(Calendar!$A19,DB!$1:$1,0)),FALSE),"")</f>
        <v/>
      </c>
      <c r="DAH19" s="28" t="str">
        <f>IFERROR(VLOOKUP(DATE($K$1,$K$2,DAH$4),Table1[],(MATCH(Calendar!$A19,DB!$1:$1,0)),FALSE),"")</f>
        <v/>
      </c>
      <c r="DAI19" s="28" t="str">
        <f>IFERROR(VLOOKUP(DATE($K$1,$K$2,DAI$4),Table1[],(MATCH(Calendar!$A19,DB!$1:$1,0)),FALSE),"")</f>
        <v/>
      </c>
      <c r="DAJ19" s="28" t="str">
        <f>IFERROR(VLOOKUP(DATE($K$1,$K$2,DAJ$4),Table1[],(MATCH(Calendar!$A19,DB!$1:$1,0)),FALSE),"")</f>
        <v/>
      </c>
      <c r="DAK19" s="28" t="str">
        <f>IFERROR(VLOOKUP(DATE($K$1,$K$2,DAK$4),Table1[],(MATCH(Calendar!$A19,DB!$1:$1,0)),FALSE),"")</f>
        <v/>
      </c>
      <c r="DAL19" s="28" t="str">
        <f>IFERROR(VLOOKUP(DATE($K$1,$K$2,DAL$4),Table1[],(MATCH(Calendar!$A19,DB!$1:$1,0)),FALSE),"")</f>
        <v/>
      </c>
      <c r="DAM19" s="28" t="str">
        <f>IFERROR(VLOOKUP(DATE($K$1,$K$2,DAM$4),Table1[],(MATCH(Calendar!$A19,DB!$1:$1,0)),FALSE),"")</f>
        <v/>
      </c>
      <c r="DAN19" s="28" t="str">
        <f>IFERROR(VLOOKUP(DATE($K$1,$K$2,DAN$4),Table1[],(MATCH(Calendar!$A19,DB!$1:$1,0)),FALSE),"")</f>
        <v/>
      </c>
      <c r="DAO19" s="28" t="str">
        <f>IFERROR(VLOOKUP(DATE($K$1,$K$2,DAO$4),Table1[],(MATCH(Calendar!$A19,DB!$1:$1,0)),FALSE),"")</f>
        <v/>
      </c>
      <c r="DAP19" s="28" t="str">
        <f>IFERROR(VLOOKUP(DATE($K$1,$K$2,DAP$4),Table1[],(MATCH(Calendar!$A19,DB!$1:$1,0)),FALSE),"")</f>
        <v/>
      </c>
      <c r="DAQ19" s="28" t="str">
        <f>IFERROR(VLOOKUP(DATE($K$1,$K$2,DAQ$4),Table1[],(MATCH(Calendar!$A19,DB!$1:$1,0)),FALSE),"")</f>
        <v/>
      </c>
      <c r="DAR19" s="28" t="str">
        <f>IFERROR(VLOOKUP(DATE($K$1,$K$2,DAR$4),Table1[],(MATCH(Calendar!$A19,DB!$1:$1,0)),FALSE),"")</f>
        <v/>
      </c>
      <c r="DAS19" s="28" t="str">
        <f>IFERROR(VLOOKUP(DATE($K$1,$K$2,DAS$4),Table1[],(MATCH(Calendar!$A19,DB!$1:$1,0)),FALSE),"")</f>
        <v/>
      </c>
      <c r="DAT19" s="28" t="str">
        <f>IFERROR(VLOOKUP(DATE($K$1,$K$2,DAT$4),Table1[],(MATCH(Calendar!$A19,DB!$1:$1,0)),FALSE),"")</f>
        <v/>
      </c>
      <c r="DAU19" s="28" t="str">
        <f>IFERROR(VLOOKUP(DATE($K$1,$K$2,DAU$4),Table1[],(MATCH(Calendar!$A19,DB!$1:$1,0)),FALSE),"")</f>
        <v/>
      </c>
      <c r="DAV19" s="28" t="str">
        <f>IFERROR(VLOOKUP(DATE($K$1,$K$2,DAV$4),Table1[],(MATCH(Calendar!$A19,DB!$1:$1,0)),FALSE),"")</f>
        <v/>
      </c>
      <c r="DAW19" s="28" t="str">
        <f>IFERROR(VLOOKUP(DATE($K$1,$K$2,DAW$4),Table1[],(MATCH(Calendar!$A19,DB!$1:$1,0)),FALSE),"")</f>
        <v/>
      </c>
      <c r="DAX19" s="28" t="str">
        <f>IFERROR(VLOOKUP(DATE($K$1,$K$2,DAX$4),Table1[],(MATCH(Calendar!$A19,DB!$1:$1,0)),FALSE),"")</f>
        <v/>
      </c>
      <c r="DAY19" s="28" t="str">
        <f>IFERROR(VLOOKUP(DATE($K$1,$K$2,DAY$4),Table1[],(MATCH(Calendar!$A19,DB!$1:$1,0)),FALSE),"")</f>
        <v/>
      </c>
      <c r="DAZ19" s="28" t="str">
        <f>IFERROR(VLOOKUP(DATE($K$1,$K$2,DAZ$4),Table1[],(MATCH(Calendar!$A19,DB!$1:$1,0)),FALSE),"")</f>
        <v/>
      </c>
      <c r="DBA19" s="28" t="str">
        <f>IFERROR(VLOOKUP(DATE($K$1,$K$2,DBA$4),Table1[],(MATCH(Calendar!$A19,DB!$1:$1,0)),FALSE),"")</f>
        <v/>
      </c>
      <c r="DBB19" s="28" t="str">
        <f>IFERROR(VLOOKUP(DATE($K$1,$K$2,DBB$4),Table1[],(MATCH(Calendar!$A19,DB!$1:$1,0)),FALSE),"")</f>
        <v/>
      </c>
      <c r="DBC19" s="28" t="str">
        <f>IFERROR(VLOOKUP(DATE($K$1,$K$2,DBC$4),Table1[],(MATCH(Calendar!$A19,DB!$1:$1,0)),FALSE),"")</f>
        <v/>
      </c>
      <c r="DBD19" s="28" t="str">
        <f>IFERROR(VLOOKUP(DATE($K$1,$K$2,DBD$4),Table1[],(MATCH(Calendar!$A19,DB!$1:$1,0)),FALSE),"")</f>
        <v/>
      </c>
      <c r="DBE19" s="28" t="str">
        <f>IFERROR(VLOOKUP(DATE($K$1,$K$2,DBE$4),Table1[],(MATCH(Calendar!$A19,DB!$1:$1,0)),FALSE),"")</f>
        <v/>
      </c>
      <c r="DBF19" s="28" t="str">
        <f>IFERROR(VLOOKUP(DATE($K$1,$K$2,DBF$4),Table1[],(MATCH(Calendar!$A19,DB!$1:$1,0)),FALSE),"")</f>
        <v/>
      </c>
      <c r="DBG19" s="28" t="str">
        <f>IFERROR(VLOOKUP(DATE($K$1,$K$2,DBG$4),Table1[],(MATCH(Calendar!$A19,DB!$1:$1,0)),FALSE),"")</f>
        <v/>
      </c>
      <c r="DBH19" s="28" t="str">
        <f>IFERROR(VLOOKUP(DATE($K$1,$K$2,DBH$4),Table1[],(MATCH(Calendar!$A19,DB!$1:$1,0)),FALSE),"")</f>
        <v/>
      </c>
      <c r="DBI19" s="28" t="str">
        <f>IFERROR(VLOOKUP(DATE($K$1,$K$2,DBI$4),Table1[],(MATCH(Calendar!$A19,DB!$1:$1,0)),FALSE),"")</f>
        <v/>
      </c>
      <c r="DBJ19" s="28" t="str">
        <f>IFERROR(VLOOKUP(DATE($K$1,$K$2,DBJ$4),Table1[],(MATCH(Calendar!$A19,DB!$1:$1,0)),FALSE),"")</f>
        <v/>
      </c>
      <c r="DBK19" s="28" t="str">
        <f>IFERROR(VLOOKUP(DATE($K$1,$K$2,DBK$4),Table1[],(MATCH(Calendar!$A19,DB!$1:$1,0)),FALSE),"")</f>
        <v/>
      </c>
      <c r="DBL19" s="28" t="str">
        <f>IFERROR(VLOOKUP(DATE($K$1,$K$2,DBL$4),Table1[],(MATCH(Calendar!$A19,DB!$1:$1,0)),FALSE),"")</f>
        <v/>
      </c>
      <c r="DBM19" s="28" t="str">
        <f>IFERROR(VLOOKUP(DATE($K$1,$K$2,DBM$4),Table1[],(MATCH(Calendar!$A19,DB!$1:$1,0)),FALSE),"")</f>
        <v/>
      </c>
      <c r="DBN19" s="28" t="str">
        <f>IFERROR(VLOOKUP(DATE($K$1,$K$2,DBN$4),Table1[],(MATCH(Calendar!$A19,DB!$1:$1,0)),FALSE),"")</f>
        <v/>
      </c>
      <c r="DBO19" s="28" t="str">
        <f>IFERROR(VLOOKUP(DATE($K$1,$K$2,DBO$4),Table1[],(MATCH(Calendar!$A19,DB!$1:$1,0)),FALSE),"")</f>
        <v/>
      </c>
      <c r="DBP19" s="28" t="str">
        <f>IFERROR(VLOOKUP(DATE($K$1,$K$2,DBP$4),Table1[],(MATCH(Calendar!$A19,DB!$1:$1,0)),FALSE),"")</f>
        <v/>
      </c>
      <c r="DBQ19" s="28" t="str">
        <f>IFERROR(VLOOKUP(DATE($K$1,$K$2,DBQ$4),Table1[],(MATCH(Calendar!$A19,DB!$1:$1,0)),FALSE),"")</f>
        <v/>
      </c>
      <c r="DBR19" s="28" t="str">
        <f>IFERROR(VLOOKUP(DATE($K$1,$K$2,DBR$4),Table1[],(MATCH(Calendar!$A19,DB!$1:$1,0)),FALSE),"")</f>
        <v/>
      </c>
      <c r="DBS19" s="28" t="str">
        <f>IFERROR(VLOOKUP(DATE($K$1,$K$2,DBS$4),Table1[],(MATCH(Calendar!$A19,DB!$1:$1,0)),FALSE),"")</f>
        <v/>
      </c>
      <c r="DBT19" s="28" t="str">
        <f>IFERROR(VLOOKUP(DATE($K$1,$K$2,DBT$4),Table1[],(MATCH(Calendar!$A19,DB!$1:$1,0)),FALSE),"")</f>
        <v/>
      </c>
      <c r="DBU19" s="28" t="str">
        <f>IFERROR(VLOOKUP(DATE($K$1,$K$2,DBU$4),Table1[],(MATCH(Calendar!$A19,DB!$1:$1,0)),FALSE),"")</f>
        <v/>
      </c>
      <c r="DBV19" s="28" t="str">
        <f>IFERROR(VLOOKUP(DATE($K$1,$K$2,DBV$4),Table1[],(MATCH(Calendar!$A19,DB!$1:$1,0)),FALSE),"")</f>
        <v/>
      </c>
      <c r="DBW19" s="28" t="str">
        <f>IFERROR(VLOOKUP(DATE($K$1,$K$2,DBW$4),Table1[],(MATCH(Calendar!$A19,DB!$1:$1,0)),FALSE),"")</f>
        <v/>
      </c>
      <c r="DBX19" s="28" t="str">
        <f>IFERROR(VLOOKUP(DATE($K$1,$K$2,DBX$4),Table1[],(MATCH(Calendar!$A19,DB!$1:$1,0)),FALSE),"")</f>
        <v/>
      </c>
      <c r="DBY19" s="28" t="str">
        <f>IFERROR(VLOOKUP(DATE($K$1,$K$2,DBY$4),Table1[],(MATCH(Calendar!$A19,DB!$1:$1,0)),FALSE),"")</f>
        <v/>
      </c>
      <c r="DBZ19" s="28" t="str">
        <f>IFERROR(VLOOKUP(DATE($K$1,$K$2,DBZ$4),Table1[],(MATCH(Calendar!$A19,DB!$1:$1,0)),FALSE),"")</f>
        <v/>
      </c>
      <c r="DCA19" s="28" t="str">
        <f>IFERROR(VLOOKUP(DATE($K$1,$K$2,DCA$4),Table1[],(MATCH(Calendar!$A19,DB!$1:$1,0)),FALSE),"")</f>
        <v/>
      </c>
      <c r="DCB19" s="28" t="str">
        <f>IFERROR(VLOOKUP(DATE($K$1,$K$2,DCB$4),Table1[],(MATCH(Calendar!$A19,DB!$1:$1,0)),FALSE),"")</f>
        <v/>
      </c>
      <c r="DCC19" s="28" t="str">
        <f>IFERROR(VLOOKUP(DATE($K$1,$K$2,DCC$4),Table1[],(MATCH(Calendar!$A19,DB!$1:$1,0)),FALSE),"")</f>
        <v/>
      </c>
      <c r="DCD19" s="28" t="str">
        <f>IFERROR(VLOOKUP(DATE($K$1,$K$2,DCD$4),Table1[],(MATCH(Calendar!$A19,DB!$1:$1,0)),FALSE),"")</f>
        <v/>
      </c>
      <c r="DCE19" s="28" t="str">
        <f>IFERROR(VLOOKUP(DATE($K$1,$K$2,DCE$4),Table1[],(MATCH(Calendar!$A19,DB!$1:$1,0)),FALSE),"")</f>
        <v/>
      </c>
      <c r="DCF19" s="28" t="str">
        <f>IFERROR(VLOOKUP(DATE($K$1,$K$2,DCF$4),Table1[],(MATCH(Calendar!$A19,DB!$1:$1,0)),FALSE),"")</f>
        <v/>
      </c>
      <c r="DCG19" s="28" t="str">
        <f>IFERROR(VLOOKUP(DATE($K$1,$K$2,DCG$4),Table1[],(MATCH(Calendar!$A19,DB!$1:$1,0)),FALSE),"")</f>
        <v/>
      </c>
      <c r="DCH19" s="28" t="str">
        <f>IFERROR(VLOOKUP(DATE($K$1,$K$2,DCH$4),Table1[],(MATCH(Calendar!$A19,DB!$1:$1,0)),FALSE),"")</f>
        <v/>
      </c>
      <c r="DCI19" s="28" t="str">
        <f>IFERROR(VLOOKUP(DATE($K$1,$K$2,DCI$4),Table1[],(MATCH(Calendar!$A19,DB!$1:$1,0)),FALSE),"")</f>
        <v/>
      </c>
      <c r="DCJ19" s="28" t="str">
        <f>IFERROR(VLOOKUP(DATE($K$1,$K$2,DCJ$4),Table1[],(MATCH(Calendar!$A19,DB!$1:$1,0)),FALSE),"")</f>
        <v/>
      </c>
      <c r="DCK19" s="28" t="str">
        <f>IFERROR(VLOOKUP(DATE($K$1,$K$2,DCK$4),Table1[],(MATCH(Calendar!$A19,DB!$1:$1,0)),FALSE),"")</f>
        <v/>
      </c>
      <c r="DCL19" s="28" t="str">
        <f>IFERROR(VLOOKUP(DATE($K$1,$K$2,DCL$4),Table1[],(MATCH(Calendar!$A19,DB!$1:$1,0)),FALSE),"")</f>
        <v/>
      </c>
      <c r="DCM19" s="28" t="str">
        <f>IFERROR(VLOOKUP(DATE($K$1,$K$2,DCM$4),Table1[],(MATCH(Calendar!$A19,DB!$1:$1,0)),FALSE),"")</f>
        <v/>
      </c>
      <c r="DCN19" s="28" t="str">
        <f>IFERROR(VLOOKUP(DATE($K$1,$K$2,DCN$4),Table1[],(MATCH(Calendar!$A19,DB!$1:$1,0)),FALSE),"")</f>
        <v/>
      </c>
      <c r="DCO19" s="28" t="str">
        <f>IFERROR(VLOOKUP(DATE($K$1,$K$2,DCO$4),Table1[],(MATCH(Calendar!$A19,DB!$1:$1,0)),FALSE),"")</f>
        <v/>
      </c>
      <c r="DCP19" s="28" t="str">
        <f>IFERROR(VLOOKUP(DATE($K$1,$K$2,DCP$4),Table1[],(MATCH(Calendar!$A19,DB!$1:$1,0)),FALSE),"")</f>
        <v/>
      </c>
      <c r="DCQ19" s="28" t="str">
        <f>IFERROR(VLOOKUP(DATE($K$1,$K$2,DCQ$4),Table1[],(MATCH(Calendar!$A19,DB!$1:$1,0)),FALSE),"")</f>
        <v/>
      </c>
      <c r="DCR19" s="28" t="str">
        <f>IFERROR(VLOOKUP(DATE($K$1,$K$2,DCR$4),Table1[],(MATCH(Calendar!$A19,DB!$1:$1,0)),FALSE),"")</f>
        <v/>
      </c>
      <c r="DCS19" s="28" t="str">
        <f>IFERROR(VLOOKUP(DATE($K$1,$K$2,DCS$4),Table1[],(MATCH(Calendar!$A19,DB!$1:$1,0)),FALSE),"")</f>
        <v/>
      </c>
      <c r="DCT19" s="28" t="str">
        <f>IFERROR(VLOOKUP(DATE($K$1,$K$2,DCT$4),Table1[],(MATCH(Calendar!$A19,DB!$1:$1,0)),FALSE),"")</f>
        <v/>
      </c>
      <c r="DCU19" s="28" t="str">
        <f>IFERROR(VLOOKUP(DATE($K$1,$K$2,DCU$4),Table1[],(MATCH(Calendar!$A19,DB!$1:$1,0)),FALSE),"")</f>
        <v/>
      </c>
      <c r="DCV19" s="28" t="str">
        <f>IFERROR(VLOOKUP(DATE($K$1,$K$2,DCV$4),Table1[],(MATCH(Calendar!$A19,DB!$1:$1,0)),FALSE),"")</f>
        <v/>
      </c>
      <c r="DCW19" s="28" t="str">
        <f>IFERROR(VLOOKUP(DATE($K$1,$K$2,DCW$4),Table1[],(MATCH(Calendar!$A19,DB!$1:$1,0)),FALSE),"")</f>
        <v/>
      </c>
      <c r="DCX19" s="28" t="str">
        <f>IFERROR(VLOOKUP(DATE($K$1,$K$2,DCX$4),Table1[],(MATCH(Calendar!$A19,DB!$1:$1,0)),FALSE),"")</f>
        <v/>
      </c>
      <c r="DCY19" s="28" t="str">
        <f>IFERROR(VLOOKUP(DATE($K$1,$K$2,DCY$4),Table1[],(MATCH(Calendar!$A19,DB!$1:$1,0)),FALSE),"")</f>
        <v/>
      </c>
      <c r="DCZ19" s="28" t="str">
        <f>IFERROR(VLOOKUP(DATE($K$1,$K$2,DCZ$4),Table1[],(MATCH(Calendar!$A19,DB!$1:$1,0)),FALSE),"")</f>
        <v/>
      </c>
      <c r="DDA19" s="28" t="str">
        <f>IFERROR(VLOOKUP(DATE($K$1,$K$2,DDA$4),Table1[],(MATCH(Calendar!$A19,DB!$1:$1,0)),FALSE),"")</f>
        <v/>
      </c>
      <c r="DDB19" s="28" t="str">
        <f>IFERROR(VLOOKUP(DATE($K$1,$K$2,DDB$4),Table1[],(MATCH(Calendar!$A19,DB!$1:$1,0)),FALSE),"")</f>
        <v/>
      </c>
      <c r="DDC19" s="28" t="str">
        <f>IFERROR(VLOOKUP(DATE($K$1,$K$2,DDC$4),Table1[],(MATCH(Calendar!$A19,DB!$1:$1,0)),FALSE),"")</f>
        <v/>
      </c>
      <c r="DDD19" s="28" t="str">
        <f>IFERROR(VLOOKUP(DATE($K$1,$K$2,DDD$4),Table1[],(MATCH(Calendar!$A19,DB!$1:$1,0)),FALSE),"")</f>
        <v/>
      </c>
      <c r="DDE19" s="28" t="str">
        <f>IFERROR(VLOOKUP(DATE($K$1,$K$2,DDE$4),Table1[],(MATCH(Calendar!$A19,DB!$1:$1,0)),FALSE),"")</f>
        <v/>
      </c>
      <c r="DDF19" s="28" t="str">
        <f>IFERROR(VLOOKUP(DATE($K$1,$K$2,DDF$4),Table1[],(MATCH(Calendar!$A19,DB!$1:$1,0)),FALSE),"")</f>
        <v/>
      </c>
      <c r="DDG19" s="28" t="str">
        <f>IFERROR(VLOOKUP(DATE($K$1,$K$2,DDG$4),Table1[],(MATCH(Calendar!$A19,DB!$1:$1,0)),FALSE),"")</f>
        <v/>
      </c>
      <c r="DDH19" s="28" t="str">
        <f>IFERROR(VLOOKUP(DATE($K$1,$K$2,DDH$4),Table1[],(MATCH(Calendar!$A19,DB!$1:$1,0)),FALSE),"")</f>
        <v/>
      </c>
      <c r="DDI19" s="28" t="str">
        <f>IFERROR(VLOOKUP(DATE($K$1,$K$2,DDI$4),Table1[],(MATCH(Calendar!$A19,DB!$1:$1,0)),FALSE),"")</f>
        <v/>
      </c>
      <c r="DDJ19" s="28" t="str">
        <f>IFERROR(VLOOKUP(DATE($K$1,$K$2,DDJ$4),Table1[],(MATCH(Calendar!$A19,DB!$1:$1,0)),FALSE),"")</f>
        <v/>
      </c>
      <c r="DDK19" s="28" t="str">
        <f>IFERROR(VLOOKUP(DATE($K$1,$K$2,DDK$4),Table1[],(MATCH(Calendar!$A19,DB!$1:$1,0)),FALSE),"")</f>
        <v/>
      </c>
      <c r="DDL19" s="28" t="str">
        <f>IFERROR(VLOOKUP(DATE($K$1,$K$2,DDL$4),Table1[],(MATCH(Calendar!$A19,DB!$1:$1,0)),FALSE),"")</f>
        <v/>
      </c>
      <c r="DDM19" s="28" t="str">
        <f>IFERROR(VLOOKUP(DATE($K$1,$K$2,DDM$4),Table1[],(MATCH(Calendar!$A19,DB!$1:$1,0)),FALSE),"")</f>
        <v/>
      </c>
      <c r="DDN19" s="28" t="str">
        <f>IFERROR(VLOOKUP(DATE($K$1,$K$2,DDN$4),Table1[],(MATCH(Calendar!$A19,DB!$1:$1,0)),FALSE),"")</f>
        <v/>
      </c>
      <c r="DDO19" s="28" t="str">
        <f>IFERROR(VLOOKUP(DATE($K$1,$K$2,DDO$4),Table1[],(MATCH(Calendar!$A19,DB!$1:$1,0)),FALSE),"")</f>
        <v/>
      </c>
      <c r="DDP19" s="28" t="str">
        <f>IFERROR(VLOOKUP(DATE($K$1,$K$2,DDP$4),Table1[],(MATCH(Calendar!$A19,DB!$1:$1,0)),FALSE),"")</f>
        <v/>
      </c>
      <c r="DDQ19" s="28" t="str">
        <f>IFERROR(VLOOKUP(DATE($K$1,$K$2,DDQ$4),Table1[],(MATCH(Calendar!$A19,DB!$1:$1,0)),FALSE),"")</f>
        <v/>
      </c>
      <c r="DDR19" s="28" t="str">
        <f>IFERROR(VLOOKUP(DATE($K$1,$K$2,DDR$4),Table1[],(MATCH(Calendar!$A19,DB!$1:$1,0)),FALSE),"")</f>
        <v/>
      </c>
      <c r="DDS19" s="28" t="str">
        <f>IFERROR(VLOOKUP(DATE($K$1,$K$2,DDS$4),Table1[],(MATCH(Calendar!$A19,DB!$1:$1,0)),FALSE),"")</f>
        <v/>
      </c>
      <c r="DDT19" s="28" t="str">
        <f>IFERROR(VLOOKUP(DATE($K$1,$K$2,DDT$4),Table1[],(MATCH(Calendar!$A19,DB!$1:$1,0)),FALSE),"")</f>
        <v/>
      </c>
      <c r="DDU19" s="28" t="str">
        <f>IFERROR(VLOOKUP(DATE($K$1,$K$2,DDU$4),Table1[],(MATCH(Calendar!$A19,DB!$1:$1,0)),FALSE),"")</f>
        <v/>
      </c>
      <c r="DDV19" s="28" t="str">
        <f>IFERROR(VLOOKUP(DATE($K$1,$K$2,DDV$4),Table1[],(MATCH(Calendar!$A19,DB!$1:$1,0)),FALSE),"")</f>
        <v/>
      </c>
      <c r="DDW19" s="28" t="str">
        <f>IFERROR(VLOOKUP(DATE($K$1,$K$2,DDW$4),Table1[],(MATCH(Calendar!$A19,DB!$1:$1,0)),FALSE),"")</f>
        <v/>
      </c>
      <c r="DDX19" s="28" t="str">
        <f>IFERROR(VLOOKUP(DATE($K$1,$K$2,DDX$4),Table1[],(MATCH(Calendar!$A19,DB!$1:$1,0)),FALSE),"")</f>
        <v/>
      </c>
      <c r="DDY19" s="28" t="str">
        <f>IFERROR(VLOOKUP(DATE($K$1,$K$2,DDY$4),Table1[],(MATCH(Calendar!$A19,DB!$1:$1,0)),FALSE),"")</f>
        <v/>
      </c>
      <c r="DDZ19" s="28" t="str">
        <f>IFERROR(VLOOKUP(DATE($K$1,$K$2,DDZ$4),Table1[],(MATCH(Calendar!$A19,DB!$1:$1,0)),FALSE),"")</f>
        <v/>
      </c>
      <c r="DEA19" s="28" t="str">
        <f>IFERROR(VLOOKUP(DATE($K$1,$K$2,DEA$4),Table1[],(MATCH(Calendar!$A19,DB!$1:$1,0)),FALSE),"")</f>
        <v/>
      </c>
      <c r="DEB19" s="28" t="str">
        <f>IFERROR(VLOOKUP(DATE($K$1,$K$2,DEB$4),Table1[],(MATCH(Calendar!$A19,DB!$1:$1,0)),FALSE),"")</f>
        <v/>
      </c>
      <c r="DEC19" s="28" t="str">
        <f>IFERROR(VLOOKUP(DATE($K$1,$K$2,DEC$4),Table1[],(MATCH(Calendar!$A19,DB!$1:$1,0)),FALSE),"")</f>
        <v/>
      </c>
      <c r="DED19" s="28" t="str">
        <f>IFERROR(VLOOKUP(DATE($K$1,$K$2,DED$4),Table1[],(MATCH(Calendar!$A19,DB!$1:$1,0)),FALSE),"")</f>
        <v/>
      </c>
      <c r="DEE19" s="28" t="str">
        <f>IFERROR(VLOOKUP(DATE($K$1,$K$2,DEE$4),Table1[],(MATCH(Calendar!$A19,DB!$1:$1,0)),FALSE),"")</f>
        <v/>
      </c>
      <c r="DEF19" s="28" t="str">
        <f>IFERROR(VLOOKUP(DATE($K$1,$K$2,DEF$4),Table1[],(MATCH(Calendar!$A19,DB!$1:$1,0)),FALSE),"")</f>
        <v/>
      </c>
      <c r="DEG19" s="28" t="str">
        <f>IFERROR(VLOOKUP(DATE($K$1,$K$2,DEG$4),Table1[],(MATCH(Calendar!$A19,DB!$1:$1,0)),FALSE),"")</f>
        <v/>
      </c>
      <c r="DEH19" s="28" t="str">
        <f>IFERROR(VLOOKUP(DATE($K$1,$K$2,DEH$4),Table1[],(MATCH(Calendar!$A19,DB!$1:$1,0)),FALSE),"")</f>
        <v/>
      </c>
      <c r="DEI19" s="28" t="str">
        <f>IFERROR(VLOOKUP(DATE($K$1,$K$2,DEI$4),Table1[],(MATCH(Calendar!$A19,DB!$1:$1,0)),FALSE),"")</f>
        <v/>
      </c>
      <c r="DEJ19" s="28" t="str">
        <f>IFERROR(VLOOKUP(DATE($K$1,$K$2,DEJ$4),Table1[],(MATCH(Calendar!$A19,DB!$1:$1,0)),FALSE),"")</f>
        <v/>
      </c>
      <c r="DEK19" s="28" t="str">
        <f>IFERROR(VLOOKUP(DATE($K$1,$K$2,DEK$4),Table1[],(MATCH(Calendar!$A19,DB!$1:$1,0)),FALSE),"")</f>
        <v/>
      </c>
      <c r="DEL19" s="28" t="str">
        <f>IFERROR(VLOOKUP(DATE($K$1,$K$2,DEL$4),Table1[],(MATCH(Calendar!$A19,DB!$1:$1,0)),FALSE),"")</f>
        <v/>
      </c>
      <c r="DEM19" s="28" t="str">
        <f>IFERROR(VLOOKUP(DATE($K$1,$K$2,DEM$4),Table1[],(MATCH(Calendar!$A19,DB!$1:$1,0)),FALSE),"")</f>
        <v/>
      </c>
      <c r="DEN19" s="28" t="str">
        <f>IFERROR(VLOOKUP(DATE($K$1,$K$2,DEN$4),Table1[],(MATCH(Calendar!$A19,DB!$1:$1,0)),FALSE),"")</f>
        <v/>
      </c>
      <c r="DEO19" s="28" t="str">
        <f>IFERROR(VLOOKUP(DATE($K$1,$K$2,DEO$4),Table1[],(MATCH(Calendar!$A19,DB!$1:$1,0)),FALSE),"")</f>
        <v/>
      </c>
      <c r="DEP19" s="28" t="str">
        <f>IFERROR(VLOOKUP(DATE($K$1,$K$2,DEP$4),Table1[],(MATCH(Calendar!$A19,DB!$1:$1,0)),FALSE),"")</f>
        <v/>
      </c>
      <c r="DEQ19" s="28" t="str">
        <f>IFERROR(VLOOKUP(DATE($K$1,$K$2,DEQ$4),Table1[],(MATCH(Calendar!$A19,DB!$1:$1,0)),FALSE),"")</f>
        <v/>
      </c>
      <c r="DER19" s="28" t="str">
        <f>IFERROR(VLOOKUP(DATE($K$1,$K$2,DER$4),Table1[],(MATCH(Calendar!$A19,DB!$1:$1,0)),FALSE),"")</f>
        <v/>
      </c>
      <c r="DES19" s="28" t="str">
        <f>IFERROR(VLOOKUP(DATE($K$1,$K$2,DES$4),Table1[],(MATCH(Calendar!$A19,DB!$1:$1,0)),FALSE),"")</f>
        <v/>
      </c>
      <c r="DET19" s="28" t="str">
        <f>IFERROR(VLOOKUP(DATE($K$1,$K$2,DET$4),Table1[],(MATCH(Calendar!$A19,DB!$1:$1,0)),FALSE),"")</f>
        <v/>
      </c>
      <c r="DEU19" s="28" t="str">
        <f>IFERROR(VLOOKUP(DATE($K$1,$K$2,DEU$4),Table1[],(MATCH(Calendar!$A19,DB!$1:$1,0)),FALSE),"")</f>
        <v/>
      </c>
      <c r="DEV19" s="28" t="str">
        <f>IFERROR(VLOOKUP(DATE($K$1,$K$2,DEV$4),Table1[],(MATCH(Calendar!$A19,DB!$1:$1,0)),FALSE),"")</f>
        <v/>
      </c>
      <c r="DEW19" s="28" t="str">
        <f>IFERROR(VLOOKUP(DATE($K$1,$K$2,DEW$4),Table1[],(MATCH(Calendar!$A19,DB!$1:$1,0)),FALSE),"")</f>
        <v/>
      </c>
      <c r="DEX19" s="28" t="str">
        <f>IFERROR(VLOOKUP(DATE($K$1,$K$2,DEX$4),Table1[],(MATCH(Calendar!$A19,DB!$1:$1,0)),FALSE),"")</f>
        <v/>
      </c>
      <c r="DEY19" s="28" t="str">
        <f>IFERROR(VLOOKUP(DATE($K$1,$K$2,DEY$4),Table1[],(MATCH(Calendar!$A19,DB!$1:$1,0)),FALSE),"")</f>
        <v/>
      </c>
      <c r="DEZ19" s="28" t="str">
        <f>IFERROR(VLOOKUP(DATE($K$1,$K$2,DEZ$4),Table1[],(MATCH(Calendar!$A19,DB!$1:$1,0)),FALSE),"")</f>
        <v/>
      </c>
      <c r="DFA19" s="28" t="str">
        <f>IFERROR(VLOOKUP(DATE($K$1,$K$2,DFA$4),Table1[],(MATCH(Calendar!$A19,DB!$1:$1,0)),FALSE),"")</f>
        <v/>
      </c>
      <c r="DFB19" s="28" t="str">
        <f>IFERROR(VLOOKUP(DATE($K$1,$K$2,DFB$4),Table1[],(MATCH(Calendar!$A19,DB!$1:$1,0)),FALSE),"")</f>
        <v/>
      </c>
      <c r="DFC19" s="28" t="str">
        <f>IFERROR(VLOOKUP(DATE($K$1,$K$2,DFC$4),Table1[],(MATCH(Calendar!$A19,DB!$1:$1,0)),FALSE),"")</f>
        <v/>
      </c>
      <c r="DFD19" s="28" t="str">
        <f>IFERROR(VLOOKUP(DATE($K$1,$K$2,DFD$4),Table1[],(MATCH(Calendar!$A19,DB!$1:$1,0)),FALSE),"")</f>
        <v/>
      </c>
      <c r="DFE19" s="28" t="str">
        <f>IFERROR(VLOOKUP(DATE($K$1,$K$2,DFE$4),Table1[],(MATCH(Calendar!$A19,DB!$1:$1,0)),FALSE),"")</f>
        <v/>
      </c>
      <c r="DFF19" s="28" t="str">
        <f>IFERROR(VLOOKUP(DATE($K$1,$K$2,DFF$4),Table1[],(MATCH(Calendar!$A19,DB!$1:$1,0)),FALSE),"")</f>
        <v/>
      </c>
      <c r="DFG19" s="28" t="str">
        <f>IFERROR(VLOOKUP(DATE($K$1,$K$2,DFG$4),Table1[],(MATCH(Calendar!$A19,DB!$1:$1,0)),FALSE),"")</f>
        <v/>
      </c>
      <c r="DFH19" s="28" t="str">
        <f>IFERROR(VLOOKUP(DATE($K$1,$K$2,DFH$4),Table1[],(MATCH(Calendar!$A19,DB!$1:$1,0)),FALSE),"")</f>
        <v/>
      </c>
      <c r="DFI19" s="28" t="str">
        <f>IFERROR(VLOOKUP(DATE($K$1,$K$2,DFI$4),Table1[],(MATCH(Calendar!$A19,DB!$1:$1,0)),FALSE),"")</f>
        <v/>
      </c>
      <c r="DFJ19" s="28" t="str">
        <f>IFERROR(VLOOKUP(DATE($K$1,$K$2,DFJ$4),Table1[],(MATCH(Calendar!$A19,DB!$1:$1,0)),FALSE),"")</f>
        <v/>
      </c>
      <c r="DFK19" s="28" t="str">
        <f>IFERROR(VLOOKUP(DATE($K$1,$K$2,DFK$4),Table1[],(MATCH(Calendar!$A19,DB!$1:$1,0)),FALSE),"")</f>
        <v/>
      </c>
      <c r="DFL19" s="28" t="str">
        <f>IFERROR(VLOOKUP(DATE($K$1,$K$2,DFL$4),Table1[],(MATCH(Calendar!$A19,DB!$1:$1,0)),FALSE),"")</f>
        <v/>
      </c>
      <c r="DFM19" s="28" t="str">
        <f>IFERROR(VLOOKUP(DATE($K$1,$K$2,DFM$4),Table1[],(MATCH(Calendar!$A19,DB!$1:$1,0)),FALSE),"")</f>
        <v/>
      </c>
      <c r="DFN19" s="28" t="str">
        <f>IFERROR(VLOOKUP(DATE($K$1,$K$2,DFN$4),Table1[],(MATCH(Calendar!$A19,DB!$1:$1,0)),FALSE),"")</f>
        <v/>
      </c>
      <c r="DFO19" s="28" t="str">
        <f>IFERROR(VLOOKUP(DATE($K$1,$K$2,DFO$4),Table1[],(MATCH(Calendar!$A19,DB!$1:$1,0)),FALSE),"")</f>
        <v/>
      </c>
      <c r="DFP19" s="28" t="str">
        <f>IFERROR(VLOOKUP(DATE($K$1,$K$2,DFP$4),Table1[],(MATCH(Calendar!$A19,DB!$1:$1,0)),FALSE),"")</f>
        <v/>
      </c>
      <c r="DFQ19" s="28" t="str">
        <f>IFERROR(VLOOKUP(DATE($K$1,$K$2,DFQ$4),Table1[],(MATCH(Calendar!$A19,DB!$1:$1,0)),FALSE),"")</f>
        <v/>
      </c>
      <c r="DFR19" s="28" t="str">
        <f>IFERROR(VLOOKUP(DATE($K$1,$K$2,DFR$4),Table1[],(MATCH(Calendar!$A19,DB!$1:$1,0)),FALSE),"")</f>
        <v/>
      </c>
      <c r="DFS19" s="28" t="str">
        <f>IFERROR(VLOOKUP(DATE($K$1,$K$2,DFS$4),Table1[],(MATCH(Calendar!$A19,DB!$1:$1,0)),FALSE),"")</f>
        <v/>
      </c>
      <c r="DFT19" s="28" t="str">
        <f>IFERROR(VLOOKUP(DATE($K$1,$K$2,DFT$4),Table1[],(MATCH(Calendar!$A19,DB!$1:$1,0)),FALSE),"")</f>
        <v/>
      </c>
      <c r="DFU19" s="28" t="str">
        <f>IFERROR(VLOOKUP(DATE($K$1,$K$2,DFU$4),Table1[],(MATCH(Calendar!$A19,DB!$1:$1,0)),FALSE),"")</f>
        <v/>
      </c>
      <c r="DFV19" s="28" t="str">
        <f>IFERROR(VLOOKUP(DATE($K$1,$K$2,DFV$4),Table1[],(MATCH(Calendar!$A19,DB!$1:$1,0)),FALSE),"")</f>
        <v/>
      </c>
      <c r="DFW19" s="28" t="str">
        <f>IFERROR(VLOOKUP(DATE($K$1,$K$2,DFW$4),Table1[],(MATCH(Calendar!$A19,DB!$1:$1,0)),FALSE),"")</f>
        <v/>
      </c>
      <c r="DFX19" s="28" t="str">
        <f>IFERROR(VLOOKUP(DATE($K$1,$K$2,DFX$4),Table1[],(MATCH(Calendar!$A19,DB!$1:$1,0)),FALSE),"")</f>
        <v/>
      </c>
      <c r="DFY19" s="28" t="str">
        <f>IFERROR(VLOOKUP(DATE($K$1,$K$2,DFY$4),Table1[],(MATCH(Calendar!$A19,DB!$1:$1,0)),FALSE),"")</f>
        <v/>
      </c>
      <c r="DFZ19" s="28" t="str">
        <f>IFERROR(VLOOKUP(DATE($K$1,$K$2,DFZ$4),Table1[],(MATCH(Calendar!$A19,DB!$1:$1,0)),FALSE),"")</f>
        <v/>
      </c>
      <c r="DGA19" s="28" t="str">
        <f>IFERROR(VLOOKUP(DATE($K$1,$K$2,DGA$4),Table1[],(MATCH(Calendar!$A19,DB!$1:$1,0)),FALSE),"")</f>
        <v/>
      </c>
      <c r="DGB19" s="28" t="str">
        <f>IFERROR(VLOOKUP(DATE($K$1,$K$2,DGB$4),Table1[],(MATCH(Calendar!$A19,DB!$1:$1,0)),FALSE),"")</f>
        <v/>
      </c>
      <c r="DGC19" s="28" t="str">
        <f>IFERROR(VLOOKUP(DATE($K$1,$K$2,DGC$4),Table1[],(MATCH(Calendar!$A19,DB!$1:$1,0)),FALSE),"")</f>
        <v/>
      </c>
      <c r="DGD19" s="28" t="str">
        <f>IFERROR(VLOOKUP(DATE($K$1,$K$2,DGD$4),Table1[],(MATCH(Calendar!$A19,DB!$1:$1,0)),FALSE),"")</f>
        <v/>
      </c>
      <c r="DGE19" s="28" t="str">
        <f>IFERROR(VLOOKUP(DATE($K$1,$K$2,DGE$4),Table1[],(MATCH(Calendar!$A19,DB!$1:$1,0)),FALSE),"")</f>
        <v/>
      </c>
      <c r="DGF19" s="28" t="str">
        <f>IFERROR(VLOOKUP(DATE($K$1,$K$2,DGF$4),Table1[],(MATCH(Calendar!$A19,DB!$1:$1,0)),FALSE),"")</f>
        <v/>
      </c>
      <c r="DGG19" s="28" t="str">
        <f>IFERROR(VLOOKUP(DATE($K$1,$K$2,DGG$4),Table1[],(MATCH(Calendar!$A19,DB!$1:$1,0)),FALSE),"")</f>
        <v/>
      </c>
      <c r="DGH19" s="28" t="str">
        <f>IFERROR(VLOOKUP(DATE($K$1,$K$2,DGH$4),Table1[],(MATCH(Calendar!$A19,DB!$1:$1,0)),FALSE),"")</f>
        <v/>
      </c>
      <c r="DGI19" s="28" t="str">
        <f>IFERROR(VLOOKUP(DATE($K$1,$K$2,DGI$4),Table1[],(MATCH(Calendar!$A19,DB!$1:$1,0)),FALSE),"")</f>
        <v/>
      </c>
      <c r="DGJ19" s="28" t="str">
        <f>IFERROR(VLOOKUP(DATE($K$1,$K$2,DGJ$4),Table1[],(MATCH(Calendar!$A19,DB!$1:$1,0)),FALSE),"")</f>
        <v/>
      </c>
      <c r="DGK19" s="28" t="str">
        <f>IFERROR(VLOOKUP(DATE($K$1,$K$2,DGK$4),Table1[],(MATCH(Calendar!$A19,DB!$1:$1,0)),FALSE),"")</f>
        <v/>
      </c>
      <c r="DGL19" s="28" t="str">
        <f>IFERROR(VLOOKUP(DATE($K$1,$K$2,DGL$4),Table1[],(MATCH(Calendar!$A19,DB!$1:$1,0)),FALSE),"")</f>
        <v/>
      </c>
      <c r="DGM19" s="28" t="str">
        <f>IFERROR(VLOOKUP(DATE($K$1,$K$2,DGM$4),Table1[],(MATCH(Calendar!$A19,DB!$1:$1,0)),FALSE),"")</f>
        <v/>
      </c>
      <c r="DGN19" s="28" t="str">
        <f>IFERROR(VLOOKUP(DATE($K$1,$K$2,DGN$4),Table1[],(MATCH(Calendar!$A19,DB!$1:$1,0)),FALSE),"")</f>
        <v/>
      </c>
      <c r="DGO19" s="28" t="str">
        <f>IFERROR(VLOOKUP(DATE($K$1,$K$2,DGO$4),Table1[],(MATCH(Calendar!$A19,DB!$1:$1,0)),FALSE),"")</f>
        <v/>
      </c>
      <c r="DGP19" s="28" t="str">
        <f>IFERROR(VLOOKUP(DATE($K$1,$K$2,DGP$4),Table1[],(MATCH(Calendar!$A19,DB!$1:$1,0)),FALSE),"")</f>
        <v/>
      </c>
      <c r="DGQ19" s="28" t="str">
        <f>IFERROR(VLOOKUP(DATE($K$1,$K$2,DGQ$4),Table1[],(MATCH(Calendar!$A19,DB!$1:$1,0)),FALSE),"")</f>
        <v/>
      </c>
      <c r="DGR19" s="28" t="str">
        <f>IFERROR(VLOOKUP(DATE($K$1,$K$2,DGR$4),Table1[],(MATCH(Calendar!$A19,DB!$1:$1,0)),FALSE),"")</f>
        <v/>
      </c>
      <c r="DGS19" s="28" t="str">
        <f>IFERROR(VLOOKUP(DATE($K$1,$K$2,DGS$4),Table1[],(MATCH(Calendar!$A19,DB!$1:$1,0)),FALSE),"")</f>
        <v/>
      </c>
      <c r="DGT19" s="28" t="str">
        <f>IFERROR(VLOOKUP(DATE($K$1,$K$2,DGT$4),Table1[],(MATCH(Calendar!$A19,DB!$1:$1,0)),FALSE),"")</f>
        <v/>
      </c>
      <c r="DGU19" s="28" t="str">
        <f>IFERROR(VLOOKUP(DATE($K$1,$K$2,DGU$4),Table1[],(MATCH(Calendar!$A19,DB!$1:$1,0)),FALSE),"")</f>
        <v/>
      </c>
      <c r="DGV19" s="28" t="str">
        <f>IFERROR(VLOOKUP(DATE($K$1,$K$2,DGV$4),Table1[],(MATCH(Calendar!$A19,DB!$1:$1,0)),FALSE),"")</f>
        <v/>
      </c>
      <c r="DGW19" s="28" t="str">
        <f>IFERROR(VLOOKUP(DATE($K$1,$K$2,DGW$4),Table1[],(MATCH(Calendar!$A19,DB!$1:$1,0)),FALSE),"")</f>
        <v/>
      </c>
      <c r="DGX19" s="28" t="str">
        <f>IFERROR(VLOOKUP(DATE($K$1,$K$2,DGX$4),Table1[],(MATCH(Calendar!$A19,DB!$1:$1,0)),FALSE),"")</f>
        <v/>
      </c>
      <c r="DGY19" s="28" t="str">
        <f>IFERROR(VLOOKUP(DATE($K$1,$K$2,DGY$4),Table1[],(MATCH(Calendar!$A19,DB!$1:$1,0)),FALSE),"")</f>
        <v/>
      </c>
      <c r="DGZ19" s="28" t="str">
        <f>IFERROR(VLOOKUP(DATE($K$1,$K$2,DGZ$4),Table1[],(MATCH(Calendar!$A19,DB!$1:$1,0)),FALSE),"")</f>
        <v/>
      </c>
      <c r="DHA19" s="28" t="str">
        <f>IFERROR(VLOOKUP(DATE($K$1,$K$2,DHA$4),Table1[],(MATCH(Calendar!$A19,DB!$1:$1,0)),FALSE),"")</f>
        <v/>
      </c>
      <c r="DHB19" s="28" t="str">
        <f>IFERROR(VLOOKUP(DATE($K$1,$K$2,DHB$4),Table1[],(MATCH(Calendar!$A19,DB!$1:$1,0)),FALSE),"")</f>
        <v/>
      </c>
      <c r="DHC19" s="28" t="str">
        <f>IFERROR(VLOOKUP(DATE($K$1,$K$2,DHC$4),Table1[],(MATCH(Calendar!$A19,DB!$1:$1,0)),FALSE),"")</f>
        <v/>
      </c>
      <c r="DHD19" s="28" t="str">
        <f>IFERROR(VLOOKUP(DATE($K$1,$K$2,DHD$4),Table1[],(MATCH(Calendar!$A19,DB!$1:$1,0)),FALSE),"")</f>
        <v/>
      </c>
      <c r="DHE19" s="28" t="str">
        <f>IFERROR(VLOOKUP(DATE($K$1,$K$2,DHE$4),Table1[],(MATCH(Calendar!$A19,DB!$1:$1,0)),FALSE),"")</f>
        <v/>
      </c>
      <c r="DHF19" s="28" t="str">
        <f>IFERROR(VLOOKUP(DATE($K$1,$K$2,DHF$4),Table1[],(MATCH(Calendar!$A19,DB!$1:$1,0)),FALSE),"")</f>
        <v/>
      </c>
      <c r="DHG19" s="28" t="str">
        <f>IFERROR(VLOOKUP(DATE($K$1,$K$2,DHG$4),Table1[],(MATCH(Calendar!$A19,DB!$1:$1,0)),FALSE),"")</f>
        <v/>
      </c>
      <c r="DHH19" s="28" t="str">
        <f>IFERROR(VLOOKUP(DATE($K$1,$K$2,DHH$4),Table1[],(MATCH(Calendar!$A19,DB!$1:$1,0)),FALSE),"")</f>
        <v/>
      </c>
      <c r="DHI19" s="28" t="str">
        <f>IFERROR(VLOOKUP(DATE($K$1,$K$2,DHI$4),Table1[],(MATCH(Calendar!$A19,DB!$1:$1,0)),FALSE),"")</f>
        <v/>
      </c>
      <c r="DHJ19" s="28" t="str">
        <f>IFERROR(VLOOKUP(DATE($K$1,$K$2,DHJ$4),Table1[],(MATCH(Calendar!$A19,DB!$1:$1,0)),FALSE),"")</f>
        <v/>
      </c>
      <c r="DHK19" s="28" t="str">
        <f>IFERROR(VLOOKUP(DATE($K$1,$K$2,DHK$4),Table1[],(MATCH(Calendar!$A19,DB!$1:$1,0)),FALSE),"")</f>
        <v/>
      </c>
      <c r="DHL19" s="28" t="str">
        <f>IFERROR(VLOOKUP(DATE($K$1,$K$2,DHL$4),Table1[],(MATCH(Calendar!$A19,DB!$1:$1,0)),FALSE),"")</f>
        <v/>
      </c>
      <c r="DHM19" s="28" t="str">
        <f>IFERROR(VLOOKUP(DATE($K$1,$K$2,DHM$4),Table1[],(MATCH(Calendar!$A19,DB!$1:$1,0)),FALSE),"")</f>
        <v/>
      </c>
      <c r="DHN19" s="28" t="str">
        <f>IFERROR(VLOOKUP(DATE($K$1,$K$2,DHN$4),Table1[],(MATCH(Calendar!$A19,DB!$1:$1,0)),FALSE),"")</f>
        <v/>
      </c>
      <c r="DHO19" s="28" t="str">
        <f>IFERROR(VLOOKUP(DATE($K$1,$K$2,DHO$4),Table1[],(MATCH(Calendar!$A19,DB!$1:$1,0)),FALSE),"")</f>
        <v/>
      </c>
      <c r="DHP19" s="28" t="str">
        <f>IFERROR(VLOOKUP(DATE($K$1,$K$2,DHP$4),Table1[],(MATCH(Calendar!$A19,DB!$1:$1,0)),FALSE),"")</f>
        <v/>
      </c>
      <c r="DHQ19" s="28" t="str">
        <f>IFERROR(VLOOKUP(DATE($K$1,$K$2,DHQ$4),Table1[],(MATCH(Calendar!$A19,DB!$1:$1,0)),FALSE),"")</f>
        <v/>
      </c>
      <c r="DHR19" s="28" t="str">
        <f>IFERROR(VLOOKUP(DATE($K$1,$K$2,DHR$4),Table1[],(MATCH(Calendar!$A19,DB!$1:$1,0)),FALSE),"")</f>
        <v/>
      </c>
      <c r="DHS19" s="28" t="str">
        <f>IFERROR(VLOOKUP(DATE($K$1,$K$2,DHS$4),Table1[],(MATCH(Calendar!$A19,DB!$1:$1,0)),FALSE),"")</f>
        <v/>
      </c>
      <c r="DHT19" s="28" t="str">
        <f>IFERROR(VLOOKUP(DATE($K$1,$K$2,DHT$4),Table1[],(MATCH(Calendar!$A19,DB!$1:$1,0)),FALSE),"")</f>
        <v/>
      </c>
      <c r="DHU19" s="28" t="str">
        <f>IFERROR(VLOOKUP(DATE($K$1,$K$2,DHU$4),Table1[],(MATCH(Calendar!$A19,DB!$1:$1,0)),FALSE),"")</f>
        <v/>
      </c>
      <c r="DHV19" s="28" t="str">
        <f>IFERROR(VLOOKUP(DATE($K$1,$K$2,DHV$4),Table1[],(MATCH(Calendar!$A19,DB!$1:$1,0)),FALSE),"")</f>
        <v/>
      </c>
      <c r="DHW19" s="28" t="str">
        <f>IFERROR(VLOOKUP(DATE($K$1,$K$2,DHW$4),Table1[],(MATCH(Calendar!$A19,DB!$1:$1,0)),FALSE),"")</f>
        <v/>
      </c>
      <c r="DHX19" s="28" t="str">
        <f>IFERROR(VLOOKUP(DATE($K$1,$K$2,DHX$4),Table1[],(MATCH(Calendar!$A19,DB!$1:$1,0)),FALSE),"")</f>
        <v/>
      </c>
      <c r="DHY19" s="28" t="str">
        <f>IFERROR(VLOOKUP(DATE($K$1,$K$2,DHY$4),Table1[],(MATCH(Calendar!$A19,DB!$1:$1,0)),FALSE),"")</f>
        <v/>
      </c>
      <c r="DHZ19" s="28" t="str">
        <f>IFERROR(VLOOKUP(DATE($K$1,$K$2,DHZ$4),Table1[],(MATCH(Calendar!$A19,DB!$1:$1,0)),FALSE),"")</f>
        <v/>
      </c>
      <c r="DIA19" s="28" t="str">
        <f>IFERROR(VLOOKUP(DATE($K$1,$K$2,DIA$4),Table1[],(MATCH(Calendar!$A19,DB!$1:$1,0)),FALSE),"")</f>
        <v/>
      </c>
      <c r="DIB19" s="28" t="str">
        <f>IFERROR(VLOOKUP(DATE($K$1,$K$2,DIB$4),Table1[],(MATCH(Calendar!$A19,DB!$1:$1,0)),FALSE),"")</f>
        <v/>
      </c>
      <c r="DIC19" s="28" t="str">
        <f>IFERROR(VLOOKUP(DATE($K$1,$K$2,DIC$4),Table1[],(MATCH(Calendar!$A19,DB!$1:$1,0)),FALSE),"")</f>
        <v/>
      </c>
      <c r="DID19" s="28" t="str">
        <f>IFERROR(VLOOKUP(DATE($K$1,$K$2,DID$4),Table1[],(MATCH(Calendar!$A19,DB!$1:$1,0)),FALSE),"")</f>
        <v/>
      </c>
      <c r="DIE19" s="28" t="str">
        <f>IFERROR(VLOOKUP(DATE($K$1,$K$2,DIE$4),Table1[],(MATCH(Calendar!$A19,DB!$1:$1,0)),FALSE),"")</f>
        <v/>
      </c>
      <c r="DIF19" s="28" t="str">
        <f>IFERROR(VLOOKUP(DATE($K$1,$K$2,DIF$4),Table1[],(MATCH(Calendar!$A19,DB!$1:$1,0)),FALSE),"")</f>
        <v/>
      </c>
      <c r="DIG19" s="28" t="str">
        <f>IFERROR(VLOOKUP(DATE($K$1,$K$2,DIG$4),Table1[],(MATCH(Calendar!$A19,DB!$1:$1,0)),FALSE),"")</f>
        <v/>
      </c>
      <c r="DIH19" s="28" t="str">
        <f>IFERROR(VLOOKUP(DATE($K$1,$K$2,DIH$4),Table1[],(MATCH(Calendar!$A19,DB!$1:$1,0)),FALSE),"")</f>
        <v/>
      </c>
      <c r="DII19" s="28" t="str">
        <f>IFERROR(VLOOKUP(DATE($K$1,$K$2,DII$4),Table1[],(MATCH(Calendar!$A19,DB!$1:$1,0)),FALSE),"")</f>
        <v/>
      </c>
      <c r="DIJ19" s="28" t="str">
        <f>IFERROR(VLOOKUP(DATE($K$1,$K$2,DIJ$4),Table1[],(MATCH(Calendar!$A19,DB!$1:$1,0)),FALSE),"")</f>
        <v/>
      </c>
      <c r="DIK19" s="28" t="str">
        <f>IFERROR(VLOOKUP(DATE($K$1,$K$2,DIK$4),Table1[],(MATCH(Calendar!$A19,DB!$1:$1,0)),FALSE),"")</f>
        <v/>
      </c>
      <c r="DIL19" s="28" t="str">
        <f>IFERROR(VLOOKUP(DATE($K$1,$K$2,DIL$4),Table1[],(MATCH(Calendar!$A19,DB!$1:$1,0)),FALSE),"")</f>
        <v/>
      </c>
      <c r="DIM19" s="28" t="str">
        <f>IFERROR(VLOOKUP(DATE($K$1,$K$2,DIM$4),Table1[],(MATCH(Calendar!$A19,DB!$1:$1,0)),FALSE),"")</f>
        <v/>
      </c>
      <c r="DIN19" s="28" t="str">
        <f>IFERROR(VLOOKUP(DATE($K$1,$K$2,DIN$4),Table1[],(MATCH(Calendar!$A19,DB!$1:$1,0)),FALSE),"")</f>
        <v/>
      </c>
      <c r="DIO19" s="28" t="str">
        <f>IFERROR(VLOOKUP(DATE($K$1,$K$2,DIO$4),Table1[],(MATCH(Calendar!$A19,DB!$1:$1,0)),FALSE),"")</f>
        <v/>
      </c>
      <c r="DIP19" s="28" t="str">
        <f>IFERROR(VLOOKUP(DATE($K$1,$K$2,DIP$4),Table1[],(MATCH(Calendar!$A19,DB!$1:$1,0)),FALSE),"")</f>
        <v/>
      </c>
      <c r="DIQ19" s="28" t="str">
        <f>IFERROR(VLOOKUP(DATE($K$1,$K$2,DIQ$4),Table1[],(MATCH(Calendar!$A19,DB!$1:$1,0)),FALSE),"")</f>
        <v/>
      </c>
      <c r="DIR19" s="28" t="str">
        <f>IFERROR(VLOOKUP(DATE($K$1,$K$2,DIR$4),Table1[],(MATCH(Calendar!$A19,DB!$1:$1,0)),FALSE),"")</f>
        <v/>
      </c>
      <c r="DIS19" s="28" t="str">
        <f>IFERROR(VLOOKUP(DATE($K$1,$K$2,DIS$4),Table1[],(MATCH(Calendar!$A19,DB!$1:$1,0)),FALSE),"")</f>
        <v/>
      </c>
      <c r="DIT19" s="28" t="str">
        <f>IFERROR(VLOOKUP(DATE($K$1,$K$2,DIT$4),Table1[],(MATCH(Calendar!$A19,DB!$1:$1,0)),FALSE),"")</f>
        <v/>
      </c>
      <c r="DIU19" s="28" t="str">
        <f>IFERROR(VLOOKUP(DATE($K$1,$K$2,DIU$4),Table1[],(MATCH(Calendar!$A19,DB!$1:$1,0)),FALSE),"")</f>
        <v/>
      </c>
      <c r="DIV19" s="28" t="str">
        <f>IFERROR(VLOOKUP(DATE($K$1,$K$2,DIV$4),Table1[],(MATCH(Calendar!$A19,DB!$1:$1,0)),FALSE),"")</f>
        <v/>
      </c>
      <c r="DIW19" s="28" t="str">
        <f>IFERROR(VLOOKUP(DATE($K$1,$K$2,DIW$4),Table1[],(MATCH(Calendar!$A19,DB!$1:$1,0)),FALSE),"")</f>
        <v/>
      </c>
      <c r="DIX19" s="28" t="str">
        <f>IFERROR(VLOOKUP(DATE($K$1,$K$2,DIX$4),Table1[],(MATCH(Calendar!$A19,DB!$1:$1,0)),FALSE),"")</f>
        <v/>
      </c>
      <c r="DIY19" s="28" t="str">
        <f>IFERROR(VLOOKUP(DATE($K$1,$K$2,DIY$4),Table1[],(MATCH(Calendar!$A19,DB!$1:$1,0)),FALSE),"")</f>
        <v/>
      </c>
      <c r="DIZ19" s="28" t="str">
        <f>IFERROR(VLOOKUP(DATE($K$1,$K$2,DIZ$4),Table1[],(MATCH(Calendar!$A19,DB!$1:$1,0)),FALSE),"")</f>
        <v/>
      </c>
      <c r="DJA19" s="28" t="str">
        <f>IFERROR(VLOOKUP(DATE($K$1,$K$2,DJA$4),Table1[],(MATCH(Calendar!$A19,DB!$1:$1,0)),FALSE),"")</f>
        <v/>
      </c>
      <c r="DJB19" s="28" t="str">
        <f>IFERROR(VLOOKUP(DATE($K$1,$K$2,DJB$4),Table1[],(MATCH(Calendar!$A19,DB!$1:$1,0)),FALSE),"")</f>
        <v/>
      </c>
      <c r="DJC19" s="28" t="str">
        <f>IFERROR(VLOOKUP(DATE($K$1,$K$2,DJC$4),Table1[],(MATCH(Calendar!$A19,DB!$1:$1,0)),FALSE),"")</f>
        <v/>
      </c>
      <c r="DJD19" s="28" t="str">
        <f>IFERROR(VLOOKUP(DATE($K$1,$K$2,DJD$4),Table1[],(MATCH(Calendar!$A19,DB!$1:$1,0)),FALSE),"")</f>
        <v/>
      </c>
      <c r="DJE19" s="28" t="str">
        <f>IFERROR(VLOOKUP(DATE($K$1,$K$2,DJE$4),Table1[],(MATCH(Calendar!$A19,DB!$1:$1,0)),FALSE),"")</f>
        <v/>
      </c>
      <c r="DJF19" s="28" t="str">
        <f>IFERROR(VLOOKUP(DATE($K$1,$K$2,DJF$4),Table1[],(MATCH(Calendar!$A19,DB!$1:$1,0)),FALSE),"")</f>
        <v/>
      </c>
      <c r="DJG19" s="28" t="str">
        <f>IFERROR(VLOOKUP(DATE($K$1,$K$2,DJG$4),Table1[],(MATCH(Calendar!$A19,DB!$1:$1,0)),FALSE),"")</f>
        <v/>
      </c>
      <c r="DJH19" s="28" t="str">
        <f>IFERROR(VLOOKUP(DATE($K$1,$K$2,DJH$4),Table1[],(MATCH(Calendar!$A19,DB!$1:$1,0)),FALSE),"")</f>
        <v/>
      </c>
      <c r="DJI19" s="28" t="str">
        <f>IFERROR(VLOOKUP(DATE($K$1,$K$2,DJI$4),Table1[],(MATCH(Calendar!$A19,DB!$1:$1,0)),FALSE),"")</f>
        <v/>
      </c>
      <c r="DJJ19" s="28" t="str">
        <f>IFERROR(VLOOKUP(DATE($K$1,$K$2,DJJ$4),Table1[],(MATCH(Calendar!$A19,DB!$1:$1,0)),FALSE),"")</f>
        <v/>
      </c>
      <c r="DJK19" s="28" t="str">
        <f>IFERROR(VLOOKUP(DATE($K$1,$K$2,DJK$4),Table1[],(MATCH(Calendar!$A19,DB!$1:$1,0)),FALSE),"")</f>
        <v/>
      </c>
      <c r="DJL19" s="28" t="str">
        <f>IFERROR(VLOOKUP(DATE($K$1,$K$2,DJL$4),Table1[],(MATCH(Calendar!$A19,DB!$1:$1,0)),FALSE),"")</f>
        <v/>
      </c>
      <c r="DJM19" s="28" t="str">
        <f>IFERROR(VLOOKUP(DATE($K$1,$K$2,DJM$4),Table1[],(MATCH(Calendar!$A19,DB!$1:$1,0)),FALSE),"")</f>
        <v/>
      </c>
      <c r="DJN19" s="28" t="str">
        <f>IFERROR(VLOOKUP(DATE($K$1,$K$2,DJN$4),Table1[],(MATCH(Calendar!$A19,DB!$1:$1,0)),FALSE),"")</f>
        <v/>
      </c>
      <c r="DJO19" s="28" t="str">
        <f>IFERROR(VLOOKUP(DATE($K$1,$K$2,DJO$4),Table1[],(MATCH(Calendar!$A19,DB!$1:$1,0)),FALSE),"")</f>
        <v/>
      </c>
      <c r="DJP19" s="28" t="str">
        <f>IFERROR(VLOOKUP(DATE($K$1,$K$2,DJP$4),Table1[],(MATCH(Calendar!$A19,DB!$1:$1,0)),FALSE),"")</f>
        <v/>
      </c>
      <c r="DJQ19" s="28" t="str">
        <f>IFERROR(VLOOKUP(DATE($K$1,$K$2,DJQ$4),Table1[],(MATCH(Calendar!$A19,DB!$1:$1,0)),FALSE),"")</f>
        <v/>
      </c>
      <c r="DJR19" s="28" t="str">
        <f>IFERROR(VLOOKUP(DATE($K$1,$K$2,DJR$4),Table1[],(MATCH(Calendar!$A19,DB!$1:$1,0)),FALSE),"")</f>
        <v/>
      </c>
      <c r="DJS19" s="28" t="str">
        <f>IFERROR(VLOOKUP(DATE($K$1,$K$2,DJS$4),Table1[],(MATCH(Calendar!$A19,DB!$1:$1,0)),FALSE),"")</f>
        <v/>
      </c>
      <c r="DJT19" s="28" t="str">
        <f>IFERROR(VLOOKUP(DATE($K$1,$K$2,DJT$4),Table1[],(MATCH(Calendar!$A19,DB!$1:$1,0)),FALSE),"")</f>
        <v/>
      </c>
      <c r="DJU19" s="28" t="str">
        <f>IFERROR(VLOOKUP(DATE($K$1,$K$2,DJU$4),Table1[],(MATCH(Calendar!$A19,DB!$1:$1,0)),FALSE),"")</f>
        <v/>
      </c>
      <c r="DJV19" s="28" t="str">
        <f>IFERROR(VLOOKUP(DATE($K$1,$K$2,DJV$4),Table1[],(MATCH(Calendar!$A19,DB!$1:$1,0)),FALSE),"")</f>
        <v/>
      </c>
      <c r="DJW19" s="28" t="str">
        <f>IFERROR(VLOOKUP(DATE($K$1,$K$2,DJW$4),Table1[],(MATCH(Calendar!$A19,DB!$1:$1,0)),FALSE),"")</f>
        <v/>
      </c>
      <c r="DJX19" s="28" t="str">
        <f>IFERROR(VLOOKUP(DATE($K$1,$K$2,DJX$4),Table1[],(MATCH(Calendar!$A19,DB!$1:$1,0)),FALSE),"")</f>
        <v/>
      </c>
      <c r="DJY19" s="28" t="str">
        <f>IFERROR(VLOOKUP(DATE($K$1,$K$2,DJY$4),Table1[],(MATCH(Calendar!$A19,DB!$1:$1,0)),FALSE),"")</f>
        <v/>
      </c>
      <c r="DJZ19" s="28" t="str">
        <f>IFERROR(VLOOKUP(DATE($K$1,$K$2,DJZ$4),Table1[],(MATCH(Calendar!$A19,DB!$1:$1,0)),FALSE),"")</f>
        <v/>
      </c>
      <c r="DKA19" s="28" t="str">
        <f>IFERROR(VLOOKUP(DATE($K$1,$K$2,DKA$4),Table1[],(MATCH(Calendar!$A19,DB!$1:$1,0)),FALSE),"")</f>
        <v/>
      </c>
      <c r="DKB19" s="28" t="str">
        <f>IFERROR(VLOOKUP(DATE($K$1,$K$2,DKB$4),Table1[],(MATCH(Calendar!$A19,DB!$1:$1,0)),FALSE),"")</f>
        <v/>
      </c>
      <c r="DKC19" s="28" t="str">
        <f>IFERROR(VLOOKUP(DATE($K$1,$K$2,DKC$4),Table1[],(MATCH(Calendar!$A19,DB!$1:$1,0)),FALSE),"")</f>
        <v/>
      </c>
      <c r="DKD19" s="28" t="str">
        <f>IFERROR(VLOOKUP(DATE($K$1,$K$2,DKD$4),Table1[],(MATCH(Calendar!$A19,DB!$1:$1,0)),FALSE),"")</f>
        <v/>
      </c>
      <c r="DKE19" s="28" t="str">
        <f>IFERROR(VLOOKUP(DATE($K$1,$K$2,DKE$4),Table1[],(MATCH(Calendar!$A19,DB!$1:$1,0)),FALSE),"")</f>
        <v/>
      </c>
      <c r="DKF19" s="28" t="str">
        <f>IFERROR(VLOOKUP(DATE($K$1,$K$2,DKF$4),Table1[],(MATCH(Calendar!$A19,DB!$1:$1,0)),FALSE),"")</f>
        <v/>
      </c>
      <c r="DKG19" s="28" t="str">
        <f>IFERROR(VLOOKUP(DATE($K$1,$K$2,DKG$4),Table1[],(MATCH(Calendar!$A19,DB!$1:$1,0)),FALSE),"")</f>
        <v/>
      </c>
      <c r="DKH19" s="28" t="str">
        <f>IFERROR(VLOOKUP(DATE($K$1,$K$2,DKH$4),Table1[],(MATCH(Calendar!$A19,DB!$1:$1,0)),FALSE),"")</f>
        <v/>
      </c>
      <c r="DKI19" s="28" t="str">
        <f>IFERROR(VLOOKUP(DATE($K$1,$K$2,DKI$4),Table1[],(MATCH(Calendar!$A19,DB!$1:$1,0)),FALSE),"")</f>
        <v/>
      </c>
      <c r="DKJ19" s="28" t="str">
        <f>IFERROR(VLOOKUP(DATE($K$1,$K$2,DKJ$4),Table1[],(MATCH(Calendar!$A19,DB!$1:$1,0)),FALSE),"")</f>
        <v/>
      </c>
      <c r="DKK19" s="28" t="str">
        <f>IFERROR(VLOOKUP(DATE($K$1,$K$2,DKK$4),Table1[],(MATCH(Calendar!$A19,DB!$1:$1,0)),FALSE),"")</f>
        <v/>
      </c>
      <c r="DKL19" s="28" t="str">
        <f>IFERROR(VLOOKUP(DATE($K$1,$K$2,DKL$4),Table1[],(MATCH(Calendar!$A19,DB!$1:$1,0)),FALSE),"")</f>
        <v/>
      </c>
      <c r="DKM19" s="28" t="str">
        <f>IFERROR(VLOOKUP(DATE($K$1,$K$2,DKM$4),Table1[],(MATCH(Calendar!$A19,DB!$1:$1,0)),FALSE),"")</f>
        <v/>
      </c>
      <c r="DKN19" s="28" t="str">
        <f>IFERROR(VLOOKUP(DATE($K$1,$K$2,DKN$4),Table1[],(MATCH(Calendar!$A19,DB!$1:$1,0)),FALSE),"")</f>
        <v/>
      </c>
      <c r="DKO19" s="28" t="str">
        <f>IFERROR(VLOOKUP(DATE($K$1,$K$2,DKO$4),Table1[],(MATCH(Calendar!$A19,DB!$1:$1,0)),FALSE),"")</f>
        <v/>
      </c>
      <c r="DKP19" s="28" t="str">
        <f>IFERROR(VLOOKUP(DATE($K$1,$K$2,DKP$4),Table1[],(MATCH(Calendar!$A19,DB!$1:$1,0)),FALSE),"")</f>
        <v/>
      </c>
      <c r="DKQ19" s="28" t="str">
        <f>IFERROR(VLOOKUP(DATE($K$1,$K$2,DKQ$4),Table1[],(MATCH(Calendar!$A19,DB!$1:$1,0)),FALSE),"")</f>
        <v/>
      </c>
      <c r="DKR19" s="28" t="str">
        <f>IFERROR(VLOOKUP(DATE($K$1,$K$2,DKR$4),Table1[],(MATCH(Calendar!$A19,DB!$1:$1,0)),FALSE),"")</f>
        <v/>
      </c>
      <c r="DKS19" s="28" t="str">
        <f>IFERROR(VLOOKUP(DATE($K$1,$K$2,DKS$4),Table1[],(MATCH(Calendar!$A19,DB!$1:$1,0)),FALSE),"")</f>
        <v/>
      </c>
      <c r="DKT19" s="28" t="str">
        <f>IFERROR(VLOOKUP(DATE($K$1,$K$2,DKT$4),Table1[],(MATCH(Calendar!$A19,DB!$1:$1,0)),FALSE),"")</f>
        <v/>
      </c>
      <c r="DKU19" s="28" t="str">
        <f>IFERROR(VLOOKUP(DATE($K$1,$K$2,DKU$4),Table1[],(MATCH(Calendar!$A19,DB!$1:$1,0)),FALSE),"")</f>
        <v/>
      </c>
      <c r="DKV19" s="28" t="str">
        <f>IFERROR(VLOOKUP(DATE($K$1,$K$2,DKV$4),Table1[],(MATCH(Calendar!$A19,DB!$1:$1,0)),FALSE),"")</f>
        <v/>
      </c>
      <c r="DKW19" s="28" t="str">
        <f>IFERROR(VLOOKUP(DATE($K$1,$K$2,DKW$4),Table1[],(MATCH(Calendar!$A19,DB!$1:$1,0)),FALSE),"")</f>
        <v/>
      </c>
      <c r="DKX19" s="28" t="str">
        <f>IFERROR(VLOOKUP(DATE($K$1,$K$2,DKX$4),Table1[],(MATCH(Calendar!$A19,DB!$1:$1,0)),FALSE),"")</f>
        <v/>
      </c>
      <c r="DKY19" s="28" t="str">
        <f>IFERROR(VLOOKUP(DATE($K$1,$K$2,DKY$4),Table1[],(MATCH(Calendar!$A19,DB!$1:$1,0)),FALSE),"")</f>
        <v/>
      </c>
      <c r="DKZ19" s="28" t="str">
        <f>IFERROR(VLOOKUP(DATE($K$1,$K$2,DKZ$4),Table1[],(MATCH(Calendar!$A19,DB!$1:$1,0)),FALSE),"")</f>
        <v/>
      </c>
      <c r="DLA19" s="28" t="str">
        <f>IFERROR(VLOOKUP(DATE($K$1,$K$2,DLA$4),Table1[],(MATCH(Calendar!$A19,DB!$1:$1,0)),FALSE),"")</f>
        <v/>
      </c>
      <c r="DLB19" s="28" t="str">
        <f>IFERROR(VLOOKUP(DATE($K$1,$K$2,DLB$4),Table1[],(MATCH(Calendar!$A19,DB!$1:$1,0)),FALSE),"")</f>
        <v/>
      </c>
      <c r="DLC19" s="28" t="str">
        <f>IFERROR(VLOOKUP(DATE($K$1,$K$2,DLC$4),Table1[],(MATCH(Calendar!$A19,DB!$1:$1,0)),FALSE),"")</f>
        <v/>
      </c>
      <c r="DLD19" s="28" t="str">
        <f>IFERROR(VLOOKUP(DATE($K$1,$K$2,DLD$4),Table1[],(MATCH(Calendar!$A19,DB!$1:$1,0)),FALSE),"")</f>
        <v/>
      </c>
      <c r="DLE19" s="28" t="str">
        <f>IFERROR(VLOOKUP(DATE($K$1,$K$2,DLE$4),Table1[],(MATCH(Calendar!$A19,DB!$1:$1,0)),FALSE),"")</f>
        <v/>
      </c>
      <c r="DLF19" s="28" t="str">
        <f>IFERROR(VLOOKUP(DATE($K$1,$K$2,DLF$4),Table1[],(MATCH(Calendar!$A19,DB!$1:$1,0)),FALSE),"")</f>
        <v/>
      </c>
      <c r="DLG19" s="28" t="str">
        <f>IFERROR(VLOOKUP(DATE($K$1,$K$2,DLG$4),Table1[],(MATCH(Calendar!$A19,DB!$1:$1,0)),FALSE),"")</f>
        <v/>
      </c>
      <c r="DLH19" s="28" t="str">
        <f>IFERROR(VLOOKUP(DATE($K$1,$K$2,DLH$4),Table1[],(MATCH(Calendar!$A19,DB!$1:$1,0)),FALSE),"")</f>
        <v/>
      </c>
      <c r="DLI19" s="28" t="str">
        <f>IFERROR(VLOOKUP(DATE($K$1,$K$2,DLI$4),Table1[],(MATCH(Calendar!$A19,DB!$1:$1,0)),FALSE),"")</f>
        <v/>
      </c>
      <c r="DLJ19" s="28" t="str">
        <f>IFERROR(VLOOKUP(DATE($K$1,$K$2,DLJ$4),Table1[],(MATCH(Calendar!$A19,DB!$1:$1,0)),FALSE),"")</f>
        <v/>
      </c>
      <c r="DLK19" s="28" t="str">
        <f>IFERROR(VLOOKUP(DATE($K$1,$K$2,DLK$4),Table1[],(MATCH(Calendar!$A19,DB!$1:$1,0)),FALSE),"")</f>
        <v/>
      </c>
      <c r="DLL19" s="28" t="str">
        <f>IFERROR(VLOOKUP(DATE($K$1,$K$2,DLL$4),Table1[],(MATCH(Calendar!$A19,DB!$1:$1,0)),FALSE),"")</f>
        <v/>
      </c>
      <c r="DLM19" s="28" t="str">
        <f>IFERROR(VLOOKUP(DATE($K$1,$K$2,DLM$4),Table1[],(MATCH(Calendar!$A19,DB!$1:$1,0)),FALSE),"")</f>
        <v/>
      </c>
      <c r="DLN19" s="28" t="str">
        <f>IFERROR(VLOOKUP(DATE($K$1,$K$2,DLN$4),Table1[],(MATCH(Calendar!$A19,DB!$1:$1,0)),FALSE),"")</f>
        <v/>
      </c>
      <c r="DLO19" s="28" t="str">
        <f>IFERROR(VLOOKUP(DATE($K$1,$K$2,DLO$4),Table1[],(MATCH(Calendar!$A19,DB!$1:$1,0)),FALSE),"")</f>
        <v/>
      </c>
      <c r="DLP19" s="28" t="str">
        <f>IFERROR(VLOOKUP(DATE($K$1,$K$2,DLP$4),Table1[],(MATCH(Calendar!$A19,DB!$1:$1,0)),FALSE),"")</f>
        <v/>
      </c>
      <c r="DLQ19" s="28" t="str">
        <f>IFERROR(VLOOKUP(DATE($K$1,$K$2,DLQ$4),Table1[],(MATCH(Calendar!$A19,DB!$1:$1,0)),FALSE),"")</f>
        <v/>
      </c>
      <c r="DLR19" s="28" t="str">
        <f>IFERROR(VLOOKUP(DATE($K$1,$K$2,DLR$4),Table1[],(MATCH(Calendar!$A19,DB!$1:$1,0)),FALSE),"")</f>
        <v/>
      </c>
      <c r="DLS19" s="28" t="str">
        <f>IFERROR(VLOOKUP(DATE($K$1,$K$2,DLS$4),Table1[],(MATCH(Calendar!$A19,DB!$1:$1,0)),FALSE),"")</f>
        <v/>
      </c>
      <c r="DLT19" s="28" t="str">
        <f>IFERROR(VLOOKUP(DATE($K$1,$K$2,DLT$4),Table1[],(MATCH(Calendar!$A19,DB!$1:$1,0)),FALSE),"")</f>
        <v/>
      </c>
      <c r="DLU19" s="28" t="str">
        <f>IFERROR(VLOOKUP(DATE($K$1,$K$2,DLU$4),Table1[],(MATCH(Calendar!$A19,DB!$1:$1,0)),FALSE),"")</f>
        <v/>
      </c>
      <c r="DLV19" s="28" t="str">
        <f>IFERROR(VLOOKUP(DATE($K$1,$K$2,DLV$4),Table1[],(MATCH(Calendar!$A19,DB!$1:$1,0)),FALSE),"")</f>
        <v/>
      </c>
      <c r="DLW19" s="28" t="str">
        <f>IFERROR(VLOOKUP(DATE($K$1,$K$2,DLW$4),Table1[],(MATCH(Calendar!$A19,DB!$1:$1,0)),FALSE),"")</f>
        <v/>
      </c>
      <c r="DLX19" s="28" t="str">
        <f>IFERROR(VLOOKUP(DATE($K$1,$K$2,DLX$4),Table1[],(MATCH(Calendar!$A19,DB!$1:$1,0)),FALSE),"")</f>
        <v/>
      </c>
      <c r="DLY19" s="28" t="str">
        <f>IFERROR(VLOOKUP(DATE($K$1,$K$2,DLY$4),Table1[],(MATCH(Calendar!$A19,DB!$1:$1,0)),FALSE),"")</f>
        <v/>
      </c>
      <c r="DLZ19" s="28" t="str">
        <f>IFERROR(VLOOKUP(DATE($K$1,$K$2,DLZ$4),Table1[],(MATCH(Calendar!$A19,DB!$1:$1,0)),FALSE),"")</f>
        <v/>
      </c>
      <c r="DMA19" s="28" t="str">
        <f>IFERROR(VLOOKUP(DATE($K$1,$K$2,DMA$4),Table1[],(MATCH(Calendar!$A19,DB!$1:$1,0)),FALSE),"")</f>
        <v/>
      </c>
      <c r="DMB19" s="28" t="str">
        <f>IFERROR(VLOOKUP(DATE($K$1,$K$2,DMB$4),Table1[],(MATCH(Calendar!$A19,DB!$1:$1,0)),FALSE),"")</f>
        <v/>
      </c>
      <c r="DMC19" s="28" t="str">
        <f>IFERROR(VLOOKUP(DATE($K$1,$K$2,DMC$4),Table1[],(MATCH(Calendar!$A19,DB!$1:$1,0)),FALSE),"")</f>
        <v/>
      </c>
      <c r="DMD19" s="28" t="str">
        <f>IFERROR(VLOOKUP(DATE($K$1,$K$2,DMD$4),Table1[],(MATCH(Calendar!$A19,DB!$1:$1,0)),FALSE),"")</f>
        <v/>
      </c>
      <c r="DME19" s="28" t="str">
        <f>IFERROR(VLOOKUP(DATE($K$1,$K$2,DME$4),Table1[],(MATCH(Calendar!$A19,DB!$1:$1,0)),FALSE),"")</f>
        <v/>
      </c>
      <c r="DMF19" s="28" t="str">
        <f>IFERROR(VLOOKUP(DATE($K$1,$K$2,DMF$4),Table1[],(MATCH(Calendar!$A19,DB!$1:$1,0)),FALSE),"")</f>
        <v/>
      </c>
      <c r="DMG19" s="28" t="str">
        <f>IFERROR(VLOOKUP(DATE($K$1,$K$2,DMG$4),Table1[],(MATCH(Calendar!$A19,DB!$1:$1,0)),FALSE),"")</f>
        <v/>
      </c>
      <c r="DMH19" s="28" t="str">
        <f>IFERROR(VLOOKUP(DATE($K$1,$K$2,DMH$4),Table1[],(MATCH(Calendar!$A19,DB!$1:$1,0)),FALSE),"")</f>
        <v/>
      </c>
      <c r="DMI19" s="28" t="str">
        <f>IFERROR(VLOOKUP(DATE($K$1,$K$2,DMI$4),Table1[],(MATCH(Calendar!$A19,DB!$1:$1,0)),FALSE),"")</f>
        <v/>
      </c>
      <c r="DMJ19" s="28" t="str">
        <f>IFERROR(VLOOKUP(DATE($K$1,$K$2,DMJ$4),Table1[],(MATCH(Calendar!$A19,DB!$1:$1,0)),FALSE),"")</f>
        <v/>
      </c>
      <c r="DMK19" s="28" t="str">
        <f>IFERROR(VLOOKUP(DATE($K$1,$K$2,DMK$4),Table1[],(MATCH(Calendar!$A19,DB!$1:$1,0)),FALSE),"")</f>
        <v/>
      </c>
      <c r="DML19" s="28" t="str">
        <f>IFERROR(VLOOKUP(DATE($K$1,$K$2,DML$4),Table1[],(MATCH(Calendar!$A19,DB!$1:$1,0)),FALSE),"")</f>
        <v/>
      </c>
      <c r="DMM19" s="28" t="str">
        <f>IFERROR(VLOOKUP(DATE($K$1,$K$2,DMM$4),Table1[],(MATCH(Calendar!$A19,DB!$1:$1,0)),FALSE),"")</f>
        <v/>
      </c>
      <c r="DMN19" s="28" t="str">
        <f>IFERROR(VLOOKUP(DATE($K$1,$K$2,DMN$4),Table1[],(MATCH(Calendar!$A19,DB!$1:$1,0)),FALSE),"")</f>
        <v/>
      </c>
      <c r="DMO19" s="28" t="str">
        <f>IFERROR(VLOOKUP(DATE($K$1,$K$2,DMO$4),Table1[],(MATCH(Calendar!$A19,DB!$1:$1,0)),FALSE),"")</f>
        <v/>
      </c>
      <c r="DMP19" s="28" t="str">
        <f>IFERROR(VLOOKUP(DATE($K$1,$K$2,DMP$4),Table1[],(MATCH(Calendar!$A19,DB!$1:$1,0)),FALSE),"")</f>
        <v/>
      </c>
      <c r="DMQ19" s="28" t="str">
        <f>IFERROR(VLOOKUP(DATE($K$1,$K$2,DMQ$4),Table1[],(MATCH(Calendar!$A19,DB!$1:$1,0)),FALSE),"")</f>
        <v/>
      </c>
      <c r="DMR19" s="28" t="str">
        <f>IFERROR(VLOOKUP(DATE($K$1,$K$2,DMR$4),Table1[],(MATCH(Calendar!$A19,DB!$1:$1,0)),FALSE),"")</f>
        <v/>
      </c>
      <c r="DMS19" s="28" t="str">
        <f>IFERROR(VLOOKUP(DATE($K$1,$K$2,DMS$4),Table1[],(MATCH(Calendar!$A19,DB!$1:$1,0)),FALSE),"")</f>
        <v/>
      </c>
      <c r="DMT19" s="28" t="str">
        <f>IFERROR(VLOOKUP(DATE($K$1,$K$2,DMT$4),Table1[],(MATCH(Calendar!$A19,DB!$1:$1,0)),FALSE),"")</f>
        <v/>
      </c>
      <c r="DMU19" s="28" t="str">
        <f>IFERROR(VLOOKUP(DATE($K$1,$K$2,DMU$4),Table1[],(MATCH(Calendar!$A19,DB!$1:$1,0)),FALSE),"")</f>
        <v/>
      </c>
      <c r="DMV19" s="28" t="str">
        <f>IFERROR(VLOOKUP(DATE($K$1,$K$2,DMV$4),Table1[],(MATCH(Calendar!$A19,DB!$1:$1,0)),FALSE),"")</f>
        <v/>
      </c>
      <c r="DMW19" s="28" t="str">
        <f>IFERROR(VLOOKUP(DATE($K$1,$K$2,DMW$4),Table1[],(MATCH(Calendar!$A19,DB!$1:$1,0)),FALSE),"")</f>
        <v/>
      </c>
      <c r="DMX19" s="28" t="str">
        <f>IFERROR(VLOOKUP(DATE($K$1,$K$2,DMX$4),Table1[],(MATCH(Calendar!$A19,DB!$1:$1,0)),FALSE),"")</f>
        <v/>
      </c>
      <c r="DMY19" s="28" t="str">
        <f>IFERROR(VLOOKUP(DATE($K$1,$K$2,DMY$4),Table1[],(MATCH(Calendar!$A19,DB!$1:$1,0)),FALSE),"")</f>
        <v/>
      </c>
      <c r="DMZ19" s="28" t="str">
        <f>IFERROR(VLOOKUP(DATE($K$1,$K$2,DMZ$4),Table1[],(MATCH(Calendar!$A19,DB!$1:$1,0)),FALSE),"")</f>
        <v/>
      </c>
      <c r="DNA19" s="28" t="str">
        <f>IFERROR(VLOOKUP(DATE($K$1,$K$2,DNA$4),Table1[],(MATCH(Calendar!$A19,DB!$1:$1,0)),FALSE),"")</f>
        <v/>
      </c>
      <c r="DNB19" s="28" t="str">
        <f>IFERROR(VLOOKUP(DATE($K$1,$K$2,DNB$4),Table1[],(MATCH(Calendar!$A19,DB!$1:$1,0)),FALSE),"")</f>
        <v/>
      </c>
      <c r="DNC19" s="28" t="str">
        <f>IFERROR(VLOOKUP(DATE($K$1,$K$2,DNC$4),Table1[],(MATCH(Calendar!$A19,DB!$1:$1,0)),FALSE),"")</f>
        <v/>
      </c>
      <c r="DND19" s="28" t="str">
        <f>IFERROR(VLOOKUP(DATE($K$1,$K$2,DND$4),Table1[],(MATCH(Calendar!$A19,DB!$1:$1,0)),FALSE),"")</f>
        <v/>
      </c>
      <c r="DNE19" s="28" t="str">
        <f>IFERROR(VLOOKUP(DATE($K$1,$K$2,DNE$4),Table1[],(MATCH(Calendar!$A19,DB!$1:$1,0)),FALSE),"")</f>
        <v/>
      </c>
      <c r="DNF19" s="28" t="str">
        <f>IFERROR(VLOOKUP(DATE($K$1,$K$2,DNF$4),Table1[],(MATCH(Calendar!$A19,DB!$1:$1,0)),FALSE),"")</f>
        <v/>
      </c>
      <c r="DNG19" s="28" t="str">
        <f>IFERROR(VLOOKUP(DATE($K$1,$K$2,DNG$4),Table1[],(MATCH(Calendar!$A19,DB!$1:$1,0)),FALSE),"")</f>
        <v/>
      </c>
      <c r="DNH19" s="28" t="str">
        <f>IFERROR(VLOOKUP(DATE($K$1,$K$2,DNH$4),Table1[],(MATCH(Calendar!$A19,DB!$1:$1,0)),FALSE),"")</f>
        <v/>
      </c>
      <c r="DNI19" s="28" t="str">
        <f>IFERROR(VLOOKUP(DATE($K$1,$K$2,DNI$4),Table1[],(MATCH(Calendar!$A19,DB!$1:$1,0)),FALSE),"")</f>
        <v/>
      </c>
      <c r="DNJ19" s="28" t="str">
        <f>IFERROR(VLOOKUP(DATE($K$1,$K$2,DNJ$4),Table1[],(MATCH(Calendar!$A19,DB!$1:$1,0)),FALSE),"")</f>
        <v/>
      </c>
      <c r="DNK19" s="28" t="str">
        <f>IFERROR(VLOOKUP(DATE($K$1,$K$2,DNK$4),Table1[],(MATCH(Calendar!$A19,DB!$1:$1,0)),FALSE),"")</f>
        <v/>
      </c>
      <c r="DNL19" s="28" t="str">
        <f>IFERROR(VLOOKUP(DATE($K$1,$K$2,DNL$4),Table1[],(MATCH(Calendar!$A19,DB!$1:$1,0)),FALSE),"")</f>
        <v/>
      </c>
      <c r="DNM19" s="28" t="str">
        <f>IFERROR(VLOOKUP(DATE($K$1,$K$2,DNM$4),Table1[],(MATCH(Calendar!$A19,DB!$1:$1,0)),FALSE),"")</f>
        <v/>
      </c>
      <c r="DNN19" s="28" t="str">
        <f>IFERROR(VLOOKUP(DATE($K$1,$K$2,DNN$4),Table1[],(MATCH(Calendar!$A19,DB!$1:$1,0)),FALSE),"")</f>
        <v/>
      </c>
      <c r="DNO19" s="28" t="str">
        <f>IFERROR(VLOOKUP(DATE($K$1,$K$2,DNO$4),Table1[],(MATCH(Calendar!$A19,DB!$1:$1,0)),FALSE),"")</f>
        <v/>
      </c>
      <c r="DNP19" s="28" t="str">
        <f>IFERROR(VLOOKUP(DATE($K$1,$K$2,DNP$4),Table1[],(MATCH(Calendar!$A19,DB!$1:$1,0)),FALSE),"")</f>
        <v/>
      </c>
      <c r="DNQ19" s="28" t="str">
        <f>IFERROR(VLOOKUP(DATE($K$1,$K$2,DNQ$4),Table1[],(MATCH(Calendar!$A19,DB!$1:$1,0)),FALSE),"")</f>
        <v/>
      </c>
      <c r="DNR19" s="28" t="str">
        <f>IFERROR(VLOOKUP(DATE($K$1,$K$2,DNR$4),Table1[],(MATCH(Calendar!$A19,DB!$1:$1,0)),FALSE),"")</f>
        <v/>
      </c>
      <c r="DNS19" s="28" t="str">
        <f>IFERROR(VLOOKUP(DATE($K$1,$K$2,DNS$4),Table1[],(MATCH(Calendar!$A19,DB!$1:$1,0)),FALSE),"")</f>
        <v/>
      </c>
      <c r="DNT19" s="28" t="str">
        <f>IFERROR(VLOOKUP(DATE($K$1,$K$2,DNT$4),Table1[],(MATCH(Calendar!$A19,DB!$1:$1,0)),FALSE),"")</f>
        <v/>
      </c>
      <c r="DNU19" s="28" t="str">
        <f>IFERROR(VLOOKUP(DATE($K$1,$K$2,DNU$4),Table1[],(MATCH(Calendar!$A19,DB!$1:$1,0)),FALSE),"")</f>
        <v/>
      </c>
      <c r="DNV19" s="28" t="str">
        <f>IFERROR(VLOOKUP(DATE($K$1,$K$2,DNV$4),Table1[],(MATCH(Calendar!$A19,DB!$1:$1,0)),FALSE),"")</f>
        <v/>
      </c>
      <c r="DNW19" s="28" t="str">
        <f>IFERROR(VLOOKUP(DATE($K$1,$K$2,DNW$4),Table1[],(MATCH(Calendar!$A19,DB!$1:$1,0)),FALSE),"")</f>
        <v/>
      </c>
      <c r="DNX19" s="28" t="str">
        <f>IFERROR(VLOOKUP(DATE($K$1,$K$2,DNX$4),Table1[],(MATCH(Calendar!$A19,DB!$1:$1,0)),FALSE),"")</f>
        <v/>
      </c>
      <c r="DNY19" s="28" t="str">
        <f>IFERROR(VLOOKUP(DATE($K$1,$K$2,DNY$4),Table1[],(MATCH(Calendar!$A19,DB!$1:$1,0)),FALSE),"")</f>
        <v/>
      </c>
      <c r="DNZ19" s="28" t="str">
        <f>IFERROR(VLOOKUP(DATE($K$1,$K$2,DNZ$4),Table1[],(MATCH(Calendar!$A19,DB!$1:$1,0)),FALSE),"")</f>
        <v/>
      </c>
      <c r="DOA19" s="28" t="str">
        <f>IFERROR(VLOOKUP(DATE($K$1,$K$2,DOA$4),Table1[],(MATCH(Calendar!$A19,DB!$1:$1,0)),FALSE),"")</f>
        <v/>
      </c>
      <c r="DOB19" s="28" t="str">
        <f>IFERROR(VLOOKUP(DATE($K$1,$K$2,DOB$4),Table1[],(MATCH(Calendar!$A19,DB!$1:$1,0)),FALSE),"")</f>
        <v/>
      </c>
      <c r="DOC19" s="28" t="str">
        <f>IFERROR(VLOOKUP(DATE($K$1,$K$2,DOC$4),Table1[],(MATCH(Calendar!$A19,DB!$1:$1,0)),FALSE),"")</f>
        <v/>
      </c>
      <c r="DOD19" s="28" t="str">
        <f>IFERROR(VLOOKUP(DATE($K$1,$K$2,DOD$4),Table1[],(MATCH(Calendar!$A19,DB!$1:$1,0)),FALSE),"")</f>
        <v/>
      </c>
      <c r="DOE19" s="28" t="str">
        <f>IFERROR(VLOOKUP(DATE($K$1,$K$2,DOE$4),Table1[],(MATCH(Calendar!$A19,DB!$1:$1,0)),FALSE),"")</f>
        <v/>
      </c>
      <c r="DOF19" s="28" t="str">
        <f>IFERROR(VLOOKUP(DATE($K$1,$K$2,DOF$4),Table1[],(MATCH(Calendar!$A19,DB!$1:$1,0)),FALSE),"")</f>
        <v/>
      </c>
      <c r="DOG19" s="28" t="str">
        <f>IFERROR(VLOOKUP(DATE($K$1,$K$2,DOG$4),Table1[],(MATCH(Calendar!$A19,DB!$1:$1,0)),FALSE),"")</f>
        <v/>
      </c>
      <c r="DOH19" s="28" t="str">
        <f>IFERROR(VLOOKUP(DATE($K$1,$K$2,DOH$4),Table1[],(MATCH(Calendar!$A19,DB!$1:$1,0)),FALSE),"")</f>
        <v/>
      </c>
      <c r="DOI19" s="28" t="str">
        <f>IFERROR(VLOOKUP(DATE($K$1,$K$2,DOI$4),Table1[],(MATCH(Calendar!$A19,DB!$1:$1,0)),FALSE),"")</f>
        <v/>
      </c>
      <c r="DOJ19" s="28" t="str">
        <f>IFERROR(VLOOKUP(DATE($K$1,$K$2,DOJ$4),Table1[],(MATCH(Calendar!$A19,DB!$1:$1,0)),FALSE),"")</f>
        <v/>
      </c>
      <c r="DOK19" s="28" t="str">
        <f>IFERROR(VLOOKUP(DATE($K$1,$K$2,DOK$4),Table1[],(MATCH(Calendar!$A19,DB!$1:$1,0)),FALSE),"")</f>
        <v/>
      </c>
      <c r="DOL19" s="28" t="str">
        <f>IFERROR(VLOOKUP(DATE($K$1,$K$2,DOL$4),Table1[],(MATCH(Calendar!$A19,DB!$1:$1,0)),FALSE),"")</f>
        <v/>
      </c>
      <c r="DOM19" s="28" t="str">
        <f>IFERROR(VLOOKUP(DATE($K$1,$K$2,DOM$4),Table1[],(MATCH(Calendar!$A19,DB!$1:$1,0)),FALSE),"")</f>
        <v/>
      </c>
      <c r="DON19" s="28" t="str">
        <f>IFERROR(VLOOKUP(DATE($K$1,$K$2,DON$4),Table1[],(MATCH(Calendar!$A19,DB!$1:$1,0)),FALSE),"")</f>
        <v/>
      </c>
      <c r="DOO19" s="28" t="str">
        <f>IFERROR(VLOOKUP(DATE($K$1,$K$2,DOO$4),Table1[],(MATCH(Calendar!$A19,DB!$1:$1,0)),FALSE),"")</f>
        <v/>
      </c>
      <c r="DOP19" s="28" t="str">
        <f>IFERROR(VLOOKUP(DATE($K$1,$K$2,DOP$4),Table1[],(MATCH(Calendar!$A19,DB!$1:$1,0)),FALSE),"")</f>
        <v/>
      </c>
      <c r="DOQ19" s="28" t="str">
        <f>IFERROR(VLOOKUP(DATE($K$1,$K$2,DOQ$4),Table1[],(MATCH(Calendar!$A19,DB!$1:$1,0)),FALSE),"")</f>
        <v/>
      </c>
      <c r="DOR19" s="28" t="str">
        <f>IFERROR(VLOOKUP(DATE($K$1,$K$2,DOR$4),Table1[],(MATCH(Calendar!$A19,DB!$1:$1,0)),FALSE),"")</f>
        <v/>
      </c>
      <c r="DOS19" s="28" t="str">
        <f>IFERROR(VLOOKUP(DATE($K$1,$K$2,DOS$4),Table1[],(MATCH(Calendar!$A19,DB!$1:$1,0)),FALSE),"")</f>
        <v/>
      </c>
      <c r="DOT19" s="28" t="str">
        <f>IFERROR(VLOOKUP(DATE($K$1,$K$2,DOT$4),Table1[],(MATCH(Calendar!$A19,DB!$1:$1,0)),FALSE),"")</f>
        <v/>
      </c>
      <c r="DOU19" s="28" t="str">
        <f>IFERROR(VLOOKUP(DATE($K$1,$K$2,DOU$4),Table1[],(MATCH(Calendar!$A19,DB!$1:$1,0)),FALSE),"")</f>
        <v/>
      </c>
      <c r="DOV19" s="28" t="str">
        <f>IFERROR(VLOOKUP(DATE($K$1,$K$2,DOV$4),Table1[],(MATCH(Calendar!$A19,DB!$1:$1,0)),FALSE),"")</f>
        <v/>
      </c>
      <c r="DOW19" s="28" t="str">
        <f>IFERROR(VLOOKUP(DATE($K$1,$K$2,DOW$4),Table1[],(MATCH(Calendar!$A19,DB!$1:$1,0)),FALSE),"")</f>
        <v/>
      </c>
      <c r="DOX19" s="28" t="str">
        <f>IFERROR(VLOOKUP(DATE($K$1,$K$2,DOX$4),Table1[],(MATCH(Calendar!$A19,DB!$1:$1,0)),FALSE),"")</f>
        <v/>
      </c>
      <c r="DOY19" s="28" t="str">
        <f>IFERROR(VLOOKUP(DATE($K$1,$K$2,DOY$4),Table1[],(MATCH(Calendar!$A19,DB!$1:$1,0)),FALSE),"")</f>
        <v/>
      </c>
      <c r="DOZ19" s="28" t="str">
        <f>IFERROR(VLOOKUP(DATE($K$1,$K$2,DOZ$4),Table1[],(MATCH(Calendar!$A19,DB!$1:$1,0)),FALSE),"")</f>
        <v/>
      </c>
      <c r="DPA19" s="28" t="str">
        <f>IFERROR(VLOOKUP(DATE($K$1,$K$2,DPA$4),Table1[],(MATCH(Calendar!$A19,DB!$1:$1,0)),FALSE),"")</f>
        <v/>
      </c>
      <c r="DPB19" s="28" t="str">
        <f>IFERROR(VLOOKUP(DATE($K$1,$K$2,DPB$4),Table1[],(MATCH(Calendar!$A19,DB!$1:$1,0)),FALSE),"")</f>
        <v/>
      </c>
      <c r="DPC19" s="28" t="str">
        <f>IFERROR(VLOOKUP(DATE($K$1,$K$2,DPC$4),Table1[],(MATCH(Calendar!$A19,DB!$1:$1,0)),FALSE),"")</f>
        <v/>
      </c>
      <c r="DPD19" s="28" t="str">
        <f>IFERROR(VLOOKUP(DATE($K$1,$K$2,DPD$4),Table1[],(MATCH(Calendar!$A19,DB!$1:$1,0)),FALSE),"")</f>
        <v/>
      </c>
      <c r="DPE19" s="28" t="str">
        <f>IFERROR(VLOOKUP(DATE($K$1,$K$2,DPE$4),Table1[],(MATCH(Calendar!$A19,DB!$1:$1,0)),FALSE),"")</f>
        <v/>
      </c>
      <c r="DPF19" s="28" t="str">
        <f>IFERROR(VLOOKUP(DATE($K$1,$K$2,DPF$4),Table1[],(MATCH(Calendar!$A19,DB!$1:$1,0)),FALSE),"")</f>
        <v/>
      </c>
      <c r="DPG19" s="28" t="str">
        <f>IFERROR(VLOOKUP(DATE($K$1,$K$2,DPG$4),Table1[],(MATCH(Calendar!$A19,DB!$1:$1,0)),FALSE),"")</f>
        <v/>
      </c>
      <c r="DPH19" s="28" t="str">
        <f>IFERROR(VLOOKUP(DATE($K$1,$K$2,DPH$4),Table1[],(MATCH(Calendar!$A19,DB!$1:$1,0)),FALSE),"")</f>
        <v/>
      </c>
      <c r="DPI19" s="28" t="str">
        <f>IFERROR(VLOOKUP(DATE($K$1,$K$2,DPI$4),Table1[],(MATCH(Calendar!$A19,DB!$1:$1,0)),FALSE),"")</f>
        <v/>
      </c>
      <c r="DPJ19" s="28" t="str">
        <f>IFERROR(VLOOKUP(DATE($K$1,$K$2,DPJ$4),Table1[],(MATCH(Calendar!$A19,DB!$1:$1,0)),FALSE),"")</f>
        <v/>
      </c>
      <c r="DPK19" s="28" t="str">
        <f>IFERROR(VLOOKUP(DATE($K$1,$K$2,DPK$4),Table1[],(MATCH(Calendar!$A19,DB!$1:$1,0)),FALSE),"")</f>
        <v/>
      </c>
      <c r="DPL19" s="28" t="str">
        <f>IFERROR(VLOOKUP(DATE($K$1,$K$2,DPL$4),Table1[],(MATCH(Calendar!$A19,DB!$1:$1,0)),FALSE),"")</f>
        <v/>
      </c>
      <c r="DPM19" s="28" t="str">
        <f>IFERROR(VLOOKUP(DATE($K$1,$K$2,DPM$4),Table1[],(MATCH(Calendar!$A19,DB!$1:$1,0)),FALSE),"")</f>
        <v/>
      </c>
      <c r="DPN19" s="28" t="str">
        <f>IFERROR(VLOOKUP(DATE($K$1,$K$2,DPN$4),Table1[],(MATCH(Calendar!$A19,DB!$1:$1,0)),FALSE),"")</f>
        <v/>
      </c>
      <c r="DPO19" s="28" t="str">
        <f>IFERROR(VLOOKUP(DATE($K$1,$K$2,DPO$4),Table1[],(MATCH(Calendar!$A19,DB!$1:$1,0)),FALSE),"")</f>
        <v/>
      </c>
      <c r="DPP19" s="28" t="str">
        <f>IFERROR(VLOOKUP(DATE($K$1,$K$2,DPP$4),Table1[],(MATCH(Calendar!$A19,DB!$1:$1,0)),FALSE),"")</f>
        <v/>
      </c>
      <c r="DPQ19" s="28" t="str">
        <f>IFERROR(VLOOKUP(DATE($K$1,$K$2,DPQ$4),Table1[],(MATCH(Calendar!$A19,DB!$1:$1,0)),FALSE),"")</f>
        <v/>
      </c>
      <c r="DPR19" s="28" t="str">
        <f>IFERROR(VLOOKUP(DATE($K$1,$K$2,DPR$4),Table1[],(MATCH(Calendar!$A19,DB!$1:$1,0)),FALSE),"")</f>
        <v/>
      </c>
      <c r="DPS19" s="28" t="str">
        <f>IFERROR(VLOOKUP(DATE($K$1,$K$2,DPS$4),Table1[],(MATCH(Calendar!$A19,DB!$1:$1,0)),FALSE),"")</f>
        <v/>
      </c>
      <c r="DPT19" s="28" t="str">
        <f>IFERROR(VLOOKUP(DATE($K$1,$K$2,DPT$4),Table1[],(MATCH(Calendar!$A19,DB!$1:$1,0)),FALSE),"")</f>
        <v/>
      </c>
      <c r="DPU19" s="28" t="str">
        <f>IFERROR(VLOOKUP(DATE($K$1,$K$2,DPU$4),Table1[],(MATCH(Calendar!$A19,DB!$1:$1,0)),FALSE),"")</f>
        <v/>
      </c>
      <c r="DPV19" s="28" t="str">
        <f>IFERROR(VLOOKUP(DATE($K$1,$K$2,DPV$4),Table1[],(MATCH(Calendar!$A19,DB!$1:$1,0)),FALSE),"")</f>
        <v/>
      </c>
      <c r="DPW19" s="28" t="str">
        <f>IFERROR(VLOOKUP(DATE($K$1,$K$2,DPW$4),Table1[],(MATCH(Calendar!$A19,DB!$1:$1,0)),FALSE),"")</f>
        <v/>
      </c>
      <c r="DPX19" s="28" t="str">
        <f>IFERROR(VLOOKUP(DATE($K$1,$K$2,DPX$4),Table1[],(MATCH(Calendar!$A19,DB!$1:$1,0)),FALSE),"")</f>
        <v/>
      </c>
      <c r="DPY19" s="28" t="str">
        <f>IFERROR(VLOOKUP(DATE($K$1,$K$2,DPY$4),Table1[],(MATCH(Calendar!$A19,DB!$1:$1,0)),FALSE),"")</f>
        <v/>
      </c>
      <c r="DPZ19" s="28" t="str">
        <f>IFERROR(VLOOKUP(DATE($K$1,$K$2,DPZ$4),Table1[],(MATCH(Calendar!$A19,DB!$1:$1,0)),FALSE),"")</f>
        <v/>
      </c>
      <c r="DQA19" s="28" t="str">
        <f>IFERROR(VLOOKUP(DATE($K$1,$K$2,DQA$4),Table1[],(MATCH(Calendar!$A19,DB!$1:$1,0)),FALSE),"")</f>
        <v/>
      </c>
      <c r="DQB19" s="28" t="str">
        <f>IFERROR(VLOOKUP(DATE($K$1,$K$2,DQB$4),Table1[],(MATCH(Calendar!$A19,DB!$1:$1,0)),FALSE),"")</f>
        <v/>
      </c>
      <c r="DQC19" s="28" t="str">
        <f>IFERROR(VLOOKUP(DATE($K$1,$K$2,DQC$4),Table1[],(MATCH(Calendar!$A19,DB!$1:$1,0)),FALSE),"")</f>
        <v/>
      </c>
      <c r="DQD19" s="28" t="str">
        <f>IFERROR(VLOOKUP(DATE($K$1,$K$2,DQD$4),Table1[],(MATCH(Calendar!$A19,DB!$1:$1,0)),FALSE),"")</f>
        <v/>
      </c>
      <c r="DQE19" s="28" t="str">
        <f>IFERROR(VLOOKUP(DATE($K$1,$K$2,DQE$4),Table1[],(MATCH(Calendar!$A19,DB!$1:$1,0)),FALSE),"")</f>
        <v/>
      </c>
      <c r="DQF19" s="28" t="str">
        <f>IFERROR(VLOOKUP(DATE($K$1,$K$2,DQF$4),Table1[],(MATCH(Calendar!$A19,DB!$1:$1,0)),FALSE),"")</f>
        <v/>
      </c>
      <c r="DQG19" s="28" t="str">
        <f>IFERROR(VLOOKUP(DATE($K$1,$K$2,DQG$4),Table1[],(MATCH(Calendar!$A19,DB!$1:$1,0)),FALSE),"")</f>
        <v/>
      </c>
      <c r="DQH19" s="28" t="str">
        <f>IFERROR(VLOOKUP(DATE($K$1,$K$2,DQH$4),Table1[],(MATCH(Calendar!$A19,DB!$1:$1,0)),FALSE),"")</f>
        <v/>
      </c>
      <c r="DQI19" s="28" t="str">
        <f>IFERROR(VLOOKUP(DATE($K$1,$K$2,DQI$4),Table1[],(MATCH(Calendar!$A19,DB!$1:$1,0)),FALSE),"")</f>
        <v/>
      </c>
      <c r="DQJ19" s="28" t="str">
        <f>IFERROR(VLOOKUP(DATE($K$1,$K$2,DQJ$4),Table1[],(MATCH(Calendar!$A19,DB!$1:$1,0)),FALSE),"")</f>
        <v/>
      </c>
      <c r="DQK19" s="28" t="str">
        <f>IFERROR(VLOOKUP(DATE($K$1,$K$2,DQK$4),Table1[],(MATCH(Calendar!$A19,DB!$1:$1,0)),FALSE),"")</f>
        <v/>
      </c>
      <c r="DQL19" s="28" t="str">
        <f>IFERROR(VLOOKUP(DATE($K$1,$K$2,DQL$4),Table1[],(MATCH(Calendar!$A19,DB!$1:$1,0)),FALSE),"")</f>
        <v/>
      </c>
      <c r="DQM19" s="28" t="str">
        <f>IFERROR(VLOOKUP(DATE($K$1,$K$2,DQM$4),Table1[],(MATCH(Calendar!$A19,DB!$1:$1,0)),FALSE),"")</f>
        <v/>
      </c>
      <c r="DQN19" s="28" t="str">
        <f>IFERROR(VLOOKUP(DATE($K$1,$K$2,DQN$4),Table1[],(MATCH(Calendar!$A19,DB!$1:$1,0)),FALSE),"")</f>
        <v/>
      </c>
      <c r="DQO19" s="28" t="str">
        <f>IFERROR(VLOOKUP(DATE($K$1,$K$2,DQO$4),Table1[],(MATCH(Calendar!$A19,DB!$1:$1,0)),FALSE),"")</f>
        <v/>
      </c>
      <c r="DQP19" s="28" t="str">
        <f>IFERROR(VLOOKUP(DATE($K$1,$K$2,DQP$4),Table1[],(MATCH(Calendar!$A19,DB!$1:$1,0)),FALSE),"")</f>
        <v/>
      </c>
      <c r="DQQ19" s="28" t="str">
        <f>IFERROR(VLOOKUP(DATE($K$1,$K$2,DQQ$4),Table1[],(MATCH(Calendar!$A19,DB!$1:$1,0)),FALSE),"")</f>
        <v/>
      </c>
      <c r="DQR19" s="28" t="str">
        <f>IFERROR(VLOOKUP(DATE($K$1,$K$2,DQR$4),Table1[],(MATCH(Calendar!$A19,DB!$1:$1,0)),FALSE),"")</f>
        <v/>
      </c>
      <c r="DQS19" s="28" t="str">
        <f>IFERROR(VLOOKUP(DATE($K$1,$K$2,DQS$4),Table1[],(MATCH(Calendar!$A19,DB!$1:$1,0)),FALSE),"")</f>
        <v/>
      </c>
      <c r="DQT19" s="28" t="str">
        <f>IFERROR(VLOOKUP(DATE($K$1,$K$2,DQT$4),Table1[],(MATCH(Calendar!$A19,DB!$1:$1,0)),FALSE),"")</f>
        <v/>
      </c>
      <c r="DQU19" s="28" t="str">
        <f>IFERROR(VLOOKUP(DATE($K$1,$K$2,DQU$4),Table1[],(MATCH(Calendar!$A19,DB!$1:$1,0)),FALSE),"")</f>
        <v/>
      </c>
      <c r="DQV19" s="28" t="str">
        <f>IFERROR(VLOOKUP(DATE($K$1,$K$2,DQV$4),Table1[],(MATCH(Calendar!$A19,DB!$1:$1,0)),FALSE),"")</f>
        <v/>
      </c>
      <c r="DQW19" s="28" t="str">
        <f>IFERROR(VLOOKUP(DATE($K$1,$K$2,DQW$4),Table1[],(MATCH(Calendar!$A19,DB!$1:$1,0)),FALSE),"")</f>
        <v/>
      </c>
      <c r="DQX19" s="28" t="str">
        <f>IFERROR(VLOOKUP(DATE($K$1,$K$2,DQX$4),Table1[],(MATCH(Calendar!$A19,DB!$1:$1,0)),FALSE),"")</f>
        <v/>
      </c>
      <c r="DQY19" s="28" t="str">
        <f>IFERROR(VLOOKUP(DATE($K$1,$K$2,DQY$4),Table1[],(MATCH(Calendar!$A19,DB!$1:$1,0)),FALSE),"")</f>
        <v/>
      </c>
      <c r="DQZ19" s="28" t="str">
        <f>IFERROR(VLOOKUP(DATE($K$1,$K$2,DQZ$4),Table1[],(MATCH(Calendar!$A19,DB!$1:$1,0)),FALSE),"")</f>
        <v/>
      </c>
      <c r="DRA19" s="28" t="str">
        <f>IFERROR(VLOOKUP(DATE($K$1,$K$2,DRA$4),Table1[],(MATCH(Calendar!$A19,DB!$1:$1,0)),FALSE),"")</f>
        <v/>
      </c>
      <c r="DRB19" s="28" t="str">
        <f>IFERROR(VLOOKUP(DATE($K$1,$K$2,DRB$4),Table1[],(MATCH(Calendar!$A19,DB!$1:$1,0)),FALSE),"")</f>
        <v/>
      </c>
      <c r="DRC19" s="28" t="str">
        <f>IFERROR(VLOOKUP(DATE($K$1,$K$2,DRC$4),Table1[],(MATCH(Calendar!$A19,DB!$1:$1,0)),FALSE),"")</f>
        <v/>
      </c>
      <c r="DRD19" s="28" t="str">
        <f>IFERROR(VLOOKUP(DATE($K$1,$K$2,DRD$4),Table1[],(MATCH(Calendar!$A19,DB!$1:$1,0)),FALSE),"")</f>
        <v/>
      </c>
      <c r="DRE19" s="28" t="str">
        <f>IFERROR(VLOOKUP(DATE($K$1,$K$2,DRE$4),Table1[],(MATCH(Calendar!$A19,DB!$1:$1,0)),FALSE),"")</f>
        <v/>
      </c>
      <c r="DRF19" s="28" t="str">
        <f>IFERROR(VLOOKUP(DATE($K$1,$K$2,DRF$4),Table1[],(MATCH(Calendar!$A19,DB!$1:$1,0)),FALSE),"")</f>
        <v/>
      </c>
      <c r="DRG19" s="28" t="str">
        <f>IFERROR(VLOOKUP(DATE($K$1,$K$2,DRG$4),Table1[],(MATCH(Calendar!$A19,DB!$1:$1,0)),FALSE),"")</f>
        <v/>
      </c>
      <c r="DRH19" s="28" t="str">
        <f>IFERROR(VLOOKUP(DATE($K$1,$K$2,DRH$4),Table1[],(MATCH(Calendar!$A19,DB!$1:$1,0)),FALSE),"")</f>
        <v/>
      </c>
      <c r="DRI19" s="28" t="str">
        <f>IFERROR(VLOOKUP(DATE($K$1,$K$2,DRI$4),Table1[],(MATCH(Calendar!$A19,DB!$1:$1,0)),FALSE),"")</f>
        <v/>
      </c>
      <c r="DRJ19" s="28" t="str">
        <f>IFERROR(VLOOKUP(DATE($K$1,$K$2,DRJ$4),Table1[],(MATCH(Calendar!$A19,DB!$1:$1,0)),FALSE),"")</f>
        <v/>
      </c>
      <c r="DRK19" s="28" t="str">
        <f>IFERROR(VLOOKUP(DATE($K$1,$K$2,DRK$4),Table1[],(MATCH(Calendar!$A19,DB!$1:$1,0)),FALSE),"")</f>
        <v/>
      </c>
      <c r="DRL19" s="28" t="str">
        <f>IFERROR(VLOOKUP(DATE($K$1,$K$2,DRL$4),Table1[],(MATCH(Calendar!$A19,DB!$1:$1,0)),FALSE),"")</f>
        <v/>
      </c>
      <c r="DRM19" s="28" t="str">
        <f>IFERROR(VLOOKUP(DATE($K$1,$K$2,DRM$4),Table1[],(MATCH(Calendar!$A19,DB!$1:$1,0)),FALSE),"")</f>
        <v/>
      </c>
      <c r="DRN19" s="28" t="str">
        <f>IFERROR(VLOOKUP(DATE($K$1,$K$2,DRN$4),Table1[],(MATCH(Calendar!$A19,DB!$1:$1,0)),FALSE),"")</f>
        <v/>
      </c>
      <c r="DRO19" s="28" t="str">
        <f>IFERROR(VLOOKUP(DATE($K$1,$K$2,DRO$4),Table1[],(MATCH(Calendar!$A19,DB!$1:$1,0)),FALSE),"")</f>
        <v/>
      </c>
      <c r="DRP19" s="28" t="str">
        <f>IFERROR(VLOOKUP(DATE($K$1,$K$2,DRP$4),Table1[],(MATCH(Calendar!$A19,DB!$1:$1,0)),FALSE),"")</f>
        <v/>
      </c>
      <c r="DRQ19" s="28" t="str">
        <f>IFERROR(VLOOKUP(DATE($K$1,$K$2,DRQ$4),Table1[],(MATCH(Calendar!$A19,DB!$1:$1,0)),FALSE),"")</f>
        <v/>
      </c>
      <c r="DRR19" s="28" t="str">
        <f>IFERROR(VLOOKUP(DATE($K$1,$K$2,DRR$4),Table1[],(MATCH(Calendar!$A19,DB!$1:$1,0)),FALSE),"")</f>
        <v/>
      </c>
      <c r="DRS19" s="28" t="str">
        <f>IFERROR(VLOOKUP(DATE($K$1,$K$2,DRS$4),Table1[],(MATCH(Calendar!$A19,DB!$1:$1,0)),FALSE),"")</f>
        <v/>
      </c>
      <c r="DRT19" s="28" t="str">
        <f>IFERROR(VLOOKUP(DATE($K$1,$K$2,DRT$4),Table1[],(MATCH(Calendar!$A19,DB!$1:$1,0)),FALSE),"")</f>
        <v/>
      </c>
      <c r="DRU19" s="28" t="str">
        <f>IFERROR(VLOOKUP(DATE($K$1,$K$2,DRU$4),Table1[],(MATCH(Calendar!$A19,DB!$1:$1,0)),FALSE),"")</f>
        <v/>
      </c>
      <c r="DRV19" s="28" t="str">
        <f>IFERROR(VLOOKUP(DATE($K$1,$K$2,DRV$4),Table1[],(MATCH(Calendar!$A19,DB!$1:$1,0)),FALSE),"")</f>
        <v/>
      </c>
      <c r="DRW19" s="28" t="str">
        <f>IFERROR(VLOOKUP(DATE($K$1,$K$2,DRW$4),Table1[],(MATCH(Calendar!$A19,DB!$1:$1,0)),FALSE),"")</f>
        <v/>
      </c>
      <c r="DRX19" s="28" t="str">
        <f>IFERROR(VLOOKUP(DATE($K$1,$K$2,DRX$4),Table1[],(MATCH(Calendar!$A19,DB!$1:$1,0)),FALSE),"")</f>
        <v/>
      </c>
      <c r="DRY19" s="28" t="str">
        <f>IFERROR(VLOOKUP(DATE($K$1,$K$2,DRY$4),Table1[],(MATCH(Calendar!$A19,DB!$1:$1,0)),FALSE),"")</f>
        <v/>
      </c>
      <c r="DRZ19" s="28" t="str">
        <f>IFERROR(VLOOKUP(DATE($K$1,$K$2,DRZ$4),Table1[],(MATCH(Calendar!$A19,DB!$1:$1,0)),FALSE),"")</f>
        <v/>
      </c>
      <c r="DSA19" s="28" t="str">
        <f>IFERROR(VLOOKUP(DATE($K$1,$K$2,DSA$4),Table1[],(MATCH(Calendar!$A19,DB!$1:$1,0)),FALSE),"")</f>
        <v/>
      </c>
      <c r="DSB19" s="28" t="str">
        <f>IFERROR(VLOOKUP(DATE($K$1,$K$2,DSB$4),Table1[],(MATCH(Calendar!$A19,DB!$1:$1,0)),FALSE),"")</f>
        <v/>
      </c>
      <c r="DSC19" s="28" t="str">
        <f>IFERROR(VLOOKUP(DATE($K$1,$K$2,DSC$4),Table1[],(MATCH(Calendar!$A19,DB!$1:$1,0)),FALSE),"")</f>
        <v/>
      </c>
      <c r="DSD19" s="28" t="str">
        <f>IFERROR(VLOOKUP(DATE($K$1,$K$2,DSD$4),Table1[],(MATCH(Calendar!$A19,DB!$1:$1,0)),FALSE),"")</f>
        <v/>
      </c>
      <c r="DSE19" s="28" t="str">
        <f>IFERROR(VLOOKUP(DATE($K$1,$K$2,DSE$4),Table1[],(MATCH(Calendar!$A19,DB!$1:$1,0)),FALSE),"")</f>
        <v/>
      </c>
      <c r="DSF19" s="28" t="str">
        <f>IFERROR(VLOOKUP(DATE($K$1,$K$2,DSF$4),Table1[],(MATCH(Calendar!$A19,DB!$1:$1,0)),FALSE),"")</f>
        <v/>
      </c>
      <c r="DSG19" s="28" t="str">
        <f>IFERROR(VLOOKUP(DATE($K$1,$K$2,DSG$4),Table1[],(MATCH(Calendar!$A19,DB!$1:$1,0)),FALSE),"")</f>
        <v/>
      </c>
      <c r="DSH19" s="28" t="str">
        <f>IFERROR(VLOOKUP(DATE($K$1,$K$2,DSH$4),Table1[],(MATCH(Calendar!$A19,DB!$1:$1,0)),FALSE),"")</f>
        <v/>
      </c>
      <c r="DSI19" s="28" t="str">
        <f>IFERROR(VLOOKUP(DATE($K$1,$K$2,DSI$4),Table1[],(MATCH(Calendar!$A19,DB!$1:$1,0)),FALSE),"")</f>
        <v/>
      </c>
      <c r="DSJ19" s="28" t="str">
        <f>IFERROR(VLOOKUP(DATE($K$1,$K$2,DSJ$4),Table1[],(MATCH(Calendar!$A19,DB!$1:$1,0)),FALSE),"")</f>
        <v/>
      </c>
      <c r="DSK19" s="28" t="str">
        <f>IFERROR(VLOOKUP(DATE($K$1,$K$2,DSK$4),Table1[],(MATCH(Calendar!$A19,DB!$1:$1,0)),FALSE),"")</f>
        <v/>
      </c>
      <c r="DSL19" s="28" t="str">
        <f>IFERROR(VLOOKUP(DATE($K$1,$K$2,DSL$4),Table1[],(MATCH(Calendar!$A19,DB!$1:$1,0)),FALSE),"")</f>
        <v/>
      </c>
      <c r="DSM19" s="28" t="str">
        <f>IFERROR(VLOOKUP(DATE($K$1,$K$2,DSM$4),Table1[],(MATCH(Calendar!$A19,DB!$1:$1,0)),FALSE),"")</f>
        <v/>
      </c>
      <c r="DSN19" s="28" t="str">
        <f>IFERROR(VLOOKUP(DATE($K$1,$K$2,DSN$4),Table1[],(MATCH(Calendar!$A19,DB!$1:$1,0)),FALSE),"")</f>
        <v/>
      </c>
      <c r="DSO19" s="28" t="str">
        <f>IFERROR(VLOOKUP(DATE($K$1,$K$2,DSO$4),Table1[],(MATCH(Calendar!$A19,DB!$1:$1,0)),FALSE),"")</f>
        <v/>
      </c>
      <c r="DSP19" s="28" t="str">
        <f>IFERROR(VLOOKUP(DATE($K$1,$K$2,DSP$4),Table1[],(MATCH(Calendar!$A19,DB!$1:$1,0)),FALSE),"")</f>
        <v/>
      </c>
      <c r="DSQ19" s="28" t="str">
        <f>IFERROR(VLOOKUP(DATE($K$1,$K$2,DSQ$4),Table1[],(MATCH(Calendar!$A19,DB!$1:$1,0)),FALSE),"")</f>
        <v/>
      </c>
      <c r="DSR19" s="28" t="str">
        <f>IFERROR(VLOOKUP(DATE($K$1,$K$2,DSR$4),Table1[],(MATCH(Calendar!$A19,DB!$1:$1,0)),FALSE),"")</f>
        <v/>
      </c>
      <c r="DSS19" s="28" t="str">
        <f>IFERROR(VLOOKUP(DATE($K$1,$K$2,DSS$4),Table1[],(MATCH(Calendar!$A19,DB!$1:$1,0)),FALSE),"")</f>
        <v/>
      </c>
      <c r="DST19" s="28" t="str">
        <f>IFERROR(VLOOKUP(DATE($K$1,$K$2,DST$4),Table1[],(MATCH(Calendar!$A19,DB!$1:$1,0)),FALSE),"")</f>
        <v/>
      </c>
      <c r="DSU19" s="28" t="str">
        <f>IFERROR(VLOOKUP(DATE($K$1,$K$2,DSU$4),Table1[],(MATCH(Calendar!$A19,DB!$1:$1,0)),FALSE),"")</f>
        <v/>
      </c>
      <c r="DSV19" s="28" t="str">
        <f>IFERROR(VLOOKUP(DATE($K$1,$K$2,DSV$4),Table1[],(MATCH(Calendar!$A19,DB!$1:$1,0)),FALSE),"")</f>
        <v/>
      </c>
      <c r="DSW19" s="28" t="str">
        <f>IFERROR(VLOOKUP(DATE($K$1,$K$2,DSW$4),Table1[],(MATCH(Calendar!$A19,DB!$1:$1,0)),FALSE),"")</f>
        <v/>
      </c>
      <c r="DSX19" s="28" t="str">
        <f>IFERROR(VLOOKUP(DATE($K$1,$K$2,DSX$4),Table1[],(MATCH(Calendar!$A19,DB!$1:$1,0)),FALSE),"")</f>
        <v/>
      </c>
      <c r="DSY19" s="28" t="str">
        <f>IFERROR(VLOOKUP(DATE($K$1,$K$2,DSY$4),Table1[],(MATCH(Calendar!$A19,DB!$1:$1,0)),FALSE),"")</f>
        <v/>
      </c>
      <c r="DSZ19" s="28" t="str">
        <f>IFERROR(VLOOKUP(DATE($K$1,$K$2,DSZ$4),Table1[],(MATCH(Calendar!$A19,DB!$1:$1,0)),FALSE),"")</f>
        <v/>
      </c>
      <c r="DTA19" s="28" t="str">
        <f>IFERROR(VLOOKUP(DATE($K$1,$K$2,DTA$4),Table1[],(MATCH(Calendar!$A19,DB!$1:$1,0)),FALSE),"")</f>
        <v/>
      </c>
      <c r="DTB19" s="28" t="str">
        <f>IFERROR(VLOOKUP(DATE($K$1,$K$2,DTB$4),Table1[],(MATCH(Calendar!$A19,DB!$1:$1,0)),FALSE),"")</f>
        <v/>
      </c>
      <c r="DTC19" s="28" t="str">
        <f>IFERROR(VLOOKUP(DATE($K$1,$K$2,DTC$4),Table1[],(MATCH(Calendar!$A19,DB!$1:$1,0)),FALSE),"")</f>
        <v/>
      </c>
      <c r="DTD19" s="28" t="str">
        <f>IFERROR(VLOOKUP(DATE($K$1,$K$2,DTD$4),Table1[],(MATCH(Calendar!$A19,DB!$1:$1,0)),FALSE),"")</f>
        <v/>
      </c>
      <c r="DTE19" s="28" t="str">
        <f>IFERROR(VLOOKUP(DATE($K$1,$K$2,DTE$4),Table1[],(MATCH(Calendar!$A19,DB!$1:$1,0)),FALSE),"")</f>
        <v/>
      </c>
      <c r="DTF19" s="28" t="str">
        <f>IFERROR(VLOOKUP(DATE($K$1,$K$2,DTF$4),Table1[],(MATCH(Calendar!$A19,DB!$1:$1,0)),FALSE),"")</f>
        <v/>
      </c>
      <c r="DTG19" s="28" t="str">
        <f>IFERROR(VLOOKUP(DATE($K$1,$K$2,DTG$4),Table1[],(MATCH(Calendar!$A19,DB!$1:$1,0)),FALSE),"")</f>
        <v/>
      </c>
      <c r="DTH19" s="28" t="str">
        <f>IFERROR(VLOOKUP(DATE($K$1,$K$2,DTH$4),Table1[],(MATCH(Calendar!$A19,DB!$1:$1,0)),FALSE),"")</f>
        <v/>
      </c>
      <c r="DTI19" s="28" t="str">
        <f>IFERROR(VLOOKUP(DATE($K$1,$K$2,DTI$4),Table1[],(MATCH(Calendar!$A19,DB!$1:$1,0)),FALSE),"")</f>
        <v/>
      </c>
      <c r="DTJ19" s="28" t="str">
        <f>IFERROR(VLOOKUP(DATE($K$1,$K$2,DTJ$4),Table1[],(MATCH(Calendar!$A19,DB!$1:$1,0)),FALSE),"")</f>
        <v/>
      </c>
      <c r="DTK19" s="28" t="str">
        <f>IFERROR(VLOOKUP(DATE($K$1,$K$2,DTK$4),Table1[],(MATCH(Calendar!$A19,DB!$1:$1,0)),FALSE),"")</f>
        <v/>
      </c>
      <c r="DTL19" s="28" t="str">
        <f>IFERROR(VLOOKUP(DATE($K$1,$K$2,DTL$4),Table1[],(MATCH(Calendar!$A19,DB!$1:$1,0)),FALSE),"")</f>
        <v/>
      </c>
      <c r="DTM19" s="28" t="str">
        <f>IFERROR(VLOOKUP(DATE($K$1,$K$2,DTM$4),Table1[],(MATCH(Calendar!$A19,DB!$1:$1,0)),FALSE),"")</f>
        <v/>
      </c>
      <c r="DTN19" s="28" t="str">
        <f>IFERROR(VLOOKUP(DATE($K$1,$K$2,DTN$4),Table1[],(MATCH(Calendar!$A19,DB!$1:$1,0)),FALSE),"")</f>
        <v/>
      </c>
      <c r="DTO19" s="28" t="str">
        <f>IFERROR(VLOOKUP(DATE($K$1,$K$2,DTO$4),Table1[],(MATCH(Calendar!$A19,DB!$1:$1,0)),FALSE),"")</f>
        <v/>
      </c>
      <c r="DTP19" s="28" t="str">
        <f>IFERROR(VLOOKUP(DATE($K$1,$K$2,DTP$4),Table1[],(MATCH(Calendar!$A19,DB!$1:$1,0)),FALSE),"")</f>
        <v/>
      </c>
      <c r="DTQ19" s="28" t="str">
        <f>IFERROR(VLOOKUP(DATE($K$1,$K$2,DTQ$4),Table1[],(MATCH(Calendar!$A19,DB!$1:$1,0)),FALSE),"")</f>
        <v/>
      </c>
      <c r="DTR19" s="28" t="str">
        <f>IFERROR(VLOOKUP(DATE($K$1,$K$2,DTR$4),Table1[],(MATCH(Calendar!$A19,DB!$1:$1,0)),FALSE),"")</f>
        <v/>
      </c>
      <c r="DTS19" s="28" t="str">
        <f>IFERROR(VLOOKUP(DATE($K$1,$K$2,DTS$4),Table1[],(MATCH(Calendar!$A19,DB!$1:$1,0)),FALSE),"")</f>
        <v/>
      </c>
      <c r="DTT19" s="28" t="str">
        <f>IFERROR(VLOOKUP(DATE($K$1,$K$2,DTT$4),Table1[],(MATCH(Calendar!$A19,DB!$1:$1,0)),FALSE),"")</f>
        <v/>
      </c>
      <c r="DTU19" s="28" t="str">
        <f>IFERROR(VLOOKUP(DATE($K$1,$K$2,DTU$4),Table1[],(MATCH(Calendar!$A19,DB!$1:$1,0)),FALSE),"")</f>
        <v/>
      </c>
      <c r="DTV19" s="28" t="str">
        <f>IFERROR(VLOOKUP(DATE($K$1,$K$2,DTV$4),Table1[],(MATCH(Calendar!$A19,DB!$1:$1,0)),FALSE),"")</f>
        <v/>
      </c>
      <c r="DTW19" s="28" t="str">
        <f>IFERROR(VLOOKUP(DATE($K$1,$K$2,DTW$4),Table1[],(MATCH(Calendar!$A19,DB!$1:$1,0)),FALSE),"")</f>
        <v/>
      </c>
      <c r="DTX19" s="28" t="str">
        <f>IFERROR(VLOOKUP(DATE($K$1,$K$2,DTX$4),Table1[],(MATCH(Calendar!$A19,DB!$1:$1,0)),FALSE),"")</f>
        <v/>
      </c>
      <c r="DTY19" s="28" t="str">
        <f>IFERROR(VLOOKUP(DATE($K$1,$K$2,DTY$4),Table1[],(MATCH(Calendar!$A19,DB!$1:$1,0)),FALSE),"")</f>
        <v/>
      </c>
      <c r="DTZ19" s="28" t="str">
        <f>IFERROR(VLOOKUP(DATE($K$1,$K$2,DTZ$4),Table1[],(MATCH(Calendar!$A19,DB!$1:$1,0)),FALSE),"")</f>
        <v/>
      </c>
      <c r="DUA19" s="28" t="str">
        <f>IFERROR(VLOOKUP(DATE($K$1,$K$2,DUA$4),Table1[],(MATCH(Calendar!$A19,DB!$1:$1,0)),FALSE),"")</f>
        <v/>
      </c>
      <c r="DUB19" s="28" t="str">
        <f>IFERROR(VLOOKUP(DATE($K$1,$K$2,DUB$4),Table1[],(MATCH(Calendar!$A19,DB!$1:$1,0)),FALSE),"")</f>
        <v/>
      </c>
      <c r="DUC19" s="28" t="str">
        <f>IFERROR(VLOOKUP(DATE($K$1,$K$2,DUC$4),Table1[],(MATCH(Calendar!$A19,DB!$1:$1,0)),FALSE),"")</f>
        <v/>
      </c>
      <c r="DUD19" s="28" t="str">
        <f>IFERROR(VLOOKUP(DATE($K$1,$K$2,DUD$4),Table1[],(MATCH(Calendar!$A19,DB!$1:$1,0)),FALSE),"")</f>
        <v/>
      </c>
      <c r="DUE19" s="28" t="str">
        <f>IFERROR(VLOOKUP(DATE($K$1,$K$2,DUE$4),Table1[],(MATCH(Calendar!$A19,DB!$1:$1,0)),FALSE),"")</f>
        <v/>
      </c>
      <c r="DUF19" s="28" t="str">
        <f>IFERROR(VLOOKUP(DATE($K$1,$K$2,DUF$4),Table1[],(MATCH(Calendar!$A19,DB!$1:$1,0)),FALSE),"")</f>
        <v/>
      </c>
      <c r="DUG19" s="28" t="str">
        <f>IFERROR(VLOOKUP(DATE($K$1,$K$2,DUG$4),Table1[],(MATCH(Calendar!$A19,DB!$1:$1,0)),FALSE),"")</f>
        <v/>
      </c>
      <c r="DUH19" s="28" t="str">
        <f>IFERROR(VLOOKUP(DATE($K$1,$K$2,DUH$4),Table1[],(MATCH(Calendar!$A19,DB!$1:$1,0)),FALSE),"")</f>
        <v/>
      </c>
      <c r="DUI19" s="28" t="str">
        <f>IFERROR(VLOOKUP(DATE($K$1,$K$2,DUI$4),Table1[],(MATCH(Calendar!$A19,DB!$1:$1,0)),FALSE),"")</f>
        <v/>
      </c>
      <c r="DUJ19" s="28" t="str">
        <f>IFERROR(VLOOKUP(DATE($K$1,$K$2,DUJ$4),Table1[],(MATCH(Calendar!$A19,DB!$1:$1,0)),FALSE),"")</f>
        <v/>
      </c>
      <c r="DUK19" s="28" t="str">
        <f>IFERROR(VLOOKUP(DATE($K$1,$K$2,DUK$4),Table1[],(MATCH(Calendar!$A19,DB!$1:$1,0)),FALSE),"")</f>
        <v/>
      </c>
      <c r="DUL19" s="28" t="str">
        <f>IFERROR(VLOOKUP(DATE($K$1,$K$2,DUL$4),Table1[],(MATCH(Calendar!$A19,DB!$1:$1,0)),FALSE),"")</f>
        <v/>
      </c>
      <c r="DUM19" s="28" t="str">
        <f>IFERROR(VLOOKUP(DATE($K$1,$K$2,DUM$4),Table1[],(MATCH(Calendar!$A19,DB!$1:$1,0)),FALSE),"")</f>
        <v/>
      </c>
      <c r="DUN19" s="28" t="str">
        <f>IFERROR(VLOOKUP(DATE($K$1,$K$2,DUN$4),Table1[],(MATCH(Calendar!$A19,DB!$1:$1,0)),FALSE),"")</f>
        <v/>
      </c>
      <c r="DUO19" s="28" t="str">
        <f>IFERROR(VLOOKUP(DATE($K$1,$K$2,DUO$4),Table1[],(MATCH(Calendar!$A19,DB!$1:$1,0)),FALSE),"")</f>
        <v/>
      </c>
      <c r="DUP19" s="28" t="str">
        <f>IFERROR(VLOOKUP(DATE($K$1,$K$2,DUP$4),Table1[],(MATCH(Calendar!$A19,DB!$1:$1,0)),FALSE),"")</f>
        <v/>
      </c>
      <c r="DUQ19" s="28" t="str">
        <f>IFERROR(VLOOKUP(DATE($K$1,$K$2,DUQ$4),Table1[],(MATCH(Calendar!$A19,DB!$1:$1,0)),FALSE),"")</f>
        <v/>
      </c>
      <c r="DUR19" s="28" t="str">
        <f>IFERROR(VLOOKUP(DATE($K$1,$K$2,DUR$4),Table1[],(MATCH(Calendar!$A19,DB!$1:$1,0)),FALSE),"")</f>
        <v/>
      </c>
      <c r="DUS19" s="28" t="str">
        <f>IFERROR(VLOOKUP(DATE($K$1,$K$2,DUS$4),Table1[],(MATCH(Calendar!$A19,DB!$1:$1,0)),FALSE),"")</f>
        <v/>
      </c>
      <c r="DUT19" s="28" t="str">
        <f>IFERROR(VLOOKUP(DATE($K$1,$K$2,DUT$4),Table1[],(MATCH(Calendar!$A19,DB!$1:$1,0)),FALSE),"")</f>
        <v/>
      </c>
      <c r="DUU19" s="28" t="str">
        <f>IFERROR(VLOOKUP(DATE($K$1,$K$2,DUU$4),Table1[],(MATCH(Calendar!$A19,DB!$1:$1,0)),FALSE),"")</f>
        <v/>
      </c>
      <c r="DUV19" s="28" t="str">
        <f>IFERROR(VLOOKUP(DATE($K$1,$K$2,DUV$4),Table1[],(MATCH(Calendar!$A19,DB!$1:$1,0)),FALSE),"")</f>
        <v/>
      </c>
      <c r="DUW19" s="28" t="str">
        <f>IFERROR(VLOOKUP(DATE($K$1,$K$2,DUW$4),Table1[],(MATCH(Calendar!$A19,DB!$1:$1,0)),FALSE),"")</f>
        <v/>
      </c>
      <c r="DUX19" s="28" t="str">
        <f>IFERROR(VLOOKUP(DATE($K$1,$K$2,DUX$4),Table1[],(MATCH(Calendar!$A19,DB!$1:$1,0)),FALSE),"")</f>
        <v/>
      </c>
      <c r="DUY19" s="28" t="str">
        <f>IFERROR(VLOOKUP(DATE($K$1,$K$2,DUY$4),Table1[],(MATCH(Calendar!$A19,DB!$1:$1,0)),FALSE),"")</f>
        <v/>
      </c>
      <c r="DUZ19" s="28" t="str">
        <f>IFERROR(VLOOKUP(DATE($K$1,$K$2,DUZ$4),Table1[],(MATCH(Calendar!$A19,DB!$1:$1,0)),FALSE),"")</f>
        <v/>
      </c>
      <c r="DVA19" s="28" t="str">
        <f>IFERROR(VLOOKUP(DATE($K$1,$K$2,DVA$4),Table1[],(MATCH(Calendar!$A19,DB!$1:$1,0)),FALSE),"")</f>
        <v/>
      </c>
      <c r="DVB19" s="28" t="str">
        <f>IFERROR(VLOOKUP(DATE($K$1,$K$2,DVB$4),Table1[],(MATCH(Calendar!$A19,DB!$1:$1,0)),FALSE),"")</f>
        <v/>
      </c>
      <c r="DVC19" s="28" t="str">
        <f>IFERROR(VLOOKUP(DATE($K$1,$K$2,DVC$4),Table1[],(MATCH(Calendar!$A19,DB!$1:$1,0)),FALSE),"")</f>
        <v/>
      </c>
      <c r="DVD19" s="28" t="str">
        <f>IFERROR(VLOOKUP(DATE($K$1,$K$2,DVD$4),Table1[],(MATCH(Calendar!$A19,DB!$1:$1,0)),FALSE),"")</f>
        <v/>
      </c>
      <c r="DVE19" s="28" t="str">
        <f>IFERROR(VLOOKUP(DATE($K$1,$K$2,DVE$4),Table1[],(MATCH(Calendar!$A19,DB!$1:$1,0)),FALSE),"")</f>
        <v/>
      </c>
      <c r="DVF19" s="28" t="str">
        <f>IFERROR(VLOOKUP(DATE($K$1,$K$2,DVF$4),Table1[],(MATCH(Calendar!$A19,DB!$1:$1,0)),FALSE),"")</f>
        <v/>
      </c>
      <c r="DVG19" s="28" t="str">
        <f>IFERROR(VLOOKUP(DATE($K$1,$K$2,DVG$4),Table1[],(MATCH(Calendar!$A19,DB!$1:$1,0)),FALSE),"")</f>
        <v/>
      </c>
      <c r="DVH19" s="28" t="str">
        <f>IFERROR(VLOOKUP(DATE($K$1,$K$2,DVH$4),Table1[],(MATCH(Calendar!$A19,DB!$1:$1,0)),FALSE),"")</f>
        <v/>
      </c>
      <c r="DVI19" s="28" t="str">
        <f>IFERROR(VLOOKUP(DATE($K$1,$K$2,DVI$4),Table1[],(MATCH(Calendar!$A19,DB!$1:$1,0)),FALSE),"")</f>
        <v/>
      </c>
      <c r="DVJ19" s="28" t="str">
        <f>IFERROR(VLOOKUP(DATE($K$1,$K$2,DVJ$4),Table1[],(MATCH(Calendar!$A19,DB!$1:$1,0)),FALSE),"")</f>
        <v/>
      </c>
      <c r="DVK19" s="28" t="str">
        <f>IFERROR(VLOOKUP(DATE($K$1,$K$2,DVK$4),Table1[],(MATCH(Calendar!$A19,DB!$1:$1,0)),FALSE),"")</f>
        <v/>
      </c>
      <c r="DVL19" s="28" t="str">
        <f>IFERROR(VLOOKUP(DATE($K$1,$K$2,DVL$4),Table1[],(MATCH(Calendar!$A19,DB!$1:$1,0)),FALSE),"")</f>
        <v/>
      </c>
      <c r="DVM19" s="28" t="str">
        <f>IFERROR(VLOOKUP(DATE($K$1,$K$2,DVM$4),Table1[],(MATCH(Calendar!$A19,DB!$1:$1,0)),FALSE),"")</f>
        <v/>
      </c>
      <c r="DVN19" s="28" t="str">
        <f>IFERROR(VLOOKUP(DATE($K$1,$K$2,DVN$4),Table1[],(MATCH(Calendar!$A19,DB!$1:$1,0)),FALSE),"")</f>
        <v/>
      </c>
      <c r="DVO19" s="28" t="str">
        <f>IFERROR(VLOOKUP(DATE($K$1,$K$2,DVO$4),Table1[],(MATCH(Calendar!$A19,DB!$1:$1,0)),FALSE),"")</f>
        <v/>
      </c>
      <c r="DVP19" s="28" t="str">
        <f>IFERROR(VLOOKUP(DATE($K$1,$K$2,DVP$4),Table1[],(MATCH(Calendar!$A19,DB!$1:$1,0)),FALSE),"")</f>
        <v/>
      </c>
      <c r="DVQ19" s="28" t="str">
        <f>IFERROR(VLOOKUP(DATE($K$1,$K$2,DVQ$4),Table1[],(MATCH(Calendar!$A19,DB!$1:$1,0)),FALSE),"")</f>
        <v/>
      </c>
      <c r="DVR19" s="28" t="str">
        <f>IFERROR(VLOOKUP(DATE($K$1,$K$2,DVR$4),Table1[],(MATCH(Calendar!$A19,DB!$1:$1,0)),FALSE),"")</f>
        <v/>
      </c>
      <c r="DVS19" s="28" t="str">
        <f>IFERROR(VLOOKUP(DATE($K$1,$K$2,DVS$4),Table1[],(MATCH(Calendar!$A19,DB!$1:$1,0)),FALSE),"")</f>
        <v/>
      </c>
      <c r="DVT19" s="28" t="str">
        <f>IFERROR(VLOOKUP(DATE($K$1,$K$2,DVT$4),Table1[],(MATCH(Calendar!$A19,DB!$1:$1,0)),FALSE),"")</f>
        <v/>
      </c>
      <c r="DVU19" s="28" t="str">
        <f>IFERROR(VLOOKUP(DATE($K$1,$K$2,DVU$4),Table1[],(MATCH(Calendar!$A19,DB!$1:$1,0)),FALSE),"")</f>
        <v/>
      </c>
      <c r="DVV19" s="28" t="str">
        <f>IFERROR(VLOOKUP(DATE($K$1,$K$2,DVV$4),Table1[],(MATCH(Calendar!$A19,DB!$1:$1,0)),FALSE),"")</f>
        <v/>
      </c>
      <c r="DVW19" s="28" t="str">
        <f>IFERROR(VLOOKUP(DATE($K$1,$K$2,DVW$4),Table1[],(MATCH(Calendar!$A19,DB!$1:$1,0)),FALSE),"")</f>
        <v/>
      </c>
      <c r="DVX19" s="28" t="str">
        <f>IFERROR(VLOOKUP(DATE($K$1,$K$2,DVX$4),Table1[],(MATCH(Calendar!$A19,DB!$1:$1,0)),FALSE),"")</f>
        <v/>
      </c>
      <c r="DVY19" s="28" t="str">
        <f>IFERROR(VLOOKUP(DATE($K$1,$K$2,DVY$4),Table1[],(MATCH(Calendar!$A19,DB!$1:$1,0)),FALSE),"")</f>
        <v/>
      </c>
      <c r="DVZ19" s="28" t="str">
        <f>IFERROR(VLOOKUP(DATE($K$1,$K$2,DVZ$4),Table1[],(MATCH(Calendar!$A19,DB!$1:$1,0)),FALSE),"")</f>
        <v/>
      </c>
      <c r="DWA19" s="28" t="str">
        <f>IFERROR(VLOOKUP(DATE($K$1,$K$2,DWA$4),Table1[],(MATCH(Calendar!$A19,DB!$1:$1,0)),FALSE),"")</f>
        <v/>
      </c>
      <c r="DWB19" s="28" t="str">
        <f>IFERROR(VLOOKUP(DATE($K$1,$K$2,DWB$4),Table1[],(MATCH(Calendar!$A19,DB!$1:$1,0)),FALSE),"")</f>
        <v/>
      </c>
      <c r="DWC19" s="28" t="str">
        <f>IFERROR(VLOOKUP(DATE($K$1,$K$2,DWC$4),Table1[],(MATCH(Calendar!$A19,DB!$1:$1,0)),FALSE),"")</f>
        <v/>
      </c>
      <c r="DWD19" s="28" t="str">
        <f>IFERROR(VLOOKUP(DATE($K$1,$K$2,DWD$4),Table1[],(MATCH(Calendar!$A19,DB!$1:$1,0)),FALSE),"")</f>
        <v/>
      </c>
      <c r="DWE19" s="28" t="str">
        <f>IFERROR(VLOOKUP(DATE($K$1,$K$2,DWE$4),Table1[],(MATCH(Calendar!$A19,DB!$1:$1,0)),FALSE),"")</f>
        <v/>
      </c>
      <c r="DWF19" s="28" t="str">
        <f>IFERROR(VLOOKUP(DATE($K$1,$K$2,DWF$4),Table1[],(MATCH(Calendar!$A19,DB!$1:$1,0)),FALSE),"")</f>
        <v/>
      </c>
      <c r="DWG19" s="28" t="str">
        <f>IFERROR(VLOOKUP(DATE($K$1,$K$2,DWG$4),Table1[],(MATCH(Calendar!$A19,DB!$1:$1,0)),FALSE),"")</f>
        <v/>
      </c>
      <c r="DWH19" s="28" t="str">
        <f>IFERROR(VLOOKUP(DATE($K$1,$K$2,DWH$4),Table1[],(MATCH(Calendar!$A19,DB!$1:$1,0)),FALSE),"")</f>
        <v/>
      </c>
      <c r="DWI19" s="28" t="str">
        <f>IFERROR(VLOOKUP(DATE($K$1,$K$2,DWI$4),Table1[],(MATCH(Calendar!$A19,DB!$1:$1,0)),FALSE),"")</f>
        <v/>
      </c>
      <c r="DWJ19" s="28" t="str">
        <f>IFERROR(VLOOKUP(DATE($K$1,$K$2,DWJ$4),Table1[],(MATCH(Calendar!$A19,DB!$1:$1,0)),FALSE),"")</f>
        <v/>
      </c>
      <c r="DWK19" s="28" t="str">
        <f>IFERROR(VLOOKUP(DATE($K$1,$K$2,DWK$4),Table1[],(MATCH(Calendar!$A19,DB!$1:$1,0)),FALSE),"")</f>
        <v/>
      </c>
      <c r="DWL19" s="28" t="str">
        <f>IFERROR(VLOOKUP(DATE($K$1,$K$2,DWL$4),Table1[],(MATCH(Calendar!$A19,DB!$1:$1,0)),FALSE),"")</f>
        <v/>
      </c>
      <c r="DWM19" s="28" t="str">
        <f>IFERROR(VLOOKUP(DATE($K$1,$K$2,DWM$4),Table1[],(MATCH(Calendar!$A19,DB!$1:$1,0)),FALSE),"")</f>
        <v/>
      </c>
      <c r="DWN19" s="28" t="str">
        <f>IFERROR(VLOOKUP(DATE($K$1,$K$2,DWN$4),Table1[],(MATCH(Calendar!$A19,DB!$1:$1,0)),FALSE),"")</f>
        <v/>
      </c>
      <c r="DWO19" s="28" t="str">
        <f>IFERROR(VLOOKUP(DATE($K$1,$K$2,DWO$4),Table1[],(MATCH(Calendar!$A19,DB!$1:$1,0)),FALSE),"")</f>
        <v/>
      </c>
      <c r="DWP19" s="28" t="str">
        <f>IFERROR(VLOOKUP(DATE($K$1,$K$2,DWP$4),Table1[],(MATCH(Calendar!$A19,DB!$1:$1,0)),FALSE),"")</f>
        <v/>
      </c>
      <c r="DWQ19" s="28" t="str">
        <f>IFERROR(VLOOKUP(DATE($K$1,$K$2,DWQ$4),Table1[],(MATCH(Calendar!$A19,DB!$1:$1,0)),FALSE),"")</f>
        <v/>
      </c>
      <c r="DWR19" s="28" t="str">
        <f>IFERROR(VLOOKUP(DATE($K$1,$K$2,DWR$4),Table1[],(MATCH(Calendar!$A19,DB!$1:$1,0)),FALSE),"")</f>
        <v/>
      </c>
      <c r="DWS19" s="28" t="str">
        <f>IFERROR(VLOOKUP(DATE($K$1,$K$2,DWS$4),Table1[],(MATCH(Calendar!$A19,DB!$1:$1,0)),FALSE),"")</f>
        <v/>
      </c>
      <c r="DWT19" s="28" t="str">
        <f>IFERROR(VLOOKUP(DATE($K$1,$K$2,DWT$4),Table1[],(MATCH(Calendar!$A19,DB!$1:$1,0)),FALSE),"")</f>
        <v/>
      </c>
      <c r="DWU19" s="28" t="str">
        <f>IFERROR(VLOOKUP(DATE($K$1,$K$2,DWU$4),Table1[],(MATCH(Calendar!$A19,DB!$1:$1,0)),FALSE),"")</f>
        <v/>
      </c>
      <c r="DWV19" s="28" t="str">
        <f>IFERROR(VLOOKUP(DATE($K$1,$K$2,DWV$4),Table1[],(MATCH(Calendar!$A19,DB!$1:$1,0)),FALSE),"")</f>
        <v/>
      </c>
      <c r="DWW19" s="28" t="str">
        <f>IFERROR(VLOOKUP(DATE($K$1,$K$2,DWW$4),Table1[],(MATCH(Calendar!$A19,DB!$1:$1,0)),FALSE),"")</f>
        <v/>
      </c>
      <c r="DWX19" s="28" t="str">
        <f>IFERROR(VLOOKUP(DATE($K$1,$K$2,DWX$4),Table1[],(MATCH(Calendar!$A19,DB!$1:$1,0)),FALSE),"")</f>
        <v/>
      </c>
      <c r="DWY19" s="28" t="str">
        <f>IFERROR(VLOOKUP(DATE($K$1,$K$2,DWY$4),Table1[],(MATCH(Calendar!$A19,DB!$1:$1,0)),FALSE),"")</f>
        <v/>
      </c>
      <c r="DWZ19" s="28" t="str">
        <f>IFERROR(VLOOKUP(DATE($K$1,$K$2,DWZ$4),Table1[],(MATCH(Calendar!$A19,DB!$1:$1,0)),FALSE),"")</f>
        <v/>
      </c>
      <c r="DXA19" s="28" t="str">
        <f>IFERROR(VLOOKUP(DATE($K$1,$K$2,DXA$4),Table1[],(MATCH(Calendar!$A19,DB!$1:$1,0)),FALSE),"")</f>
        <v/>
      </c>
      <c r="DXB19" s="28" t="str">
        <f>IFERROR(VLOOKUP(DATE($K$1,$K$2,DXB$4),Table1[],(MATCH(Calendar!$A19,DB!$1:$1,0)),FALSE),"")</f>
        <v/>
      </c>
      <c r="DXC19" s="28" t="str">
        <f>IFERROR(VLOOKUP(DATE($K$1,$K$2,DXC$4),Table1[],(MATCH(Calendar!$A19,DB!$1:$1,0)),FALSE),"")</f>
        <v/>
      </c>
      <c r="DXD19" s="28" t="str">
        <f>IFERROR(VLOOKUP(DATE($K$1,$K$2,DXD$4),Table1[],(MATCH(Calendar!$A19,DB!$1:$1,0)),FALSE),"")</f>
        <v/>
      </c>
      <c r="DXE19" s="28" t="str">
        <f>IFERROR(VLOOKUP(DATE($K$1,$K$2,DXE$4),Table1[],(MATCH(Calendar!$A19,DB!$1:$1,0)),FALSE),"")</f>
        <v/>
      </c>
      <c r="DXF19" s="28" t="str">
        <f>IFERROR(VLOOKUP(DATE($K$1,$K$2,DXF$4),Table1[],(MATCH(Calendar!$A19,DB!$1:$1,0)),FALSE),"")</f>
        <v/>
      </c>
      <c r="DXG19" s="28" t="str">
        <f>IFERROR(VLOOKUP(DATE($K$1,$K$2,DXG$4),Table1[],(MATCH(Calendar!$A19,DB!$1:$1,0)),FALSE),"")</f>
        <v/>
      </c>
      <c r="DXH19" s="28" t="str">
        <f>IFERROR(VLOOKUP(DATE($K$1,$K$2,DXH$4),Table1[],(MATCH(Calendar!$A19,DB!$1:$1,0)),FALSE),"")</f>
        <v/>
      </c>
      <c r="DXI19" s="28" t="str">
        <f>IFERROR(VLOOKUP(DATE($K$1,$K$2,DXI$4),Table1[],(MATCH(Calendar!$A19,DB!$1:$1,0)),FALSE),"")</f>
        <v/>
      </c>
      <c r="DXJ19" s="28" t="str">
        <f>IFERROR(VLOOKUP(DATE($K$1,$K$2,DXJ$4),Table1[],(MATCH(Calendar!$A19,DB!$1:$1,0)),FALSE),"")</f>
        <v/>
      </c>
      <c r="DXK19" s="28" t="str">
        <f>IFERROR(VLOOKUP(DATE($K$1,$K$2,DXK$4),Table1[],(MATCH(Calendar!$A19,DB!$1:$1,0)),FALSE),"")</f>
        <v/>
      </c>
      <c r="DXL19" s="28" t="str">
        <f>IFERROR(VLOOKUP(DATE($K$1,$K$2,DXL$4),Table1[],(MATCH(Calendar!$A19,DB!$1:$1,0)),FALSE),"")</f>
        <v/>
      </c>
      <c r="DXM19" s="28" t="str">
        <f>IFERROR(VLOOKUP(DATE($K$1,$K$2,DXM$4),Table1[],(MATCH(Calendar!$A19,DB!$1:$1,0)),FALSE),"")</f>
        <v/>
      </c>
      <c r="DXN19" s="28" t="str">
        <f>IFERROR(VLOOKUP(DATE($K$1,$K$2,DXN$4),Table1[],(MATCH(Calendar!$A19,DB!$1:$1,0)),FALSE),"")</f>
        <v/>
      </c>
      <c r="DXO19" s="28" t="str">
        <f>IFERROR(VLOOKUP(DATE($K$1,$K$2,DXO$4),Table1[],(MATCH(Calendar!$A19,DB!$1:$1,0)),FALSE),"")</f>
        <v/>
      </c>
      <c r="DXP19" s="28" t="str">
        <f>IFERROR(VLOOKUP(DATE($K$1,$K$2,DXP$4),Table1[],(MATCH(Calendar!$A19,DB!$1:$1,0)),FALSE),"")</f>
        <v/>
      </c>
      <c r="DXQ19" s="28" t="str">
        <f>IFERROR(VLOOKUP(DATE($K$1,$K$2,DXQ$4),Table1[],(MATCH(Calendar!$A19,DB!$1:$1,0)),FALSE),"")</f>
        <v/>
      </c>
      <c r="DXR19" s="28" t="str">
        <f>IFERROR(VLOOKUP(DATE($K$1,$K$2,DXR$4),Table1[],(MATCH(Calendar!$A19,DB!$1:$1,0)),FALSE),"")</f>
        <v/>
      </c>
      <c r="DXS19" s="28" t="str">
        <f>IFERROR(VLOOKUP(DATE($K$1,$K$2,DXS$4),Table1[],(MATCH(Calendar!$A19,DB!$1:$1,0)),FALSE),"")</f>
        <v/>
      </c>
      <c r="DXT19" s="28" t="str">
        <f>IFERROR(VLOOKUP(DATE($K$1,$K$2,DXT$4),Table1[],(MATCH(Calendar!$A19,DB!$1:$1,0)),FALSE),"")</f>
        <v/>
      </c>
      <c r="DXU19" s="28" t="str">
        <f>IFERROR(VLOOKUP(DATE($K$1,$K$2,DXU$4),Table1[],(MATCH(Calendar!$A19,DB!$1:$1,0)),FALSE),"")</f>
        <v/>
      </c>
      <c r="DXV19" s="28" t="str">
        <f>IFERROR(VLOOKUP(DATE($K$1,$K$2,DXV$4),Table1[],(MATCH(Calendar!$A19,DB!$1:$1,0)),FALSE),"")</f>
        <v/>
      </c>
      <c r="DXW19" s="28" t="str">
        <f>IFERROR(VLOOKUP(DATE($K$1,$K$2,DXW$4),Table1[],(MATCH(Calendar!$A19,DB!$1:$1,0)),FALSE),"")</f>
        <v/>
      </c>
      <c r="DXX19" s="28" t="str">
        <f>IFERROR(VLOOKUP(DATE($K$1,$K$2,DXX$4),Table1[],(MATCH(Calendar!$A19,DB!$1:$1,0)),FALSE),"")</f>
        <v/>
      </c>
      <c r="DXY19" s="28" t="str">
        <f>IFERROR(VLOOKUP(DATE($K$1,$K$2,DXY$4),Table1[],(MATCH(Calendar!$A19,DB!$1:$1,0)),FALSE),"")</f>
        <v/>
      </c>
      <c r="DXZ19" s="28" t="str">
        <f>IFERROR(VLOOKUP(DATE($K$1,$K$2,DXZ$4),Table1[],(MATCH(Calendar!$A19,DB!$1:$1,0)),FALSE),"")</f>
        <v/>
      </c>
      <c r="DYA19" s="28" t="str">
        <f>IFERROR(VLOOKUP(DATE($K$1,$K$2,DYA$4),Table1[],(MATCH(Calendar!$A19,DB!$1:$1,0)),FALSE),"")</f>
        <v/>
      </c>
      <c r="DYB19" s="28" t="str">
        <f>IFERROR(VLOOKUP(DATE($K$1,$K$2,DYB$4),Table1[],(MATCH(Calendar!$A19,DB!$1:$1,0)),FALSE),"")</f>
        <v/>
      </c>
      <c r="DYC19" s="28" t="str">
        <f>IFERROR(VLOOKUP(DATE($K$1,$K$2,DYC$4),Table1[],(MATCH(Calendar!$A19,DB!$1:$1,0)),FALSE),"")</f>
        <v/>
      </c>
      <c r="DYD19" s="28" t="str">
        <f>IFERROR(VLOOKUP(DATE($K$1,$K$2,DYD$4),Table1[],(MATCH(Calendar!$A19,DB!$1:$1,0)),FALSE),"")</f>
        <v/>
      </c>
      <c r="DYE19" s="28" t="str">
        <f>IFERROR(VLOOKUP(DATE($K$1,$K$2,DYE$4),Table1[],(MATCH(Calendar!$A19,DB!$1:$1,0)),FALSE),"")</f>
        <v/>
      </c>
      <c r="DYF19" s="28" t="str">
        <f>IFERROR(VLOOKUP(DATE($K$1,$K$2,DYF$4),Table1[],(MATCH(Calendar!$A19,DB!$1:$1,0)),FALSE),"")</f>
        <v/>
      </c>
      <c r="DYG19" s="28" t="str">
        <f>IFERROR(VLOOKUP(DATE($K$1,$K$2,DYG$4),Table1[],(MATCH(Calendar!$A19,DB!$1:$1,0)),FALSE),"")</f>
        <v/>
      </c>
      <c r="DYH19" s="28" t="str">
        <f>IFERROR(VLOOKUP(DATE($K$1,$K$2,DYH$4),Table1[],(MATCH(Calendar!$A19,DB!$1:$1,0)),FALSE),"")</f>
        <v/>
      </c>
      <c r="DYI19" s="28" t="str">
        <f>IFERROR(VLOOKUP(DATE($K$1,$K$2,DYI$4),Table1[],(MATCH(Calendar!$A19,DB!$1:$1,0)),FALSE),"")</f>
        <v/>
      </c>
      <c r="DYJ19" s="28" t="str">
        <f>IFERROR(VLOOKUP(DATE($K$1,$K$2,DYJ$4),Table1[],(MATCH(Calendar!$A19,DB!$1:$1,0)),FALSE),"")</f>
        <v/>
      </c>
      <c r="DYK19" s="28" t="str">
        <f>IFERROR(VLOOKUP(DATE($K$1,$K$2,DYK$4),Table1[],(MATCH(Calendar!$A19,DB!$1:$1,0)),FALSE),"")</f>
        <v/>
      </c>
      <c r="DYL19" s="28" t="str">
        <f>IFERROR(VLOOKUP(DATE($K$1,$K$2,DYL$4),Table1[],(MATCH(Calendar!$A19,DB!$1:$1,0)),FALSE),"")</f>
        <v/>
      </c>
      <c r="DYM19" s="28" t="str">
        <f>IFERROR(VLOOKUP(DATE($K$1,$K$2,DYM$4),Table1[],(MATCH(Calendar!$A19,DB!$1:$1,0)),FALSE),"")</f>
        <v/>
      </c>
      <c r="DYN19" s="28" t="str">
        <f>IFERROR(VLOOKUP(DATE($K$1,$K$2,DYN$4),Table1[],(MATCH(Calendar!$A19,DB!$1:$1,0)),FALSE),"")</f>
        <v/>
      </c>
      <c r="DYO19" s="28" t="str">
        <f>IFERROR(VLOOKUP(DATE($K$1,$K$2,DYO$4),Table1[],(MATCH(Calendar!$A19,DB!$1:$1,0)),FALSE),"")</f>
        <v/>
      </c>
      <c r="DYP19" s="28" t="str">
        <f>IFERROR(VLOOKUP(DATE($K$1,$K$2,DYP$4),Table1[],(MATCH(Calendar!$A19,DB!$1:$1,0)),FALSE),"")</f>
        <v/>
      </c>
      <c r="DYQ19" s="28" t="str">
        <f>IFERROR(VLOOKUP(DATE($K$1,$K$2,DYQ$4),Table1[],(MATCH(Calendar!$A19,DB!$1:$1,0)),FALSE),"")</f>
        <v/>
      </c>
      <c r="DYR19" s="28" t="str">
        <f>IFERROR(VLOOKUP(DATE($K$1,$K$2,DYR$4),Table1[],(MATCH(Calendar!$A19,DB!$1:$1,0)),FALSE),"")</f>
        <v/>
      </c>
      <c r="DYS19" s="28" t="str">
        <f>IFERROR(VLOOKUP(DATE($K$1,$K$2,DYS$4),Table1[],(MATCH(Calendar!$A19,DB!$1:$1,0)),FALSE),"")</f>
        <v/>
      </c>
      <c r="DYT19" s="28" t="str">
        <f>IFERROR(VLOOKUP(DATE($K$1,$K$2,DYT$4),Table1[],(MATCH(Calendar!$A19,DB!$1:$1,0)),FALSE),"")</f>
        <v/>
      </c>
      <c r="DYU19" s="28" t="str">
        <f>IFERROR(VLOOKUP(DATE($K$1,$K$2,DYU$4),Table1[],(MATCH(Calendar!$A19,DB!$1:$1,0)),FALSE),"")</f>
        <v/>
      </c>
      <c r="DYV19" s="28" t="str">
        <f>IFERROR(VLOOKUP(DATE($K$1,$K$2,DYV$4),Table1[],(MATCH(Calendar!$A19,DB!$1:$1,0)),FALSE),"")</f>
        <v/>
      </c>
      <c r="DYW19" s="28" t="str">
        <f>IFERROR(VLOOKUP(DATE($K$1,$K$2,DYW$4),Table1[],(MATCH(Calendar!$A19,DB!$1:$1,0)),FALSE),"")</f>
        <v/>
      </c>
      <c r="DYX19" s="28" t="str">
        <f>IFERROR(VLOOKUP(DATE($K$1,$K$2,DYX$4),Table1[],(MATCH(Calendar!$A19,DB!$1:$1,0)),FALSE),"")</f>
        <v/>
      </c>
      <c r="DYY19" s="28" t="str">
        <f>IFERROR(VLOOKUP(DATE($K$1,$K$2,DYY$4),Table1[],(MATCH(Calendar!$A19,DB!$1:$1,0)),FALSE),"")</f>
        <v/>
      </c>
      <c r="DYZ19" s="28" t="str">
        <f>IFERROR(VLOOKUP(DATE($K$1,$K$2,DYZ$4),Table1[],(MATCH(Calendar!$A19,DB!$1:$1,0)),FALSE),"")</f>
        <v/>
      </c>
      <c r="DZA19" s="28" t="str">
        <f>IFERROR(VLOOKUP(DATE($K$1,$K$2,DZA$4),Table1[],(MATCH(Calendar!$A19,DB!$1:$1,0)),FALSE),"")</f>
        <v/>
      </c>
      <c r="DZB19" s="28" t="str">
        <f>IFERROR(VLOOKUP(DATE($K$1,$K$2,DZB$4),Table1[],(MATCH(Calendar!$A19,DB!$1:$1,0)),FALSE),"")</f>
        <v/>
      </c>
      <c r="DZC19" s="28" t="str">
        <f>IFERROR(VLOOKUP(DATE($K$1,$K$2,DZC$4),Table1[],(MATCH(Calendar!$A19,DB!$1:$1,0)),FALSE),"")</f>
        <v/>
      </c>
      <c r="DZD19" s="28" t="str">
        <f>IFERROR(VLOOKUP(DATE($K$1,$K$2,DZD$4),Table1[],(MATCH(Calendar!$A19,DB!$1:$1,0)),FALSE),"")</f>
        <v/>
      </c>
      <c r="DZE19" s="28" t="str">
        <f>IFERROR(VLOOKUP(DATE($K$1,$K$2,DZE$4),Table1[],(MATCH(Calendar!$A19,DB!$1:$1,0)),FALSE),"")</f>
        <v/>
      </c>
      <c r="DZF19" s="28" t="str">
        <f>IFERROR(VLOOKUP(DATE($K$1,$K$2,DZF$4),Table1[],(MATCH(Calendar!$A19,DB!$1:$1,0)),FALSE),"")</f>
        <v/>
      </c>
      <c r="DZG19" s="28" t="str">
        <f>IFERROR(VLOOKUP(DATE($K$1,$K$2,DZG$4),Table1[],(MATCH(Calendar!$A19,DB!$1:$1,0)),FALSE),"")</f>
        <v/>
      </c>
      <c r="DZH19" s="28" t="str">
        <f>IFERROR(VLOOKUP(DATE($K$1,$K$2,DZH$4),Table1[],(MATCH(Calendar!$A19,DB!$1:$1,0)),FALSE),"")</f>
        <v/>
      </c>
      <c r="DZI19" s="28" t="str">
        <f>IFERROR(VLOOKUP(DATE($K$1,$K$2,DZI$4),Table1[],(MATCH(Calendar!$A19,DB!$1:$1,0)),FALSE),"")</f>
        <v/>
      </c>
      <c r="DZJ19" s="28" t="str">
        <f>IFERROR(VLOOKUP(DATE($K$1,$K$2,DZJ$4),Table1[],(MATCH(Calendar!$A19,DB!$1:$1,0)),FALSE),"")</f>
        <v/>
      </c>
      <c r="DZK19" s="28" t="str">
        <f>IFERROR(VLOOKUP(DATE($K$1,$K$2,DZK$4),Table1[],(MATCH(Calendar!$A19,DB!$1:$1,0)),FALSE),"")</f>
        <v/>
      </c>
      <c r="DZL19" s="28" t="str">
        <f>IFERROR(VLOOKUP(DATE($K$1,$K$2,DZL$4),Table1[],(MATCH(Calendar!$A19,DB!$1:$1,0)),FALSE),"")</f>
        <v/>
      </c>
      <c r="DZM19" s="28" t="str">
        <f>IFERROR(VLOOKUP(DATE($K$1,$K$2,DZM$4),Table1[],(MATCH(Calendar!$A19,DB!$1:$1,0)),FALSE),"")</f>
        <v/>
      </c>
      <c r="DZN19" s="28" t="str">
        <f>IFERROR(VLOOKUP(DATE($K$1,$K$2,DZN$4),Table1[],(MATCH(Calendar!$A19,DB!$1:$1,0)),FALSE),"")</f>
        <v/>
      </c>
      <c r="DZO19" s="28" t="str">
        <f>IFERROR(VLOOKUP(DATE($K$1,$K$2,DZO$4),Table1[],(MATCH(Calendar!$A19,DB!$1:$1,0)),FALSE),"")</f>
        <v/>
      </c>
      <c r="DZP19" s="28" t="str">
        <f>IFERROR(VLOOKUP(DATE($K$1,$K$2,DZP$4),Table1[],(MATCH(Calendar!$A19,DB!$1:$1,0)),FALSE),"")</f>
        <v/>
      </c>
      <c r="DZQ19" s="28" t="str">
        <f>IFERROR(VLOOKUP(DATE($K$1,$K$2,DZQ$4),Table1[],(MATCH(Calendar!$A19,DB!$1:$1,0)),FALSE),"")</f>
        <v/>
      </c>
      <c r="DZR19" s="28" t="str">
        <f>IFERROR(VLOOKUP(DATE($K$1,$K$2,DZR$4),Table1[],(MATCH(Calendar!$A19,DB!$1:$1,0)),FALSE),"")</f>
        <v/>
      </c>
      <c r="DZS19" s="28" t="str">
        <f>IFERROR(VLOOKUP(DATE($K$1,$K$2,DZS$4),Table1[],(MATCH(Calendar!$A19,DB!$1:$1,0)),FALSE),"")</f>
        <v/>
      </c>
      <c r="DZT19" s="28" t="str">
        <f>IFERROR(VLOOKUP(DATE($K$1,$K$2,DZT$4),Table1[],(MATCH(Calendar!$A19,DB!$1:$1,0)),FALSE),"")</f>
        <v/>
      </c>
      <c r="DZU19" s="28" t="str">
        <f>IFERROR(VLOOKUP(DATE($K$1,$K$2,DZU$4),Table1[],(MATCH(Calendar!$A19,DB!$1:$1,0)),FALSE),"")</f>
        <v/>
      </c>
      <c r="DZV19" s="28" t="str">
        <f>IFERROR(VLOOKUP(DATE($K$1,$K$2,DZV$4),Table1[],(MATCH(Calendar!$A19,DB!$1:$1,0)),FALSE),"")</f>
        <v/>
      </c>
      <c r="DZW19" s="28" t="str">
        <f>IFERROR(VLOOKUP(DATE($K$1,$K$2,DZW$4),Table1[],(MATCH(Calendar!$A19,DB!$1:$1,0)),FALSE),"")</f>
        <v/>
      </c>
      <c r="DZX19" s="28" t="str">
        <f>IFERROR(VLOOKUP(DATE($K$1,$K$2,DZX$4),Table1[],(MATCH(Calendar!$A19,DB!$1:$1,0)),FALSE),"")</f>
        <v/>
      </c>
      <c r="DZY19" s="28" t="str">
        <f>IFERROR(VLOOKUP(DATE($K$1,$K$2,DZY$4),Table1[],(MATCH(Calendar!$A19,DB!$1:$1,0)),FALSE),"")</f>
        <v/>
      </c>
      <c r="DZZ19" s="28" t="str">
        <f>IFERROR(VLOOKUP(DATE($K$1,$K$2,DZZ$4),Table1[],(MATCH(Calendar!$A19,DB!$1:$1,0)),FALSE),"")</f>
        <v/>
      </c>
      <c r="EAA19" s="28" t="str">
        <f>IFERROR(VLOOKUP(DATE($K$1,$K$2,EAA$4),Table1[],(MATCH(Calendar!$A19,DB!$1:$1,0)),FALSE),"")</f>
        <v/>
      </c>
      <c r="EAB19" s="28" t="str">
        <f>IFERROR(VLOOKUP(DATE($K$1,$K$2,EAB$4),Table1[],(MATCH(Calendar!$A19,DB!$1:$1,0)),FALSE),"")</f>
        <v/>
      </c>
      <c r="EAC19" s="28" t="str">
        <f>IFERROR(VLOOKUP(DATE($K$1,$K$2,EAC$4),Table1[],(MATCH(Calendar!$A19,DB!$1:$1,0)),FALSE),"")</f>
        <v/>
      </c>
      <c r="EAD19" s="28" t="str">
        <f>IFERROR(VLOOKUP(DATE($K$1,$K$2,EAD$4),Table1[],(MATCH(Calendar!$A19,DB!$1:$1,0)),FALSE),"")</f>
        <v/>
      </c>
      <c r="EAE19" s="28" t="str">
        <f>IFERROR(VLOOKUP(DATE($K$1,$K$2,EAE$4),Table1[],(MATCH(Calendar!$A19,DB!$1:$1,0)),FALSE),"")</f>
        <v/>
      </c>
      <c r="EAF19" s="28" t="str">
        <f>IFERROR(VLOOKUP(DATE($K$1,$K$2,EAF$4),Table1[],(MATCH(Calendar!$A19,DB!$1:$1,0)),FALSE),"")</f>
        <v/>
      </c>
      <c r="EAG19" s="28" t="str">
        <f>IFERROR(VLOOKUP(DATE($K$1,$K$2,EAG$4),Table1[],(MATCH(Calendar!$A19,DB!$1:$1,0)),FALSE),"")</f>
        <v/>
      </c>
      <c r="EAH19" s="28" t="str">
        <f>IFERROR(VLOOKUP(DATE($K$1,$K$2,EAH$4),Table1[],(MATCH(Calendar!$A19,DB!$1:$1,0)),FALSE),"")</f>
        <v/>
      </c>
      <c r="EAI19" s="28" t="str">
        <f>IFERROR(VLOOKUP(DATE($K$1,$K$2,EAI$4),Table1[],(MATCH(Calendar!$A19,DB!$1:$1,0)),FALSE),"")</f>
        <v/>
      </c>
      <c r="EAJ19" s="28" t="str">
        <f>IFERROR(VLOOKUP(DATE($K$1,$K$2,EAJ$4),Table1[],(MATCH(Calendar!$A19,DB!$1:$1,0)),FALSE),"")</f>
        <v/>
      </c>
      <c r="EAK19" s="28" t="str">
        <f>IFERROR(VLOOKUP(DATE($K$1,$K$2,EAK$4),Table1[],(MATCH(Calendar!$A19,DB!$1:$1,0)),FALSE),"")</f>
        <v/>
      </c>
      <c r="EAL19" s="28" t="str">
        <f>IFERROR(VLOOKUP(DATE($K$1,$K$2,EAL$4),Table1[],(MATCH(Calendar!$A19,DB!$1:$1,0)),FALSE),"")</f>
        <v/>
      </c>
      <c r="EAM19" s="28" t="str">
        <f>IFERROR(VLOOKUP(DATE($K$1,$K$2,EAM$4),Table1[],(MATCH(Calendar!$A19,DB!$1:$1,0)),FALSE),"")</f>
        <v/>
      </c>
      <c r="EAN19" s="28" t="str">
        <f>IFERROR(VLOOKUP(DATE($K$1,$K$2,EAN$4),Table1[],(MATCH(Calendar!$A19,DB!$1:$1,0)),FALSE),"")</f>
        <v/>
      </c>
      <c r="EAO19" s="28" t="str">
        <f>IFERROR(VLOOKUP(DATE($K$1,$K$2,EAO$4),Table1[],(MATCH(Calendar!$A19,DB!$1:$1,0)),FALSE),"")</f>
        <v/>
      </c>
      <c r="EAP19" s="28" t="str">
        <f>IFERROR(VLOOKUP(DATE($K$1,$K$2,EAP$4),Table1[],(MATCH(Calendar!$A19,DB!$1:$1,0)),FALSE),"")</f>
        <v/>
      </c>
      <c r="EAQ19" s="28" t="str">
        <f>IFERROR(VLOOKUP(DATE($K$1,$K$2,EAQ$4),Table1[],(MATCH(Calendar!$A19,DB!$1:$1,0)),FALSE),"")</f>
        <v/>
      </c>
      <c r="EAR19" s="28" t="str">
        <f>IFERROR(VLOOKUP(DATE($K$1,$K$2,EAR$4),Table1[],(MATCH(Calendar!$A19,DB!$1:$1,0)),FALSE),"")</f>
        <v/>
      </c>
      <c r="EAS19" s="28" t="str">
        <f>IFERROR(VLOOKUP(DATE($K$1,$K$2,EAS$4),Table1[],(MATCH(Calendar!$A19,DB!$1:$1,0)),FALSE),"")</f>
        <v/>
      </c>
      <c r="EAT19" s="28" t="str">
        <f>IFERROR(VLOOKUP(DATE($K$1,$K$2,EAT$4),Table1[],(MATCH(Calendar!$A19,DB!$1:$1,0)),FALSE),"")</f>
        <v/>
      </c>
      <c r="EAU19" s="28" t="str">
        <f>IFERROR(VLOOKUP(DATE($K$1,$K$2,EAU$4),Table1[],(MATCH(Calendar!$A19,DB!$1:$1,0)),FALSE),"")</f>
        <v/>
      </c>
      <c r="EAV19" s="28" t="str">
        <f>IFERROR(VLOOKUP(DATE($K$1,$K$2,EAV$4),Table1[],(MATCH(Calendar!$A19,DB!$1:$1,0)),FALSE),"")</f>
        <v/>
      </c>
      <c r="EAW19" s="28" t="str">
        <f>IFERROR(VLOOKUP(DATE($K$1,$K$2,EAW$4),Table1[],(MATCH(Calendar!$A19,DB!$1:$1,0)),FALSE),"")</f>
        <v/>
      </c>
      <c r="EAX19" s="28" t="str">
        <f>IFERROR(VLOOKUP(DATE($K$1,$K$2,EAX$4),Table1[],(MATCH(Calendar!$A19,DB!$1:$1,0)),FALSE),"")</f>
        <v/>
      </c>
      <c r="EAY19" s="28" t="str">
        <f>IFERROR(VLOOKUP(DATE($K$1,$K$2,EAY$4),Table1[],(MATCH(Calendar!$A19,DB!$1:$1,0)),FALSE),"")</f>
        <v/>
      </c>
      <c r="EAZ19" s="28" t="str">
        <f>IFERROR(VLOOKUP(DATE($K$1,$K$2,EAZ$4),Table1[],(MATCH(Calendar!$A19,DB!$1:$1,0)),FALSE),"")</f>
        <v/>
      </c>
      <c r="EBA19" s="28" t="str">
        <f>IFERROR(VLOOKUP(DATE($K$1,$K$2,EBA$4),Table1[],(MATCH(Calendar!$A19,DB!$1:$1,0)),FALSE),"")</f>
        <v/>
      </c>
      <c r="EBB19" s="28" t="str">
        <f>IFERROR(VLOOKUP(DATE($K$1,$K$2,EBB$4),Table1[],(MATCH(Calendar!$A19,DB!$1:$1,0)),FALSE),"")</f>
        <v/>
      </c>
      <c r="EBC19" s="28" t="str">
        <f>IFERROR(VLOOKUP(DATE($K$1,$K$2,EBC$4),Table1[],(MATCH(Calendar!$A19,DB!$1:$1,0)),FALSE),"")</f>
        <v/>
      </c>
      <c r="EBD19" s="28" t="str">
        <f>IFERROR(VLOOKUP(DATE($K$1,$K$2,EBD$4),Table1[],(MATCH(Calendar!$A19,DB!$1:$1,0)),FALSE),"")</f>
        <v/>
      </c>
      <c r="EBE19" s="28" t="str">
        <f>IFERROR(VLOOKUP(DATE($K$1,$K$2,EBE$4),Table1[],(MATCH(Calendar!$A19,DB!$1:$1,0)),FALSE),"")</f>
        <v/>
      </c>
      <c r="EBF19" s="28" t="str">
        <f>IFERROR(VLOOKUP(DATE($K$1,$K$2,EBF$4),Table1[],(MATCH(Calendar!$A19,DB!$1:$1,0)),FALSE),"")</f>
        <v/>
      </c>
      <c r="EBG19" s="28" t="str">
        <f>IFERROR(VLOOKUP(DATE($K$1,$K$2,EBG$4),Table1[],(MATCH(Calendar!$A19,DB!$1:$1,0)),FALSE),"")</f>
        <v/>
      </c>
      <c r="EBH19" s="28" t="str">
        <f>IFERROR(VLOOKUP(DATE($K$1,$K$2,EBH$4),Table1[],(MATCH(Calendar!$A19,DB!$1:$1,0)),FALSE),"")</f>
        <v/>
      </c>
      <c r="EBI19" s="28" t="str">
        <f>IFERROR(VLOOKUP(DATE($K$1,$K$2,EBI$4),Table1[],(MATCH(Calendar!$A19,DB!$1:$1,0)),FALSE),"")</f>
        <v/>
      </c>
      <c r="EBJ19" s="28" t="str">
        <f>IFERROR(VLOOKUP(DATE($K$1,$K$2,EBJ$4),Table1[],(MATCH(Calendar!$A19,DB!$1:$1,0)),FALSE),"")</f>
        <v/>
      </c>
      <c r="EBK19" s="28" t="str">
        <f>IFERROR(VLOOKUP(DATE($K$1,$K$2,EBK$4),Table1[],(MATCH(Calendar!$A19,DB!$1:$1,0)),FALSE),"")</f>
        <v/>
      </c>
      <c r="EBL19" s="28" t="str">
        <f>IFERROR(VLOOKUP(DATE($K$1,$K$2,EBL$4),Table1[],(MATCH(Calendar!$A19,DB!$1:$1,0)),FALSE),"")</f>
        <v/>
      </c>
      <c r="EBM19" s="28" t="str">
        <f>IFERROR(VLOOKUP(DATE($K$1,$K$2,EBM$4),Table1[],(MATCH(Calendar!$A19,DB!$1:$1,0)),FALSE),"")</f>
        <v/>
      </c>
      <c r="EBN19" s="28" t="str">
        <f>IFERROR(VLOOKUP(DATE($K$1,$K$2,EBN$4),Table1[],(MATCH(Calendar!$A19,DB!$1:$1,0)),FALSE),"")</f>
        <v/>
      </c>
      <c r="EBO19" s="28" t="str">
        <f>IFERROR(VLOOKUP(DATE($K$1,$K$2,EBO$4),Table1[],(MATCH(Calendar!$A19,DB!$1:$1,0)),FALSE),"")</f>
        <v/>
      </c>
      <c r="EBP19" s="28" t="str">
        <f>IFERROR(VLOOKUP(DATE($K$1,$K$2,EBP$4),Table1[],(MATCH(Calendar!$A19,DB!$1:$1,0)),FALSE),"")</f>
        <v/>
      </c>
      <c r="EBQ19" s="28" t="str">
        <f>IFERROR(VLOOKUP(DATE($K$1,$K$2,EBQ$4),Table1[],(MATCH(Calendar!$A19,DB!$1:$1,0)),FALSE),"")</f>
        <v/>
      </c>
      <c r="EBR19" s="28" t="str">
        <f>IFERROR(VLOOKUP(DATE($K$1,$K$2,EBR$4),Table1[],(MATCH(Calendar!$A19,DB!$1:$1,0)),FALSE),"")</f>
        <v/>
      </c>
      <c r="EBS19" s="28" t="str">
        <f>IFERROR(VLOOKUP(DATE($K$1,$K$2,EBS$4),Table1[],(MATCH(Calendar!$A19,DB!$1:$1,0)),FALSE),"")</f>
        <v/>
      </c>
      <c r="EBT19" s="28" t="str">
        <f>IFERROR(VLOOKUP(DATE($K$1,$K$2,EBT$4),Table1[],(MATCH(Calendar!$A19,DB!$1:$1,0)),FALSE),"")</f>
        <v/>
      </c>
      <c r="EBU19" s="28" t="str">
        <f>IFERROR(VLOOKUP(DATE($K$1,$K$2,EBU$4),Table1[],(MATCH(Calendar!$A19,DB!$1:$1,0)),FALSE),"")</f>
        <v/>
      </c>
      <c r="EBV19" s="28" t="str">
        <f>IFERROR(VLOOKUP(DATE($K$1,$K$2,EBV$4),Table1[],(MATCH(Calendar!$A19,DB!$1:$1,0)),FALSE),"")</f>
        <v/>
      </c>
      <c r="EBW19" s="28" t="str">
        <f>IFERROR(VLOOKUP(DATE($K$1,$K$2,EBW$4),Table1[],(MATCH(Calendar!$A19,DB!$1:$1,0)),FALSE),"")</f>
        <v/>
      </c>
      <c r="EBX19" s="28" t="str">
        <f>IFERROR(VLOOKUP(DATE($K$1,$K$2,EBX$4),Table1[],(MATCH(Calendar!$A19,DB!$1:$1,0)),FALSE),"")</f>
        <v/>
      </c>
      <c r="EBY19" s="28" t="str">
        <f>IFERROR(VLOOKUP(DATE($K$1,$K$2,EBY$4),Table1[],(MATCH(Calendar!$A19,DB!$1:$1,0)),FALSE),"")</f>
        <v/>
      </c>
      <c r="EBZ19" s="28" t="str">
        <f>IFERROR(VLOOKUP(DATE($K$1,$K$2,EBZ$4),Table1[],(MATCH(Calendar!$A19,DB!$1:$1,0)),FALSE),"")</f>
        <v/>
      </c>
      <c r="ECA19" s="28" t="str">
        <f>IFERROR(VLOOKUP(DATE($K$1,$K$2,ECA$4),Table1[],(MATCH(Calendar!$A19,DB!$1:$1,0)),FALSE),"")</f>
        <v/>
      </c>
      <c r="ECB19" s="28" t="str">
        <f>IFERROR(VLOOKUP(DATE($K$1,$K$2,ECB$4),Table1[],(MATCH(Calendar!$A19,DB!$1:$1,0)),FALSE),"")</f>
        <v/>
      </c>
      <c r="ECC19" s="28" t="str">
        <f>IFERROR(VLOOKUP(DATE($K$1,$K$2,ECC$4),Table1[],(MATCH(Calendar!$A19,DB!$1:$1,0)),FALSE),"")</f>
        <v/>
      </c>
      <c r="ECD19" s="28" t="str">
        <f>IFERROR(VLOOKUP(DATE($K$1,$K$2,ECD$4),Table1[],(MATCH(Calendar!$A19,DB!$1:$1,0)),FALSE),"")</f>
        <v/>
      </c>
      <c r="ECE19" s="28" t="str">
        <f>IFERROR(VLOOKUP(DATE($K$1,$K$2,ECE$4),Table1[],(MATCH(Calendar!$A19,DB!$1:$1,0)),FALSE),"")</f>
        <v/>
      </c>
      <c r="ECF19" s="28" t="str">
        <f>IFERROR(VLOOKUP(DATE($K$1,$K$2,ECF$4),Table1[],(MATCH(Calendar!$A19,DB!$1:$1,0)),FALSE),"")</f>
        <v/>
      </c>
      <c r="ECG19" s="28" t="str">
        <f>IFERROR(VLOOKUP(DATE($K$1,$K$2,ECG$4),Table1[],(MATCH(Calendar!$A19,DB!$1:$1,0)),FALSE),"")</f>
        <v/>
      </c>
      <c r="ECH19" s="28" t="str">
        <f>IFERROR(VLOOKUP(DATE($K$1,$K$2,ECH$4),Table1[],(MATCH(Calendar!$A19,DB!$1:$1,0)),FALSE),"")</f>
        <v/>
      </c>
      <c r="ECI19" s="28" t="str">
        <f>IFERROR(VLOOKUP(DATE($K$1,$K$2,ECI$4),Table1[],(MATCH(Calendar!$A19,DB!$1:$1,0)),FALSE),"")</f>
        <v/>
      </c>
      <c r="ECJ19" s="28" t="str">
        <f>IFERROR(VLOOKUP(DATE($K$1,$K$2,ECJ$4),Table1[],(MATCH(Calendar!$A19,DB!$1:$1,0)),FALSE),"")</f>
        <v/>
      </c>
      <c r="ECK19" s="28" t="str">
        <f>IFERROR(VLOOKUP(DATE($K$1,$K$2,ECK$4),Table1[],(MATCH(Calendar!$A19,DB!$1:$1,0)),FALSE),"")</f>
        <v/>
      </c>
      <c r="ECL19" s="28" t="str">
        <f>IFERROR(VLOOKUP(DATE($K$1,$K$2,ECL$4),Table1[],(MATCH(Calendar!$A19,DB!$1:$1,0)),FALSE),"")</f>
        <v/>
      </c>
      <c r="ECM19" s="28" t="str">
        <f>IFERROR(VLOOKUP(DATE($K$1,$K$2,ECM$4),Table1[],(MATCH(Calendar!$A19,DB!$1:$1,0)),FALSE),"")</f>
        <v/>
      </c>
      <c r="ECN19" s="28" t="str">
        <f>IFERROR(VLOOKUP(DATE($K$1,$K$2,ECN$4),Table1[],(MATCH(Calendar!$A19,DB!$1:$1,0)),FALSE),"")</f>
        <v/>
      </c>
      <c r="ECO19" s="28" t="str">
        <f>IFERROR(VLOOKUP(DATE($K$1,$K$2,ECO$4),Table1[],(MATCH(Calendar!$A19,DB!$1:$1,0)),FALSE),"")</f>
        <v/>
      </c>
      <c r="ECP19" s="28" t="str">
        <f>IFERROR(VLOOKUP(DATE($K$1,$K$2,ECP$4),Table1[],(MATCH(Calendar!$A19,DB!$1:$1,0)),FALSE),"")</f>
        <v/>
      </c>
      <c r="ECQ19" s="28" t="str">
        <f>IFERROR(VLOOKUP(DATE($K$1,$K$2,ECQ$4),Table1[],(MATCH(Calendar!$A19,DB!$1:$1,0)),FALSE),"")</f>
        <v/>
      </c>
      <c r="ECR19" s="28" t="str">
        <f>IFERROR(VLOOKUP(DATE($K$1,$K$2,ECR$4),Table1[],(MATCH(Calendar!$A19,DB!$1:$1,0)),FALSE),"")</f>
        <v/>
      </c>
      <c r="ECS19" s="28" t="str">
        <f>IFERROR(VLOOKUP(DATE($K$1,$K$2,ECS$4),Table1[],(MATCH(Calendar!$A19,DB!$1:$1,0)),FALSE),"")</f>
        <v/>
      </c>
      <c r="ECT19" s="28" t="str">
        <f>IFERROR(VLOOKUP(DATE($K$1,$K$2,ECT$4),Table1[],(MATCH(Calendar!$A19,DB!$1:$1,0)),FALSE),"")</f>
        <v/>
      </c>
      <c r="ECU19" s="28" t="str">
        <f>IFERROR(VLOOKUP(DATE($K$1,$K$2,ECU$4),Table1[],(MATCH(Calendar!$A19,DB!$1:$1,0)),FALSE),"")</f>
        <v/>
      </c>
      <c r="ECV19" s="28" t="str">
        <f>IFERROR(VLOOKUP(DATE($K$1,$K$2,ECV$4),Table1[],(MATCH(Calendar!$A19,DB!$1:$1,0)),FALSE),"")</f>
        <v/>
      </c>
      <c r="ECW19" s="28" t="str">
        <f>IFERROR(VLOOKUP(DATE($K$1,$K$2,ECW$4),Table1[],(MATCH(Calendar!$A19,DB!$1:$1,0)),FALSE),"")</f>
        <v/>
      </c>
      <c r="ECX19" s="28" t="str">
        <f>IFERROR(VLOOKUP(DATE($K$1,$K$2,ECX$4),Table1[],(MATCH(Calendar!$A19,DB!$1:$1,0)),FALSE),"")</f>
        <v/>
      </c>
      <c r="ECY19" s="28" t="str">
        <f>IFERROR(VLOOKUP(DATE($K$1,$K$2,ECY$4),Table1[],(MATCH(Calendar!$A19,DB!$1:$1,0)),FALSE),"")</f>
        <v/>
      </c>
      <c r="ECZ19" s="28" t="str">
        <f>IFERROR(VLOOKUP(DATE($K$1,$K$2,ECZ$4),Table1[],(MATCH(Calendar!$A19,DB!$1:$1,0)),FALSE),"")</f>
        <v/>
      </c>
      <c r="EDA19" s="28" t="str">
        <f>IFERROR(VLOOKUP(DATE($K$1,$K$2,EDA$4),Table1[],(MATCH(Calendar!$A19,DB!$1:$1,0)),FALSE),"")</f>
        <v/>
      </c>
      <c r="EDB19" s="28" t="str">
        <f>IFERROR(VLOOKUP(DATE($K$1,$K$2,EDB$4),Table1[],(MATCH(Calendar!$A19,DB!$1:$1,0)),FALSE),"")</f>
        <v/>
      </c>
      <c r="EDC19" s="28" t="str">
        <f>IFERROR(VLOOKUP(DATE($K$1,$K$2,EDC$4),Table1[],(MATCH(Calendar!$A19,DB!$1:$1,0)),FALSE),"")</f>
        <v/>
      </c>
      <c r="EDD19" s="28" t="str">
        <f>IFERROR(VLOOKUP(DATE($K$1,$K$2,EDD$4),Table1[],(MATCH(Calendar!$A19,DB!$1:$1,0)),FALSE),"")</f>
        <v/>
      </c>
      <c r="EDE19" s="28" t="str">
        <f>IFERROR(VLOOKUP(DATE($K$1,$K$2,EDE$4),Table1[],(MATCH(Calendar!$A19,DB!$1:$1,0)),FALSE),"")</f>
        <v/>
      </c>
      <c r="EDF19" s="28" t="str">
        <f>IFERROR(VLOOKUP(DATE($K$1,$K$2,EDF$4),Table1[],(MATCH(Calendar!$A19,DB!$1:$1,0)),FALSE),"")</f>
        <v/>
      </c>
      <c r="EDG19" s="28" t="str">
        <f>IFERROR(VLOOKUP(DATE($K$1,$K$2,EDG$4),Table1[],(MATCH(Calendar!$A19,DB!$1:$1,0)),FALSE),"")</f>
        <v/>
      </c>
      <c r="EDH19" s="28" t="str">
        <f>IFERROR(VLOOKUP(DATE($K$1,$K$2,EDH$4),Table1[],(MATCH(Calendar!$A19,DB!$1:$1,0)),FALSE),"")</f>
        <v/>
      </c>
      <c r="EDI19" s="28" t="str">
        <f>IFERROR(VLOOKUP(DATE($K$1,$K$2,EDI$4),Table1[],(MATCH(Calendar!$A19,DB!$1:$1,0)),FALSE),"")</f>
        <v/>
      </c>
      <c r="EDJ19" s="28" t="str">
        <f>IFERROR(VLOOKUP(DATE($K$1,$K$2,EDJ$4),Table1[],(MATCH(Calendar!$A19,DB!$1:$1,0)),FALSE),"")</f>
        <v/>
      </c>
      <c r="EDK19" s="28" t="str">
        <f>IFERROR(VLOOKUP(DATE($K$1,$K$2,EDK$4),Table1[],(MATCH(Calendar!$A19,DB!$1:$1,0)),FALSE),"")</f>
        <v/>
      </c>
      <c r="EDL19" s="28" t="str">
        <f>IFERROR(VLOOKUP(DATE($K$1,$K$2,EDL$4),Table1[],(MATCH(Calendar!$A19,DB!$1:$1,0)),FALSE),"")</f>
        <v/>
      </c>
      <c r="EDM19" s="28" t="str">
        <f>IFERROR(VLOOKUP(DATE($K$1,$K$2,EDM$4),Table1[],(MATCH(Calendar!$A19,DB!$1:$1,0)),FALSE),"")</f>
        <v/>
      </c>
      <c r="EDN19" s="28" t="str">
        <f>IFERROR(VLOOKUP(DATE($K$1,$K$2,EDN$4),Table1[],(MATCH(Calendar!$A19,DB!$1:$1,0)),FALSE),"")</f>
        <v/>
      </c>
      <c r="EDO19" s="28" t="str">
        <f>IFERROR(VLOOKUP(DATE($K$1,$K$2,EDO$4),Table1[],(MATCH(Calendar!$A19,DB!$1:$1,0)),FALSE),"")</f>
        <v/>
      </c>
      <c r="EDP19" s="28" t="str">
        <f>IFERROR(VLOOKUP(DATE($K$1,$K$2,EDP$4),Table1[],(MATCH(Calendar!$A19,DB!$1:$1,0)),FALSE),"")</f>
        <v/>
      </c>
      <c r="EDQ19" s="28" t="str">
        <f>IFERROR(VLOOKUP(DATE($K$1,$K$2,EDQ$4),Table1[],(MATCH(Calendar!$A19,DB!$1:$1,0)),FALSE),"")</f>
        <v/>
      </c>
      <c r="EDR19" s="28" t="str">
        <f>IFERROR(VLOOKUP(DATE($K$1,$K$2,EDR$4),Table1[],(MATCH(Calendar!$A19,DB!$1:$1,0)),FALSE),"")</f>
        <v/>
      </c>
      <c r="EDS19" s="28" t="str">
        <f>IFERROR(VLOOKUP(DATE($K$1,$K$2,EDS$4),Table1[],(MATCH(Calendar!$A19,DB!$1:$1,0)),FALSE),"")</f>
        <v/>
      </c>
      <c r="EDT19" s="28" t="str">
        <f>IFERROR(VLOOKUP(DATE($K$1,$K$2,EDT$4),Table1[],(MATCH(Calendar!$A19,DB!$1:$1,0)),FALSE),"")</f>
        <v/>
      </c>
      <c r="EDU19" s="28" t="str">
        <f>IFERROR(VLOOKUP(DATE($K$1,$K$2,EDU$4),Table1[],(MATCH(Calendar!$A19,DB!$1:$1,0)),FALSE),"")</f>
        <v/>
      </c>
      <c r="EDV19" s="28" t="str">
        <f>IFERROR(VLOOKUP(DATE($K$1,$K$2,EDV$4),Table1[],(MATCH(Calendar!$A19,DB!$1:$1,0)),FALSE),"")</f>
        <v/>
      </c>
      <c r="EDW19" s="28" t="str">
        <f>IFERROR(VLOOKUP(DATE($K$1,$K$2,EDW$4),Table1[],(MATCH(Calendar!$A19,DB!$1:$1,0)),FALSE),"")</f>
        <v/>
      </c>
      <c r="EDX19" s="28" t="str">
        <f>IFERROR(VLOOKUP(DATE($K$1,$K$2,EDX$4),Table1[],(MATCH(Calendar!$A19,DB!$1:$1,0)),FALSE),"")</f>
        <v/>
      </c>
      <c r="EDY19" s="28" t="str">
        <f>IFERROR(VLOOKUP(DATE($K$1,$K$2,EDY$4),Table1[],(MATCH(Calendar!$A19,DB!$1:$1,0)),FALSE),"")</f>
        <v/>
      </c>
      <c r="EDZ19" s="28" t="str">
        <f>IFERROR(VLOOKUP(DATE($K$1,$K$2,EDZ$4),Table1[],(MATCH(Calendar!$A19,DB!$1:$1,0)),FALSE),"")</f>
        <v/>
      </c>
      <c r="EEA19" s="28" t="str">
        <f>IFERROR(VLOOKUP(DATE($K$1,$K$2,EEA$4),Table1[],(MATCH(Calendar!$A19,DB!$1:$1,0)),FALSE),"")</f>
        <v/>
      </c>
      <c r="EEB19" s="28" t="str">
        <f>IFERROR(VLOOKUP(DATE($K$1,$K$2,EEB$4),Table1[],(MATCH(Calendar!$A19,DB!$1:$1,0)),FALSE),"")</f>
        <v/>
      </c>
      <c r="EEC19" s="28" t="str">
        <f>IFERROR(VLOOKUP(DATE($K$1,$K$2,EEC$4),Table1[],(MATCH(Calendar!$A19,DB!$1:$1,0)),FALSE),"")</f>
        <v/>
      </c>
      <c r="EED19" s="28" t="str">
        <f>IFERROR(VLOOKUP(DATE($K$1,$K$2,EED$4),Table1[],(MATCH(Calendar!$A19,DB!$1:$1,0)),FALSE),"")</f>
        <v/>
      </c>
      <c r="EEE19" s="28" t="str">
        <f>IFERROR(VLOOKUP(DATE($K$1,$K$2,EEE$4),Table1[],(MATCH(Calendar!$A19,DB!$1:$1,0)),FALSE),"")</f>
        <v/>
      </c>
      <c r="EEF19" s="28" t="str">
        <f>IFERROR(VLOOKUP(DATE($K$1,$K$2,EEF$4),Table1[],(MATCH(Calendar!$A19,DB!$1:$1,0)),FALSE),"")</f>
        <v/>
      </c>
      <c r="EEG19" s="28" t="str">
        <f>IFERROR(VLOOKUP(DATE($K$1,$K$2,EEG$4),Table1[],(MATCH(Calendar!$A19,DB!$1:$1,0)),FALSE),"")</f>
        <v/>
      </c>
      <c r="EEH19" s="28" t="str">
        <f>IFERROR(VLOOKUP(DATE($K$1,$K$2,EEH$4),Table1[],(MATCH(Calendar!$A19,DB!$1:$1,0)),FALSE),"")</f>
        <v/>
      </c>
      <c r="EEI19" s="28" t="str">
        <f>IFERROR(VLOOKUP(DATE($K$1,$K$2,EEI$4),Table1[],(MATCH(Calendar!$A19,DB!$1:$1,0)),FALSE),"")</f>
        <v/>
      </c>
      <c r="EEJ19" s="28" t="str">
        <f>IFERROR(VLOOKUP(DATE($K$1,$K$2,EEJ$4),Table1[],(MATCH(Calendar!$A19,DB!$1:$1,0)),FALSE),"")</f>
        <v/>
      </c>
      <c r="EEK19" s="28" t="str">
        <f>IFERROR(VLOOKUP(DATE($K$1,$K$2,EEK$4),Table1[],(MATCH(Calendar!$A19,DB!$1:$1,0)),FALSE),"")</f>
        <v/>
      </c>
      <c r="EEL19" s="28" t="str">
        <f>IFERROR(VLOOKUP(DATE($K$1,$K$2,EEL$4),Table1[],(MATCH(Calendar!$A19,DB!$1:$1,0)),FALSE),"")</f>
        <v/>
      </c>
      <c r="EEM19" s="28" t="str">
        <f>IFERROR(VLOOKUP(DATE($K$1,$K$2,EEM$4),Table1[],(MATCH(Calendar!$A19,DB!$1:$1,0)),FALSE),"")</f>
        <v/>
      </c>
      <c r="EEN19" s="28" t="str">
        <f>IFERROR(VLOOKUP(DATE($K$1,$K$2,EEN$4),Table1[],(MATCH(Calendar!$A19,DB!$1:$1,0)),FALSE),"")</f>
        <v/>
      </c>
      <c r="EEO19" s="28" t="str">
        <f>IFERROR(VLOOKUP(DATE($K$1,$K$2,EEO$4),Table1[],(MATCH(Calendar!$A19,DB!$1:$1,0)),FALSE),"")</f>
        <v/>
      </c>
      <c r="EEP19" s="28" t="str">
        <f>IFERROR(VLOOKUP(DATE($K$1,$K$2,EEP$4),Table1[],(MATCH(Calendar!$A19,DB!$1:$1,0)),FALSE),"")</f>
        <v/>
      </c>
      <c r="EEQ19" s="28" t="str">
        <f>IFERROR(VLOOKUP(DATE($K$1,$K$2,EEQ$4),Table1[],(MATCH(Calendar!$A19,DB!$1:$1,0)),FALSE),"")</f>
        <v/>
      </c>
      <c r="EER19" s="28" t="str">
        <f>IFERROR(VLOOKUP(DATE($K$1,$K$2,EER$4),Table1[],(MATCH(Calendar!$A19,DB!$1:$1,0)),FALSE),"")</f>
        <v/>
      </c>
      <c r="EES19" s="28" t="str">
        <f>IFERROR(VLOOKUP(DATE($K$1,$K$2,EES$4),Table1[],(MATCH(Calendar!$A19,DB!$1:$1,0)),FALSE),"")</f>
        <v/>
      </c>
      <c r="EET19" s="28" t="str">
        <f>IFERROR(VLOOKUP(DATE($K$1,$K$2,EET$4),Table1[],(MATCH(Calendar!$A19,DB!$1:$1,0)),FALSE),"")</f>
        <v/>
      </c>
      <c r="EEU19" s="28" t="str">
        <f>IFERROR(VLOOKUP(DATE($K$1,$K$2,EEU$4),Table1[],(MATCH(Calendar!$A19,DB!$1:$1,0)),FALSE),"")</f>
        <v/>
      </c>
      <c r="EEV19" s="28" t="str">
        <f>IFERROR(VLOOKUP(DATE($K$1,$K$2,EEV$4),Table1[],(MATCH(Calendar!$A19,DB!$1:$1,0)),FALSE),"")</f>
        <v/>
      </c>
      <c r="EEW19" s="28" t="str">
        <f>IFERROR(VLOOKUP(DATE($K$1,$K$2,EEW$4),Table1[],(MATCH(Calendar!$A19,DB!$1:$1,0)),FALSE),"")</f>
        <v/>
      </c>
      <c r="EEX19" s="28" t="str">
        <f>IFERROR(VLOOKUP(DATE($K$1,$K$2,EEX$4),Table1[],(MATCH(Calendar!$A19,DB!$1:$1,0)),FALSE),"")</f>
        <v/>
      </c>
      <c r="EEY19" s="28" t="str">
        <f>IFERROR(VLOOKUP(DATE($K$1,$K$2,EEY$4),Table1[],(MATCH(Calendar!$A19,DB!$1:$1,0)),FALSE),"")</f>
        <v/>
      </c>
      <c r="EEZ19" s="28" t="str">
        <f>IFERROR(VLOOKUP(DATE($K$1,$K$2,EEZ$4),Table1[],(MATCH(Calendar!$A19,DB!$1:$1,0)),FALSE),"")</f>
        <v/>
      </c>
      <c r="EFA19" s="28" t="str">
        <f>IFERROR(VLOOKUP(DATE($K$1,$K$2,EFA$4),Table1[],(MATCH(Calendar!$A19,DB!$1:$1,0)),FALSE),"")</f>
        <v/>
      </c>
      <c r="EFB19" s="28" t="str">
        <f>IFERROR(VLOOKUP(DATE($K$1,$K$2,EFB$4),Table1[],(MATCH(Calendar!$A19,DB!$1:$1,0)),FALSE),"")</f>
        <v/>
      </c>
      <c r="EFC19" s="28" t="str">
        <f>IFERROR(VLOOKUP(DATE($K$1,$K$2,EFC$4),Table1[],(MATCH(Calendar!$A19,DB!$1:$1,0)),FALSE),"")</f>
        <v/>
      </c>
      <c r="EFD19" s="28" t="str">
        <f>IFERROR(VLOOKUP(DATE($K$1,$K$2,EFD$4),Table1[],(MATCH(Calendar!$A19,DB!$1:$1,0)),FALSE),"")</f>
        <v/>
      </c>
      <c r="EFE19" s="28" t="str">
        <f>IFERROR(VLOOKUP(DATE($K$1,$K$2,EFE$4),Table1[],(MATCH(Calendar!$A19,DB!$1:$1,0)),FALSE),"")</f>
        <v/>
      </c>
      <c r="EFF19" s="28" t="str">
        <f>IFERROR(VLOOKUP(DATE($K$1,$K$2,EFF$4),Table1[],(MATCH(Calendar!$A19,DB!$1:$1,0)),FALSE),"")</f>
        <v/>
      </c>
      <c r="EFG19" s="28" t="str">
        <f>IFERROR(VLOOKUP(DATE($K$1,$K$2,EFG$4),Table1[],(MATCH(Calendar!$A19,DB!$1:$1,0)),FALSE),"")</f>
        <v/>
      </c>
      <c r="EFH19" s="28" t="str">
        <f>IFERROR(VLOOKUP(DATE($K$1,$K$2,EFH$4),Table1[],(MATCH(Calendar!$A19,DB!$1:$1,0)),FALSE),"")</f>
        <v/>
      </c>
      <c r="EFI19" s="28" t="str">
        <f>IFERROR(VLOOKUP(DATE($K$1,$K$2,EFI$4),Table1[],(MATCH(Calendar!$A19,DB!$1:$1,0)),FALSE),"")</f>
        <v/>
      </c>
      <c r="EFJ19" s="28" t="str">
        <f>IFERROR(VLOOKUP(DATE($K$1,$K$2,EFJ$4),Table1[],(MATCH(Calendar!$A19,DB!$1:$1,0)),FALSE),"")</f>
        <v/>
      </c>
      <c r="EFK19" s="28" t="str">
        <f>IFERROR(VLOOKUP(DATE($K$1,$K$2,EFK$4),Table1[],(MATCH(Calendar!$A19,DB!$1:$1,0)),FALSE),"")</f>
        <v/>
      </c>
      <c r="EFL19" s="28" t="str">
        <f>IFERROR(VLOOKUP(DATE($K$1,$K$2,EFL$4),Table1[],(MATCH(Calendar!$A19,DB!$1:$1,0)),FALSE),"")</f>
        <v/>
      </c>
      <c r="EFM19" s="28" t="str">
        <f>IFERROR(VLOOKUP(DATE($K$1,$K$2,EFM$4),Table1[],(MATCH(Calendar!$A19,DB!$1:$1,0)),FALSE),"")</f>
        <v/>
      </c>
      <c r="EFN19" s="28" t="str">
        <f>IFERROR(VLOOKUP(DATE($K$1,$K$2,EFN$4),Table1[],(MATCH(Calendar!$A19,DB!$1:$1,0)),FALSE),"")</f>
        <v/>
      </c>
      <c r="EFO19" s="28" t="str">
        <f>IFERROR(VLOOKUP(DATE($K$1,$K$2,EFO$4),Table1[],(MATCH(Calendar!$A19,DB!$1:$1,0)),FALSE),"")</f>
        <v/>
      </c>
      <c r="EFP19" s="28" t="str">
        <f>IFERROR(VLOOKUP(DATE($K$1,$K$2,EFP$4),Table1[],(MATCH(Calendar!$A19,DB!$1:$1,0)),FALSE),"")</f>
        <v/>
      </c>
      <c r="EFQ19" s="28" t="str">
        <f>IFERROR(VLOOKUP(DATE($K$1,$K$2,EFQ$4),Table1[],(MATCH(Calendar!$A19,DB!$1:$1,0)),FALSE),"")</f>
        <v/>
      </c>
      <c r="EFR19" s="28" t="str">
        <f>IFERROR(VLOOKUP(DATE($K$1,$K$2,EFR$4),Table1[],(MATCH(Calendar!$A19,DB!$1:$1,0)),FALSE),"")</f>
        <v/>
      </c>
      <c r="EFS19" s="28" t="str">
        <f>IFERROR(VLOOKUP(DATE($K$1,$K$2,EFS$4),Table1[],(MATCH(Calendar!$A19,DB!$1:$1,0)),FALSE),"")</f>
        <v/>
      </c>
      <c r="EFT19" s="28" t="str">
        <f>IFERROR(VLOOKUP(DATE($K$1,$K$2,EFT$4),Table1[],(MATCH(Calendar!$A19,DB!$1:$1,0)),FALSE),"")</f>
        <v/>
      </c>
      <c r="EFU19" s="28" t="str">
        <f>IFERROR(VLOOKUP(DATE($K$1,$K$2,EFU$4),Table1[],(MATCH(Calendar!$A19,DB!$1:$1,0)),FALSE),"")</f>
        <v/>
      </c>
      <c r="EFV19" s="28" t="str">
        <f>IFERROR(VLOOKUP(DATE($K$1,$K$2,EFV$4),Table1[],(MATCH(Calendar!$A19,DB!$1:$1,0)),FALSE),"")</f>
        <v/>
      </c>
      <c r="EFW19" s="28" t="str">
        <f>IFERROR(VLOOKUP(DATE($K$1,$K$2,EFW$4),Table1[],(MATCH(Calendar!$A19,DB!$1:$1,0)),FALSE),"")</f>
        <v/>
      </c>
      <c r="EFX19" s="28" t="str">
        <f>IFERROR(VLOOKUP(DATE($K$1,$K$2,EFX$4),Table1[],(MATCH(Calendar!$A19,DB!$1:$1,0)),FALSE),"")</f>
        <v/>
      </c>
      <c r="EFY19" s="28" t="str">
        <f>IFERROR(VLOOKUP(DATE($K$1,$K$2,EFY$4),Table1[],(MATCH(Calendar!$A19,DB!$1:$1,0)),FALSE),"")</f>
        <v/>
      </c>
      <c r="EFZ19" s="28" t="str">
        <f>IFERROR(VLOOKUP(DATE($K$1,$K$2,EFZ$4),Table1[],(MATCH(Calendar!$A19,DB!$1:$1,0)),FALSE),"")</f>
        <v/>
      </c>
      <c r="EGA19" s="28" t="str">
        <f>IFERROR(VLOOKUP(DATE($K$1,$K$2,EGA$4),Table1[],(MATCH(Calendar!$A19,DB!$1:$1,0)),FALSE),"")</f>
        <v/>
      </c>
      <c r="EGB19" s="28" t="str">
        <f>IFERROR(VLOOKUP(DATE($K$1,$K$2,EGB$4),Table1[],(MATCH(Calendar!$A19,DB!$1:$1,0)),FALSE),"")</f>
        <v/>
      </c>
      <c r="EGC19" s="28" t="str">
        <f>IFERROR(VLOOKUP(DATE($K$1,$K$2,EGC$4),Table1[],(MATCH(Calendar!$A19,DB!$1:$1,0)),FALSE),"")</f>
        <v/>
      </c>
      <c r="EGD19" s="28" t="str">
        <f>IFERROR(VLOOKUP(DATE($K$1,$K$2,EGD$4),Table1[],(MATCH(Calendar!$A19,DB!$1:$1,0)),FALSE),"")</f>
        <v/>
      </c>
      <c r="EGE19" s="28" t="str">
        <f>IFERROR(VLOOKUP(DATE($K$1,$K$2,EGE$4),Table1[],(MATCH(Calendar!$A19,DB!$1:$1,0)),FALSE),"")</f>
        <v/>
      </c>
      <c r="EGF19" s="28" t="str">
        <f>IFERROR(VLOOKUP(DATE($K$1,$K$2,EGF$4),Table1[],(MATCH(Calendar!$A19,DB!$1:$1,0)),FALSE),"")</f>
        <v/>
      </c>
      <c r="EGG19" s="28" t="str">
        <f>IFERROR(VLOOKUP(DATE($K$1,$K$2,EGG$4),Table1[],(MATCH(Calendar!$A19,DB!$1:$1,0)),FALSE),"")</f>
        <v/>
      </c>
      <c r="EGH19" s="28" t="str">
        <f>IFERROR(VLOOKUP(DATE($K$1,$K$2,EGH$4),Table1[],(MATCH(Calendar!$A19,DB!$1:$1,0)),FALSE),"")</f>
        <v/>
      </c>
      <c r="EGI19" s="28" t="str">
        <f>IFERROR(VLOOKUP(DATE($K$1,$K$2,EGI$4),Table1[],(MATCH(Calendar!$A19,DB!$1:$1,0)),FALSE),"")</f>
        <v/>
      </c>
      <c r="EGJ19" s="28" t="str">
        <f>IFERROR(VLOOKUP(DATE($K$1,$K$2,EGJ$4),Table1[],(MATCH(Calendar!$A19,DB!$1:$1,0)),FALSE),"")</f>
        <v/>
      </c>
      <c r="EGK19" s="28" t="str">
        <f>IFERROR(VLOOKUP(DATE($K$1,$K$2,EGK$4),Table1[],(MATCH(Calendar!$A19,DB!$1:$1,0)),FALSE),"")</f>
        <v/>
      </c>
      <c r="EGL19" s="28" t="str">
        <f>IFERROR(VLOOKUP(DATE($K$1,$K$2,EGL$4),Table1[],(MATCH(Calendar!$A19,DB!$1:$1,0)),FALSE),"")</f>
        <v/>
      </c>
      <c r="EGM19" s="28" t="str">
        <f>IFERROR(VLOOKUP(DATE($K$1,$K$2,EGM$4),Table1[],(MATCH(Calendar!$A19,DB!$1:$1,0)),FALSE),"")</f>
        <v/>
      </c>
      <c r="EGN19" s="28" t="str">
        <f>IFERROR(VLOOKUP(DATE($K$1,$K$2,EGN$4),Table1[],(MATCH(Calendar!$A19,DB!$1:$1,0)),FALSE),"")</f>
        <v/>
      </c>
      <c r="EGO19" s="28" t="str">
        <f>IFERROR(VLOOKUP(DATE($K$1,$K$2,EGO$4),Table1[],(MATCH(Calendar!$A19,DB!$1:$1,0)),FALSE),"")</f>
        <v/>
      </c>
      <c r="EGP19" s="28" t="str">
        <f>IFERROR(VLOOKUP(DATE($K$1,$K$2,EGP$4),Table1[],(MATCH(Calendar!$A19,DB!$1:$1,0)),FALSE),"")</f>
        <v/>
      </c>
      <c r="EGQ19" s="28" t="str">
        <f>IFERROR(VLOOKUP(DATE($K$1,$K$2,EGQ$4),Table1[],(MATCH(Calendar!$A19,DB!$1:$1,0)),FALSE),"")</f>
        <v/>
      </c>
      <c r="EGR19" s="28" t="str">
        <f>IFERROR(VLOOKUP(DATE($K$1,$K$2,EGR$4),Table1[],(MATCH(Calendar!$A19,DB!$1:$1,0)),FALSE),"")</f>
        <v/>
      </c>
      <c r="EGS19" s="28" t="str">
        <f>IFERROR(VLOOKUP(DATE($K$1,$K$2,EGS$4),Table1[],(MATCH(Calendar!$A19,DB!$1:$1,0)),FALSE),"")</f>
        <v/>
      </c>
      <c r="EGT19" s="28" t="str">
        <f>IFERROR(VLOOKUP(DATE($K$1,$K$2,EGT$4),Table1[],(MATCH(Calendar!$A19,DB!$1:$1,0)),FALSE),"")</f>
        <v/>
      </c>
      <c r="EGU19" s="28" t="str">
        <f>IFERROR(VLOOKUP(DATE($K$1,$K$2,EGU$4),Table1[],(MATCH(Calendar!$A19,DB!$1:$1,0)),FALSE),"")</f>
        <v/>
      </c>
      <c r="EGV19" s="28" t="str">
        <f>IFERROR(VLOOKUP(DATE($K$1,$K$2,EGV$4),Table1[],(MATCH(Calendar!$A19,DB!$1:$1,0)),FALSE),"")</f>
        <v/>
      </c>
      <c r="EGW19" s="28" t="str">
        <f>IFERROR(VLOOKUP(DATE($K$1,$K$2,EGW$4),Table1[],(MATCH(Calendar!$A19,DB!$1:$1,0)),FALSE),"")</f>
        <v/>
      </c>
      <c r="EGX19" s="28" t="str">
        <f>IFERROR(VLOOKUP(DATE($K$1,$K$2,EGX$4),Table1[],(MATCH(Calendar!$A19,DB!$1:$1,0)),FALSE),"")</f>
        <v/>
      </c>
      <c r="EGY19" s="28" t="str">
        <f>IFERROR(VLOOKUP(DATE($K$1,$K$2,EGY$4),Table1[],(MATCH(Calendar!$A19,DB!$1:$1,0)),FALSE),"")</f>
        <v/>
      </c>
      <c r="EGZ19" s="28" t="str">
        <f>IFERROR(VLOOKUP(DATE($K$1,$K$2,EGZ$4),Table1[],(MATCH(Calendar!$A19,DB!$1:$1,0)),FALSE),"")</f>
        <v/>
      </c>
      <c r="EHA19" s="28" t="str">
        <f>IFERROR(VLOOKUP(DATE($K$1,$K$2,EHA$4),Table1[],(MATCH(Calendar!$A19,DB!$1:$1,0)),FALSE),"")</f>
        <v/>
      </c>
      <c r="EHB19" s="28" t="str">
        <f>IFERROR(VLOOKUP(DATE($K$1,$K$2,EHB$4),Table1[],(MATCH(Calendar!$A19,DB!$1:$1,0)),FALSE),"")</f>
        <v/>
      </c>
      <c r="EHC19" s="28" t="str">
        <f>IFERROR(VLOOKUP(DATE($K$1,$K$2,EHC$4),Table1[],(MATCH(Calendar!$A19,DB!$1:$1,0)),FALSE),"")</f>
        <v/>
      </c>
      <c r="EHD19" s="28" t="str">
        <f>IFERROR(VLOOKUP(DATE($K$1,$K$2,EHD$4),Table1[],(MATCH(Calendar!$A19,DB!$1:$1,0)),FALSE),"")</f>
        <v/>
      </c>
      <c r="EHE19" s="28" t="str">
        <f>IFERROR(VLOOKUP(DATE($K$1,$K$2,EHE$4),Table1[],(MATCH(Calendar!$A19,DB!$1:$1,0)),FALSE),"")</f>
        <v/>
      </c>
      <c r="EHF19" s="28" t="str">
        <f>IFERROR(VLOOKUP(DATE($K$1,$K$2,EHF$4),Table1[],(MATCH(Calendar!$A19,DB!$1:$1,0)),FALSE),"")</f>
        <v/>
      </c>
      <c r="EHG19" s="28" t="str">
        <f>IFERROR(VLOOKUP(DATE($K$1,$K$2,EHG$4),Table1[],(MATCH(Calendar!$A19,DB!$1:$1,0)),FALSE),"")</f>
        <v/>
      </c>
      <c r="EHH19" s="28" t="str">
        <f>IFERROR(VLOOKUP(DATE($K$1,$K$2,EHH$4),Table1[],(MATCH(Calendar!$A19,DB!$1:$1,0)),FALSE),"")</f>
        <v/>
      </c>
      <c r="EHI19" s="28" t="str">
        <f>IFERROR(VLOOKUP(DATE($K$1,$K$2,EHI$4),Table1[],(MATCH(Calendar!$A19,DB!$1:$1,0)),FALSE),"")</f>
        <v/>
      </c>
      <c r="EHJ19" s="28" t="str">
        <f>IFERROR(VLOOKUP(DATE($K$1,$K$2,EHJ$4),Table1[],(MATCH(Calendar!$A19,DB!$1:$1,0)),FALSE),"")</f>
        <v/>
      </c>
      <c r="EHK19" s="28" t="str">
        <f>IFERROR(VLOOKUP(DATE($K$1,$K$2,EHK$4),Table1[],(MATCH(Calendar!$A19,DB!$1:$1,0)),FALSE),"")</f>
        <v/>
      </c>
      <c r="EHL19" s="28" t="str">
        <f>IFERROR(VLOOKUP(DATE($K$1,$K$2,EHL$4),Table1[],(MATCH(Calendar!$A19,DB!$1:$1,0)),FALSE),"")</f>
        <v/>
      </c>
      <c r="EHM19" s="28" t="str">
        <f>IFERROR(VLOOKUP(DATE($K$1,$K$2,EHM$4),Table1[],(MATCH(Calendar!$A19,DB!$1:$1,0)),FALSE),"")</f>
        <v/>
      </c>
      <c r="EHN19" s="28" t="str">
        <f>IFERROR(VLOOKUP(DATE($K$1,$K$2,EHN$4),Table1[],(MATCH(Calendar!$A19,DB!$1:$1,0)),FALSE),"")</f>
        <v/>
      </c>
      <c r="EHO19" s="28" t="str">
        <f>IFERROR(VLOOKUP(DATE($K$1,$K$2,EHO$4),Table1[],(MATCH(Calendar!$A19,DB!$1:$1,0)),FALSE),"")</f>
        <v/>
      </c>
      <c r="EHP19" s="28" t="str">
        <f>IFERROR(VLOOKUP(DATE($K$1,$K$2,EHP$4),Table1[],(MATCH(Calendar!$A19,DB!$1:$1,0)),FALSE),"")</f>
        <v/>
      </c>
      <c r="EHQ19" s="28" t="str">
        <f>IFERROR(VLOOKUP(DATE($K$1,$K$2,EHQ$4),Table1[],(MATCH(Calendar!$A19,DB!$1:$1,0)),FALSE),"")</f>
        <v/>
      </c>
      <c r="EHR19" s="28" t="str">
        <f>IFERROR(VLOOKUP(DATE($K$1,$K$2,EHR$4),Table1[],(MATCH(Calendar!$A19,DB!$1:$1,0)),FALSE),"")</f>
        <v/>
      </c>
      <c r="EHS19" s="28" t="str">
        <f>IFERROR(VLOOKUP(DATE($K$1,$K$2,EHS$4),Table1[],(MATCH(Calendar!$A19,DB!$1:$1,0)),FALSE),"")</f>
        <v/>
      </c>
      <c r="EHT19" s="28" t="str">
        <f>IFERROR(VLOOKUP(DATE($K$1,$K$2,EHT$4),Table1[],(MATCH(Calendar!$A19,DB!$1:$1,0)),FALSE),"")</f>
        <v/>
      </c>
      <c r="EHU19" s="28" t="str">
        <f>IFERROR(VLOOKUP(DATE($K$1,$K$2,EHU$4),Table1[],(MATCH(Calendar!$A19,DB!$1:$1,0)),FALSE),"")</f>
        <v/>
      </c>
      <c r="EHV19" s="28" t="str">
        <f>IFERROR(VLOOKUP(DATE($K$1,$K$2,EHV$4),Table1[],(MATCH(Calendar!$A19,DB!$1:$1,0)),FALSE),"")</f>
        <v/>
      </c>
      <c r="EHW19" s="28" t="str">
        <f>IFERROR(VLOOKUP(DATE($K$1,$K$2,EHW$4),Table1[],(MATCH(Calendar!$A19,DB!$1:$1,0)),FALSE),"")</f>
        <v/>
      </c>
      <c r="EHX19" s="28" t="str">
        <f>IFERROR(VLOOKUP(DATE($K$1,$K$2,EHX$4),Table1[],(MATCH(Calendar!$A19,DB!$1:$1,0)),FALSE),"")</f>
        <v/>
      </c>
      <c r="EHY19" s="28" t="str">
        <f>IFERROR(VLOOKUP(DATE($K$1,$K$2,EHY$4),Table1[],(MATCH(Calendar!$A19,DB!$1:$1,0)),FALSE),"")</f>
        <v/>
      </c>
      <c r="EHZ19" s="28" t="str">
        <f>IFERROR(VLOOKUP(DATE($K$1,$K$2,EHZ$4),Table1[],(MATCH(Calendar!$A19,DB!$1:$1,0)),FALSE),"")</f>
        <v/>
      </c>
      <c r="EIA19" s="28" t="str">
        <f>IFERROR(VLOOKUP(DATE($K$1,$K$2,EIA$4),Table1[],(MATCH(Calendar!$A19,DB!$1:$1,0)),FALSE),"")</f>
        <v/>
      </c>
      <c r="EIB19" s="28" t="str">
        <f>IFERROR(VLOOKUP(DATE($K$1,$K$2,EIB$4),Table1[],(MATCH(Calendar!$A19,DB!$1:$1,0)),FALSE),"")</f>
        <v/>
      </c>
      <c r="EIC19" s="28" t="str">
        <f>IFERROR(VLOOKUP(DATE($K$1,$K$2,EIC$4),Table1[],(MATCH(Calendar!$A19,DB!$1:$1,0)),FALSE),"")</f>
        <v/>
      </c>
      <c r="EID19" s="28" t="str">
        <f>IFERROR(VLOOKUP(DATE($K$1,$K$2,EID$4),Table1[],(MATCH(Calendar!$A19,DB!$1:$1,0)),FALSE),"")</f>
        <v/>
      </c>
      <c r="EIE19" s="28" t="str">
        <f>IFERROR(VLOOKUP(DATE($K$1,$K$2,EIE$4),Table1[],(MATCH(Calendar!$A19,DB!$1:$1,0)),FALSE),"")</f>
        <v/>
      </c>
      <c r="EIF19" s="28" t="str">
        <f>IFERROR(VLOOKUP(DATE($K$1,$K$2,EIF$4),Table1[],(MATCH(Calendar!$A19,DB!$1:$1,0)),FALSE),"")</f>
        <v/>
      </c>
      <c r="EIG19" s="28" t="str">
        <f>IFERROR(VLOOKUP(DATE($K$1,$K$2,EIG$4),Table1[],(MATCH(Calendar!$A19,DB!$1:$1,0)),FALSE),"")</f>
        <v/>
      </c>
      <c r="EIH19" s="28" t="str">
        <f>IFERROR(VLOOKUP(DATE($K$1,$K$2,EIH$4),Table1[],(MATCH(Calendar!$A19,DB!$1:$1,0)),FALSE),"")</f>
        <v/>
      </c>
      <c r="EII19" s="28" t="str">
        <f>IFERROR(VLOOKUP(DATE($K$1,$K$2,EII$4),Table1[],(MATCH(Calendar!$A19,DB!$1:$1,0)),FALSE),"")</f>
        <v/>
      </c>
      <c r="EIJ19" s="28" t="str">
        <f>IFERROR(VLOOKUP(DATE($K$1,$K$2,EIJ$4),Table1[],(MATCH(Calendar!$A19,DB!$1:$1,0)),FALSE),"")</f>
        <v/>
      </c>
      <c r="EIK19" s="28" t="str">
        <f>IFERROR(VLOOKUP(DATE($K$1,$K$2,EIK$4),Table1[],(MATCH(Calendar!$A19,DB!$1:$1,0)),FALSE),"")</f>
        <v/>
      </c>
      <c r="EIL19" s="28" t="str">
        <f>IFERROR(VLOOKUP(DATE($K$1,$K$2,EIL$4),Table1[],(MATCH(Calendar!$A19,DB!$1:$1,0)),FALSE),"")</f>
        <v/>
      </c>
      <c r="EIM19" s="28" t="str">
        <f>IFERROR(VLOOKUP(DATE($K$1,$K$2,EIM$4),Table1[],(MATCH(Calendar!$A19,DB!$1:$1,0)),FALSE),"")</f>
        <v/>
      </c>
      <c r="EIN19" s="28" t="str">
        <f>IFERROR(VLOOKUP(DATE($K$1,$K$2,EIN$4),Table1[],(MATCH(Calendar!$A19,DB!$1:$1,0)),FALSE),"")</f>
        <v/>
      </c>
      <c r="EIO19" s="28" t="str">
        <f>IFERROR(VLOOKUP(DATE($K$1,$K$2,EIO$4),Table1[],(MATCH(Calendar!$A19,DB!$1:$1,0)),FALSE),"")</f>
        <v/>
      </c>
      <c r="EIP19" s="28" t="str">
        <f>IFERROR(VLOOKUP(DATE($K$1,$K$2,EIP$4),Table1[],(MATCH(Calendar!$A19,DB!$1:$1,0)),FALSE),"")</f>
        <v/>
      </c>
      <c r="EIQ19" s="28" t="str">
        <f>IFERROR(VLOOKUP(DATE($K$1,$K$2,EIQ$4),Table1[],(MATCH(Calendar!$A19,DB!$1:$1,0)),FALSE),"")</f>
        <v/>
      </c>
      <c r="EIR19" s="28" t="str">
        <f>IFERROR(VLOOKUP(DATE($K$1,$K$2,EIR$4),Table1[],(MATCH(Calendar!$A19,DB!$1:$1,0)),FALSE),"")</f>
        <v/>
      </c>
      <c r="EIS19" s="28" t="str">
        <f>IFERROR(VLOOKUP(DATE($K$1,$K$2,EIS$4),Table1[],(MATCH(Calendar!$A19,DB!$1:$1,0)),FALSE),"")</f>
        <v/>
      </c>
      <c r="EIT19" s="28" t="str">
        <f>IFERROR(VLOOKUP(DATE($K$1,$K$2,EIT$4),Table1[],(MATCH(Calendar!$A19,DB!$1:$1,0)),FALSE),"")</f>
        <v/>
      </c>
      <c r="EIU19" s="28" t="str">
        <f>IFERROR(VLOOKUP(DATE($K$1,$K$2,EIU$4),Table1[],(MATCH(Calendar!$A19,DB!$1:$1,0)),FALSE),"")</f>
        <v/>
      </c>
      <c r="EIV19" s="28" t="str">
        <f>IFERROR(VLOOKUP(DATE($K$1,$K$2,EIV$4),Table1[],(MATCH(Calendar!$A19,DB!$1:$1,0)),FALSE),"")</f>
        <v/>
      </c>
      <c r="EIW19" s="28" t="str">
        <f>IFERROR(VLOOKUP(DATE($K$1,$K$2,EIW$4),Table1[],(MATCH(Calendar!$A19,DB!$1:$1,0)),FALSE),"")</f>
        <v/>
      </c>
      <c r="EIX19" s="28" t="str">
        <f>IFERROR(VLOOKUP(DATE($K$1,$K$2,EIX$4),Table1[],(MATCH(Calendar!$A19,DB!$1:$1,0)),FALSE),"")</f>
        <v/>
      </c>
      <c r="EIY19" s="28" t="str">
        <f>IFERROR(VLOOKUP(DATE($K$1,$K$2,EIY$4),Table1[],(MATCH(Calendar!$A19,DB!$1:$1,0)),FALSE),"")</f>
        <v/>
      </c>
      <c r="EIZ19" s="28" t="str">
        <f>IFERROR(VLOOKUP(DATE($K$1,$K$2,EIZ$4),Table1[],(MATCH(Calendar!$A19,DB!$1:$1,0)),FALSE),"")</f>
        <v/>
      </c>
      <c r="EJA19" s="28" t="str">
        <f>IFERROR(VLOOKUP(DATE($K$1,$K$2,EJA$4),Table1[],(MATCH(Calendar!$A19,DB!$1:$1,0)),FALSE),"")</f>
        <v/>
      </c>
      <c r="EJB19" s="28" t="str">
        <f>IFERROR(VLOOKUP(DATE($K$1,$K$2,EJB$4),Table1[],(MATCH(Calendar!$A19,DB!$1:$1,0)),FALSE),"")</f>
        <v/>
      </c>
      <c r="EJC19" s="28" t="str">
        <f>IFERROR(VLOOKUP(DATE($K$1,$K$2,EJC$4),Table1[],(MATCH(Calendar!$A19,DB!$1:$1,0)),FALSE),"")</f>
        <v/>
      </c>
      <c r="EJD19" s="28" t="str">
        <f>IFERROR(VLOOKUP(DATE($K$1,$K$2,EJD$4),Table1[],(MATCH(Calendar!$A19,DB!$1:$1,0)),FALSE),"")</f>
        <v/>
      </c>
      <c r="EJE19" s="28" t="str">
        <f>IFERROR(VLOOKUP(DATE($K$1,$K$2,EJE$4),Table1[],(MATCH(Calendar!$A19,DB!$1:$1,0)),FALSE),"")</f>
        <v/>
      </c>
      <c r="EJF19" s="28" t="str">
        <f>IFERROR(VLOOKUP(DATE($K$1,$K$2,EJF$4),Table1[],(MATCH(Calendar!$A19,DB!$1:$1,0)),FALSE),"")</f>
        <v/>
      </c>
      <c r="EJG19" s="28" t="str">
        <f>IFERROR(VLOOKUP(DATE($K$1,$K$2,EJG$4),Table1[],(MATCH(Calendar!$A19,DB!$1:$1,0)),FALSE),"")</f>
        <v/>
      </c>
      <c r="EJH19" s="28" t="str">
        <f>IFERROR(VLOOKUP(DATE($K$1,$K$2,EJH$4),Table1[],(MATCH(Calendar!$A19,DB!$1:$1,0)),FALSE),"")</f>
        <v/>
      </c>
      <c r="EJI19" s="28" t="str">
        <f>IFERROR(VLOOKUP(DATE($K$1,$K$2,EJI$4),Table1[],(MATCH(Calendar!$A19,DB!$1:$1,0)),FALSE),"")</f>
        <v/>
      </c>
      <c r="EJJ19" s="28" t="str">
        <f>IFERROR(VLOOKUP(DATE($K$1,$K$2,EJJ$4),Table1[],(MATCH(Calendar!$A19,DB!$1:$1,0)),FALSE),"")</f>
        <v/>
      </c>
      <c r="EJK19" s="28" t="str">
        <f>IFERROR(VLOOKUP(DATE($K$1,$K$2,EJK$4),Table1[],(MATCH(Calendar!$A19,DB!$1:$1,0)),FALSE),"")</f>
        <v/>
      </c>
      <c r="EJL19" s="28" t="str">
        <f>IFERROR(VLOOKUP(DATE($K$1,$K$2,EJL$4),Table1[],(MATCH(Calendar!$A19,DB!$1:$1,0)),FALSE),"")</f>
        <v/>
      </c>
      <c r="EJM19" s="28" t="str">
        <f>IFERROR(VLOOKUP(DATE($K$1,$K$2,EJM$4),Table1[],(MATCH(Calendar!$A19,DB!$1:$1,0)),FALSE),"")</f>
        <v/>
      </c>
      <c r="EJN19" s="28" t="str">
        <f>IFERROR(VLOOKUP(DATE($K$1,$K$2,EJN$4),Table1[],(MATCH(Calendar!$A19,DB!$1:$1,0)),FALSE),"")</f>
        <v/>
      </c>
      <c r="EJO19" s="28" t="str">
        <f>IFERROR(VLOOKUP(DATE($K$1,$K$2,EJO$4),Table1[],(MATCH(Calendar!$A19,DB!$1:$1,0)),FALSE),"")</f>
        <v/>
      </c>
      <c r="EJP19" s="28" t="str">
        <f>IFERROR(VLOOKUP(DATE($K$1,$K$2,EJP$4),Table1[],(MATCH(Calendar!$A19,DB!$1:$1,0)),FALSE),"")</f>
        <v/>
      </c>
      <c r="EJQ19" s="28" t="str">
        <f>IFERROR(VLOOKUP(DATE($K$1,$K$2,EJQ$4),Table1[],(MATCH(Calendar!$A19,DB!$1:$1,0)),FALSE),"")</f>
        <v/>
      </c>
      <c r="EJR19" s="28" t="str">
        <f>IFERROR(VLOOKUP(DATE($K$1,$K$2,EJR$4),Table1[],(MATCH(Calendar!$A19,DB!$1:$1,0)),FALSE),"")</f>
        <v/>
      </c>
      <c r="EJS19" s="28" t="str">
        <f>IFERROR(VLOOKUP(DATE($K$1,$K$2,EJS$4),Table1[],(MATCH(Calendar!$A19,DB!$1:$1,0)),FALSE),"")</f>
        <v/>
      </c>
      <c r="EJT19" s="28" t="str">
        <f>IFERROR(VLOOKUP(DATE($K$1,$K$2,EJT$4),Table1[],(MATCH(Calendar!$A19,DB!$1:$1,0)),FALSE),"")</f>
        <v/>
      </c>
      <c r="EJU19" s="28" t="str">
        <f>IFERROR(VLOOKUP(DATE($K$1,$K$2,EJU$4),Table1[],(MATCH(Calendar!$A19,DB!$1:$1,0)),FALSE),"")</f>
        <v/>
      </c>
      <c r="EJV19" s="28" t="str">
        <f>IFERROR(VLOOKUP(DATE($K$1,$K$2,EJV$4),Table1[],(MATCH(Calendar!$A19,DB!$1:$1,0)),FALSE),"")</f>
        <v/>
      </c>
      <c r="EJW19" s="28" t="str">
        <f>IFERROR(VLOOKUP(DATE($K$1,$K$2,EJW$4),Table1[],(MATCH(Calendar!$A19,DB!$1:$1,0)),FALSE),"")</f>
        <v/>
      </c>
      <c r="EJX19" s="28" t="str">
        <f>IFERROR(VLOOKUP(DATE($K$1,$K$2,EJX$4),Table1[],(MATCH(Calendar!$A19,DB!$1:$1,0)),FALSE),"")</f>
        <v/>
      </c>
      <c r="EJY19" s="28" t="str">
        <f>IFERROR(VLOOKUP(DATE($K$1,$K$2,EJY$4),Table1[],(MATCH(Calendar!$A19,DB!$1:$1,0)),FALSE),"")</f>
        <v/>
      </c>
      <c r="EJZ19" s="28" t="str">
        <f>IFERROR(VLOOKUP(DATE($K$1,$K$2,EJZ$4),Table1[],(MATCH(Calendar!$A19,DB!$1:$1,0)),FALSE),"")</f>
        <v/>
      </c>
      <c r="EKA19" s="28" t="str">
        <f>IFERROR(VLOOKUP(DATE($K$1,$K$2,EKA$4),Table1[],(MATCH(Calendar!$A19,DB!$1:$1,0)),FALSE),"")</f>
        <v/>
      </c>
      <c r="EKB19" s="28" t="str">
        <f>IFERROR(VLOOKUP(DATE($K$1,$K$2,EKB$4),Table1[],(MATCH(Calendar!$A19,DB!$1:$1,0)),FALSE),"")</f>
        <v/>
      </c>
      <c r="EKC19" s="28" t="str">
        <f>IFERROR(VLOOKUP(DATE($K$1,$K$2,EKC$4),Table1[],(MATCH(Calendar!$A19,DB!$1:$1,0)),FALSE),"")</f>
        <v/>
      </c>
      <c r="EKD19" s="28" t="str">
        <f>IFERROR(VLOOKUP(DATE($K$1,$K$2,EKD$4),Table1[],(MATCH(Calendar!$A19,DB!$1:$1,0)),FALSE),"")</f>
        <v/>
      </c>
      <c r="EKE19" s="28" t="str">
        <f>IFERROR(VLOOKUP(DATE($K$1,$K$2,EKE$4),Table1[],(MATCH(Calendar!$A19,DB!$1:$1,0)),FALSE),"")</f>
        <v/>
      </c>
      <c r="EKF19" s="28" t="str">
        <f>IFERROR(VLOOKUP(DATE($K$1,$K$2,EKF$4),Table1[],(MATCH(Calendar!$A19,DB!$1:$1,0)),FALSE),"")</f>
        <v/>
      </c>
      <c r="EKG19" s="28" t="str">
        <f>IFERROR(VLOOKUP(DATE($K$1,$K$2,EKG$4),Table1[],(MATCH(Calendar!$A19,DB!$1:$1,0)),FALSE),"")</f>
        <v/>
      </c>
      <c r="EKH19" s="28" t="str">
        <f>IFERROR(VLOOKUP(DATE($K$1,$K$2,EKH$4),Table1[],(MATCH(Calendar!$A19,DB!$1:$1,0)),FALSE),"")</f>
        <v/>
      </c>
      <c r="EKI19" s="28" t="str">
        <f>IFERROR(VLOOKUP(DATE($K$1,$K$2,EKI$4),Table1[],(MATCH(Calendar!$A19,DB!$1:$1,0)),FALSE),"")</f>
        <v/>
      </c>
      <c r="EKJ19" s="28" t="str">
        <f>IFERROR(VLOOKUP(DATE($K$1,$K$2,EKJ$4),Table1[],(MATCH(Calendar!$A19,DB!$1:$1,0)),FALSE),"")</f>
        <v/>
      </c>
      <c r="EKK19" s="28" t="str">
        <f>IFERROR(VLOOKUP(DATE($K$1,$K$2,EKK$4),Table1[],(MATCH(Calendar!$A19,DB!$1:$1,0)),FALSE),"")</f>
        <v/>
      </c>
      <c r="EKL19" s="28" t="str">
        <f>IFERROR(VLOOKUP(DATE($K$1,$K$2,EKL$4),Table1[],(MATCH(Calendar!$A19,DB!$1:$1,0)),FALSE),"")</f>
        <v/>
      </c>
      <c r="EKM19" s="28" t="str">
        <f>IFERROR(VLOOKUP(DATE($K$1,$K$2,EKM$4),Table1[],(MATCH(Calendar!$A19,DB!$1:$1,0)),FALSE),"")</f>
        <v/>
      </c>
      <c r="EKN19" s="28" t="str">
        <f>IFERROR(VLOOKUP(DATE($K$1,$K$2,EKN$4),Table1[],(MATCH(Calendar!$A19,DB!$1:$1,0)),FALSE),"")</f>
        <v/>
      </c>
      <c r="EKO19" s="28" t="str">
        <f>IFERROR(VLOOKUP(DATE($K$1,$K$2,EKO$4),Table1[],(MATCH(Calendar!$A19,DB!$1:$1,0)),FALSE),"")</f>
        <v/>
      </c>
      <c r="EKP19" s="28" t="str">
        <f>IFERROR(VLOOKUP(DATE($K$1,$K$2,EKP$4),Table1[],(MATCH(Calendar!$A19,DB!$1:$1,0)),FALSE),"")</f>
        <v/>
      </c>
      <c r="EKQ19" s="28" t="str">
        <f>IFERROR(VLOOKUP(DATE($K$1,$K$2,EKQ$4),Table1[],(MATCH(Calendar!$A19,DB!$1:$1,0)),FALSE),"")</f>
        <v/>
      </c>
      <c r="EKR19" s="28" t="str">
        <f>IFERROR(VLOOKUP(DATE($K$1,$K$2,EKR$4),Table1[],(MATCH(Calendar!$A19,DB!$1:$1,0)),FALSE),"")</f>
        <v/>
      </c>
      <c r="EKS19" s="28" t="str">
        <f>IFERROR(VLOOKUP(DATE($K$1,$K$2,EKS$4),Table1[],(MATCH(Calendar!$A19,DB!$1:$1,0)),FALSE),"")</f>
        <v/>
      </c>
      <c r="EKT19" s="28" t="str">
        <f>IFERROR(VLOOKUP(DATE($K$1,$K$2,EKT$4),Table1[],(MATCH(Calendar!$A19,DB!$1:$1,0)),FALSE),"")</f>
        <v/>
      </c>
      <c r="EKU19" s="28" t="str">
        <f>IFERROR(VLOOKUP(DATE($K$1,$K$2,EKU$4),Table1[],(MATCH(Calendar!$A19,DB!$1:$1,0)),FALSE),"")</f>
        <v/>
      </c>
      <c r="EKV19" s="28" t="str">
        <f>IFERROR(VLOOKUP(DATE($K$1,$K$2,EKV$4),Table1[],(MATCH(Calendar!$A19,DB!$1:$1,0)),FALSE),"")</f>
        <v/>
      </c>
      <c r="EKW19" s="28" t="str">
        <f>IFERROR(VLOOKUP(DATE($K$1,$K$2,EKW$4),Table1[],(MATCH(Calendar!$A19,DB!$1:$1,0)),FALSE),"")</f>
        <v/>
      </c>
      <c r="EKX19" s="28" t="str">
        <f>IFERROR(VLOOKUP(DATE($K$1,$K$2,EKX$4),Table1[],(MATCH(Calendar!$A19,DB!$1:$1,0)),FALSE),"")</f>
        <v/>
      </c>
      <c r="EKY19" s="28" t="str">
        <f>IFERROR(VLOOKUP(DATE($K$1,$K$2,EKY$4),Table1[],(MATCH(Calendar!$A19,DB!$1:$1,0)),FALSE),"")</f>
        <v/>
      </c>
      <c r="EKZ19" s="28" t="str">
        <f>IFERROR(VLOOKUP(DATE($K$1,$K$2,EKZ$4),Table1[],(MATCH(Calendar!$A19,DB!$1:$1,0)),FALSE),"")</f>
        <v/>
      </c>
      <c r="ELA19" s="28" t="str">
        <f>IFERROR(VLOOKUP(DATE($K$1,$K$2,ELA$4),Table1[],(MATCH(Calendar!$A19,DB!$1:$1,0)),FALSE),"")</f>
        <v/>
      </c>
      <c r="ELB19" s="28" t="str">
        <f>IFERROR(VLOOKUP(DATE($K$1,$K$2,ELB$4),Table1[],(MATCH(Calendar!$A19,DB!$1:$1,0)),FALSE),"")</f>
        <v/>
      </c>
      <c r="ELC19" s="28" t="str">
        <f>IFERROR(VLOOKUP(DATE($K$1,$K$2,ELC$4),Table1[],(MATCH(Calendar!$A19,DB!$1:$1,0)),FALSE),"")</f>
        <v/>
      </c>
      <c r="ELD19" s="28" t="str">
        <f>IFERROR(VLOOKUP(DATE($K$1,$K$2,ELD$4),Table1[],(MATCH(Calendar!$A19,DB!$1:$1,0)),FALSE),"")</f>
        <v/>
      </c>
      <c r="ELE19" s="28" t="str">
        <f>IFERROR(VLOOKUP(DATE($K$1,$K$2,ELE$4),Table1[],(MATCH(Calendar!$A19,DB!$1:$1,0)),FALSE),"")</f>
        <v/>
      </c>
      <c r="ELF19" s="28" t="str">
        <f>IFERROR(VLOOKUP(DATE($K$1,$K$2,ELF$4),Table1[],(MATCH(Calendar!$A19,DB!$1:$1,0)),FALSE),"")</f>
        <v/>
      </c>
      <c r="ELG19" s="28" t="str">
        <f>IFERROR(VLOOKUP(DATE($K$1,$K$2,ELG$4),Table1[],(MATCH(Calendar!$A19,DB!$1:$1,0)),FALSE),"")</f>
        <v/>
      </c>
      <c r="ELH19" s="28" t="str">
        <f>IFERROR(VLOOKUP(DATE($K$1,$K$2,ELH$4),Table1[],(MATCH(Calendar!$A19,DB!$1:$1,0)),FALSE),"")</f>
        <v/>
      </c>
      <c r="ELI19" s="28" t="str">
        <f>IFERROR(VLOOKUP(DATE($K$1,$K$2,ELI$4),Table1[],(MATCH(Calendar!$A19,DB!$1:$1,0)),FALSE),"")</f>
        <v/>
      </c>
      <c r="ELJ19" s="28" t="str">
        <f>IFERROR(VLOOKUP(DATE($K$1,$K$2,ELJ$4),Table1[],(MATCH(Calendar!$A19,DB!$1:$1,0)),FALSE),"")</f>
        <v/>
      </c>
      <c r="ELK19" s="28" t="str">
        <f>IFERROR(VLOOKUP(DATE($K$1,$K$2,ELK$4),Table1[],(MATCH(Calendar!$A19,DB!$1:$1,0)),FALSE),"")</f>
        <v/>
      </c>
      <c r="ELL19" s="28" t="str">
        <f>IFERROR(VLOOKUP(DATE($K$1,$K$2,ELL$4),Table1[],(MATCH(Calendar!$A19,DB!$1:$1,0)),FALSE),"")</f>
        <v/>
      </c>
      <c r="ELM19" s="28" t="str">
        <f>IFERROR(VLOOKUP(DATE($K$1,$K$2,ELM$4),Table1[],(MATCH(Calendar!$A19,DB!$1:$1,0)),FALSE),"")</f>
        <v/>
      </c>
      <c r="ELN19" s="28" t="str">
        <f>IFERROR(VLOOKUP(DATE($K$1,$K$2,ELN$4),Table1[],(MATCH(Calendar!$A19,DB!$1:$1,0)),FALSE),"")</f>
        <v/>
      </c>
      <c r="ELO19" s="28" t="str">
        <f>IFERROR(VLOOKUP(DATE($K$1,$K$2,ELO$4),Table1[],(MATCH(Calendar!$A19,DB!$1:$1,0)),FALSE),"")</f>
        <v/>
      </c>
      <c r="ELP19" s="28" t="str">
        <f>IFERROR(VLOOKUP(DATE($K$1,$K$2,ELP$4),Table1[],(MATCH(Calendar!$A19,DB!$1:$1,0)),FALSE),"")</f>
        <v/>
      </c>
      <c r="ELQ19" s="28" t="str">
        <f>IFERROR(VLOOKUP(DATE($K$1,$K$2,ELQ$4),Table1[],(MATCH(Calendar!$A19,DB!$1:$1,0)),FALSE),"")</f>
        <v/>
      </c>
      <c r="ELR19" s="28" t="str">
        <f>IFERROR(VLOOKUP(DATE($K$1,$K$2,ELR$4),Table1[],(MATCH(Calendar!$A19,DB!$1:$1,0)),FALSE),"")</f>
        <v/>
      </c>
      <c r="ELS19" s="28" t="str">
        <f>IFERROR(VLOOKUP(DATE($K$1,$K$2,ELS$4),Table1[],(MATCH(Calendar!$A19,DB!$1:$1,0)),FALSE),"")</f>
        <v/>
      </c>
      <c r="ELT19" s="28" t="str">
        <f>IFERROR(VLOOKUP(DATE($K$1,$K$2,ELT$4),Table1[],(MATCH(Calendar!$A19,DB!$1:$1,0)),FALSE),"")</f>
        <v/>
      </c>
      <c r="ELU19" s="28" t="str">
        <f>IFERROR(VLOOKUP(DATE($K$1,$K$2,ELU$4),Table1[],(MATCH(Calendar!$A19,DB!$1:$1,0)),FALSE),"")</f>
        <v/>
      </c>
      <c r="ELV19" s="28" t="str">
        <f>IFERROR(VLOOKUP(DATE($K$1,$K$2,ELV$4),Table1[],(MATCH(Calendar!$A19,DB!$1:$1,0)),FALSE),"")</f>
        <v/>
      </c>
      <c r="ELW19" s="28" t="str">
        <f>IFERROR(VLOOKUP(DATE($K$1,$K$2,ELW$4),Table1[],(MATCH(Calendar!$A19,DB!$1:$1,0)),FALSE),"")</f>
        <v/>
      </c>
      <c r="ELX19" s="28" t="str">
        <f>IFERROR(VLOOKUP(DATE($K$1,$K$2,ELX$4),Table1[],(MATCH(Calendar!$A19,DB!$1:$1,0)),FALSE),"")</f>
        <v/>
      </c>
      <c r="ELY19" s="28" t="str">
        <f>IFERROR(VLOOKUP(DATE($K$1,$K$2,ELY$4),Table1[],(MATCH(Calendar!$A19,DB!$1:$1,0)),FALSE),"")</f>
        <v/>
      </c>
      <c r="ELZ19" s="28" t="str">
        <f>IFERROR(VLOOKUP(DATE($K$1,$K$2,ELZ$4),Table1[],(MATCH(Calendar!$A19,DB!$1:$1,0)),FALSE),"")</f>
        <v/>
      </c>
      <c r="EMA19" s="28" t="str">
        <f>IFERROR(VLOOKUP(DATE($K$1,$K$2,EMA$4),Table1[],(MATCH(Calendar!$A19,DB!$1:$1,0)),FALSE),"")</f>
        <v/>
      </c>
      <c r="EMB19" s="28" t="str">
        <f>IFERROR(VLOOKUP(DATE($K$1,$K$2,EMB$4),Table1[],(MATCH(Calendar!$A19,DB!$1:$1,0)),FALSE),"")</f>
        <v/>
      </c>
      <c r="EMC19" s="28" t="str">
        <f>IFERROR(VLOOKUP(DATE($K$1,$K$2,EMC$4),Table1[],(MATCH(Calendar!$A19,DB!$1:$1,0)),FALSE),"")</f>
        <v/>
      </c>
      <c r="EMD19" s="28" t="str">
        <f>IFERROR(VLOOKUP(DATE($K$1,$K$2,EMD$4),Table1[],(MATCH(Calendar!$A19,DB!$1:$1,0)),FALSE),"")</f>
        <v/>
      </c>
      <c r="EME19" s="28" t="str">
        <f>IFERROR(VLOOKUP(DATE($K$1,$K$2,EME$4),Table1[],(MATCH(Calendar!$A19,DB!$1:$1,0)),FALSE),"")</f>
        <v/>
      </c>
      <c r="EMF19" s="28" t="str">
        <f>IFERROR(VLOOKUP(DATE($K$1,$K$2,EMF$4),Table1[],(MATCH(Calendar!$A19,DB!$1:$1,0)),FALSE),"")</f>
        <v/>
      </c>
      <c r="EMG19" s="28" t="str">
        <f>IFERROR(VLOOKUP(DATE($K$1,$K$2,EMG$4),Table1[],(MATCH(Calendar!$A19,DB!$1:$1,0)),FALSE),"")</f>
        <v/>
      </c>
      <c r="EMH19" s="28" t="str">
        <f>IFERROR(VLOOKUP(DATE($K$1,$K$2,EMH$4),Table1[],(MATCH(Calendar!$A19,DB!$1:$1,0)),FALSE),"")</f>
        <v/>
      </c>
      <c r="EMI19" s="28" t="str">
        <f>IFERROR(VLOOKUP(DATE($K$1,$K$2,EMI$4),Table1[],(MATCH(Calendar!$A19,DB!$1:$1,0)),FALSE),"")</f>
        <v/>
      </c>
      <c r="EMJ19" s="28" t="str">
        <f>IFERROR(VLOOKUP(DATE($K$1,$K$2,EMJ$4),Table1[],(MATCH(Calendar!$A19,DB!$1:$1,0)),FALSE),"")</f>
        <v/>
      </c>
      <c r="EMK19" s="28" t="str">
        <f>IFERROR(VLOOKUP(DATE($K$1,$K$2,EMK$4),Table1[],(MATCH(Calendar!$A19,DB!$1:$1,0)),FALSE),"")</f>
        <v/>
      </c>
      <c r="EML19" s="28" t="str">
        <f>IFERROR(VLOOKUP(DATE($K$1,$K$2,EML$4),Table1[],(MATCH(Calendar!$A19,DB!$1:$1,0)),FALSE),"")</f>
        <v/>
      </c>
      <c r="EMM19" s="28" t="str">
        <f>IFERROR(VLOOKUP(DATE($K$1,$K$2,EMM$4),Table1[],(MATCH(Calendar!$A19,DB!$1:$1,0)),FALSE),"")</f>
        <v/>
      </c>
      <c r="EMN19" s="28" t="str">
        <f>IFERROR(VLOOKUP(DATE($K$1,$K$2,EMN$4),Table1[],(MATCH(Calendar!$A19,DB!$1:$1,0)),FALSE),"")</f>
        <v/>
      </c>
      <c r="EMO19" s="28" t="str">
        <f>IFERROR(VLOOKUP(DATE($K$1,$K$2,EMO$4),Table1[],(MATCH(Calendar!$A19,DB!$1:$1,0)),FALSE),"")</f>
        <v/>
      </c>
      <c r="EMP19" s="28" t="str">
        <f>IFERROR(VLOOKUP(DATE($K$1,$K$2,EMP$4),Table1[],(MATCH(Calendar!$A19,DB!$1:$1,0)),FALSE),"")</f>
        <v/>
      </c>
      <c r="EMQ19" s="28" t="str">
        <f>IFERROR(VLOOKUP(DATE($K$1,$K$2,EMQ$4),Table1[],(MATCH(Calendar!$A19,DB!$1:$1,0)),FALSE),"")</f>
        <v/>
      </c>
      <c r="EMR19" s="28" t="str">
        <f>IFERROR(VLOOKUP(DATE($K$1,$K$2,EMR$4),Table1[],(MATCH(Calendar!$A19,DB!$1:$1,0)),FALSE),"")</f>
        <v/>
      </c>
      <c r="EMS19" s="28" t="str">
        <f>IFERROR(VLOOKUP(DATE($K$1,$K$2,EMS$4),Table1[],(MATCH(Calendar!$A19,DB!$1:$1,0)),FALSE),"")</f>
        <v/>
      </c>
      <c r="EMT19" s="28" t="str">
        <f>IFERROR(VLOOKUP(DATE($K$1,$K$2,EMT$4),Table1[],(MATCH(Calendar!$A19,DB!$1:$1,0)),FALSE),"")</f>
        <v/>
      </c>
      <c r="EMU19" s="28" t="str">
        <f>IFERROR(VLOOKUP(DATE($K$1,$K$2,EMU$4),Table1[],(MATCH(Calendar!$A19,DB!$1:$1,0)),FALSE),"")</f>
        <v/>
      </c>
      <c r="EMV19" s="28" t="str">
        <f>IFERROR(VLOOKUP(DATE($K$1,$K$2,EMV$4),Table1[],(MATCH(Calendar!$A19,DB!$1:$1,0)),FALSE),"")</f>
        <v/>
      </c>
      <c r="EMW19" s="28" t="str">
        <f>IFERROR(VLOOKUP(DATE($K$1,$K$2,EMW$4),Table1[],(MATCH(Calendar!$A19,DB!$1:$1,0)),FALSE),"")</f>
        <v/>
      </c>
      <c r="EMX19" s="28" t="str">
        <f>IFERROR(VLOOKUP(DATE($K$1,$K$2,EMX$4),Table1[],(MATCH(Calendar!$A19,DB!$1:$1,0)),FALSE),"")</f>
        <v/>
      </c>
      <c r="EMY19" s="28" t="str">
        <f>IFERROR(VLOOKUP(DATE($K$1,$K$2,EMY$4),Table1[],(MATCH(Calendar!$A19,DB!$1:$1,0)),FALSE),"")</f>
        <v/>
      </c>
      <c r="EMZ19" s="28" t="str">
        <f>IFERROR(VLOOKUP(DATE($K$1,$K$2,EMZ$4),Table1[],(MATCH(Calendar!$A19,DB!$1:$1,0)),FALSE),"")</f>
        <v/>
      </c>
      <c r="ENA19" s="28" t="str">
        <f>IFERROR(VLOOKUP(DATE($K$1,$K$2,ENA$4),Table1[],(MATCH(Calendar!$A19,DB!$1:$1,0)),FALSE),"")</f>
        <v/>
      </c>
      <c r="ENB19" s="28" t="str">
        <f>IFERROR(VLOOKUP(DATE($K$1,$K$2,ENB$4),Table1[],(MATCH(Calendar!$A19,DB!$1:$1,0)),FALSE),"")</f>
        <v/>
      </c>
      <c r="ENC19" s="28" t="str">
        <f>IFERROR(VLOOKUP(DATE($K$1,$K$2,ENC$4),Table1[],(MATCH(Calendar!$A19,DB!$1:$1,0)),FALSE),"")</f>
        <v/>
      </c>
      <c r="END19" s="28" t="str">
        <f>IFERROR(VLOOKUP(DATE($K$1,$K$2,END$4),Table1[],(MATCH(Calendar!$A19,DB!$1:$1,0)),FALSE),"")</f>
        <v/>
      </c>
      <c r="ENE19" s="28" t="str">
        <f>IFERROR(VLOOKUP(DATE($K$1,$K$2,ENE$4),Table1[],(MATCH(Calendar!$A19,DB!$1:$1,0)),FALSE),"")</f>
        <v/>
      </c>
      <c r="ENF19" s="28" t="str">
        <f>IFERROR(VLOOKUP(DATE($K$1,$K$2,ENF$4),Table1[],(MATCH(Calendar!$A19,DB!$1:$1,0)),FALSE),"")</f>
        <v/>
      </c>
      <c r="ENG19" s="28" t="str">
        <f>IFERROR(VLOOKUP(DATE($K$1,$K$2,ENG$4),Table1[],(MATCH(Calendar!$A19,DB!$1:$1,0)),FALSE),"")</f>
        <v/>
      </c>
      <c r="ENH19" s="28" t="str">
        <f>IFERROR(VLOOKUP(DATE($K$1,$K$2,ENH$4),Table1[],(MATCH(Calendar!$A19,DB!$1:$1,0)),FALSE),"")</f>
        <v/>
      </c>
      <c r="ENI19" s="28" t="str">
        <f>IFERROR(VLOOKUP(DATE($K$1,$K$2,ENI$4),Table1[],(MATCH(Calendar!$A19,DB!$1:$1,0)),FALSE),"")</f>
        <v/>
      </c>
      <c r="ENJ19" s="28" t="str">
        <f>IFERROR(VLOOKUP(DATE($K$1,$K$2,ENJ$4),Table1[],(MATCH(Calendar!$A19,DB!$1:$1,0)),FALSE),"")</f>
        <v/>
      </c>
      <c r="ENK19" s="28" t="str">
        <f>IFERROR(VLOOKUP(DATE($K$1,$K$2,ENK$4),Table1[],(MATCH(Calendar!$A19,DB!$1:$1,0)),FALSE),"")</f>
        <v/>
      </c>
      <c r="ENL19" s="28" t="str">
        <f>IFERROR(VLOOKUP(DATE($K$1,$K$2,ENL$4),Table1[],(MATCH(Calendar!$A19,DB!$1:$1,0)),FALSE),"")</f>
        <v/>
      </c>
      <c r="ENM19" s="28" t="str">
        <f>IFERROR(VLOOKUP(DATE($K$1,$K$2,ENM$4),Table1[],(MATCH(Calendar!$A19,DB!$1:$1,0)),FALSE),"")</f>
        <v/>
      </c>
      <c r="ENN19" s="28" t="str">
        <f>IFERROR(VLOOKUP(DATE($K$1,$K$2,ENN$4),Table1[],(MATCH(Calendar!$A19,DB!$1:$1,0)),FALSE),"")</f>
        <v/>
      </c>
      <c r="ENO19" s="28" t="str">
        <f>IFERROR(VLOOKUP(DATE($K$1,$K$2,ENO$4),Table1[],(MATCH(Calendar!$A19,DB!$1:$1,0)),FALSE),"")</f>
        <v/>
      </c>
      <c r="ENP19" s="28" t="str">
        <f>IFERROR(VLOOKUP(DATE($K$1,$K$2,ENP$4),Table1[],(MATCH(Calendar!$A19,DB!$1:$1,0)),FALSE),"")</f>
        <v/>
      </c>
      <c r="ENQ19" s="28" t="str">
        <f>IFERROR(VLOOKUP(DATE($K$1,$K$2,ENQ$4),Table1[],(MATCH(Calendar!$A19,DB!$1:$1,0)),FALSE),"")</f>
        <v/>
      </c>
      <c r="ENR19" s="28" t="str">
        <f>IFERROR(VLOOKUP(DATE($K$1,$K$2,ENR$4),Table1[],(MATCH(Calendar!$A19,DB!$1:$1,0)),FALSE),"")</f>
        <v/>
      </c>
      <c r="ENS19" s="28" t="str">
        <f>IFERROR(VLOOKUP(DATE($K$1,$K$2,ENS$4),Table1[],(MATCH(Calendar!$A19,DB!$1:$1,0)),FALSE),"")</f>
        <v/>
      </c>
      <c r="ENT19" s="28" t="str">
        <f>IFERROR(VLOOKUP(DATE($K$1,$K$2,ENT$4),Table1[],(MATCH(Calendar!$A19,DB!$1:$1,0)),FALSE),"")</f>
        <v/>
      </c>
      <c r="ENU19" s="28" t="str">
        <f>IFERROR(VLOOKUP(DATE($K$1,$K$2,ENU$4),Table1[],(MATCH(Calendar!$A19,DB!$1:$1,0)),FALSE),"")</f>
        <v/>
      </c>
      <c r="ENV19" s="28" t="str">
        <f>IFERROR(VLOOKUP(DATE($K$1,$K$2,ENV$4),Table1[],(MATCH(Calendar!$A19,DB!$1:$1,0)),FALSE),"")</f>
        <v/>
      </c>
      <c r="ENW19" s="28" t="str">
        <f>IFERROR(VLOOKUP(DATE($K$1,$K$2,ENW$4),Table1[],(MATCH(Calendar!$A19,DB!$1:$1,0)),FALSE),"")</f>
        <v/>
      </c>
      <c r="ENX19" s="28" t="str">
        <f>IFERROR(VLOOKUP(DATE($K$1,$K$2,ENX$4),Table1[],(MATCH(Calendar!$A19,DB!$1:$1,0)),FALSE),"")</f>
        <v/>
      </c>
      <c r="ENY19" s="28" t="str">
        <f>IFERROR(VLOOKUP(DATE($K$1,$K$2,ENY$4),Table1[],(MATCH(Calendar!$A19,DB!$1:$1,0)),FALSE),"")</f>
        <v/>
      </c>
      <c r="ENZ19" s="28" t="str">
        <f>IFERROR(VLOOKUP(DATE($K$1,$K$2,ENZ$4),Table1[],(MATCH(Calendar!$A19,DB!$1:$1,0)),FALSE),"")</f>
        <v/>
      </c>
      <c r="EOA19" s="28" t="str">
        <f>IFERROR(VLOOKUP(DATE($K$1,$K$2,EOA$4),Table1[],(MATCH(Calendar!$A19,DB!$1:$1,0)),FALSE),"")</f>
        <v/>
      </c>
      <c r="EOB19" s="28" t="str">
        <f>IFERROR(VLOOKUP(DATE($K$1,$K$2,EOB$4),Table1[],(MATCH(Calendar!$A19,DB!$1:$1,0)),FALSE),"")</f>
        <v/>
      </c>
      <c r="EOC19" s="28" t="str">
        <f>IFERROR(VLOOKUP(DATE($K$1,$K$2,EOC$4),Table1[],(MATCH(Calendar!$A19,DB!$1:$1,0)),FALSE),"")</f>
        <v/>
      </c>
      <c r="EOD19" s="28" t="str">
        <f>IFERROR(VLOOKUP(DATE($K$1,$K$2,EOD$4),Table1[],(MATCH(Calendar!$A19,DB!$1:$1,0)),FALSE),"")</f>
        <v/>
      </c>
      <c r="EOE19" s="28" t="str">
        <f>IFERROR(VLOOKUP(DATE($K$1,$K$2,EOE$4),Table1[],(MATCH(Calendar!$A19,DB!$1:$1,0)),FALSE),"")</f>
        <v/>
      </c>
      <c r="EOF19" s="28" t="str">
        <f>IFERROR(VLOOKUP(DATE($K$1,$K$2,EOF$4),Table1[],(MATCH(Calendar!$A19,DB!$1:$1,0)),FALSE),"")</f>
        <v/>
      </c>
      <c r="EOG19" s="28" t="str">
        <f>IFERROR(VLOOKUP(DATE($K$1,$K$2,EOG$4),Table1[],(MATCH(Calendar!$A19,DB!$1:$1,0)),FALSE),"")</f>
        <v/>
      </c>
      <c r="EOH19" s="28" t="str">
        <f>IFERROR(VLOOKUP(DATE($K$1,$K$2,EOH$4),Table1[],(MATCH(Calendar!$A19,DB!$1:$1,0)),FALSE),"")</f>
        <v/>
      </c>
      <c r="EOI19" s="28" t="str">
        <f>IFERROR(VLOOKUP(DATE($K$1,$K$2,EOI$4),Table1[],(MATCH(Calendar!$A19,DB!$1:$1,0)),FALSE),"")</f>
        <v/>
      </c>
      <c r="EOJ19" s="28" t="str">
        <f>IFERROR(VLOOKUP(DATE($K$1,$K$2,EOJ$4),Table1[],(MATCH(Calendar!$A19,DB!$1:$1,0)),FALSE),"")</f>
        <v/>
      </c>
      <c r="EOK19" s="28" t="str">
        <f>IFERROR(VLOOKUP(DATE($K$1,$K$2,EOK$4),Table1[],(MATCH(Calendar!$A19,DB!$1:$1,0)),FALSE),"")</f>
        <v/>
      </c>
      <c r="EOL19" s="28" t="str">
        <f>IFERROR(VLOOKUP(DATE($K$1,$K$2,EOL$4),Table1[],(MATCH(Calendar!$A19,DB!$1:$1,0)),FALSE),"")</f>
        <v/>
      </c>
      <c r="EOM19" s="28" t="str">
        <f>IFERROR(VLOOKUP(DATE($K$1,$K$2,EOM$4),Table1[],(MATCH(Calendar!$A19,DB!$1:$1,0)),FALSE),"")</f>
        <v/>
      </c>
      <c r="EON19" s="28" t="str">
        <f>IFERROR(VLOOKUP(DATE($K$1,$K$2,EON$4),Table1[],(MATCH(Calendar!$A19,DB!$1:$1,0)),FALSE),"")</f>
        <v/>
      </c>
      <c r="EOO19" s="28" t="str">
        <f>IFERROR(VLOOKUP(DATE($K$1,$K$2,EOO$4),Table1[],(MATCH(Calendar!$A19,DB!$1:$1,0)),FALSE),"")</f>
        <v/>
      </c>
      <c r="EOP19" s="28" t="str">
        <f>IFERROR(VLOOKUP(DATE($K$1,$K$2,EOP$4),Table1[],(MATCH(Calendar!$A19,DB!$1:$1,0)),FALSE),"")</f>
        <v/>
      </c>
      <c r="EOQ19" s="28" t="str">
        <f>IFERROR(VLOOKUP(DATE($K$1,$K$2,EOQ$4),Table1[],(MATCH(Calendar!$A19,DB!$1:$1,0)),FALSE),"")</f>
        <v/>
      </c>
      <c r="EOR19" s="28" t="str">
        <f>IFERROR(VLOOKUP(DATE($K$1,$K$2,EOR$4),Table1[],(MATCH(Calendar!$A19,DB!$1:$1,0)),FALSE),"")</f>
        <v/>
      </c>
      <c r="EOS19" s="28" t="str">
        <f>IFERROR(VLOOKUP(DATE($K$1,$K$2,EOS$4),Table1[],(MATCH(Calendar!$A19,DB!$1:$1,0)),FALSE),"")</f>
        <v/>
      </c>
      <c r="EOT19" s="28" t="str">
        <f>IFERROR(VLOOKUP(DATE($K$1,$K$2,EOT$4),Table1[],(MATCH(Calendar!$A19,DB!$1:$1,0)),FALSE),"")</f>
        <v/>
      </c>
      <c r="EOU19" s="28" t="str">
        <f>IFERROR(VLOOKUP(DATE($K$1,$K$2,EOU$4),Table1[],(MATCH(Calendar!$A19,DB!$1:$1,0)),FALSE),"")</f>
        <v/>
      </c>
      <c r="EOV19" s="28" t="str">
        <f>IFERROR(VLOOKUP(DATE($K$1,$K$2,EOV$4),Table1[],(MATCH(Calendar!$A19,DB!$1:$1,0)),FALSE),"")</f>
        <v/>
      </c>
      <c r="EOW19" s="28" t="str">
        <f>IFERROR(VLOOKUP(DATE($K$1,$K$2,EOW$4),Table1[],(MATCH(Calendar!$A19,DB!$1:$1,0)),FALSE),"")</f>
        <v/>
      </c>
      <c r="EOX19" s="28" t="str">
        <f>IFERROR(VLOOKUP(DATE($K$1,$K$2,EOX$4),Table1[],(MATCH(Calendar!$A19,DB!$1:$1,0)),FALSE),"")</f>
        <v/>
      </c>
      <c r="EOY19" s="28" t="str">
        <f>IFERROR(VLOOKUP(DATE($K$1,$K$2,EOY$4),Table1[],(MATCH(Calendar!$A19,DB!$1:$1,0)),FALSE),"")</f>
        <v/>
      </c>
      <c r="EOZ19" s="28" t="str">
        <f>IFERROR(VLOOKUP(DATE($K$1,$K$2,EOZ$4),Table1[],(MATCH(Calendar!$A19,DB!$1:$1,0)),FALSE),"")</f>
        <v/>
      </c>
      <c r="EPA19" s="28" t="str">
        <f>IFERROR(VLOOKUP(DATE($K$1,$K$2,EPA$4),Table1[],(MATCH(Calendar!$A19,DB!$1:$1,0)),FALSE),"")</f>
        <v/>
      </c>
      <c r="EPB19" s="28" t="str">
        <f>IFERROR(VLOOKUP(DATE($K$1,$K$2,EPB$4),Table1[],(MATCH(Calendar!$A19,DB!$1:$1,0)),FALSE),"")</f>
        <v/>
      </c>
      <c r="EPC19" s="28" t="str">
        <f>IFERROR(VLOOKUP(DATE($K$1,$K$2,EPC$4),Table1[],(MATCH(Calendar!$A19,DB!$1:$1,0)),FALSE),"")</f>
        <v/>
      </c>
      <c r="EPD19" s="28" t="str">
        <f>IFERROR(VLOOKUP(DATE($K$1,$K$2,EPD$4),Table1[],(MATCH(Calendar!$A19,DB!$1:$1,0)),FALSE),"")</f>
        <v/>
      </c>
      <c r="EPE19" s="28" t="str">
        <f>IFERROR(VLOOKUP(DATE($K$1,$K$2,EPE$4),Table1[],(MATCH(Calendar!$A19,DB!$1:$1,0)),FALSE),"")</f>
        <v/>
      </c>
      <c r="EPF19" s="28" t="str">
        <f>IFERROR(VLOOKUP(DATE($K$1,$K$2,EPF$4),Table1[],(MATCH(Calendar!$A19,DB!$1:$1,0)),FALSE),"")</f>
        <v/>
      </c>
      <c r="EPG19" s="28" t="str">
        <f>IFERROR(VLOOKUP(DATE($K$1,$K$2,EPG$4),Table1[],(MATCH(Calendar!$A19,DB!$1:$1,0)),FALSE),"")</f>
        <v/>
      </c>
      <c r="EPH19" s="28" t="str">
        <f>IFERROR(VLOOKUP(DATE($K$1,$K$2,EPH$4),Table1[],(MATCH(Calendar!$A19,DB!$1:$1,0)),FALSE),"")</f>
        <v/>
      </c>
      <c r="EPI19" s="28" t="str">
        <f>IFERROR(VLOOKUP(DATE($K$1,$K$2,EPI$4),Table1[],(MATCH(Calendar!$A19,DB!$1:$1,0)),FALSE),"")</f>
        <v/>
      </c>
      <c r="EPJ19" s="28" t="str">
        <f>IFERROR(VLOOKUP(DATE($K$1,$K$2,EPJ$4),Table1[],(MATCH(Calendar!$A19,DB!$1:$1,0)),FALSE),"")</f>
        <v/>
      </c>
      <c r="EPK19" s="28" t="str">
        <f>IFERROR(VLOOKUP(DATE($K$1,$K$2,EPK$4),Table1[],(MATCH(Calendar!$A19,DB!$1:$1,0)),FALSE),"")</f>
        <v/>
      </c>
      <c r="EPL19" s="28" t="str">
        <f>IFERROR(VLOOKUP(DATE($K$1,$K$2,EPL$4),Table1[],(MATCH(Calendar!$A19,DB!$1:$1,0)),FALSE),"")</f>
        <v/>
      </c>
      <c r="EPM19" s="28" t="str">
        <f>IFERROR(VLOOKUP(DATE($K$1,$K$2,EPM$4),Table1[],(MATCH(Calendar!$A19,DB!$1:$1,0)),FALSE),"")</f>
        <v/>
      </c>
      <c r="EPN19" s="28" t="str">
        <f>IFERROR(VLOOKUP(DATE($K$1,$K$2,EPN$4),Table1[],(MATCH(Calendar!$A19,DB!$1:$1,0)),FALSE),"")</f>
        <v/>
      </c>
      <c r="EPO19" s="28" t="str">
        <f>IFERROR(VLOOKUP(DATE($K$1,$K$2,EPO$4),Table1[],(MATCH(Calendar!$A19,DB!$1:$1,0)),FALSE),"")</f>
        <v/>
      </c>
      <c r="EPP19" s="28" t="str">
        <f>IFERROR(VLOOKUP(DATE($K$1,$K$2,EPP$4),Table1[],(MATCH(Calendar!$A19,DB!$1:$1,0)),FALSE),"")</f>
        <v/>
      </c>
      <c r="EPQ19" s="28" t="str">
        <f>IFERROR(VLOOKUP(DATE($K$1,$K$2,EPQ$4),Table1[],(MATCH(Calendar!$A19,DB!$1:$1,0)),FALSE),"")</f>
        <v/>
      </c>
      <c r="EPR19" s="28" t="str">
        <f>IFERROR(VLOOKUP(DATE($K$1,$K$2,EPR$4),Table1[],(MATCH(Calendar!$A19,DB!$1:$1,0)),FALSE),"")</f>
        <v/>
      </c>
      <c r="EPS19" s="28" t="str">
        <f>IFERROR(VLOOKUP(DATE($K$1,$K$2,EPS$4),Table1[],(MATCH(Calendar!$A19,DB!$1:$1,0)),FALSE),"")</f>
        <v/>
      </c>
      <c r="EPT19" s="28" t="str">
        <f>IFERROR(VLOOKUP(DATE($K$1,$K$2,EPT$4),Table1[],(MATCH(Calendar!$A19,DB!$1:$1,0)),FALSE),"")</f>
        <v/>
      </c>
      <c r="EPU19" s="28" t="str">
        <f>IFERROR(VLOOKUP(DATE($K$1,$K$2,EPU$4),Table1[],(MATCH(Calendar!$A19,DB!$1:$1,0)),FALSE),"")</f>
        <v/>
      </c>
      <c r="EPV19" s="28" t="str">
        <f>IFERROR(VLOOKUP(DATE($K$1,$K$2,EPV$4),Table1[],(MATCH(Calendar!$A19,DB!$1:$1,0)),FALSE),"")</f>
        <v/>
      </c>
      <c r="EPW19" s="28" t="str">
        <f>IFERROR(VLOOKUP(DATE($K$1,$K$2,EPW$4),Table1[],(MATCH(Calendar!$A19,DB!$1:$1,0)),FALSE),"")</f>
        <v/>
      </c>
      <c r="EPX19" s="28" t="str">
        <f>IFERROR(VLOOKUP(DATE($K$1,$K$2,EPX$4),Table1[],(MATCH(Calendar!$A19,DB!$1:$1,0)),FALSE),"")</f>
        <v/>
      </c>
      <c r="EPY19" s="28" t="str">
        <f>IFERROR(VLOOKUP(DATE($K$1,$K$2,EPY$4),Table1[],(MATCH(Calendar!$A19,DB!$1:$1,0)),FALSE),"")</f>
        <v/>
      </c>
      <c r="EPZ19" s="28" t="str">
        <f>IFERROR(VLOOKUP(DATE($K$1,$K$2,EPZ$4),Table1[],(MATCH(Calendar!$A19,DB!$1:$1,0)),FALSE),"")</f>
        <v/>
      </c>
      <c r="EQA19" s="28" t="str">
        <f>IFERROR(VLOOKUP(DATE($K$1,$K$2,EQA$4),Table1[],(MATCH(Calendar!$A19,DB!$1:$1,0)),FALSE),"")</f>
        <v/>
      </c>
      <c r="EQB19" s="28" t="str">
        <f>IFERROR(VLOOKUP(DATE($K$1,$K$2,EQB$4),Table1[],(MATCH(Calendar!$A19,DB!$1:$1,0)),FALSE),"")</f>
        <v/>
      </c>
      <c r="EQC19" s="28" t="str">
        <f>IFERROR(VLOOKUP(DATE($K$1,$K$2,EQC$4),Table1[],(MATCH(Calendar!$A19,DB!$1:$1,0)),FALSE),"")</f>
        <v/>
      </c>
      <c r="EQD19" s="28" t="str">
        <f>IFERROR(VLOOKUP(DATE($K$1,$K$2,EQD$4),Table1[],(MATCH(Calendar!$A19,DB!$1:$1,0)),FALSE),"")</f>
        <v/>
      </c>
      <c r="EQE19" s="28" t="str">
        <f>IFERROR(VLOOKUP(DATE($K$1,$K$2,EQE$4),Table1[],(MATCH(Calendar!$A19,DB!$1:$1,0)),FALSE),"")</f>
        <v/>
      </c>
      <c r="EQF19" s="28" t="str">
        <f>IFERROR(VLOOKUP(DATE($K$1,$K$2,EQF$4),Table1[],(MATCH(Calendar!$A19,DB!$1:$1,0)),FALSE),"")</f>
        <v/>
      </c>
      <c r="EQG19" s="28" t="str">
        <f>IFERROR(VLOOKUP(DATE($K$1,$K$2,EQG$4),Table1[],(MATCH(Calendar!$A19,DB!$1:$1,0)),FALSE),"")</f>
        <v/>
      </c>
      <c r="EQH19" s="28" t="str">
        <f>IFERROR(VLOOKUP(DATE($K$1,$K$2,EQH$4),Table1[],(MATCH(Calendar!$A19,DB!$1:$1,0)),FALSE),"")</f>
        <v/>
      </c>
      <c r="EQI19" s="28" t="str">
        <f>IFERROR(VLOOKUP(DATE($K$1,$K$2,EQI$4),Table1[],(MATCH(Calendar!$A19,DB!$1:$1,0)),FALSE),"")</f>
        <v/>
      </c>
      <c r="EQJ19" s="28" t="str">
        <f>IFERROR(VLOOKUP(DATE($K$1,$K$2,EQJ$4),Table1[],(MATCH(Calendar!$A19,DB!$1:$1,0)),FALSE),"")</f>
        <v/>
      </c>
      <c r="EQK19" s="28" t="str">
        <f>IFERROR(VLOOKUP(DATE($K$1,$K$2,EQK$4),Table1[],(MATCH(Calendar!$A19,DB!$1:$1,0)),FALSE),"")</f>
        <v/>
      </c>
      <c r="EQL19" s="28" t="str">
        <f>IFERROR(VLOOKUP(DATE($K$1,$K$2,EQL$4),Table1[],(MATCH(Calendar!$A19,DB!$1:$1,0)),FALSE),"")</f>
        <v/>
      </c>
      <c r="EQM19" s="28" t="str">
        <f>IFERROR(VLOOKUP(DATE($K$1,$K$2,EQM$4),Table1[],(MATCH(Calendar!$A19,DB!$1:$1,0)),FALSE),"")</f>
        <v/>
      </c>
      <c r="EQN19" s="28" t="str">
        <f>IFERROR(VLOOKUP(DATE($K$1,$K$2,EQN$4),Table1[],(MATCH(Calendar!$A19,DB!$1:$1,0)),FALSE),"")</f>
        <v/>
      </c>
      <c r="EQO19" s="28" t="str">
        <f>IFERROR(VLOOKUP(DATE($K$1,$K$2,EQO$4),Table1[],(MATCH(Calendar!$A19,DB!$1:$1,0)),FALSE),"")</f>
        <v/>
      </c>
      <c r="EQP19" s="28" t="str">
        <f>IFERROR(VLOOKUP(DATE($K$1,$K$2,EQP$4),Table1[],(MATCH(Calendar!$A19,DB!$1:$1,0)),FALSE),"")</f>
        <v/>
      </c>
      <c r="EQQ19" s="28" t="str">
        <f>IFERROR(VLOOKUP(DATE($K$1,$K$2,EQQ$4),Table1[],(MATCH(Calendar!$A19,DB!$1:$1,0)),FALSE),"")</f>
        <v/>
      </c>
      <c r="EQR19" s="28" t="str">
        <f>IFERROR(VLOOKUP(DATE($K$1,$K$2,EQR$4),Table1[],(MATCH(Calendar!$A19,DB!$1:$1,0)),FALSE),"")</f>
        <v/>
      </c>
      <c r="EQS19" s="28" t="str">
        <f>IFERROR(VLOOKUP(DATE($K$1,$K$2,EQS$4),Table1[],(MATCH(Calendar!$A19,DB!$1:$1,0)),FALSE),"")</f>
        <v/>
      </c>
      <c r="EQT19" s="28" t="str">
        <f>IFERROR(VLOOKUP(DATE($K$1,$K$2,EQT$4),Table1[],(MATCH(Calendar!$A19,DB!$1:$1,0)),FALSE),"")</f>
        <v/>
      </c>
      <c r="EQU19" s="28" t="str">
        <f>IFERROR(VLOOKUP(DATE($K$1,$K$2,EQU$4),Table1[],(MATCH(Calendar!$A19,DB!$1:$1,0)),FALSE),"")</f>
        <v/>
      </c>
      <c r="EQV19" s="28" t="str">
        <f>IFERROR(VLOOKUP(DATE($K$1,$K$2,EQV$4),Table1[],(MATCH(Calendar!$A19,DB!$1:$1,0)),FALSE),"")</f>
        <v/>
      </c>
      <c r="EQW19" s="28" t="str">
        <f>IFERROR(VLOOKUP(DATE($K$1,$K$2,EQW$4),Table1[],(MATCH(Calendar!$A19,DB!$1:$1,0)),FALSE),"")</f>
        <v/>
      </c>
      <c r="EQX19" s="28" t="str">
        <f>IFERROR(VLOOKUP(DATE($K$1,$K$2,EQX$4),Table1[],(MATCH(Calendar!$A19,DB!$1:$1,0)),FALSE),"")</f>
        <v/>
      </c>
      <c r="EQY19" s="28" t="str">
        <f>IFERROR(VLOOKUP(DATE($K$1,$K$2,EQY$4),Table1[],(MATCH(Calendar!$A19,DB!$1:$1,0)),FALSE),"")</f>
        <v/>
      </c>
      <c r="EQZ19" s="28" t="str">
        <f>IFERROR(VLOOKUP(DATE($K$1,$K$2,EQZ$4),Table1[],(MATCH(Calendar!$A19,DB!$1:$1,0)),FALSE),"")</f>
        <v/>
      </c>
      <c r="ERA19" s="28" t="str">
        <f>IFERROR(VLOOKUP(DATE($K$1,$K$2,ERA$4),Table1[],(MATCH(Calendar!$A19,DB!$1:$1,0)),FALSE),"")</f>
        <v/>
      </c>
      <c r="ERB19" s="28" t="str">
        <f>IFERROR(VLOOKUP(DATE($K$1,$K$2,ERB$4),Table1[],(MATCH(Calendar!$A19,DB!$1:$1,0)),FALSE),"")</f>
        <v/>
      </c>
      <c r="ERC19" s="28" t="str">
        <f>IFERROR(VLOOKUP(DATE($K$1,$K$2,ERC$4),Table1[],(MATCH(Calendar!$A19,DB!$1:$1,0)),FALSE),"")</f>
        <v/>
      </c>
      <c r="ERD19" s="28" t="str">
        <f>IFERROR(VLOOKUP(DATE($K$1,$K$2,ERD$4),Table1[],(MATCH(Calendar!$A19,DB!$1:$1,0)),FALSE),"")</f>
        <v/>
      </c>
      <c r="ERE19" s="28" t="str">
        <f>IFERROR(VLOOKUP(DATE($K$1,$K$2,ERE$4),Table1[],(MATCH(Calendar!$A19,DB!$1:$1,0)),FALSE),"")</f>
        <v/>
      </c>
      <c r="ERF19" s="28" t="str">
        <f>IFERROR(VLOOKUP(DATE($K$1,$K$2,ERF$4),Table1[],(MATCH(Calendar!$A19,DB!$1:$1,0)),FALSE),"")</f>
        <v/>
      </c>
      <c r="ERG19" s="28" t="str">
        <f>IFERROR(VLOOKUP(DATE($K$1,$K$2,ERG$4),Table1[],(MATCH(Calendar!$A19,DB!$1:$1,0)),FALSE),"")</f>
        <v/>
      </c>
      <c r="ERH19" s="28" t="str">
        <f>IFERROR(VLOOKUP(DATE($K$1,$K$2,ERH$4),Table1[],(MATCH(Calendar!$A19,DB!$1:$1,0)),FALSE),"")</f>
        <v/>
      </c>
      <c r="ERI19" s="28" t="str">
        <f>IFERROR(VLOOKUP(DATE($K$1,$K$2,ERI$4),Table1[],(MATCH(Calendar!$A19,DB!$1:$1,0)),FALSE),"")</f>
        <v/>
      </c>
      <c r="ERJ19" s="28" t="str">
        <f>IFERROR(VLOOKUP(DATE($K$1,$K$2,ERJ$4),Table1[],(MATCH(Calendar!$A19,DB!$1:$1,0)),FALSE),"")</f>
        <v/>
      </c>
      <c r="ERK19" s="28" t="str">
        <f>IFERROR(VLOOKUP(DATE($K$1,$K$2,ERK$4),Table1[],(MATCH(Calendar!$A19,DB!$1:$1,0)),FALSE),"")</f>
        <v/>
      </c>
      <c r="ERL19" s="28" t="str">
        <f>IFERROR(VLOOKUP(DATE($K$1,$K$2,ERL$4),Table1[],(MATCH(Calendar!$A19,DB!$1:$1,0)),FALSE),"")</f>
        <v/>
      </c>
      <c r="ERM19" s="28" t="str">
        <f>IFERROR(VLOOKUP(DATE($K$1,$K$2,ERM$4),Table1[],(MATCH(Calendar!$A19,DB!$1:$1,0)),FALSE),"")</f>
        <v/>
      </c>
      <c r="ERN19" s="28" t="str">
        <f>IFERROR(VLOOKUP(DATE($K$1,$K$2,ERN$4),Table1[],(MATCH(Calendar!$A19,DB!$1:$1,0)),FALSE),"")</f>
        <v/>
      </c>
      <c r="ERO19" s="28" t="str">
        <f>IFERROR(VLOOKUP(DATE($K$1,$K$2,ERO$4),Table1[],(MATCH(Calendar!$A19,DB!$1:$1,0)),FALSE),"")</f>
        <v/>
      </c>
      <c r="ERP19" s="28" t="str">
        <f>IFERROR(VLOOKUP(DATE($K$1,$K$2,ERP$4),Table1[],(MATCH(Calendar!$A19,DB!$1:$1,0)),FALSE),"")</f>
        <v/>
      </c>
      <c r="ERQ19" s="28" t="str">
        <f>IFERROR(VLOOKUP(DATE($K$1,$K$2,ERQ$4),Table1[],(MATCH(Calendar!$A19,DB!$1:$1,0)),FALSE),"")</f>
        <v/>
      </c>
      <c r="ERR19" s="28" t="str">
        <f>IFERROR(VLOOKUP(DATE($K$1,$K$2,ERR$4),Table1[],(MATCH(Calendar!$A19,DB!$1:$1,0)),FALSE),"")</f>
        <v/>
      </c>
      <c r="ERS19" s="28" t="str">
        <f>IFERROR(VLOOKUP(DATE($K$1,$K$2,ERS$4),Table1[],(MATCH(Calendar!$A19,DB!$1:$1,0)),FALSE),"")</f>
        <v/>
      </c>
      <c r="ERT19" s="28" t="str">
        <f>IFERROR(VLOOKUP(DATE($K$1,$K$2,ERT$4),Table1[],(MATCH(Calendar!$A19,DB!$1:$1,0)),FALSE),"")</f>
        <v/>
      </c>
      <c r="ERU19" s="28" t="str">
        <f>IFERROR(VLOOKUP(DATE($K$1,$K$2,ERU$4),Table1[],(MATCH(Calendar!$A19,DB!$1:$1,0)),FALSE),"")</f>
        <v/>
      </c>
      <c r="ERV19" s="28" t="str">
        <f>IFERROR(VLOOKUP(DATE($K$1,$K$2,ERV$4),Table1[],(MATCH(Calendar!$A19,DB!$1:$1,0)),FALSE),"")</f>
        <v/>
      </c>
      <c r="ERW19" s="28" t="str">
        <f>IFERROR(VLOOKUP(DATE($K$1,$K$2,ERW$4),Table1[],(MATCH(Calendar!$A19,DB!$1:$1,0)),FALSE),"")</f>
        <v/>
      </c>
      <c r="ERX19" s="28" t="str">
        <f>IFERROR(VLOOKUP(DATE($K$1,$K$2,ERX$4),Table1[],(MATCH(Calendar!$A19,DB!$1:$1,0)),FALSE),"")</f>
        <v/>
      </c>
      <c r="ERY19" s="28" t="str">
        <f>IFERROR(VLOOKUP(DATE($K$1,$K$2,ERY$4),Table1[],(MATCH(Calendar!$A19,DB!$1:$1,0)),FALSE),"")</f>
        <v/>
      </c>
      <c r="ERZ19" s="28" t="str">
        <f>IFERROR(VLOOKUP(DATE($K$1,$K$2,ERZ$4),Table1[],(MATCH(Calendar!$A19,DB!$1:$1,0)),FALSE),"")</f>
        <v/>
      </c>
      <c r="ESA19" s="28" t="str">
        <f>IFERROR(VLOOKUP(DATE($K$1,$K$2,ESA$4),Table1[],(MATCH(Calendar!$A19,DB!$1:$1,0)),FALSE),"")</f>
        <v/>
      </c>
      <c r="ESB19" s="28" t="str">
        <f>IFERROR(VLOOKUP(DATE($K$1,$K$2,ESB$4),Table1[],(MATCH(Calendar!$A19,DB!$1:$1,0)),FALSE),"")</f>
        <v/>
      </c>
      <c r="ESC19" s="28" t="str">
        <f>IFERROR(VLOOKUP(DATE($K$1,$K$2,ESC$4),Table1[],(MATCH(Calendar!$A19,DB!$1:$1,0)),FALSE),"")</f>
        <v/>
      </c>
      <c r="ESD19" s="28" t="str">
        <f>IFERROR(VLOOKUP(DATE($K$1,$K$2,ESD$4),Table1[],(MATCH(Calendar!$A19,DB!$1:$1,0)),FALSE),"")</f>
        <v/>
      </c>
      <c r="ESE19" s="28" t="str">
        <f>IFERROR(VLOOKUP(DATE($K$1,$K$2,ESE$4),Table1[],(MATCH(Calendar!$A19,DB!$1:$1,0)),FALSE),"")</f>
        <v/>
      </c>
      <c r="ESF19" s="28" t="str">
        <f>IFERROR(VLOOKUP(DATE($K$1,$K$2,ESF$4),Table1[],(MATCH(Calendar!$A19,DB!$1:$1,0)),FALSE),"")</f>
        <v/>
      </c>
      <c r="ESG19" s="28" t="str">
        <f>IFERROR(VLOOKUP(DATE($K$1,$K$2,ESG$4),Table1[],(MATCH(Calendar!$A19,DB!$1:$1,0)),FALSE),"")</f>
        <v/>
      </c>
      <c r="ESH19" s="28" t="str">
        <f>IFERROR(VLOOKUP(DATE($K$1,$K$2,ESH$4),Table1[],(MATCH(Calendar!$A19,DB!$1:$1,0)),FALSE),"")</f>
        <v/>
      </c>
      <c r="ESI19" s="28" t="str">
        <f>IFERROR(VLOOKUP(DATE($K$1,$K$2,ESI$4),Table1[],(MATCH(Calendar!$A19,DB!$1:$1,0)),FALSE),"")</f>
        <v/>
      </c>
      <c r="ESJ19" s="28" t="str">
        <f>IFERROR(VLOOKUP(DATE($K$1,$K$2,ESJ$4),Table1[],(MATCH(Calendar!$A19,DB!$1:$1,0)),FALSE),"")</f>
        <v/>
      </c>
      <c r="ESK19" s="28" t="str">
        <f>IFERROR(VLOOKUP(DATE($K$1,$K$2,ESK$4),Table1[],(MATCH(Calendar!$A19,DB!$1:$1,0)),FALSE),"")</f>
        <v/>
      </c>
      <c r="ESL19" s="28" t="str">
        <f>IFERROR(VLOOKUP(DATE($K$1,$K$2,ESL$4),Table1[],(MATCH(Calendar!$A19,DB!$1:$1,0)),FALSE),"")</f>
        <v/>
      </c>
      <c r="ESM19" s="28" t="str">
        <f>IFERROR(VLOOKUP(DATE($K$1,$K$2,ESM$4),Table1[],(MATCH(Calendar!$A19,DB!$1:$1,0)),FALSE),"")</f>
        <v/>
      </c>
      <c r="ESN19" s="28" t="str">
        <f>IFERROR(VLOOKUP(DATE($K$1,$K$2,ESN$4),Table1[],(MATCH(Calendar!$A19,DB!$1:$1,0)),FALSE),"")</f>
        <v/>
      </c>
      <c r="ESO19" s="28" t="str">
        <f>IFERROR(VLOOKUP(DATE($K$1,$K$2,ESO$4),Table1[],(MATCH(Calendar!$A19,DB!$1:$1,0)),FALSE),"")</f>
        <v/>
      </c>
      <c r="ESP19" s="28" t="str">
        <f>IFERROR(VLOOKUP(DATE($K$1,$K$2,ESP$4),Table1[],(MATCH(Calendar!$A19,DB!$1:$1,0)),FALSE),"")</f>
        <v/>
      </c>
      <c r="ESQ19" s="28" t="str">
        <f>IFERROR(VLOOKUP(DATE($K$1,$K$2,ESQ$4),Table1[],(MATCH(Calendar!$A19,DB!$1:$1,0)),FALSE),"")</f>
        <v/>
      </c>
      <c r="ESR19" s="28" t="str">
        <f>IFERROR(VLOOKUP(DATE($K$1,$K$2,ESR$4),Table1[],(MATCH(Calendar!$A19,DB!$1:$1,0)),FALSE),"")</f>
        <v/>
      </c>
      <c r="ESS19" s="28" t="str">
        <f>IFERROR(VLOOKUP(DATE($K$1,$K$2,ESS$4),Table1[],(MATCH(Calendar!$A19,DB!$1:$1,0)),FALSE),"")</f>
        <v/>
      </c>
      <c r="EST19" s="28" t="str">
        <f>IFERROR(VLOOKUP(DATE($K$1,$K$2,EST$4),Table1[],(MATCH(Calendar!$A19,DB!$1:$1,0)),FALSE),"")</f>
        <v/>
      </c>
      <c r="ESU19" s="28" t="str">
        <f>IFERROR(VLOOKUP(DATE($K$1,$K$2,ESU$4),Table1[],(MATCH(Calendar!$A19,DB!$1:$1,0)),FALSE),"")</f>
        <v/>
      </c>
      <c r="ESV19" s="28" t="str">
        <f>IFERROR(VLOOKUP(DATE($K$1,$K$2,ESV$4),Table1[],(MATCH(Calendar!$A19,DB!$1:$1,0)),FALSE),"")</f>
        <v/>
      </c>
      <c r="ESW19" s="28" t="str">
        <f>IFERROR(VLOOKUP(DATE($K$1,$K$2,ESW$4),Table1[],(MATCH(Calendar!$A19,DB!$1:$1,0)),FALSE),"")</f>
        <v/>
      </c>
      <c r="ESX19" s="28" t="str">
        <f>IFERROR(VLOOKUP(DATE($K$1,$K$2,ESX$4),Table1[],(MATCH(Calendar!$A19,DB!$1:$1,0)),FALSE),"")</f>
        <v/>
      </c>
      <c r="ESY19" s="28" t="str">
        <f>IFERROR(VLOOKUP(DATE($K$1,$K$2,ESY$4),Table1[],(MATCH(Calendar!$A19,DB!$1:$1,0)),FALSE),"")</f>
        <v/>
      </c>
      <c r="ESZ19" s="28" t="str">
        <f>IFERROR(VLOOKUP(DATE($K$1,$K$2,ESZ$4),Table1[],(MATCH(Calendar!$A19,DB!$1:$1,0)),FALSE),"")</f>
        <v/>
      </c>
      <c r="ETA19" s="28" t="str">
        <f>IFERROR(VLOOKUP(DATE($K$1,$K$2,ETA$4),Table1[],(MATCH(Calendar!$A19,DB!$1:$1,0)),FALSE),"")</f>
        <v/>
      </c>
      <c r="ETB19" s="28" t="str">
        <f>IFERROR(VLOOKUP(DATE($K$1,$K$2,ETB$4),Table1[],(MATCH(Calendar!$A19,DB!$1:$1,0)),FALSE),"")</f>
        <v/>
      </c>
      <c r="ETC19" s="28" t="str">
        <f>IFERROR(VLOOKUP(DATE($K$1,$K$2,ETC$4),Table1[],(MATCH(Calendar!$A19,DB!$1:$1,0)),FALSE),"")</f>
        <v/>
      </c>
      <c r="ETD19" s="28" t="str">
        <f>IFERROR(VLOOKUP(DATE($K$1,$K$2,ETD$4),Table1[],(MATCH(Calendar!$A19,DB!$1:$1,0)),FALSE),"")</f>
        <v/>
      </c>
      <c r="ETE19" s="28" t="str">
        <f>IFERROR(VLOOKUP(DATE($K$1,$K$2,ETE$4),Table1[],(MATCH(Calendar!$A19,DB!$1:$1,0)),FALSE),"")</f>
        <v/>
      </c>
      <c r="ETF19" s="28" t="str">
        <f>IFERROR(VLOOKUP(DATE($K$1,$K$2,ETF$4),Table1[],(MATCH(Calendar!$A19,DB!$1:$1,0)),FALSE),"")</f>
        <v/>
      </c>
      <c r="ETG19" s="28" t="str">
        <f>IFERROR(VLOOKUP(DATE($K$1,$K$2,ETG$4),Table1[],(MATCH(Calendar!$A19,DB!$1:$1,0)),FALSE),"")</f>
        <v/>
      </c>
      <c r="ETH19" s="28" t="str">
        <f>IFERROR(VLOOKUP(DATE($K$1,$K$2,ETH$4),Table1[],(MATCH(Calendar!$A19,DB!$1:$1,0)),FALSE),"")</f>
        <v/>
      </c>
      <c r="ETI19" s="28" t="str">
        <f>IFERROR(VLOOKUP(DATE($K$1,$K$2,ETI$4),Table1[],(MATCH(Calendar!$A19,DB!$1:$1,0)),FALSE),"")</f>
        <v/>
      </c>
      <c r="ETJ19" s="28" t="str">
        <f>IFERROR(VLOOKUP(DATE($K$1,$K$2,ETJ$4),Table1[],(MATCH(Calendar!$A19,DB!$1:$1,0)),FALSE),"")</f>
        <v/>
      </c>
      <c r="ETK19" s="28" t="str">
        <f>IFERROR(VLOOKUP(DATE($K$1,$K$2,ETK$4),Table1[],(MATCH(Calendar!$A19,DB!$1:$1,0)),FALSE),"")</f>
        <v/>
      </c>
      <c r="ETL19" s="28" t="str">
        <f>IFERROR(VLOOKUP(DATE($K$1,$K$2,ETL$4),Table1[],(MATCH(Calendar!$A19,DB!$1:$1,0)),FALSE),"")</f>
        <v/>
      </c>
      <c r="ETM19" s="28" t="str">
        <f>IFERROR(VLOOKUP(DATE($K$1,$K$2,ETM$4),Table1[],(MATCH(Calendar!$A19,DB!$1:$1,0)),FALSE),"")</f>
        <v/>
      </c>
      <c r="ETN19" s="28" t="str">
        <f>IFERROR(VLOOKUP(DATE($K$1,$K$2,ETN$4),Table1[],(MATCH(Calendar!$A19,DB!$1:$1,0)),FALSE),"")</f>
        <v/>
      </c>
      <c r="ETO19" s="28" t="str">
        <f>IFERROR(VLOOKUP(DATE($K$1,$K$2,ETO$4),Table1[],(MATCH(Calendar!$A19,DB!$1:$1,0)),FALSE),"")</f>
        <v/>
      </c>
      <c r="ETP19" s="28" t="str">
        <f>IFERROR(VLOOKUP(DATE($K$1,$K$2,ETP$4),Table1[],(MATCH(Calendar!$A19,DB!$1:$1,0)),FALSE),"")</f>
        <v/>
      </c>
      <c r="ETQ19" s="28" t="str">
        <f>IFERROR(VLOOKUP(DATE($K$1,$K$2,ETQ$4),Table1[],(MATCH(Calendar!$A19,DB!$1:$1,0)),FALSE),"")</f>
        <v/>
      </c>
      <c r="ETR19" s="28" t="str">
        <f>IFERROR(VLOOKUP(DATE($K$1,$K$2,ETR$4),Table1[],(MATCH(Calendar!$A19,DB!$1:$1,0)),FALSE),"")</f>
        <v/>
      </c>
      <c r="ETS19" s="28" t="str">
        <f>IFERROR(VLOOKUP(DATE($K$1,$K$2,ETS$4),Table1[],(MATCH(Calendar!$A19,DB!$1:$1,0)),FALSE),"")</f>
        <v/>
      </c>
      <c r="ETT19" s="28" t="str">
        <f>IFERROR(VLOOKUP(DATE($K$1,$K$2,ETT$4),Table1[],(MATCH(Calendar!$A19,DB!$1:$1,0)),FALSE),"")</f>
        <v/>
      </c>
      <c r="ETU19" s="28" t="str">
        <f>IFERROR(VLOOKUP(DATE($K$1,$K$2,ETU$4),Table1[],(MATCH(Calendar!$A19,DB!$1:$1,0)),FALSE),"")</f>
        <v/>
      </c>
      <c r="ETV19" s="28" t="str">
        <f>IFERROR(VLOOKUP(DATE($K$1,$K$2,ETV$4),Table1[],(MATCH(Calendar!$A19,DB!$1:$1,0)),FALSE),"")</f>
        <v/>
      </c>
      <c r="ETW19" s="28" t="str">
        <f>IFERROR(VLOOKUP(DATE($K$1,$K$2,ETW$4),Table1[],(MATCH(Calendar!$A19,DB!$1:$1,0)),FALSE),"")</f>
        <v/>
      </c>
      <c r="ETX19" s="28" t="str">
        <f>IFERROR(VLOOKUP(DATE($K$1,$K$2,ETX$4),Table1[],(MATCH(Calendar!$A19,DB!$1:$1,0)),FALSE),"")</f>
        <v/>
      </c>
      <c r="ETY19" s="28" t="str">
        <f>IFERROR(VLOOKUP(DATE($K$1,$K$2,ETY$4),Table1[],(MATCH(Calendar!$A19,DB!$1:$1,0)),FALSE),"")</f>
        <v/>
      </c>
      <c r="ETZ19" s="28" t="str">
        <f>IFERROR(VLOOKUP(DATE($K$1,$K$2,ETZ$4),Table1[],(MATCH(Calendar!$A19,DB!$1:$1,0)),FALSE),"")</f>
        <v/>
      </c>
      <c r="EUA19" s="28" t="str">
        <f>IFERROR(VLOOKUP(DATE($K$1,$K$2,EUA$4),Table1[],(MATCH(Calendar!$A19,DB!$1:$1,0)),FALSE),"")</f>
        <v/>
      </c>
      <c r="EUB19" s="28" t="str">
        <f>IFERROR(VLOOKUP(DATE($K$1,$K$2,EUB$4),Table1[],(MATCH(Calendar!$A19,DB!$1:$1,0)),FALSE),"")</f>
        <v/>
      </c>
      <c r="EUC19" s="28" t="str">
        <f>IFERROR(VLOOKUP(DATE($K$1,$K$2,EUC$4),Table1[],(MATCH(Calendar!$A19,DB!$1:$1,0)),FALSE),"")</f>
        <v/>
      </c>
      <c r="EUD19" s="28" t="str">
        <f>IFERROR(VLOOKUP(DATE($K$1,$K$2,EUD$4),Table1[],(MATCH(Calendar!$A19,DB!$1:$1,0)),FALSE),"")</f>
        <v/>
      </c>
      <c r="EUE19" s="28" t="str">
        <f>IFERROR(VLOOKUP(DATE($K$1,$K$2,EUE$4),Table1[],(MATCH(Calendar!$A19,DB!$1:$1,0)),FALSE),"")</f>
        <v/>
      </c>
      <c r="EUF19" s="28" t="str">
        <f>IFERROR(VLOOKUP(DATE($K$1,$K$2,EUF$4),Table1[],(MATCH(Calendar!$A19,DB!$1:$1,0)),FALSE),"")</f>
        <v/>
      </c>
      <c r="EUG19" s="28" t="str">
        <f>IFERROR(VLOOKUP(DATE($K$1,$K$2,EUG$4),Table1[],(MATCH(Calendar!$A19,DB!$1:$1,0)),FALSE),"")</f>
        <v/>
      </c>
      <c r="EUH19" s="28" t="str">
        <f>IFERROR(VLOOKUP(DATE($K$1,$K$2,EUH$4),Table1[],(MATCH(Calendar!$A19,DB!$1:$1,0)),FALSE),"")</f>
        <v/>
      </c>
      <c r="EUI19" s="28" t="str">
        <f>IFERROR(VLOOKUP(DATE($K$1,$K$2,EUI$4),Table1[],(MATCH(Calendar!$A19,DB!$1:$1,0)),FALSE),"")</f>
        <v/>
      </c>
      <c r="EUJ19" s="28" t="str">
        <f>IFERROR(VLOOKUP(DATE($K$1,$K$2,EUJ$4),Table1[],(MATCH(Calendar!$A19,DB!$1:$1,0)),FALSE),"")</f>
        <v/>
      </c>
      <c r="EUK19" s="28" t="str">
        <f>IFERROR(VLOOKUP(DATE($K$1,$K$2,EUK$4),Table1[],(MATCH(Calendar!$A19,DB!$1:$1,0)),FALSE),"")</f>
        <v/>
      </c>
      <c r="EUL19" s="28" t="str">
        <f>IFERROR(VLOOKUP(DATE($K$1,$K$2,EUL$4),Table1[],(MATCH(Calendar!$A19,DB!$1:$1,0)),FALSE),"")</f>
        <v/>
      </c>
      <c r="EUM19" s="28" t="str">
        <f>IFERROR(VLOOKUP(DATE($K$1,$K$2,EUM$4),Table1[],(MATCH(Calendar!$A19,DB!$1:$1,0)),FALSE),"")</f>
        <v/>
      </c>
      <c r="EUN19" s="28" t="str">
        <f>IFERROR(VLOOKUP(DATE($K$1,$K$2,EUN$4),Table1[],(MATCH(Calendar!$A19,DB!$1:$1,0)),FALSE),"")</f>
        <v/>
      </c>
      <c r="EUO19" s="28" t="str">
        <f>IFERROR(VLOOKUP(DATE($K$1,$K$2,EUO$4),Table1[],(MATCH(Calendar!$A19,DB!$1:$1,0)),FALSE),"")</f>
        <v/>
      </c>
      <c r="EUP19" s="28" t="str">
        <f>IFERROR(VLOOKUP(DATE($K$1,$K$2,EUP$4),Table1[],(MATCH(Calendar!$A19,DB!$1:$1,0)),FALSE),"")</f>
        <v/>
      </c>
      <c r="EUQ19" s="28" t="str">
        <f>IFERROR(VLOOKUP(DATE($K$1,$K$2,EUQ$4),Table1[],(MATCH(Calendar!$A19,DB!$1:$1,0)),FALSE),"")</f>
        <v/>
      </c>
      <c r="EUR19" s="28" t="str">
        <f>IFERROR(VLOOKUP(DATE($K$1,$K$2,EUR$4),Table1[],(MATCH(Calendar!$A19,DB!$1:$1,0)),FALSE),"")</f>
        <v/>
      </c>
      <c r="EUS19" s="28" t="str">
        <f>IFERROR(VLOOKUP(DATE($K$1,$K$2,EUS$4),Table1[],(MATCH(Calendar!$A19,DB!$1:$1,0)),FALSE),"")</f>
        <v/>
      </c>
      <c r="EUT19" s="28" t="str">
        <f>IFERROR(VLOOKUP(DATE($K$1,$K$2,EUT$4),Table1[],(MATCH(Calendar!$A19,DB!$1:$1,0)),FALSE),"")</f>
        <v/>
      </c>
      <c r="EUU19" s="28" t="str">
        <f>IFERROR(VLOOKUP(DATE($K$1,$K$2,EUU$4),Table1[],(MATCH(Calendar!$A19,DB!$1:$1,0)),FALSE),"")</f>
        <v/>
      </c>
      <c r="EUV19" s="28" t="str">
        <f>IFERROR(VLOOKUP(DATE($K$1,$K$2,EUV$4),Table1[],(MATCH(Calendar!$A19,DB!$1:$1,0)),FALSE),"")</f>
        <v/>
      </c>
      <c r="EUW19" s="28" t="str">
        <f>IFERROR(VLOOKUP(DATE($K$1,$K$2,EUW$4),Table1[],(MATCH(Calendar!$A19,DB!$1:$1,0)),FALSE),"")</f>
        <v/>
      </c>
      <c r="EUX19" s="28" t="str">
        <f>IFERROR(VLOOKUP(DATE($K$1,$K$2,EUX$4),Table1[],(MATCH(Calendar!$A19,DB!$1:$1,0)),FALSE),"")</f>
        <v/>
      </c>
      <c r="EUY19" s="28" t="str">
        <f>IFERROR(VLOOKUP(DATE($K$1,$K$2,EUY$4),Table1[],(MATCH(Calendar!$A19,DB!$1:$1,0)),FALSE),"")</f>
        <v/>
      </c>
      <c r="EUZ19" s="28" t="str">
        <f>IFERROR(VLOOKUP(DATE($K$1,$K$2,EUZ$4),Table1[],(MATCH(Calendar!$A19,DB!$1:$1,0)),FALSE),"")</f>
        <v/>
      </c>
      <c r="EVA19" s="28" t="str">
        <f>IFERROR(VLOOKUP(DATE($K$1,$K$2,EVA$4),Table1[],(MATCH(Calendar!$A19,DB!$1:$1,0)),FALSE),"")</f>
        <v/>
      </c>
      <c r="EVB19" s="28" t="str">
        <f>IFERROR(VLOOKUP(DATE($K$1,$K$2,EVB$4),Table1[],(MATCH(Calendar!$A19,DB!$1:$1,0)),FALSE),"")</f>
        <v/>
      </c>
      <c r="EVC19" s="28" t="str">
        <f>IFERROR(VLOOKUP(DATE($K$1,$K$2,EVC$4),Table1[],(MATCH(Calendar!$A19,DB!$1:$1,0)),FALSE),"")</f>
        <v/>
      </c>
      <c r="EVD19" s="28" t="str">
        <f>IFERROR(VLOOKUP(DATE($K$1,$K$2,EVD$4),Table1[],(MATCH(Calendar!$A19,DB!$1:$1,0)),FALSE),"")</f>
        <v/>
      </c>
      <c r="EVE19" s="28" t="str">
        <f>IFERROR(VLOOKUP(DATE($K$1,$K$2,EVE$4),Table1[],(MATCH(Calendar!$A19,DB!$1:$1,0)),FALSE),"")</f>
        <v/>
      </c>
      <c r="EVF19" s="28" t="str">
        <f>IFERROR(VLOOKUP(DATE($K$1,$K$2,EVF$4),Table1[],(MATCH(Calendar!$A19,DB!$1:$1,0)),FALSE),"")</f>
        <v/>
      </c>
      <c r="EVG19" s="28" t="str">
        <f>IFERROR(VLOOKUP(DATE($K$1,$K$2,EVG$4),Table1[],(MATCH(Calendar!$A19,DB!$1:$1,0)),FALSE),"")</f>
        <v/>
      </c>
      <c r="EVH19" s="28" t="str">
        <f>IFERROR(VLOOKUP(DATE($K$1,$K$2,EVH$4),Table1[],(MATCH(Calendar!$A19,DB!$1:$1,0)),FALSE),"")</f>
        <v/>
      </c>
      <c r="EVI19" s="28" t="str">
        <f>IFERROR(VLOOKUP(DATE($K$1,$K$2,EVI$4),Table1[],(MATCH(Calendar!$A19,DB!$1:$1,0)),FALSE),"")</f>
        <v/>
      </c>
      <c r="EVJ19" s="28" t="str">
        <f>IFERROR(VLOOKUP(DATE($K$1,$K$2,EVJ$4),Table1[],(MATCH(Calendar!$A19,DB!$1:$1,0)),FALSE),"")</f>
        <v/>
      </c>
      <c r="EVK19" s="28" t="str">
        <f>IFERROR(VLOOKUP(DATE($K$1,$K$2,EVK$4),Table1[],(MATCH(Calendar!$A19,DB!$1:$1,0)),FALSE),"")</f>
        <v/>
      </c>
      <c r="EVL19" s="28" t="str">
        <f>IFERROR(VLOOKUP(DATE($K$1,$K$2,EVL$4),Table1[],(MATCH(Calendar!$A19,DB!$1:$1,0)),FALSE),"")</f>
        <v/>
      </c>
      <c r="EVM19" s="28" t="str">
        <f>IFERROR(VLOOKUP(DATE($K$1,$K$2,EVM$4),Table1[],(MATCH(Calendar!$A19,DB!$1:$1,0)),FALSE),"")</f>
        <v/>
      </c>
      <c r="EVN19" s="28" t="str">
        <f>IFERROR(VLOOKUP(DATE($K$1,$K$2,EVN$4),Table1[],(MATCH(Calendar!$A19,DB!$1:$1,0)),FALSE),"")</f>
        <v/>
      </c>
      <c r="EVO19" s="28" t="str">
        <f>IFERROR(VLOOKUP(DATE($K$1,$K$2,EVO$4),Table1[],(MATCH(Calendar!$A19,DB!$1:$1,0)),FALSE),"")</f>
        <v/>
      </c>
      <c r="EVP19" s="28" t="str">
        <f>IFERROR(VLOOKUP(DATE($K$1,$K$2,EVP$4),Table1[],(MATCH(Calendar!$A19,DB!$1:$1,0)),FALSE),"")</f>
        <v/>
      </c>
      <c r="EVQ19" s="28" t="str">
        <f>IFERROR(VLOOKUP(DATE($K$1,$K$2,EVQ$4),Table1[],(MATCH(Calendar!$A19,DB!$1:$1,0)),FALSE),"")</f>
        <v/>
      </c>
      <c r="EVR19" s="28" t="str">
        <f>IFERROR(VLOOKUP(DATE($K$1,$K$2,EVR$4),Table1[],(MATCH(Calendar!$A19,DB!$1:$1,0)),FALSE),"")</f>
        <v/>
      </c>
      <c r="EVS19" s="28" t="str">
        <f>IFERROR(VLOOKUP(DATE($K$1,$K$2,EVS$4),Table1[],(MATCH(Calendar!$A19,DB!$1:$1,0)),FALSE),"")</f>
        <v/>
      </c>
      <c r="EVT19" s="28" t="str">
        <f>IFERROR(VLOOKUP(DATE($K$1,$K$2,EVT$4),Table1[],(MATCH(Calendar!$A19,DB!$1:$1,0)),FALSE),"")</f>
        <v/>
      </c>
      <c r="EVU19" s="28" t="str">
        <f>IFERROR(VLOOKUP(DATE($K$1,$K$2,EVU$4),Table1[],(MATCH(Calendar!$A19,DB!$1:$1,0)),FALSE),"")</f>
        <v/>
      </c>
      <c r="EVV19" s="28" t="str">
        <f>IFERROR(VLOOKUP(DATE($K$1,$K$2,EVV$4),Table1[],(MATCH(Calendar!$A19,DB!$1:$1,0)),FALSE),"")</f>
        <v/>
      </c>
      <c r="EVW19" s="28" t="str">
        <f>IFERROR(VLOOKUP(DATE($K$1,$K$2,EVW$4),Table1[],(MATCH(Calendar!$A19,DB!$1:$1,0)),FALSE),"")</f>
        <v/>
      </c>
      <c r="EVX19" s="28" t="str">
        <f>IFERROR(VLOOKUP(DATE($K$1,$K$2,EVX$4),Table1[],(MATCH(Calendar!$A19,DB!$1:$1,0)),FALSE),"")</f>
        <v/>
      </c>
      <c r="EVY19" s="28" t="str">
        <f>IFERROR(VLOOKUP(DATE($K$1,$K$2,EVY$4),Table1[],(MATCH(Calendar!$A19,DB!$1:$1,0)),FALSE),"")</f>
        <v/>
      </c>
      <c r="EVZ19" s="28" t="str">
        <f>IFERROR(VLOOKUP(DATE($K$1,$K$2,EVZ$4),Table1[],(MATCH(Calendar!$A19,DB!$1:$1,0)),FALSE),"")</f>
        <v/>
      </c>
      <c r="EWA19" s="28" t="str">
        <f>IFERROR(VLOOKUP(DATE($K$1,$K$2,EWA$4),Table1[],(MATCH(Calendar!$A19,DB!$1:$1,0)),FALSE),"")</f>
        <v/>
      </c>
      <c r="EWB19" s="28" t="str">
        <f>IFERROR(VLOOKUP(DATE($K$1,$K$2,EWB$4),Table1[],(MATCH(Calendar!$A19,DB!$1:$1,0)),FALSE),"")</f>
        <v/>
      </c>
      <c r="EWC19" s="28" t="str">
        <f>IFERROR(VLOOKUP(DATE($K$1,$K$2,EWC$4),Table1[],(MATCH(Calendar!$A19,DB!$1:$1,0)),FALSE),"")</f>
        <v/>
      </c>
      <c r="EWD19" s="28" t="str">
        <f>IFERROR(VLOOKUP(DATE($K$1,$K$2,EWD$4),Table1[],(MATCH(Calendar!$A19,DB!$1:$1,0)),FALSE),"")</f>
        <v/>
      </c>
      <c r="EWE19" s="28" t="str">
        <f>IFERROR(VLOOKUP(DATE($K$1,$K$2,EWE$4),Table1[],(MATCH(Calendar!$A19,DB!$1:$1,0)),FALSE),"")</f>
        <v/>
      </c>
      <c r="EWF19" s="28" t="str">
        <f>IFERROR(VLOOKUP(DATE($K$1,$K$2,EWF$4),Table1[],(MATCH(Calendar!$A19,DB!$1:$1,0)),FALSE),"")</f>
        <v/>
      </c>
      <c r="EWG19" s="28" t="str">
        <f>IFERROR(VLOOKUP(DATE($K$1,$K$2,EWG$4),Table1[],(MATCH(Calendar!$A19,DB!$1:$1,0)),FALSE),"")</f>
        <v/>
      </c>
      <c r="EWH19" s="28" t="str">
        <f>IFERROR(VLOOKUP(DATE($K$1,$K$2,EWH$4),Table1[],(MATCH(Calendar!$A19,DB!$1:$1,0)),FALSE),"")</f>
        <v/>
      </c>
      <c r="EWI19" s="28" t="str">
        <f>IFERROR(VLOOKUP(DATE($K$1,$K$2,EWI$4),Table1[],(MATCH(Calendar!$A19,DB!$1:$1,0)),FALSE),"")</f>
        <v/>
      </c>
      <c r="EWJ19" s="28" t="str">
        <f>IFERROR(VLOOKUP(DATE($K$1,$K$2,EWJ$4),Table1[],(MATCH(Calendar!$A19,DB!$1:$1,0)),FALSE),"")</f>
        <v/>
      </c>
      <c r="EWK19" s="28" t="str">
        <f>IFERROR(VLOOKUP(DATE($K$1,$K$2,EWK$4),Table1[],(MATCH(Calendar!$A19,DB!$1:$1,0)),FALSE),"")</f>
        <v/>
      </c>
      <c r="EWL19" s="28" t="str">
        <f>IFERROR(VLOOKUP(DATE($K$1,$K$2,EWL$4),Table1[],(MATCH(Calendar!$A19,DB!$1:$1,0)),FALSE),"")</f>
        <v/>
      </c>
      <c r="EWM19" s="28" t="str">
        <f>IFERROR(VLOOKUP(DATE($K$1,$K$2,EWM$4),Table1[],(MATCH(Calendar!$A19,DB!$1:$1,0)),FALSE),"")</f>
        <v/>
      </c>
      <c r="EWN19" s="28" t="str">
        <f>IFERROR(VLOOKUP(DATE($K$1,$K$2,EWN$4),Table1[],(MATCH(Calendar!$A19,DB!$1:$1,0)),FALSE),"")</f>
        <v/>
      </c>
      <c r="EWO19" s="28" t="str">
        <f>IFERROR(VLOOKUP(DATE($K$1,$K$2,EWO$4),Table1[],(MATCH(Calendar!$A19,DB!$1:$1,0)),FALSE),"")</f>
        <v/>
      </c>
      <c r="EWP19" s="28" t="str">
        <f>IFERROR(VLOOKUP(DATE($K$1,$K$2,EWP$4),Table1[],(MATCH(Calendar!$A19,DB!$1:$1,0)),FALSE),"")</f>
        <v/>
      </c>
      <c r="EWQ19" s="28" t="str">
        <f>IFERROR(VLOOKUP(DATE($K$1,$K$2,EWQ$4),Table1[],(MATCH(Calendar!$A19,DB!$1:$1,0)),FALSE),"")</f>
        <v/>
      </c>
      <c r="EWR19" s="28" t="str">
        <f>IFERROR(VLOOKUP(DATE($K$1,$K$2,EWR$4),Table1[],(MATCH(Calendar!$A19,DB!$1:$1,0)),FALSE),"")</f>
        <v/>
      </c>
      <c r="EWS19" s="28" t="str">
        <f>IFERROR(VLOOKUP(DATE($K$1,$K$2,EWS$4),Table1[],(MATCH(Calendar!$A19,DB!$1:$1,0)),FALSE),"")</f>
        <v/>
      </c>
      <c r="EWT19" s="28" t="str">
        <f>IFERROR(VLOOKUP(DATE($K$1,$K$2,EWT$4),Table1[],(MATCH(Calendar!$A19,DB!$1:$1,0)),FALSE),"")</f>
        <v/>
      </c>
      <c r="EWU19" s="28" t="str">
        <f>IFERROR(VLOOKUP(DATE($K$1,$K$2,EWU$4),Table1[],(MATCH(Calendar!$A19,DB!$1:$1,0)),FALSE),"")</f>
        <v/>
      </c>
      <c r="EWV19" s="28" t="str">
        <f>IFERROR(VLOOKUP(DATE($K$1,$K$2,EWV$4),Table1[],(MATCH(Calendar!$A19,DB!$1:$1,0)),FALSE),"")</f>
        <v/>
      </c>
      <c r="EWW19" s="28" t="str">
        <f>IFERROR(VLOOKUP(DATE($K$1,$K$2,EWW$4),Table1[],(MATCH(Calendar!$A19,DB!$1:$1,0)),FALSE),"")</f>
        <v/>
      </c>
      <c r="EWX19" s="28" t="str">
        <f>IFERROR(VLOOKUP(DATE($K$1,$K$2,EWX$4),Table1[],(MATCH(Calendar!$A19,DB!$1:$1,0)),FALSE),"")</f>
        <v/>
      </c>
      <c r="EWY19" s="28" t="str">
        <f>IFERROR(VLOOKUP(DATE($K$1,$K$2,EWY$4),Table1[],(MATCH(Calendar!$A19,DB!$1:$1,0)),FALSE),"")</f>
        <v/>
      </c>
      <c r="EWZ19" s="28" t="str">
        <f>IFERROR(VLOOKUP(DATE($K$1,$K$2,EWZ$4),Table1[],(MATCH(Calendar!$A19,DB!$1:$1,0)),FALSE),"")</f>
        <v/>
      </c>
      <c r="EXA19" s="28" t="str">
        <f>IFERROR(VLOOKUP(DATE($K$1,$K$2,EXA$4),Table1[],(MATCH(Calendar!$A19,DB!$1:$1,0)),FALSE),"")</f>
        <v/>
      </c>
      <c r="EXB19" s="28" t="str">
        <f>IFERROR(VLOOKUP(DATE($K$1,$K$2,EXB$4),Table1[],(MATCH(Calendar!$A19,DB!$1:$1,0)),FALSE),"")</f>
        <v/>
      </c>
      <c r="EXC19" s="28" t="str">
        <f>IFERROR(VLOOKUP(DATE($K$1,$K$2,EXC$4),Table1[],(MATCH(Calendar!$A19,DB!$1:$1,0)),FALSE),"")</f>
        <v/>
      </c>
      <c r="EXD19" s="28" t="str">
        <f>IFERROR(VLOOKUP(DATE($K$1,$K$2,EXD$4),Table1[],(MATCH(Calendar!$A19,DB!$1:$1,0)),FALSE),"")</f>
        <v/>
      </c>
      <c r="EXE19" s="28" t="str">
        <f>IFERROR(VLOOKUP(DATE($K$1,$K$2,EXE$4),Table1[],(MATCH(Calendar!$A19,DB!$1:$1,0)),FALSE),"")</f>
        <v/>
      </c>
      <c r="EXF19" s="28" t="str">
        <f>IFERROR(VLOOKUP(DATE($K$1,$K$2,EXF$4),Table1[],(MATCH(Calendar!$A19,DB!$1:$1,0)),FALSE),"")</f>
        <v/>
      </c>
      <c r="EXG19" s="28" t="str">
        <f>IFERROR(VLOOKUP(DATE($K$1,$K$2,EXG$4),Table1[],(MATCH(Calendar!$A19,DB!$1:$1,0)),FALSE),"")</f>
        <v/>
      </c>
      <c r="EXH19" s="28" t="str">
        <f>IFERROR(VLOOKUP(DATE($K$1,$K$2,EXH$4),Table1[],(MATCH(Calendar!$A19,DB!$1:$1,0)),FALSE),"")</f>
        <v/>
      </c>
      <c r="EXI19" s="28" t="str">
        <f>IFERROR(VLOOKUP(DATE($K$1,$K$2,EXI$4),Table1[],(MATCH(Calendar!$A19,DB!$1:$1,0)),FALSE),"")</f>
        <v/>
      </c>
      <c r="EXJ19" s="28" t="str">
        <f>IFERROR(VLOOKUP(DATE($K$1,$K$2,EXJ$4),Table1[],(MATCH(Calendar!$A19,DB!$1:$1,0)),FALSE),"")</f>
        <v/>
      </c>
      <c r="EXK19" s="28" t="str">
        <f>IFERROR(VLOOKUP(DATE($K$1,$K$2,EXK$4),Table1[],(MATCH(Calendar!$A19,DB!$1:$1,0)),FALSE),"")</f>
        <v/>
      </c>
      <c r="EXL19" s="28" t="str">
        <f>IFERROR(VLOOKUP(DATE($K$1,$K$2,EXL$4),Table1[],(MATCH(Calendar!$A19,DB!$1:$1,0)),FALSE),"")</f>
        <v/>
      </c>
      <c r="EXM19" s="28" t="str">
        <f>IFERROR(VLOOKUP(DATE($K$1,$K$2,EXM$4),Table1[],(MATCH(Calendar!$A19,DB!$1:$1,0)),FALSE),"")</f>
        <v/>
      </c>
      <c r="EXN19" s="28" t="str">
        <f>IFERROR(VLOOKUP(DATE($K$1,$K$2,EXN$4),Table1[],(MATCH(Calendar!$A19,DB!$1:$1,0)),FALSE),"")</f>
        <v/>
      </c>
      <c r="EXO19" s="28" t="str">
        <f>IFERROR(VLOOKUP(DATE($K$1,$K$2,EXO$4),Table1[],(MATCH(Calendar!$A19,DB!$1:$1,0)),FALSE),"")</f>
        <v/>
      </c>
      <c r="EXP19" s="28" t="str">
        <f>IFERROR(VLOOKUP(DATE($K$1,$K$2,EXP$4),Table1[],(MATCH(Calendar!$A19,DB!$1:$1,0)),FALSE),"")</f>
        <v/>
      </c>
      <c r="EXQ19" s="28" t="str">
        <f>IFERROR(VLOOKUP(DATE($K$1,$K$2,EXQ$4),Table1[],(MATCH(Calendar!$A19,DB!$1:$1,0)),FALSE),"")</f>
        <v/>
      </c>
      <c r="EXR19" s="28" t="str">
        <f>IFERROR(VLOOKUP(DATE($K$1,$K$2,EXR$4),Table1[],(MATCH(Calendar!$A19,DB!$1:$1,0)),FALSE),"")</f>
        <v/>
      </c>
      <c r="EXS19" s="28" t="str">
        <f>IFERROR(VLOOKUP(DATE($K$1,$K$2,EXS$4),Table1[],(MATCH(Calendar!$A19,DB!$1:$1,0)),FALSE),"")</f>
        <v/>
      </c>
      <c r="EXT19" s="28" t="str">
        <f>IFERROR(VLOOKUP(DATE($K$1,$K$2,EXT$4),Table1[],(MATCH(Calendar!$A19,DB!$1:$1,0)),FALSE),"")</f>
        <v/>
      </c>
      <c r="EXU19" s="28" t="str">
        <f>IFERROR(VLOOKUP(DATE($K$1,$K$2,EXU$4),Table1[],(MATCH(Calendar!$A19,DB!$1:$1,0)),FALSE),"")</f>
        <v/>
      </c>
      <c r="EXV19" s="28" t="str">
        <f>IFERROR(VLOOKUP(DATE($K$1,$K$2,EXV$4),Table1[],(MATCH(Calendar!$A19,DB!$1:$1,0)),FALSE),"")</f>
        <v/>
      </c>
      <c r="EXW19" s="28" t="str">
        <f>IFERROR(VLOOKUP(DATE($K$1,$K$2,EXW$4),Table1[],(MATCH(Calendar!$A19,DB!$1:$1,0)),FALSE),"")</f>
        <v/>
      </c>
      <c r="EXX19" s="28" t="str">
        <f>IFERROR(VLOOKUP(DATE($K$1,$K$2,EXX$4),Table1[],(MATCH(Calendar!$A19,DB!$1:$1,0)),FALSE),"")</f>
        <v/>
      </c>
      <c r="EXY19" s="28" t="str">
        <f>IFERROR(VLOOKUP(DATE($K$1,$K$2,EXY$4),Table1[],(MATCH(Calendar!$A19,DB!$1:$1,0)),FALSE),"")</f>
        <v/>
      </c>
      <c r="EXZ19" s="28" t="str">
        <f>IFERROR(VLOOKUP(DATE($K$1,$K$2,EXZ$4),Table1[],(MATCH(Calendar!$A19,DB!$1:$1,0)),FALSE),"")</f>
        <v/>
      </c>
      <c r="EYA19" s="28" t="str">
        <f>IFERROR(VLOOKUP(DATE($K$1,$K$2,EYA$4),Table1[],(MATCH(Calendar!$A19,DB!$1:$1,0)),FALSE),"")</f>
        <v/>
      </c>
      <c r="EYB19" s="28" t="str">
        <f>IFERROR(VLOOKUP(DATE($K$1,$K$2,EYB$4),Table1[],(MATCH(Calendar!$A19,DB!$1:$1,0)),FALSE),"")</f>
        <v/>
      </c>
      <c r="EYC19" s="28" t="str">
        <f>IFERROR(VLOOKUP(DATE($K$1,$K$2,EYC$4),Table1[],(MATCH(Calendar!$A19,DB!$1:$1,0)),FALSE),"")</f>
        <v/>
      </c>
      <c r="EYD19" s="28" t="str">
        <f>IFERROR(VLOOKUP(DATE($K$1,$K$2,EYD$4),Table1[],(MATCH(Calendar!$A19,DB!$1:$1,0)),FALSE),"")</f>
        <v/>
      </c>
      <c r="EYE19" s="28" t="str">
        <f>IFERROR(VLOOKUP(DATE($K$1,$K$2,EYE$4),Table1[],(MATCH(Calendar!$A19,DB!$1:$1,0)),FALSE),"")</f>
        <v/>
      </c>
      <c r="EYF19" s="28" t="str">
        <f>IFERROR(VLOOKUP(DATE($K$1,$K$2,EYF$4),Table1[],(MATCH(Calendar!$A19,DB!$1:$1,0)),FALSE),"")</f>
        <v/>
      </c>
      <c r="EYG19" s="28" t="str">
        <f>IFERROR(VLOOKUP(DATE($K$1,$K$2,EYG$4),Table1[],(MATCH(Calendar!$A19,DB!$1:$1,0)),FALSE),"")</f>
        <v/>
      </c>
      <c r="EYH19" s="28" t="str">
        <f>IFERROR(VLOOKUP(DATE($K$1,$K$2,EYH$4),Table1[],(MATCH(Calendar!$A19,DB!$1:$1,0)),FALSE),"")</f>
        <v/>
      </c>
      <c r="EYI19" s="28" t="str">
        <f>IFERROR(VLOOKUP(DATE($K$1,$K$2,EYI$4),Table1[],(MATCH(Calendar!$A19,DB!$1:$1,0)),FALSE),"")</f>
        <v/>
      </c>
      <c r="EYJ19" s="28" t="str">
        <f>IFERROR(VLOOKUP(DATE($K$1,$K$2,EYJ$4),Table1[],(MATCH(Calendar!$A19,DB!$1:$1,0)),FALSE),"")</f>
        <v/>
      </c>
      <c r="EYK19" s="28" t="str">
        <f>IFERROR(VLOOKUP(DATE($K$1,$K$2,EYK$4),Table1[],(MATCH(Calendar!$A19,DB!$1:$1,0)),FALSE),"")</f>
        <v/>
      </c>
      <c r="EYL19" s="28" t="str">
        <f>IFERROR(VLOOKUP(DATE($K$1,$K$2,EYL$4),Table1[],(MATCH(Calendar!$A19,DB!$1:$1,0)),FALSE),"")</f>
        <v/>
      </c>
      <c r="EYM19" s="28" t="str">
        <f>IFERROR(VLOOKUP(DATE($K$1,$K$2,EYM$4),Table1[],(MATCH(Calendar!$A19,DB!$1:$1,0)),FALSE),"")</f>
        <v/>
      </c>
      <c r="EYN19" s="28" t="str">
        <f>IFERROR(VLOOKUP(DATE($K$1,$K$2,EYN$4),Table1[],(MATCH(Calendar!$A19,DB!$1:$1,0)),FALSE),"")</f>
        <v/>
      </c>
      <c r="EYO19" s="28" t="str">
        <f>IFERROR(VLOOKUP(DATE($K$1,$K$2,EYO$4),Table1[],(MATCH(Calendar!$A19,DB!$1:$1,0)),FALSE),"")</f>
        <v/>
      </c>
      <c r="EYP19" s="28" t="str">
        <f>IFERROR(VLOOKUP(DATE($K$1,$K$2,EYP$4),Table1[],(MATCH(Calendar!$A19,DB!$1:$1,0)),FALSE),"")</f>
        <v/>
      </c>
      <c r="EYQ19" s="28" t="str">
        <f>IFERROR(VLOOKUP(DATE($K$1,$K$2,EYQ$4),Table1[],(MATCH(Calendar!$A19,DB!$1:$1,0)),FALSE),"")</f>
        <v/>
      </c>
      <c r="EYR19" s="28" t="str">
        <f>IFERROR(VLOOKUP(DATE($K$1,$K$2,EYR$4),Table1[],(MATCH(Calendar!$A19,DB!$1:$1,0)),FALSE),"")</f>
        <v/>
      </c>
      <c r="EYS19" s="28" t="str">
        <f>IFERROR(VLOOKUP(DATE($K$1,$K$2,EYS$4),Table1[],(MATCH(Calendar!$A19,DB!$1:$1,0)),FALSE),"")</f>
        <v/>
      </c>
      <c r="EYT19" s="28" t="str">
        <f>IFERROR(VLOOKUP(DATE($K$1,$K$2,EYT$4),Table1[],(MATCH(Calendar!$A19,DB!$1:$1,0)),FALSE),"")</f>
        <v/>
      </c>
      <c r="EYU19" s="28" t="str">
        <f>IFERROR(VLOOKUP(DATE($K$1,$K$2,EYU$4),Table1[],(MATCH(Calendar!$A19,DB!$1:$1,0)),FALSE),"")</f>
        <v/>
      </c>
      <c r="EYV19" s="28" t="str">
        <f>IFERROR(VLOOKUP(DATE($K$1,$K$2,EYV$4),Table1[],(MATCH(Calendar!$A19,DB!$1:$1,0)),FALSE),"")</f>
        <v/>
      </c>
      <c r="EYW19" s="28" t="str">
        <f>IFERROR(VLOOKUP(DATE($K$1,$K$2,EYW$4),Table1[],(MATCH(Calendar!$A19,DB!$1:$1,0)),FALSE),"")</f>
        <v/>
      </c>
      <c r="EYX19" s="28" t="str">
        <f>IFERROR(VLOOKUP(DATE($K$1,$K$2,EYX$4),Table1[],(MATCH(Calendar!$A19,DB!$1:$1,0)),FALSE),"")</f>
        <v/>
      </c>
      <c r="EYY19" s="28" t="str">
        <f>IFERROR(VLOOKUP(DATE($K$1,$K$2,EYY$4),Table1[],(MATCH(Calendar!$A19,DB!$1:$1,0)),FALSE),"")</f>
        <v/>
      </c>
      <c r="EYZ19" s="28" t="str">
        <f>IFERROR(VLOOKUP(DATE($K$1,$K$2,EYZ$4),Table1[],(MATCH(Calendar!$A19,DB!$1:$1,0)),FALSE),"")</f>
        <v/>
      </c>
      <c r="EZA19" s="28" t="str">
        <f>IFERROR(VLOOKUP(DATE($K$1,$K$2,EZA$4),Table1[],(MATCH(Calendar!$A19,DB!$1:$1,0)),FALSE),"")</f>
        <v/>
      </c>
      <c r="EZB19" s="28" t="str">
        <f>IFERROR(VLOOKUP(DATE($K$1,$K$2,EZB$4),Table1[],(MATCH(Calendar!$A19,DB!$1:$1,0)),FALSE),"")</f>
        <v/>
      </c>
      <c r="EZC19" s="28" t="str">
        <f>IFERROR(VLOOKUP(DATE($K$1,$K$2,EZC$4),Table1[],(MATCH(Calendar!$A19,DB!$1:$1,0)),FALSE),"")</f>
        <v/>
      </c>
      <c r="EZD19" s="28" t="str">
        <f>IFERROR(VLOOKUP(DATE($K$1,$K$2,EZD$4),Table1[],(MATCH(Calendar!$A19,DB!$1:$1,0)),FALSE),"")</f>
        <v/>
      </c>
      <c r="EZE19" s="28" t="str">
        <f>IFERROR(VLOOKUP(DATE($K$1,$K$2,EZE$4),Table1[],(MATCH(Calendar!$A19,DB!$1:$1,0)),FALSE),"")</f>
        <v/>
      </c>
      <c r="EZF19" s="28" t="str">
        <f>IFERROR(VLOOKUP(DATE($K$1,$K$2,EZF$4),Table1[],(MATCH(Calendar!$A19,DB!$1:$1,0)),FALSE),"")</f>
        <v/>
      </c>
      <c r="EZG19" s="28" t="str">
        <f>IFERROR(VLOOKUP(DATE($K$1,$K$2,EZG$4),Table1[],(MATCH(Calendar!$A19,DB!$1:$1,0)),FALSE),"")</f>
        <v/>
      </c>
      <c r="EZH19" s="28" t="str">
        <f>IFERROR(VLOOKUP(DATE($K$1,$K$2,EZH$4),Table1[],(MATCH(Calendar!$A19,DB!$1:$1,0)),FALSE),"")</f>
        <v/>
      </c>
      <c r="EZI19" s="28" t="str">
        <f>IFERROR(VLOOKUP(DATE($K$1,$K$2,EZI$4),Table1[],(MATCH(Calendar!$A19,DB!$1:$1,0)),FALSE),"")</f>
        <v/>
      </c>
      <c r="EZJ19" s="28" t="str">
        <f>IFERROR(VLOOKUP(DATE($K$1,$K$2,EZJ$4),Table1[],(MATCH(Calendar!$A19,DB!$1:$1,0)),FALSE),"")</f>
        <v/>
      </c>
      <c r="EZK19" s="28" t="str">
        <f>IFERROR(VLOOKUP(DATE($K$1,$K$2,EZK$4),Table1[],(MATCH(Calendar!$A19,DB!$1:$1,0)),FALSE),"")</f>
        <v/>
      </c>
      <c r="EZL19" s="28" t="str">
        <f>IFERROR(VLOOKUP(DATE($K$1,$K$2,EZL$4),Table1[],(MATCH(Calendar!$A19,DB!$1:$1,0)),FALSE),"")</f>
        <v/>
      </c>
      <c r="EZM19" s="28" t="str">
        <f>IFERROR(VLOOKUP(DATE($K$1,$K$2,EZM$4),Table1[],(MATCH(Calendar!$A19,DB!$1:$1,0)),FALSE),"")</f>
        <v/>
      </c>
      <c r="EZN19" s="28" t="str">
        <f>IFERROR(VLOOKUP(DATE($K$1,$K$2,EZN$4),Table1[],(MATCH(Calendar!$A19,DB!$1:$1,0)),FALSE),"")</f>
        <v/>
      </c>
      <c r="EZO19" s="28" t="str">
        <f>IFERROR(VLOOKUP(DATE($K$1,$K$2,EZO$4),Table1[],(MATCH(Calendar!$A19,DB!$1:$1,0)),FALSE),"")</f>
        <v/>
      </c>
      <c r="EZP19" s="28" t="str">
        <f>IFERROR(VLOOKUP(DATE($K$1,$K$2,EZP$4),Table1[],(MATCH(Calendar!$A19,DB!$1:$1,0)),FALSE),"")</f>
        <v/>
      </c>
      <c r="EZQ19" s="28" t="str">
        <f>IFERROR(VLOOKUP(DATE($K$1,$K$2,EZQ$4),Table1[],(MATCH(Calendar!$A19,DB!$1:$1,0)),FALSE),"")</f>
        <v/>
      </c>
      <c r="EZR19" s="28" t="str">
        <f>IFERROR(VLOOKUP(DATE($K$1,$K$2,EZR$4),Table1[],(MATCH(Calendar!$A19,DB!$1:$1,0)),FALSE),"")</f>
        <v/>
      </c>
      <c r="EZS19" s="28" t="str">
        <f>IFERROR(VLOOKUP(DATE($K$1,$K$2,EZS$4),Table1[],(MATCH(Calendar!$A19,DB!$1:$1,0)),FALSE),"")</f>
        <v/>
      </c>
      <c r="EZT19" s="28" t="str">
        <f>IFERROR(VLOOKUP(DATE($K$1,$K$2,EZT$4),Table1[],(MATCH(Calendar!$A19,DB!$1:$1,0)),FALSE),"")</f>
        <v/>
      </c>
      <c r="EZU19" s="28" t="str">
        <f>IFERROR(VLOOKUP(DATE($K$1,$K$2,EZU$4),Table1[],(MATCH(Calendar!$A19,DB!$1:$1,0)),FALSE),"")</f>
        <v/>
      </c>
      <c r="EZV19" s="28" t="str">
        <f>IFERROR(VLOOKUP(DATE($K$1,$K$2,EZV$4),Table1[],(MATCH(Calendar!$A19,DB!$1:$1,0)),FALSE),"")</f>
        <v/>
      </c>
      <c r="EZW19" s="28" t="str">
        <f>IFERROR(VLOOKUP(DATE($K$1,$K$2,EZW$4),Table1[],(MATCH(Calendar!$A19,DB!$1:$1,0)),FALSE),"")</f>
        <v/>
      </c>
      <c r="EZX19" s="28" t="str">
        <f>IFERROR(VLOOKUP(DATE($K$1,$K$2,EZX$4),Table1[],(MATCH(Calendar!$A19,DB!$1:$1,0)),FALSE),"")</f>
        <v/>
      </c>
      <c r="EZY19" s="28" t="str">
        <f>IFERROR(VLOOKUP(DATE($K$1,$K$2,EZY$4),Table1[],(MATCH(Calendar!$A19,DB!$1:$1,0)),FALSE),"")</f>
        <v/>
      </c>
      <c r="EZZ19" s="28" t="str">
        <f>IFERROR(VLOOKUP(DATE($K$1,$K$2,EZZ$4),Table1[],(MATCH(Calendar!$A19,DB!$1:$1,0)),FALSE),"")</f>
        <v/>
      </c>
      <c r="FAA19" s="28" t="str">
        <f>IFERROR(VLOOKUP(DATE($K$1,$K$2,FAA$4),Table1[],(MATCH(Calendar!$A19,DB!$1:$1,0)),FALSE),"")</f>
        <v/>
      </c>
      <c r="FAB19" s="28" t="str">
        <f>IFERROR(VLOOKUP(DATE($K$1,$K$2,FAB$4),Table1[],(MATCH(Calendar!$A19,DB!$1:$1,0)),FALSE),"")</f>
        <v/>
      </c>
      <c r="FAC19" s="28" t="str">
        <f>IFERROR(VLOOKUP(DATE($K$1,$K$2,FAC$4),Table1[],(MATCH(Calendar!$A19,DB!$1:$1,0)),FALSE),"")</f>
        <v/>
      </c>
      <c r="FAD19" s="28" t="str">
        <f>IFERROR(VLOOKUP(DATE($K$1,$K$2,FAD$4),Table1[],(MATCH(Calendar!$A19,DB!$1:$1,0)),FALSE),"")</f>
        <v/>
      </c>
      <c r="FAE19" s="28" t="str">
        <f>IFERROR(VLOOKUP(DATE($K$1,$K$2,FAE$4),Table1[],(MATCH(Calendar!$A19,DB!$1:$1,0)),FALSE),"")</f>
        <v/>
      </c>
      <c r="FAF19" s="28" t="str">
        <f>IFERROR(VLOOKUP(DATE($K$1,$K$2,FAF$4),Table1[],(MATCH(Calendar!$A19,DB!$1:$1,0)),FALSE),"")</f>
        <v/>
      </c>
      <c r="FAG19" s="28" t="str">
        <f>IFERROR(VLOOKUP(DATE($K$1,$K$2,FAG$4),Table1[],(MATCH(Calendar!$A19,DB!$1:$1,0)),FALSE),"")</f>
        <v/>
      </c>
      <c r="FAH19" s="28" t="str">
        <f>IFERROR(VLOOKUP(DATE($K$1,$K$2,FAH$4),Table1[],(MATCH(Calendar!$A19,DB!$1:$1,0)),FALSE),"")</f>
        <v/>
      </c>
      <c r="FAI19" s="28" t="str">
        <f>IFERROR(VLOOKUP(DATE($K$1,$K$2,FAI$4),Table1[],(MATCH(Calendar!$A19,DB!$1:$1,0)),FALSE),"")</f>
        <v/>
      </c>
      <c r="FAJ19" s="28" t="str">
        <f>IFERROR(VLOOKUP(DATE($K$1,$K$2,FAJ$4),Table1[],(MATCH(Calendar!$A19,DB!$1:$1,0)),FALSE),"")</f>
        <v/>
      </c>
      <c r="FAK19" s="28" t="str">
        <f>IFERROR(VLOOKUP(DATE($K$1,$K$2,FAK$4),Table1[],(MATCH(Calendar!$A19,DB!$1:$1,0)),FALSE),"")</f>
        <v/>
      </c>
      <c r="FAL19" s="28" t="str">
        <f>IFERROR(VLOOKUP(DATE($K$1,$K$2,FAL$4),Table1[],(MATCH(Calendar!$A19,DB!$1:$1,0)),FALSE),"")</f>
        <v/>
      </c>
      <c r="FAM19" s="28" t="str">
        <f>IFERROR(VLOOKUP(DATE($K$1,$K$2,FAM$4),Table1[],(MATCH(Calendar!$A19,DB!$1:$1,0)),FALSE),"")</f>
        <v/>
      </c>
      <c r="FAN19" s="28" t="str">
        <f>IFERROR(VLOOKUP(DATE($K$1,$K$2,FAN$4),Table1[],(MATCH(Calendar!$A19,DB!$1:$1,0)),FALSE),"")</f>
        <v/>
      </c>
      <c r="FAO19" s="28" t="str">
        <f>IFERROR(VLOOKUP(DATE($K$1,$K$2,FAO$4),Table1[],(MATCH(Calendar!$A19,DB!$1:$1,0)),FALSE),"")</f>
        <v/>
      </c>
      <c r="FAP19" s="28" t="str">
        <f>IFERROR(VLOOKUP(DATE($K$1,$K$2,FAP$4),Table1[],(MATCH(Calendar!$A19,DB!$1:$1,0)),FALSE),"")</f>
        <v/>
      </c>
      <c r="FAQ19" s="28" t="str">
        <f>IFERROR(VLOOKUP(DATE($K$1,$K$2,FAQ$4),Table1[],(MATCH(Calendar!$A19,DB!$1:$1,0)),FALSE),"")</f>
        <v/>
      </c>
      <c r="FAR19" s="28" t="str">
        <f>IFERROR(VLOOKUP(DATE($K$1,$K$2,FAR$4),Table1[],(MATCH(Calendar!$A19,DB!$1:$1,0)),FALSE),"")</f>
        <v/>
      </c>
      <c r="FAS19" s="28" t="str">
        <f>IFERROR(VLOOKUP(DATE($K$1,$K$2,FAS$4),Table1[],(MATCH(Calendar!$A19,DB!$1:$1,0)),FALSE),"")</f>
        <v/>
      </c>
      <c r="FAT19" s="28" t="str">
        <f>IFERROR(VLOOKUP(DATE($K$1,$K$2,FAT$4),Table1[],(MATCH(Calendar!$A19,DB!$1:$1,0)),FALSE),"")</f>
        <v/>
      </c>
      <c r="FAU19" s="28" t="str">
        <f>IFERROR(VLOOKUP(DATE($K$1,$K$2,FAU$4),Table1[],(MATCH(Calendar!$A19,DB!$1:$1,0)),FALSE),"")</f>
        <v/>
      </c>
      <c r="FAV19" s="28" t="str">
        <f>IFERROR(VLOOKUP(DATE($K$1,$K$2,FAV$4),Table1[],(MATCH(Calendar!$A19,DB!$1:$1,0)),FALSE),"")</f>
        <v/>
      </c>
      <c r="FAW19" s="28" t="str">
        <f>IFERROR(VLOOKUP(DATE($K$1,$K$2,FAW$4),Table1[],(MATCH(Calendar!$A19,DB!$1:$1,0)),FALSE),"")</f>
        <v/>
      </c>
      <c r="FAX19" s="28" t="str">
        <f>IFERROR(VLOOKUP(DATE($K$1,$K$2,FAX$4),Table1[],(MATCH(Calendar!$A19,DB!$1:$1,0)),FALSE),"")</f>
        <v/>
      </c>
      <c r="FAY19" s="28" t="str">
        <f>IFERROR(VLOOKUP(DATE($K$1,$K$2,FAY$4),Table1[],(MATCH(Calendar!$A19,DB!$1:$1,0)),FALSE),"")</f>
        <v/>
      </c>
      <c r="FAZ19" s="28" t="str">
        <f>IFERROR(VLOOKUP(DATE($K$1,$K$2,FAZ$4),Table1[],(MATCH(Calendar!$A19,DB!$1:$1,0)),FALSE),"")</f>
        <v/>
      </c>
      <c r="FBA19" s="28" t="str">
        <f>IFERROR(VLOOKUP(DATE($K$1,$K$2,FBA$4),Table1[],(MATCH(Calendar!$A19,DB!$1:$1,0)),FALSE),"")</f>
        <v/>
      </c>
      <c r="FBB19" s="28" t="str">
        <f>IFERROR(VLOOKUP(DATE($K$1,$K$2,FBB$4),Table1[],(MATCH(Calendar!$A19,DB!$1:$1,0)),FALSE),"")</f>
        <v/>
      </c>
      <c r="FBC19" s="28" t="str">
        <f>IFERROR(VLOOKUP(DATE($K$1,$K$2,FBC$4),Table1[],(MATCH(Calendar!$A19,DB!$1:$1,0)),FALSE),"")</f>
        <v/>
      </c>
      <c r="FBD19" s="28" t="str">
        <f>IFERROR(VLOOKUP(DATE($K$1,$K$2,FBD$4),Table1[],(MATCH(Calendar!$A19,DB!$1:$1,0)),FALSE),"")</f>
        <v/>
      </c>
      <c r="FBE19" s="28" t="str">
        <f>IFERROR(VLOOKUP(DATE($K$1,$K$2,FBE$4),Table1[],(MATCH(Calendar!$A19,DB!$1:$1,0)),FALSE),"")</f>
        <v/>
      </c>
      <c r="FBF19" s="28" t="str">
        <f>IFERROR(VLOOKUP(DATE($K$1,$K$2,FBF$4),Table1[],(MATCH(Calendar!$A19,DB!$1:$1,0)),FALSE),"")</f>
        <v/>
      </c>
      <c r="FBG19" s="28" t="str">
        <f>IFERROR(VLOOKUP(DATE($K$1,$K$2,FBG$4),Table1[],(MATCH(Calendar!$A19,DB!$1:$1,0)),FALSE),"")</f>
        <v/>
      </c>
      <c r="FBH19" s="28" t="str">
        <f>IFERROR(VLOOKUP(DATE($K$1,$K$2,FBH$4),Table1[],(MATCH(Calendar!$A19,DB!$1:$1,0)),FALSE),"")</f>
        <v/>
      </c>
      <c r="FBI19" s="28" t="str">
        <f>IFERROR(VLOOKUP(DATE($K$1,$K$2,FBI$4),Table1[],(MATCH(Calendar!$A19,DB!$1:$1,0)),FALSE),"")</f>
        <v/>
      </c>
      <c r="FBJ19" s="28" t="str">
        <f>IFERROR(VLOOKUP(DATE($K$1,$K$2,FBJ$4),Table1[],(MATCH(Calendar!$A19,DB!$1:$1,0)),FALSE),"")</f>
        <v/>
      </c>
      <c r="FBK19" s="28" t="str">
        <f>IFERROR(VLOOKUP(DATE($K$1,$K$2,FBK$4),Table1[],(MATCH(Calendar!$A19,DB!$1:$1,0)),FALSE),"")</f>
        <v/>
      </c>
      <c r="FBL19" s="28" t="str">
        <f>IFERROR(VLOOKUP(DATE($K$1,$K$2,FBL$4),Table1[],(MATCH(Calendar!$A19,DB!$1:$1,0)),FALSE),"")</f>
        <v/>
      </c>
      <c r="FBM19" s="28" t="str">
        <f>IFERROR(VLOOKUP(DATE($K$1,$K$2,FBM$4),Table1[],(MATCH(Calendar!$A19,DB!$1:$1,0)),FALSE),"")</f>
        <v/>
      </c>
      <c r="FBN19" s="28" t="str">
        <f>IFERROR(VLOOKUP(DATE($K$1,$K$2,FBN$4),Table1[],(MATCH(Calendar!$A19,DB!$1:$1,0)),FALSE),"")</f>
        <v/>
      </c>
      <c r="FBO19" s="28" t="str">
        <f>IFERROR(VLOOKUP(DATE($K$1,$K$2,FBO$4),Table1[],(MATCH(Calendar!$A19,DB!$1:$1,0)),FALSE),"")</f>
        <v/>
      </c>
      <c r="FBP19" s="28" t="str">
        <f>IFERROR(VLOOKUP(DATE($K$1,$K$2,FBP$4),Table1[],(MATCH(Calendar!$A19,DB!$1:$1,0)),FALSE),"")</f>
        <v/>
      </c>
      <c r="FBQ19" s="28" t="str">
        <f>IFERROR(VLOOKUP(DATE($K$1,$K$2,FBQ$4),Table1[],(MATCH(Calendar!$A19,DB!$1:$1,0)),FALSE),"")</f>
        <v/>
      </c>
      <c r="FBR19" s="28" t="str">
        <f>IFERROR(VLOOKUP(DATE($K$1,$K$2,FBR$4),Table1[],(MATCH(Calendar!$A19,DB!$1:$1,0)),FALSE),"")</f>
        <v/>
      </c>
      <c r="FBS19" s="28" t="str">
        <f>IFERROR(VLOOKUP(DATE($K$1,$K$2,FBS$4),Table1[],(MATCH(Calendar!$A19,DB!$1:$1,0)),FALSE),"")</f>
        <v/>
      </c>
      <c r="FBT19" s="28" t="str">
        <f>IFERROR(VLOOKUP(DATE($K$1,$K$2,FBT$4),Table1[],(MATCH(Calendar!$A19,DB!$1:$1,0)),FALSE),"")</f>
        <v/>
      </c>
      <c r="FBU19" s="28" t="str">
        <f>IFERROR(VLOOKUP(DATE($K$1,$K$2,FBU$4),Table1[],(MATCH(Calendar!$A19,DB!$1:$1,0)),FALSE),"")</f>
        <v/>
      </c>
      <c r="FBV19" s="28" t="str">
        <f>IFERROR(VLOOKUP(DATE($K$1,$K$2,FBV$4),Table1[],(MATCH(Calendar!$A19,DB!$1:$1,0)),FALSE),"")</f>
        <v/>
      </c>
      <c r="FBW19" s="28" t="str">
        <f>IFERROR(VLOOKUP(DATE($K$1,$K$2,FBW$4),Table1[],(MATCH(Calendar!$A19,DB!$1:$1,0)),FALSE),"")</f>
        <v/>
      </c>
      <c r="FBX19" s="28" t="str">
        <f>IFERROR(VLOOKUP(DATE($K$1,$K$2,FBX$4),Table1[],(MATCH(Calendar!$A19,DB!$1:$1,0)),FALSE),"")</f>
        <v/>
      </c>
      <c r="FBY19" s="28" t="str">
        <f>IFERROR(VLOOKUP(DATE($K$1,$K$2,FBY$4),Table1[],(MATCH(Calendar!$A19,DB!$1:$1,0)),FALSE),"")</f>
        <v/>
      </c>
      <c r="FBZ19" s="28" t="str">
        <f>IFERROR(VLOOKUP(DATE($K$1,$K$2,FBZ$4),Table1[],(MATCH(Calendar!$A19,DB!$1:$1,0)),FALSE),"")</f>
        <v/>
      </c>
      <c r="FCA19" s="28" t="str">
        <f>IFERROR(VLOOKUP(DATE($K$1,$K$2,FCA$4),Table1[],(MATCH(Calendar!$A19,DB!$1:$1,0)),FALSE),"")</f>
        <v/>
      </c>
      <c r="FCB19" s="28" t="str">
        <f>IFERROR(VLOOKUP(DATE($K$1,$K$2,FCB$4),Table1[],(MATCH(Calendar!$A19,DB!$1:$1,0)),FALSE),"")</f>
        <v/>
      </c>
      <c r="FCC19" s="28" t="str">
        <f>IFERROR(VLOOKUP(DATE($K$1,$K$2,FCC$4),Table1[],(MATCH(Calendar!$A19,DB!$1:$1,0)),FALSE),"")</f>
        <v/>
      </c>
      <c r="FCD19" s="28" t="str">
        <f>IFERROR(VLOOKUP(DATE($K$1,$K$2,FCD$4),Table1[],(MATCH(Calendar!$A19,DB!$1:$1,0)),FALSE),"")</f>
        <v/>
      </c>
      <c r="FCE19" s="28" t="str">
        <f>IFERROR(VLOOKUP(DATE($K$1,$K$2,FCE$4),Table1[],(MATCH(Calendar!$A19,DB!$1:$1,0)),FALSE),"")</f>
        <v/>
      </c>
      <c r="FCF19" s="28" t="str">
        <f>IFERROR(VLOOKUP(DATE($K$1,$K$2,FCF$4),Table1[],(MATCH(Calendar!$A19,DB!$1:$1,0)),FALSE),"")</f>
        <v/>
      </c>
      <c r="FCG19" s="28" t="str">
        <f>IFERROR(VLOOKUP(DATE($K$1,$K$2,FCG$4),Table1[],(MATCH(Calendar!$A19,DB!$1:$1,0)),FALSE),"")</f>
        <v/>
      </c>
      <c r="FCH19" s="28" t="str">
        <f>IFERROR(VLOOKUP(DATE($K$1,$K$2,FCH$4),Table1[],(MATCH(Calendar!$A19,DB!$1:$1,0)),FALSE),"")</f>
        <v/>
      </c>
      <c r="FCI19" s="28" t="str">
        <f>IFERROR(VLOOKUP(DATE($K$1,$K$2,FCI$4),Table1[],(MATCH(Calendar!$A19,DB!$1:$1,0)),FALSE),"")</f>
        <v/>
      </c>
      <c r="FCJ19" s="28" t="str">
        <f>IFERROR(VLOOKUP(DATE($K$1,$K$2,FCJ$4),Table1[],(MATCH(Calendar!$A19,DB!$1:$1,0)),FALSE),"")</f>
        <v/>
      </c>
      <c r="FCK19" s="28" t="str">
        <f>IFERROR(VLOOKUP(DATE($K$1,$K$2,FCK$4),Table1[],(MATCH(Calendar!$A19,DB!$1:$1,0)),FALSE),"")</f>
        <v/>
      </c>
      <c r="FCL19" s="28" t="str">
        <f>IFERROR(VLOOKUP(DATE($K$1,$K$2,FCL$4),Table1[],(MATCH(Calendar!$A19,DB!$1:$1,0)),FALSE),"")</f>
        <v/>
      </c>
      <c r="FCM19" s="28" t="str">
        <f>IFERROR(VLOOKUP(DATE($K$1,$K$2,FCM$4),Table1[],(MATCH(Calendar!$A19,DB!$1:$1,0)),FALSE),"")</f>
        <v/>
      </c>
      <c r="FCN19" s="28" t="str">
        <f>IFERROR(VLOOKUP(DATE($K$1,$K$2,FCN$4),Table1[],(MATCH(Calendar!$A19,DB!$1:$1,0)),FALSE),"")</f>
        <v/>
      </c>
      <c r="FCO19" s="28" t="str">
        <f>IFERROR(VLOOKUP(DATE($K$1,$K$2,FCO$4),Table1[],(MATCH(Calendar!$A19,DB!$1:$1,0)),FALSE),"")</f>
        <v/>
      </c>
      <c r="FCP19" s="28" t="str">
        <f>IFERROR(VLOOKUP(DATE($K$1,$K$2,FCP$4),Table1[],(MATCH(Calendar!$A19,DB!$1:$1,0)),FALSE),"")</f>
        <v/>
      </c>
      <c r="FCQ19" s="28" t="str">
        <f>IFERROR(VLOOKUP(DATE($K$1,$K$2,FCQ$4),Table1[],(MATCH(Calendar!$A19,DB!$1:$1,0)),FALSE),"")</f>
        <v/>
      </c>
      <c r="FCR19" s="28" t="str">
        <f>IFERROR(VLOOKUP(DATE($K$1,$K$2,FCR$4),Table1[],(MATCH(Calendar!$A19,DB!$1:$1,0)),FALSE),"")</f>
        <v/>
      </c>
      <c r="FCS19" s="28" t="str">
        <f>IFERROR(VLOOKUP(DATE($K$1,$K$2,FCS$4),Table1[],(MATCH(Calendar!$A19,DB!$1:$1,0)),FALSE),"")</f>
        <v/>
      </c>
      <c r="FCT19" s="28" t="str">
        <f>IFERROR(VLOOKUP(DATE($K$1,$K$2,FCT$4),Table1[],(MATCH(Calendar!$A19,DB!$1:$1,0)),FALSE),"")</f>
        <v/>
      </c>
      <c r="FCU19" s="28" t="str">
        <f>IFERROR(VLOOKUP(DATE($K$1,$K$2,FCU$4),Table1[],(MATCH(Calendar!$A19,DB!$1:$1,0)),FALSE),"")</f>
        <v/>
      </c>
      <c r="FCV19" s="28" t="str">
        <f>IFERROR(VLOOKUP(DATE($K$1,$K$2,FCV$4),Table1[],(MATCH(Calendar!$A19,DB!$1:$1,0)),FALSE),"")</f>
        <v/>
      </c>
      <c r="FCW19" s="28" t="str">
        <f>IFERROR(VLOOKUP(DATE($K$1,$K$2,FCW$4),Table1[],(MATCH(Calendar!$A19,DB!$1:$1,0)),FALSE),"")</f>
        <v/>
      </c>
      <c r="FCX19" s="28" t="str">
        <f>IFERROR(VLOOKUP(DATE($K$1,$K$2,FCX$4),Table1[],(MATCH(Calendar!$A19,DB!$1:$1,0)),FALSE),"")</f>
        <v/>
      </c>
      <c r="FCY19" s="28" t="str">
        <f>IFERROR(VLOOKUP(DATE($K$1,$K$2,FCY$4),Table1[],(MATCH(Calendar!$A19,DB!$1:$1,0)),FALSE),"")</f>
        <v/>
      </c>
      <c r="FCZ19" s="28" t="str">
        <f>IFERROR(VLOOKUP(DATE($K$1,$K$2,FCZ$4),Table1[],(MATCH(Calendar!$A19,DB!$1:$1,0)),FALSE),"")</f>
        <v/>
      </c>
      <c r="FDA19" s="28" t="str">
        <f>IFERROR(VLOOKUP(DATE($K$1,$K$2,FDA$4),Table1[],(MATCH(Calendar!$A19,DB!$1:$1,0)),FALSE),"")</f>
        <v/>
      </c>
      <c r="FDB19" s="28" t="str">
        <f>IFERROR(VLOOKUP(DATE($K$1,$K$2,FDB$4),Table1[],(MATCH(Calendar!$A19,DB!$1:$1,0)),FALSE),"")</f>
        <v/>
      </c>
      <c r="FDC19" s="28" t="str">
        <f>IFERROR(VLOOKUP(DATE($K$1,$K$2,FDC$4),Table1[],(MATCH(Calendar!$A19,DB!$1:$1,0)),FALSE),"")</f>
        <v/>
      </c>
      <c r="FDD19" s="28" t="str">
        <f>IFERROR(VLOOKUP(DATE($K$1,$K$2,FDD$4),Table1[],(MATCH(Calendar!$A19,DB!$1:$1,0)),FALSE),"")</f>
        <v/>
      </c>
      <c r="FDE19" s="28" t="str">
        <f>IFERROR(VLOOKUP(DATE($K$1,$K$2,FDE$4),Table1[],(MATCH(Calendar!$A19,DB!$1:$1,0)),FALSE),"")</f>
        <v/>
      </c>
      <c r="FDF19" s="28" t="str">
        <f>IFERROR(VLOOKUP(DATE($K$1,$K$2,FDF$4),Table1[],(MATCH(Calendar!$A19,DB!$1:$1,0)),FALSE),"")</f>
        <v/>
      </c>
      <c r="FDG19" s="28" t="str">
        <f>IFERROR(VLOOKUP(DATE($K$1,$K$2,FDG$4),Table1[],(MATCH(Calendar!$A19,DB!$1:$1,0)),FALSE),"")</f>
        <v/>
      </c>
      <c r="FDH19" s="28" t="str">
        <f>IFERROR(VLOOKUP(DATE($K$1,$K$2,FDH$4),Table1[],(MATCH(Calendar!$A19,DB!$1:$1,0)),FALSE),"")</f>
        <v/>
      </c>
      <c r="FDI19" s="28" t="str">
        <f>IFERROR(VLOOKUP(DATE($K$1,$K$2,FDI$4),Table1[],(MATCH(Calendar!$A19,DB!$1:$1,0)),FALSE),"")</f>
        <v/>
      </c>
      <c r="FDJ19" s="28" t="str">
        <f>IFERROR(VLOOKUP(DATE($K$1,$K$2,FDJ$4),Table1[],(MATCH(Calendar!$A19,DB!$1:$1,0)),FALSE),"")</f>
        <v/>
      </c>
      <c r="FDK19" s="28" t="str">
        <f>IFERROR(VLOOKUP(DATE($K$1,$K$2,FDK$4),Table1[],(MATCH(Calendar!$A19,DB!$1:$1,0)),FALSE),"")</f>
        <v/>
      </c>
      <c r="FDL19" s="28" t="str">
        <f>IFERROR(VLOOKUP(DATE($K$1,$K$2,FDL$4),Table1[],(MATCH(Calendar!$A19,DB!$1:$1,0)),FALSE),"")</f>
        <v/>
      </c>
      <c r="FDM19" s="28" t="str">
        <f>IFERROR(VLOOKUP(DATE($K$1,$K$2,FDM$4),Table1[],(MATCH(Calendar!$A19,DB!$1:$1,0)),FALSE),"")</f>
        <v/>
      </c>
      <c r="FDN19" s="28" t="str">
        <f>IFERROR(VLOOKUP(DATE($K$1,$K$2,FDN$4),Table1[],(MATCH(Calendar!$A19,DB!$1:$1,0)),FALSE),"")</f>
        <v/>
      </c>
      <c r="FDO19" s="28" t="str">
        <f>IFERROR(VLOOKUP(DATE($K$1,$K$2,FDO$4),Table1[],(MATCH(Calendar!$A19,DB!$1:$1,0)),FALSE),"")</f>
        <v/>
      </c>
      <c r="FDP19" s="28" t="str">
        <f>IFERROR(VLOOKUP(DATE($K$1,$K$2,FDP$4),Table1[],(MATCH(Calendar!$A19,DB!$1:$1,0)),FALSE),"")</f>
        <v/>
      </c>
      <c r="FDQ19" s="28" t="str">
        <f>IFERROR(VLOOKUP(DATE($K$1,$K$2,FDQ$4),Table1[],(MATCH(Calendar!$A19,DB!$1:$1,0)),FALSE),"")</f>
        <v/>
      </c>
      <c r="FDR19" s="28" t="str">
        <f>IFERROR(VLOOKUP(DATE($K$1,$K$2,FDR$4),Table1[],(MATCH(Calendar!$A19,DB!$1:$1,0)),FALSE),"")</f>
        <v/>
      </c>
      <c r="FDS19" s="28" t="str">
        <f>IFERROR(VLOOKUP(DATE($K$1,$K$2,FDS$4),Table1[],(MATCH(Calendar!$A19,DB!$1:$1,0)),FALSE),"")</f>
        <v/>
      </c>
      <c r="FDT19" s="28" t="str">
        <f>IFERROR(VLOOKUP(DATE($K$1,$K$2,FDT$4),Table1[],(MATCH(Calendar!$A19,DB!$1:$1,0)),FALSE),"")</f>
        <v/>
      </c>
      <c r="FDU19" s="28" t="str">
        <f>IFERROR(VLOOKUP(DATE($K$1,$K$2,FDU$4),Table1[],(MATCH(Calendar!$A19,DB!$1:$1,0)),FALSE),"")</f>
        <v/>
      </c>
      <c r="FDV19" s="28" t="str">
        <f>IFERROR(VLOOKUP(DATE($K$1,$K$2,FDV$4),Table1[],(MATCH(Calendar!$A19,DB!$1:$1,0)),FALSE),"")</f>
        <v/>
      </c>
      <c r="FDW19" s="28" t="str">
        <f>IFERROR(VLOOKUP(DATE($K$1,$K$2,FDW$4),Table1[],(MATCH(Calendar!$A19,DB!$1:$1,0)),FALSE),"")</f>
        <v/>
      </c>
      <c r="FDX19" s="28" t="str">
        <f>IFERROR(VLOOKUP(DATE($K$1,$K$2,FDX$4),Table1[],(MATCH(Calendar!$A19,DB!$1:$1,0)),FALSE),"")</f>
        <v/>
      </c>
      <c r="FDY19" s="28" t="str">
        <f>IFERROR(VLOOKUP(DATE($K$1,$K$2,FDY$4),Table1[],(MATCH(Calendar!$A19,DB!$1:$1,0)),FALSE),"")</f>
        <v/>
      </c>
      <c r="FDZ19" s="28" t="str">
        <f>IFERROR(VLOOKUP(DATE($K$1,$K$2,FDZ$4),Table1[],(MATCH(Calendar!$A19,DB!$1:$1,0)),FALSE),"")</f>
        <v/>
      </c>
      <c r="FEA19" s="28" t="str">
        <f>IFERROR(VLOOKUP(DATE($K$1,$K$2,FEA$4),Table1[],(MATCH(Calendar!$A19,DB!$1:$1,0)),FALSE),"")</f>
        <v/>
      </c>
      <c r="FEB19" s="28" t="str">
        <f>IFERROR(VLOOKUP(DATE($K$1,$K$2,FEB$4),Table1[],(MATCH(Calendar!$A19,DB!$1:$1,0)),FALSE),"")</f>
        <v/>
      </c>
      <c r="FEC19" s="28" t="str">
        <f>IFERROR(VLOOKUP(DATE($K$1,$K$2,FEC$4),Table1[],(MATCH(Calendar!$A19,DB!$1:$1,0)),FALSE),"")</f>
        <v/>
      </c>
      <c r="FED19" s="28" t="str">
        <f>IFERROR(VLOOKUP(DATE($K$1,$K$2,FED$4),Table1[],(MATCH(Calendar!$A19,DB!$1:$1,0)),FALSE),"")</f>
        <v/>
      </c>
      <c r="FEE19" s="28" t="str">
        <f>IFERROR(VLOOKUP(DATE($K$1,$K$2,FEE$4),Table1[],(MATCH(Calendar!$A19,DB!$1:$1,0)),FALSE),"")</f>
        <v/>
      </c>
      <c r="FEF19" s="28" t="str">
        <f>IFERROR(VLOOKUP(DATE($K$1,$K$2,FEF$4),Table1[],(MATCH(Calendar!$A19,DB!$1:$1,0)),FALSE),"")</f>
        <v/>
      </c>
      <c r="FEG19" s="28" t="str">
        <f>IFERROR(VLOOKUP(DATE($K$1,$K$2,FEG$4),Table1[],(MATCH(Calendar!$A19,DB!$1:$1,0)),FALSE),"")</f>
        <v/>
      </c>
      <c r="FEH19" s="28" t="str">
        <f>IFERROR(VLOOKUP(DATE($K$1,$K$2,FEH$4),Table1[],(MATCH(Calendar!$A19,DB!$1:$1,0)),FALSE),"")</f>
        <v/>
      </c>
      <c r="FEI19" s="28" t="str">
        <f>IFERROR(VLOOKUP(DATE($K$1,$K$2,FEI$4),Table1[],(MATCH(Calendar!$A19,DB!$1:$1,0)),FALSE),"")</f>
        <v/>
      </c>
      <c r="FEJ19" s="28" t="str">
        <f>IFERROR(VLOOKUP(DATE($K$1,$K$2,FEJ$4),Table1[],(MATCH(Calendar!$A19,DB!$1:$1,0)),FALSE),"")</f>
        <v/>
      </c>
      <c r="FEK19" s="28" t="str">
        <f>IFERROR(VLOOKUP(DATE($K$1,$K$2,FEK$4),Table1[],(MATCH(Calendar!$A19,DB!$1:$1,0)),FALSE),"")</f>
        <v/>
      </c>
      <c r="FEL19" s="28" t="str">
        <f>IFERROR(VLOOKUP(DATE($K$1,$K$2,FEL$4),Table1[],(MATCH(Calendar!$A19,DB!$1:$1,0)),FALSE),"")</f>
        <v/>
      </c>
      <c r="FEM19" s="28" t="str">
        <f>IFERROR(VLOOKUP(DATE($K$1,$K$2,FEM$4),Table1[],(MATCH(Calendar!$A19,DB!$1:$1,0)),FALSE),"")</f>
        <v/>
      </c>
      <c r="FEN19" s="28" t="str">
        <f>IFERROR(VLOOKUP(DATE($K$1,$K$2,FEN$4),Table1[],(MATCH(Calendar!$A19,DB!$1:$1,0)),FALSE),"")</f>
        <v/>
      </c>
      <c r="FEO19" s="28" t="str">
        <f>IFERROR(VLOOKUP(DATE($K$1,$K$2,FEO$4),Table1[],(MATCH(Calendar!$A19,DB!$1:$1,0)),FALSE),"")</f>
        <v/>
      </c>
      <c r="FEP19" s="28" t="str">
        <f>IFERROR(VLOOKUP(DATE($K$1,$K$2,FEP$4),Table1[],(MATCH(Calendar!$A19,DB!$1:$1,0)),FALSE),"")</f>
        <v/>
      </c>
      <c r="FEQ19" s="28" t="str">
        <f>IFERROR(VLOOKUP(DATE($K$1,$K$2,FEQ$4),Table1[],(MATCH(Calendar!$A19,DB!$1:$1,0)),FALSE),"")</f>
        <v/>
      </c>
      <c r="FER19" s="28" t="str">
        <f>IFERROR(VLOOKUP(DATE($K$1,$K$2,FER$4),Table1[],(MATCH(Calendar!$A19,DB!$1:$1,0)),FALSE),"")</f>
        <v/>
      </c>
      <c r="FES19" s="28" t="str">
        <f>IFERROR(VLOOKUP(DATE($K$1,$K$2,FES$4),Table1[],(MATCH(Calendar!$A19,DB!$1:$1,0)),FALSE),"")</f>
        <v/>
      </c>
      <c r="FET19" s="28" t="str">
        <f>IFERROR(VLOOKUP(DATE($K$1,$K$2,FET$4),Table1[],(MATCH(Calendar!$A19,DB!$1:$1,0)),FALSE),"")</f>
        <v/>
      </c>
      <c r="FEU19" s="28" t="str">
        <f>IFERROR(VLOOKUP(DATE($K$1,$K$2,FEU$4),Table1[],(MATCH(Calendar!$A19,DB!$1:$1,0)),FALSE),"")</f>
        <v/>
      </c>
      <c r="FEV19" s="28" t="str">
        <f>IFERROR(VLOOKUP(DATE($K$1,$K$2,FEV$4),Table1[],(MATCH(Calendar!$A19,DB!$1:$1,0)),FALSE),"")</f>
        <v/>
      </c>
      <c r="FEW19" s="28" t="str">
        <f>IFERROR(VLOOKUP(DATE($K$1,$K$2,FEW$4),Table1[],(MATCH(Calendar!$A19,DB!$1:$1,0)),FALSE),"")</f>
        <v/>
      </c>
      <c r="FEX19" s="28" t="str">
        <f>IFERROR(VLOOKUP(DATE($K$1,$K$2,FEX$4),Table1[],(MATCH(Calendar!$A19,DB!$1:$1,0)),FALSE),"")</f>
        <v/>
      </c>
      <c r="FEY19" s="28" t="str">
        <f>IFERROR(VLOOKUP(DATE($K$1,$K$2,FEY$4),Table1[],(MATCH(Calendar!$A19,DB!$1:$1,0)),FALSE),"")</f>
        <v/>
      </c>
      <c r="FEZ19" s="28" t="str">
        <f>IFERROR(VLOOKUP(DATE($K$1,$K$2,FEZ$4),Table1[],(MATCH(Calendar!$A19,DB!$1:$1,0)),FALSE),"")</f>
        <v/>
      </c>
      <c r="FFA19" s="28" t="str">
        <f>IFERROR(VLOOKUP(DATE($K$1,$K$2,FFA$4),Table1[],(MATCH(Calendar!$A19,DB!$1:$1,0)),FALSE),"")</f>
        <v/>
      </c>
      <c r="FFB19" s="28" t="str">
        <f>IFERROR(VLOOKUP(DATE($K$1,$K$2,FFB$4),Table1[],(MATCH(Calendar!$A19,DB!$1:$1,0)),FALSE),"")</f>
        <v/>
      </c>
      <c r="FFC19" s="28" t="str">
        <f>IFERROR(VLOOKUP(DATE($K$1,$K$2,FFC$4),Table1[],(MATCH(Calendar!$A19,DB!$1:$1,0)),FALSE),"")</f>
        <v/>
      </c>
      <c r="FFD19" s="28" t="str">
        <f>IFERROR(VLOOKUP(DATE($K$1,$K$2,FFD$4),Table1[],(MATCH(Calendar!$A19,DB!$1:$1,0)),FALSE),"")</f>
        <v/>
      </c>
      <c r="FFE19" s="28" t="str">
        <f>IFERROR(VLOOKUP(DATE($K$1,$K$2,FFE$4),Table1[],(MATCH(Calendar!$A19,DB!$1:$1,0)),FALSE),"")</f>
        <v/>
      </c>
      <c r="FFF19" s="28" t="str">
        <f>IFERROR(VLOOKUP(DATE($K$1,$K$2,FFF$4),Table1[],(MATCH(Calendar!$A19,DB!$1:$1,0)),FALSE),"")</f>
        <v/>
      </c>
      <c r="FFG19" s="28" t="str">
        <f>IFERROR(VLOOKUP(DATE($K$1,$K$2,FFG$4),Table1[],(MATCH(Calendar!$A19,DB!$1:$1,0)),FALSE),"")</f>
        <v/>
      </c>
      <c r="FFH19" s="28" t="str">
        <f>IFERROR(VLOOKUP(DATE($K$1,$K$2,FFH$4),Table1[],(MATCH(Calendar!$A19,DB!$1:$1,0)),FALSE),"")</f>
        <v/>
      </c>
      <c r="FFI19" s="28" t="str">
        <f>IFERROR(VLOOKUP(DATE($K$1,$K$2,FFI$4),Table1[],(MATCH(Calendar!$A19,DB!$1:$1,0)),FALSE),"")</f>
        <v/>
      </c>
      <c r="FFJ19" s="28" t="str">
        <f>IFERROR(VLOOKUP(DATE($K$1,$K$2,FFJ$4),Table1[],(MATCH(Calendar!$A19,DB!$1:$1,0)),FALSE),"")</f>
        <v/>
      </c>
      <c r="FFK19" s="28" t="str">
        <f>IFERROR(VLOOKUP(DATE($K$1,$K$2,FFK$4),Table1[],(MATCH(Calendar!$A19,DB!$1:$1,0)),FALSE),"")</f>
        <v/>
      </c>
      <c r="FFL19" s="28" t="str">
        <f>IFERROR(VLOOKUP(DATE($K$1,$K$2,FFL$4),Table1[],(MATCH(Calendar!$A19,DB!$1:$1,0)),FALSE),"")</f>
        <v/>
      </c>
      <c r="FFM19" s="28" t="str">
        <f>IFERROR(VLOOKUP(DATE($K$1,$K$2,FFM$4),Table1[],(MATCH(Calendar!$A19,DB!$1:$1,0)),FALSE),"")</f>
        <v/>
      </c>
      <c r="FFN19" s="28" t="str">
        <f>IFERROR(VLOOKUP(DATE($K$1,$K$2,FFN$4),Table1[],(MATCH(Calendar!$A19,DB!$1:$1,0)),FALSE),"")</f>
        <v/>
      </c>
      <c r="FFO19" s="28" t="str">
        <f>IFERROR(VLOOKUP(DATE($K$1,$K$2,FFO$4),Table1[],(MATCH(Calendar!$A19,DB!$1:$1,0)),FALSE),"")</f>
        <v/>
      </c>
      <c r="FFP19" s="28" t="str">
        <f>IFERROR(VLOOKUP(DATE($K$1,$K$2,FFP$4),Table1[],(MATCH(Calendar!$A19,DB!$1:$1,0)),FALSE),"")</f>
        <v/>
      </c>
      <c r="FFQ19" s="28" t="str">
        <f>IFERROR(VLOOKUP(DATE($K$1,$K$2,FFQ$4),Table1[],(MATCH(Calendar!$A19,DB!$1:$1,0)),FALSE),"")</f>
        <v/>
      </c>
      <c r="FFR19" s="28" t="str">
        <f>IFERROR(VLOOKUP(DATE($K$1,$K$2,FFR$4),Table1[],(MATCH(Calendar!$A19,DB!$1:$1,0)),FALSE),"")</f>
        <v/>
      </c>
      <c r="FFS19" s="28" t="str">
        <f>IFERROR(VLOOKUP(DATE($K$1,$K$2,FFS$4),Table1[],(MATCH(Calendar!$A19,DB!$1:$1,0)),FALSE),"")</f>
        <v/>
      </c>
      <c r="FFT19" s="28" t="str">
        <f>IFERROR(VLOOKUP(DATE($K$1,$K$2,FFT$4),Table1[],(MATCH(Calendar!$A19,DB!$1:$1,0)),FALSE),"")</f>
        <v/>
      </c>
      <c r="FFU19" s="28" t="str">
        <f>IFERROR(VLOOKUP(DATE($K$1,$K$2,FFU$4),Table1[],(MATCH(Calendar!$A19,DB!$1:$1,0)),FALSE),"")</f>
        <v/>
      </c>
      <c r="FFV19" s="28" t="str">
        <f>IFERROR(VLOOKUP(DATE($K$1,$K$2,FFV$4),Table1[],(MATCH(Calendar!$A19,DB!$1:$1,0)),FALSE),"")</f>
        <v/>
      </c>
      <c r="FFW19" s="28" t="str">
        <f>IFERROR(VLOOKUP(DATE($K$1,$K$2,FFW$4),Table1[],(MATCH(Calendar!$A19,DB!$1:$1,0)),FALSE),"")</f>
        <v/>
      </c>
      <c r="FFX19" s="28" t="str">
        <f>IFERROR(VLOOKUP(DATE($K$1,$K$2,FFX$4),Table1[],(MATCH(Calendar!$A19,DB!$1:$1,0)),FALSE),"")</f>
        <v/>
      </c>
      <c r="FFY19" s="28" t="str">
        <f>IFERROR(VLOOKUP(DATE($K$1,$K$2,FFY$4),Table1[],(MATCH(Calendar!$A19,DB!$1:$1,0)),FALSE),"")</f>
        <v/>
      </c>
      <c r="FFZ19" s="28" t="str">
        <f>IFERROR(VLOOKUP(DATE($K$1,$K$2,FFZ$4),Table1[],(MATCH(Calendar!$A19,DB!$1:$1,0)),FALSE),"")</f>
        <v/>
      </c>
      <c r="FGA19" s="28" t="str">
        <f>IFERROR(VLOOKUP(DATE($K$1,$K$2,FGA$4),Table1[],(MATCH(Calendar!$A19,DB!$1:$1,0)),FALSE),"")</f>
        <v/>
      </c>
      <c r="FGB19" s="28" t="str">
        <f>IFERROR(VLOOKUP(DATE($K$1,$K$2,FGB$4),Table1[],(MATCH(Calendar!$A19,DB!$1:$1,0)),FALSE),"")</f>
        <v/>
      </c>
      <c r="FGC19" s="28" t="str">
        <f>IFERROR(VLOOKUP(DATE($K$1,$K$2,FGC$4),Table1[],(MATCH(Calendar!$A19,DB!$1:$1,0)),FALSE),"")</f>
        <v/>
      </c>
      <c r="FGD19" s="28" t="str">
        <f>IFERROR(VLOOKUP(DATE($K$1,$K$2,FGD$4),Table1[],(MATCH(Calendar!$A19,DB!$1:$1,0)),FALSE),"")</f>
        <v/>
      </c>
      <c r="FGE19" s="28" t="str">
        <f>IFERROR(VLOOKUP(DATE($K$1,$K$2,FGE$4),Table1[],(MATCH(Calendar!$A19,DB!$1:$1,0)),FALSE),"")</f>
        <v/>
      </c>
      <c r="FGF19" s="28" t="str">
        <f>IFERROR(VLOOKUP(DATE($K$1,$K$2,FGF$4),Table1[],(MATCH(Calendar!$A19,DB!$1:$1,0)),FALSE),"")</f>
        <v/>
      </c>
      <c r="FGG19" s="28" t="str">
        <f>IFERROR(VLOOKUP(DATE($K$1,$K$2,FGG$4),Table1[],(MATCH(Calendar!$A19,DB!$1:$1,0)),FALSE),"")</f>
        <v/>
      </c>
      <c r="FGH19" s="28" t="str">
        <f>IFERROR(VLOOKUP(DATE($K$1,$K$2,FGH$4),Table1[],(MATCH(Calendar!$A19,DB!$1:$1,0)),FALSE),"")</f>
        <v/>
      </c>
      <c r="FGI19" s="28" t="str">
        <f>IFERROR(VLOOKUP(DATE($K$1,$K$2,FGI$4),Table1[],(MATCH(Calendar!$A19,DB!$1:$1,0)),FALSE),"")</f>
        <v/>
      </c>
      <c r="FGJ19" s="28" t="str">
        <f>IFERROR(VLOOKUP(DATE($K$1,$K$2,FGJ$4),Table1[],(MATCH(Calendar!$A19,DB!$1:$1,0)),FALSE),"")</f>
        <v/>
      </c>
      <c r="FGK19" s="28" t="str">
        <f>IFERROR(VLOOKUP(DATE($K$1,$K$2,FGK$4),Table1[],(MATCH(Calendar!$A19,DB!$1:$1,0)),FALSE),"")</f>
        <v/>
      </c>
      <c r="FGL19" s="28" t="str">
        <f>IFERROR(VLOOKUP(DATE($K$1,$K$2,FGL$4),Table1[],(MATCH(Calendar!$A19,DB!$1:$1,0)),FALSE),"")</f>
        <v/>
      </c>
      <c r="FGM19" s="28" t="str">
        <f>IFERROR(VLOOKUP(DATE($K$1,$K$2,FGM$4),Table1[],(MATCH(Calendar!$A19,DB!$1:$1,0)),FALSE),"")</f>
        <v/>
      </c>
      <c r="FGN19" s="28" t="str">
        <f>IFERROR(VLOOKUP(DATE($K$1,$K$2,FGN$4),Table1[],(MATCH(Calendar!$A19,DB!$1:$1,0)),FALSE),"")</f>
        <v/>
      </c>
      <c r="FGO19" s="28" t="str">
        <f>IFERROR(VLOOKUP(DATE($K$1,$K$2,FGO$4),Table1[],(MATCH(Calendar!$A19,DB!$1:$1,0)),FALSE),"")</f>
        <v/>
      </c>
      <c r="FGP19" s="28" t="str">
        <f>IFERROR(VLOOKUP(DATE($K$1,$K$2,FGP$4),Table1[],(MATCH(Calendar!$A19,DB!$1:$1,0)),FALSE),"")</f>
        <v/>
      </c>
      <c r="FGQ19" s="28" t="str">
        <f>IFERROR(VLOOKUP(DATE($K$1,$K$2,FGQ$4),Table1[],(MATCH(Calendar!$A19,DB!$1:$1,0)),FALSE),"")</f>
        <v/>
      </c>
      <c r="FGR19" s="28" t="str">
        <f>IFERROR(VLOOKUP(DATE($K$1,$K$2,FGR$4),Table1[],(MATCH(Calendar!$A19,DB!$1:$1,0)),FALSE),"")</f>
        <v/>
      </c>
      <c r="FGS19" s="28" t="str">
        <f>IFERROR(VLOOKUP(DATE($K$1,$K$2,FGS$4),Table1[],(MATCH(Calendar!$A19,DB!$1:$1,0)),FALSE),"")</f>
        <v/>
      </c>
      <c r="FGT19" s="28" t="str">
        <f>IFERROR(VLOOKUP(DATE($K$1,$K$2,FGT$4),Table1[],(MATCH(Calendar!$A19,DB!$1:$1,0)),FALSE),"")</f>
        <v/>
      </c>
      <c r="FGU19" s="28" t="str">
        <f>IFERROR(VLOOKUP(DATE($K$1,$K$2,FGU$4),Table1[],(MATCH(Calendar!$A19,DB!$1:$1,0)),FALSE),"")</f>
        <v/>
      </c>
      <c r="FGV19" s="28" t="str">
        <f>IFERROR(VLOOKUP(DATE($K$1,$K$2,FGV$4),Table1[],(MATCH(Calendar!$A19,DB!$1:$1,0)),FALSE),"")</f>
        <v/>
      </c>
      <c r="FGW19" s="28" t="str">
        <f>IFERROR(VLOOKUP(DATE($K$1,$K$2,FGW$4),Table1[],(MATCH(Calendar!$A19,DB!$1:$1,0)),FALSE),"")</f>
        <v/>
      </c>
      <c r="FGX19" s="28" t="str">
        <f>IFERROR(VLOOKUP(DATE($K$1,$K$2,FGX$4),Table1[],(MATCH(Calendar!$A19,DB!$1:$1,0)),FALSE),"")</f>
        <v/>
      </c>
      <c r="FGY19" s="28" t="str">
        <f>IFERROR(VLOOKUP(DATE($K$1,$K$2,FGY$4),Table1[],(MATCH(Calendar!$A19,DB!$1:$1,0)),FALSE),"")</f>
        <v/>
      </c>
      <c r="FGZ19" s="28" t="str">
        <f>IFERROR(VLOOKUP(DATE($K$1,$K$2,FGZ$4),Table1[],(MATCH(Calendar!$A19,DB!$1:$1,0)),FALSE),"")</f>
        <v/>
      </c>
      <c r="FHA19" s="28" t="str">
        <f>IFERROR(VLOOKUP(DATE($K$1,$K$2,FHA$4),Table1[],(MATCH(Calendar!$A19,DB!$1:$1,0)),FALSE),"")</f>
        <v/>
      </c>
      <c r="FHB19" s="28" t="str">
        <f>IFERROR(VLOOKUP(DATE($K$1,$K$2,FHB$4),Table1[],(MATCH(Calendar!$A19,DB!$1:$1,0)),FALSE),"")</f>
        <v/>
      </c>
      <c r="FHC19" s="28" t="str">
        <f>IFERROR(VLOOKUP(DATE($K$1,$K$2,FHC$4),Table1[],(MATCH(Calendar!$A19,DB!$1:$1,0)),FALSE),"")</f>
        <v/>
      </c>
      <c r="FHD19" s="28" t="str">
        <f>IFERROR(VLOOKUP(DATE($K$1,$K$2,FHD$4),Table1[],(MATCH(Calendar!$A19,DB!$1:$1,0)),FALSE),"")</f>
        <v/>
      </c>
      <c r="FHE19" s="28" t="str">
        <f>IFERROR(VLOOKUP(DATE($K$1,$K$2,FHE$4),Table1[],(MATCH(Calendar!$A19,DB!$1:$1,0)),FALSE),"")</f>
        <v/>
      </c>
      <c r="FHF19" s="28" t="str">
        <f>IFERROR(VLOOKUP(DATE($K$1,$K$2,FHF$4),Table1[],(MATCH(Calendar!$A19,DB!$1:$1,0)),FALSE),"")</f>
        <v/>
      </c>
      <c r="FHG19" s="28" t="str">
        <f>IFERROR(VLOOKUP(DATE($K$1,$K$2,FHG$4),Table1[],(MATCH(Calendar!$A19,DB!$1:$1,0)),FALSE),"")</f>
        <v/>
      </c>
      <c r="FHH19" s="28" t="str">
        <f>IFERROR(VLOOKUP(DATE($K$1,$K$2,FHH$4),Table1[],(MATCH(Calendar!$A19,DB!$1:$1,0)),FALSE),"")</f>
        <v/>
      </c>
      <c r="FHI19" s="28" t="str">
        <f>IFERROR(VLOOKUP(DATE($K$1,$K$2,FHI$4),Table1[],(MATCH(Calendar!$A19,DB!$1:$1,0)),FALSE),"")</f>
        <v/>
      </c>
      <c r="FHJ19" s="28" t="str">
        <f>IFERROR(VLOOKUP(DATE($K$1,$K$2,FHJ$4),Table1[],(MATCH(Calendar!$A19,DB!$1:$1,0)),FALSE),"")</f>
        <v/>
      </c>
      <c r="FHK19" s="28" t="str">
        <f>IFERROR(VLOOKUP(DATE($K$1,$K$2,FHK$4),Table1[],(MATCH(Calendar!$A19,DB!$1:$1,0)),FALSE),"")</f>
        <v/>
      </c>
      <c r="FHL19" s="28" t="str">
        <f>IFERROR(VLOOKUP(DATE($K$1,$K$2,FHL$4),Table1[],(MATCH(Calendar!$A19,DB!$1:$1,0)),FALSE),"")</f>
        <v/>
      </c>
      <c r="FHM19" s="28" t="str">
        <f>IFERROR(VLOOKUP(DATE($K$1,$K$2,FHM$4),Table1[],(MATCH(Calendar!$A19,DB!$1:$1,0)),FALSE),"")</f>
        <v/>
      </c>
      <c r="FHN19" s="28" t="str">
        <f>IFERROR(VLOOKUP(DATE($K$1,$K$2,FHN$4),Table1[],(MATCH(Calendar!$A19,DB!$1:$1,0)),FALSE),"")</f>
        <v/>
      </c>
      <c r="FHO19" s="28" t="str">
        <f>IFERROR(VLOOKUP(DATE($K$1,$K$2,FHO$4),Table1[],(MATCH(Calendar!$A19,DB!$1:$1,0)),FALSE),"")</f>
        <v/>
      </c>
      <c r="FHP19" s="28" t="str">
        <f>IFERROR(VLOOKUP(DATE($K$1,$K$2,FHP$4),Table1[],(MATCH(Calendar!$A19,DB!$1:$1,0)),FALSE),"")</f>
        <v/>
      </c>
      <c r="FHQ19" s="28" t="str">
        <f>IFERROR(VLOOKUP(DATE($K$1,$K$2,FHQ$4),Table1[],(MATCH(Calendar!$A19,DB!$1:$1,0)),FALSE),"")</f>
        <v/>
      </c>
      <c r="FHR19" s="28" t="str">
        <f>IFERROR(VLOOKUP(DATE($K$1,$K$2,FHR$4),Table1[],(MATCH(Calendar!$A19,DB!$1:$1,0)),FALSE),"")</f>
        <v/>
      </c>
      <c r="FHS19" s="28" t="str">
        <f>IFERROR(VLOOKUP(DATE($K$1,$K$2,FHS$4),Table1[],(MATCH(Calendar!$A19,DB!$1:$1,0)),FALSE),"")</f>
        <v/>
      </c>
      <c r="FHT19" s="28" t="str">
        <f>IFERROR(VLOOKUP(DATE($K$1,$K$2,FHT$4),Table1[],(MATCH(Calendar!$A19,DB!$1:$1,0)),FALSE),"")</f>
        <v/>
      </c>
      <c r="FHU19" s="28" t="str">
        <f>IFERROR(VLOOKUP(DATE($K$1,$K$2,FHU$4),Table1[],(MATCH(Calendar!$A19,DB!$1:$1,0)),FALSE),"")</f>
        <v/>
      </c>
      <c r="FHV19" s="28" t="str">
        <f>IFERROR(VLOOKUP(DATE($K$1,$K$2,FHV$4),Table1[],(MATCH(Calendar!$A19,DB!$1:$1,0)),FALSE),"")</f>
        <v/>
      </c>
      <c r="FHW19" s="28" t="str">
        <f>IFERROR(VLOOKUP(DATE($K$1,$K$2,FHW$4),Table1[],(MATCH(Calendar!$A19,DB!$1:$1,0)),FALSE),"")</f>
        <v/>
      </c>
      <c r="FHX19" s="28" t="str">
        <f>IFERROR(VLOOKUP(DATE($K$1,$K$2,FHX$4),Table1[],(MATCH(Calendar!$A19,DB!$1:$1,0)),FALSE),"")</f>
        <v/>
      </c>
      <c r="FHY19" s="28" t="str">
        <f>IFERROR(VLOOKUP(DATE($K$1,$K$2,FHY$4),Table1[],(MATCH(Calendar!$A19,DB!$1:$1,0)),FALSE),"")</f>
        <v/>
      </c>
      <c r="FHZ19" s="28" t="str">
        <f>IFERROR(VLOOKUP(DATE($K$1,$K$2,FHZ$4),Table1[],(MATCH(Calendar!$A19,DB!$1:$1,0)),FALSE),"")</f>
        <v/>
      </c>
      <c r="FIA19" s="28" t="str">
        <f>IFERROR(VLOOKUP(DATE($K$1,$K$2,FIA$4),Table1[],(MATCH(Calendar!$A19,DB!$1:$1,0)),FALSE),"")</f>
        <v/>
      </c>
      <c r="FIB19" s="28" t="str">
        <f>IFERROR(VLOOKUP(DATE($K$1,$K$2,FIB$4),Table1[],(MATCH(Calendar!$A19,DB!$1:$1,0)),FALSE),"")</f>
        <v/>
      </c>
      <c r="FIC19" s="28" t="str">
        <f>IFERROR(VLOOKUP(DATE($K$1,$K$2,FIC$4),Table1[],(MATCH(Calendar!$A19,DB!$1:$1,0)),FALSE),"")</f>
        <v/>
      </c>
      <c r="FID19" s="28" t="str">
        <f>IFERROR(VLOOKUP(DATE($K$1,$K$2,FID$4),Table1[],(MATCH(Calendar!$A19,DB!$1:$1,0)),FALSE),"")</f>
        <v/>
      </c>
      <c r="FIE19" s="28" t="str">
        <f>IFERROR(VLOOKUP(DATE($K$1,$K$2,FIE$4),Table1[],(MATCH(Calendar!$A19,DB!$1:$1,0)),FALSE),"")</f>
        <v/>
      </c>
      <c r="FIF19" s="28" t="str">
        <f>IFERROR(VLOOKUP(DATE($K$1,$K$2,FIF$4),Table1[],(MATCH(Calendar!$A19,DB!$1:$1,0)),FALSE),"")</f>
        <v/>
      </c>
      <c r="FIG19" s="28" t="str">
        <f>IFERROR(VLOOKUP(DATE($K$1,$K$2,FIG$4),Table1[],(MATCH(Calendar!$A19,DB!$1:$1,0)),FALSE),"")</f>
        <v/>
      </c>
      <c r="FIH19" s="28" t="str">
        <f>IFERROR(VLOOKUP(DATE($K$1,$K$2,FIH$4),Table1[],(MATCH(Calendar!$A19,DB!$1:$1,0)),FALSE),"")</f>
        <v/>
      </c>
      <c r="FII19" s="28" t="str">
        <f>IFERROR(VLOOKUP(DATE($K$1,$K$2,FII$4),Table1[],(MATCH(Calendar!$A19,DB!$1:$1,0)),FALSE),"")</f>
        <v/>
      </c>
      <c r="FIJ19" s="28" t="str">
        <f>IFERROR(VLOOKUP(DATE($K$1,$K$2,FIJ$4),Table1[],(MATCH(Calendar!$A19,DB!$1:$1,0)),FALSE),"")</f>
        <v/>
      </c>
      <c r="FIK19" s="28" t="str">
        <f>IFERROR(VLOOKUP(DATE($K$1,$K$2,FIK$4),Table1[],(MATCH(Calendar!$A19,DB!$1:$1,0)),FALSE),"")</f>
        <v/>
      </c>
      <c r="FIL19" s="28" t="str">
        <f>IFERROR(VLOOKUP(DATE($K$1,$K$2,FIL$4),Table1[],(MATCH(Calendar!$A19,DB!$1:$1,0)),FALSE),"")</f>
        <v/>
      </c>
      <c r="FIM19" s="28" t="str">
        <f>IFERROR(VLOOKUP(DATE($K$1,$K$2,FIM$4),Table1[],(MATCH(Calendar!$A19,DB!$1:$1,0)),FALSE),"")</f>
        <v/>
      </c>
      <c r="FIN19" s="28" t="str">
        <f>IFERROR(VLOOKUP(DATE($K$1,$K$2,FIN$4),Table1[],(MATCH(Calendar!$A19,DB!$1:$1,0)),FALSE),"")</f>
        <v/>
      </c>
      <c r="FIO19" s="28" t="str">
        <f>IFERROR(VLOOKUP(DATE($K$1,$K$2,FIO$4),Table1[],(MATCH(Calendar!$A19,DB!$1:$1,0)),FALSE),"")</f>
        <v/>
      </c>
      <c r="FIP19" s="28" t="str">
        <f>IFERROR(VLOOKUP(DATE($K$1,$K$2,FIP$4),Table1[],(MATCH(Calendar!$A19,DB!$1:$1,0)),FALSE),"")</f>
        <v/>
      </c>
      <c r="FIQ19" s="28" t="str">
        <f>IFERROR(VLOOKUP(DATE($K$1,$K$2,FIQ$4),Table1[],(MATCH(Calendar!$A19,DB!$1:$1,0)),FALSE),"")</f>
        <v/>
      </c>
      <c r="FIR19" s="28" t="str">
        <f>IFERROR(VLOOKUP(DATE($K$1,$K$2,FIR$4),Table1[],(MATCH(Calendar!$A19,DB!$1:$1,0)),FALSE),"")</f>
        <v/>
      </c>
      <c r="FIS19" s="28" t="str">
        <f>IFERROR(VLOOKUP(DATE($K$1,$K$2,FIS$4),Table1[],(MATCH(Calendar!$A19,DB!$1:$1,0)),FALSE),"")</f>
        <v/>
      </c>
      <c r="FIT19" s="28" t="str">
        <f>IFERROR(VLOOKUP(DATE($K$1,$K$2,FIT$4),Table1[],(MATCH(Calendar!$A19,DB!$1:$1,0)),FALSE),"")</f>
        <v/>
      </c>
      <c r="FIU19" s="28" t="str">
        <f>IFERROR(VLOOKUP(DATE($K$1,$K$2,FIU$4),Table1[],(MATCH(Calendar!$A19,DB!$1:$1,0)),FALSE),"")</f>
        <v/>
      </c>
      <c r="FIV19" s="28" t="str">
        <f>IFERROR(VLOOKUP(DATE($K$1,$K$2,FIV$4),Table1[],(MATCH(Calendar!$A19,DB!$1:$1,0)),FALSE),"")</f>
        <v/>
      </c>
      <c r="FIW19" s="28" t="str">
        <f>IFERROR(VLOOKUP(DATE($K$1,$K$2,FIW$4),Table1[],(MATCH(Calendar!$A19,DB!$1:$1,0)),FALSE),"")</f>
        <v/>
      </c>
      <c r="FIX19" s="28" t="str">
        <f>IFERROR(VLOOKUP(DATE($K$1,$K$2,FIX$4),Table1[],(MATCH(Calendar!$A19,DB!$1:$1,0)),FALSE),"")</f>
        <v/>
      </c>
      <c r="FIY19" s="28" t="str">
        <f>IFERROR(VLOOKUP(DATE($K$1,$K$2,FIY$4),Table1[],(MATCH(Calendar!$A19,DB!$1:$1,0)),FALSE),"")</f>
        <v/>
      </c>
      <c r="FIZ19" s="28" t="str">
        <f>IFERROR(VLOOKUP(DATE($K$1,$K$2,FIZ$4),Table1[],(MATCH(Calendar!$A19,DB!$1:$1,0)),FALSE),"")</f>
        <v/>
      </c>
      <c r="FJA19" s="28" t="str">
        <f>IFERROR(VLOOKUP(DATE($K$1,$K$2,FJA$4),Table1[],(MATCH(Calendar!$A19,DB!$1:$1,0)),FALSE),"")</f>
        <v/>
      </c>
      <c r="FJB19" s="28" t="str">
        <f>IFERROR(VLOOKUP(DATE($K$1,$K$2,FJB$4),Table1[],(MATCH(Calendar!$A19,DB!$1:$1,0)),FALSE),"")</f>
        <v/>
      </c>
      <c r="FJC19" s="28" t="str">
        <f>IFERROR(VLOOKUP(DATE($K$1,$K$2,FJC$4),Table1[],(MATCH(Calendar!$A19,DB!$1:$1,0)),FALSE),"")</f>
        <v/>
      </c>
      <c r="FJD19" s="28" t="str">
        <f>IFERROR(VLOOKUP(DATE($K$1,$K$2,FJD$4),Table1[],(MATCH(Calendar!$A19,DB!$1:$1,0)),FALSE),"")</f>
        <v/>
      </c>
      <c r="FJE19" s="28" t="str">
        <f>IFERROR(VLOOKUP(DATE($K$1,$K$2,FJE$4),Table1[],(MATCH(Calendar!$A19,DB!$1:$1,0)),FALSE),"")</f>
        <v/>
      </c>
      <c r="FJF19" s="28" t="str">
        <f>IFERROR(VLOOKUP(DATE($K$1,$K$2,FJF$4),Table1[],(MATCH(Calendar!$A19,DB!$1:$1,0)),FALSE),"")</f>
        <v/>
      </c>
      <c r="FJG19" s="28" t="str">
        <f>IFERROR(VLOOKUP(DATE($K$1,$K$2,FJG$4),Table1[],(MATCH(Calendar!$A19,DB!$1:$1,0)),FALSE),"")</f>
        <v/>
      </c>
      <c r="FJH19" s="28" t="str">
        <f>IFERROR(VLOOKUP(DATE($K$1,$K$2,FJH$4),Table1[],(MATCH(Calendar!$A19,DB!$1:$1,0)),FALSE),"")</f>
        <v/>
      </c>
      <c r="FJI19" s="28" t="str">
        <f>IFERROR(VLOOKUP(DATE($K$1,$K$2,FJI$4),Table1[],(MATCH(Calendar!$A19,DB!$1:$1,0)),FALSE),"")</f>
        <v/>
      </c>
      <c r="FJJ19" s="28" t="str">
        <f>IFERROR(VLOOKUP(DATE($K$1,$K$2,FJJ$4),Table1[],(MATCH(Calendar!$A19,DB!$1:$1,0)),FALSE),"")</f>
        <v/>
      </c>
      <c r="FJK19" s="28" t="str">
        <f>IFERROR(VLOOKUP(DATE($K$1,$K$2,FJK$4),Table1[],(MATCH(Calendar!$A19,DB!$1:$1,0)),FALSE),"")</f>
        <v/>
      </c>
      <c r="FJL19" s="28" t="str">
        <f>IFERROR(VLOOKUP(DATE($K$1,$K$2,FJL$4),Table1[],(MATCH(Calendar!$A19,DB!$1:$1,0)),FALSE),"")</f>
        <v/>
      </c>
      <c r="FJM19" s="28" t="str">
        <f>IFERROR(VLOOKUP(DATE($K$1,$K$2,FJM$4),Table1[],(MATCH(Calendar!$A19,DB!$1:$1,0)),FALSE),"")</f>
        <v/>
      </c>
      <c r="FJN19" s="28" t="str">
        <f>IFERROR(VLOOKUP(DATE($K$1,$K$2,FJN$4),Table1[],(MATCH(Calendar!$A19,DB!$1:$1,0)),FALSE),"")</f>
        <v/>
      </c>
      <c r="FJO19" s="28" t="str">
        <f>IFERROR(VLOOKUP(DATE($K$1,$K$2,FJO$4),Table1[],(MATCH(Calendar!$A19,DB!$1:$1,0)),FALSE),"")</f>
        <v/>
      </c>
      <c r="FJP19" s="28" t="str">
        <f>IFERROR(VLOOKUP(DATE($K$1,$K$2,FJP$4),Table1[],(MATCH(Calendar!$A19,DB!$1:$1,0)),FALSE),"")</f>
        <v/>
      </c>
      <c r="FJQ19" s="28" t="str">
        <f>IFERROR(VLOOKUP(DATE($K$1,$K$2,FJQ$4),Table1[],(MATCH(Calendar!$A19,DB!$1:$1,0)),FALSE),"")</f>
        <v/>
      </c>
      <c r="FJR19" s="28" t="str">
        <f>IFERROR(VLOOKUP(DATE($K$1,$K$2,FJR$4),Table1[],(MATCH(Calendar!$A19,DB!$1:$1,0)),FALSE),"")</f>
        <v/>
      </c>
      <c r="FJS19" s="28" t="str">
        <f>IFERROR(VLOOKUP(DATE($K$1,$K$2,FJS$4),Table1[],(MATCH(Calendar!$A19,DB!$1:$1,0)),FALSE),"")</f>
        <v/>
      </c>
      <c r="FJT19" s="28" t="str">
        <f>IFERROR(VLOOKUP(DATE($K$1,$K$2,FJT$4),Table1[],(MATCH(Calendar!$A19,DB!$1:$1,0)),FALSE),"")</f>
        <v/>
      </c>
      <c r="FJU19" s="28" t="str">
        <f>IFERROR(VLOOKUP(DATE($K$1,$K$2,FJU$4),Table1[],(MATCH(Calendar!$A19,DB!$1:$1,0)),FALSE),"")</f>
        <v/>
      </c>
      <c r="FJV19" s="28" t="str">
        <f>IFERROR(VLOOKUP(DATE($K$1,$K$2,FJV$4),Table1[],(MATCH(Calendar!$A19,DB!$1:$1,0)),FALSE),"")</f>
        <v/>
      </c>
      <c r="FJW19" s="28" t="str">
        <f>IFERROR(VLOOKUP(DATE($K$1,$K$2,FJW$4),Table1[],(MATCH(Calendar!$A19,DB!$1:$1,0)),FALSE),"")</f>
        <v/>
      </c>
      <c r="FJX19" s="28" t="str">
        <f>IFERROR(VLOOKUP(DATE($K$1,$K$2,FJX$4),Table1[],(MATCH(Calendar!$A19,DB!$1:$1,0)),FALSE),"")</f>
        <v/>
      </c>
      <c r="FJY19" s="28" t="str">
        <f>IFERROR(VLOOKUP(DATE($K$1,$K$2,FJY$4),Table1[],(MATCH(Calendar!$A19,DB!$1:$1,0)),FALSE),"")</f>
        <v/>
      </c>
      <c r="FJZ19" s="28" t="str">
        <f>IFERROR(VLOOKUP(DATE($K$1,$K$2,FJZ$4),Table1[],(MATCH(Calendar!$A19,DB!$1:$1,0)),FALSE),"")</f>
        <v/>
      </c>
      <c r="FKA19" s="28" t="str">
        <f>IFERROR(VLOOKUP(DATE($K$1,$K$2,FKA$4),Table1[],(MATCH(Calendar!$A19,DB!$1:$1,0)),FALSE),"")</f>
        <v/>
      </c>
      <c r="FKB19" s="28" t="str">
        <f>IFERROR(VLOOKUP(DATE($K$1,$K$2,FKB$4),Table1[],(MATCH(Calendar!$A19,DB!$1:$1,0)),FALSE),"")</f>
        <v/>
      </c>
      <c r="FKC19" s="28" t="str">
        <f>IFERROR(VLOOKUP(DATE($K$1,$K$2,FKC$4),Table1[],(MATCH(Calendar!$A19,DB!$1:$1,0)),FALSE),"")</f>
        <v/>
      </c>
      <c r="FKD19" s="28" t="str">
        <f>IFERROR(VLOOKUP(DATE($K$1,$K$2,FKD$4),Table1[],(MATCH(Calendar!$A19,DB!$1:$1,0)),FALSE),"")</f>
        <v/>
      </c>
      <c r="FKE19" s="28" t="str">
        <f>IFERROR(VLOOKUP(DATE($K$1,$K$2,FKE$4),Table1[],(MATCH(Calendar!$A19,DB!$1:$1,0)),FALSE),"")</f>
        <v/>
      </c>
      <c r="FKF19" s="28" t="str">
        <f>IFERROR(VLOOKUP(DATE($K$1,$K$2,FKF$4),Table1[],(MATCH(Calendar!$A19,DB!$1:$1,0)),FALSE),"")</f>
        <v/>
      </c>
      <c r="FKG19" s="28" t="str">
        <f>IFERROR(VLOOKUP(DATE($K$1,$K$2,FKG$4),Table1[],(MATCH(Calendar!$A19,DB!$1:$1,0)),FALSE),"")</f>
        <v/>
      </c>
      <c r="FKH19" s="28" t="str">
        <f>IFERROR(VLOOKUP(DATE($K$1,$K$2,FKH$4),Table1[],(MATCH(Calendar!$A19,DB!$1:$1,0)),FALSE),"")</f>
        <v/>
      </c>
      <c r="FKI19" s="28" t="str">
        <f>IFERROR(VLOOKUP(DATE($K$1,$K$2,FKI$4),Table1[],(MATCH(Calendar!$A19,DB!$1:$1,0)),FALSE),"")</f>
        <v/>
      </c>
      <c r="FKJ19" s="28" t="str">
        <f>IFERROR(VLOOKUP(DATE($K$1,$K$2,FKJ$4),Table1[],(MATCH(Calendar!$A19,DB!$1:$1,0)),FALSE),"")</f>
        <v/>
      </c>
      <c r="FKK19" s="28" t="str">
        <f>IFERROR(VLOOKUP(DATE($K$1,$K$2,FKK$4),Table1[],(MATCH(Calendar!$A19,DB!$1:$1,0)),FALSE),"")</f>
        <v/>
      </c>
      <c r="FKL19" s="28" t="str">
        <f>IFERROR(VLOOKUP(DATE($K$1,$K$2,FKL$4),Table1[],(MATCH(Calendar!$A19,DB!$1:$1,0)),FALSE),"")</f>
        <v/>
      </c>
      <c r="FKM19" s="28" t="str">
        <f>IFERROR(VLOOKUP(DATE($K$1,$K$2,FKM$4),Table1[],(MATCH(Calendar!$A19,DB!$1:$1,0)),FALSE),"")</f>
        <v/>
      </c>
      <c r="FKN19" s="28" t="str">
        <f>IFERROR(VLOOKUP(DATE($K$1,$K$2,FKN$4),Table1[],(MATCH(Calendar!$A19,DB!$1:$1,0)),FALSE),"")</f>
        <v/>
      </c>
      <c r="FKO19" s="28" t="str">
        <f>IFERROR(VLOOKUP(DATE($K$1,$K$2,FKO$4),Table1[],(MATCH(Calendar!$A19,DB!$1:$1,0)),FALSE),"")</f>
        <v/>
      </c>
      <c r="FKP19" s="28" t="str">
        <f>IFERROR(VLOOKUP(DATE($K$1,$K$2,FKP$4),Table1[],(MATCH(Calendar!$A19,DB!$1:$1,0)),FALSE),"")</f>
        <v/>
      </c>
      <c r="FKQ19" s="28" t="str">
        <f>IFERROR(VLOOKUP(DATE($K$1,$K$2,FKQ$4),Table1[],(MATCH(Calendar!$A19,DB!$1:$1,0)),FALSE),"")</f>
        <v/>
      </c>
      <c r="FKR19" s="28" t="str">
        <f>IFERROR(VLOOKUP(DATE($K$1,$K$2,FKR$4),Table1[],(MATCH(Calendar!$A19,DB!$1:$1,0)),FALSE),"")</f>
        <v/>
      </c>
      <c r="FKS19" s="28" t="str">
        <f>IFERROR(VLOOKUP(DATE($K$1,$K$2,FKS$4),Table1[],(MATCH(Calendar!$A19,DB!$1:$1,0)),FALSE),"")</f>
        <v/>
      </c>
      <c r="FKT19" s="28" t="str">
        <f>IFERROR(VLOOKUP(DATE($K$1,$K$2,FKT$4),Table1[],(MATCH(Calendar!$A19,DB!$1:$1,0)),FALSE),"")</f>
        <v/>
      </c>
      <c r="FKU19" s="28" t="str">
        <f>IFERROR(VLOOKUP(DATE($K$1,$K$2,FKU$4),Table1[],(MATCH(Calendar!$A19,DB!$1:$1,0)),FALSE),"")</f>
        <v/>
      </c>
      <c r="FKV19" s="28" t="str">
        <f>IFERROR(VLOOKUP(DATE($K$1,$K$2,FKV$4),Table1[],(MATCH(Calendar!$A19,DB!$1:$1,0)),FALSE),"")</f>
        <v/>
      </c>
      <c r="FKW19" s="28" t="str">
        <f>IFERROR(VLOOKUP(DATE($K$1,$K$2,FKW$4),Table1[],(MATCH(Calendar!$A19,DB!$1:$1,0)),FALSE),"")</f>
        <v/>
      </c>
      <c r="FKX19" s="28" t="str">
        <f>IFERROR(VLOOKUP(DATE($K$1,$K$2,FKX$4),Table1[],(MATCH(Calendar!$A19,DB!$1:$1,0)),FALSE),"")</f>
        <v/>
      </c>
      <c r="FKY19" s="28" t="str">
        <f>IFERROR(VLOOKUP(DATE($K$1,$K$2,FKY$4),Table1[],(MATCH(Calendar!$A19,DB!$1:$1,0)),FALSE),"")</f>
        <v/>
      </c>
      <c r="FKZ19" s="28" t="str">
        <f>IFERROR(VLOOKUP(DATE($K$1,$K$2,FKZ$4),Table1[],(MATCH(Calendar!$A19,DB!$1:$1,0)),FALSE),"")</f>
        <v/>
      </c>
      <c r="FLA19" s="28" t="str">
        <f>IFERROR(VLOOKUP(DATE($K$1,$K$2,FLA$4),Table1[],(MATCH(Calendar!$A19,DB!$1:$1,0)),FALSE),"")</f>
        <v/>
      </c>
      <c r="FLB19" s="28" t="str">
        <f>IFERROR(VLOOKUP(DATE($K$1,$K$2,FLB$4),Table1[],(MATCH(Calendar!$A19,DB!$1:$1,0)),FALSE),"")</f>
        <v/>
      </c>
      <c r="FLC19" s="28" t="str">
        <f>IFERROR(VLOOKUP(DATE($K$1,$K$2,FLC$4),Table1[],(MATCH(Calendar!$A19,DB!$1:$1,0)),FALSE),"")</f>
        <v/>
      </c>
      <c r="FLD19" s="28" t="str">
        <f>IFERROR(VLOOKUP(DATE($K$1,$K$2,FLD$4),Table1[],(MATCH(Calendar!$A19,DB!$1:$1,0)),FALSE),"")</f>
        <v/>
      </c>
      <c r="FLE19" s="28" t="str">
        <f>IFERROR(VLOOKUP(DATE($K$1,$K$2,FLE$4),Table1[],(MATCH(Calendar!$A19,DB!$1:$1,0)),FALSE),"")</f>
        <v/>
      </c>
      <c r="FLF19" s="28" t="str">
        <f>IFERROR(VLOOKUP(DATE($K$1,$K$2,FLF$4),Table1[],(MATCH(Calendar!$A19,DB!$1:$1,0)),FALSE),"")</f>
        <v/>
      </c>
      <c r="FLG19" s="28" t="str">
        <f>IFERROR(VLOOKUP(DATE($K$1,$K$2,FLG$4),Table1[],(MATCH(Calendar!$A19,DB!$1:$1,0)),FALSE),"")</f>
        <v/>
      </c>
      <c r="FLH19" s="28" t="str">
        <f>IFERROR(VLOOKUP(DATE($K$1,$K$2,FLH$4),Table1[],(MATCH(Calendar!$A19,DB!$1:$1,0)),FALSE),"")</f>
        <v/>
      </c>
      <c r="FLI19" s="28" t="str">
        <f>IFERROR(VLOOKUP(DATE($K$1,$K$2,FLI$4),Table1[],(MATCH(Calendar!$A19,DB!$1:$1,0)),FALSE),"")</f>
        <v/>
      </c>
      <c r="FLJ19" s="28" t="str">
        <f>IFERROR(VLOOKUP(DATE($K$1,$K$2,FLJ$4),Table1[],(MATCH(Calendar!$A19,DB!$1:$1,0)),FALSE),"")</f>
        <v/>
      </c>
      <c r="FLK19" s="28" t="str">
        <f>IFERROR(VLOOKUP(DATE($K$1,$K$2,FLK$4),Table1[],(MATCH(Calendar!$A19,DB!$1:$1,0)),FALSE),"")</f>
        <v/>
      </c>
      <c r="FLL19" s="28" t="str">
        <f>IFERROR(VLOOKUP(DATE($K$1,$K$2,FLL$4),Table1[],(MATCH(Calendar!$A19,DB!$1:$1,0)),FALSE),"")</f>
        <v/>
      </c>
      <c r="FLM19" s="28" t="str">
        <f>IFERROR(VLOOKUP(DATE($K$1,$K$2,FLM$4),Table1[],(MATCH(Calendar!$A19,DB!$1:$1,0)),FALSE),"")</f>
        <v/>
      </c>
      <c r="FLN19" s="28" t="str">
        <f>IFERROR(VLOOKUP(DATE($K$1,$K$2,FLN$4),Table1[],(MATCH(Calendar!$A19,DB!$1:$1,0)),FALSE),"")</f>
        <v/>
      </c>
      <c r="FLO19" s="28" t="str">
        <f>IFERROR(VLOOKUP(DATE($K$1,$K$2,FLO$4),Table1[],(MATCH(Calendar!$A19,DB!$1:$1,0)),FALSE),"")</f>
        <v/>
      </c>
      <c r="FLP19" s="28" t="str">
        <f>IFERROR(VLOOKUP(DATE($K$1,$K$2,FLP$4),Table1[],(MATCH(Calendar!$A19,DB!$1:$1,0)),FALSE),"")</f>
        <v/>
      </c>
      <c r="FLQ19" s="28" t="str">
        <f>IFERROR(VLOOKUP(DATE($K$1,$K$2,FLQ$4),Table1[],(MATCH(Calendar!$A19,DB!$1:$1,0)),FALSE),"")</f>
        <v/>
      </c>
      <c r="FLR19" s="28" t="str">
        <f>IFERROR(VLOOKUP(DATE($K$1,$K$2,FLR$4),Table1[],(MATCH(Calendar!$A19,DB!$1:$1,0)),FALSE),"")</f>
        <v/>
      </c>
      <c r="FLS19" s="28" t="str">
        <f>IFERROR(VLOOKUP(DATE($K$1,$K$2,FLS$4),Table1[],(MATCH(Calendar!$A19,DB!$1:$1,0)),FALSE),"")</f>
        <v/>
      </c>
      <c r="FLT19" s="28" t="str">
        <f>IFERROR(VLOOKUP(DATE($K$1,$K$2,FLT$4),Table1[],(MATCH(Calendar!$A19,DB!$1:$1,0)),FALSE),"")</f>
        <v/>
      </c>
      <c r="FLU19" s="28" t="str">
        <f>IFERROR(VLOOKUP(DATE($K$1,$K$2,FLU$4),Table1[],(MATCH(Calendar!$A19,DB!$1:$1,0)),FALSE),"")</f>
        <v/>
      </c>
      <c r="FLV19" s="28" t="str">
        <f>IFERROR(VLOOKUP(DATE($K$1,$K$2,FLV$4),Table1[],(MATCH(Calendar!$A19,DB!$1:$1,0)),FALSE),"")</f>
        <v/>
      </c>
      <c r="FLW19" s="28" t="str">
        <f>IFERROR(VLOOKUP(DATE($K$1,$K$2,FLW$4),Table1[],(MATCH(Calendar!$A19,DB!$1:$1,0)),FALSE),"")</f>
        <v/>
      </c>
      <c r="FLX19" s="28" t="str">
        <f>IFERROR(VLOOKUP(DATE($K$1,$K$2,FLX$4),Table1[],(MATCH(Calendar!$A19,DB!$1:$1,0)),FALSE),"")</f>
        <v/>
      </c>
      <c r="FLY19" s="28" t="str">
        <f>IFERROR(VLOOKUP(DATE($K$1,$K$2,FLY$4),Table1[],(MATCH(Calendar!$A19,DB!$1:$1,0)),FALSE),"")</f>
        <v/>
      </c>
      <c r="FLZ19" s="28" t="str">
        <f>IFERROR(VLOOKUP(DATE($K$1,$K$2,FLZ$4),Table1[],(MATCH(Calendar!$A19,DB!$1:$1,0)),FALSE),"")</f>
        <v/>
      </c>
      <c r="FMA19" s="28" t="str">
        <f>IFERROR(VLOOKUP(DATE($K$1,$K$2,FMA$4),Table1[],(MATCH(Calendar!$A19,DB!$1:$1,0)),FALSE),"")</f>
        <v/>
      </c>
      <c r="FMB19" s="28" t="str">
        <f>IFERROR(VLOOKUP(DATE($K$1,$K$2,FMB$4),Table1[],(MATCH(Calendar!$A19,DB!$1:$1,0)),FALSE),"")</f>
        <v/>
      </c>
      <c r="FMC19" s="28" t="str">
        <f>IFERROR(VLOOKUP(DATE($K$1,$K$2,FMC$4),Table1[],(MATCH(Calendar!$A19,DB!$1:$1,0)),FALSE),"")</f>
        <v/>
      </c>
      <c r="FMD19" s="28" t="str">
        <f>IFERROR(VLOOKUP(DATE($K$1,$K$2,FMD$4),Table1[],(MATCH(Calendar!$A19,DB!$1:$1,0)),FALSE),"")</f>
        <v/>
      </c>
      <c r="FME19" s="28" t="str">
        <f>IFERROR(VLOOKUP(DATE($K$1,$K$2,FME$4),Table1[],(MATCH(Calendar!$A19,DB!$1:$1,0)),FALSE),"")</f>
        <v/>
      </c>
      <c r="FMF19" s="28" t="str">
        <f>IFERROR(VLOOKUP(DATE($K$1,$K$2,FMF$4),Table1[],(MATCH(Calendar!$A19,DB!$1:$1,0)),FALSE),"")</f>
        <v/>
      </c>
      <c r="FMG19" s="28" t="str">
        <f>IFERROR(VLOOKUP(DATE($K$1,$K$2,FMG$4),Table1[],(MATCH(Calendar!$A19,DB!$1:$1,0)),FALSE),"")</f>
        <v/>
      </c>
      <c r="FMH19" s="28" t="str">
        <f>IFERROR(VLOOKUP(DATE($K$1,$K$2,FMH$4),Table1[],(MATCH(Calendar!$A19,DB!$1:$1,0)),FALSE),"")</f>
        <v/>
      </c>
      <c r="FMI19" s="28" t="str">
        <f>IFERROR(VLOOKUP(DATE($K$1,$K$2,FMI$4),Table1[],(MATCH(Calendar!$A19,DB!$1:$1,0)),FALSE),"")</f>
        <v/>
      </c>
      <c r="FMJ19" s="28" t="str">
        <f>IFERROR(VLOOKUP(DATE($K$1,$K$2,FMJ$4),Table1[],(MATCH(Calendar!$A19,DB!$1:$1,0)),FALSE),"")</f>
        <v/>
      </c>
      <c r="FMK19" s="28" t="str">
        <f>IFERROR(VLOOKUP(DATE($K$1,$K$2,FMK$4),Table1[],(MATCH(Calendar!$A19,DB!$1:$1,0)),FALSE),"")</f>
        <v/>
      </c>
      <c r="FML19" s="28" t="str">
        <f>IFERROR(VLOOKUP(DATE($K$1,$K$2,FML$4),Table1[],(MATCH(Calendar!$A19,DB!$1:$1,0)),FALSE),"")</f>
        <v/>
      </c>
      <c r="FMM19" s="28" t="str">
        <f>IFERROR(VLOOKUP(DATE($K$1,$K$2,FMM$4),Table1[],(MATCH(Calendar!$A19,DB!$1:$1,0)),FALSE),"")</f>
        <v/>
      </c>
      <c r="FMN19" s="28" t="str">
        <f>IFERROR(VLOOKUP(DATE($K$1,$K$2,FMN$4),Table1[],(MATCH(Calendar!$A19,DB!$1:$1,0)),FALSE),"")</f>
        <v/>
      </c>
      <c r="FMO19" s="28" t="str">
        <f>IFERROR(VLOOKUP(DATE($K$1,$K$2,FMO$4),Table1[],(MATCH(Calendar!$A19,DB!$1:$1,0)),FALSE),"")</f>
        <v/>
      </c>
      <c r="FMP19" s="28" t="str">
        <f>IFERROR(VLOOKUP(DATE($K$1,$K$2,FMP$4),Table1[],(MATCH(Calendar!$A19,DB!$1:$1,0)),FALSE),"")</f>
        <v/>
      </c>
      <c r="FMQ19" s="28" t="str">
        <f>IFERROR(VLOOKUP(DATE($K$1,$K$2,FMQ$4),Table1[],(MATCH(Calendar!$A19,DB!$1:$1,0)),FALSE),"")</f>
        <v/>
      </c>
      <c r="FMR19" s="28" t="str">
        <f>IFERROR(VLOOKUP(DATE($K$1,$K$2,FMR$4),Table1[],(MATCH(Calendar!$A19,DB!$1:$1,0)),FALSE),"")</f>
        <v/>
      </c>
      <c r="FMS19" s="28" t="str">
        <f>IFERROR(VLOOKUP(DATE($K$1,$K$2,FMS$4),Table1[],(MATCH(Calendar!$A19,DB!$1:$1,0)),FALSE),"")</f>
        <v/>
      </c>
      <c r="FMT19" s="28" t="str">
        <f>IFERROR(VLOOKUP(DATE($K$1,$K$2,FMT$4),Table1[],(MATCH(Calendar!$A19,DB!$1:$1,0)),FALSE),"")</f>
        <v/>
      </c>
      <c r="FMU19" s="28" t="str">
        <f>IFERROR(VLOOKUP(DATE($K$1,$K$2,FMU$4),Table1[],(MATCH(Calendar!$A19,DB!$1:$1,0)),FALSE),"")</f>
        <v/>
      </c>
      <c r="FMV19" s="28" t="str">
        <f>IFERROR(VLOOKUP(DATE($K$1,$K$2,FMV$4),Table1[],(MATCH(Calendar!$A19,DB!$1:$1,0)),FALSE),"")</f>
        <v/>
      </c>
      <c r="FMW19" s="28" t="str">
        <f>IFERROR(VLOOKUP(DATE($K$1,$K$2,FMW$4),Table1[],(MATCH(Calendar!$A19,DB!$1:$1,0)),FALSE),"")</f>
        <v/>
      </c>
      <c r="FMX19" s="28" t="str">
        <f>IFERROR(VLOOKUP(DATE($K$1,$K$2,FMX$4),Table1[],(MATCH(Calendar!$A19,DB!$1:$1,0)),FALSE),"")</f>
        <v/>
      </c>
      <c r="FMY19" s="28" t="str">
        <f>IFERROR(VLOOKUP(DATE($K$1,$K$2,FMY$4),Table1[],(MATCH(Calendar!$A19,DB!$1:$1,0)),FALSE),"")</f>
        <v/>
      </c>
      <c r="FMZ19" s="28" t="str">
        <f>IFERROR(VLOOKUP(DATE($K$1,$K$2,FMZ$4),Table1[],(MATCH(Calendar!$A19,DB!$1:$1,0)),FALSE),"")</f>
        <v/>
      </c>
      <c r="FNA19" s="28" t="str">
        <f>IFERROR(VLOOKUP(DATE($K$1,$K$2,FNA$4),Table1[],(MATCH(Calendar!$A19,DB!$1:$1,0)),FALSE),"")</f>
        <v/>
      </c>
      <c r="FNB19" s="28" t="str">
        <f>IFERROR(VLOOKUP(DATE($K$1,$K$2,FNB$4),Table1[],(MATCH(Calendar!$A19,DB!$1:$1,0)),FALSE),"")</f>
        <v/>
      </c>
      <c r="FNC19" s="28" t="str">
        <f>IFERROR(VLOOKUP(DATE($K$1,$K$2,FNC$4),Table1[],(MATCH(Calendar!$A19,DB!$1:$1,0)),FALSE),"")</f>
        <v/>
      </c>
      <c r="FND19" s="28" t="str">
        <f>IFERROR(VLOOKUP(DATE($K$1,$K$2,FND$4),Table1[],(MATCH(Calendar!$A19,DB!$1:$1,0)),FALSE),"")</f>
        <v/>
      </c>
      <c r="FNE19" s="28" t="str">
        <f>IFERROR(VLOOKUP(DATE($K$1,$K$2,FNE$4),Table1[],(MATCH(Calendar!$A19,DB!$1:$1,0)),FALSE),"")</f>
        <v/>
      </c>
      <c r="FNF19" s="28" t="str">
        <f>IFERROR(VLOOKUP(DATE($K$1,$K$2,FNF$4),Table1[],(MATCH(Calendar!$A19,DB!$1:$1,0)),FALSE),"")</f>
        <v/>
      </c>
      <c r="FNG19" s="28" t="str">
        <f>IFERROR(VLOOKUP(DATE($K$1,$K$2,FNG$4),Table1[],(MATCH(Calendar!$A19,DB!$1:$1,0)),FALSE),"")</f>
        <v/>
      </c>
      <c r="FNH19" s="28" t="str">
        <f>IFERROR(VLOOKUP(DATE($K$1,$K$2,FNH$4),Table1[],(MATCH(Calendar!$A19,DB!$1:$1,0)),FALSE),"")</f>
        <v/>
      </c>
      <c r="FNI19" s="28" t="str">
        <f>IFERROR(VLOOKUP(DATE($K$1,$K$2,FNI$4),Table1[],(MATCH(Calendar!$A19,DB!$1:$1,0)),FALSE),"")</f>
        <v/>
      </c>
      <c r="FNJ19" s="28" t="str">
        <f>IFERROR(VLOOKUP(DATE($K$1,$K$2,FNJ$4),Table1[],(MATCH(Calendar!$A19,DB!$1:$1,0)),FALSE),"")</f>
        <v/>
      </c>
      <c r="FNK19" s="28" t="str">
        <f>IFERROR(VLOOKUP(DATE($K$1,$K$2,FNK$4),Table1[],(MATCH(Calendar!$A19,DB!$1:$1,0)),FALSE),"")</f>
        <v/>
      </c>
      <c r="FNL19" s="28" t="str">
        <f>IFERROR(VLOOKUP(DATE($K$1,$K$2,FNL$4),Table1[],(MATCH(Calendar!$A19,DB!$1:$1,0)),FALSE),"")</f>
        <v/>
      </c>
      <c r="FNM19" s="28" t="str">
        <f>IFERROR(VLOOKUP(DATE($K$1,$K$2,FNM$4),Table1[],(MATCH(Calendar!$A19,DB!$1:$1,0)),FALSE),"")</f>
        <v/>
      </c>
      <c r="FNN19" s="28" t="str">
        <f>IFERROR(VLOOKUP(DATE($K$1,$K$2,FNN$4),Table1[],(MATCH(Calendar!$A19,DB!$1:$1,0)),FALSE),"")</f>
        <v/>
      </c>
      <c r="FNO19" s="28" t="str">
        <f>IFERROR(VLOOKUP(DATE($K$1,$K$2,FNO$4),Table1[],(MATCH(Calendar!$A19,DB!$1:$1,0)),FALSE),"")</f>
        <v/>
      </c>
      <c r="FNP19" s="28" t="str">
        <f>IFERROR(VLOOKUP(DATE($K$1,$K$2,FNP$4),Table1[],(MATCH(Calendar!$A19,DB!$1:$1,0)),FALSE),"")</f>
        <v/>
      </c>
      <c r="FNQ19" s="28" t="str">
        <f>IFERROR(VLOOKUP(DATE($K$1,$K$2,FNQ$4),Table1[],(MATCH(Calendar!$A19,DB!$1:$1,0)),FALSE),"")</f>
        <v/>
      </c>
      <c r="FNR19" s="28" t="str">
        <f>IFERROR(VLOOKUP(DATE($K$1,$K$2,FNR$4),Table1[],(MATCH(Calendar!$A19,DB!$1:$1,0)),FALSE),"")</f>
        <v/>
      </c>
      <c r="FNS19" s="28" t="str">
        <f>IFERROR(VLOOKUP(DATE($K$1,$K$2,FNS$4),Table1[],(MATCH(Calendar!$A19,DB!$1:$1,0)),FALSE),"")</f>
        <v/>
      </c>
      <c r="FNT19" s="28" t="str">
        <f>IFERROR(VLOOKUP(DATE($K$1,$K$2,FNT$4),Table1[],(MATCH(Calendar!$A19,DB!$1:$1,0)),FALSE),"")</f>
        <v/>
      </c>
      <c r="FNU19" s="28" t="str">
        <f>IFERROR(VLOOKUP(DATE($K$1,$K$2,FNU$4),Table1[],(MATCH(Calendar!$A19,DB!$1:$1,0)),FALSE),"")</f>
        <v/>
      </c>
      <c r="FNV19" s="28" t="str">
        <f>IFERROR(VLOOKUP(DATE($K$1,$K$2,FNV$4),Table1[],(MATCH(Calendar!$A19,DB!$1:$1,0)),FALSE),"")</f>
        <v/>
      </c>
      <c r="FNW19" s="28" t="str">
        <f>IFERROR(VLOOKUP(DATE($K$1,$K$2,FNW$4),Table1[],(MATCH(Calendar!$A19,DB!$1:$1,0)),FALSE),"")</f>
        <v/>
      </c>
      <c r="FNX19" s="28" t="str">
        <f>IFERROR(VLOOKUP(DATE($K$1,$K$2,FNX$4),Table1[],(MATCH(Calendar!$A19,DB!$1:$1,0)),FALSE),"")</f>
        <v/>
      </c>
      <c r="FNY19" s="28" t="str">
        <f>IFERROR(VLOOKUP(DATE($K$1,$K$2,FNY$4),Table1[],(MATCH(Calendar!$A19,DB!$1:$1,0)),FALSE),"")</f>
        <v/>
      </c>
      <c r="FNZ19" s="28" t="str">
        <f>IFERROR(VLOOKUP(DATE($K$1,$K$2,FNZ$4),Table1[],(MATCH(Calendar!$A19,DB!$1:$1,0)),FALSE),"")</f>
        <v/>
      </c>
      <c r="FOA19" s="28" t="str">
        <f>IFERROR(VLOOKUP(DATE($K$1,$K$2,FOA$4),Table1[],(MATCH(Calendar!$A19,DB!$1:$1,0)),FALSE),"")</f>
        <v/>
      </c>
      <c r="FOB19" s="28" t="str">
        <f>IFERROR(VLOOKUP(DATE($K$1,$K$2,FOB$4),Table1[],(MATCH(Calendar!$A19,DB!$1:$1,0)),FALSE),"")</f>
        <v/>
      </c>
      <c r="FOC19" s="28" t="str">
        <f>IFERROR(VLOOKUP(DATE($K$1,$K$2,FOC$4),Table1[],(MATCH(Calendar!$A19,DB!$1:$1,0)),FALSE),"")</f>
        <v/>
      </c>
      <c r="FOD19" s="28" t="str">
        <f>IFERROR(VLOOKUP(DATE($K$1,$K$2,FOD$4),Table1[],(MATCH(Calendar!$A19,DB!$1:$1,0)),FALSE),"")</f>
        <v/>
      </c>
      <c r="FOE19" s="28" t="str">
        <f>IFERROR(VLOOKUP(DATE($K$1,$K$2,FOE$4),Table1[],(MATCH(Calendar!$A19,DB!$1:$1,0)),FALSE),"")</f>
        <v/>
      </c>
      <c r="FOF19" s="28" t="str">
        <f>IFERROR(VLOOKUP(DATE($K$1,$K$2,FOF$4),Table1[],(MATCH(Calendar!$A19,DB!$1:$1,0)),FALSE),"")</f>
        <v/>
      </c>
      <c r="FOG19" s="28" t="str">
        <f>IFERROR(VLOOKUP(DATE($K$1,$K$2,FOG$4),Table1[],(MATCH(Calendar!$A19,DB!$1:$1,0)),FALSE),"")</f>
        <v/>
      </c>
      <c r="FOH19" s="28" t="str">
        <f>IFERROR(VLOOKUP(DATE($K$1,$K$2,FOH$4),Table1[],(MATCH(Calendar!$A19,DB!$1:$1,0)),FALSE),"")</f>
        <v/>
      </c>
      <c r="FOI19" s="28" t="str">
        <f>IFERROR(VLOOKUP(DATE($K$1,$K$2,FOI$4),Table1[],(MATCH(Calendar!$A19,DB!$1:$1,0)),FALSE),"")</f>
        <v/>
      </c>
      <c r="FOJ19" s="28" t="str">
        <f>IFERROR(VLOOKUP(DATE($K$1,$K$2,FOJ$4),Table1[],(MATCH(Calendar!$A19,DB!$1:$1,0)),FALSE),"")</f>
        <v/>
      </c>
      <c r="FOK19" s="28" t="str">
        <f>IFERROR(VLOOKUP(DATE($K$1,$K$2,FOK$4),Table1[],(MATCH(Calendar!$A19,DB!$1:$1,0)),FALSE),"")</f>
        <v/>
      </c>
      <c r="FOL19" s="28" t="str">
        <f>IFERROR(VLOOKUP(DATE($K$1,$K$2,FOL$4),Table1[],(MATCH(Calendar!$A19,DB!$1:$1,0)),FALSE),"")</f>
        <v/>
      </c>
      <c r="FOM19" s="28" t="str">
        <f>IFERROR(VLOOKUP(DATE($K$1,$K$2,FOM$4),Table1[],(MATCH(Calendar!$A19,DB!$1:$1,0)),FALSE),"")</f>
        <v/>
      </c>
      <c r="FON19" s="28" t="str">
        <f>IFERROR(VLOOKUP(DATE($K$1,$K$2,FON$4),Table1[],(MATCH(Calendar!$A19,DB!$1:$1,0)),FALSE),"")</f>
        <v/>
      </c>
      <c r="FOO19" s="28" t="str">
        <f>IFERROR(VLOOKUP(DATE($K$1,$K$2,FOO$4),Table1[],(MATCH(Calendar!$A19,DB!$1:$1,0)),FALSE),"")</f>
        <v/>
      </c>
      <c r="FOP19" s="28" t="str">
        <f>IFERROR(VLOOKUP(DATE($K$1,$K$2,FOP$4),Table1[],(MATCH(Calendar!$A19,DB!$1:$1,0)),FALSE),"")</f>
        <v/>
      </c>
      <c r="FOQ19" s="28" t="str">
        <f>IFERROR(VLOOKUP(DATE($K$1,$K$2,FOQ$4),Table1[],(MATCH(Calendar!$A19,DB!$1:$1,0)),FALSE),"")</f>
        <v/>
      </c>
      <c r="FOR19" s="28" t="str">
        <f>IFERROR(VLOOKUP(DATE($K$1,$K$2,FOR$4),Table1[],(MATCH(Calendar!$A19,DB!$1:$1,0)),FALSE),"")</f>
        <v/>
      </c>
      <c r="FOS19" s="28" t="str">
        <f>IFERROR(VLOOKUP(DATE($K$1,$K$2,FOS$4),Table1[],(MATCH(Calendar!$A19,DB!$1:$1,0)),FALSE),"")</f>
        <v/>
      </c>
      <c r="FOT19" s="28" t="str">
        <f>IFERROR(VLOOKUP(DATE($K$1,$K$2,FOT$4),Table1[],(MATCH(Calendar!$A19,DB!$1:$1,0)),FALSE),"")</f>
        <v/>
      </c>
      <c r="FOU19" s="28" t="str">
        <f>IFERROR(VLOOKUP(DATE($K$1,$K$2,FOU$4),Table1[],(MATCH(Calendar!$A19,DB!$1:$1,0)),FALSE),"")</f>
        <v/>
      </c>
      <c r="FOV19" s="28" t="str">
        <f>IFERROR(VLOOKUP(DATE($K$1,$K$2,FOV$4),Table1[],(MATCH(Calendar!$A19,DB!$1:$1,0)),FALSE),"")</f>
        <v/>
      </c>
      <c r="FOW19" s="28" t="str">
        <f>IFERROR(VLOOKUP(DATE($K$1,$K$2,FOW$4),Table1[],(MATCH(Calendar!$A19,DB!$1:$1,0)),FALSE),"")</f>
        <v/>
      </c>
      <c r="FOX19" s="28" t="str">
        <f>IFERROR(VLOOKUP(DATE($K$1,$K$2,FOX$4),Table1[],(MATCH(Calendar!$A19,DB!$1:$1,0)),FALSE),"")</f>
        <v/>
      </c>
      <c r="FOY19" s="28" t="str">
        <f>IFERROR(VLOOKUP(DATE($K$1,$K$2,FOY$4),Table1[],(MATCH(Calendar!$A19,DB!$1:$1,0)),FALSE),"")</f>
        <v/>
      </c>
      <c r="FOZ19" s="28" t="str">
        <f>IFERROR(VLOOKUP(DATE($K$1,$K$2,FOZ$4),Table1[],(MATCH(Calendar!$A19,DB!$1:$1,0)),FALSE),"")</f>
        <v/>
      </c>
      <c r="FPA19" s="28" t="str">
        <f>IFERROR(VLOOKUP(DATE($K$1,$K$2,FPA$4),Table1[],(MATCH(Calendar!$A19,DB!$1:$1,0)),FALSE),"")</f>
        <v/>
      </c>
      <c r="FPB19" s="28" t="str">
        <f>IFERROR(VLOOKUP(DATE($K$1,$K$2,FPB$4),Table1[],(MATCH(Calendar!$A19,DB!$1:$1,0)),FALSE),"")</f>
        <v/>
      </c>
      <c r="FPC19" s="28" t="str">
        <f>IFERROR(VLOOKUP(DATE($K$1,$K$2,FPC$4),Table1[],(MATCH(Calendar!$A19,DB!$1:$1,0)),FALSE),"")</f>
        <v/>
      </c>
      <c r="FPD19" s="28" t="str">
        <f>IFERROR(VLOOKUP(DATE($K$1,$K$2,FPD$4),Table1[],(MATCH(Calendar!$A19,DB!$1:$1,0)),FALSE),"")</f>
        <v/>
      </c>
      <c r="FPE19" s="28" t="str">
        <f>IFERROR(VLOOKUP(DATE($K$1,$K$2,FPE$4),Table1[],(MATCH(Calendar!$A19,DB!$1:$1,0)),FALSE),"")</f>
        <v/>
      </c>
      <c r="FPF19" s="28" t="str">
        <f>IFERROR(VLOOKUP(DATE($K$1,$K$2,FPF$4),Table1[],(MATCH(Calendar!$A19,DB!$1:$1,0)),FALSE),"")</f>
        <v/>
      </c>
      <c r="FPG19" s="28" t="str">
        <f>IFERROR(VLOOKUP(DATE($K$1,$K$2,FPG$4),Table1[],(MATCH(Calendar!$A19,DB!$1:$1,0)),FALSE),"")</f>
        <v/>
      </c>
      <c r="FPH19" s="28" t="str">
        <f>IFERROR(VLOOKUP(DATE($K$1,$K$2,FPH$4),Table1[],(MATCH(Calendar!$A19,DB!$1:$1,0)),FALSE),"")</f>
        <v/>
      </c>
      <c r="FPI19" s="28" t="str">
        <f>IFERROR(VLOOKUP(DATE($K$1,$K$2,FPI$4),Table1[],(MATCH(Calendar!$A19,DB!$1:$1,0)),FALSE),"")</f>
        <v/>
      </c>
      <c r="FPJ19" s="28" t="str">
        <f>IFERROR(VLOOKUP(DATE($K$1,$K$2,FPJ$4),Table1[],(MATCH(Calendar!$A19,DB!$1:$1,0)),FALSE),"")</f>
        <v/>
      </c>
      <c r="FPK19" s="28" t="str">
        <f>IFERROR(VLOOKUP(DATE($K$1,$K$2,FPK$4),Table1[],(MATCH(Calendar!$A19,DB!$1:$1,0)),FALSE),"")</f>
        <v/>
      </c>
      <c r="FPL19" s="28" t="str">
        <f>IFERROR(VLOOKUP(DATE($K$1,$K$2,FPL$4),Table1[],(MATCH(Calendar!$A19,DB!$1:$1,0)),FALSE),"")</f>
        <v/>
      </c>
      <c r="FPM19" s="28" t="str">
        <f>IFERROR(VLOOKUP(DATE($K$1,$K$2,FPM$4),Table1[],(MATCH(Calendar!$A19,DB!$1:$1,0)),FALSE),"")</f>
        <v/>
      </c>
      <c r="FPN19" s="28" t="str">
        <f>IFERROR(VLOOKUP(DATE($K$1,$K$2,FPN$4),Table1[],(MATCH(Calendar!$A19,DB!$1:$1,0)),FALSE),"")</f>
        <v/>
      </c>
      <c r="FPO19" s="28" t="str">
        <f>IFERROR(VLOOKUP(DATE($K$1,$K$2,FPO$4),Table1[],(MATCH(Calendar!$A19,DB!$1:$1,0)),FALSE),"")</f>
        <v/>
      </c>
      <c r="FPP19" s="28" t="str">
        <f>IFERROR(VLOOKUP(DATE($K$1,$K$2,FPP$4),Table1[],(MATCH(Calendar!$A19,DB!$1:$1,0)),FALSE),"")</f>
        <v/>
      </c>
      <c r="FPQ19" s="28" t="str">
        <f>IFERROR(VLOOKUP(DATE($K$1,$K$2,FPQ$4),Table1[],(MATCH(Calendar!$A19,DB!$1:$1,0)),FALSE),"")</f>
        <v/>
      </c>
      <c r="FPR19" s="28" t="str">
        <f>IFERROR(VLOOKUP(DATE($K$1,$K$2,FPR$4),Table1[],(MATCH(Calendar!$A19,DB!$1:$1,0)),FALSE),"")</f>
        <v/>
      </c>
      <c r="FPS19" s="28" t="str">
        <f>IFERROR(VLOOKUP(DATE($K$1,$K$2,FPS$4),Table1[],(MATCH(Calendar!$A19,DB!$1:$1,0)),FALSE),"")</f>
        <v/>
      </c>
      <c r="FPT19" s="28" t="str">
        <f>IFERROR(VLOOKUP(DATE($K$1,$K$2,FPT$4),Table1[],(MATCH(Calendar!$A19,DB!$1:$1,0)),FALSE),"")</f>
        <v/>
      </c>
      <c r="FPU19" s="28" t="str">
        <f>IFERROR(VLOOKUP(DATE($K$1,$K$2,FPU$4),Table1[],(MATCH(Calendar!$A19,DB!$1:$1,0)),FALSE),"")</f>
        <v/>
      </c>
      <c r="FPV19" s="28" t="str">
        <f>IFERROR(VLOOKUP(DATE($K$1,$K$2,FPV$4),Table1[],(MATCH(Calendar!$A19,DB!$1:$1,0)),FALSE),"")</f>
        <v/>
      </c>
      <c r="FPW19" s="28" t="str">
        <f>IFERROR(VLOOKUP(DATE($K$1,$K$2,FPW$4),Table1[],(MATCH(Calendar!$A19,DB!$1:$1,0)),FALSE),"")</f>
        <v/>
      </c>
      <c r="FPX19" s="28" t="str">
        <f>IFERROR(VLOOKUP(DATE($K$1,$K$2,FPX$4),Table1[],(MATCH(Calendar!$A19,DB!$1:$1,0)),FALSE),"")</f>
        <v/>
      </c>
      <c r="FPY19" s="28" t="str">
        <f>IFERROR(VLOOKUP(DATE($K$1,$K$2,FPY$4),Table1[],(MATCH(Calendar!$A19,DB!$1:$1,0)),FALSE),"")</f>
        <v/>
      </c>
      <c r="FPZ19" s="28" t="str">
        <f>IFERROR(VLOOKUP(DATE($K$1,$K$2,FPZ$4),Table1[],(MATCH(Calendar!$A19,DB!$1:$1,0)),FALSE),"")</f>
        <v/>
      </c>
      <c r="FQA19" s="28" t="str">
        <f>IFERROR(VLOOKUP(DATE($K$1,$K$2,FQA$4),Table1[],(MATCH(Calendar!$A19,DB!$1:$1,0)),FALSE),"")</f>
        <v/>
      </c>
      <c r="FQB19" s="28" t="str">
        <f>IFERROR(VLOOKUP(DATE($K$1,$K$2,FQB$4),Table1[],(MATCH(Calendar!$A19,DB!$1:$1,0)),FALSE),"")</f>
        <v/>
      </c>
      <c r="FQC19" s="28" t="str">
        <f>IFERROR(VLOOKUP(DATE($K$1,$K$2,FQC$4),Table1[],(MATCH(Calendar!$A19,DB!$1:$1,0)),FALSE),"")</f>
        <v/>
      </c>
      <c r="FQD19" s="28" t="str">
        <f>IFERROR(VLOOKUP(DATE($K$1,$K$2,FQD$4),Table1[],(MATCH(Calendar!$A19,DB!$1:$1,0)),FALSE),"")</f>
        <v/>
      </c>
      <c r="FQE19" s="28" t="str">
        <f>IFERROR(VLOOKUP(DATE($K$1,$K$2,FQE$4),Table1[],(MATCH(Calendar!$A19,DB!$1:$1,0)),FALSE),"")</f>
        <v/>
      </c>
      <c r="FQF19" s="28" t="str">
        <f>IFERROR(VLOOKUP(DATE($K$1,$K$2,FQF$4),Table1[],(MATCH(Calendar!$A19,DB!$1:$1,0)),FALSE),"")</f>
        <v/>
      </c>
      <c r="FQG19" s="28" t="str">
        <f>IFERROR(VLOOKUP(DATE($K$1,$K$2,FQG$4),Table1[],(MATCH(Calendar!$A19,DB!$1:$1,0)),FALSE),"")</f>
        <v/>
      </c>
      <c r="FQH19" s="28" t="str">
        <f>IFERROR(VLOOKUP(DATE($K$1,$K$2,FQH$4),Table1[],(MATCH(Calendar!$A19,DB!$1:$1,0)),FALSE),"")</f>
        <v/>
      </c>
      <c r="FQI19" s="28" t="str">
        <f>IFERROR(VLOOKUP(DATE($K$1,$K$2,FQI$4),Table1[],(MATCH(Calendar!$A19,DB!$1:$1,0)),FALSE),"")</f>
        <v/>
      </c>
      <c r="FQJ19" s="28" t="str">
        <f>IFERROR(VLOOKUP(DATE($K$1,$K$2,FQJ$4),Table1[],(MATCH(Calendar!$A19,DB!$1:$1,0)),FALSE),"")</f>
        <v/>
      </c>
      <c r="FQK19" s="28" t="str">
        <f>IFERROR(VLOOKUP(DATE($K$1,$K$2,FQK$4),Table1[],(MATCH(Calendar!$A19,DB!$1:$1,0)),FALSE),"")</f>
        <v/>
      </c>
      <c r="FQL19" s="28" t="str">
        <f>IFERROR(VLOOKUP(DATE($K$1,$K$2,FQL$4),Table1[],(MATCH(Calendar!$A19,DB!$1:$1,0)),FALSE),"")</f>
        <v/>
      </c>
      <c r="FQM19" s="28" t="str">
        <f>IFERROR(VLOOKUP(DATE($K$1,$K$2,FQM$4),Table1[],(MATCH(Calendar!$A19,DB!$1:$1,0)),FALSE),"")</f>
        <v/>
      </c>
      <c r="FQN19" s="28" t="str">
        <f>IFERROR(VLOOKUP(DATE($K$1,$K$2,FQN$4),Table1[],(MATCH(Calendar!$A19,DB!$1:$1,0)),FALSE),"")</f>
        <v/>
      </c>
      <c r="FQO19" s="28" t="str">
        <f>IFERROR(VLOOKUP(DATE($K$1,$K$2,FQO$4),Table1[],(MATCH(Calendar!$A19,DB!$1:$1,0)),FALSE),"")</f>
        <v/>
      </c>
      <c r="FQP19" s="28" t="str">
        <f>IFERROR(VLOOKUP(DATE($K$1,$K$2,FQP$4),Table1[],(MATCH(Calendar!$A19,DB!$1:$1,0)),FALSE),"")</f>
        <v/>
      </c>
      <c r="FQQ19" s="28" t="str">
        <f>IFERROR(VLOOKUP(DATE($K$1,$K$2,FQQ$4),Table1[],(MATCH(Calendar!$A19,DB!$1:$1,0)),FALSE),"")</f>
        <v/>
      </c>
      <c r="FQR19" s="28" t="str">
        <f>IFERROR(VLOOKUP(DATE($K$1,$K$2,FQR$4),Table1[],(MATCH(Calendar!$A19,DB!$1:$1,0)),FALSE),"")</f>
        <v/>
      </c>
      <c r="FQS19" s="28" t="str">
        <f>IFERROR(VLOOKUP(DATE($K$1,$K$2,FQS$4),Table1[],(MATCH(Calendar!$A19,DB!$1:$1,0)),FALSE),"")</f>
        <v/>
      </c>
      <c r="FQT19" s="28" t="str">
        <f>IFERROR(VLOOKUP(DATE($K$1,$K$2,FQT$4),Table1[],(MATCH(Calendar!$A19,DB!$1:$1,0)),FALSE),"")</f>
        <v/>
      </c>
      <c r="FQU19" s="28" t="str">
        <f>IFERROR(VLOOKUP(DATE($K$1,$K$2,FQU$4),Table1[],(MATCH(Calendar!$A19,DB!$1:$1,0)),FALSE),"")</f>
        <v/>
      </c>
      <c r="FQV19" s="28" t="str">
        <f>IFERROR(VLOOKUP(DATE($K$1,$K$2,FQV$4),Table1[],(MATCH(Calendar!$A19,DB!$1:$1,0)),FALSE),"")</f>
        <v/>
      </c>
      <c r="FQW19" s="28" t="str">
        <f>IFERROR(VLOOKUP(DATE($K$1,$K$2,FQW$4),Table1[],(MATCH(Calendar!$A19,DB!$1:$1,0)),FALSE),"")</f>
        <v/>
      </c>
      <c r="FQX19" s="28" t="str">
        <f>IFERROR(VLOOKUP(DATE($K$1,$K$2,FQX$4),Table1[],(MATCH(Calendar!$A19,DB!$1:$1,0)),FALSE),"")</f>
        <v/>
      </c>
      <c r="FQY19" s="28" t="str">
        <f>IFERROR(VLOOKUP(DATE($K$1,$K$2,FQY$4),Table1[],(MATCH(Calendar!$A19,DB!$1:$1,0)),FALSE),"")</f>
        <v/>
      </c>
      <c r="FQZ19" s="28" t="str">
        <f>IFERROR(VLOOKUP(DATE($K$1,$K$2,FQZ$4),Table1[],(MATCH(Calendar!$A19,DB!$1:$1,0)),FALSE),"")</f>
        <v/>
      </c>
      <c r="FRA19" s="28" t="str">
        <f>IFERROR(VLOOKUP(DATE($K$1,$K$2,FRA$4),Table1[],(MATCH(Calendar!$A19,DB!$1:$1,0)),FALSE),"")</f>
        <v/>
      </c>
      <c r="FRB19" s="28" t="str">
        <f>IFERROR(VLOOKUP(DATE($K$1,$K$2,FRB$4),Table1[],(MATCH(Calendar!$A19,DB!$1:$1,0)),FALSE),"")</f>
        <v/>
      </c>
      <c r="FRC19" s="28" t="str">
        <f>IFERROR(VLOOKUP(DATE($K$1,$K$2,FRC$4),Table1[],(MATCH(Calendar!$A19,DB!$1:$1,0)),FALSE),"")</f>
        <v/>
      </c>
      <c r="FRD19" s="28" t="str">
        <f>IFERROR(VLOOKUP(DATE($K$1,$K$2,FRD$4),Table1[],(MATCH(Calendar!$A19,DB!$1:$1,0)),FALSE),"")</f>
        <v/>
      </c>
      <c r="FRE19" s="28" t="str">
        <f>IFERROR(VLOOKUP(DATE($K$1,$K$2,FRE$4),Table1[],(MATCH(Calendar!$A19,DB!$1:$1,0)),FALSE),"")</f>
        <v/>
      </c>
      <c r="FRF19" s="28" t="str">
        <f>IFERROR(VLOOKUP(DATE($K$1,$K$2,FRF$4),Table1[],(MATCH(Calendar!$A19,DB!$1:$1,0)),FALSE),"")</f>
        <v/>
      </c>
      <c r="FRG19" s="28" t="str">
        <f>IFERROR(VLOOKUP(DATE($K$1,$K$2,FRG$4),Table1[],(MATCH(Calendar!$A19,DB!$1:$1,0)),FALSE),"")</f>
        <v/>
      </c>
      <c r="FRH19" s="28" t="str">
        <f>IFERROR(VLOOKUP(DATE($K$1,$K$2,FRH$4),Table1[],(MATCH(Calendar!$A19,DB!$1:$1,0)),FALSE),"")</f>
        <v/>
      </c>
      <c r="FRI19" s="28" t="str">
        <f>IFERROR(VLOOKUP(DATE($K$1,$K$2,FRI$4),Table1[],(MATCH(Calendar!$A19,DB!$1:$1,0)),FALSE),"")</f>
        <v/>
      </c>
      <c r="FRJ19" s="28" t="str">
        <f>IFERROR(VLOOKUP(DATE($K$1,$K$2,FRJ$4),Table1[],(MATCH(Calendar!$A19,DB!$1:$1,0)),FALSE),"")</f>
        <v/>
      </c>
      <c r="FRK19" s="28" t="str">
        <f>IFERROR(VLOOKUP(DATE($K$1,$K$2,FRK$4),Table1[],(MATCH(Calendar!$A19,DB!$1:$1,0)),FALSE),"")</f>
        <v/>
      </c>
      <c r="FRL19" s="28" t="str">
        <f>IFERROR(VLOOKUP(DATE($K$1,$K$2,FRL$4),Table1[],(MATCH(Calendar!$A19,DB!$1:$1,0)),FALSE),"")</f>
        <v/>
      </c>
      <c r="FRM19" s="28" t="str">
        <f>IFERROR(VLOOKUP(DATE($K$1,$K$2,FRM$4),Table1[],(MATCH(Calendar!$A19,DB!$1:$1,0)),FALSE),"")</f>
        <v/>
      </c>
      <c r="FRN19" s="28" t="str">
        <f>IFERROR(VLOOKUP(DATE($K$1,$K$2,FRN$4),Table1[],(MATCH(Calendar!$A19,DB!$1:$1,0)),FALSE),"")</f>
        <v/>
      </c>
      <c r="FRO19" s="28" t="str">
        <f>IFERROR(VLOOKUP(DATE($K$1,$K$2,FRO$4),Table1[],(MATCH(Calendar!$A19,DB!$1:$1,0)),FALSE),"")</f>
        <v/>
      </c>
      <c r="FRP19" s="28" t="str">
        <f>IFERROR(VLOOKUP(DATE($K$1,$K$2,FRP$4),Table1[],(MATCH(Calendar!$A19,DB!$1:$1,0)),FALSE),"")</f>
        <v/>
      </c>
      <c r="FRQ19" s="28" t="str">
        <f>IFERROR(VLOOKUP(DATE($K$1,$K$2,FRQ$4),Table1[],(MATCH(Calendar!$A19,DB!$1:$1,0)),FALSE),"")</f>
        <v/>
      </c>
      <c r="FRR19" s="28" t="str">
        <f>IFERROR(VLOOKUP(DATE($K$1,$K$2,FRR$4),Table1[],(MATCH(Calendar!$A19,DB!$1:$1,0)),FALSE),"")</f>
        <v/>
      </c>
      <c r="FRS19" s="28" t="str">
        <f>IFERROR(VLOOKUP(DATE($K$1,$K$2,FRS$4),Table1[],(MATCH(Calendar!$A19,DB!$1:$1,0)),FALSE),"")</f>
        <v/>
      </c>
      <c r="FRT19" s="28" t="str">
        <f>IFERROR(VLOOKUP(DATE($K$1,$K$2,FRT$4),Table1[],(MATCH(Calendar!$A19,DB!$1:$1,0)),FALSE),"")</f>
        <v/>
      </c>
      <c r="FRU19" s="28" t="str">
        <f>IFERROR(VLOOKUP(DATE($K$1,$K$2,FRU$4),Table1[],(MATCH(Calendar!$A19,DB!$1:$1,0)),FALSE),"")</f>
        <v/>
      </c>
      <c r="FRV19" s="28" t="str">
        <f>IFERROR(VLOOKUP(DATE($K$1,$K$2,FRV$4),Table1[],(MATCH(Calendar!$A19,DB!$1:$1,0)),FALSE),"")</f>
        <v/>
      </c>
      <c r="FRW19" s="28" t="str">
        <f>IFERROR(VLOOKUP(DATE($K$1,$K$2,FRW$4),Table1[],(MATCH(Calendar!$A19,DB!$1:$1,0)),FALSE),"")</f>
        <v/>
      </c>
      <c r="FRX19" s="28" t="str">
        <f>IFERROR(VLOOKUP(DATE($K$1,$K$2,FRX$4),Table1[],(MATCH(Calendar!$A19,DB!$1:$1,0)),FALSE),"")</f>
        <v/>
      </c>
      <c r="FRY19" s="28" t="str">
        <f>IFERROR(VLOOKUP(DATE($K$1,$K$2,FRY$4),Table1[],(MATCH(Calendar!$A19,DB!$1:$1,0)),FALSE),"")</f>
        <v/>
      </c>
      <c r="FRZ19" s="28" t="str">
        <f>IFERROR(VLOOKUP(DATE($K$1,$K$2,FRZ$4),Table1[],(MATCH(Calendar!$A19,DB!$1:$1,0)),FALSE),"")</f>
        <v/>
      </c>
      <c r="FSA19" s="28" t="str">
        <f>IFERROR(VLOOKUP(DATE($K$1,$K$2,FSA$4),Table1[],(MATCH(Calendar!$A19,DB!$1:$1,0)),FALSE),"")</f>
        <v/>
      </c>
      <c r="FSB19" s="28" t="str">
        <f>IFERROR(VLOOKUP(DATE($K$1,$K$2,FSB$4),Table1[],(MATCH(Calendar!$A19,DB!$1:$1,0)),FALSE),"")</f>
        <v/>
      </c>
      <c r="FSC19" s="28" t="str">
        <f>IFERROR(VLOOKUP(DATE($K$1,$K$2,FSC$4),Table1[],(MATCH(Calendar!$A19,DB!$1:$1,0)),FALSE),"")</f>
        <v/>
      </c>
      <c r="FSD19" s="28" t="str">
        <f>IFERROR(VLOOKUP(DATE($K$1,$K$2,FSD$4),Table1[],(MATCH(Calendar!$A19,DB!$1:$1,0)),FALSE),"")</f>
        <v/>
      </c>
      <c r="FSE19" s="28" t="str">
        <f>IFERROR(VLOOKUP(DATE($K$1,$K$2,FSE$4),Table1[],(MATCH(Calendar!$A19,DB!$1:$1,0)),FALSE),"")</f>
        <v/>
      </c>
      <c r="FSF19" s="28" t="str">
        <f>IFERROR(VLOOKUP(DATE($K$1,$K$2,FSF$4),Table1[],(MATCH(Calendar!$A19,DB!$1:$1,0)),FALSE),"")</f>
        <v/>
      </c>
      <c r="FSG19" s="28" t="str">
        <f>IFERROR(VLOOKUP(DATE($K$1,$K$2,FSG$4),Table1[],(MATCH(Calendar!$A19,DB!$1:$1,0)),FALSE),"")</f>
        <v/>
      </c>
      <c r="FSH19" s="28" t="str">
        <f>IFERROR(VLOOKUP(DATE($K$1,$K$2,FSH$4),Table1[],(MATCH(Calendar!$A19,DB!$1:$1,0)),FALSE),"")</f>
        <v/>
      </c>
      <c r="FSI19" s="28" t="str">
        <f>IFERROR(VLOOKUP(DATE($K$1,$K$2,FSI$4),Table1[],(MATCH(Calendar!$A19,DB!$1:$1,0)),FALSE),"")</f>
        <v/>
      </c>
      <c r="FSJ19" s="28" t="str">
        <f>IFERROR(VLOOKUP(DATE($K$1,$K$2,FSJ$4),Table1[],(MATCH(Calendar!$A19,DB!$1:$1,0)),FALSE),"")</f>
        <v/>
      </c>
      <c r="FSK19" s="28" t="str">
        <f>IFERROR(VLOOKUP(DATE($K$1,$K$2,FSK$4),Table1[],(MATCH(Calendar!$A19,DB!$1:$1,0)),FALSE),"")</f>
        <v/>
      </c>
      <c r="FSL19" s="28" t="str">
        <f>IFERROR(VLOOKUP(DATE($K$1,$K$2,FSL$4),Table1[],(MATCH(Calendar!$A19,DB!$1:$1,0)),FALSE),"")</f>
        <v/>
      </c>
      <c r="FSM19" s="28" t="str">
        <f>IFERROR(VLOOKUP(DATE($K$1,$K$2,FSM$4),Table1[],(MATCH(Calendar!$A19,DB!$1:$1,0)),FALSE),"")</f>
        <v/>
      </c>
      <c r="FSN19" s="28" t="str">
        <f>IFERROR(VLOOKUP(DATE($K$1,$K$2,FSN$4),Table1[],(MATCH(Calendar!$A19,DB!$1:$1,0)),FALSE),"")</f>
        <v/>
      </c>
      <c r="FSO19" s="28" t="str">
        <f>IFERROR(VLOOKUP(DATE($K$1,$K$2,FSO$4),Table1[],(MATCH(Calendar!$A19,DB!$1:$1,0)),FALSE),"")</f>
        <v/>
      </c>
      <c r="FSP19" s="28" t="str">
        <f>IFERROR(VLOOKUP(DATE($K$1,$K$2,FSP$4),Table1[],(MATCH(Calendar!$A19,DB!$1:$1,0)),FALSE),"")</f>
        <v/>
      </c>
      <c r="FSQ19" s="28" t="str">
        <f>IFERROR(VLOOKUP(DATE($K$1,$K$2,FSQ$4),Table1[],(MATCH(Calendar!$A19,DB!$1:$1,0)),FALSE),"")</f>
        <v/>
      </c>
      <c r="FSR19" s="28" t="str">
        <f>IFERROR(VLOOKUP(DATE($K$1,$K$2,FSR$4),Table1[],(MATCH(Calendar!$A19,DB!$1:$1,0)),FALSE),"")</f>
        <v/>
      </c>
      <c r="FSS19" s="28" t="str">
        <f>IFERROR(VLOOKUP(DATE($K$1,$K$2,FSS$4),Table1[],(MATCH(Calendar!$A19,DB!$1:$1,0)),FALSE),"")</f>
        <v/>
      </c>
      <c r="FST19" s="28" t="str">
        <f>IFERROR(VLOOKUP(DATE($K$1,$K$2,FST$4),Table1[],(MATCH(Calendar!$A19,DB!$1:$1,0)),FALSE),"")</f>
        <v/>
      </c>
      <c r="FSU19" s="28" t="str">
        <f>IFERROR(VLOOKUP(DATE($K$1,$K$2,FSU$4),Table1[],(MATCH(Calendar!$A19,DB!$1:$1,0)),FALSE),"")</f>
        <v/>
      </c>
      <c r="FSV19" s="28" t="str">
        <f>IFERROR(VLOOKUP(DATE($K$1,$K$2,FSV$4),Table1[],(MATCH(Calendar!$A19,DB!$1:$1,0)),FALSE),"")</f>
        <v/>
      </c>
      <c r="FSW19" s="28" t="str">
        <f>IFERROR(VLOOKUP(DATE($K$1,$K$2,FSW$4),Table1[],(MATCH(Calendar!$A19,DB!$1:$1,0)),FALSE),"")</f>
        <v/>
      </c>
      <c r="FSX19" s="28" t="str">
        <f>IFERROR(VLOOKUP(DATE($K$1,$K$2,FSX$4),Table1[],(MATCH(Calendar!$A19,DB!$1:$1,0)),FALSE),"")</f>
        <v/>
      </c>
      <c r="FSY19" s="28" t="str">
        <f>IFERROR(VLOOKUP(DATE($K$1,$K$2,FSY$4),Table1[],(MATCH(Calendar!$A19,DB!$1:$1,0)),FALSE),"")</f>
        <v/>
      </c>
      <c r="FSZ19" s="28" t="str">
        <f>IFERROR(VLOOKUP(DATE($K$1,$K$2,FSZ$4),Table1[],(MATCH(Calendar!$A19,DB!$1:$1,0)),FALSE),"")</f>
        <v/>
      </c>
      <c r="FTA19" s="28" t="str">
        <f>IFERROR(VLOOKUP(DATE($K$1,$K$2,FTA$4),Table1[],(MATCH(Calendar!$A19,DB!$1:$1,0)),FALSE),"")</f>
        <v/>
      </c>
      <c r="FTB19" s="28" t="str">
        <f>IFERROR(VLOOKUP(DATE($K$1,$K$2,FTB$4),Table1[],(MATCH(Calendar!$A19,DB!$1:$1,0)),FALSE),"")</f>
        <v/>
      </c>
      <c r="FTC19" s="28" t="str">
        <f>IFERROR(VLOOKUP(DATE($K$1,$K$2,FTC$4),Table1[],(MATCH(Calendar!$A19,DB!$1:$1,0)),FALSE),"")</f>
        <v/>
      </c>
      <c r="FTD19" s="28" t="str">
        <f>IFERROR(VLOOKUP(DATE($K$1,$K$2,FTD$4),Table1[],(MATCH(Calendar!$A19,DB!$1:$1,0)),FALSE),"")</f>
        <v/>
      </c>
      <c r="FTE19" s="28" t="str">
        <f>IFERROR(VLOOKUP(DATE($K$1,$K$2,FTE$4),Table1[],(MATCH(Calendar!$A19,DB!$1:$1,0)),FALSE),"")</f>
        <v/>
      </c>
      <c r="FTF19" s="28" t="str">
        <f>IFERROR(VLOOKUP(DATE($K$1,$K$2,FTF$4),Table1[],(MATCH(Calendar!$A19,DB!$1:$1,0)),FALSE),"")</f>
        <v/>
      </c>
      <c r="FTG19" s="28" t="str">
        <f>IFERROR(VLOOKUP(DATE($K$1,$K$2,FTG$4),Table1[],(MATCH(Calendar!$A19,DB!$1:$1,0)),FALSE),"")</f>
        <v/>
      </c>
      <c r="FTH19" s="28" t="str">
        <f>IFERROR(VLOOKUP(DATE($K$1,$K$2,FTH$4),Table1[],(MATCH(Calendar!$A19,DB!$1:$1,0)),FALSE),"")</f>
        <v/>
      </c>
      <c r="FTI19" s="28" t="str">
        <f>IFERROR(VLOOKUP(DATE($K$1,$K$2,FTI$4),Table1[],(MATCH(Calendar!$A19,DB!$1:$1,0)),FALSE),"")</f>
        <v/>
      </c>
      <c r="FTJ19" s="28" t="str">
        <f>IFERROR(VLOOKUP(DATE($K$1,$K$2,FTJ$4),Table1[],(MATCH(Calendar!$A19,DB!$1:$1,0)),FALSE),"")</f>
        <v/>
      </c>
      <c r="FTK19" s="28" t="str">
        <f>IFERROR(VLOOKUP(DATE($K$1,$K$2,FTK$4),Table1[],(MATCH(Calendar!$A19,DB!$1:$1,0)),FALSE),"")</f>
        <v/>
      </c>
      <c r="FTL19" s="28" t="str">
        <f>IFERROR(VLOOKUP(DATE($K$1,$K$2,FTL$4),Table1[],(MATCH(Calendar!$A19,DB!$1:$1,0)),FALSE),"")</f>
        <v/>
      </c>
      <c r="FTM19" s="28" t="str">
        <f>IFERROR(VLOOKUP(DATE($K$1,$K$2,FTM$4),Table1[],(MATCH(Calendar!$A19,DB!$1:$1,0)),FALSE),"")</f>
        <v/>
      </c>
      <c r="FTN19" s="28" t="str">
        <f>IFERROR(VLOOKUP(DATE($K$1,$K$2,FTN$4),Table1[],(MATCH(Calendar!$A19,DB!$1:$1,0)),FALSE),"")</f>
        <v/>
      </c>
      <c r="FTO19" s="28" t="str">
        <f>IFERROR(VLOOKUP(DATE($K$1,$K$2,FTO$4),Table1[],(MATCH(Calendar!$A19,DB!$1:$1,0)),FALSE),"")</f>
        <v/>
      </c>
      <c r="FTP19" s="28" t="str">
        <f>IFERROR(VLOOKUP(DATE($K$1,$K$2,FTP$4),Table1[],(MATCH(Calendar!$A19,DB!$1:$1,0)),FALSE),"")</f>
        <v/>
      </c>
      <c r="FTQ19" s="28" t="str">
        <f>IFERROR(VLOOKUP(DATE($K$1,$K$2,FTQ$4),Table1[],(MATCH(Calendar!$A19,DB!$1:$1,0)),FALSE),"")</f>
        <v/>
      </c>
      <c r="FTR19" s="28" t="str">
        <f>IFERROR(VLOOKUP(DATE($K$1,$K$2,FTR$4),Table1[],(MATCH(Calendar!$A19,DB!$1:$1,0)),FALSE),"")</f>
        <v/>
      </c>
      <c r="FTS19" s="28" t="str">
        <f>IFERROR(VLOOKUP(DATE($K$1,$K$2,FTS$4),Table1[],(MATCH(Calendar!$A19,DB!$1:$1,0)),FALSE),"")</f>
        <v/>
      </c>
      <c r="FTT19" s="28" t="str">
        <f>IFERROR(VLOOKUP(DATE($K$1,$K$2,FTT$4),Table1[],(MATCH(Calendar!$A19,DB!$1:$1,0)),FALSE),"")</f>
        <v/>
      </c>
      <c r="FTU19" s="28" t="str">
        <f>IFERROR(VLOOKUP(DATE($K$1,$K$2,FTU$4),Table1[],(MATCH(Calendar!$A19,DB!$1:$1,0)),FALSE),"")</f>
        <v/>
      </c>
      <c r="FTV19" s="28" t="str">
        <f>IFERROR(VLOOKUP(DATE($K$1,$K$2,FTV$4),Table1[],(MATCH(Calendar!$A19,DB!$1:$1,0)),FALSE),"")</f>
        <v/>
      </c>
      <c r="FTW19" s="28" t="str">
        <f>IFERROR(VLOOKUP(DATE($K$1,$K$2,FTW$4),Table1[],(MATCH(Calendar!$A19,DB!$1:$1,0)),FALSE),"")</f>
        <v/>
      </c>
      <c r="FTX19" s="28" t="str">
        <f>IFERROR(VLOOKUP(DATE($K$1,$K$2,FTX$4),Table1[],(MATCH(Calendar!$A19,DB!$1:$1,0)),FALSE),"")</f>
        <v/>
      </c>
      <c r="FTY19" s="28" t="str">
        <f>IFERROR(VLOOKUP(DATE($K$1,$K$2,FTY$4),Table1[],(MATCH(Calendar!$A19,DB!$1:$1,0)),FALSE),"")</f>
        <v/>
      </c>
      <c r="FTZ19" s="28" t="str">
        <f>IFERROR(VLOOKUP(DATE($K$1,$K$2,FTZ$4),Table1[],(MATCH(Calendar!$A19,DB!$1:$1,0)),FALSE),"")</f>
        <v/>
      </c>
      <c r="FUA19" s="28" t="str">
        <f>IFERROR(VLOOKUP(DATE($K$1,$K$2,FUA$4),Table1[],(MATCH(Calendar!$A19,DB!$1:$1,0)),FALSE),"")</f>
        <v/>
      </c>
      <c r="FUB19" s="28" t="str">
        <f>IFERROR(VLOOKUP(DATE($K$1,$K$2,FUB$4),Table1[],(MATCH(Calendar!$A19,DB!$1:$1,0)),FALSE),"")</f>
        <v/>
      </c>
      <c r="FUC19" s="28" t="str">
        <f>IFERROR(VLOOKUP(DATE($K$1,$K$2,FUC$4),Table1[],(MATCH(Calendar!$A19,DB!$1:$1,0)),FALSE),"")</f>
        <v/>
      </c>
      <c r="FUD19" s="28" t="str">
        <f>IFERROR(VLOOKUP(DATE($K$1,$K$2,FUD$4),Table1[],(MATCH(Calendar!$A19,DB!$1:$1,0)),FALSE),"")</f>
        <v/>
      </c>
      <c r="FUE19" s="28" t="str">
        <f>IFERROR(VLOOKUP(DATE($K$1,$K$2,FUE$4),Table1[],(MATCH(Calendar!$A19,DB!$1:$1,0)),FALSE),"")</f>
        <v/>
      </c>
      <c r="FUF19" s="28" t="str">
        <f>IFERROR(VLOOKUP(DATE($K$1,$K$2,FUF$4),Table1[],(MATCH(Calendar!$A19,DB!$1:$1,0)),FALSE),"")</f>
        <v/>
      </c>
      <c r="FUG19" s="28" t="str">
        <f>IFERROR(VLOOKUP(DATE($K$1,$K$2,FUG$4),Table1[],(MATCH(Calendar!$A19,DB!$1:$1,0)),FALSE),"")</f>
        <v/>
      </c>
      <c r="FUH19" s="28" t="str">
        <f>IFERROR(VLOOKUP(DATE($K$1,$K$2,FUH$4),Table1[],(MATCH(Calendar!$A19,DB!$1:$1,0)),FALSE),"")</f>
        <v/>
      </c>
      <c r="FUI19" s="28" t="str">
        <f>IFERROR(VLOOKUP(DATE($K$1,$K$2,FUI$4),Table1[],(MATCH(Calendar!$A19,DB!$1:$1,0)),FALSE),"")</f>
        <v/>
      </c>
      <c r="FUJ19" s="28" t="str">
        <f>IFERROR(VLOOKUP(DATE($K$1,$K$2,FUJ$4),Table1[],(MATCH(Calendar!$A19,DB!$1:$1,0)),FALSE),"")</f>
        <v/>
      </c>
      <c r="FUK19" s="28" t="str">
        <f>IFERROR(VLOOKUP(DATE($K$1,$K$2,FUK$4),Table1[],(MATCH(Calendar!$A19,DB!$1:$1,0)),FALSE),"")</f>
        <v/>
      </c>
      <c r="FUL19" s="28" t="str">
        <f>IFERROR(VLOOKUP(DATE($K$1,$K$2,FUL$4),Table1[],(MATCH(Calendar!$A19,DB!$1:$1,0)),FALSE),"")</f>
        <v/>
      </c>
      <c r="FUM19" s="28" t="str">
        <f>IFERROR(VLOOKUP(DATE($K$1,$K$2,FUM$4),Table1[],(MATCH(Calendar!$A19,DB!$1:$1,0)),FALSE),"")</f>
        <v/>
      </c>
      <c r="FUN19" s="28" t="str">
        <f>IFERROR(VLOOKUP(DATE($K$1,$K$2,FUN$4),Table1[],(MATCH(Calendar!$A19,DB!$1:$1,0)),FALSE),"")</f>
        <v/>
      </c>
      <c r="FUO19" s="28" t="str">
        <f>IFERROR(VLOOKUP(DATE($K$1,$K$2,FUO$4),Table1[],(MATCH(Calendar!$A19,DB!$1:$1,0)),FALSE),"")</f>
        <v/>
      </c>
      <c r="FUP19" s="28" t="str">
        <f>IFERROR(VLOOKUP(DATE($K$1,$K$2,FUP$4),Table1[],(MATCH(Calendar!$A19,DB!$1:$1,0)),FALSE),"")</f>
        <v/>
      </c>
      <c r="FUQ19" s="28" t="str">
        <f>IFERROR(VLOOKUP(DATE($K$1,$K$2,FUQ$4),Table1[],(MATCH(Calendar!$A19,DB!$1:$1,0)),FALSE),"")</f>
        <v/>
      </c>
      <c r="FUR19" s="28" t="str">
        <f>IFERROR(VLOOKUP(DATE($K$1,$K$2,FUR$4),Table1[],(MATCH(Calendar!$A19,DB!$1:$1,0)),FALSE),"")</f>
        <v/>
      </c>
      <c r="FUS19" s="28" t="str">
        <f>IFERROR(VLOOKUP(DATE($K$1,$K$2,FUS$4),Table1[],(MATCH(Calendar!$A19,DB!$1:$1,0)),FALSE),"")</f>
        <v/>
      </c>
      <c r="FUT19" s="28" t="str">
        <f>IFERROR(VLOOKUP(DATE($K$1,$K$2,FUT$4),Table1[],(MATCH(Calendar!$A19,DB!$1:$1,0)),FALSE),"")</f>
        <v/>
      </c>
      <c r="FUU19" s="28" t="str">
        <f>IFERROR(VLOOKUP(DATE($K$1,$K$2,FUU$4),Table1[],(MATCH(Calendar!$A19,DB!$1:$1,0)),FALSE),"")</f>
        <v/>
      </c>
      <c r="FUV19" s="28" t="str">
        <f>IFERROR(VLOOKUP(DATE($K$1,$K$2,FUV$4),Table1[],(MATCH(Calendar!$A19,DB!$1:$1,0)),FALSE),"")</f>
        <v/>
      </c>
      <c r="FUW19" s="28" t="str">
        <f>IFERROR(VLOOKUP(DATE($K$1,$K$2,FUW$4),Table1[],(MATCH(Calendar!$A19,DB!$1:$1,0)),FALSE),"")</f>
        <v/>
      </c>
      <c r="FUX19" s="28" t="str">
        <f>IFERROR(VLOOKUP(DATE($K$1,$K$2,FUX$4),Table1[],(MATCH(Calendar!$A19,DB!$1:$1,0)),FALSE),"")</f>
        <v/>
      </c>
      <c r="FUY19" s="28" t="str">
        <f>IFERROR(VLOOKUP(DATE($K$1,$K$2,FUY$4),Table1[],(MATCH(Calendar!$A19,DB!$1:$1,0)),FALSE),"")</f>
        <v/>
      </c>
      <c r="FUZ19" s="28" t="str">
        <f>IFERROR(VLOOKUP(DATE($K$1,$K$2,FUZ$4),Table1[],(MATCH(Calendar!$A19,DB!$1:$1,0)),FALSE),"")</f>
        <v/>
      </c>
      <c r="FVA19" s="28" t="str">
        <f>IFERROR(VLOOKUP(DATE($K$1,$K$2,FVA$4),Table1[],(MATCH(Calendar!$A19,DB!$1:$1,0)),FALSE),"")</f>
        <v/>
      </c>
      <c r="FVB19" s="28" t="str">
        <f>IFERROR(VLOOKUP(DATE($K$1,$K$2,FVB$4),Table1[],(MATCH(Calendar!$A19,DB!$1:$1,0)),FALSE),"")</f>
        <v/>
      </c>
      <c r="FVC19" s="28" t="str">
        <f>IFERROR(VLOOKUP(DATE($K$1,$K$2,FVC$4),Table1[],(MATCH(Calendar!$A19,DB!$1:$1,0)),FALSE),"")</f>
        <v/>
      </c>
      <c r="FVD19" s="28" t="str">
        <f>IFERROR(VLOOKUP(DATE($K$1,$K$2,FVD$4),Table1[],(MATCH(Calendar!$A19,DB!$1:$1,0)),FALSE),"")</f>
        <v/>
      </c>
      <c r="FVE19" s="28" t="str">
        <f>IFERROR(VLOOKUP(DATE($K$1,$K$2,FVE$4),Table1[],(MATCH(Calendar!$A19,DB!$1:$1,0)),FALSE),"")</f>
        <v/>
      </c>
      <c r="FVF19" s="28" t="str">
        <f>IFERROR(VLOOKUP(DATE($K$1,$K$2,FVF$4),Table1[],(MATCH(Calendar!$A19,DB!$1:$1,0)),FALSE),"")</f>
        <v/>
      </c>
      <c r="FVG19" s="28" t="str">
        <f>IFERROR(VLOOKUP(DATE($K$1,$K$2,FVG$4),Table1[],(MATCH(Calendar!$A19,DB!$1:$1,0)),FALSE),"")</f>
        <v/>
      </c>
      <c r="FVH19" s="28" t="str">
        <f>IFERROR(VLOOKUP(DATE($K$1,$K$2,FVH$4),Table1[],(MATCH(Calendar!$A19,DB!$1:$1,0)),FALSE),"")</f>
        <v/>
      </c>
      <c r="FVI19" s="28" t="str">
        <f>IFERROR(VLOOKUP(DATE($K$1,$K$2,FVI$4),Table1[],(MATCH(Calendar!$A19,DB!$1:$1,0)),FALSE),"")</f>
        <v/>
      </c>
      <c r="FVJ19" s="28" t="str">
        <f>IFERROR(VLOOKUP(DATE($K$1,$K$2,FVJ$4),Table1[],(MATCH(Calendar!$A19,DB!$1:$1,0)),FALSE),"")</f>
        <v/>
      </c>
      <c r="FVK19" s="28" t="str">
        <f>IFERROR(VLOOKUP(DATE($K$1,$K$2,FVK$4),Table1[],(MATCH(Calendar!$A19,DB!$1:$1,0)),FALSE),"")</f>
        <v/>
      </c>
      <c r="FVL19" s="28" t="str">
        <f>IFERROR(VLOOKUP(DATE($K$1,$K$2,FVL$4),Table1[],(MATCH(Calendar!$A19,DB!$1:$1,0)),FALSE),"")</f>
        <v/>
      </c>
      <c r="FVM19" s="28" t="str">
        <f>IFERROR(VLOOKUP(DATE($K$1,$K$2,FVM$4),Table1[],(MATCH(Calendar!$A19,DB!$1:$1,0)),FALSE),"")</f>
        <v/>
      </c>
      <c r="FVN19" s="28" t="str">
        <f>IFERROR(VLOOKUP(DATE($K$1,$K$2,FVN$4),Table1[],(MATCH(Calendar!$A19,DB!$1:$1,0)),FALSE),"")</f>
        <v/>
      </c>
      <c r="FVO19" s="28" t="str">
        <f>IFERROR(VLOOKUP(DATE($K$1,$K$2,FVO$4),Table1[],(MATCH(Calendar!$A19,DB!$1:$1,0)),FALSE),"")</f>
        <v/>
      </c>
      <c r="FVP19" s="28" t="str">
        <f>IFERROR(VLOOKUP(DATE($K$1,$K$2,FVP$4),Table1[],(MATCH(Calendar!$A19,DB!$1:$1,0)),FALSE),"")</f>
        <v/>
      </c>
      <c r="FVQ19" s="28" t="str">
        <f>IFERROR(VLOOKUP(DATE($K$1,$K$2,FVQ$4),Table1[],(MATCH(Calendar!$A19,DB!$1:$1,0)),FALSE),"")</f>
        <v/>
      </c>
      <c r="FVR19" s="28" t="str">
        <f>IFERROR(VLOOKUP(DATE($K$1,$K$2,FVR$4),Table1[],(MATCH(Calendar!$A19,DB!$1:$1,0)),FALSE),"")</f>
        <v/>
      </c>
      <c r="FVS19" s="28" t="str">
        <f>IFERROR(VLOOKUP(DATE($K$1,$K$2,FVS$4),Table1[],(MATCH(Calendar!$A19,DB!$1:$1,0)),FALSE),"")</f>
        <v/>
      </c>
      <c r="FVT19" s="28" t="str">
        <f>IFERROR(VLOOKUP(DATE($K$1,$K$2,FVT$4),Table1[],(MATCH(Calendar!$A19,DB!$1:$1,0)),FALSE),"")</f>
        <v/>
      </c>
      <c r="FVU19" s="28" t="str">
        <f>IFERROR(VLOOKUP(DATE($K$1,$K$2,FVU$4),Table1[],(MATCH(Calendar!$A19,DB!$1:$1,0)),FALSE),"")</f>
        <v/>
      </c>
      <c r="FVV19" s="28" t="str">
        <f>IFERROR(VLOOKUP(DATE($K$1,$K$2,FVV$4),Table1[],(MATCH(Calendar!$A19,DB!$1:$1,0)),FALSE),"")</f>
        <v/>
      </c>
      <c r="FVW19" s="28" t="str">
        <f>IFERROR(VLOOKUP(DATE($K$1,$K$2,FVW$4),Table1[],(MATCH(Calendar!$A19,DB!$1:$1,0)),FALSE),"")</f>
        <v/>
      </c>
      <c r="FVX19" s="28" t="str">
        <f>IFERROR(VLOOKUP(DATE($K$1,$K$2,FVX$4),Table1[],(MATCH(Calendar!$A19,DB!$1:$1,0)),FALSE),"")</f>
        <v/>
      </c>
      <c r="FVY19" s="28" t="str">
        <f>IFERROR(VLOOKUP(DATE($K$1,$K$2,FVY$4),Table1[],(MATCH(Calendar!$A19,DB!$1:$1,0)),FALSE),"")</f>
        <v/>
      </c>
      <c r="FVZ19" s="28" t="str">
        <f>IFERROR(VLOOKUP(DATE($K$1,$K$2,FVZ$4),Table1[],(MATCH(Calendar!$A19,DB!$1:$1,0)),FALSE),"")</f>
        <v/>
      </c>
      <c r="FWA19" s="28" t="str">
        <f>IFERROR(VLOOKUP(DATE($K$1,$K$2,FWA$4),Table1[],(MATCH(Calendar!$A19,DB!$1:$1,0)),FALSE),"")</f>
        <v/>
      </c>
      <c r="FWB19" s="28" t="str">
        <f>IFERROR(VLOOKUP(DATE($K$1,$K$2,FWB$4),Table1[],(MATCH(Calendar!$A19,DB!$1:$1,0)),FALSE),"")</f>
        <v/>
      </c>
      <c r="FWC19" s="28" t="str">
        <f>IFERROR(VLOOKUP(DATE($K$1,$K$2,FWC$4),Table1[],(MATCH(Calendar!$A19,DB!$1:$1,0)),FALSE),"")</f>
        <v/>
      </c>
      <c r="FWD19" s="28" t="str">
        <f>IFERROR(VLOOKUP(DATE($K$1,$K$2,FWD$4),Table1[],(MATCH(Calendar!$A19,DB!$1:$1,0)),FALSE),"")</f>
        <v/>
      </c>
      <c r="FWE19" s="28" t="str">
        <f>IFERROR(VLOOKUP(DATE($K$1,$K$2,FWE$4),Table1[],(MATCH(Calendar!$A19,DB!$1:$1,0)),FALSE),"")</f>
        <v/>
      </c>
      <c r="FWF19" s="28" t="str">
        <f>IFERROR(VLOOKUP(DATE($K$1,$K$2,FWF$4),Table1[],(MATCH(Calendar!$A19,DB!$1:$1,0)),FALSE),"")</f>
        <v/>
      </c>
      <c r="FWG19" s="28" t="str">
        <f>IFERROR(VLOOKUP(DATE($K$1,$K$2,FWG$4),Table1[],(MATCH(Calendar!$A19,DB!$1:$1,0)),FALSE),"")</f>
        <v/>
      </c>
      <c r="FWH19" s="28" t="str">
        <f>IFERROR(VLOOKUP(DATE($K$1,$K$2,FWH$4),Table1[],(MATCH(Calendar!$A19,DB!$1:$1,0)),FALSE),"")</f>
        <v/>
      </c>
      <c r="FWI19" s="28" t="str">
        <f>IFERROR(VLOOKUP(DATE($K$1,$K$2,FWI$4),Table1[],(MATCH(Calendar!$A19,DB!$1:$1,0)),FALSE),"")</f>
        <v/>
      </c>
      <c r="FWJ19" s="28" t="str">
        <f>IFERROR(VLOOKUP(DATE($K$1,$K$2,FWJ$4),Table1[],(MATCH(Calendar!$A19,DB!$1:$1,0)),FALSE),"")</f>
        <v/>
      </c>
      <c r="FWK19" s="28" t="str">
        <f>IFERROR(VLOOKUP(DATE($K$1,$K$2,FWK$4),Table1[],(MATCH(Calendar!$A19,DB!$1:$1,0)),FALSE),"")</f>
        <v/>
      </c>
      <c r="FWL19" s="28" t="str">
        <f>IFERROR(VLOOKUP(DATE($K$1,$K$2,FWL$4),Table1[],(MATCH(Calendar!$A19,DB!$1:$1,0)),FALSE),"")</f>
        <v/>
      </c>
      <c r="FWM19" s="28" t="str">
        <f>IFERROR(VLOOKUP(DATE($K$1,$K$2,FWM$4),Table1[],(MATCH(Calendar!$A19,DB!$1:$1,0)),FALSE),"")</f>
        <v/>
      </c>
      <c r="FWN19" s="28" t="str">
        <f>IFERROR(VLOOKUP(DATE($K$1,$K$2,FWN$4),Table1[],(MATCH(Calendar!$A19,DB!$1:$1,0)),FALSE),"")</f>
        <v/>
      </c>
      <c r="FWO19" s="28" t="str">
        <f>IFERROR(VLOOKUP(DATE($K$1,$K$2,FWO$4),Table1[],(MATCH(Calendar!$A19,DB!$1:$1,0)),FALSE),"")</f>
        <v/>
      </c>
      <c r="FWP19" s="28" t="str">
        <f>IFERROR(VLOOKUP(DATE($K$1,$K$2,FWP$4),Table1[],(MATCH(Calendar!$A19,DB!$1:$1,0)),FALSE),"")</f>
        <v/>
      </c>
      <c r="FWQ19" s="28" t="str">
        <f>IFERROR(VLOOKUP(DATE($K$1,$K$2,FWQ$4),Table1[],(MATCH(Calendar!$A19,DB!$1:$1,0)),FALSE),"")</f>
        <v/>
      </c>
      <c r="FWR19" s="28" t="str">
        <f>IFERROR(VLOOKUP(DATE($K$1,$K$2,FWR$4),Table1[],(MATCH(Calendar!$A19,DB!$1:$1,0)),FALSE),"")</f>
        <v/>
      </c>
      <c r="FWS19" s="28" t="str">
        <f>IFERROR(VLOOKUP(DATE($K$1,$K$2,FWS$4),Table1[],(MATCH(Calendar!$A19,DB!$1:$1,0)),FALSE),"")</f>
        <v/>
      </c>
      <c r="FWT19" s="28" t="str">
        <f>IFERROR(VLOOKUP(DATE($K$1,$K$2,FWT$4),Table1[],(MATCH(Calendar!$A19,DB!$1:$1,0)),FALSE),"")</f>
        <v/>
      </c>
      <c r="FWU19" s="28" t="str">
        <f>IFERROR(VLOOKUP(DATE($K$1,$K$2,FWU$4),Table1[],(MATCH(Calendar!$A19,DB!$1:$1,0)),FALSE),"")</f>
        <v/>
      </c>
      <c r="FWV19" s="28" t="str">
        <f>IFERROR(VLOOKUP(DATE($K$1,$K$2,FWV$4),Table1[],(MATCH(Calendar!$A19,DB!$1:$1,0)),FALSE),"")</f>
        <v/>
      </c>
      <c r="FWW19" s="28" t="str">
        <f>IFERROR(VLOOKUP(DATE($K$1,$K$2,FWW$4),Table1[],(MATCH(Calendar!$A19,DB!$1:$1,0)),FALSE),"")</f>
        <v/>
      </c>
      <c r="FWX19" s="28" t="str">
        <f>IFERROR(VLOOKUP(DATE($K$1,$K$2,FWX$4),Table1[],(MATCH(Calendar!$A19,DB!$1:$1,0)),FALSE),"")</f>
        <v/>
      </c>
      <c r="FWY19" s="28" t="str">
        <f>IFERROR(VLOOKUP(DATE($K$1,$K$2,FWY$4),Table1[],(MATCH(Calendar!$A19,DB!$1:$1,0)),FALSE),"")</f>
        <v/>
      </c>
      <c r="FWZ19" s="28" t="str">
        <f>IFERROR(VLOOKUP(DATE($K$1,$K$2,FWZ$4),Table1[],(MATCH(Calendar!$A19,DB!$1:$1,0)),FALSE),"")</f>
        <v/>
      </c>
      <c r="FXA19" s="28" t="str">
        <f>IFERROR(VLOOKUP(DATE($K$1,$K$2,FXA$4),Table1[],(MATCH(Calendar!$A19,DB!$1:$1,0)),FALSE),"")</f>
        <v/>
      </c>
      <c r="FXB19" s="28" t="str">
        <f>IFERROR(VLOOKUP(DATE($K$1,$K$2,FXB$4),Table1[],(MATCH(Calendar!$A19,DB!$1:$1,0)),FALSE),"")</f>
        <v/>
      </c>
      <c r="FXC19" s="28" t="str">
        <f>IFERROR(VLOOKUP(DATE($K$1,$K$2,FXC$4),Table1[],(MATCH(Calendar!$A19,DB!$1:$1,0)),FALSE),"")</f>
        <v/>
      </c>
      <c r="FXD19" s="28" t="str">
        <f>IFERROR(VLOOKUP(DATE($K$1,$K$2,FXD$4),Table1[],(MATCH(Calendar!$A19,DB!$1:$1,0)),FALSE),"")</f>
        <v/>
      </c>
      <c r="FXE19" s="28" t="str">
        <f>IFERROR(VLOOKUP(DATE($K$1,$K$2,FXE$4),Table1[],(MATCH(Calendar!$A19,DB!$1:$1,0)),FALSE),"")</f>
        <v/>
      </c>
      <c r="FXF19" s="28" t="str">
        <f>IFERROR(VLOOKUP(DATE($K$1,$K$2,FXF$4),Table1[],(MATCH(Calendar!$A19,DB!$1:$1,0)),FALSE),"")</f>
        <v/>
      </c>
      <c r="FXG19" s="28" t="str">
        <f>IFERROR(VLOOKUP(DATE($K$1,$K$2,FXG$4),Table1[],(MATCH(Calendar!$A19,DB!$1:$1,0)),FALSE),"")</f>
        <v/>
      </c>
      <c r="FXH19" s="28" t="str">
        <f>IFERROR(VLOOKUP(DATE($K$1,$K$2,FXH$4),Table1[],(MATCH(Calendar!$A19,DB!$1:$1,0)),FALSE),"")</f>
        <v/>
      </c>
      <c r="FXI19" s="28" t="str">
        <f>IFERROR(VLOOKUP(DATE($K$1,$K$2,FXI$4),Table1[],(MATCH(Calendar!$A19,DB!$1:$1,0)),FALSE),"")</f>
        <v/>
      </c>
      <c r="FXJ19" s="28" t="str">
        <f>IFERROR(VLOOKUP(DATE($K$1,$K$2,FXJ$4),Table1[],(MATCH(Calendar!$A19,DB!$1:$1,0)),FALSE),"")</f>
        <v/>
      </c>
      <c r="FXK19" s="28" t="str">
        <f>IFERROR(VLOOKUP(DATE($K$1,$K$2,FXK$4),Table1[],(MATCH(Calendar!$A19,DB!$1:$1,0)),FALSE),"")</f>
        <v/>
      </c>
      <c r="FXL19" s="28" t="str">
        <f>IFERROR(VLOOKUP(DATE($K$1,$K$2,FXL$4),Table1[],(MATCH(Calendar!$A19,DB!$1:$1,0)),FALSE),"")</f>
        <v/>
      </c>
      <c r="FXM19" s="28" t="str">
        <f>IFERROR(VLOOKUP(DATE($K$1,$K$2,FXM$4),Table1[],(MATCH(Calendar!$A19,DB!$1:$1,0)),FALSE),"")</f>
        <v/>
      </c>
      <c r="FXN19" s="28" t="str">
        <f>IFERROR(VLOOKUP(DATE($K$1,$K$2,FXN$4),Table1[],(MATCH(Calendar!$A19,DB!$1:$1,0)),FALSE),"")</f>
        <v/>
      </c>
      <c r="FXO19" s="28" t="str">
        <f>IFERROR(VLOOKUP(DATE($K$1,$K$2,FXO$4),Table1[],(MATCH(Calendar!$A19,DB!$1:$1,0)),FALSE),"")</f>
        <v/>
      </c>
      <c r="FXP19" s="28" t="str">
        <f>IFERROR(VLOOKUP(DATE($K$1,$K$2,FXP$4),Table1[],(MATCH(Calendar!$A19,DB!$1:$1,0)),FALSE),"")</f>
        <v/>
      </c>
      <c r="FXQ19" s="28" t="str">
        <f>IFERROR(VLOOKUP(DATE($K$1,$K$2,FXQ$4),Table1[],(MATCH(Calendar!$A19,DB!$1:$1,0)),FALSE),"")</f>
        <v/>
      </c>
      <c r="FXR19" s="28" t="str">
        <f>IFERROR(VLOOKUP(DATE($K$1,$K$2,FXR$4),Table1[],(MATCH(Calendar!$A19,DB!$1:$1,0)),FALSE),"")</f>
        <v/>
      </c>
      <c r="FXS19" s="28" t="str">
        <f>IFERROR(VLOOKUP(DATE($K$1,$K$2,FXS$4),Table1[],(MATCH(Calendar!$A19,DB!$1:$1,0)),FALSE),"")</f>
        <v/>
      </c>
      <c r="FXT19" s="28" t="str">
        <f>IFERROR(VLOOKUP(DATE($K$1,$K$2,FXT$4),Table1[],(MATCH(Calendar!$A19,DB!$1:$1,0)),FALSE),"")</f>
        <v/>
      </c>
      <c r="FXU19" s="28" t="str">
        <f>IFERROR(VLOOKUP(DATE($K$1,$K$2,FXU$4),Table1[],(MATCH(Calendar!$A19,DB!$1:$1,0)),FALSE),"")</f>
        <v/>
      </c>
      <c r="FXV19" s="28" t="str">
        <f>IFERROR(VLOOKUP(DATE($K$1,$K$2,FXV$4),Table1[],(MATCH(Calendar!$A19,DB!$1:$1,0)),FALSE),"")</f>
        <v/>
      </c>
      <c r="FXW19" s="28" t="str">
        <f>IFERROR(VLOOKUP(DATE($K$1,$K$2,FXW$4),Table1[],(MATCH(Calendar!$A19,DB!$1:$1,0)),FALSE),"")</f>
        <v/>
      </c>
      <c r="FXX19" s="28" t="str">
        <f>IFERROR(VLOOKUP(DATE($K$1,$K$2,FXX$4),Table1[],(MATCH(Calendar!$A19,DB!$1:$1,0)),FALSE),"")</f>
        <v/>
      </c>
      <c r="FXY19" s="28" t="str">
        <f>IFERROR(VLOOKUP(DATE($K$1,$K$2,FXY$4),Table1[],(MATCH(Calendar!$A19,DB!$1:$1,0)),FALSE),"")</f>
        <v/>
      </c>
      <c r="FXZ19" s="28" t="str">
        <f>IFERROR(VLOOKUP(DATE($K$1,$K$2,FXZ$4),Table1[],(MATCH(Calendar!$A19,DB!$1:$1,0)),FALSE),"")</f>
        <v/>
      </c>
      <c r="FYA19" s="28" t="str">
        <f>IFERROR(VLOOKUP(DATE($K$1,$K$2,FYA$4),Table1[],(MATCH(Calendar!$A19,DB!$1:$1,0)),FALSE),"")</f>
        <v/>
      </c>
      <c r="FYB19" s="28" t="str">
        <f>IFERROR(VLOOKUP(DATE($K$1,$K$2,FYB$4),Table1[],(MATCH(Calendar!$A19,DB!$1:$1,0)),FALSE),"")</f>
        <v/>
      </c>
      <c r="FYC19" s="28" t="str">
        <f>IFERROR(VLOOKUP(DATE($K$1,$K$2,FYC$4),Table1[],(MATCH(Calendar!$A19,DB!$1:$1,0)),FALSE),"")</f>
        <v/>
      </c>
      <c r="FYD19" s="28" t="str">
        <f>IFERROR(VLOOKUP(DATE($K$1,$K$2,FYD$4),Table1[],(MATCH(Calendar!$A19,DB!$1:$1,0)),FALSE),"")</f>
        <v/>
      </c>
      <c r="FYE19" s="28" t="str">
        <f>IFERROR(VLOOKUP(DATE($K$1,$K$2,FYE$4),Table1[],(MATCH(Calendar!$A19,DB!$1:$1,0)),FALSE),"")</f>
        <v/>
      </c>
      <c r="FYF19" s="28" t="str">
        <f>IFERROR(VLOOKUP(DATE($K$1,$K$2,FYF$4),Table1[],(MATCH(Calendar!$A19,DB!$1:$1,0)),FALSE),"")</f>
        <v/>
      </c>
      <c r="FYG19" s="28" t="str">
        <f>IFERROR(VLOOKUP(DATE($K$1,$K$2,FYG$4),Table1[],(MATCH(Calendar!$A19,DB!$1:$1,0)),FALSE),"")</f>
        <v/>
      </c>
      <c r="FYH19" s="28" t="str">
        <f>IFERROR(VLOOKUP(DATE($K$1,$K$2,FYH$4),Table1[],(MATCH(Calendar!$A19,DB!$1:$1,0)),FALSE),"")</f>
        <v/>
      </c>
      <c r="FYI19" s="28" t="str">
        <f>IFERROR(VLOOKUP(DATE($K$1,$K$2,FYI$4),Table1[],(MATCH(Calendar!$A19,DB!$1:$1,0)),FALSE),"")</f>
        <v/>
      </c>
      <c r="FYJ19" s="28" t="str">
        <f>IFERROR(VLOOKUP(DATE($K$1,$K$2,FYJ$4),Table1[],(MATCH(Calendar!$A19,DB!$1:$1,0)),FALSE),"")</f>
        <v/>
      </c>
      <c r="FYK19" s="28" t="str">
        <f>IFERROR(VLOOKUP(DATE($K$1,$K$2,FYK$4),Table1[],(MATCH(Calendar!$A19,DB!$1:$1,0)),FALSE),"")</f>
        <v/>
      </c>
      <c r="FYL19" s="28" t="str">
        <f>IFERROR(VLOOKUP(DATE($K$1,$K$2,FYL$4),Table1[],(MATCH(Calendar!$A19,DB!$1:$1,0)),FALSE),"")</f>
        <v/>
      </c>
      <c r="FYM19" s="28" t="str">
        <f>IFERROR(VLOOKUP(DATE($K$1,$K$2,FYM$4),Table1[],(MATCH(Calendar!$A19,DB!$1:$1,0)),FALSE),"")</f>
        <v/>
      </c>
      <c r="FYN19" s="28" t="str">
        <f>IFERROR(VLOOKUP(DATE($K$1,$K$2,FYN$4),Table1[],(MATCH(Calendar!$A19,DB!$1:$1,0)),FALSE),"")</f>
        <v/>
      </c>
      <c r="FYO19" s="28" t="str">
        <f>IFERROR(VLOOKUP(DATE($K$1,$K$2,FYO$4),Table1[],(MATCH(Calendar!$A19,DB!$1:$1,0)),FALSE),"")</f>
        <v/>
      </c>
      <c r="FYP19" s="28" t="str">
        <f>IFERROR(VLOOKUP(DATE($K$1,$K$2,FYP$4),Table1[],(MATCH(Calendar!$A19,DB!$1:$1,0)),FALSE),"")</f>
        <v/>
      </c>
      <c r="FYQ19" s="28" t="str">
        <f>IFERROR(VLOOKUP(DATE($K$1,$K$2,FYQ$4),Table1[],(MATCH(Calendar!$A19,DB!$1:$1,0)),FALSE),"")</f>
        <v/>
      </c>
      <c r="FYR19" s="28" t="str">
        <f>IFERROR(VLOOKUP(DATE($K$1,$K$2,FYR$4),Table1[],(MATCH(Calendar!$A19,DB!$1:$1,0)),FALSE),"")</f>
        <v/>
      </c>
      <c r="FYS19" s="28" t="str">
        <f>IFERROR(VLOOKUP(DATE($K$1,$K$2,FYS$4),Table1[],(MATCH(Calendar!$A19,DB!$1:$1,0)),FALSE),"")</f>
        <v/>
      </c>
      <c r="FYT19" s="28" t="str">
        <f>IFERROR(VLOOKUP(DATE($K$1,$K$2,FYT$4),Table1[],(MATCH(Calendar!$A19,DB!$1:$1,0)),FALSE),"")</f>
        <v/>
      </c>
      <c r="FYU19" s="28" t="str">
        <f>IFERROR(VLOOKUP(DATE($K$1,$K$2,FYU$4),Table1[],(MATCH(Calendar!$A19,DB!$1:$1,0)),FALSE),"")</f>
        <v/>
      </c>
      <c r="FYV19" s="28" t="str">
        <f>IFERROR(VLOOKUP(DATE($K$1,$K$2,FYV$4),Table1[],(MATCH(Calendar!$A19,DB!$1:$1,0)),FALSE),"")</f>
        <v/>
      </c>
      <c r="FYW19" s="28" t="str">
        <f>IFERROR(VLOOKUP(DATE($K$1,$K$2,FYW$4),Table1[],(MATCH(Calendar!$A19,DB!$1:$1,0)),FALSE),"")</f>
        <v/>
      </c>
      <c r="FYX19" s="28" t="str">
        <f>IFERROR(VLOOKUP(DATE($K$1,$K$2,FYX$4),Table1[],(MATCH(Calendar!$A19,DB!$1:$1,0)),FALSE),"")</f>
        <v/>
      </c>
      <c r="FYY19" s="28" t="str">
        <f>IFERROR(VLOOKUP(DATE($K$1,$K$2,FYY$4),Table1[],(MATCH(Calendar!$A19,DB!$1:$1,0)),FALSE),"")</f>
        <v/>
      </c>
      <c r="FYZ19" s="28" t="str">
        <f>IFERROR(VLOOKUP(DATE($K$1,$K$2,FYZ$4),Table1[],(MATCH(Calendar!$A19,DB!$1:$1,0)),FALSE),"")</f>
        <v/>
      </c>
      <c r="FZA19" s="28" t="str">
        <f>IFERROR(VLOOKUP(DATE($K$1,$K$2,FZA$4),Table1[],(MATCH(Calendar!$A19,DB!$1:$1,0)),FALSE),"")</f>
        <v/>
      </c>
      <c r="FZB19" s="28" t="str">
        <f>IFERROR(VLOOKUP(DATE($K$1,$K$2,FZB$4),Table1[],(MATCH(Calendar!$A19,DB!$1:$1,0)),FALSE),"")</f>
        <v/>
      </c>
      <c r="FZC19" s="28" t="str">
        <f>IFERROR(VLOOKUP(DATE($K$1,$K$2,FZC$4),Table1[],(MATCH(Calendar!$A19,DB!$1:$1,0)),FALSE),"")</f>
        <v/>
      </c>
      <c r="FZD19" s="28" t="str">
        <f>IFERROR(VLOOKUP(DATE($K$1,$K$2,FZD$4),Table1[],(MATCH(Calendar!$A19,DB!$1:$1,0)),FALSE),"")</f>
        <v/>
      </c>
      <c r="FZE19" s="28" t="str">
        <f>IFERROR(VLOOKUP(DATE($K$1,$K$2,FZE$4),Table1[],(MATCH(Calendar!$A19,DB!$1:$1,0)),FALSE),"")</f>
        <v/>
      </c>
      <c r="FZF19" s="28" t="str">
        <f>IFERROR(VLOOKUP(DATE($K$1,$K$2,FZF$4),Table1[],(MATCH(Calendar!$A19,DB!$1:$1,0)),FALSE),"")</f>
        <v/>
      </c>
      <c r="FZG19" s="28" t="str">
        <f>IFERROR(VLOOKUP(DATE($K$1,$K$2,FZG$4),Table1[],(MATCH(Calendar!$A19,DB!$1:$1,0)),FALSE),"")</f>
        <v/>
      </c>
      <c r="FZH19" s="28" t="str">
        <f>IFERROR(VLOOKUP(DATE($K$1,$K$2,FZH$4),Table1[],(MATCH(Calendar!$A19,DB!$1:$1,0)),FALSE),"")</f>
        <v/>
      </c>
      <c r="FZI19" s="28" t="str">
        <f>IFERROR(VLOOKUP(DATE($K$1,$K$2,FZI$4),Table1[],(MATCH(Calendar!$A19,DB!$1:$1,0)),FALSE),"")</f>
        <v/>
      </c>
      <c r="FZJ19" s="28" t="str">
        <f>IFERROR(VLOOKUP(DATE($K$1,$K$2,FZJ$4),Table1[],(MATCH(Calendar!$A19,DB!$1:$1,0)),FALSE),"")</f>
        <v/>
      </c>
      <c r="FZK19" s="28" t="str">
        <f>IFERROR(VLOOKUP(DATE($K$1,$K$2,FZK$4),Table1[],(MATCH(Calendar!$A19,DB!$1:$1,0)),FALSE),"")</f>
        <v/>
      </c>
      <c r="FZL19" s="28" t="str">
        <f>IFERROR(VLOOKUP(DATE($K$1,$K$2,FZL$4),Table1[],(MATCH(Calendar!$A19,DB!$1:$1,0)),FALSE),"")</f>
        <v/>
      </c>
      <c r="FZM19" s="28" t="str">
        <f>IFERROR(VLOOKUP(DATE($K$1,$K$2,FZM$4),Table1[],(MATCH(Calendar!$A19,DB!$1:$1,0)),FALSE),"")</f>
        <v/>
      </c>
      <c r="FZN19" s="28" t="str">
        <f>IFERROR(VLOOKUP(DATE($K$1,$K$2,FZN$4),Table1[],(MATCH(Calendar!$A19,DB!$1:$1,0)),FALSE),"")</f>
        <v/>
      </c>
      <c r="FZO19" s="28" t="str">
        <f>IFERROR(VLOOKUP(DATE($K$1,$K$2,FZO$4),Table1[],(MATCH(Calendar!$A19,DB!$1:$1,0)),FALSE),"")</f>
        <v/>
      </c>
      <c r="FZP19" s="28" t="str">
        <f>IFERROR(VLOOKUP(DATE($K$1,$K$2,FZP$4),Table1[],(MATCH(Calendar!$A19,DB!$1:$1,0)),FALSE),"")</f>
        <v/>
      </c>
      <c r="FZQ19" s="28" t="str">
        <f>IFERROR(VLOOKUP(DATE($K$1,$K$2,FZQ$4),Table1[],(MATCH(Calendar!$A19,DB!$1:$1,0)),FALSE),"")</f>
        <v/>
      </c>
      <c r="FZR19" s="28" t="str">
        <f>IFERROR(VLOOKUP(DATE($K$1,$K$2,FZR$4),Table1[],(MATCH(Calendar!$A19,DB!$1:$1,0)),FALSE),"")</f>
        <v/>
      </c>
      <c r="FZS19" s="28" t="str">
        <f>IFERROR(VLOOKUP(DATE($K$1,$K$2,FZS$4),Table1[],(MATCH(Calendar!$A19,DB!$1:$1,0)),FALSE),"")</f>
        <v/>
      </c>
      <c r="FZT19" s="28" t="str">
        <f>IFERROR(VLOOKUP(DATE($K$1,$K$2,FZT$4),Table1[],(MATCH(Calendar!$A19,DB!$1:$1,0)),FALSE),"")</f>
        <v/>
      </c>
      <c r="FZU19" s="28" t="str">
        <f>IFERROR(VLOOKUP(DATE($K$1,$K$2,FZU$4),Table1[],(MATCH(Calendar!$A19,DB!$1:$1,0)),FALSE),"")</f>
        <v/>
      </c>
      <c r="FZV19" s="28" t="str">
        <f>IFERROR(VLOOKUP(DATE($K$1,$K$2,FZV$4),Table1[],(MATCH(Calendar!$A19,DB!$1:$1,0)),FALSE),"")</f>
        <v/>
      </c>
      <c r="FZW19" s="28" t="str">
        <f>IFERROR(VLOOKUP(DATE($K$1,$K$2,FZW$4),Table1[],(MATCH(Calendar!$A19,DB!$1:$1,0)),FALSE),"")</f>
        <v/>
      </c>
      <c r="FZX19" s="28" t="str">
        <f>IFERROR(VLOOKUP(DATE($K$1,$K$2,FZX$4),Table1[],(MATCH(Calendar!$A19,DB!$1:$1,0)),FALSE),"")</f>
        <v/>
      </c>
      <c r="FZY19" s="28" t="str">
        <f>IFERROR(VLOOKUP(DATE($K$1,$K$2,FZY$4),Table1[],(MATCH(Calendar!$A19,DB!$1:$1,0)),FALSE),"")</f>
        <v/>
      </c>
      <c r="FZZ19" s="28" t="str">
        <f>IFERROR(VLOOKUP(DATE($K$1,$K$2,FZZ$4),Table1[],(MATCH(Calendar!$A19,DB!$1:$1,0)),FALSE),"")</f>
        <v/>
      </c>
      <c r="GAA19" s="28" t="str">
        <f>IFERROR(VLOOKUP(DATE($K$1,$K$2,GAA$4),Table1[],(MATCH(Calendar!$A19,DB!$1:$1,0)),FALSE),"")</f>
        <v/>
      </c>
      <c r="GAB19" s="28" t="str">
        <f>IFERROR(VLOOKUP(DATE($K$1,$K$2,GAB$4),Table1[],(MATCH(Calendar!$A19,DB!$1:$1,0)),FALSE),"")</f>
        <v/>
      </c>
      <c r="GAC19" s="28" t="str">
        <f>IFERROR(VLOOKUP(DATE($K$1,$K$2,GAC$4),Table1[],(MATCH(Calendar!$A19,DB!$1:$1,0)),FALSE),"")</f>
        <v/>
      </c>
      <c r="GAD19" s="28" t="str">
        <f>IFERROR(VLOOKUP(DATE($K$1,$K$2,GAD$4),Table1[],(MATCH(Calendar!$A19,DB!$1:$1,0)),FALSE),"")</f>
        <v/>
      </c>
      <c r="GAE19" s="28" t="str">
        <f>IFERROR(VLOOKUP(DATE($K$1,$K$2,GAE$4),Table1[],(MATCH(Calendar!$A19,DB!$1:$1,0)),FALSE),"")</f>
        <v/>
      </c>
      <c r="GAF19" s="28" t="str">
        <f>IFERROR(VLOOKUP(DATE($K$1,$K$2,GAF$4),Table1[],(MATCH(Calendar!$A19,DB!$1:$1,0)),FALSE),"")</f>
        <v/>
      </c>
      <c r="GAG19" s="28" t="str">
        <f>IFERROR(VLOOKUP(DATE($K$1,$K$2,GAG$4),Table1[],(MATCH(Calendar!$A19,DB!$1:$1,0)),FALSE),"")</f>
        <v/>
      </c>
      <c r="GAH19" s="28" t="str">
        <f>IFERROR(VLOOKUP(DATE($K$1,$K$2,GAH$4),Table1[],(MATCH(Calendar!$A19,DB!$1:$1,0)),FALSE),"")</f>
        <v/>
      </c>
      <c r="GAI19" s="28" t="str">
        <f>IFERROR(VLOOKUP(DATE($K$1,$K$2,GAI$4),Table1[],(MATCH(Calendar!$A19,DB!$1:$1,0)),FALSE),"")</f>
        <v/>
      </c>
      <c r="GAJ19" s="28" t="str">
        <f>IFERROR(VLOOKUP(DATE($K$1,$K$2,GAJ$4),Table1[],(MATCH(Calendar!$A19,DB!$1:$1,0)),FALSE),"")</f>
        <v/>
      </c>
      <c r="GAK19" s="28" t="str">
        <f>IFERROR(VLOOKUP(DATE($K$1,$K$2,GAK$4),Table1[],(MATCH(Calendar!$A19,DB!$1:$1,0)),FALSE),"")</f>
        <v/>
      </c>
      <c r="GAL19" s="28" t="str">
        <f>IFERROR(VLOOKUP(DATE($K$1,$K$2,GAL$4),Table1[],(MATCH(Calendar!$A19,DB!$1:$1,0)),FALSE),"")</f>
        <v/>
      </c>
      <c r="GAM19" s="28" t="str">
        <f>IFERROR(VLOOKUP(DATE($K$1,$K$2,GAM$4),Table1[],(MATCH(Calendar!$A19,DB!$1:$1,0)),FALSE),"")</f>
        <v/>
      </c>
      <c r="GAN19" s="28" t="str">
        <f>IFERROR(VLOOKUP(DATE($K$1,$K$2,GAN$4),Table1[],(MATCH(Calendar!$A19,DB!$1:$1,0)),FALSE),"")</f>
        <v/>
      </c>
      <c r="GAO19" s="28" t="str">
        <f>IFERROR(VLOOKUP(DATE($K$1,$K$2,GAO$4),Table1[],(MATCH(Calendar!$A19,DB!$1:$1,0)),FALSE),"")</f>
        <v/>
      </c>
      <c r="GAP19" s="28" t="str">
        <f>IFERROR(VLOOKUP(DATE($K$1,$K$2,GAP$4),Table1[],(MATCH(Calendar!$A19,DB!$1:$1,0)),FALSE),"")</f>
        <v/>
      </c>
      <c r="GAQ19" s="28" t="str">
        <f>IFERROR(VLOOKUP(DATE($K$1,$K$2,GAQ$4),Table1[],(MATCH(Calendar!$A19,DB!$1:$1,0)),FALSE),"")</f>
        <v/>
      </c>
      <c r="GAR19" s="28" t="str">
        <f>IFERROR(VLOOKUP(DATE($K$1,$K$2,GAR$4),Table1[],(MATCH(Calendar!$A19,DB!$1:$1,0)),FALSE),"")</f>
        <v/>
      </c>
      <c r="GAS19" s="28" t="str">
        <f>IFERROR(VLOOKUP(DATE($K$1,$K$2,GAS$4),Table1[],(MATCH(Calendar!$A19,DB!$1:$1,0)),FALSE),"")</f>
        <v/>
      </c>
      <c r="GAT19" s="28" t="str">
        <f>IFERROR(VLOOKUP(DATE($K$1,$K$2,GAT$4),Table1[],(MATCH(Calendar!$A19,DB!$1:$1,0)),FALSE),"")</f>
        <v/>
      </c>
      <c r="GAU19" s="28" t="str">
        <f>IFERROR(VLOOKUP(DATE($K$1,$K$2,GAU$4),Table1[],(MATCH(Calendar!$A19,DB!$1:$1,0)),FALSE),"")</f>
        <v/>
      </c>
      <c r="GAV19" s="28" t="str">
        <f>IFERROR(VLOOKUP(DATE($K$1,$K$2,GAV$4),Table1[],(MATCH(Calendar!$A19,DB!$1:$1,0)),FALSE),"")</f>
        <v/>
      </c>
      <c r="GAW19" s="28" t="str">
        <f>IFERROR(VLOOKUP(DATE($K$1,$K$2,GAW$4),Table1[],(MATCH(Calendar!$A19,DB!$1:$1,0)),FALSE),"")</f>
        <v/>
      </c>
      <c r="GAX19" s="28" t="str">
        <f>IFERROR(VLOOKUP(DATE($K$1,$K$2,GAX$4),Table1[],(MATCH(Calendar!$A19,DB!$1:$1,0)),FALSE),"")</f>
        <v/>
      </c>
      <c r="GAY19" s="28" t="str">
        <f>IFERROR(VLOOKUP(DATE($K$1,$K$2,GAY$4),Table1[],(MATCH(Calendar!$A19,DB!$1:$1,0)),FALSE),"")</f>
        <v/>
      </c>
      <c r="GAZ19" s="28" t="str">
        <f>IFERROR(VLOOKUP(DATE($K$1,$K$2,GAZ$4),Table1[],(MATCH(Calendar!$A19,DB!$1:$1,0)),FALSE),"")</f>
        <v/>
      </c>
      <c r="GBA19" s="28" t="str">
        <f>IFERROR(VLOOKUP(DATE($K$1,$K$2,GBA$4),Table1[],(MATCH(Calendar!$A19,DB!$1:$1,0)),FALSE),"")</f>
        <v/>
      </c>
      <c r="GBB19" s="28" t="str">
        <f>IFERROR(VLOOKUP(DATE($K$1,$K$2,GBB$4),Table1[],(MATCH(Calendar!$A19,DB!$1:$1,0)),FALSE),"")</f>
        <v/>
      </c>
      <c r="GBC19" s="28" t="str">
        <f>IFERROR(VLOOKUP(DATE($K$1,$K$2,GBC$4),Table1[],(MATCH(Calendar!$A19,DB!$1:$1,0)),FALSE),"")</f>
        <v/>
      </c>
      <c r="GBD19" s="28" t="str">
        <f>IFERROR(VLOOKUP(DATE($K$1,$K$2,GBD$4),Table1[],(MATCH(Calendar!$A19,DB!$1:$1,0)),FALSE),"")</f>
        <v/>
      </c>
      <c r="GBE19" s="28" t="str">
        <f>IFERROR(VLOOKUP(DATE($K$1,$K$2,GBE$4),Table1[],(MATCH(Calendar!$A19,DB!$1:$1,0)),FALSE),"")</f>
        <v/>
      </c>
      <c r="GBF19" s="28" t="str">
        <f>IFERROR(VLOOKUP(DATE($K$1,$K$2,GBF$4),Table1[],(MATCH(Calendar!$A19,DB!$1:$1,0)),FALSE),"")</f>
        <v/>
      </c>
      <c r="GBG19" s="28" t="str">
        <f>IFERROR(VLOOKUP(DATE($K$1,$K$2,GBG$4),Table1[],(MATCH(Calendar!$A19,DB!$1:$1,0)),FALSE),"")</f>
        <v/>
      </c>
      <c r="GBH19" s="28" t="str">
        <f>IFERROR(VLOOKUP(DATE($K$1,$K$2,GBH$4),Table1[],(MATCH(Calendar!$A19,DB!$1:$1,0)),FALSE),"")</f>
        <v/>
      </c>
      <c r="GBI19" s="28" t="str">
        <f>IFERROR(VLOOKUP(DATE($K$1,$K$2,GBI$4),Table1[],(MATCH(Calendar!$A19,DB!$1:$1,0)),FALSE),"")</f>
        <v/>
      </c>
      <c r="GBJ19" s="28" t="str">
        <f>IFERROR(VLOOKUP(DATE($K$1,$K$2,GBJ$4),Table1[],(MATCH(Calendar!$A19,DB!$1:$1,0)),FALSE),"")</f>
        <v/>
      </c>
      <c r="GBK19" s="28" t="str">
        <f>IFERROR(VLOOKUP(DATE($K$1,$K$2,GBK$4),Table1[],(MATCH(Calendar!$A19,DB!$1:$1,0)),FALSE),"")</f>
        <v/>
      </c>
      <c r="GBL19" s="28" t="str">
        <f>IFERROR(VLOOKUP(DATE($K$1,$K$2,GBL$4),Table1[],(MATCH(Calendar!$A19,DB!$1:$1,0)),FALSE),"")</f>
        <v/>
      </c>
      <c r="GBM19" s="28" t="str">
        <f>IFERROR(VLOOKUP(DATE($K$1,$K$2,GBM$4),Table1[],(MATCH(Calendar!$A19,DB!$1:$1,0)),FALSE),"")</f>
        <v/>
      </c>
      <c r="GBN19" s="28" t="str">
        <f>IFERROR(VLOOKUP(DATE($K$1,$K$2,GBN$4),Table1[],(MATCH(Calendar!$A19,DB!$1:$1,0)),FALSE),"")</f>
        <v/>
      </c>
      <c r="GBO19" s="28" t="str">
        <f>IFERROR(VLOOKUP(DATE($K$1,$K$2,GBO$4),Table1[],(MATCH(Calendar!$A19,DB!$1:$1,0)),FALSE),"")</f>
        <v/>
      </c>
      <c r="GBP19" s="28" t="str">
        <f>IFERROR(VLOOKUP(DATE($K$1,$K$2,GBP$4),Table1[],(MATCH(Calendar!$A19,DB!$1:$1,0)),FALSE),"")</f>
        <v/>
      </c>
      <c r="GBQ19" s="28" t="str">
        <f>IFERROR(VLOOKUP(DATE($K$1,$K$2,GBQ$4),Table1[],(MATCH(Calendar!$A19,DB!$1:$1,0)),FALSE),"")</f>
        <v/>
      </c>
      <c r="GBR19" s="28" t="str">
        <f>IFERROR(VLOOKUP(DATE($K$1,$K$2,GBR$4),Table1[],(MATCH(Calendar!$A19,DB!$1:$1,0)),FALSE),"")</f>
        <v/>
      </c>
      <c r="GBS19" s="28" t="str">
        <f>IFERROR(VLOOKUP(DATE($K$1,$K$2,GBS$4),Table1[],(MATCH(Calendar!$A19,DB!$1:$1,0)),FALSE),"")</f>
        <v/>
      </c>
      <c r="GBT19" s="28" t="str">
        <f>IFERROR(VLOOKUP(DATE($K$1,$K$2,GBT$4),Table1[],(MATCH(Calendar!$A19,DB!$1:$1,0)),FALSE),"")</f>
        <v/>
      </c>
      <c r="GBU19" s="28" t="str">
        <f>IFERROR(VLOOKUP(DATE($K$1,$K$2,GBU$4),Table1[],(MATCH(Calendar!$A19,DB!$1:$1,0)),FALSE),"")</f>
        <v/>
      </c>
      <c r="GBV19" s="28" t="str">
        <f>IFERROR(VLOOKUP(DATE($K$1,$K$2,GBV$4),Table1[],(MATCH(Calendar!$A19,DB!$1:$1,0)),FALSE),"")</f>
        <v/>
      </c>
      <c r="GBW19" s="28" t="str">
        <f>IFERROR(VLOOKUP(DATE($K$1,$K$2,GBW$4),Table1[],(MATCH(Calendar!$A19,DB!$1:$1,0)),FALSE),"")</f>
        <v/>
      </c>
      <c r="GBX19" s="28" t="str">
        <f>IFERROR(VLOOKUP(DATE($K$1,$K$2,GBX$4),Table1[],(MATCH(Calendar!$A19,DB!$1:$1,0)),FALSE),"")</f>
        <v/>
      </c>
      <c r="GBY19" s="28" t="str">
        <f>IFERROR(VLOOKUP(DATE($K$1,$K$2,GBY$4),Table1[],(MATCH(Calendar!$A19,DB!$1:$1,0)),FALSE),"")</f>
        <v/>
      </c>
      <c r="GBZ19" s="28" t="str">
        <f>IFERROR(VLOOKUP(DATE($K$1,$K$2,GBZ$4),Table1[],(MATCH(Calendar!$A19,DB!$1:$1,0)),FALSE),"")</f>
        <v/>
      </c>
      <c r="GCA19" s="28" t="str">
        <f>IFERROR(VLOOKUP(DATE($K$1,$K$2,GCA$4),Table1[],(MATCH(Calendar!$A19,DB!$1:$1,0)),FALSE),"")</f>
        <v/>
      </c>
      <c r="GCB19" s="28" t="str">
        <f>IFERROR(VLOOKUP(DATE($K$1,$K$2,GCB$4),Table1[],(MATCH(Calendar!$A19,DB!$1:$1,0)),FALSE),"")</f>
        <v/>
      </c>
      <c r="GCC19" s="28" t="str">
        <f>IFERROR(VLOOKUP(DATE($K$1,$K$2,GCC$4),Table1[],(MATCH(Calendar!$A19,DB!$1:$1,0)),FALSE),"")</f>
        <v/>
      </c>
      <c r="GCD19" s="28" t="str">
        <f>IFERROR(VLOOKUP(DATE($K$1,$K$2,GCD$4),Table1[],(MATCH(Calendar!$A19,DB!$1:$1,0)),FALSE),"")</f>
        <v/>
      </c>
      <c r="GCE19" s="28" t="str">
        <f>IFERROR(VLOOKUP(DATE($K$1,$K$2,GCE$4),Table1[],(MATCH(Calendar!$A19,DB!$1:$1,0)),FALSE),"")</f>
        <v/>
      </c>
      <c r="GCF19" s="28" t="str">
        <f>IFERROR(VLOOKUP(DATE($K$1,$K$2,GCF$4),Table1[],(MATCH(Calendar!$A19,DB!$1:$1,0)),FALSE),"")</f>
        <v/>
      </c>
      <c r="GCG19" s="28" t="str">
        <f>IFERROR(VLOOKUP(DATE($K$1,$K$2,GCG$4),Table1[],(MATCH(Calendar!$A19,DB!$1:$1,0)),FALSE),"")</f>
        <v/>
      </c>
      <c r="GCH19" s="28" t="str">
        <f>IFERROR(VLOOKUP(DATE($K$1,$K$2,GCH$4),Table1[],(MATCH(Calendar!$A19,DB!$1:$1,0)),FALSE),"")</f>
        <v/>
      </c>
      <c r="GCI19" s="28" t="str">
        <f>IFERROR(VLOOKUP(DATE($K$1,$K$2,GCI$4),Table1[],(MATCH(Calendar!$A19,DB!$1:$1,0)),FALSE),"")</f>
        <v/>
      </c>
      <c r="GCJ19" s="28" t="str">
        <f>IFERROR(VLOOKUP(DATE($K$1,$K$2,GCJ$4),Table1[],(MATCH(Calendar!$A19,DB!$1:$1,0)),FALSE),"")</f>
        <v/>
      </c>
      <c r="GCK19" s="28" t="str">
        <f>IFERROR(VLOOKUP(DATE($K$1,$K$2,GCK$4),Table1[],(MATCH(Calendar!$A19,DB!$1:$1,0)),FALSE),"")</f>
        <v/>
      </c>
      <c r="GCL19" s="28" t="str">
        <f>IFERROR(VLOOKUP(DATE($K$1,$K$2,GCL$4),Table1[],(MATCH(Calendar!$A19,DB!$1:$1,0)),FALSE),"")</f>
        <v/>
      </c>
      <c r="GCM19" s="28" t="str">
        <f>IFERROR(VLOOKUP(DATE($K$1,$K$2,GCM$4),Table1[],(MATCH(Calendar!$A19,DB!$1:$1,0)),FALSE),"")</f>
        <v/>
      </c>
      <c r="GCN19" s="28" t="str">
        <f>IFERROR(VLOOKUP(DATE($K$1,$K$2,GCN$4),Table1[],(MATCH(Calendar!$A19,DB!$1:$1,0)),FALSE),"")</f>
        <v/>
      </c>
      <c r="GCO19" s="28" t="str">
        <f>IFERROR(VLOOKUP(DATE($K$1,$K$2,GCO$4),Table1[],(MATCH(Calendar!$A19,DB!$1:$1,0)),FALSE),"")</f>
        <v/>
      </c>
      <c r="GCP19" s="28" t="str">
        <f>IFERROR(VLOOKUP(DATE($K$1,$K$2,GCP$4),Table1[],(MATCH(Calendar!$A19,DB!$1:$1,0)),FALSE),"")</f>
        <v/>
      </c>
      <c r="GCQ19" s="28" t="str">
        <f>IFERROR(VLOOKUP(DATE($K$1,$K$2,GCQ$4),Table1[],(MATCH(Calendar!$A19,DB!$1:$1,0)),FALSE),"")</f>
        <v/>
      </c>
      <c r="GCR19" s="28" t="str">
        <f>IFERROR(VLOOKUP(DATE($K$1,$K$2,GCR$4),Table1[],(MATCH(Calendar!$A19,DB!$1:$1,0)),FALSE),"")</f>
        <v/>
      </c>
      <c r="GCS19" s="28" t="str">
        <f>IFERROR(VLOOKUP(DATE($K$1,$K$2,GCS$4),Table1[],(MATCH(Calendar!$A19,DB!$1:$1,0)),FALSE),"")</f>
        <v/>
      </c>
      <c r="GCT19" s="28" t="str">
        <f>IFERROR(VLOOKUP(DATE($K$1,$K$2,GCT$4),Table1[],(MATCH(Calendar!$A19,DB!$1:$1,0)),FALSE),"")</f>
        <v/>
      </c>
      <c r="GCU19" s="28" t="str">
        <f>IFERROR(VLOOKUP(DATE($K$1,$K$2,GCU$4),Table1[],(MATCH(Calendar!$A19,DB!$1:$1,0)),FALSE),"")</f>
        <v/>
      </c>
      <c r="GCV19" s="28" t="str">
        <f>IFERROR(VLOOKUP(DATE($K$1,$K$2,GCV$4),Table1[],(MATCH(Calendar!$A19,DB!$1:$1,0)),FALSE),"")</f>
        <v/>
      </c>
      <c r="GCW19" s="28" t="str">
        <f>IFERROR(VLOOKUP(DATE($K$1,$K$2,GCW$4),Table1[],(MATCH(Calendar!$A19,DB!$1:$1,0)),FALSE),"")</f>
        <v/>
      </c>
      <c r="GCX19" s="28" t="str">
        <f>IFERROR(VLOOKUP(DATE($K$1,$K$2,GCX$4),Table1[],(MATCH(Calendar!$A19,DB!$1:$1,0)),FALSE),"")</f>
        <v/>
      </c>
      <c r="GCY19" s="28" t="str">
        <f>IFERROR(VLOOKUP(DATE($K$1,$K$2,GCY$4),Table1[],(MATCH(Calendar!$A19,DB!$1:$1,0)),FALSE),"")</f>
        <v/>
      </c>
      <c r="GCZ19" s="28" t="str">
        <f>IFERROR(VLOOKUP(DATE($K$1,$K$2,GCZ$4),Table1[],(MATCH(Calendar!$A19,DB!$1:$1,0)),FALSE),"")</f>
        <v/>
      </c>
      <c r="GDA19" s="28" t="str">
        <f>IFERROR(VLOOKUP(DATE($K$1,$K$2,GDA$4),Table1[],(MATCH(Calendar!$A19,DB!$1:$1,0)),FALSE),"")</f>
        <v/>
      </c>
      <c r="GDB19" s="28" t="str">
        <f>IFERROR(VLOOKUP(DATE($K$1,$K$2,GDB$4),Table1[],(MATCH(Calendar!$A19,DB!$1:$1,0)),FALSE),"")</f>
        <v/>
      </c>
      <c r="GDC19" s="28" t="str">
        <f>IFERROR(VLOOKUP(DATE($K$1,$K$2,GDC$4),Table1[],(MATCH(Calendar!$A19,DB!$1:$1,0)),FALSE),"")</f>
        <v/>
      </c>
      <c r="GDD19" s="28" t="str">
        <f>IFERROR(VLOOKUP(DATE($K$1,$K$2,GDD$4),Table1[],(MATCH(Calendar!$A19,DB!$1:$1,0)),FALSE),"")</f>
        <v/>
      </c>
      <c r="GDE19" s="28" t="str">
        <f>IFERROR(VLOOKUP(DATE($K$1,$K$2,GDE$4),Table1[],(MATCH(Calendar!$A19,DB!$1:$1,0)),FALSE),"")</f>
        <v/>
      </c>
      <c r="GDF19" s="28" t="str">
        <f>IFERROR(VLOOKUP(DATE($K$1,$K$2,GDF$4),Table1[],(MATCH(Calendar!$A19,DB!$1:$1,0)),FALSE),"")</f>
        <v/>
      </c>
      <c r="GDG19" s="28" t="str">
        <f>IFERROR(VLOOKUP(DATE($K$1,$K$2,GDG$4),Table1[],(MATCH(Calendar!$A19,DB!$1:$1,0)),FALSE),"")</f>
        <v/>
      </c>
      <c r="GDH19" s="28" t="str">
        <f>IFERROR(VLOOKUP(DATE($K$1,$K$2,GDH$4),Table1[],(MATCH(Calendar!$A19,DB!$1:$1,0)),FALSE),"")</f>
        <v/>
      </c>
      <c r="GDI19" s="28" t="str">
        <f>IFERROR(VLOOKUP(DATE($K$1,$K$2,GDI$4),Table1[],(MATCH(Calendar!$A19,DB!$1:$1,0)),FALSE),"")</f>
        <v/>
      </c>
      <c r="GDJ19" s="28" t="str">
        <f>IFERROR(VLOOKUP(DATE($K$1,$K$2,GDJ$4),Table1[],(MATCH(Calendar!$A19,DB!$1:$1,0)),FALSE),"")</f>
        <v/>
      </c>
      <c r="GDK19" s="28" t="str">
        <f>IFERROR(VLOOKUP(DATE($K$1,$K$2,GDK$4),Table1[],(MATCH(Calendar!$A19,DB!$1:$1,0)),FALSE),"")</f>
        <v/>
      </c>
      <c r="GDL19" s="28" t="str">
        <f>IFERROR(VLOOKUP(DATE($K$1,$K$2,GDL$4),Table1[],(MATCH(Calendar!$A19,DB!$1:$1,0)),FALSE),"")</f>
        <v/>
      </c>
      <c r="GDM19" s="28" t="str">
        <f>IFERROR(VLOOKUP(DATE($K$1,$K$2,GDM$4),Table1[],(MATCH(Calendar!$A19,DB!$1:$1,0)),FALSE),"")</f>
        <v/>
      </c>
      <c r="GDN19" s="28" t="str">
        <f>IFERROR(VLOOKUP(DATE($K$1,$K$2,GDN$4),Table1[],(MATCH(Calendar!$A19,DB!$1:$1,0)),FALSE),"")</f>
        <v/>
      </c>
      <c r="GDO19" s="28" t="str">
        <f>IFERROR(VLOOKUP(DATE($K$1,$K$2,GDO$4),Table1[],(MATCH(Calendar!$A19,DB!$1:$1,0)),FALSE),"")</f>
        <v/>
      </c>
      <c r="GDP19" s="28" t="str">
        <f>IFERROR(VLOOKUP(DATE($K$1,$K$2,GDP$4),Table1[],(MATCH(Calendar!$A19,DB!$1:$1,0)),FALSE),"")</f>
        <v/>
      </c>
      <c r="GDQ19" s="28" t="str">
        <f>IFERROR(VLOOKUP(DATE($K$1,$K$2,GDQ$4),Table1[],(MATCH(Calendar!$A19,DB!$1:$1,0)),FALSE),"")</f>
        <v/>
      </c>
      <c r="GDR19" s="28" t="str">
        <f>IFERROR(VLOOKUP(DATE($K$1,$K$2,GDR$4),Table1[],(MATCH(Calendar!$A19,DB!$1:$1,0)),FALSE),"")</f>
        <v/>
      </c>
      <c r="GDS19" s="28" t="str">
        <f>IFERROR(VLOOKUP(DATE($K$1,$K$2,GDS$4),Table1[],(MATCH(Calendar!$A19,DB!$1:$1,0)),FALSE),"")</f>
        <v/>
      </c>
      <c r="GDT19" s="28" t="str">
        <f>IFERROR(VLOOKUP(DATE($K$1,$K$2,GDT$4),Table1[],(MATCH(Calendar!$A19,DB!$1:$1,0)),FALSE),"")</f>
        <v/>
      </c>
      <c r="GDU19" s="28" t="str">
        <f>IFERROR(VLOOKUP(DATE($K$1,$K$2,GDU$4),Table1[],(MATCH(Calendar!$A19,DB!$1:$1,0)),FALSE),"")</f>
        <v/>
      </c>
      <c r="GDV19" s="28" t="str">
        <f>IFERROR(VLOOKUP(DATE($K$1,$K$2,GDV$4),Table1[],(MATCH(Calendar!$A19,DB!$1:$1,0)),FALSE),"")</f>
        <v/>
      </c>
      <c r="GDW19" s="28" t="str">
        <f>IFERROR(VLOOKUP(DATE($K$1,$K$2,GDW$4),Table1[],(MATCH(Calendar!$A19,DB!$1:$1,0)),FALSE),"")</f>
        <v/>
      </c>
      <c r="GDX19" s="28" t="str">
        <f>IFERROR(VLOOKUP(DATE($K$1,$K$2,GDX$4),Table1[],(MATCH(Calendar!$A19,DB!$1:$1,0)),FALSE),"")</f>
        <v/>
      </c>
      <c r="GDY19" s="28" t="str">
        <f>IFERROR(VLOOKUP(DATE($K$1,$K$2,GDY$4),Table1[],(MATCH(Calendar!$A19,DB!$1:$1,0)),FALSE),"")</f>
        <v/>
      </c>
      <c r="GDZ19" s="28" t="str">
        <f>IFERROR(VLOOKUP(DATE($K$1,$K$2,GDZ$4),Table1[],(MATCH(Calendar!$A19,DB!$1:$1,0)),FALSE),"")</f>
        <v/>
      </c>
      <c r="GEA19" s="28" t="str">
        <f>IFERROR(VLOOKUP(DATE($K$1,$K$2,GEA$4),Table1[],(MATCH(Calendar!$A19,DB!$1:$1,0)),FALSE),"")</f>
        <v/>
      </c>
      <c r="GEB19" s="28" t="str">
        <f>IFERROR(VLOOKUP(DATE($K$1,$K$2,GEB$4),Table1[],(MATCH(Calendar!$A19,DB!$1:$1,0)),FALSE),"")</f>
        <v/>
      </c>
      <c r="GEC19" s="28" t="str">
        <f>IFERROR(VLOOKUP(DATE($K$1,$K$2,GEC$4),Table1[],(MATCH(Calendar!$A19,DB!$1:$1,0)),FALSE),"")</f>
        <v/>
      </c>
      <c r="GED19" s="28" t="str">
        <f>IFERROR(VLOOKUP(DATE($K$1,$K$2,GED$4),Table1[],(MATCH(Calendar!$A19,DB!$1:$1,0)),FALSE),"")</f>
        <v/>
      </c>
      <c r="GEE19" s="28" t="str">
        <f>IFERROR(VLOOKUP(DATE($K$1,$K$2,GEE$4),Table1[],(MATCH(Calendar!$A19,DB!$1:$1,0)),FALSE),"")</f>
        <v/>
      </c>
      <c r="GEF19" s="28" t="str">
        <f>IFERROR(VLOOKUP(DATE($K$1,$K$2,GEF$4),Table1[],(MATCH(Calendar!$A19,DB!$1:$1,0)),FALSE),"")</f>
        <v/>
      </c>
      <c r="GEG19" s="28" t="str">
        <f>IFERROR(VLOOKUP(DATE($K$1,$K$2,GEG$4),Table1[],(MATCH(Calendar!$A19,DB!$1:$1,0)),FALSE),"")</f>
        <v/>
      </c>
      <c r="GEH19" s="28" t="str">
        <f>IFERROR(VLOOKUP(DATE($K$1,$K$2,GEH$4),Table1[],(MATCH(Calendar!$A19,DB!$1:$1,0)),FALSE),"")</f>
        <v/>
      </c>
      <c r="GEI19" s="28" t="str">
        <f>IFERROR(VLOOKUP(DATE($K$1,$K$2,GEI$4),Table1[],(MATCH(Calendar!$A19,DB!$1:$1,0)),FALSE),"")</f>
        <v/>
      </c>
      <c r="GEJ19" s="28" t="str">
        <f>IFERROR(VLOOKUP(DATE($K$1,$K$2,GEJ$4),Table1[],(MATCH(Calendar!$A19,DB!$1:$1,0)),FALSE),"")</f>
        <v/>
      </c>
      <c r="GEK19" s="28" t="str">
        <f>IFERROR(VLOOKUP(DATE($K$1,$K$2,GEK$4),Table1[],(MATCH(Calendar!$A19,DB!$1:$1,0)),FALSE),"")</f>
        <v/>
      </c>
      <c r="GEL19" s="28" t="str">
        <f>IFERROR(VLOOKUP(DATE($K$1,$K$2,GEL$4),Table1[],(MATCH(Calendar!$A19,DB!$1:$1,0)),FALSE),"")</f>
        <v/>
      </c>
      <c r="GEM19" s="28" t="str">
        <f>IFERROR(VLOOKUP(DATE($K$1,$K$2,GEM$4),Table1[],(MATCH(Calendar!$A19,DB!$1:$1,0)),FALSE),"")</f>
        <v/>
      </c>
      <c r="GEN19" s="28" t="str">
        <f>IFERROR(VLOOKUP(DATE($K$1,$K$2,GEN$4),Table1[],(MATCH(Calendar!$A19,DB!$1:$1,0)),FALSE),"")</f>
        <v/>
      </c>
      <c r="GEO19" s="28" t="str">
        <f>IFERROR(VLOOKUP(DATE($K$1,$K$2,GEO$4),Table1[],(MATCH(Calendar!$A19,DB!$1:$1,0)),FALSE),"")</f>
        <v/>
      </c>
      <c r="GEP19" s="28" t="str">
        <f>IFERROR(VLOOKUP(DATE($K$1,$K$2,GEP$4),Table1[],(MATCH(Calendar!$A19,DB!$1:$1,0)),FALSE),"")</f>
        <v/>
      </c>
      <c r="GEQ19" s="28" t="str">
        <f>IFERROR(VLOOKUP(DATE($K$1,$K$2,GEQ$4),Table1[],(MATCH(Calendar!$A19,DB!$1:$1,0)),FALSE),"")</f>
        <v/>
      </c>
      <c r="GER19" s="28" t="str">
        <f>IFERROR(VLOOKUP(DATE($K$1,$K$2,GER$4),Table1[],(MATCH(Calendar!$A19,DB!$1:$1,0)),FALSE),"")</f>
        <v/>
      </c>
      <c r="GES19" s="28" t="str">
        <f>IFERROR(VLOOKUP(DATE($K$1,$K$2,GES$4),Table1[],(MATCH(Calendar!$A19,DB!$1:$1,0)),FALSE),"")</f>
        <v/>
      </c>
      <c r="GET19" s="28" t="str">
        <f>IFERROR(VLOOKUP(DATE($K$1,$K$2,GET$4),Table1[],(MATCH(Calendar!$A19,DB!$1:$1,0)),FALSE),"")</f>
        <v/>
      </c>
      <c r="GEU19" s="28" t="str">
        <f>IFERROR(VLOOKUP(DATE($K$1,$K$2,GEU$4),Table1[],(MATCH(Calendar!$A19,DB!$1:$1,0)),FALSE),"")</f>
        <v/>
      </c>
      <c r="GEV19" s="28" t="str">
        <f>IFERROR(VLOOKUP(DATE($K$1,$K$2,GEV$4),Table1[],(MATCH(Calendar!$A19,DB!$1:$1,0)),FALSE),"")</f>
        <v/>
      </c>
      <c r="GEW19" s="28" t="str">
        <f>IFERROR(VLOOKUP(DATE($K$1,$K$2,GEW$4),Table1[],(MATCH(Calendar!$A19,DB!$1:$1,0)),FALSE),"")</f>
        <v/>
      </c>
      <c r="GEX19" s="28" t="str">
        <f>IFERROR(VLOOKUP(DATE($K$1,$K$2,GEX$4),Table1[],(MATCH(Calendar!$A19,DB!$1:$1,0)),FALSE),"")</f>
        <v/>
      </c>
      <c r="GEY19" s="28" t="str">
        <f>IFERROR(VLOOKUP(DATE($K$1,$K$2,GEY$4),Table1[],(MATCH(Calendar!$A19,DB!$1:$1,0)),FALSE),"")</f>
        <v/>
      </c>
      <c r="GEZ19" s="28" t="str">
        <f>IFERROR(VLOOKUP(DATE($K$1,$K$2,GEZ$4),Table1[],(MATCH(Calendar!$A19,DB!$1:$1,0)),FALSE),"")</f>
        <v/>
      </c>
      <c r="GFA19" s="28" t="str">
        <f>IFERROR(VLOOKUP(DATE($K$1,$K$2,GFA$4),Table1[],(MATCH(Calendar!$A19,DB!$1:$1,0)),FALSE),"")</f>
        <v/>
      </c>
      <c r="GFB19" s="28" t="str">
        <f>IFERROR(VLOOKUP(DATE($K$1,$K$2,GFB$4),Table1[],(MATCH(Calendar!$A19,DB!$1:$1,0)),FALSE),"")</f>
        <v/>
      </c>
      <c r="GFC19" s="28" t="str">
        <f>IFERROR(VLOOKUP(DATE($K$1,$K$2,GFC$4),Table1[],(MATCH(Calendar!$A19,DB!$1:$1,0)),FALSE),"")</f>
        <v/>
      </c>
      <c r="GFD19" s="28" t="str">
        <f>IFERROR(VLOOKUP(DATE($K$1,$K$2,GFD$4),Table1[],(MATCH(Calendar!$A19,DB!$1:$1,0)),FALSE),"")</f>
        <v/>
      </c>
      <c r="GFE19" s="28" t="str">
        <f>IFERROR(VLOOKUP(DATE($K$1,$K$2,GFE$4),Table1[],(MATCH(Calendar!$A19,DB!$1:$1,0)),FALSE),"")</f>
        <v/>
      </c>
      <c r="GFF19" s="28" t="str">
        <f>IFERROR(VLOOKUP(DATE($K$1,$K$2,GFF$4),Table1[],(MATCH(Calendar!$A19,DB!$1:$1,0)),FALSE),"")</f>
        <v/>
      </c>
      <c r="GFG19" s="28" t="str">
        <f>IFERROR(VLOOKUP(DATE($K$1,$K$2,GFG$4),Table1[],(MATCH(Calendar!$A19,DB!$1:$1,0)),FALSE),"")</f>
        <v/>
      </c>
      <c r="GFH19" s="28" t="str">
        <f>IFERROR(VLOOKUP(DATE($K$1,$K$2,GFH$4),Table1[],(MATCH(Calendar!$A19,DB!$1:$1,0)),FALSE),"")</f>
        <v/>
      </c>
      <c r="GFI19" s="28" t="str">
        <f>IFERROR(VLOOKUP(DATE($K$1,$K$2,GFI$4),Table1[],(MATCH(Calendar!$A19,DB!$1:$1,0)),FALSE),"")</f>
        <v/>
      </c>
      <c r="GFJ19" s="28" t="str">
        <f>IFERROR(VLOOKUP(DATE($K$1,$K$2,GFJ$4),Table1[],(MATCH(Calendar!$A19,DB!$1:$1,0)),FALSE),"")</f>
        <v/>
      </c>
      <c r="GFK19" s="28" t="str">
        <f>IFERROR(VLOOKUP(DATE($K$1,$K$2,GFK$4),Table1[],(MATCH(Calendar!$A19,DB!$1:$1,0)),FALSE),"")</f>
        <v/>
      </c>
      <c r="GFL19" s="28" t="str">
        <f>IFERROR(VLOOKUP(DATE($K$1,$K$2,GFL$4),Table1[],(MATCH(Calendar!$A19,DB!$1:$1,0)),FALSE),"")</f>
        <v/>
      </c>
      <c r="GFM19" s="28" t="str">
        <f>IFERROR(VLOOKUP(DATE($K$1,$K$2,GFM$4),Table1[],(MATCH(Calendar!$A19,DB!$1:$1,0)),FALSE),"")</f>
        <v/>
      </c>
      <c r="GFN19" s="28" t="str">
        <f>IFERROR(VLOOKUP(DATE($K$1,$K$2,GFN$4),Table1[],(MATCH(Calendar!$A19,DB!$1:$1,0)),FALSE),"")</f>
        <v/>
      </c>
      <c r="GFO19" s="28" t="str">
        <f>IFERROR(VLOOKUP(DATE($K$1,$K$2,GFO$4),Table1[],(MATCH(Calendar!$A19,DB!$1:$1,0)),FALSE),"")</f>
        <v/>
      </c>
      <c r="GFP19" s="28" t="str">
        <f>IFERROR(VLOOKUP(DATE($K$1,$K$2,GFP$4),Table1[],(MATCH(Calendar!$A19,DB!$1:$1,0)),FALSE),"")</f>
        <v/>
      </c>
      <c r="GFQ19" s="28" t="str">
        <f>IFERROR(VLOOKUP(DATE($K$1,$K$2,GFQ$4),Table1[],(MATCH(Calendar!$A19,DB!$1:$1,0)),FALSE),"")</f>
        <v/>
      </c>
      <c r="GFR19" s="28" t="str">
        <f>IFERROR(VLOOKUP(DATE($K$1,$K$2,GFR$4),Table1[],(MATCH(Calendar!$A19,DB!$1:$1,0)),FALSE),"")</f>
        <v/>
      </c>
      <c r="GFS19" s="28" t="str">
        <f>IFERROR(VLOOKUP(DATE($K$1,$K$2,GFS$4),Table1[],(MATCH(Calendar!$A19,DB!$1:$1,0)),FALSE),"")</f>
        <v/>
      </c>
      <c r="GFT19" s="28" t="str">
        <f>IFERROR(VLOOKUP(DATE($K$1,$K$2,GFT$4),Table1[],(MATCH(Calendar!$A19,DB!$1:$1,0)),FALSE),"")</f>
        <v/>
      </c>
      <c r="GFU19" s="28" t="str">
        <f>IFERROR(VLOOKUP(DATE($K$1,$K$2,GFU$4),Table1[],(MATCH(Calendar!$A19,DB!$1:$1,0)),FALSE),"")</f>
        <v/>
      </c>
      <c r="GFV19" s="28" t="str">
        <f>IFERROR(VLOOKUP(DATE($K$1,$K$2,GFV$4),Table1[],(MATCH(Calendar!$A19,DB!$1:$1,0)),FALSE),"")</f>
        <v/>
      </c>
      <c r="GFW19" s="28" t="str">
        <f>IFERROR(VLOOKUP(DATE($K$1,$K$2,GFW$4),Table1[],(MATCH(Calendar!$A19,DB!$1:$1,0)),FALSE),"")</f>
        <v/>
      </c>
      <c r="GFX19" s="28" t="str">
        <f>IFERROR(VLOOKUP(DATE($K$1,$K$2,GFX$4),Table1[],(MATCH(Calendar!$A19,DB!$1:$1,0)),FALSE),"")</f>
        <v/>
      </c>
      <c r="GFY19" s="28" t="str">
        <f>IFERROR(VLOOKUP(DATE($K$1,$K$2,GFY$4),Table1[],(MATCH(Calendar!$A19,DB!$1:$1,0)),FALSE),"")</f>
        <v/>
      </c>
      <c r="GFZ19" s="28" t="str">
        <f>IFERROR(VLOOKUP(DATE($K$1,$K$2,GFZ$4),Table1[],(MATCH(Calendar!$A19,DB!$1:$1,0)),FALSE),"")</f>
        <v/>
      </c>
      <c r="GGA19" s="28" t="str">
        <f>IFERROR(VLOOKUP(DATE($K$1,$K$2,GGA$4),Table1[],(MATCH(Calendar!$A19,DB!$1:$1,0)),FALSE),"")</f>
        <v/>
      </c>
      <c r="GGB19" s="28" t="str">
        <f>IFERROR(VLOOKUP(DATE($K$1,$K$2,GGB$4),Table1[],(MATCH(Calendar!$A19,DB!$1:$1,0)),FALSE),"")</f>
        <v/>
      </c>
      <c r="GGC19" s="28" t="str">
        <f>IFERROR(VLOOKUP(DATE($K$1,$K$2,GGC$4),Table1[],(MATCH(Calendar!$A19,DB!$1:$1,0)),FALSE),"")</f>
        <v/>
      </c>
      <c r="GGD19" s="28" t="str">
        <f>IFERROR(VLOOKUP(DATE($K$1,$K$2,GGD$4),Table1[],(MATCH(Calendar!$A19,DB!$1:$1,0)),FALSE),"")</f>
        <v/>
      </c>
      <c r="GGE19" s="28" t="str">
        <f>IFERROR(VLOOKUP(DATE($K$1,$K$2,GGE$4),Table1[],(MATCH(Calendar!$A19,DB!$1:$1,0)),FALSE),"")</f>
        <v/>
      </c>
      <c r="GGF19" s="28" t="str">
        <f>IFERROR(VLOOKUP(DATE($K$1,$K$2,GGF$4),Table1[],(MATCH(Calendar!$A19,DB!$1:$1,0)),FALSE),"")</f>
        <v/>
      </c>
      <c r="GGG19" s="28" t="str">
        <f>IFERROR(VLOOKUP(DATE($K$1,$K$2,GGG$4),Table1[],(MATCH(Calendar!$A19,DB!$1:$1,0)),FALSE),"")</f>
        <v/>
      </c>
      <c r="GGH19" s="28" t="str">
        <f>IFERROR(VLOOKUP(DATE($K$1,$K$2,GGH$4),Table1[],(MATCH(Calendar!$A19,DB!$1:$1,0)),FALSE),"")</f>
        <v/>
      </c>
      <c r="GGI19" s="28" t="str">
        <f>IFERROR(VLOOKUP(DATE($K$1,$K$2,GGI$4),Table1[],(MATCH(Calendar!$A19,DB!$1:$1,0)),FALSE),"")</f>
        <v/>
      </c>
      <c r="GGJ19" s="28" t="str">
        <f>IFERROR(VLOOKUP(DATE($K$1,$K$2,GGJ$4),Table1[],(MATCH(Calendar!$A19,DB!$1:$1,0)),FALSE),"")</f>
        <v/>
      </c>
      <c r="GGK19" s="28" t="str">
        <f>IFERROR(VLOOKUP(DATE($K$1,$K$2,GGK$4),Table1[],(MATCH(Calendar!$A19,DB!$1:$1,0)),FALSE),"")</f>
        <v/>
      </c>
      <c r="GGL19" s="28" t="str">
        <f>IFERROR(VLOOKUP(DATE($K$1,$K$2,GGL$4),Table1[],(MATCH(Calendar!$A19,DB!$1:$1,0)),FALSE),"")</f>
        <v/>
      </c>
      <c r="GGM19" s="28" t="str">
        <f>IFERROR(VLOOKUP(DATE($K$1,$K$2,GGM$4),Table1[],(MATCH(Calendar!$A19,DB!$1:$1,0)),FALSE),"")</f>
        <v/>
      </c>
      <c r="GGN19" s="28" t="str">
        <f>IFERROR(VLOOKUP(DATE($K$1,$K$2,GGN$4),Table1[],(MATCH(Calendar!$A19,DB!$1:$1,0)),FALSE),"")</f>
        <v/>
      </c>
      <c r="GGO19" s="28" t="str">
        <f>IFERROR(VLOOKUP(DATE($K$1,$K$2,GGO$4),Table1[],(MATCH(Calendar!$A19,DB!$1:$1,0)),FALSE),"")</f>
        <v/>
      </c>
      <c r="GGP19" s="28" t="str">
        <f>IFERROR(VLOOKUP(DATE($K$1,$K$2,GGP$4),Table1[],(MATCH(Calendar!$A19,DB!$1:$1,0)),FALSE),"")</f>
        <v/>
      </c>
      <c r="GGQ19" s="28" t="str">
        <f>IFERROR(VLOOKUP(DATE($K$1,$K$2,GGQ$4),Table1[],(MATCH(Calendar!$A19,DB!$1:$1,0)),FALSE),"")</f>
        <v/>
      </c>
      <c r="GGR19" s="28" t="str">
        <f>IFERROR(VLOOKUP(DATE($K$1,$K$2,GGR$4),Table1[],(MATCH(Calendar!$A19,DB!$1:$1,0)),FALSE),"")</f>
        <v/>
      </c>
      <c r="GGS19" s="28" t="str">
        <f>IFERROR(VLOOKUP(DATE($K$1,$K$2,GGS$4),Table1[],(MATCH(Calendar!$A19,DB!$1:$1,0)),FALSE),"")</f>
        <v/>
      </c>
      <c r="GGT19" s="28" t="str">
        <f>IFERROR(VLOOKUP(DATE($K$1,$K$2,GGT$4),Table1[],(MATCH(Calendar!$A19,DB!$1:$1,0)),FALSE),"")</f>
        <v/>
      </c>
      <c r="GGU19" s="28" t="str">
        <f>IFERROR(VLOOKUP(DATE($K$1,$K$2,GGU$4),Table1[],(MATCH(Calendar!$A19,DB!$1:$1,0)),FALSE),"")</f>
        <v/>
      </c>
      <c r="GGV19" s="28" t="str">
        <f>IFERROR(VLOOKUP(DATE($K$1,$K$2,GGV$4),Table1[],(MATCH(Calendar!$A19,DB!$1:$1,0)),FALSE),"")</f>
        <v/>
      </c>
      <c r="GGW19" s="28" t="str">
        <f>IFERROR(VLOOKUP(DATE($K$1,$K$2,GGW$4),Table1[],(MATCH(Calendar!$A19,DB!$1:$1,0)),FALSE),"")</f>
        <v/>
      </c>
      <c r="GGX19" s="28" t="str">
        <f>IFERROR(VLOOKUP(DATE($K$1,$K$2,GGX$4),Table1[],(MATCH(Calendar!$A19,DB!$1:$1,0)),FALSE),"")</f>
        <v/>
      </c>
      <c r="GGY19" s="28" t="str">
        <f>IFERROR(VLOOKUP(DATE($K$1,$K$2,GGY$4),Table1[],(MATCH(Calendar!$A19,DB!$1:$1,0)),FALSE),"")</f>
        <v/>
      </c>
      <c r="GGZ19" s="28" t="str">
        <f>IFERROR(VLOOKUP(DATE($K$1,$K$2,GGZ$4),Table1[],(MATCH(Calendar!$A19,DB!$1:$1,0)),FALSE),"")</f>
        <v/>
      </c>
      <c r="GHA19" s="28" t="str">
        <f>IFERROR(VLOOKUP(DATE($K$1,$K$2,GHA$4),Table1[],(MATCH(Calendar!$A19,DB!$1:$1,0)),FALSE),"")</f>
        <v/>
      </c>
      <c r="GHB19" s="28" t="str">
        <f>IFERROR(VLOOKUP(DATE($K$1,$K$2,GHB$4),Table1[],(MATCH(Calendar!$A19,DB!$1:$1,0)),FALSE),"")</f>
        <v/>
      </c>
      <c r="GHC19" s="28" t="str">
        <f>IFERROR(VLOOKUP(DATE($K$1,$K$2,GHC$4),Table1[],(MATCH(Calendar!$A19,DB!$1:$1,0)),FALSE),"")</f>
        <v/>
      </c>
      <c r="GHD19" s="28" t="str">
        <f>IFERROR(VLOOKUP(DATE($K$1,$K$2,GHD$4),Table1[],(MATCH(Calendar!$A19,DB!$1:$1,0)),FALSE),"")</f>
        <v/>
      </c>
      <c r="GHE19" s="28" t="str">
        <f>IFERROR(VLOOKUP(DATE($K$1,$K$2,GHE$4),Table1[],(MATCH(Calendar!$A19,DB!$1:$1,0)),FALSE),"")</f>
        <v/>
      </c>
      <c r="GHF19" s="28" t="str">
        <f>IFERROR(VLOOKUP(DATE($K$1,$K$2,GHF$4),Table1[],(MATCH(Calendar!$A19,DB!$1:$1,0)),FALSE),"")</f>
        <v/>
      </c>
      <c r="GHG19" s="28" t="str">
        <f>IFERROR(VLOOKUP(DATE($K$1,$K$2,GHG$4),Table1[],(MATCH(Calendar!$A19,DB!$1:$1,0)),FALSE),"")</f>
        <v/>
      </c>
      <c r="GHH19" s="28" t="str">
        <f>IFERROR(VLOOKUP(DATE($K$1,$K$2,GHH$4),Table1[],(MATCH(Calendar!$A19,DB!$1:$1,0)),FALSE),"")</f>
        <v/>
      </c>
      <c r="GHI19" s="28" t="str">
        <f>IFERROR(VLOOKUP(DATE($K$1,$K$2,GHI$4),Table1[],(MATCH(Calendar!$A19,DB!$1:$1,0)),FALSE),"")</f>
        <v/>
      </c>
      <c r="GHJ19" s="28" t="str">
        <f>IFERROR(VLOOKUP(DATE($K$1,$K$2,GHJ$4),Table1[],(MATCH(Calendar!$A19,DB!$1:$1,0)),FALSE),"")</f>
        <v/>
      </c>
      <c r="GHK19" s="28" t="str">
        <f>IFERROR(VLOOKUP(DATE($K$1,$K$2,GHK$4),Table1[],(MATCH(Calendar!$A19,DB!$1:$1,0)),FALSE),"")</f>
        <v/>
      </c>
      <c r="GHL19" s="28" t="str">
        <f>IFERROR(VLOOKUP(DATE($K$1,$K$2,GHL$4),Table1[],(MATCH(Calendar!$A19,DB!$1:$1,0)),FALSE),"")</f>
        <v/>
      </c>
      <c r="GHM19" s="28" t="str">
        <f>IFERROR(VLOOKUP(DATE($K$1,$K$2,GHM$4),Table1[],(MATCH(Calendar!$A19,DB!$1:$1,0)),FALSE),"")</f>
        <v/>
      </c>
      <c r="GHN19" s="28" t="str">
        <f>IFERROR(VLOOKUP(DATE($K$1,$K$2,GHN$4),Table1[],(MATCH(Calendar!$A19,DB!$1:$1,0)),FALSE),"")</f>
        <v/>
      </c>
      <c r="GHO19" s="28" t="str">
        <f>IFERROR(VLOOKUP(DATE($K$1,$K$2,GHO$4),Table1[],(MATCH(Calendar!$A19,DB!$1:$1,0)),FALSE),"")</f>
        <v/>
      </c>
      <c r="GHP19" s="28" t="str">
        <f>IFERROR(VLOOKUP(DATE($K$1,$K$2,GHP$4),Table1[],(MATCH(Calendar!$A19,DB!$1:$1,0)),FALSE),"")</f>
        <v/>
      </c>
      <c r="GHQ19" s="28" t="str">
        <f>IFERROR(VLOOKUP(DATE($K$1,$K$2,GHQ$4),Table1[],(MATCH(Calendar!$A19,DB!$1:$1,0)),FALSE),"")</f>
        <v/>
      </c>
      <c r="GHR19" s="28" t="str">
        <f>IFERROR(VLOOKUP(DATE($K$1,$K$2,GHR$4),Table1[],(MATCH(Calendar!$A19,DB!$1:$1,0)),FALSE),"")</f>
        <v/>
      </c>
      <c r="GHS19" s="28" t="str">
        <f>IFERROR(VLOOKUP(DATE($K$1,$K$2,GHS$4),Table1[],(MATCH(Calendar!$A19,DB!$1:$1,0)),FALSE),"")</f>
        <v/>
      </c>
      <c r="GHT19" s="28" t="str">
        <f>IFERROR(VLOOKUP(DATE($K$1,$K$2,GHT$4),Table1[],(MATCH(Calendar!$A19,DB!$1:$1,0)),FALSE),"")</f>
        <v/>
      </c>
      <c r="GHU19" s="28" t="str">
        <f>IFERROR(VLOOKUP(DATE($K$1,$K$2,GHU$4),Table1[],(MATCH(Calendar!$A19,DB!$1:$1,0)),FALSE),"")</f>
        <v/>
      </c>
      <c r="GHV19" s="28" t="str">
        <f>IFERROR(VLOOKUP(DATE($K$1,$K$2,GHV$4),Table1[],(MATCH(Calendar!$A19,DB!$1:$1,0)),FALSE),"")</f>
        <v/>
      </c>
      <c r="GHW19" s="28" t="str">
        <f>IFERROR(VLOOKUP(DATE($K$1,$K$2,GHW$4),Table1[],(MATCH(Calendar!$A19,DB!$1:$1,0)),FALSE),"")</f>
        <v/>
      </c>
      <c r="GHX19" s="28" t="str">
        <f>IFERROR(VLOOKUP(DATE($K$1,$K$2,GHX$4),Table1[],(MATCH(Calendar!$A19,DB!$1:$1,0)),FALSE),"")</f>
        <v/>
      </c>
      <c r="GHY19" s="28" t="str">
        <f>IFERROR(VLOOKUP(DATE($K$1,$K$2,GHY$4),Table1[],(MATCH(Calendar!$A19,DB!$1:$1,0)),FALSE),"")</f>
        <v/>
      </c>
      <c r="GHZ19" s="28" t="str">
        <f>IFERROR(VLOOKUP(DATE($K$1,$K$2,GHZ$4),Table1[],(MATCH(Calendar!$A19,DB!$1:$1,0)),FALSE),"")</f>
        <v/>
      </c>
      <c r="GIA19" s="28" t="str">
        <f>IFERROR(VLOOKUP(DATE($K$1,$K$2,GIA$4),Table1[],(MATCH(Calendar!$A19,DB!$1:$1,0)),FALSE),"")</f>
        <v/>
      </c>
      <c r="GIB19" s="28" t="str">
        <f>IFERROR(VLOOKUP(DATE($K$1,$K$2,GIB$4),Table1[],(MATCH(Calendar!$A19,DB!$1:$1,0)),FALSE),"")</f>
        <v/>
      </c>
      <c r="GIC19" s="28" t="str">
        <f>IFERROR(VLOOKUP(DATE($K$1,$K$2,GIC$4),Table1[],(MATCH(Calendar!$A19,DB!$1:$1,0)),FALSE),"")</f>
        <v/>
      </c>
      <c r="GID19" s="28" t="str">
        <f>IFERROR(VLOOKUP(DATE($K$1,$K$2,GID$4),Table1[],(MATCH(Calendar!$A19,DB!$1:$1,0)),FALSE),"")</f>
        <v/>
      </c>
      <c r="GIE19" s="28" t="str">
        <f>IFERROR(VLOOKUP(DATE($K$1,$K$2,GIE$4),Table1[],(MATCH(Calendar!$A19,DB!$1:$1,0)),FALSE),"")</f>
        <v/>
      </c>
      <c r="GIF19" s="28" t="str">
        <f>IFERROR(VLOOKUP(DATE($K$1,$K$2,GIF$4),Table1[],(MATCH(Calendar!$A19,DB!$1:$1,0)),FALSE),"")</f>
        <v/>
      </c>
      <c r="GIG19" s="28" t="str">
        <f>IFERROR(VLOOKUP(DATE($K$1,$K$2,GIG$4),Table1[],(MATCH(Calendar!$A19,DB!$1:$1,0)),FALSE),"")</f>
        <v/>
      </c>
      <c r="GIH19" s="28" t="str">
        <f>IFERROR(VLOOKUP(DATE($K$1,$K$2,GIH$4),Table1[],(MATCH(Calendar!$A19,DB!$1:$1,0)),FALSE),"")</f>
        <v/>
      </c>
      <c r="GII19" s="28" t="str">
        <f>IFERROR(VLOOKUP(DATE($K$1,$K$2,GII$4),Table1[],(MATCH(Calendar!$A19,DB!$1:$1,0)),FALSE),"")</f>
        <v/>
      </c>
      <c r="GIJ19" s="28" t="str">
        <f>IFERROR(VLOOKUP(DATE($K$1,$K$2,GIJ$4),Table1[],(MATCH(Calendar!$A19,DB!$1:$1,0)),FALSE),"")</f>
        <v/>
      </c>
      <c r="GIK19" s="28" t="str">
        <f>IFERROR(VLOOKUP(DATE($K$1,$K$2,GIK$4),Table1[],(MATCH(Calendar!$A19,DB!$1:$1,0)),FALSE),"")</f>
        <v/>
      </c>
      <c r="GIL19" s="28" t="str">
        <f>IFERROR(VLOOKUP(DATE($K$1,$K$2,GIL$4),Table1[],(MATCH(Calendar!$A19,DB!$1:$1,0)),FALSE),"")</f>
        <v/>
      </c>
      <c r="GIM19" s="28" t="str">
        <f>IFERROR(VLOOKUP(DATE($K$1,$K$2,GIM$4),Table1[],(MATCH(Calendar!$A19,DB!$1:$1,0)),FALSE),"")</f>
        <v/>
      </c>
      <c r="GIN19" s="28" t="str">
        <f>IFERROR(VLOOKUP(DATE($K$1,$K$2,GIN$4),Table1[],(MATCH(Calendar!$A19,DB!$1:$1,0)),FALSE),"")</f>
        <v/>
      </c>
      <c r="GIO19" s="28" t="str">
        <f>IFERROR(VLOOKUP(DATE($K$1,$K$2,GIO$4),Table1[],(MATCH(Calendar!$A19,DB!$1:$1,0)),FALSE),"")</f>
        <v/>
      </c>
      <c r="GIP19" s="28" t="str">
        <f>IFERROR(VLOOKUP(DATE($K$1,$K$2,GIP$4),Table1[],(MATCH(Calendar!$A19,DB!$1:$1,0)),FALSE),"")</f>
        <v/>
      </c>
      <c r="GIQ19" s="28" t="str">
        <f>IFERROR(VLOOKUP(DATE($K$1,$K$2,GIQ$4),Table1[],(MATCH(Calendar!$A19,DB!$1:$1,0)),FALSE),"")</f>
        <v/>
      </c>
      <c r="GIR19" s="28" t="str">
        <f>IFERROR(VLOOKUP(DATE($K$1,$K$2,GIR$4),Table1[],(MATCH(Calendar!$A19,DB!$1:$1,0)),FALSE),"")</f>
        <v/>
      </c>
      <c r="GIS19" s="28" t="str">
        <f>IFERROR(VLOOKUP(DATE($K$1,$K$2,GIS$4),Table1[],(MATCH(Calendar!$A19,DB!$1:$1,0)),FALSE),"")</f>
        <v/>
      </c>
      <c r="GIT19" s="28" t="str">
        <f>IFERROR(VLOOKUP(DATE($K$1,$K$2,GIT$4),Table1[],(MATCH(Calendar!$A19,DB!$1:$1,0)),FALSE),"")</f>
        <v/>
      </c>
      <c r="GIU19" s="28" t="str">
        <f>IFERROR(VLOOKUP(DATE($K$1,$K$2,GIU$4),Table1[],(MATCH(Calendar!$A19,DB!$1:$1,0)),FALSE),"")</f>
        <v/>
      </c>
      <c r="GIV19" s="28" t="str">
        <f>IFERROR(VLOOKUP(DATE($K$1,$K$2,GIV$4),Table1[],(MATCH(Calendar!$A19,DB!$1:$1,0)),FALSE),"")</f>
        <v/>
      </c>
      <c r="GIW19" s="28" t="str">
        <f>IFERROR(VLOOKUP(DATE($K$1,$K$2,GIW$4),Table1[],(MATCH(Calendar!$A19,DB!$1:$1,0)),FALSE),"")</f>
        <v/>
      </c>
      <c r="GIX19" s="28" t="str">
        <f>IFERROR(VLOOKUP(DATE($K$1,$K$2,GIX$4),Table1[],(MATCH(Calendar!$A19,DB!$1:$1,0)),FALSE),"")</f>
        <v/>
      </c>
      <c r="GIY19" s="28" t="str">
        <f>IFERROR(VLOOKUP(DATE($K$1,$K$2,GIY$4),Table1[],(MATCH(Calendar!$A19,DB!$1:$1,0)),FALSE),"")</f>
        <v/>
      </c>
      <c r="GIZ19" s="28" t="str">
        <f>IFERROR(VLOOKUP(DATE($K$1,$K$2,GIZ$4),Table1[],(MATCH(Calendar!$A19,DB!$1:$1,0)),FALSE),"")</f>
        <v/>
      </c>
      <c r="GJA19" s="28" t="str">
        <f>IFERROR(VLOOKUP(DATE($K$1,$K$2,GJA$4),Table1[],(MATCH(Calendar!$A19,DB!$1:$1,0)),FALSE),"")</f>
        <v/>
      </c>
      <c r="GJB19" s="28" t="str">
        <f>IFERROR(VLOOKUP(DATE($K$1,$K$2,GJB$4),Table1[],(MATCH(Calendar!$A19,DB!$1:$1,0)),FALSE),"")</f>
        <v/>
      </c>
      <c r="GJC19" s="28" t="str">
        <f>IFERROR(VLOOKUP(DATE($K$1,$K$2,GJC$4),Table1[],(MATCH(Calendar!$A19,DB!$1:$1,0)),FALSE),"")</f>
        <v/>
      </c>
      <c r="GJD19" s="28" t="str">
        <f>IFERROR(VLOOKUP(DATE($K$1,$K$2,GJD$4),Table1[],(MATCH(Calendar!$A19,DB!$1:$1,0)),FALSE),"")</f>
        <v/>
      </c>
      <c r="GJE19" s="28" t="str">
        <f>IFERROR(VLOOKUP(DATE($K$1,$K$2,GJE$4),Table1[],(MATCH(Calendar!$A19,DB!$1:$1,0)),FALSE),"")</f>
        <v/>
      </c>
      <c r="GJF19" s="28" t="str">
        <f>IFERROR(VLOOKUP(DATE($K$1,$K$2,GJF$4),Table1[],(MATCH(Calendar!$A19,DB!$1:$1,0)),FALSE),"")</f>
        <v/>
      </c>
      <c r="GJG19" s="28" t="str">
        <f>IFERROR(VLOOKUP(DATE($K$1,$K$2,GJG$4),Table1[],(MATCH(Calendar!$A19,DB!$1:$1,0)),FALSE),"")</f>
        <v/>
      </c>
      <c r="GJH19" s="28" t="str">
        <f>IFERROR(VLOOKUP(DATE($K$1,$K$2,GJH$4),Table1[],(MATCH(Calendar!$A19,DB!$1:$1,0)),FALSE),"")</f>
        <v/>
      </c>
      <c r="GJI19" s="28" t="str">
        <f>IFERROR(VLOOKUP(DATE($K$1,$K$2,GJI$4),Table1[],(MATCH(Calendar!$A19,DB!$1:$1,0)),FALSE),"")</f>
        <v/>
      </c>
      <c r="GJJ19" s="28" t="str">
        <f>IFERROR(VLOOKUP(DATE($K$1,$K$2,GJJ$4),Table1[],(MATCH(Calendar!$A19,DB!$1:$1,0)),FALSE),"")</f>
        <v/>
      </c>
      <c r="GJK19" s="28" t="str">
        <f>IFERROR(VLOOKUP(DATE($K$1,$K$2,GJK$4),Table1[],(MATCH(Calendar!$A19,DB!$1:$1,0)),FALSE),"")</f>
        <v/>
      </c>
      <c r="GJL19" s="28" t="str">
        <f>IFERROR(VLOOKUP(DATE($K$1,$K$2,GJL$4),Table1[],(MATCH(Calendar!$A19,DB!$1:$1,0)),FALSE),"")</f>
        <v/>
      </c>
      <c r="GJM19" s="28" t="str">
        <f>IFERROR(VLOOKUP(DATE($K$1,$K$2,GJM$4),Table1[],(MATCH(Calendar!$A19,DB!$1:$1,0)),FALSE),"")</f>
        <v/>
      </c>
      <c r="GJN19" s="28" t="str">
        <f>IFERROR(VLOOKUP(DATE($K$1,$K$2,GJN$4),Table1[],(MATCH(Calendar!$A19,DB!$1:$1,0)),FALSE),"")</f>
        <v/>
      </c>
      <c r="GJO19" s="28" t="str">
        <f>IFERROR(VLOOKUP(DATE($K$1,$K$2,GJO$4),Table1[],(MATCH(Calendar!$A19,DB!$1:$1,0)),FALSE),"")</f>
        <v/>
      </c>
      <c r="GJP19" s="28" t="str">
        <f>IFERROR(VLOOKUP(DATE($K$1,$K$2,GJP$4),Table1[],(MATCH(Calendar!$A19,DB!$1:$1,0)),FALSE),"")</f>
        <v/>
      </c>
      <c r="GJQ19" s="28" t="str">
        <f>IFERROR(VLOOKUP(DATE($K$1,$K$2,GJQ$4),Table1[],(MATCH(Calendar!$A19,DB!$1:$1,0)),FALSE),"")</f>
        <v/>
      </c>
      <c r="GJR19" s="28" t="str">
        <f>IFERROR(VLOOKUP(DATE($K$1,$K$2,GJR$4),Table1[],(MATCH(Calendar!$A19,DB!$1:$1,0)),FALSE),"")</f>
        <v/>
      </c>
      <c r="GJS19" s="28" t="str">
        <f>IFERROR(VLOOKUP(DATE($K$1,$K$2,GJS$4),Table1[],(MATCH(Calendar!$A19,DB!$1:$1,0)),FALSE),"")</f>
        <v/>
      </c>
      <c r="GJT19" s="28" t="str">
        <f>IFERROR(VLOOKUP(DATE($K$1,$K$2,GJT$4),Table1[],(MATCH(Calendar!$A19,DB!$1:$1,0)),FALSE),"")</f>
        <v/>
      </c>
      <c r="GJU19" s="28" t="str">
        <f>IFERROR(VLOOKUP(DATE($K$1,$K$2,GJU$4),Table1[],(MATCH(Calendar!$A19,DB!$1:$1,0)),FALSE),"")</f>
        <v/>
      </c>
      <c r="GJV19" s="28" t="str">
        <f>IFERROR(VLOOKUP(DATE($K$1,$K$2,GJV$4),Table1[],(MATCH(Calendar!$A19,DB!$1:$1,0)),FALSE),"")</f>
        <v/>
      </c>
      <c r="GJW19" s="28" t="str">
        <f>IFERROR(VLOOKUP(DATE($K$1,$K$2,GJW$4),Table1[],(MATCH(Calendar!$A19,DB!$1:$1,0)),FALSE),"")</f>
        <v/>
      </c>
      <c r="GJX19" s="28" t="str">
        <f>IFERROR(VLOOKUP(DATE($K$1,$K$2,GJX$4),Table1[],(MATCH(Calendar!$A19,DB!$1:$1,0)),FALSE),"")</f>
        <v/>
      </c>
      <c r="GJY19" s="28" t="str">
        <f>IFERROR(VLOOKUP(DATE($K$1,$K$2,GJY$4),Table1[],(MATCH(Calendar!$A19,DB!$1:$1,0)),FALSE),"")</f>
        <v/>
      </c>
      <c r="GJZ19" s="28" t="str">
        <f>IFERROR(VLOOKUP(DATE($K$1,$K$2,GJZ$4),Table1[],(MATCH(Calendar!$A19,DB!$1:$1,0)),FALSE),"")</f>
        <v/>
      </c>
      <c r="GKA19" s="28" t="str">
        <f>IFERROR(VLOOKUP(DATE($K$1,$K$2,GKA$4),Table1[],(MATCH(Calendar!$A19,DB!$1:$1,0)),FALSE),"")</f>
        <v/>
      </c>
      <c r="GKB19" s="28" t="str">
        <f>IFERROR(VLOOKUP(DATE($K$1,$K$2,GKB$4),Table1[],(MATCH(Calendar!$A19,DB!$1:$1,0)),FALSE),"")</f>
        <v/>
      </c>
      <c r="GKC19" s="28" t="str">
        <f>IFERROR(VLOOKUP(DATE($K$1,$K$2,GKC$4),Table1[],(MATCH(Calendar!$A19,DB!$1:$1,0)),FALSE),"")</f>
        <v/>
      </c>
      <c r="GKD19" s="28" t="str">
        <f>IFERROR(VLOOKUP(DATE($K$1,$K$2,GKD$4),Table1[],(MATCH(Calendar!$A19,DB!$1:$1,0)),FALSE),"")</f>
        <v/>
      </c>
      <c r="GKE19" s="28" t="str">
        <f>IFERROR(VLOOKUP(DATE($K$1,$K$2,GKE$4),Table1[],(MATCH(Calendar!$A19,DB!$1:$1,0)),FALSE),"")</f>
        <v/>
      </c>
      <c r="GKF19" s="28" t="str">
        <f>IFERROR(VLOOKUP(DATE($K$1,$K$2,GKF$4),Table1[],(MATCH(Calendar!$A19,DB!$1:$1,0)),FALSE),"")</f>
        <v/>
      </c>
      <c r="GKG19" s="28" t="str">
        <f>IFERROR(VLOOKUP(DATE($K$1,$K$2,GKG$4),Table1[],(MATCH(Calendar!$A19,DB!$1:$1,0)),FALSE),"")</f>
        <v/>
      </c>
      <c r="GKH19" s="28" t="str">
        <f>IFERROR(VLOOKUP(DATE($K$1,$K$2,GKH$4),Table1[],(MATCH(Calendar!$A19,DB!$1:$1,0)),FALSE),"")</f>
        <v/>
      </c>
      <c r="GKI19" s="28" t="str">
        <f>IFERROR(VLOOKUP(DATE($K$1,$K$2,GKI$4),Table1[],(MATCH(Calendar!$A19,DB!$1:$1,0)),FALSE),"")</f>
        <v/>
      </c>
      <c r="GKJ19" s="28" t="str">
        <f>IFERROR(VLOOKUP(DATE($K$1,$K$2,GKJ$4),Table1[],(MATCH(Calendar!$A19,DB!$1:$1,0)),FALSE),"")</f>
        <v/>
      </c>
      <c r="GKK19" s="28" t="str">
        <f>IFERROR(VLOOKUP(DATE($K$1,$K$2,GKK$4),Table1[],(MATCH(Calendar!$A19,DB!$1:$1,0)),FALSE),"")</f>
        <v/>
      </c>
      <c r="GKL19" s="28" t="str">
        <f>IFERROR(VLOOKUP(DATE($K$1,$K$2,GKL$4),Table1[],(MATCH(Calendar!$A19,DB!$1:$1,0)),FALSE),"")</f>
        <v/>
      </c>
      <c r="GKM19" s="28" t="str">
        <f>IFERROR(VLOOKUP(DATE($K$1,$K$2,GKM$4),Table1[],(MATCH(Calendar!$A19,DB!$1:$1,0)),FALSE),"")</f>
        <v/>
      </c>
      <c r="GKN19" s="28" t="str">
        <f>IFERROR(VLOOKUP(DATE($K$1,$K$2,GKN$4),Table1[],(MATCH(Calendar!$A19,DB!$1:$1,0)),FALSE),"")</f>
        <v/>
      </c>
      <c r="GKO19" s="28" t="str">
        <f>IFERROR(VLOOKUP(DATE($K$1,$K$2,GKO$4),Table1[],(MATCH(Calendar!$A19,DB!$1:$1,0)),FALSE),"")</f>
        <v/>
      </c>
      <c r="GKP19" s="28" t="str">
        <f>IFERROR(VLOOKUP(DATE($K$1,$K$2,GKP$4),Table1[],(MATCH(Calendar!$A19,DB!$1:$1,0)),FALSE),"")</f>
        <v/>
      </c>
      <c r="GKQ19" s="28" t="str">
        <f>IFERROR(VLOOKUP(DATE($K$1,$K$2,GKQ$4),Table1[],(MATCH(Calendar!$A19,DB!$1:$1,0)),FALSE),"")</f>
        <v/>
      </c>
      <c r="GKR19" s="28" t="str">
        <f>IFERROR(VLOOKUP(DATE($K$1,$K$2,GKR$4),Table1[],(MATCH(Calendar!$A19,DB!$1:$1,0)),FALSE),"")</f>
        <v/>
      </c>
      <c r="GKS19" s="28" t="str">
        <f>IFERROR(VLOOKUP(DATE($K$1,$K$2,GKS$4),Table1[],(MATCH(Calendar!$A19,DB!$1:$1,0)),FALSE),"")</f>
        <v/>
      </c>
      <c r="GKT19" s="28" t="str">
        <f>IFERROR(VLOOKUP(DATE($K$1,$K$2,GKT$4),Table1[],(MATCH(Calendar!$A19,DB!$1:$1,0)),FALSE),"")</f>
        <v/>
      </c>
      <c r="GKU19" s="28" t="str">
        <f>IFERROR(VLOOKUP(DATE($K$1,$K$2,GKU$4),Table1[],(MATCH(Calendar!$A19,DB!$1:$1,0)),FALSE),"")</f>
        <v/>
      </c>
      <c r="GKV19" s="28" t="str">
        <f>IFERROR(VLOOKUP(DATE($K$1,$K$2,GKV$4),Table1[],(MATCH(Calendar!$A19,DB!$1:$1,0)),FALSE),"")</f>
        <v/>
      </c>
      <c r="GKW19" s="28" t="str">
        <f>IFERROR(VLOOKUP(DATE($K$1,$K$2,GKW$4),Table1[],(MATCH(Calendar!$A19,DB!$1:$1,0)),FALSE),"")</f>
        <v/>
      </c>
      <c r="GKX19" s="28" t="str">
        <f>IFERROR(VLOOKUP(DATE($K$1,$K$2,GKX$4),Table1[],(MATCH(Calendar!$A19,DB!$1:$1,0)),FALSE),"")</f>
        <v/>
      </c>
      <c r="GKY19" s="28" t="str">
        <f>IFERROR(VLOOKUP(DATE($K$1,$K$2,GKY$4),Table1[],(MATCH(Calendar!$A19,DB!$1:$1,0)),FALSE),"")</f>
        <v/>
      </c>
      <c r="GKZ19" s="28" t="str">
        <f>IFERROR(VLOOKUP(DATE($K$1,$K$2,GKZ$4),Table1[],(MATCH(Calendar!$A19,DB!$1:$1,0)),FALSE),"")</f>
        <v/>
      </c>
      <c r="GLA19" s="28" t="str">
        <f>IFERROR(VLOOKUP(DATE($K$1,$K$2,GLA$4),Table1[],(MATCH(Calendar!$A19,DB!$1:$1,0)),FALSE),"")</f>
        <v/>
      </c>
      <c r="GLB19" s="28" t="str">
        <f>IFERROR(VLOOKUP(DATE($K$1,$K$2,GLB$4),Table1[],(MATCH(Calendar!$A19,DB!$1:$1,0)),FALSE),"")</f>
        <v/>
      </c>
      <c r="GLC19" s="28" t="str">
        <f>IFERROR(VLOOKUP(DATE($K$1,$K$2,GLC$4),Table1[],(MATCH(Calendar!$A19,DB!$1:$1,0)),FALSE),"")</f>
        <v/>
      </c>
      <c r="GLD19" s="28" t="str">
        <f>IFERROR(VLOOKUP(DATE($K$1,$K$2,GLD$4),Table1[],(MATCH(Calendar!$A19,DB!$1:$1,0)),FALSE),"")</f>
        <v/>
      </c>
      <c r="GLE19" s="28" t="str">
        <f>IFERROR(VLOOKUP(DATE($K$1,$K$2,GLE$4),Table1[],(MATCH(Calendar!$A19,DB!$1:$1,0)),FALSE),"")</f>
        <v/>
      </c>
      <c r="GLF19" s="28" t="str">
        <f>IFERROR(VLOOKUP(DATE($K$1,$K$2,GLF$4),Table1[],(MATCH(Calendar!$A19,DB!$1:$1,0)),FALSE),"")</f>
        <v/>
      </c>
      <c r="GLG19" s="28" t="str">
        <f>IFERROR(VLOOKUP(DATE($K$1,$K$2,GLG$4),Table1[],(MATCH(Calendar!$A19,DB!$1:$1,0)),FALSE),"")</f>
        <v/>
      </c>
      <c r="GLH19" s="28" t="str">
        <f>IFERROR(VLOOKUP(DATE($K$1,$K$2,GLH$4),Table1[],(MATCH(Calendar!$A19,DB!$1:$1,0)),FALSE),"")</f>
        <v/>
      </c>
      <c r="GLI19" s="28" t="str">
        <f>IFERROR(VLOOKUP(DATE($K$1,$K$2,GLI$4),Table1[],(MATCH(Calendar!$A19,DB!$1:$1,0)),FALSE),"")</f>
        <v/>
      </c>
      <c r="GLJ19" s="28" t="str">
        <f>IFERROR(VLOOKUP(DATE($K$1,$K$2,GLJ$4),Table1[],(MATCH(Calendar!$A19,DB!$1:$1,0)),FALSE),"")</f>
        <v/>
      </c>
      <c r="GLK19" s="28" t="str">
        <f>IFERROR(VLOOKUP(DATE($K$1,$K$2,GLK$4),Table1[],(MATCH(Calendar!$A19,DB!$1:$1,0)),FALSE),"")</f>
        <v/>
      </c>
      <c r="GLL19" s="28" t="str">
        <f>IFERROR(VLOOKUP(DATE($K$1,$K$2,GLL$4),Table1[],(MATCH(Calendar!$A19,DB!$1:$1,0)),FALSE),"")</f>
        <v/>
      </c>
      <c r="GLM19" s="28" t="str">
        <f>IFERROR(VLOOKUP(DATE($K$1,$K$2,GLM$4),Table1[],(MATCH(Calendar!$A19,DB!$1:$1,0)),FALSE),"")</f>
        <v/>
      </c>
      <c r="GLN19" s="28" t="str">
        <f>IFERROR(VLOOKUP(DATE($K$1,$K$2,GLN$4),Table1[],(MATCH(Calendar!$A19,DB!$1:$1,0)),FALSE),"")</f>
        <v/>
      </c>
      <c r="GLO19" s="28" t="str">
        <f>IFERROR(VLOOKUP(DATE($K$1,$K$2,GLO$4),Table1[],(MATCH(Calendar!$A19,DB!$1:$1,0)),FALSE),"")</f>
        <v/>
      </c>
      <c r="GLP19" s="28" t="str">
        <f>IFERROR(VLOOKUP(DATE($K$1,$K$2,GLP$4),Table1[],(MATCH(Calendar!$A19,DB!$1:$1,0)),FALSE),"")</f>
        <v/>
      </c>
      <c r="GLQ19" s="28" t="str">
        <f>IFERROR(VLOOKUP(DATE($K$1,$K$2,GLQ$4),Table1[],(MATCH(Calendar!$A19,DB!$1:$1,0)),FALSE),"")</f>
        <v/>
      </c>
      <c r="GLR19" s="28" t="str">
        <f>IFERROR(VLOOKUP(DATE($K$1,$K$2,GLR$4),Table1[],(MATCH(Calendar!$A19,DB!$1:$1,0)),FALSE),"")</f>
        <v/>
      </c>
      <c r="GLS19" s="28" t="str">
        <f>IFERROR(VLOOKUP(DATE($K$1,$K$2,GLS$4),Table1[],(MATCH(Calendar!$A19,DB!$1:$1,0)),FALSE),"")</f>
        <v/>
      </c>
      <c r="GLT19" s="28" t="str">
        <f>IFERROR(VLOOKUP(DATE($K$1,$K$2,GLT$4),Table1[],(MATCH(Calendar!$A19,DB!$1:$1,0)),FALSE),"")</f>
        <v/>
      </c>
      <c r="GLU19" s="28" t="str">
        <f>IFERROR(VLOOKUP(DATE($K$1,$K$2,GLU$4),Table1[],(MATCH(Calendar!$A19,DB!$1:$1,0)),FALSE),"")</f>
        <v/>
      </c>
      <c r="GLV19" s="28" t="str">
        <f>IFERROR(VLOOKUP(DATE($K$1,$K$2,GLV$4),Table1[],(MATCH(Calendar!$A19,DB!$1:$1,0)),FALSE),"")</f>
        <v/>
      </c>
      <c r="GLW19" s="28" t="str">
        <f>IFERROR(VLOOKUP(DATE($K$1,$K$2,GLW$4),Table1[],(MATCH(Calendar!$A19,DB!$1:$1,0)),FALSE),"")</f>
        <v/>
      </c>
      <c r="GLX19" s="28" t="str">
        <f>IFERROR(VLOOKUP(DATE($K$1,$K$2,GLX$4),Table1[],(MATCH(Calendar!$A19,DB!$1:$1,0)),FALSE),"")</f>
        <v/>
      </c>
      <c r="GLY19" s="28" t="str">
        <f>IFERROR(VLOOKUP(DATE($K$1,$K$2,GLY$4),Table1[],(MATCH(Calendar!$A19,DB!$1:$1,0)),FALSE),"")</f>
        <v/>
      </c>
      <c r="GLZ19" s="28" t="str">
        <f>IFERROR(VLOOKUP(DATE($K$1,$K$2,GLZ$4),Table1[],(MATCH(Calendar!$A19,DB!$1:$1,0)),FALSE),"")</f>
        <v/>
      </c>
      <c r="GMA19" s="28" t="str">
        <f>IFERROR(VLOOKUP(DATE($K$1,$K$2,GMA$4),Table1[],(MATCH(Calendar!$A19,DB!$1:$1,0)),FALSE),"")</f>
        <v/>
      </c>
      <c r="GMB19" s="28" t="str">
        <f>IFERROR(VLOOKUP(DATE($K$1,$K$2,GMB$4),Table1[],(MATCH(Calendar!$A19,DB!$1:$1,0)),FALSE),"")</f>
        <v/>
      </c>
      <c r="GMC19" s="28" t="str">
        <f>IFERROR(VLOOKUP(DATE($K$1,$K$2,GMC$4),Table1[],(MATCH(Calendar!$A19,DB!$1:$1,0)),FALSE),"")</f>
        <v/>
      </c>
      <c r="GMD19" s="28" t="str">
        <f>IFERROR(VLOOKUP(DATE($K$1,$K$2,GMD$4),Table1[],(MATCH(Calendar!$A19,DB!$1:$1,0)),FALSE),"")</f>
        <v/>
      </c>
      <c r="GME19" s="28" t="str">
        <f>IFERROR(VLOOKUP(DATE($K$1,$K$2,GME$4),Table1[],(MATCH(Calendar!$A19,DB!$1:$1,0)),FALSE),"")</f>
        <v/>
      </c>
      <c r="GMF19" s="28" t="str">
        <f>IFERROR(VLOOKUP(DATE($K$1,$K$2,GMF$4),Table1[],(MATCH(Calendar!$A19,DB!$1:$1,0)),FALSE),"")</f>
        <v/>
      </c>
      <c r="GMG19" s="28" t="str">
        <f>IFERROR(VLOOKUP(DATE($K$1,$K$2,GMG$4),Table1[],(MATCH(Calendar!$A19,DB!$1:$1,0)),FALSE),"")</f>
        <v/>
      </c>
      <c r="GMH19" s="28" t="str">
        <f>IFERROR(VLOOKUP(DATE($K$1,$K$2,GMH$4),Table1[],(MATCH(Calendar!$A19,DB!$1:$1,0)),FALSE),"")</f>
        <v/>
      </c>
      <c r="GMI19" s="28" t="str">
        <f>IFERROR(VLOOKUP(DATE($K$1,$K$2,GMI$4),Table1[],(MATCH(Calendar!$A19,DB!$1:$1,0)),FALSE),"")</f>
        <v/>
      </c>
      <c r="GMJ19" s="28" t="str">
        <f>IFERROR(VLOOKUP(DATE($K$1,$K$2,GMJ$4),Table1[],(MATCH(Calendar!$A19,DB!$1:$1,0)),FALSE),"")</f>
        <v/>
      </c>
      <c r="GMK19" s="28" t="str">
        <f>IFERROR(VLOOKUP(DATE($K$1,$K$2,GMK$4),Table1[],(MATCH(Calendar!$A19,DB!$1:$1,0)),FALSE),"")</f>
        <v/>
      </c>
      <c r="GML19" s="28" t="str">
        <f>IFERROR(VLOOKUP(DATE($K$1,$K$2,GML$4),Table1[],(MATCH(Calendar!$A19,DB!$1:$1,0)),FALSE),"")</f>
        <v/>
      </c>
      <c r="GMM19" s="28" t="str">
        <f>IFERROR(VLOOKUP(DATE($K$1,$K$2,GMM$4),Table1[],(MATCH(Calendar!$A19,DB!$1:$1,0)),FALSE),"")</f>
        <v/>
      </c>
      <c r="GMN19" s="28" t="str">
        <f>IFERROR(VLOOKUP(DATE($K$1,$K$2,GMN$4),Table1[],(MATCH(Calendar!$A19,DB!$1:$1,0)),FALSE),"")</f>
        <v/>
      </c>
      <c r="GMO19" s="28" t="str">
        <f>IFERROR(VLOOKUP(DATE($K$1,$K$2,GMO$4),Table1[],(MATCH(Calendar!$A19,DB!$1:$1,0)),FALSE),"")</f>
        <v/>
      </c>
      <c r="GMP19" s="28" t="str">
        <f>IFERROR(VLOOKUP(DATE($K$1,$K$2,GMP$4),Table1[],(MATCH(Calendar!$A19,DB!$1:$1,0)),FALSE),"")</f>
        <v/>
      </c>
      <c r="GMQ19" s="28" t="str">
        <f>IFERROR(VLOOKUP(DATE($K$1,$K$2,GMQ$4),Table1[],(MATCH(Calendar!$A19,DB!$1:$1,0)),FALSE),"")</f>
        <v/>
      </c>
      <c r="GMR19" s="28" t="str">
        <f>IFERROR(VLOOKUP(DATE($K$1,$K$2,GMR$4),Table1[],(MATCH(Calendar!$A19,DB!$1:$1,0)),FALSE),"")</f>
        <v/>
      </c>
      <c r="GMS19" s="28" t="str">
        <f>IFERROR(VLOOKUP(DATE($K$1,$K$2,GMS$4),Table1[],(MATCH(Calendar!$A19,DB!$1:$1,0)),FALSE),"")</f>
        <v/>
      </c>
      <c r="GMT19" s="28" t="str">
        <f>IFERROR(VLOOKUP(DATE($K$1,$K$2,GMT$4),Table1[],(MATCH(Calendar!$A19,DB!$1:$1,0)),FALSE),"")</f>
        <v/>
      </c>
      <c r="GMU19" s="28" t="str">
        <f>IFERROR(VLOOKUP(DATE($K$1,$K$2,GMU$4),Table1[],(MATCH(Calendar!$A19,DB!$1:$1,0)),FALSE),"")</f>
        <v/>
      </c>
      <c r="GMV19" s="28" t="str">
        <f>IFERROR(VLOOKUP(DATE($K$1,$K$2,GMV$4),Table1[],(MATCH(Calendar!$A19,DB!$1:$1,0)),FALSE),"")</f>
        <v/>
      </c>
      <c r="GMW19" s="28" t="str">
        <f>IFERROR(VLOOKUP(DATE($K$1,$K$2,GMW$4),Table1[],(MATCH(Calendar!$A19,DB!$1:$1,0)),FALSE),"")</f>
        <v/>
      </c>
      <c r="GMX19" s="28" t="str">
        <f>IFERROR(VLOOKUP(DATE($K$1,$K$2,GMX$4),Table1[],(MATCH(Calendar!$A19,DB!$1:$1,0)),FALSE),"")</f>
        <v/>
      </c>
      <c r="GMY19" s="28" t="str">
        <f>IFERROR(VLOOKUP(DATE($K$1,$K$2,GMY$4),Table1[],(MATCH(Calendar!$A19,DB!$1:$1,0)),FALSE),"")</f>
        <v/>
      </c>
      <c r="GMZ19" s="28" t="str">
        <f>IFERROR(VLOOKUP(DATE($K$1,$K$2,GMZ$4),Table1[],(MATCH(Calendar!$A19,DB!$1:$1,0)),FALSE),"")</f>
        <v/>
      </c>
      <c r="GNA19" s="28" t="str">
        <f>IFERROR(VLOOKUP(DATE($K$1,$K$2,GNA$4),Table1[],(MATCH(Calendar!$A19,DB!$1:$1,0)),FALSE),"")</f>
        <v/>
      </c>
      <c r="GNB19" s="28" t="str">
        <f>IFERROR(VLOOKUP(DATE($K$1,$K$2,GNB$4),Table1[],(MATCH(Calendar!$A19,DB!$1:$1,0)),FALSE),"")</f>
        <v/>
      </c>
      <c r="GNC19" s="28" t="str">
        <f>IFERROR(VLOOKUP(DATE($K$1,$K$2,GNC$4),Table1[],(MATCH(Calendar!$A19,DB!$1:$1,0)),FALSE),"")</f>
        <v/>
      </c>
      <c r="GND19" s="28" t="str">
        <f>IFERROR(VLOOKUP(DATE($K$1,$K$2,GND$4),Table1[],(MATCH(Calendar!$A19,DB!$1:$1,0)),FALSE),"")</f>
        <v/>
      </c>
      <c r="GNE19" s="28" t="str">
        <f>IFERROR(VLOOKUP(DATE($K$1,$K$2,GNE$4),Table1[],(MATCH(Calendar!$A19,DB!$1:$1,0)),FALSE),"")</f>
        <v/>
      </c>
      <c r="GNF19" s="28" t="str">
        <f>IFERROR(VLOOKUP(DATE($K$1,$K$2,GNF$4),Table1[],(MATCH(Calendar!$A19,DB!$1:$1,0)),FALSE),"")</f>
        <v/>
      </c>
      <c r="GNG19" s="28" t="str">
        <f>IFERROR(VLOOKUP(DATE($K$1,$K$2,GNG$4),Table1[],(MATCH(Calendar!$A19,DB!$1:$1,0)),FALSE),"")</f>
        <v/>
      </c>
      <c r="GNH19" s="28" t="str">
        <f>IFERROR(VLOOKUP(DATE($K$1,$K$2,GNH$4),Table1[],(MATCH(Calendar!$A19,DB!$1:$1,0)),FALSE),"")</f>
        <v/>
      </c>
      <c r="GNI19" s="28" t="str">
        <f>IFERROR(VLOOKUP(DATE($K$1,$K$2,GNI$4),Table1[],(MATCH(Calendar!$A19,DB!$1:$1,0)),FALSE),"")</f>
        <v/>
      </c>
      <c r="GNJ19" s="28" t="str">
        <f>IFERROR(VLOOKUP(DATE($K$1,$K$2,GNJ$4),Table1[],(MATCH(Calendar!$A19,DB!$1:$1,0)),FALSE),"")</f>
        <v/>
      </c>
      <c r="GNK19" s="28" t="str">
        <f>IFERROR(VLOOKUP(DATE($K$1,$K$2,GNK$4),Table1[],(MATCH(Calendar!$A19,DB!$1:$1,0)),FALSE),"")</f>
        <v/>
      </c>
      <c r="GNL19" s="28" t="str">
        <f>IFERROR(VLOOKUP(DATE($K$1,$K$2,GNL$4),Table1[],(MATCH(Calendar!$A19,DB!$1:$1,0)),FALSE),"")</f>
        <v/>
      </c>
      <c r="GNM19" s="28" t="str">
        <f>IFERROR(VLOOKUP(DATE($K$1,$K$2,GNM$4),Table1[],(MATCH(Calendar!$A19,DB!$1:$1,0)),FALSE),"")</f>
        <v/>
      </c>
      <c r="GNN19" s="28" t="str">
        <f>IFERROR(VLOOKUP(DATE($K$1,$K$2,GNN$4),Table1[],(MATCH(Calendar!$A19,DB!$1:$1,0)),FALSE),"")</f>
        <v/>
      </c>
      <c r="GNO19" s="28" t="str">
        <f>IFERROR(VLOOKUP(DATE($K$1,$K$2,GNO$4),Table1[],(MATCH(Calendar!$A19,DB!$1:$1,0)),FALSE),"")</f>
        <v/>
      </c>
      <c r="GNP19" s="28" t="str">
        <f>IFERROR(VLOOKUP(DATE($K$1,$K$2,GNP$4),Table1[],(MATCH(Calendar!$A19,DB!$1:$1,0)),FALSE),"")</f>
        <v/>
      </c>
      <c r="GNQ19" s="28" t="str">
        <f>IFERROR(VLOOKUP(DATE($K$1,$K$2,GNQ$4),Table1[],(MATCH(Calendar!$A19,DB!$1:$1,0)),FALSE),"")</f>
        <v/>
      </c>
      <c r="GNR19" s="28" t="str">
        <f>IFERROR(VLOOKUP(DATE($K$1,$K$2,GNR$4),Table1[],(MATCH(Calendar!$A19,DB!$1:$1,0)),FALSE),"")</f>
        <v/>
      </c>
      <c r="GNS19" s="28" t="str">
        <f>IFERROR(VLOOKUP(DATE($K$1,$K$2,GNS$4),Table1[],(MATCH(Calendar!$A19,DB!$1:$1,0)),FALSE),"")</f>
        <v/>
      </c>
      <c r="GNT19" s="28" t="str">
        <f>IFERROR(VLOOKUP(DATE($K$1,$K$2,GNT$4),Table1[],(MATCH(Calendar!$A19,DB!$1:$1,0)),FALSE),"")</f>
        <v/>
      </c>
      <c r="GNU19" s="28" t="str">
        <f>IFERROR(VLOOKUP(DATE($K$1,$K$2,GNU$4),Table1[],(MATCH(Calendar!$A19,DB!$1:$1,0)),FALSE),"")</f>
        <v/>
      </c>
      <c r="GNV19" s="28" t="str">
        <f>IFERROR(VLOOKUP(DATE($K$1,$K$2,GNV$4),Table1[],(MATCH(Calendar!$A19,DB!$1:$1,0)),FALSE),"")</f>
        <v/>
      </c>
      <c r="GNW19" s="28" t="str">
        <f>IFERROR(VLOOKUP(DATE($K$1,$K$2,GNW$4),Table1[],(MATCH(Calendar!$A19,DB!$1:$1,0)),FALSE),"")</f>
        <v/>
      </c>
      <c r="GNX19" s="28" t="str">
        <f>IFERROR(VLOOKUP(DATE($K$1,$K$2,GNX$4),Table1[],(MATCH(Calendar!$A19,DB!$1:$1,0)),FALSE),"")</f>
        <v/>
      </c>
      <c r="GNY19" s="28" t="str">
        <f>IFERROR(VLOOKUP(DATE($K$1,$K$2,GNY$4),Table1[],(MATCH(Calendar!$A19,DB!$1:$1,0)),FALSE),"")</f>
        <v/>
      </c>
      <c r="GNZ19" s="28" t="str">
        <f>IFERROR(VLOOKUP(DATE($K$1,$K$2,GNZ$4),Table1[],(MATCH(Calendar!$A19,DB!$1:$1,0)),FALSE),"")</f>
        <v/>
      </c>
      <c r="GOA19" s="28" t="str">
        <f>IFERROR(VLOOKUP(DATE($K$1,$K$2,GOA$4),Table1[],(MATCH(Calendar!$A19,DB!$1:$1,0)),FALSE),"")</f>
        <v/>
      </c>
      <c r="GOB19" s="28" t="str">
        <f>IFERROR(VLOOKUP(DATE($K$1,$K$2,GOB$4),Table1[],(MATCH(Calendar!$A19,DB!$1:$1,0)),FALSE),"")</f>
        <v/>
      </c>
      <c r="GOC19" s="28" t="str">
        <f>IFERROR(VLOOKUP(DATE($K$1,$K$2,GOC$4),Table1[],(MATCH(Calendar!$A19,DB!$1:$1,0)),FALSE),"")</f>
        <v/>
      </c>
      <c r="GOD19" s="28" t="str">
        <f>IFERROR(VLOOKUP(DATE($K$1,$K$2,GOD$4),Table1[],(MATCH(Calendar!$A19,DB!$1:$1,0)),FALSE),"")</f>
        <v/>
      </c>
      <c r="GOE19" s="28" t="str">
        <f>IFERROR(VLOOKUP(DATE($K$1,$K$2,GOE$4),Table1[],(MATCH(Calendar!$A19,DB!$1:$1,0)),FALSE),"")</f>
        <v/>
      </c>
      <c r="GOF19" s="28" t="str">
        <f>IFERROR(VLOOKUP(DATE($K$1,$K$2,GOF$4),Table1[],(MATCH(Calendar!$A19,DB!$1:$1,0)),FALSE),"")</f>
        <v/>
      </c>
      <c r="GOG19" s="28" t="str">
        <f>IFERROR(VLOOKUP(DATE($K$1,$K$2,GOG$4),Table1[],(MATCH(Calendar!$A19,DB!$1:$1,0)),FALSE),"")</f>
        <v/>
      </c>
      <c r="GOH19" s="28" t="str">
        <f>IFERROR(VLOOKUP(DATE($K$1,$K$2,GOH$4),Table1[],(MATCH(Calendar!$A19,DB!$1:$1,0)),FALSE),"")</f>
        <v/>
      </c>
      <c r="GOI19" s="28" t="str">
        <f>IFERROR(VLOOKUP(DATE($K$1,$K$2,GOI$4),Table1[],(MATCH(Calendar!$A19,DB!$1:$1,0)),FALSE),"")</f>
        <v/>
      </c>
      <c r="GOJ19" s="28" t="str">
        <f>IFERROR(VLOOKUP(DATE($K$1,$K$2,GOJ$4),Table1[],(MATCH(Calendar!$A19,DB!$1:$1,0)),FALSE),"")</f>
        <v/>
      </c>
      <c r="GOK19" s="28" t="str">
        <f>IFERROR(VLOOKUP(DATE($K$1,$K$2,GOK$4),Table1[],(MATCH(Calendar!$A19,DB!$1:$1,0)),FALSE),"")</f>
        <v/>
      </c>
      <c r="GOL19" s="28" t="str">
        <f>IFERROR(VLOOKUP(DATE($K$1,$K$2,GOL$4),Table1[],(MATCH(Calendar!$A19,DB!$1:$1,0)),FALSE),"")</f>
        <v/>
      </c>
      <c r="GOM19" s="28" t="str">
        <f>IFERROR(VLOOKUP(DATE($K$1,$K$2,GOM$4),Table1[],(MATCH(Calendar!$A19,DB!$1:$1,0)),FALSE),"")</f>
        <v/>
      </c>
      <c r="GON19" s="28" t="str">
        <f>IFERROR(VLOOKUP(DATE($K$1,$K$2,GON$4),Table1[],(MATCH(Calendar!$A19,DB!$1:$1,0)),FALSE),"")</f>
        <v/>
      </c>
      <c r="GOO19" s="28" t="str">
        <f>IFERROR(VLOOKUP(DATE($K$1,$K$2,GOO$4),Table1[],(MATCH(Calendar!$A19,DB!$1:$1,0)),FALSE),"")</f>
        <v/>
      </c>
      <c r="GOP19" s="28" t="str">
        <f>IFERROR(VLOOKUP(DATE($K$1,$K$2,GOP$4),Table1[],(MATCH(Calendar!$A19,DB!$1:$1,0)),FALSE),"")</f>
        <v/>
      </c>
      <c r="GOQ19" s="28" t="str">
        <f>IFERROR(VLOOKUP(DATE($K$1,$K$2,GOQ$4),Table1[],(MATCH(Calendar!$A19,DB!$1:$1,0)),FALSE),"")</f>
        <v/>
      </c>
      <c r="GOR19" s="28" t="str">
        <f>IFERROR(VLOOKUP(DATE($K$1,$K$2,GOR$4),Table1[],(MATCH(Calendar!$A19,DB!$1:$1,0)),FALSE),"")</f>
        <v/>
      </c>
      <c r="GOS19" s="28" t="str">
        <f>IFERROR(VLOOKUP(DATE($K$1,$K$2,GOS$4),Table1[],(MATCH(Calendar!$A19,DB!$1:$1,0)),FALSE),"")</f>
        <v/>
      </c>
      <c r="GOT19" s="28" t="str">
        <f>IFERROR(VLOOKUP(DATE($K$1,$K$2,GOT$4),Table1[],(MATCH(Calendar!$A19,DB!$1:$1,0)),FALSE),"")</f>
        <v/>
      </c>
      <c r="GOU19" s="28" t="str">
        <f>IFERROR(VLOOKUP(DATE($K$1,$K$2,GOU$4),Table1[],(MATCH(Calendar!$A19,DB!$1:$1,0)),FALSE),"")</f>
        <v/>
      </c>
      <c r="GOV19" s="28" t="str">
        <f>IFERROR(VLOOKUP(DATE($K$1,$K$2,GOV$4),Table1[],(MATCH(Calendar!$A19,DB!$1:$1,0)),FALSE),"")</f>
        <v/>
      </c>
      <c r="GOW19" s="28" t="str">
        <f>IFERROR(VLOOKUP(DATE($K$1,$K$2,GOW$4),Table1[],(MATCH(Calendar!$A19,DB!$1:$1,0)),FALSE),"")</f>
        <v/>
      </c>
      <c r="GOX19" s="28" t="str">
        <f>IFERROR(VLOOKUP(DATE($K$1,$K$2,GOX$4),Table1[],(MATCH(Calendar!$A19,DB!$1:$1,0)),FALSE),"")</f>
        <v/>
      </c>
      <c r="GOY19" s="28" t="str">
        <f>IFERROR(VLOOKUP(DATE($K$1,$K$2,GOY$4),Table1[],(MATCH(Calendar!$A19,DB!$1:$1,0)),FALSE),"")</f>
        <v/>
      </c>
      <c r="GOZ19" s="28" t="str">
        <f>IFERROR(VLOOKUP(DATE($K$1,$K$2,GOZ$4),Table1[],(MATCH(Calendar!$A19,DB!$1:$1,0)),FALSE),"")</f>
        <v/>
      </c>
      <c r="GPA19" s="28" t="str">
        <f>IFERROR(VLOOKUP(DATE($K$1,$K$2,GPA$4),Table1[],(MATCH(Calendar!$A19,DB!$1:$1,0)),FALSE),"")</f>
        <v/>
      </c>
      <c r="GPB19" s="28" t="str">
        <f>IFERROR(VLOOKUP(DATE($K$1,$K$2,GPB$4),Table1[],(MATCH(Calendar!$A19,DB!$1:$1,0)),FALSE),"")</f>
        <v/>
      </c>
      <c r="GPC19" s="28" t="str">
        <f>IFERROR(VLOOKUP(DATE($K$1,$K$2,GPC$4),Table1[],(MATCH(Calendar!$A19,DB!$1:$1,0)),FALSE),"")</f>
        <v/>
      </c>
      <c r="GPD19" s="28" t="str">
        <f>IFERROR(VLOOKUP(DATE($K$1,$K$2,GPD$4),Table1[],(MATCH(Calendar!$A19,DB!$1:$1,0)),FALSE),"")</f>
        <v/>
      </c>
      <c r="GPE19" s="28" t="str">
        <f>IFERROR(VLOOKUP(DATE($K$1,$K$2,GPE$4),Table1[],(MATCH(Calendar!$A19,DB!$1:$1,0)),FALSE),"")</f>
        <v/>
      </c>
      <c r="GPF19" s="28" t="str">
        <f>IFERROR(VLOOKUP(DATE($K$1,$K$2,GPF$4),Table1[],(MATCH(Calendar!$A19,DB!$1:$1,0)),FALSE),"")</f>
        <v/>
      </c>
      <c r="GPG19" s="28" t="str">
        <f>IFERROR(VLOOKUP(DATE($K$1,$K$2,GPG$4),Table1[],(MATCH(Calendar!$A19,DB!$1:$1,0)),FALSE),"")</f>
        <v/>
      </c>
      <c r="GPH19" s="28" t="str">
        <f>IFERROR(VLOOKUP(DATE($K$1,$K$2,GPH$4),Table1[],(MATCH(Calendar!$A19,DB!$1:$1,0)),FALSE),"")</f>
        <v/>
      </c>
      <c r="GPI19" s="28" t="str">
        <f>IFERROR(VLOOKUP(DATE($K$1,$K$2,GPI$4),Table1[],(MATCH(Calendar!$A19,DB!$1:$1,0)),FALSE),"")</f>
        <v/>
      </c>
      <c r="GPJ19" s="28" t="str">
        <f>IFERROR(VLOOKUP(DATE($K$1,$K$2,GPJ$4),Table1[],(MATCH(Calendar!$A19,DB!$1:$1,0)),FALSE),"")</f>
        <v/>
      </c>
      <c r="GPK19" s="28" t="str">
        <f>IFERROR(VLOOKUP(DATE($K$1,$K$2,GPK$4),Table1[],(MATCH(Calendar!$A19,DB!$1:$1,0)),FALSE),"")</f>
        <v/>
      </c>
      <c r="GPL19" s="28" t="str">
        <f>IFERROR(VLOOKUP(DATE($K$1,$K$2,GPL$4),Table1[],(MATCH(Calendar!$A19,DB!$1:$1,0)),FALSE),"")</f>
        <v/>
      </c>
      <c r="GPM19" s="28" t="str">
        <f>IFERROR(VLOOKUP(DATE($K$1,$K$2,GPM$4),Table1[],(MATCH(Calendar!$A19,DB!$1:$1,0)),FALSE),"")</f>
        <v/>
      </c>
      <c r="GPN19" s="28" t="str">
        <f>IFERROR(VLOOKUP(DATE($K$1,$K$2,GPN$4),Table1[],(MATCH(Calendar!$A19,DB!$1:$1,0)),FALSE),"")</f>
        <v/>
      </c>
      <c r="GPO19" s="28" t="str">
        <f>IFERROR(VLOOKUP(DATE($K$1,$K$2,GPO$4),Table1[],(MATCH(Calendar!$A19,DB!$1:$1,0)),FALSE),"")</f>
        <v/>
      </c>
      <c r="GPP19" s="28" t="str">
        <f>IFERROR(VLOOKUP(DATE($K$1,$K$2,GPP$4),Table1[],(MATCH(Calendar!$A19,DB!$1:$1,0)),FALSE),"")</f>
        <v/>
      </c>
      <c r="GPQ19" s="28" t="str">
        <f>IFERROR(VLOOKUP(DATE($K$1,$K$2,GPQ$4),Table1[],(MATCH(Calendar!$A19,DB!$1:$1,0)),FALSE),"")</f>
        <v/>
      </c>
      <c r="GPR19" s="28" t="str">
        <f>IFERROR(VLOOKUP(DATE($K$1,$K$2,GPR$4),Table1[],(MATCH(Calendar!$A19,DB!$1:$1,0)),FALSE),"")</f>
        <v/>
      </c>
      <c r="GPS19" s="28" t="str">
        <f>IFERROR(VLOOKUP(DATE($K$1,$K$2,GPS$4),Table1[],(MATCH(Calendar!$A19,DB!$1:$1,0)),FALSE),"")</f>
        <v/>
      </c>
      <c r="GPT19" s="28" t="str">
        <f>IFERROR(VLOOKUP(DATE($K$1,$K$2,GPT$4),Table1[],(MATCH(Calendar!$A19,DB!$1:$1,0)),FALSE),"")</f>
        <v/>
      </c>
      <c r="GPU19" s="28" t="str">
        <f>IFERROR(VLOOKUP(DATE($K$1,$K$2,GPU$4),Table1[],(MATCH(Calendar!$A19,DB!$1:$1,0)),FALSE),"")</f>
        <v/>
      </c>
      <c r="GPV19" s="28" t="str">
        <f>IFERROR(VLOOKUP(DATE($K$1,$K$2,GPV$4),Table1[],(MATCH(Calendar!$A19,DB!$1:$1,0)),FALSE),"")</f>
        <v/>
      </c>
      <c r="GPW19" s="28" t="str">
        <f>IFERROR(VLOOKUP(DATE($K$1,$K$2,GPW$4),Table1[],(MATCH(Calendar!$A19,DB!$1:$1,0)),FALSE),"")</f>
        <v/>
      </c>
      <c r="GPX19" s="28" t="str">
        <f>IFERROR(VLOOKUP(DATE($K$1,$K$2,GPX$4),Table1[],(MATCH(Calendar!$A19,DB!$1:$1,0)),FALSE),"")</f>
        <v/>
      </c>
      <c r="GPY19" s="28" t="str">
        <f>IFERROR(VLOOKUP(DATE($K$1,$K$2,GPY$4),Table1[],(MATCH(Calendar!$A19,DB!$1:$1,0)),FALSE),"")</f>
        <v/>
      </c>
      <c r="GPZ19" s="28" t="str">
        <f>IFERROR(VLOOKUP(DATE($K$1,$K$2,GPZ$4),Table1[],(MATCH(Calendar!$A19,DB!$1:$1,0)),FALSE),"")</f>
        <v/>
      </c>
      <c r="GQA19" s="28" t="str">
        <f>IFERROR(VLOOKUP(DATE($K$1,$K$2,GQA$4),Table1[],(MATCH(Calendar!$A19,DB!$1:$1,0)),FALSE),"")</f>
        <v/>
      </c>
      <c r="GQB19" s="28" t="str">
        <f>IFERROR(VLOOKUP(DATE($K$1,$K$2,GQB$4),Table1[],(MATCH(Calendar!$A19,DB!$1:$1,0)),FALSE),"")</f>
        <v/>
      </c>
      <c r="GQC19" s="28" t="str">
        <f>IFERROR(VLOOKUP(DATE($K$1,$K$2,GQC$4),Table1[],(MATCH(Calendar!$A19,DB!$1:$1,0)),FALSE),"")</f>
        <v/>
      </c>
      <c r="GQD19" s="28" t="str">
        <f>IFERROR(VLOOKUP(DATE($K$1,$K$2,GQD$4),Table1[],(MATCH(Calendar!$A19,DB!$1:$1,0)),FALSE),"")</f>
        <v/>
      </c>
      <c r="GQE19" s="28" t="str">
        <f>IFERROR(VLOOKUP(DATE($K$1,$K$2,GQE$4),Table1[],(MATCH(Calendar!$A19,DB!$1:$1,0)),FALSE),"")</f>
        <v/>
      </c>
      <c r="GQF19" s="28" t="str">
        <f>IFERROR(VLOOKUP(DATE($K$1,$K$2,GQF$4),Table1[],(MATCH(Calendar!$A19,DB!$1:$1,0)),FALSE),"")</f>
        <v/>
      </c>
      <c r="GQG19" s="28" t="str">
        <f>IFERROR(VLOOKUP(DATE($K$1,$K$2,GQG$4),Table1[],(MATCH(Calendar!$A19,DB!$1:$1,0)),FALSE),"")</f>
        <v/>
      </c>
      <c r="GQH19" s="28" t="str">
        <f>IFERROR(VLOOKUP(DATE($K$1,$K$2,GQH$4),Table1[],(MATCH(Calendar!$A19,DB!$1:$1,0)),FALSE),"")</f>
        <v/>
      </c>
      <c r="GQI19" s="28" t="str">
        <f>IFERROR(VLOOKUP(DATE($K$1,$K$2,GQI$4),Table1[],(MATCH(Calendar!$A19,DB!$1:$1,0)),FALSE),"")</f>
        <v/>
      </c>
      <c r="GQJ19" s="28" t="str">
        <f>IFERROR(VLOOKUP(DATE($K$1,$K$2,GQJ$4),Table1[],(MATCH(Calendar!$A19,DB!$1:$1,0)),FALSE),"")</f>
        <v/>
      </c>
      <c r="GQK19" s="28" t="str">
        <f>IFERROR(VLOOKUP(DATE($K$1,$K$2,GQK$4),Table1[],(MATCH(Calendar!$A19,DB!$1:$1,0)),FALSE),"")</f>
        <v/>
      </c>
      <c r="GQL19" s="28" t="str">
        <f>IFERROR(VLOOKUP(DATE($K$1,$K$2,GQL$4),Table1[],(MATCH(Calendar!$A19,DB!$1:$1,0)),FALSE),"")</f>
        <v/>
      </c>
      <c r="GQM19" s="28" t="str">
        <f>IFERROR(VLOOKUP(DATE($K$1,$K$2,GQM$4),Table1[],(MATCH(Calendar!$A19,DB!$1:$1,0)),FALSE),"")</f>
        <v/>
      </c>
      <c r="GQN19" s="28" t="str">
        <f>IFERROR(VLOOKUP(DATE($K$1,$K$2,GQN$4),Table1[],(MATCH(Calendar!$A19,DB!$1:$1,0)),FALSE),"")</f>
        <v/>
      </c>
      <c r="GQO19" s="28" t="str">
        <f>IFERROR(VLOOKUP(DATE($K$1,$K$2,GQO$4),Table1[],(MATCH(Calendar!$A19,DB!$1:$1,0)),FALSE),"")</f>
        <v/>
      </c>
      <c r="GQP19" s="28" t="str">
        <f>IFERROR(VLOOKUP(DATE($K$1,$K$2,GQP$4),Table1[],(MATCH(Calendar!$A19,DB!$1:$1,0)),FALSE),"")</f>
        <v/>
      </c>
      <c r="GQQ19" s="28" t="str">
        <f>IFERROR(VLOOKUP(DATE($K$1,$K$2,GQQ$4),Table1[],(MATCH(Calendar!$A19,DB!$1:$1,0)),FALSE),"")</f>
        <v/>
      </c>
      <c r="GQR19" s="28" t="str">
        <f>IFERROR(VLOOKUP(DATE($K$1,$K$2,GQR$4),Table1[],(MATCH(Calendar!$A19,DB!$1:$1,0)),FALSE),"")</f>
        <v/>
      </c>
      <c r="GQS19" s="28" t="str">
        <f>IFERROR(VLOOKUP(DATE($K$1,$K$2,GQS$4),Table1[],(MATCH(Calendar!$A19,DB!$1:$1,0)),FALSE),"")</f>
        <v/>
      </c>
      <c r="GQT19" s="28" t="str">
        <f>IFERROR(VLOOKUP(DATE($K$1,$K$2,GQT$4),Table1[],(MATCH(Calendar!$A19,DB!$1:$1,0)),FALSE),"")</f>
        <v/>
      </c>
      <c r="GQU19" s="28" t="str">
        <f>IFERROR(VLOOKUP(DATE($K$1,$K$2,GQU$4),Table1[],(MATCH(Calendar!$A19,DB!$1:$1,0)),FALSE),"")</f>
        <v/>
      </c>
      <c r="GQV19" s="28" t="str">
        <f>IFERROR(VLOOKUP(DATE($K$1,$K$2,GQV$4),Table1[],(MATCH(Calendar!$A19,DB!$1:$1,0)),FALSE),"")</f>
        <v/>
      </c>
      <c r="GQW19" s="28" t="str">
        <f>IFERROR(VLOOKUP(DATE($K$1,$K$2,GQW$4),Table1[],(MATCH(Calendar!$A19,DB!$1:$1,0)),FALSE),"")</f>
        <v/>
      </c>
      <c r="GQX19" s="28" t="str">
        <f>IFERROR(VLOOKUP(DATE($K$1,$K$2,GQX$4),Table1[],(MATCH(Calendar!$A19,DB!$1:$1,0)),FALSE),"")</f>
        <v/>
      </c>
      <c r="GQY19" s="28" t="str">
        <f>IFERROR(VLOOKUP(DATE($K$1,$K$2,GQY$4),Table1[],(MATCH(Calendar!$A19,DB!$1:$1,0)),FALSE),"")</f>
        <v/>
      </c>
      <c r="GQZ19" s="28" t="str">
        <f>IFERROR(VLOOKUP(DATE($K$1,$K$2,GQZ$4),Table1[],(MATCH(Calendar!$A19,DB!$1:$1,0)),FALSE),"")</f>
        <v/>
      </c>
      <c r="GRA19" s="28" t="str">
        <f>IFERROR(VLOOKUP(DATE($K$1,$K$2,GRA$4),Table1[],(MATCH(Calendar!$A19,DB!$1:$1,0)),FALSE),"")</f>
        <v/>
      </c>
      <c r="GRB19" s="28" t="str">
        <f>IFERROR(VLOOKUP(DATE($K$1,$K$2,GRB$4),Table1[],(MATCH(Calendar!$A19,DB!$1:$1,0)),FALSE),"")</f>
        <v/>
      </c>
      <c r="GRC19" s="28" t="str">
        <f>IFERROR(VLOOKUP(DATE($K$1,$K$2,GRC$4),Table1[],(MATCH(Calendar!$A19,DB!$1:$1,0)),FALSE),"")</f>
        <v/>
      </c>
      <c r="GRD19" s="28" t="str">
        <f>IFERROR(VLOOKUP(DATE($K$1,$K$2,GRD$4),Table1[],(MATCH(Calendar!$A19,DB!$1:$1,0)),FALSE),"")</f>
        <v/>
      </c>
      <c r="GRE19" s="28" t="str">
        <f>IFERROR(VLOOKUP(DATE($K$1,$K$2,GRE$4),Table1[],(MATCH(Calendar!$A19,DB!$1:$1,0)),FALSE),"")</f>
        <v/>
      </c>
      <c r="GRF19" s="28" t="str">
        <f>IFERROR(VLOOKUP(DATE($K$1,$K$2,GRF$4),Table1[],(MATCH(Calendar!$A19,DB!$1:$1,0)),FALSE),"")</f>
        <v/>
      </c>
      <c r="GRG19" s="28" t="str">
        <f>IFERROR(VLOOKUP(DATE($K$1,$K$2,GRG$4),Table1[],(MATCH(Calendar!$A19,DB!$1:$1,0)),FALSE),"")</f>
        <v/>
      </c>
      <c r="GRH19" s="28" t="str">
        <f>IFERROR(VLOOKUP(DATE($K$1,$K$2,GRH$4),Table1[],(MATCH(Calendar!$A19,DB!$1:$1,0)),FALSE),"")</f>
        <v/>
      </c>
      <c r="GRI19" s="28" t="str">
        <f>IFERROR(VLOOKUP(DATE($K$1,$K$2,GRI$4),Table1[],(MATCH(Calendar!$A19,DB!$1:$1,0)),FALSE),"")</f>
        <v/>
      </c>
      <c r="GRJ19" s="28" t="str">
        <f>IFERROR(VLOOKUP(DATE($K$1,$K$2,GRJ$4),Table1[],(MATCH(Calendar!$A19,DB!$1:$1,0)),FALSE),"")</f>
        <v/>
      </c>
      <c r="GRK19" s="28" t="str">
        <f>IFERROR(VLOOKUP(DATE($K$1,$K$2,GRK$4),Table1[],(MATCH(Calendar!$A19,DB!$1:$1,0)),FALSE),"")</f>
        <v/>
      </c>
      <c r="GRL19" s="28" t="str">
        <f>IFERROR(VLOOKUP(DATE($K$1,$K$2,GRL$4),Table1[],(MATCH(Calendar!$A19,DB!$1:$1,0)),FALSE),"")</f>
        <v/>
      </c>
      <c r="GRM19" s="28" t="str">
        <f>IFERROR(VLOOKUP(DATE($K$1,$K$2,GRM$4),Table1[],(MATCH(Calendar!$A19,DB!$1:$1,0)),FALSE),"")</f>
        <v/>
      </c>
      <c r="GRN19" s="28" t="str">
        <f>IFERROR(VLOOKUP(DATE($K$1,$K$2,GRN$4),Table1[],(MATCH(Calendar!$A19,DB!$1:$1,0)),FALSE),"")</f>
        <v/>
      </c>
      <c r="GRO19" s="28" t="str">
        <f>IFERROR(VLOOKUP(DATE($K$1,$K$2,GRO$4),Table1[],(MATCH(Calendar!$A19,DB!$1:$1,0)),FALSE),"")</f>
        <v/>
      </c>
      <c r="GRP19" s="28" t="str">
        <f>IFERROR(VLOOKUP(DATE($K$1,$K$2,GRP$4),Table1[],(MATCH(Calendar!$A19,DB!$1:$1,0)),FALSE),"")</f>
        <v/>
      </c>
      <c r="GRQ19" s="28" t="str">
        <f>IFERROR(VLOOKUP(DATE($K$1,$K$2,GRQ$4),Table1[],(MATCH(Calendar!$A19,DB!$1:$1,0)),FALSE),"")</f>
        <v/>
      </c>
      <c r="GRR19" s="28" t="str">
        <f>IFERROR(VLOOKUP(DATE($K$1,$K$2,GRR$4),Table1[],(MATCH(Calendar!$A19,DB!$1:$1,0)),FALSE),"")</f>
        <v/>
      </c>
      <c r="GRS19" s="28" t="str">
        <f>IFERROR(VLOOKUP(DATE($K$1,$K$2,GRS$4),Table1[],(MATCH(Calendar!$A19,DB!$1:$1,0)),FALSE),"")</f>
        <v/>
      </c>
      <c r="GRT19" s="28" t="str">
        <f>IFERROR(VLOOKUP(DATE($K$1,$K$2,GRT$4),Table1[],(MATCH(Calendar!$A19,DB!$1:$1,0)),FALSE),"")</f>
        <v/>
      </c>
      <c r="GRU19" s="28" t="str">
        <f>IFERROR(VLOOKUP(DATE($K$1,$K$2,GRU$4),Table1[],(MATCH(Calendar!$A19,DB!$1:$1,0)),FALSE),"")</f>
        <v/>
      </c>
      <c r="GRV19" s="28" t="str">
        <f>IFERROR(VLOOKUP(DATE($K$1,$K$2,GRV$4),Table1[],(MATCH(Calendar!$A19,DB!$1:$1,0)),FALSE),"")</f>
        <v/>
      </c>
      <c r="GRW19" s="28" t="str">
        <f>IFERROR(VLOOKUP(DATE($K$1,$K$2,GRW$4),Table1[],(MATCH(Calendar!$A19,DB!$1:$1,0)),FALSE),"")</f>
        <v/>
      </c>
      <c r="GRX19" s="28" t="str">
        <f>IFERROR(VLOOKUP(DATE($K$1,$K$2,GRX$4),Table1[],(MATCH(Calendar!$A19,DB!$1:$1,0)),FALSE),"")</f>
        <v/>
      </c>
      <c r="GRY19" s="28" t="str">
        <f>IFERROR(VLOOKUP(DATE($K$1,$K$2,GRY$4),Table1[],(MATCH(Calendar!$A19,DB!$1:$1,0)),FALSE),"")</f>
        <v/>
      </c>
      <c r="GRZ19" s="28" t="str">
        <f>IFERROR(VLOOKUP(DATE($K$1,$K$2,GRZ$4),Table1[],(MATCH(Calendar!$A19,DB!$1:$1,0)),FALSE),"")</f>
        <v/>
      </c>
      <c r="GSA19" s="28" t="str">
        <f>IFERROR(VLOOKUP(DATE($K$1,$K$2,GSA$4),Table1[],(MATCH(Calendar!$A19,DB!$1:$1,0)),FALSE),"")</f>
        <v/>
      </c>
      <c r="GSB19" s="28" t="str">
        <f>IFERROR(VLOOKUP(DATE($K$1,$K$2,GSB$4),Table1[],(MATCH(Calendar!$A19,DB!$1:$1,0)),FALSE),"")</f>
        <v/>
      </c>
      <c r="GSC19" s="28" t="str">
        <f>IFERROR(VLOOKUP(DATE($K$1,$K$2,GSC$4),Table1[],(MATCH(Calendar!$A19,DB!$1:$1,0)),FALSE),"")</f>
        <v/>
      </c>
      <c r="GSD19" s="28" t="str">
        <f>IFERROR(VLOOKUP(DATE($K$1,$K$2,GSD$4),Table1[],(MATCH(Calendar!$A19,DB!$1:$1,0)),FALSE),"")</f>
        <v/>
      </c>
      <c r="GSE19" s="28" t="str">
        <f>IFERROR(VLOOKUP(DATE($K$1,$K$2,GSE$4),Table1[],(MATCH(Calendar!$A19,DB!$1:$1,0)),FALSE),"")</f>
        <v/>
      </c>
      <c r="GSF19" s="28" t="str">
        <f>IFERROR(VLOOKUP(DATE($K$1,$K$2,GSF$4),Table1[],(MATCH(Calendar!$A19,DB!$1:$1,0)),FALSE),"")</f>
        <v/>
      </c>
      <c r="GSG19" s="28" t="str">
        <f>IFERROR(VLOOKUP(DATE($K$1,$K$2,GSG$4),Table1[],(MATCH(Calendar!$A19,DB!$1:$1,0)),FALSE),"")</f>
        <v/>
      </c>
      <c r="GSH19" s="28" t="str">
        <f>IFERROR(VLOOKUP(DATE($K$1,$K$2,GSH$4),Table1[],(MATCH(Calendar!$A19,DB!$1:$1,0)),FALSE),"")</f>
        <v/>
      </c>
      <c r="GSI19" s="28" t="str">
        <f>IFERROR(VLOOKUP(DATE($K$1,$K$2,GSI$4),Table1[],(MATCH(Calendar!$A19,DB!$1:$1,0)),FALSE),"")</f>
        <v/>
      </c>
      <c r="GSJ19" s="28" t="str">
        <f>IFERROR(VLOOKUP(DATE($K$1,$K$2,GSJ$4),Table1[],(MATCH(Calendar!$A19,DB!$1:$1,0)),FALSE),"")</f>
        <v/>
      </c>
      <c r="GSK19" s="28" t="str">
        <f>IFERROR(VLOOKUP(DATE($K$1,$K$2,GSK$4),Table1[],(MATCH(Calendar!$A19,DB!$1:$1,0)),FALSE),"")</f>
        <v/>
      </c>
      <c r="GSL19" s="28" t="str">
        <f>IFERROR(VLOOKUP(DATE($K$1,$K$2,GSL$4),Table1[],(MATCH(Calendar!$A19,DB!$1:$1,0)),FALSE),"")</f>
        <v/>
      </c>
      <c r="GSM19" s="28" t="str">
        <f>IFERROR(VLOOKUP(DATE($K$1,$K$2,GSM$4),Table1[],(MATCH(Calendar!$A19,DB!$1:$1,0)),FALSE),"")</f>
        <v/>
      </c>
      <c r="GSN19" s="28" t="str">
        <f>IFERROR(VLOOKUP(DATE($K$1,$K$2,GSN$4),Table1[],(MATCH(Calendar!$A19,DB!$1:$1,0)),FALSE),"")</f>
        <v/>
      </c>
      <c r="GSO19" s="28" t="str">
        <f>IFERROR(VLOOKUP(DATE($K$1,$K$2,GSO$4),Table1[],(MATCH(Calendar!$A19,DB!$1:$1,0)),FALSE),"")</f>
        <v/>
      </c>
      <c r="GSP19" s="28" t="str">
        <f>IFERROR(VLOOKUP(DATE($K$1,$K$2,GSP$4),Table1[],(MATCH(Calendar!$A19,DB!$1:$1,0)),FALSE),"")</f>
        <v/>
      </c>
      <c r="GSQ19" s="28" t="str">
        <f>IFERROR(VLOOKUP(DATE($K$1,$K$2,GSQ$4),Table1[],(MATCH(Calendar!$A19,DB!$1:$1,0)),FALSE),"")</f>
        <v/>
      </c>
      <c r="GSR19" s="28" t="str">
        <f>IFERROR(VLOOKUP(DATE($K$1,$K$2,GSR$4),Table1[],(MATCH(Calendar!$A19,DB!$1:$1,0)),FALSE),"")</f>
        <v/>
      </c>
      <c r="GSS19" s="28" t="str">
        <f>IFERROR(VLOOKUP(DATE($K$1,$K$2,GSS$4),Table1[],(MATCH(Calendar!$A19,DB!$1:$1,0)),FALSE),"")</f>
        <v/>
      </c>
      <c r="GST19" s="28" t="str">
        <f>IFERROR(VLOOKUP(DATE($K$1,$K$2,GST$4),Table1[],(MATCH(Calendar!$A19,DB!$1:$1,0)),FALSE),"")</f>
        <v/>
      </c>
      <c r="GSU19" s="28" t="str">
        <f>IFERROR(VLOOKUP(DATE($K$1,$K$2,GSU$4),Table1[],(MATCH(Calendar!$A19,DB!$1:$1,0)),FALSE),"")</f>
        <v/>
      </c>
      <c r="GSV19" s="28" t="str">
        <f>IFERROR(VLOOKUP(DATE($K$1,$K$2,GSV$4),Table1[],(MATCH(Calendar!$A19,DB!$1:$1,0)),FALSE),"")</f>
        <v/>
      </c>
      <c r="GSW19" s="28" t="str">
        <f>IFERROR(VLOOKUP(DATE($K$1,$K$2,GSW$4),Table1[],(MATCH(Calendar!$A19,DB!$1:$1,0)),FALSE),"")</f>
        <v/>
      </c>
      <c r="GSX19" s="28" t="str">
        <f>IFERROR(VLOOKUP(DATE($K$1,$K$2,GSX$4),Table1[],(MATCH(Calendar!$A19,DB!$1:$1,0)),FALSE),"")</f>
        <v/>
      </c>
      <c r="GSY19" s="28" t="str">
        <f>IFERROR(VLOOKUP(DATE($K$1,$K$2,GSY$4),Table1[],(MATCH(Calendar!$A19,DB!$1:$1,0)),FALSE),"")</f>
        <v/>
      </c>
      <c r="GSZ19" s="28" t="str">
        <f>IFERROR(VLOOKUP(DATE($K$1,$K$2,GSZ$4),Table1[],(MATCH(Calendar!$A19,DB!$1:$1,0)),FALSE),"")</f>
        <v/>
      </c>
      <c r="GTA19" s="28" t="str">
        <f>IFERROR(VLOOKUP(DATE($K$1,$K$2,GTA$4),Table1[],(MATCH(Calendar!$A19,DB!$1:$1,0)),FALSE),"")</f>
        <v/>
      </c>
      <c r="GTB19" s="28" t="str">
        <f>IFERROR(VLOOKUP(DATE($K$1,$K$2,GTB$4),Table1[],(MATCH(Calendar!$A19,DB!$1:$1,0)),FALSE),"")</f>
        <v/>
      </c>
      <c r="GTC19" s="28" t="str">
        <f>IFERROR(VLOOKUP(DATE($K$1,$K$2,GTC$4),Table1[],(MATCH(Calendar!$A19,DB!$1:$1,0)),FALSE),"")</f>
        <v/>
      </c>
      <c r="GTD19" s="28" t="str">
        <f>IFERROR(VLOOKUP(DATE($K$1,$K$2,GTD$4),Table1[],(MATCH(Calendar!$A19,DB!$1:$1,0)),FALSE),"")</f>
        <v/>
      </c>
      <c r="GTE19" s="28" t="str">
        <f>IFERROR(VLOOKUP(DATE($K$1,$K$2,GTE$4),Table1[],(MATCH(Calendar!$A19,DB!$1:$1,0)),FALSE),"")</f>
        <v/>
      </c>
      <c r="GTF19" s="28" t="str">
        <f>IFERROR(VLOOKUP(DATE($K$1,$K$2,GTF$4),Table1[],(MATCH(Calendar!$A19,DB!$1:$1,0)),FALSE),"")</f>
        <v/>
      </c>
      <c r="GTG19" s="28" t="str">
        <f>IFERROR(VLOOKUP(DATE($K$1,$K$2,GTG$4),Table1[],(MATCH(Calendar!$A19,DB!$1:$1,0)),FALSE),"")</f>
        <v/>
      </c>
      <c r="GTH19" s="28" t="str">
        <f>IFERROR(VLOOKUP(DATE($K$1,$K$2,GTH$4),Table1[],(MATCH(Calendar!$A19,DB!$1:$1,0)),FALSE),"")</f>
        <v/>
      </c>
      <c r="GTI19" s="28" t="str">
        <f>IFERROR(VLOOKUP(DATE($K$1,$K$2,GTI$4),Table1[],(MATCH(Calendar!$A19,DB!$1:$1,0)),FALSE),"")</f>
        <v/>
      </c>
      <c r="GTJ19" s="28" t="str">
        <f>IFERROR(VLOOKUP(DATE($K$1,$K$2,GTJ$4),Table1[],(MATCH(Calendar!$A19,DB!$1:$1,0)),FALSE),"")</f>
        <v/>
      </c>
      <c r="GTK19" s="28" t="str">
        <f>IFERROR(VLOOKUP(DATE($K$1,$K$2,GTK$4),Table1[],(MATCH(Calendar!$A19,DB!$1:$1,0)),FALSE),"")</f>
        <v/>
      </c>
      <c r="GTL19" s="28" t="str">
        <f>IFERROR(VLOOKUP(DATE($K$1,$K$2,GTL$4),Table1[],(MATCH(Calendar!$A19,DB!$1:$1,0)),FALSE),"")</f>
        <v/>
      </c>
      <c r="GTM19" s="28" t="str">
        <f>IFERROR(VLOOKUP(DATE($K$1,$K$2,GTM$4),Table1[],(MATCH(Calendar!$A19,DB!$1:$1,0)),FALSE),"")</f>
        <v/>
      </c>
      <c r="GTN19" s="28" t="str">
        <f>IFERROR(VLOOKUP(DATE($K$1,$K$2,GTN$4),Table1[],(MATCH(Calendar!$A19,DB!$1:$1,0)),FALSE),"")</f>
        <v/>
      </c>
      <c r="GTO19" s="28" t="str">
        <f>IFERROR(VLOOKUP(DATE($K$1,$K$2,GTO$4),Table1[],(MATCH(Calendar!$A19,DB!$1:$1,0)),FALSE),"")</f>
        <v/>
      </c>
      <c r="GTP19" s="28" t="str">
        <f>IFERROR(VLOOKUP(DATE($K$1,$K$2,GTP$4),Table1[],(MATCH(Calendar!$A19,DB!$1:$1,0)),FALSE),"")</f>
        <v/>
      </c>
      <c r="GTQ19" s="28" t="str">
        <f>IFERROR(VLOOKUP(DATE($K$1,$K$2,GTQ$4),Table1[],(MATCH(Calendar!$A19,DB!$1:$1,0)),FALSE),"")</f>
        <v/>
      </c>
      <c r="GTR19" s="28" t="str">
        <f>IFERROR(VLOOKUP(DATE($K$1,$K$2,GTR$4),Table1[],(MATCH(Calendar!$A19,DB!$1:$1,0)),FALSE),"")</f>
        <v/>
      </c>
      <c r="GTS19" s="28" t="str">
        <f>IFERROR(VLOOKUP(DATE($K$1,$K$2,GTS$4),Table1[],(MATCH(Calendar!$A19,DB!$1:$1,0)),FALSE),"")</f>
        <v/>
      </c>
      <c r="GTT19" s="28" t="str">
        <f>IFERROR(VLOOKUP(DATE($K$1,$K$2,GTT$4),Table1[],(MATCH(Calendar!$A19,DB!$1:$1,0)),FALSE),"")</f>
        <v/>
      </c>
      <c r="GTU19" s="28" t="str">
        <f>IFERROR(VLOOKUP(DATE($K$1,$K$2,GTU$4),Table1[],(MATCH(Calendar!$A19,DB!$1:$1,0)),FALSE),"")</f>
        <v/>
      </c>
      <c r="GTV19" s="28" t="str">
        <f>IFERROR(VLOOKUP(DATE($K$1,$K$2,GTV$4),Table1[],(MATCH(Calendar!$A19,DB!$1:$1,0)),FALSE),"")</f>
        <v/>
      </c>
      <c r="GTW19" s="28" t="str">
        <f>IFERROR(VLOOKUP(DATE($K$1,$K$2,GTW$4),Table1[],(MATCH(Calendar!$A19,DB!$1:$1,0)),FALSE),"")</f>
        <v/>
      </c>
      <c r="GTX19" s="28" t="str">
        <f>IFERROR(VLOOKUP(DATE($K$1,$K$2,GTX$4),Table1[],(MATCH(Calendar!$A19,DB!$1:$1,0)),FALSE),"")</f>
        <v/>
      </c>
      <c r="GTY19" s="28" t="str">
        <f>IFERROR(VLOOKUP(DATE($K$1,$K$2,GTY$4),Table1[],(MATCH(Calendar!$A19,DB!$1:$1,0)),FALSE),"")</f>
        <v/>
      </c>
      <c r="GTZ19" s="28" t="str">
        <f>IFERROR(VLOOKUP(DATE($K$1,$K$2,GTZ$4),Table1[],(MATCH(Calendar!$A19,DB!$1:$1,0)),FALSE),"")</f>
        <v/>
      </c>
      <c r="GUA19" s="28" t="str">
        <f>IFERROR(VLOOKUP(DATE($K$1,$K$2,GUA$4),Table1[],(MATCH(Calendar!$A19,DB!$1:$1,0)),FALSE),"")</f>
        <v/>
      </c>
      <c r="GUB19" s="28" t="str">
        <f>IFERROR(VLOOKUP(DATE($K$1,$K$2,GUB$4),Table1[],(MATCH(Calendar!$A19,DB!$1:$1,0)),FALSE),"")</f>
        <v/>
      </c>
      <c r="GUC19" s="28" t="str">
        <f>IFERROR(VLOOKUP(DATE($K$1,$K$2,GUC$4),Table1[],(MATCH(Calendar!$A19,DB!$1:$1,0)),FALSE),"")</f>
        <v/>
      </c>
      <c r="GUD19" s="28" t="str">
        <f>IFERROR(VLOOKUP(DATE($K$1,$K$2,GUD$4),Table1[],(MATCH(Calendar!$A19,DB!$1:$1,0)),FALSE),"")</f>
        <v/>
      </c>
      <c r="GUE19" s="28" t="str">
        <f>IFERROR(VLOOKUP(DATE($K$1,$K$2,GUE$4),Table1[],(MATCH(Calendar!$A19,DB!$1:$1,0)),FALSE),"")</f>
        <v/>
      </c>
      <c r="GUF19" s="28" t="str">
        <f>IFERROR(VLOOKUP(DATE($K$1,$K$2,GUF$4),Table1[],(MATCH(Calendar!$A19,DB!$1:$1,0)),FALSE),"")</f>
        <v/>
      </c>
      <c r="GUG19" s="28" t="str">
        <f>IFERROR(VLOOKUP(DATE($K$1,$K$2,GUG$4),Table1[],(MATCH(Calendar!$A19,DB!$1:$1,0)),FALSE),"")</f>
        <v/>
      </c>
      <c r="GUH19" s="28" t="str">
        <f>IFERROR(VLOOKUP(DATE($K$1,$K$2,GUH$4),Table1[],(MATCH(Calendar!$A19,DB!$1:$1,0)),FALSE),"")</f>
        <v/>
      </c>
      <c r="GUI19" s="28" t="str">
        <f>IFERROR(VLOOKUP(DATE($K$1,$K$2,GUI$4),Table1[],(MATCH(Calendar!$A19,DB!$1:$1,0)),FALSE),"")</f>
        <v/>
      </c>
      <c r="GUJ19" s="28" t="str">
        <f>IFERROR(VLOOKUP(DATE($K$1,$K$2,GUJ$4),Table1[],(MATCH(Calendar!$A19,DB!$1:$1,0)),FALSE),"")</f>
        <v/>
      </c>
      <c r="GUK19" s="28" t="str">
        <f>IFERROR(VLOOKUP(DATE($K$1,$K$2,GUK$4),Table1[],(MATCH(Calendar!$A19,DB!$1:$1,0)),FALSE),"")</f>
        <v/>
      </c>
      <c r="GUL19" s="28" t="str">
        <f>IFERROR(VLOOKUP(DATE($K$1,$K$2,GUL$4),Table1[],(MATCH(Calendar!$A19,DB!$1:$1,0)),FALSE),"")</f>
        <v/>
      </c>
      <c r="GUM19" s="28" t="str">
        <f>IFERROR(VLOOKUP(DATE($K$1,$K$2,GUM$4),Table1[],(MATCH(Calendar!$A19,DB!$1:$1,0)),FALSE),"")</f>
        <v/>
      </c>
      <c r="GUN19" s="28" t="str">
        <f>IFERROR(VLOOKUP(DATE($K$1,$K$2,GUN$4),Table1[],(MATCH(Calendar!$A19,DB!$1:$1,0)),FALSE),"")</f>
        <v/>
      </c>
      <c r="GUO19" s="28" t="str">
        <f>IFERROR(VLOOKUP(DATE($K$1,$K$2,GUO$4),Table1[],(MATCH(Calendar!$A19,DB!$1:$1,0)),FALSE),"")</f>
        <v/>
      </c>
      <c r="GUP19" s="28" t="str">
        <f>IFERROR(VLOOKUP(DATE($K$1,$K$2,GUP$4),Table1[],(MATCH(Calendar!$A19,DB!$1:$1,0)),FALSE),"")</f>
        <v/>
      </c>
      <c r="GUQ19" s="28" t="str">
        <f>IFERROR(VLOOKUP(DATE($K$1,$K$2,GUQ$4),Table1[],(MATCH(Calendar!$A19,DB!$1:$1,0)),FALSE),"")</f>
        <v/>
      </c>
      <c r="GUR19" s="28" t="str">
        <f>IFERROR(VLOOKUP(DATE($K$1,$K$2,GUR$4),Table1[],(MATCH(Calendar!$A19,DB!$1:$1,0)),FALSE),"")</f>
        <v/>
      </c>
      <c r="GUS19" s="28" t="str">
        <f>IFERROR(VLOOKUP(DATE($K$1,$K$2,GUS$4),Table1[],(MATCH(Calendar!$A19,DB!$1:$1,0)),FALSE),"")</f>
        <v/>
      </c>
      <c r="GUT19" s="28" t="str">
        <f>IFERROR(VLOOKUP(DATE($K$1,$K$2,GUT$4),Table1[],(MATCH(Calendar!$A19,DB!$1:$1,0)),FALSE),"")</f>
        <v/>
      </c>
      <c r="GUU19" s="28" t="str">
        <f>IFERROR(VLOOKUP(DATE($K$1,$K$2,GUU$4),Table1[],(MATCH(Calendar!$A19,DB!$1:$1,0)),FALSE),"")</f>
        <v/>
      </c>
      <c r="GUV19" s="28" t="str">
        <f>IFERROR(VLOOKUP(DATE($K$1,$K$2,GUV$4),Table1[],(MATCH(Calendar!$A19,DB!$1:$1,0)),FALSE),"")</f>
        <v/>
      </c>
      <c r="GUW19" s="28" t="str">
        <f>IFERROR(VLOOKUP(DATE($K$1,$K$2,GUW$4),Table1[],(MATCH(Calendar!$A19,DB!$1:$1,0)),FALSE),"")</f>
        <v/>
      </c>
      <c r="GUX19" s="28" t="str">
        <f>IFERROR(VLOOKUP(DATE($K$1,$K$2,GUX$4),Table1[],(MATCH(Calendar!$A19,DB!$1:$1,0)),FALSE),"")</f>
        <v/>
      </c>
      <c r="GUY19" s="28" t="str">
        <f>IFERROR(VLOOKUP(DATE($K$1,$K$2,GUY$4),Table1[],(MATCH(Calendar!$A19,DB!$1:$1,0)),FALSE),"")</f>
        <v/>
      </c>
      <c r="GUZ19" s="28" t="str">
        <f>IFERROR(VLOOKUP(DATE($K$1,$K$2,GUZ$4),Table1[],(MATCH(Calendar!$A19,DB!$1:$1,0)),FALSE),"")</f>
        <v/>
      </c>
      <c r="GVA19" s="28" t="str">
        <f>IFERROR(VLOOKUP(DATE($K$1,$K$2,GVA$4),Table1[],(MATCH(Calendar!$A19,DB!$1:$1,0)),FALSE),"")</f>
        <v/>
      </c>
      <c r="GVB19" s="28" t="str">
        <f>IFERROR(VLOOKUP(DATE($K$1,$K$2,GVB$4),Table1[],(MATCH(Calendar!$A19,DB!$1:$1,0)),FALSE),"")</f>
        <v/>
      </c>
      <c r="GVC19" s="28" t="str">
        <f>IFERROR(VLOOKUP(DATE($K$1,$K$2,GVC$4),Table1[],(MATCH(Calendar!$A19,DB!$1:$1,0)),FALSE),"")</f>
        <v/>
      </c>
      <c r="GVD19" s="28" t="str">
        <f>IFERROR(VLOOKUP(DATE($K$1,$K$2,GVD$4),Table1[],(MATCH(Calendar!$A19,DB!$1:$1,0)),FALSE),"")</f>
        <v/>
      </c>
      <c r="GVE19" s="28" t="str">
        <f>IFERROR(VLOOKUP(DATE($K$1,$K$2,GVE$4),Table1[],(MATCH(Calendar!$A19,DB!$1:$1,0)),FALSE),"")</f>
        <v/>
      </c>
      <c r="GVF19" s="28" t="str">
        <f>IFERROR(VLOOKUP(DATE($K$1,$K$2,GVF$4),Table1[],(MATCH(Calendar!$A19,DB!$1:$1,0)),FALSE),"")</f>
        <v/>
      </c>
      <c r="GVG19" s="28" t="str">
        <f>IFERROR(VLOOKUP(DATE($K$1,$K$2,GVG$4),Table1[],(MATCH(Calendar!$A19,DB!$1:$1,0)),FALSE),"")</f>
        <v/>
      </c>
      <c r="GVH19" s="28" t="str">
        <f>IFERROR(VLOOKUP(DATE($K$1,$K$2,GVH$4),Table1[],(MATCH(Calendar!$A19,DB!$1:$1,0)),FALSE),"")</f>
        <v/>
      </c>
      <c r="GVI19" s="28" t="str">
        <f>IFERROR(VLOOKUP(DATE($K$1,$K$2,GVI$4),Table1[],(MATCH(Calendar!$A19,DB!$1:$1,0)),FALSE),"")</f>
        <v/>
      </c>
      <c r="GVJ19" s="28" t="str">
        <f>IFERROR(VLOOKUP(DATE($K$1,$K$2,GVJ$4),Table1[],(MATCH(Calendar!$A19,DB!$1:$1,0)),FALSE),"")</f>
        <v/>
      </c>
      <c r="GVK19" s="28" t="str">
        <f>IFERROR(VLOOKUP(DATE($K$1,$K$2,GVK$4),Table1[],(MATCH(Calendar!$A19,DB!$1:$1,0)),FALSE),"")</f>
        <v/>
      </c>
      <c r="GVL19" s="28" t="str">
        <f>IFERROR(VLOOKUP(DATE($K$1,$K$2,GVL$4),Table1[],(MATCH(Calendar!$A19,DB!$1:$1,0)),FALSE),"")</f>
        <v/>
      </c>
      <c r="GVM19" s="28" t="str">
        <f>IFERROR(VLOOKUP(DATE($K$1,$K$2,GVM$4),Table1[],(MATCH(Calendar!$A19,DB!$1:$1,0)),FALSE),"")</f>
        <v/>
      </c>
      <c r="GVN19" s="28" t="str">
        <f>IFERROR(VLOOKUP(DATE($K$1,$K$2,GVN$4),Table1[],(MATCH(Calendar!$A19,DB!$1:$1,0)),FALSE),"")</f>
        <v/>
      </c>
      <c r="GVO19" s="28" t="str">
        <f>IFERROR(VLOOKUP(DATE($K$1,$K$2,GVO$4),Table1[],(MATCH(Calendar!$A19,DB!$1:$1,0)),FALSE),"")</f>
        <v/>
      </c>
      <c r="GVP19" s="28" t="str">
        <f>IFERROR(VLOOKUP(DATE($K$1,$K$2,GVP$4),Table1[],(MATCH(Calendar!$A19,DB!$1:$1,0)),FALSE),"")</f>
        <v/>
      </c>
      <c r="GVQ19" s="28" t="str">
        <f>IFERROR(VLOOKUP(DATE($K$1,$K$2,GVQ$4),Table1[],(MATCH(Calendar!$A19,DB!$1:$1,0)),FALSE),"")</f>
        <v/>
      </c>
      <c r="GVR19" s="28" t="str">
        <f>IFERROR(VLOOKUP(DATE($K$1,$K$2,GVR$4),Table1[],(MATCH(Calendar!$A19,DB!$1:$1,0)),FALSE),"")</f>
        <v/>
      </c>
      <c r="GVS19" s="28" t="str">
        <f>IFERROR(VLOOKUP(DATE($K$1,$K$2,GVS$4),Table1[],(MATCH(Calendar!$A19,DB!$1:$1,0)),FALSE),"")</f>
        <v/>
      </c>
      <c r="GVT19" s="28" t="str">
        <f>IFERROR(VLOOKUP(DATE($K$1,$K$2,GVT$4),Table1[],(MATCH(Calendar!$A19,DB!$1:$1,0)),FALSE),"")</f>
        <v/>
      </c>
      <c r="GVU19" s="28" t="str">
        <f>IFERROR(VLOOKUP(DATE($K$1,$K$2,GVU$4),Table1[],(MATCH(Calendar!$A19,DB!$1:$1,0)),FALSE),"")</f>
        <v/>
      </c>
      <c r="GVV19" s="28" t="str">
        <f>IFERROR(VLOOKUP(DATE($K$1,$K$2,GVV$4),Table1[],(MATCH(Calendar!$A19,DB!$1:$1,0)),FALSE),"")</f>
        <v/>
      </c>
      <c r="GVW19" s="28" t="str">
        <f>IFERROR(VLOOKUP(DATE($K$1,$K$2,GVW$4),Table1[],(MATCH(Calendar!$A19,DB!$1:$1,0)),FALSE),"")</f>
        <v/>
      </c>
      <c r="GVX19" s="28" t="str">
        <f>IFERROR(VLOOKUP(DATE($K$1,$K$2,GVX$4),Table1[],(MATCH(Calendar!$A19,DB!$1:$1,0)),FALSE),"")</f>
        <v/>
      </c>
      <c r="GVY19" s="28" t="str">
        <f>IFERROR(VLOOKUP(DATE($K$1,$K$2,GVY$4),Table1[],(MATCH(Calendar!$A19,DB!$1:$1,0)),FALSE),"")</f>
        <v/>
      </c>
      <c r="GVZ19" s="28" t="str">
        <f>IFERROR(VLOOKUP(DATE($K$1,$K$2,GVZ$4),Table1[],(MATCH(Calendar!$A19,DB!$1:$1,0)),FALSE),"")</f>
        <v/>
      </c>
      <c r="GWA19" s="28" t="str">
        <f>IFERROR(VLOOKUP(DATE($K$1,$K$2,GWA$4),Table1[],(MATCH(Calendar!$A19,DB!$1:$1,0)),FALSE),"")</f>
        <v/>
      </c>
      <c r="GWB19" s="28" t="str">
        <f>IFERROR(VLOOKUP(DATE($K$1,$K$2,GWB$4),Table1[],(MATCH(Calendar!$A19,DB!$1:$1,0)),FALSE),"")</f>
        <v/>
      </c>
      <c r="GWC19" s="28" t="str">
        <f>IFERROR(VLOOKUP(DATE($K$1,$K$2,GWC$4),Table1[],(MATCH(Calendar!$A19,DB!$1:$1,0)),FALSE),"")</f>
        <v/>
      </c>
      <c r="GWD19" s="28" t="str">
        <f>IFERROR(VLOOKUP(DATE($K$1,$K$2,GWD$4),Table1[],(MATCH(Calendar!$A19,DB!$1:$1,0)),FALSE),"")</f>
        <v/>
      </c>
      <c r="GWE19" s="28" t="str">
        <f>IFERROR(VLOOKUP(DATE($K$1,$K$2,GWE$4),Table1[],(MATCH(Calendar!$A19,DB!$1:$1,0)),FALSE),"")</f>
        <v/>
      </c>
      <c r="GWF19" s="28" t="str">
        <f>IFERROR(VLOOKUP(DATE($K$1,$K$2,GWF$4),Table1[],(MATCH(Calendar!$A19,DB!$1:$1,0)),FALSE),"")</f>
        <v/>
      </c>
      <c r="GWG19" s="28" t="str">
        <f>IFERROR(VLOOKUP(DATE($K$1,$K$2,GWG$4),Table1[],(MATCH(Calendar!$A19,DB!$1:$1,0)),FALSE),"")</f>
        <v/>
      </c>
      <c r="GWH19" s="28" t="str">
        <f>IFERROR(VLOOKUP(DATE($K$1,$K$2,GWH$4),Table1[],(MATCH(Calendar!$A19,DB!$1:$1,0)),FALSE),"")</f>
        <v/>
      </c>
      <c r="GWI19" s="28" t="str">
        <f>IFERROR(VLOOKUP(DATE($K$1,$K$2,GWI$4),Table1[],(MATCH(Calendar!$A19,DB!$1:$1,0)),FALSE),"")</f>
        <v/>
      </c>
      <c r="GWJ19" s="28" t="str">
        <f>IFERROR(VLOOKUP(DATE($K$1,$K$2,GWJ$4),Table1[],(MATCH(Calendar!$A19,DB!$1:$1,0)),FALSE),"")</f>
        <v/>
      </c>
      <c r="GWK19" s="28" t="str">
        <f>IFERROR(VLOOKUP(DATE($K$1,$K$2,GWK$4),Table1[],(MATCH(Calendar!$A19,DB!$1:$1,0)),FALSE),"")</f>
        <v/>
      </c>
      <c r="GWL19" s="28" t="str">
        <f>IFERROR(VLOOKUP(DATE($K$1,$K$2,GWL$4),Table1[],(MATCH(Calendar!$A19,DB!$1:$1,0)),FALSE),"")</f>
        <v/>
      </c>
      <c r="GWM19" s="28" t="str">
        <f>IFERROR(VLOOKUP(DATE($K$1,$K$2,GWM$4),Table1[],(MATCH(Calendar!$A19,DB!$1:$1,0)),FALSE),"")</f>
        <v/>
      </c>
      <c r="GWN19" s="28" t="str">
        <f>IFERROR(VLOOKUP(DATE($K$1,$K$2,GWN$4),Table1[],(MATCH(Calendar!$A19,DB!$1:$1,0)),FALSE),"")</f>
        <v/>
      </c>
      <c r="GWO19" s="28" t="str">
        <f>IFERROR(VLOOKUP(DATE($K$1,$K$2,GWO$4),Table1[],(MATCH(Calendar!$A19,DB!$1:$1,0)),FALSE),"")</f>
        <v/>
      </c>
      <c r="GWP19" s="28" t="str">
        <f>IFERROR(VLOOKUP(DATE($K$1,$K$2,GWP$4),Table1[],(MATCH(Calendar!$A19,DB!$1:$1,0)),FALSE),"")</f>
        <v/>
      </c>
      <c r="GWQ19" s="28" t="str">
        <f>IFERROR(VLOOKUP(DATE($K$1,$K$2,GWQ$4),Table1[],(MATCH(Calendar!$A19,DB!$1:$1,0)),FALSE),"")</f>
        <v/>
      </c>
      <c r="GWR19" s="28" t="str">
        <f>IFERROR(VLOOKUP(DATE($K$1,$K$2,GWR$4),Table1[],(MATCH(Calendar!$A19,DB!$1:$1,0)),FALSE),"")</f>
        <v/>
      </c>
      <c r="GWS19" s="28" t="str">
        <f>IFERROR(VLOOKUP(DATE($K$1,$K$2,GWS$4),Table1[],(MATCH(Calendar!$A19,DB!$1:$1,0)),FALSE),"")</f>
        <v/>
      </c>
      <c r="GWT19" s="28" t="str">
        <f>IFERROR(VLOOKUP(DATE($K$1,$K$2,GWT$4),Table1[],(MATCH(Calendar!$A19,DB!$1:$1,0)),FALSE),"")</f>
        <v/>
      </c>
      <c r="GWU19" s="28" t="str">
        <f>IFERROR(VLOOKUP(DATE($K$1,$K$2,GWU$4),Table1[],(MATCH(Calendar!$A19,DB!$1:$1,0)),FALSE),"")</f>
        <v/>
      </c>
      <c r="GWV19" s="28" t="str">
        <f>IFERROR(VLOOKUP(DATE($K$1,$K$2,GWV$4),Table1[],(MATCH(Calendar!$A19,DB!$1:$1,0)),FALSE),"")</f>
        <v/>
      </c>
      <c r="GWW19" s="28" t="str">
        <f>IFERROR(VLOOKUP(DATE($K$1,$K$2,GWW$4),Table1[],(MATCH(Calendar!$A19,DB!$1:$1,0)),FALSE),"")</f>
        <v/>
      </c>
      <c r="GWX19" s="28" t="str">
        <f>IFERROR(VLOOKUP(DATE($K$1,$K$2,GWX$4),Table1[],(MATCH(Calendar!$A19,DB!$1:$1,0)),FALSE),"")</f>
        <v/>
      </c>
      <c r="GWY19" s="28" t="str">
        <f>IFERROR(VLOOKUP(DATE($K$1,$K$2,GWY$4),Table1[],(MATCH(Calendar!$A19,DB!$1:$1,0)),FALSE),"")</f>
        <v/>
      </c>
      <c r="GWZ19" s="28" t="str">
        <f>IFERROR(VLOOKUP(DATE($K$1,$K$2,GWZ$4),Table1[],(MATCH(Calendar!$A19,DB!$1:$1,0)),FALSE),"")</f>
        <v/>
      </c>
      <c r="GXA19" s="28" t="str">
        <f>IFERROR(VLOOKUP(DATE($K$1,$K$2,GXA$4),Table1[],(MATCH(Calendar!$A19,DB!$1:$1,0)),FALSE),"")</f>
        <v/>
      </c>
      <c r="GXB19" s="28" t="str">
        <f>IFERROR(VLOOKUP(DATE($K$1,$K$2,GXB$4),Table1[],(MATCH(Calendar!$A19,DB!$1:$1,0)),FALSE),"")</f>
        <v/>
      </c>
      <c r="GXC19" s="28" t="str">
        <f>IFERROR(VLOOKUP(DATE($K$1,$K$2,GXC$4),Table1[],(MATCH(Calendar!$A19,DB!$1:$1,0)),FALSE),"")</f>
        <v/>
      </c>
      <c r="GXD19" s="28" t="str">
        <f>IFERROR(VLOOKUP(DATE($K$1,$K$2,GXD$4),Table1[],(MATCH(Calendar!$A19,DB!$1:$1,0)),FALSE),"")</f>
        <v/>
      </c>
      <c r="GXE19" s="28" t="str">
        <f>IFERROR(VLOOKUP(DATE($K$1,$K$2,GXE$4),Table1[],(MATCH(Calendar!$A19,DB!$1:$1,0)),FALSE),"")</f>
        <v/>
      </c>
      <c r="GXF19" s="28" t="str">
        <f>IFERROR(VLOOKUP(DATE($K$1,$K$2,GXF$4),Table1[],(MATCH(Calendar!$A19,DB!$1:$1,0)),FALSE),"")</f>
        <v/>
      </c>
      <c r="GXG19" s="28" t="str">
        <f>IFERROR(VLOOKUP(DATE($K$1,$K$2,GXG$4),Table1[],(MATCH(Calendar!$A19,DB!$1:$1,0)),FALSE),"")</f>
        <v/>
      </c>
      <c r="GXH19" s="28" t="str">
        <f>IFERROR(VLOOKUP(DATE($K$1,$K$2,GXH$4),Table1[],(MATCH(Calendar!$A19,DB!$1:$1,0)),FALSE),"")</f>
        <v/>
      </c>
      <c r="GXI19" s="28" t="str">
        <f>IFERROR(VLOOKUP(DATE($K$1,$K$2,GXI$4),Table1[],(MATCH(Calendar!$A19,DB!$1:$1,0)),FALSE),"")</f>
        <v/>
      </c>
      <c r="GXJ19" s="28" t="str">
        <f>IFERROR(VLOOKUP(DATE($K$1,$K$2,GXJ$4),Table1[],(MATCH(Calendar!$A19,DB!$1:$1,0)),FALSE),"")</f>
        <v/>
      </c>
      <c r="GXK19" s="28" t="str">
        <f>IFERROR(VLOOKUP(DATE($K$1,$K$2,GXK$4),Table1[],(MATCH(Calendar!$A19,DB!$1:$1,0)),FALSE),"")</f>
        <v/>
      </c>
      <c r="GXL19" s="28" t="str">
        <f>IFERROR(VLOOKUP(DATE($K$1,$K$2,GXL$4),Table1[],(MATCH(Calendar!$A19,DB!$1:$1,0)),FALSE),"")</f>
        <v/>
      </c>
      <c r="GXM19" s="28" t="str">
        <f>IFERROR(VLOOKUP(DATE($K$1,$K$2,GXM$4),Table1[],(MATCH(Calendar!$A19,DB!$1:$1,0)),FALSE),"")</f>
        <v/>
      </c>
      <c r="GXN19" s="28" t="str">
        <f>IFERROR(VLOOKUP(DATE($K$1,$K$2,GXN$4),Table1[],(MATCH(Calendar!$A19,DB!$1:$1,0)),FALSE),"")</f>
        <v/>
      </c>
      <c r="GXO19" s="28" t="str">
        <f>IFERROR(VLOOKUP(DATE($K$1,$K$2,GXO$4),Table1[],(MATCH(Calendar!$A19,DB!$1:$1,0)),FALSE),"")</f>
        <v/>
      </c>
      <c r="GXP19" s="28" t="str">
        <f>IFERROR(VLOOKUP(DATE($K$1,$K$2,GXP$4),Table1[],(MATCH(Calendar!$A19,DB!$1:$1,0)),FALSE),"")</f>
        <v/>
      </c>
      <c r="GXQ19" s="28" t="str">
        <f>IFERROR(VLOOKUP(DATE($K$1,$K$2,GXQ$4),Table1[],(MATCH(Calendar!$A19,DB!$1:$1,0)),FALSE),"")</f>
        <v/>
      </c>
      <c r="GXR19" s="28" t="str">
        <f>IFERROR(VLOOKUP(DATE($K$1,$K$2,GXR$4),Table1[],(MATCH(Calendar!$A19,DB!$1:$1,0)),FALSE),"")</f>
        <v/>
      </c>
      <c r="GXS19" s="28" t="str">
        <f>IFERROR(VLOOKUP(DATE($K$1,$K$2,GXS$4),Table1[],(MATCH(Calendar!$A19,DB!$1:$1,0)),FALSE),"")</f>
        <v/>
      </c>
      <c r="GXT19" s="28" t="str">
        <f>IFERROR(VLOOKUP(DATE($K$1,$K$2,GXT$4),Table1[],(MATCH(Calendar!$A19,DB!$1:$1,0)),FALSE),"")</f>
        <v/>
      </c>
      <c r="GXU19" s="28" t="str">
        <f>IFERROR(VLOOKUP(DATE($K$1,$K$2,GXU$4),Table1[],(MATCH(Calendar!$A19,DB!$1:$1,0)),FALSE),"")</f>
        <v/>
      </c>
      <c r="GXV19" s="28" t="str">
        <f>IFERROR(VLOOKUP(DATE($K$1,$K$2,GXV$4),Table1[],(MATCH(Calendar!$A19,DB!$1:$1,0)),FALSE),"")</f>
        <v/>
      </c>
      <c r="GXW19" s="28" t="str">
        <f>IFERROR(VLOOKUP(DATE($K$1,$K$2,GXW$4),Table1[],(MATCH(Calendar!$A19,DB!$1:$1,0)),FALSE),"")</f>
        <v/>
      </c>
      <c r="GXX19" s="28" t="str">
        <f>IFERROR(VLOOKUP(DATE($K$1,$K$2,GXX$4),Table1[],(MATCH(Calendar!$A19,DB!$1:$1,0)),FALSE),"")</f>
        <v/>
      </c>
      <c r="GXY19" s="28" t="str">
        <f>IFERROR(VLOOKUP(DATE($K$1,$K$2,GXY$4),Table1[],(MATCH(Calendar!$A19,DB!$1:$1,0)),FALSE),"")</f>
        <v/>
      </c>
      <c r="GXZ19" s="28" t="str">
        <f>IFERROR(VLOOKUP(DATE($K$1,$K$2,GXZ$4),Table1[],(MATCH(Calendar!$A19,DB!$1:$1,0)),FALSE),"")</f>
        <v/>
      </c>
      <c r="GYA19" s="28" t="str">
        <f>IFERROR(VLOOKUP(DATE($K$1,$K$2,GYA$4),Table1[],(MATCH(Calendar!$A19,DB!$1:$1,0)),FALSE),"")</f>
        <v/>
      </c>
      <c r="GYB19" s="28" t="str">
        <f>IFERROR(VLOOKUP(DATE($K$1,$K$2,GYB$4),Table1[],(MATCH(Calendar!$A19,DB!$1:$1,0)),FALSE),"")</f>
        <v/>
      </c>
      <c r="GYC19" s="28" t="str">
        <f>IFERROR(VLOOKUP(DATE($K$1,$K$2,GYC$4),Table1[],(MATCH(Calendar!$A19,DB!$1:$1,0)),FALSE),"")</f>
        <v/>
      </c>
      <c r="GYD19" s="28" t="str">
        <f>IFERROR(VLOOKUP(DATE($K$1,$K$2,GYD$4),Table1[],(MATCH(Calendar!$A19,DB!$1:$1,0)),FALSE),"")</f>
        <v/>
      </c>
      <c r="GYE19" s="28" t="str">
        <f>IFERROR(VLOOKUP(DATE($K$1,$K$2,GYE$4),Table1[],(MATCH(Calendar!$A19,DB!$1:$1,0)),FALSE),"")</f>
        <v/>
      </c>
      <c r="GYF19" s="28" t="str">
        <f>IFERROR(VLOOKUP(DATE($K$1,$K$2,GYF$4),Table1[],(MATCH(Calendar!$A19,DB!$1:$1,0)),FALSE),"")</f>
        <v/>
      </c>
      <c r="GYG19" s="28" t="str">
        <f>IFERROR(VLOOKUP(DATE($K$1,$K$2,GYG$4),Table1[],(MATCH(Calendar!$A19,DB!$1:$1,0)),FALSE),"")</f>
        <v/>
      </c>
      <c r="GYH19" s="28" t="str">
        <f>IFERROR(VLOOKUP(DATE($K$1,$K$2,GYH$4),Table1[],(MATCH(Calendar!$A19,DB!$1:$1,0)),FALSE),"")</f>
        <v/>
      </c>
      <c r="GYI19" s="28" t="str">
        <f>IFERROR(VLOOKUP(DATE($K$1,$K$2,GYI$4),Table1[],(MATCH(Calendar!$A19,DB!$1:$1,0)),FALSE),"")</f>
        <v/>
      </c>
      <c r="GYJ19" s="28" t="str">
        <f>IFERROR(VLOOKUP(DATE($K$1,$K$2,GYJ$4),Table1[],(MATCH(Calendar!$A19,DB!$1:$1,0)),FALSE),"")</f>
        <v/>
      </c>
      <c r="GYK19" s="28" t="str">
        <f>IFERROR(VLOOKUP(DATE($K$1,$K$2,GYK$4),Table1[],(MATCH(Calendar!$A19,DB!$1:$1,0)),FALSE),"")</f>
        <v/>
      </c>
      <c r="GYL19" s="28" t="str">
        <f>IFERROR(VLOOKUP(DATE($K$1,$K$2,GYL$4),Table1[],(MATCH(Calendar!$A19,DB!$1:$1,0)),FALSE),"")</f>
        <v/>
      </c>
      <c r="GYM19" s="28" t="str">
        <f>IFERROR(VLOOKUP(DATE($K$1,$K$2,GYM$4),Table1[],(MATCH(Calendar!$A19,DB!$1:$1,0)),FALSE),"")</f>
        <v/>
      </c>
      <c r="GYN19" s="28" t="str">
        <f>IFERROR(VLOOKUP(DATE($K$1,$K$2,GYN$4),Table1[],(MATCH(Calendar!$A19,DB!$1:$1,0)),FALSE),"")</f>
        <v/>
      </c>
      <c r="GYO19" s="28" t="str">
        <f>IFERROR(VLOOKUP(DATE($K$1,$K$2,GYO$4),Table1[],(MATCH(Calendar!$A19,DB!$1:$1,0)),FALSE),"")</f>
        <v/>
      </c>
      <c r="GYP19" s="28" t="str">
        <f>IFERROR(VLOOKUP(DATE($K$1,$K$2,GYP$4),Table1[],(MATCH(Calendar!$A19,DB!$1:$1,0)),FALSE),"")</f>
        <v/>
      </c>
      <c r="GYQ19" s="28" t="str">
        <f>IFERROR(VLOOKUP(DATE($K$1,$K$2,GYQ$4),Table1[],(MATCH(Calendar!$A19,DB!$1:$1,0)),FALSE),"")</f>
        <v/>
      </c>
      <c r="GYR19" s="28" t="str">
        <f>IFERROR(VLOOKUP(DATE($K$1,$K$2,GYR$4),Table1[],(MATCH(Calendar!$A19,DB!$1:$1,0)),FALSE),"")</f>
        <v/>
      </c>
      <c r="GYS19" s="28" t="str">
        <f>IFERROR(VLOOKUP(DATE($K$1,$K$2,GYS$4),Table1[],(MATCH(Calendar!$A19,DB!$1:$1,0)),FALSE),"")</f>
        <v/>
      </c>
      <c r="GYT19" s="28" t="str">
        <f>IFERROR(VLOOKUP(DATE($K$1,$K$2,GYT$4),Table1[],(MATCH(Calendar!$A19,DB!$1:$1,0)),FALSE),"")</f>
        <v/>
      </c>
      <c r="GYU19" s="28" t="str">
        <f>IFERROR(VLOOKUP(DATE($K$1,$K$2,GYU$4),Table1[],(MATCH(Calendar!$A19,DB!$1:$1,0)),FALSE),"")</f>
        <v/>
      </c>
      <c r="GYV19" s="28" t="str">
        <f>IFERROR(VLOOKUP(DATE($K$1,$K$2,GYV$4),Table1[],(MATCH(Calendar!$A19,DB!$1:$1,0)),FALSE),"")</f>
        <v/>
      </c>
      <c r="GYW19" s="28" t="str">
        <f>IFERROR(VLOOKUP(DATE($K$1,$K$2,GYW$4),Table1[],(MATCH(Calendar!$A19,DB!$1:$1,0)),FALSE),"")</f>
        <v/>
      </c>
      <c r="GYX19" s="28" t="str">
        <f>IFERROR(VLOOKUP(DATE($K$1,$K$2,GYX$4),Table1[],(MATCH(Calendar!$A19,DB!$1:$1,0)),FALSE),"")</f>
        <v/>
      </c>
      <c r="GYY19" s="28" t="str">
        <f>IFERROR(VLOOKUP(DATE($K$1,$K$2,GYY$4),Table1[],(MATCH(Calendar!$A19,DB!$1:$1,0)),FALSE),"")</f>
        <v/>
      </c>
      <c r="GYZ19" s="28" t="str">
        <f>IFERROR(VLOOKUP(DATE($K$1,$K$2,GYZ$4),Table1[],(MATCH(Calendar!$A19,DB!$1:$1,0)),FALSE),"")</f>
        <v/>
      </c>
      <c r="GZA19" s="28" t="str">
        <f>IFERROR(VLOOKUP(DATE($K$1,$K$2,GZA$4),Table1[],(MATCH(Calendar!$A19,DB!$1:$1,0)),FALSE),"")</f>
        <v/>
      </c>
      <c r="GZB19" s="28" t="str">
        <f>IFERROR(VLOOKUP(DATE($K$1,$K$2,GZB$4),Table1[],(MATCH(Calendar!$A19,DB!$1:$1,0)),FALSE),"")</f>
        <v/>
      </c>
      <c r="GZC19" s="28" t="str">
        <f>IFERROR(VLOOKUP(DATE($K$1,$K$2,GZC$4),Table1[],(MATCH(Calendar!$A19,DB!$1:$1,0)),FALSE),"")</f>
        <v/>
      </c>
      <c r="GZD19" s="28" t="str">
        <f>IFERROR(VLOOKUP(DATE($K$1,$K$2,GZD$4),Table1[],(MATCH(Calendar!$A19,DB!$1:$1,0)),FALSE),"")</f>
        <v/>
      </c>
      <c r="GZE19" s="28" t="str">
        <f>IFERROR(VLOOKUP(DATE($K$1,$K$2,GZE$4),Table1[],(MATCH(Calendar!$A19,DB!$1:$1,0)),FALSE),"")</f>
        <v/>
      </c>
      <c r="GZF19" s="28" t="str">
        <f>IFERROR(VLOOKUP(DATE($K$1,$K$2,GZF$4),Table1[],(MATCH(Calendar!$A19,DB!$1:$1,0)),FALSE),"")</f>
        <v/>
      </c>
      <c r="GZG19" s="28" t="str">
        <f>IFERROR(VLOOKUP(DATE($K$1,$K$2,GZG$4),Table1[],(MATCH(Calendar!$A19,DB!$1:$1,0)),FALSE),"")</f>
        <v/>
      </c>
      <c r="GZH19" s="28" t="str">
        <f>IFERROR(VLOOKUP(DATE($K$1,$K$2,GZH$4),Table1[],(MATCH(Calendar!$A19,DB!$1:$1,0)),FALSE),"")</f>
        <v/>
      </c>
      <c r="GZI19" s="28" t="str">
        <f>IFERROR(VLOOKUP(DATE($K$1,$K$2,GZI$4),Table1[],(MATCH(Calendar!$A19,DB!$1:$1,0)),FALSE),"")</f>
        <v/>
      </c>
      <c r="GZJ19" s="28" t="str">
        <f>IFERROR(VLOOKUP(DATE($K$1,$K$2,GZJ$4),Table1[],(MATCH(Calendar!$A19,DB!$1:$1,0)),FALSE),"")</f>
        <v/>
      </c>
      <c r="GZK19" s="28" t="str">
        <f>IFERROR(VLOOKUP(DATE($K$1,$K$2,GZK$4),Table1[],(MATCH(Calendar!$A19,DB!$1:$1,0)),FALSE),"")</f>
        <v/>
      </c>
      <c r="GZL19" s="28" t="str">
        <f>IFERROR(VLOOKUP(DATE($K$1,$K$2,GZL$4),Table1[],(MATCH(Calendar!$A19,DB!$1:$1,0)),FALSE),"")</f>
        <v/>
      </c>
      <c r="GZM19" s="28" t="str">
        <f>IFERROR(VLOOKUP(DATE($K$1,$K$2,GZM$4),Table1[],(MATCH(Calendar!$A19,DB!$1:$1,0)),FALSE),"")</f>
        <v/>
      </c>
      <c r="GZN19" s="28" t="str">
        <f>IFERROR(VLOOKUP(DATE($K$1,$K$2,GZN$4),Table1[],(MATCH(Calendar!$A19,DB!$1:$1,0)),FALSE),"")</f>
        <v/>
      </c>
      <c r="GZO19" s="28" t="str">
        <f>IFERROR(VLOOKUP(DATE($K$1,$K$2,GZO$4),Table1[],(MATCH(Calendar!$A19,DB!$1:$1,0)),FALSE),"")</f>
        <v/>
      </c>
      <c r="GZP19" s="28" t="str">
        <f>IFERROR(VLOOKUP(DATE($K$1,$K$2,GZP$4),Table1[],(MATCH(Calendar!$A19,DB!$1:$1,0)),FALSE),"")</f>
        <v/>
      </c>
      <c r="GZQ19" s="28" t="str">
        <f>IFERROR(VLOOKUP(DATE($K$1,$K$2,GZQ$4),Table1[],(MATCH(Calendar!$A19,DB!$1:$1,0)),FALSE),"")</f>
        <v/>
      </c>
      <c r="GZR19" s="28" t="str">
        <f>IFERROR(VLOOKUP(DATE($K$1,$K$2,GZR$4),Table1[],(MATCH(Calendar!$A19,DB!$1:$1,0)),FALSE),"")</f>
        <v/>
      </c>
      <c r="GZS19" s="28" t="str">
        <f>IFERROR(VLOOKUP(DATE($K$1,$K$2,GZS$4),Table1[],(MATCH(Calendar!$A19,DB!$1:$1,0)),FALSE),"")</f>
        <v/>
      </c>
      <c r="GZT19" s="28" t="str">
        <f>IFERROR(VLOOKUP(DATE($K$1,$K$2,GZT$4),Table1[],(MATCH(Calendar!$A19,DB!$1:$1,0)),FALSE),"")</f>
        <v/>
      </c>
      <c r="GZU19" s="28" t="str">
        <f>IFERROR(VLOOKUP(DATE($K$1,$K$2,GZU$4),Table1[],(MATCH(Calendar!$A19,DB!$1:$1,0)),FALSE),"")</f>
        <v/>
      </c>
      <c r="GZV19" s="28" t="str">
        <f>IFERROR(VLOOKUP(DATE($K$1,$K$2,GZV$4),Table1[],(MATCH(Calendar!$A19,DB!$1:$1,0)),FALSE),"")</f>
        <v/>
      </c>
      <c r="GZW19" s="28" t="str">
        <f>IFERROR(VLOOKUP(DATE($K$1,$K$2,GZW$4),Table1[],(MATCH(Calendar!$A19,DB!$1:$1,0)),FALSE),"")</f>
        <v/>
      </c>
      <c r="GZX19" s="28" t="str">
        <f>IFERROR(VLOOKUP(DATE($K$1,$K$2,GZX$4),Table1[],(MATCH(Calendar!$A19,DB!$1:$1,0)),FALSE),"")</f>
        <v/>
      </c>
      <c r="GZY19" s="28" t="str">
        <f>IFERROR(VLOOKUP(DATE($K$1,$K$2,GZY$4),Table1[],(MATCH(Calendar!$A19,DB!$1:$1,0)),FALSE),"")</f>
        <v/>
      </c>
      <c r="GZZ19" s="28" t="str">
        <f>IFERROR(VLOOKUP(DATE($K$1,$K$2,GZZ$4),Table1[],(MATCH(Calendar!$A19,DB!$1:$1,0)),FALSE),"")</f>
        <v/>
      </c>
      <c r="HAA19" s="28" t="str">
        <f>IFERROR(VLOOKUP(DATE($K$1,$K$2,HAA$4),Table1[],(MATCH(Calendar!$A19,DB!$1:$1,0)),FALSE),"")</f>
        <v/>
      </c>
      <c r="HAB19" s="28" t="str">
        <f>IFERROR(VLOOKUP(DATE($K$1,$K$2,HAB$4),Table1[],(MATCH(Calendar!$A19,DB!$1:$1,0)),FALSE),"")</f>
        <v/>
      </c>
      <c r="HAC19" s="28" t="str">
        <f>IFERROR(VLOOKUP(DATE($K$1,$K$2,HAC$4),Table1[],(MATCH(Calendar!$A19,DB!$1:$1,0)),FALSE),"")</f>
        <v/>
      </c>
      <c r="HAD19" s="28" t="str">
        <f>IFERROR(VLOOKUP(DATE($K$1,$K$2,HAD$4),Table1[],(MATCH(Calendar!$A19,DB!$1:$1,0)),FALSE),"")</f>
        <v/>
      </c>
      <c r="HAE19" s="28" t="str">
        <f>IFERROR(VLOOKUP(DATE($K$1,$K$2,HAE$4),Table1[],(MATCH(Calendar!$A19,DB!$1:$1,0)),FALSE),"")</f>
        <v/>
      </c>
      <c r="HAF19" s="28" t="str">
        <f>IFERROR(VLOOKUP(DATE($K$1,$K$2,HAF$4),Table1[],(MATCH(Calendar!$A19,DB!$1:$1,0)),FALSE),"")</f>
        <v/>
      </c>
      <c r="HAG19" s="28" t="str">
        <f>IFERROR(VLOOKUP(DATE($K$1,$K$2,HAG$4),Table1[],(MATCH(Calendar!$A19,DB!$1:$1,0)),FALSE),"")</f>
        <v/>
      </c>
      <c r="HAH19" s="28" t="str">
        <f>IFERROR(VLOOKUP(DATE($K$1,$K$2,HAH$4),Table1[],(MATCH(Calendar!$A19,DB!$1:$1,0)),FALSE),"")</f>
        <v/>
      </c>
      <c r="HAI19" s="28" t="str">
        <f>IFERROR(VLOOKUP(DATE($K$1,$K$2,HAI$4),Table1[],(MATCH(Calendar!$A19,DB!$1:$1,0)),FALSE),"")</f>
        <v/>
      </c>
      <c r="HAJ19" s="28" t="str">
        <f>IFERROR(VLOOKUP(DATE($K$1,$K$2,HAJ$4),Table1[],(MATCH(Calendar!$A19,DB!$1:$1,0)),FALSE),"")</f>
        <v/>
      </c>
      <c r="HAK19" s="28" t="str">
        <f>IFERROR(VLOOKUP(DATE($K$1,$K$2,HAK$4),Table1[],(MATCH(Calendar!$A19,DB!$1:$1,0)),FALSE),"")</f>
        <v/>
      </c>
      <c r="HAL19" s="28" t="str">
        <f>IFERROR(VLOOKUP(DATE($K$1,$K$2,HAL$4),Table1[],(MATCH(Calendar!$A19,DB!$1:$1,0)),FALSE),"")</f>
        <v/>
      </c>
      <c r="HAM19" s="28" t="str">
        <f>IFERROR(VLOOKUP(DATE($K$1,$K$2,HAM$4),Table1[],(MATCH(Calendar!$A19,DB!$1:$1,0)),FALSE),"")</f>
        <v/>
      </c>
      <c r="HAN19" s="28" t="str">
        <f>IFERROR(VLOOKUP(DATE($K$1,$K$2,HAN$4),Table1[],(MATCH(Calendar!$A19,DB!$1:$1,0)),FALSE),"")</f>
        <v/>
      </c>
      <c r="HAO19" s="28" t="str">
        <f>IFERROR(VLOOKUP(DATE($K$1,$K$2,HAO$4),Table1[],(MATCH(Calendar!$A19,DB!$1:$1,0)),FALSE),"")</f>
        <v/>
      </c>
      <c r="HAP19" s="28" t="str">
        <f>IFERROR(VLOOKUP(DATE($K$1,$K$2,HAP$4),Table1[],(MATCH(Calendar!$A19,DB!$1:$1,0)),FALSE),"")</f>
        <v/>
      </c>
      <c r="HAQ19" s="28" t="str">
        <f>IFERROR(VLOOKUP(DATE($K$1,$K$2,HAQ$4),Table1[],(MATCH(Calendar!$A19,DB!$1:$1,0)),FALSE),"")</f>
        <v/>
      </c>
      <c r="HAR19" s="28" t="str">
        <f>IFERROR(VLOOKUP(DATE($K$1,$K$2,HAR$4),Table1[],(MATCH(Calendar!$A19,DB!$1:$1,0)),FALSE),"")</f>
        <v/>
      </c>
      <c r="HAS19" s="28" t="str">
        <f>IFERROR(VLOOKUP(DATE($K$1,$K$2,HAS$4),Table1[],(MATCH(Calendar!$A19,DB!$1:$1,0)),FALSE),"")</f>
        <v/>
      </c>
      <c r="HAT19" s="28" t="str">
        <f>IFERROR(VLOOKUP(DATE($K$1,$K$2,HAT$4),Table1[],(MATCH(Calendar!$A19,DB!$1:$1,0)),FALSE),"")</f>
        <v/>
      </c>
      <c r="HAU19" s="28" t="str">
        <f>IFERROR(VLOOKUP(DATE($K$1,$K$2,HAU$4),Table1[],(MATCH(Calendar!$A19,DB!$1:$1,0)),FALSE),"")</f>
        <v/>
      </c>
      <c r="HAV19" s="28" t="str">
        <f>IFERROR(VLOOKUP(DATE($K$1,$K$2,HAV$4),Table1[],(MATCH(Calendar!$A19,DB!$1:$1,0)),FALSE),"")</f>
        <v/>
      </c>
      <c r="HAW19" s="28" t="str">
        <f>IFERROR(VLOOKUP(DATE($K$1,$K$2,HAW$4),Table1[],(MATCH(Calendar!$A19,DB!$1:$1,0)),FALSE),"")</f>
        <v/>
      </c>
      <c r="HAX19" s="28" t="str">
        <f>IFERROR(VLOOKUP(DATE($K$1,$K$2,HAX$4),Table1[],(MATCH(Calendar!$A19,DB!$1:$1,0)),FALSE),"")</f>
        <v/>
      </c>
      <c r="HAY19" s="28" t="str">
        <f>IFERROR(VLOOKUP(DATE($K$1,$K$2,HAY$4),Table1[],(MATCH(Calendar!$A19,DB!$1:$1,0)),FALSE),"")</f>
        <v/>
      </c>
      <c r="HAZ19" s="28" t="str">
        <f>IFERROR(VLOOKUP(DATE($K$1,$K$2,HAZ$4),Table1[],(MATCH(Calendar!$A19,DB!$1:$1,0)),FALSE),"")</f>
        <v/>
      </c>
      <c r="HBA19" s="28" t="str">
        <f>IFERROR(VLOOKUP(DATE($K$1,$K$2,HBA$4),Table1[],(MATCH(Calendar!$A19,DB!$1:$1,0)),FALSE),"")</f>
        <v/>
      </c>
      <c r="HBB19" s="28" t="str">
        <f>IFERROR(VLOOKUP(DATE($K$1,$K$2,HBB$4),Table1[],(MATCH(Calendar!$A19,DB!$1:$1,0)),FALSE),"")</f>
        <v/>
      </c>
      <c r="HBC19" s="28" t="str">
        <f>IFERROR(VLOOKUP(DATE($K$1,$K$2,HBC$4),Table1[],(MATCH(Calendar!$A19,DB!$1:$1,0)),FALSE),"")</f>
        <v/>
      </c>
      <c r="HBD19" s="28" t="str">
        <f>IFERROR(VLOOKUP(DATE($K$1,$K$2,HBD$4),Table1[],(MATCH(Calendar!$A19,DB!$1:$1,0)),FALSE),"")</f>
        <v/>
      </c>
      <c r="HBE19" s="28" t="str">
        <f>IFERROR(VLOOKUP(DATE($K$1,$K$2,HBE$4),Table1[],(MATCH(Calendar!$A19,DB!$1:$1,0)),FALSE),"")</f>
        <v/>
      </c>
      <c r="HBF19" s="28" t="str">
        <f>IFERROR(VLOOKUP(DATE($K$1,$K$2,HBF$4),Table1[],(MATCH(Calendar!$A19,DB!$1:$1,0)),FALSE),"")</f>
        <v/>
      </c>
      <c r="HBG19" s="28" t="str">
        <f>IFERROR(VLOOKUP(DATE($K$1,$K$2,HBG$4),Table1[],(MATCH(Calendar!$A19,DB!$1:$1,0)),FALSE),"")</f>
        <v/>
      </c>
      <c r="HBH19" s="28" t="str">
        <f>IFERROR(VLOOKUP(DATE($K$1,$K$2,HBH$4),Table1[],(MATCH(Calendar!$A19,DB!$1:$1,0)),FALSE),"")</f>
        <v/>
      </c>
      <c r="HBI19" s="28" t="str">
        <f>IFERROR(VLOOKUP(DATE($K$1,$K$2,HBI$4),Table1[],(MATCH(Calendar!$A19,DB!$1:$1,0)),FALSE),"")</f>
        <v/>
      </c>
      <c r="HBJ19" s="28" t="str">
        <f>IFERROR(VLOOKUP(DATE($K$1,$K$2,HBJ$4),Table1[],(MATCH(Calendar!$A19,DB!$1:$1,0)),FALSE),"")</f>
        <v/>
      </c>
      <c r="HBK19" s="28" t="str">
        <f>IFERROR(VLOOKUP(DATE($K$1,$K$2,HBK$4),Table1[],(MATCH(Calendar!$A19,DB!$1:$1,0)),FALSE),"")</f>
        <v/>
      </c>
      <c r="HBL19" s="28" t="str">
        <f>IFERROR(VLOOKUP(DATE($K$1,$K$2,HBL$4),Table1[],(MATCH(Calendar!$A19,DB!$1:$1,0)),FALSE),"")</f>
        <v/>
      </c>
      <c r="HBM19" s="28" t="str">
        <f>IFERROR(VLOOKUP(DATE($K$1,$K$2,HBM$4),Table1[],(MATCH(Calendar!$A19,DB!$1:$1,0)),FALSE),"")</f>
        <v/>
      </c>
      <c r="HBN19" s="28" t="str">
        <f>IFERROR(VLOOKUP(DATE($K$1,$K$2,HBN$4),Table1[],(MATCH(Calendar!$A19,DB!$1:$1,0)),FALSE),"")</f>
        <v/>
      </c>
      <c r="HBO19" s="28" t="str">
        <f>IFERROR(VLOOKUP(DATE($K$1,$K$2,HBO$4),Table1[],(MATCH(Calendar!$A19,DB!$1:$1,0)),FALSE),"")</f>
        <v/>
      </c>
      <c r="HBP19" s="28" t="str">
        <f>IFERROR(VLOOKUP(DATE($K$1,$K$2,HBP$4),Table1[],(MATCH(Calendar!$A19,DB!$1:$1,0)),FALSE),"")</f>
        <v/>
      </c>
      <c r="HBQ19" s="28" t="str">
        <f>IFERROR(VLOOKUP(DATE($K$1,$K$2,HBQ$4),Table1[],(MATCH(Calendar!$A19,DB!$1:$1,0)),FALSE),"")</f>
        <v/>
      </c>
      <c r="HBR19" s="28" t="str">
        <f>IFERROR(VLOOKUP(DATE($K$1,$K$2,HBR$4),Table1[],(MATCH(Calendar!$A19,DB!$1:$1,0)),FALSE),"")</f>
        <v/>
      </c>
      <c r="HBS19" s="28" t="str">
        <f>IFERROR(VLOOKUP(DATE($K$1,$K$2,HBS$4),Table1[],(MATCH(Calendar!$A19,DB!$1:$1,0)),FALSE),"")</f>
        <v/>
      </c>
      <c r="HBT19" s="28" t="str">
        <f>IFERROR(VLOOKUP(DATE($K$1,$K$2,HBT$4),Table1[],(MATCH(Calendar!$A19,DB!$1:$1,0)),FALSE),"")</f>
        <v/>
      </c>
      <c r="HBU19" s="28" t="str">
        <f>IFERROR(VLOOKUP(DATE($K$1,$K$2,HBU$4),Table1[],(MATCH(Calendar!$A19,DB!$1:$1,0)),FALSE),"")</f>
        <v/>
      </c>
      <c r="HBV19" s="28" t="str">
        <f>IFERROR(VLOOKUP(DATE($K$1,$K$2,HBV$4),Table1[],(MATCH(Calendar!$A19,DB!$1:$1,0)),FALSE),"")</f>
        <v/>
      </c>
      <c r="HBW19" s="28" t="str">
        <f>IFERROR(VLOOKUP(DATE($K$1,$K$2,HBW$4),Table1[],(MATCH(Calendar!$A19,DB!$1:$1,0)),FALSE),"")</f>
        <v/>
      </c>
      <c r="HBX19" s="28" t="str">
        <f>IFERROR(VLOOKUP(DATE($K$1,$K$2,HBX$4),Table1[],(MATCH(Calendar!$A19,DB!$1:$1,0)),FALSE),"")</f>
        <v/>
      </c>
      <c r="HBY19" s="28" t="str">
        <f>IFERROR(VLOOKUP(DATE($K$1,$K$2,HBY$4),Table1[],(MATCH(Calendar!$A19,DB!$1:$1,0)),FALSE),"")</f>
        <v/>
      </c>
      <c r="HBZ19" s="28" t="str">
        <f>IFERROR(VLOOKUP(DATE($K$1,$K$2,HBZ$4),Table1[],(MATCH(Calendar!$A19,DB!$1:$1,0)),FALSE),"")</f>
        <v/>
      </c>
      <c r="HCA19" s="28" t="str">
        <f>IFERROR(VLOOKUP(DATE($K$1,$K$2,HCA$4),Table1[],(MATCH(Calendar!$A19,DB!$1:$1,0)),FALSE),"")</f>
        <v/>
      </c>
      <c r="HCB19" s="28" t="str">
        <f>IFERROR(VLOOKUP(DATE($K$1,$K$2,HCB$4),Table1[],(MATCH(Calendar!$A19,DB!$1:$1,0)),FALSE),"")</f>
        <v/>
      </c>
      <c r="HCC19" s="28" t="str">
        <f>IFERROR(VLOOKUP(DATE($K$1,$K$2,HCC$4),Table1[],(MATCH(Calendar!$A19,DB!$1:$1,0)),FALSE),"")</f>
        <v/>
      </c>
      <c r="HCD19" s="28" t="str">
        <f>IFERROR(VLOOKUP(DATE($K$1,$K$2,HCD$4),Table1[],(MATCH(Calendar!$A19,DB!$1:$1,0)),FALSE),"")</f>
        <v/>
      </c>
      <c r="HCE19" s="28" t="str">
        <f>IFERROR(VLOOKUP(DATE($K$1,$K$2,HCE$4),Table1[],(MATCH(Calendar!$A19,DB!$1:$1,0)),FALSE),"")</f>
        <v/>
      </c>
      <c r="HCF19" s="28" t="str">
        <f>IFERROR(VLOOKUP(DATE($K$1,$K$2,HCF$4),Table1[],(MATCH(Calendar!$A19,DB!$1:$1,0)),FALSE),"")</f>
        <v/>
      </c>
      <c r="HCG19" s="28" t="str">
        <f>IFERROR(VLOOKUP(DATE($K$1,$K$2,HCG$4),Table1[],(MATCH(Calendar!$A19,DB!$1:$1,0)),FALSE),"")</f>
        <v/>
      </c>
      <c r="HCH19" s="28" t="str">
        <f>IFERROR(VLOOKUP(DATE($K$1,$K$2,HCH$4),Table1[],(MATCH(Calendar!$A19,DB!$1:$1,0)),FALSE),"")</f>
        <v/>
      </c>
      <c r="HCI19" s="28" t="str">
        <f>IFERROR(VLOOKUP(DATE($K$1,$K$2,HCI$4),Table1[],(MATCH(Calendar!$A19,DB!$1:$1,0)),FALSE),"")</f>
        <v/>
      </c>
      <c r="HCJ19" s="28" t="str">
        <f>IFERROR(VLOOKUP(DATE($K$1,$K$2,HCJ$4),Table1[],(MATCH(Calendar!$A19,DB!$1:$1,0)),FALSE),"")</f>
        <v/>
      </c>
      <c r="HCK19" s="28" t="str">
        <f>IFERROR(VLOOKUP(DATE($K$1,$K$2,HCK$4),Table1[],(MATCH(Calendar!$A19,DB!$1:$1,0)),FALSE),"")</f>
        <v/>
      </c>
      <c r="HCL19" s="28" t="str">
        <f>IFERROR(VLOOKUP(DATE($K$1,$K$2,HCL$4),Table1[],(MATCH(Calendar!$A19,DB!$1:$1,0)),FALSE),"")</f>
        <v/>
      </c>
      <c r="HCM19" s="28" t="str">
        <f>IFERROR(VLOOKUP(DATE($K$1,$K$2,HCM$4),Table1[],(MATCH(Calendar!$A19,DB!$1:$1,0)),FALSE),"")</f>
        <v/>
      </c>
      <c r="HCN19" s="28" t="str">
        <f>IFERROR(VLOOKUP(DATE($K$1,$K$2,HCN$4),Table1[],(MATCH(Calendar!$A19,DB!$1:$1,0)),FALSE),"")</f>
        <v/>
      </c>
      <c r="HCO19" s="28" t="str">
        <f>IFERROR(VLOOKUP(DATE($K$1,$K$2,HCO$4),Table1[],(MATCH(Calendar!$A19,DB!$1:$1,0)),FALSE),"")</f>
        <v/>
      </c>
      <c r="HCP19" s="28" t="str">
        <f>IFERROR(VLOOKUP(DATE($K$1,$K$2,HCP$4),Table1[],(MATCH(Calendar!$A19,DB!$1:$1,0)),FALSE),"")</f>
        <v/>
      </c>
      <c r="HCQ19" s="28" t="str">
        <f>IFERROR(VLOOKUP(DATE($K$1,$K$2,HCQ$4),Table1[],(MATCH(Calendar!$A19,DB!$1:$1,0)),FALSE),"")</f>
        <v/>
      </c>
      <c r="HCR19" s="28" t="str">
        <f>IFERROR(VLOOKUP(DATE($K$1,$K$2,HCR$4),Table1[],(MATCH(Calendar!$A19,DB!$1:$1,0)),FALSE),"")</f>
        <v/>
      </c>
      <c r="HCS19" s="28" t="str">
        <f>IFERROR(VLOOKUP(DATE($K$1,$K$2,HCS$4),Table1[],(MATCH(Calendar!$A19,DB!$1:$1,0)),FALSE),"")</f>
        <v/>
      </c>
      <c r="HCT19" s="28" t="str">
        <f>IFERROR(VLOOKUP(DATE($K$1,$K$2,HCT$4),Table1[],(MATCH(Calendar!$A19,DB!$1:$1,0)),FALSE),"")</f>
        <v/>
      </c>
      <c r="HCU19" s="28" t="str">
        <f>IFERROR(VLOOKUP(DATE($K$1,$K$2,HCU$4),Table1[],(MATCH(Calendar!$A19,DB!$1:$1,0)),FALSE),"")</f>
        <v/>
      </c>
      <c r="HCV19" s="28" t="str">
        <f>IFERROR(VLOOKUP(DATE($K$1,$K$2,HCV$4),Table1[],(MATCH(Calendar!$A19,DB!$1:$1,0)),FALSE),"")</f>
        <v/>
      </c>
      <c r="HCW19" s="28" t="str">
        <f>IFERROR(VLOOKUP(DATE($K$1,$K$2,HCW$4),Table1[],(MATCH(Calendar!$A19,DB!$1:$1,0)),FALSE),"")</f>
        <v/>
      </c>
      <c r="HCX19" s="28" t="str">
        <f>IFERROR(VLOOKUP(DATE($K$1,$K$2,HCX$4),Table1[],(MATCH(Calendar!$A19,DB!$1:$1,0)),FALSE),"")</f>
        <v/>
      </c>
      <c r="HCY19" s="28" t="str">
        <f>IFERROR(VLOOKUP(DATE($K$1,$K$2,HCY$4),Table1[],(MATCH(Calendar!$A19,DB!$1:$1,0)),FALSE),"")</f>
        <v/>
      </c>
      <c r="HCZ19" s="28" t="str">
        <f>IFERROR(VLOOKUP(DATE($K$1,$K$2,HCZ$4),Table1[],(MATCH(Calendar!$A19,DB!$1:$1,0)),FALSE),"")</f>
        <v/>
      </c>
      <c r="HDA19" s="28" t="str">
        <f>IFERROR(VLOOKUP(DATE($K$1,$K$2,HDA$4),Table1[],(MATCH(Calendar!$A19,DB!$1:$1,0)),FALSE),"")</f>
        <v/>
      </c>
      <c r="HDB19" s="28" t="str">
        <f>IFERROR(VLOOKUP(DATE($K$1,$K$2,HDB$4),Table1[],(MATCH(Calendar!$A19,DB!$1:$1,0)),FALSE),"")</f>
        <v/>
      </c>
      <c r="HDC19" s="28" t="str">
        <f>IFERROR(VLOOKUP(DATE($K$1,$K$2,HDC$4),Table1[],(MATCH(Calendar!$A19,DB!$1:$1,0)),FALSE),"")</f>
        <v/>
      </c>
      <c r="HDD19" s="28" t="str">
        <f>IFERROR(VLOOKUP(DATE($K$1,$K$2,HDD$4),Table1[],(MATCH(Calendar!$A19,DB!$1:$1,0)),FALSE),"")</f>
        <v/>
      </c>
      <c r="HDE19" s="28" t="str">
        <f>IFERROR(VLOOKUP(DATE($K$1,$K$2,HDE$4),Table1[],(MATCH(Calendar!$A19,DB!$1:$1,0)),FALSE),"")</f>
        <v/>
      </c>
      <c r="HDF19" s="28" t="str">
        <f>IFERROR(VLOOKUP(DATE($K$1,$K$2,HDF$4),Table1[],(MATCH(Calendar!$A19,DB!$1:$1,0)),FALSE),"")</f>
        <v/>
      </c>
      <c r="HDG19" s="28" t="str">
        <f>IFERROR(VLOOKUP(DATE($K$1,$K$2,HDG$4),Table1[],(MATCH(Calendar!$A19,DB!$1:$1,0)),FALSE),"")</f>
        <v/>
      </c>
      <c r="HDH19" s="28" t="str">
        <f>IFERROR(VLOOKUP(DATE($K$1,$K$2,HDH$4),Table1[],(MATCH(Calendar!$A19,DB!$1:$1,0)),FALSE),"")</f>
        <v/>
      </c>
      <c r="HDI19" s="28" t="str">
        <f>IFERROR(VLOOKUP(DATE($K$1,$K$2,HDI$4),Table1[],(MATCH(Calendar!$A19,DB!$1:$1,0)),FALSE),"")</f>
        <v/>
      </c>
      <c r="HDJ19" s="28" t="str">
        <f>IFERROR(VLOOKUP(DATE($K$1,$K$2,HDJ$4),Table1[],(MATCH(Calendar!$A19,DB!$1:$1,0)),FALSE),"")</f>
        <v/>
      </c>
      <c r="HDK19" s="28" t="str">
        <f>IFERROR(VLOOKUP(DATE($K$1,$K$2,HDK$4),Table1[],(MATCH(Calendar!$A19,DB!$1:$1,0)),FALSE),"")</f>
        <v/>
      </c>
      <c r="HDL19" s="28" t="str">
        <f>IFERROR(VLOOKUP(DATE($K$1,$K$2,HDL$4),Table1[],(MATCH(Calendar!$A19,DB!$1:$1,0)),FALSE),"")</f>
        <v/>
      </c>
      <c r="HDM19" s="28" t="str">
        <f>IFERROR(VLOOKUP(DATE($K$1,$K$2,HDM$4),Table1[],(MATCH(Calendar!$A19,DB!$1:$1,0)),FALSE),"")</f>
        <v/>
      </c>
      <c r="HDN19" s="28" t="str">
        <f>IFERROR(VLOOKUP(DATE($K$1,$K$2,HDN$4),Table1[],(MATCH(Calendar!$A19,DB!$1:$1,0)),FALSE),"")</f>
        <v/>
      </c>
      <c r="HDO19" s="28" t="str">
        <f>IFERROR(VLOOKUP(DATE($K$1,$K$2,HDO$4),Table1[],(MATCH(Calendar!$A19,DB!$1:$1,0)),FALSE),"")</f>
        <v/>
      </c>
      <c r="HDP19" s="28" t="str">
        <f>IFERROR(VLOOKUP(DATE($K$1,$K$2,HDP$4),Table1[],(MATCH(Calendar!$A19,DB!$1:$1,0)),FALSE),"")</f>
        <v/>
      </c>
      <c r="HDQ19" s="28" t="str">
        <f>IFERROR(VLOOKUP(DATE($K$1,$K$2,HDQ$4),Table1[],(MATCH(Calendar!$A19,DB!$1:$1,0)),FALSE),"")</f>
        <v/>
      </c>
      <c r="HDR19" s="28" t="str">
        <f>IFERROR(VLOOKUP(DATE($K$1,$K$2,HDR$4),Table1[],(MATCH(Calendar!$A19,DB!$1:$1,0)),FALSE),"")</f>
        <v/>
      </c>
      <c r="HDS19" s="28" t="str">
        <f>IFERROR(VLOOKUP(DATE($K$1,$K$2,HDS$4),Table1[],(MATCH(Calendar!$A19,DB!$1:$1,0)),FALSE),"")</f>
        <v/>
      </c>
      <c r="HDT19" s="28" t="str">
        <f>IFERROR(VLOOKUP(DATE($K$1,$K$2,HDT$4),Table1[],(MATCH(Calendar!$A19,DB!$1:$1,0)),FALSE),"")</f>
        <v/>
      </c>
      <c r="HDU19" s="28" t="str">
        <f>IFERROR(VLOOKUP(DATE($K$1,$K$2,HDU$4),Table1[],(MATCH(Calendar!$A19,DB!$1:$1,0)),FALSE),"")</f>
        <v/>
      </c>
      <c r="HDV19" s="28" t="str">
        <f>IFERROR(VLOOKUP(DATE($K$1,$K$2,HDV$4),Table1[],(MATCH(Calendar!$A19,DB!$1:$1,0)),FALSE),"")</f>
        <v/>
      </c>
      <c r="HDW19" s="28" t="str">
        <f>IFERROR(VLOOKUP(DATE($K$1,$K$2,HDW$4),Table1[],(MATCH(Calendar!$A19,DB!$1:$1,0)),FALSE),"")</f>
        <v/>
      </c>
      <c r="HDX19" s="28" t="str">
        <f>IFERROR(VLOOKUP(DATE($K$1,$K$2,HDX$4),Table1[],(MATCH(Calendar!$A19,DB!$1:$1,0)),FALSE),"")</f>
        <v/>
      </c>
      <c r="HDY19" s="28" t="str">
        <f>IFERROR(VLOOKUP(DATE($K$1,$K$2,HDY$4),Table1[],(MATCH(Calendar!$A19,DB!$1:$1,0)),FALSE),"")</f>
        <v/>
      </c>
      <c r="HDZ19" s="28" t="str">
        <f>IFERROR(VLOOKUP(DATE($K$1,$K$2,HDZ$4),Table1[],(MATCH(Calendar!$A19,DB!$1:$1,0)),FALSE),"")</f>
        <v/>
      </c>
      <c r="HEA19" s="28" t="str">
        <f>IFERROR(VLOOKUP(DATE($K$1,$K$2,HEA$4),Table1[],(MATCH(Calendar!$A19,DB!$1:$1,0)),FALSE),"")</f>
        <v/>
      </c>
      <c r="HEB19" s="28" t="str">
        <f>IFERROR(VLOOKUP(DATE($K$1,$K$2,HEB$4),Table1[],(MATCH(Calendar!$A19,DB!$1:$1,0)),FALSE),"")</f>
        <v/>
      </c>
      <c r="HEC19" s="28" t="str">
        <f>IFERROR(VLOOKUP(DATE($K$1,$K$2,HEC$4),Table1[],(MATCH(Calendar!$A19,DB!$1:$1,0)),FALSE),"")</f>
        <v/>
      </c>
      <c r="HED19" s="28" t="str">
        <f>IFERROR(VLOOKUP(DATE($K$1,$K$2,HED$4),Table1[],(MATCH(Calendar!$A19,DB!$1:$1,0)),FALSE),"")</f>
        <v/>
      </c>
      <c r="HEE19" s="28" t="str">
        <f>IFERROR(VLOOKUP(DATE($K$1,$K$2,HEE$4),Table1[],(MATCH(Calendar!$A19,DB!$1:$1,0)),FALSE),"")</f>
        <v/>
      </c>
      <c r="HEF19" s="28" t="str">
        <f>IFERROR(VLOOKUP(DATE($K$1,$K$2,HEF$4),Table1[],(MATCH(Calendar!$A19,DB!$1:$1,0)),FALSE),"")</f>
        <v/>
      </c>
      <c r="HEG19" s="28" t="str">
        <f>IFERROR(VLOOKUP(DATE($K$1,$K$2,HEG$4),Table1[],(MATCH(Calendar!$A19,DB!$1:$1,0)),FALSE),"")</f>
        <v/>
      </c>
      <c r="HEH19" s="28" t="str">
        <f>IFERROR(VLOOKUP(DATE($K$1,$K$2,HEH$4),Table1[],(MATCH(Calendar!$A19,DB!$1:$1,0)),FALSE),"")</f>
        <v/>
      </c>
      <c r="HEI19" s="28" t="str">
        <f>IFERROR(VLOOKUP(DATE($K$1,$K$2,HEI$4),Table1[],(MATCH(Calendar!$A19,DB!$1:$1,0)),FALSE),"")</f>
        <v/>
      </c>
      <c r="HEJ19" s="28" t="str">
        <f>IFERROR(VLOOKUP(DATE($K$1,$K$2,HEJ$4),Table1[],(MATCH(Calendar!$A19,DB!$1:$1,0)),FALSE),"")</f>
        <v/>
      </c>
      <c r="HEK19" s="28" t="str">
        <f>IFERROR(VLOOKUP(DATE($K$1,$K$2,HEK$4),Table1[],(MATCH(Calendar!$A19,DB!$1:$1,0)),FALSE),"")</f>
        <v/>
      </c>
      <c r="HEL19" s="28" t="str">
        <f>IFERROR(VLOOKUP(DATE($K$1,$K$2,HEL$4),Table1[],(MATCH(Calendar!$A19,DB!$1:$1,0)),FALSE),"")</f>
        <v/>
      </c>
      <c r="HEM19" s="28" t="str">
        <f>IFERROR(VLOOKUP(DATE($K$1,$K$2,HEM$4),Table1[],(MATCH(Calendar!$A19,DB!$1:$1,0)),FALSE),"")</f>
        <v/>
      </c>
      <c r="HEN19" s="28" t="str">
        <f>IFERROR(VLOOKUP(DATE($K$1,$K$2,HEN$4),Table1[],(MATCH(Calendar!$A19,DB!$1:$1,0)),FALSE),"")</f>
        <v/>
      </c>
      <c r="HEO19" s="28" t="str">
        <f>IFERROR(VLOOKUP(DATE($K$1,$K$2,HEO$4),Table1[],(MATCH(Calendar!$A19,DB!$1:$1,0)),FALSE),"")</f>
        <v/>
      </c>
      <c r="HEP19" s="28" t="str">
        <f>IFERROR(VLOOKUP(DATE($K$1,$K$2,HEP$4),Table1[],(MATCH(Calendar!$A19,DB!$1:$1,0)),FALSE),"")</f>
        <v/>
      </c>
      <c r="HEQ19" s="28" t="str">
        <f>IFERROR(VLOOKUP(DATE($K$1,$K$2,HEQ$4),Table1[],(MATCH(Calendar!$A19,DB!$1:$1,0)),FALSE),"")</f>
        <v/>
      </c>
      <c r="HER19" s="28" t="str">
        <f>IFERROR(VLOOKUP(DATE($K$1,$K$2,HER$4),Table1[],(MATCH(Calendar!$A19,DB!$1:$1,0)),FALSE),"")</f>
        <v/>
      </c>
      <c r="HES19" s="28" t="str">
        <f>IFERROR(VLOOKUP(DATE($K$1,$K$2,HES$4),Table1[],(MATCH(Calendar!$A19,DB!$1:$1,0)),FALSE),"")</f>
        <v/>
      </c>
      <c r="HET19" s="28" t="str">
        <f>IFERROR(VLOOKUP(DATE($K$1,$K$2,HET$4),Table1[],(MATCH(Calendar!$A19,DB!$1:$1,0)),FALSE),"")</f>
        <v/>
      </c>
      <c r="HEU19" s="28" t="str">
        <f>IFERROR(VLOOKUP(DATE($K$1,$K$2,HEU$4),Table1[],(MATCH(Calendar!$A19,DB!$1:$1,0)),FALSE),"")</f>
        <v/>
      </c>
      <c r="HEV19" s="28" t="str">
        <f>IFERROR(VLOOKUP(DATE($K$1,$K$2,HEV$4),Table1[],(MATCH(Calendar!$A19,DB!$1:$1,0)),FALSE),"")</f>
        <v/>
      </c>
      <c r="HEW19" s="28" t="str">
        <f>IFERROR(VLOOKUP(DATE($K$1,$K$2,HEW$4),Table1[],(MATCH(Calendar!$A19,DB!$1:$1,0)),FALSE),"")</f>
        <v/>
      </c>
      <c r="HEX19" s="28" t="str">
        <f>IFERROR(VLOOKUP(DATE($K$1,$K$2,HEX$4),Table1[],(MATCH(Calendar!$A19,DB!$1:$1,0)),FALSE),"")</f>
        <v/>
      </c>
      <c r="HEY19" s="28" t="str">
        <f>IFERROR(VLOOKUP(DATE($K$1,$K$2,HEY$4),Table1[],(MATCH(Calendar!$A19,DB!$1:$1,0)),FALSE),"")</f>
        <v/>
      </c>
      <c r="HEZ19" s="28" t="str">
        <f>IFERROR(VLOOKUP(DATE($K$1,$K$2,HEZ$4),Table1[],(MATCH(Calendar!$A19,DB!$1:$1,0)),FALSE),"")</f>
        <v/>
      </c>
      <c r="HFA19" s="28" t="str">
        <f>IFERROR(VLOOKUP(DATE($K$1,$K$2,HFA$4),Table1[],(MATCH(Calendar!$A19,DB!$1:$1,0)),FALSE),"")</f>
        <v/>
      </c>
      <c r="HFB19" s="28" t="str">
        <f>IFERROR(VLOOKUP(DATE($K$1,$K$2,HFB$4),Table1[],(MATCH(Calendar!$A19,DB!$1:$1,0)),FALSE),"")</f>
        <v/>
      </c>
      <c r="HFC19" s="28" t="str">
        <f>IFERROR(VLOOKUP(DATE($K$1,$K$2,HFC$4),Table1[],(MATCH(Calendar!$A19,DB!$1:$1,0)),FALSE),"")</f>
        <v/>
      </c>
      <c r="HFD19" s="28" t="str">
        <f>IFERROR(VLOOKUP(DATE($K$1,$K$2,HFD$4),Table1[],(MATCH(Calendar!$A19,DB!$1:$1,0)),FALSE),"")</f>
        <v/>
      </c>
      <c r="HFE19" s="28" t="str">
        <f>IFERROR(VLOOKUP(DATE($K$1,$K$2,HFE$4),Table1[],(MATCH(Calendar!$A19,DB!$1:$1,0)),FALSE),"")</f>
        <v/>
      </c>
      <c r="HFF19" s="28" t="str">
        <f>IFERROR(VLOOKUP(DATE($K$1,$K$2,HFF$4),Table1[],(MATCH(Calendar!$A19,DB!$1:$1,0)),FALSE),"")</f>
        <v/>
      </c>
      <c r="HFG19" s="28" t="str">
        <f>IFERROR(VLOOKUP(DATE($K$1,$K$2,HFG$4),Table1[],(MATCH(Calendar!$A19,DB!$1:$1,0)),FALSE),"")</f>
        <v/>
      </c>
      <c r="HFH19" s="28" t="str">
        <f>IFERROR(VLOOKUP(DATE($K$1,$K$2,HFH$4),Table1[],(MATCH(Calendar!$A19,DB!$1:$1,0)),FALSE),"")</f>
        <v/>
      </c>
      <c r="HFI19" s="28" t="str">
        <f>IFERROR(VLOOKUP(DATE($K$1,$K$2,HFI$4),Table1[],(MATCH(Calendar!$A19,DB!$1:$1,0)),FALSE),"")</f>
        <v/>
      </c>
      <c r="HFJ19" s="28" t="str">
        <f>IFERROR(VLOOKUP(DATE($K$1,$K$2,HFJ$4),Table1[],(MATCH(Calendar!$A19,DB!$1:$1,0)),FALSE),"")</f>
        <v/>
      </c>
      <c r="HFK19" s="28" t="str">
        <f>IFERROR(VLOOKUP(DATE($K$1,$K$2,HFK$4),Table1[],(MATCH(Calendar!$A19,DB!$1:$1,0)),FALSE),"")</f>
        <v/>
      </c>
      <c r="HFL19" s="28" t="str">
        <f>IFERROR(VLOOKUP(DATE($K$1,$K$2,HFL$4),Table1[],(MATCH(Calendar!$A19,DB!$1:$1,0)),FALSE),"")</f>
        <v/>
      </c>
      <c r="HFM19" s="28" t="str">
        <f>IFERROR(VLOOKUP(DATE($K$1,$K$2,HFM$4),Table1[],(MATCH(Calendar!$A19,DB!$1:$1,0)),FALSE),"")</f>
        <v/>
      </c>
      <c r="HFN19" s="28" t="str">
        <f>IFERROR(VLOOKUP(DATE($K$1,$K$2,HFN$4),Table1[],(MATCH(Calendar!$A19,DB!$1:$1,0)),FALSE),"")</f>
        <v/>
      </c>
      <c r="HFO19" s="28" t="str">
        <f>IFERROR(VLOOKUP(DATE($K$1,$K$2,HFO$4),Table1[],(MATCH(Calendar!$A19,DB!$1:$1,0)),FALSE),"")</f>
        <v/>
      </c>
      <c r="HFP19" s="28" t="str">
        <f>IFERROR(VLOOKUP(DATE($K$1,$K$2,HFP$4),Table1[],(MATCH(Calendar!$A19,DB!$1:$1,0)),FALSE),"")</f>
        <v/>
      </c>
      <c r="HFQ19" s="28" t="str">
        <f>IFERROR(VLOOKUP(DATE($K$1,$K$2,HFQ$4),Table1[],(MATCH(Calendar!$A19,DB!$1:$1,0)),FALSE),"")</f>
        <v/>
      </c>
      <c r="HFR19" s="28" t="str">
        <f>IFERROR(VLOOKUP(DATE($K$1,$K$2,HFR$4),Table1[],(MATCH(Calendar!$A19,DB!$1:$1,0)),FALSE),"")</f>
        <v/>
      </c>
      <c r="HFS19" s="28" t="str">
        <f>IFERROR(VLOOKUP(DATE($K$1,$K$2,HFS$4),Table1[],(MATCH(Calendar!$A19,DB!$1:$1,0)),FALSE),"")</f>
        <v/>
      </c>
      <c r="HFT19" s="28" t="str">
        <f>IFERROR(VLOOKUP(DATE($K$1,$K$2,HFT$4),Table1[],(MATCH(Calendar!$A19,DB!$1:$1,0)),FALSE),"")</f>
        <v/>
      </c>
      <c r="HFU19" s="28" t="str">
        <f>IFERROR(VLOOKUP(DATE($K$1,$K$2,HFU$4),Table1[],(MATCH(Calendar!$A19,DB!$1:$1,0)),FALSE),"")</f>
        <v/>
      </c>
      <c r="HFV19" s="28" t="str">
        <f>IFERROR(VLOOKUP(DATE($K$1,$K$2,HFV$4),Table1[],(MATCH(Calendar!$A19,DB!$1:$1,0)),FALSE),"")</f>
        <v/>
      </c>
      <c r="HFW19" s="28" t="str">
        <f>IFERROR(VLOOKUP(DATE($K$1,$K$2,HFW$4),Table1[],(MATCH(Calendar!$A19,DB!$1:$1,0)),FALSE),"")</f>
        <v/>
      </c>
      <c r="HFX19" s="28" t="str">
        <f>IFERROR(VLOOKUP(DATE($K$1,$K$2,HFX$4),Table1[],(MATCH(Calendar!$A19,DB!$1:$1,0)),FALSE),"")</f>
        <v/>
      </c>
      <c r="HFY19" s="28" t="str">
        <f>IFERROR(VLOOKUP(DATE($K$1,$K$2,HFY$4),Table1[],(MATCH(Calendar!$A19,DB!$1:$1,0)),FALSE),"")</f>
        <v/>
      </c>
      <c r="HFZ19" s="28" t="str">
        <f>IFERROR(VLOOKUP(DATE($K$1,$K$2,HFZ$4),Table1[],(MATCH(Calendar!$A19,DB!$1:$1,0)),FALSE),"")</f>
        <v/>
      </c>
      <c r="HGA19" s="28" t="str">
        <f>IFERROR(VLOOKUP(DATE($K$1,$K$2,HGA$4),Table1[],(MATCH(Calendar!$A19,DB!$1:$1,0)),FALSE),"")</f>
        <v/>
      </c>
      <c r="HGB19" s="28" t="str">
        <f>IFERROR(VLOOKUP(DATE($K$1,$K$2,HGB$4),Table1[],(MATCH(Calendar!$A19,DB!$1:$1,0)),FALSE),"")</f>
        <v/>
      </c>
      <c r="HGC19" s="28" t="str">
        <f>IFERROR(VLOOKUP(DATE($K$1,$K$2,HGC$4),Table1[],(MATCH(Calendar!$A19,DB!$1:$1,0)),FALSE),"")</f>
        <v/>
      </c>
      <c r="HGD19" s="28" t="str">
        <f>IFERROR(VLOOKUP(DATE($K$1,$K$2,HGD$4),Table1[],(MATCH(Calendar!$A19,DB!$1:$1,0)),FALSE),"")</f>
        <v/>
      </c>
      <c r="HGE19" s="28" t="str">
        <f>IFERROR(VLOOKUP(DATE($K$1,$K$2,HGE$4),Table1[],(MATCH(Calendar!$A19,DB!$1:$1,0)),FALSE),"")</f>
        <v/>
      </c>
      <c r="HGF19" s="28" t="str">
        <f>IFERROR(VLOOKUP(DATE($K$1,$K$2,HGF$4),Table1[],(MATCH(Calendar!$A19,DB!$1:$1,0)),FALSE),"")</f>
        <v/>
      </c>
      <c r="HGG19" s="28" t="str">
        <f>IFERROR(VLOOKUP(DATE($K$1,$K$2,HGG$4),Table1[],(MATCH(Calendar!$A19,DB!$1:$1,0)),FALSE),"")</f>
        <v/>
      </c>
      <c r="HGH19" s="28" t="str">
        <f>IFERROR(VLOOKUP(DATE($K$1,$K$2,HGH$4),Table1[],(MATCH(Calendar!$A19,DB!$1:$1,0)),FALSE),"")</f>
        <v/>
      </c>
      <c r="HGI19" s="28" t="str">
        <f>IFERROR(VLOOKUP(DATE($K$1,$K$2,HGI$4),Table1[],(MATCH(Calendar!$A19,DB!$1:$1,0)),FALSE),"")</f>
        <v/>
      </c>
      <c r="HGJ19" s="28" t="str">
        <f>IFERROR(VLOOKUP(DATE($K$1,$K$2,HGJ$4),Table1[],(MATCH(Calendar!$A19,DB!$1:$1,0)),FALSE),"")</f>
        <v/>
      </c>
      <c r="HGK19" s="28" t="str">
        <f>IFERROR(VLOOKUP(DATE($K$1,$K$2,HGK$4),Table1[],(MATCH(Calendar!$A19,DB!$1:$1,0)),FALSE),"")</f>
        <v/>
      </c>
      <c r="HGL19" s="28" t="str">
        <f>IFERROR(VLOOKUP(DATE($K$1,$K$2,HGL$4),Table1[],(MATCH(Calendar!$A19,DB!$1:$1,0)),FALSE),"")</f>
        <v/>
      </c>
      <c r="HGM19" s="28" t="str">
        <f>IFERROR(VLOOKUP(DATE($K$1,$K$2,HGM$4),Table1[],(MATCH(Calendar!$A19,DB!$1:$1,0)),FALSE),"")</f>
        <v/>
      </c>
      <c r="HGN19" s="28" t="str">
        <f>IFERROR(VLOOKUP(DATE($K$1,$K$2,HGN$4),Table1[],(MATCH(Calendar!$A19,DB!$1:$1,0)),FALSE),"")</f>
        <v/>
      </c>
      <c r="HGO19" s="28" t="str">
        <f>IFERROR(VLOOKUP(DATE($K$1,$K$2,HGO$4),Table1[],(MATCH(Calendar!$A19,DB!$1:$1,0)),FALSE),"")</f>
        <v/>
      </c>
      <c r="HGP19" s="28" t="str">
        <f>IFERROR(VLOOKUP(DATE($K$1,$K$2,HGP$4),Table1[],(MATCH(Calendar!$A19,DB!$1:$1,0)),FALSE),"")</f>
        <v/>
      </c>
      <c r="HGQ19" s="28" t="str">
        <f>IFERROR(VLOOKUP(DATE($K$1,$K$2,HGQ$4),Table1[],(MATCH(Calendar!$A19,DB!$1:$1,0)),FALSE),"")</f>
        <v/>
      </c>
      <c r="HGR19" s="28" t="str">
        <f>IFERROR(VLOOKUP(DATE($K$1,$K$2,HGR$4),Table1[],(MATCH(Calendar!$A19,DB!$1:$1,0)),FALSE),"")</f>
        <v/>
      </c>
      <c r="HGS19" s="28" t="str">
        <f>IFERROR(VLOOKUP(DATE($K$1,$K$2,HGS$4),Table1[],(MATCH(Calendar!$A19,DB!$1:$1,0)),FALSE),"")</f>
        <v/>
      </c>
      <c r="HGT19" s="28" t="str">
        <f>IFERROR(VLOOKUP(DATE($K$1,$K$2,HGT$4),Table1[],(MATCH(Calendar!$A19,DB!$1:$1,0)),FALSE),"")</f>
        <v/>
      </c>
      <c r="HGU19" s="28" t="str">
        <f>IFERROR(VLOOKUP(DATE($K$1,$K$2,HGU$4),Table1[],(MATCH(Calendar!$A19,DB!$1:$1,0)),FALSE),"")</f>
        <v/>
      </c>
      <c r="HGV19" s="28" t="str">
        <f>IFERROR(VLOOKUP(DATE($K$1,$K$2,HGV$4),Table1[],(MATCH(Calendar!$A19,DB!$1:$1,0)),FALSE),"")</f>
        <v/>
      </c>
      <c r="HGW19" s="28" t="str">
        <f>IFERROR(VLOOKUP(DATE($K$1,$K$2,HGW$4),Table1[],(MATCH(Calendar!$A19,DB!$1:$1,0)),FALSE),"")</f>
        <v/>
      </c>
      <c r="HGX19" s="28" t="str">
        <f>IFERROR(VLOOKUP(DATE($K$1,$K$2,HGX$4),Table1[],(MATCH(Calendar!$A19,DB!$1:$1,0)),FALSE),"")</f>
        <v/>
      </c>
      <c r="HGY19" s="28" t="str">
        <f>IFERROR(VLOOKUP(DATE($K$1,$K$2,HGY$4),Table1[],(MATCH(Calendar!$A19,DB!$1:$1,0)),FALSE),"")</f>
        <v/>
      </c>
      <c r="HGZ19" s="28" t="str">
        <f>IFERROR(VLOOKUP(DATE($K$1,$K$2,HGZ$4),Table1[],(MATCH(Calendar!$A19,DB!$1:$1,0)),FALSE),"")</f>
        <v/>
      </c>
      <c r="HHA19" s="28" t="str">
        <f>IFERROR(VLOOKUP(DATE($K$1,$K$2,HHA$4),Table1[],(MATCH(Calendar!$A19,DB!$1:$1,0)),FALSE),"")</f>
        <v/>
      </c>
      <c r="HHB19" s="28" t="str">
        <f>IFERROR(VLOOKUP(DATE($K$1,$K$2,HHB$4),Table1[],(MATCH(Calendar!$A19,DB!$1:$1,0)),FALSE),"")</f>
        <v/>
      </c>
      <c r="HHC19" s="28" t="str">
        <f>IFERROR(VLOOKUP(DATE($K$1,$K$2,HHC$4),Table1[],(MATCH(Calendar!$A19,DB!$1:$1,0)),FALSE),"")</f>
        <v/>
      </c>
      <c r="HHD19" s="28" t="str">
        <f>IFERROR(VLOOKUP(DATE($K$1,$K$2,HHD$4),Table1[],(MATCH(Calendar!$A19,DB!$1:$1,0)),FALSE),"")</f>
        <v/>
      </c>
      <c r="HHE19" s="28" t="str">
        <f>IFERROR(VLOOKUP(DATE($K$1,$K$2,HHE$4),Table1[],(MATCH(Calendar!$A19,DB!$1:$1,0)),FALSE),"")</f>
        <v/>
      </c>
      <c r="HHF19" s="28" t="str">
        <f>IFERROR(VLOOKUP(DATE($K$1,$K$2,HHF$4),Table1[],(MATCH(Calendar!$A19,DB!$1:$1,0)),FALSE),"")</f>
        <v/>
      </c>
      <c r="HHG19" s="28" t="str">
        <f>IFERROR(VLOOKUP(DATE($K$1,$K$2,HHG$4),Table1[],(MATCH(Calendar!$A19,DB!$1:$1,0)),FALSE),"")</f>
        <v/>
      </c>
      <c r="HHH19" s="28" t="str">
        <f>IFERROR(VLOOKUP(DATE($K$1,$K$2,HHH$4),Table1[],(MATCH(Calendar!$A19,DB!$1:$1,0)),FALSE),"")</f>
        <v/>
      </c>
      <c r="HHI19" s="28" t="str">
        <f>IFERROR(VLOOKUP(DATE($K$1,$K$2,HHI$4),Table1[],(MATCH(Calendar!$A19,DB!$1:$1,0)),FALSE),"")</f>
        <v/>
      </c>
      <c r="HHJ19" s="28" t="str">
        <f>IFERROR(VLOOKUP(DATE($K$1,$K$2,HHJ$4),Table1[],(MATCH(Calendar!$A19,DB!$1:$1,0)),FALSE),"")</f>
        <v/>
      </c>
      <c r="HHK19" s="28" t="str">
        <f>IFERROR(VLOOKUP(DATE($K$1,$K$2,HHK$4),Table1[],(MATCH(Calendar!$A19,DB!$1:$1,0)),FALSE),"")</f>
        <v/>
      </c>
      <c r="HHL19" s="28" t="str">
        <f>IFERROR(VLOOKUP(DATE($K$1,$K$2,HHL$4),Table1[],(MATCH(Calendar!$A19,DB!$1:$1,0)),FALSE),"")</f>
        <v/>
      </c>
      <c r="HHM19" s="28" t="str">
        <f>IFERROR(VLOOKUP(DATE($K$1,$K$2,HHM$4),Table1[],(MATCH(Calendar!$A19,DB!$1:$1,0)),FALSE),"")</f>
        <v/>
      </c>
      <c r="HHN19" s="28" t="str">
        <f>IFERROR(VLOOKUP(DATE($K$1,$K$2,HHN$4),Table1[],(MATCH(Calendar!$A19,DB!$1:$1,0)),FALSE),"")</f>
        <v/>
      </c>
      <c r="HHO19" s="28" t="str">
        <f>IFERROR(VLOOKUP(DATE($K$1,$K$2,HHO$4),Table1[],(MATCH(Calendar!$A19,DB!$1:$1,0)),FALSE),"")</f>
        <v/>
      </c>
      <c r="HHP19" s="28" t="str">
        <f>IFERROR(VLOOKUP(DATE($K$1,$K$2,HHP$4),Table1[],(MATCH(Calendar!$A19,DB!$1:$1,0)),FALSE),"")</f>
        <v/>
      </c>
      <c r="HHQ19" s="28" t="str">
        <f>IFERROR(VLOOKUP(DATE($K$1,$K$2,HHQ$4),Table1[],(MATCH(Calendar!$A19,DB!$1:$1,0)),FALSE),"")</f>
        <v/>
      </c>
      <c r="HHR19" s="28" t="str">
        <f>IFERROR(VLOOKUP(DATE($K$1,$K$2,HHR$4),Table1[],(MATCH(Calendar!$A19,DB!$1:$1,0)),FALSE),"")</f>
        <v/>
      </c>
      <c r="HHS19" s="28" t="str">
        <f>IFERROR(VLOOKUP(DATE($K$1,$K$2,HHS$4),Table1[],(MATCH(Calendar!$A19,DB!$1:$1,0)),FALSE),"")</f>
        <v/>
      </c>
      <c r="HHT19" s="28" t="str">
        <f>IFERROR(VLOOKUP(DATE($K$1,$K$2,HHT$4),Table1[],(MATCH(Calendar!$A19,DB!$1:$1,0)),FALSE),"")</f>
        <v/>
      </c>
      <c r="HHU19" s="28" t="str">
        <f>IFERROR(VLOOKUP(DATE($K$1,$K$2,HHU$4),Table1[],(MATCH(Calendar!$A19,DB!$1:$1,0)),FALSE),"")</f>
        <v/>
      </c>
      <c r="HHV19" s="28" t="str">
        <f>IFERROR(VLOOKUP(DATE($K$1,$K$2,HHV$4),Table1[],(MATCH(Calendar!$A19,DB!$1:$1,0)),FALSE),"")</f>
        <v/>
      </c>
      <c r="HHW19" s="28" t="str">
        <f>IFERROR(VLOOKUP(DATE($K$1,$K$2,HHW$4),Table1[],(MATCH(Calendar!$A19,DB!$1:$1,0)),FALSE),"")</f>
        <v/>
      </c>
      <c r="HHX19" s="28" t="str">
        <f>IFERROR(VLOOKUP(DATE($K$1,$K$2,HHX$4),Table1[],(MATCH(Calendar!$A19,DB!$1:$1,0)),FALSE),"")</f>
        <v/>
      </c>
      <c r="HHY19" s="28" t="str">
        <f>IFERROR(VLOOKUP(DATE($K$1,$K$2,HHY$4),Table1[],(MATCH(Calendar!$A19,DB!$1:$1,0)),FALSE),"")</f>
        <v/>
      </c>
      <c r="HHZ19" s="28" t="str">
        <f>IFERROR(VLOOKUP(DATE($K$1,$K$2,HHZ$4),Table1[],(MATCH(Calendar!$A19,DB!$1:$1,0)),FALSE),"")</f>
        <v/>
      </c>
      <c r="HIA19" s="28" t="str">
        <f>IFERROR(VLOOKUP(DATE($K$1,$K$2,HIA$4),Table1[],(MATCH(Calendar!$A19,DB!$1:$1,0)),FALSE),"")</f>
        <v/>
      </c>
      <c r="HIB19" s="28" t="str">
        <f>IFERROR(VLOOKUP(DATE($K$1,$K$2,HIB$4),Table1[],(MATCH(Calendar!$A19,DB!$1:$1,0)),FALSE),"")</f>
        <v/>
      </c>
      <c r="HIC19" s="28" t="str">
        <f>IFERROR(VLOOKUP(DATE($K$1,$K$2,HIC$4),Table1[],(MATCH(Calendar!$A19,DB!$1:$1,0)),FALSE),"")</f>
        <v/>
      </c>
      <c r="HID19" s="28" t="str">
        <f>IFERROR(VLOOKUP(DATE($K$1,$K$2,HID$4),Table1[],(MATCH(Calendar!$A19,DB!$1:$1,0)),FALSE),"")</f>
        <v/>
      </c>
      <c r="HIE19" s="28" t="str">
        <f>IFERROR(VLOOKUP(DATE($K$1,$K$2,HIE$4),Table1[],(MATCH(Calendar!$A19,DB!$1:$1,0)),FALSE),"")</f>
        <v/>
      </c>
      <c r="HIF19" s="28" t="str">
        <f>IFERROR(VLOOKUP(DATE($K$1,$K$2,HIF$4),Table1[],(MATCH(Calendar!$A19,DB!$1:$1,0)),FALSE),"")</f>
        <v/>
      </c>
      <c r="HIG19" s="28" t="str">
        <f>IFERROR(VLOOKUP(DATE($K$1,$K$2,HIG$4),Table1[],(MATCH(Calendar!$A19,DB!$1:$1,0)),FALSE),"")</f>
        <v/>
      </c>
      <c r="HIH19" s="28" t="str">
        <f>IFERROR(VLOOKUP(DATE($K$1,$K$2,HIH$4),Table1[],(MATCH(Calendar!$A19,DB!$1:$1,0)),FALSE),"")</f>
        <v/>
      </c>
      <c r="HII19" s="28" t="str">
        <f>IFERROR(VLOOKUP(DATE($K$1,$K$2,HII$4),Table1[],(MATCH(Calendar!$A19,DB!$1:$1,0)),FALSE),"")</f>
        <v/>
      </c>
      <c r="HIJ19" s="28" t="str">
        <f>IFERROR(VLOOKUP(DATE($K$1,$K$2,HIJ$4),Table1[],(MATCH(Calendar!$A19,DB!$1:$1,0)),FALSE),"")</f>
        <v/>
      </c>
      <c r="HIK19" s="28" t="str">
        <f>IFERROR(VLOOKUP(DATE($K$1,$K$2,HIK$4),Table1[],(MATCH(Calendar!$A19,DB!$1:$1,0)),FALSE),"")</f>
        <v/>
      </c>
      <c r="HIL19" s="28" t="str">
        <f>IFERROR(VLOOKUP(DATE($K$1,$K$2,HIL$4),Table1[],(MATCH(Calendar!$A19,DB!$1:$1,0)),FALSE),"")</f>
        <v/>
      </c>
      <c r="HIM19" s="28" t="str">
        <f>IFERROR(VLOOKUP(DATE($K$1,$K$2,HIM$4),Table1[],(MATCH(Calendar!$A19,DB!$1:$1,0)),FALSE),"")</f>
        <v/>
      </c>
      <c r="HIN19" s="28" t="str">
        <f>IFERROR(VLOOKUP(DATE($K$1,$K$2,HIN$4),Table1[],(MATCH(Calendar!$A19,DB!$1:$1,0)),FALSE),"")</f>
        <v/>
      </c>
      <c r="HIO19" s="28" t="str">
        <f>IFERROR(VLOOKUP(DATE($K$1,$K$2,HIO$4),Table1[],(MATCH(Calendar!$A19,DB!$1:$1,0)),FALSE),"")</f>
        <v/>
      </c>
      <c r="HIP19" s="28" t="str">
        <f>IFERROR(VLOOKUP(DATE($K$1,$K$2,HIP$4),Table1[],(MATCH(Calendar!$A19,DB!$1:$1,0)),FALSE),"")</f>
        <v/>
      </c>
      <c r="HIQ19" s="28" t="str">
        <f>IFERROR(VLOOKUP(DATE($K$1,$K$2,HIQ$4),Table1[],(MATCH(Calendar!$A19,DB!$1:$1,0)),FALSE),"")</f>
        <v/>
      </c>
      <c r="HIR19" s="28" t="str">
        <f>IFERROR(VLOOKUP(DATE($K$1,$K$2,HIR$4),Table1[],(MATCH(Calendar!$A19,DB!$1:$1,0)),FALSE),"")</f>
        <v/>
      </c>
      <c r="HIS19" s="28" t="str">
        <f>IFERROR(VLOOKUP(DATE($K$1,$K$2,HIS$4),Table1[],(MATCH(Calendar!$A19,DB!$1:$1,0)),FALSE),"")</f>
        <v/>
      </c>
      <c r="HIT19" s="28" t="str">
        <f>IFERROR(VLOOKUP(DATE($K$1,$K$2,HIT$4),Table1[],(MATCH(Calendar!$A19,DB!$1:$1,0)),FALSE),"")</f>
        <v/>
      </c>
      <c r="HIU19" s="28" t="str">
        <f>IFERROR(VLOOKUP(DATE($K$1,$K$2,HIU$4),Table1[],(MATCH(Calendar!$A19,DB!$1:$1,0)),FALSE),"")</f>
        <v/>
      </c>
      <c r="HIV19" s="28" t="str">
        <f>IFERROR(VLOOKUP(DATE($K$1,$K$2,HIV$4),Table1[],(MATCH(Calendar!$A19,DB!$1:$1,0)),FALSE),"")</f>
        <v/>
      </c>
      <c r="HIW19" s="28" t="str">
        <f>IFERROR(VLOOKUP(DATE($K$1,$K$2,HIW$4),Table1[],(MATCH(Calendar!$A19,DB!$1:$1,0)),FALSE),"")</f>
        <v/>
      </c>
      <c r="HIX19" s="28" t="str">
        <f>IFERROR(VLOOKUP(DATE($K$1,$K$2,HIX$4),Table1[],(MATCH(Calendar!$A19,DB!$1:$1,0)),FALSE),"")</f>
        <v/>
      </c>
      <c r="HIY19" s="28" t="str">
        <f>IFERROR(VLOOKUP(DATE($K$1,$K$2,HIY$4),Table1[],(MATCH(Calendar!$A19,DB!$1:$1,0)),FALSE),"")</f>
        <v/>
      </c>
      <c r="HIZ19" s="28" t="str">
        <f>IFERROR(VLOOKUP(DATE($K$1,$K$2,HIZ$4),Table1[],(MATCH(Calendar!$A19,DB!$1:$1,0)),FALSE),"")</f>
        <v/>
      </c>
      <c r="HJA19" s="28" t="str">
        <f>IFERROR(VLOOKUP(DATE($K$1,$K$2,HJA$4),Table1[],(MATCH(Calendar!$A19,DB!$1:$1,0)),FALSE),"")</f>
        <v/>
      </c>
      <c r="HJB19" s="28" t="str">
        <f>IFERROR(VLOOKUP(DATE($K$1,$K$2,HJB$4),Table1[],(MATCH(Calendar!$A19,DB!$1:$1,0)),FALSE),"")</f>
        <v/>
      </c>
      <c r="HJC19" s="28" t="str">
        <f>IFERROR(VLOOKUP(DATE($K$1,$K$2,HJC$4),Table1[],(MATCH(Calendar!$A19,DB!$1:$1,0)),FALSE),"")</f>
        <v/>
      </c>
      <c r="HJD19" s="28" t="str">
        <f>IFERROR(VLOOKUP(DATE($K$1,$K$2,HJD$4),Table1[],(MATCH(Calendar!$A19,DB!$1:$1,0)),FALSE),"")</f>
        <v/>
      </c>
      <c r="HJE19" s="28" t="str">
        <f>IFERROR(VLOOKUP(DATE($K$1,$K$2,HJE$4),Table1[],(MATCH(Calendar!$A19,DB!$1:$1,0)),FALSE),"")</f>
        <v/>
      </c>
      <c r="HJF19" s="28" t="str">
        <f>IFERROR(VLOOKUP(DATE($K$1,$K$2,HJF$4),Table1[],(MATCH(Calendar!$A19,DB!$1:$1,0)),FALSE),"")</f>
        <v/>
      </c>
      <c r="HJG19" s="28" t="str">
        <f>IFERROR(VLOOKUP(DATE($K$1,$K$2,HJG$4),Table1[],(MATCH(Calendar!$A19,DB!$1:$1,0)),FALSE),"")</f>
        <v/>
      </c>
      <c r="HJH19" s="28" t="str">
        <f>IFERROR(VLOOKUP(DATE($K$1,$K$2,HJH$4),Table1[],(MATCH(Calendar!$A19,DB!$1:$1,0)),FALSE),"")</f>
        <v/>
      </c>
      <c r="HJI19" s="28" t="str">
        <f>IFERROR(VLOOKUP(DATE($K$1,$K$2,HJI$4),Table1[],(MATCH(Calendar!$A19,DB!$1:$1,0)),FALSE),"")</f>
        <v/>
      </c>
      <c r="HJJ19" s="28" t="str">
        <f>IFERROR(VLOOKUP(DATE($K$1,$K$2,HJJ$4),Table1[],(MATCH(Calendar!$A19,DB!$1:$1,0)),FALSE),"")</f>
        <v/>
      </c>
      <c r="HJK19" s="28" t="str">
        <f>IFERROR(VLOOKUP(DATE($K$1,$K$2,HJK$4),Table1[],(MATCH(Calendar!$A19,DB!$1:$1,0)),FALSE),"")</f>
        <v/>
      </c>
      <c r="HJL19" s="28" t="str">
        <f>IFERROR(VLOOKUP(DATE($K$1,$K$2,HJL$4),Table1[],(MATCH(Calendar!$A19,DB!$1:$1,0)),FALSE),"")</f>
        <v/>
      </c>
      <c r="HJM19" s="28" t="str">
        <f>IFERROR(VLOOKUP(DATE($K$1,$K$2,HJM$4),Table1[],(MATCH(Calendar!$A19,DB!$1:$1,0)),FALSE),"")</f>
        <v/>
      </c>
      <c r="HJN19" s="28" t="str">
        <f>IFERROR(VLOOKUP(DATE($K$1,$K$2,HJN$4),Table1[],(MATCH(Calendar!$A19,DB!$1:$1,0)),FALSE),"")</f>
        <v/>
      </c>
      <c r="HJO19" s="28" t="str">
        <f>IFERROR(VLOOKUP(DATE($K$1,$K$2,HJO$4),Table1[],(MATCH(Calendar!$A19,DB!$1:$1,0)),FALSE),"")</f>
        <v/>
      </c>
      <c r="HJP19" s="28" t="str">
        <f>IFERROR(VLOOKUP(DATE($K$1,$K$2,HJP$4),Table1[],(MATCH(Calendar!$A19,DB!$1:$1,0)),FALSE),"")</f>
        <v/>
      </c>
      <c r="HJQ19" s="28" t="str">
        <f>IFERROR(VLOOKUP(DATE($K$1,$K$2,HJQ$4),Table1[],(MATCH(Calendar!$A19,DB!$1:$1,0)),FALSE),"")</f>
        <v/>
      </c>
      <c r="HJR19" s="28" t="str">
        <f>IFERROR(VLOOKUP(DATE($K$1,$K$2,HJR$4),Table1[],(MATCH(Calendar!$A19,DB!$1:$1,0)),FALSE),"")</f>
        <v/>
      </c>
      <c r="HJS19" s="28" t="str">
        <f>IFERROR(VLOOKUP(DATE($K$1,$K$2,HJS$4),Table1[],(MATCH(Calendar!$A19,DB!$1:$1,0)),FALSE),"")</f>
        <v/>
      </c>
      <c r="HJT19" s="28" t="str">
        <f>IFERROR(VLOOKUP(DATE($K$1,$K$2,HJT$4),Table1[],(MATCH(Calendar!$A19,DB!$1:$1,0)),FALSE),"")</f>
        <v/>
      </c>
      <c r="HJU19" s="28" t="str">
        <f>IFERROR(VLOOKUP(DATE($K$1,$K$2,HJU$4),Table1[],(MATCH(Calendar!$A19,DB!$1:$1,0)),FALSE),"")</f>
        <v/>
      </c>
      <c r="HJV19" s="28" t="str">
        <f>IFERROR(VLOOKUP(DATE($K$1,$K$2,HJV$4),Table1[],(MATCH(Calendar!$A19,DB!$1:$1,0)),FALSE),"")</f>
        <v/>
      </c>
      <c r="HJW19" s="28" t="str">
        <f>IFERROR(VLOOKUP(DATE($K$1,$K$2,HJW$4),Table1[],(MATCH(Calendar!$A19,DB!$1:$1,0)),FALSE),"")</f>
        <v/>
      </c>
      <c r="HJX19" s="28" t="str">
        <f>IFERROR(VLOOKUP(DATE($K$1,$K$2,HJX$4),Table1[],(MATCH(Calendar!$A19,DB!$1:$1,0)),FALSE),"")</f>
        <v/>
      </c>
      <c r="HJY19" s="28" t="str">
        <f>IFERROR(VLOOKUP(DATE($K$1,$K$2,HJY$4),Table1[],(MATCH(Calendar!$A19,DB!$1:$1,0)),FALSE),"")</f>
        <v/>
      </c>
      <c r="HJZ19" s="28" t="str">
        <f>IFERROR(VLOOKUP(DATE($K$1,$K$2,HJZ$4),Table1[],(MATCH(Calendar!$A19,DB!$1:$1,0)),FALSE),"")</f>
        <v/>
      </c>
      <c r="HKA19" s="28" t="str">
        <f>IFERROR(VLOOKUP(DATE($K$1,$K$2,HKA$4),Table1[],(MATCH(Calendar!$A19,DB!$1:$1,0)),FALSE),"")</f>
        <v/>
      </c>
      <c r="HKB19" s="28" t="str">
        <f>IFERROR(VLOOKUP(DATE($K$1,$K$2,HKB$4),Table1[],(MATCH(Calendar!$A19,DB!$1:$1,0)),FALSE),"")</f>
        <v/>
      </c>
      <c r="HKC19" s="28" t="str">
        <f>IFERROR(VLOOKUP(DATE($K$1,$K$2,HKC$4),Table1[],(MATCH(Calendar!$A19,DB!$1:$1,0)),FALSE),"")</f>
        <v/>
      </c>
      <c r="HKD19" s="28" t="str">
        <f>IFERROR(VLOOKUP(DATE($K$1,$K$2,HKD$4),Table1[],(MATCH(Calendar!$A19,DB!$1:$1,0)),FALSE),"")</f>
        <v/>
      </c>
      <c r="HKE19" s="28" t="str">
        <f>IFERROR(VLOOKUP(DATE($K$1,$K$2,HKE$4),Table1[],(MATCH(Calendar!$A19,DB!$1:$1,0)),FALSE),"")</f>
        <v/>
      </c>
      <c r="HKF19" s="28" t="str">
        <f>IFERROR(VLOOKUP(DATE($K$1,$K$2,HKF$4),Table1[],(MATCH(Calendar!$A19,DB!$1:$1,0)),FALSE),"")</f>
        <v/>
      </c>
      <c r="HKG19" s="28" t="str">
        <f>IFERROR(VLOOKUP(DATE($K$1,$K$2,HKG$4),Table1[],(MATCH(Calendar!$A19,DB!$1:$1,0)),FALSE),"")</f>
        <v/>
      </c>
      <c r="HKH19" s="28" t="str">
        <f>IFERROR(VLOOKUP(DATE($K$1,$K$2,HKH$4),Table1[],(MATCH(Calendar!$A19,DB!$1:$1,0)),FALSE),"")</f>
        <v/>
      </c>
      <c r="HKI19" s="28" t="str">
        <f>IFERROR(VLOOKUP(DATE($K$1,$K$2,HKI$4),Table1[],(MATCH(Calendar!$A19,DB!$1:$1,0)),FALSE),"")</f>
        <v/>
      </c>
      <c r="HKJ19" s="28" t="str">
        <f>IFERROR(VLOOKUP(DATE($K$1,$K$2,HKJ$4),Table1[],(MATCH(Calendar!$A19,DB!$1:$1,0)),FALSE),"")</f>
        <v/>
      </c>
      <c r="HKK19" s="28" t="str">
        <f>IFERROR(VLOOKUP(DATE($K$1,$K$2,HKK$4),Table1[],(MATCH(Calendar!$A19,DB!$1:$1,0)),FALSE),"")</f>
        <v/>
      </c>
      <c r="HKL19" s="28" t="str">
        <f>IFERROR(VLOOKUP(DATE($K$1,$K$2,HKL$4),Table1[],(MATCH(Calendar!$A19,DB!$1:$1,0)),FALSE),"")</f>
        <v/>
      </c>
      <c r="HKM19" s="28" t="str">
        <f>IFERROR(VLOOKUP(DATE($K$1,$K$2,HKM$4),Table1[],(MATCH(Calendar!$A19,DB!$1:$1,0)),FALSE),"")</f>
        <v/>
      </c>
      <c r="HKN19" s="28" t="str">
        <f>IFERROR(VLOOKUP(DATE($K$1,$K$2,HKN$4),Table1[],(MATCH(Calendar!$A19,DB!$1:$1,0)),FALSE),"")</f>
        <v/>
      </c>
      <c r="HKO19" s="28" t="str">
        <f>IFERROR(VLOOKUP(DATE($K$1,$K$2,HKO$4),Table1[],(MATCH(Calendar!$A19,DB!$1:$1,0)),FALSE),"")</f>
        <v/>
      </c>
      <c r="HKP19" s="28" t="str">
        <f>IFERROR(VLOOKUP(DATE($K$1,$K$2,HKP$4),Table1[],(MATCH(Calendar!$A19,DB!$1:$1,0)),FALSE),"")</f>
        <v/>
      </c>
      <c r="HKQ19" s="28" t="str">
        <f>IFERROR(VLOOKUP(DATE($K$1,$K$2,HKQ$4),Table1[],(MATCH(Calendar!$A19,DB!$1:$1,0)),FALSE),"")</f>
        <v/>
      </c>
      <c r="HKR19" s="28" t="str">
        <f>IFERROR(VLOOKUP(DATE($K$1,$K$2,HKR$4),Table1[],(MATCH(Calendar!$A19,DB!$1:$1,0)),FALSE),"")</f>
        <v/>
      </c>
      <c r="HKS19" s="28" t="str">
        <f>IFERROR(VLOOKUP(DATE($K$1,$K$2,HKS$4),Table1[],(MATCH(Calendar!$A19,DB!$1:$1,0)),FALSE),"")</f>
        <v/>
      </c>
      <c r="HKT19" s="28" t="str">
        <f>IFERROR(VLOOKUP(DATE($K$1,$K$2,HKT$4),Table1[],(MATCH(Calendar!$A19,DB!$1:$1,0)),FALSE),"")</f>
        <v/>
      </c>
      <c r="HKU19" s="28" t="str">
        <f>IFERROR(VLOOKUP(DATE($K$1,$K$2,HKU$4),Table1[],(MATCH(Calendar!$A19,DB!$1:$1,0)),FALSE),"")</f>
        <v/>
      </c>
      <c r="HKV19" s="28" t="str">
        <f>IFERROR(VLOOKUP(DATE($K$1,$K$2,HKV$4),Table1[],(MATCH(Calendar!$A19,DB!$1:$1,0)),FALSE),"")</f>
        <v/>
      </c>
      <c r="HKW19" s="28" t="str">
        <f>IFERROR(VLOOKUP(DATE($K$1,$K$2,HKW$4),Table1[],(MATCH(Calendar!$A19,DB!$1:$1,0)),FALSE),"")</f>
        <v/>
      </c>
      <c r="HKX19" s="28" t="str">
        <f>IFERROR(VLOOKUP(DATE($K$1,$K$2,HKX$4),Table1[],(MATCH(Calendar!$A19,DB!$1:$1,0)),FALSE),"")</f>
        <v/>
      </c>
      <c r="HKY19" s="28" t="str">
        <f>IFERROR(VLOOKUP(DATE($K$1,$K$2,HKY$4),Table1[],(MATCH(Calendar!$A19,DB!$1:$1,0)),FALSE),"")</f>
        <v/>
      </c>
      <c r="HKZ19" s="28" t="str">
        <f>IFERROR(VLOOKUP(DATE($K$1,$K$2,HKZ$4),Table1[],(MATCH(Calendar!$A19,DB!$1:$1,0)),FALSE),"")</f>
        <v/>
      </c>
      <c r="HLA19" s="28" t="str">
        <f>IFERROR(VLOOKUP(DATE($K$1,$K$2,HLA$4),Table1[],(MATCH(Calendar!$A19,DB!$1:$1,0)),FALSE),"")</f>
        <v/>
      </c>
      <c r="HLB19" s="28" t="str">
        <f>IFERROR(VLOOKUP(DATE($K$1,$K$2,HLB$4),Table1[],(MATCH(Calendar!$A19,DB!$1:$1,0)),FALSE),"")</f>
        <v/>
      </c>
      <c r="HLC19" s="28" t="str">
        <f>IFERROR(VLOOKUP(DATE($K$1,$K$2,HLC$4),Table1[],(MATCH(Calendar!$A19,DB!$1:$1,0)),FALSE),"")</f>
        <v/>
      </c>
      <c r="HLD19" s="28" t="str">
        <f>IFERROR(VLOOKUP(DATE($K$1,$K$2,HLD$4),Table1[],(MATCH(Calendar!$A19,DB!$1:$1,0)),FALSE),"")</f>
        <v/>
      </c>
      <c r="HLE19" s="28" t="str">
        <f>IFERROR(VLOOKUP(DATE($K$1,$K$2,HLE$4),Table1[],(MATCH(Calendar!$A19,DB!$1:$1,0)),FALSE),"")</f>
        <v/>
      </c>
      <c r="HLF19" s="28" t="str">
        <f>IFERROR(VLOOKUP(DATE($K$1,$K$2,HLF$4),Table1[],(MATCH(Calendar!$A19,DB!$1:$1,0)),FALSE),"")</f>
        <v/>
      </c>
      <c r="HLG19" s="28" t="str">
        <f>IFERROR(VLOOKUP(DATE($K$1,$K$2,HLG$4),Table1[],(MATCH(Calendar!$A19,DB!$1:$1,0)),FALSE),"")</f>
        <v/>
      </c>
      <c r="HLH19" s="28" t="str">
        <f>IFERROR(VLOOKUP(DATE($K$1,$K$2,HLH$4),Table1[],(MATCH(Calendar!$A19,DB!$1:$1,0)),FALSE),"")</f>
        <v/>
      </c>
      <c r="HLI19" s="28" t="str">
        <f>IFERROR(VLOOKUP(DATE($K$1,$K$2,HLI$4),Table1[],(MATCH(Calendar!$A19,DB!$1:$1,0)),FALSE),"")</f>
        <v/>
      </c>
      <c r="HLJ19" s="28" t="str">
        <f>IFERROR(VLOOKUP(DATE($K$1,$K$2,HLJ$4),Table1[],(MATCH(Calendar!$A19,DB!$1:$1,0)),FALSE),"")</f>
        <v/>
      </c>
      <c r="HLK19" s="28" t="str">
        <f>IFERROR(VLOOKUP(DATE($K$1,$K$2,HLK$4),Table1[],(MATCH(Calendar!$A19,DB!$1:$1,0)),FALSE),"")</f>
        <v/>
      </c>
      <c r="HLL19" s="28" t="str">
        <f>IFERROR(VLOOKUP(DATE($K$1,$K$2,HLL$4),Table1[],(MATCH(Calendar!$A19,DB!$1:$1,0)),FALSE),"")</f>
        <v/>
      </c>
      <c r="HLM19" s="28" t="str">
        <f>IFERROR(VLOOKUP(DATE($K$1,$K$2,HLM$4),Table1[],(MATCH(Calendar!$A19,DB!$1:$1,0)),FALSE),"")</f>
        <v/>
      </c>
      <c r="HLN19" s="28" t="str">
        <f>IFERROR(VLOOKUP(DATE($K$1,$K$2,HLN$4),Table1[],(MATCH(Calendar!$A19,DB!$1:$1,0)),FALSE),"")</f>
        <v/>
      </c>
      <c r="HLO19" s="28" t="str">
        <f>IFERROR(VLOOKUP(DATE($K$1,$K$2,HLO$4),Table1[],(MATCH(Calendar!$A19,DB!$1:$1,0)),FALSE),"")</f>
        <v/>
      </c>
      <c r="HLP19" s="28" t="str">
        <f>IFERROR(VLOOKUP(DATE($K$1,$K$2,HLP$4),Table1[],(MATCH(Calendar!$A19,DB!$1:$1,0)),FALSE),"")</f>
        <v/>
      </c>
      <c r="HLQ19" s="28" t="str">
        <f>IFERROR(VLOOKUP(DATE($K$1,$K$2,HLQ$4),Table1[],(MATCH(Calendar!$A19,DB!$1:$1,0)),FALSE),"")</f>
        <v/>
      </c>
      <c r="HLR19" s="28" t="str">
        <f>IFERROR(VLOOKUP(DATE($K$1,$K$2,HLR$4),Table1[],(MATCH(Calendar!$A19,DB!$1:$1,0)),FALSE),"")</f>
        <v/>
      </c>
      <c r="HLS19" s="28" t="str">
        <f>IFERROR(VLOOKUP(DATE($K$1,$K$2,HLS$4),Table1[],(MATCH(Calendar!$A19,DB!$1:$1,0)),FALSE),"")</f>
        <v/>
      </c>
      <c r="HLT19" s="28" t="str">
        <f>IFERROR(VLOOKUP(DATE($K$1,$K$2,HLT$4),Table1[],(MATCH(Calendar!$A19,DB!$1:$1,0)),FALSE),"")</f>
        <v/>
      </c>
      <c r="HLU19" s="28" t="str">
        <f>IFERROR(VLOOKUP(DATE($K$1,$K$2,HLU$4),Table1[],(MATCH(Calendar!$A19,DB!$1:$1,0)),FALSE),"")</f>
        <v/>
      </c>
      <c r="HLV19" s="28" t="str">
        <f>IFERROR(VLOOKUP(DATE($K$1,$K$2,HLV$4),Table1[],(MATCH(Calendar!$A19,DB!$1:$1,0)),FALSE),"")</f>
        <v/>
      </c>
      <c r="HLW19" s="28" t="str">
        <f>IFERROR(VLOOKUP(DATE($K$1,$K$2,HLW$4),Table1[],(MATCH(Calendar!$A19,DB!$1:$1,0)),FALSE),"")</f>
        <v/>
      </c>
      <c r="HLX19" s="28" t="str">
        <f>IFERROR(VLOOKUP(DATE($K$1,$K$2,HLX$4),Table1[],(MATCH(Calendar!$A19,DB!$1:$1,0)),FALSE),"")</f>
        <v/>
      </c>
      <c r="HLY19" s="28" t="str">
        <f>IFERROR(VLOOKUP(DATE($K$1,$K$2,HLY$4),Table1[],(MATCH(Calendar!$A19,DB!$1:$1,0)),FALSE),"")</f>
        <v/>
      </c>
      <c r="HLZ19" s="28" t="str">
        <f>IFERROR(VLOOKUP(DATE($K$1,$K$2,HLZ$4),Table1[],(MATCH(Calendar!$A19,DB!$1:$1,0)),FALSE),"")</f>
        <v/>
      </c>
      <c r="HMA19" s="28" t="str">
        <f>IFERROR(VLOOKUP(DATE($K$1,$K$2,HMA$4),Table1[],(MATCH(Calendar!$A19,DB!$1:$1,0)),FALSE),"")</f>
        <v/>
      </c>
      <c r="HMB19" s="28" t="str">
        <f>IFERROR(VLOOKUP(DATE($K$1,$K$2,HMB$4),Table1[],(MATCH(Calendar!$A19,DB!$1:$1,0)),FALSE),"")</f>
        <v/>
      </c>
      <c r="HMC19" s="28" t="str">
        <f>IFERROR(VLOOKUP(DATE($K$1,$K$2,HMC$4),Table1[],(MATCH(Calendar!$A19,DB!$1:$1,0)),FALSE),"")</f>
        <v/>
      </c>
      <c r="HMD19" s="28" t="str">
        <f>IFERROR(VLOOKUP(DATE($K$1,$K$2,HMD$4),Table1[],(MATCH(Calendar!$A19,DB!$1:$1,0)),FALSE),"")</f>
        <v/>
      </c>
      <c r="HME19" s="28" t="str">
        <f>IFERROR(VLOOKUP(DATE($K$1,$K$2,HME$4),Table1[],(MATCH(Calendar!$A19,DB!$1:$1,0)),FALSE),"")</f>
        <v/>
      </c>
      <c r="HMF19" s="28" t="str">
        <f>IFERROR(VLOOKUP(DATE($K$1,$K$2,HMF$4),Table1[],(MATCH(Calendar!$A19,DB!$1:$1,0)),FALSE),"")</f>
        <v/>
      </c>
      <c r="HMG19" s="28" t="str">
        <f>IFERROR(VLOOKUP(DATE($K$1,$K$2,HMG$4),Table1[],(MATCH(Calendar!$A19,DB!$1:$1,0)),FALSE),"")</f>
        <v/>
      </c>
      <c r="HMH19" s="28" t="str">
        <f>IFERROR(VLOOKUP(DATE($K$1,$K$2,HMH$4),Table1[],(MATCH(Calendar!$A19,DB!$1:$1,0)),FALSE),"")</f>
        <v/>
      </c>
      <c r="HMI19" s="28" t="str">
        <f>IFERROR(VLOOKUP(DATE($K$1,$K$2,HMI$4),Table1[],(MATCH(Calendar!$A19,DB!$1:$1,0)),FALSE),"")</f>
        <v/>
      </c>
      <c r="HMJ19" s="28" t="str">
        <f>IFERROR(VLOOKUP(DATE($K$1,$K$2,HMJ$4),Table1[],(MATCH(Calendar!$A19,DB!$1:$1,0)),FALSE),"")</f>
        <v/>
      </c>
      <c r="HMK19" s="28" t="str">
        <f>IFERROR(VLOOKUP(DATE($K$1,$K$2,HMK$4),Table1[],(MATCH(Calendar!$A19,DB!$1:$1,0)),FALSE),"")</f>
        <v/>
      </c>
      <c r="HML19" s="28" t="str">
        <f>IFERROR(VLOOKUP(DATE($K$1,$K$2,HML$4),Table1[],(MATCH(Calendar!$A19,DB!$1:$1,0)),FALSE),"")</f>
        <v/>
      </c>
      <c r="HMM19" s="28" t="str">
        <f>IFERROR(VLOOKUP(DATE($K$1,$K$2,HMM$4),Table1[],(MATCH(Calendar!$A19,DB!$1:$1,0)),FALSE),"")</f>
        <v/>
      </c>
      <c r="HMN19" s="28" t="str">
        <f>IFERROR(VLOOKUP(DATE($K$1,$K$2,HMN$4),Table1[],(MATCH(Calendar!$A19,DB!$1:$1,0)),FALSE),"")</f>
        <v/>
      </c>
      <c r="HMO19" s="28" t="str">
        <f>IFERROR(VLOOKUP(DATE($K$1,$K$2,HMO$4),Table1[],(MATCH(Calendar!$A19,DB!$1:$1,0)),FALSE),"")</f>
        <v/>
      </c>
      <c r="HMP19" s="28" t="str">
        <f>IFERROR(VLOOKUP(DATE($K$1,$K$2,HMP$4),Table1[],(MATCH(Calendar!$A19,DB!$1:$1,0)),FALSE),"")</f>
        <v/>
      </c>
      <c r="HMQ19" s="28" t="str">
        <f>IFERROR(VLOOKUP(DATE($K$1,$K$2,HMQ$4),Table1[],(MATCH(Calendar!$A19,DB!$1:$1,0)),FALSE),"")</f>
        <v/>
      </c>
      <c r="HMR19" s="28" t="str">
        <f>IFERROR(VLOOKUP(DATE($K$1,$K$2,HMR$4),Table1[],(MATCH(Calendar!$A19,DB!$1:$1,0)),FALSE),"")</f>
        <v/>
      </c>
      <c r="HMS19" s="28" t="str">
        <f>IFERROR(VLOOKUP(DATE($K$1,$K$2,HMS$4),Table1[],(MATCH(Calendar!$A19,DB!$1:$1,0)),FALSE),"")</f>
        <v/>
      </c>
      <c r="HMT19" s="28" t="str">
        <f>IFERROR(VLOOKUP(DATE($K$1,$K$2,HMT$4),Table1[],(MATCH(Calendar!$A19,DB!$1:$1,0)),FALSE),"")</f>
        <v/>
      </c>
      <c r="HMU19" s="28" t="str">
        <f>IFERROR(VLOOKUP(DATE($K$1,$K$2,HMU$4),Table1[],(MATCH(Calendar!$A19,DB!$1:$1,0)),FALSE),"")</f>
        <v/>
      </c>
      <c r="HMV19" s="28" t="str">
        <f>IFERROR(VLOOKUP(DATE($K$1,$K$2,HMV$4),Table1[],(MATCH(Calendar!$A19,DB!$1:$1,0)),FALSE),"")</f>
        <v/>
      </c>
      <c r="HMW19" s="28" t="str">
        <f>IFERROR(VLOOKUP(DATE($K$1,$K$2,HMW$4),Table1[],(MATCH(Calendar!$A19,DB!$1:$1,0)),FALSE),"")</f>
        <v/>
      </c>
      <c r="HMX19" s="28" t="str">
        <f>IFERROR(VLOOKUP(DATE($K$1,$K$2,HMX$4),Table1[],(MATCH(Calendar!$A19,DB!$1:$1,0)),FALSE),"")</f>
        <v/>
      </c>
      <c r="HMY19" s="28" t="str">
        <f>IFERROR(VLOOKUP(DATE($K$1,$K$2,HMY$4),Table1[],(MATCH(Calendar!$A19,DB!$1:$1,0)),FALSE),"")</f>
        <v/>
      </c>
      <c r="HMZ19" s="28" t="str">
        <f>IFERROR(VLOOKUP(DATE($K$1,$K$2,HMZ$4),Table1[],(MATCH(Calendar!$A19,DB!$1:$1,0)),FALSE),"")</f>
        <v/>
      </c>
      <c r="HNA19" s="28" t="str">
        <f>IFERROR(VLOOKUP(DATE($K$1,$K$2,HNA$4),Table1[],(MATCH(Calendar!$A19,DB!$1:$1,0)),FALSE),"")</f>
        <v/>
      </c>
      <c r="HNB19" s="28" t="str">
        <f>IFERROR(VLOOKUP(DATE($K$1,$K$2,HNB$4),Table1[],(MATCH(Calendar!$A19,DB!$1:$1,0)),FALSE),"")</f>
        <v/>
      </c>
      <c r="HNC19" s="28" t="str">
        <f>IFERROR(VLOOKUP(DATE($K$1,$K$2,HNC$4),Table1[],(MATCH(Calendar!$A19,DB!$1:$1,0)),FALSE),"")</f>
        <v/>
      </c>
      <c r="HND19" s="28" t="str">
        <f>IFERROR(VLOOKUP(DATE($K$1,$K$2,HND$4),Table1[],(MATCH(Calendar!$A19,DB!$1:$1,0)),FALSE),"")</f>
        <v/>
      </c>
      <c r="HNE19" s="28" t="str">
        <f>IFERROR(VLOOKUP(DATE($K$1,$K$2,HNE$4),Table1[],(MATCH(Calendar!$A19,DB!$1:$1,0)),FALSE),"")</f>
        <v/>
      </c>
      <c r="HNF19" s="28" t="str">
        <f>IFERROR(VLOOKUP(DATE($K$1,$K$2,HNF$4),Table1[],(MATCH(Calendar!$A19,DB!$1:$1,0)),FALSE),"")</f>
        <v/>
      </c>
      <c r="HNG19" s="28" t="str">
        <f>IFERROR(VLOOKUP(DATE($K$1,$K$2,HNG$4),Table1[],(MATCH(Calendar!$A19,DB!$1:$1,0)),FALSE),"")</f>
        <v/>
      </c>
      <c r="HNH19" s="28" t="str">
        <f>IFERROR(VLOOKUP(DATE($K$1,$K$2,HNH$4),Table1[],(MATCH(Calendar!$A19,DB!$1:$1,0)),FALSE),"")</f>
        <v/>
      </c>
      <c r="HNI19" s="28" t="str">
        <f>IFERROR(VLOOKUP(DATE($K$1,$K$2,HNI$4),Table1[],(MATCH(Calendar!$A19,DB!$1:$1,0)),FALSE),"")</f>
        <v/>
      </c>
      <c r="HNJ19" s="28" t="str">
        <f>IFERROR(VLOOKUP(DATE($K$1,$K$2,HNJ$4),Table1[],(MATCH(Calendar!$A19,DB!$1:$1,0)),FALSE),"")</f>
        <v/>
      </c>
      <c r="HNK19" s="28" t="str">
        <f>IFERROR(VLOOKUP(DATE($K$1,$K$2,HNK$4),Table1[],(MATCH(Calendar!$A19,DB!$1:$1,0)),FALSE),"")</f>
        <v/>
      </c>
      <c r="HNL19" s="28" t="str">
        <f>IFERROR(VLOOKUP(DATE($K$1,$K$2,HNL$4),Table1[],(MATCH(Calendar!$A19,DB!$1:$1,0)),FALSE),"")</f>
        <v/>
      </c>
      <c r="HNM19" s="28" t="str">
        <f>IFERROR(VLOOKUP(DATE($K$1,$K$2,HNM$4),Table1[],(MATCH(Calendar!$A19,DB!$1:$1,0)),FALSE),"")</f>
        <v/>
      </c>
      <c r="HNN19" s="28" t="str">
        <f>IFERROR(VLOOKUP(DATE($K$1,$K$2,HNN$4),Table1[],(MATCH(Calendar!$A19,DB!$1:$1,0)),FALSE),"")</f>
        <v/>
      </c>
      <c r="HNO19" s="28" t="str">
        <f>IFERROR(VLOOKUP(DATE($K$1,$K$2,HNO$4),Table1[],(MATCH(Calendar!$A19,DB!$1:$1,0)),FALSE),"")</f>
        <v/>
      </c>
      <c r="HNP19" s="28" t="str">
        <f>IFERROR(VLOOKUP(DATE($K$1,$K$2,HNP$4),Table1[],(MATCH(Calendar!$A19,DB!$1:$1,0)),FALSE),"")</f>
        <v/>
      </c>
      <c r="HNQ19" s="28" t="str">
        <f>IFERROR(VLOOKUP(DATE($K$1,$K$2,HNQ$4),Table1[],(MATCH(Calendar!$A19,DB!$1:$1,0)),FALSE),"")</f>
        <v/>
      </c>
      <c r="HNR19" s="28" t="str">
        <f>IFERROR(VLOOKUP(DATE($K$1,$K$2,HNR$4),Table1[],(MATCH(Calendar!$A19,DB!$1:$1,0)),FALSE),"")</f>
        <v/>
      </c>
      <c r="HNS19" s="28" t="str">
        <f>IFERROR(VLOOKUP(DATE($K$1,$K$2,HNS$4),Table1[],(MATCH(Calendar!$A19,DB!$1:$1,0)),FALSE),"")</f>
        <v/>
      </c>
      <c r="HNT19" s="28" t="str">
        <f>IFERROR(VLOOKUP(DATE($K$1,$K$2,HNT$4),Table1[],(MATCH(Calendar!$A19,DB!$1:$1,0)),FALSE),"")</f>
        <v/>
      </c>
      <c r="HNU19" s="28" t="str">
        <f>IFERROR(VLOOKUP(DATE($K$1,$K$2,HNU$4),Table1[],(MATCH(Calendar!$A19,DB!$1:$1,0)),FALSE),"")</f>
        <v/>
      </c>
      <c r="HNV19" s="28" t="str">
        <f>IFERROR(VLOOKUP(DATE($K$1,$K$2,HNV$4),Table1[],(MATCH(Calendar!$A19,DB!$1:$1,0)),FALSE),"")</f>
        <v/>
      </c>
      <c r="HNW19" s="28" t="str">
        <f>IFERROR(VLOOKUP(DATE($K$1,$K$2,HNW$4),Table1[],(MATCH(Calendar!$A19,DB!$1:$1,0)),FALSE),"")</f>
        <v/>
      </c>
      <c r="HNX19" s="28" t="str">
        <f>IFERROR(VLOOKUP(DATE($K$1,$K$2,HNX$4),Table1[],(MATCH(Calendar!$A19,DB!$1:$1,0)),FALSE),"")</f>
        <v/>
      </c>
      <c r="HNY19" s="28" t="str">
        <f>IFERROR(VLOOKUP(DATE($K$1,$K$2,HNY$4),Table1[],(MATCH(Calendar!$A19,DB!$1:$1,0)),FALSE),"")</f>
        <v/>
      </c>
      <c r="HNZ19" s="28" t="str">
        <f>IFERROR(VLOOKUP(DATE($K$1,$K$2,HNZ$4),Table1[],(MATCH(Calendar!$A19,DB!$1:$1,0)),FALSE),"")</f>
        <v/>
      </c>
      <c r="HOA19" s="28" t="str">
        <f>IFERROR(VLOOKUP(DATE($K$1,$K$2,HOA$4),Table1[],(MATCH(Calendar!$A19,DB!$1:$1,0)),FALSE),"")</f>
        <v/>
      </c>
      <c r="HOB19" s="28" t="str">
        <f>IFERROR(VLOOKUP(DATE($K$1,$K$2,HOB$4),Table1[],(MATCH(Calendar!$A19,DB!$1:$1,0)),FALSE),"")</f>
        <v/>
      </c>
      <c r="HOC19" s="28" t="str">
        <f>IFERROR(VLOOKUP(DATE($K$1,$K$2,HOC$4),Table1[],(MATCH(Calendar!$A19,DB!$1:$1,0)),FALSE),"")</f>
        <v/>
      </c>
      <c r="HOD19" s="28" t="str">
        <f>IFERROR(VLOOKUP(DATE($K$1,$K$2,HOD$4),Table1[],(MATCH(Calendar!$A19,DB!$1:$1,0)),FALSE),"")</f>
        <v/>
      </c>
      <c r="HOE19" s="28" t="str">
        <f>IFERROR(VLOOKUP(DATE($K$1,$K$2,HOE$4),Table1[],(MATCH(Calendar!$A19,DB!$1:$1,0)),FALSE),"")</f>
        <v/>
      </c>
      <c r="HOF19" s="28" t="str">
        <f>IFERROR(VLOOKUP(DATE($K$1,$K$2,HOF$4),Table1[],(MATCH(Calendar!$A19,DB!$1:$1,0)),FALSE),"")</f>
        <v/>
      </c>
      <c r="HOG19" s="28" t="str">
        <f>IFERROR(VLOOKUP(DATE($K$1,$K$2,HOG$4),Table1[],(MATCH(Calendar!$A19,DB!$1:$1,0)),FALSE),"")</f>
        <v/>
      </c>
      <c r="HOH19" s="28" t="str">
        <f>IFERROR(VLOOKUP(DATE($K$1,$K$2,HOH$4),Table1[],(MATCH(Calendar!$A19,DB!$1:$1,0)),FALSE),"")</f>
        <v/>
      </c>
      <c r="HOI19" s="28" t="str">
        <f>IFERROR(VLOOKUP(DATE($K$1,$K$2,HOI$4),Table1[],(MATCH(Calendar!$A19,DB!$1:$1,0)),FALSE),"")</f>
        <v/>
      </c>
      <c r="HOJ19" s="28" t="str">
        <f>IFERROR(VLOOKUP(DATE($K$1,$K$2,HOJ$4),Table1[],(MATCH(Calendar!$A19,DB!$1:$1,0)),FALSE),"")</f>
        <v/>
      </c>
      <c r="HOK19" s="28" t="str">
        <f>IFERROR(VLOOKUP(DATE($K$1,$K$2,HOK$4),Table1[],(MATCH(Calendar!$A19,DB!$1:$1,0)),FALSE),"")</f>
        <v/>
      </c>
      <c r="HOL19" s="28" t="str">
        <f>IFERROR(VLOOKUP(DATE($K$1,$K$2,HOL$4),Table1[],(MATCH(Calendar!$A19,DB!$1:$1,0)),FALSE),"")</f>
        <v/>
      </c>
      <c r="HOM19" s="28" t="str">
        <f>IFERROR(VLOOKUP(DATE($K$1,$K$2,HOM$4),Table1[],(MATCH(Calendar!$A19,DB!$1:$1,0)),FALSE),"")</f>
        <v/>
      </c>
      <c r="HON19" s="28" t="str">
        <f>IFERROR(VLOOKUP(DATE($K$1,$K$2,HON$4),Table1[],(MATCH(Calendar!$A19,DB!$1:$1,0)),FALSE),"")</f>
        <v/>
      </c>
      <c r="HOO19" s="28" t="str">
        <f>IFERROR(VLOOKUP(DATE($K$1,$K$2,HOO$4),Table1[],(MATCH(Calendar!$A19,DB!$1:$1,0)),FALSE),"")</f>
        <v/>
      </c>
      <c r="HOP19" s="28" t="str">
        <f>IFERROR(VLOOKUP(DATE($K$1,$K$2,HOP$4),Table1[],(MATCH(Calendar!$A19,DB!$1:$1,0)),FALSE),"")</f>
        <v/>
      </c>
      <c r="HOQ19" s="28" t="str">
        <f>IFERROR(VLOOKUP(DATE($K$1,$K$2,HOQ$4),Table1[],(MATCH(Calendar!$A19,DB!$1:$1,0)),FALSE),"")</f>
        <v/>
      </c>
      <c r="HOR19" s="28" t="str">
        <f>IFERROR(VLOOKUP(DATE($K$1,$K$2,HOR$4),Table1[],(MATCH(Calendar!$A19,DB!$1:$1,0)),FALSE),"")</f>
        <v/>
      </c>
      <c r="HOS19" s="28" t="str">
        <f>IFERROR(VLOOKUP(DATE($K$1,$K$2,HOS$4),Table1[],(MATCH(Calendar!$A19,DB!$1:$1,0)),FALSE),"")</f>
        <v/>
      </c>
      <c r="HOT19" s="28" t="str">
        <f>IFERROR(VLOOKUP(DATE($K$1,$K$2,HOT$4),Table1[],(MATCH(Calendar!$A19,DB!$1:$1,0)),FALSE),"")</f>
        <v/>
      </c>
      <c r="HOU19" s="28" t="str">
        <f>IFERROR(VLOOKUP(DATE($K$1,$K$2,HOU$4),Table1[],(MATCH(Calendar!$A19,DB!$1:$1,0)),FALSE),"")</f>
        <v/>
      </c>
      <c r="HOV19" s="28" t="str">
        <f>IFERROR(VLOOKUP(DATE($K$1,$K$2,HOV$4),Table1[],(MATCH(Calendar!$A19,DB!$1:$1,0)),FALSE),"")</f>
        <v/>
      </c>
      <c r="HOW19" s="28" t="str">
        <f>IFERROR(VLOOKUP(DATE($K$1,$K$2,HOW$4),Table1[],(MATCH(Calendar!$A19,DB!$1:$1,0)),FALSE),"")</f>
        <v/>
      </c>
      <c r="HOX19" s="28" t="str">
        <f>IFERROR(VLOOKUP(DATE($K$1,$K$2,HOX$4),Table1[],(MATCH(Calendar!$A19,DB!$1:$1,0)),FALSE),"")</f>
        <v/>
      </c>
      <c r="HOY19" s="28" t="str">
        <f>IFERROR(VLOOKUP(DATE($K$1,$K$2,HOY$4),Table1[],(MATCH(Calendar!$A19,DB!$1:$1,0)),FALSE),"")</f>
        <v/>
      </c>
      <c r="HOZ19" s="28" t="str">
        <f>IFERROR(VLOOKUP(DATE($K$1,$K$2,HOZ$4),Table1[],(MATCH(Calendar!$A19,DB!$1:$1,0)),FALSE),"")</f>
        <v/>
      </c>
      <c r="HPA19" s="28" t="str">
        <f>IFERROR(VLOOKUP(DATE($K$1,$K$2,HPA$4),Table1[],(MATCH(Calendar!$A19,DB!$1:$1,0)),FALSE),"")</f>
        <v/>
      </c>
      <c r="HPB19" s="28" t="str">
        <f>IFERROR(VLOOKUP(DATE($K$1,$K$2,HPB$4),Table1[],(MATCH(Calendar!$A19,DB!$1:$1,0)),FALSE),"")</f>
        <v/>
      </c>
      <c r="HPC19" s="28" t="str">
        <f>IFERROR(VLOOKUP(DATE($K$1,$K$2,HPC$4),Table1[],(MATCH(Calendar!$A19,DB!$1:$1,0)),FALSE),"")</f>
        <v/>
      </c>
      <c r="HPD19" s="28" t="str">
        <f>IFERROR(VLOOKUP(DATE($K$1,$K$2,HPD$4),Table1[],(MATCH(Calendar!$A19,DB!$1:$1,0)),FALSE),"")</f>
        <v/>
      </c>
      <c r="HPE19" s="28" t="str">
        <f>IFERROR(VLOOKUP(DATE($K$1,$K$2,HPE$4),Table1[],(MATCH(Calendar!$A19,DB!$1:$1,0)),FALSE),"")</f>
        <v/>
      </c>
      <c r="HPF19" s="28" t="str">
        <f>IFERROR(VLOOKUP(DATE($K$1,$K$2,HPF$4),Table1[],(MATCH(Calendar!$A19,DB!$1:$1,0)),FALSE),"")</f>
        <v/>
      </c>
      <c r="HPG19" s="28" t="str">
        <f>IFERROR(VLOOKUP(DATE($K$1,$K$2,HPG$4),Table1[],(MATCH(Calendar!$A19,DB!$1:$1,0)),FALSE),"")</f>
        <v/>
      </c>
      <c r="HPH19" s="28" t="str">
        <f>IFERROR(VLOOKUP(DATE($K$1,$K$2,HPH$4),Table1[],(MATCH(Calendar!$A19,DB!$1:$1,0)),FALSE),"")</f>
        <v/>
      </c>
      <c r="HPI19" s="28" t="str">
        <f>IFERROR(VLOOKUP(DATE($K$1,$K$2,HPI$4),Table1[],(MATCH(Calendar!$A19,DB!$1:$1,0)),FALSE),"")</f>
        <v/>
      </c>
      <c r="HPJ19" s="28" t="str">
        <f>IFERROR(VLOOKUP(DATE($K$1,$K$2,HPJ$4),Table1[],(MATCH(Calendar!$A19,DB!$1:$1,0)),FALSE),"")</f>
        <v/>
      </c>
      <c r="HPK19" s="28" t="str">
        <f>IFERROR(VLOOKUP(DATE($K$1,$K$2,HPK$4),Table1[],(MATCH(Calendar!$A19,DB!$1:$1,0)),FALSE),"")</f>
        <v/>
      </c>
      <c r="HPL19" s="28" t="str">
        <f>IFERROR(VLOOKUP(DATE($K$1,$K$2,HPL$4),Table1[],(MATCH(Calendar!$A19,DB!$1:$1,0)),FALSE),"")</f>
        <v/>
      </c>
      <c r="HPM19" s="28" t="str">
        <f>IFERROR(VLOOKUP(DATE($K$1,$K$2,HPM$4),Table1[],(MATCH(Calendar!$A19,DB!$1:$1,0)),FALSE),"")</f>
        <v/>
      </c>
      <c r="HPN19" s="28" t="str">
        <f>IFERROR(VLOOKUP(DATE($K$1,$K$2,HPN$4),Table1[],(MATCH(Calendar!$A19,DB!$1:$1,0)),FALSE),"")</f>
        <v/>
      </c>
      <c r="HPO19" s="28" t="str">
        <f>IFERROR(VLOOKUP(DATE($K$1,$K$2,HPO$4),Table1[],(MATCH(Calendar!$A19,DB!$1:$1,0)),FALSE),"")</f>
        <v/>
      </c>
      <c r="HPP19" s="28" t="str">
        <f>IFERROR(VLOOKUP(DATE($K$1,$K$2,HPP$4),Table1[],(MATCH(Calendar!$A19,DB!$1:$1,0)),FALSE),"")</f>
        <v/>
      </c>
      <c r="HPQ19" s="28" t="str">
        <f>IFERROR(VLOOKUP(DATE($K$1,$K$2,HPQ$4),Table1[],(MATCH(Calendar!$A19,DB!$1:$1,0)),FALSE),"")</f>
        <v/>
      </c>
      <c r="HPR19" s="28" t="str">
        <f>IFERROR(VLOOKUP(DATE($K$1,$K$2,HPR$4),Table1[],(MATCH(Calendar!$A19,DB!$1:$1,0)),FALSE),"")</f>
        <v/>
      </c>
      <c r="HPS19" s="28" t="str">
        <f>IFERROR(VLOOKUP(DATE($K$1,$K$2,HPS$4),Table1[],(MATCH(Calendar!$A19,DB!$1:$1,0)),FALSE),"")</f>
        <v/>
      </c>
      <c r="HPT19" s="28" t="str">
        <f>IFERROR(VLOOKUP(DATE($K$1,$K$2,HPT$4),Table1[],(MATCH(Calendar!$A19,DB!$1:$1,0)),FALSE),"")</f>
        <v/>
      </c>
      <c r="HPU19" s="28" t="str">
        <f>IFERROR(VLOOKUP(DATE($K$1,$K$2,HPU$4),Table1[],(MATCH(Calendar!$A19,DB!$1:$1,0)),FALSE),"")</f>
        <v/>
      </c>
      <c r="HPV19" s="28" t="str">
        <f>IFERROR(VLOOKUP(DATE($K$1,$K$2,HPV$4),Table1[],(MATCH(Calendar!$A19,DB!$1:$1,0)),FALSE),"")</f>
        <v/>
      </c>
      <c r="HPW19" s="28" t="str">
        <f>IFERROR(VLOOKUP(DATE($K$1,$K$2,HPW$4),Table1[],(MATCH(Calendar!$A19,DB!$1:$1,0)),FALSE),"")</f>
        <v/>
      </c>
      <c r="HPX19" s="28" t="str">
        <f>IFERROR(VLOOKUP(DATE($K$1,$K$2,HPX$4),Table1[],(MATCH(Calendar!$A19,DB!$1:$1,0)),FALSE),"")</f>
        <v/>
      </c>
      <c r="HPY19" s="28" t="str">
        <f>IFERROR(VLOOKUP(DATE($K$1,$K$2,HPY$4),Table1[],(MATCH(Calendar!$A19,DB!$1:$1,0)),FALSE),"")</f>
        <v/>
      </c>
      <c r="HPZ19" s="28" t="str">
        <f>IFERROR(VLOOKUP(DATE($K$1,$K$2,HPZ$4),Table1[],(MATCH(Calendar!$A19,DB!$1:$1,0)),FALSE),"")</f>
        <v/>
      </c>
      <c r="HQA19" s="28" t="str">
        <f>IFERROR(VLOOKUP(DATE($K$1,$K$2,HQA$4),Table1[],(MATCH(Calendar!$A19,DB!$1:$1,0)),FALSE),"")</f>
        <v/>
      </c>
      <c r="HQB19" s="28" t="str">
        <f>IFERROR(VLOOKUP(DATE($K$1,$K$2,HQB$4),Table1[],(MATCH(Calendar!$A19,DB!$1:$1,0)),FALSE),"")</f>
        <v/>
      </c>
      <c r="HQC19" s="28" t="str">
        <f>IFERROR(VLOOKUP(DATE($K$1,$K$2,HQC$4),Table1[],(MATCH(Calendar!$A19,DB!$1:$1,0)),FALSE),"")</f>
        <v/>
      </c>
      <c r="HQD19" s="28" t="str">
        <f>IFERROR(VLOOKUP(DATE($K$1,$K$2,HQD$4),Table1[],(MATCH(Calendar!$A19,DB!$1:$1,0)),FALSE),"")</f>
        <v/>
      </c>
      <c r="HQE19" s="28" t="str">
        <f>IFERROR(VLOOKUP(DATE($K$1,$K$2,HQE$4),Table1[],(MATCH(Calendar!$A19,DB!$1:$1,0)),FALSE),"")</f>
        <v/>
      </c>
      <c r="HQF19" s="28" t="str">
        <f>IFERROR(VLOOKUP(DATE($K$1,$K$2,HQF$4),Table1[],(MATCH(Calendar!$A19,DB!$1:$1,0)),FALSE),"")</f>
        <v/>
      </c>
      <c r="HQG19" s="28" t="str">
        <f>IFERROR(VLOOKUP(DATE($K$1,$K$2,HQG$4),Table1[],(MATCH(Calendar!$A19,DB!$1:$1,0)),FALSE),"")</f>
        <v/>
      </c>
      <c r="HQH19" s="28" t="str">
        <f>IFERROR(VLOOKUP(DATE($K$1,$K$2,HQH$4),Table1[],(MATCH(Calendar!$A19,DB!$1:$1,0)),FALSE),"")</f>
        <v/>
      </c>
      <c r="HQI19" s="28" t="str">
        <f>IFERROR(VLOOKUP(DATE($K$1,$K$2,HQI$4),Table1[],(MATCH(Calendar!$A19,DB!$1:$1,0)),FALSE),"")</f>
        <v/>
      </c>
      <c r="HQJ19" s="28" t="str">
        <f>IFERROR(VLOOKUP(DATE($K$1,$K$2,HQJ$4),Table1[],(MATCH(Calendar!$A19,DB!$1:$1,0)),FALSE),"")</f>
        <v/>
      </c>
      <c r="HQK19" s="28" t="str">
        <f>IFERROR(VLOOKUP(DATE($K$1,$K$2,HQK$4),Table1[],(MATCH(Calendar!$A19,DB!$1:$1,0)),FALSE),"")</f>
        <v/>
      </c>
      <c r="HQL19" s="28" t="str">
        <f>IFERROR(VLOOKUP(DATE($K$1,$K$2,HQL$4),Table1[],(MATCH(Calendar!$A19,DB!$1:$1,0)),FALSE),"")</f>
        <v/>
      </c>
      <c r="HQM19" s="28" t="str">
        <f>IFERROR(VLOOKUP(DATE($K$1,$K$2,HQM$4),Table1[],(MATCH(Calendar!$A19,DB!$1:$1,0)),FALSE),"")</f>
        <v/>
      </c>
      <c r="HQN19" s="28" t="str">
        <f>IFERROR(VLOOKUP(DATE($K$1,$K$2,HQN$4),Table1[],(MATCH(Calendar!$A19,DB!$1:$1,0)),FALSE),"")</f>
        <v/>
      </c>
      <c r="HQO19" s="28" t="str">
        <f>IFERROR(VLOOKUP(DATE($K$1,$K$2,HQO$4),Table1[],(MATCH(Calendar!$A19,DB!$1:$1,0)),FALSE),"")</f>
        <v/>
      </c>
      <c r="HQP19" s="28" t="str">
        <f>IFERROR(VLOOKUP(DATE($K$1,$K$2,HQP$4),Table1[],(MATCH(Calendar!$A19,DB!$1:$1,0)),FALSE),"")</f>
        <v/>
      </c>
      <c r="HQQ19" s="28" t="str">
        <f>IFERROR(VLOOKUP(DATE($K$1,$K$2,HQQ$4),Table1[],(MATCH(Calendar!$A19,DB!$1:$1,0)),FALSE),"")</f>
        <v/>
      </c>
      <c r="HQR19" s="28" t="str">
        <f>IFERROR(VLOOKUP(DATE($K$1,$K$2,HQR$4),Table1[],(MATCH(Calendar!$A19,DB!$1:$1,0)),FALSE),"")</f>
        <v/>
      </c>
      <c r="HQS19" s="28" t="str">
        <f>IFERROR(VLOOKUP(DATE($K$1,$K$2,HQS$4),Table1[],(MATCH(Calendar!$A19,DB!$1:$1,0)),FALSE),"")</f>
        <v/>
      </c>
      <c r="HQT19" s="28" t="str">
        <f>IFERROR(VLOOKUP(DATE($K$1,$K$2,HQT$4),Table1[],(MATCH(Calendar!$A19,DB!$1:$1,0)),FALSE),"")</f>
        <v/>
      </c>
      <c r="HQU19" s="28" t="str">
        <f>IFERROR(VLOOKUP(DATE($K$1,$K$2,HQU$4),Table1[],(MATCH(Calendar!$A19,DB!$1:$1,0)),FALSE),"")</f>
        <v/>
      </c>
      <c r="HQV19" s="28" t="str">
        <f>IFERROR(VLOOKUP(DATE($K$1,$K$2,HQV$4),Table1[],(MATCH(Calendar!$A19,DB!$1:$1,0)),FALSE),"")</f>
        <v/>
      </c>
      <c r="HQW19" s="28" t="str">
        <f>IFERROR(VLOOKUP(DATE($K$1,$K$2,HQW$4),Table1[],(MATCH(Calendar!$A19,DB!$1:$1,0)),FALSE),"")</f>
        <v/>
      </c>
      <c r="HQX19" s="28" t="str">
        <f>IFERROR(VLOOKUP(DATE($K$1,$K$2,HQX$4),Table1[],(MATCH(Calendar!$A19,DB!$1:$1,0)),FALSE),"")</f>
        <v/>
      </c>
      <c r="HQY19" s="28" t="str">
        <f>IFERROR(VLOOKUP(DATE($K$1,$K$2,HQY$4),Table1[],(MATCH(Calendar!$A19,DB!$1:$1,0)),FALSE),"")</f>
        <v/>
      </c>
      <c r="HQZ19" s="28" t="str">
        <f>IFERROR(VLOOKUP(DATE($K$1,$K$2,HQZ$4),Table1[],(MATCH(Calendar!$A19,DB!$1:$1,0)),FALSE),"")</f>
        <v/>
      </c>
      <c r="HRA19" s="28" t="str">
        <f>IFERROR(VLOOKUP(DATE($K$1,$K$2,HRA$4),Table1[],(MATCH(Calendar!$A19,DB!$1:$1,0)),FALSE),"")</f>
        <v/>
      </c>
      <c r="HRB19" s="28" t="str">
        <f>IFERROR(VLOOKUP(DATE($K$1,$K$2,HRB$4),Table1[],(MATCH(Calendar!$A19,DB!$1:$1,0)),FALSE),"")</f>
        <v/>
      </c>
      <c r="HRC19" s="28" t="str">
        <f>IFERROR(VLOOKUP(DATE($K$1,$K$2,HRC$4),Table1[],(MATCH(Calendar!$A19,DB!$1:$1,0)),FALSE),"")</f>
        <v/>
      </c>
      <c r="HRD19" s="28" t="str">
        <f>IFERROR(VLOOKUP(DATE($K$1,$K$2,HRD$4),Table1[],(MATCH(Calendar!$A19,DB!$1:$1,0)),FALSE),"")</f>
        <v/>
      </c>
      <c r="HRE19" s="28" t="str">
        <f>IFERROR(VLOOKUP(DATE($K$1,$K$2,HRE$4),Table1[],(MATCH(Calendar!$A19,DB!$1:$1,0)),FALSE),"")</f>
        <v/>
      </c>
      <c r="HRF19" s="28" t="str">
        <f>IFERROR(VLOOKUP(DATE($K$1,$K$2,HRF$4),Table1[],(MATCH(Calendar!$A19,DB!$1:$1,0)),FALSE),"")</f>
        <v/>
      </c>
      <c r="HRG19" s="28" t="str">
        <f>IFERROR(VLOOKUP(DATE($K$1,$K$2,HRG$4),Table1[],(MATCH(Calendar!$A19,DB!$1:$1,0)),FALSE),"")</f>
        <v/>
      </c>
      <c r="HRH19" s="28" t="str">
        <f>IFERROR(VLOOKUP(DATE($K$1,$K$2,HRH$4),Table1[],(MATCH(Calendar!$A19,DB!$1:$1,0)),FALSE),"")</f>
        <v/>
      </c>
      <c r="HRI19" s="28" t="str">
        <f>IFERROR(VLOOKUP(DATE($K$1,$K$2,HRI$4),Table1[],(MATCH(Calendar!$A19,DB!$1:$1,0)),FALSE),"")</f>
        <v/>
      </c>
      <c r="HRJ19" s="28" t="str">
        <f>IFERROR(VLOOKUP(DATE($K$1,$K$2,HRJ$4),Table1[],(MATCH(Calendar!$A19,DB!$1:$1,0)),FALSE),"")</f>
        <v/>
      </c>
      <c r="HRK19" s="28" t="str">
        <f>IFERROR(VLOOKUP(DATE($K$1,$K$2,HRK$4),Table1[],(MATCH(Calendar!$A19,DB!$1:$1,0)),FALSE),"")</f>
        <v/>
      </c>
      <c r="HRL19" s="28" t="str">
        <f>IFERROR(VLOOKUP(DATE($K$1,$K$2,HRL$4),Table1[],(MATCH(Calendar!$A19,DB!$1:$1,0)),FALSE),"")</f>
        <v/>
      </c>
      <c r="HRM19" s="28" t="str">
        <f>IFERROR(VLOOKUP(DATE($K$1,$K$2,HRM$4),Table1[],(MATCH(Calendar!$A19,DB!$1:$1,0)),FALSE),"")</f>
        <v/>
      </c>
      <c r="HRN19" s="28" t="str">
        <f>IFERROR(VLOOKUP(DATE($K$1,$K$2,HRN$4),Table1[],(MATCH(Calendar!$A19,DB!$1:$1,0)),FALSE),"")</f>
        <v/>
      </c>
      <c r="HRO19" s="28" t="str">
        <f>IFERROR(VLOOKUP(DATE($K$1,$K$2,HRO$4),Table1[],(MATCH(Calendar!$A19,DB!$1:$1,0)),FALSE),"")</f>
        <v/>
      </c>
      <c r="HRP19" s="28" t="str">
        <f>IFERROR(VLOOKUP(DATE($K$1,$K$2,HRP$4),Table1[],(MATCH(Calendar!$A19,DB!$1:$1,0)),FALSE),"")</f>
        <v/>
      </c>
      <c r="HRQ19" s="28" t="str">
        <f>IFERROR(VLOOKUP(DATE($K$1,$K$2,HRQ$4),Table1[],(MATCH(Calendar!$A19,DB!$1:$1,0)),FALSE),"")</f>
        <v/>
      </c>
      <c r="HRR19" s="28" t="str">
        <f>IFERROR(VLOOKUP(DATE($K$1,$K$2,HRR$4),Table1[],(MATCH(Calendar!$A19,DB!$1:$1,0)),FALSE),"")</f>
        <v/>
      </c>
      <c r="HRS19" s="28" t="str">
        <f>IFERROR(VLOOKUP(DATE($K$1,$K$2,HRS$4),Table1[],(MATCH(Calendar!$A19,DB!$1:$1,0)),FALSE),"")</f>
        <v/>
      </c>
      <c r="HRT19" s="28" t="str">
        <f>IFERROR(VLOOKUP(DATE($K$1,$K$2,HRT$4),Table1[],(MATCH(Calendar!$A19,DB!$1:$1,0)),FALSE),"")</f>
        <v/>
      </c>
      <c r="HRU19" s="28" t="str">
        <f>IFERROR(VLOOKUP(DATE($K$1,$K$2,HRU$4),Table1[],(MATCH(Calendar!$A19,DB!$1:$1,0)),FALSE),"")</f>
        <v/>
      </c>
      <c r="HRV19" s="28" t="str">
        <f>IFERROR(VLOOKUP(DATE($K$1,$K$2,HRV$4),Table1[],(MATCH(Calendar!$A19,DB!$1:$1,0)),FALSE),"")</f>
        <v/>
      </c>
      <c r="HRW19" s="28" t="str">
        <f>IFERROR(VLOOKUP(DATE($K$1,$K$2,HRW$4),Table1[],(MATCH(Calendar!$A19,DB!$1:$1,0)),FALSE),"")</f>
        <v/>
      </c>
      <c r="HRX19" s="28" t="str">
        <f>IFERROR(VLOOKUP(DATE($K$1,$K$2,HRX$4),Table1[],(MATCH(Calendar!$A19,DB!$1:$1,0)),FALSE),"")</f>
        <v/>
      </c>
      <c r="HRY19" s="28" t="str">
        <f>IFERROR(VLOOKUP(DATE($K$1,$K$2,HRY$4),Table1[],(MATCH(Calendar!$A19,DB!$1:$1,0)),FALSE),"")</f>
        <v/>
      </c>
      <c r="HRZ19" s="28" t="str">
        <f>IFERROR(VLOOKUP(DATE($K$1,$K$2,HRZ$4),Table1[],(MATCH(Calendar!$A19,DB!$1:$1,0)),FALSE),"")</f>
        <v/>
      </c>
      <c r="HSA19" s="28" t="str">
        <f>IFERROR(VLOOKUP(DATE($K$1,$K$2,HSA$4),Table1[],(MATCH(Calendar!$A19,DB!$1:$1,0)),FALSE),"")</f>
        <v/>
      </c>
      <c r="HSB19" s="28" t="str">
        <f>IFERROR(VLOOKUP(DATE($K$1,$K$2,HSB$4),Table1[],(MATCH(Calendar!$A19,DB!$1:$1,0)),FALSE),"")</f>
        <v/>
      </c>
      <c r="HSC19" s="28" t="str">
        <f>IFERROR(VLOOKUP(DATE($K$1,$K$2,HSC$4),Table1[],(MATCH(Calendar!$A19,DB!$1:$1,0)),FALSE),"")</f>
        <v/>
      </c>
      <c r="HSD19" s="28" t="str">
        <f>IFERROR(VLOOKUP(DATE($K$1,$K$2,HSD$4),Table1[],(MATCH(Calendar!$A19,DB!$1:$1,0)),FALSE),"")</f>
        <v/>
      </c>
      <c r="HSE19" s="28" t="str">
        <f>IFERROR(VLOOKUP(DATE($K$1,$K$2,HSE$4),Table1[],(MATCH(Calendar!$A19,DB!$1:$1,0)),FALSE),"")</f>
        <v/>
      </c>
      <c r="HSF19" s="28" t="str">
        <f>IFERROR(VLOOKUP(DATE($K$1,$K$2,HSF$4),Table1[],(MATCH(Calendar!$A19,DB!$1:$1,0)),FALSE),"")</f>
        <v/>
      </c>
      <c r="HSG19" s="28" t="str">
        <f>IFERROR(VLOOKUP(DATE($K$1,$K$2,HSG$4),Table1[],(MATCH(Calendar!$A19,DB!$1:$1,0)),FALSE),"")</f>
        <v/>
      </c>
      <c r="HSH19" s="28" t="str">
        <f>IFERROR(VLOOKUP(DATE($K$1,$K$2,HSH$4),Table1[],(MATCH(Calendar!$A19,DB!$1:$1,0)),FALSE),"")</f>
        <v/>
      </c>
      <c r="HSI19" s="28" t="str">
        <f>IFERROR(VLOOKUP(DATE($K$1,$K$2,HSI$4),Table1[],(MATCH(Calendar!$A19,DB!$1:$1,0)),FALSE),"")</f>
        <v/>
      </c>
      <c r="HSJ19" s="28" t="str">
        <f>IFERROR(VLOOKUP(DATE($K$1,$K$2,HSJ$4),Table1[],(MATCH(Calendar!$A19,DB!$1:$1,0)),FALSE),"")</f>
        <v/>
      </c>
      <c r="HSK19" s="28" t="str">
        <f>IFERROR(VLOOKUP(DATE($K$1,$K$2,HSK$4),Table1[],(MATCH(Calendar!$A19,DB!$1:$1,0)),FALSE),"")</f>
        <v/>
      </c>
      <c r="HSL19" s="28" t="str">
        <f>IFERROR(VLOOKUP(DATE($K$1,$K$2,HSL$4),Table1[],(MATCH(Calendar!$A19,DB!$1:$1,0)),FALSE),"")</f>
        <v/>
      </c>
      <c r="HSM19" s="28" t="str">
        <f>IFERROR(VLOOKUP(DATE($K$1,$K$2,HSM$4),Table1[],(MATCH(Calendar!$A19,DB!$1:$1,0)),FALSE),"")</f>
        <v/>
      </c>
      <c r="HSN19" s="28" t="str">
        <f>IFERROR(VLOOKUP(DATE($K$1,$K$2,HSN$4),Table1[],(MATCH(Calendar!$A19,DB!$1:$1,0)),FALSE),"")</f>
        <v/>
      </c>
      <c r="HSO19" s="28" t="str">
        <f>IFERROR(VLOOKUP(DATE($K$1,$K$2,HSO$4),Table1[],(MATCH(Calendar!$A19,DB!$1:$1,0)),FALSE),"")</f>
        <v/>
      </c>
      <c r="HSP19" s="28" t="str">
        <f>IFERROR(VLOOKUP(DATE($K$1,$K$2,HSP$4),Table1[],(MATCH(Calendar!$A19,DB!$1:$1,0)),FALSE),"")</f>
        <v/>
      </c>
      <c r="HSQ19" s="28" t="str">
        <f>IFERROR(VLOOKUP(DATE($K$1,$K$2,HSQ$4),Table1[],(MATCH(Calendar!$A19,DB!$1:$1,0)),FALSE),"")</f>
        <v/>
      </c>
      <c r="HSR19" s="28" t="str">
        <f>IFERROR(VLOOKUP(DATE($K$1,$K$2,HSR$4),Table1[],(MATCH(Calendar!$A19,DB!$1:$1,0)),FALSE),"")</f>
        <v/>
      </c>
      <c r="HSS19" s="28" t="str">
        <f>IFERROR(VLOOKUP(DATE($K$1,$K$2,HSS$4),Table1[],(MATCH(Calendar!$A19,DB!$1:$1,0)),FALSE),"")</f>
        <v/>
      </c>
      <c r="HST19" s="28" t="str">
        <f>IFERROR(VLOOKUP(DATE($K$1,$K$2,HST$4),Table1[],(MATCH(Calendar!$A19,DB!$1:$1,0)),FALSE),"")</f>
        <v/>
      </c>
      <c r="HSU19" s="28" t="str">
        <f>IFERROR(VLOOKUP(DATE($K$1,$K$2,HSU$4),Table1[],(MATCH(Calendar!$A19,DB!$1:$1,0)),FALSE),"")</f>
        <v/>
      </c>
      <c r="HSV19" s="28" t="str">
        <f>IFERROR(VLOOKUP(DATE($K$1,$K$2,HSV$4),Table1[],(MATCH(Calendar!$A19,DB!$1:$1,0)),FALSE),"")</f>
        <v/>
      </c>
      <c r="HSW19" s="28" t="str">
        <f>IFERROR(VLOOKUP(DATE($K$1,$K$2,HSW$4),Table1[],(MATCH(Calendar!$A19,DB!$1:$1,0)),FALSE),"")</f>
        <v/>
      </c>
      <c r="HSX19" s="28" t="str">
        <f>IFERROR(VLOOKUP(DATE($K$1,$K$2,HSX$4),Table1[],(MATCH(Calendar!$A19,DB!$1:$1,0)),FALSE),"")</f>
        <v/>
      </c>
      <c r="HSY19" s="28" t="str">
        <f>IFERROR(VLOOKUP(DATE($K$1,$K$2,HSY$4),Table1[],(MATCH(Calendar!$A19,DB!$1:$1,0)),FALSE),"")</f>
        <v/>
      </c>
      <c r="HSZ19" s="28" t="str">
        <f>IFERROR(VLOOKUP(DATE($K$1,$K$2,HSZ$4),Table1[],(MATCH(Calendar!$A19,DB!$1:$1,0)),FALSE),"")</f>
        <v/>
      </c>
      <c r="HTA19" s="28" t="str">
        <f>IFERROR(VLOOKUP(DATE($K$1,$K$2,HTA$4),Table1[],(MATCH(Calendar!$A19,DB!$1:$1,0)),FALSE),"")</f>
        <v/>
      </c>
      <c r="HTB19" s="28" t="str">
        <f>IFERROR(VLOOKUP(DATE($K$1,$K$2,HTB$4),Table1[],(MATCH(Calendar!$A19,DB!$1:$1,0)),FALSE),"")</f>
        <v/>
      </c>
      <c r="HTC19" s="28" t="str">
        <f>IFERROR(VLOOKUP(DATE($K$1,$K$2,HTC$4),Table1[],(MATCH(Calendar!$A19,DB!$1:$1,0)),FALSE),"")</f>
        <v/>
      </c>
      <c r="HTD19" s="28" t="str">
        <f>IFERROR(VLOOKUP(DATE($K$1,$K$2,HTD$4),Table1[],(MATCH(Calendar!$A19,DB!$1:$1,0)),FALSE),"")</f>
        <v/>
      </c>
      <c r="HTE19" s="28" t="str">
        <f>IFERROR(VLOOKUP(DATE($K$1,$K$2,HTE$4),Table1[],(MATCH(Calendar!$A19,DB!$1:$1,0)),FALSE),"")</f>
        <v/>
      </c>
      <c r="HTF19" s="28" t="str">
        <f>IFERROR(VLOOKUP(DATE($K$1,$K$2,HTF$4),Table1[],(MATCH(Calendar!$A19,DB!$1:$1,0)),FALSE),"")</f>
        <v/>
      </c>
      <c r="HTG19" s="28" t="str">
        <f>IFERROR(VLOOKUP(DATE($K$1,$K$2,HTG$4),Table1[],(MATCH(Calendar!$A19,DB!$1:$1,0)),FALSE),"")</f>
        <v/>
      </c>
      <c r="HTH19" s="28" t="str">
        <f>IFERROR(VLOOKUP(DATE($K$1,$K$2,HTH$4),Table1[],(MATCH(Calendar!$A19,DB!$1:$1,0)),FALSE),"")</f>
        <v/>
      </c>
      <c r="HTI19" s="28" t="str">
        <f>IFERROR(VLOOKUP(DATE($K$1,$K$2,HTI$4),Table1[],(MATCH(Calendar!$A19,DB!$1:$1,0)),FALSE),"")</f>
        <v/>
      </c>
      <c r="HTJ19" s="28" t="str">
        <f>IFERROR(VLOOKUP(DATE($K$1,$K$2,HTJ$4),Table1[],(MATCH(Calendar!$A19,DB!$1:$1,0)),FALSE),"")</f>
        <v/>
      </c>
      <c r="HTK19" s="28" t="str">
        <f>IFERROR(VLOOKUP(DATE($K$1,$K$2,HTK$4),Table1[],(MATCH(Calendar!$A19,DB!$1:$1,0)),FALSE),"")</f>
        <v/>
      </c>
      <c r="HTL19" s="28" t="str">
        <f>IFERROR(VLOOKUP(DATE($K$1,$K$2,HTL$4),Table1[],(MATCH(Calendar!$A19,DB!$1:$1,0)),FALSE),"")</f>
        <v/>
      </c>
      <c r="HTM19" s="28" t="str">
        <f>IFERROR(VLOOKUP(DATE($K$1,$K$2,HTM$4),Table1[],(MATCH(Calendar!$A19,DB!$1:$1,0)),FALSE),"")</f>
        <v/>
      </c>
      <c r="HTN19" s="28" t="str">
        <f>IFERROR(VLOOKUP(DATE($K$1,$K$2,HTN$4),Table1[],(MATCH(Calendar!$A19,DB!$1:$1,0)),FALSE),"")</f>
        <v/>
      </c>
      <c r="HTO19" s="28" t="str">
        <f>IFERROR(VLOOKUP(DATE($K$1,$K$2,HTO$4),Table1[],(MATCH(Calendar!$A19,DB!$1:$1,0)),FALSE),"")</f>
        <v/>
      </c>
      <c r="HTP19" s="28" t="str">
        <f>IFERROR(VLOOKUP(DATE($K$1,$K$2,HTP$4),Table1[],(MATCH(Calendar!$A19,DB!$1:$1,0)),FALSE),"")</f>
        <v/>
      </c>
      <c r="HTQ19" s="28" t="str">
        <f>IFERROR(VLOOKUP(DATE($K$1,$K$2,HTQ$4),Table1[],(MATCH(Calendar!$A19,DB!$1:$1,0)),FALSE),"")</f>
        <v/>
      </c>
      <c r="HTR19" s="28" t="str">
        <f>IFERROR(VLOOKUP(DATE($K$1,$K$2,HTR$4),Table1[],(MATCH(Calendar!$A19,DB!$1:$1,0)),FALSE),"")</f>
        <v/>
      </c>
      <c r="HTS19" s="28" t="str">
        <f>IFERROR(VLOOKUP(DATE($K$1,$K$2,HTS$4),Table1[],(MATCH(Calendar!$A19,DB!$1:$1,0)),FALSE),"")</f>
        <v/>
      </c>
      <c r="HTT19" s="28" t="str">
        <f>IFERROR(VLOOKUP(DATE($K$1,$K$2,HTT$4),Table1[],(MATCH(Calendar!$A19,DB!$1:$1,0)),FALSE),"")</f>
        <v/>
      </c>
      <c r="HTU19" s="28" t="str">
        <f>IFERROR(VLOOKUP(DATE($K$1,$K$2,HTU$4),Table1[],(MATCH(Calendar!$A19,DB!$1:$1,0)),FALSE),"")</f>
        <v/>
      </c>
      <c r="HTV19" s="28" t="str">
        <f>IFERROR(VLOOKUP(DATE($K$1,$K$2,HTV$4),Table1[],(MATCH(Calendar!$A19,DB!$1:$1,0)),FALSE),"")</f>
        <v/>
      </c>
      <c r="HTW19" s="28" t="str">
        <f>IFERROR(VLOOKUP(DATE($K$1,$K$2,HTW$4),Table1[],(MATCH(Calendar!$A19,DB!$1:$1,0)),FALSE),"")</f>
        <v/>
      </c>
      <c r="HTX19" s="28" t="str">
        <f>IFERROR(VLOOKUP(DATE($K$1,$K$2,HTX$4),Table1[],(MATCH(Calendar!$A19,DB!$1:$1,0)),FALSE),"")</f>
        <v/>
      </c>
      <c r="HTY19" s="28" t="str">
        <f>IFERROR(VLOOKUP(DATE($K$1,$K$2,HTY$4),Table1[],(MATCH(Calendar!$A19,DB!$1:$1,0)),FALSE),"")</f>
        <v/>
      </c>
      <c r="HTZ19" s="28" t="str">
        <f>IFERROR(VLOOKUP(DATE($K$1,$K$2,HTZ$4),Table1[],(MATCH(Calendar!$A19,DB!$1:$1,0)),FALSE),"")</f>
        <v/>
      </c>
      <c r="HUA19" s="28" t="str">
        <f>IFERROR(VLOOKUP(DATE($K$1,$K$2,HUA$4),Table1[],(MATCH(Calendar!$A19,DB!$1:$1,0)),FALSE),"")</f>
        <v/>
      </c>
      <c r="HUB19" s="28" t="str">
        <f>IFERROR(VLOOKUP(DATE($K$1,$K$2,HUB$4),Table1[],(MATCH(Calendar!$A19,DB!$1:$1,0)),FALSE),"")</f>
        <v/>
      </c>
      <c r="HUC19" s="28" t="str">
        <f>IFERROR(VLOOKUP(DATE($K$1,$K$2,HUC$4),Table1[],(MATCH(Calendar!$A19,DB!$1:$1,0)),FALSE),"")</f>
        <v/>
      </c>
      <c r="HUD19" s="28" t="str">
        <f>IFERROR(VLOOKUP(DATE($K$1,$K$2,HUD$4),Table1[],(MATCH(Calendar!$A19,DB!$1:$1,0)),FALSE),"")</f>
        <v/>
      </c>
      <c r="HUE19" s="28" t="str">
        <f>IFERROR(VLOOKUP(DATE($K$1,$K$2,HUE$4),Table1[],(MATCH(Calendar!$A19,DB!$1:$1,0)),FALSE),"")</f>
        <v/>
      </c>
      <c r="HUF19" s="28" t="str">
        <f>IFERROR(VLOOKUP(DATE($K$1,$K$2,HUF$4),Table1[],(MATCH(Calendar!$A19,DB!$1:$1,0)),FALSE),"")</f>
        <v/>
      </c>
      <c r="HUG19" s="28" t="str">
        <f>IFERROR(VLOOKUP(DATE($K$1,$K$2,HUG$4),Table1[],(MATCH(Calendar!$A19,DB!$1:$1,0)),FALSE),"")</f>
        <v/>
      </c>
      <c r="HUH19" s="28" t="str">
        <f>IFERROR(VLOOKUP(DATE($K$1,$K$2,HUH$4),Table1[],(MATCH(Calendar!$A19,DB!$1:$1,0)),FALSE),"")</f>
        <v/>
      </c>
      <c r="HUI19" s="28" t="str">
        <f>IFERROR(VLOOKUP(DATE($K$1,$K$2,HUI$4),Table1[],(MATCH(Calendar!$A19,DB!$1:$1,0)),FALSE),"")</f>
        <v/>
      </c>
      <c r="HUJ19" s="28" t="str">
        <f>IFERROR(VLOOKUP(DATE($K$1,$K$2,HUJ$4),Table1[],(MATCH(Calendar!$A19,DB!$1:$1,0)),FALSE),"")</f>
        <v/>
      </c>
      <c r="HUK19" s="28" t="str">
        <f>IFERROR(VLOOKUP(DATE($K$1,$K$2,HUK$4),Table1[],(MATCH(Calendar!$A19,DB!$1:$1,0)),FALSE),"")</f>
        <v/>
      </c>
      <c r="HUL19" s="28" t="str">
        <f>IFERROR(VLOOKUP(DATE($K$1,$K$2,HUL$4),Table1[],(MATCH(Calendar!$A19,DB!$1:$1,0)),FALSE),"")</f>
        <v/>
      </c>
      <c r="HUM19" s="28" t="str">
        <f>IFERROR(VLOOKUP(DATE($K$1,$K$2,HUM$4),Table1[],(MATCH(Calendar!$A19,DB!$1:$1,0)),FALSE),"")</f>
        <v/>
      </c>
      <c r="HUN19" s="28" t="str">
        <f>IFERROR(VLOOKUP(DATE($K$1,$K$2,HUN$4),Table1[],(MATCH(Calendar!$A19,DB!$1:$1,0)),FALSE),"")</f>
        <v/>
      </c>
      <c r="HUO19" s="28" t="str">
        <f>IFERROR(VLOOKUP(DATE($K$1,$K$2,HUO$4),Table1[],(MATCH(Calendar!$A19,DB!$1:$1,0)),FALSE),"")</f>
        <v/>
      </c>
      <c r="HUP19" s="28" t="str">
        <f>IFERROR(VLOOKUP(DATE($K$1,$K$2,HUP$4),Table1[],(MATCH(Calendar!$A19,DB!$1:$1,0)),FALSE),"")</f>
        <v/>
      </c>
      <c r="HUQ19" s="28" t="str">
        <f>IFERROR(VLOOKUP(DATE($K$1,$K$2,HUQ$4),Table1[],(MATCH(Calendar!$A19,DB!$1:$1,0)),FALSE),"")</f>
        <v/>
      </c>
      <c r="HUR19" s="28" t="str">
        <f>IFERROR(VLOOKUP(DATE($K$1,$K$2,HUR$4),Table1[],(MATCH(Calendar!$A19,DB!$1:$1,0)),FALSE),"")</f>
        <v/>
      </c>
      <c r="HUS19" s="28" t="str">
        <f>IFERROR(VLOOKUP(DATE($K$1,$K$2,HUS$4),Table1[],(MATCH(Calendar!$A19,DB!$1:$1,0)),FALSE),"")</f>
        <v/>
      </c>
      <c r="HUT19" s="28" t="str">
        <f>IFERROR(VLOOKUP(DATE($K$1,$K$2,HUT$4),Table1[],(MATCH(Calendar!$A19,DB!$1:$1,0)),FALSE),"")</f>
        <v/>
      </c>
      <c r="HUU19" s="28" t="str">
        <f>IFERROR(VLOOKUP(DATE($K$1,$K$2,HUU$4),Table1[],(MATCH(Calendar!$A19,DB!$1:$1,0)),FALSE),"")</f>
        <v/>
      </c>
      <c r="HUV19" s="28" t="str">
        <f>IFERROR(VLOOKUP(DATE($K$1,$K$2,HUV$4),Table1[],(MATCH(Calendar!$A19,DB!$1:$1,0)),FALSE),"")</f>
        <v/>
      </c>
      <c r="HUW19" s="28" t="str">
        <f>IFERROR(VLOOKUP(DATE($K$1,$K$2,HUW$4),Table1[],(MATCH(Calendar!$A19,DB!$1:$1,0)),FALSE),"")</f>
        <v/>
      </c>
      <c r="HUX19" s="28" t="str">
        <f>IFERROR(VLOOKUP(DATE($K$1,$K$2,HUX$4),Table1[],(MATCH(Calendar!$A19,DB!$1:$1,0)),FALSE),"")</f>
        <v/>
      </c>
      <c r="HUY19" s="28" t="str">
        <f>IFERROR(VLOOKUP(DATE($K$1,$K$2,HUY$4),Table1[],(MATCH(Calendar!$A19,DB!$1:$1,0)),FALSE),"")</f>
        <v/>
      </c>
      <c r="HUZ19" s="28" t="str">
        <f>IFERROR(VLOOKUP(DATE($K$1,$K$2,HUZ$4),Table1[],(MATCH(Calendar!$A19,DB!$1:$1,0)),FALSE),"")</f>
        <v/>
      </c>
      <c r="HVA19" s="28" t="str">
        <f>IFERROR(VLOOKUP(DATE($K$1,$K$2,HVA$4),Table1[],(MATCH(Calendar!$A19,DB!$1:$1,0)),FALSE),"")</f>
        <v/>
      </c>
      <c r="HVB19" s="28" t="str">
        <f>IFERROR(VLOOKUP(DATE($K$1,$K$2,HVB$4),Table1[],(MATCH(Calendar!$A19,DB!$1:$1,0)),FALSE),"")</f>
        <v/>
      </c>
      <c r="HVC19" s="28" t="str">
        <f>IFERROR(VLOOKUP(DATE($K$1,$K$2,HVC$4),Table1[],(MATCH(Calendar!$A19,DB!$1:$1,0)),FALSE),"")</f>
        <v/>
      </c>
      <c r="HVD19" s="28" t="str">
        <f>IFERROR(VLOOKUP(DATE($K$1,$K$2,HVD$4),Table1[],(MATCH(Calendar!$A19,DB!$1:$1,0)),FALSE),"")</f>
        <v/>
      </c>
      <c r="HVE19" s="28" t="str">
        <f>IFERROR(VLOOKUP(DATE($K$1,$K$2,HVE$4),Table1[],(MATCH(Calendar!$A19,DB!$1:$1,0)),FALSE),"")</f>
        <v/>
      </c>
      <c r="HVF19" s="28" t="str">
        <f>IFERROR(VLOOKUP(DATE($K$1,$K$2,HVF$4),Table1[],(MATCH(Calendar!$A19,DB!$1:$1,0)),FALSE),"")</f>
        <v/>
      </c>
      <c r="HVG19" s="28" t="str">
        <f>IFERROR(VLOOKUP(DATE($K$1,$K$2,HVG$4),Table1[],(MATCH(Calendar!$A19,DB!$1:$1,0)),FALSE),"")</f>
        <v/>
      </c>
      <c r="HVH19" s="28" t="str">
        <f>IFERROR(VLOOKUP(DATE($K$1,$K$2,HVH$4),Table1[],(MATCH(Calendar!$A19,DB!$1:$1,0)),FALSE),"")</f>
        <v/>
      </c>
      <c r="HVI19" s="28" t="str">
        <f>IFERROR(VLOOKUP(DATE($K$1,$K$2,HVI$4),Table1[],(MATCH(Calendar!$A19,DB!$1:$1,0)),FALSE),"")</f>
        <v/>
      </c>
      <c r="HVJ19" s="28" t="str">
        <f>IFERROR(VLOOKUP(DATE($K$1,$K$2,HVJ$4),Table1[],(MATCH(Calendar!$A19,DB!$1:$1,0)),FALSE),"")</f>
        <v/>
      </c>
      <c r="HVK19" s="28" t="str">
        <f>IFERROR(VLOOKUP(DATE($K$1,$K$2,HVK$4),Table1[],(MATCH(Calendar!$A19,DB!$1:$1,0)),FALSE),"")</f>
        <v/>
      </c>
      <c r="HVL19" s="28" t="str">
        <f>IFERROR(VLOOKUP(DATE($K$1,$K$2,HVL$4),Table1[],(MATCH(Calendar!$A19,DB!$1:$1,0)),FALSE),"")</f>
        <v/>
      </c>
      <c r="HVM19" s="28" t="str">
        <f>IFERROR(VLOOKUP(DATE($K$1,$K$2,HVM$4),Table1[],(MATCH(Calendar!$A19,DB!$1:$1,0)),FALSE),"")</f>
        <v/>
      </c>
      <c r="HVN19" s="28" t="str">
        <f>IFERROR(VLOOKUP(DATE($K$1,$K$2,HVN$4),Table1[],(MATCH(Calendar!$A19,DB!$1:$1,0)),FALSE),"")</f>
        <v/>
      </c>
      <c r="HVO19" s="28" t="str">
        <f>IFERROR(VLOOKUP(DATE($K$1,$K$2,HVO$4),Table1[],(MATCH(Calendar!$A19,DB!$1:$1,0)),FALSE),"")</f>
        <v/>
      </c>
      <c r="HVP19" s="28" t="str">
        <f>IFERROR(VLOOKUP(DATE($K$1,$K$2,HVP$4),Table1[],(MATCH(Calendar!$A19,DB!$1:$1,0)),FALSE),"")</f>
        <v/>
      </c>
      <c r="HVQ19" s="28" t="str">
        <f>IFERROR(VLOOKUP(DATE($K$1,$K$2,HVQ$4),Table1[],(MATCH(Calendar!$A19,DB!$1:$1,0)),FALSE),"")</f>
        <v/>
      </c>
      <c r="HVR19" s="28" t="str">
        <f>IFERROR(VLOOKUP(DATE($K$1,$K$2,HVR$4),Table1[],(MATCH(Calendar!$A19,DB!$1:$1,0)),FALSE),"")</f>
        <v/>
      </c>
      <c r="HVS19" s="28" t="str">
        <f>IFERROR(VLOOKUP(DATE($K$1,$K$2,HVS$4),Table1[],(MATCH(Calendar!$A19,DB!$1:$1,0)),FALSE),"")</f>
        <v/>
      </c>
      <c r="HVT19" s="28" t="str">
        <f>IFERROR(VLOOKUP(DATE($K$1,$K$2,HVT$4),Table1[],(MATCH(Calendar!$A19,DB!$1:$1,0)),FALSE),"")</f>
        <v/>
      </c>
      <c r="HVU19" s="28" t="str">
        <f>IFERROR(VLOOKUP(DATE($K$1,$K$2,HVU$4),Table1[],(MATCH(Calendar!$A19,DB!$1:$1,0)),FALSE),"")</f>
        <v/>
      </c>
      <c r="HVV19" s="28" t="str">
        <f>IFERROR(VLOOKUP(DATE($K$1,$K$2,HVV$4),Table1[],(MATCH(Calendar!$A19,DB!$1:$1,0)),FALSE),"")</f>
        <v/>
      </c>
      <c r="HVW19" s="28" t="str">
        <f>IFERROR(VLOOKUP(DATE($K$1,$K$2,HVW$4),Table1[],(MATCH(Calendar!$A19,DB!$1:$1,0)),FALSE),"")</f>
        <v/>
      </c>
      <c r="HVX19" s="28" t="str">
        <f>IFERROR(VLOOKUP(DATE($K$1,$K$2,HVX$4),Table1[],(MATCH(Calendar!$A19,DB!$1:$1,0)),FALSE),"")</f>
        <v/>
      </c>
      <c r="HVY19" s="28" t="str">
        <f>IFERROR(VLOOKUP(DATE($K$1,$K$2,HVY$4),Table1[],(MATCH(Calendar!$A19,DB!$1:$1,0)),FALSE),"")</f>
        <v/>
      </c>
      <c r="HVZ19" s="28" t="str">
        <f>IFERROR(VLOOKUP(DATE($K$1,$K$2,HVZ$4),Table1[],(MATCH(Calendar!$A19,DB!$1:$1,0)),FALSE),"")</f>
        <v/>
      </c>
      <c r="HWA19" s="28" t="str">
        <f>IFERROR(VLOOKUP(DATE($K$1,$K$2,HWA$4),Table1[],(MATCH(Calendar!$A19,DB!$1:$1,0)),FALSE),"")</f>
        <v/>
      </c>
      <c r="HWB19" s="28" t="str">
        <f>IFERROR(VLOOKUP(DATE($K$1,$K$2,HWB$4),Table1[],(MATCH(Calendar!$A19,DB!$1:$1,0)),FALSE),"")</f>
        <v/>
      </c>
      <c r="HWC19" s="28" t="str">
        <f>IFERROR(VLOOKUP(DATE($K$1,$K$2,HWC$4),Table1[],(MATCH(Calendar!$A19,DB!$1:$1,0)),FALSE),"")</f>
        <v/>
      </c>
      <c r="HWD19" s="28" t="str">
        <f>IFERROR(VLOOKUP(DATE($K$1,$K$2,HWD$4),Table1[],(MATCH(Calendar!$A19,DB!$1:$1,0)),FALSE),"")</f>
        <v/>
      </c>
      <c r="HWE19" s="28" t="str">
        <f>IFERROR(VLOOKUP(DATE($K$1,$K$2,HWE$4),Table1[],(MATCH(Calendar!$A19,DB!$1:$1,0)),FALSE),"")</f>
        <v/>
      </c>
      <c r="HWF19" s="28" t="str">
        <f>IFERROR(VLOOKUP(DATE($K$1,$K$2,HWF$4),Table1[],(MATCH(Calendar!$A19,DB!$1:$1,0)),FALSE),"")</f>
        <v/>
      </c>
      <c r="HWG19" s="28" t="str">
        <f>IFERROR(VLOOKUP(DATE($K$1,$K$2,HWG$4),Table1[],(MATCH(Calendar!$A19,DB!$1:$1,0)),FALSE),"")</f>
        <v/>
      </c>
      <c r="HWH19" s="28" t="str">
        <f>IFERROR(VLOOKUP(DATE($K$1,$K$2,HWH$4),Table1[],(MATCH(Calendar!$A19,DB!$1:$1,0)),FALSE),"")</f>
        <v/>
      </c>
      <c r="HWI19" s="28" t="str">
        <f>IFERROR(VLOOKUP(DATE($K$1,$K$2,HWI$4),Table1[],(MATCH(Calendar!$A19,DB!$1:$1,0)),FALSE),"")</f>
        <v/>
      </c>
      <c r="HWJ19" s="28" t="str">
        <f>IFERROR(VLOOKUP(DATE($K$1,$K$2,HWJ$4),Table1[],(MATCH(Calendar!$A19,DB!$1:$1,0)),FALSE),"")</f>
        <v/>
      </c>
      <c r="HWK19" s="28" t="str">
        <f>IFERROR(VLOOKUP(DATE($K$1,$K$2,HWK$4),Table1[],(MATCH(Calendar!$A19,DB!$1:$1,0)),FALSE),"")</f>
        <v/>
      </c>
      <c r="HWL19" s="28" t="str">
        <f>IFERROR(VLOOKUP(DATE($K$1,$K$2,HWL$4),Table1[],(MATCH(Calendar!$A19,DB!$1:$1,0)),FALSE),"")</f>
        <v/>
      </c>
      <c r="HWM19" s="28" t="str">
        <f>IFERROR(VLOOKUP(DATE($K$1,$K$2,HWM$4),Table1[],(MATCH(Calendar!$A19,DB!$1:$1,0)),FALSE),"")</f>
        <v/>
      </c>
      <c r="HWN19" s="28" t="str">
        <f>IFERROR(VLOOKUP(DATE($K$1,$K$2,HWN$4),Table1[],(MATCH(Calendar!$A19,DB!$1:$1,0)),FALSE),"")</f>
        <v/>
      </c>
      <c r="HWO19" s="28" t="str">
        <f>IFERROR(VLOOKUP(DATE($K$1,$K$2,HWO$4),Table1[],(MATCH(Calendar!$A19,DB!$1:$1,0)),FALSE),"")</f>
        <v/>
      </c>
      <c r="HWP19" s="28" t="str">
        <f>IFERROR(VLOOKUP(DATE($K$1,$K$2,HWP$4),Table1[],(MATCH(Calendar!$A19,DB!$1:$1,0)),FALSE),"")</f>
        <v/>
      </c>
      <c r="HWQ19" s="28" t="str">
        <f>IFERROR(VLOOKUP(DATE($K$1,$K$2,HWQ$4),Table1[],(MATCH(Calendar!$A19,DB!$1:$1,0)),FALSE),"")</f>
        <v/>
      </c>
      <c r="HWR19" s="28" t="str">
        <f>IFERROR(VLOOKUP(DATE($K$1,$K$2,HWR$4),Table1[],(MATCH(Calendar!$A19,DB!$1:$1,0)),FALSE),"")</f>
        <v/>
      </c>
      <c r="HWS19" s="28" t="str">
        <f>IFERROR(VLOOKUP(DATE($K$1,$K$2,HWS$4),Table1[],(MATCH(Calendar!$A19,DB!$1:$1,0)),FALSE),"")</f>
        <v/>
      </c>
      <c r="HWT19" s="28" t="str">
        <f>IFERROR(VLOOKUP(DATE($K$1,$K$2,HWT$4),Table1[],(MATCH(Calendar!$A19,DB!$1:$1,0)),FALSE),"")</f>
        <v/>
      </c>
      <c r="HWU19" s="28" t="str">
        <f>IFERROR(VLOOKUP(DATE($K$1,$K$2,HWU$4),Table1[],(MATCH(Calendar!$A19,DB!$1:$1,0)),FALSE),"")</f>
        <v/>
      </c>
      <c r="HWV19" s="28" t="str">
        <f>IFERROR(VLOOKUP(DATE($K$1,$K$2,HWV$4),Table1[],(MATCH(Calendar!$A19,DB!$1:$1,0)),FALSE),"")</f>
        <v/>
      </c>
      <c r="HWW19" s="28" t="str">
        <f>IFERROR(VLOOKUP(DATE($K$1,$K$2,HWW$4),Table1[],(MATCH(Calendar!$A19,DB!$1:$1,0)),FALSE),"")</f>
        <v/>
      </c>
      <c r="HWX19" s="28" t="str">
        <f>IFERROR(VLOOKUP(DATE($K$1,$K$2,HWX$4),Table1[],(MATCH(Calendar!$A19,DB!$1:$1,0)),FALSE),"")</f>
        <v/>
      </c>
      <c r="HWY19" s="28" t="str">
        <f>IFERROR(VLOOKUP(DATE($K$1,$K$2,HWY$4),Table1[],(MATCH(Calendar!$A19,DB!$1:$1,0)),FALSE),"")</f>
        <v/>
      </c>
      <c r="HWZ19" s="28" t="str">
        <f>IFERROR(VLOOKUP(DATE($K$1,$K$2,HWZ$4),Table1[],(MATCH(Calendar!$A19,DB!$1:$1,0)),FALSE),"")</f>
        <v/>
      </c>
      <c r="HXA19" s="28" t="str">
        <f>IFERROR(VLOOKUP(DATE($K$1,$K$2,HXA$4),Table1[],(MATCH(Calendar!$A19,DB!$1:$1,0)),FALSE),"")</f>
        <v/>
      </c>
      <c r="HXB19" s="28" t="str">
        <f>IFERROR(VLOOKUP(DATE($K$1,$K$2,HXB$4),Table1[],(MATCH(Calendar!$A19,DB!$1:$1,0)),FALSE),"")</f>
        <v/>
      </c>
      <c r="HXC19" s="28" t="str">
        <f>IFERROR(VLOOKUP(DATE($K$1,$K$2,HXC$4),Table1[],(MATCH(Calendar!$A19,DB!$1:$1,0)),FALSE),"")</f>
        <v/>
      </c>
      <c r="HXD19" s="28" t="str">
        <f>IFERROR(VLOOKUP(DATE($K$1,$K$2,HXD$4),Table1[],(MATCH(Calendar!$A19,DB!$1:$1,0)),FALSE),"")</f>
        <v/>
      </c>
      <c r="HXE19" s="28" t="str">
        <f>IFERROR(VLOOKUP(DATE($K$1,$K$2,HXE$4),Table1[],(MATCH(Calendar!$A19,DB!$1:$1,0)),FALSE),"")</f>
        <v/>
      </c>
      <c r="HXF19" s="28" t="str">
        <f>IFERROR(VLOOKUP(DATE($K$1,$K$2,HXF$4),Table1[],(MATCH(Calendar!$A19,DB!$1:$1,0)),FALSE),"")</f>
        <v/>
      </c>
      <c r="HXG19" s="28" t="str">
        <f>IFERROR(VLOOKUP(DATE($K$1,$K$2,HXG$4),Table1[],(MATCH(Calendar!$A19,DB!$1:$1,0)),FALSE),"")</f>
        <v/>
      </c>
      <c r="HXH19" s="28" t="str">
        <f>IFERROR(VLOOKUP(DATE($K$1,$K$2,HXH$4),Table1[],(MATCH(Calendar!$A19,DB!$1:$1,0)),FALSE),"")</f>
        <v/>
      </c>
      <c r="HXI19" s="28" t="str">
        <f>IFERROR(VLOOKUP(DATE($K$1,$K$2,HXI$4),Table1[],(MATCH(Calendar!$A19,DB!$1:$1,0)),FALSE),"")</f>
        <v/>
      </c>
      <c r="HXJ19" s="28" t="str">
        <f>IFERROR(VLOOKUP(DATE($K$1,$K$2,HXJ$4),Table1[],(MATCH(Calendar!$A19,DB!$1:$1,0)),FALSE),"")</f>
        <v/>
      </c>
      <c r="HXK19" s="28" t="str">
        <f>IFERROR(VLOOKUP(DATE($K$1,$K$2,HXK$4),Table1[],(MATCH(Calendar!$A19,DB!$1:$1,0)),FALSE),"")</f>
        <v/>
      </c>
      <c r="HXL19" s="28" t="str">
        <f>IFERROR(VLOOKUP(DATE($K$1,$K$2,HXL$4),Table1[],(MATCH(Calendar!$A19,DB!$1:$1,0)),FALSE),"")</f>
        <v/>
      </c>
      <c r="HXM19" s="28" t="str">
        <f>IFERROR(VLOOKUP(DATE($K$1,$K$2,HXM$4),Table1[],(MATCH(Calendar!$A19,DB!$1:$1,0)),FALSE),"")</f>
        <v/>
      </c>
      <c r="HXN19" s="28" t="str">
        <f>IFERROR(VLOOKUP(DATE($K$1,$K$2,HXN$4),Table1[],(MATCH(Calendar!$A19,DB!$1:$1,0)),FALSE),"")</f>
        <v/>
      </c>
      <c r="HXO19" s="28" t="str">
        <f>IFERROR(VLOOKUP(DATE($K$1,$K$2,HXO$4),Table1[],(MATCH(Calendar!$A19,DB!$1:$1,0)),FALSE),"")</f>
        <v/>
      </c>
      <c r="HXP19" s="28" t="str">
        <f>IFERROR(VLOOKUP(DATE($K$1,$K$2,HXP$4),Table1[],(MATCH(Calendar!$A19,DB!$1:$1,0)),FALSE),"")</f>
        <v/>
      </c>
      <c r="HXQ19" s="28" t="str">
        <f>IFERROR(VLOOKUP(DATE($K$1,$K$2,HXQ$4),Table1[],(MATCH(Calendar!$A19,DB!$1:$1,0)),FALSE),"")</f>
        <v/>
      </c>
      <c r="HXR19" s="28" t="str">
        <f>IFERROR(VLOOKUP(DATE($K$1,$K$2,HXR$4),Table1[],(MATCH(Calendar!$A19,DB!$1:$1,0)),FALSE),"")</f>
        <v/>
      </c>
      <c r="HXS19" s="28" t="str">
        <f>IFERROR(VLOOKUP(DATE($K$1,$K$2,HXS$4),Table1[],(MATCH(Calendar!$A19,DB!$1:$1,0)),FALSE),"")</f>
        <v/>
      </c>
      <c r="HXT19" s="28" t="str">
        <f>IFERROR(VLOOKUP(DATE($K$1,$K$2,HXT$4),Table1[],(MATCH(Calendar!$A19,DB!$1:$1,0)),FALSE),"")</f>
        <v/>
      </c>
      <c r="HXU19" s="28" t="str">
        <f>IFERROR(VLOOKUP(DATE($K$1,$K$2,HXU$4),Table1[],(MATCH(Calendar!$A19,DB!$1:$1,0)),FALSE),"")</f>
        <v/>
      </c>
      <c r="HXV19" s="28" t="str">
        <f>IFERROR(VLOOKUP(DATE($K$1,$K$2,HXV$4),Table1[],(MATCH(Calendar!$A19,DB!$1:$1,0)),FALSE),"")</f>
        <v/>
      </c>
      <c r="HXW19" s="28" t="str">
        <f>IFERROR(VLOOKUP(DATE($K$1,$K$2,HXW$4),Table1[],(MATCH(Calendar!$A19,DB!$1:$1,0)),FALSE),"")</f>
        <v/>
      </c>
      <c r="HXX19" s="28" t="str">
        <f>IFERROR(VLOOKUP(DATE($K$1,$K$2,HXX$4),Table1[],(MATCH(Calendar!$A19,DB!$1:$1,0)),FALSE),"")</f>
        <v/>
      </c>
      <c r="HXY19" s="28" t="str">
        <f>IFERROR(VLOOKUP(DATE($K$1,$K$2,HXY$4),Table1[],(MATCH(Calendar!$A19,DB!$1:$1,0)),FALSE),"")</f>
        <v/>
      </c>
      <c r="HXZ19" s="28" t="str">
        <f>IFERROR(VLOOKUP(DATE($K$1,$K$2,HXZ$4),Table1[],(MATCH(Calendar!$A19,DB!$1:$1,0)),FALSE),"")</f>
        <v/>
      </c>
      <c r="HYA19" s="28" t="str">
        <f>IFERROR(VLOOKUP(DATE($K$1,$K$2,HYA$4),Table1[],(MATCH(Calendar!$A19,DB!$1:$1,0)),FALSE),"")</f>
        <v/>
      </c>
      <c r="HYB19" s="28" t="str">
        <f>IFERROR(VLOOKUP(DATE($K$1,$K$2,HYB$4),Table1[],(MATCH(Calendar!$A19,DB!$1:$1,0)),FALSE),"")</f>
        <v/>
      </c>
      <c r="HYC19" s="28" t="str">
        <f>IFERROR(VLOOKUP(DATE($K$1,$K$2,HYC$4),Table1[],(MATCH(Calendar!$A19,DB!$1:$1,0)),FALSE),"")</f>
        <v/>
      </c>
      <c r="HYD19" s="28" t="str">
        <f>IFERROR(VLOOKUP(DATE($K$1,$K$2,HYD$4),Table1[],(MATCH(Calendar!$A19,DB!$1:$1,0)),FALSE),"")</f>
        <v/>
      </c>
      <c r="HYE19" s="28" t="str">
        <f>IFERROR(VLOOKUP(DATE($K$1,$K$2,HYE$4),Table1[],(MATCH(Calendar!$A19,DB!$1:$1,0)),FALSE),"")</f>
        <v/>
      </c>
      <c r="HYF19" s="28" t="str">
        <f>IFERROR(VLOOKUP(DATE($K$1,$K$2,HYF$4),Table1[],(MATCH(Calendar!$A19,DB!$1:$1,0)),FALSE),"")</f>
        <v/>
      </c>
      <c r="HYG19" s="28" t="str">
        <f>IFERROR(VLOOKUP(DATE($K$1,$K$2,HYG$4),Table1[],(MATCH(Calendar!$A19,DB!$1:$1,0)),FALSE),"")</f>
        <v/>
      </c>
      <c r="HYH19" s="28" t="str">
        <f>IFERROR(VLOOKUP(DATE($K$1,$K$2,HYH$4),Table1[],(MATCH(Calendar!$A19,DB!$1:$1,0)),FALSE),"")</f>
        <v/>
      </c>
      <c r="HYI19" s="28" t="str">
        <f>IFERROR(VLOOKUP(DATE($K$1,$K$2,HYI$4),Table1[],(MATCH(Calendar!$A19,DB!$1:$1,0)),FALSE),"")</f>
        <v/>
      </c>
      <c r="HYJ19" s="28" t="str">
        <f>IFERROR(VLOOKUP(DATE($K$1,$K$2,HYJ$4),Table1[],(MATCH(Calendar!$A19,DB!$1:$1,0)),FALSE),"")</f>
        <v/>
      </c>
      <c r="HYK19" s="28" t="str">
        <f>IFERROR(VLOOKUP(DATE($K$1,$K$2,HYK$4),Table1[],(MATCH(Calendar!$A19,DB!$1:$1,0)),FALSE),"")</f>
        <v/>
      </c>
      <c r="HYL19" s="28" t="str">
        <f>IFERROR(VLOOKUP(DATE($K$1,$K$2,HYL$4),Table1[],(MATCH(Calendar!$A19,DB!$1:$1,0)),FALSE),"")</f>
        <v/>
      </c>
      <c r="HYM19" s="28" t="str">
        <f>IFERROR(VLOOKUP(DATE($K$1,$K$2,HYM$4),Table1[],(MATCH(Calendar!$A19,DB!$1:$1,0)),FALSE),"")</f>
        <v/>
      </c>
      <c r="HYN19" s="28" t="str">
        <f>IFERROR(VLOOKUP(DATE($K$1,$K$2,HYN$4),Table1[],(MATCH(Calendar!$A19,DB!$1:$1,0)),FALSE),"")</f>
        <v/>
      </c>
      <c r="HYO19" s="28" t="str">
        <f>IFERROR(VLOOKUP(DATE($K$1,$K$2,HYO$4),Table1[],(MATCH(Calendar!$A19,DB!$1:$1,0)),FALSE),"")</f>
        <v/>
      </c>
      <c r="HYP19" s="28" t="str">
        <f>IFERROR(VLOOKUP(DATE($K$1,$K$2,HYP$4),Table1[],(MATCH(Calendar!$A19,DB!$1:$1,0)),FALSE),"")</f>
        <v/>
      </c>
      <c r="HYQ19" s="28" t="str">
        <f>IFERROR(VLOOKUP(DATE($K$1,$K$2,HYQ$4),Table1[],(MATCH(Calendar!$A19,DB!$1:$1,0)),FALSE),"")</f>
        <v/>
      </c>
      <c r="HYR19" s="28" t="str">
        <f>IFERROR(VLOOKUP(DATE($K$1,$K$2,HYR$4),Table1[],(MATCH(Calendar!$A19,DB!$1:$1,0)),FALSE),"")</f>
        <v/>
      </c>
      <c r="HYS19" s="28" t="str">
        <f>IFERROR(VLOOKUP(DATE($K$1,$K$2,HYS$4),Table1[],(MATCH(Calendar!$A19,DB!$1:$1,0)),FALSE),"")</f>
        <v/>
      </c>
      <c r="HYT19" s="28" t="str">
        <f>IFERROR(VLOOKUP(DATE($K$1,$K$2,HYT$4),Table1[],(MATCH(Calendar!$A19,DB!$1:$1,0)),FALSE),"")</f>
        <v/>
      </c>
      <c r="HYU19" s="28" t="str">
        <f>IFERROR(VLOOKUP(DATE($K$1,$K$2,HYU$4),Table1[],(MATCH(Calendar!$A19,DB!$1:$1,0)),FALSE),"")</f>
        <v/>
      </c>
      <c r="HYV19" s="28" t="str">
        <f>IFERROR(VLOOKUP(DATE($K$1,$K$2,HYV$4),Table1[],(MATCH(Calendar!$A19,DB!$1:$1,0)),FALSE),"")</f>
        <v/>
      </c>
      <c r="HYW19" s="28" t="str">
        <f>IFERROR(VLOOKUP(DATE($K$1,$K$2,HYW$4),Table1[],(MATCH(Calendar!$A19,DB!$1:$1,0)),FALSE),"")</f>
        <v/>
      </c>
      <c r="HYX19" s="28" t="str">
        <f>IFERROR(VLOOKUP(DATE($K$1,$K$2,HYX$4),Table1[],(MATCH(Calendar!$A19,DB!$1:$1,0)),FALSE),"")</f>
        <v/>
      </c>
      <c r="HYY19" s="28" t="str">
        <f>IFERROR(VLOOKUP(DATE($K$1,$K$2,HYY$4),Table1[],(MATCH(Calendar!$A19,DB!$1:$1,0)),FALSE),"")</f>
        <v/>
      </c>
      <c r="HYZ19" s="28" t="str">
        <f>IFERROR(VLOOKUP(DATE($K$1,$K$2,HYZ$4),Table1[],(MATCH(Calendar!$A19,DB!$1:$1,0)),FALSE),"")</f>
        <v/>
      </c>
      <c r="HZA19" s="28" t="str">
        <f>IFERROR(VLOOKUP(DATE($K$1,$K$2,HZA$4),Table1[],(MATCH(Calendar!$A19,DB!$1:$1,0)),FALSE),"")</f>
        <v/>
      </c>
      <c r="HZB19" s="28" t="str">
        <f>IFERROR(VLOOKUP(DATE($K$1,$K$2,HZB$4),Table1[],(MATCH(Calendar!$A19,DB!$1:$1,0)),FALSE),"")</f>
        <v/>
      </c>
      <c r="HZC19" s="28" t="str">
        <f>IFERROR(VLOOKUP(DATE($K$1,$K$2,HZC$4),Table1[],(MATCH(Calendar!$A19,DB!$1:$1,0)),FALSE),"")</f>
        <v/>
      </c>
      <c r="HZD19" s="28" t="str">
        <f>IFERROR(VLOOKUP(DATE($K$1,$K$2,HZD$4),Table1[],(MATCH(Calendar!$A19,DB!$1:$1,0)),FALSE),"")</f>
        <v/>
      </c>
      <c r="HZE19" s="28" t="str">
        <f>IFERROR(VLOOKUP(DATE($K$1,$K$2,HZE$4),Table1[],(MATCH(Calendar!$A19,DB!$1:$1,0)),FALSE),"")</f>
        <v/>
      </c>
      <c r="HZF19" s="28" t="str">
        <f>IFERROR(VLOOKUP(DATE($K$1,$K$2,HZF$4),Table1[],(MATCH(Calendar!$A19,DB!$1:$1,0)),FALSE),"")</f>
        <v/>
      </c>
      <c r="HZG19" s="28" t="str">
        <f>IFERROR(VLOOKUP(DATE($K$1,$K$2,HZG$4),Table1[],(MATCH(Calendar!$A19,DB!$1:$1,0)),FALSE),"")</f>
        <v/>
      </c>
      <c r="HZH19" s="28" t="str">
        <f>IFERROR(VLOOKUP(DATE($K$1,$K$2,HZH$4),Table1[],(MATCH(Calendar!$A19,DB!$1:$1,0)),FALSE),"")</f>
        <v/>
      </c>
      <c r="HZI19" s="28" t="str">
        <f>IFERROR(VLOOKUP(DATE($K$1,$K$2,HZI$4),Table1[],(MATCH(Calendar!$A19,DB!$1:$1,0)),FALSE),"")</f>
        <v/>
      </c>
      <c r="HZJ19" s="28" t="str">
        <f>IFERROR(VLOOKUP(DATE($K$1,$K$2,HZJ$4),Table1[],(MATCH(Calendar!$A19,DB!$1:$1,0)),FALSE),"")</f>
        <v/>
      </c>
      <c r="HZK19" s="28" t="str">
        <f>IFERROR(VLOOKUP(DATE($K$1,$K$2,HZK$4),Table1[],(MATCH(Calendar!$A19,DB!$1:$1,0)),FALSE),"")</f>
        <v/>
      </c>
      <c r="HZL19" s="28" t="str">
        <f>IFERROR(VLOOKUP(DATE($K$1,$K$2,HZL$4),Table1[],(MATCH(Calendar!$A19,DB!$1:$1,0)),FALSE),"")</f>
        <v/>
      </c>
      <c r="HZM19" s="28" t="str">
        <f>IFERROR(VLOOKUP(DATE($K$1,$K$2,HZM$4),Table1[],(MATCH(Calendar!$A19,DB!$1:$1,0)),FALSE),"")</f>
        <v/>
      </c>
      <c r="HZN19" s="28" t="str">
        <f>IFERROR(VLOOKUP(DATE($K$1,$K$2,HZN$4),Table1[],(MATCH(Calendar!$A19,DB!$1:$1,0)),FALSE),"")</f>
        <v/>
      </c>
      <c r="HZO19" s="28" t="str">
        <f>IFERROR(VLOOKUP(DATE($K$1,$K$2,HZO$4),Table1[],(MATCH(Calendar!$A19,DB!$1:$1,0)),FALSE),"")</f>
        <v/>
      </c>
      <c r="HZP19" s="28" t="str">
        <f>IFERROR(VLOOKUP(DATE($K$1,$K$2,HZP$4),Table1[],(MATCH(Calendar!$A19,DB!$1:$1,0)),FALSE),"")</f>
        <v/>
      </c>
      <c r="HZQ19" s="28" t="str">
        <f>IFERROR(VLOOKUP(DATE($K$1,$K$2,HZQ$4),Table1[],(MATCH(Calendar!$A19,DB!$1:$1,0)),FALSE),"")</f>
        <v/>
      </c>
      <c r="HZR19" s="28" t="str">
        <f>IFERROR(VLOOKUP(DATE($K$1,$K$2,HZR$4),Table1[],(MATCH(Calendar!$A19,DB!$1:$1,0)),FALSE),"")</f>
        <v/>
      </c>
      <c r="HZS19" s="28" t="str">
        <f>IFERROR(VLOOKUP(DATE($K$1,$K$2,HZS$4),Table1[],(MATCH(Calendar!$A19,DB!$1:$1,0)),FALSE),"")</f>
        <v/>
      </c>
      <c r="HZT19" s="28" t="str">
        <f>IFERROR(VLOOKUP(DATE($K$1,$K$2,HZT$4),Table1[],(MATCH(Calendar!$A19,DB!$1:$1,0)),FALSE),"")</f>
        <v/>
      </c>
      <c r="HZU19" s="28" t="str">
        <f>IFERROR(VLOOKUP(DATE($K$1,$K$2,HZU$4),Table1[],(MATCH(Calendar!$A19,DB!$1:$1,0)),FALSE),"")</f>
        <v/>
      </c>
      <c r="HZV19" s="28" t="str">
        <f>IFERROR(VLOOKUP(DATE($K$1,$K$2,HZV$4),Table1[],(MATCH(Calendar!$A19,DB!$1:$1,0)),FALSE),"")</f>
        <v/>
      </c>
      <c r="HZW19" s="28" t="str">
        <f>IFERROR(VLOOKUP(DATE($K$1,$K$2,HZW$4),Table1[],(MATCH(Calendar!$A19,DB!$1:$1,0)),FALSE),"")</f>
        <v/>
      </c>
      <c r="HZX19" s="28" t="str">
        <f>IFERROR(VLOOKUP(DATE($K$1,$K$2,HZX$4),Table1[],(MATCH(Calendar!$A19,DB!$1:$1,0)),FALSE),"")</f>
        <v/>
      </c>
      <c r="HZY19" s="28" t="str">
        <f>IFERROR(VLOOKUP(DATE($K$1,$K$2,HZY$4),Table1[],(MATCH(Calendar!$A19,DB!$1:$1,0)),FALSE),"")</f>
        <v/>
      </c>
      <c r="HZZ19" s="28" t="str">
        <f>IFERROR(VLOOKUP(DATE($K$1,$K$2,HZZ$4),Table1[],(MATCH(Calendar!$A19,DB!$1:$1,0)),FALSE),"")</f>
        <v/>
      </c>
      <c r="IAA19" s="28" t="str">
        <f>IFERROR(VLOOKUP(DATE($K$1,$K$2,IAA$4),Table1[],(MATCH(Calendar!$A19,DB!$1:$1,0)),FALSE),"")</f>
        <v/>
      </c>
      <c r="IAB19" s="28" t="str">
        <f>IFERROR(VLOOKUP(DATE($K$1,$K$2,IAB$4),Table1[],(MATCH(Calendar!$A19,DB!$1:$1,0)),FALSE),"")</f>
        <v/>
      </c>
      <c r="IAC19" s="28" t="str">
        <f>IFERROR(VLOOKUP(DATE($K$1,$K$2,IAC$4),Table1[],(MATCH(Calendar!$A19,DB!$1:$1,0)),FALSE),"")</f>
        <v/>
      </c>
      <c r="IAD19" s="28" t="str">
        <f>IFERROR(VLOOKUP(DATE($K$1,$K$2,IAD$4),Table1[],(MATCH(Calendar!$A19,DB!$1:$1,0)),FALSE),"")</f>
        <v/>
      </c>
      <c r="IAE19" s="28" t="str">
        <f>IFERROR(VLOOKUP(DATE($K$1,$K$2,IAE$4),Table1[],(MATCH(Calendar!$A19,DB!$1:$1,0)),FALSE),"")</f>
        <v/>
      </c>
      <c r="IAF19" s="28" t="str">
        <f>IFERROR(VLOOKUP(DATE($K$1,$K$2,IAF$4),Table1[],(MATCH(Calendar!$A19,DB!$1:$1,0)),FALSE),"")</f>
        <v/>
      </c>
      <c r="IAG19" s="28" t="str">
        <f>IFERROR(VLOOKUP(DATE($K$1,$K$2,IAG$4),Table1[],(MATCH(Calendar!$A19,DB!$1:$1,0)),FALSE),"")</f>
        <v/>
      </c>
      <c r="IAH19" s="28" t="str">
        <f>IFERROR(VLOOKUP(DATE($K$1,$K$2,IAH$4),Table1[],(MATCH(Calendar!$A19,DB!$1:$1,0)),FALSE),"")</f>
        <v/>
      </c>
      <c r="IAI19" s="28" t="str">
        <f>IFERROR(VLOOKUP(DATE($K$1,$K$2,IAI$4),Table1[],(MATCH(Calendar!$A19,DB!$1:$1,0)),FALSE),"")</f>
        <v/>
      </c>
      <c r="IAJ19" s="28" t="str">
        <f>IFERROR(VLOOKUP(DATE($K$1,$K$2,IAJ$4),Table1[],(MATCH(Calendar!$A19,DB!$1:$1,0)),FALSE),"")</f>
        <v/>
      </c>
      <c r="IAK19" s="28" t="str">
        <f>IFERROR(VLOOKUP(DATE($K$1,$K$2,IAK$4),Table1[],(MATCH(Calendar!$A19,DB!$1:$1,0)),FALSE),"")</f>
        <v/>
      </c>
      <c r="IAL19" s="28" t="str">
        <f>IFERROR(VLOOKUP(DATE($K$1,$K$2,IAL$4),Table1[],(MATCH(Calendar!$A19,DB!$1:$1,0)),FALSE),"")</f>
        <v/>
      </c>
      <c r="IAM19" s="28" t="str">
        <f>IFERROR(VLOOKUP(DATE($K$1,$K$2,IAM$4),Table1[],(MATCH(Calendar!$A19,DB!$1:$1,0)),FALSE),"")</f>
        <v/>
      </c>
      <c r="IAN19" s="28" t="str">
        <f>IFERROR(VLOOKUP(DATE($K$1,$K$2,IAN$4),Table1[],(MATCH(Calendar!$A19,DB!$1:$1,0)),FALSE),"")</f>
        <v/>
      </c>
      <c r="IAO19" s="28" t="str">
        <f>IFERROR(VLOOKUP(DATE($K$1,$K$2,IAO$4),Table1[],(MATCH(Calendar!$A19,DB!$1:$1,0)),FALSE),"")</f>
        <v/>
      </c>
      <c r="IAP19" s="28" t="str">
        <f>IFERROR(VLOOKUP(DATE($K$1,$K$2,IAP$4),Table1[],(MATCH(Calendar!$A19,DB!$1:$1,0)),FALSE),"")</f>
        <v/>
      </c>
      <c r="IAQ19" s="28" t="str">
        <f>IFERROR(VLOOKUP(DATE($K$1,$K$2,IAQ$4),Table1[],(MATCH(Calendar!$A19,DB!$1:$1,0)),FALSE),"")</f>
        <v/>
      </c>
      <c r="IAR19" s="28" t="str">
        <f>IFERROR(VLOOKUP(DATE($K$1,$K$2,IAR$4),Table1[],(MATCH(Calendar!$A19,DB!$1:$1,0)),FALSE),"")</f>
        <v/>
      </c>
      <c r="IAS19" s="28" t="str">
        <f>IFERROR(VLOOKUP(DATE($K$1,$K$2,IAS$4),Table1[],(MATCH(Calendar!$A19,DB!$1:$1,0)),FALSE),"")</f>
        <v/>
      </c>
      <c r="IAT19" s="28" t="str">
        <f>IFERROR(VLOOKUP(DATE($K$1,$K$2,IAT$4),Table1[],(MATCH(Calendar!$A19,DB!$1:$1,0)),FALSE),"")</f>
        <v/>
      </c>
      <c r="IAU19" s="28" t="str">
        <f>IFERROR(VLOOKUP(DATE($K$1,$K$2,IAU$4),Table1[],(MATCH(Calendar!$A19,DB!$1:$1,0)),FALSE),"")</f>
        <v/>
      </c>
      <c r="IAV19" s="28" t="str">
        <f>IFERROR(VLOOKUP(DATE($K$1,$K$2,IAV$4),Table1[],(MATCH(Calendar!$A19,DB!$1:$1,0)),FALSE),"")</f>
        <v/>
      </c>
      <c r="IAW19" s="28" t="str">
        <f>IFERROR(VLOOKUP(DATE($K$1,$K$2,IAW$4),Table1[],(MATCH(Calendar!$A19,DB!$1:$1,0)),FALSE),"")</f>
        <v/>
      </c>
      <c r="IAX19" s="28" t="str">
        <f>IFERROR(VLOOKUP(DATE($K$1,$K$2,IAX$4),Table1[],(MATCH(Calendar!$A19,DB!$1:$1,0)),FALSE),"")</f>
        <v/>
      </c>
      <c r="IAY19" s="28" t="str">
        <f>IFERROR(VLOOKUP(DATE($K$1,$K$2,IAY$4),Table1[],(MATCH(Calendar!$A19,DB!$1:$1,0)),FALSE),"")</f>
        <v/>
      </c>
      <c r="IAZ19" s="28" t="str">
        <f>IFERROR(VLOOKUP(DATE($K$1,$K$2,IAZ$4),Table1[],(MATCH(Calendar!$A19,DB!$1:$1,0)),FALSE),"")</f>
        <v/>
      </c>
      <c r="IBA19" s="28" t="str">
        <f>IFERROR(VLOOKUP(DATE($K$1,$K$2,IBA$4),Table1[],(MATCH(Calendar!$A19,DB!$1:$1,0)),FALSE),"")</f>
        <v/>
      </c>
      <c r="IBB19" s="28" t="str">
        <f>IFERROR(VLOOKUP(DATE($K$1,$K$2,IBB$4),Table1[],(MATCH(Calendar!$A19,DB!$1:$1,0)),FALSE),"")</f>
        <v/>
      </c>
      <c r="IBC19" s="28" t="str">
        <f>IFERROR(VLOOKUP(DATE($K$1,$K$2,IBC$4),Table1[],(MATCH(Calendar!$A19,DB!$1:$1,0)),FALSE),"")</f>
        <v/>
      </c>
      <c r="IBD19" s="28" t="str">
        <f>IFERROR(VLOOKUP(DATE($K$1,$K$2,IBD$4),Table1[],(MATCH(Calendar!$A19,DB!$1:$1,0)),FALSE),"")</f>
        <v/>
      </c>
      <c r="IBE19" s="28" t="str">
        <f>IFERROR(VLOOKUP(DATE($K$1,$K$2,IBE$4),Table1[],(MATCH(Calendar!$A19,DB!$1:$1,0)),FALSE),"")</f>
        <v/>
      </c>
      <c r="IBF19" s="28" t="str">
        <f>IFERROR(VLOOKUP(DATE($K$1,$K$2,IBF$4),Table1[],(MATCH(Calendar!$A19,DB!$1:$1,0)),FALSE),"")</f>
        <v/>
      </c>
      <c r="IBG19" s="28" t="str">
        <f>IFERROR(VLOOKUP(DATE($K$1,$K$2,IBG$4),Table1[],(MATCH(Calendar!$A19,DB!$1:$1,0)),FALSE),"")</f>
        <v/>
      </c>
      <c r="IBH19" s="28" t="str">
        <f>IFERROR(VLOOKUP(DATE($K$1,$K$2,IBH$4),Table1[],(MATCH(Calendar!$A19,DB!$1:$1,0)),FALSE),"")</f>
        <v/>
      </c>
      <c r="IBI19" s="28" t="str">
        <f>IFERROR(VLOOKUP(DATE($K$1,$K$2,IBI$4),Table1[],(MATCH(Calendar!$A19,DB!$1:$1,0)),FALSE),"")</f>
        <v/>
      </c>
      <c r="IBJ19" s="28" t="str">
        <f>IFERROR(VLOOKUP(DATE($K$1,$K$2,IBJ$4),Table1[],(MATCH(Calendar!$A19,DB!$1:$1,0)),FALSE),"")</f>
        <v/>
      </c>
      <c r="IBK19" s="28" t="str">
        <f>IFERROR(VLOOKUP(DATE($K$1,$K$2,IBK$4),Table1[],(MATCH(Calendar!$A19,DB!$1:$1,0)),FALSE),"")</f>
        <v/>
      </c>
      <c r="IBL19" s="28" t="str">
        <f>IFERROR(VLOOKUP(DATE($K$1,$K$2,IBL$4),Table1[],(MATCH(Calendar!$A19,DB!$1:$1,0)),FALSE),"")</f>
        <v/>
      </c>
      <c r="IBM19" s="28" t="str">
        <f>IFERROR(VLOOKUP(DATE($K$1,$K$2,IBM$4),Table1[],(MATCH(Calendar!$A19,DB!$1:$1,0)),FALSE),"")</f>
        <v/>
      </c>
      <c r="IBN19" s="28" t="str">
        <f>IFERROR(VLOOKUP(DATE($K$1,$K$2,IBN$4),Table1[],(MATCH(Calendar!$A19,DB!$1:$1,0)),FALSE),"")</f>
        <v/>
      </c>
      <c r="IBO19" s="28" t="str">
        <f>IFERROR(VLOOKUP(DATE($K$1,$K$2,IBO$4),Table1[],(MATCH(Calendar!$A19,DB!$1:$1,0)),FALSE),"")</f>
        <v/>
      </c>
      <c r="IBP19" s="28" t="str">
        <f>IFERROR(VLOOKUP(DATE($K$1,$K$2,IBP$4),Table1[],(MATCH(Calendar!$A19,DB!$1:$1,0)),FALSE),"")</f>
        <v/>
      </c>
      <c r="IBQ19" s="28" t="str">
        <f>IFERROR(VLOOKUP(DATE($K$1,$K$2,IBQ$4),Table1[],(MATCH(Calendar!$A19,DB!$1:$1,0)),FALSE),"")</f>
        <v/>
      </c>
      <c r="IBR19" s="28" t="str">
        <f>IFERROR(VLOOKUP(DATE($K$1,$K$2,IBR$4),Table1[],(MATCH(Calendar!$A19,DB!$1:$1,0)),FALSE),"")</f>
        <v/>
      </c>
      <c r="IBS19" s="28" t="str">
        <f>IFERROR(VLOOKUP(DATE($K$1,$K$2,IBS$4),Table1[],(MATCH(Calendar!$A19,DB!$1:$1,0)),FALSE),"")</f>
        <v/>
      </c>
      <c r="IBT19" s="28" t="str">
        <f>IFERROR(VLOOKUP(DATE($K$1,$K$2,IBT$4),Table1[],(MATCH(Calendar!$A19,DB!$1:$1,0)),FALSE),"")</f>
        <v/>
      </c>
      <c r="IBU19" s="28" t="str">
        <f>IFERROR(VLOOKUP(DATE($K$1,$K$2,IBU$4),Table1[],(MATCH(Calendar!$A19,DB!$1:$1,0)),FALSE),"")</f>
        <v/>
      </c>
      <c r="IBV19" s="28" t="str">
        <f>IFERROR(VLOOKUP(DATE($K$1,$K$2,IBV$4),Table1[],(MATCH(Calendar!$A19,DB!$1:$1,0)),FALSE),"")</f>
        <v/>
      </c>
      <c r="IBW19" s="28" t="str">
        <f>IFERROR(VLOOKUP(DATE($K$1,$K$2,IBW$4),Table1[],(MATCH(Calendar!$A19,DB!$1:$1,0)),FALSE),"")</f>
        <v/>
      </c>
      <c r="IBX19" s="28" t="str">
        <f>IFERROR(VLOOKUP(DATE($K$1,$K$2,IBX$4),Table1[],(MATCH(Calendar!$A19,DB!$1:$1,0)),FALSE),"")</f>
        <v/>
      </c>
      <c r="IBY19" s="28" t="str">
        <f>IFERROR(VLOOKUP(DATE($K$1,$K$2,IBY$4),Table1[],(MATCH(Calendar!$A19,DB!$1:$1,0)),FALSE),"")</f>
        <v/>
      </c>
      <c r="IBZ19" s="28" t="str">
        <f>IFERROR(VLOOKUP(DATE($K$1,$K$2,IBZ$4),Table1[],(MATCH(Calendar!$A19,DB!$1:$1,0)),FALSE),"")</f>
        <v/>
      </c>
      <c r="ICA19" s="28" t="str">
        <f>IFERROR(VLOOKUP(DATE($K$1,$K$2,ICA$4),Table1[],(MATCH(Calendar!$A19,DB!$1:$1,0)),FALSE),"")</f>
        <v/>
      </c>
      <c r="ICB19" s="28" t="str">
        <f>IFERROR(VLOOKUP(DATE($K$1,$K$2,ICB$4),Table1[],(MATCH(Calendar!$A19,DB!$1:$1,0)),FALSE),"")</f>
        <v/>
      </c>
      <c r="ICC19" s="28" t="str">
        <f>IFERROR(VLOOKUP(DATE($K$1,$K$2,ICC$4),Table1[],(MATCH(Calendar!$A19,DB!$1:$1,0)),FALSE),"")</f>
        <v/>
      </c>
      <c r="ICD19" s="28" t="str">
        <f>IFERROR(VLOOKUP(DATE($K$1,$K$2,ICD$4),Table1[],(MATCH(Calendar!$A19,DB!$1:$1,0)),FALSE),"")</f>
        <v/>
      </c>
      <c r="ICE19" s="28" t="str">
        <f>IFERROR(VLOOKUP(DATE($K$1,$K$2,ICE$4),Table1[],(MATCH(Calendar!$A19,DB!$1:$1,0)),FALSE),"")</f>
        <v/>
      </c>
      <c r="ICF19" s="28" t="str">
        <f>IFERROR(VLOOKUP(DATE($K$1,$K$2,ICF$4),Table1[],(MATCH(Calendar!$A19,DB!$1:$1,0)),FALSE),"")</f>
        <v/>
      </c>
      <c r="ICG19" s="28" t="str">
        <f>IFERROR(VLOOKUP(DATE($K$1,$K$2,ICG$4),Table1[],(MATCH(Calendar!$A19,DB!$1:$1,0)),FALSE),"")</f>
        <v/>
      </c>
      <c r="ICH19" s="28" t="str">
        <f>IFERROR(VLOOKUP(DATE($K$1,$K$2,ICH$4),Table1[],(MATCH(Calendar!$A19,DB!$1:$1,0)),FALSE),"")</f>
        <v/>
      </c>
      <c r="ICI19" s="28" t="str">
        <f>IFERROR(VLOOKUP(DATE($K$1,$K$2,ICI$4),Table1[],(MATCH(Calendar!$A19,DB!$1:$1,0)),FALSE),"")</f>
        <v/>
      </c>
      <c r="ICJ19" s="28" t="str">
        <f>IFERROR(VLOOKUP(DATE($K$1,$K$2,ICJ$4),Table1[],(MATCH(Calendar!$A19,DB!$1:$1,0)),FALSE),"")</f>
        <v/>
      </c>
      <c r="ICK19" s="28" t="str">
        <f>IFERROR(VLOOKUP(DATE($K$1,$K$2,ICK$4),Table1[],(MATCH(Calendar!$A19,DB!$1:$1,0)),FALSE),"")</f>
        <v/>
      </c>
      <c r="ICL19" s="28" t="str">
        <f>IFERROR(VLOOKUP(DATE($K$1,$K$2,ICL$4),Table1[],(MATCH(Calendar!$A19,DB!$1:$1,0)),FALSE),"")</f>
        <v/>
      </c>
      <c r="ICM19" s="28" t="str">
        <f>IFERROR(VLOOKUP(DATE($K$1,$K$2,ICM$4),Table1[],(MATCH(Calendar!$A19,DB!$1:$1,0)),FALSE),"")</f>
        <v/>
      </c>
      <c r="ICN19" s="28" t="str">
        <f>IFERROR(VLOOKUP(DATE($K$1,$K$2,ICN$4),Table1[],(MATCH(Calendar!$A19,DB!$1:$1,0)),FALSE),"")</f>
        <v/>
      </c>
      <c r="ICO19" s="28" t="str">
        <f>IFERROR(VLOOKUP(DATE($K$1,$K$2,ICO$4),Table1[],(MATCH(Calendar!$A19,DB!$1:$1,0)),FALSE),"")</f>
        <v/>
      </c>
      <c r="ICP19" s="28" t="str">
        <f>IFERROR(VLOOKUP(DATE($K$1,$K$2,ICP$4),Table1[],(MATCH(Calendar!$A19,DB!$1:$1,0)),FALSE),"")</f>
        <v/>
      </c>
      <c r="ICQ19" s="28" t="str">
        <f>IFERROR(VLOOKUP(DATE($K$1,$K$2,ICQ$4),Table1[],(MATCH(Calendar!$A19,DB!$1:$1,0)),FALSE),"")</f>
        <v/>
      </c>
      <c r="ICR19" s="28" t="str">
        <f>IFERROR(VLOOKUP(DATE($K$1,$K$2,ICR$4),Table1[],(MATCH(Calendar!$A19,DB!$1:$1,0)),FALSE),"")</f>
        <v/>
      </c>
      <c r="ICS19" s="28" t="str">
        <f>IFERROR(VLOOKUP(DATE($K$1,$K$2,ICS$4),Table1[],(MATCH(Calendar!$A19,DB!$1:$1,0)),FALSE),"")</f>
        <v/>
      </c>
      <c r="ICT19" s="28" t="str">
        <f>IFERROR(VLOOKUP(DATE($K$1,$K$2,ICT$4),Table1[],(MATCH(Calendar!$A19,DB!$1:$1,0)),FALSE),"")</f>
        <v/>
      </c>
      <c r="ICU19" s="28" t="str">
        <f>IFERROR(VLOOKUP(DATE($K$1,$K$2,ICU$4),Table1[],(MATCH(Calendar!$A19,DB!$1:$1,0)),FALSE),"")</f>
        <v/>
      </c>
      <c r="ICV19" s="28" t="str">
        <f>IFERROR(VLOOKUP(DATE($K$1,$K$2,ICV$4),Table1[],(MATCH(Calendar!$A19,DB!$1:$1,0)),FALSE),"")</f>
        <v/>
      </c>
      <c r="ICW19" s="28" t="str">
        <f>IFERROR(VLOOKUP(DATE($K$1,$K$2,ICW$4),Table1[],(MATCH(Calendar!$A19,DB!$1:$1,0)),FALSE),"")</f>
        <v/>
      </c>
      <c r="ICX19" s="28" t="str">
        <f>IFERROR(VLOOKUP(DATE($K$1,$K$2,ICX$4),Table1[],(MATCH(Calendar!$A19,DB!$1:$1,0)),FALSE),"")</f>
        <v/>
      </c>
      <c r="ICY19" s="28" t="str">
        <f>IFERROR(VLOOKUP(DATE($K$1,$K$2,ICY$4),Table1[],(MATCH(Calendar!$A19,DB!$1:$1,0)),FALSE),"")</f>
        <v/>
      </c>
      <c r="ICZ19" s="28" t="str">
        <f>IFERROR(VLOOKUP(DATE($K$1,$K$2,ICZ$4),Table1[],(MATCH(Calendar!$A19,DB!$1:$1,0)),FALSE),"")</f>
        <v/>
      </c>
      <c r="IDA19" s="28" t="str">
        <f>IFERROR(VLOOKUP(DATE($K$1,$K$2,IDA$4),Table1[],(MATCH(Calendar!$A19,DB!$1:$1,0)),FALSE),"")</f>
        <v/>
      </c>
      <c r="IDB19" s="28" t="str">
        <f>IFERROR(VLOOKUP(DATE($K$1,$K$2,IDB$4),Table1[],(MATCH(Calendar!$A19,DB!$1:$1,0)),FALSE),"")</f>
        <v/>
      </c>
      <c r="IDC19" s="28" t="str">
        <f>IFERROR(VLOOKUP(DATE($K$1,$K$2,IDC$4),Table1[],(MATCH(Calendar!$A19,DB!$1:$1,0)),FALSE),"")</f>
        <v/>
      </c>
      <c r="IDD19" s="28" t="str">
        <f>IFERROR(VLOOKUP(DATE($K$1,$K$2,IDD$4),Table1[],(MATCH(Calendar!$A19,DB!$1:$1,0)),FALSE),"")</f>
        <v/>
      </c>
      <c r="IDE19" s="28" t="str">
        <f>IFERROR(VLOOKUP(DATE($K$1,$K$2,IDE$4),Table1[],(MATCH(Calendar!$A19,DB!$1:$1,0)),FALSE),"")</f>
        <v/>
      </c>
      <c r="IDF19" s="28" t="str">
        <f>IFERROR(VLOOKUP(DATE($K$1,$K$2,IDF$4),Table1[],(MATCH(Calendar!$A19,DB!$1:$1,0)),FALSE),"")</f>
        <v/>
      </c>
      <c r="IDG19" s="28" t="str">
        <f>IFERROR(VLOOKUP(DATE($K$1,$K$2,IDG$4),Table1[],(MATCH(Calendar!$A19,DB!$1:$1,0)),FALSE),"")</f>
        <v/>
      </c>
      <c r="IDH19" s="28" t="str">
        <f>IFERROR(VLOOKUP(DATE($K$1,$K$2,IDH$4),Table1[],(MATCH(Calendar!$A19,DB!$1:$1,0)),FALSE),"")</f>
        <v/>
      </c>
      <c r="IDI19" s="28" t="str">
        <f>IFERROR(VLOOKUP(DATE($K$1,$K$2,IDI$4),Table1[],(MATCH(Calendar!$A19,DB!$1:$1,0)),FALSE),"")</f>
        <v/>
      </c>
      <c r="IDJ19" s="28" t="str">
        <f>IFERROR(VLOOKUP(DATE($K$1,$K$2,IDJ$4),Table1[],(MATCH(Calendar!$A19,DB!$1:$1,0)),FALSE),"")</f>
        <v/>
      </c>
      <c r="IDK19" s="28" t="str">
        <f>IFERROR(VLOOKUP(DATE($K$1,$K$2,IDK$4),Table1[],(MATCH(Calendar!$A19,DB!$1:$1,0)),FALSE),"")</f>
        <v/>
      </c>
      <c r="IDL19" s="28" t="str">
        <f>IFERROR(VLOOKUP(DATE($K$1,$K$2,IDL$4),Table1[],(MATCH(Calendar!$A19,DB!$1:$1,0)),FALSE),"")</f>
        <v/>
      </c>
      <c r="IDM19" s="28" t="str">
        <f>IFERROR(VLOOKUP(DATE($K$1,$K$2,IDM$4),Table1[],(MATCH(Calendar!$A19,DB!$1:$1,0)),FALSE),"")</f>
        <v/>
      </c>
      <c r="IDN19" s="28" t="str">
        <f>IFERROR(VLOOKUP(DATE($K$1,$K$2,IDN$4),Table1[],(MATCH(Calendar!$A19,DB!$1:$1,0)),FALSE),"")</f>
        <v/>
      </c>
      <c r="IDO19" s="28" t="str">
        <f>IFERROR(VLOOKUP(DATE($K$1,$K$2,IDO$4),Table1[],(MATCH(Calendar!$A19,DB!$1:$1,0)),FALSE),"")</f>
        <v/>
      </c>
      <c r="IDP19" s="28" t="str">
        <f>IFERROR(VLOOKUP(DATE($K$1,$K$2,IDP$4),Table1[],(MATCH(Calendar!$A19,DB!$1:$1,0)),FALSE),"")</f>
        <v/>
      </c>
      <c r="IDQ19" s="28" t="str">
        <f>IFERROR(VLOOKUP(DATE($K$1,$K$2,IDQ$4),Table1[],(MATCH(Calendar!$A19,DB!$1:$1,0)),FALSE),"")</f>
        <v/>
      </c>
      <c r="IDR19" s="28" t="str">
        <f>IFERROR(VLOOKUP(DATE($K$1,$K$2,IDR$4),Table1[],(MATCH(Calendar!$A19,DB!$1:$1,0)),FALSE),"")</f>
        <v/>
      </c>
      <c r="IDS19" s="28" t="str">
        <f>IFERROR(VLOOKUP(DATE($K$1,$K$2,IDS$4),Table1[],(MATCH(Calendar!$A19,DB!$1:$1,0)),FALSE),"")</f>
        <v/>
      </c>
      <c r="IDT19" s="28" t="str">
        <f>IFERROR(VLOOKUP(DATE($K$1,$K$2,IDT$4),Table1[],(MATCH(Calendar!$A19,DB!$1:$1,0)),FALSE),"")</f>
        <v/>
      </c>
      <c r="IDU19" s="28" t="str">
        <f>IFERROR(VLOOKUP(DATE($K$1,$K$2,IDU$4),Table1[],(MATCH(Calendar!$A19,DB!$1:$1,0)),FALSE),"")</f>
        <v/>
      </c>
      <c r="IDV19" s="28" t="str">
        <f>IFERROR(VLOOKUP(DATE($K$1,$K$2,IDV$4),Table1[],(MATCH(Calendar!$A19,DB!$1:$1,0)),FALSE),"")</f>
        <v/>
      </c>
      <c r="IDW19" s="28" t="str">
        <f>IFERROR(VLOOKUP(DATE($K$1,$K$2,IDW$4),Table1[],(MATCH(Calendar!$A19,DB!$1:$1,0)),FALSE),"")</f>
        <v/>
      </c>
      <c r="IDX19" s="28" t="str">
        <f>IFERROR(VLOOKUP(DATE($K$1,$K$2,IDX$4),Table1[],(MATCH(Calendar!$A19,DB!$1:$1,0)),FALSE),"")</f>
        <v/>
      </c>
      <c r="IDY19" s="28" t="str">
        <f>IFERROR(VLOOKUP(DATE($K$1,$K$2,IDY$4),Table1[],(MATCH(Calendar!$A19,DB!$1:$1,0)),FALSE),"")</f>
        <v/>
      </c>
      <c r="IDZ19" s="28" t="str">
        <f>IFERROR(VLOOKUP(DATE($K$1,$K$2,IDZ$4),Table1[],(MATCH(Calendar!$A19,DB!$1:$1,0)),FALSE),"")</f>
        <v/>
      </c>
      <c r="IEA19" s="28" t="str">
        <f>IFERROR(VLOOKUP(DATE($K$1,$K$2,IEA$4),Table1[],(MATCH(Calendar!$A19,DB!$1:$1,0)),FALSE),"")</f>
        <v/>
      </c>
      <c r="IEB19" s="28" t="str">
        <f>IFERROR(VLOOKUP(DATE($K$1,$K$2,IEB$4),Table1[],(MATCH(Calendar!$A19,DB!$1:$1,0)),FALSE),"")</f>
        <v/>
      </c>
      <c r="IEC19" s="28" t="str">
        <f>IFERROR(VLOOKUP(DATE($K$1,$K$2,IEC$4),Table1[],(MATCH(Calendar!$A19,DB!$1:$1,0)),FALSE),"")</f>
        <v/>
      </c>
      <c r="IED19" s="28" t="str">
        <f>IFERROR(VLOOKUP(DATE($K$1,$K$2,IED$4),Table1[],(MATCH(Calendar!$A19,DB!$1:$1,0)),FALSE),"")</f>
        <v/>
      </c>
      <c r="IEE19" s="28" t="str">
        <f>IFERROR(VLOOKUP(DATE($K$1,$K$2,IEE$4),Table1[],(MATCH(Calendar!$A19,DB!$1:$1,0)),FALSE),"")</f>
        <v/>
      </c>
      <c r="IEF19" s="28" t="str">
        <f>IFERROR(VLOOKUP(DATE($K$1,$K$2,IEF$4),Table1[],(MATCH(Calendar!$A19,DB!$1:$1,0)),FALSE),"")</f>
        <v/>
      </c>
      <c r="IEG19" s="28" t="str">
        <f>IFERROR(VLOOKUP(DATE($K$1,$K$2,IEG$4),Table1[],(MATCH(Calendar!$A19,DB!$1:$1,0)),FALSE),"")</f>
        <v/>
      </c>
      <c r="IEH19" s="28" t="str">
        <f>IFERROR(VLOOKUP(DATE($K$1,$K$2,IEH$4),Table1[],(MATCH(Calendar!$A19,DB!$1:$1,0)),FALSE),"")</f>
        <v/>
      </c>
      <c r="IEI19" s="28" t="str">
        <f>IFERROR(VLOOKUP(DATE($K$1,$K$2,IEI$4),Table1[],(MATCH(Calendar!$A19,DB!$1:$1,0)),FALSE),"")</f>
        <v/>
      </c>
      <c r="IEJ19" s="28" t="str">
        <f>IFERROR(VLOOKUP(DATE($K$1,$K$2,IEJ$4),Table1[],(MATCH(Calendar!$A19,DB!$1:$1,0)),FALSE),"")</f>
        <v/>
      </c>
      <c r="IEK19" s="28" t="str">
        <f>IFERROR(VLOOKUP(DATE($K$1,$K$2,IEK$4),Table1[],(MATCH(Calendar!$A19,DB!$1:$1,0)),FALSE),"")</f>
        <v/>
      </c>
      <c r="IEL19" s="28" t="str">
        <f>IFERROR(VLOOKUP(DATE($K$1,$K$2,IEL$4),Table1[],(MATCH(Calendar!$A19,DB!$1:$1,0)),FALSE),"")</f>
        <v/>
      </c>
      <c r="IEM19" s="28" t="str">
        <f>IFERROR(VLOOKUP(DATE($K$1,$K$2,IEM$4),Table1[],(MATCH(Calendar!$A19,DB!$1:$1,0)),FALSE),"")</f>
        <v/>
      </c>
      <c r="IEN19" s="28" t="str">
        <f>IFERROR(VLOOKUP(DATE($K$1,$K$2,IEN$4),Table1[],(MATCH(Calendar!$A19,DB!$1:$1,0)),FALSE),"")</f>
        <v/>
      </c>
      <c r="IEO19" s="28" t="str">
        <f>IFERROR(VLOOKUP(DATE($K$1,$K$2,IEO$4),Table1[],(MATCH(Calendar!$A19,DB!$1:$1,0)),FALSE),"")</f>
        <v/>
      </c>
      <c r="IEP19" s="28" t="str">
        <f>IFERROR(VLOOKUP(DATE($K$1,$K$2,IEP$4),Table1[],(MATCH(Calendar!$A19,DB!$1:$1,0)),FALSE),"")</f>
        <v/>
      </c>
      <c r="IEQ19" s="28" t="str">
        <f>IFERROR(VLOOKUP(DATE($K$1,$K$2,IEQ$4),Table1[],(MATCH(Calendar!$A19,DB!$1:$1,0)),FALSE),"")</f>
        <v/>
      </c>
      <c r="IER19" s="28" t="str">
        <f>IFERROR(VLOOKUP(DATE($K$1,$K$2,IER$4),Table1[],(MATCH(Calendar!$A19,DB!$1:$1,0)),FALSE),"")</f>
        <v/>
      </c>
      <c r="IES19" s="28" t="str">
        <f>IFERROR(VLOOKUP(DATE($K$1,$K$2,IES$4),Table1[],(MATCH(Calendar!$A19,DB!$1:$1,0)),FALSE),"")</f>
        <v/>
      </c>
      <c r="IET19" s="28" t="str">
        <f>IFERROR(VLOOKUP(DATE($K$1,$K$2,IET$4),Table1[],(MATCH(Calendar!$A19,DB!$1:$1,0)),FALSE),"")</f>
        <v/>
      </c>
      <c r="IEU19" s="28" t="str">
        <f>IFERROR(VLOOKUP(DATE($K$1,$K$2,IEU$4),Table1[],(MATCH(Calendar!$A19,DB!$1:$1,0)),FALSE),"")</f>
        <v/>
      </c>
      <c r="IEV19" s="28" t="str">
        <f>IFERROR(VLOOKUP(DATE($K$1,$K$2,IEV$4),Table1[],(MATCH(Calendar!$A19,DB!$1:$1,0)),FALSE),"")</f>
        <v/>
      </c>
      <c r="IEW19" s="28" t="str">
        <f>IFERROR(VLOOKUP(DATE($K$1,$K$2,IEW$4),Table1[],(MATCH(Calendar!$A19,DB!$1:$1,0)),FALSE),"")</f>
        <v/>
      </c>
      <c r="IEX19" s="28" t="str">
        <f>IFERROR(VLOOKUP(DATE($K$1,$K$2,IEX$4),Table1[],(MATCH(Calendar!$A19,DB!$1:$1,0)),FALSE),"")</f>
        <v/>
      </c>
      <c r="IEY19" s="28" t="str">
        <f>IFERROR(VLOOKUP(DATE($K$1,$K$2,IEY$4),Table1[],(MATCH(Calendar!$A19,DB!$1:$1,0)),FALSE),"")</f>
        <v/>
      </c>
      <c r="IEZ19" s="28" t="str">
        <f>IFERROR(VLOOKUP(DATE($K$1,$K$2,IEZ$4),Table1[],(MATCH(Calendar!$A19,DB!$1:$1,0)),FALSE),"")</f>
        <v/>
      </c>
      <c r="IFA19" s="28" t="str">
        <f>IFERROR(VLOOKUP(DATE($K$1,$K$2,IFA$4),Table1[],(MATCH(Calendar!$A19,DB!$1:$1,0)),FALSE),"")</f>
        <v/>
      </c>
      <c r="IFB19" s="28" t="str">
        <f>IFERROR(VLOOKUP(DATE($K$1,$K$2,IFB$4),Table1[],(MATCH(Calendar!$A19,DB!$1:$1,0)),FALSE),"")</f>
        <v/>
      </c>
      <c r="IFC19" s="28" t="str">
        <f>IFERROR(VLOOKUP(DATE($K$1,$K$2,IFC$4),Table1[],(MATCH(Calendar!$A19,DB!$1:$1,0)),FALSE),"")</f>
        <v/>
      </c>
      <c r="IFD19" s="28" t="str">
        <f>IFERROR(VLOOKUP(DATE($K$1,$K$2,IFD$4),Table1[],(MATCH(Calendar!$A19,DB!$1:$1,0)),FALSE),"")</f>
        <v/>
      </c>
      <c r="IFE19" s="28" t="str">
        <f>IFERROR(VLOOKUP(DATE($K$1,$K$2,IFE$4),Table1[],(MATCH(Calendar!$A19,DB!$1:$1,0)),FALSE),"")</f>
        <v/>
      </c>
      <c r="IFF19" s="28" t="str">
        <f>IFERROR(VLOOKUP(DATE($K$1,$K$2,IFF$4),Table1[],(MATCH(Calendar!$A19,DB!$1:$1,0)),FALSE),"")</f>
        <v/>
      </c>
      <c r="IFG19" s="28" t="str">
        <f>IFERROR(VLOOKUP(DATE($K$1,$K$2,IFG$4),Table1[],(MATCH(Calendar!$A19,DB!$1:$1,0)),FALSE),"")</f>
        <v/>
      </c>
      <c r="IFH19" s="28" t="str">
        <f>IFERROR(VLOOKUP(DATE($K$1,$K$2,IFH$4),Table1[],(MATCH(Calendar!$A19,DB!$1:$1,0)),FALSE),"")</f>
        <v/>
      </c>
      <c r="IFI19" s="28" t="str">
        <f>IFERROR(VLOOKUP(DATE($K$1,$K$2,IFI$4),Table1[],(MATCH(Calendar!$A19,DB!$1:$1,0)),FALSE),"")</f>
        <v/>
      </c>
      <c r="IFJ19" s="28" t="str">
        <f>IFERROR(VLOOKUP(DATE($K$1,$K$2,IFJ$4),Table1[],(MATCH(Calendar!$A19,DB!$1:$1,0)),FALSE),"")</f>
        <v/>
      </c>
      <c r="IFK19" s="28" t="str">
        <f>IFERROR(VLOOKUP(DATE($K$1,$K$2,IFK$4),Table1[],(MATCH(Calendar!$A19,DB!$1:$1,0)),FALSE),"")</f>
        <v/>
      </c>
      <c r="IFL19" s="28" t="str">
        <f>IFERROR(VLOOKUP(DATE($K$1,$K$2,IFL$4),Table1[],(MATCH(Calendar!$A19,DB!$1:$1,0)),FALSE),"")</f>
        <v/>
      </c>
      <c r="IFM19" s="28" t="str">
        <f>IFERROR(VLOOKUP(DATE($K$1,$K$2,IFM$4),Table1[],(MATCH(Calendar!$A19,DB!$1:$1,0)),FALSE),"")</f>
        <v/>
      </c>
      <c r="IFN19" s="28" t="str">
        <f>IFERROR(VLOOKUP(DATE($K$1,$K$2,IFN$4),Table1[],(MATCH(Calendar!$A19,DB!$1:$1,0)),FALSE),"")</f>
        <v/>
      </c>
      <c r="IFO19" s="28" t="str">
        <f>IFERROR(VLOOKUP(DATE($K$1,$K$2,IFO$4),Table1[],(MATCH(Calendar!$A19,DB!$1:$1,0)),FALSE),"")</f>
        <v/>
      </c>
      <c r="IFP19" s="28" t="str">
        <f>IFERROR(VLOOKUP(DATE($K$1,$K$2,IFP$4),Table1[],(MATCH(Calendar!$A19,DB!$1:$1,0)),FALSE),"")</f>
        <v/>
      </c>
      <c r="IFQ19" s="28" t="str">
        <f>IFERROR(VLOOKUP(DATE($K$1,$K$2,IFQ$4),Table1[],(MATCH(Calendar!$A19,DB!$1:$1,0)),FALSE),"")</f>
        <v/>
      </c>
      <c r="IFR19" s="28" t="str">
        <f>IFERROR(VLOOKUP(DATE($K$1,$K$2,IFR$4),Table1[],(MATCH(Calendar!$A19,DB!$1:$1,0)),FALSE),"")</f>
        <v/>
      </c>
      <c r="IFS19" s="28" t="str">
        <f>IFERROR(VLOOKUP(DATE($K$1,$K$2,IFS$4),Table1[],(MATCH(Calendar!$A19,DB!$1:$1,0)),FALSE),"")</f>
        <v/>
      </c>
      <c r="IFT19" s="28" t="str">
        <f>IFERROR(VLOOKUP(DATE($K$1,$K$2,IFT$4),Table1[],(MATCH(Calendar!$A19,DB!$1:$1,0)),FALSE),"")</f>
        <v/>
      </c>
      <c r="IFU19" s="28" t="str">
        <f>IFERROR(VLOOKUP(DATE($K$1,$K$2,IFU$4),Table1[],(MATCH(Calendar!$A19,DB!$1:$1,0)),FALSE),"")</f>
        <v/>
      </c>
      <c r="IFV19" s="28" t="str">
        <f>IFERROR(VLOOKUP(DATE($K$1,$K$2,IFV$4),Table1[],(MATCH(Calendar!$A19,DB!$1:$1,0)),FALSE),"")</f>
        <v/>
      </c>
      <c r="IFW19" s="28" t="str">
        <f>IFERROR(VLOOKUP(DATE($K$1,$K$2,IFW$4),Table1[],(MATCH(Calendar!$A19,DB!$1:$1,0)),FALSE),"")</f>
        <v/>
      </c>
      <c r="IFX19" s="28" t="str">
        <f>IFERROR(VLOOKUP(DATE($K$1,$K$2,IFX$4),Table1[],(MATCH(Calendar!$A19,DB!$1:$1,0)),FALSE),"")</f>
        <v/>
      </c>
      <c r="IFY19" s="28" t="str">
        <f>IFERROR(VLOOKUP(DATE($K$1,$K$2,IFY$4),Table1[],(MATCH(Calendar!$A19,DB!$1:$1,0)),FALSE),"")</f>
        <v/>
      </c>
      <c r="IFZ19" s="28" t="str">
        <f>IFERROR(VLOOKUP(DATE($K$1,$K$2,IFZ$4),Table1[],(MATCH(Calendar!$A19,DB!$1:$1,0)),FALSE),"")</f>
        <v/>
      </c>
      <c r="IGA19" s="28" t="str">
        <f>IFERROR(VLOOKUP(DATE($K$1,$K$2,IGA$4),Table1[],(MATCH(Calendar!$A19,DB!$1:$1,0)),FALSE),"")</f>
        <v/>
      </c>
      <c r="IGB19" s="28" t="str">
        <f>IFERROR(VLOOKUP(DATE($K$1,$K$2,IGB$4),Table1[],(MATCH(Calendar!$A19,DB!$1:$1,0)),FALSE),"")</f>
        <v/>
      </c>
      <c r="IGC19" s="28" t="str">
        <f>IFERROR(VLOOKUP(DATE($K$1,$K$2,IGC$4),Table1[],(MATCH(Calendar!$A19,DB!$1:$1,0)),FALSE),"")</f>
        <v/>
      </c>
      <c r="IGD19" s="28" t="str">
        <f>IFERROR(VLOOKUP(DATE($K$1,$K$2,IGD$4),Table1[],(MATCH(Calendar!$A19,DB!$1:$1,0)),FALSE),"")</f>
        <v/>
      </c>
      <c r="IGE19" s="28" t="str">
        <f>IFERROR(VLOOKUP(DATE($K$1,$K$2,IGE$4),Table1[],(MATCH(Calendar!$A19,DB!$1:$1,0)),FALSE),"")</f>
        <v/>
      </c>
      <c r="IGF19" s="28" t="str">
        <f>IFERROR(VLOOKUP(DATE($K$1,$K$2,IGF$4),Table1[],(MATCH(Calendar!$A19,DB!$1:$1,0)),FALSE),"")</f>
        <v/>
      </c>
      <c r="IGG19" s="28" t="str">
        <f>IFERROR(VLOOKUP(DATE($K$1,$K$2,IGG$4),Table1[],(MATCH(Calendar!$A19,DB!$1:$1,0)),FALSE),"")</f>
        <v/>
      </c>
      <c r="IGH19" s="28" t="str">
        <f>IFERROR(VLOOKUP(DATE($K$1,$K$2,IGH$4),Table1[],(MATCH(Calendar!$A19,DB!$1:$1,0)),FALSE),"")</f>
        <v/>
      </c>
      <c r="IGI19" s="28" t="str">
        <f>IFERROR(VLOOKUP(DATE($K$1,$K$2,IGI$4),Table1[],(MATCH(Calendar!$A19,DB!$1:$1,0)),FALSE),"")</f>
        <v/>
      </c>
      <c r="IGJ19" s="28" t="str">
        <f>IFERROR(VLOOKUP(DATE($K$1,$K$2,IGJ$4),Table1[],(MATCH(Calendar!$A19,DB!$1:$1,0)),FALSE),"")</f>
        <v/>
      </c>
      <c r="IGK19" s="28" t="str">
        <f>IFERROR(VLOOKUP(DATE($K$1,$K$2,IGK$4),Table1[],(MATCH(Calendar!$A19,DB!$1:$1,0)),FALSE),"")</f>
        <v/>
      </c>
      <c r="IGL19" s="28" t="str">
        <f>IFERROR(VLOOKUP(DATE($K$1,$K$2,IGL$4),Table1[],(MATCH(Calendar!$A19,DB!$1:$1,0)),FALSE),"")</f>
        <v/>
      </c>
      <c r="IGM19" s="28" t="str">
        <f>IFERROR(VLOOKUP(DATE($K$1,$K$2,IGM$4),Table1[],(MATCH(Calendar!$A19,DB!$1:$1,0)),FALSE),"")</f>
        <v/>
      </c>
      <c r="IGN19" s="28" t="str">
        <f>IFERROR(VLOOKUP(DATE($K$1,$K$2,IGN$4),Table1[],(MATCH(Calendar!$A19,DB!$1:$1,0)),FALSE),"")</f>
        <v/>
      </c>
      <c r="IGO19" s="28" t="str">
        <f>IFERROR(VLOOKUP(DATE($K$1,$K$2,IGO$4),Table1[],(MATCH(Calendar!$A19,DB!$1:$1,0)),FALSE),"")</f>
        <v/>
      </c>
      <c r="IGP19" s="28" t="str">
        <f>IFERROR(VLOOKUP(DATE($K$1,$K$2,IGP$4),Table1[],(MATCH(Calendar!$A19,DB!$1:$1,0)),FALSE),"")</f>
        <v/>
      </c>
      <c r="IGQ19" s="28" t="str">
        <f>IFERROR(VLOOKUP(DATE($K$1,$K$2,IGQ$4),Table1[],(MATCH(Calendar!$A19,DB!$1:$1,0)),FALSE),"")</f>
        <v/>
      </c>
      <c r="IGR19" s="28" t="str">
        <f>IFERROR(VLOOKUP(DATE($K$1,$K$2,IGR$4),Table1[],(MATCH(Calendar!$A19,DB!$1:$1,0)),FALSE),"")</f>
        <v/>
      </c>
      <c r="IGS19" s="28" t="str">
        <f>IFERROR(VLOOKUP(DATE($K$1,$K$2,IGS$4),Table1[],(MATCH(Calendar!$A19,DB!$1:$1,0)),FALSE),"")</f>
        <v/>
      </c>
      <c r="IGT19" s="28" t="str">
        <f>IFERROR(VLOOKUP(DATE($K$1,$K$2,IGT$4),Table1[],(MATCH(Calendar!$A19,DB!$1:$1,0)),FALSE),"")</f>
        <v/>
      </c>
      <c r="IGU19" s="28" t="str">
        <f>IFERROR(VLOOKUP(DATE($K$1,$K$2,IGU$4),Table1[],(MATCH(Calendar!$A19,DB!$1:$1,0)),FALSE),"")</f>
        <v/>
      </c>
      <c r="IGV19" s="28" t="str">
        <f>IFERROR(VLOOKUP(DATE($K$1,$K$2,IGV$4),Table1[],(MATCH(Calendar!$A19,DB!$1:$1,0)),FALSE),"")</f>
        <v/>
      </c>
      <c r="IGW19" s="28" t="str">
        <f>IFERROR(VLOOKUP(DATE($K$1,$K$2,IGW$4),Table1[],(MATCH(Calendar!$A19,DB!$1:$1,0)),FALSE),"")</f>
        <v/>
      </c>
      <c r="IGX19" s="28" t="str">
        <f>IFERROR(VLOOKUP(DATE($K$1,$K$2,IGX$4),Table1[],(MATCH(Calendar!$A19,DB!$1:$1,0)),FALSE),"")</f>
        <v/>
      </c>
      <c r="IGY19" s="28" t="str">
        <f>IFERROR(VLOOKUP(DATE($K$1,$K$2,IGY$4),Table1[],(MATCH(Calendar!$A19,DB!$1:$1,0)),FALSE),"")</f>
        <v/>
      </c>
      <c r="IGZ19" s="28" t="str">
        <f>IFERROR(VLOOKUP(DATE($K$1,$K$2,IGZ$4),Table1[],(MATCH(Calendar!$A19,DB!$1:$1,0)),FALSE),"")</f>
        <v/>
      </c>
      <c r="IHA19" s="28" t="str">
        <f>IFERROR(VLOOKUP(DATE($K$1,$K$2,IHA$4),Table1[],(MATCH(Calendar!$A19,DB!$1:$1,0)),FALSE),"")</f>
        <v/>
      </c>
      <c r="IHB19" s="28" t="str">
        <f>IFERROR(VLOOKUP(DATE($K$1,$K$2,IHB$4),Table1[],(MATCH(Calendar!$A19,DB!$1:$1,0)),FALSE),"")</f>
        <v/>
      </c>
      <c r="IHC19" s="28" t="str">
        <f>IFERROR(VLOOKUP(DATE($K$1,$K$2,IHC$4),Table1[],(MATCH(Calendar!$A19,DB!$1:$1,0)),FALSE),"")</f>
        <v/>
      </c>
      <c r="IHD19" s="28" t="str">
        <f>IFERROR(VLOOKUP(DATE($K$1,$K$2,IHD$4),Table1[],(MATCH(Calendar!$A19,DB!$1:$1,0)),FALSE),"")</f>
        <v/>
      </c>
      <c r="IHE19" s="28" t="str">
        <f>IFERROR(VLOOKUP(DATE($K$1,$K$2,IHE$4),Table1[],(MATCH(Calendar!$A19,DB!$1:$1,0)),FALSE),"")</f>
        <v/>
      </c>
      <c r="IHF19" s="28" t="str">
        <f>IFERROR(VLOOKUP(DATE($K$1,$K$2,IHF$4),Table1[],(MATCH(Calendar!$A19,DB!$1:$1,0)),FALSE),"")</f>
        <v/>
      </c>
      <c r="IHG19" s="28" t="str">
        <f>IFERROR(VLOOKUP(DATE($K$1,$K$2,IHG$4),Table1[],(MATCH(Calendar!$A19,DB!$1:$1,0)),FALSE),"")</f>
        <v/>
      </c>
      <c r="IHH19" s="28" t="str">
        <f>IFERROR(VLOOKUP(DATE($K$1,$K$2,IHH$4),Table1[],(MATCH(Calendar!$A19,DB!$1:$1,0)),FALSE),"")</f>
        <v/>
      </c>
      <c r="IHI19" s="28" t="str">
        <f>IFERROR(VLOOKUP(DATE($K$1,$K$2,IHI$4),Table1[],(MATCH(Calendar!$A19,DB!$1:$1,0)),FALSE),"")</f>
        <v/>
      </c>
      <c r="IHJ19" s="28" t="str">
        <f>IFERROR(VLOOKUP(DATE($K$1,$K$2,IHJ$4),Table1[],(MATCH(Calendar!$A19,DB!$1:$1,0)),FALSE),"")</f>
        <v/>
      </c>
      <c r="IHK19" s="28" t="str">
        <f>IFERROR(VLOOKUP(DATE($K$1,$K$2,IHK$4),Table1[],(MATCH(Calendar!$A19,DB!$1:$1,0)),FALSE),"")</f>
        <v/>
      </c>
      <c r="IHL19" s="28" t="str">
        <f>IFERROR(VLOOKUP(DATE($K$1,$K$2,IHL$4),Table1[],(MATCH(Calendar!$A19,DB!$1:$1,0)),FALSE),"")</f>
        <v/>
      </c>
      <c r="IHM19" s="28" t="str">
        <f>IFERROR(VLOOKUP(DATE($K$1,$K$2,IHM$4),Table1[],(MATCH(Calendar!$A19,DB!$1:$1,0)),FALSE),"")</f>
        <v/>
      </c>
      <c r="IHN19" s="28" t="str">
        <f>IFERROR(VLOOKUP(DATE($K$1,$K$2,IHN$4),Table1[],(MATCH(Calendar!$A19,DB!$1:$1,0)),FALSE),"")</f>
        <v/>
      </c>
      <c r="IHO19" s="28" t="str">
        <f>IFERROR(VLOOKUP(DATE($K$1,$K$2,IHO$4),Table1[],(MATCH(Calendar!$A19,DB!$1:$1,0)),FALSE),"")</f>
        <v/>
      </c>
      <c r="IHP19" s="28" t="str">
        <f>IFERROR(VLOOKUP(DATE($K$1,$K$2,IHP$4),Table1[],(MATCH(Calendar!$A19,DB!$1:$1,0)),FALSE),"")</f>
        <v/>
      </c>
      <c r="IHQ19" s="28" t="str">
        <f>IFERROR(VLOOKUP(DATE($K$1,$K$2,IHQ$4),Table1[],(MATCH(Calendar!$A19,DB!$1:$1,0)),FALSE),"")</f>
        <v/>
      </c>
      <c r="IHR19" s="28" t="str">
        <f>IFERROR(VLOOKUP(DATE($K$1,$K$2,IHR$4),Table1[],(MATCH(Calendar!$A19,DB!$1:$1,0)),FALSE),"")</f>
        <v/>
      </c>
      <c r="IHS19" s="28" t="str">
        <f>IFERROR(VLOOKUP(DATE($K$1,$K$2,IHS$4),Table1[],(MATCH(Calendar!$A19,DB!$1:$1,0)),FALSE),"")</f>
        <v/>
      </c>
      <c r="IHT19" s="28" t="str">
        <f>IFERROR(VLOOKUP(DATE($K$1,$K$2,IHT$4),Table1[],(MATCH(Calendar!$A19,DB!$1:$1,0)),FALSE),"")</f>
        <v/>
      </c>
      <c r="IHU19" s="28" t="str">
        <f>IFERROR(VLOOKUP(DATE($K$1,$K$2,IHU$4),Table1[],(MATCH(Calendar!$A19,DB!$1:$1,0)),FALSE),"")</f>
        <v/>
      </c>
      <c r="IHV19" s="28" t="str">
        <f>IFERROR(VLOOKUP(DATE($K$1,$K$2,IHV$4),Table1[],(MATCH(Calendar!$A19,DB!$1:$1,0)),FALSE),"")</f>
        <v/>
      </c>
      <c r="IHW19" s="28" t="str">
        <f>IFERROR(VLOOKUP(DATE($K$1,$K$2,IHW$4),Table1[],(MATCH(Calendar!$A19,DB!$1:$1,0)),FALSE),"")</f>
        <v/>
      </c>
      <c r="IHX19" s="28" t="str">
        <f>IFERROR(VLOOKUP(DATE($K$1,$K$2,IHX$4),Table1[],(MATCH(Calendar!$A19,DB!$1:$1,0)),FALSE),"")</f>
        <v/>
      </c>
      <c r="IHY19" s="28" t="str">
        <f>IFERROR(VLOOKUP(DATE($K$1,$K$2,IHY$4),Table1[],(MATCH(Calendar!$A19,DB!$1:$1,0)),FALSE),"")</f>
        <v/>
      </c>
      <c r="IHZ19" s="28" t="str">
        <f>IFERROR(VLOOKUP(DATE($K$1,$K$2,IHZ$4),Table1[],(MATCH(Calendar!$A19,DB!$1:$1,0)),FALSE),"")</f>
        <v/>
      </c>
      <c r="IIA19" s="28" t="str">
        <f>IFERROR(VLOOKUP(DATE($K$1,$K$2,IIA$4),Table1[],(MATCH(Calendar!$A19,DB!$1:$1,0)),FALSE),"")</f>
        <v/>
      </c>
      <c r="IIB19" s="28" t="str">
        <f>IFERROR(VLOOKUP(DATE($K$1,$K$2,IIB$4),Table1[],(MATCH(Calendar!$A19,DB!$1:$1,0)),FALSE),"")</f>
        <v/>
      </c>
      <c r="IIC19" s="28" t="str">
        <f>IFERROR(VLOOKUP(DATE($K$1,$K$2,IIC$4),Table1[],(MATCH(Calendar!$A19,DB!$1:$1,0)),FALSE),"")</f>
        <v/>
      </c>
      <c r="IID19" s="28" t="str">
        <f>IFERROR(VLOOKUP(DATE($K$1,$K$2,IID$4),Table1[],(MATCH(Calendar!$A19,DB!$1:$1,0)),FALSE),"")</f>
        <v/>
      </c>
      <c r="IIE19" s="28" t="str">
        <f>IFERROR(VLOOKUP(DATE($K$1,$K$2,IIE$4),Table1[],(MATCH(Calendar!$A19,DB!$1:$1,0)),FALSE),"")</f>
        <v/>
      </c>
      <c r="IIF19" s="28" t="str">
        <f>IFERROR(VLOOKUP(DATE($K$1,$K$2,IIF$4),Table1[],(MATCH(Calendar!$A19,DB!$1:$1,0)),FALSE),"")</f>
        <v/>
      </c>
      <c r="IIG19" s="28" t="str">
        <f>IFERROR(VLOOKUP(DATE($K$1,$K$2,IIG$4),Table1[],(MATCH(Calendar!$A19,DB!$1:$1,0)),FALSE),"")</f>
        <v/>
      </c>
      <c r="IIH19" s="28" t="str">
        <f>IFERROR(VLOOKUP(DATE($K$1,$K$2,IIH$4),Table1[],(MATCH(Calendar!$A19,DB!$1:$1,0)),FALSE),"")</f>
        <v/>
      </c>
      <c r="III19" s="28" t="str">
        <f>IFERROR(VLOOKUP(DATE($K$1,$K$2,III$4),Table1[],(MATCH(Calendar!$A19,DB!$1:$1,0)),FALSE),"")</f>
        <v/>
      </c>
      <c r="IIJ19" s="28" t="str">
        <f>IFERROR(VLOOKUP(DATE($K$1,$K$2,IIJ$4),Table1[],(MATCH(Calendar!$A19,DB!$1:$1,0)),FALSE),"")</f>
        <v/>
      </c>
      <c r="IIK19" s="28" t="str">
        <f>IFERROR(VLOOKUP(DATE($K$1,$K$2,IIK$4),Table1[],(MATCH(Calendar!$A19,DB!$1:$1,0)),FALSE),"")</f>
        <v/>
      </c>
      <c r="IIL19" s="28" t="str">
        <f>IFERROR(VLOOKUP(DATE($K$1,$K$2,IIL$4),Table1[],(MATCH(Calendar!$A19,DB!$1:$1,0)),FALSE),"")</f>
        <v/>
      </c>
      <c r="IIM19" s="28" t="str">
        <f>IFERROR(VLOOKUP(DATE($K$1,$K$2,IIM$4),Table1[],(MATCH(Calendar!$A19,DB!$1:$1,0)),FALSE),"")</f>
        <v/>
      </c>
      <c r="IIN19" s="28" t="str">
        <f>IFERROR(VLOOKUP(DATE($K$1,$K$2,IIN$4),Table1[],(MATCH(Calendar!$A19,DB!$1:$1,0)),FALSE),"")</f>
        <v/>
      </c>
      <c r="IIO19" s="28" t="str">
        <f>IFERROR(VLOOKUP(DATE($K$1,$K$2,IIO$4),Table1[],(MATCH(Calendar!$A19,DB!$1:$1,0)),FALSE),"")</f>
        <v/>
      </c>
      <c r="IIP19" s="28" t="str">
        <f>IFERROR(VLOOKUP(DATE($K$1,$K$2,IIP$4),Table1[],(MATCH(Calendar!$A19,DB!$1:$1,0)),FALSE),"")</f>
        <v/>
      </c>
      <c r="IIQ19" s="28" t="str">
        <f>IFERROR(VLOOKUP(DATE($K$1,$K$2,IIQ$4),Table1[],(MATCH(Calendar!$A19,DB!$1:$1,0)),FALSE),"")</f>
        <v/>
      </c>
      <c r="IIR19" s="28" t="str">
        <f>IFERROR(VLOOKUP(DATE($K$1,$K$2,IIR$4),Table1[],(MATCH(Calendar!$A19,DB!$1:$1,0)),FALSE),"")</f>
        <v/>
      </c>
      <c r="IIS19" s="28" t="str">
        <f>IFERROR(VLOOKUP(DATE($K$1,$K$2,IIS$4),Table1[],(MATCH(Calendar!$A19,DB!$1:$1,0)),FALSE),"")</f>
        <v/>
      </c>
      <c r="IIT19" s="28" t="str">
        <f>IFERROR(VLOOKUP(DATE($K$1,$K$2,IIT$4),Table1[],(MATCH(Calendar!$A19,DB!$1:$1,0)),FALSE),"")</f>
        <v/>
      </c>
      <c r="IIU19" s="28" t="str">
        <f>IFERROR(VLOOKUP(DATE($K$1,$K$2,IIU$4),Table1[],(MATCH(Calendar!$A19,DB!$1:$1,0)),FALSE),"")</f>
        <v/>
      </c>
      <c r="IIV19" s="28" t="str">
        <f>IFERROR(VLOOKUP(DATE($K$1,$K$2,IIV$4),Table1[],(MATCH(Calendar!$A19,DB!$1:$1,0)),FALSE),"")</f>
        <v/>
      </c>
      <c r="IIW19" s="28" t="str">
        <f>IFERROR(VLOOKUP(DATE($K$1,$K$2,IIW$4),Table1[],(MATCH(Calendar!$A19,DB!$1:$1,0)),FALSE),"")</f>
        <v/>
      </c>
      <c r="IIX19" s="28" t="str">
        <f>IFERROR(VLOOKUP(DATE($K$1,$K$2,IIX$4),Table1[],(MATCH(Calendar!$A19,DB!$1:$1,0)),FALSE),"")</f>
        <v/>
      </c>
      <c r="IIY19" s="28" t="str">
        <f>IFERROR(VLOOKUP(DATE($K$1,$K$2,IIY$4),Table1[],(MATCH(Calendar!$A19,DB!$1:$1,0)),FALSE),"")</f>
        <v/>
      </c>
      <c r="IIZ19" s="28" t="str">
        <f>IFERROR(VLOOKUP(DATE($K$1,$K$2,IIZ$4),Table1[],(MATCH(Calendar!$A19,DB!$1:$1,0)),FALSE),"")</f>
        <v/>
      </c>
      <c r="IJA19" s="28" t="str">
        <f>IFERROR(VLOOKUP(DATE($K$1,$K$2,IJA$4),Table1[],(MATCH(Calendar!$A19,DB!$1:$1,0)),FALSE),"")</f>
        <v/>
      </c>
      <c r="IJB19" s="28" t="str">
        <f>IFERROR(VLOOKUP(DATE($K$1,$K$2,IJB$4),Table1[],(MATCH(Calendar!$A19,DB!$1:$1,0)),FALSE),"")</f>
        <v/>
      </c>
      <c r="IJC19" s="28" t="str">
        <f>IFERROR(VLOOKUP(DATE($K$1,$K$2,IJC$4),Table1[],(MATCH(Calendar!$A19,DB!$1:$1,0)),FALSE),"")</f>
        <v/>
      </c>
      <c r="IJD19" s="28" t="str">
        <f>IFERROR(VLOOKUP(DATE($K$1,$K$2,IJD$4),Table1[],(MATCH(Calendar!$A19,DB!$1:$1,0)),FALSE),"")</f>
        <v/>
      </c>
      <c r="IJE19" s="28" t="str">
        <f>IFERROR(VLOOKUP(DATE($K$1,$K$2,IJE$4),Table1[],(MATCH(Calendar!$A19,DB!$1:$1,0)),FALSE),"")</f>
        <v/>
      </c>
      <c r="IJF19" s="28" t="str">
        <f>IFERROR(VLOOKUP(DATE($K$1,$K$2,IJF$4),Table1[],(MATCH(Calendar!$A19,DB!$1:$1,0)),FALSE),"")</f>
        <v/>
      </c>
      <c r="IJG19" s="28" t="str">
        <f>IFERROR(VLOOKUP(DATE($K$1,$K$2,IJG$4),Table1[],(MATCH(Calendar!$A19,DB!$1:$1,0)),FALSE),"")</f>
        <v/>
      </c>
      <c r="IJH19" s="28" t="str">
        <f>IFERROR(VLOOKUP(DATE($K$1,$K$2,IJH$4),Table1[],(MATCH(Calendar!$A19,DB!$1:$1,0)),FALSE),"")</f>
        <v/>
      </c>
      <c r="IJI19" s="28" t="str">
        <f>IFERROR(VLOOKUP(DATE($K$1,$K$2,IJI$4),Table1[],(MATCH(Calendar!$A19,DB!$1:$1,0)),FALSE),"")</f>
        <v/>
      </c>
      <c r="IJJ19" s="28" t="str">
        <f>IFERROR(VLOOKUP(DATE($K$1,$K$2,IJJ$4),Table1[],(MATCH(Calendar!$A19,DB!$1:$1,0)),FALSE),"")</f>
        <v/>
      </c>
      <c r="IJK19" s="28" t="str">
        <f>IFERROR(VLOOKUP(DATE($K$1,$K$2,IJK$4),Table1[],(MATCH(Calendar!$A19,DB!$1:$1,0)),FALSE),"")</f>
        <v/>
      </c>
      <c r="IJL19" s="28" t="str">
        <f>IFERROR(VLOOKUP(DATE($K$1,$K$2,IJL$4),Table1[],(MATCH(Calendar!$A19,DB!$1:$1,0)),FALSE),"")</f>
        <v/>
      </c>
      <c r="IJM19" s="28" t="str">
        <f>IFERROR(VLOOKUP(DATE($K$1,$K$2,IJM$4),Table1[],(MATCH(Calendar!$A19,DB!$1:$1,0)),FALSE),"")</f>
        <v/>
      </c>
      <c r="IJN19" s="28" t="str">
        <f>IFERROR(VLOOKUP(DATE($K$1,$K$2,IJN$4),Table1[],(MATCH(Calendar!$A19,DB!$1:$1,0)),FALSE),"")</f>
        <v/>
      </c>
      <c r="IJO19" s="28" t="str">
        <f>IFERROR(VLOOKUP(DATE($K$1,$K$2,IJO$4),Table1[],(MATCH(Calendar!$A19,DB!$1:$1,0)),FALSE),"")</f>
        <v/>
      </c>
      <c r="IJP19" s="28" t="str">
        <f>IFERROR(VLOOKUP(DATE($K$1,$K$2,IJP$4),Table1[],(MATCH(Calendar!$A19,DB!$1:$1,0)),FALSE),"")</f>
        <v/>
      </c>
      <c r="IJQ19" s="28" t="str">
        <f>IFERROR(VLOOKUP(DATE($K$1,$K$2,IJQ$4),Table1[],(MATCH(Calendar!$A19,DB!$1:$1,0)),FALSE),"")</f>
        <v/>
      </c>
      <c r="IJR19" s="28" t="str">
        <f>IFERROR(VLOOKUP(DATE($K$1,$K$2,IJR$4),Table1[],(MATCH(Calendar!$A19,DB!$1:$1,0)),FALSE),"")</f>
        <v/>
      </c>
      <c r="IJS19" s="28" t="str">
        <f>IFERROR(VLOOKUP(DATE($K$1,$K$2,IJS$4),Table1[],(MATCH(Calendar!$A19,DB!$1:$1,0)),FALSE),"")</f>
        <v/>
      </c>
      <c r="IJT19" s="28" t="str">
        <f>IFERROR(VLOOKUP(DATE($K$1,$K$2,IJT$4),Table1[],(MATCH(Calendar!$A19,DB!$1:$1,0)),FALSE),"")</f>
        <v/>
      </c>
      <c r="IJU19" s="28" t="str">
        <f>IFERROR(VLOOKUP(DATE($K$1,$K$2,IJU$4),Table1[],(MATCH(Calendar!$A19,DB!$1:$1,0)),FALSE),"")</f>
        <v/>
      </c>
      <c r="IJV19" s="28" t="str">
        <f>IFERROR(VLOOKUP(DATE($K$1,$K$2,IJV$4),Table1[],(MATCH(Calendar!$A19,DB!$1:$1,0)),FALSE),"")</f>
        <v/>
      </c>
      <c r="IJW19" s="28" t="str">
        <f>IFERROR(VLOOKUP(DATE($K$1,$K$2,IJW$4),Table1[],(MATCH(Calendar!$A19,DB!$1:$1,0)),FALSE),"")</f>
        <v/>
      </c>
      <c r="IJX19" s="28" t="str">
        <f>IFERROR(VLOOKUP(DATE($K$1,$K$2,IJX$4),Table1[],(MATCH(Calendar!$A19,DB!$1:$1,0)),FALSE),"")</f>
        <v/>
      </c>
      <c r="IJY19" s="28" t="str">
        <f>IFERROR(VLOOKUP(DATE($K$1,$K$2,IJY$4),Table1[],(MATCH(Calendar!$A19,DB!$1:$1,0)),FALSE),"")</f>
        <v/>
      </c>
      <c r="IJZ19" s="28" t="str">
        <f>IFERROR(VLOOKUP(DATE($K$1,$K$2,IJZ$4),Table1[],(MATCH(Calendar!$A19,DB!$1:$1,0)),FALSE),"")</f>
        <v/>
      </c>
      <c r="IKA19" s="28" t="str">
        <f>IFERROR(VLOOKUP(DATE($K$1,$K$2,IKA$4),Table1[],(MATCH(Calendar!$A19,DB!$1:$1,0)),FALSE),"")</f>
        <v/>
      </c>
      <c r="IKB19" s="28" t="str">
        <f>IFERROR(VLOOKUP(DATE($K$1,$K$2,IKB$4),Table1[],(MATCH(Calendar!$A19,DB!$1:$1,0)),FALSE),"")</f>
        <v/>
      </c>
      <c r="IKC19" s="28" t="str">
        <f>IFERROR(VLOOKUP(DATE($K$1,$K$2,IKC$4),Table1[],(MATCH(Calendar!$A19,DB!$1:$1,0)),FALSE),"")</f>
        <v/>
      </c>
      <c r="IKD19" s="28" t="str">
        <f>IFERROR(VLOOKUP(DATE($K$1,$K$2,IKD$4),Table1[],(MATCH(Calendar!$A19,DB!$1:$1,0)),FALSE),"")</f>
        <v/>
      </c>
      <c r="IKE19" s="28" t="str">
        <f>IFERROR(VLOOKUP(DATE($K$1,$K$2,IKE$4),Table1[],(MATCH(Calendar!$A19,DB!$1:$1,0)),FALSE),"")</f>
        <v/>
      </c>
      <c r="IKF19" s="28" t="str">
        <f>IFERROR(VLOOKUP(DATE($K$1,$K$2,IKF$4),Table1[],(MATCH(Calendar!$A19,DB!$1:$1,0)),FALSE),"")</f>
        <v/>
      </c>
      <c r="IKG19" s="28" t="str">
        <f>IFERROR(VLOOKUP(DATE($K$1,$K$2,IKG$4),Table1[],(MATCH(Calendar!$A19,DB!$1:$1,0)),FALSE),"")</f>
        <v/>
      </c>
      <c r="IKH19" s="28" t="str">
        <f>IFERROR(VLOOKUP(DATE($K$1,$K$2,IKH$4),Table1[],(MATCH(Calendar!$A19,DB!$1:$1,0)),FALSE),"")</f>
        <v/>
      </c>
      <c r="IKI19" s="28" t="str">
        <f>IFERROR(VLOOKUP(DATE($K$1,$K$2,IKI$4),Table1[],(MATCH(Calendar!$A19,DB!$1:$1,0)),FALSE),"")</f>
        <v/>
      </c>
      <c r="IKJ19" s="28" t="str">
        <f>IFERROR(VLOOKUP(DATE($K$1,$K$2,IKJ$4),Table1[],(MATCH(Calendar!$A19,DB!$1:$1,0)),FALSE),"")</f>
        <v/>
      </c>
      <c r="IKK19" s="28" t="str">
        <f>IFERROR(VLOOKUP(DATE($K$1,$K$2,IKK$4),Table1[],(MATCH(Calendar!$A19,DB!$1:$1,0)),FALSE),"")</f>
        <v/>
      </c>
      <c r="IKL19" s="28" t="str">
        <f>IFERROR(VLOOKUP(DATE($K$1,$K$2,IKL$4),Table1[],(MATCH(Calendar!$A19,DB!$1:$1,0)),FALSE),"")</f>
        <v/>
      </c>
      <c r="IKM19" s="28" t="str">
        <f>IFERROR(VLOOKUP(DATE($K$1,$K$2,IKM$4),Table1[],(MATCH(Calendar!$A19,DB!$1:$1,0)),FALSE),"")</f>
        <v/>
      </c>
      <c r="IKN19" s="28" t="str">
        <f>IFERROR(VLOOKUP(DATE($K$1,$K$2,IKN$4),Table1[],(MATCH(Calendar!$A19,DB!$1:$1,0)),FALSE),"")</f>
        <v/>
      </c>
      <c r="IKO19" s="28" t="str">
        <f>IFERROR(VLOOKUP(DATE($K$1,$K$2,IKO$4),Table1[],(MATCH(Calendar!$A19,DB!$1:$1,0)),FALSE),"")</f>
        <v/>
      </c>
      <c r="IKP19" s="28" t="str">
        <f>IFERROR(VLOOKUP(DATE($K$1,$K$2,IKP$4),Table1[],(MATCH(Calendar!$A19,DB!$1:$1,0)),FALSE),"")</f>
        <v/>
      </c>
      <c r="IKQ19" s="28" t="str">
        <f>IFERROR(VLOOKUP(DATE($K$1,$K$2,IKQ$4),Table1[],(MATCH(Calendar!$A19,DB!$1:$1,0)),FALSE),"")</f>
        <v/>
      </c>
      <c r="IKR19" s="28" t="str">
        <f>IFERROR(VLOOKUP(DATE($K$1,$K$2,IKR$4),Table1[],(MATCH(Calendar!$A19,DB!$1:$1,0)),FALSE),"")</f>
        <v/>
      </c>
      <c r="IKS19" s="28" t="str">
        <f>IFERROR(VLOOKUP(DATE($K$1,$K$2,IKS$4),Table1[],(MATCH(Calendar!$A19,DB!$1:$1,0)),FALSE),"")</f>
        <v/>
      </c>
      <c r="IKT19" s="28" t="str">
        <f>IFERROR(VLOOKUP(DATE($K$1,$K$2,IKT$4),Table1[],(MATCH(Calendar!$A19,DB!$1:$1,0)),FALSE),"")</f>
        <v/>
      </c>
      <c r="IKU19" s="28" t="str">
        <f>IFERROR(VLOOKUP(DATE($K$1,$K$2,IKU$4),Table1[],(MATCH(Calendar!$A19,DB!$1:$1,0)),FALSE),"")</f>
        <v/>
      </c>
      <c r="IKV19" s="28" t="str">
        <f>IFERROR(VLOOKUP(DATE($K$1,$K$2,IKV$4),Table1[],(MATCH(Calendar!$A19,DB!$1:$1,0)),FALSE),"")</f>
        <v/>
      </c>
      <c r="IKW19" s="28" t="str">
        <f>IFERROR(VLOOKUP(DATE($K$1,$K$2,IKW$4),Table1[],(MATCH(Calendar!$A19,DB!$1:$1,0)),FALSE),"")</f>
        <v/>
      </c>
      <c r="IKX19" s="28" t="str">
        <f>IFERROR(VLOOKUP(DATE($K$1,$K$2,IKX$4),Table1[],(MATCH(Calendar!$A19,DB!$1:$1,0)),FALSE),"")</f>
        <v/>
      </c>
      <c r="IKY19" s="28" t="str">
        <f>IFERROR(VLOOKUP(DATE($K$1,$K$2,IKY$4),Table1[],(MATCH(Calendar!$A19,DB!$1:$1,0)),FALSE),"")</f>
        <v/>
      </c>
      <c r="IKZ19" s="28" t="str">
        <f>IFERROR(VLOOKUP(DATE($K$1,$K$2,IKZ$4),Table1[],(MATCH(Calendar!$A19,DB!$1:$1,0)),FALSE),"")</f>
        <v/>
      </c>
      <c r="ILA19" s="28" t="str">
        <f>IFERROR(VLOOKUP(DATE($K$1,$K$2,ILA$4),Table1[],(MATCH(Calendar!$A19,DB!$1:$1,0)),FALSE),"")</f>
        <v/>
      </c>
      <c r="ILB19" s="28" t="str">
        <f>IFERROR(VLOOKUP(DATE($K$1,$K$2,ILB$4),Table1[],(MATCH(Calendar!$A19,DB!$1:$1,0)),FALSE),"")</f>
        <v/>
      </c>
      <c r="ILC19" s="28" t="str">
        <f>IFERROR(VLOOKUP(DATE($K$1,$K$2,ILC$4),Table1[],(MATCH(Calendar!$A19,DB!$1:$1,0)),FALSE),"")</f>
        <v/>
      </c>
      <c r="ILD19" s="28" t="str">
        <f>IFERROR(VLOOKUP(DATE($K$1,$K$2,ILD$4),Table1[],(MATCH(Calendar!$A19,DB!$1:$1,0)),FALSE),"")</f>
        <v/>
      </c>
      <c r="ILE19" s="28" t="str">
        <f>IFERROR(VLOOKUP(DATE($K$1,$K$2,ILE$4),Table1[],(MATCH(Calendar!$A19,DB!$1:$1,0)),FALSE),"")</f>
        <v/>
      </c>
      <c r="ILF19" s="28" t="str">
        <f>IFERROR(VLOOKUP(DATE($K$1,$K$2,ILF$4),Table1[],(MATCH(Calendar!$A19,DB!$1:$1,0)),FALSE),"")</f>
        <v/>
      </c>
      <c r="ILG19" s="28" t="str">
        <f>IFERROR(VLOOKUP(DATE($K$1,$K$2,ILG$4),Table1[],(MATCH(Calendar!$A19,DB!$1:$1,0)),FALSE),"")</f>
        <v/>
      </c>
      <c r="ILH19" s="28" t="str">
        <f>IFERROR(VLOOKUP(DATE($K$1,$K$2,ILH$4),Table1[],(MATCH(Calendar!$A19,DB!$1:$1,0)),FALSE),"")</f>
        <v/>
      </c>
      <c r="ILI19" s="28" t="str">
        <f>IFERROR(VLOOKUP(DATE($K$1,$K$2,ILI$4),Table1[],(MATCH(Calendar!$A19,DB!$1:$1,0)),FALSE),"")</f>
        <v/>
      </c>
      <c r="ILJ19" s="28" t="str">
        <f>IFERROR(VLOOKUP(DATE($K$1,$K$2,ILJ$4),Table1[],(MATCH(Calendar!$A19,DB!$1:$1,0)),FALSE),"")</f>
        <v/>
      </c>
      <c r="ILK19" s="28" t="str">
        <f>IFERROR(VLOOKUP(DATE($K$1,$K$2,ILK$4),Table1[],(MATCH(Calendar!$A19,DB!$1:$1,0)),FALSE),"")</f>
        <v/>
      </c>
      <c r="ILL19" s="28" t="str">
        <f>IFERROR(VLOOKUP(DATE($K$1,$K$2,ILL$4),Table1[],(MATCH(Calendar!$A19,DB!$1:$1,0)),FALSE),"")</f>
        <v/>
      </c>
      <c r="ILM19" s="28" t="str">
        <f>IFERROR(VLOOKUP(DATE($K$1,$K$2,ILM$4),Table1[],(MATCH(Calendar!$A19,DB!$1:$1,0)),FALSE),"")</f>
        <v/>
      </c>
      <c r="ILN19" s="28" t="str">
        <f>IFERROR(VLOOKUP(DATE($K$1,$K$2,ILN$4),Table1[],(MATCH(Calendar!$A19,DB!$1:$1,0)),FALSE),"")</f>
        <v/>
      </c>
      <c r="ILO19" s="28" t="str">
        <f>IFERROR(VLOOKUP(DATE($K$1,$K$2,ILO$4),Table1[],(MATCH(Calendar!$A19,DB!$1:$1,0)),FALSE),"")</f>
        <v/>
      </c>
      <c r="ILP19" s="28" t="str">
        <f>IFERROR(VLOOKUP(DATE($K$1,$K$2,ILP$4),Table1[],(MATCH(Calendar!$A19,DB!$1:$1,0)),FALSE),"")</f>
        <v/>
      </c>
      <c r="ILQ19" s="28" t="str">
        <f>IFERROR(VLOOKUP(DATE($K$1,$K$2,ILQ$4),Table1[],(MATCH(Calendar!$A19,DB!$1:$1,0)),FALSE),"")</f>
        <v/>
      </c>
      <c r="ILR19" s="28" t="str">
        <f>IFERROR(VLOOKUP(DATE($K$1,$K$2,ILR$4),Table1[],(MATCH(Calendar!$A19,DB!$1:$1,0)),FALSE),"")</f>
        <v/>
      </c>
      <c r="ILS19" s="28" t="str">
        <f>IFERROR(VLOOKUP(DATE($K$1,$K$2,ILS$4),Table1[],(MATCH(Calendar!$A19,DB!$1:$1,0)),FALSE),"")</f>
        <v/>
      </c>
      <c r="ILT19" s="28" t="str">
        <f>IFERROR(VLOOKUP(DATE($K$1,$K$2,ILT$4),Table1[],(MATCH(Calendar!$A19,DB!$1:$1,0)),FALSE),"")</f>
        <v/>
      </c>
      <c r="ILU19" s="28" t="str">
        <f>IFERROR(VLOOKUP(DATE($K$1,$K$2,ILU$4),Table1[],(MATCH(Calendar!$A19,DB!$1:$1,0)),FALSE),"")</f>
        <v/>
      </c>
      <c r="ILV19" s="28" t="str">
        <f>IFERROR(VLOOKUP(DATE($K$1,$K$2,ILV$4),Table1[],(MATCH(Calendar!$A19,DB!$1:$1,0)),FALSE),"")</f>
        <v/>
      </c>
      <c r="ILW19" s="28" t="str">
        <f>IFERROR(VLOOKUP(DATE($K$1,$K$2,ILW$4),Table1[],(MATCH(Calendar!$A19,DB!$1:$1,0)),FALSE),"")</f>
        <v/>
      </c>
      <c r="ILX19" s="28" t="str">
        <f>IFERROR(VLOOKUP(DATE($K$1,$K$2,ILX$4),Table1[],(MATCH(Calendar!$A19,DB!$1:$1,0)),FALSE),"")</f>
        <v/>
      </c>
      <c r="ILY19" s="28" t="str">
        <f>IFERROR(VLOOKUP(DATE($K$1,$K$2,ILY$4),Table1[],(MATCH(Calendar!$A19,DB!$1:$1,0)),FALSE),"")</f>
        <v/>
      </c>
      <c r="ILZ19" s="28" t="str">
        <f>IFERROR(VLOOKUP(DATE($K$1,$K$2,ILZ$4),Table1[],(MATCH(Calendar!$A19,DB!$1:$1,0)),FALSE),"")</f>
        <v/>
      </c>
      <c r="IMA19" s="28" t="str">
        <f>IFERROR(VLOOKUP(DATE($K$1,$K$2,IMA$4),Table1[],(MATCH(Calendar!$A19,DB!$1:$1,0)),FALSE),"")</f>
        <v/>
      </c>
      <c r="IMB19" s="28" t="str">
        <f>IFERROR(VLOOKUP(DATE($K$1,$K$2,IMB$4),Table1[],(MATCH(Calendar!$A19,DB!$1:$1,0)),FALSE),"")</f>
        <v/>
      </c>
      <c r="IMC19" s="28" t="str">
        <f>IFERROR(VLOOKUP(DATE($K$1,$K$2,IMC$4),Table1[],(MATCH(Calendar!$A19,DB!$1:$1,0)),FALSE),"")</f>
        <v/>
      </c>
      <c r="IMD19" s="28" t="str">
        <f>IFERROR(VLOOKUP(DATE($K$1,$K$2,IMD$4),Table1[],(MATCH(Calendar!$A19,DB!$1:$1,0)),FALSE),"")</f>
        <v/>
      </c>
      <c r="IME19" s="28" t="str">
        <f>IFERROR(VLOOKUP(DATE($K$1,$K$2,IME$4),Table1[],(MATCH(Calendar!$A19,DB!$1:$1,0)),FALSE),"")</f>
        <v/>
      </c>
      <c r="IMF19" s="28" t="str">
        <f>IFERROR(VLOOKUP(DATE($K$1,$K$2,IMF$4),Table1[],(MATCH(Calendar!$A19,DB!$1:$1,0)),FALSE),"")</f>
        <v/>
      </c>
      <c r="IMG19" s="28" t="str">
        <f>IFERROR(VLOOKUP(DATE($K$1,$K$2,IMG$4),Table1[],(MATCH(Calendar!$A19,DB!$1:$1,0)),FALSE),"")</f>
        <v/>
      </c>
      <c r="IMH19" s="28" t="str">
        <f>IFERROR(VLOOKUP(DATE($K$1,$K$2,IMH$4),Table1[],(MATCH(Calendar!$A19,DB!$1:$1,0)),FALSE),"")</f>
        <v/>
      </c>
      <c r="IMI19" s="28" t="str">
        <f>IFERROR(VLOOKUP(DATE($K$1,$K$2,IMI$4),Table1[],(MATCH(Calendar!$A19,DB!$1:$1,0)),FALSE),"")</f>
        <v/>
      </c>
      <c r="IMJ19" s="28" t="str">
        <f>IFERROR(VLOOKUP(DATE($K$1,$K$2,IMJ$4),Table1[],(MATCH(Calendar!$A19,DB!$1:$1,0)),FALSE),"")</f>
        <v/>
      </c>
      <c r="IMK19" s="28" t="str">
        <f>IFERROR(VLOOKUP(DATE($K$1,$K$2,IMK$4),Table1[],(MATCH(Calendar!$A19,DB!$1:$1,0)),FALSE),"")</f>
        <v/>
      </c>
      <c r="IML19" s="28" t="str">
        <f>IFERROR(VLOOKUP(DATE($K$1,$K$2,IML$4),Table1[],(MATCH(Calendar!$A19,DB!$1:$1,0)),FALSE),"")</f>
        <v/>
      </c>
      <c r="IMM19" s="28" t="str">
        <f>IFERROR(VLOOKUP(DATE($K$1,$K$2,IMM$4),Table1[],(MATCH(Calendar!$A19,DB!$1:$1,0)),FALSE),"")</f>
        <v/>
      </c>
      <c r="IMN19" s="28" t="str">
        <f>IFERROR(VLOOKUP(DATE($K$1,$K$2,IMN$4),Table1[],(MATCH(Calendar!$A19,DB!$1:$1,0)),FALSE),"")</f>
        <v/>
      </c>
      <c r="IMO19" s="28" t="str">
        <f>IFERROR(VLOOKUP(DATE($K$1,$K$2,IMO$4),Table1[],(MATCH(Calendar!$A19,DB!$1:$1,0)),FALSE),"")</f>
        <v/>
      </c>
      <c r="IMP19" s="28" t="str">
        <f>IFERROR(VLOOKUP(DATE($K$1,$K$2,IMP$4),Table1[],(MATCH(Calendar!$A19,DB!$1:$1,0)),FALSE),"")</f>
        <v/>
      </c>
      <c r="IMQ19" s="28" t="str">
        <f>IFERROR(VLOOKUP(DATE($K$1,$K$2,IMQ$4),Table1[],(MATCH(Calendar!$A19,DB!$1:$1,0)),FALSE),"")</f>
        <v/>
      </c>
      <c r="IMR19" s="28" t="str">
        <f>IFERROR(VLOOKUP(DATE($K$1,$K$2,IMR$4),Table1[],(MATCH(Calendar!$A19,DB!$1:$1,0)),FALSE),"")</f>
        <v/>
      </c>
      <c r="IMS19" s="28" t="str">
        <f>IFERROR(VLOOKUP(DATE($K$1,$K$2,IMS$4),Table1[],(MATCH(Calendar!$A19,DB!$1:$1,0)),FALSE),"")</f>
        <v/>
      </c>
      <c r="IMT19" s="28" t="str">
        <f>IFERROR(VLOOKUP(DATE($K$1,$K$2,IMT$4),Table1[],(MATCH(Calendar!$A19,DB!$1:$1,0)),FALSE),"")</f>
        <v/>
      </c>
      <c r="IMU19" s="28" t="str">
        <f>IFERROR(VLOOKUP(DATE($K$1,$K$2,IMU$4),Table1[],(MATCH(Calendar!$A19,DB!$1:$1,0)),FALSE),"")</f>
        <v/>
      </c>
      <c r="IMV19" s="28" t="str">
        <f>IFERROR(VLOOKUP(DATE($K$1,$K$2,IMV$4),Table1[],(MATCH(Calendar!$A19,DB!$1:$1,0)),FALSE),"")</f>
        <v/>
      </c>
      <c r="IMW19" s="28" t="str">
        <f>IFERROR(VLOOKUP(DATE($K$1,$K$2,IMW$4),Table1[],(MATCH(Calendar!$A19,DB!$1:$1,0)),FALSE),"")</f>
        <v/>
      </c>
      <c r="IMX19" s="28" t="str">
        <f>IFERROR(VLOOKUP(DATE($K$1,$K$2,IMX$4),Table1[],(MATCH(Calendar!$A19,DB!$1:$1,0)),FALSE),"")</f>
        <v/>
      </c>
      <c r="IMY19" s="28" t="str">
        <f>IFERROR(VLOOKUP(DATE($K$1,$K$2,IMY$4),Table1[],(MATCH(Calendar!$A19,DB!$1:$1,0)),FALSE),"")</f>
        <v/>
      </c>
      <c r="IMZ19" s="28" t="str">
        <f>IFERROR(VLOOKUP(DATE($K$1,$K$2,IMZ$4),Table1[],(MATCH(Calendar!$A19,DB!$1:$1,0)),FALSE),"")</f>
        <v/>
      </c>
      <c r="INA19" s="28" t="str">
        <f>IFERROR(VLOOKUP(DATE($K$1,$K$2,INA$4),Table1[],(MATCH(Calendar!$A19,DB!$1:$1,0)),FALSE),"")</f>
        <v/>
      </c>
      <c r="INB19" s="28" t="str">
        <f>IFERROR(VLOOKUP(DATE($K$1,$K$2,INB$4),Table1[],(MATCH(Calendar!$A19,DB!$1:$1,0)),FALSE),"")</f>
        <v/>
      </c>
      <c r="INC19" s="28" t="str">
        <f>IFERROR(VLOOKUP(DATE($K$1,$K$2,INC$4),Table1[],(MATCH(Calendar!$A19,DB!$1:$1,0)),FALSE),"")</f>
        <v/>
      </c>
      <c r="IND19" s="28" t="str">
        <f>IFERROR(VLOOKUP(DATE($K$1,$K$2,IND$4),Table1[],(MATCH(Calendar!$A19,DB!$1:$1,0)),FALSE),"")</f>
        <v/>
      </c>
      <c r="INE19" s="28" t="str">
        <f>IFERROR(VLOOKUP(DATE($K$1,$K$2,INE$4),Table1[],(MATCH(Calendar!$A19,DB!$1:$1,0)),FALSE),"")</f>
        <v/>
      </c>
      <c r="INF19" s="28" t="str">
        <f>IFERROR(VLOOKUP(DATE($K$1,$K$2,INF$4),Table1[],(MATCH(Calendar!$A19,DB!$1:$1,0)),FALSE),"")</f>
        <v/>
      </c>
      <c r="ING19" s="28" t="str">
        <f>IFERROR(VLOOKUP(DATE($K$1,$K$2,ING$4),Table1[],(MATCH(Calendar!$A19,DB!$1:$1,0)),FALSE),"")</f>
        <v/>
      </c>
      <c r="INH19" s="28" t="str">
        <f>IFERROR(VLOOKUP(DATE($K$1,$K$2,INH$4),Table1[],(MATCH(Calendar!$A19,DB!$1:$1,0)),FALSE),"")</f>
        <v/>
      </c>
      <c r="INI19" s="28" t="str">
        <f>IFERROR(VLOOKUP(DATE($K$1,$K$2,INI$4),Table1[],(MATCH(Calendar!$A19,DB!$1:$1,0)),FALSE),"")</f>
        <v/>
      </c>
      <c r="INJ19" s="28" t="str">
        <f>IFERROR(VLOOKUP(DATE($K$1,$K$2,INJ$4),Table1[],(MATCH(Calendar!$A19,DB!$1:$1,0)),FALSE),"")</f>
        <v/>
      </c>
      <c r="INK19" s="28" t="str">
        <f>IFERROR(VLOOKUP(DATE($K$1,$K$2,INK$4),Table1[],(MATCH(Calendar!$A19,DB!$1:$1,0)),FALSE),"")</f>
        <v/>
      </c>
      <c r="INL19" s="28" t="str">
        <f>IFERROR(VLOOKUP(DATE($K$1,$K$2,INL$4),Table1[],(MATCH(Calendar!$A19,DB!$1:$1,0)),FALSE),"")</f>
        <v/>
      </c>
      <c r="INM19" s="28" t="str">
        <f>IFERROR(VLOOKUP(DATE($K$1,$K$2,INM$4),Table1[],(MATCH(Calendar!$A19,DB!$1:$1,0)),FALSE),"")</f>
        <v/>
      </c>
      <c r="INN19" s="28" t="str">
        <f>IFERROR(VLOOKUP(DATE($K$1,$K$2,INN$4),Table1[],(MATCH(Calendar!$A19,DB!$1:$1,0)),FALSE),"")</f>
        <v/>
      </c>
      <c r="INO19" s="28" t="str">
        <f>IFERROR(VLOOKUP(DATE($K$1,$K$2,INO$4),Table1[],(MATCH(Calendar!$A19,DB!$1:$1,0)),FALSE),"")</f>
        <v/>
      </c>
      <c r="INP19" s="28" t="str">
        <f>IFERROR(VLOOKUP(DATE($K$1,$K$2,INP$4),Table1[],(MATCH(Calendar!$A19,DB!$1:$1,0)),FALSE),"")</f>
        <v/>
      </c>
      <c r="INQ19" s="28" t="str">
        <f>IFERROR(VLOOKUP(DATE($K$1,$K$2,INQ$4),Table1[],(MATCH(Calendar!$A19,DB!$1:$1,0)),FALSE),"")</f>
        <v/>
      </c>
      <c r="INR19" s="28" t="str">
        <f>IFERROR(VLOOKUP(DATE($K$1,$K$2,INR$4),Table1[],(MATCH(Calendar!$A19,DB!$1:$1,0)),FALSE),"")</f>
        <v/>
      </c>
      <c r="INS19" s="28" t="str">
        <f>IFERROR(VLOOKUP(DATE($K$1,$K$2,INS$4),Table1[],(MATCH(Calendar!$A19,DB!$1:$1,0)),FALSE),"")</f>
        <v/>
      </c>
      <c r="INT19" s="28" t="str">
        <f>IFERROR(VLOOKUP(DATE($K$1,$K$2,INT$4),Table1[],(MATCH(Calendar!$A19,DB!$1:$1,0)),FALSE),"")</f>
        <v/>
      </c>
      <c r="INU19" s="28" t="str">
        <f>IFERROR(VLOOKUP(DATE($K$1,$K$2,INU$4),Table1[],(MATCH(Calendar!$A19,DB!$1:$1,0)),FALSE),"")</f>
        <v/>
      </c>
      <c r="INV19" s="28" t="str">
        <f>IFERROR(VLOOKUP(DATE($K$1,$K$2,INV$4),Table1[],(MATCH(Calendar!$A19,DB!$1:$1,0)),FALSE),"")</f>
        <v/>
      </c>
      <c r="INW19" s="28" t="str">
        <f>IFERROR(VLOOKUP(DATE($K$1,$K$2,INW$4),Table1[],(MATCH(Calendar!$A19,DB!$1:$1,0)),FALSE),"")</f>
        <v/>
      </c>
      <c r="INX19" s="28" t="str">
        <f>IFERROR(VLOOKUP(DATE($K$1,$K$2,INX$4),Table1[],(MATCH(Calendar!$A19,DB!$1:$1,0)),FALSE),"")</f>
        <v/>
      </c>
      <c r="INY19" s="28" t="str">
        <f>IFERROR(VLOOKUP(DATE($K$1,$K$2,INY$4),Table1[],(MATCH(Calendar!$A19,DB!$1:$1,0)),FALSE),"")</f>
        <v/>
      </c>
      <c r="INZ19" s="28" t="str">
        <f>IFERROR(VLOOKUP(DATE($K$1,$K$2,INZ$4),Table1[],(MATCH(Calendar!$A19,DB!$1:$1,0)),FALSE),"")</f>
        <v/>
      </c>
      <c r="IOA19" s="28" t="str">
        <f>IFERROR(VLOOKUP(DATE($K$1,$K$2,IOA$4),Table1[],(MATCH(Calendar!$A19,DB!$1:$1,0)),FALSE),"")</f>
        <v/>
      </c>
      <c r="IOB19" s="28" t="str">
        <f>IFERROR(VLOOKUP(DATE($K$1,$K$2,IOB$4),Table1[],(MATCH(Calendar!$A19,DB!$1:$1,0)),FALSE),"")</f>
        <v/>
      </c>
      <c r="IOC19" s="28" t="str">
        <f>IFERROR(VLOOKUP(DATE($K$1,$K$2,IOC$4),Table1[],(MATCH(Calendar!$A19,DB!$1:$1,0)),FALSE),"")</f>
        <v/>
      </c>
      <c r="IOD19" s="28" t="str">
        <f>IFERROR(VLOOKUP(DATE($K$1,$K$2,IOD$4),Table1[],(MATCH(Calendar!$A19,DB!$1:$1,0)),FALSE),"")</f>
        <v/>
      </c>
      <c r="IOE19" s="28" t="str">
        <f>IFERROR(VLOOKUP(DATE($K$1,$K$2,IOE$4),Table1[],(MATCH(Calendar!$A19,DB!$1:$1,0)),FALSE),"")</f>
        <v/>
      </c>
      <c r="IOF19" s="28" t="str">
        <f>IFERROR(VLOOKUP(DATE($K$1,$K$2,IOF$4),Table1[],(MATCH(Calendar!$A19,DB!$1:$1,0)),FALSE),"")</f>
        <v/>
      </c>
      <c r="IOG19" s="28" t="str">
        <f>IFERROR(VLOOKUP(DATE($K$1,$K$2,IOG$4),Table1[],(MATCH(Calendar!$A19,DB!$1:$1,0)),FALSE),"")</f>
        <v/>
      </c>
      <c r="IOH19" s="28" t="str">
        <f>IFERROR(VLOOKUP(DATE($K$1,$K$2,IOH$4),Table1[],(MATCH(Calendar!$A19,DB!$1:$1,0)),FALSE),"")</f>
        <v/>
      </c>
      <c r="IOI19" s="28" t="str">
        <f>IFERROR(VLOOKUP(DATE($K$1,$K$2,IOI$4),Table1[],(MATCH(Calendar!$A19,DB!$1:$1,0)),FALSE),"")</f>
        <v/>
      </c>
      <c r="IOJ19" s="28" t="str">
        <f>IFERROR(VLOOKUP(DATE($K$1,$K$2,IOJ$4),Table1[],(MATCH(Calendar!$A19,DB!$1:$1,0)),FALSE),"")</f>
        <v/>
      </c>
      <c r="IOK19" s="28" t="str">
        <f>IFERROR(VLOOKUP(DATE($K$1,$K$2,IOK$4),Table1[],(MATCH(Calendar!$A19,DB!$1:$1,0)),FALSE),"")</f>
        <v/>
      </c>
      <c r="IOL19" s="28" t="str">
        <f>IFERROR(VLOOKUP(DATE($K$1,$K$2,IOL$4),Table1[],(MATCH(Calendar!$A19,DB!$1:$1,0)),FALSE),"")</f>
        <v/>
      </c>
      <c r="IOM19" s="28" t="str">
        <f>IFERROR(VLOOKUP(DATE($K$1,$K$2,IOM$4),Table1[],(MATCH(Calendar!$A19,DB!$1:$1,0)),FALSE),"")</f>
        <v/>
      </c>
      <c r="ION19" s="28" t="str">
        <f>IFERROR(VLOOKUP(DATE($K$1,$K$2,ION$4),Table1[],(MATCH(Calendar!$A19,DB!$1:$1,0)),FALSE),"")</f>
        <v/>
      </c>
      <c r="IOO19" s="28" t="str">
        <f>IFERROR(VLOOKUP(DATE($K$1,$K$2,IOO$4),Table1[],(MATCH(Calendar!$A19,DB!$1:$1,0)),FALSE),"")</f>
        <v/>
      </c>
      <c r="IOP19" s="28" t="str">
        <f>IFERROR(VLOOKUP(DATE($K$1,$K$2,IOP$4),Table1[],(MATCH(Calendar!$A19,DB!$1:$1,0)),FALSE),"")</f>
        <v/>
      </c>
      <c r="IOQ19" s="28" t="str">
        <f>IFERROR(VLOOKUP(DATE($K$1,$K$2,IOQ$4),Table1[],(MATCH(Calendar!$A19,DB!$1:$1,0)),FALSE),"")</f>
        <v/>
      </c>
      <c r="IOR19" s="28" t="str">
        <f>IFERROR(VLOOKUP(DATE($K$1,$K$2,IOR$4),Table1[],(MATCH(Calendar!$A19,DB!$1:$1,0)),FALSE),"")</f>
        <v/>
      </c>
      <c r="IOS19" s="28" t="str">
        <f>IFERROR(VLOOKUP(DATE($K$1,$K$2,IOS$4),Table1[],(MATCH(Calendar!$A19,DB!$1:$1,0)),FALSE),"")</f>
        <v/>
      </c>
      <c r="IOT19" s="28" t="str">
        <f>IFERROR(VLOOKUP(DATE($K$1,$K$2,IOT$4),Table1[],(MATCH(Calendar!$A19,DB!$1:$1,0)),FALSE),"")</f>
        <v/>
      </c>
      <c r="IOU19" s="28" t="str">
        <f>IFERROR(VLOOKUP(DATE($K$1,$K$2,IOU$4),Table1[],(MATCH(Calendar!$A19,DB!$1:$1,0)),FALSE),"")</f>
        <v/>
      </c>
      <c r="IOV19" s="28" t="str">
        <f>IFERROR(VLOOKUP(DATE($K$1,$K$2,IOV$4),Table1[],(MATCH(Calendar!$A19,DB!$1:$1,0)),FALSE),"")</f>
        <v/>
      </c>
      <c r="IOW19" s="28" t="str">
        <f>IFERROR(VLOOKUP(DATE($K$1,$K$2,IOW$4),Table1[],(MATCH(Calendar!$A19,DB!$1:$1,0)),FALSE),"")</f>
        <v/>
      </c>
      <c r="IOX19" s="28" t="str">
        <f>IFERROR(VLOOKUP(DATE($K$1,$K$2,IOX$4),Table1[],(MATCH(Calendar!$A19,DB!$1:$1,0)),FALSE),"")</f>
        <v/>
      </c>
      <c r="IOY19" s="28" t="str">
        <f>IFERROR(VLOOKUP(DATE($K$1,$K$2,IOY$4),Table1[],(MATCH(Calendar!$A19,DB!$1:$1,0)),FALSE),"")</f>
        <v/>
      </c>
      <c r="IOZ19" s="28" t="str">
        <f>IFERROR(VLOOKUP(DATE($K$1,$K$2,IOZ$4),Table1[],(MATCH(Calendar!$A19,DB!$1:$1,0)),FALSE),"")</f>
        <v/>
      </c>
      <c r="IPA19" s="28" t="str">
        <f>IFERROR(VLOOKUP(DATE($K$1,$K$2,IPA$4),Table1[],(MATCH(Calendar!$A19,DB!$1:$1,0)),FALSE),"")</f>
        <v/>
      </c>
      <c r="IPB19" s="28" t="str">
        <f>IFERROR(VLOOKUP(DATE($K$1,$K$2,IPB$4),Table1[],(MATCH(Calendar!$A19,DB!$1:$1,0)),FALSE),"")</f>
        <v/>
      </c>
      <c r="IPC19" s="28" t="str">
        <f>IFERROR(VLOOKUP(DATE($K$1,$K$2,IPC$4),Table1[],(MATCH(Calendar!$A19,DB!$1:$1,0)),FALSE),"")</f>
        <v/>
      </c>
      <c r="IPD19" s="28" t="str">
        <f>IFERROR(VLOOKUP(DATE($K$1,$K$2,IPD$4),Table1[],(MATCH(Calendar!$A19,DB!$1:$1,0)),FALSE),"")</f>
        <v/>
      </c>
      <c r="IPE19" s="28" t="str">
        <f>IFERROR(VLOOKUP(DATE($K$1,$K$2,IPE$4),Table1[],(MATCH(Calendar!$A19,DB!$1:$1,0)),FALSE),"")</f>
        <v/>
      </c>
      <c r="IPF19" s="28" t="str">
        <f>IFERROR(VLOOKUP(DATE($K$1,$K$2,IPF$4),Table1[],(MATCH(Calendar!$A19,DB!$1:$1,0)),FALSE),"")</f>
        <v/>
      </c>
      <c r="IPG19" s="28" t="str">
        <f>IFERROR(VLOOKUP(DATE($K$1,$K$2,IPG$4),Table1[],(MATCH(Calendar!$A19,DB!$1:$1,0)),FALSE),"")</f>
        <v/>
      </c>
      <c r="IPH19" s="28" t="str">
        <f>IFERROR(VLOOKUP(DATE($K$1,$K$2,IPH$4),Table1[],(MATCH(Calendar!$A19,DB!$1:$1,0)),FALSE),"")</f>
        <v/>
      </c>
      <c r="IPI19" s="28" t="str">
        <f>IFERROR(VLOOKUP(DATE($K$1,$K$2,IPI$4),Table1[],(MATCH(Calendar!$A19,DB!$1:$1,0)),FALSE),"")</f>
        <v/>
      </c>
      <c r="IPJ19" s="28" t="str">
        <f>IFERROR(VLOOKUP(DATE($K$1,$K$2,IPJ$4),Table1[],(MATCH(Calendar!$A19,DB!$1:$1,0)),FALSE),"")</f>
        <v/>
      </c>
      <c r="IPK19" s="28" t="str">
        <f>IFERROR(VLOOKUP(DATE($K$1,$K$2,IPK$4),Table1[],(MATCH(Calendar!$A19,DB!$1:$1,0)),FALSE),"")</f>
        <v/>
      </c>
      <c r="IPL19" s="28" t="str">
        <f>IFERROR(VLOOKUP(DATE($K$1,$K$2,IPL$4),Table1[],(MATCH(Calendar!$A19,DB!$1:$1,0)),FALSE),"")</f>
        <v/>
      </c>
      <c r="IPM19" s="28" t="str">
        <f>IFERROR(VLOOKUP(DATE($K$1,$K$2,IPM$4),Table1[],(MATCH(Calendar!$A19,DB!$1:$1,0)),FALSE),"")</f>
        <v/>
      </c>
      <c r="IPN19" s="28" t="str">
        <f>IFERROR(VLOOKUP(DATE($K$1,$K$2,IPN$4),Table1[],(MATCH(Calendar!$A19,DB!$1:$1,0)),FALSE),"")</f>
        <v/>
      </c>
      <c r="IPO19" s="28" t="str">
        <f>IFERROR(VLOOKUP(DATE($K$1,$K$2,IPO$4),Table1[],(MATCH(Calendar!$A19,DB!$1:$1,0)),FALSE),"")</f>
        <v/>
      </c>
      <c r="IPP19" s="28" t="str">
        <f>IFERROR(VLOOKUP(DATE($K$1,$K$2,IPP$4),Table1[],(MATCH(Calendar!$A19,DB!$1:$1,0)),FALSE),"")</f>
        <v/>
      </c>
      <c r="IPQ19" s="28" t="str">
        <f>IFERROR(VLOOKUP(DATE($K$1,$K$2,IPQ$4),Table1[],(MATCH(Calendar!$A19,DB!$1:$1,0)),FALSE),"")</f>
        <v/>
      </c>
      <c r="IPR19" s="28" t="str">
        <f>IFERROR(VLOOKUP(DATE($K$1,$K$2,IPR$4),Table1[],(MATCH(Calendar!$A19,DB!$1:$1,0)),FALSE),"")</f>
        <v/>
      </c>
      <c r="IPS19" s="28" t="str">
        <f>IFERROR(VLOOKUP(DATE($K$1,$K$2,IPS$4),Table1[],(MATCH(Calendar!$A19,DB!$1:$1,0)),FALSE),"")</f>
        <v/>
      </c>
      <c r="IPT19" s="28" t="str">
        <f>IFERROR(VLOOKUP(DATE($K$1,$K$2,IPT$4),Table1[],(MATCH(Calendar!$A19,DB!$1:$1,0)),FALSE),"")</f>
        <v/>
      </c>
      <c r="IPU19" s="28" t="str">
        <f>IFERROR(VLOOKUP(DATE($K$1,$K$2,IPU$4),Table1[],(MATCH(Calendar!$A19,DB!$1:$1,0)),FALSE),"")</f>
        <v/>
      </c>
      <c r="IPV19" s="28" t="str">
        <f>IFERROR(VLOOKUP(DATE($K$1,$K$2,IPV$4),Table1[],(MATCH(Calendar!$A19,DB!$1:$1,0)),FALSE),"")</f>
        <v/>
      </c>
      <c r="IPW19" s="28" t="str">
        <f>IFERROR(VLOOKUP(DATE($K$1,$K$2,IPW$4),Table1[],(MATCH(Calendar!$A19,DB!$1:$1,0)),FALSE),"")</f>
        <v/>
      </c>
      <c r="IPX19" s="28" t="str">
        <f>IFERROR(VLOOKUP(DATE($K$1,$K$2,IPX$4),Table1[],(MATCH(Calendar!$A19,DB!$1:$1,0)),FALSE),"")</f>
        <v/>
      </c>
      <c r="IPY19" s="28" t="str">
        <f>IFERROR(VLOOKUP(DATE($K$1,$K$2,IPY$4),Table1[],(MATCH(Calendar!$A19,DB!$1:$1,0)),FALSE),"")</f>
        <v/>
      </c>
      <c r="IPZ19" s="28" t="str">
        <f>IFERROR(VLOOKUP(DATE($K$1,$K$2,IPZ$4),Table1[],(MATCH(Calendar!$A19,DB!$1:$1,0)),FALSE),"")</f>
        <v/>
      </c>
      <c r="IQA19" s="28" t="str">
        <f>IFERROR(VLOOKUP(DATE($K$1,$K$2,IQA$4),Table1[],(MATCH(Calendar!$A19,DB!$1:$1,0)),FALSE),"")</f>
        <v/>
      </c>
      <c r="IQB19" s="28" t="str">
        <f>IFERROR(VLOOKUP(DATE($K$1,$K$2,IQB$4),Table1[],(MATCH(Calendar!$A19,DB!$1:$1,0)),FALSE),"")</f>
        <v/>
      </c>
      <c r="IQC19" s="28" t="str">
        <f>IFERROR(VLOOKUP(DATE($K$1,$K$2,IQC$4),Table1[],(MATCH(Calendar!$A19,DB!$1:$1,0)),FALSE),"")</f>
        <v/>
      </c>
      <c r="IQD19" s="28" t="str">
        <f>IFERROR(VLOOKUP(DATE($K$1,$K$2,IQD$4),Table1[],(MATCH(Calendar!$A19,DB!$1:$1,0)),FALSE),"")</f>
        <v/>
      </c>
      <c r="IQE19" s="28" t="str">
        <f>IFERROR(VLOOKUP(DATE($K$1,$K$2,IQE$4),Table1[],(MATCH(Calendar!$A19,DB!$1:$1,0)),FALSE),"")</f>
        <v/>
      </c>
      <c r="IQF19" s="28" t="str">
        <f>IFERROR(VLOOKUP(DATE($K$1,$K$2,IQF$4),Table1[],(MATCH(Calendar!$A19,DB!$1:$1,0)),FALSE),"")</f>
        <v/>
      </c>
      <c r="IQG19" s="28" t="str">
        <f>IFERROR(VLOOKUP(DATE($K$1,$K$2,IQG$4),Table1[],(MATCH(Calendar!$A19,DB!$1:$1,0)),FALSE),"")</f>
        <v/>
      </c>
      <c r="IQH19" s="28" t="str">
        <f>IFERROR(VLOOKUP(DATE($K$1,$K$2,IQH$4),Table1[],(MATCH(Calendar!$A19,DB!$1:$1,0)),FALSE),"")</f>
        <v/>
      </c>
      <c r="IQI19" s="28" t="str">
        <f>IFERROR(VLOOKUP(DATE($K$1,$K$2,IQI$4),Table1[],(MATCH(Calendar!$A19,DB!$1:$1,0)),FALSE),"")</f>
        <v/>
      </c>
      <c r="IQJ19" s="28" t="str">
        <f>IFERROR(VLOOKUP(DATE($K$1,$K$2,IQJ$4),Table1[],(MATCH(Calendar!$A19,DB!$1:$1,0)),FALSE),"")</f>
        <v/>
      </c>
      <c r="IQK19" s="28" t="str">
        <f>IFERROR(VLOOKUP(DATE($K$1,$K$2,IQK$4),Table1[],(MATCH(Calendar!$A19,DB!$1:$1,0)),FALSE),"")</f>
        <v/>
      </c>
      <c r="IQL19" s="28" t="str">
        <f>IFERROR(VLOOKUP(DATE($K$1,$K$2,IQL$4),Table1[],(MATCH(Calendar!$A19,DB!$1:$1,0)),FALSE),"")</f>
        <v/>
      </c>
      <c r="IQM19" s="28" t="str">
        <f>IFERROR(VLOOKUP(DATE($K$1,$K$2,IQM$4),Table1[],(MATCH(Calendar!$A19,DB!$1:$1,0)),FALSE),"")</f>
        <v/>
      </c>
      <c r="IQN19" s="28" t="str">
        <f>IFERROR(VLOOKUP(DATE($K$1,$K$2,IQN$4),Table1[],(MATCH(Calendar!$A19,DB!$1:$1,0)),FALSE),"")</f>
        <v/>
      </c>
      <c r="IQO19" s="28" t="str">
        <f>IFERROR(VLOOKUP(DATE($K$1,$K$2,IQO$4),Table1[],(MATCH(Calendar!$A19,DB!$1:$1,0)),FALSE),"")</f>
        <v/>
      </c>
      <c r="IQP19" s="28" t="str">
        <f>IFERROR(VLOOKUP(DATE($K$1,$K$2,IQP$4),Table1[],(MATCH(Calendar!$A19,DB!$1:$1,0)),FALSE),"")</f>
        <v/>
      </c>
      <c r="IQQ19" s="28" t="str">
        <f>IFERROR(VLOOKUP(DATE($K$1,$K$2,IQQ$4),Table1[],(MATCH(Calendar!$A19,DB!$1:$1,0)),FALSE),"")</f>
        <v/>
      </c>
      <c r="IQR19" s="28" t="str">
        <f>IFERROR(VLOOKUP(DATE($K$1,$K$2,IQR$4),Table1[],(MATCH(Calendar!$A19,DB!$1:$1,0)),FALSE),"")</f>
        <v/>
      </c>
      <c r="IQS19" s="28" t="str">
        <f>IFERROR(VLOOKUP(DATE($K$1,$K$2,IQS$4),Table1[],(MATCH(Calendar!$A19,DB!$1:$1,0)),FALSE),"")</f>
        <v/>
      </c>
      <c r="IQT19" s="28" t="str">
        <f>IFERROR(VLOOKUP(DATE($K$1,$K$2,IQT$4),Table1[],(MATCH(Calendar!$A19,DB!$1:$1,0)),FALSE),"")</f>
        <v/>
      </c>
      <c r="IQU19" s="28" t="str">
        <f>IFERROR(VLOOKUP(DATE($K$1,$K$2,IQU$4),Table1[],(MATCH(Calendar!$A19,DB!$1:$1,0)),FALSE),"")</f>
        <v/>
      </c>
      <c r="IQV19" s="28" t="str">
        <f>IFERROR(VLOOKUP(DATE($K$1,$K$2,IQV$4),Table1[],(MATCH(Calendar!$A19,DB!$1:$1,0)),FALSE),"")</f>
        <v/>
      </c>
      <c r="IQW19" s="28" t="str">
        <f>IFERROR(VLOOKUP(DATE($K$1,$K$2,IQW$4),Table1[],(MATCH(Calendar!$A19,DB!$1:$1,0)),FALSE),"")</f>
        <v/>
      </c>
      <c r="IQX19" s="28" t="str">
        <f>IFERROR(VLOOKUP(DATE($K$1,$K$2,IQX$4),Table1[],(MATCH(Calendar!$A19,DB!$1:$1,0)),FALSE),"")</f>
        <v/>
      </c>
      <c r="IQY19" s="28" t="str">
        <f>IFERROR(VLOOKUP(DATE($K$1,$K$2,IQY$4),Table1[],(MATCH(Calendar!$A19,DB!$1:$1,0)),FALSE),"")</f>
        <v/>
      </c>
      <c r="IQZ19" s="28" t="str">
        <f>IFERROR(VLOOKUP(DATE($K$1,$K$2,IQZ$4),Table1[],(MATCH(Calendar!$A19,DB!$1:$1,0)),FALSE),"")</f>
        <v/>
      </c>
      <c r="IRA19" s="28" t="str">
        <f>IFERROR(VLOOKUP(DATE($K$1,$K$2,IRA$4),Table1[],(MATCH(Calendar!$A19,DB!$1:$1,0)),FALSE),"")</f>
        <v/>
      </c>
      <c r="IRB19" s="28" t="str">
        <f>IFERROR(VLOOKUP(DATE($K$1,$K$2,IRB$4),Table1[],(MATCH(Calendar!$A19,DB!$1:$1,0)),FALSE),"")</f>
        <v/>
      </c>
      <c r="IRC19" s="28" t="str">
        <f>IFERROR(VLOOKUP(DATE($K$1,$K$2,IRC$4),Table1[],(MATCH(Calendar!$A19,DB!$1:$1,0)),FALSE),"")</f>
        <v/>
      </c>
      <c r="IRD19" s="28" t="str">
        <f>IFERROR(VLOOKUP(DATE($K$1,$K$2,IRD$4),Table1[],(MATCH(Calendar!$A19,DB!$1:$1,0)),FALSE),"")</f>
        <v/>
      </c>
      <c r="IRE19" s="28" t="str">
        <f>IFERROR(VLOOKUP(DATE($K$1,$K$2,IRE$4),Table1[],(MATCH(Calendar!$A19,DB!$1:$1,0)),FALSE),"")</f>
        <v/>
      </c>
      <c r="IRF19" s="28" t="str">
        <f>IFERROR(VLOOKUP(DATE($K$1,$K$2,IRF$4),Table1[],(MATCH(Calendar!$A19,DB!$1:$1,0)),FALSE),"")</f>
        <v/>
      </c>
      <c r="IRG19" s="28" t="str">
        <f>IFERROR(VLOOKUP(DATE($K$1,$K$2,IRG$4),Table1[],(MATCH(Calendar!$A19,DB!$1:$1,0)),FALSE),"")</f>
        <v/>
      </c>
      <c r="IRH19" s="28" t="str">
        <f>IFERROR(VLOOKUP(DATE($K$1,$K$2,IRH$4),Table1[],(MATCH(Calendar!$A19,DB!$1:$1,0)),FALSE),"")</f>
        <v/>
      </c>
      <c r="IRI19" s="28" t="str">
        <f>IFERROR(VLOOKUP(DATE($K$1,$K$2,IRI$4),Table1[],(MATCH(Calendar!$A19,DB!$1:$1,0)),FALSE),"")</f>
        <v/>
      </c>
      <c r="IRJ19" s="28" t="str">
        <f>IFERROR(VLOOKUP(DATE($K$1,$K$2,IRJ$4),Table1[],(MATCH(Calendar!$A19,DB!$1:$1,0)),FALSE),"")</f>
        <v/>
      </c>
      <c r="IRK19" s="28" t="str">
        <f>IFERROR(VLOOKUP(DATE($K$1,$K$2,IRK$4),Table1[],(MATCH(Calendar!$A19,DB!$1:$1,0)),FALSE),"")</f>
        <v/>
      </c>
      <c r="IRL19" s="28" t="str">
        <f>IFERROR(VLOOKUP(DATE($K$1,$K$2,IRL$4),Table1[],(MATCH(Calendar!$A19,DB!$1:$1,0)),FALSE),"")</f>
        <v/>
      </c>
      <c r="IRM19" s="28" t="str">
        <f>IFERROR(VLOOKUP(DATE($K$1,$K$2,IRM$4),Table1[],(MATCH(Calendar!$A19,DB!$1:$1,0)),FALSE),"")</f>
        <v/>
      </c>
      <c r="IRN19" s="28" t="str">
        <f>IFERROR(VLOOKUP(DATE($K$1,$K$2,IRN$4),Table1[],(MATCH(Calendar!$A19,DB!$1:$1,0)),FALSE),"")</f>
        <v/>
      </c>
      <c r="IRO19" s="28" t="str">
        <f>IFERROR(VLOOKUP(DATE($K$1,$K$2,IRO$4),Table1[],(MATCH(Calendar!$A19,DB!$1:$1,0)),FALSE),"")</f>
        <v/>
      </c>
      <c r="IRP19" s="28" t="str">
        <f>IFERROR(VLOOKUP(DATE($K$1,$K$2,IRP$4),Table1[],(MATCH(Calendar!$A19,DB!$1:$1,0)),FALSE),"")</f>
        <v/>
      </c>
      <c r="IRQ19" s="28" t="str">
        <f>IFERROR(VLOOKUP(DATE($K$1,$K$2,IRQ$4),Table1[],(MATCH(Calendar!$A19,DB!$1:$1,0)),FALSE),"")</f>
        <v/>
      </c>
      <c r="IRR19" s="28" t="str">
        <f>IFERROR(VLOOKUP(DATE($K$1,$K$2,IRR$4),Table1[],(MATCH(Calendar!$A19,DB!$1:$1,0)),FALSE),"")</f>
        <v/>
      </c>
      <c r="IRS19" s="28" t="str">
        <f>IFERROR(VLOOKUP(DATE($K$1,$K$2,IRS$4),Table1[],(MATCH(Calendar!$A19,DB!$1:$1,0)),FALSE),"")</f>
        <v/>
      </c>
      <c r="IRT19" s="28" t="str">
        <f>IFERROR(VLOOKUP(DATE($K$1,$K$2,IRT$4),Table1[],(MATCH(Calendar!$A19,DB!$1:$1,0)),FALSE),"")</f>
        <v/>
      </c>
      <c r="IRU19" s="28" t="str">
        <f>IFERROR(VLOOKUP(DATE($K$1,$K$2,IRU$4),Table1[],(MATCH(Calendar!$A19,DB!$1:$1,0)),FALSE),"")</f>
        <v/>
      </c>
      <c r="IRV19" s="28" t="str">
        <f>IFERROR(VLOOKUP(DATE($K$1,$K$2,IRV$4),Table1[],(MATCH(Calendar!$A19,DB!$1:$1,0)),FALSE),"")</f>
        <v/>
      </c>
      <c r="IRW19" s="28" t="str">
        <f>IFERROR(VLOOKUP(DATE($K$1,$K$2,IRW$4),Table1[],(MATCH(Calendar!$A19,DB!$1:$1,0)),FALSE),"")</f>
        <v/>
      </c>
      <c r="IRX19" s="28" t="str">
        <f>IFERROR(VLOOKUP(DATE($K$1,$K$2,IRX$4),Table1[],(MATCH(Calendar!$A19,DB!$1:$1,0)),FALSE),"")</f>
        <v/>
      </c>
      <c r="IRY19" s="28" t="str">
        <f>IFERROR(VLOOKUP(DATE($K$1,$K$2,IRY$4),Table1[],(MATCH(Calendar!$A19,DB!$1:$1,0)),FALSE),"")</f>
        <v/>
      </c>
      <c r="IRZ19" s="28" t="str">
        <f>IFERROR(VLOOKUP(DATE($K$1,$K$2,IRZ$4),Table1[],(MATCH(Calendar!$A19,DB!$1:$1,0)),FALSE),"")</f>
        <v/>
      </c>
      <c r="ISA19" s="28" t="str">
        <f>IFERROR(VLOOKUP(DATE($K$1,$K$2,ISA$4),Table1[],(MATCH(Calendar!$A19,DB!$1:$1,0)),FALSE),"")</f>
        <v/>
      </c>
      <c r="ISB19" s="28" t="str">
        <f>IFERROR(VLOOKUP(DATE($K$1,$K$2,ISB$4),Table1[],(MATCH(Calendar!$A19,DB!$1:$1,0)),FALSE),"")</f>
        <v/>
      </c>
      <c r="ISC19" s="28" t="str">
        <f>IFERROR(VLOOKUP(DATE($K$1,$K$2,ISC$4),Table1[],(MATCH(Calendar!$A19,DB!$1:$1,0)),FALSE),"")</f>
        <v/>
      </c>
      <c r="ISD19" s="28" t="str">
        <f>IFERROR(VLOOKUP(DATE($K$1,$K$2,ISD$4),Table1[],(MATCH(Calendar!$A19,DB!$1:$1,0)),FALSE),"")</f>
        <v/>
      </c>
      <c r="ISE19" s="28" t="str">
        <f>IFERROR(VLOOKUP(DATE($K$1,$K$2,ISE$4),Table1[],(MATCH(Calendar!$A19,DB!$1:$1,0)),FALSE),"")</f>
        <v/>
      </c>
      <c r="ISF19" s="28" t="str">
        <f>IFERROR(VLOOKUP(DATE($K$1,$K$2,ISF$4),Table1[],(MATCH(Calendar!$A19,DB!$1:$1,0)),FALSE),"")</f>
        <v/>
      </c>
      <c r="ISG19" s="28" t="str">
        <f>IFERROR(VLOOKUP(DATE($K$1,$K$2,ISG$4),Table1[],(MATCH(Calendar!$A19,DB!$1:$1,0)),FALSE),"")</f>
        <v/>
      </c>
      <c r="ISH19" s="28" t="str">
        <f>IFERROR(VLOOKUP(DATE($K$1,$K$2,ISH$4),Table1[],(MATCH(Calendar!$A19,DB!$1:$1,0)),FALSE),"")</f>
        <v/>
      </c>
      <c r="ISI19" s="28" t="str">
        <f>IFERROR(VLOOKUP(DATE($K$1,$K$2,ISI$4),Table1[],(MATCH(Calendar!$A19,DB!$1:$1,0)),FALSE),"")</f>
        <v/>
      </c>
      <c r="ISJ19" s="28" t="str">
        <f>IFERROR(VLOOKUP(DATE($K$1,$K$2,ISJ$4),Table1[],(MATCH(Calendar!$A19,DB!$1:$1,0)),FALSE),"")</f>
        <v/>
      </c>
      <c r="ISK19" s="28" t="str">
        <f>IFERROR(VLOOKUP(DATE($K$1,$K$2,ISK$4),Table1[],(MATCH(Calendar!$A19,DB!$1:$1,0)),FALSE),"")</f>
        <v/>
      </c>
      <c r="ISL19" s="28" t="str">
        <f>IFERROR(VLOOKUP(DATE($K$1,$K$2,ISL$4),Table1[],(MATCH(Calendar!$A19,DB!$1:$1,0)),FALSE),"")</f>
        <v/>
      </c>
      <c r="ISM19" s="28" t="str">
        <f>IFERROR(VLOOKUP(DATE($K$1,$K$2,ISM$4),Table1[],(MATCH(Calendar!$A19,DB!$1:$1,0)),FALSE),"")</f>
        <v/>
      </c>
      <c r="ISN19" s="28" t="str">
        <f>IFERROR(VLOOKUP(DATE($K$1,$K$2,ISN$4),Table1[],(MATCH(Calendar!$A19,DB!$1:$1,0)),FALSE),"")</f>
        <v/>
      </c>
      <c r="ISO19" s="28" t="str">
        <f>IFERROR(VLOOKUP(DATE($K$1,$K$2,ISO$4),Table1[],(MATCH(Calendar!$A19,DB!$1:$1,0)),FALSE),"")</f>
        <v/>
      </c>
      <c r="ISP19" s="28" t="str">
        <f>IFERROR(VLOOKUP(DATE($K$1,$K$2,ISP$4),Table1[],(MATCH(Calendar!$A19,DB!$1:$1,0)),FALSE),"")</f>
        <v/>
      </c>
      <c r="ISQ19" s="28" t="str">
        <f>IFERROR(VLOOKUP(DATE($K$1,$K$2,ISQ$4),Table1[],(MATCH(Calendar!$A19,DB!$1:$1,0)),FALSE),"")</f>
        <v/>
      </c>
      <c r="ISR19" s="28" t="str">
        <f>IFERROR(VLOOKUP(DATE($K$1,$K$2,ISR$4),Table1[],(MATCH(Calendar!$A19,DB!$1:$1,0)),FALSE),"")</f>
        <v/>
      </c>
      <c r="ISS19" s="28" t="str">
        <f>IFERROR(VLOOKUP(DATE($K$1,$K$2,ISS$4),Table1[],(MATCH(Calendar!$A19,DB!$1:$1,0)),FALSE),"")</f>
        <v/>
      </c>
      <c r="IST19" s="28" t="str">
        <f>IFERROR(VLOOKUP(DATE($K$1,$K$2,IST$4),Table1[],(MATCH(Calendar!$A19,DB!$1:$1,0)),FALSE),"")</f>
        <v/>
      </c>
      <c r="ISU19" s="28" t="str">
        <f>IFERROR(VLOOKUP(DATE($K$1,$K$2,ISU$4),Table1[],(MATCH(Calendar!$A19,DB!$1:$1,0)),FALSE),"")</f>
        <v/>
      </c>
      <c r="ISV19" s="28" t="str">
        <f>IFERROR(VLOOKUP(DATE($K$1,$K$2,ISV$4),Table1[],(MATCH(Calendar!$A19,DB!$1:$1,0)),FALSE),"")</f>
        <v/>
      </c>
      <c r="ISW19" s="28" t="str">
        <f>IFERROR(VLOOKUP(DATE($K$1,$K$2,ISW$4),Table1[],(MATCH(Calendar!$A19,DB!$1:$1,0)),FALSE),"")</f>
        <v/>
      </c>
      <c r="ISX19" s="28" t="str">
        <f>IFERROR(VLOOKUP(DATE($K$1,$K$2,ISX$4),Table1[],(MATCH(Calendar!$A19,DB!$1:$1,0)),FALSE),"")</f>
        <v/>
      </c>
      <c r="ISY19" s="28" t="str">
        <f>IFERROR(VLOOKUP(DATE($K$1,$K$2,ISY$4),Table1[],(MATCH(Calendar!$A19,DB!$1:$1,0)),FALSE),"")</f>
        <v/>
      </c>
      <c r="ISZ19" s="28" t="str">
        <f>IFERROR(VLOOKUP(DATE($K$1,$K$2,ISZ$4),Table1[],(MATCH(Calendar!$A19,DB!$1:$1,0)),FALSE),"")</f>
        <v/>
      </c>
      <c r="ITA19" s="28" t="str">
        <f>IFERROR(VLOOKUP(DATE($K$1,$K$2,ITA$4),Table1[],(MATCH(Calendar!$A19,DB!$1:$1,0)),FALSE),"")</f>
        <v/>
      </c>
      <c r="ITB19" s="28" t="str">
        <f>IFERROR(VLOOKUP(DATE($K$1,$K$2,ITB$4),Table1[],(MATCH(Calendar!$A19,DB!$1:$1,0)),FALSE),"")</f>
        <v/>
      </c>
      <c r="ITC19" s="28" t="str">
        <f>IFERROR(VLOOKUP(DATE($K$1,$K$2,ITC$4),Table1[],(MATCH(Calendar!$A19,DB!$1:$1,0)),FALSE),"")</f>
        <v/>
      </c>
      <c r="ITD19" s="28" t="str">
        <f>IFERROR(VLOOKUP(DATE($K$1,$K$2,ITD$4),Table1[],(MATCH(Calendar!$A19,DB!$1:$1,0)),FALSE),"")</f>
        <v/>
      </c>
      <c r="ITE19" s="28" t="str">
        <f>IFERROR(VLOOKUP(DATE($K$1,$K$2,ITE$4),Table1[],(MATCH(Calendar!$A19,DB!$1:$1,0)),FALSE),"")</f>
        <v/>
      </c>
      <c r="ITF19" s="28" t="str">
        <f>IFERROR(VLOOKUP(DATE($K$1,$K$2,ITF$4),Table1[],(MATCH(Calendar!$A19,DB!$1:$1,0)),FALSE),"")</f>
        <v/>
      </c>
      <c r="ITG19" s="28" t="str">
        <f>IFERROR(VLOOKUP(DATE($K$1,$K$2,ITG$4),Table1[],(MATCH(Calendar!$A19,DB!$1:$1,0)),FALSE),"")</f>
        <v/>
      </c>
      <c r="ITH19" s="28" t="str">
        <f>IFERROR(VLOOKUP(DATE($K$1,$K$2,ITH$4),Table1[],(MATCH(Calendar!$A19,DB!$1:$1,0)),FALSE),"")</f>
        <v/>
      </c>
      <c r="ITI19" s="28" t="str">
        <f>IFERROR(VLOOKUP(DATE($K$1,$K$2,ITI$4),Table1[],(MATCH(Calendar!$A19,DB!$1:$1,0)),FALSE),"")</f>
        <v/>
      </c>
      <c r="ITJ19" s="28" t="str">
        <f>IFERROR(VLOOKUP(DATE($K$1,$K$2,ITJ$4),Table1[],(MATCH(Calendar!$A19,DB!$1:$1,0)),FALSE),"")</f>
        <v/>
      </c>
      <c r="ITK19" s="28" t="str">
        <f>IFERROR(VLOOKUP(DATE($K$1,$K$2,ITK$4),Table1[],(MATCH(Calendar!$A19,DB!$1:$1,0)),FALSE),"")</f>
        <v/>
      </c>
      <c r="ITL19" s="28" t="str">
        <f>IFERROR(VLOOKUP(DATE($K$1,$K$2,ITL$4),Table1[],(MATCH(Calendar!$A19,DB!$1:$1,0)),FALSE),"")</f>
        <v/>
      </c>
      <c r="ITM19" s="28" t="str">
        <f>IFERROR(VLOOKUP(DATE($K$1,$K$2,ITM$4),Table1[],(MATCH(Calendar!$A19,DB!$1:$1,0)),FALSE),"")</f>
        <v/>
      </c>
      <c r="ITN19" s="28" t="str">
        <f>IFERROR(VLOOKUP(DATE($K$1,$K$2,ITN$4),Table1[],(MATCH(Calendar!$A19,DB!$1:$1,0)),FALSE),"")</f>
        <v/>
      </c>
      <c r="ITO19" s="28" t="str">
        <f>IFERROR(VLOOKUP(DATE($K$1,$K$2,ITO$4),Table1[],(MATCH(Calendar!$A19,DB!$1:$1,0)),FALSE),"")</f>
        <v/>
      </c>
      <c r="ITP19" s="28" t="str">
        <f>IFERROR(VLOOKUP(DATE($K$1,$K$2,ITP$4),Table1[],(MATCH(Calendar!$A19,DB!$1:$1,0)),FALSE),"")</f>
        <v/>
      </c>
      <c r="ITQ19" s="28" t="str">
        <f>IFERROR(VLOOKUP(DATE($K$1,$K$2,ITQ$4),Table1[],(MATCH(Calendar!$A19,DB!$1:$1,0)),FALSE),"")</f>
        <v/>
      </c>
      <c r="ITR19" s="28" t="str">
        <f>IFERROR(VLOOKUP(DATE($K$1,$K$2,ITR$4),Table1[],(MATCH(Calendar!$A19,DB!$1:$1,0)),FALSE),"")</f>
        <v/>
      </c>
      <c r="ITS19" s="28" t="str">
        <f>IFERROR(VLOOKUP(DATE($K$1,$K$2,ITS$4),Table1[],(MATCH(Calendar!$A19,DB!$1:$1,0)),FALSE),"")</f>
        <v/>
      </c>
      <c r="ITT19" s="28" t="str">
        <f>IFERROR(VLOOKUP(DATE($K$1,$K$2,ITT$4),Table1[],(MATCH(Calendar!$A19,DB!$1:$1,0)),FALSE),"")</f>
        <v/>
      </c>
      <c r="ITU19" s="28" t="str">
        <f>IFERROR(VLOOKUP(DATE($K$1,$K$2,ITU$4),Table1[],(MATCH(Calendar!$A19,DB!$1:$1,0)),FALSE),"")</f>
        <v/>
      </c>
      <c r="ITV19" s="28" t="str">
        <f>IFERROR(VLOOKUP(DATE($K$1,$K$2,ITV$4),Table1[],(MATCH(Calendar!$A19,DB!$1:$1,0)),FALSE),"")</f>
        <v/>
      </c>
      <c r="ITW19" s="28" t="str">
        <f>IFERROR(VLOOKUP(DATE($K$1,$K$2,ITW$4),Table1[],(MATCH(Calendar!$A19,DB!$1:$1,0)),FALSE),"")</f>
        <v/>
      </c>
      <c r="ITX19" s="28" t="str">
        <f>IFERROR(VLOOKUP(DATE($K$1,$K$2,ITX$4),Table1[],(MATCH(Calendar!$A19,DB!$1:$1,0)),FALSE),"")</f>
        <v/>
      </c>
      <c r="ITY19" s="28" t="str">
        <f>IFERROR(VLOOKUP(DATE($K$1,$K$2,ITY$4),Table1[],(MATCH(Calendar!$A19,DB!$1:$1,0)),FALSE),"")</f>
        <v/>
      </c>
      <c r="ITZ19" s="28" t="str">
        <f>IFERROR(VLOOKUP(DATE($K$1,$K$2,ITZ$4),Table1[],(MATCH(Calendar!$A19,DB!$1:$1,0)),FALSE),"")</f>
        <v/>
      </c>
      <c r="IUA19" s="28" t="str">
        <f>IFERROR(VLOOKUP(DATE($K$1,$K$2,IUA$4),Table1[],(MATCH(Calendar!$A19,DB!$1:$1,0)),FALSE),"")</f>
        <v/>
      </c>
      <c r="IUB19" s="28" t="str">
        <f>IFERROR(VLOOKUP(DATE($K$1,$K$2,IUB$4),Table1[],(MATCH(Calendar!$A19,DB!$1:$1,0)),FALSE),"")</f>
        <v/>
      </c>
      <c r="IUC19" s="28" t="str">
        <f>IFERROR(VLOOKUP(DATE($K$1,$K$2,IUC$4),Table1[],(MATCH(Calendar!$A19,DB!$1:$1,0)),FALSE),"")</f>
        <v/>
      </c>
      <c r="IUD19" s="28" t="str">
        <f>IFERROR(VLOOKUP(DATE($K$1,$K$2,IUD$4),Table1[],(MATCH(Calendar!$A19,DB!$1:$1,0)),FALSE),"")</f>
        <v/>
      </c>
      <c r="IUE19" s="28" t="str">
        <f>IFERROR(VLOOKUP(DATE($K$1,$K$2,IUE$4),Table1[],(MATCH(Calendar!$A19,DB!$1:$1,0)),FALSE),"")</f>
        <v/>
      </c>
      <c r="IUF19" s="28" t="str">
        <f>IFERROR(VLOOKUP(DATE($K$1,$K$2,IUF$4),Table1[],(MATCH(Calendar!$A19,DB!$1:$1,0)),FALSE),"")</f>
        <v/>
      </c>
      <c r="IUG19" s="28" t="str">
        <f>IFERROR(VLOOKUP(DATE($K$1,$K$2,IUG$4),Table1[],(MATCH(Calendar!$A19,DB!$1:$1,0)),FALSE),"")</f>
        <v/>
      </c>
      <c r="IUH19" s="28" t="str">
        <f>IFERROR(VLOOKUP(DATE($K$1,$K$2,IUH$4),Table1[],(MATCH(Calendar!$A19,DB!$1:$1,0)),FALSE),"")</f>
        <v/>
      </c>
      <c r="IUI19" s="28" t="str">
        <f>IFERROR(VLOOKUP(DATE($K$1,$K$2,IUI$4),Table1[],(MATCH(Calendar!$A19,DB!$1:$1,0)),FALSE),"")</f>
        <v/>
      </c>
      <c r="IUJ19" s="28" t="str">
        <f>IFERROR(VLOOKUP(DATE($K$1,$K$2,IUJ$4),Table1[],(MATCH(Calendar!$A19,DB!$1:$1,0)),FALSE),"")</f>
        <v/>
      </c>
      <c r="IUK19" s="28" t="str">
        <f>IFERROR(VLOOKUP(DATE($K$1,$K$2,IUK$4),Table1[],(MATCH(Calendar!$A19,DB!$1:$1,0)),FALSE),"")</f>
        <v/>
      </c>
      <c r="IUL19" s="28" t="str">
        <f>IFERROR(VLOOKUP(DATE($K$1,$K$2,IUL$4),Table1[],(MATCH(Calendar!$A19,DB!$1:$1,0)),FALSE),"")</f>
        <v/>
      </c>
      <c r="IUM19" s="28" t="str">
        <f>IFERROR(VLOOKUP(DATE($K$1,$K$2,IUM$4),Table1[],(MATCH(Calendar!$A19,DB!$1:$1,0)),FALSE),"")</f>
        <v/>
      </c>
      <c r="IUN19" s="28" t="str">
        <f>IFERROR(VLOOKUP(DATE($K$1,$K$2,IUN$4),Table1[],(MATCH(Calendar!$A19,DB!$1:$1,0)),FALSE),"")</f>
        <v/>
      </c>
      <c r="IUO19" s="28" t="str">
        <f>IFERROR(VLOOKUP(DATE($K$1,$K$2,IUO$4),Table1[],(MATCH(Calendar!$A19,DB!$1:$1,0)),FALSE),"")</f>
        <v/>
      </c>
      <c r="IUP19" s="28" t="str">
        <f>IFERROR(VLOOKUP(DATE($K$1,$K$2,IUP$4),Table1[],(MATCH(Calendar!$A19,DB!$1:$1,0)),FALSE),"")</f>
        <v/>
      </c>
      <c r="IUQ19" s="28" t="str">
        <f>IFERROR(VLOOKUP(DATE($K$1,$K$2,IUQ$4),Table1[],(MATCH(Calendar!$A19,DB!$1:$1,0)),FALSE),"")</f>
        <v/>
      </c>
      <c r="IUR19" s="28" t="str">
        <f>IFERROR(VLOOKUP(DATE($K$1,$K$2,IUR$4),Table1[],(MATCH(Calendar!$A19,DB!$1:$1,0)),FALSE),"")</f>
        <v/>
      </c>
      <c r="IUS19" s="28" t="str">
        <f>IFERROR(VLOOKUP(DATE($K$1,$K$2,IUS$4),Table1[],(MATCH(Calendar!$A19,DB!$1:$1,0)),FALSE),"")</f>
        <v/>
      </c>
      <c r="IUT19" s="28" t="str">
        <f>IFERROR(VLOOKUP(DATE($K$1,$K$2,IUT$4),Table1[],(MATCH(Calendar!$A19,DB!$1:$1,0)),FALSE),"")</f>
        <v/>
      </c>
      <c r="IUU19" s="28" t="str">
        <f>IFERROR(VLOOKUP(DATE($K$1,$K$2,IUU$4),Table1[],(MATCH(Calendar!$A19,DB!$1:$1,0)),FALSE),"")</f>
        <v/>
      </c>
      <c r="IUV19" s="28" t="str">
        <f>IFERROR(VLOOKUP(DATE($K$1,$K$2,IUV$4),Table1[],(MATCH(Calendar!$A19,DB!$1:$1,0)),FALSE),"")</f>
        <v/>
      </c>
      <c r="IUW19" s="28" t="str">
        <f>IFERROR(VLOOKUP(DATE($K$1,$K$2,IUW$4),Table1[],(MATCH(Calendar!$A19,DB!$1:$1,0)),FALSE),"")</f>
        <v/>
      </c>
      <c r="IUX19" s="28" t="str">
        <f>IFERROR(VLOOKUP(DATE($K$1,$K$2,IUX$4),Table1[],(MATCH(Calendar!$A19,DB!$1:$1,0)),FALSE),"")</f>
        <v/>
      </c>
      <c r="IUY19" s="28" t="str">
        <f>IFERROR(VLOOKUP(DATE($K$1,$K$2,IUY$4),Table1[],(MATCH(Calendar!$A19,DB!$1:$1,0)),FALSE),"")</f>
        <v/>
      </c>
      <c r="IUZ19" s="28" t="str">
        <f>IFERROR(VLOOKUP(DATE($K$1,$K$2,IUZ$4),Table1[],(MATCH(Calendar!$A19,DB!$1:$1,0)),FALSE),"")</f>
        <v/>
      </c>
      <c r="IVA19" s="28" t="str">
        <f>IFERROR(VLOOKUP(DATE($K$1,$K$2,IVA$4),Table1[],(MATCH(Calendar!$A19,DB!$1:$1,0)),FALSE),"")</f>
        <v/>
      </c>
      <c r="IVB19" s="28" t="str">
        <f>IFERROR(VLOOKUP(DATE($K$1,$K$2,IVB$4),Table1[],(MATCH(Calendar!$A19,DB!$1:$1,0)),FALSE),"")</f>
        <v/>
      </c>
      <c r="IVC19" s="28" t="str">
        <f>IFERROR(VLOOKUP(DATE($K$1,$K$2,IVC$4),Table1[],(MATCH(Calendar!$A19,DB!$1:$1,0)),FALSE),"")</f>
        <v/>
      </c>
      <c r="IVD19" s="28" t="str">
        <f>IFERROR(VLOOKUP(DATE($K$1,$K$2,IVD$4),Table1[],(MATCH(Calendar!$A19,DB!$1:$1,0)),FALSE),"")</f>
        <v/>
      </c>
      <c r="IVE19" s="28" t="str">
        <f>IFERROR(VLOOKUP(DATE($K$1,$K$2,IVE$4),Table1[],(MATCH(Calendar!$A19,DB!$1:$1,0)),FALSE),"")</f>
        <v/>
      </c>
      <c r="IVF19" s="28" t="str">
        <f>IFERROR(VLOOKUP(DATE($K$1,$K$2,IVF$4),Table1[],(MATCH(Calendar!$A19,DB!$1:$1,0)),FALSE),"")</f>
        <v/>
      </c>
      <c r="IVG19" s="28" t="str">
        <f>IFERROR(VLOOKUP(DATE($K$1,$K$2,IVG$4),Table1[],(MATCH(Calendar!$A19,DB!$1:$1,0)),FALSE),"")</f>
        <v/>
      </c>
      <c r="IVH19" s="28" t="str">
        <f>IFERROR(VLOOKUP(DATE($K$1,$K$2,IVH$4),Table1[],(MATCH(Calendar!$A19,DB!$1:$1,0)),FALSE),"")</f>
        <v/>
      </c>
      <c r="IVI19" s="28" t="str">
        <f>IFERROR(VLOOKUP(DATE($K$1,$K$2,IVI$4),Table1[],(MATCH(Calendar!$A19,DB!$1:$1,0)),FALSE),"")</f>
        <v/>
      </c>
      <c r="IVJ19" s="28" t="str">
        <f>IFERROR(VLOOKUP(DATE($K$1,$K$2,IVJ$4),Table1[],(MATCH(Calendar!$A19,DB!$1:$1,0)),FALSE),"")</f>
        <v/>
      </c>
      <c r="IVK19" s="28" t="str">
        <f>IFERROR(VLOOKUP(DATE($K$1,$K$2,IVK$4),Table1[],(MATCH(Calendar!$A19,DB!$1:$1,0)),FALSE),"")</f>
        <v/>
      </c>
      <c r="IVL19" s="28" t="str">
        <f>IFERROR(VLOOKUP(DATE($K$1,$K$2,IVL$4),Table1[],(MATCH(Calendar!$A19,DB!$1:$1,0)),FALSE),"")</f>
        <v/>
      </c>
      <c r="IVM19" s="28" t="str">
        <f>IFERROR(VLOOKUP(DATE($K$1,$K$2,IVM$4),Table1[],(MATCH(Calendar!$A19,DB!$1:$1,0)),FALSE),"")</f>
        <v/>
      </c>
      <c r="IVN19" s="28" t="str">
        <f>IFERROR(VLOOKUP(DATE($K$1,$K$2,IVN$4),Table1[],(MATCH(Calendar!$A19,DB!$1:$1,0)),FALSE),"")</f>
        <v/>
      </c>
      <c r="IVO19" s="28" t="str">
        <f>IFERROR(VLOOKUP(DATE($K$1,$K$2,IVO$4),Table1[],(MATCH(Calendar!$A19,DB!$1:$1,0)),FALSE),"")</f>
        <v/>
      </c>
      <c r="IVP19" s="28" t="str">
        <f>IFERROR(VLOOKUP(DATE($K$1,$K$2,IVP$4),Table1[],(MATCH(Calendar!$A19,DB!$1:$1,0)),FALSE),"")</f>
        <v/>
      </c>
      <c r="IVQ19" s="28" t="str">
        <f>IFERROR(VLOOKUP(DATE($K$1,$K$2,IVQ$4),Table1[],(MATCH(Calendar!$A19,DB!$1:$1,0)),FALSE),"")</f>
        <v/>
      </c>
      <c r="IVR19" s="28" t="str">
        <f>IFERROR(VLOOKUP(DATE($K$1,$K$2,IVR$4),Table1[],(MATCH(Calendar!$A19,DB!$1:$1,0)),FALSE),"")</f>
        <v/>
      </c>
      <c r="IVS19" s="28" t="str">
        <f>IFERROR(VLOOKUP(DATE($K$1,$K$2,IVS$4),Table1[],(MATCH(Calendar!$A19,DB!$1:$1,0)),FALSE),"")</f>
        <v/>
      </c>
      <c r="IVT19" s="28" t="str">
        <f>IFERROR(VLOOKUP(DATE($K$1,$K$2,IVT$4),Table1[],(MATCH(Calendar!$A19,DB!$1:$1,0)),FALSE),"")</f>
        <v/>
      </c>
      <c r="IVU19" s="28" t="str">
        <f>IFERROR(VLOOKUP(DATE($K$1,$K$2,IVU$4),Table1[],(MATCH(Calendar!$A19,DB!$1:$1,0)),FALSE),"")</f>
        <v/>
      </c>
      <c r="IVV19" s="28" t="str">
        <f>IFERROR(VLOOKUP(DATE($K$1,$K$2,IVV$4),Table1[],(MATCH(Calendar!$A19,DB!$1:$1,0)),FALSE),"")</f>
        <v/>
      </c>
      <c r="IVW19" s="28" t="str">
        <f>IFERROR(VLOOKUP(DATE($K$1,$K$2,IVW$4),Table1[],(MATCH(Calendar!$A19,DB!$1:$1,0)),FALSE),"")</f>
        <v/>
      </c>
      <c r="IVX19" s="28" t="str">
        <f>IFERROR(VLOOKUP(DATE($K$1,$K$2,IVX$4),Table1[],(MATCH(Calendar!$A19,DB!$1:$1,0)),FALSE),"")</f>
        <v/>
      </c>
      <c r="IVY19" s="28" t="str">
        <f>IFERROR(VLOOKUP(DATE($K$1,$K$2,IVY$4),Table1[],(MATCH(Calendar!$A19,DB!$1:$1,0)),FALSE),"")</f>
        <v/>
      </c>
      <c r="IVZ19" s="28" t="str">
        <f>IFERROR(VLOOKUP(DATE($K$1,$K$2,IVZ$4),Table1[],(MATCH(Calendar!$A19,DB!$1:$1,0)),FALSE),"")</f>
        <v/>
      </c>
      <c r="IWA19" s="28" t="str">
        <f>IFERROR(VLOOKUP(DATE($K$1,$K$2,IWA$4),Table1[],(MATCH(Calendar!$A19,DB!$1:$1,0)),FALSE),"")</f>
        <v/>
      </c>
      <c r="IWB19" s="28" t="str">
        <f>IFERROR(VLOOKUP(DATE($K$1,$K$2,IWB$4),Table1[],(MATCH(Calendar!$A19,DB!$1:$1,0)),FALSE),"")</f>
        <v/>
      </c>
      <c r="IWC19" s="28" t="str">
        <f>IFERROR(VLOOKUP(DATE($K$1,$K$2,IWC$4),Table1[],(MATCH(Calendar!$A19,DB!$1:$1,0)),FALSE),"")</f>
        <v/>
      </c>
      <c r="IWD19" s="28" t="str">
        <f>IFERROR(VLOOKUP(DATE($K$1,$K$2,IWD$4),Table1[],(MATCH(Calendar!$A19,DB!$1:$1,0)),FALSE),"")</f>
        <v/>
      </c>
      <c r="IWE19" s="28" t="str">
        <f>IFERROR(VLOOKUP(DATE($K$1,$K$2,IWE$4),Table1[],(MATCH(Calendar!$A19,DB!$1:$1,0)),FALSE),"")</f>
        <v/>
      </c>
      <c r="IWF19" s="28" t="str">
        <f>IFERROR(VLOOKUP(DATE($K$1,$K$2,IWF$4),Table1[],(MATCH(Calendar!$A19,DB!$1:$1,0)),FALSE),"")</f>
        <v/>
      </c>
      <c r="IWG19" s="28" t="str">
        <f>IFERROR(VLOOKUP(DATE($K$1,$K$2,IWG$4),Table1[],(MATCH(Calendar!$A19,DB!$1:$1,0)),FALSE),"")</f>
        <v/>
      </c>
      <c r="IWH19" s="28" t="str">
        <f>IFERROR(VLOOKUP(DATE($K$1,$K$2,IWH$4),Table1[],(MATCH(Calendar!$A19,DB!$1:$1,0)),FALSE),"")</f>
        <v/>
      </c>
      <c r="IWI19" s="28" t="str">
        <f>IFERROR(VLOOKUP(DATE($K$1,$K$2,IWI$4),Table1[],(MATCH(Calendar!$A19,DB!$1:$1,0)),FALSE),"")</f>
        <v/>
      </c>
      <c r="IWJ19" s="28" t="str">
        <f>IFERROR(VLOOKUP(DATE($K$1,$K$2,IWJ$4),Table1[],(MATCH(Calendar!$A19,DB!$1:$1,0)),FALSE),"")</f>
        <v/>
      </c>
      <c r="IWK19" s="28" t="str">
        <f>IFERROR(VLOOKUP(DATE($K$1,$K$2,IWK$4),Table1[],(MATCH(Calendar!$A19,DB!$1:$1,0)),FALSE),"")</f>
        <v/>
      </c>
      <c r="IWL19" s="28" t="str">
        <f>IFERROR(VLOOKUP(DATE($K$1,$K$2,IWL$4),Table1[],(MATCH(Calendar!$A19,DB!$1:$1,0)),FALSE),"")</f>
        <v/>
      </c>
      <c r="IWM19" s="28" t="str">
        <f>IFERROR(VLOOKUP(DATE($K$1,$K$2,IWM$4),Table1[],(MATCH(Calendar!$A19,DB!$1:$1,0)),FALSE),"")</f>
        <v/>
      </c>
      <c r="IWN19" s="28" t="str">
        <f>IFERROR(VLOOKUP(DATE($K$1,$K$2,IWN$4),Table1[],(MATCH(Calendar!$A19,DB!$1:$1,0)),FALSE),"")</f>
        <v/>
      </c>
      <c r="IWO19" s="28" t="str">
        <f>IFERROR(VLOOKUP(DATE($K$1,$K$2,IWO$4),Table1[],(MATCH(Calendar!$A19,DB!$1:$1,0)),FALSE),"")</f>
        <v/>
      </c>
      <c r="IWP19" s="28" t="str">
        <f>IFERROR(VLOOKUP(DATE($K$1,$K$2,IWP$4),Table1[],(MATCH(Calendar!$A19,DB!$1:$1,0)),FALSE),"")</f>
        <v/>
      </c>
      <c r="IWQ19" s="28" t="str">
        <f>IFERROR(VLOOKUP(DATE($K$1,$K$2,IWQ$4),Table1[],(MATCH(Calendar!$A19,DB!$1:$1,0)),FALSE),"")</f>
        <v/>
      </c>
      <c r="IWR19" s="28" t="str">
        <f>IFERROR(VLOOKUP(DATE($K$1,$K$2,IWR$4),Table1[],(MATCH(Calendar!$A19,DB!$1:$1,0)),FALSE),"")</f>
        <v/>
      </c>
      <c r="IWS19" s="28" t="str">
        <f>IFERROR(VLOOKUP(DATE($K$1,$K$2,IWS$4),Table1[],(MATCH(Calendar!$A19,DB!$1:$1,0)),FALSE),"")</f>
        <v/>
      </c>
      <c r="IWT19" s="28" t="str">
        <f>IFERROR(VLOOKUP(DATE($K$1,$K$2,IWT$4),Table1[],(MATCH(Calendar!$A19,DB!$1:$1,0)),FALSE),"")</f>
        <v/>
      </c>
      <c r="IWU19" s="28" t="str">
        <f>IFERROR(VLOOKUP(DATE($K$1,$K$2,IWU$4),Table1[],(MATCH(Calendar!$A19,DB!$1:$1,0)),FALSE),"")</f>
        <v/>
      </c>
      <c r="IWV19" s="28" t="str">
        <f>IFERROR(VLOOKUP(DATE($K$1,$K$2,IWV$4),Table1[],(MATCH(Calendar!$A19,DB!$1:$1,0)),FALSE),"")</f>
        <v/>
      </c>
      <c r="IWW19" s="28" t="str">
        <f>IFERROR(VLOOKUP(DATE($K$1,$K$2,IWW$4),Table1[],(MATCH(Calendar!$A19,DB!$1:$1,0)),FALSE),"")</f>
        <v/>
      </c>
      <c r="IWX19" s="28" t="str">
        <f>IFERROR(VLOOKUP(DATE($K$1,$K$2,IWX$4),Table1[],(MATCH(Calendar!$A19,DB!$1:$1,0)),FALSE),"")</f>
        <v/>
      </c>
      <c r="IWY19" s="28" t="str">
        <f>IFERROR(VLOOKUP(DATE($K$1,$K$2,IWY$4),Table1[],(MATCH(Calendar!$A19,DB!$1:$1,0)),FALSE),"")</f>
        <v/>
      </c>
      <c r="IWZ19" s="28" t="str">
        <f>IFERROR(VLOOKUP(DATE($K$1,$K$2,IWZ$4),Table1[],(MATCH(Calendar!$A19,DB!$1:$1,0)),FALSE),"")</f>
        <v/>
      </c>
      <c r="IXA19" s="28" t="str">
        <f>IFERROR(VLOOKUP(DATE($K$1,$K$2,IXA$4),Table1[],(MATCH(Calendar!$A19,DB!$1:$1,0)),FALSE),"")</f>
        <v/>
      </c>
      <c r="IXB19" s="28" t="str">
        <f>IFERROR(VLOOKUP(DATE($K$1,$K$2,IXB$4),Table1[],(MATCH(Calendar!$A19,DB!$1:$1,0)),FALSE),"")</f>
        <v/>
      </c>
      <c r="IXC19" s="28" t="str">
        <f>IFERROR(VLOOKUP(DATE($K$1,$K$2,IXC$4),Table1[],(MATCH(Calendar!$A19,DB!$1:$1,0)),FALSE),"")</f>
        <v/>
      </c>
      <c r="IXD19" s="28" t="str">
        <f>IFERROR(VLOOKUP(DATE($K$1,$K$2,IXD$4),Table1[],(MATCH(Calendar!$A19,DB!$1:$1,0)),FALSE),"")</f>
        <v/>
      </c>
      <c r="IXE19" s="28" t="str">
        <f>IFERROR(VLOOKUP(DATE($K$1,$K$2,IXE$4),Table1[],(MATCH(Calendar!$A19,DB!$1:$1,0)),FALSE),"")</f>
        <v/>
      </c>
      <c r="IXF19" s="28" t="str">
        <f>IFERROR(VLOOKUP(DATE($K$1,$K$2,IXF$4),Table1[],(MATCH(Calendar!$A19,DB!$1:$1,0)),FALSE),"")</f>
        <v/>
      </c>
      <c r="IXG19" s="28" t="str">
        <f>IFERROR(VLOOKUP(DATE($K$1,$K$2,IXG$4),Table1[],(MATCH(Calendar!$A19,DB!$1:$1,0)),FALSE),"")</f>
        <v/>
      </c>
      <c r="IXH19" s="28" t="str">
        <f>IFERROR(VLOOKUP(DATE($K$1,$K$2,IXH$4),Table1[],(MATCH(Calendar!$A19,DB!$1:$1,0)),FALSE),"")</f>
        <v/>
      </c>
      <c r="IXI19" s="28" t="str">
        <f>IFERROR(VLOOKUP(DATE($K$1,$K$2,IXI$4),Table1[],(MATCH(Calendar!$A19,DB!$1:$1,0)),FALSE),"")</f>
        <v/>
      </c>
      <c r="IXJ19" s="28" t="str">
        <f>IFERROR(VLOOKUP(DATE($K$1,$K$2,IXJ$4),Table1[],(MATCH(Calendar!$A19,DB!$1:$1,0)),FALSE),"")</f>
        <v/>
      </c>
      <c r="IXK19" s="28" t="str">
        <f>IFERROR(VLOOKUP(DATE($K$1,$K$2,IXK$4),Table1[],(MATCH(Calendar!$A19,DB!$1:$1,0)),FALSE),"")</f>
        <v/>
      </c>
      <c r="IXL19" s="28" t="str">
        <f>IFERROR(VLOOKUP(DATE($K$1,$K$2,IXL$4),Table1[],(MATCH(Calendar!$A19,DB!$1:$1,0)),FALSE),"")</f>
        <v/>
      </c>
      <c r="IXM19" s="28" t="str">
        <f>IFERROR(VLOOKUP(DATE($K$1,$K$2,IXM$4),Table1[],(MATCH(Calendar!$A19,DB!$1:$1,0)),FALSE),"")</f>
        <v/>
      </c>
      <c r="IXN19" s="28" t="str">
        <f>IFERROR(VLOOKUP(DATE($K$1,$K$2,IXN$4),Table1[],(MATCH(Calendar!$A19,DB!$1:$1,0)),FALSE),"")</f>
        <v/>
      </c>
      <c r="IXO19" s="28" t="str">
        <f>IFERROR(VLOOKUP(DATE($K$1,$K$2,IXO$4),Table1[],(MATCH(Calendar!$A19,DB!$1:$1,0)),FALSE),"")</f>
        <v/>
      </c>
      <c r="IXP19" s="28" t="str">
        <f>IFERROR(VLOOKUP(DATE($K$1,$K$2,IXP$4),Table1[],(MATCH(Calendar!$A19,DB!$1:$1,0)),FALSE),"")</f>
        <v/>
      </c>
      <c r="IXQ19" s="28" t="str">
        <f>IFERROR(VLOOKUP(DATE($K$1,$K$2,IXQ$4),Table1[],(MATCH(Calendar!$A19,DB!$1:$1,0)),FALSE),"")</f>
        <v/>
      </c>
      <c r="IXR19" s="28" t="str">
        <f>IFERROR(VLOOKUP(DATE($K$1,$K$2,IXR$4),Table1[],(MATCH(Calendar!$A19,DB!$1:$1,0)),FALSE),"")</f>
        <v/>
      </c>
      <c r="IXS19" s="28" t="str">
        <f>IFERROR(VLOOKUP(DATE($K$1,$K$2,IXS$4),Table1[],(MATCH(Calendar!$A19,DB!$1:$1,0)),FALSE),"")</f>
        <v/>
      </c>
      <c r="IXT19" s="28" t="str">
        <f>IFERROR(VLOOKUP(DATE($K$1,$K$2,IXT$4),Table1[],(MATCH(Calendar!$A19,DB!$1:$1,0)),FALSE),"")</f>
        <v/>
      </c>
      <c r="IXU19" s="28" t="str">
        <f>IFERROR(VLOOKUP(DATE($K$1,$K$2,IXU$4),Table1[],(MATCH(Calendar!$A19,DB!$1:$1,0)),FALSE),"")</f>
        <v/>
      </c>
      <c r="IXV19" s="28" t="str">
        <f>IFERROR(VLOOKUP(DATE($K$1,$K$2,IXV$4),Table1[],(MATCH(Calendar!$A19,DB!$1:$1,0)),FALSE),"")</f>
        <v/>
      </c>
      <c r="IXW19" s="28" t="str">
        <f>IFERROR(VLOOKUP(DATE($K$1,$K$2,IXW$4),Table1[],(MATCH(Calendar!$A19,DB!$1:$1,0)),FALSE),"")</f>
        <v/>
      </c>
      <c r="IXX19" s="28" t="str">
        <f>IFERROR(VLOOKUP(DATE($K$1,$K$2,IXX$4),Table1[],(MATCH(Calendar!$A19,DB!$1:$1,0)),FALSE),"")</f>
        <v/>
      </c>
      <c r="IXY19" s="28" t="str">
        <f>IFERROR(VLOOKUP(DATE($K$1,$K$2,IXY$4),Table1[],(MATCH(Calendar!$A19,DB!$1:$1,0)),FALSE),"")</f>
        <v/>
      </c>
      <c r="IXZ19" s="28" t="str">
        <f>IFERROR(VLOOKUP(DATE($K$1,$K$2,IXZ$4),Table1[],(MATCH(Calendar!$A19,DB!$1:$1,0)),FALSE),"")</f>
        <v/>
      </c>
      <c r="IYA19" s="28" t="str">
        <f>IFERROR(VLOOKUP(DATE($K$1,$K$2,IYA$4),Table1[],(MATCH(Calendar!$A19,DB!$1:$1,0)),FALSE),"")</f>
        <v/>
      </c>
      <c r="IYB19" s="28" t="str">
        <f>IFERROR(VLOOKUP(DATE($K$1,$K$2,IYB$4),Table1[],(MATCH(Calendar!$A19,DB!$1:$1,0)),FALSE),"")</f>
        <v/>
      </c>
      <c r="IYC19" s="28" t="str">
        <f>IFERROR(VLOOKUP(DATE($K$1,$K$2,IYC$4),Table1[],(MATCH(Calendar!$A19,DB!$1:$1,0)),FALSE),"")</f>
        <v/>
      </c>
      <c r="IYD19" s="28" t="str">
        <f>IFERROR(VLOOKUP(DATE($K$1,$K$2,IYD$4),Table1[],(MATCH(Calendar!$A19,DB!$1:$1,0)),FALSE),"")</f>
        <v/>
      </c>
      <c r="IYE19" s="28" t="str">
        <f>IFERROR(VLOOKUP(DATE($K$1,$K$2,IYE$4),Table1[],(MATCH(Calendar!$A19,DB!$1:$1,0)),FALSE),"")</f>
        <v/>
      </c>
      <c r="IYF19" s="28" t="str">
        <f>IFERROR(VLOOKUP(DATE($K$1,$K$2,IYF$4),Table1[],(MATCH(Calendar!$A19,DB!$1:$1,0)),FALSE),"")</f>
        <v/>
      </c>
      <c r="IYG19" s="28" t="str">
        <f>IFERROR(VLOOKUP(DATE($K$1,$K$2,IYG$4),Table1[],(MATCH(Calendar!$A19,DB!$1:$1,0)),FALSE),"")</f>
        <v/>
      </c>
      <c r="IYH19" s="28" t="str">
        <f>IFERROR(VLOOKUP(DATE($K$1,$K$2,IYH$4),Table1[],(MATCH(Calendar!$A19,DB!$1:$1,0)),FALSE),"")</f>
        <v/>
      </c>
      <c r="IYI19" s="28" t="str">
        <f>IFERROR(VLOOKUP(DATE($K$1,$K$2,IYI$4),Table1[],(MATCH(Calendar!$A19,DB!$1:$1,0)),FALSE),"")</f>
        <v/>
      </c>
      <c r="IYJ19" s="28" t="str">
        <f>IFERROR(VLOOKUP(DATE($K$1,$K$2,IYJ$4),Table1[],(MATCH(Calendar!$A19,DB!$1:$1,0)),FALSE),"")</f>
        <v/>
      </c>
      <c r="IYK19" s="28" t="str">
        <f>IFERROR(VLOOKUP(DATE($K$1,$K$2,IYK$4),Table1[],(MATCH(Calendar!$A19,DB!$1:$1,0)),FALSE),"")</f>
        <v/>
      </c>
      <c r="IYL19" s="28" t="str">
        <f>IFERROR(VLOOKUP(DATE($K$1,$K$2,IYL$4),Table1[],(MATCH(Calendar!$A19,DB!$1:$1,0)),FALSE),"")</f>
        <v/>
      </c>
      <c r="IYM19" s="28" t="str">
        <f>IFERROR(VLOOKUP(DATE($K$1,$K$2,IYM$4),Table1[],(MATCH(Calendar!$A19,DB!$1:$1,0)),FALSE),"")</f>
        <v/>
      </c>
      <c r="IYN19" s="28" t="str">
        <f>IFERROR(VLOOKUP(DATE($K$1,$K$2,IYN$4),Table1[],(MATCH(Calendar!$A19,DB!$1:$1,0)),FALSE),"")</f>
        <v/>
      </c>
      <c r="IYO19" s="28" t="str">
        <f>IFERROR(VLOOKUP(DATE($K$1,$K$2,IYO$4),Table1[],(MATCH(Calendar!$A19,DB!$1:$1,0)),FALSE),"")</f>
        <v/>
      </c>
      <c r="IYP19" s="28" t="str">
        <f>IFERROR(VLOOKUP(DATE($K$1,$K$2,IYP$4),Table1[],(MATCH(Calendar!$A19,DB!$1:$1,0)),FALSE),"")</f>
        <v/>
      </c>
      <c r="IYQ19" s="28" t="str">
        <f>IFERROR(VLOOKUP(DATE($K$1,$K$2,IYQ$4),Table1[],(MATCH(Calendar!$A19,DB!$1:$1,0)),FALSE),"")</f>
        <v/>
      </c>
      <c r="IYR19" s="28" t="str">
        <f>IFERROR(VLOOKUP(DATE($K$1,$K$2,IYR$4),Table1[],(MATCH(Calendar!$A19,DB!$1:$1,0)),FALSE),"")</f>
        <v/>
      </c>
      <c r="IYS19" s="28" t="str">
        <f>IFERROR(VLOOKUP(DATE($K$1,$K$2,IYS$4),Table1[],(MATCH(Calendar!$A19,DB!$1:$1,0)),FALSE),"")</f>
        <v/>
      </c>
      <c r="IYT19" s="28" t="str">
        <f>IFERROR(VLOOKUP(DATE($K$1,$K$2,IYT$4),Table1[],(MATCH(Calendar!$A19,DB!$1:$1,0)),FALSE),"")</f>
        <v/>
      </c>
      <c r="IYU19" s="28" t="str">
        <f>IFERROR(VLOOKUP(DATE($K$1,$K$2,IYU$4),Table1[],(MATCH(Calendar!$A19,DB!$1:$1,0)),FALSE),"")</f>
        <v/>
      </c>
      <c r="IYV19" s="28" t="str">
        <f>IFERROR(VLOOKUP(DATE($K$1,$K$2,IYV$4),Table1[],(MATCH(Calendar!$A19,DB!$1:$1,0)),FALSE),"")</f>
        <v/>
      </c>
      <c r="IYW19" s="28" t="str">
        <f>IFERROR(VLOOKUP(DATE($K$1,$K$2,IYW$4),Table1[],(MATCH(Calendar!$A19,DB!$1:$1,0)),FALSE),"")</f>
        <v/>
      </c>
      <c r="IYX19" s="28" t="str">
        <f>IFERROR(VLOOKUP(DATE($K$1,$K$2,IYX$4),Table1[],(MATCH(Calendar!$A19,DB!$1:$1,0)),FALSE),"")</f>
        <v/>
      </c>
      <c r="IYY19" s="28" t="str">
        <f>IFERROR(VLOOKUP(DATE($K$1,$K$2,IYY$4),Table1[],(MATCH(Calendar!$A19,DB!$1:$1,0)),FALSE),"")</f>
        <v/>
      </c>
      <c r="IYZ19" s="28" t="str">
        <f>IFERROR(VLOOKUP(DATE($K$1,$K$2,IYZ$4),Table1[],(MATCH(Calendar!$A19,DB!$1:$1,0)),FALSE),"")</f>
        <v/>
      </c>
      <c r="IZA19" s="28" t="str">
        <f>IFERROR(VLOOKUP(DATE($K$1,$K$2,IZA$4),Table1[],(MATCH(Calendar!$A19,DB!$1:$1,0)),FALSE),"")</f>
        <v/>
      </c>
      <c r="IZB19" s="28" t="str">
        <f>IFERROR(VLOOKUP(DATE($K$1,$K$2,IZB$4),Table1[],(MATCH(Calendar!$A19,DB!$1:$1,0)),FALSE),"")</f>
        <v/>
      </c>
      <c r="IZC19" s="28" t="str">
        <f>IFERROR(VLOOKUP(DATE($K$1,$K$2,IZC$4),Table1[],(MATCH(Calendar!$A19,DB!$1:$1,0)),FALSE),"")</f>
        <v/>
      </c>
      <c r="IZD19" s="28" t="str">
        <f>IFERROR(VLOOKUP(DATE($K$1,$K$2,IZD$4),Table1[],(MATCH(Calendar!$A19,DB!$1:$1,0)),FALSE),"")</f>
        <v/>
      </c>
      <c r="IZE19" s="28" t="str">
        <f>IFERROR(VLOOKUP(DATE($K$1,$K$2,IZE$4),Table1[],(MATCH(Calendar!$A19,DB!$1:$1,0)),FALSE),"")</f>
        <v/>
      </c>
      <c r="IZF19" s="28" t="str">
        <f>IFERROR(VLOOKUP(DATE($K$1,$K$2,IZF$4),Table1[],(MATCH(Calendar!$A19,DB!$1:$1,0)),FALSE),"")</f>
        <v/>
      </c>
      <c r="IZG19" s="28" t="str">
        <f>IFERROR(VLOOKUP(DATE($K$1,$K$2,IZG$4),Table1[],(MATCH(Calendar!$A19,DB!$1:$1,0)),FALSE),"")</f>
        <v/>
      </c>
      <c r="IZH19" s="28" t="str">
        <f>IFERROR(VLOOKUP(DATE($K$1,$K$2,IZH$4),Table1[],(MATCH(Calendar!$A19,DB!$1:$1,0)),FALSE),"")</f>
        <v/>
      </c>
      <c r="IZI19" s="28" t="str">
        <f>IFERROR(VLOOKUP(DATE($K$1,$K$2,IZI$4),Table1[],(MATCH(Calendar!$A19,DB!$1:$1,0)),FALSE),"")</f>
        <v/>
      </c>
      <c r="IZJ19" s="28" t="str">
        <f>IFERROR(VLOOKUP(DATE($K$1,$K$2,IZJ$4),Table1[],(MATCH(Calendar!$A19,DB!$1:$1,0)),FALSE),"")</f>
        <v/>
      </c>
      <c r="IZK19" s="28" t="str">
        <f>IFERROR(VLOOKUP(DATE($K$1,$K$2,IZK$4),Table1[],(MATCH(Calendar!$A19,DB!$1:$1,0)),FALSE),"")</f>
        <v/>
      </c>
      <c r="IZL19" s="28" t="str">
        <f>IFERROR(VLOOKUP(DATE($K$1,$K$2,IZL$4),Table1[],(MATCH(Calendar!$A19,DB!$1:$1,0)),FALSE),"")</f>
        <v/>
      </c>
      <c r="IZM19" s="28" t="str">
        <f>IFERROR(VLOOKUP(DATE($K$1,$K$2,IZM$4),Table1[],(MATCH(Calendar!$A19,DB!$1:$1,0)),FALSE),"")</f>
        <v/>
      </c>
      <c r="IZN19" s="28" t="str">
        <f>IFERROR(VLOOKUP(DATE($K$1,$K$2,IZN$4),Table1[],(MATCH(Calendar!$A19,DB!$1:$1,0)),FALSE),"")</f>
        <v/>
      </c>
      <c r="IZO19" s="28" t="str">
        <f>IFERROR(VLOOKUP(DATE($K$1,$K$2,IZO$4),Table1[],(MATCH(Calendar!$A19,DB!$1:$1,0)),FALSE),"")</f>
        <v/>
      </c>
      <c r="IZP19" s="28" t="str">
        <f>IFERROR(VLOOKUP(DATE($K$1,$K$2,IZP$4),Table1[],(MATCH(Calendar!$A19,DB!$1:$1,0)),FALSE),"")</f>
        <v/>
      </c>
      <c r="IZQ19" s="28" t="str">
        <f>IFERROR(VLOOKUP(DATE($K$1,$K$2,IZQ$4),Table1[],(MATCH(Calendar!$A19,DB!$1:$1,0)),FALSE),"")</f>
        <v/>
      </c>
      <c r="IZR19" s="28" t="str">
        <f>IFERROR(VLOOKUP(DATE($K$1,$K$2,IZR$4),Table1[],(MATCH(Calendar!$A19,DB!$1:$1,0)),FALSE),"")</f>
        <v/>
      </c>
      <c r="IZS19" s="28" t="str">
        <f>IFERROR(VLOOKUP(DATE($K$1,$K$2,IZS$4),Table1[],(MATCH(Calendar!$A19,DB!$1:$1,0)),FALSE),"")</f>
        <v/>
      </c>
      <c r="IZT19" s="28" t="str">
        <f>IFERROR(VLOOKUP(DATE($K$1,$K$2,IZT$4),Table1[],(MATCH(Calendar!$A19,DB!$1:$1,0)),FALSE),"")</f>
        <v/>
      </c>
      <c r="IZU19" s="28" t="str">
        <f>IFERROR(VLOOKUP(DATE($K$1,$K$2,IZU$4),Table1[],(MATCH(Calendar!$A19,DB!$1:$1,0)),FALSE),"")</f>
        <v/>
      </c>
      <c r="IZV19" s="28" t="str">
        <f>IFERROR(VLOOKUP(DATE($K$1,$K$2,IZV$4),Table1[],(MATCH(Calendar!$A19,DB!$1:$1,0)),FALSE),"")</f>
        <v/>
      </c>
      <c r="IZW19" s="28" t="str">
        <f>IFERROR(VLOOKUP(DATE($K$1,$K$2,IZW$4),Table1[],(MATCH(Calendar!$A19,DB!$1:$1,0)),FALSE),"")</f>
        <v/>
      </c>
      <c r="IZX19" s="28" t="str">
        <f>IFERROR(VLOOKUP(DATE($K$1,$K$2,IZX$4),Table1[],(MATCH(Calendar!$A19,DB!$1:$1,0)),FALSE),"")</f>
        <v/>
      </c>
      <c r="IZY19" s="28" t="str">
        <f>IFERROR(VLOOKUP(DATE($K$1,$K$2,IZY$4),Table1[],(MATCH(Calendar!$A19,DB!$1:$1,0)),FALSE),"")</f>
        <v/>
      </c>
      <c r="IZZ19" s="28" t="str">
        <f>IFERROR(VLOOKUP(DATE($K$1,$K$2,IZZ$4),Table1[],(MATCH(Calendar!$A19,DB!$1:$1,0)),FALSE),"")</f>
        <v/>
      </c>
      <c r="JAA19" s="28" t="str">
        <f>IFERROR(VLOOKUP(DATE($K$1,$K$2,JAA$4),Table1[],(MATCH(Calendar!$A19,DB!$1:$1,0)),FALSE),"")</f>
        <v/>
      </c>
      <c r="JAB19" s="28" t="str">
        <f>IFERROR(VLOOKUP(DATE($K$1,$K$2,JAB$4),Table1[],(MATCH(Calendar!$A19,DB!$1:$1,0)),FALSE),"")</f>
        <v/>
      </c>
      <c r="JAC19" s="28" t="str">
        <f>IFERROR(VLOOKUP(DATE($K$1,$K$2,JAC$4),Table1[],(MATCH(Calendar!$A19,DB!$1:$1,0)),FALSE),"")</f>
        <v/>
      </c>
      <c r="JAD19" s="28" t="str">
        <f>IFERROR(VLOOKUP(DATE($K$1,$K$2,JAD$4),Table1[],(MATCH(Calendar!$A19,DB!$1:$1,0)),FALSE),"")</f>
        <v/>
      </c>
      <c r="JAE19" s="28" t="str">
        <f>IFERROR(VLOOKUP(DATE($K$1,$K$2,JAE$4),Table1[],(MATCH(Calendar!$A19,DB!$1:$1,0)),FALSE),"")</f>
        <v/>
      </c>
      <c r="JAF19" s="28" t="str">
        <f>IFERROR(VLOOKUP(DATE($K$1,$K$2,JAF$4),Table1[],(MATCH(Calendar!$A19,DB!$1:$1,0)),FALSE),"")</f>
        <v/>
      </c>
      <c r="JAG19" s="28" t="str">
        <f>IFERROR(VLOOKUP(DATE($K$1,$K$2,JAG$4),Table1[],(MATCH(Calendar!$A19,DB!$1:$1,0)),FALSE),"")</f>
        <v/>
      </c>
      <c r="JAH19" s="28" t="str">
        <f>IFERROR(VLOOKUP(DATE($K$1,$K$2,JAH$4),Table1[],(MATCH(Calendar!$A19,DB!$1:$1,0)),FALSE),"")</f>
        <v/>
      </c>
      <c r="JAI19" s="28" t="str">
        <f>IFERROR(VLOOKUP(DATE($K$1,$K$2,JAI$4),Table1[],(MATCH(Calendar!$A19,DB!$1:$1,0)),FALSE),"")</f>
        <v/>
      </c>
      <c r="JAJ19" s="28" t="str">
        <f>IFERROR(VLOOKUP(DATE($K$1,$K$2,JAJ$4),Table1[],(MATCH(Calendar!$A19,DB!$1:$1,0)),FALSE),"")</f>
        <v/>
      </c>
      <c r="JAK19" s="28" t="str">
        <f>IFERROR(VLOOKUP(DATE($K$1,$K$2,JAK$4),Table1[],(MATCH(Calendar!$A19,DB!$1:$1,0)),FALSE),"")</f>
        <v/>
      </c>
      <c r="JAL19" s="28" t="str">
        <f>IFERROR(VLOOKUP(DATE($K$1,$K$2,JAL$4),Table1[],(MATCH(Calendar!$A19,DB!$1:$1,0)),FALSE),"")</f>
        <v/>
      </c>
      <c r="JAM19" s="28" t="str">
        <f>IFERROR(VLOOKUP(DATE($K$1,$K$2,JAM$4),Table1[],(MATCH(Calendar!$A19,DB!$1:$1,0)),FALSE),"")</f>
        <v/>
      </c>
      <c r="JAN19" s="28" t="str">
        <f>IFERROR(VLOOKUP(DATE($K$1,$K$2,JAN$4),Table1[],(MATCH(Calendar!$A19,DB!$1:$1,0)),FALSE),"")</f>
        <v/>
      </c>
      <c r="JAO19" s="28" t="str">
        <f>IFERROR(VLOOKUP(DATE($K$1,$K$2,JAO$4),Table1[],(MATCH(Calendar!$A19,DB!$1:$1,0)),FALSE),"")</f>
        <v/>
      </c>
      <c r="JAP19" s="28" t="str">
        <f>IFERROR(VLOOKUP(DATE($K$1,$K$2,JAP$4),Table1[],(MATCH(Calendar!$A19,DB!$1:$1,0)),FALSE),"")</f>
        <v/>
      </c>
      <c r="JAQ19" s="28" t="str">
        <f>IFERROR(VLOOKUP(DATE($K$1,$K$2,JAQ$4),Table1[],(MATCH(Calendar!$A19,DB!$1:$1,0)),FALSE),"")</f>
        <v/>
      </c>
      <c r="JAR19" s="28" t="str">
        <f>IFERROR(VLOOKUP(DATE($K$1,$K$2,JAR$4),Table1[],(MATCH(Calendar!$A19,DB!$1:$1,0)),FALSE),"")</f>
        <v/>
      </c>
      <c r="JAS19" s="28" t="str">
        <f>IFERROR(VLOOKUP(DATE($K$1,$K$2,JAS$4),Table1[],(MATCH(Calendar!$A19,DB!$1:$1,0)),FALSE),"")</f>
        <v/>
      </c>
      <c r="JAT19" s="28" t="str">
        <f>IFERROR(VLOOKUP(DATE($K$1,$K$2,JAT$4),Table1[],(MATCH(Calendar!$A19,DB!$1:$1,0)),FALSE),"")</f>
        <v/>
      </c>
      <c r="JAU19" s="28" t="str">
        <f>IFERROR(VLOOKUP(DATE($K$1,$K$2,JAU$4),Table1[],(MATCH(Calendar!$A19,DB!$1:$1,0)),FALSE),"")</f>
        <v/>
      </c>
      <c r="JAV19" s="28" t="str">
        <f>IFERROR(VLOOKUP(DATE($K$1,$K$2,JAV$4),Table1[],(MATCH(Calendar!$A19,DB!$1:$1,0)),FALSE),"")</f>
        <v/>
      </c>
      <c r="JAW19" s="28" t="str">
        <f>IFERROR(VLOOKUP(DATE($K$1,$K$2,JAW$4),Table1[],(MATCH(Calendar!$A19,DB!$1:$1,0)),FALSE),"")</f>
        <v/>
      </c>
      <c r="JAX19" s="28" t="str">
        <f>IFERROR(VLOOKUP(DATE($K$1,$K$2,JAX$4),Table1[],(MATCH(Calendar!$A19,DB!$1:$1,0)),FALSE),"")</f>
        <v/>
      </c>
      <c r="JAY19" s="28" t="str">
        <f>IFERROR(VLOOKUP(DATE($K$1,$K$2,JAY$4),Table1[],(MATCH(Calendar!$A19,DB!$1:$1,0)),FALSE),"")</f>
        <v/>
      </c>
      <c r="JAZ19" s="28" t="str">
        <f>IFERROR(VLOOKUP(DATE($K$1,$K$2,JAZ$4),Table1[],(MATCH(Calendar!$A19,DB!$1:$1,0)),FALSE),"")</f>
        <v/>
      </c>
      <c r="JBA19" s="28" t="str">
        <f>IFERROR(VLOOKUP(DATE($K$1,$K$2,JBA$4),Table1[],(MATCH(Calendar!$A19,DB!$1:$1,0)),FALSE),"")</f>
        <v/>
      </c>
      <c r="JBB19" s="28" t="str">
        <f>IFERROR(VLOOKUP(DATE($K$1,$K$2,JBB$4),Table1[],(MATCH(Calendar!$A19,DB!$1:$1,0)),FALSE),"")</f>
        <v/>
      </c>
      <c r="JBC19" s="28" t="str">
        <f>IFERROR(VLOOKUP(DATE($K$1,$K$2,JBC$4),Table1[],(MATCH(Calendar!$A19,DB!$1:$1,0)),FALSE),"")</f>
        <v/>
      </c>
      <c r="JBD19" s="28" t="str">
        <f>IFERROR(VLOOKUP(DATE($K$1,$K$2,JBD$4),Table1[],(MATCH(Calendar!$A19,DB!$1:$1,0)),FALSE),"")</f>
        <v/>
      </c>
      <c r="JBE19" s="28" t="str">
        <f>IFERROR(VLOOKUP(DATE($K$1,$K$2,JBE$4),Table1[],(MATCH(Calendar!$A19,DB!$1:$1,0)),FALSE),"")</f>
        <v/>
      </c>
      <c r="JBF19" s="28" t="str">
        <f>IFERROR(VLOOKUP(DATE($K$1,$K$2,JBF$4),Table1[],(MATCH(Calendar!$A19,DB!$1:$1,0)),FALSE),"")</f>
        <v/>
      </c>
      <c r="JBG19" s="28" t="str">
        <f>IFERROR(VLOOKUP(DATE($K$1,$K$2,JBG$4),Table1[],(MATCH(Calendar!$A19,DB!$1:$1,0)),FALSE),"")</f>
        <v/>
      </c>
      <c r="JBH19" s="28" t="str">
        <f>IFERROR(VLOOKUP(DATE($K$1,$K$2,JBH$4),Table1[],(MATCH(Calendar!$A19,DB!$1:$1,0)),FALSE),"")</f>
        <v/>
      </c>
      <c r="JBI19" s="28" t="str">
        <f>IFERROR(VLOOKUP(DATE($K$1,$K$2,JBI$4),Table1[],(MATCH(Calendar!$A19,DB!$1:$1,0)),FALSE),"")</f>
        <v/>
      </c>
      <c r="JBJ19" s="28" t="str">
        <f>IFERROR(VLOOKUP(DATE($K$1,$K$2,JBJ$4),Table1[],(MATCH(Calendar!$A19,DB!$1:$1,0)),FALSE),"")</f>
        <v/>
      </c>
      <c r="JBK19" s="28" t="str">
        <f>IFERROR(VLOOKUP(DATE($K$1,$K$2,JBK$4),Table1[],(MATCH(Calendar!$A19,DB!$1:$1,0)),FALSE),"")</f>
        <v/>
      </c>
      <c r="JBL19" s="28" t="str">
        <f>IFERROR(VLOOKUP(DATE($K$1,$K$2,JBL$4),Table1[],(MATCH(Calendar!$A19,DB!$1:$1,0)),FALSE),"")</f>
        <v/>
      </c>
      <c r="JBM19" s="28" t="str">
        <f>IFERROR(VLOOKUP(DATE($K$1,$K$2,JBM$4),Table1[],(MATCH(Calendar!$A19,DB!$1:$1,0)),FALSE),"")</f>
        <v/>
      </c>
      <c r="JBN19" s="28" t="str">
        <f>IFERROR(VLOOKUP(DATE($K$1,$K$2,JBN$4),Table1[],(MATCH(Calendar!$A19,DB!$1:$1,0)),FALSE),"")</f>
        <v/>
      </c>
      <c r="JBO19" s="28" t="str">
        <f>IFERROR(VLOOKUP(DATE($K$1,$K$2,JBO$4),Table1[],(MATCH(Calendar!$A19,DB!$1:$1,0)),FALSE),"")</f>
        <v/>
      </c>
      <c r="JBP19" s="28" t="str">
        <f>IFERROR(VLOOKUP(DATE($K$1,$K$2,JBP$4),Table1[],(MATCH(Calendar!$A19,DB!$1:$1,0)),FALSE),"")</f>
        <v/>
      </c>
      <c r="JBQ19" s="28" t="str">
        <f>IFERROR(VLOOKUP(DATE($K$1,$K$2,JBQ$4),Table1[],(MATCH(Calendar!$A19,DB!$1:$1,0)),FALSE),"")</f>
        <v/>
      </c>
      <c r="JBR19" s="28" t="str">
        <f>IFERROR(VLOOKUP(DATE($K$1,$K$2,JBR$4),Table1[],(MATCH(Calendar!$A19,DB!$1:$1,0)),FALSE),"")</f>
        <v/>
      </c>
      <c r="JBS19" s="28" t="str">
        <f>IFERROR(VLOOKUP(DATE($K$1,$K$2,JBS$4),Table1[],(MATCH(Calendar!$A19,DB!$1:$1,0)),FALSE),"")</f>
        <v/>
      </c>
      <c r="JBT19" s="28" t="str">
        <f>IFERROR(VLOOKUP(DATE($K$1,$K$2,JBT$4),Table1[],(MATCH(Calendar!$A19,DB!$1:$1,0)),FALSE),"")</f>
        <v/>
      </c>
      <c r="JBU19" s="28" t="str">
        <f>IFERROR(VLOOKUP(DATE($K$1,$K$2,JBU$4),Table1[],(MATCH(Calendar!$A19,DB!$1:$1,0)),FALSE),"")</f>
        <v/>
      </c>
      <c r="JBV19" s="28" t="str">
        <f>IFERROR(VLOOKUP(DATE($K$1,$K$2,JBV$4),Table1[],(MATCH(Calendar!$A19,DB!$1:$1,0)),FALSE),"")</f>
        <v/>
      </c>
      <c r="JBW19" s="28" t="str">
        <f>IFERROR(VLOOKUP(DATE($K$1,$K$2,JBW$4),Table1[],(MATCH(Calendar!$A19,DB!$1:$1,0)),FALSE),"")</f>
        <v/>
      </c>
      <c r="JBX19" s="28" t="str">
        <f>IFERROR(VLOOKUP(DATE($K$1,$K$2,JBX$4),Table1[],(MATCH(Calendar!$A19,DB!$1:$1,0)),FALSE),"")</f>
        <v/>
      </c>
      <c r="JBY19" s="28" t="str">
        <f>IFERROR(VLOOKUP(DATE($K$1,$K$2,JBY$4),Table1[],(MATCH(Calendar!$A19,DB!$1:$1,0)),FALSE),"")</f>
        <v/>
      </c>
      <c r="JBZ19" s="28" t="str">
        <f>IFERROR(VLOOKUP(DATE($K$1,$K$2,JBZ$4),Table1[],(MATCH(Calendar!$A19,DB!$1:$1,0)),FALSE),"")</f>
        <v/>
      </c>
      <c r="JCA19" s="28" t="str">
        <f>IFERROR(VLOOKUP(DATE($K$1,$K$2,JCA$4),Table1[],(MATCH(Calendar!$A19,DB!$1:$1,0)),FALSE),"")</f>
        <v/>
      </c>
      <c r="JCB19" s="28" t="str">
        <f>IFERROR(VLOOKUP(DATE($K$1,$K$2,JCB$4),Table1[],(MATCH(Calendar!$A19,DB!$1:$1,0)),FALSE),"")</f>
        <v/>
      </c>
      <c r="JCC19" s="28" t="str">
        <f>IFERROR(VLOOKUP(DATE($K$1,$K$2,JCC$4),Table1[],(MATCH(Calendar!$A19,DB!$1:$1,0)),FALSE),"")</f>
        <v/>
      </c>
      <c r="JCD19" s="28" t="str">
        <f>IFERROR(VLOOKUP(DATE($K$1,$K$2,JCD$4),Table1[],(MATCH(Calendar!$A19,DB!$1:$1,0)),FALSE),"")</f>
        <v/>
      </c>
      <c r="JCE19" s="28" t="str">
        <f>IFERROR(VLOOKUP(DATE($K$1,$K$2,JCE$4),Table1[],(MATCH(Calendar!$A19,DB!$1:$1,0)),FALSE),"")</f>
        <v/>
      </c>
      <c r="JCF19" s="28" t="str">
        <f>IFERROR(VLOOKUP(DATE($K$1,$K$2,JCF$4),Table1[],(MATCH(Calendar!$A19,DB!$1:$1,0)),FALSE),"")</f>
        <v/>
      </c>
      <c r="JCG19" s="28" t="str">
        <f>IFERROR(VLOOKUP(DATE($K$1,$K$2,JCG$4),Table1[],(MATCH(Calendar!$A19,DB!$1:$1,0)),FALSE),"")</f>
        <v/>
      </c>
      <c r="JCH19" s="28" t="str">
        <f>IFERROR(VLOOKUP(DATE($K$1,$K$2,JCH$4),Table1[],(MATCH(Calendar!$A19,DB!$1:$1,0)),FALSE),"")</f>
        <v/>
      </c>
      <c r="JCI19" s="28" t="str">
        <f>IFERROR(VLOOKUP(DATE($K$1,$K$2,JCI$4),Table1[],(MATCH(Calendar!$A19,DB!$1:$1,0)),FALSE),"")</f>
        <v/>
      </c>
      <c r="JCJ19" s="28" t="str">
        <f>IFERROR(VLOOKUP(DATE($K$1,$K$2,JCJ$4),Table1[],(MATCH(Calendar!$A19,DB!$1:$1,0)),FALSE),"")</f>
        <v/>
      </c>
      <c r="JCK19" s="28" t="str">
        <f>IFERROR(VLOOKUP(DATE($K$1,$K$2,JCK$4),Table1[],(MATCH(Calendar!$A19,DB!$1:$1,0)),FALSE),"")</f>
        <v/>
      </c>
      <c r="JCL19" s="28" t="str">
        <f>IFERROR(VLOOKUP(DATE($K$1,$K$2,JCL$4),Table1[],(MATCH(Calendar!$A19,DB!$1:$1,0)),FALSE),"")</f>
        <v/>
      </c>
      <c r="JCM19" s="28" t="str">
        <f>IFERROR(VLOOKUP(DATE($K$1,$K$2,JCM$4),Table1[],(MATCH(Calendar!$A19,DB!$1:$1,0)),FALSE),"")</f>
        <v/>
      </c>
      <c r="JCN19" s="28" t="str">
        <f>IFERROR(VLOOKUP(DATE($K$1,$K$2,JCN$4),Table1[],(MATCH(Calendar!$A19,DB!$1:$1,0)),FALSE),"")</f>
        <v/>
      </c>
      <c r="JCO19" s="28" t="str">
        <f>IFERROR(VLOOKUP(DATE($K$1,$K$2,JCO$4),Table1[],(MATCH(Calendar!$A19,DB!$1:$1,0)),FALSE),"")</f>
        <v/>
      </c>
      <c r="JCP19" s="28" t="str">
        <f>IFERROR(VLOOKUP(DATE($K$1,$K$2,JCP$4),Table1[],(MATCH(Calendar!$A19,DB!$1:$1,0)),FALSE),"")</f>
        <v/>
      </c>
      <c r="JCQ19" s="28" t="str">
        <f>IFERROR(VLOOKUP(DATE($K$1,$K$2,JCQ$4),Table1[],(MATCH(Calendar!$A19,DB!$1:$1,0)),FALSE),"")</f>
        <v/>
      </c>
      <c r="JCR19" s="28" t="str">
        <f>IFERROR(VLOOKUP(DATE($K$1,$K$2,JCR$4),Table1[],(MATCH(Calendar!$A19,DB!$1:$1,0)),FALSE),"")</f>
        <v/>
      </c>
      <c r="JCS19" s="28" t="str">
        <f>IFERROR(VLOOKUP(DATE($K$1,$K$2,JCS$4),Table1[],(MATCH(Calendar!$A19,DB!$1:$1,0)),FALSE),"")</f>
        <v/>
      </c>
      <c r="JCT19" s="28" t="str">
        <f>IFERROR(VLOOKUP(DATE($K$1,$K$2,JCT$4),Table1[],(MATCH(Calendar!$A19,DB!$1:$1,0)),FALSE),"")</f>
        <v/>
      </c>
      <c r="JCU19" s="28" t="str">
        <f>IFERROR(VLOOKUP(DATE($K$1,$K$2,JCU$4),Table1[],(MATCH(Calendar!$A19,DB!$1:$1,0)),FALSE),"")</f>
        <v/>
      </c>
      <c r="JCV19" s="28" t="str">
        <f>IFERROR(VLOOKUP(DATE($K$1,$K$2,JCV$4),Table1[],(MATCH(Calendar!$A19,DB!$1:$1,0)),FALSE),"")</f>
        <v/>
      </c>
      <c r="JCW19" s="28" t="str">
        <f>IFERROR(VLOOKUP(DATE($K$1,$K$2,JCW$4),Table1[],(MATCH(Calendar!$A19,DB!$1:$1,0)),FALSE),"")</f>
        <v/>
      </c>
      <c r="JCX19" s="28" t="str">
        <f>IFERROR(VLOOKUP(DATE($K$1,$K$2,JCX$4),Table1[],(MATCH(Calendar!$A19,DB!$1:$1,0)),FALSE),"")</f>
        <v/>
      </c>
      <c r="JCY19" s="28" t="str">
        <f>IFERROR(VLOOKUP(DATE($K$1,$K$2,JCY$4),Table1[],(MATCH(Calendar!$A19,DB!$1:$1,0)),FALSE),"")</f>
        <v/>
      </c>
      <c r="JCZ19" s="28" t="str">
        <f>IFERROR(VLOOKUP(DATE($K$1,$K$2,JCZ$4),Table1[],(MATCH(Calendar!$A19,DB!$1:$1,0)),FALSE),"")</f>
        <v/>
      </c>
      <c r="JDA19" s="28" t="str">
        <f>IFERROR(VLOOKUP(DATE($K$1,$K$2,JDA$4),Table1[],(MATCH(Calendar!$A19,DB!$1:$1,0)),FALSE),"")</f>
        <v/>
      </c>
      <c r="JDB19" s="28" t="str">
        <f>IFERROR(VLOOKUP(DATE($K$1,$K$2,JDB$4),Table1[],(MATCH(Calendar!$A19,DB!$1:$1,0)),FALSE),"")</f>
        <v/>
      </c>
      <c r="JDC19" s="28" t="str">
        <f>IFERROR(VLOOKUP(DATE($K$1,$K$2,JDC$4),Table1[],(MATCH(Calendar!$A19,DB!$1:$1,0)),FALSE),"")</f>
        <v/>
      </c>
      <c r="JDD19" s="28" t="str">
        <f>IFERROR(VLOOKUP(DATE($K$1,$K$2,JDD$4),Table1[],(MATCH(Calendar!$A19,DB!$1:$1,0)),FALSE),"")</f>
        <v/>
      </c>
      <c r="JDE19" s="28" t="str">
        <f>IFERROR(VLOOKUP(DATE($K$1,$K$2,JDE$4),Table1[],(MATCH(Calendar!$A19,DB!$1:$1,0)),FALSE),"")</f>
        <v/>
      </c>
      <c r="JDF19" s="28" t="str">
        <f>IFERROR(VLOOKUP(DATE($K$1,$K$2,JDF$4),Table1[],(MATCH(Calendar!$A19,DB!$1:$1,0)),FALSE),"")</f>
        <v/>
      </c>
      <c r="JDG19" s="28" t="str">
        <f>IFERROR(VLOOKUP(DATE($K$1,$K$2,JDG$4),Table1[],(MATCH(Calendar!$A19,DB!$1:$1,0)),FALSE),"")</f>
        <v/>
      </c>
      <c r="JDH19" s="28" t="str">
        <f>IFERROR(VLOOKUP(DATE($K$1,$K$2,JDH$4),Table1[],(MATCH(Calendar!$A19,DB!$1:$1,0)),FALSE),"")</f>
        <v/>
      </c>
      <c r="JDI19" s="28" t="str">
        <f>IFERROR(VLOOKUP(DATE($K$1,$K$2,JDI$4),Table1[],(MATCH(Calendar!$A19,DB!$1:$1,0)),FALSE),"")</f>
        <v/>
      </c>
      <c r="JDJ19" s="28" t="str">
        <f>IFERROR(VLOOKUP(DATE($K$1,$K$2,JDJ$4),Table1[],(MATCH(Calendar!$A19,DB!$1:$1,0)),FALSE),"")</f>
        <v/>
      </c>
      <c r="JDK19" s="28" t="str">
        <f>IFERROR(VLOOKUP(DATE($K$1,$K$2,JDK$4),Table1[],(MATCH(Calendar!$A19,DB!$1:$1,0)),FALSE),"")</f>
        <v/>
      </c>
      <c r="JDL19" s="28" t="str">
        <f>IFERROR(VLOOKUP(DATE($K$1,$K$2,JDL$4),Table1[],(MATCH(Calendar!$A19,DB!$1:$1,0)),FALSE),"")</f>
        <v/>
      </c>
      <c r="JDM19" s="28" t="str">
        <f>IFERROR(VLOOKUP(DATE($K$1,$K$2,JDM$4),Table1[],(MATCH(Calendar!$A19,DB!$1:$1,0)),FALSE),"")</f>
        <v/>
      </c>
      <c r="JDN19" s="28" t="str">
        <f>IFERROR(VLOOKUP(DATE($K$1,$K$2,JDN$4),Table1[],(MATCH(Calendar!$A19,DB!$1:$1,0)),FALSE),"")</f>
        <v/>
      </c>
      <c r="JDO19" s="28" t="str">
        <f>IFERROR(VLOOKUP(DATE($K$1,$K$2,JDO$4),Table1[],(MATCH(Calendar!$A19,DB!$1:$1,0)),FALSE),"")</f>
        <v/>
      </c>
      <c r="JDP19" s="28" t="str">
        <f>IFERROR(VLOOKUP(DATE($K$1,$K$2,JDP$4),Table1[],(MATCH(Calendar!$A19,DB!$1:$1,0)),FALSE),"")</f>
        <v/>
      </c>
      <c r="JDQ19" s="28" t="str">
        <f>IFERROR(VLOOKUP(DATE($K$1,$K$2,JDQ$4),Table1[],(MATCH(Calendar!$A19,DB!$1:$1,0)),FALSE),"")</f>
        <v/>
      </c>
      <c r="JDR19" s="28" t="str">
        <f>IFERROR(VLOOKUP(DATE($K$1,$K$2,JDR$4),Table1[],(MATCH(Calendar!$A19,DB!$1:$1,0)),FALSE),"")</f>
        <v/>
      </c>
      <c r="JDS19" s="28" t="str">
        <f>IFERROR(VLOOKUP(DATE($K$1,$K$2,JDS$4),Table1[],(MATCH(Calendar!$A19,DB!$1:$1,0)),FALSE),"")</f>
        <v/>
      </c>
      <c r="JDT19" s="28" t="str">
        <f>IFERROR(VLOOKUP(DATE($K$1,$K$2,JDT$4),Table1[],(MATCH(Calendar!$A19,DB!$1:$1,0)),FALSE),"")</f>
        <v/>
      </c>
      <c r="JDU19" s="28" t="str">
        <f>IFERROR(VLOOKUP(DATE($K$1,$K$2,JDU$4),Table1[],(MATCH(Calendar!$A19,DB!$1:$1,0)),FALSE),"")</f>
        <v/>
      </c>
      <c r="JDV19" s="28" t="str">
        <f>IFERROR(VLOOKUP(DATE($K$1,$K$2,JDV$4),Table1[],(MATCH(Calendar!$A19,DB!$1:$1,0)),FALSE),"")</f>
        <v/>
      </c>
      <c r="JDW19" s="28" t="str">
        <f>IFERROR(VLOOKUP(DATE($K$1,$K$2,JDW$4),Table1[],(MATCH(Calendar!$A19,DB!$1:$1,0)),FALSE),"")</f>
        <v/>
      </c>
      <c r="JDX19" s="28" t="str">
        <f>IFERROR(VLOOKUP(DATE($K$1,$K$2,JDX$4),Table1[],(MATCH(Calendar!$A19,DB!$1:$1,0)),FALSE),"")</f>
        <v/>
      </c>
      <c r="JDY19" s="28" t="str">
        <f>IFERROR(VLOOKUP(DATE($K$1,$K$2,JDY$4),Table1[],(MATCH(Calendar!$A19,DB!$1:$1,0)),FALSE),"")</f>
        <v/>
      </c>
      <c r="JDZ19" s="28" t="str">
        <f>IFERROR(VLOOKUP(DATE($K$1,$K$2,JDZ$4),Table1[],(MATCH(Calendar!$A19,DB!$1:$1,0)),FALSE),"")</f>
        <v/>
      </c>
      <c r="JEA19" s="28" t="str">
        <f>IFERROR(VLOOKUP(DATE($K$1,$K$2,JEA$4),Table1[],(MATCH(Calendar!$A19,DB!$1:$1,0)),FALSE),"")</f>
        <v/>
      </c>
      <c r="JEB19" s="28" t="str">
        <f>IFERROR(VLOOKUP(DATE($K$1,$K$2,JEB$4),Table1[],(MATCH(Calendar!$A19,DB!$1:$1,0)),FALSE),"")</f>
        <v/>
      </c>
      <c r="JEC19" s="28" t="str">
        <f>IFERROR(VLOOKUP(DATE($K$1,$K$2,JEC$4),Table1[],(MATCH(Calendar!$A19,DB!$1:$1,0)),FALSE),"")</f>
        <v/>
      </c>
      <c r="JED19" s="28" t="str">
        <f>IFERROR(VLOOKUP(DATE($K$1,$K$2,JED$4),Table1[],(MATCH(Calendar!$A19,DB!$1:$1,0)),FALSE),"")</f>
        <v/>
      </c>
      <c r="JEE19" s="28" t="str">
        <f>IFERROR(VLOOKUP(DATE($K$1,$K$2,JEE$4),Table1[],(MATCH(Calendar!$A19,DB!$1:$1,0)),FALSE),"")</f>
        <v/>
      </c>
      <c r="JEF19" s="28" t="str">
        <f>IFERROR(VLOOKUP(DATE($K$1,$K$2,JEF$4),Table1[],(MATCH(Calendar!$A19,DB!$1:$1,0)),FALSE),"")</f>
        <v/>
      </c>
      <c r="JEG19" s="28" t="str">
        <f>IFERROR(VLOOKUP(DATE($K$1,$K$2,JEG$4),Table1[],(MATCH(Calendar!$A19,DB!$1:$1,0)),FALSE),"")</f>
        <v/>
      </c>
      <c r="JEH19" s="28" t="str">
        <f>IFERROR(VLOOKUP(DATE($K$1,$K$2,JEH$4),Table1[],(MATCH(Calendar!$A19,DB!$1:$1,0)),FALSE),"")</f>
        <v/>
      </c>
      <c r="JEI19" s="28" t="str">
        <f>IFERROR(VLOOKUP(DATE($K$1,$K$2,JEI$4),Table1[],(MATCH(Calendar!$A19,DB!$1:$1,0)),FALSE),"")</f>
        <v/>
      </c>
      <c r="JEJ19" s="28" t="str">
        <f>IFERROR(VLOOKUP(DATE($K$1,$K$2,JEJ$4),Table1[],(MATCH(Calendar!$A19,DB!$1:$1,0)),FALSE),"")</f>
        <v/>
      </c>
      <c r="JEK19" s="28" t="str">
        <f>IFERROR(VLOOKUP(DATE($K$1,$K$2,JEK$4),Table1[],(MATCH(Calendar!$A19,DB!$1:$1,0)),FALSE),"")</f>
        <v/>
      </c>
      <c r="JEL19" s="28" t="str">
        <f>IFERROR(VLOOKUP(DATE($K$1,$K$2,JEL$4),Table1[],(MATCH(Calendar!$A19,DB!$1:$1,0)),FALSE),"")</f>
        <v/>
      </c>
      <c r="JEM19" s="28" t="str">
        <f>IFERROR(VLOOKUP(DATE($K$1,$K$2,JEM$4),Table1[],(MATCH(Calendar!$A19,DB!$1:$1,0)),FALSE),"")</f>
        <v/>
      </c>
      <c r="JEN19" s="28" t="str">
        <f>IFERROR(VLOOKUP(DATE($K$1,$K$2,JEN$4),Table1[],(MATCH(Calendar!$A19,DB!$1:$1,0)),FALSE),"")</f>
        <v/>
      </c>
      <c r="JEO19" s="28" t="str">
        <f>IFERROR(VLOOKUP(DATE($K$1,$K$2,JEO$4),Table1[],(MATCH(Calendar!$A19,DB!$1:$1,0)),FALSE),"")</f>
        <v/>
      </c>
      <c r="JEP19" s="28" t="str">
        <f>IFERROR(VLOOKUP(DATE($K$1,$K$2,JEP$4),Table1[],(MATCH(Calendar!$A19,DB!$1:$1,0)),FALSE),"")</f>
        <v/>
      </c>
      <c r="JEQ19" s="28" t="str">
        <f>IFERROR(VLOOKUP(DATE($K$1,$K$2,JEQ$4),Table1[],(MATCH(Calendar!$A19,DB!$1:$1,0)),FALSE),"")</f>
        <v/>
      </c>
      <c r="JER19" s="28" t="str">
        <f>IFERROR(VLOOKUP(DATE($K$1,$K$2,JER$4),Table1[],(MATCH(Calendar!$A19,DB!$1:$1,0)),FALSE),"")</f>
        <v/>
      </c>
      <c r="JES19" s="28" t="str">
        <f>IFERROR(VLOOKUP(DATE($K$1,$K$2,JES$4),Table1[],(MATCH(Calendar!$A19,DB!$1:$1,0)),FALSE),"")</f>
        <v/>
      </c>
      <c r="JET19" s="28" t="str">
        <f>IFERROR(VLOOKUP(DATE($K$1,$K$2,JET$4),Table1[],(MATCH(Calendar!$A19,DB!$1:$1,0)),FALSE),"")</f>
        <v/>
      </c>
      <c r="JEU19" s="28" t="str">
        <f>IFERROR(VLOOKUP(DATE($K$1,$K$2,JEU$4),Table1[],(MATCH(Calendar!$A19,DB!$1:$1,0)),FALSE),"")</f>
        <v/>
      </c>
      <c r="JEV19" s="28" t="str">
        <f>IFERROR(VLOOKUP(DATE($K$1,$K$2,JEV$4),Table1[],(MATCH(Calendar!$A19,DB!$1:$1,0)),FALSE),"")</f>
        <v/>
      </c>
      <c r="JEW19" s="28" t="str">
        <f>IFERROR(VLOOKUP(DATE($K$1,$K$2,JEW$4),Table1[],(MATCH(Calendar!$A19,DB!$1:$1,0)),FALSE),"")</f>
        <v/>
      </c>
      <c r="JEX19" s="28" t="str">
        <f>IFERROR(VLOOKUP(DATE($K$1,$K$2,JEX$4),Table1[],(MATCH(Calendar!$A19,DB!$1:$1,0)),FALSE),"")</f>
        <v/>
      </c>
      <c r="JEY19" s="28" t="str">
        <f>IFERROR(VLOOKUP(DATE($K$1,$K$2,JEY$4),Table1[],(MATCH(Calendar!$A19,DB!$1:$1,0)),FALSE),"")</f>
        <v/>
      </c>
      <c r="JEZ19" s="28" t="str">
        <f>IFERROR(VLOOKUP(DATE($K$1,$K$2,JEZ$4),Table1[],(MATCH(Calendar!$A19,DB!$1:$1,0)),FALSE),"")</f>
        <v/>
      </c>
      <c r="JFA19" s="28" t="str">
        <f>IFERROR(VLOOKUP(DATE($K$1,$K$2,JFA$4),Table1[],(MATCH(Calendar!$A19,DB!$1:$1,0)),FALSE),"")</f>
        <v/>
      </c>
      <c r="JFB19" s="28" t="str">
        <f>IFERROR(VLOOKUP(DATE($K$1,$K$2,JFB$4),Table1[],(MATCH(Calendar!$A19,DB!$1:$1,0)),FALSE),"")</f>
        <v/>
      </c>
      <c r="JFC19" s="28" t="str">
        <f>IFERROR(VLOOKUP(DATE($K$1,$K$2,JFC$4),Table1[],(MATCH(Calendar!$A19,DB!$1:$1,0)),FALSE),"")</f>
        <v/>
      </c>
      <c r="JFD19" s="28" t="str">
        <f>IFERROR(VLOOKUP(DATE($K$1,$K$2,JFD$4),Table1[],(MATCH(Calendar!$A19,DB!$1:$1,0)),FALSE),"")</f>
        <v/>
      </c>
      <c r="JFE19" s="28" t="str">
        <f>IFERROR(VLOOKUP(DATE($K$1,$K$2,JFE$4),Table1[],(MATCH(Calendar!$A19,DB!$1:$1,0)),FALSE),"")</f>
        <v/>
      </c>
      <c r="JFF19" s="28" t="str">
        <f>IFERROR(VLOOKUP(DATE($K$1,$K$2,JFF$4),Table1[],(MATCH(Calendar!$A19,DB!$1:$1,0)),FALSE),"")</f>
        <v/>
      </c>
      <c r="JFG19" s="28" t="str">
        <f>IFERROR(VLOOKUP(DATE($K$1,$K$2,JFG$4),Table1[],(MATCH(Calendar!$A19,DB!$1:$1,0)),FALSE),"")</f>
        <v/>
      </c>
      <c r="JFH19" s="28" t="str">
        <f>IFERROR(VLOOKUP(DATE($K$1,$K$2,JFH$4),Table1[],(MATCH(Calendar!$A19,DB!$1:$1,0)),FALSE),"")</f>
        <v/>
      </c>
      <c r="JFI19" s="28" t="str">
        <f>IFERROR(VLOOKUP(DATE($K$1,$K$2,JFI$4),Table1[],(MATCH(Calendar!$A19,DB!$1:$1,0)),FALSE),"")</f>
        <v/>
      </c>
      <c r="JFJ19" s="28" t="str">
        <f>IFERROR(VLOOKUP(DATE($K$1,$K$2,JFJ$4),Table1[],(MATCH(Calendar!$A19,DB!$1:$1,0)),FALSE),"")</f>
        <v/>
      </c>
      <c r="JFK19" s="28" t="str">
        <f>IFERROR(VLOOKUP(DATE($K$1,$K$2,JFK$4),Table1[],(MATCH(Calendar!$A19,DB!$1:$1,0)),FALSE),"")</f>
        <v/>
      </c>
      <c r="JFL19" s="28" t="str">
        <f>IFERROR(VLOOKUP(DATE($K$1,$K$2,JFL$4),Table1[],(MATCH(Calendar!$A19,DB!$1:$1,0)),FALSE),"")</f>
        <v/>
      </c>
      <c r="JFM19" s="28" t="str">
        <f>IFERROR(VLOOKUP(DATE($K$1,$K$2,JFM$4),Table1[],(MATCH(Calendar!$A19,DB!$1:$1,0)),FALSE),"")</f>
        <v/>
      </c>
      <c r="JFN19" s="28" t="str">
        <f>IFERROR(VLOOKUP(DATE($K$1,$K$2,JFN$4),Table1[],(MATCH(Calendar!$A19,DB!$1:$1,0)),FALSE),"")</f>
        <v/>
      </c>
      <c r="JFO19" s="28" t="str">
        <f>IFERROR(VLOOKUP(DATE($K$1,$K$2,JFO$4),Table1[],(MATCH(Calendar!$A19,DB!$1:$1,0)),FALSE),"")</f>
        <v/>
      </c>
      <c r="JFP19" s="28" t="str">
        <f>IFERROR(VLOOKUP(DATE($K$1,$K$2,JFP$4),Table1[],(MATCH(Calendar!$A19,DB!$1:$1,0)),FALSE),"")</f>
        <v/>
      </c>
      <c r="JFQ19" s="28" t="str">
        <f>IFERROR(VLOOKUP(DATE($K$1,$K$2,JFQ$4),Table1[],(MATCH(Calendar!$A19,DB!$1:$1,0)),FALSE),"")</f>
        <v/>
      </c>
      <c r="JFR19" s="28" t="str">
        <f>IFERROR(VLOOKUP(DATE($K$1,$K$2,JFR$4),Table1[],(MATCH(Calendar!$A19,DB!$1:$1,0)),FALSE),"")</f>
        <v/>
      </c>
      <c r="JFS19" s="28" t="str">
        <f>IFERROR(VLOOKUP(DATE($K$1,$K$2,JFS$4),Table1[],(MATCH(Calendar!$A19,DB!$1:$1,0)),FALSE),"")</f>
        <v/>
      </c>
      <c r="JFT19" s="28" t="str">
        <f>IFERROR(VLOOKUP(DATE($K$1,$K$2,JFT$4),Table1[],(MATCH(Calendar!$A19,DB!$1:$1,0)),FALSE),"")</f>
        <v/>
      </c>
      <c r="JFU19" s="28" t="str">
        <f>IFERROR(VLOOKUP(DATE($K$1,$K$2,JFU$4),Table1[],(MATCH(Calendar!$A19,DB!$1:$1,0)),FALSE),"")</f>
        <v/>
      </c>
      <c r="JFV19" s="28" t="str">
        <f>IFERROR(VLOOKUP(DATE($K$1,$K$2,JFV$4),Table1[],(MATCH(Calendar!$A19,DB!$1:$1,0)),FALSE),"")</f>
        <v/>
      </c>
      <c r="JFW19" s="28" t="str">
        <f>IFERROR(VLOOKUP(DATE($K$1,$K$2,JFW$4),Table1[],(MATCH(Calendar!$A19,DB!$1:$1,0)),FALSE),"")</f>
        <v/>
      </c>
      <c r="JFX19" s="28" t="str">
        <f>IFERROR(VLOOKUP(DATE($K$1,$K$2,JFX$4),Table1[],(MATCH(Calendar!$A19,DB!$1:$1,0)),FALSE),"")</f>
        <v/>
      </c>
      <c r="JFY19" s="28" t="str">
        <f>IFERROR(VLOOKUP(DATE($K$1,$K$2,JFY$4),Table1[],(MATCH(Calendar!$A19,DB!$1:$1,0)),FALSE),"")</f>
        <v/>
      </c>
      <c r="JFZ19" s="28" t="str">
        <f>IFERROR(VLOOKUP(DATE($K$1,$K$2,JFZ$4),Table1[],(MATCH(Calendar!$A19,DB!$1:$1,0)),FALSE),"")</f>
        <v/>
      </c>
      <c r="JGA19" s="28" t="str">
        <f>IFERROR(VLOOKUP(DATE($K$1,$K$2,JGA$4),Table1[],(MATCH(Calendar!$A19,DB!$1:$1,0)),FALSE),"")</f>
        <v/>
      </c>
      <c r="JGB19" s="28" t="str">
        <f>IFERROR(VLOOKUP(DATE($K$1,$K$2,JGB$4),Table1[],(MATCH(Calendar!$A19,DB!$1:$1,0)),FALSE),"")</f>
        <v/>
      </c>
      <c r="JGC19" s="28" t="str">
        <f>IFERROR(VLOOKUP(DATE($K$1,$K$2,JGC$4),Table1[],(MATCH(Calendar!$A19,DB!$1:$1,0)),FALSE),"")</f>
        <v/>
      </c>
      <c r="JGD19" s="28" t="str">
        <f>IFERROR(VLOOKUP(DATE($K$1,$K$2,JGD$4),Table1[],(MATCH(Calendar!$A19,DB!$1:$1,0)),FALSE),"")</f>
        <v/>
      </c>
      <c r="JGE19" s="28" t="str">
        <f>IFERROR(VLOOKUP(DATE($K$1,$K$2,JGE$4),Table1[],(MATCH(Calendar!$A19,DB!$1:$1,0)),FALSE),"")</f>
        <v/>
      </c>
      <c r="JGF19" s="28" t="str">
        <f>IFERROR(VLOOKUP(DATE($K$1,$K$2,JGF$4),Table1[],(MATCH(Calendar!$A19,DB!$1:$1,0)),FALSE),"")</f>
        <v/>
      </c>
      <c r="JGG19" s="28" t="str">
        <f>IFERROR(VLOOKUP(DATE($K$1,$K$2,JGG$4),Table1[],(MATCH(Calendar!$A19,DB!$1:$1,0)),FALSE),"")</f>
        <v/>
      </c>
      <c r="JGH19" s="28" t="str">
        <f>IFERROR(VLOOKUP(DATE($K$1,$K$2,JGH$4),Table1[],(MATCH(Calendar!$A19,DB!$1:$1,0)),FALSE),"")</f>
        <v/>
      </c>
      <c r="JGI19" s="28" t="str">
        <f>IFERROR(VLOOKUP(DATE($K$1,$K$2,JGI$4),Table1[],(MATCH(Calendar!$A19,DB!$1:$1,0)),FALSE),"")</f>
        <v/>
      </c>
      <c r="JGJ19" s="28" t="str">
        <f>IFERROR(VLOOKUP(DATE($K$1,$K$2,JGJ$4),Table1[],(MATCH(Calendar!$A19,DB!$1:$1,0)),FALSE),"")</f>
        <v/>
      </c>
      <c r="JGK19" s="28" t="str">
        <f>IFERROR(VLOOKUP(DATE($K$1,$K$2,JGK$4),Table1[],(MATCH(Calendar!$A19,DB!$1:$1,0)),FALSE),"")</f>
        <v/>
      </c>
      <c r="JGL19" s="28" t="str">
        <f>IFERROR(VLOOKUP(DATE($K$1,$K$2,JGL$4),Table1[],(MATCH(Calendar!$A19,DB!$1:$1,0)),FALSE),"")</f>
        <v/>
      </c>
      <c r="JGM19" s="28" t="str">
        <f>IFERROR(VLOOKUP(DATE($K$1,$K$2,JGM$4),Table1[],(MATCH(Calendar!$A19,DB!$1:$1,0)),FALSE),"")</f>
        <v/>
      </c>
      <c r="JGN19" s="28" t="str">
        <f>IFERROR(VLOOKUP(DATE($K$1,$K$2,JGN$4),Table1[],(MATCH(Calendar!$A19,DB!$1:$1,0)),FALSE),"")</f>
        <v/>
      </c>
      <c r="JGO19" s="28" t="str">
        <f>IFERROR(VLOOKUP(DATE($K$1,$K$2,JGO$4),Table1[],(MATCH(Calendar!$A19,DB!$1:$1,0)),FALSE),"")</f>
        <v/>
      </c>
      <c r="JGP19" s="28" t="str">
        <f>IFERROR(VLOOKUP(DATE($K$1,$K$2,JGP$4),Table1[],(MATCH(Calendar!$A19,DB!$1:$1,0)),FALSE),"")</f>
        <v/>
      </c>
      <c r="JGQ19" s="28" t="str">
        <f>IFERROR(VLOOKUP(DATE($K$1,$K$2,JGQ$4),Table1[],(MATCH(Calendar!$A19,DB!$1:$1,0)),FALSE),"")</f>
        <v/>
      </c>
      <c r="JGR19" s="28" t="str">
        <f>IFERROR(VLOOKUP(DATE($K$1,$K$2,JGR$4),Table1[],(MATCH(Calendar!$A19,DB!$1:$1,0)),FALSE),"")</f>
        <v/>
      </c>
      <c r="JGS19" s="28" t="str">
        <f>IFERROR(VLOOKUP(DATE($K$1,$K$2,JGS$4),Table1[],(MATCH(Calendar!$A19,DB!$1:$1,0)),FALSE),"")</f>
        <v/>
      </c>
      <c r="JGT19" s="28" t="str">
        <f>IFERROR(VLOOKUP(DATE($K$1,$K$2,JGT$4),Table1[],(MATCH(Calendar!$A19,DB!$1:$1,0)),FALSE),"")</f>
        <v/>
      </c>
      <c r="JGU19" s="28" t="str">
        <f>IFERROR(VLOOKUP(DATE($K$1,$K$2,JGU$4),Table1[],(MATCH(Calendar!$A19,DB!$1:$1,0)),FALSE),"")</f>
        <v/>
      </c>
      <c r="JGV19" s="28" t="str">
        <f>IFERROR(VLOOKUP(DATE($K$1,$K$2,JGV$4),Table1[],(MATCH(Calendar!$A19,DB!$1:$1,0)),FALSE),"")</f>
        <v/>
      </c>
      <c r="JGW19" s="28" t="str">
        <f>IFERROR(VLOOKUP(DATE($K$1,$K$2,JGW$4),Table1[],(MATCH(Calendar!$A19,DB!$1:$1,0)),FALSE),"")</f>
        <v/>
      </c>
      <c r="JGX19" s="28" t="str">
        <f>IFERROR(VLOOKUP(DATE($K$1,$K$2,JGX$4),Table1[],(MATCH(Calendar!$A19,DB!$1:$1,0)),FALSE),"")</f>
        <v/>
      </c>
      <c r="JGY19" s="28" t="str">
        <f>IFERROR(VLOOKUP(DATE($K$1,$K$2,JGY$4),Table1[],(MATCH(Calendar!$A19,DB!$1:$1,0)),FALSE),"")</f>
        <v/>
      </c>
      <c r="JGZ19" s="28" t="str">
        <f>IFERROR(VLOOKUP(DATE($K$1,$K$2,JGZ$4),Table1[],(MATCH(Calendar!$A19,DB!$1:$1,0)),FALSE),"")</f>
        <v/>
      </c>
      <c r="JHA19" s="28" t="str">
        <f>IFERROR(VLOOKUP(DATE($K$1,$K$2,JHA$4),Table1[],(MATCH(Calendar!$A19,DB!$1:$1,0)),FALSE),"")</f>
        <v/>
      </c>
      <c r="JHB19" s="28" t="str">
        <f>IFERROR(VLOOKUP(DATE($K$1,$K$2,JHB$4),Table1[],(MATCH(Calendar!$A19,DB!$1:$1,0)),FALSE),"")</f>
        <v/>
      </c>
      <c r="JHC19" s="28" t="str">
        <f>IFERROR(VLOOKUP(DATE($K$1,$K$2,JHC$4),Table1[],(MATCH(Calendar!$A19,DB!$1:$1,0)),FALSE),"")</f>
        <v/>
      </c>
      <c r="JHD19" s="28" t="str">
        <f>IFERROR(VLOOKUP(DATE($K$1,$K$2,JHD$4),Table1[],(MATCH(Calendar!$A19,DB!$1:$1,0)),FALSE),"")</f>
        <v/>
      </c>
      <c r="JHE19" s="28" t="str">
        <f>IFERROR(VLOOKUP(DATE($K$1,$K$2,JHE$4),Table1[],(MATCH(Calendar!$A19,DB!$1:$1,0)),FALSE),"")</f>
        <v/>
      </c>
      <c r="JHF19" s="28" t="str">
        <f>IFERROR(VLOOKUP(DATE($K$1,$K$2,JHF$4),Table1[],(MATCH(Calendar!$A19,DB!$1:$1,0)),FALSE),"")</f>
        <v/>
      </c>
      <c r="JHG19" s="28" t="str">
        <f>IFERROR(VLOOKUP(DATE($K$1,$K$2,JHG$4),Table1[],(MATCH(Calendar!$A19,DB!$1:$1,0)),FALSE),"")</f>
        <v/>
      </c>
      <c r="JHH19" s="28" t="str">
        <f>IFERROR(VLOOKUP(DATE($K$1,$K$2,JHH$4),Table1[],(MATCH(Calendar!$A19,DB!$1:$1,0)),FALSE),"")</f>
        <v/>
      </c>
      <c r="JHI19" s="28" t="str">
        <f>IFERROR(VLOOKUP(DATE($K$1,$K$2,JHI$4),Table1[],(MATCH(Calendar!$A19,DB!$1:$1,0)),FALSE),"")</f>
        <v/>
      </c>
      <c r="JHJ19" s="28" t="str">
        <f>IFERROR(VLOOKUP(DATE($K$1,$K$2,JHJ$4),Table1[],(MATCH(Calendar!$A19,DB!$1:$1,0)),FALSE),"")</f>
        <v/>
      </c>
      <c r="JHK19" s="28" t="str">
        <f>IFERROR(VLOOKUP(DATE($K$1,$K$2,JHK$4),Table1[],(MATCH(Calendar!$A19,DB!$1:$1,0)),FALSE),"")</f>
        <v/>
      </c>
      <c r="JHL19" s="28" t="str">
        <f>IFERROR(VLOOKUP(DATE($K$1,$K$2,JHL$4),Table1[],(MATCH(Calendar!$A19,DB!$1:$1,0)),FALSE),"")</f>
        <v/>
      </c>
      <c r="JHM19" s="28" t="str">
        <f>IFERROR(VLOOKUP(DATE($K$1,$K$2,JHM$4),Table1[],(MATCH(Calendar!$A19,DB!$1:$1,0)),FALSE),"")</f>
        <v/>
      </c>
      <c r="JHN19" s="28" t="str">
        <f>IFERROR(VLOOKUP(DATE($K$1,$K$2,JHN$4),Table1[],(MATCH(Calendar!$A19,DB!$1:$1,0)),FALSE),"")</f>
        <v/>
      </c>
      <c r="JHO19" s="28" t="str">
        <f>IFERROR(VLOOKUP(DATE($K$1,$K$2,JHO$4),Table1[],(MATCH(Calendar!$A19,DB!$1:$1,0)),FALSE),"")</f>
        <v/>
      </c>
      <c r="JHP19" s="28" t="str">
        <f>IFERROR(VLOOKUP(DATE($K$1,$K$2,JHP$4),Table1[],(MATCH(Calendar!$A19,DB!$1:$1,0)),FALSE),"")</f>
        <v/>
      </c>
      <c r="JHQ19" s="28" t="str">
        <f>IFERROR(VLOOKUP(DATE($K$1,$K$2,JHQ$4),Table1[],(MATCH(Calendar!$A19,DB!$1:$1,0)),FALSE),"")</f>
        <v/>
      </c>
      <c r="JHR19" s="28" t="str">
        <f>IFERROR(VLOOKUP(DATE($K$1,$K$2,JHR$4),Table1[],(MATCH(Calendar!$A19,DB!$1:$1,0)),FALSE),"")</f>
        <v/>
      </c>
      <c r="JHS19" s="28" t="str">
        <f>IFERROR(VLOOKUP(DATE($K$1,$K$2,JHS$4),Table1[],(MATCH(Calendar!$A19,DB!$1:$1,0)),FALSE),"")</f>
        <v/>
      </c>
      <c r="JHT19" s="28" t="str">
        <f>IFERROR(VLOOKUP(DATE($K$1,$K$2,JHT$4),Table1[],(MATCH(Calendar!$A19,DB!$1:$1,0)),FALSE),"")</f>
        <v/>
      </c>
      <c r="JHU19" s="28" t="str">
        <f>IFERROR(VLOOKUP(DATE($K$1,$K$2,JHU$4),Table1[],(MATCH(Calendar!$A19,DB!$1:$1,0)),FALSE),"")</f>
        <v/>
      </c>
      <c r="JHV19" s="28" t="str">
        <f>IFERROR(VLOOKUP(DATE($K$1,$K$2,JHV$4),Table1[],(MATCH(Calendar!$A19,DB!$1:$1,0)),FALSE),"")</f>
        <v/>
      </c>
      <c r="JHW19" s="28" t="str">
        <f>IFERROR(VLOOKUP(DATE($K$1,$K$2,JHW$4),Table1[],(MATCH(Calendar!$A19,DB!$1:$1,0)),FALSE),"")</f>
        <v/>
      </c>
      <c r="JHX19" s="28" t="str">
        <f>IFERROR(VLOOKUP(DATE($K$1,$K$2,JHX$4),Table1[],(MATCH(Calendar!$A19,DB!$1:$1,0)),FALSE),"")</f>
        <v/>
      </c>
      <c r="JHY19" s="28" t="str">
        <f>IFERROR(VLOOKUP(DATE($K$1,$K$2,JHY$4),Table1[],(MATCH(Calendar!$A19,DB!$1:$1,0)),FALSE),"")</f>
        <v/>
      </c>
      <c r="JHZ19" s="28" t="str">
        <f>IFERROR(VLOOKUP(DATE($K$1,$K$2,JHZ$4),Table1[],(MATCH(Calendar!$A19,DB!$1:$1,0)),FALSE),"")</f>
        <v/>
      </c>
      <c r="JIA19" s="28" t="str">
        <f>IFERROR(VLOOKUP(DATE($K$1,$K$2,JIA$4),Table1[],(MATCH(Calendar!$A19,DB!$1:$1,0)),FALSE),"")</f>
        <v/>
      </c>
      <c r="JIB19" s="28" t="str">
        <f>IFERROR(VLOOKUP(DATE($K$1,$K$2,JIB$4),Table1[],(MATCH(Calendar!$A19,DB!$1:$1,0)),FALSE),"")</f>
        <v/>
      </c>
      <c r="JIC19" s="28" t="str">
        <f>IFERROR(VLOOKUP(DATE($K$1,$K$2,JIC$4),Table1[],(MATCH(Calendar!$A19,DB!$1:$1,0)),FALSE),"")</f>
        <v/>
      </c>
      <c r="JID19" s="28" t="str">
        <f>IFERROR(VLOOKUP(DATE($K$1,$K$2,JID$4),Table1[],(MATCH(Calendar!$A19,DB!$1:$1,0)),FALSE),"")</f>
        <v/>
      </c>
      <c r="JIE19" s="28" t="str">
        <f>IFERROR(VLOOKUP(DATE($K$1,$K$2,JIE$4),Table1[],(MATCH(Calendar!$A19,DB!$1:$1,0)),FALSE),"")</f>
        <v/>
      </c>
      <c r="JIF19" s="28" t="str">
        <f>IFERROR(VLOOKUP(DATE($K$1,$K$2,JIF$4),Table1[],(MATCH(Calendar!$A19,DB!$1:$1,0)),FALSE),"")</f>
        <v/>
      </c>
      <c r="JIG19" s="28" t="str">
        <f>IFERROR(VLOOKUP(DATE($K$1,$K$2,JIG$4),Table1[],(MATCH(Calendar!$A19,DB!$1:$1,0)),FALSE),"")</f>
        <v/>
      </c>
      <c r="JIH19" s="28" t="str">
        <f>IFERROR(VLOOKUP(DATE($K$1,$K$2,JIH$4),Table1[],(MATCH(Calendar!$A19,DB!$1:$1,0)),FALSE),"")</f>
        <v/>
      </c>
      <c r="JII19" s="28" t="str">
        <f>IFERROR(VLOOKUP(DATE($K$1,$K$2,JII$4),Table1[],(MATCH(Calendar!$A19,DB!$1:$1,0)),FALSE),"")</f>
        <v/>
      </c>
      <c r="JIJ19" s="28" t="str">
        <f>IFERROR(VLOOKUP(DATE($K$1,$K$2,JIJ$4),Table1[],(MATCH(Calendar!$A19,DB!$1:$1,0)),FALSE),"")</f>
        <v/>
      </c>
      <c r="JIK19" s="28" t="str">
        <f>IFERROR(VLOOKUP(DATE($K$1,$K$2,JIK$4),Table1[],(MATCH(Calendar!$A19,DB!$1:$1,0)),FALSE),"")</f>
        <v/>
      </c>
      <c r="JIL19" s="28" t="str">
        <f>IFERROR(VLOOKUP(DATE($K$1,$K$2,JIL$4),Table1[],(MATCH(Calendar!$A19,DB!$1:$1,0)),FALSE),"")</f>
        <v/>
      </c>
      <c r="JIM19" s="28" t="str">
        <f>IFERROR(VLOOKUP(DATE($K$1,$K$2,JIM$4),Table1[],(MATCH(Calendar!$A19,DB!$1:$1,0)),FALSE),"")</f>
        <v/>
      </c>
      <c r="JIN19" s="28" t="str">
        <f>IFERROR(VLOOKUP(DATE($K$1,$K$2,JIN$4),Table1[],(MATCH(Calendar!$A19,DB!$1:$1,0)),FALSE),"")</f>
        <v/>
      </c>
      <c r="JIO19" s="28" t="str">
        <f>IFERROR(VLOOKUP(DATE($K$1,$K$2,JIO$4),Table1[],(MATCH(Calendar!$A19,DB!$1:$1,0)),FALSE),"")</f>
        <v/>
      </c>
      <c r="JIP19" s="28" t="str">
        <f>IFERROR(VLOOKUP(DATE($K$1,$K$2,JIP$4),Table1[],(MATCH(Calendar!$A19,DB!$1:$1,0)),FALSE),"")</f>
        <v/>
      </c>
      <c r="JIQ19" s="28" t="str">
        <f>IFERROR(VLOOKUP(DATE($K$1,$K$2,JIQ$4),Table1[],(MATCH(Calendar!$A19,DB!$1:$1,0)),FALSE),"")</f>
        <v/>
      </c>
      <c r="JIR19" s="28" t="str">
        <f>IFERROR(VLOOKUP(DATE($K$1,$K$2,JIR$4),Table1[],(MATCH(Calendar!$A19,DB!$1:$1,0)),FALSE),"")</f>
        <v/>
      </c>
      <c r="JIS19" s="28" t="str">
        <f>IFERROR(VLOOKUP(DATE($K$1,$K$2,JIS$4),Table1[],(MATCH(Calendar!$A19,DB!$1:$1,0)),FALSE),"")</f>
        <v/>
      </c>
      <c r="JIT19" s="28" t="str">
        <f>IFERROR(VLOOKUP(DATE($K$1,$K$2,JIT$4),Table1[],(MATCH(Calendar!$A19,DB!$1:$1,0)),FALSE),"")</f>
        <v/>
      </c>
      <c r="JIU19" s="28" t="str">
        <f>IFERROR(VLOOKUP(DATE($K$1,$K$2,JIU$4),Table1[],(MATCH(Calendar!$A19,DB!$1:$1,0)),FALSE),"")</f>
        <v/>
      </c>
      <c r="JIV19" s="28" t="str">
        <f>IFERROR(VLOOKUP(DATE($K$1,$K$2,JIV$4),Table1[],(MATCH(Calendar!$A19,DB!$1:$1,0)),FALSE),"")</f>
        <v/>
      </c>
      <c r="JIW19" s="28" t="str">
        <f>IFERROR(VLOOKUP(DATE($K$1,$K$2,JIW$4),Table1[],(MATCH(Calendar!$A19,DB!$1:$1,0)),FALSE),"")</f>
        <v/>
      </c>
      <c r="JIX19" s="28" t="str">
        <f>IFERROR(VLOOKUP(DATE($K$1,$K$2,JIX$4),Table1[],(MATCH(Calendar!$A19,DB!$1:$1,0)),FALSE),"")</f>
        <v/>
      </c>
      <c r="JIY19" s="28" t="str">
        <f>IFERROR(VLOOKUP(DATE($K$1,$K$2,JIY$4),Table1[],(MATCH(Calendar!$A19,DB!$1:$1,0)),FALSE),"")</f>
        <v/>
      </c>
      <c r="JIZ19" s="28" t="str">
        <f>IFERROR(VLOOKUP(DATE($K$1,$K$2,JIZ$4),Table1[],(MATCH(Calendar!$A19,DB!$1:$1,0)),FALSE),"")</f>
        <v/>
      </c>
      <c r="JJA19" s="28" t="str">
        <f>IFERROR(VLOOKUP(DATE($K$1,$K$2,JJA$4),Table1[],(MATCH(Calendar!$A19,DB!$1:$1,0)),FALSE),"")</f>
        <v/>
      </c>
      <c r="JJB19" s="28" t="str">
        <f>IFERROR(VLOOKUP(DATE($K$1,$K$2,JJB$4),Table1[],(MATCH(Calendar!$A19,DB!$1:$1,0)),FALSE),"")</f>
        <v/>
      </c>
      <c r="JJC19" s="28" t="str">
        <f>IFERROR(VLOOKUP(DATE($K$1,$K$2,JJC$4),Table1[],(MATCH(Calendar!$A19,DB!$1:$1,0)),FALSE),"")</f>
        <v/>
      </c>
      <c r="JJD19" s="28" t="str">
        <f>IFERROR(VLOOKUP(DATE($K$1,$K$2,JJD$4),Table1[],(MATCH(Calendar!$A19,DB!$1:$1,0)),FALSE),"")</f>
        <v/>
      </c>
      <c r="JJE19" s="28" t="str">
        <f>IFERROR(VLOOKUP(DATE($K$1,$K$2,JJE$4),Table1[],(MATCH(Calendar!$A19,DB!$1:$1,0)),FALSE),"")</f>
        <v/>
      </c>
      <c r="JJF19" s="28" t="str">
        <f>IFERROR(VLOOKUP(DATE($K$1,$K$2,JJF$4),Table1[],(MATCH(Calendar!$A19,DB!$1:$1,0)),FALSE),"")</f>
        <v/>
      </c>
      <c r="JJG19" s="28" t="str">
        <f>IFERROR(VLOOKUP(DATE($K$1,$K$2,JJG$4),Table1[],(MATCH(Calendar!$A19,DB!$1:$1,0)),FALSE),"")</f>
        <v/>
      </c>
      <c r="JJH19" s="28" t="str">
        <f>IFERROR(VLOOKUP(DATE($K$1,$K$2,JJH$4),Table1[],(MATCH(Calendar!$A19,DB!$1:$1,0)),FALSE),"")</f>
        <v/>
      </c>
      <c r="JJI19" s="28" t="str">
        <f>IFERROR(VLOOKUP(DATE($K$1,$K$2,JJI$4),Table1[],(MATCH(Calendar!$A19,DB!$1:$1,0)),FALSE),"")</f>
        <v/>
      </c>
      <c r="JJJ19" s="28" t="str">
        <f>IFERROR(VLOOKUP(DATE($K$1,$K$2,JJJ$4),Table1[],(MATCH(Calendar!$A19,DB!$1:$1,0)),FALSE),"")</f>
        <v/>
      </c>
      <c r="JJK19" s="28" t="str">
        <f>IFERROR(VLOOKUP(DATE($K$1,$K$2,JJK$4),Table1[],(MATCH(Calendar!$A19,DB!$1:$1,0)),FALSE),"")</f>
        <v/>
      </c>
      <c r="JJL19" s="28" t="str">
        <f>IFERROR(VLOOKUP(DATE($K$1,$K$2,JJL$4),Table1[],(MATCH(Calendar!$A19,DB!$1:$1,0)),FALSE),"")</f>
        <v/>
      </c>
      <c r="JJM19" s="28" t="str">
        <f>IFERROR(VLOOKUP(DATE($K$1,$K$2,JJM$4),Table1[],(MATCH(Calendar!$A19,DB!$1:$1,0)),FALSE),"")</f>
        <v/>
      </c>
      <c r="JJN19" s="28" t="str">
        <f>IFERROR(VLOOKUP(DATE($K$1,$K$2,JJN$4),Table1[],(MATCH(Calendar!$A19,DB!$1:$1,0)),FALSE),"")</f>
        <v/>
      </c>
      <c r="JJO19" s="28" t="str">
        <f>IFERROR(VLOOKUP(DATE($K$1,$K$2,JJO$4),Table1[],(MATCH(Calendar!$A19,DB!$1:$1,0)),FALSE),"")</f>
        <v/>
      </c>
      <c r="JJP19" s="28" t="str">
        <f>IFERROR(VLOOKUP(DATE($K$1,$K$2,JJP$4),Table1[],(MATCH(Calendar!$A19,DB!$1:$1,0)),FALSE),"")</f>
        <v/>
      </c>
      <c r="JJQ19" s="28" t="str">
        <f>IFERROR(VLOOKUP(DATE($K$1,$K$2,JJQ$4),Table1[],(MATCH(Calendar!$A19,DB!$1:$1,0)),FALSE),"")</f>
        <v/>
      </c>
      <c r="JJR19" s="28" t="str">
        <f>IFERROR(VLOOKUP(DATE($K$1,$K$2,JJR$4),Table1[],(MATCH(Calendar!$A19,DB!$1:$1,0)),FALSE),"")</f>
        <v/>
      </c>
      <c r="JJS19" s="28" t="str">
        <f>IFERROR(VLOOKUP(DATE($K$1,$K$2,JJS$4),Table1[],(MATCH(Calendar!$A19,DB!$1:$1,0)),FALSE),"")</f>
        <v/>
      </c>
      <c r="JJT19" s="28" t="str">
        <f>IFERROR(VLOOKUP(DATE($K$1,$K$2,JJT$4),Table1[],(MATCH(Calendar!$A19,DB!$1:$1,0)),FALSE),"")</f>
        <v/>
      </c>
      <c r="JJU19" s="28" t="str">
        <f>IFERROR(VLOOKUP(DATE($K$1,$K$2,JJU$4),Table1[],(MATCH(Calendar!$A19,DB!$1:$1,0)),FALSE),"")</f>
        <v/>
      </c>
      <c r="JJV19" s="28" t="str">
        <f>IFERROR(VLOOKUP(DATE($K$1,$K$2,JJV$4),Table1[],(MATCH(Calendar!$A19,DB!$1:$1,0)),FALSE),"")</f>
        <v/>
      </c>
      <c r="JJW19" s="28" t="str">
        <f>IFERROR(VLOOKUP(DATE($K$1,$K$2,JJW$4),Table1[],(MATCH(Calendar!$A19,DB!$1:$1,0)),FALSE),"")</f>
        <v/>
      </c>
      <c r="JJX19" s="28" t="str">
        <f>IFERROR(VLOOKUP(DATE($K$1,$K$2,JJX$4),Table1[],(MATCH(Calendar!$A19,DB!$1:$1,0)),FALSE),"")</f>
        <v/>
      </c>
      <c r="JJY19" s="28" t="str">
        <f>IFERROR(VLOOKUP(DATE($K$1,$K$2,JJY$4),Table1[],(MATCH(Calendar!$A19,DB!$1:$1,0)),FALSE),"")</f>
        <v/>
      </c>
      <c r="JJZ19" s="28" t="str">
        <f>IFERROR(VLOOKUP(DATE($K$1,$K$2,JJZ$4),Table1[],(MATCH(Calendar!$A19,DB!$1:$1,0)),FALSE),"")</f>
        <v/>
      </c>
      <c r="JKA19" s="28" t="str">
        <f>IFERROR(VLOOKUP(DATE($K$1,$K$2,JKA$4),Table1[],(MATCH(Calendar!$A19,DB!$1:$1,0)),FALSE),"")</f>
        <v/>
      </c>
      <c r="JKB19" s="28" t="str">
        <f>IFERROR(VLOOKUP(DATE($K$1,$K$2,JKB$4),Table1[],(MATCH(Calendar!$A19,DB!$1:$1,0)),FALSE),"")</f>
        <v/>
      </c>
      <c r="JKC19" s="28" t="str">
        <f>IFERROR(VLOOKUP(DATE($K$1,$K$2,JKC$4),Table1[],(MATCH(Calendar!$A19,DB!$1:$1,0)),FALSE),"")</f>
        <v/>
      </c>
      <c r="JKD19" s="28" t="str">
        <f>IFERROR(VLOOKUP(DATE($K$1,$K$2,JKD$4),Table1[],(MATCH(Calendar!$A19,DB!$1:$1,0)),FALSE),"")</f>
        <v/>
      </c>
      <c r="JKE19" s="28" t="str">
        <f>IFERROR(VLOOKUP(DATE($K$1,$K$2,JKE$4),Table1[],(MATCH(Calendar!$A19,DB!$1:$1,0)),FALSE),"")</f>
        <v/>
      </c>
      <c r="JKF19" s="28" t="str">
        <f>IFERROR(VLOOKUP(DATE($K$1,$K$2,JKF$4),Table1[],(MATCH(Calendar!$A19,DB!$1:$1,0)),FALSE),"")</f>
        <v/>
      </c>
      <c r="JKG19" s="28" t="str">
        <f>IFERROR(VLOOKUP(DATE($K$1,$K$2,JKG$4),Table1[],(MATCH(Calendar!$A19,DB!$1:$1,0)),FALSE),"")</f>
        <v/>
      </c>
      <c r="JKH19" s="28" t="str">
        <f>IFERROR(VLOOKUP(DATE($K$1,$K$2,JKH$4),Table1[],(MATCH(Calendar!$A19,DB!$1:$1,0)),FALSE),"")</f>
        <v/>
      </c>
      <c r="JKI19" s="28" t="str">
        <f>IFERROR(VLOOKUP(DATE($K$1,$K$2,JKI$4),Table1[],(MATCH(Calendar!$A19,DB!$1:$1,0)),FALSE),"")</f>
        <v/>
      </c>
      <c r="JKJ19" s="28" t="str">
        <f>IFERROR(VLOOKUP(DATE($K$1,$K$2,JKJ$4),Table1[],(MATCH(Calendar!$A19,DB!$1:$1,0)),FALSE),"")</f>
        <v/>
      </c>
      <c r="JKK19" s="28" t="str">
        <f>IFERROR(VLOOKUP(DATE($K$1,$K$2,JKK$4),Table1[],(MATCH(Calendar!$A19,DB!$1:$1,0)),FALSE),"")</f>
        <v/>
      </c>
      <c r="JKL19" s="28" t="str">
        <f>IFERROR(VLOOKUP(DATE($K$1,$K$2,JKL$4),Table1[],(MATCH(Calendar!$A19,DB!$1:$1,0)),FALSE),"")</f>
        <v/>
      </c>
      <c r="JKM19" s="28" t="str">
        <f>IFERROR(VLOOKUP(DATE($K$1,$K$2,JKM$4),Table1[],(MATCH(Calendar!$A19,DB!$1:$1,0)),FALSE),"")</f>
        <v/>
      </c>
      <c r="JKN19" s="28" t="str">
        <f>IFERROR(VLOOKUP(DATE($K$1,$K$2,JKN$4),Table1[],(MATCH(Calendar!$A19,DB!$1:$1,0)),FALSE),"")</f>
        <v/>
      </c>
      <c r="JKO19" s="28" t="str">
        <f>IFERROR(VLOOKUP(DATE($K$1,$K$2,JKO$4),Table1[],(MATCH(Calendar!$A19,DB!$1:$1,0)),FALSE),"")</f>
        <v/>
      </c>
      <c r="JKP19" s="28" t="str">
        <f>IFERROR(VLOOKUP(DATE($K$1,$K$2,JKP$4),Table1[],(MATCH(Calendar!$A19,DB!$1:$1,0)),FALSE),"")</f>
        <v/>
      </c>
      <c r="JKQ19" s="28" t="str">
        <f>IFERROR(VLOOKUP(DATE($K$1,$K$2,JKQ$4),Table1[],(MATCH(Calendar!$A19,DB!$1:$1,0)),FALSE),"")</f>
        <v/>
      </c>
      <c r="JKR19" s="28" t="str">
        <f>IFERROR(VLOOKUP(DATE($K$1,$K$2,JKR$4),Table1[],(MATCH(Calendar!$A19,DB!$1:$1,0)),FALSE),"")</f>
        <v/>
      </c>
      <c r="JKS19" s="28" t="str">
        <f>IFERROR(VLOOKUP(DATE($K$1,$K$2,JKS$4),Table1[],(MATCH(Calendar!$A19,DB!$1:$1,0)),FALSE),"")</f>
        <v/>
      </c>
      <c r="JKT19" s="28" t="str">
        <f>IFERROR(VLOOKUP(DATE($K$1,$K$2,JKT$4),Table1[],(MATCH(Calendar!$A19,DB!$1:$1,0)),FALSE),"")</f>
        <v/>
      </c>
      <c r="JKU19" s="28" t="str">
        <f>IFERROR(VLOOKUP(DATE($K$1,$K$2,JKU$4),Table1[],(MATCH(Calendar!$A19,DB!$1:$1,0)),FALSE),"")</f>
        <v/>
      </c>
      <c r="JKV19" s="28" t="str">
        <f>IFERROR(VLOOKUP(DATE($K$1,$K$2,JKV$4),Table1[],(MATCH(Calendar!$A19,DB!$1:$1,0)),FALSE),"")</f>
        <v/>
      </c>
      <c r="JKW19" s="28" t="str">
        <f>IFERROR(VLOOKUP(DATE($K$1,$K$2,JKW$4),Table1[],(MATCH(Calendar!$A19,DB!$1:$1,0)),FALSE),"")</f>
        <v/>
      </c>
      <c r="JKX19" s="28" t="str">
        <f>IFERROR(VLOOKUP(DATE($K$1,$K$2,JKX$4),Table1[],(MATCH(Calendar!$A19,DB!$1:$1,0)),FALSE),"")</f>
        <v/>
      </c>
      <c r="JKY19" s="28" t="str">
        <f>IFERROR(VLOOKUP(DATE($K$1,$K$2,JKY$4),Table1[],(MATCH(Calendar!$A19,DB!$1:$1,0)),FALSE),"")</f>
        <v/>
      </c>
      <c r="JKZ19" s="28" t="str">
        <f>IFERROR(VLOOKUP(DATE($K$1,$K$2,JKZ$4),Table1[],(MATCH(Calendar!$A19,DB!$1:$1,0)),FALSE),"")</f>
        <v/>
      </c>
      <c r="JLA19" s="28" t="str">
        <f>IFERROR(VLOOKUP(DATE($K$1,$K$2,JLA$4),Table1[],(MATCH(Calendar!$A19,DB!$1:$1,0)),FALSE),"")</f>
        <v/>
      </c>
      <c r="JLB19" s="28" t="str">
        <f>IFERROR(VLOOKUP(DATE($K$1,$K$2,JLB$4),Table1[],(MATCH(Calendar!$A19,DB!$1:$1,0)),FALSE),"")</f>
        <v/>
      </c>
      <c r="JLC19" s="28" t="str">
        <f>IFERROR(VLOOKUP(DATE($K$1,$K$2,JLC$4),Table1[],(MATCH(Calendar!$A19,DB!$1:$1,0)),FALSE),"")</f>
        <v/>
      </c>
      <c r="JLD19" s="28" t="str">
        <f>IFERROR(VLOOKUP(DATE($K$1,$K$2,JLD$4),Table1[],(MATCH(Calendar!$A19,DB!$1:$1,0)),FALSE),"")</f>
        <v/>
      </c>
      <c r="JLE19" s="28" t="str">
        <f>IFERROR(VLOOKUP(DATE($K$1,$K$2,JLE$4),Table1[],(MATCH(Calendar!$A19,DB!$1:$1,0)),FALSE),"")</f>
        <v/>
      </c>
      <c r="JLF19" s="28" t="str">
        <f>IFERROR(VLOOKUP(DATE($K$1,$K$2,JLF$4),Table1[],(MATCH(Calendar!$A19,DB!$1:$1,0)),FALSE),"")</f>
        <v/>
      </c>
      <c r="JLG19" s="28" t="str">
        <f>IFERROR(VLOOKUP(DATE($K$1,$K$2,JLG$4),Table1[],(MATCH(Calendar!$A19,DB!$1:$1,0)),FALSE),"")</f>
        <v/>
      </c>
      <c r="JLH19" s="28" t="str">
        <f>IFERROR(VLOOKUP(DATE($K$1,$K$2,JLH$4),Table1[],(MATCH(Calendar!$A19,DB!$1:$1,0)),FALSE),"")</f>
        <v/>
      </c>
      <c r="JLI19" s="28" t="str">
        <f>IFERROR(VLOOKUP(DATE($K$1,$K$2,JLI$4),Table1[],(MATCH(Calendar!$A19,DB!$1:$1,0)),FALSE),"")</f>
        <v/>
      </c>
      <c r="JLJ19" s="28" t="str">
        <f>IFERROR(VLOOKUP(DATE($K$1,$K$2,JLJ$4),Table1[],(MATCH(Calendar!$A19,DB!$1:$1,0)),FALSE),"")</f>
        <v/>
      </c>
      <c r="JLK19" s="28" t="str">
        <f>IFERROR(VLOOKUP(DATE($K$1,$K$2,JLK$4),Table1[],(MATCH(Calendar!$A19,DB!$1:$1,0)),FALSE),"")</f>
        <v/>
      </c>
      <c r="JLL19" s="28" t="str">
        <f>IFERROR(VLOOKUP(DATE($K$1,$K$2,JLL$4),Table1[],(MATCH(Calendar!$A19,DB!$1:$1,0)),FALSE),"")</f>
        <v/>
      </c>
      <c r="JLM19" s="28" t="str">
        <f>IFERROR(VLOOKUP(DATE($K$1,$K$2,JLM$4),Table1[],(MATCH(Calendar!$A19,DB!$1:$1,0)),FALSE),"")</f>
        <v/>
      </c>
      <c r="JLN19" s="28" t="str">
        <f>IFERROR(VLOOKUP(DATE($K$1,$K$2,JLN$4),Table1[],(MATCH(Calendar!$A19,DB!$1:$1,0)),FALSE),"")</f>
        <v/>
      </c>
      <c r="JLO19" s="28" t="str">
        <f>IFERROR(VLOOKUP(DATE($K$1,$K$2,JLO$4),Table1[],(MATCH(Calendar!$A19,DB!$1:$1,0)),FALSE),"")</f>
        <v/>
      </c>
      <c r="JLP19" s="28" t="str">
        <f>IFERROR(VLOOKUP(DATE($K$1,$K$2,JLP$4),Table1[],(MATCH(Calendar!$A19,DB!$1:$1,0)),FALSE),"")</f>
        <v/>
      </c>
      <c r="JLQ19" s="28" t="str">
        <f>IFERROR(VLOOKUP(DATE($K$1,$K$2,JLQ$4),Table1[],(MATCH(Calendar!$A19,DB!$1:$1,0)),FALSE),"")</f>
        <v/>
      </c>
      <c r="JLR19" s="28" t="str">
        <f>IFERROR(VLOOKUP(DATE($K$1,$K$2,JLR$4),Table1[],(MATCH(Calendar!$A19,DB!$1:$1,0)),FALSE),"")</f>
        <v/>
      </c>
      <c r="JLS19" s="28" t="str">
        <f>IFERROR(VLOOKUP(DATE($K$1,$K$2,JLS$4),Table1[],(MATCH(Calendar!$A19,DB!$1:$1,0)),FALSE),"")</f>
        <v/>
      </c>
      <c r="JLT19" s="28" t="str">
        <f>IFERROR(VLOOKUP(DATE($K$1,$K$2,JLT$4),Table1[],(MATCH(Calendar!$A19,DB!$1:$1,0)),FALSE),"")</f>
        <v/>
      </c>
      <c r="JLU19" s="28" t="str">
        <f>IFERROR(VLOOKUP(DATE($K$1,$K$2,JLU$4),Table1[],(MATCH(Calendar!$A19,DB!$1:$1,0)),FALSE),"")</f>
        <v/>
      </c>
      <c r="JLV19" s="28" t="str">
        <f>IFERROR(VLOOKUP(DATE($K$1,$K$2,JLV$4),Table1[],(MATCH(Calendar!$A19,DB!$1:$1,0)),FALSE),"")</f>
        <v/>
      </c>
      <c r="JLW19" s="28" t="str">
        <f>IFERROR(VLOOKUP(DATE($K$1,$K$2,JLW$4),Table1[],(MATCH(Calendar!$A19,DB!$1:$1,0)),FALSE),"")</f>
        <v/>
      </c>
      <c r="JLX19" s="28" t="str">
        <f>IFERROR(VLOOKUP(DATE($K$1,$K$2,JLX$4),Table1[],(MATCH(Calendar!$A19,DB!$1:$1,0)),FALSE),"")</f>
        <v/>
      </c>
      <c r="JLY19" s="28" t="str">
        <f>IFERROR(VLOOKUP(DATE($K$1,$K$2,JLY$4),Table1[],(MATCH(Calendar!$A19,DB!$1:$1,0)),FALSE),"")</f>
        <v/>
      </c>
      <c r="JLZ19" s="28" t="str">
        <f>IFERROR(VLOOKUP(DATE($K$1,$K$2,JLZ$4),Table1[],(MATCH(Calendar!$A19,DB!$1:$1,0)),FALSE),"")</f>
        <v/>
      </c>
      <c r="JMA19" s="28" t="str">
        <f>IFERROR(VLOOKUP(DATE($K$1,$K$2,JMA$4),Table1[],(MATCH(Calendar!$A19,DB!$1:$1,0)),FALSE),"")</f>
        <v/>
      </c>
      <c r="JMB19" s="28" t="str">
        <f>IFERROR(VLOOKUP(DATE($K$1,$K$2,JMB$4),Table1[],(MATCH(Calendar!$A19,DB!$1:$1,0)),FALSE),"")</f>
        <v/>
      </c>
      <c r="JMC19" s="28" t="str">
        <f>IFERROR(VLOOKUP(DATE($K$1,$K$2,JMC$4),Table1[],(MATCH(Calendar!$A19,DB!$1:$1,0)),FALSE),"")</f>
        <v/>
      </c>
      <c r="JMD19" s="28" t="str">
        <f>IFERROR(VLOOKUP(DATE($K$1,$K$2,JMD$4),Table1[],(MATCH(Calendar!$A19,DB!$1:$1,0)),FALSE),"")</f>
        <v/>
      </c>
      <c r="JME19" s="28" t="str">
        <f>IFERROR(VLOOKUP(DATE($K$1,$K$2,JME$4),Table1[],(MATCH(Calendar!$A19,DB!$1:$1,0)),FALSE),"")</f>
        <v/>
      </c>
      <c r="JMF19" s="28" t="str">
        <f>IFERROR(VLOOKUP(DATE($K$1,$K$2,JMF$4),Table1[],(MATCH(Calendar!$A19,DB!$1:$1,0)),FALSE),"")</f>
        <v/>
      </c>
      <c r="JMG19" s="28" t="str">
        <f>IFERROR(VLOOKUP(DATE($K$1,$K$2,JMG$4),Table1[],(MATCH(Calendar!$A19,DB!$1:$1,0)),FALSE),"")</f>
        <v/>
      </c>
      <c r="JMH19" s="28" t="str">
        <f>IFERROR(VLOOKUP(DATE($K$1,$K$2,JMH$4),Table1[],(MATCH(Calendar!$A19,DB!$1:$1,0)),FALSE),"")</f>
        <v/>
      </c>
      <c r="JMI19" s="28" t="str">
        <f>IFERROR(VLOOKUP(DATE($K$1,$K$2,JMI$4),Table1[],(MATCH(Calendar!$A19,DB!$1:$1,0)),FALSE),"")</f>
        <v/>
      </c>
      <c r="JMJ19" s="28" t="str">
        <f>IFERROR(VLOOKUP(DATE($K$1,$K$2,JMJ$4),Table1[],(MATCH(Calendar!$A19,DB!$1:$1,0)),FALSE),"")</f>
        <v/>
      </c>
      <c r="JMK19" s="28" t="str">
        <f>IFERROR(VLOOKUP(DATE($K$1,$K$2,JMK$4),Table1[],(MATCH(Calendar!$A19,DB!$1:$1,0)),FALSE),"")</f>
        <v/>
      </c>
      <c r="JML19" s="28" t="str">
        <f>IFERROR(VLOOKUP(DATE($K$1,$K$2,JML$4),Table1[],(MATCH(Calendar!$A19,DB!$1:$1,0)),FALSE),"")</f>
        <v/>
      </c>
      <c r="JMM19" s="28" t="str">
        <f>IFERROR(VLOOKUP(DATE($K$1,$K$2,JMM$4),Table1[],(MATCH(Calendar!$A19,DB!$1:$1,0)),FALSE),"")</f>
        <v/>
      </c>
      <c r="JMN19" s="28" t="str">
        <f>IFERROR(VLOOKUP(DATE($K$1,$K$2,JMN$4),Table1[],(MATCH(Calendar!$A19,DB!$1:$1,0)),FALSE),"")</f>
        <v/>
      </c>
      <c r="JMO19" s="28" t="str">
        <f>IFERROR(VLOOKUP(DATE($K$1,$K$2,JMO$4),Table1[],(MATCH(Calendar!$A19,DB!$1:$1,0)),FALSE),"")</f>
        <v/>
      </c>
      <c r="JMP19" s="28" t="str">
        <f>IFERROR(VLOOKUP(DATE($K$1,$K$2,JMP$4),Table1[],(MATCH(Calendar!$A19,DB!$1:$1,0)),FALSE),"")</f>
        <v/>
      </c>
      <c r="JMQ19" s="28" t="str">
        <f>IFERROR(VLOOKUP(DATE($K$1,$K$2,JMQ$4),Table1[],(MATCH(Calendar!$A19,DB!$1:$1,0)),FALSE),"")</f>
        <v/>
      </c>
      <c r="JMR19" s="28" t="str">
        <f>IFERROR(VLOOKUP(DATE($K$1,$K$2,JMR$4),Table1[],(MATCH(Calendar!$A19,DB!$1:$1,0)),FALSE),"")</f>
        <v/>
      </c>
      <c r="JMS19" s="28" t="str">
        <f>IFERROR(VLOOKUP(DATE($K$1,$K$2,JMS$4),Table1[],(MATCH(Calendar!$A19,DB!$1:$1,0)),FALSE),"")</f>
        <v/>
      </c>
      <c r="JMT19" s="28" t="str">
        <f>IFERROR(VLOOKUP(DATE($K$1,$K$2,JMT$4),Table1[],(MATCH(Calendar!$A19,DB!$1:$1,0)),FALSE),"")</f>
        <v/>
      </c>
      <c r="JMU19" s="28" t="str">
        <f>IFERROR(VLOOKUP(DATE($K$1,$K$2,JMU$4),Table1[],(MATCH(Calendar!$A19,DB!$1:$1,0)),FALSE),"")</f>
        <v/>
      </c>
      <c r="JMV19" s="28" t="str">
        <f>IFERROR(VLOOKUP(DATE($K$1,$K$2,JMV$4),Table1[],(MATCH(Calendar!$A19,DB!$1:$1,0)),FALSE),"")</f>
        <v/>
      </c>
      <c r="JMW19" s="28" t="str">
        <f>IFERROR(VLOOKUP(DATE($K$1,$K$2,JMW$4),Table1[],(MATCH(Calendar!$A19,DB!$1:$1,0)),FALSE),"")</f>
        <v/>
      </c>
      <c r="JMX19" s="28" t="str">
        <f>IFERROR(VLOOKUP(DATE($K$1,$K$2,JMX$4),Table1[],(MATCH(Calendar!$A19,DB!$1:$1,0)),FALSE),"")</f>
        <v/>
      </c>
      <c r="JMY19" s="28" t="str">
        <f>IFERROR(VLOOKUP(DATE($K$1,$K$2,JMY$4),Table1[],(MATCH(Calendar!$A19,DB!$1:$1,0)),FALSE),"")</f>
        <v/>
      </c>
      <c r="JMZ19" s="28" t="str">
        <f>IFERROR(VLOOKUP(DATE($K$1,$K$2,JMZ$4),Table1[],(MATCH(Calendar!$A19,DB!$1:$1,0)),FALSE),"")</f>
        <v/>
      </c>
      <c r="JNA19" s="28" t="str">
        <f>IFERROR(VLOOKUP(DATE($K$1,$K$2,JNA$4),Table1[],(MATCH(Calendar!$A19,DB!$1:$1,0)),FALSE),"")</f>
        <v/>
      </c>
      <c r="JNB19" s="28" t="str">
        <f>IFERROR(VLOOKUP(DATE($K$1,$K$2,JNB$4),Table1[],(MATCH(Calendar!$A19,DB!$1:$1,0)),FALSE),"")</f>
        <v/>
      </c>
      <c r="JNC19" s="28" t="str">
        <f>IFERROR(VLOOKUP(DATE($K$1,$K$2,JNC$4),Table1[],(MATCH(Calendar!$A19,DB!$1:$1,0)),FALSE),"")</f>
        <v/>
      </c>
      <c r="JND19" s="28" t="str">
        <f>IFERROR(VLOOKUP(DATE($K$1,$K$2,JND$4),Table1[],(MATCH(Calendar!$A19,DB!$1:$1,0)),FALSE),"")</f>
        <v/>
      </c>
      <c r="JNE19" s="28" t="str">
        <f>IFERROR(VLOOKUP(DATE($K$1,$K$2,JNE$4),Table1[],(MATCH(Calendar!$A19,DB!$1:$1,0)),FALSE),"")</f>
        <v/>
      </c>
      <c r="JNF19" s="28" t="str">
        <f>IFERROR(VLOOKUP(DATE($K$1,$K$2,JNF$4),Table1[],(MATCH(Calendar!$A19,DB!$1:$1,0)),FALSE),"")</f>
        <v/>
      </c>
      <c r="JNG19" s="28" t="str">
        <f>IFERROR(VLOOKUP(DATE($K$1,$K$2,JNG$4),Table1[],(MATCH(Calendar!$A19,DB!$1:$1,0)),FALSE),"")</f>
        <v/>
      </c>
      <c r="JNH19" s="28" t="str">
        <f>IFERROR(VLOOKUP(DATE($K$1,$K$2,JNH$4),Table1[],(MATCH(Calendar!$A19,DB!$1:$1,0)),FALSE),"")</f>
        <v/>
      </c>
      <c r="JNI19" s="28" t="str">
        <f>IFERROR(VLOOKUP(DATE($K$1,$K$2,JNI$4),Table1[],(MATCH(Calendar!$A19,DB!$1:$1,0)),FALSE),"")</f>
        <v/>
      </c>
      <c r="JNJ19" s="28" t="str">
        <f>IFERROR(VLOOKUP(DATE($K$1,$K$2,JNJ$4),Table1[],(MATCH(Calendar!$A19,DB!$1:$1,0)),FALSE),"")</f>
        <v/>
      </c>
      <c r="JNK19" s="28" t="str">
        <f>IFERROR(VLOOKUP(DATE($K$1,$K$2,JNK$4),Table1[],(MATCH(Calendar!$A19,DB!$1:$1,0)),FALSE),"")</f>
        <v/>
      </c>
      <c r="JNL19" s="28" t="str">
        <f>IFERROR(VLOOKUP(DATE($K$1,$K$2,JNL$4),Table1[],(MATCH(Calendar!$A19,DB!$1:$1,0)),FALSE),"")</f>
        <v/>
      </c>
      <c r="JNM19" s="28" t="str">
        <f>IFERROR(VLOOKUP(DATE($K$1,$K$2,JNM$4),Table1[],(MATCH(Calendar!$A19,DB!$1:$1,0)),FALSE),"")</f>
        <v/>
      </c>
      <c r="JNN19" s="28" t="str">
        <f>IFERROR(VLOOKUP(DATE($K$1,$K$2,JNN$4),Table1[],(MATCH(Calendar!$A19,DB!$1:$1,0)),FALSE),"")</f>
        <v/>
      </c>
      <c r="JNO19" s="28" t="str">
        <f>IFERROR(VLOOKUP(DATE($K$1,$K$2,JNO$4),Table1[],(MATCH(Calendar!$A19,DB!$1:$1,0)),FALSE),"")</f>
        <v/>
      </c>
      <c r="JNP19" s="28" t="str">
        <f>IFERROR(VLOOKUP(DATE($K$1,$K$2,JNP$4),Table1[],(MATCH(Calendar!$A19,DB!$1:$1,0)),FALSE),"")</f>
        <v/>
      </c>
      <c r="JNQ19" s="28" t="str">
        <f>IFERROR(VLOOKUP(DATE($K$1,$K$2,JNQ$4),Table1[],(MATCH(Calendar!$A19,DB!$1:$1,0)),FALSE),"")</f>
        <v/>
      </c>
      <c r="JNR19" s="28" t="str">
        <f>IFERROR(VLOOKUP(DATE($K$1,$K$2,JNR$4),Table1[],(MATCH(Calendar!$A19,DB!$1:$1,0)),FALSE),"")</f>
        <v/>
      </c>
      <c r="JNS19" s="28" t="str">
        <f>IFERROR(VLOOKUP(DATE($K$1,$K$2,JNS$4),Table1[],(MATCH(Calendar!$A19,DB!$1:$1,0)),FALSE),"")</f>
        <v/>
      </c>
      <c r="JNT19" s="28" t="str">
        <f>IFERROR(VLOOKUP(DATE($K$1,$K$2,JNT$4),Table1[],(MATCH(Calendar!$A19,DB!$1:$1,0)),FALSE),"")</f>
        <v/>
      </c>
      <c r="JNU19" s="28" t="str">
        <f>IFERROR(VLOOKUP(DATE($K$1,$K$2,JNU$4),Table1[],(MATCH(Calendar!$A19,DB!$1:$1,0)),FALSE),"")</f>
        <v/>
      </c>
      <c r="JNV19" s="28" t="str">
        <f>IFERROR(VLOOKUP(DATE($K$1,$K$2,JNV$4),Table1[],(MATCH(Calendar!$A19,DB!$1:$1,0)),FALSE),"")</f>
        <v/>
      </c>
      <c r="JNW19" s="28" t="str">
        <f>IFERROR(VLOOKUP(DATE($K$1,$K$2,JNW$4),Table1[],(MATCH(Calendar!$A19,DB!$1:$1,0)),FALSE),"")</f>
        <v/>
      </c>
      <c r="JNX19" s="28" t="str">
        <f>IFERROR(VLOOKUP(DATE($K$1,$K$2,JNX$4),Table1[],(MATCH(Calendar!$A19,DB!$1:$1,0)),FALSE),"")</f>
        <v/>
      </c>
      <c r="JNY19" s="28" t="str">
        <f>IFERROR(VLOOKUP(DATE($K$1,$K$2,JNY$4),Table1[],(MATCH(Calendar!$A19,DB!$1:$1,0)),FALSE),"")</f>
        <v/>
      </c>
      <c r="JNZ19" s="28" t="str">
        <f>IFERROR(VLOOKUP(DATE($K$1,$K$2,JNZ$4),Table1[],(MATCH(Calendar!$A19,DB!$1:$1,0)),FALSE),"")</f>
        <v/>
      </c>
      <c r="JOA19" s="28" t="str">
        <f>IFERROR(VLOOKUP(DATE($K$1,$K$2,JOA$4),Table1[],(MATCH(Calendar!$A19,DB!$1:$1,0)),FALSE),"")</f>
        <v/>
      </c>
      <c r="JOB19" s="28" t="str">
        <f>IFERROR(VLOOKUP(DATE($K$1,$K$2,JOB$4),Table1[],(MATCH(Calendar!$A19,DB!$1:$1,0)),FALSE),"")</f>
        <v/>
      </c>
      <c r="JOC19" s="28" t="str">
        <f>IFERROR(VLOOKUP(DATE($K$1,$K$2,JOC$4),Table1[],(MATCH(Calendar!$A19,DB!$1:$1,0)),FALSE),"")</f>
        <v/>
      </c>
      <c r="JOD19" s="28" t="str">
        <f>IFERROR(VLOOKUP(DATE($K$1,$K$2,JOD$4),Table1[],(MATCH(Calendar!$A19,DB!$1:$1,0)),FALSE),"")</f>
        <v/>
      </c>
      <c r="JOE19" s="28" t="str">
        <f>IFERROR(VLOOKUP(DATE($K$1,$K$2,JOE$4),Table1[],(MATCH(Calendar!$A19,DB!$1:$1,0)),FALSE),"")</f>
        <v/>
      </c>
      <c r="JOF19" s="28" t="str">
        <f>IFERROR(VLOOKUP(DATE($K$1,$K$2,JOF$4),Table1[],(MATCH(Calendar!$A19,DB!$1:$1,0)),FALSE),"")</f>
        <v/>
      </c>
      <c r="JOG19" s="28" t="str">
        <f>IFERROR(VLOOKUP(DATE($K$1,$K$2,JOG$4),Table1[],(MATCH(Calendar!$A19,DB!$1:$1,0)),FALSE),"")</f>
        <v/>
      </c>
      <c r="JOH19" s="28" t="str">
        <f>IFERROR(VLOOKUP(DATE($K$1,$K$2,JOH$4),Table1[],(MATCH(Calendar!$A19,DB!$1:$1,0)),FALSE),"")</f>
        <v/>
      </c>
      <c r="JOI19" s="28" t="str">
        <f>IFERROR(VLOOKUP(DATE($K$1,$K$2,JOI$4),Table1[],(MATCH(Calendar!$A19,DB!$1:$1,0)),FALSE),"")</f>
        <v/>
      </c>
      <c r="JOJ19" s="28" t="str">
        <f>IFERROR(VLOOKUP(DATE($K$1,$K$2,JOJ$4),Table1[],(MATCH(Calendar!$A19,DB!$1:$1,0)),FALSE),"")</f>
        <v/>
      </c>
      <c r="JOK19" s="28" t="str">
        <f>IFERROR(VLOOKUP(DATE($K$1,$K$2,JOK$4),Table1[],(MATCH(Calendar!$A19,DB!$1:$1,0)),FALSE),"")</f>
        <v/>
      </c>
      <c r="JOL19" s="28" t="str">
        <f>IFERROR(VLOOKUP(DATE($K$1,$K$2,JOL$4),Table1[],(MATCH(Calendar!$A19,DB!$1:$1,0)),FALSE),"")</f>
        <v/>
      </c>
      <c r="JOM19" s="28" t="str">
        <f>IFERROR(VLOOKUP(DATE($K$1,$K$2,JOM$4),Table1[],(MATCH(Calendar!$A19,DB!$1:$1,0)),FALSE),"")</f>
        <v/>
      </c>
      <c r="JON19" s="28" t="str">
        <f>IFERROR(VLOOKUP(DATE($K$1,$K$2,JON$4),Table1[],(MATCH(Calendar!$A19,DB!$1:$1,0)),FALSE),"")</f>
        <v/>
      </c>
      <c r="JOO19" s="28" t="str">
        <f>IFERROR(VLOOKUP(DATE($K$1,$K$2,JOO$4),Table1[],(MATCH(Calendar!$A19,DB!$1:$1,0)),FALSE),"")</f>
        <v/>
      </c>
      <c r="JOP19" s="28" t="str">
        <f>IFERROR(VLOOKUP(DATE($K$1,$K$2,JOP$4),Table1[],(MATCH(Calendar!$A19,DB!$1:$1,0)),FALSE),"")</f>
        <v/>
      </c>
      <c r="JOQ19" s="28" t="str">
        <f>IFERROR(VLOOKUP(DATE($K$1,$K$2,JOQ$4),Table1[],(MATCH(Calendar!$A19,DB!$1:$1,0)),FALSE),"")</f>
        <v/>
      </c>
      <c r="JOR19" s="28" t="str">
        <f>IFERROR(VLOOKUP(DATE($K$1,$K$2,JOR$4),Table1[],(MATCH(Calendar!$A19,DB!$1:$1,0)),FALSE),"")</f>
        <v/>
      </c>
      <c r="JOS19" s="28" t="str">
        <f>IFERROR(VLOOKUP(DATE($K$1,$K$2,JOS$4),Table1[],(MATCH(Calendar!$A19,DB!$1:$1,0)),FALSE),"")</f>
        <v/>
      </c>
      <c r="JOT19" s="28" t="str">
        <f>IFERROR(VLOOKUP(DATE($K$1,$K$2,JOT$4),Table1[],(MATCH(Calendar!$A19,DB!$1:$1,0)),FALSE),"")</f>
        <v/>
      </c>
      <c r="JOU19" s="28" t="str">
        <f>IFERROR(VLOOKUP(DATE($K$1,$K$2,JOU$4),Table1[],(MATCH(Calendar!$A19,DB!$1:$1,0)),FALSE),"")</f>
        <v/>
      </c>
      <c r="JOV19" s="28" t="str">
        <f>IFERROR(VLOOKUP(DATE($K$1,$K$2,JOV$4),Table1[],(MATCH(Calendar!$A19,DB!$1:$1,0)),FALSE),"")</f>
        <v/>
      </c>
      <c r="JOW19" s="28" t="str">
        <f>IFERROR(VLOOKUP(DATE($K$1,$K$2,JOW$4),Table1[],(MATCH(Calendar!$A19,DB!$1:$1,0)),FALSE),"")</f>
        <v/>
      </c>
      <c r="JOX19" s="28" t="str">
        <f>IFERROR(VLOOKUP(DATE($K$1,$K$2,JOX$4),Table1[],(MATCH(Calendar!$A19,DB!$1:$1,0)),FALSE),"")</f>
        <v/>
      </c>
      <c r="JOY19" s="28" t="str">
        <f>IFERROR(VLOOKUP(DATE($K$1,$K$2,JOY$4),Table1[],(MATCH(Calendar!$A19,DB!$1:$1,0)),FALSE),"")</f>
        <v/>
      </c>
      <c r="JOZ19" s="28" t="str">
        <f>IFERROR(VLOOKUP(DATE($K$1,$K$2,JOZ$4),Table1[],(MATCH(Calendar!$A19,DB!$1:$1,0)),FALSE),"")</f>
        <v/>
      </c>
      <c r="JPA19" s="28" t="str">
        <f>IFERROR(VLOOKUP(DATE($K$1,$K$2,JPA$4),Table1[],(MATCH(Calendar!$A19,DB!$1:$1,0)),FALSE),"")</f>
        <v/>
      </c>
      <c r="JPB19" s="28" t="str">
        <f>IFERROR(VLOOKUP(DATE($K$1,$K$2,JPB$4),Table1[],(MATCH(Calendar!$A19,DB!$1:$1,0)),FALSE),"")</f>
        <v/>
      </c>
      <c r="JPC19" s="28" t="str">
        <f>IFERROR(VLOOKUP(DATE($K$1,$K$2,JPC$4),Table1[],(MATCH(Calendar!$A19,DB!$1:$1,0)),FALSE),"")</f>
        <v/>
      </c>
      <c r="JPD19" s="28" t="str">
        <f>IFERROR(VLOOKUP(DATE($K$1,$K$2,JPD$4),Table1[],(MATCH(Calendar!$A19,DB!$1:$1,0)),FALSE),"")</f>
        <v/>
      </c>
      <c r="JPE19" s="28" t="str">
        <f>IFERROR(VLOOKUP(DATE($K$1,$K$2,JPE$4),Table1[],(MATCH(Calendar!$A19,DB!$1:$1,0)),FALSE),"")</f>
        <v/>
      </c>
      <c r="JPF19" s="28" t="str">
        <f>IFERROR(VLOOKUP(DATE($K$1,$K$2,JPF$4),Table1[],(MATCH(Calendar!$A19,DB!$1:$1,0)),FALSE),"")</f>
        <v/>
      </c>
      <c r="JPG19" s="28" t="str">
        <f>IFERROR(VLOOKUP(DATE($K$1,$K$2,JPG$4),Table1[],(MATCH(Calendar!$A19,DB!$1:$1,0)),FALSE),"")</f>
        <v/>
      </c>
      <c r="JPH19" s="28" t="str">
        <f>IFERROR(VLOOKUP(DATE($K$1,$K$2,JPH$4),Table1[],(MATCH(Calendar!$A19,DB!$1:$1,0)),FALSE),"")</f>
        <v/>
      </c>
      <c r="JPI19" s="28" t="str">
        <f>IFERROR(VLOOKUP(DATE($K$1,$K$2,JPI$4),Table1[],(MATCH(Calendar!$A19,DB!$1:$1,0)),FALSE),"")</f>
        <v/>
      </c>
      <c r="JPJ19" s="28" t="str">
        <f>IFERROR(VLOOKUP(DATE($K$1,$K$2,JPJ$4),Table1[],(MATCH(Calendar!$A19,DB!$1:$1,0)),FALSE),"")</f>
        <v/>
      </c>
      <c r="JPK19" s="28" t="str">
        <f>IFERROR(VLOOKUP(DATE($K$1,$K$2,JPK$4),Table1[],(MATCH(Calendar!$A19,DB!$1:$1,0)),FALSE),"")</f>
        <v/>
      </c>
      <c r="JPL19" s="28" t="str">
        <f>IFERROR(VLOOKUP(DATE($K$1,$K$2,JPL$4),Table1[],(MATCH(Calendar!$A19,DB!$1:$1,0)),FALSE),"")</f>
        <v/>
      </c>
      <c r="JPM19" s="28" t="str">
        <f>IFERROR(VLOOKUP(DATE($K$1,$K$2,JPM$4),Table1[],(MATCH(Calendar!$A19,DB!$1:$1,0)),FALSE),"")</f>
        <v/>
      </c>
      <c r="JPN19" s="28" t="str">
        <f>IFERROR(VLOOKUP(DATE($K$1,$K$2,JPN$4),Table1[],(MATCH(Calendar!$A19,DB!$1:$1,0)),FALSE),"")</f>
        <v/>
      </c>
      <c r="JPO19" s="28" t="str">
        <f>IFERROR(VLOOKUP(DATE($K$1,$K$2,JPO$4),Table1[],(MATCH(Calendar!$A19,DB!$1:$1,0)),FALSE),"")</f>
        <v/>
      </c>
      <c r="JPP19" s="28" t="str">
        <f>IFERROR(VLOOKUP(DATE($K$1,$K$2,JPP$4),Table1[],(MATCH(Calendar!$A19,DB!$1:$1,0)),FALSE),"")</f>
        <v/>
      </c>
      <c r="JPQ19" s="28" t="str">
        <f>IFERROR(VLOOKUP(DATE($K$1,$K$2,JPQ$4),Table1[],(MATCH(Calendar!$A19,DB!$1:$1,0)),FALSE),"")</f>
        <v/>
      </c>
      <c r="JPR19" s="28" t="str">
        <f>IFERROR(VLOOKUP(DATE($K$1,$K$2,JPR$4),Table1[],(MATCH(Calendar!$A19,DB!$1:$1,0)),FALSE),"")</f>
        <v/>
      </c>
      <c r="JPS19" s="28" t="str">
        <f>IFERROR(VLOOKUP(DATE($K$1,$K$2,JPS$4),Table1[],(MATCH(Calendar!$A19,DB!$1:$1,0)),FALSE),"")</f>
        <v/>
      </c>
      <c r="JPT19" s="28" t="str">
        <f>IFERROR(VLOOKUP(DATE($K$1,$K$2,JPT$4),Table1[],(MATCH(Calendar!$A19,DB!$1:$1,0)),FALSE),"")</f>
        <v/>
      </c>
      <c r="JPU19" s="28" t="str">
        <f>IFERROR(VLOOKUP(DATE($K$1,$K$2,JPU$4),Table1[],(MATCH(Calendar!$A19,DB!$1:$1,0)),FALSE),"")</f>
        <v/>
      </c>
      <c r="JPV19" s="28" t="str">
        <f>IFERROR(VLOOKUP(DATE($K$1,$K$2,JPV$4),Table1[],(MATCH(Calendar!$A19,DB!$1:$1,0)),FALSE),"")</f>
        <v/>
      </c>
      <c r="JPW19" s="28" t="str">
        <f>IFERROR(VLOOKUP(DATE($K$1,$K$2,JPW$4),Table1[],(MATCH(Calendar!$A19,DB!$1:$1,0)),FALSE),"")</f>
        <v/>
      </c>
      <c r="JPX19" s="28" t="str">
        <f>IFERROR(VLOOKUP(DATE($K$1,$K$2,JPX$4),Table1[],(MATCH(Calendar!$A19,DB!$1:$1,0)),FALSE),"")</f>
        <v/>
      </c>
      <c r="JPY19" s="28" t="str">
        <f>IFERROR(VLOOKUP(DATE($K$1,$K$2,JPY$4),Table1[],(MATCH(Calendar!$A19,DB!$1:$1,0)),FALSE),"")</f>
        <v/>
      </c>
      <c r="JPZ19" s="28" t="str">
        <f>IFERROR(VLOOKUP(DATE($K$1,$K$2,JPZ$4),Table1[],(MATCH(Calendar!$A19,DB!$1:$1,0)),FALSE),"")</f>
        <v/>
      </c>
      <c r="JQA19" s="28" t="str">
        <f>IFERROR(VLOOKUP(DATE($K$1,$K$2,JQA$4),Table1[],(MATCH(Calendar!$A19,DB!$1:$1,0)),FALSE),"")</f>
        <v/>
      </c>
      <c r="JQB19" s="28" t="str">
        <f>IFERROR(VLOOKUP(DATE($K$1,$K$2,JQB$4),Table1[],(MATCH(Calendar!$A19,DB!$1:$1,0)),FALSE),"")</f>
        <v/>
      </c>
      <c r="JQC19" s="28" t="str">
        <f>IFERROR(VLOOKUP(DATE($K$1,$K$2,JQC$4),Table1[],(MATCH(Calendar!$A19,DB!$1:$1,0)),FALSE),"")</f>
        <v/>
      </c>
      <c r="JQD19" s="28" t="str">
        <f>IFERROR(VLOOKUP(DATE($K$1,$K$2,JQD$4),Table1[],(MATCH(Calendar!$A19,DB!$1:$1,0)),FALSE),"")</f>
        <v/>
      </c>
      <c r="JQE19" s="28" t="str">
        <f>IFERROR(VLOOKUP(DATE($K$1,$K$2,JQE$4),Table1[],(MATCH(Calendar!$A19,DB!$1:$1,0)),FALSE),"")</f>
        <v/>
      </c>
      <c r="JQF19" s="28" t="str">
        <f>IFERROR(VLOOKUP(DATE($K$1,$K$2,JQF$4),Table1[],(MATCH(Calendar!$A19,DB!$1:$1,0)),FALSE),"")</f>
        <v/>
      </c>
      <c r="JQG19" s="28" t="str">
        <f>IFERROR(VLOOKUP(DATE($K$1,$K$2,JQG$4),Table1[],(MATCH(Calendar!$A19,DB!$1:$1,0)),FALSE),"")</f>
        <v/>
      </c>
      <c r="JQH19" s="28" t="str">
        <f>IFERROR(VLOOKUP(DATE($K$1,$K$2,JQH$4),Table1[],(MATCH(Calendar!$A19,DB!$1:$1,0)),FALSE),"")</f>
        <v/>
      </c>
      <c r="JQI19" s="28" t="str">
        <f>IFERROR(VLOOKUP(DATE($K$1,$K$2,JQI$4),Table1[],(MATCH(Calendar!$A19,DB!$1:$1,0)),FALSE),"")</f>
        <v/>
      </c>
      <c r="JQJ19" s="28" t="str">
        <f>IFERROR(VLOOKUP(DATE($K$1,$K$2,JQJ$4),Table1[],(MATCH(Calendar!$A19,DB!$1:$1,0)),FALSE),"")</f>
        <v/>
      </c>
      <c r="JQK19" s="28" t="str">
        <f>IFERROR(VLOOKUP(DATE($K$1,$K$2,JQK$4),Table1[],(MATCH(Calendar!$A19,DB!$1:$1,0)),FALSE),"")</f>
        <v/>
      </c>
      <c r="JQL19" s="28" t="str">
        <f>IFERROR(VLOOKUP(DATE($K$1,$K$2,JQL$4),Table1[],(MATCH(Calendar!$A19,DB!$1:$1,0)),FALSE),"")</f>
        <v/>
      </c>
      <c r="JQM19" s="28" t="str">
        <f>IFERROR(VLOOKUP(DATE($K$1,$K$2,JQM$4),Table1[],(MATCH(Calendar!$A19,DB!$1:$1,0)),FALSE),"")</f>
        <v/>
      </c>
      <c r="JQN19" s="28" t="str">
        <f>IFERROR(VLOOKUP(DATE($K$1,$K$2,JQN$4),Table1[],(MATCH(Calendar!$A19,DB!$1:$1,0)),FALSE),"")</f>
        <v/>
      </c>
      <c r="JQO19" s="28" t="str">
        <f>IFERROR(VLOOKUP(DATE($K$1,$K$2,JQO$4),Table1[],(MATCH(Calendar!$A19,DB!$1:$1,0)),FALSE),"")</f>
        <v/>
      </c>
      <c r="JQP19" s="28" t="str">
        <f>IFERROR(VLOOKUP(DATE($K$1,$K$2,JQP$4),Table1[],(MATCH(Calendar!$A19,DB!$1:$1,0)),FALSE),"")</f>
        <v/>
      </c>
      <c r="JQQ19" s="28" t="str">
        <f>IFERROR(VLOOKUP(DATE($K$1,$K$2,JQQ$4),Table1[],(MATCH(Calendar!$A19,DB!$1:$1,0)),FALSE),"")</f>
        <v/>
      </c>
      <c r="JQR19" s="28" t="str">
        <f>IFERROR(VLOOKUP(DATE($K$1,$K$2,JQR$4),Table1[],(MATCH(Calendar!$A19,DB!$1:$1,0)),FALSE),"")</f>
        <v/>
      </c>
      <c r="JQS19" s="28" t="str">
        <f>IFERROR(VLOOKUP(DATE($K$1,$K$2,JQS$4),Table1[],(MATCH(Calendar!$A19,DB!$1:$1,0)),FALSE),"")</f>
        <v/>
      </c>
      <c r="JQT19" s="28" t="str">
        <f>IFERROR(VLOOKUP(DATE($K$1,$K$2,JQT$4),Table1[],(MATCH(Calendar!$A19,DB!$1:$1,0)),FALSE),"")</f>
        <v/>
      </c>
      <c r="JQU19" s="28" t="str">
        <f>IFERROR(VLOOKUP(DATE($K$1,$K$2,JQU$4),Table1[],(MATCH(Calendar!$A19,DB!$1:$1,0)),FALSE),"")</f>
        <v/>
      </c>
      <c r="JQV19" s="28" t="str">
        <f>IFERROR(VLOOKUP(DATE($K$1,$K$2,JQV$4),Table1[],(MATCH(Calendar!$A19,DB!$1:$1,0)),FALSE),"")</f>
        <v/>
      </c>
      <c r="JQW19" s="28" t="str">
        <f>IFERROR(VLOOKUP(DATE($K$1,$K$2,JQW$4),Table1[],(MATCH(Calendar!$A19,DB!$1:$1,0)),FALSE),"")</f>
        <v/>
      </c>
      <c r="JQX19" s="28" t="str">
        <f>IFERROR(VLOOKUP(DATE($K$1,$K$2,JQX$4),Table1[],(MATCH(Calendar!$A19,DB!$1:$1,0)),FALSE),"")</f>
        <v/>
      </c>
      <c r="JQY19" s="28" t="str">
        <f>IFERROR(VLOOKUP(DATE($K$1,$K$2,JQY$4),Table1[],(MATCH(Calendar!$A19,DB!$1:$1,0)),FALSE),"")</f>
        <v/>
      </c>
      <c r="JQZ19" s="28" t="str">
        <f>IFERROR(VLOOKUP(DATE($K$1,$K$2,JQZ$4),Table1[],(MATCH(Calendar!$A19,DB!$1:$1,0)),FALSE),"")</f>
        <v/>
      </c>
      <c r="JRA19" s="28" t="str">
        <f>IFERROR(VLOOKUP(DATE($K$1,$K$2,JRA$4),Table1[],(MATCH(Calendar!$A19,DB!$1:$1,0)),FALSE),"")</f>
        <v/>
      </c>
      <c r="JRB19" s="28" t="str">
        <f>IFERROR(VLOOKUP(DATE($K$1,$K$2,JRB$4),Table1[],(MATCH(Calendar!$A19,DB!$1:$1,0)),FALSE),"")</f>
        <v/>
      </c>
      <c r="JRC19" s="28" t="str">
        <f>IFERROR(VLOOKUP(DATE($K$1,$K$2,JRC$4),Table1[],(MATCH(Calendar!$A19,DB!$1:$1,0)),FALSE),"")</f>
        <v/>
      </c>
      <c r="JRD19" s="28" t="str">
        <f>IFERROR(VLOOKUP(DATE($K$1,$K$2,JRD$4),Table1[],(MATCH(Calendar!$A19,DB!$1:$1,0)),FALSE),"")</f>
        <v/>
      </c>
      <c r="JRE19" s="28" t="str">
        <f>IFERROR(VLOOKUP(DATE($K$1,$K$2,JRE$4),Table1[],(MATCH(Calendar!$A19,DB!$1:$1,0)),FALSE),"")</f>
        <v/>
      </c>
      <c r="JRF19" s="28" t="str">
        <f>IFERROR(VLOOKUP(DATE($K$1,$K$2,JRF$4),Table1[],(MATCH(Calendar!$A19,DB!$1:$1,0)),FALSE),"")</f>
        <v/>
      </c>
      <c r="JRG19" s="28" t="str">
        <f>IFERROR(VLOOKUP(DATE($K$1,$K$2,JRG$4),Table1[],(MATCH(Calendar!$A19,DB!$1:$1,0)),FALSE),"")</f>
        <v/>
      </c>
      <c r="JRH19" s="28" t="str">
        <f>IFERROR(VLOOKUP(DATE($K$1,$K$2,JRH$4),Table1[],(MATCH(Calendar!$A19,DB!$1:$1,0)),FALSE),"")</f>
        <v/>
      </c>
      <c r="JRI19" s="28" t="str">
        <f>IFERROR(VLOOKUP(DATE($K$1,$K$2,JRI$4),Table1[],(MATCH(Calendar!$A19,DB!$1:$1,0)),FALSE),"")</f>
        <v/>
      </c>
      <c r="JRJ19" s="28" t="str">
        <f>IFERROR(VLOOKUP(DATE($K$1,$K$2,JRJ$4),Table1[],(MATCH(Calendar!$A19,DB!$1:$1,0)),FALSE),"")</f>
        <v/>
      </c>
      <c r="JRK19" s="28" t="str">
        <f>IFERROR(VLOOKUP(DATE($K$1,$K$2,JRK$4),Table1[],(MATCH(Calendar!$A19,DB!$1:$1,0)),FALSE),"")</f>
        <v/>
      </c>
      <c r="JRL19" s="28" t="str">
        <f>IFERROR(VLOOKUP(DATE($K$1,$K$2,JRL$4),Table1[],(MATCH(Calendar!$A19,DB!$1:$1,0)),FALSE),"")</f>
        <v/>
      </c>
      <c r="JRM19" s="28" t="str">
        <f>IFERROR(VLOOKUP(DATE($K$1,$K$2,JRM$4),Table1[],(MATCH(Calendar!$A19,DB!$1:$1,0)),FALSE),"")</f>
        <v/>
      </c>
      <c r="JRN19" s="28" t="str">
        <f>IFERROR(VLOOKUP(DATE($K$1,$K$2,JRN$4),Table1[],(MATCH(Calendar!$A19,DB!$1:$1,0)),FALSE),"")</f>
        <v/>
      </c>
      <c r="JRO19" s="28" t="str">
        <f>IFERROR(VLOOKUP(DATE($K$1,$K$2,JRO$4),Table1[],(MATCH(Calendar!$A19,DB!$1:$1,0)),FALSE),"")</f>
        <v/>
      </c>
      <c r="JRP19" s="28" t="str">
        <f>IFERROR(VLOOKUP(DATE($K$1,$K$2,JRP$4),Table1[],(MATCH(Calendar!$A19,DB!$1:$1,0)),FALSE),"")</f>
        <v/>
      </c>
      <c r="JRQ19" s="28" t="str">
        <f>IFERROR(VLOOKUP(DATE($K$1,$K$2,JRQ$4),Table1[],(MATCH(Calendar!$A19,DB!$1:$1,0)),FALSE),"")</f>
        <v/>
      </c>
      <c r="JRR19" s="28" t="str">
        <f>IFERROR(VLOOKUP(DATE($K$1,$K$2,JRR$4),Table1[],(MATCH(Calendar!$A19,DB!$1:$1,0)),FALSE),"")</f>
        <v/>
      </c>
      <c r="JRS19" s="28" t="str">
        <f>IFERROR(VLOOKUP(DATE($K$1,$K$2,JRS$4),Table1[],(MATCH(Calendar!$A19,DB!$1:$1,0)),FALSE),"")</f>
        <v/>
      </c>
      <c r="JRT19" s="28" t="str">
        <f>IFERROR(VLOOKUP(DATE($K$1,$K$2,JRT$4),Table1[],(MATCH(Calendar!$A19,DB!$1:$1,0)),FALSE),"")</f>
        <v/>
      </c>
      <c r="JRU19" s="28" t="str">
        <f>IFERROR(VLOOKUP(DATE($K$1,$K$2,JRU$4),Table1[],(MATCH(Calendar!$A19,DB!$1:$1,0)),FALSE),"")</f>
        <v/>
      </c>
      <c r="JRV19" s="28" t="str">
        <f>IFERROR(VLOOKUP(DATE($K$1,$K$2,JRV$4),Table1[],(MATCH(Calendar!$A19,DB!$1:$1,0)),FALSE),"")</f>
        <v/>
      </c>
      <c r="JRW19" s="28" t="str">
        <f>IFERROR(VLOOKUP(DATE($K$1,$K$2,JRW$4),Table1[],(MATCH(Calendar!$A19,DB!$1:$1,0)),FALSE),"")</f>
        <v/>
      </c>
      <c r="JRX19" s="28" t="str">
        <f>IFERROR(VLOOKUP(DATE($K$1,$K$2,JRX$4),Table1[],(MATCH(Calendar!$A19,DB!$1:$1,0)),FALSE),"")</f>
        <v/>
      </c>
      <c r="JRY19" s="28" t="str">
        <f>IFERROR(VLOOKUP(DATE($K$1,$K$2,JRY$4),Table1[],(MATCH(Calendar!$A19,DB!$1:$1,0)),FALSE),"")</f>
        <v/>
      </c>
      <c r="JRZ19" s="28" t="str">
        <f>IFERROR(VLOOKUP(DATE($K$1,$K$2,JRZ$4),Table1[],(MATCH(Calendar!$A19,DB!$1:$1,0)),FALSE),"")</f>
        <v/>
      </c>
      <c r="JSA19" s="28" t="str">
        <f>IFERROR(VLOOKUP(DATE($K$1,$K$2,JSA$4),Table1[],(MATCH(Calendar!$A19,DB!$1:$1,0)),FALSE),"")</f>
        <v/>
      </c>
      <c r="JSB19" s="28" t="str">
        <f>IFERROR(VLOOKUP(DATE($K$1,$K$2,JSB$4),Table1[],(MATCH(Calendar!$A19,DB!$1:$1,0)),FALSE),"")</f>
        <v/>
      </c>
      <c r="JSC19" s="28" t="str">
        <f>IFERROR(VLOOKUP(DATE($K$1,$K$2,JSC$4),Table1[],(MATCH(Calendar!$A19,DB!$1:$1,0)),FALSE),"")</f>
        <v/>
      </c>
      <c r="JSD19" s="28" t="str">
        <f>IFERROR(VLOOKUP(DATE($K$1,$K$2,JSD$4),Table1[],(MATCH(Calendar!$A19,DB!$1:$1,0)),FALSE),"")</f>
        <v/>
      </c>
      <c r="JSE19" s="28" t="str">
        <f>IFERROR(VLOOKUP(DATE($K$1,$K$2,JSE$4),Table1[],(MATCH(Calendar!$A19,DB!$1:$1,0)),FALSE),"")</f>
        <v/>
      </c>
      <c r="JSF19" s="28" t="str">
        <f>IFERROR(VLOOKUP(DATE($K$1,$K$2,JSF$4),Table1[],(MATCH(Calendar!$A19,DB!$1:$1,0)),FALSE),"")</f>
        <v/>
      </c>
      <c r="JSG19" s="28" t="str">
        <f>IFERROR(VLOOKUP(DATE($K$1,$K$2,JSG$4),Table1[],(MATCH(Calendar!$A19,DB!$1:$1,0)),FALSE),"")</f>
        <v/>
      </c>
      <c r="JSH19" s="28" t="str">
        <f>IFERROR(VLOOKUP(DATE($K$1,$K$2,JSH$4),Table1[],(MATCH(Calendar!$A19,DB!$1:$1,0)),FALSE),"")</f>
        <v/>
      </c>
      <c r="JSI19" s="28" t="str">
        <f>IFERROR(VLOOKUP(DATE($K$1,$K$2,JSI$4),Table1[],(MATCH(Calendar!$A19,DB!$1:$1,0)),FALSE),"")</f>
        <v/>
      </c>
      <c r="JSJ19" s="28" t="str">
        <f>IFERROR(VLOOKUP(DATE($K$1,$K$2,JSJ$4),Table1[],(MATCH(Calendar!$A19,DB!$1:$1,0)),FALSE),"")</f>
        <v/>
      </c>
      <c r="JSK19" s="28" t="str">
        <f>IFERROR(VLOOKUP(DATE($K$1,$K$2,JSK$4),Table1[],(MATCH(Calendar!$A19,DB!$1:$1,0)),FALSE),"")</f>
        <v/>
      </c>
      <c r="JSL19" s="28" t="str">
        <f>IFERROR(VLOOKUP(DATE($K$1,$K$2,JSL$4),Table1[],(MATCH(Calendar!$A19,DB!$1:$1,0)),FALSE),"")</f>
        <v/>
      </c>
      <c r="JSM19" s="28" t="str">
        <f>IFERROR(VLOOKUP(DATE($K$1,$K$2,JSM$4),Table1[],(MATCH(Calendar!$A19,DB!$1:$1,0)),FALSE),"")</f>
        <v/>
      </c>
      <c r="JSN19" s="28" t="str">
        <f>IFERROR(VLOOKUP(DATE($K$1,$K$2,JSN$4),Table1[],(MATCH(Calendar!$A19,DB!$1:$1,0)),FALSE),"")</f>
        <v/>
      </c>
      <c r="JSO19" s="28" t="str">
        <f>IFERROR(VLOOKUP(DATE($K$1,$K$2,JSO$4),Table1[],(MATCH(Calendar!$A19,DB!$1:$1,0)),FALSE),"")</f>
        <v/>
      </c>
      <c r="JSP19" s="28" t="str">
        <f>IFERROR(VLOOKUP(DATE($K$1,$K$2,JSP$4),Table1[],(MATCH(Calendar!$A19,DB!$1:$1,0)),FALSE),"")</f>
        <v/>
      </c>
      <c r="JSQ19" s="28" t="str">
        <f>IFERROR(VLOOKUP(DATE($K$1,$K$2,JSQ$4),Table1[],(MATCH(Calendar!$A19,DB!$1:$1,0)),FALSE),"")</f>
        <v/>
      </c>
      <c r="JSR19" s="28" t="str">
        <f>IFERROR(VLOOKUP(DATE($K$1,$K$2,JSR$4),Table1[],(MATCH(Calendar!$A19,DB!$1:$1,0)),FALSE),"")</f>
        <v/>
      </c>
      <c r="JSS19" s="28" t="str">
        <f>IFERROR(VLOOKUP(DATE($K$1,$K$2,JSS$4),Table1[],(MATCH(Calendar!$A19,DB!$1:$1,0)),FALSE),"")</f>
        <v/>
      </c>
      <c r="JST19" s="28" t="str">
        <f>IFERROR(VLOOKUP(DATE($K$1,$K$2,JST$4),Table1[],(MATCH(Calendar!$A19,DB!$1:$1,0)),FALSE),"")</f>
        <v/>
      </c>
      <c r="JSU19" s="28" t="str">
        <f>IFERROR(VLOOKUP(DATE($K$1,$K$2,JSU$4),Table1[],(MATCH(Calendar!$A19,DB!$1:$1,0)),FALSE),"")</f>
        <v/>
      </c>
      <c r="JSV19" s="28" t="str">
        <f>IFERROR(VLOOKUP(DATE($K$1,$K$2,JSV$4),Table1[],(MATCH(Calendar!$A19,DB!$1:$1,0)),FALSE),"")</f>
        <v/>
      </c>
      <c r="JSW19" s="28" t="str">
        <f>IFERROR(VLOOKUP(DATE($K$1,$K$2,JSW$4),Table1[],(MATCH(Calendar!$A19,DB!$1:$1,0)),FALSE),"")</f>
        <v/>
      </c>
      <c r="JSX19" s="28" t="str">
        <f>IFERROR(VLOOKUP(DATE($K$1,$K$2,JSX$4),Table1[],(MATCH(Calendar!$A19,DB!$1:$1,0)),FALSE),"")</f>
        <v/>
      </c>
      <c r="JSY19" s="28" t="str">
        <f>IFERROR(VLOOKUP(DATE($K$1,$K$2,JSY$4),Table1[],(MATCH(Calendar!$A19,DB!$1:$1,0)),FALSE),"")</f>
        <v/>
      </c>
      <c r="JSZ19" s="28" t="str">
        <f>IFERROR(VLOOKUP(DATE($K$1,$K$2,JSZ$4),Table1[],(MATCH(Calendar!$A19,DB!$1:$1,0)),FALSE),"")</f>
        <v/>
      </c>
      <c r="JTA19" s="28" t="str">
        <f>IFERROR(VLOOKUP(DATE($K$1,$K$2,JTA$4),Table1[],(MATCH(Calendar!$A19,DB!$1:$1,0)),FALSE),"")</f>
        <v/>
      </c>
      <c r="JTB19" s="28" t="str">
        <f>IFERROR(VLOOKUP(DATE($K$1,$K$2,JTB$4),Table1[],(MATCH(Calendar!$A19,DB!$1:$1,0)),FALSE),"")</f>
        <v/>
      </c>
      <c r="JTC19" s="28" t="str">
        <f>IFERROR(VLOOKUP(DATE($K$1,$K$2,JTC$4),Table1[],(MATCH(Calendar!$A19,DB!$1:$1,0)),FALSE),"")</f>
        <v/>
      </c>
      <c r="JTD19" s="28" t="str">
        <f>IFERROR(VLOOKUP(DATE($K$1,$K$2,JTD$4),Table1[],(MATCH(Calendar!$A19,DB!$1:$1,0)),FALSE),"")</f>
        <v/>
      </c>
      <c r="JTE19" s="28" t="str">
        <f>IFERROR(VLOOKUP(DATE($K$1,$K$2,JTE$4),Table1[],(MATCH(Calendar!$A19,DB!$1:$1,0)),FALSE),"")</f>
        <v/>
      </c>
      <c r="JTF19" s="28" t="str">
        <f>IFERROR(VLOOKUP(DATE($K$1,$K$2,JTF$4),Table1[],(MATCH(Calendar!$A19,DB!$1:$1,0)),FALSE),"")</f>
        <v/>
      </c>
      <c r="JTG19" s="28" t="str">
        <f>IFERROR(VLOOKUP(DATE($K$1,$K$2,JTG$4),Table1[],(MATCH(Calendar!$A19,DB!$1:$1,0)),FALSE),"")</f>
        <v/>
      </c>
      <c r="JTH19" s="28" t="str">
        <f>IFERROR(VLOOKUP(DATE($K$1,$K$2,JTH$4),Table1[],(MATCH(Calendar!$A19,DB!$1:$1,0)),FALSE),"")</f>
        <v/>
      </c>
      <c r="JTI19" s="28" t="str">
        <f>IFERROR(VLOOKUP(DATE($K$1,$K$2,JTI$4),Table1[],(MATCH(Calendar!$A19,DB!$1:$1,0)),FALSE),"")</f>
        <v/>
      </c>
      <c r="JTJ19" s="28" t="str">
        <f>IFERROR(VLOOKUP(DATE($K$1,$K$2,JTJ$4),Table1[],(MATCH(Calendar!$A19,DB!$1:$1,0)),FALSE),"")</f>
        <v/>
      </c>
      <c r="JTK19" s="28" t="str">
        <f>IFERROR(VLOOKUP(DATE($K$1,$K$2,JTK$4),Table1[],(MATCH(Calendar!$A19,DB!$1:$1,0)),FALSE),"")</f>
        <v/>
      </c>
      <c r="JTL19" s="28" t="str">
        <f>IFERROR(VLOOKUP(DATE($K$1,$K$2,JTL$4),Table1[],(MATCH(Calendar!$A19,DB!$1:$1,0)),FALSE),"")</f>
        <v/>
      </c>
      <c r="JTM19" s="28" t="str">
        <f>IFERROR(VLOOKUP(DATE($K$1,$K$2,JTM$4),Table1[],(MATCH(Calendar!$A19,DB!$1:$1,0)),FALSE),"")</f>
        <v/>
      </c>
      <c r="JTN19" s="28" t="str">
        <f>IFERROR(VLOOKUP(DATE($K$1,$K$2,JTN$4),Table1[],(MATCH(Calendar!$A19,DB!$1:$1,0)),FALSE),"")</f>
        <v/>
      </c>
      <c r="JTO19" s="28" t="str">
        <f>IFERROR(VLOOKUP(DATE($K$1,$K$2,JTO$4),Table1[],(MATCH(Calendar!$A19,DB!$1:$1,0)),FALSE),"")</f>
        <v/>
      </c>
      <c r="JTP19" s="28" t="str">
        <f>IFERROR(VLOOKUP(DATE($K$1,$K$2,JTP$4),Table1[],(MATCH(Calendar!$A19,DB!$1:$1,0)),FALSE),"")</f>
        <v/>
      </c>
      <c r="JTQ19" s="28" t="str">
        <f>IFERROR(VLOOKUP(DATE($K$1,$K$2,JTQ$4),Table1[],(MATCH(Calendar!$A19,DB!$1:$1,0)),FALSE),"")</f>
        <v/>
      </c>
      <c r="JTR19" s="28" t="str">
        <f>IFERROR(VLOOKUP(DATE($K$1,$K$2,JTR$4),Table1[],(MATCH(Calendar!$A19,DB!$1:$1,0)),FALSE),"")</f>
        <v/>
      </c>
      <c r="JTS19" s="28" t="str">
        <f>IFERROR(VLOOKUP(DATE($K$1,$K$2,JTS$4),Table1[],(MATCH(Calendar!$A19,DB!$1:$1,0)),FALSE),"")</f>
        <v/>
      </c>
      <c r="JTT19" s="28" t="str">
        <f>IFERROR(VLOOKUP(DATE($K$1,$K$2,JTT$4),Table1[],(MATCH(Calendar!$A19,DB!$1:$1,0)),FALSE),"")</f>
        <v/>
      </c>
      <c r="JTU19" s="28" t="str">
        <f>IFERROR(VLOOKUP(DATE($K$1,$K$2,JTU$4),Table1[],(MATCH(Calendar!$A19,DB!$1:$1,0)),FALSE),"")</f>
        <v/>
      </c>
      <c r="JTV19" s="28" t="str">
        <f>IFERROR(VLOOKUP(DATE($K$1,$K$2,JTV$4),Table1[],(MATCH(Calendar!$A19,DB!$1:$1,0)),FALSE),"")</f>
        <v/>
      </c>
      <c r="JTW19" s="28" t="str">
        <f>IFERROR(VLOOKUP(DATE($K$1,$K$2,JTW$4),Table1[],(MATCH(Calendar!$A19,DB!$1:$1,0)),FALSE),"")</f>
        <v/>
      </c>
      <c r="JTX19" s="28" t="str">
        <f>IFERROR(VLOOKUP(DATE($K$1,$K$2,JTX$4),Table1[],(MATCH(Calendar!$A19,DB!$1:$1,0)),FALSE),"")</f>
        <v/>
      </c>
      <c r="JTY19" s="28" t="str">
        <f>IFERROR(VLOOKUP(DATE($K$1,$K$2,JTY$4),Table1[],(MATCH(Calendar!$A19,DB!$1:$1,0)),FALSE),"")</f>
        <v/>
      </c>
      <c r="JTZ19" s="28" t="str">
        <f>IFERROR(VLOOKUP(DATE($K$1,$K$2,JTZ$4),Table1[],(MATCH(Calendar!$A19,DB!$1:$1,0)),FALSE),"")</f>
        <v/>
      </c>
      <c r="JUA19" s="28" t="str">
        <f>IFERROR(VLOOKUP(DATE($K$1,$K$2,JUA$4),Table1[],(MATCH(Calendar!$A19,DB!$1:$1,0)),FALSE),"")</f>
        <v/>
      </c>
      <c r="JUB19" s="28" t="str">
        <f>IFERROR(VLOOKUP(DATE($K$1,$K$2,JUB$4),Table1[],(MATCH(Calendar!$A19,DB!$1:$1,0)),FALSE),"")</f>
        <v/>
      </c>
      <c r="JUC19" s="28" t="str">
        <f>IFERROR(VLOOKUP(DATE($K$1,$K$2,JUC$4),Table1[],(MATCH(Calendar!$A19,DB!$1:$1,0)),FALSE),"")</f>
        <v/>
      </c>
      <c r="JUD19" s="28" t="str">
        <f>IFERROR(VLOOKUP(DATE($K$1,$K$2,JUD$4),Table1[],(MATCH(Calendar!$A19,DB!$1:$1,0)),FALSE),"")</f>
        <v/>
      </c>
      <c r="JUE19" s="28" t="str">
        <f>IFERROR(VLOOKUP(DATE($K$1,$K$2,JUE$4),Table1[],(MATCH(Calendar!$A19,DB!$1:$1,0)),FALSE),"")</f>
        <v/>
      </c>
      <c r="JUF19" s="28" t="str">
        <f>IFERROR(VLOOKUP(DATE($K$1,$K$2,JUF$4),Table1[],(MATCH(Calendar!$A19,DB!$1:$1,0)),FALSE),"")</f>
        <v/>
      </c>
      <c r="JUG19" s="28" t="str">
        <f>IFERROR(VLOOKUP(DATE($K$1,$K$2,JUG$4),Table1[],(MATCH(Calendar!$A19,DB!$1:$1,0)),FALSE),"")</f>
        <v/>
      </c>
      <c r="JUH19" s="28" t="str">
        <f>IFERROR(VLOOKUP(DATE($K$1,$K$2,JUH$4),Table1[],(MATCH(Calendar!$A19,DB!$1:$1,0)),FALSE),"")</f>
        <v/>
      </c>
      <c r="JUI19" s="28" t="str">
        <f>IFERROR(VLOOKUP(DATE($K$1,$K$2,JUI$4),Table1[],(MATCH(Calendar!$A19,DB!$1:$1,0)),FALSE),"")</f>
        <v/>
      </c>
      <c r="JUJ19" s="28" t="str">
        <f>IFERROR(VLOOKUP(DATE($K$1,$K$2,JUJ$4),Table1[],(MATCH(Calendar!$A19,DB!$1:$1,0)),FALSE),"")</f>
        <v/>
      </c>
      <c r="JUK19" s="28" t="str">
        <f>IFERROR(VLOOKUP(DATE($K$1,$K$2,JUK$4),Table1[],(MATCH(Calendar!$A19,DB!$1:$1,0)),FALSE),"")</f>
        <v/>
      </c>
      <c r="JUL19" s="28" t="str">
        <f>IFERROR(VLOOKUP(DATE($K$1,$K$2,JUL$4),Table1[],(MATCH(Calendar!$A19,DB!$1:$1,0)),FALSE),"")</f>
        <v/>
      </c>
      <c r="JUM19" s="28" t="str">
        <f>IFERROR(VLOOKUP(DATE($K$1,$K$2,JUM$4),Table1[],(MATCH(Calendar!$A19,DB!$1:$1,0)),FALSE),"")</f>
        <v/>
      </c>
      <c r="JUN19" s="28" t="str">
        <f>IFERROR(VLOOKUP(DATE($K$1,$K$2,JUN$4),Table1[],(MATCH(Calendar!$A19,DB!$1:$1,0)),FALSE),"")</f>
        <v/>
      </c>
      <c r="JUO19" s="28" t="str">
        <f>IFERROR(VLOOKUP(DATE($K$1,$K$2,JUO$4),Table1[],(MATCH(Calendar!$A19,DB!$1:$1,0)),FALSE),"")</f>
        <v/>
      </c>
      <c r="JUP19" s="28" t="str">
        <f>IFERROR(VLOOKUP(DATE($K$1,$K$2,JUP$4),Table1[],(MATCH(Calendar!$A19,DB!$1:$1,0)),FALSE),"")</f>
        <v/>
      </c>
      <c r="JUQ19" s="28" t="str">
        <f>IFERROR(VLOOKUP(DATE($K$1,$K$2,JUQ$4),Table1[],(MATCH(Calendar!$A19,DB!$1:$1,0)),FALSE),"")</f>
        <v/>
      </c>
      <c r="JUR19" s="28" t="str">
        <f>IFERROR(VLOOKUP(DATE($K$1,$K$2,JUR$4),Table1[],(MATCH(Calendar!$A19,DB!$1:$1,0)),FALSE),"")</f>
        <v/>
      </c>
      <c r="JUS19" s="28" t="str">
        <f>IFERROR(VLOOKUP(DATE($K$1,$K$2,JUS$4),Table1[],(MATCH(Calendar!$A19,DB!$1:$1,0)),FALSE),"")</f>
        <v/>
      </c>
      <c r="JUT19" s="28" t="str">
        <f>IFERROR(VLOOKUP(DATE($K$1,$K$2,JUT$4),Table1[],(MATCH(Calendar!$A19,DB!$1:$1,0)),FALSE),"")</f>
        <v/>
      </c>
      <c r="JUU19" s="28" t="str">
        <f>IFERROR(VLOOKUP(DATE($K$1,$K$2,JUU$4),Table1[],(MATCH(Calendar!$A19,DB!$1:$1,0)),FALSE),"")</f>
        <v/>
      </c>
      <c r="JUV19" s="28" t="str">
        <f>IFERROR(VLOOKUP(DATE($K$1,$K$2,JUV$4),Table1[],(MATCH(Calendar!$A19,DB!$1:$1,0)),FALSE),"")</f>
        <v/>
      </c>
      <c r="JUW19" s="28" t="str">
        <f>IFERROR(VLOOKUP(DATE($K$1,$K$2,JUW$4),Table1[],(MATCH(Calendar!$A19,DB!$1:$1,0)),FALSE),"")</f>
        <v/>
      </c>
      <c r="JUX19" s="28" t="str">
        <f>IFERROR(VLOOKUP(DATE($K$1,$K$2,JUX$4),Table1[],(MATCH(Calendar!$A19,DB!$1:$1,0)),FALSE),"")</f>
        <v/>
      </c>
      <c r="JUY19" s="28" t="str">
        <f>IFERROR(VLOOKUP(DATE($K$1,$K$2,JUY$4),Table1[],(MATCH(Calendar!$A19,DB!$1:$1,0)),FALSE),"")</f>
        <v/>
      </c>
      <c r="JUZ19" s="28" t="str">
        <f>IFERROR(VLOOKUP(DATE($K$1,$K$2,JUZ$4),Table1[],(MATCH(Calendar!$A19,DB!$1:$1,0)),FALSE),"")</f>
        <v/>
      </c>
      <c r="JVA19" s="28" t="str">
        <f>IFERROR(VLOOKUP(DATE($K$1,$K$2,JVA$4),Table1[],(MATCH(Calendar!$A19,DB!$1:$1,0)),FALSE),"")</f>
        <v/>
      </c>
      <c r="JVB19" s="28" t="str">
        <f>IFERROR(VLOOKUP(DATE($K$1,$K$2,JVB$4),Table1[],(MATCH(Calendar!$A19,DB!$1:$1,0)),FALSE),"")</f>
        <v/>
      </c>
      <c r="JVC19" s="28" t="str">
        <f>IFERROR(VLOOKUP(DATE($K$1,$K$2,JVC$4),Table1[],(MATCH(Calendar!$A19,DB!$1:$1,0)),FALSE),"")</f>
        <v/>
      </c>
      <c r="JVD19" s="28" t="str">
        <f>IFERROR(VLOOKUP(DATE($K$1,$K$2,JVD$4),Table1[],(MATCH(Calendar!$A19,DB!$1:$1,0)),FALSE),"")</f>
        <v/>
      </c>
      <c r="JVE19" s="28" t="str">
        <f>IFERROR(VLOOKUP(DATE($K$1,$K$2,JVE$4),Table1[],(MATCH(Calendar!$A19,DB!$1:$1,0)),FALSE),"")</f>
        <v/>
      </c>
      <c r="JVF19" s="28" t="str">
        <f>IFERROR(VLOOKUP(DATE($K$1,$K$2,JVF$4),Table1[],(MATCH(Calendar!$A19,DB!$1:$1,0)),FALSE),"")</f>
        <v/>
      </c>
      <c r="JVG19" s="28" t="str">
        <f>IFERROR(VLOOKUP(DATE($K$1,$K$2,JVG$4),Table1[],(MATCH(Calendar!$A19,DB!$1:$1,0)),FALSE),"")</f>
        <v/>
      </c>
      <c r="JVH19" s="28" t="str">
        <f>IFERROR(VLOOKUP(DATE($K$1,$K$2,JVH$4),Table1[],(MATCH(Calendar!$A19,DB!$1:$1,0)),FALSE),"")</f>
        <v/>
      </c>
      <c r="JVI19" s="28" t="str">
        <f>IFERROR(VLOOKUP(DATE($K$1,$K$2,JVI$4),Table1[],(MATCH(Calendar!$A19,DB!$1:$1,0)),FALSE),"")</f>
        <v/>
      </c>
      <c r="JVJ19" s="28" t="str">
        <f>IFERROR(VLOOKUP(DATE($K$1,$K$2,JVJ$4),Table1[],(MATCH(Calendar!$A19,DB!$1:$1,0)),FALSE),"")</f>
        <v/>
      </c>
      <c r="JVK19" s="28" t="str">
        <f>IFERROR(VLOOKUP(DATE($K$1,$K$2,JVK$4),Table1[],(MATCH(Calendar!$A19,DB!$1:$1,0)),FALSE),"")</f>
        <v/>
      </c>
      <c r="JVL19" s="28" t="str">
        <f>IFERROR(VLOOKUP(DATE($K$1,$K$2,JVL$4),Table1[],(MATCH(Calendar!$A19,DB!$1:$1,0)),FALSE),"")</f>
        <v/>
      </c>
      <c r="JVM19" s="28" t="str">
        <f>IFERROR(VLOOKUP(DATE($K$1,$K$2,JVM$4),Table1[],(MATCH(Calendar!$A19,DB!$1:$1,0)),FALSE),"")</f>
        <v/>
      </c>
      <c r="JVN19" s="28" t="str">
        <f>IFERROR(VLOOKUP(DATE($K$1,$K$2,JVN$4),Table1[],(MATCH(Calendar!$A19,DB!$1:$1,0)),FALSE),"")</f>
        <v/>
      </c>
      <c r="JVO19" s="28" t="str">
        <f>IFERROR(VLOOKUP(DATE($K$1,$K$2,JVO$4),Table1[],(MATCH(Calendar!$A19,DB!$1:$1,0)),FALSE),"")</f>
        <v/>
      </c>
      <c r="JVP19" s="28" t="str">
        <f>IFERROR(VLOOKUP(DATE($K$1,$K$2,JVP$4),Table1[],(MATCH(Calendar!$A19,DB!$1:$1,0)),FALSE),"")</f>
        <v/>
      </c>
      <c r="JVQ19" s="28" t="str">
        <f>IFERROR(VLOOKUP(DATE($K$1,$K$2,JVQ$4),Table1[],(MATCH(Calendar!$A19,DB!$1:$1,0)),FALSE),"")</f>
        <v/>
      </c>
      <c r="JVR19" s="28" t="str">
        <f>IFERROR(VLOOKUP(DATE($K$1,$K$2,JVR$4),Table1[],(MATCH(Calendar!$A19,DB!$1:$1,0)),FALSE),"")</f>
        <v/>
      </c>
      <c r="JVS19" s="28" t="str">
        <f>IFERROR(VLOOKUP(DATE($K$1,$K$2,JVS$4),Table1[],(MATCH(Calendar!$A19,DB!$1:$1,0)),FALSE),"")</f>
        <v/>
      </c>
      <c r="JVT19" s="28" t="str">
        <f>IFERROR(VLOOKUP(DATE($K$1,$K$2,JVT$4),Table1[],(MATCH(Calendar!$A19,DB!$1:$1,0)),FALSE),"")</f>
        <v/>
      </c>
      <c r="JVU19" s="28" t="str">
        <f>IFERROR(VLOOKUP(DATE($K$1,$K$2,JVU$4),Table1[],(MATCH(Calendar!$A19,DB!$1:$1,0)),FALSE),"")</f>
        <v/>
      </c>
      <c r="JVV19" s="28" t="str">
        <f>IFERROR(VLOOKUP(DATE($K$1,$K$2,JVV$4),Table1[],(MATCH(Calendar!$A19,DB!$1:$1,0)),FALSE),"")</f>
        <v/>
      </c>
      <c r="JVW19" s="28" t="str">
        <f>IFERROR(VLOOKUP(DATE($K$1,$K$2,JVW$4),Table1[],(MATCH(Calendar!$A19,DB!$1:$1,0)),FALSE),"")</f>
        <v/>
      </c>
      <c r="JVX19" s="28" t="str">
        <f>IFERROR(VLOOKUP(DATE($K$1,$K$2,JVX$4),Table1[],(MATCH(Calendar!$A19,DB!$1:$1,0)),FALSE),"")</f>
        <v/>
      </c>
      <c r="JVY19" s="28" t="str">
        <f>IFERROR(VLOOKUP(DATE($K$1,$K$2,JVY$4),Table1[],(MATCH(Calendar!$A19,DB!$1:$1,0)),FALSE),"")</f>
        <v/>
      </c>
      <c r="JVZ19" s="28" t="str">
        <f>IFERROR(VLOOKUP(DATE($K$1,$K$2,JVZ$4),Table1[],(MATCH(Calendar!$A19,DB!$1:$1,0)),FALSE),"")</f>
        <v/>
      </c>
      <c r="JWA19" s="28" t="str">
        <f>IFERROR(VLOOKUP(DATE($K$1,$K$2,JWA$4),Table1[],(MATCH(Calendar!$A19,DB!$1:$1,0)),FALSE),"")</f>
        <v/>
      </c>
      <c r="JWB19" s="28" t="str">
        <f>IFERROR(VLOOKUP(DATE($K$1,$K$2,JWB$4),Table1[],(MATCH(Calendar!$A19,DB!$1:$1,0)),FALSE),"")</f>
        <v/>
      </c>
      <c r="JWC19" s="28" t="str">
        <f>IFERROR(VLOOKUP(DATE($K$1,$K$2,JWC$4),Table1[],(MATCH(Calendar!$A19,DB!$1:$1,0)),FALSE),"")</f>
        <v/>
      </c>
      <c r="JWD19" s="28" t="str">
        <f>IFERROR(VLOOKUP(DATE($K$1,$K$2,JWD$4),Table1[],(MATCH(Calendar!$A19,DB!$1:$1,0)),FALSE),"")</f>
        <v/>
      </c>
      <c r="JWE19" s="28" t="str">
        <f>IFERROR(VLOOKUP(DATE($K$1,$K$2,JWE$4),Table1[],(MATCH(Calendar!$A19,DB!$1:$1,0)),FALSE),"")</f>
        <v/>
      </c>
      <c r="JWF19" s="28" t="str">
        <f>IFERROR(VLOOKUP(DATE($K$1,$K$2,JWF$4),Table1[],(MATCH(Calendar!$A19,DB!$1:$1,0)),FALSE),"")</f>
        <v/>
      </c>
      <c r="JWG19" s="28" t="str">
        <f>IFERROR(VLOOKUP(DATE($K$1,$K$2,JWG$4),Table1[],(MATCH(Calendar!$A19,DB!$1:$1,0)),FALSE),"")</f>
        <v/>
      </c>
      <c r="JWH19" s="28" t="str">
        <f>IFERROR(VLOOKUP(DATE($K$1,$K$2,JWH$4),Table1[],(MATCH(Calendar!$A19,DB!$1:$1,0)),FALSE),"")</f>
        <v/>
      </c>
      <c r="JWI19" s="28" t="str">
        <f>IFERROR(VLOOKUP(DATE($K$1,$K$2,JWI$4),Table1[],(MATCH(Calendar!$A19,DB!$1:$1,0)),FALSE),"")</f>
        <v/>
      </c>
      <c r="JWJ19" s="28" t="str">
        <f>IFERROR(VLOOKUP(DATE($K$1,$K$2,JWJ$4),Table1[],(MATCH(Calendar!$A19,DB!$1:$1,0)),FALSE),"")</f>
        <v/>
      </c>
      <c r="JWK19" s="28" t="str">
        <f>IFERROR(VLOOKUP(DATE($K$1,$K$2,JWK$4),Table1[],(MATCH(Calendar!$A19,DB!$1:$1,0)),FALSE),"")</f>
        <v/>
      </c>
      <c r="JWL19" s="28" t="str">
        <f>IFERROR(VLOOKUP(DATE($K$1,$K$2,JWL$4),Table1[],(MATCH(Calendar!$A19,DB!$1:$1,0)),FALSE),"")</f>
        <v/>
      </c>
      <c r="JWM19" s="28" t="str">
        <f>IFERROR(VLOOKUP(DATE($K$1,$K$2,JWM$4),Table1[],(MATCH(Calendar!$A19,DB!$1:$1,0)),FALSE),"")</f>
        <v/>
      </c>
      <c r="JWN19" s="28" t="str">
        <f>IFERROR(VLOOKUP(DATE($K$1,$K$2,JWN$4),Table1[],(MATCH(Calendar!$A19,DB!$1:$1,0)),FALSE),"")</f>
        <v/>
      </c>
      <c r="JWO19" s="28" t="str">
        <f>IFERROR(VLOOKUP(DATE($K$1,$K$2,JWO$4),Table1[],(MATCH(Calendar!$A19,DB!$1:$1,0)),FALSE),"")</f>
        <v/>
      </c>
      <c r="JWP19" s="28" t="str">
        <f>IFERROR(VLOOKUP(DATE($K$1,$K$2,JWP$4),Table1[],(MATCH(Calendar!$A19,DB!$1:$1,0)),FALSE),"")</f>
        <v/>
      </c>
      <c r="JWQ19" s="28" t="str">
        <f>IFERROR(VLOOKUP(DATE($K$1,$K$2,JWQ$4),Table1[],(MATCH(Calendar!$A19,DB!$1:$1,0)),FALSE),"")</f>
        <v/>
      </c>
      <c r="JWR19" s="28" t="str">
        <f>IFERROR(VLOOKUP(DATE($K$1,$K$2,JWR$4),Table1[],(MATCH(Calendar!$A19,DB!$1:$1,0)),FALSE),"")</f>
        <v/>
      </c>
      <c r="JWS19" s="28" t="str">
        <f>IFERROR(VLOOKUP(DATE($K$1,$K$2,JWS$4),Table1[],(MATCH(Calendar!$A19,DB!$1:$1,0)),FALSE),"")</f>
        <v/>
      </c>
      <c r="JWT19" s="28" t="str">
        <f>IFERROR(VLOOKUP(DATE($K$1,$K$2,JWT$4),Table1[],(MATCH(Calendar!$A19,DB!$1:$1,0)),FALSE),"")</f>
        <v/>
      </c>
      <c r="JWU19" s="28" t="str">
        <f>IFERROR(VLOOKUP(DATE($K$1,$K$2,JWU$4),Table1[],(MATCH(Calendar!$A19,DB!$1:$1,0)),FALSE),"")</f>
        <v/>
      </c>
      <c r="JWV19" s="28" t="str">
        <f>IFERROR(VLOOKUP(DATE($K$1,$K$2,JWV$4),Table1[],(MATCH(Calendar!$A19,DB!$1:$1,0)),FALSE),"")</f>
        <v/>
      </c>
      <c r="JWW19" s="28" t="str">
        <f>IFERROR(VLOOKUP(DATE($K$1,$K$2,JWW$4),Table1[],(MATCH(Calendar!$A19,DB!$1:$1,0)),FALSE),"")</f>
        <v/>
      </c>
      <c r="JWX19" s="28" t="str">
        <f>IFERROR(VLOOKUP(DATE($K$1,$K$2,JWX$4),Table1[],(MATCH(Calendar!$A19,DB!$1:$1,0)),FALSE),"")</f>
        <v/>
      </c>
      <c r="JWY19" s="28" t="str">
        <f>IFERROR(VLOOKUP(DATE($K$1,$K$2,JWY$4),Table1[],(MATCH(Calendar!$A19,DB!$1:$1,0)),FALSE),"")</f>
        <v/>
      </c>
      <c r="JWZ19" s="28" t="str">
        <f>IFERROR(VLOOKUP(DATE($K$1,$K$2,JWZ$4),Table1[],(MATCH(Calendar!$A19,DB!$1:$1,0)),FALSE),"")</f>
        <v/>
      </c>
      <c r="JXA19" s="28" t="str">
        <f>IFERROR(VLOOKUP(DATE($K$1,$K$2,JXA$4),Table1[],(MATCH(Calendar!$A19,DB!$1:$1,0)),FALSE),"")</f>
        <v/>
      </c>
      <c r="JXB19" s="28" t="str">
        <f>IFERROR(VLOOKUP(DATE($K$1,$K$2,JXB$4),Table1[],(MATCH(Calendar!$A19,DB!$1:$1,0)),FALSE),"")</f>
        <v/>
      </c>
      <c r="JXC19" s="28" t="str">
        <f>IFERROR(VLOOKUP(DATE($K$1,$K$2,JXC$4),Table1[],(MATCH(Calendar!$A19,DB!$1:$1,0)),FALSE),"")</f>
        <v/>
      </c>
      <c r="JXD19" s="28" t="str">
        <f>IFERROR(VLOOKUP(DATE($K$1,$K$2,JXD$4),Table1[],(MATCH(Calendar!$A19,DB!$1:$1,0)),FALSE),"")</f>
        <v/>
      </c>
      <c r="JXE19" s="28" t="str">
        <f>IFERROR(VLOOKUP(DATE($K$1,$K$2,JXE$4),Table1[],(MATCH(Calendar!$A19,DB!$1:$1,0)),FALSE),"")</f>
        <v/>
      </c>
      <c r="JXF19" s="28" t="str">
        <f>IFERROR(VLOOKUP(DATE($K$1,$K$2,JXF$4),Table1[],(MATCH(Calendar!$A19,DB!$1:$1,0)),FALSE),"")</f>
        <v/>
      </c>
      <c r="JXG19" s="28" t="str">
        <f>IFERROR(VLOOKUP(DATE($K$1,$K$2,JXG$4),Table1[],(MATCH(Calendar!$A19,DB!$1:$1,0)),FALSE),"")</f>
        <v/>
      </c>
      <c r="JXH19" s="28" t="str">
        <f>IFERROR(VLOOKUP(DATE($K$1,$K$2,JXH$4),Table1[],(MATCH(Calendar!$A19,DB!$1:$1,0)),FALSE),"")</f>
        <v/>
      </c>
      <c r="JXI19" s="28" t="str">
        <f>IFERROR(VLOOKUP(DATE($K$1,$K$2,JXI$4),Table1[],(MATCH(Calendar!$A19,DB!$1:$1,0)),FALSE),"")</f>
        <v/>
      </c>
      <c r="JXJ19" s="28" t="str">
        <f>IFERROR(VLOOKUP(DATE($K$1,$K$2,JXJ$4),Table1[],(MATCH(Calendar!$A19,DB!$1:$1,0)),FALSE),"")</f>
        <v/>
      </c>
      <c r="JXK19" s="28" t="str">
        <f>IFERROR(VLOOKUP(DATE($K$1,$K$2,JXK$4),Table1[],(MATCH(Calendar!$A19,DB!$1:$1,0)),FALSE),"")</f>
        <v/>
      </c>
      <c r="JXL19" s="28" t="str">
        <f>IFERROR(VLOOKUP(DATE($K$1,$K$2,JXL$4),Table1[],(MATCH(Calendar!$A19,DB!$1:$1,0)),FALSE),"")</f>
        <v/>
      </c>
      <c r="JXM19" s="28" t="str">
        <f>IFERROR(VLOOKUP(DATE($K$1,$K$2,JXM$4),Table1[],(MATCH(Calendar!$A19,DB!$1:$1,0)),FALSE),"")</f>
        <v/>
      </c>
      <c r="JXN19" s="28" t="str">
        <f>IFERROR(VLOOKUP(DATE($K$1,$K$2,JXN$4),Table1[],(MATCH(Calendar!$A19,DB!$1:$1,0)),FALSE),"")</f>
        <v/>
      </c>
      <c r="JXO19" s="28" t="str">
        <f>IFERROR(VLOOKUP(DATE($K$1,$K$2,JXO$4),Table1[],(MATCH(Calendar!$A19,DB!$1:$1,0)),FALSE),"")</f>
        <v/>
      </c>
      <c r="JXP19" s="28" t="str">
        <f>IFERROR(VLOOKUP(DATE($K$1,$K$2,JXP$4),Table1[],(MATCH(Calendar!$A19,DB!$1:$1,0)),FALSE),"")</f>
        <v/>
      </c>
      <c r="JXQ19" s="28" t="str">
        <f>IFERROR(VLOOKUP(DATE($K$1,$K$2,JXQ$4),Table1[],(MATCH(Calendar!$A19,DB!$1:$1,0)),FALSE),"")</f>
        <v/>
      </c>
      <c r="JXR19" s="28" t="str">
        <f>IFERROR(VLOOKUP(DATE($K$1,$K$2,JXR$4),Table1[],(MATCH(Calendar!$A19,DB!$1:$1,0)),FALSE),"")</f>
        <v/>
      </c>
      <c r="JXS19" s="28" t="str">
        <f>IFERROR(VLOOKUP(DATE($K$1,$K$2,JXS$4),Table1[],(MATCH(Calendar!$A19,DB!$1:$1,0)),FALSE),"")</f>
        <v/>
      </c>
      <c r="JXT19" s="28" t="str">
        <f>IFERROR(VLOOKUP(DATE($K$1,$K$2,JXT$4),Table1[],(MATCH(Calendar!$A19,DB!$1:$1,0)),FALSE),"")</f>
        <v/>
      </c>
      <c r="JXU19" s="28" t="str">
        <f>IFERROR(VLOOKUP(DATE($K$1,$K$2,JXU$4),Table1[],(MATCH(Calendar!$A19,DB!$1:$1,0)),FALSE),"")</f>
        <v/>
      </c>
      <c r="JXV19" s="28" t="str">
        <f>IFERROR(VLOOKUP(DATE($K$1,$K$2,JXV$4),Table1[],(MATCH(Calendar!$A19,DB!$1:$1,0)),FALSE),"")</f>
        <v/>
      </c>
      <c r="JXW19" s="28" t="str">
        <f>IFERROR(VLOOKUP(DATE($K$1,$K$2,JXW$4),Table1[],(MATCH(Calendar!$A19,DB!$1:$1,0)),FALSE),"")</f>
        <v/>
      </c>
      <c r="JXX19" s="28" t="str">
        <f>IFERROR(VLOOKUP(DATE($K$1,$K$2,JXX$4),Table1[],(MATCH(Calendar!$A19,DB!$1:$1,0)),FALSE),"")</f>
        <v/>
      </c>
      <c r="JXY19" s="28" t="str">
        <f>IFERROR(VLOOKUP(DATE($K$1,$K$2,JXY$4),Table1[],(MATCH(Calendar!$A19,DB!$1:$1,0)),FALSE),"")</f>
        <v/>
      </c>
      <c r="JXZ19" s="28" t="str">
        <f>IFERROR(VLOOKUP(DATE($K$1,$K$2,JXZ$4),Table1[],(MATCH(Calendar!$A19,DB!$1:$1,0)),FALSE),"")</f>
        <v/>
      </c>
      <c r="JYA19" s="28" t="str">
        <f>IFERROR(VLOOKUP(DATE($K$1,$K$2,JYA$4),Table1[],(MATCH(Calendar!$A19,DB!$1:$1,0)),FALSE),"")</f>
        <v/>
      </c>
      <c r="JYB19" s="28" t="str">
        <f>IFERROR(VLOOKUP(DATE($K$1,$K$2,JYB$4),Table1[],(MATCH(Calendar!$A19,DB!$1:$1,0)),FALSE),"")</f>
        <v/>
      </c>
      <c r="JYC19" s="28" t="str">
        <f>IFERROR(VLOOKUP(DATE($K$1,$K$2,JYC$4),Table1[],(MATCH(Calendar!$A19,DB!$1:$1,0)),FALSE),"")</f>
        <v/>
      </c>
      <c r="JYD19" s="28" t="str">
        <f>IFERROR(VLOOKUP(DATE($K$1,$K$2,JYD$4),Table1[],(MATCH(Calendar!$A19,DB!$1:$1,0)),FALSE),"")</f>
        <v/>
      </c>
      <c r="JYE19" s="28" t="str">
        <f>IFERROR(VLOOKUP(DATE($K$1,$K$2,JYE$4),Table1[],(MATCH(Calendar!$A19,DB!$1:$1,0)),FALSE),"")</f>
        <v/>
      </c>
      <c r="JYF19" s="28" t="str">
        <f>IFERROR(VLOOKUP(DATE($K$1,$K$2,JYF$4),Table1[],(MATCH(Calendar!$A19,DB!$1:$1,0)),FALSE),"")</f>
        <v/>
      </c>
      <c r="JYG19" s="28" t="str">
        <f>IFERROR(VLOOKUP(DATE($K$1,$K$2,JYG$4),Table1[],(MATCH(Calendar!$A19,DB!$1:$1,0)),FALSE),"")</f>
        <v/>
      </c>
      <c r="JYH19" s="28" t="str">
        <f>IFERROR(VLOOKUP(DATE($K$1,$K$2,JYH$4),Table1[],(MATCH(Calendar!$A19,DB!$1:$1,0)),FALSE),"")</f>
        <v/>
      </c>
      <c r="JYI19" s="28" t="str">
        <f>IFERROR(VLOOKUP(DATE($K$1,$K$2,JYI$4),Table1[],(MATCH(Calendar!$A19,DB!$1:$1,0)),FALSE),"")</f>
        <v/>
      </c>
      <c r="JYJ19" s="28" t="str">
        <f>IFERROR(VLOOKUP(DATE($K$1,$K$2,JYJ$4),Table1[],(MATCH(Calendar!$A19,DB!$1:$1,0)),FALSE),"")</f>
        <v/>
      </c>
      <c r="JYK19" s="28" t="str">
        <f>IFERROR(VLOOKUP(DATE($K$1,$K$2,JYK$4),Table1[],(MATCH(Calendar!$A19,DB!$1:$1,0)),FALSE),"")</f>
        <v/>
      </c>
      <c r="JYL19" s="28" t="str">
        <f>IFERROR(VLOOKUP(DATE($K$1,$K$2,JYL$4),Table1[],(MATCH(Calendar!$A19,DB!$1:$1,0)),FALSE),"")</f>
        <v/>
      </c>
      <c r="JYM19" s="28" t="str">
        <f>IFERROR(VLOOKUP(DATE($K$1,$K$2,JYM$4),Table1[],(MATCH(Calendar!$A19,DB!$1:$1,0)),FALSE),"")</f>
        <v/>
      </c>
      <c r="JYN19" s="28" t="str">
        <f>IFERROR(VLOOKUP(DATE($K$1,$K$2,JYN$4),Table1[],(MATCH(Calendar!$A19,DB!$1:$1,0)),FALSE),"")</f>
        <v/>
      </c>
      <c r="JYO19" s="28" t="str">
        <f>IFERROR(VLOOKUP(DATE($K$1,$K$2,JYO$4),Table1[],(MATCH(Calendar!$A19,DB!$1:$1,0)),FALSE),"")</f>
        <v/>
      </c>
      <c r="JYP19" s="28" t="str">
        <f>IFERROR(VLOOKUP(DATE($K$1,$K$2,JYP$4),Table1[],(MATCH(Calendar!$A19,DB!$1:$1,0)),FALSE),"")</f>
        <v/>
      </c>
      <c r="JYQ19" s="28" t="str">
        <f>IFERROR(VLOOKUP(DATE($K$1,$K$2,JYQ$4),Table1[],(MATCH(Calendar!$A19,DB!$1:$1,0)),FALSE),"")</f>
        <v/>
      </c>
      <c r="JYR19" s="28" t="str">
        <f>IFERROR(VLOOKUP(DATE($K$1,$K$2,JYR$4),Table1[],(MATCH(Calendar!$A19,DB!$1:$1,0)),FALSE),"")</f>
        <v/>
      </c>
      <c r="JYS19" s="28" t="str">
        <f>IFERROR(VLOOKUP(DATE($K$1,$K$2,JYS$4),Table1[],(MATCH(Calendar!$A19,DB!$1:$1,0)),FALSE),"")</f>
        <v/>
      </c>
      <c r="JYT19" s="28" t="str">
        <f>IFERROR(VLOOKUP(DATE($K$1,$K$2,JYT$4),Table1[],(MATCH(Calendar!$A19,DB!$1:$1,0)),FALSE),"")</f>
        <v/>
      </c>
      <c r="JYU19" s="28" t="str">
        <f>IFERROR(VLOOKUP(DATE($K$1,$K$2,JYU$4),Table1[],(MATCH(Calendar!$A19,DB!$1:$1,0)),FALSE),"")</f>
        <v/>
      </c>
      <c r="JYV19" s="28" t="str">
        <f>IFERROR(VLOOKUP(DATE($K$1,$K$2,JYV$4),Table1[],(MATCH(Calendar!$A19,DB!$1:$1,0)),FALSE),"")</f>
        <v/>
      </c>
      <c r="JYW19" s="28" t="str">
        <f>IFERROR(VLOOKUP(DATE($K$1,$K$2,JYW$4),Table1[],(MATCH(Calendar!$A19,DB!$1:$1,0)),FALSE),"")</f>
        <v/>
      </c>
      <c r="JYX19" s="28" t="str">
        <f>IFERROR(VLOOKUP(DATE($K$1,$K$2,JYX$4),Table1[],(MATCH(Calendar!$A19,DB!$1:$1,0)),FALSE),"")</f>
        <v/>
      </c>
      <c r="JYY19" s="28" t="str">
        <f>IFERROR(VLOOKUP(DATE($K$1,$K$2,JYY$4),Table1[],(MATCH(Calendar!$A19,DB!$1:$1,0)),FALSE),"")</f>
        <v/>
      </c>
      <c r="JYZ19" s="28" t="str">
        <f>IFERROR(VLOOKUP(DATE($K$1,$K$2,JYZ$4),Table1[],(MATCH(Calendar!$A19,DB!$1:$1,0)),FALSE),"")</f>
        <v/>
      </c>
      <c r="JZA19" s="28" t="str">
        <f>IFERROR(VLOOKUP(DATE($K$1,$K$2,JZA$4),Table1[],(MATCH(Calendar!$A19,DB!$1:$1,0)),FALSE),"")</f>
        <v/>
      </c>
      <c r="JZB19" s="28" t="str">
        <f>IFERROR(VLOOKUP(DATE($K$1,$K$2,JZB$4),Table1[],(MATCH(Calendar!$A19,DB!$1:$1,0)),FALSE),"")</f>
        <v/>
      </c>
      <c r="JZC19" s="28" t="str">
        <f>IFERROR(VLOOKUP(DATE($K$1,$K$2,JZC$4),Table1[],(MATCH(Calendar!$A19,DB!$1:$1,0)),FALSE),"")</f>
        <v/>
      </c>
      <c r="JZD19" s="28" t="str">
        <f>IFERROR(VLOOKUP(DATE($K$1,$K$2,JZD$4),Table1[],(MATCH(Calendar!$A19,DB!$1:$1,0)),FALSE),"")</f>
        <v/>
      </c>
      <c r="JZE19" s="28" t="str">
        <f>IFERROR(VLOOKUP(DATE($K$1,$K$2,JZE$4),Table1[],(MATCH(Calendar!$A19,DB!$1:$1,0)),FALSE),"")</f>
        <v/>
      </c>
      <c r="JZF19" s="28" t="str">
        <f>IFERROR(VLOOKUP(DATE($K$1,$K$2,JZF$4),Table1[],(MATCH(Calendar!$A19,DB!$1:$1,0)),FALSE),"")</f>
        <v/>
      </c>
      <c r="JZG19" s="28" t="str">
        <f>IFERROR(VLOOKUP(DATE($K$1,$K$2,JZG$4),Table1[],(MATCH(Calendar!$A19,DB!$1:$1,0)),FALSE),"")</f>
        <v/>
      </c>
      <c r="JZH19" s="28" t="str">
        <f>IFERROR(VLOOKUP(DATE($K$1,$K$2,JZH$4),Table1[],(MATCH(Calendar!$A19,DB!$1:$1,0)),FALSE),"")</f>
        <v/>
      </c>
      <c r="JZI19" s="28" t="str">
        <f>IFERROR(VLOOKUP(DATE($K$1,$K$2,JZI$4),Table1[],(MATCH(Calendar!$A19,DB!$1:$1,0)),FALSE),"")</f>
        <v/>
      </c>
      <c r="JZJ19" s="28" t="str">
        <f>IFERROR(VLOOKUP(DATE($K$1,$K$2,JZJ$4),Table1[],(MATCH(Calendar!$A19,DB!$1:$1,0)),FALSE),"")</f>
        <v/>
      </c>
      <c r="JZK19" s="28" t="str">
        <f>IFERROR(VLOOKUP(DATE($K$1,$K$2,JZK$4),Table1[],(MATCH(Calendar!$A19,DB!$1:$1,0)),FALSE),"")</f>
        <v/>
      </c>
      <c r="JZL19" s="28" t="str">
        <f>IFERROR(VLOOKUP(DATE($K$1,$K$2,JZL$4),Table1[],(MATCH(Calendar!$A19,DB!$1:$1,0)),FALSE),"")</f>
        <v/>
      </c>
      <c r="JZM19" s="28" t="str">
        <f>IFERROR(VLOOKUP(DATE($K$1,$K$2,JZM$4),Table1[],(MATCH(Calendar!$A19,DB!$1:$1,0)),FALSE),"")</f>
        <v/>
      </c>
      <c r="JZN19" s="28" t="str">
        <f>IFERROR(VLOOKUP(DATE($K$1,$K$2,JZN$4),Table1[],(MATCH(Calendar!$A19,DB!$1:$1,0)),FALSE),"")</f>
        <v/>
      </c>
      <c r="JZO19" s="28" t="str">
        <f>IFERROR(VLOOKUP(DATE($K$1,$K$2,JZO$4),Table1[],(MATCH(Calendar!$A19,DB!$1:$1,0)),FALSE),"")</f>
        <v/>
      </c>
      <c r="JZP19" s="28" t="str">
        <f>IFERROR(VLOOKUP(DATE($K$1,$K$2,JZP$4),Table1[],(MATCH(Calendar!$A19,DB!$1:$1,0)),FALSE),"")</f>
        <v/>
      </c>
      <c r="JZQ19" s="28" t="str">
        <f>IFERROR(VLOOKUP(DATE($K$1,$K$2,JZQ$4),Table1[],(MATCH(Calendar!$A19,DB!$1:$1,0)),FALSE),"")</f>
        <v/>
      </c>
      <c r="JZR19" s="28" t="str">
        <f>IFERROR(VLOOKUP(DATE($K$1,$K$2,JZR$4),Table1[],(MATCH(Calendar!$A19,DB!$1:$1,0)),FALSE),"")</f>
        <v/>
      </c>
      <c r="JZS19" s="28" t="str">
        <f>IFERROR(VLOOKUP(DATE($K$1,$K$2,JZS$4),Table1[],(MATCH(Calendar!$A19,DB!$1:$1,0)),FALSE),"")</f>
        <v/>
      </c>
      <c r="JZT19" s="28" t="str">
        <f>IFERROR(VLOOKUP(DATE($K$1,$K$2,JZT$4),Table1[],(MATCH(Calendar!$A19,DB!$1:$1,0)),FALSE),"")</f>
        <v/>
      </c>
      <c r="JZU19" s="28" t="str">
        <f>IFERROR(VLOOKUP(DATE($K$1,$K$2,JZU$4),Table1[],(MATCH(Calendar!$A19,DB!$1:$1,0)),FALSE),"")</f>
        <v/>
      </c>
      <c r="JZV19" s="28" t="str">
        <f>IFERROR(VLOOKUP(DATE($K$1,$K$2,JZV$4),Table1[],(MATCH(Calendar!$A19,DB!$1:$1,0)),FALSE),"")</f>
        <v/>
      </c>
      <c r="JZW19" s="28" t="str">
        <f>IFERROR(VLOOKUP(DATE($K$1,$K$2,JZW$4),Table1[],(MATCH(Calendar!$A19,DB!$1:$1,0)),FALSE),"")</f>
        <v/>
      </c>
      <c r="JZX19" s="28" t="str">
        <f>IFERROR(VLOOKUP(DATE($K$1,$K$2,JZX$4),Table1[],(MATCH(Calendar!$A19,DB!$1:$1,0)),FALSE),"")</f>
        <v/>
      </c>
      <c r="JZY19" s="28" t="str">
        <f>IFERROR(VLOOKUP(DATE($K$1,$K$2,JZY$4),Table1[],(MATCH(Calendar!$A19,DB!$1:$1,0)),FALSE),"")</f>
        <v/>
      </c>
      <c r="JZZ19" s="28" t="str">
        <f>IFERROR(VLOOKUP(DATE($K$1,$K$2,JZZ$4),Table1[],(MATCH(Calendar!$A19,DB!$1:$1,0)),FALSE),"")</f>
        <v/>
      </c>
      <c r="KAA19" s="28" t="str">
        <f>IFERROR(VLOOKUP(DATE($K$1,$K$2,KAA$4),Table1[],(MATCH(Calendar!$A19,DB!$1:$1,0)),FALSE),"")</f>
        <v/>
      </c>
      <c r="KAB19" s="28" t="str">
        <f>IFERROR(VLOOKUP(DATE($K$1,$K$2,KAB$4),Table1[],(MATCH(Calendar!$A19,DB!$1:$1,0)),FALSE),"")</f>
        <v/>
      </c>
      <c r="KAC19" s="28" t="str">
        <f>IFERROR(VLOOKUP(DATE($K$1,$K$2,KAC$4),Table1[],(MATCH(Calendar!$A19,DB!$1:$1,0)),FALSE),"")</f>
        <v/>
      </c>
      <c r="KAD19" s="28" t="str">
        <f>IFERROR(VLOOKUP(DATE($K$1,$K$2,KAD$4),Table1[],(MATCH(Calendar!$A19,DB!$1:$1,0)),FALSE),"")</f>
        <v/>
      </c>
      <c r="KAE19" s="28" t="str">
        <f>IFERROR(VLOOKUP(DATE($K$1,$K$2,KAE$4),Table1[],(MATCH(Calendar!$A19,DB!$1:$1,0)),FALSE),"")</f>
        <v/>
      </c>
      <c r="KAF19" s="28" t="str">
        <f>IFERROR(VLOOKUP(DATE($K$1,$K$2,KAF$4),Table1[],(MATCH(Calendar!$A19,DB!$1:$1,0)),FALSE),"")</f>
        <v/>
      </c>
      <c r="KAG19" s="28" t="str">
        <f>IFERROR(VLOOKUP(DATE($K$1,$K$2,KAG$4),Table1[],(MATCH(Calendar!$A19,DB!$1:$1,0)),FALSE),"")</f>
        <v/>
      </c>
      <c r="KAH19" s="28" t="str">
        <f>IFERROR(VLOOKUP(DATE($K$1,$K$2,KAH$4),Table1[],(MATCH(Calendar!$A19,DB!$1:$1,0)),FALSE),"")</f>
        <v/>
      </c>
      <c r="KAI19" s="28" t="str">
        <f>IFERROR(VLOOKUP(DATE($K$1,$K$2,KAI$4),Table1[],(MATCH(Calendar!$A19,DB!$1:$1,0)),FALSE),"")</f>
        <v/>
      </c>
      <c r="KAJ19" s="28" t="str">
        <f>IFERROR(VLOOKUP(DATE($K$1,$K$2,KAJ$4),Table1[],(MATCH(Calendar!$A19,DB!$1:$1,0)),FALSE),"")</f>
        <v/>
      </c>
      <c r="KAK19" s="28" t="str">
        <f>IFERROR(VLOOKUP(DATE($K$1,$K$2,KAK$4),Table1[],(MATCH(Calendar!$A19,DB!$1:$1,0)),FALSE),"")</f>
        <v/>
      </c>
      <c r="KAL19" s="28" t="str">
        <f>IFERROR(VLOOKUP(DATE($K$1,$K$2,KAL$4),Table1[],(MATCH(Calendar!$A19,DB!$1:$1,0)),FALSE),"")</f>
        <v/>
      </c>
      <c r="KAM19" s="28" t="str">
        <f>IFERROR(VLOOKUP(DATE($K$1,$K$2,KAM$4),Table1[],(MATCH(Calendar!$A19,DB!$1:$1,0)),FALSE),"")</f>
        <v/>
      </c>
      <c r="KAN19" s="28" t="str">
        <f>IFERROR(VLOOKUP(DATE($K$1,$K$2,KAN$4),Table1[],(MATCH(Calendar!$A19,DB!$1:$1,0)),FALSE),"")</f>
        <v/>
      </c>
      <c r="KAO19" s="28" t="str">
        <f>IFERROR(VLOOKUP(DATE($K$1,$K$2,KAO$4),Table1[],(MATCH(Calendar!$A19,DB!$1:$1,0)),FALSE),"")</f>
        <v/>
      </c>
      <c r="KAP19" s="28" t="str">
        <f>IFERROR(VLOOKUP(DATE($K$1,$K$2,KAP$4),Table1[],(MATCH(Calendar!$A19,DB!$1:$1,0)),FALSE),"")</f>
        <v/>
      </c>
      <c r="KAQ19" s="28" t="str">
        <f>IFERROR(VLOOKUP(DATE($K$1,$K$2,KAQ$4),Table1[],(MATCH(Calendar!$A19,DB!$1:$1,0)),FALSE),"")</f>
        <v/>
      </c>
      <c r="KAR19" s="28" t="str">
        <f>IFERROR(VLOOKUP(DATE($K$1,$K$2,KAR$4),Table1[],(MATCH(Calendar!$A19,DB!$1:$1,0)),FALSE),"")</f>
        <v/>
      </c>
      <c r="KAS19" s="28" t="str">
        <f>IFERROR(VLOOKUP(DATE($K$1,$K$2,KAS$4),Table1[],(MATCH(Calendar!$A19,DB!$1:$1,0)),FALSE),"")</f>
        <v/>
      </c>
      <c r="KAT19" s="28" t="str">
        <f>IFERROR(VLOOKUP(DATE($K$1,$K$2,KAT$4),Table1[],(MATCH(Calendar!$A19,DB!$1:$1,0)),FALSE),"")</f>
        <v/>
      </c>
      <c r="KAU19" s="28" t="str">
        <f>IFERROR(VLOOKUP(DATE($K$1,$K$2,KAU$4),Table1[],(MATCH(Calendar!$A19,DB!$1:$1,0)),FALSE),"")</f>
        <v/>
      </c>
      <c r="KAV19" s="28" t="str">
        <f>IFERROR(VLOOKUP(DATE($K$1,$K$2,KAV$4),Table1[],(MATCH(Calendar!$A19,DB!$1:$1,0)),FALSE),"")</f>
        <v/>
      </c>
      <c r="KAW19" s="28" t="str">
        <f>IFERROR(VLOOKUP(DATE($K$1,$K$2,KAW$4),Table1[],(MATCH(Calendar!$A19,DB!$1:$1,0)),FALSE),"")</f>
        <v/>
      </c>
      <c r="KAX19" s="28" t="str">
        <f>IFERROR(VLOOKUP(DATE($K$1,$K$2,KAX$4),Table1[],(MATCH(Calendar!$A19,DB!$1:$1,0)),FALSE),"")</f>
        <v/>
      </c>
      <c r="KAY19" s="28" t="str">
        <f>IFERROR(VLOOKUP(DATE($K$1,$K$2,KAY$4),Table1[],(MATCH(Calendar!$A19,DB!$1:$1,0)),FALSE),"")</f>
        <v/>
      </c>
      <c r="KAZ19" s="28" t="str">
        <f>IFERROR(VLOOKUP(DATE($K$1,$K$2,KAZ$4),Table1[],(MATCH(Calendar!$A19,DB!$1:$1,0)),FALSE),"")</f>
        <v/>
      </c>
      <c r="KBA19" s="28" t="str">
        <f>IFERROR(VLOOKUP(DATE($K$1,$K$2,KBA$4),Table1[],(MATCH(Calendar!$A19,DB!$1:$1,0)),FALSE),"")</f>
        <v/>
      </c>
      <c r="KBB19" s="28" t="str">
        <f>IFERROR(VLOOKUP(DATE($K$1,$K$2,KBB$4),Table1[],(MATCH(Calendar!$A19,DB!$1:$1,0)),FALSE),"")</f>
        <v/>
      </c>
      <c r="KBC19" s="28" t="str">
        <f>IFERROR(VLOOKUP(DATE($K$1,$K$2,KBC$4),Table1[],(MATCH(Calendar!$A19,DB!$1:$1,0)),FALSE),"")</f>
        <v/>
      </c>
      <c r="KBD19" s="28" t="str">
        <f>IFERROR(VLOOKUP(DATE($K$1,$K$2,KBD$4),Table1[],(MATCH(Calendar!$A19,DB!$1:$1,0)),FALSE),"")</f>
        <v/>
      </c>
      <c r="KBE19" s="28" t="str">
        <f>IFERROR(VLOOKUP(DATE($K$1,$K$2,KBE$4),Table1[],(MATCH(Calendar!$A19,DB!$1:$1,0)),FALSE),"")</f>
        <v/>
      </c>
      <c r="KBF19" s="28" t="str">
        <f>IFERROR(VLOOKUP(DATE($K$1,$K$2,KBF$4),Table1[],(MATCH(Calendar!$A19,DB!$1:$1,0)),FALSE),"")</f>
        <v/>
      </c>
      <c r="KBG19" s="28" t="str">
        <f>IFERROR(VLOOKUP(DATE($K$1,$K$2,KBG$4),Table1[],(MATCH(Calendar!$A19,DB!$1:$1,0)),FALSE),"")</f>
        <v/>
      </c>
      <c r="KBH19" s="28" t="str">
        <f>IFERROR(VLOOKUP(DATE($K$1,$K$2,KBH$4),Table1[],(MATCH(Calendar!$A19,DB!$1:$1,0)),FALSE),"")</f>
        <v/>
      </c>
      <c r="KBI19" s="28" t="str">
        <f>IFERROR(VLOOKUP(DATE($K$1,$K$2,KBI$4),Table1[],(MATCH(Calendar!$A19,DB!$1:$1,0)),FALSE),"")</f>
        <v/>
      </c>
      <c r="KBJ19" s="28" t="str">
        <f>IFERROR(VLOOKUP(DATE($K$1,$K$2,KBJ$4),Table1[],(MATCH(Calendar!$A19,DB!$1:$1,0)),FALSE),"")</f>
        <v/>
      </c>
      <c r="KBK19" s="28" t="str">
        <f>IFERROR(VLOOKUP(DATE($K$1,$K$2,KBK$4),Table1[],(MATCH(Calendar!$A19,DB!$1:$1,0)),FALSE),"")</f>
        <v/>
      </c>
      <c r="KBL19" s="28" t="str">
        <f>IFERROR(VLOOKUP(DATE($K$1,$K$2,KBL$4),Table1[],(MATCH(Calendar!$A19,DB!$1:$1,0)),FALSE),"")</f>
        <v/>
      </c>
      <c r="KBM19" s="28" t="str">
        <f>IFERROR(VLOOKUP(DATE($K$1,$K$2,KBM$4),Table1[],(MATCH(Calendar!$A19,DB!$1:$1,0)),FALSE),"")</f>
        <v/>
      </c>
      <c r="KBN19" s="28" t="str">
        <f>IFERROR(VLOOKUP(DATE($K$1,$K$2,KBN$4),Table1[],(MATCH(Calendar!$A19,DB!$1:$1,0)),FALSE),"")</f>
        <v/>
      </c>
      <c r="KBO19" s="28" t="str">
        <f>IFERROR(VLOOKUP(DATE($K$1,$K$2,KBO$4),Table1[],(MATCH(Calendar!$A19,DB!$1:$1,0)),FALSE),"")</f>
        <v/>
      </c>
      <c r="KBP19" s="28" t="str">
        <f>IFERROR(VLOOKUP(DATE($K$1,$K$2,KBP$4),Table1[],(MATCH(Calendar!$A19,DB!$1:$1,0)),FALSE),"")</f>
        <v/>
      </c>
      <c r="KBQ19" s="28" t="str">
        <f>IFERROR(VLOOKUP(DATE($K$1,$K$2,KBQ$4),Table1[],(MATCH(Calendar!$A19,DB!$1:$1,0)),FALSE),"")</f>
        <v/>
      </c>
      <c r="KBR19" s="28" t="str">
        <f>IFERROR(VLOOKUP(DATE($K$1,$K$2,KBR$4),Table1[],(MATCH(Calendar!$A19,DB!$1:$1,0)),FALSE),"")</f>
        <v/>
      </c>
      <c r="KBS19" s="28" t="str">
        <f>IFERROR(VLOOKUP(DATE($K$1,$K$2,KBS$4),Table1[],(MATCH(Calendar!$A19,DB!$1:$1,0)),FALSE),"")</f>
        <v/>
      </c>
      <c r="KBT19" s="28" t="str">
        <f>IFERROR(VLOOKUP(DATE($K$1,$K$2,KBT$4),Table1[],(MATCH(Calendar!$A19,DB!$1:$1,0)),FALSE),"")</f>
        <v/>
      </c>
      <c r="KBU19" s="28" t="str">
        <f>IFERROR(VLOOKUP(DATE($K$1,$K$2,KBU$4),Table1[],(MATCH(Calendar!$A19,DB!$1:$1,0)),FALSE),"")</f>
        <v/>
      </c>
      <c r="KBV19" s="28" t="str">
        <f>IFERROR(VLOOKUP(DATE($K$1,$K$2,KBV$4),Table1[],(MATCH(Calendar!$A19,DB!$1:$1,0)),FALSE),"")</f>
        <v/>
      </c>
      <c r="KBW19" s="28" t="str">
        <f>IFERROR(VLOOKUP(DATE($K$1,$K$2,KBW$4),Table1[],(MATCH(Calendar!$A19,DB!$1:$1,0)),FALSE),"")</f>
        <v/>
      </c>
      <c r="KBX19" s="28" t="str">
        <f>IFERROR(VLOOKUP(DATE($K$1,$K$2,KBX$4),Table1[],(MATCH(Calendar!$A19,DB!$1:$1,0)),FALSE),"")</f>
        <v/>
      </c>
      <c r="KBY19" s="28" t="str">
        <f>IFERROR(VLOOKUP(DATE($K$1,$K$2,KBY$4),Table1[],(MATCH(Calendar!$A19,DB!$1:$1,0)),FALSE),"")</f>
        <v/>
      </c>
      <c r="KBZ19" s="28" t="str">
        <f>IFERROR(VLOOKUP(DATE($K$1,$K$2,KBZ$4),Table1[],(MATCH(Calendar!$A19,DB!$1:$1,0)),FALSE),"")</f>
        <v/>
      </c>
      <c r="KCA19" s="28" t="str">
        <f>IFERROR(VLOOKUP(DATE($K$1,$K$2,KCA$4),Table1[],(MATCH(Calendar!$A19,DB!$1:$1,0)),FALSE),"")</f>
        <v/>
      </c>
      <c r="KCB19" s="28" t="str">
        <f>IFERROR(VLOOKUP(DATE($K$1,$K$2,KCB$4),Table1[],(MATCH(Calendar!$A19,DB!$1:$1,0)),FALSE),"")</f>
        <v/>
      </c>
      <c r="KCC19" s="28" t="str">
        <f>IFERROR(VLOOKUP(DATE($K$1,$K$2,KCC$4),Table1[],(MATCH(Calendar!$A19,DB!$1:$1,0)),FALSE),"")</f>
        <v/>
      </c>
      <c r="KCD19" s="28" t="str">
        <f>IFERROR(VLOOKUP(DATE($K$1,$K$2,KCD$4),Table1[],(MATCH(Calendar!$A19,DB!$1:$1,0)),FALSE),"")</f>
        <v/>
      </c>
      <c r="KCE19" s="28" t="str">
        <f>IFERROR(VLOOKUP(DATE($K$1,$K$2,KCE$4),Table1[],(MATCH(Calendar!$A19,DB!$1:$1,0)),FALSE),"")</f>
        <v/>
      </c>
      <c r="KCF19" s="28" t="str">
        <f>IFERROR(VLOOKUP(DATE($K$1,$K$2,KCF$4),Table1[],(MATCH(Calendar!$A19,DB!$1:$1,0)),FALSE),"")</f>
        <v/>
      </c>
      <c r="KCG19" s="28" t="str">
        <f>IFERROR(VLOOKUP(DATE($K$1,$K$2,KCG$4),Table1[],(MATCH(Calendar!$A19,DB!$1:$1,0)),FALSE),"")</f>
        <v/>
      </c>
      <c r="KCH19" s="28" t="str">
        <f>IFERROR(VLOOKUP(DATE($K$1,$K$2,KCH$4),Table1[],(MATCH(Calendar!$A19,DB!$1:$1,0)),FALSE),"")</f>
        <v/>
      </c>
      <c r="KCI19" s="28" t="str">
        <f>IFERROR(VLOOKUP(DATE($K$1,$K$2,KCI$4),Table1[],(MATCH(Calendar!$A19,DB!$1:$1,0)),FALSE),"")</f>
        <v/>
      </c>
      <c r="KCJ19" s="28" t="str">
        <f>IFERROR(VLOOKUP(DATE($K$1,$K$2,KCJ$4),Table1[],(MATCH(Calendar!$A19,DB!$1:$1,0)),FALSE),"")</f>
        <v/>
      </c>
      <c r="KCK19" s="28" t="str">
        <f>IFERROR(VLOOKUP(DATE($K$1,$K$2,KCK$4),Table1[],(MATCH(Calendar!$A19,DB!$1:$1,0)),FALSE),"")</f>
        <v/>
      </c>
      <c r="KCL19" s="28" t="str">
        <f>IFERROR(VLOOKUP(DATE($K$1,$K$2,KCL$4),Table1[],(MATCH(Calendar!$A19,DB!$1:$1,0)),FALSE),"")</f>
        <v/>
      </c>
      <c r="KCM19" s="28" t="str">
        <f>IFERROR(VLOOKUP(DATE($K$1,$K$2,KCM$4),Table1[],(MATCH(Calendar!$A19,DB!$1:$1,0)),FALSE),"")</f>
        <v/>
      </c>
      <c r="KCN19" s="28" t="str">
        <f>IFERROR(VLOOKUP(DATE($K$1,$K$2,KCN$4),Table1[],(MATCH(Calendar!$A19,DB!$1:$1,0)),FALSE),"")</f>
        <v/>
      </c>
      <c r="KCO19" s="28" t="str">
        <f>IFERROR(VLOOKUP(DATE($K$1,$K$2,KCO$4),Table1[],(MATCH(Calendar!$A19,DB!$1:$1,0)),FALSE),"")</f>
        <v/>
      </c>
      <c r="KCP19" s="28" t="str">
        <f>IFERROR(VLOOKUP(DATE($K$1,$K$2,KCP$4),Table1[],(MATCH(Calendar!$A19,DB!$1:$1,0)),FALSE),"")</f>
        <v/>
      </c>
      <c r="KCQ19" s="28" t="str">
        <f>IFERROR(VLOOKUP(DATE($K$1,$K$2,KCQ$4),Table1[],(MATCH(Calendar!$A19,DB!$1:$1,0)),FALSE),"")</f>
        <v/>
      </c>
      <c r="KCR19" s="28" t="str">
        <f>IFERROR(VLOOKUP(DATE($K$1,$K$2,KCR$4),Table1[],(MATCH(Calendar!$A19,DB!$1:$1,0)),FALSE),"")</f>
        <v/>
      </c>
      <c r="KCS19" s="28" t="str">
        <f>IFERROR(VLOOKUP(DATE($K$1,$K$2,KCS$4),Table1[],(MATCH(Calendar!$A19,DB!$1:$1,0)),FALSE),"")</f>
        <v/>
      </c>
      <c r="KCT19" s="28" t="str">
        <f>IFERROR(VLOOKUP(DATE($K$1,$K$2,KCT$4),Table1[],(MATCH(Calendar!$A19,DB!$1:$1,0)),FALSE),"")</f>
        <v/>
      </c>
      <c r="KCU19" s="28" t="str">
        <f>IFERROR(VLOOKUP(DATE($K$1,$K$2,KCU$4),Table1[],(MATCH(Calendar!$A19,DB!$1:$1,0)),FALSE),"")</f>
        <v/>
      </c>
      <c r="KCV19" s="28" t="str">
        <f>IFERROR(VLOOKUP(DATE($K$1,$K$2,KCV$4),Table1[],(MATCH(Calendar!$A19,DB!$1:$1,0)),FALSE),"")</f>
        <v/>
      </c>
      <c r="KCW19" s="28" t="str">
        <f>IFERROR(VLOOKUP(DATE($K$1,$K$2,KCW$4),Table1[],(MATCH(Calendar!$A19,DB!$1:$1,0)),FALSE),"")</f>
        <v/>
      </c>
      <c r="KCX19" s="28" t="str">
        <f>IFERROR(VLOOKUP(DATE($K$1,$K$2,KCX$4),Table1[],(MATCH(Calendar!$A19,DB!$1:$1,0)),FALSE),"")</f>
        <v/>
      </c>
      <c r="KCY19" s="28" t="str">
        <f>IFERROR(VLOOKUP(DATE($K$1,$K$2,KCY$4),Table1[],(MATCH(Calendar!$A19,DB!$1:$1,0)),FALSE),"")</f>
        <v/>
      </c>
      <c r="KCZ19" s="28" t="str">
        <f>IFERROR(VLOOKUP(DATE($K$1,$K$2,KCZ$4),Table1[],(MATCH(Calendar!$A19,DB!$1:$1,0)),FALSE),"")</f>
        <v/>
      </c>
      <c r="KDA19" s="28" t="str">
        <f>IFERROR(VLOOKUP(DATE($K$1,$K$2,KDA$4),Table1[],(MATCH(Calendar!$A19,DB!$1:$1,0)),FALSE),"")</f>
        <v/>
      </c>
      <c r="KDB19" s="28" t="str">
        <f>IFERROR(VLOOKUP(DATE($K$1,$K$2,KDB$4),Table1[],(MATCH(Calendar!$A19,DB!$1:$1,0)),FALSE),"")</f>
        <v/>
      </c>
      <c r="KDC19" s="28" t="str">
        <f>IFERROR(VLOOKUP(DATE($K$1,$K$2,KDC$4),Table1[],(MATCH(Calendar!$A19,DB!$1:$1,0)),FALSE),"")</f>
        <v/>
      </c>
      <c r="KDD19" s="28" t="str">
        <f>IFERROR(VLOOKUP(DATE($K$1,$K$2,KDD$4),Table1[],(MATCH(Calendar!$A19,DB!$1:$1,0)),FALSE),"")</f>
        <v/>
      </c>
      <c r="KDE19" s="28" t="str">
        <f>IFERROR(VLOOKUP(DATE($K$1,$K$2,KDE$4),Table1[],(MATCH(Calendar!$A19,DB!$1:$1,0)),FALSE),"")</f>
        <v/>
      </c>
      <c r="KDF19" s="28" t="str">
        <f>IFERROR(VLOOKUP(DATE($K$1,$K$2,KDF$4),Table1[],(MATCH(Calendar!$A19,DB!$1:$1,0)),FALSE),"")</f>
        <v/>
      </c>
      <c r="KDG19" s="28" t="str">
        <f>IFERROR(VLOOKUP(DATE($K$1,$K$2,KDG$4),Table1[],(MATCH(Calendar!$A19,DB!$1:$1,0)),FALSE),"")</f>
        <v/>
      </c>
      <c r="KDH19" s="28" t="str">
        <f>IFERROR(VLOOKUP(DATE($K$1,$K$2,KDH$4),Table1[],(MATCH(Calendar!$A19,DB!$1:$1,0)),FALSE),"")</f>
        <v/>
      </c>
      <c r="KDI19" s="28" t="str">
        <f>IFERROR(VLOOKUP(DATE($K$1,$K$2,KDI$4),Table1[],(MATCH(Calendar!$A19,DB!$1:$1,0)),FALSE),"")</f>
        <v/>
      </c>
      <c r="KDJ19" s="28" t="str">
        <f>IFERROR(VLOOKUP(DATE($K$1,$K$2,KDJ$4),Table1[],(MATCH(Calendar!$A19,DB!$1:$1,0)),FALSE),"")</f>
        <v/>
      </c>
      <c r="KDK19" s="28" t="str">
        <f>IFERROR(VLOOKUP(DATE($K$1,$K$2,KDK$4),Table1[],(MATCH(Calendar!$A19,DB!$1:$1,0)),FALSE),"")</f>
        <v/>
      </c>
      <c r="KDL19" s="28" t="str">
        <f>IFERROR(VLOOKUP(DATE($K$1,$K$2,KDL$4),Table1[],(MATCH(Calendar!$A19,DB!$1:$1,0)),FALSE),"")</f>
        <v/>
      </c>
      <c r="KDM19" s="28" t="str">
        <f>IFERROR(VLOOKUP(DATE($K$1,$K$2,KDM$4),Table1[],(MATCH(Calendar!$A19,DB!$1:$1,0)),FALSE),"")</f>
        <v/>
      </c>
      <c r="KDN19" s="28" t="str">
        <f>IFERROR(VLOOKUP(DATE($K$1,$K$2,KDN$4),Table1[],(MATCH(Calendar!$A19,DB!$1:$1,0)),FALSE),"")</f>
        <v/>
      </c>
      <c r="KDO19" s="28" t="str">
        <f>IFERROR(VLOOKUP(DATE($K$1,$K$2,KDO$4),Table1[],(MATCH(Calendar!$A19,DB!$1:$1,0)),FALSE),"")</f>
        <v/>
      </c>
      <c r="KDP19" s="28" t="str">
        <f>IFERROR(VLOOKUP(DATE($K$1,$K$2,KDP$4),Table1[],(MATCH(Calendar!$A19,DB!$1:$1,0)),FALSE),"")</f>
        <v/>
      </c>
      <c r="KDQ19" s="28" t="str">
        <f>IFERROR(VLOOKUP(DATE($K$1,$K$2,KDQ$4),Table1[],(MATCH(Calendar!$A19,DB!$1:$1,0)),FALSE),"")</f>
        <v/>
      </c>
      <c r="KDR19" s="28" t="str">
        <f>IFERROR(VLOOKUP(DATE($K$1,$K$2,KDR$4),Table1[],(MATCH(Calendar!$A19,DB!$1:$1,0)),FALSE),"")</f>
        <v/>
      </c>
      <c r="KDS19" s="28" t="str">
        <f>IFERROR(VLOOKUP(DATE($K$1,$K$2,KDS$4),Table1[],(MATCH(Calendar!$A19,DB!$1:$1,0)),FALSE),"")</f>
        <v/>
      </c>
      <c r="KDT19" s="28" t="str">
        <f>IFERROR(VLOOKUP(DATE($K$1,$K$2,KDT$4),Table1[],(MATCH(Calendar!$A19,DB!$1:$1,0)),FALSE),"")</f>
        <v/>
      </c>
      <c r="KDU19" s="28" t="str">
        <f>IFERROR(VLOOKUP(DATE($K$1,$K$2,KDU$4),Table1[],(MATCH(Calendar!$A19,DB!$1:$1,0)),FALSE),"")</f>
        <v/>
      </c>
      <c r="KDV19" s="28" t="str">
        <f>IFERROR(VLOOKUP(DATE($K$1,$K$2,KDV$4),Table1[],(MATCH(Calendar!$A19,DB!$1:$1,0)),FALSE),"")</f>
        <v/>
      </c>
      <c r="KDW19" s="28" t="str">
        <f>IFERROR(VLOOKUP(DATE($K$1,$K$2,KDW$4),Table1[],(MATCH(Calendar!$A19,DB!$1:$1,0)),FALSE),"")</f>
        <v/>
      </c>
      <c r="KDX19" s="28" t="str">
        <f>IFERROR(VLOOKUP(DATE($K$1,$K$2,KDX$4),Table1[],(MATCH(Calendar!$A19,DB!$1:$1,0)),FALSE),"")</f>
        <v/>
      </c>
      <c r="KDY19" s="28" t="str">
        <f>IFERROR(VLOOKUP(DATE($K$1,$K$2,KDY$4),Table1[],(MATCH(Calendar!$A19,DB!$1:$1,0)),FALSE),"")</f>
        <v/>
      </c>
      <c r="KDZ19" s="28" t="str">
        <f>IFERROR(VLOOKUP(DATE($K$1,$K$2,KDZ$4),Table1[],(MATCH(Calendar!$A19,DB!$1:$1,0)),FALSE),"")</f>
        <v/>
      </c>
      <c r="KEA19" s="28" t="str">
        <f>IFERROR(VLOOKUP(DATE($K$1,$K$2,KEA$4),Table1[],(MATCH(Calendar!$A19,DB!$1:$1,0)),FALSE),"")</f>
        <v/>
      </c>
      <c r="KEB19" s="28" t="str">
        <f>IFERROR(VLOOKUP(DATE($K$1,$K$2,KEB$4),Table1[],(MATCH(Calendar!$A19,DB!$1:$1,0)),FALSE),"")</f>
        <v/>
      </c>
      <c r="KEC19" s="28" t="str">
        <f>IFERROR(VLOOKUP(DATE($K$1,$K$2,KEC$4),Table1[],(MATCH(Calendar!$A19,DB!$1:$1,0)),FALSE),"")</f>
        <v/>
      </c>
      <c r="KED19" s="28" t="str">
        <f>IFERROR(VLOOKUP(DATE($K$1,$K$2,KED$4),Table1[],(MATCH(Calendar!$A19,DB!$1:$1,0)),FALSE),"")</f>
        <v/>
      </c>
      <c r="KEE19" s="28" t="str">
        <f>IFERROR(VLOOKUP(DATE($K$1,$K$2,KEE$4),Table1[],(MATCH(Calendar!$A19,DB!$1:$1,0)),FALSE),"")</f>
        <v/>
      </c>
      <c r="KEF19" s="28" t="str">
        <f>IFERROR(VLOOKUP(DATE($K$1,$K$2,KEF$4),Table1[],(MATCH(Calendar!$A19,DB!$1:$1,0)),FALSE),"")</f>
        <v/>
      </c>
      <c r="KEG19" s="28" t="str">
        <f>IFERROR(VLOOKUP(DATE($K$1,$K$2,KEG$4),Table1[],(MATCH(Calendar!$A19,DB!$1:$1,0)),FALSE),"")</f>
        <v/>
      </c>
      <c r="KEH19" s="28" t="str">
        <f>IFERROR(VLOOKUP(DATE($K$1,$K$2,KEH$4),Table1[],(MATCH(Calendar!$A19,DB!$1:$1,0)),FALSE),"")</f>
        <v/>
      </c>
      <c r="KEI19" s="28" t="str">
        <f>IFERROR(VLOOKUP(DATE($K$1,$K$2,KEI$4),Table1[],(MATCH(Calendar!$A19,DB!$1:$1,0)),FALSE),"")</f>
        <v/>
      </c>
      <c r="KEJ19" s="28" t="str">
        <f>IFERROR(VLOOKUP(DATE($K$1,$K$2,KEJ$4),Table1[],(MATCH(Calendar!$A19,DB!$1:$1,0)),FALSE),"")</f>
        <v/>
      </c>
      <c r="KEK19" s="28" t="str">
        <f>IFERROR(VLOOKUP(DATE($K$1,$K$2,KEK$4),Table1[],(MATCH(Calendar!$A19,DB!$1:$1,0)),FALSE),"")</f>
        <v/>
      </c>
      <c r="KEL19" s="28" t="str">
        <f>IFERROR(VLOOKUP(DATE($K$1,$K$2,KEL$4),Table1[],(MATCH(Calendar!$A19,DB!$1:$1,0)),FALSE),"")</f>
        <v/>
      </c>
      <c r="KEM19" s="28" t="str">
        <f>IFERROR(VLOOKUP(DATE($K$1,$K$2,KEM$4),Table1[],(MATCH(Calendar!$A19,DB!$1:$1,0)),FALSE),"")</f>
        <v/>
      </c>
      <c r="KEN19" s="28" t="str">
        <f>IFERROR(VLOOKUP(DATE($K$1,$K$2,KEN$4),Table1[],(MATCH(Calendar!$A19,DB!$1:$1,0)),FALSE),"")</f>
        <v/>
      </c>
      <c r="KEO19" s="28" t="str">
        <f>IFERROR(VLOOKUP(DATE($K$1,$K$2,KEO$4),Table1[],(MATCH(Calendar!$A19,DB!$1:$1,0)),FALSE),"")</f>
        <v/>
      </c>
      <c r="KEP19" s="28" t="str">
        <f>IFERROR(VLOOKUP(DATE($K$1,$K$2,KEP$4),Table1[],(MATCH(Calendar!$A19,DB!$1:$1,0)),FALSE),"")</f>
        <v/>
      </c>
      <c r="KEQ19" s="28" t="str">
        <f>IFERROR(VLOOKUP(DATE($K$1,$K$2,KEQ$4),Table1[],(MATCH(Calendar!$A19,DB!$1:$1,0)),FALSE),"")</f>
        <v/>
      </c>
      <c r="KER19" s="28" t="str">
        <f>IFERROR(VLOOKUP(DATE($K$1,$K$2,KER$4),Table1[],(MATCH(Calendar!$A19,DB!$1:$1,0)),FALSE),"")</f>
        <v/>
      </c>
      <c r="KES19" s="28" t="str">
        <f>IFERROR(VLOOKUP(DATE($K$1,$K$2,KES$4),Table1[],(MATCH(Calendar!$A19,DB!$1:$1,0)),FALSE),"")</f>
        <v/>
      </c>
      <c r="KET19" s="28" t="str">
        <f>IFERROR(VLOOKUP(DATE($K$1,$K$2,KET$4),Table1[],(MATCH(Calendar!$A19,DB!$1:$1,0)),FALSE),"")</f>
        <v/>
      </c>
      <c r="KEU19" s="28" t="str">
        <f>IFERROR(VLOOKUP(DATE($K$1,$K$2,KEU$4),Table1[],(MATCH(Calendar!$A19,DB!$1:$1,0)),FALSE),"")</f>
        <v/>
      </c>
      <c r="KEV19" s="28" t="str">
        <f>IFERROR(VLOOKUP(DATE($K$1,$K$2,KEV$4),Table1[],(MATCH(Calendar!$A19,DB!$1:$1,0)),FALSE),"")</f>
        <v/>
      </c>
      <c r="KEW19" s="28" t="str">
        <f>IFERROR(VLOOKUP(DATE($K$1,$K$2,KEW$4),Table1[],(MATCH(Calendar!$A19,DB!$1:$1,0)),FALSE),"")</f>
        <v/>
      </c>
      <c r="KEX19" s="28" t="str">
        <f>IFERROR(VLOOKUP(DATE($K$1,$K$2,KEX$4),Table1[],(MATCH(Calendar!$A19,DB!$1:$1,0)),FALSE),"")</f>
        <v/>
      </c>
      <c r="KEY19" s="28" t="str">
        <f>IFERROR(VLOOKUP(DATE($K$1,$K$2,KEY$4),Table1[],(MATCH(Calendar!$A19,DB!$1:$1,0)),FALSE),"")</f>
        <v/>
      </c>
      <c r="KEZ19" s="28" t="str">
        <f>IFERROR(VLOOKUP(DATE($K$1,$K$2,KEZ$4),Table1[],(MATCH(Calendar!$A19,DB!$1:$1,0)),FALSE),"")</f>
        <v/>
      </c>
      <c r="KFA19" s="28" t="str">
        <f>IFERROR(VLOOKUP(DATE($K$1,$K$2,KFA$4),Table1[],(MATCH(Calendar!$A19,DB!$1:$1,0)),FALSE),"")</f>
        <v/>
      </c>
      <c r="KFB19" s="28" t="str">
        <f>IFERROR(VLOOKUP(DATE($K$1,$K$2,KFB$4),Table1[],(MATCH(Calendar!$A19,DB!$1:$1,0)),FALSE),"")</f>
        <v/>
      </c>
      <c r="KFC19" s="28" t="str">
        <f>IFERROR(VLOOKUP(DATE($K$1,$K$2,KFC$4),Table1[],(MATCH(Calendar!$A19,DB!$1:$1,0)),FALSE),"")</f>
        <v/>
      </c>
      <c r="KFD19" s="28" t="str">
        <f>IFERROR(VLOOKUP(DATE($K$1,$K$2,KFD$4),Table1[],(MATCH(Calendar!$A19,DB!$1:$1,0)),FALSE),"")</f>
        <v/>
      </c>
      <c r="KFE19" s="28" t="str">
        <f>IFERROR(VLOOKUP(DATE($K$1,$K$2,KFE$4),Table1[],(MATCH(Calendar!$A19,DB!$1:$1,0)),FALSE),"")</f>
        <v/>
      </c>
      <c r="KFF19" s="28" t="str">
        <f>IFERROR(VLOOKUP(DATE($K$1,$K$2,KFF$4),Table1[],(MATCH(Calendar!$A19,DB!$1:$1,0)),FALSE),"")</f>
        <v/>
      </c>
      <c r="KFG19" s="28" t="str">
        <f>IFERROR(VLOOKUP(DATE($K$1,$K$2,KFG$4),Table1[],(MATCH(Calendar!$A19,DB!$1:$1,0)),FALSE),"")</f>
        <v/>
      </c>
      <c r="KFH19" s="28" t="str">
        <f>IFERROR(VLOOKUP(DATE($K$1,$K$2,KFH$4),Table1[],(MATCH(Calendar!$A19,DB!$1:$1,0)),FALSE),"")</f>
        <v/>
      </c>
      <c r="KFI19" s="28" t="str">
        <f>IFERROR(VLOOKUP(DATE($K$1,$K$2,KFI$4),Table1[],(MATCH(Calendar!$A19,DB!$1:$1,0)),FALSE),"")</f>
        <v/>
      </c>
      <c r="KFJ19" s="28" t="str">
        <f>IFERROR(VLOOKUP(DATE($K$1,$K$2,KFJ$4),Table1[],(MATCH(Calendar!$A19,DB!$1:$1,0)),FALSE),"")</f>
        <v/>
      </c>
      <c r="KFK19" s="28" t="str">
        <f>IFERROR(VLOOKUP(DATE($K$1,$K$2,KFK$4),Table1[],(MATCH(Calendar!$A19,DB!$1:$1,0)),FALSE),"")</f>
        <v/>
      </c>
      <c r="KFL19" s="28" t="str">
        <f>IFERROR(VLOOKUP(DATE($K$1,$K$2,KFL$4),Table1[],(MATCH(Calendar!$A19,DB!$1:$1,0)),FALSE),"")</f>
        <v/>
      </c>
      <c r="KFM19" s="28" t="str">
        <f>IFERROR(VLOOKUP(DATE($K$1,$K$2,KFM$4),Table1[],(MATCH(Calendar!$A19,DB!$1:$1,0)),FALSE),"")</f>
        <v/>
      </c>
      <c r="KFN19" s="28" t="str">
        <f>IFERROR(VLOOKUP(DATE($K$1,$K$2,KFN$4),Table1[],(MATCH(Calendar!$A19,DB!$1:$1,0)),FALSE),"")</f>
        <v/>
      </c>
      <c r="KFO19" s="28" t="str">
        <f>IFERROR(VLOOKUP(DATE($K$1,$K$2,KFO$4),Table1[],(MATCH(Calendar!$A19,DB!$1:$1,0)),FALSE),"")</f>
        <v/>
      </c>
      <c r="KFP19" s="28" t="str">
        <f>IFERROR(VLOOKUP(DATE($K$1,$K$2,KFP$4),Table1[],(MATCH(Calendar!$A19,DB!$1:$1,0)),FALSE),"")</f>
        <v/>
      </c>
      <c r="KFQ19" s="28" t="str">
        <f>IFERROR(VLOOKUP(DATE($K$1,$K$2,KFQ$4),Table1[],(MATCH(Calendar!$A19,DB!$1:$1,0)),FALSE),"")</f>
        <v/>
      </c>
      <c r="KFR19" s="28" t="str">
        <f>IFERROR(VLOOKUP(DATE($K$1,$K$2,KFR$4),Table1[],(MATCH(Calendar!$A19,DB!$1:$1,0)),FALSE),"")</f>
        <v/>
      </c>
      <c r="KFS19" s="28" t="str">
        <f>IFERROR(VLOOKUP(DATE($K$1,$K$2,KFS$4),Table1[],(MATCH(Calendar!$A19,DB!$1:$1,0)),FALSE),"")</f>
        <v/>
      </c>
      <c r="KFT19" s="28" t="str">
        <f>IFERROR(VLOOKUP(DATE($K$1,$K$2,KFT$4),Table1[],(MATCH(Calendar!$A19,DB!$1:$1,0)),FALSE),"")</f>
        <v/>
      </c>
      <c r="KFU19" s="28" t="str">
        <f>IFERROR(VLOOKUP(DATE($K$1,$K$2,KFU$4),Table1[],(MATCH(Calendar!$A19,DB!$1:$1,0)),FALSE),"")</f>
        <v/>
      </c>
      <c r="KFV19" s="28" t="str">
        <f>IFERROR(VLOOKUP(DATE($K$1,$K$2,KFV$4),Table1[],(MATCH(Calendar!$A19,DB!$1:$1,0)),FALSE),"")</f>
        <v/>
      </c>
      <c r="KFW19" s="28" t="str">
        <f>IFERROR(VLOOKUP(DATE($K$1,$K$2,KFW$4),Table1[],(MATCH(Calendar!$A19,DB!$1:$1,0)),FALSE),"")</f>
        <v/>
      </c>
      <c r="KFX19" s="28" t="str">
        <f>IFERROR(VLOOKUP(DATE($K$1,$K$2,KFX$4),Table1[],(MATCH(Calendar!$A19,DB!$1:$1,0)),FALSE),"")</f>
        <v/>
      </c>
      <c r="KFY19" s="28" t="str">
        <f>IFERROR(VLOOKUP(DATE($K$1,$K$2,KFY$4),Table1[],(MATCH(Calendar!$A19,DB!$1:$1,0)),FALSE),"")</f>
        <v/>
      </c>
      <c r="KFZ19" s="28" t="str">
        <f>IFERROR(VLOOKUP(DATE($K$1,$K$2,KFZ$4),Table1[],(MATCH(Calendar!$A19,DB!$1:$1,0)),FALSE),"")</f>
        <v/>
      </c>
      <c r="KGA19" s="28" t="str">
        <f>IFERROR(VLOOKUP(DATE($K$1,$K$2,KGA$4),Table1[],(MATCH(Calendar!$A19,DB!$1:$1,0)),FALSE),"")</f>
        <v/>
      </c>
      <c r="KGB19" s="28" t="str">
        <f>IFERROR(VLOOKUP(DATE($K$1,$K$2,KGB$4),Table1[],(MATCH(Calendar!$A19,DB!$1:$1,0)),FALSE),"")</f>
        <v/>
      </c>
      <c r="KGC19" s="28" t="str">
        <f>IFERROR(VLOOKUP(DATE($K$1,$K$2,KGC$4),Table1[],(MATCH(Calendar!$A19,DB!$1:$1,0)),FALSE),"")</f>
        <v/>
      </c>
      <c r="KGD19" s="28" t="str">
        <f>IFERROR(VLOOKUP(DATE($K$1,$K$2,KGD$4),Table1[],(MATCH(Calendar!$A19,DB!$1:$1,0)),FALSE),"")</f>
        <v/>
      </c>
      <c r="KGE19" s="28" t="str">
        <f>IFERROR(VLOOKUP(DATE($K$1,$K$2,KGE$4),Table1[],(MATCH(Calendar!$A19,DB!$1:$1,0)),FALSE),"")</f>
        <v/>
      </c>
      <c r="KGF19" s="28" t="str">
        <f>IFERROR(VLOOKUP(DATE($K$1,$K$2,KGF$4),Table1[],(MATCH(Calendar!$A19,DB!$1:$1,0)),FALSE),"")</f>
        <v/>
      </c>
      <c r="KGG19" s="28" t="str">
        <f>IFERROR(VLOOKUP(DATE($K$1,$K$2,KGG$4),Table1[],(MATCH(Calendar!$A19,DB!$1:$1,0)),FALSE),"")</f>
        <v/>
      </c>
      <c r="KGH19" s="28" t="str">
        <f>IFERROR(VLOOKUP(DATE($K$1,$K$2,KGH$4),Table1[],(MATCH(Calendar!$A19,DB!$1:$1,0)),FALSE),"")</f>
        <v/>
      </c>
      <c r="KGI19" s="28" t="str">
        <f>IFERROR(VLOOKUP(DATE($K$1,$K$2,KGI$4),Table1[],(MATCH(Calendar!$A19,DB!$1:$1,0)),FALSE),"")</f>
        <v/>
      </c>
      <c r="KGJ19" s="28" t="str">
        <f>IFERROR(VLOOKUP(DATE($K$1,$K$2,KGJ$4),Table1[],(MATCH(Calendar!$A19,DB!$1:$1,0)),FALSE),"")</f>
        <v/>
      </c>
      <c r="KGK19" s="28" t="str">
        <f>IFERROR(VLOOKUP(DATE($K$1,$K$2,KGK$4),Table1[],(MATCH(Calendar!$A19,DB!$1:$1,0)),FALSE),"")</f>
        <v/>
      </c>
      <c r="KGL19" s="28" t="str">
        <f>IFERROR(VLOOKUP(DATE($K$1,$K$2,KGL$4),Table1[],(MATCH(Calendar!$A19,DB!$1:$1,0)),FALSE),"")</f>
        <v/>
      </c>
      <c r="KGM19" s="28" t="str">
        <f>IFERROR(VLOOKUP(DATE($K$1,$K$2,KGM$4),Table1[],(MATCH(Calendar!$A19,DB!$1:$1,0)),FALSE),"")</f>
        <v/>
      </c>
      <c r="KGN19" s="28" t="str">
        <f>IFERROR(VLOOKUP(DATE($K$1,$K$2,KGN$4),Table1[],(MATCH(Calendar!$A19,DB!$1:$1,0)),FALSE),"")</f>
        <v/>
      </c>
      <c r="KGO19" s="28" t="str">
        <f>IFERROR(VLOOKUP(DATE($K$1,$K$2,KGO$4),Table1[],(MATCH(Calendar!$A19,DB!$1:$1,0)),FALSE),"")</f>
        <v/>
      </c>
      <c r="KGP19" s="28" t="str">
        <f>IFERROR(VLOOKUP(DATE($K$1,$K$2,KGP$4),Table1[],(MATCH(Calendar!$A19,DB!$1:$1,0)),FALSE),"")</f>
        <v/>
      </c>
      <c r="KGQ19" s="28" t="str">
        <f>IFERROR(VLOOKUP(DATE($K$1,$K$2,KGQ$4),Table1[],(MATCH(Calendar!$A19,DB!$1:$1,0)),FALSE),"")</f>
        <v/>
      </c>
      <c r="KGR19" s="28" t="str">
        <f>IFERROR(VLOOKUP(DATE($K$1,$K$2,KGR$4),Table1[],(MATCH(Calendar!$A19,DB!$1:$1,0)),FALSE),"")</f>
        <v/>
      </c>
      <c r="KGS19" s="28" t="str">
        <f>IFERROR(VLOOKUP(DATE($K$1,$K$2,KGS$4),Table1[],(MATCH(Calendar!$A19,DB!$1:$1,0)),FALSE),"")</f>
        <v/>
      </c>
      <c r="KGT19" s="28" t="str">
        <f>IFERROR(VLOOKUP(DATE($K$1,$K$2,KGT$4),Table1[],(MATCH(Calendar!$A19,DB!$1:$1,0)),FALSE),"")</f>
        <v/>
      </c>
      <c r="KGU19" s="28" t="str">
        <f>IFERROR(VLOOKUP(DATE($K$1,$K$2,KGU$4),Table1[],(MATCH(Calendar!$A19,DB!$1:$1,0)),FALSE),"")</f>
        <v/>
      </c>
      <c r="KGV19" s="28" t="str">
        <f>IFERROR(VLOOKUP(DATE($K$1,$K$2,KGV$4),Table1[],(MATCH(Calendar!$A19,DB!$1:$1,0)),FALSE),"")</f>
        <v/>
      </c>
      <c r="KGW19" s="28" t="str">
        <f>IFERROR(VLOOKUP(DATE($K$1,$K$2,KGW$4),Table1[],(MATCH(Calendar!$A19,DB!$1:$1,0)),FALSE),"")</f>
        <v/>
      </c>
      <c r="KGX19" s="28" t="str">
        <f>IFERROR(VLOOKUP(DATE($K$1,$K$2,KGX$4),Table1[],(MATCH(Calendar!$A19,DB!$1:$1,0)),FALSE),"")</f>
        <v/>
      </c>
      <c r="KGY19" s="28" t="str">
        <f>IFERROR(VLOOKUP(DATE($K$1,$K$2,KGY$4),Table1[],(MATCH(Calendar!$A19,DB!$1:$1,0)),FALSE),"")</f>
        <v/>
      </c>
      <c r="KGZ19" s="28" t="str">
        <f>IFERROR(VLOOKUP(DATE($K$1,$K$2,KGZ$4),Table1[],(MATCH(Calendar!$A19,DB!$1:$1,0)),FALSE),"")</f>
        <v/>
      </c>
      <c r="KHA19" s="28" t="str">
        <f>IFERROR(VLOOKUP(DATE($K$1,$K$2,KHA$4),Table1[],(MATCH(Calendar!$A19,DB!$1:$1,0)),FALSE),"")</f>
        <v/>
      </c>
      <c r="KHB19" s="28" t="str">
        <f>IFERROR(VLOOKUP(DATE($K$1,$K$2,KHB$4),Table1[],(MATCH(Calendar!$A19,DB!$1:$1,0)),FALSE),"")</f>
        <v/>
      </c>
      <c r="KHC19" s="28" t="str">
        <f>IFERROR(VLOOKUP(DATE($K$1,$K$2,KHC$4),Table1[],(MATCH(Calendar!$A19,DB!$1:$1,0)),FALSE),"")</f>
        <v/>
      </c>
      <c r="KHD19" s="28" t="str">
        <f>IFERROR(VLOOKUP(DATE($K$1,$K$2,KHD$4),Table1[],(MATCH(Calendar!$A19,DB!$1:$1,0)),FALSE),"")</f>
        <v/>
      </c>
      <c r="KHE19" s="28" t="str">
        <f>IFERROR(VLOOKUP(DATE($K$1,$K$2,KHE$4),Table1[],(MATCH(Calendar!$A19,DB!$1:$1,0)),FALSE),"")</f>
        <v/>
      </c>
      <c r="KHF19" s="28" t="str">
        <f>IFERROR(VLOOKUP(DATE($K$1,$K$2,KHF$4),Table1[],(MATCH(Calendar!$A19,DB!$1:$1,0)),FALSE),"")</f>
        <v/>
      </c>
      <c r="KHG19" s="28" t="str">
        <f>IFERROR(VLOOKUP(DATE($K$1,$K$2,KHG$4),Table1[],(MATCH(Calendar!$A19,DB!$1:$1,0)),FALSE),"")</f>
        <v/>
      </c>
      <c r="KHH19" s="28" t="str">
        <f>IFERROR(VLOOKUP(DATE($K$1,$K$2,KHH$4),Table1[],(MATCH(Calendar!$A19,DB!$1:$1,0)),FALSE),"")</f>
        <v/>
      </c>
      <c r="KHI19" s="28" t="str">
        <f>IFERROR(VLOOKUP(DATE($K$1,$K$2,KHI$4),Table1[],(MATCH(Calendar!$A19,DB!$1:$1,0)),FALSE),"")</f>
        <v/>
      </c>
      <c r="KHJ19" s="28" t="str">
        <f>IFERROR(VLOOKUP(DATE($K$1,$K$2,KHJ$4),Table1[],(MATCH(Calendar!$A19,DB!$1:$1,0)),FALSE),"")</f>
        <v/>
      </c>
      <c r="KHK19" s="28" t="str">
        <f>IFERROR(VLOOKUP(DATE($K$1,$K$2,KHK$4),Table1[],(MATCH(Calendar!$A19,DB!$1:$1,0)),FALSE),"")</f>
        <v/>
      </c>
      <c r="KHL19" s="28" t="str">
        <f>IFERROR(VLOOKUP(DATE($K$1,$K$2,KHL$4),Table1[],(MATCH(Calendar!$A19,DB!$1:$1,0)),FALSE),"")</f>
        <v/>
      </c>
      <c r="KHM19" s="28" t="str">
        <f>IFERROR(VLOOKUP(DATE($K$1,$K$2,KHM$4),Table1[],(MATCH(Calendar!$A19,DB!$1:$1,0)),FALSE),"")</f>
        <v/>
      </c>
      <c r="KHN19" s="28" t="str">
        <f>IFERROR(VLOOKUP(DATE($K$1,$K$2,KHN$4),Table1[],(MATCH(Calendar!$A19,DB!$1:$1,0)),FALSE),"")</f>
        <v/>
      </c>
      <c r="KHO19" s="28" t="str">
        <f>IFERROR(VLOOKUP(DATE($K$1,$K$2,KHO$4),Table1[],(MATCH(Calendar!$A19,DB!$1:$1,0)),FALSE),"")</f>
        <v/>
      </c>
      <c r="KHP19" s="28" t="str">
        <f>IFERROR(VLOOKUP(DATE($K$1,$K$2,KHP$4),Table1[],(MATCH(Calendar!$A19,DB!$1:$1,0)),FALSE),"")</f>
        <v/>
      </c>
      <c r="KHQ19" s="28" t="str">
        <f>IFERROR(VLOOKUP(DATE($K$1,$K$2,KHQ$4),Table1[],(MATCH(Calendar!$A19,DB!$1:$1,0)),FALSE),"")</f>
        <v/>
      </c>
      <c r="KHR19" s="28" t="str">
        <f>IFERROR(VLOOKUP(DATE($K$1,$K$2,KHR$4),Table1[],(MATCH(Calendar!$A19,DB!$1:$1,0)),FALSE),"")</f>
        <v/>
      </c>
      <c r="KHS19" s="28" t="str">
        <f>IFERROR(VLOOKUP(DATE($K$1,$K$2,KHS$4),Table1[],(MATCH(Calendar!$A19,DB!$1:$1,0)),FALSE),"")</f>
        <v/>
      </c>
      <c r="KHT19" s="28" t="str">
        <f>IFERROR(VLOOKUP(DATE($K$1,$K$2,KHT$4),Table1[],(MATCH(Calendar!$A19,DB!$1:$1,0)),FALSE),"")</f>
        <v/>
      </c>
      <c r="KHU19" s="28" t="str">
        <f>IFERROR(VLOOKUP(DATE($K$1,$K$2,KHU$4),Table1[],(MATCH(Calendar!$A19,DB!$1:$1,0)),FALSE),"")</f>
        <v/>
      </c>
      <c r="KHV19" s="28" t="str">
        <f>IFERROR(VLOOKUP(DATE($K$1,$K$2,KHV$4),Table1[],(MATCH(Calendar!$A19,DB!$1:$1,0)),FALSE),"")</f>
        <v/>
      </c>
      <c r="KHW19" s="28" t="str">
        <f>IFERROR(VLOOKUP(DATE($K$1,$K$2,KHW$4),Table1[],(MATCH(Calendar!$A19,DB!$1:$1,0)),FALSE),"")</f>
        <v/>
      </c>
      <c r="KHX19" s="28" t="str">
        <f>IFERROR(VLOOKUP(DATE($K$1,$K$2,KHX$4),Table1[],(MATCH(Calendar!$A19,DB!$1:$1,0)),FALSE),"")</f>
        <v/>
      </c>
      <c r="KHY19" s="28" t="str">
        <f>IFERROR(VLOOKUP(DATE($K$1,$K$2,KHY$4),Table1[],(MATCH(Calendar!$A19,DB!$1:$1,0)),FALSE),"")</f>
        <v/>
      </c>
      <c r="KHZ19" s="28" t="str">
        <f>IFERROR(VLOOKUP(DATE($K$1,$K$2,KHZ$4),Table1[],(MATCH(Calendar!$A19,DB!$1:$1,0)),FALSE),"")</f>
        <v/>
      </c>
      <c r="KIA19" s="28" t="str">
        <f>IFERROR(VLOOKUP(DATE($K$1,$K$2,KIA$4),Table1[],(MATCH(Calendar!$A19,DB!$1:$1,0)),FALSE),"")</f>
        <v/>
      </c>
      <c r="KIB19" s="28" t="str">
        <f>IFERROR(VLOOKUP(DATE($K$1,$K$2,KIB$4),Table1[],(MATCH(Calendar!$A19,DB!$1:$1,0)),FALSE),"")</f>
        <v/>
      </c>
      <c r="KIC19" s="28" t="str">
        <f>IFERROR(VLOOKUP(DATE($K$1,$K$2,KIC$4),Table1[],(MATCH(Calendar!$A19,DB!$1:$1,0)),FALSE),"")</f>
        <v/>
      </c>
      <c r="KID19" s="28" t="str">
        <f>IFERROR(VLOOKUP(DATE($K$1,$K$2,KID$4),Table1[],(MATCH(Calendar!$A19,DB!$1:$1,0)),FALSE),"")</f>
        <v/>
      </c>
      <c r="KIE19" s="28" t="str">
        <f>IFERROR(VLOOKUP(DATE($K$1,$K$2,KIE$4),Table1[],(MATCH(Calendar!$A19,DB!$1:$1,0)),FALSE),"")</f>
        <v/>
      </c>
      <c r="KIF19" s="28" t="str">
        <f>IFERROR(VLOOKUP(DATE($K$1,$K$2,KIF$4),Table1[],(MATCH(Calendar!$A19,DB!$1:$1,0)),FALSE),"")</f>
        <v/>
      </c>
      <c r="KIG19" s="28" t="str">
        <f>IFERROR(VLOOKUP(DATE($K$1,$K$2,KIG$4),Table1[],(MATCH(Calendar!$A19,DB!$1:$1,0)),FALSE),"")</f>
        <v/>
      </c>
      <c r="KIH19" s="28" t="str">
        <f>IFERROR(VLOOKUP(DATE($K$1,$K$2,KIH$4),Table1[],(MATCH(Calendar!$A19,DB!$1:$1,0)),FALSE),"")</f>
        <v/>
      </c>
      <c r="KII19" s="28" t="str">
        <f>IFERROR(VLOOKUP(DATE($K$1,$K$2,KII$4),Table1[],(MATCH(Calendar!$A19,DB!$1:$1,0)),FALSE),"")</f>
        <v/>
      </c>
      <c r="KIJ19" s="28" t="str">
        <f>IFERROR(VLOOKUP(DATE($K$1,$K$2,KIJ$4),Table1[],(MATCH(Calendar!$A19,DB!$1:$1,0)),FALSE),"")</f>
        <v/>
      </c>
      <c r="KIK19" s="28" t="str">
        <f>IFERROR(VLOOKUP(DATE($K$1,$K$2,KIK$4),Table1[],(MATCH(Calendar!$A19,DB!$1:$1,0)),FALSE),"")</f>
        <v/>
      </c>
      <c r="KIL19" s="28" t="str">
        <f>IFERROR(VLOOKUP(DATE($K$1,$K$2,KIL$4),Table1[],(MATCH(Calendar!$A19,DB!$1:$1,0)),FALSE),"")</f>
        <v/>
      </c>
      <c r="KIM19" s="28" t="str">
        <f>IFERROR(VLOOKUP(DATE($K$1,$K$2,KIM$4),Table1[],(MATCH(Calendar!$A19,DB!$1:$1,0)),FALSE),"")</f>
        <v/>
      </c>
      <c r="KIN19" s="28" t="str">
        <f>IFERROR(VLOOKUP(DATE($K$1,$K$2,KIN$4),Table1[],(MATCH(Calendar!$A19,DB!$1:$1,0)),FALSE),"")</f>
        <v/>
      </c>
      <c r="KIO19" s="28" t="str">
        <f>IFERROR(VLOOKUP(DATE($K$1,$K$2,KIO$4),Table1[],(MATCH(Calendar!$A19,DB!$1:$1,0)),FALSE),"")</f>
        <v/>
      </c>
      <c r="KIP19" s="28" t="str">
        <f>IFERROR(VLOOKUP(DATE($K$1,$K$2,KIP$4),Table1[],(MATCH(Calendar!$A19,DB!$1:$1,0)),FALSE),"")</f>
        <v/>
      </c>
      <c r="KIQ19" s="28" t="str">
        <f>IFERROR(VLOOKUP(DATE($K$1,$K$2,KIQ$4),Table1[],(MATCH(Calendar!$A19,DB!$1:$1,0)),FALSE),"")</f>
        <v/>
      </c>
      <c r="KIR19" s="28" t="str">
        <f>IFERROR(VLOOKUP(DATE($K$1,$K$2,KIR$4),Table1[],(MATCH(Calendar!$A19,DB!$1:$1,0)),FALSE),"")</f>
        <v/>
      </c>
      <c r="KIS19" s="28" t="str">
        <f>IFERROR(VLOOKUP(DATE($K$1,$K$2,KIS$4),Table1[],(MATCH(Calendar!$A19,DB!$1:$1,0)),FALSE),"")</f>
        <v/>
      </c>
      <c r="KIT19" s="28" t="str">
        <f>IFERROR(VLOOKUP(DATE($K$1,$K$2,KIT$4),Table1[],(MATCH(Calendar!$A19,DB!$1:$1,0)),FALSE),"")</f>
        <v/>
      </c>
      <c r="KIU19" s="28" t="str">
        <f>IFERROR(VLOOKUP(DATE($K$1,$K$2,KIU$4),Table1[],(MATCH(Calendar!$A19,DB!$1:$1,0)),FALSE),"")</f>
        <v/>
      </c>
      <c r="KIV19" s="28" t="str">
        <f>IFERROR(VLOOKUP(DATE($K$1,$K$2,KIV$4),Table1[],(MATCH(Calendar!$A19,DB!$1:$1,0)),FALSE),"")</f>
        <v/>
      </c>
      <c r="KIW19" s="28" t="str">
        <f>IFERROR(VLOOKUP(DATE($K$1,$K$2,KIW$4),Table1[],(MATCH(Calendar!$A19,DB!$1:$1,0)),FALSE),"")</f>
        <v/>
      </c>
      <c r="KIX19" s="28" t="str">
        <f>IFERROR(VLOOKUP(DATE($K$1,$K$2,KIX$4),Table1[],(MATCH(Calendar!$A19,DB!$1:$1,0)),FALSE),"")</f>
        <v/>
      </c>
      <c r="KIY19" s="28" t="str">
        <f>IFERROR(VLOOKUP(DATE($K$1,$K$2,KIY$4),Table1[],(MATCH(Calendar!$A19,DB!$1:$1,0)),FALSE),"")</f>
        <v/>
      </c>
      <c r="KIZ19" s="28" t="str">
        <f>IFERROR(VLOOKUP(DATE($K$1,$K$2,KIZ$4),Table1[],(MATCH(Calendar!$A19,DB!$1:$1,0)),FALSE),"")</f>
        <v/>
      </c>
      <c r="KJA19" s="28" t="str">
        <f>IFERROR(VLOOKUP(DATE($K$1,$K$2,KJA$4),Table1[],(MATCH(Calendar!$A19,DB!$1:$1,0)),FALSE),"")</f>
        <v/>
      </c>
      <c r="KJB19" s="28" t="str">
        <f>IFERROR(VLOOKUP(DATE($K$1,$K$2,KJB$4),Table1[],(MATCH(Calendar!$A19,DB!$1:$1,0)),FALSE),"")</f>
        <v/>
      </c>
      <c r="KJC19" s="28" t="str">
        <f>IFERROR(VLOOKUP(DATE($K$1,$K$2,KJC$4),Table1[],(MATCH(Calendar!$A19,DB!$1:$1,0)),FALSE),"")</f>
        <v/>
      </c>
      <c r="KJD19" s="28" t="str">
        <f>IFERROR(VLOOKUP(DATE($K$1,$K$2,KJD$4),Table1[],(MATCH(Calendar!$A19,DB!$1:$1,0)),FALSE),"")</f>
        <v/>
      </c>
      <c r="KJE19" s="28" t="str">
        <f>IFERROR(VLOOKUP(DATE($K$1,$K$2,KJE$4),Table1[],(MATCH(Calendar!$A19,DB!$1:$1,0)),FALSE),"")</f>
        <v/>
      </c>
      <c r="KJF19" s="28" t="str">
        <f>IFERROR(VLOOKUP(DATE($K$1,$K$2,KJF$4),Table1[],(MATCH(Calendar!$A19,DB!$1:$1,0)),FALSE),"")</f>
        <v/>
      </c>
      <c r="KJG19" s="28" t="str">
        <f>IFERROR(VLOOKUP(DATE($K$1,$K$2,KJG$4),Table1[],(MATCH(Calendar!$A19,DB!$1:$1,0)),FALSE),"")</f>
        <v/>
      </c>
      <c r="KJH19" s="28" t="str">
        <f>IFERROR(VLOOKUP(DATE($K$1,$K$2,KJH$4),Table1[],(MATCH(Calendar!$A19,DB!$1:$1,0)),FALSE),"")</f>
        <v/>
      </c>
      <c r="KJI19" s="28" t="str">
        <f>IFERROR(VLOOKUP(DATE($K$1,$K$2,KJI$4),Table1[],(MATCH(Calendar!$A19,DB!$1:$1,0)),FALSE),"")</f>
        <v/>
      </c>
      <c r="KJJ19" s="28" t="str">
        <f>IFERROR(VLOOKUP(DATE($K$1,$K$2,KJJ$4),Table1[],(MATCH(Calendar!$A19,DB!$1:$1,0)),FALSE),"")</f>
        <v/>
      </c>
      <c r="KJK19" s="28" t="str">
        <f>IFERROR(VLOOKUP(DATE($K$1,$K$2,KJK$4),Table1[],(MATCH(Calendar!$A19,DB!$1:$1,0)),FALSE),"")</f>
        <v/>
      </c>
      <c r="KJL19" s="28" t="str">
        <f>IFERROR(VLOOKUP(DATE($K$1,$K$2,KJL$4),Table1[],(MATCH(Calendar!$A19,DB!$1:$1,0)),FALSE),"")</f>
        <v/>
      </c>
      <c r="KJM19" s="28" t="str">
        <f>IFERROR(VLOOKUP(DATE($K$1,$K$2,KJM$4),Table1[],(MATCH(Calendar!$A19,DB!$1:$1,0)),FALSE),"")</f>
        <v/>
      </c>
      <c r="KJN19" s="28" t="str">
        <f>IFERROR(VLOOKUP(DATE($K$1,$K$2,KJN$4),Table1[],(MATCH(Calendar!$A19,DB!$1:$1,0)),FALSE),"")</f>
        <v/>
      </c>
      <c r="KJO19" s="28" t="str">
        <f>IFERROR(VLOOKUP(DATE($K$1,$K$2,KJO$4),Table1[],(MATCH(Calendar!$A19,DB!$1:$1,0)),FALSE),"")</f>
        <v/>
      </c>
      <c r="KJP19" s="28" t="str">
        <f>IFERROR(VLOOKUP(DATE($K$1,$K$2,KJP$4),Table1[],(MATCH(Calendar!$A19,DB!$1:$1,0)),FALSE),"")</f>
        <v/>
      </c>
      <c r="KJQ19" s="28" t="str">
        <f>IFERROR(VLOOKUP(DATE($K$1,$K$2,KJQ$4),Table1[],(MATCH(Calendar!$A19,DB!$1:$1,0)),FALSE),"")</f>
        <v/>
      </c>
      <c r="KJR19" s="28" t="str">
        <f>IFERROR(VLOOKUP(DATE($K$1,$K$2,KJR$4),Table1[],(MATCH(Calendar!$A19,DB!$1:$1,0)),FALSE),"")</f>
        <v/>
      </c>
      <c r="KJS19" s="28" t="str">
        <f>IFERROR(VLOOKUP(DATE($K$1,$K$2,KJS$4),Table1[],(MATCH(Calendar!$A19,DB!$1:$1,0)),FALSE),"")</f>
        <v/>
      </c>
      <c r="KJT19" s="28" t="str">
        <f>IFERROR(VLOOKUP(DATE($K$1,$K$2,KJT$4),Table1[],(MATCH(Calendar!$A19,DB!$1:$1,0)),FALSE),"")</f>
        <v/>
      </c>
      <c r="KJU19" s="28" t="str">
        <f>IFERROR(VLOOKUP(DATE($K$1,$K$2,KJU$4),Table1[],(MATCH(Calendar!$A19,DB!$1:$1,0)),FALSE),"")</f>
        <v/>
      </c>
      <c r="KJV19" s="28" t="str">
        <f>IFERROR(VLOOKUP(DATE($K$1,$K$2,KJV$4),Table1[],(MATCH(Calendar!$A19,DB!$1:$1,0)),FALSE),"")</f>
        <v/>
      </c>
      <c r="KJW19" s="28" t="str">
        <f>IFERROR(VLOOKUP(DATE($K$1,$K$2,KJW$4),Table1[],(MATCH(Calendar!$A19,DB!$1:$1,0)),FALSE),"")</f>
        <v/>
      </c>
      <c r="KJX19" s="28" t="str">
        <f>IFERROR(VLOOKUP(DATE($K$1,$K$2,KJX$4),Table1[],(MATCH(Calendar!$A19,DB!$1:$1,0)),FALSE),"")</f>
        <v/>
      </c>
      <c r="KJY19" s="28" t="str">
        <f>IFERROR(VLOOKUP(DATE($K$1,$K$2,KJY$4),Table1[],(MATCH(Calendar!$A19,DB!$1:$1,0)),FALSE),"")</f>
        <v/>
      </c>
      <c r="KJZ19" s="28" t="str">
        <f>IFERROR(VLOOKUP(DATE($K$1,$K$2,KJZ$4),Table1[],(MATCH(Calendar!$A19,DB!$1:$1,0)),FALSE),"")</f>
        <v/>
      </c>
      <c r="KKA19" s="28" t="str">
        <f>IFERROR(VLOOKUP(DATE($K$1,$K$2,KKA$4),Table1[],(MATCH(Calendar!$A19,DB!$1:$1,0)),FALSE),"")</f>
        <v/>
      </c>
      <c r="KKB19" s="28" t="str">
        <f>IFERROR(VLOOKUP(DATE($K$1,$K$2,KKB$4),Table1[],(MATCH(Calendar!$A19,DB!$1:$1,0)),FALSE),"")</f>
        <v/>
      </c>
      <c r="KKC19" s="28" t="str">
        <f>IFERROR(VLOOKUP(DATE($K$1,$K$2,KKC$4),Table1[],(MATCH(Calendar!$A19,DB!$1:$1,0)),FALSE),"")</f>
        <v/>
      </c>
      <c r="KKD19" s="28" t="str">
        <f>IFERROR(VLOOKUP(DATE($K$1,$K$2,KKD$4),Table1[],(MATCH(Calendar!$A19,DB!$1:$1,0)),FALSE),"")</f>
        <v/>
      </c>
      <c r="KKE19" s="28" t="str">
        <f>IFERROR(VLOOKUP(DATE($K$1,$K$2,KKE$4),Table1[],(MATCH(Calendar!$A19,DB!$1:$1,0)),FALSE),"")</f>
        <v/>
      </c>
      <c r="KKF19" s="28" t="str">
        <f>IFERROR(VLOOKUP(DATE($K$1,$K$2,KKF$4),Table1[],(MATCH(Calendar!$A19,DB!$1:$1,0)),FALSE),"")</f>
        <v/>
      </c>
      <c r="KKG19" s="28" t="str">
        <f>IFERROR(VLOOKUP(DATE($K$1,$K$2,KKG$4),Table1[],(MATCH(Calendar!$A19,DB!$1:$1,0)),FALSE),"")</f>
        <v/>
      </c>
      <c r="KKH19" s="28" t="str">
        <f>IFERROR(VLOOKUP(DATE($K$1,$K$2,KKH$4),Table1[],(MATCH(Calendar!$A19,DB!$1:$1,0)),FALSE),"")</f>
        <v/>
      </c>
      <c r="KKI19" s="28" t="str">
        <f>IFERROR(VLOOKUP(DATE($K$1,$K$2,KKI$4),Table1[],(MATCH(Calendar!$A19,DB!$1:$1,0)),FALSE),"")</f>
        <v/>
      </c>
      <c r="KKJ19" s="28" t="str">
        <f>IFERROR(VLOOKUP(DATE($K$1,$K$2,KKJ$4),Table1[],(MATCH(Calendar!$A19,DB!$1:$1,0)),FALSE),"")</f>
        <v/>
      </c>
      <c r="KKK19" s="28" t="str">
        <f>IFERROR(VLOOKUP(DATE($K$1,$K$2,KKK$4),Table1[],(MATCH(Calendar!$A19,DB!$1:$1,0)),FALSE),"")</f>
        <v/>
      </c>
      <c r="KKL19" s="28" t="str">
        <f>IFERROR(VLOOKUP(DATE($K$1,$K$2,KKL$4),Table1[],(MATCH(Calendar!$A19,DB!$1:$1,0)),FALSE),"")</f>
        <v/>
      </c>
      <c r="KKM19" s="28" t="str">
        <f>IFERROR(VLOOKUP(DATE($K$1,$K$2,KKM$4),Table1[],(MATCH(Calendar!$A19,DB!$1:$1,0)),FALSE),"")</f>
        <v/>
      </c>
      <c r="KKN19" s="28" t="str">
        <f>IFERROR(VLOOKUP(DATE($K$1,$K$2,KKN$4),Table1[],(MATCH(Calendar!$A19,DB!$1:$1,0)),FALSE),"")</f>
        <v/>
      </c>
      <c r="KKO19" s="28" t="str">
        <f>IFERROR(VLOOKUP(DATE($K$1,$K$2,KKO$4),Table1[],(MATCH(Calendar!$A19,DB!$1:$1,0)),FALSE),"")</f>
        <v/>
      </c>
      <c r="KKP19" s="28" t="str">
        <f>IFERROR(VLOOKUP(DATE($K$1,$K$2,KKP$4),Table1[],(MATCH(Calendar!$A19,DB!$1:$1,0)),FALSE),"")</f>
        <v/>
      </c>
      <c r="KKQ19" s="28" t="str">
        <f>IFERROR(VLOOKUP(DATE($K$1,$K$2,KKQ$4),Table1[],(MATCH(Calendar!$A19,DB!$1:$1,0)),FALSE),"")</f>
        <v/>
      </c>
      <c r="KKR19" s="28" t="str">
        <f>IFERROR(VLOOKUP(DATE($K$1,$K$2,KKR$4),Table1[],(MATCH(Calendar!$A19,DB!$1:$1,0)),FALSE),"")</f>
        <v/>
      </c>
      <c r="KKS19" s="28" t="str">
        <f>IFERROR(VLOOKUP(DATE($K$1,$K$2,KKS$4),Table1[],(MATCH(Calendar!$A19,DB!$1:$1,0)),FALSE),"")</f>
        <v/>
      </c>
      <c r="KKT19" s="28" t="str">
        <f>IFERROR(VLOOKUP(DATE($K$1,$K$2,KKT$4),Table1[],(MATCH(Calendar!$A19,DB!$1:$1,0)),FALSE),"")</f>
        <v/>
      </c>
      <c r="KKU19" s="28" t="str">
        <f>IFERROR(VLOOKUP(DATE($K$1,$K$2,KKU$4),Table1[],(MATCH(Calendar!$A19,DB!$1:$1,0)),FALSE),"")</f>
        <v/>
      </c>
      <c r="KKV19" s="28" t="str">
        <f>IFERROR(VLOOKUP(DATE($K$1,$K$2,KKV$4),Table1[],(MATCH(Calendar!$A19,DB!$1:$1,0)),FALSE),"")</f>
        <v/>
      </c>
      <c r="KKW19" s="28" t="str">
        <f>IFERROR(VLOOKUP(DATE($K$1,$K$2,KKW$4),Table1[],(MATCH(Calendar!$A19,DB!$1:$1,0)),FALSE),"")</f>
        <v/>
      </c>
      <c r="KKX19" s="28" t="str">
        <f>IFERROR(VLOOKUP(DATE($K$1,$K$2,KKX$4),Table1[],(MATCH(Calendar!$A19,DB!$1:$1,0)),FALSE),"")</f>
        <v/>
      </c>
      <c r="KKY19" s="28" t="str">
        <f>IFERROR(VLOOKUP(DATE($K$1,$K$2,KKY$4),Table1[],(MATCH(Calendar!$A19,DB!$1:$1,0)),FALSE),"")</f>
        <v/>
      </c>
      <c r="KKZ19" s="28" t="str">
        <f>IFERROR(VLOOKUP(DATE($K$1,$K$2,KKZ$4),Table1[],(MATCH(Calendar!$A19,DB!$1:$1,0)),FALSE),"")</f>
        <v/>
      </c>
      <c r="KLA19" s="28" t="str">
        <f>IFERROR(VLOOKUP(DATE($K$1,$K$2,KLA$4),Table1[],(MATCH(Calendar!$A19,DB!$1:$1,0)),FALSE),"")</f>
        <v/>
      </c>
      <c r="KLB19" s="28" t="str">
        <f>IFERROR(VLOOKUP(DATE($K$1,$K$2,KLB$4),Table1[],(MATCH(Calendar!$A19,DB!$1:$1,0)),FALSE),"")</f>
        <v/>
      </c>
      <c r="KLC19" s="28" t="str">
        <f>IFERROR(VLOOKUP(DATE($K$1,$K$2,KLC$4),Table1[],(MATCH(Calendar!$A19,DB!$1:$1,0)),FALSE),"")</f>
        <v/>
      </c>
      <c r="KLD19" s="28" t="str">
        <f>IFERROR(VLOOKUP(DATE($K$1,$K$2,KLD$4),Table1[],(MATCH(Calendar!$A19,DB!$1:$1,0)),FALSE),"")</f>
        <v/>
      </c>
      <c r="KLE19" s="28" t="str">
        <f>IFERROR(VLOOKUP(DATE($K$1,$K$2,KLE$4),Table1[],(MATCH(Calendar!$A19,DB!$1:$1,0)),FALSE),"")</f>
        <v/>
      </c>
      <c r="KLF19" s="28" t="str">
        <f>IFERROR(VLOOKUP(DATE($K$1,$K$2,KLF$4),Table1[],(MATCH(Calendar!$A19,DB!$1:$1,0)),FALSE),"")</f>
        <v/>
      </c>
      <c r="KLG19" s="28" t="str">
        <f>IFERROR(VLOOKUP(DATE($K$1,$K$2,KLG$4),Table1[],(MATCH(Calendar!$A19,DB!$1:$1,0)),FALSE),"")</f>
        <v/>
      </c>
      <c r="KLH19" s="28" t="str">
        <f>IFERROR(VLOOKUP(DATE($K$1,$K$2,KLH$4),Table1[],(MATCH(Calendar!$A19,DB!$1:$1,0)),FALSE),"")</f>
        <v/>
      </c>
      <c r="KLI19" s="28" t="str">
        <f>IFERROR(VLOOKUP(DATE($K$1,$K$2,KLI$4),Table1[],(MATCH(Calendar!$A19,DB!$1:$1,0)),FALSE),"")</f>
        <v/>
      </c>
      <c r="KLJ19" s="28" t="str">
        <f>IFERROR(VLOOKUP(DATE($K$1,$K$2,KLJ$4),Table1[],(MATCH(Calendar!$A19,DB!$1:$1,0)),FALSE),"")</f>
        <v/>
      </c>
      <c r="KLK19" s="28" t="str">
        <f>IFERROR(VLOOKUP(DATE($K$1,$K$2,KLK$4),Table1[],(MATCH(Calendar!$A19,DB!$1:$1,0)),FALSE),"")</f>
        <v/>
      </c>
      <c r="KLL19" s="28" t="str">
        <f>IFERROR(VLOOKUP(DATE($K$1,$K$2,KLL$4),Table1[],(MATCH(Calendar!$A19,DB!$1:$1,0)),FALSE),"")</f>
        <v/>
      </c>
      <c r="KLM19" s="28" t="str">
        <f>IFERROR(VLOOKUP(DATE($K$1,$K$2,KLM$4),Table1[],(MATCH(Calendar!$A19,DB!$1:$1,0)),FALSE),"")</f>
        <v/>
      </c>
      <c r="KLN19" s="28" t="str">
        <f>IFERROR(VLOOKUP(DATE($K$1,$K$2,KLN$4),Table1[],(MATCH(Calendar!$A19,DB!$1:$1,0)),FALSE),"")</f>
        <v/>
      </c>
      <c r="KLO19" s="28" t="str">
        <f>IFERROR(VLOOKUP(DATE($K$1,$K$2,KLO$4),Table1[],(MATCH(Calendar!$A19,DB!$1:$1,0)),FALSE),"")</f>
        <v/>
      </c>
      <c r="KLP19" s="28" t="str">
        <f>IFERROR(VLOOKUP(DATE($K$1,$K$2,KLP$4),Table1[],(MATCH(Calendar!$A19,DB!$1:$1,0)),FALSE),"")</f>
        <v/>
      </c>
      <c r="KLQ19" s="28" t="str">
        <f>IFERROR(VLOOKUP(DATE($K$1,$K$2,KLQ$4),Table1[],(MATCH(Calendar!$A19,DB!$1:$1,0)),FALSE),"")</f>
        <v/>
      </c>
      <c r="KLR19" s="28" t="str">
        <f>IFERROR(VLOOKUP(DATE($K$1,$K$2,KLR$4),Table1[],(MATCH(Calendar!$A19,DB!$1:$1,0)),FALSE),"")</f>
        <v/>
      </c>
      <c r="KLS19" s="28" t="str">
        <f>IFERROR(VLOOKUP(DATE($K$1,$K$2,KLS$4),Table1[],(MATCH(Calendar!$A19,DB!$1:$1,0)),FALSE),"")</f>
        <v/>
      </c>
      <c r="KLT19" s="28" t="str">
        <f>IFERROR(VLOOKUP(DATE($K$1,$K$2,KLT$4),Table1[],(MATCH(Calendar!$A19,DB!$1:$1,0)),FALSE),"")</f>
        <v/>
      </c>
      <c r="KLU19" s="28" t="str">
        <f>IFERROR(VLOOKUP(DATE($K$1,$K$2,KLU$4),Table1[],(MATCH(Calendar!$A19,DB!$1:$1,0)),FALSE),"")</f>
        <v/>
      </c>
      <c r="KLV19" s="28" t="str">
        <f>IFERROR(VLOOKUP(DATE($K$1,$K$2,KLV$4),Table1[],(MATCH(Calendar!$A19,DB!$1:$1,0)),FALSE),"")</f>
        <v/>
      </c>
      <c r="KLW19" s="28" t="str">
        <f>IFERROR(VLOOKUP(DATE($K$1,$K$2,KLW$4),Table1[],(MATCH(Calendar!$A19,DB!$1:$1,0)),FALSE),"")</f>
        <v/>
      </c>
      <c r="KLX19" s="28" t="str">
        <f>IFERROR(VLOOKUP(DATE($K$1,$K$2,KLX$4),Table1[],(MATCH(Calendar!$A19,DB!$1:$1,0)),FALSE),"")</f>
        <v/>
      </c>
      <c r="KLY19" s="28" t="str">
        <f>IFERROR(VLOOKUP(DATE($K$1,$K$2,KLY$4),Table1[],(MATCH(Calendar!$A19,DB!$1:$1,0)),FALSE),"")</f>
        <v/>
      </c>
      <c r="KLZ19" s="28" t="str">
        <f>IFERROR(VLOOKUP(DATE($K$1,$K$2,KLZ$4),Table1[],(MATCH(Calendar!$A19,DB!$1:$1,0)),FALSE),"")</f>
        <v/>
      </c>
      <c r="KMA19" s="28" t="str">
        <f>IFERROR(VLOOKUP(DATE($K$1,$K$2,KMA$4),Table1[],(MATCH(Calendar!$A19,DB!$1:$1,0)),FALSE),"")</f>
        <v/>
      </c>
      <c r="KMB19" s="28" t="str">
        <f>IFERROR(VLOOKUP(DATE($K$1,$K$2,KMB$4),Table1[],(MATCH(Calendar!$A19,DB!$1:$1,0)),FALSE),"")</f>
        <v/>
      </c>
      <c r="KMC19" s="28" t="str">
        <f>IFERROR(VLOOKUP(DATE($K$1,$K$2,KMC$4),Table1[],(MATCH(Calendar!$A19,DB!$1:$1,0)),FALSE),"")</f>
        <v/>
      </c>
      <c r="KMD19" s="28" t="str">
        <f>IFERROR(VLOOKUP(DATE($K$1,$K$2,KMD$4),Table1[],(MATCH(Calendar!$A19,DB!$1:$1,0)),FALSE),"")</f>
        <v/>
      </c>
      <c r="KME19" s="28" t="str">
        <f>IFERROR(VLOOKUP(DATE($K$1,$K$2,KME$4),Table1[],(MATCH(Calendar!$A19,DB!$1:$1,0)),FALSE),"")</f>
        <v/>
      </c>
      <c r="KMF19" s="28" t="str">
        <f>IFERROR(VLOOKUP(DATE($K$1,$K$2,KMF$4),Table1[],(MATCH(Calendar!$A19,DB!$1:$1,0)),FALSE),"")</f>
        <v/>
      </c>
      <c r="KMG19" s="28" t="str">
        <f>IFERROR(VLOOKUP(DATE($K$1,$K$2,KMG$4),Table1[],(MATCH(Calendar!$A19,DB!$1:$1,0)),FALSE),"")</f>
        <v/>
      </c>
      <c r="KMH19" s="28" t="str">
        <f>IFERROR(VLOOKUP(DATE($K$1,$K$2,KMH$4),Table1[],(MATCH(Calendar!$A19,DB!$1:$1,0)),FALSE),"")</f>
        <v/>
      </c>
      <c r="KMI19" s="28" t="str">
        <f>IFERROR(VLOOKUP(DATE($K$1,$K$2,KMI$4),Table1[],(MATCH(Calendar!$A19,DB!$1:$1,0)),FALSE),"")</f>
        <v/>
      </c>
      <c r="KMJ19" s="28" t="str">
        <f>IFERROR(VLOOKUP(DATE($K$1,$K$2,KMJ$4),Table1[],(MATCH(Calendar!$A19,DB!$1:$1,0)),FALSE),"")</f>
        <v/>
      </c>
      <c r="KMK19" s="28" t="str">
        <f>IFERROR(VLOOKUP(DATE($K$1,$K$2,KMK$4),Table1[],(MATCH(Calendar!$A19,DB!$1:$1,0)),FALSE),"")</f>
        <v/>
      </c>
      <c r="KML19" s="28" t="str">
        <f>IFERROR(VLOOKUP(DATE($K$1,$K$2,KML$4),Table1[],(MATCH(Calendar!$A19,DB!$1:$1,0)),FALSE),"")</f>
        <v/>
      </c>
      <c r="KMM19" s="28" t="str">
        <f>IFERROR(VLOOKUP(DATE($K$1,$K$2,KMM$4),Table1[],(MATCH(Calendar!$A19,DB!$1:$1,0)),FALSE),"")</f>
        <v/>
      </c>
      <c r="KMN19" s="28" t="str">
        <f>IFERROR(VLOOKUP(DATE($K$1,$K$2,KMN$4),Table1[],(MATCH(Calendar!$A19,DB!$1:$1,0)),FALSE),"")</f>
        <v/>
      </c>
      <c r="KMO19" s="28" t="str">
        <f>IFERROR(VLOOKUP(DATE($K$1,$K$2,KMO$4),Table1[],(MATCH(Calendar!$A19,DB!$1:$1,0)),FALSE),"")</f>
        <v/>
      </c>
      <c r="KMP19" s="28" t="str">
        <f>IFERROR(VLOOKUP(DATE($K$1,$K$2,KMP$4),Table1[],(MATCH(Calendar!$A19,DB!$1:$1,0)),FALSE),"")</f>
        <v/>
      </c>
      <c r="KMQ19" s="28" t="str">
        <f>IFERROR(VLOOKUP(DATE($K$1,$K$2,KMQ$4),Table1[],(MATCH(Calendar!$A19,DB!$1:$1,0)),FALSE),"")</f>
        <v/>
      </c>
      <c r="KMR19" s="28" t="str">
        <f>IFERROR(VLOOKUP(DATE($K$1,$K$2,KMR$4),Table1[],(MATCH(Calendar!$A19,DB!$1:$1,0)),FALSE),"")</f>
        <v/>
      </c>
      <c r="KMS19" s="28" t="str">
        <f>IFERROR(VLOOKUP(DATE($K$1,$K$2,KMS$4),Table1[],(MATCH(Calendar!$A19,DB!$1:$1,0)),FALSE),"")</f>
        <v/>
      </c>
      <c r="KMT19" s="28" t="str">
        <f>IFERROR(VLOOKUP(DATE($K$1,$K$2,KMT$4),Table1[],(MATCH(Calendar!$A19,DB!$1:$1,0)),FALSE),"")</f>
        <v/>
      </c>
      <c r="KMU19" s="28" t="str">
        <f>IFERROR(VLOOKUP(DATE($K$1,$K$2,KMU$4),Table1[],(MATCH(Calendar!$A19,DB!$1:$1,0)),FALSE),"")</f>
        <v/>
      </c>
      <c r="KMV19" s="28" t="str">
        <f>IFERROR(VLOOKUP(DATE($K$1,$K$2,KMV$4),Table1[],(MATCH(Calendar!$A19,DB!$1:$1,0)),FALSE),"")</f>
        <v/>
      </c>
      <c r="KMW19" s="28" t="str">
        <f>IFERROR(VLOOKUP(DATE($K$1,$K$2,KMW$4),Table1[],(MATCH(Calendar!$A19,DB!$1:$1,0)),FALSE),"")</f>
        <v/>
      </c>
      <c r="KMX19" s="28" t="str">
        <f>IFERROR(VLOOKUP(DATE($K$1,$K$2,KMX$4),Table1[],(MATCH(Calendar!$A19,DB!$1:$1,0)),FALSE),"")</f>
        <v/>
      </c>
      <c r="KMY19" s="28" t="str">
        <f>IFERROR(VLOOKUP(DATE($K$1,$K$2,KMY$4),Table1[],(MATCH(Calendar!$A19,DB!$1:$1,0)),FALSE),"")</f>
        <v/>
      </c>
      <c r="KMZ19" s="28" t="str">
        <f>IFERROR(VLOOKUP(DATE($K$1,$K$2,KMZ$4),Table1[],(MATCH(Calendar!$A19,DB!$1:$1,0)),FALSE),"")</f>
        <v/>
      </c>
      <c r="KNA19" s="28" t="str">
        <f>IFERROR(VLOOKUP(DATE($K$1,$K$2,KNA$4),Table1[],(MATCH(Calendar!$A19,DB!$1:$1,0)),FALSE),"")</f>
        <v/>
      </c>
      <c r="KNB19" s="28" t="str">
        <f>IFERROR(VLOOKUP(DATE($K$1,$K$2,KNB$4),Table1[],(MATCH(Calendar!$A19,DB!$1:$1,0)),FALSE),"")</f>
        <v/>
      </c>
      <c r="KNC19" s="28" t="str">
        <f>IFERROR(VLOOKUP(DATE($K$1,$K$2,KNC$4),Table1[],(MATCH(Calendar!$A19,DB!$1:$1,0)),FALSE),"")</f>
        <v/>
      </c>
      <c r="KND19" s="28" t="str">
        <f>IFERROR(VLOOKUP(DATE($K$1,$K$2,KND$4),Table1[],(MATCH(Calendar!$A19,DB!$1:$1,0)),FALSE),"")</f>
        <v/>
      </c>
      <c r="KNE19" s="28" t="str">
        <f>IFERROR(VLOOKUP(DATE($K$1,$K$2,KNE$4),Table1[],(MATCH(Calendar!$A19,DB!$1:$1,0)),FALSE),"")</f>
        <v/>
      </c>
      <c r="KNF19" s="28" t="str">
        <f>IFERROR(VLOOKUP(DATE($K$1,$K$2,KNF$4),Table1[],(MATCH(Calendar!$A19,DB!$1:$1,0)),FALSE),"")</f>
        <v/>
      </c>
      <c r="KNG19" s="28" t="str">
        <f>IFERROR(VLOOKUP(DATE($K$1,$K$2,KNG$4),Table1[],(MATCH(Calendar!$A19,DB!$1:$1,0)),FALSE),"")</f>
        <v/>
      </c>
      <c r="KNH19" s="28" t="str">
        <f>IFERROR(VLOOKUP(DATE($K$1,$K$2,KNH$4),Table1[],(MATCH(Calendar!$A19,DB!$1:$1,0)),FALSE),"")</f>
        <v/>
      </c>
      <c r="KNI19" s="28" t="str">
        <f>IFERROR(VLOOKUP(DATE($K$1,$K$2,KNI$4),Table1[],(MATCH(Calendar!$A19,DB!$1:$1,0)),FALSE),"")</f>
        <v/>
      </c>
      <c r="KNJ19" s="28" t="str">
        <f>IFERROR(VLOOKUP(DATE($K$1,$K$2,KNJ$4),Table1[],(MATCH(Calendar!$A19,DB!$1:$1,0)),FALSE),"")</f>
        <v/>
      </c>
      <c r="KNK19" s="28" t="str">
        <f>IFERROR(VLOOKUP(DATE($K$1,$K$2,KNK$4),Table1[],(MATCH(Calendar!$A19,DB!$1:$1,0)),FALSE),"")</f>
        <v/>
      </c>
      <c r="KNL19" s="28" t="str">
        <f>IFERROR(VLOOKUP(DATE($K$1,$K$2,KNL$4),Table1[],(MATCH(Calendar!$A19,DB!$1:$1,0)),FALSE),"")</f>
        <v/>
      </c>
      <c r="KNM19" s="28" t="str">
        <f>IFERROR(VLOOKUP(DATE($K$1,$K$2,KNM$4),Table1[],(MATCH(Calendar!$A19,DB!$1:$1,0)),FALSE),"")</f>
        <v/>
      </c>
      <c r="KNN19" s="28" t="str">
        <f>IFERROR(VLOOKUP(DATE($K$1,$K$2,KNN$4),Table1[],(MATCH(Calendar!$A19,DB!$1:$1,0)),FALSE),"")</f>
        <v/>
      </c>
      <c r="KNO19" s="28" t="str">
        <f>IFERROR(VLOOKUP(DATE($K$1,$K$2,KNO$4),Table1[],(MATCH(Calendar!$A19,DB!$1:$1,0)),FALSE),"")</f>
        <v/>
      </c>
      <c r="KNP19" s="28" t="str">
        <f>IFERROR(VLOOKUP(DATE($K$1,$K$2,KNP$4),Table1[],(MATCH(Calendar!$A19,DB!$1:$1,0)),FALSE),"")</f>
        <v/>
      </c>
      <c r="KNQ19" s="28" t="str">
        <f>IFERROR(VLOOKUP(DATE($K$1,$K$2,KNQ$4),Table1[],(MATCH(Calendar!$A19,DB!$1:$1,0)),FALSE),"")</f>
        <v/>
      </c>
      <c r="KNR19" s="28" t="str">
        <f>IFERROR(VLOOKUP(DATE($K$1,$K$2,KNR$4),Table1[],(MATCH(Calendar!$A19,DB!$1:$1,0)),FALSE),"")</f>
        <v/>
      </c>
      <c r="KNS19" s="28" t="str">
        <f>IFERROR(VLOOKUP(DATE($K$1,$K$2,KNS$4),Table1[],(MATCH(Calendar!$A19,DB!$1:$1,0)),FALSE),"")</f>
        <v/>
      </c>
      <c r="KNT19" s="28" t="str">
        <f>IFERROR(VLOOKUP(DATE($K$1,$K$2,KNT$4),Table1[],(MATCH(Calendar!$A19,DB!$1:$1,0)),FALSE),"")</f>
        <v/>
      </c>
      <c r="KNU19" s="28" t="str">
        <f>IFERROR(VLOOKUP(DATE($K$1,$K$2,KNU$4),Table1[],(MATCH(Calendar!$A19,DB!$1:$1,0)),FALSE),"")</f>
        <v/>
      </c>
      <c r="KNV19" s="28" t="str">
        <f>IFERROR(VLOOKUP(DATE($K$1,$K$2,KNV$4),Table1[],(MATCH(Calendar!$A19,DB!$1:$1,0)),FALSE),"")</f>
        <v/>
      </c>
      <c r="KNW19" s="28" t="str">
        <f>IFERROR(VLOOKUP(DATE($K$1,$K$2,KNW$4),Table1[],(MATCH(Calendar!$A19,DB!$1:$1,0)),FALSE),"")</f>
        <v/>
      </c>
      <c r="KNX19" s="28" t="str">
        <f>IFERROR(VLOOKUP(DATE($K$1,$K$2,KNX$4),Table1[],(MATCH(Calendar!$A19,DB!$1:$1,0)),FALSE),"")</f>
        <v/>
      </c>
      <c r="KNY19" s="28" t="str">
        <f>IFERROR(VLOOKUP(DATE($K$1,$K$2,KNY$4),Table1[],(MATCH(Calendar!$A19,DB!$1:$1,0)),FALSE),"")</f>
        <v/>
      </c>
      <c r="KNZ19" s="28" t="str">
        <f>IFERROR(VLOOKUP(DATE($K$1,$K$2,KNZ$4),Table1[],(MATCH(Calendar!$A19,DB!$1:$1,0)),FALSE),"")</f>
        <v/>
      </c>
      <c r="KOA19" s="28" t="str">
        <f>IFERROR(VLOOKUP(DATE($K$1,$K$2,KOA$4),Table1[],(MATCH(Calendar!$A19,DB!$1:$1,0)),FALSE),"")</f>
        <v/>
      </c>
      <c r="KOB19" s="28" t="str">
        <f>IFERROR(VLOOKUP(DATE($K$1,$K$2,KOB$4),Table1[],(MATCH(Calendar!$A19,DB!$1:$1,0)),FALSE),"")</f>
        <v/>
      </c>
      <c r="KOC19" s="28" t="str">
        <f>IFERROR(VLOOKUP(DATE($K$1,$K$2,KOC$4),Table1[],(MATCH(Calendar!$A19,DB!$1:$1,0)),FALSE),"")</f>
        <v/>
      </c>
      <c r="KOD19" s="28" t="str">
        <f>IFERROR(VLOOKUP(DATE($K$1,$K$2,KOD$4),Table1[],(MATCH(Calendar!$A19,DB!$1:$1,0)),FALSE),"")</f>
        <v/>
      </c>
      <c r="KOE19" s="28" t="str">
        <f>IFERROR(VLOOKUP(DATE($K$1,$K$2,KOE$4),Table1[],(MATCH(Calendar!$A19,DB!$1:$1,0)),FALSE),"")</f>
        <v/>
      </c>
      <c r="KOF19" s="28" t="str">
        <f>IFERROR(VLOOKUP(DATE($K$1,$K$2,KOF$4),Table1[],(MATCH(Calendar!$A19,DB!$1:$1,0)),FALSE),"")</f>
        <v/>
      </c>
      <c r="KOG19" s="28" t="str">
        <f>IFERROR(VLOOKUP(DATE($K$1,$K$2,KOG$4),Table1[],(MATCH(Calendar!$A19,DB!$1:$1,0)),FALSE),"")</f>
        <v/>
      </c>
      <c r="KOH19" s="28" t="str">
        <f>IFERROR(VLOOKUP(DATE($K$1,$K$2,KOH$4),Table1[],(MATCH(Calendar!$A19,DB!$1:$1,0)),FALSE),"")</f>
        <v/>
      </c>
      <c r="KOI19" s="28" t="str">
        <f>IFERROR(VLOOKUP(DATE($K$1,$K$2,KOI$4),Table1[],(MATCH(Calendar!$A19,DB!$1:$1,0)),FALSE),"")</f>
        <v/>
      </c>
      <c r="KOJ19" s="28" t="str">
        <f>IFERROR(VLOOKUP(DATE($K$1,$K$2,KOJ$4),Table1[],(MATCH(Calendar!$A19,DB!$1:$1,0)),FALSE),"")</f>
        <v/>
      </c>
      <c r="KOK19" s="28" t="str">
        <f>IFERROR(VLOOKUP(DATE($K$1,$K$2,KOK$4),Table1[],(MATCH(Calendar!$A19,DB!$1:$1,0)),FALSE),"")</f>
        <v/>
      </c>
      <c r="KOL19" s="28" t="str">
        <f>IFERROR(VLOOKUP(DATE($K$1,$K$2,KOL$4),Table1[],(MATCH(Calendar!$A19,DB!$1:$1,0)),FALSE),"")</f>
        <v/>
      </c>
      <c r="KOM19" s="28" t="str">
        <f>IFERROR(VLOOKUP(DATE($K$1,$K$2,KOM$4),Table1[],(MATCH(Calendar!$A19,DB!$1:$1,0)),FALSE),"")</f>
        <v/>
      </c>
      <c r="KON19" s="28" t="str">
        <f>IFERROR(VLOOKUP(DATE($K$1,$K$2,KON$4),Table1[],(MATCH(Calendar!$A19,DB!$1:$1,0)),FALSE),"")</f>
        <v/>
      </c>
      <c r="KOO19" s="28" t="str">
        <f>IFERROR(VLOOKUP(DATE($K$1,$K$2,KOO$4),Table1[],(MATCH(Calendar!$A19,DB!$1:$1,0)),FALSE),"")</f>
        <v/>
      </c>
      <c r="KOP19" s="28" t="str">
        <f>IFERROR(VLOOKUP(DATE($K$1,$K$2,KOP$4),Table1[],(MATCH(Calendar!$A19,DB!$1:$1,0)),FALSE),"")</f>
        <v/>
      </c>
      <c r="KOQ19" s="28" t="str">
        <f>IFERROR(VLOOKUP(DATE($K$1,$K$2,KOQ$4),Table1[],(MATCH(Calendar!$A19,DB!$1:$1,0)),FALSE),"")</f>
        <v/>
      </c>
      <c r="KOR19" s="28" t="str">
        <f>IFERROR(VLOOKUP(DATE($K$1,$K$2,KOR$4),Table1[],(MATCH(Calendar!$A19,DB!$1:$1,0)),FALSE),"")</f>
        <v/>
      </c>
      <c r="KOS19" s="28" t="str">
        <f>IFERROR(VLOOKUP(DATE($K$1,$K$2,KOS$4),Table1[],(MATCH(Calendar!$A19,DB!$1:$1,0)),FALSE),"")</f>
        <v/>
      </c>
      <c r="KOT19" s="28" t="str">
        <f>IFERROR(VLOOKUP(DATE($K$1,$K$2,KOT$4),Table1[],(MATCH(Calendar!$A19,DB!$1:$1,0)),FALSE),"")</f>
        <v/>
      </c>
      <c r="KOU19" s="28" t="str">
        <f>IFERROR(VLOOKUP(DATE($K$1,$K$2,KOU$4),Table1[],(MATCH(Calendar!$A19,DB!$1:$1,0)),FALSE),"")</f>
        <v/>
      </c>
      <c r="KOV19" s="28" t="str">
        <f>IFERROR(VLOOKUP(DATE($K$1,$K$2,KOV$4),Table1[],(MATCH(Calendar!$A19,DB!$1:$1,0)),FALSE),"")</f>
        <v/>
      </c>
      <c r="KOW19" s="28" t="str">
        <f>IFERROR(VLOOKUP(DATE($K$1,$K$2,KOW$4),Table1[],(MATCH(Calendar!$A19,DB!$1:$1,0)),FALSE),"")</f>
        <v/>
      </c>
      <c r="KOX19" s="28" t="str">
        <f>IFERROR(VLOOKUP(DATE($K$1,$K$2,KOX$4),Table1[],(MATCH(Calendar!$A19,DB!$1:$1,0)),FALSE),"")</f>
        <v/>
      </c>
      <c r="KOY19" s="28" t="str">
        <f>IFERROR(VLOOKUP(DATE($K$1,$K$2,KOY$4),Table1[],(MATCH(Calendar!$A19,DB!$1:$1,0)),FALSE),"")</f>
        <v/>
      </c>
      <c r="KOZ19" s="28" t="str">
        <f>IFERROR(VLOOKUP(DATE($K$1,$K$2,KOZ$4),Table1[],(MATCH(Calendar!$A19,DB!$1:$1,0)),FALSE),"")</f>
        <v/>
      </c>
      <c r="KPA19" s="28" t="str">
        <f>IFERROR(VLOOKUP(DATE($K$1,$K$2,KPA$4),Table1[],(MATCH(Calendar!$A19,DB!$1:$1,0)),FALSE),"")</f>
        <v/>
      </c>
      <c r="KPB19" s="28" t="str">
        <f>IFERROR(VLOOKUP(DATE($K$1,$K$2,KPB$4),Table1[],(MATCH(Calendar!$A19,DB!$1:$1,0)),FALSE),"")</f>
        <v/>
      </c>
      <c r="KPC19" s="28" t="str">
        <f>IFERROR(VLOOKUP(DATE($K$1,$K$2,KPC$4),Table1[],(MATCH(Calendar!$A19,DB!$1:$1,0)),FALSE),"")</f>
        <v/>
      </c>
      <c r="KPD19" s="28" t="str">
        <f>IFERROR(VLOOKUP(DATE($K$1,$K$2,KPD$4),Table1[],(MATCH(Calendar!$A19,DB!$1:$1,0)),FALSE),"")</f>
        <v/>
      </c>
      <c r="KPE19" s="28" t="str">
        <f>IFERROR(VLOOKUP(DATE($K$1,$K$2,KPE$4),Table1[],(MATCH(Calendar!$A19,DB!$1:$1,0)),FALSE),"")</f>
        <v/>
      </c>
      <c r="KPF19" s="28" t="str">
        <f>IFERROR(VLOOKUP(DATE($K$1,$K$2,KPF$4),Table1[],(MATCH(Calendar!$A19,DB!$1:$1,0)),FALSE),"")</f>
        <v/>
      </c>
      <c r="KPG19" s="28" t="str">
        <f>IFERROR(VLOOKUP(DATE($K$1,$K$2,KPG$4),Table1[],(MATCH(Calendar!$A19,DB!$1:$1,0)),FALSE),"")</f>
        <v/>
      </c>
      <c r="KPH19" s="28" t="str">
        <f>IFERROR(VLOOKUP(DATE($K$1,$K$2,KPH$4),Table1[],(MATCH(Calendar!$A19,DB!$1:$1,0)),FALSE),"")</f>
        <v/>
      </c>
      <c r="KPI19" s="28" t="str">
        <f>IFERROR(VLOOKUP(DATE($K$1,$K$2,KPI$4),Table1[],(MATCH(Calendar!$A19,DB!$1:$1,0)),FALSE),"")</f>
        <v/>
      </c>
      <c r="KPJ19" s="28" t="str">
        <f>IFERROR(VLOOKUP(DATE($K$1,$K$2,KPJ$4),Table1[],(MATCH(Calendar!$A19,DB!$1:$1,0)),FALSE),"")</f>
        <v/>
      </c>
      <c r="KPK19" s="28" t="str">
        <f>IFERROR(VLOOKUP(DATE($K$1,$K$2,KPK$4),Table1[],(MATCH(Calendar!$A19,DB!$1:$1,0)),FALSE),"")</f>
        <v/>
      </c>
      <c r="KPL19" s="28" t="str">
        <f>IFERROR(VLOOKUP(DATE($K$1,$K$2,KPL$4),Table1[],(MATCH(Calendar!$A19,DB!$1:$1,0)),FALSE),"")</f>
        <v/>
      </c>
      <c r="KPM19" s="28" t="str">
        <f>IFERROR(VLOOKUP(DATE($K$1,$K$2,KPM$4),Table1[],(MATCH(Calendar!$A19,DB!$1:$1,0)),FALSE),"")</f>
        <v/>
      </c>
      <c r="KPN19" s="28" t="str">
        <f>IFERROR(VLOOKUP(DATE($K$1,$K$2,KPN$4),Table1[],(MATCH(Calendar!$A19,DB!$1:$1,0)),FALSE),"")</f>
        <v/>
      </c>
      <c r="KPO19" s="28" t="str">
        <f>IFERROR(VLOOKUP(DATE($K$1,$K$2,KPO$4),Table1[],(MATCH(Calendar!$A19,DB!$1:$1,0)),FALSE),"")</f>
        <v/>
      </c>
      <c r="KPP19" s="28" t="str">
        <f>IFERROR(VLOOKUP(DATE($K$1,$K$2,KPP$4),Table1[],(MATCH(Calendar!$A19,DB!$1:$1,0)),FALSE),"")</f>
        <v/>
      </c>
      <c r="KPQ19" s="28" t="str">
        <f>IFERROR(VLOOKUP(DATE($K$1,$K$2,KPQ$4),Table1[],(MATCH(Calendar!$A19,DB!$1:$1,0)),FALSE),"")</f>
        <v/>
      </c>
      <c r="KPR19" s="28" t="str">
        <f>IFERROR(VLOOKUP(DATE($K$1,$K$2,KPR$4),Table1[],(MATCH(Calendar!$A19,DB!$1:$1,0)),FALSE),"")</f>
        <v/>
      </c>
      <c r="KPS19" s="28" t="str">
        <f>IFERROR(VLOOKUP(DATE($K$1,$K$2,KPS$4),Table1[],(MATCH(Calendar!$A19,DB!$1:$1,0)),FALSE),"")</f>
        <v/>
      </c>
      <c r="KPT19" s="28" t="str">
        <f>IFERROR(VLOOKUP(DATE($K$1,$K$2,KPT$4),Table1[],(MATCH(Calendar!$A19,DB!$1:$1,0)),FALSE),"")</f>
        <v/>
      </c>
      <c r="KPU19" s="28" t="str">
        <f>IFERROR(VLOOKUP(DATE($K$1,$K$2,KPU$4),Table1[],(MATCH(Calendar!$A19,DB!$1:$1,0)),FALSE),"")</f>
        <v/>
      </c>
      <c r="KPV19" s="28" t="str">
        <f>IFERROR(VLOOKUP(DATE($K$1,$K$2,KPV$4),Table1[],(MATCH(Calendar!$A19,DB!$1:$1,0)),FALSE),"")</f>
        <v/>
      </c>
      <c r="KPW19" s="28" t="str">
        <f>IFERROR(VLOOKUP(DATE($K$1,$K$2,KPW$4),Table1[],(MATCH(Calendar!$A19,DB!$1:$1,0)),FALSE),"")</f>
        <v/>
      </c>
      <c r="KPX19" s="28" t="str">
        <f>IFERROR(VLOOKUP(DATE($K$1,$K$2,KPX$4),Table1[],(MATCH(Calendar!$A19,DB!$1:$1,0)),FALSE),"")</f>
        <v/>
      </c>
      <c r="KPY19" s="28" t="str">
        <f>IFERROR(VLOOKUP(DATE($K$1,$K$2,KPY$4),Table1[],(MATCH(Calendar!$A19,DB!$1:$1,0)),FALSE),"")</f>
        <v/>
      </c>
      <c r="KPZ19" s="28" t="str">
        <f>IFERROR(VLOOKUP(DATE($K$1,$K$2,KPZ$4),Table1[],(MATCH(Calendar!$A19,DB!$1:$1,0)),FALSE),"")</f>
        <v/>
      </c>
      <c r="KQA19" s="28" t="str">
        <f>IFERROR(VLOOKUP(DATE($K$1,$K$2,KQA$4),Table1[],(MATCH(Calendar!$A19,DB!$1:$1,0)),FALSE),"")</f>
        <v/>
      </c>
      <c r="KQB19" s="28" t="str">
        <f>IFERROR(VLOOKUP(DATE($K$1,$K$2,KQB$4),Table1[],(MATCH(Calendar!$A19,DB!$1:$1,0)),FALSE),"")</f>
        <v/>
      </c>
      <c r="KQC19" s="28" t="str">
        <f>IFERROR(VLOOKUP(DATE($K$1,$K$2,KQC$4),Table1[],(MATCH(Calendar!$A19,DB!$1:$1,0)),FALSE),"")</f>
        <v/>
      </c>
      <c r="KQD19" s="28" t="str">
        <f>IFERROR(VLOOKUP(DATE($K$1,$K$2,KQD$4),Table1[],(MATCH(Calendar!$A19,DB!$1:$1,0)),FALSE),"")</f>
        <v/>
      </c>
      <c r="KQE19" s="28" t="str">
        <f>IFERROR(VLOOKUP(DATE($K$1,$K$2,KQE$4),Table1[],(MATCH(Calendar!$A19,DB!$1:$1,0)),FALSE),"")</f>
        <v/>
      </c>
      <c r="KQF19" s="28" t="str">
        <f>IFERROR(VLOOKUP(DATE($K$1,$K$2,KQF$4),Table1[],(MATCH(Calendar!$A19,DB!$1:$1,0)),FALSE),"")</f>
        <v/>
      </c>
      <c r="KQG19" s="28" t="str">
        <f>IFERROR(VLOOKUP(DATE($K$1,$K$2,KQG$4),Table1[],(MATCH(Calendar!$A19,DB!$1:$1,0)),FALSE),"")</f>
        <v/>
      </c>
      <c r="KQH19" s="28" t="str">
        <f>IFERROR(VLOOKUP(DATE($K$1,$K$2,KQH$4),Table1[],(MATCH(Calendar!$A19,DB!$1:$1,0)),FALSE),"")</f>
        <v/>
      </c>
      <c r="KQI19" s="28" t="str">
        <f>IFERROR(VLOOKUP(DATE($K$1,$K$2,KQI$4),Table1[],(MATCH(Calendar!$A19,DB!$1:$1,0)),FALSE),"")</f>
        <v/>
      </c>
      <c r="KQJ19" s="28" t="str">
        <f>IFERROR(VLOOKUP(DATE($K$1,$K$2,KQJ$4),Table1[],(MATCH(Calendar!$A19,DB!$1:$1,0)),FALSE),"")</f>
        <v/>
      </c>
      <c r="KQK19" s="28" t="str">
        <f>IFERROR(VLOOKUP(DATE($K$1,$K$2,KQK$4),Table1[],(MATCH(Calendar!$A19,DB!$1:$1,0)),FALSE),"")</f>
        <v/>
      </c>
      <c r="KQL19" s="28" t="str">
        <f>IFERROR(VLOOKUP(DATE($K$1,$K$2,KQL$4),Table1[],(MATCH(Calendar!$A19,DB!$1:$1,0)),FALSE),"")</f>
        <v/>
      </c>
      <c r="KQM19" s="28" t="str">
        <f>IFERROR(VLOOKUP(DATE($K$1,$K$2,KQM$4),Table1[],(MATCH(Calendar!$A19,DB!$1:$1,0)),FALSE),"")</f>
        <v/>
      </c>
      <c r="KQN19" s="28" t="str">
        <f>IFERROR(VLOOKUP(DATE($K$1,$K$2,KQN$4),Table1[],(MATCH(Calendar!$A19,DB!$1:$1,0)),FALSE),"")</f>
        <v/>
      </c>
      <c r="KQO19" s="28" t="str">
        <f>IFERROR(VLOOKUP(DATE($K$1,$K$2,KQO$4),Table1[],(MATCH(Calendar!$A19,DB!$1:$1,0)),FALSE),"")</f>
        <v/>
      </c>
      <c r="KQP19" s="28" t="str">
        <f>IFERROR(VLOOKUP(DATE($K$1,$K$2,KQP$4),Table1[],(MATCH(Calendar!$A19,DB!$1:$1,0)),FALSE),"")</f>
        <v/>
      </c>
      <c r="KQQ19" s="28" t="str">
        <f>IFERROR(VLOOKUP(DATE($K$1,$K$2,KQQ$4),Table1[],(MATCH(Calendar!$A19,DB!$1:$1,0)),FALSE),"")</f>
        <v/>
      </c>
      <c r="KQR19" s="28" t="str">
        <f>IFERROR(VLOOKUP(DATE($K$1,$K$2,KQR$4),Table1[],(MATCH(Calendar!$A19,DB!$1:$1,0)),FALSE),"")</f>
        <v/>
      </c>
      <c r="KQS19" s="28" t="str">
        <f>IFERROR(VLOOKUP(DATE($K$1,$K$2,KQS$4),Table1[],(MATCH(Calendar!$A19,DB!$1:$1,0)),FALSE),"")</f>
        <v/>
      </c>
      <c r="KQT19" s="28" t="str">
        <f>IFERROR(VLOOKUP(DATE($K$1,$K$2,KQT$4),Table1[],(MATCH(Calendar!$A19,DB!$1:$1,0)),FALSE),"")</f>
        <v/>
      </c>
      <c r="KQU19" s="28" t="str">
        <f>IFERROR(VLOOKUP(DATE($K$1,$K$2,KQU$4),Table1[],(MATCH(Calendar!$A19,DB!$1:$1,0)),FALSE),"")</f>
        <v/>
      </c>
      <c r="KQV19" s="28" t="str">
        <f>IFERROR(VLOOKUP(DATE($K$1,$K$2,KQV$4),Table1[],(MATCH(Calendar!$A19,DB!$1:$1,0)),FALSE),"")</f>
        <v/>
      </c>
      <c r="KQW19" s="28" t="str">
        <f>IFERROR(VLOOKUP(DATE($K$1,$K$2,KQW$4),Table1[],(MATCH(Calendar!$A19,DB!$1:$1,0)),FALSE),"")</f>
        <v/>
      </c>
      <c r="KQX19" s="28" t="str">
        <f>IFERROR(VLOOKUP(DATE($K$1,$K$2,KQX$4),Table1[],(MATCH(Calendar!$A19,DB!$1:$1,0)),FALSE),"")</f>
        <v/>
      </c>
      <c r="KQY19" s="28" t="str">
        <f>IFERROR(VLOOKUP(DATE($K$1,$K$2,KQY$4),Table1[],(MATCH(Calendar!$A19,DB!$1:$1,0)),FALSE),"")</f>
        <v/>
      </c>
      <c r="KQZ19" s="28" t="str">
        <f>IFERROR(VLOOKUP(DATE($K$1,$K$2,KQZ$4),Table1[],(MATCH(Calendar!$A19,DB!$1:$1,0)),FALSE),"")</f>
        <v/>
      </c>
      <c r="KRA19" s="28" t="str">
        <f>IFERROR(VLOOKUP(DATE($K$1,$K$2,KRA$4),Table1[],(MATCH(Calendar!$A19,DB!$1:$1,0)),FALSE),"")</f>
        <v/>
      </c>
      <c r="KRB19" s="28" t="str">
        <f>IFERROR(VLOOKUP(DATE($K$1,$K$2,KRB$4),Table1[],(MATCH(Calendar!$A19,DB!$1:$1,0)),FALSE),"")</f>
        <v/>
      </c>
      <c r="KRC19" s="28" t="str">
        <f>IFERROR(VLOOKUP(DATE($K$1,$K$2,KRC$4),Table1[],(MATCH(Calendar!$A19,DB!$1:$1,0)),FALSE),"")</f>
        <v/>
      </c>
      <c r="KRD19" s="28" t="str">
        <f>IFERROR(VLOOKUP(DATE($K$1,$K$2,KRD$4),Table1[],(MATCH(Calendar!$A19,DB!$1:$1,0)),FALSE),"")</f>
        <v/>
      </c>
      <c r="KRE19" s="28" t="str">
        <f>IFERROR(VLOOKUP(DATE($K$1,$K$2,KRE$4),Table1[],(MATCH(Calendar!$A19,DB!$1:$1,0)),FALSE),"")</f>
        <v/>
      </c>
      <c r="KRF19" s="28" t="str">
        <f>IFERROR(VLOOKUP(DATE($K$1,$K$2,KRF$4),Table1[],(MATCH(Calendar!$A19,DB!$1:$1,0)),FALSE),"")</f>
        <v/>
      </c>
      <c r="KRG19" s="28" t="str">
        <f>IFERROR(VLOOKUP(DATE($K$1,$K$2,KRG$4),Table1[],(MATCH(Calendar!$A19,DB!$1:$1,0)),FALSE),"")</f>
        <v/>
      </c>
      <c r="KRH19" s="28" t="str">
        <f>IFERROR(VLOOKUP(DATE($K$1,$K$2,KRH$4),Table1[],(MATCH(Calendar!$A19,DB!$1:$1,0)),FALSE),"")</f>
        <v/>
      </c>
      <c r="KRI19" s="28" t="str">
        <f>IFERROR(VLOOKUP(DATE($K$1,$K$2,KRI$4),Table1[],(MATCH(Calendar!$A19,DB!$1:$1,0)),FALSE),"")</f>
        <v/>
      </c>
      <c r="KRJ19" s="28" t="str">
        <f>IFERROR(VLOOKUP(DATE($K$1,$K$2,KRJ$4),Table1[],(MATCH(Calendar!$A19,DB!$1:$1,0)),FALSE),"")</f>
        <v/>
      </c>
      <c r="KRK19" s="28" t="str">
        <f>IFERROR(VLOOKUP(DATE($K$1,$K$2,KRK$4),Table1[],(MATCH(Calendar!$A19,DB!$1:$1,0)),FALSE),"")</f>
        <v/>
      </c>
      <c r="KRL19" s="28" t="str">
        <f>IFERROR(VLOOKUP(DATE($K$1,$K$2,KRL$4),Table1[],(MATCH(Calendar!$A19,DB!$1:$1,0)),FALSE),"")</f>
        <v/>
      </c>
      <c r="KRM19" s="28" t="str">
        <f>IFERROR(VLOOKUP(DATE($K$1,$K$2,KRM$4),Table1[],(MATCH(Calendar!$A19,DB!$1:$1,0)),FALSE),"")</f>
        <v/>
      </c>
      <c r="KRN19" s="28" t="str">
        <f>IFERROR(VLOOKUP(DATE($K$1,$K$2,KRN$4),Table1[],(MATCH(Calendar!$A19,DB!$1:$1,0)),FALSE),"")</f>
        <v/>
      </c>
      <c r="KRO19" s="28" t="str">
        <f>IFERROR(VLOOKUP(DATE($K$1,$K$2,KRO$4),Table1[],(MATCH(Calendar!$A19,DB!$1:$1,0)),FALSE),"")</f>
        <v/>
      </c>
      <c r="KRP19" s="28" t="str">
        <f>IFERROR(VLOOKUP(DATE($K$1,$K$2,KRP$4),Table1[],(MATCH(Calendar!$A19,DB!$1:$1,0)),FALSE),"")</f>
        <v/>
      </c>
      <c r="KRQ19" s="28" t="str">
        <f>IFERROR(VLOOKUP(DATE($K$1,$K$2,KRQ$4),Table1[],(MATCH(Calendar!$A19,DB!$1:$1,0)),FALSE),"")</f>
        <v/>
      </c>
      <c r="KRR19" s="28" t="str">
        <f>IFERROR(VLOOKUP(DATE($K$1,$K$2,KRR$4),Table1[],(MATCH(Calendar!$A19,DB!$1:$1,0)),FALSE),"")</f>
        <v/>
      </c>
      <c r="KRS19" s="28" t="str">
        <f>IFERROR(VLOOKUP(DATE($K$1,$K$2,KRS$4),Table1[],(MATCH(Calendar!$A19,DB!$1:$1,0)),FALSE),"")</f>
        <v/>
      </c>
      <c r="KRT19" s="28" t="str">
        <f>IFERROR(VLOOKUP(DATE($K$1,$K$2,KRT$4),Table1[],(MATCH(Calendar!$A19,DB!$1:$1,0)),FALSE),"")</f>
        <v/>
      </c>
      <c r="KRU19" s="28" t="str">
        <f>IFERROR(VLOOKUP(DATE($K$1,$K$2,KRU$4),Table1[],(MATCH(Calendar!$A19,DB!$1:$1,0)),FALSE),"")</f>
        <v/>
      </c>
      <c r="KRV19" s="28" t="str">
        <f>IFERROR(VLOOKUP(DATE($K$1,$K$2,KRV$4),Table1[],(MATCH(Calendar!$A19,DB!$1:$1,0)),FALSE),"")</f>
        <v/>
      </c>
      <c r="KRW19" s="28" t="str">
        <f>IFERROR(VLOOKUP(DATE($K$1,$K$2,KRW$4),Table1[],(MATCH(Calendar!$A19,DB!$1:$1,0)),FALSE),"")</f>
        <v/>
      </c>
      <c r="KRX19" s="28" t="str">
        <f>IFERROR(VLOOKUP(DATE($K$1,$K$2,KRX$4),Table1[],(MATCH(Calendar!$A19,DB!$1:$1,0)),FALSE),"")</f>
        <v/>
      </c>
      <c r="KRY19" s="28" t="str">
        <f>IFERROR(VLOOKUP(DATE($K$1,$K$2,KRY$4),Table1[],(MATCH(Calendar!$A19,DB!$1:$1,0)),FALSE),"")</f>
        <v/>
      </c>
      <c r="KRZ19" s="28" t="str">
        <f>IFERROR(VLOOKUP(DATE($K$1,$K$2,KRZ$4),Table1[],(MATCH(Calendar!$A19,DB!$1:$1,0)),FALSE),"")</f>
        <v/>
      </c>
      <c r="KSA19" s="28" t="str">
        <f>IFERROR(VLOOKUP(DATE($K$1,$K$2,KSA$4),Table1[],(MATCH(Calendar!$A19,DB!$1:$1,0)),FALSE),"")</f>
        <v/>
      </c>
      <c r="KSB19" s="28" t="str">
        <f>IFERROR(VLOOKUP(DATE($K$1,$K$2,KSB$4),Table1[],(MATCH(Calendar!$A19,DB!$1:$1,0)),FALSE),"")</f>
        <v/>
      </c>
      <c r="KSC19" s="28" t="str">
        <f>IFERROR(VLOOKUP(DATE($K$1,$K$2,KSC$4),Table1[],(MATCH(Calendar!$A19,DB!$1:$1,0)),FALSE),"")</f>
        <v/>
      </c>
      <c r="KSD19" s="28" t="str">
        <f>IFERROR(VLOOKUP(DATE($K$1,$K$2,KSD$4),Table1[],(MATCH(Calendar!$A19,DB!$1:$1,0)),FALSE),"")</f>
        <v/>
      </c>
      <c r="KSE19" s="28" t="str">
        <f>IFERROR(VLOOKUP(DATE($K$1,$K$2,KSE$4),Table1[],(MATCH(Calendar!$A19,DB!$1:$1,0)),FALSE),"")</f>
        <v/>
      </c>
      <c r="KSF19" s="28" t="str">
        <f>IFERROR(VLOOKUP(DATE($K$1,$K$2,KSF$4),Table1[],(MATCH(Calendar!$A19,DB!$1:$1,0)),FALSE),"")</f>
        <v/>
      </c>
      <c r="KSG19" s="28" t="str">
        <f>IFERROR(VLOOKUP(DATE($K$1,$K$2,KSG$4),Table1[],(MATCH(Calendar!$A19,DB!$1:$1,0)),FALSE),"")</f>
        <v/>
      </c>
      <c r="KSH19" s="28" t="str">
        <f>IFERROR(VLOOKUP(DATE($K$1,$K$2,KSH$4),Table1[],(MATCH(Calendar!$A19,DB!$1:$1,0)),FALSE),"")</f>
        <v/>
      </c>
      <c r="KSI19" s="28" t="str">
        <f>IFERROR(VLOOKUP(DATE($K$1,$K$2,KSI$4),Table1[],(MATCH(Calendar!$A19,DB!$1:$1,0)),FALSE),"")</f>
        <v/>
      </c>
      <c r="KSJ19" s="28" t="str">
        <f>IFERROR(VLOOKUP(DATE($K$1,$K$2,KSJ$4),Table1[],(MATCH(Calendar!$A19,DB!$1:$1,0)),FALSE),"")</f>
        <v/>
      </c>
      <c r="KSK19" s="28" t="str">
        <f>IFERROR(VLOOKUP(DATE($K$1,$K$2,KSK$4),Table1[],(MATCH(Calendar!$A19,DB!$1:$1,0)),FALSE),"")</f>
        <v/>
      </c>
      <c r="KSL19" s="28" t="str">
        <f>IFERROR(VLOOKUP(DATE($K$1,$K$2,KSL$4),Table1[],(MATCH(Calendar!$A19,DB!$1:$1,0)),FALSE),"")</f>
        <v/>
      </c>
      <c r="KSM19" s="28" t="str">
        <f>IFERROR(VLOOKUP(DATE($K$1,$K$2,KSM$4),Table1[],(MATCH(Calendar!$A19,DB!$1:$1,0)),FALSE),"")</f>
        <v/>
      </c>
      <c r="KSN19" s="28" t="str">
        <f>IFERROR(VLOOKUP(DATE($K$1,$K$2,KSN$4),Table1[],(MATCH(Calendar!$A19,DB!$1:$1,0)),FALSE),"")</f>
        <v/>
      </c>
      <c r="KSO19" s="28" t="str">
        <f>IFERROR(VLOOKUP(DATE($K$1,$K$2,KSO$4),Table1[],(MATCH(Calendar!$A19,DB!$1:$1,0)),FALSE),"")</f>
        <v/>
      </c>
      <c r="KSP19" s="28" t="str">
        <f>IFERROR(VLOOKUP(DATE($K$1,$K$2,KSP$4),Table1[],(MATCH(Calendar!$A19,DB!$1:$1,0)),FALSE),"")</f>
        <v/>
      </c>
      <c r="KSQ19" s="28" t="str">
        <f>IFERROR(VLOOKUP(DATE($K$1,$K$2,KSQ$4),Table1[],(MATCH(Calendar!$A19,DB!$1:$1,0)),FALSE),"")</f>
        <v/>
      </c>
      <c r="KSR19" s="28" t="str">
        <f>IFERROR(VLOOKUP(DATE($K$1,$K$2,KSR$4),Table1[],(MATCH(Calendar!$A19,DB!$1:$1,0)),FALSE),"")</f>
        <v/>
      </c>
      <c r="KSS19" s="28" t="str">
        <f>IFERROR(VLOOKUP(DATE($K$1,$K$2,KSS$4),Table1[],(MATCH(Calendar!$A19,DB!$1:$1,0)),FALSE),"")</f>
        <v/>
      </c>
      <c r="KST19" s="28" t="str">
        <f>IFERROR(VLOOKUP(DATE($K$1,$K$2,KST$4),Table1[],(MATCH(Calendar!$A19,DB!$1:$1,0)),FALSE),"")</f>
        <v/>
      </c>
      <c r="KSU19" s="28" t="str">
        <f>IFERROR(VLOOKUP(DATE($K$1,$K$2,KSU$4),Table1[],(MATCH(Calendar!$A19,DB!$1:$1,0)),FALSE),"")</f>
        <v/>
      </c>
      <c r="KSV19" s="28" t="str">
        <f>IFERROR(VLOOKUP(DATE($K$1,$K$2,KSV$4),Table1[],(MATCH(Calendar!$A19,DB!$1:$1,0)),FALSE),"")</f>
        <v/>
      </c>
      <c r="KSW19" s="28" t="str">
        <f>IFERROR(VLOOKUP(DATE($K$1,$K$2,KSW$4),Table1[],(MATCH(Calendar!$A19,DB!$1:$1,0)),FALSE),"")</f>
        <v/>
      </c>
      <c r="KSX19" s="28" t="str">
        <f>IFERROR(VLOOKUP(DATE($K$1,$K$2,KSX$4),Table1[],(MATCH(Calendar!$A19,DB!$1:$1,0)),FALSE),"")</f>
        <v/>
      </c>
      <c r="KSY19" s="28" t="str">
        <f>IFERROR(VLOOKUP(DATE($K$1,$K$2,KSY$4),Table1[],(MATCH(Calendar!$A19,DB!$1:$1,0)),FALSE),"")</f>
        <v/>
      </c>
      <c r="KSZ19" s="28" t="str">
        <f>IFERROR(VLOOKUP(DATE($K$1,$K$2,KSZ$4),Table1[],(MATCH(Calendar!$A19,DB!$1:$1,0)),FALSE),"")</f>
        <v/>
      </c>
      <c r="KTA19" s="28" t="str">
        <f>IFERROR(VLOOKUP(DATE($K$1,$K$2,KTA$4),Table1[],(MATCH(Calendar!$A19,DB!$1:$1,0)),FALSE),"")</f>
        <v/>
      </c>
      <c r="KTB19" s="28" t="str">
        <f>IFERROR(VLOOKUP(DATE($K$1,$K$2,KTB$4),Table1[],(MATCH(Calendar!$A19,DB!$1:$1,0)),FALSE),"")</f>
        <v/>
      </c>
      <c r="KTC19" s="28" t="str">
        <f>IFERROR(VLOOKUP(DATE($K$1,$K$2,KTC$4),Table1[],(MATCH(Calendar!$A19,DB!$1:$1,0)),FALSE),"")</f>
        <v/>
      </c>
      <c r="KTD19" s="28" t="str">
        <f>IFERROR(VLOOKUP(DATE($K$1,$K$2,KTD$4),Table1[],(MATCH(Calendar!$A19,DB!$1:$1,0)),FALSE),"")</f>
        <v/>
      </c>
      <c r="KTE19" s="28" t="str">
        <f>IFERROR(VLOOKUP(DATE($K$1,$K$2,KTE$4),Table1[],(MATCH(Calendar!$A19,DB!$1:$1,0)),FALSE),"")</f>
        <v/>
      </c>
      <c r="KTF19" s="28" t="str">
        <f>IFERROR(VLOOKUP(DATE($K$1,$K$2,KTF$4),Table1[],(MATCH(Calendar!$A19,DB!$1:$1,0)),FALSE),"")</f>
        <v/>
      </c>
      <c r="KTG19" s="28" t="str">
        <f>IFERROR(VLOOKUP(DATE($K$1,$K$2,KTG$4),Table1[],(MATCH(Calendar!$A19,DB!$1:$1,0)),FALSE),"")</f>
        <v/>
      </c>
      <c r="KTH19" s="28" t="str">
        <f>IFERROR(VLOOKUP(DATE($K$1,$K$2,KTH$4),Table1[],(MATCH(Calendar!$A19,DB!$1:$1,0)),FALSE),"")</f>
        <v/>
      </c>
      <c r="KTI19" s="28" t="str">
        <f>IFERROR(VLOOKUP(DATE($K$1,$K$2,KTI$4),Table1[],(MATCH(Calendar!$A19,DB!$1:$1,0)),FALSE),"")</f>
        <v/>
      </c>
      <c r="KTJ19" s="28" t="str">
        <f>IFERROR(VLOOKUP(DATE($K$1,$K$2,KTJ$4),Table1[],(MATCH(Calendar!$A19,DB!$1:$1,0)),FALSE),"")</f>
        <v/>
      </c>
      <c r="KTK19" s="28" t="str">
        <f>IFERROR(VLOOKUP(DATE($K$1,$K$2,KTK$4),Table1[],(MATCH(Calendar!$A19,DB!$1:$1,0)),FALSE),"")</f>
        <v/>
      </c>
      <c r="KTL19" s="28" t="str">
        <f>IFERROR(VLOOKUP(DATE($K$1,$K$2,KTL$4),Table1[],(MATCH(Calendar!$A19,DB!$1:$1,0)),FALSE),"")</f>
        <v/>
      </c>
      <c r="KTM19" s="28" t="str">
        <f>IFERROR(VLOOKUP(DATE($K$1,$K$2,KTM$4),Table1[],(MATCH(Calendar!$A19,DB!$1:$1,0)),FALSE),"")</f>
        <v/>
      </c>
      <c r="KTN19" s="28" t="str">
        <f>IFERROR(VLOOKUP(DATE($K$1,$K$2,KTN$4),Table1[],(MATCH(Calendar!$A19,DB!$1:$1,0)),FALSE),"")</f>
        <v/>
      </c>
      <c r="KTO19" s="28" t="str">
        <f>IFERROR(VLOOKUP(DATE($K$1,$K$2,KTO$4),Table1[],(MATCH(Calendar!$A19,DB!$1:$1,0)),FALSE),"")</f>
        <v/>
      </c>
      <c r="KTP19" s="28" t="str">
        <f>IFERROR(VLOOKUP(DATE($K$1,$K$2,KTP$4),Table1[],(MATCH(Calendar!$A19,DB!$1:$1,0)),FALSE),"")</f>
        <v/>
      </c>
      <c r="KTQ19" s="28" t="str">
        <f>IFERROR(VLOOKUP(DATE($K$1,$K$2,KTQ$4),Table1[],(MATCH(Calendar!$A19,DB!$1:$1,0)),FALSE),"")</f>
        <v/>
      </c>
      <c r="KTR19" s="28" t="str">
        <f>IFERROR(VLOOKUP(DATE($K$1,$K$2,KTR$4),Table1[],(MATCH(Calendar!$A19,DB!$1:$1,0)),FALSE),"")</f>
        <v/>
      </c>
      <c r="KTS19" s="28" t="str">
        <f>IFERROR(VLOOKUP(DATE($K$1,$K$2,KTS$4),Table1[],(MATCH(Calendar!$A19,DB!$1:$1,0)),FALSE),"")</f>
        <v/>
      </c>
      <c r="KTT19" s="28" t="str">
        <f>IFERROR(VLOOKUP(DATE($K$1,$K$2,KTT$4),Table1[],(MATCH(Calendar!$A19,DB!$1:$1,0)),FALSE),"")</f>
        <v/>
      </c>
      <c r="KTU19" s="28" t="str">
        <f>IFERROR(VLOOKUP(DATE($K$1,$K$2,KTU$4),Table1[],(MATCH(Calendar!$A19,DB!$1:$1,0)),FALSE),"")</f>
        <v/>
      </c>
      <c r="KTV19" s="28" t="str">
        <f>IFERROR(VLOOKUP(DATE($K$1,$K$2,KTV$4),Table1[],(MATCH(Calendar!$A19,DB!$1:$1,0)),FALSE),"")</f>
        <v/>
      </c>
      <c r="KTW19" s="28" t="str">
        <f>IFERROR(VLOOKUP(DATE($K$1,$K$2,KTW$4),Table1[],(MATCH(Calendar!$A19,DB!$1:$1,0)),FALSE),"")</f>
        <v/>
      </c>
      <c r="KTX19" s="28" t="str">
        <f>IFERROR(VLOOKUP(DATE($K$1,$K$2,KTX$4),Table1[],(MATCH(Calendar!$A19,DB!$1:$1,0)),FALSE),"")</f>
        <v/>
      </c>
      <c r="KTY19" s="28" t="str">
        <f>IFERROR(VLOOKUP(DATE($K$1,$K$2,KTY$4),Table1[],(MATCH(Calendar!$A19,DB!$1:$1,0)),FALSE),"")</f>
        <v/>
      </c>
      <c r="KTZ19" s="28" t="str">
        <f>IFERROR(VLOOKUP(DATE($K$1,$K$2,KTZ$4),Table1[],(MATCH(Calendar!$A19,DB!$1:$1,0)),FALSE),"")</f>
        <v/>
      </c>
      <c r="KUA19" s="28" t="str">
        <f>IFERROR(VLOOKUP(DATE($K$1,$K$2,KUA$4),Table1[],(MATCH(Calendar!$A19,DB!$1:$1,0)),FALSE),"")</f>
        <v/>
      </c>
      <c r="KUB19" s="28" t="str">
        <f>IFERROR(VLOOKUP(DATE($K$1,$K$2,KUB$4),Table1[],(MATCH(Calendar!$A19,DB!$1:$1,0)),FALSE),"")</f>
        <v/>
      </c>
      <c r="KUC19" s="28" t="str">
        <f>IFERROR(VLOOKUP(DATE($K$1,$K$2,KUC$4),Table1[],(MATCH(Calendar!$A19,DB!$1:$1,0)),FALSE),"")</f>
        <v/>
      </c>
      <c r="KUD19" s="28" t="str">
        <f>IFERROR(VLOOKUP(DATE($K$1,$K$2,KUD$4),Table1[],(MATCH(Calendar!$A19,DB!$1:$1,0)),FALSE),"")</f>
        <v/>
      </c>
      <c r="KUE19" s="28" t="str">
        <f>IFERROR(VLOOKUP(DATE($K$1,$K$2,KUE$4),Table1[],(MATCH(Calendar!$A19,DB!$1:$1,0)),FALSE),"")</f>
        <v/>
      </c>
      <c r="KUF19" s="28" t="str">
        <f>IFERROR(VLOOKUP(DATE($K$1,$K$2,KUF$4),Table1[],(MATCH(Calendar!$A19,DB!$1:$1,0)),FALSE),"")</f>
        <v/>
      </c>
      <c r="KUG19" s="28" t="str">
        <f>IFERROR(VLOOKUP(DATE($K$1,$K$2,KUG$4),Table1[],(MATCH(Calendar!$A19,DB!$1:$1,0)),FALSE),"")</f>
        <v/>
      </c>
      <c r="KUH19" s="28" t="str">
        <f>IFERROR(VLOOKUP(DATE($K$1,$K$2,KUH$4),Table1[],(MATCH(Calendar!$A19,DB!$1:$1,0)),FALSE),"")</f>
        <v/>
      </c>
      <c r="KUI19" s="28" t="str">
        <f>IFERROR(VLOOKUP(DATE($K$1,$K$2,KUI$4),Table1[],(MATCH(Calendar!$A19,DB!$1:$1,0)),FALSE),"")</f>
        <v/>
      </c>
      <c r="KUJ19" s="28" t="str">
        <f>IFERROR(VLOOKUP(DATE($K$1,$K$2,KUJ$4),Table1[],(MATCH(Calendar!$A19,DB!$1:$1,0)),FALSE),"")</f>
        <v/>
      </c>
      <c r="KUK19" s="28" t="str">
        <f>IFERROR(VLOOKUP(DATE($K$1,$K$2,KUK$4),Table1[],(MATCH(Calendar!$A19,DB!$1:$1,0)),FALSE),"")</f>
        <v/>
      </c>
      <c r="KUL19" s="28" t="str">
        <f>IFERROR(VLOOKUP(DATE($K$1,$K$2,KUL$4),Table1[],(MATCH(Calendar!$A19,DB!$1:$1,0)),FALSE),"")</f>
        <v/>
      </c>
      <c r="KUM19" s="28" t="str">
        <f>IFERROR(VLOOKUP(DATE($K$1,$K$2,KUM$4),Table1[],(MATCH(Calendar!$A19,DB!$1:$1,0)),FALSE),"")</f>
        <v/>
      </c>
      <c r="KUN19" s="28" t="str">
        <f>IFERROR(VLOOKUP(DATE($K$1,$K$2,KUN$4),Table1[],(MATCH(Calendar!$A19,DB!$1:$1,0)),FALSE),"")</f>
        <v/>
      </c>
      <c r="KUO19" s="28" t="str">
        <f>IFERROR(VLOOKUP(DATE($K$1,$K$2,KUO$4),Table1[],(MATCH(Calendar!$A19,DB!$1:$1,0)),FALSE),"")</f>
        <v/>
      </c>
      <c r="KUP19" s="28" t="str">
        <f>IFERROR(VLOOKUP(DATE($K$1,$K$2,KUP$4),Table1[],(MATCH(Calendar!$A19,DB!$1:$1,0)),FALSE),"")</f>
        <v/>
      </c>
      <c r="KUQ19" s="28" t="str">
        <f>IFERROR(VLOOKUP(DATE($K$1,$K$2,KUQ$4),Table1[],(MATCH(Calendar!$A19,DB!$1:$1,0)),FALSE),"")</f>
        <v/>
      </c>
      <c r="KUR19" s="28" t="str">
        <f>IFERROR(VLOOKUP(DATE($K$1,$K$2,KUR$4),Table1[],(MATCH(Calendar!$A19,DB!$1:$1,0)),FALSE),"")</f>
        <v/>
      </c>
      <c r="KUS19" s="28" t="str">
        <f>IFERROR(VLOOKUP(DATE($K$1,$K$2,KUS$4),Table1[],(MATCH(Calendar!$A19,DB!$1:$1,0)),FALSE),"")</f>
        <v/>
      </c>
      <c r="KUT19" s="28" t="str">
        <f>IFERROR(VLOOKUP(DATE($K$1,$K$2,KUT$4),Table1[],(MATCH(Calendar!$A19,DB!$1:$1,0)),FALSE),"")</f>
        <v/>
      </c>
      <c r="KUU19" s="28" t="str">
        <f>IFERROR(VLOOKUP(DATE($K$1,$K$2,KUU$4),Table1[],(MATCH(Calendar!$A19,DB!$1:$1,0)),FALSE),"")</f>
        <v/>
      </c>
      <c r="KUV19" s="28" t="str">
        <f>IFERROR(VLOOKUP(DATE($K$1,$K$2,KUV$4),Table1[],(MATCH(Calendar!$A19,DB!$1:$1,0)),FALSE),"")</f>
        <v/>
      </c>
      <c r="KUW19" s="28" t="str">
        <f>IFERROR(VLOOKUP(DATE($K$1,$K$2,KUW$4),Table1[],(MATCH(Calendar!$A19,DB!$1:$1,0)),FALSE),"")</f>
        <v/>
      </c>
      <c r="KUX19" s="28" t="str">
        <f>IFERROR(VLOOKUP(DATE($K$1,$K$2,KUX$4),Table1[],(MATCH(Calendar!$A19,DB!$1:$1,0)),FALSE),"")</f>
        <v/>
      </c>
      <c r="KUY19" s="28" t="str">
        <f>IFERROR(VLOOKUP(DATE($K$1,$K$2,KUY$4),Table1[],(MATCH(Calendar!$A19,DB!$1:$1,0)),FALSE),"")</f>
        <v/>
      </c>
      <c r="KUZ19" s="28" t="str">
        <f>IFERROR(VLOOKUP(DATE($K$1,$K$2,KUZ$4),Table1[],(MATCH(Calendar!$A19,DB!$1:$1,0)),FALSE),"")</f>
        <v/>
      </c>
      <c r="KVA19" s="28" t="str">
        <f>IFERROR(VLOOKUP(DATE($K$1,$K$2,KVA$4),Table1[],(MATCH(Calendar!$A19,DB!$1:$1,0)),FALSE),"")</f>
        <v/>
      </c>
      <c r="KVB19" s="28" t="str">
        <f>IFERROR(VLOOKUP(DATE($K$1,$K$2,KVB$4),Table1[],(MATCH(Calendar!$A19,DB!$1:$1,0)),FALSE),"")</f>
        <v/>
      </c>
      <c r="KVC19" s="28" t="str">
        <f>IFERROR(VLOOKUP(DATE($K$1,$K$2,KVC$4),Table1[],(MATCH(Calendar!$A19,DB!$1:$1,0)),FALSE),"")</f>
        <v/>
      </c>
      <c r="KVD19" s="28" t="str">
        <f>IFERROR(VLOOKUP(DATE($K$1,$K$2,KVD$4),Table1[],(MATCH(Calendar!$A19,DB!$1:$1,0)),FALSE),"")</f>
        <v/>
      </c>
      <c r="KVE19" s="28" t="str">
        <f>IFERROR(VLOOKUP(DATE($K$1,$K$2,KVE$4),Table1[],(MATCH(Calendar!$A19,DB!$1:$1,0)),FALSE),"")</f>
        <v/>
      </c>
      <c r="KVF19" s="28" t="str">
        <f>IFERROR(VLOOKUP(DATE($K$1,$K$2,KVF$4),Table1[],(MATCH(Calendar!$A19,DB!$1:$1,0)),FALSE),"")</f>
        <v/>
      </c>
      <c r="KVG19" s="28" t="str">
        <f>IFERROR(VLOOKUP(DATE($K$1,$K$2,KVG$4),Table1[],(MATCH(Calendar!$A19,DB!$1:$1,0)),FALSE),"")</f>
        <v/>
      </c>
      <c r="KVH19" s="28" t="str">
        <f>IFERROR(VLOOKUP(DATE($K$1,$K$2,KVH$4),Table1[],(MATCH(Calendar!$A19,DB!$1:$1,0)),FALSE),"")</f>
        <v/>
      </c>
      <c r="KVI19" s="28" t="str">
        <f>IFERROR(VLOOKUP(DATE($K$1,$K$2,KVI$4),Table1[],(MATCH(Calendar!$A19,DB!$1:$1,0)),FALSE),"")</f>
        <v/>
      </c>
      <c r="KVJ19" s="28" t="str">
        <f>IFERROR(VLOOKUP(DATE($K$1,$K$2,KVJ$4),Table1[],(MATCH(Calendar!$A19,DB!$1:$1,0)),FALSE),"")</f>
        <v/>
      </c>
      <c r="KVK19" s="28" t="str">
        <f>IFERROR(VLOOKUP(DATE($K$1,$K$2,KVK$4),Table1[],(MATCH(Calendar!$A19,DB!$1:$1,0)),FALSE),"")</f>
        <v/>
      </c>
      <c r="KVL19" s="28" t="str">
        <f>IFERROR(VLOOKUP(DATE($K$1,$K$2,KVL$4),Table1[],(MATCH(Calendar!$A19,DB!$1:$1,0)),FALSE),"")</f>
        <v/>
      </c>
      <c r="KVM19" s="28" t="str">
        <f>IFERROR(VLOOKUP(DATE($K$1,$K$2,KVM$4),Table1[],(MATCH(Calendar!$A19,DB!$1:$1,0)),FALSE),"")</f>
        <v/>
      </c>
      <c r="KVN19" s="28" t="str">
        <f>IFERROR(VLOOKUP(DATE($K$1,$K$2,KVN$4),Table1[],(MATCH(Calendar!$A19,DB!$1:$1,0)),FALSE),"")</f>
        <v/>
      </c>
      <c r="KVO19" s="28" t="str">
        <f>IFERROR(VLOOKUP(DATE($K$1,$K$2,KVO$4),Table1[],(MATCH(Calendar!$A19,DB!$1:$1,0)),FALSE),"")</f>
        <v/>
      </c>
      <c r="KVP19" s="28" t="str">
        <f>IFERROR(VLOOKUP(DATE($K$1,$K$2,KVP$4),Table1[],(MATCH(Calendar!$A19,DB!$1:$1,0)),FALSE),"")</f>
        <v/>
      </c>
      <c r="KVQ19" s="28" t="str">
        <f>IFERROR(VLOOKUP(DATE($K$1,$K$2,KVQ$4),Table1[],(MATCH(Calendar!$A19,DB!$1:$1,0)),FALSE),"")</f>
        <v/>
      </c>
      <c r="KVR19" s="28" t="str">
        <f>IFERROR(VLOOKUP(DATE($K$1,$K$2,KVR$4),Table1[],(MATCH(Calendar!$A19,DB!$1:$1,0)),FALSE),"")</f>
        <v/>
      </c>
      <c r="KVS19" s="28" t="str">
        <f>IFERROR(VLOOKUP(DATE($K$1,$K$2,KVS$4),Table1[],(MATCH(Calendar!$A19,DB!$1:$1,0)),FALSE),"")</f>
        <v/>
      </c>
      <c r="KVT19" s="28" t="str">
        <f>IFERROR(VLOOKUP(DATE($K$1,$K$2,KVT$4),Table1[],(MATCH(Calendar!$A19,DB!$1:$1,0)),FALSE),"")</f>
        <v/>
      </c>
      <c r="KVU19" s="28" t="str">
        <f>IFERROR(VLOOKUP(DATE($K$1,$K$2,KVU$4),Table1[],(MATCH(Calendar!$A19,DB!$1:$1,0)),FALSE),"")</f>
        <v/>
      </c>
      <c r="KVV19" s="28" t="str">
        <f>IFERROR(VLOOKUP(DATE($K$1,$K$2,KVV$4),Table1[],(MATCH(Calendar!$A19,DB!$1:$1,0)),FALSE),"")</f>
        <v/>
      </c>
      <c r="KVW19" s="28" t="str">
        <f>IFERROR(VLOOKUP(DATE($K$1,$K$2,KVW$4),Table1[],(MATCH(Calendar!$A19,DB!$1:$1,0)),FALSE),"")</f>
        <v/>
      </c>
      <c r="KVX19" s="28" t="str">
        <f>IFERROR(VLOOKUP(DATE($K$1,$K$2,KVX$4),Table1[],(MATCH(Calendar!$A19,DB!$1:$1,0)),FALSE),"")</f>
        <v/>
      </c>
      <c r="KVY19" s="28" t="str">
        <f>IFERROR(VLOOKUP(DATE($K$1,$K$2,KVY$4),Table1[],(MATCH(Calendar!$A19,DB!$1:$1,0)),FALSE),"")</f>
        <v/>
      </c>
      <c r="KVZ19" s="28" t="str">
        <f>IFERROR(VLOOKUP(DATE($K$1,$K$2,KVZ$4),Table1[],(MATCH(Calendar!$A19,DB!$1:$1,0)),FALSE),"")</f>
        <v/>
      </c>
      <c r="KWA19" s="28" t="str">
        <f>IFERROR(VLOOKUP(DATE($K$1,$K$2,KWA$4),Table1[],(MATCH(Calendar!$A19,DB!$1:$1,0)),FALSE),"")</f>
        <v/>
      </c>
      <c r="KWB19" s="28" t="str">
        <f>IFERROR(VLOOKUP(DATE($K$1,$K$2,KWB$4),Table1[],(MATCH(Calendar!$A19,DB!$1:$1,0)),FALSE),"")</f>
        <v/>
      </c>
      <c r="KWC19" s="28" t="str">
        <f>IFERROR(VLOOKUP(DATE($K$1,$K$2,KWC$4),Table1[],(MATCH(Calendar!$A19,DB!$1:$1,0)),FALSE),"")</f>
        <v/>
      </c>
      <c r="KWD19" s="28" t="str">
        <f>IFERROR(VLOOKUP(DATE($K$1,$K$2,KWD$4),Table1[],(MATCH(Calendar!$A19,DB!$1:$1,0)),FALSE),"")</f>
        <v/>
      </c>
      <c r="KWE19" s="28" t="str">
        <f>IFERROR(VLOOKUP(DATE($K$1,$K$2,KWE$4),Table1[],(MATCH(Calendar!$A19,DB!$1:$1,0)),FALSE),"")</f>
        <v/>
      </c>
      <c r="KWF19" s="28" t="str">
        <f>IFERROR(VLOOKUP(DATE($K$1,$K$2,KWF$4),Table1[],(MATCH(Calendar!$A19,DB!$1:$1,0)),FALSE),"")</f>
        <v/>
      </c>
      <c r="KWG19" s="28" t="str">
        <f>IFERROR(VLOOKUP(DATE($K$1,$K$2,KWG$4),Table1[],(MATCH(Calendar!$A19,DB!$1:$1,0)),FALSE),"")</f>
        <v/>
      </c>
      <c r="KWH19" s="28" t="str">
        <f>IFERROR(VLOOKUP(DATE($K$1,$K$2,KWH$4),Table1[],(MATCH(Calendar!$A19,DB!$1:$1,0)),FALSE),"")</f>
        <v/>
      </c>
      <c r="KWI19" s="28" t="str">
        <f>IFERROR(VLOOKUP(DATE($K$1,$K$2,KWI$4),Table1[],(MATCH(Calendar!$A19,DB!$1:$1,0)),FALSE),"")</f>
        <v/>
      </c>
      <c r="KWJ19" s="28" t="str">
        <f>IFERROR(VLOOKUP(DATE($K$1,$K$2,KWJ$4),Table1[],(MATCH(Calendar!$A19,DB!$1:$1,0)),FALSE),"")</f>
        <v/>
      </c>
      <c r="KWK19" s="28" t="str">
        <f>IFERROR(VLOOKUP(DATE($K$1,$K$2,KWK$4),Table1[],(MATCH(Calendar!$A19,DB!$1:$1,0)),FALSE),"")</f>
        <v/>
      </c>
      <c r="KWL19" s="28" t="str">
        <f>IFERROR(VLOOKUP(DATE($K$1,$K$2,KWL$4),Table1[],(MATCH(Calendar!$A19,DB!$1:$1,0)),FALSE),"")</f>
        <v/>
      </c>
      <c r="KWM19" s="28" t="str">
        <f>IFERROR(VLOOKUP(DATE($K$1,$K$2,KWM$4),Table1[],(MATCH(Calendar!$A19,DB!$1:$1,0)),FALSE),"")</f>
        <v/>
      </c>
      <c r="KWN19" s="28" t="str">
        <f>IFERROR(VLOOKUP(DATE($K$1,$K$2,KWN$4),Table1[],(MATCH(Calendar!$A19,DB!$1:$1,0)),FALSE),"")</f>
        <v/>
      </c>
      <c r="KWO19" s="28" t="str">
        <f>IFERROR(VLOOKUP(DATE($K$1,$K$2,KWO$4),Table1[],(MATCH(Calendar!$A19,DB!$1:$1,0)),FALSE),"")</f>
        <v/>
      </c>
      <c r="KWP19" s="28" t="str">
        <f>IFERROR(VLOOKUP(DATE($K$1,$K$2,KWP$4),Table1[],(MATCH(Calendar!$A19,DB!$1:$1,0)),FALSE),"")</f>
        <v/>
      </c>
      <c r="KWQ19" s="28" t="str">
        <f>IFERROR(VLOOKUP(DATE($K$1,$K$2,KWQ$4),Table1[],(MATCH(Calendar!$A19,DB!$1:$1,0)),FALSE),"")</f>
        <v/>
      </c>
      <c r="KWR19" s="28" t="str">
        <f>IFERROR(VLOOKUP(DATE($K$1,$K$2,KWR$4),Table1[],(MATCH(Calendar!$A19,DB!$1:$1,0)),FALSE),"")</f>
        <v/>
      </c>
      <c r="KWS19" s="28" t="str">
        <f>IFERROR(VLOOKUP(DATE($K$1,$K$2,KWS$4),Table1[],(MATCH(Calendar!$A19,DB!$1:$1,0)),FALSE),"")</f>
        <v/>
      </c>
      <c r="KWT19" s="28" t="str">
        <f>IFERROR(VLOOKUP(DATE($K$1,$K$2,KWT$4),Table1[],(MATCH(Calendar!$A19,DB!$1:$1,0)),FALSE),"")</f>
        <v/>
      </c>
      <c r="KWU19" s="28" t="str">
        <f>IFERROR(VLOOKUP(DATE($K$1,$K$2,KWU$4),Table1[],(MATCH(Calendar!$A19,DB!$1:$1,0)),FALSE),"")</f>
        <v/>
      </c>
      <c r="KWV19" s="28" t="str">
        <f>IFERROR(VLOOKUP(DATE($K$1,$K$2,KWV$4),Table1[],(MATCH(Calendar!$A19,DB!$1:$1,0)),FALSE),"")</f>
        <v/>
      </c>
      <c r="KWW19" s="28" t="str">
        <f>IFERROR(VLOOKUP(DATE($K$1,$K$2,KWW$4),Table1[],(MATCH(Calendar!$A19,DB!$1:$1,0)),FALSE),"")</f>
        <v/>
      </c>
      <c r="KWX19" s="28" t="str">
        <f>IFERROR(VLOOKUP(DATE($K$1,$K$2,KWX$4),Table1[],(MATCH(Calendar!$A19,DB!$1:$1,0)),FALSE),"")</f>
        <v/>
      </c>
      <c r="KWY19" s="28" t="str">
        <f>IFERROR(VLOOKUP(DATE($K$1,$K$2,KWY$4),Table1[],(MATCH(Calendar!$A19,DB!$1:$1,0)),FALSE),"")</f>
        <v/>
      </c>
      <c r="KWZ19" s="28" t="str">
        <f>IFERROR(VLOOKUP(DATE($K$1,$K$2,KWZ$4),Table1[],(MATCH(Calendar!$A19,DB!$1:$1,0)),FALSE),"")</f>
        <v/>
      </c>
      <c r="KXA19" s="28" t="str">
        <f>IFERROR(VLOOKUP(DATE($K$1,$K$2,KXA$4),Table1[],(MATCH(Calendar!$A19,DB!$1:$1,0)),FALSE),"")</f>
        <v/>
      </c>
      <c r="KXB19" s="28" t="str">
        <f>IFERROR(VLOOKUP(DATE($K$1,$K$2,KXB$4),Table1[],(MATCH(Calendar!$A19,DB!$1:$1,0)),FALSE),"")</f>
        <v/>
      </c>
      <c r="KXC19" s="28" t="str">
        <f>IFERROR(VLOOKUP(DATE($K$1,$K$2,KXC$4),Table1[],(MATCH(Calendar!$A19,DB!$1:$1,0)),FALSE),"")</f>
        <v/>
      </c>
      <c r="KXD19" s="28" t="str">
        <f>IFERROR(VLOOKUP(DATE($K$1,$K$2,KXD$4),Table1[],(MATCH(Calendar!$A19,DB!$1:$1,0)),FALSE),"")</f>
        <v/>
      </c>
      <c r="KXE19" s="28" t="str">
        <f>IFERROR(VLOOKUP(DATE($K$1,$K$2,KXE$4),Table1[],(MATCH(Calendar!$A19,DB!$1:$1,0)),FALSE),"")</f>
        <v/>
      </c>
      <c r="KXF19" s="28" t="str">
        <f>IFERROR(VLOOKUP(DATE($K$1,$K$2,KXF$4),Table1[],(MATCH(Calendar!$A19,DB!$1:$1,0)),FALSE),"")</f>
        <v/>
      </c>
      <c r="KXG19" s="28" t="str">
        <f>IFERROR(VLOOKUP(DATE($K$1,$K$2,KXG$4),Table1[],(MATCH(Calendar!$A19,DB!$1:$1,0)),FALSE),"")</f>
        <v/>
      </c>
      <c r="KXH19" s="28" t="str">
        <f>IFERROR(VLOOKUP(DATE($K$1,$K$2,KXH$4),Table1[],(MATCH(Calendar!$A19,DB!$1:$1,0)),FALSE),"")</f>
        <v/>
      </c>
      <c r="KXI19" s="28" t="str">
        <f>IFERROR(VLOOKUP(DATE($K$1,$K$2,KXI$4),Table1[],(MATCH(Calendar!$A19,DB!$1:$1,0)),FALSE),"")</f>
        <v/>
      </c>
      <c r="KXJ19" s="28" t="str">
        <f>IFERROR(VLOOKUP(DATE($K$1,$K$2,KXJ$4),Table1[],(MATCH(Calendar!$A19,DB!$1:$1,0)),FALSE),"")</f>
        <v/>
      </c>
      <c r="KXK19" s="28" t="str">
        <f>IFERROR(VLOOKUP(DATE($K$1,$K$2,KXK$4),Table1[],(MATCH(Calendar!$A19,DB!$1:$1,0)),FALSE),"")</f>
        <v/>
      </c>
      <c r="KXL19" s="28" t="str">
        <f>IFERROR(VLOOKUP(DATE($K$1,$K$2,KXL$4),Table1[],(MATCH(Calendar!$A19,DB!$1:$1,0)),FALSE),"")</f>
        <v/>
      </c>
      <c r="KXM19" s="28" t="str">
        <f>IFERROR(VLOOKUP(DATE($K$1,$K$2,KXM$4),Table1[],(MATCH(Calendar!$A19,DB!$1:$1,0)),FALSE),"")</f>
        <v/>
      </c>
      <c r="KXN19" s="28" t="str">
        <f>IFERROR(VLOOKUP(DATE($K$1,$K$2,KXN$4),Table1[],(MATCH(Calendar!$A19,DB!$1:$1,0)),FALSE),"")</f>
        <v/>
      </c>
      <c r="KXO19" s="28" t="str">
        <f>IFERROR(VLOOKUP(DATE($K$1,$K$2,KXO$4),Table1[],(MATCH(Calendar!$A19,DB!$1:$1,0)),FALSE),"")</f>
        <v/>
      </c>
      <c r="KXP19" s="28" t="str">
        <f>IFERROR(VLOOKUP(DATE($K$1,$K$2,KXP$4),Table1[],(MATCH(Calendar!$A19,DB!$1:$1,0)),FALSE),"")</f>
        <v/>
      </c>
      <c r="KXQ19" s="28" t="str">
        <f>IFERROR(VLOOKUP(DATE($K$1,$K$2,KXQ$4),Table1[],(MATCH(Calendar!$A19,DB!$1:$1,0)),FALSE),"")</f>
        <v/>
      </c>
      <c r="KXR19" s="28" t="str">
        <f>IFERROR(VLOOKUP(DATE($K$1,$K$2,KXR$4),Table1[],(MATCH(Calendar!$A19,DB!$1:$1,0)),FALSE),"")</f>
        <v/>
      </c>
      <c r="KXS19" s="28" t="str">
        <f>IFERROR(VLOOKUP(DATE($K$1,$K$2,KXS$4),Table1[],(MATCH(Calendar!$A19,DB!$1:$1,0)),FALSE),"")</f>
        <v/>
      </c>
      <c r="KXT19" s="28" t="str">
        <f>IFERROR(VLOOKUP(DATE($K$1,$K$2,KXT$4),Table1[],(MATCH(Calendar!$A19,DB!$1:$1,0)),FALSE),"")</f>
        <v/>
      </c>
      <c r="KXU19" s="28" t="str">
        <f>IFERROR(VLOOKUP(DATE($K$1,$K$2,KXU$4),Table1[],(MATCH(Calendar!$A19,DB!$1:$1,0)),FALSE),"")</f>
        <v/>
      </c>
      <c r="KXV19" s="28" t="str">
        <f>IFERROR(VLOOKUP(DATE($K$1,$K$2,KXV$4),Table1[],(MATCH(Calendar!$A19,DB!$1:$1,0)),FALSE),"")</f>
        <v/>
      </c>
      <c r="KXW19" s="28" t="str">
        <f>IFERROR(VLOOKUP(DATE($K$1,$K$2,KXW$4),Table1[],(MATCH(Calendar!$A19,DB!$1:$1,0)),FALSE),"")</f>
        <v/>
      </c>
      <c r="KXX19" s="28" t="str">
        <f>IFERROR(VLOOKUP(DATE($K$1,$K$2,KXX$4),Table1[],(MATCH(Calendar!$A19,DB!$1:$1,0)),FALSE),"")</f>
        <v/>
      </c>
      <c r="KXY19" s="28" t="str">
        <f>IFERROR(VLOOKUP(DATE($K$1,$K$2,KXY$4),Table1[],(MATCH(Calendar!$A19,DB!$1:$1,0)),FALSE),"")</f>
        <v/>
      </c>
      <c r="KXZ19" s="28" t="str">
        <f>IFERROR(VLOOKUP(DATE($K$1,$K$2,KXZ$4),Table1[],(MATCH(Calendar!$A19,DB!$1:$1,0)),FALSE),"")</f>
        <v/>
      </c>
      <c r="KYA19" s="28" t="str">
        <f>IFERROR(VLOOKUP(DATE($K$1,$K$2,KYA$4),Table1[],(MATCH(Calendar!$A19,DB!$1:$1,0)),FALSE),"")</f>
        <v/>
      </c>
      <c r="KYB19" s="28" t="str">
        <f>IFERROR(VLOOKUP(DATE($K$1,$K$2,KYB$4),Table1[],(MATCH(Calendar!$A19,DB!$1:$1,0)),FALSE),"")</f>
        <v/>
      </c>
      <c r="KYC19" s="28" t="str">
        <f>IFERROR(VLOOKUP(DATE($K$1,$K$2,KYC$4),Table1[],(MATCH(Calendar!$A19,DB!$1:$1,0)),FALSE),"")</f>
        <v/>
      </c>
      <c r="KYD19" s="28" t="str">
        <f>IFERROR(VLOOKUP(DATE($K$1,$K$2,KYD$4),Table1[],(MATCH(Calendar!$A19,DB!$1:$1,0)),FALSE),"")</f>
        <v/>
      </c>
      <c r="KYE19" s="28" t="str">
        <f>IFERROR(VLOOKUP(DATE($K$1,$K$2,KYE$4),Table1[],(MATCH(Calendar!$A19,DB!$1:$1,0)),FALSE),"")</f>
        <v/>
      </c>
      <c r="KYF19" s="28" t="str">
        <f>IFERROR(VLOOKUP(DATE($K$1,$K$2,KYF$4),Table1[],(MATCH(Calendar!$A19,DB!$1:$1,0)),FALSE),"")</f>
        <v/>
      </c>
      <c r="KYG19" s="28" t="str">
        <f>IFERROR(VLOOKUP(DATE($K$1,$K$2,KYG$4),Table1[],(MATCH(Calendar!$A19,DB!$1:$1,0)),FALSE),"")</f>
        <v/>
      </c>
      <c r="KYH19" s="28" t="str">
        <f>IFERROR(VLOOKUP(DATE($K$1,$K$2,KYH$4),Table1[],(MATCH(Calendar!$A19,DB!$1:$1,0)),FALSE),"")</f>
        <v/>
      </c>
      <c r="KYI19" s="28" t="str">
        <f>IFERROR(VLOOKUP(DATE($K$1,$K$2,KYI$4),Table1[],(MATCH(Calendar!$A19,DB!$1:$1,0)),FALSE),"")</f>
        <v/>
      </c>
      <c r="KYJ19" s="28" t="str">
        <f>IFERROR(VLOOKUP(DATE($K$1,$K$2,KYJ$4),Table1[],(MATCH(Calendar!$A19,DB!$1:$1,0)),FALSE),"")</f>
        <v/>
      </c>
      <c r="KYK19" s="28" t="str">
        <f>IFERROR(VLOOKUP(DATE($K$1,$K$2,KYK$4),Table1[],(MATCH(Calendar!$A19,DB!$1:$1,0)),FALSE),"")</f>
        <v/>
      </c>
      <c r="KYL19" s="28" t="str">
        <f>IFERROR(VLOOKUP(DATE($K$1,$K$2,KYL$4),Table1[],(MATCH(Calendar!$A19,DB!$1:$1,0)),FALSE),"")</f>
        <v/>
      </c>
      <c r="KYM19" s="28" t="str">
        <f>IFERROR(VLOOKUP(DATE($K$1,$K$2,KYM$4),Table1[],(MATCH(Calendar!$A19,DB!$1:$1,0)),FALSE),"")</f>
        <v/>
      </c>
      <c r="KYN19" s="28" t="str">
        <f>IFERROR(VLOOKUP(DATE($K$1,$K$2,KYN$4),Table1[],(MATCH(Calendar!$A19,DB!$1:$1,0)),FALSE),"")</f>
        <v/>
      </c>
      <c r="KYO19" s="28" t="str">
        <f>IFERROR(VLOOKUP(DATE($K$1,$K$2,KYO$4),Table1[],(MATCH(Calendar!$A19,DB!$1:$1,0)),FALSE),"")</f>
        <v/>
      </c>
      <c r="KYP19" s="28" t="str">
        <f>IFERROR(VLOOKUP(DATE($K$1,$K$2,KYP$4),Table1[],(MATCH(Calendar!$A19,DB!$1:$1,0)),FALSE),"")</f>
        <v/>
      </c>
      <c r="KYQ19" s="28" t="str">
        <f>IFERROR(VLOOKUP(DATE($K$1,$K$2,KYQ$4),Table1[],(MATCH(Calendar!$A19,DB!$1:$1,0)),FALSE),"")</f>
        <v/>
      </c>
      <c r="KYR19" s="28" t="str">
        <f>IFERROR(VLOOKUP(DATE($K$1,$K$2,KYR$4),Table1[],(MATCH(Calendar!$A19,DB!$1:$1,0)),FALSE),"")</f>
        <v/>
      </c>
      <c r="KYS19" s="28" t="str">
        <f>IFERROR(VLOOKUP(DATE($K$1,$K$2,KYS$4),Table1[],(MATCH(Calendar!$A19,DB!$1:$1,0)),FALSE),"")</f>
        <v/>
      </c>
      <c r="KYT19" s="28" t="str">
        <f>IFERROR(VLOOKUP(DATE($K$1,$K$2,KYT$4),Table1[],(MATCH(Calendar!$A19,DB!$1:$1,0)),FALSE),"")</f>
        <v/>
      </c>
      <c r="KYU19" s="28" t="str">
        <f>IFERROR(VLOOKUP(DATE($K$1,$K$2,KYU$4),Table1[],(MATCH(Calendar!$A19,DB!$1:$1,0)),FALSE),"")</f>
        <v/>
      </c>
      <c r="KYV19" s="28" t="str">
        <f>IFERROR(VLOOKUP(DATE($K$1,$K$2,KYV$4),Table1[],(MATCH(Calendar!$A19,DB!$1:$1,0)),FALSE),"")</f>
        <v/>
      </c>
      <c r="KYW19" s="28" t="str">
        <f>IFERROR(VLOOKUP(DATE($K$1,$K$2,KYW$4),Table1[],(MATCH(Calendar!$A19,DB!$1:$1,0)),FALSE),"")</f>
        <v/>
      </c>
      <c r="KYX19" s="28" t="str">
        <f>IFERROR(VLOOKUP(DATE($K$1,$K$2,KYX$4),Table1[],(MATCH(Calendar!$A19,DB!$1:$1,0)),FALSE),"")</f>
        <v/>
      </c>
      <c r="KYY19" s="28" t="str">
        <f>IFERROR(VLOOKUP(DATE($K$1,$K$2,KYY$4),Table1[],(MATCH(Calendar!$A19,DB!$1:$1,0)),FALSE),"")</f>
        <v/>
      </c>
      <c r="KYZ19" s="28" t="str">
        <f>IFERROR(VLOOKUP(DATE($K$1,$K$2,KYZ$4),Table1[],(MATCH(Calendar!$A19,DB!$1:$1,0)),FALSE),"")</f>
        <v/>
      </c>
      <c r="KZA19" s="28" t="str">
        <f>IFERROR(VLOOKUP(DATE($K$1,$K$2,KZA$4),Table1[],(MATCH(Calendar!$A19,DB!$1:$1,0)),FALSE),"")</f>
        <v/>
      </c>
      <c r="KZB19" s="28" t="str">
        <f>IFERROR(VLOOKUP(DATE($K$1,$K$2,KZB$4),Table1[],(MATCH(Calendar!$A19,DB!$1:$1,0)),FALSE),"")</f>
        <v/>
      </c>
      <c r="KZC19" s="28" t="str">
        <f>IFERROR(VLOOKUP(DATE($K$1,$K$2,KZC$4),Table1[],(MATCH(Calendar!$A19,DB!$1:$1,0)),FALSE),"")</f>
        <v/>
      </c>
      <c r="KZD19" s="28" t="str">
        <f>IFERROR(VLOOKUP(DATE($K$1,$K$2,KZD$4),Table1[],(MATCH(Calendar!$A19,DB!$1:$1,0)),FALSE),"")</f>
        <v/>
      </c>
      <c r="KZE19" s="28" t="str">
        <f>IFERROR(VLOOKUP(DATE($K$1,$K$2,KZE$4),Table1[],(MATCH(Calendar!$A19,DB!$1:$1,0)),FALSE),"")</f>
        <v/>
      </c>
      <c r="KZF19" s="28" t="str">
        <f>IFERROR(VLOOKUP(DATE($K$1,$K$2,KZF$4),Table1[],(MATCH(Calendar!$A19,DB!$1:$1,0)),FALSE),"")</f>
        <v/>
      </c>
      <c r="KZG19" s="28" t="str">
        <f>IFERROR(VLOOKUP(DATE($K$1,$K$2,KZG$4),Table1[],(MATCH(Calendar!$A19,DB!$1:$1,0)),FALSE),"")</f>
        <v/>
      </c>
      <c r="KZH19" s="28" t="str">
        <f>IFERROR(VLOOKUP(DATE($K$1,$K$2,KZH$4),Table1[],(MATCH(Calendar!$A19,DB!$1:$1,0)),FALSE),"")</f>
        <v/>
      </c>
      <c r="KZI19" s="28" t="str">
        <f>IFERROR(VLOOKUP(DATE($K$1,$K$2,KZI$4),Table1[],(MATCH(Calendar!$A19,DB!$1:$1,0)),FALSE),"")</f>
        <v/>
      </c>
      <c r="KZJ19" s="28" t="str">
        <f>IFERROR(VLOOKUP(DATE($K$1,$K$2,KZJ$4),Table1[],(MATCH(Calendar!$A19,DB!$1:$1,0)),FALSE),"")</f>
        <v/>
      </c>
      <c r="KZK19" s="28" t="str">
        <f>IFERROR(VLOOKUP(DATE($K$1,$K$2,KZK$4),Table1[],(MATCH(Calendar!$A19,DB!$1:$1,0)),FALSE),"")</f>
        <v/>
      </c>
      <c r="KZL19" s="28" t="str">
        <f>IFERROR(VLOOKUP(DATE($K$1,$K$2,KZL$4),Table1[],(MATCH(Calendar!$A19,DB!$1:$1,0)),FALSE),"")</f>
        <v/>
      </c>
      <c r="KZM19" s="28" t="str">
        <f>IFERROR(VLOOKUP(DATE($K$1,$K$2,KZM$4),Table1[],(MATCH(Calendar!$A19,DB!$1:$1,0)),FALSE),"")</f>
        <v/>
      </c>
      <c r="KZN19" s="28" t="str">
        <f>IFERROR(VLOOKUP(DATE($K$1,$K$2,KZN$4),Table1[],(MATCH(Calendar!$A19,DB!$1:$1,0)),FALSE),"")</f>
        <v/>
      </c>
      <c r="KZO19" s="28" t="str">
        <f>IFERROR(VLOOKUP(DATE($K$1,$K$2,KZO$4),Table1[],(MATCH(Calendar!$A19,DB!$1:$1,0)),FALSE),"")</f>
        <v/>
      </c>
      <c r="KZP19" s="28" t="str">
        <f>IFERROR(VLOOKUP(DATE($K$1,$K$2,KZP$4),Table1[],(MATCH(Calendar!$A19,DB!$1:$1,0)),FALSE),"")</f>
        <v/>
      </c>
      <c r="KZQ19" s="28" t="str">
        <f>IFERROR(VLOOKUP(DATE($K$1,$K$2,KZQ$4),Table1[],(MATCH(Calendar!$A19,DB!$1:$1,0)),FALSE),"")</f>
        <v/>
      </c>
      <c r="KZR19" s="28" t="str">
        <f>IFERROR(VLOOKUP(DATE($K$1,$K$2,KZR$4),Table1[],(MATCH(Calendar!$A19,DB!$1:$1,0)),FALSE),"")</f>
        <v/>
      </c>
      <c r="KZS19" s="28" t="str">
        <f>IFERROR(VLOOKUP(DATE($K$1,$K$2,KZS$4),Table1[],(MATCH(Calendar!$A19,DB!$1:$1,0)),FALSE),"")</f>
        <v/>
      </c>
      <c r="KZT19" s="28" t="str">
        <f>IFERROR(VLOOKUP(DATE($K$1,$K$2,KZT$4),Table1[],(MATCH(Calendar!$A19,DB!$1:$1,0)),FALSE),"")</f>
        <v/>
      </c>
      <c r="KZU19" s="28" t="str">
        <f>IFERROR(VLOOKUP(DATE($K$1,$K$2,KZU$4),Table1[],(MATCH(Calendar!$A19,DB!$1:$1,0)),FALSE),"")</f>
        <v/>
      </c>
      <c r="KZV19" s="28" t="str">
        <f>IFERROR(VLOOKUP(DATE($K$1,$K$2,KZV$4),Table1[],(MATCH(Calendar!$A19,DB!$1:$1,0)),FALSE),"")</f>
        <v/>
      </c>
      <c r="KZW19" s="28" t="str">
        <f>IFERROR(VLOOKUP(DATE($K$1,$K$2,KZW$4),Table1[],(MATCH(Calendar!$A19,DB!$1:$1,0)),FALSE),"")</f>
        <v/>
      </c>
      <c r="KZX19" s="28" t="str">
        <f>IFERROR(VLOOKUP(DATE($K$1,$K$2,KZX$4),Table1[],(MATCH(Calendar!$A19,DB!$1:$1,0)),FALSE),"")</f>
        <v/>
      </c>
      <c r="KZY19" s="28" t="str">
        <f>IFERROR(VLOOKUP(DATE($K$1,$K$2,KZY$4),Table1[],(MATCH(Calendar!$A19,DB!$1:$1,0)),FALSE),"")</f>
        <v/>
      </c>
      <c r="KZZ19" s="28" t="str">
        <f>IFERROR(VLOOKUP(DATE($K$1,$K$2,KZZ$4),Table1[],(MATCH(Calendar!$A19,DB!$1:$1,0)),FALSE),"")</f>
        <v/>
      </c>
      <c r="LAA19" s="28" t="str">
        <f>IFERROR(VLOOKUP(DATE($K$1,$K$2,LAA$4),Table1[],(MATCH(Calendar!$A19,DB!$1:$1,0)),FALSE),"")</f>
        <v/>
      </c>
      <c r="LAB19" s="28" t="str">
        <f>IFERROR(VLOOKUP(DATE($K$1,$K$2,LAB$4),Table1[],(MATCH(Calendar!$A19,DB!$1:$1,0)),FALSE),"")</f>
        <v/>
      </c>
      <c r="LAC19" s="28" t="str">
        <f>IFERROR(VLOOKUP(DATE($K$1,$K$2,LAC$4),Table1[],(MATCH(Calendar!$A19,DB!$1:$1,0)),FALSE),"")</f>
        <v/>
      </c>
      <c r="LAD19" s="28" t="str">
        <f>IFERROR(VLOOKUP(DATE($K$1,$K$2,LAD$4),Table1[],(MATCH(Calendar!$A19,DB!$1:$1,0)),FALSE),"")</f>
        <v/>
      </c>
      <c r="LAE19" s="28" t="str">
        <f>IFERROR(VLOOKUP(DATE($K$1,$K$2,LAE$4),Table1[],(MATCH(Calendar!$A19,DB!$1:$1,0)),FALSE),"")</f>
        <v/>
      </c>
      <c r="LAF19" s="28" t="str">
        <f>IFERROR(VLOOKUP(DATE($K$1,$K$2,LAF$4),Table1[],(MATCH(Calendar!$A19,DB!$1:$1,0)),FALSE),"")</f>
        <v/>
      </c>
      <c r="LAG19" s="28" t="str">
        <f>IFERROR(VLOOKUP(DATE($K$1,$K$2,LAG$4),Table1[],(MATCH(Calendar!$A19,DB!$1:$1,0)),FALSE),"")</f>
        <v/>
      </c>
      <c r="LAH19" s="28" t="str">
        <f>IFERROR(VLOOKUP(DATE($K$1,$K$2,LAH$4),Table1[],(MATCH(Calendar!$A19,DB!$1:$1,0)),FALSE),"")</f>
        <v/>
      </c>
      <c r="LAI19" s="28" t="str">
        <f>IFERROR(VLOOKUP(DATE($K$1,$K$2,LAI$4),Table1[],(MATCH(Calendar!$A19,DB!$1:$1,0)),FALSE),"")</f>
        <v/>
      </c>
      <c r="LAJ19" s="28" t="str">
        <f>IFERROR(VLOOKUP(DATE($K$1,$K$2,LAJ$4),Table1[],(MATCH(Calendar!$A19,DB!$1:$1,0)),FALSE),"")</f>
        <v/>
      </c>
      <c r="LAK19" s="28" t="str">
        <f>IFERROR(VLOOKUP(DATE($K$1,$K$2,LAK$4),Table1[],(MATCH(Calendar!$A19,DB!$1:$1,0)),FALSE),"")</f>
        <v/>
      </c>
      <c r="LAL19" s="28" t="str">
        <f>IFERROR(VLOOKUP(DATE($K$1,$K$2,LAL$4),Table1[],(MATCH(Calendar!$A19,DB!$1:$1,0)),FALSE),"")</f>
        <v/>
      </c>
      <c r="LAM19" s="28" t="str">
        <f>IFERROR(VLOOKUP(DATE($K$1,$K$2,LAM$4),Table1[],(MATCH(Calendar!$A19,DB!$1:$1,0)),FALSE),"")</f>
        <v/>
      </c>
      <c r="LAN19" s="28" t="str">
        <f>IFERROR(VLOOKUP(DATE($K$1,$K$2,LAN$4),Table1[],(MATCH(Calendar!$A19,DB!$1:$1,0)),FALSE),"")</f>
        <v/>
      </c>
      <c r="LAO19" s="28" t="str">
        <f>IFERROR(VLOOKUP(DATE($K$1,$K$2,LAO$4),Table1[],(MATCH(Calendar!$A19,DB!$1:$1,0)),FALSE),"")</f>
        <v/>
      </c>
      <c r="LAP19" s="28" t="str">
        <f>IFERROR(VLOOKUP(DATE($K$1,$K$2,LAP$4),Table1[],(MATCH(Calendar!$A19,DB!$1:$1,0)),FALSE),"")</f>
        <v/>
      </c>
      <c r="LAQ19" s="28" t="str">
        <f>IFERROR(VLOOKUP(DATE($K$1,$K$2,LAQ$4),Table1[],(MATCH(Calendar!$A19,DB!$1:$1,0)),FALSE),"")</f>
        <v/>
      </c>
      <c r="LAR19" s="28" t="str">
        <f>IFERROR(VLOOKUP(DATE($K$1,$K$2,LAR$4),Table1[],(MATCH(Calendar!$A19,DB!$1:$1,0)),FALSE),"")</f>
        <v/>
      </c>
      <c r="LAS19" s="28" t="str">
        <f>IFERROR(VLOOKUP(DATE($K$1,$K$2,LAS$4),Table1[],(MATCH(Calendar!$A19,DB!$1:$1,0)),FALSE),"")</f>
        <v/>
      </c>
      <c r="LAT19" s="28" t="str">
        <f>IFERROR(VLOOKUP(DATE($K$1,$K$2,LAT$4),Table1[],(MATCH(Calendar!$A19,DB!$1:$1,0)),FALSE),"")</f>
        <v/>
      </c>
      <c r="LAU19" s="28" t="str">
        <f>IFERROR(VLOOKUP(DATE($K$1,$K$2,LAU$4),Table1[],(MATCH(Calendar!$A19,DB!$1:$1,0)),FALSE),"")</f>
        <v/>
      </c>
      <c r="LAV19" s="28" t="str">
        <f>IFERROR(VLOOKUP(DATE($K$1,$K$2,LAV$4),Table1[],(MATCH(Calendar!$A19,DB!$1:$1,0)),FALSE),"")</f>
        <v/>
      </c>
      <c r="LAW19" s="28" t="str">
        <f>IFERROR(VLOOKUP(DATE($K$1,$K$2,LAW$4),Table1[],(MATCH(Calendar!$A19,DB!$1:$1,0)),FALSE),"")</f>
        <v/>
      </c>
      <c r="LAX19" s="28" t="str">
        <f>IFERROR(VLOOKUP(DATE($K$1,$K$2,LAX$4),Table1[],(MATCH(Calendar!$A19,DB!$1:$1,0)),FALSE),"")</f>
        <v/>
      </c>
      <c r="LAY19" s="28" t="str">
        <f>IFERROR(VLOOKUP(DATE($K$1,$K$2,LAY$4),Table1[],(MATCH(Calendar!$A19,DB!$1:$1,0)),FALSE),"")</f>
        <v/>
      </c>
      <c r="LAZ19" s="28" t="str">
        <f>IFERROR(VLOOKUP(DATE($K$1,$K$2,LAZ$4),Table1[],(MATCH(Calendar!$A19,DB!$1:$1,0)),FALSE),"")</f>
        <v/>
      </c>
      <c r="LBA19" s="28" t="str">
        <f>IFERROR(VLOOKUP(DATE($K$1,$K$2,LBA$4),Table1[],(MATCH(Calendar!$A19,DB!$1:$1,0)),FALSE),"")</f>
        <v/>
      </c>
      <c r="LBB19" s="28" t="str">
        <f>IFERROR(VLOOKUP(DATE($K$1,$K$2,LBB$4),Table1[],(MATCH(Calendar!$A19,DB!$1:$1,0)),FALSE),"")</f>
        <v/>
      </c>
      <c r="LBC19" s="28" t="str">
        <f>IFERROR(VLOOKUP(DATE($K$1,$K$2,LBC$4),Table1[],(MATCH(Calendar!$A19,DB!$1:$1,0)),FALSE),"")</f>
        <v/>
      </c>
      <c r="LBD19" s="28" t="str">
        <f>IFERROR(VLOOKUP(DATE($K$1,$K$2,LBD$4),Table1[],(MATCH(Calendar!$A19,DB!$1:$1,0)),FALSE),"")</f>
        <v/>
      </c>
      <c r="LBE19" s="28" t="str">
        <f>IFERROR(VLOOKUP(DATE($K$1,$K$2,LBE$4),Table1[],(MATCH(Calendar!$A19,DB!$1:$1,0)),FALSE),"")</f>
        <v/>
      </c>
      <c r="LBF19" s="28" t="str">
        <f>IFERROR(VLOOKUP(DATE($K$1,$K$2,LBF$4),Table1[],(MATCH(Calendar!$A19,DB!$1:$1,0)),FALSE),"")</f>
        <v/>
      </c>
      <c r="LBG19" s="28" t="str">
        <f>IFERROR(VLOOKUP(DATE($K$1,$K$2,LBG$4),Table1[],(MATCH(Calendar!$A19,DB!$1:$1,0)),FALSE),"")</f>
        <v/>
      </c>
      <c r="LBH19" s="28" t="str">
        <f>IFERROR(VLOOKUP(DATE($K$1,$K$2,LBH$4),Table1[],(MATCH(Calendar!$A19,DB!$1:$1,0)),FALSE),"")</f>
        <v/>
      </c>
      <c r="LBI19" s="28" t="str">
        <f>IFERROR(VLOOKUP(DATE($K$1,$K$2,LBI$4),Table1[],(MATCH(Calendar!$A19,DB!$1:$1,0)),FALSE),"")</f>
        <v/>
      </c>
      <c r="LBJ19" s="28" t="str">
        <f>IFERROR(VLOOKUP(DATE($K$1,$K$2,LBJ$4),Table1[],(MATCH(Calendar!$A19,DB!$1:$1,0)),FALSE),"")</f>
        <v/>
      </c>
      <c r="LBK19" s="28" t="str">
        <f>IFERROR(VLOOKUP(DATE($K$1,$K$2,LBK$4),Table1[],(MATCH(Calendar!$A19,DB!$1:$1,0)),FALSE),"")</f>
        <v/>
      </c>
      <c r="LBL19" s="28" t="str">
        <f>IFERROR(VLOOKUP(DATE($K$1,$K$2,LBL$4),Table1[],(MATCH(Calendar!$A19,DB!$1:$1,0)),FALSE),"")</f>
        <v/>
      </c>
      <c r="LBM19" s="28" t="str">
        <f>IFERROR(VLOOKUP(DATE($K$1,$K$2,LBM$4),Table1[],(MATCH(Calendar!$A19,DB!$1:$1,0)),FALSE),"")</f>
        <v/>
      </c>
      <c r="LBN19" s="28" t="str">
        <f>IFERROR(VLOOKUP(DATE($K$1,$K$2,LBN$4),Table1[],(MATCH(Calendar!$A19,DB!$1:$1,0)),FALSE),"")</f>
        <v/>
      </c>
      <c r="LBO19" s="28" t="str">
        <f>IFERROR(VLOOKUP(DATE($K$1,$K$2,LBO$4),Table1[],(MATCH(Calendar!$A19,DB!$1:$1,0)),FALSE),"")</f>
        <v/>
      </c>
      <c r="LBP19" s="28" t="str">
        <f>IFERROR(VLOOKUP(DATE($K$1,$K$2,LBP$4),Table1[],(MATCH(Calendar!$A19,DB!$1:$1,0)),FALSE),"")</f>
        <v/>
      </c>
      <c r="LBQ19" s="28" t="str">
        <f>IFERROR(VLOOKUP(DATE($K$1,$K$2,LBQ$4),Table1[],(MATCH(Calendar!$A19,DB!$1:$1,0)),FALSE),"")</f>
        <v/>
      </c>
      <c r="LBR19" s="28" t="str">
        <f>IFERROR(VLOOKUP(DATE($K$1,$K$2,LBR$4),Table1[],(MATCH(Calendar!$A19,DB!$1:$1,0)),FALSE),"")</f>
        <v/>
      </c>
      <c r="LBS19" s="28" t="str">
        <f>IFERROR(VLOOKUP(DATE($K$1,$K$2,LBS$4),Table1[],(MATCH(Calendar!$A19,DB!$1:$1,0)),FALSE),"")</f>
        <v/>
      </c>
      <c r="LBT19" s="28" t="str">
        <f>IFERROR(VLOOKUP(DATE($K$1,$K$2,LBT$4),Table1[],(MATCH(Calendar!$A19,DB!$1:$1,0)),FALSE),"")</f>
        <v/>
      </c>
      <c r="LBU19" s="28" t="str">
        <f>IFERROR(VLOOKUP(DATE($K$1,$K$2,LBU$4),Table1[],(MATCH(Calendar!$A19,DB!$1:$1,0)),FALSE),"")</f>
        <v/>
      </c>
      <c r="LBV19" s="28" t="str">
        <f>IFERROR(VLOOKUP(DATE($K$1,$K$2,LBV$4),Table1[],(MATCH(Calendar!$A19,DB!$1:$1,0)),FALSE),"")</f>
        <v/>
      </c>
      <c r="LBW19" s="28" t="str">
        <f>IFERROR(VLOOKUP(DATE($K$1,$K$2,LBW$4),Table1[],(MATCH(Calendar!$A19,DB!$1:$1,0)),FALSE),"")</f>
        <v/>
      </c>
      <c r="LBX19" s="28" t="str">
        <f>IFERROR(VLOOKUP(DATE($K$1,$K$2,LBX$4),Table1[],(MATCH(Calendar!$A19,DB!$1:$1,0)),FALSE),"")</f>
        <v/>
      </c>
      <c r="LBY19" s="28" t="str">
        <f>IFERROR(VLOOKUP(DATE($K$1,$K$2,LBY$4),Table1[],(MATCH(Calendar!$A19,DB!$1:$1,0)),FALSE),"")</f>
        <v/>
      </c>
      <c r="LBZ19" s="28" t="str">
        <f>IFERROR(VLOOKUP(DATE($K$1,$K$2,LBZ$4),Table1[],(MATCH(Calendar!$A19,DB!$1:$1,0)),FALSE),"")</f>
        <v/>
      </c>
      <c r="LCA19" s="28" t="str">
        <f>IFERROR(VLOOKUP(DATE($K$1,$K$2,LCA$4),Table1[],(MATCH(Calendar!$A19,DB!$1:$1,0)),FALSE),"")</f>
        <v/>
      </c>
      <c r="LCB19" s="28" t="str">
        <f>IFERROR(VLOOKUP(DATE($K$1,$K$2,LCB$4),Table1[],(MATCH(Calendar!$A19,DB!$1:$1,0)),FALSE),"")</f>
        <v/>
      </c>
      <c r="LCC19" s="28" t="str">
        <f>IFERROR(VLOOKUP(DATE($K$1,$K$2,LCC$4),Table1[],(MATCH(Calendar!$A19,DB!$1:$1,0)),FALSE),"")</f>
        <v/>
      </c>
      <c r="LCD19" s="28" t="str">
        <f>IFERROR(VLOOKUP(DATE($K$1,$K$2,LCD$4),Table1[],(MATCH(Calendar!$A19,DB!$1:$1,0)),FALSE),"")</f>
        <v/>
      </c>
      <c r="LCE19" s="28" t="str">
        <f>IFERROR(VLOOKUP(DATE($K$1,$K$2,LCE$4),Table1[],(MATCH(Calendar!$A19,DB!$1:$1,0)),FALSE),"")</f>
        <v/>
      </c>
      <c r="LCF19" s="28" t="str">
        <f>IFERROR(VLOOKUP(DATE($K$1,$K$2,LCF$4),Table1[],(MATCH(Calendar!$A19,DB!$1:$1,0)),FALSE),"")</f>
        <v/>
      </c>
      <c r="LCG19" s="28" t="str">
        <f>IFERROR(VLOOKUP(DATE($K$1,$K$2,LCG$4),Table1[],(MATCH(Calendar!$A19,DB!$1:$1,0)),FALSE),"")</f>
        <v/>
      </c>
      <c r="LCH19" s="28" t="str">
        <f>IFERROR(VLOOKUP(DATE($K$1,$K$2,LCH$4),Table1[],(MATCH(Calendar!$A19,DB!$1:$1,0)),FALSE),"")</f>
        <v/>
      </c>
      <c r="LCI19" s="28" t="str">
        <f>IFERROR(VLOOKUP(DATE($K$1,$K$2,LCI$4),Table1[],(MATCH(Calendar!$A19,DB!$1:$1,0)),FALSE),"")</f>
        <v/>
      </c>
      <c r="LCJ19" s="28" t="str">
        <f>IFERROR(VLOOKUP(DATE($K$1,$K$2,LCJ$4),Table1[],(MATCH(Calendar!$A19,DB!$1:$1,0)),FALSE),"")</f>
        <v/>
      </c>
      <c r="LCK19" s="28" t="str">
        <f>IFERROR(VLOOKUP(DATE($K$1,$K$2,LCK$4),Table1[],(MATCH(Calendar!$A19,DB!$1:$1,0)),FALSE),"")</f>
        <v/>
      </c>
      <c r="LCL19" s="28" t="str">
        <f>IFERROR(VLOOKUP(DATE($K$1,$K$2,LCL$4),Table1[],(MATCH(Calendar!$A19,DB!$1:$1,0)),FALSE),"")</f>
        <v/>
      </c>
      <c r="LCM19" s="28" t="str">
        <f>IFERROR(VLOOKUP(DATE($K$1,$K$2,LCM$4),Table1[],(MATCH(Calendar!$A19,DB!$1:$1,0)),FALSE),"")</f>
        <v/>
      </c>
      <c r="LCN19" s="28" t="str">
        <f>IFERROR(VLOOKUP(DATE($K$1,$K$2,LCN$4),Table1[],(MATCH(Calendar!$A19,DB!$1:$1,0)),FALSE),"")</f>
        <v/>
      </c>
      <c r="LCO19" s="28" t="str">
        <f>IFERROR(VLOOKUP(DATE($K$1,$K$2,LCO$4),Table1[],(MATCH(Calendar!$A19,DB!$1:$1,0)),FALSE),"")</f>
        <v/>
      </c>
      <c r="LCP19" s="28" t="str">
        <f>IFERROR(VLOOKUP(DATE($K$1,$K$2,LCP$4),Table1[],(MATCH(Calendar!$A19,DB!$1:$1,0)),FALSE),"")</f>
        <v/>
      </c>
      <c r="LCQ19" s="28" t="str">
        <f>IFERROR(VLOOKUP(DATE($K$1,$K$2,LCQ$4),Table1[],(MATCH(Calendar!$A19,DB!$1:$1,0)),FALSE),"")</f>
        <v/>
      </c>
      <c r="LCR19" s="28" t="str">
        <f>IFERROR(VLOOKUP(DATE($K$1,$K$2,LCR$4),Table1[],(MATCH(Calendar!$A19,DB!$1:$1,0)),FALSE),"")</f>
        <v/>
      </c>
      <c r="LCS19" s="28" t="str">
        <f>IFERROR(VLOOKUP(DATE($K$1,$K$2,LCS$4),Table1[],(MATCH(Calendar!$A19,DB!$1:$1,0)),FALSE),"")</f>
        <v/>
      </c>
      <c r="LCT19" s="28" t="str">
        <f>IFERROR(VLOOKUP(DATE($K$1,$K$2,LCT$4),Table1[],(MATCH(Calendar!$A19,DB!$1:$1,0)),FALSE),"")</f>
        <v/>
      </c>
      <c r="LCU19" s="28" t="str">
        <f>IFERROR(VLOOKUP(DATE($K$1,$K$2,LCU$4),Table1[],(MATCH(Calendar!$A19,DB!$1:$1,0)),FALSE),"")</f>
        <v/>
      </c>
      <c r="LCV19" s="28" t="str">
        <f>IFERROR(VLOOKUP(DATE($K$1,$K$2,LCV$4),Table1[],(MATCH(Calendar!$A19,DB!$1:$1,0)),FALSE),"")</f>
        <v/>
      </c>
      <c r="LCW19" s="28" t="str">
        <f>IFERROR(VLOOKUP(DATE($K$1,$K$2,LCW$4),Table1[],(MATCH(Calendar!$A19,DB!$1:$1,0)),FALSE),"")</f>
        <v/>
      </c>
      <c r="LCX19" s="28" t="str">
        <f>IFERROR(VLOOKUP(DATE($K$1,$K$2,LCX$4),Table1[],(MATCH(Calendar!$A19,DB!$1:$1,0)),FALSE),"")</f>
        <v/>
      </c>
      <c r="LCY19" s="28" t="str">
        <f>IFERROR(VLOOKUP(DATE($K$1,$K$2,LCY$4),Table1[],(MATCH(Calendar!$A19,DB!$1:$1,0)),FALSE),"")</f>
        <v/>
      </c>
      <c r="LCZ19" s="28" t="str">
        <f>IFERROR(VLOOKUP(DATE($K$1,$K$2,LCZ$4),Table1[],(MATCH(Calendar!$A19,DB!$1:$1,0)),FALSE),"")</f>
        <v/>
      </c>
      <c r="LDA19" s="28" t="str">
        <f>IFERROR(VLOOKUP(DATE($K$1,$K$2,LDA$4),Table1[],(MATCH(Calendar!$A19,DB!$1:$1,0)),FALSE),"")</f>
        <v/>
      </c>
      <c r="LDB19" s="28" t="str">
        <f>IFERROR(VLOOKUP(DATE($K$1,$K$2,LDB$4),Table1[],(MATCH(Calendar!$A19,DB!$1:$1,0)),FALSE),"")</f>
        <v/>
      </c>
      <c r="LDC19" s="28" t="str">
        <f>IFERROR(VLOOKUP(DATE($K$1,$K$2,LDC$4),Table1[],(MATCH(Calendar!$A19,DB!$1:$1,0)),FALSE),"")</f>
        <v/>
      </c>
      <c r="LDD19" s="28" t="str">
        <f>IFERROR(VLOOKUP(DATE($K$1,$K$2,LDD$4),Table1[],(MATCH(Calendar!$A19,DB!$1:$1,0)),FALSE),"")</f>
        <v/>
      </c>
      <c r="LDE19" s="28" t="str">
        <f>IFERROR(VLOOKUP(DATE($K$1,$K$2,LDE$4),Table1[],(MATCH(Calendar!$A19,DB!$1:$1,0)),FALSE),"")</f>
        <v/>
      </c>
      <c r="LDF19" s="28" t="str">
        <f>IFERROR(VLOOKUP(DATE($K$1,$K$2,LDF$4),Table1[],(MATCH(Calendar!$A19,DB!$1:$1,0)),FALSE),"")</f>
        <v/>
      </c>
      <c r="LDG19" s="28" t="str">
        <f>IFERROR(VLOOKUP(DATE($K$1,$K$2,LDG$4),Table1[],(MATCH(Calendar!$A19,DB!$1:$1,0)),FALSE),"")</f>
        <v/>
      </c>
      <c r="LDH19" s="28" t="str">
        <f>IFERROR(VLOOKUP(DATE($K$1,$K$2,LDH$4),Table1[],(MATCH(Calendar!$A19,DB!$1:$1,0)),FALSE),"")</f>
        <v/>
      </c>
      <c r="LDI19" s="28" t="str">
        <f>IFERROR(VLOOKUP(DATE($K$1,$K$2,LDI$4),Table1[],(MATCH(Calendar!$A19,DB!$1:$1,0)),FALSE),"")</f>
        <v/>
      </c>
      <c r="LDJ19" s="28" t="str">
        <f>IFERROR(VLOOKUP(DATE($K$1,$K$2,LDJ$4),Table1[],(MATCH(Calendar!$A19,DB!$1:$1,0)),FALSE),"")</f>
        <v/>
      </c>
      <c r="LDK19" s="28" t="str">
        <f>IFERROR(VLOOKUP(DATE($K$1,$K$2,LDK$4),Table1[],(MATCH(Calendar!$A19,DB!$1:$1,0)),FALSE),"")</f>
        <v/>
      </c>
      <c r="LDL19" s="28" t="str">
        <f>IFERROR(VLOOKUP(DATE($K$1,$K$2,LDL$4),Table1[],(MATCH(Calendar!$A19,DB!$1:$1,0)),FALSE),"")</f>
        <v/>
      </c>
      <c r="LDM19" s="28" t="str">
        <f>IFERROR(VLOOKUP(DATE($K$1,$K$2,LDM$4),Table1[],(MATCH(Calendar!$A19,DB!$1:$1,0)),FALSE),"")</f>
        <v/>
      </c>
      <c r="LDN19" s="28" t="str">
        <f>IFERROR(VLOOKUP(DATE($K$1,$K$2,LDN$4),Table1[],(MATCH(Calendar!$A19,DB!$1:$1,0)),FALSE),"")</f>
        <v/>
      </c>
      <c r="LDO19" s="28" t="str">
        <f>IFERROR(VLOOKUP(DATE($K$1,$K$2,LDO$4),Table1[],(MATCH(Calendar!$A19,DB!$1:$1,0)),FALSE),"")</f>
        <v/>
      </c>
      <c r="LDP19" s="28" t="str">
        <f>IFERROR(VLOOKUP(DATE($K$1,$K$2,LDP$4),Table1[],(MATCH(Calendar!$A19,DB!$1:$1,0)),FALSE),"")</f>
        <v/>
      </c>
      <c r="LDQ19" s="28" t="str">
        <f>IFERROR(VLOOKUP(DATE($K$1,$K$2,LDQ$4),Table1[],(MATCH(Calendar!$A19,DB!$1:$1,0)),FALSE),"")</f>
        <v/>
      </c>
      <c r="LDR19" s="28" t="str">
        <f>IFERROR(VLOOKUP(DATE($K$1,$K$2,LDR$4),Table1[],(MATCH(Calendar!$A19,DB!$1:$1,0)),FALSE),"")</f>
        <v/>
      </c>
      <c r="LDS19" s="28" t="str">
        <f>IFERROR(VLOOKUP(DATE($K$1,$K$2,LDS$4),Table1[],(MATCH(Calendar!$A19,DB!$1:$1,0)),FALSE),"")</f>
        <v/>
      </c>
      <c r="LDT19" s="28" t="str">
        <f>IFERROR(VLOOKUP(DATE($K$1,$K$2,LDT$4),Table1[],(MATCH(Calendar!$A19,DB!$1:$1,0)),FALSE),"")</f>
        <v/>
      </c>
      <c r="LDU19" s="28" t="str">
        <f>IFERROR(VLOOKUP(DATE($K$1,$K$2,LDU$4),Table1[],(MATCH(Calendar!$A19,DB!$1:$1,0)),FALSE),"")</f>
        <v/>
      </c>
      <c r="LDV19" s="28" t="str">
        <f>IFERROR(VLOOKUP(DATE($K$1,$K$2,LDV$4),Table1[],(MATCH(Calendar!$A19,DB!$1:$1,0)),FALSE),"")</f>
        <v/>
      </c>
      <c r="LDW19" s="28" t="str">
        <f>IFERROR(VLOOKUP(DATE($K$1,$K$2,LDW$4),Table1[],(MATCH(Calendar!$A19,DB!$1:$1,0)),FALSE),"")</f>
        <v/>
      </c>
      <c r="LDX19" s="28" t="str">
        <f>IFERROR(VLOOKUP(DATE($K$1,$K$2,LDX$4),Table1[],(MATCH(Calendar!$A19,DB!$1:$1,0)),FALSE),"")</f>
        <v/>
      </c>
      <c r="LDY19" s="28" t="str">
        <f>IFERROR(VLOOKUP(DATE($K$1,$K$2,LDY$4),Table1[],(MATCH(Calendar!$A19,DB!$1:$1,0)),FALSE),"")</f>
        <v/>
      </c>
      <c r="LDZ19" s="28" t="str">
        <f>IFERROR(VLOOKUP(DATE($K$1,$K$2,LDZ$4),Table1[],(MATCH(Calendar!$A19,DB!$1:$1,0)),FALSE),"")</f>
        <v/>
      </c>
      <c r="LEA19" s="28" t="str">
        <f>IFERROR(VLOOKUP(DATE($K$1,$K$2,LEA$4),Table1[],(MATCH(Calendar!$A19,DB!$1:$1,0)),FALSE),"")</f>
        <v/>
      </c>
      <c r="LEB19" s="28" t="str">
        <f>IFERROR(VLOOKUP(DATE($K$1,$K$2,LEB$4),Table1[],(MATCH(Calendar!$A19,DB!$1:$1,0)),FALSE),"")</f>
        <v/>
      </c>
      <c r="LEC19" s="28" t="str">
        <f>IFERROR(VLOOKUP(DATE($K$1,$K$2,LEC$4),Table1[],(MATCH(Calendar!$A19,DB!$1:$1,0)),FALSE),"")</f>
        <v/>
      </c>
      <c r="LED19" s="28" t="str">
        <f>IFERROR(VLOOKUP(DATE($K$1,$K$2,LED$4),Table1[],(MATCH(Calendar!$A19,DB!$1:$1,0)),FALSE),"")</f>
        <v/>
      </c>
      <c r="LEE19" s="28" t="str">
        <f>IFERROR(VLOOKUP(DATE($K$1,$K$2,LEE$4),Table1[],(MATCH(Calendar!$A19,DB!$1:$1,0)),FALSE),"")</f>
        <v/>
      </c>
      <c r="LEF19" s="28" t="str">
        <f>IFERROR(VLOOKUP(DATE($K$1,$K$2,LEF$4),Table1[],(MATCH(Calendar!$A19,DB!$1:$1,0)),FALSE),"")</f>
        <v/>
      </c>
      <c r="LEG19" s="28" t="str">
        <f>IFERROR(VLOOKUP(DATE($K$1,$K$2,LEG$4),Table1[],(MATCH(Calendar!$A19,DB!$1:$1,0)),FALSE),"")</f>
        <v/>
      </c>
      <c r="LEH19" s="28" t="str">
        <f>IFERROR(VLOOKUP(DATE($K$1,$K$2,LEH$4),Table1[],(MATCH(Calendar!$A19,DB!$1:$1,0)),FALSE),"")</f>
        <v/>
      </c>
      <c r="LEI19" s="28" t="str">
        <f>IFERROR(VLOOKUP(DATE($K$1,$K$2,LEI$4),Table1[],(MATCH(Calendar!$A19,DB!$1:$1,0)),FALSE),"")</f>
        <v/>
      </c>
      <c r="LEJ19" s="28" t="str">
        <f>IFERROR(VLOOKUP(DATE($K$1,$K$2,LEJ$4),Table1[],(MATCH(Calendar!$A19,DB!$1:$1,0)),FALSE),"")</f>
        <v/>
      </c>
      <c r="LEK19" s="28" t="str">
        <f>IFERROR(VLOOKUP(DATE($K$1,$K$2,LEK$4),Table1[],(MATCH(Calendar!$A19,DB!$1:$1,0)),FALSE),"")</f>
        <v/>
      </c>
      <c r="LEL19" s="28" t="str">
        <f>IFERROR(VLOOKUP(DATE($K$1,$K$2,LEL$4),Table1[],(MATCH(Calendar!$A19,DB!$1:$1,0)),FALSE),"")</f>
        <v/>
      </c>
      <c r="LEM19" s="28" t="str">
        <f>IFERROR(VLOOKUP(DATE($K$1,$K$2,LEM$4),Table1[],(MATCH(Calendar!$A19,DB!$1:$1,0)),FALSE),"")</f>
        <v/>
      </c>
      <c r="LEN19" s="28" t="str">
        <f>IFERROR(VLOOKUP(DATE($K$1,$K$2,LEN$4),Table1[],(MATCH(Calendar!$A19,DB!$1:$1,0)),FALSE),"")</f>
        <v/>
      </c>
      <c r="LEO19" s="28" t="str">
        <f>IFERROR(VLOOKUP(DATE($K$1,$K$2,LEO$4),Table1[],(MATCH(Calendar!$A19,DB!$1:$1,0)),FALSE),"")</f>
        <v/>
      </c>
      <c r="LEP19" s="28" t="str">
        <f>IFERROR(VLOOKUP(DATE($K$1,$K$2,LEP$4),Table1[],(MATCH(Calendar!$A19,DB!$1:$1,0)),FALSE),"")</f>
        <v/>
      </c>
      <c r="LEQ19" s="28" t="str">
        <f>IFERROR(VLOOKUP(DATE($K$1,$K$2,LEQ$4),Table1[],(MATCH(Calendar!$A19,DB!$1:$1,0)),FALSE),"")</f>
        <v/>
      </c>
      <c r="LER19" s="28" t="str">
        <f>IFERROR(VLOOKUP(DATE($K$1,$K$2,LER$4),Table1[],(MATCH(Calendar!$A19,DB!$1:$1,0)),FALSE),"")</f>
        <v/>
      </c>
      <c r="LES19" s="28" t="str">
        <f>IFERROR(VLOOKUP(DATE($K$1,$K$2,LES$4),Table1[],(MATCH(Calendar!$A19,DB!$1:$1,0)),FALSE),"")</f>
        <v/>
      </c>
      <c r="LET19" s="28" t="str">
        <f>IFERROR(VLOOKUP(DATE($K$1,$K$2,LET$4),Table1[],(MATCH(Calendar!$A19,DB!$1:$1,0)),FALSE),"")</f>
        <v/>
      </c>
      <c r="LEU19" s="28" t="str">
        <f>IFERROR(VLOOKUP(DATE($K$1,$K$2,LEU$4),Table1[],(MATCH(Calendar!$A19,DB!$1:$1,0)),FALSE),"")</f>
        <v/>
      </c>
      <c r="LEV19" s="28" t="str">
        <f>IFERROR(VLOOKUP(DATE($K$1,$K$2,LEV$4),Table1[],(MATCH(Calendar!$A19,DB!$1:$1,0)),FALSE),"")</f>
        <v/>
      </c>
      <c r="LEW19" s="28" t="str">
        <f>IFERROR(VLOOKUP(DATE($K$1,$K$2,LEW$4),Table1[],(MATCH(Calendar!$A19,DB!$1:$1,0)),FALSE),"")</f>
        <v/>
      </c>
      <c r="LEX19" s="28" t="str">
        <f>IFERROR(VLOOKUP(DATE($K$1,$K$2,LEX$4),Table1[],(MATCH(Calendar!$A19,DB!$1:$1,0)),FALSE),"")</f>
        <v/>
      </c>
      <c r="LEY19" s="28" t="str">
        <f>IFERROR(VLOOKUP(DATE($K$1,$K$2,LEY$4),Table1[],(MATCH(Calendar!$A19,DB!$1:$1,0)),FALSE),"")</f>
        <v/>
      </c>
      <c r="LEZ19" s="28" t="str">
        <f>IFERROR(VLOOKUP(DATE($K$1,$K$2,LEZ$4),Table1[],(MATCH(Calendar!$A19,DB!$1:$1,0)),FALSE),"")</f>
        <v/>
      </c>
      <c r="LFA19" s="28" t="str">
        <f>IFERROR(VLOOKUP(DATE($K$1,$K$2,LFA$4),Table1[],(MATCH(Calendar!$A19,DB!$1:$1,0)),FALSE),"")</f>
        <v/>
      </c>
      <c r="LFB19" s="28" t="str">
        <f>IFERROR(VLOOKUP(DATE($K$1,$K$2,LFB$4),Table1[],(MATCH(Calendar!$A19,DB!$1:$1,0)),FALSE),"")</f>
        <v/>
      </c>
      <c r="LFC19" s="28" t="str">
        <f>IFERROR(VLOOKUP(DATE($K$1,$K$2,LFC$4),Table1[],(MATCH(Calendar!$A19,DB!$1:$1,0)),FALSE),"")</f>
        <v/>
      </c>
      <c r="LFD19" s="28" t="str">
        <f>IFERROR(VLOOKUP(DATE($K$1,$K$2,LFD$4),Table1[],(MATCH(Calendar!$A19,DB!$1:$1,0)),FALSE),"")</f>
        <v/>
      </c>
      <c r="LFE19" s="28" t="str">
        <f>IFERROR(VLOOKUP(DATE($K$1,$K$2,LFE$4),Table1[],(MATCH(Calendar!$A19,DB!$1:$1,0)),FALSE),"")</f>
        <v/>
      </c>
      <c r="LFF19" s="28" t="str">
        <f>IFERROR(VLOOKUP(DATE($K$1,$K$2,LFF$4),Table1[],(MATCH(Calendar!$A19,DB!$1:$1,0)),FALSE),"")</f>
        <v/>
      </c>
      <c r="LFG19" s="28" t="str">
        <f>IFERROR(VLOOKUP(DATE($K$1,$K$2,LFG$4),Table1[],(MATCH(Calendar!$A19,DB!$1:$1,0)),FALSE),"")</f>
        <v/>
      </c>
      <c r="LFH19" s="28" t="str">
        <f>IFERROR(VLOOKUP(DATE($K$1,$K$2,LFH$4),Table1[],(MATCH(Calendar!$A19,DB!$1:$1,0)),FALSE),"")</f>
        <v/>
      </c>
      <c r="LFI19" s="28" t="str">
        <f>IFERROR(VLOOKUP(DATE($K$1,$K$2,LFI$4),Table1[],(MATCH(Calendar!$A19,DB!$1:$1,0)),FALSE),"")</f>
        <v/>
      </c>
      <c r="LFJ19" s="28" t="str">
        <f>IFERROR(VLOOKUP(DATE($K$1,$K$2,LFJ$4),Table1[],(MATCH(Calendar!$A19,DB!$1:$1,0)),FALSE),"")</f>
        <v/>
      </c>
      <c r="LFK19" s="28" t="str">
        <f>IFERROR(VLOOKUP(DATE($K$1,$K$2,LFK$4),Table1[],(MATCH(Calendar!$A19,DB!$1:$1,0)),FALSE),"")</f>
        <v/>
      </c>
      <c r="LFL19" s="28" t="str">
        <f>IFERROR(VLOOKUP(DATE($K$1,$K$2,LFL$4),Table1[],(MATCH(Calendar!$A19,DB!$1:$1,0)),FALSE),"")</f>
        <v/>
      </c>
      <c r="LFM19" s="28" t="str">
        <f>IFERROR(VLOOKUP(DATE($K$1,$K$2,LFM$4),Table1[],(MATCH(Calendar!$A19,DB!$1:$1,0)),FALSE),"")</f>
        <v/>
      </c>
      <c r="LFN19" s="28" t="str">
        <f>IFERROR(VLOOKUP(DATE($K$1,$K$2,LFN$4),Table1[],(MATCH(Calendar!$A19,DB!$1:$1,0)),FALSE),"")</f>
        <v/>
      </c>
      <c r="LFO19" s="28" t="str">
        <f>IFERROR(VLOOKUP(DATE($K$1,$K$2,LFO$4),Table1[],(MATCH(Calendar!$A19,DB!$1:$1,0)),FALSE),"")</f>
        <v/>
      </c>
      <c r="LFP19" s="28" t="str">
        <f>IFERROR(VLOOKUP(DATE($K$1,$K$2,LFP$4),Table1[],(MATCH(Calendar!$A19,DB!$1:$1,0)),FALSE),"")</f>
        <v/>
      </c>
      <c r="LFQ19" s="28" t="str">
        <f>IFERROR(VLOOKUP(DATE($K$1,$K$2,LFQ$4),Table1[],(MATCH(Calendar!$A19,DB!$1:$1,0)),FALSE),"")</f>
        <v/>
      </c>
      <c r="LFR19" s="28" t="str">
        <f>IFERROR(VLOOKUP(DATE($K$1,$K$2,LFR$4),Table1[],(MATCH(Calendar!$A19,DB!$1:$1,0)),FALSE),"")</f>
        <v/>
      </c>
      <c r="LFS19" s="28" t="str">
        <f>IFERROR(VLOOKUP(DATE($K$1,$K$2,LFS$4),Table1[],(MATCH(Calendar!$A19,DB!$1:$1,0)),FALSE),"")</f>
        <v/>
      </c>
      <c r="LFT19" s="28" t="str">
        <f>IFERROR(VLOOKUP(DATE($K$1,$K$2,LFT$4),Table1[],(MATCH(Calendar!$A19,DB!$1:$1,0)),FALSE),"")</f>
        <v/>
      </c>
      <c r="LFU19" s="28" t="str">
        <f>IFERROR(VLOOKUP(DATE($K$1,$K$2,LFU$4),Table1[],(MATCH(Calendar!$A19,DB!$1:$1,0)),FALSE),"")</f>
        <v/>
      </c>
      <c r="LFV19" s="28" t="str">
        <f>IFERROR(VLOOKUP(DATE($K$1,$K$2,LFV$4),Table1[],(MATCH(Calendar!$A19,DB!$1:$1,0)),FALSE),"")</f>
        <v/>
      </c>
      <c r="LFW19" s="28" t="str">
        <f>IFERROR(VLOOKUP(DATE($K$1,$K$2,LFW$4),Table1[],(MATCH(Calendar!$A19,DB!$1:$1,0)),FALSE),"")</f>
        <v/>
      </c>
      <c r="LFX19" s="28" t="str">
        <f>IFERROR(VLOOKUP(DATE($K$1,$K$2,LFX$4),Table1[],(MATCH(Calendar!$A19,DB!$1:$1,0)),FALSE),"")</f>
        <v/>
      </c>
      <c r="LFY19" s="28" t="str">
        <f>IFERROR(VLOOKUP(DATE($K$1,$K$2,LFY$4),Table1[],(MATCH(Calendar!$A19,DB!$1:$1,0)),FALSE),"")</f>
        <v/>
      </c>
      <c r="LFZ19" s="28" t="str">
        <f>IFERROR(VLOOKUP(DATE($K$1,$K$2,LFZ$4),Table1[],(MATCH(Calendar!$A19,DB!$1:$1,0)),FALSE),"")</f>
        <v/>
      </c>
      <c r="LGA19" s="28" t="str">
        <f>IFERROR(VLOOKUP(DATE($K$1,$K$2,LGA$4),Table1[],(MATCH(Calendar!$A19,DB!$1:$1,0)),FALSE),"")</f>
        <v/>
      </c>
      <c r="LGB19" s="28" t="str">
        <f>IFERROR(VLOOKUP(DATE($K$1,$K$2,LGB$4),Table1[],(MATCH(Calendar!$A19,DB!$1:$1,0)),FALSE),"")</f>
        <v/>
      </c>
      <c r="LGC19" s="28" t="str">
        <f>IFERROR(VLOOKUP(DATE($K$1,$K$2,LGC$4),Table1[],(MATCH(Calendar!$A19,DB!$1:$1,0)),FALSE),"")</f>
        <v/>
      </c>
      <c r="LGD19" s="28" t="str">
        <f>IFERROR(VLOOKUP(DATE($K$1,$K$2,LGD$4),Table1[],(MATCH(Calendar!$A19,DB!$1:$1,0)),FALSE),"")</f>
        <v/>
      </c>
      <c r="LGE19" s="28" t="str">
        <f>IFERROR(VLOOKUP(DATE($K$1,$K$2,LGE$4),Table1[],(MATCH(Calendar!$A19,DB!$1:$1,0)),FALSE),"")</f>
        <v/>
      </c>
      <c r="LGF19" s="28" t="str">
        <f>IFERROR(VLOOKUP(DATE($K$1,$K$2,LGF$4),Table1[],(MATCH(Calendar!$A19,DB!$1:$1,0)),FALSE),"")</f>
        <v/>
      </c>
      <c r="LGG19" s="28" t="str">
        <f>IFERROR(VLOOKUP(DATE($K$1,$K$2,LGG$4),Table1[],(MATCH(Calendar!$A19,DB!$1:$1,0)),FALSE),"")</f>
        <v/>
      </c>
      <c r="LGH19" s="28" t="str">
        <f>IFERROR(VLOOKUP(DATE($K$1,$K$2,LGH$4),Table1[],(MATCH(Calendar!$A19,DB!$1:$1,0)),FALSE),"")</f>
        <v/>
      </c>
      <c r="LGI19" s="28" t="str">
        <f>IFERROR(VLOOKUP(DATE($K$1,$K$2,LGI$4),Table1[],(MATCH(Calendar!$A19,DB!$1:$1,0)),FALSE),"")</f>
        <v/>
      </c>
      <c r="LGJ19" s="28" t="str">
        <f>IFERROR(VLOOKUP(DATE($K$1,$K$2,LGJ$4),Table1[],(MATCH(Calendar!$A19,DB!$1:$1,0)),FALSE),"")</f>
        <v/>
      </c>
      <c r="LGK19" s="28" t="str">
        <f>IFERROR(VLOOKUP(DATE($K$1,$K$2,LGK$4),Table1[],(MATCH(Calendar!$A19,DB!$1:$1,0)),FALSE),"")</f>
        <v/>
      </c>
      <c r="LGL19" s="28" t="str">
        <f>IFERROR(VLOOKUP(DATE($K$1,$K$2,LGL$4),Table1[],(MATCH(Calendar!$A19,DB!$1:$1,0)),FALSE),"")</f>
        <v/>
      </c>
      <c r="LGM19" s="28" t="str">
        <f>IFERROR(VLOOKUP(DATE($K$1,$K$2,LGM$4),Table1[],(MATCH(Calendar!$A19,DB!$1:$1,0)),FALSE),"")</f>
        <v/>
      </c>
      <c r="LGN19" s="28" t="str">
        <f>IFERROR(VLOOKUP(DATE($K$1,$K$2,LGN$4),Table1[],(MATCH(Calendar!$A19,DB!$1:$1,0)),FALSE),"")</f>
        <v/>
      </c>
      <c r="LGO19" s="28" t="str">
        <f>IFERROR(VLOOKUP(DATE($K$1,$K$2,LGO$4),Table1[],(MATCH(Calendar!$A19,DB!$1:$1,0)),FALSE),"")</f>
        <v/>
      </c>
      <c r="LGP19" s="28" t="str">
        <f>IFERROR(VLOOKUP(DATE($K$1,$K$2,LGP$4),Table1[],(MATCH(Calendar!$A19,DB!$1:$1,0)),FALSE),"")</f>
        <v/>
      </c>
      <c r="LGQ19" s="28" t="str">
        <f>IFERROR(VLOOKUP(DATE($K$1,$K$2,LGQ$4),Table1[],(MATCH(Calendar!$A19,DB!$1:$1,0)),FALSE),"")</f>
        <v/>
      </c>
      <c r="LGR19" s="28" t="str">
        <f>IFERROR(VLOOKUP(DATE($K$1,$K$2,LGR$4),Table1[],(MATCH(Calendar!$A19,DB!$1:$1,0)),FALSE),"")</f>
        <v/>
      </c>
      <c r="LGS19" s="28" t="str">
        <f>IFERROR(VLOOKUP(DATE($K$1,$K$2,LGS$4),Table1[],(MATCH(Calendar!$A19,DB!$1:$1,0)),FALSE),"")</f>
        <v/>
      </c>
      <c r="LGT19" s="28" t="str">
        <f>IFERROR(VLOOKUP(DATE($K$1,$K$2,LGT$4),Table1[],(MATCH(Calendar!$A19,DB!$1:$1,0)),FALSE),"")</f>
        <v/>
      </c>
      <c r="LGU19" s="28" t="str">
        <f>IFERROR(VLOOKUP(DATE($K$1,$K$2,LGU$4),Table1[],(MATCH(Calendar!$A19,DB!$1:$1,0)),FALSE),"")</f>
        <v/>
      </c>
      <c r="LGV19" s="28" t="str">
        <f>IFERROR(VLOOKUP(DATE($K$1,$K$2,LGV$4),Table1[],(MATCH(Calendar!$A19,DB!$1:$1,0)),FALSE),"")</f>
        <v/>
      </c>
      <c r="LGW19" s="28" t="str">
        <f>IFERROR(VLOOKUP(DATE($K$1,$K$2,LGW$4),Table1[],(MATCH(Calendar!$A19,DB!$1:$1,0)),FALSE),"")</f>
        <v/>
      </c>
      <c r="LGX19" s="28" t="str">
        <f>IFERROR(VLOOKUP(DATE($K$1,$K$2,LGX$4),Table1[],(MATCH(Calendar!$A19,DB!$1:$1,0)),FALSE),"")</f>
        <v/>
      </c>
      <c r="LGY19" s="28" t="str">
        <f>IFERROR(VLOOKUP(DATE($K$1,$K$2,LGY$4),Table1[],(MATCH(Calendar!$A19,DB!$1:$1,0)),FALSE),"")</f>
        <v/>
      </c>
      <c r="LGZ19" s="28" t="str">
        <f>IFERROR(VLOOKUP(DATE($K$1,$K$2,LGZ$4),Table1[],(MATCH(Calendar!$A19,DB!$1:$1,0)),FALSE),"")</f>
        <v/>
      </c>
      <c r="LHA19" s="28" t="str">
        <f>IFERROR(VLOOKUP(DATE($K$1,$K$2,LHA$4),Table1[],(MATCH(Calendar!$A19,DB!$1:$1,0)),FALSE),"")</f>
        <v/>
      </c>
      <c r="LHB19" s="28" t="str">
        <f>IFERROR(VLOOKUP(DATE($K$1,$K$2,LHB$4),Table1[],(MATCH(Calendar!$A19,DB!$1:$1,0)),FALSE),"")</f>
        <v/>
      </c>
      <c r="LHC19" s="28" t="str">
        <f>IFERROR(VLOOKUP(DATE($K$1,$K$2,LHC$4),Table1[],(MATCH(Calendar!$A19,DB!$1:$1,0)),FALSE),"")</f>
        <v/>
      </c>
      <c r="LHD19" s="28" t="str">
        <f>IFERROR(VLOOKUP(DATE($K$1,$K$2,LHD$4),Table1[],(MATCH(Calendar!$A19,DB!$1:$1,0)),FALSE),"")</f>
        <v/>
      </c>
      <c r="LHE19" s="28" t="str">
        <f>IFERROR(VLOOKUP(DATE($K$1,$K$2,LHE$4),Table1[],(MATCH(Calendar!$A19,DB!$1:$1,0)),FALSE),"")</f>
        <v/>
      </c>
      <c r="LHF19" s="28" t="str">
        <f>IFERROR(VLOOKUP(DATE($K$1,$K$2,LHF$4),Table1[],(MATCH(Calendar!$A19,DB!$1:$1,0)),FALSE),"")</f>
        <v/>
      </c>
      <c r="LHG19" s="28" t="str">
        <f>IFERROR(VLOOKUP(DATE($K$1,$K$2,LHG$4),Table1[],(MATCH(Calendar!$A19,DB!$1:$1,0)),FALSE),"")</f>
        <v/>
      </c>
      <c r="LHH19" s="28" t="str">
        <f>IFERROR(VLOOKUP(DATE($K$1,$K$2,LHH$4),Table1[],(MATCH(Calendar!$A19,DB!$1:$1,0)),FALSE),"")</f>
        <v/>
      </c>
      <c r="LHI19" s="28" t="str">
        <f>IFERROR(VLOOKUP(DATE($K$1,$K$2,LHI$4),Table1[],(MATCH(Calendar!$A19,DB!$1:$1,0)),FALSE),"")</f>
        <v/>
      </c>
      <c r="LHJ19" s="28" t="str">
        <f>IFERROR(VLOOKUP(DATE($K$1,$K$2,LHJ$4),Table1[],(MATCH(Calendar!$A19,DB!$1:$1,0)),FALSE),"")</f>
        <v/>
      </c>
      <c r="LHK19" s="28" t="str">
        <f>IFERROR(VLOOKUP(DATE($K$1,$K$2,LHK$4),Table1[],(MATCH(Calendar!$A19,DB!$1:$1,0)),FALSE),"")</f>
        <v/>
      </c>
      <c r="LHL19" s="28" t="str">
        <f>IFERROR(VLOOKUP(DATE($K$1,$K$2,LHL$4),Table1[],(MATCH(Calendar!$A19,DB!$1:$1,0)),FALSE),"")</f>
        <v/>
      </c>
      <c r="LHM19" s="28" t="str">
        <f>IFERROR(VLOOKUP(DATE($K$1,$K$2,LHM$4),Table1[],(MATCH(Calendar!$A19,DB!$1:$1,0)),FALSE),"")</f>
        <v/>
      </c>
      <c r="LHN19" s="28" t="str">
        <f>IFERROR(VLOOKUP(DATE($K$1,$K$2,LHN$4),Table1[],(MATCH(Calendar!$A19,DB!$1:$1,0)),FALSE),"")</f>
        <v/>
      </c>
      <c r="LHO19" s="28" t="str">
        <f>IFERROR(VLOOKUP(DATE($K$1,$K$2,LHO$4),Table1[],(MATCH(Calendar!$A19,DB!$1:$1,0)),FALSE),"")</f>
        <v/>
      </c>
      <c r="LHP19" s="28" t="str">
        <f>IFERROR(VLOOKUP(DATE($K$1,$K$2,LHP$4),Table1[],(MATCH(Calendar!$A19,DB!$1:$1,0)),FALSE),"")</f>
        <v/>
      </c>
      <c r="LHQ19" s="28" t="str">
        <f>IFERROR(VLOOKUP(DATE($K$1,$K$2,LHQ$4),Table1[],(MATCH(Calendar!$A19,DB!$1:$1,0)),FALSE),"")</f>
        <v/>
      </c>
      <c r="LHR19" s="28" t="str">
        <f>IFERROR(VLOOKUP(DATE($K$1,$K$2,LHR$4),Table1[],(MATCH(Calendar!$A19,DB!$1:$1,0)),FALSE),"")</f>
        <v/>
      </c>
      <c r="LHS19" s="28" t="str">
        <f>IFERROR(VLOOKUP(DATE($K$1,$K$2,LHS$4),Table1[],(MATCH(Calendar!$A19,DB!$1:$1,0)),FALSE),"")</f>
        <v/>
      </c>
      <c r="LHT19" s="28" t="str">
        <f>IFERROR(VLOOKUP(DATE($K$1,$K$2,LHT$4),Table1[],(MATCH(Calendar!$A19,DB!$1:$1,0)),FALSE),"")</f>
        <v/>
      </c>
      <c r="LHU19" s="28" t="str">
        <f>IFERROR(VLOOKUP(DATE($K$1,$K$2,LHU$4),Table1[],(MATCH(Calendar!$A19,DB!$1:$1,0)),FALSE),"")</f>
        <v/>
      </c>
      <c r="LHV19" s="28" t="str">
        <f>IFERROR(VLOOKUP(DATE($K$1,$K$2,LHV$4),Table1[],(MATCH(Calendar!$A19,DB!$1:$1,0)),FALSE),"")</f>
        <v/>
      </c>
      <c r="LHW19" s="28" t="str">
        <f>IFERROR(VLOOKUP(DATE($K$1,$K$2,LHW$4),Table1[],(MATCH(Calendar!$A19,DB!$1:$1,0)),FALSE),"")</f>
        <v/>
      </c>
      <c r="LHX19" s="28" t="str">
        <f>IFERROR(VLOOKUP(DATE($K$1,$K$2,LHX$4),Table1[],(MATCH(Calendar!$A19,DB!$1:$1,0)),FALSE),"")</f>
        <v/>
      </c>
      <c r="LHY19" s="28" t="str">
        <f>IFERROR(VLOOKUP(DATE($K$1,$K$2,LHY$4),Table1[],(MATCH(Calendar!$A19,DB!$1:$1,0)),FALSE),"")</f>
        <v/>
      </c>
      <c r="LHZ19" s="28" t="str">
        <f>IFERROR(VLOOKUP(DATE($K$1,$K$2,LHZ$4),Table1[],(MATCH(Calendar!$A19,DB!$1:$1,0)),FALSE),"")</f>
        <v/>
      </c>
      <c r="LIA19" s="28" t="str">
        <f>IFERROR(VLOOKUP(DATE($K$1,$K$2,LIA$4),Table1[],(MATCH(Calendar!$A19,DB!$1:$1,0)),FALSE),"")</f>
        <v/>
      </c>
      <c r="LIB19" s="28" t="str">
        <f>IFERROR(VLOOKUP(DATE($K$1,$K$2,LIB$4),Table1[],(MATCH(Calendar!$A19,DB!$1:$1,0)),FALSE),"")</f>
        <v/>
      </c>
      <c r="LIC19" s="28" t="str">
        <f>IFERROR(VLOOKUP(DATE($K$1,$K$2,LIC$4),Table1[],(MATCH(Calendar!$A19,DB!$1:$1,0)),FALSE),"")</f>
        <v/>
      </c>
      <c r="LID19" s="28" t="str">
        <f>IFERROR(VLOOKUP(DATE($K$1,$K$2,LID$4),Table1[],(MATCH(Calendar!$A19,DB!$1:$1,0)),FALSE),"")</f>
        <v/>
      </c>
      <c r="LIE19" s="28" t="str">
        <f>IFERROR(VLOOKUP(DATE($K$1,$K$2,LIE$4),Table1[],(MATCH(Calendar!$A19,DB!$1:$1,0)),FALSE),"")</f>
        <v/>
      </c>
      <c r="LIF19" s="28" t="str">
        <f>IFERROR(VLOOKUP(DATE($K$1,$K$2,LIF$4),Table1[],(MATCH(Calendar!$A19,DB!$1:$1,0)),FALSE),"")</f>
        <v/>
      </c>
      <c r="LIG19" s="28" t="str">
        <f>IFERROR(VLOOKUP(DATE($K$1,$K$2,LIG$4),Table1[],(MATCH(Calendar!$A19,DB!$1:$1,0)),FALSE),"")</f>
        <v/>
      </c>
      <c r="LIH19" s="28" t="str">
        <f>IFERROR(VLOOKUP(DATE($K$1,$K$2,LIH$4),Table1[],(MATCH(Calendar!$A19,DB!$1:$1,0)),FALSE),"")</f>
        <v/>
      </c>
      <c r="LII19" s="28" t="str">
        <f>IFERROR(VLOOKUP(DATE($K$1,$K$2,LII$4),Table1[],(MATCH(Calendar!$A19,DB!$1:$1,0)),FALSE),"")</f>
        <v/>
      </c>
      <c r="LIJ19" s="28" t="str">
        <f>IFERROR(VLOOKUP(DATE($K$1,$K$2,LIJ$4),Table1[],(MATCH(Calendar!$A19,DB!$1:$1,0)),FALSE),"")</f>
        <v/>
      </c>
      <c r="LIK19" s="28" t="str">
        <f>IFERROR(VLOOKUP(DATE($K$1,$K$2,LIK$4),Table1[],(MATCH(Calendar!$A19,DB!$1:$1,0)),FALSE),"")</f>
        <v/>
      </c>
      <c r="LIL19" s="28" t="str">
        <f>IFERROR(VLOOKUP(DATE($K$1,$K$2,LIL$4),Table1[],(MATCH(Calendar!$A19,DB!$1:$1,0)),FALSE),"")</f>
        <v/>
      </c>
      <c r="LIM19" s="28" t="str">
        <f>IFERROR(VLOOKUP(DATE($K$1,$K$2,LIM$4),Table1[],(MATCH(Calendar!$A19,DB!$1:$1,0)),FALSE),"")</f>
        <v/>
      </c>
      <c r="LIN19" s="28" t="str">
        <f>IFERROR(VLOOKUP(DATE($K$1,$K$2,LIN$4),Table1[],(MATCH(Calendar!$A19,DB!$1:$1,0)),FALSE),"")</f>
        <v/>
      </c>
      <c r="LIO19" s="28" t="str">
        <f>IFERROR(VLOOKUP(DATE($K$1,$K$2,LIO$4),Table1[],(MATCH(Calendar!$A19,DB!$1:$1,0)),FALSE),"")</f>
        <v/>
      </c>
      <c r="LIP19" s="28" t="str">
        <f>IFERROR(VLOOKUP(DATE($K$1,$K$2,LIP$4),Table1[],(MATCH(Calendar!$A19,DB!$1:$1,0)),FALSE),"")</f>
        <v/>
      </c>
      <c r="LIQ19" s="28" t="str">
        <f>IFERROR(VLOOKUP(DATE($K$1,$K$2,LIQ$4),Table1[],(MATCH(Calendar!$A19,DB!$1:$1,0)),FALSE),"")</f>
        <v/>
      </c>
      <c r="LIR19" s="28" t="str">
        <f>IFERROR(VLOOKUP(DATE($K$1,$K$2,LIR$4),Table1[],(MATCH(Calendar!$A19,DB!$1:$1,0)),FALSE),"")</f>
        <v/>
      </c>
      <c r="LIS19" s="28" t="str">
        <f>IFERROR(VLOOKUP(DATE($K$1,$K$2,LIS$4),Table1[],(MATCH(Calendar!$A19,DB!$1:$1,0)),FALSE),"")</f>
        <v/>
      </c>
      <c r="LIT19" s="28" t="str">
        <f>IFERROR(VLOOKUP(DATE($K$1,$K$2,LIT$4),Table1[],(MATCH(Calendar!$A19,DB!$1:$1,0)),FALSE),"")</f>
        <v/>
      </c>
      <c r="LIU19" s="28" t="str">
        <f>IFERROR(VLOOKUP(DATE($K$1,$K$2,LIU$4),Table1[],(MATCH(Calendar!$A19,DB!$1:$1,0)),FALSE),"")</f>
        <v/>
      </c>
      <c r="LIV19" s="28" t="str">
        <f>IFERROR(VLOOKUP(DATE($K$1,$K$2,LIV$4),Table1[],(MATCH(Calendar!$A19,DB!$1:$1,0)),FALSE),"")</f>
        <v/>
      </c>
      <c r="LIW19" s="28" t="str">
        <f>IFERROR(VLOOKUP(DATE($K$1,$K$2,LIW$4),Table1[],(MATCH(Calendar!$A19,DB!$1:$1,0)),FALSE),"")</f>
        <v/>
      </c>
      <c r="LIX19" s="28" t="str">
        <f>IFERROR(VLOOKUP(DATE($K$1,$K$2,LIX$4),Table1[],(MATCH(Calendar!$A19,DB!$1:$1,0)),FALSE),"")</f>
        <v/>
      </c>
      <c r="LIY19" s="28" t="str">
        <f>IFERROR(VLOOKUP(DATE($K$1,$K$2,LIY$4),Table1[],(MATCH(Calendar!$A19,DB!$1:$1,0)),FALSE),"")</f>
        <v/>
      </c>
      <c r="LIZ19" s="28" t="str">
        <f>IFERROR(VLOOKUP(DATE($K$1,$K$2,LIZ$4),Table1[],(MATCH(Calendar!$A19,DB!$1:$1,0)),FALSE),"")</f>
        <v/>
      </c>
      <c r="LJA19" s="28" t="str">
        <f>IFERROR(VLOOKUP(DATE($K$1,$K$2,LJA$4),Table1[],(MATCH(Calendar!$A19,DB!$1:$1,0)),FALSE),"")</f>
        <v/>
      </c>
      <c r="LJB19" s="28" t="str">
        <f>IFERROR(VLOOKUP(DATE($K$1,$K$2,LJB$4),Table1[],(MATCH(Calendar!$A19,DB!$1:$1,0)),FALSE),"")</f>
        <v/>
      </c>
      <c r="LJC19" s="28" t="str">
        <f>IFERROR(VLOOKUP(DATE($K$1,$K$2,LJC$4),Table1[],(MATCH(Calendar!$A19,DB!$1:$1,0)),FALSE),"")</f>
        <v/>
      </c>
      <c r="LJD19" s="28" t="str">
        <f>IFERROR(VLOOKUP(DATE($K$1,$K$2,LJD$4),Table1[],(MATCH(Calendar!$A19,DB!$1:$1,0)),FALSE),"")</f>
        <v/>
      </c>
      <c r="LJE19" s="28" t="str">
        <f>IFERROR(VLOOKUP(DATE($K$1,$K$2,LJE$4),Table1[],(MATCH(Calendar!$A19,DB!$1:$1,0)),FALSE),"")</f>
        <v/>
      </c>
      <c r="LJF19" s="28" t="str">
        <f>IFERROR(VLOOKUP(DATE($K$1,$K$2,LJF$4),Table1[],(MATCH(Calendar!$A19,DB!$1:$1,0)),FALSE),"")</f>
        <v/>
      </c>
      <c r="LJG19" s="28" t="str">
        <f>IFERROR(VLOOKUP(DATE($K$1,$K$2,LJG$4),Table1[],(MATCH(Calendar!$A19,DB!$1:$1,0)),FALSE),"")</f>
        <v/>
      </c>
      <c r="LJH19" s="28" t="str">
        <f>IFERROR(VLOOKUP(DATE($K$1,$K$2,LJH$4),Table1[],(MATCH(Calendar!$A19,DB!$1:$1,0)),FALSE),"")</f>
        <v/>
      </c>
      <c r="LJI19" s="28" t="str">
        <f>IFERROR(VLOOKUP(DATE($K$1,$K$2,LJI$4),Table1[],(MATCH(Calendar!$A19,DB!$1:$1,0)),FALSE),"")</f>
        <v/>
      </c>
      <c r="LJJ19" s="28" t="str">
        <f>IFERROR(VLOOKUP(DATE($K$1,$K$2,LJJ$4),Table1[],(MATCH(Calendar!$A19,DB!$1:$1,0)),FALSE),"")</f>
        <v/>
      </c>
      <c r="LJK19" s="28" t="str">
        <f>IFERROR(VLOOKUP(DATE($K$1,$K$2,LJK$4),Table1[],(MATCH(Calendar!$A19,DB!$1:$1,0)),FALSE),"")</f>
        <v/>
      </c>
      <c r="LJL19" s="28" t="str">
        <f>IFERROR(VLOOKUP(DATE($K$1,$K$2,LJL$4),Table1[],(MATCH(Calendar!$A19,DB!$1:$1,0)),FALSE),"")</f>
        <v/>
      </c>
      <c r="LJM19" s="28" t="str">
        <f>IFERROR(VLOOKUP(DATE($K$1,$K$2,LJM$4),Table1[],(MATCH(Calendar!$A19,DB!$1:$1,0)),FALSE),"")</f>
        <v/>
      </c>
      <c r="LJN19" s="28" t="str">
        <f>IFERROR(VLOOKUP(DATE($K$1,$K$2,LJN$4),Table1[],(MATCH(Calendar!$A19,DB!$1:$1,0)),FALSE),"")</f>
        <v/>
      </c>
      <c r="LJO19" s="28" t="str">
        <f>IFERROR(VLOOKUP(DATE($K$1,$K$2,LJO$4),Table1[],(MATCH(Calendar!$A19,DB!$1:$1,0)),FALSE),"")</f>
        <v/>
      </c>
      <c r="LJP19" s="28" t="str">
        <f>IFERROR(VLOOKUP(DATE($K$1,$K$2,LJP$4),Table1[],(MATCH(Calendar!$A19,DB!$1:$1,0)),FALSE),"")</f>
        <v/>
      </c>
      <c r="LJQ19" s="28" t="str">
        <f>IFERROR(VLOOKUP(DATE($K$1,$K$2,LJQ$4),Table1[],(MATCH(Calendar!$A19,DB!$1:$1,0)),FALSE),"")</f>
        <v/>
      </c>
      <c r="LJR19" s="28" t="str">
        <f>IFERROR(VLOOKUP(DATE($K$1,$K$2,LJR$4),Table1[],(MATCH(Calendar!$A19,DB!$1:$1,0)),FALSE),"")</f>
        <v/>
      </c>
      <c r="LJS19" s="28" t="str">
        <f>IFERROR(VLOOKUP(DATE($K$1,$K$2,LJS$4),Table1[],(MATCH(Calendar!$A19,DB!$1:$1,0)),FALSE),"")</f>
        <v/>
      </c>
      <c r="LJT19" s="28" t="str">
        <f>IFERROR(VLOOKUP(DATE($K$1,$K$2,LJT$4),Table1[],(MATCH(Calendar!$A19,DB!$1:$1,0)),FALSE),"")</f>
        <v/>
      </c>
      <c r="LJU19" s="28" t="str">
        <f>IFERROR(VLOOKUP(DATE($K$1,$K$2,LJU$4),Table1[],(MATCH(Calendar!$A19,DB!$1:$1,0)),FALSE),"")</f>
        <v/>
      </c>
      <c r="LJV19" s="28" t="str">
        <f>IFERROR(VLOOKUP(DATE($K$1,$K$2,LJV$4),Table1[],(MATCH(Calendar!$A19,DB!$1:$1,0)),FALSE),"")</f>
        <v/>
      </c>
      <c r="LJW19" s="28" t="str">
        <f>IFERROR(VLOOKUP(DATE($K$1,$K$2,LJW$4),Table1[],(MATCH(Calendar!$A19,DB!$1:$1,0)),FALSE),"")</f>
        <v/>
      </c>
      <c r="LJX19" s="28" t="str">
        <f>IFERROR(VLOOKUP(DATE($K$1,$K$2,LJX$4),Table1[],(MATCH(Calendar!$A19,DB!$1:$1,0)),FALSE),"")</f>
        <v/>
      </c>
      <c r="LJY19" s="28" t="str">
        <f>IFERROR(VLOOKUP(DATE($K$1,$K$2,LJY$4),Table1[],(MATCH(Calendar!$A19,DB!$1:$1,0)),FALSE),"")</f>
        <v/>
      </c>
      <c r="LJZ19" s="28" t="str">
        <f>IFERROR(VLOOKUP(DATE($K$1,$K$2,LJZ$4),Table1[],(MATCH(Calendar!$A19,DB!$1:$1,0)),FALSE),"")</f>
        <v/>
      </c>
      <c r="LKA19" s="28" t="str">
        <f>IFERROR(VLOOKUP(DATE($K$1,$K$2,LKA$4),Table1[],(MATCH(Calendar!$A19,DB!$1:$1,0)),FALSE),"")</f>
        <v/>
      </c>
      <c r="LKB19" s="28" t="str">
        <f>IFERROR(VLOOKUP(DATE($K$1,$K$2,LKB$4),Table1[],(MATCH(Calendar!$A19,DB!$1:$1,0)),FALSE),"")</f>
        <v/>
      </c>
      <c r="LKC19" s="28" t="str">
        <f>IFERROR(VLOOKUP(DATE($K$1,$K$2,LKC$4),Table1[],(MATCH(Calendar!$A19,DB!$1:$1,0)),FALSE),"")</f>
        <v/>
      </c>
      <c r="LKD19" s="28" t="str">
        <f>IFERROR(VLOOKUP(DATE($K$1,$K$2,LKD$4),Table1[],(MATCH(Calendar!$A19,DB!$1:$1,0)),FALSE),"")</f>
        <v/>
      </c>
      <c r="LKE19" s="28" t="str">
        <f>IFERROR(VLOOKUP(DATE($K$1,$K$2,LKE$4),Table1[],(MATCH(Calendar!$A19,DB!$1:$1,0)),FALSE),"")</f>
        <v/>
      </c>
      <c r="LKF19" s="28" t="str">
        <f>IFERROR(VLOOKUP(DATE($K$1,$K$2,LKF$4),Table1[],(MATCH(Calendar!$A19,DB!$1:$1,0)),FALSE),"")</f>
        <v/>
      </c>
      <c r="LKG19" s="28" t="str">
        <f>IFERROR(VLOOKUP(DATE($K$1,$K$2,LKG$4),Table1[],(MATCH(Calendar!$A19,DB!$1:$1,0)),FALSE),"")</f>
        <v/>
      </c>
      <c r="LKH19" s="28" t="str">
        <f>IFERROR(VLOOKUP(DATE($K$1,$K$2,LKH$4),Table1[],(MATCH(Calendar!$A19,DB!$1:$1,0)),FALSE),"")</f>
        <v/>
      </c>
      <c r="LKI19" s="28" t="str">
        <f>IFERROR(VLOOKUP(DATE($K$1,$K$2,LKI$4),Table1[],(MATCH(Calendar!$A19,DB!$1:$1,0)),FALSE),"")</f>
        <v/>
      </c>
      <c r="LKJ19" s="28" t="str">
        <f>IFERROR(VLOOKUP(DATE($K$1,$K$2,LKJ$4),Table1[],(MATCH(Calendar!$A19,DB!$1:$1,0)),FALSE),"")</f>
        <v/>
      </c>
      <c r="LKK19" s="28" t="str">
        <f>IFERROR(VLOOKUP(DATE($K$1,$K$2,LKK$4),Table1[],(MATCH(Calendar!$A19,DB!$1:$1,0)),FALSE),"")</f>
        <v/>
      </c>
      <c r="LKL19" s="28" t="str">
        <f>IFERROR(VLOOKUP(DATE($K$1,$K$2,LKL$4),Table1[],(MATCH(Calendar!$A19,DB!$1:$1,0)),FALSE),"")</f>
        <v/>
      </c>
      <c r="LKM19" s="28" t="str">
        <f>IFERROR(VLOOKUP(DATE($K$1,$K$2,LKM$4),Table1[],(MATCH(Calendar!$A19,DB!$1:$1,0)),FALSE),"")</f>
        <v/>
      </c>
      <c r="LKN19" s="28" t="str">
        <f>IFERROR(VLOOKUP(DATE($K$1,$K$2,LKN$4),Table1[],(MATCH(Calendar!$A19,DB!$1:$1,0)),FALSE),"")</f>
        <v/>
      </c>
      <c r="LKO19" s="28" t="str">
        <f>IFERROR(VLOOKUP(DATE($K$1,$K$2,LKO$4),Table1[],(MATCH(Calendar!$A19,DB!$1:$1,0)),FALSE),"")</f>
        <v/>
      </c>
      <c r="LKP19" s="28" t="str">
        <f>IFERROR(VLOOKUP(DATE($K$1,$K$2,LKP$4),Table1[],(MATCH(Calendar!$A19,DB!$1:$1,0)),FALSE),"")</f>
        <v/>
      </c>
      <c r="LKQ19" s="28" t="str">
        <f>IFERROR(VLOOKUP(DATE($K$1,$K$2,LKQ$4),Table1[],(MATCH(Calendar!$A19,DB!$1:$1,0)),FALSE),"")</f>
        <v/>
      </c>
      <c r="LKR19" s="28" t="str">
        <f>IFERROR(VLOOKUP(DATE($K$1,$K$2,LKR$4),Table1[],(MATCH(Calendar!$A19,DB!$1:$1,0)),FALSE),"")</f>
        <v/>
      </c>
      <c r="LKS19" s="28" t="str">
        <f>IFERROR(VLOOKUP(DATE($K$1,$K$2,LKS$4),Table1[],(MATCH(Calendar!$A19,DB!$1:$1,0)),FALSE),"")</f>
        <v/>
      </c>
      <c r="LKT19" s="28" t="str">
        <f>IFERROR(VLOOKUP(DATE($K$1,$K$2,LKT$4),Table1[],(MATCH(Calendar!$A19,DB!$1:$1,0)),FALSE),"")</f>
        <v/>
      </c>
      <c r="LKU19" s="28" t="str">
        <f>IFERROR(VLOOKUP(DATE($K$1,$K$2,LKU$4),Table1[],(MATCH(Calendar!$A19,DB!$1:$1,0)),FALSE),"")</f>
        <v/>
      </c>
      <c r="LKV19" s="28" t="str">
        <f>IFERROR(VLOOKUP(DATE($K$1,$K$2,LKV$4),Table1[],(MATCH(Calendar!$A19,DB!$1:$1,0)),FALSE),"")</f>
        <v/>
      </c>
      <c r="LKW19" s="28" t="str">
        <f>IFERROR(VLOOKUP(DATE($K$1,$K$2,LKW$4),Table1[],(MATCH(Calendar!$A19,DB!$1:$1,0)),FALSE),"")</f>
        <v/>
      </c>
      <c r="LKX19" s="28" t="str">
        <f>IFERROR(VLOOKUP(DATE($K$1,$K$2,LKX$4),Table1[],(MATCH(Calendar!$A19,DB!$1:$1,0)),FALSE),"")</f>
        <v/>
      </c>
      <c r="LKY19" s="28" t="str">
        <f>IFERROR(VLOOKUP(DATE($K$1,$K$2,LKY$4),Table1[],(MATCH(Calendar!$A19,DB!$1:$1,0)),FALSE),"")</f>
        <v/>
      </c>
      <c r="LKZ19" s="28" t="str">
        <f>IFERROR(VLOOKUP(DATE($K$1,$K$2,LKZ$4),Table1[],(MATCH(Calendar!$A19,DB!$1:$1,0)),FALSE),"")</f>
        <v/>
      </c>
      <c r="LLA19" s="28" t="str">
        <f>IFERROR(VLOOKUP(DATE($K$1,$K$2,LLA$4),Table1[],(MATCH(Calendar!$A19,DB!$1:$1,0)),FALSE),"")</f>
        <v/>
      </c>
      <c r="LLB19" s="28" t="str">
        <f>IFERROR(VLOOKUP(DATE($K$1,$K$2,LLB$4),Table1[],(MATCH(Calendar!$A19,DB!$1:$1,0)),FALSE),"")</f>
        <v/>
      </c>
      <c r="LLC19" s="28" t="str">
        <f>IFERROR(VLOOKUP(DATE($K$1,$K$2,LLC$4),Table1[],(MATCH(Calendar!$A19,DB!$1:$1,0)),FALSE),"")</f>
        <v/>
      </c>
      <c r="LLD19" s="28" t="str">
        <f>IFERROR(VLOOKUP(DATE($K$1,$K$2,LLD$4),Table1[],(MATCH(Calendar!$A19,DB!$1:$1,0)),FALSE),"")</f>
        <v/>
      </c>
      <c r="LLE19" s="28" t="str">
        <f>IFERROR(VLOOKUP(DATE($K$1,$K$2,LLE$4),Table1[],(MATCH(Calendar!$A19,DB!$1:$1,0)),FALSE),"")</f>
        <v/>
      </c>
      <c r="LLF19" s="28" t="str">
        <f>IFERROR(VLOOKUP(DATE($K$1,$K$2,LLF$4),Table1[],(MATCH(Calendar!$A19,DB!$1:$1,0)),FALSE),"")</f>
        <v/>
      </c>
      <c r="LLG19" s="28" t="str">
        <f>IFERROR(VLOOKUP(DATE($K$1,$K$2,LLG$4),Table1[],(MATCH(Calendar!$A19,DB!$1:$1,0)),FALSE),"")</f>
        <v/>
      </c>
      <c r="LLH19" s="28" t="str">
        <f>IFERROR(VLOOKUP(DATE($K$1,$K$2,LLH$4),Table1[],(MATCH(Calendar!$A19,DB!$1:$1,0)),FALSE),"")</f>
        <v/>
      </c>
      <c r="LLI19" s="28" t="str">
        <f>IFERROR(VLOOKUP(DATE($K$1,$K$2,LLI$4),Table1[],(MATCH(Calendar!$A19,DB!$1:$1,0)),FALSE),"")</f>
        <v/>
      </c>
      <c r="LLJ19" s="28" t="str">
        <f>IFERROR(VLOOKUP(DATE($K$1,$K$2,LLJ$4),Table1[],(MATCH(Calendar!$A19,DB!$1:$1,0)),FALSE),"")</f>
        <v/>
      </c>
      <c r="LLK19" s="28" t="str">
        <f>IFERROR(VLOOKUP(DATE($K$1,$K$2,LLK$4),Table1[],(MATCH(Calendar!$A19,DB!$1:$1,0)),FALSE),"")</f>
        <v/>
      </c>
      <c r="LLL19" s="28" t="str">
        <f>IFERROR(VLOOKUP(DATE($K$1,$K$2,LLL$4),Table1[],(MATCH(Calendar!$A19,DB!$1:$1,0)),FALSE),"")</f>
        <v/>
      </c>
      <c r="LLM19" s="28" t="str">
        <f>IFERROR(VLOOKUP(DATE($K$1,$K$2,LLM$4),Table1[],(MATCH(Calendar!$A19,DB!$1:$1,0)),FALSE),"")</f>
        <v/>
      </c>
      <c r="LLN19" s="28" t="str">
        <f>IFERROR(VLOOKUP(DATE($K$1,$K$2,LLN$4),Table1[],(MATCH(Calendar!$A19,DB!$1:$1,0)),FALSE),"")</f>
        <v/>
      </c>
      <c r="LLO19" s="28" t="str">
        <f>IFERROR(VLOOKUP(DATE($K$1,$K$2,LLO$4),Table1[],(MATCH(Calendar!$A19,DB!$1:$1,0)),FALSE),"")</f>
        <v/>
      </c>
      <c r="LLP19" s="28" t="str">
        <f>IFERROR(VLOOKUP(DATE($K$1,$K$2,LLP$4),Table1[],(MATCH(Calendar!$A19,DB!$1:$1,0)),FALSE),"")</f>
        <v/>
      </c>
      <c r="LLQ19" s="28" t="str">
        <f>IFERROR(VLOOKUP(DATE($K$1,$K$2,LLQ$4),Table1[],(MATCH(Calendar!$A19,DB!$1:$1,0)),FALSE),"")</f>
        <v/>
      </c>
      <c r="LLR19" s="28" t="str">
        <f>IFERROR(VLOOKUP(DATE($K$1,$K$2,LLR$4),Table1[],(MATCH(Calendar!$A19,DB!$1:$1,0)),FALSE),"")</f>
        <v/>
      </c>
      <c r="LLS19" s="28" t="str">
        <f>IFERROR(VLOOKUP(DATE($K$1,$K$2,LLS$4),Table1[],(MATCH(Calendar!$A19,DB!$1:$1,0)),FALSE),"")</f>
        <v/>
      </c>
      <c r="LLT19" s="28" t="str">
        <f>IFERROR(VLOOKUP(DATE($K$1,$K$2,LLT$4),Table1[],(MATCH(Calendar!$A19,DB!$1:$1,0)),FALSE),"")</f>
        <v/>
      </c>
      <c r="LLU19" s="28" t="str">
        <f>IFERROR(VLOOKUP(DATE($K$1,$K$2,LLU$4),Table1[],(MATCH(Calendar!$A19,DB!$1:$1,0)),FALSE),"")</f>
        <v/>
      </c>
      <c r="LLV19" s="28" t="str">
        <f>IFERROR(VLOOKUP(DATE($K$1,$K$2,LLV$4),Table1[],(MATCH(Calendar!$A19,DB!$1:$1,0)),FALSE),"")</f>
        <v/>
      </c>
      <c r="LLW19" s="28" t="str">
        <f>IFERROR(VLOOKUP(DATE($K$1,$K$2,LLW$4),Table1[],(MATCH(Calendar!$A19,DB!$1:$1,0)),FALSE),"")</f>
        <v/>
      </c>
      <c r="LLX19" s="28" t="str">
        <f>IFERROR(VLOOKUP(DATE($K$1,$K$2,LLX$4),Table1[],(MATCH(Calendar!$A19,DB!$1:$1,0)),FALSE),"")</f>
        <v/>
      </c>
      <c r="LLY19" s="28" t="str">
        <f>IFERROR(VLOOKUP(DATE($K$1,$K$2,LLY$4),Table1[],(MATCH(Calendar!$A19,DB!$1:$1,0)),FALSE),"")</f>
        <v/>
      </c>
      <c r="LLZ19" s="28" t="str">
        <f>IFERROR(VLOOKUP(DATE($K$1,$K$2,LLZ$4),Table1[],(MATCH(Calendar!$A19,DB!$1:$1,0)),FALSE),"")</f>
        <v/>
      </c>
      <c r="LMA19" s="28" t="str">
        <f>IFERROR(VLOOKUP(DATE($K$1,$K$2,LMA$4),Table1[],(MATCH(Calendar!$A19,DB!$1:$1,0)),FALSE),"")</f>
        <v/>
      </c>
      <c r="LMB19" s="28" t="str">
        <f>IFERROR(VLOOKUP(DATE($K$1,$K$2,LMB$4),Table1[],(MATCH(Calendar!$A19,DB!$1:$1,0)),FALSE),"")</f>
        <v/>
      </c>
      <c r="LMC19" s="28" t="str">
        <f>IFERROR(VLOOKUP(DATE($K$1,$K$2,LMC$4),Table1[],(MATCH(Calendar!$A19,DB!$1:$1,0)),FALSE),"")</f>
        <v/>
      </c>
      <c r="LMD19" s="28" t="str">
        <f>IFERROR(VLOOKUP(DATE($K$1,$K$2,LMD$4),Table1[],(MATCH(Calendar!$A19,DB!$1:$1,0)),FALSE),"")</f>
        <v/>
      </c>
      <c r="LME19" s="28" t="str">
        <f>IFERROR(VLOOKUP(DATE($K$1,$K$2,LME$4),Table1[],(MATCH(Calendar!$A19,DB!$1:$1,0)),FALSE),"")</f>
        <v/>
      </c>
      <c r="LMF19" s="28" t="str">
        <f>IFERROR(VLOOKUP(DATE($K$1,$K$2,LMF$4),Table1[],(MATCH(Calendar!$A19,DB!$1:$1,0)),FALSE),"")</f>
        <v/>
      </c>
      <c r="LMG19" s="28" t="str">
        <f>IFERROR(VLOOKUP(DATE($K$1,$K$2,LMG$4),Table1[],(MATCH(Calendar!$A19,DB!$1:$1,0)),FALSE),"")</f>
        <v/>
      </c>
      <c r="LMH19" s="28" t="str">
        <f>IFERROR(VLOOKUP(DATE($K$1,$K$2,LMH$4),Table1[],(MATCH(Calendar!$A19,DB!$1:$1,0)),FALSE),"")</f>
        <v/>
      </c>
      <c r="LMI19" s="28" t="str">
        <f>IFERROR(VLOOKUP(DATE($K$1,$K$2,LMI$4),Table1[],(MATCH(Calendar!$A19,DB!$1:$1,0)),FALSE),"")</f>
        <v/>
      </c>
      <c r="LMJ19" s="28" t="str">
        <f>IFERROR(VLOOKUP(DATE($K$1,$K$2,LMJ$4),Table1[],(MATCH(Calendar!$A19,DB!$1:$1,0)),FALSE),"")</f>
        <v/>
      </c>
      <c r="LMK19" s="28" t="str">
        <f>IFERROR(VLOOKUP(DATE($K$1,$K$2,LMK$4),Table1[],(MATCH(Calendar!$A19,DB!$1:$1,0)),FALSE),"")</f>
        <v/>
      </c>
      <c r="LML19" s="28" t="str">
        <f>IFERROR(VLOOKUP(DATE($K$1,$K$2,LML$4),Table1[],(MATCH(Calendar!$A19,DB!$1:$1,0)),FALSE),"")</f>
        <v/>
      </c>
      <c r="LMM19" s="28" t="str">
        <f>IFERROR(VLOOKUP(DATE($K$1,$K$2,LMM$4),Table1[],(MATCH(Calendar!$A19,DB!$1:$1,0)),FALSE),"")</f>
        <v/>
      </c>
      <c r="LMN19" s="28" t="str">
        <f>IFERROR(VLOOKUP(DATE($K$1,$K$2,LMN$4),Table1[],(MATCH(Calendar!$A19,DB!$1:$1,0)),FALSE),"")</f>
        <v/>
      </c>
      <c r="LMO19" s="28" t="str">
        <f>IFERROR(VLOOKUP(DATE($K$1,$K$2,LMO$4),Table1[],(MATCH(Calendar!$A19,DB!$1:$1,0)),FALSE),"")</f>
        <v/>
      </c>
      <c r="LMP19" s="28" t="str">
        <f>IFERROR(VLOOKUP(DATE($K$1,$K$2,LMP$4),Table1[],(MATCH(Calendar!$A19,DB!$1:$1,0)),FALSE),"")</f>
        <v/>
      </c>
      <c r="LMQ19" s="28" t="str">
        <f>IFERROR(VLOOKUP(DATE($K$1,$K$2,LMQ$4),Table1[],(MATCH(Calendar!$A19,DB!$1:$1,0)),FALSE),"")</f>
        <v/>
      </c>
      <c r="LMR19" s="28" t="str">
        <f>IFERROR(VLOOKUP(DATE($K$1,$K$2,LMR$4),Table1[],(MATCH(Calendar!$A19,DB!$1:$1,0)),FALSE),"")</f>
        <v/>
      </c>
      <c r="LMS19" s="28" t="str">
        <f>IFERROR(VLOOKUP(DATE($K$1,$K$2,LMS$4),Table1[],(MATCH(Calendar!$A19,DB!$1:$1,0)),FALSE),"")</f>
        <v/>
      </c>
      <c r="LMT19" s="28" t="str">
        <f>IFERROR(VLOOKUP(DATE($K$1,$K$2,LMT$4),Table1[],(MATCH(Calendar!$A19,DB!$1:$1,0)),FALSE),"")</f>
        <v/>
      </c>
      <c r="LMU19" s="28" t="str">
        <f>IFERROR(VLOOKUP(DATE($K$1,$K$2,LMU$4),Table1[],(MATCH(Calendar!$A19,DB!$1:$1,0)),FALSE),"")</f>
        <v/>
      </c>
      <c r="LMV19" s="28" t="str">
        <f>IFERROR(VLOOKUP(DATE($K$1,$K$2,LMV$4),Table1[],(MATCH(Calendar!$A19,DB!$1:$1,0)),FALSE),"")</f>
        <v/>
      </c>
      <c r="LMW19" s="28" t="str">
        <f>IFERROR(VLOOKUP(DATE($K$1,$K$2,LMW$4),Table1[],(MATCH(Calendar!$A19,DB!$1:$1,0)),FALSE),"")</f>
        <v/>
      </c>
      <c r="LMX19" s="28" t="str">
        <f>IFERROR(VLOOKUP(DATE($K$1,$K$2,LMX$4),Table1[],(MATCH(Calendar!$A19,DB!$1:$1,0)),FALSE),"")</f>
        <v/>
      </c>
      <c r="LMY19" s="28" t="str">
        <f>IFERROR(VLOOKUP(DATE($K$1,$K$2,LMY$4),Table1[],(MATCH(Calendar!$A19,DB!$1:$1,0)),FALSE),"")</f>
        <v/>
      </c>
      <c r="LMZ19" s="28" t="str">
        <f>IFERROR(VLOOKUP(DATE($K$1,$K$2,LMZ$4),Table1[],(MATCH(Calendar!$A19,DB!$1:$1,0)),FALSE),"")</f>
        <v/>
      </c>
      <c r="LNA19" s="28" t="str">
        <f>IFERROR(VLOOKUP(DATE($K$1,$K$2,LNA$4),Table1[],(MATCH(Calendar!$A19,DB!$1:$1,0)),FALSE),"")</f>
        <v/>
      </c>
      <c r="LNB19" s="28" t="str">
        <f>IFERROR(VLOOKUP(DATE($K$1,$K$2,LNB$4),Table1[],(MATCH(Calendar!$A19,DB!$1:$1,0)),FALSE),"")</f>
        <v/>
      </c>
      <c r="LNC19" s="28" t="str">
        <f>IFERROR(VLOOKUP(DATE($K$1,$K$2,LNC$4),Table1[],(MATCH(Calendar!$A19,DB!$1:$1,0)),FALSE),"")</f>
        <v/>
      </c>
      <c r="LND19" s="28" t="str">
        <f>IFERROR(VLOOKUP(DATE($K$1,$K$2,LND$4),Table1[],(MATCH(Calendar!$A19,DB!$1:$1,0)),FALSE),"")</f>
        <v/>
      </c>
      <c r="LNE19" s="28" t="str">
        <f>IFERROR(VLOOKUP(DATE($K$1,$K$2,LNE$4),Table1[],(MATCH(Calendar!$A19,DB!$1:$1,0)),FALSE),"")</f>
        <v/>
      </c>
      <c r="LNF19" s="28" t="str">
        <f>IFERROR(VLOOKUP(DATE($K$1,$K$2,LNF$4),Table1[],(MATCH(Calendar!$A19,DB!$1:$1,0)),FALSE),"")</f>
        <v/>
      </c>
      <c r="LNG19" s="28" t="str">
        <f>IFERROR(VLOOKUP(DATE($K$1,$K$2,LNG$4),Table1[],(MATCH(Calendar!$A19,DB!$1:$1,0)),FALSE),"")</f>
        <v/>
      </c>
      <c r="LNH19" s="28" t="str">
        <f>IFERROR(VLOOKUP(DATE($K$1,$K$2,LNH$4),Table1[],(MATCH(Calendar!$A19,DB!$1:$1,0)),FALSE),"")</f>
        <v/>
      </c>
      <c r="LNI19" s="28" t="str">
        <f>IFERROR(VLOOKUP(DATE($K$1,$K$2,LNI$4),Table1[],(MATCH(Calendar!$A19,DB!$1:$1,0)),FALSE),"")</f>
        <v/>
      </c>
      <c r="LNJ19" s="28" t="str">
        <f>IFERROR(VLOOKUP(DATE($K$1,$K$2,LNJ$4),Table1[],(MATCH(Calendar!$A19,DB!$1:$1,0)),FALSE),"")</f>
        <v/>
      </c>
      <c r="LNK19" s="28" t="str">
        <f>IFERROR(VLOOKUP(DATE($K$1,$K$2,LNK$4),Table1[],(MATCH(Calendar!$A19,DB!$1:$1,0)),FALSE),"")</f>
        <v/>
      </c>
      <c r="LNL19" s="28" t="str">
        <f>IFERROR(VLOOKUP(DATE($K$1,$K$2,LNL$4),Table1[],(MATCH(Calendar!$A19,DB!$1:$1,0)),FALSE),"")</f>
        <v/>
      </c>
      <c r="LNM19" s="28" t="str">
        <f>IFERROR(VLOOKUP(DATE($K$1,$K$2,LNM$4),Table1[],(MATCH(Calendar!$A19,DB!$1:$1,0)),FALSE),"")</f>
        <v/>
      </c>
      <c r="LNN19" s="28" t="str">
        <f>IFERROR(VLOOKUP(DATE($K$1,$K$2,LNN$4),Table1[],(MATCH(Calendar!$A19,DB!$1:$1,0)),FALSE),"")</f>
        <v/>
      </c>
      <c r="LNO19" s="28" t="str">
        <f>IFERROR(VLOOKUP(DATE($K$1,$K$2,LNO$4),Table1[],(MATCH(Calendar!$A19,DB!$1:$1,0)),FALSE),"")</f>
        <v/>
      </c>
      <c r="LNP19" s="28" t="str">
        <f>IFERROR(VLOOKUP(DATE($K$1,$K$2,LNP$4),Table1[],(MATCH(Calendar!$A19,DB!$1:$1,0)),FALSE),"")</f>
        <v/>
      </c>
      <c r="LNQ19" s="28" t="str">
        <f>IFERROR(VLOOKUP(DATE($K$1,$K$2,LNQ$4),Table1[],(MATCH(Calendar!$A19,DB!$1:$1,0)),FALSE),"")</f>
        <v/>
      </c>
      <c r="LNR19" s="28" t="str">
        <f>IFERROR(VLOOKUP(DATE($K$1,$K$2,LNR$4),Table1[],(MATCH(Calendar!$A19,DB!$1:$1,0)),FALSE),"")</f>
        <v/>
      </c>
      <c r="LNS19" s="28" t="str">
        <f>IFERROR(VLOOKUP(DATE($K$1,$K$2,LNS$4),Table1[],(MATCH(Calendar!$A19,DB!$1:$1,0)),FALSE),"")</f>
        <v/>
      </c>
      <c r="LNT19" s="28" t="str">
        <f>IFERROR(VLOOKUP(DATE($K$1,$K$2,LNT$4),Table1[],(MATCH(Calendar!$A19,DB!$1:$1,0)),FALSE),"")</f>
        <v/>
      </c>
      <c r="LNU19" s="28" t="str">
        <f>IFERROR(VLOOKUP(DATE($K$1,$K$2,LNU$4),Table1[],(MATCH(Calendar!$A19,DB!$1:$1,0)),FALSE),"")</f>
        <v/>
      </c>
      <c r="LNV19" s="28" t="str">
        <f>IFERROR(VLOOKUP(DATE($K$1,$K$2,LNV$4),Table1[],(MATCH(Calendar!$A19,DB!$1:$1,0)),FALSE),"")</f>
        <v/>
      </c>
      <c r="LNW19" s="28" t="str">
        <f>IFERROR(VLOOKUP(DATE($K$1,$K$2,LNW$4),Table1[],(MATCH(Calendar!$A19,DB!$1:$1,0)),FALSE),"")</f>
        <v/>
      </c>
      <c r="LNX19" s="28" t="str">
        <f>IFERROR(VLOOKUP(DATE($K$1,$K$2,LNX$4),Table1[],(MATCH(Calendar!$A19,DB!$1:$1,0)),FALSE),"")</f>
        <v/>
      </c>
      <c r="LNY19" s="28" t="str">
        <f>IFERROR(VLOOKUP(DATE($K$1,$K$2,LNY$4),Table1[],(MATCH(Calendar!$A19,DB!$1:$1,0)),FALSE),"")</f>
        <v/>
      </c>
      <c r="LNZ19" s="28" t="str">
        <f>IFERROR(VLOOKUP(DATE($K$1,$K$2,LNZ$4),Table1[],(MATCH(Calendar!$A19,DB!$1:$1,0)),FALSE),"")</f>
        <v/>
      </c>
      <c r="LOA19" s="28" t="str">
        <f>IFERROR(VLOOKUP(DATE($K$1,$K$2,LOA$4),Table1[],(MATCH(Calendar!$A19,DB!$1:$1,0)),FALSE),"")</f>
        <v/>
      </c>
      <c r="LOB19" s="28" t="str">
        <f>IFERROR(VLOOKUP(DATE($K$1,$K$2,LOB$4),Table1[],(MATCH(Calendar!$A19,DB!$1:$1,0)),FALSE),"")</f>
        <v/>
      </c>
      <c r="LOC19" s="28" t="str">
        <f>IFERROR(VLOOKUP(DATE($K$1,$K$2,LOC$4),Table1[],(MATCH(Calendar!$A19,DB!$1:$1,0)),FALSE),"")</f>
        <v/>
      </c>
      <c r="LOD19" s="28" t="str">
        <f>IFERROR(VLOOKUP(DATE($K$1,$K$2,LOD$4),Table1[],(MATCH(Calendar!$A19,DB!$1:$1,0)),FALSE),"")</f>
        <v/>
      </c>
      <c r="LOE19" s="28" t="str">
        <f>IFERROR(VLOOKUP(DATE($K$1,$K$2,LOE$4),Table1[],(MATCH(Calendar!$A19,DB!$1:$1,0)),FALSE),"")</f>
        <v/>
      </c>
      <c r="LOF19" s="28" t="str">
        <f>IFERROR(VLOOKUP(DATE($K$1,$K$2,LOF$4),Table1[],(MATCH(Calendar!$A19,DB!$1:$1,0)),FALSE),"")</f>
        <v/>
      </c>
      <c r="LOG19" s="28" t="str">
        <f>IFERROR(VLOOKUP(DATE($K$1,$K$2,LOG$4),Table1[],(MATCH(Calendar!$A19,DB!$1:$1,0)),FALSE),"")</f>
        <v/>
      </c>
      <c r="LOH19" s="28" t="str">
        <f>IFERROR(VLOOKUP(DATE($K$1,$K$2,LOH$4),Table1[],(MATCH(Calendar!$A19,DB!$1:$1,0)),FALSE),"")</f>
        <v/>
      </c>
      <c r="LOI19" s="28" t="str">
        <f>IFERROR(VLOOKUP(DATE($K$1,$K$2,LOI$4),Table1[],(MATCH(Calendar!$A19,DB!$1:$1,0)),FALSE),"")</f>
        <v/>
      </c>
      <c r="LOJ19" s="28" t="str">
        <f>IFERROR(VLOOKUP(DATE($K$1,$K$2,LOJ$4),Table1[],(MATCH(Calendar!$A19,DB!$1:$1,0)),FALSE),"")</f>
        <v/>
      </c>
      <c r="LOK19" s="28" t="str">
        <f>IFERROR(VLOOKUP(DATE($K$1,$K$2,LOK$4),Table1[],(MATCH(Calendar!$A19,DB!$1:$1,0)),FALSE),"")</f>
        <v/>
      </c>
      <c r="LOL19" s="28" t="str">
        <f>IFERROR(VLOOKUP(DATE($K$1,$K$2,LOL$4),Table1[],(MATCH(Calendar!$A19,DB!$1:$1,0)),FALSE),"")</f>
        <v/>
      </c>
      <c r="LOM19" s="28" t="str">
        <f>IFERROR(VLOOKUP(DATE($K$1,$K$2,LOM$4),Table1[],(MATCH(Calendar!$A19,DB!$1:$1,0)),FALSE),"")</f>
        <v/>
      </c>
      <c r="LON19" s="28" t="str">
        <f>IFERROR(VLOOKUP(DATE($K$1,$K$2,LON$4),Table1[],(MATCH(Calendar!$A19,DB!$1:$1,0)),FALSE),"")</f>
        <v/>
      </c>
      <c r="LOO19" s="28" t="str">
        <f>IFERROR(VLOOKUP(DATE($K$1,$K$2,LOO$4),Table1[],(MATCH(Calendar!$A19,DB!$1:$1,0)),FALSE),"")</f>
        <v/>
      </c>
      <c r="LOP19" s="28" t="str">
        <f>IFERROR(VLOOKUP(DATE($K$1,$K$2,LOP$4),Table1[],(MATCH(Calendar!$A19,DB!$1:$1,0)),FALSE),"")</f>
        <v/>
      </c>
      <c r="LOQ19" s="28" t="str">
        <f>IFERROR(VLOOKUP(DATE($K$1,$K$2,LOQ$4),Table1[],(MATCH(Calendar!$A19,DB!$1:$1,0)),FALSE),"")</f>
        <v/>
      </c>
      <c r="LOR19" s="28" t="str">
        <f>IFERROR(VLOOKUP(DATE($K$1,$K$2,LOR$4),Table1[],(MATCH(Calendar!$A19,DB!$1:$1,0)),FALSE),"")</f>
        <v/>
      </c>
      <c r="LOS19" s="28" t="str">
        <f>IFERROR(VLOOKUP(DATE($K$1,$K$2,LOS$4),Table1[],(MATCH(Calendar!$A19,DB!$1:$1,0)),FALSE),"")</f>
        <v/>
      </c>
      <c r="LOT19" s="28" t="str">
        <f>IFERROR(VLOOKUP(DATE($K$1,$K$2,LOT$4),Table1[],(MATCH(Calendar!$A19,DB!$1:$1,0)),FALSE),"")</f>
        <v/>
      </c>
      <c r="LOU19" s="28" t="str">
        <f>IFERROR(VLOOKUP(DATE($K$1,$K$2,LOU$4),Table1[],(MATCH(Calendar!$A19,DB!$1:$1,0)),FALSE),"")</f>
        <v/>
      </c>
      <c r="LOV19" s="28" t="str">
        <f>IFERROR(VLOOKUP(DATE($K$1,$K$2,LOV$4),Table1[],(MATCH(Calendar!$A19,DB!$1:$1,0)),FALSE),"")</f>
        <v/>
      </c>
      <c r="LOW19" s="28" t="str">
        <f>IFERROR(VLOOKUP(DATE($K$1,$K$2,LOW$4),Table1[],(MATCH(Calendar!$A19,DB!$1:$1,0)),FALSE),"")</f>
        <v/>
      </c>
      <c r="LOX19" s="28" t="str">
        <f>IFERROR(VLOOKUP(DATE($K$1,$K$2,LOX$4),Table1[],(MATCH(Calendar!$A19,DB!$1:$1,0)),FALSE),"")</f>
        <v/>
      </c>
      <c r="LOY19" s="28" t="str">
        <f>IFERROR(VLOOKUP(DATE($K$1,$K$2,LOY$4),Table1[],(MATCH(Calendar!$A19,DB!$1:$1,0)),FALSE),"")</f>
        <v/>
      </c>
      <c r="LOZ19" s="28" t="str">
        <f>IFERROR(VLOOKUP(DATE($K$1,$K$2,LOZ$4),Table1[],(MATCH(Calendar!$A19,DB!$1:$1,0)),FALSE),"")</f>
        <v/>
      </c>
      <c r="LPA19" s="28" t="str">
        <f>IFERROR(VLOOKUP(DATE($K$1,$K$2,LPA$4),Table1[],(MATCH(Calendar!$A19,DB!$1:$1,0)),FALSE),"")</f>
        <v/>
      </c>
      <c r="LPB19" s="28" t="str">
        <f>IFERROR(VLOOKUP(DATE($K$1,$K$2,LPB$4),Table1[],(MATCH(Calendar!$A19,DB!$1:$1,0)),FALSE),"")</f>
        <v/>
      </c>
      <c r="LPC19" s="28" t="str">
        <f>IFERROR(VLOOKUP(DATE($K$1,$K$2,LPC$4),Table1[],(MATCH(Calendar!$A19,DB!$1:$1,0)),FALSE),"")</f>
        <v/>
      </c>
      <c r="LPD19" s="28" t="str">
        <f>IFERROR(VLOOKUP(DATE($K$1,$K$2,LPD$4),Table1[],(MATCH(Calendar!$A19,DB!$1:$1,0)),FALSE),"")</f>
        <v/>
      </c>
      <c r="LPE19" s="28" t="str">
        <f>IFERROR(VLOOKUP(DATE($K$1,$K$2,LPE$4),Table1[],(MATCH(Calendar!$A19,DB!$1:$1,0)),FALSE),"")</f>
        <v/>
      </c>
      <c r="LPF19" s="28" t="str">
        <f>IFERROR(VLOOKUP(DATE($K$1,$K$2,LPF$4),Table1[],(MATCH(Calendar!$A19,DB!$1:$1,0)),FALSE),"")</f>
        <v/>
      </c>
      <c r="LPG19" s="28" t="str">
        <f>IFERROR(VLOOKUP(DATE($K$1,$K$2,LPG$4),Table1[],(MATCH(Calendar!$A19,DB!$1:$1,0)),FALSE),"")</f>
        <v/>
      </c>
      <c r="LPH19" s="28" t="str">
        <f>IFERROR(VLOOKUP(DATE($K$1,$K$2,LPH$4),Table1[],(MATCH(Calendar!$A19,DB!$1:$1,0)),FALSE),"")</f>
        <v/>
      </c>
      <c r="LPI19" s="28" t="str">
        <f>IFERROR(VLOOKUP(DATE($K$1,$K$2,LPI$4),Table1[],(MATCH(Calendar!$A19,DB!$1:$1,0)),FALSE),"")</f>
        <v/>
      </c>
      <c r="LPJ19" s="28" t="str">
        <f>IFERROR(VLOOKUP(DATE($K$1,$K$2,LPJ$4),Table1[],(MATCH(Calendar!$A19,DB!$1:$1,0)),FALSE),"")</f>
        <v/>
      </c>
      <c r="LPK19" s="28" t="str">
        <f>IFERROR(VLOOKUP(DATE($K$1,$K$2,LPK$4),Table1[],(MATCH(Calendar!$A19,DB!$1:$1,0)),FALSE),"")</f>
        <v/>
      </c>
      <c r="LPL19" s="28" t="str">
        <f>IFERROR(VLOOKUP(DATE($K$1,$K$2,LPL$4),Table1[],(MATCH(Calendar!$A19,DB!$1:$1,0)),FALSE),"")</f>
        <v/>
      </c>
      <c r="LPM19" s="28" t="str">
        <f>IFERROR(VLOOKUP(DATE($K$1,$K$2,LPM$4),Table1[],(MATCH(Calendar!$A19,DB!$1:$1,0)),FALSE),"")</f>
        <v/>
      </c>
      <c r="LPN19" s="28" t="str">
        <f>IFERROR(VLOOKUP(DATE($K$1,$K$2,LPN$4),Table1[],(MATCH(Calendar!$A19,DB!$1:$1,0)),FALSE),"")</f>
        <v/>
      </c>
      <c r="LPO19" s="28" t="str">
        <f>IFERROR(VLOOKUP(DATE($K$1,$K$2,LPO$4),Table1[],(MATCH(Calendar!$A19,DB!$1:$1,0)),FALSE),"")</f>
        <v/>
      </c>
      <c r="LPP19" s="28" t="str">
        <f>IFERROR(VLOOKUP(DATE($K$1,$K$2,LPP$4),Table1[],(MATCH(Calendar!$A19,DB!$1:$1,0)),FALSE),"")</f>
        <v/>
      </c>
      <c r="LPQ19" s="28" t="str">
        <f>IFERROR(VLOOKUP(DATE($K$1,$K$2,LPQ$4),Table1[],(MATCH(Calendar!$A19,DB!$1:$1,0)),FALSE),"")</f>
        <v/>
      </c>
      <c r="LPR19" s="28" t="str">
        <f>IFERROR(VLOOKUP(DATE($K$1,$K$2,LPR$4),Table1[],(MATCH(Calendar!$A19,DB!$1:$1,0)),FALSE),"")</f>
        <v/>
      </c>
      <c r="LPS19" s="28" t="str">
        <f>IFERROR(VLOOKUP(DATE($K$1,$K$2,LPS$4),Table1[],(MATCH(Calendar!$A19,DB!$1:$1,0)),FALSE),"")</f>
        <v/>
      </c>
      <c r="LPT19" s="28" t="str">
        <f>IFERROR(VLOOKUP(DATE($K$1,$K$2,LPT$4),Table1[],(MATCH(Calendar!$A19,DB!$1:$1,0)),FALSE),"")</f>
        <v/>
      </c>
      <c r="LPU19" s="28" t="str">
        <f>IFERROR(VLOOKUP(DATE($K$1,$K$2,LPU$4),Table1[],(MATCH(Calendar!$A19,DB!$1:$1,0)),FALSE),"")</f>
        <v/>
      </c>
      <c r="LPV19" s="28" t="str">
        <f>IFERROR(VLOOKUP(DATE($K$1,$K$2,LPV$4),Table1[],(MATCH(Calendar!$A19,DB!$1:$1,0)),FALSE),"")</f>
        <v/>
      </c>
      <c r="LPW19" s="28" t="str">
        <f>IFERROR(VLOOKUP(DATE($K$1,$K$2,LPW$4),Table1[],(MATCH(Calendar!$A19,DB!$1:$1,0)),FALSE),"")</f>
        <v/>
      </c>
      <c r="LPX19" s="28" t="str">
        <f>IFERROR(VLOOKUP(DATE($K$1,$K$2,LPX$4),Table1[],(MATCH(Calendar!$A19,DB!$1:$1,0)),FALSE),"")</f>
        <v/>
      </c>
      <c r="LPY19" s="28" t="str">
        <f>IFERROR(VLOOKUP(DATE($K$1,$K$2,LPY$4),Table1[],(MATCH(Calendar!$A19,DB!$1:$1,0)),FALSE),"")</f>
        <v/>
      </c>
      <c r="LPZ19" s="28" t="str">
        <f>IFERROR(VLOOKUP(DATE($K$1,$K$2,LPZ$4),Table1[],(MATCH(Calendar!$A19,DB!$1:$1,0)),FALSE),"")</f>
        <v/>
      </c>
      <c r="LQA19" s="28" t="str">
        <f>IFERROR(VLOOKUP(DATE($K$1,$K$2,LQA$4),Table1[],(MATCH(Calendar!$A19,DB!$1:$1,0)),FALSE),"")</f>
        <v/>
      </c>
      <c r="LQB19" s="28" t="str">
        <f>IFERROR(VLOOKUP(DATE($K$1,$K$2,LQB$4),Table1[],(MATCH(Calendar!$A19,DB!$1:$1,0)),FALSE),"")</f>
        <v/>
      </c>
      <c r="LQC19" s="28" t="str">
        <f>IFERROR(VLOOKUP(DATE($K$1,$K$2,LQC$4),Table1[],(MATCH(Calendar!$A19,DB!$1:$1,0)),FALSE),"")</f>
        <v/>
      </c>
      <c r="LQD19" s="28" t="str">
        <f>IFERROR(VLOOKUP(DATE($K$1,$K$2,LQD$4),Table1[],(MATCH(Calendar!$A19,DB!$1:$1,0)),FALSE),"")</f>
        <v/>
      </c>
      <c r="LQE19" s="28" t="str">
        <f>IFERROR(VLOOKUP(DATE($K$1,$K$2,LQE$4),Table1[],(MATCH(Calendar!$A19,DB!$1:$1,0)),FALSE),"")</f>
        <v/>
      </c>
      <c r="LQF19" s="28" t="str">
        <f>IFERROR(VLOOKUP(DATE($K$1,$K$2,LQF$4),Table1[],(MATCH(Calendar!$A19,DB!$1:$1,0)),FALSE),"")</f>
        <v/>
      </c>
      <c r="LQG19" s="28" t="str">
        <f>IFERROR(VLOOKUP(DATE($K$1,$K$2,LQG$4),Table1[],(MATCH(Calendar!$A19,DB!$1:$1,0)),FALSE),"")</f>
        <v/>
      </c>
      <c r="LQH19" s="28" t="str">
        <f>IFERROR(VLOOKUP(DATE($K$1,$K$2,LQH$4),Table1[],(MATCH(Calendar!$A19,DB!$1:$1,0)),FALSE),"")</f>
        <v/>
      </c>
      <c r="LQI19" s="28" t="str">
        <f>IFERROR(VLOOKUP(DATE($K$1,$K$2,LQI$4),Table1[],(MATCH(Calendar!$A19,DB!$1:$1,0)),FALSE),"")</f>
        <v/>
      </c>
      <c r="LQJ19" s="28" t="str">
        <f>IFERROR(VLOOKUP(DATE($K$1,$K$2,LQJ$4),Table1[],(MATCH(Calendar!$A19,DB!$1:$1,0)),FALSE),"")</f>
        <v/>
      </c>
      <c r="LQK19" s="28" t="str">
        <f>IFERROR(VLOOKUP(DATE($K$1,$K$2,LQK$4),Table1[],(MATCH(Calendar!$A19,DB!$1:$1,0)),FALSE),"")</f>
        <v/>
      </c>
      <c r="LQL19" s="28" t="str">
        <f>IFERROR(VLOOKUP(DATE($K$1,$K$2,LQL$4),Table1[],(MATCH(Calendar!$A19,DB!$1:$1,0)),FALSE),"")</f>
        <v/>
      </c>
      <c r="LQM19" s="28" t="str">
        <f>IFERROR(VLOOKUP(DATE($K$1,$K$2,LQM$4),Table1[],(MATCH(Calendar!$A19,DB!$1:$1,0)),FALSE),"")</f>
        <v/>
      </c>
      <c r="LQN19" s="28" t="str">
        <f>IFERROR(VLOOKUP(DATE($K$1,$K$2,LQN$4),Table1[],(MATCH(Calendar!$A19,DB!$1:$1,0)),FALSE),"")</f>
        <v/>
      </c>
      <c r="LQO19" s="28" t="str">
        <f>IFERROR(VLOOKUP(DATE($K$1,$K$2,LQO$4),Table1[],(MATCH(Calendar!$A19,DB!$1:$1,0)),FALSE),"")</f>
        <v/>
      </c>
      <c r="LQP19" s="28" t="str">
        <f>IFERROR(VLOOKUP(DATE($K$1,$K$2,LQP$4),Table1[],(MATCH(Calendar!$A19,DB!$1:$1,0)),FALSE),"")</f>
        <v/>
      </c>
      <c r="LQQ19" s="28" t="str">
        <f>IFERROR(VLOOKUP(DATE($K$1,$K$2,LQQ$4),Table1[],(MATCH(Calendar!$A19,DB!$1:$1,0)),FALSE),"")</f>
        <v/>
      </c>
      <c r="LQR19" s="28" t="str">
        <f>IFERROR(VLOOKUP(DATE($K$1,$K$2,LQR$4),Table1[],(MATCH(Calendar!$A19,DB!$1:$1,0)),FALSE),"")</f>
        <v/>
      </c>
      <c r="LQS19" s="28" t="str">
        <f>IFERROR(VLOOKUP(DATE($K$1,$K$2,LQS$4),Table1[],(MATCH(Calendar!$A19,DB!$1:$1,0)),FALSE),"")</f>
        <v/>
      </c>
      <c r="LQT19" s="28" t="str">
        <f>IFERROR(VLOOKUP(DATE($K$1,$K$2,LQT$4),Table1[],(MATCH(Calendar!$A19,DB!$1:$1,0)),FALSE),"")</f>
        <v/>
      </c>
      <c r="LQU19" s="28" t="str">
        <f>IFERROR(VLOOKUP(DATE($K$1,$K$2,LQU$4),Table1[],(MATCH(Calendar!$A19,DB!$1:$1,0)),FALSE),"")</f>
        <v/>
      </c>
      <c r="LQV19" s="28" t="str">
        <f>IFERROR(VLOOKUP(DATE($K$1,$K$2,LQV$4),Table1[],(MATCH(Calendar!$A19,DB!$1:$1,0)),FALSE),"")</f>
        <v/>
      </c>
      <c r="LQW19" s="28" t="str">
        <f>IFERROR(VLOOKUP(DATE($K$1,$K$2,LQW$4),Table1[],(MATCH(Calendar!$A19,DB!$1:$1,0)),FALSE),"")</f>
        <v/>
      </c>
      <c r="LQX19" s="28" t="str">
        <f>IFERROR(VLOOKUP(DATE($K$1,$K$2,LQX$4),Table1[],(MATCH(Calendar!$A19,DB!$1:$1,0)),FALSE),"")</f>
        <v/>
      </c>
      <c r="LQY19" s="28" t="str">
        <f>IFERROR(VLOOKUP(DATE($K$1,$K$2,LQY$4),Table1[],(MATCH(Calendar!$A19,DB!$1:$1,0)),FALSE),"")</f>
        <v/>
      </c>
      <c r="LQZ19" s="28" t="str">
        <f>IFERROR(VLOOKUP(DATE($K$1,$K$2,LQZ$4),Table1[],(MATCH(Calendar!$A19,DB!$1:$1,0)),FALSE),"")</f>
        <v/>
      </c>
      <c r="LRA19" s="28" t="str">
        <f>IFERROR(VLOOKUP(DATE($K$1,$K$2,LRA$4),Table1[],(MATCH(Calendar!$A19,DB!$1:$1,0)),FALSE),"")</f>
        <v/>
      </c>
      <c r="LRB19" s="28" t="str">
        <f>IFERROR(VLOOKUP(DATE($K$1,$K$2,LRB$4),Table1[],(MATCH(Calendar!$A19,DB!$1:$1,0)),FALSE),"")</f>
        <v/>
      </c>
      <c r="LRC19" s="28" t="str">
        <f>IFERROR(VLOOKUP(DATE($K$1,$K$2,LRC$4),Table1[],(MATCH(Calendar!$A19,DB!$1:$1,0)),FALSE),"")</f>
        <v/>
      </c>
      <c r="LRD19" s="28" t="str">
        <f>IFERROR(VLOOKUP(DATE($K$1,$K$2,LRD$4),Table1[],(MATCH(Calendar!$A19,DB!$1:$1,0)),FALSE),"")</f>
        <v/>
      </c>
      <c r="LRE19" s="28" t="str">
        <f>IFERROR(VLOOKUP(DATE($K$1,$K$2,LRE$4),Table1[],(MATCH(Calendar!$A19,DB!$1:$1,0)),FALSE),"")</f>
        <v/>
      </c>
      <c r="LRF19" s="28" t="str">
        <f>IFERROR(VLOOKUP(DATE($K$1,$K$2,LRF$4),Table1[],(MATCH(Calendar!$A19,DB!$1:$1,0)),FALSE),"")</f>
        <v/>
      </c>
      <c r="LRG19" s="28" t="str">
        <f>IFERROR(VLOOKUP(DATE($K$1,$K$2,LRG$4),Table1[],(MATCH(Calendar!$A19,DB!$1:$1,0)),FALSE),"")</f>
        <v/>
      </c>
      <c r="LRH19" s="28" t="str">
        <f>IFERROR(VLOOKUP(DATE($K$1,$K$2,LRH$4),Table1[],(MATCH(Calendar!$A19,DB!$1:$1,0)),FALSE),"")</f>
        <v/>
      </c>
      <c r="LRI19" s="28" t="str">
        <f>IFERROR(VLOOKUP(DATE($K$1,$K$2,LRI$4),Table1[],(MATCH(Calendar!$A19,DB!$1:$1,0)),FALSE),"")</f>
        <v/>
      </c>
      <c r="LRJ19" s="28" t="str">
        <f>IFERROR(VLOOKUP(DATE($K$1,$K$2,LRJ$4),Table1[],(MATCH(Calendar!$A19,DB!$1:$1,0)),FALSE),"")</f>
        <v/>
      </c>
      <c r="LRK19" s="28" t="str">
        <f>IFERROR(VLOOKUP(DATE($K$1,$K$2,LRK$4),Table1[],(MATCH(Calendar!$A19,DB!$1:$1,0)),FALSE),"")</f>
        <v/>
      </c>
      <c r="LRL19" s="28" t="str">
        <f>IFERROR(VLOOKUP(DATE($K$1,$K$2,LRL$4),Table1[],(MATCH(Calendar!$A19,DB!$1:$1,0)),FALSE),"")</f>
        <v/>
      </c>
      <c r="LRM19" s="28" t="str">
        <f>IFERROR(VLOOKUP(DATE($K$1,$K$2,LRM$4),Table1[],(MATCH(Calendar!$A19,DB!$1:$1,0)),FALSE),"")</f>
        <v/>
      </c>
      <c r="LRN19" s="28" t="str">
        <f>IFERROR(VLOOKUP(DATE($K$1,$K$2,LRN$4),Table1[],(MATCH(Calendar!$A19,DB!$1:$1,0)),FALSE),"")</f>
        <v/>
      </c>
      <c r="LRO19" s="28" t="str">
        <f>IFERROR(VLOOKUP(DATE($K$1,$K$2,LRO$4),Table1[],(MATCH(Calendar!$A19,DB!$1:$1,0)),FALSE),"")</f>
        <v/>
      </c>
      <c r="LRP19" s="28" t="str">
        <f>IFERROR(VLOOKUP(DATE($K$1,$K$2,LRP$4),Table1[],(MATCH(Calendar!$A19,DB!$1:$1,0)),FALSE),"")</f>
        <v/>
      </c>
      <c r="LRQ19" s="28" t="str">
        <f>IFERROR(VLOOKUP(DATE($K$1,$K$2,LRQ$4),Table1[],(MATCH(Calendar!$A19,DB!$1:$1,0)),FALSE),"")</f>
        <v/>
      </c>
      <c r="LRR19" s="28" t="str">
        <f>IFERROR(VLOOKUP(DATE($K$1,$K$2,LRR$4),Table1[],(MATCH(Calendar!$A19,DB!$1:$1,0)),FALSE),"")</f>
        <v/>
      </c>
      <c r="LRS19" s="28" t="str">
        <f>IFERROR(VLOOKUP(DATE($K$1,$K$2,LRS$4),Table1[],(MATCH(Calendar!$A19,DB!$1:$1,0)),FALSE),"")</f>
        <v/>
      </c>
      <c r="LRT19" s="28" t="str">
        <f>IFERROR(VLOOKUP(DATE($K$1,$K$2,LRT$4),Table1[],(MATCH(Calendar!$A19,DB!$1:$1,0)),FALSE),"")</f>
        <v/>
      </c>
      <c r="LRU19" s="28" t="str">
        <f>IFERROR(VLOOKUP(DATE($K$1,$K$2,LRU$4),Table1[],(MATCH(Calendar!$A19,DB!$1:$1,0)),FALSE),"")</f>
        <v/>
      </c>
      <c r="LRV19" s="28" t="str">
        <f>IFERROR(VLOOKUP(DATE($K$1,$K$2,LRV$4),Table1[],(MATCH(Calendar!$A19,DB!$1:$1,0)),FALSE),"")</f>
        <v/>
      </c>
      <c r="LRW19" s="28" t="str">
        <f>IFERROR(VLOOKUP(DATE($K$1,$K$2,LRW$4),Table1[],(MATCH(Calendar!$A19,DB!$1:$1,0)),FALSE),"")</f>
        <v/>
      </c>
      <c r="LRX19" s="28" t="str">
        <f>IFERROR(VLOOKUP(DATE($K$1,$K$2,LRX$4),Table1[],(MATCH(Calendar!$A19,DB!$1:$1,0)),FALSE),"")</f>
        <v/>
      </c>
      <c r="LRY19" s="28" t="str">
        <f>IFERROR(VLOOKUP(DATE($K$1,$K$2,LRY$4),Table1[],(MATCH(Calendar!$A19,DB!$1:$1,0)),FALSE),"")</f>
        <v/>
      </c>
      <c r="LRZ19" s="28" t="str">
        <f>IFERROR(VLOOKUP(DATE($K$1,$K$2,LRZ$4),Table1[],(MATCH(Calendar!$A19,DB!$1:$1,0)),FALSE),"")</f>
        <v/>
      </c>
      <c r="LSA19" s="28" t="str">
        <f>IFERROR(VLOOKUP(DATE($K$1,$K$2,LSA$4),Table1[],(MATCH(Calendar!$A19,DB!$1:$1,0)),FALSE),"")</f>
        <v/>
      </c>
      <c r="LSB19" s="28" t="str">
        <f>IFERROR(VLOOKUP(DATE($K$1,$K$2,LSB$4),Table1[],(MATCH(Calendar!$A19,DB!$1:$1,0)),FALSE),"")</f>
        <v/>
      </c>
      <c r="LSC19" s="28" t="str">
        <f>IFERROR(VLOOKUP(DATE($K$1,$K$2,LSC$4),Table1[],(MATCH(Calendar!$A19,DB!$1:$1,0)),FALSE),"")</f>
        <v/>
      </c>
      <c r="LSD19" s="28" t="str">
        <f>IFERROR(VLOOKUP(DATE($K$1,$K$2,LSD$4),Table1[],(MATCH(Calendar!$A19,DB!$1:$1,0)),FALSE),"")</f>
        <v/>
      </c>
      <c r="LSE19" s="28" t="str">
        <f>IFERROR(VLOOKUP(DATE($K$1,$K$2,LSE$4),Table1[],(MATCH(Calendar!$A19,DB!$1:$1,0)),FALSE),"")</f>
        <v/>
      </c>
      <c r="LSF19" s="28" t="str">
        <f>IFERROR(VLOOKUP(DATE($K$1,$K$2,LSF$4),Table1[],(MATCH(Calendar!$A19,DB!$1:$1,0)),FALSE),"")</f>
        <v/>
      </c>
      <c r="LSG19" s="28" t="str">
        <f>IFERROR(VLOOKUP(DATE($K$1,$K$2,LSG$4),Table1[],(MATCH(Calendar!$A19,DB!$1:$1,0)),FALSE),"")</f>
        <v/>
      </c>
      <c r="LSH19" s="28" t="str">
        <f>IFERROR(VLOOKUP(DATE($K$1,$K$2,LSH$4),Table1[],(MATCH(Calendar!$A19,DB!$1:$1,0)),FALSE),"")</f>
        <v/>
      </c>
      <c r="LSI19" s="28" t="str">
        <f>IFERROR(VLOOKUP(DATE($K$1,$K$2,LSI$4),Table1[],(MATCH(Calendar!$A19,DB!$1:$1,0)),FALSE),"")</f>
        <v/>
      </c>
      <c r="LSJ19" s="28" t="str">
        <f>IFERROR(VLOOKUP(DATE($K$1,$K$2,LSJ$4),Table1[],(MATCH(Calendar!$A19,DB!$1:$1,0)),FALSE),"")</f>
        <v/>
      </c>
      <c r="LSK19" s="28" t="str">
        <f>IFERROR(VLOOKUP(DATE($K$1,$K$2,LSK$4),Table1[],(MATCH(Calendar!$A19,DB!$1:$1,0)),FALSE),"")</f>
        <v/>
      </c>
      <c r="LSL19" s="28" t="str">
        <f>IFERROR(VLOOKUP(DATE($K$1,$K$2,LSL$4),Table1[],(MATCH(Calendar!$A19,DB!$1:$1,0)),FALSE),"")</f>
        <v/>
      </c>
      <c r="LSM19" s="28" t="str">
        <f>IFERROR(VLOOKUP(DATE($K$1,$K$2,LSM$4),Table1[],(MATCH(Calendar!$A19,DB!$1:$1,0)),FALSE),"")</f>
        <v/>
      </c>
      <c r="LSN19" s="28" t="str">
        <f>IFERROR(VLOOKUP(DATE($K$1,$K$2,LSN$4),Table1[],(MATCH(Calendar!$A19,DB!$1:$1,0)),FALSE),"")</f>
        <v/>
      </c>
      <c r="LSO19" s="28" t="str">
        <f>IFERROR(VLOOKUP(DATE($K$1,$K$2,LSO$4),Table1[],(MATCH(Calendar!$A19,DB!$1:$1,0)),FALSE),"")</f>
        <v/>
      </c>
      <c r="LSP19" s="28" t="str">
        <f>IFERROR(VLOOKUP(DATE($K$1,$K$2,LSP$4),Table1[],(MATCH(Calendar!$A19,DB!$1:$1,0)),FALSE),"")</f>
        <v/>
      </c>
      <c r="LSQ19" s="28" t="str">
        <f>IFERROR(VLOOKUP(DATE($K$1,$K$2,LSQ$4),Table1[],(MATCH(Calendar!$A19,DB!$1:$1,0)),FALSE),"")</f>
        <v/>
      </c>
      <c r="LSR19" s="28" t="str">
        <f>IFERROR(VLOOKUP(DATE($K$1,$K$2,LSR$4),Table1[],(MATCH(Calendar!$A19,DB!$1:$1,0)),FALSE),"")</f>
        <v/>
      </c>
      <c r="LSS19" s="28" t="str">
        <f>IFERROR(VLOOKUP(DATE($K$1,$K$2,LSS$4),Table1[],(MATCH(Calendar!$A19,DB!$1:$1,0)),FALSE),"")</f>
        <v/>
      </c>
      <c r="LST19" s="28" t="str">
        <f>IFERROR(VLOOKUP(DATE($K$1,$K$2,LST$4),Table1[],(MATCH(Calendar!$A19,DB!$1:$1,0)),FALSE),"")</f>
        <v/>
      </c>
      <c r="LSU19" s="28" t="str">
        <f>IFERROR(VLOOKUP(DATE($K$1,$K$2,LSU$4),Table1[],(MATCH(Calendar!$A19,DB!$1:$1,0)),FALSE),"")</f>
        <v/>
      </c>
      <c r="LSV19" s="28" t="str">
        <f>IFERROR(VLOOKUP(DATE($K$1,$K$2,LSV$4),Table1[],(MATCH(Calendar!$A19,DB!$1:$1,0)),FALSE),"")</f>
        <v/>
      </c>
      <c r="LSW19" s="28" t="str">
        <f>IFERROR(VLOOKUP(DATE($K$1,$K$2,LSW$4),Table1[],(MATCH(Calendar!$A19,DB!$1:$1,0)),FALSE),"")</f>
        <v/>
      </c>
      <c r="LSX19" s="28" t="str">
        <f>IFERROR(VLOOKUP(DATE($K$1,$K$2,LSX$4),Table1[],(MATCH(Calendar!$A19,DB!$1:$1,0)),FALSE),"")</f>
        <v/>
      </c>
      <c r="LSY19" s="28" t="str">
        <f>IFERROR(VLOOKUP(DATE($K$1,$K$2,LSY$4),Table1[],(MATCH(Calendar!$A19,DB!$1:$1,0)),FALSE),"")</f>
        <v/>
      </c>
      <c r="LSZ19" s="28" t="str">
        <f>IFERROR(VLOOKUP(DATE($K$1,$K$2,LSZ$4),Table1[],(MATCH(Calendar!$A19,DB!$1:$1,0)),FALSE),"")</f>
        <v/>
      </c>
      <c r="LTA19" s="28" t="str">
        <f>IFERROR(VLOOKUP(DATE($K$1,$K$2,LTA$4),Table1[],(MATCH(Calendar!$A19,DB!$1:$1,0)),FALSE),"")</f>
        <v/>
      </c>
      <c r="LTB19" s="28" t="str">
        <f>IFERROR(VLOOKUP(DATE($K$1,$K$2,LTB$4),Table1[],(MATCH(Calendar!$A19,DB!$1:$1,0)),FALSE),"")</f>
        <v/>
      </c>
      <c r="LTC19" s="28" t="str">
        <f>IFERROR(VLOOKUP(DATE($K$1,$K$2,LTC$4),Table1[],(MATCH(Calendar!$A19,DB!$1:$1,0)),FALSE),"")</f>
        <v/>
      </c>
      <c r="LTD19" s="28" t="str">
        <f>IFERROR(VLOOKUP(DATE($K$1,$K$2,LTD$4),Table1[],(MATCH(Calendar!$A19,DB!$1:$1,0)),FALSE),"")</f>
        <v/>
      </c>
      <c r="LTE19" s="28" t="str">
        <f>IFERROR(VLOOKUP(DATE($K$1,$K$2,LTE$4),Table1[],(MATCH(Calendar!$A19,DB!$1:$1,0)),FALSE),"")</f>
        <v/>
      </c>
      <c r="LTF19" s="28" t="str">
        <f>IFERROR(VLOOKUP(DATE($K$1,$K$2,LTF$4),Table1[],(MATCH(Calendar!$A19,DB!$1:$1,0)),FALSE),"")</f>
        <v/>
      </c>
      <c r="LTG19" s="28" t="str">
        <f>IFERROR(VLOOKUP(DATE($K$1,$K$2,LTG$4),Table1[],(MATCH(Calendar!$A19,DB!$1:$1,0)),FALSE),"")</f>
        <v/>
      </c>
      <c r="LTH19" s="28" t="str">
        <f>IFERROR(VLOOKUP(DATE($K$1,$K$2,LTH$4),Table1[],(MATCH(Calendar!$A19,DB!$1:$1,0)),FALSE),"")</f>
        <v/>
      </c>
      <c r="LTI19" s="28" t="str">
        <f>IFERROR(VLOOKUP(DATE($K$1,$K$2,LTI$4),Table1[],(MATCH(Calendar!$A19,DB!$1:$1,0)),FALSE),"")</f>
        <v/>
      </c>
      <c r="LTJ19" s="28" t="str">
        <f>IFERROR(VLOOKUP(DATE($K$1,$K$2,LTJ$4),Table1[],(MATCH(Calendar!$A19,DB!$1:$1,0)),FALSE),"")</f>
        <v/>
      </c>
      <c r="LTK19" s="28" t="str">
        <f>IFERROR(VLOOKUP(DATE($K$1,$K$2,LTK$4),Table1[],(MATCH(Calendar!$A19,DB!$1:$1,0)),FALSE),"")</f>
        <v/>
      </c>
      <c r="LTL19" s="28" t="str">
        <f>IFERROR(VLOOKUP(DATE($K$1,$K$2,LTL$4),Table1[],(MATCH(Calendar!$A19,DB!$1:$1,0)),FALSE),"")</f>
        <v/>
      </c>
      <c r="LTM19" s="28" t="str">
        <f>IFERROR(VLOOKUP(DATE($K$1,$K$2,LTM$4),Table1[],(MATCH(Calendar!$A19,DB!$1:$1,0)),FALSE),"")</f>
        <v/>
      </c>
      <c r="LTN19" s="28" t="str">
        <f>IFERROR(VLOOKUP(DATE($K$1,$K$2,LTN$4),Table1[],(MATCH(Calendar!$A19,DB!$1:$1,0)),FALSE),"")</f>
        <v/>
      </c>
      <c r="LTO19" s="28" t="str">
        <f>IFERROR(VLOOKUP(DATE($K$1,$K$2,LTO$4),Table1[],(MATCH(Calendar!$A19,DB!$1:$1,0)),FALSE),"")</f>
        <v/>
      </c>
      <c r="LTP19" s="28" t="str">
        <f>IFERROR(VLOOKUP(DATE($K$1,$K$2,LTP$4),Table1[],(MATCH(Calendar!$A19,DB!$1:$1,0)),FALSE),"")</f>
        <v/>
      </c>
      <c r="LTQ19" s="28" t="str">
        <f>IFERROR(VLOOKUP(DATE($K$1,$K$2,LTQ$4),Table1[],(MATCH(Calendar!$A19,DB!$1:$1,0)),FALSE),"")</f>
        <v/>
      </c>
      <c r="LTR19" s="28" t="str">
        <f>IFERROR(VLOOKUP(DATE($K$1,$K$2,LTR$4),Table1[],(MATCH(Calendar!$A19,DB!$1:$1,0)),FALSE),"")</f>
        <v/>
      </c>
      <c r="LTS19" s="28" t="str">
        <f>IFERROR(VLOOKUP(DATE($K$1,$K$2,LTS$4),Table1[],(MATCH(Calendar!$A19,DB!$1:$1,0)),FALSE),"")</f>
        <v/>
      </c>
      <c r="LTT19" s="28" t="str">
        <f>IFERROR(VLOOKUP(DATE($K$1,$K$2,LTT$4),Table1[],(MATCH(Calendar!$A19,DB!$1:$1,0)),FALSE),"")</f>
        <v/>
      </c>
      <c r="LTU19" s="28" t="str">
        <f>IFERROR(VLOOKUP(DATE($K$1,$K$2,LTU$4),Table1[],(MATCH(Calendar!$A19,DB!$1:$1,0)),FALSE),"")</f>
        <v/>
      </c>
      <c r="LTV19" s="28" t="str">
        <f>IFERROR(VLOOKUP(DATE($K$1,$K$2,LTV$4),Table1[],(MATCH(Calendar!$A19,DB!$1:$1,0)),FALSE),"")</f>
        <v/>
      </c>
      <c r="LTW19" s="28" t="str">
        <f>IFERROR(VLOOKUP(DATE($K$1,$K$2,LTW$4),Table1[],(MATCH(Calendar!$A19,DB!$1:$1,0)),FALSE),"")</f>
        <v/>
      </c>
      <c r="LTX19" s="28" t="str">
        <f>IFERROR(VLOOKUP(DATE($K$1,$K$2,LTX$4),Table1[],(MATCH(Calendar!$A19,DB!$1:$1,0)),FALSE),"")</f>
        <v/>
      </c>
      <c r="LTY19" s="28" t="str">
        <f>IFERROR(VLOOKUP(DATE($K$1,$K$2,LTY$4),Table1[],(MATCH(Calendar!$A19,DB!$1:$1,0)),FALSE),"")</f>
        <v/>
      </c>
      <c r="LTZ19" s="28" t="str">
        <f>IFERROR(VLOOKUP(DATE($K$1,$K$2,LTZ$4),Table1[],(MATCH(Calendar!$A19,DB!$1:$1,0)),FALSE),"")</f>
        <v/>
      </c>
      <c r="LUA19" s="28" t="str">
        <f>IFERROR(VLOOKUP(DATE($K$1,$K$2,LUA$4),Table1[],(MATCH(Calendar!$A19,DB!$1:$1,0)),FALSE),"")</f>
        <v/>
      </c>
      <c r="LUB19" s="28" t="str">
        <f>IFERROR(VLOOKUP(DATE($K$1,$K$2,LUB$4),Table1[],(MATCH(Calendar!$A19,DB!$1:$1,0)),FALSE),"")</f>
        <v/>
      </c>
      <c r="LUC19" s="28" t="str">
        <f>IFERROR(VLOOKUP(DATE($K$1,$K$2,LUC$4),Table1[],(MATCH(Calendar!$A19,DB!$1:$1,0)),FALSE),"")</f>
        <v/>
      </c>
      <c r="LUD19" s="28" t="str">
        <f>IFERROR(VLOOKUP(DATE($K$1,$K$2,LUD$4),Table1[],(MATCH(Calendar!$A19,DB!$1:$1,0)),FALSE),"")</f>
        <v/>
      </c>
      <c r="LUE19" s="28" t="str">
        <f>IFERROR(VLOOKUP(DATE($K$1,$K$2,LUE$4),Table1[],(MATCH(Calendar!$A19,DB!$1:$1,0)),FALSE),"")</f>
        <v/>
      </c>
      <c r="LUF19" s="28" t="str">
        <f>IFERROR(VLOOKUP(DATE($K$1,$K$2,LUF$4),Table1[],(MATCH(Calendar!$A19,DB!$1:$1,0)),FALSE),"")</f>
        <v/>
      </c>
      <c r="LUG19" s="28" t="str">
        <f>IFERROR(VLOOKUP(DATE($K$1,$K$2,LUG$4),Table1[],(MATCH(Calendar!$A19,DB!$1:$1,0)),FALSE),"")</f>
        <v/>
      </c>
      <c r="LUH19" s="28" t="str">
        <f>IFERROR(VLOOKUP(DATE($K$1,$K$2,LUH$4),Table1[],(MATCH(Calendar!$A19,DB!$1:$1,0)),FALSE),"")</f>
        <v/>
      </c>
      <c r="LUI19" s="28" t="str">
        <f>IFERROR(VLOOKUP(DATE($K$1,$K$2,LUI$4),Table1[],(MATCH(Calendar!$A19,DB!$1:$1,0)),FALSE),"")</f>
        <v/>
      </c>
      <c r="LUJ19" s="28" t="str">
        <f>IFERROR(VLOOKUP(DATE($K$1,$K$2,LUJ$4),Table1[],(MATCH(Calendar!$A19,DB!$1:$1,0)),FALSE),"")</f>
        <v/>
      </c>
      <c r="LUK19" s="28" t="str">
        <f>IFERROR(VLOOKUP(DATE($K$1,$K$2,LUK$4),Table1[],(MATCH(Calendar!$A19,DB!$1:$1,0)),FALSE),"")</f>
        <v/>
      </c>
      <c r="LUL19" s="28" t="str">
        <f>IFERROR(VLOOKUP(DATE($K$1,$K$2,LUL$4),Table1[],(MATCH(Calendar!$A19,DB!$1:$1,0)),FALSE),"")</f>
        <v/>
      </c>
      <c r="LUM19" s="28" t="str">
        <f>IFERROR(VLOOKUP(DATE($K$1,$K$2,LUM$4),Table1[],(MATCH(Calendar!$A19,DB!$1:$1,0)),FALSE),"")</f>
        <v/>
      </c>
      <c r="LUN19" s="28" t="str">
        <f>IFERROR(VLOOKUP(DATE($K$1,$K$2,LUN$4),Table1[],(MATCH(Calendar!$A19,DB!$1:$1,0)),FALSE),"")</f>
        <v/>
      </c>
      <c r="LUO19" s="28" t="str">
        <f>IFERROR(VLOOKUP(DATE($K$1,$K$2,LUO$4),Table1[],(MATCH(Calendar!$A19,DB!$1:$1,0)),FALSE),"")</f>
        <v/>
      </c>
      <c r="LUP19" s="28" t="str">
        <f>IFERROR(VLOOKUP(DATE($K$1,$K$2,LUP$4),Table1[],(MATCH(Calendar!$A19,DB!$1:$1,0)),FALSE),"")</f>
        <v/>
      </c>
      <c r="LUQ19" s="28" t="str">
        <f>IFERROR(VLOOKUP(DATE($K$1,$K$2,LUQ$4),Table1[],(MATCH(Calendar!$A19,DB!$1:$1,0)),FALSE),"")</f>
        <v/>
      </c>
      <c r="LUR19" s="28" t="str">
        <f>IFERROR(VLOOKUP(DATE($K$1,$K$2,LUR$4),Table1[],(MATCH(Calendar!$A19,DB!$1:$1,0)),FALSE),"")</f>
        <v/>
      </c>
      <c r="LUS19" s="28" t="str">
        <f>IFERROR(VLOOKUP(DATE($K$1,$K$2,LUS$4),Table1[],(MATCH(Calendar!$A19,DB!$1:$1,0)),FALSE),"")</f>
        <v/>
      </c>
      <c r="LUT19" s="28" t="str">
        <f>IFERROR(VLOOKUP(DATE($K$1,$K$2,LUT$4),Table1[],(MATCH(Calendar!$A19,DB!$1:$1,0)),FALSE),"")</f>
        <v/>
      </c>
      <c r="LUU19" s="28" t="str">
        <f>IFERROR(VLOOKUP(DATE($K$1,$K$2,LUU$4),Table1[],(MATCH(Calendar!$A19,DB!$1:$1,0)),FALSE),"")</f>
        <v/>
      </c>
      <c r="LUV19" s="28" t="str">
        <f>IFERROR(VLOOKUP(DATE($K$1,$K$2,LUV$4),Table1[],(MATCH(Calendar!$A19,DB!$1:$1,0)),FALSE),"")</f>
        <v/>
      </c>
      <c r="LUW19" s="28" t="str">
        <f>IFERROR(VLOOKUP(DATE($K$1,$K$2,LUW$4),Table1[],(MATCH(Calendar!$A19,DB!$1:$1,0)),FALSE),"")</f>
        <v/>
      </c>
      <c r="LUX19" s="28" t="str">
        <f>IFERROR(VLOOKUP(DATE($K$1,$K$2,LUX$4),Table1[],(MATCH(Calendar!$A19,DB!$1:$1,0)),FALSE),"")</f>
        <v/>
      </c>
      <c r="LUY19" s="28" t="str">
        <f>IFERROR(VLOOKUP(DATE($K$1,$K$2,LUY$4),Table1[],(MATCH(Calendar!$A19,DB!$1:$1,0)),FALSE),"")</f>
        <v/>
      </c>
      <c r="LUZ19" s="28" t="str">
        <f>IFERROR(VLOOKUP(DATE($K$1,$K$2,LUZ$4),Table1[],(MATCH(Calendar!$A19,DB!$1:$1,0)),FALSE),"")</f>
        <v/>
      </c>
      <c r="LVA19" s="28" t="str">
        <f>IFERROR(VLOOKUP(DATE($K$1,$K$2,LVA$4),Table1[],(MATCH(Calendar!$A19,DB!$1:$1,0)),FALSE),"")</f>
        <v/>
      </c>
      <c r="LVB19" s="28" t="str">
        <f>IFERROR(VLOOKUP(DATE($K$1,$K$2,LVB$4),Table1[],(MATCH(Calendar!$A19,DB!$1:$1,0)),FALSE),"")</f>
        <v/>
      </c>
      <c r="LVC19" s="28" t="str">
        <f>IFERROR(VLOOKUP(DATE($K$1,$K$2,LVC$4),Table1[],(MATCH(Calendar!$A19,DB!$1:$1,0)),FALSE),"")</f>
        <v/>
      </c>
      <c r="LVD19" s="28" t="str">
        <f>IFERROR(VLOOKUP(DATE($K$1,$K$2,LVD$4),Table1[],(MATCH(Calendar!$A19,DB!$1:$1,0)),FALSE),"")</f>
        <v/>
      </c>
      <c r="LVE19" s="28" t="str">
        <f>IFERROR(VLOOKUP(DATE($K$1,$K$2,LVE$4),Table1[],(MATCH(Calendar!$A19,DB!$1:$1,0)),FALSE),"")</f>
        <v/>
      </c>
      <c r="LVF19" s="28" t="str">
        <f>IFERROR(VLOOKUP(DATE($K$1,$K$2,LVF$4),Table1[],(MATCH(Calendar!$A19,DB!$1:$1,0)),FALSE),"")</f>
        <v/>
      </c>
      <c r="LVG19" s="28" t="str">
        <f>IFERROR(VLOOKUP(DATE($K$1,$K$2,LVG$4),Table1[],(MATCH(Calendar!$A19,DB!$1:$1,0)),FALSE),"")</f>
        <v/>
      </c>
      <c r="LVH19" s="28" t="str">
        <f>IFERROR(VLOOKUP(DATE($K$1,$K$2,LVH$4),Table1[],(MATCH(Calendar!$A19,DB!$1:$1,0)),FALSE),"")</f>
        <v/>
      </c>
      <c r="LVI19" s="28" t="str">
        <f>IFERROR(VLOOKUP(DATE($K$1,$K$2,LVI$4),Table1[],(MATCH(Calendar!$A19,DB!$1:$1,0)),FALSE),"")</f>
        <v/>
      </c>
      <c r="LVJ19" s="28" t="str">
        <f>IFERROR(VLOOKUP(DATE($K$1,$K$2,LVJ$4),Table1[],(MATCH(Calendar!$A19,DB!$1:$1,0)),FALSE),"")</f>
        <v/>
      </c>
      <c r="LVK19" s="28" t="str">
        <f>IFERROR(VLOOKUP(DATE($K$1,$K$2,LVK$4),Table1[],(MATCH(Calendar!$A19,DB!$1:$1,0)),FALSE),"")</f>
        <v/>
      </c>
      <c r="LVL19" s="28" t="str">
        <f>IFERROR(VLOOKUP(DATE($K$1,$K$2,LVL$4),Table1[],(MATCH(Calendar!$A19,DB!$1:$1,0)),FALSE),"")</f>
        <v/>
      </c>
      <c r="LVM19" s="28" t="str">
        <f>IFERROR(VLOOKUP(DATE($K$1,$K$2,LVM$4),Table1[],(MATCH(Calendar!$A19,DB!$1:$1,0)),FALSE),"")</f>
        <v/>
      </c>
      <c r="LVN19" s="28" t="str">
        <f>IFERROR(VLOOKUP(DATE($K$1,$K$2,LVN$4),Table1[],(MATCH(Calendar!$A19,DB!$1:$1,0)),FALSE),"")</f>
        <v/>
      </c>
      <c r="LVO19" s="28" t="str">
        <f>IFERROR(VLOOKUP(DATE($K$1,$K$2,LVO$4),Table1[],(MATCH(Calendar!$A19,DB!$1:$1,0)),FALSE),"")</f>
        <v/>
      </c>
      <c r="LVP19" s="28" t="str">
        <f>IFERROR(VLOOKUP(DATE($K$1,$K$2,LVP$4),Table1[],(MATCH(Calendar!$A19,DB!$1:$1,0)),FALSE),"")</f>
        <v/>
      </c>
      <c r="LVQ19" s="28" t="str">
        <f>IFERROR(VLOOKUP(DATE($K$1,$K$2,LVQ$4),Table1[],(MATCH(Calendar!$A19,DB!$1:$1,0)),FALSE),"")</f>
        <v/>
      </c>
      <c r="LVR19" s="28" t="str">
        <f>IFERROR(VLOOKUP(DATE($K$1,$K$2,LVR$4),Table1[],(MATCH(Calendar!$A19,DB!$1:$1,0)),FALSE),"")</f>
        <v/>
      </c>
      <c r="LVS19" s="28" t="str">
        <f>IFERROR(VLOOKUP(DATE($K$1,$K$2,LVS$4),Table1[],(MATCH(Calendar!$A19,DB!$1:$1,0)),FALSE),"")</f>
        <v/>
      </c>
      <c r="LVT19" s="28" t="str">
        <f>IFERROR(VLOOKUP(DATE($K$1,$K$2,LVT$4),Table1[],(MATCH(Calendar!$A19,DB!$1:$1,0)),FALSE),"")</f>
        <v/>
      </c>
      <c r="LVU19" s="28" t="str">
        <f>IFERROR(VLOOKUP(DATE($K$1,$K$2,LVU$4),Table1[],(MATCH(Calendar!$A19,DB!$1:$1,0)),FALSE),"")</f>
        <v/>
      </c>
      <c r="LVV19" s="28" t="str">
        <f>IFERROR(VLOOKUP(DATE($K$1,$K$2,LVV$4),Table1[],(MATCH(Calendar!$A19,DB!$1:$1,0)),FALSE),"")</f>
        <v/>
      </c>
      <c r="LVW19" s="28" t="str">
        <f>IFERROR(VLOOKUP(DATE($K$1,$K$2,LVW$4),Table1[],(MATCH(Calendar!$A19,DB!$1:$1,0)),FALSE),"")</f>
        <v/>
      </c>
      <c r="LVX19" s="28" t="str">
        <f>IFERROR(VLOOKUP(DATE($K$1,$K$2,LVX$4),Table1[],(MATCH(Calendar!$A19,DB!$1:$1,0)),FALSE),"")</f>
        <v/>
      </c>
      <c r="LVY19" s="28" t="str">
        <f>IFERROR(VLOOKUP(DATE($K$1,$K$2,LVY$4),Table1[],(MATCH(Calendar!$A19,DB!$1:$1,0)),FALSE),"")</f>
        <v/>
      </c>
      <c r="LVZ19" s="28" t="str">
        <f>IFERROR(VLOOKUP(DATE($K$1,$K$2,LVZ$4),Table1[],(MATCH(Calendar!$A19,DB!$1:$1,0)),FALSE),"")</f>
        <v/>
      </c>
      <c r="LWA19" s="28" t="str">
        <f>IFERROR(VLOOKUP(DATE($K$1,$K$2,LWA$4),Table1[],(MATCH(Calendar!$A19,DB!$1:$1,0)),FALSE),"")</f>
        <v/>
      </c>
      <c r="LWB19" s="28" t="str">
        <f>IFERROR(VLOOKUP(DATE($K$1,$K$2,LWB$4),Table1[],(MATCH(Calendar!$A19,DB!$1:$1,0)),FALSE),"")</f>
        <v/>
      </c>
      <c r="LWC19" s="28" t="str">
        <f>IFERROR(VLOOKUP(DATE($K$1,$K$2,LWC$4),Table1[],(MATCH(Calendar!$A19,DB!$1:$1,0)),FALSE),"")</f>
        <v/>
      </c>
      <c r="LWD19" s="28" t="str">
        <f>IFERROR(VLOOKUP(DATE($K$1,$K$2,LWD$4),Table1[],(MATCH(Calendar!$A19,DB!$1:$1,0)),FALSE),"")</f>
        <v/>
      </c>
      <c r="LWE19" s="28" t="str">
        <f>IFERROR(VLOOKUP(DATE($K$1,$K$2,LWE$4),Table1[],(MATCH(Calendar!$A19,DB!$1:$1,0)),FALSE),"")</f>
        <v/>
      </c>
      <c r="LWF19" s="28" t="str">
        <f>IFERROR(VLOOKUP(DATE($K$1,$K$2,LWF$4),Table1[],(MATCH(Calendar!$A19,DB!$1:$1,0)),FALSE),"")</f>
        <v/>
      </c>
      <c r="LWG19" s="28" t="str">
        <f>IFERROR(VLOOKUP(DATE($K$1,$K$2,LWG$4),Table1[],(MATCH(Calendar!$A19,DB!$1:$1,0)),FALSE),"")</f>
        <v/>
      </c>
      <c r="LWH19" s="28" t="str">
        <f>IFERROR(VLOOKUP(DATE($K$1,$K$2,LWH$4),Table1[],(MATCH(Calendar!$A19,DB!$1:$1,0)),FALSE),"")</f>
        <v/>
      </c>
      <c r="LWI19" s="28" t="str">
        <f>IFERROR(VLOOKUP(DATE($K$1,$K$2,LWI$4),Table1[],(MATCH(Calendar!$A19,DB!$1:$1,0)),FALSE),"")</f>
        <v/>
      </c>
      <c r="LWJ19" s="28" t="str">
        <f>IFERROR(VLOOKUP(DATE($K$1,$K$2,LWJ$4),Table1[],(MATCH(Calendar!$A19,DB!$1:$1,0)),FALSE),"")</f>
        <v/>
      </c>
      <c r="LWK19" s="28" t="str">
        <f>IFERROR(VLOOKUP(DATE($K$1,$K$2,LWK$4),Table1[],(MATCH(Calendar!$A19,DB!$1:$1,0)),FALSE),"")</f>
        <v/>
      </c>
      <c r="LWL19" s="28" t="str">
        <f>IFERROR(VLOOKUP(DATE($K$1,$K$2,LWL$4),Table1[],(MATCH(Calendar!$A19,DB!$1:$1,0)),FALSE),"")</f>
        <v/>
      </c>
      <c r="LWM19" s="28" t="str">
        <f>IFERROR(VLOOKUP(DATE($K$1,$K$2,LWM$4),Table1[],(MATCH(Calendar!$A19,DB!$1:$1,0)),FALSE),"")</f>
        <v/>
      </c>
      <c r="LWN19" s="28" t="str">
        <f>IFERROR(VLOOKUP(DATE($K$1,$K$2,LWN$4),Table1[],(MATCH(Calendar!$A19,DB!$1:$1,0)),FALSE),"")</f>
        <v/>
      </c>
      <c r="LWO19" s="28" t="str">
        <f>IFERROR(VLOOKUP(DATE($K$1,$K$2,LWO$4),Table1[],(MATCH(Calendar!$A19,DB!$1:$1,0)),FALSE),"")</f>
        <v/>
      </c>
      <c r="LWP19" s="28" t="str">
        <f>IFERROR(VLOOKUP(DATE($K$1,$K$2,LWP$4),Table1[],(MATCH(Calendar!$A19,DB!$1:$1,0)),FALSE),"")</f>
        <v/>
      </c>
      <c r="LWQ19" s="28" t="str">
        <f>IFERROR(VLOOKUP(DATE($K$1,$K$2,LWQ$4),Table1[],(MATCH(Calendar!$A19,DB!$1:$1,0)),FALSE),"")</f>
        <v/>
      </c>
      <c r="LWR19" s="28" t="str">
        <f>IFERROR(VLOOKUP(DATE($K$1,$K$2,LWR$4),Table1[],(MATCH(Calendar!$A19,DB!$1:$1,0)),FALSE),"")</f>
        <v/>
      </c>
      <c r="LWS19" s="28" t="str">
        <f>IFERROR(VLOOKUP(DATE($K$1,$K$2,LWS$4),Table1[],(MATCH(Calendar!$A19,DB!$1:$1,0)),FALSE),"")</f>
        <v/>
      </c>
      <c r="LWT19" s="28" t="str">
        <f>IFERROR(VLOOKUP(DATE($K$1,$K$2,LWT$4),Table1[],(MATCH(Calendar!$A19,DB!$1:$1,0)),FALSE),"")</f>
        <v/>
      </c>
      <c r="LWU19" s="28" t="str">
        <f>IFERROR(VLOOKUP(DATE($K$1,$K$2,LWU$4),Table1[],(MATCH(Calendar!$A19,DB!$1:$1,0)),FALSE),"")</f>
        <v/>
      </c>
      <c r="LWV19" s="28" t="str">
        <f>IFERROR(VLOOKUP(DATE($K$1,$K$2,LWV$4),Table1[],(MATCH(Calendar!$A19,DB!$1:$1,0)),FALSE),"")</f>
        <v/>
      </c>
      <c r="LWW19" s="28" t="str">
        <f>IFERROR(VLOOKUP(DATE($K$1,$K$2,LWW$4),Table1[],(MATCH(Calendar!$A19,DB!$1:$1,0)),FALSE),"")</f>
        <v/>
      </c>
      <c r="LWX19" s="28" t="str">
        <f>IFERROR(VLOOKUP(DATE($K$1,$K$2,LWX$4),Table1[],(MATCH(Calendar!$A19,DB!$1:$1,0)),FALSE),"")</f>
        <v/>
      </c>
      <c r="LWY19" s="28" t="str">
        <f>IFERROR(VLOOKUP(DATE($K$1,$K$2,LWY$4),Table1[],(MATCH(Calendar!$A19,DB!$1:$1,0)),FALSE),"")</f>
        <v/>
      </c>
      <c r="LWZ19" s="28" t="str">
        <f>IFERROR(VLOOKUP(DATE($K$1,$K$2,LWZ$4),Table1[],(MATCH(Calendar!$A19,DB!$1:$1,0)),FALSE),"")</f>
        <v/>
      </c>
      <c r="LXA19" s="28" t="str">
        <f>IFERROR(VLOOKUP(DATE($K$1,$K$2,LXA$4),Table1[],(MATCH(Calendar!$A19,DB!$1:$1,0)),FALSE),"")</f>
        <v/>
      </c>
      <c r="LXB19" s="28" t="str">
        <f>IFERROR(VLOOKUP(DATE($K$1,$K$2,LXB$4),Table1[],(MATCH(Calendar!$A19,DB!$1:$1,0)),FALSE),"")</f>
        <v/>
      </c>
      <c r="LXC19" s="28" t="str">
        <f>IFERROR(VLOOKUP(DATE($K$1,$K$2,LXC$4),Table1[],(MATCH(Calendar!$A19,DB!$1:$1,0)),FALSE),"")</f>
        <v/>
      </c>
      <c r="LXD19" s="28" t="str">
        <f>IFERROR(VLOOKUP(DATE($K$1,$K$2,LXD$4),Table1[],(MATCH(Calendar!$A19,DB!$1:$1,0)),FALSE),"")</f>
        <v/>
      </c>
      <c r="LXE19" s="28" t="str">
        <f>IFERROR(VLOOKUP(DATE($K$1,$K$2,LXE$4),Table1[],(MATCH(Calendar!$A19,DB!$1:$1,0)),FALSE),"")</f>
        <v/>
      </c>
      <c r="LXF19" s="28" t="str">
        <f>IFERROR(VLOOKUP(DATE($K$1,$K$2,LXF$4),Table1[],(MATCH(Calendar!$A19,DB!$1:$1,0)),FALSE),"")</f>
        <v/>
      </c>
      <c r="LXG19" s="28" t="str">
        <f>IFERROR(VLOOKUP(DATE($K$1,$K$2,LXG$4),Table1[],(MATCH(Calendar!$A19,DB!$1:$1,0)),FALSE),"")</f>
        <v/>
      </c>
      <c r="LXH19" s="28" t="str">
        <f>IFERROR(VLOOKUP(DATE($K$1,$K$2,LXH$4),Table1[],(MATCH(Calendar!$A19,DB!$1:$1,0)),FALSE),"")</f>
        <v/>
      </c>
      <c r="LXI19" s="28" t="str">
        <f>IFERROR(VLOOKUP(DATE($K$1,$K$2,LXI$4),Table1[],(MATCH(Calendar!$A19,DB!$1:$1,0)),FALSE),"")</f>
        <v/>
      </c>
      <c r="LXJ19" s="28" t="str">
        <f>IFERROR(VLOOKUP(DATE($K$1,$K$2,LXJ$4),Table1[],(MATCH(Calendar!$A19,DB!$1:$1,0)),FALSE),"")</f>
        <v/>
      </c>
      <c r="LXK19" s="28" t="str">
        <f>IFERROR(VLOOKUP(DATE($K$1,$K$2,LXK$4),Table1[],(MATCH(Calendar!$A19,DB!$1:$1,0)),FALSE),"")</f>
        <v/>
      </c>
      <c r="LXL19" s="28" t="str">
        <f>IFERROR(VLOOKUP(DATE($K$1,$K$2,LXL$4),Table1[],(MATCH(Calendar!$A19,DB!$1:$1,0)),FALSE),"")</f>
        <v/>
      </c>
      <c r="LXM19" s="28" t="str">
        <f>IFERROR(VLOOKUP(DATE($K$1,$K$2,LXM$4),Table1[],(MATCH(Calendar!$A19,DB!$1:$1,0)),FALSE),"")</f>
        <v/>
      </c>
      <c r="LXN19" s="28" t="str">
        <f>IFERROR(VLOOKUP(DATE($K$1,$K$2,LXN$4),Table1[],(MATCH(Calendar!$A19,DB!$1:$1,0)),FALSE),"")</f>
        <v/>
      </c>
      <c r="LXO19" s="28" t="str">
        <f>IFERROR(VLOOKUP(DATE($K$1,$K$2,LXO$4),Table1[],(MATCH(Calendar!$A19,DB!$1:$1,0)),FALSE),"")</f>
        <v/>
      </c>
      <c r="LXP19" s="28" t="str">
        <f>IFERROR(VLOOKUP(DATE($K$1,$K$2,LXP$4),Table1[],(MATCH(Calendar!$A19,DB!$1:$1,0)),FALSE),"")</f>
        <v/>
      </c>
      <c r="LXQ19" s="28" t="str">
        <f>IFERROR(VLOOKUP(DATE($K$1,$K$2,LXQ$4),Table1[],(MATCH(Calendar!$A19,DB!$1:$1,0)),FALSE),"")</f>
        <v/>
      </c>
      <c r="LXR19" s="28" t="str">
        <f>IFERROR(VLOOKUP(DATE($K$1,$K$2,LXR$4),Table1[],(MATCH(Calendar!$A19,DB!$1:$1,0)),FALSE),"")</f>
        <v/>
      </c>
      <c r="LXS19" s="28" t="str">
        <f>IFERROR(VLOOKUP(DATE($K$1,$K$2,LXS$4),Table1[],(MATCH(Calendar!$A19,DB!$1:$1,0)),FALSE),"")</f>
        <v/>
      </c>
      <c r="LXT19" s="28" t="str">
        <f>IFERROR(VLOOKUP(DATE($K$1,$K$2,LXT$4),Table1[],(MATCH(Calendar!$A19,DB!$1:$1,0)),FALSE),"")</f>
        <v/>
      </c>
      <c r="LXU19" s="28" t="str">
        <f>IFERROR(VLOOKUP(DATE($K$1,$K$2,LXU$4),Table1[],(MATCH(Calendar!$A19,DB!$1:$1,0)),FALSE),"")</f>
        <v/>
      </c>
      <c r="LXV19" s="28" t="str">
        <f>IFERROR(VLOOKUP(DATE($K$1,$K$2,LXV$4),Table1[],(MATCH(Calendar!$A19,DB!$1:$1,0)),FALSE),"")</f>
        <v/>
      </c>
      <c r="LXW19" s="28" t="str">
        <f>IFERROR(VLOOKUP(DATE($K$1,$K$2,LXW$4),Table1[],(MATCH(Calendar!$A19,DB!$1:$1,0)),FALSE),"")</f>
        <v/>
      </c>
      <c r="LXX19" s="28" t="str">
        <f>IFERROR(VLOOKUP(DATE($K$1,$K$2,LXX$4),Table1[],(MATCH(Calendar!$A19,DB!$1:$1,0)),FALSE),"")</f>
        <v/>
      </c>
      <c r="LXY19" s="28" t="str">
        <f>IFERROR(VLOOKUP(DATE($K$1,$K$2,LXY$4),Table1[],(MATCH(Calendar!$A19,DB!$1:$1,0)),FALSE),"")</f>
        <v/>
      </c>
      <c r="LXZ19" s="28" t="str">
        <f>IFERROR(VLOOKUP(DATE($K$1,$K$2,LXZ$4),Table1[],(MATCH(Calendar!$A19,DB!$1:$1,0)),FALSE),"")</f>
        <v/>
      </c>
      <c r="LYA19" s="28" t="str">
        <f>IFERROR(VLOOKUP(DATE($K$1,$K$2,LYA$4),Table1[],(MATCH(Calendar!$A19,DB!$1:$1,0)),FALSE),"")</f>
        <v/>
      </c>
      <c r="LYB19" s="28" t="str">
        <f>IFERROR(VLOOKUP(DATE($K$1,$K$2,LYB$4),Table1[],(MATCH(Calendar!$A19,DB!$1:$1,0)),FALSE),"")</f>
        <v/>
      </c>
      <c r="LYC19" s="28" t="str">
        <f>IFERROR(VLOOKUP(DATE($K$1,$K$2,LYC$4),Table1[],(MATCH(Calendar!$A19,DB!$1:$1,0)),FALSE),"")</f>
        <v/>
      </c>
      <c r="LYD19" s="28" t="str">
        <f>IFERROR(VLOOKUP(DATE($K$1,$K$2,LYD$4),Table1[],(MATCH(Calendar!$A19,DB!$1:$1,0)),FALSE),"")</f>
        <v/>
      </c>
      <c r="LYE19" s="28" t="str">
        <f>IFERROR(VLOOKUP(DATE($K$1,$K$2,LYE$4),Table1[],(MATCH(Calendar!$A19,DB!$1:$1,0)),FALSE),"")</f>
        <v/>
      </c>
      <c r="LYF19" s="28" t="str">
        <f>IFERROR(VLOOKUP(DATE($K$1,$K$2,LYF$4),Table1[],(MATCH(Calendar!$A19,DB!$1:$1,0)),FALSE),"")</f>
        <v/>
      </c>
      <c r="LYG19" s="28" t="str">
        <f>IFERROR(VLOOKUP(DATE($K$1,$K$2,LYG$4),Table1[],(MATCH(Calendar!$A19,DB!$1:$1,0)),FALSE),"")</f>
        <v/>
      </c>
      <c r="LYH19" s="28" t="str">
        <f>IFERROR(VLOOKUP(DATE($K$1,$K$2,LYH$4),Table1[],(MATCH(Calendar!$A19,DB!$1:$1,0)),FALSE),"")</f>
        <v/>
      </c>
      <c r="LYI19" s="28" t="str">
        <f>IFERROR(VLOOKUP(DATE($K$1,$K$2,LYI$4),Table1[],(MATCH(Calendar!$A19,DB!$1:$1,0)),FALSE),"")</f>
        <v/>
      </c>
      <c r="LYJ19" s="28" t="str">
        <f>IFERROR(VLOOKUP(DATE($K$1,$K$2,LYJ$4),Table1[],(MATCH(Calendar!$A19,DB!$1:$1,0)),FALSE),"")</f>
        <v/>
      </c>
      <c r="LYK19" s="28" t="str">
        <f>IFERROR(VLOOKUP(DATE($K$1,$K$2,LYK$4),Table1[],(MATCH(Calendar!$A19,DB!$1:$1,0)),FALSE),"")</f>
        <v/>
      </c>
      <c r="LYL19" s="28" t="str">
        <f>IFERROR(VLOOKUP(DATE($K$1,$K$2,LYL$4),Table1[],(MATCH(Calendar!$A19,DB!$1:$1,0)),FALSE),"")</f>
        <v/>
      </c>
      <c r="LYM19" s="28" t="str">
        <f>IFERROR(VLOOKUP(DATE($K$1,$K$2,LYM$4),Table1[],(MATCH(Calendar!$A19,DB!$1:$1,0)),FALSE),"")</f>
        <v/>
      </c>
      <c r="LYN19" s="28" t="str">
        <f>IFERROR(VLOOKUP(DATE($K$1,$K$2,LYN$4),Table1[],(MATCH(Calendar!$A19,DB!$1:$1,0)),FALSE),"")</f>
        <v/>
      </c>
      <c r="LYO19" s="28" t="str">
        <f>IFERROR(VLOOKUP(DATE($K$1,$K$2,LYO$4),Table1[],(MATCH(Calendar!$A19,DB!$1:$1,0)),FALSE),"")</f>
        <v/>
      </c>
      <c r="LYP19" s="28" t="str">
        <f>IFERROR(VLOOKUP(DATE($K$1,$K$2,LYP$4),Table1[],(MATCH(Calendar!$A19,DB!$1:$1,0)),FALSE),"")</f>
        <v/>
      </c>
      <c r="LYQ19" s="28" t="str">
        <f>IFERROR(VLOOKUP(DATE($K$1,$K$2,LYQ$4),Table1[],(MATCH(Calendar!$A19,DB!$1:$1,0)),FALSE),"")</f>
        <v/>
      </c>
      <c r="LYR19" s="28" t="str">
        <f>IFERROR(VLOOKUP(DATE($K$1,$K$2,LYR$4),Table1[],(MATCH(Calendar!$A19,DB!$1:$1,0)),FALSE),"")</f>
        <v/>
      </c>
      <c r="LYS19" s="28" t="str">
        <f>IFERROR(VLOOKUP(DATE($K$1,$K$2,LYS$4),Table1[],(MATCH(Calendar!$A19,DB!$1:$1,0)),FALSE),"")</f>
        <v/>
      </c>
      <c r="LYT19" s="28" t="str">
        <f>IFERROR(VLOOKUP(DATE($K$1,$K$2,LYT$4),Table1[],(MATCH(Calendar!$A19,DB!$1:$1,0)),FALSE),"")</f>
        <v/>
      </c>
      <c r="LYU19" s="28" t="str">
        <f>IFERROR(VLOOKUP(DATE($K$1,$K$2,LYU$4),Table1[],(MATCH(Calendar!$A19,DB!$1:$1,0)),FALSE),"")</f>
        <v/>
      </c>
      <c r="LYV19" s="28" t="str">
        <f>IFERROR(VLOOKUP(DATE($K$1,$K$2,LYV$4),Table1[],(MATCH(Calendar!$A19,DB!$1:$1,0)),FALSE),"")</f>
        <v/>
      </c>
      <c r="LYW19" s="28" t="str">
        <f>IFERROR(VLOOKUP(DATE($K$1,$K$2,LYW$4),Table1[],(MATCH(Calendar!$A19,DB!$1:$1,0)),FALSE),"")</f>
        <v/>
      </c>
      <c r="LYX19" s="28" t="str">
        <f>IFERROR(VLOOKUP(DATE($K$1,$K$2,LYX$4),Table1[],(MATCH(Calendar!$A19,DB!$1:$1,0)),FALSE),"")</f>
        <v/>
      </c>
      <c r="LYY19" s="28" t="str">
        <f>IFERROR(VLOOKUP(DATE($K$1,$K$2,LYY$4),Table1[],(MATCH(Calendar!$A19,DB!$1:$1,0)),FALSE),"")</f>
        <v/>
      </c>
      <c r="LYZ19" s="28" t="str">
        <f>IFERROR(VLOOKUP(DATE($K$1,$K$2,LYZ$4),Table1[],(MATCH(Calendar!$A19,DB!$1:$1,0)),FALSE),"")</f>
        <v/>
      </c>
      <c r="LZA19" s="28" t="str">
        <f>IFERROR(VLOOKUP(DATE($K$1,$K$2,LZA$4),Table1[],(MATCH(Calendar!$A19,DB!$1:$1,0)),FALSE),"")</f>
        <v/>
      </c>
      <c r="LZB19" s="28" t="str">
        <f>IFERROR(VLOOKUP(DATE($K$1,$K$2,LZB$4),Table1[],(MATCH(Calendar!$A19,DB!$1:$1,0)),FALSE),"")</f>
        <v/>
      </c>
      <c r="LZC19" s="28" t="str">
        <f>IFERROR(VLOOKUP(DATE($K$1,$K$2,LZC$4),Table1[],(MATCH(Calendar!$A19,DB!$1:$1,0)),FALSE),"")</f>
        <v/>
      </c>
      <c r="LZD19" s="28" t="str">
        <f>IFERROR(VLOOKUP(DATE($K$1,$K$2,LZD$4),Table1[],(MATCH(Calendar!$A19,DB!$1:$1,0)),FALSE),"")</f>
        <v/>
      </c>
      <c r="LZE19" s="28" t="str">
        <f>IFERROR(VLOOKUP(DATE($K$1,$K$2,LZE$4),Table1[],(MATCH(Calendar!$A19,DB!$1:$1,0)),FALSE),"")</f>
        <v/>
      </c>
      <c r="LZF19" s="28" t="str">
        <f>IFERROR(VLOOKUP(DATE($K$1,$K$2,LZF$4),Table1[],(MATCH(Calendar!$A19,DB!$1:$1,0)),FALSE),"")</f>
        <v/>
      </c>
      <c r="LZG19" s="28" t="str">
        <f>IFERROR(VLOOKUP(DATE($K$1,$K$2,LZG$4),Table1[],(MATCH(Calendar!$A19,DB!$1:$1,0)),FALSE),"")</f>
        <v/>
      </c>
      <c r="LZH19" s="28" t="str">
        <f>IFERROR(VLOOKUP(DATE($K$1,$K$2,LZH$4),Table1[],(MATCH(Calendar!$A19,DB!$1:$1,0)),FALSE),"")</f>
        <v/>
      </c>
      <c r="LZI19" s="28" t="str">
        <f>IFERROR(VLOOKUP(DATE($K$1,$K$2,LZI$4),Table1[],(MATCH(Calendar!$A19,DB!$1:$1,0)),FALSE),"")</f>
        <v/>
      </c>
      <c r="LZJ19" s="28" t="str">
        <f>IFERROR(VLOOKUP(DATE($K$1,$K$2,LZJ$4),Table1[],(MATCH(Calendar!$A19,DB!$1:$1,0)),FALSE),"")</f>
        <v/>
      </c>
      <c r="LZK19" s="28" t="str">
        <f>IFERROR(VLOOKUP(DATE($K$1,$K$2,LZK$4),Table1[],(MATCH(Calendar!$A19,DB!$1:$1,0)),FALSE),"")</f>
        <v/>
      </c>
      <c r="LZL19" s="28" t="str">
        <f>IFERROR(VLOOKUP(DATE($K$1,$K$2,LZL$4),Table1[],(MATCH(Calendar!$A19,DB!$1:$1,0)),FALSE),"")</f>
        <v/>
      </c>
      <c r="LZM19" s="28" t="str">
        <f>IFERROR(VLOOKUP(DATE($K$1,$K$2,LZM$4),Table1[],(MATCH(Calendar!$A19,DB!$1:$1,0)),FALSE),"")</f>
        <v/>
      </c>
      <c r="LZN19" s="28" t="str">
        <f>IFERROR(VLOOKUP(DATE($K$1,$K$2,LZN$4),Table1[],(MATCH(Calendar!$A19,DB!$1:$1,0)),FALSE),"")</f>
        <v/>
      </c>
      <c r="LZO19" s="28" t="str">
        <f>IFERROR(VLOOKUP(DATE($K$1,$K$2,LZO$4),Table1[],(MATCH(Calendar!$A19,DB!$1:$1,0)),FALSE),"")</f>
        <v/>
      </c>
      <c r="LZP19" s="28" t="str">
        <f>IFERROR(VLOOKUP(DATE($K$1,$K$2,LZP$4),Table1[],(MATCH(Calendar!$A19,DB!$1:$1,0)),FALSE),"")</f>
        <v/>
      </c>
      <c r="LZQ19" s="28" t="str">
        <f>IFERROR(VLOOKUP(DATE($K$1,$K$2,LZQ$4),Table1[],(MATCH(Calendar!$A19,DB!$1:$1,0)),FALSE),"")</f>
        <v/>
      </c>
      <c r="LZR19" s="28" t="str">
        <f>IFERROR(VLOOKUP(DATE($K$1,$K$2,LZR$4),Table1[],(MATCH(Calendar!$A19,DB!$1:$1,0)),FALSE),"")</f>
        <v/>
      </c>
      <c r="LZS19" s="28" t="str">
        <f>IFERROR(VLOOKUP(DATE($K$1,$K$2,LZS$4),Table1[],(MATCH(Calendar!$A19,DB!$1:$1,0)),FALSE),"")</f>
        <v/>
      </c>
      <c r="LZT19" s="28" t="str">
        <f>IFERROR(VLOOKUP(DATE($K$1,$K$2,LZT$4),Table1[],(MATCH(Calendar!$A19,DB!$1:$1,0)),FALSE),"")</f>
        <v/>
      </c>
      <c r="LZU19" s="28" t="str">
        <f>IFERROR(VLOOKUP(DATE($K$1,$K$2,LZU$4),Table1[],(MATCH(Calendar!$A19,DB!$1:$1,0)),FALSE),"")</f>
        <v/>
      </c>
      <c r="LZV19" s="28" t="str">
        <f>IFERROR(VLOOKUP(DATE($K$1,$K$2,LZV$4),Table1[],(MATCH(Calendar!$A19,DB!$1:$1,0)),FALSE),"")</f>
        <v/>
      </c>
      <c r="LZW19" s="28" t="str">
        <f>IFERROR(VLOOKUP(DATE($K$1,$K$2,LZW$4),Table1[],(MATCH(Calendar!$A19,DB!$1:$1,0)),FALSE),"")</f>
        <v/>
      </c>
      <c r="LZX19" s="28" t="str">
        <f>IFERROR(VLOOKUP(DATE($K$1,$K$2,LZX$4),Table1[],(MATCH(Calendar!$A19,DB!$1:$1,0)),FALSE),"")</f>
        <v/>
      </c>
      <c r="LZY19" s="28" t="str">
        <f>IFERROR(VLOOKUP(DATE($K$1,$K$2,LZY$4),Table1[],(MATCH(Calendar!$A19,DB!$1:$1,0)),FALSE),"")</f>
        <v/>
      </c>
      <c r="LZZ19" s="28" t="str">
        <f>IFERROR(VLOOKUP(DATE($K$1,$K$2,LZZ$4),Table1[],(MATCH(Calendar!$A19,DB!$1:$1,0)),FALSE),"")</f>
        <v/>
      </c>
      <c r="MAA19" s="28" t="str">
        <f>IFERROR(VLOOKUP(DATE($K$1,$K$2,MAA$4),Table1[],(MATCH(Calendar!$A19,DB!$1:$1,0)),FALSE),"")</f>
        <v/>
      </c>
      <c r="MAB19" s="28" t="str">
        <f>IFERROR(VLOOKUP(DATE($K$1,$K$2,MAB$4),Table1[],(MATCH(Calendar!$A19,DB!$1:$1,0)),FALSE),"")</f>
        <v/>
      </c>
      <c r="MAC19" s="28" t="str">
        <f>IFERROR(VLOOKUP(DATE($K$1,$K$2,MAC$4),Table1[],(MATCH(Calendar!$A19,DB!$1:$1,0)),FALSE),"")</f>
        <v/>
      </c>
      <c r="MAD19" s="28" t="str">
        <f>IFERROR(VLOOKUP(DATE($K$1,$K$2,MAD$4),Table1[],(MATCH(Calendar!$A19,DB!$1:$1,0)),FALSE),"")</f>
        <v/>
      </c>
      <c r="MAE19" s="28" t="str">
        <f>IFERROR(VLOOKUP(DATE($K$1,$K$2,MAE$4),Table1[],(MATCH(Calendar!$A19,DB!$1:$1,0)),FALSE),"")</f>
        <v/>
      </c>
      <c r="MAF19" s="28" t="str">
        <f>IFERROR(VLOOKUP(DATE($K$1,$K$2,MAF$4),Table1[],(MATCH(Calendar!$A19,DB!$1:$1,0)),FALSE),"")</f>
        <v/>
      </c>
      <c r="MAG19" s="28" t="str">
        <f>IFERROR(VLOOKUP(DATE($K$1,$K$2,MAG$4),Table1[],(MATCH(Calendar!$A19,DB!$1:$1,0)),FALSE),"")</f>
        <v/>
      </c>
      <c r="MAH19" s="28" t="str">
        <f>IFERROR(VLOOKUP(DATE($K$1,$K$2,MAH$4),Table1[],(MATCH(Calendar!$A19,DB!$1:$1,0)),FALSE),"")</f>
        <v/>
      </c>
      <c r="MAI19" s="28" t="str">
        <f>IFERROR(VLOOKUP(DATE($K$1,$K$2,MAI$4),Table1[],(MATCH(Calendar!$A19,DB!$1:$1,0)),FALSE),"")</f>
        <v/>
      </c>
      <c r="MAJ19" s="28" t="str">
        <f>IFERROR(VLOOKUP(DATE($K$1,$K$2,MAJ$4),Table1[],(MATCH(Calendar!$A19,DB!$1:$1,0)),FALSE),"")</f>
        <v/>
      </c>
      <c r="MAK19" s="28" t="str">
        <f>IFERROR(VLOOKUP(DATE($K$1,$K$2,MAK$4),Table1[],(MATCH(Calendar!$A19,DB!$1:$1,0)),FALSE),"")</f>
        <v/>
      </c>
      <c r="MAL19" s="28" t="str">
        <f>IFERROR(VLOOKUP(DATE($K$1,$K$2,MAL$4),Table1[],(MATCH(Calendar!$A19,DB!$1:$1,0)),FALSE),"")</f>
        <v/>
      </c>
      <c r="MAM19" s="28" t="str">
        <f>IFERROR(VLOOKUP(DATE($K$1,$K$2,MAM$4),Table1[],(MATCH(Calendar!$A19,DB!$1:$1,0)),FALSE),"")</f>
        <v/>
      </c>
      <c r="MAN19" s="28" t="str">
        <f>IFERROR(VLOOKUP(DATE($K$1,$K$2,MAN$4),Table1[],(MATCH(Calendar!$A19,DB!$1:$1,0)),FALSE),"")</f>
        <v/>
      </c>
      <c r="MAO19" s="28" t="str">
        <f>IFERROR(VLOOKUP(DATE($K$1,$K$2,MAO$4),Table1[],(MATCH(Calendar!$A19,DB!$1:$1,0)),FALSE),"")</f>
        <v/>
      </c>
      <c r="MAP19" s="28" t="str">
        <f>IFERROR(VLOOKUP(DATE($K$1,$K$2,MAP$4),Table1[],(MATCH(Calendar!$A19,DB!$1:$1,0)),FALSE),"")</f>
        <v/>
      </c>
      <c r="MAQ19" s="28" t="str">
        <f>IFERROR(VLOOKUP(DATE($K$1,$K$2,MAQ$4),Table1[],(MATCH(Calendar!$A19,DB!$1:$1,0)),FALSE),"")</f>
        <v/>
      </c>
      <c r="MAR19" s="28" t="str">
        <f>IFERROR(VLOOKUP(DATE($K$1,$K$2,MAR$4),Table1[],(MATCH(Calendar!$A19,DB!$1:$1,0)),FALSE),"")</f>
        <v/>
      </c>
      <c r="MAS19" s="28" t="str">
        <f>IFERROR(VLOOKUP(DATE($K$1,$K$2,MAS$4),Table1[],(MATCH(Calendar!$A19,DB!$1:$1,0)),FALSE),"")</f>
        <v/>
      </c>
      <c r="MAT19" s="28" t="str">
        <f>IFERROR(VLOOKUP(DATE($K$1,$K$2,MAT$4),Table1[],(MATCH(Calendar!$A19,DB!$1:$1,0)),FALSE),"")</f>
        <v/>
      </c>
      <c r="MAU19" s="28" t="str">
        <f>IFERROR(VLOOKUP(DATE($K$1,$K$2,MAU$4),Table1[],(MATCH(Calendar!$A19,DB!$1:$1,0)),FALSE),"")</f>
        <v/>
      </c>
      <c r="MAV19" s="28" t="str">
        <f>IFERROR(VLOOKUP(DATE($K$1,$K$2,MAV$4),Table1[],(MATCH(Calendar!$A19,DB!$1:$1,0)),FALSE),"")</f>
        <v/>
      </c>
      <c r="MAW19" s="28" t="str">
        <f>IFERROR(VLOOKUP(DATE($K$1,$K$2,MAW$4),Table1[],(MATCH(Calendar!$A19,DB!$1:$1,0)),FALSE),"")</f>
        <v/>
      </c>
      <c r="MAX19" s="28" t="str">
        <f>IFERROR(VLOOKUP(DATE($K$1,$K$2,MAX$4),Table1[],(MATCH(Calendar!$A19,DB!$1:$1,0)),FALSE),"")</f>
        <v/>
      </c>
      <c r="MAY19" s="28" t="str">
        <f>IFERROR(VLOOKUP(DATE($K$1,$K$2,MAY$4),Table1[],(MATCH(Calendar!$A19,DB!$1:$1,0)),FALSE),"")</f>
        <v/>
      </c>
      <c r="MAZ19" s="28" t="str">
        <f>IFERROR(VLOOKUP(DATE($K$1,$K$2,MAZ$4),Table1[],(MATCH(Calendar!$A19,DB!$1:$1,0)),FALSE),"")</f>
        <v/>
      </c>
      <c r="MBA19" s="28" t="str">
        <f>IFERROR(VLOOKUP(DATE($K$1,$K$2,MBA$4),Table1[],(MATCH(Calendar!$A19,DB!$1:$1,0)),FALSE),"")</f>
        <v/>
      </c>
      <c r="MBB19" s="28" t="str">
        <f>IFERROR(VLOOKUP(DATE($K$1,$K$2,MBB$4),Table1[],(MATCH(Calendar!$A19,DB!$1:$1,0)),FALSE),"")</f>
        <v/>
      </c>
      <c r="MBC19" s="28" t="str">
        <f>IFERROR(VLOOKUP(DATE($K$1,$K$2,MBC$4),Table1[],(MATCH(Calendar!$A19,DB!$1:$1,0)),FALSE),"")</f>
        <v/>
      </c>
      <c r="MBD19" s="28" t="str">
        <f>IFERROR(VLOOKUP(DATE($K$1,$K$2,MBD$4),Table1[],(MATCH(Calendar!$A19,DB!$1:$1,0)),FALSE),"")</f>
        <v/>
      </c>
      <c r="MBE19" s="28" t="str">
        <f>IFERROR(VLOOKUP(DATE($K$1,$K$2,MBE$4),Table1[],(MATCH(Calendar!$A19,DB!$1:$1,0)),FALSE),"")</f>
        <v/>
      </c>
      <c r="MBF19" s="28" t="str">
        <f>IFERROR(VLOOKUP(DATE($K$1,$K$2,MBF$4),Table1[],(MATCH(Calendar!$A19,DB!$1:$1,0)),FALSE),"")</f>
        <v/>
      </c>
      <c r="MBG19" s="28" t="str">
        <f>IFERROR(VLOOKUP(DATE($K$1,$K$2,MBG$4),Table1[],(MATCH(Calendar!$A19,DB!$1:$1,0)),FALSE),"")</f>
        <v/>
      </c>
      <c r="MBH19" s="28" t="str">
        <f>IFERROR(VLOOKUP(DATE($K$1,$K$2,MBH$4),Table1[],(MATCH(Calendar!$A19,DB!$1:$1,0)),FALSE),"")</f>
        <v/>
      </c>
      <c r="MBI19" s="28" t="str">
        <f>IFERROR(VLOOKUP(DATE($K$1,$K$2,MBI$4),Table1[],(MATCH(Calendar!$A19,DB!$1:$1,0)),FALSE),"")</f>
        <v/>
      </c>
      <c r="MBJ19" s="28" t="str">
        <f>IFERROR(VLOOKUP(DATE($K$1,$K$2,MBJ$4),Table1[],(MATCH(Calendar!$A19,DB!$1:$1,0)),FALSE),"")</f>
        <v/>
      </c>
      <c r="MBK19" s="28" t="str">
        <f>IFERROR(VLOOKUP(DATE($K$1,$K$2,MBK$4),Table1[],(MATCH(Calendar!$A19,DB!$1:$1,0)),FALSE),"")</f>
        <v/>
      </c>
      <c r="MBL19" s="28" t="str">
        <f>IFERROR(VLOOKUP(DATE($K$1,$K$2,MBL$4),Table1[],(MATCH(Calendar!$A19,DB!$1:$1,0)),FALSE),"")</f>
        <v/>
      </c>
      <c r="MBM19" s="28" t="str">
        <f>IFERROR(VLOOKUP(DATE($K$1,$K$2,MBM$4),Table1[],(MATCH(Calendar!$A19,DB!$1:$1,0)),FALSE),"")</f>
        <v/>
      </c>
      <c r="MBN19" s="28" t="str">
        <f>IFERROR(VLOOKUP(DATE($K$1,$K$2,MBN$4),Table1[],(MATCH(Calendar!$A19,DB!$1:$1,0)),FALSE),"")</f>
        <v/>
      </c>
      <c r="MBO19" s="28" t="str">
        <f>IFERROR(VLOOKUP(DATE($K$1,$K$2,MBO$4),Table1[],(MATCH(Calendar!$A19,DB!$1:$1,0)),FALSE),"")</f>
        <v/>
      </c>
      <c r="MBP19" s="28" t="str">
        <f>IFERROR(VLOOKUP(DATE($K$1,$K$2,MBP$4),Table1[],(MATCH(Calendar!$A19,DB!$1:$1,0)),FALSE),"")</f>
        <v/>
      </c>
      <c r="MBQ19" s="28" t="str">
        <f>IFERROR(VLOOKUP(DATE($K$1,$K$2,MBQ$4),Table1[],(MATCH(Calendar!$A19,DB!$1:$1,0)),FALSE),"")</f>
        <v/>
      </c>
      <c r="MBR19" s="28" t="str">
        <f>IFERROR(VLOOKUP(DATE($K$1,$K$2,MBR$4),Table1[],(MATCH(Calendar!$A19,DB!$1:$1,0)),FALSE),"")</f>
        <v/>
      </c>
      <c r="MBS19" s="28" t="str">
        <f>IFERROR(VLOOKUP(DATE($K$1,$K$2,MBS$4),Table1[],(MATCH(Calendar!$A19,DB!$1:$1,0)),FALSE),"")</f>
        <v/>
      </c>
      <c r="MBT19" s="28" t="str">
        <f>IFERROR(VLOOKUP(DATE($K$1,$K$2,MBT$4),Table1[],(MATCH(Calendar!$A19,DB!$1:$1,0)),FALSE),"")</f>
        <v/>
      </c>
      <c r="MBU19" s="28" t="str">
        <f>IFERROR(VLOOKUP(DATE($K$1,$K$2,MBU$4),Table1[],(MATCH(Calendar!$A19,DB!$1:$1,0)),FALSE),"")</f>
        <v/>
      </c>
      <c r="MBV19" s="28" t="str">
        <f>IFERROR(VLOOKUP(DATE($K$1,$K$2,MBV$4),Table1[],(MATCH(Calendar!$A19,DB!$1:$1,0)),FALSE),"")</f>
        <v/>
      </c>
      <c r="MBW19" s="28" t="str">
        <f>IFERROR(VLOOKUP(DATE($K$1,$K$2,MBW$4),Table1[],(MATCH(Calendar!$A19,DB!$1:$1,0)),FALSE),"")</f>
        <v/>
      </c>
      <c r="MBX19" s="28" t="str">
        <f>IFERROR(VLOOKUP(DATE($K$1,$K$2,MBX$4),Table1[],(MATCH(Calendar!$A19,DB!$1:$1,0)),FALSE),"")</f>
        <v/>
      </c>
      <c r="MBY19" s="28" t="str">
        <f>IFERROR(VLOOKUP(DATE($K$1,$K$2,MBY$4),Table1[],(MATCH(Calendar!$A19,DB!$1:$1,0)),FALSE),"")</f>
        <v/>
      </c>
      <c r="MBZ19" s="28" t="str">
        <f>IFERROR(VLOOKUP(DATE($K$1,$K$2,MBZ$4),Table1[],(MATCH(Calendar!$A19,DB!$1:$1,0)),FALSE),"")</f>
        <v/>
      </c>
      <c r="MCA19" s="28" t="str">
        <f>IFERROR(VLOOKUP(DATE($K$1,$K$2,MCA$4),Table1[],(MATCH(Calendar!$A19,DB!$1:$1,0)),FALSE),"")</f>
        <v/>
      </c>
      <c r="MCB19" s="28" t="str">
        <f>IFERROR(VLOOKUP(DATE($K$1,$K$2,MCB$4),Table1[],(MATCH(Calendar!$A19,DB!$1:$1,0)),FALSE),"")</f>
        <v/>
      </c>
      <c r="MCC19" s="28" t="str">
        <f>IFERROR(VLOOKUP(DATE($K$1,$K$2,MCC$4),Table1[],(MATCH(Calendar!$A19,DB!$1:$1,0)),FALSE),"")</f>
        <v/>
      </c>
      <c r="MCD19" s="28" t="str">
        <f>IFERROR(VLOOKUP(DATE($K$1,$K$2,MCD$4),Table1[],(MATCH(Calendar!$A19,DB!$1:$1,0)),FALSE),"")</f>
        <v/>
      </c>
      <c r="MCE19" s="28" t="str">
        <f>IFERROR(VLOOKUP(DATE($K$1,$K$2,MCE$4),Table1[],(MATCH(Calendar!$A19,DB!$1:$1,0)),FALSE),"")</f>
        <v/>
      </c>
      <c r="MCF19" s="28" t="str">
        <f>IFERROR(VLOOKUP(DATE($K$1,$K$2,MCF$4),Table1[],(MATCH(Calendar!$A19,DB!$1:$1,0)),FALSE),"")</f>
        <v/>
      </c>
      <c r="MCG19" s="28" t="str">
        <f>IFERROR(VLOOKUP(DATE($K$1,$K$2,MCG$4),Table1[],(MATCH(Calendar!$A19,DB!$1:$1,0)),FALSE),"")</f>
        <v/>
      </c>
      <c r="MCH19" s="28" t="str">
        <f>IFERROR(VLOOKUP(DATE($K$1,$K$2,MCH$4),Table1[],(MATCH(Calendar!$A19,DB!$1:$1,0)),FALSE),"")</f>
        <v/>
      </c>
      <c r="MCI19" s="28" t="str">
        <f>IFERROR(VLOOKUP(DATE($K$1,$K$2,MCI$4),Table1[],(MATCH(Calendar!$A19,DB!$1:$1,0)),FALSE),"")</f>
        <v/>
      </c>
      <c r="MCJ19" s="28" t="str">
        <f>IFERROR(VLOOKUP(DATE($K$1,$K$2,MCJ$4),Table1[],(MATCH(Calendar!$A19,DB!$1:$1,0)),FALSE),"")</f>
        <v/>
      </c>
      <c r="MCK19" s="28" t="str">
        <f>IFERROR(VLOOKUP(DATE($K$1,$K$2,MCK$4),Table1[],(MATCH(Calendar!$A19,DB!$1:$1,0)),FALSE),"")</f>
        <v/>
      </c>
      <c r="MCL19" s="28" t="str">
        <f>IFERROR(VLOOKUP(DATE($K$1,$K$2,MCL$4),Table1[],(MATCH(Calendar!$A19,DB!$1:$1,0)),FALSE),"")</f>
        <v/>
      </c>
      <c r="MCM19" s="28" t="str">
        <f>IFERROR(VLOOKUP(DATE($K$1,$K$2,MCM$4),Table1[],(MATCH(Calendar!$A19,DB!$1:$1,0)),FALSE),"")</f>
        <v/>
      </c>
      <c r="MCN19" s="28" t="str">
        <f>IFERROR(VLOOKUP(DATE($K$1,$K$2,MCN$4),Table1[],(MATCH(Calendar!$A19,DB!$1:$1,0)),FALSE),"")</f>
        <v/>
      </c>
      <c r="MCO19" s="28" t="str">
        <f>IFERROR(VLOOKUP(DATE($K$1,$K$2,MCO$4),Table1[],(MATCH(Calendar!$A19,DB!$1:$1,0)),FALSE),"")</f>
        <v/>
      </c>
      <c r="MCP19" s="28" t="str">
        <f>IFERROR(VLOOKUP(DATE($K$1,$K$2,MCP$4),Table1[],(MATCH(Calendar!$A19,DB!$1:$1,0)),FALSE),"")</f>
        <v/>
      </c>
      <c r="MCQ19" s="28" t="str">
        <f>IFERROR(VLOOKUP(DATE($K$1,$K$2,MCQ$4),Table1[],(MATCH(Calendar!$A19,DB!$1:$1,0)),FALSE),"")</f>
        <v/>
      </c>
      <c r="MCR19" s="28" t="str">
        <f>IFERROR(VLOOKUP(DATE($K$1,$K$2,MCR$4),Table1[],(MATCH(Calendar!$A19,DB!$1:$1,0)),FALSE),"")</f>
        <v/>
      </c>
      <c r="MCS19" s="28" t="str">
        <f>IFERROR(VLOOKUP(DATE($K$1,$K$2,MCS$4),Table1[],(MATCH(Calendar!$A19,DB!$1:$1,0)),FALSE),"")</f>
        <v/>
      </c>
      <c r="MCT19" s="28" t="str">
        <f>IFERROR(VLOOKUP(DATE($K$1,$K$2,MCT$4),Table1[],(MATCH(Calendar!$A19,DB!$1:$1,0)),FALSE),"")</f>
        <v/>
      </c>
      <c r="MCU19" s="28" t="str">
        <f>IFERROR(VLOOKUP(DATE($K$1,$K$2,MCU$4),Table1[],(MATCH(Calendar!$A19,DB!$1:$1,0)),FALSE),"")</f>
        <v/>
      </c>
      <c r="MCV19" s="28" t="str">
        <f>IFERROR(VLOOKUP(DATE($K$1,$K$2,MCV$4),Table1[],(MATCH(Calendar!$A19,DB!$1:$1,0)),FALSE),"")</f>
        <v/>
      </c>
      <c r="MCW19" s="28" t="str">
        <f>IFERROR(VLOOKUP(DATE($K$1,$K$2,MCW$4),Table1[],(MATCH(Calendar!$A19,DB!$1:$1,0)),FALSE),"")</f>
        <v/>
      </c>
      <c r="MCX19" s="28" t="str">
        <f>IFERROR(VLOOKUP(DATE($K$1,$K$2,MCX$4),Table1[],(MATCH(Calendar!$A19,DB!$1:$1,0)),FALSE),"")</f>
        <v/>
      </c>
      <c r="MCY19" s="28" t="str">
        <f>IFERROR(VLOOKUP(DATE($K$1,$K$2,MCY$4),Table1[],(MATCH(Calendar!$A19,DB!$1:$1,0)),FALSE),"")</f>
        <v/>
      </c>
      <c r="MCZ19" s="28" t="str">
        <f>IFERROR(VLOOKUP(DATE($K$1,$K$2,MCZ$4),Table1[],(MATCH(Calendar!$A19,DB!$1:$1,0)),FALSE),"")</f>
        <v/>
      </c>
      <c r="MDA19" s="28" t="str">
        <f>IFERROR(VLOOKUP(DATE($K$1,$K$2,MDA$4),Table1[],(MATCH(Calendar!$A19,DB!$1:$1,0)),FALSE),"")</f>
        <v/>
      </c>
      <c r="MDB19" s="28" t="str">
        <f>IFERROR(VLOOKUP(DATE($K$1,$K$2,MDB$4),Table1[],(MATCH(Calendar!$A19,DB!$1:$1,0)),FALSE),"")</f>
        <v/>
      </c>
      <c r="MDC19" s="28" t="str">
        <f>IFERROR(VLOOKUP(DATE($K$1,$K$2,MDC$4),Table1[],(MATCH(Calendar!$A19,DB!$1:$1,0)),FALSE),"")</f>
        <v/>
      </c>
      <c r="MDD19" s="28" t="str">
        <f>IFERROR(VLOOKUP(DATE($K$1,$K$2,MDD$4),Table1[],(MATCH(Calendar!$A19,DB!$1:$1,0)),FALSE),"")</f>
        <v/>
      </c>
      <c r="MDE19" s="28" t="str">
        <f>IFERROR(VLOOKUP(DATE($K$1,$K$2,MDE$4),Table1[],(MATCH(Calendar!$A19,DB!$1:$1,0)),FALSE),"")</f>
        <v/>
      </c>
      <c r="MDF19" s="28" t="str">
        <f>IFERROR(VLOOKUP(DATE($K$1,$K$2,MDF$4),Table1[],(MATCH(Calendar!$A19,DB!$1:$1,0)),FALSE),"")</f>
        <v/>
      </c>
      <c r="MDG19" s="28" t="str">
        <f>IFERROR(VLOOKUP(DATE($K$1,$K$2,MDG$4),Table1[],(MATCH(Calendar!$A19,DB!$1:$1,0)),FALSE),"")</f>
        <v/>
      </c>
      <c r="MDH19" s="28" t="str">
        <f>IFERROR(VLOOKUP(DATE($K$1,$K$2,MDH$4),Table1[],(MATCH(Calendar!$A19,DB!$1:$1,0)),FALSE),"")</f>
        <v/>
      </c>
      <c r="MDI19" s="28" t="str">
        <f>IFERROR(VLOOKUP(DATE($K$1,$K$2,MDI$4),Table1[],(MATCH(Calendar!$A19,DB!$1:$1,0)),FALSE),"")</f>
        <v/>
      </c>
      <c r="MDJ19" s="28" t="str">
        <f>IFERROR(VLOOKUP(DATE($K$1,$K$2,MDJ$4),Table1[],(MATCH(Calendar!$A19,DB!$1:$1,0)),FALSE),"")</f>
        <v/>
      </c>
      <c r="MDK19" s="28" t="str">
        <f>IFERROR(VLOOKUP(DATE($K$1,$K$2,MDK$4),Table1[],(MATCH(Calendar!$A19,DB!$1:$1,0)),FALSE),"")</f>
        <v/>
      </c>
      <c r="MDL19" s="28" t="str">
        <f>IFERROR(VLOOKUP(DATE($K$1,$K$2,MDL$4),Table1[],(MATCH(Calendar!$A19,DB!$1:$1,0)),FALSE),"")</f>
        <v/>
      </c>
      <c r="MDM19" s="28" t="str">
        <f>IFERROR(VLOOKUP(DATE($K$1,$K$2,MDM$4),Table1[],(MATCH(Calendar!$A19,DB!$1:$1,0)),FALSE),"")</f>
        <v/>
      </c>
      <c r="MDN19" s="28" t="str">
        <f>IFERROR(VLOOKUP(DATE($K$1,$K$2,MDN$4),Table1[],(MATCH(Calendar!$A19,DB!$1:$1,0)),FALSE),"")</f>
        <v/>
      </c>
      <c r="MDO19" s="28" t="str">
        <f>IFERROR(VLOOKUP(DATE($K$1,$K$2,MDO$4),Table1[],(MATCH(Calendar!$A19,DB!$1:$1,0)),FALSE),"")</f>
        <v/>
      </c>
      <c r="MDP19" s="28" t="str">
        <f>IFERROR(VLOOKUP(DATE($K$1,$K$2,MDP$4),Table1[],(MATCH(Calendar!$A19,DB!$1:$1,0)),FALSE),"")</f>
        <v/>
      </c>
      <c r="MDQ19" s="28" t="str">
        <f>IFERROR(VLOOKUP(DATE($K$1,$K$2,MDQ$4),Table1[],(MATCH(Calendar!$A19,DB!$1:$1,0)),FALSE),"")</f>
        <v/>
      </c>
      <c r="MDR19" s="28" t="str">
        <f>IFERROR(VLOOKUP(DATE($K$1,$K$2,MDR$4),Table1[],(MATCH(Calendar!$A19,DB!$1:$1,0)),FALSE),"")</f>
        <v/>
      </c>
      <c r="MDS19" s="28" t="str">
        <f>IFERROR(VLOOKUP(DATE($K$1,$K$2,MDS$4),Table1[],(MATCH(Calendar!$A19,DB!$1:$1,0)),FALSE),"")</f>
        <v/>
      </c>
      <c r="MDT19" s="28" t="str">
        <f>IFERROR(VLOOKUP(DATE($K$1,$K$2,MDT$4),Table1[],(MATCH(Calendar!$A19,DB!$1:$1,0)),FALSE),"")</f>
        <v/>
      </c>
      <c r="MDU19" s="28" t="str">
        <f>IFERROR(VLOOKUP(DATE($K$1,$K$2,MDU$4),Table1[],(MATCH(Calendar!$A19,DB!$1:$1,0)),FALSE),"")</f>
        <v/>
      </c>
      <c r="MDV19" s="28" t="str">
        <f>IFERROR(VLOOKUP(DATE($K$1,$K$2,MDV$4),Table1[],(MATCH(Calendar!$A19,DB!$1:$1,0)),FALSE),"")</f>
        <v/>
      </c>
      <c r="MDW19" s="28" t="str">
        <f>IFERROR(VLOOKUP(DATE($K$1,$K$2,MDW$4),Table1[],(MATCH(Calendar!$A19,DB!$1:$1,0)),FALSE),"")</f>
        <v/>
      </c>
      <c r="MDX19" s="28" t="str">
        <f>IFERROR(VLOOKUP(DATE($K$1,$K$2,MDX$4),Table1[],(MATCH(Calendar!$A19,DB!$1:$1,0)),FALSE),"")</f>
        <v/>
      </c>
      <c r="MDY19" s="28" t="str">
        <f>IFERROR(VLOOKUP(DATE($K$1,$K$2,MDY$4),Table1[],(MATCH(Calendar!$A19,DB!$1:$1,0)),FALSE),"")</f>
        <v/>
      </c>
      <c r="MDZ19" s="28" t="str">
        <f>IFERROR(VLOOKUP(DATE($K$1,$K$2,MDZ$4),Table1[],(MATCH(Calendar!$A19,DB!$1:$1,0)),FALSE),"")</f>
        <v/>
      </c>
      <c r="MEA19" s="28" t="str">
        <f>IFERROR(VLOOKUP(DATE($K$1,$K$2,MEA$4),Table1[],(MATCH(Calendar!$A19,DB!$1:$1,0)),FALSE),"")</f>
        <v/>
      </c>
      <c r="MEB19" s="28" t="str">
        <f>IFERROR(VLOOKUP(DATE($K$1,$K$2,MEB$4),Table1[],(MATCH(Calendar!$A19,DB!$1:$1,0)),FALSE),"")</f>
        <v/>
      </c>
      <c r="MEC19" s="28" t="str">
        <f>IFERROR(VLOOKUP(DATE($K$1,$K$2,MEC$4),Table1[],(MATCH(Calendar!$A19,DB!$1:$1,0)),FALSE),"")</f>
        <v/>
      </c>
      <c r="MED19" s="28" t="str">
        <f>IFERROR(VLOOKUP(DATE($K$1,$K$2,MED$4),Table1[],(MATCH(Calendar!$A19,DB!$1:$1,0)),FALSE),"")</f>
        <v/>
      </c>
      <c r="MEE19" s="28" t="str">
        <f>IFERROR(VLOOKUP(DATE($K$1,$K$2,MEE$4),Table1[],(MATCH(Calendar!$A19,DB!$1:$1,0)),FALSE),"")</f>
        <v/>
      </c>
      <c r="MEF19" s="28" t="str">
        <f>IFERROR(VLOOKUP(DATE($K$1,$K$2,MEF$4),Table1[],(MATCH(Calendar!$A19,DB!$1:$1,0)),FALSE),"")</f>
        <v/>
      </c>
      <c r="MEG19" s="28" t="str">
        <f>IFERROR(VLOOKUP(DATE($K$1,$K$2,MEG$4),Table1[],(MATCH(Calendar!$A19,DB!$1:$1,0)),FALSE),"")</f>
        <v/>
      </c>
      <c r="MEH19" s="28" t="str">
        <f>IFERROR(VLOOKUP(DATE($K$1,$K$2,MEH$4),Table1[],(MATCH(Calendar!$A19,DB!$1:$1,0)),FALSE),"")</f>
        <v/>
      </c>
      <c r="MEI19" s="28" t="str">
        <f>IFERROR(VLOOKUP(DATE($K$1,$K$2,MEI$4),Table1[],(MATCH(Calendar!$A19,DB!$1:$1,0)),FALSE),"")</f>
        <v/>
      </c>
      <c r="MEJ19" s="28" t="str">
        <f>IFERROR(VLOOKUP(DATE($K$1,$K$2,MEJ$4),Table1[],(MATCH(Calendar!$A19,DB!$1:$1,0)),FALSE),"")</f>
        <v/>
      </c>
      <c r="MEK19" s="28" t="str">
        <f>IFERROR(VLOOKUP(DATE($K$1,$K$2,MEK$4),Table1[],(MATCH(Calendar!$A19,DB!$1:$1,0)),FALSE),"")</f>
        <v/>
      </c>
      <c r="MEL19" s="28" t="str">
        <f>IFERROR(VLOOKUP(DATE($K$1,$K$2,MEL$4),Table1[],(MATCH(Calendar!$A19,DB!$1:$1,0)),FALSE),"")</f>
        <v/>
      </c>
      <c r="MEM19" s="28" t="str">
        <f>IFERROR(VLOOKUP(DATE($K$1,$K$2,MEM$4),Table1[],(MATCH(Calendar!$A19,DB!$1:$1,0)),FALSE),"")</f>
        <v/>
      </c>
      <c r="MEN19" s="28" t="str">
        <f>IFERROR(VLOOKUP(DATE($K$1,$K$2,MEN$4),Table1[],(MATCH(Calendar!$A19,DB!$1:$1,0)),FALSE),"")</f>
        <v/>
      </c>
      <c r="MEO19" s="28" t="str">
        <f>IFERROR(VLOOKUP(DATE($K$1,$K$2,MEO$4),Table1[],(MATCH(Calendar!$A19,DB!$1:$1,0)),FALSE),"")</f>
        <v/>
      </c>
      <c r="MEP19" s="28" t="str">
        <f>IFERROR(VLOOKUP(DATE($K$1,$K$2,MEP$4),Table1[],(MATCH(Calendar!$A19,DB!$1:$1,0)),FALSE),"")</f>
        <v/>
      </c>
      <c r="MEQ19" s="28" t="str">
        <f>IFERROR(VLOOKUP(DATE($K$1,$K$2,MEQ$4),Table1[],(MATCH(Calendar!$A19,DB!$1:$1,0)),FALSE),"")</f>
        <v/>
      </c>
      <c r="MER19" s="28" t="str">
        <f>IFERROR(VLOOKUP(DATE($K$1,$K$2,MER$4),Table1[],(MATCH(Calendar!$A19,DB!$1:$1,0)),FALSE),"")</f>
        <v/>
      </c>
      <c r="MES19" s="28" t="str">
        <f>IFERROR(VLOOKUP(DATE($K$1,$K$2,MES$4),Table1[],(MATCH(Calendar!$A19,DB!$1:$1,0)),FALSE),"")</f>
        <v/>
      </c>
      <c r="MET19" s="28" t="str">
        <f>IFERROR(VLOOKUP(DATE($K$1,$K$2,MET$4),Table1[],(MATCH(Calendar!$A19,DB!$1:$1,0)),FALSE),"")</f>
        <v/>
      </c>
      <c r="MEU19" s="28" t="str">
        <f>IFERROR(VLOOKUP(DATE($K$1,$K$2,MEU$4),Table1[],(MATCH(Calendar!$A19,DB!$1:$1,0)),FALSE),"")</f>
        <v/>
      </c>
      <c r="MEV19" s="28" t="str">
        <f>IFERROR(VLOOKUP(DATE($K$1,$K$2,MEV$4),Table1[],(MATCH(Calendar!$A19,DB!$1:$1,0)),FALSE),"")</f>
        <v/>
      </c>
      <c r="MEW19" s="28" t="str">
        <f>IFERROR(VLOOKUP(DATE($K$1,$K$2,MEW$4),Table1[],(MATCH(Calendar!$A19,DB!$1:$1,0)),FALSE),"")</f>
        <v/>
      </c>
      <c r="MEX19" s="28" t="str">
        <f>IFERROR(VLOOKUP(DATE($K$1,$K$2,MEX$4),Table1[],(MATCH(Calendar!$A19,DB!$1:$1,0)),FALSE),"")</f>
        <v/>
      </c>
      <c r="MEY19" s="28" t="str">
        <f>IFERROR(VLOOKUP(DATE($K$1,$K$2,MEY$4),Table1[],(MATCH(Calendar!$A19,DB!$1:$1,0)),FALSE),"")</f>
        <v/>
      </c>
      <c r="MEZ19" s="28" t="str">
        <f>IFERROR(VLOOKUP(DATE($K$1,$K$2,MEZ$4),Table1[],(MATCH(Calendar!$A19,DB!$1:$1,0)),FALSE),"")</f>
        <v/>
      </c>
      <c r="MFA19" s="28" t="str">
        <f>IFERROR(VLOOKUP(DATE($K$1,$K$2,MFA$4),Table1[],(MATCH(Calendar!$A19,DB!$1:$1,0)),FALSE),"")</f>
        <v/>
      </c>
      <c r="MFB19" s="28" t="str">
        <f>IFERROR(VLOOKUP(DATE($K$1,$K$2,MFB$4),Table1[],(MATCH(Calendar!$A19,DB!$1:$1,0)),FALSE),"")</f>
        <v/>
      </c>
      <c r="MFC19" s="28" t="str">
        <f>IFERROR(VLOOKUP(DATE($K$1,$K$2,MFC$4),Table1[],(MATCH(Calendar!$A19,DB!$1:$1,0)),FALSE),"")</f>
        <v/>
      </c>
      <c r="MFD19" s="28" t="str">
        <f>IFERROR(VLOOKUP(DATE($K$1,$K$2,MFD$4),Table1[],(MATCH(Calendar!$A19,DB!$1:$1,0)),FALSE),"")</f>
        <v/>
      </c>
      <c r="MFE19" s="28" t="str">
        <f>IFERROR(VLOOKUP(DATE($K$1,$K$2,MFE$4),Table1[],(MATCH(Calendar!$A19,DB!$1:$1,0)),FALSE),"")</f>
        <v/>
      </c>
      <c r="MFF19" s="28" t="str">
        <f>IFERROR(VLOOKUP(DATE($K$1,$K$2,MFF$4),Table1[],(MATCH(Calendar!$A19,DB!$1:$1,0)),FALSE),"")</f>
        <v/>
      </c>
      <c r="MFG19" s="28" t="str">
        <f>IFERROR(VLOOKUP(DATE($K$1,$K$2,MFG$4),Table1[],(MATCH(Calendar!$A19,DB!$1:$1,0)),FALSE),"")</f>
        <v/>
      </c>
      <c r="MFH19" s="28" t="str">
        <f>IFERROR(VLOOKUP(DATE($K$1,$K$2,MFH$4),Table1[],(MATCH(Calendar!$A19,DB!$1:$1,0)),FALSE),"")</f>
        <v/>
      </c>
      <c r="MFI19" s="28" t="str">
        <f>IFERROR(VLOOKUP(DATE($K$1,$K$2,MFI$4),Table1[],(MATCH(Calendar!$A19,DB!$1:$1,0)),FALSE),"")</f>
        <v/>
      </c>
      <c r="MFJ19" s="28" t="str">
        <f>IFERROR(VLOOKUP(DATE($K$1,$K$2,MFJ$4),Table1[],(MATCH(Calendar!$A19,DB!$1:$1,0)),FALSE),"")</f>
        <v/>
      </c>
      <c r="MFK19" s="28" t="str">
        <f>IFERROR(VLOOKUP(DATE($K$1,$K$2,MFK$4),Table1[],(MATCH(Calendar!$A19,DB!$1:$1,0)),FALSE),"")</f>
        <v/>
      </c>
      <c r="MFL19" s="28" t="str">
        <f>IFERROR(VLOOKUP(DATE($K$1,$K$2,MFL$4),Table1[],(MATCH(Calendar!$A19,DB!$1:$1,0)),FALSE),"")</f>
        <v/>
      </c>
      <c r="MFM19" s="28" t="str">
        <f>IFERROR(VLOOKUP(DATE($K$1,$K$2,MFM$4),Table1[],(MATCH(Calendar!$A19,DB!$1:$1,0)),FALSE),"")</f>
        <v/>
      </c>
      <c r="MFN19" s="28" t="str">
        <f>IFERROR(VLOOKUP(DATE($K$1,$K$2,MFN$4),Table1[],(MATCH(Calendar!$A19,DB!$1:$1,0)),FALSE),"")</f>
        <v/>
      </c>
      <c r="MFO19" s="28" t="str">
        <f>IFERROR(VLOOKUP(DATE($K$1,$K$2,MFO$4),Table1[],(MATCH(Calendar!$A19,DB!$1:$1,0)),FALSE),"")</f>
        <v/>
      </c>
      <c r="MFP19" s="28" t="str">
        <f>IFERROR(VLOOKUP(DATE($K$1,$K$2,MFP$4),Table1[],(MATCH(Calendar!$A19,DB!$1:$1,0)),FALSE),"")</f>
        <v/>
      </c>
      <c r="MFQ19" s="28" t="str">
        <f>IFERROR(VLOOKUP(DATE($K$1,$K$2,MFQ$4),Table1[],(MATCH(Calendar!$A19,DB!$1:$1,0)),FALSE),"")</f>
        <v/>
      </c>
      <c r="MFR19" s="28" t="str">
        <f>IFERROR(VLOOKUP(DATE($K$1,$K$2,MFR$4),Table1[],(MATCH(Calendar!$A19,DB!$1:$1,0)),FALSE),"")</f>
        <v/>
      </c>
      <c r="MFS19" s="28" t="str">
        <f>IFERROR(VLOOKUP(DATE($K$1,$K$2,MFS$4),Table1[],(MATCH(Calendar!$A19,DB!$1:$1,0)),FALSE),"")</f>
        <v/>
      </c>
      <c r="MFT19" s="28" t="str">
        <f>IFERROR(VLOOKUP(DATE($K$1,$K$2,MFT$4),Table1[],(MATCH(Calendar!$A19,DB!$1:$1,0)),FALSE),"")</f>
        <v/>
      </c>
      <c r="MFU19" s="28" t="str">
        <f>IFERROR(VLOOKUP(DATE($K$1,$K$2,MFU$4),Table1[],(MATCH(Calendar!$A19,DB!$1:$1,0)),FALSE),"")</f>
        <v/>
      </c>
      <c r="MFV19" s="28" t="str">
        <f>IFERROR(VLOOKUP(DATE($K$1,$K$2,MFV$4),Table1[],(MATCH(Calendar!$A19,DB!$1:$1,0)),FALSE),"")</f>
        <v/>
      </c>
      <c r="MFW19" s="28" t="str">
        <f>IFERROR(VLOOKUP(DATE($K$1,$K$2,MFW$4),Table1[],(MATCH(Calendar!$A19,DB!$1:$1,0)),FALSE),"")</f>
        <v/>
      </c>
      <c r="MFX19" s="28" t="str">
        <f>IFERROR(VLOOKUP(DATE($K$1,$K$2,MFX$4),Table1[],(MATCH(Calendar!$A19,DB!$1:$1,0)),FALSE),"")</f>
        <v/>
      </c>
      <c r="MFY19" s="28" t="str">
        <f>IFERROR(VLOOKUP(DATE($K$1,$K$2,MFY$4),Table1[],(MATCH(Calendar!$A19,DB!$1:$1,0)),FALSE),"")</f>
        <v/>
      </c>
      <c r="MFZ19" s="28" t="str">
        <f>IFERROR(VLOOKUP(DATE($K$1,$K$2,MFZ$4),Table1[],(MATCH(Calendar!$A19,DB!$1:$1,0)),FALSE),"")</f>
        <v/>
      </c>
      <c r="MGA19" s="28" t="str">
        <f>IFERROR(VLOOKUP(DATE($K$1,$K$2,MGA$4),Table1[],(MATCH(Calendar!$A19,DB!$1:$1,0)),FALSE),"")</f>
        <v/>
      </c>
      <c r="MGB19" s="28" t="str">
        <f>IFERROR(VLOOKUP(DATE($K$1,$K$2,MGB$4),Table1[],(MATCH(Calendar!$A19,DB!$1:$1,0)),FALSE),"")</f>
        <v/>
      </c>
      <c r="MGC19" s="28" t="str">
        <f>IFERROR(VLOOKUP(DATE($K$1,$K$2,MGC$4),Table1[],(MATCH(Calendar!$A19,DB!$1:$1,0)),FALSE),"")</f>
        <v/>
      </c>
      <c r="MGD19" s="28" t="str">
        <f>IFERROR(VLOOKUP(DATE($K$1,$K$2,MGD$4),Table1[],(MATCH(Calendar!$A19,DB!$1:$1,0)),FALSE),"")</f>
        <v/>
      </c>
      <c r="MGE19" s="28" t="str">
        <f>IFERROR(VLOOKUP(DATE($K$1,$K$2,MGE$4),Table1[],(MATCH(Calendar!$A19,DB!$1:$1,0)),FALSE),"")</f>
        <v/>
      </c>
      <c r="MGF19" s="28" t="str">
        <f>IFERROR(VLOOKUP(DATE($K$1,$K$2,MGF$4),Table1[],(MATCH(Calendar!$A19,DB!$1:$1,0)),FALSE),"")</f>
        <v/>
      </c>
      <c r="MGG19" s="28" t="str">
        <f>IFERROR(VLOOKUP(DATE($K$1,$K$2,MGG$4),Table1[],(MATCH(Calendar!$A19,DB!$1:$1,0)),FALSE),"")</f>
        <v/>
      </c>
      <c r="MGH19" s="28" t="str">
        <f>IFERROR(VLOOKUP(DATE($K$1,$K$2,MGH$4),Table1[],(MATCH(Calendar!$A19,DB!$1:$1,0)),FALSE),"")</f>
        <v/>
      </c>
      <c r="MGI19" s="28" t="str">
        <f>IFERROR(VLOOKUP(DATE($K$1,$K$2,MGI$4),Table1[],(MATCH(Calendar!$A19,DB!$1:$1,0)),FALSE),"")</f>
        <v/>
      </c>
      <c r="MGJ19" s="28" t="str">
        <f>IFERROR(VLOOKUP(DATE($K$1,$K$2,MGJ$4),Table1[],(MATCH(Calendar!$A19,DB!$1:$1,0)),FALSE),"")</f>
        <v/>
      </c>
      <c r="MGK19" s="28" t="str">
        <f>IFERROR(VLOOKUP(DATE($K$1,$K$2,MGK$4),Table1[],(MATCH(Calendar!$A19,DB!$1:$1,0)),FALSE),"")</f>
        <v/>
      </c>
      <c r="MGL19" s="28" t="str">
        <f>IFERROR(VLOOKUP(DATE($K$1,$K$2,MGL$4),Table1[],(MATCH(Calendar!$A19,DB!$1:$1,0)),FALSE),"")</f>
        <v/>
      </c>
      <c r="MGM19" s="28" t="str">
        <f>IFERROR(VLOOKUP(DATE($K$1,$K$2,MGM$4),Table1[],(MATCH(Calendar!$A19,DB!$1:$1,0)),FALSE),"")</f>
        <v/>
      </c>
      <c r="MGN19" s="28" t="str">
        <f>IFERROR(VLOOKUP(DATE($K$1,$K$2,MGN$4),Table1[],(MATCH(Calendar!$A19,DB!$1:$1,0)),FALSE),"")</f>
        <v/>
      </c>
      <c r="MGO19" s="28" t="str">
        <f>IFERROR(VLOOKUP(DATE($K$1,$K$2,MGO$4),Table1[],(MATCH(Calendar!$A19,DB!$1:$1,0)),FALSE),"")</f>
        <v/>
      </c>
      <c r="MGP19" s="28" t="str">
        <f>IFERROR(VLOOKUP(DATE($K$1,$K$2,MGP$4),Table1[],(MATCH(Calendar!$A19,DB!$1:$1,0)),FALSE),"")</f>
        <v/>
      </c>
      <c r="MGQ19" s="28" t="str">
        <f>IFERROR(VLOOKUP(DATE($K$1,$K$2,MGQ$4),Table1[],(MATCH(Calendar!$A19,DB!$1:$1,0)),FALSE),"")</f>
        <v/>
      </c>
      <c r="MGR19" s="28" t="str">
        <f>IFERROR(VLOOKUP(DATE($K$1,$K$2,MGR$4),Table1[],(MATCH(Calendar!$A19,DB!$1:$1,0)),FALSE),"")</f>
        <v/>
      </c>
      <c r="MGS19" s="28" t="str">
        <f>IFERROR(VLOOKUP(DATE($K$1,$K$2,MGS$4),Table1[],(MATCH(Calendar!$A19,DB!$1:$1,0)),FALSE),"")</f>
        <v/>
      </c>
      <c r="MGT19" s="28" t="str">
        <f>IFERROR(VLOOKUP(DATE($K$1,$K$2,MGT$4),Table1[],(MATCH(Calendar!$A19,DB!$1:$1,0)),FALSE),"")</f>
        <v/>
      </c>
      <c r="MGU19" s="28" t="str">
        <f>IFERROR(VLOOKUP(DATE($K$1,$K$2,MGU$4),Table1[],(MATCH(Calendar!$A19,DB!$1:$1,0)),FALSE),"")</f>
        <v/>
      </c>
      <c r="MGV19" s="28" t="str">
        <f>IFERROR(VLOOKUP(DATE($K$1,$K$2,MGV$4),Table1[],(MATCH(Calendar!$A19,DB!$1:$1,0)),FALSE),"")</f>
        <v/>
      </c>
      <c r="MGW19" s="28" t="str">
        <f>IFERROR(VLOOKUP(DATE($K$1,$K$2,MGW$4),Table1[],(MATCH(Calendar!$A19,DB!$1:$1,0)),FALSE),"")</f>
        <v/>
      </c>
      <c r="MGX19" s="28" t="str">
        <f>IFERROR(VLOOKUP(DATE($K$1,$K$2,MGX$4),Table1[],(MATCH(Calendar!$A19,DB!$1:$1,0)),FALSE),"")</f>
        <v/>
      </c>
      <c r="MGY19" s="28" t="str">
        <f>IFERROR(VLOOKUP(DATE($K$1,$K$2,MGY$4),Table1[],(MATCH(Calendar!$A19,DB!$1:$1,0)),FALSE),"")</f>
        <v/>
      </c>
      <c r="MGZ19" s="28" t="str">
        <f>IFERROR(VLOOKUP(DATE($K$1,$K$2,MGZ$4),Table1[],(MATCH(Calendar!$A19,DB!$1:$1,0)),FALSE),"")</f>
        <v/>
      </c>
      <c r="MHA19" s="28" t="str">
        <f>IFERROR(VLOOKUP(DATE($K$1,$K$2,MHA$4),Table1[],(MATCH(Calendar!$A19,DB!$1:$1,0)),FALSE),"")</f>
        <v/>
      </c>
      <c r="MHB19" s="28" t="str">
        <f>IFERROR(VLOOKUP(DATE($K$1,$K$2,MHB$4),Table1[],(MATCH(Calendar!$A19,DB!$1:$1,0)),FALSE),"")</f>
        <v/>
      </c>
      <c r="MHC19" s="28" t="str">
        <f>IFERROR(VLOOKUP(DATE($K$1,$K$2,MHC$4),Table1[],(MATCH(Calendar!$A19,DB!$1:$1,0)),FALSE),"")</f>
        <v/>
      </c>
      <c r="MHD19" s="28" t="str">
        <f>IFERROR(VLOOKUP(DATE($K$1,$K$2,MHD$4),Table1[],(MATCH(Calendar!$A19,DB!$1:$1,0)),FALSE),"")</f>
        <v/>
      </c>
      <c r="MHE19" s="28" t="str">
        <f>IFERROR(VLOOKUP(DATE($K$1,$K$2,MHE$4),Table1[],(MATCH(Calendar!$A19,DB!$1:$1,0)),FALSE),"")</f>
        <v/>
      </c>
      <c r="MHF19" s="28" t="str">
        <f>IFERROR(VLOOKUP(DATE($K$1,$K$2,MHF$4),Table1[],(MATCH(Calendar!$A19,DB!$1:$1,0)),FALSE),"")</f>
        <v/>
      </c>
      <c r="MHG19" s="28" t="str">
        <f>IFERROR(VLOOKUP(DATE($K$1,$K$2,MHG$4),Table1[],(MATCH(Calendar!$A19,DB!$1:$1,0)),FALSE),"")</f>
        <v/>
      </c>
      <c r="MHH19" s="28" t="str">
        <f>IFERROR(VLOOKUP(DATE($K$1,$K$2,MHH$4),Table1[],(MATCH(Calendar!$A19,DB!$1:$1,0)),FALSE),"")</f>
        <v/>
      </c>
      <c r="MHI19" s="28" t="str">
        <f>IFERROR(VLOOKUP(DATE($K$1,$K$2,MHI$4),Table1[],(MATCH(Calendar!$A19,DB!$1:$1,0)),FALSE),"")</f>
        <v/>
      </c>
      <c r="MHJ19" s="28" t="str">
        <f>IFERROR(VLOOKUP(DATE($K$1,$K$2,MHJ$4),Table1[],(MATCH(Calendar!$A19,DB!$1:$1,0)),FALSE),"")</f>
        <v/>
      </c>
      <c r="MHK19" s="28" t="str">
        <f>IFERROR(VLOOKUP(DATE($K$1,$K$2,MHK$4),Table1[],(MATCH(Calendar!$A19,DB!$1:$1,0)),FALSE),"")</f>
        <v/>
      </c>
      <c r="MHL19" s="28" t="str">
        <f>IFERROR(VLOOKUP(DATE($K$1,$K$2,MHL$4),Table1[],(MATCH(Calendar!$A19,DB!$1:$1,0)),FALSE),"")</f>
        <v/>
      </c>
      <c r="MHM19" s="28" t="str">
        <f>IFERROR(VLOOKUP(DATE($K$1,$K$2,MHM$4),Table1[],(MATCH(Calendar!$A19,DB!$1:$1,0)),FALSE),"")</f>
        <v/>
      </c>
      <c r="MHN19" s="28" t="str">
        <f>IFERROR(VLOOKUP(DATE($K$1,$K$2,MHN$4),Table1[],(MATCH(Calendar!$A19,DB!$1:$1,0)),FALSE),"")</f>
        <v/>
      </c>
      <c r="MHO19" s="28" t="str">
        <f>IFERROR(VLOOKUP(DATE($K$1,$K$2,MHO$4),Table1[],(MATCH(Calendar!$A19,DB!$1:$1,0)),FALSE),"")</f>
        <v/>
      </c>
      <c r="MHP19" s="28" t="str">
        <f>IFERROR(VLOOKUP(DATE($K$1,$K$2,MHP$4),Table1[],(MATCH(Calendar!$A19,DB!$1:$1,0)),FALSE),"")</f>
        <v/>
      </c>
      <c r="MHQ19" s="28" t="str">
        <f>IFERROR(VLOOKUP(DATE($K$1,$K$2,MHQ$4),Table1[],(MATCH(Calendar!$A19,DB!$1:$1,0)),FALSE),"")</f>
        <v/>
      </c>
      <c r="MHR19" s="28" t="str">
        <f>IFERROR(VLOOKUP(DATE($K$1,$K$2,MHR$4),Table1[],(MATCH(Calendar!$A19,DB!$1:$1,0)),FALSE),"")</f>
        <v/>
      </c>
      <c r="MHS19" s="28" t="str">
        <f>IFERROR(VLOOKUP(DATE($K$1,$K$2,MHS$4),Table1[],(MATCH(Calendar!$A19,DB!$1:$1,0)),FALSE),"")</f>
        <v/>
      </c>
      <c r="MHT19" s="28" t="str">
        <f>IFERROR(VLOOKUP(DATE($K$1,$K$2,MHT$4),Table1[],(MATCH(Calendar!$A19,DB!$1:$1,0)),FALSE),"")</f>
        <v/>
      </c>
      <c r="MHU19" s="28" t="str">
        <f>IFERROR(VLOOKUP(DATE($K$1,$K$2,MHU$4),Table1[],(MATCH(Calendar!$A19,DB!$1:$1,0)),FALSE),"")</f>
        <v/>
      </c>
      <c r="MHV19" s="28" t="str">
        <f>IFERROR(VLOOKUP(DATE($K$1,$K$2,MHV$4),Table1[],(MATCH(Calendar!$A19,DB!$1:$1,0)),FALSE),"")</f>
        <v/>
      </c>
      <c r="MHW19" s="28" t="str">
        <f>IFERROR(VLOOKUP(DATE($K$1,$K$2,MHW$4),Table1[],(MATCH(Calendar!$A19,DB!$1:$1,0)),FALSE),"")</f>
        <v/>
      </c>
      <c r="MHX19" s="28" t="str">
        <f>IFERROR(VLOOKUP(DATE($K$1,$K$2,MHX$4),Table1[],(MATCH(Calendar!$A19,DB!$1:$1,0)),FALSE),"")</f>
        <v/>
      </c>
      <c r="MHY19" s="28" t="str">
        <f>IFERROR(VLOOKUP(DATE($K$1,$K$2,MHY$4),Table1[],(MATCH(Calendar!$A19,DB!$1:$1,0)),FALSE),"")</f>
        <v/>
      </c>
      <c r="MHZ19" s="28" t="str">
        <f>IFERROR(VLOOKUP(DATE($K$1,$K$2,MHZ$4),Table1[],(MATCH(Calendar!$A19,DB!$1:$1,0)),FALSE),"")</f>
        <v/>
      </c>
      <c r="MIA19" s="28" t="str">
        <f>IFERROR(VLOOKUP(DATE($K$1,$K$2,MIA$4),Table1[],(MATCH(Calendar!$A19,DB!$1:$1,0)),FALSE),"")</f>
        <v/>
      </c>
      <c r="MIB19" s="28" t="str">
        <f>IFERROR(VLOOKUP(DATE($K$1,$K$2,MIB$4),Table1[],(MATCH(Calendar!$A19,DB!$1:$1,0)),FALSE),"")</f>
        <v/>
      </c>
      <c r="MIC19" s="28" t="str">
        <f>IFERROR(VLOOKUP(DATE($K$1,$K$2,MIC$4),Table1[],(MATCH(Calendar!$A19,DB!$1:$1,0)),FALSE),"")</f>
        <v/>
      </c>
      <c r="MID19" s="28" t="str">
        <f>IFERROR(VLOOKUP(DATE($K$1,$K$2,MID$4),Table1[],(MATCH(Calendar!$A19,DB!$1:$1,0)),FALSE),"")</f>
        <v/>
      </c>
      <c r="MIE19" s="28" t="str">
        <f>IFERROR(VLOOKUP(DATE($K$1,$K$2,MIE$4),Table1[],(MATCH(Calendar!$A19,DB!$1:$1,0)),FALSE),"")</f>
        <v/>
      </c>
      <c r="MIF19" s="28" t="str">
        <f>IFERROR(VLOOKUP(DATE($K$1,$K$2,MIF$4),Table1[],(MATCH(Calendar!$A19,DB!$1:$1,0)),FALSE),"")</f>
        <v/>
      </c>
      <c r="MIG19" s="28" t="str">
        <f>IFERROR(VLOOKUP(DATE($K$1,$K$2,MIG$4),Table1[],(MATCH(Calendar!$A19,DB!$1:$1,0)),FALSE),"")</f>
        <v/>
      </c>
      <c r="MIH19" s="28" t="str">
        <f>IFERROR(VLOOKUP(DATE($K$1,$K$2,MIH$4),Table1[],(MATCH(Calendar!$A19,DB!$1:$1,0)),FALSE),"")</f>
        <v/>
      </c>
      <c r="MII19" s="28" t="str">
        <f>IFERROR(VLOOKUP(DATE($K$1,$K$2,MII$4),Table1[],(MATCH(Calendar!$A19,DB!$1:$1,0)),FALSE),"")</f>
        <v/>
      </c>
      <c r="MIJ19" s="28" t="str">
        <f>IFERROR(VLOOKUP(DATE($K$1,$K$2,MIJ$4),Table1[],(MATCH(Calendar!$A19,DB!$1:$1,0)),FALSE),"")</f>
        <v/>
      </c>
      <c r="MIK19" s="28" t="str">
        <f>IFERROR(VLOOKUP(DATE($K$1,$K$2,MIK$4),Table1[],(MATCH(Calendar!$A19,DB!$1:$1,0)),FALSE),"")</f>
        <v/>
      </c>
      <c r="MIL19" s="28" t="str">
        <f>IFERROR(VLOOKUP(DATE($K$1,$K$2,MIL$4),Table1[],(MATCH(Calendar!$A19,DB!$1:$1,0)),FALSE),"")</f>
        <v/>
      </c>
      <c r="MIM19" s="28" t="str">
        <f>IFERROR(VLOOKUP(DATE($K$1,$K$2,MIM$4),Table1[],(MATCH(Calendar!$A19,DB!$1:$1,0)),FALSE),"")</f>
        <v/>
      </c>
      <c r="MIN19" s="28" t="str">
        <f>IFERROR(VLOOKUP(DATE($K$1,$K$2,MIN$4),Table1[],(MATCH(Calendar!$A19,DB!$1:$1,0)),FALSE),"")</f>
        <v/>
      </c>
      <c r="MIO19" s="28" t="str">
        <f>IFERROR(VLOOKUP(DATE($K$1,$K$2,MIO$4),Table1[],(MATCH(Calendar!$A19,DB!$1:$1,0)),FALSE),"")</f>
        <v/>
      </c>
      <c r="MIP19" s="28" t="str">
        <f>IFERROR(VLOOKUP(DATE($K$1,$K$2,MIP$4),Table1[],(MATCH(Calendar!$A19,DB!$1:$1,0)),FALSE),"")</f>
        <v/>
      </c>
      <c r="MIQ19" s="28" t="str">
        <f>IFERROR(VLOOKUP(DATE($K$1,$K$2,MIQ$4),Table1[],(MATCH(Calendar!$A19,DB!$1:$1,0)),FALSE),"")</f>
        <v/>
      </c>
      <c r="MIR19" s="28" t="str">
        <f>IFERROR(VLOOKUP(DATE($K$1,$K$2,MIR$4),Table1[],(MATCH(Calendar!$A19,DB!$1:$1,0)),FALSE),"")</f>
        <v/>
      </c>
      <c r="MIS19" s="28" t="str">
        <f>IFERROR(VLOOKUP(DATE($K$1,$K$2,MIS$4),Table1[],(MATCH(Calendar!$A19,DB!$1:$1,0)),FALSE),"")</f>
        <v/>
      </c>
      <c r="MIT19" s="28" t="str">
        <f>IFERROR(VLOOKUP(DATE($K$1,$K$2,MIT$4),Table1[],(MATCH(Calendar!$A19,DB!$1:$1,0)),FALSE),"")</f>
        <v/>
      </c>
      <c r="MIU19" s="28" t="str">
        <f>IFERROR(VLOOKUP(DATE($K$1,$K$2,MIU$4),Table1[],(MATCH(Calendar!$A19,DB!$1:$1,0)),FALSE),"")</f>
        <v/>
      </c>
      <c r="MIV19" s="28" t="str">
        <f>IFERROR(VLOOKUP(DATE($K$1,$K$2,MIV$4),Table1[],(MATCH(Calendar!$A19,DB!$1:$1,0)),FALSE),"")</f>
        <v/>
      </c>
      <c r="MIW19" s="28" t="str">
        <f>IFERROR(VLOOKUP(DATE($K$1,$K$2,MIW$4),Table1[],(MATCH(Calendar!$A19,DB!$1:$1,0)),FALSE),"")</f>
        <v/>
      </c>
      <c r="MIX19" s="28" t="str">
        <f>IFERROR(VLOOKUP(DATE($K$1,$K$2,MIX$4),Table1[],(MATCH(Calendar!$A19,DB!$1:$1,0)),FALSE),"")</f>
        <v/>
      </c>
      <c r="MIY19" s="28" t="str">
        <f>IFERROR(VLOOKUP(DATE($K$1,$K$2,MIY$4),Table1[],(MATCH(Calendar!$A19,DB!$1:$1,0)),FALSE),"")</f>
        <v/>
      </c>
      <c r="MIZ19" s="28" t="str">
        <f>IFERROR(VLOOKUP(DATE($K$1,$K$2,MIZ$4),Table1[],(MATCH(Calendar!$A19,DB!$1:$1,0)),FALSE),"")</f>
        <v/>
      </c>
      <c r="MJA19" s="28" t="str">
        <f>IFERROR(VLOOKUP(DATE($K$1,$K$2,MJA$4),Table1[],(MATCH(Calendar!$A19,DB!$1:$1,0)),FALSE),"")</f>
        <v/>
      </c>
      <c r="MJB19" s="28" t="str">
        <f>IFERROR(VLOOKUP(DATE($K$1,$K$2,MJB$4),Table1[],(MATCH(Calendar!$A19,DB!$1:$1,0)),FALSE),"")</f>
        <v/>
      </c>
      <c r="MJC19" s="28" t="str">
        <f>IFERROR(VLOOKUP(DATE($K$1,$K$2,MJC$4),Table1[],(MATCH(Calendar!$A19,DB!$1:$1,0)),FALSE),"")</f>
        <v/>
      </c>
      <c r="MJD19" s="28" t="str">
        <f>IFERROR(VLOOKUP(DATE($K$1,$K$2,MJD$4),Table1[],(MATCH(Calendar!$A19,DB!$1:$1,0)),FALSE),"")</f>
        <v/>
      </c>
      <c r="MJE19" s="28" t="str">
        <f>IFERROR(VLOOKUP(DATE($K$1,$K$2,MJE$4),Table1[],(MATCH(Calendar!$A19,DB!$1:$1,0)),FALSE),"")</f>
        <v/>
      </c>
      <c r="MJF19" s="28" t="str">
        <f>IFERROR(VLOOKUP(DATE($K$1,$K$2,MJF$4),Table1[],(MATCH(Calendar!$A19,DB!$1:$1,0)),FALSE),"")</f>
        <v/>
      </c>
      <c r="MJG19" s="28" t="str">
        <f>IFERROR(VLOOKUP(DATE($K$1,$K$2,MJG$4),Table1[],(MATCH(Calendar!$A19,DB!$1:$1,0)),FALSE),"")</f>
        <v/>
      </c>
      <c r="MJH19" s="28" t="str">
        <f>IFERROR(VLOOKUP(DATE($K$1,$K$2,MJH$4),Table1[],(MATCH(Calendar!$A19,DB!$1:$1,0)),FALSE),"")</f>
        <v/>
      </c>
      <c r="MJI19" s="28" t="str">
        <f>IFERROR(VLOOKUP(DATE($K$1,$K$2,MJI$4),Table1[],(MATCH(Calendar!$A19,DB!$1:$1,0)),FALSE),"")</f>
        <v/>
      </c>
      <c r="MJJ19" s="28" t="str">
        <f>IFERROR(VLOOKUP(DATE($K$1,$K$2,MJJ$4),Table1[],(MATCH(Calendar!$A19,DB!$1:$1,0)),FALSE),"")</f>
        <v/>
      </c>
      <c r="MJK19" s="28" t="str">
        <f>IFERROR(VLOOKUP(DATE($K$1,$K$2,MJK$4),Table1[],(MATCH(Calendar!$A19,DB!$1:$1,0)),FALSE),"")</f>
        <v/>
      </c>
      <c r="MJL19" s="28" t="str">
        <f>IFERROR(VLOOKUP(DATE($K$1,$K$2,MJL$4),Table1[],(MATCH(Calendar!$A19,DB!$1:$1,0)),FALSE),"")</f>
        <v/>
      </c>
      <c r="MJM19" s="28" t="str">
        <f>IFERROR(VLOOKUP(DATE($K$1,$K$2,MJM$4),Table1[],(MATCH(Calendar!$A19,DB!$1:$1,0)),FALSE),"")</f>
        <v/>
      </c>
      <c r="MJN19" s="28" t="str">
        <f>IFERROR(VLOOKUP(DATE($K$1,$K$2,MJN$4),Table1[],(MATCH(Calendar!$A19,DB!$1:$1,0)),FALSE),"")</f>
        <v/>
      </c>
      <c r="MJO19" s="28" t="str">
        <f>IFERROR(VLOOKUP(DATE($K$1,$K$2,MJO$4),Table1[],(MATCH(Calendar!$A19,DB!$1:$1,0)),FALSE),"")</f>
        <v/>
      </c>
      <c r="MJP19" s="28" t="str">
        <f>IFERROR(VLOOKUP(DATE($K$1,$K$2,MJP$4),Table1[],(MATCH(Calendar!$A19,DB!$1:$1,0)),FALSE),"")</f>
        <v/>
      </c>
      <c r="MJQ19" s="28" t="str">
        <f>IFERROR(VLOOKUP(DATE($K$1,$K$2,MJQ$4),Table1[],(MATCH(Calendar!$A19,DB!$1:$1,0)),FALSE),"")</f>
        <v/>
      </c>
      <c r="MJR19" s="28" t="str">
        <f>IFERROR(VLOOKUP(DATE($K$1,$K$2,MJR$4),Table1[],(MATCH(Calendar!$A19,DB!$1:$1,0)),FALSE),"")</f>
        <v/>
      </c>
      <c r="MJS19" s="28" t="str">
        <f>IFERROR(VLOOKUP(DATE($K$1,$K$2,MJS$4),Table1[],(MATCH(Calendar!$A19,DB!$1:$1,0)),FALSE),"")</f>
        <v/>
      </c>
      <c r="MJT19" s="28" t="str">
        <f>IFERROR(VLOOKUP(DATE($K$1,$K$2,MJT$4),Table1[],(MATCH(Calendar!$A19,DB!$1:$1,0)),FALSE),"")</f>
        <v/>
      </c>
      <c r="MJU19" s="28" t="str">
        <f>IFERROR(VLOOKUP(DATE($K$1,$K$2,MJU$4),Table1[],(MATCH(Calendar!$A19,DB!$1:$1,0)),FALSE),"")</f>
        <v/>
      </c>
      <c r="MJV19" s="28" t="str">
        <f>IFERROR(VLOOKUP(DATE($K$1,$K$2,MJV$4),Table1[],(MATCH(Calendar!$A19,DB!$1:$1,0)),FALSE),"")</f>
        <v/>
      </c>
      <c r="MJW19" s="28" t="str">
        <f>IFERROR(VLOOKUP(DATE($K$1,$K$2,MJW$4),Table1[],(MATCH(Calendar!$A19,DB!$1:$1,0)),FALSE),"")</f>
        <v/>
      </c>
      <c r="MJX19" s="28" t="str">
        <f>IFERROR(VLOOKUP(DATE($K$1,$K$2,MJX$4),Table1[],(MATCH(Calendar!$A19,DB!$1:$1,0)),FALSE),"")</f>
        <v/>
      </c>
      <c r="MJY19" s="28" t="str">
        <f>IFERROR(VLOOKUP(DATE($K$1,$K$2,MJY$4),Table1[],(MATCH(Calendar!$A19,DB!$1:$1,0)),FALSE),"")</f>
        <v/>
      </c>
      <c r="MJZ19" s="28" t="str">
        <f>IFERROR(VLOOKUP(DATE($K$1,$K$2,MJZ$4),Table1[],(MATCH(Calendar!$A19,DB!$1:$1,0)),FALSE),"")</f>
        <v/>
      </c>
      <c r="MKA19" s="28" t="str">
        <f>IFERROR(VLOOKUP(DATE($K$1,$K$2,MKA$4),Table1[],(MATCH(Calendar!$A19,DB!$1:$1,0)),FALSE),"")</f>
        <v/>
      </c>
      <c r="MKB19" s="28" t="str">
        <f>IFERROR(VLOOKUP(DATE($K$1,$K$2,MKB$4),Table1[],(MATCH(Calendar!$A19,DB!$1:$1,0)),FALSE),"")</f>
        <v/>
      </c>
      <c r="MKC19" s="28" t="str">
        <f>IFERROR(VLOOKUP(DATE($K$1,$K$2,MKC$4),Table1[],(MATCH(Calendar!$A19,DB!$1:$1,0)),FALSE),"")</f>
        <v/>
      </c>
      <c r="MKD19" s="28" t="str">
        <f>IFERROR(VLOOKUP(DATE($K$1,$K$2,MKD$4),Table1[],(MATCH(Calendar!$A19,DB!$1:$1,0)),FALSE),"")</f>
        <v/>
      </c>
      <c r="MKE19" s="28" t="str">
        <f>IFERROR(VLOOKUP(DATE($K$1,$K$2,MKE$4),Table1[],(MATCH(Calendar!$A19,DB!$1:$1,0)),FALSE),"")</f>
        <v/>
      </c>
      <c r="MKF19" s="28" t="str">
        <f>IFERROR(VLOOKUP(DATE($K$1,$K$2,MKF$4),Table1[],(MATCH(Calendar!$A19,DB!$1:$1,0)),FALSE),"")</f>
        <v/>
      </c>
      <c r="MKG19" s="28" t="str">
        <f>IFERROR(VLOOKUP(DATE($K$1,$K$2,MKG$4),Table1[],(MATCH(Calendar!$A19,DB!$1:$1,0)),FALSE),"")</f>
        <v/>
      </c>
      <c r="MKH19" s="28" t="str">
        <f>IFERROR(VLOOKUP(DATE($K$1,$K$2,MKH$4),Table1[],(MATCH(Calendar!$A19,DB!$1:$1,0)),FALSE),"")</f>
        <v/>
      </c>
      <c r="MKI19" s="28" t="str">
        <f>IFERROR(VLOOKUP(DATE($K$1,$K$2,MKI$4),Table1[],(MATCH(Calendar!$A19,DB!$1:$1,0)),FALSE),"")</f>
        <v/>
      </c>
      <c r="MKJ19" s="28" t="str">
        <f>IFERROR(VLOOKUP(DATE($K$1,$K$2,MKJ$4),Table1[],(MATCH(Calendar!$A19,DB!$1:$1,0)),FALSE),"")</f>
        <v/>
      </c>
      <c r="MKK19" s="28" t="str">
        <f>IFERROR(VLOOKUP(DATE($K$1,$K$2,MKK$4),Table1[],(MATCH(Calendar!$A19,DB!$1:$1,0)),FALSE),"")</f>
        <v/>
      </c>
      <c r="MKL19" s="28" t="str">
        <f>IFERROR(VLOOKUP(DATE($K$1,$K$2,MKL$4),Table1[],(MATCH(Calendar!$A19,DB!$1:$1,0)),FALSE),"")</f>
        <v/>
      </c>
      <c r="MKM19" s="28" t="str">
        <f>IFERROR(VLOOKUP(DATE($K$1,$K$2,MKM$4),Table1[],(MATCH(Calendar!$A19,DB!$1:$1,0)),FALSE),"")</f>
        <v/>
      </c>
      <c r="MKN19" s="28" t="str">
        <f>IFERROR(VLOOKUP(DATE($K$1,$K$2,MKN$4),Table1[],(MATCH(Calendar!$A19,DB!$1:$1,0)),FALSE),"")</f>
        <v/>
      </c>
      <c r="MKO19" s="28" t="str">
        <f>IFERROR(VLOOKUP(DATE($K$1,$K$2,MKO$4),Table1[],(MATCH(Calendar!$A19,DB!$1:$1,0)),FALSE),"")</f>
        <v/>
      </c>
      <c r="MKP19" s="28" t="str">
        <f>IFERROR(VLOOKUP(DATE($K$1,$K$2,MKP$4),Table1[],(MATCH(Calendar!$A19,DB!$1:$1,0)),FALSE),"")</f>
        <v/>
      </c>
      <c r="MKQ19" s="28" t="str">
        <f>IFERROR(VLOOKUP(DATE($K$1,$K$2,MKQ$4),Table1[],(MATCH(Calendar!$A19,DB!$1:$1,0)),FALSE),"")</f>
        <v/>
      </c>
      <c r="MKR19" s="28" t="str">
        <f>IFERROR(VLOOKUP(DATE($K$1,$K$2,MKR$4),Table1[],(MATCH(Calendar!$A19,DB!$1:$1,0)),FALSE),"")</f>
        <v/>
      </c>
      <c r="MKS19" s="28" t="str">
        <f>IFERROR(VLOOKUP(DATE($K$1,$K$2,MKS$4),Table1[],(MATCH(Calendar!$A19,DB!$1:$1,0)),FALSE),"")</f>
        <v/>
      </c>
      <c r="MKT19" s="28" t="str">
        <f>IFERROR(VLOOKUP(DATE($K$1,$K$2,MKT$4),Table1[],(MATCH(Calendar!$A19,DB!$1:$1,0)),FALSE),"")</f>
        <v/>
      </c>
      <c r="MKU19" s="28" t="str">
        <f>IFERROR(VLOOKUP(DATE($K$1,$K$2,MKU$4),Table1[],(MATCH(Calendar!$A19,DB!$1:$1,0)),FALSE),"")</f>
        <v/>
      </c>
      <c r="MKV19" s="28" t="str">
        <f>IFERROR(VLOOKUP(DATE($K$1,$K$2,MKV$4),Table1[],(MATCH(Calendar!$A19,DB!$1:$1,0)),FALSE),"")</f>
        <v/>
      </c>
      <c r="MKW19" s="28" t="str">
        <f>IFERROR(VLOOKUP(DATE($K$1,$K$2,MKW$4),Table1[],(MATCH(Calendar!$A19,DB!$1:$1,0)),FALSE),"")</f>
        <v/>
      </c>
      <c r="MKX19" s="28" t="str">
        <f>IFERROR(VLOOKUP(DATE($K$1,$K$2,MKX$4),Table1[],(MATCH(Calendar!$A19,DB!$1:$1,0)),FALSE),"")</f>
        <v/>
      </c>
      <c r="MKY19" s="28" t="str">
        <f>IFERROR(VLOOKUP(DATE($K$1,$K$2,MKY$4),Table1[],(MATCH(Calendar!$A19,DB!$1:$1,0)),FALSE),"")</f>
        <v/>
      </c>
      <c r="MKZ19" s="28" t="str">
        <f>IFERROR(VLOOKUP(DATE($K$1,$K$2,MKZ$4),Table1[],(MATCH(Calendar!$A19,DB!$1:$1,0)),FALSE),"")</f>
        <v/>
      </c>
      <c r="MLA19" s="28" t="str">
        <f>IFERROR(VLOOKUP(DATE($K$1,$K$2,MLA$4),Table1[],(MATCH(Calendar!$A19,DB!$1:$1,0)),FALSE),"")</f>
        <v/>
      </c>
      <c r="MLB19" s="28" t="str">
        <f>IFERROR(VLOOKUP(DATE($K$1,$K$2,MLB$4),Table1[],(MATCH(Calendar!$A19,DB!$1:$1,0)),FALSE),"")</f>
        <v/>
      </c>
      <c r="MLC19" s="28" t="str">
        <f>IFERROR(VLOOKUP(DATE($K$1,$K$2,MLC$4),Table1[],(MATCH(Calendar!$A19,DB!$1:$1,0)),FALSE),"")</f>
        <v/>
      </c>
      <c r="MLD19" s="28" t="str">
        <f>IFERROR(VLOOKUP(DATE($K$1,$K$2,MLD$4),Table1[],(MATCH(Calendar!$A19,DB!$1:$1,0)),FALSE),"")</f>
        <v/>
      </c>
      <c r="MLE19" s="28" t="str">
        <f>IFERROR(VLOOKUP(DATE($K$1,$K$2,MLE$4),Table1[],(MATCH(Calendar!$A19,DB!$1:$1,0)),FALSE),"")</f>
        <v/>
      </c>
      <c r="MLF19" s="28" t="str">
        <f>IFERROR(VLOOKUP(DATE($K$1,$K$2,MLF$4),Table1[],(MATCH(Calendar!$A19,DB!$1:$1,0)),FALSE),"")</f>
        <v/>
      </c>
      <c r="MLG19" s="28" t="str">
        <f>IFERROR(VLOOKUP(DATE($K$1,$K$2,MLG$4),Table1[],(MATCH(Calendar!$A19,DB!$1:$1,0)),FALSE),"")</f>
        <v/>
      </c>
      <c r="MLH19" s="28" t="str">
        <f>IFERROR(VLOOKUP(DATE($K$1,$K$2,MLH$4),Table1[],(MATCH(Calendar!$A19,DB!$1:$1,0)),FALSE),"")</f>
        <v/>
      </c>
      <c r="MLI19" s="28" t="str">
        <f>IFERROR(VLOOKUP(DATE($K$1,$K$2,MLI$4),Table1[],(MATCH(Calendar!$A19,DB!$1:$1,0)),FALSE),"")</f>
        <v/>
      </c>
      <c r="MLJ19" s="28" t="str">
        <f>IFERROR(VLOOKUP(DATE($K$1,$K$2,MLJ$4),Table1[],(MATCH(Calendar!$A19,DB!$1:$1,0)),FALSE),"")</f>
        <v/>
      </c>
      <c r="MLK19" s="28" t="str">
        <f>IFERROR(VLOOKUP(DATE($K$1,$K$2,MLK$4),Table1[],(MATCH(Calendar!$A19,DB!$1:$1,0)),FALSE),"")</f>
        <v/>
      </c>
      <c r="MLL19" s="28" t="str">
        <f>IFERROR(VLOOKUP(DATE($K$1,$K$2,MLL$4),Table1[],(MATCH(Calendar!$A19,DB!$1:$1,0)),FALSE),"")</f>
        <v/>
      </c>
      <c r="MLM19" s="28" t="str">
        <f>IFERROR(VLOOKUP(DATE($K$1,$K$2,MLM$4),Table1[],(MATCH(Calendar!$A19,DB!$1:$1,0)),FALSE),"")</f>
        <v/>
      </c>
      <c r="MLN19" s="28" t="str">
        <f>IFERROR(VLOOKUP(DATE($K$1,$K$2,MLN$4),Table1[],(MATCH(Calendar!$A19,DB!$1:$1,0)),FALSE),"")</f>
        <v/>
      </c>
      <c r="MLO19" s="28" t="str">
        <f>IFERROR(VLOOKUP(DATE($K$1,$K$2,MLO$4),Table1[],(MATCH(Calendar!$A19,DB!$1:$1,0)),FALSE),"")</f>
        <v/>
      </c>
      <c r="MLP19" s="28" t="str">
        <f>IFERROR(VLOOKUP(DATE($K$1,$K$2,MLP$4),Table1[],(MATCH(Calendar!$A19,DB!$1:$1,0)),FALSE),"")</f>
        <v/>
      </c>
      <c r="MLQ19" s="28" t="str">
        <f>IFERROR(VLOOKUP(DATE($K$1,$K$2,MLQ$4),Table1[],(MATCH(Calendar!$A19,DB!$1:$1,0)),FALSE),"")</f>
        <v/>
      </c>
      <c r="MLR19" s="28" t="str">
        <f>IFERROR(VLOOKUP(DATE($K$1,$K$2,MLR$4),Table1[],(MATCH(Calendar!$A19,DB!$1:$1,0)),FALSE),"")</f>
        <v/>
      </c>
      <c r="MLS19" s="28" t="str">
        <f>IFERROR(VLOOKUP(DATE($K$1,$K$2,MLS$4),Table1[],(MATCH(Calendar!$A19,DB!$1:$1,0)),FALSE),"")</f>
        <v/>
      </c>
      <c r="MLT19" s="28" t="str">
        <f>IFERROR(VLOOKUP(DATE($K$1,$K$2,MLT$4),Table1[],(MATCH(Calendar!$A19,DB!$1:$1,0)),FALSE),"")</f>
        <v/>
      </c>
      <c r="MLU19" s="28" t="str">
        <f>IFERROR(VLOOKUP(DATE($K$1,$K$2,MLU$4),Table1[],(MATCH(Calendar!$A19,DB!$1:$1,0)),FALSE),"")</f>
        <v/>
      </c>
      <c r="MLV19" s="28" t="str">
        <f>IFERROR(VLOOKUP(DATE($K$1,$K$2,MLV$4),Table1[],(MATCH(Calendar!$A19,DB!$1:$1,0)),FALSE),"")</f>
        <v/>
      </c>
      <c r="MLW19" s="28" t="str">
        <f>IFERROR(VLOOKUP(DATE($K$1,$K$2,MLW$4),Table1[],(MATCH(Calendar!$A19,DB!$1:$1,0)),FALSE),"")</f>
        <v/>
      </c>
      <c r="MLX19" s="28" t="str">
        <f>IFERROR(VLOOKUP(DATE($K$1,$K$2,MLX$4),Table1[],(MATCH(Calendar!$A19,DB!$1:$1,0)),FALSE),"")</f>
        <v/>
      </c>
      <c r="MLY19" s="28" t="str">
        <f>IFERROR(VLOOKUP(DATE($K$1,$K$2,MLY$4),Table1[],(MATCH(Calendar!$A19,DB!$1:$1,0)),FALSE),"")</f>
        <v/>
      </c>
      <c r="MLZ19" s="28" t="str">
        <f>IFERROR(VLOOKUP(DATE($K$1,$K$2,MLZ$4),Table1[],(MATCH(Calendar!$A19,DB!$1:$1,0)),FALSE),"")</f>
        <v/>
      </c>
      <c r="MMA19" s="28" t="str">
        <f>IFERROR(VLOOKUP(DATE($K$1,$K$2,MMA$4),Table1[],(MATCH(Calendar!$A19,DB!$1:$1,0)),FALSE),"")</f>
        <v/>
      </c>
      <c r="MMB19" s="28" t="str">
        <f>IFERROR(VLOOKUP(DATE($K$1,$K$2,MMB$4),Table1[],(MATCH(Calendar!$A19,DB!$1:$1,0)),FALSE),"")</f>
        <v/>
      </c>
      <c r="MMC19" s="28" t="str">
        <f>IFERROR(VLOOKUP(DATE($K$1,$K$2,MMC$4),Table1[],(MATCH(Calendar!$A19,DB!$1:$1,0)),FALSE),"")</f>
        <v/>
      </c>
      <c r="MMD19" s="28" t="str">
        <f>IFERROR(VLOOKUP(DATE($K$1,$K$2,MMD$4),Table1[],(MATCH(Calendar!$A19,DB!$1:$1,0)),FALSE),"")</f>
        <v/>
      </c>
      <c r="MME19" s="28" t="str">
        <f>IFERROR(VLOOKUP(DATE($K$1,$K$2,MME$4),Table1[],(MATCH(Calendar!$A19,DB!$1:$1,0)),FALSE),"")</f>
        <v/>
      </c>
      <c r="MMF19" s="28" t="str">
        <f>IFERROR(VLOOKUP(DATE($K$1,$K$2,MMF$4),Table1[],(MATCH(Calendar!$A19,DB!$1:$1,0)),FALSE),"")</f>
        <v/>
      </c>
      <c r="MMG19" s="28" t="str">
        <f>IFERROR(VLOOKUP(DATE($K$1,$K$2,MMG$4),Table1[],(MATCH(Calendar!$A19,DB!$1:$1,0)),FALSE),"")</f>
        <v/>
      </c>
      <c r="MMH19" s="28" t="str">
        <f>IFERROR(VLOOKUP(DATE($K$1,$K$2,MMH$4),Table1[],(MATCH(Calendar!$A19,DB!$1:$1,0)),FALSE),"")</f>
        <v/>
      </c>
      <c r="MMI19" s="28" t="str">
        <f>IFERROR(VLOOKUP(DATE($K$1,$K$2,MMI$4),Table1[],(MATCH(Calendar!$A19,DB!$1:$1,0)),FALSE),"")</f>
        <v/>
      </c>
      <c r="MMJ19" s="28" t="str">
        <f>IFERROR(VLOOKUP(DATE($K$1,$K$2,MMJ$4),Table1[],(MATCH(Calendar!$A19,DB!$1:$1,0)),FALSE),"")</f>
        <v/>
      </c>
      <c r="MMK19" s="28" t="str">
        <f>IFERROR(VLOOKUP(DATE($K$1,$K$2,MMK$4),Table1[],(MATCH(Calendar!$A19,DB!$1:$1,0)),FALSE),"")</f>
        <v/>
      </c>
      <c r="MML19" s="28" t="str">
        <f>IFERROR(VLOOKUP(DATE($K$1,$K$2,MML$4),Table1[],(MATCH(Calendar!$A19,DB!$1:$1,0)),FALSE),"")</f>
        <v/>
      </c>
      <c r="MMM19" s="28" t="str">
        <f>IFERROR(VLOOKUP(DATE($K$1,$K$2,MMM$4),Table1[],(MATCH(Calendar!$A19,DB!$1:$1,0)),FALSE),"")</f>
        <v/>
      </c>
      <c r="MMN19" s="28" t="str">
        <f>IFERROR(VLOOKUP(DATE($K$1,$K$2,MMN$4),Table1[],(MATCH(Calendar!$A19,DB!$1:$1,0)),FALSE),"")</f>
        <v/>
      </c>
      <c r="MMO19" s="28" t="str">
        <f>IFERROR(VLOOKUP(DATE($K$1,$K$2,MMO$4),Table1[],(MATCH(Calendar!$A19,DB!$1:$1,0)),FALSE),"")</f>
        <v/>
      </c>
      <c r="MMP19" s="28" t="str">
        <f>IFERROR(VLOOKUP(DATE($K$1,$K$2,MMP$4),Table1[],(MATCH(Calendar!$A19,DB!$1:$1,0)),FALSE),"")</f>
        <v/>
      </c>
      <c r="MMQ19" s="28" t="str">
        <f>IFERROR(VLOOKUP(DATE($K$1,$K$2,MMQ$4),Table1[],(MATCH(Calendar!$A19,DB!$1:$1,0)),FALSE),"")</f>
        <v/>
      </c>
      <c r="MMR19" s="28" t="str">
        <f>IFERROR(VLOOKUP(DATE($K$1,$K$2,MMR$4),Table1[],(MATCH(Calendar!$A19,DB!$1:$1,0)),FALSE),"")</f>
        <v/>
      </c>
      <c r="MMS19" s="28" t="str">
        <f>IFERROR(VLOOKUP(DATE($K$1,$K$2,MMS$4),Table1[],(MATCH(Calendar!$A19,DB!$1:$1,0)),FALSE),"")</f>
        <v/>
      </c>
      <c r="MMT19" s="28" t="str">
        <f>IFERROR(VLOOKUP(DATE($K$1,$K$2,MMT$4),Table1[],(MATCH(Calendar!$A19,DB!$1:$1,0)),FALSE),"")</f>
        <v/>
      </c>
      <c r="MMU19" s="28" t="str">
        <f>IFERROR(VLOOKUP(DATE($K$1,$K$2,MMU$4),Table1[],(MATCH(Calendar!$A19,DB!$1:$1,0)),FALSE),"")</f>
        <v/>
      </c>
      <c r="MMV19" s="28" t="str">
        <f>IFERROR(VLOOKUP(DATE($K$1,$K$2,MMV$4),Table1[],(MATCH(Calendar!$A19,DB!$1:$1,0)),FALSE),"")</f>
        <v/>
      </c>
      <c r="MMW19" s="28" t="str">
        <f>IFERROR(VLOOKUP(DATE($K$1,$K$2,MMW$4),Table1[],(MATCH(Calendar!$A19,DB!$1:$1,0)),FALSE),"")</f>
        <v/>
      </c>
      <c r="MMX19" s="28" t="str">
        <f>IFERROR(VLOOKUP(DATE($K$1,$K$2,MMX$4),Table1[],(MATCH(Calendar!$A19,DB!$1:$1,0)),FALSE),"")</f>
        <v/>
      </c>
      <c r="MMY19" s="28" t="str">
        <f>IFERROR(VLOOKUP(DATE($K$1,$K$2,MMY$4),Table1[],(MATCH(Calendar!$A19,DB!$1:$1,0)),FALSE),"")</f>
        <v/>
      </c>
      <c r="MMZ19" s="28" t="str">
        <f>IFERROR(VLOOKUP(DATE($K$1,$K$2,MMZ$4),Table1[],(MATCH(Calendar!$A19,DB!$1:$1,0)),FALSE),"")</f>
        <v/>
      </c>
      <c r="MNA19" s="28" t="str">
        <f>IFERROR(VLOOKUP(DATE($K$1,$K$2,MNA$4),Table1[],(MATCH(Calendar!$A19,DB!$1:$1,0)),FALSE),"")</f>
        <v/>
      </c>
      <c r="MNB19" s="28" t="str">
        <f>IFERROR(VLOOKUP(DATE($K$1,$K$2,MNB$4),Table1[],(MATCH(Calendar!$A19,DB!$1:$1,0)),FALSE),"")</f>
        <v/>
      </c>
      <c r="MNC19" s="28" t="str">
        <f>IFERROR(VLOOKUP(DATE($K$1,$K$2,MNC$4),Table1[],(MATCH(Calendar!$A19,DB!$1:$1,0)),FALSE),"")</f>
        <v/>
      </c>
      <c r="MND19" s="28" t="str">
        <f>IFERROR(VLOOKUP(DATE($K$1,$K$2,MND$4),Table1[],(MATCH(Calendar!$A19,DB!$1:$1,0)),FALSE),"")</f>
        <v/>
      </c>
      <c r="MNE19" s="28" t="str">
        <f>IFERROR(VLOOKUP(DATE($K$1,$K$2,MNE$4),Table1[],(MATCH(Calendar!$A19,DB!$1:$1,0)),FALSE),"")</f>
        <v/>
      </c>
      <c r="MNF19" s="28" t="str">
        <f>IFERROR(VLOOKUP(DATE($K$1,$K$2,MNF$4),Table1[],(MATCH(Calendar!$A19,DB!$1:$1,0)),FALSE),"")</f>
        <v/>
      </c>
      <c r="MNG19" s="28" t="str">
        <f>IFERROR(VLOOKUP(DATE($K$1,$K$2,MNG$4),Table1[],(MATCH(Calendar!$A19,DB!$1:$1,0)),FALSE),"")</f>
        <v/>
      </c>
      <c r="MNH19" s="28" t="str">
        <f>IFERROR(VLOOKUP(DATE($K$1,$K$2,MNH$4),Table1[],(MATCH(Calendar!$A19,DB!$1:$1,0)),FALSE),"")</f>
        <v/>
      </c>
      <c r="MNI19" s="28" t="str">
        <f>IFERROR(VLOOKUP(DATE($K$1,$K$2,MNI$4),Table1[],(MATCH(Calendar!$A19,DB!$1:$1,0)),FALSE),"")</f>
        <v/>
      </c>
      <c r="MNJ19" s="28" t="str">
        <f>IFERROR(VLOOKUP(DATE($K$1,$K$2,MNJ$4),Table1[],(MATCH(Calendar!$A19,DB!$1:$1,0)),FALSE),"")</f>
        <v/>
      </c>
      <c r="MNK19" s="28" t="str">
        <f>IFERROR(VLOOKUP(DATE($K$1,$K$2,MNK$4),Table1[],(MATCH(Calendar!$A19,DB!$1:$1,0)),FALSE),"")</f>
        <v/>
      </c>
      <c r="MNL19" s="28" t="str">
        <f>IFERROR(VLOOKUP(DATE($K$1,$K$2,MNL$4),Table1[],(MATCH(Calendar!$A19,DB!$1:$1,0)),FALSE),"")</f>
        <v/>
      </c>
      <c r="MNM19" s="28" t="str">
        <f>IFERROR(VLOOKUP(DATE($K$1,$K$2,MNM$4),Table1[],(MATCH(Calendar!$A19,DB!$1:$1,0)),FALSE),"")</f>
        <v/>
      </c>
      <c r="MNN19" s="28" t="str">
        <f>IFERROR(VLOOKUP(DATE($K$1,$K$2,MNN$4),Table1[],(MATCH(Calendar!$A19,DB!$1:$1,0)),FALSE),"")</f>
        <v/>
      </c>
      <c r="MNO19" s="28" t="str">
        <f>IFERROR(VLOOKUP(DATE($K$1,$K$2,MNO$4),Table1[],(MATCH(Calendar!$A19,DB!$1:$1,0)),FALSE),"")</f>
        <v/>
      </c>
      <c r="MNP19" s="28" t="str">
        <f>IFERROR(VLOOKUP(DATE($K$1,$K$2,MNP$4),Table1[],(MATCH(Calendar!$A19,DB!$1:$1,0)),FALSE),"")</f>
        <v/>
      </c>
      <c r="MNQ19" s="28" t="str">
        <f>IFERROR(VLOOKUP(DATE($K$1,$K$2,MNQ$4),Table1[],(MATCH(Calendar!$A19,DB!$1:$1,0)),FALSE),"")</f>
        <v/>
      </c>
      <c r="MNR19" s="28" t="str">
        <f>IFERROR(VLOOKUP(DATE($K$1,$K$2,MNR$4),Table1[],(MATCH(Calendar!$A19,DB!$1:$1,0)),FALSE),"")</f>
        <v/>
      </c>
      <c r="MNS19" s="28" t="str">
        <f>IFERROR(VLOOKUP(DATE($K$1,$K$2,MNS$4),Table1[],(MATCH(Calendar!$A19,DB!$1:$1,0)),FALSE),"")</f>
        <v/>
      </c>
      <c r="MNT19" s="28" t="str">
        <f>IFERROR(VLOOKUP(DATE($K$1,$K$2,MNT$4),Table1[],(MATCH(Calendar!$A19,DB!$1:$1,0)),FALSE),"")</f>
        <v/>
      </c>
      <c r="MNU19" s="28" t="str">
        <f>IFERROR(VLOOKUP(DATE($K$1,$K$2,MNU$4),Table1[],(MATCH(Calendar!$A19,DB!$1:$1,0)),FALSE),"")</f>
        <v/>
      </c>
      <c r="MNV19" s="28" t="str">
        <f>IFERROR(VLOOKUP(DATE($K$1,$K$2,MNV$4),Table1[],(MATCH(Calendar!$A19,DB!$1:$1,0)),FALSE),"")</f>
        <v/>
      </c>
      <c r="MNW19" s="28" t="str">
        <f>IFERROR(VLOOKUP(DATE($K$1,$K$2,MNW$4),Table1[],(MATCH(Calendar!$A19,DB!$1:$1,0)),FALSE),"")</f>
        <v/>
      </c>
      <c r="MNX19" s="28" t="str">
        <f>IFERROR(VLOOKUP(DATE($K$1,$K$2,MNX$4),Table1[],(MATCH(Calendar!$A19,DB!$1:$1,0)),FALSE),"")</f>
        <v/>
      </c>
      <c r="MNY19" s="28" t="str">
        <f>IFERROR(VLOOKUP(DATE($K$1,$K$2,MNY$4),Table1[],(MATCH(Calendar!$A19,DB!$1:$1,0)),FALSE),"")</f>
        <v/>
      </c>
      <c r="MNZ19" s="28" t="str">
        <f>IFERROR(VLOOKUP(DATE($K$1,$K$2,MNZ$4),Table1[],(MATCH(Calendar!$A19,DB!$1:$1,0)),FALSE),"")</f>
        <v/>
      </c>
      <c r="MOA19" s="28" t="str">
        <f>IFERROR(VLOOKUP(DATE($K$1,$K$2,MOA$4),Table1[],(MATCH(Calendar!$A19,DB!$1:$1,0)),FALSE),"")</f>
        <v/>
      </c>
      <c r="MOB19" s="28" t="str">
        <f>IFERROR(VLOOKUP(DATE($K$1,$K$2,MOB$4),Table1[],(MATCH(Calendar!$A19,DB!$1:$1,0)),FALSE),"")</f>
        <v/>
      </c>
      <c r="MOC19" s="28" t="str">
        <f>IFERROR(VLOOKUP(DATE($K$1,$K$2,MOC$4),Table1[],(MATCH(Calendar!$A19,DB!$1:$1,0)),FALSE),"")</f>
        <v/>
      </c>
      <c r="MOD19" s="28" t="str">
        <f>IFERROR(VLOOKUP(DATE($K$1,$K$2,MOD$4),Table1[],(MATCH(Calendar!$A19,DB!$1:$1,0)),FALSE),"")</f>
        <v/>
      </c>
      <c r="MOE19" s="28" t="str">
        <f>IFERROR(VLOOKUP(DATE($K$1,$K$2,MOE$4),Table1[],(MATCH(Calendar!$A19,DB!$1:$1,0)),FALSE),"")</f>
        <v/>
      </c>
      <c r="MOF19" s="28" t="str">
        <f>IFERROR(VLOOKUP(DATE($K$1,$K$2,MOF$4),Table1[],(MATCH(Calendar!$A19,DB!$1:$1,0)),FALSE),"")</f>
        <v/>
      </c>
      <c r="MOG19" s="28" t="str">
        <f>IFERROR(VLOOKUP(DATE($K$1,$K$2,MOG$4),Table1[],(MATCH(Calendar!$A19,DB!$1:$1,0)),FALSE),"")</f>
        <v/>
      </c>
      <c r="MOH19" s="28" t="str">
        <f>IFERROR(VLOOKUP(DATE($K$1,$K$2,MOH$4),Table1[],(MATCH(Calendar!$A19,DB!$1:$1,0)),FALSE),"")</f>
        <v/>
      </c>
      <c r="MOI19" s="28" t="str">
        <f>IFERROR(VLOOKUP(DATE($K$1,$K$2,MOI$4),Table1[],(MATCH(Calendar!$A19,DB!$1:$1,0)),FALSE),"")</f>
        <v/>
      </c>
      <c r="MOJ19" s="28" t="str">
        <f>IFERROR(VLOOKUP(DATE($K$1,$K$2,MOJ$4),Table1[],(MATCH(Calendar!$A19,DB!$1:$1,0)),FALSE),"")</f>
        <v/>
      </c>
      <c r="MOK19" s="28" t="str">
        <f>IFERROR(VLOOKUP(DATE($K$1,$K$2,MOK$4),Table1[],(MATCH(Calendar!$A19,DB!$1:$1,0)),FALSE),"")</f>
        <v/>
      </c>
      <c r="MOL19" s="28" t="str">
        <f>IFERROR(VLOOKUP(DATE($K$1,$K$2,MOL$4),Table1[],(MATCH(Calendar!$A19,DB!$1:$1,0)),FALSE),"")</f>
        <v/>
      </c>
      <c r="MOM19" s="28" t="str">
        <f>IFERROR(VLOOKUP(DATE($K$1,$K$2,MOM$4),Table1[],(MATCH(Calendar!$A19,DB!$1:$1,0)),FALSE),"")</f>
        <v/>
      </c>
      <c r="MON19" s="28" t="str">
        <f>IFERROR(VLOOKUP(DATE($K$1,$K$2,MON$4),Table1[],(MATCH(Calendar!$A19,DB!$1:$1,0)),FALSE),"")</f>
        <v/>
      </c>
      <c r="MOO19" s="28" t="str">
        <f>IFERROR(VLOOKUP(DATE($K$1,$K$2,MOO$4),Table1[],(MATCH(Calendar!$A19,DB!$1:$1,0)),FALSE),"")</f>
        <v/>
      </c>
      <c r="MOP19" s="28" t="str">
        <f>IFERROR(VLOOKUP(DATE($K$1,$K$2,MOP$4),Table1[],(MATCH(Calendar!$A19,DB!$1:$1,0)),FALSE),"")</f>
        <v/>
      </c>
      <c r="MOQ19" s="28" t="str">
        <f>IFERROR(VLOOKUP(DATE($K$1,$K$2,MOQ$4),Table1[],(MATCH(Calendar!$A19,DB!$1:$1,0)),FALSE),"")</f>
        <v/>
      </c>
      <c r="MOR19" s="28" t="str">
        <f>IFERROR(VLOOKUP(DATE($K$1,$K$2,MOR$4),Table1[],(MATCH(Calendar!$A19,DB!$1:$1,0)),FALSE),"")</f>
        <v/>
      </c>
      <c r="MOS19" s="28" t="str">
        <f>IFERROR(VLOOKUP(DATE($K$1,$K$2,MOS$4),Table1[],(MATCH(Calendar!$A19,DB!$1:$1,0)),FALSE),"")</f>
        <v/>
      </c>
      <c r="MOT19" s="28" t="str">
        <f>IFERROR(VLOOKUP(DATE($K$1,$K$2,MOT$4),Table1[],(MATCH(Calendar!$A19,DB!$1:$1,0)),FALSE),"")</f>
        <v/>
      </c>
      <c r="MOU19" s="28" t="str">
        <f>IFERROR(VLOOKUP(DATE($K$1,$K$2,MOU$4),Table1[],(MATCH(Calendar!$A19,DB!$1:$1,0)),FALSE),"")</f>
        <v/>
      </c>
      <c r="MOV19" s="28" t="str">
        <f>IFERROR(VLOOKUP(DATE($K$1,$K$2,MOV$4),Table1[],(MATCH(Calendar!$A19,DB!$1:$1,0)),FALSE),"")</f>
        <v/>
      </c>
      <c r="MOW19" s="28" t="str">
        <f>IFERROR(VLOOKUP(DATE($K$1,$K$2,MOW$4),Table1[],(MATCH(Calendar!$A19,DB!$1:$1,0)),FALSE),"")</f>
        <v/>
      </c>
      <c r="MOX19" s="28" t="str">
        <f>IFERROR(VLOOKUP(DATE($K$1,$K$2,MOX$4),Table1[],(MATCH(Calendar!$A19,DB!$1:$1,0)),FALSE),"")</f>
        <v/>
      </c>
      <c r="MOY19" s="28" t="str">
        <f>IFERROR(VLOOKUP(DATE($K$1,$K$2,MOY$4),Table1[],(MATCH(Calendar!$A19,DB!$1:$1,0)),FALSE),"")</f>
        <v/>
      </c>
      <c r="MOZ19" s="28" t="str">
        <f>IFERROR(VLOOKUP(DATE($K$1,$K$2,MOZ$4),Table1[],(MATCH(Calendar!$A19,DB!$1:$1,0)),FALSE),"")</f>
        <v/>
      </c>
      <c r="MPA19" s="28" t="str">
        <f>IFERROR(VLOOKUP(DATE($K$1,$K$2,MPA$4),Table1[],(MATCH(Calendar!$A19,DB!$1:$1,0)),FALSE),"")</f>
        <v/>
      </c>
      <c r="MPB19" s="28" t="str">
        <f>IFERROR(VLOOKUP(DATE($K$1,$K$2,MPB$4),Table1[],(MATCH(Calendar!$A19,DB!$1:$1,0)),FALSE),"")</f>
        <v/>
      </c>
      <c r="MPC19" s="28" t="str">
        <f>IFERROR(VLOOKUP(DATE($K$1,$K$2,MPC$4),Table1[],(MATCH(Calendar!$A19,DB!$1:$1,0)),FALSE),"")</f>
        <v/>
      </c>
      <c r="MPD19" s="28" t="str">
        <f>IFERROR(VLOOKUP(DATE($K$1,$K$2,MPD$4),Table1[],(MATCH(Calendar!$A19,DB!$1:$1,0)),FALSE),"")</f>
        <v/>
      </c>
      <c r="MPE19" s="28" t="str">
        <f>IFERROR(VLOOKUP(DATE($K$1,$K$2,MPE$4),Table1[],(MATCH(Calendar!$A19,DB!$1:$1,0)),FALSE),"")</f>
        <v/>
      </c>
      <c r="MPF19" s="28" t="str">
        <f>IFERROR(VLOOKUP(DATE($K$1,$K$2,MPF$4),Table1[],(MATCH(Calendar!$A19,DB!$1:$1,0)),FALSE),"")</f>
        <v/>
      </c>
      <c r="MPG19" s="28" t="str">
        <f>IFERROR(VLOOKUP(DATE($K$1,$K$2,MPG$4),Table1[],(MATCH(Calendar!$A19,DB!$1:$1,0)),FALSE),"")</f>
        <v/>
      </c>
      <c r="MPH19" s="28" t="str">
        <f>IFERROR(VLOOKUP(DATE($K$1,$K$2,MPH$4),Table1[],(MATCH(Calendar!$A19,DB!$1:$1,0)),FALSE),"")</f>
        <v/>
      </c>
      <c r="MPI19" s="28" t="str">
        <f>IFERROR(VLOOKUP(DATE($K$1,$K$2,MPI$4),Table1[],(MATCH(Calendar!$A19,DB!$1:$1,0)),FALSE),"")</f>
        <v/>
      </c>
      <c r="MPJ19" s="28" t="str">
        <f>IFERROR(VLOOKUP(DATE($K$1,$K$2,MPJ$4),Table1[],(MATCH(Calendar!$A19,DB!$1:$1,0)),FALSE),"")</f>
        <v/>
      </c>
      <c r="MPK19" s="28" t="str">
        <f>IFERROR(VLOOKUP(DATE($K$1,$K$2,MPK$4),Table1[],(MATCH(Calendar!$A19,DB!$1:$1,0)),FALSE),"")</f>
        <v/>
      </c>
      <c r="MPL19" s="28" t="str">
        <f>IFERROR(VLOOKUP(DATE($K$1,$K$2,MPL$4),Table1[],(MATCH(Calendar!$A19,DB!$1:$1,0)),FALSE),"")</f>
        <v/>
      </c>
      <c r="MPM19" s="28" t="str">
        <f>IFERROR(VLOOKUP(DATE($K$1,$K$2,MPM$4),Table1[],(MATCH(Calendar!$A19,DB!$1:$1,0)),FALSE),"")</f>
        <v/>
      </c>
      <c r="MPN19" s="28" t="str">
        <f>IFERROR(VLOOKUP(DATE($K$1,$K$2,MPN$4),Table1[],(MATCH(Calendar!$A19,DB!$1:$1,0)),FALSE),"")</f>
        <v/>
      </c>
      <c r="MPO19" s="28" t="str">
        <f>IFERROR(VLOOKUP(DATE($K$1,$K$2,MPO$4),Table1[],(MATCH(Calendar!$A19,DB!$1:$1,0)),FALSE),"")</f>
        <v/>
      </c>
      <c r="MPP19" s="28" t="str">
        <f>IFERROR(VLOOKUP(DATE($K$1,$K$2,MPP$4),Table1[],(MATCH(Calendar!$A19,DB!$1:$1,0)),FALSE),"")</f>
        <v/>
      </c>
      <c r="MPQ19" s="28" t="str">
        <f>IFERROR(VLOOKUP(DATE($K$1,$K$2,MPQ$4),Table1[],(MATCH(Calendar!$A19,DB!$1:$1,0)),FALSE),"")</f>
        <v/>
      </c>
      <c r="MPR19" s="28" t="str">
        <f>IFERROR(VLOOKUP(DATE($K$1,$K$2,MPR$4),Table1[],(MATCH(Calendar!$A19,DB!$1:$1,0)),FALSE),"")</f>
        <v/>
      </c>
      <c r="MPS19" s="28" t="str">
        <f>IFERROR(VLOOKUP(DATE($K$1,$K$2,MPS$4),Table1[],(MATCH(Calendar!$A19,DB!$1:$1,0)),FALSE),"")</f>
        <v/>
      </c>
      <c r="MPT19" s="28" t="str">
        <f>IFERROR(VLOOKUP(DATE($K$1,$K$2,MPT$4),Table1[],(MATCH(Calendar!$A19,DB!$1:$1,0)),FALSE),"")</f>
        <v/>
      </c>
      <c r="MPU19" s="28" t="str">
        <f>IFERROR(VLOOKUP(DATE($K$1,$K$2,MPU$4),Table1[],(MATCH(Calendar!$A19,DB!$1:$1,0)),FALSE),"")</f>
        <v/>
      </c>
      <c r="MPV19" s="28" t="str">
        <f>IFERROR(VLOOKUP(DATE($K$1,$K$2,MPV$4),Table1[],(MATCH(Calendar!$A19,DB!$1:$1,0)),FALSE),"")</f>
        <v/>
      </c>
      <c r="MPW19" s="28" t="str">
        <f>IFERROR(VLOOKUP(DATE($K$1,$K$2,MPW$4),Table1[],(MATCH(Calendar!$A19,DB!$1:$1,0)),FALSE),"")</f>
        <v/>
      </c>
      <c r="MPX19" s="28" t="str">
        <f>IFERROR(VLOOKUP(DATE($K$1,$K$2,MPX$4),Table1[],(MATCH(Calendar!$A19,DB!$1:$1,0)),FALSE),"")</f>
        <v/>
      </c>
      <c r="MPY19" s="28" t="str">
        <f>IFERROR(VLOOKUP(DATE($K$1,$K$2,MPY$4),Table1[],(MATCH(Calendar!$A19,DB!$1:$1,0)),FALSE),"")</f>
        <v/>
      </c>
      <c r="MPZ19" s="28" t="str">
        <f>IFERROR(VLOOKUP(DATE($K$1,$K$2,MPZ$4),Table1[],(MATCH(Calendar!$A19,DB!$1:$1,0)),FALSE),"")</f>
        <v/>
      </c>
      <c r="MQA19" s="28" t="str">
        <f>IFERROR(VLOOKUP(DATE($K$1,$K$2,MQA$4),Table1[],(MATCH(Calendar!$A19,DB!$1:$1,0)),FALSE),"")</f>
        <v/>
      </c>
      <c r="MQB19" s="28" t="str">
        <f>IFERROR(VLOOKUP(DATE($K$1,$K$2,MQB$4),Table1[],(MATCH(Calendar!$A19,DB!$1:$1,0)),FALSE),"")</f>
        <v/>
      </c>
      <c r="MQC19" s="28" t="str">
        <f>IFERROR(VLOOKUP(DATE($K$1,$K$2,MQC$4),Table1[],(MATCH(Calendar!$A19,DB!$1:$1,0)),FALSE),"")</f>
        <v/>
      </c>
      <c r="MQD19" s="28" t="str">
        <f>IFERROR(VLOOKUP(DATE($K$1,$K$2,MQD$4),Table1[],(MATCH(Calendar!$A19,DB!$1:$1,0)),FALSE),"")</f>
        <v/>
      </c>
      <c r="MQE19" s="28" t="str">
        <f>IFERROR(VLOOKUP(DATE($K$1,$K$2,MQE$4),Table1[],(MATCH(Calendar!$A19,DB!$1:$1,0)),FALSE),"")</f>
        <v/>
      </c>
      <c r="MQF19" s="28" t="str">
        <f>IFERROR(VLOOKUP(DATE($K$1,$K$2,MQF$4),Table1[],(MATCH(Calendar!$A19,DB!$1:$1,0)),FALSE),"")</f>
        <v/>
      </c>
      <c r="MQG19" s="28" t="str">
        <f>IFERROR(VLOOKUP(DATE($K$1,$K$2,MQG$4),Table1[],(MATCH(Calendar!$A19,DB!$1:$1,0)),FALSE),"")</f>
        <v/>
      </c>
      <c r="MQH19" s="28" t="str">
        <f>IFERROR(VLOOKUP(DATE($K$1,$K$2,MQH$4),Table1[],(MATCH(Calendar!$A19,DB!$1:$1,0)),FALSE),"")</f>
        <v/>
      </c>
      <c r="MQI19" s="28" t="str">
        <f>IFERROR(VLOOKUP(DATE($K$1,$K$2,MQI$4),Table1[],(MATCH(Calendar!$A19,DB!$1:$1,0)),FALSE),"")</f>
        <v/>
      </c>
      <c r="MQJ19" s="28" t="str">
        <f>IFERROR(VLOOKUP(DATE($K$1,$K$2,MQJ$4),Table1[],(MATCH(Calendar!$A19,DB!$1:$1,0)),FALSE),"")</f>
        <v/>
      </c>
      <c r="MQK19" s="28" t="str">
        <f>IFERROR(VLOOKUP(DATE($K$1,$K$2,MQK$4),Table1[],(MATCH(Calendar!$A19,DB!$1:$1,0)),FALSE),"")</f>
        <v/>
      </c>
      <c r="MQL19" s="28" t="str">
        <f>IFERROR(VLOOKUP(DATE($K$1,$K$2,MQL$4),Table1[],(MATCH(Calendar!$A19,DB!$1:$1,0)),FALSE),"")</f>
        <v/>
      </c>
      <c r="MQM19" s="28" t="str">
        <f>IFERROR(VLOOKUP(DATE($K$1,$K$2,MQM$4),Table1[],(MATCH(Calendar!$A19,DB!$1:$1,0)),FALSE),"")</f>
        <v/>
      </c>
      <c r="MQN19" s="28" t="str">
        <f>IFERROR(VLOOKUP(DATE($K$1,$K$2,MQN$4),Table1[],(MATCH(Calendar!$A19,DB!$1:$1,0)),FALSE),"")</f>
        <v/>
      </c>
      <c r="MQO19" s="28" t="str">
        <f>IFERROR(VLOOKUP(DATE($K$1,$K$2,MQO$4),Table1[],(MATCH(Calendar!$A19,DB!$1:$1,0)),FALSE),"")</f>
        <v/>
      </c>
      <c r="MQP19" s="28" t="str">
        <f>IFERROR(VLOOKUP(DATE($K$1,$K$2,MQP$4),Table1[],(MATCH(Calendar!$A19,DB!$1:$1,0)),FALSE),"")</f>
        <v/>
      </c>
      <c r="MQQ19" s="28" t="str">
        <f>IFERROR(VLOOKUP(DATE($K$1,$K$2,MQQ$4),Table1[],(MATCH(Calendar!$A19,DB!$1:$1,0)),FALSE),"")</f>
        <v/>
      </c>
      <c r="MQR19" s="28" t="str">
        <f>IFERROR(VLOOKUP(DATE($K$1,$K$2,MQR$4),Table1[],(MATCH(Calendar!$A19,DB!$1:$1,0)),FALSE),"")</f>
        <v/>
      </c>
      <c r="MQS19" s="28" t="str">
        <f>IFERROR(VLOOKUP(DATE($K$1,$K$2,MQS$4),Table1[],(MATCH(Calendar!$A19,DB!$1:$1,0)),FALSE),"")</f>
        <v/>
      </c>
      <c r="MQT19" s="28" t="str">
        <f>IFERROR(VLOOKUP(DATE($K$1,$K$2,MQT$4),Table1[],(MATCH(Calendar!$A19,DB!$1:$1,0)),FALSE),"")</f>
        <v/>
      </c>
      <c r="MQU19" s="28" t="str">
        <f>IFERROR(VLOOKUP(DATE($K$1,$K$2,MQU$4),Table1[],(MATCH(Calendar!$A19,DB!$1:$1,0)),FALSE),"")</f>
        <v/>
      </c>
      <c r="MQV19" s="28" t="str">
        <f>IFERROR(VLOOKUP(DATE($K$1,$K$2,MQV$4),Table1[],(MATCH(Calendar!$A19,DB!$1:$1,0)),FALSE),"")</f>
        <v/>
      </c>
      <c r="MQW19" s="28" t="str">
        <f>IFERROR(VLOOKUP(DATE($K$1,$K$2,MQW$4),Table1[],(MATCH(Calendar!$A19,DB!$1:$1,0)),FALSE),"")</f>
        <v/>
      </c>
      <c r="MQX19" s="28" t="str">
        <f>IFERROR(VLOOKUP(DATE($K$1,$K$2,MQX$4),Table1[],(MATCH(Calendar!$A19,DB!$1:$1,0)),FALSE),"")</f>
        <v/>
      </c>
      <c r="MQY19" s="28" t="str">
        <f>IFERROR(VLOOKUP(DATE($K$1,$K$2,MQY$4),Table1[],(MATCH(Calendar!$A19,DB!$1:$1,0)),FALSE),"")</f>
        <v/>
      </c>
      <c r="MQZ19" s="28" t="str">
        <f>IFERROR(VLOOKUP(DATE($K$1,$K$2,MQZ$4),Table1[],(MATCH(Calendar!$A19,DB!$1:$1,0)),FALSE),"")</f>
        <v/>
      </c>
      <c r="MRA19" s="28" t="str">
        <f>IFERROR(VLOOKUP(DATE($K$1,$K$2,MRA$4),Table1[],(MATCH(Calendar!$A19,DB!$1:$1,0)),FALSE),"")</f>
        <v/>
      </c>
      <c r="MRB19" s="28" t="str">
        <f>IFERROR(VLOOKUP(DATE($K$1,$K$2,MRB$4),Table1[],(MATCH(Calendar!$A19,DB!$1:$1,0)),FALSE),"")</f>
        <v/>
      </c>
      <c r="MRC19" s="28" t="str">
        <f>IFERROR(VLOOKUP(DATE($K$1,$K$2,MRC$4),Table1[],(MATCH(Calendar!$A19,DB!$1:$1,0)),FALSE),"")</f>
        <v/>
      </c>
      <c r="MRD19" s="28" t="str">
        <f>IFERROR(VLOOKUP(DATE($K$1,$K$2,MRD$4),Table1[],(MATCH(Calendar!$A19,DB!$1:$1,0)),FALSE),"")</f>
        <v/>
      </c>
      <c r="MRE19" s="28" t="str">
        <f>IFERROR(VLOOKUP(DATE($K$1,$K$2,MRE$4),Table1[],(MATCH(Calendar!$A19,DB!$1:$1,0)),FALSE),"")</f>
        <v/>
      </c>
      <c r="MRF19" s="28" t="str">
        <f>IFERROR(VLOOKUP(DATE($K$1,$K$2,MRF$4),Table1[],(MATCH(Calendar!$A19,DB!$1:$1,0)),FALSE),"")</f>
        <v/>
      </c>
      <c r="MRG19" s="28" t="str">
        <f>IFERROR(VLOOKUP(DATE($K$1,$K$2,MRG$4),Table1[],(MATCH(Calendar!$A19,DB!$1:$1,0)),FALSE),"")</f>
        <v/>
      </c>
      <c r="MRH19" s="28" t="str">
        <f>IFERROR(VLOOKUP(DATE($K$1,$K$2,MRH$4),Table1[],(MATCH(Calendar!$A19,DB!$1:$1,0)),FALSE),"")</f>
        <v/>
      </c>
      <c r="MRI19" s="28" t="str">
        <f>IFERROR(VLOOKUP(DATE($K$1,$K$2,MRI$4),Table1[],(MATCH(Calendar!$A19,DB!$1:$1,0)),FALSE),"")</f>
        <v/>
      </c>
      <c r="MRJ19" s="28" t="str">
        <f>IFERROR(VLOOKUP(DATE($K$1,$K$2,MRJ$4),Table1[],(MATCH(Calendar!$A19,DB!$1:$1,0)),FALSE),"")</f>
        <v/>
      </c>
      <c r="MRK19" s="28" t="str">
        <f>IFERROR(VLOOKUP(DATE($K$1,$K$2,MRK$4),Table1[],(MATCH(Calendar!$A19,DB!$1:$1,0)),FALSE),"")</f>
        <v/>
      </c>
      <c r="MRL19" s="28" t="str">
        <f>IFERROR(VLOOKUP(DATE($K$1,$K$2,MRL$4),Table1[],(MATCH(Calendar!$A19,DB!$1:$1,0)),FALSE),"")</f>
        <v/>
      </c>
      <c r="MRM19" s="28" t="str">
        <f>IFERROR(VLOOKUP(DATE($K$1,$K$2,MRM$4),Table1[],(MATCH(Calendar!$A19,DB!$1:$1,0)),FALSE),"")</f>
        <v/>
      </c>
      <c r="MRN19" s="28" t="str">
        <f>IFERROR(VLOOKUP(DATE($K$1,$K$2,MRN$4),Table1[],(MATCH(Calendar!$A19,DB!$1:$1,0)),FALSE),"")</f>
        <v/>
      </c>
      <c r="MRO19" s="28" t="str">
        <f>IFERROR(VLOOKUP(DATE($K$1,$K$2,MRO$4),Table1[],(MATCH(Calendar!$A19,DB!$1:$1,0)),FALSE),"")</f>
        <v/>
      </c>
      <c r="MRP19" s="28" t="str">
        <f>IFERROR(VLOOKUP(DATE($K$1,$K$2,MRP$4),Table1[],(MATCH(Calendar!$A19,DB!$1:$1,0)),FALSE),"")</f>
        <v/>
      </c>
      <c r="MRQ19" s="28" t="str">
        <f>IFERROR(VLOOKUP(DATE($K$1,$K$2,MRQ$4),Table1[],(MATCH(Calendar!$A19,DB!$1:$1,0)),FALSE),"")</f>
        <v/>
      </c>
      <c r="MRR19" s="28" t="str">
        <f>IFERROR(VLOOKUP(DATE($K$1,$K$2,MRR$4),Table1[],(MATCH(Calendar!$A19,DB!$1:$1,0)),FALSE),"")</f>
        <v/>
      </c>
      <c r="MRS19" s="28" t="str">
        <f>IFERROR(VLOOKUP(DATE($K$1,$K$2,MRS$4),Table1[],(MATCH(Calendar!$A19,DB!$1:$1,0)),FALSE),"")</f>
        <v/>
      </c>
      <c r="MRT19" s="28" t="str">
        <f>IFERROR(VLOOKUP(DATE($K$1,$K$2,MRT$4),Table1[],(MATCH(Calendar!$A19,DB!$1:$1,0)),FALSE),"")</f>
        <v/>
      </c>
      <c r="MRU19" s="28" t="str">
        <f>IFERROR(VLOOKUP(DATE($K$1,$K$2,MRU$4),Table1[],(MATCH(Calendar!$A19,DB!$1:$1,0)),FALSE),"")</f>
        <v/>
      </c>
      <c r="MRV19" s="28" t="str">
        <f>IFERROR(VLOOKUP(DATE($K$1,$K$2,MRV$4),Table1[],(MATCH(Calendar!$A19,DB!$1:$1,0)),FALSE),"")</f>
        <v/>
      </c>
      <c r="MRW19" s="28" t="str">
        <f>IFERROR(VLOOKUP(DATE($K$1,$K$2,MRW$4),Table1[],(MATCH(Calendar!$A19,DB!$1:$1,0)),FALSE),"")</f>
        <v/>
      </c>
      <c r="MRX19" s="28" t="str">
        <f>IFERROR(VLOOKUP(DATE($K$1,$K$2,MRX$4),Table1[],(MATCH(Calendar!$A19,DB!$1:$1,0)),FALSE),"")</f>
        <v/>
      </c>
      <c r="MRY19" s="28" t="str">
        <f>IFERROR(VLOOKUP(DATE($K$1,$K$2,MRY$4),Table1[],(MATCH(Calendar!$A19,DB!$1:$1,0)),FALSE),"")</f>
        <v/>
      </c>
      <c r="MRZ19" s="28" t="str">
        <f>IFERROR(VLOOKUP(DATE($K$1,$K$2,MRZ$4),Table1[],(MATCH(Calendar!$A19,DB!$1:$1,0)),FALSE),"")</f>
        <v/>
      </c>
      <c r="MSA19" s="28" t="str">
        <f>IFERROR(VLOOKUP(DATE($K$1,$K$2,MSA$4),Table1[],(MATCH(Calendar!$A19,DB!$1:$1,0)),FALSE),"")</f>
        <v/>
      </c>
      <c r="MSB19" s="28" t="str">
        <f>IFERROR(VLOOKUP(DATE($K$1,$K$2,MSB$4),Table1[],(MATCH(Calendar!$A19,DB!$1:$1,0)),FALSE),"")</f>
        <v/>
      </c>
      <c r="MSC19" s="28" t="str">
        <f>IFERROR(VLOOKUP(DATE($K$1,$K$2,MSC$4),Table1[],(MATCH(Calendar!$A19,DB!$1:$1,0)),FALSE),"")</f>
        <v/>
      </c>
      <c r="MSD19" s="28" t="str">
        <f>IFERROR(VLOOKUP(DATE($K$1,$K$2,MSD$4),Table1[],(MATCH(Calendar!$A19,DB!$1:$1,0)),FALSE),"")</f>
        <v/>
      </c>
      <c r="MSE19" s="28" t="str">
        <f>IFERROR(VLOOKUP(DATE($K$1,$K$2,MSE$4),Table1[],(MATCH(Calendar!$A19,DB!$1:$1,0)),FALSE),"")</f>
        <v/>
      </c>
      <c r="MSF19" s="28" t="str">
        <f>IFERROR(VLOOKUP(DATE($K$1,$K$2,MSF$4),Table1[],(MATCH(Calendar!$A19,DB!$1:$1,0)),FALSE),"")</f>
        <v/>
      </c>
      <c r="MSG19" s="28" t="str">
        <f>IFERROR(VLOOKUP(DATE($K$1,$K$2,MSG$4),Table1[],(MATCH(Calendar!$A19,DB!$1:$1,0)),FALSE),"")</f>
        <v/>
      </c>
      <c r="MSH19" s="28" t="str">
        <f>IFERROR(VLOOKUP(DATE($K$1,$K$2,MSH$4),Table1[],(MATCH(Calendar!$A19,DB!$1:$1,0)),FALSE),"")</f>
        <v/>
      </c>
      <c r="MSI19" s="28" t="str">
        <f>IFERROR(VLOOKUP(DATE($K$1,$K$2,MSI$4),Table1[],(MATCH(Calendar!$A19,DB!$1:$1,0)),FALSE),"")</f>
        <v/>
      </c>
      <c r="MSJ19" s="28" t="str">
        <f>IFERROR(VLOOKUP(DATE($K$1,$K$2,MSJ$4),Table1[],(MATCH(Calendar!$A19,DB!$1:$1,0)),FALSE),"")</f>
        <v/>
      </c>
      <c r="MSK19" s="28" t="str">
        <f>IFERROR(VLOOKUP(DATE($K$1,$K$2,MSK$4),Table1[],(MATCH(Calendar!$A19,DB!$1:$1,0)),FALSE),"")</f>
        <v/>
      </c>
      <c r="MSL19" s="28" t="str">
        <f>IFERROR(VLOOKUP(DATE($K$1,$K$2,MSL$4),Table1[],(MATCH(Calendar!$A19,DB!$1:$1,0)),FALSE),"")</f>
        <v/>
      </c>
      <c r="MSM19" s="28" t="str">
        <f>IFERROR(VLOOKUP(DATE($K$1,$K$2,MSM$4),Table1[],(MATCH(Calendar!$A19,DB!$1:$1,0)),FALSE),"")</f>
        <v/>
      </c>
      <c r="MSN19" s="28" t="str">
        <f>IFERROR(VLOOKUP(DATE($K$1,$K$2,MSN$4),Table1[],(MATCH(Calendar!$A19,DB!$1:$1,0)),FALSE),"")</f>
        <v/>
      </c>
      <c r="MSO19" s="28" t="str">
        <f>IFERROR(VLOOKUP(DATE($K$1,$K$2,MSO$4),Table1[],(MATCH(Calendar!$A19,DB!$1:$1,0)),FALSE),"")</f>
        <v/>
      </c>
      <c r="MSP19" s="28" t="str">
        <f>IFERROR(VLOOKUP(DATE($K$1,$K$2,MSP$4),Table1[],(MATCH(Calendar!$A19,DB!$1:$1,0)),FALSE),"")</f>
        <v/>
      </c>
      <c r="MSQ19" s="28" t="str">
        <f>IFERROR(VLOOKUP(DATE($K$1,$K$2,MSQ$4),Table1[],(MATCH(Calendar!$A19,DB!$1:$1,0)),FALSE),"")</f>
        <v/>
      </c>
      <c r="MSR19" s="28" t="str">
        <f>IFERROR(VLOOKUP(DATE($K$1,$K$2,MSR$4),Table1[],(MATCH(Calendar!$A19,DB!$1:$1,0)),FALSE),"")</f>
        <v/>
      </c>
      <c r="MSS19" s="28" t="str">
        <f>IFERROR(VLOOKUP(DATE($K$1,$K$2,MSS$4),Table1[],(MATCH(Calendar!$A19,DB!$1:$1,0)),FALSE),"")</f>
        <v/>
      </c>
      <c r="MST19" s="28" t="str">
        <f>IFERROR(VLOOKUP(DATE($K$1,$K$2,MST$4),Table1[],(MATCH(Calendar!$A19,DB!$1:$1,0)),FALSE),"")</f>
        <v/>
      </c>
      <c r="MSU19" s="28" t="str">
        <f>IFERROR(VLOOKUP(DATE($K$1,$K$2,MSU$4),Table1[],(MATCH(Calendar!$A19,DB!$1:$1,0)),FALSE),"")</f>
        <v/>
      </c>
      <c r="MSV19" s="28" t="str">
        <f>IFERROR(VLOOKUP(DATE($K$1,$K$2,MSV$4),Table1[],(MATCH(Calendar!$A19,DB!$1:$1,0)),FALSE),"")</f>
        <v/>
      </c>
      <c r="MSW19" s="28" t="str">
        <f>IFERROR(VLOOKUP(DATE($K$1,$K$2,MSW$4),Table1[],(MATCH(Calendar!$A19,DB!$1:$1,0)),FALSE),"")</f>
        <v/>
      </c>
      <c r="MSX19" s="28" t="str">
        <f>IFERROR(VLOOKUP(DATE($K$1,$K$2,MSX$4),Table1[],(MATCH(Calendar!$A19,DB!$1:$1,0)),FALSE),"")</f>
        <v/>
      </c>
      <c r="MSY19" s="28" t="str">
        <f>IFERROR(VLOOKUP(DATE($K$1,$K$2,MSY$4),Table1[],(MATCH(Calendar!$A19,DB!$1:$1,0)),FALSE),"")</f>
        <v/>
      </c>
      <c r="MSZ19" s="28" t="str">
        <f>IFERROR(VLOOKUP(DATE($K$1,$K$2,MSZ$4),Table1[],(MATCH(Calendar!$A19,DB!$1:$1,0)),FALSE),"")</f>
        <v/>
      </c>
      <c r="MTA19" s="28" t="str">
        <f>IFERROR(VLOOKUP(DATE($K$1,$K$2,MTA$4),Table1[],(MATCH(Calendar!$A19,DB!$1:$1,0)),FALSE),"")</f>
        <v/>
      </c>
      <c r="MTB19" s="28" t="str">
        <f>IFERROR(VLOOKUP(DATE($K$1,$K$2,MTB$4),Table1[],(MATCH(Calendar!$A19,DB!$1:$1,0)),FALSE),"")</f>
        <v/>
      </c>
      <c r="MTC19" s="28" t="str">
        <f>IFERROR(VLOOKUP(DATE($K$1,$K$2,MTC$4),Table1[],(MATCH(Calendar!$A19,DB!$1:$1,0)),FALSE),"")</f>
        <v/>
      </c>
      <c r="MTD19" s="28" t="str">
        <f>IFERROR(VLOOKUP(DATE($K$1,$K$2,MTD$4),Table1[],(MATCH(Calendar!$A19,DB!$1:$1,0)),FALSE),"")</f>
        <v/>
      </c>
      <c r="MTE19" s="28" t="str">
        <f>IFERROR(VLOOKUP(DATE($K$1,$K$2,MTE$4),Table1[],(MATCH(Calendar!$A19,DB!$1:$1,0)),FALSE),"")</f>
        <v/>
      </c>
      <c r="MTF19" s="28" t="str">
        <f>IFERROR(VLOOKUP(DATE($K$1,$K$2,MTF$4),Table1[],(MATCH(Calendar!$A19,DB!$1:$1,0)),FALSE),"")</f>
        <v/>
      </c>
      <c r="MTG19" s="28" t="str">
        <f>IFERROR(VLOOKUP(DATE($K$1,$K$2,MTG$4),Table1[],(MATCH(Calendar!$A19,DB!$1:$1,0)),FALSE),"")</f>
        <v/>
      </c>
      <c r="MTH19" s="28" t="str">
        <f>IFERROR(VLOOKUP(DATE($K$1,$K$2,MTH$4),Table1[],(MATCH(Calendar!$A19,DB!$1:$1,0)),FALSE),"")</f>
        <v/>
      </c>
      <c r="MTI19" s="28" t="str">
        <f>IFERROR(VLOOKUP(DATE($K$1,$K$2,MTI$4),Table1[],(MATCH(Calendar!$A19,DB!$1:$1,0)),FALSE),"")</f>
        <v/>
      </c>
      <c r="MTJ19" s="28" t="str">
        <f>IFERROR(VLOOKUP(DATE($K$1,$K$2,MTJ$4),Table1[],(MATCH(Calendar!$A19,DB!$1:$1,0)),FALSE),"")</f>
        <v/>
      </c>
      <c r="MTK19" s="28" t="str">
        <f>IFERROR(VLOOKUP(DATE($K$1,$K$2,MTK$4),Table1[],(MATCH(Calendar!$A19,DB!$1:$1,0)),FALSE),"")</f>
        <v/>
      </c>
      <c r="MTL19" s="28" t="str">
        <f>IFERROR(VLOOKUP(DATE($K$1,$K$2,MTL$4),Table1[],(MATCH(Calendar!$A19,DB!$1:$1,0)),FALSE),"")</f>
        <v/>
      </c>
      <c r="MTM19" s="28" t="str">
        <f>IFERROR(VLOOKUP(DATE($K$1,$K$2,MTM$4),Table1[],(MATCH(Calendar!$A19,DB!$1:$1,0)),FALSE),"")</f>
        <v/>
      </c>
      <c r="MTN19" s="28" t="str">
        <f>IFERROR(VLOOKUP(DATE($K$1,$K$2,MTN$4),Table1[],(MATCH(Calendar!$A19,DB!$1:$1,0)),FALSE),"")</f>
        <v/>
      </c>
      <c r="MTO19" s="28" t="str">
        <f>IFERROR(VLOOKUP(DATE($K$1,$K$2,MTO$4),Table1[],(MATCH(Calendar!$A19,DB!$1:$1,0)),FALSE),"")</f>
        <v/>
      </c>
      <c r="MTP19" s="28" t="str">
        <f>IFERROR(VLOOKUP(DATE($K$1,$K$2,MTP$4),Table1[],(MATCH(Calendar!$A19,DB!$1:$1,0)),FALSE),"")</f>
        <v/>
      </c>
      <c r="MTQ19" s="28" t="str">
        <f>IFERROR(VLOOKUP(DATE($K$1,$K$2,MTQ$4),Table1[],(MATCH(Calendar!$A19,DB!$1:$1,0)),FALSE),"")</f>
        <v/>
      </c>
      <c r="MTR19" s="28" t="str">
        <f>IFERROR(VLOOKUP(DATE($K$1,$K$2,MTR$4),Table1[],(MATCH(Calendar!$A19,DB!$1:$1,0)),FALSE),"")</f>
        <v/>
      </c>
      <c r="MTS19" s="28" t="str">
        <f>IFERROR(VLOOKUP(DATE($K$1,$K$2,MTS$4),Table1[],(MATCH(Calendar!$A19,DB!$1:$1,0)),FALSE),"")</f>
        <v/>
      </c>
      <c r="MTT19" s="28" t="str">
        <f>IFERROR(VLOOKUP(DATE($K$1,$K$2,MTT$4),Table1[],(MATCH(Calendar!$A19,DB!$1:$1,0)),FALSE),"")</f>
        <v/>
      </c>
      <c r="MTU19" s="28" t="str">
        <f>IFERROR(VLOOKUP(DATE($K$1,$K$2,MTU$4),Table1[],(MATCH(Calendar!$A19,DB!$1:$1,0)),FALSE),"")</f>
        <v/>
      </c>
      <c r="MTV19" s="28" t="str">
        <f>IFERROR(VLOOKUP(DATE($K$1,$K$2,MTV$4),Table1[],(MATCH(Calendar!$A19,DB!$1:$1,0)),FALSE),"")</f>
        <v/>
      </c>
      <c r="MTW19" s="28" t="str">
        <f>IFERROR(VLOOKUP(DATE($K$1,$K$2,MTW$4),Table1[],(MATCH(Calendar!$A19,DB!$1:$1,0)),FALSE),"")</f>
        <v/>
      </c>
      <c r="MTX19" s="28" t="str">
        <f>IFERROR(VLOOKUP(DATE($K$1,$K$2,MTX$4),Table1[],(MATCH(Calendar!$A19,DB!$1:$1,0)),FALSE),"")</f>
        <v/>
      </c>
      <c r="MTY19" s="28" t="str">
        <f>IFERROR(VLOOKUP(DATE($K$1,$K$2,MTY$4),Table1[],(MATCH(Calendar!$A19,DB!$1:$1,0)),FALSE),"")</f>
        <v/>
      </c>
      <c r="MTZ19" s="28" t="str">
        <f>IFERROR(VLOOKUP(DATE($K$1,$K$2,MTZ$4),Table1[],(MATCH(Calendar!$A19,DB!$1:$1,0)),FALSE),"")</f>
        <v/>
      </c>
      <c r="MUA19" s="28" t="str">
        <f>IFERROR(VLOOKUP(DATE($K$1,$K$2,MUA$4),Table1[],(MATCH(Calendar!$A19,DB!$1:$1,0)),FALSE),"")</f>
        <v/>
      </c>
      <c r="MUB19" s="28" t="str">
        <f>IFERROR(VLOOKUP(DATE($K$1,$K$2,MUB$4),Table1[],(MATCH(Calendar!$A19,DB!$1:$1,0)),FALSE),"")</f>
        <v/>
      </c>
      <c r="MUC19" s="28" t="str">
        <f>IFERROR(VLOOKUP(DATE($K$1,$K$2,MUC$4),Table1[],(MATCH(Calendar!$A19,DB!$1:$1,0)),FALSE),"")</f>
        <v/>
      </c>
      <c r="MUD19" s="28" t="str">
        <f>IFERROR(VLOOKUP(DATE($K$1,$K$2,MUD$4),Table1[],(MATCH(Calendar!$A19,DB!$1:$1,0)),FALSE),"")</f>
        <v/>
      </c>
      <c r="MUE19" s="28" t="str">
        <f>IFERROR(VLOOKUP(DATE($K$1,$K$2,MUE$4),Table1[],(MATCH(Calendar!$A19,DB!$1:$1,0)),FALSE),"")</f>
        <v/>
      </c>
      <c r="MUF19" s="28" t="str">
        <f>IFERROR(VLOOKUP(DATE($K$1,$K$2,MUF$4),Table1[],(MATCH(Calendar!$A19,DB!$1:$1,0)),FALSE),"")</f>
        <v/>
      </c>
      <c r="MUG19" s="28" t="str">
        <f>IFERROR(VLOOKUP(DATE($K$1,$K$2,MUG$4),Table1[],(MATCH(Calendar!$A19,DB!$1:$1,0)),FALSE),"")</f>
        <v/>
      </c>
      <c r="MUH19" s="28" t="str">
        <f>IFERROR(VLOOKUP(DATE($K$1,$K$2,MUH$4),Table1[],(MATCH(Calendar!$A19,DB!$1:$1,0)),FALSE),"")</f>
        <v/>
      </c>
      <c r="MUI19" s="28" t="str">
        <f>IFERROR(VLOOKUP(DATE($K$1,$K$2,MUI$4),Table1[],(MATCH(Calendar!$A19,DB!$1:$1,0)),FALSE),"")</f>
        <v/>
      </c>
      <c r="MUJ19" s="28" t="str">
        <f>IFERROR(VLOOKUP(DATE($K$1,$K$2,MUJ$4),Table1[],(MATCH(Calendar!$A19,DB!$1:$1,0)),FALSE),"")</f>
        <v/>
      </c>
      <c r="MUK19" s="28" t="str">
        <f>IFERROR(VLOOKUP(DATE($K$1,$K$2,MUK$4),Table1[],(MATCH(Calendar!$A19,DB!$1:$1,0)),FALSE),"")</f>
        <v/>
      </c>
      <c r="MUL19" s="28" t="str">
        <f>IFERROR(VLOOKUP(DATE($K$1,$K$2,MUL$4),Table1[],(MATCH(Calendar!$A19,DB!$1:$1,0)),FALSE),"")</f>
        <v/>
      </c>
      <c r="MUM19" s="28" t="str">
        <f>IFERROR(VLOOKUP(DATE($K$1,$K$2,MUM$4),Table1[],(MATCH(Calendar!$A19,DB!$1:$1,0)),FALSE),"")</f>
        <v/>
      </c>
      <c r="MUN19" s="28" t="str">
        <f>IFERROR(VLOOKUP(DATE($K$1,$K$2,MUN$4),Table1[],(MATCH(Calendar!$A19,DB!$1:$1,0)),FALSE),"")</f>
        <v/>
      </c>
      <c r="MUO19" s="28" t="str">
        <f>IFERROR(VLOOKUP(DATE($K$1,$K$2,MUO$4),Table1[],(MATCH(Calendar!$A19,DB!$1:$1,0)),FALSE),"")</f>
        <v/>
      </c>
      <c r="MUP19" s="28" t="str">
        <f>IFERROR(VLOOKUP(DATE($K$1,$K$2,MUP$4),Table1[],(MATCH(Calendar!$A19,DB!$1:$1,0)),FALSE),"")</f>
        <v/>
      </c>
      <c r="MUQ19" s="28" t="str">
        <f>IFERROR(VLOOKUP(DATE($K$1,$K$2,MUQ$4),Table1[],(MATCH(Calendar!$A19,DB!$1:$1,0)),FALSE),"")</f>
        <v/>
      </c>
      <c r="MUR19" s="28" t="str">
        <f>IFERROR(VLOOKUP(DATE($K$1,$K$2,MUR$4),Table1[],(MATCH(Calendar!$A19,DB!$1:$1,0)),FALSE),"")</f>
        <v/>
      </c>
      <c r="MUS19" s="28" t="str">
        <f>IFERROR(VLOOKUP(DATE($K$1,$K$2,MUS$4),Table1[],(MATCH(Calendar!$A19,DB!$1:$1,0)),FALSE),"")</f>
        <v/>
      </c>
      <c r="MUT19" s="28" t="str">
        <f>IFERROR(VLOOKUP(DATE($K$1,$K$2,MUT$4),Table1[],(MATCH(Calendar!$A19,DB!$1:$1,0)),FALSE),"")</f>
        <v/>
      </c>
      <c r="MUU19" s="28" t="str">
        <f>IFERROR(VLOOKUP(DATE($K$1,$K$2,MUU$4),Table1[],(MATCH(Calendar!$A19,DB!$1:$1,0)),FALSE),"")</f>
        <v/>
      </c>
      <c r="MUV19" s="28" t="str">
        <f>IFERROR(VLOOKUP(DATE($K$1,$K$2,MUV$4),Table1[],(MATCH(Calendar!$A19,DB!$1:$1,0)),FALSE),"")</f>
        <v/>
      </c>
      <c r="MUW19" s="28" t="str">
        <f>IFERROR(VLOOKUP(DATE($K$1,$K$2,MUW$4),Table1[],(MATCH(Calendar!$A19,DB!$1:$1,0)),FALSE),"")</f>
        <v/>
      </c>
      <c r="MUX19" s="28" t="str">
        <f>IFERROR(VLOOKUP(DATE($K$1,$K$2,MUX$4),Table1[],(MATCH(Calendar!$A19,DB!$1:$1,0)),FALSE),"")</f>
        <v/>
      </c>
      <c r="MUY19" s="28" t="str">
        <f>IFERROR(VLOOKUP(DATE($K$1,$K$2,MUY$4),Table1[],(MATCH(Calendar!$A19,DB!$1:$1,0)),FALSE),"")</f>
        <v/>
      </c>
      <c r="MUZ19" s="28" t="str">
        <f>IFERROR(VLOOKUP(DATE($K$1,$K$2,MUZ$4),Table1[],(MATCH(Calendar!$A19,DB!$1:$1,0)),FALSE),"")</f>
        <v/>
      </c>
      <c r="MVA19" s="28" t="str">
        <f>IFERROR(VLOOKUP(DATE($K$1,$K$2,MVA$4),Table1[],(MATCH(Calendar!$A19,DB!$1:$1,0)),FALSE),"")</f>
        <v/>
      </c>
      <c r="MVB19" s="28" t="str">
        <f>IFERROR(VLOOKUP(DATE($K$1,$K$2,MVB$4),Table1[],(MATCH(Calendar!$A19,DB!$1:$1,0)),FALSE),"")</f>
        <v/>
      </c>
      <c r="MVC19" s="28" t="str">
        <f>IFERROR(VLOOKUP(DATE($K$1,$K$2,MVC$4),Table1[],(MATCH(Calendar!$A19,DB!$1:$1,0)),FALSE),"")</f>
        <v/>
      </c>
      <c r="MVD19" s="28" t="str">
        <f>IFERROR(VLOOKUP(DATE($K$1,$K$2,MVD$4),Table1[],(MATCH(Calendar!$A19,DB!$1:$1,0)),FALSE),"")</f>
        <v/>
      </c>
      <c r="MVE19" s="28" t="str">
        <f>IFERROR(VLOOKUP(DATE($K$1,$K$2,MVE$4),Table1[],(MATCH(Calendar!$A19,DB!$1:$1,0)),FALSE),"")</f>
        <v/>
      </c>
      <c r="MVF19" s="28" t="str">
        <f>IFERROR(VLOOKUP(DATE($K$1,$K$2,MVF$4),Table1[],(MATCH(Calendar!$A19,DB!$1:$1,0)),FALSE),"")</f>
        <v/>
      </c>
      <c r="MVG19" s="28" t="str">
        <f>IFERROR(VLOOKUP(DATE($K$1,$K$2,MVG$4),Table1[],(MATCH(Calendar!$A19,DB!$1:$1,0)),FALSE),"")</f>
        <v/>
      </c>
      <c r="MVH19" s="28" t="str">
        <f>IFERROR(VLOOKUP(DATE($K$1,$K$2,MVH$4),Table1[],(MATCH(Calendar!$A19,DB!$1:$1,0)),FALSE),"")</f>
        <v/>
      </c>
      <c r="MVI19" s="28" t="str">
        <f>IFERROR(VLOOKUP(DATE($K$1,$K$2,MVI$4),Table1[],(MATCH(Calendar!$A19,DB!$1:$1,0)),FALSE),"")</f>
        <v/>
      </c>
      <c r="MVJ19" s="28" t="str">
        <f>IFERROR(VLOOKUP(DATE($K$1,$K$2,MVJ$4),Table1[],(MATCH(Calendar!$A19,DB!$1:$1,0)),FALSE),"")</f>
        <v/>
      </c>
      <c r="MVK19" s="28" t="str">
        <f>IFERROR(VLOOKUP(DATE($K$1,$K$2,MVK$4),Table1[],(MATCH(Calendar!$A19,DB!$1:$1,0)),FALSE),"")</f>
        <v/>
      </c>
      <c r="MVL19" s="28" t="str">
        <f>IFERROR(VLOOKUP(DATE($K$1,$K$2,MVL$4),Table1[],(MATCH(Calendar!$A19,DB!$1:$1,0)),FALSE),"")</f>
        <v/>
      </c>
      <c r="MVM19" s="28" t="str">
        <f>IFERROR(VLOOKUP(DATE($K$1,$K$2,MVM$4),Table1[],(MATCH(Calendar!$A19,DB!$1:$1,0)),FALSE),"")</f>
        <v/>
      </c>
      <c r="MVN19" s="28" t="str">
        <f>IFERROR(VLOOKUP(DATE($K$1,$K$2,MVN$4),Table1[],(MATCH(Calendar!$A19,DB!$1:$1,0)),FALSE),"")</f>
        <v/>
      </c>
      <c r="MVO19" s="28" t="str">
        <f>IFERROR(VLOOKUP(DATE($K$1,$K$2,MVO$4),Table1[],(MATCH(Calendar!$A19,DB!$1:$1,0)),FALSE),"")</f>
        <v/>
      </c>
      <c r="MVP19" s="28" t="str">
        <f>IFERROR(VLOOKUP(DATE($K$1,$K$2,MVP$4),Table1[],(MATCH(Calendar!$A19,DB!$1:$1,0)),FALSE),"")</f>
        <v/>
      </c>
      <c r="MVQ19" s="28" t="str">
        <f>IFERROR(VLOOKUP(DATE($K$1,$K$2,MVQ$4),Table1[],(MATCH(Calendar!$A19,DB!$1:$1,0)),FALSE),"")</f>
        <v/>
      </c>
      <c r="MVR19" s="28" t="str">
        <f>IFERROR(VLOOKUP(DATE($K$1,$K$2,MVR$4),Table1[],(MATCH(Calendar!$A19,DB!$1:$1,0)),FALSE),"")</f>
        <v/>
      </c>
      <c r="MVS19" s="28" t="str">
        <f>IFERROR(VLOOKUP(DATE($K$1,$K$2,MVS$4),Table1[],(MATCH(Calendar!$A19,DB!$1:$1,0)),FALSE),"")</f>
        <v/>
      </c>
      <c r="MVT19" s="28" t="str">
        <f>IFERROR(VLOOKUP(DATE($K$1,$K$2,MVT$4),Table1[],(MATCH(Calendar!$A19,DB!$1:$1,0)),FALSE),"")</f>
        <v/>
      </c>
      <c r="MVU19" s="28" t="str">
        <f>IFERROR(VLOOKUP(DATE($K$1,$K$2,MVU$4),Table1[],(MATCH(Calendar!$A19,DB!$1:$1,0)),FALSE),"")</f>
        <v/>
      </c>
      <c r="MVV19" s="28" t="str">
        <f>IFERROR(VLOOKUP(DATE($K$1,$K$2,MVV$4),Table1[],(MATCH(Calendar!$A19,DB!$1:$1,0)),FALSE),"")</f>
        <v/>
      </c>
      <c r="MVW19" s="28" t="str">
        <f>IFERROR(VLOOKUP(DATE($K$1,$K$2,MVW$4),Table1[],(MATCH(Calendar!$A19,DB!$1:$1,0)),FALSE),"")</f>
        <v/>
      </c>
      <c r="MVX19" s="28" t="str">
        <f>IFERROR(VLOOKUP(DATE($K$1,$K$2,MVX$4),Table1[],(MATCH(Calendar!$A19,DB!$1:$1,0)),FALSE),"")</f>
        <v/>
      </c>
      <c r="MVY19" s="28" t="str">
        <f>IFERROR(VLOOKUP(DATE($K$1,$K$2,MVY$4),Table1[],(MATCH(Calendar!$A19,DB!$1:$1,0)),FALSE),"")</f>
        <v/>
      </c>
      <c r="MVZ19" s="28" t="str">
        <f>IFERROR(VLOOKUP(DATE($K$1,$K$2,MVZ$4),Table1[],(MATCH(Calendar!$A19,DB!$1:$1,0)),FALSE),"")</f>
        <v/>
      </c>
      <c r="MWA19" s="28" t="str">
        <f>IFERROR(VLOOKUP(DATE($K$1,$K$2,MWA$4),Table1[],(MATCH(Calendar!$A19,DB!$1:$1,0)),FALSE),"")</f>
        <v/>
      </c>
      <c r="MWB19" s="28" t="str">
        <f>IFERROR(VLOOKUP(DATE($K$1,$K$2,MWB$4),Table1[],(MATCH(Calendar!$A19,DB!$1:$1,0)),FALSE),"")</f>
        <v/>
      </c>
      <c r="MWC19" s="28" t="str">
        <f>IFERROR(VLOOKUP(DATE($K$1,$K$2,MWC$4),Table1[],(MATCH(Calendar!$A19,DB!$1:$1,0)),FALSE),"")</f>
        <v/>
      </c>
      <c r="MWD19" s="28" t="str">
        <f>IFERROR(VLOOKUP(DATE($K$1,$K$2,MWD$4),Table1[],(MATCH(Calendar!$A19,DB!$1:$1,0)),FALSE),"")</f>
        <v/>
      </c>
      <c r="MWE19" s="28" t="str">
        <f>IFERROR(VLOOKUP(DATE($K$1,$K$2,MWE$4),Table1[],(MATCH(Calendar!$A19,DB!$1:$1,0)),FALSE),"")</f>
        <v/>
      </c>
      <c r="MWF19" s="28" t="str">
        <f>IFERROR(VLOOKUP(DATE($K$1,$K$2,MWF$4),Table1[],(MATCH(Calendar!$A19,DB!$1:$1,0)),FALSE),"")</f>
        <v/>
      </c>
      <c r="MWG19" s="28" t="str">
        <f>IFERROR(VLOOKUP(DATE($K$1,$K$2,MWG$4),Table1[],(MATCH(Calendar!$A19,DB!$1:$1,0)),FALSE),"")</f>
        <v/>
      </c>
      <c r="MWH19" s="28" t="str">
        <f>IFERROR(VLOOKUP(DATE($K$1,$K$2,MWH$4),Table1[],(MATCH(Calendar!$A19,DB!$1:$1,0)),FALSE),"")</f>
        <v/>
      </c>
      <c r="MWI19" s="28" t="str">
        <f>IFERROR(VLOOKUP(DATE($K$1,$K$2,MWI$4),Table1[],(MATCH(Calendar!$A19,DB!$1:$1,0)),FALSE),"")</f>
        <v/>
      </c>
      <c r="MWJ19" s="28" t="str">
        <f>IFERROR(VLOOKUP(DATE($K$1,$K$2,MWJ$4),Table1[],(MATCH(Calendar!$A19,DB!$1:$1,0)),FALSE),"")</f>
        <v/>
      </c>
      <c r="MWK19" s="28" t="str">
        <f>IFERROR(VLOOKUP(DATE($K$1,$K$2,MWK$4),Table1[],(MATCH(Calendar!$A19,DB!$1:$1,0)),FALSE),"")</f>
        <v/>
      </c>
      <c r="MWL19" s="28" t="str">
        <f>IFERROR(VLOOKUP(DATE($K$1,$K$2,MWL$4),Table1[],(MATCH(Calendar!$A19,DB!$1:$1,0)),FALSE),"")</f>
        <v/>
      </c>
      <c r="MWM19" s="28" t="str">
        <f>IFERROR(VLOOKUP(DATE($K$1,$K$2,MWM$4),Table1[],(MATCH(Calendar!$A19,DB!$1:$1,0)),FALSE),"")</f>
        <v/>
      </c>
      <c r="MWN19" s="28" t="str">
        <f>IFERROR(VLOOKUP(DATE($K$1,$K$2,MWN$4),Table1[],(MATCH(Calendar!$A19,DB!$1:$1,0)),FALSE),"")</f>
        <v/>
      </c>
      <c r="MWO19" s="28" t="str">
        <f>IFERROR(VLOOKUP(DATE($K$1,$K$2,MWO$4),Table1[],(MATCH(Calendar!$A19,DB!$1:$1,0)),FALSE),"")</f>
        <v/>
      </c>
      <c r="MWP19" s="28" t="str">
        <f>IFERROR(VLOOKUP(DATE($K$1,$K$2,MWP$4),Table1[],(MATCH(Calendar!$A19,DB!$1:$1,0)),FALSE),"")</f>
        <v/>
      </c>
      <c r="MWQ19" s="28" t="str">
        <f>IFERROR(VLOOKUP(DATE($K$1,$K$2,MWQ$4),Table1[],(MATCH(Calendar!$A19,DB!$1:$1,0)),FALSE),"")</f>
        <v/>
      </c>
      <c r="MWR19" s="28" t="str">
        <f>IFERROR(VLOOKUP(DATE($K$1,$K$2,MWR$4),Table1[],(MATCH(Calendar!$A19,DB!$1:$1,0)),FALSE),"")</f>
        <v/>
      </c>
      <c r="MWS19" s="28" t="str">
        <f>IFERROR(VLOOKUP(DATE($K$1,$K$2,MWS$4),Table1[],(MATCH(Calendar!$A19,DB!$1:$1,0)),FALSE),"")</f>
        <v/>
      </c>
      <c r="MWT19" s="28" t="str">
        <f>IFERROR(VLOOKUP(DATE($K$1,$K$2,MWT$4),Table1[],(MATCH(Calendar!$A19,DB!$1:$1,0)),FALSE),"")</f>
        <v/>
      </c>
      <c r="MWU19" s="28" t="str">
        <f>IFERROR(VLOOKUP(DATE($K$1,$K$2,MWU$4),Table1[],(MATCH(Calendar!$A19,DB!$1:$1,0)),FALSE),"")</f>
        <v/>
      </c>
      <c r="MWV19" s="28" t="str">
        <f>IFERROR(VLOOKUP(DATE($K$1,$K$2,MWV$4),Table1[],(MATCH(Calendar!$A19,DB!$1:$1,0)),FALSE),"")</f>
        <v/>
      </c>
      <c r="MWW19" s="28" t="str">
        <f>IFERROR(VLOOKUP(DATE($K$1,$K$2,MWW$4),Table1[],(MATCH(Calendar!$A19,DB!$1:$1,0)),FALSE),"")</f>
        <v/>
      </c>
      <c r="MWX19" s="28" t="str">
        <f>IFERROR(VLOOKUP(DATE($K$1,$K$2,MWX$4),Table1[],(MATCH(Calendar!$A19,DB!$1:$1,0)),FALSE),"")</f>
        <v/>
      </c>
      <c r="MWY19" s="28" t="str">
        <f>IFERROR(VLOOKUP(DATE($K$1,$K$2,MWY$4),Table1[],(MATCH(Calendar!$A19,DB!$1:$1,0)),FALSE),"")</f>
        <v/>
      </c>
      <c r="MWZ19" s="28" t="str">
        <f>IFERROR(VLOOKUP(DATE($K$1,$K$2,MWZ$4),Table1[],(MATCH(Calendar!$A19,DB!$1:$1,0)),FALSE),"")</f>
        <v/>
      </c>
      <c r="MXA19" s="28" t="str">
        <f>IFERROR(VLOOKUP(DATE($K$1,$K$2,MXA$4),Table1[],(MATCH(Calendar!$A19,DB!$1:$1,0)),FALSE),"")</f>
        <v/>
      </c>
      <c r="MXB19" s="28" t="str">
        <f>IFERROR(VLOOKUP(DATE($K$1,$K$2,MXB$4),Table1[],(MATCH(Calendar!$A19,DB!$1:$1,0)),FALSE),"")</f>
        <v/>
      </c>
      <c r="MXC19" s="28" t="str">
        <f>IFERROR(VLOOKUP(DATE($K$1,$K$2,MXC$4),Table1[],(MATCH(Calendar!$A19,DB!$1:$1,0)),FALSE),"")</f>
        <v/>
      </c>
      <c r="MXD19" s="28" t="str">
        <f>IFERROR(VLOOKUP(DATE($K$1,$K$2,MXD$4),Table1[],(MATCH(Calendar!$A19,DB!$1:$1,0)),FALSE),"")</f>
        <v/>
      </c>
      <c r="MXE19" s="28" t="str">
        <f>IFERROR(VLOOKUP(DATE($K$1,$K$2,MXE$4),Table1[],(MATCH(Calendar!$A19,DB!$1:$1,0)),FALSE),"")</f>
        <v/>
      </c>
      <c r="MXF19" s="28" t="str">
        <f>IFERROR(VLOOKUP(DATE($K$1,$K$2,MXF$4),Table1[],(MATCH(Calendar!$A19,DB!$1:$1,0)),FALSE),"")</f>
        <v/>
      </c>
      <c r="MXG19" s="28" t="str">
        <f>IFERROR(VLOOKUP(DATE($K$1,$K$2,MXG$4),Table1[],(MATCH(Calendar!$A19,DB!$1:$1,0)),FALSE),"")</f>
        <v/>
      </c>
      <c r="MXH19" s="28" t="str">
        <f>IFERROR(VLOOKUP(DATE($K$1,$K$2,MXH$4),Table1[],(MATCH(Calendar!$A19,DB!$1:$1,0)),FALSE),"")</f>
        <v/>
      </c>
      <c r="MXI19" s="28" t="str">
        <f>IFERROR(VLOOKUP(DATE($K$1,$K$2,MXI$4),Table1[],(MATCH(Calendar!$A19,DB!$1:$1,0)),FALSE),"")</f>
        <v/>
      </c>
      <c r="MXJ19" s="28" t="str">
        <f>IFERROR(VLOOKUP(DATE($K$1,$K$2,MXJ$4),Table1[],(MATCH(Calendar!$A19,DB!$1:$1,0)),FALSE),"")</f>
        <v/>
      </c>
      <c r="MXK19" s="28" t="str">
        <f>IFERROR(VLOOKUP(DATE($K$1,$K$2,MXK$4),Table1[],(MATCH(Calendar!$A19,DB!$1:$1,0)),FALSE),"")</f>
        <v/>
      </c>
      <c r="MXL19" s="28" t="str">
        <f>IFERROR(VLOOKUP(DATE($K$1,$K$2,MXL$4),Table1[],(MATCH(Calendar!$A19,DB!$1:$1,0)),FALSE),"")</f>
        <v/>
      </c>
      <c r="MXM19" s="28" t="str">
        <f>IFERROR(VLOOKUP(DATE($K$1,$K$2,MXM$4),Table1[],(MATCH(Calendar!$A19,DB!$1:$1,0)),FALSE),"")</f>
        <v/>
      </c>
      <c r="MXN19" s="28" t="str">
        <f>IFERROR(VLOOKUP(DATE($K$1,$K$2,MXN$4),Table1[],(MATCH(Calendar!$A19,DB!$1:$1,0)),FALSE),"")</f>
        <v/>
      </c>
      <c r="MXO19" s="28" t="str">
        <f>IFERROR(VLOOKUP(DATE($K$1,$K$2,MXO$4),Table1[],(MATCH(Calendar!$A19,DB!$1:$1,0)),FALSE),"")</f>
        <v/>
      </c>
      <c r="MXP19" s="28" t="str">
        <f>IFERROR(VLOOKUP(DATE($K$1,$K$2,MXP$4),Table1[],(MATCH(Calendar!$A19,DB!$1:$1,0)),FALSE),"")</f>
        <v/>
      </c>
      <c r="MXQ19" s="28" t="str">
        <f>IFERROR(VLOOKUP(DATE($K$1,$K$2,MXQ$4),Table1[],(MATCH(Calendar!$A19,DB!$1:$1,0)),FALSE),"")</f>
        <v/>
      </c>
      <c r="MXR19" s="28" t="str">
        <f>IFERROR(VLOOKUP(DATE($K$1,$K$2,MXR$4),Table1[],(MATCH(Calendar!$A19,DB!$1:$1,0)),FALSE),"")</f>
        <v/>
      </c>
      <c r="MXS19" s="28" t="str">
        <f>IFERROR(VLOOKUP(DATE($K$1,$K$2,MXS$4),Table1[],(MATCH(Calendar!$A19,DB!$1:$1,0)),FALSE),"")</f>
        <v/>
      </c>
      <c r="MXT19" s="28" t="str">
        <f>IFERROR(VLOOKUP(DATE($K$1,$K$2,MXT$4),Table1[],(MATCH(Calendar!$A19,DB!$1:$1,0)),FALSE),"")</f>
        <v/>
      </c>
      <c r="MXU19" s="28" t="str">
        <f>IFERROR(VLOOKUP(DATE($K$1,$K$2,MXU$4),Table1[],(MATCH(Calendar!$A19,DB!$1:$1,0)),FALSE),"")</f>
        <v/>
      </c>
      <c r="MXV19" s="28" t="str">
        <f>IFERROR(VLOOKUP(DATE($K$1,$K$2,MXV$4),Table1[],(MATCH(Calendar!$A19,DB!$1:$1,0)),FALSE),"")</f>
        <v/>
      </c>
      <c r="MXW19" s="28" t="str">
        <f>IFERROR(VLOOKUP(DATE($K$1,$K$2,MXW$4),Table1[],(MATCH(Calendar!$A19,DB!$1:$1,0)),FALSE),"")</f>
        <v/>
      </c>
      <c r="MXX19" s="28" t="str">
        <f>IFERROR(VLOOKUP(DATE($K$1,$K$2,MXX$4),Table1[],(MATCH(Calendar!$A19,DB!$1:$1,0)),FALSE),"")</f>
        <v/>
      </c>
      <c r="MXY19" s="28" t="str">
        <f>IFERROR(VLOOKUP(DATE($K$1,$K$2,MXY$4),Table1[],(MATCH(Calendar!$A19,DB!$1:$1,0)),FALSE),"")</f>
        <v/>
      </c>
      <c r="MXZ19" s="28" t="str">
        <f>IFERROR(VLOOKUP(DATE($K$1,$K$2,MXZ$4),Table1[],(MATCH(Calendar!$A19,DB!$1:$1,0)),FALSE),"")</f>
        <v/>
      </c>
      <c r="MYA19" s="28" t="str">
        <f>IFERROR(VLOOKUP(DATE($K$1,$K$2,MYA$4),Table1[],(MATCH(Calendar!$A19,DB!$1:$1,0)),FALSE),"")</f>
        <v/>
      </c>
      <c r="MYB19" s="28" t="str">
        <f>IFERROR(VLOOKUP(DATE($K$1,$K$2,MYB$4),Table1[],(MATCH(Calendar!$A19,DB!$1:$1,0)),FALSE),"")</f>
        <v/>
      </c>
      <c r="MYC19" s="28" t="str">
        <f>IFERROR(VLOOKUP(DATE($K$1,$K$2,MYC$4),Table1[],(MATCH(Calendar!$A19,DB!$1:$1,0)),FALSE),"")</f>
        <v/>
      </c>
      <c r="MYD19" s="28" t="str">
        <f>IFERROR(VLOOKUP(DATE($K$1,$K$2,MYD$4),Table1[],(MATCH(Calendar!$A19,DB!$1:$1,0)),FALSE),"")</f>
        <v/>
      </c>
      <c r="MYE19" s="28" t="str">
        <f>IFERROR(VLOOKUP(DATE($K$1,$K$2,MYE$4),Table1[],(MATCH(Calendar!$A19,DB!$1:$1,0)),FALSE),"")</f>
        <v/>
      </c>
      <c r="MYF19" s="28" t="str">
        <f>IFERROR(VLOOKUP(DATE($K$1,$K$2,MYF$4),Table1[],(MATCH(Calendar!$A19,DB!$1:$1,0)),FALSE),"")</f>
        <v/>
      </c>
      <c r="MYG19" s="28" t="str">
        <f>IFERROR(VLOOKUP(DATE($K$1,$K$2,MYG$4),Table1[],(MATCH(Calendar!$A19,DB!$1:$1,0)),FALSE),"")</f>
        <v/>
      </c>
      <c r="MYH19" s="28" t="str">
        <f>IFERROR(VLOOKUP(DATE($K$1,$K$2,MYH$4),Table1[],(MATCH(Calendar!$A19,DB!$1:$1,0)),FALSE),"")</f>
        <v/>
      </c>
      <c r="MYI19" s="28" t="str">
        <f>IFERROR(VLOOKUP(DATE($K$1,$K$2,MYI$4),Table1[],(MATCH(Calendar!$A19,DB!$1:$1,0)),FALSE),"")</f>
        <v/>
      </c>
      <c r="MYJ19" s="28" t="str">
        <f>IFERROR(VLOOKUP(DATE($K$1,$K$2,MYJ$4),Table1[],(MATCH(Calendar!$A19,DB!$1:$1,0)),FALSE),"")</f>
        <v/>
      </c>
      <c r="MYK19" s="28" t="str">
        <f>IFERROR(VLOOKUP(DATE($K$1,$K$2,MYK$4),Table1[],(MATCH(Calendar!$A19,DB!$1:$1,0)),FALSE),"")</f>
        <v/>
      </c>
      <c r="MYL19" s="28" t="str">
        <f>IFERROR(VLOOKUP(DATE($K$1,$K$2,MYL$4),Table1[],(MATCH(Calendar!$A19,DB!$1:$1,0)),FALSE),"")</f>
        <v/>
      </c>
      <c r="MYM19" s="28" t="str">
        <f>IFERROR(VLOOKUP(DATE($K$1,$K$2,MYM$4),Table1[],(MATCH(Calendar!$A19,DB!$1:$1,0)),FALSE),"")</f>
        <v/>
      </c>
      <c r="MYN19" s="28" t="str">
        <f>IFERROR(VLOOKUP(DATE($K$1,$K$2,MYN$4),Table1[],(MATCH(Calendar!$A19,DB!$1:$1,0)),FALSE),"")</f>
        <v/>
      </c>
      <c r="MYO19" s="28" t="str">
        <f>IFERROR(VLOOKUP(DATE($K$1,$K$2,MYO$4),Table1[],(MATCH(Calendar!$A19,DB!$1:$1,0)),FALSE),"")</f>
        <v/>
      </c>
      <c r="MYP19" s="28" t="str">
        <f>IFERROR(VLOOKUP(DATE($K$1,$K$2,MYP$4),Table1[],(MATCH(Calendar!$A19,DB!$1:$1,0)),FALSE),"")</f>
        <v/>
      </c>
      <c r="MYQ19" s="28" t="str">
        <f>IFERROR(VLOOKUP(DATE($K$1,$K$2,MYQ$4),Table1[],(MATCH(Calendar!$A19,DB!$1:$1,0)),FALSE),"")</f>
        <v/>
      </c>
      <c r="MYR19" s="28" t="str">
        <f>IFERROR(VLOOKUP(DATE($K$1,$K$2,MYR$4),Table1[],(MATCH(Calendar!$A19,DB!$1:$1,0)),FALSE),"")</f>
        <v/>
      </c>
      <c r="MYS19" s="28" t="str">
        <f>IFERROR(VLOOKUP(DATE($K$1,$K$2,MYS$4),Table1[],(MATCH(Calendar!$A19,DB!$1:$1,0)),FALSE),"")</f>
        <v/>
      </c>
      <c r="MYT19" s="28" t="str">
        <f>IFERROR(VLOOKUP(DATE($K$1,$K$2,MYT$4),Table1[],(MATCH(Calendar!$A19,DB!$1:$1,0)),FALSE),"")</f>
        <v/>
      </c>
      <c r="MYU19" s="28" t="str">
        <f>IFERROR(VLOOKUP(DATE($K$1,$K$2,MYU$4),Table1[],(MATCH(Calendar!$A19,DB!$1:$1,0)),FALSE),"")</f>
        <v/>
      </c>
      <c r="MYV19" s="28" t="str">
        <f>IFERROR(VLOOKUP(DATE($K$1,$K$2,MYV$4),Table1[],(MATCH(Calendar!$A19,DB!$1:$1,0)),FALSE),"")</f>
        <v/>
      </c>
      <c r="MYW19" s="28" t="str">
        <f>IFERROR(VLOOKUP(DATE($K$1,$K$2,MYW$4),Table1[],(MATCH(Calendar!$A19,DB!$1:$1,0)),FALSE),"")</f>
        <v/>
      </c>
      <c r="MYX19" s="28" t="str">
        <f>IFERROR(VLOOKUP(DATE($K$1,$K$2,MYX$4),Table1[],(MATCH(Calendar!$A19,DB!$1:$1,0)),FALSE),"")</f>
        <v/>
      </c>
      <c r="MYY19" s="28" t="str">
        <f>IFERROR(VLOOKUP(DATE($K$1,$K$2,MYY$4),Table1[],(MATCH(Calendar!$A19,DB!$1:$1,0)),FALSE),"")</f>
        <v/>
      </c>
      <c r="MYZ19" s="28" t="str">
        <f>IFERROR(VLOOKUP(DATE($K$1,$K$2,MYZ$4),Table1[],(MATCH(Calendar!$A19,DB!$1:$1,0)),FALSE),"")</f>
        <v/>
      </c>
      <c r="MZA19" s="28" t="str">
        <f>IFERROR(VLOOKUP(DATE($K$1,$K$2,MZA$4),Table1[],(MATCH(Calendar!$A19,DB!$1:$1,0)),FALSE),"")</f>
        <v/>
      </c>
      <c r="MZB19" s="28" t="str">
        <f>IFERROR(VLOOKUP(DATE($K$1,$K$2,MZB$4),Table1[],(MATCH(Calendar!$A19,DB!$1:$1,0)),FALSE),"")</f>
        <v/>
      </c>
      <c r="MZC19" s="28" t="str">
        <f>IFERROR(VLOOKUP(DATE($K$1,$K$2,MZC$4),Table1[],(MATCH(Calendar!$A19,DB!$1:$1,0)),FALSE),"")</f>
        <v/>
      </c>
      <c r="MZD19" s="28" t="str">
        <f>IFERROR(VLOOKUP(DATE($K$1,$K$2,MZD$4),Table1[],(MATCH(Calendar!$A19,DB!$1:$1,0)),FALSE),"")</f>
        <v/>
      </c>
      <c r="MZE19" s="28" t="str">
        <f>IFERROR(VLOOKUP(DATE($K$1,$K$2,MZE$4),Table1[],(MATCH(Calendar!$A19,DB!$1:$1,0)),FALSE),"")</f>
        <v/>
      </c>
      <c r="MZF19" s="28" t="str">
        <f>IFERROR(VLOOKUP(DATE($K$1,$K$2,MZF$4),Table1[],(MATCH(Calendar!$A19,DB!$1:$1,0)),FALSE),"")</f>
        <v/>
      </c>
      <c r="MZG19" s="28" t="str">
        <f>IFERROR(VLOOKUP(DATE($K$1,$K$2,MZG$4),Table1[],(MATCH(Calendar!$A19,DB!$1:$1,0)),FALSE),"")</f>
        <v/>
      </c>
      <c r="MZH19" s="28" t="str">
        <f>IFERROR(VLOOKUP(DATE($K$1,$K$2,MZH$4),Table1[],(MATCH(Calendar!$A19,DB!$1:$1,0)),FALSE),"")</f>
        <v/>
      </c>
      <c r="MZI19" s="28" t="str">
        <f>IFERROR(VLOOKUP(DATE($K$1,$K$2,MZI$4),Table1[],(MATCH(Calendar!$A19,DB!$1:$1,0)),FALSE),"")</f>
        <v/>
      </c>
      <c r="MZJ19" s="28" t="str">
        <f>IFERROR(VLOOKUP(DATE($K$1,$K$2,MZJ$4),Table1[],(MATCH(Calendar!$A19,DB!$1:$1,0)),FALSE),"")</f>
        <v/>
      </c>
      <c r="MZK19" s="28" t="str">
        <f>IFERROR(VLOOKUP(DATE($K$1,$K$2,MZK$4),Table1[],(MATCH(Calendar!$A19,DB!$1:$1,0)),FALSE),"")</f>
        <v/>
      </c>
      <c r="MZL19" s="28" t="str">
        <f>IFERROR(VLOOKUP(DATE($K$1,$K$2,MZL$4),Table1[],(MATCH(Calendar!$A19,DB!$1:$1,0)),FALSE),"")</f>
        <v/>
      </c>
      <c r="MZM19" s="28" t="str">
        <f>IFERROR(VLOOKUP(DATE($K$1,$K$2,MZM$4),Table1[],(MATCH(Calendar!$A19,DB!$1:$1,0)),FALSE),"")</f>
        <v/>
      </c>
      <c r="MZN19" s="28" t="str">
        <f>IFERROR(VLOOKUP(DATE($K$1,$K$2,MZN$4),Table1[],(MATCH(Calendar!$A19,DB!$1:$1,0)),FALSE),"")</f>
        <v/>
      </c>
      <c r="MZO19" s="28" t="str">
        <f>IFERROR(VLOOKUP(DATE($K$1,$K$2,MZO$4),Table1[],(MATCH(Calendar!$A19,DB!$1:$1,0)),FALSE),"")</f>
        <v/>
      </c>
      <c r="MZP19" s="28" t="str">
        <f>IFERROR(VLOOKUP(DATE($K$1,$K$2,MZP$4),Table1[],(MATCH(Calendar!$A19,DB!$1:$1,0)),FALSE),"")</f>
        <v/>
      </c>
      <c r="MZQ19" s="28" t="str">
        <f>IFERROR(VLOOKUP(DATE($K$1,$K$2,MZQ$4),Table1[],(MATCH(Calendar!$A19,DB!$1:$1,0)),FALSE),"")</f>
        <v/>
      </c>
      <c r="MZR19" s="28" t="str">
        <f>IFERROR(VLOOKUP(DATE($K$1,$K$2,MZR$4),Table1[],(MATCH(Calendar!$A19,DB!$1:$1,0)),FALSE),"")</f>
        <v/>
      </c>
      <c r="MZS19" s="28" t="str">
        <f>IFERROR(VLOOKUP(DATE($K$1,$K$2,MZS$4),Table1[],(MATCH(Calendar!$A19,DB!$1:$1,0)),FALSE),"")</f>
        <v/>
      </c>
      <c r="MZT19" s="28" t="str">
        <f>IFERROR(VLOOKUP(DATE($K$1,$K$2,MZT$4),Table1[],(MATCH(Calendar!$A19,DB!$1:$1,0)),FALSE),"")</f>
        <v/>
      </c>
      <c r="MZU19" s="28" t="str">
        <f>IFERROR(VLOOKUP(DATE($K$1,$K$2,MZU$4),Table1[],(MATCH(Calendar!$A19,DB!$1:$1,0)),FALSE),"")</f>
        <v/>
      </c>
      <c r="MZV19" s="28" t="str">
        <f>IFERROR(VLOOKUP(DATE($K$1,$K$2,MZV$4),Table1[],(MATCH(Calendar!$A19,DB!$1:$1,0)),FALSE),"")</f>
        <v/>
      </c>
      <c r="MZW19" s="28" t="str">
        <f>IFERROR(VLOOKUP(DATE($K$1,$K$2,MZW$4),Table1[],(MATCH(Calendar!$A19,DB!$1:$1,0)),FALSE),"")</f>
        <v/>
      </c>
      <c r="MZX19" s="28" t="str">
        <f>IFERROR(VLOOKUP(DATE($K$1,$K$2,MZX$4),Table1[],(MATCH(Calendar!$A19,DB!$1:$1,0)),FALSE),"")</f>
        <v/>
      </c>
      <c r="MZY19" s="28" t="str">
        <f>IFERROR(VLOOKUP(DATE($K$1,$K$2,MZY$4),Table1[],(MATCH(Calendar!$A19,DB!$1:$1,0)),FALSE),"")</f>
        <v/>
      </c>
      <c r="MZZ19" s="28" t="str">
        <f>IFERROR(VLOOKUP(DATE($K$1,$K$2,MZZ$4),Table1[],(MATCH(Calendar!$A19,DB!$1:$1,0)),FALSE),"")</f>
        <v/>
      </c>
      <c r="NAA19" s="28" t="str">
        <f>IFERROR(VLOOKUP(DATE($K$1,$K$2,NAA$4),Table1[],(MATCH(Calendar!$A19,DB!$1:$1,0)),FALSE),"")</f>
        <v/>
      </c>
      <c r="NAB19" s="28" t="str">
        <f>IFERROR(VLOOKUP(DATE($K$1,$K$2,NAB$4),Table1[],(MATCH(Calendar!$A19,DB!$1:$1,0)),FALSE),"")</f>
        <v/>
      </c>
      <c r="NAC19" s="28" t="str">
        <f>IFERROR(VLOOKUP(DATE($K$1,$K$2,NAC$4),Table1[],(MATCH(Calendar!$A19,DB!$1:$1,0)),FALSE),"")</f>
        <v/>
      </c>
      <c r="NAD19" s="28" t="str">
        <f>IFERROR(VLOOKUP(DATE($K$1,$K$2,NAD$4),Table1[],(MATCH(Calendar!$A19,DB!$1:$1,0)),FALSE),"")</f>
        <v/>
      </c>
      <c r="NAE19" s="28" t="str">
        <f>IFERROR(VLOOKUP(DATE($K$1,$K$2,NAE$4),Table1[],(MATCH(Calendar!$A19,DB!$1:$1,0)),FALSE),"")</f>
        <v/>
      </c>
      <c r="NAF19" s="28" t="str">
        <f>IFERROR(VLOOKUP(DATE($K$1,$K$2,NAF$4),Table1[],(MATCH(Calendar!$A19,DB!$1:$1,0)),FALSE),"")</f>
        <v/>
      </c>
      <c r="NAG19" s="28" t="str">
        <f>IFERROR(VLOOKUP(DATE($K$1,$K$2,NAG$4),Table1[],(MATCH(Calendar!$A19,DB!$1:$1,0)),FALSE),"")</f>
        <v/>
      </c>
      <c r="NAH19" s="28" t="str">
        <f>IFERROR(VLOOKUP(DATE($K$1,$K$2,NAH$4),Table1[],(MATCH(Calendar!$A19,DB!$1:$1,0)),FALSE),"")</f>
        <v/>
      </c>
      <c r="NAI19" s="28" t="str">
        <f>IFERROR(VLOOKUP(DATE($K$1,$K$2,NAI$4),Table1[],(MATCH(Calendar!$A19,DB!$1:$1,0)),FALSE),"")</f>
        <v/>
      </c>
      <c r="NAJ19" s="28" t="str">
        <f>IFERROR(VLOOKUP(DATE($K$1,$K$2,NAJ$4),Table1[],(MATCH(Calendar!$A19,DB!$1:$1,0)),FALSE),"")</f>
        <v/>
      </c>
      <c r="NAK19" s="28" t="str">
        <f>IFERROR(VLOOKUP(DATE($K$1,$K$2,NAK$4),Table1[],(MATCH(Calendar!$A19,DB!$1:$1,0)),FALSE),"")</f>
        <v/>
      </c>
      <c r="NAL19" s="28" t="str">
        <f>IFERROR(VLOOKUP(DATE($K$1,$K$2,NAL$4),Table1[],(MATCH(Calendar!$A19,DB!$1:$1,0)),FALSE),"")</f>
        <v/>
      </c>
      <c r="NAM19" s="28" t="str">
        <f>IFERROR(VLOOKUP(DATE($K$1,$K$2,NAM$4),Table1[],(MATCH(Calendar!$A19,DB!$1:$1,0)),FALSE),"")</f>
        <v/>
      </c>
      <c r="NAN19" s="28" t="str">
        <f>IFERROR(VLOOKUP(DATE($K$1,$K$2,NAN$4),Table1[],(MATCH(Calendar!$A19,DB!$1:$1,0)),FALSE),"")</f>
        <v/>
      </c>
      <c r="NAO19" s="28" t="str">
        <f>IFERROR(VLOOKUP(DATE($K$1,$K$2,NAO$4),Table1[],(MATCH(Calendar!$A19,DB!$1:$1,0)),FALSE),"")</f>
        <v/>
      </c>
      <c r="NAP19" s="28" t="str">
        <f>IFERROR(VLOOKUP(DATE($K$1,$K$2,NAP$4),Table1[],(MATCH(Calendar!$A19,DB!$1:$1,0)),FALSE),"")</f>
        <v/>
      </c>
      <c r="NAQ19" s="28" t="str">
        <f>IFERROR(VLOOKUP(DATE($K$1,$K$2,NAQ$4),Table1[],(MATCH(Calendar!$A19,DB!$1:$1,0)),FALSE),"")</f>
        <v/>
      </c>
      <c r="NAR19" s="28" t="str">
        <f>IFERROR(VLOOKUP(DATE($K$1,$K$2,NAR$4),Table1[],(MATCH(Calendar!$A19,DB!$1:$1,0)),FALSE),"")</f>
        <v/>
      </c>
      <c r="NAS19" s="28" t="str">
        <f>IFERROR(VLOOKUP(DATE($K$1,$K$2,NAS$4),Table1[],(MATCH(Calendar!$A19,DB!$1:$1,0)),FALSE),"")</f>
        <v/>
      </c>
      <c r="NAT19" s="28" t="str">
        <f>IFERROR(VLOOKUP(DATE($K$1,$K$2,NAT$4),Table1[],(MATCH(Calendar!$A19,DB!$1:$1,0)),FALSE),"")</f>
        <v/>
      </c>
      <c r="NAU19" s="28" t="str">
        <f>IFERROR(VLOOKUP(DATE($K$1,$K$2,NAU$4),Table1[],(MATCH(Calendar!$A19,DB!$1:$1,0)),FALSE),"")</f>
        <v/>
      </c>
      <c r="NAV19" s="28" t="str">
        <f>IFERROR(VLOOKUP(DATE($K$1,$K$2,NAV$4),Table1[],(MATCH(Calendar!$A19,DB!$1:$1,0)),FALSE),"")</f>
        <v/>
      </c>
      <c r="NAW19" s="28" t="str">
        <f>IFERROR(VLOOKUP(DATE($K$1,$K$2,NAW$4),Table1[],(MATCH(Calendar!$A19,DB!$1:$1,0)),FALSE),"")</f>
        <v/>
      </c>
      <c r="NAX19" s="28" t="str">
        <f>IFERROR(VLOOKUP(DATE($K$1,$K$2,NAX$4),Table1[],(MATCH(Calendar!$A19,DB!$1:$1,0)),FALSE),"")</f>
        <v/>
      </c>
      <c r="NAY19" s="28" t="str">
        <f>IFERROR(VLOOKUP(DATE($K$1,$K$2,NAY$4),Table1[],(MATCH(Calendar!$A19,DB!$1:$1,0)),FALSE),"")</f>
        <v/>
      </c>
      <c r="NAZ19" s="28" t="str">
        <f>IFERROR(VLOOKUP(DATE($K$1,$K$2,NAZ$4),Table1[],(MATCH(Calendar!$A19,DB!$1:$1,0)),FALSE),"")</f>
        <v/>
      </c>
      <c r="NBA19" s="28" t="str">
        <f>IFERROR(VLOOKUP(DATE($K$1,$K$2,NBA$4),Table1[],(MATCH(Calendar!$A19,DB!$1:$1,0)),FALSE),"")</f>
        <v/>
      </c>
      <c r="NBB19" s="28" t="str">
        <f>IFERROR(VLOOKUP(DATE($K$1,$K$2,NBB$4),Table1[],(MATCH(Calendar!$A19,DB!$1:$1,0)),FALSE),"")</f>
        <v/>
      </c>
      <c r="NBC19" s="28" t="str">
        <f>IFERROR(VLOOKUP(DATE($K$1,$K$2,NBC$4),Table1[],(MATCH(Calendar!$A19,DB!$1:$1,0)),FALSE),"")</f>
        <v/>
      </c>
      <c r="NBD19" s="28" t="str">
        <f>IFERROR(VLOOKUP(DATE($K$1,$K$2,NBD$4),Table1[],(MATCH(Calendar!$A19,DB!$1:$1,0)),FALSE),"")</f>
        <v/>
      </c>
      <c r="NBE19" s="28" t="str">
        <f>IFERROR(VLOOKUP(DATE($K$1,$K$2,NBE$4),Table1[],(MATCH(Calendar!$A19,DB!$1:$1,0)),FALSE),"")</f>
        <v/>
      </c>
      <c r="NBF19" s="28" t="str">
        <f>IFERROR(VLOOKUP(DATE($K$1,$K$2,NBF$4),Table1[],(MATCH(Calendar!$A19,DB!$1:$1,0)),FALSE),"")</f>
        <v/>
      </c>
      <c r="NBG19" s="28" t="str">
        <f>IFERROR(VLOOKUP(DATE($K$1,$K$2,NBG$4),Table1[],(MATCH(Calendar!$A19,DB!$1:$1,0)),FALSE),"")</f>
        <v/>
      </c>
      <c r="NBH19" s="28" t="str">
        <f>IFERROR(VLOOKUP(DATE($K$1,$K$2,NBH$4),Table1[],(MATCH(Calendar!$A19,DB!$1:$1,0)),FALSE),"")</f>
        <v/>
      </c>
      <c r="NBI19" s="28" t="str">
        <f>IFERROR(VLOOKUP(DATE($K$1,$K$2,NBI$4),Table1[],(MATCH(Calendar!$A19,DB!$1:$1,0)),FALSE),"")</f>
        <v/>
      </c>
      <c r="NBJ19" s="28" t="str">
        <f>IFERROR(VLOOKUP(DATE($K$1,$K$2,NBJ$4),Table1[],(MATCH(Calendar!$A19,DB!$1:$1,0)),FALSE),"")</f>
        <v/>
      </c>
      <c r="NBK19" s="28" t="str">
        <f>IFERROR(VLOOKUP(DATE($K$1,$K$2,NBK$4),Table1[],(MATCH(Calendar!$A19,DB!$1:$1,0)),FALSE),"")</f>
        <v/>
      </c>
      <c r="NBL19" s="28" t="str">
        <f>IFERROR(VLOOKUP(DATE($K$1,$K$2,NBL$4),Table1[],(MATCH(Calendar!$A19,DB!$1:$1,0)),FALSE),"")</f>
        <v/>
      </c>
      <c r="NBM19" s="28" t="str">
        <f>IFERROR(VLOOKUP(DATE($K$1,$K$2,NBM$4),Table1[],(MATCH(Calendar!$A19,DB!$1:$1,0)),FALSE),"")</f>
        <v/>
      </c>
      <c r="NBN19" s="28" t="str">
        <f>IFERROR(VLOOKUP(DATE($K$1,$K$2,NBN$4),Table1[],(MATCH(Calendar!$A19,DB!$1:$1,0)),FALSE),"")</f>
        <v/>
      </c>
      <c r="NBO19" s="28" t="str">
        <f>IFERROR(VLOOKUP(DATE($K$1,$K$2,NBO$4),Table1[],(MATCH(Calendar!$A19,DB!$1:$1,0)),FALSE),"")</f>
        <v/>
      </c>
      <c r="NBP19" s="28" t="str">
        <f>IFERROR(VLOOKUP(DATE($K$1,$K$2,NBP$4),Table1[],(MATCH(Calendar!$A19,DB!$1:$1,0)),FALSE),"")</f>
        <v/>
      </c>
      <c r="NBQ19" s="28" t="str">
        <f>IFERROR(VLOOKUP(DATE($K$1,$K$2,NBQ$4),Table1[],(MATCH(Calendar!$A19,DB!$1:$1,0)),FALSE),"")</f>
        <v/>
      </c>
      <c r="NBR19" s="28" t="str">
        <f>IFERROR(VLOOKUP(DATE($K$1,$K$2,NBR$4),Table1[],(MATCH(Calendar!$A19,DB!$1:$1,0)),FALSE),"")</f>
        <v/>
      </c>
      <c r="NBS19" s="28" t="str">
        <f>IFERROR(VLOOKUP(DATE($K$1,$K$2,NBS$4),Table1[],(MATCH(Calendar!$A19,DB!$1:$1,0)),FALSE),"")</f>
        <v/>
      </c>
      <c r="NBT19" s="28" t="str">
        <f>IFERROR(VLOOKUP(DATE($K$1,$K$2,NBT$4),Table1[],(MATCH(Calendar!$A19,DB!$1:$1,0)),FALSE),"")</f>
        <v/>
      </c>
      <c r="NBU19" s="28" t="str">
        <f>IFERROR(VLOOKUP(DATE($K$1,$K$2,NBU$4),Table1[],(MATCH(Calendar!$A19,DB!$1:$1,0)),FALSE),"")</f>
        <v/>
      </c>
      <c r="NBV19" s="28" t="str">
        <f>IFERROR(VLOOKUP(DATE($K$1,$K$2,NBV$4),Table1[],(MATCH(Calendar!$A19,DB!$1:$1,0)),FALSE),"")</f>
        <v/>
      </c>
      <c r="NBW19" s="28" t="str">
        <f>IFERROR(VLOOKUP(DATE($K$1,$K$2,NBW$4),Table1[],(MATCH(Calendar!$A19,DB!$1:$1,0)),FALSE),"")</f>
        <v/>
      </c>
      <c r="NBX19" s="28" t="str">
        <f>IFERROR(VLOOKUP(DATE($K$1,$K$2,NBX$4),Table1[],(MATCH(Calendar!$A19,DB!$1:$1,0)),FALSE),"")</f>
        <v/>
      </c>
      <c r="NBY19" s="28" t="str">
        <f>IFERROR(VLOOKUP(DATE($K$1,$K$2,NBY$4),Table1[],(MATCH(Calendar!$A19,DB!$1:$1,0)),FALSE),"")</f>
        <v/>
      </c>
      <c r="NBZ19" s="28" t="str">
        <f>IFERROR(VLOOKUP(DATE($K$1,$K$2,NBZ$4),Table1[],(MATCH(Calendar!$A19,DB!$1:$1,0)),FALSE),"")</f>
        <v/>
      </c>
      <c r="NCA19" s="28" t="str">
        <f>IFERROR(VLOOKUP(DATE($K$1,$K$2,NCA$4),Table1[],(MATCH(Calendar!$A19,DB!$1:$1,0)),FALSE),"")</f>
        <v/>
      </c>
      <c r="NCB19" s="28" t="str">
        <f>IFERROR(VLOOKUP(DATE($K$1,$K$2,NCB$4),Table1[],(MATCH(Calendar!$A19,DB!$1:$1,0)),FALSE),"")</f>
        <v/>
      </c>
      <c r="NCC19" s="28" t="str">
        <f>IFERROR(VLOOKUP(DATE($K$1,$K$2,NCC$4),Table1[],(MATCH(Calendar!$A19,DB!$1:$1,0)),FALSE),"")</f>
        <v/>
      </c>
      <c r="NCD19" s="28" t="str">
        <f>IFERROR(VLOOKUP(DATE($K$1,$K$2,NCD$4),Table1[],(MATCH(Calendar!$A19,DB!$1:$1,0)),FALSE),"")</f>
        <v/>
      </c>
      <c r="NCE19" s="28" t="str">
        <f>IFERROR(VLOOKUP(DATE($K$1,$K$2,NCE$4),Table1[],(MATCH(Calendar!$A19,DB!$1:$1,0)),FALSE),"")</f>
        <v/>
      </c>
      <c r="NCF19" s="28" t="str">
        <f>IFERROR(VLOOKUP(DATE($K$1,$K$2,NCF$4),Table1[],(MATCH(Calendar!$A19,DB!$1:$1,0)),FALSE),"")</f>
        <v/>
      </c>
      <c r="NCG19" s="28" t="str">
        <f>IFERROR(VLOOKUP(DATE($K$1,$K$2,NCG$4),Table1[],(MATCH(Calendar!$A19,DB!$1:$1,0)),FALSE),"")</f>
        <v/>
      </c>
      <c r="NCH19" s="28" t="str">
        <f>IFERROR(VLOOKUP(DATE($K$1,$K$2,NCH$4),Table1[],(MATCH(Calendar!$A19,DB!$1:$1,0)),FALSE),"")</f>
        <v/>
      </c>
      <c r="NCI19" s="28" t="str">
        <f>IFERROR(VLOOKUP(DATE($K$1,$K$2,NCI$4),Table1[],(MATCH(Calendar!$A19,DB!$1:$1,0)),FALSE),"")</f>
        <v/>
      </c>
      <c r="NCJ19" s="28" t="str">
        <f>IFERROR(VLOOKUP(DATE($K$1,$K$2,NCJ$4),Table1[],(MATCH(Calendar!$A19,DB!$1:$1,0)),FALSE),"")</f>
        <v/>
      </c>
      <c r="NCK19" s="28" t="str">
        <f>IFERROR(VLOOKUP(DATE($K$1,$K$2,NCK$4),Table1[],(MATCH(Calendar!$A19,DB!$1:$1,0)),FALSE),"")</f>
        <v/>
      </c>
      <c r="NCL19" s="28" t="str">
        <f>IFERROR(VLOOKUP(DATE($K$1,$K$2,NCL$4),Table1[],(MATCH(Calendar!$A19,DB!$1:$1,0)),FALSE),"")</f>
        <v/>
      </c>
      <c r="NCM19" s="28" t="str">
        <f>IFERROR(VLOOKUP(DATE($K$1,$K$2,NCM$4),Table1[],(MATCH(Calendar!$A19,DB!$1:$1,0)),FALSE),"")</f>
        <v/>
      </c>
      <c r="NCN19" s="28" t="str">
        <f>IFERROR(VLOOKUP(DATE($K$1,$K$2,NCN$4),Table1[],(MATCH(Calendar!$A19,DB!$1:$1,0)),FALSE),"")</f>
        <v/>
      </c>
      <c r="NCO19" s="28" t="str">
        <f>IFERROR(VLOOKUP(DATE($K$1,$K$2,NCO$4),Table1[],(MATCH(Calendar!$A19,DB!$1:$1,0)),FALSE),"")</f>
        <v/>
      </c>
      <c r="NCP19" s="28" t="str">
        <f>IFERROR(VLOOKUP(DATE($K$1,$K$2,NCP$4),Table1[],(MATCH(Calendar!$A19,DB!$1:$1,0)),FALSE),"")</f>
        <v/>
      </c>
      <c r="NCQ19" s="28" t="str">
        <f>IFERROR(VLOOKUP(DATE($K$1,$K$2,NCQ$4),Table1[],(MATCH(Calendar!$A19,DB!$1:$1,0)),FALSE),"")</f>
        <v/>
      </c>
      <c r="NCR19" s="28" t="str">
        <f>IFERROR(VLOOKUP(DATE($K$1,$K$2,NCR$4),Table1[],(MATCH(Calendar!$A19,DB!$1:$1,0)),FALSE),"")</f>
        <v/>
      </c>
      <c r="NCS19" s="28" t="str">
        <f>IFERROR(VLOOKUP(DATE($K$1,$K$2,NCS$4),Table1[],(MATCH(Calendar!$A19,DB!$1:$1,0)),FALSE),"")</f>
        <v/>
      </c>
      <c r="NCT19" s="28" t="str">
        <f>IFERROR(VLOOKUP(DATE($K$1,$K$2,NCT$4),Table1[],(MATCH(Calendar!$A19,DB!$1:$1,0)),FALSE),"")</f>
        <v/>
      </c>
      <c r="NCU19" s="28" t="str">
        <f>IFERROR(VLOOKUP(DATE($K$1,$K$2,NCU$4),Table1[],(MATCH(Calendar!$A19,DB!$1:$1,0)),FALSE),"")</f>
        <v/>
      </c>
      <c r="NCV19" s="28" t="str">
        <f>IFERROR(VLOOKUP(DATE($K$1,$K$2,NCV$4),Table1[],(MATCH(Calendar!$A19,DB!$1:$1,0)),FALSE),"")</f>
        <v/>
      </c>
      <c r="NCW19" s="28" t="str">
        <f>IFERROR(VLOOKUP(DATE($K$1,$K$2,NCW$4),Table1[],(MATCH(Calendar!$A19,DB!$1:$1,0)),FALSE),"")</f>
        <v/>
      </c>
      <c r="NCX19" s="28" t="str">
        <f>IFERROR(VLOOKUP(DATE($K$1,$K$2,NCX$4),Table1[],(MATCH(Calendar!$A19,DB!$1:$1,0)),FALSE),"")</f>
        <v/>
      </c>
      <c r="NCY19" s="28" t="str">
        <f>IFERROR(VLOOKUP(DATE($K$1,$K$2,NCY$4),Table1[],(MATCH(Calendar!$A19,DB!$1:$1,0)),FALSE),"")</f>
        <v/>
      </c>
      <c r="NCZ19" s="28" t="str">
        <f>IFERROR(VLOOKUP(DATE($K$1,$K$2,NCZ$4),Table1[],(MATCH(Calendar!$A19,DB!$1:$1,0)),FALSE),"")</f>
        <v/>
      </c>
      <c r="NDA19" s="28" t="str">
        <f>IFERROR(VLOOKUP(DATE($K$1,$K$2,NDA$4),Table1[],(MATCH(Calendar!$A19,DB!$1:$1,0)),FALSE),"")</f>
        <v/>
      </c>
      <c r="NDB19" s="28" t="str">
        <f>IFERROR(VLOOKUP(DATE($K$1,$K$2,NDB$4),Table1[],(MATCH(Calendar!$A19,DB!$1:$1,0)),FALSE),"")</f>
        <v/>
      </c>
      <c r="NDC19" s="28" t="str">
        <f>IFERROR(VLOOKUP(DATE($K$1,$K$2,NDC$4),Table1[],(MATCH(Calendar!$A19,DB!$1:$1,0)),FALSE),"")</f>
        <v/>
      </c>
      <c r="NDD19" s="28" t="str">
        <f>IFERROR(VLOOKUP(DATE($K$1,$K$2,NDD$4),Table1[],(MATCH(Calendar!$A19,DB!$1:$1,0)),FALSE),"")</f>
        <v/>
      </c>
      <c r="NDE19" s="28" t="str">
        <f>IFERROR(VLOOKUP(DATE($K$1,$K$2,NDE$4),Table1[],(MATCH(Calendar!$A19,DB!$1:$1,0)),FALSE),"")</f>
        <v/>
      </c>
      <c r="NDF19" s="28" t="str">
        <f>IFERROR(VLOOKUP(DATE($K$1,$K$2,NDF$4),Table1[],(MATCH(Calendar!$A19,DB!$1:$1,0)),FALSE),"")</f>
        <v/>
      </c>
      <c r="NDG19" s="28" t="str">
        <f>IFERROR(VLOOKUP(DATE($K$1,$K$2,NDG$4),Table1[],(MATCH(Calendar!$A19,DB!$1:$1,0)),FALSE),"")</f>
        <v/>
      </c>
      <c r="NDH19" s="28" t="str">
        <f>IFERROR(VLOOKUP(DATE($K$1,$K$2,NDH$4),Table1[],(MATCH(Calendar!$A19,DB!$1:$1,0)),FALSE),"")</f>
        <v/>
      </c>
      <c r="NDI19" s="28" t="str">
        <f>IFERROR(VLOOKUP(DATE($K$1,$K$2,NDI$4),Table1[],(MATCH(Calendar!$A19,DB!$1:$1,0)),FALSE),"")</f>
        <v/>
      </c>
      <c r="NDJ19" s="28" t="str">
        <f>IFERROR(VLOOKUP(DATE($K$1,$K$2,NDJ$4),Table1[],(MATCH(Calendar!$A19,DB!$1:$1,0)),FALSE),"")</f>
        <v/>
      </c>
      <c r="NDK19" s="28" t="str">
        <f>IFERROR(VLOOKUP(DATE($K$1,$K$2,NDK$4),Table1[],(MATCH(Calendar!$A19,DB!$1:$1,0)),FALSE),"")</f>
        <v/>
      </c>
      <c r="NDL19" s="28" t="str">
        <f>IFERROR(VLOOKUP(DATE($K$1,$K$2,NDL$4),Table1[],(MATCH(Calendar!$A19,DB!$1:$1,0)),FALSE),"")</f>
        <v/>
      </c>
      <c r="NDM19" s="28" t="str">
        <f>IFERROR(VLOOKUP(DATE($K$1,$K$2,NDM$4),Table1[],(MATCH(Calendar!$A19,DB!$1:$1,0)),FALSE),"")</f>
        <v/>
      </c>
      <c r="NDN19" s="28" t="str">
        <f>IFERROR(VLOOKUP(DATE($K$1,$K$2,NDN$4),Table1[],(MATCH(Calendar!$A19,DB!$1:$1,0)),FALSE),"")</f>
        <v/>
      </c>
      <c r="NDO19" s="28" t="str">
        <f>IFERROR(VLOOKUP(DATE($K$1,$K$2,NDO$4),Table1[],(MATCH(Calendar!$A19,DB!$1:$1,0)),FALSE),"")</f>
        <v/>
      </c>
      <c r="NDP19" s="28" t="str">
        <f>IFERROR(VLOOKUP(DATE($K$1,$K$2,NDP$4),Table1[],(MATCH(Calendar!$A19,DB!$1:$1,0)),FALSE),"")</f>
        <v/>
      </c>
      <c r="NDQ19" s="28" t="str">
        <f>IFERROR(VLOOKUP(DATE($K$1,$K$2,NDQ$4),Table1[],(MATCH(Calendar!$A19,DB!$1:$1,0)),FALSE),"")</f>
        <v/>
      </c>
      <c r="NDR19" s="28" t="str">
        <f>IFERROR(VLOOKUP(DATE($K$1,$K$2,NDR$4),Table1[],(MATCH(Calendar!$A19,DB!$1:$1,0)),FALSE),"")</f>
        <v/>
      </c>
      <c r="NDS19" s="28" t="str">
        <f>IFERROR(VLOOKUP(DATE($K$1,$K$2,NDS$4),Table1[],(MATCH(Calendar!$A19,DB!$1:$1,0)),FALSE),"")</f>
        <v/>
      </c>
      <c r="NDT19" s="28" t="str">
        <f>IFERROR(VLOOKUP(DATE($K$1,$K$2,NDT$4),Table1[],(MATCH(Calendar!$A19,DB!$1:$1,0)),FALSE),"")</f>
        <v/>
      </c>
      <c r="NDU19" s="28" t="str">
        <f>IFERROR(VLOOKUP(DATE($K$1,$K$2,NDU$4),Table1[],(MATCH(Calendar!$A19,DB!$1:$1,0)),FALSE),"")</f>
        <v/>
      </c>
      <c r="NDV19" s="28" t="str">
        <f>IFERROR(VLOOKUP(DATE($K$1,$K$2,NDV$4),Table1[],(MATCH(Calendar!$A19,DB!$1:$1,0)),FALSE),"")</f>
        <v/>
      </c>
      <c r="NDW19" s="28" t="str">
        <f>IFERROR(VLOOKUP(DATE($K$1,$K$2,NDW$4),Table1[],(MATCH(Calendar!$A19,DB!$1:$1,0)),FALSE),"")</f>
        <v/>
      </c>
      <c r="NDX19" s="28" t="str">
        <f>IFERROR(VLOOKUP(DATE($K$1,$K$2,NDX$4),Table1[],(MATCH(Calendar!$A19,DB!$1:$1,0)),FALSE),"")</f>
        <v/>
      </c>
      <c r="NDY19" s="28" t="str">
        <f>IFERROR(VLOOKUP(DATE($K$1,$K$2,NDY$4),Table1[],(MATCH(Calendar!$A19,DB!$1:$1,0)),FALSE),"")</f>
        <v/>
      </c>
      <c r="NDZ19" s="28" t="str">
        <f>IFERROR(VLOOKUP(DATE($K$1,$K$2,NDZ$4),Table1[],(MATCH(Calendar!$A19,DB!$1:$1,0)),FALSE),"")</f>
        <v/>
      </c>
      <c r="NEA19" s="28" t="str">
        <f>IFERROR(VLOOKUP(DATE($K$1,$K$2,NEA$4),Table1[],(MATCH(Calendar!$A19,DB!$1:$1,0)),FALSE),"")</f>
        <v/>
      </c>
      <c r="NEB19" s="28" t="str">
        <f>IFERROR(VLOOKUP(DATE($K$1,$K$2,NEB$4),Table1[],(MATCH(Calendar!$A19,DB!$1:$1,0)),FALSE),"")</f>
        <v/>
      </c>
      <c r="NEC19" s="28" t="str">
        <f>IFERROR(VLOOKUP(DATE($K$1,$K$2,NEC$4),Table1[],(MATCH(Calendar!$A19,DB!$1:$1,0)),FALSE),"")</f>
        <v/>
      </c>
      <c r="NED19" s="28" t="str">
        <f>IFERROR(VLOOKUP(DATE($K$1,$K$2,NED$4),Table1[],(MATCH(Calendar!$A19,DB!$1:$1,0)),FALSE),"")</f>
        <v/>
      </c>
      <c r="NEE19" s="28" t="str">
        <f>IFERROR(VLOOKUP(DATE($K$1,$K$2,NEE$4),Table1[],(MATCH(Calendar!$A19,DB!$1:$1,0)),FALSE),"")</f>
        <v/>
      </c>
      <c r="NEF19" s="28" t="str">
        <f>IFERROR(VLOOKUP(DATE($K$1,$K$2,NEF$4),Table1[],(MATCH(Calendar!$A19,DB!$1:$1,0)),FALSE),"")</f>
        <v/>
      </c>
      <c r="NEG19" s="28" t="str">
        <f>IFERROR(VLOOKUP(DATE($K$1,$K$2,NEG$4),Table1[],(MATCH(Calendar!$A19,DB!$1:$1,0)),FALSE),"")</f>
        <v/>
      </c>
      <c r="NEH19" s="28" t="str">
        <f>IFERROR(VLOOKUP(DATE($K$1,$K$2,NEH$4),Table1[],(MATCH(Calendar!$A19,DB!$1:$1,0)),FALSE),"")</f>
        <v/>
      </c>
      <c r="NEI19" s="28" t="str">
        <f>IFERROR(VLOOKUP(DATE($K$1,$K$2,NEI$4),Table1[],(MATCH(Calendar!$A19,DB!$1:$1,0)),FALSE),"")</f>
        <v/>
      </c>
      <c r="NEJ19" s="28" t="str">
        <f>IFERROR(VLOOKUP(DATE($K$1,$K$2,NEJ$4),Table1[],(MATCH(Calendar!$A19,DB!$1:$1,0)),FALSE),"")</f>
        <v/>
      </c>
      <c r="NEK19" s="28" t="str">
        <f>IFERROR(VLOOKUP(DATE($K$1,$K$2,NEK$4),Table1[],(MATCH(Calendar!$A19,DB!$1:$1,0)),FALSE),"")</f>
        <v/>
      </c>
      <c r="NEL19" s="28" t="str">
        <f>IFERROR(VLOOKUP(DATE($K$1,$K$2,NEL$4),Table1[],(MATCH(Calendar!$A19,DB!$1:$1,0)),FALSE),"")</f>
        <v/>
      </c>
      <c r="NEM19" s="28" t="str">
        <f>IFERROR(VLOOKUP(DATE($K$1,$K$2,NEM$4),Table1[],(MATCH(Calendar!$A19,DB!$1:$1,0)),FALSE),"")</f>
        <v/>
      </c>
      <c r="NEN19" s="28" t="str">
        <f>IFERROR(VLOOKUP(DATE($K$1,$K$2,NEN$4),Table1[],(MATCH(Calendar!$A19,DB!$1:$1,0)),FALSE),"")</f>
        <v/>
      </c>
      <c r="NEO19" s="28" t="str">
        <f>IFERROR(VLOOKUP(DATE($K$1,$K$2,NEO$4),Table1[],(MATCH(Calendar!$A19,DB!$1:$1,0)),FALSE),"")</f>
        <v/>
      </c>
      <c r="NEP19" s="28" t="str">
        <f>IFERROR(VLOOKUP(DATE($K$1,$K$2,NEP$4),Table1[],(MATCH(Calendar!$A19,DB!$1:$1,0)),FALSE),"")</f>
        <v/>
      </c>
      <c r="NEQ19" s="28" t="str">
        <f>IFERROR(VLOOKUP(DATE($K$1,$K$2,NEQ$4),Table1[],(MATCH(Calendar!$A19,DB!$1:$1,0)),FALSE),"")</f>
        <v/>
      </c>
      <c r="NER19" s="28" t="str">
        <f>IFERROR(VLOOKUP(DATE($K$1,$K$2,NER$4),Table1[],(MATCH(Calendar!$A19,DB!$1:$1,0)),FALSE),"")</f>
        <v/>
      </c>
      <c r="NES19" s="28" t="str">
        <f>IFERROR(VLOOKUP(DATE($K$1,$K$2,NES$4),Table1[],(MATCH(Calendar!$A19,DB!$1:$1,0)),FALSE),"")</f>
        <v/>
      </c>
      <c r="NET19" s="28" t="str">
        <f>IFERROR(VLOOKUP(DATE($K$1,$K$2,NET$4),Table1[],(MATCH(Calendar!$A19,DB!$1:$1,0)),FALSE),"")</f>
        <v/>
      </c>
      <c r="NEU19" s="28" t="str">
        <f>IFERROR(VLOOKUP(DATE($K$1,$K$2,NEU$4),Table1[],(MATCH(Calendar!$A19,DB!$1:$1,0)),FALSE),"")</f>
        <v/>
      </c>
      <c r="NEV19" s="28" t="str">
        <f>IFERROR(VLOOKUP(DATE($K$1,$K$2,NEV$4),Table1[],(MATCH(Calendar!$A19,DB!$1:$1,0)),FALSE),"")</f>
        <v/>
      </c>
      <c r="NEW19" s="28" t="str">
        <f>IFERROR(VLOOKUP(DATE($K$1,$K$2,NEW$4),Table1[],(MATCH(Calendar!$A19,DB!$1:$1,0)),FALSE),"")</f>
        <v/>
      </c>
      <c r="NEX19" s="28" t="str">
        <f>IFERROR(VLOOKUP(DATE($K$1,$K$2,NEX$4),Table1[],(MATCH(Calendar!$A19,DB!$1:$1,0)),FALSE),"")</f>
        <v/>
      </c>
      <c r="NEY19" s="28" t="str">
        <f>IFERROR(VLOOKUP(DATE($K$1,$K$2,NEY$4),Table1[],(MATCH(Calendar!$A19,DB!$1:$1,0)),FALSE),"")</f>
        <v/>
      </c>
      <c r="NEZ19" s="28" t="str">
        <f>IFERROR(VLOOKUP(DATE($K$1,$K$2,NEZ$4),Table1[],(MATCH(Calendar!$A19,DB!$1:$1,0)),FALSE),"")</f>
        <v/>
      </c>
      <c r="NFA19" s="28" t="str">
        <f>IFERROR(VLOOKUP(DATE($K$1,$K$2,NFA$4),Table1[],(MATCH(Calendar!$A19,DB!$1:$1,0)),FALSE),"")</f>
        <v/>
      </c>
      <c r="NFB19" s="28" t="str">
        <f>IFERROR(VLOOKUP(DATE($K$1,$K$2,NFB$4),Table1[],(MATCH(Calendar!$A19,DB!$1:$1,0)),FALSE),"")</f>
        <v/>
      </c>
      <c r="NFC19" s="28" t="str">
        <f>IFERROR(VLOOKUP(DATE($K$1,$K$2,NFC$4),Table1[],(MATCH(Calendar!$A19,DB!$1:$1,0)),FALSE),"")</f>
        <v/>
      </c>
      <c r="NFD19" s="28" t="str">
        <f>IFERROR(VLOOKUP(DATE($K$1,$K$2,NFD$4),Table1[],(MATCH(Calendar!$A19,DB!$1:$1,0)),FALSE),"")</f>
        <v/>
      </c>
      <c r="NFE19" s="28" t="str">
        <f>IFERROR(VLOOKUP(DATE($K$1,$K$2,NFE$4),Table1[],(MATCH(Calendar!$A19,DB!$1:$1,0)),FALSE),"")</f>
        <v/>
      </c>
      <c r="NFF19" s="28" t="str">
        <f>IFERROR(VLOOKUP(DATE($K$1,$K$2,NFF$4),Table1[],(MATCH(Calendar!$A19,DB!$1:$1,0)),FALSE),"")</f>
        <v/>
      </c>
      <c r="NFG19" s="28" t="str">
        <f>IFERROR(VLOOKUP(DATE($K$1,$K$2,NFG$4),Table1[],(MATCH(Calendar!$A19,DB!$1:$1,0)),FALSE),"")</f>
        <v/>
      </c>
      <c r="NFH19" s="28" t="str">
        <f>IFERROR(VLOOKUP(DATE($K$1,$K$2,NFH$4),Table1[],(MATCH(Calendar!$A19,DB!$1:$1,0)),FALSE),"")</f>
        <v/>
      </c>
      <c r="NFI19" s="28" t="str">
        <f>IFERROR(VLOOKUP(DATE($K$1,$K$2,NFI$4),Table1[],(MATCH(Calendar!$A19,DB!$1:$1,0)),FALSE),"")</f>
        <v/>
      </c>
      <c r="NFJ19" s="28" t="str">
        <f>IFERROR(VLOOKUP(DATE($K$1,$K$2,NFJ$4),Table1[],(MATCH(Calendar!$A19,DB!$1:$1,0)),FALSE),"")</f>
        <v/>
      </c>
      <c r="NFK19" s="28" t="str">
        <f>IFERROR(VLOOKUP(DATE($K$1,$K$2,NFK$4),Table1[],(MATCH(Calendar!$A19,DB!$1:$1,0)),FALSE),"")</f>
        <v/>
      </c>
      <c r="NFL19" s="28" t="str">
        <f>IFERROR(VLOOKUP(DATE($K$1,$K$2,NFL$4),Table1[],(MATCH(Calendar!$A19,DB!$1:$1,0)),FALSE),"")</f>
        <v/>
      </c>
      <c r="NFM19" s="28" t="str">
        <f>IFERROR(VLOOKUP(DATE($K$1,$K$2,NFM$4),Table1[],(MATCH(Calendar!$A19,DB!$1:$1,0)),FALSE),"")</f>
        <v/>
      </c>
      <c r="NFN19" s="28" t="str">
        <f>IFERROR(VLOOKUP(DATE($K$1,$K$2,NFN$4),Table1[],(MATCH(Calendar!$A19,DB!$1:$1,0)),FALSE),"")</f>
        <v/>
      </c>
      <c r="NFO19" s="28" t="str">
        <f>IFERROR(VLOOKUP(DATE($K$1,$K$2,NFO$4),Table1[],(MATCH(Calendar!$A19,DB!$1:$1,0)),FALSE),"")</f>
        <v/>
      </c>
      <c r="NFP19" s="28" t="str">
        <f>IFERROR(VLOOKUP(DATE($K$1,$K$2,NFP$4),Table1[],(MATCH(Calendar!$A19,DB!$1:$1,0)),FALSE),"")</f>
        <v/>
      </c>
      <c r="NFQ19" s="28" t="str">
        <f>IFERROR(VLOOKUP(DATE($K$1,$K$2,NFQ$4),Table1[],(MATCH(Calendar!$A19,DB!$1:$1,0)),FALSE),"")</f>
        <v/>
      </c>
      <c r="NFR19" s="28" t="str">
        <f>IFERROR(VLOOKUP(DATE($K$1,$K$2,NFR$4),Table1[],(MATCH(Calendar!$A19,DB!$1:$1,0)),FALSE),"")</f>
        <v/>
      </c>
      <c r="NFS19" s="28" t="str">
        <f>IFERROR(VLOOKUP(DATE($K$1,$K$2,NFS$4),Table1[],(MATCH(Calendar!$A19,DB!$1:$1,0)),FALSE),"")</f>
        <v/>
      </c>
      <c r="NFT19" s="28" t="str">
        <f>IFERROR(VLOOKUP(DATE($K$1,$K$2,NFT$4),Table1[],(MATCH(Calendar!$A19,DB!$1:$1,0)),FALSE),"")</f>
        <v/>
      </c>
      <c r="NFU19" s="28" t="str">
        <f>IFERROR(VLOOKUP(DATE($K$1,$K$2,NFU$4),Table1[],(MATCH(Calendar!$A19,DB!$1:$1,0)),FALSE),"")</f>
        <v/>
      </c>
      <c r="NFV19" s="28" t="str">
        <f>IFERROR(VLOOKUP(DATE($K$1,$K$2,NFV$4),Table1[],(MATCH(Calendar!$A19,DB!$1:$1,0)),FALSE),"")</f>
        <v/>
      </c>
      <c r="NFW19" s="28" t="str">
        <f>IFERROR(VLOOKUP(DATE($K$1,$K$2,NFW$4),Table1[],(MATCH(Calendar!$A19,DB!$1:$1,0)),FALSE),"")</f>
        <v/>
      </c>
      <c r="NFX19" s="28" t="str">
        <f>IFERROR(VLOOKUP(DATE($K$1,$K$2,NFX$4),Table1[],(MATCH(Calendar!$A19,DB!$1:$1,0)),FALSE),"")</f>
        <v/>
      </c>
      <c r="NFY19" s="28" t="str">
        <f>IFERROR(VLOOKUP(DATE($K$1,$K$2,NFY$4),Table1[],(MATCH(Calendar!$A19,DB!$1:$1,0)),FALSE),"")</f>
        <v/>
      </c>
      <c r="NFZ19" s="28" t="str">
        <f>IFERROR(VLOOKUP(DATE($K$1,$K$2,NFZ$4),Table1[],(MATCH(Calendar!$A19,DB!$1:$1,0)),FALSE),"")</f>
        <v/>
      </c>
      <c r="NGA19" s="28" t="str">
        <f>IFERROR(VLOOKUP(DATE($K$1,$K$2,NGA$4),Table1[],(MATCH(Calendar!$A19,DB!$1:$1,0)),FALSE),"")</f>
        <v/>
      </c>
      <c r="NGB19" s="28" t="str">
        <f>IFERROR(VLOOKUP(DATE($K$1,$K$2,NGB$4),Table1[],(MATCH(Calendar!$A19,DB!$1:$1,0)),FALSE),"")</f>
        <v/>
      </c>
      <c r="NGC19" s="28" t="str">
        <f>IFERROR(VLOOKUP(DATE($K$1,$K$2,NGC$4),Table1[],(MATCH(Calendar!$A19,DB!$1:$1,0)),FALSE),"")</f>
        <v/>
      </c>
      <c r="NGD19" s="28" t="str">
        <f>IFERROR(VLOOKUP(DATE($K$1,$K$2,NGD$4),Table1[],(MATCH(Calendar!$A19,DB!$1:$1,0)),FALSE),"")</f>
        <v/>
      </c>
      <c r="NGE19" s="28" t="str">
        <f>IFERROR(VLOOKUP(DATE($K$1,$K$2,NGE$4),Table1[],(MATCH(Calendar!$A19,DB!$1:$1,0)),FALSE),"")</f>
        <v/>
      </c>
      <c r="NGF19" s="28" t="str">
        <f>IFERROR(VLOOKUP(DATE($K$1,$K$2,NGF$4),Table1[],(MATCH(Calendar!$A19,DB!$1:$1,0)),FALSE),"")</f>
        <v/>
      </c>
      <c r="NGG19" s="28" t="str">
        <f>IFERROR(VLOOKUP(DATE($K$1,$K$2,NGG$4),Table1[],(MATCH(Calendar!$A19,DB!$1:$1,0)),FALSE),"")</f>
        <v/>
      </c>
      <c r="NGH19" s="28" t="str">
        <f>IFERROR(VLOOKUP(DATE($K$1,$K$2,NGH$4),Table1[],(MATCH(Calendar!$A19,DB!$1:$1,0)),FALSE),"")</f>
        <v/>
      </c>
      <c r="NGI19" s="28" t="str">
        <f>IFERROR(VLOOKUP(DATE($K$1,$K$2,NGI$4),Table1[],(MATCH(Calendar!$A19,DB!$1:$1,0)),FALSE),"")</f>
        <v/>
      </c>
      <c r="NGJ19" s="28" t="str">
        <f>IFERROR(VLOOKUP(DATE($K$1,$K$2,NGJ$4),Table1[],(MATCH(Calendar!$A19,DB!$1:$1,0)),FALSE),"")</f>
        <v/>
      </c>
      <c r="NGK19" s="28" t="str">
        <f>IFERROR(VLOOKUP(DATE($K$1,$K$2,NGK$4),Table1[],(MATCH(Calendar!$A19,DB!$1:$1,0)),FALSE),"")</f>
        <v/>
      </c>
      <c r="NGL19" s="28" t="str">
        <f>IFERROR(VLOOKUP(DATE($K$1,$K$2,NGL$4),Table1[],(MATCH(Calendar!$A19,DB!$1:$1,0)),FALSE),"")</f>
        <v/>
      </c>
      <c r="NGM19" s="28" t="str">
        <f>IFERROR(VLOOKUP(DATE($K$1,$K$2,NGM$4),Table1[],(MATCH(Calendar!$A19,DB!$1:$1,0)),FALSE),"")</f>
        <v/>
      </c>
      <c r="NGN19" s="28" t="str">
        <f>IFERROR(VLOOKUP(DATE($K$1,$K$2,NGN$4),Table1[],(MATCH(Calendar!$A19,DB!$1:$1,0)),FALSE),"")</f>
        <v/>
      </c>
      <c r="NGO19" s="28" t="str">
        <f>IFERROR(VLOOKUP(DATE($K$1,$K$2,NGO$4),Table1[],(MATCH(Calendar!$A19,DB!$1:$1,0)),FALSE),"")</f>
        <v/>
      </c>
      <c r="NGP19" s="28" t="str">
        <f>IFERROR(VLOOKUP(DATE($K$1,$K$2,NGP$4),Table1[],(MATCH(Calendar!$A19,DB!$1:$1,0)),FALSE),"")</f>
        <v/>
      </c>
      <c r="NGQ19" s="28" t="str">
        <f>IFERROR(VLOOKUP(DATE($K$1,$K$2,NGQ$4),Table1[],(MATCH(Calendar!$A19,DB!$1:$1,0)),FALSE),"")</f>
        <v/>
      </c>
      <c r="NGR19" s="28" t="str">
        <f>IFERROR(VLOOKUP(DATE($K$1,$K$2,NGR$4),Table1[],(MATCH(Calendar!$A19,DB!$1:$1,0)),FALSE),"")</f>
        <v/>
      </c>
      <c r="NGS19" s="28" t="str">
        <f>IFERROR(VLOOKUP(DATE($K$1,$K$2,NGS$4),Table1[],(MATCH(Calendar!$A19,DB!$1:$1,0)),FALSE),"")</f>
        <v/>
      </c>
      <c r="NGT19" s="28" t="str">
        <f>IFERROR(VLOOKUP(DATE($K$1,$K$2,NGT$4),Table1[],(MATCH(Calendar!$A19,DB!$1:$1,0)),FALSE),"")</f>
        <v/>
      </c>
      <c r="NGU19" s="28" t="str">
        <f>IFERROR(VLOOKUP(DATE($K$1,$K$2,NGU$4),Table1[],(MATCH(Calendar!$A19,DB!$1:$1,0)),FALSE),"")</f>
        <v/>
      </c>
      <c r="NGV19" s="28" t="str">
        <f>IFERROR(VLOOKUP(DATE($K$1,$K$2,NGV$4),Table1[],(MATCH(Calendar!$A19,DB!$1:$1,0)),FALSE),"")</f>
        <v/>
      </c>
      <c r="NGW19" s="28" t="str">
        <f>IFERROR(VLOOKUP(DATE($K$1,$K$2,NGW$4),Table1[],(MATCH(Calendar!$A19,DB!$1:$1,0)),FALSE),"")</f>
        <v/>
      </c>
      <c r="NGX19" s="28" t="str">
        <f>IFERROR(VLOOKUP(DATE($K$1,$K$2,NGX$4),Table1[],(MATCH(Calendar!$A19,DB!$1:$1,0)),FALSE),"")</f>
        <v/>
      </c>
      <c r="NGY19" s="28" t="str">
        <f>IFERROR(VLOOKUP(DATE($K$1,$K$2,NGY$4),Table1[],(MATCH(Calendar!$A19,DB!$1:$1,0)),FALSE),"")</f>
        <v/>
      </c>
      <c r="NGZ19" s="28" t="str">
        <f>IFERROR(VLOOKUP(DATE($K$1,$K$2,NGZ$4),Table1[],(MATCH(Calendar!$A19,DB!$1:$1,0)),FALSE),"")</f>
        <v/>
      </c>
      <c r="NHA19" s="28" t="str">
        <f>IFERROR(VLOOKUP(DATE($K$1,$K$2,NHA$4),Table1[],(MATCH(Calendar!$A19,DB!$1:$1,0)),FALSE),"")</f>
        <v/>
      </c>
      <c r="NHB19" s="28" t="str">
        <f>IFERROR(VLOOKUP(DATE($K$1,$K$2,NHB$4),Table1[],(MATCH(Calendar!$A19,DB!$1:$1,0)),FALSE),"")</f>
        <v/>
      </c>
      <c r="NHC19" s="28" t="str">
        <f>IFERROR(VLOOKUP(DATE($K$1,$K$2,NHC$4),Table1[],(MATCH(Calendar!$A19,DB!$1:$1,0)),FALSE),"")</f>
        <v/>
      </c>
      <c r="NHD19" s="28" t="str">
        <f>IFERROR(VLOOKUP(DATE($K$1,$K$2,NHD$4),Table1[],(MATCH(Calendar!$A19,DB!$1:$1,0)),FALSE),"")</f>
        <v/>
      </c>
      <c r="NHE19" s="28" t="str">
        <f>IFERROR(VLOOKUP(DATE($K$1,$K$2,NHE$4),Table1[],(MATCH(Calendar!$A19,DB!$1:$1,0)),FALSE),"")</f>
        <v/>
      </c>
      <c r="NHF19" s="28" t="str">
        <f>IFERROR(VLOOKUP(DATE($K$1,$K$2,NHF$4),Table1[],(MATCH(Calendar!$A19,DB!$1:$1,0)),FALSE),"")</f>
        <v/>
      </c>
      <c r="NHG19" s="28" t="str">
        <f>IFERROR(VLOOKUP(DATE($K$1,$K$2,NHG$4),Table1[],(MATCH(Calendar!$A19,DB!$1:$1,0)),FALSE),"")</f>
        <v/>
      </c>
      <c r="NHH19" s="28" t="str">
        <f>IFERROR(VLOOKUP(DATE($K$1,$K$2,NHH$4),Table1[],(MATCH(Calendar!$A19,DB!$1:$1,0)),FALSE),"")</f>
        <v/>
      </c>
      <c r="NHI19" s="28" t="str">
        <f>IFERROR(VLOOKUP(DATE($K$1,$K$2,NHI$4),Table1[],(MATCH(Calendar!$A19,DB!$1:$1,0)),FALSE),"")</f>
        <v/>
      </c>
      <c r="NHJ19" s="28" t="str">
        <f>IFERROR(VLOOKUP(DATE($K$1,$K$2,NHJ$4),Table1[],(MATCH(Calendar!$A19,DB!$1:$1,0)),FALSE),"")</f>
        <v/>
      </c>
      <c r="NHK19" s="28" t="str">
        <f>IFERROR(VLOOKUP(DATE($K$1,$K$2,NHK$4),Table1[],(MATCH(Calendar!$A19,DB!$1:$1,0)),FALSE),"")</f>
        <v/>
      </c>
      <c r="NHL19" s="28" t="str">
        <f>IFERROR(VLOOKUP(DATE($K$1,$K$2,NHL$4),Table1[],(MATCH(Calendar!$A19,DB!$1:$1,0)),FALSE),"")</f>
        <v/>
      </c>
      <c r="NHM19" s="28" t="str">
        <f>IFERROR(VLOOKUP(DATE($K$1,$K$2,NHM$4),Table1[],(MATCH(Calendar!$A19,DB!$1:$1,0)),FALSE),"")</f>
        <v/>
      </c>
      <c r="NHN19" s="28" t="str">
        <f>IFERROR(VLOOKUP(DATE($K$1,$K$2,NHN$4),Table1[],(MATCH(Calendar!$A19,DB!$1:$1,0)),FALSE),"")</f>
        <v/>
      </c>
      <c r="NHO19" s="28" t="str">
        <f>IFERROR(VLOOKUP(DATE($K$1,$K$2,NHO$4),Table1[],(MATCH(Calendar!$A19,DB!$1:$1,0)),FALSE),"")</f>
        <v/>
      </c>
      <c r="NHP19" s="28" t="str">
        <f>IFERROR(VLOOKUP(DATE($K$1,$K$2,NHP$4),Table1[],(MATCH(Calendar!$A19,DB!$1:$1,0)),FALSE),"")</f>
        <v/>
      </c>
      <c r="NHQ19" s="28" t="str">
        <f>IFERROR(VLOOKUP(DATE($K$1,$K$2,NHQ$4),Table1[],(MATCH(Calendar!$A19,DB!$1:$1,0)),FALSE),"")</f>
        <v/>
      </c>
      <c r="NHR19" s="28" t="str">
        <f>IFERROR(VLOOKUP(DATE($K$1,$K$2,NHR$4),Table1[],(MATCH(Calendar!$A19,DB!$1:$1,0)),FALSE),"")</f>
        <v/>
      </c>
      <c r="NHS19" s="28" t="str">
        <f>IFERROR(VLOOKUP(DATE($K$1,$K$2,NHS$4),Table1[],(MATCH(Calendar!$A19,DB!$1:$1,0)),FALSE),"")</f>
        <v/>
      </c>
      <c r="NHT19" s="28" t="str">
        <f>IFERROR(VLOOKUP(DATE($K$1,$K$2,NHT$4),Table1[],(MATCH(Calendar!$A19,DB!$1:$1,0)),FALSE),"")</f>
        <v/>
      </c>
      <c r="NHU19" s="28" t="str">
        <f>IFERROR(VLOOKUP(DATE($K$1,$K$2,NHU$4),Table1[],(MATCH(Calendar!$A19,DB!$1:$1,0)),FALSE),"")</f>
        <v/>
      </c>
      <c r="NHV19" s="28" t="str">
        <f>IFERROR(VLOOKUP(DATE($K$1,$K$2,NHV$4),Table1[],(MATCH(Calendar!$A19,DB!$1:$1,0)),FALSE),"")</f>
        <v/>
      </c>
      <c r="NHW19" s="28" t="str">
        <f>IFERROR(VLOOKUP(DATE($K$1,$K$2,NHW$4),Table1[],(MATCH(Calendar!$A19,DB!$1:$1,0)),FALSE),"")</f>
        <v/>
      </c>
      <c r="NHX19" s="28" t="str">
        <f>IFERROR(VLOOKUP(DATE($K$1,$K$2,NHX$4),Table1[],(MATCH(Calendar!$A19,DB!$1:$1,0)),FALSE),"")</f>
        <v/>
      </c>
      <c r="NHY19" s="28" t="str">
        <f>IFERROR(VLOOKUP(DATE($K$1,$K$2,NHY$4),Table1[],(MATCH(Calendar!$A19,DB!$1:$1,0)),FALSE),"")</f>
        <v/>
      </c>
      <c r="NHZ19" s="28" t="str">
        <f>IFERROR(VLOOKUP(DATE($K$1,$K$2,NHZ$4),Table1[],(MATCH(Calendar!$A19,DB!$1:$1,0)),FALSE),"")</f>
        <v/>
      </c>
      <c r="NIA19" s="28" t="str">
        <f>IFERROR(VLOOKUP(DATE($K$1,$K$2,NIA$4),Table1[],(MATCH(Calendar!$A19,DB!$1:$1,0)),FALSE),"")</f>
        <v/>
      </c>
      <c r="NIB19" s="28" t="str">
        <f>IFERROR(VLOOKUP(DATE($K$1,$K$2,NIB$4),Table1[],(MATCH(Calendar!$A19,DB!$1:$1,0)),FALSE),"")</f>
        <v/>
      </c>
      <c r="NIC19" s="28" t="str">
        <f>IFERROR(VLOOKUP(DATE($K$1,$K$2,NIC$4),Table1[],(MATCH(Calendar!$A19,DB!$1:$1,0)),FALSE),"")</f>
        <v/>
      </c>
      <c r="NID19" s="28" t="str">
        <f>IFERROR(VLOOKUP(DATE($K$1,$K$2,NID$4),Table1[],(MATCH(Calendar!$A19,DB!$1:$1,0)),FALSE),"")</f>
        <v/>
      </c>
      <c r="NIE19" s="28" t="str">
        <f>IFERROR(VLOOKUP(DATE($K$1,$K$2,NIE$4),Table1[],(MATCH(Calendar!$A19,DB!$1:$1,0)),FALSE),"")</f>
        <v/>
      </c>
      <c r="NIF19" s="28" t="str">
        <f>IFERROR(VLOOKUP(DATE($K$1,$K$2,NIF$4),Table1[],(MATCH(Calendar!$A19,DB!$1:$1,0)),FALSE),"")</f>
        <v/>
      </c>
      <c r="NIG19" s="28" t="str">
        <f>IFERROR(VLOOKUP(DATE($K$1,$K$2,NIG$4),Table1[],(MATCH(Calendar!$A19,DB!$1:$1,0)),FALSE),"")</f>
        <v/>
      </c>
      <c r="NIH19" s="28" t="str">
        <f>IFERROR(VLOOKUP(DATE($K$1,$K$2,NIH$4),Table1[],(MATCH(Calendar!$A19,DB!$1:$1,0)),FALSE),"")</f>
        <v/>
      </c>
      <c r="NII19" s="28" t="str">
        <f>IFERROR(VLOOKUP(DATE($K$1,$K$2,NII$4),Table1[],(MATCH(Calendar!$A19,DB!$1:$1,0)),FALSE),"")</f>
        <v/>
      </c>
      <c r="NIJ19" s="28" t="str">
        <f>IFERROR(VLOOKUP(DATE($K$1,$K$2,NIJ$4),Table1[],(MATCH(Calendar!$A19,DB!$1:$1,0)),FALSE),"")</f>
        <v/>
      </c>
      <c r="NIK19" s="28" t="str">
        <f>IFERROR(VLOOKUP(DATE($K$1,$K$2,NIK$4),Table1[],(MATCH(Calendar!$A19,DB!$1:$1,0)),FALSE),"")</f>
        <v/>
      </c>
      <c r="NIL19" s="28" t="str">
        <f>IFERROR(VLOOKUP(DATE($K$1,$K$2,NIL$4),Table1[],(MATCH(Calendar!$A19,DB!$1:$1,0)),FALSE),"")</f>
        <v/>
      </c>
      <c r="NIM19" s="28" t="str">
        <f>IFERROR(VLOOKUP(DATE($K$1,$K$2,NIM$4),Table1[],(MATCH(Calendar!$A19,DB!$1:$1,0)),FALSE),"")</f>
        <v/>
      </c>
      <c r="NIN19" s="28" t="str">
        <f>IFERROR(VLOOKUP(DATE($K$1,$K$2,NIN$4),Table1[],(MATCH(Calendar!$A19,DB!$1:$1,0)),FALSE),"")</f>
        <v/>
      </c>
      <c r="NIO19" s="28" t="str">
        <f>IFERROR(VLOOKUP(DATE($K$1,$K$2,NIO$4),Table1[],(MATCH(Calendar!$A19,DB!$1:$1,0)),FALSE),"")</f>
        <v/>
      </c>
      <c r="NIP19" s="28" t="str">
        <f>IFERROR(VLOOKUP(DATE($K$1,$K$2,NIP$4),Table1[],(MATCH(Calendar!$A19,DB!$1:$1,0)),FALSE),"")</f>
        <v/>
      </c>
      <c r="NIQ19" s="28" t="str">
        <f>IFERROR(VLOOKUP(DATE($K$1,$K$2,NIQ$4),Table1[],(MATCH(Calendar!$A19,DB!$1:$1,0)),FALSE),"")</f>
        <v/>
      </c>
      <c r="NIR19" s="28" t="str">
        <f>IFERROR(VLOOKUP(DATE($K$1,$K$2,NIR$4),Table1[],(MATCH(Calendar!$A19,DB!$1:$1,0)),FALSE),"")</f>
        <v/>
      </c>
      <c r="NIS19" s="28" t="str">
        <f>IFERROR(VLOOKUP(DATE($K$1,$K$2,NIS$4),Table1[],(MATCH(Calendar!$A19,DB!$1:$1,0)),FALSE),"")</f>
        <v/>
      </c>
      <c r="NIT19" s="28" t="str">
        <f>IFERROR(VLOOKUP(DATE($K$1,$K$2,NIT$4),Table1[],(MATCH(Calendar!$A19,DB!$1:$1,0)),FALSE),"")</f>
        <v/>
      </c>
      <c r="NIU19" s="28" t="str">
        <f>IFERROR(VLOOKUP(DATE($K$1,$K$2,NIU$4),Table1[],(MATCH(Calendar!$A19,DB!$1:$1,0)),FALSE),"")</f>
        <v/>
      </c>
      <c r="NIV19" s="28" t="str">
        <f>IFERROR(VLOOKUP(DATE($K$1,$K$2,NIV$4),Table1[],(MATCH(Calendar!$A19,DB!$1:$1,0)),FALSE),"")</f>
        <v/>
      </c>
      <c r="NIW19" s="28" t="str">
        <f>IFERROR(VLOOKUP(DATE($K$1,$K$2,NIW$4),Table1[],(MATCH(Calendar!$A19,DB!$1:$1,0)),FALSE),"")</f>
        <v/>
      </c>
      <c r="NIX19" s="28" t="str">
        <f>IFERROR(VLOOKUP(DATE($K$1,$K$2,NIX$4),Table1[],(MATCH(Calendar!$A19,DB!$1:$1,0)),FALSE),"")</f>
        <v/>
      </c>
      <c r="NIY19" s="28" t="str">
        <f>IFERROR(VLOOKUP(DATE($K$1,$K$2,NIY$4),Table1[],(MATCH(Calendar!$A19,DB!$1:$1,0)),FALSE),"")</f>
        <v/>
      </c>
      <c r="NIZ19" s="28" t="str">
        <f>IFERROR(VLOOKUP(DATE($K$1,$K$2,NIZ$4),Table1[],(MATCH(Calendar!$A19,DB!$1:$1,0)),FALSE),"")</f>
        <v/>
      </c>
      <c r="NJA19" s="28" t="str">
        <f>IFERROR(VLOOKUP(DATE($K$1,$K$2,NJA$4),Table1[],(MATCH(Calendar!$A19,DB!$1:$1,0)),FALSE),"")</f>
        <v/>
      </c>
      <c r="NJB19" s="28" t="str">
        <f>IFERROR(VLOOKUP(DATE($K$1,$K$2,NJB$4),Table1[],(MATCH(Calendar!$A19,DB!$1:$1,0)),FALSE),"")</f>
        <v/>
      </c>
      <c r="NJC19" s="28" t="str">
        <f>IFERROR(VLOOKUP(DATE($K$1,$K$2,NJC$4),Table1[],(MATCH(Calendar!$A19,DB!$1:$1,0)),FALSE),"")</f>
        <v/>
      </c>
      <c r="NJD19" s="28" t="str">
        <f>IFERROR(VLOOKUP(DATE($K$1,$K$2,NJD$4),Table1[],(MATCH(Calendar!$A19,DB!$1:$1,0)),FALSE),"")</f>
        <v/>
      </c>
      <c r="NJE19" s="28" t="str">
        <f>IFERROR(VLOOKUP(DATE($K$1,$K$2,NJE$4),Table1[],(MATCH(Calendar!$A19,DB!$1:$1,0)),FALSE),"")</f>
        <v/>
      </c>
      <c r="NJF19" s="28" t="str">
        <f>IFERROR(VLOOKUP(DATE($K$1,$K$2,NJF$4),Table1[],(MATCH(Calendar!$A19,DB!$1:$1,0)),FALSE),"")</f>
        <v/>
      </c>
      <c r="NJG19" s="28" t="str">
        <f>IFERROR(VLOOKUP(DATE($K$1,$K$2,NJG$4),Table1[],(MATCH(Calendar!$A19,DB!$1:$1,0)),FALSE),"")</f>
        <v/>
      </c>
      <c r="NJH19" s="28" t="str">
        <f>IFERROR(VLOOKUP(DATE($K$1,$K$2,NJH$4),Table1[],(MATCH(Calendar!$A19,DB!$1:$1,0)),FALSE),"")</f>
        <v/>
      </c>
      <c r="NJI19" s="28" t="str">
        <f>IFERROR(VLOOKUP(DATE($K$1,$K$2,NJI$4),Table1[],(MATCH(Calendar!$A19,DB!$1:$1,0)),FALSE),"")</f>
        <v/>
      </c>
      <c r="NJJ19" s="28" t="str">
        <f>IFERROR(VLOOKUP(DATE($K$1,$K$2,NJJ$4),Table1[],(MATCH(Calendar!$A19,DB!$1:$1,0)),FALSE),"")</f>
        <v/>
      </c>
      <c r="NJK19" s="28" t="str">
        <f>IFERROR(VLOOKUP(DATE($K$1,$K$2,NJK$4),Table1[],(MATCH(Calendar!$A19,DB!$1:$1,0)),FALSE),"")</f>
        <v/>
      </c>
      <c r="NJL19" s="28" t="str">
        <f>IFERROR(VLOOKUP(DATE($K$1,$K$2,NJL$4),Table1[],(MATCH(Calendar!$A19,DB!$1:$1,0)),FALSE),"")</f>
        <v/>
      </c>
      <c r="NJM19" s="28" t="str">
        <f>IFERROR(VLOOKUP(DATE($K$1,$K$2,NJM$4),Table1[],(MATCH(Calendar!$A19,DB!$1:$1,0)),FALSE),"")</f>
        <v/>
      </c>
      <c r="NJN19" s="28" t="str">
        <f>IFERROR(VLOOKUP(DATE($K$1,$K$2,NJN$4),Table1[],(MATCH(Calendar!$A19,DB!$1:$1,0)),FALSE),"")</f>
        <v/>
      </c>
      <c r="NJO19" s="28" t="str">
        <f>IFERROR(VLOOKUP(DATE($K$1,$K$2,NJO$4),Table1[],(MATCH(Calendar!$A19,DB!$1:$1,0)),FALSE),"")</f>
        <v/>
      </c>
      <c r="NJP19" s="28" t="str">
        <f>IFERROR(VLOOKUP(DATE($K$1,$K$2,NJP$4),Table1[],(MATCH(Calendar!$A19,DB!$1:$1,0)),FALSE),"")</f>
        <v/>
      </c>
      <c r="NJQ19" s="28" t="str">
        <f>IFERROR(VLOOKUP(DATE($K$1,$K$2,NJQ$4),Table1[],(MATCH(Calendar!$A19,DB!$1:$1,0)),FALSE),"")</f>
        <v/>
      </c>
      <c r="NJR19" s="28" t="str">
        <f>IFERROR(VLOOKUP(DATE($K$1,$K$2,NJR$4),Table1[],(MATCH(Calendar!$A19,DB!$1:$1,0)),FALSE),"")</f>
        <v/>
      </c>
      <c r="NJS19" s="28" t="str">
        <f>IFERROR(VLOOKUP(DATE($K$1,$K$2,NJS$4),Table1[],(MATCH(Calendar!$A19,DB!$1:$1,0)),FALSE),"")</f>
        <v/>
      </c>
      <c r="NJT19" s="28" t="str">
        <f>IFERROR(VLOOKUP(DATE($K$1,$K$2,NJT$4),Table1[],(MATCH(Calendar!$A19,DB!$1:$1,0)),FALSE),"")</f>
        <v/>
      </c>
      <c r="NJU19" s="28" t="str">
        <f>IFERROR(VLOOKUP(DATE($K$1,$K$2,NJU$4),Table1[],(MATCH(Calendar!$A19,DB!$1:$1,0)),FALSE),"")</f>
        <v/>
      </c>
      <c r="NJV19" s="28" t="str">
        <f>IFERROR(VLOOKUP(DATE($K$1,$K$2,NJV$4),Table1[],(MATCH(Calendar!$A19,DB!$1:$1,0)),FALSE),"")</f>
        <v/>
      </c>
      <c r="NJW19" s="28" t="str">
        <f>IFERROR(VLOOKUP(DATE($K$1,$K$2,NJW$4),Table1[],(MATCH(Calendar!$A19,DB!$1:$1,0)),FALSE),"")</f>
        <v/>
      </c>
      <c r="NJX19" s="28" t="str">
        <f>IFERROR(VLOOKUP(DATE($K$1,$K$2,NJX$4),Table1[],(MATCH(Calendar!$A19,DB!$1:$1,0)),FALSE),"")</f>
        <v/>
      </c>
      <c r="NJY19" s="28" t="str">
        <f>IFERROR(VLOOKUP(DATE($K$1,$K$2,NJY$4),Table1[],(MATCH(Calendar!$A19,DB!$1:$1,0)),FALSE),"")</f>
        <v/>
      </c>
      <c r="NJZ19" s="28" t="str">
        <f>IFERROR(VLOOKUP(DATE($K$1,$K$2,NJZ$4),Table1[],(MATCH(Calendar!$A19,DB!$1:$1,0)),FALSE),"")</f>
        <v/>
      </c>
      <c r="NKA19" s="28" t="str">
        <f>IFERROR(VLOOKUP(DATE($K$1,$K$2,NKA$4),Table1[],(MATCH(Calendar!$A19,DB!$1:$1,0)),FALSE),"")</f>
        <v/>
      </c>
      <c r="NKB19" s="28" t="str">
        <f>IFERROR(VLOOKUP(DATE($K$1,$K$2,NKB$4),Table1[],(MATCH(Calendar!$A19,DB!$1:$1,0)),FALSE),"")</f>
        <v/>
      </c>
      <c r="NKC19" s="28" t="str">
        <f>IFERROR(VLOOKUP(DATE($K$1,$K$2,NKC$4),Table1[],(MATCH(Calendar!$A19,DB!$1:$1,0)),FALSE),"")</f>
        <v/>
      </c>
      <c r="NKD19" s="28" t="str">
        <f>IFERROR(VLOOKUP(DATE($K$1,$K$2,NKD$4),Table1[],(MATCH(Calendar!$A19,DB!$1:$1,0)),FALSE),"")</f>
        <v/>
      </c>
      <c r="NKE19" s="28" t="str">
        <f>IFERROR(VLOOKUP(DATE($K$1,$K$2,NKE$4),Table1[],(MATCH(Calendar!$A19,DB!$1:$1,0)),FALSE),"")</f>
        <v/>
      </c>
      <c r="NKF19" s="28" t="str">
        <f>IFERROR(VLOOKUP(DATE($K$1,$K$2,NKF$4),Table1[],(MATCH(Calendar!$A19,DB!$1:$1,0)),FALSE),"")</f>
        <v/>
      </c>
      <c r="NKG19" s="28" t="str">
        <f>IFERROR(VLOOKUP(DATE($K$1,$K$2,NKG$4),Table1[],(MATCH(Calendar!$A19,DB!$1:$1,0)),FALSE),"")</f>
        <v/>
      </c>
      <c r="NKH19" s="28" t="str">
        <f>IFERROR(VLOOKUP(DATE($K$1,$K$2,NKH$4),Table1[],(MATCH(Calendar!$A19,DB!$1:$1,0)),FALSE),"")</f>
        <v/>
      </c>
      <c r="NKI19" s="28" t="str">
        <f>IFERROR(VLOOKUP(DATE($K$1,$K$2,NKI$4),Table1[],(MATCH(Calendar!$A19,DB!$1:$1,0)),FALSE),"")</f>
        <v/>
      </c>
      <c r="NKJ19" s="28" t="str">
        <f>IFERROR(VLOOKUP(DATE($K$1,$K$2,NKJ$4),Table1[],(MATCH(Calendar!$A19,DB!$1:$1,0)),FALSE),"")</f>
        <v/>
      </c>
      <c r="NKK19" s="28" t="str">
        <f>IFERROR(VLOOKUP(DATE($K$1,$K$2,NKK$4),Table1[],(MATCH(Calendar!$A19,DB!$1:$1,0)),FALSE),"")</f>
        <v/>
      </c>
      <c r="NKL19" s="28" t="str">
        <f>IFERROR(VLOOKUP(DATE($K$1,$K$2,NKL$4),Table1[],(MATCH(Calendar!$A19,DB!$1:$1,0)),FALSE),"")</f>
        <v/>
      </c>
      <c r="NKM19" s="28" t="str">
        <f>IFERROR(VLOOKUP(DATE($K$1,$K$2,NKM$4),Table1[],(MATCH(Calendar!$A19,DB!$1:$1,0)),FALSE),"")</f>
        <v/>
      </c>
      <c r="NKN19" s="28" t="str">
        <f>IFERROR(VLOOKUP(DATE($K$1,$K$2,NKN$4),Table1[],(MATCH(Calendar!$A19,DB!$1:$1,0)),FALSE),"")</f>
        <v/>
      </c>
      <c r="NKO19" s="28" t="str">
        <f>IFERROR(VLOOKUP(DATE($K$1,$K$2,NKO$4),Table1[],(MATCH(Calendar!$A19,DB!$1:$1,0)),FALSE),"")</f>
        <v/>
      </c>
      <c r="NKP19" s="28" t="str">
        <f>IFERROR(VLOOKUP(DATE($K$1,$K$2,NKP$4),Table1[],(MATCH(Calendar!$A19,DB!$1:$1,0)),FALSE),"")</f>
        <v/>
      </c>
      <c r="NKQ19" s="28" t="str">
        <f>IFERROR(VLOOKUP(DATE($K$1,$K$2,NKQ$4),Table1[],(MATCH(Calendar!$A19,DB!$1:$1,0)),FALSE),"")</f>
        <v/>
      </c>
      <c r="NKR19" s="28" t="str">
        <f>IFERROR(VLOOKUP(DATE($K$1,$K$2,NKR$4),Table1[],(MATCH(Calendar!$A19,DB!$1:$1,0)),FALSE),"")</f>
        <v/>
      </c>
      <c r="NKS19" s="28" t="str">
        <f>IFERROR(VLOOKUP(DATE($K$1,$K$2,NKS$4),Table1[],(MATCH(Calendar!$A19,DB!$1:$1,0)),FALSE),"")</f>
        <v/>
      </c>
      <c r="NKT19" s="28" t="str">
        <f>IFERROR(VLOOKUP(DATE($K$1,$K$2,NKT$4),Table1[],(MATCH(Calendar!$A19,DB!$1:$1,0)),FALSE),"")</f>
        <v/>
      </c>
      <c r="NKU19" s="28" t="str">
        <f>IFERROR(VLOOKUP(DATE($K$1,$K$2,NKU$4),Table1[],(MATCH(Calendar!$A19,DB!$1:$1,0)),FALSE),"")</f>
        <v/>
      </c>
      <c r="NKV19" s="28" t="str">
        <f>IFERROR(VLOOKUP(DATE($K$1,$K$2,NKV$4),Table1[],(MATCH(Calendar!$A19,DB!$1:$1,0)),FALSE),"")</f>
        <v/>
      </c>
      <c r="NKW19" s="28" t="str">
        <f>IFERROR(VLOOKUP(DATE($K$1,$K$2,NKW$4),Table1[],(MATCH(Calendar!$A19,DB!$1:$1,0)),FALSE),"")</f>
        <v/>
      </c>
      <c r="NKX19" s="28" t="str">
        <f>IFERROR(VLOOKUP(DATE($K$1,$K$2,NKX$4),Table1[],(MATCH(Calendar!$A19,DB!$1:$1,0)),FALSE),"")</f>
        <v/>
      </c>
      <c r="NKY19" s="28" t="str">
        <f>IFERROR(VLOOKUP(DATE($K$1,$K$2,NKY$4),Table1[],(MATCH(Calendar!$A19,DB!$1:$1,0)),FALSE),"")</f>
        <v/>
      </c>
      <c r="NKZ19" s="28" t="str">
        <f>IFERROR(VLOOKUP(DATE($K$1,$K$2,NKZ$4),Table1[],(MATCH(Calendar!$A19,DB!$1:$1,0)),FALSE),"")</f>
        <v/>
      </c>
      <c r="NLA19" s="28" t="str">
        <f>IFERROR(VLOOKUP(DATE($K$1,$K$2,NLA$4),Table1[],(MATCH(Calendar!$A19,DB!$1:$1,0)),FALSE),"")</f>
        <v/>
      </c>
      <c r="NLB19" s="28" t="str">
        <f>IFERROR(VLOOKUP(DATE($K$1,$K$2,NLB$4),Table1[],(MATCH(Calendar!$A19,DB!$1:$1,0)),FALSE),"")</f>
        <v/>
      </c>
      <c r="NLC19" s="28" t="str">
        <f>IFERROR(VLOOKUP(DATE($K$1,$K$2,NLC$4),Table1[],(MATCH(Calendar!$A19,DB!$1:$1,0)),FALSE),"")</f>
        <v/>
      </c>
      <c r="NLD19" s="28" t="str">
        <f>IFERROR(VLOOKUP(DATE($K$1,$K$2,NLD$4),Table1[],(MATCH(Calendar!$A19,DB!$1:$1,0)),FALSE),"")</f>
        <v/>
      </c>
      <c r="NLE19" s="28" t="str">
        <f>IFERROR(VLOOKUP(DATE($K$1,$K$2,NLE$4),Table1[],(MATCH(Calendar!$A19,DB!$1:$1,0)),FALSE),"")</f>
        <v/>
      </c>
      <c r="NLF19" s="28" t="str">
        <f>IFERROR(VLOOKUP(DATE($K$1,$K$2,NLF$4),Table1[],(MATCH(Calendar!$A19,DB!$1:$1,0)),FALSE),"")</f>
        <v/>
      </c>
      <c r="NLG19" s="28" t="str">
        <f>IFERROR(VLOOKUP(DATE($K$1,$K$2,NLG$4),Table1[],(MATCH(Calendar!$A19,DB!$1:$1,0)),FALSE),"")</f>
        <v/>
      </c>
      <c r="NLH19" s="28" t="str">
        <f>IFERROR(VLOOKUP(DATE($K$1,$K$2,NLH$4),Table1[],(MATCH(Calendar!$A19,DB!$1:$1,0)),FALSE),"")</f>
        <v/>
      </c>
      <c r="NLI19" s="28" t="str">
        <f>IFERROR(VLOOKUP(DATE($K$1,$K$2,NLI$4),Table1[],(MATCH(Calendar!$A19,DB!$1:$1,0)),FALSE),"")</f>
        <v/>
      </c>
      <c r="NLJ19" s="28" t="str">
        <f>IFERROR(VLOOKUP(DATE($K$1,$K$2,NLJ$4),Table1[],(MATCH(Calendar!$A19,DB!$1:$1,0)),FALSE),"")</f>
        <v/>
      </c>
      <c r="NLK19" s="28" t="str">
        <f>IFERROR(VLOOKUP(DATE($K$1,$K$2,NLK$4),Table1[],(MATCH(Calendar!$A19,DB!$1:$1,0)),FALSE),"")</f>
        <v/>
      </c>
      <c r="NLL19" s="28" t="str">
        <f>IFERROR(VLOOKUP(DATE($K$1,$K$2,NLL$4),Table1[],(MATCH(Calendar!$A19,DB!$1:$1,0)),FALSE),"")</f>
        <v/>
      </c>
      <c r="NLM19" s="28" t="str">
        <f>IFERROR(VLOOKUP(DATE($K$1,$K$2,NLM$4),Table1[],(MATCH(Calendar!$A19,DB!$1:$1,0)),FALSE),"")</f>
        <v/>
      </c>
      <c r="NLN19" s="28" t="str">
        <f>IFERROR(VLOOKUP(DATE($K$1,$K$2,NLN$4),Table1[],(MATCH(Calendar!$A19,DB!$1:$1,0)),FALSE),"")</f>
        <v/>
      </c>
      <c r="NLO19" s="28" t="str">
        <f>IFERROR(VLOOKUP(DATE($K$1,$K$2,NLO$4),Table1[],(MATCH(Calendar!$A19,DB!$1:$1,0)),FALSE),"")</f>
        <v/>
      </c>
      <c r="NLP19" s="28" t="str">
        <f>IFERROR(VLOOKUP(DATE($K$1,$K$2,NLP$4),Table1[],(MATCH(Calendar!$A19,DB!$1:$1,0)),FALSE),"")</f>
        <v/>
      </c>
      <c r="NLQ19" s="28" t="str">
        <f>IFERROR(VLOOKUP(DATE($K$1,$K$2,NLQ$4),Table1[],(MATCH(Calendar!$A19,DB!$1:$1,0)),FALSE),"")</f>
        <v/>
      </c>
      <c r="NLR19" s="28" t="str">
        <f>IFERROR(VLOOKUP(DATE($K$1,$K$2,NLR$4),Table1[],(MATCH(Calendar!$A19,DB!$1:$1,0)),FALSE),"")</f>
        <v/>
      </c>
      <c r="NLS19" s="28" t="str">
        <f>IFERROR(VLOOKUP(DATE($K$1,$K$2,NLS$4),Table1[],(MATCH(Calendar!$A19,DB!$1:$1,0)),FALSE),"")</f>
        <v/>
      </c>
      <c r="NLT19" s="28" t="str">
        <f>IFERROR(VLOOKUP(DATE($K$1,$K$2,NLT$4),Table1[],(MATCH(Calendar!$A19,DB!$1:$1,0)),FALSE),"")</f>
        <v/>
      </c>
      <c r="NLU19" s="28" t="str">
        <f>IFERROR(VLOOKUP(DATE($K$1,$K$2,NLU$4),Table1[],(MATCH(Calendar!$A19,DB!$1:$1,0)),FALSE),"")</f>
        <v/>
      </c>
      <c r="NLV19" s="28" t="str">
        <f>IFERROR(VLOOKUP(DATE($K$1,$K$2,NLV$4),Table1[],(MATCH(Calendar!$A19,DB!$1:$1,0)),FALSE),"")</f>
        <v/>
      </c>
      <c r="NLW19" s="28" t="str">
        <f>IFERROR(VLOOKUP(DATE($K$1,$K$2,NLW$4),Table1[],(MATCH(Calendar!$A19,DB!$1:$1,0)),FALSE),"")</f>
        <v/>
      </c>
      <c r="NLX19" s="28" t="str">
        <f>IFERROR(VLOOKUP(DATE($K$1,$K$2,NLX$4),Table1[],(MATCH(Calendar!$A19,DB!$1:$1,0)),FALSE),"")</f>
        <v/>
      </c>
      <c r="NLY19" s="28" t="str">
        <f>IFERROR(VLOOKUP(DATE($K$1,$K$2,NLY$4),Table1[],(MATCH(Calendar!$A19,DB!$1:$1,0)),FALSE),"")</f>
        <v/>
      </c>
      <c r="NLZ19" s="28" t="str">
        <f>IFERROR(VLOOKUP(DATE($K$1,$K$2,NLZ$4),Table1[],(MATCH(Calendar!$A19,DB!$1:$1,0)),FALSE),"")</f>
        <v/>
      </c>
      <c r="NMA19" s="28" t="str">
        <f>IFERROR(VLOOKUP(DATE($K$1,$K$2,NMA$4),Table1[],(MATCH(Calendar!$A19,DB!$1:$1,0)),FALSE),"")</f>
        <v/>
      </c>
      <c r="NMB19" s="28" t="str">
        <f>IFERROR(VLOOKUP(DATE($K$1,$K$2,NMB$4),Table1[],(MATCH(Calendar!$A19,DB!$1:$1,0)),FALSE),"")</f>
        <v/>
      </c>
      <c r="NMC19" s="28" t="str">
        <f>IFERROR(VLOOKUP(DATE($K$1,$K$2,NMC$4),Table1[],(MATCH(Calendar!$A19,DB!$1:$1,0)),FALSE),"")</f>
        <v/>
      </c>
      <c r="NMD19" s="28" t="str">
        <f>IFERROR(VLOOKUP(DATE($K$1,$K$2,NMD$4),Table1[],(MATCH(Calendar!$A19,DB!$1:$1,0)),FALSE),"")</f>
        <v/>
      </c>
      <c r="NME19" s="28" t="str">
        <f>IFERROR(VLOOKUP(DATE($K$1,$K$2,NME$4),Table1[],(MATCH(Calendar!$A19,DB!$1:$1,0)),FALSE),"")</f>
        <v/>
      </c>
      <c r="NMF19" s="28" t="str">
        <f>IFERROR(VLOOKUP(DATE($K$1,$K$2,NMF$4),Table1[],(MATCH(Calendar!$A19,DB!$1:$1,0)),FALSE),"")</f>
        <v/>
      </c>
      <c r="NMG19" s="28" t="str">
        <f>IFERROR(VLOOKUP(DATE($K$1,$K$2,NMG$4),Table1[],(MATCH(Calendar!$A19,DB!$1:$1,0)),FALSE),"")</f>
        <v/>
      </c>
      <c r="NMH19" s="28" t="str">
        <f>IFERROR(VLOOKUP(DATE($K$1,$K$2,NMH$4),Table1[],(MATCH(Calendar!$A19,DB!$1:$1,0)),FALSE),"")</f>
        <v/>
      </c>
      <c r="NMI19" s="28" t="str">
        <f>IFERROR(VLOOKUP(DATE($K$1,$K$2,NMI$4),Table1[],(MATCH(Calendar!$A19,DB!$1:$1,0)),FALSE),"")</f>
        <v/>
      </c>
      <c r="NMJ19" s="28" t="str">
        <f>IFERROR(VLOOKUP(DATE($K$1,$K$2,NMJ$4),Table1[],(MATCH(Calendar!$A19,DB!$1:$1,0)),FALSE),"")</f>
        <v/>
      </c>
      <c r="NMK19" s="28" t="str">
        <f>IFERROR(VLOOKUP(DATE($K$1,$K$2,NMK$4),Table1[],(MATCH(Calendar!$A19,DB!$1:$1,0)),FALSE),"")</f>
        <v/>
      </c>
      <c r="NML19" s="28" t="str">
        <f>IFERROR(VLOOKUP(DATE($K$1,$K$2,NML$4),Table1[],(MATCH(Calendar!$A19,DB!$1:$1,0)),FALSE),"")</f>
        <v/>
      </c>
      <c r="NMM19" s="28" t="str">
        <f>IFERROR(VLOOKUP(DATE($K$1,$K$2,NMM$4),Table1[],(MATCH(Calendar!$A19,DB!$1:$1,0)),FALSE),"")</f>
        <v/>
      </c>
      <c r="NMN19" s="28" t="str">
        <f>IFERROR(VLOOKUP(DATE($K$1,$K$2,NMN$4),Table1[],(MATCH(Calendar!$A19,DB!$1:$1,0)),FALSE),"")</f>
        <v/>
      </c>
      <c r="NMO19" s="28" t="str">
        <f>IFERROR(VLOOKUP(DATE($K$1,$K$2,NMO$4),Table1[],(MATCH(Calendar!$A19,DB!$1:$1,0)),FALSE),"")</f>
        <v/>
      </c>
      <c r="NMP19" s="28" t="str">
        <f>IFERROR(VLOOKUP(DATE($K$1,$K$2,NMP$4),Table1[],(MATCH(Calendar!$A19,DB!$1:$1,0)),FALSE),"")</f>
        <v/>
      </c>
      <c r="NMQ19" s="28" t="str">
        <f>IFERROR(VLOOKUP(DATE($K$1,$K$2,NMQ$4),Table1[],(MATCH(Calendar!$A19,DB!$1:$1,0)),FALSE),"")</f>
        <v/>
      </c>
      <c r="NMR19" s="28" t="str">
        <f>IFERROR(VLOOKUP(DATE($K$1,$K$2,NMR$4),Table1[],(MATCH(Calendar!$A19,DB!$1:$1,0)),FALSE),"")</f>
        <v/>
      </c>
      <c r="NMS19" s="28" t="str">
        <f>IFERROR(VLOOKUP(DATE($K$1,$K$2,NMS$4),Table1[],(MATCH(Calendar!$A19,DB!$1:$1,0)),FALSE),"")</f>
        <v/>
      </c>
      <c r="NMT19" s="28" t="str">
        <f>IFERROR(VLOOKUP(DATE($K$1,$K$2,NMT$4),Table1[],(MATCH(Calendar!$A19,DB!$1:$1,0)),FALSE),"")</f>
        <v/>
      </c>
      <c r="NMU19" s="28" t="str">
        <f>IFERROR(VLOOKUP(DATE($K$1,$K$2,NMU$4),Table1[],(MATCH(Calendar!$A19,DB!$1:$1,0)),FALSE),"")</f>
        <v/>
      </c>
      <c r="NMV19" s="28" t="str">
        <f>IFERROR(VLOOKUP(DATE($K$1,$K$2,NMV$4),Table1[],(MATCH(Calendar!$A19,DB!$1:$1,0)),FALSE),"")</f>
        <v/>
      </c>
      <c r="NMW19" s="28" t="str">
        <f>IFERROR(VLOOKUP(DATE($K$1,$K$2,NMW$4),Table1[],(MATCH(Calendar!$A19,DB!$1:$1,0)),FALSE),"")</f>
        <v/>
      </c>
      <c r="NMX19" s="28" t="str">
        <f>IFERROR(VLOOKUP(DATE($K$1,$K$2,NMX$4),Table1[],(MATCH(Calendar!$A19,DB!$1:$1,0)),FALSE),"")</f>
        <v/>
      </c>
      <c r="NMY19" s="28" t="str">
        <f>IFERROR(VLOOKUP(DATE($K$1,$K$2,NMY$4),Table1[],(MATCH(Calendar!$A19,DB!$1:$1,0)),FALSE),"")</f>
        <v/>
      </c>
      <c r="NMZ19" s="28" t="str">
        <f>IFERROR(VLOOKUP(DATE($K$1,$K$2,NMZ$4),Table1[],(MATCH(Calendar!$A19,DB!$1:$1,0)),FALSE),"")</f>
        <v/>
      </c>
      <c r="NNA19" s="28" t="str">
        <f>IFERROR(VLOOKUP(DATE($K$1,$K$2,NNA$4),Table1[],(MATCH(Calendar!$A19,DB!$1:$1,0)),FALSE),"")</f>
        <v/>
      </c>
      <c r="NNB19" s="28" t="str">
        <f>IFERROR(VLOOKUP(DATE($K$1,$K$2,NNB$4),Table1[],(MATCH(Calendar!$A19,DB!$1:$1,0)),FALSE),"")</f>
        <v/>
      </c>
      <c r="NNC19" s="28" t="str">
        <f>IFERROR(VLOOKUP(DATE($K$1,$K$2,NNC$4),Table1[],(MATCH(Calendar!$A19,DB!$1:$1,0)),FALSE),"")</f>
        <v/>
      </c>
      <c r="NND19" s="28" t="str">
        <f>IFERROR(VLOOKUP(DATE($K$1,$K$2,NND$4),Table1[],(MATCH(Calendar!$A19,DB!$1:$1,0)),FALSE),"")</f>
        <v/>
      </c>
      <c r="NNE19" s="28" t="str">
        <f>IFERROR(VLOOKUP(DATE($K$1,$K$2,NNE$4),Table1[],(MATCH(Calendar!$A19,DB!$1:$1,0)),FALSE),"")</f>
        <v/>
      </c>
      <c r="NNF19" s="28" t="str">
        <f>IFERROR(VLOOKUP(DATE($K$1,$K$2,NNF$4),Table1[],(MATCH(Calendar!$A19,DB!$1:$1,0)),FALSE),"")</f>
        <v/>
      </c>
      <c r="NNG19" s="28" t="str">
        <f>IFERROR(VLOOKUP(DATE($K$1,$K$2,NNG$4),Table1[],(MATCH(Calendar!$A19,DB!$1:$1,0)),FALSE),"")</f>
        <v/>
      </c>
      <c r="NNH19" s="28" t="str">
        <f>IFERROR(VLOOKUP(DATE($K$1,$K$2,NNH$4),Table1[],(MATCH(Calendar!$A19,DB!$1:$1,0)),FALSE),"")</f>
        <v/>
      </c>
      <c r="NNI19" s="28" t="str">
        <f>IFERROR(VLOOKUP(DATE($K$1,$K$2,NNI$4),Table1[],(MATCH(Calendar!$A19,DB!$1:$1,0)),FALSE),"")</f>
        <v/>
      </c>
      <c r="NNJ19" s="28" t="str">
        <f>IFERROR(VLOOKUP(DATE($K$1,$K$2,NNJ$4),Table1[],(MATCH(Calendar!$A19,DB!$1:$1,0)),FALSE),"")</f>
        <v/>
      </c>
      <c r="NNK19" s="28" t="str">
        <f>IFERROR(VLOOKUP(DATE($K$1,$K$2,NNK$4),Table1[],(MATCH(Calendar!$A19,DB!$1:$1,0)),FALSE),"")</f>
        <v/>
      </c>
      <c r="NNL19" s="28" t="str">
        <f>IFERROR(VLOOKUP(DATE($K$1,$K$2,NNL$4),Table1[],(MATCH(Calendar!$A19,DB!$1:$1,0)),FALSE),"")</f>
        <v/>
      </c>
      <c r="NNM19" s="28" t="str">
        <f>IFERROR(VLOOKUP(DATE($K$1,$K$2,NNM$4),Table1[],(MATCH(Calendar!$A19,DB!$1:$1,0)),FALSE),"")</f>
        <v/>
      </c>
      <c r="NNN19" s="28" t="str">
        <f>IFERROR(VLOOKUP(DATE($K$1,$K$2,NNN$4),Table1[],(MATCH(Calendar!$A19,DB!$1:$1,0)),FALSE),"")</f>
        <v/>
      </c>
      <c r="NNO19" s="28" t="str">
        <f>IFERROR(VLOOKUP(DATE($K$1,$K$2,NNO$4),Table1[],(MATCH(Calendar!$A19,DB!$1:$1,0)),FALSE),"")</f>
        <v/>
      </c>
      <c r="NNP19" s="28" t="str">
        <f>IFERROR(VLOOKUP(DATE($K$1,$K$2,NNP$4),Table1[],(MATCH(Calendar!$A19,DB!$1:$1,0)),FALSE),"")</f>
        <v/>
      </c>
      <c r="NNQ19" s="28" t="str">
        <f>IFERROR(VLOOKUP(DATE($K$1,$K$2,NNQ$4),Table1[],(MATCH(Calendar!$A19,DB!$1:$1,0)),FALSE),"")</f>
        <v/>
      </c>
      <c r="NNR19" s="28" t="str">
        <f>IFERROR(VLOOKUP(DATE($K$1,$K$2,NNR$4),Table1[],(MATCH(Calendar!$A19,DB!$1:$1,0)),FALSE),"")</f>
        <v/>
      </c>
      <c r="NNS19" s="28" t="str">
        <f>IFERROR(VLOOKUP(DATE($K$1,$K$2,NNS$4),Table1[],(MATCH(Calendar!$A19,DB!$1:$1,0)),FALSE),"")</f>
        <v/>
      </c>
      <c r="NNT19" s="28" t="str">
        <f>IFERROR(VLOOKUP(DATE($K$1,$K$2,NNT$4),Table1[],(MATCH(Calendar!$A19,DB!$1:$1,0)),FALSE),"")</f>
        <v/>
      </c>
      <c r="NNU19" s="28" t="str">
        <f>IFERROR(VLOOKUP(DATE($K$1,$K$2,NNU$4),Table1[],(MATCH(Calendar!$A19,DB!$1:$1,0)),FALSE),"")</f>
        <v/>
      </c>
      <c r="NNV19" s="28" t="str">
        <f>IFERROR(VLOOKUP(DATE($K$1,$K$2,NNV$4),Table1[],(MATCH(Calendar!$A19,DB!$1:$1,0)),FALSE),"")</f>
        <v/>
      </c>
      <c r="NNW19" s="28" t="str">
        <f>IFERROR(VLOOKUP(DATE($K$1,$K$2,NNW$4),Table1[],(MATCH(Calendar!$A19,DB!$1:$1,0)),FALSE),"")</f>
        <v/>
      </c>
      <c r="NNX19" s="28" t="str">
        <f>IFERROR(VLOOKUP(DATE($K$1,$K$2,NNX$4),Table1[],(MATCH(Calendar!$A19,DB!$1:$1,0)),FALSE),"")</f>
        <v/>
      </c>
      <c r="NNY19" s="28" t="str">
        <f>IFERROR(VLOOKUP(DATE($K$1,$K$2,NNY$4),Table1[],(MATCH(Calendar!$A19,DB!$1:$1,0)),FALSE),"")</f>
        <v/>
      </c>
      <c r="NNZ19" s="28" t="str">
        <f>IFERROR(VLOOKUP(DATE($K$1,$K$2,NNZ$4),Table1[],(MATCH(Calendar!$A19,DB!$1:$1,0)),FALSE),"")</f>
        <v/>
      </c>
      <c r="NOA19" s="28" t="str">
        <f>IFERROR(VLOOKUP(DATE($K$1,$K$2,NOA$4),Table1[],(MATCH(Calendar!$A19,DB!$1:$1,0)),FALSE),"")</f>
        <v/>
      </c>
      <c r="NOB19" s="28" t="str">
        <f>IFERROR(VLOOKUP(DATE($K$1,$K$2,NOB$4),Table1[],(MATCH(Calendar!$A19,DB!$1:$1,0)),FALSE),"")</f>
        <v/>
      </c>
      <c r="NOC19" s="28" t="str">
        <f>IFERROR(VLOOKUP(DATE($K$1,$K$2,NOC$4),Table1[],(MATCH(Calendar!$A19,DB!$1:$1,0)),FALSE),"")</f>
        <v/>
      </c>
      <c r="NOD19" s="28" t="str">
        <f>IFERROR(VLOOKUP(DATE($K$1,$K$2,NOD$4),Table1[],(MATCH(Calendar!$A19,DB!$1:$1,0)),FALSE),"")</f>
        <v/>
      </c>
      <c r="NOE19" s="28" t="str">
        <f>IFERROR(VLOOKUP(DATE($K$1,$K$2,NOE$4),Table1[],(MATCH(Calendar!$A19,DB!$1:$1,0)),FALSE),"")</f>
        <v/>
      </c>
      <c r="NOF19" s="28" t="str">
        <f>IFERROR(VLOOKUP(DATE($K$1,$K$2,NOF$4),Table1[],(MATCH(Calendar!$A19,DB!$1:$1,0)),FALSE),"")</f>
        <v/>
      </c>
      <c r="NOG19" s="28" t="str">
        <f>IFERROR(VLOOKUP(DATE($K$1,$K$2,NOG$4),Table1[],(MATCH(Calendar!$A19,DB!$1:$1,0)),FALSE),"")</f>
        <v/>
      </c>
      <c r="NOH19" s="28" t="str">
        <f>IFERROR(VLOOKUP(DATE($K$1,$K$2,NOH$4),Table1[],(MATCH(Calendar!$A19,DB!$1:$1,0)),FALSE),"")</f>
        <v/>
      </c>
      <c r="NOI19" s="28" t="str">
        <f>IFERROR(VLOOKUP(DATE($K$1,$K$2,NOI$4),Table1[],(MATCH(Calendar!$A19,DB!$1:$1,0)),FALSE),"")</f>
        <v/>
      </c>
      <c r="NOJ19" s="28" t="str">
        <f>IFERROR(VLOOKUP(DATE($K$1,$K$2,NOJ$4),Table1[],(MATCH(Calendar!$A19,DB!$1:$1,0)),FALSE),"")</f>
        <v/>
      </c>
      <c r="NOK19" s="28" t="str">
        <f>IFERROR(VLOOKUP(DATE($K$1,$K$2,NOK$4),Table1[],(MATCH(Calendar!$A19,DB!$1:$1,0)),FALSE),"")</f>
        <v/>
      </c>
      <c r="NOL19" s="28" t="str">
        <f>IFERROR(VLOOKUP(DATE($K$1,$K$2,NOL$4),Table1[],(MATCH(Calendar!$A19,DB!$1:$1,0)),FALSE),"")</f>
        <v/>
      </c>
      <c r="NOM19" s="28" t="str">
        <f>IFERROR(VLOOKUP(DATE($K$1,$K$2,NOM$4),Table1[],(MATCH(Calendar!$A19,DB!$1:$1,0)),FALSE),"")</f>
        <v/>
      </c>
      <c r="NON19" s="28" t="str">
        <f>IFERROR(VLOOKUP(DATE($K$1,$K$2,NON$4),Table1[],(MATCH(Calendar!$A19,DB!$1:$1,0)),FALSE),"")</f>
        <v/>
      </c>
      <c r="NOO19" s="28" t="str">
        <f>IFERROR(VLOOKUP(DATE($K$1,$K$2,NOO$4),Table1[],(MATCH(Calendar!$A19,DB!$1:$1,0)),FALSE),"")</f>
        <v/>
      </c>
      <c r="NOP19" s="28" t="str">
        <f>IFERROR(VLOOKUP(DATE($K$1,$K$2,NOP$4),Table1[],(MATCH(Calendar!$A19,DB!$1:$1,0)),FALSE),"")</f>
        <v/>
      </c>
      <c r="NOQ19" s="28" t="str">
        <f>IFERROR(VLOOKUP(DATE($K$1,$K$2,NOQ$4),Table1[],(MATCH(Calendar!$A19,DB!$1:$1,0)),FALSE),"")</f>
        <v/>
      </c>
      <c r="NOR19" s="28" t="str">
        <f>IFERROR(VLOOKUP(DATE($K$1,$K$2,NOR$4),Table1[],(MATCH(Calendar!$A19,DB!$1:$1,0)),FALSE),"")</f>
        <v/>
      </c>
      <c r="NOS19" s="28" t="str">
        <f>IFERROR(VLOOKUP(DATE($K$1,$K$2,NOS$4),Table1[],(MATCH(Calendar!$A19,DB!$1:$1,0)),FALSE),"")</f>
        <v/>
      </c>
      <c r="NOT19" s="28" t="str">
        <f>IFERROR(VLOOKUP(DATE($K$1,$K$2,NOT$4),Table1[],(MATCH(Calendar!$A19,DB!$1:$1,0)),FALSE),"")</f>
        <v/>
      </c>
      <c r="NOU19" s="28" t="str">
        <f>IFERROR(VLOOKUP(DATE($K$1,$K$2,NOU$4),Table1[],(MATCH(Calendar!$A19,DB!$1:$1,0)),FALSE),"")</f>
        <v/>
      </c>
      <c r="NOV19" s="28" t="str">
        <f>IFERROR(VLOOKUP(DATE($K$1,$K$2,NOV$4),Table1[],(MATCH(Calendar!$A19,DB!$1:$1,0)),FALSE),"")</f>
        <v/>
      </c>
      <c r="NOW19" s="28" t="str">
        <f>IFERROR(VLOOKUP(DATE($K$1,$K$2,NOW$4),Table1[],(MATCH(Calendar!$A19,DB!$1:$1,0)),FALSE),"")</f>
        <v/>
      </c>
      <c r="NOX19" s="28" t="str">
        <f>IFERROR(VLOOKUP(DATE($K$1,$K$2,NOX$4),Table1[],(MATCH(Calendar!$A19,DB!$1:$1,0)),FALSE),"")</f>
        <v/>
      </c>
      <c r="NOY19" s="28" t="str">
        <f>IFERROR(VLOOKUP(DATE($K$1,$K$2,NOY$4),Table1[],(MATCH(Calendar!$A19,DB!$1:$1,0)),FALSE),"")</f>
        <v/>
      </c>
      <c r="NOZ19" s="28" t="str">
        <f>IFERROR(VLOOKUP(DATE($K$1,$K$2,NOZ$4),Table1[],(MATCH(Calendar!$A19,DB!$1:$1,0)),FALSE),"")</f>
        <v/>
      </c>
      <c r="NPA19" s="28" t="str">
        <f>IFERROR(VLOOKUP(DATE($K$1,$K$2,NPA$4),Table1[],(MATCH(Calendar!$A19,DB!$1:$1,0)),FALSE),"")</f>
        <v/>
      </c>
      <c r="NPB19" s="28" t="str">
        <f>IFERROR(VLOOKUP(DATE($K$1,$K$2,NPB$4),Table1[],(MATCH(Calendar!$A19,DB!$1:$1,0)),FALSE),"")</f>
        <v/>
      </c>
      <c r="NPC19" s="28" t="str">
        <f>IFERROR(VLOOKUP(DATE($K$1,$K$2,NPC$4),Table1[],(MATCH(Calendar!$A19,DB!$1:$1,0)),FALSE),"")</f>
        <v/>
      </c>
      <c r="NPD19" s="28" t="str">
        <f>IFERROR(VLOOKUP(DATE($K$1,$K$2,NPD$4),Table1[],(MATCH(Calendar!$A19,DB!$1:$1,0)),FALSE),"")</f>
        <v/>
      </c>
      <c r="NPE19" s="28" t="str">
        <f>IFERROR(VLOOKUP(DATE($K$1,$K$2,NPE$4),Table1[],(MATCH(Calendar!$A19,DB!$1:$1,0)),FALSE),"")</f>
        <v/>
      </c>
      <c r="NPF19" s="28" t="str">
        <f>IFERROR(VLOOKUP(DATE($K$1,$K$2,NPF$4),Table1[],(MATCH(Calendar!$A19,DB!$1:$1,0)),FALSE),"")</f>
        <v/>
      </c>
      <c r="NPG19" s="28" t="str">
        <f>IFERROR(VLOOKUP(DATE($K$1,$K$2,NPG$4),Table1[],(MATCH(Calendar!$A19,DB!$1:$1,0)),FALSE),"")</f>
        <v/>
      </c>
      <c r="NPH19" s="28" t="str">
        <f>IFERROR(VLOOKUP(DATE($K$1,$K$2,NPH$4),Table1[],(MATCH(Calendar!$A19,DB!$1:$1,0)),FALSE),"")</f>
        <v/>
      </c>
      <c r="NPI19" s="28" t="str">
        <f>IFERROR(VLOOKUP(DATE($K$1,$K$2,NPI$4),Table1[],(MATCH(Calendar!$A19,DB!$1:$1,0)),FALSE),"")</f>
        <v/>
      </c>
      <c r="NPJ19" s="28" t="str">
        <f>IFERROR(VLOOKUP(DATE($K$1,$K$2,NPJ$4),Table1[],(MATCH(Calendar!$A19,DB!$1:$1,0)),FALSE),"")</f>
        <v/>
      </c>
      <c r="NPK19" s="28" t="str">
        <f>IFERROR(VLOOKUP(DATE($K$1,$K$2,NPK$4),Table1[],(MATCH(Calendar!$A19,DB!$1:$1,0)),FALSE),"")</f>
        <v/>
      </c>
      <c r="NPL19" s="28" t="str">
        <f>IFERROR(VLOOKUP(DATE($K$1,$K$2,NPL$4),Table1[],(MATCH(Calendar!$A19,DB!$1:$1,0)),FALSE),"")</f>
        <v/>
      </c>
      <c r="NPM19" s="28" t="str">
        <f>IFERROR(VLOOKUP(DATE($K$1,$K$2,NPM$4),Table1[],(MATCH(Calendar!$A19,DB!$1:$1,0)),FALSE),"")</f>
        <v/>
      </c>
      <c r="NPN19" s="28" t="str">
        <f>IFERROR(VLOOKUP(DATE($K$1,$K$2,NPN$4),Table1[],(MATCH(Calendar!$A19,DB!$1:$1,0)),FALSE),"")</f>
        <v/>
      </c>
      <c r="NPO19" s="28" t="str">
        <f>IFERROR(VLOOKUP(DATE($K$1,$K$2,NPO$4),Table1[],(MATCH(Calendar!$A19,DB!$1:$1,0)),FALSE),"")</f>
        <v/>
      </c>
      <c r="NPP19" s="28" t="str">
        <f>IFERROR(VLOOKUP(DATE($K$1,$K$2,NPP$4),Table1[],(MATCH(Calendar!$A19,DB!$1:$1,0)),FALSE),"")</f>
        <v/>
      </c>
      <c r="NPQ19" s="28" t="str">
        <f>IFERROR(VLOOKUP(DATE($K$1,$K$2,NPQ$4),Table1[],(MATCH(Calendar!$A19,DB!$1:$1,0)),FALSE),"")</f>
        <v/>
      </c>
      <c r="NPR19" s="28" t="str">
        <f>IFERROR(VLOOKUP(DATE($K$1,$K$2,NPR$4),Table1[],(MATCH(Calendar!$A19,DB!$1:$1,0)),FALSE),"")</f>
        <v/>
      </c>
      <c r="NPS19" s="28" t="str">
        <f>IFERROR(VLOOKUP(DATE($K$1,$K$2,NPS$4),Table1[],(MATCH(Calendar!$A19,DB!$1:$1,0)),FALSE),"")</f>
        <v/>
      </c>
      <c r="NPT19" s="28" t="str">
        <f>IFERROR(VLOOKUP(DATE($K$1,$K$2,NPT$4),Table1[],(MATCH(Calendar!$A19,DB!$1:$1,0)),FALSE),"")</f>
        <v/>
      </c>
      <c r="NPU19" s="28" t="str">
        <f>IFERROR(VLOOKUP(DATE($K$1,$K$2,NPU$4),Table1[],(MATCH(Calendar!$A19,DB!$1:$1,0)),FALSE),"")</f>
        <v/>
      </c>
      <c r="NPV19" s="28" t="str">
        <f>IFERROR(VLOOKUP(DATE($K$1,$K$2,NPV$4),Table1[],(MATCH(Calendar!$A19,DB!$1:$1,0)),FALSE),"")</f>
        <v/>
      </c>
      <c r="NPW19" s="28" t="str">
        <f>IFERROR(VLOOKUP(DATE($K$1,$K$2,NPW$4),Table1[],(MATCH(Calendar!$A19,DB!$1:$1,0)),FALSE),"")</f>
        <v/>
      </c>
      <c r="NPX19" s="28" t="str">
        <f>IFERROR(VLOOKUP(DATE($K$1,$K$2,NPX$4),Table1[],(MATCH(Calendar!$A19,DB!$1:$1,0)),FALSE),"")</f>
        <v/>
      </c>
      <c r="NPY19" s="28" t="str">
        <f>IFERROR(VLOOKUP(DATE($K$1,$K$2,NPY$4),Table1[],(MATCH(Calendar!$A19,DB!$1:$1,0)),FALSE),"")</f>
        <v/>
      </c>
      <c r="NPZ19" s="28" t="str">
        <f>IFERROR(VLOOKUP(DATE($K$1,$K$2,NPZ$4),Table1[],(MATCH(Calendar!$A19,DB!$1:$1,0)),FALSE),"")</f>
        <v/>
      </c>
      <c r="NQA19" s="28" t="str">
        <f>IFERROR(VLOOKUP(DATE($K$1,$K$2,NQA$4),Table1[],(MATCH(Calendar!$A19,DB!$1:$1,0)),FALSE),"")</f>
        <v/>
      </c>
      <c r="NQB19" s="28" t="str">
        <f>IFERROR(VLOOKUP(DATE($K$1,$K$2,NQB$4),Table1[],(MATCH(Calendar!$A19,DB!$1:$1,0)),FALSE),"")</f>
        <v/>
      </c>
      <c r="NQC19" s="28" t="str">
        <f>IFERROR(VLOOKUP(DATE($K$1,$K$2,NQC$4),Table1[],(MATCH(Calendar!$A19,DB!$1:$1,0)),FALSE),"")</f>
        <v/>
      </c>
      <c r="NQD19" s="28" t="str">
        <f>IFERROR(VLOOKUP(DATE($K$1,$K$2,NQD$4),Table1[],(MATCH(Calendar!$A19,DB!$1:$1,0)),FALSE),"")</f>
        <v/>
      </c>
      <c r="NQE19" s="28" t="str">
        <f>IFERROR(VLOOKUP(DATE($K$1,$K$2,NQE$4),Table1[],(MATCH(Calendar!$A19,DB!$1:$1,0)),FALSE),"")</f>
        <v/>
      </c>
      <c r="NQF19" s="28" t="str">
        <f>IFERROR(VLOOKUP(DATE($K$1,$K$2,NQF$4),Table1[],(MATCH(Calendar!$A19,DB!$1:$1,0)),FALSE),"")</f>
        <v/>
      </c>
      <c r="NQG19" s="28" t="str">
        <f>IFERROR(VLOOKUP(DATE($K$1,$K$2,NQG$4),Table1[],(MATCH(Calendar!$A19,DB!$1:$1,0)),FALSE),"")</f>
        <v/>
      </c>
      <c r="NQH19" s="28" t="str">
        <f>IFERROR(VLOOKUP(DATE($K$1,$K$2,NQH$4),Table1[],(MATCH(Calendar!$A19,DB!$1:$1,0)),FALSE),"")</f>
        <v/>
      </c>
      <c r="NQI19" s="28" t="str">
        <f>IFERROR(VLOOKUP(DATE($K$1,$K$2,NQI$4),Table1[],(MATCH(Calendar!$A19,DB!$1:$1,0)),FALSE),"")</f>
        <v/>
      </c>
      <c r="NQJ19" s="28" t="str">
        <f>IFERROR(VLOOKUP(DATE($K$1,$K$2,NQJ$4),Table1[],(MATCH(Calendar!$A19,DB!$1:$1,0)),FALSE),"")</f>
        <v/>
      </c>
      <c r="NQK19" s="28" t="str">
        <f>IFERROR(VLOOKUP(DATE($K$1,$K$2,NQK$4),Table1[],(MATCH(Calendar!$A19,DB!$1:$1,0)),FALSE),"")</f>
        <v/>
      </c>
      <c r="NQL19" s="28" t="str">
        <f>IFERROR(VLOOKUP(DATE($K$1,$K$2,NQL$4),Table1[],(MATCH(Calendar!$A19,DB!$1:$1,0)),FALSE),"")</f>
        <v/>
      </c>
      <c r="NQM19" s="28" t="str">
        <f>IFERROR(VLOOKUP(DATE($K$1,$K$2,NQM$4),Table1[],(MATCH(Calendar!$A19,DB!$1:$1,0)),FALSE),"")</f>
        <v/>
      </c>
      <c r="NQN19" s="28" t="str">
        <f>IFERROR(VLOOKUP(DATE($K$1,$K$2,NQN$4),Table1[],(MATCH(Calendar!$A19,DB!$1:$1,0)),FALSE),"")</f>
        <v/>
      </c>
      <c r="NQO19" s="28" t="str">
        <f>IFERROR(VLOOKUP(DATE($K$1,$K$2,NQO$4),Table1[],(MATCH(Calendar!$A19,DB!$1:$1,0)),FALSE),"")</f>
        <v/>
      </c>
      <c r="NQP19" s="28" t="str">
        <f>IFERROR(VLOOKUP(DATE($K$1,$K$2,NQP$4),Table1[],(MATCH(Calendar!$A19,DB!$1:$1,0)),FALSE),"")</f>
        <v/>
      </c>
      <c r="NQQ19" s="28" t="str">
        <f>IFERROR(VLOOKUP(DATE($K$1,$K$2,NQQ$4),Table1[],(MATCH(Calendar!$A19,DB!$1:$1,0)),FALSE),"")</f>
        <v/>
      </c>
      <c r="NQR19" s="28" t="str">
        <f>IFERROR(VLOOKUP(DATE($K$1,$K$2,NQR$4),Table1[],(MATCH(Calendar!$A19,DB!$1:$1,0)),FALSE),"")</f>
        <v/>
      </c>
      <c r="NQS19" s="28" t="str">
        <f>IFERROR(VLOOKUP(DATE($K$1,$K$2,NQS$4),Table1[],(MATCH(Calendar!$A19,DB!$1:$1,0)),FALSE),"")</f>
        <v/>
      </c>
      <c r="NQT19" s="28" t="str">
        <f>IFERROR(VLOOKUP(DATE($K$1,$K$2,NQT$4),Table1[],(MATCH(Calendar!$A19,DB!$1:$1,0)),FALSE),"")</f>
        <v/>
      </c>
      <c r="NQU19" s="28" t="str">
        <f>IFERROR(VLOOKUP(DATE($K$1,$K$2,NQU$4),Table1[],(MATCH(Calendar!$A19,DB!$1:$1,0)),FALSE),"")</f>
        <v/>
      </c>
      <c r="NQV19" s="28" t="str">
        <f>IFERROR(VLOOKUP(DATE($K$1,$K$2,NQV$4),Table1[],(MATCH(Calendar!$A19,DB!$1:$1,0)),FALSE),"")</f>
        <v/>
      </c>
      <c r="NQW19" s="28" t="str">
        <f>IFERROR(VLOOKUP(DATE($K$1,$K$2,NQW$4),Table1[],(MATCH(Calendar!$A19,DB!$1:$1,0)),FALSE),"")</f>
        <v/>
      </c>
      <c r="NQX19" s="28" t="str">
        <f>IFERROR(VLOOKUP(DATE($K$1,$K$2,NQX$4),Table1[],(MATCH(Calendar!$A19,DB!$1:$1,0)),FALSE),"")</f>
        <v/>
      </c>
      <c r="NQY19" s="28" t="str">
        <f>IFERROR(VLOOKUP(DATE($K$1,$K$2,NQY$4),Table1[],(MATCH(Calendar!$A19,DB!$1:$1,0)),FALSE),"")</f>
        <v/>
      </c>
      <c r="NQZ19" s="28" t="str">
        <f>IFERROR(VLOOKUP(DATE($K$1,$K$2,NQZ$4),Table1[],(MATCH(Calendar!$A19,DB!$1:$1,0)),FALSE),"")</f>
        <v/>
      </c>
      <c r="NRA19" s="28" t="str">
        <f>IFERROR(VLOOKUP(DATE($K$1,$K$2,NRA$4),Table1[],(MATCH(Calendar!$A19,DB!$1:$1,0)),FALSE),"")</f>
        <v/>
      </c>
      <c r="NRB19" s="28" t="str">
        <f>IFERROR(VLOOKUP(DATE($K$1,$K$2,NRB$4),Table1[],(MATCH(Calendar!$A19,DB!$1:$1,0)),FALSE),"")</f>
        <v/>
      </c>
      <c r="NRC19" s="28" t="str">
        <f>IFERROR(VLOOKUP(DATE($K$1,$K$2,NRC$4),Table1[],(MATCH(Calendar!$A19,DB!$1:$1,0)),FALSE),"")</f>
        <v/>
      </c>
      <c r="NRD19" s="28" t="str">
        <f>IFERROR(VLOOKUP(DATE($K$1,$K$2,NRD$4),Table1[],(MATCH(Calendar!$A19,DB!$1:$1,0)),FALSE),"")</f>
        <v/>
      </c>
      <c r="NRE19" s="28" t="str">
        <f>IFERROR(VLOOKUP(DATE($K$1,$K$2,NRE$4),Table1[],(MATCH(Calendar!$A19,DB!$1:$1,0)),FALSE),"")</f>
        <v/>
      </c>
      <c r="NRF19" s="28" t="str">
        <f>IFERROR(VLOOKUP(DATE($K$1,$K$2,NRF$4),Table1[],(MATCH(Calendar!$A19,DB!$1:$1,0)),FALSE),"")</f>
        <v/>
      </c>
      <c r="NRG19" s="28" t="str">
        <f>IFERROR(VLOOKUP(DATE($K$1,$K$2,NRG$4),Table1[],(MATCH(Calendar!$A19,DB!$1:$1,0)),FALSE),"")</f>
        <v/>
      </c>
      <c r="NRH19" s="28" t="str">
        <f>IFERROR(VLOOKUP(DATE($K$1,$K$2,NRH$4),Table1[],(MATCH(Calendar!$A19,DB!$1:$1,0)),FALSE),"")</f>
        <v/>
      </c>
      <c r="NRI19" s="28" t="str">
        <f>IFERROR(VLOOKUP(DATE($K$1,$K$2,NRI$4),Table1[],(MATCH(Calendar!$A19,DB!$1:$1,0)),FALSE),"")</f>
        <v/>
      </c>
      <c r="NRJ19" s="28" t="str">
        <f>IFERROR(VLOOKUP(DATE($K$1,$K$2,NRJ$4),Table1[],(MATCH(Calendar!$A19,DB!$1:$1,0)),FALSE),"")</f>
        <v/>
      </c>
      <c r="NRK19" s="28" t="str">
        <f>IFERROR(VLOOKUP(DATE($K$1,$K$2,NRK$4),Table1[],(MATCH(Calendar!$A19,DB!$1:$1,0)),FALSE),"")</f>
        <v/>
      </c>
      <c r="NRL19" s="28" t="str">
        <f>IFERROR(VLOOKUP(DATE($K$1,$K$2,NRL$4),Table1[],(MATCH(Calendar!$A19,DB!$1:$1,0)),FALSE),"")</f>
        <v/>
      </c>
      <c r="NRM19" s="28" t="str">
        <f>IFERROR(VLOOKUP(DATE($K$1,$K$2,NRM$4),Table1[],(MATCH(Calendar!$A19,DB!$1:$1,0)),FALSE),"")</f>
        <v/>
      </c>
      <c r="NRN19" s="28" t="str">
        <f>IFERROR(VLOOKUP(DATE($K$1,$K$2,NRN$4),Table1[],(MATCH(Calendar!$A19,DB!$1:$1,0)),FALSE),"")</f>
        <v/>
      </c>
      <c r="NRO19" s="28" t="str">
        <f>IFERROR(VLOOKUP(DATE($K$1,$K$2,NRO$4),Table1[],(MATCH(Calendar!$A19,DB!$1:$1,0)),FALSE),"")</f>
        <v/>
      </c>
      <c r="NRP19" s="28" t="str">
        <f>IFERROR(VLOOKUP(DATE($K$1,$K$2,NRP$4),Table1[],(MATCH(Calendar!$A19,DB!$1:$1,0)),FALSE),"")</f>
        <v/>
      </c>
      <c r="NRQ19" s="28" t="str">
        <f>IFERROR(VLOOKUP(DATE($K$1,$K$2,NRQ$4),Table1[],(MATCH(Calendar!$A19,DB!$1:$1,0)),FALSE),"")</f>
        <v/>
      </c>
      <c r="NRR19" s="28" t="str">
        <f>IFERROR(VLOOKUP(DATE($K$1,$K$2,NRR$4),Table1[],(MATCH(Calendar!$A19,DB!$1:$1,0)),FALSE),"")</f>
        <v/>
      </c>
      <c r="NRS19" s="28" t="str">
        <f>IFERROR(VLOOKUP(DATE($K$1,$K$2,NRS$4),Table1[],(MATCH(Calendar!$A19,DB!$1:$1,0)),FALSE),"")</f>
        <v/>
      </c>
      <c r="NRT19" s="28" t="str">
        <f>IFERROR(VLOOKUP(DATE($K$1,$K$2,NRT$4),Table1[],(MATCH(Calendar!$A19,DB!$1:$1,0)),FALSE),"")</f>
        <v/>
      </c>
      <c r="NRU19" s="28" t="str">
        <f>IFERROR(VLOOKUP(DATE($K$1,$K$2,NRU$4),Table1[],(MATCH(Calendar!$A19,DB!$1:$1,0)),FALSE),"")</f>
        <v/>
      </c>
      <c r="NRV19" s="28" t="str">
        <f>IFERROR(VLOOKUP(DATE($K$1,$K$2,NRV$4),Table1[],(MATCH(Calendar!$A19,DB!$1:$1,0)),FALSE),"")</f>
        <v/>
      </c>
      <c r="NRW19" s="28" t="str">
        <f>IFERROR(VLOOKUP(DATE($K$1,$K$2,NRW$4),Table1[],(MATCH(Calendar!$A19,DB!$1:$1,0)),FALSE),"")</f>
        <v/>
      </c>
      <c r="NRX19" s="28" t="str">
        <f>IFERROR(VLOOKUP(DATE($K$1,$K$2,NRX$4),Table1[],(MATCH(Calendar!$A19,DB!$1:$1,0)),FALSE),"")</f>
        <v/>
      </c>
      <c r="NRY19" s="28" t="str">
        <f>IFERROR(VLOOKUP(DATE($K$1,$K$2,NRY$4),Table1[],(MATCH(Calendar!$A19,DB!$1:$1,0)),FALSE),"")</f>
        <v/>
      </c>
      <c r="NRZ19" s="28" t="str">
        <f>IFERROR(VLOOKUP(DATE($K$1,$K$2,NRZ$4),Table1[],(MATCH(Calendar!$A19,DB!$1:$1,0)),FALSE),"")</f>
        <v/>
      </c>
      <c r="NSA19" s="28" t="str">
        <f>IFERROR(VLOOKUP(DATE($K$1,$K$2,NSA$4),Table1[],(MATCH(Calendar!$A19,DB!$1:$1,0)),FALSE),"")</f>
        <v/>
      </c>
      <c r="NSB19" s="28" t="str">
        <f>IFERROR(VLOOKUP(DATE($K$1,$K$2,NSB$4),Table1[],(MATCH(Calendar!$A19,DB!$1:$1,0)),FALSE),"")</f>
        <v/>
      </c>
      <c r="NSC19" s="28" t="str">
        <f>IFERROR(VLOOKUP(DATE($K$1,$K$2,NSC$4),Table1[],(MATCH(Calendar!$A19,DB!$1:$1,0)),FALSE),"")</f>
        <v/>
      </c>
      <c r="NSD19" s="28" t="str">
        <f>IFERROR(VLOOKUP(DATE($K$1,$K$2,NSD$4),Table1[],(MATCH(Calendar!$A19,DB!$1:$1,0)),FALSE),"")</f>
        <v/>
      </c>
      <c r="NSE19" s="28" t="str">
        <f>IFERROR(VLOOKUP(DATE($K$1,$K$2,NSE$4),Table1[],(MATCH(Calendar!$A19,DB!$1:$1,0)),FALSE),"")</f>
        <v/>
      </c>
      <c r="NSF19" s="28" t="str">
        <f>IFERROR(VLOOKUP(DATE($K$1,$K$2,NSF$4),Table1[],(MATCH(Calendar!$A19,DB!$1:$1,0)),FALSE),"")</f>
        <v/>
      </c>
      <c r="NSG19" s="28" t="str">
        <f>IFERROR(VLOOKUP(DATE($K$1,$K$2,NSG$4),Table1[],(MATCH(Calendar!$A19,DB!$1:$1,0)),FALSE),"")</f>
        <v/>
      </c>
      <c r="NSH19" s="28" t="str">
        <f>IFERROR(VLOOKUP(DATE($K$1,$K$2,NSH$4),Table1[],(MATCH(Calendar!$A19,DB!$1:$1,0)),FALSE),"")</f>
        <v/>
      </c>
      <c r="NSI19" s="28" t="str">
        <f>IFERROR(VLOOKUP(DATE($K$1,$K$2,NSI$4),Table1[],(MATCH(Calendar!$A19,DB!$1:$1,0)),FALSE),"")</f>
        <v/>
      </c>
      <c r="NSJ19" s="28" t="str">
        <f>IFERROR(VLOOKUP(DATE($K$1,$K$2,NSJ$4),Table1[],(MATCH(Calendar!$A19,DB!$1:$1,0)),FALSE),"")</f>
        <v/>
      </c>
      <c r="NSK19" s="28" t="str">
        <f>IFERROR(VLOOKUP(DATE($K$1,$K$2,NSK$4),Table1[],(MATCH(Calendar!$A19,DB!$1:$1,0)),FALSE),"")</f>
        <v/>
      </c>
      <c r="NSL19" s="28" t="str">
        <f>IFERROR(VLOOKUP(DATE($K$1,$K$2,NSL$4),Table1[],(MATCH(Calendar!$A19,DB!$1:$1,0)),FALSE),"")</f>
        <v/>
      </c>
      <c r="NSM19" s="28" t="str">
        <f>IFERROR(VLOOKUP(DATE($K$1,$K$2,NSM$4),Table1[],(MATCH(Calendar!$A19,DB!$1:$1,0)),FALSE),"")</f>
        <v/>
      </c>
      <c r="NSN19" s="28" t="str">
        <f>IFERROR(VLOOKUP(DATE($K$1,$K$2,NSN$4),Table1[],(MATCH(Calendar!$A19,DB!$1:$1,0)),FALSE),"")</f>
        <v/>
      </c>
      <c r="NSO19" s="28" t="str">
        <f>IFERROR(VLOOKUP(DATE($K$1,$K$2,NSO$4),Table1[],(MATCH(Calendar!$A19,DB!$1:$1,0)),FALSE),"")</f>
        <v/>
      </c>
      <c r="NSP19" s="28" t="str">
        <f>IFERROR(VLOOKUP(DATE($K$1,$K$2,NSP$4),Table1[],(MATCH(Calendar!$A19,DB!$1:$1,0)),FALSE),"")</f>
        <v/>
      </c>
      <c r="NSQ19" s="28" t="str">
        <f>IFERROR(VLOOKUP(DATE($K$1,$K$2,NSQ$4),Table1[],(MATCH(Calendar!$A19,DB!$1:$1,0)),FALSE),"")</f>
        <v/>
      </c>
      <c r="NSR19" s="28" t="str">
        <f>IFERROR(VLOOKUP(DATE($K$1,$K$2,NSR$4),Table1[],(MATCH(Calendar!$A19,DB!$1:$1,0)),FALSE),"")</f>
        <v/>
      </c>
      <c r="NSS19" s="28" t="str">
        <f>IFERROR(VLOOKUP(DATE($K$1,$K$2,NSS$4),Table1[],(MATCH(Calendar!$A19,DB!$1:$1,0)),FALSE),"")</f>
        <v/>
      </c>
      <c r="NST19" s="28" t="str">
        <f>IFERROR(VLOOKUP(DATE($K$1,$K$2,NST$4),Table1[],(MATCH(Calendar!$A19,DB!$1:$1,0)),FALSE),"")</f>
        <v/>
      </c>
      <c r="NSU19" s="28" t="str">
        <f>IFERROR(VLOOKUP(DATE($K$1,$K$2,NSU$4),Table1[],(MATCH(Calendar!$A19,DB!$1:$1,0)),FALSE),"")</f>
        <v/>
      </c>
      <c r="NSV19" s="28" t="str">
        <f>IFERROR(VLOOKUP(DATE($K$1,$K$2,NSV$4),Table1[],(MATCH(Calendar!$A19,DB!$1:$1,0)),FALSE),"")</f>
        <v/>
      </c>
      <c r="NSW19" s="28" t="str">
        <f>IFERROR(VLOOKUP(DATE($K$1,$K$2,NSW$4),Table1[],(MATCH(Calendar!$A19,DB!$1:$1,0)),FALSE),"")</f>
        <v/>
      </c>
      <c r="NSX19" s="28" t="str">
        <f>IFERROR(VLOOKUP(DATE($K$1,$K$2,NSX$4),Table1[],(MATCH(Calendar!$A19,DB!$1:$1,0)),FALSE),"")</f>
        <v/>
      </c>
      <c r="NSY19" s="28" t="str">
        <f>IFERROR(VLOOKUP(DATE($K$1,$K$2,NSY$4),Table1[],(MATCH(Calendar!$A19,DB!$1:$1,0)),FALSE),"")</f>
        <v/>
      </c>
      <c r="NSZ19" s="28" t="str">
        <f>IFERROR(VLOOKUP(DATE($K$1,$K$2,NSZ$4),Table1[],(MATCH(Calendar!$A19,DB!$1:$1,0)),FALSE),"")</f>
        <v/>
      </c>
      <c r="NTA19" s="28" t="str">
        <f>IFERROR(VLOOKUP(DATE($K$1,$K$2,NTA$4),Table1[],(MATCH(Calendar!$A19,DB!$1:$1,0)),FALSE),"")</f>
        <v/>
      </c>
      <c r="NTB19" s="28" t="str">
        <f>IFERROR(VLOOKUP(DATE($K$1,$K$2,NTB$4),Table1[],(MATCH(Calendar!$A19,DB!$1:$1,0)),FALSE),"")</f>
        <v/>
      </c>
      <c r="NTC19" s="28" t="str">
        <f>IFERROR(VLOOKUP(DATE($K$1,$K$2,NTC$4),Table1[],(MATCH(Calendar!$A19,DB!$1:$1,0)),FALSE),"")</f>
        <v/>
      </c>
      <c r="NTD19" s="28" t="str">
        <f>IFERROR(VLOOKUP(DATE($K$1,$K$2,NTD$4),Table1[],(MATCH(Calendar!$A19,DB!$1:$1,0)),FALSE),"")</f>
        <v/>
      </c>
      <c r="NTE19" s="28" t="str">
        <f>IFERROR(VLOOKUP(DATE($K$1,$K$2,NTE$4),Table1[],(MATCH(Calendar!$A19,DB!$1:$1,0)),FALSE),"")</f>
        <v/>
      </c>
      <c r="NTF19" s="28" t="str">
        <f>IFERROR(VLOOKUP(DATE($K$1,$K$2,NTF$4),Table1[],(MATCH(Calendar!$A19,DB!$1:$1,0)),FALSE),"")</f>
        <v/>
      </c>
      <c r="NTG19" s="28" t="str">
        <f>IFERROR(VLOOKUP(DATE($K$1,$K$2,NTG$4),Table1[],(MATCH(Calendar!$A19,DB!$1:$1,0)),FALSE),"")</f>
        <v/>
      </c>
      <c r="NTH19" s="28" t="str">
        <f>IFERROR(VLOOKUP(DATE($K$1,$K$2,NTH$4),Table1[],(MATCH(Calendar!$A19,DB!$1:$1,0)),FALSE),"")</f>
        <v/>
      </c>
      <c r="NTI19" s="28" t="str">
        <f>IFERROR(VLOOKUP(DATE($K$1,$K$2,NTI$4),Table1[],(MATCH(Calendar!$A19,DB!$1:$1,0)),FALSE),"")</f>
        <v/>
      </c>
      <c r="NTJ19" s="28" t="str">
        <f>IFERROR(VLOOKUP(DATE($K$1,$K$2,NTJ$4),Table1[],(MATCH(Calendar!$A19,DB!$1:$1,0)),FALSE),"")</f>
        <v/>
      </c>
      <c r="NTK19" s="28" t="str">
        <f>IFERROR(VLOOKUP(DATE($K$1,$K$2,NTK$4),Table1[],(MATCH(Calendar!$A19,DB!$1:$1,0)),FALSE),"")</f>
        <v/>
      </c>
      <c r="NTL19" s="28" t="str">
        <f>IFERROR(VLOOKUP(DATE($K$1,$K$2,NTL$4),Table1[],(MATCH(Calendar!$A19,DB!$1:$1,0)),FALSE),"")</f>
        <v/>
      </c>
      <c r="NTM19" s="28" t="str">
        <f>IFERROR(VLOOKUP(DATE($K$1,$K$2,NTM$4),Table1[],(MATCH(Calendar!$A19,DB!$1:$1,0)),FALSE),"")</f>
        <v/>
      </c>
      <c r="NTN19" s="28" t="str">
        <f>IFERROR(VLOOKUP(DATE($K$1,$K$2,NTN$4),Table1[],(MATCH(Calendar!$A19,DB!$1:$1,0)),FALSE),"")</f>
        <v/>
      </c>
      <c r="NTO19" s="28" t="str">
        <f>IFERROR(VLOOKUP(DATE($K$1,$K$2,NTO$4),Table1[],(MATCH(Calendar!$A19,DB!$1:$1,0)),FALSE),"")</f>
        <v/>
      </c>
      <c r="NTP19" s="28" t="str">
        <f>IFERROR(VLOOKUP(DATE($K$1,$K$2,NTP$4),Table1[],(MATCH(Calendar!$A19,DB!$1:$1,0)),FALSE),"")</f>
        <v/>
      </c>
      <c r="NTQ19" s="28" t="str">
        <f>IFERROR(VLOOKUP(DATE($K$1,$K$2,NTQ$4),Table1[],(MATCH(Calendar!$A19,DB!$1:$1,0)),FALSE),"")</f>
        <v/>
      </c>
      <c r="NTR19" s="28" t="str">
        <f>IFERROR(VLOOKUP(DATE($K$1,$K$2,NTR$4),Table1[],(MATCH(Calendar!$A19,DB!$1:$1,0)),FALSE),"")</f>
        <v/>
      </c>
      <c r="NTS19" s="28" t="str">
        <f>IFERROR(VLOOKUP(DATE($K$1,$K$2,NTS$4),Table1[],(MATCH(Calendar!$A19,DB!$1:$1,0)),FALSE),"")</f>
        <v/>
      </c>
      <c r="NTT19" s="28" t="str">
        <f>IFERROR(VLOOKUP(DATE($K$1,$K$2,NTT$4),Table1[],(MATCH(Calendar!$A19,DB!$1:$1,0)),FALSE),"")</f>
        <v/>
      </c>
      <c r="NTU19" s="28" t="str">
        <f>IFERROR(VLOOKUP(DATE($K$1,$K$2,NTU$4),Table1[],(MATCH(Calendar!$A19,DB!$1:$1,0)),FALSE),"")</f>
        <v/>
      </c>
      <c r="NTV19" s="28" t="str">
        <f>IFERROR(VLOOKUP(DATE($K$1,$K$2,NTV$4),Table1[],(MATCH(Calendar!$A19,DB!$1:$1,0)),FALSE),"")</f>
        <v/>
      </c>
      <c r="NTW19" s="28" t="str">
        <f>IFERROR(VLOOKUP(DATE($K$1,$K$2,NTW$4),Table1[],(MATCH(Calendar!$A19,DB!$1:$1,0)),FALSE),"")</f>
        <v/>
      </c>
      <c r="NTX19" s="28" t="str">
        <f>IFERROR(VLOOKUP(DATE($K$1,$K$2,NTX$4),Table1[],(MATCH(Calendar!$A19,DB!$1:$1,0)),FALSE),"")</f>
        <v/>
      </c>
      <c r="NTY19" s="28" t="str">
        <f>IFERROR(VLOOKUP(DATE($K$1,$K$2,NTY$4),Table1[],(MATCH(Calendar!$A19,DB!$1:$1,0)),FALSE),"")</f>
        <v/>
      </c>
      <c r="NTZ19" s="28" t="str">
        <f>IFERROR(VLOOKUP(DATE($K$1,$K$2,NTZ$4),Table1[],(MATCH(Calendar!$A19,DB!$1:$1,0)),FALSE),"")</f>
        <v/>
      </c>
      <c r="NUA19" s="28" t="str">
        <f>IFERROR(VLOOKUP(DATE($K$1,$K$2,NUA$4),Table1[],(MATCH(Calendar!$A19,DB!$1:$1,0)),FALSE),"")</f>
        <v/>
      </c>
      <c r="NUB19" s="28" t="str">
        <f>IFERROR(VLOOKUP(DATE($K$1,$K$2,NUB$4),Table1[],(MATCH(Calendar!$A19,DB!$1:$1,0)),FALSE),"")</f>
        <v/>
      </c>
      <c r="NUC19" s="28" t="str">
        <f>IFERROR(VLOOKUP(DATE($K$1,$K$2,NUC$4),Table1[],(MATCH(Calendar!$A19,DB!$1:$1,0)),FALSE),"")</f>
        <v/>
      </c>
      <c r="NUD19" s="28" t="str">
        <f>IFERROR(VLOOKUP(DATE($K$1,$K$2,NUD$4),Table1[],(MATCH(Calendar!$A19,DB!$1:$1,0)),FALSE),"")</f>
        <v/>
      </c>
      <c r="NUE19" s="28" t="str">
        <f>IFERROR(VLOOKUP(DATE($K$1,$K$2,NUE$4),Table1[],(MATCH(Calendar!$A19,DB!$1:$1,0)),FALSE),"")</f>
        <v/>
      </c>
      <c r="NUF19" s="28" t="str">
        <f>IFERROR(VLOOKUP(DATE($K$1,$K$2,NUF$4),Table1[],(MATCH(Calendar!$A19,DB!$1:$1,0)),FALSE),"")</f>
        <v/>
      </c>
      <c r="NUG19" s="28" t="str">
        <f>IFERROR(VLOOKUP(DATE($K$1,$K$2,NUG$4),Table1[],(MATCH(Calendar!$A19,DB!$1:$1,0)),FALSE),"")</f>
        <v/>
      </c>
      <c r="NUH19" s="28" t="str">
        <f>IFERROR(VLOOKUP(DATE($K$1,$K$2,NUH$4),Table1[],(MATCH(Calendar!$A19,DB!$1:$1,0)),FALSE),"")</f>
        <v/>
      </c>
      <c r="NUI19" s="28" t="str">
        <f>IFERROR(VLOOKUP(DATE($K$1,$K$2,NUI$4),Table1[],(MATCH(Calendar!$A19,DB!$1:$1,0)),FALSE),"")</f>
        <v/>
      </c>
      <c r="NUJ19" s="28" t="str">
        <f>IFERROR(VLOOKUP(DATE($K$1,$K$2,NUJ$4),Table1[],(MATCH(Calendar!$A19,DB!$1:$1,0)),FALSE),"")</f>
        <v/>
      </c>
      <c r="NUK19" s="28" t="str">
        <f>IFERROR(VLOOKUP(DATE($K$1,$K$2,NUK$4),Table1[],(MATCH(Calendar!$A19,DB!$1:$1,0)),FALSE),"")</f>
        <v/>
      </c>
      <c r="NUL19" s="28" t="str">
        <f>IFERROR(VLOOKUP(DATE($K$1,$K$2,NUL$4),Table1[],(MATCH(Calendar!$A19,DB!$1:$1,0)),FALSE),"")</f>
        <v/>
      </c>
      <c r="NUM19" s="28" t="str">
        <f>IFERROR(VLOOKUP(DATE($K$1,$K$2,NUM$4),Table1[],(MATCH(Calendar!$A19,DB!$1:$1,0)),FALSE),"")</f>
        <v/>
      </c>
      <c r="NUN19" s="28" t="str">
        <f>IFERROR(VLOOKUP(DATE($K$1,$K$2,NUN$4),Table1[],(MATCH(Calendar!$A19,DB!$1:$1,0)),FALSE),"")</f>
        <v/>
      </c>
      <c r="NUO19" s="28" t="str">
        <f>IFERROR(VLOOKUP(DATE($K$1,$K$2,NUO$4),Table1[],(MATCH(Calendar!$A19,DB!$1:$1,0)),FALSE),"")</f>
        <v/>
      </c>
      <c r="NUP19" s="28" t="str">
        <f>IFERROR(VLOOKUP(DATE($K$1,$K$2,NUP$4),Table1[],(MATCH(Calendar!$A19,DB!$1:$1,0)),FALSE),"")</f>
        <v/>
      </c>
      <c r="NUQ19" s="28" t="str">
        <f>IFERROR(VLOOKUP(DATE($K$1,$K$2,NUQ$4),Table1[],(MATCH(Calendar!$A19,DB!$1:$1,0)),FALSE),"")</f>
        <v/>
      </c>
      <c r="NUR19" s="28" t="str">
        <f>IFERROR(VLOOKUP(DATE($K$1,$K$2,NUR$4),Table1[],(MATCH(Calendar!$A19,DB!$1:$1,0)),FALSE),"")</f>
        <v/>
      </c>
      <c r="NUS19" s="28" t="str">
        <f>IFERROR(VLOOKUP(DATE($K$1,$K$2,NUS$4),Table1[],(MATCH(Calendar!$A19,DB!$1:$1,0)),FALSE),"")</f>
        <v/>
      </c>
      <c r="NUT19" s="28" t="str">
        <f>IFERROR(VLOOKUP(DATE($K$1,$K$2,NUT$4),Table1[],(MATCH(Calendar!$A19,DB!$1:$1,0)),FALSE),"")</f>
        <v/>
      </c>
      <c r="NUU19" s="28" t="str">
        <f>IFERROR(VLOOKUP(DATE($K$1,$K$2,NUU$4),Table1[],(MATCH(Calendar!$A19,DB!$1:$1,0)),FALSE),"")</f>
        <v/>
      </c>
      <c r="NUV19" s="28" t="str">
        <f>IFERROR(VLOOKUP(DATE($K$1,$K$2,NUV$4),Table1[],(MATCH(Calendar!$A19,DB!$1:$1,0)),FALSE),"")</f>
        <v/>
      </c>
      <c r="NUW19" s="28" t="str">
        <f>IFERROR(VLOOKUP(DATE($K$1,$K$2,NUW$4),Table1[],(MATCH(Calendar!$A19,DB!$1:$1,0)),FALSE),"")</f>
        <v/>
      </c>
      <c r="NUX19" s="28" t="str">
        <f>IFERROR(VLOOKUP(DATE($K$1,$K$2,NUX$4),Table1[],(MATCH(Calendar!$A19,DB!$1:$1,0)),FALSE),"")</f>
        <v/>
      </c>
      <c r="NUY19" s="28" t="str">
        <f>IFERROR(VLOOKUP(DATE($K$1,$K$2,NUY$4),Table1[],(MATCH(Calendar!$A19,DB!$1:$1,0)),FALSE),"")</f>
        <v/>
      </c>
      <c r="NUZ19" s="28" t="str">
        <f>IFERROR(VLOOKUP(DATE($K$1,$K$2,NUZ$4),Table1[],(MATCH(Calendar!$A19,DB!$1:$1,0)),FALSE),"")</f>
        <v/>
      </c>
      <c r="NVA19" s="28" t="str">
        <f>IFERROR(VLOOKUP(DATE($K$1,$K$2,NVA$4),Table1[],(MATCH(Calendar!$A19,DB!$1:$1,0)),FALSE),"")</f>
        <v/>
      </c>
      <c r="NVB19" s="28" t="str">
        <f>IFERROR(VLOOKUP(DATE($K$1,$K$2,NVB$4),Table1[],(MATCH(Calendar!$A19,DB!$1:$1,0)),FALSE),"")</f>
        <v/>
      </c>
      <c r="NVC19" s="28" t="str">
        <f>IFERROR(VLOOKUP(DATE($K$1,$K$2,NVC$4),Table1[],(MATCH(Calendar!$A19,DB!$1:$1,0)),FALSE),"")</f>
        <v/>
      </c>
      <c r="NVD19" s="28" t="str">
        <f>IFERROR(VLOOKUP(DATE($K$1,$K$2,NVD$4),Table1[],(MATCH(Calendar!$A19,DB!$1:$1,0)),FALSE),"")</f>
        <v/>
      </c>
      <c r="NVE19" s="28" t="str">
        <f>IFERROR(VLOOKUP(DATE($K$1,$K$2,NVE$4),Table1[],(MATCH(Calendar!$A19,DB!$1:$1,0)),FALSE),"")</f>
        <v/>
      </c>
      <c r="NVF19" s="28" t="str">
        <f>IFERROR(VLOOKUP(DATE($K$1,$K$2,NVF$4),Table1[],(MATCH(Calendar!$A19,DB!$1:$1,0)),FALSE),"")</f>
        <v/>
      </c>
      <c r="NVG19" s="28" t="str">
        <f>IFERROR(VLOOKUP(DATE($K$1,$K$2,NVG$4),Table1[],(MATCH(Calendar!$A19,DB!$1:$1,0)),FALSE),"")</f>
        <v/>
      </c>
      <c r="NVH19" s="28" t="str">
        <f>IFERROR(VLOOKUP(DATE($K$1,$K$2,NVH$4),Table1[],(MATCH(Calendar!$A19,DB!$1:$1,0)),FALSE),"")</f>
        <v/>
      </c>
      <c r="NVI19" s="28" t="str">
        <f>IFERROR(VLOOKUP(DATE($K$1,$K$2,NVI$4),Table1[],(MATCH(Calendar!$A19,DB!$1:$1,0)),FALSE),"")</f>
        <v/>
      </c>
      <c r="NVJ19" s="28" t="str">
        <f>IFERROR(VLOOKUP(DATE($K$1,$K$2,NVJ$4),Table1[],(MATCH(Calendar!$A19,DB!$1:$1,0)),FALSE),"")</f>
        <v/>
      </c>
      <c r="NVK19" s="28" t="str">
        <f>IFERROR(VLOOKUP(DATE($K$1,$K$2,NVK$4),Table1[],(MATCH(Calendar!$A19,DB!$1:$1,0)),FALSE),"")</f>
        <v/>
      </c>
      <c r="NVL19" s="28" t="str">
        <f>IFERROR(VLOOKUP(DATE($K$1,$K$2,NVL$4),Table1[],(MATCH(Calendar!$A19,DB!$1:$1,0)),FALSE),"")</f>
        <v/>
      </c>
      <c r="NVM19" s="28" t="str">
        <f>IFERROR(VLOOKUP(DATE($K$1,$K$2,NVM$4),Table1[],(MATCH(Calendar!$A19,DB!$1:$1,0)),FALSE),"")</f>
        <v/>
      </c>
      <c r="NVN19" s="28" t="str">
        <f>IFERROR(VLOOKUP(DATE($K$1,$K$2,NVN$4),Table1[],(MATCH(Calendar!$A19,DB!$1:$1,0)),FALSE),"")</f>
        <v/>
      </c>
      <c r="NVO19" s="28" t="str">
        <f>IFERROR(VLOOKUP(DATE($K$1,$K$2,NVO$4),Table1[],(MATCH(Calendar!$A19,DB!$1:$1,0)),FALSE),"")</f>
        <v/>
      </c>
      <c r="NVP19" s="28" t="str">
        <f>IFERROR(VLOOKUP(DATE($K$1,$K$2,NVP$4),Table1[],(MATCH(Calendar!$A19,DB!$1:$1,0)),FALSE),"")</f>
        <v/>
      </c>
      <c r="NVQ19" s="28" t="str">
        <f>IFERROR(VLOOKUP(DATE($K$1,$K$2,NVQ$4),Table1[],(MATCH(Calendar!$A19,DB!$1:$1,0)),FALSE),"")</f>
        <v/>
      </c>
      <c r="NVR19" s="28" t="str">
        <f>IFERROR(VLOOKUP(DATE($K$1,$K$2,NVR$4),Table1[],(MATCH(Calendar!$A19,DB!$1:$1,0)),FALSE),"")</f>
        <v/>
      </c>
      <c r="NVS19" s="28" t="str">
        <f>IFERROR(VLOOKUP(DATE($K$1,$K$2,NVS$4),Table1[],(MATCH(Calendar!$A19,DB!$1:$1,0)),FALSE),"")</f>
        <v/>
      </c>
      <c r="NVT19" s="28" t="str">
        <f>IFERROR(VLOOKUP(DATE($K$1,$K$2,NVT$4),Table1[],(MATCH(Calendar!$A19,DB!$1:$1,0)),FALSE),"")</f>
        <v/>
      </c>
      <c r="NVU19" s="28" t="str">
        <f>IFERROR(VLOOKUP(DATE($K$1,$K$2,NVU$4),Table1[],(MATCH(Calendar!$A19,DB!$1:$1,0)),FALSE),"")</f>
        <v/>
      </c>
      <c r="NVV19" s="28" t="str">
        <f>IFERROR(VLOOKUP(DATE($K$1,$K$2,NVV$4),Table1[],(MATCH(Calendar!$A19,DB!$1:$1,0)),FALSE),"")</f>
        <v/>
      </c>
      <c r="NVW19" s="28" t="str">
        <f>IFERROR(VLOOKUP(DATE($K$1,$K$2,NVW$4),Table1[],(MATCH(Calendar!$A19,DB!$1:$1,0)),FALSE),"")</f>
        <v/>
      </c>
      <c r="NVX19" s="28" t="str">
        <f>IFERROR(VLOOKUP(DATE($K$1,$K$2,NVX$4),Table1[],(MATCH(Calendar!$A19,DB!$1:$1,0)),FALSE),"")</f>
        <v/>
      </c>
      <c r="NVY19" s="28" t="str">
        <f>IFERROR(VLOOKUP(DATE($K$1,$K$2,NVY$4),Table1[],(MATCH(Calendar!$A19,DB!$1:$1,0)),FALSE),"")</f>
        <v/>
      </c>
      <c r="NVZ19" s="28" t="str">
        <f>IFERROR(VLOOKUP(DATE($K$1,$K$2,NVZ$4),Table1[],(MATCH(Calendar!$A19,DB!$1:$1,0)),FALSE),"")</f>
        <v/>
      </c>
      <c r="NWA19" s="28" t="str">
        <f>IFERROR(VLOOKUP(DATE($K$1,$K$2,NWA$4),Table1[],(MATCH(Calendar!$A19,DB!$1:$1,0)),FALSE),"")</f>
        <v/>
      </c>
      <c r="NWB19" s="28" t="str">
        <f>IFERROR(VLOOKUP(DATE($K$1,$K$2,NWB$4),Table1[],(MATCH(Calendar!$A19,DB!$1:$1,0)),FALSE),"")</f>
        <v/>
      </c>
      <c r="NWC19" s="28" t="str">
        <f>IFERROR(VLOOKUP(DATE($K$1,$K$2,NWC$4),Table1[],(MATCH(Calendar!$A19,DB!$1:$1,0)),FALSE),"")</f>
        <v/>
      </c>
      <c r="NWD19" s="28" t="str">
        <f>IFERROR(VLOOKUP(DATE($K$1,$K$2,NWD$4),Table1[],(MATCH(Calendar!$A19,DB!$1:$1,0)),FALSE),"")</f>
        <v/>
      </c>
      <c r="NWE19" s="28" t="str">
        <f>IFERROR(VLOOKUP(DATE($K$1,$K$2,NWE$4),Table1[],(MATCH(Calendar!$A19,DB!$1:$1,0)),FALSE),"")</f>
        <v/>
      </c>
      <c r="NWF19" s="28" t="str">
        <f>IFERROR(VLOOKUP(DATE($K$1,$K$2,NWF$4),Table1[],(MATCH(Calendar!$A19,DB!$1:$1,0)),FALSE),"")</f>
        <v/>
      </c>
      <c r="NWG19" s="28" t="str">
        <f>IFERROR(VLOOKUP(DATE($K$1,$K$2,NWG$4),Table1[],(MATCH(Calendar!$A19,DB!$1:$1,0)),FALSE),"")</f>
        <v/>
      </c>
      <c r="NWH19" s="28" t="str">
        <f>IFERROR(VLOOKUP(DATE($K$1,$K$2,NWH$4),Table1[],(MATCH(Calendar!$A19,DB!$1:$1,0)),FALSE),"")</f>
        <v/>
      </c>
      <c r="NWI19" s="28" t="str">
        <f>IFERROR(VLOOKUP(DATE($K$1,$K$2,NWI$4),Table1[],(MATCH(Calendar!$A19,DB!$1:$1,0)),FALSE),"")</f>
        <v/>
      </c>
      <c r="NWJ19" s="28" t="str">
        <f>IFERROR(VLOOKUP(DATE($K$1,$K$2,NWJ$4),Table1[],(MATCH(Calendar!$A19,DB!$1:$1,0)),FALSE),"")</f>
        <v/>
      </c>
      <c r="NWK19" s="28" t="str">
        <f>IFERROR(VLOOKUP(DATE($K$1,$K$2,NWK$4),Table1[],(MATCH(Calendar!$A19,DB!$1:$1,0)),FALSE),"")</f>
        <v/>
      </c>
      <c r="NWL19" s="28" t="str">
        <f>IFERROR(VLOOKUP(DATE($K$1,$K$2,NWL$4),Table1[],(MATCH(Calendar!$A19,DB!$1:$1,0)),FALSE),"")</f>
        <v/>
      </c>
      <c r="NWM19" s="28" t="str">
        <f>IFERROR(VLOOKUP(DATE($K$1,$K$2,NWM$4),Table1[],(MATCH(Calendar!$A19,DB!$1:$1,0)),FALSE),"")</f>
        <v/>
      </c>
      <c r="NWN19" s="28" t="str">
        <f>IFERROR(VLOOKUP(DATE($K$1,$K$2,NWN$4),Table1[],(MATCH(Calendar!$A19,DB!$1:$1,0)),FALSE),"")</f>
        <v/>
      </c>
      <c r="NWO19" s="28" t="str">
        <f>IFERROR(VLOOKUP(DATE($K$1,$K$2,NWO$4),Table1[],(MATCH(Calendar!$A19,DB!$1:$1,0)),FALSE),"")</f>
        <v/>
      </c>
      <c r="NWP19" s="28" t="str">
        <f>IFERROR(VLOOKUP(DATE($K$1,$K$2,NWP$4),Table1[],(MATCH(Calendar!$A19,DB!$1:$1,0)),FALSE),"")</f>
        <v/>
      </c>
      <c r="NWQ19" s="28" t="str">
        <f>IFERROR(VLOOKUP(DATE($K$1,$K$2,NWQ$4),Table1[],(MATCH(Calendar!$A19,DB!$1:$1,0)),FALSE),"")</f>
        <v/>
      </c>
      <c r="NWR19" s="28" t="str">
        <f>IFERROR(VLOOKUP(DATE($K$1,$K$2,NWR$4),Table1[],(MATCH(Calendar!$A19,DB!$1:$1,0)),FALSE),"")</f>
        <v/>
      </c>
      <c r="NWS19" s="28" t="str">
        <f>IFERROR(VLOOKUP(DATE($K$1,$K$2,NWS$4),Table1[],(MATCH(Calendar!$A19,DB!$1:$1,0)),FALSE),"")</f>
        <v/>
      </c>
      <c r="NWT19" s="28" t="str">
        <f>IFERROR(VLOOKUP(DATE($K$1,$K$2,NWT$4),Table1[],(MATCH(Calendar!$A19,DB!$1:$1,0)),FALSE),"")</f>
        <v/>
      </c>
      <c r="NWU19" s="28" t="str">
        <f>IFERROR(VLOOKUP(DATE($K$1,$K$2,NWU$4),Table1[],(MATCH(Calendar!$A19,DB!$1:$1,0)),FALSE),"")</f>
        <v/>
      </c>
      <c r="NWV19" s="28" t="str">
        <f>IFERROR(VLOOKUP(DATE($K$1,$K$2,NWV$4),Table1[],(MATCH(Calendar!$A19,DB!$1:$1,0)),FALSE),"")</f>
        <v/>
      </c>
      <c r="NWW19" s="28" t="str">
        <f>IFERROR(VLOOKUP(DATE($K$1,$K$2,NWW$4),Table1[],(MATCH(Calendar!$A19,DB!$1:$1,0)),FALSE),"")</f>
        <v/>
      </c>
      <c r="NWX19" s="28" t="str">
        <f>IFERROR(VLOOKUP(DATE($K$1,$K$2,NWX$4),Table1[],(MATCH(Calendar!$A19,DB!$1:$1,0)),FALSE),"")</f>
        <v/>
      </c>
      <c r="NWY19" s="28" t="str">
        <f>IFERROR(VLOOKUP(DATE($K$1,$K$2,NWY$4),Table1[],(MATCH(Calendar!$A19,DB!$1:$1,0)),FALSE),"")</f>
        <v/>
      </c>
      <c r="NWZ19" s="28" t="str">
        <f>IFERROR(VLOOKUP(DATE($K$1,$K$2,NWZ$4),Table1[],(MATCH(Calendar!$A19,DB!$1:$1,0)),FALSE),"")</f>
        <v/>
      </c>
      <c r="NXA19" s="28" t="str">
        <f>IFERROR(VLOOKUP(DATE($K$1,$K$2,NXA$4),Table1[],(MATCH(Calendar!$A19,DB!$1:$1,0)),FALSE),"")</f>
        <v/>
      </c>
      <c r="NXB19" s="28" t="str">
        <f>IFERROR(VLOOKUP(DATE($K$1,$K$2,NXB$4),Table1[],(MATCH(Calendar!$A19,DB!$1:$1,0)),FALSE),"")</f>
        <v/>
      </c>
      <c r="NXC19" s="28" t="str">
        <f>IFERROR(VLOOKUP(DATE($K$1,$K$2,NXC$4),Table1[],(MATCH(Calendar!$A19,DB!$1:$1,0)),FALSE),"")</f>
        <v/>
      </c>
      <c r="NXD19" s="28" t="str">
        <f>IFERROR(VLOOKUP(DATE($K$1,$K$2,NXD$4),Table1[],(MATCH(Calendar!$A19,DB!$1:$1,0)),FALSE),"")</f>
        <v/>
      </c>
      <c r="NXE19" s="28" t="str">
        <f>IFERROR(VLOOKUP(DATE($K$1,$K$2,NXE$4),Table1[],(MATCH(Calendar!$A19,DB!$1:$1,0)),FALSE),"")</f>
        <v/>
      </c>
      <c r="NXF19" s="28" t="str">
        <f>IFERROR(VLOOKUP(DATE($K$1,$K$2,NXF$4),Table1[],(MATCH(Calendar!$A19,DB!$1:$1,0)),FALSE),"")</f>
        <v/>
      </c>
      <c r="NXG19" s="28" t="str">
        <f>IFERROR(VLOOKUP(DATE($K$1,$K$2,NXG$4),Table1[],(MATCH(Calendar!$A19,DB!$1:$1,0)),FALSE),"")</f>
        <v/>
      </c>
      <c r="NXH19" s="28" t="str">
        <f>IFERROR(VLOOKUP(DATE($K$1,$K$2,NXH$4),Table1[],(MATCH(Calendar!$A19,DB!$1:$1,0)),FALSE),"")</f>
        <v/>
      </c>
      <c r="NXI19" s="28" t="str">
        <f>IFERROR(VLOOKUP(DATE($K$1,$K$2,NXI$4),Table1[],(MATCH(Calendar!$A19,DB!$1:$1,0)),FALSE),"")</f>
        <v/>
      </c>
      <c r="NXJ19" s="28" t="str">
        <f>IFERROR(VLOOKUP(DATE($K$1,$K$2,NXJ$4),Table1[],(MATCH(Calendar!$A19,DB!$1:$1,0)),FALSE),"")</f>
        <v/>
      </c>
      <c r="NXK19" s="28" t="str">
        <f>IFERROR(VLOOKUP(DATE($K$1,$K$2,NXK$4),Table1[],(MATCH(Calendar!$A19,DB!$1:$1,0)),FALSE),"")</f>
        <v/>
      </c>
      <c r="NXL19" s="28" t="str">
        <f>IFERROR(VLOOKUP(DATE($K$1,$K$2,NXL$4),Table1[],(MATCH(Calendar!$A19,DB!$1:$1,0)),FALSE),"")</f>
        <v/>
      </c>
      <c r="NXM19" s="28" t="str">
        <f>IFERROR(VLOOKUP(DATE($K$1,$K$2,NXM$4),Table1[],(MATCH(Calendar!$A19,DB!$1:$1,0)),FALSE),"")</f>
        <v/>
      </c>
      <c r="NXN19" s="28" t="str">
        <f>IFERROR(VLOOKUP(DATE($K$1,$K$2,NXN$4),Table1[],(MATCH(Calendar!$A19,DB!$1:$1,0)),FALSE),"")</f>
        <v/>
      </c>
      <c r="NXO19" s="28" t="str">
        <f>IFERROR(VLOOKUP(DATE($K$1,$K$2,NXO$4),Table1[],(MATCH(Calendar!$A19,DB!$1:$1,0)),FALSE),"")</f>
        <v/>
      </c>
      <c r="NXP19" s="28" t="str">
        <f>IFERROR(VLOOKUP(DATE($K$1,$K$2,NXP$4),Table1[],(MATCH(Calendar!$A19,DB!$1:$1,0)),FALSE),"")</f>
        <v/>
      </c>
      <c r="NXQ19" s="28" t="str">
        <f>IFERROR(VLOOKUP(DATE($K$1,$K$2,NXQ$4),Table1[],(MATCH(Calendar!$A19,DB!$1:$1,0)),FALSE),"")</f>
        <v/>
      </c>
      <c r="NXR19" s="28" t="str">
        <f>IFERROR(VLOOKUP(DATE($K$1,$K$2,NXR$4),Table1[],(MATCH(Calendar!$A19,DB!$1:$1,0)),FALSE),"")</f>
        <v/>
      </c>
      <c r="NXS19" s="28" t="str">
        <f>IFERROR(VLOOKUP(DATE($K$1,$K$2,NXS$4),Table1[],(MATCH(Calendar!$A19,DB!$1:$1,0)),FALSE),"")</f>
        <v/>
      </c>
      <c r="NXT19" s="28" t="str">
        <f>IFERROR(VLOOKUP(DATE($K$1,$K$2,NXT$4),Table1[],(MATCH(Calendar!$A19,DB!$1:$1,0)),FALSE),"")</f>
        <v/>
      </c>
      <c r="NXU19" s="28" t="str">
        <f>IFERROR(VLOOKUP(DATE($K$1,$K$2,NXU$4),Table1[],(MATCH(Calendar!$A19,DB!$1:$1,0)),FALSE),"")</f>
        <v/>
      </c>
      <c r="NXV19" s="28" t="str">
        <f>IFERROR(VLOOKUP(DATE($K$1,$K$2,NXV$4),Table1[],(MATCH(Calendar!$A19,DB!$1:$1,0)),FALSE),"")</f>
        <v/>
      </c>
      <c r="NXW19" s="28" t="str">
        <f>IFERROR(VLOOKUP(DATE($K$1,$K$2,NXW$4),Table1[],(MATCH(Calendar!$A19,DB!$1:$1,0)),FALSE),"")</f>
        <v/>
      </c>
      <c r="NXX19" s="28" t="str">
        <f>IFERROR(VLOOKUP(DATE($K$1,$K$2,NXX$4),Table1[],(MATCH(Calendar!$A19,DB!$1:$1,0)),FALSE),"")</f>
        <v/>
      </c>
      <c r="NXY19" s="28" t="str">
        <f>IFERROR(VLOOKUP(DATE($K$1,$K$2,NXY$4),Table1[],(MATCH(Calendar!$A19,DB!$1:$1,0)),FALSE),"")</f>
        <v/>
      </c>
      <c r="NXZ19" s="28" t="str">
        <f>IFERROR(VLOOKUP(DATE($K$1,$K$2,NXZ$4),Table1[],(MATCH(Calendar!$A19,DB!$1:$1,0)),FALSE),"")</f>
        <v/>
      </c>
      <c r="NYA19" s="28" t="str">
        <f>IFERROR(VLOOKUP(DATE($K$1,$K$2,NYA$4),Table1[],(MATCH(Calendar!$A19,DB!$1:$1,0)),FALSE),"")</f>
        <v/>
      </c>
      <c r="NYB19" s="28" t="str">
        <f>IFERROR(VLOOKUP(DATE($K$1,$K$2,NYB$4),Table1[],(MATCH(Calendar!$A19,DB!$1:$1,0)),FALSE),"")</f>
        <v/>
      </c>
      <c r="NYC19" s="28" t="str">
        <f>IFERROR(VLOOKUP(DATE($K$1,$K$2,NYC$4),Table1[],(MATCH(Calendar!$A19,DB!$1:$1,0)),FALSE),"")</f>
        <v/>
      </c>
      <c r="NYD19" s="28" t="str">
        <f>IFERROR(VLOOKUP(DATE($K$1,$K$2,NYD$4),Table1[],(MATCH(Calendar!$A19,DB!$1:$1,0)),FALSE),"")</f>
        <v/>
      </c>
      <c r="NYE19" s="28" t="str">
        <f>IFERROR(VLOOKUP(DATE($K$1,$K$2,NYE$4),Table1[],(MATCH(Calendar!$A19,DB!$1:$1,0)),FALSE),"")</f>
        <v/>
      </c>
      <c r="NYF19" s="28" t="str">
        <f>IFERROR(VLOOKUP(DATE($K$1,$K$2,NYF$4),Table1[],(MATCH(Calendar!$A19,DB!$1:$1,0)),FALSE),"")</f>
        <v/>
      </c>
      <c r="NYG19" s="28" t="str">
        <f>IFERROR(VLOOKUP(DATE($K$1,$K$2,NYG$4),Table1[],(MATCH(Calendar!$A19,DB!$1:$1,0)),FALSE),"")</f>
        <v/>
      </c>
      <c r="NYH19" s="28" t="str">
        <f>IFERROR(VLOOKUP(DATE($K$1,$K$2,NYH$4),Table1[],(MATCH(Calendar!$A19,DB!$1:$1,0)),FALSE),"")</f>
        <v/>
      </c>
      <c r="NYI19" s="28" t="str">
        <f>IFERROR(VLOOKUP(DATE($K$1,$K$2,NYI$4),Table1[],(MATCH(Calendar!$A19,DB!$1:$1,0)),FALSE),"")</f>
        <v/>
      </c>
      <c r="NYJ19" s="28" t="str">
        <f>IFERROR(VLOOKUP(DATE($K$1,$K$2,NYJ$4),Table1[],(MATCH(Calendar!$A19,DB!$1:$1,0)),FALSE),"")</f>
        <v/>
      </c>
      <c r="NYK19" s="28" t="str">
        <f>IFERROR(VLOOKUP(DATE($K$1,$K$2,NYK$4),Table1[],(MATCH(Calendar!$A19,DB!$1:$1,0)),FALSE),"")</f>
        <v/>
      </c>
      <c r="NYL19" s="28" t="str">
        <f>IFERROR(VLOOKUP(DATE($K$1,$K$2,NYL$4),Table1[],(MATCH(Calendar!$A19,DB!$1:$1,0)),FALSE),"")</f>
        <v/>
      </c>
      <c r="NYM19" s="28" t="str">
        <f>IFERROR(VLOOKUP(DATE($K$1,$K$2,NYM$4),Table1[],(MATCH(Calendar!$A19,DB!$1:$1,0)),FALSE),"")</f>
        <v/>
      </c>
      <c r="NYN19" s="28" t="str">
        <f>IFERROR(VLOOKUP(DATE($K$1,$K$2,NYN$4),Table1[],(MATCH(Calendar!$A19,DB!$1:$1,0)),FALSE),"")</f>
        <v/>
      </c>
      <c r="NYO19" s="28" t="str">
        <f>IFERROR(VLOOKUP(DATE($K$1,$K$2,NYO$4),Table1[],(MATCH(Calendar!$A19,DB!$1:$1,0)),FALSE),"")</f>
        <v/>
      </c>
      <c r="NYP19" s="28" t="str">
        <f>IFERROR(VLOOKUP(DATE($K$1,$K$2,NYP$4),Table1[],(MATCH(Calendar!$A19,DB!$1:$1,0)),FALSE),"")</f>
        <v/>
      </c>
      <c r="NYQ19" s="28" t="str">
        <f>IFERROR(VLOOKUP(DATE($K$1,$K$2,NYQ$4),Table1[],(MATCH(Calendar!$A19,DB!$1:$1,0)),FALSE),"")</f>
        <v/>
      </c>
      <c r="NYR19" s="28" t="str">
        <f>IFERROR(VLOOKUP(DATE($K$1,$K$2,NYR$4),Table1[],(MATCH(Calendar!$A19,DB!$1:$1,0)),FALSE),"")</f>
        <v/>
      </c>
      <c r="NYS19" s="28" t="str">
        <f>IFERROR(VLOOKUP(DATE($K$1,$K$2,NYS$4),Table1[],(MATCH(Calendar!$A19,DB!$1:$1,0)),FALSE),"")</f>
        <v/>
      </c>
      <c r="NYT19" s="28" t="str">
        <f>IFERROR(VLOOKUP(DATE($K$1,$K$2,NYT$4),Table1[],(MATCH(Calendar!$A19,DB!$1:$1,0)),FALSE),"")</f>
        <v/>
      </c>
      <c r="NYU19" s="28" t="str">
        <f>IFERROR(VLOOKUP(DATE($K$1,$K$2,NYU$4),Table1[],(MATCH(Calendar!$A19,DB!$1:$1,0)),FALSE),"")</f>
        <v/>
      </c>
      <c r="NYV19" s="28" t="str">
        <f>IFERROR(VLOOKUP(DATE($K$1,$K$2,NYV$4),Table1[],(MATCH(Calendar!$A19,DB!$1:$1,0)),FALSE),"")</f>
        <v/>
      </c>
      <c r="NYW19" s="28" t="str">
        <f>IFERROR(VLOOKUP(DATE($K$1,$K$2,NYW$4),Table1[],(MATCH(Calendar!$A19,DB!$1:$1,0)),FALSE),"")</f>
        <v/>
      </c>
      <c r="NYX19" s="28" t="str">
        <f>IFERROR(VLOOKUP(DATE($K$1,$K$2,NYX$4),Table1[],(MATCH(Calendar!$A19,DB!$1:$1,0)),FALSE),"")</f>
        <v/>
      </c>
      <c r="NYY19" s="28" t="str">
        <f>IFERROR(VLOOKUP(DATE($K$1,$K$2,NYY$4),Table1[],(MATCH(Calendar!$A19,DB!$1:$1,0)),FALSE),"")</f>
        <v/>
      </c>
      <c r="NYZ19" s="28" t="str">
        <f>IFERROR(VLOOKUP(DATE($K$1,$K$2,NYZ$4),Table1[],(MATCH(Calendar!$A19,DB!$1:$1,0)),FALSE),"")</f>
        <v/>
      </c>
      <c r="NZA19" s="28" t="str">
        <f>IFERROR(VLOOKUP(DATE($K$1,$K$2,NZA$4),Table1[],(MATCH(Calendar!$A19,DB!$1:$1,0)),FALSE),"")</f>
        <v/>
      </c>
      <c r="NZB19" s="28" t="str">
        <f>IFERROR(VLOOKUP(DATE($K$1,$K$2,NZB$4),Table1[],(MATCH(Calendar!$A19,DB!$1:$1,0)),FALSE),"")</f>
        <v/>
      </c>
      <c r="NZC19" s="28" t="str">
        <f>IFERROR(VLOOKUP(DATE($K$1,$K$2,NZC$4),Table1[],(MATCH(Calendar!$A19,DB!$1:$1,0)),FALSE),"")</f>
        <v/>
      </c>
      <c r="NZD19" s="28" t="str">
        <f>IFERROR(VLOOKUP(DATE($K$1,$K$2,NZD$4),Table1[],(MATCH(Calendar!$A19,DB!$1:$1,0)),FALSE),"")</f>
        <v/>
      </c>
      <c r="NZE19" s="28" t="str">
        <f>IFERROR(VLOOKUP(DATE($K$1,$K$2,NZE$4),Table1[],(MATCH(Calendar!$A19,DB!$1:$1,0)),FALSE),"")</f>
        <v/>
      </c>
      <c r="NZF19" s="28" t="str">
        <f>IFERROR(VLOOKUP(DATE($K$1,$K$2,NZF$4),Table1[],(MATCH(Calendar!$A19,DB!$1:$1,0)),FALSE),"")</f>
        <v/>
      </c>
      <c r="NZG19" s="28" t="str">
        <f>IFERROR(VLOOKUP(DATE($K$1,$K$2,NZG$4),Table1[],(MATCH(Calendar!$A19,DB!$1:$1,0)),FALSE),"")</f>
        <v/>
      </c>
      <c r="NZH19" s="28" t="str">
        <f>IFERROR(VLOOKUP(DATE($K$1,$K$2,NZH$4),Table1[],(MATCH(Calendar!$A19,DB!$1:$1,0)),FALSE),"")</f>
        <v/>
      </c>
      <c r="NZI19" s="28" t="str">
        <f>IFERROR(VLOOKUP(DATE($K$1,$K$2,NZI$4),Table1[],(MATCH(Calendar!$A19,DB!$1:$1,0)),FALSE),"")</f>
        <v/>
      </c>
      <c r="NZJ19" s="28" t="str">
        <f>IFERROR(VLOOKUP(DATE($K$1,$K$2,NZJ$4),Table1[],(MATCH(Calendar!$A19,DB!$1:$1,0)),FALSE),"")</f>
        <v/>
      </c>
      <c r="NZK19" s="28" t="str">
        <f>IFERROR(VLOOKUP(DATE($K$1,$K$2,NZK$4),Table1[],(MATCH(Calendar!$A19,DB!$1:$1,0)),FALSE),"")</f>
        <v/>
      </c>
      <c r="NZL19" s="28" t="str">
        <f>IFERROR(VLOOKUP(DATE($K$1,$K$2,NZL$4),Table1[],(MATCH(Calendar!$A19,DB!$1:$1,0)),FALSE),"")</f>
        <v/>
      </c>
      <c r="NZM19" s="28" t="str">
        <f>IFERROR(VLOOKUP(DATE($K$1,$K$2,NZM$4),Table1[],(MATCH(Calendar!$A19,DB!$1:$1,0)),FALSE),"")</f>
        <v/>
      </c>
      <c r="NZN19" s="28" t="str">
        <f>IFERROR(VLOOKUP(DATE($K$1,$K$2,NZN$4),Table1[],(MATCH(Calendar!$A19,DB!$1:$1,0)),FALSE),"")</f>
        <v/>
      </c>
      <c r="NZO19" s="28" t="str">
        <f>IFERROR(VLOOKUP(DATE($K$1,$K$2,NZO$4),Table1[],(MATCH(Calendar!$A19,DB!$1:$1,0)),FALSE),"")</f>
        <v/>
      </c>
      <c r="NZP19" s="28" t="str">
        <f>IFERROR(VLOOKUP(DATE($K$1,$K$2,NZP$4),Table1[],(MATCH(Calendar!$A19,DB!$1:$1,0)),FALSE),"")</f>
        <v/>
      </c>
      <c r="NZQ19" s="28" t="str">
        <f>IFERROR(VLOOKUP(DATE($K$1,$K$2,NZQ$4),Table1[],(MATCH(Calendar!$A19,DB!$1:$1,0)),FALSE),"")</f>
        <v/>
      </c>
      <c r="NZR19" s="28" t="str">
        <f>IFERROR(VLOOKUP(DATE($K$1,$K$2,NZR$4),Table1[],(MATCH(Calendar!$A19,DB!$1:$1,0)),FALSE),"")</f>
        <v/>
      </c>
      <c r="NZS19" s="28" t="str">
        <f>IFERROR(VLOOKUP(DATE($K$1,$K$2,NZS$4),Table1[],(MATCH(Calendar!$A19,DB!$1:$1,0)),FALSE),"")</f>
        <v/>
      </c>
      <c r="NZT19" s="28" t="str">
        <f>IFERROR(VLOOKUP(DATE($K$1,$K$2,NZT$4),Table1[],(MATCH(Calendar!$A19,DB!$1:$1,0)),FALSE),"")</f>
        <v/>
      </c>
      <c r="NZU19" s="28" t="str">
        <f>IFERROR(VLOOKUP(DATE($K$1,$K$2,NZU$4),Table1[],(MATCH(Calendar!$A19,DB!$1:$1,0)),FALSE),"")</f>
        <v/>
      </c>
      <c r="NZV19" s="28" t="str">
        <f>IFERROR(VLOOKUP(DATE($K$1,$K$2,NZV$4),Table1[],(MATCH(Calendar!$A19,DB!$1:$1,0)),FALSE),"")</f>
        <v/>
      </c>
      <c r="NZW19" s="28" t="str">
        <f>IFERROR(VLOOKUP(DATE($K$1,$K$2,NZW$4),Table1[],(MATCH(Calendar!$A19,DB!$1:$1,0)),FALSE),"")</f>
        <v/>
      </c>
      <c r="NZX19" s="28" t="str">
        <f>IFERROR(VLOOKUP(DATE($K$1,$K$2,NZX$4),Table1[],(MATCH(Calendar!$A19,DB!$1:$1,0)),FALSE),"")</f>
        <v/>
      </c>
      <c r="NZY19" s="28" t="str">
        <f>IFERROR(VLOOKUP(DATE($K$1,$K$2,NZY$4),Table1[],(MATCH(Calendar!$A19,DB!$1:$1,0)),FALSE),"")</f>
        <v/>
      </c>
      <c r="NZZ19" s="28" t="str">
        <f>IFERROR(VLOOKUP(DATE($K$1,$K$2,NZZ$4),Table1[],(MATCH(Calendar!$A19,DB!$1:$1,0)),FALSE),"")</f>
        <v/>
      </c>
      <c r="OAA19" s="28" t="str">
        <f>IFERROR(VLOOKUP(DATE($K$1,$K$2,OAA$4),Table1[],(MATCH(Calendar!$A19,DB!$1:$1,0)),FALSE),"")</f>
        <v/>
      </c>
      <c r="OAB19" s="28" t="str">
        <f>IFERROR(VLOOKUP(DATE($K$1,$K$2,OAB$4),Table1[],(MATCH(Calendar!$A19,DB!$1:$1,0)),FALSE),"")</f>
        <v/>
      </c>
      <c r="OAC19" s="28" t="str">
        <f>IFERROR(VLOOKUP(DATE($K$1,$K$2,OAC$4),Table1[],(MATCH(Calendar!$A19,DB!$1:$1,0)),FALSE),"")</f>
        <v/>
      </c>
      <c r="OAD19" s="28" t="str">
        <f>IFERROR(VLOOKUP(DATE($K$1,$K$2,OAD$4),Table1[],(MATCH(Calendar!$A19,DB!$1:$1,0)),FALSE),"")</f>
        <v/>
      </c>
      <c r="OAE19" s="28" t="str">
        <f>IFERROR(VLOOKUP(DATE($K$1,$K$2,OAE$4),Table1[],(MATCH(Calendar!$A19,DB!$1:$1,0)),FALSE),"")</f>
        <v/>
      </c>
      <c r="OAF19" s="28" t="str">
        <f>IFERROR(VLOOKUP(DATE($K$1,$K$2,OAF$4),Table1[],(MATCH(Calendar!$A19,DB!$1:$1,0)),FALSE),"")</f>
        <v/>
      </c>
      <c r="OAG19" s="28" t="str">
        <f>IFERROR(VLOOKUP(DATE($K$1,$K$2,OAG$4),Table1[],(MATCH(Calendar!$A19,DB!$1:$1,0)),FALSE),"")</f>
        <v/>
      </c>
      <c r="OAH19" s="28" t="str">
        <f>IFERROR(VLOOKUP(DATE($K$1,$K$2,OAH$4),Table1[],(MATCH(Calendar!$A19,DB!$1:$1,0)),FALSE),"")</f>
        <v/>
      </c>
      <c r="OAI19" s="28" t="str">
        <f>IFERROR(VLOOKUP(DATE($K$1,$K$2,OAI$4),Table1[],(MATCH(Calendar!$A19,DB!$1:$1,0)),FALSE),"")</f>
        <v/>
      </c>
      <c r="OAJ19" s="28" t="str">
        <f>IFERROR(VLOOKUP(DATE($K$1,$K$2,OAJ$4),Table1[],(MATCH(Calendar!$A19,DB!$1:$1,0)),FALSE),"")</f>
        <v/>
      </c>
      <c r="OAK19" s="28" t="str">
        <f>IFERROR(VLOOKUP(DATE($K$1,$K$2,OAK$4),Table1[],(MATCH(Calendar!$A19,DB!$1:$1,0)),FALSE),"")</f>
        <v/>
      </c>
      <c r="OAL19" s="28" t="str">
        <f>IFERROR(VLOOKUP(DATE($K$1,$K$2,OAL$4),Table1[],(MATCH(Calendar!$A19,DB!$1:$1,0)),FALSE),"")</f>
        <v/>
      </c>
      <c r="OAM19" s="28" t="str">
        <f>IFERROR(VLOOKUP(DATE($K$1,$K$2,OAM$4),Table1[],(MATCH(Calendar!$A19,DB!$1:$1,0)),FALSE),"")</f>
        <v/>
      </c>
      <c r="OAN19" s="28" t="str">
        <f>IFERROR(VLOOKUP(DATE($K$1,$K$2,OAN$4),Table1[],(MATCH(Calendar!$A19,DB!$1:$1,0)),FALSE),"")</f>
        <v/>
      </c>
      <c r="OAO19" s="28" t="str">
        <f>IFERROR(VLOOKUP(DATE($K$1,$K$2,OAO$4),Table1[],(MATCH(Calendar!$A19,DB!$1:$1,0)),FALSE),"")</f>
        <v/>
      </c>
      <c r="OAP19" s="28" t="str">
        <f>IFERROR(VLOOKUP(DATE($K$1,$K$2,OAP$4),Table1[],(MATCH(Calendar!$A19,DB!$1:$1,0)),FALSE),"")</f>
        <v/>
      </c>
      <c r="OAQ19" s="28" t="str">
        <f>IFERROR(VLOOKUP(DATE($K$1,$K$2,OAQ$4),Table1[],(MATCH(Calendar!$A19,DB!$1:$1,0)),FALSE),"")</f>
        <v/>
      </c>
      <c r="OAR19" s="28" t="str">
        <f>IFERROR(VLOOKUP(DATE($K$1,$K$2,OAR$4),Table1[],(MATCH(Calendar!$A19,DB!$1:$1,0)),FALSE),"")</f>
        <v/>
      </c>
      <c r="OAS19" s="28" t="str">
        <f>IFERROR(VLOOKUP(DATE($K$1,$K$2,OAS$4),Table1[],(MATCH(Calendar!$A19,DB!$1:$1,0)),FALSE),"")</f>
        <v/>
      </c>
      <c r="OAT19" s="28" t="str">
        <f>IFERROR(VLOOKUP(DATE($K$1,$K$2,OAT$4),Table1[],(MATCH(Calendar!$A19,DB!$1:$1,0)),FALSE),"")</f>
        <v/>
      </c>
      <c r="OAU19" s="28" t="str">
        <f>IFERROR(VLOOKUP(DATE($K$1,$K$2,OAU$4),Table1[],(MATCH(Calendar!$A19,DB!$1:$1,0)),FALSE),"")</f>
        <v/>
      </c>
      <c r="OAV19" s="28" t="str">
        <f>IFERROR(VLOOKUP(DATE($K$1,$K$2,OAV$4),Table1[],(MATCH(Calendar!$A19,DB!$1:$1,0)),FALSE),"")</f>
        <v/>
      </c>
      <c r="OAW19" s="28" t="str">
        <f>IFERROR(VLOOKUP(DATE($K$1,$K$2,OAW$4),Table1[],(MATCH(Calendar!$A19,DB!$1:$1,0)),FALSE),"")</f>
        <v/>
      </c>
      <c r="OAX19" s="28" t="str">
        <f>IFERROR(VLOOKUP(DATE($K$1,$K$2,OAX$4),Table1[],(MATCH(Calendar!$A19,DB!$1:$1,0)),FALSE),"")</f>
        <v/>
      </c>
      <c r="OAY19" s="28" t="str">
        <f>IFERROR(VLOOKUP(DATE($K$1,$K$2,OAY$4),Table1[],(MATCH(Calendar!$A19,DB!$1:$1,0)),FALSE),"")</f>
        <v/>
      </c>
      <c r="OAZ19" s="28" t="str">
        <f>IFERROR(VLOOKUP(DATE($K$1,$K$2,OAZ$4),Table1[],(MATCH(Calendar!$A19,DB!$1:$1,0)),FALSE),"")</f>
        <v/>
      </c>
      <c r="OBA19" s="28" t="str">
        <f>IFERROR(VLOOKUP(DATE($K$1,$K$2,OBA$4),Table1[],(MATCH(Calendar!$A19,DB!$1:$1,0)),FALSE),"")</f>
        <v/>
      </c>
      <c r="OBB19" s="28" t="str">
        <f>IFERROR(VLOOKUP(DATE($K$1,$K$2,OBB$4),Table1[],(MATCH(Calendar!$A19,DB!$1:$1,0)),FALSE),"")</f>
        <v/>
      </c>
      <c r="OBC19" s="28" t="str">
        <f>IFERROR(VLOOKUP(DATE($K$1,$K$2,OBC$4),Table1[],(MATCH(Calendar!$A19,DB!$1:$1,0)),FALSE),"")</f>
        <v/>
      </c>
      <c r="OBD19" s="28" t="str">
        <f>IFERROR(VLOOKUP(DATE($K$1,$K$2,OBD$4),Table1[],(MATCH(Calendar!$A19,DB!$1:$1,0)),FALSE),"")</f>
        <v/>
      </c>
      <c r="OBE19" s="28" t="str">
        <f>IFERROR(VLOOKUP(DATE($K$1,$K$2,OBE$4),Table1[],(MATCH(Calendar!$A19,DB!$1:$1,0)),FALSE),"")</f>
        <v/>
      </c>
      <c r="OBF19" s="28" t="str">
        <f>IFERROR(VLOOKUP(DATE($K$1,$K$2,OBF$4),Table1[],(MATCH(Calendar!$A19,DB!$1:$1,0)),FALSE),"")</f>
        <v/>
      </c>
      <c r="OBG19" s="28" t="str">
        <f>IFERROR(VLOOKUP(DATE($K$1,$K$2,OBG$4),Table1[],(MATCH(Calendar!$A19,DB!$1:$1,0)),FALSE),"")</f>
        <v/>
      </c>
      <c r="OBH19" s="28" t="str">
        <f>IFERROR(VLOOKUP(DATE($K$1,$K$2,OBH$4),Table1[],(MATCH(Calendar!$A19,DB!$1:$1,0)),FALSE),"")</f>
        <v/>
      </c>
      <c r="OBI19" s="28" t="str">
        <f>IFERROR(VLOOKUP(DATE($K$1,$K$2,OBI$4),Table1[],(MATCH(Calendar!$A19,DB!$1:$1,0)),FALSE),"")</f>
        <v/>
      </c>
      <c r="OBJ19" s="28" t="str">
        <f>IFERROR(VLOOKUP(DATE($K$1,$K$2,OBJ$4),Table1[],(MATCH(Calendar!$A19,DB!$1:$1,0)),FALSE),"")</f>
        <v/>
      </c>
      <c r="OBK19" s="28" t="str">
        <f>IFERROR(VLOOKUP(DATE($K$1,$K$2,OBK$4),Table1[],(MATCH(Calendar!$A19,DB!$1:$1,0)),FALSE),"")</f>
        <v/>
      </c>
      <c r="OBL19" s="28" t="str">
        <f>IFERROR(VLOOKUP(DATE($K$1,$K$2,OBL$4),Table1[],(MATCH(Calendar!$A19,DB!$1:$1,0)),FALSE),"")</f>
        <v/>
      </c>
      <c r="OBM19" s="28" t="str">
        <f>IFERROR(VLOOKUP(DATE($K$1,$K$2,OBM$4),Table1[],(MATCH(Calendar!$A19,DB!$1:$1,0)),FALSE),"")</f>
        <v/>
      </c>
      <c r="OBN19" s="28" t="str">
        <f>IFERROR(VLOOKUP(DATE($K$1,$K$2,OBN$4),Table1[],(MATCH(Calendar!$A19,DB!$1:$1,0)),FALSE),"")</f>
        <v/>
      </c>
      <c r="OBO19" s="28" t="str">
        <f>IFERROR(VLOOKUP(DATE($K$1,$K$2,OBO$4),Table1[],(MATCH(Calendar!$A19,DB!$1:$1,0)),FALSE),"")</f>
        <v/>
      </c>
      <c r="OBP19" s="28" t="str">
        <f>IFERROR(VLOOKUP(DATE($K$1,$K$2,OBP$4),Table1[],(MATCH(Calendar!$A19,DB!$1:$1,0)),FALSE),"")</f>
        <v/>
      </c>
      <c r="OBQ19" s="28" t="str">
        <f>IFERROR(VLOOKUP(DATE($K$1,$K$2,OBQ$4),Table1[],(MATCH(Calendar!$A19,DB!$1:$1,0)),FALSE),"")</f>
        <v/>
      </c>
      <c r="OBR19" s="28" t="str">
        <f>IFERROR(VLOOKUP(DATE($K$1,$K$2,OBR$4),Table1[],(MATCH(Calendar!$A19,DB!$1:$1,0)),FALSE),"")</f>
        <v/>
      </c>
      <c r="OBS19" s="28" t="str">
        <f>IFERROR(VLOOKUP(DATE($K$1,$K$2,OBS$4),Table1[],(MATCH(Calendar!$A19,DB!$1:$1,0)),FALSE),"")</f>
        <v/>
      </c>
      <c r="OBT19" s="28" t="str">
        <f>IFERROR(VLOOKUP(DATE($K$1,$K$2,OBT$4),Table1[],(MATCH(Calendar!$A19,DB!$1:$1,0)),FALSE),"")</f>
        <v/>
      </c>
      <c r="OBU19" s="28" t="str">
        <f>IFERROR(VLOOKUP(DATE($K$1,$K$2,OBU$4),Table1[],(MATCH(Calendar!$A19,DB!$1:$1,0)),FALSE),"")</f>
        <v/>
      </c>
      <c r="OBV19" s="28" t="str">
        <f>IFERROR(VLOOKUP(DATE($K$1,$K$2,OBV$4),Table1[],(MATCH(Calendar!$A19,DB!$1:$1,0)),FALSE),"")</f>
        <v/>
      </c>
      <c r="OBW19" s="28" t="str">
        <f>IFERROR(VLOOKUP(DATE($K$1,$K$2,OBW$4),Table1[],(MATCH(Calendar!$A19,DB!$1:$1,0)),FALSE),"")</f>
        <v/>
      </c>
      <c r="OBX19" s="28" t="str">
        <f>IFERROR(VLOOKUP(DATE($K$1,$K$2,OBX$4),Table1[],(MATCH(Calendar!$A19,DB!$1:$1,0)),FALSE),"")</f>
        <v/>
      </c>
      <c r="OBY19" s="28" t="str">
        <f>IFERROR(VLOOKUP(DATE($K$1,$K$2,OBY$4),Table1[],(MATCH(Calendar!$A19,DB!$1:$1,0)),FALSE),"")</f>
        <v/>
      </c>
      <c r="OBZ19" s="28" t="str">
        <f>IFERROR(VLOOKUP(DATE($K$1,$K$2,OBZ$4),Table1[],(MATCH(Calendar!$A19,DB!$1:$1,0)),FALSE),"")</f>
        <v/>
      </c>
      <c r="OCA19" s="28" t="str">
        <f>IFERROR(VLOOKUP(DATE($K$1,$K$2,OCA$4),Table1[],(MATCH(Calendar!$A19,DB!$1:$1,0)),FALSE),"")</f>
        <v/>
      </c>
      <c r="OCB19" s="28" t="str">
        <f>IFERROR(VLOOKUP(DATE($K$1,$K$2,OCB$4),Table1[],(MATCH(Calendar!$A19,DB!$1:$1,0)),FALSE),"")</f>
        <v/>
      </c>
      <c r="OCC19" s="28" t="str">
        <f>IFERROR(VLOOKUP(DATE($K$1,$K$2,OCC$4),Table1[],(MATCH(Calendar!$A19,DB!$1:$1,0)),FALSE),"")</f>
        <v/>
      </c>
      <c r="OCD19" s="28" t="str">
        <f>IFERROR(VLOOKUP(DATE($K$1,$K$2,OCD$4),Table1[],(MATCH(Calendar!$A19,DB!$1:$1,0)),FALSE),"")</f>
        <v/>
      </c>
      <c r="OCE19" s="28" t="str">
        <f>IFERROR(VLOOKUP(DATE($K$1,$K$2,OCE$4),Table1[],(MATCH(Calendar!$A19,DB!$1:$1,0)),FALSE),"")</f>
        <v/>
      </c>
      <c r="OCF19" s="28" t="str">
        <f>IFERROR(VLOOKUP(DATE($K$1,$K$2,OCF$4),Table1[],(MATCH(Calendar!$A19,DB!$1:$1,0)),FALSE),"")</f>
        <v/>
      </c>
      <c r="OCG19" s="28" t="str">
        <f>IFERROR(VLOOKUP(DATE($K$1,$K$2,OCG$4),Table1[],(MATCH(Calendar!$A19,DB!$1:$1,0)),FALSE),"")</f>
        <v/>
      </c>
      <c r="OCH19" s="28" t="str">
        <f>IFERROR(VLOOKUP(DATE($K$1,$K$2,OCH$4),Table1[],(MATCH(Calendar!$A19,DB!$1:$1,0)),FALSE),"")</f>
        <v/>
      </c>
      <c r="OCI19" s="28" t="str">
        <f>IFERROR(VLOOKUP(DATE($K$1,$K$2,OCI$4),Table1[],(MATCH(Calendar!$A19,DB!$1:$1,0)),FALSE),"")</f>
        <v/>
      </c>
      <c r="OCJ19" s="28" t="str">
        <f>IFERROR(VLOOKUP(DATE($K$1,$K$2,OCJ$4),Table1[],(MATCH(Calendar!$A19,DB!$1:$1,0)),FALSE),"")</f>
        <v/>
      </c>
      <c r="OCK19" s="28" t="str">
        <f>IFERROR(VLOOKUP(DATE($K$1,$K$2,OCK$4),Table1[],(MATCH(Calendar!$A19,DB!$1:$1,0)),FALSE),"")</f>
        <v/>
      </c>
      <c r="OCL19" s="28" t="str">
        <f>IFERROR(VLOOKUP(DATE($K$1,$K$2,OCL$4),Table1[],(MATCH(Calendar!$A19,DB!$1:$1,0)),FALSE),"")</f>
        <v/>
      </c>
      <c r="OCM19" s="28" t="str">
        <f>IFERROR(VLOOKUP(DATE($K$1,$K$2,OCM$4),Table1[],(MATCH(Calendar!$A19,DB!$1:$1,0)),FALSE),"")</f>
        <v/>
      </c>
      <c r="OCN19" s="28" t="str">
        <f>IFERROR(VLOOKUP(DATE($K$1,$K$2,OCN$4),Table1[],(MATCH(Calendar!$A19,DB!$1:$1,0)),FALSE),"")</f>
        <v/>
      </c>
      <c r="OCO19" s="28" t="str">
        <f>IFERROR(VLOOKUP(DATE($K$1,$K$2,OCO$4),Table1[],(MATCH(Calendar!$A19,DB!$1:$1,0)),FALSE),"")</f>
        <v/>
      </c>
      <c r="OCP19" s="28" t="str">
        <f>IFERROR(VLOOKUP(DATE($K$1,$K$2,OCP$4),Table1[],(MATCH(Calendar!$A19,DB!$1:$1,0)),FALSE),"")</f>
        <v/>
      </c>
      <c r="OCQ19" s="28" t="str">
        <f>IFERROR(VLOOKUP(DATE($K$1,$K$2,OCQ$4),Table1[],(MATCH(Calendar!$A19,DB!$1:$1,0)),FALSE),"")</f>
        <v/>
      </c>
      <c r="OCR19" s="28" t="str">
        <f>IFERROR(VLOOKUP(DATE($K$1,$K$2,OCR$4),Table1[],(MATCH(Calendar!$A19,DB!$1:$1,0)),FALSE),"")</f>
        <v/>
      </c>
      <c r="OCS19" s="28" t="str">
        <f>IFERROR(VLOOKUP(DATE($K$1,$K$2,OCS$4),Table1[],(MATCH(Calendar!$A19,DB!$1:$1,0)),FALSE),"")</f>
        <v/>
      </c>
      <c r="OCT19" s="28" t="str">
        <f>IFERROR(VLOOKUP(DATE($K$1,$K$2,OCT$4),Table1[],(MATCH(Calendar!$A19,DB!$1:$1,0)),FALSE),"")</f>
        <v/>
      </c>
      <c r="OCU19" s="28" t="str">
        <f>IFERROR(VLOOKUP(DATE($K$1,$K$2,OCU$4),Table1[],(MATCH(Calendar!$A19,DB!$1:$1,0)),FALSE),"")</f>
        <v/>
      </c>
      <c r="OCV19" s="28" t="str">
        <f>IFERROR(VLOOKUP(DATE($K$1,$K$2,OCV$4),Table1[],(MATCH(Calendar!$A19,DB!$1:$1,0)),FALSE),"")</f>
        <v/>
      </c>
      <c r="OCW19" s="28" t="str">
        <f>IFERROR(VLOOKUP(DATE($K$1,$K$2,OCW$4),Table1[],(MATCH(Calendar!$A19,DB!$1:$1,0)),FALSE),"")</f>
        <v/>
      </c>
      <c r="OCX19" s="28" t="str">
        <f>IFERROR(VLOOKUP(DATE($K$1,$K$2,OCX$4),Table1[],(MATCH(Calendar!$A19,DB!$1:$1,0)),FALSE),"")</f>
        <v/>
      </c>
      <c r="OCY19" s="28" t="str">
        <f>IFERROR(VLOOKUP(DATE($K$1,$K$2,OCY$4),Table1[],(MATCH(Calendar!$A19,DB!$1:$1,0)),FALSE),"")</f>
        <v/>
      </c>
      <c r="OCZ19" s="28" t="str">
        <f>IFERROR(VLOOKUP(DATE($K$1,$K$2,OCZ$4),Table1[],(MATCH(Calendar!$A19,DB!$1:$1,0)),FALSE),"")</f>
        <v/>
      </c>
      <c r="ODA19" s="28" t="str">
        <f>IFERROR(VLOOKUP(DATE($K$1,$K$2,ODA$4),Table1[],(MATCH(Calendar!$A19,DB!$1:$1,0)),FALSE),"")</f>
        <v/>
      </c>
      <c r="ODB19" s="28" t="str">
        <f>IFERROR(VLOOKUP(DATE($K$1,$K$2,ODB$4),Table1[],(MATCH(Calendar!$A19,DB!$1:$1,0)),FALSE),"")</f>
        <v/>
      </c>
      <c r="ODC19" s="28" t="str">
        <f>IFERROR(VLOOKUP(DATE($K$1,$K$2,ODC$4),Table1[],(MATCH(Calendar!$A19,DB!$1:$1,0)),FALSE),"")</f>
        <v/>
      </c>
      <c r="ODD19" s="28" t="str">
        <f>IFERROR(VLOOKUP(DATE($K$1,$K$2,ODD$4),Table1[],(MATCH(Calendar!$A19,DB!$1:$1,0)),FALSE),"")</f>
        <v/>
      </c>
      <c r="ODE19" s="28" t="str">
        <f>IFERROR(VLOOKUP(DATE($K$1,$K$2,ODE$4),Table1[],(MATCH(Calendar!$A19,DB!$1:$1,0)),FALSE),"")</f>
        <v/>
      </c>
      <c r="ODF19" s="28" t="str">
        <f>IFERROR(VLOOKUP(DATE($K$1,$K$2,ODF$4),Table1[],(MATCH(Calendar!$A19,DB!$1:$1,0)),FALSE),"")</f>
        <v/>
      </c>
      <c r="ODG19" s="28" t="str">
        <f>IFERROR(VLOOKUP(DATE($K$1,$K$2,ODG$4),Table1[],(MATCH(Calendar!$A19,DB!$1:$1,0)),FALSE),"")</f>
        <v/>
      </c>
      <c r="ODH19" s="28" t="str">
        <f>IFERROR(VLOOKUP(DATE($K$1,$K$2,ODH$4),Table1[],(MATCH(Calendar!$A19,DB!$1:$1,0)),FALSE),"")</f>
        <v/>
      </c>
      <c r="ODI19" s="28" t="str">
        <f>IFERROR(VLOOKUP(DATE($K$1,$K$2,ODI$4),Table1[],(MATCH(Calendar!$A19,DB!$1:$1,0)),FALSE),"")</f>
        <v/>
      </c>
      <c r="ODJ19" s="28" t="str">
        <f>IFERROR(VLOOKUP(DATE($K$1,$K$2,ODJ$4),Table1[],(MATCH(Calendar!$A19,DB!$1:$1,0)),FALSE),"")</f>
        <v/>
      </c>
      <c r="ODK19" s="28" t="str">
        <f>IFERROR(VLOOKUP(DATE($K$1,$K$2,ODK$4),Table1[],(MATCH(Calendar!$A19,DB!$1:$1,0)),FALSE),"")</f>
        <v/>
      </c>
      <c r="ODL19" s="28" t="str">
        <f>IFERROR(VLOOKUP(DATE($K$1,$K$2,ODL$4),Table1[],(MATCH(Calendar!$A19,DB!$1:$1,0)),FALSE),"")</f>
        <v/>
      </c>
      <c r="ODM19" s="28" t="str">
        <f>IFERROR(VLOOKUP(DATE($K$1,$K$2,ODM$4),Table1[],(MATCH(Calendar!$A19,DB!$1:$1,0)),FALSE),"")</f>
        <v/>
      </c>
      <c r="ODN19" s="28" t="str">
        <f>IFERROR(VLOOKUP(DATE($K$1,$K$2,ODN$4),Table1[],(MATCH(Calendar!$A19,DB!$1:$1,0)),FALSE),"")</f>
        <v/>
      </c>
      <c r="ODO19" s="28" t="str">
        <f>IFERROR(VLOOKUP(DATE($K$1,$K$2,ODO$4),Table1[],(MATCH(Calendar!$A19,DB!$1:$1,0)),FALSE),"")</f>
        <v/>
      </c>
      <c r="ODP19" s="28" t="str">
        <f>IFERROR(VLOOKUP(DATE($K$1,$K$2,ODP$4),Table1[],(MATCH(Calendar!$A19,DB!$1:$1,0)),FALSE),"")</f>
        <v/>
      </c>
      <c r="ODQ19" s="28" t="str">
        <f>IFERROR(VLOOKUP(DATE($K$1,$K$2,ODQ$4),Table1[],(MATCH(Calendar!$A19,DB!$1:$1,0)),FALSE),"")</f>
        <v/>
      </c>
      <c r="ODR19" s="28" t="str">
        <f>IFERROR(VLOOKUP(DATE($K$1,$K$2,ODR$4),Table1[],(MATCH(Calendar!$A19,DB!$1:$1,0)),FALSE),"")</f>
        <v/>
      </c>
      <c r="ODS19" s="28" t="str">
        <f>IFERROR(VLOOKUP(DATE($K$1,$K$2,ODS$4),Table1[],(MATCH(Calendar!$A19,DB!$1:$1,0)),FALSE),"")</f>
        <v/>
      </c>
      <c r="ODT19" s="28" t="str">
        <f>IFERROR(VLOOKUP(DATE($K$1,$K$2,ODT$4),Table1[],(MATCH(Calendar!$A19,DB!$1:$1,0)),FALSE),"")</f>
        <v/>
      </c>
      <c r="ODU19" s="28" t="str">
        <f>IFERROR(VLOOKUP(DATE($K$1,$K$2,ODU$4),Table1[],(MATCH(Calendar!$A19,DB!$1:$1,0)),FALSE),"")</f>
        <v/>
      </c>
      <c r="ODV19" s="28" t="str">
        <f>IFERROR(VLOOKUP(DATE($K$1,$K$2,ODV$4),Table1[],(MATCH(Calendar!$A19,DB!$1:$1,0)),FALSE),"")</f>
        <v/>
      </c>
      <c r="ODW19" s="28" t="str">
        <f>IFERROR(VLOOKUP(DATE($K$1,$K$2,ODW$4),Table1[],(MATCH(Calendar!$A19,DB!$1:$1,0)),FALSE),"")</f>
        <v/>
      </c>
      <c r="ODX19" s="28" t="str">
        <f>IFERROR(VLOOKUP(DATE($K$1,$K$2,ODX$4),Table1[],(MATCH(Calendar!$A19,DB!$1:$1,0)),FALSE),"")</f>
        <v/>
      </c>
      <c r="ODY19" s="28" t="str">
        <f>IFERROR(VLOOKUP(DATE($K$1,$K$2,ODY$4),Table1[],(MATCH(Calendar!$A19,DB!$1:$1,0)),FALSE),"")</f>
        <v/>
      </c>
      <c r="ODZ19" s="28" t="str">
        <f>IFERROR(VLOOKUP(DATE($K$1,$K$2,ODZ$4),Table1[],(MATCH(Calendar!$A19,DB!$1:$1,0)),FALSE),"")</f>
        <v/>
      </c>
      <c r="OEA19" s="28" t="str">
        <f>IFERROR(VLOOKUP(DATE($K$1,$K$2,OEA$4),Table1[],(MATCH(Calendar!$A19,DB!$1:$1,0)),FALSE),"")</f>
        <v/>
      </c>
      <c r="OEB19" s="28" t="str">
        <f>IFERROR(VLOOKUP(DATE($K$1,$K$2,OEB$4),Table1[],(MATCH(Calendar!$A19,DB!$1:$1,0)),FALSE),"")</f>
        <v/>
      </c>
      <c r="OEC19" s="28" t="str">
        <f>IFERROR(VLOOKUP(DATE($K$1,$K$2,OEC$4),Table1[],(MATCH(Calendar!$A19,DB!$1:$1,0)),FALSE),"")</f>
        <v/>
      </c>
      <c r="OED19" s="28" t="str">
        <f>IFERROR(VLOOKUP(DATE($K$1,$K$2,OED$4),Table1[],(MATCH(Calendar!$A19,DB!$1:$1,0)),FALSE),"")</f>
        <v/>
      </c>
      <c r="OEE19" s="28" t="str">
        <f>IFERROR(VLOOKUP(DATE($K$1,$K$2,OEE$4),Table1[],(MATCH(Calendar!$A19,DB!$1:$1,0)),FALSE),"")</f>
        <v/>
      </c>
      <c r="OEF19" s="28" t="str">
        <f>IFERROR(VLOOKUP(DATE($K$1,$K$2,OEF$4),Table1[],(MATCH(Calendar!$A19,DB!$1:$1,0)),FALSE),"")</f>
        <v/>
      </c>
      <c r="OEG19" s="28" t="str">
        <f>IFERROR(VLOOKUP(DATE($K$1,$K$2,OEG$4),Table1[],(MATCH(Calendar!$A19,DB!$1:$1,0)),FALSE),"")</f>
        <v/>
      </c>
      <c r="OEH19" s="28" t="str">
        <f>IFERROR(VLOOKUP(DATE($K$1,$K$2,OEH$4),Table1[],(MATCH(Calendar!$A19,DB!$1:$1,0)),FALSE),"")</f>
        <v/>
      </c>
      <c r="OEI19" s="28" t="str">
        <f>IFERROR(VLOOKUP(DATE($K$1,$K$2,OEI$4),Table1[],(MATCH(Calendar!$A19,DB!$1:$1,0)),FALSE),"")</f>
        <v/>
      </c>
      <c r="OEJ19" s="28" t="str">
        <f>IFERROR(VLOOKUP(DATE($K$1,$K$2,OEJ$4),Table1[],(MATCH(Calendar!$A19,DB!$1:$1,0)),FALSE),"")</f>
        <v/>
      </c>
      <c r="OEK19" s="28" t="str">
        <f>IFERROR(VLOOKUP(DATE($K$1,$K$2,OEK$4),Table1[],(MATCH(Calendar!$A19,DB!$1:$1,0)),FALSE),"")</f>
        <v/>
      </c>
      <c r="OEL19" s="28" t="str">
        <f>IFERROR(VLOOKUP(DATE($K$1,$K$2,OEL$4),Table1[],(MATCH(Calendar!$A19,DB!$1:$1,0)),FALSE),"")</f>
        <v/>
      </c>
      <c r="OEM19" s="28" t="str">
        <f>IFERROR(VLOOKUP(DATE($K$1,$K$2,OEM$4),Table1[],(MATCH(Calendar!$A19,DB!$1:$1,0)),FALSE),"")</f>
        <v/>
      </c>
      <c r="OEN19" s="28" t="str">
        <f>IFERROR(VLOOKUP(DATE($K$1,$K$2,OEN$4),Table1[],(MATCH(Calendar!$A19,DB!$1:$1,0)),FALSE),"")</f>
        <v/>
      </c>
      <c r="OEO19" s="28" t="str">
        <f>IFERROR(VLOOKUP(DATE($K$1,$K$2,OEO$4),Table1[],(MATCH(Calendar!$A19,DB!$1:$1,0)),FALSE),"")</f>
        <v/>
      </c>
      <c r="OEP19" s="28" t="str">
        <f>IFERROR(VLOOKUP(DATE($K$1,$K$2,OEP$4),Table1[],(MATCH(Calendar!$A19,DB!$1:$1,0)),FALSE),"")</f>
        <v/>
      </c>
      <c r="OEQ19" s="28" t="str">
        <f>IFERROR(VLOOKUP(DATE($K$1,$K$2,OEQ$4),Table1[],(MATCH(Calendar!$A19,DB!$1:$1,0)),FALSE),"")</f>
        <v/>
      </c>
      <c r="OER19" s="28" t="str">
        <f>IFERROR(VLOOKUP(DATE($K$1,$K$2,OER$4),Table1[],(MATCH(Calendar!$A19,DB!$1:$1,0)),FALSE),"")</f>
        <v/>
      </c>
      <c r="OES19" s="28" t="str">
        <f>IFERROR(VLOOKUP(DATE($K$1,$K$2,OES$4),Table1[],(MATCH(Calendar!$A19,DB!$1:$1,0)),FALSE),"")</f>
        <v/>
      </c>
      <c r="OET19" s="28" t="str">
        <f>IFERROR(VLOOKUP(DATE($K$1,$K$2,OET$4),Table1[],(MATCH(Calendar!$A19,DB!$1:$1,0)),FALSE),"")</f>
        <v/>
      </c>
      <c r="OEU19" s="28" t="str">
        <f>IFERROR(VLOOKUP(DATE($K$1,$K$2,OEU$4),Table1[],(MATCH(Calendar!$A19,DB!$1:$1,0)),FALSE),"")</f>
        <v/>
      </c>
      <c r="OEV19" s="28" t="str">
        <f>IFERROR(VLOOKUP(DATE($K$1,$K$2,OEV$4),Table1[],(MATCH(Calendar!$A19,DB!$1:$1,0)),FALSE),"")</f>
        <v/>
      </c>
      <c r="OEW19" s="28" t="str">
        <f>IFERROR(VLOOKUP(DATE($K$1,$K$2,OEW$4),Table1[],(MATCH(Calendar!$A19,DB!$1:$1,0)),FALSE),"")</f>
        <v/>
      </c>
      <c r="OEX19" s="28" t="str">
        <f>IFERROR(VLOOKUP(DATE($K$1,$K$2,OEX$4),Table1[],(MATCH(Calendar!$A19,DB!$1:$1,0)),FALSE),"")</f>
        <v/>
      </c>
      <c r="OEY19" s="28" t="str">
        <f>IFERROR(VLOOKUP(DATE($K$1,$K$2,OEY$4),Table1[],(MATCH(Calendar!$A19,DB!$1:$1,0)),FALSE),"")</f>
        <v/>
      </c>
      <c r="OEZ19" s="28" t="str">
        <f>IFERROR(VLOOKUP(DATE($K$1,$K$2,OEZ$4),Table1[],(MATCH(Calendar!$A19,DB!$1:$1,0)),FALSE),"")</f>
        <v/>
      </c>
      <c r="OFA19" s="28" t="str">
        <f>IFERROR(VLOOKUP(DATE($K$1,$K$2,OFA$4),Table1[],(MATCH(Calendar!$A19,DB!$1:$1,0)),FALSE),"")</f>
        <v/>
      </c>
      <c r="OFB19" s="28" t="str">
        <f>IFERROR(VLOOKUP(DATE($K$1,$K$2,OFB$4),Table1[],(MATCH(Calendar!$A19,DB!$1:$1,0)),FALSE),"")</f>
        <v/>
      </c>
      <c r="OFC19" s="28" t="str">
        <f>IFERROR(VLOOKUP(DATE($K$1,$K$2,OFC$4),Table1[],(MATCH(Calendar!$A19,DB!$1:$1,0)),FALSE),"")</f>
        <v/>
      </c>
      <c r="OFD19" s="28" t="str">
        <f>IFERROR(VLOOKUP(DATE($K$1,$K$2,OFD$4),Table1[],(MATCH(Calendar!$A19,DB!$1:$1,0)),FALSE),"")</f>
        <v/>
      </c>
      <c r="OFE19" s="28" t="str">
        <f>IFERROR(VLOOKUP(DATE($K$1,$K$2,OFE$4),Table1[],(MATCH(Calendar!$A19,DB!$1:$1,0)),FALSE),"")</f>
        <v/>
      </c>
      <c r="OFF19" s="28" t="str">
        <f>IFERROR(VLOOKUP(DATE($K$1,$K$2,OFF$4),Table1[],(MATCH(Calendar!$A19,DB!$1:$1,0)),FALSE),"")</f>
        <v/>
      </c>
      <c r="OFG19" s="28" t="str">
        <f>IFERROR(VLOOKUP(DATE($K$1,$K$2,OFG$4),Table1[],(MATCH(Calendar!$A19,DB!$1:$1,0)),FALSE),"")</f>
        <v/>
      </c>
      <c r="OFH19" s="28" t="str">
        <f>IFERROR(VLOOKUP(DATE($K$1,$K$2,OFH$4),Table1[],(MATCH(Calendar!$A19,DB!$1:$1,0)),FALSE),"")</f>
        <v/>
      </c>
      <c r="OFI19" s="28" t="str">
        <f>IFERROR(VLOOKUP(DATE($K$1,$K$2,OFI$4),Table1[],(MATCH(Calendar!$A19,DB!$1:$1,0)),FALSE),"")</f>
        <v/>
      </c>
      <c r="OFJ19" s="28" t="str">
        <f>IFERROR(VLOOKUP(DATE($K$1,$K$2,OFJ$4),Table1[],(MATCH(Calendar!$A19,DB!$1:$1,0)),FALSE),"")</f>
        <v/>
      </c>
      <c r="OFK19" s="28" t="str">
        <f>IFERROR(VLOOKUP(DATE($K$1,$K$2,OFK$4),Table1[],(MATCH(Calendar!$A19,DB!$1:$1,0)),FALSE),"")</f>
        <v/>
      </c>
      <c r="OFL19" s="28" t="str">
        <f>IFERROR(VLOOKUP(DATE($K$1,$K$2,OFL$4),Table1[],(MATCH(Calendar!$A19,DB!$1:$1,0)),FALSE),"")</f>
        <v/>
      </c>
      <c r="OFM19" s="28" t="str">
        <f>IFERROR(VLOOKUP(DATE($K$1,$K$2,OFM$4),Table1[],(MATCH(Calendar!$A19,DB!$1:$1,0)),FALSE),"")</f>
        <v/>
      </c>
      <c r="OFN19" s="28" t="str">
        <f>IFERROR(VLOOKUP(DATE($K$1,$K$2,OFN$4),Table1[],(MATCH(Calendar!$A19,DB!$1:$1,0)),FALSE),"")</f>
        <v/>
      </c>
      <c r="OFO19" s="28" t="str">
        <f>IFERROR(VLOOKUP(DATE($K$1,$K$2,OFO$4),Table1[],(MATCH(Calendar!$A19,DB!$1:$1,0)),FALSE),"")</f>
        <v/>
      </c>
      <c r="OFP19" s="28" t="str">
        <f>IFERROR(VLOOKUP(DATE($K$1,$K$2,OFP$4),Table1[],(MATCH(Calendar!$A19,DB!$1:$1,0)),FALSE),"")</f>
        <v/>
      </c>
      <c r="OFQ19" s="28" t="str">
        <f>IFERROR(VLOOKUP(DATE($K$1,$K$2,OFQ$4),Table1[],(MATCH(Calendar!$A19,DB!$1:$1,0)),FALSE),"")</f>
        <v/>
      </c>
      <c r="OFR19" s="28" t="str">
        <f>IFERROR(VLOOKUP(DATE($K$1,$K$2,OFR$4),Table1[],(MATCH(Calendar!$A19,DB!$1:$1,0)),FALSE),"")</f>
        <v/>
      </c>
      <c r="OFS19" s="28" t="str">
        <f>IFERROR(VLOOKUP(DATE($K$1,$K$2,OFS$4),Table1[],(MATCH(Calendar!$A19,DB!$1:$1,0)),FALSE),"")</f>
        <v/>
      </c>
      <c r="OFT19" s="28" t="str">
        <f>IFERROR(VLOOKUP(DATE($K$1,$K$2,OFT$4),Table1[],(MATCH(Calendar!$A19,DB!$1:$1,0)),FALSE),"")</f>
        <v/>
      </c>
      <c r="OFU19" s="28" t="str">
        <f>IFERROR(VLOOKUP(DATE($K$1,$K$2,OFU$4),Table1[],(MATCH(Calendar!$A19,DB!$1:$1,0)),FALSE),"")</f>
        <v/>
      </c>
      <c r="OFV19" s="28" t="str">
        <f>IFERROR(VLOOKUP(DATE($K$1,$K$2,OFV$4),Table1[],(MATCH(Calendar!$A19,DB!$1:$1,0)),FALSE),"")</f>
        <v/>
      </c>
      <c r="OFW19" s="28" t="str">
        <f>IFERROR(VLOOKUP(DATE($K$1,$K$2,OFW$4),Table1[],(MATCH(Calendar!$A19,DB!$1:$1,0)),FALSE),"")</f>
        <v/>
      </c>
      <c r="OFX19" s="28" t="str">
        <f>IFERROR(VLOOKUP(DATE($K$1,$K$2,OFX$4),Table1[],(MATCH(Calendar!$A19,DB!$1:$1,0)),FALSE),"")</f>
        <v/>
      </c>
      <c r="OFY19" s="28" t="str">
        <f>IFERROR(VLOOKUP(DATE($K$1,$K$2,OFY$4),Table1[],(MATCH(Calendar!$A19,DB!$1:$1,0)),FALSE),"")</f>
        <v/>
      </c>
      <c r="OFZ19" s="28" t="str">
        <f>IFERROR(VLOOKUP(DATE($K$1,$K$2,OFZ$4),Table1[],(MATCH(Calendar!$A19,DB!$1:$1,0)),FALSE),"")</f>
        <v/>
      </c>
      <c r="OGA19" s="28" t="str">
        <f>IFERROR(VLOOKUP(DATE($K$1,$K$2,OGA$4),Table1[],(MATCH(Calendar!$A19,DB!$1:$1,0)),FALSE),"")</f>
        <v/>
      </c>
      <c r="OGB19" s="28" t="str">
        <f>IFERROR(VLOOKUP(DATE($K$1,$K$2,OGB$4),Table1[],(MATCH(Calendar!$A19,DB!$1:$1,0)),FALSE),"")</f>
        <v/>
      </c>
      <c r="OGC19" s="28" t="str">
        <f>IFERROR(VLOOKUP(DATE($K$1,$K$2,OGC$4),Table1[],(MATCH(Calendar!$A19,DB!$1:$1,0)),FALSE),"")</f>
        <v/>
      </c>
      <c r="OGD19" s="28" t="str">
        <f>IFERROR(VLOOKUP(DATE($K$1,$K$2,OGD$4),Table1[],(MATCH(Calendar!$A19,DB!$1:$1,0)),FALSE),"")</f>
        <v/>
      </c>
      <c r="OGE19" s="28" t="str">
        <f>IFERROR(VLOOKUP(DATE($K$1,$K$2,OGE$4),Table1[],(MATCH(Calendar!$A19,DB!$1:$1,0)),FALSE),"")</f>
        <v/>
      </c>
      <c r="OGF19" s="28" t="str">
        <f>IFERROR(VLOOKUP(DATE($K$1,$K$2,OGF$4),Table1[],(MATCH(Calendar!$A19,DB!$1:$1,0)),FALSE),"")</f>
        <v/>
      </c>
      <c r="OGG19" s="28" t="str">
        <f>IFERROR(VLOOKUP(DATE($K$1,$K$2,OGG$4),Table1[],(MATCH(Calendar!$A19,DB!$1:$1,0)),FALSE),"")</f>
        <v/>
      </c>
      <c r="OGH19" s="28" t="str">
        <f>IFERROR(VLOOKUP(DATE($K$1,$K$2,OGH$4),Table1[],(MATCH(Calendar!$A19,DB!$1:$1,0)),FALSE),"")</f>
        <v/>
      </c>
      <c r="OGI19" s="28" t="str">
        <f>IFERROR(VLOOKUP(DATE($K$1,$K$2,OGI$4),Table1[],(MATCH(Calendar!$A19,DB!$1:$1,0)),FALSE),"")</f>
        <v/>
      </c>
      <c r="OGJ19" s="28" t="str">
        <f>IFERROR(VLOOKUP(DATE($K$1,$K$2,OGJ$4),Table1[],(MATCH(Calendar!$A19,DB!$1:$1,0)),FALSE),"")</f>
        <v/>
      </c>
      <c r="OGK19" s="28" t="str">
        <f>IFERROR(VLOOKUP(DATE($K$1,$K$2,OGK$4),Table1[],(MATCH(Calendar!$A19,DB!$1:$1,0)),FALSE),"")</f>
        <v/>
      </c>
      <c r="OGL19" s="28" t="str">
        <f>IFERROR(VLOOKUP(DATE($K$1,$K$2,OGL$4),Table1[],(MATCH(Calendar!$A19,DB!$1:$1,0)),FALSE),"")</f>
        <v/>
      </c>
      <c r="OGM19" s="28" t="str">
        <f>IFERROR(VLOOKUP(DATE($K$1,$K$2,OGM$4),Table1[],(MATCH(Calendar!$A19,DB!$1:$1,0)),FALSE),"")</f>
        <v/>
      </c>
      <c r="OGN19" s="28" t="str">
        <f>IFERROR(VLOOKUP(DATE($K$1,$K$2,OGN$4),Table1[],(MATCH(Calendar!$A19,DB!$1:$1,0)),FALSE),"")</f>
        <v/>
      </c>
      <c r="OGO19" s="28" t="str">
        <f>IFERROR(VLOOKUP(DATE($K$1,$K$2,OGO$4),Table1[],(MATCH(Calendar!$A19,DB!$1:$1,0)),FALSE),"")</f>
        <v/>
      </c>
      <c r="OGP19" s="28" t="str">
        <f>IFERROR(VLOOKUP(DATE($K$1,$K$2,OGP$4),Table1[],(MATCH(Calendar!$A19,DB!$1:$1,0)),FALSE),"")</f>
        <v/>
      </c>
      <c r="OGQ19" s="28" t="str">
        <f>IFERROR(VLOOKUP(DATE($K$1,$K$2,OGQ$4),Table1[],(MATCH(Calendar!$A19,DB!$1:$1,0)),FALSE),"")</f>
        <v/>
      </c>
      <c r="OGR19" s="28" t="str">
        <f>IFERROR(VLOOKUP(DATE($K$1,$K$2,OGR$4),Table1[],(MATCH(Calendar!$A19,DB!$1:$1,0)),FALSE),"")</f>
        <v/>
      </c>
      <c r="OGS19" s="28" t="str">
        <f>IFERROR(VLOOKUP(DATE($K$1,$K$2,OGS$4),Table1[],(MATCH(Calendar!$A19,DB!$1:$1,0)),FALSE),"")</f>
        <v/>
      </c>
      <c r="OGT19" s="28" t="str">
        <f>IFERROR(VLOOKUP(DATE($K$1,$K$2,OGT$4),Table1[],(MATCH(Calendar!$A19,DB!$1:$1,0)),FALSE),"")</f>
        <v/>
      </c>
      <c r="OGU19" s="28" t="str">
        <f>IFERROR(VLOOKUP(DATE($K$1,$K$2,OGU$4),Table1[],(MATCH(Calendar!$A19,DB!$1:$1,0)),FALSE),"")</f>
        <v/>
      </c>
      <c r="OGV19" s="28" t="str">
        <f>IFERROR(VLOOKUP(DATE($K$1,$K$2,OGV$4),Table1[],(MATCH(Calendar!$A19,DB!$1:$1,0)),FALSE),"")</f>
        <v/>
      </c>
      <c r="OGW19" s="28" t="str">
        <f>IFERROR(VLOOKUP(DATE($K$1,$K$2,OGW$4),Table1[],(MATCH(Calendar!$A19,DB!$1:$1,0)),FALSE),"")</f>
        <v/>
      </c>
      <c r="OGX19" s="28" t="str">
        <f>IFERROR(VLOOKUP(DATE($K$1,$K$2,OGX$4),Table1[],(MATCH(Calendar!$A19,DB!$1:$1,0)),FALSE),"")</f>
        <v/>
      </c>
      <c r="OGY19" s="28" t="str">
        <f>IFERROR(VLOOKUP(DATE($K$1,$K$2,OGY$4),Table1[],(MATCH(Calendar!$A19,DB!$1:$1,0)),FALSE),"")</f>
        <v/>
      </c>
      <c r="OGZ19" s="28" t="str">
        <f>IFERROR(VLOOKUP(DATE($K$1,$K$2,OGZ$4),Table1[],(MATCH(Calendar!$A19,DB!$1:$1,0)),FALSE),"")</f>
        <v/>
      </c>
      <c r="OHA19" s="28" t="str">
        <f>IFERROR(VLOOKUP(DATE($K$1,$K$2,OHA$4),Table1[],(MATCH(Calendar!$A19,DB!$1:$1,0)),FALSE),"")</f>
        <v/>
      </c>
      <c r="OHB19" s="28" t="str">
        <f>IFERROR(VLOOKUP(DATE($K$1,$K$2,OHB$4),Table1[],(MATCH(Calendar!$A19,DB!$1:$1,0)),FALSE),"")</f>
        <v/>
      </c>
      <c r="OHC19" s="28" t="str">
        <f>IFERROR(VLOOKUP(DATE($K$1,$K$2,OHC$4),Table1[],(MATCH(Calendar!$A19,DB!$1:$1,0)),FALSE),"")</f>
        <v/>
      </c>
      <c r="OHD19" s="28" t="str">
        <f>IFERROR(VLOOKUP(DATE($K$1,$K$2,OHD$4),Table1[],(MATCH(Calendar!$A19,DB!$1:$1,0)),FALSE),"")</f>
        <v/>
      </c>
      <c r="OHE19" s="28" t="str">
        <f>IFERROR(VLOOKUP(DATE($K$1,$K$2,OHE$4),Table1[],(MATCH(Calendar!$A19,DB!$1:$1,0)),FALSE),"")</f>
        <v/>
      </c>
      <c r="OHF19" s="28" t="str">
        <f>IFERROR(VLOOKUP(DATE($K$1,$K$2,OHF$4),Table1[],(MATCH(Calendar!$A19,DB!$1:$1,0)),FALSE),"")</f>
        <v/>
      </c>
      <c r="OHG19" s="28" t="str">
        <f>IFERROR(VLOOKUP(DATE($K$1,$K$2,OHG$4),Table1[],(MATCH(Calendar!$A19,DB!$1:$1,0)),FALSE),"")</f>
        <v/>
      </c>
      <c r="OHH19" s="28" t="str">
        <f>IFERROR(VLOOKUP(DATE($K$1,$K$2,OHH$4),Table1[],(MATCH(Calendar!$A19,DB!$1:$1,0)),FALSE),"")</f>
        <v/>
      </c>
      <c r="OHI19" s="28" t="str">
        <f>IFERROR(VLOOKUP(DATE($K$1,$K$2,OHI$4),Table1[],(MATCH(Calendar!$A19,DB!$1:$1,0)),FALSE),"")</f>
        <v/>
      </c>
      <c r="OHJ19" s="28" t="str">
        <f>IFERROR(VLOOKUP(DATE($K$1,$K$2,OHJ$4),Table1[],(MATCH(Calendar!$A19,DB!$1:$1,0)),FALSE),"")</f>
        <v/>
      </c>
      <c r="OHK19" s="28" t="str">
        <f>IFERROR(VLOOKUP(DATE($K$1,$K$2,OHK$4),Table1[],(MATCH(Calendar!$A19,DB!$1:$1,0)),FALSE),"")</f>
        <v/>
      </c>
      <c r="OHL19" s="28" t="str">
        <f>IFERROR(VLOOKUP(DATE($K$1,$K$2,OHL$4),Table1[],(MATCH(Calendar!$A19,DB!$1:$1,0)),FALSE),"")</f>
        <v/>
      </c>
      <c r="OHM19" s="28" t="str">
        <f>IFERROR(VLOOKUP(DATE($K$1,$K$2,OHM$4),Table1[],(MATCH(Calendar!$A19,DB!$1:$1,0)),FALSE),"")</f>
        <v/>
      </c>
      <c r="OHN19" s="28" t="str">
        <f>IFERROR(VLOOKUP(DATE($K$1,$K$2,OHN$4),Table1[],(MATCH(Calendar!$A19,DB!$1:$1,0)),FALSE),"")</f>
        <v/>
      </c>
      <c r="OHO19" s="28" t="str">
        <f>IFERROR(VLOOKUP(DATE($K$1,$K$2,OHO$4),Table1[],(MATCH(Calendar!$A19,DB!$1:$1,0)),FALSE),"")</f>
        <v/>
      </c>
      <c r="OHP19" s="28" t="str">
        <f>IFERROR(VLOOKUP(DATE($K$1,$K$2,OHP$4),Table1[],(MATCH(Calendar!$A19,DB!$1:$1,0)),FALSE),"")</f>
        <v/>
      </c>
      <c r="OHQ19" s="28" t="str">
        <f>IFERROR(VLOOKUP(DATE($K$1,$K$2,OHQ$4),Table1[],(MATCH(Calendar!$A19,DB!$1:$1,0)),FALSE),"")</f>
        <v/>
      </c>
      <c r="OHR19" s="28" t="str">
        <f>IFERROR(VLOOKUP(DATE($K$1,$K$2,OHR$4),Table1[],(MATCH(Calendar!$A19,DB!$1:$1,0)),FALSE),"")</f>
        <v/>
      </c>
      <c r="OHS19" s="28" t="str">
        <f>IFERROR(VLOOKUP(DATE($K$1,$K$2,OHS$4),Table1[],(MATCH(Calendar!$A19,DB!$1:$1,0)),FALSE),"")</f>
        <v/>
      </c>
      <c r="OHT19" s="28" t="str">
        <f>IFERROR(VLOOKUP(DATE($K$1,$K$2,OHT$4),Table1[],(MATCH(Calendar!$A19,DB!$1:$1,0)),FALSE),"")</f>
        <v/>
      </c>
      <c r="OHU19" s="28" t="str">
        <f>IFERROR(VLOOKUP(DATE($K$1,$K$2,OHU$4),Table1[],(MATCH(Calendar!$A19,DB!$1:$1,0)),FALSE),"")</f>
        <v/>
      </c>
      <c r="OHV19" s="28" t="str">
        <f>IFERROR(VLOOKUP(DATE($K$1,$K$2,OHV$4),Table1[],(MATCH(Calendar!$A19,DB!$1:$1,0)),FALSE),"")</f>
        <v/>
      </c>
      <c r="OHW19" s="28" t="str">
        <f>IFERROR(VLOOKUP(DATE($K$1,$K$2,OHW$4),Table1[],(MATCH(Calendar!$A19,DB!$1:$1,0)),FALSE),"")</f>
        <v/>
      </c>
      <c r="OHX19" s="28" t="str">
        <f>IFERROR(VLOOKUP(DATE($K$1,$K$2,OHX$4),Table1[],(MATCH(Calendar!$A19,DB!$1:$1,0)),FALSE),"")</f>
        <v/>
      </c>
      <c r="OHY19" s="28" t="str">
        <f>IFERROR(VLOOKUP(DATE($K$1,$K$2,OHY$4),Table1[],(MATCH(Calendar!$A19,DB!$1:$1,0)),FALSE),"")</f>
        <v/>
      </c>
      <c r="OHZ19" s="28" t="str">
        <f>IFERROR(VLOOKUP(DATE($K$1,$K$2,OHZ$4),Table1[],(MATCH(Calendar!$A19,DB!$1:$1,0)),FALSE),"")</f>
        <v/>
      </c>
      <c r="OIA19" s="28" t="str">
        <f>IFERROR(VLOOKUP(DATE($K$1,$K$2,OIA$4),Table1[],(MATCH(Calendar!$A19,DB!$1:$1,0)),FALSE),"")</f>
        <v/>
      </c>
      <c r="OIB19" s="28" t="str">
        <f>IFERROR(VLOOKUP(DATE($K$1,$K$2,OIB$4),Table1[],(MATCH(Calendar!$A19,DB!$1:$1,0)),FALSE),"")</f>
        <v/>
      </c>
      <c r="OIC19" s="28" t="str">
        <f>IFERROR(VLOOKUP(DATE($K$1,$K$2,OIC$4),Table1[],(MATCH(Calendar!$A19,DB!$1:$1,0)),FALSE),"")</f>
        <v/>
      </c>
      <c r="OID19" s="28" t="str">
        <f>IFERROR(VLOOKUP(DATE($K$1,$K$2,OID$4),Table1[],(MATCH(Calendar!$A19,DB!$1:$1,0)),FALSE),"")</f>
        <v/>
      </c>
      <c r="OIE19" s="28" t="str">
        <f>IFERROR(VLOOKUP(DATE($K$1,$K$2,OIE$4),Table1[],(MATCH(Calendar!$A19,DB!$1:$1,0)),FALSE),"")</f>
        <v/>
      </c>
      <c r="OIF19" s="28" t="str">
        <f>IFERROR(VLOOKUP(DATE($K$1,$K$2,OIF$4),Table1[],(MATCH(Calendar!$A19,DB!$1:$1,0)),FALSE),"")</f>
        <v/>
      </c>
      <c r="OIG19" s="28" t="str">
        <f>IFERROR(VLOOKUP(DATE($K$1,$K$2,OIG$4),Table1[],(MATCH(Calendar!$A19,DB!$1:$1,0)),FALSE),"")</f>
        <v/>
      </c>
      <c r="OIH19" s="28" t="str">
        <f>IFERROR(VLOOKUP(DATE($K$1,$K$2,OIH$4),Table1[],(MATCH(Calendar!$A19,DB!$1:$1,0)),FALSE),"")</f>
        <v/>
      </c>
      <c r="OII19" s="28" t="str">
        <f>IFERROR(VLOOKUP(DATE($K$1,$K$2,OII$4),Table1[],(MATCH(Calendar!$A19,DB!$1:$1,0)),FALSE),"")</f>
        <v/>
      </c>
      <c r="OIJ19" s="28" t="str">
        <f>IFERROR(VLOOKUP(DATE($K$1,$K$2,OIJ$4),Table1[],(MATCH(Calendar!$A19,DB!$1:$1,0)),FALSE),"")</f>
        <v/>
      </c>
      <c r="OIK19" s="28" t="str">
        <f>IFERROR(VLOOKUP(DATE($K$1,$K$2,OIK$4),Table1[],(MATCH(Calendar!$A19,DB!$1:$1,0)),FALSE),"")</f>
        <v/>
      </c>
      <c r="OIL19" s="28" t="str">
        <f>IFERROR(VLOOKUP(DATE($K$1,$K$2,OIL$4),Table1[],(MATCH(Calendar!$A19,DB!$1:$1,0)),FALSE),"")</f>
        <v/>
      </c>
      <c r="OIM19" s="28" t="str">
        <f>IFERROR(VLOOKUP(DATE($K$1,$K$2,OIM$4),Table1[],(MATCH(Calendar!$A19,DB!$1:$1,0)),FALSE),"")</f>
        <v/>
      </c>
      <c r="OIN19" s="28" t="str">
        <f>IFERROR(VLOOKUP(DATE($K$1,$K$2,OIN$4),Table1[],(MATCH(Calendar!$A19,DB!$1:$1,0)),FALSE),"")</f>
        <v/>
      </c>
      <c r="OIO19" s="28" t="str">
        <f>IFERROR(VLOOKUP(DATE($K$1,$K$2,OIO$4),Table1[],(MATCH(Calendar!$A19,DB!$1:$1,0)),FALSE),"")</f>
        <v/>
      </c>
      <c r="OIP19" s="28" t="str">
        <f>IFERROR(VLOOKUP(DATE($K$1,$K$2,OIP$4),Table1[],(MATCH(Calendar!$A19,DB!$1:$1,0)),FALSE),"")</f>
        <v/>
      </c>
      <c r="OIQ19" s="28" t="str">
        <f>IFERROR(VLOOKUP(DATE($K$1,$K$2,OIQ$4),Table1[],(MATCH(Calendar!$A19,DB!$1:$1,0)),FALSE),"")</f>
        <v/>
      </c>
      <c r="OIR19" s="28" t="str">
        <f>IFERROR(VLOOKUP(DATE($K$1,$K$2,OIR$4),Table1[],(MATCH(Calendar!$A19,DB!$1:$1,0)),FALSE),"")</f>
        <v/>
      </c>
      <c r="OIS19" s="28" t="str">
        <f>IFERROR(VLOOKUP(DATE($K$1,$K$2,OIS$4),Table1[],(MATCH(Calendar!$A19,DB!$1:$1,0)),FALSE),"")</f>
        <v/>
      </c>
      <c r="OIT19" s="28" t="str">
        <f>IFERROR(VLOOKUP(DATE($K$1,$K$2,OIT$4),Table1[],(MATCH(Calendar!$A19,DB!$1:$1,0)),FALSE),"")</f>
        <v/>
      </c>
      <c r="OIU19" s="28" t="str">
        <f>IFERROR(VLOOKUP(DATE($K$1,$K$2,OIU$4),Table1[],(MATCH(Calendar!$A19,DB!$1:$1,0)),FALSE),"")</f>
        <v/>
      </c>
      <c r="OIV19" s="28" t="str">
        <f>IFERROR(VLOOKUP(DATE($K$1,$K$2,OIV$4),Table1[],(MATCH(Calendar!$A19,DB!$1:$1,0)),FALSE),"")</f>
        <v/>
      </c>
      <c r="OIW19" s="28" t="str">
        <f>IFERROR(VLOOKUP(DATE($K$1,$K$2,OIW$4),Table1[],(MATCH(Calendar!$A19,DB!$1:$1,0)),FALSE),"")</f>
        <v/>
      </c>
      <c r="OIX19" s="28" t="str">
        <f>IFERROR(VLOOKUP(DATE($K$1,$K$2,OIX$4),Table1[],(MATCH(Calendar!$A19,DB!$1:$1,0)),FALSE),"")</f>
        <v/>
      </c>
      <c r="OIY19" s="28" t="str">
        <f>IFERROR(VLOOKUP(DATE($K$1,$K$2,OIY$4),Table1[],(MATCH(Calendar!$A19,DB!$1:$1,0)),FALSE),"")</f>
        <v/>
      </c>
      <c r="OIZ19" s="28" t="str">
        <f>IFERROR(VLOOKUP(DATE($K$1,$K$2,OIZ$4),Table1[],(MATCH(Calendar!$A19,DB!$1:$1,0)),FALSE),"")</f>
        <v/>
      </c>
      <c r="OJA19" s="28" t="str">
        <f>IFERROR(VLOOKUP(DATE($K$1,$K$2,OJA$4),Table1[],(MATCH(Calendar!$A19,DB!$1:$1,0)),FALSE),"")</f>
        <v/>
      </c>
      <c r="OJB19" s="28" t="str">
        <f>IFERROR(VLOOKUP(DATE($K$1,$K$2,OJB$4),Table1[],(MATCH(Calendar!$A19,DB!$1:$1,0)),FALSE),"")</f>
        <v/>
      </c>
      <c r="OJC19" s="28" t="str">
        <f>IFERROR(VLOOKUP(DATE($K$1,$K$2,OJC$4),Table1[],(MATCH(Calendar!$A19,DB!$1:$1,0)),FALSE),"")</f>
        <v/>
      </c>
      <c r="OJD19" s="28" t="str">
        <f>IFERROR(VLOOKUP(DATE($K$1,$K$2,OJD$4),Table1[],(MATCH(Calendar!$A19,DB!$1:$1,0)),FALSE),"")</f>
        <v/>
      </c>
      <c r="OJE19" s="28" t="str">
        <f>IFERROR(VLOOKUP(DATE($K$1,$K$2,OJE$4),Table1[],(MATCH(Calendar!$A19,DB!$1:$1,0)),FALSE),"")</f>
        <v/>
      </c>
      <c r="OJF19" s="28" t="str">
        <f>IFERROR(VLOOKUP(DATE($K$1,$K$2,OJF$4),Table1[],(MATCH(Calendar!$A19,DB!$1:$1,0)),FALSE),"")</f>
        <v/>
      </c>
      <c r="OJG19" s="28" t="str">
        <f>IFERROR(VLOOKUP(DATE($K$1,$K$2,OJG$4),Table1[],(MATCH(Calendar!$A19,DB!$1:$1,0)),FALSE),"")</f>
        <v/>
      </c>
      <c r="OJH19" s="28" t="str">
        <f>IFERROR(VLOOKUP(DATE($K$1,$K$2,OJH$4),Table1[],(MATCH(Calendar!$A19,DB!$1:$1,0)),FALSE),"")</f>
        <v/>
      </c>
      <c r="OJI19" s="28" t="str">
        <f>IFERROR(VLOOKUP(DATE($K$1,$K$2,OJI$4),Table1[],(MATCH(Calendar!$A19,DB!$1:$1,0)),FALSE),"")</f>
        <v/>
      </c>
      <c r="OJJ19" s="28" t="str">
        <f>IFERROR(VLOOKUP(DATE($K$1,$K$2,OJJ$4),Table1[],(MATCH(Calendar!$A19,DB!$1:$1,0)),FALSE),"")</f>
        <v/>
      </c>
      <c r="OJK19" s="28" t="str">
        <f>IFERROR(VLOOKUP(DATE($K$1,$K$2,OJK$4),Table1[],(MATCH(Calendar!$A19,DB!$1:$1,0)),FALSE),"")</f>
        <v/>
      </c>
      <c r="OJL19" s="28" t="str">
        <f>IFERROR(VLOOKUP(DATE($K$1,$K$2,OJL$4),Table1[],(MATCH(Calendar!$A19,DB!$1:$1,0)),FALSE),"")</f>
        <v/>
      </c>
      <c r="OJM19" s="28" t="str">
        <f>IFERROR(VLOOKUP(DATE($K$1,$K$2,OJM$4),Table1[],(MATCH(Calendar!$A19,DB!$1:$1,0)),FALSE),"")</f>
        <v/>
      </c>
      <c r="OJN19" s="28" t="str">
        <f>IFERROR(VLOOKUP(DATE($K$1,$K$2,OJN$4),Table1[],(MATCH(Calendar!$A19,DB!$1:$1,0)),FALSE),"")</f>
        <v/>
      </c>
      <c r="OJO19" s="28" t="str">
        <f>IFERROR(VLOOKUP(DATE($K$1,$K$2,OJO$4),Table1[],(MATCH(Calendar!$A19,DB!$1:$1,0)),FALSE),"")</f>
        <v/>
      </c>
      <c r="OJP19" s="28" t="str">
        <f>IFERROR(VLOOKUP(DATE($K$1,$K$2,OJP$4),Table1[],(MATCH(Calendar!$A19,DB!$1:$1,0)),FALSE),"")</f>
        <v/>
      </c>
      <c r="OJQ19" s="28" t="str">
        <f>IFERROR(VLOOKUP(DATE($K$1,$K$2,OJQ$4),Table1[],(MATCH(Calendar!$A19,DB!$1:$1,0)),FALSE),"")</f>
        <v/>
      </c>
      <c r="OJR19" s="28" t="str">
        <f>IFERROR(VLOOKUP(DATE($K$1,$K$2,OJR$4),Table1[],(MATCH(Calendar!$A19,DB!$1:$1,0)),FALSE),"")</f>
        <v/>
      </c>
      <c r="OJS19" s="28" t="str">
        <f>IFERROR(VLOOKUP(DATE($K$1,$K$2,OJS$4),Table1[],(MATCH(Calendar!$A19,DB!$1:$1,0)),FALSE),"")</f>
        <v/>
      </c>
      <c r="OJT19" s="28" t="str">
        <f>IFERROR(VLOOKUP(DATE($K$1,$K$2,OJT$4),Table1[],(MATCH(Calendar!$A19,DB!$1:$1,0)),FALSE),"")</f>
        <v/>
      </c>
      <c r="OJU19" s="28" t="str">
        <f>IFERROR(VLOOKUP(DATE($K$1,$K$2,OJU$4),Table1[],(MATCH(Calendar!$A19,DB!$1:$1,0)),FALSE),"")</f>
        <v/>
      </c>
      <c r="OJV19" s="28" t="str">
        <f>IFERROR(VLOOKUP(DATE($K$1,$K$2,OJV$4),Table1[],(MATCH(Calendar!$A19,DB!$1:$1,0)),FALSE),"")</f>
        <v/>
      </c>
      <c r="OJW19" s="28" t="str">
        <f>IFERROR(VLOOKUP(DATE($K$1,$K$2,OJW$4),Table1[],(MATCH(Calendar!$A19,DB!$1:$1,0)),FALSE),"")</f>
        <v/>
      </c>
      <c r="OJX19" s="28" t="str">
        <f>IFERROR(VLOOKUP(DATE($K$1,$K$2,OJX$4),Table1[],(MATCH(Calendar!$A19,DB!$1:$1,0)),FALSE),"")</f>
        <v/>
      </c>
      <c r="OJY19" s="28" t="str">
        <f>IFERROR(VLOOKUP(DATE($K$1,$K$2,OJY$4),Table1[],(MATCH(Calendar!$A19,DB!$1:$1,0)),FALSE),"")</f>
        <v/>
      </c>
      <c r="OJZ19" s="28" t="str">
        <f>IFERROR(VLOOKUP(DATE($K$1,$K$2,OJZ$4),Table1[],(MATCH(Calendar!$A19,DB!$1:$1,0)),FALSE),"")</f>
        <v/>
      </c>
      <c r="OKA19" s="28" t="str">
        <f>IFERROR(VLOOKUP(DATE($K$1,$K$2,OKA$4),Table1[],(MATCH(Calendar!$A19,DB!$1:$1,0)),FALSE),"")</f>
        <v/>
      </c>
      <c r="OKB19" s="28" t="str">
        <f>IFERROR(VLOOKUP(DATE($K$1,$K$2,OKB$4),Table1[],(MATCH(Calendar!$A19,DB!$1:$1,0)),FALSE),"")</f>
        <v/>
      </c>
      <c r="OKC19" s="28" t="str">
        <f>IFERROR(VLOOKUP(DATE($K$1,$K$2,OKC$4),Table1[],(MATCH(Calendar!$A19,DB!$1:$1,0)),FALSE),"")</f>
        <v/>
      </c>
      <c r="OKD19" s="28" t="str">
        <f>IFERROR(VLOOKUP(DATE($K$1,$K$2,OKD$4),Table1[],(MATCH(Calendar!$A19,DB!$1:$1,0)),FALSE),"")</f>
        <v/>
      </c>
      <c r="OKE19" s="28" t="str">
        <f>IFERROR(VLOOKUP(DATE($K$1,$K$2,OKE$4),Table1[],(MATCH(Calendar!$A19,DB!$1:$1,0)),FALSE),"")</f>
        <v/>
      </c>
      <c r="OKF19" s="28" t="str">
        <f>IFERROR(VLOOKUP(DATE($K$1,$K$2,OKF$4),Table1[],(MATCH(Calendar!$A19,DB!$1:$1,0)),FALSE),"")</f>
        <v/>
      </c>
      <c r="OKG19" s="28" t="str">
        <f>IFERROR(VLOOKUP(DATE($K$1,$K$2,OKG$4),Table1[],(MATCH(Calendar!$A19,DB!$1:$1,0)),FALSE),"")</f>
        <v/>
      </c>
      <c r="OKH19" s="28" t="str">
        <f>IFERROR(VLOOKUP(DATE($K$1,$K$2,OKH$4),Table1[],(MATCH(Calendar!$A19,DB!$1:$1,0)),FALSE),"")</f>
        <v/>
      </c>
      <c r="OKI19" s="28" t="str">
        <f>IFERROR(VLOOKUP(DATE($K$1,$K$2,OKI$4),Table1[],(MATCH(Calendar!$A19,DB!$1:$1,0)),FALSE),"")</f>
        <v/>
      </c>
      <c r="OKJ19" s="28" t="str">
        <f>IFERROR(VLOOKUP(DATE($K$1,$K$2,OKJ$4),Table1[],(MATCH(Calendar!$A19,DB!$1:$1,0)),FALSE),"")</f>
        <v/>
      </c>
      <c r="OKK19" s="28" t="str">
        <f>IFERROR(VLOOKUP(DATE($K$1,$K$2,OKK$4),Table1[],(MATCH(Calendar!$A19,DB!$1:$1,0)),FALSE),"")</f>
        <v/>
      </c>
      <c r="OKL19" s="28" t="str">
        <f>IFERROR(VLOOKUP(DATE($K$1,$K$2,OKL$4),Table1[],(MATCH(Calendar!$A19,DB!$1:$1,0)),FALSE),"")</f>
        <v/>
      </c>
      <c r="OKM19" s="28" t="str">
        <f>IFERROR(VLOOKUP(DATE($K$1,$K$2,OKM$4),Table1[],(MATCH(Calendar!$A19,DB!$1:$1,0)),FALSE),"")</f>
        <v/>
      </c>
      <c r="OKN19" s="28" t="str">
        <f>IFERROR(VLOOKUP(DATE($K$1,$K$2,OKN$4),Table1[],(MATCH(Calendar!$A19,DB!$1:$1,0)),FALSE),"")</f>
        <v/>
      </c>
      <c r="OKO19" s="28" t="str">
        <f>IFERROR(VLOOKUP(DATE($K$1,$K$2,OKO$4),Table1[],(MATCH(Calendar!$A19,DB!$1:$1,0)),FALSE),"")</f>
        <v/>
      </c>
      <c r="OKP19" s="28" t="str">
        <f>IFERROR(VLOOKUP(DATE($K$1,$K$2,OKP$4),Table1[],(MATCH(Calendar!$A19,DB!$1:$1,0)),FALSE),"")</f>
        <v/>
      </c>
      <c r="OKQ19" s="28" t="str">
        <f>IFERROR(VLOOKUP(DATE($K$1,$K$2,OKQ$4),Table1[],(MATCH(Calendar!$A19,DB!$1:$1,0)),FALSE),"")</f>
        <v/>
      </c>
      <c r="OKR19" s="28" t="str">
        <f>IFERROR(VLOOKUP(DATE($K$1,$K$2,OKR$4),Table1[],(MATCH(Calendar!$A19,DB!$1:$1,0)),FALSE),"")</f>
        <v/>
      </c>
      <c r="OKS19" s="28" t="str">
        <f>IFERROR(VLOOKUP(DATE($K$1,$K$2,OKS$4),Table1[],(MATCH(Calendar!$A19,DB!$1:$1,0)),FALSE),"")</f>
        <v/>
      </c>
      <c r="OKT19" s="28" t="str">
        <f>IFERROR(VLOOKUP(DATE($K$1,$K$2,OKT$4),Table1[],(MATCH(Calendar!$A19,DB!$1:$1,0)),FALSE),"")</f>
        <v/>
      </c>
      <c r="OKU19" s="28" t="str">
        <f>IFERROR(VLOOKUP(DATE($K$1,$K$2,OKU$4),Table1[],(MATCH(Calendar!$A19,DB!$1:$1,0)),FALSE),"")</f>
        <v/>
      </c>
      <c r="OKV19" s="28" t="str">
        <f>IFERROR(VLOOKUP(DATE($K$1,$K$2,OKV$4),Table1[],(MATCH(Calendar!$A19,DB!$1:$1,0)),FALSE),"")</f>
        <v/>
      </c>
      <c r="OKW19" s="28" t="str">
        <f>IFERROR(VLOOKUP(DATE($K$1,$K$2,OKW$4),Table1[],(MATCH(Calendar!$A19,DB!$1:$1,0)),FALSE),"")</f>
        <v/>
      </c>
      <c r="OKX19" s="28" t="str">
        <f>IFERROR(VLOOKUP(DATE($K$1,$K$2,OKX$4),Table1[],(MATCH(Calendar!$A19,DB!$1:$1,0)),FALSE),"")</f>
        <v/>
      </c>
      <c r="OKY19" s="28" t="str">
        <f>IFERROR(VLOOKUP(DATE($K$1,$K$2,OKY$4),Table1[],(MATCH(Calendar!$A19,DB!$1:$1,0)),FALSE),"")</f>
        <v/>
      </c>
      <c r="OKZ19" s="28" t="str">
        <f>IFERROR(VLOOKUP(DATE($K$1,$K$2,OKZ$4),Table1[],(MATCH(Calendar!$A19,DB!$1:$1,0)),FALSE),"")</f>
        <v/>
      </c>
      <c r="OLA19" s="28" t="str">
        <f>IFERROR(VLOOKUP(DATE($K$1,$K$2,OLA$4),Table1[],(MATCH(Calendar!$A19,DB!$1:$1,0)),FALSE),"")</f>
        <v/>
      </c>
      <c r="OLB19" s="28" t="str">
        <f>IFERROR(VLOOKUP(DATE($K$1,$K$2,OLB$4),Table1[],(MATCH(Calendar!$A19,DB!$1:$1,0)),FALSE),"")</f>
        <v/>
      </c>
      <c r="OLC19" s="28" t="str">
        <f>IFERROR(VLOOKUP(DATE($K$1,$K$2,OLC$4),Table1[],(MATCH(Calendar!$A19,DB!$1:$1,0)),FALSE),"")</f>
        <v/>
      </c>
      <c r="OLD19" s="28" t="str">
        <f>IFERROR(VLOOKUP(DATE($K$1,$K$2,OLD$4),Table1[],(MATCH(Calendar!$A19,DB!$1:$1,0)),FALSE),"")</f>
        <v/>
      </c>
      <c r="OLE19" s="28" t="str">
        <f>IFERROR(VLOOKUP(DATE($K$1,$K$2,OLE$4),Table1[],(MATCH(Calendar!$A19,DB!$1:$1,0)),FALSE),"")</f>
        <v/>
      </c>
      <c r="OLF19" s="28" t="str">
        <f>IFERROR(VLOOKUP(DATE($K$1,$K$2,OLF$4),Table1[],(MATCH(Calendar!$A19,DB!$1:$1,0)),FALSE),"")</f>
        <v/>
      </c>
      <c r="OLG19" s="28" t="str">
        <f>IFERROR(VLOOKUP(DATE($K$1,$K$2,OLG$4),Table1[],(MATCH(Calendar!$A19,DB!$1:$1,0)),FALSE),"")</f>
        <v/>
      </c>
      <c r="OLH19" s="28" t="str">
        <f>IFERROR(VLOOKUP(DATE($K$1,$K$2,OLH$4),Table1[],(MATCH(Calendar!$A19,DB!$1:$1,0)),FALSE),"")</f>
        <v/>
      </c>
      <c r="OLI19" s="28" t="str">
        <f>IFERROR(VLOOKUP(DATE($K$1,$K$2,OLI$4),Table1[],(MATCH(Calendar!$A19,DB!$1:$1,0)),FALSE),"")</f>
        <v/>
      </c>
      <c r="OLJ19" s="28" t="str">
        <f>IFERROR(VLOOKUP(DATE($K$1,$K$2,OLJ$4),Table1[],(MATCH(Calendar!$A19,DB!$1:$1,0)),FALSE),"")</f>
        <v/>
      </c>
      <c r="OLK19" s="28" t="str">
        <f>IFERROR(VLOOKUP(DATE($K$1,$K$2,OLK$4),Table1[],(MATCH(Calendar!$A19,DB!$1:$1,0)),FALSE),"")</f>
        <v/>
      </c>
      <c r="OLL19" s="28" t="str">
        <f>IFERROR(VLOOKUP(DATE($K$1,$K$2,OLL$4),Table1[],(MATCH(Calendar!$A19,DB!$1:$1,0)),FALSE),"")</f>
        <v/>
      </c>
      <c r="OLM19" s="28" t="str">
        <f>IFERROR(VLOOKUP(DATE($K$1,$K$2,OLM$4),Table1[],(MATCH(Calendar!$A19,DB!$1:$1,0)),FALSE),"")</f>
        <v/>
      </c>
      <c r="OLN19" s="28" t="str">
        <f>IFERROR(VLOOKUP(DATE($K$1,$K$2,OLN$4),Table1[],(MATCH(Calendar!$A19,DB!$1:$1,0)),FALSE),"")</f>
        <v/>
      </c>
      <c r="OLO19" s="28" t="str">
        <f>IFERROR(VLOOKUP(DATE($K$1,$K$2,OLO$4),Table1[],(MATCH(Calendar!$A19,DB!$1:$1,0)),FALSE),"")</f>
        <v/>
      </c>
      <c r="OLP19" s="28" t="str">
        <f>IFERROR(VLOOKUP(DATE($K$1,$K$2,OLP$4),Table1[],(MATCH(Calendar!$A19,DB!$1:$1,0)),FALSE),"")</f>
        <v/>
      </c>
      <c r="OLQ19" s="28" t="str">
        <f>IFERROR(VLOOKUP(DATE($K$1,$K$2,OLQ$4),Table1[],(MATCH(Calendar!$A19,DB!$1:$1,0)),FALSE),"")</f>
        <v/>
      </c>
      <c r="OLR19" s="28" t="str">
        <f>IFERROR(VLOOKUP(DATE($K$1,$K$2,OLR$4),Table1[],(MATCH(Calendar!$A19,DB!$1:$1,0)),FALSE),"")</f>
        <v/>
      </c>
      <c r="OLS19" s="28" t="str">
        <f>IFERROR(VLOOKUP(DATE($K$1,$K$2,OLS$4),Table1[],(MATCH(Calendar!$A19,DB!$1:$1,0)),FALSE),"")</f>
        <v/>
      </c>
      <c r="OLT19" s="28" t="str">
        <f>IFERROR(VLOOKUP(DATE($K$1,$K$2,OLT$4),Table1[],(MATCH(Calendar!$A19,DB!$1:$1,0)),FALSE),"")</f>
        <v/>
      </c>
      <c r="OLU19" s="28" t="str">
        <f>IFERROR(VLOOKUP(DATE($K$1,$K$2,OLU$4),Table1[],(MATCH(Calendar!$A19,DB!$1:$1,0)),FALSE),"")</f>
        <v/>
      </c>
      <c r="OLV19" s="28" t="str">
        <f>IFERROR(VLOOKUP(DATE($K$1,$K$2,OLV$4),Table1[],(MATCH(Calendar!$A19,DB!$1:$1,0)),FALSE),"")</f>
        <v/>
      </c>
      <c r="OLW19" s="28" t="str">
        <f>IFERROR(VLOOKUP(DATE($K$1,$K$2,OLW$4),Table1[],(MATCH(Calendar!$A19,DB!$1:$1,0)),FALSE),"")</f>
        <v/>
      </c>
      <c r="OLX19" s="28" t="str">
        <f>IFERROR(VLOOKUP(DATE($K$1,$K$2,OLX$4),Table1[],(MATCH(Calendar!$A19,DB!$1:$1,0)),FALSE),"")</f>
        <v/>
      </c>
      <c r="OLY19" s="28" t="str">
        <f>IFERROR(VLOOKUP(DATE($K$1,$K$2,OLY$4),Table1[],(MATCH(Calendar!$A19,DB!$1:$1,0)),FALSE),"")</f>
        <v/>
      </c>
      <c r="OLZ19" s="28" t="str">
        <f>IFERROR(VLOOKUP(DATE($K$1,$K$2,OLZ$4),Table1[],(MATCH(Calendar!$A19,DB!$1:$1,0)),FALSE),"")</f>
        <v/>
      </c>
      <c r="OMA19" s="28" t="str">
        <f>IFERROR(VLOOKUP(DATE($K$1,$K$2,OMA$4),Table1[],(MATCH(Calendar!$A19,DB!$1:$1,0)),FALSE),"")</f>
        <v/>
      </c>
      <c r="OMB19" s="28" t="str">
        <f>IFERROR(VLOOKUP(DATE($K$1,$K$2,OMB$4),Table1[],(MATCH(Calendar!$A19,DB!$1:$1,0)),FALSE),"")</f>
        <v/>
      </c>
      <c r="OMC19" s="28" t="str">
        <f>IFERROR(VLOOKUP(DATE($K$1,$K$2,OMC$4),Table1[],(MATCH(Calendar!$A19,DB!$1:$1,0)),FALSE),"")</f>
        <v/>
      </c>
      <c r="OMD19" s="28" t="str">
        <f>IFERROR(VLOOKUP(DATE($K$1,$K$2,OMD$4),Table1[],(MATCH(Calendar!$A19,DB!$1:$1,0)),FALSE),"")</f>
        <v/>
      </c>
      <c r="OME19" s="28" t="str">
        <f>IFERROR(VLOOKUP(DATE($K$1,$K$2,OME$4),Table1[],(MATCH(Calendar!$A19,DB!$1:$1,0)),FALSE),"")</f>
        <v/>
      </c>
      <c r="OMF19" s="28" t="str">
        <f>IFERROR(VLOOKUP(DATE($K$1,$K$2,OMF$4),Table1[],(MATCH(Calendar!$A19,DB!$1:$1,0)),FALSE),"")</f>
        <v/>
      </c>
      <c r="OMG19" s="28" t="str">
        <f>IFERROR(VLOOKUP(DATE($K$1,$K$2,OMG$4),Table1[],(MATCH(Calendar!$A19,DB!$1:$1,0)),FALSE),"")</f>
        <v/>
      </c>
      <c r="OMH19" s="28" t="str">
        <f>IFERROR(VLOOKUP(DATE($K$1,$K$2,OMH$4),Table1[],(MATCH(Calendar!$A19,DB!$1:$1,0)),FALSE),"")</f>
        <v/>
      </c>
      <c r="OMI19" s="28" t="str">
        <f>IFERROR(VLOOKUP(DATE($K$1,$K$2,OMI$4),Table1[],(MATCH(Calendar!$A19,DB!$1:$1,0)),FALSE),"")</f>
        <v/>
      </c>
      <c r="OMJ19" s="28" t="str">
        <f>IFERROR(VLOOKUP(DATE($K$1,$K$2,OMJ$4),Table1[],(MATCH(Calendar!$A19,DB!$1:$1,0)),FALSE),"")</f>
        <v/>
      </c>
      <c r="OMK19" s="28" t="str">
        <f>IFERROR(VLOOKUP(DATE($K$1,$K$2,OMK$4),Table1[],(MATCH(Calendar!$A19,DB!$1:$1,0)),FALSE),"")</f>
        <v/>
      </c>
      <c r="OML19" s="28" t="str">
        <f>IFERROR(VLOOKUP(DATE($K$1,$K$2,OML$4),Table1[],(MATCH(Calendar!$A19,DB!$1:$1,0)),FALSE),"")</f>
        <v/>
      </c>
      <c r="OMM19" s="28" t="str">
        <f>IFERROR(VLOOKUP(DATE($K$1,$K$2,OMM$4),Table1[],(MATCH(Calendar!$A19,DB!$1:$1,0)),FALSE),"")</f>
        <v/>
      </c>
      <c r="OMN19" s="28" t="str">
        <f>IFERROR(VLOOKUP(DATE($K$1,$K$2,OMN$4),Table1[],(MATCH(Calendar!$A19,DB!$1:$1,0)),FALSE),"")</f>
        <v/>
      </c>
      <c r="OMO19" s="28" t="str">
        <f>IFERROR(VLOOKUP(DATE($K$1,$K$2,OMO$4),Table1[],(MATCH(Calendar!$A19,DB!$1:$1,0)),FALSE),"")</f>
        <v/>
      </c>
      <c r="OMP19" s="28" t="str">
        <f>IFERROR(VLOOKUP(DATE($K$1,$K$2,OMP$4),Table1[],(MATCH(Calendar!$A19,DB!$1:$1,0)),FALSE),"")</f>
        <v/>
      </c>
      <c r="OMQ19" s="28" t="str">
        <f>IFERROR(VLOOKUP(DATE($K$1,$K$2,OMQ$4),Table1[],(MATCH(Calendar!$A19,DB!$1:$1,0)),FALSE),"")</f>
        <v/>
      </c>
      <c r="OMR19" s="28" t="str">
        <f>IFERROR(VLOOKUP(DATE($K$1,$K$2,OMR$4),Table1[],(MATCH(Calendar!$A19,DB!$1:$1,0)),FALSE),"")</f>
        <v/>
      </c>
      <c r="OMS19" s="28" t="str">
        <f>IFERROR(VLOOKUP(DATE($K$1,$K$2,OMS$4),Table1[],(MATCH(Calendar!$A19,DB!$1:$1,0)),FALSE),"")</f>
        <v/>
      </c>
      <c r="OMT19" s="28" t="str">
        <f>IFERROR(VLOOKUP(DATE($K$1,$K$2,OMT$4),Table1[],(MATCH(Calendar!$A19,DB!$1:$1,0)),FALSE),"")</f>
        <v/>
      </c>
      <c r="OMU19" s="28" t="str">
        <f>IFERROR(VLOOKUP(DATE($K$1,$K$2,OMU$4),Table1[],(MATCH(Calendar!$A19,DB!$1:$1,0)),FALSE),"")</f>
        <v/>
      </c>
      <c r="OMV19" s="28" t="str">
        <f>IFERROR(VLOOKUP(DATE($K$1,$K$2,OMV$4),Table1[],(MATCH(Calendar!$A19,DB!$1:$1,0)),FALSE),"")</f>
        <v/>
      </c>
      <c r="OMW19" s="28" t="str">
        <f>IFERROR(VLOOKUP(DATE($K$1,$K$2,OMW$4),Table1[],(MATCH(Calendar!$A19,DB!$1:$1,0)),FALSE),"")</f>
        <v/>
      </c>
      <c r="OMX19" s="28" t="str">
        <f>IFERROR(VLOOKUP(DATE($K$1,$K$2,OMX$4),Table1[],(MATCH(Calendar!$A19,DB!$1:$1,0)),FALSE),"")</f>
        <v/>
      </c>
      <c r="OMY19" s="28" t="str">
        <f>IFERROR(VLOOKUP(DATE($K$1,$K$2,OMY$4),Table1[],(MATCH(Calendar!$A19,DB!$1:$1,0)),FALSE),"")</f>
        <v/>
      </c>
      <c r="OMZ19" s="28" t="str">
        <f>IFERROR(VLOOKUP(DATE($K$1,$K$2,OMZ$4),Table1[],(MATCH(Calendar!$A19,DB!$1:$1,0)),FALSE),"")</f>
        <v/>
      </c>
      <c r="ONA19" s="28" t="str">
        <f>IFERROR(VLOOKUP(DATE($K$1,$K$2,ONA$4),Table1[],(MATCH(Calendar!$A19,DB!$1:$1,0)),FALSE),"")</f>
        <v/>
      </c>
      <c r="ONB19" s="28" t="str">
        <f>IFERROR(VLOOKUP(DATE($K$1,$K$2,ONB$4),Table1[],(MATCH(Calendar!$A19,DB!$1:$1,0)),FALSE),"")</f>
        <v/>
      </c>
      <c r="ONC19" s="28" t="str">
        <f>IFERROR(VLOOKUP(DATE($K$1,$K$2,ONC$4),Table1[],(MATCH(Calendar!$A19,DB!$1:$1,0)),FALSE),"")</f>
        <v/>
      </c>
      <c r="OND19" s="28" t="str">
        <f>IFERROR(VLOOKUP(DATE($K$1,$K$2,OND$4),Table1[],(MATCH(Calendar!$A19,DB!$1:$1,0)),FALSE),"")</f>
        <v/>
      </c>
      <c r="ONE19" s="28" t="str">
        <f>IFERROR(VLOOKUP(DATE($K$1,$K$2,ONE$4),Table1[],(MATCH(Calendar!$A19,DB!$1:$1,0)),FALSE),"")</f>
        <v/>
      </c>
      <c r="ONF19" s="28" t="str">
        <f>IFERROR(VLOOKUP(DATE($K$1,$K$2,ONF$4),Table1[],(MATCH(Calendar!$A19,DB!$1:$1,0)),FALSE),"")</f>
        <v/>
      </c>
      <c r="ONG19" s="28" t="str">
        <f>IFERROR(VLOOKUP(DATE($K$1,$K$2,ONG$4),Table1[],(MATCH(Calendar!$A19,DB!$1:$1,0)),FALSE),"")</f>
        <v/>
      </c>
      <c r="ONH19" s="28" t="str">
        <f>IFERROR(VLOOKUP(DATE($K$1,$K$2,ONH$4),Table1[],(MATCH(Calendar!$A19,DB!$1:$1,0)),FALSE),"")</f>
        <v/>
      </c>
      <c r="ONI19" s="28" t="str">
        <f>IFERROR(VLOOKUP(DATE($K$1,$K$2,ONI$4),Table1[],(MATCH(Calendar!$A19,DB!$1:$1,0)),FALSE),"")</f>
        <v/>
      </c>
      <c r="ONJ19" s="28" t="str">
        <f>IFERROR(VLOOKUP(DATE($K$1,$K$2,ONJ$4),Table1[],(MATCH(Calendar!$A19,DB!$1:$1,0)),FALSE),"")</f>
        <v/>
      </c>
      <c r="ONK19" s="28" t="str">
        <f>IFERROR(VLOOKUP(DATE($K$1,$K$2,ONK$4),Table1[],(MATCH(Calendar!$A19,DB!$1:$1,0)),FALSE),"")</f>
        <v/>
      </c>
      <c r="ONL19" s="28" t="str">
        <f>IFERROR(VLOOKUP(DATE($K$1,$K$2,ONL$4),Table1[],(MATCH(Calendar!$A19,DB!$1:$1,0)),FALSE),"")</f>
        <v/>
      </c>
      <c r="ONM19" s="28" t="str">
        <f>IFERROR(VLOOKUP(DATE($K$1,$K$2,ONM$4),Table1[],(MATCH(Calendar!$A19,DB!$1:$1,0)),FALSE),"")</f>
        <v/>
      </c>
      <c r="ONN19" s="28" t="str">
        <f>IFERROR(VLOOKUP(DATE($K$1,$K$2,ONN$4),Table1[],(MATCH(Calendar!$A19,DB!$1:$1,0)),FALSE),"")</f>
        <v/>
      </c>
      <c r="ONO19" s="28" t="str">
        <f>IFERROR(VLOOKUP(DATE($K$1,$K$2,ONO$4),Table1[],(MATCH(Calendar!$A19,DB!$1:$1,0)),FALSE),"")</f>
        <v/>
      </c>
      <c r="ONP19" s="28" t="str">
        <f>IFERROR(VLOOKUP(DATE($K$1,$K$2,ONP$4),Table1[],(MATCH(Calendar!$A19,DB!$1:$1,0)),FALSE),"")</f>
        <v/>
      </c>
      <c r="ONQ19" s="28" t="str">
        <f>IFERROR(VLOOKUP(DATE($K$1,$K$2,ONQ$4),Table1[],(MATCH(Calendar!$A19,DB!$1:$1,0)),FALSE),"")</f>
        <v/>
      </c>
      <c r="ONR19" s="28" t="str">
        <f>IFERROR(VLOOKUP(DATE($K$1,$K$2,ONR$4),Table1[],(MATCH(Calendar!$A19,DB!$1:$1,0)),FALSE),"")</f>
        <v/>
      </c>
      <c r="ONS19" s="28" t="str">
        <f>IFERROR(VLOOKUP(DATE($K$1,$K$2,ONS$4),Table1[],(MATCH(Calendar!$A19,DB!$1:$1,0)),FALSE),"")</f>
        <v/>
      </c>
      <c r="ONT19" s="28" t="str">
        <f>IFERROR(VLOOKUP(DATE($K$1,$K$2,ONT$4),Table1[],(MATCH(Calendar!$A19,DB!$1:$1,0)),FALSE),"")</f>
        <v/>
      </c>
      <c r="ONU19" s="28" t="str">
        <f>IFERROR(VLOOKUP(DATE($K$1,$K$2,ONU$4),Table1[],(MATCH(Calendar!$A19,DB!$1:$1,0)),FALSE),"")</f>
        <v/>
      </c>
      <c r="ONV19" s="28" t="str">
        <f>IFERROR(VLOOKUP(DATE($K$1,$K$2,ONV$4),Table1[],(MATCH(Calendar!$A19,DB!$1:$1,0)),FALSE),"")</f>
        <v/>
      </c>
      <c r="ONW19" s="28" t="str">
        <f>IFERROR(VLOOKUP(DATE($K$1,$K$2,ONW$4),Table1[],(MATCH(Calendar!$A19,DB!$1:$1,0)),FALSE),"")</f>
        <v/>
      </c>
      <c r="ONX19" s="28" t="str">
        <f>IFERROR(VLOOKUP(DATE($K$1,$K$2,ONX$4),Table1[],(MATCH(Calendar!$A19,DB!$1:$1,0)),FALSE),"")</f>
        <v/>
      </c>
      <c r="ONY19" s="28" t="str">
        <f>IFERROR(VLOOKUP(DATE($K$1,$K$2,ONY$4),Table1[],(MATCH(Calendar!$A19,DB!$1:$1,0)),FALSE),"")</f>
        <v/>
      </c>
      <c r="ONZ19" s="28" t="str">
        <f>IFERROR(VLOOKUP(DATE($K$1,$K$2,ONZ$4),Table1[],(MATCH(Calendar!$A19,DB!$1:$1,0)),FALSE),"")</f>
        <v/>
      </c>
      <c r="OOA19" s="28" t="str">
        <f>IFERROR(VLOOKUP(DATE($K$1,$K$2,OOA$4),Table1[],(MATCH(Calendar!$A19,DB!$1:$1,0)),FALSE),"")</f>
        <v/>
      </c>
      <c r="OOB19" s="28" t="str">
        <f>IFERROR(VLOOKUP(DATE($K$1,$K$2,OOB$4),Table1[],(MATCH(Calendar!$A19,DB!$1:$1,0)),FALSE),"")</f>
        <v/>
      </c>
      <c r="OOC19" s="28" t="str">
        <f>IFERROR(VLOOKUP(DATE($K$1,$K$2,OOC$4),Table1[],(MATCH(Calendar!$A19,DB!$1:$1,0)),FALSE),"")</f>
        <v/>
      </c>
      <c r="OOD19" s="28" t="str">
        <f>IFERROR(VLOOKUP(DATE($K$1,$K$2,OOD$4),Table1[],(MATCH(Calendar!$A19,DB!$1:$1,0)),FALSE),"")</f>
        <v/>
      </c>
      <c r="OOE19" s="28" t="str">
        <f>IFERROR(VLOOKUP(DATE($K$1,$K$2,OOE$4),Table1[],(MATCH(Calendar!$A19,DB!$1:$1,0)),FALSE),"")</f>
        <v/>
      </c>
      <c r="OOF19" s="28" t="str">
        <f>IFERROR(VLOOKUP(DATE($K$1,$K$2,OOF$4),Table1[],(MATCH(Calendar!$A19,DB!$1:$1,0)),FALSE),"")</f>
        <v/>
      </c>
      <c r="OOG19" s="28" t="str">
        <f>IFERROR(VLOOKUP(DATE($K$1,$K$2,OOG$4),Table1[],(MATCH(Calendar!$A19,DB!$1:$1,0)),FALSE),"")</f>
        <v/>
      </c>
      <c r="OOH19" s="28" t="str">
        <f>IFERROR(VLOOKUP(DATE($K$1,$K$2,OOH$4),Table1[],(MATCH(Calendar!$A19,DB!$1:$1,0)),FALSE),"")</f>
        <v/>
      </c>
      <c r="OOI19" s="28" t="str">
        <f>IFERROR(VLOOKUP(DATE($K$1,$K$2,OOI$4),Table1[],(MATCH(Calendar!$A19,DB!$1:$1,0)),FALSE),"")</f>
        <v/>
      </c>
      <c r="OOJ19" s="28" t="str">
        <f>IFERROR(VLOOKUP(DATE($K$1,$K$2,OOJ$4),Table1[],(MATCH(Calendar!$A19,DB!$1:$1,0)),FALSE),"")</f>
        <v/>
      </c>
      <c r="OOK19" s="28" t="str">
        <f>IFERROR(VLOOKUP(DATE($K$1,$K$2,OOK$4),Table1[],(MATCH(Calendar!$A19,DB!$1:$1,0)),FALSE),"")</f>
        <v/>
      </c>
      <c r="OOL19" s="28" t="str">
        <f>IFERROR(VLOOKUP(DATE($K$1,$K$2,OOL$4),Table1[],(MATCH(Calendar!$A19,DB!$1:$1,0)),FALSE),"")</f>
        <v/>
      </c>
      <c r="OOM19" s="28" t="str">
        <f>IFERROR(VLOOKUP(DATE($K$1,$K$2,OOM$4),Table1[],(MATCH(Calendar!$A19,DB!$1:$1,0)),FALSE),"")</f>
        <v/>
      </c>
      <c r="OON19" s="28" t="str">
        <f>IFERROR(VLOOKUP(DATE($K$1,$K$2,OON$4),Table1[],(MATCH(Calendar!$A19,DB!$1:$1,0)),FALSE),"")</f>
        <v/>
      </c>
      <c r="OOO19" s="28" t="str">
        <f>IFERROR(VLOOKUP(DATE($K$1,$K$2,OOO$4),Table1[],(MATCH(Calendar!$A19,DB!$1:$1,0)),FALSE),"")</f>
        <v/>
      </c>
      <c r="OOP19" s="28" t="str">
        <f>IFERROR(VLOOKUP(DATE($K$1,$K$2,OOP$4),Table1[],(MATCH(Calendar!$A19,DB!$1:$1,0)),FALSE),"")</f>
        <v/>
      </c>
      <c r="OOQ19" s="28" t="str">
        <f>IFERROR(VLOOKUP(DATE($K$1,$K$2,OOQ$4),Table1[],(MATCH(Calendar!$A19,DB!$1:$1,0)),FALSE),"")</f>
        <v/>
      </c>
      <c r="OOR19" s="28" t="str">
        <f>IFERROR(VLOOKUP(DATE($K$1,$K$2,OOR$4),Table1[],(MATCH(Calendar!$A19,DB!$1:$1,0)),FALSE),"")</f>
        <v/>
      </c>
      <c r="OOS19" s="28" t="str">
        <f>IFERROR(VLOOKUP(DATE($K$1,$K$2,OOS$4),Table1[],(MATCH(Calendar!$A19,DB!$1:$1,0)),FALSE),"")</f>
        <v/>
      </c>
      <c r="OOT19" s="28" t="str">
        <f>IFERROR(VLOOKUP(DATE($K$1,$K$2,OOT$4),Table1[],(MATCH(Calendar!$A19,DB!$1:$1,0)),FALSE),"")</f>
        <v/>
      </c>
      <c r="OOU19" s="28" t="str">
        <f>IFERROR(VLOOKUP(DATE($K$1,$K$2,OOU$4),Table1[],(MATCH(Calendar!$A19,DB!$1:$1,0)),FALSE),"")</f>
        <v/>
      </c>
      <c r="OOV19" s="28" t="str">
        <f>IFERROR(VLOOKUP(DATE($K$1,$K$2,OOV$4),Table1[],(MATCH(Calendar!$A19,DB!$1:$1,0)),FALSE),"")</f>
        <v/>
      </c>
      <c r="OOW19" s="28" t="str">
        <f>IFERROR(VLOOKUP(DATE($K$1,$K$2,OOW$4),Table1[],(MATCH(Calendar!$A19,DB!$1:$1,0)),FALSE),"")</f>
        <v/>
      </c>
      <c r="OOX19" s="28" t="str">
        <f>IFERROR(VLOOKUP(DATE($K$1,$K$2,OOX$4),Table1[],(MATCH(Calendar!$A19,DB!$1:$1,0)),FALSE),"")</f>
        <v/>
      </c>
      <c r="OOY19" s="28" t="str">
        <f>IFERROR(VLOOKUP(DATE($K$1,$K$2,OOY$4),Table1[],(MATCH(Calendar!$A19,DB!$1:$1,0)),FALSE),"")</f>
        <v/>
      </c>
      <c r="OOZ19" s="28" t="str">
        <f>IFERROR(VLOOKUP(DATE($K$1,$K$2,OOZ$4),Table1[],(MATCH(Calendar!$A19,DB!$1:$1,0)),FALSE),"")</f>
        <v/>
      </c>
      <c r="OPA19" s="28" t="str">
        <f>IFERROR(VLOOKUP(DATE($K$1,$K$2,OPA$4),Table1[],(MATCH(Calendar!$A19,DB!$1:$1,0)),FALSE),"")</f>
        <v/>
      </c>
      <c r="OPB19" s="28" t="str">
        <f>IFERROR(VLOOKUP(DATE($K$1,$K$2,OPB$4),Table1[],(MATCH(Calendar!$A19,DB!$1:$1,0)),FALSE),"")</f>
        <v/>
      </c>
      <c r="OPC19" s="28" t="str">
        <f>IFERROR(VLOOKUP(DATE($K$1,$K$2,OPC$4),Table1[],(MATCH(Calendar!$A19,DB!$1:$1,0)),FALSE),"")</f>
        <v/>
      </c>
      <c r="OPD19" s="28" t="str">
        <f>IFERROR(VLOOKUP(DATE($K$1,$K$2,OPD$4),Table1[],(MATCH(Calendar!$A19,DB!$1:$1,0)),FALSE),"")</f>
        <v/>
      </c>
      <c r="OPE19" s="28" t="str">
        <f>IFERROR(VLOOKUP(DATE($K$1,$K$2,OPE$4),Table1[],(MATCH(Calendar!$A19,DB!$1:$1,0)),FALSE),"")</f>
        <v/>
      </c>
      <c r="OPF19" s="28" t="str">
        <f>IFERROR(VLOOKUP(DATE($K$1,$K$2,OPF$4),Table1[],(MATCH(Calendar!$A19,DB!$1:$1,0)),FALSE),"")</f>
        <v/>
      </c>
      <c r="OPG19" s="28" t="str">
        <f>IFERROR(VLOOKUP(DATE($K$1,$K$2,OPG$4),Table1[],(MATCH(Calendar!$A19,DB!$1:$1,0)),FALSE),"")</f>
        <v/>
      </c>
      <c r="OPH19" s="28" t="str">
        <f>IFERROR(VLOOKUP(DATE($K$1,$K$2,OPH$4),Table1[],(MATCH(Calendar!$A19,DB!$1:$1,0)),FALSE),"")</f>
        <v/>
      </c>
      <c r="OPI19" s="28" t="str">
        <f>IFERROR(VLOOKUP(DATE($K$1,$K$2,OPI$4),Table1[],(MATCH(Calendar!$A19,DB!$1:$1,0)),FALSE),"")</f>
        <v/>
      </c>
      <c r="OPJ19" s="28" t="str">
        <f>IFERROR(VLOOKUP(DATE($K$1,$K$2,OPJ$4),Table1[],(MATCH(Calendar!$A19,DB!$1:$1,0)),FALSE),"")</f>
        <v/>
      </c>
      <c r="OPK19" s="28" t="str">
        <f>IFERROR(VLOOKUP(DATE($K$1,$K$2,OPK$4),Table1[],(MATCH(Calendar!$A19,DB!$1:$1,0)),FALSE),"")</f>
        <v/>
      </c>
      <c r="OPL19" s="28" t="str">
        <f>IFERROR(VLOOKUP(DATE($K$1,$K$2,OPL$4),Table1[],(MATCH(Calendar!$A19,DB!$1:$1,0)),FALSE),"")</f>
        <v/>
      </c>
      <c r="OPM19" s="28" t="str">
        <f>IFERROR(VLOOKUP(DATE($K$1,$K$2,OPM$4),Table1[],(MATCH(Calendar!$A19,DB!$1:$1,0)),FALSE),"")</f>
        <v/>
      </c>
      <c r="OPN19" s="28" t="str">
        <f>IFERROR(VLOOKUP(DATE($K$1,$K$2,OPN$4),Table1[],(MATCH(Calendar!$A19,DB!$1:$1,0)),FALSE),"")</f>
        <v/>
      </c>
      <c r="OPO19" s="28" t="str">
        <f>IFERROR(VLOOKUP(DATE($K$1,$K$2,OPO$4),Table1[],(MATCH(Calendar!$A19,DB!$1:$1,0)),FALSE),"")</f>
        <v/>
      </c>
      <c r="OPP19" s="28" t="str">
        <f>IFERROR(VLOOKUP(DATE($K$1,$K$2,OPP$4),Table1[],(MATCH(Calendar!$A19,DB!$1:$1,0)),FALSE),"")</f>
        <v/>
      </c>
      <c r="OPQ19" s="28" t="str">
        <f>IFERROR(VLOOKUP(DATE($K$1,$K$2,OPQ$4),Table1[],(MATCH(Calendar!$A19,DB!$1:$1,0)),FALSE),"")</f>
        <v/>
      </c>
      <c r="OPR19" s="28" t="str">
        <f>IFERROR(VLOOKUP(DATE($K$1,$K$2,OPR$4),Table1[],(MATCH(Calendar!$A19,DB!$1:$1,0)),FALSE),"")</f>
        <v/>
      </c>
      <c r="OPS19" s="28" t="str">
        <f>IFERROR(VLOOKUP(DATE($K$1,$K$2,OPS$4),Table1[],(MATCH(Calendar!$A19,DB!$1:$1,0)),FALSE),"")</f>
        <v/>
      </c>
      <c r="OPT19" s="28" t="str">
        <f>IFERROR(VLOOKUP(DATE($K$1,$K$2,OPT$4),Table1[],(MATCH(Calendar!$A19,DB!$1:$1,0)),FALSE),"")</f>
        <v/>
      </c>
      <c r="OPU19" s="28" t="str">
        <f>IFERROR(VLOOKUP(DATE($K$1,$K$2,OPU$4),Table1[],(MATCH(Calendar!$A19,DB!$1:$1,0)),FALSE),"")</f>
        <v/>
      </c>
      <c r="OPV19" s="28" t="str">
        <f>IFERROR(VLOOKUP(DATE($K$1,$K$2,OPV$4),Table1[],(MATCH(Calendar!$A19,DB!$1:$1,0)),FALSE),"")</f>
        <v/>
      </c>
      <c r="OPW19" s="28" t="str">
        <f>IFERROR(VLOOKUP(DATE($K$1,$K$2,OPW$4),Table1[],(MATCH(Calendar!$A19,DB!$1:$1,0)),FALSE),"")</f>
        <v/>
      </c>
      <c r="OPX19" s="28" t="str">
        <f>IFERROR(VLOOKUP(DATE($K$1,$K$2,OPX$4),Table1[],(MATCH(Calendar!$A19,DB!$1:$1,0)),FALSE),"")</f>
        <v/>
      </c>
      <c r="OPY19" s="28" t="str">
        <f>IFERROR(VLOOKUP(DATE($K$1,$K$2,OPY$4),Table1[],(MATCH(Calendar!$A19,DB!$1:$1,0)),FALSE),"")</f>
        <v/>
      </c>
      <c r="OPZ19" s="28" t="str">
        <f>IFERROR(VLOOKUP(DATE($K$1,$K$2,OPZ$4),Table1[],(MATCH(Calendar!$A19,DB!$1:$1,0)),FALSE),"")</f>
        <v/>
      </c>
      <c r="OQA19" s="28" t="str">
        <f>IFERROR(VLOOKUP(DATE($K$1,$K$2,OQA$4),Table1[],(MATCH(Calendar!$A19,DB!$1:$1,0)),FALSE),"")</f>
        <v/>
      </c>
      <c r="OQB19" s="28" t="str">
        <f>IFERROR(VLOOKUP(DATE($K$1,$K$2,OQB$4),Table1[],(MATCH(Calendar!$A19,DB!$1:$1,0)),FALSE),"")</f>
        <v/>
      </c>
      <c r="OQC19" s="28" t="str">
        <f>IFERROR(VLOOKUP(DATE($K$1,$K$2,OQC$4),Table1[],(MATCH(Calendar!$A19,DB!$1:$1,0)),FALSE),"")</f>
        <v/>
      </c>
      <c r="OQD19" s="28" t="str">
        <f>IFERROR(VLOOKUP(DATE($K$1,$K$2,OQD$4),Table1[],(MATCH(Calendar!$A19,DB!$1:$1,0)),FALSE),"")</f>
        <v/>
      </c>
      <c r="OQE19" s="28" t="str">
        <f>IFERROR(VLOOKUP(DATE($K$1,$K$2,OQE$4),Table1[],(MATCH(Calendar!$A19,DB!$1:$1,0)),FALSE),"")</f>
        <v/>
      </c>
      <c r="OQF19" s="28" t="str">
        <f>IFERROR(VLOOKUP(DATE($K$1,$K$2,OQF$4),Table1[],(MATCH(Calendar!$A19,DB!$1:$1,0)),FALSE),"")</f>
        <v/>
      </c>
      <c r="OQG19" s="28" t="str">
        <f>IFERROR(VLOOKUP(DATE($K$1,$K$2,OQG$4),Table1[],(MATCH(Calendar!$A19,DB!$1:$1,0)),FALSE),"")</f>
        <v/>
      </c>
      <c r="OQH19" s="28" t="str">
        <f>IFERROR(VLOOKUP(DATE($K$1,$K$2,OQH$4),Table1[],(MATCH(Calendar!$A19,DB!$1:$1,0)),FALSE),"")</f>
        <v/>
      </c>
      <c r="OQI19" s="28" t="str">
        <f>IFERROR(VLOOKUP(DATE($K$1,$K$2,OQI$4),Table1[],(MATCH(Calendar!$A19,DB!$1:$1,0)),FALSE),"")</f>
        <v/>
      </c>
      <c r="OQJ19" s="28" t="str">
        <f>IFERROR(VLOOKUP(DATE($K$1,$K$2,OQJ$4),Table1[],(MATCH(Calendar!$A19,DB!$1:$1,0)),FALSE),"")</f>
        <v/>
      </c>
      <c r="OQK19" s="28" t="str">
        <f>IFERROR(VLOOKUP(DATE($K$1,$K$2,OQK$4),Table1[],(MATCH(Calendar!$A19,DB!$1:$1,0)),FALSE),"")</f>
        <v/>
      </c>
      <c r="OQL19" s="28" t="str">
        <f>IFERROR(VLOOKUP(DATE($K$1,$K$2,OQL$4),Table1[],(MATCH(Calendar!$A19,DB!$1:$1,0)),FALSE),"")</f>
        <v/>
      </c>
      <c r="OQM19" s="28" t="str">
        <f>IFERROR(VLOOKUP(DATE($K$1,$K$2,OQM$4),Table1[],(MATCH(Calendar!$A19,DB!$1:$1,0)),FALSE),"")</f>
        <v/>
      </c>
      <c r="OQN19" s="28" t="str">
        <f>IFERROR(VLOOKUP(DATE($K$1,$K$2,OQN$4),Table1[],(MATCH(Calendar!$A19,DB!$1:$1,0)),FALSE),"")</f>
        <v/>
      </c>
      <c r="OQO19" s="28" t="str">
        <f>IFERROR(VLOOKUP(DATE($K$1,$K$2,OQO$4),Table1[],(MATCH(Calendar!$A19,DB!$1:$1,0)),FALSE),"")</f>
        <v/>
      </c>
      <c r="OQP19" s="28" t="str">
        <f>IFERROR(VLOOKUP(DATE($K$1,$K$2,OQP$4),Table1[],(MATCH(Calendar!$A19,DB!$1:$1,0)),FALSE),"")</f>
        <v/>
      </c>
      <c r="OQQ19" s="28" t="str">
        <f>IFERROR(VLOOKUP(DATE($K$1,$K$2,OQQ$4),Table1[],(MATCH(Calendar!$A19,DB!$1:$1,0)),FALSE),"")</f>
        <v/>
      </c>
      <c r="OQR19" s="28" t="str">
        <f>IFERROR(VLOOKUP(DATE($K$1,$K$2,OQR$4),Table1[],(MATCH(Calendar!$A19,DB!$1:$1,0)),FALSE),"")</f>
        <v/>
      </c>
      <c r="OQS19" s="28" t="str">
        <f>IFERROR(VLOOKUP(DATE($K$1,$K$2,OQS$4),Table1[],(MATCH(Calendar!$A19,DB!$1:$1,0)),FALSE),"")</f>
        <v/>
      </c>
      <c r="OQT19" s="28" t="str">
        <f>IFERROR(VLOOKUP(DATE($K$1,$K$2,OQT$4),Table1[],(MATCH(Calendar!$A19,DB!$1:$1,0)),FALSE),"")</f>
        <v/>
      </c>
      <c r="OQU19" s="28" t="str">
        <f>IFERROR(VLOOKUP(DATE($K$1,$K$2,OQU$4),Table1[],(MATCH(Calendar!$A19,DB!$1:$1,0)),FALSE),"")</f>
        <v/>
      </c>
      <c r="OQV19" s="28" t="str">
        <f>IFERROR(VLOOKUP(DATE($K$1,$K$2,OQV$4),Table1[],(MATCH(Calendar!$A19,DB!$1:$1,0)),FALSE),"")</f>
        <v/>
      </c>
      <c r="OQW19" s="28" t="str">
        <f>IFERROR(VLOOKUP(DATE($K$1,$K$2,OQW$4),Table1[],(MATCH(Calendar!$A19,DB!$1:$1,0)),FALSE),"")</f>
        <v/>
      </c>
      <c r="OQX19" s="28" t="str">
        <f>IFERROR(VLOOKUP(DATE($K$1,$K$2,OQX$4),Table1[],(MATCH(Calendar!$A19,DB!$1:$1,0)),FALSE),"")</f>
        <v/>
      </c>
      <c r="OQY19" s="28" t="str">
        <f>IFERROR(VLOOKUP(DATE($K$1,$K$2,OQY$4),Table1[],(MATCH(Calendar!$A19,DB!$1:$1,0)),FALSE),"")</f>
        <v/>
      </c>
      <c r="OQZ19" s="28" t="str">
        <f>IFERROR(VLOOKUP(DATE($K$1,$K$2,OQZ$4),Table1[],(MATCH(Calendar!$A19,DB!$1:$1,0)),FALSE),"")</f>
        <v/>
      </c>
      <c r="ORA19" s="28" t="str">
        <f>IFERROR(VLOOKUP(DATE($K$1,$K$2,ORA$4),Table1[],(MATCH(Calendar!$A19,DB!$1:$1,0)),FALSE),"")</f>
        <v/>
      </c>
      <c r="ORB19" s="28" t="str">
        <f>IFERROR(VLOOKUP(DATE($K$1,$K$2,ORB$4),Table1[],(MATCH(Calendar!$A19,DB!$1:$1,0)),FALSE),"")</f>
        <v/>
      </c>
      <c r="ORC19" s="28" t="str">
        <f>IFERROR(VLOOKUP(DATE($K$1,$K$2,ORC$4),Table1[],(MATCH(Calendar!$A19,DB!$1:$1,0)),FALSE),"")</f>
        <v/>
      </c>
      <c r="ORD19" s="28" t="str">
        <f>IFERROR(VLOOKUP(DATE($K$1,$K$2,ORD$4),Table1[],(MATCH(Calendar!$A19,DB!$1:$1,0)),FALSE),"")</f>
        <v/>
      </c>
      <c r="ORE19" s="28" t="str">
        <f>IFERROR(VLOOKUP(DATE($K$1,$K$2,ORE$4),Table1[],(MATCH(Calendar!$A19,DB!$1:$1,0)),FALSE),"")</f>
        <v/>
      </c>
      <c r="ORF19" s="28" t="str">
        <f>IFERROR(VLOOKUP(DATE($K$1,$K$2,ORF$4),Table1[],(MATCH(Calendar!$A19,DB!$1:$1,0)),FALSE),"")</f>
        <v/>
      </c>
      <c r="ORG19" s="28" t="str">
        <f>IFERROR(VLOOKUP(DATE($K$1,$K$2,ORG$4),Table1[],(MATCH(Calendar!$A19,DB!$1:$1,0)),FALSE),"")</f>
        <v/>
      </c>
      <c r="ORH19" s="28" t="str">
        <f>IFERROR(VLOOKUP(DATE($K$1,$K$2,ORH$4),Table1[],(MATCH(Calendar!$A19,DB!$1:$1,0)),FALSE),"")</f>
        <v/>
      </c>
      <c r="ORI19" s="28" t="str">
        <f>IFERROR(VLOOKUP(DATE($K$1,$K$2,ORI$4),Table1[],(MATCH(Calendar!$A19,DB!$1:$1,0)),FALSE),"")</f>
        <v/>
      </c>
      <c r="ORJ19" s="28" t="str">
        <f>IFERROR(VLOOKUP(DATE($K$1,$K$2,ORJ$4),Table1[],(MATCH(Calendar!$A19,DB!$1:$1,0)),FALSE),"")</f>
        <v/>
      </c>
      <c r="ORK19" s="28" t="str">
        <f>IFERROR(VLOOKUP(DATE($K$1,$K$2,ORK$4),Table1[],(MATCH(Calendar!$A19,DB!$1:$1,0)),FALSE),"")</f>
        <v/>
      </c>
      <c r="ORL19" s="28" t="str">
        <f>IFERROR(VLOOKUP(DATE($K$1,$K$2,ORL$4),Table1[],(MATCH(Calendar!$A19,DB!$1:$1,0)),FALSE),"")</f>
        <v/>
      </c>
      <c r="ORM19" s="28" t="str">
        <f>IFERROR(VLOOKUP(DATE($K$1,$K$2,ORM$4),Table1[],(MATCH(Calendar!$A19,DB!$1:$1,0)),FALSE),"")</f>
        <v/>
      </c>
      <c r="ORN19" s="28" t="str">
        <f>IFERROR(VLOOKUP(DATE($K$1,$K$2,ORN$4),Table1[],(MATCH(Calendar!$A19,DB!$1:$1,0)),FALSE),"")</f>
        <v/>
      </c>
      <c r="ORO19" s="28" t="str">
        <f>IFERROR(VLOOKUP(DATE($K$1,$K$2,ORO$4),Table1[],(MATCH(Calendar!$A19,DB!$1:$1,0)),FALSE),"")</f>
        <v/>
      </c>
      <c r="ORP19" s="28" t="str">
        <f>IFERROR(VLOOKUP(DATE($K$1,$K$2,ORP$4),Table1[],(MATCH(Calendar!$A19,DB!$1:$1,0)),FALSE),"")</f>
        <v/>
      </c>
      <c r="ORQ19" s="28" t="str">
        <f>IFERROR(VLOOKUP(DATE($K$1,$K$2,ORQ$4),Table1[],(MATCH(Calendar!$A19,DB!$1:$1,0)),FALSE),"")</f>
        <v/>
      </c>
      <c r="ORR19" s="28" t="str">
        <f>IFERROR(VLOOKUP(DATE($K$1,$K$2,ORR$4),Table1[],(MATCH(Calendar!$A19,DB!$1:$1,0)),FALSE),"")</f>
        <v/>
      </c>
      <c r="ORS19" s="28" t="str">
        <f>IFERROR(VLOOKUP(DATE($K$1,$K$2,ORS$4),Table1[],(MATCH(Calendar!$A19,DB!$1:$1,0)),FALSE),"")</f>
        <v/>
      </c>
      <c r="ORT19" s="28" t="str">
        <f>IFERROR(VLOOKUP(DATE($K$1,$K$2,ORT$4),Table1[],(MATCH(Calendar!$A19,DB!$1:$1,0)),FALSE),"")</f>
        <v/>
      </c>
      <c r="ORU19" s="28" t="str">
        <f>IFERROR(VLOOKUP(DATE($K$1,$K$2,ORU$4),Table1[],(MATCH(Calendar!$A19,DB!$1:$1,0)),FALSE),"")</f>
        <v/>
      </c>
      <c r="ORV19" s="28" t="str">
        <f>IFERROR(VLOOKUP(DATE($K$1,$K$2,ORV$4),Table1[],(MATCH(Calendar!$A19,DB!$1:$1,0)),FALSE),"")</f>
        <v/>
      </c>
      <c r="ORW19" s="28" t="str">
        <f>IFERROR(VLOOKUP(DATE($K$1,$K$2,ORW$4),Table1[],(MATCH(Calendar!$A19,DB!$1:$1,0)),FALSE),"")</f>
        <v/>
      </c>
      <c r="ORX19" s="28" t="str">
        <f>IFERROR(VLOOKUP(DATE($K$1,$K$2,ORX$4),Table1[],(MATCH(Calendar!$A19,DB!$1:$1,0)),FALSE),"")</f>
        <v/>
      </c>
      <c r="ORY19" s="28" t="str">
        <f>IFERROR(VLOOKUP(DATE($K$1,$K$2,ORY$4),Table1[],(MATCH(Calendar!$A19,DB!$1:$1,0)),FALSE),"")</f>
        <v/>
      </c>
      <c r="ORZ19" s="28" t="str">
        <f>IFERROR(VLOOKUP(DATE($K$1,$K$2,ORZ$4),Table1[],(MATCH(Calendar!$A19,DB!$1:$1,0)),FALSE),"")</f>
        <v/>
      </c>
      <c r="OSA19" s="28" t="str">
        <f>IFERROR(VLOOKUP(DATE($K$1,$K$2,OSA$4),Table1[],(MATCH(Calendar!$A19,DB!$1:$1,0)),FALSE),"")</f>
        <v/>
      </c>
      <c r="OSB19" s="28" t="str">
        <f>IFERROR(VLOOKUP(DATE($K$1,$K$2,OSB$4),Table1[],(MATCH(Calendar!$A19,DB!$1:$1,0)),FALSE),"")</f>
        <v/>
      </c>
      <c r="OSC19" s="28" t="str">
        <f>IFERROR(VLOOKUP(DATE($K$1,$K$2,OSC$4),Table1[],(MATCH(Calendar!$A19,DB!$1:$1,0)),FALSE),"")</f>
        <v/>
      </c>
      <c r="OSD19" s="28" t="str">
        <f>IFERROR(VLOOKUP(DATE($K$1,$K$2,OSD$4),Table1[],(MATCH(Calendar!$A19,DB!$1:$1,0)),FALSE),"")</f>
        <v/>
      </c>
      <c r="OSE19" s="28" t="str">
        <f>IFERROR(VLOOKUP(DATE($K$1,$K$2,OSE$4),Table1[],(MATCH(Calendar!$A19,DB!$1:$1,0)),FALSE),"")</f>
        <v/>
      </c>
      <c r="OSF19" s="28" t="str">
        <f>IFERROR(VLOOKUP(DATE($K$1,$K$2,OSF$4),Table1[],(MATCH(Calendar!$A19,DB!$1:$1,0)),FALSE),"")</f>
        <v/>
      </c>
      <c r="OSG19" s="28" t="str">
        <f>IFERROR(VLOOKUP(DATE($K$1,$K$2,OSG$4),Table1[],(MATCH(Calendar!$A19,DB!$1:$1,0)),FALSE),"")</f>
        <v/>
      </c>
      <c r="OSH19" s="28" t="str">
        <f>IFERROR(VLOOKUP(DATE($K$1,$K$2,OSH$4),Table1[],(MATCH(Calendar!$A19,DB!$1:$1,0)),FALSE),"")</f>
        <v/>
      </c>
      <c r="OSI19" s="28" t="str">
        <f>IFERROR(VLOOKUP(DATE($K$1,$K$2,OSI$4),Table1[],(MATCH(Calendar!$A19,DB!$1:$1,0)),FALSE),"")</f>
        <v/>
      </c>
      <c r="OSJ19" s="28" t="str">
        <f>IFERROR(VLOOKUP(DATE($K$1,$K$2,OSJ$4),Table1[],(MATCH(Calendar!$A19,DB!$1:$1,0)),FALSE),"")</f>
        <v/>
      </c>
      <c r="OSK19" s="28" t="str">
        <f>IFERROR(VLOOKUP(DATE($K$1,$K$2,OSK$4),Table1[],(MATCH(Calendar!$A19,DB!$1:$1,0)),FALSE),"")</f>
        <v/>
      </c>
      <c r="OSL19" s="28" t="str">
        <f>IFERROR(VLOOKUP(DATE($K$1,$K$2,OSL$4),Table1[],(MATCH(Calendar!$A19,DB!$1:$1,0)),FALSE),"")</f>
        <v/>
      </c>
      <c r="OSM19" s="28" t="str">
        <f>IFERROR(VLOOKUP(DATE($K$1,$K$2,OSM$4),Table1[],(MATCH(Calendar!$A19,DB!$1:$1,0)),FALSE),"")</f>
        <v/>
      </c>
      <c r="OSN19" s="28" t="str">
        <f>IFERROR(VLOOKUP(DATE($K$1,$K$2,OSN$4),Table1[],(MATCH(Calendar!$A19,DB!$1:$1,0)),FALSE),"")</f>
        <v/>
      </c>
      <c r="OSO19" s="28" t="str">
        <f>IFERROR(VLOOKUP(DATE($K$1,$K$2,OSO$4),Table1[],(MATCH(Calendar!$A19,DB!$1:$1,0)),FALSE),"")</f>
        <v/>
      </c>
      <c r="OSP19" s="28" t="str">
        <f>IFERROR(VLOOKUP(DATE($K$1,$K$2,OSP$4),Table1[],(MATCH(Calendar!$A19,DB!$1:$1,0)),FALSE),"")</f>
        <v/>
      </c>
      <c r="OSQ19" s="28" t="str">
        <f>IFERROR(VLOOKUP(DATE($K$1,$K$2,OSQ$4),Table1[],(MATCH(Calendar!$A19,DB!$1:$1,0)),FALSE),"")</f>
        <v/>
      </c>
      <c r="OSR19" s="28" t="str">
        <f>IFERROR(VLOOKUP(DATE($K$1,$K$2,OSR$4),Table1[],(MATCH(Calendar!$A19,DB!$1:$1,0)),FALSE),"")</f>
        <v/>
      </c>
      <c r="OSS19" s="28" t="str">
        <f>IFERROR(VLOOKUP(DATE($K$1,$K$2,OSS$4),Table1[],(MATCH(Calendar!$A19,DB!$1:$1,0)),FALSE),"")</f>
        <v/>
      </c>
      <c r="OST19" s="28" t="str">
        <f>IFERROR(VLOOKUP(DATE($K$1,$K$2,OST$4),Table1[],(MATCH(Calendar!$A19,DB!$1:$1,0)),FALSE),"")</f>
        <v/>
      </c>
      <c r="OSU19" s="28" t="str">
        <f>IFERROR(VLOOKUP(DATE($K$1,$K$2,OSU$4),Table1[],(MATCH(Calendar!$A19,DB!$1:$1,0)),FALSE),"")</f>
        <v/>
      </c>
      <c r="OSV19" s="28" t="str">
        <f>IFERROR(VLOOKUP(DATE($K$1,$K$2,OSV$4),Table1[],(MATCH(Calendar!$A19,DB!$1:$1,0)),FALSE),"")</f>
        <v/>
      </c>
      <c r="OSW19" s="28" t="str">
        <f>IFERROR(VLOOKUP(DATE($K$1,$K$2,OSW$4),Table1[],(MATCH(Calendar!$A19,DB!$1:$1,0)),FALSE),"")</f>
        <v/>
      </c>
      <c r="OSX19" s="28" t="str">
        <f>IFERROR(VLOOKUP(DATE($K$1,$K$2,OSX$4),Table1[],(MATCH(Calendar!$A19,DB!$1:$1,0)),FALSE),"")</f>
        <v/>
      </c>
      <c r="OSY19" s="28" t="str">
        <f>IFERROR(VLOOKUP(DATE($K$1,$K$2,OSY$4),Table1[],(MATCH(Calendar!$A19,DB!$1:$1,0)),FALSE),"")</f>
        <v/>
      </c>
      <c r="OSZ19" s="28" t="str">
        <f>IFERROR(VLOOKUP(DATE($K$1,$K$2,OSZ$4),Table1[],(MATCH(Calendar!$A19,DB!$1:$1,0)),FALSE),"")</f>
        <v/>
      </c>
      <c r="OTA19" s="28" t="str">
        <f>IFERROR(VLOOKUP(DATE($K$1,$K$2,OTA$4),Table1[],(MATCH(Calendar!$A19,DB!$1:$1,0)),FALSE),"")</f>
        <v/>
      </c>
      <c r="OTB19" s="28" t="str">
        <f>IFERROR(VLOOKUP(DATE($K$1,$K$2,OTB$4),Table1[],(MATCH(Calendar!$A19,DB!$1:$1,0)),FALSE),"")</f>
        <v/>
      </c>
      <c r="OTC19" s="28" t="str">
        <f>IFERROR(VLOOKUP(DATE($K$1,$K$2,OTC$4),Table1[],(MATCH(Calendar!$A19,DB!$1:$1,0)),FALSE),"")</f>
        <v/>
      </c>
      <c r="OTD19" s="28" t="str">
        <f>IFERROR(VLOOKUP(DATE($K$1,$K$2,OTD$4),Table1[],(MATCH(Calendar!$A19,DB!$1:$1,0)),FALSE),"")</f>
        <v/>
      </c>
      <c r="OTE19" s="28" t="str">
        <f>IFERROR(VLOOKUP(DATE($K$1,$K$2,OTE$4),Table1[],(MATCH(Calendar!$A19,DB!$1:$1,0)),FALSE),"")</f>
        <v/>
      </c>
      <c r="OTF19" s="28" t="str">
        <f>IFERROR(VLOOKUP(DATE($K$1,$K$2,OTF$4),Table1[],(MATCH(Calendar!$A19,DB!$1:$1,0)),FALSE),"")</f>
        <v/>
      </c>
      <c r="OTG19" s="28" t="str">
        <f>IFERROR(VLOOKUP(DATE($K$1,$K$2,OTG$4),Table1[],(MATCH(Calendar!$A19,DB!$1:$1,0)),FALSE),"")</f>
        <v/>
      </c>
      <c r="OTH19" s="28" t="str">
        <f>IFERROR(VLOOKUP(DATE($K$1,$K$2,OTH$4),Table1[],(MATCH(Calendar!$A19,DB!$1:$1,0)),FALSE),"")</f>
        <v/>
      </c>
      <c r="OTI19" s="28" t="str">
        <f>IFERROR(VLOOKUP(DATE($K$1,$K$2,OTI$4),Table1[],(MATCH(Calendar!$A19,DB!$1:$1,0)),FALSE),"")</f>
        <v/>
      </c>
      <c r="OTJ19" s="28" t="str">
        <f>IFERROR(VLOOKUP(DATE($K$1,$K$2,OTJ$4),Table1[],(MATCH(Calendar!$A19,DB!$1:$1,0)),FALSE),"")</f>
        <v/>
      </c>
      <c r="OTK19" s="28" t="str">
        <f>IFERROR(VLOOKUP(DATE($K$1,$K$2,OTK$4),Table1[],(MATCH(Calendar!$A19,DB!$1:$1,0)),FALSE),"")</f>
        <v/>
      </c>
      <c r="OTL19" s="28" t="str">
        <f>IFERROR(VLOOKUP(DATE($K$1,$K$2,OTL$4),Table1[],(MATCH(Calendar!$A19,DB!$1:$1,0)),FALSE),"")</f>
        <v/>
      </c>
      <c r="OTM19" s="28" t="str">
        <f>IFERROR(VLOOKUP(DATE($K$1,$K$2,OTM$4),Table1[],(MATCH(Calendar!$A19,DB!$1:$1,0)),FALSE),"")</f>
        <v/>
      </c>
      <c r="OTN19" s="28" t="str">
        <f>IFERROR(VLOOKUP(DATE($K$1,$K$2,OTN$4),Table1[],(MATCH(Calendar!$A19,DB!$1:$1,0)),FALSE),"")</f>
        <v/>
      </c>
      <c r="OTO19" s="28" t="str">
        <f>IFERROR(VLOOKUP(DATE($K$1,$K$2,OTO$4),Table1[],(MATCH(Calendar!$A19,DB!$1:$1,0)),FALSE),"")</f>
        <v/>
      </c>
      <c r="OTP19" s="28" t="str">
        <f>IFERROR(VLOOKUP(DATE($K$1,$K$2,OTP$4),Table1[],(MATCH(Calendar!$A19,DB!$1:$1,0)),FALSE),"")</f>
        <v/>
      </c>
      <c r="OTQ19" s="28" t="str">
        <f>IFERROR(VLOOKUP(DATE($K$1,$K$2,OTQ$4),Table1[],(MATCH(Calendar!$A19,DB!$1:$1,0)),FALSE),"")</f>
        <v/>
      </c>
      <c r="OTR19" s="28" t="str">
        <f>IFERROR(VLOOKUP(DATE($K$1,$K$2,OTR$4),Table1[],(MATCH(Calendar!$A19,DB!$1:$1,0)),FALSE),"")</f>
        <v/>
      </c>
      <c r="OTS19" s="28" t="str">
        <f>IFERROR(VLOOKUP(DATE($K$1,$K$2,OTS$4),Table1[],(MATCH(Calendar!$A19,DB!$1:$1,0)),FALSE),"")</f>
        <v/>
      </c>
      <c r="OTT19" s="28" t="str">
        <f>IFERROR(VLOOKUP(DATE($K$1,$K$2,OTT$4),Table1[],(MATCH(Calendar!$A19,DB!$1:$1,0)),FALSE),"")</f>
        <v/>
      </c>
      <c r="OTU19" s="28" t="str">
        <f>IFERROR(VLOOKUP(DATE($K$1,$K$2,OTU$4),Table1[],(MATCH(Calendar!$A19,DB!$1:$1,0)),FALSE),"")</f>
        <v/>
      </c>
      <c r="OTV19" s="28" t="str">
        <f>IFERROR(VLOOKUP(DATE($K$1,$K$2,OTV$4),Table1[],(MATCH(Calendar!$A19,DB!$1:$1,0)),FALSE),"")</f>
        <v/>
      </c>
      <c r="OTW19" s="28" t="str">
        <f>IFERROR(VLOOKUP(DATE($K$1,$K$2,OTW$4),Table1[],(MATCH(Calendar!$A19,DB!$1:$1,0)),FALSE),"")</f>
        <v/>
      </c>
      <c r="OTX19" s="28" t="str">
        <f>IFERROR(VLOOKUP(DATE($K$1,$K$2,OTX$4),Table1[],(MATCH(Calendar!$A19,DB!$1:$1,0)),FALSE),"")</f>
        <v/>
      </c>
      <c r="OTY19" s="28" t="str">
        <f>IFERROR(VLOOKUP(DATE($K$1,$K$2,OTY$4),Table1[],(MATCH(Calendar!$A19,DB!$1:$1,0)),FALSE),"")</f>
        <v/>
      </c>
      <c r="OTZ19" s="28" t="str">
        <f>IFERROR(VLOOKUP(DATE($K$1,$K$2,OTZ$4),Table1[],(MATCH(Calendar!$A19,DB!$1:$1,0)),FALSE),"")</f>
        <v/>
      </c>
      <c r="OUA19" s="28" t="str">
        <f>IFERROR(VLOOKUP(DATE($K$1,$K$2,OUA$4),Table1[],(MATCH(Calendar!$A19,DB!$1:$1,0)),FALSE),"")</f>
        <v/>
      </c>
      <c r="OUB19" s="28" t="str">
        <f>IFERROR(VLOOKUP(DATE($K$1,$K$2,OUB$4),Table1[],(MATCH(Calendar!$A19,DB!$1:$1,0)),FALSE),"")</f>
        <v/>
      </c>
      <c r="OUC19" s="28" t="str">
        <f>IFERROR(VLOOKUP(DATE($K$1,$K$2,OUC$4),Table1[],(MATCH(Calendar!$A19,DB!$1:$1,0)),FALSE),"")</f>
        <v/>
      </c>
      <c r="OUD19" s="28" t="str">
        <f>IFERROR(VLOOKUP(DATE($K$1,$K$2,OUD$4),Table1[],(MATCH(Calendar!$A19,DB!$1:$1,0)),FALSE),"")</f>
        <v/>
      </c>
      <c r="OUE19" s="28" t="str">
        <f>IFERROR(VLOOKUP(DATE($K$1,$K$2,OUE$4),Table1[],(MATCH(Calendar!$A19,DB!$1:$1,0)),FALSE),"")</f>
        <v/>
      </c>
      <c r="OUF19" s="28" t="str">
        <f>IFERROR(VLOOKUP(DATE($K$1,$K$2,OUF$4),Table1[],(MATCH(Calendar!$A19,DB!$1:$1,0)),FALSE),"")</f>
        <v/>
      </c>
      <c r="OUG19" s="28" t="str">
        <f>IFERROR(VLOOKUP(DATE($K$1,$K$2,OUG$4),Table1[],(MATCH(Calendar!$A19,DB!$1:$1,0)),FALSE),"")</f>
        <v/>
      </c>
      <c r="OUH19" s="28" t="str">
        <f>IFERROR(VLOOKUP(DATE($K$1,$K$2,OUH$4),Table1[],(MATCH(Calendar!$A19,DB!$1:$1,0)),FALSE),"")</f>
        <v/>
      </c>
      <c r="OUI19" s="28" t="str">
        <f>IFERROR(VLOOKUP(DATE($K$1,$K$2,OUI$4),Table1[],(MATCH(Calendar!$A19,DB!$1:$1,0)),FALSE),"")</f>
        <v/>
      </c>
      <c r="OUJ19" s="28" t="str">
        <f>IFERROR(VLOOKUP(DATE($K$1,$K$2,OUJ$4),Table1[],(MATCH(Calendar!$A19,DB!$1:$1,0)),FALSE),"")</f>
        <v/>
      </c>
      <c r="OUK19" s="28" t="str">
        <f>IFERROR(VLOOKUP(DATE($K$1,$K$2,OUK$4),Table1[],(MATCH(Calendar!$A19,DB!$1:$1,0)),FALSE),"")</f>
        <v/>
      </c>
      <c r="OUL19" s="28" t="str">
        <f>IFERROR(VLOOKUP(DATE($K$1,$K$2,OUL$4),Table1[],(MATCH(Calendar!$A19,DB!$1:$1,0)),FALSE),"")</f>
        <v/>
      </c>
      <c r="OUM19" s="28" t="str">
        <f>IFERROR(VLOOKUP(DATE($K$1,$K$2,OUM$4),Table1[],(MATCH(Calendar!$A19,DB!$1:$1,0)),FALSE),"")</f>
        <v/>
      </c>
      <c r="OUN19" s="28" t="str">
        <f>IFERROR(VLOOKUP(DATE($K$1,$K$2,OUN$4),Table1[],(MATCH(Calendar!$A19,DB!$1:$1,0)),FALSE),"")</f>
        <v/>
      </c>
      <c r="OUO19" s="28" t="str">
        <f>IFERROR(VLOOKUP(DATE($K$1,$K$2,OUO$4),Table1[],(MATCH(Calendar!$A19,DB!$1:$1,0)),FALSE),"")</f>
        <v/>
      </c>
      <c r="OUP19" s="28" t="str">
        <f>IFERROR(VLOOKUP(DATE($K$1,$K$2,OUP$4),Table1[],(MATCH(Calendar!$A19,DB!$1:$1,0)),FALSE),"")</f>
        <v/>
      </c>
      <c r="OUQ19" s="28" t="str">
        <f>IFERROR(VLOOKUP(DATE($K$1,$K$2,OUQ$4),Table1[],(MATCH(Calendar!$A19,DB!$1:$1,0)),FALSE),"")</f>
        <v/>
      </c>
      <c r="OUR19" s="28" t="str">
        <f>IFERROR(VLOOKUP(DATE($K$1,$K$2,OUR$4),Table1[],(MATCH(Calendar!$A19,DB!$1:$1,0)),FALSE),"")</f>
        <v/>
      </c>
      <c r="OUS19" s="28" t="str">
        <f>IFERROR(VLOOKUP(DATE($K$1,$K$2,OUS$4),Table1[],(MATCH(Calendar!$A19,DB!$1:$1,0)),FALSE),"")</f>
        <v/>
      </c>
      <c r="OUT19" s="28" t="str">
        <f>IFERROR(VLOOKUP(DATE($K$1,$K$2,OUT$4),Table1[],(MATCH(Calendar!$A19,DB!$1:$1,0)),FALSE),"")</f>
        <v/>
      </c>
      <c r="OUU19" s="28" t="str">
        <f>IFERROR(VLOOKUP(DATE($K$1,$K$2,OUU$4),Table1[],(MATCH(Calendar!$A19,DB!$1:$1,0)),FALSE),"")</f>
        <v/>
      </c>
      <c r="OUV19" s="28" t="str">
        <f>IFERROR(VLOOKUP(DATE($K$1,$K$2,OUV$4),Table1[],(MATCH(Calendar!$A19,DB!$1:$1,0)),FALSE),"")</f>
        <v/>
      </c>
      <c r="OUW19" s="28" t="str">
        <f>IFERROR(VLOOKUP(DATE($K$1,$K$2,OUW$4),Table1[],(MATCH(Calendar!$A19,DB!$1:$1,0)),FALSE),"")</f>
        <v/>
      </c>
      <c r="OUX19" s="28" t="str">
        <f>IFERROR(VLOOKUP(DATE($K$1,$K$2,OUX$4),Table1[],(MATCH(Calendar!$A19,DB!$1:$1,0)),FALSE),"")</f>
        <v/>
      </c>
      <c r="OUY19" s="28" t="str">
        <f>IFERROR(VLOOKUP(DATE($K$1,$K$2,OUY$4),Table1[],(MATCH(Calendar!$A19,DB!$1:$1,0)),FALSE),"")</f>
        <v/>
      </c>
      <c r="OUZ19" s="28" t="str">
        <f>IFERROR(VLOOKUP(DATE($K$1,$K$2,OUZ$4),Table1[],(MATCH(Calendar!$A19,DB!$1:$1,0)),FALSE),"")</f>
        <v/>
      </c>
      <c r="OVA19" s="28" t="str">
        <f>IFERROR(VLOOKUP(DATE($K$1,$K$2,OVA$4),Table1[],(MATCH(Calendar!$A19,DB!$1:$1,0)),FALSE),"")</f>
        <v/>
      </c>
      <c r="OVB19" s="28" t="str">
        <f>IFERROR(VLOOKUP(DATE($K$1,$K$2,OVB$4),Table1[],(MATCH(Calendar!$A19,DB!$1:$1,0)),FALSE),"")</f>
        <v/>
      </c>
      <c r="OVC19" s="28" t="str">
        <f>IFERROR(VLOOKUP(DATE($K$1,$K$2,OVC$4),Table1[],(MATCH(Calendar!$A19,DB!$1:$1,0)),FALSE),"")</f>
        <v/>
      </c>
      <c r="OVD19" s="28" t="str">
        <f>IFERROR(VLOOKUP(DATE($K$1,$K$2,OVD$4),Table1[],(MATCH(Calendar!$A19,DB!$1:$1,0)),FALSE),"")</f>
        <v/>
      </c>
      <c r="OVE19" s="28" t="str">
        <f>IFERROR(VLOOKUP(DATE($K$1,$K$2,OVE$4),Table1[],(MATCH(Calendar!$A19,DB!$1:$1,0)),FALSE),"")</f>
        <v/>
      </c>
      <c r="OVF19" s="28" t="str">
        <f>IFERROR(VLOOKUP(DATE($K$1,$K$2,OVF$4),Table1[],(MATCH(Calendar!$A19,DB!$1:$1,0)),FALSE),"")</f>
        <v/>
      </c>
      <c r="OVG19" s="28" t="str">
        <f>IFERROR(VLOOKUP(DATE($K$1,$K$2,OVG$4),Table1[],(MATCH(Calendar!$A19,DB!$1:$1,0)),FALSE),"")</f>
        <v/>
      </c>
      <c r="OVH19" s="28" t="str">
        <f>IFERROR(VLOOKUP(DATE($K$1,$K$2,OVH$4),Table1[],(MATCH(Calendar!$A19,DB!$1:$1,0)),FALSE),"")</f>
        <v/>
      </c>
      <c r="OVI19" s="28" t="str">
        <f>IFERROR(VLOOKUP(DATE($K$1,$K$2,OVI$4),Table1[],(MATCH(Calendar!$A19,DB!$1:$1,0)),FALSE),"")</f>
        <v/>
      </c>
      <c r="OVJ19" s="28" t="str">
        <f>IFERROR(VLOOKUP(DATE($K$1,$K$2,OVJ$4),Table1[],(MATCH(Calendar!$A19,DB!$1:$1,0)),FALSE),"")</f>
        <v/>
      </c>
      <c r="OVK19" s="28" t="str">
        <f>IFERROR(VLOOKUP(DATE($K$1,$K$2,OVK$4),Table1[],(MATCH(Calendar!$A19,DB!$1:$1,0)),FALSE),"")</f>
        <v/>
      </c>
      <c r="OVL19" s="28" t="str">
        <f>IFERROR(VLOOKUP(DATE($K$1,$K$2,OVL$4),Table1[],(MATCH(Calendar!$A19,DB!$1:$1,0)),FALSE),"")</f>
        <v/>
      </c>
      <c r="OVM19" s="28" t="str">
        <f>IFERROR(VLOOKUP(DATE($K$1,$K$2,OVM$4),Table1[],(MATCH(Calendar!$A19,DB!$1:$1,0)),FALSE),"")</f>
        <v/>
      </c>
      <c r="OVN19" s="28" t="str">
        <f>IFERROR(VLOOKUP(DATE($K$1,$K$2,OVN$4),Table1[],(MATCH(Calendar!$A19,DB!$1:$1,0)),FALSE),"")</f>
        <v/>
      </c>
      <c r="OVO19" s="28" t="str">
        <f>IFERROR(VLOOKUP(DATE($K$1,$K$2,OVO$4),Table1[],(MATCH(Calendar!$A19,DB!$1:$1,0)),FALSE),"")</f>
        <v/>
      </c>
      <c r="OVP19" s="28" t="str">
        <f>IFERROR(VLOOKUP(DATE($K$1,$K$2,OVP$4),Table1[],(MATCH(Calendar!$A19,DB!$1:$1,0)),FALSE),"")</f>
        <v/>
      </c>
      <c r="OVQ19" s="28" t="str">
        <f>IFERROR(VLOOKUP(DATE($K$1,$K$2,OVQ$4),Table1[],(MATCH(Calendar!$A19,DB!$1:$1,0)),FALSE),"")</f>
        <v/>
      </c>
      <c r="OVR19" s="28" t="str">
        <f>IFERROR(VLOOKUP(DATE($K$1,$K$2,OVR$4),Table1[],(MATCH(Calendar!$A19,DB!$1:$1,0)),FALSE),"")</f>
        <v/>
      </c>
      <c r="OVS19" s="28" t="str">
        <f>IFERROR(VLOOKUP(DATE($K$1,$K$2,OVS$4),Table1[],(MATCH(Calendar!$A19,DB!$1:$1,0)),FALSE),"")</f>
        <v/>
      </c>
      <c r="OVT19" s="28" t="str">
        <f>IFERROR(VLOOKUP(DATE($K$1,$K$2,OVT$4),Table1[],(MATCH(Calendar!$A19,DB!$1:$1,0)),FALSE),"")</f>
        <v/>
      </c>
      <c r="OVU19" s="28" t="str">
        <f>IFERROR(VLOOKUP(DATE($K$1,$K$2,OVU$4),Table1[],(MATCH(Calendar!$A19,DB!$1:$1,0)),FALSE),"")</f>
        <v/>
      </c>
      <c r="OVV19" s="28" t="str">
        <f>IFERROR(VLOOKUP(DATE($K$1,$K$2,OVV$4),Table1[],(MATCH(Calendar!$A19,DB!$1:$1,0)),FALSE),"")</f>
        <v/>
      </c>
      <c r="OVW19" s="28" t="str">
        <f>IFERROR(VLOOKUP(DATE($K$1,$K$2,OVW$4),Table1[],(MATCH(Calendar!$A19,DB!$1:$1,0)),FALSE),"")</f>
        <v/>
      </c>
      <c r="OVX19" s="28" t="str">
        <f>IFERROR(VLOOKUP(DATE($K$1,$K$2,OVX$4),Table1[],(MATCH(Calendar!$A19,DB!$1:$1,0)),FALSE),"")</f>
        <v/>
      </c>
      <c r="OVY19" s="28" t="str">
        <f>IFERROR(VLOOKUP(DATE($K$1,$K$2,OVY$4),Table1[],(MATCH(Calendar!$A19,DB!$1:$1,0)),FALSE),"")</f>
        <v/>
      </c>
      <c r="OVZ19" s="28" t="str">
        <f>IFERROR(VLOOKUP(DATE($K$1,$K$2,OVZ$4),Table1[],(MATCH(Calendar!$A19,DB!$1:$1,0)),FALSE),"")</f>
        <v/>
      </c>
      <c r="OWA19" s="28" t="str">
        <f>IFERROR(VLOOKUP(DATE($K$1,$K$2,OWA$4),Table1[],(MATCH(Calendar!$A19,DB!$1:$1,0)),FALSE),"")</f>
        <v/>
      </c>
      <c r="OWB19" s="28" t="str">
        <f>IFERROR(VLOOKUP(DATE($K$1,$K$2,OWB$4),Table1[],(MATCH(Calendar!$A19,DB!$1:$1,0)),FALSE),"")</f>
        <v/>
      </c>
      <c r="OWC19" s="28" t="str">
        <f>IFERROR(VLOOKUP(DATE($K$1,$K$2,OWC$4),Table1[],(MATCH(Calendar!$A19,DB!$1:$1,0)),FALSE),"")</f>
        <v/>
      </c>
      <c r="OWD19" s="28" t="str">
        <f>IFERROR(VLOOKUP(DATE($K$1,$K$2,OWD$4),Table1[],(MATCH(Calendar!$A19,DB!$1:$1,0)),FALSE),"")</f>
        <v/>
      </c>
      <c r="OWE19" s="28" t="str">
        <f>IFERROR(VLOOKUP(DATE($K$1,$K$2,OWE$4),Table1[],(MATCH(Calendar!$A19,DB!$1:$1,0)),FALSE),"")</f>
        <v/>
      </c>
      <c r="OWF19" s="28" t="str">
        <f>IFERROR(VLOOKUP(DATE($K$1,$K$2,OWF$4),Table1[],(MATCH(Calendar!$A19,DB!$1:$1,0)),FALSE),"")</f>
        <v/>
      </c>
      <c r="OWG19" s="28" t="str">
        <f>IFERROR(VLOOKUP(DATE($K$1,$K$2,OWG$4),Table1[],(MATCH(Calendar!$A19,DB!$1:$1,0)),FALSE),"")</f>
        <v/>
      </c>
      <c r="OWH19" s="28" t="str">
        <f>IFERROR(VLOOKUP(DATE($K$1,$K$2,OWH$4),Table1[],(MATCH(Calendar!$A19,DB!$1:$1,0)),FALSE),"")</f>
        <v/>
      </c>
      <c r="OWI19" s="28" t="str">
        <f>IFERROR(VLOOKUP(DATE($K$1,$K$2,OWI$4),Table1[],(MATCH(Calendar!$A19,DB!$1:$1,0)),FALSE),"")</f>
        <v/>
      </c>
      <c r="OWJ19" s="28" t="str">
        <f>IFERROR(VLOOKUP(DATE($K$1,$K$2,OWJ$4),Table1[],(MATCH(Calendar!$A19,DB!$1:$1,0)),FALSE),"")</f>
        <v/>
      </c>
      <c r="OWK19" s="28" t="str">
        <f>IFERROR(VLOOKUP(DATE($K$1,$K$2,OWK$4),Table1[],(MATCH(Calendar!$A19,DB!$1:$1,0)),FALSE),"")</f>
        <v/>
      </c>
      <c r="OWL19" s="28" t="str">
        <f>IFERROR(VLOOKUP(DATE($K$1,$K$2,OWL$4),Table1[],(MATCH(Calendar!$A19,DB!$1:$1,0)),FALSE),"")</f>
        <v/>
      </c>
      <c r="OWM19" s="28" t="str">
        <f>IFERROR(VLOOKUP(DATE($K$1,$K$2,OWM$4),Table1[],(MATCH(Calendar!$A19,DB!$1:$1,0)),FALSE),"")</f>
        <v/>
      </c>
      <c r="OWN19" s="28" t="str">
        <f>IFERROR(VLOOKUP(DATE($K$1,$K$2,OWN$4),Table1[],(MATCH(Calendar!$A19,DB!$1:$1,0)),FALSE),"")</f>
        <v/>
      </c>
      <c r="OWO19" s="28" t="str">
        <f>IFERROR(VLOOKUP(DATE($K$1,$K$2,OWO$4),Table1[],(MATCH(Calendar!$A19,DB!$1:$1,0)),FALSE),"")</f>
        <v/>
      </c>
      <c r="OWP19" s="28" t="str">
        <f>IFERROR(VLOOKUP(DATE($K$1,$K$2,OWP$4),Table1[],(MATCH(Calendar!$A19,DB!$1:$1,0)),FALSE),"")</f>
        <v/>
      </c>
      <c r="OWQ19" s="28" t="str">
        <f>IFERROR(VLOOKUP(DATE($K$1,$K$2,OWQ$4),Table1[],(MATCH(Calendar!$A19,DB!$1:$1,0)),FALSE),"")</f>
        <v/>
      </c>
      <c r="OWR19" s="28" t="str">
        <f>IFERROR(VLOOKUP(DATE($K$1,$K$2,OWR$4),Table1[],(MATCH(Calendar!$A19,DB!$1:$1,0)),FALSE),"")</f>
        <v/>
      </c>
      <c r="OWS19" s="28" t="str">
        <f>IFERROR(VLOOKUP(DATE($K$1,$K$2,OWS$4),Table1[],(MATCH(Calendar!$A19,DB!$1:$1,0)),FALSE),"")</f>
        <v/>
      </c>
      <c r="OWT19" s="28" t="str">
        <f>IFERROR(VLOOKUP(DATE($K$1,$K$2,OWT$4),Table1[],(MATCH(Calendar!$A19,DB!$1:$1,0)),FALSE),"")</f>
        <v/>
      </c>
      <c r="OWU19" s="28" t="str">
        <f>IFERROR(VLOOKUP(DATE($K$1,$K$2,OWU$4),Table1[],(MATCH(Calendar!$A19,DB!$1:$1,0)),FALSE),"")</f>
        <v/>
      </c>
      <c r="OWV19" s="28" t="str">
        <f>IFERROR(VLOOKUP(DATE($K$1,$K$2,OWV$4),Table1[],(MATCH(Calendar!$A19,DB!$1:$1,0)),FALSE),"")</f>
        <v/>
      </c>
      <c r="OWW19" s="28" t="str">
        <f>IFERROR(VLOOKUP(DATE($K$1,$K$2,OWW$4),Table1[],(MATCH(Calendar!$A19,DB!$1:$1,0)),FALSE),"")</f>
        <v/>
      </c>
      <c r="OWX19" s="28" t="str">
        <f>IFERROR(VLOOKUP(DATE($K$1,$K$2,OWX$4),Table1[],(MATCH(Calendar!$A19,DB!$1:$1,0)),FALSE),"")</f>
        <v/>
      </c>
      <c r="OWY19" s="28" t="str">
        <f>IFERROR(VLOOKUP(DATE($K$1,$K$2,OWY$4),Table1[],(MATCH(Calendar!$A19,DB!$1:$1,0)),FALSE),"")</f>
        <v/>
      </c>
      <c r="OWZ19" s="28" t="str">
        <f>IFERROR(VLOOKUP(DATE($K$1,$K$2,OWZ$4),Table1[],(MATCH(Calendar!$A19,DB!$1:$1,0)),FALSE),"")</f>
        <v/>
      </c>
      <c r="OXA19" s="28" t="str">
        <f>IFERROR(VLOOKUP(DATE($K$1,$K$2,OXA$4),Table1[],(MATCH(Calendar!$A19,DB!$1:$1,0)),FALSE),"")</f>
        <v/>
      </c>
      <c r="OXB19" s="28" t="str">
        <f>IFERROR(VLOOKUP(DATE($K$1,$K$2,OXB$4),Table1[],(MATCH(Calendar!$A19,DB!$1:$1,0)),FALSE),"")</f>
        <v/>
      </c>
      <c r="OXC19" s="28" t="str">
        <f>IFERROR(VLOOKUP(DATE($K$1,$K$2,OXC$4),Table1[],(MATCH(Calendar!$A19,DB!$1:$1,0)),FALSE),"")</f>
        <v/>
      </c>
      <c r="OXD19" s="28" t="str">
        <f>IFERROR(VLOOKUP(DATE($K$1,$K$2,OXD$4),Table1[],(MATCH(Calendar!$A19,DB!$1:$1,0)),FALSE),"")</f>
        <v/>
      </c>
      <c r="OXE19" s="28" t="str">
        <f>IFERROR(VLOOKUP(DATE($K$1,$K$2,OXE$4),Table1[],(MATCH(Calendar!$A19,DB!$1:$1,0)),FALSE),"")</f>
        <v/>
      </c>
      <c r="OXF19" s="28" t="str">
        <f>IFERROR(VLOOKUP(DATE($K$1,$K$2,OXF$4),Table1[],(MATCH(Calendar!$A19,DB!$1:$1,0)),FALSE),"")</f>
        <v/>
      </c>
      <c r="OXG19" s="28" t="str">
        <f>IFERROR(VLOOKUP(DATE($K$1,$K$2,OXG$4),Table1[],(MATCH(Calendar!$A19,DB!$1:$1,0)),FALSE),"")</f>
        <v/>
      </c>
      <c r="OXH19" s="28" t="str">
        <f>IFERROR(VLOOKUP(DATE($K$1,$K$2,OXH$4),Table1[],(MATCH(Calendar!$A19,DB!$1:$1,0)),FALSE),"")</f>
        <v/>
      </c>
      <c r="OXI19" s="28" t="str">
        <f>IFERROR(VLOOKUP(DATE($K$1,$K$2,OXI$4),Table1[],(MATCH(Calendar!$A19,DB!$1:$1,0)),FALSE),"")</f>
        <v/>
      </c>
      <c r="OXJ19" s="28" t="str">
        <f>IFERROR(VLOOKUP(DATE($K$1,$K$2,OXJ$4),Table1[],(MATCH(Calendar!$A19,DB!$1:$1,0)),FALSE),"")</f>
        <v/>
      </c>
      <c r="OXK19" s="28" t="str">
        <f>IFERROR(VLOOKUP(DATE($K$1,$K$2,OXK$4),Table1[],(MATCH(Calendar!$A19,DB!$1:$1,0)),FALSE),"")</f>
        <v/>
      </c>
      <c r="OXL19" s="28" t="str">
        <f>IFERROR(VLOOKUP(DATE($K$1,$K$2,OXL$4),Table1[],(MATCH(Calendar!$A19,DB!$1:$1,0)),FALSE),"")</f>
        <v/>
      </c>
      <c r="OXM19" s="28" t="str">
        <f>IFERROR(VLOOKUP(DATE($K$1,$K$2,OXM$4),Table1[],(MATCH(Calendar!$A19,DB!$1:$1,0)),FALSE),"")</f>
        <v/>
      </c>
      <c r="OXN19" s="28" t="str">
        <f>IFERROR(VLOOKUP(DATE($K$1,$K$2,OXN$4),Table1[],(MATCH(Calendar!$A19,DB!$1:$1,0)),FALSE),"")</f>
        <v/>
      </c>
      <c r="OXO19" s="28" t="str">
        <f>IFERROR(VLOOKUP(DATE($K$1,$K$2,OXO$4),Table1[],(MATCH(Calendar!$A19,DB!$1:$1,0)),FALSE),"")</f>
        <v/>
      </c>
      <c r="OXP19" s="28" t="str">
        <f>IFERROR(VLOOKUP(DATE($K$1,$K$2,OXP$4),Table1[],(MATCH(Calendar!$A19,DB!$1:$1,0)),FALSE),"")</f>
        <v/>
      </c>
      <c r="OXQ19" s="28" t="str">
        <f>IFERROR(VLOOKUP(DATE($K$1,$K$2,OXQ$4),Table1[],(MATCH(Calendar!$A19,DB!$1:$1,0)),FALSE),"")</f>
        <v/>
      </c>
      <c r="OXR19" s="28" t="str">
        <f>IFERROR(VLOOKUP(DATE($K$1,$K$2,OXR$4),Table1[],(MATCH(Calendar!$A19,DB!$1:$1,0)),FALSE),"")</f>
        <v/>
      </c>
      <c r="OXS19" s="28" t="str">
        <f>IFERROR(VLOOKUP(DATE($K$1,$K$2,OXS$4),Table1[],(MATCH(Calendar!$A19,DB!$1:$1,0)),FALSE),"")</f>
        <v/>
      </c>
      <c r="OXT19" s="28" t="str">
        <f>IFERROR(VLOOKUP(DATE($K$1,$K$2,OXT$4),Table1[],(MATCH(Calendar!$A19,DB!$1:$1,0)),FALSE),"")</f>
        <v/>
      </c>
      <c r="OXU19" s="28" t="str">
        <f>IFERROR(VLOOKUP(DATE($K$1,$K$2,OXU$4),Table1[],(MATCH(Calendar!$A19,DB!$1:$1,0)),FALSE),"")</f>
        <v/>
      </c>
      <c r="OXV19" s="28" t="str">
        <f>IFERROR(VLOOKUP(DATE($K$1,$K$2,OXV$4),Table1[],(MATCH(Calendar!$A19,DB!$1:$1,0)),FALSE),"")</f>
        <v/>
      </c>
      <c r="OXW19" s="28" t="str">
        <f>IFERROR(VLOOKUP(DATE($K$1,$K$2,OXW$4),Table1[],(MATCH(Calendar!$A19,DB!$1:$1,0)),FALSE),"")</f>
        <v/>
      </c>
      <c r="OXX19" s="28" t="str">
        <f>IFERROR(VLOOKUP(DATE($K$1,$K$2,OXX$4),Table1[],(MATCH(Calendar!$A19,DB!$1:$1,0)),FALSE),"")</f>
        <v/>
      </c>
      <c r="OXY19" s="28" t="str">
        <f>IFERROR(VLOOKUP(DATE($K$1,$K$2,OXY$4),Table1[],(MATCH(Calendar!$A19,DB!$1:$1,0)),FALSE),"")</f>
        <v/>
      </c>
      <c r="OXZ19" s="28" t="str">
        <f>IFERROR(VLOOKUP(DATE($K$1,$K$2,OXZ$4),Table1[],(MATCH(Calendar!$A19,DB!$1:$1,0)),FALSE),"")</f>
        <v/>
      </c>
      <c r="OYA19" s="28" t="str">
        <f>IFERROR(VLOOKUP(DATE($K$1,$K$2,OYA$4),Table1[],(MATCH(Calendar!$A19,DB!$1:$1,0)),FALSE),"")</f>
        <v/>
      </c>
      <c r="OYB19" s="28" t="str">
        <f>IFERROR(VLOOKUP(DATE($K$1,$K$2,OYB$4),Table1[],(MATCH(Calendar!$A19,DB!$1:$1,0)),FALSE),"")</f>
        <v/>
      </c>
      <c r="OYC19" s="28" t="str">
        <f>IFERROR(VLOOKUP(DATE($K$1,$K$2,OYC$4),Table1[],(MATCH(Calendar!$A19,DB!$1:$1,0)),FALSE),"")</f>
        <v/>
      </c>
      <c r="OYD19" s="28" t="str">
        <f>IFERROR(VLOOKUP(DATE($K$1,$K$2,OYD$4),Table1[],(MATCH(Calendar!$A19,DB!$1:$1,0)),FALSE),"")</f>
        <v/>
      </c>
      <c r="OYE19" s="28" t="str">
        <f>IFERROR(VLOOKUP(DATE($K$1,$K$2,OYE$4),Table1[],(MATCH(Calendar!$A19,DB!$1:$1,0)),FALSE),"")</f>
        <v/>
      </c>
      <c r="OYF19" s="28" t="str">
        <f>IFERROR(VLOOKUP(DATE($K$1,$K$2,OYF$4),Table1[],(MATCH(Calendar!$A19,DB!$1:$1,0)),FALSE),"")</f>
        <v/>
      </c>
      <c r="OYG19" s="28" t="str">
        <f>IFERROR(VLOOKUP(DATE($K$1,$K$2,OYG$4),Table1[],(MATCH(Calendar!$A19,DB!$1:$1,0)),FALSE),"")</f>
        <v/>
      </c>
      <c r="OYH19" s="28" t="str">
        <f>IFERROR(VLOOKUP(DATE($K$1,$K$2,OYH$4),Table1[],(MATCH(Calendar!$A19,DB!$1:$1,0)),FALSE),"")</f>
        <v/>
      </c>
      <c r="OYI19" s="28" t="str">
        <f>IFERROR(VLOOKUP(DATE($K$1,$K$2,OYI$4),Table1[],(MATCH(Calendar!$A19,DB!$1:$1,0)),FALSE),"")</f>
        <v/>
      </c>
      <c r="OYJ19" s="28" t="str">
        <f>IFERROR(VLOOKUP(DATE($K$1,$K$2,OYJ$4),Table1[],(MATCH(Calendar!$A19,DB!$1:$1,0)),FALSE),"")</f>
        <v/>
      </c>
      <c r="OYK19" s="28" t="str">
        <f>IFERROR(VLOOKUP(DATE($K$1,$K$2,OYK$4),Table1[],(MATCH(Calendar!$A19,DB!$1:$1,0)),FALSE),"")</f>
        <v/>
      </c>
      <c r="OYL19" s="28" t="str">
        <f>IFERROR(VLOOKUP(DATE($K$1,$K$2,OYL$4),Table1[],(MATCH(Calendar!$A19,DB!$1:$1,0)),FALSE),"")</f>
        <v/>
      </c>
      <c r="OYM19" s="28" t="str">
        <f>IFERROR(VLOOKUP(DATE($K$1,$K$2,OYM$4),Table1[],(MATCH(Calendar!$A19,DB!$1:$1,0)),FALSE),"")</f>
        <v/>
      </c>
      <c r="OYN19" s="28" t="str">
        <f>IFERROR(VLOOKUP(DATE($K$1,$K$2,OYN$4),Table1[],(MATCH(Calendar!$A19,DB!$1:$1,0)),FALSE),"")</f>
        <v/>
      </c>
      <c r="OYO19" s="28" t="str">
        <f>IFERROR(VLOOKUP(DATE($K$1,$K$2,OYO$4),Table1[],(MATCH(Calendar!$A19,DB!$1:$1,0)),FALSE),"")</f>
        <v/>
      </c>
      <c r="OYP19" s="28" t="str">
        <f>IFERROR(VLOOKUP(DATE($K$1,$K$2,OYP$4),Table1[],(MATCH(Calendar!$A19,DB!$1:$1,0)),FALSE),"")</f>
        <v/>
      </c>
      <c r="OYQ19" s="28" t="str">
        <f>IFERROR(VLOOKUP(DATE($K$1,$K$2,OYQ$4),Table1[],(MATCH(Calendar!$A19,DB!$1:$1,0)),FALSE),"")</f>
        <v/>
      </c>
      <c r="OYR19" s="28" t="str">
        <f>IFERROR(VLOOKUP(DATE($K$1,$K$2,OYR$4),Table1[],(MATCH(Calendar!$A19,DB!$1:$1,0)),FALSE),"")</f>
        <v/>
      </c>
      <c r="OYS19" s="28" t="str">
        <f>IFERROR(VLOOKUP(DATE($K$1,$K$2,OYS$4),Table1[],(MATCH(Calendar!$A19,DB!$1:$1,0)),FALSE),"")</f>
        <v/>
      </c>
      <c r="OYT19" s="28" t="str">
        <f>IFERROR(VLOOKUP(DATE($K$1,$K$2,OYT$4),Table1[],(MATCH(Calendar!$A19,DB!$1:$1,0)),FALSE),"")</f>
        <v/>
      </c>
      <c r="OYU19" s="28" t="str">
        <f>IFERROR(VLOOKUP(DATE($K$1,$K$2,OYU$4),Table1[],(MATCH(Calendar!$A19,DB!$1:$1,0)),FALSE),"")</f>
        <v/>
      </c>
      <c r="OYV19" s="28" t="str">
        <f>IFERROR(VLOOKUP(DATE($K$1,$K$2,OYV$4),Table1[],(MATCH(Calendar!$A19,DB!$1:$1,0)),FALSE),"")</f>
        <v/>
      </c>
      <c r="OYW19" s="28" t="str">
        <f>IFERROR(VLOOKUP(DATE($K$1,$K$2,OYW$4),Table1[],(MATCH(Calendar!$A19,DB!$1:$1,0)),FALSE),"")</f>
        <v/>
      </c>
      <c r="OYX19" s="28" t="str">
        <f>IFERROR(VLOOKUP(DATE($K$1,$K$2,OYX$4),Table1[],(MATCH(Calendar!$A19,DB!$1:$1,0)),FALSE),"")</f>
        <v/>
      </c>
      <c r="OYY19" s="28" t="str">
        <f>IFERROR(VLOOKUP(DATE($K$1,$K$2,OYY$4),Table1[],(MATCH(Calendar!$A19,DB!$1:$1,0)),FALSE),"")</f>
        <v/>
      </c>
      <c r="OYZ19" s="28" t="str">
        <f>IFERROR(VLOOKUP(DATE($K$1,$K$2,OYZ$4),Table1[],(MATCH(Calendar!$A19,DB!$1:$1,0)),FALSE),"")</f>
        <v/>
      </c>
      <c r="OZA19" s="28" t="str">
        <f>IFERROR(VLOOKUP(DATE($K$1,$K$2,OZA$4),Table1[],(MATCH(Calendar!$A19,DB!$1:$1,0)),FALSE),"")</f>
        <v/>
      </c>
      <c r="OZB19" s="28" t="str">
        <f>IFERROR(VLOOKUP(DATE($K$1,$K$2,OZB$4),Table1[],(MATCH(Calendar!$A19,DB!$1:$1,0)),FALSE),"")</f>
        <v/>
      </c>
      <c r="OZC19" s="28" t="str">
        <f>IFERROR(VLOOKUP(DATE($K$1,$K$2,OZC$4),Table1[],(MATCH(Calendar!$A19,DB!$1:$1,0)),FALSE),"")</f>
        <v/>
      </c>
      <c r="OZD19" s="28" t="str">
        <f>IFERROR(VLOOKUP(DATE($K$1,$K$2,OZD$4),Table1[],(MATCH(Calendar!$A19,DB!$1:$1,0)),FALSE),"")</f>
        <v/>
      </c>
      <c r="OZE19" s="28" t="str">
        <f>IFERROR(VLOOKUP(DATE($K$1,$K$2,OZE$4),Table1[],(MATCH(Calendar!$A19,DB!$1:$1,0)),FALSE),"")</f>
        <v/>
      </c>
      <c r="OZF19" s="28" t="str">
        <f>IFERROR(VLOOKUP(DATE($K$1,$K$2,OZF$4),Table1[],(MATCH(Calendar!$A19,DB!$1:$1,0)),FALSE),"")</f>
        <v/>
      </c>
      <c r="OZG19" s="28" t="str">
        <f>IFERROR(VLOOKUP(DATE($K$1,$K$2,OZG$4),Table1[],(MATCH(Calendar!$A19,DB!$1:$1,0)),FALSE),"")</f>
        <v/>
      </c>
      <c r="OZH19" s="28" t="str">
        <f>IFERROR(VLOOKUP(DATE($K$1,$K$2,OZH$4),Table1[],(MATCH(Calendar!$A19,DB!$1:$1,0)),FALSE),"")</f>
        <v/>
      </c>
      <c r="OZI19" s="28" t="str">
        <f>IFERROR(VLOOKUP(DATE($K$1,$K$2,OZI$4),Table1[],(MATCH(Calendar!$A19,DB!$1:$1,0)),FALSE),"")</f>
        <v/>
      </c>
      <c r="OZJ19" s="28" t="str">
        <f>IFERROR(VLOOKUP(DATE($K$1,$K$2,OZJ$4),Table1[],(MATCH(Calendar!$A19,DB!$1:$1,0)),FALSE),"")</f>
        <v/>
      </c>
      <c r="OZK19" s="28" t="str">
        <f>IFERROR(VLOOKUP(DATE($K$1,$K$2,OZK$4),Table1[],(MATCH(Calendar!$A19,DB!$1:$1,0)),FALSE),"")</f>
        <v/>
      </c>
      <c r="OZL19" s="28" t="str">
        <f>IFERROR(VLOOKUP(DATE($K$1,$K$2,OZL$4),Table1[],(MATCH(Calendar!$A19,DB!$1:$1,0)),FALSE),"")</f>
        <v/>
      </c>
      <c r="OZM19" s="28" t="str">
        <f>IFERROR(VLOOKUP(DATE($K$1,$K$2,OZM$4),Table1[],(MATCH(Calendar!$A19,DB!$1:$1,0)),FALSE),"")</f>
        <v/>
      </c>
      <c r="OZN19" s="28" t="str">
        <f>IFERROR(VLOOKUP(DATE($K$1,$K$2,OZN$4),Table1[],(MATCH(Calendar!$A19,DB!$1:$1,0)),FALSE),"")</f>
        <v/>
      </c>
      <c r="OZO19" s="28" t="str">
        <f>IFERROR(VLOOKUP(DATE($K$1,$K$2,OZO$4),Table1[],(MATCH(Calendar!$A19,DB!$1:$1,0)),FALSE),"")</f>
        <v/>
      </c>
      <c r="OZP19" s="28" t="str">
        <f>IFERROR(VLOOKUP(DATE($K$1,$K$2,OZP$4),Table1[],(MATCH(Calendar!$A19,DB!$1:$1,0)),FALSE),"")</f>
        <v/>
      </c>
      <c r="OZQ19" s="28" t="str">
        <f>IFERROR(VLOOKUP(DATE($K$1,$K$2,OZQ$4),Table1[],(MATCH(Calendar!$A19,DB!$1:$1,0)),FALSE),"")</f>
        <v/>
      </c>
      <c r="OZR19" s="28" t="str">
        <f>IFERROR(VLOOKUP(DATE($K$1,$K$2,OZR$4),Table1[],(MATCH(Calendar!$A19,DB!$1:$1,0)),FALSE),"")</f>
        <v/>
      </c>
      <c r="OZS19" s="28" t="str">
        <f>IFERROR(VLOOKUP(DATE($K$1,$K$2,OZS$4),Table1[],(MATCH(Calendar!$A19,DB!$1:$1,0)),FALSE),"")</f>
        <v/>
      </c>
      <c r="OZT19" s="28" t="str">
        <f>IFERROR(VLOOKUP(DATE($K$1,$K$2,OZT$4),Table1[],(MATCH(Calendar!$A19,DB!$1:$1,0)),FALSE),"")</f>
        <v/>
      </c>
      <c r="OZU19" s="28" t="str">
        <f>IFERROR(VLOOKUP(DATE($K$1,$K$2,OZU$4),Table1[],(MATCH(Calendar!$A19,DB!$1:$1,0)),FALSE),"")</f>
        <v/>
      </c>
      <c r="OZV19" s="28" t="str">
        <f>IFERROR(VLOOKUP(DATE($K$1,$K$2,OZV$4),Table1[],(MATCH(Calendar!$A19,DB!$1:$1,0)),FALSE),"")</f>
        <v/>
      </c>
      <c r="OZW19" s="28" t="str">
        <f>IFERROR(VLOOKUP(DATE($K$1,$K$2,OZW$4),Table1[],(MATCH(Calendar!$A19,DB!$1:$1,0)),FALSE),"")</f>
        <v/>
      </c>
      <c r="OZX19" s="28" t="str">
        <f>IFERROR(VLOOKUP(DATE($K$1,$K$2,OZX$4),Table1[],(MATCH(Calendar!$A19,DB!$1:$1,0)),FALSE),"")</f>
        <v/>
      </c>
      <c r="OZY19" s="28" t="str">
        <f>IFERROR(VLOOKUP(DATE($K$1,$K$2,OZY$4),Table1[],(MATCH(Calendar!$A19,DB!$1:$1,0)),FALSE),"")</f>
        <v/>
      </c>
      <c r="OZZ19" s="28" t="str">
        <f>IFERROR(VLOOKUP(DATE($K$1,$K$2,OZZ$4),Table1[],(MATCH(Calendar!$A19,DB!$1:$1,0)),FALSE),"")</f>
        <v/>
      </c>
      <c r="PAA19" s="28" t="str">
        <f>IFERROR(VLOOKUP(DATE($K$1,$K$2,PAA$4),Table1[],(MATCH(Calendar!$A19,DB!$1:$1,0)),FALSE),"")</f>
        <v/>
      </c>
      <c r="PAB19" s="28" t="str">
        <f>IFERROR(VLOOKUP(DATE($K$1,$K$2,PAB$4),Table1[],(MATCH(Calendar!$A19,DB!$1:$1,0)),FALSE),"")</f>
        <v/>
      </c>
      <c r="PAC19" s="28" t="str">
        <f>IFERROR(VLOOKUP(DATE($K$1,$K$2,PAC$4),Table1[],(MATCH(Calendar!$A19,DB!$1:$1,0)),FALSE),"")</f>
        <v/>
      </c>
      <c r="PAD19" s="28" t="str">
        <f>IFERROR(VLOOKUP(DATE($K$1,$K$2,PAD$4),Table1[],(MATCH(Calendar!$A19,DB!$1:$1,0)),FALSE),"")</f>
        <v/>
      </c>
      <c r="PAE19" s="28" t="str">
        <f>IFERROR(VLOOKUP(DATE($K$1,$K$2,PAE$4),Table1[],(MATCH(Calendar!$A19,DB!$1:$1,0)),FALSE),"")</f>
        <v/>
      </c>
      <c r="PAF19" s="28" t="str">
        <f>IFERROR(VLOOKUP(DATE($K$1,$K$2,PAF$4),Table1[],(MATCH(Calendar!$A19,DB!$1:$1,0)),FALSE),"")</f>
        <v/>
      </c>
      <c r="PAG19" s="28" t="str">
        <f>IFERROR(VLOOKUP(DATE($K$1,$K$2,PAG$4),Table1[],(MATCH(Calendar!$A19,DB!$1:$1,0)),FALSE),"")</f>
        <v/>
      </c>
      <c r="PAH19" s="28" t="str">
        <f>IFERROR(VLOOKUP(DATE($K$1,$K$2,PAH$4),Table1[],(MATCH(Calendar!$A19,DB!$1:$1,0)),FALSE),"")</f>
        <v/>
      </c>
      <c r="PAI19" s="28" t="str">
        <f>IFERROR(VLOOKUP(DATE($K$1,$K$2,PAI$4),Table1[],(MATCH(Calendar!$A19,DB!$1:$1,0)),FALSE),"")</f>
        <v/>
      </c>
      <c r="PAJ19" s="28" t="str">
        <f>IFERROR(VLOOKUP(DATE($K$1,$K$2,PAJ$4),Table1[],(MATCH(Calendar!$A19,DB!$1:$1,0)),FALSE),"")</f>
        <v/>
      </c>
      <c r="PAK19" s="28" t="str">
        <f>IFERROR(VLOOKUP(DATE($K$1,$K$2,PAK$4),Table1[],(MATCH(Calendar!$A19,DB!$1:$1,0)),FALSE),"")</f>
        <v/>
      </c>
      <c r="PAL19" s="28" t="str">
        <f>IFERROR(VLOOKUP(DATE($K$1,$K$2,PAL$4),Table1[],(MATCH(Calendar!$A19,DB!$1:$1,0)),FALSE),"")</f>
        <v/>
      </c>
      <c r="PAM19" s="28" t="str">
        <f>IFERROR(VLOOKUP(DATE($K$1,$K$2,PAM$4),Table1[],(MATCH(Calendar!$A19,DB!$1:$1,0)),FALSE),"")</f>
        <v/>
      </c>
      <c r="PAN19" s="28" t="str">
        <f>IFERROR(VLOOKUP(DATE($K$1,$K$2,PAN$4),Table1[],(MATCH(Calendar!$A19,DB!$1:$1,0)),FALSE),"")</f>
        <v/>
      </c>
      <c r="PAO19" s="28" t="str">
        <f>IFERROR(VLOOKUP(DATE($K$1,$K$2,PAO$4),Table1[],(MATCH(Calendar!$A19,DB!$1:$1,0)),FALSE),"")</f>
        <v/>
      </c>
      <c r="PAP19" s="28" t="str">
        <f>IFERROR(VLOOKUP(DATE($K$1,$K$2,PAP$4),Table1[],(MATCH(Calendar!$A19,DB!$1:$1,0)),FALSE),"")</f>
        <v/>
      </c>
      <c r="PAQ19" s="28" t="str">
        <f>IFERROR(VLOOKUP(DATE($K$1,$K$2,PAQ$4),Table1[],(MATCH(Calendar!$A19,DB!$1:$1,0)),FALSE),"")</f>
        <v/>
      </c>
      <c r="PAR19" s="28" t="str">
        <f>IFERROR(VLOOKUP(DATE($K$1,$K$2,PAR$4),Table1[],(MATCH(Calendar!$A19,DB!$1:$1,0)),FALSE),"")</f>
        <v/>
      </c>
      <c r="PAS19" s="28" t="str">
        <f>IFERROR(VLOOKUP(DATE($K$1,$K$2,PAS$4),Table1[],(MATCH(Calendar!$A19,DB!$1:$1,0)),FALSE),"")</f>
        <v/>
      </c>
      <c r="PAT19" s="28" t="str">
        <f>IFERROR(VLOOKUP(DATE($K$1,$K$2,PAT$4),Table1[],(MATCH(Calendar!$A19,DB!$1:$1,0)),FALSE),"")</f>
        <v/>
      </c>
      <c r="PAU19" s="28" t="str">
        <f>IFERROR(VLOOKUP(DATE($K$1,$K$2,PAU$4),Table1[],(MATCH(Calendar!$A19,DB!$1:$1,0)),FALSE),"")</f>
        <v/>
      </c>
      <c r="PAV19" s="28" t="str">
        <f>IFERROR(VLOOKUP(DATE($K$1,$K$2,PAV$4),Table1[],(MATCH(Calendar!$A19,DB!$1:$1,0)),FALSE),"")</f>
        <v/>
      </c>
      <c r="PAW19" s="28" t="str">
        <f>IFERROR(VLOOKUP(DATE($K$1,$K$2,PAW$4),Table1[],(MATCH(Calendar!$A19,DB!$1:$1,0)),FALSE),"")</f>
        <v/>
      </c>
      <c r="PAX19" s="28" t="str">
        <f>IFERROR(VLOOKUP(DATE($K$1,$K$2,PAX$4),Table1[],(MATCH(Calendar!$A19,DB!$1:$1,0)),FALSE),"")</f>
        <v/>
      </c>
      <c r="PAY19" s="28" t="str">
        <f>IFERROR(VLOOKUP(DATE($K$1,$K$2,PAY$4),Table1[],(MATCH(Calendar!$A19,DB!$1:$1,0)),FALSE),"")</f>
        <v/>
      </c>
      <c r="PAZ19" s="28" t="str">
        <f>IFERROR(VLOOKUP(DATE($K$1,$K$2,PAZ$4),Table1[],(MATCH(Calendar!$A19,DB!$1:$1,0)),FALSE),"")</f>
        <v/>
      </c>
      <c r="PBA19" s="28" t="str">
        <f>IFERROR(VLOOKUP(DATE($K$1,$K$2,PBA$4),Table1[],(MATCH(Calendar!$A19,DB!$1:$1,0)),FALSE),"")</f>
        <v/>
      </c>
      <c r="PBB19" s="28" t="str">
        <f>IFERROR(VLOOKUP(DATE($K$1,$K$2,PBB$4),Table1[],(MATCH(Calendar!$A19,DB!$1:$1,0)),FALSE),"")</f>
        <v/>
      </c>
      <c r="PBC19" s="28" t="str">
        <f>IFERROR(VLOOKUP(DATE($K$1,$K$2,PBC$4),Table1[],(MATCH(Calendar!$A19,DB!$1:$1,0)),FALSE),"")</f>
        <v/>
      </c>
      <c r="PBD19" s="28" t="str">
        <f>IFERROR(VLOOKUP(DATE($K$1,$K$2,PBD$4),Table1[],(MATCH(Calendar!$A19,DB!$1:$1,0)),FALSE),"")</f>
        <v/>
      </c>
      <c r="PBE19" s="28" t="str">
        <f>IFERROR(VLOOKUP(DATE($K$1,$K$2,PBE$4),Table1[],(MATCH(Calendar!$A19,DB!$1:$1,0)),FALSE),"")</f>
        <v/>
      </c>
      <c r="PBF19" s="28" t="str">
        <f>IFERROR(VLOOKUP(DATE($K$1,$K$2,PBF$4),Table1[],(MATCH(Calendar!$A19,DB!$1:$1,0)),FALSE),"")</f>
        <v/>
      </c>
      <c r="PBG19" s="28" t="str">
        <f>IFERROR(VLOOKUP(DATE($K$1,$K$2,PBG$4),Table1[],(MATCH(Calendar!$A19,DB!$1:$1,0)),FALSE),"")</f>
        <v/>
      </c>
      <c r="PBH19" s="28" t="str">
        <f>IFERROR(VLOOKUP(DATE($K$1,$K$2,PBH$4),Table1[],(MATCH(Calendar!$A19,DB!$1:$1,0)),FALSE),"")</f>
        <v/>
      </c>
      <c r="PBI19" s="28" t="str">
        <f>IFERROR(VLOOKUP(DATE($K$1,$K$2,PBI$4),Table1[],(MATCH(Calendar!$A19,DB!$1:$1,0)),FALSE),"")</f>
        <v/>
      </c>
      <c r="PBJ19" s="28" t="str">
        <f>IFERROR(VLOOKUP(DATE($K$1,$K$2,PBJ$4),Table1[],(MATCH(Calendar!$A19,DB!$1:$1,0)),FALSE),"")</f>
        <v/>
      </c>
      <c r="PBK19" s="28" t="str">
        <f>IFERROR(VLOOKUP(DATE($K$1,$K$2,PBK$4),Table1[],(MATCH(Calendar!$A19,DB!$1:$1,0)),FALSE),"")</f>
        <v/>
      </c>
      <c r="PBL19" s="28" t="str">
        <f>IFERROR(VLOOKUP(DATE($K$1,$K$2,PBL$4),Table1[],(MATCH(Calendar!$A19,DB!$1:$1,0)),FALSE),"")</f>
        <v/>
      </c>
      <c r="PBM19" s="28" t="str">
        <f>IFERROR(VLOOKUP(DATE($K$1,$K$2,PBM$4),Table1[],(MATCH(Calendar!$A19,DB!$1:$1,0)),FALSE),"")</f>
        <v/>
      </c>
      <c r="PBN19" s="28" t="str">
        <f>IFERROR(VLOOKUP(DATE($K$1,$K$2,PBN$4),Table1[],(MATCH(Calendar!$A19,DB!$1:$1,0)),FALSE),"")</f>
        <v/>
      </c>
      <c r="PBO19" s="28" t="str">
        <f>IFERROR(VLOOKUP(DATE($K$1,$K$2,PBO$4),Table1[],(MATCH(Calendar!$A19,DB!$1:$1,0)),FALSE),"")</f>
        <v/>
      </c>
      <c r="PBP19" s="28" t="str">
        <f>IFERROR(VLOOKUP(DATE($K$1,$K$2,PBP$4),Table1[],(MATCH(Calendar!$A19,DB!$1:$1,0)),FALSE),"")</f>
        <v/>
      </c>
      <c r="PBQ19" s="28" t="str">
        <f>IFERROR(VLOOKUP(DATE($K$1,$K$2,PBQ$4),Table1[],(MATCH(Calendar!$A19,DB!$1:$1,0)),FALSE),"")</f>
        <v/>
      </c>
      <c r="PBR19" s="28" t="str">
        <f>IFERROR(VLOOKUP(DATE($K$1,$K$2,PBR$4),Table1[],(MATCH(Calendar!$A19,DB!$1:$1,0)),FALSE),"")</f>
        <v/>
      </c>
      <c r="PBS19" s="28" t="str">
        <f>IFERROR(VLOOKUP(DATE($K$1,$K$2,PBS$4),Table1[],(MATCH(Calendar!$A19,DB!$1:$1,0)),FALSE),"")</f>
        <v/>
      </c>
      <c r="PBT19" s="28" t="str">
        <f>IFERROR(VLOOKUP(DATE($K$1,$K$2,PBT$4),Table1[],(MATCH(Calendar!$A19,DB!$1:$1,0)),FALSE),"")</f>
        <v/>
      </c>
      <c r="PBU19" s="28" t="str">
        <f>IFERROR(VLOOKUP(DATE($K$1,$K$2,PBU$4),Table1[],(MATCH(Calendar!$A19,DB!$1:$1,0)),FALSE),"")</f>
        <v/>
      </c>
      <c r="PBV19" s="28" t="str">
        <f>IFERROR(VLOOKUP(DATE($K$1,$K$2,PBV$4),Table1[],(MATCH(Calendar!$A19,DB!$1:$1,0)),FALSE),"")</f>
        <v/>
      </c>
      <c r="PBW19" s="28" t="str">
        <f>IFERROR(VLOOKUP(DATE($K$1,$K$2,PBW$4),Table1[],(MATCH(Calendar!$A19,DB!$1:$1,0)),FALSE),"")</f>
        <v/>
      </c>
      <c r="PBX19" s="28" t="str">
        <f>IFERROR(VLOOKUP(DATE($K$1,$K$2,PBX$4),Table1[],(MATCH(Calendar!$A19,DB!$1:$1,0)),FALSE),"")</f>
        <v/>
      </c>
      <c r="PBY19" s="28" t="str">
        <f>IFERROR(VLOOKUP(DATE($K$1,$K$2,PBY$4),Table1[],(MATCH(Calendar!$A19,DB!$1:$1,0)),FALSE),"")</f>
        <v/>
      </c>
      <c r="PBZ19" s="28" t="str">
        <f>IFERROR(VLOOKUP(DATE($K$1,$K$2,PBZ$4),Table1[],(MATCH(Calendar!$A19,DB!$1:$1,0)),FALSE),"")</f>
        <v/>
      </c>
      <c r="PCA19" s="28" t="str">
        <f>IFERROR(VLOOKUP(DATE($K$1,$K$2,PCA$4),Table1[],(MATCH(Calendar!$A19,DB!$1:$1,0)),FALSE),"")</f>
        <v/>
      </c>
      <c r="PCB19" s="28" t="str">
        <f>IFERROR(VLOOKUP(DATE($K$1,$K$2,PCB$4),Table1[],(MATCH(Calendar!$A19,DB!$1:$1,0)),FALSE),"")</f>
        <v/>
      </c>
      <c r="PCC19" s="28" t="str">
        <f>IFERROR(VLOOKUP(DATE($K$1,$K$2,PCC$4),Table1[],(MATCH(Calendar!$A19,DB!$1:$1,0)),FALSE),"")</f>
        <v/>
      </c>
      <c r="PCD19" s="28" t="str">
        <f>IFERROR(VLOOKUP(DATE($K$1,$K$2,PCD$4),Table1[],(MATCH(Calendar!$A19,DB!$1:$1,0)),FALSE),"")</f>
        <v/>
      </c>
      <c r="PCE19" s="28" t="str">
        <f>IFERROR(VLOOKUP(DATE($K$1,$K$2,PCE$4),Table1[],(MATCH(Calendar!$A19,DB!$1:$1,0)),FALSE),"")</f>
        <v/>
      </c>
      <c r="PCF19" s="28" t="str">
        <f>IFERROR(VLOOKUP(DATE($K$1,$K$2,PCF$4),Table1[],(MATCH(Calendar!$A19,DB!$1:$1,0)),FALSE),"")</f>
        <v/>
      </c>
      <c r="PCG19" s="28" t="str">
        <f>IFERROR(VLOOKUP(DATE($K$1,$K$2,PCG$4),Table1[],(MATCH(Calendar!$A19,DB!$1:$1,0)),FALSE),"")</f>
        <v/>
      </c>
      <c r="PCH19" s="28" t="str">
        <f>IFERROR(VLOOKUP(DATE($K$1,$K$2,PCH$4),Table1[],(MATCH(Calendar!$A19,DB!$1:$1,0)),FALSE),"")</f>
        <v/>
      </c>
      <c r="PCI19" s="28" t="str">
        <f>IFERROR(VLOOKUP(DATE($K$1,$K$2,PCI$4),Table1[],(MATCH(Calendar!$A19,DB!$1:$1,0)),FALSE),"")</f>
        <v/>
      </c>
      <c r="PCJ19" s="28" t="str">
        <f>IFERROR(VLOOKUP(DATE($K$1,$K$2,PCJ$4),Table1[],(MATCH(Calendar!$A19,DB!$1:$1,0)),FALSE),"")</f>
        <v/>
      </c>
      <c r="PCK19" s="28" t="str">
        <f>IFERROR(VLOOKUP(DATE($K$1,$K$2,PCK$4),Table1[],(MATCH(Calendar!$A19,DB!$1:$1,0)),FALSE),"")</f>
        <v/>
      </c>
      <c r="PCL19" s="28" t="str">
        <f>IFERROR(VLOOKUP(DATE($K$1,$K$2,PCL$4),Table1[],(MATCH(Calendar!$A19,DB!$1:$1,0)),FALSE),"")</f>
        <v/>
      </c>
      <c r="PCM19" s="28" t="str">
        <f>IFERROR(VLOOKUP(DATE($K$1,$K$2,PCM$4),Table1[],(MATCH(Calendar!$A19,DB!$1:$1,0)),FALSE),"")</f>
        <v/>
      </c>
      <c r="PCN19" s="28" t="str">
        <f>IFERROR(VLOOKUP(DATE($K$1,$K$2,PCN$4),Table1[],(MATCH(Calendar!$A19,DB!$1:$1,0)),FALSE),"")</f>
        <v/>
      </c>
      <c r="PCO19" s="28" t="str">
        <f>IFERROR(VLOOKUP(DATE($K$1,$K$2,PCO$4),Table1[],(MATCH(Calendar!$A19,DB!$1:$1,0)),FALSE),"")</f>
        <v/>
      </c>
      <c r="PCP19" s="28" t="str">
        <f>IFERROR(VLOOKUP(DATE($K$1,$K$2,PCP$4),Table1[],(MATCH(Calendar!$A19,DB!$1:$1,0)),FALSE),"")</f>
        <v/>
      </c>
      <c r="PCQ19" s="28" t="str">
        <f>IFERROR(VLOOKUP(DATE($K$1,$K$2,PCQ$4),Table1[],(MATCH(Calendar!$A19,DB!$1:$1,0)),FALSE),"")</f>
        <v/>
      </c>
      <c r="PCR19" s="28" t="str">
        <f>IFERROR(VLOOKUP(DATE($K$1,$K$2,PCR$4),Table1[],(MATCH(Calendar!$A19,DB!$1:$1,0)),FALSE),"")</f>
        <v/>
      </c>
      <c r="PCS19" s="28" t="str">
        <f>IFERROR(VLOOKUP(DATE($K$1,$K$2,PCS$4),Table1[],(MATCH(Calendar!$A19,DB!$1:$1,0)),FALSE),"")</f>
        <v/>
      </c>
      <c r="PCT19" s="28" t="str">
        <f>IFERROR(VLOOKUP(DATE($K$1,$K$2,PCT$4),Table1[],(MATCH(Calendar!$A19,DB!$1:$1,0)),FALSE),"")</f>
        <v/>
      </c>
      <c r="PCU19" s="28" t="str">
        <f>IFERROR(VLOOKUP(DATE($K$1,$K$2,PCU$4),Table1[],(MATCH(Calendar!$A19,DB!$1:$1,0)),FALSE),"")</f>
        <v/>
      </c>
      <c r="PCV19" s="28" t="str">
        <f>IFERROR(VLOOKUP(DATE($K$1,$K$2,PCV$4),Table1[],(MATCH(Calendar!$A19,DB!$1:$1,0)),FALSE),"")</f>
        <v/>
      </c>
      <c r="PCW19" s="28" t="str">
        <f>IFERROR(VLOOKUP(DATE($K$1,$K$2,PCW$4),Table1[],(MATCH(Calendar!$A19,DB!$1:$1,0)),FALSE),"")</f>
        <v/>
      </c>
      <c r="PCX19" s="28" t="str">
        <f>IFERROR(VLOOKUP(DATE($K$1,$K$2,PCX$4),Table1[],(MATCH(Calendar!$A19,DB!$1:$1,0)),FALSE),"")</f>
        <v/>
      </c>
      <c r="PCY19" s="28" t="str">
        <f>IFERROR(VLOOKUP(DATE($K$1,$K$2,PCY$4),Table1[],(MATCH(Calendar!$A19,DB!$1:$1,0)),FALSE),"")</f>
        <v/>
      </c>
      <c r="PCZ19" s="28" t="str">
        <f>IFERROR(VLOOKUP(DATE($K$1,$K$2,PCZ$4),Table1[],(MATCH(Calendar!$A19,DB!$1:$1,0)),FALSE),"")</f>
        <v/>
      </c>
      <c r="PDA19" s="28" t="str">
        <f>IFERROR(VLOOKUP(DATE($K$1,$K$2,PDA$4),Table1[],(MATCH(Calendar!$A19,DB!$1:$1,0)),FALSE),"")</f>
        <v/>
      </c>
      <c r="PDB19" s="28" t="str">
        <f>IFERROR(VLOOKUP(DATE($K$1,$K$2,PDB$4),Table1[],(MATCH(Calendar!$A19,DB!$1:$1,0)),FALSE),"")</f>
        <v/>
      </c>
      <c r="PDC19" s="28" t="str">
        <f>IFERROR(VLOOKUP(DATE($K$1,$K$2,PDC$4),Table1[],(MATCH(Calendar!$A19,DB!$1:$1,0)),FALSE),"")</f>
        <v/>
      </c>
      <c r="PDD19" s="28" t="str">
        <f>IFERROR(VLOOKUP(DATE($K$1,$K$2,PDD$4),Table1[],(MATCH(Calendar!$A19,DB!$1:$1,0)),FALSE),"")</f>
        <v/>
      </c>
      <c r="PDE19" s="28" t="str">
        <f>IFERROR(VLOOKUP(DATE($K$1,$K$2,PDE$4),Table1[],(MATCH(Calendar!$A19,DB!$1:$1,0)),FALSE),"")</f>
        <v/>
      </c>
      <c r="PDF19" s="28" t="str">
        <f>IFERROR(VLOOKUP(DATE($K$1,$K$2,PDF$4),Table1[],(MATCH(Calendar!$A19,DB!$1:$1,0)),FALSE),"")</f>
        <v/>
      </c>
      <c r="PDG19" s="28" t="str">
        <f>IFERROR(VLOOKUP(DATE($K$1,$K$2,PDG$4),Table1[],(MATCH(Calendar!$A19,DB!$1:$1,0)),FALSE),"")</f>
        <v/>
      </c>
      <c r="PDH19" s="28" t="str">
        <f>IFERROR(VLOOKUP(DATE($K$1,$K$2,PDH$4),Table1[],(MATCH(Calendar!$A19,DB!$1:$1,0)),FALSE),"")</f>
        <v/>
      </c>
      <c r="PDI19" s="28" t="str">
        <f>IFERROR(VLOOKUP(DATE($K$1,$K$2,PDI$4),Table1[],(MATCH(Calendar!$A19,DB!$1:$1,0)),FALSE),"")</f>
        <v/>
      </c>
      <c r="PDJ19" s="28" t="str">
        <f>IFERROR(VLOOKUP(DATE($K$1,$K$2,PDJ$4),Table1[],(MATCH(Calendar!$A19,DB!$1:$1,0)),FALSE),"")</f>
        <v/>
      </c>
      <c r="PDK19" s="28" t="str">
        <f>IFERROR(VLOOKUP(DATE($K$1,$K$2,PDK$4),Table1[],(MATCH(Calendar!$A19,DB!$1:$1,0)),FALSE),"")</f>
        <v/>
      </c>
      <c r="PDL19" s="28" t="str">
        <f>IFERROR(VLOOKUP(DATE($K$1,$K$2,PDL$4),Table1[],(MATCH(Calendar!$A19,DB!$1:$1,0)),FALSE),"")</f>
        <v/>
      </c>
      <c r="PDM19" s="28" t="str">
        <f>IFERROR(VLOOKUP(DATE($K$1,$K$2,PDM$4),Table1[],(MATCH(Calendar!$A19,DB!$1:$1,0)),FALSE),"")</f>
        <v/>
      </c>
      <c r="PDN19" s="28" t="str">
        <f>IFERROR(VLOOKUP(DATE($K$1,$K$2,PDN$4),Table1[],(MATCH(Calendar!$A19,DB!$1:$1,0)),FALSE),"")</f>
        <v/>
      </c>
      <c r="PDO19" s="28" t="str">
        <f>IFERROR(VLOOKUP(DATE($K$1,$K$2,PDO$4),Table1[],(MATCH(Calendar!$A19,DB!$1:$1,0)),FALSE),"")</f>
        <v/>
      </c>
      <c r="PDP19" s="28" t="str">
        <f>IFERROR(VLOOKUP(DATE($K$1,$K$2,PDP$4),Table1[],(MATCH(Calendar!$A19,DB!$1:$1,0)),FALSE),"")</f>
        <v/>
      </c>
      <c r="PDQ19" s="28" t="str">
        <f>IFERROR(VLOOKUP(DATE($K$1,$K$2,PDQ$4),Table1[],(MATCH(Calendar!$A19,DB!$1:$1,0)),FALSE),"")</f>
        <v/>
      </c>
      <c r="PDR19" s="28" t="str">
        <f>IFERROR(VLOOKUP(DATE($K$1,$K$2,PDR$4),Table1[],(MATCH(Calendar!$A19,DB!$1:$1,0)),FALSE),"")</f>
        <v/>
      </c>
      <c r="PDS19" s="28" t="str">
        <f>IFERROR(VLOOKUP(DATE($K$1,$K$2,PDS$4),Table1[],(MATCH(Calendar!$A19,DB!$1:$1,0)),FALSE),"")</f>
        <v/>
      </c>
      <c r="PDT19" s="28" t="str">
        <f>IFERROR(VLOOKUP(DATE($K$1,$K$2,PDT$4),Table1[],(MATCH(Calendar!$A19,DB!$1:$1,0)),FALSE),"")</f>
        <v/>
      </c>
      <c r="PDU19" s="28" t="str">
        <f>IFERROR(VLOOKUP(DATE($K$1,$K$2,PDU$4),Table1[],(MATCH(Calendar!$A19,DB!$1:$1,0)),FALSE),"")</f>
        <v/>
      </c>
      <c r="PDV19" s="28" t="str">
        <f>IFERROR(VLOOKUP(DATE($K$1,$K$2,PDV$4),Table1[],(MATCH(Calendar!$A19,DB!$1:$1,0)),FALSE),"")</f>
        <v/>
      </c>
      <c r="PDW19" s="28" t="str">
        <f>IFERROR(VLOOKUP(DATE($K$1,$K$2,PDW$4),Table1[],(MATCH(Calendar!$A19,DB!$1:$1,0)),FALSE),"")</f>
        <v/>
      </c>
      <c r="PDX19" s="28" t="str">
        <f>IFERROR(VLOOKUP(DATE($K$1,$K$2,PDX$4),Table1[],(MATCH(Calendar!$A19,DB!$1:$1,0)),FALSE),"")</f>
        <v/>
      </c>
      <c r="PDY19" s="28" t="str">
        <f>IFERROR(VLOOKUP(DATE($K$1,$K$2,PDY$4),Table1[],(MATCH(Calendar!$A19,DB!$1:$1,0)),FALSE),"")</f>
        <v/>
      </c>
      <c r="PDZ19" s="28" t="str">
        <f>IFERROR(VLOOKUP(DATE($K$1,$K$2,PDZ$4),Table1[],(MATCH(Calendar!$A19,DB!$1:$1,0)),FALSE),"")</f>
        <v/>
      </c>
      <c r="PEA19" s="28" t="str">
        <f>IFERROR(VLOOKUP(DATE($K$1,$K$2,PEA$4),Table1[],(MATCH(Calendar!$A19,DB!$1:$1,0)),FALSE),"")</f>
        <v/>
      </c>
      <c r="PEB19" s="28" t="str">
        <f>IFERROR(VLOOKUP(DATE($K$1,$K$2,PEB$4),Table1[],(MATCH(Calendar!$A19,DB!$1:$1,0)),FALSE),"")</f>
        <v/>
      </c>
      <c r="PEC19" s="28" t="str">
        <f>IFERROR(VLOOKUP(DATE($K$1,$K$2,PEC$4),Table1[],(MATCH(Calendar!$A19,DB!$1:$1,0)),FALSE),"")</f>
        <v/>
      </c>
      <c r="PED19" s="28" t="str">
        <f>IFERROR(VLOOKUP(DATE($K$1,$K$2,PED$4),Table1[],(MATCH(Calendar!$A19,DB!$1:$1,0)),FALSE),"")</f>
        <v/>
      </c>
      <c r="PEE19" s="28" t="str">
        <f>IFERROR(VLOOKUP(DATE($K$1,$K$2,PEE$4),Table1[],(MATCH(Calendar!$A19,DB!$1:$1,0)),FALSE),"")</f>
        <v/>
      </c>
      <c r="PEF19" s="28" t="str">
        <f>IFERROR(VLOOKUP(DATE($K$1,$K$2,PEF$4),Table1[],(MATCH(Calendar!$A19,DB!$1:$1,0)),FALSE),"")</f>
        <v/>
      </c>
      <c r="PEG19" s="28" t="str">
        <f>IFERROR(VLOOKUP(DATE($K$1,$K$2,PEG$4),Table1[],(MATCH(Calendar!$A19,DB!$1:$1,0)),FALSE),"")</f>
        <v/>
      </c>
      <c r="PEH19" s="28" t="str">
        <f>IFERROR(VLOOKUP(DATE($K$1,$K$2,PEH$4),Table1[],(MATCH(Calendar!$A19,DB!$1:$1,0)),FALSE),"")</f>
        <v/>
      </c>
      <c r="PEI19" s="28" t="str">
        <f>IFERROR(VLOOKUP(DATE($K$1,$K$2,PEI$4),Table1[],(MATCH(Calendar!$A19,DB!$1:$1,0)),FALSE),"")</f>
        <v/>
      </c>
      <c r="PEJ19" s="28" t="str">
        <f>IFERROR(VLOOKUP(DATE($K$1,$K$2,PEJ$4),Table1[],(MATCH(Calendar!$A19,DB!$1:$1,0)),FALSE),"")</f>
        <v/>
      </c>
      <c r="PEK19" s="28" t="str">
        <f>IFERROR(VLOOKUP(DATE($K$1,$K$2,PEK$4),Table1[],(MATCH(Calendar!$A19,DB!$1:$1,0)),FALSE),"")</f>
        <v/>
      </c>
      <c r="PEL19" s="28" t="str">
        <f>IFERROR(VLOOKUP(DATE($K$1,$K$2,PEL$4),Table1[],(MATCH(Calendar!$A19,DB!$1:$1,0)),FALSE),"")</f>
        <v/>
      </c>
      <c r="PEM19" s="28" t="str">
        <f>IFERROR(VLOOKUP(DATE($K$1,$K$2,PEM$4),Table1[],(MATCH(Calendar!$A19,DB!$1:$1,0)),FALSE),"")</f>
        <v/>
      </c>
      <c r="PEN19" s="28" t="str">
        <f>IFERROR(VLOOKUP(DATE($K$1,$K$2,PEN$4),Table1[],(MATCH(Calendar!$A19,DB!$1:$1,0)),FALSE),"")</f>
        <v/>
      </c>
      <c r="PEO19" s="28" t="str">
        <f>IFERROR(VLOOKUP(DATE($K$1,$K$2,PEO$4),Table1[],(MATCH(Calendar!$A19,DB!$1:$1,0)),FALSE),"")</f>
        <v/>
      </c>
      <c r="PEP19" s="28" t="str">
        <f>IFERROR(VLOOKUP(DATE($K$1,$K$2,PEP$4),Table1[],(MATCH(Calendar!$A19,DB!$1:$1,0)),FALSE),"")</f>
        <v/>
      </c>
      <c r="PEQ19" s="28" t="str">
        <f>IFERROR(VLOOKUP(DATE($K$1,$K$2,PEQ$4),Table1[],(MATCH(Calendar!$A19,DB!$1:$1,0)),FALSE),"")</f>
        <v/>
      </c>
      <c r="PER19" s="28" t="str">
        <f>IFERROR(VLOOKUP(DATE($K$1,$K$2,PER$4),Table1[],(MATCH(Calendar!$A19,DB!$1:$1,0)),FALSE),"")</f>
        <v/>
      </c>
      <c r="PES19" s="28" t="str">
        <f>IFERROR(VLOOKUP(DATE($K$1,$K$2,PES$4),Table1[],(MATCH(Calendar!$A19,DB!$1:$1,0)),FALSE),"")</f>
        <v/>
      </c>
      <c r="PET19" s="28" t="str">
        <f>IFERROR(VLOOKUP(DATE($K$1,$K$2,PET$4),Table1[],(MATCH(Calendar!$A19,DB!$1:$1,0)),FALSE),"")</f>
        <v/>
      </c>
      <c r="PEU19" s="28" t="str">
        <f>IFERROR(VLOOKUP(DATE($K$1,$K$2,PEU$4),Table1[],(MATCH(Calendar!$A19,DB!$1:$1,0)),FALSE),"")</f>
        <v/>
      </c>
      <c r="PEV19" s="28" t="str">
        <f>IFERROR(VLOOKUP(DATE($K$1,$K$2,PEV$4),Table1[],(MATCH(Calendar!$A19,DB!$1:$1,0)),FALSE),"")</f>
        <v/>
      </c>
      <c r="PEW19" s="28" t="str">
        <f>IFERROR(VLOOKUP(DATE($K$1,$K$2,PEW$4),Table1[],(MATCH(Calendar!$A19,DB!$1:$1,0)),FALSE),"")</f>
        <v/>
      </c>
      <c r="PEX19" s="28" t="str">
        <f>IFERROR(VLOOKUP(DATE($K$1,$K$2,PEX$4),Table1[],(MATCH(Calendar!$A19,DB!$1:$1,0)),FALSE),"")</f>
        <v/>
      </c>
      <c r="PEY19" s="28" t="str">
        <f>IFERROR(VLOOKUP(DATE($K$1,$K$2,PEY$4),Table1[],(MATCH(Calendar!$A19,DB!$1:$1,0)),FALSE),"")</f>
        <v/>
      </c>
      <c r="PEZ19" s="28" t="str">
        <f>IFERROR(VLOOKUP(DATE($K$1,$K$2,PEZ$4),Table1[],(MATCH(Calendar!$A19,DB!$1:$1,0)),FALSE),"")</f>
        <v/>
      </c>
      <c r="PFA19" s="28" t="str">
        <f>IFERROR(VLOOKUP(DATE($K$1,$K$2,PFA$4),Table1[],(MATCH(Calendar!$A19,DB!$1:$1,0)),FALSE),"")</f>
        <v/>
      </c>
      <c r="PFB19" s="28" t="str">
        <f>IFERROR(VLOOKUP(DATE($K$1,$K$2,PFB$4),Table1[],(MATCH(Calendar!$A19,DB!$1:$1,0)),FALSE),"")</f>
        <v/>
      </c>
      <c r="PFC19" s="28" t="str">
        <f>IFERROR(VLOOKUP(DATE($K$1,$K$2,PFC$4),Table1[],(MATCH(Calendar!$A19,DB!$1:$1,0)),FALSE),"")</f>
        <v/>
      </c>
      <c r="PFD19" s="28" t="str">
        <f>IFERROR(VLOOKUP(DATE($K$1,$K$2,PFD$4),Table1[],(MATCH(Calendar!$A19,DB!$1:$1,0)),FALSE),"")</f>
        <v/>
      </c>
      <c r="PFE19" s="28" t="str">
        <f>IFERROR(VLOOKUP(DATE($K$1,$K$2,PFE$4),Table1[],(MATCH(Calendar!$A19,DB!$1:$1,0)),FALSE),"")</f>
        <v/>
      </c>
      <c r="PFF19" s="28" t="str">
        <f>IFERROR(VLOOKUP(DATE($K$1,$K$2,PFF$4),Table1[],(MATCH(Calendar!$A19,DB!$1:$1,0)),FALSE),"")</f>
        <v/>
      </c>
      <c r="PFG19" s="28" t="str">
        <f>IFERROR(VLOOKUP(DATE($K$1,$K$2,PFG$4),Table1[],(MATCH(Calendar!$A19,DB!$1:$1,0)),FALSE),"")</f>
        <v/>
      </c>
      <c r="PFH19" s="28" t="str">
        <f>IFERROR(VLOOKUP(DATE($K$1,$K$2,PFH$4),Table1[],(MATCH(Calendar!$A19,DB!$1:$1,0)),FALSE),"")</f>
        <v/>
      </c>
      <c r="PFI19" s="28" t="str">
        <f>IFERROR(VLOOKUP(DATE($K$1,$K$2,PFI$4),Table1[],(MATCH(Calendar!$A19,DB!$1:$1,0)),FALSE),"")</f>
        <v/>
      </c>
      <c r="PFJ19" s="28" t="str">
        <f>IFERROR(VLOOKUP(DATE($K$1,$K$2,PFJ$4),Table1[],(MATCH(Calendar!$A19,DB!$1:$1,0)),FALSE),"")</f>
        <v/>
      </c>
      <c r="PFK19" s="28" t="str">
        <f>IFERROR(VLOOKUP(DATE($K$1,$K$2,PFK$4),Table1[],(MATCH(Calendar!$A19,DB!$1:$1,0)),FALSE),"")</f>
        <v/>
      </c>
      <c r="PFL19" s="28" t="str">
        <f>IFERROR(VLOOKUP(DATE($K$1,$K$2,PFL$4),Table1[],(MATCH(Calendar!$A19,DB!$1:$1,0)),FALSE),"")</f>
        <v/>
      </c>
      <c r="PFM19" s="28" t="str">
        <f>IFERROR(VLOOKUP(DATE($K$1,$K$2,PFM$4),Table1[],(MATCH(Calendar!$A19,DB!$1:$1,0)),FALSE),"")</f>
        <v/>
      </c>
      <c r="PFN19" s="28" t="str">
        <f>IFERROR(VLOOKUP(DATE($K$1,$K$2,PFN$4),Table1[],(MATCH(Calendar!$A19,DB!$1:$1,0)),FALSE),"")</f>
        <v/>
      </c>
      <c r="PFO19" s="28" t="str">
        <f>IFERROR(VLOOKUP(DATE($K$1,$K$2,PFO$4),Table1[],(MATCH(Calendar!$A19,DB!$1:$1,0)),FALSE),"")</f>
        <v/>
      </c>
      <c r="PFP19" s="28" t="str">
        <f>IFERROR(VLOOKUP(DATE($K$1,$K$2,PFP$4),Table1[],(MATCH(Calendar!$A19,DB!$1:$1,0)),FALSE),"")</f>
        <v/>
      </c>
      <c r="PFQ19" s="28" t="str">
        <f>IFERROR(VLOOKUP(DATE($K$1,$K$2,PFQ$4),Table1[],(MATCH(Calendar!$A19,DB!$1:$1,0)),FALSE),"")</f>
        <v/>
      </c>
      <c r="PFR19" s="28" t="str">
        <f>IFERROR(VLOOKUP(DATE($K$1,$K$2,PFR$4),Table1[],(MATCH(Calendar!$A19,DB!$1:$1,0)),FALSE),"")</f>
        <v/>
      </c>
      <c r="PFS19" s="28" t="str">
        <f>IFERROR(VLOOKUP(DATE($K$1,$K$2,PFS$4),Table1[],(MATCH(Calendar!$A19,DB!$1:$1,0)),FALSE),"")</f>
        <v/>
      </c>
      <c r="PFT19" s="28" t="str">
        <f>IFERROR(VLOOKUP(DATE($K$1,$K$2,PFT$4),Table1[],(MATCH(Calendar!$A19,DB!$1:$1,0)),FALSE),"")</f>
        <v/>
      </c>
      <c r="PFU19" s="28" t="str">
        <f>IFERROR(VLOOKUP(DATE($K$1,$K$2,PFU$4),Table1[],(MATCH(Calendar!$A19,DB!$1:$1,0)),FALSE),"")</f>
        <v/>
      </c>
      <c r="PFV19" s="28" t="str">
        <f>IFERROR(VLOOKUP(DATE($K$1,$K$2,PFV$4),Table1[],(MATCH(Calendar!$A19,DB!$1:$1,0)),FALSE),"")</f>
        <v/>
      </c>
      <c r="PFW19" s="28" t="str">
        <f>IFERROR(VLOOKUP(DATE($K$1,$K$2,PFW$4),Table1[],(MATCH(Calendar!$A19,DB!$1:$1,0)),FALSE),"")</f>
        <v/>
      </c>
      <c r="PFX19" s="28" t="str">
        <f>IFERROR(VLOOKUP(DATE($K$1,$K$2,PFX$4),Table1[],(MATCH(Calendar!$A19,DB!$1:$1,0)),FALSE),"")</f>
        <v/>
      </c>
      <c r="PFY19" s="28" t="str">
        <f>IFERROR(VLOOKUP(DATE($K$1,$K$2,PFY$4),Table1[],(MATCH(Calendar!$A19,DB!$1:$1,0)),FALSE),"")</f>
        <v/>
      </c>
      <c r="PFZ19" s="28" t="str">
        <f>IFERROR(VLOOKUP(DATE($K$1,$K$2,PFZ$4),Table1[],(MATCH(Calendar!$A19,DB!$1:$1,0)),FALSE),"")</f>
        <v/>
      </c>
      <c r="PGA19" s="28" t="str">
        <f>IFERROR(VLOOKUP(DATE($K$1,$K$2,PGA$4),Table1[],(MATCH(Calendar!$A19,DB!$1:$1,0)),FALSE),"")</f>
        <v/>
      </c>
      <c r="PGB19" s="28" t="str">
        <f>IFERROR(VLOOKUP(DATE($K$1,$K$2,PGB$4),Table1[],(MATCH(Calendar!$A19,DB!$1:$1,0)),FALSE),"")</f>
        <v/>
      </c>
      <c r="PGC19" s="28" t="str">
        <f>IFERROR(VLOOKUP(DATE($K$1,$K$2,PGC$4),Table1[],(MATCH(Calendar!$A19,DB!$1:$1,0)),FALSE),"")</f>
        <v/>
      </c>
      <c r="PGD19" s="28" t="str">
        <f>IFERROR(VLOOKUP(DATE($K$1,$K$2,PGD$4),Table1[],(MATCH(Calendar!$A19,DB!$1:$1,0)),FALSE),"")</f>
        <v/>
      </c>
      <c r="PGE19" s="28" t="str">
        <f>IFERROR(VLOOKUP(DATE($K$1,$K$2,PGE$4),Table1[],(MATCH(Calendar!$A19,DB!$1:$1,0)),FALSE),"")</f>
        <v/>
      </c>
      <c r="PGF19" s="28" t="str">
        <f>IFERROR(VLOOKUP(DATE($K$1,$K$2,PGF$4),Table1[],(MATCH(Calendar!$A19,DB!$1:$1,0)),FALSE),"")</f>
        <v/>
      </c>
      <c r="PGG19" s="28" t="str">
        <f>IFERROR(VLOOKUP(DATE($K$1,$K$2,PGG$4),Table1[],(MATCH(Calendar!$A19,DB!$1:$1,0)),FALSE),"")</f>
        <v/>
      </c>
      <c r="PGH19" s="28" t="str">
        <f>IFERROR(VLOOKUP(DATE($K$1,$K$2,PGH$4),Table1[],(MATCH(Calendar!$A19,DB!$1:$1,0)),FALSE),"")</f>
        <v/>
      </c>
      <c r="PGI19" s="28" t="str">
        <f>IFERROR(VLOOKUP(DATE($K$1,$K$2,PGI$4),Table1[],(MATCH(Calendar!$A19,DB!$1:$1,0)),FALSE),"")</f>
        <v/>
      </c>
      <c r="PGJ19" s="28" t="str">
        <f>IFERROR(VLOOKUP(DATE($K$1,$K$2,PGJ$4),Table1[],(MATCH(Calendar!$A19,DB!$1:$1,0)),FALSE),"")</f>
        <v/>
      </c>
      <c r="PGK19" s="28" t="str">
        <f>IFERROR(VLOOKUP(DATE($K$1,$K$2,PGK$4),Table1[],(MATCH(Calendar!$A19,DB!$1:$1,0)),FALSE),"")</f>
        <v/>
      </c>
      <c r="PGL19" s="28" t="str">
        <f>IFERROR(VLOOKUP(DATE($K$1,$K$2,PGL$4),Table1[],(MATCH(Calendar!$A19,DB!$1:$1,0)),FALSE),"")</f>
        <v/>
      </c>
      <c r="PGM19" s="28" t="str">
        <f>IFERROR(VLOOKUP(DATE($K$1,$K$2,PGM$4),Table1[],(MATCH(Calendar!$A19,DB!$1:$1,0)),FALSE),"")</f>
        <v/>
      </c>
      <c r="PGN19" s="28" t="str">
        <f>IFERROR(VLOOKUP(DATE($K$1,$K$2,PGN$4),Table1[],(MATCH(Calendar!$A19,DB!$1:$1,0)),FALSE),"")</f>
        <v/>
      </c>
      <c r="PGO19" s="28" t="str">
        <f>IFERROR(VLOOKUP(DATE($K$1,$K$2,PGO$4),Table1[],(MATCH(Calendar!$A19,DB!$1:$1,0)),FALSE),"")</f>
        <v/>
      </c>
      <c r="PGP19" s="28" t="str">
        <f>IFERROR(VLOOKUP(DATE($K$1,$K$2,PGP$4),Table1[],(MATCH(Calendar!$A19,DB!$1:$1,0)),FALSE),"")</f>
        <v/>
      </c>
      <c r="PGQ19" s="28" t="str">
        <f>IFERROR(VLOOKUP(DATE($K$1,$K$2,PGQ$4),Table1[],(MATCH(Calendar!$A19,DB!$1:$1,0)),FALSE),"")</f>
        <v/>
      </c>
      <c r="PGR19" s="28" t="str">
        <f>IFERROR(VLOOKUP(DATE($K$1,$K$2,PGR$4),Table1[],(MATCH(Calendar!$A19,DB!$1:$1,0)),FALSE),"")</f>
        <v/>
      </c>
      <c r="PGS19" s="28" t="str">
        <f>IFERROR(VLOOKUP(DATE($K$1,$K$2,PGS$4),Table1[],(MATCH(Calendar!$A19,DB!$1:$1,0)),FALSE),"")</f>
        <v/>
      </c>
      <c r="PGT19" s="28" t="str">
        <f>IFERROR(VLOOKUP(DATE($K$1,$K$2,PGT$4),Table1[],(MATCH(Calendar!$A19,DB!$1:$1,0)),FALSE),"")</f>
        <v/>
      </c>
      <c r="PGU19" s="28" t="str">
        <f>IFERROR(VLOOKUP(DATE($K$1,$K$2,PGU$4),Table1[],(MATCH(Calendar!$A19,DB!$1:$1,0)),FALSE),"")</f>
        <v/>
      </c>
      <c r="PGV19" s="28" t="str">
        <f>IFERROR(VLOOKUP(DATE($K$1,$K$2,PGV$4),Table1[],(MATCH(Calendar!$A19,DB!$1:$1,0)),FALSE),"")</f>
        <v/>
      </c>
      <c r="PGW19" s="28" t="str">
        <f>IFERROR(VLOOKUP(DATE($K$1,$K$2,PGW$4),Table1[],(MATCH(Calendar!$A19,DB!$1:$1,0)),FALSE),"")</f>
        <v/>
      </c>
      <c r="PGX19" s="28" t="str">
        <f>IFERROR(VLOOKUP(DATE($K$1,$K$2,PGX$4),Table1[],(MATCH(Calendar!$A19,DB!$1:$1,0)),FALSE),"")</f>
        <v/>
      </c>
      <c r="PGY19" s="28" t="str">
        <f>IFERROR(VLOOKUP(DATE($K$1,$K$2,PGY$4),Table1[],(MATCH(Calendar!$A19,DB!$1:$1,0)),FALSE),"")</f>
        <v/>
      </c>
      <c r="PGZ19" s="28" t="str">
        <f>IFERROR(VLOOKUP(DATE($K$1,$K$2,PGZ$4),Table1[],(MATCH(Calendar!$A19,DB!$1:$1,0)),FALSE),"")</f>
        <v/>
      </c>
      <c r="PHA19" s="28" t="str">
        <f>IFERROR(VLOOKUP(DATE($K$1,$K$2,PHA$4),Table1[],(MATCH(Calendar!$A19,DB!$1:$1,0)),FALSE),"")</f>
        <v/>
      </c>
      <c r="PHB19" s="28" t="str">
        <f>IFERROR(VLOOKUP(DATE($K$1,$K$2,PHB$4),Table1[],(MATCH(Calendar!$A19,DB!$1:$1,0)),FALSE),"")</f>
        <v/>
      </c>
      <c r="PHC19" s="28" t="str">
        <f>IFERROR(VLOOKUP(DATE($K$1,$K$2,PHC$4),Table1[],(MATCH(Calendar!$A19,DB!$1:$1,0)),FALSE),"")</f>
        <v/>
      </c>
      <c r="PHD19" s="28" t="str">
        <f>IFERROR(VLOOKUP(DATE($K$1,$K$2,PHD$4),Table1[],(MATCH(Calendar!$A19,DB!$1:$1,0)),FALSE),"")</f>
        <v/>
      </c>
      <c r="PHE19" s="28" t="str">
        <f>IFERROR(VLOOKUP(DATE($K$1,$K$2,PHE$4),Table1[],(MATCH(Calendar!$A19,DB!$1:$1,0)),FALSE),"")</f>
        <v/>
      </c>
      <c r="PHF19" s="28" t="str">
        <f>IFERROR(VLOOKUP(DATE($K$1,$K$2,PHF$4),Table1[],(MATCH(Calendar!$A19,DB!$1:$1,0)),FALSE),"")</f>
        <v/>
      </c>
      <c r="PHG19" s="28" t="str">
        <f>IFERROR(VLOOKUP(DATE($K$1,$K$2,PHG$4),Table1[],(MATCH(Calendar!$A19,DB!$1:$1,0)),FALSE),"")</f>
        <v/>
      </c>
      <c r="PHH19" s="28" t="str">
        <f>IFERROR(VLOOKUP(DATE($K$1,$K$2,PHH$4),Table1[],(MATCH(Calendar!$A19,DB!$1:$1,0)),FALSE),"")</f>
        <v/>
      </c>
      <c r="PHI19" s="28" t="str">
        <f>IFERROR(VLOOKUP(DATE($K$1,$K$2,PHI$4),Table1[],(MATCH(Calendar!$A19,DB!$1:$1,0)),FALSE),"")</f>
        <v/>
      </c>
      <c r="PHJ19" s="28" t="str">
        <f>IFERROR(VLOOKUP(DATE($K$1,$K$2,PHJ$4),Table1[],(MATCH(Calendar!$A19,DB!$1:$1,0)),FALSE),"")</f>
        <v/>
      </c>
      <c r="PHK19" s="28" t="str">
        <f>IFERROR(VLOOKUP(DATE($K$1,$K$2,PHK$4),Table1[],(MATCH(Calendar!$A19,DB!$1:$1,0)),FALSE),"")</f>
        <v/>
      </c>
      <c r="PHL19" s="28" t="str">
        <f>IFERROR(VLOOKUP(DATE($K$1,$K$2,PHL$4),Table1[],(MATCH(Calendar!$A19,DB!$1:$1,0)),FALSE),"")</f>
        <v/>
      </c>
      <c r="PHM19" s="28" t="str">
        <f>IFERROR(VLOOKUP(DATE($K$1,$K$2,PHM$4),Table1[],(MATCH(Calendar!$A19,DB!$1:$1,0)),FALSE),"")</f>
        <v/>
      </c>
      <c r="PHN19" s="28" t="str">
        <f>IFERROR(VLOOKUP(DATE($K$1,$K$2,PHN$4),Table1[],(MATCH(Calendar!$A19,DB!$1:$1,0)),FALSE),"")</f>
        <v/>
      </c>
      <c r="PHO19" s="28" t="str">
        <f>IFERROR(VLOOKUP(DATE($K$1,$K$2,PHO$4),Table1[],(MATCH(Calendar!$A19,DB!$1:$1,0)),FALSE),"")</f>
        <v/>
      </c>
      <c r="PHP19" s="28" t="str">
        <f>IFERROR(VLOOKUP(DATE($K$1,$K$2,PHP$4),Table1[],(MATCH(Calendar!$A19,DB!$1:$1,0)),FALSE),"")</f>
        <v/>
      </c>
      <c r="PHQ19" s="28" t="str">
        <f>IFERROR(VLOOKUP(DATE($K$1,$K$2,PHQ$4),Table1[],(MATCH(Calendar!$A19,DB!$1:$1,0)),FALSE),"")</f>
        <v/>
      </c>
      <c r="PHR19" s="28" t="str">
        <f>IFERROR(VLOOKUP(DATE($K$1,$K$2,PHR$4),Table1[],(MATCH(Calendar!$A19,DB!$1:$1,0)),FALSE),"")</f>
        <v/>
      </c>
      <c r="PHS19" s="28" t="str">
        <f>IFERROR(VLOOKUP(DATE($K$1,$K$2,PHS$4),Table1[],(MATCH(Calendar!$A19,DB!$1:$1,0)),FALSE),"")</f>
        <v/>
      </c>
      <c r="PHT19" s="28" t="str">
        <f>IFERROR(VLOOKUP(DATE($K$1,$K$2,PHT$4),Table1[],(MATCH(Calendar!$A19,DB!$1:$1,0)),FALSE),"")</f>
        <v/>
      </c>
      <c r="PHU19" s="28" t="str">
        <f>IFERROR(VLOOKUP(DATE($K$1,$K$2,PHU$4),Table1[],(MATCH(Calendar!$A19,DB!$1:$1,0)),FALSE),"")</f>
        <v/>
      </c>
      <c r="PHV19" s="28" t="str">
        <f>IFERROR(VLOOKUP(DATE($K$1,$K$2,PHV$4),Table1[],(MATCH(Calendar!$A19,DB!$1:$1,0)),FALSE),"")</f>
        <v/>
      </c>
      <c r="PHW19" s="28" t="str">
        <f>IFERROR(VLOOKUP(DATE($K$1,$K$2,PHW$4),Table1[],(MATCH(Calendar!$A19,DB!$1:$1,0)),FALSE),"")</f>
        <v/>
      </c>
      <c r="PHX19" s="28" t="str">
        <f>IFERROR(VLOOKUP(DATE($K$1,$K$2,PHX$4),Table1[],(MATCH(Calendar!$A19,DB!$1:$1,0)),FALSE),"")</f>
        <v/>
      </c>
      <c r="PHY19" s="28" t="str">
        <f>IFERROR(VLOOKUP(DATE($K$1,$K$2,PHY$4),Table1[],(MATCH(Calendar!$A19,DB!$1:$1,0)),FALSE),"")</f>
        <v/>
      </c>
      <c r="PHZ19" s="28" t="str">
        <f>IFERROR(VLOOKUP(DATE($K$1,$K$2,PHZ$4),Table1[],(MATCH(Calendar!$A19,DB!$1:$1,0)),FALSE),"")</f>
        <v/>
      </c>
      <c r="PIA19" s="28" t="str">
        <f>IFERROR(VLOOKUP(DATE($K$1,$K$2,PIA$4),Table1[],(MATCH(Calendar!$A19,DB!$1:$1,0)),FALSE),"")</f>
        <v/>
      </c>
      <c r="PIB19" s="28" t="str">
        <f>IFERROR(VLOOKUP(DATE($K$1,$K$2,PIB$4),Table1[],(MATCH(Calendar!$A19,DB!$1:$1,0)),FALSE),"")</f>
        <v/>
      </c>
      <c r="PIC19" s="28" t="str">
        <f>IFERROR(VLOOKUP(DATE($K$1,$K$2,PIC$4),Table1[],(MATCH(Calendar!$A19,DB!$1:$1,0)),FALSE),"")</f>
        <v/>
      </c>
      <c r="PID19" s="28" t="str">
        <f>IFERROR(VLOOKUP(DATE($K$1,$K$2,PID$4),Table1[],(MATCH(Calendar!$A19,DB!$1:$1,0)),FALSE),"")</f>
        <v/>
      </c>
      <c r="PIE19" s="28" t="str">
        <f>IFERROR(VLOOKUP(DATE($K$1,$K$2,PIE$4),Table1[],(MATCH(Calendar!$A19,DB!$1:$1,0)),FALSE),"")</f>
        <v/>
      </c>
      <c r="PIF19" s="28" t="str">
        <f>IFERROR(VLOOKUP(DATE($K$1,$K$2,PIF$4),Table1[],(MATCH(Calendar!$A19,DB!$1:$1,0)),FALSE),"")</f>
        <v/>
      </c>
      <c r="PIG19" s="28" t="str">
        <f>IFERROR(VLOOKUP(DATE($K$1,$K$2,PIG$4),Table1[],(MATCH(Calendar!$A19,DB!$1:$1,0)),FALSE),"")</f>
        <v/>
      </c>
      <c r="PIH19" s="28" t="str">
        <f>IFERROR(VLOOKUP(DATE($K$1,$K$2,PIH$4),Table1[],(MATCH(Calendar!$A19,DB!$1:$1,0)),FALSE),"")</f>
        <v/>
      </c>
      <c r="PII19" s="28" t="str">
        <f>IFERROR(VLOOKUP(DATE($K$1,$K$2,PII$4),Table1[],(MATCH(Calendar!$A19,DB!$1:$1,0)),FALSE),"")</f>
        <v/>
      </c>
      <c r="PIJ19" s="28" t="str">
        <f>IFERROR(VLOOKUP(DATE($K$1,$K$2,PIJ$4),Table1[],(MATCH(Calendar!$A19,DB!$1:$1,0)),FALSE),"")</f>
        <v/>
      </c>
      <c r="PIK19" s="28" t="str">
        <f>IFERROR(VLOOKUP(DATE($K$1,$K$2,PIK$4),Table1[],(MATCH(Calendar!$A19,DB!$1:$1,0)),FALSE),"")</f>
        <v/>
      </c>
      <c r="PIL19" s="28" t="str">
        <f>IFERROR(VLOOKUP(DATE($K$1,$K$2,PIL$4),Table1[],(MATCH(Calendar!$A19,DB!$1:$1,0)),FALSE),"")</f>
        <v/>
      </c>
      <c r="PIM19" s="28" t="str">
        <f>IFERROR(VLOOKUP(DATE($K$1,$K$2,PIM$4),Table1[],(MATCH(Calendar!$A19,DB!$1:$1,0)),FALSE),"")</f>
        <v/>
      </c>
      <c r="PIN19" s="28" t="str">
        <f>IFERROR(VLOOKUP(DATE($K$1,$K$2,PIN$4),Table1[],(MATCH(Calendar!$A19,DB!$1:$1,0)),FALSE),"")</f>
        <v/>
      </c>
      <c r="PIO19" s="28" t="str">
        <f>IFERROR(VLOOKUP(DATE($K$1,$K$2,PIO$4),Table1[],(MATCH(Calendar!$A19,DB!$1:$1,0)),FALSE),"")</f>
        <v/>
      </c>
      <c r="PIP19" s="28" t="str">
        <f>IFERROR(VLOOKUP(DATE($K$1,$K$2,PIP$4),Table1[],(MATCH(Calendar!$A19,DB!$1:$1,0)),FALSE),"")</f>
        <v/>
      </c>
      <c r="PIQ19" s="28" t="str">
        <f>IFERROR(VLOOKUP(DATE($K$1,$K$2,PIQ$4),Table1[],(MATCH(Calendar!$A19,DB!$1:$1,0)),FALSE),"")</f>
        <v/>
      </c>
      <c r="PIR19" s="28" t="str">
        <f>IFERROR(VLOOKUP(DATE($K$1,$K$2,PIR$4),Table1[],(MATCH(Calendar!$A19,DB!$1:$1,0)),FALSE),"")</f>
        <v/>
      </c>
      <c r="PIS19" s="28" t="str">
        <f>IFERROR(VLOOKUP(DATE($K$1,$K$2,PIS$4),Table1[],(MATCH(Calendar!$A19,DB!$1:$1,0)),FALSE),"")</f>
        <v/>
      </c>
      <c r="PIT19" s="28" t="str">
        <f>IFERROR(VLOOKUP(DATE($K$1,$K$2,PIT$4),Table1[],(MATCH(Calendar!$A19,DB!$1:$1,0)),FALSE),"")</f>
        <v/>
      </c>
      <c r="PIU19" s="28" t="str">
        <f>IFERROR(VLOOKUP(DATE($K$1,$K$2,PIU$4),Table1[],(MATCH(Calendar!$A19,DB!$1:$1,0)),FALSE),"")</f>
        <v/>
      </c>
      <c r="PIV19" s="28" t="str">
        <f>IFERROR(VLOOKUP(DATE($K$1,$K$2,PIV$4),Table1[],(MATCH(Calendar!$A19,DB!$1:$1,0)),FALSE),"")</f>
        <v/>
      </c>
      <c r="PIW19" s="28" t="str">
        <f>IFERROR(VLOOKUP(DATE($K$1,$K$2,PIW$4),Table1[],(MATCH(Calendar!$A19,DB!$1:$1,0)),FALSE),"")</f>
        <v/>
      </c>
      <c r="PIX19" s="28" t="str">
        <f>IFERROR(VLOOKUP(DATE($K$1,$K$2,PIX$4),Table1[],(MATCH(Calendar!$A19,DB!$1:$1,0)),FALSE),"")</f>
        <v/>
      </c>
      <c r="PIY19" s="28" t="str">
        <f>IFERROR(VLOOKUP(DATE($K$1,$K$2,PIY$4),Table1[],(MATCH(Calendar!$A19,DB!$1:$1,0)),FALSE),"")</f>
        <v/>
      </c>
      <c r="PIZ19" s="28" t="str">
        <f>IFERROR(VLOOKUP(DATE($K$1,$K$2,PIZ$4),Table1[],(MATCH(Calendar!$A19,DB!$1:$1,0)),FALSE),"")</f>
        <v/>
      </c>
      <c r="PJA19" s="28" t="str">
        <f>IFERROR(VLOOKUP(DATE($K$1,$K$2,PJA$4),Table1[],(MATCH(Calendar!$A19,DB!$1:$1,0)),FALSE),"")</f>
        <v/>
      </c>
      <c r="PJB19" s="28" t="str">
        <f>IFERROR(VLOOKUP(DATE($K$1,$K$2,PJB$4),Table1[],(MATCH(Calendar!$A19,DB!$1:$1,0)),FALSE),"")</f>
        <v/>
      </c>
      <c r="PJC19" s="28" t="str">
        <f>IFERROR(VLOOKUP(DATE($K$1,$K$2,PJC$4),Table1[],(MATCH(Calendar!$A19,DB!$1:$1,0)),FALSE),"")</f>
        <v/>
      </c>
      <c r="PJD19" s="28" t="str">
        <f>IFERROR(VLOOKUP(DATE($K$1,$K$2,PJD$4),Table1[],(MATCH(Calendar!$A19,DB!$1:$1,0)),FALSE),"")</f>
        <v/>
      </c>
      <c r="PJE19" s="28" t="str">
        <f>IFERROR(VLOOKUP(DATE($K$1,$K$2,PJE$4),Table1[],(MATCH(Calendar!$A19,DB!$1:$1,0)),FALSE),"")</f>
        <v/>
      </c>
      <c r="PJF19" s="28" t="str">
        <f>IFERROR(VLOOKUP(DATE($K$1,$K$2,PJF$4),Table1[],(MATCH(Calendar!$A19,DB!$1:$1,0)),FALSE),"")</f>
        <v/>
      </c>
      <c r="PJG19" s="28" t="str">
        <f>IFERROR(VLOOKUP(DATE($K$1,$K$2,PJG$4),Table1[],(MATCH(Calendar!$A19,DB!$1:$1,0)),FALSE),"")</f>
        <v/>
      </c>
      <c r="PJH19" s="28" t="str">
        <f>IFERROR(VLOOKUP(DATE($K$1,$K$2,PJH$4),Table1[],(MATCH(Calendar!$A19,DB!$1:$1,0)),FALSE),"")</f>
        <v/>
      </c>
      <c r="PJI19" s="28" t="str">
        <f>IFERROR(VLOOKUP(DATE($K$1,$K$2,PJI$4),Table1[],(MATCH(Calendar!$A19,DB!$1:$1,0)),FALSE),"")</f>
        <v/>
      </c>
      <c r="PJJ19" s="28" t="str">
        <f>IFERROR(VLOOKUP(DATE($K$1,$K$2,PJJ$4),Table1[],(MATCH(Calendar!$A19,DB!$1:$1,0)),FALSE),"")</f>
        <v/>
      </c>
      <c r="PJK19" s="28" t="str">
        <f>IFERROR(VLOOKUP(DATE($K$1,$K$2,PJK$4),Table1[],(MATCH(Calendar!$A19,DB!$1:$1,0)),FALSE),"")</f>
        <v/>
      </c>
      <c r="PJL19" s="28" t="str">
        <f>IFERROR(VLOOKUP(DATE($K$1,$K$2,PJL$4),Table1[],(MATCH(Calendar!$A19,DB!$1:$1,0)),FALSE),"")</f>
        <v/>
      </c>
      <c r="PJM19" s="28" t="str">
        <f>IFERROR(VLOOKUP(DATE($K$1,$K$2,PJM$4),Table1[],(MATCH(Calendar!$A19,DB!$1:$1,0)),FALSE),"")</f>
        <v/>
      </c>
      <c r="PJN19" s="28" t="str">
        <f>IFERROR(VLOOKUP(DATE($K$1,$K$2,PJN$4),Table1[],(MATCH(Calendar!$A19,DB!$1:$1,0)),FALSE),"")</f>
        <v/>
      </c>
      <c r="PJO19" s="28" t="str">
        <f>IFERROR(VLOOKUP(DATE($K$1,$K$2,PJO$4),Table1[],(MATCH(Calendar!$A19,DB!$1:$1,0)),FALSE),"")</f>
        <v/>
      </c>
      <c r="PJP19" s="28" t="str">
        <f>IFERROR(VLOOKUP(DATE($K$1,$K$2,PJP$4),Table1[],(MATCH(Calendar!$A19,DB!$1:$1,0)),FALSE),"")</f>
        <v/>
      </c>
      <c r="PJQ19" s="28" t="str">
        <f>IFERROR(VLOOKUP(DATE($K$1,$K$2,PJQ$4),Table1[],(MATCH(Calendar!$A19,DB!$1:$1,0)),FALSE),"")</f>
        <v/>
      </c>
      <c r="PJR19" s="28" t="str">
        <f>IFERROR(VLOOKUP(DATE($K$1,$K$2,PJR$4),Table1[],(MATCH(Calendar!$A19,DB!$1:$1,0)),FALSE),"")</f>
        <v/>
      </c>
      <c r="PJS19" s="28" t="str">
        <f>IFERROR(VLOOKUP(DATE($K$1,$K$2,PJS$4),Table1[],(MATCH(Calendar!$A19,DB!$1:$1,0)),FALSE),"")</f>
        <v/>
      </c>
      <c r="PJT19" s="28" t="str">
        <f>IFERROR(VLOOKUP(DATE($K$1,$K$2,PJT$4),Table1[],(MATCH(Calendar!$A19,DB!$1:$1,0)),FALSE),"")</f>
        <v/>
      </c>
      <c r="PJU19" s="28" t="str">
        <f>IFERROR(VLOOKUP(DATE($K$1,$K$2,PJU$4),Table1[],(MATCH(Calendar!$A19,DB!$1:$1,0)),FALSE),"")</f>
        <v/>
      </c>
      <c r="PJV19" s="28" t="str">
        <f>IFERROR(VLOOKUP(DATE($K$1,$K$2,PJV$4),Table1[],(MATCH(Calendar!$A19,DB!$1:$1,0)),FALSE),"")</f>
        <v/>
      </c>
      <c r="PJW19" s="28" t="str">
        <f>IFERROR(VLOOKUP(DATE($K$1,$K$2,PJW$4),Table1[],(MATCH(Calendar!$A19,DB!$1:$1,0)),FALSE),"")</f>
        <v/>
      </c>
      <c r="PJX19" s="28" t="str">
        <f>IFERROR(VLOOKUP(DATE($K$1,$K$2,PJX$4),Table1[],(MATCH(Calendar!$A19,DB!$1:$1,0)),FALSE),"")</f>
        <v/>
      </c>
      <c r="PJY19" s="28" t="str">
        <f>IFERROR(VLOOKUP(DATE($K$1,$K$2,PJY$4),Table1[],(MATCH(Calendar!$A19,DB!$1:$1,0)),FALSE),"")</f>
        <v/>
      </c>
      <c r="PJZ19" s="28" t="str">
        <f>IFERROR(VLOOKUP(DATE($K$1,$K$2,PJZ$4),Table1[],(MATCH(Calendar!$A19,DB!$1:$1,0)),FALSE),"")</f>
        <v/>
      </c>
      <c r="PKA19" s="28" t="str">
        <f>IFERROR(VLOOKUP(DATE($K$1,$K$2,PKA$4),Table1[],(MATCH(Calendar!$A19,DB!$1:$1,0)),FALSE),"")</f>
        <v/>
      </c>
      <c r="PKB19" s="28" t="str">
        <f>IFERROR(VLOOKUP(DATE($K$1,$K$2,PKB$4),Table1[],(MATCH(Calendar!$A19,DB!$1:$1,0)),FALSE),"")</f>
        <v/>
      </c>
      <c r="PKC19" s="28" t="str">
        <f>IFERROR(VLOOKUP(DATE($K$1,$K$2,PKC$4),Table1[],(MATCH(Calendar!$A19,DB!$1:$1,0)),FALSE),"")</f>
        <v/>
      </c>
      <c r="PKD19" s="28" t="str">
        <f>IFERROR(VLOOKUP(DATE($K$1,$K$2,PKD$4),Table1[],(MATCH(Calendar!$A19,DB!$1:$1,0)),FALSE),"")</f>
        <v/>
      </c>
      <c r="PKE19" s="28" t="str">
        <f>IFERROR(VLOOKUP(DATE($K$1,$K$2,PKE$4),Table1[],(MATCH(Calendar!$A19,DB!$1:$1,0)),FALSE),"")</f>
        <v/>
      </c>
      <c r="PKF19" s="28" t="str">
        <f>IFERROR(VLOOKUP(DATE($K$1,$K$2,PKF$4),Table1[],(MATCH(Calendar!$A19,DB!$1:$1,0)),FALSE),"")</f>
        <v/>
      </c>
      <c r="PKG19" s="28" t="str">
        <f>IFERROR(VLOOKUP(DATE($K$1,$K$2,PKG$4),Table1[],(MATCH(Calendar!$A19,DB!$1:$1,0)),FALSE),"")</f>
        <v/>
      </c>
      <c r="PKH19" s="28" t="str">
        <f>IFERROR(VLOOKUP(DATE($K$1,$K$2,PKH$4),Table1[],(MATCH(Calendar!$A19,DB!$1:$1,0)),FALSE),"")</f>
        <v/>
      </c>
      <c r="PKI19" s="28" t="str">
        <f>IFERROR(VLOOKUP(DATE($K$1,$K$2,PKI$4),Table1[],(MATCH(Calendar!$A19,DB!$1:$1,0)),FALSE),"")</f>
        <v/>
      </c>
      <c r="PKJ19" s="28" t="str">
        <f>IFERROR(VLOOKUP(DATE($K$1,$K$2,PKJ$4),Table1[],(MATCH(Calendar!$A19,DB!$1:$1,0)),FALSE),"")</f>
        <v/>
      </c>
      <c r="PKK19" s="28" t="str">
        <f>IFERROR(VLOOKUP(DATE($K$1,$K$2,PKK$4),Table1[],(MATCH(Calendar!$A19,DB!$1:$1,0)),FALSE),"")</f>
        <v/>
      </c>
      <c r="PKL19" s="28" t="str">
        <f>IFERROR(VLOOKUP(DATE($K$1,$K$2,PKL$4),Table1[],(MATCH(Calendar!$A19,DB!$1:$1,0)),FALSE),"")</f>
        <v/>
      </c>
      <c r="PKM19" s="28" t="str">
        <f>IFERROR(VLOOKUP(DATE($K$1,$K$2,PKM$4),Table1[],(MATCH(Calendar!$A19,DB!$1:$1,0)),FALSE),"")</f>
        <v/>
      </c>
      <c r="PKN19" s="28" t="str">
        <f>IFERROR(VLOOKUP(DATE($K$1,$K$2,PKN$4),Table1[],(MATCH(Calendar!$A19,DB!$1:$1,0)),FALSE),"")</f>
        <v/>
      </c>
      <c r="PKO19" s="28" t="str">
        <f>IFERROR(VLOOKUP(DATE($K$1,$K$2,PKO$4),Table1[],(MATCH(Calendar!$A19,DB!$1:$1,0)),FALSE),"")</f>
        <v/>
      </c>
      <c r="PKP19" s="28" t="str">
        <f>IFERROR(VLOOKUP(DATE($K$1,$K$2,PKP$4),Table1[],(MATCH(Calendar!$A19,DB!$1:$1,0)),FALSE),"")</f>
        <v/>
      </c>
      <c r="PKQ19" s="28" t="str">
        <f>IFERROR(VLOOKUP(DATE($K$1,$K$2,PKQ$4),Table1[],(MATCH(Calendar!$A19,DB!$1:$1,0)),FALSE),"")</f>
        <v/>
      </c>
      <c r="PKR19" s="28" t="str">
        <f>IFERROR(VLOOKUP(DATE($K$1,$K$2,PKR$4),Table1[],(MATCH(Calendar!$A19,DB!$1:$1,0)),FALSE),"")</f>
        <v/>
      </c>
      <c r="PKS19" s="28" t="str">
        <f>IFERROR(VLOOKUP(DATE($K$1,$K$2,PKS$4),Table1[],(MATCH(Calendar!$A19,DB!$1:$1,0)),FALSE),"")</f>
        <v/>
      </c>
      <c r="PKT19" s="28" t="str">
        <f>IFERROR(VLOOKUP(DATE($K$1,$K$2,PKT$4),Table1[],(MATCH(Calendar!$A19,DB!$1:$1,0)),FALSE),"")</f>
        <v/>
      </c>
      <c r="PKU19" s="28" t="str">
        <f>IFERROR(VLOOKUP(DATE($K$1,$K$2,PKU$4),Table1[],(MATCH(Calendar!$A19,DB!$1:$1,0)),FALSE),"")</f>
        <v/>
      </c>
      <c r="PKV19" s="28" t="str">
        <f>IFERROR(VLOOKUP(DATE($K$1,$K$2,PKV$4),Table1[],(MATCH(Calendar!$A19,DB!$1:$1,0)),FALSE),"")</f>
        <v/>
      </c>
      <c r="PKW19" s="28" t="str">
        <f>IFERROR(VLOOKUP(DATE($K$1,$K$2,PKW$4),Table1[],(MATCH(Calendar!$A19,DB!$1:$1,0)),FALSE),"")</f>
        <v/>
      </c>
      <c r="PKX19" s="28" t="str">
        <f>IFERROR(VLOOKUP(DATE($K$1,$K$2,PKX$4),Table1[],(MATCH(Calendar!$A19,DB!$1:$1,0)),FALSE),"")</f>
        <v/>
      </c>
      <c r="PKY19" s="28" t="str">
        <f>IFERROR(VLOOKUP(DATE($K$1,$K$2,PKY$4),Table1[],(MATCH(Calendar!$A19,DB!$1:$1,0)),FALSE),"")</f>
        <v/>
      </c>
      <c r="PKZ19" s="28" t="str">
        <f>IFERROR(VLOOKUP(DATE($K$1,$K$2,PKZ$4),Table1[],(MATCH(Calendar!$A19,DB!$1:$1,0)),FALSE),"")</f>
        <v/>
      </c>
      <c r="PLA19" s="28" t="str">
        <f>IFERROR(VLOOKUP(DATE($K$1,$K$2,PLA$4),Table1[],(MATCH(Calendar!$A19,DB!$1:$1,0)),FALSE),"")</f>
        <v/>
      </c>
      <c r="PLB19" s="28" t="str">
        <f>IFERROR(VLOOKUP(DATE($K$1,$K$2,PLB$4),Table1[],(MATCH(Calendar!$A19,DB!$1:$1,0)),FALSE),"")</f>
        <v/>
      </c>
      <c r="PLC19" s="28" t="str">
        <f>IFERROR(VLOOKUP(DATE($K$1,$K$2,PLC$4),Table1[],(MATCH(Calendar!$A19,DB!$1:$1,0)),FALSE),"")</f>
        <v/>
      </c>
      <c r="PLD19" s="28" t="str">
        <f>IFERROR(VLOOKUP(DATE($K$1,$K$2,PLD$4),Table1[],(MATCH(Calendar!$A19,DB!$1:$1,0)),FALSE),"")</f>
        <v/>
      </c>
      <c r="PLE19" s="28" t="str">
        <f>IFERROR(VLOOKUP(DATE($K$1,$K$2,PLE$4),Table1[],(MATCH(Calendar!$A19,DB!$1:$1,0)),FALSE),"")</f>
        <v/>
      </c>
      <c r="PLF19" s="28" t="str">
        <f>IFERROR(VLOOKUP(DATE($K$1,$K$2,PLF$4),Table1[],(MATCH(Calendar!$A19,DB!$1:$1,0)),FALSE),"")</f>
        <v/>
      </c>
      <c r="PLG19" s="28" t="str">
        <f>IFERROR(VLOOKUP(DATE($K$1,$K$2,PLG$4),Table1[],(MATCH(Calendar!$A19,DB!$1:$1,0)),FALSE),"")</f>
        <v/>
      </c>
      <c r="PLH19" s="28" t="str">
        <f>IFERROR(VLOOKUP(DATE($K$1,$K$2,PLH$4),Table1[],(MATCH(Calendar!$A19,DB!$1:$1,0)),FALSE),"")</f>
        <v/>
      </c>
      <c r="PLI19" s="28" t="str">
        <f>IFERROR(VLOOKUP(DATE($K$1,$K$2,PLI$4),Table1[],(MATCH(Calendar!$A19,DB!$1:$1,0)),FALSE),"")</f>
        <v/>
      </c>
      <c r="PLJ19" s="28" t="str">
        <f>IFERROR(VLOOKUP(DATE($K$1,$K$2,PLJ$4),Table1[],(MATCH(Calendar!$A19,DB!$1:$1,0)),FALSE),"")</f>
        <v/>
      </c>
      <c r="PLK19" s="28" t="str">
        <f>IFERROR(VLOOKUP(DATE($K$1,$K$2,PLK$4),Table1[],(MATCH(Calendar!$A19,DB!$1:$1,0)),FALSE),"")</f>
        <v/>
      </c>
      <c r="PLL19" s="28" t="str">
        <f>IFERROR(VLOOKUP(DATE($K$1,$K$2,PLL$4),Table1[],(MATCH(Calendar!$A19,DB!$1:$1,0)),FALSE),"")</f>
        <v/>
      </c>
      <c r="PLM19" s="28" t="str">
        <f>IFERROR(VLOOKUP(DATE($K$1,$K$2,PLM$4),Table1[],(MATCH(Calendar!$A19,DB!$1:$1,0)),FALSE),"")</f>
        <v/>
      </c>
      <c r="PLN19" s="28" t="str">
        <f>IFERROR(VLOOKUP(DATE($K$1,$K$2,PLN$4),Table1[],(MATCH(Calendar!$A19,DB!$1:$1,0)),FALSE),"")</f>
        <v/>
      </c>
      <c r="PLO19" s="28" t="str">
        <f>IFERROR(VLOOKUP(DATE($K$1,$K$2,PLO$4),Table1[],(MATCH(Calendar!$A19,DB!$1:$1,0)),FALSE),"")</f>
        <v/>
      </c>
      <c r="PLP19" s="28" t="str">
        <f>IFERROR(VLOOKUP(DATE($K$1,$K$2,PLP$4),Table1[],(MATCH(Calendar!$A19,DB!$1:$1,0)),FALSE),"")</f>
        <v/>
      </c>
      <c r="PLQ19" s="28" t="str">
        <f>IFERROR(VLOOKUP(DATE($K$1,$K$2,PLQ$4),Table1[],(MATCH(Calendar!$A19,DB!$1:$1,0)),FALSE),"")</f>
        <v/>
      </c>
      <c r="PLR19" s="28" t="str">
        <f>IFERROR(VLOOKUP(DATE($K$1,$K$2,PLR$4),Table1[],(MATCH(Calendar!$A19,DB!$1:$1,0)),FALSE),"")</f>
        <v/>
      </c>
      <c r="PLS19" s="28" t="str">
        <f>IFERROR(VLOOKUP(DATE($K$1,$K$2,PLS$4),Table1[],(MATCH(Calendar!$A19,DB!$1:$1,0)),FALSE),"")</f>
        <v/>
      </c>
      <c r="PLT19" s="28" t="str">
        <f>IFERROR(VLOOKUP(DATE($K$1,$K$2,PLT$4),Table1[],(MATCH(Calendar!$A19,DB!$1:$1,0)),FALSE),"")</f>
        <v/>
      </c>
      <c r="PLU19" s="28" t="str">
        <f>IFERROR(VLOOKUP(DATE($K$1,$K$2,PLU$4),Table1[],(MATCH(Calendar!$A19,DB!$1:$1,0)),FALSE),"")</f>
        <v/>
      </c>
      <c r="PLV19" s="28" t="str">
        <f>IFERROR(VLOOKUP(DATE($K$1,$K$2,PLV$4),Table1[],(MATCH(Calendar!$A19,DB!$1:$1,0)),FALSE),"")</f>
        <v/>
      </c>
      <c r="PLW19" s="28" t="str">
        <f>IFERROR(VLOOKUP(DATE($K$1,$K$2,PLW$4),Table1[],(MATCH(Calendar!$A19,DB!$1:$1,0)),FALSE),"")</f>
        <v/>
      </c>
      <c r="PLX19" s="28" t="str">
        <f>IFERROR(VLOOKUP(DATE($K$1,$K$2,PLX$4),Table1[],(MATCH(Calendar!$A19,DB!$1:$1,0)),FALSE),"")</f>
        <v/>
      </c>
      <c r="PLY19" s="28" t="str">
        <f>IFERROR(VLOOKUP(DATE($K$1,$K$2,PLY$4),Table1[],(MATCH(Calendar!$A19,DB!$1:$1,0)),FALSE),"")</f>
        <v/>
      </c>
      <c r="PLZ19" s="28" t="str">
        <f>IFERROR(VLOOKUP(DATE($K$1,$K$2,PLZ$4),Table1[],(MATCH(Calendar!$A19,DB!$1:$1,0)),FALSE),"")</f>
        <v/>
      </c>
      <c r="PMA19" s="28" t="str">
        <f>IFERROR(VLOOKUP(DATE($K$1,$K$2,PMA$4),Table1[],(MATCH(Calendar!$A19,DB!$1:$1,0)),FALSE),"")</f>
        <v/>
      </c>
      <c r="PMB19" s="28" t="str">
        <f>IFERROR(VLOOKUP(DATE($K$1,$K$2,PMB$4),Table1[],(MATCH(Calendar!$A19,DB!$1:$1,0)),FALSE),"")</f>
        <v/>
      </c>
      <c r="PMC19" s="28" t="str">
        <f>IFERROR(VLOOKUP(DATE($K$1,$K$2,PMC$4),Table1[],(MATCH(Calendar!$A19,DB!$1:$1,0)),FALSE),"")</f>
        <v/>
      </c>
      <c r="PMD19" s="28" t="str">
        <f>IFERROR(VLOOKUP(DATE($K$1,$K$2,PMD$4),Table1[],(MATCH(Calendar!$A19,DB!$1:$1,0)),FALSE),"")</f>
        <v/>
      </c>
      <c r="PME19" s="28" t="str">
        <f>IFERROR(VLOOKUP(DATE($K$1,$K$2,PME$4),Table1[],(MATCH(Calendar!$A19,DB!$1:$1,0)),FALSE),"")</f>
        <v/>
      </c>
      <c r="PMF19" s="28" t="str">
        <f>IFERROR(VLOOKUP(DATE($K$1,$K$2,PMF$4),Table1[],(MATCH(Calendar!$A19,DB!$1:$1,0)),FALSE),"")</f>
        <v/>
      </c>
      <c r="PMG19" s="28" t="str">
        <f>IFERROR(VLOOKUP(DATE($K$1,$K$2,PMG$4),Table1[],(MATCH(Calendar!$A19,DB!$1:$1,0)),FALSE),"")</f>
        <v/>
      </c>
      <c r="PMH19" s="28" t="str">
        <f>IFERROR(VLOOKUP(DATE($K$1,$K$2,PMH$4),Table1[],(MATCH(Calendar!$A19,DB!$1:$1,0)),FALSE),"")</f>
        <v/>
      </c>
      <c r="PMI19" s="28" t="str">
        <f>IFERROR(VLOOKUP(DATE($K$1,$K$2,PMI$4),Table1[],(MATCH(Calendar!$A19,DB!$1:$1,0)),FALSE),"")</f>
        <v/>
      </c>
      <c r="PMJ19" s="28" t="str">
        <f>IFERROR(VLOOKUP(DATE($K$1,$K$2,PMJ$4),Table1[],(MATCH(Calendar!$A19,DB!$1:$1,0)),FALSE),"")</f>
        <v/>
      </c>
      <c r="PMK19" s="28" t="str">
        <f>IFERROR(VLOOKUP(DATE($K$1,$K$2,PMK$4),Table1[],(MATCH(Calendar!$A19,DB!$1:$1,0)),FALSE),"")</f>
        <v/>
      </c>
      <c r="PML19" s="28" t="str">
        <f>IFERROR(VLOOKUP(DATE($K$1,$K$2,PML$4),Table1[],(MATCH(Calendar!$A19,DB!$1:$1,0)),FALSE),"")</f>
        <v/>
      </c>
      <c r="PMM19" s="28" t="str">
        <f>IFERROR(VLOOKUP(DATE($K$1,$K$2,PMM$4),Table1[],(MATCH(Calendar!$A19,DB!$1:$1,0)),FALSE),"")</f>
        <v/>
      </c>
      <c r="PMN19" s="28" t="str">
        <f>IFERROR(VLOOKUP(DATE($K$1,$K$2,PMN$4),Table1[],(MATCH(Calendar!$A19,DB!$1:$1,0)),FALSE),"")</f>
        <v/>
      </c>
      <c r="PMO19" s="28" t="str">
        <f>IFERROR(VLOOKUP(DATE($K$1,$K$2,PMO$4),Table1[],(MATCH(Calendar!$A19,DB!$1:$1,0)),FALSE),"")</f>
        <v/>
      </c>
      <c r="PMP19" s="28" t="str">
        <f>IFERROR(VLOOKUP(DATE($K$1,$K$2,PMP$4),Table1[],(MATCH(Calendar!$A19,DB!$1:$1,0)),FALSE),"")</f>
        <v/>
      </c>
      <c r="PMQ19" s="28" t="str">
        <f>IFERROR(VLOOKUP(DATE($K$1,$K$2,PMQ$4),Table1[],(MATCH(Calendar!$A19,DB!$1:$1,0)),FALSE),"")</f>
        <v/>
      </c>
      <c r="PMR19" s="28" t="str">
        <f>IFERROR(VLOOKUP(DATE($K$1,$K$2,PMR$4),Table1[],(MATCH(Calendar!$A19,DB!$1:$1,0)),FALSE),"")</f>
        <v/>
      </c>
      <c r="PMS19" s="28" t="str">
        <f>IFERROR(VLOOKUP(DATE($K$1,$K$2,PMS$4),Table1[],(MATCH(Calendar!$A19,DB!$1:$1,0)),FALSE),"")</f>
        <v/>
      </c>
      <c r="PMT19" s="28" t="str">
        <f>IFERROR(VLOOKUP(DATE($K$1,$K$2,PMT$4),Table1[],(MATCH(Calendar!$A19,DB!$1:$1,0)),FALSE),"")</f>
        <v/>
      </c>
      <c r="PMU19" s="28" t="str">
        <f>IFERROR(VLOOKUP(DATE($K$1,$K$2,PMU$4),Table1[],(MATCH(Calendar!$A19,DB!$1:$1,0)),FALSE),"")</f>
        <v/>
      </c>
      <c r="PMV19" s="28" t="str">
        <f>IFERROR(VLOOKUP(DATE($K$1,$K$2,PMV$4),Table1[],(MATCH(Calendar!$A19,DB!$1:$1,0)),FALSE),"")</f>
        <v/>
      </c>
      <c r="PMW19" s="28" t="str">
        <f>IFERROR(VLOOKUP(DATE($K$1,$K$2,PMW$4),Table1[],(MATCH(Calendar!$A19,DB!$1:$1,0)),FALSE),"")</f>
        <v/>
      </c>
      <c r="PMX19" s="28" t="str">
        <f>IFERROR(VLOOKUP(DATE($K$1,$K$2,PMX$4),Table1[],(MATCH(Calendar!$A19,DB!$1:$1,0)),FALSE),"")</f>
        <v/>
      </c>
      <c r="PMY19" s="28" t="str">
        <f>IFERROR(VLOOKUP(DATE($K$1,$K$2,PMY$4),Table1[],(MATCH(Calendar!$A19,DB!$1:$1,0)),FALSE),"")</f>
        <v/>
      </c>
      <c r="PMZ19" s="28" t="str">
        <f>IFERROR(VLOOKUP(DATE($K$1,$K$2,PMZ$4),Table1[],(MATCH(Calendar!$A19,DB!$1:$1,0)),FALSE),"")</f>
        <v/>
      </c>
      <c r="PNA19" s="28" t="str">
        <f>IFERROR(VLOOKUP(DATE($K$1,$K$2,PNA$4),Table1[],(MATCH(Calendar!$A19,DB!$1:$1,0)),FALSE),"")</f>
        <v/>
      </c>
      <c r="PNB19" s="28" t="str">
        <f>IFERROR(VLOOKUP(DATE($K$1,$K$2,PNB$4),Table1[],(MATCH(Calendar!$A19,DB!$1:$1,0)),FALSE),"")</f>
        <v/>
      </c>
      <c r="PNC19" s="28" t="str">
        <f>IFERROR(VLOOKUP(DATE($K$1,$K$2,PNC$4),Table1[],(MATCH(Calendar!$A19,DB!$1:$1,0)),FALSE),"")</f>
        <v/>
      </c>
      <c r="PND19" s="28" t="str">
        <f>IFERROR(VLOOKUP(DATE($K$1,$K$2,PND$4),Table1[],(MATCH(Calendar!$A19,DB!$1:$1,0)),FALSE),"")</f>
        <v/>
      </c>
      <c r="PNE19" s="28" t="str">
        <f>IFERROR(VLOOKUP(DATE($K$1,$K$2,PNE$4),Table1[],(MATCH(Calendar!$A19,DB!$1:$1,0)),FALSE),"")</f>
        <v/>
      </c>
      <c r="PNF19" s="28" t="str">
        <f>IFERROR(VLOOKUP(DATE($K$1,$K$2,PNF$4),Table1[],(MATCH(Calendar!$A19,DB!$1:$1,0)),FALSE),"")</f>
        <v/>
      </c>
      <c r="PNG19" s="28" t="str">
        <f>IFERROR(VLOOKUP(DATE($K$1,$K$2,PNG$4),Table1[],(MATCH(Calendar!$A19,DB!$1:$1,0)),FALSE),"")</f>
        <v/>
      </c>
      <c r="PNH19" s="28" t="str">
        <f>IFERROR(VLOOKUP(DATE($K$1,$K$2,PNH$4),Table1[],(MATCH(Calendar!$A19,DB!$1:$1,0)),FALSE),"")</f>
        <v/>
      </c>
      <c r="PNI19" s="28" t="str">
        <f>IFERROR(VLOOKUP(DATE($K$1,$K$2,PNI$4),Table1[],(MATCH(Calendar!$A19,DB!$1:$1,0)),FALSE),"")</f>
        <v/>
      </c>
      <c r="PNJ19" s="28" t="str">
        <f>IFERROR(VLOOKUP(DATE($K$1,$K$2,PNJ$4),Table1[],(MATCH(Calendar!$A19,DB!$1:$1,0)),FALSE),"")</f>
        <v/>
      </c>
      <c r="PNK19" s="28" t="str">
        <f>IFERROR(VLOOKUP(DATE($K$1,$K$2,PNK$4),Table1[],(MATCH(Calendar!$A19,DB!$1:$1,0)),FALSE),"")</f>
        <v/>
      </c>
      <c r="PNL19" s="28" t="str">
        <f>IFERROR(VLOOKUP(DATE($K$1,$K$2,PNL$4),Table1[],(MATCH(Calendar!$A19,DB!$1:$1,0)),FALSE),"")</f>
        <v/>
      </c>
      <c r="PNM19" s="28" t="str">
        <f>IFERROR(VLOOKUP(DATE($K$1,$K$2,PNM$4),Table1[],(MATCH(Calendar!$A19,DB!$1:$1,0)),FALSE),"")</f>
        <v/>
      </c>
      <c r="PNN19" s="28" t="str">
        <f>IFERROR(VLOOKUP(DATE($K$1,$K$2,PNN$4),Table1[],(MATCH(Calendar!$A19,DB!$1:$1,0)),FALSE),"")</f>
        <v/>
      </c>
      <c r="PNO19" s="28" t="str">
        <f>IFERROR(VLOOKUP(DATE($K$1,$K$2,PNO$4),Table1[],(MATCH(Calendar!$A19,DB!$1:$1,0)),FALSE),"")</f>
        <v/>
      </c>
      <c r="PNP19" s="28" t="str">
        <f>IFERROR(VLOOKUP(DATE($K$1,$K$2,PNP$4),Table1[],(MATCH(Calendar!$A19,DB!$1:$1,0)),FALSE),"")</f>
        <v/>
      </c>
      <c r="PNQ19" s="28" t="str">
        <f>IFERROR(VLOOKUP(DATE($K$1,$K$2,PNQ$4),Table1[],(MATCH(Calendar!$A19,DB!$1:$1,0)),FALSE),"")</f>
        <v/>
      </c>
      <c r="PNR19" s="28" t="str">
        <f>IFERROR(VLOOKUP(DATE($K$1,$K$2,PNR$4),Table1[],(MATCH(Calendar!$A19,DB!$1:$1,0)),FALSE),"")</f>
        <v/>
      </c>
      <c r="PNS19" s="28" t="str">
        <f>IFERROR(VLOOKUP(DATE($K$1,$K$2,PNS$4),Table1[],(MATCH(Calendar!$A19,DB!$1:$1,0)),FALSE),"")</f>
        <v/>
      </c>
      <c r="PNT19" s="28" t="str">
        <f>IFERROR(VLOOKUP(DATE($K$1,$K$2,PNT$4),Table1[],(MATCH(Calendar!$A19,DB!$1:$1,0)),FALSE),"")</f>
        <v/>
      </c>
      <c r="PNU19" s="28" t="str">
        <f>IFERROR(VLOOKUP(DATE($K$1,$K$2,PNU$4),Table1[],(MATCH(Calendar!$A19,DB!$1:$1,0)),FALSE),"")</f>
        <v/>
      </c>
      <c r="PNV19" s="28" t="str">
        <f>IFERROR(VLOOKUP(DATE($K$1,$K$2,PNV$4),Table1[],(MATCH(Calendar!$A19,DB!$1:$1,0)),FALSE),"")</f>
        <v/>
      </c>
      <c r="PNW19" s="28" t="str">
        <f>IFERROR(VLOOKUP(DATE($K$1,$K$2,PNW$4),Table1[],(MATCH(Calendar!$A19,DB!$1:$1,0)),FALSE),"")</f>
        <v/>
      </c>
      <c r="PNX19" s="28" t="str">
        <f>IFERROR(VLOOKUP(DATE($K$1,$K$2,PNX$4),Table1[],(MATCH(Calendar!$A19,DB!$1:$1,0)),FALSE),"")</f>
        <v/>
      </c>
      <c r="PNY19" s="28" t="str">
        <f>IFERROR(VLOOKUP(DATE($K$1,$K$2,PNY$4),Table1[],(MATCH(Calendar!$A19,DB!$1:$1,0)),FALSE),"")</f>
        <v/>
      </c>
      <c r="PNZ19" s="28" t="str">
        <f>IFERROR(VLOOKUP(DATE($K$1,$K$2,PNZ$4),Table1[],(MATCH(Calendar!$A19,DB!$1:$1,0)),FALSE),"")</f>
        <v/>
      </c>
      <c r="POA19" s="28" t="str">
        <f>IFERROR(VLOOKUP(DATE($K$1,$K$2,POA$4),Table1[],(MATCH(Calendar!$A19,DB!$1:$1,0)),FALSE),"")</f>
        <v/>
      </c>
      <c r="POB19" s="28" t="str">
        <f>IFERROR(VLOOKUP(DATE($K$1,$K$2,POB$4),Table1[],(MATCH(Calendar!$A19,DB!$1:$1,0)),FALSE),"")</f>
        <v/>
      </c>
      <c r="POC19" s="28" t="str">
        <f>IFERROR(VLOOKUP(DATE($K$1,$K$2,POC$4),Table1[],(MATCH(Calendar!$A19,DB!$1:$1,0)),FALSE),"")</f>
        <v/>
      </c>
      <c r="POD19" s="28" t="str">
        <f>IFERROR(VLOOKUP(DATE($K$1,$K$2,POD$4),Table1[],(MATCH(Calendar!$A19,DB!$1:$1,0)),FALSE),"")</f>
        <v/>
      </c>
      <c r="POE19" s="28" t="str">
        <f>IFERROR(VLOOKUP(DATE($K$1,$K$2,POE$4),Table1[],(MATCH(Calendar!$A19,DB!$1:$1,0)),FALSE),"")</f>
        <v/>
      </c>
      <c r="POF19" s="28" t="str">
        <f>IFERROR(VLOOKUP(DATE($K$1,$K$2,POF$4),Table1[],(MATCH(Calendar!$A19,DB!$1:$1,0)),FALSE),"")</f>
        <v/>
      </c>
      <c r="POG19" s="28" t="str">
        <f>IFERROR(VLOOKUP(DATE($K$1,$K$2,POG$4),Table1[],(MATCH(Calendar!$A19,DB!$1:$1,0)),FALSE),"")</f>
        <v/>
      </c>
      <c r="POH19" s="28" t="str">
        <f>IFERROR(VLOOKUP(DATE($K$1,$K$2,POH$4),Table1[],(MATCH(Calendar!$A19,DB!$1:$1,0)),FALSE),"")</f>
        <v/>
      </c>
      <c r="POI19" s="28" t="str">
        <f>IFERROR(VLOOKUP(DATE($K$1,$K$2,POI$4),Table1[],(MATCH(Calendar!$A19,DB!$1:$1,0)),FALSE),"")</f>
        <v/>
      </c>
      <c r="POJ19" s="28" t="str">
        <f>IFERROR(VLOOKUP(DATE($K$1,$K$2,POJ$4),Table1[],(MATCH(Calendar!$A19,DB!$1:$1,0)),FALSE),"")</f>
        <v/>
      </c>
      <c r="POK19" s="28" t="str">
        <f>IFERROR(VLOOKUP(DATE($K$1,$K$2,POK$4),Table1[],(MATCH(Calendar!$A19,DB!$1:$1,0)),FALSE),"")</f>
        <v/>
      </c>
      <c r="POL19" s="28" t="str">
        <f>IFERROR(VLOOKUP(DATE($K$1,$K$2,POL$4),Table1[],(MATCH(Calendar!$A19,DB!$1:$1,0)),FALSE),"")</f>
        <v/>
      </c>
      <c r="POM19" s="28" t="str">
        <f>IFERROR(VLOOKUP(DATE($K$1,$K$2,POM$4),Table1[],(MATCH(Calendar!$A19,DB!$1:$1,0)),FALSE),"")</f>
        <v/>
      </c>
      <c r="PON19" s="28" t="str">
        <f>IFERROR(VLOOKUP(DATE($K$1,$K$2,PON$4),Table1[],(MATCH(Calendar!$A19,DB!$1:$1,0)),FALSE),"")</f>
        <v/>
      </c>
      <c r="POO19" s="28" t="str">
        <f>IFERROR(VLOOKUP(DATE($K$1,$K$2,POO$4),Table1[],(MATCH(Calendar!$A19,DB!$1:$1,0)),FALSE),"")</f>
        <v/>
      </c>
      <c r="POP19" s="28" t="str">
        <f>IFERROR(VLOOKUP(DATE($K$1,$K$2,POP$4),Table1[],(MATCH(Calendar!$A19,DB!$1:$1,0)),FALSE),"")</f>
        <v/>
      </c>
      <c r="POQ19" s="28" t="str">
        <f>IFERROR(VLOOKUP(DATE($K$1,$K$2,POQ$4),Table1[],(MATCH(Calendar!$A19,DB!$1:$1,0)),FALSE),"")</f>
        <v/>
      </c>
      <c r="POR19" s="28" t="str">
        <f>IFERROR(VLOOKUP(DATE($K$1,$K$2,POR$4),Table1[],(MATCH(Calendar!$A19,DB!$1:$1,0)),FALSE),"")</f>
        <v/>
      </c>
      <c r="POS19" s="28" t="str">
        <f>IFERROR(VLOOKUP(DATE($K$1,$K$2,POS$4),Table1[],(MATCH(Calendar!$A19,DB!$1:$1,0)),FALSE),"")</f>
        <v/>
      </c>
      <c r="POT19" s="28" t="str">
        <f>IFERROR(VLOOKUP(DATE($K$1,$K$2,POT$4),Table1[],(MATCH(Calendar!$A19,DB!$1:$1,0)),FALSE),"")</f>
        <v/>
      </c>
      <c r="POU19" s="28" t="str">
        <f>IFERROR(VLOOKUP(DATE($K$1,$K$2,POU$4),Table1[],(MATCH(Calendar!$A19,DB!$1:$1,0)),FALSE),"")</f>
        <v/>
      </c>
      <c r="POV19" s="28" t="str">
        <f>IFERROR(VLOOKUP(DATE($K$1,$K$2,POV$4),Table1[],(MATCH(Calendar!$A19,DB!$1:$1,0)),FALSE),"")</f>
        <v/>
      </c>
      <c r="POW19" s="28" t="str">
        <f>IFERROR(VLOOKUP(DATE($K$1,$K$2,POW$4),Table1[],(MATCH(Calendar!$A19,DB!$1:$1,0)),FALSE),"")</f>
        <v/>
      </c>
      <c r="POX19" s="28" t="str">
        <f>IFERROR(VLOOKUP(DATE($K$1,$K$2,POX$4),Table1[],(MATCH(Calendar!$A19,DB!$1:$1,0)),FALSE),"")</f>
        <v/>
      </c>
      <c r="POY19" s="28" t="str">
        <f>IFERROR(VLOOKUP(DATE($K$1,$K$2,POY$4),Table1[],(MATCH(Calendar!$A19,DB!$1:$1,0)),FALSE),"")</f>
        <v/>
      </c>
      <c r="POZ19" s="28" t="str">
        <f>IFERROR(VLOOKUP(DATE($K$1,$K$2,POZ$4),Table1[],(MATCH(Calendar!$A19,DB!$1:$1,0)),FALSE),"")</f>
        <v/>
      </c>
      <c r="PPA19" s="28" t="str">
        <f>IFERROR(VLOOKUP(DATE($K$1,$K$2,PPA$4),Table1[],(MATCH(Calendar!$A19,DB!$1:$1,0)),FALSE),"")</f>
        <v/>
      </c>
      <c r="PPB19" s="28" t="str">
        <f>IFERROR(VLOOKUP(DATE($K$1,$K$2,PPB$4),Table1[],(MATCH(Calendar!$A19,DB!$1:$1,0)),FALSE),"")</f>
        <v/>
      </c>
      <c r="PPC19" s="28" t="str">
        <f>IFERROR(VLOOKUP(DATE($K$1,$K$2,PPC$4),Table1[],(MATCH(Calendar!$A19,DB!$1:$1,0)),FALSE),"")</f>
        <v/>
      </c>
      <c r="PPD19" s="28" t="str">
        <f>IFERROR(VLOOKUP(DATE($K$1,$K$2,PPD$4),Table1[],(MATCH(Calendar!$A19,DB!$1:$1,0)),FALSE),"")</f>
        <v/>
      </c>
      <c r="PPE19" s="28" t="str">
        <f>IFERROR(VLOOKUP(DATE($K$1,$K$2,PPE$4),Table1[],(MATCH(Calendar!$A19,DB!$1:$1,0)),FALSE),"")</f>
        <v/>
      </c>
      <c r="PPF19" s="28" t="str">
        <f>IFERROR(VLOOKUP(DATE($K$1,$K$2,PPF$4),Table1[],(MATCH(Calendar!$A19,DB!$1:$1,0)),FALSE),"")</f>
        <v/>
      </c>
      <c r="PPG19" s="28" t="str">
        <f>IFERROR(VLOOKUP(DATE($K$1,$K$2,PPG$4),Table1[],(MATCH(Calendar!$A19,DB!$1:$1,0)),FALSE),"")</f>
        <v/>
      </c>
      <c r="PPH19" s="28" t="str">
        <f>IFERROR(VLOOKUP(DATE($K$1,$K$2,PPH$4),Table1[],(MATCH(Calendar!$A19,DB!$1:$1,0)),FALSE),"")</f>
        <v/>
      </c>
      <c r="PPI19" s="28" t="str">
        <f>IFERROR(VLOOKUP(DATE($K$1,$K$2,PPI$4),Table1[],(MATCH(Calendar!$A19,DB!$1:$1,0)),FALSE),"")</f>
        <v/>
      </c>
      <c r="PPJ19" s="28" t="str">
        <f>IFERROR(VLOOKUP(DATE($K$1,$K$2,PPJ$4),Table1[],(MATCH(Calendar!$A19,DB!$1:$1,0)),FALSE),"")</f>
        <v/>
      </c>
      <c r="PPK19" s="28" t="str">
        <f>IFERROR(VLOOKUP(DATE($K$1,$K$2,PPK$4),Table1[],(MATCH(Calendar!$A19,DB!$1:$1,0)),FALSE),"")</f>
        <v/>
      </c>
      <c r="PPL19" s="28" t="str">
        <f>IFERROR(VLOOKUP(DATE($K$1,$K$2,PPL$4),Table1[],(MATCH(Calendar!$A19,DB!$1:$1,0)),FALSE),"")</f>
        <v/>
      </c>
      <c r="PPM19" s="28" t="str">
        <f>IFERROR(VLOOKUP(DATE($K$1,$K$2,PPM$4),Table1[],(MATCH(Calendar!$A19,DB!$1:$1,0)),FALSE),"")</f>
        <v/>
      </c>
      <c r="PPN19" s="28" t="str">
        <f>IFERROR(VLOOKUP(DATE($K$1,$K$2,PPN$4),Table1[],(MATCH(Calendar!$A19,DB!$1:$1,0)),FALSE),"")</f>
        <v/>
      </c>
      <c r="PPO19" s="28" t="str">
        <f>IFERROR(VLOOKUP(DATE($K$1,$K$2,PPO$4),Table1[],(MATCH(Calendar!$A19,DB!$1:$1,0)),FALSE),"")</f>
        <v/>
      </c>
      <c r="PPP19" s="28" t="str">
        <f>IFERROR(VLOOKUP(DATE($K$1,$K$2,PPP$4),Table1[],(MATCH(Calendar!$A19,DB!$1:$1,0)),FALSE),"")</f>
        <v/>
      </c>
      <c r="PPQ19" s="28" t="str">
        <f>IFERROR(VLOOKUP(DATE($K$1,$K$2,PPQ$4),Table1[],(MATCH(Calendar!$A19,DB!$1:$1,0)),FALSE),"")</f>
        <v/>
      </c>
      <c r="PPR19" s="28" t="str">
        <f>IFERROR(VLOOKUP(DATE($K$1,$K$2,PPR$4),Table1[],(MATCH(Calendar!$A19,DB!$1:$1,0)),FALSE),"")</f>
        <v/>
      </c>
      <c r="PPS19" s="28" t="str">
        <f>IFERROR(VLOOKUP(DATE($K$1,$K$2,PPS$4),Table1[],(MATCH(Calendar!$A19,DB!$1:$1,0)),FALSE),"")</f>
        <v/>
      </c>
      <c r="PPT19" s="28" t="str">
        <f>IFERROR(VLOOKUP(DATE($K$1,$K$2,PPT$4),Table1[],(MATCH(Calendar!$A19,DB!$1:$1,0)),FALSE),"")</f>
        <v/>
      </c>
      <c r="PPU19" s="28" t="str">
        <f>IFERROR(VLOOKUP(DATE($K$1,$K$2,PPU$4),Table1[],(MATCH(Calendar!$A19,DB!$1:$1,0)),FALSE),"")</f>
        <v/>
      </c>
      <c r="PPV19" s="28" t="str">
        <f>IFERROR(VLOOKUP(DATE($K$1,$K$2,PPV$4),Table1[],(MATCH(Calendar!$A19,DB!$1:$1,0)),FALSE),"")</f>
        <v/>
      </c>
      <c r="PPW19" s="28" t="str">
        <f>IFERROR(VLOOKUP(DATE($K$1,$K$2,PPW$4),Table1[],(MATCH(Calendar!$A19,DB!$1:$1,0)),FALSE),"")</f>
        <v/>
      </c>
      <c r="PPX19" s="28" t="str">
        <f>IFERROR(VLOOKUP(DATE($K$1,$K$2,PPX$4),Table1[],(MATCH(Calendar!$A19,DB!$1:$1,0)),FALSE),"")</f>
        <v/>
      </c>
      <c r="PPY19" s="28" t="str">
        <f>IFERROR(VLOOKUP(DATE($K$1,$K$2,PPY$4),Table1[],(MATCH(Calendar!$A19,DB!$1:$1,0)),FALSE),"")</f>
        <v/>
      </c>
      <c r="PPZ19" s="28" t="str">
        <f>IFERROR(VLOOKUP(DATE($K$1,$K$2,PPZ$4),Table1[],(MATCH(Calendar!$A19,DB!$1:$1,0)),FALSE),"")</f>
        <v/>
      </c>
      <c r="PQA19" s="28" t="str">
        <f>IFERROR(VLOOKUP(DATE($K$1,$K$2,PQA$4),Table1[],(MATCH(Calendar!$A19,DB!$1:$1,0)),FALSE),"")</f>
        <v/>
      </c>
      <c r="PQB19" s="28" t="str">
        <f>IFERROR(VLOOKUP(DATE($K$1,$K$2,PQB$4),Table1[],(MATCH(Calendar!$A19,DB!$1:$1,0)),FALSE),"")</f>
        <v/>
      </c>
      <c r="PQC19" s="28" t="str">
        <f>IFERROR(VLOOKUP(DATE($K$1,$K$2,PQC$4),Table1[],(MATCH(Calendar!$A19,DB!$1:$1,0)),FALSE),"")</f>
        <v/>
      </c>
      <c r="PQD19" s="28" t="str">
        <f>IFERROR(VLOOKUP(DATE($K$1,$K$2,PQD$4),Table1[],(MATCH(Calendar!$A19,DB!$1:$1,0)),FALSE),"")</f>
        <v/>
      </c>
      <c r="PQE19" s="28" t="str">
        <f>IFERROR(VLOOKUP(DATE($K$1,$K$2,PQE$4),Table1[],(MATCH(Calendar!$A19,DB!$1:$1,0)),FALSE),"")</f>
        <v/>
      </c>
      <c r="PQF19" s="28" t="str">
        <f>IFERROR(VLOOKUP(DATE($K$1,$K$2,PQF$4),Table1[],(MATCH(Calendar!$A19,DB!$1:$1,0)),FALSE),"")</f>
        <v/>
      </c>
      <c r="PQG19" s="28" t="str">
        <f>IFERROR(VLOOKUP(DATE($K$1,$K$2,PQG$4),Table1[],(MATCH(Calendar!$A19,DB!$1:$1,0)),FALSE),"")</f>
        <v/>
      </c>
      <c r="PQH19" s="28" t="str">
        <f>IFERROR(VLOOKUP(DATE($K$1,$K$2,PQH$4),Table1[],(MATCH(Calendar!$A19,DB!$1:$1,0)),FALSE),"")</f>
        <v/>
      </c>
      <c r="PQI19" s="28" t="str">
        <f>IFERROR(VLOOKUP(DATE($K$1,$K$2,PQI$4),Table1[],(MATCH(Calendar!$A19,DB!$1:$1,0)),FALSE),"")</f>
        <v/>
      </c>
      <c r="PQJ19" s="28" t="str">
        <f>IFERROR(VLOOKUP(DATE($K$1,$K$2,PQJ$4),Table1[],(MATCH(Calendar!$A19,DB!$1:$1,0)),FALSE),"")</f>
        <v/>
      </c>
      <c r="PQK19" s="28" t="str">
        <f>IFERROR(VLOOKUP(DATE($K$1,$K$2,PQK$4),Table1[],(MATCH(Calendar!$A19,DB!$1:$1,0)),FALSE),"")</f>
        <v/>
      </c>
      <c r="PQL19" s="28" t="str">
        <f>IFERROR(VLOOKUP(DATE($K$1,$K$2,PQL$4),Table1[],(MATCH(Calendar!$A19,DB!$1:$1,0)),FALSE),"")</f>
        <v/>
      </c>
      <c r="PQM19" s="28" t="str">
        <f>IFERROR(VLOOKUP(DATE($K$1,$K$2,PQM$4),Table1[],(MATCH(Calendar!$A19,DB!$1:$1,0)),FALSE),"")</f>
        <v/>
      </c>
      <c r="PQN19" s="28" t="str">
        <f>IFERROR(VLOOKUP(DATE($K$1,$K$2,PQN$4),Table1[],(MATCH(Calendar!$A19,DB!$1:$1,0)),FALSE),"")</f>
        <v/>
      </c>
      <c r="PQO19" s="28" t="str">
        <f>IFERROR(VLOOKUP(DATE($K$1,$K$2,PQO$4),Table1[],(MATCH(Calendar!$A19,DB!$1:$1,0)),FALSE),"")</f>
        <v/>
      </c>
      <c r="PQP19" s="28" t="str">
        <f>IFERROR(VLOOKUP(DATE($K$1,$K$2,PQP$4),Table1[],(MATCH(Calendar!$A19,DB!$1:$1,0)),FALSE),"")</f>
        <v/>
      </c>
      <c r="PQQ19" s="28" t="str">
        <f>IFERROR(VLOOKUP(DATE($K$1,$K$2,PQQ$4),Table1[],(MATCH(Calendar!$A19,DB!$1:$1,0)),FALSE),"")</f>
        <v/>
      </c>
      <c r="PQR19" s="28" t="str">
        <f>IFERROR(VLOOKUP(DATE($K$1,$K$2,PQR$4),Table1[],(MATCH(Calendar!$A19,DB!$1:$1,0)),FALSE),"")</f>
        <v/>
      </c>
      <c r="PQS19" s="28" t="str">
        <f>IFERROR(VLOOKUP(DATE($K$1,$K$2,PQS$4),Table1[],(MATCH(Calendar!$A19,DB!$1:$1,0)),FALSE),"")</f>
        <v/>
      </c>
      <c r="PQT19" s="28" t="str">
        <f>IFERROR(VLOOKUP(DATE($K$1,$K$2,PQT$4),Table1[],(MATCH(Calendar!$A19,DB!$1:$1,0)),FALSE),"")</f>
        <v/>
      </c>
      <c r="PQU19" s="28" t="str">
        <f>IFERROR(VLOOKUP(DATE($K$1,$K$2,PQU$4),Table1[],(MATCH(Calendar!$A19,DB!$1:$1,0)),FALSE),"")</f>
        <v/>
      </c>
      <c r="PQV19" s="28" t="str">
        <f>IFERROR(VLOOKUP(DATE($K$1,$K$2,PQV$4),Table1[],(MATCH(Calendar!$A19,DB!$1:$1,0)),FALSE),"")</f>
        <v/>
      </c>
      <c r="PQW19" s="28" t="str">
        <f>IFERROR(VLOOKUP(DATE($K$1,$K$2,PQW$4),Table1[],(MATCH(Calendar!$A19,DB!$1:$1,0)),FALSE),"")</f>
        <v/>
      </c>
      <c r="PQX19" s="28" t="str">
        <f>IFERROR(VLOOKUP(DATE($K$1,$K$2,PQX$4),Table1[],(MATCH(Calendar!$A19,DB!$1:$1,0)),FALSE),"")</f>
        <v/>
      </c>
      <c r="PQY19" s="28" t="str">
        <f>IFERROR(VLOOKUP(DATE($K$1,$K$2,PQY$4),Table1[],(MATCH(Calendar!$A19,DB!$1:$1,0)),FALSE),"")</f>
        <v/>
      </c>
      <c r="PQZ19" s="28" t="str">
        <f>IFERROR(VLOOKUP(DATE($K$1,$K$2,PQZ$4),Table1[],(MATCH(Calendar!$A19,DB!$1:$1,0)),FALSE),"")</f>
        <v/>
      </c>
      <c r="PRA19" s="28" t="str">
        <f>IFERROR(VLOOKUP(DATE($K$1,$K$2,PRA$4),Table1[],(MATCH(Calendar!$A19,DB!$1:$1,0)),FALSE),"")</f>
        <v/>
      </c>
      <c r="PRB19" s="28" t="str">
        <f>IFERROR(VLOOKUP(DATE($K$1,$K$2,PRB$4),Table1[],(MATCH(Calendar!$A19,DB!$1:$1,0)),FALSE),"")</f>
        <v/>
      </c>
      <c r="PRC19" s="28" t="str">
        <f>IFERROR(VLOOKUP(DATE($K$1,$K$2,PRC$4),Table1[],(MATCH(Calendar!$A19,DB!$1:$1,0)),FALSE),"")</f>
        <v/>
      </c>
      <c r="PRD19" s="28" t="str">
        <f>IFERROR(VLOOKUP(DATE($K$1,$K$2,PRD$4),Table1[],(MATCH(Calendar!$A19,DB!$1:$1,0)),FALSE),"")</f>
        <v/>
      </c>
      <c r="PRE19" s="28" t="str">
        <f>IFERROR(VLOOKUP(DATE($K$1,$K$2,PRE$4),Table1[],(MATCH(Calendar!$A19,DB!$1:$1,0)),FALSE),"")</f>
        <v/>
      </c>
      <c r="PRF19" s="28" t="str">
        <f>IFERROR(VLOOKUP(DATE($K$1,$K$2,PRF$4),Table1[],(MATCH(Calendar!$A19,DB!$1:$1,0)),FALSE),"")</f>
        <v/>
      </c>
      <c r="PRG19" s="28" t="str">
        <f>IFERROR(VLOOKUP(DATE($K$1,$K$2,PRG$4),Table1[],(MATCH(Calendar!$A19,DB!$1:$1,0)),FALSE),"")</f>
        <v/>
      </c>
      <c r="PRH19" s="28" t="str">
        <f>IFERROR(VLOOKUP(DATE($K$1,$K$2,PRH$4),Table1[],(MATCH(Calendar!$A19,DB!$1:$1,0)),FALSE),"")</f>
        <v/>
      </c>
      <c r="PRI19" s="28" t="str">
        <f>IFERROR(VLOOKUP(DATE($K$1,$K$2,PRI$4),Table1[],(MATCH(Calendar!$A19,DB!$1:$1,0)),FALSE),"")</f>
        <v/>
      </c>
      <c r="PRJ19" s="28" t="str">
        <f>IFERROR(VLOOKUP(DATE($K$1,$K$2,PRJ$4),Table1[],(MATCH(Calendar!$A19,DB!$1:$1,0)),FALSE),"")</f>
        <v/>
      </c>
      <c r="PRK19" s="28" t="str">
        <f>IFERROR(VLOOKUP(DATE($K$1,$K$2,PRK$4),Table1[],(MATCH(Calendar!$A19,DB!$1:$1,0)),FALSE),"")</f>
        <v/>
      </c>
      <c r="PRL19" s="28" t="str">
        <f>IFERROR(VLOOKUP(DATE($K$1,$K$2,PRL$4),Table1[],(MATCH(Calendar!$A19,DB!$1:$1,0)),FALSE),"")</f>
        <v/>
      </c>
      <c r="PRM19" s="28" t="str">
        <f>IFERROR(VLOOKUP(DATE($K$1,$K$2,PRM$4),Table1[],(MATCH(Calendar!$A19,DB!$1:$1,0)),FALSE),"")</f>
        <v/>
      </c>
      <c r="PRN19" s="28" t="str">
        <f>IFERROR(VLOOKUP(DATE($K$1,$K$2,PRN$4),Table1[],(MATCH(Calendar!$A19,DB!$1:$1,0)),FALSE),"")</f>
        <v/>
      </c>
      <c r="PRO19" s="28" t="str">
        <f>IFERROR(VLOOKUP(DATE($K$1,$K$2,PRO$4),Table1[],(MATCH(Calendar!$A19,DB!$1:$1,0)),FALSE),"")</f>
        <v/>
      </c>
      <c r="PRP19" s="28" t="str">
        <f>IFERROR(VLOOKUP(DATE($K$1,$K$2,PRP$4),Table1[],(MATCH(Calendar!$A19,DB!$1:$1,0)),FALSE),"")</f>
        <v/>
      </c>
      <c r="PRQ19" s="28" t="str">
        <f>IFERROR(VLOOKUP(DATE($K$1,$K$2,PRQ$4),Table1[],(MATCH(Calendar!$A19,DB!$1:$1,0)),FALSE),"")</f>
        <v/>
      </c>
      <c r="PRR19" s="28" t="str">
        <f>IFERROR(VLOOKUP(DATE($K$1,$K$2,PRR$4),Table1[],(MATCH(Calendar!$A19,DB!$1:$1,0)),FALSE),"")</f>
        <v/>
      </c>
      <c r="PRS19" s="28" t="str">
        <f>IFERROR(VLOOKUP(DATE($K$1,$K$2,PRS$4),Table1[],(MATCH(Calendar!$A19,DB!$1:$1,0)),FALSE),"")</f>
        <v/>
      </c>
      <c r="PRT19" s="28" t="str">
        <f>IFERROR(VLOOKUP(DATE($K$1,$K$2,PRT$4),Table1[],(MATCH(Calendar!$A19,DB!$1:$1,0)),FALSE),"")</f>
        <v/>
      </c>
      <c r="PRU19" s="28" t="str">
        <f>IFERROR(VLOOKUP(DATE($K$1,$K$2,PRU$4),Table1[],(MATCH(Calendar!$A19,DB!$1:$1,0)),FALSE),"")</f>
        <v/>
      </c>
      <c r="PRV19" s="28" t="str">
        <f>IFERROR(VLOOKUP(DATE($K$1,$K$2,PRV$4),Table1[],(MATCH(Calendar!$A19,DB!$1:$1,0)),FALSE),"")</f>
        <v/>
      </c>
      <c r="PRW19" s="28" t="str">
        <f>IFERROR(VLOOKUP(DATE($K$1,$K$2,PRW$4),Table1[],(MATCH(Calendar!$A19,DB!$1:$1,0)),FALSE),"")</f>
        <v/>
      </c>
      <c r="PRX19" s="28" t="str">
        <f>IFERROR(VLOOKUP(DATE($K$1,$K$2,PRX$4),Table1[],(MATCH(Calendar!$A19,DB!$1:$1,0)),FALSE),"")</f>
        <v/>
      </c>
      <c r="PRY19" s="28" t="str">
        <f>IFERROR(VLOOKUP(DATE($K$1,$K$2,PRY$4),Table1[],(MATCH(Calendar!$A19,DB!$1:$1,0)),FALSE),"")</f>
        <v/>
      </c>
      <c r="PRZ19" s="28" t="str">
        <f>IFERROR(VLOOKUP(DATE($K$1,$K$2,PRZ$4),Table1[],(MATCH(Calendar!$A19,DB!$1:$1,0)),FALSE),"")</f>
        <v/>
      </c>
      <c r="PSA19" s="28" t="str">
        <f>IFERROR(VLOOKUP(DATE($K$1,$K$2,PSA$4),Table1[],(MATCH(Calendar!$A19,DB!$1:$1,0)),FALSE),"")</f>
        <v/>
      </c>
      <c r="PSB19" s="28" t="str">
        <f>IFERROR(VLOOKUP(DATE($K$1,$K$2,PSB$4),Table1[],(MATCH(Calendar!$A19,DB!$1:$1,0)),FALSE),"")</f>
        <v/>
      </c>
      <c r="PSC19" s="28" t="str">
        <f>IFERROR(VLOOKUP(DATE($K$1,$K$2,PSC$4),Table1[],(MATCH(Calendar!$A19,DB!$1:$1,0)),FALSE),"")</f>
        <v/>
      </c>
      <c r="PSD19" s="28" t="str">
        <f>IFERROR(VLOOKUP(DATE($K$1,$K$2,PSD$4),Table1[],(MATCH(Calendar!$A19,DB!$1:$1,0)),FALSE),"")</f>
        <v/>
      </c>
      <c r="PSE19" s="28" t="str">
        <f>IFERROR(VLOOKUP(DATE($K$1,$K$2,PSE$4),Table1[],(MATCH(Calendar!$A19,DB!$1:$1,0)),FALSE),"")</f>
        <v/>
      </c>
      <c r="PSF19" s="28" t="str">
        <f>IFERROR(VLOOKUP(DATE($K$1,$K$2,PSF$4),Table1[],(MATCH(Calendar!$A19,DB!$1:$1,0)),FALSE),"")</f>
        <v/>
      </c>
      <c r="PSG19" s="28" t="str">
        <f>IFERROR(VLOOKUP(DATE($K$1,$K$2,PSG$4),Table1[],(MATCH(Calendar!$A19,DB!$1:$1,0)),FALSE),"")</f>
        <v/>
      </c>
      <c r="PSH19" s="28" t="str">
        <f>IFERROR(VLOOKUP(DATE($K$1,$K$2,PSH$4),Table1[],(MATCH(Calendar!$A19,DB!$1:$1,0)),FALSE),"")</f>
        <v/>
      </c>
      <c r="PSI19" s="28" t="str">
        <f>IFERROR(VLOOKUP(DATE($K$1,$K$2,PSI$4),Table1[],(MATCH(Calendar!$A19,DB!$1:$1,0)),FALSE),"")</f>
        <v/>
      </c>
      <c r="PSJ19" s="28" t="str">
        <f>IFERROR(VLOOKUP(DATE($K$1,$K$2,PSJ$4),Table1[],(MATCH(Calendar!$A19,DB!$1:$1,0)),FALSE),"")</f>
        <v/>
      </c>
      <c r="PSK19" s="28" t="str">
        <f>IFERROR(VLOOKUP(DATE($K$1,$K$2,PSK$4),Table1[],(MATCH(Calendar!$A19,DB!$1:$1,0)),FALSE),"")</f>
        <v/>
      </c>
      <c r="PSL19" s="28" t="str">
        <f>IFERROR(VLOOKUP(DATE($K$1,$K$2,PSL$4),Table1[],(MATCH(Calendar!$A19,DB!$1:$1,0)),FALSE),"")</f>
        <v/>
      </c>
      <c r="PSM19" s="28" t="str">
        <f>IFERROR(VLOOKUP(DATE($K$1,$K$2,PSM$4),Table1[],(MATCH(Calendar!$A19,DB!$1:$1,0)),FALSE),"")</f>
        <v/>
      </c>
      <c r="PSN19" s="28" t="str">
        <f>IFERROR(VLOOKUP(DATE($K$1,$K$2,PSN$4),Table1[],(MATCH(Calendar!$A19,DB!$1:$1,0)),FALSE),"")</f>
        <v/>
      </c>
      <c r="PSO19" s="28" t="str">
        <f>IFERROR(VLOOKUP(DATE($K$1,$K$2,PSO$4),Table1[],(MATCH(Calendar!$A19,DB!$1:$1,0)),FALSE),"")</f>
        <v/>
      </c>
      <c r="PSP19" s="28" t="str">
        <f>IFERROR(VLOOKUP(DATE($K$1,$K$2,PSP$4),Table1[],(MATCH(Calendar!$A19,DB!$1:$1,0)),FALSE),"")</f>
        <v/>
      </c>
      <c r="PSQ19" s="28" t="str">
        <f>IFERROR(VLOOKUP(DATE($K$1,$K$2,PSQ$4),Table1[],(MATCH(Calendar!$A19,DB!$1:$1,0)),FALSE),"")</f>
        <v/>
      </c>
      <c r="PSR19" s="28" t="str">
        <f>IFERROR(VLOOKUP(DATE($K$1,$K$2,PSR$4),Table1[],(MATCH(Calendar!$A19,DB!$1:$1,0)),FALSE),"")</f>
        <v/>
      </c>
      <c r="PSS19" s="28" t="str">
        <f>IFERROR(VLOOKUP(DATE($K$1,$K$2,PSS$4),Table1[],(MATCH(Calendar!$A19,DB!$1:$1,0)),FALSE),"")</f>
        <v/>
      </c>
      <c r="PST19" s="28" t="str">
        <f>IFERROR(VLOOKUP(DATE($K$1,$K$2,PST$4),Table1[],(MATCH(Calendar!$A19,DB!$1:$1,0)),FALSE),"")</f>
        <v/>
      </c>
      <c r="PSU19" s="28" t="str">
        <f>IFERROR(VLOOKUP(DATE($K$1,$K$2,PSU$4),Table1[],(MATCH(Calendar!$A19,DB!$1:$1,0)),FALSE),"")</f>
        <v/>
      </c>
      <c r="PSV19" s="28" t="str">
        <f>IFERROR(VLOOKUP(DATE($K$1,$K$2,PSV$4),Table1[],(MATCH(Calendar!$A19,DB!$1:$1,0)),FALSE),"")</f>
        <v/>
      </c>
      <c r="PSW19" s="28" t="str">
        <f>IFERROR(VLOOKUP(DATE($K$1,$K$2,PSW$4),Table1[],(MATCH(Calendar!$A19,DB!$1:$1,0)),FALSE),"")</f>
        <v/>
      </c>
      <c r="PSX19" s="28" t="str">
        <f>IFERROR(VLOOKUP(DATE($K$1,$K$2,PSX$4),Table1[],(MATCH(Calendar!$A19,DB!$1:$1,0)),FALSE),"")</f>
        <v/>
      </c>
      <c r="PSY19" s="28" t="str">
        <f>IFERROR(VLOOKUP(DATE($K$1,$K$2,PSY$4),Table1[],(MATCH(Calendar!$A19,DB!$1:$1,0)),FALSE),"")</f>
        <v/>
      </c>
      <c r="PSZ19" s="28" t="str">
        <f>IFERROR(VLOOKUP(DATE($K$1,$K$2,PSZ$4),Table1[],(MATCH(Calendar!$A19,DB!$1:$1,0)),FALSE),"")</f>
        <v/>
      </c>
      <c r="PTA19" s="28" t="str">
        <f>IFERROR(VLOOKUP(DATE($K$1,$K$2,PTA$4),Table1[],(MATCH(Calendar!$A19,DB!$1:$1,0)),FALSE),"")</f>
        <v/>
      </c>
      <c r="PTB19" s="28" t="str">
        <f>IFERROR(VLOOKUP(DATE($K$1,$K$2,PTB$4),Table1[],(MATCH(Calendar!$A19,DB!$1:$1,0)),FALSE),"")</f>
        <v/>
      </c>
      <c r="PTC19" s="28" t="str">
        <f>IFERROR(VLOOKUP(DATE($K$1,$K$2,PTC$4),Table1[],(MATCH(Calendar!$A19,DB!$1:$1,0)),FALSE),"")</f>
        <v/>
      </c>
      <c r="PTD19" s="28" t="str">
        <f>IFERROR(VLOOKUP(DATE($K$1,$K$2,PTD$4),Table1[],(MATCH(Calendar!$A19,DB!$1:$1,0)),FALSE),"")</f>
        <v/>
      </c>
      <c r="PTE19" s="28" t="str">
        <f>IFERROR(VLOOKUP(DATE($K$1,$K$2,PTE$4),Table1[],(MATCH(Calendar!$A19,DB!$1:$1,0)),FALSE),"")</f>
        <v/>
      </c>
      <c r="PTF19" s="28" t="str">
        <f>IFERROR(VLOOKUP(DATE($K$1,$K$2,PTF$4),Table1[],(MATCH(Calendar!$A19,DB!$1:$1,0)),FALSE),"")</f>
        <v/>
      </c>
      <c r="PTG19" s="28" t="str">
        <f>IFERROR(VLOOKUP(DATE($K$1,$K$2,PTG$4),Table1[],(MATCH(Calendar!$A19,DB!$1:$1,0)),FALSE),"")</f>
        <v/>
      </c>
      <c r="PTH19" s="28" t="str">
        <f>IFERROR(VLOOKUP(DATE($K$1,$K$2,PTH$4),Table1[],(MATCH(Calendar!$A19,DB!$1:$1,0)),FALSE),"")</f>
        <v/>
      </c>
      <c r="PTI19" s="28" t="str">
        <f>IFERROR(VLOOKUP(DATE($K$1,$K$2,PTI$4),Table1[],(MATCH(Calendar!$A19,DB!$1:$1,0)),FALSE),"")</f>
        <v/>
      </c>
      <c r="PTJ19" s="28" t="str">
        <f>IFERROR(VLOOKUP(DATE($K$1,$K$2,PTJ$4),Table1[],(MATCH(Calendar!$A19,DB!$1:$1,0)),FALSE),"")</f>
        <v/>
      </c>
      <c r="PTK19" s="28" t="str">
        <f>IFERROR(VLOOKUP(DATE($K$1,$K$2,PTK$4),Table1[],(MATCH(Calendar!$A19,DB!$1:$1,0)),FALSE),"")</f>
        <v/>
      </c>
      <c r="PTL19" s="28" t="str">
        <f>IFERROR(VLOOKUP(DATE($K$1,$K$2,PTL$4),Table1[],(MATCH(Calendar!$A19,DB!$1:$1,0)),FALSE),"")</f>
        <v/>
      </c>
      <c r="PTM19" s="28" t="str">
        <f>IFERROR(VLOOKUP(DATE($K$1,$K$2,PTM$4),Table1[],(MATCH(Calendar!$A19,DB!$1:$1,0)),FALSE),"")</f>
        <v/>
      </c>
      <c r="PTN19" s="28" t="str">
        <f>IFERROR(VLOOKUP(DATE($K$1,$K$2,PTN$4),Table1[],(MATCH(Calendar!$A19,DB!$1:$1,0)),FALSE),"")</f>
        <v/>
      </c>
      <c r="PTO19" s="28" t="str">
        <f>IFERROR(VLOOKUP(DATE($K$1,$K$2,PTO$4),Table1[],(MATCH(Calendar!$A19,DB!$1:$1,0)),FALSE),"")</f>
        <v/>
      </c>
      <c r="PTP19" s="28" t="str">
        <f>IFERROR(VLOOKUP(DATE($K$1,$K$2,PTP$4),Table1[],(MATCH(Calendar!$A19,DB!$1:$1,0)),FALSE),"")</f>
        <v/>
      </c>
      <c r="PTQ19" s="28" t="str">
        <f>IFERROR(VLOOKUP(DATE($K$1,$K$2,PTQ$4),Table1[],(MATCH(Calendar!$A19,DB!$1:$1,0)),FALSE),"")</f>
        <v/>
      </c>
      <c r="PTR19" s="28" t="str">
        <f>IFERROR(VLOOKUP(DATE($K$1,$K$2,PTR$4),Table1[],(MATCH(Calendar!$A19,DB!$1:$1,0)),FALSE),"")</f>
        <v/>
      </c>
      <c r="PTS19" s="28" t="str">
        <f>IFERROR(VLOOKUP(DATE($K$1,$K$2,PTS$4),Table1[],(MATCH(Calendar!$A19,DB!$1:$1,0)),FALSE),"")</f>
        <v/>
      </c>
      <c r="PTT19" s="28" t="str">
        <f>IFERROR(VLOOKUP(DATE($K$1,$K$2,PTT$4),Table1[],(MATCH(Calendar!$A19,DB!$1:$1,0)),FALSE),"")</f>
        <v/>
      </c>
      <c r="PTU19" s="28" t="str">
        <f>IFERROR(VLOOKUP(DATE($K$1,$K$2,PTU$4),Table1[],(MATCH(Calendar!$A19,DB!$1:$1,0)),FALSE),"")</f>
        <v/>
      </c>
      <c r="PTV19" s="28" t="str">
        <f>IFERROR(VLOOKUP(DATE($K$1,$K$2,PTV$4),Table1[],(MATCH(Calendar!$A19,DB!$1:$1,0)),FALSE),"")</f>
        <v/>
      </c>
      <c r="PTW19" s="28" t="str">
        <f>IFERROR(VLOOKUP(DATE($K$1,$K$2,PTW$4),Table1[],(MATCH(Calendar!$A19,DB!$1:$1,0)),FALSE),"")</f>
        <v/>
      </c>
      <c r="PTX19" s="28" t="str">
        <f>IFERROR(VLOOKUP(DATE($K$1,$K$2,PTX$4),Table1[],(MATCH(Calendar!$A19,DB!$1:$1,0)),FALSE),"")</f>
        <v/>
      </c>
      <c r="PTY19" s="28" t="str">
        <f>IFERROR(VLOOKUP(DATE($K$1,$K$2,PTY$4),Table1[],(MATCH(Calendar!$A19,DB!$1:$1,0)),FALSE),"")</f>
        <v/>
      </c>
      <c r="PTZ19" s="28" t="str">
        <f>IFERROR(VLOOKUP(DATE($K$1,$K$2,PTZ$4),Table1[],(MATCH(Calendar!$A19,DB!$1:$1,0)),FALSE),"")</f>
        <v/>
      </c>
      <c r="PUA19" s="28" t="str">
        <f>IFERROR(VLOOKUP(DATE($K$1,$K$2,PUA$4),Table1[],(MATCH(Calendar!$A19,DB!$1:$1,0)),FALSE),"")</f>
        <v/>
      </c>
      <c r="PUB19" s="28" t="str">
        <f>IFERROR(VLOOKUP(DATE($K$1,$K$2,PUB$4),Table1[],(MATCH(Calendar!$A19,DB!$1:$1,0)),FALSE),"")</f>
        <v/>
      </c>
      <c r="PUC19" s="28" t="str">
        <f>IFERROR(VLOOKUP(DATE($K$1,$K$2,PUC$4),Table1[],(MATCH(Calendar!$A19,DB!$1:$1,0)),FALSE),"")</f>
        <v/>
      </c>
      <c r="PUD19" s="28" t="str">
        <f>IFERROR(VLOOKUP(DATE($K$1,$K$2,PUD$4),Table1[],(MATCH(Calendar!$A19,DB!$1:$1,0)),FALSE),"")</f>
        <v/>
      </c>
      <c r="PUE19" s="28" t="str">
        <f>IFERROR(VLOOKUP(DATE($K$1,$K$2,PUE$4),Table1[],(MATCH(Calendar!$A19,DB!$1:$1,0)),FALSE),"")</f>
        <v/>
      </c>
      <c r="PUF19" s="28" t="str">
        <f>IFERROR(VLOOKUP(DATE($K$1,$K$2,PUF$4),Table1[],(MATCH(Calendar!$A19,DB!$1:$1,0)),FALSE),"")</f>
        <v/>
      </c>
      <c r="PUG19" s="28" t="str">
        <f>IFERROR(VLOOKUP(DATE($K$1,$K$2,PUG$4),Table1[],(MATCH(Calendar!$A19,DB!$1:$1,0)),FALSE),"")</f>
        <v/>
      </c>
      <c r="PUH19" s="28" t="str">
        <f>IFERROR(VLOOKUP(DATE($K$1,$K$2,PUH$4),Table1[],(MATCH(Calendar!$A19,DB!$1:$1,0)),FALSE),"")</f>
        <v/>
      </c>
      <c r="PUI19" s="28" t="str">
        <f>IFERROR(VLOOKUP(DATE($K$1,$K$2,PUI$4),Table1[],(MATCH(Calendar!$A19,DB!$1:$1,0)),FALSE),"")</f>
        <v/>
      </c>
      <c r="PUJ19" s="28" t="str">
        <f>IFERROR(VLOOKUP(DATE($K$1,$K$2,PUJ$4),Table1[],(MATCH(Calendar!$A19,DB!$1:$1,0)),FALSE),"")</f>
        <v/>
      </c>
      <c r="PUK19" s="28" t="str">
        <f>IFERROR(VLOOKUP(DATE($K$1,$K$2,PUK$4),Table1[],(MATCH(Calendar!$A19,DB!$1:$1,0)),FALSE),"")</f>
        <v/>
      </c>
      <c r="PUL19" s="28" t="str">
        <f>IFERROR(VLOOKUP(DATE($K$1,$K$2,PUL$4),Table1[],(MATCH(Calendar!$A19,DB!$1:$1,0)),FALSE),"")</f>
        <v/>
      </c>
      <c r="PUM19" s="28" t="str">
        <f>IFERROR(VLOOKUP(DATE($K$1,$K$2,PUM$4),Table1[],(MATCH(Calendar!$A19,DB!$1:$1,0)),FALSE),"")</f>
        <v/>
      </c>
      <c r="PUN19" s="28" t="str">
        <f>IFERROR(VLOOKUP(DATE($K$1,$K$2,PUN$4),Table1[],(MATCH(Calendar!$A19,DB!$1:$1,0)),FALSE),"")</f>
        <v/>
      </c>
      <c r="PUO19" s="28" t="str">
        <f>IFERROR(VLOOKUP(DATE($K$1,$K$2,PUO$4),Table1[],(MATCH(Calendar!$A19,DB!$1:$1,0)),FALSE),"")</f>
        <v/>
      </c>
      <c r="PUP19" s="28" t="str">
        <f>IFERROR(VLOOKUP(DATE($K$1,$K$2,PUP$4),Table1[],(MATCH(Calendar!$A19,DB!$1:$1,0)),FALSE),"")</f>
        <v/>
      </c>
      <c r="PUQ19" s="28" t="str">
        <f>IFERROR(VLOOKUP(DATE($K$1,$K$2,PUQ$4),Table1[],(MATCH(Calendar!$A19,DB!$1:$1,0)),FALSE),"")</f>
        <v/>
      </c>
      <c r="PUR19" s="28" t="str">
        <f>IFERROR(VLOOKUP(DATE($K$1,$K$2,PUR$4),Table1[],(MATCH(Calendar!$A19,DB!$1:$1,0)),FALSE),"")</f>
        <v/>
      </c>
      <c r="PUS19" s="28" t="str">
        <f>IFERROR(VLOOKUP(DATE($K$1,$K$2,PUS$4),Table1[],(MATCH(Calendar!$A19,DB!$1:$1,0)),FALSE),"")</f>
        <v/>
      </c>
      <c r="PUT19" s="28" t="str">
        <f>IFERROR(VLOOKUP(DATE($K$1,$K$2,PUT$4),Table1[],(MATCH(Calendar!$A19,DB!$1:$1,0)),FALSE),"")</f>
        <v/>
      </c>
      <c r="PUU19" s="28" t="str">
        <f>IFERROR(VLOOKUP(DATE($K$1,$K$2,PUU$4),Table1[],(MATCH(Calendar!$A19,DB!$1:$1,0)),FALSE),"")</f>
        <v/>
      </c>
      <c r="PUV19" s="28" t="str">
        <f>IFERROR(VLOOKUP(DATE($K$1,$K$2,PUV$4),Table1[],(MATCH(Calendar!$A19,DB!$1:$1,0)),FALSE),"")</f>
        <v/>
      </c>
      <c r="PUW19" s="28" t="str">
        <f>IFERROR(VLOOKUP(DATE($K$1,$K$2,PUW$4),Table1[],(MATCH(Calendar!$A19,DB!$1:$1,0)),FALSE),"")</f>
        <v/>
      </c>
      <c r="PUX19" s="28" t="str">
        <f>IFERROR(VLOOKUP(DATE($K$1,$K$2,PUX$4),Table1[],(MATCH(Calendar!$A19,DB!$1:$1,0)),FALSE),"")</f>
        <v/>
      </c>
      <c r="PUY19" s="28" t="str">
        <f>IFERROR(VLOOKUP(DATE($K$1,$K$2,PUY$4),Table1[],(MATCH(Calendar!$A19,DB!$1:$1,0)),FALSE),"")</f>
        <v/>
      </c>
      <c r="PUZ19" s="28" t="str">
        <f>IFERROR(VLOOKUP(DATE($K$1,$K$2,PUZ$4),Table1[],(MATCH(Calendar!$A19,DB!$1:$1,0)),FALSE),"")</f>
        <v/>
      </c>
      <c r="PVA19" s="28" t="str">
        <f>IFERROR(VLOOKUP(DATE($K$1,$K$2,PVA$4),Table1[],(MATCH(Calendar!$A19,DB!$1:$1,0)),FALSE),"")</f>
        <v/>
      </c>
      <c r="PVB19" s="28" t="str">
        <f>IFERROR(VLOOKUP(DATE($K$1,$K$2,PVB$4),Table1[],(MATCH(Calendar!$A19,DB!$1:$1,0)),FALSE),"")</f>
        <v/>
      </c>
      <c r="PVC19" s="28" t="str">
        <f>IFERROR(VLOOKUP(DATE($K$1,$K$2,PVC$4),Table1[],(MATCH(Calendar!$A19,DB!$1:$1,0)),FALSE),"")</f>
        <v/>
      </c>
      <c r="PVD19" s="28" t="str">
        <f>IFERROR(VLOOKUP(DATE($K$1,$K$2,PVD$4),Table1[],(MATCH(Calendar!$A19,DB!$1:$1,0)),FALSE),"")</f>
        <v/>
      </c>
      <c r="PVE19" s="28" t="str">
        <f>IFERROR(VLOOKUP(DATE($K$1,$K$2,PVE$4),Table1[],(MATCH(Calendar!$A19,DB!$1:$1,0)),FALSE),"")</f>
        <v/>
      </c>
      <c r="PVF19" s="28" t="str">
        <f>IFERROR(VLOOKUP(DATE($K$1,$K$2,PVF$4),Table1[],(MATCH(Calendar!$A19,DB!$1:$1,0)),FALSE),"")</f>
        <v/>
      </c>
      <c r="PVG19" s="28" t="str">
        <f>IFERROR(VLOOKUP(DATE($K$1,$K$2,PVG$4),Table1[],(MATCH(Calendar!$A19,DB!$1:$1,0)),FALSE),"")</f>
        <v/>
      </c>
      <c r="PVH19" s="28" t="str">
        <f>IFERROR(VLOOKUP(DATE($K$1,$K$2,PVH$4),Table1[],(MATCH(Calendar!$A19,DB!$1:$1,0)),FALSE),"")</f>
        <v/>
      </c>
      <c r="PVI19" s="28" t="str">
        <f>IFERROR(VLOOKUP(DATE($K$1,$K$2,PVI$4),Table1[],(MATCH(Calendar!$A19,DB!$1:$1,0)),FALSE),"")</f>
        <v/>
      </c>
      <c r="PVJ19" s="28" t="str">
        <f>IFERROR(VLOOKUP(DATE($K$1,$K$2,PVJ$4),Table1[],(MATCH(Calendar!$A19,DB!$1:$1,0)),FALSE),"")</f>
        <v/>
      </c>
      <c r="PVK19" s="28" t="str">
        <f>IFERROR(VLOOKUP(DATE($K$1,$K$2,PVK$4),Table1[],(MATCH(Calendar!$A19,DB!$1:$1,0)),FALSE),"")</f>
        <v/>
      </c>
      <c r="PVL19" s="28" t="str">
        <f>IFERROR(VLOOKUP(DATE($K$1,$K$2,PVL$4),Table1[],(MATCH(Calendar!$A19,DB!$1:$1,0)),FALSE),"")</f>
        <v/>
      </c>
      <c r="PVM19" s="28" t="str">
        <f>IFERROR(VLOOKUP(DATE($K$1,$K$2,PVM$4),Table1[],(MATCH(Calendar!$A19,DB!$1:$1,0)),FALSE),"")</f>
        <v/>
      </c>
      <c r="PVN19" s="28" t="str">
        <f>IFERROR(VLOOKUP(DATE($K$1,$K$2,PVN$4),Table1[],(MATCH(Calendar!$A19,DB!$1:$1,0)),FALSE),"")</f>
        <v/>
      </c>
      <c r="PVO19" s="28" t="str">
        <f>IFERROR(VLOOKUP(DATE($K$1,$K$2,PVO$4),Table1[],(MATCH(Calendar!$A19,DB!$1:$1,0)),FALSE),"")</f>
        <v/>
      </c>
      <c r="PVP19" s="28" t="str">
        <f>IFERROR(VLOOKUP(DATE($K$1,$K$2,PVP$4),Table1[],(MATCH(Calendar!$A19,DB!$1:$1,0)),FALSE),"")</f>
        <v/>
      </c>
      <c r="PVQ19" s="28" t="str">
        <f>IFERROR(VLOOKUP(DATE($K$1,$K$2,PVQ$4),Table1[],(MATCH(Calendar!$A19,DB!$1:$1,0)),FALSE),"")</f>
        <v/>
      </c>
      <c r="PVR19" s="28" t="str">
        <f>IFERROR(VLOOKUP(DATE($K$1,$K$2,PVR$4),Table1[],(MATCH(Calendar!$A19,DB!$1:$1,0)),FALSE),"")</f>
        <v/>
      </c>
      <c r="PVS19" s="28" t="str">
        <f>IFERROR(VLOOKUP(DATE($K$1,$K$2,PVS$4),Table1[],(MATCH(Calendar!$A19,DB!$1:$1,0)),FALSE),"")</f>
        <v/>
      </c>
      <c r="PVT19" s="28" t="str">
        <f>IFERROR(VLOOKUP(DATE($K$1,$K$2,PVT$4),Table1[],(MATCH(Calendar!$A19,DB!$1:$1,0)),FALSE),"")</f>
        <v/>
      </c>
      <c r="PVU19" s="28" t="str">
        <f>IFERROR(VLOOKUP(DATE($K$1,$K$2,PVU$4),Table1[],(MATCH(Calendar!$A19,DB!$1:$1,0)),FALSE),"")</f>
        <v/>
      </c>
      <c r="PVV19" s="28" t="str">
        <f>IFERROR(VLOOKUP(DATE($K$1,$K$2,PVV$4),Table1[],(MATCH(Calendar!$A19,DB!$1:$1,0)),FALSE),"")</f>
        <v/>
      </c>
      <c r="PVW19" s="28" t="str">
        <f>IFERROR(VLOOKUP(DATE($K$1,$K$2,PVW$4),Table1[],(MATCH(Calendar!$A19,DB!$1:$1,0)),FALSE),"")</f>
        <v/>
      </c>
      <c r="PVX19" s="28" t="str">
        <f>IFERROR(VLOOKUP(DATE($K$1,$K$2,PVX$4),Table1[],(MATCH(Calendar!$A19,DB!$1:$1,0)),FALSE),"")</f>
        <v/>
      </c>
      <c r="PVY19" s="28" t="str">
        <f>IFERROR(VLOOKUP(DATE($K$1,$K$2,PVY$4),Table1[],(MATCH(Calendar!$A19,DB!$1:$1,0)),FALSE),"")</f>
        <v/>
      </c>
      <c r="PVZ19" s="28" t="str">
        <f>IFERROR(VLOOKUP(DATE($K$1,$K$2,PVZ$4),Table1[],(MATCH(Calendar!$A19,DB!$1:$1,0)),FALSE),"")</f>
        <v/>
      </c>
      <c r="PWA19" s="28" t="str">
        <f>IFERROR(VLOOKUP(DATE($K$1,$K$2,PWA$4),Table1[],(MATCH(Calendar!$A19,DB!$1:$1,0)),FALSE),"")</f>
        <v/>
      </c>
      <c r="PWB19" s="28" t="str">
        <f>IFERROR(VLOOKUP(DATE($K$1,$K$2,PWB$4),Table1[],(MATCH(Calendar!$A19,DB!$1:$1,0)),FALSE),"")</f>
        <v/>
      </c>
      <c r="PWC19" s="28" t="str">
        <f>IFERROR(VLOOKUP(DATE($K$1,$K$2,PWC$4),Table1[],(MATCH(Calendar!$A19,DB!$1:$1,0)),FALSE),"")</f>
        <v/>
      </c>
      <c r="PWD19" s="28" t="str">
        <f>IFERROR(VLOOKUP(DATE($K$1,$K$2,PWD$4),Table1[],(MATCH(Calendar!$A19,DB!$1:$1,0)),FALSE),"")</f>
        <v/>
      </c>
      <c r="PWE19" s="28" t="str">
        <f>IFERROR(VLOOKUP(DATE($K$1,$K$2,PWE$4),Table1[],(MATCH(Calendar!$A19,DB!$1:$1,0)),FALSE),"")</f>
        <v/>
      </c>
      <c r="PWF19" s="28" t="str">
        <f>IFERROR(VLOOKUP(DATE($K$1,$K$2,PWF$4),Table1[],(MATCH(Calendar!$A19,DB!$1:$1,0)),FALSE),"")</f>
        <v/>
      </c>
      <c r="PWG19" s="28" t="str">
        <f>IFERROR(VLOOKUP(DATE($K$1,$K$2,PWG$4),Table1[],(MATCH(Calendar!$A19,DB!$1:$1,0)),FALSE),"")</f>
        <v/>
      </c>
      <c r="PWH19" s="28" t="str">
        <f>IFERROR(VLOOKUP(DATE($K$1,$K$2,PWH$4),Table1[],(MATCH(Calendar!$A19,DB!$1:$1,0)),FALSE),"")</f>
        <v/>
      </c>
      <c r="PWI19" s="28" t="str">
        <f>IFERROR(VLOOKUP(DATE($K$1,$K$2,PWI$4),Table1[],(MATCH(Calendar!$A19,DB!$1:$1,0)),FALSE),"")</f>
        <v/>
      </c>
      <c r="PWJ19" s="28" t="str">
        <f>IFERROR(VLOOKUP(DATE($K$1,$K$2,PWJ$4),Table1[],(MATCH(Calendar!$A19,DB!$1:$1,0)),FALSE),"")</f>
        <v/>
      </c>
      <c r="PWK19" s="28" t="str">
        <f>IFERROR(VLOOKUP(DATE($K$1,$K$2,PWK$4),Table1[],(MATCH(Calendar!$A19,DB!$1:$1,0)),FALSE),"")</f>
        <v/>
      </c>
      <c r="PWL19" s="28" t="str">
        <f>IFERROR(VLOOKUP(DATE($K$1,$K$2,PWL$4),Table1[],(MATCH(Calendar!$A19,DB!$1:$1,0)),FALSE),"")</f>
        <v/>
      </c>
      <c r="PWM19" s="28" t="str">
        <f>IFERROR(VLOOKUP(DATE($K$1,$K$2,PWM$4),Table1[],(MATCH(Calendar!$A19,DB!$1:$1,0)),FALSE),"")</f>
        <v/>
      </c>
      <c r="PWN19" s="28" t="str">
        <f>IFERROR(VLOOKUP(DATE($K$1,$K$2,PWN$4),Table1[],(MATCH(Calendar!$A19,DB!$1:$1,0)),FALSE),"")</f>
        <v/>
      </c>
      <c r="PWO19" s="28" t="str">
        <f>IFERROR(VLOOKUP(DATE($K$1,$K$2,PWO$4),Table1[],(MATCH(Calendar!$A19,DB!$1:$1,0)),FALSE),"")</f>
        <v/>
      </c>
      <c r="PWP19" s="28" t="str">
        <f>IFERROR(VLOOKUP(DATE($K$1,$K$2,PWP$4),Table1[],(MATCH(Calendar!$A19,DB!$1:$1,0)),FALSE),"")</f>
        <v/>
      </c>
      <c r="PWQ19" s="28" t="str">
        <f>IFERROR(VLOOKUP(DATE($K$1,$K$2,PWQ$4),Table1[],(MATCH(Calendar!$A19,DB!$1:$1,0)),FALSE),"")</f>
        <v/>
      </c>
      <c r="PWR19" s="28" t="str">
        <f>IFERROR(VLOOKUP(DATE($K$1,$K$2,PWR$4),Table1[],(MATCH(Calendar!$A19,DB!$1:$1,0)),FALSE),"")</f>
        <v/>
      </c>
      <c r="PWS19" s="28" t="str">
        <f>IFERROR(VLOOKUP(DATE($K$1,$K$2,PWS$4),Table1[],(MATCH(Calendar!$A19,DB!$1:$1,0)),FALSE),"")</f>
        <v/>
      </c>
      <c r="PWT19" s="28" t="str">
        <f>IFERROR(VLOOKUP(DATE($K$1,$K$2,PWT$4),Table1[],(MATCH(Calendar!$A19,DB!$1:$1,0)),FALSE),"")</f>
        <v/>
      </c>
      <c r="PWU19" s="28" t="str">
        <f>IFERROR(VLOOKUP(DATE($K$1,$K$2,PWU$4),Table1[],(MATCH(Calendar!$A19,DB!$1:$1,0)),FALSE),"")</f>
        <v/>
      </c>
      <c r="PWV19" s="28" t="str">
        <f>IFERROR(VLOOKUP(DATE($K$1,$K$2,PWV$4),Table1[],(MATCH(Calendar!$A19,DB!$1:$1,0)),FALSE),"")</f>
        <v/>
      </c>
      <c r="PWW19" s="28" t="str">
        <f>IFERROR(VLOOKUP(DATE($K$1,$K$2,PWW$4),Table1[],(MATCH(Calendar!$A19,DB!$1:$1,0)),FALSE),"")</f>
        <v/>
      </c>
      <c r="PWX19" s="28" t="str">
        <f>IFERROR(VLOOKUP(DATE($K$1,$K$2,PWX$4),Table1[],(MATCH(Calendar!$A19,DB!$1:$1,0)),FALSE),"")</f>
        <v/>
      </c>
      <c r="PWY19" s="28" t="str">
        <f>IFERROR(VLOOKUP(DATE($K$1,$K$2,PWY$4),Table1[],(MATCH(Calendar!$A19,DB!$1:$1,0)),FALSE),"")</f>
        <v/>
      </c>
      <c r="PWZ19" s="28" t="str">
        <f>IFERROR(VLOOKUP(DATE($K$1,$K$2,PWZ$4),Table1[],(MATCH(Calendar!$A19,DB!$1:$1,0)),FALSE),"")</f>
        <v/>
      </c>
      <c r="PXA19" s="28" t="str">
        <f>IFERROR(VLOOKUP(DATE($K$1,$K$2,PXA$4),Table1[],(MATCH(Calendar!$A19,DB!$1:$1,0)),FALSE),"")</f>
        <v/>
      </c>
      <c r="PXB19" s="28" t="str">
        <f>IFERROR(VLOOKUP(DATE($K$1,$K$2,PXB$4),Table1[],(MATCH(Calendar!$A19,DB!$1:$1,0)),FALSE),"")</f>
        <v/>
      </c>
      <c r="PXC19" s="28" t="str">
        <f>IFERROR(VLOOKUP(DATE($K$1,$K$2,PXC$4),Table1[],(MATCH(Calendar!$A19,DB!$1:$1,0)),FALSE),"")</f>
        <v/>
      </c>
      <c r="PXD19" s="28" t="str">
        <f>IFERROR(VLOOKUP(DATE($K$1,$K$2,PXD$4),Table1[],(MATCH(Calendar!$A19,DB!$1:$1,0)),FALSE),"")</f>
        <v/>
      </c>
      <c r="PXE19" s="28" t="str">
        <f>IFERROR(VLOOKUP(DATE($K$1,$K$2,PXE$4),Table1[],(MATCH(Calendar!$A19,DB!$1:$1,0)),FALSE),"")</f>
        <v/>
      </c>
      <c r="PXF19" s="28" t="str">
        <f>IFERROR(VLOOKUP(DATE($K$1,$K$2,PXF$4),Table1[],(MATCH(Calendar!$A19,DB!$1:$1,0)),FALSE),"")</f>
        <v/>
      </c>
      <c r="PXG19" s="28" t="str">
        <f>IFERROR(VLOOKUP(DATE($K$1,$K$2,PXG$4),Table1[],(MATCH(Calendar!$A19,DB!$1:$1,0)),FALSE),"")</f>
        <v/>
      </c>
      <c r="PXH19" s="28" t="str">
        <f>IFERROR(VLOOKUP(DATE($K$1,$K$2,PXH$4),Table1[],(MATCH(Calendar!$A19,DB!$1:$1,0)),FALSE),"")</f>
        <v/>
      </c>
      <c r="PXI19" s="28" t="str">
        <f>IFERROR(VLOOKUP(DATE($K$1,$K$2,PXI$4),Table1[],(MATCH(Calendar!$A19,DB!$1:$1,0)),FALSE),"")</f>
        <v/>
      </c>
      <c r="PXJ19" s="28" t="str">
        <f>IFERROR(VLOOKUP(DATE($K$1,$K$2,PXJ$4),Table1[],(MATCH(Calendar!$A19,DB!$1:$1,0)),FALSE),"")</f>
        <v/>
      </c>
      <c r="PXK19" s="28" t="str">
        <f>IFERROR(VLOOKUP(DATE($K$1,$K$2,PXK$4),Table1[],(MATCH(Calendar!$A19,DB!$1:$1,0)),FALSE),"")</f>
        <v/>
      </c>
      <c r="PXL19" s="28" t="str">
        <f>IFERROR(VLOOKUP(DATE($K$1,$K$2,PXL$4),Table1[],(MATCH(Calendar!$A19,DB!$1:$1,0)),FALSE),"")</f>
        <v/>
      </c>
      <c r="PXM19" s="28" t="str">
        <f>IFERROR(VLOOKUP(DATE($K$1,$K$2,PXM$4),Table1[],(MATCH(Calendar!$A19,DB!$1:$1,0)),FALSE),"")</f>
        <v/>
      </c>
      <c r="PXN19" s="28" t="str">
        <f>IFERROR(VLOOKUP(DATE($K$1,$K$2,PXN$4),Table1[],(MATCH(Calendar!$A19,DB!$1:$1,0)),FALSE),"")</f>
        <v/>
      </c>
      <c r="PXO19" s="28" t="str">
        <f>IFERROR(VLOOKUP(DATE($K$1,$K$2,PXO$4),Table1[],(MATCH(Calendar!$A19,DB!$1:$1,0)),FALSE),"")</f>
        <v/>
      </c>
      <c r="PXP19" s="28" t="str">
        <f>IFERROR(VLOOKUP(DATE($K$1,$K$2,PXP$4),Table1[],(MATCH(Calendar!$A19,DB!$1:$1,0)),FALSE),"")</f>
        <v/>
      </c>
      <c r="PXQ19" s="28" t="str">
        <f>IFERROR(VLOOKUP(DATE($K$1,$K$2,PXQ$4),Table1[],(MATCH(Calendar!$A19,DB!$1:$1,0)),FALSE),"")</f>
        <v/>
      </c>
      <c r="PXR19" s="28" t="str">
        <f>IFERROR(VLOOKUP(DATE($K$1,$K$2,PXR$4),Table1[],(MATCH(Calendar!$A19,DB!$1:$1,0)),FALSE),"")</f>
        <v/>
      </c>
      <c r="PXS19" s="28" t="str">
        <f>IFERROR(VLOOKUP(DATE($K$1,$K$2,PXS$4),Table1[],(MATCH(Calendar!$A19,DB!$1:$1,0)),FALSE),"")</f>
        <v/>
      </c>
      <c r="PXT19" s="28" t="str">
        <f>IFERROR(VLOOKUP(DATE($K$1,$K$2,PXT$4),Table1[],(MATCH(Calendar!$A19,DB!$1:$1,0)),FALSE),"")</f>
        <v/>
      </c>
      <c r="PXU19" s="28" t="str">
        <f>IFERROR(VLOOKUP(DATE($K$1,$K$2,PXU$4),Table1[],(MATCH(Calendar!$A19,DB!$1:$1,0)),FALSE),"")</f>
        <v/>
      </c>
      <c r="PXV19" s="28" t="str">
        <f>IFERROR(VLOOKUP(DATE($K$1,$K$2,PXV$4),Table1[],(MATCH(Calendar!$A19,DB!$1:$1,0)),FALSE),"")</f>
        <v/>
      </c>
      <c r="PXW19" s="28" t="str">
        <f>IFERROR(VLOOKUP(DATE($K$1,$K$2,PXW$4),Table1[],(MATCH(Calendar!$A19,DB!$1:$1,0)),FALSE),"")</f>
        <v/>
      </c>
      <c r="PXX19" s="28" t="str">
        <f>IFERROR(VLOOKUP(DATE($K$1,$K$2,PXX$4),Table1[],(MATCH(Calendar!$A19,DB!$1:$1,0)),FALSE),"")</f>
        <v/>
      </c>
      <c r="PXY19" s="28" t="str">
        <f>IFERROR(VLOOKUP(DATE($K$1,$K$2,PXY$4),Table1[],(MATCH(Calendar!$A19,DB!$1:$1,0)),FALSE),"")</f>
        <v/>
      </c>
      <c r="PXZ19" s="28" t="str">
        <f>IFERROR(VLOOKUP(DATE($K$1,$K$2,PXZ$4),Table1[],(MATCH(Calendar!$A19,DB!$1:$1,0)),FALSE),"")</f>
        <v/>
      </c>
      <c r="PYA19" s="28" t="str">
        <f>IFERROR(VLOOKUP(DATE($K$1,$K$2,PYA$4),Table1[],(MATCH(Calendar!$A19,DB!$1:$1,0)),FALSE),"")</f>
        <v/>
      </c>
      <c r="PYB19" s="28" t="str">
        <f>IFERROR(VLOOKUP(DATE($K$1,$K$2,PYB$4),Table1[],(MATCH(Calendar!$A19,DB!$1:$1,0)),FALSE),"")</f>
        <v/>
      </c>
      <c r="PYC19" s="28" t="str">
        <f>IFERROR(VLOOKUP(DATE($K$1,$K$2,PYC$4),Table1[],(MATCH(Calendar!$A19,DB!$1:$1,0)),FALSE),"")</f>
        <v/>
      </c>
      <c r="PYD19" s="28" t="str">
        <f>IFERROR(VLOOKUP(DATE($K$1,$K$2,PYD$4),Table1[],(MATCH(Calendar!$A19,DB!$1:$1,0)),FALSE),"")</f>
        <v/>
      </c>
      <c r="PYE19" s="28" t="str">
        <f>IFERROR(VLOOKUP(DATE($K$1,$K$2,PYE$4),Table1[],(MATCH(Calendar!$A19,DB!$1:$1,0)),FALSE),"")</f>
        <v/>
      </c>
      <c r="PYF19" s="28" t="str">
        <f>IFERROR(VLOOKUP(DATE($K$1,$K$2,PYF$4),Table1[],(MATCH(Calendar!$A19,DB!$1:$1,0)),FALSE),"")</f>
        <v/>
      </c>
      <c r="PYG19" s="28" t="str">
        <f>IFERROR(VLOOKUP(DATE($K$1,$K$2,PYG$4),Table1[],(MATCH(Calendar!$A19,DB!$1:$1,0)),FALSE),"")</f>
        <v/>
      </c>
      <c r="PYH19" s="28" t="str">
        <f>IFERROR(VLOOKUP(DATE($K$1,$K$2,PYH$4),Table1[],(MATCH(Calendar!$A19,DB!$1:$1,0)),FALSE),"")</f>
        <v/>
      </c>
      <c r="PYI19" s="28" t="str">
        <f>IFERROR(VLOOKUP(DATE($K$1,$K$2,PYI$4),Table1[],(MATCH(Calendar!$A19,DB!$1:$1,0)),FALSE),"")</f>
        <v/>
      </c>
      <c r="PYJ19" s="28" t="str">
        <f>IFERROR(VLOOKUP(DATE($K$1,$K$2,PYJ$4),Table1[],(MATCH(Calendar!$A19,DB!$1:$1,0)),FALSE),"")</f>
        <v/>
      </c>
      <c r="PYK19" s="28" t="str">
        <f>IFERROR(VLOOKUP(DATE($K$1,$K$2,PYK$4),Table1[],(MATCH(Calendar!$A19,DB!$1:$1,0)),FALSE),"")</f>
        <v/>
      </c>
      <c r="PYL19" s="28" t="str">
        <f>IFERROR(VLOOKUP(DATE($K$1,$K$2,PYL$4),Table1[],(MATCH(Calendar!$A19,DB!$1:$1,0)),FALSE),"")</f>
        <v/>
      </c>
      <c r="PYM19" s="28" t="str">
        <f>IFERROR(VLOOKUP(DATE($K$1,$K$2,PYM$4),Table1[],(MATCH(Calendar!$A19,DB!$1:$1,0)),FALSE),"")</f>
        <v/>
      </c>
      <c r="PYN19" s="28" t="str">
        <f>IFERROR(VLOOKUP(DATE($K$1,$K$2,PYN$4),Table1[],(MATCH(Calendar!$A19,DB!$1:$1,0)),FALSE),"")</f>
        <v/>
      </c>
      <c r="PYO19" s="28" t="str">
        <f>IFERROR(VLOOKUP(DATE($K$1,$K$2,PYO$4),Table1[],(MATCH(Calendar!$A19,DB!$1:$1,0)),FALSE),"")</f>
        <v/>
      </c>
      <c r="PYP19" s="28" t="str">
        <f>IFERROR(VLOOKUP(DATE($K$1,$K$2,PYP$4),Table1[],(MATCH(Calendar!$A19,DB!$1:$1,0)),FALSE),"")</f>
        <v/>
      </c>
      <c r="PYQ19" s="28" t="str">
        <f>IFERROR(VLOOKUP(DATE($K$1,$K$2,PYQ$4),Table1[],(MATCH(Calendar!$A19,DB!$1:$1,0)),FALSE),"")</f>
        <v/>
      </c>
      <c r="PYR19" s="28" t="str">
        <f>IFERROR(VLOOKUP(DATE($K$1,$K$2,PYR$4),Table1[],(MATCH(Calendar!$A19,DB!$1:$1,0)),FALSE),"")</f>
        <v/>
      </c>
      <c r="PYS19" s="28" t="str">
        <f>IFERROR(VLOOKUP(DATE($K$1,$K$2,PYS$4),Table1[],(MATCH(Calendar!$A19,DB!$1:$1,0)),FALSE),"")</f>
        <v/>
      </c>
      <c r="PYT19" s="28" t="str">
        <f>IFERROR(VLOOKUP(DATE($K$1,$K$2,PYT$4),Table1[],(MATCH(Calendar!$A19,DB!$1:$1,0)),FALSE),"")</f>
        <v/>
      </c>
      <c r="PYU19" s="28" t="str">
        <f>IFERROR(VLOOKUP(DATE($K$1,$K$2,PYU$4),Table1[],(MATCH(Calendar!$A19,DB!$1:$1,0)),FALSE),"")</f>
        <v/>
      </c>
      <c r="PYV19" s="28" t="str">
        <f>IFERROR(VLOOKUP(DATE($K$1,$K$2,PYV$4),Table1[],(MATCH(Calendar!$A19,DB!$1:$1,0)),FALSE),"")</f>
        <v/>
      </c>
      <c r="PYW19" s="28" t="str">
        <f>IFERROR(VLOOKUP(DATE($K$1,$K$2,PYW$4),Table1[],(MATCH(Calendar!$A19,DB!$1:$1,0)),FALSE),"")</f>
        <v/>
      </c>
      <c r="PYX19" s="28" t="str">
        <f>IFERROR(VLOOKUP(DATE($K$1,$K$2,PYX$4),Table1[],(MATCH(Calendar!$A19,DB!$1:$1,0)),FALSE),"")</f>
        <v/>
      </c>
      <c r="PYY19" s="28" t="str">
        <f>IFERROR(VLOOKUP(DATE($K$1,$K$2,PYY$4),Table1[],(MATCH(Calendar!$A19,DB!$1:$1,0)),FALSE),"")</f>
        <v/>
      </c>
      <c r="PYZ19" s="28" t="str">
        <f>IFERROR(VLOOKUP(DATE($K$1,$K$2,PYZ$4),Table1[],(MATCH(Calendar!$A19,DB!$1:$1,0)),FALSE),"")</f>
        <v/>
      </c>
      <c r="PZA19" s="28" t="str">
        <f>IFERROR(VLOOKUP(DATE($K$1,$K$2,PZA$4),Table1[],(MATCH(Calendar!$A19,DB!$1:$1,0)),FALSE),"")</f>
        <v/>
      </c>
      <c r="PZB19" s="28" t="str">
        <f>IFERROR(VLOOKUP(DATE($K$1,$K$2,PZB$4),Table1[],(MATCH(Calendar!$A19,DB!$1:$1,0)),FALSE),"")</f>
        <v/>
      </c>
      <c r="PZC19" s="28" t="str">
        <f>IFERROR(VLOOKUP(DATE($K$1,$K$2,PZC$4),Table1[],(MATCH(Calendar!$A19,DB!$1:$1,0)),FALSE),"")</f>
        <v/>
      </c>
      <c r="PZD19" s="28" t="str">
        <f>IFERROR(VLOOKUP(DATE($K$1,$K$2,PZD$4),Table1[],(MATCH(Calendar!$A19,DB!$1:$1,0)),FALSE),"")</f>
        <v/>
      </c>
      <c r="PZE19" s="28" t="str">
        <f>IFERROR(VLOOKUP(DATE($K$1,$K$2,PZE$4),Table1[],(MATCH(Calendar!$A19,DB!$1:$1,0)),FALSE),"")</f>
        <v/>
      </c>
      <c r="PZF19" s="28" t="str">
        <f>IFERROR(VLOOKUP(DATE($K$1,$K$2,PZF$4),Table1[],(MATCH(Calendar!$A19,DB!$1:$1,0)),FALSE),"")</f>
        <v/>
      </c>
      <c r="PZG19" s="28" t="str">
        <f>IFERROR(VLOOKUP(DATE($K$1,$K$2,PZG$4),Table1[],(MATCH(Calendar!$A19,DB!$1:$1,0)),FALSE),"")</f>
        <v/>
      </c>
      <c r="PZH19" s="28" t="str">
        <f>IFERROR(VLOOKUP(DATE($K$1,$K$2,PZH$4),Table1[],(MATCH(Calendar!$A19,DB!$1:$1,0)),FALSE),"")</f>
        <v/>
      </c>
      <c r="PZI19" s="28" t="str">
        <f>IFERROR(VLOOKUP(DATE($K$1,$K$2,PZI$4),Table1[],(MATCH(Calendar!$A19,DB!$1:$1,0)),FALSE),"")</f>
        <v/>
      </c>
      <c r="PZJ19" s="28" t="str">
        <f>IFERROR(VLOOKUP(DATE($K$1,$K$2,PZJ$4),Table1[],(MATCH(Calendar!$A19,DB!$1:$1,0)),FALSE),"")</f>
        <v/>
      </c>
      <c r="PZK19" s="28" t="str">
        <f>IFERROR(VLOOKUP(DATE($K$1,$K$2,PZK$4),Table1[],(MATCH(Calendar!$A19,DB!$1:$1,0)),FALSE),"")</f>
        <v/>
      </c>
      <c r="PZL19" s="28" t="str">
        <f>IFERROR(VLOOKUP(DATE($K$1,$K$2,PZL$4),Table1[],(MATCH(Calendar!$A19,DB!$1:$1,0)),FALSE),"")</f>
        <v/>
      </c>
      <c r="PZM19" s="28" t="str">
        <f>IFERROR(VLOOKUP(DATE($K$1,$K$2,PZM$4),Table1[],(MATCH(Calendar!$A19,DB!$1:$1,0)),FALSE),"")</f>
        <v/>
      </c>
      <c r="PZN19" s="28" t="str">
        <f>IFERROR(VLOOKUP(DATE($K$1,$K$2,PZN$4),Table1[],(MATCH(Calendar!$A19,DB!$1:$1,0)),FALSE),"")</f>
        <v/>
      </c>
      <c r="PZO19" s="28" t="str">
        <f>IFERROR(VLOOKUP(DATE($K$1,$K$2,PZO$4),Table1[],(MATCH(Calendar!$A19,DB!$1:$1,0)),FALSE),"")</f>
        <v/>
      </c>
      <c r="PZP19" s="28" t="str">
        <f>IFERROR(VLOOKUP(DATE($K$1,$K$2,PZP$4),Table1[],(MATCH(Calendar!$A19,DB!$1:$1,0)),FALSE),"")</f>
        <v/>
      </c>
      <c r="PZQ19" s="28" t="str">
        <f>IFERROR(VLOOKUP(DATE($K$1,$K$2,PZQ$4),Table1[],(MATCH(Calendar!$A19,DB!$1:$1,0)),FALSE),"")</f>
        <v/>
      </c>
      <c r="PZR19" s="28" t="str">
        <f>IFERROR(VLOOKUP(DATE($K$1,$K$2,PZR$4),Table1[],(MATCH(Calendar!$A19,DB!$1:$1,0)),FALSE),"")</f>
        <v/>
      </c>
      <c r="PZS19" s="28" t="str">
        <f>IFERROR(VLOOKUP(DATE($K$1,$K$2,PZS$4),Table1[],(MATCH(Calendar!$A19,DB!$1:$1,0)),FALSE),"")</f>
        <v/>
      </c>
      <c r="PZT19" s="28" t="str">
        <f>IFERROR(VLOOKUP(DATE($K$1,$K$2,PZT$4),Table1[],(MATCH(Calendar!$A19,DB!$1:$1,0)),FALSE),"")</f>
        <v/>
      </c>
      <c r="PZU19" s="28" t="str">
        <f>IFERROR(VLOOKUP(DATE($K$1,$K$2,PZU$4),Table1[],(MATCH(Calendar!$A19,DB!$1:$1,0)),FALSE),"")</f>
        <v/>
      </c>
      <c r="PZV19" s="28" t="str">
        <f>IFERROR(VLOOKUP(DATE($K$1,$K$2,PZV$4),Table1[],(MATCH(Calendar!$A19,DB!$1:$1,0)),FALSE),"")</f>
        <v/>
      </c>
      <c r="PZW19" s="28" t="str">
        <f>IFERROR(VLOOKUP(DATE($K$1,$K$2,PZW$4),Table1[],(MATCH(Calendar!$A19,DB!$1:$1,0)),FALSE),"")</f>
        <v/>
      </c>
      <c r="PZX19" s="28" t="str">
        <f>IFERROR(VLOOKUP(DATE($K$1,$K$2,PZX$4),Table1[],(MATCH(Calendar!$A19,DB!$1:$1,0)),FALSE),"")</f>
        <v/>
      </c>
      <c r="PZY19" s="28" t="str">
        <f>IFERROR(VLOOKUP(DATE($K$1,$K$2,PZY$4),Table1[],(MATCH(Calendar!$A19,DB!$1:$1,0)),FALSE),"")</f>
        <v/>
      </c>
      <c r="PZZ19" s="28" t="str">
        <f>IFERROR(VLOOKUP(DATE($K$1,$K$2,PZZ$4),Table1[],(MATCH(Calendar!$A19,DB!$1:$1,0)),FALSE),"")</f>
        <v/>
      </c>
      <c r="QAA19" s="28" t="str">
        <f>IFERROR(VLOOKUP(DATE($K$1,$K$2,QAA$4),Table1[],(MATCH(Calendar!$A19,DB!$1:$1,0)),FALSE),"")</f>
        <v/>
      </c>
      <c r="QAB19" s="28" t="str">
        <f>IFERROR(VLOOKUP(DATE($K$1,$K$2,QAB$4),Table1[],(MATCH(Calendar!$A19,DB!$1:$1,0)),FALSE),"")</f>
        <v/>
      </c>
      <c r="QAC19" s="28" t="str">
        <f>IFERROR(VLOOKUP(DATE($K$1,$K$2,QAC$4),Table1[],(MATCH(Calendar!$A19,DB!$1:$1,0)),FALSE),"")</f>
        <v/>
      </c>
      <c r="QAD19" s="28" t="str">
        <f>IFERROR(VLOOKUP(DATE($K$1,$K$2,QAD$4),Table1[],(MATCH(Calendar!$A19,DB!$1:$1,0)),FALSE),"")</f>
        <v/>
      </c>
      <c r="QAE19" s="28" t="str">
        <f>IFERROR(VLOOKUP(DATE($K$1,$K$2,QAE$4),Table1[],(MATCH(Calendar!$A19,DB!$1:$1,0)),FALSE),"")</f>
        <v/>
      </c>
      <c r="QAF19" s="28" t="str">
        <f>IFERROR(VLOOKUP(DATE($K$1,$K$2,QAF$4),Table1[],(MATCH(Calendar!$A19,DB!$1:$1,0)),FALSE),"")</f>
        <v/>
      </c>
      <c r="QAG19" s="28" t="str">
        <f>IFERROR(VLOOKUP(DATE($K$1,$K$2,QAG$4),Table1[],(MATCH(Calendar!$A19,DB!$1:$1,0)),FALSE),"")</f>
        <v/>
      </c>
      <c r="QAH19" s="28" t="str">
        <f>IFERROR(VLOOKUP(DATE($K$1,$K$2,QAH$4),Table1[],(MATCH(Calendar!$A19,DB!$1:$1,0)),FALSE),"")</f>
        <v/>
      </c>
      <c r="QAI19" s="28" t="str">
        <f>IFERROR(VLOOKUP(DATE($K$1,$K$2,QAI$4),Table1[],(MATCH(Calendar!$A19,DB!$1:$1,0)),FALSE),"")</f>
        <v/>
      </c>
      <c r="QAJ19" s="28" t="str">
        <f>IFERROR(VLOOKUP(DATE($K$1,$K$2,QAJ$4),Table1[],(MATCH(Calendar!$A19,DB!$1:$1,0)),FALSE),"")</f>
        <v/>
      </c>
      <c r="QAK19" s="28" t="str">
        <f>IFERROR(VLOOKUP(DATE($K$1,$K$2,QAK$4),Table1[],(MATCH(Calendar!$A19,DB!$1:$1,0)),FALSE),"")</f>
        <v/>
      </c>
      <c r="QAL19" s="28" t="str">
        <f>IFERROR(VLOOKUP(DATE($K$1,$K$2,QAL$4),Table1[],(MATCH(Calendar!$A19,DB!$1:$1,0)),FALSE),"")</f>
        <v/>
      </c>
      <c r="QAM19" s="28" t="str">
        <f>IFERROR(VLOOKUP(DATE($K$1,$K$2,QAM$4),Table1[],(MATCH(Calendar!$A19,DB!$1:$1,0)),FALSE),"")</f>
        <v/>
      </c>
      <c r="QAN19" s="28" t="str">
        <f>IFERROR(VLOOKUP(DATE($K$1,$K$2,QAN$4),Table1[],(MATCH(Calendar!$A19,DB!$1:$1,0)),FALSE),"")</f>
        <v/>
      </c>
      <c r="QAO19" s="28" t="str">
        <f>IFERROR(VLOOKUP(DATE($K$1,$K$2,QAO$4),Table1[],(MATCH(Calendar!$A19,DB!$1:$1,0)),FALSE),"")</f>
        <v/>
      </c>
      <c r="QAP19" s="28" t="str">
        <f>IFERROR(VLOOKUP(DATE($K$1,$K$2,QAP$4),Table1[],(MATCH(Calendar!$A19,DB!$1:$1,0)),FALSE),"")</f>
        <v/>
      </c>
      <c r="QAQ19" s="28" t="str">
        <f>IFERROR(VLOOKUP(DATE($K$1,$K$2,QAQ$4),Table1[],(MATCH(Calendar!$A19,DB!$1:$1,0)),FALSE),"")</f>
        <v/>
      </c>
      <c r="QAR19" s="28" t="str">
        <f>IFERROR(VLOOKUP(DATE($K$1,$K$2,QAR$4),Table1[],(MATCH(Calendar!$A19,DB!$1:$1,0)),FALSE),"")</f>
        <v/>
      </c>
      <c r="QAS19" s="28" t="str">
        <f>IFERROR(VLOOKUP(DATE($K$1,$K$2,QAS$4),Table1[],(MATCH(Calendar!$A19,DB!$1:$1,0)),FALSE),"")</f>
        <v/>
      </c>
      <c r="QAT19" s="28" t="str">
        <f>IFERROR(VLOOKUP(DATE($K$1,$K$2,QAT$4),Table1[],(MATCH(Calendar!$A19,DB!$1:$1,0)),FALSE),"")</f>
        <v/>
      </c>
      <c r="QAU19" s="28" t="str">
        <f>IFERROR(VLOOKUP(DATE($K$1,$K$2,QAU$4),Table1[],(MATCH(Calendar!$A19,DB!$1:$1,0)),FALSE),"")</f>
        <v/>
      </c>
      <c r="QAV19" s="28" t="str">
        <f>IFERROR(VLOOKUP(DATE($K$1,$K$2,QAV$4),Table1[],(MATCH(Calendar!$A19,DB!$1:$1,0)),FALSE),"")</f>
        <v/>
      </c>
      <c r="QAW19" s="28" t="str">
        <f>IFERROR(VLOOKUP(DATE($K$1,$K$2,QAW$4),Table1[],(MATCH(Calendar!$A19,DB!$1:$1,0)),FALSE),"")</f>
        <v/>
      </c>
      <c r="QAX19" s="28" t="str">
        <f>IFERROR(VLOOKUP(DATE($K$1,$K$2,QAX$4),Table1[],(MATCH(Calendar!$A19,DB!$1:$1,0)),FALSE),"")</f>
        <v/>
      </c>
      <c r="QAY19" s="28" t="str">
        <f>IFERROR(VLOOKUP(DATE($K$1,$K$2,QAY$4),Table1[],(MATCH(Calendar!$A19,DB!$1:$1,0)),FALSE),"")</f>
        <v/>
      </c>
      <c r="QAZ19" s="28" t="str">
        <f>IFERROR(VLOOKUP(DATE($K$1,$K$2,QAZ$4),Table1[],(MATCH(Calendar!$A19,DB!$1:$1,0)),FALSE),"")</f>
        <v/>
      </c>
      <c r="QBA19" s="28" t="str">
        <f>IFERROR(VLOOKUP(DATE($K$1,$K$2,QBA$4),Table1[],(MATCH(Calendar!$A19,DB!$1:$1,0)),FALSE),"")</f>
        <v/>
      </c>
      <c r="QBB19" s="28" t="str">
        <f>IFERROR(VLOOKUP(DATE($K$1,$K$2,QBB$4),Table1[],(MATCH(Calendar!$A19,DB!$1:$1,0)),FALSE),"")</f>
        <v/>
      </c>
      <c r="QBC19" s="28" t="str">
        <f>IFERROR(VLOOKUP(DATE($K$1,$K$2,QBC$4),Table1[],(MATCH(Calendar!$A19,DB!$1:$1,0)),FALSE),"")</f>
        <v/>
      </c>
      <c r="QBD19" s="28" t="str">
        <f>IFERROR(VLOOKUP(DATE($K$1,$K$2,QBD$4),Table1[],(MATCH(Calendar!$A19,DB!$1:$1,0)),FALSE),"")</f>
        <v/>
      </c>
      <c r="QBE19" s="28" t="str">
        <f>IFERROR(VLOOKUP(DATE($K$1,$K$2,QBE$4),Table1[],(MATCH(Calendar!$A19,DB!$1:$1,0)),FALSE),"")</f>
        <v/>
      </c>
      <c r="QBF19" s="28" t="str">
        <f>IFERROR(VLOOKUP(DATE($K$1,$K$2,QBF$4),Table1[],(MATCH(Calendar!$A19,DB!$1:$1,0)),FALSE),"")</f>
        <v/>
      </c>
      <c r="QBG19" s="28" t="str">
        <f>IFERROR(VLOOKUP(DATE($K$1,$K$2,QBG$4),Table1[],(MATCH(Calendar!$A19,DB!$1:$1,0)),FALSE),"")</f>
        <v/>
      </c>
      <c r="QBH19" s="28" t="str">
        <f>IFERROR(VLOOKUP(DATE($K$1,$K$2,QBH$4),Table1[],(MATCH(Calendar!$A19,DB!$1:$1,0)),FALSE),"")</f>
        <v/>
      </c>
      <c r="QBI19" s="28" t="str">
        <f>IFERROR(VLOOKUP(DATE($K$1,$K$2,QBI$4),Table1[],(MATCH(Calendar!$A19,DB!$1:$1,0)),FALSE),"")</f>
        <v/>
      </c>
      <c r="QBJ19" s="28" t="str">
        <f>IFERROR(VLOOKUP(DATE($K$1,$K$2,QBJ$4),Table1[],(MATCH(Calendar!$A19,DB!$1:$1,0)),FALSE),"")</f>
        <v/>
      </c>
      <c r="QBK19" s="28" t="str">
        <f>IFERROR(VLOOKUP(DATE($K$1,$K$2,QBK$4),Table1[],(MATCH(Calendar!$A19,DB!$1:$1,0)),FALSE),"")</f>
        <v/>
      </c>
      <c r="QBL19" s="28" t="str">
        <f>IFERROR(VLOOKUP(DATE($K$1,$K$2,QBL$4),Table1[],(MATCH(Calendar!$A19,DB!$1:$1,0)),FALSE),"")</f>
        <v/>
      </c>
      <c r="QBM19" s="28" t="str">
        <f>IFERROR(VLOOKUP(DATE($K$1,$K$2,QBM$4),Table1[],(MATCH(Calendar!$A19,DB!$1:$1,0)),FALSE),"")</f>
        <v/>
      </c>
      <c r="QBN19" s="28" t="str">
        <f>IFERROR(VLOOKUP(DATE($K$1,$K$2,QBN$4),Table1[],(MATCH(Calendar!$A19,DB!$1:$1,0)),FALSE),"")</f>
        <v/>
      </c>
      <c r="QBO19" s="28" t="str">
        <f>IFERROR(VLOOKUP(DATE($K$1,$K$2,QBO$4),Table1[],(MATCH(Calendar!$A19,DB!$1:$1,0)),FALSE),"")</f>
        <v/>
      </c>
      <c r="QBP19" s="28" t="str">
        <f>IFERROR(VLOOKUP(DATE($K$1,$K$2,QBP$4),Table1[],(MATCH(Calendar!$A19,DB!$1:$1,0)),FALSE),"")</f>
        <v/>
      </c>
      <c r="QBQ19" s="28" t="str">
        <f>IFERROR(VLOOKUP(DATE($K$1,$K$2,QBQ$4),Table1[],(MATCH(Calendar!$A19,DB!$1:$1,0)),FALSE),"")</f>
        <v/>
      </c>
      <c r="QBR19" s="28" t="str">
        <f>IFERROR(VLOOKUP(DATE($K$1,$K$2,QBR$4),Table1[],(MATCH(Calendar!$A19,DB!$1:$1,0)),FALSE),"")</f>
        <v/>
      </c>
      <c r="QBS19" s="28" t="str">
        <f>IFERROR(VLOOKUP(DATE($K$1,$K$2,QBS$4),Table1[],(MATCH(Calendar!$A19,DB!$1:$1,0)),FALSE),"")</f>
        <v/>
      </c>
      <c r="QBT19" s="28" t="str">
        <f>IFERROR(VLOOKUP(DATE($K$1,$K$2,QBT$4),Table1[],(MATCH(Calendar!$A19,DB!$1:$1,0)),FALSE),"")</f>
        <v/>
      </c>
      <c r="QBU19" s="28" t="str">
        <f>IFERROR(VLOOKUP(DATE($K$1,$K$2,QBU$4),Table1[],(MATCH(Calendar!$A19,DB!$1:$1,0)),FALSE),"")</f>
        <v/>
      </c>
      <c r="QBV19" s="28" t="str">
        <f>IFERROR(VLOOKUP(DATE($K$1,$K$2,QBV$4),Table1[],(MATCH(Calendar!$A19,DB!$1:$1,0)),FALSE),"")</f>
        <v/>
      </c>
      <c r="QBW19" s="28" t="str">
        <f>IFERROR(VLOOKUP(DATE($K$1,$K$2,QBW$4),Table1[],(MATCH(Calendar!$A19,DB!$1:$1,0)),FALSE),"")</f>
        <v/>
      </c>
      <c r="QBX19" s="28" t="str">
        <f>IFERROR(VLOOKUP(DATE($K$1,$K$2,QBX$4),Table1[],(MATCH(Calendar!$A19,DB!$1:$1,0)),FALSE),"")</f>
        <v/>
      </c>
      <c r="QBY19" s="28" t="str">
        <f>IFERROR(VLOOKUP(DATE($K$1,$K$2,QBY$4),Table1[],(MATCH(Calendar!$A19,DB!$1:$1,0)),FALSE),"")</f>
        <v/>
      </c>
      <c r="QBZ19" s="28" t="str">
        <f>IFERROR(VLOOKUP(DATE($K$1,$K$2,QBZ$4),Table1[],(MATCH(Calendar!$A19,DB!$1:$1,0)),FALSE),"")</f>
        <v/>
      </c>
      <c r="QCA19" s="28" t="str">
        <f>IFERROR(VLOOKUP(DATE($K$1,$K$2,QCA$4),Table1[],(MATCH(Calendar!$A19,DB!$1:$1,0)),FALSE),"")</f>
        <v/>
      </c>
      <c r="QCB19" s="28" t="str">
        <f>IFERROR(VLOOKUP(DATE($K$1,$K$2,QCB$4),Table1[],(MATCH(Calendar!$A19,DB!$1:$1,0)),FALSE),"")</f>
        <v/>
      </c>
      <c r="QCC19" s="28" t="str">
        <f>IFERROR(VLOOKUP(DATE($K$1,$K$2,QCC$4),Table1[],(MATCH(Calendar!$A19,DB!$1:$1,0)),FALSE),"")</f>
        <v/>
      </c>
      <c r="QCD19" s="28" t="str">
        <f>IFERROR(VLOOKUP(DATE($K$1,$K$2,QCD$4),Table1[],(MATCH(Calendar!$A19,DB!$1:$1,0)),FALSE),"")</f>
        <v/>
      </c>
      <c r="QCE19" s="28" t="str">
        <f>IFERROR(VLOOKUP(DATE($K$1,$K$2,QCE$4),Table1[],(MATCH(Calendar!$A19,DB!$1:$1,0)),FALSE),"")</f>
        <v/>
      </c>
      <c r="QCF19" s="28" t="str">
        <f>IFERROR(VLOOKUP(DATE($K$1,$K$2,QCF$4),Table1[],(MATCH(Calendar!$A19,DB!$1:$1,0)),FALSE),"")</f>
        <v/>
      </c>
      <c r="QCG19" s="28" t="str">
        <f>IFERROR(VLOOKUP(DATE($K$1,$K$2,QCG$4),Table1[],(MATCH(Calendar!$A19,DB!$1:$1,0)),FALSE),"")</f>
        <v/>
      </c>
      <c r="QCH19" s="28" t="str">
        <f>IFERROR(VLOOKUP(DATE($K$1,$K$2,QCH$4),Table1[],(MATCH(Calendar!$A19,DB!$1:$1,0)),FALSE),"")</f>
        <v/>
      </c>
      <c r="QCI19" s="28" t="str">
        <f>IFERROR(VLOOKUP(DATE($K$1,$K$2,QCI$4),Table1[],(MATCH(Calendar!$A19,DB!$1:$1,0)),FALSE),"")</f>
        <v/>
      </c>
      <c r="QCJ19" s="28" t="str">
        <f>IFERROR(VLOOKUP(DATE($K$1,$K$2,QCJ$4),Table1[],(MATCH(Calendar!$A19,DB!$1:$1,0)),FALSE),"")</f>
        <v/>
      </c>
      <c r="QCK19" s="28" t="str">
        <f>IFERROR(VLOOKUP(DATE($K$1,$K$2,QCK$4),Table1[],(MATCH(Calendar!$A19,DB!$1:$1,0)),FALSE),"")</f>
        <v/>
      </c>
      <c r="QCL19" s="28" t="str">
        <f>IFERROR(VLOOKUP(DATE($K$1,$K$2,QCL$4),Table1[],(MATCH(Calendar!$A19,DB!$1:$1,0)),FALSE),"")</f>
        <v/>
      </c>
      <c r="QCM19" s="28" t="str">
        <f>IFERROR(VLOOKUP(DATE($K$1,$K$2,QCM$4),Table1[],(MATCH(Calendar!$A19,DB!$1:$1,0)),FALSE),"")</f>
        <v/>
      </c>
      <c r="QCN19" s="28" t="str">
        <f>IFERROR(VLOOKUP(DATE($K$1,$K$2,QCN$4),Table1[],(MATCH(Calendar!$A19,DB!$1:$1,0)),FALSE),"")</f>
        <v/>
      </c>
      <c r="QCO19" s="28" t="str">
        <f>IFERROR(VLOOKUP(DATE($K$1,$K$2,QCO$4),Table1[],(MATCH(Calendar!$A19,DB!$1:$1,0)),FALSE),"")</f>
        <v/>
      </c>
      <c r="QCP19" s="28" t="str">
        <f>IFERROR(VLOOKUP(DATE($K$1,$K$2,QCP$4),Table1[],(MATCH(Calendar!$A19,DB!$1:$1,0)),FALSE),"")</f>
        <v/>
      </c>
      <c r="QCQ19" s="28" t="str">
        <f>IFERROR(VLOOKUP(DATE($K$1,$K$2,QCQ$4),Table1[],(MATCH(Calendar!$A19,DB!$1:$1,0)),FALSE),"")</f>
        <v/>
      </c>
      <c r="QCR19" s="28" t="str">
        <f>IFERROR(VLOOKUP(DATE($K$1,$K$2,QCR$4),Table1[],(MATCH(Calendar!$A19,DB!$1:$1,0)),FALSE),"")</f>
        <v/>
      </c>
      <c r="QCS19" s="28" t="str">
        <f>IFERROR(VLOOKUP(DATE($K$1,$K$2,QCS$4),Table1[],(MATCH(Calendar!$A19,DB!$1:$1,0)),FALSE),"")</f>
        <v/>
      </c>
      <c r="QCT19" s="28" t="str">
        <f>IFERROR(VLOOKUP(DATE($K$1,$K$2,QCT$4),Table1[],(MATCH(Calendar!$A19,DB!$1:$1,0)),FALSE),"")</f>
        <v/>
      </c>
      <c r="QCU19" s="28" t="str">
        <f>IFERROR(VLOOKUP(DATE($K$1,$K$2,QCU$4),Table1[],(MATCH(Calendar!$A19,DB!$1:$1,0)),FALSE),"")</f>
        <v/>
      </c>
      <c r="QCV19" s="28" t="str">
        <f>IFERROR(VLOOKUP(DATE($K$1,$K$2,QCV$4),Table1[],(MATCH(Calendar!$A19,DB!$1:$1,0)),FALSE),"")</f>
        <v/>
      </c>
      <c r="QCW19" s="28" t="str">
        <f>IFERROR(VLOOKUP(DATE($K$1,$K$2,QCW$4),Table1[],(MATCH(Calendar!$A19,DB!$1:$1,0)),FALSE),"")</f>
        <v/>
      </c>
      <c r="QCX19" s="28" t="str">
        <f>IFERROR(VLOOKUP(DATE($K$1,$K$2,QCX$4),Table1[],(MATCH(Calendar!$A19,DB!$1:$1,0)),FALSE),"")</f>
        <v/>
      </c>
      <c r="QCY19" s="28" t="str">
        <f>IFERROR(VLOOKUP(DATE($K$1,$K$2,QCY$4),Table1[],(MATCH(Calendar!$A19,DB!$1:$1,0)),FALSE),"")</f>
        <v/>
      </c>
      <c r="QCZ19" s="28" t="str">
        <f>IFERROR(VLOOKUP(DATE($K$1,$K$2,QCZ$4),Table1[],(MATCH(Calendar!$A19,DB!$1:$1,0)),FALSE),"")</f>
        <v/>
      </c>
      <c r="QDA19" s="28" t="str">
        <f>IFERROR(VLOOKUP(DATE($K$1,$K$2,QDA$4),Table1[],(MATCH(Calendar!$A19,DB!$1:$1,0)),FALSE),"")</f>
        <v/>
      </c>
      <c r="QDB19" s="28" t="str">
        <f>IFERROR(VLOOKUP(DATE($K$1,$K$2,QDB$4),Table1[],(MATCH(Calendar!$A19,DB!$1:$1,0)),FALSE),"")</f>
        <v/>
      </c>
      <c r="QDC19" s="28" t="str">
        <f>IFERROR(VLOOKUP(DATE($K$1,$K$2,QDC$4),Table1[],(MATCH(Calendar!$A19,DB!$1:$1,0)),FALSE),"")</f>
        <v/>
      </c>
      <c r="QDD19" s="28" t="str">
        <f>IFERROR(VLOOKUP(DATE($K$1,$K$2,QDD$4),Table1[],(MATCH(Calendar!$A19,DB!$1:$1,0)),FALSE),"")</f>
        <v/>
      </c>
      <c r="QDE19" s="28" t="str">
        <f>IFERROR(VLOOKUP(DATE($K$1,$K$2,QDE$4),Table1[],(MATCH(Calendar!$A19,DB!$1:$1,0)),FALSE),"")</f>
        <v/>
      </c>
      <c r="QDF19" s="28" t="str">
        <f>IFERROR(VLOOKUP(DATE($K$1,$K$2,QDF$4),Table1[],(MATCH(Calendar!$A19,DB!$1:$1,0)),FALSE),"")</f>
        <v/>
      </c>
      <c r="QDG19" s="28" t="str">
        <f>IFERROR(VLOOKUP(DATE($K$1,$K$2,QDG$4),Table1[],(MATCH(Calendar!$A19,DB!$1:$1,0)),FALSE),"")</f>
        <v/>
      </c>
      <c r="QDH19" s="28" t="str">
        <f>IFERROR(VLOOKUP(DATE($K$1,$K$2,QDH$4),Table1[],(MATCH(Calendar!$A19,DB!$1:$1,0)),FALSE),"")</f>
        <v/>
      </c>
      <c r="QDI19" s="28" t="str">
        <f>IFERROR(VLOOKUP(DATE($K$1,$K$2,QDI$4),Table1[],(MATCH(Calendar!$A19,DB!$1:$1,0)),FALSE),"")</f>
        <v/>
      </c>
      <c r="QDJ19" s="28" t="str">
        <f>IFERROR(VLOOKUP(DATE($K$1,$K$2,QDJ$4),Table1[],(MATCH(Calendar!$A19,DB!$1:$1,0)),FALSE),"")</f>
        <v/>
      </c>
      <c r="QDK19" s="28" t="str">
        <f>IFERROR(VLOOKUP(DATE($K$1,$K$2,QDK$4),Table1[],(MATCH(Calendar!$A19,DB!$1:$1,0)),FALSE),"")</f>
        <v/>
      </c>
      <c r="QDL19" s="28" t="str">
        <f>IFERROR(VLOOKUP(DATE($K$1,$K$2,QDL$4),Table1[],(MATCH(Calendar!$A19,DB!$1:$1,0)),FALSE),"")</f>
        <v/>
      </c>
      <c r="QDM19" s="28" t="str">
        <f>IFERROR(VLOOKUP(DATE($K$1,$K$2,QDM$4),Table1[],(MATCH(Calendar!$A19,DB!$1:$1,0)),FALSE),"")</f>
        <v/>
      </c>
      <c r="QDN19" s="28" t="str">
        <f>IFERROR(VLOOKUP(DATE($K$1,$K$2,QDN$4),Table1[],(MATCH(Calendar!$A19,DB!$1:$1,0)),FALSE),"")</f>
        <v/>
      </c>
      <c r="QDO19" s="28" t="str">
        <f>IFERROR(VLOOKUP(DATE($K$1,$K$2,QDO$4),Table1[],(MATCH(Calendar!$A19,DB!$1:$1,0)),FALSE),"")</f>
        <v/>
      </c>
      <c r="QDP19" s="28" t="str">
        <f>IFERROR(VLOOKUP(DATE($K$1,$K$2,QDP$4),Table1[],(MATCH(Calendar!$A19,DB!$1:$1,0)),FALSE),"")</f>
        <v/>
      </c>
      <c r="QDQ19" s="28" t="str">
        <f>IFERROR(VLOOKUP(DATE($K$1,$K$2,QDQ$4),Table1[],(MATCH(Calendar!$A19,DB!$1:$1,0)),FALSE),"")</f>
        <v/>
      </c>
      <c r="QDR19" s="28" t="str">
        <f>IFERROR(VLOOKUP(DATE($K$1,$K$2,QDR$4),Table1[],(MATCH(Calendar!$A19,DB!$1:$1,0)),FALSE),"")</f>
        <v/>
      </c>
      <c r="QDS19" s="28" t="str">
        <f>IFERROR(VLOOKUP(DATE($K$1,$K$2,QDS$4),Table1[],(MATCH(Calendar!$A19,DB!$1:$1,0)),FALSE),"")</f>
        <v/>
      </c>
      <c r="QDT19" s="28" t="str">
        <f>IFERROR(VLOOKUP(DATE($K$1,$K$2,QDT$4),Table1[],(MATCH(Calendar!$A19,DB!$1:$1,0)),FALSE),"")</f>
        <v/>
      </c>
      <c r="QDU19" s="28" t="str">
        <f>IFERROR(VLOOKUP(DATE($K$1,$K$2,QDU$4),Table1[],(MATCH(Calendar!$A19,DB!$1:$1,0)),FALSE),"")</f>
        <v/>
      </c>
      <c r="QDV19" s="28" t="str">
        <f>IFERROR(VLOOKUP(DATE($K$1,$K$2,QDV$4),Table1[],(MATCH(Calendar!$A19,DB!$1:$1,0)),FALSE),"")</f>
        <v/>
      </c>
      <c r="QDW19" s="28" t="str">
        <f>IFERROR(VLOOKUP(DATE($K$1,$K$2,QDW$4),Table1[],(MATCH(Calendar!$A19,DB!$1:$1,0)),FALSE),"")</f>
        <v/>
      </c>
      <c r="QDX19" s="28" t="str">
        <f>IFERROR(VLOOKUP(DATE($K$1,$K$2,QDX$4),Table1[],(MATCH(Calendar!$A19,DB!$1:$1,0)),FALSE),"")</f>
        <v/>
      </c>
      <c r="QDY19" s="28" t="str">
        <f>IFERROR(VLOOKUP(DATE($K$1,$K$2,QDY$4),Table1[],(MATCH(Calendar!$A19,DB!$1:$1,0)),FALSE),"")</f>
        <v/>
      </c>
      <c r="QDZ19" s="28" t="str">
        <f>IFERROR(VLOOKUP(DATE($K$1,$K$2,QDZ$4),Table1[],(MATCH(Calendar!$A19,DB!$1:$1,0)),FALSE),"")</f>
        <v/>
      </c>
      <c r="QEA19" s="28" t="str">
        <f>IFERROR(VLOOKUP(DATE($K$1,$K$2,QEA$4),Table1[],(MATCH(Calendar!$A19,DB!$1:$1,0)),FALSE),"")</f>
        <v/>
      </c>
      <c r="QEB19" s="28" t="str">
        <f>IFERROR(VLOOKUP(DATE($K$1,$K$2,QEB$4),Table1[],(MATCH(Calendar!$A19,DB!$1:$1,0)),FALSE),"")</f>
        <v/>
      </c>
      <c r="QEC19" s="28" t="str">
        <f>IFERROR(VLOOKUP(DATE($K$1,$K$2,QEC$4),Table1[],(MATCH(Calendar!$A19,DB!$1:$1,0)),FALSE),"")</f>
        <v/>
      </c>
      <c r="QED19" s="28" t="str">
        <f>IFERROR(VLOOKUP(DATE($K$1,$K$2,QED$4),Table1[],(MATCH(Calendar!$A19,DB!$1:$1,0)),FALSE),"")</f>
        <v/>
      </c>
      <c r="QEE19" s="28" t="str">
        <f>IFERROR(VLOOKUP(DATE($K$1,$K$2,QEE$4),Table1[],(MATCH(Calendar!$A19,DB!$1:$1,0)),FALSE),"")</f>
        <v/>
      </c>
      <c r="QEF19" s="28" t="str">
        <f>IFERROR(VLOOKUP(DATE($K$1,$K$2,QEF$4),Table1[],(MATCH(Calendar!$A19,DB!$1:$1,0)),FALSE),"")</f>
        <v/>
      </c>
      <c r="QEG19" s="28" t="str">
        <f>IFERROR(VLOOKUP(DATE($K$1,$K$2,QEG$4),Table1[],(MATCH(Calendar!$A19,DB!$1:$1,0)),FALSE),"")</f>
        <v/>
      </c>
      <c r="QEH19" s="28" t="str">
        <f>IFERROR(VLOOKUP(DATE($K$1,$K$2,QEH$4),Table1[],(MATCH(Calendar!$A19,DB!$1:$1,0)),FALSE),"")</f>
        <v/>
      </c>
      <c r="QEI19" s="28" t="str">
        <f>IFERROR(VLOOKUP(DATE($K$1,$K$2,QEI$4),Table1[],(MATCH(Calendar!$A19,DB!$1:$1,0)),FALSE),"")</f>
        <v/>
      </c>
      <c r="QEJ19" s="28" t="str">
        <f>IFERROR(VLOOKUP(DATE($K$1,$K$2,QEJ$4),Table1[],(MATCH(Calendar!$A19,DB!$1:$1,0)),FALSE),"")</f>
        <v/>
      </c>
      <c r="QEK19" s="28" t="str">
        <f>IFERROR(VLOOKUP(DATE($K$1,$K$2,QEK$4),Table1[],(MATCH(Calendar!$A19,DB!$1:$1,0)),FALSE),"")</f>
        <v/>
      </c>
      <c r="QEL19" s="28" t="str">
        <f>IFERROR(VLOOKUP(DATE($K$1,$K$2,QEL$4),Table1[],(MATCH(Calendar!$A19,DB!$1:$1,0)),FALSE),"")</f>
        <v/>
      </c>
      <c r="QEM19" s="28" t="str">
        <f>IFERROR(VLOOKUP(DATE($K$1,$K$2,QEM$4),Table1[],(MATCH(Calendar!$A19,DB!$1:$1,0)),FALSE),"")</f>
        <v/>
      </c>
      <c r="QEN19" s="28" t="str">
        <f>IFERROR(VLOOKUP(DATE($K$1,$K$2,QEN$4),Table1[],(MATCH(Calendar!$A19,DB!$1:$1,0)),FALSE),"")</f>
        <v/>
      </c>
      <c r="QEO19" s="28" t="str">
        <f>IFERROR(VLOOKUP(DATE($K$1,$K$2,QEO$4),Table1[],(MATCH(Calendar!$A19,DB!$1:$1,0)),FALSE),"")</f>
        <v/>
      </c>
      <c r="QEP19" s="28" t="str">
        <f>IFERROR(VLOOKUP(DATE($K$1,$K$2,QEP$4),Table1[],(MATCH(Calendar!$A19,DB!$1:$1,0)),FALSE),"")</f>
        <v/>
      </c>
      <c r="QEQ19" s="28" t="str">
        <f>IFERROR(VLOOKUP(DATE($K$1,$K$2,QEQ$4),Table1[],(MATCH(Calendar!$A19,DB!$1:$1,0)),FALSE),"")</f>
        <v/>
      </c>
      <c r="QER19" s="28" t="str">
        <f>IFERROR(VLOOKUP(DATE($K$1,$K$2,QER$4),Table1[],(MATCH(Calendar!$A19,DB!$1:$1,0)),FALSE),"")</f>
        <v/>
      </c>
      <c r="QES19" s="28" t="str">
        <f>IFERROR(VLOOKUP(DATE($K$1,$K$2,QES$4),Table1[],(MATCH(Calendar!$A19,DB!$1:$1,0)),FALSE),"")</f>
        <v/>
      </c>
      <c r="QET19" s="28" t="str">
        <f>IFERROR(VLOOKUP(DATE($K$1,$K$2,QET$4),Table1[],(MATCH(Calendar!$A19,DB!$1:$1,0)),FALSE),"")</f>
        <v/>
      </c>
      <c r="QEU19" s="28" t="str">
        <f>IFERROR(VLOOKUP(DATE($K$1,$K$2,QEU$4),Table1[],(MATCH(Calendar!$A19,DB!$1:$1,0)),FALSE),"")</f>
        <v/>
      </c>
      <c r="QEV19" s="28" t="str">
        <f>IFERROR(VLOOKUP(DATE($K$1,$K$2,QEV$4),Table1[],(MATCH(Calendar!$A19,DB!$1:$1,0)),FALSE),"")</f>
        <v/>
      </c>
      <c r="QEW19" s="28" t="str">
        <f>IFERROR(VLOOKUP(DATE($K$1,$K$2,QEW$4),Table1[],(MATCH(Calendar!$A19,DB!$1:$1,0)),FALSE),"")</f>
        <v/>
      </c>
      <c r="QEX19" s="28" t="str">
        <f>IFERROR(VLOOKUP(DATE($K$1,$K$2,QEX$4),Table1[],(MATCH(Calendar!$A19,DB!$1:$1,0)),FALSE),"")</f>
        <v/>
      </c>
      <c r="QEY19" s="28" t="str">
        <f>IFERROR(VLOOKUP(DATE($K$1,$K$2,QEY$4),Table1[],(MATCH(Calendar!$A19,DB!$1:$1,0)),FALSE),"")</f>
        <v/>
      </c>
      <c r="QEZ19" s="28" t="str">
        <f>IFERROR(VLOOKUP(DATE($K$1,$K$2,QEZ$4),Table1[],(MATCH(Calendar!$A19,DB!$1:$1,0)),FALSE),"")</f>
        <v/>
      </c>
      <c r="QFA19" s="28" t="str">
        <f>IFERROR(VLOOKUP(DATE($K$1,$K$2,QFA$4),Table1[],(MATCH(Calendar!$A19,DB!$1:$1,0)),FALSE),"")</f>
        <v/>
      </c>
      <c r="QFB19" s="28" t="str">
        <f>IFERROR(VLOOKUP(DATE($K$1,$K$2,QFB$4),Table1[],(MATCH(Calendar!$A19,DB!$1:$1,0)),FALSE),"")</f>
        <v/>
      </c>
      <c r="QFC19" s="28" t="str">
        <f>IFERROR(VLOOKUP(DATE($K$1,$K$2,QFC$4),Table1[],(MATCH(Calendar!$A19,DB!$1:$1,0)),FALSE),"")</f>
        <v/>
      </c>
      <c r="QFD19" s="28" t="str">
        <f>IFERROR(VLOOKUP(DATE($K$1,$K$2,QFD$4),Table1[],(MATCH(Calendar!$A19,DB!$1:$1,0)),FALSE),"")</f>
        <v/>
      </c>
      <c r="QFE19" s="28" t="str">
        <f>IFERROR(VLOOKUP(DATE($K$1,$K$2,QFE$4),Table1[],(MATCH(Calendar!$A19,DB!$1:$1,0)),FALSE),"")</f>
        <v/>
      </c>
      <c r="QFF19" s="28" t="str">
        <f>IFERROR(VLOOKUP(DATE($K$1,$K$2,QFF$4),Table1[],(MATCH(Calendar!$A19,DB!$1:$1,0)),FALSE),"")</f>
        <v/>
      </c>
      <c r="QFG19" s="28" t="str">
        <f>IFERROR(VLOOKUP(DATE($K$1,$K$2,QFG$4),Table1[],(MATCH(Calendar!$A19,DB!$1:$1,0)),FALSE),"")</f>
        <v/>
      </c>
      <c r="QFH19" s="28" t="str">
        <f>IFERROR(VLOOKUP(DATE($K$1,$K$2,QFH$4),Table1[],(MATCH(Calendar!$A19,DB!$1:$1,0)),FALSE),"")</f>
        <v/>
      </c>
      <c r="QFI19" s="28" t="str">
        <f>IFERROR(VLOOKUP(DATE($K$1,$K$2,QFI$4),Table1[],(MATCH(Calendar!$A19,DB!$1:$1,0)),FALSE),"")</f>
        <v/>
      </c>
      <c r="QFJ19" s="28" t="str">
        <f>IFERROR(VLOOKUP(DATE($K$1,$K$2,QFJ$4),Table1[],(MATCH(Calendar!$A19,DB!$1:$1,0)),FALSE),"")</f>
        <v/>
      </c>
      <c r="QFK19" s="28" t="str">
        <f>IFERROR(VLOOKUP(DATE($K$1,$K$2,QFK$4),Table1[],(MATCH(Calendar!$A19,DB!$1:$1,0)),FALSE),"")</f>
        <v/>
      </c>
      <c r="QFL19" s="28" t="str">
        <f>IFERROR(VLOOKUP(DATE($K$1,$K$2,QFL$4),Table1[],(MATCH(Calendar!$A19,DB!$1:$1,0)),FALSE),"")</f>
        <v/>
      </c>
      <c r="QFM19" s="28" t="str">
        <f>IFERROR(VLOOKUP(DATE($K$1,$K$2,QFM$4),Table1[],(MATCH(Calendar!$A19,DB!$1:$1,0)),FALSE),"")</f>
        <v/>
      </c>
      <c r="QFN19" s="28" t="str">
        <f>IFERROR(VLOOKUP(DATE($K$1,$K$2,QFN$4),Table1[],(MATCH(Calendar!$A19,DB!$1:$1,0)),FALSE),"")</f>
        <v/>
      </c>
      <c r="QFO19" s="28" t="str">
        <f>IFERROR(VLOOKUP(DATE($K$1,$K$2,QFO$4),Table1[],(MATCH(Calendar!$A19,DB!$1:$1,0)),FALSE),"")</f>
        <v/>
      </c>
      <c r="QFP19" s="28" t="str">
        <f>IFERROR(VLOOKUP(DATE($K$1,$K$2,QFP$4),Table1[],(MATCH(Calendar!$A19,DB!$1:$1,0)),FALSE),"")</f>
        <v/>
      </c>
      <c r="QFQ19" s="28" t="str">
        <f>IFERROR(VLOOKUP(DATE($K$1,$K$2,QFQ$4),Table1[],(MATCH(Calendar!$A19,DB!$1:$1,0)),FALSE),"")</f>
        <v/>
      </c>
      <c r="QFR19" s="28" t="str">
        <f>IFERROR(VLOOKUP(DATE($K$1,$K$2,QFR$4),Table1[],(MATCH(Calendar!$A19,DB!$1:$1,0)),FALSE),"")</f>
        <v/>
      </c>
      <c r="QFS19" s="28" t="str">
        <f>IFERROR(VLOOKUP(DATE($K$1,$K$2,QFS$4),Table1[],(MATCH(Calendar!$A19,DB!$1:$1,0)),FALSE),"")</f>
        <v/>
      </c>
      <c r="QFT19" s="28" t="str">
        <f>IFERROR(VLOOKUP(DATE($K$1,$K$2,QFT$4),Table1[],(MATCH(Calendar!$A19,DB!$1:$1,0)),FALSE),"")</f>
        <v/>
      </c>
      <c r="QFU19" s="28" t="str">
        <f>IFERROR(VLOOKUP(DATE($K$1,$K$2,QFU$4),Table1[],(MATCH(Calendar!$A19,DB!$1:$1,0)),FALSE),"")</f>
        <v/>
      </c>
      <c r="QFV19" s="28" t="str">
        <f>IFERROR(VLOOKUP(DATE($K$1,$K$2,QFV$4),Table1[],(MATCH(Calendar!$A19,DB!$1:$1,0)),FALSE),"")</f>
        <v/>
      </c>
      <c r="QFW19" s="28" t="str">
        <f>IFERROR(VLOOKUP(DATE($K$1,$K$2,QFW$4),Table1[],(MATCH(Calendar!$A19,DB!$1:$1,0)),FALSE),"")</f>
        <v/>
      </c>
      <c r="QFX19" s="28" t="str">
        <f>IFERROR(VLOOKUP(DATE($K$1,$K$2,QFX$4),Table1[],(MATCH(Calendar!$A19,DB!$1:$1,0)),FALSE),"")</f>
        <v/>
      </c>
      <c r="QFY19" s="28" t="str">
        <f>IFERROR(VLOOKUP(DATE($K$1,$K$2,QFY$4),Table1[],(MATCH(Calendar!$A19,DB!$1:$1,0)),FALSE),"")</f>
        <v/>
      </c>
      <c r="QFZ19" s="28" t="str">
        <f>IFERROR(VLOOKUP(DATE($K$1,$K$2,QFZ$4),Table1[],(MATCH(Calendar!$A19,DB!$1:$1,0)),FALSE),"")</f>
        <v/>
      </c>
      <c r="QGA19" s="28" t="str">
        <f>IFERROR(VLOOKUP(DATE($K$1,$K$2,QGA$4),Table1[],(MATCH(Calendar!$A19,DB!$1:$1,0)),FALSE),"")</f>
        <v/>
      </c>
      <c r="QGB19" s="28" t="str">
        <f>IFERROR(VLOOKUP(DATE($K$1,$K$2,QGB$4),Table1[],(MATCH(Calendar!$A19,DB!$1:$1,0)),FALSE),"")</f>
        <v/>
      </c>
      <c r="QGC19" s="28" t="str">
        <f>IFERROR(VLOOKUP(DATE($K$1,$K$2,QGC$4),Table1[],(MATCH(Calendar!$A19,DB!$1:$1,0)),FALSE),"")</f>
        <v/>
      </c>
      <c r="QGD19" s="28" t="str">
        <f>IFERROR(VLOOKUP(DATE($K$1,$K$2,QGD$4),Table1[],(MATCH(Calendar!$A19,DB!$1:$1,0)),FALSE),"")</f>
        <v/>
      </c>
      <c r="QGE19" s="28" t="str">
        <f>IFERROR(VLOOKUP(DATE($K$1,$K$2,QGE$4),Table1[],(MATCH(Calendar!$A19,DB!$1:$1,0)),FALSE),"")</f>
        <v/>
      </c>
      <c r="QGF19" s="28" t="str">
        <f>IFERROR(VLOOKUP(DATE($K$1,$K$2,QGF$4),Table1[],(MATCH(Calendar!$A19,DB!$1:$1,0)),FALSE),"")</f>
        <v/>
      </c>
      <c r="QGG19" s="28" t="str">
        <f>IFERROR(VLOOKUP(DATE($K$1,$K$2,QGG$4),Table1[],(MATCH(Calendar!$A19,DB!$1:$1,0)),FALSE),"")</f>
        <v/>
      </c>
      <c r="QGH19" s="28" t="str">
        <f>IFERROR(VLOOKUP(DATE($K$1,$K$2,QGH$4),Table1[],(MATCH(Calendar!$A19,DB!$1:$1,0)),FALSE),"")</f>
        <v/>
      </c>
      <c r="QGI19" s="28" t="str">
        <f>IFERROR(VLOOKUP(DATE($K$1,$K$2,QGI$4),Table1[],(MATCH(Calendar!$A19,DB!$1:$1,0)),FALSE),"")</f>
        <v/>
      </c>
      <c r="QGJ19" s="28" t="str">
        <f>IFERROR(VLOOKUP(DATE($K$1,$K$2,QGJ$4),Table1[],(MATCH(Calendar!$A19,DB!$1:$1,0)),FALSE),"")</f>
        <v/>
      </c>
      <c r="QGK19" s="28" t="str">
        <f>IFERROR(VLOOKUP(DATE($K$1,$K$2,QGK$4),Table1[],(MATCH(Calendar!$A19,DB!$1:$1,0)),FALSE),"")</f>
        <v/>
      </c>
      <c r="QGL19" s="28" t="str">
        <f>IFERROR(VLOOKUP(DATE($K$1,$K$2,QGL$4),Table1[],(MATCH(Calendar!$A19,DB!$1:$1,0)),FALSE),"")</f>
        <v/>
      </c>
      <c r="QGM19" s="28" t="str">
        <f>IFERROR(VLOOKUP(DATE($K$1,$K$2,QGM$4),Table1[],(MATCH(Calendar!$A19,DB!$1:$1,0)),FALSE),"")</f>
        <v/>
      </c>
      <c r="QGN19" s="28" t="str">
        <f>IFERROR(VLOOKUP(DATE($K$1,$K$2,QGN$4),Table1[],(MATCH(Calendar!$A19,DB!$1:$1,0)),FALSE),"")</f>
        <v/>
      </c>
      <c r="QGO19" s="28" t="str">
        <f>IFERROR(VLOOKUP(DATE($K$1,$K$2,QGO$4),Table1[],(MATCH(Calendar!$A19,DB!$1:$1,0)),FALSE),"")</f>
        <v/>
      </c>
      <c r="QGP19" s="28" t="str">
        <f>IFERROR(VLOOKUP(DATE($K$1,$K$2,QGP$4),Table1[],(MATCH(Calendar!$A19,DB!$1:$1,0)),FALSE),"")</f>
        <v/>
      </c>
      <c r="QGQ19" s="28" t="str">
        <f>IFERROR(VLOOKUP(DATE($K$1,$K$2,QGQ$4),Table1[],(MATCH(Calendar!$A19,DB!$1:$1,0)),FALSE),"")</f>
        <v/>
      </c>
      <c r="QGR19" s="28" t="str">
        <f>IFERROR(VLOOKUP(DATE($K$1,$K$2,QGR$4),Table1[],(MATCH(Calendar!$A19,DB!$1:$1,0)),FALSE),"")</f>
        <v/>
      </c>
      <c r="QGS19" s="28" t="str">
        <f>IFERROR(VLOOKUP(DATE($K$1,$K$2,QGS$4),Table1[],(MATCH(Calendar!$A19,DB!$1:$1,0)),FALSE),"")</f>
        <v/>
      </c>
      <c r="QGT19" s="28" t="str">
        <f>IFERROR(VLOOKUP(DATE($K$1,$K$2,QGT$4),Table1[],(MATCH(Calendar!$A19,DB!$1:$1,0)),FALSE),"")</f>
        <v/>
      </c>
      <c r="QGU19" s="28" t="str">
        <f>IFERROR(VLOOKUP(DATE($K$1,$K$2,QGU$4),Table1[],(MATCH(Calendar!$A19,DB!$1:$1,0)),FALSE),"")</f>
        <v/>
      </c>
      <c r="QGV19" s="28" t="str">
        <f>IFERROR(VLOOKUP(DATE($K$1,$K$2,QGV$4),Table1[],(MATCH(Calendar!$A19,DB!$1:$1,0)),FALSE),"")</f>
        <v/>
      </c>
      <c r="QGW19" s="28" t="str">
        <f>IFERROR(VLOOKUP(DATE($K$1,$K$2,QGW$4),Table1[],(MATCH(Calendar!$A19,DB!$1:$1,0)),FALSE),"")</f>
        <v/>
      </c>
      <c r="QGX19" s="28" t="str">
        <f>IFERROR(VLOOKUP(DATE($K$1,$K$2,QGX$4),Table1[],(MATCH(Calendar!$A19,DB!$1:$1,0)),FALSE),"")</f>
        <v/>
      </c>
      <c r="QGY19" s="28" t="str">
        <f>IFERROR(VLOOKUP(DATE($K$1,$K$2,QGY$4),Table1[],(MATCH(Calendar!$A19,DB!$1:$1,0)),FALSE),"")</f>
        <v/>
      </c>
      <c r="QGZ19" s="28" t="str">
        <f>IFERROR(VLOOKUP(DATE($K$1,$K$2,QGZ$4),Table1[],(MATCH(Calendar!$A19,DB!$1:$1,0)),FALSE),"")</f>
        <v/>
      </c>
      <c r="QHA19" s="28" t="str">
        <f>IFERROR(VLOOKUP(DATE($K$1,$K$2,QHA$4),Table1[],(MATCH(Calendar!$A19,DB!$1:$1,0)),FALSE),"")</f>
        <v/>
      </c>
      <c r="QHB19" s="28" t="str">
        <f>IFERROR(VLOOKUP(DATE($K$1,$K$2,QHB$4),Table1[],(MATCH(Calendar!$A19,DB!$1:$1,0)),FALSE),"")</f>
        <v/>
      </c>
      <c r="QHC19" s="28" t="str">
        <f>IFERROR(VLOOKUP(DATE($K$1,$K$2,QHC$4),Table1[],(MATCH(Calendar!$A19,DB!$1:$1,0)),FALSE),"")</f>
        <v/>
      </c>
      <c r="QHD19" s="28" t="str">
        <f>IFERROR(VLOOKUP(DATE($K$1,$K$2,QHD$4),Table1[],(MATCH(Calendar!$A19,DB!$1:$1,0)),FALSE),"")</f>
        <v/>
      </c>
      <c r="QHE19" s="28" t="str">
        <f>IFERROR(VLOOKUP(DATE($K$1,$K$2,QHE$4),Table1[],(MATCH(Calendar!$A19,DB!$1:$1,0)),FALSE),"")</f>
        <v/>
      </c>
      <c r="QHF19" s="28" t="str">
        <f>IFERROR(VLOOKUP(DATE($K$1,$K$2,QHF$4),Table1[],(MATCH(Calendar!$A19,DB!$1:$1,0)),FALSE),"")</f>
        <v/>
      </c>
      <c r="QHG19" s="28" t="str">
        <f>IFERROR(VLOOKUP(DATE($K$1,$K$2,QHG$4),Table1[],(MATCH(Calendar!$A19,DB!$1:$1,0)),FALSE),"")</f>
        <v/>
      </c>
      <c r="QHH19" s="28" t="str">
        <f>IFERROR(VLOOKUP(DATE($K$1,$K$2,QHH$4),Table1[],(MATCH(Calendar!$A19,DB!$1:$1,0)),FALSE),"")</f>
        <v/>
      </c>
      <c r="QHI19" s="28" t="str">
        <f>IFERROR(VLOOKUP(DATE($K$1,$K$2,QHI$4),Table1[],(MATCH(Calendar!$A19,DB!$1:$1,0)),FALSE),"")</f>
        <v/>
      </c>
      <c r="QHJ19" s="28" t="str">
        <f>IFERROR(VLOOKUP(DATE($K$1,$K$2,QHJ$4),Table1[],(MATCH(Calendar!$A19,DB!$1:$1,0)),FALSE),"")</f>
        <v/>
      </c>
      <c r="QHK19" s="28" t="str">
        <f>IFERROR(VLOOKUP(DATE($K$1,$K$2,QHK$4),Table1[],(MATCH(Calendar!$A19,DB!$1:$1,0)),FALSE),"")</f>
        <v/>
      </c>
      <c r="QHL19" s="28" t="str">
        <f>IFERROR(VLOOKUP(DATE($K$1,$K$2,QHL$4),Table1[],(MATCH(Calendar!$A19,DB!$1:$1,0)),FALSE),"")</f>
        <v/>
      </c>
      <c r="QHM19" s="28" t="str">
        <f>IFERROR(VLOOKUP(DATE($K$1,$K$2,QHM$4),Table1[],(MATCH(Calendar!$A19,DB!$1:$1,0)),FALSE),"")</f>
        <v/>
      </c>
      <c r="QHN19" s="28" t="str">
        <f>IFERROR(VLOOKUP(DATE($K$1,$K$2,QHN$4),Table1[],(MATCH(Calendar!$A19,DB!$1:$1,0)),FALSE),"")</f>
        <v/>
      </c>
      <c r="QHO19" s="28" t="str">
        <f>IFERROR(VLOOKUP(DATE($K$1,$K$2,QHO$4),Table1[],(MATCH(Calendar!$A19,DB!$1:$1,0)),FALSE),"")</f>
        <v/>
      </c>
      <c r="QHP19" s="28" t="str">
        <f>IFERROR(VLOOKUP(DATE($K$1,$K$2,QHP$4),Table1[],(MATCH(Calendar!$A19,DB!$1:$1,0)),FALSE),"")</f>
        <v/>
      </c>
      <c r="QHQ19" s="28" t="str">
        <f>IFERROR(VLOOKUP(DATE($K$1,$K$2,QHQ$4),Table1[],(MATCH(Calendar!$A19,DB!$1:$1,0)),FALSE),"")</f>
        <v/>
      </c>
      <c r="QHR19" s="28" t="str">
        <f>IFERROR(VLOOKUP(DATE($K$1,$K$2,QHR$4),Table1[],(MATCH(Calendar!$A19,DB!$1:$1,0)),FALSE),"")</f>
        <v/>
      </c>
      <c r="QHS19" s="28" t="str">
        <f>IFERROR(VLOOKUP(DATE($K$1,$K$2,QHS$4),Table1[],(MATCH(Calendar!$A19,DB!$1:$1,0)),FALSE),"")</f>
        <v/>
      </c>
      <c r="QHT19" s="28" t="str">
        <f>IFERROR(VLOOKUP(DATE($K$1,$K$2,QHT$4),Table1[],(MATCH(Calendar!$A19,DB!$1:$1,0)),FALSE),"")</f>
        <v/>
      </c>
      <c r="QHU19" s="28" t="str">
        <f>IFERROR(VLOOKUP(DATE($K$1,$K$2,QHU$4),Table1[],(MATCH(Calendar!$A19,DB!$1:$1,0)),FALSE),"")</f>
        <v/>
      </c>
      <c r="QHV19" s="28" t="str">
        <f>IFERROR(VLOOKUP(DATE($K$1,$K$2,QHV$4),Table1[],(MATCH(Calendar!$A19,DB!$1:$1,0)),FALSE),"")</f>
        <v/>
      </c>
      <c r="QHW19" s="28" t="str">
        <f>IFERROR(VLOOKUP(DATE($K$1,$K$2,QHW$4),Table1[],(MATCH(Calendar!$A19,DB!$1:$1,0)),FALSE),"")</f>
        <v/>
      </c>
      <c r="QHX19" s="28" t="str">
        <f>IFERROR(VLOOKUP(DATE($K$1,$K$2,QHX$4),Table1[],(MATCH(Calendar!$A19,DB!$1:$1,0)),FALSE),"")</f>
        <v/>
      </c>
      <c r="QHY19" s="28" t="str">
        <f>IFERROR(VLOOKUP(DATE($K$1,$K$2,QHY$4),Table1[],(MATCH(Calendar!$A19,DB!$1:$1,0)),FALSE),"")</f>
        <v/>
      </c>
      <c r="QHZ19" s="28" t="str">
        <f>IFERROR(VLOOKUP(DATE($K$1,$K$2,QHZ$4),Table1[],(MATCH(Calendar!$A19,DB!$1:$1,0)),FALSE),"")</f>
        <v/>
      </c>
      <c r="QIA19" s="28" t="str">
        <f>IFERROR(VLOOKUP(DATE($K$1,$K$2,QIA$4),Table1[],(MATCH(Calendar!$A19,DB!$1:$1,0)),FALSE),"")</f>
        <v/>
      </c>
      <c r="QIB19" s="28" t="str">
        <f>IFERROR(VLOOKUP(DATE($K$1,$K$2,QIB$4),Table1[],(MATCH(Calendar!$A19,DB!$1:$1,0)),FALSE),"")</f>
        <v/>
      </c>
      <c r="QIC19" s="28" t="str">
        <f>IFERROR(VLOOKUP(DATE($K$1,$K$2,QIC$4),Table1[],(MATCH(Calendar!$A19,DB!$1:$1,0)),FALSE),"")</f>
        <v/>
      </c>
      <c r="QID19" s="28" t="str">
        <f>IFERROR(VLOOKUP(DATE($K$1,$K$2,QID$4),Table1[],(MATCH(Calendar!$A19,DB!$1:$1,0)),FALSE),"")</f>
        <v/>
      </c>
      <c r="QIE19" s="28" t="str">
        <f>IFERROR(VLOOKUP(DATE($K$1,$K$2,QIE$4),Table1[],(MATCH(Calendar!$A19,DB!$1:$1,0)),FALSE),"")</f>
        <v/>
      </c>
      <c r="QIF19" s="28" t="str">
        <f>IFERROR(VLOOKUP(DATE($K$1,$K$2,QIF$4),Table1[],(MATCH(Calendar!$A19,DB!$1:$1,0)),FALSE),"")</f>
        <v/>
      </c>
      <c r="QIG19" s="28" t="str">
        <f>IFERROR(VLOOKUP(DATE($K$1,$K$2,QIG$4),Table1[],(MATCH(Calendar!$A19,DB!$1:$1,0)),FALSE),"")</f>
        <v/>
      </c>
      <c r="QIH19" s="28" t="str">
        <f>IFERROR(VLOOKUP(DATE($K$1,$K$2,QIH$4),Table1[],(MATCH(Calendar!$A19,DB!$1:$1,0)),FALSE),"")</f>
        <v/>
      </c>
      <c r="QII19" s="28" t="str">
        <f>IFERROR(VLOOKUP(DATE($K$1,$K$2,QII$4),Table1[],(MATCH(Calendar!$A19,DB!$1:$1,0)),FALSE),"")</f>
        <v/>
      </c>
      <c r="QIJ19" s="28" t="str">
        <f>IFERROR(VLOOKUP(DATE($K$1,$K$2,QIJ$4),Table1[],(MATCH(Calendar!$A19,DB!$1:$1,0)),FALSE),"")</f>
        <v/>
      </c>
      <c r="QIK19" s="28" t="str">
        <f>IFERROR(VLOOKUP(DATE($K$1,$K$2,QIK$4),Table1[],(MATCH(Calendar!$A19,DB!$1:$1,0)),FALSE),"")</f>
        <v/>
      </c>
      <c r="QIL19" s="28" t="str">
        <f>IFERROR(VLOOKUP(DATE($K$1,$K$2,QIL$4),Table1[],(MATCH(Calendar!$A19,DB!$1:$1,0)),FALSE),"")</f>
        <v/>
      </c>
      <c r="QIM19" s="28" t="str">
        <f>IFERROR(VLOOKUP(DATE($K$1,$K$2,QIM$4),Table1[],(MATCH(Calendar!$A19,DB!$1:$1,0)),FALSE),"")</f>
        <v/>
      </c>
      <c r="QIN19" s="28" t="str">
        <f>IFERROR(VLOOKUP(DATE($K$1,$K$2,QIN$4),Table1[],(MATCH(Calendar!$A19,DB!$1:$1,0)),FALSE),"")</f>
        <v/>
      </c>
      <c r="QIO19" s="28" t="str">
        <f>IFERROR(VLOOKUP(DATE($K$1,$K$2,QIO$4),Table1[],(MATCH(Calendar!$A19,DB!$1:$1,0)),FALSE),"")</f>
        <v/>
      </c>
      <c r="QIP19" s="28" t="str">
        <f>IFERROR(VLOOKUP(DATE($K$1,$K$2,QIP$4),Table1[],(MATCH(Calendar!$A19,DB!$1:$1,0)),FALSE),"")</f>
        <v/>
      </c>
      <c r="QIQ19" s="28" t="str">
        <f>IFERROR(VLOOKUP(DATE($K$1,$K$2,QIQ$4),Table1[],(MATCH(Calendar!$A19,DB!$1:$1,0)),FALSE),"")</f>
        <v/>
      </c>
      <c r="QIR19" s="28" t="str">
        <f>IFERROR(VLOOKUP(DATE($K$1,$K$2,QIR$4),Table1[],(MATCH(Calendar!$A19,DB!$1:$1,0)),FALSE),"")</f>
        <v/>
      </c>
      <c r="QIS19" s="28" t="str">
        <f>IFERROR(VLOOKUP(DATE($K$1,$K$2,QIS$4),Table1[],(MATCH(Calendar!$A19,DB!$1:$1,0)),FALSE),"")</f>
        <v/>
      </c>
      <c r="QIT19" s="28" t="str">
        <f>IFERROR(VLOOKUP(DATE($K$1,$K$2,QIT$4),Table1[],(MATCH(Calendar!$A19,DB!$1:$1,0)),FALSE),"")</f>
        <v/>
      </c>
      <c r="QIU19" s="28" t="str">
        <f>IFERROR(VLOOKUP(DATE($K$1,$K$2,QIU$4),Table1[],(MATCH(Calendar!$A19,DB!$1:$1,0)),FALSE),"")</f>
        <v/>
      </c>
      <c r="QIV19" s="28" t="str">
        <f>IFERROR(VLOOKUP(DATE($K$1,$K$2,QIV$4),Table1[],(MATCH(Calendar!$A19,DB!$1:$1,0)),FALSE),"")</f>
        <v/>
      </c>
      <c r="QIW19" s="28" t="str">
        <f>IFERROR(VLOOKUP(DATE($K$1,$K$2,QIW$4),Table1[],(MATCH(Calendar!$A19,DB!$1:$1,0)),FALSE),"")</f>
        <v/>
      </c>
      <c r="QIX19" s="28" t="str">
        <f>IFERROR(VLOOKUP(DATE($K$1,$K$2,QIX$4),Table1[],(MATCH(Calendar!$A19,DB!$1:$1,0)),FALSE),"")</f>
        <v/>
      </c>
      <c r="QIY19" s="28" t="str">
        <f>IFERROR(VLOOKUP(DATE($K$1,$K$2,QIY$4),Table1[],(MATCH(Calendar!$A19,DB!$1:$1,0)),FALSE),"")</f>
        <v/>
      </c>
      <c r="QIZ19" s="28" t="str">
        <f>IFERROR(VLOOKUP(DATE($K$1,$K$2,QIZ$4),Table1[],(MATCH(Calendar!$A19,DB!$1:$1,0)),FALSE),"")</f>
        <v/>
      </c>
      <c r="QJA19" s="28" t="str">
        <f>IFERROR(VLOOKUP(DATE($K$1,$K$2,QJA$4),Table1[],(MATCH(Calendar!$A19,DB!$1:$1,0)),FALSE),"")</f>
        <v/>
      </c>
      <c r="QJB19" s="28" t="str">
        <f>IFERROR(VLOOKUP(DATE($K$1,$K$2,QJB$4),Table1[],(MATCH(Calendar!$A19,DB!$1:$1,0)),FALSE),"")</f>
        <v/>
      </c>
      <c r="QJC19" s="28" t="str">
        <f>IFERROR(VLOOKUP(DATE($K$1,$K$2,QJC$4),Table1[],(MATCH(Calendar!$A19,DB!$1:$1,0)),FALSE),"")</f>
        <v/>
      </c>
      <c r="QJD19" s="28" t="str">
        <f>IFERROR(VLOOKUP(DATE($K$1,$K$2,QJD$4),Table1[],(MATCH(Calendar!$A19,DB!$1:$1,0)),FALSE),"")</f>
        <v/>
      </c>
      <c r="QJE19" s="28" t="str">
        <f>IFERROR(VLOOKUP(DATE($K$1,$K$2,QJE$4),Table1[],(MATCH(Calendar!$A19,DB!$1:$1,0)),FALSE),"")</f>
        <v/>
      </c>
      <c r="QJF19" s="28" t="str">
        <f>IFERROR(VLOOKUP(DATE($K$1,$K$2,QJF$4),Table1[],(MATCH(Calendar!$A19,DB!$1:$1,0)),FALSE),"")</f>
        <v/>
      </c>
      <c r="QJG19" s="28" t="str">
        <f>IFERROR(VLOOKUP(DATE($K$1,$K$2,QJG$4),Table1[],(MATCH(Calendar!$A19,DB!$1:$1,0)),FALSE),"")</f>
        <v/>
      </c>
      <c r="QJH19" s="28" t="str">
        <f>IFERROR(VLOOKUP(DATE($K$1,$K$2,QJH$4),Table1[],(MATCH(Calendar!$A19,DB!$1:$1,0)),FALSE),"")</f>
        <v/>
      </c>
      <c r="QJI19" s="28" t="str">
        <f>IFERROR(VLOOKUP(DATE($K$1,$K$2,QJI$4),Table1[],(MATCH(Calendar!$A19,DB!$1:$1,0)),FALSE),"")</f>
        <v/>
      </c>
      <c r="QJJ19" s="28" t="str">
        <f>IFERROR(VLOOKUP(DATE($K$1,$K$2,QJJ$4),Table1[],(MATCH(Calendar!$A19,DB!$1:$1,0)),FALSE),"")</f>
        <v/>
      </c>
      <c r="QJK19" s="28" t="str">
        <f>IFERROR(VLOOKUP(DATE($K$1,$K$2,QJK$4),Table1[],(MATCH(Calendar!$A19,DB!$1:$1,0)),FALSE),"")</f>
        <v/>
      </c>
      <c r="QJL19" s="28" t="str">
        <f>IFERROR(VLOOKUP(DATE($K$1,$K$2,QJL$4),Table1[],(MATCH(Calendar!$A19,DB!$1:$1,0)),FALSE),"")</f>
        <v/>
      </c>
      <c r="QJM19" s="28" t="str">
        <f>IFERROR(VLOOKUP(DATE($K$1,$K$2,QJM$4),Table1[],(MATCH(Calendar!$A19,DB!$1:$1,0)),FALSE),"")</f>
        <v/>
      </c>
      <c r="QJN19" s="28" t="str">
        <f>IFERROR(VLOOKUP(DATE($K$1,$K$2,QJN$4),Table1[],(MATCH(Calendar!$A19,DB!$1:$1,0)),FALSE),"")</f>
        <v/>
      </c>
      <c r="QJO19" s="28" t="str">
        <f>IFERROR(VLOOKUP(DATE($K$1,$K$2,QJO$4),Table1[],(MATCH(Calendar!$A19,DB!$1:$1,0)),FALSE),"")</f>
        <v/>
      </c>
      <c r="QJP19" s="28" t="str">
        <f>IFERROR(VLOOKUP(DATE($K$1,$K$2,QJP$4),Table1[],(MATCH(Calendar!$A19,DB!$1:$1,0)),FALSE),"")</f>
        <v/>
      </c>
      <c r="QJQ19" s="28" t="str">
        <f>IFERROR(VLOOKUP(DATE($K$1,$K$2,QJQ$4),Table1[],(MATCH(Calendar!$A19,DB!$1:$1,0)),FALSE),"")</f>
        <v/>
      </c>
      <c r="QJR19" s="28" t="str">
        <f>IFERROR(VLOOKUP(DATE($K$1,$K$2,QJR$4),Table1[],(MATCH(Calendar!$A19,DB!$1:$1,0)),FALSE),"")</f>
        <v/>
      </c>
      <c r="QJS19" s="28" t="str">
        <f>IFERROR(VLOOKUP(DATE($K$1,$K$2,QJS$4),Table1[],(MATCH(Calendar!$A19,DB!$1:$1,0)),FALSE),"")</f>
        <v/>
      </c>
      <c r="QJT19" s="28" t="str">
        <f>IFERROR(VLOOKUP(DATE($K$1,$K$2,QJT$4),Table1[],(MATCH(Calendar!$A19,DB!$1:$1,0)),FALSE),"")</f>
        <v/>
      </c>
      <c r="QJU19" s="28" t="str">
        <f>IFERROR(VLOOKUP(DATE($K$1,$K$2,QJU$4),Table1[],(MATCH(Calendar!$A19,DB!$1:$1,0)),FALSE),"")</f>
        <v/>
      </c>
      <c r="QJV19" s="28" t="str">
        <f>IFERROR(VLOOKUP(DATE($K$1,$K$2,QJV$4),Table1[],(MATCH(Calendar!$A19,DB!$1:$1,0)),FALSE),"")</f>
        <v/>
      </c>
      <c r="QJW19" s="28" t="str">
        <f>IFERROR(VLOOKUP(DATE($K$1,$K$2,QJW$4),Table1[],(MATCH(Calendar!$A19,DB!$1:$1,0)),FALSE),"")</f>
        <v/>
      </c>
      <c r="QJX19" s="28" t="str">
        <f>IFERROR(VLOOKUP(DATE($K$1,$K$2,QJX$4),Table1[],(MATCH(Calendar!$A19,DB!$1:$1,0)),FALSE),"")</f>
        <v/>
      </c>
      <c r="QJY19" s="28" t="str">
        <f>IFERROR(VLOOKUP(DATE($K$1,$K$2,QJY$4),Table1[],(MATCH(Calendar!$A19,DB!$1:$1,0)),FALSE),"")</f>
        <v/>
      </c>
      <c r="QJZ19" s="28" t="str">
        <f>IFERROR(VLOOKUP(DATE($K$1,$K$2,QJZ$4),Table1[],(MATCH(Calendar!$A19,DB!$1:$1,0)),FALSE),"")</f>
        <v/>
      </c>
      <c r="QKA19" s="28" t="str">
        <f>IFERROR(VLOOKUP(DATE($K$1,$K$2,QKA$4),Table1[],(MATCH(Calendar!$A19,DB!$1:$1,0)),FALSE),"")</f>
        <v/>
      </c>
      <c r="QKB19" s="28" t="str">
        <f>IFERROR(VLOOKUP(DATE($K$1,$K$2,QKB$4),Table1[],(MATCH(Calendar!$A19,DB!$1:$1,0)),FALSE),"")</f>
        <v/>
      </c>
      <c r="QKC19" s="28" t="str">
        <f>IFERROR(VLOOKUP(DATE($K$1,$K$2,QKC$4),Table1[],(MATCH(Calendar!$A19,DB!$1:$1,0)),FALSE),"")</f>
        <v/>
      </c>
      <c r="QKD19" s="28" t="str">
        <f>IFERROR(VLOOKUP(DATE($K$1,$K$2,QKD$4),Table1[],(MATCH(Calendar!$A19,DB!$1:$1,0)),FALSE),"")</f>
        <v/>
      </c>
      <c r="QKE19" s="28" t="str">
        <f>IFERROR(VLOOKUP(DATE($K$1,$K$2,QKE$4),Table1[],(MATCH(Calendar!$A19,DB!$1:$1,0)),FALSE),"")</f>
        <v/>
      </c>
      <c r="QKF19" s="28" t="str">
        <f>IFERROR(VLOOKUP(DATE($K$1,$K$2,QKF$4),Table1[],(MATCH(Calendar!$A19,DB!$1:$1,0)),FALSE),"")</f>
        <v/>
      </c>
      <c r="QKG19" s="28" t="str">
        <f>IFERROR(VLOOKUP(DATE($K$1,$K$2,QKG$4),Table1[],(MATCH(Calendar!$A19,DB!$1:$1,0)),FALSE),"")</f>
        <v/>
      </c>
      <c r="QKH19" s="28" t="str">
        <f>IFERROR(VLOOKUP(DATE($K$1,$K$2,QKH$4),Table1[],(MATCH(Calendar!$A19,DB!$1:$1,0)),FALSE),"")</f>
        <v/>
      </c>
      <c r="QKI19" s="28" t="str">
        <f>IFERROR(VLOOKUP(DATE($K$1,$K$2,QKI$4),Table1[],(MATCH(Calendar!$A19,DB!$1:$1,0)),FALSE),"")</f>
        <v/>
      </c>
      <c r="QKJ19" s="28" t="str">
        <f>IFERROR(VLOOKUP(DATE($K$1,$K$2,QKJ$4),Table1[],(MATCH(Calendar!$A19,DB!$1:$1,0)),FALSE),"")</f>
        <v/>
      </c>
      <c r="QKK19" s="28" t="str">
        <f>IFERROR(VLOOKUP(DATE($K$1,$K$2,QKK$4),Table1[],(MATCH(Calendar!$A19,DB!$1:$1,0)),FALSE),"")</f>
        <v/>
      </c>
      <c r="QKL19" s="28" t="str">
        <f>IFERROR(VLOOKUP(DATE($K$1,$K$2,QKL$4),Table1[],(MATCH(Calendar!$A19,DB!$1:$1,0)),FALSE),"")</f>
        <v/>
      </c>
      <c r="QKM19" s="28" t="str">
        <f>IFERROR(VLOOKUP(DATE($K$1,$K$2,QKM$4),Table1[],(MATCH(Calendar!$A19,DB!$1:$1,0)),FALSE),"")</f>
        <v/>
      </c>
      <c r="QKN19" s="28" t="str">
        <f>IFERROR(VLOOKUP(DATE($K$1,$K$2,QKN$4),Table1[],(MATCH(Calendar!$A19,DB!$1:$1,0)),FALSE),"")</f>
        <v/>
      </c>
      <c r="QKO19" s="28" t="str">
        <f>IFERROR(VLOOKUP(DATE($K$1,$K$2,QKO$4),Table1[],(MATCH(Calendar!$A19,DB!$1:$1,0)),FALSE),"")</f>
        <v/>
      </c>
      <c r="QKP19" s="28" t="str">
        <f>IFERROR(VLOOKUP(DATE($K$1,$K$2,QKP$4),Table1[],(MATCH(Calendar!$A19,DB!$1:$1,0)),FALSE),"")</f>
        <v/>
      </c>
      <c r="QKQ19" s="28" t="str">
        <f>IFERROR(VLOOKUP(DATE($K$1,$K$2,QKQ$4),Table1[],(MATCH(Calendar!$A19,DB!$1:$1,0)),FALSE),"")</f>
        <v/>
      </c>
      <c r="QKR19" s="28" t="str">
        <f>IFERROR(VLOOKUP(DATE($K$1,$K$2,QKR$4),Table1[],(MATCH(Calendar!$A19,DB!$1:$1,0)),FALSE),"")</f>
        <v/>
      </c>
      <c r="QKS19" s="28" t="str">
        <f>IFERROR(VLOOKUP(DATE($K$1,$K$2,QKS$4),Table1[],(MATCH(Calendar!$A19,DB!$1:$1,0)),FALSE),"")</f>
        <v/>
      </c>
      <c r="QKT19" s="28" t="str">
        <f>IFERROR(VLOOKUP(DATE($K$1,$K$2,QKT$4),Table1[],(MATCH(Calendar!$A19,DB!$1:$1,0)),FALSE),"")</f>
        <v/>
      </c>
      <c r="QKU19" s="28" t="str">
        <f>IFERROR(VLOOKUP(DATE($K$1,$K$2,QKU$4),Table1[],(MATCH(Calendar!$A19,DB!$1:$1,0)),FALSE),"")</f>
        <v/>
      </c>
      <c r="QKV19" s="28" t="str">
        <f>IFERROR(VLOOKUP(DATE($K$1,$K$2,QKV$4),Table1[],(MATCH(Calendar!$A19,DB!$1:$1,0)),FALSE),"")</f>
        <v/>
      </c>
      <c r="QKW19" s="28" t="str">
        <f>IFERROR(VLOOKUP(DATE($K$1,$K$2,QKW$4),Table1[],(MATCH(Calendar!$A19,DB!$1:$1,0)),FALSE),"")</f>
        <v/>
      </c>
      <c r="QKX19" s="28" t="str">
        <f>IFERROR(VLOOKUP(DATE($K$1,$K$2,QKX$4),Table1[],(MATCH(Calendar!$A19,DB!$1:$1,0)),FALSE),"")</f>
        <v/>
      </c>
      <c r="QKY19" s="28" t="str">
        <f>IFERROR(VLOOKUP(DATE($K$1,$K$2,QKY$4),Table1[],(MATCH(Calendar!$A19,DB!$1:$1,0)),FALSE),"")</f>
        <v/>
      </c>
      <c r="QKZ19" s="28" t="str">
        <f>IFERROR(VLOOKUP(DATE($K$1,$K$2,QKZ$4),Table1[],(MATCH(Calendar!$A19,DB!$1:$1,0)),FALSE),"")</f>
        <v/>
      </c>
      <c r="QLA19" s="28" t="str">
        <f>IFERROR(VLOOKUP(DATE($K$1,$K$2,QLA$4),Table1[],(MATCH(Calendar!$A19,DB!$1:$1,0)),FALSE),"")</f>
        <v/>
      </c>
      <c r="QLB19" s="28" t="str">
        <f>IFERROR(VLOOKUP(DATE($K$1,$K$2,QLB$4),Table1[],(MATCH(Calendar!$A19,DB!$1:$1,0)),FALSE),"")</f>
        <v/>
      </c>
      <c r="QLC19" s="28" t="str">
        <f>IFERROR(VLOOKUP(DATE($K$1,$K$2,QLC$4),Table1[],(MATCH(Calendar!$A19,DB!$1:$1,0)),FALSE),"")</f>
        <v/>
      </c>
      <c r="QLD19" s="28" t="str">
        <f>IFERROR(VLOOKUP(DATE($K$1,$K$2,QLD$4),Table1[],(MATCH(Calendar!$A19,DB!$1:$1,0)),FALSE),"")</f>
        <v/>
      </c>
      <c r="QLE19" s="28" t="str">
        <f>IFERROR(VLOOKUP(DATE($K$1,$K$2,QLE$4),Table1[],(MATCH(Calendar!$A19,DB!$1:$1,0)),FALSE),"")</f>
        <v/>
      </c>
      <c r="QLF19" s="28" t="str">
        <f>IFERROR(VLOOKUP(DATE($K$1,$K$2,QLF$4),Table1[],(MATCH(Calendar!$A19,DB!$1:$1,0)),FALSE),"")</f>
        <v/>
      </c>
      <c r="QLG19" s="28" t="str">
        <f>IFERROR(VLOOKUP(DATE($K$1,$K$2,QLG$4),Table1[],(MATCH(Calendar!$A19,DB!$1:$1,0)),FALSE),"")</f>
        <v/>
      </c>
      <c r="QLH19" s="28" t="str">
        <f>IFERROR(VLOOKUP(DATE($K$1,$K$2,QLH$4),Table1[],(MATCH(Calendar!$A19,DB!$1:$1,0)),FALSE),"")</f>
        <v/>
      </c>
      <c r="QLI19" s="28" t="str">
        <f>IFERROR(VLOOKUP(DATE($K$1,$K$2,QLI$4),Table1[],(MATCH(Calendar!$A19,DB!$1:$1,0)),FALSE),"")</f>
        <v/>
      </c>
      <c r="QLJ19" s="28" t="str">
        <f>IFERROR(VLOOKUP(DATE($K$1,$K$2,QLJ$4),Table1[],(MATCH(Calendar!$A19,DB!$1:$1,0)),FALSE),"")</f>
        <v/>
      </c>
      <c r="QLK19" s="28" t="str">
        <f>IFERROR(VLOOKUP(DATE($K$1,$K$2,QLK$4),Table1[],(MATCH(Calendar!$A19,DB!$1:$1,0)),FALSE),"")</f>
        <v/>
      </c>
      <c r="QLL19" s="28" t="str">
        <f>IFERROR(VLOOKUP(DATE($K$1,$K$2,QLL$4),Table1[],(MATCH(Calendar!$A19,DB!$1:$1,0)),FALSE),"")</f>
        <v/>
      </c>
      <c r="QLM19" s="28" t="str">
        <f>IFERROR(VLOOKUP(DATE($K$1,$K$2,QLM$4),Table1[],(MATCH(Calendar!$A19,DB!$1:$1,0)),FALSE),"")</f>
        <v/>
      </c>
      <c r="QLN19" s="28" t="str">
        <f>IFERROR(VLOOKUP(DATE($K$1,$K$2,QLN$4),Table1[],(MATCH(Calendar!$A19,DB!$1:$1,0)),FALSE),"")</f>
        <v/>
      </c>
      <c r="QLO19" s="28" t="str">
        <f>IFERROR(VLOOKUP(DATE($K$1,$K$2,QLO$4),Table1[],(MATCH(Calendar!$A19,DB!$1:$1,0)),FALSE),"")</f>
        <v/>
      </c>
      <c r="QLP19" s="28" t="str">
        <f>IFERROR(VLOOKUP(DATE($K$1,$K$2,QLP$4),Table1[],(MATCH(Calendar!$A19,DB!$1:$1,0)),FALSE),"")</f>
        <v/>
      </c>
      <c r="QLQ19" s="28" t="str">
        <f>IFERROR(VLOOKUP(DATE($K$1,$K$2,QLQ$4),Table1[],(MATCH(Calendar!$A19,DB!$1:$1,0)),FALSE),"")</f>
        <v/>
      </c>
      <c r="QLR19" s="28" t="str">
        <f>IFERROR(VLOOKUP(DATE($K$1,$K$2,QLR$4),Table1[],(MATCH(Calendar!$A19,DB!$1:$1,0)),FALSE),"")</f>
        <v/>
      </c>
      <c r="QLS19" s="28" t="str">
        <f>IFERROR(VLOOKUP(DATE($K$1,$K$2,QLS$4),Table1[],(MATCH(Calendar!$A19,DB!$1:$1,0)),FALSE),"")</f>
        <v/>
      </c>
      <c r="QLT19" s="28" t="str">
        <f>IFERROR(VLOOKUP(DATE($K$1,$K$2,QLT$4),Table1[],(MATCH(Calendar!$A19,DB!$1:$1,0)),FALSE),"")</f>
        <v/>
      </c>
      <c r="QLU19" s="28" t="str">
        <f>IFERROR(VLOOKUP(DATE($K$1,$K$2,QLU$4),Table1[],(MATCH(Calendar!$A19,DB!$1:$1,0)),FALSE),"")</f>
        <v/>
      </c>
      <c r="QLV19" s="28" t="str">
        <f>IFERROR(VLOOKUP(DATE($K$1,$K$2,QLV$4),Table1[],(MATCH(Calendar!$A19,DB!$1:$1,0)),FALSE),"")</f>
        <v/>
      </c>
      <c r="QLW19" s="28" t="str">
        <f>IFERROR(VLOOKUP(DATE($K$1,$K$2,QLW$4),Table1[],(MATCH(Calendar!$A19,DB!$1:$1,0)),FALSE),"")</f>
        <v/>
      </c>
      <c r="QLX19" s="28" t="str">
        <f>IFERROR(VLOOKUP(DATE($K$1,$K$2,QLX$4),Table1[],(MATCH(Calendar!$A19,DB!$1:$1,0)),FALSE),"")</f>
        <v/>
      </c>
      <c r="QLY19" s="28" t="str">
        <f>IFERROR(VLOOKUP(DATE($K$1,$K$2,QLY$4),Table1[],(MATCH(Calendar!$A19,DB!$1:$1,0)),FALSE),"")</f>
        <v/>
      </c>
      <c r="QLZ19" s="28" t="str">
        <f>IFERROR(VLOOKUP(DATE($K$1,$K$2,QLZ$4),Table1[],(MATCH(Calendar!$A19,DB!$1:$1,0)),FALSE),"")</f>
        <v/>
      </c>
      <c r="QMA19" s="28" t="str">
        <f>IFERROR(VLOOKUP(DATE($K$1,$K$2,QMA$4),Table1[],(MATCH(Calendar!$A19,DB!$1:$1,0)),FALSE),"")</f>
        <v/>
      </c>
      <c r="QMB19" s="28" t="str">
        <f>IFERROR(VLOOKUP(DATE($K$1,$K$2,QMB$4),Table1[],(MATCH(Calendar!$A19,DB!$1:$1,0)),FALSE),"")</f>
        <v/>
      </c>
      <c r="QMC19" s="28" t="str">
        <f>IFERROR(VLOOKUP(DATE($K$1,$K$2,QMC$4),Table1[],(MATCH(Calendar!$A19,DB!$1:$1,0)),FALSE),"")</f>
        <v/>
      </c>
      <c r="QMD19" s="28" t="str">
        <f>IFERROR(VLOOKUP(DATE($K$1,$K$2,QMD$4),Table1[],(MATCH(Calendar!$A19,DB!$1:$1,0)),FALSE),"")</f>
        <v/>
      </c>
      <c r="QME19" s="28" t="str">
        <f>IFERROR(VLOOKUP(DATE($K$1,$K$2,QME$4),Table1[],(MATCH(Calendar!$A19,DB!$1:$1,0)),FALSE),"")</f>
        <v/>
      </c>
      <c r="QMF19" s="28" t="str">
        <f>IFERROR(VLOOKUP(DATE($K$1,$K$2,QMF$4),Table1[],(MATCH(Calendar!$A19,DB!$1:$1,0)),FALSE),"")</f>
        <v/>
      </c>
      <c r="QMG19" s="28" t="str">
        <f>IFERROR(VLOOKUP(DATE($K$1,$K$2,QMG$4),Table1[],(MATCH(Calendar!$A19,DB!$1:$1,0)),FALSE),"")</f>
        <v/>
      </c>
      <c r="QMH19" s="28" t="str">
        <f>IFERROR(VLOOKUP(DATE($K$1,$K$2,QMH$4),Table1[],(MATCH(Calendar!$A19,DB!$1:$1,0)),FALSE),"")</f>
        <v/>
      </c>
      <c r="QMI19" s="28" t="str">
        <f>IFERROR(VLOOKUP(DATE($K$1,$K$2,QMI$4),Table1[],(MATCH(Calendar!$A19,DB!$1:$1,0)),FALSE),"")</f>
        <v/>
      </c>
      <c r="QMJ19" s="28" t="str">
        <f>IFERROR(VLOOKUP(DATE($K$1,$K$2,QMJ$4),Table1[],(MATCH(Calendar!$A19,DB!$1:$1,0)),FALSE),"")</f>
        <v/>
      </c>
      <c r="QMK19" s="28" t="str">
        <f>IFERROR(VLOOKUP(DATE($K$1,$K$2,QMK$4),Table1[],(MATCH(Calendar!$A19,DB!$1:$1,0)),FALSE),"")</f>
        <v/>
      </c>
      <c r="QML19" s="28" t="str">
        <f>IFERROR(VLOOKUP(DATE($K$1,$K$2,QML$4),Table1[],(MATCH(Calendar!$A19,DB!$1:$1,0)),FALSE),"")</f>
        <v/>
      </c>
      <c r="QMM19" s="28" t="str">
        <f>IFERROR(VLOOKUP(DATE($K$1,$K$2,QMM$4),Table1[],(MATCH(Calendar!$A19,DB!$1:$1,0)),FALSE),"")</f>
        <v/>
      </c>
      <c r="QMN19" s="28" t="str">
        <f>IFERROR(VLOOKUP(DATE($K$1,$K$2,QMN$4),Table1[],(MATCH(Calendar!$A19,DB!$1:$1,0)),FALSE),"")</f>
        <v/>
      </c>
      <c r="QMO19" s="28" t="str">
        <f>IFERROR(VLOOKUP(DATE($K$1,$K$2,QMO$4),Table1[],(MATCH(Calendar!$A19,DB!$1:$1,0)),FALSE),"")</f>
        <v/>
      </c>
      <c r="QMP19" s="28" t="str">
        <f>IFERROR(VLOOKUP(DATE($K$1,$K$2,QMP$4),Table1[],(MATCH(Calendar!$A19,DB!$1:$1,0)),FALSE),"")</f>
        <v/>
      </c>
      <c r="QMQ19" s="28" t="str">
        <f>IFERROR(VLOOKUP(DATE($K$1,$K$2,QMQ$4),Table1[],(MATCH(Calendar!$A19,DB!$1:$1,0)),FALSE),"")</f>
        <v/>
      </c>
      <c r="QMR19" s="28" t="str">
        <f>IFERROR(VLOOKUP(DATE($K$1,$K$2,QMR$4),Table1[],(MATCH(Calendar!$A19,DB!$1:$1,0)),FALSE),"")</f>
        <v/>
      </c>
      <c r="QMS19" s="28" t="str">
        <f>IFERROR(VLOOKUP(DATE($K$1,$K$2,QMS$4),Table1[],(MATCH(Calendar!$A19,DB!$1:$1,0)),FALSE),"")</f>
        <v/>
      </c>
      <c r="QMT19" s="28" t="str">
        <f>IFERROR(VLOOKUP(DATE($K$1,$K$2,QMT$4),Table1[],(MATCH(Calendar!$A19,DB!$1:$1,0)),FALSE),"")</f>
        <v/>
      </c>
      <c r="QMU19" s="28" t="str">
        <f>IFERROR(VLOOKUP(DATE($K$1,$K$2,QMU$4),Table1[],(MATCH(Calendar!$A19,DB!$1:$1,0)),FALSE),"")</f>
        <v/>
      </c>
      <c r="QMV19" s="28" t="str">
        <f>IFERROR(VLOOKUP(DATE($K$1,$K$2,QMV$4),Table1[],(MATCH(Calendar!$A19,DB!$1:$1,0)),FALSE),"")</f>
        <v/>
      </c>
      <c r="QMW19" s="28" t="str">
        <f>IFERROR(VLOOKUP(DATE($K$1,$K$2,QMW$4),Table1[],(MATCH(Calendar!$A19,DB!$1:$1,0)),FALSE),"")</f>
        <v/>
      </c>
      <c r="QMX19" s="28" t="str">
        <f>IFERROR(VLOOKUP(DATE($K$1,$K$2,QMX$4),Table1[],(MATCH(Calendar!$A19,DB!$1:$1,0)),FALSE),"")</f>
        <v/>
      </c>
      <c r="QMY19" s="28" t="str">
        <f>IFERROR(VLOOKUP(DATE($K$1,$K$2,QMY$4),Table1[],(MATCH(Calendar!$A19,DB!$1:$1,0)),FALSE),"")</f>
        <v/>
      </c>
      <c r="QMZ19" s="28" t="str">
        <f>IFERROR(VLOOKUP(DATE($K$1,$K$2,QMZ$4),Table1[],(MATCH(Calendar!$A19,DB!$1:$1,0)),FALSE),"")</f>
        <v/>
      </c>
      <c r="QNA19" s="28" t="str">
        <f>IFERROR(VLOOKUP(DATE($K$1,$K$2,QNA$4),Table1[],(MATCH(Calendar!$A19,DB!$1:$1,0)),FALSE),"")</f>
        <v/>
      </c>
      <c r="QNB19" s="28" t="str">
        <f>IFERROR(VLOOKUP(DATE($K$1,$K$2,QNB$4),Table1[],(MATCH(Calendar!$A19,DB!$1:$1,0)),FALSE),"")</f>
        <v/>
      </c>
      <c r="QNC19" s="28" t="str">
        <f>IFERROR(VLOOKUP(DATE($K$1,$K$2,QNC$4),Table1[],(MATCH(Calendar!$A19,DB!$1:$1,0)),FALSE),"")</f>
        <v/>
      </c>
      <c r="QND19" s="28" t="str">
        <f>IFERROR(VLOOKUP(DATE($K$1,$K$2,QND$4),Table1[],(MATCH(Calendar!$A19,DB!$1:$1,0)),FALSE),"")</f>
        <v/>
      </c>
      <c r="QNE19" s="28" t="str">
        <f>IFERROR(VLOOKUP(DATE($K$1,$K$2,QNE$4),Table1[],(MATCH(Calendar!$A19,DB!$1:$1,0)),FALSE),"")</f>
        <v/>
      </c>
      <c r="QNF19" s="28" t="str">
        <f>IFERROR(VLOOKUP(DATE($K$1,$K$2,QNF$4),Table1[],(MATCH(Calendar!$A19,DB!$1:$1,0)),FALSE),"")</f>
        <v/>
      </c>
      <c r="QNG19" s="28" t="str">
        <f>IFERROR(VLOOKUP(DATE($K$1,$K$2,QNG$4),Table1[],(MATCH(Calendar!$A19,DB!$1:$1,0)),FALSE),"")</f>
        <v/>
      </c>
      <c r="QNH19" s="28" t="str">
        <f>IFERROR(VLOOKUP(DATE($K$1,$K$2,QNH$4),Table1[],(MATCH(Calendar!$A19,DB!$1:$1,0)),FALSE),"")</f>
        <v/>
      </c>
      <c r="QNI19" s="28" t="str">
        <f>IFERROR(VLOOKUP(DATE($K$1,$K$2,QNI$4),Table1[],(MATCH(Calendar!$A19,DB!$1:$1,0)),FALSE),"")</f>
        <v/>
      </c>
      <c r="QNJ19" s="28" t="str">
        <f>IFERROR(VLOOKUP(DATE($K$1,$K$2,QNJ$4),Table1[],(MATCH(Calendar!$A19,DB!$1:$1,0)),FALSE),"")</f>
        <v/>
      </c>
      <c r="QNK19" s="28" t="str">
        <f>IFERROR(VLOOKUP(DATE($K$1,$K$2,QNK$4),Table1[],(MATCH(Calendar!$A19,DB!$1:$1,0)),FALSE),"")</f>
        <v/>
      </c>
      <c r="QNL19" s="28" t="str">
        <f>IFERROR(VLOOKUP(DATE($K$1,$K$2,QNL$4),Table1[],(MATCH(Calendar!$A19,DB!$1:$1,0)),FALSE),"")</f>
        <v/>
      </c>
      <c r="QNM19" s="28" t="str">
        <f>IFERROR(VLOOKUP(DATE($K$1,$K$2,QNM$4),Table1[],(MATCH(Calendar!$A19,DB!$1:$1,0)),FALSE),"")</f>
        <v/>
      </c>
      <c r="QNN19" s="28" t="str">
        <f>IFERROR(VLOOKUP(DATE($K$1,$K$2,QNN$4),Table1[],(MATCH(Calendar!$A19,DB!$1:$1,0)),FALSE),"")</f>
        <v/>
      </c>
      <c r="QNO19" s="28" t="str">
        <f>IFERROR(VLOOKUP(DATE($K$1,$K$2,QNO$4),Table1[],(MATCH(Calendar!$A19,DB!$1:$1,0)),FALSE),"")</f>
        <v/>
      </c>
      <c r="QNP19" s="28" t="str">
        <f>IFERROR(VLOOKUP(DATE($K$1,$K$2,QNP$4),Table1[],(MATCH(Calendar!$A19,DB!$1:$1,0)),FALSE),"")</f>
        <v/>
      </c>
      <c r="QNQ19" s="28" t="str">
        <f>IFERROR(VLOOKUP(DATE($K$1,$K$2,QNQ$4),Table1[],(MATCH(Calendar!$A19,DB!$1:$1,0)),FALSE),"")</f>
        <v/>
      </c>
      <c r="QNR19" s="28" t="str">
        <f>IFERROR(VLOOKUP(DATE($K$1,$K$2,QNR$4),Table1[],(MATCH(Calendar!$A19,DB!$1:$1,0)),FALSE),"")</f>
        <v/>
      </c>
      <c r="QNS19" s="28" t="str">
        <f>IFERROR(VLOOKUP(DATE($K$1,$K$2,QNS$4),Table1[],(MATCH(Calendar!$A19,DB!$1:$1,0)),FALSE),"")</f>
        <v/>
      </c>
      <c r="QNT19" s="28" t="str">
        <f>IFERROR(VLOOKUP(DATE($K$1,$K$2,QNT$4),Table1[],(MATCH(Calendar!$A19,DB!$1:$1,0)),FALSE),"")</f>
        <v/>
      </c>
      <c r="QNU19" s="28" t="str">
        <f>IFERROR(VLOOKUP(DATE($K$1,$K$2,QNU$4),Table1[],(MATCH(Calendar!$A19,DB!$1:$1,0)),FALSE),"")</f>
        <v/>
      </c>
      <c r="QNV19" s="28" t="str">
        <f>IFERROR(VLOOKUP(DATE($K$1,$K$2,QNV$4),Table1[],(MATCH(Calendar!$A19,DB!$1:$1,0)),FALSE),"")</f>
        <v/>
      </c>
      <c r="QNW19" s="28" t="str">
        <f>IFERROR(VLOOKUP(DATE($K$1,$K$2,QNW$4),Table1[],(MATCH(Calendar!$A19,DB!$1:$1,0)),FALSE),"")</f>
        <v/>
      </c>
      <c r="QNX19" s="28" t="str">
        <f>IFERROR(VLOOKUP(DATE($K$1,$K$2,QNX$4),Table1[],(MATCH(Calendar!$A19,DB!$1:$1,0)),FALSE),"")</f>
        <v/>
      </c>
      <c r="QNY19" s="28" t="str">
        <f>IFERROR(VLOOKUP(DATE($K$1,$K$2,QNY$4),Table1[],(MATCH(Calendar!$A19,DB!$1:$1,0)),FALSE),"")</f>
        <v/>
      </c>
      <c r="QNZ19" s="28" t="str">
        <f>IFERROR(VLOOKUP(DATE($K$1,$K$2,QNZ$4),Table1[],(MATCH(Calendar!$A19,DB!$1:$1,0)),FALSE),"")</f>
        <v/>
      </c>
      <c r="QOA19" s="28" t="str">
        <f>IFERROR(VLOOKUP(DATE($K$1,$K$2,QOA$4),Table1[],(MATCH(Calendar!$A19,DB!$1:$1,0)),FALSE),"")</f>
        <v/>
      </c>
      <c r="QOB19" s="28" t="str">
        <f>IFERROR(VLOOKUP(DATE($K$1,$K$2,QOB$4),Table1[],(MATCH(Calendar!$A19,DB!$1:$1,0)),FALSE),"")</f>
        <v/>
      </c>
      <c r="QOC19" s="28" t="str">
        <f>IFERROR(VLOOKUP(DATE($K$1,$K$2,QOC$4),Table1[],(MATCH(Calendar!$A19,DB!$1:$1,0)),FALSE),"")</f>
        <v/>
      </c>
      <c r="QOD19" s="28" t="str">
        <f>IFERROR(VLOOKUP(DATE($K$1,$K$2,QOD$4),Table1[],(MATCH(Calendar!$A19,DB!$1:$1,0)),FALSE),"")</f>
        <v/>
      </c>
      <c r="QOE19" s="28" t="str">
        <f>IFERROR(VLOOKUP(DATE($K$1,$K$2,QOE$4),Table1[],(MATCH(Calendar!$A19,DB!$1:$1,0)),FALSE),"")</f>
        <v/>
      </c>
      <c r="QOF19" s="28" t="str">
        <f>IFERROR(VLOOKUP(DATE($K$1,$K$2,QOF$4),Table1[],(MATCH(Calendar!$A19,DB!$1:$1,0)),FALSE),"")</f>
        <v/>
      </c>
      <c r="QOG19" s="28" t="str">
        <f>IFERROR(VLOOKUP(DATE($K$1,$K$2,QOG$4),Table1[],(MATCH(Calendar!$A19,DB!$1:$1,0)),FALSE),"")</f>
        <v/>
      </c>
      <c r="QOH19" s="28" t="str">
        <f>IFERROR(VLOOKUP(DATE($K$1,$K$2,QOH$4),Table1[],(MATCH(Calendar!$A19,DB!$1:$1,0)),FALSE),"")</f>
        <v/>
      </c>
      <c r="QOI19" s="28" t="str">
        <f>IFERROR(VLOOKUP(DATE($K$1,$K$2,QOI$4),Table1[],(MATCH(Calendar!$A19,DB!$1:$1,0)),FALSE),"")</f>
        <v/>
      </c>
      <c r="QOJ19" s="28" t="str">
        <f>IFERROR(VLOOKUP(DATE($K$1,$K$2,QOJ$4),Table1[],(MATCH(Calendar!$A19,DB!$1:$1,0)),FALSE),"")</f>
        <v/>
      </c>
      <c r="QOK19" s="28" t="str">
        <f>IFERROR(VLOOKUP(DATE($K$1,$K$2,QOK$4),Table1[],(MATCH(Calendar!$A19,DB!$1:$1,0)),FALSE),"")</f>
        <v/>
      </c>
      <c r="QOL19" s="28" t="str">
        <f>IFERROR(VLOOKUP(DATE($K$1,$K$2,QOL$4),Table1[],(MATCH(Calendar!$A19,DB!$1:$1,0)),FALSE),"")</f>
        <v/>
      </c>
      <c r="QOM19" s="28" t="str">
        <f>IFERROR(VLOOKUP(DATE($K$1,$K$2,QOM$4),Table1[],(MATCH(Calendar!$A19,DB!$1:$1,0)),FALSE),"")</f>
        <v/>
      </c>
      <c r="QON19" s="28" t="str">
        <f>IFERROR(VLOOKUP(DATE($K$1,$K$2,QON$4),Table1[],(MATCH(Calendar!$A19,DB!$1:$1,0)),FALSE),"")</f>
        <v/>
      </c>
      <c r="QOO19" s="28" t="str">
        <f>IFERROR(VLOOKUP(DATE($K$1,$K$2,QOO$4),Table1[],(MATCH(Calendar!$A19,DB!$1:$1,0)),FALSE),"")</f>
        <v/>
      </c>
      <c r="QOP19" s="28" t="str">
        <f>IFERROR(VLOOKUP(DATE($K$1,$K$2,QOP$4),Table1[],(MATCH(Calendar!$A19,DB!$1:$1,0)),FALSE),"")</f>
        <v/>
      </c>
      <c r="QOQ19" s="28" t="str">
        <f>IFERROR(VLOOKUP(DATE($K$1,$K$2,QOQ$4),Table1[],(MATCH(Calendar!$A19,DB!$1:$1,0)),FALSE),"")</f>
        <v/>
      </c>
      <c r="QOR19" s="28" t="str">
        <f>IFERROR(VLOOKUP(DATE($K$1,$K$2,QOR$4),Table1[],(MATCH(Calendar!$A19,DB!$1:$1,0)),FALSE),"")</f>
        <v/>
      </c>
      <c r="QOS19" s="28" t="str">
        <f>IFERROR(VLOOKUP(DATE($K$1,$K$2,QOS$4),Table1[],(MATCH(Calendar!$A19,DB!$1:$1,0)),FALSE),"")</f>
        <v/>
      </c>
      <c r="QOT19" s="28" t="str">
        <f>IFERROR(VLOOKUP(DATE($K$1,$K$2,QOT$4),Table1[],(MATCH(Calendar!$A19,DB!$1:$1,0)),FALSE),"")</f>
        <v/>
      </c>
      <c r="QOU19" s="28" t="str">
        <f>IFERROR(VLOOKUP(DATE($K$1,$K$2,QOU$4),Table1[],(MATCH(Calendar!$A19,DB!$1:$1,0)),FALSE),"")</f>
        <v/>
      </c>
      <c r="QOV19" s="28" t="str">
        <f>IFERROR(VLOOKUP(DATE($K$1,$K$2,QOV$4),Table1[],(MATCH(Calendar!$A19,DB!$1:$1,0)),FALSE),"")</f>
        <v/>
      </c>
      <c r="QOW19" s="28" t="str">
        <f>IFERROR(VLOOKUP(DATE($K$1,$K$2,QOW$4),Table1[],(MATCH(Calendar!$A19,DB!$1:$1,0)),FALSE),"")</f>
        <v/>
      </c>
      <c r="QOX19" s="28" t="str">
        <f>IFERROR(VLOOKUP(DATE($K$1,$K$2,QOX$4),Table1[],(MATCH(Calendar!$A19,DB!$1:$1,0)),FALSE),"")</f>
        <v/>
      </c>
      <c r="QOY19" s="28" t="str">
        <f>IFERROR(VLOOKUP(DATE($K$1,$K$2,QOY$4),Table1[],(MATCH(Calendar!$A19,DB!$1:$1,0)),FALSE),"")</f>
        <v/>
      </c>
      <c r="QOZ19" s="28" t="str">
        <f>IFERROR(VLOOKUP(DATE($K$1,$K$2,QOZ$4),Table1[],(MATCH(Calendar!$A19,DB!$1:$1,0)),FALSE),"")</f>
        <v/>
      </c>
      <c r="QPA19" s="28" t="str">
        <f>IFERROR(VLOOKUP(DATE($K$1,$K$2,QPA$4),Table1[],(MATCH(Calendar!$A19,DB!$1:$1,0)),FALSE),"")</f>
        <v/>
      </c>
      <c r="QPB19" s="28" t="str">
        <f>IFERROR(VLOOKUP(DATE($K$1,$K$2,QPB$4),Table1[],(MATCH(Calendar!$A19,DB!$1:$1,0)),FALSE),"")</f>
        <v/>
      </c>
      <c r="QPC19" s="28" t="str">
        <f>IFERROR(VLOOKUP(DATE($K$1,$K$2,QPC$4),Table1[],(MATCH(Calendar!$A19,DB!$1:$1,0)),FALSE),"")</f>
        <v/>
      </c>
      <c r="QPD19" s="28" t="str">
        <f>IFERROR(VLOOKUP(DATE($K$1,$K$2,QPD$4),Table1[],(MATCH(Calendar!$A19,DB!$1:$1,0)),FALSE),"")</f>
        <v/>
      </c>
      <c r="QPE19" s="28" t="str">
        <f>IFERROR(VLOOKUP(DATE($K$1,$K$2,QPE$4),Table1[],(MATCH(Calendar!$A19,DB!$1:$1,0)),FALSE),"")</f>
        <v/>
      </c>
      <c r="QPF19" s="28" t="str">
        <f>IFERROR(VLOOKUP(DATE($K$1,$K$2,QPF$4),Table1[],(MATCH(Calendar!$A19,DB!$1:$1,0)),FALSE),"")</f>
        <v/>
      </c>
      <c r="QPG19" s="28" t="str">
        <f>IFERROR(VLOOKUP(DATE($K$1,$K$2,QPG$4),Table1[],(MATCH(Calendar!$A19,DB!$1:$1,0)),FALSE),"")</f>
        <v/>
      </c>
      <c r="QPH19" s="28" t="str">
        <f>IFERROR(VLOOKUP(DATE($K$1,$K$2,QPH$4),Table1[],(MATCH(Calendar!$A19,DB!$1:$1,0)),FALSE),"")</f>
        <v/>
      </c>
      <c r="QPI19" s="28" t="str">
        <f>IFERROR(VLOOKUP(DATE($K$1,$K$2,QPI$4),Table1[],(MATCH(Calendar!$A19,DB!$1:$1,0)),FALSE),"")</f>
        <v/>
      </c>
      <c r="QPJ19" s="28" t="str">
        <f>IFERROR(VLOOKUP(DATE($K$1,$K$2,QPJ$4),Table1[],(MATCH(Calendar!$A19,DB!$1:$1,0)),FALSE),"")</f>
        <v/>
      </c>
      <c r="QPK19" s="28" t="str">
        <f>IFERROR(VLOOKUP(DATE($K$1,$K$2,QPK$4),Table1[],(MATCH(Calendar!$A19,DB!$1:$1,0)),FALSE),"")</f>
        <v/>
      </c>
      <c r="QPL19" s="28" t="str">
        <f>IFERROR(VLOOKUP(DATE($K$1,$K$2,QPL$4),Table1[],(MATCH(Calendar!$A19,DB!$1:$1,0)),FALSE),"")</f>
        <v/>
      </c>
      <c r="QPM19" s="28" t="str">
        <f>IFERROR(VLOOKUP(DATE($K$1,$K$2,QPM$4),Table1[],(MATCH(Calendar!$A19,DB!$1:$1,0)),FALSE),"")</f>
        <v/>
      </c>
      <c r="QPN19" s="28" t="str">
        <f>IFERROR(VLOOKUP(DATE($K$1,$K$2,QPN$4),Table1[],(MATCH(Calendar!$A19,DB!$1:$1,0)),FALSE),"")</f>
        <v/>
      </c>
      <c r="QPO19" s="28" t="str">
        <f>IFERROR(VLOOKUP(DATE($K$1,$K$2,QPO$4),Table1[],(MATCH(Calendar!$A19,DB!$1:$1,0)),FALSE),"")</f>
        <v/>
      </c>
      <c r="QPP19" s="28" t="str">
        <f>IFERROR(VLOOKUP(DATE($K$1,$K$2,QPP$4),Table1[],(MATCH(Calendar!$A19,DB!$1:$1,0)),FALSE),"")</f>
        <v/>
      </c>
      <c r="QPQ19" s="28" t="str">
        <f>IFERROR(VLOOKUP(DATE($K$1,$K$2,QPQ$4),Table1[],(MATCH(Calendar!$A19,DB!$1:$1,0)),FALSE),"")</f>
        <v/>
      </c>
      <c r="QPR19" s="28" t="str">
        <f>IFERROR(VLOOKUP(DATE($K$1,$K$2,QPR$4),Table1[],(MATCH(Calendar!$A19,DB!$1:$1,0)),FALSE),"")</f>
        <v/>
      </c>
      <c r="QPS19" s="28" t="str">
        <f>IFERROR(VLOOKUP(DATE($K$1,$K$2,QPS$4),Table1[],(MATCH(Calendar!$A19,DB!$1:$1,0)),FALSE),"")</f>
        <v/>
      </c>
      <c r="QPT19" s="28" t="str">
        <f>IFERROR(VLOOKUP(DATE($K$1,$K$2,QPT$4),Table1[],(MATCH(Calendar!$A19,DB!$1:$1,0)),FALSE),"")</f>
        <v/>
      </c>
      <c r="QPU19" s="28" t="str">
        <f>IFERROR(VLOOKUP(DATE($K$1,$K$2,QPU$4),Table1[],(MATCH(Calendar!$A19,DB!$1:$1,0)),FALSE),"")</f>
        <v/>
      </c>
      <c r="QPV19" s="28" t="str">
        <f>IFERROR(VLOOKUP(DATE($K$1,$K$2,QPV$4),Table1[],(MATCH(Calendar!$A19,DB!$1:$1,0)),FALSE),"")</f>
        <v/>
      </c>
      <c r="QPW19" s="28" t="str">
        <f>IFERROR(VLOOKUP(DATE($K$1,$K$2,QPW$4),Table1[],(MATCH(Calendar!$A19,DB!$1:$1,0)),FALSE),"")</f>
        <v/>
      </c>
      <c r="QPX19" s="28" t="str">
        <f>IFERROR(VLOOKUP(DATE($K$1,$K$2,QPX$4),Table1[],(MATCH(Calendar!$A19,DB!$1:$1,0)),FALSE),"")</f>
        <v/>
      </c>
      <c r="QPY19" s="28" t="str">
        <f>IFERROR(VLOOKUP(DATE($K$1,$K$2,QPY$4),Table1[],(MATCH(Calendar!$A19,DB!$1:$1,0)),FALSE),"")</f>
        <v/>
      </c>
      <c r="QPZ19" s="28" t="str">
        <f>IFERROR(VLOOKUP(DATE($K$1,$K$2,QPZ$4),Table1[],(MATCH(Calendar!$A19,DB!$1:$1,0)),FALSE),"")</f>
        <v/>
      </c>
      <c r="QQA19" s="28" t="str">
        <f>IFERROR(VLOOKUP(DATE($K$1,$K$2,QQA$4),Table1[],(MATCH(Calendar!$A19,DB!$1:$1,0)),FALSE),"")</f>
        <v/>
      </c>
      <c r="QQB19" s="28" t="str">
        <f>IFERROR(VLOOKUP(DATE($K$1,$K$2,QQB$4),Table1[],(MATCH(Calendar!$A19,DB!$1:$1,0)),FALSE),"")</f>
        <v/>
      </c>
      <c r="QQC19" s="28" t="str">
        <f>IFERROR(VLOOKUP(DATE($K$1,$K$2,QQC$4),Table1[],(MATCH(Calendar!$A19,DB!$1:$1,0)),FALSE),"")</f>
        <v/>
      </c>
      <c r="QQD19" s="28" t="str">
        <f>IFERROR(VLOOKUP(DATE($K$1,$K$2,QQD$4),Table1[],(MATCH(Calendar!$A19,DB!$1:$1,0)),FALSE),"")</f>
        <v/>
      </c>
      <c r="QQE19" s="28" t="str">
        <f>IFERROR(VLOOKUP(DATE($K$1,$K$2,QQE$4),Table1[],(MATCH(Calendar!$A19,DB!$1:$1,0)),FALSE),"")</f>
        <v/>
      </c>
      <c r="QQF19" s="28" t="str">
        <f>IFERROR(VLOOKUP(DATE($K$1,$K$2,QQF$4),Table1[],(MATCH(Calendar!$A19,DB!$1:$1,0)),FALSE),"")</f>
        <v/>
      </c>
      <c r="QQG19" s="28" t="str">
        <f>IFERROR(VLOOKUP(DATE($K$1,$K$2,QQG$4),Table1[],(MATCH(Calendar!$A19,DB!$1:$1,0)),FALSE),"")</f>
        <v/>
      </c>
      <c r="QQH19" s="28" t="str">
        <f>IFERROR(VLOOKUP(DATE($K$1,$K$2,QQH$4),Table1[],(MATCH(Calendar!$A19,DB!$1:$1,0)),FALSE),"")</f>
        <v/>
      </c>
      <c r="QQI19" s="28" t="str">
        <f>IFERROR(VLOOKUP(DATE($K$1,$K$2,QQI$4),Table1[],(MATCH(Calendar!$A19,DB!$1:$1,0)),FALSE),"")</f>
        <v/>
      </c>
      <c r="QQJ19" s="28" t="str">
        <f>IFERROR(VLOOKUP(DATE($K$1,$K$2,QQJ$4),Table1[],(MATCH(Calendar!$A19,DB!$1:$1,0)),FALSE),"")</f>
        <v/>
      </c>
      <c r="QQK19" s="28" t="str">
        <f>IFERROR(VLOOKUP(DATE($K$1,$K$2,QQK$4),Table1[],(MATCH(Calendar!$A19,DB!$1:$1,0)),FALSE),"")</f>
        <v/>
      </c>
      <c r="QQL19" s="28" t="str">
        <f>IFERROR(VLOOKUP(DATE($K$1,$K$2,QQL$4),Table1[],(MATCH(Calendar!$A19,DB!$1:$1,0)),FALSE),"")</f>
        <v/>
      </c>
      <c r="QQM19" s="28" t="str">
        <f>IFERROR(VLOOKUP(DATE($K$1,$K$2,QQM$4),Table1[],(MATCH(Calendar!$A19,DB!$1:$1,0)),FALSE),"")</f>
        <v/>
      </c>
      <c r="QQN19" s="28" t="str">
        <f>IFERROR(VLOOKUP(DATE($K$1,$K$2,QQN$4),Table1[],(MATCH(Calendar!$A19,DB!$1:$1,0)),FALSE),"")</f>
        <v/>
      </c>
      <c r="QQO19" s="28" t="str">
        <f>IFERROR(VLOOKUP(DATE($K$1,$K$2,QQO$4),Table1[],(MATCH(Calendar!$A19,DB!$1:$1,0)),FALSE),"")</f>
        <v/>
      </c>
      <c r="QQP19" s="28" t="str">
        <f>IFERROR(VLOOKUP(DATE($K$1,$K$2,QQP$4),Table1[],(MATCH(Calendar!$A19,DB!$1:$1,0)),FALSE),"")</f>
        <v/>
      </c>
      <c r="QQQ19" s="28" t="str">
        <f>IFERROR(VLOOKUP(DATE($K$1,$K$2,QQQ$4),Table1[],(MATCH(Calendar!$A19,DB!$1:$1,0)),FALSE),"")</f>
        <v/>
      </c>
      <c r="QQR19" s="28" t="str">
        <f>IFERROR(VLOOKUP(DATE($K$1,$K$2,QQR$4),Table1[],(MATCH(Calendar!$A19,DB!$1:$1,0)),FALSE),"")</f>
        <v/>
      </c>
      <c r="QQS19" s="28" t="str">
        <f>IFERROR(VLOOKUP(DATE($K$1,$K$2,QQS$4),Table1[],(MATCH(Calendar!$A19,DB!$1:$1,0)),FALSE),"")</f>
        <v/>
      </c>
      <c r="QQT19" s="28" t="str">
        <f>IFERROR(VLOOKUP(DATE($K$1,$K$2,QQT$4),Table1[],(MATCH(Calendar!$A19,DB!$1:$1,0)),FALSE),"")</f>
        <v/>
      </c>
      <c r="QQU19" s="28" t="str">
        <f>IFERROR(VLOOKUP(DATE($K$1,$K$2,QQU$4),Table1[],(MATCH(Calendar!$A19,DB!$1:$1,0)),FALSE),"")</f>
        <v/>
      </c>
      <c r="QQV19" s="28" t="str">
        <f>IFERROR(VLOOKUP(DATE($K$1,$K$2,QQV$4),Table1[],(MATCH(Calendar!$A19,DB!$1:$1,0)),FALSE),"")</f>
        <v/>
      </c>
      <c r="QQW19" s="28" t="str">
        <f>IFERROR(VLOOKUP(DATE($K$1,$K$2,QQW$4),Table1[],(MATCH(Calendar!$A19,DB!$1:$1,0)),FALSE),"")</f>
        <v/>
      </c>
      <c r="QQX19" s="28" t="str">
        <f>IFERROR(VLOOKUP(DATE($K$1,$K$2,QQX$4),Table1[],(MATCH(Calendar!$A19,DB!$1:$1,0)),FALSE),"")</f>
        <v/>
      </c>
      <c r="QQY19" s="28" t="str">
        <f>IFERROR(VLOOKUP(DATE($K$1,$K$2,QQY$4),Table1[],(MATCH(Calendar!$A19,DB!$1:$1,0)),FALSE),"")</f>
        <v/>
      </c>
      <c r="QQZ19" s="28" t="str">
        <f>IFERROR(VLOOKUP(DATE($K$1,$K$2,QQZ$4),Table1[],(MATCH(Calendar!$A19,DB!$1:$1,0)),FALSE),"")</f>
        <v/>
      </c>
      <c r="QRA19" s="28" t="str">
        <f>IFERROR(VLOOKUP(DATE($K$1,$K$2,QRA$4),Table1[],(MATCH(Calendar!$A19,DB!$1:$1,0)),FALSE),"")</f>
        <v/>
      </c>
      <c r="QRB19" s="28" t="str">
        <f>IFERROR(VLOOKUP(DATE($K$1,$K$2,QRB$4),Table1[],(MATCH(Calendar!$A19,DB!$1:$1,0)),FALSE),"")</f>
        <v/>
      </c>
      <c r="QRC19" s="28" t="str">
        <f>IFERROR(VLOOKUP(DATE($K$1,$K$2,QRC$4),Table1[],(MATCH(Calendar!$A19,DB!$1:$1,0)),FALSE),"")</f>
        <v/>
      </c>
      <c r="QRD19" s="28" t="str">
        <f>IFERROR(VLOOKUP(DATE($K$1,$K$2,QRD$4),Table1[],(MATCH(Calendar!$A19,DB!$1:$1,0)),FALSE),"")</f>
        <v/>
      </c>
      <c r="QRE19" s="28" t="str">
        <f>IFERROR(VLOOKUP(DATE($K$1,$K$2,QRE$4),Table1[],(MATCH(Calendar!$A19,DB!$1:$1,0)),FALSE),"")</f>
        <v/>
      </c>
      <c r="QRF19" s="28" t="str">
        <f>IFERROR(VLOOKUP(DATE($K$1,$K$2,QRF$4),Table1[],(MATCH(Calendar!$A19,DB!$1:$1,0)),FALSE),"")</f>
        <v/>
      </c>
      <c r="QRG19" s="28" t="str">
        <f>IFERROR(VLOOKUP(DATE($K$1,$K$2,QRG$4),Table1[],(MATCH(Calendar!$A19,DB!$1:$1,0)),FALSE),"")</f>
        <v/>
      </c>
      <c r="QRH19" s="28" t="str">
        <f>IFERROR(VLOOKUP(DATE($K$1,$K$2,QRH$4),Table1[],(MATCH(Calendar!$A19,DB!$1:$1,0)),FALSE),"")</f>
        <v/>
      </c>
      <c r="QRI19" s="28" t="str">
        <f>IFERROR(VLOOKUP(DATE($K$1,$K$2,QRI$4),Table1[],(MATCH(Calendar!$A19,DB!$1:$1,0)),FALSE),"")</f>
        <v/>
      </c>
      <c r="QRJ19" s="28" t="str">
        <f>IFERROR(VLOOKUP(DATE($K$1,$K$2,QRJ$4),Table1[],(MATCH(Calendar!$A19,DB!$1:$1,0)),FALSE),"")</f>
        <v/>
      </c>
      <c r="QRK19" s="28" t="str">
        <f>IFERROR(VLOOKUP(DATE($K$1,$K$2,QRK$4),Table1[],(MATCH(Calendar!$A19,DB!$1:$1,0)),FALSE),"")</f>
        <v/>
      </c>
      <c r="QRL19" s="28" t="str">
        <f>IFERROR(VLOOKUP(DATE($K$1,$K$2,QRL$4),Table1[],(MATCH(Calendar!$A19,DB!$1:$1,0)),FALSE),"")</f>
        <v/>
      </c>
      <c r="QRM19" s="28" t="str">
        <f>IFERROR(VLOOKUP(DATE($K$1,$K$2,QRM$4),Table1[],(MATCH(Calendar!$A19,DB!$1:$1,0)),FALSE),"")</f>
        <v/>
      </c>
      <c r="QRN19" s="28" t="str">
        <f>IFERROR(VLOOKUP(DATE($K$1,$K$2,QRN$4),Table1[],(MATCH(Calendar!$A19,DB!$1:$1,0)),FALSE),"")</f>
        <v/>
      </c>
      <c r="QRO19" s="28" t="str">
        <f>IFERROR(VLOOKUP(DATE($K$1,$K$2,QRO$4),Table1[],(MATCH(Calendar!$A19,DB!$1:$1,0)),FALSE),"")</f>
        <v/>
      </c>
      <c r="QRP19" s="28" t="str">
        <f>IFERROR(VLOOKUP(DATE($K$1,$K$2,QRP$4),Table1[],(MATCH(Calendar!$A19,DB!$1:$1,0)),FALSE),"")</f>
        <v/>
      </c>
      <c r="QRQ19" s="28" t="str">
        <f>IFERROR(VLOOKUP(DATE($K$1,$K$2,QRQ$4),Table1[],(MATCH(Calendar!$A19,DB!$1:$1,0)),FALSE),"")</f>
        <v/>
      </c>
      <c r="QRR19" s="28" t="str">
        <f>IFERROR(VLOOKUP(DATE($K$1,$K$2,QRR$4),Table1[],(MATCH(Calendar!$A19,DB!$1:$1,0)),FALSE),"")</f>
        <v/>
      </c>
      <c r="QRS19" s="28" t="str">
        <f>IFERROR(VLOOKUP(DATE($K$1,$K$2,QRS$4),Table1[],(MATCH(Calendar!$A19,DB!$1:$1,0)),FALSE),"")</f>
        <v/>
      </c>
      <c r="QRT19" s="28" t="str">
        <f>IFERROR(VLOOKUP(DATE($K$1,$K$2,QRT$4),Table1[],(MATCH(Calendar!$A19,DB!$1:$1,0)),FALSE),"")</f>
        <v/>
      </c>
      <c r="QRU19" s="28" t="str">
        <f>IFERROR(VLOOKUP(DATE($K$1,$K$2,QRU$4),Table1[],(MATCH(Calendar!$A19,DB!$1:$1,0)),FALSE),"")</f>
        <v/>
      </c>
      <c r="QRV19" s="28" t="str">
        <f>IFERROR(VLOOKUP(DATE($K$1,$K$2,QRV$4),Table1[],(MATCH(Calendar!$A19,DB!$1:$1,0)),FALSE),"")</f>
        <v/>
      </c>
      <c r="QRW19" s="28" t="str">
        <f>IFERROR(VLOOKUP(DATE($K$1,$K$2,QRW$4),Table1[],(MATCH(Calendar!$A19,DB!$1:$1,0)),FALSE),"")</f>
        <v/>
      </c>
      <c r="QRX19" s="28" t="str">
        <f>IFERROR(VLOOKUP(DATE($K$1,$K$2,QRX$4),Table1[],(MATCH(Calendar!$A19,DB!$1:$1,0)),FALSE),"")</f>
        <v/>
      </c>
      <c r="QRY19" s="28" t="str">
        <f>IFERROR(VLOOKUP(DATE($K$1,$K$2,QRY$4),Table1[],(MATCH(Calendar!$A19,DB!$1:$1,0)),FALSE),"")</f>
        <v/>
      </c>
      <c r="QRZ19" s="28" t="str">
        <f>IFERROR(VLOOKUP(DATE($K$1,$K$2,QRZ$4),Table1[],(MATCH(Calendar!$A19,DB!$1:$1,0)),FALSE),"")</f>
        <v/>
      </c>
      <c r="QSA19" s="28" t="str">
        <f>IFERROR(VLOOKUP(DATE($K$1,$K$2,QSA$4),Table1[],(MATCH(Calendar!$A19,DB!$1:$1,0)),FALSE),"")</f>
        <v/>
      </c>
      <c r="QSB19" s="28" t="str">
        <f>IFERROR(VLOOKUP(DATE($K$1,$K$2,QSB$4),Table1[],(MATCH(Calendar!$A19,DB!$1:$1,0)),FALSE),"")</f>
        <v/>
      </c>
      <c r="QSC19" s="28" t="str">
        <f>IFERROR(VLOOKUP(DATE($K$1,$K$2,QSC$4),Table1[],(MATCH(Calendar!$A19,DB!$1:$1,0)),FALSE),"")</f>
        <v/>
      </c>
      <c r="QSD19" s="28" t="str">
        <f>IFERROR(VLOOKUP(DATE($K$1,$K$2,QSD$4),Table1[],(MATCH(Calendar!$A19,DB!$1:$1,0)),FALSE),"")</f>
        <v/>
      </c>
      <c r="QSE19" s="28" t="str">
        <f>IFERROR(VLOOKUP(DATE($K$1,$K$2,QSE$4),Table1[],(MATCH(Calendar!$A19,DB!$1:$1,0)),FALSE),"")</f>
        <v/>
      </c>
      <c r="QSF19" s="28" t="str">
        <f>IFERROR(VLOOKUP(DATE($K$1,$K$2,QSF$4),Table1[],(MATCH(Calendar!$A19,DB!$1:$1,0)),FALSE),"")</f>
        <v/>
      </c>
      <c r="QSG19" s="28" t="str">
        <f>IFERROR(VLOOKUP(DATE($K$1,$K$2,QSG$4),Table1[],(MATCH(Calendar!$A19,DB!$1:$1,0)),FALSE),"")</f>
        <v/>
      </c>
      <c r="QSH19" s="28" t="str">
        <f>IFERROR(VLOOKUP(DATE($K$1,$K$2,QSH$4),Table1[],(MATCH(Calendar!$A19,DB!$1:$1,0)),FALSE),"")</f>
        <v/>
      </c>
      <c r="QSI19" s="28" t="str">
        <f>IFERROR(VLOOKUP(DATE($K$1,$K$2,QSI$4),Table1[],(MATCH(Calendar!$A19,DB!$1:$1,0)),FALSE),"")</f>
        <v/>
      </c>
      <c r="QSJ19" s="28" t="str">
        <f>IFERROR(VLOOKUP(DATE($K$1,$K$2,QSJ$4),Table1[],(MATCH(Calendar!$A19,DB!$1:$1,0)),FALSE),"")</f>
        <v/>
      </c>
      <c r="QSK19" s="28" t="str">
        <f>IFERROR(VLOOKUP(DATE($K$1,$K$2,QSK$4),Table1[],(MATCH(Calendar!$A19,DB!$1:$1,0)),FALSE),"")</f>
        <v/>
      </c>
      <c r="QSL19" s="28" t="str">
        <f>IFERROR(VLOOKUP(DATE($K$1,$K$2,QSL$4),Table1[],(MATCH(Calendar!$A19,DB!$1:$1,0)),FALSE),"")</f>
        <v/>
      </c>
      <c r="QSM19" s="28" t="str">
        <f>IFERROR(VLOOKUP(DATE($K$1,$K$2,QSM$4),Table1[],(MATCH(Calendar!$A19,DB!$1:$1,0)),FALSE),"")</f>
        <v/>
      </c>
      <c r="QSN19" s="28" t="str">
        <f>IFERROR(VLOOKUP(DATE($K$1,$K$2,QSN$4),Table1[],(MATCH(Calendar!$A19,DB!$1:$1,0)),FALSE),"")</f>
        <v/>
      </c>
      <c r="QSO19" s="28" t="str">
        <f>IFERROR(VLOOKUP(DATE($K$1,$K$2,QSO$4),Table1[],(MATCH(Calendar!$A19,DB!$1:$1,0)),FALSE),"")</f>
        <v/>
      </c>
      <c r="QSP19" s="28" t="str">
        <f>IFERROR(VLOOKUP(DATE($K$1,$K$2,QSP$4),Table1[],(MATCH(Calendar!$A19,DB!$1:$1,0)),FALSE),"")</f>
        <v/>
      </c>
      <c r="QSQ19" s="28" t="str">
        <f>IFERROR(VLOOKUP(DATE($K$1,$K$2,QSQ$4),Table1[],(MATCH(Calendar!$A19,DB!$1:$1,0)),FALSE),"")</f>
        <v/>
      </c>
      <c r="QSR19" s="28" t="str">
        <f>IFERROR(VLOOKUP(DATE($K$1,$K$2,QSR$4),Table1[],(MATCH(Calendar!$A19,DB!$1:$1,0)),FALSE),"")</f>
        <v/>
      </c>
      <c r="QSS19" s="28" t="str">
        <f>IFERROR(VLOOKUP(DATE($K$1,$K$2,QSS$4),Table1[],(MATCH(Calendar!$A19,DB!$1:$1,0)),FALSE),"")</f>
        <v/>
      </c>
      <c r="QST19" s="28" t="str">
        <f>IFERROR(VLOOKUP(DATE($K$1,$K$2,QST$4),Table1[],(MATCH(Calendar!$A19,DB!$1:$1,0)),FALSE),"")</f>
        <v/>
      </c>
      <c r="QSU19" s="28" t="str">
        <f>IFERROR(VLOOKUP(DATE($K$1,$K$2,QSU$4),Table1[],(MATCH(Calendar!$A19,DB!$1:$1,0)),FALSE),"")</f>
        <v/>
      </c>
      <c r="QSV19" s="28" t="str">
        <f>IFERROR(VLOOKUP(DATE($K$1,$K$2,QSV$4),Table1[],(MATCH(Calendar!$A19,DB!$1:$1,0)),FALSE),"")</f>
        <v/>
      </c>
      <c r="QSW19" s="28" t="str">
        <f>IFERROR(VLOOKUP(DATE($K$1,$K$2,QSW$4),Table1[],(MATCH(Calendar!$A19,DB!$1:$1,0)),FALSE),"")</f>
        <v/>
      </c>
      <c r="QSX19" s="28" t="str">
        <f>IFERROR(VLOOKUP(DATE($K$1,$K$2,QSX$4),Table1[],(MATCH(Calendar!$A19,DB!$1:$1,0)),FALSE),"")</f>
        <v/>
      </c>
      <c r="QSY19" s="28" t="str">
        <f>IFERROR(VLOOKUP(DATE($K$1,$K$2,QSY$4),Table1[],(MATCH(Calendar!$A19,DB!$1:$1,0)),FALSE),"")</f>
        <v/>
      </c>
      <c r="QSZ19" s="28" t="str">
        <f>IFERROR(VLOOKUP(DATE($K$1,$K$2,QSZ$4),Table1[],(MATCH(Calendar!$A19,DB!$1:$1,0)),FALSE),"")</f>
        <v/>
      </c>
      <c r="QTA19" s="28" t="str">
        <f>IFERROR(VLOOKUP(DATE($K$1,$K$2,QTA$4),Table1[],(MATCH(Calendar!$A19,DB!$1:$1,0)),FALSE),"")</f>
        <v/>
      </c>
      <c r="QTB19" s="28" t="str">
        <f>IFERROR(VLOOKUP(DATE($K$1,$K$2,QTB$4),Table1[],(MATCH(Calendar!$A19,DB!$1:$1,0)),FALSE),"")</f>
        <v/>
      </c>
      <c r="QTC19" s="28" t="str">
        <f>IFERROR(VLOOKUP(DATE($K$1,$K$2,QTC$4),Table1[],(MATCH(Calendar!$A19,DB!$1:$1,0)),FALSE),"")</f>
        <v/>
      </c>
      <c r="QTD19" s="28" t="str">
        <f>IFERROR(VLOOKUP(DATE($K$1,$K$2,QTD$4),Table1[],(MATCH(Calendar!$A19,DB!$1:$1,0)),FALSE),"")</f>
        <v/>
      </c>
      <c r="QTE19" s="28" t="str">
        <f>IFERROR(VLOOKUP(DATE($K$1,$K$2,QTE$4),Table1[],(MATCH(Calendar!$A19,DB!$1:$1,0)),FALSE),"")</f>
        <v/>
      </c>
      <c r="QTF19" s="28" t="str">
        <f>IFERROR(VLOOKUP(DATE($K$1,$K$2,QTF$4),Table1[],(MATCH(Calendar!$A19,DB!$1:$1,0)),FALSE),"")</f>
        <v/>
      </c>
      <c r="QTG19" s="28" t="str">
        <f>IFERROR(VLOOKUP(DATE($K$1,$K$2,QTG$4),Table1[],(MATCH(Calendar!$A19,DB!$1:$1,0)),FALSE),"")</f>
        <v/>
      </c>
      <c r="QTH19" s="28" t="str">
        <f>IFERROR(VLOOKUP(DATE($K$1,$K$2,QTH$4),Table1[],(MATCH(Calendar!$A19,DB!$1:$1,0)),FALSE),"")</f>
        <v/>
      </c>
      <c r="QTI19" s="28" t="str">
        <f>IFERROR(VLOOKUP(DATE($K$1,$K$2,QTI$4),Table1[],(MATCH(Calendar!$A19,DB!$1:$1,0)),FALSE),"")</f>
        <v/>
      </c>
      <c r="QTJ19" s="28" t="str">
        <f>IFERROR(VLOOKUP(DATE($K$1,$K$2,QTJ$4),Table1[],(MATCH(Calendar!$A19,DB!$1:$1,0)),FALSE),"")</f>
        <v/>
      </c>
      <c r="QTK19" s="28" t="str">
        <f>IFERROR(VLOOKUP(DATE($K$1,$K$2,QTK$4),Table1[],(MATCH(Calendar!$A19,DB!$1:$1,0)),FALSE),"")</f>
        <v/>
      </c>
      <c r="QTL19" s="28" t="str">
        <f>IFERROR(VLOOKUP(DATE($K$1,$K$2,QTL$4),Table1[],(MATCH(Calendar!$A19,DB!$1:$1,0)),FALSE),"")</f>
        <v/>
      </c>
      <c r="QTM19" s="28" t="str">
        <f>IFERROR(VLOOKUP(DATE($K$1,$K$2,QTM$4),Table1[],(MATCH(Calendar!$A19,DB!$1:$1,0)),FALSE),"")</f>
        <v/>
      </c>
      <c r="QTN19" s="28" t="str">
        <f>IFERROR(VLOOKUP(DATE($K$1,$K$2,QTN$4),Table1[],(MATCH(Calendar!$A19,DB!$1:$1,0)),FALSE),"")</f>
        <v/>
      </c>
      <c r="QTO19" s="28" t="str">
        <f>IFERROR(VLOOKUP(DATE($K$1,$K$2,QTO$4),Table1[],(MATCH(Calendar!$A19,DB!$1:$1,0)),FALSE),"")</f>
        <v/>
      </c>
      <c r="QTP19" s="28" t="str">
        <f>IFERROR(VLOOKUP(DATE($K$1,$K$2,QTP$4),Table1[],(MATCH(Calendar!$A19,DB!$1:$1,0)),FALSE),"")</f>
        <v/>
      </c>
      <c r="QTQ19" s="28" t="str">
        <f>IFERROR(VLOOKUP(DATE($K$1,$K$2,QTQ$4),Table1[],(MATCH(Calendar!$A19,DB!$1:$1,0)),FALSE),"")</f>
        <v/>
      </c>
      <c r="QTR19" s="28" t="str">
        <f>IFERROR(VLOOKUP(DATE($K$1,$K$2,QTR$4),Table1[],(MATCH(Calendar!$A19,DB!$1:$1,0)),FALSE),"")</f>
        <v/>
      </c>
      <c r="QTS19" s="28" t="str">
        <f>IFERROR(VLOOKUP(DATE($K$1,$K$2,QTS$4),Table1[],(MATCH(Calendar!$A19,DB!$1:$1,0)),FALSE),"")</f>
        <v/>
      </c>
      <c r="QTT19" s="28" t="str">
        <f>IFERROR(VLOOKUP(DATE($K$1,$K$2,QTT$4),Table1[],(MATCH(Calendar!$A19,DB!$1:$1,0)),FALSE),"")</f>
        <v/>
      </c>
      <c r="QTU19" s="28" t="str">
        <f>IFERROR(VLOOKUP(DATE($K$1,$K$2,QTU$4),Table1[],(MATCH(Calendar!$A19,DB!$1:$1,0)),FALSE),"")</f>
        <v/>
      </c>
      <c r="QTV19" s="28" t="str">
        <f>IFERROR(VLOOKUP(DATE($K$1,$K$2,QTV$4),Table1[],(MATCH(Calendar!$A19,DB!$1:$1,0)),FALSE),"")</f>
        <v/>
      </c>
      <c r="QTW19" s="28" t="str">
        <f>IFERROR(VLOOKUP(DATE($K$1,$K$2,QTW$4),Table1[],(MATCH(Calendar!$A19,DB!$1:$1,0)),FALSE),"")</f>
        <v/>
      </c>
      <c r="QTX19" s="28" t="str">
        <f>IFERROR(VLOOKUP(DATE($K$1,$K$2,QTX$4),Table1[],(MATCH(Calendar!$A19,DB!$1:$1,0)),FALSE),"")</f>
        <v/>
      </c>
      <c r="QTY19" s="28" t="str">
        <f>IFERROR(VLOOKUP(DATE($K$1,$K$2,QTY$4),Table1[],(MATCH(Calendar!$A19,DB!$1:$1,0)),FALSE),"")</f>
        <v/>
      </c>
      <c r="QTZ19" s="28" t="str">
        <f>IFERROR(VLOOKUP(DATE($K$1,$K$2,QTZ$4),Table1[],(MATCH(Calendar!$A19,DB!$1:$1,0)),FALSE),"")</f>
        <v/>
      </c>
      <c r="QUA19" s="28" t="str">
        <f>IFERROR(VLOOKUP(DATE($K$1,$K$2,QUA$4),Table1[],(MATCH(Calendar!$A19,DB!$1:$1,0)),FALSE),"")</f>
        <v/>
      </c>
      <c r="QUB19" s="28" t="str">
        <f>IFERROR(VLOOKUP(DATE($K$1,$K$2,QUB$4),Table1[],(MATCH(Calendar!$A19,DB!$1:$1,0)),FALSE),"")</f>
        <v/>
      </c>
      <c r="QUC19" s="28" t="str">
        <f>IFERROR(VLOOKUP(DATE($K$1,$K$2,QUC$4),Table1[],(MATCH(Calendar!$A19,DB!$1:$1,0)),FALSE),"")</f>
        <v/>
      </c>
      <c r="QUD19" s="28" t="str">
        <f>IFERROR(VLOOKUP(DATE($K$1,$K$2,QUD$4),Table1[],(MATCH(Calendar!$A19,DB!$1:$1,0)),FALSE),"")</f>
        <v/>
      </c>
      <c r="QUE19" s="28" t="str">
        <f>IFERROR(VLOOKUP(DATE($K$1,$K$2,QUE$4),Table1[],(MATCH(Calendar!$A19,DB!$1:$1,0)),FALSE),"")</f>
        <v/>
      </c>
      <c r="QUF19" s="28" t="str">
        <f>IFERROR(VLOOKUP(DATE($K$1,$K$2,QUF$4),Table1[],(MATCH(Calendar!$A19,DB!$1:$1,0)),FALSE),"")</f>
        <v/>
      </c>
      <c r="QUG19" s="28" t="str">
        <f>IFERROR(VLOOKUP(DATE($K$1,$K$2,QUG$4),Table1[],(MATCH(Calendar!$A19,DB!$1:$1,0)),FALSE),"")</f>
        <v/>
      </c>
      <c r="QUH19" s="28" t="str">
        <f>IFERROR(VLOOKUP(DATE($K$1,$K$2,QUH$4),Table1[],(MATCH(Calendar!$A19,DB!$1:$1,0)),FALSE),"")</f>
        <v/>
      </c>
      <c r="QUI19" s="28" t="str">
        <f>IFERROR(VLOOKUP(DATE($K$1,$K$2,QUI$4),Table1[],(MATCH(Calendar!$A19,DB!$1:$1,0)),FALSE),"")</f>
        <v/>
      </c>
      <c r="QUJ19" s="28" t="str">
        <f>IFERROR(VLOOKUP(DATE($K$1,$K$2,QUJ$4),Table1[],(MATCH(Calendar!$A19,DB!$1:$1,0)),FALSE),"")</f>
        <v/>
      </c>
      <c r="QUK19" s="28" t="str">
        <f>IFERROR(VLOOKUP(DATE($K$1,$K$2,QUK$4),Table1[],(MATCH(Calendar!$A19,DB!$1:$1,0)),FALSE),"")</f>
        <v/>
      </c>
      <c r="QUL19" s="28" t="str">
        <f>IFERROR(VLOOKUP(DATE($K$1,$K$2,QUL$4),Table1[],(MATCH(Calendar!$A19,DB!$1:$1,0)),FALSE),"")</f>
        <v/>
      </c>
      <c r="QUM19" s="28" t="str">
        <f>IFERROR(VLOOKUP(DATE($K$1,$K$2,QUM$4),Table1[],(MATCH(Calendar!$A19,DB!$1:$1,0)),FALSE),"")</f>
        <v/>
      </c>
      <c r="QUN19" s="28" t="str">
        <f>IFERROR(VLOOKUP(DATE($K$1,$K$2,QUN$4),Table1[],(MATCH(Calendar!$A19,DB!$1:$1,0)),FALSE),"")</f>
        <v/>
      </c>
      <c r="QUO19" s="28" t="str">
        <f>IFERROR(VLOOKUP(DATE($K$1,$K$2,QUO$4),Table1[],(MATCH(Calendar!$A19,DB!$1:$1,0)),FALSE),"")</f>
        <v/>
      </c>
      <c r="QUP19" s="28" t="str">
        <f>IFERROR(VLOOKUP(DATE($K$1,$K$2,QUP$4),Table1[],(MATCH(Calendar!$A19,DB!$1:$1,0)),FALSE),"")</f>
        <v/>
      </c>
      <c r="QUQ19" s="28" t="str">
        <f>IFERROR(VLOOKUP(DATE($K$1,$K$2,QUQ$4),Table1[],(MATCH(Calendar!$A19,DB!$1:$1,0)),FALSE),"")</f>
        <v/>
      </c>
      <c r="QUR19" s="28" t="str">
        <f>IFERROR(VLOOKUP(DATE($K$1,$K$2,QUR$4),Table1[],(MATCH(Calendar!$A19,DB!$1:$1,0)),FALSE),"")</f>
        <v/>
      </c>
      <c r="QUS19" s="28" t="str">
        <f>IFERROR(VLOOKUP(DATE($K$1,$K$2,QUS$4),Table1[],(MATCH(Calendar!$A19,DB!$1:$1,0)),FALSE),"")</f>
        <v/>
      </c>
      <c r="QUT19" s="28" t="str">
        <f>IFERROR(VLOOKUP(DATE($K$1,$K$2,QUT$4),Table1[],(MATCH(Calendar!$A19,DB!$1:$1,0)),FALSE),"")</f>
        <v/>
      </c>
      <c r="QUU19" s="28" t="str">
        <f>IFERROR(VLOOKUP(DATE($K$1,$K$2,QUU$4),Table1[],(MATCH(Calendar!$A19,DB!$1:$1,0)),FALSE),"")</f>
        <v/>
      </c>
      <c r="QUV19" s="28" t="str">
        <f>IFERROR(VLOOKUP(DATE($K$1,$K$2,QUV$4),Table1[],(MATCH(Calendar!$A19,DB!$1:$1,0)),FALSE),"")</f>
        <v/>
      </c>
      <c r="QUW19" s="28" t="str">
        <f>IFERROR(VLOOKUP(DATE($K$1,$K$2,QUW$4),Table1[],(MATCH(Calendar!$A19,DB!$1:$1,0)),FALSE),"")</f>
        <v/>
      </c>
      <c r="QUX19" s="28" t="str">
        <f>IFERROR(VLOOKUP(DATE($K$1,$K$2,QUX$4),Table1[],(MATCH(Calendar!$A19,DB!$1:$1,0)),FALSE),"")</f>
        <v/>
      </c>
      <c r="QUY19" s="28" t="str">
        <f>IFERROR(VLOOKUP(DATE($K$1,$K$2,QUY$4),Table1[],(MATCH(Calendar!$A19,DB!$1:$1,0)),FALSE),"")</f>
        <v/>
      </c>
      <c r="QUZ19" s="28" t="str">
        <f>IFERROR(VLOOKUP(DATE($K$1,$K$2,QUZ$4),Table1[],(MATCH(Calendar!$A19,DB!$1:$1,0)),FALSE),"")</f>
        <v/>
      </c>
      <c r="QVA19" s="28" t="str">
        <f>IFERROR(VLOOKUP(DATE($K$1,$K$2,QVA$4),Table1[],(MATCH(Calendar!$A19,DB!$1:$1,0)),FALSE),"")</f>
        <v/>
      </c>
      <c r="QVB19" s="28" t="str">
        <f>IFERROR(VLOOKUP(DATE($K$1,$K$2,QVB$4),Table1[],(MATCH(Calendar!$A19,DB!$1:$1,0)),FALSE),"")</f>
        <v/>
      </c>
      <c r="QVC19" s="28" t="str">
        <f>IFERROR(VLOOKUP(DATE($K$1,$K$2,QVC$4),Table1[],(MATCH(Calendar!$A19,DB!$1:$1,0)),FALSE),"")</f>
        <v/>
      </c>
      <c r="QVD19" s="28" t="str">
        <f>IFERROR(VLOOKUP(DATE($K$1,$K$2,QVD$4),Table1[],(MATCH(Calendar!$A19,DB!$1:$1,0)),FALSE),"")</f>
        <v/>
      </c>
      <c r="QVE19" s="28" t="str">
        <f>IFERROR(VLOOKUP(DATE($K$1,$K$2,QVE$4),Table1[],(MATCH(Calendar!$A19,DB!$1:$1,0)),FALSE),"")</f>
        <v/>
      </c>
      <c r="QVF19" s="28" t="str">
        <f>IFERROR(VLOOKUP(DATE($K$1,$K$2,QVF$4),Table1[],(MATCH(Calendar!$A19,DB!$1:$1,0)),FALSE),"")</f>
        <v/>
      </c>
      <c r="QVG19" s="28" t="str">
        <f>IFERROR(VLOOKUP(DATE($K$1,$K$2,QVG$4),Table1[],(MATCH(Calendar!$A19,DB!$1:$1,0)),FALSE),"")</f>
        <v/>
      </c>
      <c r="QVH19" s="28" t="str">
        <f>IFERROR(VLOOKUP(DATE($K$1,$K$2,QVH$4),Table1[],(MATCH(Calendar!$A19,DB!$1:$1,0)),FALSE),"")</f>
        <v/>
      </c>
      <c r="QVI19" s="28" t="str">
        <f>IFERROR(VLOOKUP(DATE($K$1,$K$2,QVI$4),Table1[],(MATCH(Calendar!$A19,DB!$1:$1,0)),FALSE),"")</f>
        <v/>
      </c>
      <c r="QVJ19" s="28" t="str">
        <f>IFERROR(VLOOKUP(DATE($K$1,$K$2,QVJ$4),Table1[],(MATCH(Calendar!$A19,DB!$1:$1,0)),FALSE),"")</f>
        <v/>
      </c>
      <c r="QVK19" s="28" t="str">
        <f>IFERROR(VLOOKUP(DATE($K$1,$K$2,QVK$4),Table1[],(MATCH(Calendar!$A19,DB!$1:$1,0)),FALSE),"")</f>
        <v/>
      </c>
      <c r="QVL19" s="28" t="str">
        <f>IFERROR(VLOOKUP(DATE($K$1,$K$2,QVL$4),Table1[],(MATCH(Calendar!$A19,DB!$1:$1,0)),FALSE),"")</f>
        <v/>
      </c>
      <c r="QVM19" s="28" t="str">
        <f>IFERROR(VLOOKUP(DATE($K$1,$K$2,QVM$4),Table1[],(MATCH(Calendar!$A19,DB!$1:$1,0)),FALSE),"")</f>
        <v/>
      </c>
      <c r="QVN19" s="28" t="str">
        <f>IFERROR(VLOOKUP(DATE($K$1,$K$2,QVN$4),Table1[],(MATCH(Calendar!$A19,DB!$1:$1,0)),FALSE),"")</f>
        <v/>
      </c>
      <c r="QVO19" s="28" t="str">
        <f>IFERROR(VLOOKUP(DATE($K$1,$K$2,QVO$4),Table1[],(MATCH(Calendar!$A19,DB!$1:$1,0)),FALSE),"")</f>
        <v/>
      </c>
      <c r="QVP19" s="28" t="str">
        <f>IFERROR(VLOOKUP(DATE($K$1,$K$2,QVP$4),Table1[],(MATCH(Calendar!$A19,DB!$1:$1,0)),FALSE),"")</f>
        <v/>
      </c>
      <c r="QVQ19" s="28" t="str">
        <f>IFERROR(VLOOKUP(DATE($K$1,$K$2,QVQ$4),Table1[],(MATCH(Calendar!$A19,DB!$1:$1,0)),FALSE),"")</f>
        <v/>
      </c>
      <c r="QVR19" s="28" t="str">
        <f>IFERROR(VLOOKUP(DATE($K$1,$K$2,QVR$4),Table1[],(MATCH(Calendar!$A19,DB!$1:$1,0)),FALSE),"")</f>
        <v/>
      </c>
      <c r="QVS19" s="28" t="str">
        <f>IFERROR(VLOOKUP(DATE($K$1,$K$2,QVS$4),Table1[],(MATCH(Calendar!$A19,DB!$1:$1,0)),FALSE),"")</f>
        <v/>
      </c>
      <c r="QVT19" s="28" t="str">
        <f>IFERROR(VLOOKUP(DATE($K$1,$K$2,QVT$4),Table1[],(MATCH(Calendar!$A19,DB!$1:$1,0)),FALSE),"")</f>
        <v/>
      </c>
      <c r="QVU19" s="28" t="str">
        <f>IFERROR(VLOOKUP(DATE($K$1,$K$2,QVU$4),Table1[],(MATCH(Calendar!$A19,DB!$1:$1,0)),FALSE),"")</f>
        <v/>
      </c>
      <c r="QVV19" s="28" t="str">
        <f>IFERROR(VLOOKUP(DATE($K$1,$K$2,QVV$4),Table1[],(MATCH(Calendar!$A19,DB!$1:$1,0)),FALSE),"")</f>
        <v/>
      </c>
      <c r="QVW19" s="28" t="str">
        <f>IFERROR(VLOOKUP(DATE($K$1,$K$2,QVW$4),Table1[],(MATCH(Calendar!$A19,DB!$1:$1,0)),FALSE),"")</f>
        <v/>
      </c>
      <c r="QVX19" s="28" t="str">
        <f>IFERROR(VLOOKUP(DATE($K$1,$K$2,QVX$4),Table1[],(MATCH(Calendar!$A19,DB!$1:$1,0)),FALSE),"")</f>
        <v/>
      </c>
      <c r="QVY19" s="28" t="str">
        <f>IFERROR(VLOOKUP(DATE($K$1,$K$2,QVY$4),Table1[],(MATCH(Calendar!$A19,DB!$1:$1,0)),FALSE),"")</f>
        <v/>
      </c>
      <c r="QVZ19" s="28" t="str">
        <f>IFERROR(VLOOKUP(DATE($K$1,$K$2,QVZ$4),Table1[],(MATCH(Calendar!$A19,DB!$1:$1,0)),FALSE),"")</f>
        <v/>
      </c>
      <c r="QWA19" s="28" t="str">
        <f>IFERROR(VLOOKUP(DATE($K$1,$K$2,QWA$4),Table1[],(MATCH(Calendar!$A19,DB!$1:$1,0)),FALSE),"")</f>
        <v/>
      </c>
      <c r="QWB19" s="28" t="str">
        <f>IFERROR(VLOOKUP(DATE($K$1,$K$2,QWB$4),Table1[],(MATCH(Calendar!$A19,DB!$1:$1,0)),FALSE),"")</f>
        <v/>
      </c>
      <c r="QWC19" s="28" t="str">
        <f>IFERROR(VLOOKUP(DATE($K$1,$K$2,QWC$4),Table1[],(MATCH(Calendar!$A19,DB!$1:$1,0)),FALSE),"")</f>
        <v/>
      </c>
      <c r="QWD19" s="28" t="str">
        <f>IFERROR(VLOOKUP(DATE($K$1,$K$2,QWD$4),Table1[],(MATCH(Calendar!$A19,DB!$1:$1,0)),FALSE),"")</f>
        <v/>
      </c>
      <c r="QWE19" s="28" t="str">
        <f>IFERROR(VLOOKUP(DATE($K$1,$K$2,QWE$4),Table1[],(MATCH(Calendar!$A19,DB!$1:$1,0)),FALSE),"")</f>
        <v/>
      </c>
      <c r="QWF19" s="28" t="str">
        <f>IFERROR(VLOOKUP(DATE($K$1,$K$2,QWF$4),Table1[],(MATCH(Calendar!$A19,DB!$1:$1,0)),FALSE),"")</f>
        <v/>
      </c>
      <c r="QWG19" s="28" t="str">
        <f>IFERROR(VLOOKUP(DATE($K$1,$K$2,QWG$4),Table1[],(MATCH(Calendar!$A19,DB!$1:$1,0)),FALSE),"")</f>
        <v/>
      </c>
      <c r="QWH19" s="28" t="str">
        <f>IFERROR(VLOOKUP(DATE($K$1,$K$2,QWH$4),Table1[],(MATCH(Calendar!$A19,DB!$1:$1,0)),FALSE),"")</f>
        <v/>
      </c>
      <c r="QWI19" s="28" t="str">
        <f>IFERROR(VLOOKUP(DATE($K$1,$K$2,QWI$4),Table1[],(MATCH(Calendar!$A19,DB!$1:$1,0)),FALSE),"")</f>
        <v/>
      </c>
      <c r="QWJ19" s="28" t="str">
        <f>IFERROR(VLOOKUP(DATE($K$1,$K$2,QWJ$4),Table1[],(MATCH(Calendar!$A19,DB!$1:$1,0)),FALSE),"")</f>
        <v/>
      </c>
      <c r="QWK19" s="28" t="str">
        <f>IFERROR(VLOOKUP(DATE($K$1,$K$2,QWK$4),Table1[],(MATCH(Calendar!$A19,DB!$1:$1,0)),FALSE),"")</f>
        <v/>
      </c>
      <c r="QWL19" s="28" t="str">
        <f>IFERROR(VLOOKUP(DATE($K$1,$K$2,QWL$4),Table1[],(MATCH(Calendar!$A19,DB!$1:$1,0)),FALSE),"")</f>
        <v/>
      </c>
      <c r="QWM19" s="28" t="str">
        <f>IFERROR(VLOOKUP(DATE($K$1,$K$2,QWM$4),Table1[],(MATCH(Calendar!$A19,DB!$1:$1,0)),FALSE),"")</f>
        <v/>
      </c>
      <c r="QWN19" s="28" t="str">
        <f>IFERROR(VLOOKUP(DATE($K$1,$K$2,QWN$4),Table1[],(MATCH(Calendar!$A19,DB!$1:$1,0)),FALSE),"")</f>
        <v/>
      </c>
      <c r="QWO19" s="28" t="str">
        <f>IFERROR(VLOOKUP(DATE($K$1,$K$2,QWO$4),Table1[],(MATCH(Calendar!$A19,DB!$1:$1,0)),FALSE),"")</f>
        <v/>
      </c>
      <c r="QWP19" s="28" t="str">
        <f>IFERROR(VLOOKUP(DATE($K$1,$K$2,QWP$4),Table1[],(MATCH(Calendar!$A19,DB!$1:$1,0)),FALSE),"")</f>
        <v/>
      </c>
      <c r="QWQ19" s="28" t="str">
        <f>IFERROR(VLOOKUP(DATE($K$1,$K$2,QWQ$4),Table1[],(MATCH(Calendar!$A19,DB!$1:$1,0)),FALSE),"")</f>
        <v/>
      </c>
      <c r="QWR19" s="28" t="str">
        <f>IFERROR(VLOOKUP(DATE($K$1,$K$2,QWR$4),Table1[],(MATCH(Calendar!$A19,DB!$1:$1,0)),FALSE),"")</f>
        <v/>
      </c>
      <c r="QWS19" s="28" t="str">
        <f>IFERROR(VLOOKUP(DATE($K$1,$K$2,QWS$4),Table1[],(MATCH(Calendar!$A19,DB!$1:$1,0)),FALSE),"")</f>
        <v/>
      </c>
      <c r="QWT19" s="28" t="str">
        <f>IFERROR(VLOOKUP(DATE($K$1,$K$2,QWT$4),Table1[],(MATCH(Calendar!$A19,DB!$1:$1,0)),FALSE),"")</f>
        <v/>
      </c>
      <c r="QWU19" s="28" t="str">
        <f>IFERROR(VLOOKUP(DATE($K$1,$K$2,QWU$4),Table1[],(MATCH(Calendar!$A19,DB!$1:$1,0)),FALSE),"")</f>
        <v/>
      </c>
      <c r="QWV19" s="28" t="str">
        <f>IFERROR(VLOOKUP(DATE($K$1,$K$2,QWV$4),Table1[],(MATCH(Calendar!$A19,DB!$1:$1,0)),FALSE),"")</f>
        <v/>
      </c>
      <c r="QWW19" s="28" t="str">
        <f>IFERROR(VLOOKUP(DATE($K$1,$K$2,QWW$4),Table1[],(MATCH(Calendar!$A19,DB!$1:$1,0)),FALSE),"")</f>
        <v/>
      </c>
      <c r="QWX19" s="28" t="str">
        <f>IFERROR(VLOOKUP(DATE($K$1,$K$2,QWX$4),Table1[],(MATCH(Calendar!$A19,DB!$1:$1,0)),FALSE),"")</f>
        <v/>
      </c>
      <c r="QWY19" s="28" t="str">
        <f>IFERROR(VLOOKUP(DATE($K$1,$K$2,QWY$4),Table1[],(MATCH(Calendar!$A19,DB!$1:$1,0)),FALSE),"")</f>
        <v/>
      </c>
      <c r="QWZ19" s="28" t="str">
        <f>IFERROR(VLOOKUP(DATE($K$1,$K$2,QWZ$4),Table1[],(MATCH(Calendar!$A19,DB!$1:$1,0)),FALSE),"")</f>
        <v/>
      </c>
      <c r="QXA19" s="28" t="str">
        <f>IFERROR(VLOOKUP(DATE($K$1,$K$2,QXA$4),Table1[],(MATCH(Calendar!$A19,DB!$1:$1,0)),FALSE),"")</f>
        <v/>
      </c>
      <c r="QXB19" s="28" t="str">
        <f>IFERROR(VLOOKUP(DATE($K$1,$K$2,QXB$4),Table1[],(MATCH(Calendar!$A19,DB!$1:$1,0)),FALSE),"")</f>
        <v/>
      </c>
      <c r="QXC19" s="28" t="str">
        <f>IFERROR(VLOOKUP(DATE($K$1,$K$2,QXC$4),Table1[],(MATCH(Calendar!$A19,DB!$1:$1,0)),FALSE),"")</f>
        <v/>
      </c>
      <c r="QXD19" s="28" t="str">
        <f>IFERROR(VLOOKUP(DATE($K$1,$K$2,QXD$4),Table1[],(MATCH(Calendar!$A19,DB!$1:$1,0)),FALSE),"")</f>
        <v/>
      </c>
      <c r="QXE19" s="28" t="str">
        <f>IFERROR(VLOOKUP(DATE($K$1,$K$2,QXE$4),Table1[],(MATCH(Calendar!$A19,DB!$1:$1,0)),FALSE),"")</f>
        <v/>
      </c>
      <c r="QXF19" s="28" t="str">
        <f>IFERROR(VLOOKUP(DATE($K$1,$K$2,QXF$4),Table1[],(MATCH(Calendar!$A19,DB!$1:$1,0)),FALSE),"")</f>
        <v/>
      </c>
      <c r="QXG19" s="28" t="str">
        <f>IFERROR(VLOOKUP(DATE($K$1,$K$2,QXG$4),Table1[],(MATCH(Calendar!$A19,DB!$1:$1,0)),FALSE),"")</f>
        <v/>
      </c>
      <c r="QXH19" s="28" t="str">
        <f>IFERROR(VLOOKUP(DATE($K$1,$K$2,QXH$4),Table1[],(MATCH(Calendar!$A19,DB!$1:$1,0)),FALSE),"")</f>
        <v/>
      </c>
      <c r="QXI19" s="28" t="str">
        <f>IFERROR(VLOOKUP(DATE($K$1,$K$2,QXI$4),Table1[],(MATCH(Calendar!$A19,DB!$1:$1,0)),FALSE),"")</f>
        <v/>
      </c>
      <c r="QXJ19" s="28" t="str">
        <f>IFERROR(VLOOKUP(DATE($K$1,$K$2,QXJ$4),Table1[],(MATCH(Calendar!$A19,DB!$1:$1,0)),FALSE),"")</f>
        <v/>
      </c>
      <c r="QXK19" s="28" t="str">
        <f>IFERROR(VLOOKUP(DATE($K$1,$K$2,QXK$4),Table1[],(MATCH(Calendar!$A19,DB!$1:$1,0)),FALSE),"")</f>
        <v/>
      </c>
      <c r="QXL19" s="28" t="str">
        <f>IFERROR(VLOOKUP(DATE($K$1,$K$2,QXL$4),Table1[],(MATCH(Calendar!$A19,DB!$1:$1,0)),FALSE),"")</f>
        <v/>
      </c>
      <c r="QXM19" s="28" t="str">
        <f>IFERROR(VLOOKUP(DATE($K$1,$K$2,QXM$4),Table1[],(MATCH(Calendar!$A19,DB!$1:$1,0)),FALSE),"")</f>
        <v/>
      </c>
      <c r="QXN19" s="28" t="str">
        <f>IFERROR(VLOOKUP(DATE($K$1,$K$2,QXN$4),Table1[],(MATCH(Calendar!$A19,DB!$1:$1,0)),FALSE),"")</f>
        <v/>
      </c>
      <c r="QXO19" s="28" t="str">
        <f>IFERROR(VLOOKUP(DATE($K$1,$K$2,QXO$4),Table1[],(MATCH(Calendar!$A19,DB!$1:$1,0)),FALSE),"")</f>
        <v/>
      </c>
      <c r="QXP19" s="28" t="str">
        <f>IFERROR(VLOOKUP(DATE($K$1,$K$2,QXP$4),Table1[],(MATCH(Calendar!$A19,DB!$1:$1,0)),FALSE),"")</f>
        <v/>
      </c>
      <c r="QXQ19" s="28" t="str">
        <f>IFERROR(VLOOKUP(DATE($K$1,$K$2,QXQ$4),Table1[],(MATCH(Calendar!$A19,DB!$1:$1,0)),FALSE),"")</f>
        <v/>
      </c>
      <c r="QXR19" s="28" t="str">
        <f>IFERROR(VLOOKUP(DATE($K$1,$K$2,QXR$4),Table1[],(MATCH(Calendar!$A19,DB!$1:$1,0)),FALSE),"")</f>
        <v/>
      </c>
      <c r="QXS19" s="28" t="str">
        <f>IFERROR(VLOOKUP(DATE($K$1,$K$2,QXS$4),Table1[],(MATCH(Calendar!$A19,DB!$1:$1,0)),FALSE),"")</f>
        <v/>
      </c>
      <c r="QXT19" s="28" t="str">
        <f>IFERROR(VLOOKUP(DATE($K$1,$K$2,QXT$4),Table1[],(MATCH(Calendar!$A19,DB!$1:$1,0)),FALSE),"")</f>
        <v/>
      </c>
      <c r="QXU19" s="28" t="str">
        <f>IFERROR(VLOOKUP(DATE($K$1,$K$2,QXU$4),Table1[],(MATCH(Calendar!$A19,DB!$1:$1,0)),FALSE),"")</f>
        <v/>
      </c>
      <c r="QXV19" s="28" t="str">
        <f>IFERROR(VLOOKUP(DATE($K$1,$K$2,QXV$4),Table1[],(MATCH(Calendar!$A19,DB!$1:$1,0)),FALSE),"")</f>
        <v/>
      </c>
      <c r="QXW19" s="28" t="str">
        <f>IFERROR(VLOOKUP(DATE($K$1,$K$2,QXW$4),Table1[],(MATCH(Calendar!$A19,DB!$1:$1,0)),FALSE),"")</f>
        <v/>
      </c>
      <c r="QXX19" s="28" t="str">
        <f>IFERROR(VLOOKUP(DATE($K$1,$K$2,QXX$4),Table1[],(MATCH(Calendar!$A19,DB!$1:$1,0)),FALSE),"")</f>
        <v/>
      </c>
      <c r="QXY19" s="28" t="str">
        <f>IFERROR(VLOOKUP(DATE($K$1,$K$2,QXY$4),Table1[],(MATCH(Calendar!$A19,DB!$1:$1,0)),FALSE),"")</f>
        <v/>
      </c>
      <c r="QXZ19" s="28" t="str">
        <f>IFERROR(VLOOKUP(DATE($K$1,$K$2,QXZ$4),Table1[],(MATCH(Calendar!$A19,DB!$1:$1,0)),FALSE),"")</f>
        <v/>
      </c>
      <c r="QYA19" s="28" t="str">
        <f>IFERROR(VLOOKUP(DATE($K$1,$K$2,QYA$4),Table1[],(MATCH(Calendar!$A19,DB!$1:$1,0)),FALSE),"")</f>
        <v/>
      </c>
      <c r="QYB19" s="28" t="str">
        <f>IFERROR(VLOOKUP(DATE($K$1,$K$2,QYB$4),Table1[],(MATCH(Calendar!$A19,DB!$1:$1,0)),FALSE),"")</f>
        <v/>
      </c>
      <c r="QYC19" s="28" t="str">
        <f>IFERROR(VLOOKUP(DATE($K$1,$K$2,QYC$4),Table1[],(MATCH(Calendar!$A19,DB!$1:$1,0)),FALSE),"")</f>
        <v/>
      </c>
      <c r="QYD19" s="28" t="str">
        <f>IFERROR(VLOOKUP(DATE($K$1,$K$2,QYD$4),Table1[],(MATCH(Calendar!$A19,DB!$1:$1,0)),FALSE),"")</f>
        <v/>
      </c>
      <c r="QYE19" s="28" t="str">
        <f>IFERROR(VLOOKUP(DATE($K$1,$K$2,QYE$4),Table1[],(MATCH(Calendar!$A19,DB!$1:$1,0)),FALSE),"")</f>
        <v/>
      </c>
      <c r="QYF19" s="28" t="str">
        <f>IFERROR(VLOOKUP(DATE($K$1,$K$2,QYF$4),Table1[],(MATCH(Calendar!$A19,DB!$1:$1,0)),FALSE),"")</f>
        <v/>
      </c>
      <c r="QYG19" s="28" t="str">
        <f>IFERROR(VLOOKUP(DATE($K$1,$K$2,QYG$4),Table1[],(MATCH(Calendar!$A19,DB!$1:$1,0)),FALSE),"")</f>
        <v/>
      </c>
      <c r="QYH19" s="28" t="str">
        <f>IFERROR(VLOOKUP(DATE($K$1,$K$2,QYH$4),Table1[],(MATCH(Calendar!$A19,DB!$1:$1,0)),FALSE),"")</f>
        <v/>
      </c>
      <c r="QYI19" s="28" t="str">
        <f>IFERROR(VLOOKUP(DATE($K$1,$K$2,QYI$4),Table1[],(MATCH(Calendar!$A19,DB!$1:$1,0)),FALSE),"")</f>
        <v/>
      </c>
      <c r="QYJ19" s="28" t="str">
        <f>IFERROR(VLOOKUP(DATE($K$1,$K$2,QYJ$4),Table1[],(MATCH(Calendar!$A19,DB!$1:$1,0)),FALSE),"")</f>
        <v/>
      </c>
      <c r="QYK19" s="28" t="str">
        <f>IFERROR(VLOOKUP(DATE($K$1,$K$2,QYK$4),Table1[],(MATCH(Calendar!$A19,DB!$1:$1,0)),FALSE),"")</f>
        <v/>
      </c>
      <c r="QYL19" s="28" t="str">
        <f>IFERROR(VLOOKUP(DATE($K$1,$K$2,QYL$4),Table1[],(MATCH(Calendar!$A19,DB!$1:$1,0)),FALSE),"")</f>
        <v/>
      </c>
      <c r="QYM19" s="28" t="str">
        <f>IFERROR(VLOOKUP(DATE($K$1,$K$2,QYM$4),Table1[],(MATCH(Calendar!$A19,DB!$1:$1,0)),FALSE),"")</f>
        <v/>
      </c>
      <c r="QYN19" s="28" t="str">
        <f>IFERROR(VLOOKUP(DATE($K$1,$K$2,QYN$4),Table1[],(MATCH(Calendar!$A19,DB!$1:$1,0)),FALSE),"")</f>
        <v/>
      </c>
      <c r="QYO19" s="28" t="str">
        <f>IFERROR(VLOOKUP(DATE($K$1,$K$2,QYO$4),Table1[],(MATCH(Calendar!$A19,DB!$1:$1,0)),FALSE),"")</f>
        <v/>
      </c>
      <c r="QYP19" s="28" t="str">
        <f>IFERROR(VLOOKUP(DATE($K$1,$K$2,QYP$4),Table1[],(MATCH(Calendar!$A19,DB!$1:$1,0)),FALSE),"")</f>
        <v/>
      </c>
      <c r="QYQ19" s="28" t="str">
        <f>IFERROR(VLOOKUP(DATE($K$1,$K$2,QYQ$4),Table1[],(MATCH(Calendar!$A19,DB!$1:$1,0)),FALSE),"")</f>
        <v/>
      </c>
      <c r="QYR19" s="28" t="str">
        <f>IFERROR(VLOOKUP(DATE($K$1,$K$2,QYR$4),Table1[],(MATCH(Calendar!$A19,DB!$1:$1,0)),FALSE),"")</f>
        <v/>
      </c>
      <c r="QYS19" s="28" t="str">
        <f>IFERROR(VLOOKUP(DATE($K$1,$K$2,QYS$4),Table1[],(MATCH(Calendar!$A19,DB!$1:$1,0)),FALSE),"")</f>
        <v/>
      </c>
      <c r="QYT19" s="28" t="str">
        <f>IFERROR(VLOOKUP(DATE($K$1,$K$2,QYT$4),Table1[],(MATCH(Calendar!$A19,DB!$1:$1,0)),FALSE),"")</f>
        <v/>
      </c>
      <c r="QYU19" s="28" t="str">
        <f>IFERROR(VLOOKUP(DATE($K$1,$K$2,QYU$4),Table1[],(MATCH(Calendar!$A19,DB!$1:$1,0)),FALSE),"")</f>
        <v/>
      </c>
      <c r="QYV19" s="28" t="str">
        <f>IFERROR(VLOOKUP(DATE($K$1,$K$2,QYV$4),Table1[],(MATCH(Calendar!$A19,DB!$1:$1,0)),FALSE),"")</f>
        <v/>
      </c>
      <c r="QYW19" s="28" t="str">
        <f>IFERROR(VLOOKUP(DATE($K$1,$K$2,QYW$4),Table1[],(MATCH(Calendar!$A19,DB!$1:$1,0)),FALSE),"")</f>
        <v/>
      </c>
      <c r="QYX19" s="28" t="str">
        <f>IFERROR(VLOOKUP(DATE($K$1,$K$2,QYX$4),Table1[],(MATCH(Calendar!$A19,DB!$1:$1,0)),FALSE),"")</f>
        <v/>
      </c>
      <c r="QYY19" s="28" t="str">
        <f>IFERROR(VLOOKUP(DATE($K$1,$K$2,QYY$4),Table1[],(MATCH(Calendar!$A19,DB!$1:$1,0)),FALSE),"")</f>
        <v/>
      </c>
      <c r="QYZ19" s="28" t="str">
        <f>IFERROR(VLOOKUP(DATE($K$1,$K$2,QYZ$4),Table1[],(MATCH(Calendar!$A19,DB!$1:$1,0)),FALSE),"")</f>
        <v/>
      </c>
      <c r="QZA19" s="28" t="str">
        <f>IFERROR(VLOOKUP(DATE($K$1,$K$2,QZA$4),Table1[],(MATCH(Calendar!$A19,DB!$1:$1,0)),FALSE),"")</f>
        <v/>
      </c>
      <c r="QZB19" s="28" t="str">
        <f>IFERROR(VLOOKUP(DATE($K$1,$K$2,QZB$4),Table1[],(MATCH(Calendar!$A19,DB!$1:$1,0)),FALSE),"")</f>
        <v/>
      </c>
      <c r="QZC19" s="28" t="str">
        <f>IFERROR(VLOOKUP(DATE($K$1,$K$2,QZC$4),Table1[],(MATCH(Calendar!$A19,DB!$1:$1,0)),FALSE),"")</f>
        <v/>
      </c>
      <c r="QZD19" s="28" t="str">
        <f>IFERROR(VLOOKUP(DATE($K$1,$K$2,QZD$4),Table1[],(MATCH(Calendar!$A19,DB!$1:$1,0)),FALSE),"")</f>
        <v/>
      </c>
      <c r="QZE19" s="28" t="str">
        <f>IFERROR(VLOOKUP(DATE($K$1,$K$2,QZE$4),Table1[],(MATCH(Calendar!$A19,DB!$1:$1,0)),FALSE),"")</f>
        <v/>
      </c>
      <c r="QZF19" s="28" t="str">
        <f>IFERROR(VLOOKUP(DATE($K$1,$K$2,QZF$4),Table1[],(MATCH(Calendar!$A19,DB!$1:$1,0)),FALSE),"")</f>
        <v/>
      </c>
      <c r="QZG19" s="28" t="str">
        <f>IFERROR(VLOOKUP(DATE($K$1,$K$2,QZG$4),Table1[],(MATCH(Calendar!$A19,DB!$1:$1,0)),FALSE),"")</f>
        <v/>
      </c>
      <c r="QZH19" s="28" t="str">
        <f>IFERROR(VLOOKUP(DATE($K$1,$K$2,QZH$4),Table1[],(MATCH(Calendar!$A19,DB!$1:$1,0)),FALSE),"")</f>
        <v/>
      </c>
      <c r="QZI19" s="28" t="str">
        <f>IFERROR(VLOOKUP(DATE($K$1,$K$2,QZI$4),Table1[],(MATCH(Calendar!$A19,DB!$1:$1,0)),FALSE),"")</f>
        <v/>
      </c>
      <c r="QZJ19" s="28" t="str">
        <f>IFERROR(VLOOKUP(DATE($K$1,$K$2,QZJ$4),Table1[],(MATCH(Calendar!$A19,DB!$1:$1,0)),FALSE),"")</f>
        <v/>
      </c>
      <c r="QZK19" s="28" t="str">
        <f>IFERROR(VLOOKUP(DATE($K$1,$K$2,QZK$4),Table1[],(MATCH(Calendar!$A19,DB!$1:$1,0)),FALSE),"")</f>
        <v/>
      </c>
      <c r="QZL19" s="28" t="str">
        <f>IFERROR(VLOOKUP(DATE($K$1,$K$2,QZL$4),Table1[],(MATCH(Calendar!$A19,DB!$1:$1,0)),FALSE),"")</f>
        <v/>
      </c>
      <c r="QZM19" s="28" t="str">
        <f>IFERROR(VLOOKUP(DATE($K$1,$K$2,QZM$4),Table1[],(MATCH(Calendar!$A19,DB!$1:$1,0)),FALSE),"")</f>
        <v/>
      </c>
      <c r="QZN19" s="28" t="str">
        <f>IFERROR(VLOOKUP(DATE($K$1,$K$2,QZN$4),Table1[],(MATCH(Calendar!$A19,DB!$1:$1,0)),FALSE),"")</f>
        <v/>
      </c>
      <c r="QZO19" s="28" t="str">
        <f>IFERROR(VLOOKUP(DATE($K$1,$K$2,QZO$4),Table1[],(MATCH(Calendar!$A19,DB!$1:$1,0)),FALSE),"")</f>
        <v/>
      </c>
      <c r="QZP19" s="28" t="str">
        <f>IFERROR(VLOOKUP(DATE($K$1,$K$2,QZP$4),Table1[],(MATCH(Calendar!$A19,DB!$1:$1,0)),FALSE),"")</f>
        <v/>
      </c>
      <c r="QZQ19" s="28" t="str">
        <f>IFERROR(VLOOKUP(DATE($K$1,$K$2,QZQ$4),Table1[],(MATCH(Calendar!$A19,DB!$1:$1,0)),FALSE),"")</f>
        <v/>
      </c>
      <c r="QZR19" s="28" t="str">
        <f>IFERROR(VLOOKUP(DATE($K$1,$K$2,QZR$4),Table1[],(MATCH(Calendar!$A19,DB!$1:$1,0)),FALSE),"")</f>
        <v/>
      </c>
      <c r="QZS19" s="28" t="str">
        <f>IFERROR(VLOOKUP(DATE($K$1,$K$2,QZS$4),Table1[],(MATCH(Calendar!$A19,DB!$1:$1,0)),FALSE),"")</f>
        <v/>
      </c>
      <c r="QZT19" s="28" t="str">
        <f>IFERROR(VLOOKUP(DATE($K$1,$K$2,QZT$4),Table1[],(MATCH(Calendar!$A19,DB!$1:$1,0)),FALSE),"")</f>
        <v/>
      </c>
      <c r="QZU19" s="28" t="str">
        <f>IFERROR(VLOOKUP(DATE($K$1,$K$2,QZU$4),Table1[],(MATCH(Calendar!$A19,DB!$1:$1,0)),FALSE),"")</f>
        <v/>
      </c>
      <c r="QZV19" s="28" t="str">
        <f>IFERROR(VLOOKUP(DATE($K$1,$K$2,QZV$4),Table1[],(MATCH(Calendar!$A19,DB!$1:$1,0)),FALSE),"")</f>
        <v/>
      </c>
      <c r="QZW19" s="28" t="str">
        <f>IFERROR(VLOOKUP(DATE($K$1,$K$2,QZW$4),Table1[],(MATCH(Calendar!$A19,DB!$1:$1,0)),FALSE),"")</f>
        <v/>
      </c>
      <c r="QZX19" s="28" t="str">
        <f>IFERROR(VLOOKUP(DATE($K$1,$K$2,QZX$4),Table1[],(MATCH(Calendar!$A19,DB!$1:$1,0)),FALSE),"")</f>
        <v/>
      </c>
      <c r="QZY19" s="28" t="str">
        <f>IFERROR(VLOOKUP(DATE($K$1,$K$2,QZY$4),Table1[],(MATCH(Calendar!$A19,DB!$1:$1,0)),FALSE),"")</f>
        <v/>
      </c>
      <c r="QZZ19" s="28" t="str">
        <f>IFERROR(VLOOKUP(DATE($K$1,$K$2,QZZ$4),Table1[],(MATCH(Calendar!$A19,DB!$1:$1,0)),FALSE),"")</f>
        <v/>
      </c>
      <c r="RAA19" s="28" t="str">
        <f>IFERROR(VLOOKUP(DATE($K$1,$K$2,RAA$4),Table1[],(MATCH(Calendar!$A19,DB!$1:$1,0)),FALSE),"")</f>
        <v/>
      </c>
      <c r="RAB19" s="28" t="str">
        <f>IFERROR(VLOOKUP(DATE($K$1,$K$2,RAB$4),Table1[],(MATCH(Calendar!$A19,DB!$1:$1,0)),FALSE),"")</f>
        <v/>
      </c>
      <c r="RAC19" s="28" t="str">
        <f>IFERROR(VLOOKUP(DATE($K$1,$K$2,RAC$4),Table1[],(MATCH(Calendar!$A19,DB!$1:$1,0)),FALSE),"")</f>
        <v/>
      </c>
      <c r="RAD19" s="28" t="str">
        <f>IFERROR(VLOOKUP(DATE($K$1,$K$2,RAD$4),Table1[],(MATCH(Calendar!$A19,DB!$1:$1,0)),FALSE),"")</f>
        <v/>
      </c>
      <c r="RAE19" s="28" t="str">
        <f>IFERROR(VLOOKUP(DATE($K$1,$K$2,RAE$4),Table1[],(MATCH(Calendar!$A19,DB!$1:$1,0)),FALSE),"")</f>
        <v/>
      </c>
      <c r="RAF19" s="28" t="str">
        <f>IFERROR(VLOOKUP(DATE($K$1,$K$2,RAF$4),Table1[],(MATCH(Calendar!$A19,DB!$1:$1,0)),FALSE),"")</f>
        <v/>
      </c>
      <c r="RAG19" s="28" t="str">
        <f>IFERROR(VLOOKUP(DATE($K$1,$K$2,RAG$4),Table1[],(MATCH(Calendar!$A19,DB!$1:$1,0)),FALSE),"")</f>
        <v/>
      </c>
      <c r="RAH19" s="28" t="str">
        <f>IFERROR(VLOOKUP(DATE($K$1,$K$2,RAH$4),Table1[],(MATCH(Calendar!$A19,DB!$1:$1,0)),FALSE),"")</f>
        <v/>
      </c>
      <c r="RAI19" s="28" t="str">
        <f>IFERROR(VLOOKUP(DATE($K$1,$K$2,RAI$4),Table1[],(MATCH(Calendar!$A19,DB!$1:$1,0)),FALSE),"")</f>
        <v/>
      </c>
      <c r="RAJ19" s="28" t="str">
        <f>IFERROR(VLOOKUP(DATE($K$1,$K$2,RAJ$4),Table1[],(MATCH(Calendar!$A19,DB!$1:$1,0)),FALSE),"")</f>
        <v/>
      </c>
      <c r="RAK19" s="28" t="str">
        <f>IFERROR(VLOOKUP(DATE($K$1,$K$2,RAK$4),Table1[],(MATCH(Calendar!$A19,DB!$1:$1,0)),FALSE),"")</f>
        <v/>
      </c>
      <c r="RAL19" s="28" t="str">
        <f>IFERROR(VLOOKUP(DATE($K$1,$K$2,RAL$4),Table1[],(MATCH(Calendar!$A19,DB!$1:$1,0)),FALSE),"")</f>
        <v/>
      </c>
      <c r="RAM19" s="28" t="str">
        <f>IFERROR(VLOOKUP(DATE($K$1,$K$2,RAM$4),Table1[],(MATCH(Calendar!$A19,DB!$1:$1,0)),FALSE),"")</f>
        <v/>
      </c>
      <c r="RAN19" s="28" t="str">
        <f>IFERROR(VLOOKUP(DATE($K$1,$K$2,RAN$4),Table1[],(MATCH(Calendar!$A19,DB!$1:$1,0)),FALSE),"")</f>
        <v/>
      </c>
      <c r="RAO19" s="28" t="str">
        <f>IFERROR(VLOOKUP(DATE($K$1,$K$2,RAO$4),Table1[],(MATCH(Calendar!$A19,DB!$1:$1,0)),FALSE),"")</f>
        <v/>
      </c>
      <c r="RAP19" s="28" t="str">
        <f>IFERROR(VLOOKUP(DATE($K$1,$K$2,RAP$4),Table1[],(MATCH(Calendar!$A19,DB!$1:$1,0)),FALSE),"")</f>
        <v/>
      </c>
      <c r="RAQ19" s="28" t="str">
        <f>IFERROR(VLOOKUP(DATE($K$1,$K$2,RAQ$4),Table1[],(MATCH(Calendar!$A19,DB!$1:$1,0)),FALSE),"")</f>
        <v/>
      </c>
      <c r="RAR19" s="28" t="str">
        <f>IFERROR(VLOOKUP(DATE($K$1,$K$2,RAR$4),Table1[],(MATCH(Calendar!$A19,DB!$1:$1,0)),FALSE),"")</f>
        <v/>
      </c>
      <c r="RAS19" s="28" t="str">
        <f>IFERROR(VLOOKUP(DATE($K$1,$K$2,RAS$4),Table1[],(MATCH(Calendar!$A19,DB!$1:$1,0)),FALSE),"")</f>
        <v/>
      </c>
      <c r="RAT19" s="28" t="str">
        <f>IFERROR(VLOOKUP(DATE($K$1,$K$2,RAT$4),Table1[],(MATCH(Calendar!$A19,DB!$1:$1,0)),FALSE),"")</f>
        <v/>
      </c>
      <c r="RAU19" s="28" t="str">
        <f>IFERROR(VLOOKUP(DATE($K$1,$K$2,RAU$4),Table1[],(MATCH(Calendar!$A19,DB!$1:$1,0)),FALSE),"")</f>
        <v/>
      </c>
      <c r="RAV19" s="28" t="str">
        <f>IFERROR(VLOOKUP(DATE($K$1,$K$2,RAV$4),Table1[],(MATCH(Calendar!$A19,DB!$1:$1,0)),FALSE),"")</f>
        <v/>
      </c>
      <c r="RAW19" s="28" t="str">
        <f>IFERROR(VLOOKUP(DATE($K$1,$K$2,RAW$4),Table1[],(MATCH(Calendar!$A19,DB!$1:$1,0)),FALSE),"")</f>
        <v/>
      </c>
      <c r="RAX19" s="28" t="str">
        <f>IFERROR(VLOOKUP(DATE($K$1,$K$2,RAX$4),Table1[],(MATCH(Calendar!$A19,DB!$1:$1,0)),FALSE),"")</f>
        <v/>
      </c>
      <c r="RAY19" s="28" t="str">
        <f>IFERROR(VLOOKUP(DATE($K$1,$K$2,RAY$4),Table1[],(MATCH(Calendar!$A19,DB!$1:$1,0)),FALSE),"")</f>
        <v/>
      </c>
      <c r="RAZ19" s="28" t="str">
        <f>IFERROR(VLOOKUP(DATE($K$1,$K$2,RAZ$4),Table1[],(MATCH(Calendar!$A19,DB!$1:$1,0)),FALSE),"")</f>
        <v/>
      </c>
      <c r="RBA19" s="28" t="str">
        <f>IFERROR(VLOOKUP(DATE($K$1,$K$2,RBA$4),Table1[],(MATCH(Calendar!$A19,DB!$1:$1,0)),FALSE),"")</f>
        <v/>
      </c>
      <c r="RBB19" s="28" t="str">
        <f>IFERROR(VLOOKUP(DATE($K$1,$K$2,RBB$4),Table1[],(MATCH(Calendar!$A19,DB!$1:$1,0)),FALSE),"")</f>
        <v/>
      </c>
      <c r="RBC19" s="28" t="str">
        <f>IFERROR(VLOOKUP(DATE($K$1,$K$2,RBC$4),Table1[],(MATCH(Calendar!$A19,DB!$1:$1,0)),FALSE),"")</f>
        <v/>
      </c>
      <c r="RBD19" s="28" t="str">
        <f>IFERROR(VLOOKUP(DATE($K$1,$K$2,RBD$4),Table1[],(MATCH(Calendar!$A19,DB!$1:$1,0)),FALSE),"")</f>
        <v/>
      </c>
      <c r="RBE19" s="28" t="str">
        <f>IFERROR(VLOOKUP(DATE($K$1,$K$2,RBE$4),Table1[],(MATCH(Calendar!$A19,DB!$1:$1,0)),FALSE),"")</f>
        <v/>
      </c>
      <c r="RBF19" s="28" t="str">
        <f>IFERROR(VLOOKUP(DATE($K$1,$K$2,RBF$4),Table1[],(MATCH(Calendar!$A19,DB!$1:$1,0)),FALSE),"")</f>
        <v/>
      </c>
      <c r="RBG19" s="28" t="str">
        <f>IFERROR(VLOOKUP(DATE($K$1,$K$2,RBG$4),Table1[],(MATCH(Calendar!$A19,DB!$1:$1,0)),FALSE),"")</f>
        <v/>
      </c>
      <c r="RBH19" s="28" t="str">
        <f>IFERROR(VLOOKUP(DATE($K$1,$K$2,RBH$4),Table1[],(MATCH(Calendar!$A19,DB!$1:$1,0)),FALSE),"")</f>
        <v/>
      </c>
      <c r="RBI19" s="28" t="str">
        <f>IFERROR(VLOOKUP(DATE($K$1,$K$2,RBI$4),Table1[],(MATCH(Calendar!$A19,DB!$1:$1,0)),FALSE),"")</f>
        <v/>
      </c>
      <c r="RBJ19" s="28" t="str">
        <f>IFERROR(VLOOKUP(DATE($K$1,$K$2,RBJ$4),Table1[],(MATCH(Calendar!$A19,DB!$1:$1,0)),FALSE),"")</f>
        <v/>
      </c>
      <c r="RBK19" s="28" t="str">
        <f>IFERROR(VLOOKUP(DATE($K$1,$K$2,RBK$4),Table1[],(MATCH(Calendar!$A19,DB!$1:$1,0)),FALSE),"")</f>
        <v/>
      </c>
      <c r="RBL19" s="28" t="str">
        <f>IFERROR(VLOOKUP(DATE($K$1,$K$2,RBL$4),Table1[],(MATCH(Calendar!$A19,DB!$1:$1,0)),FALSE),"")</f>
        <v/>
      </c>
      <c r="RBM19" s="28" t="str">
        <f>IFERROR(VLOOKUP(DATE($K$1,$K$2,RBM$4),Table1[],(MATCH(Calendar!$A19,DB!$1:$1,0)),FALSE),"")</f>
        <v/>
      </c>
      <c r="RBN19" s="28" t="str">
        <f>IFERROR(VLOOKUP(DATE($K$1,$K$2,RBN$4),Table1[],(MATCH(Calendar!$A19,DB!$1:$1,0)),FALSE),"")</f>
        <v/>
      </c>
      <c r="RBO19" s="28" t="str">
        <f>IFERROR(VLOOKUP(DATE($K$1,$K$2,RBO$4),Table1[],(MATCH(Calendar!$A19,DB!$1:$1,0)),FALSE),"")</f>
        <v/>
      </c>
      <c r="RBP19" s="28" t="str">
        <f>IFERROR(VLOOKUP(DATE($K$1,$K$2,RBP$4),Table1[],(MATCH(Calendar!$A19,DB!$1:$1,0)),FALSE),"")</f>
        <v/>
      </c>
      <c r="RBQ19" s="28" t="str">
        <f>IFERROR(VLOOKUP(DATE($K$1,$K$2,RBQ$4),Table1[],(MATCH(Calendar!$A19,DB!$1:$1,0)),FALSE),"")</f>
        <v/>
      </c>
      <c r="RBR19" s="28" t="str">
        <f>IFERROR(VLOOKUP(DATE($K$1,$K$2,RBR$4),Table1[],(MATCH(Calendar!$A19,DB!$1:$1,0)),FALSE),"")</f>
        <v/>
      </c>
      <c r="RBS19" s="28" t="str">
        <f>IFERROR(VLOOKUP(DATE($K$1,$K$2,RBS$4),Table1[],(MATCH(Calendar!$A19,DB!$1:$1,0)),FALSE),"")</f>
        <v/>
      </c>
      <c r="RBT19" s="28" t="str">
        <f>IFERROR(VLOOKUP(DATE($K$1,$K$2,RBT$4),Table1[],(MATCH(Calendar!$A19,DB!$1:$1,0)),FALSE),"")</f>
        <v/>
      </c>
      <c r="RBU19" s="28" t="str">
        <f>IFERROR(VLOOKUP(DATE($K$1,$K$2,RBU$4),Table1[],(MATCH(Calendar!$A19,DB!$1:$1,0)),FALSE),"")</f>
        <v/>
      </c>
      <c r="RBV19" s="28" t="str">
        <f>IFERROR(VLOOKUP(DATE($K$1,$K$2,RBV$4),Table1[],(MATCH(Calendar!$A19,DB!$1:$1,0)),FALSE),"")</f>
        <v/>
      </c>
      <c r="RBW19" s="28" t="str">
        <f>IFERROR(VLOOKUP(DATE($K$1,$K$2,RBW$4),Table1[],(MATCH(Calendar!$A19,DB!$1:$1,0)),FALSE),"")</f>
        <v/>
      </c>
      <c r="RBX19" s="28" t="str">
        <f>IFERROR(VLOOKUP(DATE($K$1,$K$2,RBX$4),Table1[],(MATCH(Calendar!$A19,DB!$1:$1,0)),FALSE),"")</f>
        <v/>
      </c>
      <c r="RBY19" s="28" t="str">
        <f>IFERROR(VLOOKUP(DATE($K$1,$K$2,RBY$4),Table1[],(MATCH(Calendar!$A19,DB!$1:$1,0)),FALSE),"")</f>
        <v/>
      </c>
      <c r="RBZ19" s="28" t="str">
        <f>IFERROR(VLOOKUP(DATE($K$1,$K$2,RBZ$4),Table1[],(MATCH(Calendar!$A19,DB!$1:$1,0)),FALSE),"")</f>
        <v/>
      </c>
      <c r="RCA19" s="28" t="str">
        <f>IFERROR(VLOOKUP(DATE($K$1,$K$2,RCA$4),Table1[],(MATCH(Calendar!$A19,DB!$1:$1,0)),FALSE),"")</f>
        <v/>
      </c>
      <c r="RCB19" s="28" t="str">
        <f>IFERROR(VLOOKUP(DATE($K$1,$K$2,RCB$4),Table1[],(MATCH(Calendar!$A19,DB!$1:$1,0)),FALSE),"")</f>
        <v/>
      </c>
      <c r="RCC19" s="28" t="str">
        <f>IFERROR(VLOOKUP(DATE($K$1,$K$2,RCC$4),Table1[],(MATCH(Calendar!$A19,DB!$1:$1,0)),FALSE),"")</f>
        <v/>
      </c>
      <c r="RCD19" s="28" t="str">
        <f>IFERROR(VLOOKUP(DATE($K$1,$K$2,RCD$4),Table1[],(MATCH(Calendar!$A19,DB!$1:$1,0)),FALSE),"")</f>
        <v/>
      </c>
      <c r="RCE19" s="28" t="str">
        <f>IFERROR(VLOOKUP(DATE($K$1,$K$2,RCE$4),Table1[],(MATCH(Calendar!$A19,DB!$1:$1,0)),FALSE),"")</f>
        <v/>
      </c>
      <c r="RCF19" s="28" t="str">
        <f>IFERROR(VLOOKUP(DATE($K$1,$K$2,RCF$4),Table1[],(MATCH(Calendar!$A19,DB!$1:$1,0)),FALSE),"")</f>
        <v/>
      </c>
      <c r="RCG19" s="28" t="str">
        <f>IFERROR(VLOOKUP(DATE($K$1,$K$2,RCG$4),Table1[],(MATCH(Calendar!$A19,DB!$1:$1,0)),FALSE),"")</f>
        <v/>
      </c>
      <c r="RCH19" s="28" t="str">
        <f>IFERROR(VLOOKUP(DATE($K$1,$K$2,RCH$4),Table1[],(MATCH(Calendar!$A19,DB!$1:$1,0)),FALSE),"")</f>
        <v/>
      </c>
      <c r="RCI19" s="28" t="str">
        <f>IFERROR(VLOOKUP(DATE($K$1,$K$2,RCI$4),Table1[],(MATCH(Calendar!$A19,DB!$1:$1,0)),FALSE),"")</f>
        <v/>
      </c>
      <c r="RCJ19" s="28" t="str">
        <f>IFERROR(VLOOKUP(DATE($K$1,$K$2,RCJ$4),Table1[],(MATCH(Calendar!$A19,DB!$1:$1,0)),FALSE),"")</f>
        <v/>
      </c>
      <c r="RCK19" s="28" t="str">
        <f>IFERROR(VLOOKUP(DATE($K$1,$K$2,RCK$4),Table1[],(MATCH(Calendar!$A19,DB!$1:$1,0)),FALSE),"")</f>
        <v/>
      </c>
      <c r="RCL19" s="28" t="str">
        <f>IFERROR(VLOOKUP(DATE($K$1,$K$2,RCL$4),Table1[],(MATCH(Calendar!$A19,DB!$1:$1,0)),FALSE),"")</f>
        <v/>
      </c>
      <c r="RCM19" s="28" t="str">
        <f>IFERROR(VLOOKUP(DATE($K$1,$K$2,RCM$4),Table1[],(MATCH(Calendar!$A19,DB!$1:$1,0)),FALSE),"")</f>
        <v/>
      </c>
      <c r="RCN19" s="28" t="str">
        <f>IFERROR(VLOOKUP(DATE($K$1,$K$2,RCN$4),Table1[],(MATCH(Calendar!$A19,DB!$1:$1,0)),FALSE),"")</f>
        <v/>
      </c>
      <c r="RCO19" s="28" t="str">
        <f>IFERROR(VLOOKUP(DATE($K$1,$K$2,RCO$4),Table1[],(MATCH(Calendar!$A19,DB!$1:$1,0)),FALSE),"")</f>
        <v/>
      </c>
      <c r="RCP19" s="28" t="str">
        <f>IFERROR(VLOOKUP(DATE($K$1,$K$2,RCP$4),Table1[],(MATCH(Calendar!$A19,DB!$1:$1,0)),FALSE),"")</f>
        <v/>
      </c>
      <c r="RCQ19" s="28" t="str">
        <f>IFERROR(VLOOKUP(DATE($K$1,$K$2,RCQ$4),Table1[],(MATCH(Calendar!$A19,DB!$1:$1,0)),FALSE),"")</f>
        <v/>
      </c>
      <c r="RCR19" s="28" t="str">
        <f>IFERROR(VLOOKUP(DATE($K$1,$K$2,RCR$4),Table1[],(MATCH(Calendar!$A19,DB!$1:$1,0)),FALSE),"")</f>
        <v/>
      </c>
      <c r="RCS19" s="28" t="str">
        <f>IFERROR(VLOOKUP(DATE($K$1,$K$2,RCS$4),Table1[],(MATCH(Calendar!$A19,DB!$1:$1,0)),FALSE),"")</f>
        <v/>
      </c>
      <c r="RCT19" s="28" t="str">
        <f>IFERROR(VLOOKUP(DATE($K$1,$K$2,RCT$4),Table1[],(MATCH(Calendar!$A19,DB!$1:$1,0)),FALSE),"")</f>
        <v/>
      </c>
      <c r="RCU19" s="28" t="str">
        <f>IFERROR(VLOOKUP(DATE($K$1,$K$2,RCU$4),Table1[],(MATCH(Calendar!$A19,DB!$1:$1,0)),FALSE),"")</f>
        <v/>
      </c>
      <c r="RCV19" s="28" t="str">
        <f>IFERROR(VLOOKUP(DATE($K$1,$K$2,RCV$4),Table1[],(MATCH(Calendar!$A19,DB!$1:$1,0)),FALSE),"")</f>
        <v/>
      </c>
      <c r="RCW19" s="28" t="str">
        <f>IFERROR(VLOOKUP(DATE($K$1,$K$2,RCW$4),Table1[],(MATCH(Calendar!$A19,DB!$1:$1,0)),FALSE),"")</f>
        <v/>
      </c>
      <c r="RCX19" s="28" t="str">
        <f>IFERROR(VLOOKUP(DATE($K$1,$K$2,RCX$4),Table1[],(MATCH(Calendar!$A19,DB!$1:$1,0)),FALSE),"")</f>
        <v/>
      </c>
      <c r="RCY19" s="28" t="str">
        <f>IFERROR(VLOOKUP(DATE($K$1,$K$2,RCY$4),Table1[],(MATCH(Calendar!$A19,DB!$1:$1,0)),FALSE),"")</f>
        <v/>
      </c>
      <c r="RCZ19" s="28" t="str">
        <f>IFERROR(VLOOKUP(DATE($K$1,$K$2,RCZ$4),Table1[],(MATCH(Calendar!$A19,DB!$1:$1,0)),FALSE),"")</f>
        <v/>
      </c>
      <c r="RDA19" s="28" t="str">
        <f>IFERROR(VLOOKUP(DATE($K$1,$K$2,RDA$4),Table1[],(MATCH(Calendar!$A19,DB!$1:$1,0)),FALSE),"")</f>
        <v/>
      </c>
      <c r="RDB19" s="28" t="str">
        <f>IFERROR(VLOOKUP(DATE($K$1,$K$2,RDB$4),Table1[],(MATCH(Calendar!$A19,DB!$1:$1,0)),FALSE),"")</f>
        <v/>
      </c>
      <c r="RDC19" s="28" t="str">
        <f>IFERROR(VLOOKUP(DATE($K$1,$K$2,RDC$4),Table1[],(MATCH(Calendar!$A19,DB!$1:$1,0)),FALSE),"")</f>
        <v/>
      </c>
      <c r="RDD19" s="28" t="str">
        <f>IFERROR(VLOOKUP(DATE($K$1,$K$2,RDD$4),Table1[],(MATCH(Calendar!$A19,DB!$1:$1,0)),FALSE),"")</f>
        <v/>
      </c>
      <c r="RDE19" s="28" t="str">
        <f>IFERROR(VLOOKUP(DATE($K$1,$K$2,RDE$4),Table1[],(MATCH(Calendar!$A19,DB!$1:$1,0)),FALSE),"")</f>
        <v/>
      </c>
      <c r="RDF19" s="28" t="str">
        <f>IFERROR(VLOOKUP(DATE($K$1,$K$2,RDF$4),Table1[],(MATCH(Calendar!$A19,DB!$1:$1,0)),FALSE),"")</f>
        <v/>
      </c>
      <c r="RDG19" s="28" t="str">
        <f>IFERROR(VLOOKUP(DATE($K$1,$K$2,RDG$4),Table1[],(MATCH(Calendar!$A19,DB!$1:$1,0)),FALSE),"")</f>
        <v/>
      </c>
      <c r="RDH19" s="28" t="str">
        <f>IFERROR(VLOOKUP(DATE($K$1,$K$2,RDH$4),Table1[],(MATCH(Calendar!$A19,DB!$1:$1,0)),FALSE),"")</f>
        <v/>
      </c>
      <c r="RDI19" s="28" t="str">
        <f>IFERROR(VLOOKUP(DATE($K$1,$K$2,RDI$4),Table1[],(MATCH(Calendar!$A19,DB!$1:$1,0)),FALSE),"")</f>
        <v/>
      </c>
      <c r="RDJ19" s="28" t="str">
        <f>IFERROR(VLOOKUP(DATE($K$1,$K$2,RDJ$4),Table1[],(MATCH(Calendar!$A19,DB!$1:$1,0)),FALSE),"")</f>
        <v/>
      </c>
      <c r="RDK19" s="28" t="str">
        <f>IFERROR(VLOOKUP(DATE($K$1,$K$2,RDK$4),Table1[],(MATCH(Calendar!$A19,DB!$1:$1,0)),FALSE),"")</f>
        <v/>
      </c>
      <c r="RDL19" s="28" t="str">
        <f>IFERROR(VLOOKUP(DATE($K$1,$K$2,RDL$4),Table1[],(MATCH(Calendar!$A19,DB!$1:$1,0)),FALSE),"")</f>
        <v/>
      </c>
      <c r="RDM19" s="28" t="str">
        <f>IFERROR(VLOOKUP(DATE($K$1,$K$2,RDM$4),Table1[],(MATCH(Calendar!$A19,DB!$1:$1,0)),FALSE),"")</f>
        <v/>
      </c>
      <c r="RDN19" s="28" t="str">
        <f>IFERROR(VLOOKUP(DATE($K$1,$K$2,RDN$4),Table1[],(MATCH(Calendar!$A19,DB!$1:$1,0)),FALSE),"")</f>
        <v/>
      </c>
      <c r="RDO19" s="28" t="str">
        <f>IFERROR(VLOOKUP(DATE($K$1,$K$2,RDO$4),Table1[],(MATCH(Calendar!$A19,DB!$1:$1,0)),FALSE),"")</f>
        <v/>
      </c>
      <c r="RDP19" s="28" t="str">
        <f>IFERROR(VLOOKUP(DATE($K$1,$K$2,RDP$4),Table1[],(MATCH(Calendar!$A19,DB!$1:$1,0)),FALSE),"")</f>
        <v/>
      </c>
      <c r="RDQ19" s="28" t="str">
        <f>IFERROR(VLOOKUP(DATE($K$1,$K$2,RDQ$4),Table1[],(MATCH(Calendar!$A19,DB!$1:$1,0)),FALSE),"")</f>
        <v/>
      </c>
      <c r="RDR19" s="28" t="str">
        <f>IFERROR(VLOOKUP(DATE($K$1,$K$2,RDR$4),Table1[],(MATCH(Calendar!$A19,DB!$1:$1,0)),FALSE),"")</f>
        <v/>
      </c>
      <c r="RDS19" s="28" t="str">
        <f>IFERROR(VLOOKUP(DATE($K$1,$K$2,RDS$4),Table1[],(MATCH(Calendar!$A19,DB!$1:$1,0)),FALSE),"")</f>
        <v/>
      </c>
      <c r="RDT19" s="28" t="str">
        <f>IFERROR(VLOOKUP(DATE($K$1,$K$2,RDT$4),Table1[],(MATCH(Calendar!$A19,DB!$1:$1,0)),FALSE),"")</f>
        <v/>
      </c>
      <c r="RDU19" s="28" t="str">
        <f>IFERROR(VLOOKUP(DATE($K$1,$K$2,RDU$4),Table1[],(MATCH(Calendar!$A19,DB!$1:$1,0)),FALSE),"")</f>
        <v/>
      </c>
      <c r="RDV19" s="28" t="str">
        <f>IFERROR(VLOOKUP(DATE($K$1,$K$2,RDV$4),Table1[],(MATCH(Calendar!$A19,DB!$1:$1,0)),FALSE),"")</f>
        <v/>
      </c>
      <c r="RDW19" s="28" t="str">
        <f>IFERROR(VLOOKUP(DATE($K$1,$K$2,RDW$4),Table1[],(MATCH(Calendar!$A19,DB!$1:$1,0)),FALSE),"")</f>
        <v/>
      </c>
      <c r="RDX19" s="28" t="str">
        <f>IFERROR(VLOOKUP(DATE($K$1,$K$2,RDX$4),Table1[],(MATCH(Calendar!$A19,DB!$1:$1,0)),FALSE),"")</f>
        <v/>
      </c>
      <c r="RDY19" s="28" t="str">
        <f>IFERROR(VLOOKUP(DATE($K$1,$K$2,RDY$4),Table1[],(MATCH(Calendar!$A19,DB!$1:$1,0)),FALSE),"")</f>
        <v/>
      </c>
      <c r="RDZ19" s="28" t="str">
        <f>IFERROR(VLOOKUP(DATE($K$1,$K$2,RDZ$4),Table1[],(MATCH(Calendar!$A19,DB!$1:$1,0)),FALSE),"")</f>
        <v/>
      </c>
      <c r="REA19" s="28" t="str">
        <f>IFERROR(VLOOKUP(DATE($K$1,$K$2,REA$4),Table1[],(MATCH(Calendar!$A19,DB!$1:$1,0)),FALSE),"")</f>
        <v/>
      </c>
      <c r="REB19" s="28" t="str">
        <f>IFERROR(VLOOKUP(DATE($K$1,$K$2,REB$4),Table1[],(MATCH(Calendar!$A19,DB!$1:$1,0)),FALSE),"")</f>
        <v/>
      </c>
      <c r="REC19" s="28" t="str">
        <f>IFERROR(VLOOKUP(DATE($K$1,$K$2,REC$4),Table1[],(MATCH(Calendar!$A19,DB!$1:$1,0)),FALSE),"")</f>
        <v/>
      </c>
      <c r="RED19" s="28" t="str">
        <f>IFERROR(VLOOKUP(DATE($K$1,$K$2,RED$4),Table1[],(MATCH(Calendar!$A19,DB!$1:$1,0)),FALSE),"")</f>
        <v/>
      </c>
      <c r="REE19" s="28" t="str">
        <f>IFERROR(VLOOKUP(DATE($K$1,$K$2,REE$4),Table1[],(MATCH(Calendar!$A19,DB!$1:$1,0)),FALSE),"")</f>
        <v/>
      </c>
      <c r="REF19" s="28" t="str">
        <f>IFERROR(VLOOKUP(DATE($K$1,$K$2,REF$4),Table1[],(MATCH(Calendar!$A19,DB!$1:$1,0)),FALSE),"")</f>
        <v/>
      </c>
      <c r="REG19" s="28" t="str">
        <f>IFERROR(VLOOKUP(DATE($K$1,$K$2,REG$4),Table1[],(MATCH(Calendar!$A19,DB!$1:$1,0)),FALSE),"")</f>
        <v/>
      </c>
      <c r="REH19" s="28" t="str">
        <f>IFERROR(VLOOKUP(DATE($K$1,$K$2,REH$4),Table1[],(MATCH(Calendar!$A19,DB!$1:$1,0)),FALSE),"")</f>
        <v/>
      </c>
      <c r="REI19" s="28" t="str">
        <f>IFERROR(VLOOKUP(DATE($K$1,$K$2,REI$4),Table1[],(MATCH(Calendar!$A19,DB!$1:$1,0)),FALSE),"")</f>
        <v/>
      </c>
      <c r="REJ19" s="28" t="str">
        <f>IFERROR(VLOOKUP(DATE($K$1,$K$2,REJ$4),Table1[],(MATCH(Calendar!$A19,DB!$1:$1,0)),FALSE),"")</f>
        <v/>
      </c>
      <c r="REK19" s="28" t="str">
        <f>IFERROR(VLOOKUP(DATE($K$1,$K$2,REK$4),Table1[],(MATCH(Calendar!$A19,DB!$1:$1,0)),FALSE),"")</f>
        <v/>
      </c>
      <c r="REL19" s="28" t="str">
        <f>IFERROR(VLOOKUP(DATE($K$1,$K$2,REL$4),Table1[],(MATCH(Calendar!$A19,DB!$1:$1,0)),FALSE),"")</f>
        <v/>
      </c>
      <c r="REM19" s="28" t="str">
        <f>IFERROR(VLOOKUP(DATE($K$1,$K$2,REM$4),Table1[],(MATCH(Calendar!$A19,DB!$1:$1,0)),FALSE),"")</f>
        <v/>
      </c>
      <c r="REN19" s="28" t="str">
        <f>IFERROR(VLOOKUP(DATE($K$1,$K$2,REN$4),Table1[],(MATCH(Calendar!$A19,DB!$1:$1,0)),FALSE),"")</f>
        <v/>
      </c>
      <c r="REO19" s="28" t="str">
        <f>IFERROR(VLOOKUP(DATE($K$1,$K$2,REO$4),Table1[],(MATCH(Calendar!$A19,DB!$1:$1,0)),FALSE),"")</f>
        <v/>
      </c>
      <c r="REP19" s="28" t="str">
        <f>IFERROR(VLOOKUP(DATE($K$1,$K$2,REP$4),Table1[],(MATCH(Calendar!$A19,DB!$1:$1,0)),FALSE),"")</f>
        <v/>
      </c>
      <c r="REQ19" s="28" t="str">
        <f>IFERROR(VLOOKUP(DATE($K$1,$K$2,REQ$4),Table1[],(MATCH(Calendar!$A19,DB!$1:$1,0)),FALSE),"")</f>
        <v/>
      </c>
      <c r="RER19" s="28" t="str">
        <f>IFERROR(VLOOKUP(DATE($K$1,$K$2,RER$4),Table1[],(MATCH(Calendar!$A19,DB!$1:$1,0)),FALSE),"")</f>
        <v/>
      </c>
      <c r="RES19" s="28" t="str">
        <f>IFERROR(VLOOKUP(DATE($K$1,$K$2,RES$4),Table1[],(MATCH(Calendar!$A19,DB!$1:$1,0)),FALSE),"")</f>
        <v/>
      </c>
      <c r="RET19" s="28" t="str">
        <f>IFERROR(VLOOKUP(DATE($K$1,$K$2,RET$4),Table1[],(MATCH(Calendar!$A19,DB!$1:$1,0)),FALSE),"")</f>
        <v/>
      </c>
      <c r="REU19" s="28" t="str">
        <f>IFERROR(VLOOKUP(DATE($K$1,$K$2,REU$4),Table1[],(MATCH(Calendar!$A19,DB!$1:$1,0)),FALSE),"")</f>
        <v/>
      </c>
      <c r="REV19" s="28" t="str">
        <f>IFERROR(VLOOKUP(DATE($K$1,$K$2,REV$4),Table1[],(MATCH(Calendar!$A19,DB!$1:$1,0)),FALSE),"")</f>
        <v/>
      </c>
      <c r="REW19" s="28" t="str">
        <f>IFERROR(VLOOKUP(DATE($K$1,$K$2,REW$4),Table1[],(MATCH(Calendar!$A19,DB!$1:$1,0)),FALSE),"")</f>
        <v/>
      </c>
      <c r="REX19" s="28" t="str">
        <f>IFERROR(VLOOKUP(DATE($K$1,$K$2,REX$4),Table1[],(MATCH(Calendar!$A19,DB!$1:$1,0)),FALSE),"")</f>
        <v/>
      </c>
      <c r="REY19" s="28" t="str">
        <f>IFERROR(VLOOKUP(DATE($K$1,$K$2,REY$4),Table1[],(MATCH(Calendar!$A19,DB!$1:$1,0)),FALSE),"")</f>
        <v/>
      </c>
      <c r="REZ19" s="28" t="str">
        <f>IFERROR(VLOOKUP(DATE($K$1,$K$2,REZ$4),Table1[],(MATCH(Calendar!$A19,DB!$1:$1,0)),FALSE),"")</f>
        <v/>
      </c>
      <c r="RFA19" s="28" t="str">
        <f>IFERROR(VLOOKUP(DATE($K$1,$K$2,RFA$4),Table1[],(MATCH(Calendar!$A19,DB!$1:$1,0)),FALSE),"")</f>
        <v/>
      </c>
      <c r="RFB19" s="28" t="str">
        <f>IFERROR(VLOOKUP(DATE($K$1,$K$2,RFB$4),Table1[],(MATCH(Calendar!$A19,DB!$1:$1,0)),FALSE),"")</f>
        <v/>
      </c>
      <c r="RFC19" s="28" t="str">
        <f>IFERROR(VLOOKUP(DATE($K$1,$K$2,RFC$4),Table1[],(MATCH(Calendar!$A19,DB!$1:$1,0)),FALSE),"")</f>
        <v/>
      </c>
      <c r="RFD19" s="28" t="str">
        <f>IFERROR(VLOOKUP(DATE($K$1,$K$2,RFD$4),Table1[],(MATCH(Calendar!$A19,DB!$1:$1,0)),FALSE),"")</f>
        <v/>
      </c>
      <c r="RFE19" s="28" t="str">
        <f>IFERROR(VLOOKUP(DATE($K$1,$K$2,RFE$4),Table1[],(MATCH(Calendar!$A19,DB!$1:$1,0)),FALSE),"")</f>
        <v/>
      </c>
      <c r="RFF19" s="28" t="str">
        <f>IFERROR(VLOOKUP(DATE($K$1,$K$2,RFF$4),Table1[],(MATCH(Calendar!$A19,DB!$1:$1,0)),FALSE),"")</f>
        <v/>
      </c>
      <c r="RFG19" s="28" t="str">
        <f>IFERROR(VLOOKUP(DATE($K$1,$K$2,RFG$4),Table1[],(MATCH(Calendar!$A19,DB!$1:$1,0)),FALSE),"")</f>
        <v/>
      </c>
      <c r="RFH19" s="28" t="str">
        <f>IFERROR(VLOOKUP(DATE($K$1,$K$2,RFH$4),Table1[],(MATCH(Calendar!$A19,DB!$1:$1,0)),FALSE),"")</f>
        <v/>
      </c>
      <c r="RFI19" s="28" t="str">
        <f>IFERROR(VLOOKUP(DATE($K$1,$K$2,RFI$4),Table1[],(MATCH(Calendar!$A19,DB!$1:$1,0)),FALSE),"")</f>
        <v/>
      </c>
      <c r="RFJ19" s="28" t="str">
        <f>IFERROR(VLOOKUP(DATE($K$1,$K$2,RFJ$4),Table1[],(MATCH(Calendar!$A19,DB!$1:$1,0)),FALSE),"")</f>
        <v/>
      </c>
      <c r="RFK19" s="28" t="str">
        <f>IFERROR(VLOOKUP(DATE($K$1,$K$2,RFK$4),Table1[],(MATCH(Calendar!$A19,DB!$1:$1,0)),FALSE),"")</f>
        <v/>
      </c>
      <c r="RFL19" s="28" t="str">
        <f>IFERROR(VLOOKUP(DATE($K$1,$K$2,RFL$4),Table1[],(MATCH(Calendar!$A19,DB!$1:$1,0)),FALSE),"")</f>
        <v/>
      </c>
      <c r="RFM19" s="28" t="str">
        <f>IFERROR(VLOOKUP(DATE($K$1,$K$2,RFM$4),Table1[],(MATCH(Calendar!$A19,DB!$1:$1,0)),FALSE),"")</f>
        <v/>
      </c>
      <c r="RFN19" s="28" t="str">
        <f>IFERROR(VLOOKUP(DATE($K$1,$K$2,RFN$4),Table1[],(MATCH(Calendar!$A19,DB!$1:$1,0)),FALSE),"")</f>
        <v/>
      </c>
      <c r="RFO19" s="28" t="str">
        <f>IFERROR(VLOOKUP(DATE($K$1,$K$2,RFO$4),Table1[],(MATCH(Calendar!$A19,DB!$1:$1,0)),FALSE),"")</f>
        <v/>
      </c>
      <c r="RFP19" s="28" t="str">
        <f>IFERROR(VLOOKUP(DATE($K$1,$K$2,RFP$4),Table1[],(MATCH(Calendar!$A19,DB!$1:$1,0)),FALSE),"")</f>
        <v/>
      </c>
      <c r="RFQ19" s="28" t="str">
        <f>IFERROR(VLOOKUP(DATE($K$1,$K$2,RFQ$4),Table1[],(MATCH(Calendar!$A19,DB!$1:$1,0)),FALSE),"")</f>
        <v/>
      </c>
      <c r="RFR19" s="28" t="str">
        <f>IFERROR(VLOOKUP(DATE($K$1,$K$2,RFR$4),Table1[],(MATCH(Calendar!$A19,DB!$1:$1,0)),FALSE),"")</f>
        <v/>
      </c>
      <c r="RFS19" s="28" t="str">
        <f>IFERROR(VLOOKUP(DATE($K$1,$K$2,RFS$4),Table1[],(MATCH(Calendar!$A19,DB!$1:$1,0)),FALSE),"")</f>
        <v/>
      </c>
      <c r="RFT19" s="28" t="str">
        <f>IFERROR(VLOOKUP(DATE($K$1,$K$2,RFT$4),Table1[],(MATCH(Calendar!$A19,DB!$1:$1,0)),FALSE),"")</f>
        <v/>
      </c>
      <c r="RFU19" s="28" t="str">
        <f>IFERROR(VLOOKUP(DATE($K$1,$K$2,RFU$4),Table1[],(MATCH(Calendar!$A19,DB!$1:$1,0)),FALSE),"")</f>
        <v/>
      </c>
      <c r="RFV19" s="28" t="str">
        <f>IFERROR(VLOOKUP(DATE($K$1,$K$2,RFV$4),Table1[],(MATCH(Calendar!$A19,DB!$1:$1,0)),FALSE),"")</f>
        <v/>
      </c>
      <c r="RFW19" s="28" t="str">
        <f>IFERROR(VLOOKUP(DATE($K$1,$K$2,RFW$4),Table1[],(MATCH(Calendar!$A19,DB!$1:$1,0)),FALSE),"")</f>
        <v/>
      </c>
      <c r="RFX19" s="28" t="str">
        <f>IFERROR(VLOOKUP(DATE($K$1,$K$2,RFX$4),Table1[],(MATCH(Calendar!$A19,DB!$1:$1,0)),FALSE),"")</f>
        <v/>
      </c>
      <c r="RFY19" s="28" t="str">
        <f>IFERROR(VLOOKUP(DATE($K$1,$K$2,RFY$4),Table1[],(MATCH(Calendar!$A19,DB!$1:$1,0)),FALSE),"")</f>
        <v/>
      </c>
      <c r="RFZ19" s="28" t="str">
        <f>IFERROR(VLOOKUP(DATE($K$1,$K$2,RFZ$4),Table1[],(MATCH(Calendar!$A19,DB!$1:$1,0)),FALSE),"")</f>
        <v/>
      </c>
      <c r="RGA19" s="28" t="str">
        <f>IFERROR(VLOOKUP(DATE($K$1,$K$2,RGA$4),Table1[],(MATCH(Calendar!$A19,DB!$1:$1,0)),FALSE),"")</f>
        <v/>
      </c>
      <c r="RGB19" s="28" t="str">
        <f>IFERROR(VLOOKUP(DATE($K$1,$K$2,RGB$4),Table1[],(MATCH(Calendar!$A19,DB!$1:$1,0)),FALSE),"")</f>
        <v/>
      </c>
      <c r="RGC19" s="28" t="str">
        <f>IFERROR(VLOOKUP(DATE($K$1,$K$2,RGC$4),Table1[],(MATCH(Calendar!$A19,DB!$1:$1,0)),FALSE),"")</f>
        <v/>
      </c>
      <c r="RGD19" s="28" t="str">
        <f>IFERROR(VLOOKUP(DATE($K$1,$K$2,RGD$4),Table1[],(MATCH(Calendar!$A19,DB!$1:$1,0)),FALSE),"")</f>
        <v/>
      </c>
      <c r="RGE19" s="28" t="str">
        <f>IFERROR(VLOOKUP(DATE($K$1,$K$2,RGE$4),Table1[],(MATCH(Calendar!$A19,DB!$1:$1,0)),FALSE),"")</f>
        <v/>
      </c>
      <c r="RGF19" s="28" t="str">
        <f>IFERROR(VLOOKUP(DATE($K$1,$K$2,RGF$4),Table1[],(MATCH(Calendar!$A19,DB!$1:$1,0)),FALSE),"")</f>
        <v/>
      </c>
      <c r="RGG19" s="28" t="str">
        <f>IFERROR(VLOOKUP(DATE($K$1,$K$2,RGG$4),Table1[],(MATCH(Calendar!$A19,DB!$1:$1,0)),FALSE),"")</f>
        <v/>
      </c>
      <c r="RGH19" s="28" t="str">
        <f>IFERROR(VLOOKUP(DATE($K$1,$K$2,RGH$4),Table1[],(MATCH(Calendar!$A19,DB!$1:$1,0)),FALSE),"")</f>
        <v/>
      </c>
      <c r="RGI19" s="28" t="str">
        <f>IFERROR(VLOOKUP(DATE($K$1,$K$2,RGI$4),Table1[],(MATCH(Calendar!$A19,DB!$1:$1,0)),FALSE),"")</f>
        <v/>
      </c>
      <c r="RGJ19" s="28" t="str">
        <f>IFERROR(VLOOKUP(DATE($K$1,$K$2,RGJ$4),Table1[],(MATCH(Calendar!$A19,DB!$1:$1,0)),FALSE),"")</f>
        <v/>
      </c>
      <c r="RGK19" s="28" t="str">
        <f>IFERROR(VLOOKUP(DATE($K$1,$K$2,RGK$4),Table1[],(MATCH(Calendar!$A19,DB!$1:$1,0)),FALSE),"")</f>
        <v/>
      </c>
      <c r="RGL19" s="28" t="str">
        <f>IFERROR(VLOOKUP(DATE($K$1,$K$2,RGL$4),Table1[],(MATCH(Calendar!$A19,DB!$1:$1,0)),FALSE),"")</f>
        <v/>
      </c>
      <c r="RGM19" s="28" t="str">
        <f>IFERROR(VLOOKUP(DATE($K$1,$K$2,RGM$4),Table1[],(MATCH(Calendar!$A19,DB!$1:$1,0)),FALSE),"")</f>
        <v/>
      </c>
      <c r="RGN19" s="28" t="str">
        <f>IFERROR(VLOOKUP(DATE($K$1,$K$2,RGN$4),Table1[],(MATCH(Calendar!$A19,DB!$1:$1,0)),FALSE),"")</f>
        <v/>
      </c>
      <c r="RGO19" s="28" t="str">
        <f>IFERROR(VLOOKUP(DATE($K$1,$K$2,RGO$4),Table1[],(MATCH(Calendar!$A19,DB!$1:$1,0)),FALSE),"")</f>
        <v/>
      </c>
      <c r="RGP19" s="28" t="str">
        <f>IFERROR(VLOOKUP(DATE($K$1,$K$2,RGP$4),Table1[],(MATCH(Calendar!$A19,DB!$1:$1,0)),FALSE),"")</f>
        <v/>
      </c>
      <c r="RGQ19" s="28" t="str">
        <f>IFERROR(VLOOKUP(DATE($K$1,$K$2,RGQ$4),Table1[],(MATCH(Calendar!$A19,DB!$1:$1,0)),FALSE),"")</f>
        <v/>
      </c>
      <c r="RGR19" s="28" t="str">
        <f>IFERROR(VLOOKUP(DATE($K$1,$K$2,RGR$4),Table1[],(MATCH(Calendar!$A19,DB!$1:$1,0)),FALSE),"")</f>
        <v/>
      </c>
      <c r="RGS19" s="28" t="str">
        <f>IFERROR(VLOOKUP(DATE($K$1,$K$2,RGS$4),Table1[],(MATCH(Calendar!$A19,DB!$1:$1,0)),FALSE),"")</f>
        <v/>
      </c>
      <c r="RGT19" s="28" t="str">
        <f>IFERROR(VLOOKUP(DATE($K$1,$K$2,RGT$4),Table1[],(MATCH(Calendar!$A19,DB!$1:$1,0)),FALSE),"")</f>
        <v/>
      </c>
      <c r="RGU19" s="28" t="str">
        <f>IFERROR(VLOOKUP(DATE($K$1,$K$2,RGU$4),Table1[],(MATCH(Calendar!$A19,DB!$1:$1,0)),FALSE),"")</f>
        <v/>
      </c>
      <c r="RGV19" s="28" t="str">
        <f>IFERROR(VLOOKUP(DATE($K$1,$K$2,RGV$4),Table1[],(MATCH(Calendar!$A19,DB!$1:$1,0)),FALSE),"")</f>
        <v/>
      </c>
      <c r="RGW19" s="28" t="str">
        <f>IFERROR(VLOOKUP(DATE($K$1,$K$2,RGW$4),Table1[],(MATCH(Calendar!$A19,DB!$1:$1,0)),FALSE),"")</f>
        <v/>
      </c>
      <c r="RGX19" s="28" t="str">
        <f>IFERROR(VLOOKUP(DATE($K$1,$K$2,RGX$4),Table1[],(MATCH(Calendar!$A19,DB!$1:$1,0)),FALSE),"")</f>
        <v/>
      </c>
      <c r="RGY19" s="28" t="str">
        <f>IFERROR(VLOOKUP(DATE($K$1,$K$2,RGY$4),Table1[],(MATCH(Calendar!$A19,DB!$1:$1,0)),FALSE),"")</f>
        <v/>
      </c>
      <c r="RGZ19" s="28" t="str">
        <f>IFERROR(VLOOKUP(DATE($K$1,$K$2,RGZ$4),Table1[],(MATCH(Calendar!$A19,DB!$1:$1,0)),FALSE),"")</f>
        <v/>
      </c>
      <c r="RHA19" s="28" t="str">
        <f>IFERROR(VLOOKUP(DATE($K$1,$K$2,RHA$4),Table1[],(MATCH(Calendar!$A19,DB!$1:$1,0)),FALSE),"")</f>
        <v/>
      </c>
      <c r="RHB19" s="28" t="str">
        <f>IFERROR(VLOOKUP(DATE($K$1,$K$2,RHB$4),Table1[],(MATCH(Calendar!$A19,DB!$1:$1,0)),FALSE),"")</f>
        <v/>
      </c>
      <c r="RHC19" s="28" t="str">
        <f>IFERROR(VLOOKUP(DATE($K$1,$K$2,RHC$4),Table1[],(MATCH(Calendar!$A19,DB!$1:$1,0)),FALSE),"")</f>
        <v/>
      </c>
      <c r="RHD19" s="28" t="str">
        <f>IFERROR(VLOOKUP(DATE($K$1,$K$2,RHD$4),Table1[],(MATCH(Calendar!$A19,DB!$1:$1,0)),FALSE),"")</f>
        <v/>
      </c>
      <c r="RHE19" s="28" t="str">
        <f>IFERROR(VLOOKUP(DATE($K$1,$K$2,RHE$4),Table1[],(MATCH(Calendar!$A19,DB!$1:$1,0)),FALSE),"")</f>
        <v/>
      </c>
      <c r="RHF19" s="28" t="str">
        <f>IFERROR(VLOOKUP(DATE($K$1,$K$2,RHF$4),Table1[],(MATCH(Calendar!$A19,DB!$1:$1,0)),FALSE),"")</f>
        <v/>
      </c>
      <c r="RHG19" s="28" t="str">
        <f>IFERROR(VLOOKUP(DATE($K$1,$K$2,RHG$4),Table1[],(MATCH(Calendar!$A19,DB!$1:$1,0)),FALSE),"")</f>
        <v/>
      </c>
      <c r="RHH19" s="28" t="str">
        <f>IFERROR(VLOOKUP(DATE($K$1,$K$2,RHH$4),Table1[],(MATCH(Calendar!$A19,DB!$1:$1,0)),FALSE),"")</f>
        <v/>
      </c>
      <c r="RHI19" s="28" t="str">
        <f>IFERROR(VLOOKUP(DATE($K$1,$K$2,RHI$4),Table1[],(MATCH(Calendar!$A19,DB!$1:$1,0)),FALSE),"")</f>
        <v/>
      </c>
      <c r="RHJ19" s="28" t="str">
        <f>IFERROR(VLOOKUP(DATE($K$1,$K$2,RHJ$4),Table1[],(MATCH(Calendar!$A19,DB!$1:$1,0)),FALSE),"")</f>
        <v/>
      </c>
      <c r="RHK19" s="28" t="str">
        <f>IFERROR(VLOOKUP(DATE($K$1,$K$2,RHK$4),Table1[],(MATCH(Calendar!$A19,DB!$1:$1,0)),FALSE),"")</f>
        <v/>
      </c>
      <c r="RHL19" s="28" t="str">
        <f>IFERROR(VLOOKUP(DATE($K$1,$K$2,RHL$4),Table1[],(MATCH(Calendar!$A19,DB!$1:$1,0)),FALSE),"")</f>
        <v/>
      </c>
      <c r="RHM19" s="28" t="str">
        <f>IFERROR(VLOOKUP(DATE($K$1,$K$2,RHM$4),Table1[],(MATCH(Calendar!$A19,DB!$1:$1,0)),FALSE),"")</f>
        <v/>
      </c>
      <c r="RHN19" s="28" t="str">
        <f>IFERROR(VLOOKUP(DATE($K$1,$K$2,RHN$4),Table1[],(MATCH(Calendar!$A19,DB!$1:$1,0)),FALSE),"")</f>
        <v/>
      </c>
      <c r="RHO19" s="28" t="str">
        <f>IFERROR(VLOOKUP(DATE($K$1,$K$2,RHO$4),Table1[],(MATCH(Calendar!$A19,DB!$1:$1,0)),FALSE),"")</f>
        <v/>
      </c>
      <c r="RHP19" s="28" t="str">
        <f>IFERROR(VLOOKUP(DATE($K$1,$K$2,RHP$4),Table1[],(MATCH(Calendar!$A19,DB!$1:$1,0)),FALSE),"")</f>
        <v/>
      </c>
      <c r="RHQ19" s="28" t="str">
        <f>IFERROR(VLOOKUP(DATE($K$1,$K$2,RHQ$4),Table1[],(MATCH(Calendar!$A19,DB!$1:$1,0)),FALSE),"")</f>
        <v/>
      </c>
      <c r="RHR19" s="28" t="str">
        <f>IFERROR(VLOOKUP(DATE($K$1,$K$2,RHR$4),Table1[],(MATCH(Calendar!$A19,DB!$1:$1,0)),FALSE),"")</f>
        <v/>
      </c>
      <c r="RHS19" s="28" t="str">
        <f>IFERROR(VLOOKUP(DATE($K$1,$K$2,RHS$4),Table1[],(MATCH(Calendar!$A19,DB!$1:$1,0)),FALSE),"")</f>
        <v/>
      </c>
      <c r="RHT19" s="28" t="str">
        <f>IFERROR(VLOOKUP(DATE($K$1,$K$2,RHT$4),Table1[],(MATCH(Calendar!$A19,DB!$1:$1,0)),FALSE),"")</f>
        <v/>
      </c>
      <c r="RHU19" s="28" t="str">
        <f>IFERROR(VLOOKUP(DATE($K$1,$K$2,RHU$4),Table1[],(MATCH(Calendar!$A19,DB!$1:$1,0)),FALSE),"")</f>
        <v/>
      </c>
      <c r="RHV19" s="28" t="str">
        <f>IFERROR(VLOOKUP(DATE($K$1,$K$2,RHV$4),Table1[],(MATCH(Calendar!$A19,DB!$1:$1,0)),FALSE),"")</f>
        <v/>
      </c>
      <c r="RHW19" s="28" t="str">
        <f>IFERROR(VLOOKUP(DATE($K$1,$K$2,RHW$4),Table1[],(MATCH(Calendar!$A19,DB!$1:$1,0)),FALSE),"")</f>
        <v/>
      </c>
      <c r="RHX19" s="28" t="str">
        <f>IFERROR(VLOOKUP(DATE($K$1,$K$2,RHX$4),Table1[],(MATCH(Calendar!$A19,DB!$1:$1,0)),FALSE),"")</f>
        <v/>
      </c>
      <c r="RHY19" s="28" t="str">
        <f>IFERROR(VLOOKUP(DATE($K$1,$K$2,RHY$4),Table1[],(MATCH(Calendar!$A19,DB!$1:$1,0)),FALSE),"")</f>
        <v/>
      </c>
      <c r="RHZ19" s="28" t="str">
        <f>IFERROR(VLOOKUP(DATE($K$1,$K$2,RHZ$4),Table1[],(MATCH(Calendar!$A19,DB!$1:$1,0)),FALSE),"")</f>
        <v/>
      </c>
      <c r="RIA19" s="28" t="str">
        <f>IFERROR(VLOOKUP(DATE($K$1,$K$2,RIA$4),Table1[],(MATCH(Calendar!$A19,DB!$1:$1,0)),FALSE),"")</f>
        <v/>
      </c>
      <c r="RIB19" s="28" t="str">
        <f>IFERROR(VLOOKUP(DATE($K$1,$K$2,RIB$4),Table1[],(MATCH(Calendar!$A19,DB!$1:$1,0)),FALSE),"")</f>
        <v/>
      </c>
      <c r="RIC19" s="28" t="str">
        <f>IFERROR(VLOOKUP(DATE($K$1,$K$2,RIC$4),Table1[],(MATCH(Calendar!$A19,DB!$1:$1,0)),FALSE),"")</f>
        <v/>
      </c>
      <c r="RID19" s="28" t="str">
        <f>IFERROR(VLOOKUP(DATE($K$1,$K$2,RID$4),Table1[],(MATCH(Calendar!$A19,DB!$1:$1,0)),FALSE),"")</f>
        <v/>
      </c>
      <c r="RIE19" s="28" t="str">
        <f>IFERROR(VLOOKUP(DATE($K$1,$K$2,RIE$4),Table1[],(MATCH(Calendar!$A19,DB!$1:$1,0)),FALSE),"")</f>
        <v/>
      </c>
      <c r="RIF19" s="28" t="str">
        <f>IFERROR(VLOOKUP(DATE($K$1,$K$2,RIF$4),Table1[],(MATCH(Calendar!$A19,DB!$1:$1,0)),FALSE),"")</f>
        <v/>
      </c>
      <c r="RIG19" s="28" t="str">
        <f>IFERROR(VLOOKUP(DATE($K$1,$K$2,RIG$4),Table1[],(MATCH(Calendar!$A19,DB!$1:$1,0)),FALSE),"")</f>
        <v/>
      </c>
      <c r="RIH19" s="28" t="str">
        <f>IFERROR(VLOOKUP(DATE($K$1,$K$2,RIH$4),Table1[],(MATCH(Calendar!$A19,DB!$1:$1,0)),FALSE),"")</f>
        <v/>
      </c>
      <c r="RII19" s="28" t="str">
        <f>IFERROR(VLOOKUP(DATE($K$1,$K$2,RII$4),Table1[],(MATCH(Calendar!$A19,DB!$1:$1,0)),FALSE),"")</f>
        <v/>
      </c>
      <c r="RIJ19" s="28" t="str">
        <f>IFERROR(VLOOKUP(DATE($K$1,$K$2,RIJ$4),Table1[],(MATCH(Calendar!$A19,DB!$1:$1,0)),FALSE),"")</f>
        <v/>
      </c>
      <c r="RIK19" s="28" t="str">
        <f>IFERROR(VLOOKUP(DATE($K$1,$K$2,RIK$4),Table1[],(MATCH(Calendar!$A19,DB!$1:$1,0)),FALSE),"")</f>
        <v/>
      </c>
      <c r="RIL19" s="28" t="str">
        <f>IFERROR(VLOOKUP(DATE($K$1,$K$2,RIL$4),Table1[],(MATCH(Calendar!$A19,DB!$1:$1,0)),FALSE),"")</f>
        <v/>
      </c>
      <c r="RIM19" s="28" t="str">
        <f>IFERROR(VLOOKUP(DATE($K$1,$K$2,RIM$4),Table1[],(MATCH(Calendar!$A19,DB!$1:$1,0)),FALSE),"")</f>
        <v/>
      </c>
      <c r="RIN19" s="28" t="str">
        <f>IFERROR(VLOOKUP(DATE($K$1,$K$2,RIN$4),Table1[],(MATCH(Calendar!$A19,DB!$1:$1,0)),FALSE),"")</f>
        <v/>
      </c>
      <c r="RIO19" s="28" t="str">
        <f>IFERROR(VLOOKUP(DATE($K$1,$K$2,RIO$4),Table1[],(MATCH(Calendar!$A19,DB!$1:$1,0)),FALSE),"")</f>
        <v/>
      </c>
      <c r="RIP19" s="28" t="str">
        <f>IFERROR(VLOOKUP(DATE($K$1,$K$2,RIP$4),Table1[],(MATCH(Calendar!$A19,DB!$1:$1,0)),FALSE),"")</f>
        <v/>
      </c>
      <c r="RIQ19" s="28" t="str">
        <f>IFERROR(VLOOKUP(DATE($K$1,$K$2,RIQ$4),Table1[],(MATCH(Calendar!$A19,DB!$1:$1,0)),FALSE),"")</f>
        <v/>
      </c>
      <c r="RIR19" s="28" t="str">
        <f>IFERROR(VLOOKUP(DATE($K$1,$K$2,RIR$4),Table1[],(MATCH(Calendar!$A19,DB!$1:$1,0)),FALSE),"")</f>
        <v/>
      </c>
      <c r="RIS19" s="28" t="str">
        <f>IFERROR(VLOOKUP(DATE($K$1,$K$2,RIS$4),Table1[],(MATCH(Calendar!$A19,DB!$1:$1,0)),FALSE),"")</f>
        <v/>
      </c>
      <c r="RIT19" s="28" t="str">
        <f>IFERROR(VLOOKUP(DATE($K$1,$K$2,RIT$4),Table1[],(MATCH(Calendar!$A19,DB!$1:$1,0)),FALSE),"")</f>
        <v/>
      </c>
      <c r="RIU19" s="28" t="str">
        <f>IFERROR(VLOOKUP(DATE($K$1,$K$2,RIU$4),Table1[],(MATCH(Calendar!$A19,DB!$1:$1,0)),FALSE),"")</f>
        <v/>
      </c>
      <c r="RIV19" s="28" t="str">
        <f>IFERROR(VLOOKUP(DATE($K$1,$K$2,RIV$4),Table1[],(MATCH(Calendar!$A19,DB!$1:$1,0)),FALSE),"")</f>
        <v/>
      </c>
      <c r="RIW19" s="28" t="str">
        <f>IFERROR(VLOOKUP(DATE($K$1,$K$2,RIW$4),Table1[],(MATCH(Calendar!$A19,DB!$1:$1,0)),FALSE),"")</f>
        <v/>
      </c>
      <c r="RIX19" s="28" t="str">
        <f>IFERROR(VLOOKUP(DATE($K$1,$K$2,RIX$4),Table1[],(MATCH(Calendar!$A19,DB!$1:$1,0)),FALSE),"")</f>
        <v/>
      </c>
      <c r="RIY19" s="28" t="str">
        <f>IFERROR(VLOOKUP(DATE($K$1,$K$2,RIY$4),Table1[],(MATCH(Calendar!$A19,DB!$1:$1,0)),FALSE),"")</f>
        <v/>
      </c>
      <c r="RIZ19" s="28" t="str">
        <f>IFERROR(VLOOKUP(DATE($K$1,$K$2,RIZ$4),Table1[],(MATCH(Calendar!$A19,DB!$1:$1,0)),FALSE),"")</f>
        <v/>
      </c>
      <c r="RJA19" s="28" t="str">
        <f>IFERROR(VLOOKUP(DATE($K$1,$K$2,RJA$4),Table1[],(MATCH(Calendar!$A19,DB!$1:$1,0)),FALSE),"")</f>
        <v/>
      </c>
      <c r="RJB19" s="28" t="str">
        <f>IFERROR(VLOOKUP(DATE($K$1,$K$2,RJB$4),Table1[],(MATCH(Calendar!$A19,DB!$1:$1,0)),FALSE),"")</f>
        <v/>
      </c>
      <c r="RJC19" s="28" t="str">
        <f>IFERROR(VLOOKUP(DATE($K$1,$K$2,RJC$4),Table1[],(MATCH(Calendar!$A19,DB!$1:$1,0)),FALSE),"")</f>
        <v/>
      </c>
      <c r="RJD19" s="28" t="str">
        <f>IFERROR(VLOOKUP(DATE($K$1,$K$2,RJD$4),Table1[],(MATCH(Calendar!$A19,DB!$1:$1,0)),FALSE),"")</f>
        <v/>
      </c>
      <c r="RJE19" s="28" t="str">
        <f>IFERROR(VLOOKUP(DATE($K$1,$K$2,RJE$4),Table1[],(MATCH(Calendar!$A19,DB!$1:$1,0)),FALSE),"")</f>
        <v/>
      </c>
      <c r="RJF19" s="28" t="str">
        <f>IFERROR(VLOOKUP(DATE($K$1,$K$2,RJF$4),Table1[],(MATCH(Calendar!$A19,DB!$1:$1,0)),FALSE),"")</f>
        <v/>
      </c>
      <c r="RJG19" s="28" t="str">
        <f>IFERROR(VLOOKUP(DATE($K$1,$K$2,RJG$4),Table1[],(MATCH(Calendar!$A19,DB!$1:$1,0)),FALSE),"")</f>
        <v/>
      </c>
      <c r="RJH19" s="28" t="str">
        <f>IFERROR(VLOOKUP(DATE($K$1,$K$2,RJH$4),Table1[],(MATCH(Calendar!$A19,DB!$1:$1,0)),FALSE),"")</f>
        <v/>
      </c>
      <c r="RJI19" s="28" t="str">
        <f>IFERROR(VLOOKUP(DATE($K$1,$K$2,RJI$4),Table1[],(MATCH(Calendar!$A19,DB!$1:$1,0)),FALSE),"")</f>
        <v/>
      </c>
      <c r="RJJ19" s="28" t="str">
        <f>IFERROR(VLOOKUP(DATE($K$1,$K$2,RJJ$4),Table1[],(MATCH(Calendar!$A19,DB!$1:$1,0)),FALSE),"")</f>
        <v/>
      </c>
      <c r="RJK19" s="28" t="str">
        <f>IFERROR(VLOOKUP(DATE($K$1,$K$2,RJK$4),Table1[],(MATCH(Calendar!$A19,DB!$1:$1,0)),FALSE),"")</f>
        <v/>
      </c>
      <c r="RJL19" s="28" t="str">
        <f>IFERROR(VLOOKUP(DATE($K$1,$K$2,RJL$4),Table1[],(MATCH(Calendar!$A19,DB!$1:$1,0)),FALSE),"")</f>
        <v/>
      </c>
      <c r="RJM19" s="28" t="str">
        <f>IFERROR(VLOOKUP(DATE($K$1,$K$2,RJM$4),Table1[],(MATCH(Calendar!$A19,DB!$1:$1,0)),FALSE),"")</f>
        <v/>
      </c>
      <c r="RJN19" s="28" t="str">
        <f>IFERROR(VLOOKUP(DATE($K$1,$K$2,RJN$4),Table1[],(MATCH(Calendar!$A19,DB!$1:$1,0)),FALSE),"")</f>
        <v/>
      </c>
      <c r="RJO19" s="28" t="str">
        <f>IFERROR(VLOOKUP(DATE($K$1,$K$2,RJO$4),Table1[],(MATCH(Calendar!$A19,DB!$1:$1,0)),FALSE),"")</f>
        <v/>
      </c>
      <c r="RJP19" s="28" t="str">
        <f>IFERROR(VLOOKUP(DATE($K$1,$K$2,RJP$4),Table1[],(MATCH(Calendar!$A19,DB!$1:$1,0)),FALSE),"")</f>
        <v/>
      </c>
      <c r="RJQ19" s="28" t="str">
        <f>IFERROR(VLOOKUP(DATE($K$1,$K$2,RJQ$4),Table1[],(MATCH(Calendar!$A19,DB!$1:$1,0)),FALSE),"")</f>
        <v/>
      </c>
      <c r="RJR19" s="28" t="str">
        <f>IFERROR(VLOOKUP(DATE($K$1,$K$2,RJR$4),Table1[],(MATCH(Calendar!$A19,DB!$1:$1,0)),FALSE),"")</f>
        <v/>
      </c>
      <c r="RJS19" s="28" t="str">
        <f>IFERROR(VLOOKUP(DATE($K$1,$K$2,RJS$4),Table1[],(MATCH(Calendar!$A19,DB!$1:$1,0)),FALSE),"")</f>
        <v/>
      </c>
      <c r="RJT19" s="28" t="str">
        <f>IFERROR(VLOOKUP(DATE($K$1,$K$2,RJT$4),Table1[],(MATCH(Calendar!$A19,DB!$1:$1,0)),FALSE),"")</f>
        <v/>
      </c>
      <c r="RJU19" s="28" t="str">
        <f>IFERROR(VLOOKUP(DATE($K$1,$K$2,RJU$4),Table1[],(MATCH(Calendar!$A19,DB!$1:$1,0)),FALSE),"")</f>
        <v/>
      </c>
      <c r="RJV19" s="28" t="str">
        <f>IFERROR(VLOOKUP(DATE($K$1,$K$2,RJV$4),Table1[],(MATCH(Calendar!$A19,DB!$1:$1,0)),FALSE),"")</f>
        <v/>
      </c>
      <c r="RJW19" s="28" t="str">
        <f>IFERROR(VLOOKUP(DATE($K$1,$K$2,RJW$4),Table1[],(MATCH(Calendar!$A19,DB!$1:$1,0)),FALSE),"")</f>
        <v/>
      </c>
      <c r="RJX19" s="28" t="str">
        <f>IFERROR(VLOOKUP(DATE($K$1,$K$2,RJX$4),Table1[],(MATCH(Calendar!$A19,DB!$1:$1,0)),FALSE),"")</f>
        <v/>
      </c>
      <c r="RJY19" s="28" t="str">
        <f>IFERROR(VLOOKUP(DATE($K$1,$K$2,RJY$4),Table1[],(MATCH(Calendar!$A19,DB!$1:$1,0)),FALSE),"")</f>
        <v/>
      </c>
      <c r="RJZ19" s="28" t="str">
        <f>IFERROR(VLOOKUP(DATE($K$1,$K$2,RJZ$4),Table1[],(MATCH(Calendar!$A19,DB!$1:$1,0)),FALSE),"")</f>
        <v/>
      </c>
      <c r="RKA19" s="28" t="str">
        <f>IFERROR(VLOOKUP(DATE($K$1,$K$2,RKA$4),Table1[],(MATCH(Calendar!$A19,DB!$1:$1,0)),FALSE),"")</f>
        <v/>
      </c>
      <c r="RKB19" s="28" t="str">
        <f>IFERROR(VLOOKUP(DATE($K$1,$K$2,RKB$4),Table1[],(MATCH(Calendar!$A19,DB!$1:$1,0)),FALSE),"")</f>
        <v/>
      </c>
      <c r="RKC19" s="28" t="str">
        <f>IFERROR(VLOOKUP(DATE($K$1,$K$2,RKC$4),Table1[],(MATCH(Calendar!$A19,DB!$1:$1,0)),FALSE),"")</f>
        <v/>
      </c>
      <c r="RKD19" s="28" t="str">
        <f>IFERROR(VLOOKUP(DATE($K$1,$K$2,RKD$4),Table1[],(MATCH(Calendar!$A19,DB!$1:$1,0)),FALSE),"")</f>
        <v/>
      </c>
      <c r="RKE19" s="28" t="str">
        <f>IFERROR(VLOOKUP(DATE($K$1,$K$2,RKE$4),Table1[],(MATCH(Calendar!$A19,DB!$1:$1,0)),FALSE),"")</f>
        <v/>
      </c>
      <c r="RKF19" s="28" t="str">
        <f>IFERROR(VLOOKUP(DATE($K$1,$K$2,RKF$4),Table1[],(MATCH(Calendar!$A19,DB!$1:$1,0)),FALSE),"")</f>
        <v/>
      </c>
      <c r="RKG19" s="28" t="str">
        <f>IFERROR(VLOOKUP(DATE($K$1,$K$2,RKG$4),Table1[],(MATCH(Calendar!$A19,DB!$1:$1,0)),FALSE),"")</f>
        <v/>
      </c>
      <c r="RKH19" s="28" t="str">
        <f>IFERROR(VLOOKUP(DATE($K$1,$K$2,RKH$4),Table1[],(MATCH(Calendar!$A19,DB!$1:$1,0)),FALSE),"")</f>
        <v/>
      </c>
      <c r="RKI19" s="28" t="str">
        <f>IFERROR(VLOOKUP(DATE($K$1,$K$2,RKI$4),Table1[],(MATCH(Calendar!$A19,DB!$1:$1,0)),FALSE),"")</f>
        <v/>
      </c>
      <c r="RKJ19" s="28" t="str">
        <f>IFERROR(VLOOKUP(DATE($K$1,$K$2,RKJ$4),Table1[],(MATCH(Calendar!$A19,DB!$1:$1,0)),FALSE),"")</f>
        <v/>
      </c>
      <c r="RKK19" s="28" t="str">
        <f>IFERROR(VLOOKUP(DATE($K$1,$K$2,RKK$4),Table1[],(MATCH(Calendar!$A19,DB!$1:$1,0)),FALSE),"")</f>
        <v/>
      </c>
      <c r="RKL19" s="28" t="str">
        <f>IFERROR(VLOOKUP(DATE($K$1,$K$2,RKL$4),Table1[],(MATCH(Calendar!$A19,DB!$1:$1,0)),FALSE),"")</f>
        <v/>
      </c>
      <c r="RKM19" s="28" t="str">
        <f>IFERROR(VLOOKUP(DATE($K$1,$K$2,RKM$4),Table1[],(MATCH(Calendar!$A19,DB!$1:$1,0)),FALSE),"")</f>
        <v/>
      </c>
      <c r="RKN19" s="28" t="str">
        <f>IFERROR(VLOOKUP(DATE($K$1,$K$2,RKN$4),Table1[],(MATCH(Calendar!$A19,DB!$1:$1,0)),FALSE),"")</f>
        <v/>
      </c>
      <c r="RKO19" s="28" t="str">
        <f>IFERROR(VLOOKUP(DATE($K$1,$K$2,RKO$4),Table1[],(MATCH(Calendar!$A19,DB!$1:$1,0)),FALSE),"")</f>
        <v/>
      </c>
      <c r="RKP19" s="28" t="str">
        <f>IFERROR(VLOOKUP(DATE($K$1,$K$2,RKP$4),Table1[],(MATCH(Calendar!$A19,DB!$1:$1,0)),FALSE),"")</f>
        <v/>
      </c>
      <c r="RKQ19" s="28" t="str">
        <f>IFERROR(VLOOKUP(DATE($K$1,$K$2,RKQ$4),Table1[],(MATCH(Calendar!$A19,DB!$1:$1,0)),FALSE),"")</f>
        <v/>
      </c>
      <c r="RKR19" s="28" t="str">
        <f>IFERROR(VLOOKUP(DATE($K$1,$K$2,RKR$4),Table1[],(MATCH(Calendar!$A19,DB!$1:$1,0)),FALSE),"")</f>
        <v/>
      </c>
      <c r="RKS19" s="28" t="str">
        <f>IFERROR(VLOOKUP(DATE($K$1,$K$2,RKS$4),Table1[],(MATCH(Calendar!$A19,DB!$1:$1,0)),FALSE),"")</f>
        <v/>
      </c>
      <c r="RKT19" s="28" t="str">
        <f>IFERROR(VLOOKUP(DATE($K$1,$K$2,RKT$4),Table1[],(MATCH(Calendar!$A19,DB!$1:$1,0)),FALSE),"")</f>
        <v/>
      </c>
      <c r="RKU19" s="28" t="str">
        <f>IFERROR(VLOOKUP(DATE($K$1,$K$2,RKU$4),Table1[],(MATCH(Calendar!$A19,DB!$1:$1,0)),FALSE),"")</f>
        <v/>
      </c>
      <c r="RKV19" s="28" t="str">
        <f>IFERROR(VLOOKUP(DATE($K$1,$K$2,RKV$4),Table1[],(MATCH(Calendar!$A19,DB!$1:$1,0)),FALSE),"")</f>
        <v/>
      </c>
      <c r="RKW19" s="28" t="str">
        <f>IFERROR(VLOOKUP(DATE($K$1,$K$2,RKW$4),Table1[],(MATCH(Calendar!$A19,DB!$1:$1,0)),FALSE),"")</f>
        <v/>
      </c>
      <c r="RKX19" s="28" t="str">
        <f>IFERROR(VLOOKUP(DATE($K$1,$K$2,RKX$4),Table1[],(MATCH(Calendar!$A19,DB!$1:$1,0)),FALSE),"")</f>
        <v/>
      </c>
      <c r="RKY19" s="28" t="str">
        <f>IFERROR(VLOOKUP(DATE($K$1,$K$2,RKY$4),Table1[],(MATCH(Calendar!$A19,DB!$1:$1,0)),FALSE),"")</f>
        <v/>
      </c>
      <c r="RKZ19" s="28" t="str">
        <f>IFERROR(VLOOKUP(DATE($K$1,$K$2,RKZ$4),Table1[],(MATCH(Calendar!$A19,DB!$1:$1,0)),FALSE),"")</f>
        <v/>
      </c>
      <c r="RLA19" s="28" t="str">
        <f>IFERROR(VLOOKUP(DATE($K$1,$K$2,RLA$4),Table1[],(MATCH(Calendar!$A19,DB!$1:$1,0)),FALSE),"")</f>
        <v/>
      </c>
      <c r="RLB19" s="28" t="str">
        <f>IFERROR(VLOOKUP(DATE($K$1,$K$2,RLB$4),Table1[],(MATCH(Calendar!$A19,DB!$1:$1,0)),FALSE),"")</f>
        <v/>
      </c>
      <c r="RLC19" s="28" t="str">
        <f>IFERROR(VLOOKUP(DATE($K$1,$K$2,RLC$4),Table1[],(MATCH(Calendar!$A19,DB!$1:$1,0)),FALSE),"")</f>
        <v/>
      </c>
      <c r="RLD19" s="28" t="str">
        <f>IFERROR(VLOOKUP(DATE($K$1,$K$2,RLD$4),Table1[],(MATCH(Calendar!$A19,DB!$1:$1,0)),FALSE),"")</f>
        <v/>
      </c>
      <c r="RLE19" s="28" t="str">
        <f>IFERROR(VLOOKUP(DATE($K$1,$K$2,RLE$4),Table1[],(MATCH(Calendar!$A19,DB!$1:$1,0)),FALSE),"")</f>
        <v/>
      </c>
      <c r="RLF19" s="28" t="str">
        <f>IFERROR(VLOOKUP(DATE($K$1,$K$2,RLF$4),Table1[],(MATCH(Calendar!$A19,DB!$1:$1,0)),FALSE),"")</f>
        <v/>
      </c>
      <c r="RLG19" s="28" t="str">
        <f>IFERROR(VLOOKUP(DATE($K$1,$K$2,RLG$4),Table1[],(MATCH(Calendar!$A19,DB!$1:$1,0)),FALSE),"")</f>
        <v/>
      </c>
      <c r="RLH19" s="28" t="str">
        <f>IFERROR(VLOOKUP(DATE($K$1,$K$2,RLH$4),Table1[],(MATCH(Calendar!$A19,DB!$1:$1,0)),FALSE),"")</f>
        <v/>
      </c>
      <c r="RLI19" s="28" t="str">
        <f>IFERROR(VLOOKUP(DATE($K$1,$K$2,RLI$4),Table1[],(MATCH(Calendar!$A19,DB!$1:$1,0)),FALSE),"")</f>
        <v/>
      </c>
      <c r="RLJ19" s="28" t="str">
        <f>IFERROR(VLOOKUP(DATE($K$1,$K$2,RLJ$4),Table1[],(MATCH(Calendar!$A19,DB!$1:$1,0)),FALSE),"")</f>
        <v/>
      </c>
      <c r="RLK19" s="28" t="str">
        <f>IFERROR(VLOOKUP(DATE($K$1,$K$2,RLK$4),Table1[],(MATCH(Calendar!$A19,DB!$1:$1,0)),FALSE),"")</f>
        <v/>
      </c>
      <c r="RLL19" s="28" t="str">
        <f>IFERROR(VLOOKUP(DATE($K$1,$K$2,RLL$4),Table1[],(MATCH(Calendar!$A19,DB!$1:$1,0)),FALSE),"")</f>
        <v/>
      </c>
      <c r="RLM19" s="28" t="str">
        <f>IFERROR(VLOOKUP(DATE($K$1,$K$2,RLM$4),Table1[],(MATCH(Calendar!$A19,DB!$1:$1,0)),FALSE),"")</f>
        <v/>
      </c>
      <c r="RLN19" s="28" t="str">
        <f>IFERROR(VLOOKUP(DATE($K$1,$K$2,RLN$4),Table1[],(MATCH(Calendar!$A19,DB!$1:$1,0)),FALSE),"")</f>
        <v/>
      </c>
      <c r="RLO19" s="28" t="str">
        <f>IFERROR(VLOOKUP(DATE($K$1,$K$2,RLO$4),Table1[],(MATCH(Calendar!$A19,DB!$1:$1,0)),FALSE),"")</f>
        <v/>
      </c>
      <c r="RLP19" s="28" t="str">
        <f>IFERROR(VLOOKUP(DATE($K$1,$K$2,RLP$4),Table1[],(MATCH(Calendar!$A19,DB!$1:$1,0)),FALSE),"")</f>
        <v/>
      </c>
      <c r="RLQ19" s="28" t="str">
        <f>IFERROR(VLOOKUP(DATE($K$1,$K$2,RLQ$4),Table1[],(MATCH(Calendar!$A19,DB!$1:$1,0)),FALSE),"")</f>
        <v/>
      </c>
      <c r="RLR19" s="28" t="str">
        <f>IFERROR(VLOOKUP(DATE($K$1,$K$2,RLR$4),Table1[],(MATCH(Calendar!$A19,DB!$1:$1,0)),FALSE),"")</f>
        <v/>
      </c>
      <c r="RLS19" s="28" t="str">
        <f>IFERROR(VLOOKUP(DATE($K$1,$K$2,RLS$4),Table1[],(MATCH(Calendar!$A19,DB!$1:$1,0)),FALSE),"")</f>
        <v/>
      </c>
      <c r="RLT19" s="28" t="str">
        <f>IFERROR(VLOOKUP(DATE($K$1,$K$2,RLT$4),Table1[],(MATCH(Calendar!$A19,DB!$1:$1,0)),FALSE),"")</f>
        <v/>
      </c>
      <c r="RLU19" s="28" t="str">
        <f>IFERROR(VLOOKUP(DATE($K$1,$K$2,RLU$4),Table1[],(MATCH(Calendar!$A19,DB!$1:$1,0)),FALSE),"")</f>
        <v/>
      </c>
      <c r="RLV19" s="28" t="str">
        <f>IFERROR(VLOOKUP(DATE($K$1,$K$2,RLV$4),Table1[],(MATCH(Calendar!$A19,DB!$1:$1,0)),FALSE),"")</f>
        <v/>
      </c>
      <c r="RLW19" s="28" t="str">
        <f>IFERROR(VLOOKUP(DATE($K$1,$K$2,RLW$4),Table1[],(MATCH(Calendar!$A19,DB!$1:$1,0)),FALSE),"")</f>
        <v/>
      </c>
      <c r="RLX19" s="28" t="str">
        <f>IFERROR(VLOOKUP(DATE($K$1,$K$2,RLX$4),Table1[],(MATCH(Calendar!$A19,DB!$1:$1,0)),FALSE),"")</f>
        <v/>
      </c>
      <c r="RLY19" s="28" t="str">
        <f>IFERROR(VLOOKUP(DATE($K$1,$K$2,RLY$4),Table1[],(MATCH(Calendar!$A19,DB!$1:$1,0)),FALSE),"")</f>
        <v/>
      </c>
      <c r="RLZ19" s="28" t="str">
        <f>IFERROR(VLOOKUP(DATE($K$1,$K$2,RLZ$4),Table1[],(MATCH(Calendar!$A19,DB!$1:$1,0)),FALSE),"")</f>
        <v/>
      </c>
      <c r="RMA19" s="28" t="str">
        <f>IFERROR(VLOOKUP(DATE($K$1,$K$2,RMA$4),Table1[],(MATCH(Calendar!$A19,DB!$1:$1,0)),FALSE),"")</f>
        <v/>
      </c>
      <c r="RMB19" s="28" t="str">
        <f>IFERROR(VLOOKUP(DATE($K$1,$K$2,RMB$4),Table1[],(MATCH(Calendar!$A19,DB!$1:$1,0)),FALSE),"")</f>
        <v/>
      </c>
      <c r="RMC19" s="28" t="str">
        <f>IFERROR(VLOOKUP(DATE($K$1,$K$2,RMC$4),Table1[],(MATCH(Calendar!$A19,DB!$1:$1,0)),FALSE),"")</f>
        <v/>
      </c>
      <c r="RMD19" s="28" t="str">
        <f>IFERROR(VLOOKUP(DATE($K$1,$K$2,RMD$4),Table1[],(MATCH(Calendar!$A19,DB!$1:$1,0)),FALSE),"")</f>
        <v/>
      </c>
      <c r="RME19" s="28" t="str">
        <f>IFERROR(VLOOKUP(DATE($K$1,$K$2,RME$4),Table1[],(MATCH(Calendar!$A19,DB!$1:$1,0)),FALSE),"")</f>
        <v/>
      </c>
      <c r="RMF19" s="28" t="str">
        <f>IFERROR(VLOOKUP(DATE($K$1,$K$2,RMF$4),Table1[],(MATCH(Calendar!$A19,DB!$1:$1,0)),FALSE),"")</f>
        <v/>
      </c>
      <c r="RMG19" s="28" t="str">
        <f>IFERROR(VLOOKUP(DATE($K$1,$K$2,RMG$4),Table1[],(MATCH(Calendar!$A19,DB!$1:$1,0)),FALSE),"")</f>
        <v/>
      </c>
      <c r="RMH19" s="28" t="str">
        <f>IFERROR(VLOOKUP(DATE($K$1,$K$2,RMH$4),Table1[],(MATCH(Calendar!$A19,DB!$1:$1,0)),FALSE),"")</f>
        <v/>
      </c>
      <c r="RMI19" s="28" t="str">
        <f>IFERROR(VLOOKUP(DATE($K$1,$K$2,RMI$4),Table1[],(MATCH(Calendar!$A19,DB!$1:$1,0)),FALSE),"")</f>
        <v/>
      </c>
      <c r="RMJ19" s="28" t="str">
        <f>IFERROR(VLOOKUP(DATE($K$1,$K$2,RMJ$4),Table1[],(MATCH(Calendar!$A19,DB!$1:$1,0)),FALSE),"")</f>
        <v/>
      </c>
      <c r="RMK19" s="28" t="str">
        <f>IFERROR(VLOOKUP(DATE($K$1,$K$2,RMK$4),Table1[],(MATCH(Calendar!$A19,DB!$1:$1,0)),FALSE),"")</f>
        <v/>
      </c>
      <c r="RML19" s="28" t="str">
        <f>IFERROR(VLOOKUP(DATE($K$1,$K$2,RML$4),Table1[],(MATCH(Calendar!$A19,DB!$1:$1,0)),FALSE),"")</f>
        <v/>
      </c>
      <c r="RMM19" s="28" t="str">
        <f>IFERROR(VLOOKUP(DATE($K$1,$K$2,RMM$4),Table1[],(MATCH(Calendar!$A19,DB!$1:$1,0)),FALSE),"")</f>
        <v/>
      </c>
      <c r="RMN19" s="28" t="str">
        <f>IFERROR(VLOOKUP(DATE($K$1,$K$2,RMN$4),Table1[],(MATCH(Calendar!$A19,DB!$1:$1,0)),FALSE),"")</f>
        <v/>
      </c>
      <c r="RMO19" s="28" t="str">
        <f>IFERROR(VLOOKUP(DATE($K$1,$K$2,RMO$4),Table1[],(MATCH(Calendar!$A19,DB!$1:$1,0)),FALSE),"")</f>
        <v/>
      </c>
      <c r="RMP19" s="28" t="str">
        <f>IFERROR(VLOOKUP(DATE($K$1,$K$2,RMP$4),Table1[],(MATCH(Calendar!$A19,DB!$1:$1,0)),FALSE),"")</f>
        <v/>
      </c>
      <c r="RMQ19" s="28" t="str">
        <f>IFERROR(VLOOKUP(DATE($K$1,$K$2,RMQ$4),Table1[],(MATCH(Calendar!$A19,DB!$1:$1,0)),FALSE),"")</f>
        <v/>
      </c>
      <c r="RMR19" s="28" t="str">
        <f>IFERROR(VLOOKUP(DATE($K$1,$K$2,RMR$4),Table1[],(MATCH(Calendar!$A19,DB!$1:$1,0)),FALSE),"")</f>
        <v/>
      </c>
      <c r="RMS19" s="28" t="str">
        <f>IFERROR(VLOOKUP(DATE($K$1,$K$2,RMS$4),Table1[],(MATCH(Calendar!$A19,DB!$1:$1,0)),FALSE),"")</f>
        <v/>
      </c>
      <c r="RMT19" s="28" t="str">
        <f>IFERROR(VLOOKUP(DATE($K$1,$K$2,RMT$4),Table1[],(MATCH(Calendar!$A19,DB!$1:$1,0)),FALSE),"")</f>
        <v/>
      </c>
      <c r="RMU19" s="28" t="str">
        <f>IFERROR(VLOOKUP(DATE($K$1,$K$2,RMU$4),Table1[],(MATCH(Calendar!$A19,DB!$1:$1,0)),FALSE),"")</f>
        <v/>
      </c>
      <c r="RMV19" s="28" t="str">
        <f>IFERROR(VLOOKUP(DATE($K$1,$K$2,RMV$4),Table1[],(MATCH(Calendar!$A19,DB!$1:$1,0)),FALSE),"")</f>
        <v/>
      </c>
      <c r="RMW19" s="28" t="str">
        <f>IFERROR(VLOOKUP(DATE($K$1,$K$2,RMW$4),Table1[],(MATCH(Calendar!$A19,DB!$1:$1,0)),FALSE),"")</f>
        <v/>
      </c>
      <c r="RMX19" s="28" t="str">
        <f>IFERROR(VLOOKUP(DATE($K$1,$K$2,RMX$4),Table1[],(MATCH(Calendar!$A19,DB!$1:$1,0)),FALSE),"")</f>
        <v/>
      </c>
      <c r="RMY19" s="28" t="str">
        <f>IFERROR(VLOOKUP(DATE($K$1,$K$2,RMY$4),Table1[],(MATCH(Calendar!$A19,DB!$1:$1,0)),FALSE),"")</f>
        <v/>
      </c>
      <c r="RMZ19" s="28" t="str">
        <f>IFERROR(VLOOKUP(DATE($K$1,$K$2,RMZ$4),Table1[],(MATCH(Calendar!$A19,DB!$1:$1,0)),FALSE),"")</f>
        <v/>
      </c>
      <c r="RNA19" s="28" t="str">
        <f>IFERROR(VLOOKUP(DATE($K$1,$K$2,RNA$4),Table1[],(MATCH(Calendar!$A19,DB!$1:$1,0)),FALSE),"")</f>
        <v/>
      </c>
      <c r="RNB19" s="28" t="str">
        <f>IFERROR(VLOOKUP(DATE($K$1,$K$2,RNB$4),Table1[],(MATCH(Calendar!$A19,DB!$1:$1,0)),FALSE),"")</f>
        <v/>
      </c>
      <c r="RNC19" s="28" t="str">
        <f>IFERROR(VLOOKUP(DATE($K$1,$K$2,RNC$4),Table1[],(MATCH(Calendar!$A19,DB!$1:$1,0)),FALSE),"")</f>
        <v/>
      </c>
      <c r="RND19" s="28" t="str">
        <f>IFERROR(VLOOKUP(DATE($K$1,$K$2,RND$4),Table1[],(MATCH(Calendar!$A19,DB!$1:$1,0)),FALSE),"")</f>
        <v/>
      </c>
      <c r="RNE19" s="28" t="str">
        <f>IFERROR(VLOOKUP(DATE($K$1,$K$2,RNE$4),Table1[],(MATCH(Calendar!$A19,DB!$1:$1,0)),FALSE),"")</f>
        <v/>
      </c>
      <c r="RNF19" s="28" t="str">
        <f>IFERROR(VLOOKUP(DATE($K$1,$K$2,RNF$4),Table1[],(MATCH(Calendar!$A19,DB!$1:$1,0)),FALSE),"")</f>
        <v/>
      </c>
      <c r="RNG19" s="28" t="str">
        <f>IFERROR(VLOOKUP(DATE($K$1,$K$2,RNG$4),Table1[],(MATCH(Calendar!$A19,DB!$1:$1,0)),FALSE),"")</f>
        <v/>
      </c>
      <c r="RNH19" s="28" t="str">
        <f>IFERROR(VLOOKUP(DATE($K$1,$K$2,RNH$4),Table1[],(MATCH(Calendar!$A19,DB!$1:$1,0)),FALSE),"")</f>
        <v/>
      </c>
      <c r="RNI19" s="28" t="str">
        <f>IFERROR(VLOOKUP(DATE($K$1,$K$2,RNI$4),Table1[],(MATCH(Calendar!$A19,DB!$1:$1,0)),FALSE),"")</f>
        <v/>
      </c>
      <c r="RNJ19" s="28" t="str">
        <f>IFERROR(VLOOKUP(DATE($K$1,$K$2,RNJ$4),Table1[],(MATCH(Calendar!$A19,DB!$1:$1,0)),FALSE),"")</f>
        <v/>
      </c>
      <c r="RNK19" s="28" t="str">
        <f>IFERROR(VLOOKUP(DATE($K$1,$K$2,RNK$4),Table1[],(MATCH(Calendar!$A19,DB!$1:$1,0)),FALSE),"")</f>
        <v/>
      </c>
      <c r="RNL19" s="28" t="str">
        <f>IFERROR(VLOOKUP(DATE($K$1,$K$2,RNL$4),Table1[],(MATCH(Calendar!$A19,DB!$1:$1,0)),FALSE),"")</f>
        <v/>
      </c>
      <c r="RNM19" s="28" t="str">
        <f>IFERROR(VLOOKUP(DATE($K$1,$K$2,RNM$4),Table1[],(MATCH(Calendar!$A19,DB!$1:$1,0)),FALSE),"")</f>
        <v/>
      </c>
      <c r="RNN19" s="28" t="str">
        <f>IFERROR(VLOOKUP(DATE($K$1,$K$2,RNN$4),Table1[],(MATCH(Calendar!$A19,DB!$1:$1,0)),FALSE),"")</f>
        <v/>
      </c>
      <c r="RNO19" s="28" t="str">
        <f>IFERROR(VLOOKUP(DATE($K$1,$K$2,RNO$4),Table1[],(MATCH(Calendar!$A19,DB!$1:$1,0)),FALSE),"")</f>
        <v/>
      </c>
      <c r="RNP19" s="28" t="str">
        <f>IFERROR(VLOOKUP(DATE($K$1,$K$2,RNP$4),Table1[],(MATCH(Calendar!$A19,DB!$1:$1,0)),FALSE),"")</f>
        <v/>
      </c>
      <c r="RNQ19" s="28" t="str">
        <f>IFERROR(VLOOKUP(DATE($K$1,$K$2,RNQ$4),Table1[],(MATCH(Calendar!$A19,DB!$1:$1,0)),FALSE),"")</f>
        <v/>
      </c>
      <c r="RNR19" s="28" t="str">
        <f>IFERROR(VLOOKUP(DATE($K$1,$K$2,RNR$4),Table1[],(MATCH(Calendar!$A19,DB!$1:$1,0)),FALSE),"")</f>
        <v/>
      </c>
      <c r="RNS19" s="28" t="str">
        <f>IFERROR(VLOOKUP(DATE($K$1,$K$2,RNS$4),Table1[],(MATCH(Calendar!$A19,DB!$1:$1,0)),FALSE),"")</f>
        <v/>
      </c>
      <c r="RNT19" s="28" t="str">
        <f>IFERROR(VLOOKUP(DATE($K$1,$K$2,RNT$4),Table1[],(MATCH(Calendar!$A19,DB!$1:$1,0)),FALSE),"")</f>
        <v/>
      </c>
      <c r="RNU19" s="28" t="str">
        <f>IFERROR(VLOOKUP(DATE($K$1,$K$2,RNU$4),Table1[],(MATCH(Calendar!$A19,DB!$1:$1,0)),FALSE),"")</f>
        <v/>
      </c>
      <c r="RNV19" s="28" t="str">
        <f>IFERROR(VLOOKUP(DATE($K$1,$K$2,RNV$4),Table1[],(MATCH(Calendar!$A19,DB!$1:$1,0)),FALSE),"")</f>
        <v/>
      </c>
      <c r="RNW19" s="28" t="str">
        <f>IFERROR(VLOOKUP(DATE($K$1,$K$2,RNW$4),Table1[],(MATCH(Calendar!$A19,DB!$1:$1,0)),FALSE),"")</f>
        <v/>
      </c>
      <c r="RNX19" s="28" t="str">
        <f>IFERROR(VLOOKUP(DATE($K$1,$K$2,RNX$4),Table1[],(MATCH(Calendar!$A19,DB!$1:$1,0)),FALSE),"")</f>
        <v/>
      </c>
      <c r="RNY19" s="28" t="str">
        <f>IFERROR(VLOOKUP(DATE($K$1,$K$2,RNY$4),Table1[],(MATCH(Calendar!$A19,DB!$1:$1,0)),FALSE),"")</f>
        <v/>
      </c>
      <c r="RNZ19" s="28" t="str">
        <f>IFERROR(VLOOKUP(DATE($K$1,$K$2,RNZ$4),Table1[],(MATCH(Calendar!$A19,DB!$1:$1,0)),FALSE),"")</f>
        <v/>
      </c>
      <c r="ROA19" s="28" t="str">
        <f>IFERROR(VLOOKUP(DATE($K$1,$K$2,ROA$4),Table1[],(MATCH(Calendar!$A19,DB!$1:$1,0)),FALSE),"")</f>
        <v/>
      </c>
      <c r="ROB19" s="28" t="str">
        <f>IFERROR(VLOOKUP(DATE($K$1,$K$2,ROB$4),Table1[],(MATCH(Calendar!$A19,DB!$1:$1,0)),FALSE),"")</f>
        <v/>
      </c>
      <c r="ROC19" s="28" t="str">
        <f>IFERROR(VLOOKUP(DATE($K$1,$K$2,ROC$4),Table1[],(MATCH(Calendar!$A19,DB!$1:$1,0)),FALSE),"")</f>
        <v/>
      </c>
      <c r="ROD19" s="28" t="str">
        <f>IFERROR(VLOOKUP(DATE($K$1,$K$2,ROD$4),Table1[],(MATCH(Calendar!$A19,DB!$1:$1,0)),FALSE),"")</f>
        <v/>
      </c>
      <c r="ROE19" s="28" t="str">
        <f>IFERROR(VLOOKUP(DATE($K$1,$K$2,ROE$4),Table1[],(MATCH(Calendar!$A19,DB!$1:$1,0)),FALSE),"")</f>
        <v/>
      </c>
      <c r="ROF19" s="28" t="str">
        <f>IFERROR(VLOOKUP(DATE($K$1,$K$2,ROF$4),Table1[],(MATCH(Calendar!$A19,DB!$1:$1,0)),FALSE),"")</f>
        <v/>
      </c>
      <c r="ROG19" s="28" t="str">
        <f>IFERROR(VLOOKUP(DATE($K$1,$K$2,ROG$4),Table1[],(MATCH(Calendar!$A19,DB!$1:$1,0)),FALSE),"")</f>
        <v/>
      </c>
      <c r="ROH19" s="28" t="str">
        <f>IFERROR(VLOOKUP(DATE($K$1,$K$2,ROH$4),Table1[],(MATCH(Calendar!$A19,DB!$1:$1,0)),FALSE),"")</f>
        <v/>
      </c>
      <c r="ROI19" s="28" t="str">
        <f>IFERROR(VLOOKUP(DATE($K$1,$K$2,ROI$4),Table1[],(MATCH(Calendar!$A19,DB!$1:$1,0)),FALSE),"")</f>
        <v/>
      </c>
      <c r="ROJ19" s="28" t="str">
        <f>IFERROR(VLOOKUP(DATE($K$1,$K$2,ROJ$4),Table1[],(MATCH(Calendar!$A19,DB!$1:$1,0)),FALSE),"")</f>
        <v/>
      </c>
      <c r="ROK19" s="28" t="str">
        <f>IFERROR(VLOOKUP(DATE($K$1,$K$2,ROK$4),Table1[],(MATCH(Calendar!$A19,DB!$1:$1,0)),FALSE),"")</f>
        <v/>
      </c>
      <c r="ROL19" s="28" t="str">
        <f>IFERROR(VLOOKUP(DATE($K$1,$K$2,ROL$4),Table1[],(MATCH(Calendar!$A19,DB!$1:$1,0)),FALSE),"")</f>
        <v/>
      </c>
      <c r="ROM19" s="28" t="str">
        <f>IFERROR(VLOOKUP(DATE($K$1,$K$2,ROM$4),Table1[],(MATCH(Calendar!$A19,DB!$1:$1,0)),FALSE),"")</f>
        <v/>
      </c>
      <c r="RON19" s="28" t="str">
        <f>IFERROR(VLOOKUP(DATE($K$1,$K$2,RON$4),Table1[],(MATCH(Calendar!$A19,DB!$1:$1,0)),FALSE),"")</f>
        <v/>
      </c>
      <c r="ROO19" s="28" t="str">
        <f>IFERROR(VLOOKUP(DATE($K$1,$K$2,ROO$4),Table1[],(MATCH(Calendar!$A19,DB!$1:$1,0)),FALSE),"")</f>
        <v/>
      </c>
      <c r="ROP19" s="28" t="str">
        <f>IFERROR(VLOOKUP(DATE($K$1,$K$2,ROP$4),Table1[],(MATCH(Calendar!$A19,DB!$1:$1,0)),FALSE),"")</f>
        <v/>
      </c>
      <c r="ROQ19" s="28" t="str">
        <f>IFERROR(VLOOKUP(DATE($K$1,$K$2,ROQ$4),Table1[],(MATCH(Calendar!$A19,DB!$1:$1,0)),FALSE),"")</f>
        <v/>
      </c>
      <c r="ROR19" s="28" t="str">
        <f>IFERROR(VLOOKUP(DATE($K$1,$K$2,ROR$4),Table1[],(MATCH(Calendar!$A19,DB!$1:$1,0)),FALSE),"")</f>
        <v/>
      </c>
      <c r="ROS19" s="28" t="str">
        <f>IFERROR(VLOOKUP(DATE($K$1,$K$2,ROS$4),Table1[],(MATCH(Calendar!$A19,DB!$1:$1,0)),FALSE),"")</f>
        <v/>
      </c>
      <c r="ROT19" s="28" t="str">
        <f>IFERROR(VLOOKUP(DATE($K$1,$K$2,ROT$4),Table1[],(MATCH(Calendar!$A19,DB!$1:$1,0)),FALSE),"")</f>
        <v/>
      </c>
      <c r="ROU19" s="28" t="str">
        <f>IFERROR(VLOOKUP(DATE($K$1,$K$2,ROU$4),Table1[],(MATCH(Calendar!$A19,DB!$1:$1,0)),FALSE),"")</f>
        <v/>
      </c>
      <c r="ROV19" s="28" t="str">
        <f>IFERROR(VLOOKUP(DATE($K$1,$K$2,ROV$4),Table1[],(MATCH(Calendar!$A19,DB!$1:$1,0)),FALSE),"")</f>
        <v/>
      </c>
      <c r="ROW19" s="28" t="str">
        <f>IFERROR(VLOOKUP(DATE($K$1,$K$2,ROW$4),Table1[],(MATCH(Calendar!$A19,DB!$1:$1,0)),FALSE),"")</f>
        <v/>
      </c>
      <c r="ROX19" s="28" t="str">
        <f>IFERROR(VLOOKUP(DATE($K$1,$K$2,ROX$4),Table1[],(MATCH(Calendar!$A19,DB!$1:$1,0)),FALSE),"")</f>
        <v/>
      </c>
      <c r="ROY19" s="28" t="str">
        <f>IFERROR(VLOOKUP(DATE($K$1,$K$2,ROY$4),Table1[],(MATCH(Calendar!$A19,DB!$1:$1,0)),FALSE),"")</f>
        <v/>
      </c>
      <c r="ROZ19" s="28" t="str">
        <f>IFERROR(VLOOKUP(DATE($K$1,$K$2,ROZ$4),Table1[],(MATCH(Calendar!$A19,DB!$1:$1,0)),FALSE),"")</f>
        <v/>
      </c>
      <c r="RPA19" s="28" t="str">
        <f>IFERROR(VLOOKUP(DATE($K$1,$K$2,RPA$4),Table1[],(MATCH(Calendar!$A19,DB!$1:$1,0)),FALSE),"")</f>
        <v/>
      </c>
      <c r="RPB19" s="28" t="str">
        <f>IFERROR(VLOOKUP(DATE($K$1,$K$2,RPB$4),Table1[],(MATCH(Calendar!$A19,DB!$1:$1,0)),FALSE),"")</f>
        <v/>
      </c>
      <c r="RPC19" s="28" t="str">
        <f>IFERROR(VLOOKUP(DATE($K$1,$K$2,RPC$4),Table1[],(MATCH(Calendar!$A19,DB!$1:$1,0)),FALSE),"")</f>
        <v/>
      </c>
      <c r="RPD19" s="28" t="str">
        <f>IFERROR(VLOOKUP(DATE($K$1,$K$2,RPD$4),Table1[],(MATCH(Calendar!$A19,DB!$1:$1,0)),FALSE),"")</f>
        <v/>
      </c>
      <c r="RPE19" s="28" t="str">
        <f>IFERROR(VLOOKUP(DATE($K$1,$K$2,RPE$4),Table1[],(MATCH(Calendar!$A19,DB!$1:$1,0)),FALSE),"")</f>
        <v/>
      </c>
      <c r="RPF19" s="28" t="str">
        <f>IFERROR(VLOOKUP(DATE($K$1,$K$2,RPF$4),Table1[],(MATCH(Calendar!$A19,DB!$1:$1,0)),FALSE),"")</f>
        <v/>
      </c>
      <c r="RPG19" s="28" t="str">
        <f>IFERROR(VLOOKUP(DATE($K$1,$K$2,RPG$4),Table1[],(MATCH(Calendar!$A19,DB!$1:$1,0)),FALSE),"")</f>
        <v/>
      </c>
      <c r="RPH19" s="28" t="str">
        <f>IFERROR(VLOOKUP(DATE($K$1,$K$2,RPH$4),Table1[],(MATCH(Calendar!$A19,DB!$1:$1,0)),FALSE),"")</f>
        <v/>
      </c>
      <c r="RPI19" s="28" t="str">
        <f>IFERROR(VLOOKUP(DATE($K$1,$K$2,RPI$4),Table1[],(MATCH(Calendar!$A19,DB!$1:$1,0)),FALSE),"")</f>
        <v/>
      </c>
      <c r="RPJ19" s="28" t="str">
        <f>IFERROR(VLOOKUP(DATE($K$1,$K$2,RPJ$4),Table1[],(MATCH(Calendar!$A19,DB!$1:$1,0)),FALSE),"")</f>
        <v/>
      </c>
      <c r="RPK19" s="28" t="str">
        <f>IFERROR(VLOOKUP(DATE($K$1,$K$2,RPK$4),Table1[],(MATCH(Calendar!$A19,DB!$1:$1,0)),FALSE),"")</f>
        <v/>
      </c>
      <c r="RPL19" s="28" t="str">
        <f>IFERROR(VLOOKUP(DATE($K$1,$K$2,RPL$4),Table1[],(MATCH(Calendar!$A19,DB!$1:$1,0)),FALSE),"")</f>
        <v/>
      </c>
      <c r="RPM19" s="28" t="str">
        <f>IFERROR(VLOOKUP(DATE($K$1,$K$2,RPM$4),Table1[],(MATCH(Calendar!$A19,DB!$1:$1,0)),FALSE),"")</f>
        <v/>
      </c>
      <c r="RPN19" s="28" t="str">
        <f>IFERROR(VLOOKUP(DATE($K$1,$K$2,RPN$4),Table1[],(MATCH(Calendar!$A19,DB!$1:$1,0)),FALSE),"")</f>
        <v/>
      </c>
      <c r="RPO19" s="28" t="str">
        <f>IFERROR(VLOOKUP(DATE($K$1,$K$2,RPO$4),Table1[],(MATCH(Calendar!$A19,DB!$1:$1,0)),FALSE),"")</f>
        <v/>
      </c>
      <c r="RPP19" s="28" t="str">
        <f>IFERROR(VLOOKUP(DATE($K$1,$K$2,RPP$4),Table1[],(MATCH(Calendar!$A19,DB!$1:$1,0)),FALSE),"")</f>
        <v/>
      </c>
      <c r="RPQ19" s="28" t="str">
        <f>IFERROR(VLOOKUP(DATE($K$1,$K$2,RPQ$4),Table1[],(MATCH(Calendar!$A19,DB!$1:$1,0)),FALSE),"")</f>
        <v/>
      </c>
      <c r="RPR19" s="28" t="str">
        <f>IFERROR(VLOOKUP(DATE($K$1,$K$2,RPR$4),Table1[],(MATCH(Calendar!$A19,DB!$1:$1,0)),FALSE),"")</f>
        <v/>
      </c>
      <c r="RPS19" s="28" t="str">
        <f>IFERROR(VLOOKUP(DATE($K$1,$K$2,RPS$4),Table1[],(MATCH(Calendar!$A19,DB!$1:$1,0)),FALSE),"")</f>
        <v/>
      </c>
      <c r="RPT19" s="28" t="str">
        <f>IFERROR(VLOOKUP(DATE($K$1,$K$2,RPT$4),Table1[],(MATCH(Calendar!$A19,DB!$1:$1,0)),FALSE),"")</f>
        <v/>
      </c>
      <c r="RPU19" s="28" t="str">
        <f>IFERROR(VLOOKUP(DATE($K$1,$K$2,RPU$4),Table1[],(MATCH(Calendar!$A19,DB!$1:$1,0)),FALSE),"")</f>
        <v/>
      </c>
      <c r="RPV19" s="28" t="str">
        <f>IFERROR(VLOOKUP(DATE($K$1,$K$2,RPV$4),Table1[],(MATCH(Calendar!$A19,DB!$1:$1,0)),FALSE),"")</f>
        <v/>
      </c>
      <c r="RPW19" s="28" t="str">
        <f>IFERROR(VLOOKUP(DATE($K$1,$K$2,RPW$4),Table1[],(MATCH(Calendar!$A19,DB!$1:$1,0)),FALSE),"")</f>
        <v/>
      </c>
      <c r="RPX19" s="28" t="str">
        <f>IFERROR(VLOOKUP(DATE($K$1,$K$2,RPX$4),Table1[],(MATCH(Calendar!$A19,DB!$1:$1,0)),FALSE),"")</f>
        <v/>
      </c>
      <c r="RPY19" s="28" t="str">
        <f>IFERROR(VLOOKUP(DATE($K$1,$K$2,RPY$4),Table1[],(MATCH(Calendar!$A19,DB!$1:$1,0)),FALSE),"")</f>
        <v/>
      </c>
      <c r="RPZ19" s="28" t="str">
        <f>IFERROR(VLOOKUP(DATE($K$1,$K$2,RPZ$4),Table1[],(MATCH(Calendar!$A19,DB!$1:$1,0)),FALSE),"")</f>
        <v/>
      </c>
      <c r="RQA19" s="28" t="str">
        <f>IFERROR(VLOOKUP(DATE($K$1,$K$2,RQA$4),Table1[],(MATCH(Calendar!$A19,DB!$1:$1,0)),FALSE),"")</f>
        <v/>
      </c>
      <c r="RQB19" s="28" t="str">
        <f>IFERROR(VLOOKUP(DATE($K$1,$K$2,RQB$4),Table1[],(MATCH(Calendar!$A19,DB!$1:$1,0)),FALSE),"")</f>
        <v/>
      </c>
      <c r="RQC19" s="28" t="str">
        <f>IFERROR(VLOOKUP(DATE($K$1,$K$2,RQC$4),Table1[],(MATCH(Calendar!$A19,DB!$1:$1,0)),FALSE),"")</f>
        <v/>
      </c>
      <c r="RQD19" s="28" t="str">
        <f>IFERROR(VLOOKUP(DATE($K$1,$K$2,RQD$4),Table1[],(MATCH(Calendar!$A19,DB!$1:$1,0)),FALSE),"")</f>
        <v/>
      </c>
      <c r="RQE19" s="28" t="str">
        <f>IFERROR(VLOOKUP(DATE($K$1,$K$2,RQE$4),Table1[],(MATCH(Calendar!$A19,DB!$1:$1,0)),FALSE),"")</f>
        <v/>
      </c>
      <c r="RQF19" s="28" t="str">
        <f>IFERROR(VLOOKUP(DATE($K$1,$K$2,RQF$4),Table1[],(MATCH(Calendar!$A19,DB!$1:$1,0)),FALSE),"")</f>
        <v/>
      </c>
      <c r="RQG19" s="28" t="str">
        <f>IFERROR(VLOOKUP(DATE($K$1,$K$2,RQG$4),Table1[],(MATCH(Calendar!$A19,DB!$1:$1,0)),FALSE),"")</f>
        <v/>
      </c>
      <c r="RQH19" s="28" t="str">
        <f>IFERROR(VLOOKUP(DATE($K$1,$K$2,RQH$4),Table1[],(MATCH(Calendar!$A19,DB!$1:$1,0)),FALSE),"")</f>
        <v/>
      </c>
      <c r="RQI19" s="28" t="str">
        <f>IFERROR(VLOOKUP(DATE($K$1,$K$2,RQI$4),Table1[],(MATCH(Calendar!$A19,DB!$1:$1,0)),FALSE),"")</f>
        <v/>
      </c>
      <c r="RQJ19" s="28" t="str">
        <f>IFERROR(VLOOKUP(DATE($K$1,$K$2,RQJ$4),Table1[],(MATCH(Calendar!$A19,DB!$1:$1,0)),FALSE),"")</f>
        <v/>
      </c>
      <c r="RQK19" s="28" t="str">
        <f>IFERROR(VLOOKUP(DATE($K$1,$K$2,RQK$4),Table1[],(MATCH(Calendar!$A19,DB!$1:$1,0)),FALSE),"")</f>
        <v/>
      </c>
      <c r="RQL19" s="28" t="str">
        <f>IFERROR(VLOOKUP(DATE($K$1,$K$2,RQL$4),Table1[],(MATCH(Calendar!$A19,DB!$1:$1,0)),FALSE),"")</f>
        <v/>
      </c>
      <c r="RQM19" s="28" t="str">
        <f>IFERROR(VLOOKUP(DATE($K$1,$K$2,RQM$4),Table1[],(MATCH(Calendar!$A19,DB!$1:$1,0)),FALSE),"")</f>
        <v/>
      </c>
      <c r="RQN19" s="28" t="str">
        <f>IFERROR(VLOOKUP(DATE($K$1,$K$2,RQN$4),Table1[],(MATCH(Calendar!$A19,DB!$1:$1,0)),FALSE),"")</f>
        <v/>
      </c>
      <c r="RQO19" s="28" t="str">
        <f>IFERROR(VLOOKUP(DATE($K$1,$K$2,RQO$4),Table1[],(MATCH(Calendar!$A19,DB!$1:$1,0)),FALSE),"")</f>
        <v/>
      </c>
      <c r="RQP19" s="28" t="str">
        <f>IFERROR(VLOOKUP(DATE($K$1,$K$2,RQP$4),Table1[],(MATCH(Calendar!$A19,DB!$1:$1,0)),FALSE),"")</f>
        <v/>
      </c>
      <c r="RQQ19" s="28" t="str">
        <f>IFERROR(VLOOKUP(DATE($K$1,$K$2,RQQ$4),Table1[],(MATCH(Calendar!$A19,DB!$1:$1,0)),FALSE),"")</f>
        <v/>
      </c>
      <c r="RQR19" s="28" t="str">
        <f>IFERROR(VLOOKUP(DATE($K$1,$K$2,RQR$4),Table1[],(MATCH(Calendar!$A19,DB!$1:$1,0)),FALSE),"")</f>
        <v/>
      </c>
      <c r="RQS19" s="28" t="str">
        <f>IFERROR(VLOOKUP(DATE($K$1,$K$2,RQS$4),Table1[],(MATCH(Calendar!$A19,DB!$1:$1,0)),FALSE),"")</f>
        <v/>
      </c>
      <c r="RQT19" s="28" t="str">
        <f>IFERROR(VLOOKUP(DATE($K$1,$K$2,RQT$4),Table1[],(MATCH(Calendar!$A19,DB!$1:$1,0)),FALSE),"")</f>
        <v/>
      </c>
      <c r="RQU19" s="28" t="str">
        <f>IFERROR(VLOOKUP(DATE($K$1,$K$2,RQU$4),Table1[],(MATCH(Calendar!$A19,DB!$1:$1,0)),FALSE),"")</f>
        <v/>
      </c>
      <c r="RQV19" s="28" t="str">
        <f>IFERROR(VLOOKUP(DATE($K$1,$K$2,RQV$4),Table1[],(MATCH(Calendar!$A19,DB!$1:$1,0)),FALSE),"")</f>
        <v/>
      </c>
      <c r="RQW19" s="28" t="str">
        <f>IFERROR(VLOOKUP(DATE($K$1,$K$2,RQW$4),Table1[],(MATCH(Calendar!$A19,DB!$1:$1,0)),FALSE),"")</f>
        <v/>
      </c>
      <c r="RQX19" s="28" t="str">
        <f>IFERROR(VLOOKUP(DATE($K$1,$K$2,RQX$4),Table1[],(MATCH(Calendar!$A19,DB!$1:$1,0)),FALSE),"")</f>
        <v/>
      </c>
      <c r="RQY19" s="28" t="str">
        <f>IFERROR(VLOOKUP(DATE($K$1,$K$2,RQY$4),Table1[],(MATCH(Calendar!$A19,DB!$1:$1,0)),FALSE),"")</f>
        <v/>
      </c>
      <c r="RQZ19" s="28" t="str">
        <f>IFERROR(VLOOKUP(DATE($K$1,$K$2,RQZ$4),Table1[],(MATCH(Calendar!$A19,DB!$1:$1,0)),FALSE),"")</f>
        <v/>
      </c>
      <c r="RRA19" s="28" t="str">
        <f>IFERROR(VLOOKUP(DATE($K$1,$K$2,RRA$4),Table1[],(MATCH(Calendar!$A19,DB!$1:$1,0)),FALSE),"")</f>
        <v/>
      </c>
      <c r="RRB19" s="28" t="str">
        <f>IFERROR(VLOOKUP(DATE($K$1,$K$2,RRB$4),Table1[],(MATCH(Calendar!$A19,DB!$1:$1,0)),FALSE),"")</f>
        <v/>
      </c>
      <c r="RRC19" s="28" t="str">
        <f>IFERROR(VLOOKUP(DATE($K$1,$K$2,RRC$4),Table1[],(MATCH(Calendar!$A19,DB!$1:$1,0)),FALSE),"")</f>
        <v/>
      </c>
      <c r="RRD19" s="28" t="str">
        <f>IFERROR(VLOOKUP(DATE($K$1,$K$2,RRD$4),Table1[],(MATCH(Calendar!$A19,DB!$1:$1,0)),FALSE),"")</f>
        <v/>
      </c>
      <c r="RRE19" s="28" t="str">
        <f>IFERROR(VLOOKUP(DATE($K$1,$K$2,RRE$4),Table1[],(MATCH(Calendar!$A19,DB!$1:$1,0)),FALSE),"")</f>
        <v/>
      </c>
      <c r="RRF19" s="28" t="str">
        <f>IFERROR(VLOOKUP(DATE($K$1,$K$2,RRF$4),Table1[],(MATCH(Calendar!$A19,DB!$1:$1,0)),FALSE),"")</f>
        <v/>
      </c>
      <c r="RRG19" s="28" t="str">
        <f>IFERROR(VLOOKUP(DATE($K$1,$K$2,RRG$4),Table1[],(MATCH(Calendar!$A19,DB!$1:$1,0)),FALSE),"")</f>
        <v/>
      </c>
      <c r="RRH19" s="28" t="str">
        <f>IFERROR(VLOOKUP(DATE($K$1,$K$2,RRH$4),Table1[],(MATCH(Calendar!$A19,DB!$1:$1,0)),FALSE),"")</f>
        <v/>
      </c>
      <c r="RRI19" s="28" t="str">
        <f>IFERROR(VLOOKUP(DATE($K$1,$K$2,RRI$4),Table1[],(MATCH(Calendar!$A19,DB!$1:$1,0)),FALSE),"")</f>
        <v/>
      </c>
      <c r="RRJ19" s="28" t="str">
        <f>IFERROR(VLOOKUP(DATE($K$1,$K$2,RRJ$4),Table1[],(MATCH(Calendar!$A19,DB!$1:$1,0)),FALSE),"")</f>
        <v/>
      </c>
      <c r="RRK19" s="28" t="str">
        <f>IFERROR(VLOOKUP(DATE($K$1,$K$2,RRK$4),Table1[],(MATCH(Calendar!$A19,DB!$1:$1,0)),FALSE),"")</f>
        <v/>
      </c>
      <c r="RRL19" s="28" t="str">
        <f>IFERROR(VLOOKUP(DATE($K$1,$K$2,RRL$4),Table1[],(MATCH(Calendar!$A19,DB!$1:$1,0)),FALSE),"")</f>
        <v/>
      </c>
      <c r="RRM19" s="28" t="str">
        <f>IFERROR(VLOOKUP(DATE($K$1,$K$2,RRM$4),Table1[],(MATCH(Calendar!$A19,DB!$1:$1,0)),FALSE),"")</f>
        <v/>
      </c>
      <c r="RRN19" s="28" t="str">
        <f>IFERROR(VLOOKUP(DATE($K$1,$K$2,RRN$4),Table1[],(MATCH(Calendar!$A19,DB!$1:$1,0)),FALSE),"")</f>
        <v/>
      </c>
      <c r="RRO19" s="28" t="str">
        <f>IFERROR(VLOOKUP(DATE($K$1,$K$2,RRO$4),Table1[],(MATCH(Calendar!$A19,DB!$1:$1,0)),FALSE),"")</f>
        <v/>
      </c>
      <c r="RRP19" s="28" t="str">
        <f>IFERROR(VLOOKUP(DATE($K$1,$K$2,RRP$4),Table1[],(MATCH(Calendar!$A19,DB!$1:$1,0)),FALSE),"")</f>
        <v/>
      </c>
      <c r="RRQ19" s="28" t="str">
        <f>IFERROR(VLOOKUP(DATE($K$1,$K$2,RRQ$4),Table1[],(MATCH(Calendar!$A19,DB!$1:$1,0)),FALSE),"")</f>
        <v/>
      </c>
      <c r="RRR19" s="28" t="str">
        <f>IFERROR(VLOOKUP(DATE($K$1,$K$2,RRR$4),Table1[],(MATCH(Calendar!$A19,DB!$1:$1,0)),FALSE),"")</f>
        <v/>
      </c>
      <c r="RRS19" s="28" t="str">
        <f>IFERROR(VLOOKUP(DATE($K$1,$K$2,RRS$4),Table1[],(MATCH(Calendar!$A19,DB!$1:$1,0)),FALSE),"")</f>
        <v/>
      </c>
      <c r="RRT19" s="28" t="str">
        <f>IFERROR(VLOOKUP(DATE($K$1,$K$2,RRT$4),Table1[],(MATCH(Calendar!$A19,DB!$1:$1,0)),FALSE),"")</f>
        <v/>
      </c>
      <c r="RRU19" s="28" t="str">
        <f>IFERROR(VLOOKUP(DATE($K$1,$K$2,RRU$4),Table1[],(MATCH(Calendar!$A19,DB!$1:$1,0)),FALSE),"")</f>
        <v/>
      </c>
      <c r="RRV19" s="28" t="str">
        <f>IFERROR(VLOOKUP(DATE($K$1,$K$2,RRV$4),Table1[],(MATCH(Calendar!$A19,DB!$1:$1,0)),FALSE),"")</f>
        <v/>
      </c>
      <c r="RRW19" s="28" t="str">
        <f>IFERROR(VLOOKUP(DATE($K$1,$K$2,RRW$4),Table1[],(MATCH(Calendar!$A19,DB!$1:$1,0)),FALSE),"")</f>
        <v/>
      </c>
      <c r="RRX19" s="28" t="str">
        <f>IFERROR(VLOOKUP(DATE($K$1,$K$2,RRX$4),Table1[],(MATCH(Calendar!$A19,DB!$1:$1,0)),FALSE),"")</f>
        <v/>
      </c>
      <c r="RRY19" s="28" t="str">
        <f>IFERROR(VLOOKUP(DATE($K$1,$K$2,RRY$4),Table1[],(MATCH(Calendar!$A19,DB!$1:$1,0)),FALSE),"")</f>
        <v/>
      </c>
      <c r="RRZ19" s="28" t="str">
        <f>IFERROR(VLOOKUP(DATE($K$1,$K$2,RRZ$4),Table1[],(MATCH(Calendar!$A19,DB!$1:$1,0)),FALSE),"")</f>
        <v/>
      </c>
      <c r="RSA19" s="28" t="str">
        <f>IFERROR(VLOOKUP(DATE($K$1,$K$2,RSA$4),Table1[],(MATCH(Calendar!$A19,DB!$1:$1,0)),FALSE),"")</f>
        <v/>
      </c>
      <c r="RSB19" s="28" t="str">
        <f>IFERROR(VLOOKUP(DATE($K$1,$K$2,RSB$4),Table1[],(MATCH(Calendar!$A19,DB!$1:$1,0)),FALSE),"")</f>
        <v/>
      </c>
      <c r="RSC19" s="28" t="str">
        <f>IFERROR(VLOOKUP(DATE($K$1,$K$2,RSC$4),Table1[],(MATCH(Calendar!$A19,DB!$1:$1,0)),FALSE),"")</f>
        <v/>
      </c>
      <c r="RSD19" s="28" t="str">
        <f>IFERROR(VLOOKUP(DATE($K$1,$K$2,RSD$4),Table1[],(MATCH(Calendar!$A19,DB!$1:$1,0)),FALSE),"")</f>
        <v/>
      </c>
      <c r="RSE19" s="28" t="str">
        <f>IFERROR(VLOOKUP(DATE($K$1,$K$2,RSE$4),Table1[],(MATCH(Calendar!$A19,DB!$1:$1,0)),FALSE),"")</f>
        <v/>
      </c>
      <c r="RSF19" s="28" t="str">
        <f>IFERROR(VLOOKUP(DATE($K$1,$K$2,RSF$4),Table1[],(MATCH(Calendar!$A19,DB!$1:$1,0)),FALSE),"")</f>
        <v/>
      </c>
      <c r="RSG19" s="28" t="str">
        <f>IFERROR(VLOOKUP(DATE($K$1,$K$2,RSG$4),Table1[],(MATCH(Calendar!$A19,DB!$1:$1,0)),FALSE),"")</f>
        <v/>
      </c>
      <c r="RSH19" s="28" t="str">
        <f>IFERROR(VLOOKUP(DATE($K$1,$K$2,RSH$4),Table1[],(MATCH(Calendar!$A19,DB!$1:$1,0)),FALSE),"")</f>
        <v/>
      </c>
      <c r="RSI19" s="28" t="str">
        <f>IFERROR(VLOOKUP(DATE($K$1,$K$2,RSI$4),Table1[],(MATCH(Calendar!$A19,DB!$1:$1,0)),FALSE),"")</f>
        <v/>
      </c>
      <c r="RSJ19" s="28" t="str">
        <f>IFERROR(VLOOKUP(DATE($K$1,$K$2,RSJ$4),Table1[],(MATCH(Calendar!$A19,DB!$1:$1,0)),FALSE),"")</f>
        <v/>
      </c>
      <c r="RSK19" s="28" t="str">
        <f>IFERROR(VLOOKUP(DATE($K$1,$K$2,RSK$4),Table1[],(MATCH(Calendar!$A19,DB!$1:$1,0)),FALSE),"")</f>
        <v/>
      </c>
      <c r="RSL19" s="28" t="str">
        <f>IFERROR(VLOOKUP(DATE($K$1,$K$2,RSL$4),Table1[],(MATCH(Calendar!$A19,DB!$1:$1,0)),FALSE),"")</f>
        <v/>
      </c>
      <c r="RSM19" s="28" t="str">
        <f>IFERROR(VLOOKUP(DATE($K$1,$K$2,RSM$4),Table1[],(MATCH(Calendar!$A19,DB!$1:$1,0)),FALSE),"")</f>
        <v/>
      </c>
      <c r="RSN19" s="28" t="str">
        <f>IFERROR(VLOOKUP(DATE($K$1,$K$2,RSN$4),Table1[],(MATCH(Calendar!$A19,DB!$1:$1,0)),FALSE),"")</f>
        <v/>
      </c>
      <c r="RSO19" s="28" t="str">
        <f>IFERROR(VLOOKUP(DATE($K$1,$K$2,RSO$4),Table1[],(MATCH(Calendar!$A19,DB!$1:$1,0)),FALSE),"")</f>
        <v/>
      </c>
      <c r="RSP19" s="28" t="str">
        <f>IFERROR(VLOOKUP(DATE($K$1,$K$2,RSP$4),Table1[],(MATCH(Calendar!$A19,DB!$1:$1,0)),FALSE),"")</f>
        <v/>
      </c>
      <c r="RSQ19" s="28" t="str">
        <f>IFERROR(VLOOKUP(DATE($K$1,$K$2,RSQ$4),Table1[],(MATCH(Calendar!$A19,DB!$1:$1,0)),FALSE),"")</f>
        <v/>
      </c>
      <c r="RSR19" s="28" t="str">
        <f>IFERROR(VLOOKUP(DATE($K$1,$K$2,RSR$4),Table1[],(MATCH(Calendar!$A19,DB!$1:$1,0)),FALSE),"")</f>
        <v/>
      </c>
      <c r="RSS19" s="28" t="str">
        <f>IFERROR(VLOOKUP(DATE($K$1,$K$2,RSS$4),Table1[],(MATCH(Calendar!$A19,DB!$1:$1,0)),FALSE),"")</f>
        <v/>
      </c>
      <c r="RST19" s="28" t="str">
        <f>IFERROR(VLOOKUP(DATE($K$1,$K$2,RST$4),Table1[],(MATCH(Calendar!$A19,DB!$1:$1,0)),FALSE),"")</f>
        <v/>
      </c>
      <c r="RSU19" s="28" t="str">
        <f>IFERROR(VLOOKUP(DATE($K$1,$K$2,RSU$4),Table1[],(MATCH(Calendar!$A19,DB!$1:$1,0)),FALSE),"")</f>
        <v/>
      </c>
      <c r="RSV19" s="28" t="str">
        <f>IFERROR(VLOOKUP(DATE($K$1,$K$2,RSV$4),Table1[],(MATCH(Calendar!$A19,DB!$1:$1,0)),FALSE),"")</f>
        <v/>
      </c>
      <c r="RSW19" s="28" t="str">
        <f>IFERROR(VLOOKUP(DATE($K$1,$K$2,RSW$4),Table1[],(MATCH(Calendar!$A19,DB!$1:$1,0)),FALSE),"")</f>
        <v/>
      </c>
      <c r="RSX19" s="28" t="str">
        <f>IFERROR(VLOOKUP(DATE($K$1,$K$2,RSX$4),Table1[],(MATCH(Calendar!$A19,DB!$1:$1,0)),FALSE),"")</f>
        <v/>
      </c>
      <c r="RSY19" s="28" t="str">
        <f>IFERROR(VLOOKUP(DATE($K$1,$K$2,RSY$4),Table1[],(MATCH(Calendar!$A19,DB!$1:$1,0)),FALSE),"")</f>
        <v/>
      </c>
      <c r="RSZ19" s="28" t="str">
        <f>IFERROR(VLOOKUP(DATE($K$1,$K$2,RSZ$4),Table1[],(MATCH(Calendar!$A19,DB!$1:$1,0)),FALSE),"")</f>
        <v/>
      </c>
      <c r="RTA19" s="28" t="str">
        <f>IFERROR(VLOOKUP(DATE($K$1,$K$2,RTA$4),Table1[],(MATCH(Calendar!$A19,DB!$1:$1,0)),FALSE),"")</f>
        <v/>
      </c>
      <c r="RTB19" s="28" t="str">
        <f>IFERROR(VLOOKUP(DATE($K$1,$K$2,RTB$4),Table1[],(MATCH(Calendar!$A19,DB!$1:$1,0)),FALSE),"")</f>
        <v/>
      </c>
      <c r="RTC19" s="28" t="str">
        <f>IFERROR(VLOOKUP(DATE($K$1,$K$2,RTC$4),Table1[],(MATCH(Calendar!$A19,DB!$1:$1,0)),FALSE),"")</f>
        <v/>
      </c>
      <c r="RTD19" s="28" t="str">
        <f>IFERROR(VLOOKUP(DATE($K$1,$K$2,RTD$4),Table1[],(MATCH(Calendar!$A19,DB!$1:$1,0)),FALSE),"")</f>
        <v/>
      </c>
      <c r="RTE19" s="28" t="str">
        <f>IFERROR(VLOOKUP(DATE($K$1,$K$2,RTE$4),Table1[],(MATCH(Calendar!$A19,DB!$1:$1,0)),FALSE),"")</f>
        <v/>
      </c>
      <c r="RTF19" s="28" t="str">
        <f>IFERROR(VLOOKUP(DATE($K$1,$K$2,RTF$4),Table1[],(MATCH(Calendar!$A19,DB!$1:$1,0)),FALSE),"")</f>
        <v/>
      </c>
      <c r="RTG19" s="28" t="str">
        <f>IFERROR(VLOOKUP(DATE($K$1,$K$2,RTG$4),Table1[],(MATCH(Calendar!$A19,DB!$1:$1,0)),FALSE),"")</f>
        <v/>
      </c>
      <c r="RTH19" s="28" t="str">
        <f>IFERROR(VLOOKUP(DATE($K$1,$K$2,RTH$4),Table1[],(MATCH(Calendar!$A19,DB!$1:$1,0)),FALSE),"")</f>
        <v/>
      </c>
      <c r="RTI19" s="28" t="str">
        <f>IFERROR(VLOOKUP(DATE($K$1,$K$2,RTI$4),Table1[],(MATCH(Calendar!$A19,DB!$1:$1,0)),FALSE),"")</f>
        <v/>
      </c>
      <c r="RTJ19" s="28" t="str">
        <f>IFERROR(VLOOKUP(DATE($K$1,$K$2,RTJ$4),Table1[],(MATCH(Calendar!$A19,DB!$1:$1,0)),FALSE),"")</f>
        <v/>
      </c>
      <c r="RTK19" s="28" t="str">
        <f>IFERROR(VLOOKUP(DATE($K$1,$K$2,RTK$4),Table1[],(MATCH(Calendar!$A19,DB!$1:$1,0)),FALSE),"")</f>
        <v/>
      </c>
      <c r="RTL19" s="28" t="str">
        <f>IFERROR(VLOOKUP(DATE($K$1,$K$2,RTL$4),Table1[],(MATCH(Calendar!$A19,DB!$1:$1,0)),FALSE),"")</f>
        <v/>
      </c>
      <c r="RTM19" s="28" t="str">
        <f>IFERROR(VLOOKUP(DATE($K$1,$K$2,RTM$4),Table1[],(MATCH(Calendar!$A19,DB!$1:$1,0)),FALSE),"")</f>
        <v/>
      </c>
      <c r="RTN19" s="28" t="str">
        <f>IFERROR(VLOOKUP(DATE($K$1,$K$2,RTN$4),Table1[],(MATCH(Calendar!$A19,DB!$1:$1,0)),FALSE),"")</f>
        <v/>
      </c>
      <c r="RTO19" s="28" t="str">
        <f>IFERROR(VLOOKUP(DATE($K$1,$K$2,RTO$4),Table1[],(MATCH(Calendar!$A19,DB!$1:$1,0)),FALSE),"")</f>
        <v/>
      </c>
      <c r="RTP19" s="28" t="str">
        <f>IFERROR(VLOOKUP(DATE($K$1,$K$2,RTP$4),Table1[],(MATCH(Calendar!$A19,DB!$1:$1,0)),FALSE),"")</f>
        <v/>
      </c>
      <c r="RTQ19" s="28" t="str">
        <f>IFERROR(VLOOKUP(DATE($K$1,$K$2,RTQ$4),Table1[],(MATCH(Calendar!$A19,DB!$1:$1,0)),FALSE),"")</f>
        <v/>
      </c>
      <c r="RTR19" s="28" t="str">
        <f>IFERROR(VLOOKUP(DATE($K$1,$K$2,RTR$4),Table1[],(MATCH(Calendar!$A19,DB!$1:$1,0)),FALSE),"")</f>
        <v/>
      </c>
      <c r="RTS19" s="28" t="str">
        <f>IFERROR(VLOOKUP(DATE($K$1,$K$2,RTS$4),Table1[],(MATCH(Calendar!$A19,DB!$1:$1,0)),FALSE),"")</f>
        <v/>
      </c>
      <c r="RTT19" s="28" t="str">
        <f>IFERROR(VLOOKUP(DATE($K$1,$K$2,RTT$4),Table1[],(MATCH(Calendar!$A19,DB!$1:$1,0)),FALSE),"")</f>
        <v/>
      </c>
      <c r="RTU19" s="28" t="str">
        <f>IFERROR(VLOOKUP(DATE($K$1,$K$2,RTU$4),Table1[],(MATCH(Calendar!$A19,DB!$1:$1,0)),FALSE),"")</f>
        <v/>
      </c>
      <c r="RTV19" s="28" t="str">
        <f>IFERROR(VLOOKUP(DATE($K$1,$K$2,RTV$4),Table1[],(MATCH(Calendar!$A19,DB!$1:$1,0)),FALSE),"")</f>
        <v/>
      </c>
      <c r="RTW19" s="28" t="str">
        <f>IFERROR(VLOOKUP(DATE($K$1,$K$2,RTW$4),Table1[],(MATCH(Calendar!$A19,DB!$1:$1,0)),FALSE),"")</f>
        <v/>
      </c>
      <c r="RTX19" s="28" t="str">
        <f>IFERROR(VLOOKUP(DATE($K$1,$K$2,RTX$4),Table1[],(MATCH(Calendar!$A19,DB!$1:$1,0)),FALSE),"")</f>
        <v/>
      </c>
      <c r="RTY19" s="28" t="str">
        <f>IFERROR(VLOOKUP(DATE($K$1,$K$2,RTY$4),Table1[],(MATCH(Calendar!$A19,DB!$1:$1,0)),FALSE),"")</f>
        <v/>
      </c>
      <c r="RTZ19" s="28" t="str">
        <f>IFERROR(VLOOKUP(DATE($K$1,$K$2,RTZ$4),Table1[],(MATCH(Calendar!$A19,DB!$1:$1,0)),FALSE),"")</f>
        <v/>
      </c>
      <c r="RUA19" s="28" t="str">
        <f>IFERROR(VLOOKUP(DATE($K$1,$K$2,RUA$4),Table1[],(MATCH(Calendar!$A19,DB!$1:$1,0)),FALSE),"")</f>
        <v/>
      </c>
      <c r="RUB19" s="28" t="str">
        <f>IFERROR(VLOOKUP(DATE($K$1,$K$2,RUB$4),Table1[],(MATCH(Calendar!$A19,DB!$1:$1,0)),FALSE),"")</f>
        <v/>
      </c>
      <c r="RUC19" s="28" t="str">
        <f>IFERROR(VLOOKUP(DATE($K$1,$K$2,RUC$4),Table1[],(MATCH(Calendar!$A19,DB!$1:$1,0)),FALSE),"")</f>
        <v/>
      </c>
      <c r="RUD19" s="28" t="str">
        <f>IFERROR(VLOOKUP(DATE($K$1,$K$2,RUD$4),Table1[],(MATCH(Calendar!$A19,DB!$1:$1,0)),FALSE),"")</f>
        <v/>
      </c>
      <c r="RUE19" s="28" t="str">
        <f>IFERROR(VLOOKUP(DATE($K$1,$K$2,RUE$4),Table1[],(MATCH(Calendar!$A19,DB!$1:$1,0)),FALSE),"")</f>
        <v/>
      </c>
      <c r="RUF19" s="28" t="str">
        <f>IFERROR(VLOOKUP(DATE($K$1,$K$2,RUF$4),Table1[],(MATCH(Calendar!$A19,DB!$1:$1,0)),FALSE),"")</f>
        <v/>
      </c>
      <c r="RUG19" s="28" t="str">
        <f>IFERROR(VLOOKUP(DATE($K$1,$K$2,RUG$4),Table1[],(MATCH(Calendar!$A19,DB!$1:$1,0)),FALSE),"")</f>
        <v/>
      </c>
      <c r="RUH19" s="28" t="str">
        <f>IFERROR(VLOOKUP(DATE($K$1,$K$2,RUH$4),Table1[],(MATCH(Calendar!$A19,DB!$1:$1,0)),FALSE),"")</f>
        <v/>
      </c>
      <c r="RUI19" s="28" t="str">
        <f>IFERROR(VLOOKUP(DATE($K$1,$K$2,RUI$4),Table1[],(MATCH(Calendar!$A19,DB!$1:$1,0)),FALSE),"")</f>
        <v/>
      </c>
      <c r="RUJ19" s="28" t="str">
        <f>IFERROR(VLOOKUP(DATE($K$1,$K$2,RUJ$4),Table1[],(MATCH(Calendar!$A19,DB!$1:$1,0)),FALSE),"")</f>
        <v/>
      </c>
      <c r="RUK19" s="28" t="str">
        <f>IFERROR(VLOOKUP(DATE($K$1,$K$2,RUK$4),Table1[],(MATCH(Calendar!$A19,DB!$1:$1,0)),FALSE),"")</f>
        <v/>
      </c>
      <c r="RUL19" s="28" t="str">
        <f>IFERROR(VLOOKUP(DATE($K$1,$K$2,RUL$4),Table1[],(MATCH(Calendar!$A19,DB!$1:$1,0)),FALSE),"")</f>
        <v/>
      </c>
      <c r="RUM19" s="28" t="str">
        <f>IFERROR(VLOOKUP(DATE($K$1,$K$2,RUM$4),Table1[],(MATCH(Calendar!$A19,DB!$1:$1,0)),FALSE),"")</f>
        <v/>
      </c>
      <c r="RUN19" s="28" t="str">
        <f>IFERROR(VLOOKUP(DATE($K$1,$K$2,RUN$4),Table1[],(MATCH(Calendar!$A19,DB!$1:$1,0)),FALSE),"")</f>
        <v/>
      </c>
      <c r="RUO19" s="28" t="str">
        <f>IFERROR(VLOOKUP(DATE($K$1,$K$2,RUO$4),Table1[],(MATCH(Calendar!$A19,DB!$1:$1,0)),FALSE),"")</f>
        <v/>
      </c>
      <c r="RUP19" s="28" t="str">
        <f>IFERROR(VLOOKUP(DATE($K$1,$K$2,RUP$4),Table1[],(MATCH(Calendar!$A19,DB!$1:$1,0)),FALSE),"")</f>
        <v/>
      </c>
      <c r="RUQ19" s="28" t="str">
        <f>IFERROR(VLOOKUP(DATE($K$1,$K$2,RUQ$4),Table1[],(MATCH(Calendar!$A19,DB!$1:$1,0)),FALSE),"")</f>
        <v/>
      </c>
      <c r="RUR19" s="28" t="str">
        <f>IFERROR(VLOOKUP(DATE($K$1,$K$2,RUR$4),Table1[],(MATCH(Calendar!$A19,DB!$1:$1,0)),FALSE),"")</f>
        <v/>
      </c>
      <c r="RUS19" s="28" t="str">
        <f>IFERROR(VLOOKUP(DATE($K$1,$K$2,RUS$4),Table1[],(MATCH(Calendar!$A19,DB!$1:$1,0)),FALSE),"")</f>
        <v/>
      </c>
      <c r="RUT19" s="28" t="str">
        <f>IFERROR(VLOOKUP(DATE($K$1,$K$2,RUT$4),Table1[],(MATCH(Calendar!$A19,DB!$1:$1,0)),FALSE),"")</f>
        <v/>
      </c>
      <c r="RUU19" s="28" t="str">
        <f>IFERROR(VLOOKUP(DATE($K$1,$K$2,RUU$4),Table1[],(MATCH(Calendar!$A19,DB!$1:$1,0)),FALSE),"")</f>
        <v/>
      </c>
      <c r="RUV19" s="28" t="str">
        <f>IFERROR(VLOOKUP(DATE($K$1,$K$2,RUV$4),Table1[],(MATCH(Calendar!$A19,DB!$1:$1,0)),FALSE),"")</f>
        <v/>
      </c>
      <c r="RUW19" s="28" t="str">
        <f>IFERROR(VLOOKUP(DATE($K$1,$K$2,RUW$4),Table1[],(MATCH(Calendar!$A19,DB!$1:$1,0)),FALSE),"")</f>
        <v/>
      </c>
      <c r="RUX19" s="28" t="str">
        <f>IFERROR(VLOOKUP(DATE($K$1,$K$2,RUX$4),Table1[],(MATCH(Calendar!$A19,DB!$1:$1,0)),FALSE),"")</f>
        <v/>
      </c>
      <c r="RUY19" s="28" t="str">
        <f>IFERROR(VLOOKUP(DATE($K$1,$K$2,RUY$4),Table1[],(MATCH(Calendar!$A19,DB!$1:$1,0)),FALSE),"")</f>
        <v/>
      </c>
      <c r="RUZ19" s="28" t="str">
        <f>IFERROR(VLOOKUP(DATE($K$1,$K$2,RUZ$4),Table1[],(MATCH(Calendar!$A19,DB!$1:$1,0)),FALSE),"")</f>
        <v/>
      </c>
      <c r="RVA19" s="28" t="str">
        <f>IFERROR(VLOOKUP(DATE($K$1,$K$2,RVA$4),Table1[],(MATCH(Calendar!$A19,DB!$1:$1,0)),FALSE),"")</f>
        <v/>
      </c>
      <c r="RVB19" s="28" t="str">
        <f>IFERROR(VLOOKUP(DATE($K$1,$K$2,RVB$4),Table1[],(MATCH(Calendar!$A19,DB!$1:$1,0)),FALSE),"")</f>
        <v/>
      </c>
      <c r="RVC19" s="28" t="str">
        <f>IFERROR(VLOOKUP(DATE($K$1,$K$2,RVC$4),Table1[],(MATCH(Calendar!$A19,DB!$1:$1,0)),FALSE),"")</f>
        <v/>
      </c>
      <c r="RVD19" s="28" t="str">
        <f>IFERROR(VLOOKUP(DATE($K$1,$K$2,RVD$4),Table1[],(MATCH(Calendar!$A19,DB!$1:$1,0)),FALSE),"")</f>
        <v/>
      </c>
      <c r="RVE19" s="28" t="str">
        <f>IFERROR(VLOOKUP(DATE($K$1,$K$2,RVE$4),Table1[],(MATCH(Calendar!$A19,DB!$1:$1,0)),FALSE),"")</f>
        <v/>
      </c>
      <c r="RVF19" s="28" t="str">
        <f>IFERROR(VLOOKUP(DATE($K$1,$K$2,RVF$4),Table1[],(MATCH(Calendar!$A19,DB!$1:$1,0)),FALSE),"")</f>
        <v/>
      </c>
      <c r="RVG19" s="28" t="str">
        <f>IFERROR(VLOOKUP(DATE($K$1,$K$2,RVG$4),Table1[],(MATCH(Calendar!$A19,DB!$1:$1,0)),FALSE),"")</f>
        <v/>
      </c>
      <c r="RVH19" s="28" t="str">
        <f>IFERROR(VLOOKUP(DATE($K$1,$K$2,RVH$4),Table1[],(MATCH(Calendar!$A19,DB!$1:$1,0)),FALSE),"")</f>
        <v/>
      </c>
      <c r="RVI19" s="28" t="str">
        <f>IFERROR(VLOOKUP(DATE($K$1,$K$2,RVI$4),Table1[],(MATCH(Calendar!$A19,DB!$1:$1,0)),FALSE),"")</f>
        <v/>
      </c>
      <c r="RVJ19" s="28" t="str">
        <f>IFERROR(VLOOKUP(DATE($K$1,$K$2,RVJ$4),Table1[],(MATCH(Calendar!$A19,DB!$1:$1,0)),FALSE),"")</f>
        <v/>
      </c>
      <c r="RVK19" s="28" t="str">
        <f>IFERROR(VLOOKUP(DATE($K$1,$K$2,RVK$4),Table1[],(MATCH(Calendar!$A19,DB!$1:$1,0)),FALSE),"")</f>
        <v/>
      </c>
      <c r="RVL19" s="28" t="str">
        <f>IFERROR(VLOOKUP(DATE($K$1,$K$2,RVL$4),Table1[],(MATCH(Calendar!$A19,DB!$1:$1,0)),FALSE),"")</f>
        <v/>
      </c>
      <c r="RVM19" s="28" t="str">
        <f>IFERROR(VLOOKUP(DATE($K$1,$K$2,RVM$4),Table1[],(MATCH(Calendar!$A19,DB!$1:$1,0)),FALSE),"")</f>
        <v/>
      </c>
      <c r="RVN19" s="28" t="str">
        <f>IFERROR(VLOOKUP(DATE($K$1,$K$2,RVN$4),Table1[],(MATCH(Calendar!$A19,DB!$1:$1,0)),FALSE),"")</f>
        <v/>
      </c>
      <c r="RVO19" s="28" t="str">
        <f>IFERROR(VLOOKUP(DATE($K$1,$K$2,RVO$4),Table1[],(MATCH(Calendar!$A19,DB!$1:$1,0)),FALSE),"")</f>
        <v/>
      </c>
      <c r="RVP19" s="28" t="str">
        <f>IFERROR(VLOOKUP(DATE($K$1,$K$2,RVP$4),Table1[],(MATCH(Calendar!$A19,DB!$1:$1,0)),FALSE),"")</f>
        <v/>
      </c>
      <c r="RVQ19" s="28" t="str">
        <f>IFERROR(VLOOKUP(DATE($K$1,$K$2,RVQ$4),Table1[],(MATCH(Calendar!$A19,DB!$1:$1,0)),FALSE),"")</f>
        <v/>
      </c>
      <c r="RVR19" s="28" t="str">
        <f>IFERROR(VLOOKUP(DATE($K$1,$K$2,RVR$4),Table1[],(MATCH(Calendar!$A19,DB!$1:$1,0)),FALSE),"")</f>
        <v/>
      </c>
      <c r="RVS19" s="28" t="str">
        <f>IFERROR(VLOOKUP(DATE($K$1,$K$2,RVS$4),Table1[],(MATCH(Calendar!$A19,DB!$1:$1,0)),FALSE),"")</f>
        <v/>
      </c>
      <c r="RVT19" s="28" t="str">
        <f>IFERROR(VLOOKUP(DATE($K$1,$K$2,RVT$4),Table1[],(MATCH(Calendar!$A19,DB!$1:$1,0)),FALSE),"")</f>
        <v/>
      </c>
      <c r="RVU19" s="28" t="str">
        <f>IFERROR(VLOOKUP(DATE($K$1,$K$2,RVU$4),Table1[],(MATCH(Calendar!$A19,DB!$1:$1,0)),FALSE),"")</f>
        <v/>
      </c>
      <c r="RVV19" s="28" t="str">
        <f>IFERROR(VLOOKUP(DATE($K$1,$K$2,RVV$4),Table1[],(MATCH(Calendar!$A19,DB!$1:$1,0)),FALSE),"")</f>
        <v/>
      </c>
      <c r="RVW19" s="28" t="str">
        <f>IFERROR(VLOOKUP(DATE($K$1,$K$2,RVW$4),Table1[],(MATCH(Calendar!$A19,DB!$1:$1,0)),FALSE),"")</f>
        <v/>
      </c>
      <c r="RVX19" s="28" t="str">
        <f>IFERROR(VLOOKUP(DATE($K$1,$K$2,RVX$4),Table1[],(MATCH(Calendar!$A19,DB!$1:$1,0)),FALSE),"")</f>
        <v/>
      </c>
      <c r="RVY19" s="28" t="str">
        <f>IFERROR(VLOOKUP(DATE($K$1,$K$2,RVY$4),Table1[],(MATCH(Calendar!$A19,DB!$1:$1,0)),FALSE),"")</f>
        <v/>
      </c>
      <c r="RVZ19" s="28" t="str">
        <f>IFERROR(VLOOKUP(DATE($K$1,$K$2,RVZ$4),Table1[],(MATCH(Calendar!$A19,DB!$1:$1,0)),FALSE),"")</f>
        <v/>
      </c>
      <c r="RWA19" s="28" t="str">
        <f>IFERROR(VLOOKUP(DATE($K$1,$K$2,RWA$4),Table1[],(MATCH(Calendar!$A19,DB!$1:$1,0)),FALSE),"")</f>
        <v/>
      </c>
      <c r="RWB19" s="28" t="str">
        <f>IFERROR(VLOOKUP(DATE($K$1,$K$2,RWB$4),Table1[],(MATCH(Calendar!$A19,DB!$1:$1,0)),FALSE),"")</f>
        <v/>
      </c>
      <c r="RWC19" s="28" t="str">
        <f>IFERROR(VLOOKUP(DATE($K$1,$K$2,RWC$4),Table1[],(MATCH(Calendar!$A19,DB!$1:$1,0)),FALSE),"")</f>
        <v/>
      </c>
      <c r="RWD19" s="28" t="str">
        <f>IFERROR(VLOOKUP(DATE($K$1,$K$2,RWD$4),Table1[],(MATCH(Calendar!$A19,DB!$1:$1,0)),FALSE),"")</f>
        <v/>
      </c>
      <c r="RWE19" s="28" t="str">
        <f>IFERROR(VLOOKUP(DATE($K$1,$K$2,RWE$4),Table1[],(MATCH(Calendar!$A19,DB!$1:$1,0)),FALSE),"")</f>
        <v/>
      </c>
      <c r="RWF19" s="28" t="str">
        <f>IFERROR(VLOOKUP(DATE($K$1,$K$2,RWF$4),Table1[],(MATCH(Calendar!$A19,DB!$1:$1,0)),FALSE),"")</f>
        <v/>
      </c>
      <c r="RWG19" s="28" t="str">
        <f>IFERROR(VLOOKUP(DATE($K$1,$K$2,RWG$4),Table1[],(MATCH(Calendar!$A19,DB!$1:$1,0)),FALSE),"")</f>
        <v/>
      </c>
      <c r="RWH19" s="28" t="str">
        <f>IFERROR(VLOOKUP(DATE($K$1,$K$2,RWH$4),Table1[],(MATCH(Calendar!$A19,DB!$1:$1,0)),FALSE),"")</f>
        <v/>
      </c>
      <c r="RWI19" s="28" t="str">
        <f>IFERROR(VLOOKUP(DATE($K$1,$K$2,RWI$4),Table1[],(MATCH(Calendar!$A19,DB!$1:$1,0)),FALSE),"")</f>
        <v/>
      </c>
      <c r="RWJ19" s="28" t="str">
        <f>IFERROR(VLOOKUP(DATE($K$1,$K$2,RWJ$4),Table1[],(MATCH(Calendar!$A19,DB!$1:$1,0)),FALSE),"")</f>
        <v/>
      </c>
      <c r="RWK19" s="28" t="str">
        <f>IFERROR(VLOOKUP(DATE($K$1,$K$2,RWK$4),Table1[],(MATCH(Calendar!$A19,DB!$1:$1,0)),FALSE),"")</f>
        <v/>
      </c>
      <c r="RWL19" s="28" t="str">
        <f>IFERROR(VLOOKUP(DATE($K$1,$K$2,RWL$4),Table1[],(MATCH(Calendar!$A19,DB!$1:$1,0)),FALSE),"")</f>
        <v/>
      </c>
      <c r="RWM19" s="28" t="str">
        <f>IFERROR(VLOOKUP(DATE($K$1,$K$2,RWM$4),Table1[],(MATCH(Calendar!$A19,DB!$1:$1,0)),FALSE),"")</f>
        <v/>
      </c>
      <c r="RWN19" s="28" t="str">
        <f>IFERROR(VLOOKUP(DATE($K$1,$K$2,RWN$4),Table1[],(MATCH(Calendar!$A19,DB!$1:$1,0)),FALSE),"")</f>
        <v/>
      </c>
      <c r="RWO19" s="28" t="str">
        <f>IFERROR(VLOOKUP(DATE($K$1,$K$2,RWO$4),Table1[],(MATCH(Calendar!$A19,DB!$1:$1,0)),FALSE),"")</f>
        <v/>
      </c>
      <c r="RWP19" s="28" t="str">
        <f>IFERROR(VLOOKUP(DATE($K$1,$K$2,RWP$4),Table1[],(MATCH(Calendar!$A19,DB!$1:$1,0)),FALSE),"")</f>
        <v/>
      </c>
      <c r="RWQ19" s="28" t="str">
        <f>IFERROR(VLOOKUP(DATE($K$1,$K$2,RWQ$4),Table1[],(MATCH(Calendar!$A19,DB!$1:$1,0)),FALSE),"")</f>
        <v/>
      </c>
      <c r="RWR19" s="28" t="str">
        <f>IFERROR(VLOOKUP(DATE($K$1,$K$2,RWR$4),Table1[],(MATCH(Calendar!$A19,DB!$1:$1,0)),FALSE),"")</f>
        <v/>
      </c>
      <c r="RWS19" s="28" t="str">
        <f>IFERROR(VLOOKUP(DATE($K$1,$K$2,RWS$4),Table1[],(MATCH(Calendar!$A19,DB!$1:$1,0)),FALSE),"")</f>
        <v/>
      </c>
      <c r="RWT19" s="28" t="str">
        <f>IFERROR(VLOOKUP(DATE($K$1,$K$2,RWT$4),Table1[],(MATCH(Calendar!$A19,DB!$1:$1,0)),FALSE),"")</f>
        <v/>
      </c>
      <c r="RWU19" s="28" t="str">
        <f>IFERROR(VLOOKUP(DATE($K$1,$K$2,RWU$4),Table1[],(MATCH(Calendar!$A19,DB!$1:$1,0)),FALSE),"")</f>
        <v/>
      </c>
      <c r="RWV19" s="28" t="str">
        <f>IFERROR(VLOOKUP(DATE($K$1,$K$2,RWV$4),Table1[],(MATCH(Calendar!$A19,DB!$1:$1,0)),FALSE),"")</f>
        <v/>
      </c>
      <c r="RWW19" s="28" t="str">
        <f>IFERROR(VLOOKUP(DATE($K$1,$K$2,RWW$4),Table1[],(MATCH(Calendar!$A19,DB!$1:$1,0)),FALSE),"")</f>
        <v/>
      </c>
      <c r="RWX19" s="28" t="str">
        <f>IFERROR(VLOOKUP(DATE($K$1,$K$2,RWX$4),Table1[],(MATCH(Calendar!$A19,DB!$1:$1,0)),FALSE),"")</f>
        <v/>
      </c>
      <c r="RWY19" s="28" t="str">
        <f>IFERROR(VLOOKUP(DATE($K$1,$K$2,RWY$4),Table1[],(MATCH(Calendar!$A19,DB!$1:$1,0)),FALSE),"")</f>
        <v/>
      </c>
      <c r="RWZ19" s="28" t="str">
        <f>IFERROR(VLOOKUP(DATE($K$1,$K$2,RWZ$4),Table1[],(MATCH(Calendar!$A19,DB!$1:$1,0)),FALSE),"")</f>
        <v/>
      </c>
      <c r="RXA19" s="28" t="str">
        <f>IFERROR(VLOOKUP(DATE($K$1,$K$2,RXA$4),Table1[],(MATCH(Calendar!$A19,DB!$1:$1,0)),FALSE),"")</f>
        <v/>
      </c>
      <c r="RXB19" s="28" t="str">
        <f>IFERROR(VLOOKUP(DATE($K$1,$K$2,RXB$4),Table1[],(MATCH(Calendar!$A19,DB!$1:$1,0)),FALSE),"")</f>
        <v/>
      </c>
      <c r="RXC19" s="28" t="str">
        <f>IFERROR(VLOOKUP(DATE($K$1,$K$2,RXC$4),Table1[],(MATCH(Calendar!$A19,DB!$1:$1,0)),FALSE),"")</f>
        <v/>
      </c>
      <c r="RXD19" s="28" t="str">
        <f>IFERROR(VLOOKUP(DATE($K$1,$K$2,RXD$4),Table1[],(MATCH(Calendar!$A19,DB!$1:$1,0)),FALSE),"")</f>
        <v/>
      </c>
      <c r="RXE19" s="28" t="str">
        <f>IFERROR(VLOOKUP(DATE($K$1,$K$2,RXE$4),Table1[],(MATCH(Calendar!$A19,DB!$1:$1,0)),FALSE),"")</f>
        <v/>
      </c>
      <c r="RXF19" s="28" t="str">
        <f>IFERROR(VLOOKUP(DATE($K$1,$K$2,RXF$4),Table1[],(MATCH(Calendar!$A19,DB!$1:$1,0)),FALSE),"")</f>
        <v/>
      </c>
      <c r="RXG19" s="28" t="str">
        <f>IFERROR(VLOOKUP(DATE($K$1,$K$2,RXG$4),Table1[],(MATCH(Calendar!$A19,DB!$1:$1,0)),FALSE),"")</f>
        <v/>
      </c>
      <c r="RXH19" s="28" t="str">
        <f>IFERROR(VLOOKUP(DATE($K$1,$K$2,RXH$4),Table1[],(MATCH(Calendar!$A19,DB!$1:$1,0)),FALSE),"")</f>
        <v/>
      </c>
      <c r="RXI19" s="28" t="str">
        <f>IFERROR(VLOOKUP(DATE($K$1,$K$2,RXI$4),Table1[],(MATCH(Calendar!$A19,DB!$1:$1,0)),FALSE),"")</f>
        <v/>
      </c>
      <c r="RXJ19" s="28" t="str">
        <f>IFERROR(VLOOKUP(DATE($K$1,$K$2,RXJ$4),Table1[],(MATCH(Calendar!$A19,DB!$1:$1,0)),FALSE),"")</f>
        <v/>
      </c>
      <c r="RXK19" s="28" t="str">
        <f>IFERROR(VLOOKUP(DATE($K$1,$K$2,RXK$4),Table1[],(MATCH(Calendar!$A19,DB!$1:$1,0)),FALSE),"")</f>
        <v/>
      </c>
      <c r="RXL19" s="28" t="str">
        <f>IFERROR(VLOOKUP(DATE($K$1,$K$2,RXL$4),Table1[],(MATCH(Calendar!$A19,DB!$1:$1,0)),FALSE),"")</f>
        <v/>
      </c>
      <c r="RXM19" s="28" t="str">
        <f>IFERROR(VLOOKUP(DATE($K$1,$K$2,RXM$4),Table1[],(MATCH(Calendar!$A19,DB!$1:$1,0)),FALSE),"")</f>
        <v/>
      </c>
      <c r="RXN19" s="28" t="str">
        <f>IFERROR(VLOOKUP(DATE($K$1,$K$2,RXN$4),Table1[],(MATCH(Calendar!$A19,DB!$1:$1,0)),FALSE),"")</f>
        <v/>
      </c>
      <c r="RXO19" s="28" t="str">
        <f>IFERROR(VLOOKUP(DATE($K$1,$K$2,RXO$4),Table1[],(MATCH(Calendar!$A19,DB!$1:$1,0)),FALSE),"")</f>
        <v/>
      </c>
      <c r="RXP19" s="28" t="str">
        <f>IFERROR(VLOOKUP(DATE($K$1,$K$2,RXP$4),Table1[],(MATCH(Calendar!$A19,DB!$1:$1,0)),FALSE),"")</f>
        <v/>
      </c>
      <c r="RXQ19" s="28" t="str">
        <f>IFERROR(VLOOKUP(DATE($K$1,$K$2,RXQ$4),Table1[],(MATCH(Calendar!$A19,DB!$1:$1,0)),FALSE),"")</f>
        <v/>
      </c>
      <c r="RXR19" s="28" t="str">
        <f>IFERROR(VLOOKUP(DATE($K$1,$K$2,RXR$4),Table1[],(MATCH(Calendar!$A19,DB!$1:$1,0)),FALSE),"")</f>
        <v/>
      </c>
      <c r="RXS19" s="28" t="str">
        <f>IFERROR(VLOOKUP(DATE($K$1,$K$2,RXS$4),Table1[],(MATCH(Calendar!$A19,DB!$1:$1,0)),FALSE),"")</f>
        <v/>
      </c>
      <c r="RXT19" s="28" t="str">
        <f>IFERROR(VLOOKUP(DATE($K$1,$K$2,RXT$4),Table1[],(MATCH(Calendar!$A19,DB!$1:$1,0)),FALSE),"")</f>
        <v/>
      </c>
      <c r="RXU19" s="28" t="str">
        <f>IFERROR(VLOOKUP(DATE($K$1,$K$2,RXU$4),Table1[],(MATCH(Calendar!$A19,DB!$1:$1,0)),FALSE),"")</f>
        <v/>
      </c>
      <c r="RXV19" s="28" t="str">
        <f>IFERROR(VLOOKUP(DATE($K$1,$K$2,RXV$4),Table1[],(MATCH(Calendar!$A19,DB!$1:$1,0)),FALSE),"")</f>
        <v/>
      </c>
      <c r="RXW19" s="28" t="str">
        <f>IFERROR(VLOOKUP(DATE($K$1,$K$2,RXW$4),Table1[],(MATCH(Calendar!$A19,DB!$1:$1,0)),FALSE),"")</f>
        <v/>
      </c>
      <c r="RXX19" s="28" t="str">
        <f>IFERROR(VLOOKUP(DATE($K$1,$K$2,RXX$4),Table1[],(MATCH(Calendar!$A19,DB!$1:$1,0)),FALSE),"")</f>
        <v/>
      </c>
      <c r="RXY19" s="28" t="str">
        <f>IFERROR(VLOOKUP(DATE($K$1,$K$2,RXY$4),Table1[],(MATCH(Calendar!$A19,DB!$1:$1,0)),FALSE),"")</f>
        <v/>
      </c>
      <c r="RXZ19" s="28" t="str">
        <f>IFERROR(VLOOKUP(DATE($K$1,$K$2,RXZ$4),Table1[],(MATCH(Calendar!$A19,DB!$1:$1,0)),FALSE),"")</f>
        <v/>
      </c>
      <c r="RYA19" s="28" t="str">
        <f>IFERROR(VLOOKUP(DATE($K$1,$K$2,RYA$4),Table1[],(MATCH(Calendar!$A19,DB!$1:$1,0)),FALSE),"")</f>
        <v/>
      </c>
      <c r="RYB19" s="28" t="str">
        <f>IFERROR(VLOOKUP(DATE($K$1,$K$2,RYB$4),Table1[],(MATCH(Calendar!$A19,DB!$1:$1,0)),FALSE),"")</f>
        <v/>
      </c>
      <c r="RYC19" s="28" t="str">
        <f>IFERROR(VLOOKUP(DATE($K$1,$K$2,RYC$4),Table1[],(MATCH(Calendar!$A19,DB!$1:$1,0)),FALSE),"")</f>
        <v/>
      </c>
      <c r="RYD19" s="28" t="str">
        <f>IFERROR(VLOOKUP(DATE($K$1,$K$2,RYD$4),Table1[],(MATCH(Calendar!$A19,DB!$1:$1,0)),FALSE),"")</f>
        <v/>
      </c>
      <c r="RYE19" s="28" t="str">
        <f>IFERROR(VLOOKUP(DATE($K$1,$K$2,RYE$4),Table1[],(MATCH(Calendar!$A19,DB!$1:$1,0)),FALSE),"")</f>
        <v/>
      </c>
      <c r="RYF19" s="28" t="str">
        <f>IFERROR(VLOOKUP(DATE($K$1,$K$2,RYF$4),Table1[],(MATCH(Calendar!$A19,DB!$1:$1,0)),FALSE),"")</f>
        <v/>
      </c>
      <c r="RYG19" s="28" t="str">
        <f>IFERROR(VLOOKUP(DATE($K$1,$K$2,RYG$4),Table1[],(MATCH(Calendar!$A19,DB!$1:$1,0)),FALSE),"")</f>
        <v/>
      </c>
      <c r="RYH19" s="28" t="str">
        <f>IFERROR(VLOOKUP(DATE($K$1,$K$2,RYH$4),Table1[],(MATCH(Calendar!$A19,DB!$1:$1,0)),FALSE),"")</f>
        <v/>
      </c>
      <c r="RYI19" s="28" t="str">
        <f>IFERROR(VLOOKUP(DATE($K$1,$K$2,RYI$4),Table1[],(MATCH(Calendar!$A19,DB!$1:$1,0)),FALSE),"")</f>
        <v/>
      </c>
      <c r="RYJ19" s="28" t="str">
        <f>IFERROR(VLOOKUP(DATE($K$1,$K$2,RYJ$4),Table1[],(MATCH(Calendar!$A19,DB!$1:$1,0)),FALSE),"")</f>
        <v/>
      </c>
      <c r="RYK19" s="28" t="str">
        <f>IFERROR(VLOOKUP(DATE($K$1,$K$2,RYK$4),Table1[],(MATCH(Calendar!$A19,DB!$1:$1,0)),FALSE),"")</f>
        <v/>
      </c>
      <c r="RYL19" s="28" t="str">
        <f>IFERROR(VLOOKUP(DATE($K$1,$K$2,RYL$4),Table1[],(MATCH(Calendar!$A19,DB!$1:$1,0)),FALSE),"")</f>
        <v/>
      </c>
      <c r="RYM19" s="28" t="str">
        <f>IFERROR(VLOOKUP(DATE($K$1,$K$2,RYM$4),Table1[],(MATCH(Calendar!$A19,DB!$1:$1,0)),FALSE),"")</f>
        <v/>
      </c>
      <c r="RYN19" s="28" t="str">
        <f>IFERROR(VLOOKUP(DATE($K$1,$K$2,RYN$4),Table1[],(MATCH(Calendar!$A19,DB!$1:$1,0)),FALSE),"")</f>
        <v/>
      </c>
      <c r="RYO19" s="28" t="str">
        <f>IFERROR(VLOOKUP(DATE($K$1,$K$2,RYO$4),Table1[],(MATCH(Calendar!$A19,DB!$1:$1,0)),FALSE),"")</f>
        <v/>
      </c>
      <c r="RYP19" s="28" t="str">
        <f>IFERROR(VLOOKUP(DATE($K$1,$K$2,RYP$4),Table1[],(MATCH(Calendar!$A19,DB!$1:$1,0)),FALSE),"")</f>
        <v/>
      </c>
      <c r="RYQ19" s="28" t="str">
        <f>IFERROR(VLOOKUP(DATE($K$1,$K$2,RYQ$4),Table1[],(MATCH(Calendar!$A19,DB!$1:$1,0)),FALSE),"")</f>
        <v/>
      </c>
      <c r="RYR19" s="28" t="str">
        <f>IFERROR(VLOOKUP(DATE($K$1,$K$2,RYR$4),Table1[],(MATCH(Calendar!$A19,DB!$1:$1,0)),FALSE),"")</f>
        <v/>
      </c>
      <c r="RYS19" s="28" t="str">
        <f>IFERROR(VLOOKUP(DATE($K$1,$K$2,RYS$4),Table1[],(MATCH(Calendar!$A19,DB!$1:$1,0)),FALSE),"")</f>
        <v/>
      </c>
      <c r="RYT19" s="28" t="str">
        <f>IFERROR(VLOOKUP(DATE($K$1,$K$2,RYT$4),Table1[],(MATCH(Calendar!$A19,DB!$1:$1,0)),FALSE),"")</f>
        <v/>
      </c>
      <c r="RYU19" s="28" t="str">
        <f>IFERROR(VLOOKUP(DATE($K$1,$K$2,RYU$4),Table1[],(MATCH(Calendar!$A19,DB!$1:$1,0)),FALSE),"")</f>
        <v/>
      </c>
      <c r="RYV19" s="28" t="str">
        <f>IFERROR(VLOOKUP(DATE($K$1,$K$2,RYV$4),Table1[],(MATCH(Calendar!$A19,DB!$1:$1,0)),FALSE),"")</f>
        <v/>
      </c>
      <c r="RYW19" s="28" t="str">
        <f>IFERROR(VLOOKUP(DATE($K$1,$K$2,RYW$4),Table1[],(MATCH(Calendar!$A19,DB!$1:$1,0)),FALSE),"")</f>
        <v/>
      </c>
      <c r="RYX19" s="28" t="str">
        <f>IFERROR(VLOOKUP(DATE($K$1,$K$2,RYX$4),Table1[],(MATCH(Calendar!$A19,DB!$1:$1,0)),FALSE),"")</f>
        <v/>
      </c>
      <c r="RYY19" s="28" t="str">
        <f>IFERROR(VLOOKUP(DATE($K$1,$K$2,RYY$4),Table1[],(MATCH(Calendar!$A19,DB!$1:$1,0)),FALSE),"")</f>
        <v/>
      </c>
      <c r="RYZ19" s="28" t="str">
        <f>IFERROR(VLOOKUP(DATE($K$1,$K$2,RYZ$4),Table1[],(MATCH(Calendar!$A19,DB!$1:$1,0)),FALSE),"")</f>
        <v/>
      </c>
      <c r="RZA19" s="28" t="str">
        <f>IFERROR(VLOOKUP(DATE($K$1,$K$2,RZA$4),Table1[],(MATCH(Calendar!$A19,DB!$1:$1,0)),FALSE),"")</f>
        <v/>
      </c>
      <c r="RZB19" s="28" t="str">
        <f>IFERROR(VLOOKUP(DATE($K$1,$K$2,RZB$4),Table1[],(MATCH(Calendar!$A19,DB!$1:$1,0)),FALSE),"")</f>
        <v/>
      </c>
      <c r="RZC19" s="28" t="str">
        <f>IFERROR(VLOOKUP(DATE($K$1,$K$2,RZC$4),Table1[],(MATCH(Calendar!$A19,DB!$1:$1,0)),FALSE),"")</f>
        <v/>
      </c>
      <c r="RZD19" s="28" t="str">
        <f>IFERROR(VLOOKUP(DATE($K$1,$K$2,RZD$4),Table1[],(MATCH(Calendar!$A19,DB!$1:$1,0)),FALSE),"")</f>
        <v/>
      </c>
      <c r="RZE19" s="28" t="str">
        <f>IFERROR(VLOOKUP(DATE($K$1,$K$2,RZE$4),Table1[],(MATCH(Calendar!$A19,DB!$1:$1,0)),FALSE),"")</f>
        <v/>
      </c>
      <c r="RZF19" s="28" t="str">
        <f>IFERROR(VLOOKUP(DATE($K$1,$K$2,RZF$4),Table1[],(MATCH(Calendar!$A19,DB!$1:$1,0)),FALSE),"")</f>
        <v/>
      </c>
      <c r="RZG19" s="28" t="str">
        <f>IFERROR(VLOOKUP(DATE($K$1,$K$2,RZG$4),Table1[],(MATCH(Calendar!$A19,DB!$1:$1,0)),FALSE),"")</f>
        <v/>
      </c>
      <c r="RZH19" s="28" t="str">
        <f>IFERROR(VLOOKUP(DATE($K$1,$K$2,RZH$4),Table1[],(MATCH(Calendar!$A19,DB!$1:$1,0)),FALSE),"")</f>
        <v/>
      </c>
      <c r="RZI19" s="28" t="str">
        <f>IFERROR(VLOOKUP(DATE($K$1,$K$2,RZI$4),Table1[],(MATCH(Calendar!$A19,DB!$1:$1,0)),FALSE),"")</f>
        <v/>
      </c>
      <c r="RZJ19" s="28" t="str">
        <f>IFERROR(VLOOKUP(DATE($K$1,$K$2,RZJ$4),Table1[],(MATCH(Calendar!$A19,DB!$1:$1,0)),FALSE),"")</f>
        <v/>
      </c>
      <c r="RZK19" s="28" t="str">
        <f>IFERROR(VLOOKUP(DATE($K$1,$K$2,RZK$4),Table1[],(MATCH(Calendar!$A19,DB!$1:$1,0)),FALSE),"")</f>
        <v/>
      </c>
      <c r="RZL19" s="28" t="str">
        <f>IFERROR(VLOOKUP(DATE($K$1,$K$2,RZL$4),Table1[],(MATCH(Calendar!$A19,DB!$1:$1,0)),FALSE),"")</f>
        <v/>
      </c>
      <c r="RZM19" s="28" t="str">
        <f>IFERROR(VLOOKUP(DATE($K$1,$K$2,RZM$4),Table1[],(MATCH(Calendar!$A19,DB!$1:$1,0)),FALSE),"")</f>
        <v/>
      </c>
      <c r="RZN19" s="28" t="str">
        <f>IFERROR(VLOOKUP(DATE($K$1,$K$2,RZN$4),Table1[],(MATCH(Calendar!$A19,DB!$1:$1,0)),FALSE),"")</f>
        <v/>
      </c>
      <c r="RZO19" s="28" t="str">
        <f>IFERROR(VLOOKUP(DATE($K$1,$K$2,RZO$4),Table1[],(MATCH(Calendar!$A19,DB!$1:$1,0)),FALSE),"")</f>
        <v/>
      </c>
      <c r="RZP19" s="28" t="str">
        <f>IFERROR(VLOOKUP(DATE($K$1,$K$2,RZP$4),Table1[],(MATCH(Calendar!$A19,DB!$1:$1,0)),FALSE),"")</f>
        <v/>
      </c>
      <c r="RZQ19" s="28" t="str">
        <f>IFERROR(VLOOKUP(DATE($K$1,$K$2,RZQ$4),Table1[],(MATCH(Calendar!$A19,DB!$1:$1,0)),FALSE),"")</f>
        <v/>
      </c>
      <c r="RZR19" s="28" t="str">
        <f>IFERROR(VLOOKUP(DATE($K$1,$K$2,RZR$4),Table1[],(MATCH(Calendar!$A19,DB!$1:$1,0)),FALSE),"")</f>
        <v/>
      </c>
      <c r="RZS19" s="28" t="str">
        <f>IFERROR(VLOOKUP(DATE($K$1,$K$2,RZS$4),Table1[],(MATCH(Calendar!$A19,DB!$1:$1,0)),FALSE),"")</f>
        <v/>
      </c>
      <c r="RZT19" s="28" t="str">
        <f>IFERROR(VLOOKUP(DATE($K$1,$K$2,RZT$4),Table1[],(MATCH(Calendar!$A19,DB!$1:$1,0)),FALSE),"")</f>
        <v/>
      </c>
      <c r="RZU19" s="28" t="str">
        <f>IFERROR(VLOOKUP(DATE($K$1,$K$2,RZU$4),Table1[],(MATCH(Calendar!$A19,DB!$1:$1,0)),FALSE),"")</f>
        <v/>
      </c>
      <c r="RZV19" s="28" t="str">
        <f>IFERROR(VLOOKUP(DATE($K$1,$K$2,RZV$4),Table1[],(MATCH(Calendar!$A19,DB!$1:$1,0)),FALSE),"")</f>
        <v/>
      </c>
      <c r="RZW19" s="28" t="str">
        <f>IFERROR(VLOOKUP(DATE($K$1,$K$2,RZW$4),Table1[],(MATCH(Calendar!$A19,DB!$1:$1,0)),FALSE),"")</f>
        <v/>
      </c>
      <c r="RZX19" s="28" t="str">
        <f>IFERROR(VLOOKUP(DATE($K$1,$K$2,RZX$4),Table1[],(MATCH(Calendar!$A19,DB!$1:$1,0)),FALSE),"")</f>
        <v/>
      </c>
      <c r="RZY19" s="28" t="str">
        <f>IFERROR(VLOOKUP(DATE($K$1,$K$2,RZY$4),Table1[],(MATCH(Calendar!$A19,DB!$1:$1,0)),FALSE),"")</f>
        <v/>
      </c>
      <c r="RZZ19" s="28" t="str">
        <f>IFERROR(VLOOKUP(DATE($K$1,$K$2,RZZ$4),Table1[],(MATCH(Calendar!$A19,DB!$1:$1,0)),FALSE),"")</f>
        <v/>
      </c>
      <c r="SAA19" s="28" t="str">
        <f>IFERROR(VLOOKUP(DATE($K$1,$K$2,SAA$4),Table1[],(MATCH(Calendar!$A19,DB!$1:$1,0)),FALSE),"")</f>
        <v/>
      </c>
      <c r="SAB19" s="28" t="str">
        <f>IFERROR(VLOOKUP(DATE($K$1,$K$2,SAB$4),Table1[],(MATCH(Calendar!$A19,DB!$1:$1,0)),FALSE),"")</f>
        <v/>
      </c>
      <c r="SAC19" s="28" t="str">
        <f>IFERROR(VLOOKUP(DATE($K$1,$K$2,SAC$4),Table1[],(MATCH(Calendar!$A19,DB!$1:$1,0)),FALSE),"")</f>
        <v/>
      </c>
      <c r="SAD19" s="28" t="str">
        <f>IFERROR(VLOOKUP(DATE($K$1,$K$2,SAD$4),Table1[],(MATCH(Calendar!$A19,DB!$1:$1,0)),FALSE),"")</f>
        <v/>
      </c>
      <c r="SAE19" s="28" t="str">
        <f>IFERROR(VLOOKUP(DATE($K$1,$K$2,SAE$4),Table1[],(MATCH(Calendar!$A19,DB!$1:$1,0)),FALSE),"")</f>
        <v/>
      </c>
      <c r="SAF19" s="28" t="str">
        <f>IFERROR(VLOOKUP(DATE($K$1,$K$2,SAF$4),Table1[],(MATCH(Calendar!$A19,DB!$1:$1,0)),FALSE),"")</f>
        <v/>
      </c>
      <c r="SAG19" s="28" t="str">
        <f>IFERROR(VLOOKUP(DATE($K$1,$K$2,SAG$4),Table1[],(MATCH(Calendar!$A19,DB!$1:$1,0)),FALSE),"")</f>
        <v/>
      </c>
      <c r="SAH19" s="28" t="str">
        <f>IFERROR(VLOOKUP(DATE($K$1,$K$2,SAH$4),Table1[],(MATCH(Calendar!$A19,DB!$1:$1,0)),FALSE),"")</f>
        <v/>
      </c>
      <c r="SAI19" s="28" t="str">
        <f>IFERROR(VLOOKUP(DATE($K$1,$K$2,SAI$4),Table1[],(MATCH(Calendar!$A19,DB!$1:$1,0)),FALSE),"")</f>
        <v/>
      </c>
      <c r="SAJ19" s="28" t="str">
        <f>IFERROR(VLOOKUP(DATE($K$1,$K$2,SAJ$4),Table1[],(MATCH(Calendar!$A19,DB!$1:$1,0)),FALSE),"")</f>
        <v/>
      </c>
      <c r="SAK19" s="28" t="str">
        <f>IFERROR(VLOOKUP(DATE($K$1,$K$2,SAK$4),Table1[],(MATCH(Calendar!$A19,DB!$1:$1,0)),FALSE),"")</f>
        <v/>
      </c>
      <c r="SAL19" s="28" t="str">
        <f>IFERROR(VLOOKUP(DATE($K$1,$K$2,SAL$4),Table1[],(MATCH(Calendar!$A19,DB!$1:$1,0)),FALSE),"")</f>
        <v/>
      </c>
      <c r="SAM19" s="28" t="str">
        <f>IFERROR(VLOOKUP(DATE($K$1,$K$2,SAM$4),Table1[],(MATCH(Calendar!$A19,DB!$1:$1,0)),FALSE),"")</f>
        <v/>
      </c>
      <c r="SAN19" s="28" t="str">
        <f>IFERROR(VLOOKUP(DATE($K$1,$K$2,SAN$4),Table1[],(MATCH(Calendar!$A19,DB!$1:$1,0)),FALSE),"")</f>
        <v/>
      </c>
      <c r="SAO19" s="28" t="str">
        <f>IFERROR(VLOOKUP(DATE($K$1,$K$2,SAO$4),Table1[],(MATCH(Calendar!$A19,DB!$1:$1,0)),FALSE),"")</f>
        <v/>
      </c>
      <c r="SAP19" s="28" t="str">
        <f>IFERROR(VLOOKUP(DATE($K$1,$K$2,SAP$4),Table1[],(MATCH(Calendar!$A19,DB!$1:$1,0)),FALSE),"")</f>
        <v/>
      </c>
      <c r="SAQ19" s="28" t="str">
        <f>IFERROR(VLOOKUP(DATE($K$1,$K$2,SAQ$4),Table1[],(MATCH(Calendar!$A19,DB!$1:$1,0)),FALSE),"")</f>
        <v/>
      </c>
      <c r="SAR19" s="28" t="str">
        <f>IFERROR(VLOOKUP(DATE($K$1,$K$2,SAR$4),Table1[],(MATCH(Calendar!$A19,DB!$1:$1,0)),FALSE),"")</f>
        <v/>
      </c>
      <c r="SAS19" s="28" t="str">
        <f>IFERROR(VLOOKUP(DATE($K$1,$K$2,SAS$4),Table1[],(MATCH(Calendar!$A19,DB!$1:$1,0)),FALSE),"")</f>
        <v/>
      </c>
      <c r="SAT19" s="28" t="str">
        <f>IFERROR(VLOOKUP(DATE($K$1,$K$2,SAT$4),Table1[],(MATCH(Calendar!$A19,DB!$1:$1,0)),FALSE),"")</f>
        <v/>
      </c>
      <c r="SAU19" s="28" t="str">
        <f>IFERROR(VLOOKUP(DATE($K$1,$K$2,SAU$4),Table1[],(MATCH(Calendar!$A19,DB!$1:$1,0)),FALSE),"")</f>
        <v/>
      </c>
      <c r="SAV19" s="28" t="str">
        <f>IFERROR(VLOOKUP(DATE($K$1,$K$2,SAV$4),Table1[],(MATCH(Calendar!$A19,DB!$1:$1,0)),FALSE),"")</f>
        <v/>
      </c>
      <c r="SAW19" s="28" t="str">
        <f>IFERROR(VLOOKUP(DATE($K$1,$K$2,SAW$4),Table1[],(MATCH(Calendar!$A19,DB!$1:$1,0)),FALSE),"")</f>
        <v/>
      </c>
      <c r="SAX19" s="28" t="str">
        <f>IFERROR(VLOOKUP(DATE($K$1,$K$2,SAX$4),Table1[],(MATCH(Calendar!$A19,DB!$1:$1,0)),FALSE),"")</f>
        <v/>
      </c>
      <c r="SAY19" s="28" t="str">
        <f>IFERROR(VLOOKUP(DATE($K$1,$K$2,SAY$4),Table1[],(MATCH(Calendar!$A19,DB!$1:$1,0)),FALSE),"")</f>
        <v/>
      </c>
      <c r="SAZ19" s="28" t="str">
        <f>IFERROR(VLOOKUP(DATE($K$1,$K$2,SAZ$4),Table1[],(MATCH(Calendar!$A19,DB!$1:$1,0)),FALSE),"")</f>
        <v/>
      </c>
      <c r="SBA19" s="28" t="str">
        <f>IFERROR(VLOOKUP(DATE($K$1,$K$2,SBA$4),Table1[],(MATCH(Calendar!$A19,DB!$1:$1,0)),FALSE),"")</f>
        <v/>
      </c>
      <c r="SBB19" s="28" t="str">
        <f>IFERROR(VLOOKUP(DATE($K$1,$K$2,SBB$4),Table1[],(MATCH(Calendar!$A19,DB!$1:$1,0)),FALSE),"")</f>
        <v/>
      </c>
      <c r="SBC19" s="28" t="str">
        <f>IFERROR(VLOOKUP(DATE($K$1,$K$2,SBC$4),Table1[],(MATCH(Calendar!$A19,DB!$1:$1,0)),FALSE),"")</f>
        <v/>
      </c>
      <c r="SBD19" s="28" t="str">
        <f>IFERROR(VLOOKUP(DATE($K$1,$K$2,SBD$4),Table1[],(MATCH(Calendar!$A19,DB!$1:$1,0)),FALSE),"")</f>
        <v/>
      </c>
      <c r="SBE19" s="28" t="str">
        <f>IFERROR(VLOOKUP(DATE($K$1,$K$2,SBE$4),Table1[],(MATCH(Calendar!$A19,DB!$1:$1,0)),FALSE),"")</f>
        <v/>
      </c>
      <c r="SBF19" s="28" t="str">
        <f>IFERROR(VLOOKUP(DATE($K$1,$K$2,SBF$4),Table1[],(MATCH(Calendar!$A19,DB!$1:$1,0)),FALSE),"")</f>
        <v/>
      </c>
      <c r="SBG19" s="28" t="str">
        <f>IFERROR(VLOOKUP(DATE($K$1,$K$2,SBG$4),Table1[],(MATCH(Calendar!$A19,DB!$1:$1,0)),FALSE),"")</f>
        <v/>
      </c>
      <c r="SBH19" s="28" t="str">
        <f>IFERROR(VLOOKUP(DATE($K$1,$K$2,SBH$4),Table1[],(MATCH(Calendar!$A19,DB!$1:$1,0)),FALSE),"")</f>
        <v/>
      </c>
      <c r="SBI19" s="28" t="str">
        <f>IFERROR(VLOOKUP(DATE($K$1,$K$2,SBI$4),Table1[],(MATCH(Calendar!$A19,DB!$1:$1,0)),FALSE),"")</f>
        <v/>
      </c>
      <c r="SBJ19" s="28" t="str">
        <f>IFERROR(VLOOKUP(DATE($K$1,$K$2,SBJ$4),Table1[],(MATCH(Calendar!$A19,DB!$1:$1,0)),FALSE),"")</f>
        <v/>
      </c>
      <c r="SBK19" s="28" t="str">
        <f>IFERROR(VLOOKUP(DATE($K$1,$K$2,SBK$4),Table1[],(MATCH(Calendar!$A19,DB!$1:$1,0)),FALSE),"")</f>
        <v/>
      </c>
      <c r="SBL19" s="28" t="str">
        <f>IFERROR(VLOOKUP(DATE($K$1,$K$2,SBL$4),Table1[],(MATCH(Calendar!$A19,DB!$1:$1,0)),FALSE),"")</f>
        <v/>
      </c>
      <c r="SBM19" s="28" t="str">
        <f>IFERROR(VLOOKUP(DATE($K$1,$K$2,SBM$4),Table1[],(MATCH(Calendar!$A19,DB!$1:$1,0)),FALSE),"")</f>
        <v/>
      </c>
      <c r="SBN19" s="28" t="str">
        <f>IFERROR(VLOOKUP(DATE($K$1,$K$2,SBN$4),Table1[],(MATCH(Calendar!$A19,DB!$1:$1,0)),FALSE),"")</f>
        <v/>
      </c>
      <c r="SBO19" s="28" t="str">
        <f>IFERROR(VLOOKUP(DATE($K$1,$K$2,SBO$4),Table1[],(MATCH(Calendar!$A19,DB!$1:$1,0)),FALSE),"")</f>
        <v/>
      </c>
      <c r="SBP19" s="28" t="str">
        <f>IFERROR(VLOOKUP(DATE($K$1,$K$2,SBP$4),Table1[],(MATCH(Calendar!$A19,DB!$1:$1,0)),FALSE),"")</f>
        <v/>
      </c>
      <c r="SBQ19" s="28" t="str">
        <f>IFERROR(VLOOKUP(DATE($K$1,$K$2,SBQ$4),Table1[],(MATCH(Calendar!$A19,DB!$1:$1,0)),FALSE),"")</f>
        <v/>
      </c>
      <c r="SBR19" s="28" t="str">
        <f>IFERROR(VLOOKUP(DATE($K$1,$K$2,SBR$4),Table1[],(MATCH(Calendar!$A19,DB!$1:$1,0)),FALSE),"")</f>
        <v/>
      </c>
      <c r="SBS19" s="28" t="str">
        <f>IFERROR(VLOOKUP(DATE($K$1,$K$2,SBS$4),Table1[],(MATCH(Calendar!$A19,DB!$1:$1,0)),FALSE),"")</f>
        <v/>
      </c>
      <c r="SBT19" s="28" t="str">
        <f>IFERROR(VLOOKUP(DATE($K$1,$K$2,SBT$4),Table1[],(MATCH(Calendar!$A19,DB!$1:$1,0)),FALSE),"")</f>
        <v/>
      </c>
      <c r="SBU19" s="28" t="str">
        <f>IFERROR(VLOOKUP(DATE($K$1,$K$2,SBU$4),Table1[],(MATCH(Calendar!$A19,DB!$1:$1,0)),FALSE),"")</f>
        <v/>
      </c>
      <c r="SBV19" s="28" t="str">
        <f>IFERROR(VLOOKUP(DATE($K$1,$K$2,SBV$4),Table1[],(MATCH(Calendar!$A19,DB!$1:$1,0)),FALSE),"")</f>
        <v/>
      </c>
      <c r="SBW19" s="28" t="str">
        <f>IFERROR(VLOOKUP(DATE($K$1,$K$2,SBW$4),Table1[],(MATCH(Calendar!$A19,DB!$1:$1,0)),FALSE),"")</f>
        <v/>
      </c>
      <c r="SBX19" s="28" t="str">
        <f>IFERROR(VLOOKUP(DATE($K$1,$K$2,SBX$4),Table1[],(MATCH(Calendar!$A19,DB!$1:$1,0)),FALSE),"")</f>
        <v/>
      </c>
      <c r="SBY19" s="28" t="str">
        <f>IFERROR(VLOOKUP(DATE($K$1,$K$2,SBY$4),Table1[],(MATCH(Calendar!$A19,DB!$1:$1,0)),FALSE),"")</f>
        <v/>
      </c>
      <c r="SBZ19" s="28" t="str">
        <f>IFERROR(VLOOKUP(DATE($K$1,$K$2,SBZ$4),Table1[],(MATCH(Calendar!$A19,DB!$1:$1,0)),FALSE),"")</f>
        <v/>
      </c>
      <c r="SCA19" s="28" t="str">
        <f>IFERROR(VLOOKUP(DATE($K$1,$K$2,SCA$4),Table1[],(MATCH(Calendar!$A19,DB!$1:$1,0)),FALSE),"")</f>
        <v/>
      </c>
      <c r="SCB19" s="28" t="str">
        <f>IFERROR(VLOOKUP(DATE($K$1,$K$2,SCB$4),Table1[],(MATCH(Calendar!$A19,DB!$1:$1,0)),FALSE),"")</f>
        <v/>
      </c>
      <c r="SCC19" s="28" t="str">
        <f>IFERROR(VLOOKUP(DATE($K$1,$K$2,SCC$4),Table1[],(MATCH(Calendar!$A19,DB!$1:$1,0)),FALSE),"")</f>
        <v/>
      </c>
      <c r="SCD19" s="28" t="str">
        <f>IFERROR(VLOOKUP(DATE($K$1,$K$2,SCD$4),Table1[],(MATCH(Calendar!$A19,DB!$1:$1,0)),FALSE),"")</f>
        <v/>
      </c>
      <c r="SCE19" s="28" t="str">
        <f>IFERROR(VLOOKUP(DATE($K$1,$K$2,SCE$4),Table1[],(MATCH(Calendar!$A19,DB!$1:$1,0)),FALSE),"")</f>
        <v/>
      </c>
      <c r="SCF19" s="28" t="str">
        <f>IFERROR(VLOOKUP(DATE($K$1,$K$2,SCF$4),Table1[],(MATCH(Calendar!$A19,DB!$1:$1,0)),FALSE),"")</f>
        <v/>
      </c>
      <c r="SCG19" s="28" t="str">
        <f>IFERROR(VLOOKUP(DATE($K$1,$K$2,SCG$4),Table1[],(MATCH(Calendar!$A19,DB!$1:$1,0)),FALSE),"")</f>
        <v/>
      </c>
      <c r="SCH19" s="28" t="str">
        <f>IFERROR(VLOOKUP(DATE($K$1,$K$2,SCH$4),Table1[],(MATCH(Calendar!$A19,DB!$1:$1,0)),FALSE),"")</f>
        <v/>
      </c>
      <c r="SCI19" s="28" t="str">
        <f>IFERROR(VLOOKUP(DATE($K$1,$K$2,SCI$4),Table1[],(MATCH(Calendar!$A19,DB!$1:$1,0)),FALSE),"")</f>
        <v/>
      </c>
      <c r="SCJ19" s="28" t="str">
        <f>IFERROR(VLOOKUP(DATE($K$1,$K$2,SCJ$4),Table1[],(MATCH(Calendar!$A19,DB!$1:$1,0)),FALSE),"")</f>
        <v/>
      </c>
      <c r="SCK19" s="28" t="str">
        <f>IFERROR(VLOOKUP(DATE($K$1,$K$2,SCK$4),Table1[],(MATCH(Calendar!$A19,DB!$1:$1,0)),FALSE),"")</f>
        <v/>
      </c>
      <c r="SCL19" s="28" t="str">
        <f>IFERROR(VLOOKUP(DATE($K$1,$K$2,SCL$4),Table1[],(MATCH(Calendar!$A19,DB!$1:$1,0)),FALSE),"")</f>
        <v/>
      </c>
      <c r="SCM19" s="28" t="str">
        <f>IFERROR(VLOOKUP(DATE($K$1,$K$2,SCM$4),Table1[],(MATCH(Calendar!$A19,DB!$1:$1,0)),FALSE),"")</f>
        <v/>
      </c>
      <c r="SCN19" s="28" t="str">
        <f>IFERROR(VLOOKUP(DATE($K$1,$K$2,SCN$4),Table1[],(MATCH(Calendar!$A19,DB!$1:$1,0)),FALSE),"")</f>
        <v/>
      </c>
      <c r="SCO19" s="28" t="str">
        <f>IFERROR(VLOOKUP(DATE($K$1,$K$2,SCO$4),Table1[],(MATCH(Calendar!$A19,DB!$1:$1,0)),FALSE),"")</f>
        <v/>
      </c>
      <c r="SCP19" s="28" t="str">
        <f>IFERROR(VLOOKUP(DATE($K$1,$K$2,SCP$4),Table1[],(MATCH(Calendar!$A19,DB!$1:$1,0)),FALSE),"")</f>
        <v/>
      </c>
      <c r="SCQ19" s="28" t="str">
        <f>IFERROR(VLOOKUP(DATE($K$1,$K$2,SCQ$4),Table1[],(MATCH(Calendar!$A19,DB!$1:$1,0)),FALSE),"")</f>
        <v/>
      </c>
      <c r="SCR19" s="28" t="str">
        <f>IFERROR(VLOOKUP(DATE($K$1,$K$2,SCR$4),Table1[],(MATCH(Calendar!$A19,DB!$1:$1,0)),FALSE),"")</f>
        <v/>
      </c>
      <c r="SCS19" s="28" t="str">
        <f>IFERROR(VLOOKUP(DATE($K$1,$K$2,SCS$4),Table1[],(MATCH(Calendar!$A19,DB!$1:$1,0)),FALSE),"")</f>
        <v/>
      </c>
      <c r="SCT19" s="28" t="str">
        <f>IFERROR(VLOOKUP(DATE($K$1,$K$2,SCT$4),Table1[],(MATCH(Calendar!$A19,DB!$1:$1,0)),FALSE),"")</f>
        <v/>
      </c>
      <c r="SCU19" s="28" t="str">
        <f>IFERROR(VLOOKUP(DATE($K$1,$K$2,SCU$4),Table1[],(MATCH(Calendar!$A19,DB!$1:$1,0)),FALSE),"")</f>
        <v/>
      </c>
      <c r="SCV19" s="28" t="str">
        <f>IFERROR(VLOOKUP(DATE($K$1,$K$2,SCV$4),Table1[],(MATCH(Calendar!$A19,DB!$1:$1,0)),FALSE),"")</f>
        <v/>
      </c>
      <c r="SCW19" s="28" t="str">
        <f>IFERROR(VLOOKUP(DATE($K$1,$K$2,SCW$4),Table1[],(MATCH(Calendar!$A19,DB!$1:$1,0)),FALSE),"")</f>
        <v/>
      </c>
      <c r="SCX19" s="28" t="str">
        <f>IFERROR(VLOOKUP(DATE($K$1,$K$2,SCX$4),Table1[],(MATCH(Calendar!$A19,DB!$1:$1,0)),FALSE),"")</f>
        <v/>
      </c>
      <c r="SCY19" s="28" t="str">
        <f>IFERROR(VLOOKUP(DATE($K$1,$K$2,SCY$4),Table1[],(MATCH(Calendar!$A19,DB!$1:$1,0)),FALSE),"")</f>
        <v/>
      </c>
      <c r="SCZ19" s="28" t="str">
        <f>IFERROR(VLOOKUP(DATE($K$1,$K$2,SCZ$4),Table1[],(MATCH(Calendar!$A19,DB!$1:$1,0)),FALSE),"")</f>
        <v/>
      </c>
      <c r="SDA19" s="28" t="str">
        <f>IFERROR(VLOOKUP(DATE($K$1,$K$2,SDA$4),Table1[],(MATCH(Calendar!$A19,DB!$1:$1,0)),FALSE),"")</f>
        <v/>
      </c>
      <c r="SDB19" s="28" t="str">
        <f>IFERROR(VLOOKUP(DATE($K$1,$K$2,SDB$4),Table1[],(MATCH(Calendar!$A19,DB!$1:$1,0)),FALSE),"")</f>
        <v/>
      </c>
      <c r="SDC19" s="28" t="str">
        <f>IFERROR(VLOOKUP(DATE($K$1,$K$2,SDC$4),Table1[],(MATCH(Calendar!$A19,DB!$1:$1,0)),FALSE),"")</f>
        <v/>
      </c>
      <c r="SDD19" s="28" t="str">
        <f>IFERROR(VLOOKUP(DATE($K$1,$K$2,SDD$4),Table1[],(MATCH(Calendar!$A19,DB!$1:$1,0)),FALSE),"")</f>
        <v/>
      </c>
      <c r="SDE19" s="28" t="str">
        <f>IFERROR(VLOOKUP(DATE($K$1,$K$2,SDE$4),Table1[],(MATCH(Calendar!$A19,DB!$1:$1,0)),FALSE),"")</f>
        <v/>
      </c>
      <c r="SDF19" s="28" t="str">
        <f>IFERROR(VLOOKUP(DATE($K$1,$K$2,SDF$4),Table1[],(MATCH(Calendar!$A19,DB!$1:$1,0)),FALSE),"")</f>
        <v/>
      </c>
      <c r="SDG19" s="28" t="str">
        <f>IFERROR(VLOOKUP(DATE($K$1,$K$2,SDG$4),Table1[],(MATCH(Calendar!$A19,DB!$1:$1,0)),FALSE),"")</f>
        <v/>
      </c>
      <c r="SDH19" s="28" t="str">
        <f>IFERROR(VLOOKUP(DATE($K$1,$K$2,SDH$4),Table1[],(MATCH(Calendar!$A19,DB!$1:$1,0)),FALSE),"")</f>
        <v/>
      </c>
      <c r="SDI19" s="28" t="str">
        <f>IFERROR(VLOOKUP(DATE($K$1,$K$2,SDI$4),Table1[],(MATCH(Calendar!$A19,DB!$1:$1,0)),FALSE),"")</f>
        <v/>
      </c>
      <c r="SDJ19" s="28" t="str">
        <f>IFERROR(VLOOKUP(DATE($K$1,$K$2,SDJ$4),Table1[],(MATCH(Calendar!$A19,DB!$1:$1,0)),FALSE),"")</f>
        <v/>
      </c>
      <c r="SDK19" s="28" t="str">
        <f>IFERROR(VLOOKUP(DATE($K$1,$K$2,SDK$4),Table1[],(MATCH(Calendar!$A19,DB!$1:$1,0)),FALSE),"")</f>
        <v/>
      </c>
      <c r="SDL19" s="28" t="str">
        <f>IFERROR(VLOOKUP(DATE($K$1,$K$2,SDL$4),Table1[],(MATCH(Calendar!$A19,DB!$1:$1,0)),FALSE),"")</f>
        <v/>
      </c>
      <c r="SDM19" s="28" t="str">
        <f>IFERROR(VLOOKUP(DATE($K$1,$K$2,SDM$4),Table1[],(MATCH(Calendar!$A19,DB!$1:$1,0)),FALSE),"")</f>
        <v/>
      </c>
      <c r="SDN19" s="28" t="str">
        <f>IFERROR(VLOOKUP(DATE($K$1,$K$2,SDN$4),Table1[],(MATCH(Calendar!$A19,DB!$1:$1,0)),FALSE),"")</f>
        <v/>
      </c>
      <c r="SDO19" s="28" t="str">
        <f>IFERROR(VLOOKUP(DATE($K$1,$K$2,SDO$4),Table1[],(MATCH(Calendar!$A19,DB!$1:$1,0)),FALSE),"")</f>
        <v/>
      </c>
      <c r="SDP19" s="28" t="str">
        <f>IFERROR(VLOOKUP(DATE($K$1,$K$2,SDP$4),Table1[],(MATCH(Calendar!$A19,DB!$1:$1,0)),FALSE),"")</f>
        <v/>
      </c>
      <c r="SDQ19" s="28" t="str">
        <f>IFERROR(VLOOKUP(DATE($K$1,$K$2,SDQ$4),Table1[],(MATCH(Calendar!$A19,DB!$1:$1,0)),FALSE),"")</f>
        <v/>
      </c>
      <c r="SDR19" s="28" t="str">
        <f>IFERROR(VLOOKUP(DATE($K$1,$K$2,SDR$4),Table1[],(MATCH(Calendar!$A19,DB!$1:$1,0)),FALSE),"")</f>
        <v/>
      </c>
      <c r="SDS19" s="28" t="str">
        <f>IFERROR(VLOOKUP(DATE($K$1,$K$2,SDS$4),Table1[],(MATCH(Calendar!$A19,DB!$1:$1,0)),FALSE),"")</f>
        <v/>
      </c>
      <c r="SDT19" s="28" t="str">
        <f>IFERROR(VLOOKUP(DATE($K$1,$K$2,SDT$4),Table1[],(MATCH(Calendar!$A19,DB!$1:$1,0)),FALSE),"")</f>
        <v/>
      </c>
      <c r="SDU19" s="28" t="str">
        <f>IFERROR(VLOOKUP(DATE($K$1,$K$2,SDU$4),Table1[],(MATCH(Calendar!$A19,DB!$1:$1,0)),FALSE),"")</f>
        <v/>
      </c>
      <c r="SDV19" s="28" t="str">
        <f>IFERROR(VLOOKUP(DATE($K$1,$K$2,SDV$4),Table1[],(MATCH(Calendar!$A19,DB!$1:$1,0)),FALSE),"")</f>
        <v/>
      </c>
      <c r="SDW19" s="28" t="str">
        <f>IFERROR(VLOOKUP(DATE($K$1,$K$2,SDW$4),Table1[],(MATCH(Calendar!$A19,DB!$1:$1,0)),FALSE),"")</f>
        <v/>
      </c>
      <c r="SDX19" s="28" t="str">
        <f>IFERROR(VLOOKUP(DATE($K$1,$K$2,SDX$4),Table1[],(MATCH(Calendar!$A19,DB!$1:$1,0)),FALSE),"")</f>
        <v/>
      </c>
      <c r="SDY19" s="28" t="str">
        <f>IFERROR(VLOOKUP(DATE($K$1,$K$2,SDY$4),Table1[],(MATCH(Calendar!$A19,DB!$1:$1,0)),FALSE),"")</f>
        <v/>
      </c>
      <c r="SDZ19" s="28" t="str">
        <f>IFERROR(VLOOKUP(DATE($K$1,$K$2,SDZ$4),Table1[],(MATCH(Calendar!$A19,DB!$1:$1,0)),FALSE),"")</f>
        <v/>
      </c>
      <c r="SEA19" s="28" t="str">
        <f>IFERROR(VLOOKUP(DATE($K$1,$K$2,SEA$4),Table1[],(MATCH(Calendar!$A19,DB!$1:$1,0)),FALSE),"")</f>
        <v/>
      </c>
      <c r="SEB19" s="28" t="str">
        <f>IFERROR(VLOOKUP(DATE($K$1,$K$2,SEB$4),Table1[],(MATCH(Calendar!$A19,DB!$1:$1,0)),FALSE),"")</f>
        <v/>
      </c>
      <c r="SEC19" s="28" t="str">
        <f>IFERROR(VLOOKUP(DATE($K$1,$K$2,SEC$4),Table1[],(MATCH(Calendar!$A19,DB!$1:$1,0)),FALSE),"")</f>
        <v/>
      </c>
      <c r="SED19" s="28" t="str">
        <f>IFERROR(VLOOKUP(DATE($K$1,$K$2,SED$4),Table1[],(MATCH(Calendar!$A19,DB!$1:$1,0)),FALSE),"")</f>
        <v/>
      </c>
      <c r="SEE19" s="28" t="str">
        <f>IFERROR(VLOOKUP(DATE($K$1,$K$2,SEE$4),Table1[],(MATCH(Calendar!$A19,DB!$1:$1,0)),FALSE),"")</f>
        <v/>
      </c>
      <c r="SEF19" s="28" t="str">
        <f>IFERROR(VLOOKUP(DATE($K$1,$K$2,SEF$4),Table1[],(MATCH(Calendar!$A19,DB!$1:$1,0)),FALSE),"")</f>
        <v/>
      </c>
      <c r="SEG19" s="28" t="str">
        <f>IFERROR(VLOOKUP(DATE($K$1,$K$2,SEG$4),Table1[],(MATCH(Calendar!$A19,DB!$1:$1,0)),FALSE),"")</f>
        <v/>
      </c>
      <c r="SEH19" s="28" t="str">
        <f>IFERROR(VLOOKUP(DATE($K$1,$K$2,SEH$4),Table1[],(MATCH(Calendar!$A19,DB!$1:$1,0)),FALSE),"")</f>
        <v/>
      </c>
      <c r="SEI19" s="28" t="str">
        <f>IFERROR(VLOOKUP(DATE($K$1,$K$2,SEI$4),Table1[],(MATCH(Calendar!$A19,DB!$1:$1,0)),FALSE),"")</f>
        <v/>
      </c>
      <c r="SEJ19" s="28" t="str">
        <f>IFERROR(VLOOKUP(DATE($K$1,$K$2,SEJ$4),Table1[],(MATCH(Calendar!$A19,DB!$1:$1,0)),FALSE),"")</f>
        <v/>
      </c>
      <c r="SEK19" s="28" t="str">
        <f>IFERROR(VLOOKUP(DATE($K$1,$K$2,SEK$4),Table1[],(MATCH(Calendar!$A19,DB!$1:$1,0)),FALSE),"")</f>
        <v/>
      </c>
      <c r="SEL19" s="28" t="str">
        <f>IFERROR(VLOOKUP(DATE($K$1,$K$2,SEL$4),Table1[],(MATCH(Calendar!$A19,DB!$1:$1,0)),FALSE),"")</f>
        <v/>
      </c>
      <c r="SEM19" s="28" t="str">
        <f>IFERROR(VLOOKUP(DATE($K$1,$K$2,SEM$4),Table1[],(MATCH(Calendar!$A19,DB!$1:$1,0)),FALSE),"")</f>
        <v/>
      </c>
      <c r="SEN19" s="28" t="str">
        <f>IFERROR(VLOOKUP(DATE($K$1,$K$2,SEN$4),Table1[],(MATCH(Calendar!$A19,DB!$1:$1,0)),FALSE),"")</f>
        <v/>
      </c>
      <c r="SEO19" s="28" t="str">
        <f>IFERROR(VLOOKUP(DATE($K$1,$K$2,SEO$4),Table1[],(MATCH(Calendar!$A19,DB!$1:$1,0)),FALSE),"")</f>
        <v/>
      </c>
      <c r="SEP19" s="28" t="str">
        <f>IFERROR(VLOOKUP(DATE($K$1,$K$2,SEP$4),Table1[],(MATCH(Calendar!$A19,DB!$1:$1,0)),FALSE),"")</f>
        <v/>
      </c>
      <c r="SEQ19" s="28" t="str">
        <f>IFERROR(VLOOKUP(DATE($K$1,$K$2,SEQ$4),Table1[],(MATCH(Calendar!$A19,DB!$1:$1,0)),FALSE),"")</f>
        <v/>
      </c>
      <c r="SER19" s="28" t="str">
        <f>IFERROR(VLOOKUP(DATE($K$1,$K$2,SER$4),Table1[],(MATCH(Calendar!$A19,DB!$1:$1,0)),FALSE),"")</f>
        <v/>
      </c>
      <c r="SES19" s="28" t="str">
        <f>IFERROR(VLOOKUP(DATE($K$1,$K$2,SES$4),Table1[],(MATCH(Calendar!$A19,DB!$1:$1,0)),FALSE),"")</f>
        <v/>
      </c>
      <c r="SET19" s="28" t="str">
        <f>IFERROR(VLOOKUP(DATE($K$1,$K$2,SET$4),Table1[],(MATCH(Calendar!$A19,DB!$1:$1,0)),FALSE),"")</f>
        <v/>
      </c>
      <c r="SEU19" s="28" t="str">
        <f>IFERROR(VLOOKUP(DATE($K$1,$K$2,SEU$4),Table1[],(MATCH(Calendar!$A19,DB!$1:$1,0)),FALSE),"")</f>
        <v/>
      </c>
      <c r="SEV19" s="28" t="str">
        <f>IFERROR(VLOOKUP(DATE($K$1,$K$2,SEV$4),Table1[],(MATCH(Calendar!$A19,DB!$1:$1,0)),FALSE),"")</f>
        <v/>
      </c>
      <c r="SEW19" s="28" t="str">
        <f>IFERROR(VLOOKUP(DATE($K$1,$K$2,SEW$4),Table1[],(MATCH(Calendar!$A19,DB!$1:$1,0)),FALSE),"")</f>
        <v/>
      </c>
      <c r="SEX19" s="28" t="str">
        <f>IFERROR(VLOOKUP(DATE($K$1,$K$2,SEX$4),Table1[],(MATCH(Calendar!$A19,DB!$1:$1,0)),FALSE),"")</f>
        <v/>
      </c>
      <c r="SEY19" s="28" t="str">
        <f>IFERROR(VLOOKUP(DATE($K$1,$K$2,SEY$4),Table1[],(MATCH(Calendar!$A19,DB!$1:$1,0)),FALSE),"")</f>
        <v/>
      </c>
      <c r="SEZ19" s="28" t="str">
        <f>IFERROR(VLOOKUP(DATE($K$1,$K$2,SEZ$4),Table1[],(MATCH(Calendar!$A19,DB!$1:$1,0)),FALSE),"")</f>
        <v/>
      </c>
      <c r="SFA19" s="28" t="str">
        <f>IFERROR(VLOOKUP(DATE($K$1,$K$2,SFA$4),Table1[],(MATCH(Calendar!$A19,DB!$1:$1,0)),FALSE),"")</f>
        <v/>
      </c>
      <c r="SFB19" s="28" t="str">
        <f>IFERROR(VLOOKUP(DATE($K$1,$K$2,SFB$4),Table1[],(MATCH(Calendar!$A19,DB!$1:$1,0)),FALSE),"")</f>
        <v/>
      </c>
      <c r="SFC19" s="28" t="str">
        <f>IFERROR(VLOOKUP(DATE($K$1,$K$2,SFC$4),Table1[],(MATCH(Calendar!$A19,DB!$1:$1,0)),FALSE),"")</f>
        <v/>
      </c>
      <c r="SFD19" s="28" t="str">
        <f>IFERROR(VLOOKUP(DATE($K$1,$K$2,SFD$4),Table1[],(MATCH(Calendar!$A19,DB!$1:$1,0)),FALSE),"")</f>
        <v/>
      </c>
      <c r="SFE19" s="28" t="str">
        <f>IFERROR(VLOOKUP(DATE($K$1,$K$2,SFE$4),Table1[],(MATCH(Calendar!$A19,DB!$1:$1,0)),FALSE),"")</f>
        <v/>
      </c>
      <c r="SFF19" s="28" t="str">
        <f>IFERROR(VLOOKUP(DATE($K$1,$K$2,SFF$4),Table1[],(MATCH(Calendar!$A19,DB!$1:$1,0)),FALSE),"")</f>
        <v/>
      </c>
      <c r="SFG19" s="28" t="str">
        <f>IFERROR(VLOOKUP(DATE($K$1,$K$2,SFG$4),Table1[],(MATCH(Calendar!$A19,DB!$1:$1,0)),FALSE),"")</f>
        <v/>
      </c>
      <c r="SFH19" s="28" t="str">
        <f>IFERROR(VLOOKUP(DATE($K$1,$K$2,SFH$4),Table1[],(MATCH(Calendar!$A19,DB!$1:$1,0)),FALSE),"")</f>
        <v/>
      </c>
      <c r="SFI19" s="28" t="str">
        <f>IFERROR(VLOOKUP(DATE($K$1,$K$2,SFI$4),Table1[],(MATCH(Calendar!$A19,DB!$1:$1,0)),FALSE),"")</f>
        <v/>
      </c>
      <c r="SFJ19" s="28" t="str">
        <f>IFERROR(VLOOKUP(DATE($K$1,$K$2,SFJ$4),Table1[],(MATCH(Calendar!$A19,DB!$1:$1,0)),FALSE),"")</f>
        <v/>
      </c>
      <c r="SFK19" s="28" t="str">
        <f>IFERROR(VLOOKUP(DATE($K$1,$K$2,SFK$4),Table1[],(MATCH(Calendar!$A19,DB!$1:$1,0)),FALSE),"")</f>
        <v/>
      </c>
      <c r="SFL19" s="28" t="str">
        <f>IFERROR(VLOOKUP(DATE($K$1,$K$2,SFL$4),Table1[],(MATCH(Calendar!$A19,DB!$1:$1,0)),FALSE),"")</f>
        <v/>
      </c>
      <c r="SFM19" s="28" t="str">
        <f>IFERROR(VLOOKUP(DATE($K$1,$K$2,SFM$4),Table1[],(MATCH(Calendar!$A19,DB!$1:$1,0)),FALSE),"")</f>
        <v/>
      </c>
      <c r="SFN19" s="28" t="str">
        <f>IFERROR(VLOOKUP(DATE($K$1,$K$2,SFN$4),Table1[],(MATCH(Calendar!$A19,DB!$1:$1,0)),FALSE),"")</f>
        <v/>
      </c>
      <c r="SFO19" s="28" t="str">
        <f>IFERROR(VLOOKUP(DATE($K$1,$K$2,SFO$4),Table1[],(MATCH(Calendar!$A19,DB!$1:$1,0)),FALSE),"")</f>
        <v/>
      </c>
      <c r="SFP19" s="28" t="str">
        <f>IFERROR(VLOOKUP(DATE($K$1,$K$2,SFP$4),Table1[],(MATCH(Calendar!$A19,DB!$1:$1,0)),FALSE),"")</f>
        <v/>
      </c>
      <c r="SFQ19" s="28" t="str">
        <f>IFERROR(VLOOKUP(DATE($K$1,$K$2,SFQ$4),Table1[],(MATCH(Calendar!$A19,DB!$1:$1,0)),FALSE),"")</f>
        <v/>
      </c>
      <c r="SFR19" s="28" t="str">
        <f>IFERROR(VLOOKUP(DATE($K$1,$K$2,SFR$4),Table1[],(MATCH(Calendar!$A19,DB!$1:$1,0)),FALSE),"")</f>
        <v/>
      </c>
      <c r="SFS19" s="28" t="str">
        <f>IFERROR(VLOOKUP(DATE($K$1,$K$2,SFS$4),Table1[],(MATCH(Calendar!$A19,DB!$1:$1,0)),FALSE),"")</f>
        <v/>
      </c>
      <c r="SFT19" s="28" t="str">
        <f>IFERROR(VLOOKUP(DATE($K$1,$K$2,SFT$4),Table1[],(MATCH(Calendar!$A19,DB!$1:$1,0)),FALSE),"")</f>
        <v/>
      </c>
      <c r="SFU19" s="28" t="str">
        <f>IFERROR(VLOOKUP(DATE($K$1,$K$2,SFU$4),Table1[],(MATCH(Calendar!$A19,DB!$1:$1,0)),FALSE),"")</f>
        <v/>
      </c>
      <c r="SFV19" s="28" t="str">
        <f>IFERROR(VLOOKUP(DATE($K$1,$K$2,SFV$4),Table1[],(MATCH(Calendar!$A19,DB!$1:$1,0)),FALSE),"")</f>
        <v/>
      </c>
      <c r="SFW19" s="28" t="str">
        <f>IFERROR(VLOOKUP(DATE($K$1,$K$2,SFW$4),Table1[],(MATCH(Calendar!$A19,DB!$1:$1,0)),FALSE),"")</f>
        <v/>
      </c>
      <c r="SFX19" s="28" t="str">
        <f>IFERROR(VLOOKUP(DATE($K$1,$K$2,SFX$4),Table1[],(MATCH(Calendar!$A19,DB!$1:$1,0)),FALSE),"")</f>
        <v/>
      </c>
      <c r="SFY19" s="28" t="str">
        <f>IFERROR(VLOOKUP(DATE($K$1,$K$2,SFY$4),Table1[],(MATCH(Calendar!$A19,DB!$1:$1,0)),FALSE),"")</f>
        <v/>
      </c>
      <c r="SFZ19" s="28" t="str">
        <f>IFERROR(VLOOKUP(DATE($K$1,$K$2,SFZ$4),Table1[],(MATCH(Calendar!$A19,DB!$1:$1,0)),FALSE),"")</f>
        <v/>
      </c>
      <c r="SGA19" s="28" t="str">
        <f>IFERROR(VLOOKUP(DATE($K$1,$K$2,SGA$4),Table1[],(MATCH(Calendar!$A19,DB!$1:$1,0)),FALSE),"")</f>
        <v/>
      </c>
      <c r="SGB19" s="28" t="str">
        <f>IFERROR(VLOOKUP(DATE($K$1,$K$2,SGB$4),Table1[],(MATCH(Calendar!$A19,DB!$1:$1,0)),FALSE),"")</f>
        <v/>
      </c>
      <c r="SGC19" s="28" t="str">
        <f>IFERROR(VLOOKUP(DATE($K$1,$K$2,SGC$4),Table1[],(MATCH(Calendar!$A19,DB!$1:$1,0)),FALSE),"")</f>
        <v/>
      </c>
      <c r="SGD19" s="28" t="str">
        <f>IFERROR(VLOOKUP(DATE($K$1,$K$2,SGD$4),Table1[],(MATCH(Calendar!$A19,DB!$1:$1,0)),FALSE),"")</f>
        <v/>
      </c>
      <c r="SGE19" s="28" t="str">
        <f>IFERROR(VLOOKUP(DATE($K$1,$K$2,SGE$4),Table1[],(MATCH(Calendar!$A19,DB!$1:$1,0)),FALSE),"")</f>
        <v/>
      </c>
      <c r="SGF19" s="28" t="str">
        <f>IFERROR(VLOOKUP(DATE($K$1,$K$2,SGF$4),Table1[],(MATCH(Calendar!$A19,DB!$1:$1,0)),FALSE),"")</f>
        <v/>
      </c>
      <c r="SGG19" s="28" t="str">
        <f>IFERROR(VLOOKUP(DATE($K$1,$K$2,SGG$4),Table1[],(MATCH(Calendar!$A19,DB!$1:$1,0)),FALSE),"")</f>
        <v/>
      </c>
      <c r="SGH19" s="28" t="str">
        <f>IFERROR(VLOOKUP(DATE($K$1,$K$2,SGH$4),Table1[],(MATCH(Calendar!$A19,DB!$1:$1,0)),FALSE),"")</f>
        <v/>
      </c>
      <c r="SGI19" s="28" t="str">
        <f>IFERROR(VLOOKUP(DATE($K$1,$K$2,SGI$4),Table1[],(MATCH(Calendar!$A19,DB!$1:$1,0)),FALSE),"")</f>
        <v/>
      </c>
      <c r="SGJ19" s="28" t="str">
        <f>IFERROR(VLOOKUP(DATE($K$1,$K$2,SGJ$4),Table1[],(MATCH(Calendar!$A19,DB!$1:$1,0)),FALSE),"")</f>
        <v/>
      </c>
      <c r="SGK19" s="28" t="str">
        <f>IFERROR(VLOOKUP(DATE($K$1,$K$2,SGK$4),Table1[],(MATCH(Calendar!$A19,DB!$1:$1,0)),FALSE),"")</f>
        <v/>
      </c>
      <c r="SGL19" s="28" t="str">
        <f>IFERROR(VLOOKUP(DATE($K$1,$K$2,SGL$4),Table1[],(MATCH(Calendar!$A19,DB!$1:$1,0)),FALSE),"")</f>
        <v/>
      </c>
      <c r="SGM19" s="28" t="str">
        <f>IFERROR(VLOOKUP(DATE($K$1,$K$2,SGM$4),Table1[],(MATCH(Calendar!$A19,DB!$1:$1,0)),FALSE),"")</f>
        <v/>
      </c>
      <c r="SGN19" s="28" t="str">
        <f>IFERROR(VLOOKUP(DATE($K$1,$K$2,SGN$4),Table1[],(MATCH(Calendar!$A19,DB!$1:$1,0)),FALSE),"")</f>
        <v/>
      </c>
      <c r="SGO19" s="28" t="str">
        <f>IFERROR(VLOOKUP(DATE($K$1,$K$2,SGO$4),Table1[],(MATCH(Calendar!$A19,DB!$1:$1,0)),FALSE),"")</f>
        <v/>
      </c>
      <c r="SGP19" s="28" t="str">
        <f>IFERROR(VLOOKUP(DATE($K$1,$K$2,SGP$4),Table1[],(MATCH(Calendar!$A19,DB!$1:$1,0)),FALSE),"")</f>
        <v/>
      </c>
      <c r="SGQ19" s="28" t="str">
        <f>IFERROR(VLOOKUP(DATE($K$1,$K$2,SGQ$4),Table1[],(MATCH(Calendar!$A19,DB!$1:$1,0)),FALSE),"")</f>
        <v/>
      </c>
      <c r="SGR19" s="28" t="str">
        <f>IFERROR(VLOOKUP(DATE($K$1,$K$2,SGR$4),Table1[],(MATCH(Calendar!$A19,DB!$1:$1,0)),FALSE),"")</f>
        <v/>
      </c>
      <c r="SGS19" s="28" t="str">
        <f>IFERROR(VLOOKUP(DATE($K$1,$K$2,SGS$4),Table1[],(MATCH(Calendar!$A19,DB!$1:$1,0)),FALSE),"")</f>
        <v/>
      </c>
      <c r="SGT19" s="28" t="str">
        <f>IFERROR(VLOOKUP(DATE($K$1,$K$2,SGT$4),Table1[],(MATCH(Calendar!$A19,DB!$1:$1,0)),FALSE),"")</f>
        <v/>
      </c>
      <c r="SGU19" s="28" t="str">
        <f>IFERROR(VLOOKUP(DATE($K$1,$K$2,SGU$4),Table1[],(MATCH(Calendar!$A19,DB!$1:$1,0)),FALSE),"")</f>
        <v/>
      </c>
      <c r="SGV19" s="28" t="str">
        <f>IFERROR(VLOOKUP(DATE($K$1,$K$2,SGV$4),Table1[],(MATCH(Calendar!$A19,DB!$1:$1,0)),FALSE),"")</f>
        <v/>
      </c>
      <c r="SGW19" s="28" t="str">
        <f>IFERROR(VLOOKUP(DATE($K$1,$K$2,SGW$4),Table1[],(MATCH(Calendar!$A19,DB!$1:$1,0)),FALSE),"")</f>
        <v/>
      </c>
      <c r="SGX19" s="28" t="str">
        <f>IFERROR(VLOOKUP(DATE($K$1,$K$2,SGX$4),Table1[],(MATCH(Calendar!$A19,DB!$1:$1,0)),FALSE),"")</f>
        <v/>
      </c>
      <c r="SGY19" s="28" t="str">
        <f>IFERROR(VLOOKUP(DATE($K$1,$K$2,SGY$4),Table1[],(MATCH(Calendar!$A19,DB!$1:$1,0)),FALSE),"")</f>
        <v/>
      </c>
      <c r="SGZ19" s="28" t="str">
        <f>IFERROR(VLOOKUP(DATE($K$1,$K$2,SGZ$4),Table1[],(MATCH(Calendar!$A19,DB!$1:$1,0)),FALSE),"")</f>
        <v/>
      </c>
      <c r="SHA19" s="28" t="str">
        <f>IFERROR(VLOOKUP(DATE($K$1,$K$2,SHA$4),Table1[],(MATCH(Calendar!$A19,DB!$1:$1,0)),FALSE),"")</f>
        <v/>
      </c>
      <c r="SHB19" s="28" t="str">
        <f>IFERROR(VLOOKUP(DATE($K$1,$K$2,SHB$4),Table1[],(MATCH(Calendar!$A19,DB!$1:$1,0)),FALSE),"")</f>
        <v/>
      </c>
      <c r="SHC19" s="28" t="str">
        <f>IFERROR(VLOOKUP(DATE($K$1,$K$2,SHC$4),Table1[],(MATCH(Calendar!$A19,DB!$1:$1,0)),FALSE),"")</f>
        <v/>
      </c>
      <c r="SHD19" s="28" t="str">
        <f>IFERROR(VLOOKUP(DATE($K$1,$K$2,SHD$4),Table1[],(MATCH(Calendar!$A19,DB!$1:$1,0)),FALSE),"")</f>
        <v/>
      </c>
      <c r="SHE19" s="28" t="str">
        <f>IFERROR(VLOOKUP(DATE($K$1,$K$2,SHE$4),Table1[],(MATCH(Calendar!$A19,DB!$1:$1,0)),FALSE),"")</f>
        <v/>
      </c>
      <c r="SHF19" s="28" t="str">
        <f>IFERROR(VLOOKUP(DATE($K$1,$K$2,SHF$4),Table1[],(MATCH(Calendar!$A19,DB!$1:$1,0)),FALSE),"")</f>
        <v/>
      </c>
      <c r="SHG19" s="28" t="str">
        <f>IFERROR(VLOOKUP(DATE($K$1,$K$2,SHG$4),Table1[],(MATCH(Calendar!$A19,DB!$1:$1,0)),FALSE),"")</f>
        <v/>
      </c>
      <c r="SHH19" s="28" t="str">
        <f>IFERROR(VLOOKUP(DATE($K$1,$K$2,SHH$4),Table1[],(MATCH(Calendar!$A19,DB!$1:$1,0)),FALSE),"")</f>
        <v/>
      </c>
      <c r="SHI19" s="28" t="str">
        <f>IFERROR(VLOOKUP(DATE($K$1,$K$2,SHI$4),Table1[],(MATCH(Calendar!$A19,DB!$1:$1,0)),FALSE),"")</f>
        <v/>
      </c>
      <c r="SHJ19" s="28" t="str">
        <f>IFERROR(VLOOKUP(DATE($K$1,$K$2,SHJ$4),Table1[],(MATCH(Calendar!$A19,DB!$1:$1,0)),FALSE),"")</f>
        <v/>
      </c>
      <c r="SHK19" s="28" t="str">
        <f>IFERROR(VLOOKUP(DATE($K$1,$K$2,SHK$4),Table1[],(MATCH(Calendar!$A19,DB!$1:$1,0)),FALSE),"")</f>
        <v/>
      </c>
      <c r="SHL19" s="28" t="str">
        <f>IFERROR(VLOOKUP(DATE($K$1,$K$2,SHL$4),Table1[],(MATCH(Calendar!$A19,DB!$1:$1,0)),FALSE),"")</f>
        <v/>
      </c>
      <c r="SHM19" s="28" t="str">
        <f>IFERROR(VLOOKUP(DATE($K$1,$K$2,SHM$4),Table1[],(MATCH(Calendar!$A19,DB!$1:$1,0)),FALSE),"")</f>
        <v/>
      </c>
      <c r="SHN19" s="28" t="str">
        <f>IFERROR(VLOOKUP(DATE($K$1,$K$2,SHN$4),Table1[],(MATCH(Calendar!$A19,DB!$1:$1,0)),FALSE),"")</f>
        <v/>
      </c>
      <c r="SHO19" s="28" t="str">
        <f>IFERROR(VLOOKUP(DATE($K$1,$K$2,SHO$4),Table1[],(MATCH(Calendar!$A19,DB!$1:$1,0)),FALSE),"")</f>
        <v/>
      </c>
      <c r="SHP19" s="28" t="str">
        <f>IFERROR(VLOOKUP(DATE($K$1,$K$2,SHP$4),Table1[],(MATCH(Calendar!$A19,DB!$1:$1,0)),FALSE),"")</f>
        <v/>
      </c>
      <c r="SHQ19" s="28" t="str">
        <f>IFERROR(VLOOKUP(DATE($K$1,$K$2,SHQ$4),Table1[],(MATCH(Calendar!$A19,DB!$1:$1,0)),FALSE),"")</f>
        <v/>
      </c>
      <c r="SHR19" s="28" t="str">
        <f>IFERROR(VLOOKUP(DATE($K$1,$K$2,SHR$4),Table1[],(MATCH(Calendar!$A19,DB!$1:$1,0)),FALSE),"")</f>
        <v/>
      </c>
      <c r="SHS19" s="28" t="str">
        <f>IFERROR(VLOOKUP(DATE($K$1,$K$2,SHS$4),Table1[],(MATCH(Calendar!$A19,DB!$1:$1,0)),FALSE),"")</f>
        <v/>
      </c>
      <c r="SHT19" s="28" t="str">
        <f>IFERROR(VLOOKUP(DATE($K$1,$K$2,SHT$4),Table1[],(MATCH(Calendar!$A19,DB!$1:$1,0)),FALSE),"")</f>
        <v/>
      </c>
      <c r="SHU19" s="28" t="str">
        <f>IFERROR(VLOOKUP(DATE($K$1,$K$2,SHU$4),Table1[],(MATCH(Calendar!$A19,DB!$1:$1,0)),FALSE),"")</f>
        <v/>
      </c>
      <c r="SHV19" s="28" t="str">
        <f>IFERROR(VLOOKUP(DATE($K$1,$K$2,SHV$4),Table1[],(MATCH(Calendar!$A19,DB!$1:$1,0)),FALSE),"")</f>
        <v/>
      </c>
      <c r="SHW19" s="28" t="str">
        <f>IFERROR(VLOOKUP(DATE($K$1,$K$2,SHW$4),Table1[],(MATCH(Calendar!$A19,DB!$1:$1,0)),FALSE),"")</f>
        <v/>
      </c>
      <c r="SHX19" s="28" t="str">
        <f>IFERROR(VLOOKUP(DATE($K$1,$K$2,SHX$4),Table1[],(MATCH(Calendar!$A19,DB!$1:$1,0)),FALSE),"")</f>
        <v/>
      </c>
      <c r="SHY19" s="28" t="str">
        <f>IFERROR(VLOOKUP(DATE($K$1,$K$2,SHY$4),Table1[],(MATCH(Calendar!$A19,DB!$1:$1,0)),FALSE),"")</f>
        <v/>
      </c>
      <c r="SHZ19" s="28" t="str">
        <f>IFERROR(VLOOKUP(DATE($K$1,$K$2,SHZ$4),Table1[],(MATCH(Calendar!$A19,DB!$1:$1,0)),FALSE),"")</f>
        <v/>
      </c>
      <c r="SIA19" s="28" t="str">
        <f>IFERROR(VLOOKUP(DATE($K$1,$K$2,SIA$4),Table1[],(MATCH(Calendar!$A19,DB!$1:$1,0)),FALSE),"")</f>
        <v/>
      </c>
      <c r="SIB19" s="28" t="str">
        <f>IFERROR(VLOOKUP(DATE($K$1,$K$2,SIB$4),Table1[],(MATCH(Calendar!$A19,DB!$1:$1,0)),FALSE),"")</f>
        <v/>
      </c>
      <c r="SIC19" s="28" t="str">
        <f>IFERROR(VLOOKUP(DATE($K$1,$K$2,SIC$4),Table1[],(MATCH(Calendar!$A19,DB!$1:$1,0)),FALSE),"")</f>
        <v/>
      </c>
      <c r="SID19" s="28" t="str">
        <f>IFERROR(VLOOKUP(DATE($K$1,$K$2,SID$4),Table1[],(MATCH(Calendar!$A19,DB!$1:$1,0)),FALSE),"")</f>
        <v/>
      </c>
      <c r="SIE19" s="28" t="str">
        <f>IFERROR(VLOOKUP(DATE($K$1,$K$2,SIE$4),Table1[],(MATCH(Calendar!$A19,DB!$1:$1,0)),FALSE),"")</f>
        <v/>
      </c>
      <c r="SIF19" s="28" t="str">
        <f>IFERROR(VLOOKUP(DATE($K$1,$K$2,SIF$4),Table1[],(MATCH(Calendar!$A19,DB!$1:$1,0)),FALSE),"")</f>
        <v/>
      </c>
      <c r="SIG19" s="28" t="str">
        <f>IFERROR(VLOOKUP(DATE($K$1,$K$2,SIG$4),Table1[],(MATCH(Calendar!$A19,DB!$1:$1,0)),FALSE),"")</f>
        <v/>
      </c>
      <c r="SIH19" s="28" t="str">
        <f>IFERROR(VLOOKUP(DATE($K$1,$K$2,SIH$4),Table1[],(MATCH(Calendar!$A19,DB!$1:$1,0)),FALSE),"")</f>
        <v/>
      </c>
      <c r="SII19" s="28" t="str">
        <f>IFERROR(VLOOKUP(DATE($K$1,$K$2,SII$4),Table1[],(MATCH(Calendar!$A19,DB!$1:$1,0)),FALSE),"")</f>
        <v/>
      </c>
      <c r="SIJ19" s="28" t="str">
        <f>IFERROR(VLOOKUP(DATE($K$1,$K$2,SIJ$4),Table1[],(MATCH(Calendar!$A19,DB!$1:$1,0)),FALSE),"")</f>
        <v/>
      </c>
      <c r="SIK19" s="28" t="str">
        <f>IFERROR(VLOOKUP(DATE($K$1,$K$2,SIK$4),Table1[],(MATCH(Calendar!$A19,DB!$1:$1,0)),FALSE),"")</f>
        <v/>
      </c>
      <c r="SIL19" s="28" t="str">
        <f>IFERROR(VLOOKUP(DATE($K$1,$K$2,SIL$4),Table1[],(MATCH(Calendar!$A19,DB!$1:$1,0)),FALSE),"")</f>
        <v/>
      </c>
      <c r="SIM19" s="28" t="str">
        <f>IFERROR(VLOOKUP(DATE($K$1,$K$2,SIM$4),Table1[],(MATCH(Calendar!$A19,DB!$1:$1,0)),FALSE),"")</f>
        <v/>
      </c>
      <c r="SIN19" s="28" t="str">
        <f>IFERROR(VLOOKUP(DATE($K$1,$K$2,SIN$4),Table1[],(MATCH(Calendar!$A19,DB!$1:$1,0)),FALSE),"")</f>
        <v/>
      </c>
      <c r="SIO19" s="28" t="str">
        <f>IFERROR(VLOOKUP(DATE($K$1,$K$2,SIO$4),Table1[],(MATCH(Calendar!$A19,DB!$1:$1,0)),FALSE),"")</f>
        <v/>
      </c>
      <c r="SIP19" s="28" t="str">
        <f>IFERROR(VLOOKUP(DATE($K$1,$K$2,SIP$4),Table1[],(MATCH(Calendar!$A19,DB!$1:$1,0)),FALSE),"")</f>
        <v/>
      </c>
      <c r="SIQ19" s="28" t="str">
        <f>IFERROR(VLOOKUP(DATE($K$1,$K$2,SIQ$4),Table1[],(MATCH(Calendar!$A19,DB!$1:$1,0)),FALSE),"")</f>
        <v/>
      </c>
      <c r="SIR19" s="28" t="str">
        <f>IFERROR(VLOOKUP(DATE($K$1,$K$2,SIR$4),Table1[],(MATCH(Calendar!$A19,DB!$1:$1,0)),FALSE),"")</f>
        <v/>
      </c>
      <c r="SIS19" s="28" t="str">
        <f>IFERROR(VLOOKUP(DATE($K$1,$K$2,SIS$4),Table1[],(MATCH(Calendar!$A19,DB!$1:$1,0)),FALSE),"")</f>
        <v/>
      </c>
      <c r="SIT19" s="28" t="str">
        <f>IFERROR(VLOOKUP(DATE($K$1,$K$2,SIT$4),Table1[],(MATCH(Calendar!$A19,DB!$1:$1,0)),FALSE),"")</f>
        <v/>
      </c>
      <c r="SIU19" s="28" t="str">
        <f>IFERROR(VLOOKUP(DATE($K$1,$K$2,SIU$4),Table1[],(MATCH(Calendar!$A19,DB!$1:$1,0)),FALSE),"")</f>
        <v/>
      </c>
      <c r="SIV19" s="28" t="str">
        <f>IFERROR(VLOOKUP(DATE($K$1,$K$2,SIV$4),Table1[],(MATCH(Calendar!$A19,DB!$1:$1,0)),FALSE),"")</f>
        <v/>
      </c>
      <c r="SIW19" s="28" t="str">
        <f>IFERROR(VLOOKUP(DATE($K$1,$K$2,SIW$4),Table1[],(MATCH(Calendar!$A19,DB!$1:$1,0)),FALSE),"")</f>
        <v/>
      </c>
      <c r="SIX19" s="28" t="str">
        <f>IFERROR(VLOOKUP(DATE($K$1,$K$2,SIX$4),Table1[],(MATCH(Calendar!$A19,DB!$1:$1,0)),FALSE),"")</f>
        <v/>
      </c>
      <c r="SIY19" s="28" t="str">
        <f>IFERROR(VLOOKUP(DATE($K$1,$K$2,SIY$4),Table1[],(MATCH(Calendar!$A19,DB!$1:$1,0)),FALSE),"")</f>
        <v/>
      </c>
      <c r="SIZ19" s="28" t="str">
        <f>IFERROR(VLOOKUP(DATE($K$1,$K$2,SIZ$4),Table1[],(MATCH(Calendar!$A19,DB!$1:$1,0)),FALSE),"")</f>
        <v/>
      </c>
      <c r="SJA19" s="28" t="str">
        <f>IFERROR(VLOOKUP(DATE($K$1,$K$2,SJA$4),Table1[],(MATCH(Calendar!$A19,DB!$1:$1,0)),FALSE),"")</f>
        <v/>
      </c>
      <c r="SJB19" s="28" t="str">
        <f>IFERROR(VLOOKUP(DATE($K$1,$K$2,SJB$4),Table1[],(MATCH(Calendar!$A19,DB!$1:$1,0)),FALSE),"")</f>
        <v/>
      </c>
      <c r="SJC19" s="28" t="str">
        <f>IFERROR(VLOOKUP(DATE($K$1,$K$2,SJC$4),Table1[],(MATCH(Calendar!$A19,DB!$1:$1,0)),FALSE),"")</f>
        <v/>
      </c>
      <c r="SJD19" s="28" t="str">
        <f>IFERROR(VLOOKUP(DATE($K$1,$K$2,SJD$4),Table1[],(MATCH(Calendar!$A19,DB!$1:$1,0)),FALSE),"")</f>
        <v/>
      </c>
      <c r="SJE19" s="28" t="str">
        <f>IFERROR(VLOOKUP(DATE($K$1,$K$2,SJE$4),Table1[],(MATCH(Calendar!$A19,DB!$1:$1,0)),FALSE),"")</f>
        <v/>
      </c>
      <c r="SJF19" s="28" t="str">
        <f>IFERROR(VLOOKUP(DATE($K$1,$K$2,SJF$4),Table1[],(MATCH(Calendar!$A19,DB!$1:$1,0)),FALSE),"")</f>
        <v/>
      </c>
      <c r="SJG19" s="28" t="str">
        <f>IFERROR(VLOOKUP(DATE($K$1,$K$2,SJG$4),Table1[],(MATCH(Calendar!$A19,DB!$1:$1,0)),FALSE),"")</f>
        <v/>
      </c>
      <c r="SJH19" s="28" t="str">
        <f>IFERROR(VLOOKUP(DATE($K$1,$K$2,SJH$4),Table1[],(MATCH(Calendar!$A19,DB!$1:$1,0)),FALSE),"")</f>
        <v/>
      </c>
      <c r="SJI19" s="28" t="str">
        <f>IFERROR(VLOOKUP(DATE($K$1,$K$2,SJI$4),Table1[],(MATCH(Calendar!$A19,DB!$1:$1,0)),FALSE),"")</f>
        <v/>
      </c>
      <c r="SJJ19" s="28" t="str">
        <f>IFERROR(VLOOKUP(DATE($K$1,$K$2,SJJ$4),Table1[],(MATCH(Calendar!$A19,DB!$1:$1,0)),FALSE),"")</f>
        <v/>
      </c>
      <c r="SJK19" s="28" t="str">
        <f>IFERROR(VLOOKUP(DATE($K$1,$K$2,SJK$4),Table1[],(MATCH(Calendar!$A19,DB!$1:$1,0)),FALSE),"")</f>
        <v/>
      </c>
      <c r="SJL19" s="28" t="str">
        <f>IFERROR(VLOOKUP(DATE($K$1,$K$2,SJL$4),Table1[],(MATCH(Calendar!$A19,DB!$1:$1,0)),FALSE),"")</f>
        <v/>
      </c>
      <c r="SJM19" s="28" t="str">
        <f>IFERROR(VLOOKUP(DATE($K$1,$K$2,SJM$4),Table1[],(MATCH(Calendar!$A19,DB!$1:$1,0)),FALSE),"")</f>
        <v/>
      </c>
      <c r="SJN19" s="28" t="str">
        <f>IFERROR(VLOOKUP(DATE($K$1,$K$2,SJN$4),Table1[],(MATCH(Calendar!$A19,DB!$1:$1,0)),FALSE),"")</f>
        <v/>
      </c>
      <c r="SJO19" s="28" t="str">
        <f>IFERROR(VLOOKUP(DATE($K$1,$K$2,SJO$4),Table1[],(MATCH(Calendar!$A19,DB!$1:$1,0)),FALSE),"")</f>
        <v/>
      </c>
      <c r="SJP19" s="28" t="str">
        <f>IFERROR(VLOOKUP(DATE($K$1,$K$2,SJP$4),Table1[],(MATCH(Calendar!$A19,DB!$1:$1,0)),FALSE),"")</f>
        <v/>
      </c>
      <c r="SJQ19" s="28" t="str">
        <f>IFERROR(VLOOKUP(DATE($K$1,$K$2,SJQ$4),Table1[],(MATCH(Calendar!$A19,DB!$1:$1,0)),FALSE),"")</f>
        <v/>
      </c>
      <c r="SJR19" s="28" t="str">
        <f>IFERROR(VLOOKUP(DATE($K$1,$K$2,SJR$4),Table1[],(MATCH(Calendar!$A19,DB!$1:$1,0)),FALSE),"")</f>
        <v/>
      </c>
      <c r="SJS19" s="28" t="str">
        <f>IFERROR(VLOOKUP(DATE($K$1,$K$2,SJS$4),Table1[],(MATCH(Calendar!$A19,DB!$1:$1,0)),FALSE),"")</f>
        <v/>
      </c>
      <c r="SJT19" s="28" t="str">
        <f>IFERROR(VLOOKUP(DATE($K$1,$K$2,SJT$4),Table1[],(MATCH(Calendar!$A19,DB!$1:$1,0)),FALSE),"")</f>
        <v/>
      </c>
      <c r="SJU19" s="28" t="str">
        <f>IFERROR(VLOOKUP(DATE($K$1,$K$2,SJU$4),Table1[],(MATCH(Calendar!$A19,DB!$1:$1,0)),FALSE),"")</f>
        <v/>
      </c>
      <c r="SJV19" s="28" t="str">
        <f>IFERROR(VLOOKUP(DATE($K$1,$K$2,SJV$4),Table1[],(MATCH(Calendar!$A19,DB!$1:$1,0)),FALSE),"")</f>
        <v/>
      </c>
      <c r="SJW19" s="28" t="str">
        <f>IFERROR(VLOOKUP(DATE($K$1,$K$2,SJW$4),Table1[],(MATCH(Calendar!$A19,DB!$1:$1,0)),FALSE),"")</f>
        <v/>
      </c>
      <c r="SJX19" s="28" t="str">
        <f>IFERROR(VLOOKUP(DATE($K$1,$K$2,SJX$4),Table1[],(MATCH(Calendar!$A19,DB!$1:$1,0)),FALSE),"")</f>
        <v/>
      </c>
      <c r="SJY19" s="28" t="str">
        <f>IFERROR(VLOOKUP(DATE($K$1,$K$2,SJY$4),Table1[],(MATCH(Calendar!$A19,DB!$1:$1,0)),FALSE),"")</f>
        <v/>
      </c>
      <c r="SJZ19" s="28" t="str">
        <f>IFERROR(VLOOKUP(DATE($K$1,$K$2,SJZ$4),Table1[],(MATCH(Calendar!$A19,DB!$1:$1,0)),FALSE),"")</f>
        <v/>
      </c>
      <c r="SKA19" s="28" t="str">
        <f>IFERROR(VLOOKUP(DATE($K$1,$K$2,SKA$4),Table1[],(MATCH(Calendar!$A19,DB!$1:$1,0)),FALSE),"")</f>
        <v/>
      </c>
      <c r="SKB19" s="28" t="str">
        <f>IFERROR(VLOOKUP(DATE($K$1,$K$2,SKB$4),Table1[],(MATCH(Calendar!$A19,DB!$1:$1,0)),FALSE),"")</f>
        <v/>
      </c>
      <c r="SKC19" s="28" t="str">
        <f>IFERROR(VLOOKUP(DATE($K$1,$K$2,SKC$4),Table1[],(MATCH(Calendar!$A19,DB!$1:$1,0)),FALSE),"")</f>
        <v/>
      </c>
      <c r="SKD19" s="28" t="str">
        <f>IFERROR(VLOOKUP(DATE($K$1,$K$2,SKD$4),Table1[],(MATCH(Calendar!$A19,DB!$1:$1,0)),FALSE),"")</f>
        <v/>
      </c>
      <c r="SKE19" s="28" t="str">
        <f>IFERROR(VLOOKUP(DATE($K$1,$K$2,SKE$4),Table1[],(MATCH(Calendar!$A19,DB!$1:$1,0)),FALSE),"")</f>
        <v/>
      </c>
      <c r="SKF19" s="28" t="str">
        <f>IFERROR(VLOOKUP(DATE($K$1,$K$2,SKF$4),Table1[],(MATCH(Calendar!$A19,DB!$1:$1,0)),FALSE),"")</f>
        <v/>
      </c>
      <c r="SKG19" s="28" t="str">
        <f>IFERROR(VLOOKUP(DATE($K$1,$K$2,SKG$4),Table1[],(MATCH(Calendar!$A19,DB!$1:$1,0)),FALSE),"")</f>
        <v/>
      </c>
      <c r="SKH19" s="28" t="str">
        <f>IFERROR(VLOOKUP(DATE($K$1,$K$2,SKH$4),Table1[],(MATCH(Calendar!$A19,DB!$1:$1,0)),FALSE),"")</f>
        <v/>
      </c>
      <c r="SKI19" s="28" t="str">
        <f>IFERROR(VLOOKUP(DATE($K$1,$K$2,SKI$4),Table1[],(MATCH(Calendar!$A19,DB!$1:$1,0)),FALSE),"")</f>
        <v/>
      </c>
      <c r="SKJ19" s="28" t="str">
        <f>IFERROR(VLOOKUP(DATE($K$1,$K$2,SKJ$4),Table1[],(MATCH(Calendar!$A19,DB!$1:$1,0)),FALSE),"")</f>
        <v/>
      </c>
      <c r="SKK19" s="28" t="str">
        <f>IFERROR(VLOOKUP(DATE($K$1,$K$2,SKK$4),Table1[],(MATCH(Calendar!$A19,DB!$1:$1,0)),FALSE),"")</f>
        <v/>
      </c>
      <c r="SKL19" s="28" t="str">
        <f>IFERROR(VLOOKUP(DATE($K$1,$K$2,SKL$4),Table1[],(MATCH(Calendar!$A19,DB!$1:$1,0)),FALSE),"")</f>
        <v/>
      </c>
      <c r="SKM19" s="28" t="str">
        <f>IFERROR(VLOOKUP(DATE($K$1,$K$2,SKM$4),Table1[],(MATCH(Calendar!$A19,DB!$1:$1,0)),FALSE),"")</f>
        <v/>
      </c>
      <c r="SKN19" s="28" t="str">
        <f>IFERROR(VLOOKUP(DATE($K$1,$K$2,SKN$4),Table1[],(MATCH(Calendar!$A19,DB!$1:$1,0)),FALSE),"")</f>
        <v/>
      </c>
      <c r="SKO19" s="28" t="str">
        <f>IFERROR(VLOOKUP(DATE($K$1,$K$2,SKO$4),Table1[],(MATCH(Calendar!$A19,DB!$1:$1,0)),FALSE),"")</f>
        <v/>
      </c>
      <c r="SKP19" s="28" t="str">
        <f>IFERROR(VLOOKUP(DATE($K$1,$K$2,SKP$4),Table1[],(MATCH(Calendar!$A19,DB!$1:$1,0)),FALSE),"")</f>
        <v/>
      </c>
      <c r="SKQ19" s="28" t="str">
        <f>IFERROR(VLOOKUP(DATE($K$1,$K$2,SKQ$4),Table1[],(MATCH(Calendar!$A19,DB!$1:$1,0)),FALSE),"")</f>
        <v/>
      </c>
      <c r="SKR19" s="28" t="str">
        <f>IFERROR(VLOOKUP(DATE($K$1,$K$2,SKR$4),Table1[],(MATCH(Calendar!$A19,DB!$1:$1,0)),FALSE),"")</f>
        <v/>
      </c>
      <c r="SKS19" s="28" t="str">
        <f>IFERROR(VLOOKUP(DATE($K$1,$K$2,SKS$4),Table1[],(MATCH(Calendar!$A19,DB!$1:$1,0)),FALSE),"")</f>
        <v/>
      </c>
      <c r="SKT19" s="28" t="str">
        <f>IFERROR(VLOOKUP(DATE($K$1,$K$2,SKT$4),Table1[],(MATCH(Calendar!$A19,DB!$1:$1,0)),FALSE),"")</f>
        <v/>
      </c>
      <c r="SKU19" s="28" t="str">
        <f>IFERROR(VLOOKUP(DATE($K$1,$K$2,SKU$4),Table1[],(MATCH(Calendar!$A19,DB!$1:$1,0)),FALSE),"")</f>
        <v/>
      </c>
      <c r="SKV19" s="28" t="str">
        <f>IFERROR(VLOOKUP(DATE($K$1,$K$2,SKV$4),Table1[],(MATCH(Calendar!$A19,DB!$1:$1,0)),FALSE),"")</f>
        <v/>
      </c>
      <c r="SKW19" s="28" t="str">
        <f>IFERROR(VLOOKUP(DATE($K$1,$K$2,SKW$4),Table1[],(MATCH(Calendar!$A19,DB!$1:$1,0)),FALSE),"")</f>
        <v/>
      </c>
      <c r="SKX19" s="28" t="str">
        <f>IFERROR(VLOOKUP(DATE($K$1,$K$2,SKX$4),Table1[],(MATCH(Calendar!$A19,DB!$1:$1,0)),FALSE),"")</f>
        <v/>
      </c>
      <c r="SKY19" s="28" t="str">
        <f>IFERROR(VLOOKUP(DATE($K$1,$K$2,SKY$4),Table1[],(MATCH(Calendar!$A19,DB!$1:$1,0)),FALSE),"")</f>
        <v/>
      </c>
      <c r="SKZ19" s="28" t="str">
        <f>IFERROR(VLOOKUP(DATE($K$1,$K$2,SKZ$4),Table1[],(MATCH(Calendar!$A19,DB!$1:$1,0)),FALSE),"")</f>
        <v/>
      </c>
      <c r="SLA19" s="28" t="str">
        <f>IFERROR(VLOOKUP(DATE($K$1,$K$2,SLA$4),Table1[],(MATCH(Calendar!$A19,DB!$1:$1,0)),FALSE),"")</f>
        <v/>
      </c>
      <c r="SLB19" s="28" t="str">
        <f>IFERROR(VLOOKUP(DATE($K$1,$K$2,SLB$4),Table1[],(MATCH(Calendar!$A19,DB!$1:$1,0)),FALSE),"")</f>
        <v/>
      </c>
      <c r="SLC19" s="28" t="str">
        <f>IFERROR(VLOOKUP(DATE($K$1,$K$2,SLC$4),Table1[],(MATCH(Calendar!$A19,DB!$1:$1,0)),FALSE),"")</f>
        <v/>
      </c>
      <c r="SLD19" s="28" t="str">
        <f>IFERROR(VLOOKUP(DATE($K$1,$K$2,SLD$4),Table1[],(MATCH(Calendar!$A19,DB!$1:$1,0)),FALSE),"")</f>
        <v/>
      </c>
      <c r="SLE19" s="28" t="str">
        <f>IFERROR(VLOOKUP(DATE($K$1,$K$2,SLE$4),Table1[],(MATCH(Calendar!$A19,DB!$1:$1,0)),FALSE),"")</f>
        <v/>
      </c>
      <c r="SLF19" s="28" t="str">
        <f>IFERROR(VLOOKUP(DATE($K$1,$K$2,SLF$4),Table1[],(MATCH(Calendar!$A19,DB!$1:$1,0)),FALSE),"")</f>
        <v/>
      </c>
      <c r="SLG19" s="28" t="str">
        <f>IFERROR(VLOOKUP(DATE($K$1,$K$2,SLG$4),Table1[],(MATCH(Calendar!$A19,DB!$1:$1,0)),FALSE),"")</f>
        <v/>
      </c>
      <c r="SLH19" s="28" t="str">
        <f>IFERROR(VLOOKUP(DATE($K$1,$K$2,SLH$4),Table1[],(MATCH(Calendar!$A19,DB!$1:$1,0)),FALSE),"")</f>
        <v/>
      </c>
      <c r="SLI19" s="28" t="str">
        <f>IFERROR(VLOOKUP(DATE($K$1,$K$2,SLI$4),Table1[],(MATCH(Calendar!$A19,DB!$1:$1,0)),FALSE),"")</f>
        <v/>
      </c>
      <c r="SLJ19" s="28" t="str">
        <f>IFERROR(VLOOKUP(DATE($K$1,$K$2,SLJ$4),Table1[],(MATCH(Calendar!$A19,DB!$1:$1,0)),FALSE),"")</f>
        <v/>
      </c>
      <c r="SLK19" s="28" t="str">
        <f>IFERROR(VLOOKUP(DATE($K$1,$K$2,SLK$4),Table1[],(MATCH(Calendar!$A19,DB!$1:$1,0)),FALSE),"")</f>
        <v/>
      </c>
      <c r="SLL19" s="28" t="str">
        <f>IFERROR(VLOOKUP(DATE($K$1,$K$2,SLL$4),Table1[],(MATCH(Calendar!$A19,DB!$1:$1,0)),FALSE),"")</f>
        <v/>
      </c>
      <c r="SLM19" s="28" t="str">
        <f>IFERROR(VLOOKUP(DATE($K$1,$K$2,SLM$4),Table1[],(MATCH(Calendar!$A19,DB!$1:$1,0)),FALSE),"")</f>
        <v/>
      </c>
      <c r="SLN19" s="28" t="str">
        <f>IFERROR(VLOOKUP(DATE($K$1,$K$2,SLN$4),Table1[],(MATCH(Calendar!$A19,DB!$1:$1,0)),FALSE),"")</f>
        <v/>
      </c>
      <c r="SLO19" s="28" t="str">
        <f>IFERROR(VLOOKUP(DATE($K$1,$K$2,SLO$4),Table1[],(MATCH(Calendar!$A19,DB!$1:$1,0)),FALSE),"")</f>
        <v/>
      </c>
      <c r="SLP19" s="28" t="str">
        <f>IFERROR(VLOOKUP(DATE($K$1,$K$2,SLP$4),Table1[],(MATCH(Calendar!$A19,DB!$1:$1,0)),FALSE),"")</f>
        <v/>
      </c>
      <c r="SLQ19" s="28" t="str">
        <f>IFERROR(VLOOKUP(DATE($K$1,$K$2,SLQ$4),Table1[],(MATCH(Calendar!$A19,DB!$1:$1,0)),FALSE),"")</f>
        <v/>
      </c>
      <c r="SLR19" s="28" t="str">
        <f>IFERROR(VLOOKUP(DATE($K$1,$K$2,SLR$4),Table1[],(MATCH(Calendar!$A19,DB!$1:$1,0)),FALSE),"")</f>
        <v/>
      </c>
      <c r="SLS19" s="28" t="str">
        <f>IFERROR(VLOOKUP(DATE($K$1,$K$2,SLS$4),Table1[],(MATCH(Calendar!$A19,DB!$1:$1,0)),FALSE),"")</f>
        <v/>
      </c>
      <c r="SLT19" s="28" t="str">
        <f>IFERROR(VLOOKUP(DATE($K$1,$K$2,SLT$4),Table1[],(MATCH(Calendar!$A19,DB!$1:$1,0)),FALSE),"")</f>
        <v/>
      </c>
      <c r="SLU19" s="28" t="str">
        <f>IFERROR(VLOOKUP(DATE($K$1,$K$2,SLU$4),Table1[],(MATCH(Calendar!$A19,DB!$1:$1,0)),FALSE),"")</f>
        <v/>
      </c>
      <c r="SLV19" s="28" t="str">
        <f>IFERROR(VLOOKUP(DATE($K$1,$K$2,SLV$4),Table1[],(MATCH(Calendar!$A19,DB!$1:$1,0)),FALSE),"")</f>
        <v/>
      </c>
      <c r="SLW19" s="28" t="str">
        <f>IFERROR(VLOOKUP(DATE($K$1,$K$2,SLW$4),Table1[],(MATCH(Calendar!$A19,DB!$1:$1,0)),FALSE),"")</f>
        <v/>
      </c>
      <c r="SLX19" s="28" t="str">
        <f>IFERROR(VLOOKUP(DATE($K$1,$K$2,SLX$4),Table1[],(MATCH(Calendar!$A19,DB!$1:$1,0)),FALSE),"")</f>
        <v/>
      </c>
      <c r="SLY19" s="28" t="str">
        <f>IFERROR(VLOOKUP(DATE($K$1,$K$2,SLY$4),Table1[],(MATCH(Calendar!$A19,DB!$1:$1,0)),FALSE),"")</f>
        <v/>
      </c>
      <c r="SLZ19" s="28" t="str">
        <f>IFERROR(VLOOKUP(DATE($K$1,$K$2,SLZ$4),Table1[],(MATCH(Calendar!$A19,DB!$1:$1,0)),FALSE),"")</f>
        <v/>
      </c>
      <c r="SMA19" s="28" t="str">
        <f>IFERROR(VLOOKUP(DATE($K$1,$K$2,SMA$4),Table1[],(MATCH(Calendar!$A19,DB!$1:$1,0)),FALSE),"")</f>
        <v/>
      </c>
      <c r="SMB19" s="28" t="str">
        <f>IFERROR(VLOOKUP(DATE($K$1,$K$2,SMB$4),Table1[],(MATCH(Calendar!$A19,DB!$1:$1,0)),FALSE),"")</f>
        <v/>
      </c>
      <c r="SMC19" s="28" t="str">
        <f>IFERROR(VLOOKUP(DATE($K$1,$K$2,SMC$4),Table1[],(MATCH(Calendar!$A19,DB!$1:$1,0)),FALSE),"")</f>
        <v/>
      </c>
      <c r="SMD19" s="28" t="str">
        <f>IFERROR(VLOOKUP(DATE($K$1,$K$2,SMD$4),Table1[],(MATCH(Calendar!$A19,DB!$1:$1,0)),FALSE),"")</f>
        <v/>
      </c>
      <c r="SME19" s="28" t="str">
        <f>IFERROR(VLOOKUP(DATE($K$1,$K$2,SME$4),Table1[],(MATCH(Calendar!$A19,DB!$1:$1,0)),FALSE),"")</f>
        <v/>
      </c>
      <c r="SMF19" s="28" t="str">
        <f>IFERROR(VLOOKUP(DATE($K$1,$K$2,SMF$4),Table1[],(MATCH(Calendar!$A19,DB!$1:$1,0)),FALSE),"")</f>
        <v/>
      </c>
      <c r="SMG19" s="28" t="str">
        <f>IFERROR(VLOOKUP(DATE($K$1,$K$2,SMG$4),Table1[],(MATCH(Calendar!$A19,DB!$1:$1,0)),FALSE),"")</f>
        <v/>
      </c>
      <c r="SMH19" s="28" t="str">
        <f>IFERROR(VLOOKUP(DATE($K$1,$K$2,SMH$4),Table1[],(MATCH(Calendar!$A19,DB!$1:$1,0)),FALSE),"")</f>
        <v/>
      </c>
      <c r="SMI19" s="28" t="str">
        <f>IFERROR(VLOOKUP(DATE($K$1,$K$2,SMI$4),Table1[],(MATCH(Calendar!$A19,DB!$1:$1,0)),FALSE),"")</f>
        <v/>
      </c>
      <c r="SMJ19" s="28" t="str">
        <f>IFERROR(VLOOKUP(DATE($K$1,$K$2,SMJ$4),Table1[],(MATCH(Calendar!$A19,DB!$1:$1,0)),FALSE),"")</f>
        <v/>
      </c>
      <c r="SMK19" s="28" t="str">
        <f>IFERROR(VLOOKUP(DATE($K$1,$K$2,SMK$4),Table1[],(MATCH(Calendar!$A19,DB!$1:$1,0)),FALSE),"")</f>
        <v/>
      </c>
      <c r="SML19" s="28" t="str">
        <f>IFERROR(VLOOKUP(DATE($K$1,$K$2,SML$4),Table1[],(MATCH(Calendar!$A19,DB!$1:$1,0)),FALSE),"")</f>
        <v/>
      </c>
      <c r="SMM19" s="28" t="str">
        <f>IFERROR(VLOOKUP(DATE($K$1,$K$2,SMM$4),Table1[],(MATCH(Calendar!$A19,DB!$1:$1,0)),FALSE),"")</f>
        <v/>
      </c>
      <c r="SMN19" s="28" t="str">
        <f>IFERROR(VLOOKUP(DATE($K$1,$K$2,SMN$4),Table1[],(MATCH(Calendar!$A19,DB!$1:$1,0)),FALSE),"")</f>
        <v/>
      </c>
      <c r="SMO19" s="28" t="str">
        <f>IFERROR(VLOOKUP(DATE($K$1,$K$2,SMO$4),Table1[],(MATCH(Calendar!$A19,DB!$1:$1,0)),FALSE),"")</f>
        <v/>
      </c>
      <c r="SMP19" s="28" t="str">
        <f>IFERROR(VLOOKUP(DATE($K$1,$K$2,SMP$4),Table1[],(MATCH(Calendar!$A19,DB!$1:$1,0)),FALSE),"")</f>
        <v/>
      </c>
      <c r="SMQ19" s="28" t="str">
        <f>IFERROR(VLOOKUP(DATE($K$1,$K$2,SMQ$4),Table1[],(MATCH(Calendar!$A19,DB!$1:$1,0)),FALSE),"")</f>
        <v/>
      </c>
      <c r="SMR19" s="28" t="str">
        <f>IFERROR(VLOOKUP(DATE($K$1,$K$2,SMR$4),Table1[],(MATCH(Calendar!$A19,DB!$1:$1,0)),FALSE),"")</f>
        <v/>
      </c>
      <c r="SMS19" s="28" t="str">
        <f>IFERROR(VLOOKUP(DATE($K$1,$K$2,SMS$4),Table1[],(MATCH(Calendar!$A19,DB!$1:$1,0)),FALSE),"")</f>
        <v/>
      </c>
      <c r="SMT19" s="28" t="str">
        <f>IFERROR(VLOOKUP(DATE($K$1,$K$2,SMT$4),Table1[],(MATCH(Calendar!$A19,DB!$1:$1,0)),FALSE),"")</f>
        <v/>
      </c>
      <c r="SMU19" s="28" t="str">
        <f>IFERROR(VLOOKUP(DATE($K$1,$K$2,SMU$4),Table1[],(MATCH(Calendar!$A19,DB!$1:$1,0)),FALSE),"")</f>
        <v/>
      </c>
      <c r="SMV19" s="28" t="str">
        <f>IFERROR(VLOOKUP(DATE($K$1,$K$2,SMV$4),Table1[],(MATCH(Calendar!$A19,DB!$1:$1,0)),FALSE),"")</f>
        <v/>
      </c>
      <c r="SMW19" s="28" t="str">
        <f>IFERROR(VLOOKUP(DATE($K$1,$K$2,SMW$4),Table1[],(MATCH(Calendar!$A19,DB!$1:$1,0)),FALSE),"")</f>
        <v/>
      </c>
      <c r="SMX19" s="28" t="str">
        <f>IFERROR(VLOOKUP(DATE($K$1,$K$2,SMX$4),Table1[],(MATCH(Calendar!$A19,DB!$1:$1,0)),FALSE),"")</f>
        <v/>
      </c>
      <c r="SMY19" s="28" t="str">
        <f>IFERROR(VLOOKUP(DATE($K$1,$K$2,SMY$4),Table1[],(MATCH(Calendar!$A19,DB!$1:$1,0)),FALSE),"")</f>
        <v/>
      </c>
      <c r="SMZ19" s="28" t="str">
        <f>IFERROR(VLOOKUP(DATE($K$1,$K$2,SMZ$4),Table1[],(MATCH(Calendar!$A19,DB!$1:$1,0)),FALSE),"")</f>
        <v/>
      </c>
      <c r="SNA19" s="28" t="str">
        <f>IFERROR(VLOOKUP(DATE($K$1,$K$2,SNA$4),Table1[],(MATCH(Calendar!$A19,DB!$1:$1,0)),FALSE),"")</f>
        <v/>
      </c>
      <c r="SNB19" s="28" t="str">
        <f>IFERROR(VLOOKUP(DATE($K$1,$K$2,SNB$4),Table1[],(MATCH(Calendar!$A19,DB!$1:$1,0)),FALSE),"")</f>
        <v/>
      </c>
      <c r="SNC19" s="28" t="str">
        <f>IFERROR(VLOOKUP(DATE($K$1,$K$2,SNC$4),Table1[],(MATCH(Calendar!$A19,DB!$1:$1,0)),FALSE),"")</f>
        <v/>
      </c>
      <c r="SND19" s="28" t="str">
        <f>IFERROR(VLOOKUP(DATE($K$1,$K$2,SND$4),Table1[],(MATCH(Calendar!$A19,DB!$1:$1,0)),FALSE),"")</f>
        <v/>
      </c>
      <c r="SNE19" s="28" t="str">
        <f>IFERROR(VLOOKUP(DATE($K$1,$K$2,SNE$4),Table1[],(MATCH(Calendar!$A19,DB!$1:$1,0)),FALSE),"")</f>
        <v/>
      </c>
      <c r="SNF19" s="28" t="str">
        <f>IFERROR(VLOOKUP(DATE($K$1,$K$2,SNF$4),Table1[],(MATCH(Calendar!$A19,DB!$1:$1,0)),FALSE),"")</f>
        <v/>
      </c>
      <c r="SNG19" s="28" t="str">
        <f>IFERROR(VLOOKUP(DATE($K$1,$K$2,SNG$4),Table1[],(MATCH(Calendar!$A19,DB!$1:$1,0)),FALSE),"")</f>
        <v/>
      </c>
      <c r="SNH19" s="28" t="str">
        <f>IFERROR(VLOOKUP(DATE($K$1,$K$2,SNH$4),Table1[],(MATCH(Calendar!$A19,DB!$1:$1,0)),FALSE),"")</f>
        <v/>
      </c>
      <c r="SNI19" s="28" t="str">
        <f>IFERROR(VLOOKUP(DATE($K$1,$K$2,SNI$4),Table1[],(MATCH(Calendar!$A19,DB!$1:$1,0)),FALSE),"")</f>
        <v/>
      </c>
      <c r="SNJ19" s="28" t="str">
        <f>IFERROR(VLOOKUP(DATE($K$1,$K$2,SNJ$4),Table1[],(MATCH(Calendar!$A19,DB!$1:$1,0)),FALSE),"")</f>
        <v/>
      </c>
      <c r="SNK19" s="28" t="str">
        <f>IFERROR(VLOOKUP(DATE($K$1,$K$2,SNK$4),Table1[],(MATCH(Calendar!$A19,DB!$1:$1,0)),FALSE),"")</f>
        <v/>
      </c>
      <c r="SNL19" s="28" t="str">
        <f>IFERROR(VLOOKUP(DATE($K$1,$K$2,SNL$4),Table1[],(MATCH(Calendar!$A19,DB!$1:$1,0)),FALSE),"")</f>
        <v/>
      </c>
      <c r="SNM19" s="28" t="str">
        <f>IFERROR(VLOOKUP(DATE($K$1,$K$2,SNM$4),Table1[],(MATCH(Calendar!$A19,DB!$1:$1,0)),FALSE),"")</f>
        <v/>
      </c>
      <c r="SNN19" s="28" t="str">
        <f>IFERROR(VLOOKUP(DATE($K$1,$K$2,SNN$4),Table1[],(MATCH(Calendar!$A19,DB!$1:$1,0)),FALSE),"")</f>
        <v/>
      </c>
      <c r="SNO19" s="28" t="str">
        <f>IFERROR(VLOOKUP(DATE($K$1,$K$2,SNO$4),Table1[],(MATCH(Calendar!$A19,DB!$1:$1,0)),FALSE),"")</f>
        <v/>
      </c>
      <c r="SNP19" s="28" t="str">
        <f>IFERROR(VLOOKUP(DATE($K$1,$K$2,SNP$4),Table1[],(MATCH(Calendar!$A19,DB!$1:$1,0)),FALSE),"")</f>
        <v/>
      </c>
      <c r="SNQ19" s="28" t="str">
        <f>IFERROR(VLOOKUP(DATE($K$1,$K$2,SNQ$4),Table1[],(MATCH(Calendar!$A19,DB!$1:$1,0)),FALSE),"")</f>
        <v/>
      </c>
      <c r="SNR19" s="28" t="str">
        <f>IFERROR(VLOOKUP(DATE($K$1,$K$2,SNR$4),Table1[],(MATCH(Calendar!$A19,DB!$1:$1,0)),FALSE),"")</f>
        <v/>
      </c>
      <c r="SNS19" s="28" t="str">
        <f>IFERROR(VLOOKUP(DATE($K$1,$K$2,SNS$4),Table1[],(MATCH(Calendar!$A19,DB!$1:$1,0)),FALSE),"")</f>
        <v/>
      </c>
      <c r="SNT19" s="28" t="str">
        <f>IFERROR(VLOOKUP(DATE($K$1,$K$2,SNT$4),Table1[],(MATCH(Calendar!$A19,DB!$1:$1,0)),FALSE),"")</f>
        <v/>
      </c>
      <c r="SNU19" s="28" t="str">
        <f>IFERROR(VLOOKUP(DATE($K$1,$K$2,SNU$4),Table1[],(MATCH(Calendar!$A19,DB!$1:$1,0)),FALSE),"")</f>
        <v/>
      </c>
      <c r="SNV19" s="28" t="str">
        <f>IFERROR(VLOOKUP(DATE($K$1,$K$2,SNV$4),Table1[],(MATCH(Calendar!$A19,DB!$1:$1,0)),FALSE),"")</f>
        <v/>
      </c>
      <c r="SNW19" s="28" t="str">
        <f>IFERROR(VLOOKUP(DATE($K$1,$K$2,SNW$4),Table1[],(MATCH(Calendar!$A19,DB!$1:$1,0)),FALSE),"")</f>
        <v/>
      </c>
      <c r="SNX19" s="28" t="str">
        <f>IFERROR(VLOOKUP(DATE($K$1,$K$2,SNX$4),Table1[],(MATCH(Calendar!$A19,DB!$1:$1,0)),FALSE),"")</f>
        <v/>
      </c>
      <c r="SNY19" s="28" t="str">
        <f>IFERROR(VLOOKUP(DATE($K$1,$K$2,SNY$4),Table1[],(MATCH(Calendar!$A19,DB!$1:$1,0)),FALSE),"")</f>
        <v/>
      </c>
      <c r="SNZ19" s="28" t="str">
        <f>IFERROR(VLOOKUP(DATE($K$1,$K$2,SNZ$4),Table1[],(MATCH(Calendar!$A19,DB!$1:$1,0)),FALSE),"")</f>
        <v/>
      </c>
      <c r="SOA19" s="28" t="str">
        <f>IFERROR(VLOOKUP(DATE($K$1,$K$2,SOA$4),Table1[],(MATCH(Calendar!$A19,DB!$1:$1,0)),FALSE),"")</f>
        <v/>
      </c>
      <c r="SOB19" s="28" t="str">
        <f>IFERROR(VLOOKUP(DATE($K$1,$K$2,SOB$4),Table1[],(MATCH(Calendar!$A19,DB!$1:$1,0)),FALSE),"")</f>
        <v/>
      </c>
      <c r="SOC19" s="28" t="str">
        <f>IFERROR(VLOOKUP(DATE($K$1,$K$2,SOC$4),Table1[],(MATCH(Calendar!$A19,DB!$1:$1,0)),FALSE),"")</f>
        <v/>
      </c>
      <c r="SOD19" s="28" t="str">
        <f>IFERROR(VLOOKUP(DATE($K$1,$K$2,SOD$4),Table1[],(MATCH(Calendar!$A19,DB!$1:$1,0)),FALSE),"")</f>
        <v/>
      </c>
      <c r="SOE19" s="28" t="str">
        <f>IFERROR(VLOOKUP(DATE($K$1,$K$2,SOE$4),Table1[],(MATCH(Calendar!$A19,DB!$1:$1,0)),FALSE),"")</f>
        <v/>
      </c>
      <c r="SOF19" s="28" t="str">
        <f>IFERROR(VLOOKUP(DATE($K$1,$K$2,SOF$4),Table1[],(MATCH(Calendar!$A19,DB!$1:$1,0)),FALSE),"")</f>
        <v/>
      </c>
      <c r="SOG19" s="28" t="str">
        <f>IFERROR(VLOOKUP(DATE($K$1,$K$2,SOG$4),Table1[],(MATCH(Calendar!$A19,DB!$1:$1,0)),FALSE),"")</f>
        <v/>
      </c>
      <c r="SOH19" s="28" t="str">
        <f>IFERROR(VLOOKUP(DATE($K$1,$K$2,SOH$4),Table1[],(MATCH(Calendar!$A19,DB!$1:$1,0)),FALSE),"")</f>
        <v/>
      </c>
      <c r="SOI19" s="28" t="str">
        <f>IFERROR(VLOOKUP(DATE($K$1,$K$2,SOI$4),Table1[],(MATCH(Calendar!$A19,DB!$1:$1,0)),FALSE),"")</f>
        <v/>
      </c>
      <c r="SOJ19" s="28" t="str">
        <f>IFERROR(VLOOKUP(DATE($K$1,$K$2,SOJ$4),Table1[],(MATCH(Calendar!$A19,DB!$1:$1,0)),FALSE),"")</f>
        <v/>
      </c>
      <c r="SOK19" s="28" t="str">
        <f>IFERROR(VLOOKUP(DATE($K$1,$K$2,SOK$4),Table1[],(MATCH(Calendar!$A19,DB!$1:$1,0)),FALSE),"")</f>
        <v/>
      </c>
      <c r="SOL19" s="28" t="str">
        <f>IFERROR(VLOOKUP(DATE($K$1,$K$2,SOL$4),Table1[],(MATCH(Calendar!$A19,DB!$1:$1,0)),FALSE),"")</f>
        <v/>
      </c>
      <c r="SOM19" s="28" t="str">
        <f>IFERROR(VLOOKUP(DATE($K$1,$K$2,SOM$4),Table1[],(MATCH(Calendar!$A19,DB!$1:$1,0)),FALSE),"")</f>
        <v/>
      </c>
      <c r="SON19" s="28" t="str">
        <f>IFERROR(VLOOKUP(DATE($K$1,$K$2,SON$4),Table1[],(MATCH(Calendar!$A19,DB!$1:$1,0)),FALSE),"")</f>
        <v/>
      </c>
      <c r="SOO19" s="28" t="str">
        <f>IFERROR(VLOOKUP(DATE($K$1,$K$2,SOO$4),Table1[],(MATCH(Calendar!$A19,DB!$1:$1,0)),FALSE),"")</f>
        <v/>
      </c>
      <c r="SOP19" s="28" t="str">
        <f>IFERROR(VLOOKUP(DATE($K$1,$K$2,SOP$4),Table1[],(MATCH(Calendar!$A19,DB!$1:$1,0)),FALSE),"")</f>
        <v/>
      </c>
      <c r="SOQ19" s="28" t="str">
        <f>IFERROR(VLOOKUP(DATE($K$1,$K$2,SOQ$4),Table1[],(MATCH(Calendar!$A19,DB!$1:$1,0)),FALSE),"")</f>
        <v/>
      </c>
      <c r="SOR19" s="28" t="str">
        <f>IFERROR(VLOOKUP(DATE($K$1,$K$2,SOR$4),Table1[],(MATCH(Calendar!$A19,DB!$1:$1,0)),FALSE),"")</f>
        <v/>
      </c>
      <c r="SOS19" s="28" t="str">
        <f>IFERROR(VLOOKUP(DATE($K$1,$K$2,SOS$4),Table1[],(MATCH(Calendar!$A19,DB!$1:$1,0)),FALSE),"")</f>
        <v/>
      </c>
      <c r="SOT19" s="28" t="str">
        <f>IFERROR(VLOOKUP(DATE($K$1,$K$2,SOT$4),Table1[],(MATCH(Calendar!$A19,DB!$1:$1,0)),FALSE),"")</f>
        <v/>
      </c>
      <c r="SOU19" s="28" t="str">
        <f>IFERROR(VLOOKUP(DATE($K$1,$K$2,SOU$4),Table1[],(MATCH(Calendar!$A19,DB!$1:$1,0)),FALSE),"")</f>
        <v/>
      </c>
      <c r="SOV19" s="28" t="str">
        <f>IFERROR(VLOOKUP(DATE($K$1,$K$2,SOV$4),Table1[],(MATCH(Calendar!$A19,DB!$1:$1,0)),FALSE),"")</f>
        <v/>
      </c>
      <c r="SOW19" s="28" t="str">
        <f>IFERROR(VLOOKUP(DATE($K$1,$K$2,SOW$4),Table1[],(MATCH(Calendar!$A19,DB!$1:$1,0)),FALSE),"")</f>
        <v/>
      </c>
      <c r="SOX19" s="28" t="str">
        <f>IFERROR(VLOOKUP(DATE($K$1,$K$2,SOX$4),Table1[],(MATCH(Calendar!$A19,DB!$1:$1,0)),FALSE),"")</f>
        <v/>
      </c>
      <c r="SOY19" s="28" t="str">
        <f>IFERROR(VLOOKUP(DATE($K$1,$K$2,SOY$4),Table1[],(MATCH(Calendar!$A19,DB!$1:$1,0)),FALSE),"")</f>
        <v/>
      </c>
      <c r="SOZ19" s="28" t="str">
        <f>IFERROR(VLOOKUP(DATE($K$1,$K$2,SOZ$4),Table1[],(MATCH(Calendar!$A19,DB!$1:$1,0)),FALSE),"")</f>
        <v/>
      </c>
      <c r="SPA19" s="28" t="str">
        <f>IFERROR(VLOOKUP(DATE($K$1,$K$2,SPA$4),Table1[],(MATCH(Calendar!$A19,DB!$1:$1,0)),FALSE),"")</f>
        <v/>
      </c>
      <c r="SPB19" s="28" t="str">
        <f>IFERROR(VLOOKUP(DATE($K$1,$K$2,SPB$4),Table1[],(MATCH(Calendar!$A19,DB!$1:$1,0)),FALSE),"")</f>
        <v/>
      </c>
      <c r="SPC19" s="28" t="str">
        <f>IFERROR(VLOOKUP(DATE($K$1,$K$2,SPC$4),Table1[],(MATCH(Calendar!$A19,DB!$1:$1,0)),FALSE),"")</f>
        <v/>
      </c>
      <c r="SPD19" s="28" t="str">
        <f>IFERROR(VLOOKUP(DATE($K$1,$K$2,SPD$4),Table1[],(MATCH(Calendar!$A19,DB!$1:$1,0)),FALSE),"")</f>
        <v/>
      </c>
      <c r="SPE19" s="28" t="str">
        <f>IFERROR(VLOOKUP(DATE($K$1,$K$2,SPE$4),Table1[],(MATCH(Calendar!$A19,DB!$1:$1,0)),FALSE),"")</f>
        <v/>
      </c>
      <c r="SPF19" s="28" t="str">
        <f>IFERROR(VLOOKUP(DATE($K$1,$K$2,SPF$4),Table1[],(MATCH(Calendar!$A19,DB!$1:$1,0)),FALSE),"")</f>
        <v/>
      </c>
      <c r="SPG19" s="28" t="str">
        <f>IFERROR(VLOOKUP(DATE($K$1,$K$2,SPG$4),Table1[],(MATCH(Calendar!$A19,DB!$1:$1,0)),FALSE),"")</f>
        <v/>
      </c>
      <c r="SPH19" s="28" t="str">
        <f>IFERROR(VLOOKUP(DATE($K$1,$K$2,SPH$4),Table1[],(MATCH(Calendar!$A19,DB!$1:$1,0)),FALSE),"")</f>
        <v/>
      </c>
      <c r="SPI19" s="28" t="str">
        <f>IFERROR(VLOOKUP(DATE($K$1,$K$2,SPI$4),Table1[],(MATCH(Calendar!$A19,DB!$1:$1,0)),FALSE),"")</f>
        <v/>
      </c>
      <c r="SPJ19" s="28" t="str">
        <f>IFERROR(VLOOKUP(DATE($K$1,$K$2,SPJ$4),Table1[],(MATCH(Calendar!$A19,DB!$1:$1,0)),FALSE),"")</f>
        <v/>
      </c>
      <c r="SPK19" s="28" t="str">
        <f>IFERROR(VLOOKUP(DATE($K$1,$K$2,SPK$4),Table1[],(MATCH(Calendar!$A19,DB!$1:$1,0)),FALSE),"")</f>
        <v/>
      </c>
      <c r="SPL19" s="28" t="str">
        <f>IFERROR(VLOOKUP(DATE($K$1,$K$2,SPL$4),Table1[],(MATCH(Calendar!$A19,DB!$1:$1,0)),FALSE),"")</f>
        <v/>
      </c>
      <c r="SPM19" s="28" t="str">
        <f>IFERROR(VLOOKUP(DATE($K$1,$K$2,SPM$4),Table1[],(MATCH(Calendar!$A19,DB!$1:$1,0)),FALSE),"")</f>
        <v/>
      </c>
      <c r="SPN19" s="28" t="str">
        <f>IFERROR(VLOOKUP(DATE($K$1,$K$2,SPN$4),Table1[],(MATCH(Calendar!$A19,DB!$1:$1,0)),FALSE),"")</f>
        <v/>
      </c>
      <c r="SPO19" s="28" t="str">
        <f>IFERROR(VLOOKUP(DATE($K$1,$K$2,SPO$4),Table1[],(MATCH(Calendar!$A19,DB!$1:$1,0)),FALSE),"")</f>
        <v/>
      </c>
      <c r="SPP19" s="28" t="str">
        <f>IFERROR(VLOOKUP(DATE($K$1,$K$2,SPP$4),Table1[],(MATCH(Calendar!$A19,DB!$1:$1,0)),FALSE),"")</f>
        <v/>
      </c>
      <c r="SPQ19" s="28" t="str">
        <f>IFERROR(VLOOKUP(DATE($K$1,$K$2,SPQ$4),Table1[],(MATCH(Calendar!$A19,DB!$1:$1,0)),FALSE),"")</f>
        <v/>
      </c>
      <c r="SPR19" s="28" t="str">
        <f>IFERROR(VLOOKUP(DATE($K$1,$K$2,SPR$4),Table1[],(MATCH(Calendar!$A19,DB!$1:$1,0)),FALSE),"")</f>
        <v/>
      </c>
      <c r="SPS19" s="28" t="str">
        <f>IFERROR(VLOOKUP(DATE($K$1,$K$2,SPS$4),Table1[],(MATCH(Calendar!$A19,DB!$1:$1,0)),FALSE),"")</f>
        <v/>
      </c>
      <c r="SPT19" s="28" t="str">
        <f>IFERROR(VLOOKUP(DATE($K$1,$K$2,SPT$4),Table1[],(MATCH(Calendar!$A19,DB!$1:$1,0)),FALSE),"")</f>
        <v/>
      </c>
      <c r="SPU19" s="28" t="str">
        <f>IFERROR(VLOOKUP(DATE($K$1,$K$2,SPU$4),Table1[],(MATCH(Calendar!$A19,DB!$1:$1,0)),FALSE),"")</f>
        <v/>
      </c>
      <c r="SPV19" s="28" t="str">
        <f>IFERROR(VLOOKUP(DATE($K$1,$K$2,SPV$4),Table1[],(MATCH(Calendar!$A19,DB!$1:$1,0)),FALSE),"")</f>
        <v/>
      </c>
      <c r="SPW19" s="28" t="str">
        <f>IFERROR(VLOOKUP(DATE($K$1,$K$2,SPW$4),Table1[],(MATCH(Calendar!$A19,DB!$1:$1,0)),FALSE),"")</f>
        <v/>
      </c>
      <c r="SPX19" s="28" t="str">
        <f>IFERROR(VLOOKUP(DATE($K$1,$K$2,SPX$4),Table1[],(MATCH(Calendar!$A19,DB!$1:$1,0)),FALSE),"")</f>
        <v/>
      </c>
      <c r="SPY19" s="28" t="str">
        <f>IFERROR(VLOOKUP(DATE($K$1,$K$2,SPY$4),Table1[],(MATCH(Calendar!$A19,DB!$1:$1,0)),FALSE),"")</f>
        <v/>
      </c>
      <c r="SPZ19" s="28" t="str">
        <f>IFERROR(VLOOKUP(DATE($K$1,$K$2,SPZ$4),Table1[],(MATCH(Calendar!$A19,DB!$1:$1,0)),FALSE),"")</f>
        <v/>
      </c>
      <c r="SQA19" s="28" t="str">
        <f>IFERROR(VLOOKUP(DATE($K$1,$K$2,SQA$4),Table1[],(MATCH(Calendar!$A19,DB!$1:$1,0)),FALSE),"")</f>
        <v/>
      </c>
      <c r="SQB19" s="28" t="str">
        <f>IFERROR(VLOOKUP(DATE($K$1,$K$2,SQB$4),Table1[],(MATCH(Calendar!$A19,DB!$1:$1,0)),FALSE),"")</f>
        <v/>
      </c>
      <c r="SQC19" s="28" t="str">
        <f>IFERROR(VLOOKUP(DATE($K$1,$K$2,SQC$4),Table1[],(MATCH(Calendar!$A19,DB!$1:$1,0)),FALSE),"")</f>
        <v/>
      </c>
      <c r="SQD19" s="28" t="str">
        <f>IFERROR(VLOOKUP(DATE($K$1,$K$2,SQD$4),Table1[],(MATCH(Calendar!$A19,DB!$1:$1,0)),FALSE),"")</f>
        <v/>
      </c>
      <c r="SQE19" s="28" t="str">
        <f>IFERROR(VLOOKUP(DATE($K$1,$K$2,SQE$4),Table1[],(MATCH(Calendar!$A19,DB!$1:$1,0)),FALSE),"")</f>
        <v/>
      </c>
      <c r="SQF19" s="28" t="str">
        <f>IFERROR(VLOOKUP(DATE($K$1,$K$2,SQF$4),Table1[],(MATCH(Calendar!$A19,DB!$1:$1,0)),FALSE),"")</f>
        <v/>
      </c>
      <c r="SQG19" s="28" t="str">
        <f>IFERROR(VLOOKUP(DATE($K$1,$K$2,SQG$4),Table1[],(MATCH(Calendar!$A19,DB!$1:$1,0)),FALSE),"")</f>
        <v/>
      </c>
      <c r="SQH19" s="28" t="str">
        <f>IFERROR(VLOOKUP(DATE($K$1,$K$2,SQH$4),Table1[],(MATCH(Calendar!$A19,DB!$1:$1,0)),FALSE),"")</f>
        <v/>
      </c>
      <c r="SQI19" s="28" t="str">
        <f>IFERROR(VLOOKUP(DATE($K$1,$K$2,SQI$4),Table1[],(MATCH(Calendar!$A19,DB!$1:$1,0)),FALSE),"")</f>
        <v/>
      </c>
      <c r="SQJ19" s="28" t="str">
        <f>IFERROR(VLOOKUP(DATE($K$1,$K$2,SQJ$4),Table1[],(MATCH(Calendar!$A19,DB!$1:$1,0)),FALSE),"")</f>
        <v/>
      </c>
      <c r="SQK19" s="28" t="str">
        <f>IFERROR(VLOOKUP(DATE($K$1,$K$2,SQK$4),Table1[],(MATCH(Calendar!$A19,DB!$1:$1,0)),FALSE),"")</f>
        <v/>
      </c>
      <c r="SQL19" s="28" t="str">
        <f>IFERROR(VLOOKUP(DATE($K$1,$K$2,SQL$4),Table1[],(MATCH(Calendar!$A19,DB!$1:$1,0)),FALSE),"")</f>
        <v/>
      </c>
      <c r="SQM19" s="28" t="str">
        <f>IFERROR(VLOOKUP(DATE($K$1,$K$2,SQM$4),Table1[],(MATCH(Calendar!$A19,DB!$1:$1,0)),FALSE),"")</f>
        <v/>
      </c>
      <c r="SQN19" s="28" t="str">
        <f>IFERROR(VLOOKUP(DATE($K$1,$K$2,SQN$4),Table1[],(MATCH(Calendar!$A19,DB!$1:$1,0)),FALSE),"")</f>
        <v/>
      </c>
      <c r="SQO19" s="28" t="str">
        <f>IFERROR(VLOOKUP(DATE($K$1,$K$2,SQO$4),Table1[],(MATCH(Calendar!$A19,DB!$1:$1,0)),FALSE),"")</f>
        <v/>
      </c>
      <c r="SQP19" s="28" t="str">
        <f>IFERROR(VLOOKUP(DATE($K$1,$K$2,SQP$4),Table1[],(MATCH(Calendar!$A19,DB!$1:$1,0)),FALSE),"")</f>
        <v/>
      </c>
      <c r="SQQ19" s="28" t="str">
        <f>IFERROR(VLOOKUP(DATE($K$1,$K$2,SQQ$4),Table1[],(MATCH(Calendar!$A19,DB!$1:$1,0)),FALSE),"")</f>
        <v/>
      </c>
      <c r="SQR19" s="28" t="str">
        <f>IFERROR(VLOOKUP(DATE($K$1,$K$2,SQR$4),Table1[],(MATCH(Calendar!$A19,DB!$1:$1,0)),FALSE),"")</f>
        <v/>
      </c>
      <c r="SQS19" s="28" t="str">
        <f>IFERROR(VLOOKUP(DATE($K$1,$K$2,SQS$4),Table1[],(MATCH(Calendar!$A19,DB!$1:$1,0)),FALSE),"")</f>
        <v/>
      </c>
      <c r="SQT19" s="28" t="str">
        <f>IFERROR(VLOOKUP(DATE($K$1,$K$2,SQT$4),Table1[],(MATCH(Calendar!$A19,DB!$1:$1,0)),FALSE),"")</f>
        <v/>
      </c>
      <c r="SQU19" s="28" t="str">
        <f>IFERROR(VLOOKUP(DATE($K$1,$K$2,SQU$4),Table1[],(MATCH(Calendar!$A19,DB!$1:$1,0)),FALSE),"")</f>
        <v/>
      </c>
      <c r="SQV19" s="28" t="str">
        <f>IFERROR(VLOOKUP(DATE($K$1,$K$2,SQV$4),Table1[],(MATCH(Calendar!$A19,DB!$1:$1,0)),FALSE),"")</f>
        <v/>
      </c>
      <c r="SQW19" s="28" t="str">
        <f>IFERROR(VLOOKUP(DATE($K$1,$K$2,SQW$4),Table1[],(MATCH(Calendar!$A19,DB!$1:$1,0)),FALSE),"")</f>
        <v/>
      </c>
      <c r="SQX19" s="28" t="str">
        <f>IFERROR(VLOOKUP(DATE($K$1,$K$2,SQX$4),Table1[],(MATCH(Calendar!$A19,DB!$1:$1,0)),FALSE),"")</f>
        <v/>
      </c>
      <c r="SQY19" s="28" t="str">
        <f>IFERROR(VLOOKUP(DATE($K$1,$K$2,SQY$4),Table1[],(MATCH(Calendar!$A19,DB!$1:$1,0)),FALSE),"")</f>
        <v/>
      </c>
      <c r="SQZ19" s="28" t="str">
        <f>IFERROR(VLOOKUP(DATE($K$1,$K$2,SQZ$4),Table1[],(MATCH(Calendar!$A19,DB!$1:$1,0)),FALSE),"")</f>
        <v/>
      </c>
      <c r="SRA19" s="28" t="str">
        <f>IFERROR(VLOOKUP(DATE($K$1,$K$2,SRA$4),Table1[],(MATCH(Calendar!$A19,DB!$1:$1,0)),FALSE),"")</f>
        <v/>
      </c>
      <c r="SRB19" s="28" t="str">
        <f>IFERROR(VLOOKUP(DATE($K$1,$K$2,SRB$4),Table1[],(MATCH(Calendar!$A19,DB!$1:$1,0)),FALSE),"")</f>
        <v/>
      </c>
      <c r="SRC19" s="28" t="str">
        <f>IFERROR(VLOOKUP(DATE($K$1,$K$2,SRC$4),Table1[],(MATCH(Calendar!$A19,DB!$1:$1,0)),FALSE),"")</f>
        <v/>
      </c>
      <c r="SRD19" s="28" t="str">
        <f>IFERROR(VLOOKUP(DATE($K$1,$K$2,SRD$4),Table1[],(MATCH(Calendar!$A19,DB!$1:$1,0)),FALSE),"")</f>
        <v/>
      </c>
      <c r="SRE19" s="28" t="str">
        <f>IFERROR(VLOOKUP(DATE($K$1,$K$2,SRE$4),Table1[],(MATCH(Calendar!$A19,DB!$1:$1,0)),FALSE),"")</f>
        <v/>
      </c>
      <c r="SRF19" s="28" t="str">
        <f>IFERROR(VLOOKUP(DATE($K$1,$K$2,SRF$4),Table1[],(MATCH(Calendar!$A19,DB!$1:$1,0)),FALSE),"")</f>
        <v/>
      </c>
      <c r="SRG19" s="28" t="str">
        <f>IFERROR(VLOOKUP(DATE($K$1,$K$2,SRG$4),Table1[],(MATCH(Calendar!$A19,DB!$1:$1,0)),FALSE),"")</f>
        <v/>
      </c>
      <c r="SRH19" s="28" t="str">
        <f>IFERROR(VLOOKUP(DATE($K$1,$K$2,SRH$4),Table1[],(MATCH(Calendar!$A19,DB!$1:$1,0)),FALSE),"")</f>
        <v/>
      </c>
      <c r="SRI19" s="28" t="str">
        <f>IFERROR(VLOOKUP(DATE($K$1,$K$2,SRI$4),Table1[],(MATCH(Calendar!$A19,DB!$1:$1,0)),FALSE),"")</f>
        <v/>
      </c>
      <c r="SRJ19" s="28" t="str">
        <f>IFERROR(VLOOKUP(DATE($K$1,$K$2,SRJ$4),Table1[],(MATCH(Calendar!$A19,DB!$1:$1,0)),FALSE),"")</f>
        <v/>
      </c>
      <c r="SRK19" s="28" t="str">
        <f>IFERROR(VLOOKUP(DATE($K$1,$K$2,SRK$4),Table1[],(MATCH(Calendar!$A19,DB!$1:$1,0)),FALSE),"")</f>
        <v/>
      </c>
      <c r="SRL19" s="28" t="str">
        <f>IFERROR(VLOOKUP(DATE($K$1,$K$2,SRL$4),Table1[],(MATCH(Calendar!$A19,DB!$1:$1,0)),FALSE),"")</f>
        <v/>
      </c>
      <c r="SRM19" s="28" t="str">
        <f>IFERROR(VLOOKUP(DATE($K$1,$K$2,SRM$4),Table1[],(MATCH(Calendar!$A19,DB!$1:$1,0)),FALSE),"")</f>
        <v/>
      </c>
      <c r="SRN19" s="28" t="str">
        <f>IFERROR(VLOOKUP(DATE($K$1,$K$2,SRN$4),Table1[],(MATCH(Calendar!$A19,DB!$1:$1,0)),FALSE),"")</f>
        <v/>
      </c>
      <c r="SRO19" s="28" t="str">
        <f>IFERROR(VLOOKUP(DATE($K$1,$K$2,SRO$4),Table1[],(MATCH(Calendar!$A19,DB!$1:$1,0)),FALSE),"")</f>
        <v/>
      </c>
      <c r="SRP19" s="28" t="str">
        <f>IFERROR(VLOOKUP(DATE($K$1,$K$2,SRP$4),Table1[],(MATCH(Calendar!$A19,DB!$1:$1,0)),FALSE),"")</f>
        <v/>
      </c>
      <c r="SRQ19" s="28" t="str">
        <f>IFERROR(VLOOKUP(DATE($K$1,$K$2,SRQ$4),Table1[],(MATCH(Calendar!$A19,DB!$1:$1,0)),FALSE),"")</f>
        <v/>
      </c>
      <c r="SRR19" s="28" t="str">
        <f>IFERROR(VLOOKUP(DATE($K$1,$K$2,SRR$4),Table1[],(MATCH(Calendar!$A19,DB!$1:$1,0)),FALSE),"")</f>
        <v/>
      </c>
      <c r="SRS19" s="28" t="str">
        <f>IFERROR(VLOOKUP(DATE($K$1,$K$2,SRS$4),Table1[],(MATCH(Calendar!$A19,DB!$1:$1,0)),FALSE),"")</f>
        <v/>
      </c>
      <c r="SRT19" s="28" t="str">
        <f>IFERROR(VLOOKUP(DATE($K$1,$K$2,SRT$4),Table1[],(MATCH(Calendar!$A19,DB!$1:$1,0)),FALSE),"")</f>
        <v/>
      </c>
      <c r="SRU19" s="28" t="str">
        <f>IFERROR(VLOOKUP(DATE($K$1,$K$2,SRU$4),Table1[],(MATCH(Calendar!$A19,DB!$1:$1,0)),FALSE),"")</f>
        <v/>
      </c>
      <c r="SRV19" s="28" t="str">
        <f>IFERROR(VLOOKUP(DATE($K$1,$K$2,SRV$4),Table1[],(MATCH(Calendar!$A19,DB!$1:$1,0)),FALSE),"")</f>
        <v/>
      </c>
      <c r="SRW19" s="28" t="str">
        <f>IFERROR(VLOOKUP(DATE($K$1,$K$2,SRW$4),Table1[],(MATCH(Calendar!$A19,DB!$1:$1,0)),FALSE),"")</f>
        <v/>
      </c>
      <c r="SRX19" s="28" t="str">
        <f>IFERROR(VLOOKUP(DATE($K$1,$K$2,SRX$4),Table1[],(MATCH(Calendar!$A19,DB!$1:$1,0)),FALSE),"")</f>
        <v/>
      </c>
      <c r="SRY19" s="28" t="str">
        <f>IFERROR(VLOOKUP(DATE($K$1,$K$2,SRY$4),Table1[],(MATCH(Calendar!$A19,DB!$1:$1,0)),FALSE),"")</f>
        <v/>
      </c>
      <c r="SRZ19" s="28" t="str">
        <f>IFERROR(VLOOKUP(DATE($K$1,$K$2,SRZ$4),Table1[],(MATCH(Calendar!$A19,DB!$1:$1,0)),FALSE),"")</f>
        <v/>
      </c>
      <c r="SSA19" s="28" t="str">
        <f>IFERROR(VLOOKUP(DATE($K$1,$K$2,SSA$4),Table1[],(MATCH(Calendar!$A19,DB!$1:$1,0)),FALSE),"")</f>
        <v/>
      </c>
      <c r="SSB19" s="28" t="str">
        <f>IFERROR(VLOOKUP(DATE($K$1,$K$2,SSB$4),Table1[],(MATCH(Calendar!$A19,DB!$1:$1,0)),FALSE),"")</f>
        <v/>
      </c>
      <c r="SSC19" s="28" t="str">
        <f>IFERROR(VLOOKUP(DATE($K$1,$K$2,SSC$4),Table1[],(MATCH(Calendar!$A19,DB!$1:$1,0)),FALSE),"")</f>
        <v/>
      </c>
      <c r="SSD19" s="28" t="str">
        <f>IFERROR(VLOOKUP(DATE($K$1,$K$2,SSD$4),Table1[],(MATCH(Calendar!$A19,DB!$1:$1,0)),FALSE),"")</f>
        <v/>
      </c>
      <c r="SSE19" s="28" t="str">
        <f>IFERROR(VLOOKUP(DATE($K$1,$K$2,SSE$4),Table1[],(MATCH(Calendar!$A19,DB!$1:$1,0)),FALSE),"")</f>
        <v/>
      </c>
      <c r="SSF19" s="28" t="str">
        <f>IFERROR(VLOOKUP(DATE($K$1,$K$2,SSF$4),Table1[],(MATCH(Calendar!$A19,DB!$1:$1,0)),FALSE),"")</f>
        <v/>
      </c>
      <c r="SSG19" s="28" t="str">
        <f>IFERROR(VLOOKUP(DATE($K$1,$K$2,SSG$4),Table1[],(MATCH(Calendar!$A19,DB!$1:$1,0)),FALSE),"")</f>
        <v/>
      </c>
      <c r="SSH19" s="28" t="str">
        <f>IFERROR(VLOOKUP(DATE($K$1,$K$2,SSH$4),Table1[],(MATCH(Calendar!$A19,DB!$1:$1,0)),FALSE),"")</f>
        <v/>
      </c>
      <c r="SSI19" s="28" t="str">
        <f>IFERROR(VLOOKUP(DATE($K$1,$K$2,SSI$4),Table1[],(MATCH(Calendar!$A19,DB!$1:$1,0)),FALSE),"")</f>
        <v/>
      </c>
      <c r="SSJ19" s="28" t="str">
        <f>IFERROR(VLOOKUP(DATE($K$1,$K$2,SSJ$4),Table1[],(MATCH(Calendar!$A19,DB!$1:$1,0)),FALSE),"")</f>
        <v/>
      </c>
      <c r="SSK19" s="28" t="str">
        <f>IFERROR(VLOOKUP(DATE($K$1,$K$2,SSK$4),Table1[],(MATCH(Calendar!$A19,DB!$1:$1,0)),FALSE),"")</f>
        <v/>
      </c>
      <c r="SSL19" s="28" t="str">
        <f>IFERROR(VLOOKUP(DATE($K$1,$K$2,SSL$4),Table1[],(MATCH(Calendar!$A19,DB!$1:$1,0)),FALSE),"")</f>
        <v/>
      </c>
      <c r="SSM19" s="28" t="str">
        <f>IFERROR(VLOOKUP(DATE($K$1,$K$2,SSM$4),Table1[],(MATCH(Calendar!$A19,DB!$1:$1,0)),FALSE),"")</f>
        <v/>
      </c>
      <c r="SSN19" s="28" t="str">
        <f>IFERROR(VLOOKUP(DATE($K$1,$K$2,SSN$4),Table1[],(MATCH(Calendar!$A19,DB!$1:$1,0)),FALSE),"")</f>
        <v/>
      </c>
      <c r="SSO19" s="28" t="str">
        <f>IFERROR(VLOOKUP(DATE($K$1,$K$2,SSO$4),Table1[],(MATCH(Calendar!$A19,DB!$1:$1,0)),FALSE),"")</f>
        <v/>
      </c>
      <c r="SSP19" s="28" t="str">
        <f>IFERROR(VLOOKUP(DATE($K$1,$K$2,SSP$4),Table1[],(MATCH(Calendar!$A19,DB!$1:$1,0)),FALSE),"")</f>
        <v/>
      </c>
      <c r="SSQ19" s="28" t="str">
        <f>IFERROR(VLOOKUP(DATE($K$1,$K$2,SSQ$4),Table1[],(MATCH(Calendar!$A19,DB!$1:$1,0)),FALSE),"")</f>
        <v/>
      </c>
      <c r="SSR19" s="28" t="str">
        <f>IFERROR(VLOOKUP(DATE($K$1,$K$2,SSR$4),Table1[],(MATCH(Calendar!$A19,DB!$1:$1,0)),FALSE),"")</f>
        <v/>
      </c>
      <c r="SSS19" s="28" t="str">
        <f>IFERROR(VLOOKUP(DATE($K$1,$K$2,SSS$4),Table1[],(MATCH(Calendar!$A19,DB!$1:$1,0)),FALSE),"")</f>
        <v/>
      </c>
      <c r="SST19" s="28" t="str">
        <f>IFERROR(VLOOKUP(DATE($K$1,$K$2,SST$4),Table1[],(MATCH(Calendar!$A19,DB!$1:$1,0)),FALSE),"")</f>
        <v/>
      </c>
      <c r="SSU19" s="28" t="str">
        <f>IFERROR(VLOOKUP(DATE($K$1,$K$2,SSU$4),Table1[],(MATCH(Calendar!$A19,DB!$1:$1,0)),FALSE),"")</f>
        <v/>
      </c>
      <c r="SSV19" s="28" t="str">
        <f>IFERROR(VLOOKUP(DATE($K$1,$K$2,SSV$4),Table1[],(MATCH(Calendar!$A19,DB!$1:$1,0)),FALSE),"")</f>
        <v/>
      </c>
      <c r="SSW19" s="28" t="str">
        <f>IFERROR(VLOOKUP(DATE($K$1,$K$2,SSW$4),Table1[],(MATCH(Calendar!$A19,DB!$1:$1,0)),FALSE),"")</f>
        <v/>
      </c>
      <c r="SSX19" s="28" t="str">
        <f>IFERROR(VLOOKUP(DATE($K$1,$K$2,SSX$4),Table1[],(MATCH(Calendar!$A19,DB!$1:$1,0)),FALSE),"")</f>
        <v/>
      </c>
      <c r="SSY19" s="28" t="str">
        <f>IFERROR(VLOOKUP(DATE($K$1,$K$2,SSY$4),Table1[],(MATCH(Calendar!$A19,DB!$1:$1,0)),FALSE),"")</f>
        <v/>
      </c>
      <c r="SSZ19" s="28" t="str">
        <f>IFERROR(VLOOKUP(DATE($K$1,$K$2,SSZ$4),Table1[],(MATCH(Calendar!$A19,DB!$1:$1,0)),FALSE),"")</f>
        <v/>
      </c>
      <c r="STA19" s="28" t="str">
        <f>IFERROR(VLOOKUP(DATE($K$1,$K$2,STA$4),Table1[],(MATCH(Calendar!$A19,DB!$1:$1,0)),FALSE),"")</f>
        <v/>
      </c>
      <c r="STB19" s="28" t="str">
        <f>IFERROR(VLOOKUP(DATE($K$1,$K$2,STB$4),Table1[],(MATCH(Calendar!$A19,DB!$1:$1,0)),FALSE),"")</f>
        <v/>
      </c>
      <c r="STC19" s="28" t="str">
        <f>IFERROR(VLOOKUP(DATE($K$1,$K$2,STC$4),Table1[],(MATCH(Calendar!$A19,DB!$1:$1,0)),FALSE),"")</f>
        <v/>
      </c>
      <c r="STD19" s="28" t="str">
        <f>IFERROR(VLOOKUP(DATE($K$1,$K$2,STD$4),Table1[],(MATCH(Calendar!$A19,DB!$1:$1,0)),FALSE),"")</f>
        <v/>
      </c>
      <c r="STE19" s="28" t="str">
        <f>IFERROR(VLOOKUP(DATE($K$1,$K$2,STE$4),Table1[],(MATCH(Calendar!$A19,DB!$1:$1,0)),FALSE),"")</f>
        <v/>
      </c>
      <c r="STF19" s="28" t="str">
        <f>IFERROR(VLOOKUP(DATE($K$1,$K$2,STF$4),Table1[],(MATCH(Calendar!$A19,DB!$1:$1,0)),FALSE),"")</f>
        <v/>
      </c>
      <c r="STG19" s="28" t="str">
        <f>IFERROR(VLOOKUP(DATE($K$1,$K$2,STG$4),Table1[],(MATCH(Calendar!$A19,DB!$1:$1,0)),FALSE),"")</f>
        <v/>
      </c>
      <c r="STH19" s="28" t="str">
        <f>IFERROR(VLOOKUP(DATE($K$1,$K$2,STH$4),Table1[],(MATCH(Calendar!$A19,DB!$1:$1,0)),FALSE),"")</f>
        <v/>
      </c>
      <c r="STI19" s="28" t="str">
        <f>IFERROR(VLOOKUP(DATE($K$1,$K$2,STI$4),Table1[],(MATCH(Calendar!$A19,DB!$1:$1,0)),FALSE),"")</f>
        <v/>
      </c>
      <c r="STJ19" s="28" t="str">
        <f>IFERROR(VLOOKUP(DATE($K$1,$K$2,STJ$4),Table1[],(MATCH(Calendar!$A19,DB!$1:$1,0)),FALSE),"")</f>
        <v/>
      </c>
      <c r="STK19" s="28" t="str">
        <f>IFERROR(VLOOKUP(DATE($K$1,$K$2,STK$4),Table1[],(MATCH(Calendar!$A19,DB!$1:$1,0)),FALSE),"")</f>
        <v/>
      </c>
      <c r="STL19" s="28" t="str">
        <f>IFERROR(VLOOKUP(DATE($K$1,$K$2,STL$4),Table1[],(MATCH(Calendar!$A19,DB!$1:$1,0)),FALSE),"")</f>
        <v/>
      </c>
      <c r="STM19" s="28" t="str">
        <f>IFERROR(VLOOKUP(DATE($K$1,$K$2,STM$4),Table1[],(MATCH(Calendar!$A19,DB!$1:$1,0)),FALSE),"")</f>
        <v/>
      </c>
      <c r="STN19" s="28" t="str">
        <f>IFERROR(VLOOKUP(DATE($K$1,$K$2,STN$4),Table1[],(MATCH(Calendar!$A19,DB!$1:$1,0)),FALSE),"")</f>
        <v/>
      </c>
      <c r="STO19" s="28" t="str">
        <f>IFERROR(VLOOKUP(DATE($K$1,$K$2,STO$4),Table1[],(MATCH(Calendar!$A19,DB!$1:$1,0)),FALSE),"")</f>
        <v/>
      </c>
      <c r="STP19" s="28" t="str">
        <f>IFERROR(VLOOKUP(DATE($K$1,$K$2,STP$4),Table1[],(MATCH(Calendar!$A19,DB!$1:$1,0)),FALSE),"")</f>
        <v/>
      </c>
      <c r="STQ19" s="28" t="str">
        <f>IFERROR(VLOOKUP(DATE($K$1,$K$2,STQ$4),Table1[],(MATCH(Calendar!$A19,DB!$1:$1,0)),FALSE),"")</f>
        <v/>
      </c>
      <c r="STR19" s="28" t="str">
        <f>IFERROR(VLOOKUP(DATE($K$1,$K$2,STR$4),Table1[],(MATCH(Calendar!$A19,DB!$1:$1,0)),FALSE),"")</f>
        <v/>
      </c>
      <c r="STS19" s="28" t="str">
        <f>IFERROR(VLOOKUP(DATE($K$1,$K$2,STS$4),Table1[],(MATCH(Calendar!$A19,DB!$1:$1,0)),FALSE),"")</f>
        <v/>
      </c>
      <c r="STT19" s="28" t="str">
        <f>IFERROR(VLOOKUP(DATE($K$1,$K$2,STT$4),Table1[],(MATCH(Calendar!$A19,DB!$1:$1,0)),FALSE),"")</f>
        <v/>
      </c>
      <c r="STU19" s="28" t="str">
        <f>IFERROR(VLOOKUP(DATE($K$1,$K$2,STU$4),Table1[],(MATCH(Calendar!$A19,DB!$1:$1,0)),FALSE),"")</f>
        <v/>
      </c>
      <c r="STV19" s="28" t="str">
        <f>IFERROR(VLOOKUP(DATE($K$1,$K$2,STV$4),Table1[],(MATCH(Calendar!$A19,DB!$1:$1,0)),FALSE),"")</f>
        <v/>
      </c>
      <c r="STW19" s="28" t="str">
        <f>IFERROR(VLOOKUP(DATE($K$1,$K$2,STW$4),Table1[],(MATCH(Calendar!$A19,DB!$1:$1,0)),FALSE),"")</f>
        <v/>
      </c>
      <c r="STX19" s="28" t="str">
        <f>IFERROR(VLOOKUP(DATE($K$1,$K$2,STX$4),Table1[],(MATCH(Calendar!$A19,DB!$1:$1,0)),FALSE),"")</f>
        <v/>
      </c>
      <c r="STY19" s="28" t="str">
        <f>IFERROR(VLOOKUP(DATE($K$1,$K$2,STY$4),Table1[],(MATCH(Calendar!$A19,DB!$1:$1,0)),FALSE),"")</f>
        <v/>
      </c>
      <c r="STZ19" s="28" t="str">
        <f>IFERROR(VLOOKUP(DATE($K$1,$K$2,STZ$4),Table1[],(MATCH(Calendar!$A19,DB!$1:$1,0)),FALSE),"")</f>
        <v/>
      </c>
      <c r="SUA19" s="28" t="str">
        <f>IFERROR(VLOOKUP(DATE($K$1,$K$2,SUA$4),Table1[],(MATCH(Calendar!$A19,DB!$1:$1,0)),FALSE),"")</f>
        <v/>
      </c>
      <c r="SUB19" s="28" t="str">
        <f>IFERROR(VLOOKUP(DATE($K$1,$K$2,SUB$4),Table1[],(MATCH(Calendar!$A19,DB!$1:$1,0)),FALSE),"")</f>
        <v/>
      </c>
      <c r="SUC19" s="28" t="str">
        <f>IFERROR(VLOOKUP(DATE($K$1,$K$2,SUC$4),Table1[],(MATCH(Calendar!$A19,DB!$1:$1,0)),FALSE),"")</f>
        <v/>
      </c>
      <c r="SUD19" s="28" t="str">
        <f>IFERROR(VLOOKUP(DATE($K$1,$K$2,SUD$4),Table1[],(MATCH(Calendar!$A19,DB!$1:$1,0)),FALSE),"")</f>
        <v/>
      </c>
      <c r="SUE19" s="28" t="str">
        <f>IFERROR(VLOOKUP(DATE($K$1,$K$2,SUE$4),Table1[],(MATCH(Calendar!$A19,DB!$1:$1,0)),FALSE),"")</f>
        <v/>
      </c>
      <c r="SUF19" s="28" t="str">
        <f>IFERROR(VLOOKUP(DATE($K$1,$K$2,SUF$4),Table1[],(MATCH(Calendar!$A19,DB!$1:$1,0)),FALSE),"")</f>
        <v/>
      </c>
      <c r="SUG19" s="28" t="str">
        <f>IFERROR(VLOOKUP(DATE($K$1,$K$2,SUG$4),Table1[],(MATCH(Calendar!$A19,DB!$1:$1,0)),FALSE),"")</f>
        <v/>
      </c>
      <c r="SUH19" s="28" t="str">
        <f>IFERROR(VLOOKUP(DATE($K$1,$K$2,SUH$4),Table1[],(MATCH(Calendar!$A19,DB!$1:$1,0)),FALSE),"")</f>
        <v/>
      </c>
      <c r="SUI19" s="28" t="str">
        <f>IFERROR(VLOOKUP(DATE($K$1,$K$2,SUI$4),Table1[],(MATCH(Calendar!$A19,DB!$1:$1,0)),FALSE),"")</f>
        <v/>
      </c>
      <c r="SUJ19" s="28" t="str">
        <f>IFERROR(VLOOKUP(DATE($K$1,$K$2,SUJ$4),Table1[],(MATCH(Calendar!$A19,DB!$1:$1,0)),FALSE),"")</f>
        <v/>
      </c>
      <c r="SUK19" s="28" t="str">
        <f>IFERROR(VLOOKUP(DATE($K$1,$K$2,SUK$4),Table1[],(MATCH(Calendar!$A19,DB!$1:$1,0)),FALSE),"")</f>
        <v/>
      </c>
      <c r="SUL19" s="28" t="str">
        <f>IFERROR(VLOOKUP(DATE($K$1,$K$2,SUL$4),Table1[],(MATCH(Calendar!$A19,DB!$1:$1,0)),FALSE),"")</f>
        <v/>
      </c>
      <c r="SUM19" s="28" t="str">
        <f>IFERROR(VLOOKUP(DATE($K$1,$K$2,SUM$4),Table1[],(MATCH(Calendar!$A19,DB!$1:$1,0)),FALSE),"")</f>
        <v/>
      </c>
      <c r="SUN19" s="28" t="str">
        <f>IFERROR(VLOOKUP(DATE($K$1,$K$2,SUN$4),Table1[],(MATCH(Calendar!$A19,DB!$1:$1,0)),FALSE),"")</f>
        <v/>
      </c>
      <c r="SUO19" s="28" t="str">
        <f>IFERROR(VLOOKUP(DATE($K$1,$K$2,SUO$4),Table1[],(MATCH(Calendar!$A19,DB!$1:$1,0)),FALSE),"")</f>
        <v/>
      </c>
      <c r="SUP19" s="28" t="str">
        <f>IFERROR(VLOOKUP(DATE($K$1,$K$2,SUP$4),Table1[],(MATCH(Calendar!$A19,DB!$1:$1,0)),FALSE),"")</f>
        <v/>
      </c>
      <c r="SUQ19" s="28" t="str">
        <f>IFERROR(VLOOKUP(DATE($K$1,$K$2,SUQ$4),Table1[],(MATCH(Calendar!$A19,DB!$1:$1,0)),FALSE),"")</f>
        <v/>
      </c>
      <c r="SUR19" s="28" t="str">
        <f>IFERROR(VLOOKUP(DATE($K$1,$K$2,SUR$4),Table1[],(MATCH(Calendar!$A19,DB!$1:$1,0)),FALSE),"")</f>
        <v/>
      </c>
      <c r="SUS19" s="28" t="str">
        <f>IFERROR(VLOOKUP(DATE($K$1,$K$2,SUS$4),Table1[],(MATCH(Calendar!$A19,DB!$1:$1,0)),FALSE),"")</f>
        <v/>
      </c>
      <c r="SUT19" s="28" t="str">
        <f>IFERROR(VLOOKUP(DATE($K$1,$K$2,SUT$4),Table1[],(MATCH(Calendar!$A19,DB!$1:$1,0)),FALSE),"")</f>
        <v/>
      </c>
      <c r="SUU19" s="28" t="str">
        <f>IFERROR(VLOOKUP(DATE($K$1,$K$2,SUU$4),Table1[],(MATCH(Calendar!$A19,DB!$1:$1,0)),FALSE),"")</f>
        <v/>
      </c>
      <c r="SUV19" s="28" t="str">
        <f>IFERROR(VLOOKUP(DATE($K$1,$K$2,SUV$4),Table1[],(MATCH(Calendar!$A19,DB!$1:$1,0)),FALSE),"")</f>
        <v/>
      </c>
      <c r="SUW19" s="28" t="str">
        <f>IFERROR(VLOOKUP(DATE($K$1,$K$2,SUW$4),Table1[],(MATCH(Calendar!$A19,DB!$1:$1,0)),FALSE),"")</f>
        <v/>
      </c>
      <c r="SUX19" s="28" t="str">
        <f>IFERROR(VLOOKUP(DATE($K$1,$K$2,SUX$4),Table1[],(MATCH(Calendar!$A19,DB!$1:$1,0)),FALSE),"")</f>
        <v/>
      </c>
      <c r="SUY19" s="28" t="str">
        <f>IFERROR(VLOOKUP(DATE($K$1,$K$2,SUY$4),Table1[],(MATCH(Calendar!$A19,DB!$1:$1,0)),FALSE),"")</f>
        <v/>
      </c>
      <c r="SUZ19" s="28" t="str">
        <f>IFERROR(VLOOKUP(DATE($K$1,$K$2,SUZ$4),Table1[],(MATCH(Calendar!$A19,DB!$1:$1,0)),FALSE),"")</f>
        <v/>
      </c>
      <c r="SVA19" s="28" t="str">
        <f>IFERROR(VLOOKUP(DATE($K$1,$K$2,SVA$4),Table1[],(MATCH(Calendar!$A19,DB!$1:$1,0)),FALSE),"")</f>
        <v/>
      </c>
      <c r="SVB19" s="28" t="str">
        <f>IFERROR(VLOOKUP(DATE($K$1,$K$2,SVB$4),Table1[],(MATCH(Calendar!$A19,DB!$1:$1,0)),FALSE),"")</f>
        <v/>
      </c>
      <c r="SVC19" s="28" t="str">
        <f>IFERROR(VLOOKUP(DATE($K$1,$K$2,SVC$4),Table1[],(MATCH(Calendar!$A19,DB!$1:$1,0)),FALSE),"")</f>
        <v/>
      </c>
      <c r="SVD19" s="28" t="str">
        <f>IFERROR(VLOOKUP(DATE($K$1,$K$2,SVD$4),Table1[],(MATCH(Calendar!$A19,DB!$1:$1,0)),FALSE),"")</f>
        <v/>
      </c>
      <c r="SVE19" s="28" t="str">
        <f>IFERROR(VLOOKUP(DATE($K$1,$K$2,SVE$4),Table1[],(MATCH(Calendar!$A19,DB!$1:$1,0)),FALSE),"")</f>
        <v/>
      </c>
      <c r="SVF19" s="28" t="str">
        <f>IFERROR(VLOOKUP(DATE($K$1,$K$2,SVF$4),Table1[],(MATCH(Calendar!$A19,DB!$1:$1,0)),FALSE),"")</f>
        <v/>
      </c>
      <c r="SVG19" s="28" t="str">
        <f>IFERROR(VLOOKUP(DATE($K$1,$K$2,SVG$4),Table1[],(MATCH(Calendar!$A19,DB!$1:$1,0)),FALSE),"")</f>
        <v/>
      </c>
      <c r="SVH19" s="28" t="str">
        <f>IFERROR(VLOOKUP(DATE($K$1,$K$2,SVH$4),Table1[],(MATCH(Calendar!$A19,DB!$1:$1,0)),FALSE),"")</f>
        <v/>
      </c>
      <c r="SVI19" s="28" t="str">
        <f>IFERROR(VLOOKUP(DATE($K$1,$K$2,SVI$4),Table1[],(MATCH(Calendar!$A19,DB!$1:$1,0)),FALSE),"")</f>
        <v/>
      </c>
      <c r="SVJ19" s="28" t="str">
        <f>IFERROR(VLOOKUP(DATE($K$1,$K$2,SVJ$4),Table1[],(MATCH(Calendar!$A19,DB!$1:$1,0)),FALSE),"")</f>
        <v/>
      </c>
      <c r="SVK19" s="28" t="str">
        <f>IFERROR(VLOOKUP(DATE($K$1,$K$2,SVK$4),Table1[],(MATCH(Calendar!$A19,DB!$1:$1,0)),FALSE),"")</f>
        <v/>
      </c>
      <c r="SVL19" s="28" t="str">
        <f>IFERROR(VLOOKUP(DATE($K$1,$K$2,SVL$4),Table1[],(MATCH(Calendar!$A19,DB!$1:$1,0)),FALSE),"")</f>
        <v/>
      </c>
      <c r="SVM19" s="28" t="str">
        <f>IFERROR(VLOOKUP(DATE($K$1,$K$2,SVM$4),Table1[],(MATCH(Calendar!$A19,DB!$1:$1,0)),FALSE),"")</f>
        <v/>
      </c>
      <c r="SVN19" s="28" t="str">
        <f>IFERROR(VLOOKUP(DATE($K$1,$K$2,SVN$4),Table1[],(MATCH(Calendar!$A19,DB!$1:$1,0)),FALSE),"")</f>
        <v/>
      </c>
      <c r="SVO19" s="28" t="str">
        <f>IFERROR(VLOOKUP(DATE($K$1,$K$2,SVO$4),Table1[],(MATCH(Calendar!$A19,DB!$1:$1,0)),FALSE),"")</f>
        <v/>
      </c>
      <c r="SVP19" s="28" t="str">
        <f>IFERROR(VLOOKUP(DATE($K$1,$K$2,SVP$4),Table1[],(MATCH(Calendar!$A19,DB!$1:$1,0)),FALSE),"")</f>
        <v/>
      </c>
      <c r="SVQ19" s="28" t="str">
        <f>IFERROR(VLOOKUP(DATE($K$1,$K$2,SVQ$4),Table1[],(MATCH(Calendar!$A19,DB!$1:$1,0)),FALSE),"")</f>
        <v/>
      </c>
      <c r="SVR19" s="28" t="str">
        <f>IFERROR(VLOOKUP(DATE($K$1,$K$2,SVR$4),Table1[],(MATCH(Calendar!$A19,DB!$1:$1,0)),FALSE),"")</f>
        <v/>
      </c>
      <c r="SVS19" s="28" t="str">
        <f>IFERROR(VLOOKUP(DATE($K$1,$K$2,SVS$4),Table1[],(MATCH(Calendar!$A19,DB!$1:$1,0)),FALSE),"")</f>
        <v/>
      </c>
      <c r="SVT19" s="28" t="str">
        <f>IFERROR(VLOOKUP(DATE($K$1,$K$2,SVT$4),Table1[],(MATCH(Calendar!$A19,DB!$1:$1,0)),FALSE),"")</f>
        <v/>
      </c>
      <c r="SVU19" s="28" t="str">
        <f>IFERROR(VLOOKUP(DATE($K$1,$K$2,SVU$4),Table1[],(MATCH(Calendar!$A19,DB!$1:$1,0)),FALSE),"")</f>
        <v/>
      </c>
      <c r="SVV19" s="28" t="str">
        <f>IFERROR(VLOOKUP(DATE($K$1,$K$2,SVV$4),Table1[],(MATCH(Calendar!$A19,DB!$1:$1,0)),FALSE),"")</f>
        <v/>
      </c>
      <c r="SVW19" s="28" t="str">
        <f>IFERROR(VLOOKUP(DATE($K$1,$K$2,SVW$4),Table1[],(MATCH(Calendar!$A19,DB!$1:$1,0)),FALSE),"")</f>
        <v/>
      </c>
      <c r="SVX19" s="28" t="str">
        <f>IFERROR(VLOOKUP(DATE($K$1,$K$2,SVX$4),Table1[],(MATCH(Calendar!$A19,DB!$1:$1,0)),FALSE),"")</f>
        <v/>
      </c>
      <c r="SVY19" s="28" t="str">
        <f>IFERROR(VLOOKUP(DATE($K$1,$K$2,SVY$4),Table1[],(MATCH(Calendar!$A19,DB!$1:$1,0)),FALSE),"")</f>
        <v/>
      </c>
      <c r="SVZ19" s="28" t="str">
        <f>IFERROR(VLOOKUP(DATE($K$1,$K$2,SVZ$4),Table1[],(MATCH(Calendar!$A19,DB!$1:$1,0)),FALSE),"")</f>
        <v/>
      </c>
      <c r="SWA19" s="28" t="str">
        <f>IFERROR(VLOOKUP(DATE($K$1,$K$2,SWA$4),Table1[],(MATCH(Calendar!$A19,DB!$1:$1,0)),FALSE),"")</f>
        <v/>
      </c>
      <c r="SWB19" s="28" t="str">
        <f>IFERROR(VLOOKUP(DATE($K$1,$K$2,SWB$4),Table1[],(MATCH(Calendar!$A19,DB!$1:$1,0)),FALSE),"")</f>
        <v/>
      </c>
      <c r="SWC19" s="28" t="str">
        <f>IFERROR(VLOOKUP(DATE($K$1,$K$2,SWC$4),Table1[],(MATCH(Calendar!$A19,DB!$1:$1,0)),FALSE),"")</f>
        <v/>
      </c>
      <c r="SWD19" s="28" t="str">
        <f>IFERROR(VLOOKUP(DATE($K$1,$K$2,SWD$4),Table1[],(MATCH(Calendar!$A19,DB!$1:$1,0)),FALSE),"")</f>
        <v/>
      </c>
      <c r="SWE19" s="28" t="str">
        <f>IFERROR(VLOOKUP(DATE($K$1,$K$2,SWE$4),Table1[],(MATCH(Calendar!$A19,DB!$1:$1,0)),FALSE),"")</f>
        <v/>
      </c>
      <c r="SWF19" s="28" t="str">
        <f>IFERROR(VLOOKUP(DATE($K$1,$K$2,SWF$4),Table1[],(MATCH(Calendar!$A19,DB!$1:$1,0)),FALSE),"")</f>
        <v/>
      </c>
      <c r="SWG19" s="28" t="str">
        <f>IFERROR(VLOOKUP(DATE($K$1,$K$2,SWG$4),Table1[],(MATCH(Calendar!$A19,DB!$1:$1,0)),FALSE),"")</f>
        <v/>
      </c>
      <c r="SWH19" s="28" t="str">
        <f>IFERROR(VLOOKUP(DATE($K$1,$K$2,SWH$4),Table1[],(MATCH(Calendar!$A19,DB!$1:$1,0)),FALSE),"")</f>
        <v/>
      </c>
      <c r="SWI19" s="28" t="str">
        <f>IFERROR(VLOOKUP(DATE($K$1,$K$2,SWI$4),Table1[],(MATCH(Calendar!$A19,DB!$1:$1,0)),FALSE),"")</f>
        <v/>
      </c>
      <c r="SWJ19" s="28" t="str">
        <f>IFERROR(VLOOKUP(DATE($K$1,$K$2,SWJ$4),Table1[],(MATCH(Calendar!$A19,DB!$1:$1,0)),FALSE),"")</f>
        <v/>
      </c>
      <c r="SWK19" s="28" t="str">
        <f>IFERROR(VLOOKUP(DATE($K$1,$K$2,SWK$4),Table1[],(MATCH(Calendar!$A19,DB!$1:$1,0)),FALSE),"")</f>
        <v/>
      </c>
      <c r="SWL19" s="28" t="str">
        <f>IFERROR(VLOOKUP(DATE($K$1,$K$2,SWL$4),Table1[],(MATCH(Calendar!$A19,DB!$1:$1,0)),FALSE),"")</f>
        <v/>
      </c>
      <c r="SWM19" s="28" t="str">
        <f>IFERROR(VLOOKUP(DATE($K$1,$K$2,SWM$4),Table1[],(MATCH(Calendar!$A19,DB!$1:$1,0)),FALSE),"")</f>
        <v/>
      </c>
      <c r="SWN19" s="28" t="str">
        <f>IFERROR(VLOOKUP(DATE($K$1,$K$2,SWN$4),Table1[],(MATCH(Calendar!$A19,DB!$1:$1,0)),FALSE),"")</f>
        <v/>
      </c>
      <c r="SWO19" s="28" t="str">
        <f>IFERROR(VLOOKUP(DATE($K$1,$K$2,SWO$4),Table1[],(MATCH(Calendar!$A19,DB!$1:$1,0)),FALSE),"")</f>
        <v/>
      </c>
      <c r="SWP19" s="28" t="str">
        <f>IFERROR(VLOOKUP(DATE($K$1,$K$2,SWP$4),Table1[],(MATCH(Calendar!$A19,DB!$1:$1,0)),FALSE),"")</f>
        <v/>
      </c>
      <c r="SWQ19" s="28" t="str">
        <f>IFERROR(VLOOKUP(DATE($K$1,$K$2,SWQ$4),Table1[],(MATCH(Calendar!$A19,DB!$1:$1,0)),FALSE),"")</f>
        <v/>
      </c>
      <c r="SWR19" s="28" t="str">
        <f>IFERROR(VLOOKUP(DATE($K$1,$K$2,SWR$4),Table1[],(MATCH(Calendar!$A19,DB!$1:$1,0)),FALSE),"")</f>
        <v/>
      </c>
      <c r="SWS19" s="28" t="str">
        <f>IFERROR(VLOOKUP(DATE($K$1,$K$2,SWS$4),Table1[],(MATCH(Calendar!$A19,DB!$1:$1,0)),FALSE),"")</f>
        <v/>
      </c>
      <c r="SWT19" s="28" t="str">
        <f>IFERROR(VLOOKUP(DATE($K$1,$K$2,SWT$4),Table1[],(MATCH(Calendar!$A19,DB!$1:$1,0)),FALSE),"")</f>
        <v/>
      </c>
      <c r="SWU19" s="28" t="str">
        <f>IFERROR(VLOOKUP(DATE($K$1,$K$2,SWU$4),Table1[],(MATCH(Calendar!$A19,DB!$1:$1,0)),FALSE),"")</f>
        <v/>
      </c>
      <c r="SWV19" s="28" t="str">
        <f>IFERROR(VLOOKUP(DATE($K$1,$K$2,SWV$4),Table1[],(MATCH(Calendar!$A19,DB!$1:$1,0)),FALSE),"")</f>
        <v/>
      </c>
      <c r="SWW19" s="28" t="str">
        <f>IFERROR(VLOOKUP(DATE($K$1,$K$2,SWW$4),Table1[],(MATCH(Calendar!$A19,DB!$1:$1,0)),FALSE),"")</f>
        <v/>
      </c>
      <c r="SWX19" s="28" t="str">
        <f>IFERROR(VLOOKUP(DATE($K$1,$K$2,SWX$4),Table1[],(MATCH(Calendar!$A19,DB!$1:$1,0)),FALSE),"")</f>
        <v/>
      </c>
      <c r="SWY19" s="28" t="str">
        <f>IFERROR(VLOOKUP(DATE($K$1,$K$2,SWY$4),Table1[],(MATCH(Calendar!$A19,DB!$1:$1,0)),FALSE),"")</f>
        <v/>
      </c>
      <c r="SWZ19" s="28" t="str">
        <f>IFERROR(VLOOKUP(DATE($K$1,$K$2,SWZ$4),Table1[],(MATCH(Calendar!$A19,DB!$1:$1,0)),FALSE),"")</f>
        <v/>
      </c>
      <c r="SXA19" s="28" t="str">
        <f>IFERROR(VLOOKUP(DATE($K$1,$K$2,SXA$4),Table1[],(MATCH(Calendar!$A19,DB!$1:$1,0)),FALSE),"")</f>
        <v/>
      </c>
      <c r="SXB19" s="28" t="str">
        <f>IFERROR(VLOOKUP(DATE($K$1,$K$2,SXB$4),Table1[],(MATCH(Calendar!$A19,DB!$1:$1,0)),FALSE),"")</f>
        <v/>
      </c>
      <c r="SXC19" s="28" t="str">
        <f>IFERROR(VLOOKUP(DATE($K$1,$K$2,SXC$4),Table1[],(MATCH(Calendar!$A19,DB!$1:$1,0)),FALSE),"")</f>
        <v/>
      </c>
      <c r="SXD19" s="28" t="str">
        <f>IFERROR(VLOOKUP(DATE($K$1,$K$2,SXD$4),Table1[],(MATCH(Calendar!$A19,DB!$1:$1,0)),FALSE),"")</f>
        <v/>
      </c>
      <c r="SXE19" s="28" t="str">
        <f>IFERROR(VLOOKUP(DATE($K$1,$K$2,SXE$4),Table1[],(MATCH(Calendar!$A19,DB!$1:$1,0)),FALSE),"")</f>
        <v/>
      </c>
      <c r="SXF19" s="28" t="str">
        <f>IFERROR(VLOOKUP(DATE($K$1,$K$2,SXF$4),Table1[],(MATCH(Calendar!$A19,DB!$1:$1,0)),FALSE),"")</f>
        <v/>
      </c>
      <c r="SXG19" s="28" t="str">
        <f>IFERROR(VLOOKUP(DATE($K$1,$K$2,SXG$4),Table1[],(MATCH(Calendar!$A19,DB!$1:$1,0)),FALSE),"")</f>
        <v/>
      </c>
      <c r="SXH19" s="28" t="str">
        <f>IFERROR(VLOOKUP(DATE($K$1,$K$2,SXH$4),Table1[],(MATCH(Calendar!$A19,DB!$1:$1,0)),FALSE),"")</f>
        <v/>
      </c>
      <c r="SXI19" s="28" t="str">
        <f>IFERROR(VLOOKUP(DATE($K$1,$K$2,SXI$4),Table1[],(MATCH(Calendar!$A19,DB!$1:$1,0)),FALSE),"")</f>
        <v/>
      </c>
      <c r="SXJ19" s="28" t="str">
        <f>IFERROR(VLOOKUP(DATE($K$1,$K$2,SXJ$4),Table1[],(MATCH(Calendar!$A19,DB!$1:$1,0)),FALSE),"")</f>
        <v/>
      </c>
      <c r="SXK19" s="28" t="str">
        <f>IFERROR(VLOOKUP(DATE($K$1,$K$2,SXK$4),Table1[],(MATCH(Calendar!$A19,DB!$1:$1,0)),FALSE),"")</f>
        <v/>
      </c>
      <c r="SXL19" s="28" t="str">
        <f>IFERROR(VLOOKUP(DATE($K$1,$K$2,SXL$4),Table1[],(MATCH(Calendar!$A19,DB!$1:$1,0)),FALSE),"")</f>
        <v/>
      </c>
      <c r="SXM19" s="28" t="str">
        <f>IFERROR(VLOOKUP(DATE($K$1,$K$2,SXM$4),Table1[],(MATCH(Calendar!$A19,DB!$1:$1,0)),FALSE),"")</f>
        <v/>
      </c>
      <c r="SXN19" s="28" t="str">
        <f>IFERROR(VLOOKUP(DATE($K$1,$K$2,SXN$4),Table1[],(MATCH(Calendar!$A19,DB!$1:$1,0)),FALSE),"")</f>
        <v/>
      </c>
      <c r="SXO19" s="28" t="str">
        <f>IFERROR(VLOOKUP(DATE($K$1,$K$2,SXO$4),Table1[],(MATCH(Calendar!$A19,DB!$1:$1,0)),FALSE),"")</f>
        <v/>
      </c>
      <c r="SXP19" s="28" t="str">
        <f>IFERROR(VLOOKUP(DATE($K$1,$K$2,SXP$4),Table1[],(MATCH(Calendar!$A19,DB!$1:$1,0)),FALSE),"")</f>
        <v/>
      </c>
      <c r="SXQ19" s="28" t="str">
        <f>IFERROR(VLOOKUP(DATE($K$1,$K$2,SXQ$4),Table1[],(MATCH(Calendar!$A19,DB!$1:$1,0)),FALSE),"")</f>
        <v/>
      </c>
      <c r="SXR19" s="28" t="str">
        <f>IFERROR(VLOOKUP(DATE($K$1,$K$2,SXR$4),Table1[],(MATCH(Calendar!$A19,DB!$1:$1,0)),FALSE),"")</f>
        <v/>
      </c>
      <c r="SXS19" s="28" t="str">
        <f>IFERROR(VLOOKUP(DATE($K$1,$K$2,SXS$4),Table1[],(MATCH(Calendar!$A19,DB!$1:$1,0)),FALSE),"")</f>
        <v/>
      </c>
      <c r="SXT19" s="28" t="str">
        <f>IFERROR(VLOOKUP(DATE($K$1,$K$2,SXT$4),Table1[],(MATCH(Calendar!$A19,DB!$1:$1,0)),FALSE),"")</f>
        <v/>
      </c>
      <c r="SXU19" s="28" t="str">
        <f>IFERROR(VLOOKUP(DATE($K$1,$K$2,SXU$4),Table1[],(MATCH(Calendar!$A19,DB!$1:$1,0)),FALSE),"")</f>
        <v/>
      </c>
      <c r="SXV19" s="28" t="str">
        <f>IFERROR(VLOOKUP(DATE($K$1,$K$2,SXV$4),Table1[],(MATCH(Calendar!$A19,DB!$1:$1,0)),FALSE),"")</f>
        <v/>
      </c>
      <c r="SXW19" s="28" t="str">
        <f>IFERROR(VLOOKUP(DATE($K$1,$K$2,SXW$4),Table1[],(MATCH(Calendar!$A19,DB!$1:$1,0)),FALSE),"")</f>
        <v/>
      </c>
      <c r="SXX19" s="28" t="str">
        <f>IFERROR(VLOOKUP(DATE($K$1,$K$2,SXX$4),Table1[],(MATCH(Calendar!$A19,DB!$1:$1,0)),FALSE),"")</f>
        <v/>
      </c>
      <c r="SXY19" s="28" t="str">
        <f>IFERROR(VLOOKUP(DATE($K$1,$K$2,SXY$4),Table1[],(MATCH(Calendar!$A19,DB!$1:$1,0)),FALSE),"")</f>
        <v/>
      </c>
      <c r="SXZ19" s="28" t="str">
        <f>IFERROR(VLOOKUP(DATE($K$1,$K$2,SXZ$4),Table1[],(MATCH(Calendar!$A19,DB!$1:$1,0)),FALSE),"")</f>
        <v/>
      </c>
      <c r="SYA19" s="28" t="str">
        <f>IFERROR(VLOOKUP(DATE($K$1,$K$2,SYA$4),Table1[],(MATCH(Calendar!$A19,DB!$1:$1,0)),FALSE),"")</f>
        <v/>
      </c>
      <c r="SYB19" s="28" t="str">
        <f>IFERROR(VLOOKUP(DATE($K$1,$K$2,SYB$4),Table1[],(MATCH(Calendar!$A19,DB!$1:$1,0)),FALSE),"")</f>
        <v/>
      </c>
      <c r="SYC19" s="28" t="str">
        <f>IFERROR(VLOOKUP(DATE($K$1,$K$2,SYC$4),Table1[],(MATCH(Calendar!$A19,DB!$1:$1,0)),FALSE),"")</f>
        <v/>
      </c>
      <c r="SYD19" s="28" t="str">
        <f>IFERROR(VLOOKUP(DATE($K$1,$K$2,SYD$4),Table1[],(MATCH(Calendar!$A19,DB!$1:$1,0)),FALSE),"")</f>
        <v/>
      </c>
      <c r="SYE19" s="28" t="str">
        <f>IFERROR(VLOOKUP(DATE($K$1,$K$2,SYE$4),Table1[],(MATCH(Calendar!$A19,DB!$1:$1,0)),FALSE),"")</f>
        <v/>
      </c>
      <c r="SYF19" s="28" t="str">
        <f>IFERROR(VLOOKUP(DATE($K$1,$K$2,SYF$4),Table1[],(MATCH(Calendar!$A19,DB!$1:$1,0)),FALSE),"")</f>
        <v/>
      </c>
      <c r="SYG19" s="28" t="str">
        <f>IFERROR(VLOOKUP(DATE($K$1,$K$2,SYG$4),Table1[],(MATCH(Calendar!$A19,DB!$1:$1,0)),FALSE),"")</f>
        <v/>
      </c>
      <c r="SYH19" s="28" t="str">
        <f>IFERROR(VLOOKUP(DATE($K$1,$K$2,SYH$4),Table1[],(MATCH(Calendar!$A19,DB!$1:$1,0)),FALSE),"")</f>
        <v/>
      </c>
      <c r="SYI19" s="28" t="str">
        <f>IFERROR(VLOOKUP(DATE($K$1,$K$2,SYI$4),Table1[],(MATCH(Calendar!$A19,DB!$1:$1,0)),FALSE),"")</f>
        <v/>
      </c>
      <c r="SYJ19" s="28" t="str">
        <f>IFERROR(VLOOKUP(DATE($K$1,$K$2,SYJ$4),Table1[],(MATCH(Calendar!$A19,DB!$1:$1,0)),FALSE),"")</f>
        <v/>
      </c>
      <c r="SYK19" s="28" t="str">
        <f>IFERROR(VLOOKUP(DATE($K$1,$K$2,SYK$4),Table1[],(MATCH(Calendar!$A19,DB!$1:$1,0)),FALSE),"")</f>
        <v/>
      </c>
      <c r="SYL19" s="28" t="str">
        <f>IFERROR(VLOOKUP(DATE($K$1,$K$2,SYL$4),Table1[],(MATCH(Calendar!$A19,DB!$1:$1,0)),FALSE),"")</f>
        <v/>
      </c>
      <c r="SYM19" s="28" t="str">
        <f>IFERROR(VLOOKUP(DATE($K$1,$K$2,SYM$4),Table1[],(MATCH(Calendar!$A19,DB!$1:$1,0)),FALSE),"")</f>
        <v/>
      </c>
      <c r="SYN19" s="28" t="str">
        <f>IFERROR(VLOOKUP(DATE($K$1,$K$2,SYN$4),Table1[],(MATCH(Calendar!$A19,DB!$1:$1,0)),FALSE),"")</f>
        <v/>
      </c>
      <c r="SYO19" s="28" t="str">
        <f>IFERROR(VLOOKUP(DATE($K$1,$K$2,SYO$4),Table1[],(MATCH(Calendar!$A19,DB!$1:$1,0)),FALSE),"")</f>
        <v/>
      </c>
      <c r="SYP19" s="28" t="str">
        <f>IFERROR(VLOOKUP(DATE($K$1,$K$2,SYP$4),Table1[],(MATCH(Calendar!$A19,DB!$1:$1,0)),FALSE),"")</f>
        <v/>
      </c>
      <c r="SYQ19" s="28" t="str">
        <f>IFERROR(VLOOKUP(DATE($K$1,$K$2,SYQ$4),Table1[],(MATCH(Calendar!$A19,DB!$1:$1,0)),FALSE),"")</f>
        <v/>
      </c>
      <c r="SYR19" s="28" t="str">
        <f>IFERROR(VLOOKUP(DATE($K$1,$K$2,SYR$4),Table1[],(MATCH(Calendar!$A19,DB!$1:$1,0)),FALSE),"")</f>
        <v/>
      </c>
      <c r="SYS19" s="28" t="str">
        <f>IFERROR(VLOOKUP(DATE($K$1,$K$2,SYS$4),Table1[],(MATCH(Calendar!$A19,DB!$1:$1,0)),FALSE),"")</f>
        <v/>
      </c>
      <c r="SYT19" s="28" t="str">
        <f>IFERROR(VLOOKUP(DATE($K$1,$K$2,SYT$4),Table1[],(MATCH(Calendar!$A19,DB!$1:$1,0)),FALSE),"")</f>
        <v/>
      </c>
      <c r="SYU19" s="28" t="str">
        <f>IFERROR(VLOOKUP(DATE($K$1,$K$2,SYU$4),Table1[],(MATCH(Calendar!$A19,DB!$1:$1,0)),FALSE),"")</f>
        <v/>
      </c>
      <c r="SYV19" s="28" t="str">
        <f>IFERROR(VLOOKUP(DATE($K$1,$K$2,SYV$4),Table1[],(MATCH(Calendar!$A19,DB!$1:$1,0)),FALSE),"")</f>
        <v/>
      </c>
      <c r="SYW19" s="28" t="str">
        <f>IFERROR(VLOOKUP(DATE($K$1,$K$2,SYW$4),Table1[],(MATCH(Calendar!$A19,DB!$1:$1,0)),FALSE),"")</f>
        <v/>
      </c>
      <c r="SYX19" s="28" t="str">
        <f>IFERROR(VLOOKUP(DATE($K$1,$K$2,SYX$4),Table1[],(MATCH(Calendar!$A19,DB!$1:$1,0)),FALSE),"")</f>
        <v/>
      </c>
      <c r="SYY19" s="28" t="str">
        <f>IFERROR(VLOOKUP(DATE($K$1,$K$2,SYY$4),Table1[],(MATCH(Calendar!$A19,DB!$1:$1,0)),FALSE),"")</f>
        <v/>
      </c>
      <c r="SYZ19" s="28" t="str">
        <f>IFERROR(VLOOKUP(DATE($K$1,$K$2,SYZ$4),Table1[],(MATCH(Calendar!$A19,DB!$1:$1,0)),FALSE),"")</f>
        <v/>
      </c>
      <c r="SZA19" s="28" t="str">
        <f>IFERROR(VLOOKUP(DATE($K$1,$K$2,SZA$4),Table1[],(MATCH(Calendar!$A19,DB!$1:$1,0)),FALSE),"")</f>
        <v/>
      </c>
      <c r="SZB19" s="28" t="str">
        <f>IFERROR(VLOOKUP(DATE($K$1,$K$2,SZB$4),Table1[],(MATCH(Calendar!$A19,DB!$1:$1,0)),FALSE),"")</f>
        <v/>
      </c>
      <c r="SZC19" s="28" t="str">
        <f>IFERROR(VLOOKUP(DATE($K$1,$K$2,SZC$4),Table1[],(MATCH(Calendar!$A19,DB!$1:$1,0)),FALSE),"")</f>
        <v/>
      </c>
      <c r="SZD19" s="28" t="str">
        <f>IFERROR(VLOOKUP(DATE($K$1,$K$2,SZD$4),Table1[],(MATCH(Calendar!$A19,DB!$1:$1,0)),FALSE),"")</f>
        <v/>
      </c>
      <c r="SZE19" s="28" t="str">
        <f>IFERROR(VLOOKUP(DATE($K$1,$K$2,SZE$4),Table1[],(MATCH(Calendar!$A19,DB!$1:$1,0)),FALSE),"")</f>
        <v/>
      </c>
      <c r="SZF19" s="28" t="str">
        <f>IFERROR(VLOOKUP(DATE($K$1,$K$2,SZF$4),Table1[],(MATCH(Calendar!$A19,DB!$1:$1,0)),FALSE),"")</f>
        <v/>
      </c>
      <c r="SZG19" s="28" t="str">
        <f>IFERROR(VLOOKUP(DATE($K$1,$K$2,SZG$4),Table1[],(MATCH(Calendar!$A19,DB!$1:$1,0)),FALSE),"")</f>
        <v/>
      </c>
      <c r="SZH19" s="28" t="str">
        <f>IFERROR(VLOOKUP(DATE($K$1,$K$2,SZH$4),Table1[],(MATCH(Calendar!$A19,DB!$1:$1,0)),FALSE),"")</f>
        <v/>
      </c>
      <c r="SZI19" s="28" t="str">
        <f>IFERROR(VLOOKUP(DATE($K$1,$K$2,SZI$4),Table1[],(MATCH(Calendar!$A19,DB!$1:$1,0)),FALSE),"")</f>
        <v/>
      </c>
      <c r="SZJ19" s="28" t="str">
        <f>IFERROR(VLOOKUP(DATE($K$1,$K$2,SZJ$4),Table1[],(MATCH(Calendar!$A19,DB!$1:$1,0)),FALSE),"")</f>
        <v/>
      </c>
      <c r="SZK19" s="28" t="str">
        <f>IFERROR(VLOOKUP(DATE($K$1,$K$2,SZK$4),Table1[],(MATCH(Calendar!$A19,DB!$1:$1,0)),FALSE),"")</f>
        <v/>
      </c>
      <c r="SZL19" s="28" t="str">
        <f>IFERROR(VLOOKUP(DATE($K$1,$K$2,SZL$4),Table1[],(MATCH(Calendar!$A19,DB!$1:$1,0)),FALSE),"")</f>
        <v/>
      </c>
      <c r="SZM19" s="28" t="str">
        <f>IFERROR(VLOOKUP(DATE($K$1,$K$2,SZM$4),Table1[],(MATCH(Calendar!$A19,DB!$1:$1,0)),FALSE),"")</f>
        <v/>
      </c>
      <c r="SZN19" s="28" t="str">
        <f>IFERROR(VLOOKUP(DATE($K$1,$K$2,SZN$4),Table1[],(MATCH(Calendar!$A19,DB!$1:$1,0)),FALSE),"")</f>
        <v/>
      </c>
      <c r="SZO19" s="28" t="str">
        <f>IFERROR(VLOOKUP(DATE($K$1,$K$2,SZO$4),Table1[],(MATCH(Calendar!$A19,DB!$1:$1,0)),FALSE),"")</f>
        <v/>
      </c>
      <c r="SZP19" s="28" t="str">
        <f>IFERROR(VLOOKUP(DATE($K$1,$K$2,SZP$4),Table1[],(MATCH(Calendar!$A19,DB!$1:$1,0)),FALSE),"")</f>
        <v/>
      </c>
      <c r="SZQ19" s="28" t="str">
        <f>IFERROR(VLOOKUP(DATE($K$1,$K$2,SZQ$4),Table1[],(MATCH(Calendar!$A19,DB!$1:$1,0)),FALSE),"")</f>
        <v/>
      </c>
      <c r="SZR19" s="28" t="str">
        <f>IFERROR(VLOOKUP(DATE($K$1,$K$2,SZR$4),Table1[],(MATCH(Calendar!$A19,DB!$1:$1,0)),FALSE),"")</f>
        <v/>
      </c>
      <c r="SZS19" s="28" t="str">
        <f>IFERROR(VLOOKUP(DATE($K$1,$K$2,SZS$4),Table1[],(MATCH(Calendar!$A19,DB!$1:$1,0)),FALSE),"")</f>
        <v/>
      </c>
      <c r="SZT19" s="28" t="str">
        <f>IFERROR(VLOOKUP(DATE($K$1,$K$2,SZT$4),Table1[],(MATCH(Calendar!$A19,DB!$1:$1,0)),FALSE),"")</f>
        <v/>
      </c>
      <c r="SZU19" s="28" t="str">
        <f>IFERROR(VLOOKUP(DATE($K$1,$K$2,SZU$4),Table1[],(MATCH(Calendar!$A19,DB!$1:$1,0)),FALSE),"")</f>
        <v/>
      </c>
      <c r="SZV19" s="28" t="str">
        <f>IFERROR(VLOOKUP(DATE($K$1,$K$2,SZV$4),Table1[],(MATCH(Calendar!$A19,DB!$1:$1,0)),FALSE),"")</f>
        <v/>
      </c>
      <c r="SZW19" s="28" t="str">
        <f>IFERROR(VLOOKUP(DATE($K$1,$K$2,SZW$4),Table1[],(MATCH(Calendar!$A19,DB!$1:$1,0)),FALSE),"")</f>
        <v/>
      </c>
      <c r="SZX19" s="28" t="str">
        <f>IFERROR(VLOOKUP(DATE($K$1,$K$2,SZX$4),Table1[],(MATCH(Calendar!$A19,DB!$1:$1,0)),FALSE),"")</f>
        <v/>
      </c>
      <c r="SZY19" s="28" t="str">
        <f>IFERROR(VLOOKUP(DATE($K$1,$K$2,SZY$4),Table1[],(MATCH(Calendar!$A19,DB!$1:$1,0)),FALSE),"")</f>
        <v/>
      </c>
      <c r="SZZ19" s="28" t="str">
        <f>IFERROR(VLOOKUP(DATE($K$1,$K$2,SZZ$4),Table1[],(MATCH(Calendar!$A19,DB!$1:$1,0)),FALSE),"")</f>
        <v/>
      </c>
      <c r="TAA19" s="28" t="str">
        <f>IFERROR(VLOOKUP(DATE($K$1,$K$2,TAA$4),Table1[],(MATCH(Calendar!$A19,DB!$1:$1,0)),FALSE),"")</f>
        <v/>
      </c>
      <c r="TAB19" s="28" t="str">
        <f>IFERROR(VLOOKUP(DATE($K$1,$K$2,TAB$4),Table1[],(MATCH(Calendar!$A19,DB!$1:$1,0)),FALSE),"")</f>
        <v/>
      </c>
      <c r="TAC19" s="28" t="str">
        <f>IFERROR(VLOOKUP(DATE($K$1,$K$2,TAC$4),Table1[],(MATCH(Calendar!$A19,DB!$1:$1,0)),FALSE),"")</f>
        <v/>
      </c>
      <c r="TAD19" s="28" t="str">
        <f>IFERROR(VLOOKUP(DATE($K$1,$K$2,TAD$4),Table1[],(MATCH(Calendar!$A19,DB!$1:$1,0)),FALSE),"")</f>
        <v/>
      </c>
      <c r="TAE19" s="28" t="str">
        <f>IFERROR(VLOOKUP(DATE($K$1,$K$2,TAE$4),Table1[],(MATCH(Calendar!$A19,DB!$1:$1,0)),FALSE),"")</f>
        <v/>
      </c>
      <c r="TAF19" s="28" t="str">
        <f>IFERROR(VLOOKUP(DATE($K$1,$K$2,TAF$4),Table1[],(MATCH(Calendar!$A19,DB!$1:$1,0)),FALSE),"")</f>
        <v/>
      </c>
      <c r="TAG19" s="28" t="str">
        <f>IFERROR(VLOOKUP(DATE($K$1,$K$2,TAG$4),Table1[],(MATCH(Calendar!$A19,DB!$1:$1,0)),FALSE),"")</f>
        <v/>
      </c>
      <c r="TAH19" s="28" t="str">
        <f>IFERROR(VLOOKUP(DATE($K$1,$K$2,TAH$4),Table1[],(MATCH(Calendar!$A19,DB!$1:$1,0)),FALSE),"")</f>
        <v/>
      </c>
      <c r="TAI19" s="28" t="str">
        <f>IFERROR(VLOOKUP(DATE($K$1,$K$2,TAI$4),Table1[],(MATCH(Calendar!$A19,DB!$1:$1,0)),FALSE),"")</f>
        <v/>
      </c>
      <c r="TAJ19" s="28" t="str">
        <f>IFERROR(VLOOKUP(DATE($K$1,$K$2,TAJ$4),Table1[],(MATCH(Calendar!$A19,DB!$1:$1,0)),FALSE),"")</f>
        <v/>
      </c>
      <c r="TAK19" s="28" t="str">
        <f>IFERROR(VLOOKUP(DATE($K$1,$K$2,TAK$4),Table1[],(MATCH(Calendar!$A19,DB!$1:$1,0)),FALSE),"")</f>
        <v/>
      </c>
      <c r="TAL19" s="28" t="str">
        <f>IFERROR(VLOOKUP(DATE($K$1,$K$2,TAL$4),Table1[],(MATCH(Calendar!$A19,DB!$1:$1,0)),FALSE),"")</f>
        <v/>
      </c>
      <c r="TAM19" s="28" t="str">
        <f>IFERROR(VLOOKUP(DATE($K$1,$K$2,TAM$4),Table1[],(MATCH(Calendar!$A19,DB!$1:$1,0)),FALSE),"")</f>
        <v/>
      </c>
      <c r="TAN19" s="28" t="str">
        <f>IFERROR(VLOOKUP(DATE($K$1,$K$2,TAN$4),Table1[],(MATCH(Calendar!$A19,DB!$1:$1,0)),FALSE),"")</f>
        <v/>
      </c>
      <c r="TAO19" s="28" t="str">
        <f>IFERROR(VLOOKUP(DATE($K$1,$K$2,TAO$4),Table1[],(MATCH(Calendar!$A19,DB!$1:$1,0)),FALSE),"")</f>
        <v/>
      </c>
      <c r="TAP19" s="28" t="str">
        <f>IFERROR(VLOOKUP(DATE($K$1,$K$2,TAP$4),Table1[],(MATCH(Calendar!$A19,DB!$1:$1,0)),FALSE),"")</f>
        <v/>
      </c>
      <c r="TAQ19" s="28" t="str">
        <f>IFERROR(VLOOKUP(DATE($K$1,$K$2,TAQ$4),Table1[],(MATCH(Calendar!$A19,DB!$1:$1,0)),FALSE),"")</f>
        <v/>
      </c>
      <c r="TAR19" s="28" t="str">
        <f>IFERROR(VLOOKUP(DATE($K$1,$K$2,TAR$4),Table1[],(MATCH(Calendar!$A19,DB!$1:$1,0)),FALSE),"")</f>
        <v/>
      </c>
      <c r="TAS19" s="28" t="str">
        <f>IFERROR(VLOOKUP(DATE($K$1,$K$2,TAS$4),Table1[],(MATCH(Calendar!$A19,DB!$1:$1,0)),FALSE),"")</f>
        <v/>
      </c>
      <c r="TAT19" s="28" t="str">
        <f>IFERROR(VLOOKUP(DATE($K$1,$K$2,TAT$4),Table1[],(MATCH(Calendar!$A19,DB!$1:$1,0)),FALSE),"")</f>
        <v/>
      </c>
      <c r="TAU19" s="28" t="str">
        <f>IFERROR(VLOOKUP(DATE($K$1,$K$2,TAU$4),Table1[],(MATCH(Calendar!$A19,DB!$1:$1,0)),FALSE),"")</f>
        <v/>
      </c>
      <c r="TAV19" s="28" t="str">
        <f>IFERROR(VLOOKUP(DATE($K$1,$K$2,TAV$4),Table1[],(MATCH(Calendar!$A19,DB!$1:$1,0)),FALSE),"")</f>
        <v/>
      </c>
      <c r="TAW19" s="28" t="str">
        <f>IFERROR(VLOOKUP(DATE($K$1,$K$2,TAW$4),Table1[],(MATCH(Calendar!$A19,DB!$1:$1,0)),FALSE),"")</f>
        <v/>
      </c>
      <c r="TAX19" s="28" t="str">
        <f>IFERROR(VLOOKUP(DATE($K$1,$K$2,TAX$4),Table1[],(MATCH(Calendar!$A19,DB!$1:$1,0)),FALSE),"")</f>
        <v/>
      </c>
      <c r="TAY19" s="28" t="str">
        <f>IFERROR(VLOOKUP(DATE($K$1,$K$2,TAY$4),Table1[],(MATCH(Calendar!$A19,DB!$1:$1,0)),FALSE),"")</f>
        <v/>
      </c>
      <c r="TAZ19" s="28" t="str">
        <f>IFERROR(VLOOKUP(DATE($K$1,$K$2,TAZ$4),Table1[],(MATCH(Calendar!$A19,DB!$1:$1,0)),FALSE),"")</f>
        <v/>
      </c>
      <c r="TBA19" s="28" t="str">
        <f>IFERROR(VLOOKUP(DATE($K$1,$K$2,TBA$4),Table1[],(MATCH(Calendar!$A19,DB!$1:$1,0)),FALSE),"")</f>
        <v/>
      </c>
      <c r="TBB19" s="28" t="str">
        <f>IFERROR(VLOOKUP(DATE($K$1,$K$2,TBB$4),Table1[],(MATCH(Calendar!$A19,DB!$1:$1,0)),FALSE),"")</f>
        <v/>
      </c>
      <c r="TBC19" s="28" t="str">
        <f>IFERROR(VLOOKUP(DATE($K$1,$K$2,TBC$4),Table1[],(MATCH(Calendar!$A19,DB!$1:$1,0)),FALSE),"")</f>
        <v/>
      </c>
      <c r="TBD19" s="28" t="str">
        <f>IFERROR(VLOOKUP(DATE($K$1,$K$2,TBD$4),Table1[],(MATCH(Calendar!$A19,DB!$1:$1,0)),FALSE),"")</f>
        <v/>
      </c>
      <c r="TBE19" s="28" t="str">
        <f>IFERROR(VLOOKUP(DATE($K$1,$K$2,TBE$4),Table1[],(MATCH(Calendar!$A19,DB!$1:$1,0)),FALSE),"")</f>
        <v/>
      </c>
      <c r="TBF19" s="28" t="str">
        <f>IFERROR(VLOOKUP(DATE($K$1,$K$2,TBF$4),Table1[],(MATCH(Calendar!$A19,DB!$1:$1,0)),FALSE),"")</f>
        <v/>
      </c>
      <c r="TBG19" s="28" t="str">
        <f>IFERROR(VLOOKUP(DATE($K$1,$K$2,TBG$4),Table1[],(MATCH(Calendar!$A19,DB!$1:$1,0)),FALSE),"")</f>
        <v/>
      </c>
      <c r="TBH19" s="28" t="str">
        <f>IFERROR(VLOOKUP(DATE($K$1,$K$2,TBH$4),Table1[],(MATCH(Calendar!$A19,DB!$1:$1,0)),FALSE),"")</f>
        <v/>
      </c>
      <c r="TBI19" s="28" t="str">
        <f>IFERROR(VLOOKUP(DATE($K$1,$K$2,TBI$4),Table1[],(MATCH(Calendar!$A19,DB!$1:$1,0)),FALSE),"")</f>
        <v/>
      </c>
      <c r="TBJ19" s="28" t="str">
        <f>IFERROR(VLOOKUP(DATE($K$1,$K$2,TBJ$4),Table1[],(MATCH(Calendar!$A19,DB!$1:$1,0)),FALSE),"")</f>
        <v/>
      </c>
      <c r="TBK19" s="28" t="str">
        <f>IFERROR(VLOOKUP(DATE($K$1,$K$2,TBK$4),Table1[],(MATCH(Calendar!$A19,DB!$1:$1,0)),FALSE),"")</f>
        <v/>
      </c>
      <c r="TBL19" s="28" t="str">
        <f>IFERROR(VLOOKUP(DATE($K$1,$K$2,TBL$4),Table1[],(MATCH(Calendar!$A19,DB!$1:$1,0)),FALSE),"")</f>
        <v/>
      </c>
      <c r="TBM19" s="28" t="str">
        <f>IFERROR(VLOOKUP(DATE($K$1,$K$2,TBM$4),Table1[],(MATCH(Calendar!$A19,DB!$1:$1,0)),FALSE),"")</f>
        <v/>
      </c>
      <c r="TBN19" s="28" t="str">
        <f>IFERROR(VLOOKUP(DATE($K$1,$K$2,TBN$4),Table1[],(MATCH(Calendar!$A19,DB!$1:$1,0)),FALSE),"")</f>
        <v/>
      </c>
      <c r="TBO19" s="28" t="str">
        <f>IFERROR(VLOOKUP(DATE($K$1,$K$2,TBO$4),Table1[],(MATCH(Calendar!$A19,DB!$1:$1,0)),FALSE),"")</f>
        <v/>
      </c>
      <c r="TBP19" s="28" t="str">
        <f>IFERROR(VLOOKUP(DATE($K$1,$K$2,TBP$4),Table1[],(MATCH(Calendar!$A19,DB!$1:$1,0)),FALSE),"")</f>
        <v/>
      </c>
      <c r="TBQ19" s="28" t="str">
        <f>IFERROR(VLOOKUP(DATE($K$1,$K$2,TBQ$4),Table1[],(MATCH(Calendar!$A19,DB!$1:$1,0)),FALSE),"")</f>
        <v/>
      </c>
      <c r="TBR19" s="28" t="str">
        <f>IFERROR(VLOOKUP(DATE($K$1,$K$2,TBR$4),Table1[],(MATCH(Calendar!$A19,DB!$1:$1,0)),FALSE),"")</f>
        <v/>
      </c>
      <c r="TBS19" s="28" t="str">
        <f>IFERROR(VLOOKUP(DATE($K$1,$K$2,TBS$4),Table1[],(MATCH(Calendar!$A19,DB!$1:$1,0)),FALSE),"")</f>
        <v/>
      </c>
      <c r="TBT19" s="28" t="str">
        <f>IFERROR(VLOOKUP(DATE($K$1,$K$2,TBT$4),Table1[],(MATCH(Calendar!$A19,DB!$1:$1,0)),FALSE),"")</f>
        <v/>
      </c>
      <c r="TBU19" s="28" t="str">
        <f>IFERROR(VLOOKUP(DATE($K$1,$K$2,TBU$4),Table1[],(MATCH(Calendar!$A19,DB!$1:$1,0)),FALSE),"")</f>
        <v/>
      </c>
      <c r="TBV19" s="28" t="str">
        <f>IFERROR(VLOOKUP(DATE($K$1,$K$2,TBV$4),Table1[],(MATCH(Calendar!$A19,DB!$1:$1,0)),FALSE),"")</f>
        <v/>
      </c>
      <c r="TBW19" s="28" t="str">
        <f>IFERROR(VLOOKUP(DATE($K$1,$K$2,TBW$4),Table1[],(MATCH(Calendar!$A19,DB!$1:$1,0)),FALSE),"")</f>
        <v/>
      </c>
      <c r="TBX19" s="28" t="str">
        <f>IFERROR(VLOOKUP(DATE($K$1,$K$2,TBX$4),Table1[],(MATCH(Calendar!$A19,DB!$1:$1,0)),FALSE),"")</f>
        <v/>
      </c>
      <c r="TBY19" s="28" t="str">
        <f>IFERROR(VLOOKUP(DATE($K$1,$K$2,TBY$4),Table1[],(MATCH(Calendar!$A19,DB!$1:$1,0)),FALSE),"")</f>
        <v/>
      </c>
      <c r="TBZ19" s="28" t="str">
        <f>IFERROR(VLOOKUP(DATE($K$1,$K$2,TBZ$4),Table1[],(MATCH(Calendar!$A19,DB!$1:$1,0)),FALSE),"")</f>
        <v/>
      </c>
      <c r="TCA19" s="28" t="str">
        <f>IFERROR(VLOOKUP(DATE($K$1,$K$2,TCA$4),Table1[],(MATCH(Calendar!$A19,DB!$1:$1,0)),FALSE),"")</f>
        <v/>
      </c>
      <c r="TCB19" s="28" t="str">
        <f>IFERROR(VLOOKUP(DATE($K$1,$K$2,TCB$4),Table1[],(MATCH(Calendar!$A19,DB!$1:$1,0)),FALSE),"")</f>
        <v/>
      </c>
      <c r="TCC19" s="28" t="str">
        <f>IFERROR(VLOOKUP(DATE($K$1,$K$2,TCC$4),Table1[],(MATCH(Calendar!$A19,DB!$1:$1,0)),FALSE),"")</f>
        <v/>
      </c>
      <c r="TCD19" s="28" t="str">
        <f>IFERROR(VLOOKUP(DATE($K$1,$K$2,TCD$4),Table1[],(MATCH(Calendar!$A19,DB!$1:$1,0)),FALSE),"")</f>
        <v/>
      </c>
      <c r="TCE19" s="28" t="str">
        <f>IFERROR(VLOOKUP(DATE($K$1,$K$2,TCE$4),Table1[],(MATCH(Calendar!$A19,DB!$1:$1,0)),FALSE),"")</f>
        <v/>
      </c>
      <c r="TCF19" s="28" t="str">
        <f>IFERROR(VLOOKUP(DATE($K$1,$K$2,TCF$4),Table1[],(MATCH(Calendar!$A19,DB!$1:$1,0)),FALSE),"")</f>
        <v/>
      </c>
      <c r="TCG19" s="28" t="str">
        <f>IFERROR(VLOOKUP(DATE($K$1,$K$2,TCG$4),Table1[],(MATCH(Calendar!$A19,DB!$1:$1,0)),FALSE),"")</f>
        <v/>
      </c>
      <c r="TCH19" s="28" t="str">
        <f>IFERROR(VLOOKUP(DATE($K$1,$K$2,TCH$4),Table1[],(MATCH(Calendar!$A19,DB!$1:$1,0)),FALSE),"")</f>
        <v/>
      </c>
      <c r="TCI19" s="28" t="str">
        <f>IFERROR(VLOOKUP(DATE($K$1,$K$2,TCI$4),Table1[],(MATCH(Calendar!$A19,DB!$1:$1,0)),FALSE),"")</f>
        <v/>
      </c>
      <c r="TCJ19" s="28" t="str">
        <f>IFERROR(VLOOKUP(DATE($K$1,$K$2,TCJ$4),Table1[],(MATCH(Calendar!$A19,DB!$1:$1,0)),FALSE),"")</f>
        <v/>
      </c>
      <c r="TCK19" s="28" t="str">
        <f>IFERROR(VLOOKUP(DATE($K$1,$K$2,TCK$4),Table1[],(MATCH(Calendar!$A19,DB!$1:$1,0)),FALSE),"")</f>
        <v/>
      </c>
      <c r="TCL19" s="28" t="str">
        <f>IFERROR(VLOOKUP(DATE($K$1,$K$2,TCL$4),Table1[],(MATCH(Calendar!$A19,DB!$1:$1,0)),FALSE),"")</f>
        <v/>
      </c>
      <c r="TCM19" s="28" t="str">
        <f>IFERROR(VLOOKUP(DATE($K$1,$K$2,TCM$4),Table1[],(MATCH(Calendar!$A19,DB!$1:$1,0)),FALSE),"")</f>
        <v/>
      </c>
      <c r="TCN19" s="28" t="str">
        <f>IFERROR(VLOOKUP(DATE($K$1,$K$2,TCN$4),Table1[],(MATCH(Calendar!$A19,DB!$1:$1,0)),FALSE),"")</f>
        <v/>
      </c>
      <c r="TCO19" s="28" t="str">
        <f>IFERROR(VLOOKUP(DATE($K$1,$K$2,TCO$4),Table1[],(MATCH(Calendar!$A19,DB!$1:$1,0)),FALSE),"")</f>
        <v/>
      </c>
      <c r="TCP19" s="28" t="str">
        <f>IFERROR(VLOOKUP(DATE($K$1,$K$2,TCP$4),Table1[],(MATCH(Calendar!$A19,DB!$1:$1,0)),FALSE),"")</f>
        <v/>
      </c>
      <c r="TCQ19" s="28" t="str">
        <f>IFERROR(VLOOKUP(DATE($K$1,$K$2,TCQ$4),Table1[],(MATCH(Calendar!$A19,DB!$1:$1,0)),FALSE),"")</f>
        <v/>
      </c>
      <c r="TCR19" s="28" t="str">
        <f>IFERROR(VLOOKUP(DATE($K$1,$K$2,TCR$4),Table1[],(MATCH(Calendar!$A19,DB!$1:$1,0)),FALSE),"")</f>
        <v/>
      </c>
      <c r="TCS19" s="28" t="str">
        <f>IFERROR(VLOOKUP(DATE($K$1,$K$2,TCS$4),Table1[],(MATCH(Calendar!$A19,DB!$1:$1,0)),FALSE),"")</f>
        <v/>
      </c>
      <c r="TCT19" s="28" t="str">
        <f>IFERROR(VLOOKUP(DATE($K$1,$K$2,TCT$4),Table1[],(MATCH(Calendar!$A19,DB!$1:$1,0)),FALSE),"")</f>
        <v/>
      </c>
      <c r="TCU19" s="28" t="str">
        <f>IFERROR(VLOOKUP(DATE($K$1,$K$2,TCU$4),Table1[],(MATCH(Calendar!$A19,DB!$1:$1,0)),FALSE),"")</f>
        <v/>
      </c>
      <c r="TCV19" s="28" t="str">
        <f>IFERROR(VLOOKUP(DATE($K$1,$K$2,TCV$4),Table1[],(MATCH(Calendar!$A19,DB!$1:$1,0)),FALSE),"")</f>
        <v/>
      </c>
      <c r="TCW19" s="28" t="str">
        <f>IFERROR(VLOOKUP(DATE($K$1,$K$2,TCW$4),Table1[],(MATCH(Calendar!$A19,DB!$1:$1,0)),FALSE),"")</f>
        <v/>
      </c>
      <c r="TCX19" s="28" t="str">
        <f>IFERROR(VLOOKUP(DATE($K$1,$K$2,TCX$4),Table1[],(MATCH(Calendar!$A19,DB!$1:$1,0)),FALSE),"")</f>
        <v/>
      </c>
      <c r="TCY19" s="28" t="str">
        <f>IFERROR(VLOOKUP(DATE($K$1,$K$2,TCY$4),Table1[],(MATCH(Calendar!$A19,DB!$1:$1,0)),FALSE),"")</f>
        <v/>
      </c>
      <c r="TCZ19" s="28" t="str">
        <f>IFERROR(VLOOKUP(DATE($K$1,$K$2,TCZ$4),Table1[],(MATCH(Calendar!$A19,DB!$1:$1,0)),FALSE),"")</f>
        <v/>
      </c>
      <c r="TDA19" s="28" t="str">
        <f>IFERROR(VLOOKUP(DATE($K$1,$K$2,TDA$4),Table1[],(MATCH(Calendar!$A19,DB!$1:$1,0)),FALSE),"")</f>
        <v/>
      </c>
      <c r="TDB19" s="28" t="str">
        <f>IFERROR(VLOOKUP(DATE($K$1,$K$2,TDB$4),Table1[],(MATCH(Calendar!$A19,DB!$1:$1,0)),FALSE),"")</f>
        <v/>
      </c>
      <c r="TDC19" s="28" t="str">
        <f>IFERROR(VLOOKUP(DATE($K$1,$K$2,TDC$4),Table1[],(MATCH(Calendar!$A19,DB!$1:$1,0)),FALSE),"")</f>
        <v/>
      </c>
      <c r="TDD19" s="28" t="str">
        <f>IFERROR(VLOOKUP(DATE($K$1,$K$2,TDD$4),Table1[],(MATCH(Calendar!$A19,DB!$1:$1,0)),FALSE),"")</f>
        <v/>
      </c>
      <c r="TDE19" s="28" t="str">
        <f>IFERROR(VLOOKUP(DATE($K$1,$K$2,TDE$4),Table1[],(MATCH(Calendar!$A19,DB!$1:$1,0)),FALSE),"")</f>
        <v/>
      </c>
      <c r="TDF19" s="28" t="str">
        <f>IFERROR(VLOOKUP(DATE($K$1,$K$2,TDF$4),Table1[],(MATCH(Calendar!$A19,DB!$1:$1,0)),FALSE),"")</f>
        <v/>
      </c>
      <c r="TDG19" s="28" t="str">
        <f>IFERROR(VLOOKUP(DATE($K$1,$K$2,TDG$4),Table1[],(MATCH(Calendar!$A19,DB!$1:$1,0)),FALSE),"")</f>
        <v/>
      </c>
      <c r="TDH19" s="28" t="str">
        <f>IFERROR(VLOOKUP(DATE($K$1,$K$2,TDH$4),Table1[],(MATCH(Calendar!$A19,DB!$1:$1,0)),FALSE),"")</f>
        <v/>
      </c>
      <c r="TDI19" s="28" t="str">
        <f>IFERROR(VLOOKUP(DATE($K$1,$K$2,TDI$4),Table1[],(MATCH(Calendar!$A19,DB!$1:$1,0)),FALSE),"")</f>
        <v/>
      </c>
      <c r="TDJ19" s="28" t="str">
        <f>IFERROR(VLOOKUP(DATE($K$1,$K$2,TDJ$4),Table1[],(MATCH(Calendar!$A19,DB!$1:$1,0)),FALSE),"")</f>
        <v/>
      </c>
      <c r="TDK19" s="28" t="str">
        <f>IFERROR(VLOOKUP(DATE($K$1,$K$2,TDK$4),Table1[],(MATCH(Calendar!$A19,DB!$1:$1,0)),FALSE),"")</f>
        <v/>
      </c>
      <c r="TDL19" s="28" t="str">
        <f>IFERROR(VLOOKUP(DATE($K$1,$K$2,TDL$4),Table1[],(MATCH(Calendar!$A19,DB!$1:$1,0)),FALSE),"")</f>
        <v/>
      </c>
      <c r="TDM19" s="28" t="str">
        <f>IFERROR(VLOOKUP(DATE($K$1,$K$2,TDM$4),Table1[],(MATCH(Calendar!$A19,DB!$1:$1,0)),FALSE),"")</f>
        <v/>
      </c>
      <c r="TDN19" s="28" t="str">
        <f>IFERROR(VLOOKUP(DATE($K$1,$K$2,TDN$4),Table1[],(MATCH(Calendar!$A19,DB!$1:$1,0)),FALSE),"")</f>
        <v/>
      </c>
      <c r="TDO19" s="28" t="str">
        <f>IFERROR(VLOOKUP(DATE($K$1,$K$2,TDO$4),Table1[],(MATCH(Calendar!$A19,DB!$1:$1,0)),FALSE),"")</f>
        <v/>
      </c>
      <c r="TDP19" s="28" t="str">
        <f>IFERROR(VLOOKUP(DATE($K$1,$K$2,TDP$4),Table1[],(MATCH(Calendar!$A19,DB!$1:$1,0)),FALSE),"")</f>
        <v/>
      </c>
      <c r="TDQ19" s="28" t="str">
        <f>IFERROR(VLOOKUP(DATE($K$1,$K$2,TDQ$4),Table1[],(MATCH(Calendar!$A19,DB!$1:$1,0)),FALSE),"")</f>
        <v/>
      </c>
      <c r="TDR19" s="28" t="str">
        <f>IFERROR(VLOOKUP(DATE($K$1,$K$2,TDR$4),Table1[],(MATCH(Calendar!$A19,DB!$1:$1,0)),FALSE),"")</f>
        <v/>
      </c>
      <c r="TDS19" s="28" t="str">
        <f>IFERROR(VLOOKUP(DATE($K$1,$K$2,TDS$4),Table1[],(MATCH(Calendar!$A19,DB!$1:$1,0)),FALSE),"")</f>
        <v/>
      </c>
      <c r="TDT19" s="28" t="str">
        <f>IFERROR(VLOOKUP(DATE($K$1,$K$2,TDT$4),Table1[],(MATCH(Calendar!$A19,DB!$1:$1,0)),FALSE),"")</f>
        <v/>
      </c>
      <c r="TDU19" s="28" t="str">
        <f>IFERROR(VLOOKUP(DATE($K$1,$K$2,TDU$4),Table1[],(MATCH(Calendar!$A19,DB!$1:$1,0)),FALSE),"")</f>
        <v/>
      </c>
      <c r="TDV19" s="28" t="str">
        <f>IFERROR(VLOOKUP(DATE($K$1,$K$2,TDV$4),Table1[],(MATCH(Calendar!$A19,DB!$1:$1,0)),FALSE),"")</f>
        <v/>
      </c>
      <c r="TDW19" s="28" t="str">
        <f>IFERROR(VLOOKUP(DATE($K$1,$K$2,TDW$4),Table1[],(MATCH(Calendar!$A19,DB!$1:$1,0)),FALSE),"")</f>
        <v/>
      </c>
      <c r="TDX19" s="28" t="str">
        <f>IFERROR(VLOOKUP(DATE($K$1,$K$2,TDX$4),Table1[],(MATCH(Calendar!$A19,DB!$1:$1,0)),FALSE),"")</f>
        <v/>
      </c>
      <c r="TDY19" s="28" t="str">
        <f>IFERROR(VLOOKUP(DATE($K$1,$K$2,TDY$4),Table1[],(MATCH(Calendar!$A19,DB!$1:$1,0)),FALSE),"")</f>
        <v/>
      </c>
      <c r="TDZ19" s="28" t="str">
        <f>IFERROR(VLOOKUP(DATE($K$1,$K$2,TDZ$4),Table1[],(MATCH(Calendar!$A19,DB!$1:$1,0)),FALSE),"")</f>
        <v/>
      </c>
      <c r="TEA19" s="28" t="str">
        <f>IFERROR(VLOOKUP(DATE($K$1,$K$2,TEA$4),Table1[],(MATCH(Calendar!$A19,DB!$1:$1,0)),FALSE),"")</f>
        <v/>
      </c>
      <c r="TEB19" s="28" t="str">
        <f>IFERROR(VLOOKUP(DATE($K$1,$K$2,TEB$4),Table1[],(MATCH(Calendar!$A19,DB!$1:$1,0)),FALSE),"")</f>
        <v/>
      </c>
      <c r="TEC19" s="28" t="str">
        <f>IFERROR(VLOOKUP(DATE($K$1,$K$2,TEC$4),Table1[],(MATCH(Calendar!$A19,DB!$1:$1,0)),FALSE),"")</f>
        <v/>
      </c>
      <c r="TED19" s="28" t="str">
        <f>IFERROR(VLOOKUP(DATE($K$1,$K$2,TED$4),Table1[],(MATCH(Calendar!$A19,DB!$1:$1,0)),FALSE),"")</f>
        <v/>
      </c>
      <c r="TEE19" s="28" t="str">
        <f>IFERROR(VLOOKUP(DATE($K$1,$K$2,TEE$4),Table1[],(MATCH(Calendar!$A19,DB!$1:$1,0)),FALSE),"")</f>
        <v/>
      </c>
      <c r="TEF19" s="28" t="str">
        <f>IFERROR(VLOOKUP(DATE($K$1,$K$2,TEF$4),Table1[],(MATCH(Calendar!$A19,DB!$1:$1,0)),FALSE),"")</f>
        <v/>
      </c>
      <c r="TEG19" s="28" t="str">
        <f>IFERROR(VLOOKUP(DATE($K$1,$K$2,TEG$4),Table1[],(MATCH(Calendar!$A19,DB!$1:$1,0)),FALSE),"")</f>
        <v/>
      </c>
      <c r="TEH19" s="28" t="str">
        <f>IFERROR(VLOOKUP(DATE($K$1,$K$2,TEH$4),Table1[],(MATCH(Calendar!$A19,DB!$1:$1,0)),FALSE),"")</f>
        <v/>
      </c>
      <c r="TEI19" s="28" t="str">
        <f>IFERROR(VLOOKUP(DATE($K$1,$K$2,TEI$4),Table1[],(MATCH(Calendar!$A19,DB!$1:$1,0)),FALSE),"")</f>
        <v/>
      </c>
      <c r="TEJ19" s="28" t="str">
        <f>IFERROR(VLOOKUP(DATE($K$1,$K$2,TEJ$4),Table1[],(MATCH(Calendar!$A19,DB!$1:$1,0)),FALSE),"")</f>
        <v/>
      </c>
      <c r="TEK19" s="28" t="str">
        <f>IFERROR(VLOOKUP(DATE($K$1,$K$2,TEK$4),Table1[],(MATCH(Calendar!$A19,DB!$1:$1,0)),FALSE),"")</f>
        <v/>
      </c>
      <c r="TEL19" s="28" t="str">
        <f>IFERROR(VLOOKUP(DATE($K$1,$K$2,TEL$4),Table1[],(MATCH(Calendar!$A19,DB!$1:$1,0)),FALSE),"")</f>
        <v/>
      </c>
      <c r="TEM19" s="28" t="str">
        <f>IFERROR(VLOOKUP(DATE($K$1,$K$2,TEM$4),Table1[],(MATCH(Calendar!$A19,DB!$1:$1,0)),FALSE),"")</f>
        <v/>
      </c>
      <c r="TEN19" s="28" t="str">
        <f>IFERROR(VLOOKUP(DATE($K$1,$K$2,TEN$4),Table1[],(MATCH(Calendar!$A19,DB!$1:$1,0)),FALSE),"")</f>
        <v/>
      </c>
      <c r="TEO19" s="28" t="str">
        <f>IFERROR(VLOOKUP(DATE($K$1,$K$2,TEO$4),Table1[],(MATCH(Calendar!$A19,DB!$1:$1,0)),FALSE),"")</f>
        <v/>
      </c>
      <c r="TEP19" s="28" t="str">
        <f>IFERROR(VLOOKUP(DATE($K$1,$K$2,TEP$4),Table1[],(MATCH(Calendar!$A19,DB!$1:$1,0)),FALSE),"")</f>
        <v/>
      </c>
      <c r="TEQ19" s="28" t="str">
        <f>IFERROR(VLOOKUP(DATE($K$1,$K$2,TEQ$4),Table1[],(MATCH(Calendar!$A19,DB!$1:$1,0)),FALSE),"")</f>
        <v/>
      </c>
      <c r="TER19" s="28" t="str">
        <f>IFERROR(VLOOKUP(DATE($K$1,$K$2,TER$4),Table1[],(MATCH(Calendar!$A19,DB!$1:$1,0)),FALSE),"")</f>
        <v/>
      </c>
      <c r="TES19" s="28" t="str">
        <f>IFERROR(VLOOKUP(DATE($K$1,$K$2,TES$4),Table1[],(MATCH(Calendar!$A19,DB!$1:$1,0)),FALSE),"")</f>
        <v/>
      </c>
      <c r="TET19" s="28" t="str">
        <f>IFERROR(VLOOKUP(DATE($K$1,$K$2,TET$4),Table1[],(MATCH(Calendar!$A19,DB!$1:$1,0)),FALSE),"")</f>
        <v/>
      </c>
      <c r="TEU19" s="28" t="str">
        <f>IFERROR(VLOOKUP(DATE($K$1,$K$2,TEU$4),Table1[],(MATCH(Calendar!$A19,DB!$1:$1,0)),FALSE),"")</f>
        <v/>
      </c>
      <c r="TEV19" s="28" t="str">
        <f>IFERROR(VLOOKUP(DATE($K$1,$K$2,TEV$4),Table1[],(MATCH(Calendar!$A19,DB!$1:$1,0)),FALSE),"")</f>
        <v/>
      </c>
      <c r="TEW19" s="28" t="str">
        <f>IFERROR(VLOOKUP(DATE($K$1,$K$2,TEW$4),Table1[],(MATCH(Calendar!$A19,DB!$1:$1,0)),FALSE),"")</f>
        <v/>
      </c>
      <c r="TEX19" s="28" t="str">
        <f>IFERROR(VLOOKUP(DATE($K$1,$K$2,TEX$4),Table1[],(MATCH(Calendar!$A19,DB!$1:$1,0)),FALSE),"")</f>
        <v/>
      </c>
      <c r="TEY19" s="28" t="str">
        <f>IFERROR(VLOOKUP(DATE($K$1,$K$2,TEY$4),Table1[],(MATCH(Calendar!$A19,DB!$1:$1,0)),FALSE),"")</f>
        <v/>
      </c>
      <c r="TEZ19" s="28" t="str">
        <f>IFERROR(VLOOKUP(DATE($K$1,$K$2,TEZ$4),Table1[],(MATCH(Calendar!$A19,DB!$1:$1,0)),FALSE),"")</f>
        <v/>
      </c>
      <c r="TFA19" s="28" t="str">
        <f>IFERROR(VLOOKUP(DATE($K$1,$K$2,TFA$4),Table1[],(MATCH(Calendar!$A19,DB!$1:$1,0)),FALSE),"")</f>
        <v/>
      </c>
      <c r="TFB19" s="28" t="str">
        <f>IFERROR(VLOOKUP(DATE($K$1,$K$2,TFB$4),Table1[],(MATCH(Calendar!$A19,DB!$1:$1,0)),FALSE),"")</f>
        <v/>
      </c>
      <c r="TFC19" s="28" t="str">
        <f>IFERROR(VLOOKUP(DATE($K$1,$K$2,TFC$4),Table1[],(MATCH(Calendar!$A19,DB!$1:$1,0)),FALSE),"")</f>
        <v/>
      </c>
      <c r="TFD19" s="28" t="str">
        <f>IFERROR(VLOOKUP(DATE($K$1,$K$2,TFD$4),Table1[],(MATCH(Calendar!$A19,DB!$1:$1,0)),FALSE),"")</f>
        <v/>
      </c>
      <c r="TFE19" s="28" t="str">
        <f>IFERROR(VLOOKUP(DATE($K$1,$K$2,TFE$4),Table1[],(MATCH(Calendar!$A19,DB!$1:$1,0)),FALSE),"")</f>
        <v/>
      </c>
      <c r="TFF19" s="28" t="str">
        <f>IFERROR(VLOOKUP(DATE($K$1,$K$2,TFF$4),Table1[],(MATCH(Calendar!$A19,DB!$1:$1,0)),FALSE),"")</f>
        <v/>
      </c>
      <c r="TFG19" s="28" t="str">
        <f>IFERROR(VLOOKUP(DATE($K$1,$K$2,TFG$4),Table1[],(MATCH(Calendar!$A19,DB!$1:$1,0)),FALSE),"")</f>
        <v/>
      </c>
      <c r="TFH19" s="28" t="str">
        <f>IFERROR(VLOOKUP(DATE($K$1,$K$2,TFH$4),Table1[],(MATCH(Calendar!$A19,DB!$1:$1,0)),FALSE),"")</f>
        <v/>
      </c>
      <c r="TFI19" s="28" t="str">
        <f>IFERROR(VLOOKUP(DATE($K$1,$K$2,TFI$4),Table1[],(MATCH(Calendar!$A19,DB!$1:$1,0)),FALSE),"")</f>
        <v/>
      </c>
      <c r="TFJ19" s="28" t="str">
        <f>IFERROR(VLOOKUP(DATE($K$1,$K$2,TFJ$4),Table1[],(MATCH(Calendar!$A19,DB!$1:$1,0)),FALSE),"")</f>
        <v/>
      </c>
      <c r="TFK19" s="28" t="str">
        <f>IFERROR(VLOOKUP(DATE($K$1,$K$2,TFK$4),Table1[],(MATCH(Calendar!$A19,DB!$1:$1,0)),FALSE),"")</f>
        <v/>
      </c>
      <c r="TFL19" s="28" t="str">
        <f>IFERROR(VLOOKUP(DATE($K$1,$K$2,TFL$4),Table1[],(MATCH(Calendar!$A19,DB!$1:$1,0)),FALSE),"")</f>
        <v/>
      </c>
      <c r="TFM19" s="28" t="str">
        <f>IFERROR(VLOOKUP(DATE($K$1,$K$2,TFM$4),Table1[],(MATCH(Calendar!$A19,DB!$1:$1,0)),FALSE),"")</f>
        <v/>
      </c>
      <c r="TFN19" s="28" t="str">
        <f>IFERROR(VLOOKUP(DATE($K$1,$K$2,TFN$4),Table1[],(MATCH(Calendar!$A19,DB!$1:$1,0)),FALSE),"")</f>
        <v/>
      </c>
      <c r="TFO19" s="28" t="str">
        <f>IFERROR(VLOOKUP(DATE($K$1,$K$2,TFO$4),Table1[],(MATCH(Calendar!$A19,DB!$1:$1,0)),FALSE),"")</f>
        <v/>
      </c>
      <c r="TFP19" s="28" t="str">
        <f>IFERROR(VLOOKUP(DATE($K$1,$K$2,TFP$4),Table1[],(MATCH(Calendar!$A19,DB!$1:$1,0)),FALSE),"")</f>
        <v/>
      </c>
      <c r="TFQ19" s="28" t="str">
        <f>IFERROR(VLOOKUP(DATE($K$1,$K$2,TFQ$4),Table1[],(MATCH(Calendar!$A19,DB!$1:$1,0)),FALSE),"")</f>
        <v/>
      </c>
      <c r="TFR19" s="28" t="str">
        <f>IFERROR(VLOOKUP(DATE($K$1,$K$2,TFR$4),Table1[],(MATCH(Calendar!$A19,DB!$1:$1,0)),FALSE),"")</f>
        <v/>
      </c>
      <c r="TFS19" s="28" t="str">
        <f>IFERROR(VLOOKUP(DATE($K$1,$K$2,TFS$4),Table1[],(MATCH(Calendar!$A19,DB!$1:$1,0)),FALSE),"")</f>
        <v/>
      </c>
      <c r="TFT19" s="28" t="str">
        <f>IFERROR(VLOOKUP(DATE($K$1,$K$2,TFT$4),Table1[],(MATCH(Calendar!$A19,DB!$1:$1,0)),FALSE),"")</f>
        <v/>
      </c>
      <c r="TFU19" s="28" t="str">
        <f>IFERROR(VLOOKUP(DATE($K$1,$K$2,TFU$4),Table1[],(MATCH(Calendar!$A19,DB!$1:$1,0)),FALSE),"")</f>
        <v/>
      </c>
      <c r="TFV19" s="28" t="str">
        <f>IFERROR(VLOOKUP(DATE($K$1,$K$2,TFV$4),Table1[],(MATCH(Calendar!$A19,DB!$1:$1,0)),FALSE),"")</f>
        <v/>
      </c>
      <c r="TFW19" s="28" t="str">
        <f>IFERROR(VLOOKUP(DATE($K$1,$K$2,TFW$4),Table1[],(MATCH(Calendar!$A19,DB!$1:$1,0)),FALSE),"")</f>
        <v/>
      </c>
      <c r="TFX19" s="28" t="str">
        <f>IFERROR(VLOOKUP(DATE($K$1,$K$2,TFX$4),Table1[],(MATCH(Calendar!$A19,DB!$1:$1,0)),FALSE),"")</f>
        <v/>
      </c>
      <c r="TFY19" s="28" t="str">
        <f>IFERROR(VLOOKUP(DATE($K$1,$K$2,TFY$4),Table1[],(MATCH(Calendar!$A19,DB!$1:$1,0)),FALSE),"")</f>
        <v/>
      </c>
      <c r="TFZ19" s="28" t="str">
        <f>IFERROR(VLOOKUP(DATE($K$1,$K$2,TFZ$4),Table1[],(MATCH(Calendar!$A19,DB!$1:$1,0)),FALSE),"")</f>
        <v/>
      </c>
      <c r="TGA19" s="28" t="str">
        <f>IFERROR(VLOOKUP(DATE($K$1,$K$2,TGA$4),Table1[],(MATCH(Calendar!$A19,DB!$1:$1,0)),FALSE),"")</f>
        <v/>
      </c>
      <c r="TGB19" s="28" t="str">
        <f>IFERROR(VLOOKUP(DATE($K$1,$K$2,TGB$4),Table1[],(MATCH(Calendar!$A19,DB!$1:$1,0)),FALSE),"")</f>
        <v/>
      </c>
      <c r="TGC19" s="28" t="str">
        <f>IFERROR(VLOOKUP(DATE($K$1,$K$2,TGC$4),Table1[],(MATCH(Calendar!$A19,DB!$1:$1,0)),FALSE),"")</f>
        <v/>
      </c>
      <c r="TGD19" s="28" t="str">
        <f>IFERROR(VLOOKUP(DATE($K$1,$K$2,TGD$4),Table1[],(MATCH(Calendar!$A19,DB!$1:$1,0)),FALSE),"")</f>
        <v/>
      </c>
      <c r="TGE19" s="28" t="str">
        <f>IFERROR(VLOOKUP(DATE($K$1,$K$2,TGE$4),Table1[],(MATCH(Calendar!$A19,DB!$1:$1,0)),FALSE),"")</f>
        <v/>
      </c>
      <c r="TGF19" s="28" t="str">
        <f>IFERROR(VLOOKUP(DATE($K$1,$K$2,TGF$4),Table1[],(MATCH(Calendar!$A19,DB!$1:$1,0)),FALSE),"")</f>
        <v/>
      </c>
      <c r="TGG19" s="28" t="str">
        <f>IFERROR(VLOOKUP(DATE($K$1,$K$2,TGG$4),Table1[],(MATCH(Calendar!$A19,DB!$1:$1,0)),FALSE),"")</f>
        <v/>
      </c>
      <c r="TGH19" s="28" t="str">
        <f>IFERROR(VLOOKUP(DATE($K$1,$K$2,TGH$4),Table1[],(MATCH(Calendar!$A19,DB!$1:$1,0)),FALSE),"")</f>
        <v/>
      </c>
      <c r="TGI19" s="28" t="str">
        <f>IFERROR(VLOOKUP(DATE($K$1,$K$2,TGI$4),Table1[],(MATCH(Calendar!$A19,DB!$1:$1,0)),FALSE),"")</f>
        <v/>
      </c>
      <c r="TGJ19" s="28" t="str">
        <f>IFERROR(VLOOKUP(DATE($K$1,$K$2,TGJ$4),Table1[],(MATCH(Calendar!$A19,DB!$1:$1,0)),FALSE),"")</f>
        <v/>
      </c>
      <c r="TGK19" s="28" t="str">
        <f>IFERROR(VLOOKUP(DATE($K$1,$K$2,TGK$4),Table1[],(MATCH(Calendar!$A19,DB!$1:$1,0)),FALSE),"")</f>
        <v/>
      </c>
      <c r="TGL19" s="28" t="str">
        <f>IFERROR(VLOOKUP(DATE($K$1,$K$2,TGL$4),Table1[],(MATCH(Calendar!$A19,DB!$1:$1,0)),FALSE),"")</f>
        <v/>
      </c>
      <c r="TGM19" s="28" t="str">
        <f>IFERROR(VLOOKUP(DATE($K$1,$K$2,TGM$4),Table1[],(MATCH(Calendar!$A19,DB!$1:$1,0)),FALSE),"")</f>
        <v/>
      </c>
      <c r="TGN19" s="28" t="str">
        <f>IFERROR(VLOOKUP(DATE($K$1,$K$2,TGN$4),Table1[],(MATCH(Calendar!$A19,DB!$1:$1,0)),FALSE),"")</f>
        <v/>
      </c>
      <c r="TGO19" s="28" t="str">
        <f>IFERROR(VLOOKUP(DATE($K$1,$K$2,TGO$4),Table1[],(MATCH(Calendar!$A19,DB!$1:$1,0)),FALSE),"")</f>
        <v/>
      </c>
      <c r="TGP19" s="28" t="str">
        <f>IFERROR(VLOOKUP(DATE($K$1,$K$2,TGP$4),Table1[],(MATCH(Calendar!$A19,DB!$1:$1,0)),FALSE),"")</f>
        <v/>
      </c>
      <c r="TGQ19" s="28" t="str">
        <f>IFERROR(VLOOKUP(DATE($K$1,$K$2,TGQ$4),Table1[],(MATCH(Calendar!$A19,DB!$1:$1,0)),FALSE),"")</f>
        <v/>
      </c>
      <c r="TGR19" s="28" t="str">
        <f>IFERROR(VLOOKUP(DATE($K$1,$K$2,TGR$4),Table1[],(MATCH(Calendar!$A19,DB!$1:$1,0)),FALSE),"")</f>
        <v/>
      </c>
      <c r="TGS19" s="28" t="str">
        <f>IFERROR(VLOOKUP(DATE($K$1,$K$2,TGS$4),Table1[],(MATCH(Calendar!$A19,DB!$1:$1,0)),FALSE),"")</f>
        <v/>
      </c>
      <c r="TGT19" s="28" t="str">
        <f>IFERROR(VLOOKUP(DATE($K$1,$K$2,TGT$4),Table1[],(MATCH(Calendar!$A19,DB!$1:$1,0)),FALSE),"")</f>
        <v/>
      </c>
      <c r="TGU19" s="28" t="str">
        <f>IFERROR(VLOOKUP(DATE($K$1,$K$2,TGU$4),Table1[],(MATCH(Calendar!$A19,DB!$1:$1,0)),FALSE),"")</f>
        <v/>
      </c>
      <c r="TGV19" s="28" t="str">
        <f>IFERROR(VLOOKUP(DATE($K$1,$K$2,TGV$4),Table1[],(MATCH(Calendar!$A19,DB!$1:$1,0)),FALSE),"")</f>
        <v/>
      </c>
      <c r="TGW19" s="28" t="str">
        <f>IFERROR(VLOOKUP(DATE($K$1,$K$2,TGW$4),Table1[],(MATCH(Calendar!$A19,DB!$1:$1,0)),FALSE),"")</f>
        <v/>
      </c>
      <c r="TGX19" s="28" t="str">
        <f>IFERROR(VLOOKUP(DATE($K$1,$K$2,TGX$4),Table1[],(MATCH(Calendar!$A19,DB!$1:$1,0)),FALSE),"")</f>
        <v/>
      </c>
      <c r="TGY19" s="28" t="str">
        <f>IFERROR(VLOOKUP(DATE($K$1,$K$2,TGY$4),Table1[],(MATCH(Calendar!$A19,DB!$1:$1,0)),FALSE),"")</f>
        <v/>
      </c>
      <c r="TGZ19" s="28" t="str">
        <f>IFERROR(VLOOKUP(DATE($K$1,$K$2,TGZ$4),Table1[],(MATCH(Calendar!$A19,DB!$1:$1,0)),FALSE),"")</f>
        <v/>
      </c>
      <c r="THA19" s="28" t="str">
        <f>IFERROR(VLOOKUP(DATE($K$1,$K$2,THA$4),Table1[],(MATCH(Calendar!$A19,DB!$1:$1,0)),FALSE),"")</f>
        <v/>
      </c>
      <c r="THB19" s="28" t="str">
        <f>IFERROR(VLOOKUP(DATE($K$1,$K$2,THB$4),Table1[],(MATCH(Calendar!$A19,DB!$1:$1,0)),FALSE),"")</f>
        <v/>
      </c>
      <c r="THC19" s="28" t="str">
        <f>IFERROR(VLOOKUP(DATE($K$1,$K$2,THC$4),Table1[],(MATCH(Calendar!$A19,DB!$1:$1,0)),FALSE),"")</f>
        <v/>
      </c>
      <c r="THD19" s="28" t="str">
        <f>IFERROR(VLOOKUP(DATE($K$1,$K$2,THD$4),Table1[],(MATCH(Calendar!$A19,DB!$1:$1,0)),FALSE),"")</f>
        <v/>
      </c>
      <c r="THE19" s="28" t="str">
        <f>IFERROR(VLOOKUP(DATE($K$1,$K$2,THE$4),Table1[],(MATCH(Calendar!$A19,DB!$1:$1,0)),FALSE),"")</f>
        <v/>
      </c>
      <c r="THF19" s="28" t="str">
        <f>IFERROR(VLOOKUP(DATE($K$1,$K$2,THF$4),Table1[],(MATCH(Calendar!$A19,DB!$1:$1,0)),FALSE),"")</f>
        <v/>
      </c>
      <c r="THG19" s="28" t="str">
        <f>IFERROR(VLOOKUP(DATE($K$1,$K$2,THG$4),Table1[],(MATCH(Calendar!$A19,DB!$1:$1,0)),FALSE),"")</f>
        <v/>
      </c>
      <c r="THH19" s="28" t="str">
        <f>IFERROR(VLOOKUP(DATE($K$1,$K$2,THH$4),Table1[],(MATCH(Calendar!$A19,DB!$1:$1,0)),FALSE),"")</f>
        <v/>
      </c>
      <c r="THI19" s="28" t="str">
        <f>IFERROR(VLOOKUP(DATE($K$1,$K$2,THI$4),Table1[],(MATCH(Calendar!$A19,DB!$1:$1,0)),FALSE),"")</f>
        <v/>
      </c>
      <c r="THJ19" s="28" t="str">
        <f>IFERROR(VLOOKUP(DATE($K$1,$K$2,THJ$4),Table1[],(MATCH(Calendar!$A19,DB!$1:$1,0)),FALSE),"")</f>
        <v/>
      </c>
      <c r="THK19" s="28" t="str">
        <f>IFERROR(VLOOKUP(DATE($K$1,$K$2,THK$4),Table1[],(MATCH(Calendar!$A19,DB!$1:$1,0)),FALSE),"")</f>
        <v/>
      </c>
      <c r="THL19" s="28" t="str">
        <f>IFERROR(VLOOKUP(DATE($K$1,$K$2,THL$4),Table1[],(MATCH(Calendar!$A19,DB!$1:$1,0)),FALSE),"")</f>
        <v/>
      </c>
      <c r="THM19" s="28" t="str">
        <f>IFERROR(VLOOKUP(DATE($K$1,$K$2,THM$4),Table1[],(MATCH(Calendar!$A19,DB!$1:$1,0)),FALSE),"")</f>
        <v/>
      </c>
      <c r="THN19" s="28" t="str">
        <f>IFERROR(VLOOKUP(DATE($K$1,$K$2,THN$4),Table1[],(MATCH(Calendar!$A19,DB!$1:$1,0)),FALSE),"")</f>
        <v/>
      </c>
      <c r="THO19" s="28" t="str">
        <f>IFERROR(VLOOKUP(DATE($K$1,$K$2,THO$4),Table1[],(MATCH(Calendar!$A19,DB!$1:$1,0)),FALSE),"")</f>
        <v/>
      </c>
      <c r="THP19" s="28" t="str">
        <f>IFERROR(VLOOKUP(DATE($K$1,$K$2,THP$4),Table1[],(MATCH(Calendar!$A19,DB!$1:$1,0)),FALSE),"")</f>
        <v/>
      </c>
      <c r="THQ19" s="28" t="str">
        <f>IFERROR(VLOOKUP(DATE($K$1,$K$2,THQ$4),Table1[],(MATCH(Calendar!$A19,DB!$1:$1,0)),FALSE),"")</f>
        <v/>
      </c>
      <c r="THR19" s="28" t="str">
        <f>IFERROR(VLOOKUP(DATE($K$1,$K$2,THR$4),Table1[],(MATCH(Calendar!$A19,DB!$1:$1,0)),FALSE),"")</f>
        <v/>
      </c>
      <c r="THS19" s="28" t="str">
        <f>IFERROR(VLOOKUP(DATE($K$1,$K$2,THS$4),Table1[],(MATCH(Calendar!$A19,DB!$1:$1,0)),FALSE),"")</f>
        <v/>
      </c>
      <c r="THT19" s="28" t="str">
        <f>IFERROR(VLOOKUP(DATE($K$1,$K$2,THT$4),Table1[],(MATCH(Calendar!$A19,DB!$1:$1,0)),FALSE),"")</f>
        <v/>
      </c>
      <c r="THU19" s="28" t="str">
        <f>IFERROR(VLOOKUP(DATE($K$1,$K$2,THU$4),Table1[],(MATCH(Calendar!$A19,DB!$1:$1,0)),FALSE),"")</f>
        <v/>
      </c>
      <c r="THV19" s="28" t="str">
        <f>IFERROR(VLOOKUP(DATE($K$1,$K$2,THV$4),Table1[],(MATCH(Calendar!$A19,DB!$1:$1,0)),FALSE),"")</f>
        <v/>
      </c>
      <c r="THW19" s="28" t="str">
        <f>IFERROR(VLOOKUP(DATE($K$1,$K$2,THW$4),Table1[],(MATCH(Calendar!$A19,DB!$1:$1,0)),FALSE),"")</f>
        <v/>
      </c>
      <c r="THX19" s="28" t="str">
        <f>IFERROR(VLOOKUP(DATE($K$1,$K$2,THX$4),Table1[],(MATCH(Calendar!$A19,DB!$1:$1,0)),FALSE),"")</f>
        <v/>
      </c>
      <c r="THY19" s="28" t="str">
        <f>IFERROR(VLOOKUP(DATE($K$1,$K$2,THY$4),Table1[],(MATCH(Calendar!$A19,DB!$1:$1,0)),FALSE),"")</f>
        <v/>
      </c>
      <c r="THZ19" s="28" t="str">
        <f>IFERROR(VLOOKUP(DATE($K$1,$K$2,THZ$4),Table1[],(MATCH(Calendar!$A19,DB!$1:$1,0)),FALSE),"")</f>
        <v/>
      </c>
      <c r="TIA19" s="28" t="str">
        <f>IFERROR(VLOOKUP(DATE($K$1,$K$2,TIA$4),Table1[],(MATCH(Calendar!$A19,DB!$1:$1,0)),FALSE),"")</f>
        <v/>
      </c>
      <c r="TIB19" s="28" t="str">
        <f>IFERROR(VLOOKUP(DATE($K$1,$K$2,TIB$4),Table1[],(MATCH(Calendar!$A19,DB!$1:$1,0)),FALSE),"")</f>
        <v/>
      </c>
      <c r="TIC19" s="28" t="str">
        <f>IFERROR(VLOOKUP(DATE($K$1,$K$2,TIC$4),Table1[],(MATCH(Calendar!$A19,DB!$1:$1,0)),FALSE),"")</f>
        <v/>
      </c>
      <c r="TID19" s="28" t="str">
        <f>IFERROR(VLOOKUP(DATE($K$1,$K$2,TID$4),Table1[],(MATCH(Calendar!$A19,DB!$1:$1,0)),FALSE),"")</f>
        <v/>
      </c>
      <c r="TIE19" s="28" t="str">
        <f>IFERROR(VLOOKUP(DATE($K$1,$K$2,TIE$4),Table1[],(MATCH(Calendar!$A19,DB!$1:$1,0)),FALSE),"")</f>
        <v/>
      </c>
      <c r="TIF19" s="28" t="str">
        <f>IFERROR(VLOOKUP(DATE($K$1,$K$2,TIF$4),Table1[],(MATCH(Calendar!$A19,DB!$1:$1,0)),FALSE),"")</f>
        <v/>
      </c>
      <c r="TIG19" s="28" t="str">
        <f>IFERROR(VLOOKUP(DATE($K$1,$K$2,TIG$4),Table1[],(MATCH(Calendar!$A19,DB!$1:$1,0)),FALSE),"")</f>
        <v/>
      </c>
      <c r="TIH19" s="28" t="str">
        <f>IFERROR(VLOOKUP(DATE($K$1,$K$2,TIH$4),Table1[],(MATCH(Calendar!$A19,DB!$1:$1,0)),FALSE),"")</f>
        <v/>
      </c>
      <c r="TII19" s="28" t="str">
        <f>IFERROR(VLOOKUP(DATE($K$1,$K$2,TII$4),Table1[],(MATCH(Calendar!$A19,DB!$1:$1,0)),FALSE),"")</f>
        <v/>
      </c>
      <c r="TIJ19" s="28" t="str">
        <f>IFERROR(VLOOKUP(DATE($K$1,$K$2,TIJ$4),Table1[],(MATCH(Calendar!$A19,DB!$1:$1,0)),FALSE),"")</f>
        <v/>
      </c>
      <c r="TIK19" s="28" t="str">
        <f>IFERROR(VLOOKUP(DATE($K$1,$K$2,TIK$4),Table1[],(MATCH(Calendar!$A19,DB!$1:$1,0)),FALSE),"")</f>
        <v/>
      </c>
      <c r="TIL19" s="28" t="str">
        <f>IFERROR(VLOOKUP(DATE($K$1,$K$2,TIL$4),Table1[],(MATCH(Calendar!$A19,DB!$1:$1,0)),FALSE),"")</f>
        <v/>
      </c>
      <c r="TIM19" s="28" t="str">
        <f>IFERROR(VLOOKUP(DATE($K$1,$K$2,TIM$4),Table1[],(MATCH(Calendar!$A19,DB!$1:$1,0)),FALSE),"")</f>
        <v/>
      </c>
      <c r="TIN19" s="28" t="str">
        <f>IFERROR(VLOOKUP(DATE($K$1,$K$2,TIN$4),Table1[],(MATCH(Calendar!$A19,DB!$1:$1,0)),FALSE),"")</f>
        <v/>
      </c>
      <c r="TIO19" s="28" t="str">
        <f>IFERROR(VLOOKUP(DATE($K$1,$K$2,TIO$4),Table1[],(MATCH(Calendar!$A19,DB!$1:$1,0)),FALSE),"")</f>
        <v/>
      </c>
      <c r="TIP19" s="28" t="str">
        <f>IFERROR(VLOOKUP(DATE($K$1,$K$2,TIP$4),Table1[],(MATCH(Calendar!$A19,DB!$1:$1,0)),FALSE),"")</f>
        <v/>
      </c>
      <c r="TIQ19" s="28" t="str">
        <f>IFERROR(VLOOKUP(DATE($K$1,$K$2,TIQ$4),Table1[],(MATCH(Calendar!$A19,DB!$1:$1,0)),FALSE),"")</f>
        <v/>
      </c>
      <c r="TIR19" s="28" t="str">
        <f>IFERROR(VLOOKUP(DATE($K$1,$K$2,TIR$4),Table1[],(MATCH(Calendar!$A19,DB!$1:$1,0)),FALSE),"")</f>
        <v/>
      </c>
      <c r="TIS19" s="28" t="str">
        <f>IFERROR(VLOOKUP(DATE($K$1,$K$2,TIS$4),Table1[],(MATCH(Calendar!$A19,DB!$1:$1,0)),FALSE),"")</f>
        <v/>
      </c>
      <c r="TIT19" s="28" t="str">
        <f>IFERROR(VLOOKUP(DATE($K$1,$K$2,TIT$4),Table1[],(MATCH(Calendar!$A19,DB!$1:$1,0)),FALSE),"")</f>
        <v/>
      </c>
      <c r="TIU19" s="28" t="str">
        <f>IFERROR(VLOOKUP(DATE($K$1,$K$2,TIU$4),Table1[],(MATCH(Calendar!$A19,DB!$1:$1,0)),FALSE),"")</f>
        <v/>
      </c>
      <c r="TIV19" s="28" t="str">
        <f>IFERROR(VLOOKUP(DATE($K$1,$K$2,TIV$4),Table1[],(MATCH(Calendar!$A19,DB!$1:$1,0)),FALSE),"")</f>
        <v/>
      </c>
      <c r="TIW19" s="28" t="str">
        <f>IFERROR(VLOOKUP(DATE($K$1,$K$2,TIW$4),Table1[],(MATCH(Calendar!$A19,DB!$1:$1,0)),FALSE),"")</f>
        <v/>
      </c>
      <c r="TIX19" s="28" t="str">
        <f>IFERROR(VLOOKUP(DATE($K$1,$K$2,TIX$4),Table1[],(MATCH(Calendar!$A19,DB!$1:$1,0)),FALSE),"")</f>
        <v/>
      </c>
      <c r="TIY19" s="28" t="str">
        <f>IFERROR(VLOOKUP(DATE($K$1,$K$2,TIY$4),Table1[],(MATCH(Calendar!$A19,DB!$1:$1,0)),FALSE),"")</f>
        <v/>
      </c>
      <c r="TIZ19" s="28" t="str">
        <f>IFERROR(VLOOKUP(DATE($K$1,$K$2,TIZ$4),Table1[],(MATCH(Calendar!$A19,DB!$1:$1,0)),FALSE),"")</f>
        <v/>
      </c>
      <c r="TJA19" s="28" t="str">
        <f>IFERROR(VLOOKUP(DATE($K$1,$K$2,TJA$4),Table1[],(MATCH(Calendar!$A19,DB!$1:$1,0)),FALSE),"")</f>
        <v/>
      </c>
      <c r="TJB19" s="28" t="str">
        <f>IFERROR(VLOOKUP(DATE($K$1,$K$2,TJB$4),Table1[],(MATCH(Calendar!$A19,DB!$1:$1,0)),FALSE),"")</f>
        <v/>
      </c>
      <c r="TJC19" s="28" t="str">
        <f>IFERROR(VLOOKUP(DATE($K$1,$K$2,TJC$4),Table1[],(MATCH(Calendar!$A19,DB!$1:$1,0)),FALSE),"")</f>
        <v/>
      </c>
      <c r="TJD19" s="28" t="str">
        <f>IFERROR(VLOOKUP(DATE($K$1,$K$2,TJD$4),Table1[],(MATCH(Calendar!$A19,DB!$1:$1,0)),FALSE),"")</f>
        <v/>
      </c>
      <c r="TJE19" s="28" t="str">
        <f>IFERROR(VLOOKUP(DATE($K$1,$K$2,TJE$4),Table1[],(MATCH(Calendar!$A19,DB!$1:$1,0)),FALSE),"")</f>
        <v/>
      </c>
      <c r="TJF19" s="28" t="str">
        <f>IFERROR(VLOOKUP(DATE($K$1,$K$2,TJF$4),Table1[],(MATCH(Calendar!$A19,DB!$1:$1,0)),FALSE),"")</f>
        <v/>
      </c>
      <c r="TJG19" s="28" t="str">
        <f>IFERROR(VLOOKUP(DATE($K$1,$K$2,TJG$4),Table1[],(MATCH(Calendar!$A19,DB!$1:$1,0)),FALSE),"")</f>
        <v/>
      </c>
      <c r="TJH19" s="28" t="str">
        <f>IFERROR(VLOOKUP(DATE($K$1,$K$2,TJH$4),Table1[],(MATCH(Calendar!$A19,DB!$1:$1,0)),FALSE),"")</f>
        <v/>
      </c>
      <c r="TJI19" s="28" t="str">
        <f>IFERROR(VLOOKUP(DATE($K$1,$K$2,TJI$4),Table1[],(MATCH(Calendar!$A19,DB!$1:$1,0)),FALSE),"")</f>
        <v/>
      </c>
      <c r="TJJ19" s="28" t="str">
        <f>IFERROR(VLOOKUP(DATE($K$1,$K$2,TJJ$4),Table1[],(MATCH(Calendar!$A19,DB!$1:$1,0)),FALSE),"")</f>
        <v/>
      </c>
      <c r="TJK19" s="28" t="str">
        <f>IFERROR(VLOOKUP(DATE($K$1,$K$2,TJK$4),Table1[],(MATCH(Calendar!$A19,DB!$1:$1,0)),FALSE),"")</f>
        <v/>
      </c>
      <c r="TJL19" s="28" t="str">
        <f>IFERROR(VLOOKUP(DATE($K$1,$K$2,TJL$4),Table1[],(MATCH(Calendar!$A19,DB!$1:$1,0)),FALSE),"")</f>
        <v/>
      </c>
      <c r="TJM19" s="28" t="str">
        <f>IFERROR(VLOOKUP(DATE($K$1,$K$2,TJM$4),Table1[],(MATCH(Calendar!$A19,DB!$1:$1,0)),FALSE),"")</f>
        <v/>
      </c>
      <c r="TJN19" s="28" t="str">
        <f>IFERROR(VLOOKUP(DATE($K$1,$K$2,TJN$4),Table1[],(MATCH(Calendar!$A19,DB!$1:$1,0)),FALSE),"")</f>
        <v/>
      </c>
      <c r="TJO19" s="28" t="str">
        <f>IFERROR(VLOOKUP(DATE($K$1,$K$2,TJO$4),Table1[],(MATCH(Calendar!$A19,DB!$1:$1,0)),FALSE),"")</f>
        <v/>
      </c>
      <c r="TJP19" s="28" t="str">
        <f>IFERROR(VLOOKUP(DATE($K$1,$K$2,TJP$4),Table1[],(MATCH(Calendar!$A19,DB!$1:$1,0)),FALSE),"")</f>
        <v/>
      </c>
      <c r="TJQ19" s="28" t="str">
        <f>IFERROR(VLOOKUP(DATE($K$1,$K$2,TJQ$4),Table1[],(MATCH(Calendar!$A19,DB!$1:$1,0)),FALSE),"")</f>
        <v/>
      </c>
      <c r="TJR19" s="28" t="str">
        <f>IFERROR(VLOOKUP(DATE($K$1,$K$2,TJR$4),Table1[],(MATCH(Calendar!$A19,DB!$1:$1,0)),FALSE),"")</f>
        <v/>
      </c>
      <c r="TJS19" s="28" t="str">
        <f>IFERROR(VLOOKUP(DATE($K$1,$K$2,TJS$4),Table1[],(MATCH(Calendar!$A19,DB!$1:$1,0)),FALSE),"")</f>
        <v/>
      </c>
      <c r="TJT19" s="28" t="str">
        <f>IFERROR(VLOOKUP(DATE($K$1,$K$2,TJT$4),Table1[],(MATCH(Calendar!$A19,DB!$1:$1,0)),FALSE),"")</f>
        <v/>
      </c>
      <c r="TJU19" s="28" t="str">
        <f>IFERROR(VLOOKUP(DATE($K$1,$K$2,TJU$4),Table1[],(MATCH(Calendar!$A19,DB!$1:$1,0)),FALSE),"")</f>
        <v/>
      </c>
      <c r="TJV19" s="28" t="str">
        <f>IFERROR(VLOOKUP(DATE($K$1,$K$2,TJV$4),Table1[],(MATCH(Calendar!$A19,DB!$1:$1,0)),FALSE),"")</f>
        <v/>
      </c>
      <c r="TJW19" s="28" t="str">
        <f>IFERROR(VLOOKUP(DATE($K$1,$K$2,TJW$4),Table1[],(MATCH(Calendar!$A19,DB!$1:$1,0)),FALSE),"")</f>
        <v/>
      </c>
      <c r="TJX19" s="28" t="str">
        <f>IFERROR(VLOOKUP(DATE($K$1,$K$2,TJX$4),Table1[],(MATCH(Calendar!$A19,DB!$1:$1,0)),FALSE),"")</f>
        <v/>
      </c>
      <c r="TJY19" s="28" t="str">
        <f>IFERROR(VLOOKUP(DATE($K$1,$K$2,TJY$4),Table1[],(MATCH(Calendar!$A19,DB!$1:$1,0)),FALSE),"")</f>
        <v/>
      </c>
      <c r="TJZ19" s="28" t="str">
        <f>IFERROR(VLOOKUP(DATE($K$1,$K$2,TJZ$4),Table1[],(MATCH(Calendar!$A19,DB!$1:$1,0)),FALSE),"")</f>
        <v/>
      </c>
      <c r="TKA19" s="28" t="str">
        <f>IFERROR(VLOOKUP(DATE($K$1,$K$2,TKA$4),Table1[],(MATCH(Calendar!$A19,DB!$1:$1,0)),FALSE),"")</f>
        <v/>
      </c>
      <c r="TKB19" s="28" t="str">
        <f>IFERROR(VLOOKUP(DATE($K$1,$K$2,TKB$4),Table1[],(MATCH(Calendar!$A19,DB!$1:$1,0)),FALSE),"")</f>
        <v/>
      </c>
      <c r="TKC19" s="28" t="str">
        <f>IFERROR(VLOOKUP(DATE($K$1,$K$2,TKC$4),Table1[],(MATCH(Calendar!$A19,DB!$1:$1,0)),FALSE),"")</f>
        <v/>
      </c>
      <c r="TKD19" s="28" t="str">
        <f>IFERROR(VLOOKUP(DATE($K$1,$K$2,TKD$4),Table1[],(MATCH(Calendar!$A19,DB!$1:$1,0)),FALSE),"")</f>
        <v/>
      </c>
      <c r="TKE19" s="28" t="str">
        <f>IFERROR(VLOOKUP(DATE($K$1,$K$2,TKE$4),Table1[],(MATCH(Calendar!$A19,DB!$1:$1,0)),FALSE),"")</f>
        <v/>
      </c>
      <c r="TKF19" s="28" t="str">
        <f>IFERROR(VLOOKUP(DATE($K$1,$K$2,TKF$4),Table1[],(MATCH(Calendar!$A19,DB!$1:$1,0)),FALSE),"")</f>
        <v/>
      </c>
      <c r="TKG19" s="28" t="str">
        <f>IFERROR(VLOOKUP(DATE($K$1,$K$2,TKG$4),Table1[],(MATCH(Calendar!$A19,DB!$1:$1,0)),FALSE),"")</f>
        <v/>
      </c>
      <c r="TKH19" s="28" t="str">
        <f>IFERROR(VLOOKUP(DATE($K$1,$K$2,TKH$4),Table1[],(MATCH(Calendar!$A19,DB!$1:$1,0)),FALSE),"")</f>
        <v/>
      </c>
      <c r="TKI19" s="28" t="str">
        <f>IFERROR(VLOOKUP(DATE($K$1,$K$2,TKI$4),Table1[],(MATCH(Calendar!$A19,DB!$1:$1,0)),FALSE),"")</f>
        <v/>
      </c>
      <c r="TKJ19" s="28" t="str">
        <f>IFERROR(VLOOKUP(DATE($K$1,$K$2,TKJ$4),Table1[],(MATCH(Calendar!$A19,DB!$1:$1,0)),FALSE),"")</f>
        <v/>
      </c>
      <c r="TKK19" s="28" t="str">
        <f>IFERROR(VLOOKUP(DATE($K$1,$K$2,TKK$4),Table1[],(MATCH(Calendar!$A19,DB!$1:$1,0)),FALSE),"")</f>
        <v/>
      </c>
      <c r="TKL19" s="28" t="str">
        <f>IFERROR(VLOOKUP(DATE($K$1,$K$2,TKL$4),Table1[],(MATCH(Calendar!$A19,DB!$1:$1,0)),FALSE),"")</f>
        <v/>
      </c>
      <c r="TKM19" s="28" t="str">
        <f>IFERROR(VLOOKUP(DATE($K$1,$K$2,TKM$4),Table1[],(MATCH(Calendar!$A19,DB!$1:$1,0)),FALSE),"")</f>
        <v/>
      </c>
      <c r="TKN19" s="28" t="str">
        <f>IFERROR(VLOOKUP(DATE($K$1,$K$2,TKN$4),Table1[],(MATCH(Calendar!$A19,DB!$1:$1,0)),FALSE),"")</f>
        <v/>
      </c>
      <c r="TKO19" s="28" t="str">
        <f>IFERROR(VLOOKUP(DATE($K$1,$K$2,TKO$4),Table1[],(MATCH(Calendar!$A19,DB!$1:$1,0)),FALSE),"")</f>
        <v/>
      </c>
      <c r="TKP19" s="28" t="str">
        <f>IFERROR(VLOOKUP(DATE($K$1,$K$2,TKP$4),Table1[],(MATCH(Calendar!$A19,DB!$1:$1,0)),FALSE),"")</f>
        <v/>
      </c>
      <c r="TKQ19" s="28" t="str">
        <f>IFERROR(VLOOKUP(DATE($K$1,$K$2,TKQ$4),Table1[],(MATCH(Calendar!$A19,DB!$1:$1,0)),FALSE),"")</f>
        <v/>
      </c>
      <c r="TKR19" s="28" t="str">
        <f>IFERROR(VLOOKUP(DATE($K$1,$K$2,TKR$4),Table1[],(MATCH(Calendar!$A19,DB!$1:$1,0)),FALSE),"")</f>
        <v/>
      </c>
      <c r="TKS19" s="28" t="str">
        <f>IFERROR(VLOOKUP(DATE($K$1,$K$2,TKS$4),Table1[],(MATCH(Calendar!$A19,DB!$1:$1,0)),FALSE),"")</f>
        <v/>
      </c>
      <c r="TKT19" s="28" t="str">
        <f>IFERROR(VLOOKUP(DATE($K$1,$K$2,TKT$4),Table1[],(MATCH(Calendar!$A19,DB!$1:$1,0)),FALSE),"")</f>
        <v/>
      </c>
      <c r="TKU19" s="28" t="str">
        <f>IFERROR(VLOOKUP(DATE($K$1,$K$2,TKU$4),Table1[],(MATCH(Calendar!$A19,DB!$1:$1,0)),FALSE),"")</f>
        <v/>
      </c>
      <c r="TKV19" s="28" t="str">
        <f>IFERROR(VLOOKUP(DATE($K$1,$K$2,TKV$4),Table1[],(MATCH(Calendar!$A19,DB!$1:$1,0)),FALSE),"")</f>
        <v/>
      </c>
      <c r="TKW19" s="28" t="str">
        <f>IFERROR(VLOOKUP(DATE($K$1,$K$2,TKW$4),Table1[],(MATCH(Calendar!$A19,DB!$1:$1,0)),FALSE),"")</f>
        <v/>
      </c>
      <c r="TKX19" s="28" t="str">
        <f>IFERROR(VLOOKUP(DATE($K$1,$K$2,TKX$4),Table1[],(MATCH(Calendar!$A19,DB!$1:$1,0)),FALSE),"")</f>
        <v/>
      </c>
      <c r="TKY19" s="28" t="str">
        <f>IFERROR(VLOOKUP(DATE($K$1,$K$2,TKY$4),Table1[],(MATCH(Calendar!$A19,DB!$1:$1,0)),FALSE),"")</f>
        <v/>
      </c>
      <c r="TKZ19" s="28" t="str">
        <f>IFERROR(VLOOKUP(DATE($K$1,$K$2,TKZ$4),Table1[],(MATCH(Calendar!$A19,DB!$1:$1,0)),FALSE),"")</f>
        <v/>
      </c>
      <c r="TLA19" s="28" t="str">
        <f>IFERROR(VLOOKUP(DATE($K$1,$K$2,TLA$4),Table1[],(MATCH(Calendar!$A19,DB!$1:$1,0)),FALSE),"")</f>
        <v/>
      </c>
      <c r="TLB19" s="28" t="str">
        <f>IFERROR(VLOOKUP(DATE($K$1,$K$2,TLB$4),Table1[],(MATCH(Calendar!$A19,DB!$1:$1,0)),FALSE),"")</f>
        <v/>
      </c>
      <c r="TLC19" s="28" t="str">
        <f>IFERROR(VLOOKUP(DATE($K$1,$K$2,TLC$4),Table1[],(MATCH(Calendar!$A19,DB!$1:$1,0)),FALSE),"")</f>
        <v/>
      </c>
      <c r="TLD19" s="28" t="str">
        <f>IFERROR(VLOOKUP(DATE($K$1,$K$2,TLD$4),Table1[],(MATCH(Calendar!$A19,DB!$1:$1,0)),FALSE),"")</f>
        <v/>
      </c>
      <c r="TLE19" s="28" t="str">
        <f>IFERROR(VLOOKUP(DATE($K$1,$K$2,TLE$4),Table1[],(MATCH(Calendar!$A19,DB!$1:$1,0)),FALSE),"")</f>
        <v/>
      </c>
      <c r="TLF19" s="28" t="str">
        <f>IFERROR(VLOOKUP(DATE($K$1,$K$2,TLF$4),Table1[],(MATCH(Calendar!$A19,DB!$1:$1,0)),FALSE),"")</f>
        <v/>
      </c>
      <c r="TLG19" s="28" t="str">
        <f>IFERROR(VLOOKUP(DATE($K$1,$K$2,TLG$4),Table1[],(MATCH(Calendar!$A19,DB!$1:$1,0)),FALSE),"")</f>
        <v/>
      </c>
      <c r="TLH19" s="28" t="str">
        <f>IFERROR(VLOOKUP(DATE($K$1,$K$2,TLH$4),Table1[],(MATCH(Calendar!$A19,DB!$1:$1,0)),FALSE),"")</f>
        <v/>
      </c>
      <c r="TLI19" s="28" t="str">
        <f>IFERROR(VLOOKUP(DATE($K$1,$K$2,TLI$4),Table1[],(MATCH(Calendar!$A19,DB!$1:$1,0)),FALSE),"")</f>
        <v/>
      </c>
      <c r="TLJ19" s="28" t="str">
        <f>IFERROR(VLOOKUP(DATE($K$1,$K$2,TLJ$4),Table1[],(MATCH(Calendar!$A19,DB!$1:$1,0)),FALSE),"")</f>
        <v/>
      </c>
      <c r="TLK19" s="28" t="str">
        <f>IFERROR(VLOOKUP(DATE($K$1,$K$2,TLK$4),Table1[],(MATCH(Calendar!$A19,DB!$1:$1,0)),FALSE),"")</f>
        <v/>
      </c>
      <c r="TLL19" s="28" t="str">
        <f>IFERROR(VLOOKUP(DATE($K$1,$K$2,TLL$4),Table1[],(MATCH(Calendar!$A19,DB!$1:$1,0)),FALSE),"")</f>
        <v/>
      </c>
      <c r="TLM19" s="28" t="str">
        <f>IFERROR(VLOOKUP(DATE($K$1,$K$2,TLM$4),Table1[],(MATCH(Calendar!$A19,DB!$1:$1,0)),FALSE),"")</f>
        <v/>
      </c>
      <c r="TLN19" s="28" t="str">
        <f>IFERROR(VLOOKUP(DATE($K$1,$K$2,TLN$4),Table1[],(MATCH(Calendar!$A19,DB!$1:$1,0)),FALSE),"")</f>
        <v/>
      </c>
      <c r="TLO19" s="28" t="str">
        <f>IFERROR(VLOOKUP(DATE($K$1,$K$2,TLO$4),Table1[],(MATCH(Calendar!$A19,DB!$1:$1,0)),FALSE),"")</f>
        <v/>
      </c>
      <c r="TLP19" s="28" t="str">
        <f>IFERROR(VLOOKUP(DATE($K$1,$K$2,TLP$4),Table1[],(MATCH(Calendar!$A19,DB!$1:$1,0)),FALSE),"")</f>
        <v/>
      </c>
      <c r="TLQ19" s="28" t="str">
        <f>IFERROR(VLOOKUP(DATE($K$1,$K$2,TLQ$4),Table1[],(MATCH(Calendar!$A19,DB!$1:$1,0)),FALSE),"")</f>
        <v/>
      </c>
      <c r="TLR19" s="28" t="str">
        <f>IFERROR(VLOOKUP(DATE($K$1,$K$2,TLR$4),Table1[],(MATCH(Calendar!$A19,DB!$1:$1,0)),FALSE),"")</f>
        <v/>
      </c>
      <c r="TLS19" s="28" t="str">
        <f>IFERROR(VLOOKUP(DATE($K$1,$K$2,TLS$4),Table1[],(MATCH(Calendar!$A19,DB!$1:$1,0)),FALSE),"")</f>
        <v/>
      </c>
      <c r="TLT19" s="28" t="str">
        <f>IFERROR(VLOOKUP(DATE($K$1,$K$2,TLT$4),Table1[],(MATCH(Calendar!$A19,DB!$1:$1,0)),FALSE),"")</f>
        <v/>
      </c>
      <c r="TLU19" s="28" t="str">
        <f>IFERROR(VLOOKUP(DATE($K$1,$K$2,TLU$4),Table1[],(MATCH(Calendar!$A19,DB!$1:$1,0)),FALSE),"")</f>
        <v/>
      </c>
      <c r="TLV19" s="28" t="str">
        <f>IFERROR(VLOOKUP(DATE($K$1,$K$2,TLV$4),Table1[],(MATCH(Calendar!$A19,DB!$1:$1,0)),FALSE),"")</f>
        <v/>
      </c>
      <c r="TLW19" s="28" t="str">
        <f>IFERROR(VLOOKUP(DATE($K$1,$K$2,TLW$4),Table1[],(MATCH(Calendar!$A19,DB!$1:$1,0)),FALSE),"")</f>
        <v/>
      </c>
      <c r="TLX19" s="28" t="str">
        <f>IFERROR(VLOOKUP(DATE($K$1,$K$2,TLX$4),Table1[],(MATCH(Calendar!$A19,DB!$1:$1,0)),FALSE),"")</f>
        <v/>
      </c>
      <c r="TLY19" s="28" t="str">
        <f>IFERROR(VLOOKUP(DATE($K$1,$K$2,TLY$4),Table1[],(MATCH(Calendar!$A19,DB!$1:$1,0)),FALSE),"")</f>
        <v/>
      </c>
      <c r="TLZ19" s="28" t="str">
        <f>IFERROR(VLOOKUP(DATE($K$1,$K$2,TLZ$4),Table1[],(MATCH(Calendar!$A19,DB!$1:$1,0)),FALSE),"")</f>
        <v/>
      </c>
      <c r="TMA19" s="28" t="str">
        <f>IFERROR(VLOOKUP(DATE($K$1,$K$2,TMA$4),Table1[],(MATCH(Calendar!$A19,DB!$1:$1,0)),FALSE),"")</f>
        <v/>
      </c>
      <c r="TMB19" s="28" t="str">
        <f>IFERROR(VLOOKUP(DATE($K$1,$K$2,TMB$4),Table1[],(MATCH(Calendar!$A19,DB!$1:$1,0)),FALSE),"")</f>
        <v/>
      </c>
      <c r="TMC19" s="28" t="str">
        <f>IFERROR(VLOOKUP(DATE($K$1,$K$2,TMC$4),Table1[],(MATCH(Calendar!$A19,DB!$1:$1,0)),FALSE),"")</f>
        <v/>
      </c>
      <c r="TMD19" s="28" t="str">
        <f>IFERROR(VLOOKUP(DATE($K$1,$K$2,TMD$4),Table1[],(MATCH(Calendar!$A19,DB!$1:$1,0)),FALSE),"")</f>
        <v/>
      </c>
      <c r="TME19" s="28" t="str">
        <f>IFERROR(VLOOKUP(DATE($K$1,$K$2,TME$4),Table1[],(MATCH(Calendar!$A19,DB!$1:$1,0)),FALSE),"")</f>
        <v/>
      </c>
      <c r="TMF19" s="28" t="str">
        <f>IFERROR(VLOOKUP(DATE($K$1,$K$2,TMF$4),Table1[],(MATCH(Calendar!$A19,DB!$1:$1,0)),FALSE),"")</f>
        <v/>
      </c>
      <c r="TMG19" s="28" t="str">
        <f>IFERROR(VLOOKUP(DATE($K$1,$K$2,TMG$4),Table1[],(MATCH(Calendar!$A19,DB!$1:$1,0)),FALSE),"")</f>
        <v/>
      </c>
      <c r="TMH19" s="28" t="str">
        <f>IFERROR(VLOOKUP(DATE($K$1,$K$2,TMH$4),Table1[],(MATCH(Calendar!$A19,DB!$1:$1,0)),FALSE),"")</f>
        <v/>
      </c>
      <c r="TMI19" s="28" t="str">
        <f>IFERROR(VLOOKUP(DATE($K$1,$K$2,TMI$4),Table1[],(MATCH(Calendar!$A19,DB!$1:$1,0)),FALSE),"")</f>
        <v/>
      </c>
      <c r="TMJ19" s="28" t="str">
        <f>IFERROR(VLOOKUP(DATE($K$1,$K$2,TMJ$4),Table1[],(MATCH(Calendar!$A19,DB!$1:$1,0)),FALSE),"")</f>
        <v/>
      </c>
      <c r="TMK19" s="28" t="str">
        <f>IFERROR(VLOOKUP(DATE($K$1,$K$2,TMK$4),Table1[],(MATCH(Calendar!$A19,DB!$1:$1,0)),FALSE),"")</f>
        <v/>
      </c>
      <c r="TML19" s="28" t="str">
        <f>IFERROR(VLOOKUP(DATE($K$1,$K$2,TML$4),Table1[],(MATCH(Calendar!$A19,DB!$1:$1,0)),FALSE),"")</f>
        <v/>
      </c>
      <c r="TMM19" s="28" t="str">
        <f>IFERROR(VLOOKUP(DATE($K$1,$K$2,TMM$4),Table1[],(MATCH(Calendar!$A19,DB!$1:$1,0)),FALSE),"")</f>
        <v/>
      </c>
      <c r="TMN19" s="28" t="str">
        <f>IFERROR(VLOOKUP(DATE($K$1,$K$2,TMN$4),Table1[],(MATCH(Calendar!$A19,DB!$1:$1,0)),FALSE),"")</f>
        <v/>
      </c>
      <c r="TMO19" s="28" t="str">
        <f>IFERROR(VLOOKUP(DATE($K$1,$K$2,TMO$4),Table1[],(MATCH(Calendar!$A19,DB!$1:$1,0)),FALSE),"")</f>
        <v/>
      </c>
      <c r="TMP19" s="28" t="str">
        <f>IFERROR(VLOOKUP(DATE($K$1,$K$2,TMP$4),Table1[],(MATCH(Calendar!$A19,DB!$1:$1,0)),FALSE),"")</f>
        <v/>
      </c>
      <c r="TMQ19" s="28" t="str">
        <f>IFERROR(VLOOKUP(DATE($K$1,$K$2,TMQ$4),Table1[],(MATCH(Calendar!$A19,DB!$1:$1,0)),FALSE),"")</f>
        <v/>
      </c>
      <c r="TMR19" s="28" t="str">
        <f>IFERROR(VLOOKUP(DATE($K$1,$K$2,TMR$4),Table1[],(MATCH(Calendar!$A19,DB!$1:$1,0)),FALSE),"")</f>
        <v/>
      </c>
      <c r="TMS19" s="28" t="str">
        <f>IFERROR(VLOOKUP(DATE($K$1,$K$2,TMS$4),Table1[],(MATCH(Calendar!$A19,DB!$1:$1,0)),FALSE),"")</f>
        <v/>
      </c>
      <c r="TMT19" s="28" t="str">
        <f>IFERROR(VLOOKUP(DATE($K$1,$K$2,TMT$4),Table1[],(MATCH(Calendar!$A19,DB!$1:$1,0)),FALSE),"")</f>
        <v/>
      </c>
      <c r="TMU19" s="28" t="str">
        <f>IFERROR(VLOOKUP(DATE($K$1,$K$2,TMU$4),Table1[],(MATCH(Calendar!$A19,DB!$1:$1,0)),FALSE),"")</f>
        <v/>
      </c>
      <c r="TMV19" s="28" t="str">
        <f>IFERROR(VLOOKUP(DATE($K$1,$K$2,TMV$4),Table1[],(MATCH(Calendar!$A19,DB!$1:$1,0)),FALSE),"")</f>
        <v/>
      </c>
      <c r="TMW19" s="28" t="str">
        <f>IFERROR(VLOOKUP(DATE($K$1,$K$2,TMW$4),Table1[],(MATCH(Calendar!$A19,DB!$1:$1,0)),FALSE),"")</f>
        <v/>
      </c>
      <c r="TMX19" s="28" t="str">
        <f>IFERROR(VLOOKUP(DATE($K$1,$K$2,TMX$4),Table1[],(MATCH(Calendar!$A19,DB!$1:$1,0)),FALSE),"")</f>
        <v/>
      </c>
      <c r="TMY19" s="28" t="str">
        <f>IFERROR(VLOOKUP(DATE($K$1,$K$2,TMY$4),Table1[],(MATCH(Calendar!$A19,DB!$1:$1,0)),FALSE),"")</f>
        <v/>
      </c>
      <c r="TMZ19" s="28" t="str">
        <f>IFERROR(VLOOKUP(DATE($K$1,$K$2,TMZ$4),Table1[],(MATCH(Calendar!$A19,DB!$1:$1,0)),FALSE),"")</f>
        <v/>
      </c>
      <c r="TNA19" s="28" t="str">
        <f>IFERROR(VLOOKUP(DATE($K$1,$K$2,TNA$4),Table1[],(MATCH(Calendar!$A19,DB!$1:$1,0)),FALSE),"")</f>
        <v/>
      </c>
      <c r="TNB19" s="28" t="str">
        <f>IFERROR(VLOOKUP(DATE($K$1,$K$2,TNB$4),Table1[],(MATCH(Calendar!$A19,DB!$1:$1,0)),FALSE),"")</f>
        <v/>
      </c>
      <c r="TNC19" s="28" t="str">
        <f>IFERROR(VLOOKUP(DATE($K$1,$K$2,TNC$4),Table1[],(MATCH(Calendar!$A19,DB!$1:$1,0)),FALSE),"")</f>
        <v/>
      </c>
      <c r="TND19" s="28" t="str">
        <f>IFERROR(VLOOKUP(DATE($K$1,$K$2,TND$4),Table1[],(MATCH(Calendar!$A19,DB!$1:$1,0)),FALSE),"")</f>
        <v/>
      </c>
      <c r="TNE19" s="28" t="str">
        <f>IFERROR(VLOOKUP(DATE($K$1,$K$2,TNE$4),Table1[],(MATCH(Calendar!$A19,DB!$1:$1,0)),FALSE),"")</f>
        <v/>
      </c>
      <c r="TNF19" s="28" t="str">
        <f>IFERROR(VLOOKUP(DATE($K$1,$K$2,TNF$4),Table1[],(MATCH(Calendar!$A19,DB!$1:$1,0)),FALSE),"")</f>
        <v/>
      </c>
      <c r="TNG19" s="28" t="str">
        <f>IFERROR(VLOOKUP(DATE($K$1,$K$2,TNG$4),Table1[],(MATCH(Calendar!$A19,DB!$1:$1,0)),FALSE),"")</f>
        <v/>
      </c>
      <c r="TNH19" s="28" t="str">
        <f>IFERROR(VLOOKUP(DATE($K$1,$K$2,TNH$4),Table1[],(MATCH(Calendar!$A19,DB!$1:$1,0)),FALSE),"")</f>
        <v/>
      </c>
      <c r="TNI19" s="28" t="str">
        <f>IFERROR(VLOOKUP(DATE($K$1,$K$2,TNI$4),Table1[],(MATCH(Calendar!$A19,DB!$1:$1,0)),FALSE),"")</f>
        <v/>
      </c>
      <c r="TNJ19" s="28" t="str">
        <f>IFERROR(VLOOKUP(DATE($K$1,$K$2,TNJ$4),Table1[],(MATCH(Calendar!$A19,DB!$1:$1,0)),FALSE),"")</f>
        <v/>
      </c>
      <c r="TNK19" s="28" t="str">
        <f>IFERROR(VLOOKUP(DATE($K$1,$K$2,TNK$4),Table1[],(MATCH(Calendar!$A19,DB!$1:$1,0)),FALSE),"")</f>
        <v/>
      </c>
      <c r="TNL19" s="28" t="str">
        <f>IFERROR(VLOOKUP(DATE($K$1,$K$2,TNL$4),Table1[],(MATCH(Calendar!$A19,DB!$1:$1,0)),FALSE),"")</f>
        <v/>
      </c>
      <c r="TNM19" s="28" t="str">
        <f>IFERROR(VLOOKUP(DATE($K$1,$K$2,TNM$4),Table1[],(MATCH(Calendar!$A19,DB!$1:$1,0)),FALSE),"")</f>
        <v/>
      </c>
      <c r="TNN19" s="28" t="str">
        <f>IFERROR(VLOOKUP(DATE($K$1,$K$2,TNN$4),Table1[],(MATCH(Calendar!$A19,DB!$1:$1,0)),FALSE),"")</f>
        <v/>
      </c>
      <c r="TNO19" s="28" t="str">
        <f>IFERROR(VLOOKUP(DATE($K$1,$K$2,TNO$4),Table1[],(MATCH(Calendar!$A19,DB!$1:$1,0)),FALSE),"")</f>
        <v/>
      </c>
      <c r="TNP19" s="28" t="str">
        <f>IFERROR(VLOOKUP(DATE($K$1,$K$2,TNP$4),Table1[],(MATCH(Calendar!$A19,DB!$1:$1,0)),FALSE),"")</f>
        <v/>
      </c>
      <c r="TNQ19" s="28" t="str">
        <f>IFERROR(VLOOKUP(DATE($K$1,$K$2,TNQ$4),Table1[],(MATCH(Calendar!$A19,DB!$1:$1,0)),FALSE),"")</f>
        <v/>
      </c>
      <c r="TNR19" s="28" t="str">
        <f>IFERROR(VLOOKUP(DATE($K$1,$K$2,TNR$4),Table1[],(MATCH(Calendar!$A19,DB!$1:$1,0)),FALSE),"")</f>
        <v/>
      </c>
      <c r="TNS19" s="28" t="str">
        <f>IFERROR(VLOOKUP(DATE($K$1,$K$2,TNS$4),Table1[],(MATCH(Calendar!$A19,DB!$1:$1,0)),FALSE),"")</f>
        <v/>
      </c>
      <c r="TNT19" s="28" t="str">
        <f>IFERROR(VLOOKUP(DATE($K$1,$K$2,TNT$4),Table1[],(MATCH(Calendar!$A19,DB!$1:$1,0)),FALSE),"")</f>
        <v/>
      </c>
      <c r="TNU19" s="28" t="str">
        <f>IFERROR(VLOOKUP(DATE($K$1,$K$2,TNU$4),Table1[],(MATCH(Calendar!$A19,DB!$1:$1,0)),FALSE),"")</f>
        <v/>
      </c>
      <c r="TNV19" s="28" t="str">
        <f>IFERROR(VLOOKUP(DATE($K$1,$K$2,TNV$4),Table1[],(MATCH(Calendar!$A19,DB!$1:$1,0)),FALSE),"")</f>
        <v/>
      </c>
      <c r="TNW19" s="28" t="str">
        <f>IFERROR(VLOOKUP(DATE($K$1,$K$2,TNW$4),Table1[],(MATCH(Calendar!$A19,DB!$1:$1,0)),FALSE),"")</f>
        <v/>
      </c>
      <c r="TNX19" s="28" t="str">
        <f>IFERROR(VLOOKUP(DATE($K$1,$K$2,TNX$4),Table1[],(MATCH(Calendar!$A19,DB!$1:$1,0)),FALSE),"")</f>
        <v/>
      </c>
      <c r="TNY19" s="28" t="str">
        <f>IFERROR(VLOOKUP(DATE($K$1,$K$2,TNY$4),Table1[],(MATCH(Calendar!$A19,DB!$1:$1,0)),FALSE),"")</f>
        <v/>
      </c>
      <c r="TNZ19" s="28" t="str">
        <f>IFERROR(VLOOKUP(DATE($K$1,$K$2,TNZ$4),Table1[],(MATCH(Calendar!$A19,DB!$1:$1,0)),FALSE),"")</f>
        <v/>
      </c>
      <c r="TOA19" s="28" t="str">
        <f>IFERROR(VLOOKUP(DATE($K$1,$K$2,TOA$4),Table1[],(MATCH(Calendar!$A19,DB!$1:$1,0)),FALSE),"")</f>
        <v/>
      </c>
      <c r="TOB19" s="28" t="str">
        <f>IFERROR(VLOOKUP(DATE($K$1,$K$2,TOB$4),Table1[],(MATCH(Calendar!$A19,DB!$1:$1,0)),FALSE),"")</f>
        <v/>
      </c>
      <c r="TOC19" s="28" t="str">
        <f>IFERROR(VLOOKUP(DATE($K$1,$K$2,TOC$4),Table1[],(MATCH(Calendar!$A19,DB!$1:$1,0)),FALSE),"")</f>
        <v/>
      </c>
      <c r="TOD19" s="28" t="str">
        <f>IFERROR(VLOOKUP(DATE($K$1,$K$2,TOD$4),Table1[],(MATCH(Calendar!$A19,DB!$1:$1,0)),FALSE),"")</f>
        <v/>
      </c>
      <c r="TOE19" s="28" t="str">
        <f>IFERROR(VLOOKUP(DATE($K$1,$K$2,TOE$4),Table1[],(MATCH(Calendar!$A19,DB!$1:$1,0)),FALSE),"")</f>
        <v/>
      </c>
      <c r="TOF19" s="28" t="str">
        <f>IFERROR(VLOOKUP(DATE($K$1,$K$2,TOF$4),Table1[],(MATCH(Calendar!$A19,DB!$1:$1,0)),FALSE),"")</f>
        <v/>
      </c>
      <c r="TOG19" s="28" t="str">
        <f>IFERROR(VLOOKUP(DATE($K$1,$K$2,TOG$4),Table1[],(MATCH(Calendar!$A19,DB!$1:$1,0)),FALSE),"")</f>
        <v/>
      </c>
      <c r="TOH19" s="28" t="str">
        <f>IFERROR(VLOOKUP(DATE($K$1,$K$2,TOH$4),Table1[],(MATCH(Calendar!$A19,DB!$1:$1,0)),FALSE),"")</f>
        <v/>
      </c>
      <c r="TOI19" s="28" t="str">
        <f>IFERROR(VLOOKUP(DATE($K$1,$K$2,TOI$4),Table1[],(MATCH(Calendar!$A19,DB!$1:$1,0)),FALSE),"")</f>
        <v/>
      </c>
      <c r="TOJ19" s="28" t="str">
        <f>IFERROR(VLOOKUP(DATE($K$1,$K$2,TOJ$4),Table1[],(MATCH(Calendar!$A19,DB!$1:$1,0)),FALSE),"")</f>
        <v/>
      </c>
      <c r="TOK19" s="28" t="str">
        <f>IFERROR(VLOOKUP(DATE($K$1,$K$2,TOK$4),Table1[],(MATCH(Calendar!$A19,DB!$1:$1,0)),FALSE),"")</f>
        <v/>
      </c>
      <c r="TOL19" s="28" t="str">
        <f>IFERROR(VLOOKUP(DATE($K$1,$K$2,TOL$4),Table1[],(MATCH(Calendar!$A19,DB!$1:$1,0)),FALSE),"")</f>
        <v/>
      </c>
      <c r="TOM19" s="28" t="str">
        <f>IFERROR(VLOOKUP(DATE($K$1,$K$2,TOM$4),Table1[],(MATCH(Calendar!$A19,DB!$1:$1,0)),FALSE),"")</f>
        <v/>
      </c>
      <c r="TON19" s="28" t="str">
        <f>IFERROR(VLOOKUP(DATE($K$1,$K$2,TON$4),Table1[],(MATCH(Calendar!$A19,DB!$1:$1,0)),FALSE),"")</f>
        <v/>
      </c>
      <c r="TOO19" s="28" t="str">
        <f>IFERROR(VLOOKUP(DATE($K$1,$K$2,TOO$4),Table1[],(MATCH(Calendar!$A19,DB!$1:$1,0)),FALSE),"")</f>
        <v/>
      </c>
      <c r="TOP19" s="28" t="str">
        <f>IFERROR(VLOOKUP(DATE($K$1,$K$2,TOP$4),Table1[],(MATCH(Calendar!$A19,DB!$1:$1,0)),FALSE),"")</f>
        <v/>
      </c>
      <c r="TOQ19" s="28" t="str">
        <f>IFERROR(VLOOKUP(DATE($K$1,$K$2,TOQ$4),Table1[],(MATCH(Calendar!$A19,DB!$1:$1,0)),FALSE),"")</f>
        <v/>
      </c>
      <c r="TOR19" s="28" t="str">
        <f>IFERROR(VLOOKUP(DATE($K$1,$K$2,TOR$4),Table1[],(MATCH(Calendar!$A19,DB!$1:$1,0)),FALSE),"")</f>
        <v/>
      </c>
      <c r="TOS19" s="28" t="str">
        <f>IFERROR(VLOOKUP(DATE($K$1,$K$2,TOS$4),Table1[],(MATCH(Calendar!$A19,DB!$1:$1,0)),FALSE),"")</f>
        <v/>
      </c>
      <c r="TOT19" s="28" t="str">
        <f>IFERROR(VLOOKUP(DATE($K$1,$K$2,TOT$4),Table1[],(MATCH(Calendar!$A19,DB!$1:$1,0)),FALSE),"")</f>
        <v/>
      </c>
      <c r="TOU19" s="28" t="str">
        <f>IFERROR(VLOOKUP(DATE($K$1,$K$2,TOU$4),Table1[],(MATCH(Calendar!$A19,DB!$1:$1,0)),FALSE),"")</f>
        <v/>
      </c>
      <c r="TOV19" s="28" t="str">
        <f>IFERROR(VLOOKUP(DATE($K$1,$K$2,TOV$4),Table1[],(MATCH(Calendar!$A19,DB!$1:$1,0)),FALSE),"")</f>
        <v/>
      </c>
      <c r="TOW19" s="28" t="str">
        <f>IFERROR(VLOOKUP(DATE($K$1,$K$2,TOW$4),Table1[],(MATCH(Calendar!$A19,DB!$1:$1,0)),FALSE),"")</f>
        <v/>
      </c>
      <c r="TOX19" s="28" t="str">
        <f>IFERROR(VLOOKUP(DATE($K$1,$K$2,TOX$4),Table1[],(MATCH(Calendar!$A19,DB!$1:$1,0)),FALSE),"")</f>
        <v/>
      </c>
      <c r="TOY19" s="28" t="str">
        <f>IFERROR(VLOOKUP(DATE($K$1,$K$2,TOY$4),Table1[],(MATCH(Calendar!$A19,DB!$1:$1,0)),FALSE),"")</f>
        <v/>
      </c>
      <c r="TOZ19" s="28" t="str">
        <f>IFERROR(VLOOKUP(DATE($K$1,$K$2,TOZ$4),Table1[],(MATCH(Calendar!$A19,DB!$1:$1,0)),FALSE),"")</f>
        <v/>
      </c>
      <c r="TPA19" s="28" t="str">
        <f>IFERROR(VLOOKUP(DATE($K$1,$K$2,TPA$4),Table1[],(MATCH(Calendar!$A19,DB!$1:$1,0)),FALSE),"")</f>
        <v/>
      </c>
      <c r="TPB19" s="28" t="str">
        <f>IFERROR(VLOOKUP(DATE($K$1,$K$2,TPB$4),Table1[],(MATCH(Calendar!$A19,DB!$1:$1,0)),FALSE),"")</f>
        <v/>
      </c>
      <c r="TPC19" s="28" t="str">
        <f>IFERROR(VLOOKUP(DATE($K$1,$K$2,TPC$4),Table1[],(MATCH(Calendar!$A19,DB!$1:$1,0)),FALSE),"")</f>
        <v/>
      </c>
      <c r="TPD19" s="28" t="str">
        <f>IFERROR(VLOOKUP(DATE($K$1,$K$2,TPD$4),Table1[],(MATCH(Calendar!$A19,DB!$1:$1,0)),FALSE),"")</f>
        <v/>
      </c>
      <c r="TPE19" s="28" t="str">
        <f>IFERROR(VLOOKUP(DATE($K$1,$K$2,TPE$4),Table1[],(MATCH(Calendar!$A19,DB!$1:$1,0)),FALSE),"")</f>
        <v/>
      </c>
      <c r="TPF19" s="28" t="str">
        <f>IFERROR(VLOOKUP(DATE($K$1,$K$2,TPF$4),Table1[],(MATCH(Calendar!$A19,DB!$1:$1,0)),FALSE),"")</f>
        <v/>
      </c>
      <c r="TPG19" s="28" t="str">
        <f>IFERROR(VLOOKUP(DATE($K$1,$K$2,TPG$4),Table1[],(MATCH(Calendar!$A19,DB!$1:$1,0)),FALSE),"")</f>
        <v/>
      </c>
      <c r="TPH19" s="28" t="str">
        <f>IFERROR(VLOOKUP(DATE($K$1,$K$2,TPH$4),Table1[],(MATCH(Calendar!$A19,DB!$1:$1,0)),FALSE),"")</f>
        <v/>
      </c>
      <c r="TPI19" s="28" t="str">
        <f>IFERROR(VLOOKUP(DATE($K$1,$K$2,TPI$4),Table1[],(MATCH(Calendar!$A19,DB!$1:$1,0)),FALSE),"")</f>
        <v/>
      </c>
      <c r="TPJ19" s="28" t="str">
        <f>IFERROR(VLOOKUP(DATE($K$1,$K$2,TPJ$4),Table1[],(MATCH(Calendar!$A19,DB!$1:$1,0)),FALSE),"")</f>
        <v/>
      </c>
      <c r="TPK19" s="28" t="str">
        <f>IFERROR(VLOOKUP(DATE($K$1,$K$2,TPK$4),Table1[],(MATCH(Calendar!$A19,DB!$1:$1,0)),FALSE),"")</f>
        <v/>
      </c>
      <c r="TPL19" s="28" t="str">
        <f>IFERROR(VLOOKUP(DATE($K$1,$K$2,TPL$4),Table1[],(MATCH(Calendar!$A19,DB!$1:$1,0)),FALSE),"")</f>
        <v/>
      </c>
      <c r="TPM19" s="28" t="str">
        <f>IFERROR(VLOOKUP(DATE($K$1,$K$2,TPM$4),Table1[],(MATCH(Calendar!$A19,DB!$1:$1,0)),FALSE),"")</f>
        <v/>
      </c>
      <c r="TPN19" s="28" t="str">
        <f>IFERROR(VLOOKUP(DATE($K$1,$K$2,TPN$4),Table1[],(MATCH(Calendar!$A19,DB!$1:$1,0)),FALSE),"")</f>
        <v/>
      </c>
      <c r="TPO19" s="28" t="str">
        <f>IFERROR(VLOOKUP(DATE($K$1,$K$2,TPO$4),Table1[],(MATCH(Calendar!$A19,DB!$1:$1,0)),FALSE),"")</f>
        <v/>
      </c>
      <c r="TPP19" s="28" t="str">
        <f>IFERROR(VLOOKUP(DATE($K$1,$K$2,TPP$4),Table1[],(MATCH(Calendar!$A19,DB!$1:$1,0)),FALSE),"")</f>
        <v/>
      </c>
      <c r="TPQ19" s="28" t="str">
        <f>IFERROR(VLOOKUP(DATE($K$1,$K$2,TPQ$4),Table1[],(MATCH(Calendar!$A19,DB!$1:$1,0)),FALSE),"")</f>
        <v/>
      </c>
      <c r="TPR19" s="28" t="str">
        <f>IFERROR(VLOOKUP(DATE($K$1,$K$2,TPR$4),Table1[],(MATCH(Calendar!$A19,DB!$1:$1,0)),FALSE),"")</f>
        <v/>
      </c>
      <c r="TPS19" s="28" t="str">
        <f>IFERROR(VLOOKUP(DATE($K$1,$K$2,TPS$4),Table1[],(MATCH(Calendar!$A19,DB!$1:$1,0)),FALSE),"")</f>
        <v/>
      </c>
      <c r="TPT19" s="28" t="str">
        <f>IFERROR(VLOOKUP(DATE($K$1,$K$2,TPT$4),Table1[],(MATCH(Calendar!$A19,DB!$1:$1,0)),FALSE),"")</f>
        <v/>
      </c>
      <c r="TPU19" s="28" t="str">
        <f>IFERROR(VLOOKUP(DATE($K$1,$K$2,TPU$4),Table1[],(MATCH(Calendar!$A19,DB!$1:$1,0)),FALSE),"")</f>
        <v/>
      </c>
      <c r="TPV19" s="28" t="str">
        <f>IFERROR(VLOOKUP(DATE($K$1,$K$2,TPV$4),Table1[],(MATCH(Calendar!$A19,DB!$1:$1,0)),FALSE),"")</f>
        <v/>
      </c>
      <c r="TPW19" s="28" t="str">
        <f>IFERROR(VLOOKUP(DATE($K$1,$K$2,TPW$4),Table1[],(MATCH(Calendar!$A19,DB!$1:$1,0)),FALSE),"")</f>
        <v/>
      </c>
      <c r="TPX19" s="28" t="str">
        <f>IFERROR(VLOOKUP(DATE($K$1,$K$2,TPX$4),Table1[],(MATCH(Calendar!$A19,DB!$1:$1,0)),FALSE),"")</f>
        <v/>
      </c>
      <c r="TPY19" s="28" t="str">
        <f>IFERROR(VLOOKUP(DATE($K$1,$K$2,TPY$4),Table1[],(MATCH(Calendar!$A19,DB!$1:$1,0)),FALSE),"")</f>
        <v/>
      </c>
      <c r="TPZ19" s="28" t="str">
        <f>IFERROR(VLOOKUP(DATE($K$1,$K$2,TPZ$4),Table1[],(MATCH(Calendar!$A19,DB!$1:$1,0)),FALSE),"")</f>
        <v/>
      </c>
      <c r="TQA19" s="28" t="str">
        <f>IFERROR(VLOOKUP(DATE($K$1,$K$2,TQA$4),Table1[],(MATCH(Calendar!$A19,DB!$1:$1,0)),FALSE),"")</f>
        <v/>
      </c>
      <c r="TQB19" s="28" t="str">
        <f>IFERROR(VLOOKUP(DATE($K$1,$K$2,TQB$4),Table1[],(MATCH(Calendar!$A19,DB!$1:$1,0)),FALSE),"")</f>
        <v/>
      </c>
      <c r="TQC19" s="28" t="str">
        <f>IFERROR(VLOOKUP(DATE($K$1,$K$2,TQC$4),Table1[],(MATCH(Calendar!$A19,DB!$1:$1,0)),FALSE),"")</f>
        <v/>
      </c>
      <c r="TQD19" s="28" t="str">
        <f>IFERROR(VLOOKUP(DATE($K$1,$K$2,TQD$4),Table1[],(MATCH(Calendar!$A19,DB!$1:$1,0)),FALSE),"")</f>
        <v/>
      </c>
      <c r="TQE19" s="28" t="str">
        <f>IFERROR(VLOOKUP(DATE($K$1,$K$2,TQE$4),Table1[],(MATCH(Calendar!$A19,DB!$1:$1,0)),FALSE),"")</f>
        <v/>
      </c>
      <c r="TQF19" s="28" t="str">
        <f>IFERROR(VLOOKUP(DATE($K$1,$K$2,TQF$4),Table1[],(MATCH(Calendar!$A19,DB!$1:$1,0)),FALSE),"")</f>
        <v/>
      </c>
      <c r="TQG19" s="28" t="str">
        <f>IFERROR(VLOOKUP(DATE($K$1,$K$2,TQG$4),Table1[],(MATCH(Calendar!$A19,DB!$1:$1,0)),FALSE),"")</f>
        <v/>
      </c>
      <c r="TQH19" s="28" t="str">
        <f>IFERROR(VLOOKUP(DATE($K$1,$K$2,TQH$4),Table1[],(MATCH(Calendar!$A19,DB!$1:$1,0)),FALSE),"")</f>
        <v/>
      </c>
      <c r="TQI19" s="28" t="str">
        <f>IFERROR(VLOOKUP(DATE($K$1,$K$2,TQI$4),Table1[],(MATCH(Calendar!$A19,DB!$1:$1,0)),FALSE),"")</f>
        <v/>
      </c>
      <c r="TQJ19" s="28" t="str">
        <f>IFERROR(VLOOKUP(DATE($K$1,$K$2,TQJ$4),Table1[],(MATCH(Calendar!$A19,DB!$1:$1,0)),FALSE),"")</f>
        <v/>
      </c>
      <c r="TQK19" s="28" t="str">
        <f>IFERROR(VLOOKUP(DATE($K$1,$K$2,TQK$4),Table1[],(MATCH(Calendar!$A19,DB!$1:$1,0)),FALSE),"")</f>
        <v/>
      </c>
      <c r="TQL19" s="28" t="str">
        <f>IFERROR(VLOOKUP(DATE($K$1,$K$2,TQL$4),Table1[],(MATCH(Calendar!$A19,DB!$1:$1,0)),FALSE),"")</f>
        <v/>
      </c>
      <c r="TQM19" s="28" t="str">
        <f>IFERROR(VLOOKUP(DATE($K$1,$K$2,TQM$4),Table1[],(MATCH(Calendar!$A19,DB!$1:$1,0)),FALSE),"")</f>
        <v/>
      </c>
      <c r="TQN19" s="28" t="str">
        <f>IFERROR(VLOOKUP(DATE($K$1,$K$2,TQN$4),Table1[],(MATCH(Calendar!$A19,DB!$1:$1,0)),FALSE),"")</f>
        <v/>
      </c>
      <c r="TQO19" s="28" t="str">
        <f>IFERROR(VLOOKUP(DATE($K$1,$K$2,TQO$4),Table1[],(MATCH(Calendar!$A19,DB!$1:$1,0)),FALSE),"")</f>
        <v/>
      </c>
      <c r="TQP19" s="28" t="str">
        <f>IFERROR(VLOOKUP(DATE($K$1,$K$2,TQP$4),Table1[],(MATCH(Calendar!$A19,DB!$1:$1,0)),FALSE),"")</f>
        <v/>
      </c>
      <c r="TQQ19" s="28" t="str">
        <f>IFERROR(VLOOKUP(DATE($K$1,$K$2,TQQ$4),Table1[],(MATCH(Calendar!$A19,DB!$1:$1,0)),FALSE),"")</f>
        <v/>
      </c>
      <c r="TQR19" s="28" t="str">
        <f>IFERROR(VLOOKUP(DATE($K$1,$K$2,TQR$4),Table1[],(MATCH(Calendar!$A19,DB!$1:$1,0)),FALSE),"")</f>
        <v/>
      </c>
      <c r="TQS19" s="28" t="str">
        <f>IFERROR(VLOOKUP(DATE($K$1,$K$2,TQS$4),Table1[],(MATCH(Calendar!$A19,DB!$1:$1,0)),FALSE),"")</f>
        <v/>
      </c>
      <c r="TQT19" s="28" t="str">
        <f>IFERROR(VLOOKUP(DATE($K$1,$K$2,TQT$4),Table1[],(MATCH(Calendar!$A19,DB!$1:$1,0)),FALSE),"")</f>
        <v/>
      </c>
      <c r="TQU19" s="28" t="str">
        <f>IFERROR(VLOOKUP(DATE($K$1,$K$2,TQU$4),Table1[],(MATCH(Calendar!$A19,DB!$1:$1,0)),FALSE),"")</f>
        <v/>
      </c>
      <c r="TQV19" s="28" t="str">
        <f>IFERROR(VLOOKUP(DATE($K$1,$K$2,TQV$4),Table1[],(MATCH(Calendar!$A19,DB!$1:$1,0)),FALSE),"")</f>
        <v/>
      </c>
      <c r="TQW19" s="28" t="str">
        <f>IFERROR(VLOOKUP(DATE($K$1,$K$2,TQW$4),Table1[],(MATCH(Calendar!$A19,DB!$1:$1,0)),FALSE),"")</f>
        <v/>
      </c>
      <c r="TQX19" s="28" t="str">
        <f>IFERROR(VLOOKUP(DATE($K$1,$K$2,TQX$4),Table1[],(MATCH(Calendar!$A19,DB!$1:$1,0)),FALSE),"")</f>
        <v/>
      </c>
      <c r="TQY19" s="28" t="str">
        <f>IFERROR(VLOOKUP(DATE($K$1,$K$2,TQY$4),Table1[],(MATCH(Calendar!$A19,DB!$1:$1,0)),FALSE),"")</f>
        <v/>
      </c>
      <c r="TQZ19" s="28" t="str">
        <f>IFERROR(VLOOKUP(DATE($K$1,$K$2,TQZ$4),Table1[],(MATCH(Calendar!$A19,DB!$1:$1,0)),FALSE),"")</f>
        <v/>
      </c>
      <c r="TRA19" s="28" t="str">
        <f>IFERROR(VLOOKUP(DATE($K$1,$K$2,TRA$4),Table1[],(MATCH(Calendar!$A19,DB!$1:$1,0)),FALSE),"")</f>
        <v/>
      </c>
      <c r="TRB19" s="28" t="str">
        <f>IFERROR(VLOOKUP(DATE($K$1,$K$2,TRB$4),Table1[],(MATCH(Calendar!$A19,DB!$1:$1,0)),FALSE),"")</f>
        <v/>
      </c>
      <c r="TRC19" s="28" t="str">
        <f>IFERROR(VLOOKUP(DATE($K$1,$K$2,TRC$4),Table1[],(MATCH(Calendar!$A19,DB!$1:$1,0)),FALSE),"")</f>
        <v/>
      </c>
      <c r="TRD19" s="28" t="str">
        <f>IFERROR(VLOOKUP(DATE($K$1,$K$2,TRD$4),Table1[],(MATCH(Calendar!$A19,DB!$1:$1,0)),FALSE),"")</f>
        <v/>
      </c>
      <c r="TRE19" s="28" t="str">
        <f>IFERROR(VLOOKUP(DATE($K$1,$K$2,TRE$4),Table1[],(MATCH(Calendar!$A19,DB!$1:$1,0)),FALSE),"")</f>
        <v/>
      </c>
      <c r="TRF19" s="28" t="str">
        <f>IFERROR(VLOOKUP(DATE($K$1,$K$2,TRF$4),Table1[],(MATCH(Calendar!$A19,DB!$1:$1,0)),FALSE),"")</f>
        <v/>
      </c>
      <c r="TRG19" s="28" t="str">
        <f>IFERROR(VLOOKUP(DATE($K$1,$K$2,TRG$4),Table1[],(MATCH(Calendar!$A19,DB!$1:$1,0)),FALSE),"")</f>
        <v/>
      </c>
      <c r="TRH19" s="28" t="str">
        <f>IFERROR(VLOOKUP(DATE($K$1,$K$2,TRH$4),Table1[],(MATCH(Calendar!$A19,DB!$1:$1,0)),FALSE),"")</f>
        <v/>
      </c>
      <c r="TRI19" s="28" t="str">
        <f>IFERROR(VLOOKUP(DATE($K$1,$K$2,TRI$4),Table1[],(MATCH(Calendar!$A19,DB!$1:$1,0)),FALSE),"")</f>
        <v/>
      </c>
      <c r="TRJ19" s="28" t="str">
        <f>IFERROR(VLOOKUP(DATE($K$1,$K$2,TRJ$4),Table1[],(MATCH(Calendar!$A19,DB!$1:$1,0)),FALSE),"")</f>
        <v/>
      </c>
      <c r="TRK19" s="28" t="str">
        <f>IFERROR(VLOOKUP(DATE($K$1,$K$2,TRK$4),Table1[],(MATCH(Calendar!$A19,DB!$1:$1,0)),FALSE),"")</f>
        <v/>
      </c>
      <c r="TRL19" s="28" t="str">
        <f>IFERROR(VLOOKUP(DATE($K$1,$K$2,TRL$4),Table1[],(MATCH(Calendar!$A19,DB!$1:$1,0)),FALSE),"")</f>
        <v/>
      </c>
      <c r="TRM19" s="28" t="str">
        <f>IFERROR(VLOOKUP(DATE($K$1,$K$2,TRM$4),Table1[],(MATCH(Calendar!$A19,DB!$1:$1,0)),FALSE),"")</f>
        <v/>
      </c>
      <c r="TRN19" s="28" t="str">
        <f>IFERROR(VLOOKUP(DATE($K$1,$K$2,TRN$4),Table1[],(MATCH(Calendar!$A19,DB!$1:$1,0)),FALSE),"")</f>
        <v/>
      </c>
      <c r="TRO19" s="28" t="str">
        <f>IFERROR(VLOOKUP(DATE($K$1,$K$2,TRO$4),Table1[],(MATCH(Calendar!$A19,DB!$1:$1,0)),FALSE),"")</f>
        <v/>
      </c>
      <c r="TRP19" s="28" t="str">
        <f>IFERROR(VLOOKUP(DATE($K$1,$K$2,TRP$4),Table1[],(MATCH(Calendar!$A19,DB!$1:$1,0)),FALSE),"")</f>
        <v/>
      </c>
      <c r="TRQ19" s="28" t="str">
        <f>IFERROR(VLOOKUP(DATE($K$1,$K$2,TRQ$4),Table1[],(MATCH(Calendar!$A19,DB!$1:$1,0)),FALSE),"")</f>
        <v/>
      </c>
      <c r="TRR19" s="28" t="str">
        <f>IFERROR(VLOOKUP(DATE($K$1,$K$2,TRR$4),Table1[],(MATCH(Calendar!$A19,DB!$1:$1,0)),FALSE),"")</f>
        <v/>
      </c>
      <c r="TRS19" s="28" t="str">
        <f>IFERROR(VLOOKUP(DATE($K$1,$K$2,TRS$4),Table1[],(MATCH(Calendar!$A19,DB!$1:$1,0)),FALSE),"")</f>
        <v/>
      </c>
      <c r="TRT19" s="28" t="str">
        <f>IFERROR(VLOOKUP(DATE($K$1,$K$2,TRT$4),Table1[],(MATCH(Calendar!$A19,DB!$1:$1,0)),FALSE),"")</f>
        <v/>
      </c>
      <c r="TRU19" s="28" t="str">
        <f>IFERROR(VLOOKUP(DATE($K$1,$K$2,TRU$4),Table1[],(MATCH(Calendar!$A19,DB!$1:$1,0)),FALSE),"")</f>
        <v/>
      </c>
      <c r="TRV19" s="28" t="str">
        <f>IFERROR(VLOOKUP(DATE($K$1,$K$2,TRV$4),Table1[],(MATCH(Calendar!$A19,DB!$1:$1,0)),FALSE),"")</f>
        <v/>
      </c>
      <c r="TRW19" s="28" t="str">
        <f>IFERROR(VLOOKUP(DATE($K$1,$K$2,TRW$4),Table1[],(MATCH(Calendar!$A19,DB!$1:$1,0)),FALSE),"")</f>
        <v/>
      </c>
      <c r="TRX19" s="28" t="str">
        <f>IFERROR(VLOOKUP(DATE($K$1,$K$2,TRX$4),Table1[],(MATCH(Calendar!$A19,DB!$1:$1,0)),FALSE),"")</f>
        <v/>
      </c>
      <c r="TRY19" s="28" t="str">
        <f>IFERROR(VLOOKUP(DATE($K$1,$K$2,TRY$4),Table1[],(MATCH(Calendar!$A19,DB!$1:$1,0)),FALSE),"")</f>
        <v/>
      </c>
      <c r="TRZ19" s="28" t="str">
        <f>IFERROR(VLOOKUP(DATE($K$1,$K$2,TRZ$4),Table1[],(MATCH(Calendar!$A19,DB!$1:$1,0)),FALSE),"")</f>
        <v/>
      </c>
      <c r="TSA19" s="28" t="str">
        <f>IFERROR(VLOOKUP(DATE($K$1,$K$2,TSA$4),Table1[],(MATCH(Calendar!$A19,DB!$1:$1,0)),FALSE),"")</f>
        <v/>
      </c>
      <c r="TSB19" s="28" t="str">
        <f>IFERROR(VLOOKUP(DATE($K$1,$K$2,TSB$4),Table1[],(MATCH(Calendar!$A19,DB!$1:$1,0)),FALSE),"")</f>
        <v/>
      </c>
      <c r="TSC19" s="28" t="str">
        <f>IFERROR(VLOOKUP(DATE($K$1,$K$2,TSC$4),Table1[],(MATCH(Calendar!$A19,DB!$1:$1,0)),FALSE),"")</f>
        <v/>
      </c>
      <c r="TSD19" s="28" t="str">
        <f>IFERROR(VLOOKUP(DATE($K$1,$K$2,TSD$4),Table1[],(MATCH(Calendar!$A19,DB!$1:$1,0)),FALSE),"")</f>
        <v/>
      </c>
      <c r="TSE19" s="28" t="str">
        <f>IFERROR(VLOOKUP(DATE($K$1,$K$2,TSE$4),Table1[],(MATCH(Calendar!$A19,DB!$1:$1,0)),FALSE),"")</f>
        <v/>
      </c>
      <c r="TSF19" s="28" t="str">
        <f>IFERROR(VLOOKUP(DATE($K$1,$K$2,TSF$4),Table1[],(MATCH(Calendar!$A19,DB!$1:$1,0)),FALSE),"")</f>
        <v/>
      </c>
      <c r="TSG19" s="28" t="str">
        <f>IFERROR(VLOOKUP(DATE($K$1,$K$2,TSG$4),Table1[],(MATCH(Calendar!$A19,DB!$1:$1,0)),FALSE),"")</f>
        <v/>
      </c>
      <c r="TSH19" s="28" t="str">
        <f>IFERROR(VLOOKUP(DATE($K$1,$K$2,TSH$4),Table1[],(MATCH(Calendar!$A19,DB!$1:$1,0)),FALSE),"")</f>
        <v/>
      </c>
      <c r="TSI19" s="28" t="str">
        <f>IFERROR(VLOOKUP(DATE($K$1,$K$2,TSI$4),Table1[],(MATCH(Calendar!$A19,DB!$1:$1,0)),FALSE),"")</f>
        <v/>
      </c>
      <c r="TSJ19" s="28" t="str">
        <f>IFERROR(VLOOKUP(DATE($K$1,$K$2,TSJ$4),Table1[],(MATCH(Calendar!$A19,DB!$1:$1,0)),FALSE),"")</f>
        <v/>
      </c>
      <c r="TSK19" s="28" t="str">
        <f>IFERROR(VLOOKUP(DATE($K$1,$K$2,TSK$4),Table1[],(MATCH(Calendar!$A19,DB!$1:$1,0)),FALSE),"")</f>
        <v/>
      </c>
      <c r="TSL19" s="28" t="str">
        <f>IFERROR(VLOOKUP(DATE($K$1,$K$2,TSL$4),Table1[],(MATCH(Calendar!$A19,DB!$1:$1,0)),FALSE),"")</f>
        <v/>
      </c>
      <c r="TSM19" s="28" t="str">
        <f>IFERROR(VLOOKUP(DATE($K$1,$K$2,TSM$4),Table1[],(MATCH(Calendar!$A19,DB!$1:$1,0)),FALSE),"")</f>
        <v/>
      </c>
      <c r="TSN19" s="28" t="str">
        <f>IFERROR(VLOOKUP(DATE($K$1,$K$2,TSN$4),Table1[],(MATCH(Calendar!$A19,DB!$1:$1,0)),FALSE),"")</f>
        <v/>
      </c>
      <c r="TSO19" s="28" t="str">
        <f>IFERROR(VLOOKUP(DATE($K$1,$K$2,TSO$4),Table1[],(MATCH(Calendar!$A19,DB!$1:$1,0)),FALSE),"")</f>
        <v/>
      </c>
      <c r="TSP19" s="28" t="str">
        <f>IFERROR(VLOOKUP(DATE($K$1,$K$2,TSP$4),Table1[],(MATCH(Calendar!$A19,DB!$1:$1,0)),FALSE),"")</f>
        <v/>
      </c>
      <c r="TSQ19" s="28" t="str">
        <f>IFERROR(VLOOKUP(DATE($K$1,$K$2,TSQ$4),Table1[],(MATCH(Calendar!$A19,DB!$1:$1,0)),FALSE),"")</f>
        <v/>
      </c>
      <c r="TSR19" s="28" t="str">
        <f>IFERROR(VLOOKUP(DATE($K$1,$K$2,TSR$4),Table1[],(MATCH(Calendar!$A19,DB!$1:$1,0)),FALSE),"")</f>
        <v/>
      </c>
      <c r="TSS19" s="28" t="str">
        <f>IFERROR(VLOOKUP(DATE($K$1,$K$2,TSS$4),Table1[],(MATCH(Calendar!$A19,DB!$1:$1,0)),FALSE),"")</f>
        <v/>
      </c>
      <c r="TST19" s="28" t="str">
        <f>IFERROR(VLOOKUP(DATE($K$1,$K$2,TST$4),Table1[],(MATCH(Calendar!$A19,DB!$1:$1,0)),FALSE),"")</f>
        <v/>
      </c>
      <c r="TSU19" s="28" t="str">
        <f>IFERROR(VLOOKUP(DATE($K$1,$K$2,TSU$4),Table1[],(MATCH(Calendar!$A19,DB!$1:$1,0)),FALSE),"")</f>
        <v/>
      </c>
      <c r="TSV19" s="28" t="str">
        <f>IFERROR(VLOOKUP(DATE($K$1,$K$2,TSV$4),Table1[],(MATCH(Calendar!$A19,DB!$1:$1,0)),FALSE),"")</f>
        <v/>
      </c>
      <c r="TSW19" s="28" t="str">
        <f>IFERROR(VLOOKUP(DATE($K$1,$K$2,TSW$4),Table1[],(MATCH(Calendar!$A19,DB!$1:$1,0)),FALSE),"")</f>
        <v/>
      </c>
      <c r="TSX19" s="28" t="str">
        <f>IFERROR(VLOOKUP(DATE($K$1,$K$2,TSX$4),Table1[],(MATCH(Calendar!$A19,DB!$1:$1,0)),FALSE),"")</f>
        <v/>
      </c>
      <c r="TSY19" s="28" t="str">
        <f>IFERROR(VLOOKUP(DATE($K$1,$K$2,TSY$4),Table1[],(MATCH(Calendar!$A19,DB!$1:$1,0)),FALSE),"")</f>
        <v/>
      </c>
      <c r="TSZ19" s="28" t="str">
        <f>IFERROR(VLOOKUP(DATE($K$1,$K$2,TSZ$4),Table1[],(MATCH(Calendar!$A19,DB!$1:$1,0)),FALSE),"")</f>
        <v/>
      </c>
      <c r="TTA19" s="28" t="str">
        <f>IFERROR(VLOOKUP(DATE($K$1,$K$2,TTA$4),Table1[],(MATCH(Calendar!$A19,DB!$1:$1,0)),FALSE),"")</f>
        <v/>
      </c>
      <c r="TTB19" s="28" t="str">
        <f>IFERROR(VLOOKUP(DATE($K$1,$K$2,TTB$4),Table1[],(MATCH(Calendar!$A19,DB!$1:$1,0)),FALSE),"")</f>
        <v/>
      </c>
      <c r="TTC19" s="28" t="str">
        <f>IFERROR(VLOOKUP(DATE($K$1,$K$2,TTC$4),Table1[],(MATCH(Calendar!$A19,DB!$1:$1,0)),FALSE),"")</f>
        <v/>
      </c>
      <c r="TTD19" s="28" t="str">
        <f>IFERROR(VLOOKUP(DATE($K$1,$K$2,TTD$4),Table1[],(MATCH(Calendar!$A19,DB!$1:$1,0)),FALSE),"")</f>
        <v/>
      </c>
      <c r="TTE19" s="28" t="str">
        <f>IFERROR(VLOOKUP(DATE($K$1,$K$2,TTE$4),Table1[],(MATCH(Calendar!$A19,DB!$1:$1,0)),FALSE),"")</f>
        <v/>
      </c>
      <c r="TTF19" s="28" t="str">
        <f>IFERROR(VLOOKUP(DATE($K$1,$K$2,TTF$4),Table1[],(MATCH(Calendar!$A19,DB!$1:$1,0)),FALSE),"")</f>
        <v/>
      </c>
      <c r="TTG19" s="28" t="str">
        <f>IFERROR(VLOOKUP(DATE($K$1,$K$2,TTG$4),Table1[],(MATCH(Calendar!$A19,DB!$1:$1,0)),FALSE),"")</f>
        <v/>
      </c>
      <c r="TTH19" s="28" t="str">
        <f>IFERROR(VLOOKUP(DATE($K$1,$K$2,TTH$4),Table1[],(MATCH(Calendar!$A19,DB!$1:$1,0)),FALSE),"")</f>
        <v/>
      </c>
      <c r="TTI19" s="28" t="str">
        <f>IFERROR(VLOOKUP(DATE($K$1,$K$2,TTI$4),Table1[],(MATCH(Calendar!$A19,DB!$1:$1,0)),FALSE),"")</f>
        <v/>
      </c>
      <c r="TTJ19" s="28" t="str">
        <f>IFERROR(VLOOKUP(DATE($K$1,$K$2,TTJ$4),Table1[],(MATCH(Calendar!$A19,DB!$1:$1,0)),FALSE),"")</f>
        <v/>
      </c>
      <c r="TTK19" s="28" t="str">
        <f>IFERROR(VLOOKUP(DATE($K$1,$K$2,TTK$4),Table1[],(MATCH(Calendar!$A19,DB!$1:$1,0)),FALSE),"")</f>
        <v/>
      </c>
      <c r="TTL19" s="28" t="str">
        <f>IFERROR(VLOOKUP(DATE($K$1,$K$2,TTL$4),Table1[],(MATCH(Calendar!$A19,DB!$1:$1,0)),FALSE),"")</f>
        <v/>
      </c>
      <c r="TTM19" s="28" t="str">
        <f>IFERROR(VLOOKUP(DATE($K$1,$K$2,TTM$4),Table1[],(MATCH(Calendar!$A19,DB!$1:$1,0)),FALSE),"")</f>
        <v/>
      </c>
      <c r="TTN19" s="28" t="str">
        <f>IFERROR(VLOOKUP(DATE($K$1,$K$2,TTN$4),Table1[],(MATCH(Calendar!$A19,DB!$1:$1,0)),FALSE),"")</f>
        <v/>
      </c>
      <c r="TTO19" s="28" t="str">
        <f>IFERROR(VLOOKUP(DATE($K$1,$K$2,TTO$4),Table1[],(MATCH(Calendar!$A19,DB!$1:$1,0)),FALSE),"")</f>
        <v/>
      </c>
      <c r="TTP19" s="28" t="str">
        <f>IFERROR(VLOOKUP(DATE($K$1,$K$2,TTP$4),Table1[],(MATCH(Calendar!$A19,DB!$1:$1,0)),FALSE),"")</f>
        <v/>
      </c>
      <c r="TTQ19" s="28" t="str">
        <f>IFERROR(VLOOKUP(DATE($K$1,$K$2,TTQ$4),Table1[],(MATCH(Calendar!$A19,DB!$1:$1,0)),FALSE),"")</f>
        <v/>
      </c>
      <c r="TTR19" s="28" t="str">
        <f>IFERROR(VLOOKUP(DATE($K$1,$K$2,TTR$4),Table1[],(MATCH(Calendar!$A19,DB!$1:$1,0)),FALSE),"")</f>
        <v/>
      </c>
      <c r="TTS19" s="28" t="str">
        <f>IFERROR(VLOOKUP(DATE($K$1,$K$2,TTS$4),Table1[],(MATCH(Calendar!$A19,DB!$1:$1,0)),FALSE),"")</f>
        <v/>
      </c>
      <c r="TTT19" s="28" t="str">
        <f>IFERROR(VLOOKUP(DATE($K$1,$K$2,TTT$4),Table1[],(MATCH(Calendar!$A19,DB!$1:$1,0)),FALSE),"")</f>
        <v/>
      </c>
      <c r="TTU19" s="28" t="str">
        <f>IFERROR(VLOOKUP(DATE($K$1,$K$2,TTU$4),Table1[],(MATCH(Calendar!$A19,DB!$1:$1,0)),FALSE),"")</f>
        <v/>
      </c>
      <c r="TTV19" s="28" t="str">
        <f>IFERROR(VLOOKUP(DATE($K$1,$K$2,TTV$4),Table1[],(MATCH(Calendar!$A19,DB!$1:$1,0)),FALSE),"")</f>
        <v/>
      </c>
      <c r="TTW19" s="28" t="str">
        <f>IFERROR(VLOOKUP(DATE($K$1,$K$2,TTW$4),Table1[],(MATCH(Calendar!$A19,DB!$1:$1,0)),FALSE),"")</f>
        <v/>
      </c>
      <c r="TTX19" s="28" t="str">
        <f>IFERROR(VLOOKUP(DATE($K$1,$K$2,TTX$4),Table1[],(MATCH(Calendar!$A19,DB!$1:$1,0)),FALSE),"")</f>
        <v/>
      </c>
      <c r="TTY19" s="28" t="str">
        <f>IFERROR(VLOOKUP(DATE($K$1,$K$2,TTY$4),Table1[],(MATCH(Calendar!$A19,DB!$1:$1,0)),FALSE),"")</f>
        <v/>
      </c>
      <c r="TTZ19" s="28" t="str">
        <f>IFERROR(VLOOKUP(DATE($K$1,$K$2,TTZ$4),Table1[],(MATCH(Calendar!$A19,DB!$1:$1,0)),FALSE),"")</f>
        <v/>
      </c>
      <c r="TUA19" s="28" t="str">
        <f>IFERROR(VLOOKUP(DATE($K$1,$K$2,TUA$4),Table1[],(MATCH(Calendar!$A19,DB!$1:$1,0)),FALSE),"")</f>
        <v/>
      </c>
      <c r="TUB19" s="28" t="str">
        <f>IFERROR(VLOOKUP(DATE($K$1,$K$2,TUB$4),Table1[],(MATCH(Calendar!$A19,DB!$1:$1,0)),FALSE),"")</f>
        <v/>
      </c>
      <c r="TUC19" s="28" t="str">
        <f>IFERROR(VLOOKUP(DATE($K$1,$K$2,TUC$4),Table1[],(MATCH(Calendar!$A19,DB!$1:$1,0)),FALSE),"")</f>
        <v/>
      </c>
      <c r="TUD19" s="28" t="str">
        <f>IFERROR(VLOOKUP(DATE($K$1,$K$2,TUD$4),Table1[],(MATCH(Calendar!$A19,DB!$1:$1,0)),FALSE),"")</f>
        <v/>
      </c>
      <c r="TUE19" s="28" t="str">
        <f>IFERROR(VLOOKUP(DATE($K$1,$K$2,TUE$4),Table1[],(MATCH(Calendar!$A19,DB!$1:$1,0)),FALSE),"")</f>
        <v/>
      </c>
      <c r="TUF19" s="28" t="str">
        <f>IFERROR(VLOOKUP(DATE($K$1,$K$2,TUF$4),Table1[],(MATCH(Calendar!$A19,DB!$1:$1,0)),FALSE),"")</f>
        <v/>
      </c>
      <c r="TUG19" s="28" t="str">
        <f>IFERROR(VLOOKUP(DATE($K$1,$K$2,TUG$4),Table1[],(MATCH(Calendar!$A19,DB!$1:$1,0)),FALSE),"")</f>
        <v/>
      </c>
      <c r="TUH19" s="28" t="str">
        <f>IFERROR(VLOOKUP(DATE($K$1,$K$2,TUH$4),Table1[],(MATCH(Calendar!$A19,DB!$1:$1,0)),FALSE),"")</f>
        <v/>
      </c>
      <c r="TUI19" s="28" t="str">
        <f>IFERROR(VLOOKUP(DATE($K$1,$K$2,TUI$4),Table1[],(MATCH(Calendar!$A19,DB!$1:$1,0)),FALSE),"")</f>
        <v/>
      </c>
      <c r="TUJ19" s="28" t="str">
        <f>IFERROR(VLOOKUP(DATE($K$1,$K$2,TUJ$4),Table1[],(MATCH(Calendar!$A19,DB!$1:$1,0)),FALSE),"")</f>
        <v/>
      </c>
      <c r="TUK19" s="28" t="str">
        <f>IFERROR(VLOOKUP(DATE($K$1,$K$2,TUK$4),Table1[],(MATCH(Calendar!$A19,DB!$1:$1,0)),FALSE),"")</f>
        <v/>
      </c>
      <c r="TUL19" s="28" t="str">
        <f>IFERROR(VLOOKUP(DATE($K$1,$K$2,TUL$4),Table1[],(MATCH(Calendar!$A19,DB!$1:$1,0)),FALSE),"")</f>
        <v/>
      </c>
      <c r="TUM19" s="28" t="str">
        <f>IFERROR(VLOOKUP(DATE($K$1,$K$2,TUM$4),Table1[],(MATCH(Calendar!$A19,DB!$1:$1,0)),FALSE),"")</f>
        <v/>
      </c>
      <c r="TUN19" s="28" t="str">
        <f>IFERROR(VLOOKUP(DATE($K$1,$K$2,TUN$4),Table1[],(MATCH(Calendar!$A19,DB!$1:$1,0)),FALSE),"")</f>
        <v/>
      </c>
      <c r="TUO19" s="28" t="str">
        <f>IFERROR(VLOOKUP(DATE($K$1,$K$2,TUO$4),Table1[],(MATCH(Calendar!$A19,DB!$1:$1,0)),FALSE),"")</f>
        <v/>
      </c>
      <c r="TUP19" s="28" t="str">
        <f>IFERROR(VLOOKUP(DATE($K$1,$K$2,TUP$4),Table1[],(MATCH(Calendar!$A19,DB!$1:$1,0)),FALSE),"")</f>
        <v/>
      </c>
      <c r="TUQ19" s="28" t="str">
        <f>IFERROR(VLOOKUP(DATE($K$1,$K$2,TUQ$4),Table1[],(MATCH(Calendar!$A19,DB!$1:$1,0)),FALSE),"")</f>
        <v/>
      </c>
      <c r="TUR19" s="28" t="str">
        <f>IFERROR(VLOOKUP(DATE($K$1,$K$2,TUR$4),Table1[],(MATCH(Calendar!$A19,DB!$1:$1,0)),FALSE),"")</f>
        <v/>
      </c>
      <c r="TUS19" s="28" t="str">
        <f>IFERROR(VLOOKUP(DATE($K$1,$K$2,TUS$4),Table1[],(MATCH(Calendar!$A19,DB!$1:$1,0)),FALSE),"")</f>
        <v/>
      </c>
      <c r="TUT19" s="28" t="str">
        <f>IFERROR(VLOOKUP(DATE($K$1,$K$2,TUT$4),Table1[],(MATCH(Calendar!$A19,DB!$1:$1,0)),FALSE),"")</f>
        <v/>
      </c>
      <c r="TUU19" s="28" t="str">
        <f>IFERROR(VLOOKUP(DATE($K$1,$K$2,TUU$4),Table1[],(MATCH(Calendar!$A19,DB!$1:$1,0)),FALSE),"")</f>
        <v/>
      </c>
      <c r="TUV19" s="28" t="str">
        <f>IFERROR(VLOOKUP(DATE($K$1,$K$2,TUV$4),Table1[],(MATCH(Calendar!$A19,DB!$1:$1,0)),FALSE),"")</f>
        <v/>
      </c>
      <c r="TUW19" s="28" t="str">
        <f>IFERROR(VLOOKUP(DATE($K$1,$K$2,TUW$4),Table1[],(MATCH(Calendar!$A19,DB!$1:$1,0)),FALSE),"")</f>
        <v/>
      </c>
      <c r="TUX19" s="28" t="str">
        <f>IFERROR(VLOOKUP(DATE($K$1,$K$2,TUX$4),Table1[],(MATCH(Calendar!$A19,DB!$1:$1,0)),FALSE),"")</f>
        <v/>
      </c>
      <c r="TUY19" s="28" t="str">
        <f>IFERROR(VLOOKUP(DATE($K$1,$K$2,TUY$4),Table1[],(MATCH(Calendar!$A19,DB!$1:$1,0)),FALSE),"")</f>
        <v/>
      </c>
      <c r="TUZ19" s="28" t="str">
        <f>IFERROR(VLOOKUP(DATE($K$1,$K$2,TUZ$4),Table1[],(MATCH(Calendar!$A19,DB!$1:$1,0)),FALSE),"")</f>
        <v/>
      </c>
      <c r="TVA19" s="28" t="str">
        <f>IFERROR(VLOOKUP(DATE($K$1,$K$2,TVA$4),Table1[],(MATCH(Calendar!$A19,DB!$1:$1,0)),FALSE),"")</f>
        <v/>
      </c>
      <c r="TVB19" s="28" t="str">
        <f>IFERROR(VLOOKUP(DATE($K$1,$K$2,TVB$4),Table1[],(MATCH(Calendar!$A19,DB!$1:$1,0)),FALSE),"")</f>
        <v/>
      </c>
      <c r="TVC19" s="28" t="str">
        <f>IFERROR(VLOOKUP(DATE($K$1,$K$2,TVC$4),Table1[],(MATCH(Calendar!$A19,DB!$1:$1,0)),FALSE),"")</f>
        <v/>
      </c>
      <c r="TVD19" s="28" t="str">
        <f>IFERROR(VLOOKUP(DATE($K$1,$K$2,TVD$4),Table1[],(MATCH(Calendar!$A19,DB!$1:$1,0)),FALSE),"")</f>
        <v/>
      </c>
      <c r="TVE19" s="28" t="str">
        <f>IFERROR(VLOOKUP(DATE($K$1,$K$2,TVE$4),Table1[],(MATCH(Calendar!$A19,DB!$1:$1,0)),FALSE),"")</f>
        <v/>
      </c>
      <c r="TVF19" s="28" t="str">
        <f>IFERROR(VLOOKUP(DATE($K$1,$K$2,TVF$4),Table1[],(MATCH(Calendar!$A19,DB!$1:$1,0)),FALSE),"")</f>
        <v/>
      </c>
      <c r="TVG19" s="28" t="str">
        <f>IFERROR(VLOOKUP(DATE($K$1,$K$2,TVG$4),Table1[],(MATCH(Calendar!$A19,DB!$1:$1,0)),FALSE),"")</f>
        <v/>
      </c>
      <c r="TVH19" s="28" t="str">
        <f>IFERROR(VLOOKUP(DATE($K$1,$K$2,TVH$4),Table1[],(MATCH(Calendar!$A19,DB!$1:$1,0)),FALSE),"")</f>
        <v/>
      </c>
      <c r="TVI19" s="28" t="str">
        <f>IFERROR(VLOOKUP(DATE($K$1,$K$2,TVI$4),Table1[],(MATCH(Calendar!$A19,DB!$1:$1,0)),FALSE),"")</f>
        <v/>
      </c>
      <c r="TVJ19" s="28" t="str">
        <f>IFERROR(VLOOKUP(DATE($K$1,$K$2,TVJ$4),Table1[],(MATCH(Calendar!$A19,DB!$1:$1,0)),FALSE),"")</f>
        <v/>
      </c>
      <c r="TVK19" s="28" t="str">
        <f>IFERROR(VLOOKUP(DATE($K$1,$K$2,TVK$4),Table1[],(MATCH(Calendar!$A19,DB!$1:$1,0)),FALSE),"")</f>
        <v/>
      </c>
      <c r="TVL19" s="28" t="str">
        <f>IFERROR(VLOOKUP(DATE($K$1,$K$2,TVL$4),Table1[],(MATCH(Calendar!$A19,DB!$1:$1,0)),FALSE),"")</f>
        <v/>
      </c>
      <c r="TVM19" s="28" t="str">
        <f>IFERROR(VLOOKUP(DATE($K$1,$K$2,TVM$4),Table1[],(MATCH(Calendar!$A19,DB!$1:$1,0)),FALSE),"")</f>
        <v/>
      </c>
      <c r="TVN19" s="28" t="str">
        <f>IFERROR(VLOOKUP(DATE($K$1,$K$2,TVN$4),Table1[],(MATCH(Calendar!$A19,DB!$1:$1,0)),FALSE),"")</f>
        <v/>
      </c>
      <c r="TVO19" s="28" t="str">
        <f>IFERROR(VLOOKUP(DATE($K$1,$K$2,TVO$4),Table1[],(MATCH(Calendar!$A19,DB!$1:$1,0)),FALSE),"")</f>
        <v/>
      </c>
      <c r="TVP19" s="28" t="str">
        <f>IFERROR(VLOOKUP(DATE($K$1,$K$2,TVP$4),Table1[],(MATCH(Calendar!$A19,DB!$1:$1,0)),FALSE),"")</f>
        <v/>
      </c>
      <c r="TVQ19" s="28" t="str">
        <f>IFERROR(VLOOKUP(DATE($K$1,$K$2,TVQ$4),Table1[],(MATCH(Calendar!$A19,DB!$1:$1,0)),FALSE),"")</f>
        <v/>
      </c>
      <c r="TVR19" s="28" t="str">
        <f>IFERROR(VLOOKUP(DATE($K$1,$K$2,TVR$4),Table1[],(MATCH(Calendar!$A19,DB!$1:$1,0)),FALSE),"")</f>
        <v/>
      </c>
      <c r="TVS19" s="28" t="str">
        <f>IFERROR(VLOOKUP(DATE($K$1,$K$2,TVS$4),Table1[],(MATCH(Calendar!$A19,DB!$1:$1,0)),FALSE),"")</f>
        <v/>
      </c>
      <c r="TVT19" s="28" t="str">
        <f>IFERROR(VLOOKUP(DATE($K$1,$K$2,TVT$4),Table1[],(MATCH(Calendar!$A19,DB!$1:$1,0)),FALSE),"")</f>
        <v/>
      </c>
      <c r="TVU19" s="28" t="str">
        <f>IFERROR(VLOOKUP(DATE($K$1,$K$2,TVU$4),Table1[],(MATCH(Calendar!$A19,DB!$1:$1,0)),FALSE),"")</f>
        <v/>
      </c>
      <c r="TVV19" s="28" t="str">
        <f>IFERROR(VLOOKUP(DATE($K$1,$K$2,TVV$4),Table1[],(MATCH(Calendar!$A19,DB!$1:$1,0)),FALSE),"")</f>
        <v/>
      </c>
      <c r="TVW19" s="28" t="str">
        <f>IFERROR(VLOOKUP(DATE($K$1,$K$2,TVW$4),Table1[],(MATCH(Calendar!$A19,DB!$1:$1,0)),FALSE),"")</f>
        <v/>
      </c>
      <c r="TVX19" s="28" t="str">
        <f>IFERROR(VLOOKUP(DATE($K$1,$K$2,TVX$4),Table1[],(MATCH(Calendar!$A19,DB!$1:$1,0)),FALSE),"")</f>
        <v/>
      </c>
      <c r="TVY19" s="28" t="str">
        <f>IFERROR(VLOOKUP(DATE($K$1,$K$2,TVY$4),Table1[],(MATCH(Calendar!$A19,DB!$1:$1,0)),FALSE),"")</f>
        <v/>
      </c>
      <c r="TVZ19" s="28" t="str">
        <f>IFERROR(VLOOKUP(DATE($K$1,$K$2,TVZ$4),Table1[],(MATCH(Calendar!$A19,DB!$1:$1,0)),FALSE),"")</f>
        <v/>
      </c>
      <c r="TWA19" s="28" t="str">
        <f>IFERROR(VLOOKUP(DATE($K$1,$K$2,TWA$4),Table1[],(MATCH(Calendar!$A19,DB!$1:$1,0)),FALSE),"")</f>
        <v/>
      </c>
      <c r="TWB19" s="28" t="str">
        <f>IFERROR(VLOOKUP(DATE($K$1,$K$2,TWB$4),Table1[],(MATCH(Calendar!$A19,DB!$1:$1,0)),FALSE),"")</f>
        <v/>
      </c>
      <c r="TWC19" s="28" t="str">
        <f>IFERROR(VLOOKUP(DATE($K$1,$K$2,TWC$4),Table1[],(MATCH(Calendar!$A19,DB!$1:$1,0)),FALSE),"")</f>
        <v/>
      </c>
      <c r="TWD19" s="28" t="str">
        <f>IFERROR(VLOOKUP(DATE($K$1,$K$2,TWD$4),Table1[],(MATCH(Calendar!$A19,DB!$1:$1,0)),FALSE),"")</f>
        <v/>
      </c>
      <c r="TWE19" s="28" t="str">
        <f>IFERROR(VLOOKUP(DATE($K$1,$K$2,TWE$4),Table1[],(MATCH(Calendar!$A19,DB!$1:$1,0)),FALSE),"")</f>
        <v/>
      </c>
      <c r="TWF19" s="28" t="str">
        <f>IFERROR(VLOOKUP(DATE($K$1,$K$2,TWF$4),Table1[],(MATCH(Calendar!$A19,DB!$1:$1,0)),FALSE),"")</f>
        <v/>
      </c>
      <c r="TWG19" s="28" t="str">
        <f>IFERROR(VLOOKUP(DATE($K$1,$K$2,TWG$4),Table1[],(MATCH(Calendar!$A19,DB!$1:$1,0)),FALSE),"")</f>
        <v/>
      </c>
      <c r="TWH19" s="28" t="str">
        <f>IFERROR(VLOOKUP(DATE($K$1,$K$2,TWH$4),Table1[],(MATCH(Calendar!$A19,DB!$1:$1,0)),FALSE),"")</f>
        <v/>
      </c>
      <c r="TWI19" s="28" t="str">
        <f>IFERROR(VLOOKUP(DATE($K$1,$K$2,TWI$4),Table1[],(MATCH(Calendar!$A19,DB!$1:$1,0)),FALSE),"")</f>
        <v/>
      </c>
      <c r="TWJ19" s="28" t="str">
        <f>IFERROR(VLOOKUP(DATE($K$1,$K$2,TWJ$4),Table1[],(MATCH(Calendar!$A19,DB!$1:$1,0)),FALSE),"")</f>
        <v/>
      </c>
      <c r="TWK19" s="28" t="str">
        <f>IFERROR(VLOOKUP(DATE($K$1,$K$2,TWK$4),Table1[],(MATCH(Calendar!$A19,DB!$1:$1,0)),FALSE),"")</f>
        <v/>
      </c>
      <c r="TWL19" s="28" t="str">
        <f>IFERROR(VLOOKUP(DATE($K$1,$K$2,TWL$4),Table1[],(MATCH(Calendar!$A19,DB!$1:$1,0)),FALSE),"")</f>
        <v/>
      </c>
      <c r="TWM19" s="28" t="str">
        <f>IFERROR(VLOOKUP(DATE($K$1,$K$2,TWM$4),Table1[],(MATCH(Calendar!$A19,DB!$1:$1,0)),FALSE),"")</f>
        <v/>
      </c>
      <c r="TWN19" s="28" t="str">
        <f>IFERROR(VLOOKUP(DATE($K$1,$K$2,TWN$4),Table1[],(MATCH(Calendar!$A19,DB!$1:$1,0)),FALSE),"")</f>
        <v/>
      </c>
      <c r="TWO19" s="28" t="str">
        <f>IFERROR(VLOOKUP(DATE($K$1,$K$2,TWO$4),Table1[],(MATCH(Calendar!$A19,DB!$1:$1,0)),FALSE),"")</f>
        <v/>
      </c>
      <c r="TWP19" s="28" t="str">
        <f>IFERROR(VLOOKUP(DATE($K$1,$K$2,TWP$4),Table1[],(MATCH(Calendar!$A19,DB!$1:$1,0)),FALSE),"")</f>
        <v/>
      </c>
      <c r="TWQ19" s="28" t="str">
        <f>IFERROR(VLOOKUP(DATE($K$1,$K$2,TWQ$4),Table1[],(MATCH(Calendar!$A19,DB!$1:$1,0)),FALSE),"")</f>
        <v/>
      </c>
      <c r="TWR19" s="28" t="str">
        <f>IFERROR(VLOOKUP(DATE($K$1,$K$2,TWR$4),Table1[],(MATCH(Calendar!$A19,DB!$1:$1,0)),FALSE),"")</f>
        <v/>
      </c>
      <c r="TWS19" s="28" t="str">
        <f>IFERROR(VLOOKUP(DATE($K$1,$K$2,TWS$4),Table1[],(MATCH(Calendar!$A19,DB!$1:$1,0)),FALSE),"")</f>
        <v/>
      </c>
      <c r="TWT19" s="28" t="str">
        <f>IFERROR(VLOOKUP(DATE($K$1,$K$2,TWT$4),Table1[],(MATCH(Calendar!$A19,DB!$1:$1,0)),FALSE),"")</f>
        <v/>
      </c>
      <c r="TWU19" s="28" t="str">
        <f>IFERROR(VLOOKUP(DATE($K$1,$K$2,TWU$4),Table1[],(MATCH(Calendar!$A19,DB!$1:$1,0)),FALSE),"")</f>
        <v/>
      </c>
      <c r="TWV19" s="28" t="str">
        <f>IFERROR(VLOOKUP(DATE($K$1,$K$2,TWV$4),Table1[],(MATCH(Calendar!$A19,DB!$1:$1,0)),FALSE),"")</f>
        <v/>
      </c>
      <c r="TWW19" s="28" t="str">
        <f>IFERROR(VLOOKUP(DATE($K$1,$K$2,TWW$4),Table1[],(MATCH(Calendar!$A19,DB!$1:$1,0)),FALSE),"")</f>
        <v/>
      </c>
      <c r="TWX19" s="28" t="str">
        <f>IFERROR(VLOOKUP(DATE($K$1,$K$2,TWX$4),Table1[],(MATCH(Calendar!$A19,DB!$1:$1,0)),FALSE),"")</f>
        <v/>
      </c>
      <c r="TWY19" s="28" t="str">
        <f>IFERROR(VLOOKUP(DATE($K$1,$K$2,TWY$4),Table1[],(MATCH(Calendar!$A19,DB!$1:$1,0)),FALSE),"")</f>
        <v/>
      </c>
      <c r="TWZ19" s="28" t="str">
        <f>IFERROR(VLOOKUP(DATE($K$1,$K$2,TWZ$4),Table1[],(MATCH(Calendar!$A19,DB!$1:$1,0)),FALSE),"")</f>
        <v/>
      </c>
      <c r="TXA19" s="28" t="str">
        <f>IFERROR(VLOOKUP(DATE($K$1,$K$2,TXA$4),Table1[],(MATCH(Calendar!$A19,DB!$1:$1,0)),FALSE),"")</f>
        <v/>
      </c>
      <c r="TXB19" s="28" t="str">
        <f>IFERROR(VLOOKUP(DATE($K$1,$K$2,TXB$4),Table1[],(MATCH(Calendar!$A19,DB!$1:$1,0)),FALSE),"")</f>
        <v/>
      </c>
      <c r="TXC19" s="28" t="str">
        <f>IFERROR(VLOOKUP(DATE($K$1,$K$2,TXC$4),Table1[],(MATCH(Calendar!$A19,DB!$1:$1,0)),FALSE),"")</f>
        <v/>
      </c>
      <c r="TXD19" s="28" t="str">
        <f>IFERROR(VLOOKUP(DATE($K$1,$K$2,TXD$4),Table1[],(MATCH(Calendar!$A19,DB!$1:$1,0)),FALSE),"")</f>
        <v/>
      </c>
      <c r="TXE19" s="28" t="str">
        <f>IFERROR(VLOOKUP(DATE($K$1,$K$2,TXE$4),Table1[],(MATCH(Calendar!$A19,DB!$1:$1,0)),FALSE),"")</f>
        <v/>
      </c>
      <c r="TXF19" s="28" t="str">
        <f>IFERROR(VLOOKUP(DATE($K$1,$K$2,TXF$4),Table1[],(MATCH(Calendar!$A19,DB!$1:$1,0)),FALSE),"")</f>
        <v/>
      </c>
      <c r="TXG19" s="28" t="str">
        <f>IFERROR(VLOOKUP(DATE($K$1,$K$2,TXG$4),Table1[],(MATCH(Calendar!$A19,DB!$1:$1,0)),FALSE),"")</f>
        <v/>
      </c>
      <c r="TXH19" s="28" t="str">
        <f>IFERROR(VLOOKUP(DATE($K$1,$K$2,TXH$4),Table1[],(MATCH(Calendar!$A19,DB!$1:$1,0)),FALSE),"")</f>
        <v/>
      </c>
      <c r="TXI19" s="28" t="str">
        <f>IFERROR(VLOOKUP(DATE($K$1,$K$2,TXI$4),Table1[],(MATCH(Calendar!$A19,DB!$1:$1,0)),FALSE),"")</f>
        <v/>
      </c>
      <c r="TXJ19" s="28" t="str">
        <f>IFERROR(VLOOKUP(DATE($K$1,$K$2,TXJ$4),Table1[],(MATCH(Calendar!$A19,DB!$1:$1,0)),FALSE),"")</f>
        <v/>
      </c>
      <c r="TXK19" s="28" t="str">
        <f>IFERROR(VLOOKUP(DATE($K$1,$K$2,TXK$4),Table1[],(MATCH(Calendar!$A19,DB!$1:$1,0)),FALSE),"")</f>
        <v/>
      </c>
      <c r="TXL19" s="28" t="str">
        <f>IFERROR(VLOOKUP(DATE($K$1,$K$2,TXL$4),Table1[],(MATCH(Calendar!$A19,DB!$1:$1,0)),FALSE),"")</f>
        <v/>
      </c>
      <c r="TXM19" s="28" t="str">
        <f>IFERROR(VLOOKUP(DATE($K$1,$K$2,TXM$4),Table1[],(MATCH(Calendar!$A19,DB!$1:$1,0)),FALSE),"")</f>
        <v/>
      </c>
      <c r="TXN19" s="28" t="str">
        <f>IFERROR(VLOOKUP(DATE($K$1,$K$2,TXN$4),Table1[],(MATCH(Calendar!$A19,DB!$1:$1,0)),FALSE),"")</f>
        <v/>
      </c>
      <c r="TXO19" s="28" t="str">
        <f>IFERROR(VLOOKUP(DATE($K$1,$K$2,TXO$4),Table1[],(MATCH(Calendar!$A19,DB!$1:$1,0)),FALSE),"")</f>
        <v/>
      </c>
      <c r="TXP19" s="28" t="str">
        <f>IFERROR(VLOOKUP(DATE($K$1,$K$2,TXP$4),Table1[],(MATCH(Calendar!$A19,DB!$1:$1,0)),FALSE),"")</f>
        <v/>
      </c>
      <c r="TXQ19" s="28" t="str">
        <f>IFERROR(VLOOKUP(DATE($K$1,$K$2,TXQ$4),Table1[],(MATCH(Calendar!$A19,DB!$1:$1,0)),FALSE),"")</f>
        <v/>
      </c>
      <c r="TXR19" s="28" t="str">
        <f>IFERROR(VLOOKUP(DATE($K$1,$K$2,TXR$4),Table1[],(MATCH(Calendar!$A19,DB!$1:$1,0)),FALSE),"")</f>
        <v/>
      </c>
      <c r="TXS19" s="28" t="str">
        <f>IFERROR(VLOOKUP(DATE($K$1,$K$2,TXS$4),Table1[],(MATCH(Calendar!$A19,DB!$1:$1,0)),FALSE),"")</f>
        <v/>
      </c>
      <c r="TXT19" s="28" t="str">
        <f>IFERROR(VLOOKUP(DATE($K$1,$K$2,TXT$4),Table1[],(MATCH(Calendar!$A19,DB!$1:$1,0)),FALSE),"")</f>
        <v/>
      </c>
      <c r="TXU19" s="28" t="str">
        <f>IFERROR(VLOOKUP(DATE($K$1,$K$2,TXU$4),Table1[],(MATCH(Calendar!$A19,DB!$1:$1,0)),FALSE),"")</f>
        <v/>
      </c>
      <c r="TXV19" s="28" t="str">
        <f>IFERROR(VLOOKUP(DATE($K$1,$K$2,TXV$4),Table1[],(MATCH(Calendar!$A19,DB!$1:$1,0)),FALSE),"")</f>
        <v/>
      </c>
      <c r="TXW19" s="28" t="str">
        <f>IFERROR(VLOOKUP(DATE($K$1,$K$2,TXW$4),Table1[],(MATCH(Calendar!$A19,DB!$1:$1,0)),FALSE),"")</f>
        <v/>
      </c>
      <c r="TXX19" s="28" t="str">
        <f>IFERROR(VLOOKUP(DATE($K$1,$K$2,TXX$4),Table1[],(MATCH(Calendar!$A19,DB!$1:$1,0)),FALSE),"")</f>
        <v/>
      </c>
      <c r="TXY19" s="28" t="str">
        <f>IFERROR(VLOOKUP(DATE($K$1,$K$2,TXY$4),Table1[],(MATCH(Calendar!$A19,DB!$1:$1,0)),FALSE),"")</f>
        <v/>
      </c>
      <c r="TXZ19" s="28" t="str">
        <f>IFERROR(VLOOKUP(DATE($K$1,$K$2,TXZ$4),Table1[],(MATCH(Calendar!$A19,DB!$1:$1,0)),FALSE),"")</f>
        <v/>
      </c>
      <c r="TYA19" s="28" t="str">
        <f>IFERROR(VLOOKUP(DATE($K$1,$K$2,TYA$4),Table1[],(MATCH(Calendar!$A19,DB!$1:$1,0)),FALSE),"")</f>
        <v/>
      </c>
      <c r="TYB19" s="28" t="str">
        <f>IFERROR(VLOOKUP(DATE($K$1,$K$2,TYB$4),Table1[],(MATCH(Calendar!$A19,DB!$1:$1,0)),FALSE),"")</f>
        <v/>
      </c>
      <c r="TYC19" s="28" t="str">
        <f>IFERROR(VLOOKUP(DATE($K$1,$K$2,TYC$4),Table1[],(MATCH(Calendar!$A19,DB!$1:$1,0)),FALSE),"")</f>
        <v/>
      </c>
      <c r="TYD19" s="28" t="str">
        <f>IFERROR(VLOOKUP(DATE($K$1,$K$2,TYD$4),Table1[],(MATCH(Calendar!$A19,DB!$1:$1,0)),FALSE),"")</f>
        <v/>
      </c>
      <c r="TYE19" s="28" t="str">
        <f>IFERROR(VLOOKUP(DATE($K$1,$K$2,TYE$4),Table1[],(MATCH(Calendar!$A19,DB!$1:$1,0)),FALSE),"")</f>
        <v/>
      </c>
      <c r="TYF19" s="28" t="str">
        <f>IFERROR(VLOOKUP(DATE($K$1,$K$2,TYF$4),Table1[],(MATCH(Calendar!$A19,DB!$1:$1,0)),FALSE),"")</f>
        <v/>
      </c>
      <c r="TYG19" s="28" t="str">
        <f>IFERROR(VLOOKUP(DATE($K$1,$K$2,TYG$4),Table1[],(MATCH(Calendar!$A19,DB!$1:$1,0)),FALSE),"")</f>
        <v/>
      </c>
      <c r="TYH19" s="28" t="str">
        <f>IFERROR(VLOOKUP(DATE($K$1,$K$2,TYH$4),Table1[],(MATCH(Calendar!$A19,DB!$1:$1,0)),FALSE),"")</f>
        <v/>
      </c>
      <c r="TYI19" s="28" t="str">
        <f>IFERROR(VLOOKUP(DATE($K$1,$K$2,TYI$4),Table1[],(MATCH(Calendar!$A19,DB!$1:$1,0)),FALSE),"")</f>
        <v/>
      </c>
      <c r="TYJ19" s="28" t="str">
        <f>IFERROR(VLOOKUP(DATE($K$1,$K$2,TYJ$4),Table1[],(MATCH(Calendar!$A19,DB!$1:$1,0)),FALSE),"")</f>
        <v/>
      </c>
      <c r="TYK19" s="28" t="str">
        <f>IFERROR(VLOOKUP(DATE($K$1,$K$2,TYK$4),Table1[],(MATCH(Calendar!$A19,DB!$1:$1,0)),FALSE),"")</f>
        <v/>
      </c>
      <c r="TYL19" s="28" t="str">
        <f>IFERROR(VLOOKUP(DATE($K$1,$K$2,TYL$4),Table1[],(MATCH(Calendar!$A19,DB!$1:$1,0)),FALSE),"")</f>
        <v/>
      </c>
      <c r="TYM19" s="28" t="str">
        <f>IFERROR(VLOOKUP(DATE($K$1,$K$2,TYM$4),Table1[],(MATCH(Calendar!$A19,DB!$1:$1,0)),FALSE),"")</f>
        <v/>
      </c>
      <c r="TYN19" s="28" t="str">
        <f>IFERROR(VLOOKUP(DATE($K$1,$K$2,TYN$4),Table1[],(MATCH(Calendar!$A19,DB!$1:$1,0)),FALSE),"")</f>
        <v/>
      </c>
      <c r="TYO19" s="28" t="str">
        <f>IFERROR(VLOOKUP(DATE($K$1,$K$2,TYO$4),Table1[],(MATCH(Calendar!$A19,DB!$1:$1,0)),FALSE),"")</f>
        <v/>
      </c>
      <c r="TYP19" s="28" t="str">
        <f>IFERROR(VLOOKUP(DATE($K$1,$K$2,TYP$4),Table1[],(MATCH(Calendar!$A19,DB!$1:$1,0)),FALSE),"")</f>
        <v/>
      </c>
      <c r="TYQ19" s="28" t="str">
        <f>IFERROR(VLOOKUP(DATE($K$1,$K$2,TYQ$4),Table1[],(MATCH(Calendar!$A19,DB!$1:$1,0)),FALSE),"")</f>
        <v/>
      </c>
      <c r="TYR19" s="28" t="str">
        <f>IFERROR(VLOOKUP(DATE($K$1,$K$2,TYR$4),Table1[],(MATCH(Calendar!$A19,DB!$1:$1,0)),FALSE),"")</f>
        <v/>
      </c>
      <c r="TYS19" s="28" t="str">
        <f>IFERROR(VLOOKUP(DATE($K$1,$K$2,TYS$4),Table1[],(MATCH(Calendar!$A19,DB!$1:$1,0)),FALSE),"")</f>
        <v/>
      </c>
      <c r="TYT19" s="28" t="str">
        <f>IFERROR(VLOOKUP(DATE($K$1,$K$2,TYT$4),Table1[],(MATCH(Calendar!$A19,DB!$1:$1,0)),FALSE),"")</f>
        <v/>
      </c>
      <c r="TYU19" s="28" t="str">
        <f>IFERROR(VLOOKUP(DATE($K$1,$K$2,TYU$4),Table1[],(MATCH(Calendar!$A19,DB!$1:$1,0)),FALSE),"")</f>
        <v/>
      </c>
      <c r="TYV19" s="28" t="str">
        <f>IFERROR(VLOOKUP(DATE($K$1,$K$2,TYV$4),Table1[],(MATCH(Calendar!$A19,DB!$1:$1,0)),FALSE),"")</f>
        <v/>
      </c>
      <c r="TYW19" s="28" t="str">
        <f>IFERROR(VLOOKUP(DATE($K$1,$K$2,TYW$4),Table1[],(MATCH(Calendar!$A19,DB!$1:$1,0)),FALSE),"")</f>
        <v/>
      </c>
      <c r="TYX19" s="28" t="str">
        <f>IFERROR(VLOOKUP(DATE($K$1,$K$2,TYX$4),Table1[],(MATCH(Calendar!$A19,DB!$1:$1,0)),FALSE),"")</f>
        <v/>
      </c>
      <c r="TYY19" s="28" t="str">
        <f>IFERROR(VLOOKUP(DATE($K$1,$K$2,TYY$4),Table1[],(MATCH(Calendar!$A19,DB!$1:$1,0)),FALSE),"")</f>
        <v/>
      </c>
      <c r="TYZ19" s="28" t="str">
        <f>IFERROR(VLOOKUP(DATE($K$1,$K$2,TYZ$4),Table1[],(MATCH(Calendar!$A19,DB!$1:$1,0)),FALSE),"")</f>
        <v/>
      </c>
      <c r="TZA19" s="28" t="str">
        <f>IFERROR(VLOOKUP(DATE($K$1,$K$2,TZA$4),Table1[],(MATCH(Calendar!$A19,DB!$1:$1,0)),FALSE),"")</f>
        <v/>
      </c>
      <c r="TZB19" s="28" t="str">
        <f>IFERROR(VLOOKUP(DATE($K$1,$K$2,TZB$4),Table1[],(MATCH(Calendar!$A19,DB!$1:$1,0)),FALSE),"")</f>
        <v/>
      </c>
      <c r="TZC19" s="28" t="str">
        <f>IFERROR(VLOOKUP(DATE($K$1,$K$2,TZC$4),Table1[],(MATCH(Calendar!$A19,DB!$1:$1,0)),FALSE),"")</f>
        <v/>
      </c>
      <c r="TZD19" s="28" t="str">
        <f>IFERROR(VLOOKUP(DATE($K$1,$K$2,TZD$4),Table1[],(MATCH(Calendar!$A19,DB!$1:$1,0)),FALSE),"")</f>
        <v/>
      </c>
      <c r="TZE19" s="28" t="str">
        <f>IFERROR(VLOOKUP(DATE($K$1,$K$2,TZE$4),Table1[],(MATCH(Calendar!$A19,DB!$1:$1,0)),FALSE),"")</f>
        <v/>
      </c>
      <c r="TZF19" s="28" t="str">
        <f>IFERROR(VLOOKUP(DATE($K$1,$K$2,TZF$4),Table1[],(MATCH(Calendar!$A19,DB!$1:$1,0)),FALSE),"")</f>
        <v/>
      </c>
      <c r="TZG19" s="28" t="str">
        <f>IFERROR(VLOOKUP(DATE($K$1,$K$2,TZG$4),Table1[],(MATCH(Calendar!$A19,DB!$1:$1,0)),FALSE),"")</f>
        <v/>
      </c>
      <c r="TZH19" s="28" t="str">
        <f>IFERROR(VLOOKUP(DATE($K$1,$K$2,TZH$4),Table1[],(MATCH(Calendar!$A19,DB!$1:$1,0)),FALSE),"")</f>
        <v/>
      </c>
      <c r="TZI19" s="28" t="str">
        <f>IFERROR(VLOOKUP(DATE($K$1,$K$2,TZI$4),Table1[],(MATCH(Calendar!$A19,DB!$1:$1,0)),FALSE),"")</f>
        <v/>
      </c>
      <c r="TZJ19" s="28" t="str">
        <f>IFERROR(VLOOKUP(DATE($K$1,$K$2,TZJ$4),Table1[],(MATCH(Calendar!$A19,DB!$1:$1,0)),FALSE),"")</f>
        <v/>
      </c>
      <c r="TZK19" s="28" t="str">
        <f>IFERROR(VLOOKUP(DATE($K$1,$K$2,TZK$4),Table1[],(MATCH(Calendar!$A19,DB!$1:$1,0)),FALSE),"")</f>
        <v/>
      </c>
      <c r="TZL19" s="28" t="str">
        <f>IFERROR(VLOOKUP(DATE($K$1,$K$2,TZL$4),Table1[],(MATCH(Calendar!$A19,DB!$1:$1,0)),FALSE),"")</f>
        <v/>
      </c>
      <c r="TZM19" s="28" t="str">
        <f>IFERROR(VLOOKUP(DATE($K$1,$K$2,TZM$4),Table1[],(MATCH(Calendar!$A19,DB!$1:$1,0)),FALSE),"")</f>
        <v/>
      </c>
      <c r="TZN19" s="28" t="str">
        <f>IFERROR(VLOOKUP(DATE($K$1,$K$2,TZN$4),Table1[],(MATCH(Calendar!$A19,DB!$1:$1,0)),FALSE),"")</f>
        <v/>
      </c>
      <c r="TZO19" s="28" t="str">
        <f>IFERROR(VLOOKUP(DATE($K$1,$K$2,TZO$4),Table1[],(MATCH(Calendar!$A19,DB!$1:$1,0)),FALSE),"")</f>
        <v/>
      </c>
      <c r="TZP19" s="28" t="str">
        <f>IFERROR(VLOOKUP(DATE($K$1,$K$2,TZP$4),Table1[],(MATCH(Calendar!$A19,DB!$1:$1,0)),FALSE),"")</f>
        <v/>
      </c>
      <c r="TZQ19" s="28" t="str">
        <f>IFERROR(VLOOKUP(DATE($K$1,$K$2,TZQ$4),Table1[],(MATCH(Calendar!$A19,DB!$1:$1,0)),FALSE),"")</f>
        <v/>
      </c>
      <c r="TZR19" s="28" t="str">
        <f>IFERROR(VLOOKUP(DATE($K$1,$K$2,TZR$4),Table1[],(MATCH(Calendar!$A19,DB!$1:$1,0)),FALSE),"")</f>
        <v/>
      </c>
      <c r="TZS19" s="28" t="str">
        <f>IFERROR(VLOOKUP(DATE($K$1,$K$2,TZS$4),Table1[],(MATCH(Calendar!$A19,DB!$1:$1,0)),FALSE),"")</f>
        <v/>
      </c>
      <c r="TZT19" s="28" t="str">
        <f>IFERROR(VLOOKUP(DATE($K$1,$K$2,TZT$4),Table1[],(MATCH(Calendar!$A19,DB!$1:$1,0)),FALSE),"")</f>
        <v/>
      </c>
      <c r="TZU19" s="28" t="str">
        <f>IFERROR(VLOOKUP(DATE($K$1,$K$2,TZU$4),Table1[],(MATCH(Calendar!$A19,DB!$1:$1,0)),FALSE),"")</f>
        <v/>
      </c>
      <c r="TZV19" s="28" t="str">
        <f>IFERROR(VLOOKUP(DATE($K$1,$K$2,TZV$4),Table1[],(MATCH(Calendar!$A19,DB!$1:$1,0)),FALSE),"")</f>
        <v/>
      </c>
      <c r="TZW19" s="28" t="str">
        <f>IFERROR(VLOOKUP(DATE($K$1,$K$2,TZW$4),Table1[],(MATCH(Calendar!$A19,DB!$1:$1,0)),FALSE),"")</f>
        <v/>
      </c>
      <c r="TZX19" s="28" t="str">
        <f>IFERROR(VLOOKUP(DATE($K$1,$K$2,TZX$4),Table1[],(MATCH(Calendar!$A19,DB!$1:$1,0)),FALSE),"")</f>
        <v/>
      </c>
      <c r="TZY19" s="28" t="str">
        <f>IFERROR(VLOOKUP(DATE($K$1,$K$2,TZY$4),Table1[],(MATCH(Calendar!$A19,DB!$1:$1,0)),FALSE),"")</f>
        <v/>
      </c>
      <c r="TZZ19" s="28" t="str">
        <f>IFERROR(VLOOKUP(DATE($K$1,$K$2,TZZ$4),Table1[],(MATCH(Calendar!$A19,DB!$1:$1,0)),FALSE),"")</f>
        <v/>
      </c>
      <c r="UAA19" s="28" t="str">
        <f>IFERROR(VLOOKUP(DATE($K$1,$K$2,UAA$4),Table1[],(MATCH(Calendar!$A19,DB!$1:$1,0)),FALSE),"")</f>
        <v/>
      </c>
      <c r="UAB19" s="28" t="str">
        <f>IFERROR(VLOOKUP(DATE($K$1,$K$2,UAB$4),Table1[],(MATCH(Calendar!$A19,DB!$1:$1,0)),FALSE),"")</f>
        <v/>
      </c>
      <c r="UAC19" s="28" t="str">
        <f>IFERROR(VLOOKUP(DATE($K$1,$K$2,UAC$4),Table1[],(MATCH(Calendar!$A19,DB!$1:$1,0)),FALSE),"")</f>
        <v/>
      </c>
      <c r="UAD19" s="28" t="str">
        <f>IFERROR(VLOOKUP(DATE($K$1,$K$2,UAD$4),Table1[],(MATCH(Calendar!$A19,DB!$1:$1,0)),FALSE),"")</f>
        <v/>
      </c>
      <c r="UAE19" s="28" t="str">
        <f>IFERROR(VLOOKUP(DATE($K$1,$K$2,UAE$4),Table1[],(MATCH(Calendar!$A19,DB!$1:$1,0)),FALSE),"")</f>
        <v/>
      </c>
      <c r="UAF19" s="28" t="str">
        <f>IFERROR(VLOOKUP(DATE($K$1,$K$2,UAF$4),Table1[],(MATCH(Calendar!$A19,DB!$1:$1,0)),FALSE),"")</f>
        <v/>
      </c>
      <c r="UAG19" s="28" t="str">
        <f>IFERROR(VLOOKUP(DATE($K$1,$K$2,UAG$4),Table1[],(MATCH(Calendar!$A19,DB!$1:$1,0)),FALSE),"")</f>
        <v/>
      </c>
      <c r="UAH19" s="28" t="str">
        <f>IFERROR(VLOOKUP(DATE($K$1,$K$2,UAH$4),Table1[],(MATCH(Calendar!$A19,DB!$1:$1,0)),FALSE),"")</f>
        <v/>
      </c>
      <c r="UAI19" s="28" t="str">
        <f>IFERROR(VLOOKUP(DATE($K$1,$K$2,UAI$4),Table1[],(MATCH(Calendar!$A19,DB!$1:$1,0)),FALSE),"")</f>
        <v/>
      </c>
      <c r="UAJ19" s="28" t="str">
        <f>IFERROR(VLOOKUP(DATE($K$1,$K$2,UAJ$4),Table1[],(MATCH(Calendar!$A19,DB!$1:$1,0)),FALSE),"")</f>
        <v/>
      </c>
      <c r="UAK19" s="28" t="str">
        <f>IFERROR(VLOOKUP(DATE($K$1,$K$2,UAK$4),Table1[],(MATCH(Calendar!$A19,DB!$1:$1,0)),FALSE),"")</f>
        <v/>
      </c>
      <c r="UAL19" s="28" t="str">
        <f>IFERROR(VLOOKUP(DATE($K$1,$K$2,UAL$4),Table1[],(MATCH(Calendar!$A19,DB!$1:$1,0)),FALSE),"")</f>
        <v/>
      </c>
      <c r="UAM19" s="28" t="str">
        <f>IFERROR(VLOOKUP(DATE($K$1,$K$2,UAM$4),Table1[],(MATCH(Calendar!$A19,DB!$1:$1,0)),FALSE),"")</f>
        <v/>
      </c>
      <c r="UAN19" s="28" t="str">
        <f>IFERROR(VLOOKUP(DATE($K$1,$K$2,UAN$4),Table1[],(MATCH(Calendar!$A19,DB!$1:$1,0)),FALSE),"")</f>
        <v/>
      </c>
      <c r="UAO19" s="28" t="str">
        <f>IFERROR(VLOOKUP(DATE($K$1,$K$2,UAO$4),Table1[],(MATCH(Calendar!$A19,DB!$1:$1,0)),FALSE),"")</f>
        <v/>
      </c>
      <c r="UAP19" s="28" t="str">
        <f>IFERROR(VLOOKUP(DATE($K$1,$K$2,UAP$4),Table1[],(MATCH(Calendar!$A19,DB!$1:$1,0)),FALSE),"")</f>
        <v/>
      </c>
      <c r="UAQ19" s="28" t="str">
        <f>IFERROR(VLOOKUP(DATE($K$1,$K$2,UAQ$4),Table1[],(MATCH(Calendar!$A19,DB!$1:$1,0)),FALSE),"")</f>
        <v/>
      </c>
      <c r="UAR19" s="28" t="str">
        <f>IFERROR(VLOOKUP(DATE($K$1,$K$2,UAR$4),Table1[],(MATCH(Calendar!$A19,DB!$1:$1,0)),FALSE),"")</f>
        <v/>
      </c>
      <c r="UAS19" s="28" t="str">
        <f>IFERROR(VLOOKUP(DATE($K$1,$K$2,UAS$4),Table1[],(MATCH(Calendar!$A19,DB!$1:$1,0)),FALSE),"")</f>
        <v/>
      </c>
      <c r="UAT19" s="28" t="str">
        <f>IFERROR(VLOOKUP(DATE($K$1,$K$2,UAT$4),Table1[],(MATCH(Calendar!$A19,DB!$1:$1,0)),FALSE),"")</f>
        <v/>
      </c>
      <c r="UAU19" s="28" t="str">
        <f>IFERROR(VLOOKUP(DATE($K$1,$K$2,UAU$4),Table1[],(MATCH(Calendar!$A19,DB!$1:$1,0)),FALSE),"")</f>
        <v/>
      </c>
      <c r="UAV19" s="28" t="str">
        <f>IFERROR(VLOOKUP(DATE($K$1,$K$2,UAV$4),Table1[],(MATCH(Calendar!$A19,DB!$1:$1,0)),FALSE),"")</f>
        <v/>
      </c>
      <c r="UAW19" s="28" t="str">
        <f>IFERROR(VLOOKUP(DATE($K$1,$K$2,UAW$4),Table1[],(MATCH(Calendar!$A19,DB!$1:$1,0)),FALSE),"")</f>
        <v/>
      </c>
      <c r="UAX19" s="28" t="str">
        <f>IFERROR(VLOOKUP(DATE($K$1,$K$2,UAX$4),Table1[],(MATCH(Calendar!$A19,DB!$1:$1,0)),FALSE),"")</f>
        <v/>
      </c>
      <c r="UAY19" s="28" t="str">
        <f>IFERROR(VLOOKUP(DATE($K$1,$K$2,UAY$4),Table1[],(MATCH(Calendar!$A19,DB!$1:$1,0)),FALSE),"")</f>
        <v/>
      </c>
      <c r="UAZ19" s="28" t="str">
        <f>IFERROR(VLOOKUP(DATE($K$1,$K$2,UAZ$4),Table1[],(MATCH(Calendar!$A19,DB!$1:$1,0)),FALSE),"")</f>
        <v/>
      </c>
      <c r="UBA19" s="28" t="str">
        <f>IFERROR(VLOOKUP(DATE($K$1,$K$2,UBA$4),Table1[],(MATCH(Calendar!$A19,DB!$1:$1,0)),FALSE),"")</f>
        <v/>
      </c>
      <c r="UBB19" s="28" t="str">
        <f>IFERROR(VLOOKUP(DATE($K$1,$K$2,UBB$4),Table1[],(MATCH(Calendar!$A19,DB!$1:$1,0)),FALSE),"")</f>
        <v/>
      </c>
      <c r="UBC19" s="28" t="str">
        <f>IFERROR(VLOOKUP(DATE($K$1,$K$2,UBC$4),Table1[],(MATCH(Calendar!$A19,DB!$1:$1,0)),FALSE),"")</f>
        <v/>
      </c>
      <c r="UBD19" s="28" t="str">
        <f>IFERROR(VLOOKUP(DATE($K$1,$K$2,UBD$4),Table1[],(MATCH(Calendar!$A19,DB!$1:$1,0)),FALSE),"")</f>
        <v/>
      </c>
      <c r="UBE19" s="28" t="str">
        <f>IFERROR(VLOOKUP(DATE($K$1,$K$2,UBE$4),Table1[],(MATCH(Calendar!$A19,DB!$1:$1,0)),FALSE),"")</f>
        <v/>
      </c>
      <c r="UBF19" s="28" t="str">
        <f>IFERROR(VLOOKUP(DATE($K$1,$K$2,UBF$4),Table1[],(MATCH(Calendar!$A19,DB!$1:$1,0)),FALSE),"")</f>
        <v/>
      </c>
      <c r="UBG19" s="28" t="str">
        <f>IFERROR(VLOOKUP(DATE($K$1,$K$2,UBG$4),Table1[],(MATCH(Calendar!$A19,DB!$1:$1,0)),FALSE),"")</f>
        <v/>
      </c>
      <c r="UBH19" s="28" t="str">
        <f>IFERROR(VLOOKUP(DATE($K$1,$K$2,UBH$4),Table1[],(MATCH(Calendar!$A19,DB!$1:$1,0)),FALSE),"")</f>
        <v/>
      </c>
      <c r="UBI19" s="28" t="str">
        <f>IFERROR(VLOOKUP(DATE($K$1,$K$2,UBI$4),Table1[],(MATCH(Calendar!$A19,DB!$1:$1,0)),FALSE),"")</f>
        <v/>
      </c>
      <c r="UBJ19" s="28" t="str">
        <f>IFERROR(VLOOKUP(DATE($K$1,$K$2,UBJ$4),Table1[],(MATCH(Calendar!$A19,DB!$1:$1,0)),FALSE),"")</f>
        <v/>
      </c>
      <c r="UBK19" s="28" t="str">
        <f>IFERROR(VLOOKUP(DATE($K$1,$K$2,UBK$4),Table1[],(MATCH(Calendar!$A19,DB!$1:$1,0)),FALSE),"")</f>
        <v/>
      </c>
      <c r="UBL19" s="28" t="str">
        <f>IFERROR(VLOOKUP(DATE($K$1,$K$2,UBL$4),Table1[],(MATCH(Calendar!$A19,DB!$1:$1,0)),FALSE),"")</f>
        <v/>
      </c>
      <c r="UBM19" s="28" t="str">
        <f>IFERROR(VLOOKUP(DATE($K$1,$K$2,UBM$4),Table1[],(MATCH(Calendar!$A19,DB!$1:$1,0)),FALSE),"")</f>
        <v/>
      </c>
      <c r="UBN19" s="28" t="str">
        <f>IFERROR(VLOOKUP(DATE($K$1,$K$2,UBN$4),Table1[],(MATCH(Calendar!$A19,DB!$1:$1,0)),FALSE),"")</f>
        <v/>
      </c>
      <c r="UBO19" s="28" t="str">
        <f>IFERROR(VLOOKUP(DATE($K$1,$K$2,UBO$4),Table1[],(MATCH(Calendar!$A19,DB!$1:$1,0)),FALSE),"")</f>
        <v/>
      </c>
      <c r="UBP19" s="28" t="str">
        <f>IFERROR(VLOOKUP(DATE($K$1,$K$2,UBP$4),Table1[],(MATCH(Calendar!$A19,DB!$1:$1,0)),FALSE),"")</f>
        <v/>
      </c>
      <c r="UBQ19" s="28" t="str">
        <f>IFERROR(VLOOKUP(DATE($K$1,$K$2,UBQ$4),Table1[],(MATCH(Calendar!$A19,DB!$1:$1,0)),FALSE),"")</f>
        <v/>
      </c>
      <c r="UBR19" s="28" t="str">
        <f>IFERROR(VLOOKUP(DATE($K$1,$K$2,UBR$4),Table1[],(MATCH(Calendar!$A19,DB!$1:$1,0)),FALSE),"")</f>
        <v/>
      </c>
      <c r="UBS19" s="28" t="str">
        <f>IFERROR(VLOOKUP(DATE($K$1,$K$2,UBS$4),Table1[],(MATCH(Calendar!$A19,DB!$1:$1,0)),FALSE),"")</f>
        <v/>
      </c>
      <c r="UBT19" s="28" t="str">
        <f>IFERROR(VLOOKUP(DATE($K$1,$K$2,UBT$4),Table1[],(MATCH(Calendar!$A19,DB!$1:$1,0)),FALSE),"")</f>
        <v/>
      </c>
      <c r="UBU19" s="28" t="str">
        <f>IFERROR(VLOOKUP(DATE($K$1,$K$2,UBU$4),Table1[],(MATCH(Calendar!$A19,DB!$1:$1,0)),FALSE),"")</f>
        <v/>
      </c>
      <c r="UBV19" s="28" t="str">
        <f>IFERROR(VLOOKUP(DATE($K$1,$K$2,UBV$4),Table1[],(MATCH(Calendar!$A19,DB!$1:$1,0)),FALSE),"")</f>
        <v/>
      </c>
      <c r="UBW19" s="28" t="str">
        <f>IFERROR(VLOOKUP(DATE($K$1,$K$2,UBW$4),Table1[],(MATCH(Calendar!$A19,DB!$1:$1,0)),FALSE),"")</f>
        <v/>
      </c>
      <c r="UBX19" s="28" t="str">
        <f>IFERROR(VLOOKUP(DATE($K$1,$K$2,UBX$4),Table1[],(MATCH(Calendar!$A19,DB!$1:$1,0)),FALSE),"")</f>
        <v/>
      </c>
      <c r="UBY19" s="28" t="str">
        <f>IFERROR(VLOOKUP(DATE($K$1,$K$2,UBY$4),Table1[],(MATCH(Calendar!$A19,DB!$1:$1,0)),FALSE),"")</f>
        <v/>
      </c>
      <c r="UBZ19" s="28" t="str">
        <f>IFERROR(VLOOKUP(DATE($K$1,$K$2,UBZ$4),Table1[],(MATCH(Calendar!$A19,DB!$1:$1,0)),FALSE),"")</f>
        <v/>
      </c>
      <c r="UCA19" s="28" t="str">
        <f>IFERROR(VLOOKUP(DATE($K$1,$K$2,UCA$4),Table1[],(MATCH(Calendar!$A19,DB!$1:$1,0)),FALSE),"")</f>
        <v/>
      </c>
      <c r="UCB19" s="28" t="str">
        <f>IFERROR(VLOOKUP(DATE($K$1,$K$2,UCB$4),Table1[],(MATCH(Calendar!$A19,DB!$1:$1,0)),FALSE),"")</f>
        <v/>
      </c>
      <c r="UCC19" s="28" t="str">
        <f>IFERROR(VLOOKUP(DATE($K$1,$K$2,UCC$4),Table1[],(MATCH(Calendar!$A19,DB!$1:$1,0)),FALSE),"")</f>
        <v/>
      </c>
      <c r="UCD19" s="28" t="str">
        <f>IFERROR(VLOOKUP(DATE($K$1,$K$2,UCD$4),Table1[],(MATCH(Calendar!$A19,DB!$1:$1,0)),FALSE),"")</f>
        <v/>
      </c>
      <c r="UCE19" s="28" t="str">
        <f>IFERROR(VLOOKUP(DATE($K$1,$K$2,UCE$4),Table1[],(MATCH(Calendar!$A19,DB!$1:$1,0)),FALSE),"")</f>
        <v/>
      </c>
      <c r="UCF19" s="28" t="str">
        <f>IFERROR(VLOOKUP(DATE($K$1,$K$2,UCF$4),Table1[],(MATCH(Calendar!$A19,DB!$1:$1,0)),FALSE),"")</f>
        <v/>
      </c>
      <c r="UCG19" s="28" t="str">
        <f>IFERROR(VLOOKUP(DATE($K$1,$K$2,UCG$4),Table1[],(MATCH(Calendar!$A19,DB!$1:$1,0)),FALSE),"")</f>
        <v/>
      </c>
      <c r="UCH19" s="28" t="str">
        <f>IFERROR(VLOOKUP(DATE($K$1,$K$2,UCH$4),Table1[],(MATCH(Calendar!$A19,DB!$1:$1,0)),FALSE),"")</f>
        <v/>
      </c>
      <c r="UCI19" s="28" t="str">
        <f>IFERROR(VLOOKUP(DATE($K$1,$K$2,UCI$4),Table1[],(MATCH(Calendar!$A19,DB!$1:$1,0)),FALSE),"")</f>
        <v/>
      </c>
      <c r="UCJ19" s="28" t="str">
        <f>IFERROR(VLOOKUP(DATE($K$1,$K$2,UCJ$4),Table1[],(MATCH(Calendar!$A19,DB!$1:$1,0)),FALSE),"")</f>
        <v/>
      </c>
      <c r="UCK19" s="28" t="str">
        <f>IFERROR(VLOOKUP(DATE($K$1,$K$2,UCK$4),Table1[],(MATCH(Calendar!$A19,DB!$1:$1,0)),FALSE),"")</f>
        <v/>
      </c>
      <c r="UCL19" s="28" t="str">
        <f>IFERROR(VLOOKUP(DATE($K$1,$K$2,UCL$4),Table1[],(MATCH(Calendar!$A19,DB!$1:$1,0)),FALSE),"")</f>
        <v/>
      </c>
      <c r="UCM19" s="28" t="str">
        <f>IFERROR(VLOOKUP(DATE($K$1,$K$2,UCM$4),Table1[],(MATCH(Calendar!$A19,DB!$1:$1,0)),FALSE),"")</f>
        <v/>
      </c>
      <c r="UCN19" s="28" t="str">
        <f>IFERROR(VLOOKUP(DATE($K$1,$K$2,UCN$4),Table1[],(MATCH(Calendar!$A19,DB!$1:$1,0)),FALSE),"")</f>
        <v/>
      </c>
      <c r="UCO19" s="28" t="str">
        <f>IFERROR(VLOOKUP(DATE($K$1,$K$2,UCO$4),Table1[],(MATCH(Calendar!$A19,DB!$1:$1,0)),FALSE),"")</f>
        <v/>
      </c>
      <c r="UCP19" s="28" t="str">
        <f>IFERROR(VLOOKUP(DATE($K$1,$K$2,UCP$4),Table1[],(MATCH(Calendar!$A19,DB!$1:$1,0)),FALSE),"")</f>
        <v/>
      </c>
      <c r="UCQ19" s="28" t="str">
        <f>IFERROR(VLOOKUP(DATE($K$1,$K$2,UCQ$4),Table1[],(MATCH(Calendar!$A19,DB!$1:$1,0)),FALSE),"")</f>
        <v/>
      </c>
      <c r="UCR19" s="28" t="str">
        <f>IFERROR(VLOOKUP(DATE($K$1,$K$2,UCR$4),Table1[],(MATCH(Calendar!$A19,DB!$1:$1,0)),FALSE),"")</f>
        <v/>
      </c>
      <c r="UCS19" s="28" t="str">
        <f>IFERROR(VLOOKUP(DATE($K$1,$K$2,UCS$4),Table1[],(MATCH(Calendar!$A19,DB!$1:$1,0)),FALSE),"")</f>
        <v/>
      </c>
      <c r="UCT19" s="28" t="str">
        <f>IFERROR(VLOOKUP(DATE($K$1,$K$2,UCT$4),Table1[],(MATCH(Calendar!$A19,DB!$1:$1,0)),FALSE),"")</f>
        <v/>
      </c>
      <c r="UCU19" s="28" t="str">
        <f>IFERROR(VLOOKUP(DATE($K$1,$K$2,UCU$4),Table1[],(MATCH(Calendar!$A19,DB!$1:$1,0)),FALSE),"")</f>
        <v/>
      </c>
      <c r="UCV19" s="28" t="str">
        <f>IFERROR(VLOOKUP(DATE($K$1,$K$2,UCV$4),Table1[],(MATCH(Calendar!$A19,DB!$1:$1,0)),FALSE),"")</f>
        <v/>
      </c>
      <c r="UCW19" s="28" t="str">
        <f>IFERROR(VLOOKUP(DATE($K$1,$K$2,UCW$4),Table1[],(MATCH(Calendar!$A19,DB!$1:$1,0)),FALSE),"")</f>
        <v/>
      </c>
      <c r="UCX19" s="28" t="str">
        <f>IFERROR(VLOOKUP(DATE($K$1,$K$2,UCX$4),Table1[],(MATCH(Calendar!$A19,DB!$1:$1,0)),FALSE),"")</f>
        <v/>
      </c>
      <c r="UCY19" s="28" t="str">
        <f>IFERROR(VLOOKUP(DATE($K$1,$K$2,UCY$4),Table1[],(MATCH(Calendar!$A19,DB!$1:$1,0)),FALSE),"")</f>
        <v/>
      </c>
      <c r="UCZ19" s="28" t="str">
        <f>IFERROR(VLOOKUP(DATE($K$1,$K$2,UCZ$4),Table1[],(MATCH(Calendar!$A19,DB!$1:$1,0)),FALSE),"")</f>
        <v/>
      </c>
      <c r="UDA19" s="28" t="str">
        <f>IFERROR(VLOOKUP(DATE($K$1,$K$2,UDA$4),Table1[],(MATCH(Calendar!$A19,DB!$1:$1,0)),FALSE),"")</f>
        <v/>
      </c>
      <c r="UDB19" s="28" t="str">
        <f>IFERROR(VLOOKUP(DATE($K$1,$K$2,UDB$4),Table1[],(MATCH(Calendar!$A19,DB!$1:$1,0)),FALSE),"")</f>
        <v/>
      </c>
      <c r="UDC19" s="28" t="str">
        <f>IFERROR(VLOOKUP(DATE($K$1,$K$2,UDC$4),Table1[],(MATCH(Calendar!$A19,DB!$1:$1,0)),FALSE),"")</f>
        <v/>
      </c>
      <c r="UDD19" s="28" t="str">
        <f>IFERROR(VLOOKUP(DATE($K$1,$K$2,UDD$4),Table1[],(MATCH(Calendar!$A19,DB!$1:$1,0)),FALSE),"")</f>
        <v/>
      </c>
      <c r="UDE19" s="28" t="str">
        <f>IFERROR(VLOOKUP(DATE($K$1,$K$2,UDE$4),Table1[],(MATCH(Calendar!$A19,DB!$1:$1,0)),FALSE),"")</f>
        <v/>
      </c>
      <c r="UDF19" s="28" t="str">
        <f>IFERROR(VLOOKUP(DATE($K$1,$K$2,UDF$4),Table1[],(MATCH(Calendar!$A19,DB!$1:$1,0)),FALSE),"")</f>
        <v/>
      </c>
      <c r="UDG19" s="28" t="str">
        <f>IFERROR(VLOOKUP(DATE($K$1,$K$2,UDG$4),Table1[],(MATCH(Calendar!$A19,DB!$1:$1,0)),FALSE),"")</f>
        <v/>
      </c>
      <c r="UDH19" s="28" t="str">
        <f>IFERROR(VLOOKUP(DATE($K$1,$K$2,UDH$4),Table1[],(MATCH(Calendar!$A19,DB!$1:$1,0)),FALSE),"")</f>
        <v/>
      </c>
      <c r="UDI19" s="28" t="str">
        <f>IFERROR(VLOOKUP(DATE($K$1,$K$2,UDI$4),Table1[],(MATCH(Calendar!$A19,DB!$1:$1,0)),FALSE),"")</f>
        <v/>
      </c>
      <c r="UDJ19" s="28" t="str">
        <f>IFERROR(VLOOKUP(DATE($K$1,$K$2,UDJ$4),Table1[],(MATCH(Calendar!$A19,DB!$1:$1,0)),FALSE),"")</f>
        <v/>
      </c>
      <c r="UDK19" s="28" t="str">
        <f>IFERROR(VLOOKUP(DATE($K$1,$K$2,UDK$4),Table1[],(MATCH(Calendar!$A19,DB!$1:$1,0)),FALSE),"")</f>
        <v/>
      </c>
      <c r="UDL19" s="28" t="str">
        <f>IFERROR(VLOOKUP(DATE($K$1,$K$2,UDL$4),Table1[],(MATCH(Calendar!$A19,DB!$1:$1,0)),FALSE),"")</f>
        <v/>
      </c>
      <c r="UDM19" s="28" t="str">
        <f>IFERROR(VLOOKUP(DATE($K$1,$K$2,UDM$4),Table1[],(MATCH(Calendar!$A19,DB!$1:$1,0)),FALSE),"")</f>
        <v/>
      </c>
      <c r="UDN19" s="28" t="str">
        <f>IFERROR(VLOOKUP(DATE($K$1,$K$2,UDN$4),Table1[],(MATCH(Calendar!$A19,DB!$1:$1,0)),FALSE),"")</f>
        <v/>
      </c>
      <c r="UDO19" s="28" t="str">
        <f>IFERROR(VLOOKUP(DATE($K$1,$K$2,UDO$4),Table1[],(MATCH(Calendar!$A19,DB!$1:$1,0)),FALSE),"")</f>
        <v/>
      </c>
      <c r="UDP19" s="28" t="str">
        <f>IFERROR(VLOOKUP(DATE($K$1,$K$2,UDP$4),Table1[],(MATCH(Calendar!$A19,DB!$1:$1,0)),FALSE),"")</f>
        <v/>
      </c>
      <c r="UDQ19" s="28" t="str">
        <f>IFERROR(VLOOKUP(DATE($K$1,$K$2,UDQ$4),Table1[],(MATCH(Calendar!$A19,DB!$1:$1,0)),FALSE),"")</f>
        <v/>
      </c>
      <c r="UDR19" s="28" t="str">
        <f>IFERROR(VLOOKUP(DATE($K$1,$K$2,UDR$4),Table1[],(MATCH(Calendar!$A19,DB!$1:$1,0)),FALSE),"")</f>
        <v/>
      </c>
      <c r="UDS19" s="28" t="str">
        <f>IFERROR(VLOOKUP(DATE($K$1,$K$2,UDS$4),Table1[],(MATCH(Calendar!$A19,DB!$1:$1,0)),FALSE),"")</f>
        <v/>
      </c>
      <c r="UDT19" s="28" t="str">
        <f>IFERROR(VLOOKUP(DATE($K$1,$K$2,UDT$4),Table1[],(MATCH(Calendar!$A19,DB!$1:$1,0)),FALSE),"")</f>
        <v/>
      </c>
      <c r="UDU19" s="28" t="str">
        <f>IFERROR(VLOOKUP(DATE($K$1,$K$2,UDU$4),Table1[],(MATCH(Calendar!$A19,DB!$1:$1,0)),FALSE),"")</f>
        <v/>
      </c>
      <c r="UDV19" s="28" t="str">
        <f>IFERROR(VLOOKUP(DATE($K$1,$K$2,UDV$4),Table1[],(MATCH(Calendar!$A19,DB!$1:$1,0)),FALSE),"")</f>
        <v/>
      </c>
      <c r="UDW19" s="28" t="str">
        <f>IFERROR(VLOOKUP(DATE($K$1,$K$2,UDW$4),Table1[],(MATCH(Calendar!$A19,DB!$1:$1,0)),FALSE),"")</f>
        <v/>
      </c>
      <c r="UDX19" s="28" t="str">
        <f>IFERROR(VLOOKUP(DATE($K$1,$K$2,UDX$4),Table1[],(MATCH(Calendar!$A19,DB!$1:$1,0)),FALSE),"")</f>
        <v/>
      </c>
      <c r="UDY19" s="28" t="str">
        <f>IFERROR(VLOOKUP(DATE($K$1,$K$2,UDY$4),Table1[],(MATCH(Calendar!$A19,DB!$1:$1,0)),FALSE),"")</f>
        <v/>
      </c>
      <c r="UDZ19" s="28" t="str">
        <f>IFERROR(VLOOKUP(DATE($K$1,$K$2,UDZ$4),Table1[],(MATCH(Calendar!$A19,DB!$1:$1,0)),FALSE),"")</f>
        <v/>
      </c>
      <c r="UEA19" s="28" t="str">
        <f>IFERROR(VLOOKUP(DATE($K$1,$K$2,UEA$4),Table1[],(MATCH(Calendar!$A19,DB!$1:$1,0)),FALSE),"")</f>
        <v/>
      </c>
      <c r="UEB19" s="28" t="str">
        <f>IFERROR(VLOOKUP(DATE($K$1,$K$2,UEB$4),Table1[],(MATCH(Calendar!$A19,DB!$1:$1,0)),FALSE),"")</f>
        <v/>
      </c>
      <c r="UEC19" s="28" t="str">
        <f>IFERROR(VLOOKUP(DATE($K$1,$K$2,UEC$4),Table1[],(MATCH(Calendar!$A19,DB!$1:$1,0)),FALSE),"")</f>
        <v/>
      </c>
      <c r="UED19" s="28" t="str">
        <f>IFERROR(VLOOKUP(DATE($K$1,$K$2,UED$4),Table1[],(MATCH(Calendar!$A19,DB!$1:$1,0)),FALSE),"")</f>
        <v/>
      </c>
      <c r="UEE19" s="28" t="str">
        <f>IFERROR(VLOOKUP(DATE($K$1,$K$2,UEE$4),Table1[],(MATCH(Calendar!$A19,DB!$1:$1,0)),FALSE),"")</f>
        <v/>
      </c>
      <c r="UEF19" s="28" t="str">
        <f>IFERROR(VLOOKUP(DATE($K$1,$K$2,UEF$4),Table1[],(MATCH(Calendar!$A19,DB!$1:$1,0)),FALSE),"")</f>
        <v/>
      </c>
      <c r="UEG19" s="28" t="str">
        <f>IFERROR(VLOOKUP(DATE($K$1,$K$2,UEG$4),Table1[],(MATCH(Calendar!$A19,DB!$1:$1,0)),FALSE),"")</f>
        <v/>
      </c>
      <c r="UEH19" s="28" t="str">
        <f>IFERROR(VLOOKUP(DATE($K$1,$K$2,UEH$4),Table1[],(MATCH(Calendar!$A19,DB!$1:$1,0)),FALSE),"")</f>
        <v/>
      </c>
      <c r="UEI19" s="28" t="str">
        <f>IFERROR(VLOOKUP(DATE($K$1,$K$2,UEI$4),Table1[],(MATCH(Calendar!$A19,DB!$1:$1,0)),FALSE),"")</f>
        <v/>
      </c>
      <c r="UEJ19" s="28" t="str">
        <f>IFERROR(VLOOKUP(DATE($K$1,$K$2,UEJ$4),Table1[],(MATCH(Calendar!$A19,DB!$1:$1,0)),FALSE),"")</f>
        <v/>
      </c>
      <c r="UEK19" s="28" t="str">
        <f>IFERROR(VLOOKUP(DATE($K$1,$K$2,UEK$4),Table1[],(MATCH(Calendar!$A19,DB!$1:$1,0)),FALSE),"")</f>
        <v/>
      </c>
      <c r="UEL19" s="28" t="str">
        <f>IFERROR(VLOOKUP(DATE($K$1,$K$2,UEL$4),Table1[],(MATCH(Calendar!$A19,DB!$1:$1,0)),FALSE),"")</f>
        <v/>
      </c>
      <c r="UEM19" s="28" t="str">
        <f>IFERROR(VLOOKUP(DATE($K$1,$K$2,UEM$4),Table1[],(MATCH(Calendar!$A19,DB!$1:$1,0)),FALSE),"")</f>
        <v/>
      </c>
      <c r="UEN19" s="28" t="str">
        <f>IFERROR(VLOOKUP(DATE($K$1,$K$2,UEN$4),Table1[],(MATCH(Calendar!$A19,DB!$1:$1,0)),FALSE),"")</f>
        <v/>
      </c>
      <c r="UEO19" s="28" t="str">
        <f>IFERROR(VLOOKUP(DATE($K$1,$K$2,UEO$4),Table1[],(MATCH(Calendar!$A19,DB!$1:$1,0)),FALSE),"")</f>
        <v/>
      </c>
      <c r="UEP19" s="28" t="str">
        <f>IFERROR(VLOOKUP(DATE($K$1,$K$2,UEP$4),Table1[],(MATCH(Calendar!$A19,DB!$1:$1,0)),FALSE),"")</f>
        <v/>
      </c>
      <c r="UEQ19" s="28" t="str">
        <f>IFERROR(VLOOKUP(DATE($K$1,$K$2,UEQ$4),Table1[],(MATCH(Calendar!$A19,DB!$1:$1,0)),FALSE),"")</f>
        <v/>
      </c>
      <c r="UER19" s="28" t="str">
        <f>IFERROR(VLOOKUP(DATE($K$1,$K$2,UER$4),Table1[],(MATCH(Calendar!$A19,DB!$1:$1,0)),FALSE),"")</f>
        <v/>
      </c>
      <c r="UES19" s="28" t="str">
        <f>IFERROR(VLOOKUP(DATE($K$1,$K$2,UES$4),Table1[],(MATCH(Calendar!$A19,DB!$1:$1,0)),FALSE),"")</f>
        <v/>
      </c>
      <c r="UET19" s="28" t="str">
        <f>IFERROR(VLOOKUP(DATE($K$1,$K$2,UET$4),Table1[],(MATCH(Calendar!$A19,DB!$1:$1,0)),FALSE),"")</f>
        <v/>
      </c>
      <c r="UEU19" s="28" t="str">
        <f>IFERROR(VLOOKUP(DATE($K$1,$K$2,UEU$4),Table1[],(MATCH(Calendar!$A19,DB!$1:$1,0)),FALSE),"")</f>
        <v/>
      </c>
      <c r="UEV19" s="28" t="str">
        <f>IFERROR(VLOOKUP(DATE($K$1,$K$2,UEV$4),Table1[],(MATCH(Calendar!$A19,DB!$1:$1,0)),FALSE),"")</f>
        <v/>
      </c>
      <c r="UEW19" s="28" t="str">
        <f>IFERROR(VLOOKUP(DATE($K$1,$K$2,UEW$4),Table1[],(MATCH(Calendar!$A19,DB!$1:$1,0)),FALSE),"")</f>
        <v/>
      </c>
      <c r="UEX19" s="28" t="str">
        <f>IFERROR(VLOOKUP(DATE($K$1,$K$2,UEX$4),Table1[],(MATCH(Calendar!$A19,DB!$1:$1,0)),FALSE),"")</f>
        <v/>
      </c>
      <c r="UEY19" s="28" t="str">
        <f>IFERROR(VLOOKUP(DATE($K$1,$K$2,UEY$4),Table1[],(MATCH(Calendar!$A19,DB!$1:$1,0)),FALSE),"")</f>
        <v/>
      </c>
      <c r="UEZ19" s="28" t="str">
        <f>IFERROR(VLOOKUP(DATE($K$1,$K$2,UEZ$4),Table1[],(MATCH(Calendar!$A19,DB!$1:$1,0)),FALSE),"")</f>
        <v/>
      </c>
      <c r="UFA19" s="28" t="str">
        <f>IFERROR(VLOOKUP(DATE($K$1,$K$2,UFA$4),Table1[],(MATCH(Calendar!$A19,DB!$1:$1,0)),FALSE),"")</f>
        <v/>
      </c>
      <c r="UFB19" s="28" t="str">
        <f>IFERROR(VLOOKUP(DATE($K$1,$K$2,UFB$4),Table1[],(MATCH(Calendar!$A19,DB!$1:$1,0)),FALSE),"")</f>
        <v/>
      </c>
      <c r="UFC19" s="28" t="str">
        <f>IFERROR(VLOOKUP(DATE($K$1,$K$2,UFC$4),Table1[],(MATCH(Calendar!$A19,DB!$1:$1,0)),FALSE),"")</f>
        <v/>
      </c>
      <c r="UFD19" s="28" t="str">
        <f>IFERROR(VLOOKUP(DATE($K$1,$K$2,UFD$4),Table1[],(MATCH(Calendar!$A19,DB!$1:$1,0)),FALSE),"")</f>
        <v/>
      </c>
      <c r="UFE19" s="28" t="str">
        <f>IFERROR(VLOOKUP(DATE($K$1,$K$2,UFE$4),Table1[],(MATCH(Calendar!$A19,DB!$1:$1,0)),FALSE),"")</f>
        <v/>
      </c>
      <c r="UFF19" s="28" t="str">
        <f>IFERROR(VLOOKUP(DATE($K$1,$K$2,UFF$4),Table1[],(MATCH(Calendar!$A19,DB!$1:$1,0)),FALSE),"")</f>
        <v/>
      </c>
      <c r="UFG19" s="28" t="str">
        <f>IFERROR(VLOOKUP(DATE($K$1,$K$2,UFG$4),Table1[],(MATCH(Calendar!$A19,DB!$1:$1,0)),FALSE),"")</f>
        <v/>
      </c>
      <c r="UFH19" s="28" t="str">
        <f>IFERROR(VLOOKUP(DATE($K$1,$K$2,UFH$4),Table1[],(MATCH(Calendar!$A19,DB!$1:$1,0)),FALSE),"")</f>
        <v/>
      </c>
      <c r="UFI19" s="28" t="str">
        <f>IFERROR(VLOOKUP(DATE($K$1,$K$2,UFI$4),Table1[],(MATCH(Calendar!$A19,DB!$1:$1,0)),FALSE),"")</f>
        <v/>
      </c>
      <c r="UFJ19" s="28" t="str">
        <f>IFERROR(VLOOKUP(DATE($K$1,$K$2,UFJ$4),Table1[],(MATCH(Calendar!$A19,DB!$1:$1,0)),FALSE),"")</f>
        <v/>
      </c>
      <c r="UFK19" s="28" t="str">
        <f>IFERROR(VLOOKUP(DATE($K$1,$K$2,UFK$4),Table1[],(MATCH(Calendar!$A19,DB!$1:$1,0)),FALSE),"")</f>
        <v/>
      </c>
      <c r="UFL19" s="28" t="str">
        <f>IFERROR(VLOOKUP(DATE($K$1,$K$2,UFL$4),Table1[],(MATCH(Calendar!$A19,DB!$1:$1,0)),FALSE),"")</f>
        <v/>
      </c>
      <c r="UFM19" s="28" t="str">
        <f>IFERROR(VLOOKUP(DATE($K$1,$K$2,UFM$4),Table1[],(MATCH(Calendar!$A19,DB!$1:$1,0)),FALSE),"")</f>
        <v/>
      </c>
      <c r="UFN19" s="28" t="str">
        <f>IFERROR(VLOOKUP(DATE($K$1,$K$2,UFN$4),Table1[],(MATCH(Calendar!$A19,DB!$1:$1,0)),FALSE),"")</f>
        <v/>
      </c>
      <c r="UFO19" s="28" t="str">
        <f>IFERROR(VLOOKUP(DATE($K$1,$K$2,UFO$4),Table1[],(MATCH(Calendar!$A19,DB!$1:$1,0)),FALSE),"")</f>
        <v/>
      </c>
      <c r="UFP19" s="28" t="str">
        <f>IFERROR(VLOOKUP(DATE($K$1,$K$2,UFP$4),Table1[],(MATCH(Calendar!$A19,DB!$1:$1,0)),FALSE),"")</f>
        <v/>
      </c>
      <c r="UFQ19" s="28" t="str">
        <f>IFERROR(VLOOKUP(DATE($K$1,$K$2,UFQ$4),Table1[],(MATCH(Calendar!$A19,DB!$1:$1,0)),FALSE),"")</f>
        <v/>
      </c>
      <c r="UFR19" s="28" t="str">
        <f>IFERROR(VLOOKUP(DATE($K$1,$K$2,UFR$4),Table1[],(MATCH(Calendar!$A19,DB!$1:$1,0)),FALSE),"")</f>
        <v/>
      </c>
      <c r="UFS19" s="28" t="str">
        <f>IFERROR(VLOOKUP(DATE($K$1,$K$2,UFS$4),Table1[],(MATCH(Calendar!$A19,DB!$1:$1,0)),FALSE),"")</f>
        <v/>
      </c>
      <c r="UFT19" s="28" t="str">
        <f>IFERROR(VLOOKUP(DATE($K$1,$K$2,UFT$4),Table1[],(MATCH(Calendar!$A19,DB!$1:$1,0)),FALSE),"")</f>
        <v/>
      </c>
      <c r="UFU19" s="28" t="str">
        <f>IFERROR(VLOOKUP(DATE($K$1,$K$2,UFU$4),Table1[],(MATCH(Calendar!$A19,DB!$1:$1,0)),FALSE),"")</f>
        <v/>
      </c>
      <c r="UFV19" s="28" t="str">
        <f>IFERROR(VLOOKUP(DATE($K$1,$K$2,UFV$4),Table1[],(MATCH(Calendar!$A19,DB!$1:$1,0)),FALSE),"")</f>
        <v/>
      </c>
      <c r="UFW19" s="28" t="str">
        <f>IFERROR(VLOOKUP(DATE($K$1,$K$2,UFW$4),Table1[],(MATCH(Calendar!$A19,DB!$1:$1,0)),FALSE),"")</f>
        <v/>
      </c>
      <c r="UFX19" s="28" t="str">
        <f>IFERROR(VLOOKUP(DATE($K$1,$K$2,UFX$4),Table1[],(MATCH(Calendar!$A19,DB!$1:$1,0)),FALSE),"")</f>
        <v/>
      </c>
      <c r="UFY19" s="28" t="str">
        <f>IFERROR(VLOOKUP(DATE($K$1,$K$2,UFY$4),Table1[],(MATCH(Calendar!$A19,DB!$1:$1,0)),FALSE),"")</f>
        <v/>
      </c>
      <c r="UFZ19" s="28" t="str">
        <f>IFERROR(VLOOKUP(DATE($K$1,$K$2,UFZ$4),Table1[],(MATCH(Calendar!$A19,DB!$1:$1,0)),FALSE),"")</f>
        <v/>
      </c>
      <c r="UGA19" s="28" t="str">
        <f>IFERROR(VLOOKUP(DATE($K$1,$K$2,UGA$4),Table1[],(MATCH(Calendar!$A19,DB!$1:$1,0)),FALSE),"")</f>
        <v/>
      </c>
      <c r="UGB19" s="28" t="str">
        <f>IFERROR(VLOOKUP(DATE($K$1,$K$2,UGB$4),Table1[],(MATCH(Calendar!$A19,DB!$1:$1,0)),FALSE),"")</f>
        <v/>
      </c>
      <c r="UGC19" s="28" t="str">
        <f>IFERROR(VLOOKUP(DATE($K$1,$K$2,UGC$4),Table1[],(MATCH(Calendar!$A19,DB!$1:$1,0)),FALSE),"")</f>
        <v/>
      </c>
      <c r="UGD19" s="28" t="str">
        <f>IFERROR(VLOOKUP(DATE($K$1,$K$2,UGD$4),Table1[],(MATCH(Calendar!$A19,DB!$1:$1,0)),FALSE),"")</f>
        <v/>
      </c>
      <c r="UGE19" s="28" t="str">
        <f>IFERROR(VLOOKUP(DATE($K$1,$K$2,UGE$4),Table1[],(MATCH(Calendar!$A19,DB!$1:$1,0)),FALSE),"")</f>
        <v/>
      </c>
      <c r="UGF19" s="28" t="str">
        <f>IFERROR(VLOOKUP(DATE($K$1,$K$2,UGF$4),Table1[],(MATCH(Calendar!$A19,DB!$1:$1,0)),FALSE),"")</f>
        <v/>
      </c>
      <c r="UGG19" s="28" t="str">
        <f>IFERROR(VLOOKUP(DATE($K$1,$K$2,UGG$4),Table1[],(MATCH(Calendar!$A19,DB!$1:$1,0)),FALSE),"")</f>
        <v/>
      </c>
      <c r="UGH19" s="28" t="str">
        <f>IFERROR(VLOOKUP(DATE($K$1,$K$2,UGH$4),Table1[],(MATCH(Calendar!$A19,DB!$1:$1,0)),FALSE),"")</f>
        <v/>
      </c>
      <c r="UGI19" s="28" t="str">
        <f>IFERROR(VLOOKUP(DATE($K$1,$K$2,UGI$4),Table1[],(MATCH(Calendar!$A19,DB!$1:$1,0)),FALSE),"")</f>
        <v/>
      </c>
      <c r="UGJ19" s="28" t="str">
        <f>IFERROR(VLOOKUP(DATE($K$1,$K$2,UGJ$4),Table1[],(MATCH(Calendar!$A19,DB!$1:$1,0)),FALSE),"")</f>
        <v/>
      </c>
      <c r="UGK19" s="28" t="str">
        <f>IFERROR(VLOOKUP(DATE($K$1,$K$2,UGK$4),Table1[],(MATCH(Calendar!$A19,DB!$1:$1,0)),FALSE),"")</f>
        <v/>
      </c>
      <c r="UGL19" s="28" t="str">
        <f>IFERROR(VLOOKUP(DATE($K$1,$K$2,UGL$4),Table1[],(MATCH(Calendar!$A19,DB!$1:$1,0)),FALSE),"")</f>
        <v/>
      </c>
      <c r="UGM19" s="28" t="str">
        <f>IFERROR(VLOOKUP(DATE($K$1,$K$2,UGM$4),Table1[],(MATCH(Calendar!$A19,DB!$1:$1,0)),FALSE),"")</f>
        <v/>
      </c>
      <c r="UGN19" s="28" t="str">
        <f>IFERROR(VLOOKUP(DATE($K$1,$K$2,UGN$4),Table1[],(MATCH(Calendar!$A19,DB!$1:$1,0)),FALSE),"")</f>
        <v/>
      </c>
      <c r="UGO19" s="28" t="str">
        <f>IFERROR(VLOOKUP(DATE($K$1,$K$2,UGO$4),Table1[],(MATCH(Calendar!$A19,DB!$1:$1,0)),FALSE),"")</f>
        <v/>
      </c>
      <c r="UGP19" s="28" t="str">
        <f>IFERROR(VLOOKUP(DATE($K$1,$K$2,UGP$4),Table1[],(MATCH(Calendar!$A19,DB!$1:$1,0)),FALSE),"")</f>
        <v/>
      </c>
      <c r="UGQ19" s="28" t="str">
        <f>IFERROR(VLOOKUP(DATE($K$1,$K$2,UGQ$4),Table1[],(MATCH(Calendar!$A19,DB!$1:$1,0)),FALSE),"")</f>
        <v/>
      </c>
      <c r="UGR19" s="28" t="str">
        <f>IFERROR(VLOOKUP(DATE($K$1,$K$2,UGR$4),Table1[],(MATCH(Calendar!$A19,DB!$1:$1,0)),FALSE),"")</f>
        <v/>
      </c>
      <c r="UGS19" s="28" t="str">
        <f>IFERROR(VLOOKUP(DATE($K$1,$K$2,UGS$4),Table1[],(MATCH(Calendar!$A19,DB!$1:$1,0)),FALSE),"")</f>
        <v/>
      </c>
      <c r="UGT19" s="28" t="str">
        <f>IFERROR(VLOOKUP(DATE($K$1,$K$2,UGT$4),Table1[],(MATCH(Calendar!$A19,DB!$1:$1,0)),FALSE),"")</f>
        <v/>
      </c>
      <c r="UGU19" s="28" t="str">
        <f>IFERROR(VLOOKUP(DATE($K$1,$K$2,UGU$4),Table1[],(MATCH(Calendar!$A19,DB!$1:$1,0)),FALSE),"")</f>
        <v/>
      </c>
      <c r="UGV19" s="28" t="str">
        <f>IFERROR(VLOOKUP(DATE($K$1,$K$2,UGV$4),Table1[],(MATCH(Calendar!$A19,DB!$1:$1,0)),FALSE),"")</f>
        <v/>
      </c>
      <c r="UGW19" s="28" t="str">
        <f>IFERROR(VLOOKUP(DATE($K$1,$K$2,UGW$4),Table1[],(MATCH(Calendar!$A19,DB!$1:$1,0)),FALSE),"")</f>
        <v/>
      </c>
      <c r="UGX19" s="28" t="str">
        <f>IFERROR(VLOOKUP(DATE($K$1,$K$2,UGX$4),Table1[],(MATCH(Calendar!$A19,DB!$1:$1,0)),FALSE),"")</f>
        <v/>
      </c>
      <c r="UGY19" s="28" t="str">
        <f>IFERROR(VLOOKUP(DATE($K$1,$K$2,UGY$4),Table1[],(MATCH(Calendar!$A19,DB!$1:$1,0)),FALSE),"")</f>
        <v/>
      </c>
      <c r="UGZ19" s="28" t="str">
        <f>IFERROR(VLOOKUP(DATE($K$1,$K$2,UGZ$4),Table1[],(MATCH(Calendar!$A19,DB!$1:$1,0)),FALSE),"")</f>
        <v/>
      </c>
      <c r="UHA19" s="28" t="str">
        <f>IFERROR(VLOOKUP(DATE($K$1,$K$2,UHA$4),Table1[],(MATCH(Calendar!$A19,DB!$1:$1,0)),FALSE),"")</f>
        <v/>
      </c>
      <c r="UHB19" s="28" t="str">
        <f>IFERROR(VLOOKUP(DATE($K$1,$K$2,UHB$4),Table1[],(MATCH(Calendar!$A19,DB!$1:$1,0)),FALSE),"")</f>
        <v/>
      </c>
      <c r="UHC19" s="28" t="str">
        <f>IFERROR(VLOOKUP(DATE($K$1,$K$2,UHC$4),Table1[],(MATCH(Calendar!$A19,DB!$1:$1,0)),FALSE),"")</f>
        <v/>
      </c>
      <c r="UHD19" s="28" t="str">
        <f>IFERROR(VLOOKUP(DATE($K$1,$K$2,UHD$4),Table1[],(MATCH(Calendar!$A19,DB!$1:$1,0)),FALSE),"")</f>
        <v/>
      </c>
      <c r="UHE19" s="28" t="str">
        <f>IFERROR(VLOOKUP(DATE($K$1,$K$2,UHE$4),Table1[],(MATCH(Calendar!$A19,DB!$1:$1,0)),FALSE),"")</f>
        <v/>
      </c>
      <c r="UHF19" s="28" t="str">
        <f>IFERROR(VLOOKUP(DATE($K$1,$K$2,UHF$4),Table1[],(MATCH(Calendar!$A19,DB!$1:$1,0)),FALSE),"")</f>
        <v/>
      </c>
      <c r="UHG19" s="28" t="str">
        <f>IFERROR(VLOOKUP(DATE($K$1,$K$2,UHG$4),Table1[],(MATCH(Calendar!$A19,DB!$1:$1,0)),FALSE),"")</f>
        <v/>
      </c>
      <c r="UHH19" s="28" t="str">
        <f>IFERROR(VLOOKUP(DATE($K$1,$K$2,UHH$4),Table1[],(MATCH(Calendar!$A19,DB!$1:$1,0)),FALSE),"")</f>
        <v/>
      </c>
      <c r="UHI19" s="28" t="str">
        <f>IFERROR(VLOOKUP(DATE($K$1,$K$2,UHI$4),Table1[],(MATCH(Calendar!$A19,DB!$1:$1,0)),FALSE),"")</f>
        <v/>
      </c>
      <c r="UHJ19" s="28" t="str">
        <f>IFERROR(VLOOKUP(DATE($K$1,$K$2,UHJ$4),Table1[],(MATCH(Calendar!$A19,DB!$1:$1,0)),FALSE),"")</f>
        <v/>
      </c>
      <c r="UHK19" s="28" t="str">
        <f>IFERROR(VLOOKUP(DATE($K$1,$K$2,UHK$4),Table1[],(MATCH(Calendar!$A19,DB!$1:$1,0)),FALSE),"")</f>
        <v/>
      </c>
      <c r="UHL19" s="28" t="str">
        <f>IFERROR(VLOOKUP(DATE($K$1,$K$2,UHL$4),Table1[],(MATCH(Calendar!$A19,DB!$1:$1,0)),FALSE),"")</f>
        <v/>
      </c>
      <c r="UHM19" s="28" t="str">
        <f>IFERROR(VLOOKUP(DATE($K$1,$K$2,UHM$4),Table1[],(MATCH(Calendar!$A19,DB!$1:$1,0)),FALSE),"")</f>
        <v/>
      </c>
      <c r="UHN19" s="28" t="str">
        <f>IFERROR(VLOOKUP(DATE($K$1,$K$2,UHN$4),Table1[],(MATCH(Calendar!$A19,DB!$1:$1,0)),FALSE),"")</f>
        <v/>
      </c>
      <c r="UHO19" s="28" t="str">
        <f>IFERROR(VLOOKUP(DATE($K$1,$K$2,UHO$4),Table1[],(MATCH(Calendar!$A19,DB!$1:$1,0)),FALSE),"")</f>
        <v/>
      </c>
      <c r="UHP19" s="28" t="str">
        <f>IFERROR(VLOOKUP(DATE($K$1,$K$2,UHP$4),Table1[],(MATCH(Calendar!$A19,DB!$1:$1,0)),FALSE),"")</f>
        <v/>
      </c>
      <c r="UHQ19" s="28" t="str">
        <f>IFERROR(VLOOKUP(DATE($K$1,$K$2,UHQ$4),Table1[],(MATCH(Calendar!$A19,DB!$1:$1,0)),FALSE),"")</f>
        <v/>
      </c>
      <c r="UHR19" s="28" t="str">
        <f>IFERROR(VLOOKUP(DATE($K$1,$K$2,UHR$4),Table1[],(MATCH(Calendar!$A19,DB!$1:$1,0)),FALSE),"")</f>
        <v/>
      </c>
      <c r="UHS19" s="28" t="str">
        <f>IFERROR(VLOOKUP(DATE($K$1,$K$2,UHS$4),Table1[],(MATCH(Calendar!$A19,DB!$1:$1,0)),FALSE),"")</f>
        <v/>
      </c>
      <c r="UHT19" s="28" t="str">
        <f>IFERROR(VLOOKUP(DATE($K$1,$K$2,UHT$4),Table1[],(MATCH(Calendar!$A19,DB!$1:$1,0)),FALSE),"")</f>
        <v/>
      </c>
      <c r="UHU19" s="28" t="str">
        <f>IFERROR(VLOOKUP(DATE($K$1,$K$2,UHU$4),Table1[],(MATCH(Calendar!$A19,DB!$1:$1,0)),FALSE),"")</f>
        <v/>
      </c>
      <c r="UHV19" s="28" t="str">
        <f>IFERROR(VLOOKUP(DATE($K$1,$K$2,UHV$4),Table1[],(MATCH(Calendar!$A19,DB!$1:$1,0)),FALSE),"")</f>
        <v/>
      </c>
      <c r="UHW19" s="28" t="str">
        <f>IFERROR(VLOOKUP(DATE($K$1,$K$2,UHW$4),Table1[],(MATCH(Calendar!$A19,DB!$1:$1,0)),FALSE),"")</f>
        <v/>
      </c>
      <c r="UHX19" s="28" t="str">
        <f>IFERROR(VLOOKUP(DATE($K$1,$K$2,UHX$4),Table1[],(MATCH(Calendar!$A19,DB!$1:$1,0)),FALSE),"")</f>
        <v/>
      </c>
      <c r="UHY19" s="28" t="str">
        <f>IFERROR(VLOOKUP(DATE($K$1,$K$2,UHY$4),Table1[],(MATCH(Calendar!$A19,DB!$1:$1,0)),FALSE),"")</f>
        <v/>
      </c>
      <c r="UHZ19" s="28" t="str">
        <f>IFERROR(VLOOKUP(DATE($K$1,$K$2,UHZ$4),Table1[],(MATCH(Calendar!$A19,DB!$1:$1,0)),FALSE),"")</f>
        <v/>
      </c>
      <c r="UIA19" s="28" t="str">
        <f>IFERROR(VLOOKUP(DATE($K$1,$K$2,UIA$4),Table1[],(MATCH(Calendar!$A19,DB!$1:$1,0)),FALSE),"")</f>
        <v/>
      </c>
      <c r="UIB19" s="28" t="str">
        <f>IFERROR(VLOOKUP(DATE($K$1,$K$2,UIB$4),Table1[],(MATCH(Calendar!$A19,DB!$1:$1,0)),FALSE),"")</f>
        <v/>
      </c>
      <c r="UIC19" s="28" t="str">
        <f>IFERROR(VLOOKUP(DATE($K$1,$K$2,UIC$4),Table1[],(MATCH(Calendar!$A19,DB!$1:$1,0)),FALSE),"")</f>
        <v/>
      </c>
      <c r="UID19" s="28" t="str">
        <f>IFERROR(VLOOKUP(DATE($K$1,$K$2,UID$4),Table1[],(MATCH(Calendar!$A19,DB!$1:$1,0)),FALSE),"")</f>
        <v/>
      </c>
      <c r="UIE19" s="28" t="str">
        <f>IFERROR(VLOOKUP(DATE($K$1,$K$2,UIE$4),Table1[],(MATCH(Calendar!$A19,DB!$1:$1,0)),FALSE),"")</f>
        <v/>
      </c>
      <c r="UIF19" s="28" t="str">
        <f>IFERROR(VLOOKUP(DATE($K$1,$K$2,UIF$4),Table1[],(MATCH(Calendar!$A19,DB!$1:$1,0)),FALSE),"")</f>
        <v/>
      </c>
      <c r="UIG19" s="28" t="str">
        <f>IFERROR(VLOOKUP(DATE($K$1,$K$2,UIG$4),Table1[],(MATCH(Calendar!$A19,DB!$1:$1,0)),FALSE),"")</f>
        <v/>
      </c>
      <c r="UIH19" s="28" t="str">
        <f>IFERROR(VLOOKUP(DATE($K$1,$K$2,UIH$4),Table1[],(MATCH(Calendar!$A19,DB!$1:$1,0)),FALSE),"")</f>
        <v/>
      </c>
      <c r="UII19" s="28" t="str">
        <f>IFERROR(VLOOKUP(DATE($K$1,$K$2,UII$4),Table1[],(MATCH(Calendar!$A19,DB!$1:$1,0)),FALSE),"")</f>
        <v/>
      </c>
      <c r="UIJ19" s="28" t="str">
        <f>IFERROR(VLOOKUP(DATE($K$1,$K$2,UIJ$4),Table1[],(MATCH(Calendar!$A19,DB!$1:$1,0)),FALSE),"")</f>
        <v/>
      </c>
      <c r="UIK19" s="28" t="str">
        <f>IFERROR(VLOOKUP(DATE($K$1,$K$2,UIK$4),Table1[],(MATCH(Calendar!$A19,DB!$1:$1,0)),FALSE),"")</f>
        <v/>
      </c>
      <c r="UIL19" s="28" t="str">
        <f>IFERROR(VLOOKUP(DATE($K$1,$K$2,UIL$4),Table1[],(MATCH(Calendar!$A19,DB!$1:$1,0)),FALSE),"")</f>
        <v/>
      </c>
      <c r="UIM19" s="28" t="str">
        <f>IFERROR(VLOOKUP(DATE($K$1,$K$2,UIM$4),Table1[],(MATCH(Calendar!$A19,DB!$1:$1,0)),FALSE),"")</f>
        <v/>
      </c>
      <c r="UIN19" s="28" t="str">
        <f>IFERROR(VLOOKUP(DATE($K$1,$K$2,UIN$4),Table1[],(MATCH(Calendar!$A19,DB!$1:$1,0)),FALSE),"")</f>
        <v/>
      </c>
      <c r="UIO19" s="28" t="str">
        <f>IFERROR(VLOOKUP(DATE($K$1,$K$2,UIO$4),Table1[],(MATCH(Calendar!$A19,DB!$1:$1,0)),FALSE),"")</f>
        <v/>
      </c>
      <c r="UIP19" s="28" t="str">
        <f>IFERROR(VLOOKUP(DATE($K$1,$K$2,UIP$4),Table1[],(MATCH(Calendar!$A19,DB!$1:$1,0)),FALSE),"")</f>
        <v/>
      </c>
      <c r="UIQ19" s="28" t="str">
        <f>IFERROR(VLOOKUP(DATE($K$1,$K$2,UIQ$4),Table1[],(MATCH(Calendar!$A19,DB!$1:$1,0)),FALSE),"")</f>
        <v/>
      </c>
      <c r="UIR19" s="28" t="str">
        <f>IFERROR(VLOOKUP(DATE($K$1,$K$2,UIR$4),Table1[],(MATCH(Calendar!$A19,DB!$1:$1,0)),FALSE),"")</f>
        <v/>
      </c>
      <c r="UIS19" s="28" t="str">
        <f>IFERROR(VLOOKUP(DATE($K$1,$K$2,UIS$4),Table1[],(MATCH(Calendar!$A19,DB!$1:$1,0)),FALSE),"")</f>
        <v/>
      </c>
      <c r="UIT19" s="28" t="str">
        <f>IFERROR(VLOOKUP(DATE($K$1,$K$2,UIT$4),Table1[],(MATCH(Calendar!$A19,DB!$1:$1,0)),FALSE),"")</f>
        <v/>
      </c>
      <c r="UIU19" s="28" t="str">
        <f>IFERROR(VLOOKUP(DATE($K$1,$K$2,UIU$4),Table1[],(MATCH(Calendar!$A19,DB!$1:$1,0)),FALSE),"")</f>
        <v/>
      </c>
      <c r="UIV19" s="28" t="str">
        <f>IFERROR(VLOOKUP(DATE($K$1,$K$2,UIV$4),Table1[],(MATCH(Calendar!$A19,DB!$1:$1,0)),FALSE),"")</f>
        <v/>
      </c>
      <c r="UIW19" s="28" t="str">
        <f>IFERROR(VLOOKUP(DATE($K$1,$K$2,UIW$4),Table1[],(MATCH(Calendar!$A19,DB!$1:$1,0)),FALSE),"")</f>
        <v/>
      </c>
      <c r="UIX19" s="28" t="str">
        <f>IFERROR(VLOOKUP(DATE($K$1,$K$2,UIX$4),Table1[],(MATCH(Calendar!$A19,DB!$1:$1,0)),FALSE),"")</f>
        <v/>
      </c>
      <c r="UIY19" s="28" t="str">
        <f>IFERROR(VLOOKUP(DATE($K$1,$K$2,UIY$4),Table1[],(MATCH(Calendar!$A19,DB!$1:$1,0)),FALSE),"")</f>
        <v/>
      </c>
      <c r="UIZ19" s="28" t="str">
        <f>IFERROR(VLOOKUP(DATE($K$1,$K$2,UIZ$4),Table1[],(MATCH(Calendar!$A19,DB!$1:$1,0)),FALSE),"")</f>
        <v/>
      </c>
      <c r="UJA19" s="28" t="str">
        <f>IFERROR(VLOOKUP(DATE($K$1,$K$2,UJA$4),Table1[],(MATCH(Calendar!$A19,DB!$1:$1,0)),FALSE),"")</f>
        <v/>
      </c>
      <c r="UJB19" s="28" t="str">
        <f>IFERROR(VLOOKUP(DATE($K$1,$K$2,UJB$4),Table1[],(MATCH(Calendar!$A19,DB!$1:$1,0)),FALSE),"")</f>
        <v/>
      </c>
      <c r="UJC19" s="28" t="str">
        <f>IFERROR(VLOOKUP(DATE($K$1,$K$2,UJC$4),Table1[],(MATCH(Calendar!$A19,DB!$1:$1,0)),FALSE),"")</f>
        <v/>
      </c>
      <c r="UJD19" s="28" t="str">
        <f>IFERROR(VLOOKUP(DATE($K$1,$K$2,UJD$4),Table1[],(MATCH(Calendar!$A19,DB!$1:$1,0)),FALSE),"")</f>
        <v/>
      </c>
      <c r="UJE19" s="28" t="str">
        <f>IFERROR(VLOOKUP(DATE($K$1,$K$2,UJE$4),Table1[],(MATCH(Calendar!$A19,DB!$1:$1,0)),FALSE),"")</f>
        <v/>
      </c>
      <c r="UJF19" s="28" t="str">
        <f>IFERROR(VLOOKUP(DATE($K$1,$K$2,UJF$4),Table1[],(MATCH(Calendar!$A19,DB!$1:$1,0)),FALSE),"")</f>
        <v/>
      </c>
      <c r="UJG19" s="28" t="str">
        <f>IFERROR(VLOOKUP(DATE($K$1,$K$2,UJG$4),Table1[],(MATCH(Calendar!$A19,DB!$1:$1,0)),FALSE),"")</f>
        <v/>
      </c>
      <c r="UJH19" s="28" t="str">
        <f>IFERROR(VLOOKUP(DATE($K$1,$K$2,UJH$4),Table1[],(MATCH(Calendar!$A19,DB!$1:$1,0)),FALSE),"")</f>
        <v/>
      </c>
      <c r="UJI19" s="28" t="str">
        <f>IFERROR(VLOOKUP(DATE($K$1,$K$2,UJI$4),Table1[],(MATCH(Calendar!$A19,DB!$1:$1,0)),FALSE),"")</f>
        <v/>
      </c>
      <c r="UJJ19" s="28" t="str">
        <f>IFERROR(VLOOKUP(DATE($K$1,$K$2,UJJ$4),Table1[],(MATCH(Calendar!$A19,DB!$1:$1,0)),FALSE),"")</f>
        <v/>
      </c>
      <c r="UJK19" s="28" t="str">
        <f>IFERROR(VLOOKUP(DATE($K$1,$K$2,UJK$4),Table1[],(MATCH(Calendar!$A19,DB!$1:$1,0)),FALSE),"")</f>
        <v/>
      </c>
      <c r="UJL19" s="28" t="str">
        <f>IFERROR(VLOOKUP(DATE($K$1,$K$2,UJL$4),Table1[],(MATCH(Calendar!$A19,DB!$1:$1,0)),FALSE),"")</f>
        <v/>
      </c>
      <c r="UJM19" s="28" t="str">
        <f>IFERROR(VLOOKUP(DATE($K$1,$K$2,UJM$4),Table1[],(MATCH(Calendar!$A19,DB!$1:$1,0)),FALSE),"")</f>
        <v/>
      </c>
      <c r="UJN19" s="28" t="str">
        <f>IFERROR(VLOOKUP(DATE($K$1,$K$2,UJN$4),Table1[],(MATCH(Calendar!$A19,DB!$1:$1,0)),FALSE),"")</f>
        <v/>
      </c>
      <c r="UJO19" s="28" t="str">
        <f>IFERROR(VLOOKUP(DATE($K$1,$K$2,UJO$4),Table1[],(MATCH(Calendar!$A19,DB!$1:$1,0)),FALSE),"")</f>
        <v/>
      </c>
      <c r="UJP19" s="28" t="str">
        <f>IFERROR(VLOOKUP(DATE($K$1,$K$2,UJP$4),Table1[],(MATCH(Calendar!$A19,DB!$1:$1,0)),FALSE),"")</f>
        <v/>
      </c>
      <c r="UJQ19" s="28" t="str">
        <f>IFERROR(VLOOKUP(DATE($K$1,$K$2,UJQ$4),Table1[],(MATCH(Calendar!$A19,DB!$1:$1,0)),FALSE),"")</f>
        <v/>
      </c>
      <c r="UJR19" s="28" t="str">
        <f>IFERROR(VLOOKUP(DATE($K$1,$K$2,UJR$4),Table1[],(MATCH(Calendar!$A19,DB!$1:$1,0)),FALSE),"")</f>
        <v/>
      </c>
      <c r="UJS19" s="28" t="str">
        <f>IFERROR(VLOOKUP(DATE($K$1,$K$2,UJS$4),Table1[],(MATCH(Calendar!$A19,DB!$1:$1,0)),FALSE),"")</f>
        <v/>
      </c>
      <c r="UJT19" s="28" t="str">
        <f>IFERROR(VLOOKUP(DATE($K$1,$K$2,UJT$4),Table1[],(MATCH(Calendar!$A19,DB!$1:$1,0)),FALSE),"")</f>
        <v/>
      </c>
      <c r="UJU19" s="28" t="str">
        <f>IFERROR(VLOOKUP(DATE($K$1,$K$2,UJU$4),Table1[],(MATCH(Calendar!$A19,DB!$1:$1,0)),FALSE),"")</f>
        <v/>
      </c>
      <c r="UJV19" s="28" t="str">
        <f>IFERROR(VLOOKUP(DATE($K$1,$K$2,UJV$4),Table1[],(MATCH(Calendar!$A19,DB!$1:$1,0)),FALSE),"")</f>
        <v/>
      </c>
      <c r="UJW19" s="28" t="str">
        <f>IFERROR(VLOOKUP(DATE($K$1,$K$2,UJW$4),Table1[],(MATCH(Calendar!$A19,DB!$1:$1,0)),FALSE),"")</f>
        <v/>
      </c>
      <c r="UJX19" s="28" t="str">
        <f>IFERROR(VLOOKUP(DATE($K$1,$K$2,UJX$4),Table1[],(MATCH(Calendar!$A19,DB!$1:$1,0)),FALSE),"")</f>
        <v/>
      </c>
      <c r="UJY19" s="28" t="str">
        <f>IFERROR(VLOOKUP(DATE($K$1,$K$2,UJY$4),Table1[],(MATCH(Calendar!$A19,DB!$1:$1,0)),FALSE),"")</f>
        <v/>
      </c>
      <c r="UJZ19" s="28" t="str">
        <f>IFERROR(VLOOKUP(DATE($K$1,$K$2,UJZ$4),Table1[],(MATCH(Calendar!$A19,DB!$1:$1,0)),FALSE),"")</f>
        <v/>
      </c>
      <c r="UKA19" s="28" t="str">
        <f>IFERROR(VLOOKUP(DATE($K$1,$K$2,UKA$4),Table1[],(MATCH(Calendar!$A19,DB!$1:$1,0)),FALSE),"")</f>
        <v/>
      </c>
      <c r="UKB19" s="28" t="str">
        <f>IFERROR(VLOOKUP(DATE($K$1,$K$2,UKB$4),Table1[],(MATCH(Calendar!$A19,DB!$1:$1,0)),FALSE),"")</f>
        <v/>
      </c>
      <c r="UKC19" s="28" t="str">
        <f>IFERROR(VLOOKUP(DATE($K$1,$K$2,UKC$4),Table1[],(MATCH(Calendar!$A19,DB!$1:$1,0)),FALSE),"")</f>
        <v/>
      </c>
      <c r="UKD19" s="28" t="str">
        <f>IFERROR(VLOOKUP(DATE($K$1,$K$2,UKD$4),Table1[],(MATCH(Calendar!$A19,DB!$1:$1,0)),FALSE),"")</f>
        <v/>
      </c>
      <c r="UKE19" s="28" t="str">
        <f>IFERROR(VLOOKUP(DATE($K$1,$K$2,UKE$4),Table1[],(MATCH(Calendar!$A19,DB!$1:$1,0)),FALSE),"")</f>
        <v/>
      </c>
      <c r="UKF19" s="28" t="str">
        <f>IFERROR(VLOOKUP(DATE($K$1,$K$2,UKF$4),Table1[],(MATCH(Calendar!$A19,DB!$1:$1,0)),FALSE),"")</f>
        <v/>
      </c>
      <c r="UKG19" s="28" t="str">
        <f>IFERROR(VLOOKUP(DATE($K$1,$K$2,UKG$4),Table1[],(MATCH(Calendar!$A19,DB!$1:$1,0)),FALSE),"")</f>
        <v/>
      </c>
      <c r="UKH19" s="28" t="str">
        <f>IFERROR(VLOOKUP(DATE($K$1,$K$2,UKH$4),Table1[],(MATCH(Calendar!$A19,DB!$1:$1,0)),FALSE),"")</f>
        <v/>
      </c>
      <c r="UKI19" s="28" t="str">
        <f>IFERROR(VLOOKUP(DATE($K$1,$K$2,UKI$4),Table1[],(MATCH(Calendar!$A19,DB!$1:$1,0)),FALSE),"")</f>
        <v/>
      </c>
      <c r="UKJ19" s="28" t="str">
        <f>IFERROR(VLOOKUP(DATE($K$1,$K$2,UKJ$4),Table1[],(MATCH(Calendar!$A19,DB!$1:$1,0)),FALSE),"")</f>
        <v/>
      </c>
      <c r="UKK19" s="28" t="str">
        <f>IFERROR(VLOOKUP(DATE($K$1,$K$2,UKK$4),Table1[],(MATCH(Calendar!$A19,DB!$1:$1,0)),FALSE),"")</f>
        <v/>
      </c>
      <c r="UKL19" s="28" t="str">
        <f>IFERROR(VLOOKUP(DATE($K$1,$K$2,UKL$4),Table1[],(MATCH(Calendar!$A19,DB!$1:$1,0)),FALSE),"")</f>
        <v/>
      </c>
      <c r="UKM19" s="28" t="str">
        <f>IFERROR(VLOOKUP(DATE($K$1,$K$2,UKM$4),Table1[],(MATCH(Calendar!$A19,DB!$1:$1,0)),FALSE),"")</f>
        <v/>
      </c>
      <c r="UKN19" s="28" t="str">
        <f>IFERROR(VLOOKUP(DATE($K$1,$K$2,UKN$4),Table1[],(MATCH(Calendar!$A19,DB!$1:$1,0)),FALSE),"")</f>
        <v/>
      </c>
      <c r="UKO19" s="28" t="str">
        <f>IFERROR(VLOOKUP(DATE($K$1,$K$2,UKO$4),Table1[],(MATCH(Calendar!$A19,DB!$1:$1,0)),FALSE),"")</f>
        <v/>
      </c>
      <c r="UKP19" s="28" t="str">
        <f>IFERROR(VLOOKUP(DATE($K$1,$K$2,UKP$4),Table1[],(MATCH(Calendar!$A19,DB!$1:$1,0)),FALSE),"")</f>
        <v/>
      </c>
      <c r="UKQ19" s="28" t="str">
        <f>IFERROR(VLOOKUP(DATE($K$1,$K$2,UKQ$4),Table1[],(MATCH(Calendar!$A19,DB!$1:$1,0)),FALSE),"")</f>
        <v/>
      </c>
      <c r="UKR19" s="28" t="str">
        <f>IFERROR(VLOOKUP(DATE($K$1,$K$2,UKR$4),Table1[],(MATCH(Calendar!$A19,DB!$1:$1,0)),FALSE),"")</f>
        <v/>
      </c>
      <c r="UKS19" s="28" t="str">
        <f>IFERROR(VLOOKUP(DATE($K$1,$K$2,UKS$4),Table1[],(MATCH(Calendar!$A19,DB!$1:$1,0)),FALSE),"")</f>
        <v/>
      </c>
      <c r="UKT19" s="28" t="str">
        <f>IFERROR(VLOOKUP(DATE($K$1,$K$2,UKT$4),Table1[],(MATCH(Calendar!$A19,DB!$1:$1,0)),FALSE),"")</f>
        <v/>
      </c>
      <c r="UKU19" s="28" t="str">
        <f>IFERROR(VLOOKUP(DATE($K$1,$K$2,UKU$4),Table1[],(MATCH(Calendar!$A19,DB!$1:$1,0)),FALSE),"")</f>
        <v/>
      </c>
      <c r="UKV19" s="28" t="str">
        <f>IFERROR(VLOOKUP(DATE($K$1,$K$2,UKV$4),Table1[],(MATCH(Calendar!$A19,DB!$1:$1,0)),FALSE),"")</f>
        <v/>
      </c>
      <c r="UKW19" s="28" t="str">
        <f>IFERROR(VLOOKUP(DATE($K$1,$K$2,UKW$4),Table1[],(MATCH(Calendar!$A19,DB!$1:$1,0)),FALSE),"")</f>
        <v/>
      </c>
      <c r="UKX19" s="28" t="str">
        <f>IFERROR(VLOOKUP(DATE($K$1,$K$2,UKX$4),Table1[],(MATCH(Calendar!$A19,DB!$1:$1,0)),FALSE),"")</f>
        <v/>
      </c>
      <c r="UKY19" s="28" t="str">
        <f>IFERROR(VLOOKUP(DATE($K$1,$K$2,UKY$4),Table1[],(MATCH(Calendar!$A19,DB!$1:$1,0)),FALSE),"")</f>
        <v/>
      </c>
      <c r="UKZ19" s="28" t="str">
        <f>IFERROR(VLOOKUP(DATE($K$1,$K$2,UKZ$4),Table1[],(MATCH(Calendar!$A19,DB!$1:$1,0)),FALSE),"")</f>
        <v/>
      </c>
      <c r="ULA19" s="28" t="str">
        <f>IFERROR(VLOOKUP(DATE($K$1,$K$2,ULA$4),Table1[],(MATCH(Calendar!$A19,DB!$1:$1,0)),FALSE),"")</f>
        <v/>
      </c>
      <c r="ULB19" s="28" t="str">
        <f>IFERROR(VLOOKUP(DATE($K$1,$K$2,ULB$4),Table1[],(MATCH(Calendar!$A19,DB!$1:$1,0)),FALSE),"")</f>
        <v/>
      </c>
      <c r="ULC19" s="28" t="str">
        <f>IFERROR(VLOOKUP(DATE($K$1,$K$2,ULC$4),Table1[],(MATCH(Calendar!$A19,DB!$1:$1,0)),FALSE),"")</f>
        <v/>
      </c>
      <c r="ULD19" s="28" t="str">
        <f>IFERROR(VLOOKUP(DATE($K$1,$K$2,ULD$4),Table1[],(MATCH(Calendar!$A19,DB!$1:$1,0)),FALSE),"")</f>
        <v/>
      </c>
      <c r="ULE19" s="28" t="str">
        <f>IFERROR(VLOOKUP(DATE($K$1,$K$2,ULE$4),Table1[],(MATCH(Calendar!$A19,DB!$1:$1,0)),FALSE),"")</f>
        <v/>
      </c>
      <c r="ULF19" s="28" t="str">
        <f>IFERROR(VLOOKUP(DATE($K$1,$K$2,ULF$4),Table1[],(MATCH(Calendar!$A19,DB!$1:$1,0)),FALSE),"")</f>
        <v/>
      </c>
      <c r="ULG19" s="28" t="str">
        <f>IFERROR(VLOOKUP(DATE($K$1,$K$2,ULG$4),Table1[],(MATCH(Calendar!$A19,DB!$1:$1,0)),FALSE),"")</f>
        <v/>
      </c>
      <c r="ULH19" s="28" t="str">
        <f>IFERROR(VLOOKUP(DATE($K$1,$K$2,ULH$4),Table1[],(MATCH(Calendar!$A19,DB!$1:$1,0)),FALSE),"")</f>
        <v/>
      </c>
      <c r="ULI19" s="28" t="str">
        <f>IFERROR(VLOOKUP(DATE($K$1,$K$2,ULI$4),Table1[],(MATCH(Calendar!$A19,DB!$1:$1,0)),FALSE),"")</f>
        <v/>
      </c>
      <c r="ULJ19" s="28" t="str">
        <f>IFERROR(VLOOKUP(DATE($K$1,$K$2,ULJ$4),Table1[],(MATCH(Calendar!$A19,DB!$1:$1,0)),FALSE),"")</f>
        <v/>
      </c>
      <c r="ULK19" s="28" t="str">
        <f>IFERROR(VLOOKUP(DATE($K$1,$K$2,ULK$4),Table1[],(MATCH(Calendar!$A19,DB!$1:$1,0)),FALSE),"")</f>
        <v/>
      </c>
      <c r="ULL19" s="28" t="str">
        <f>IFERROR(VLOOKUP(DATE($K$1,$K$2,ULL$4),Table1[],(MATCH(Calendar!$A19,DB!$1:$1,0)),FALSE),"")</f>
        <v/>
      </c>
      <c r="ULM19" s="28" t="str">
        <f>IFERROR(VLOOKUP(DATE($K$1,$K$2,ULM$4),Table1[],(MATCH(Calendar!$A19,DB!$1:$1,0)),FALSE),"")</f>
        <v/>
      </c>
      <c r="ULN19" s="28" t="str">
        <f>IFERROR(VLOOKUP(DATE($K$1,$K$2,ULN$4),Table1[],(MATCH(Calendar!$A19,DB!$1:$1,0)),FALSE),"")</f>
        <v/>
      </c>
      <c r="ULO19" s="28" t="str">
        <f>IFERROR(VLOOKUP(DATE($K$1,$K$2,ULO$4),Table1[],(MATCH(Calendar!$A19,DB!$1:$1,0)),FALSE),"")</f>
        <v/>
      </c>
      <c r="ULP19" s="28" t="str">
        <f>IFERROR(VLOOKUP(DATE($K$1,$K$2,ULP$4),Table1[],(MATCH(Calendar!$A19,DB!$1:$1,0)),FALSE),"")</f>
        <v/>
      </c>
      <c r="ULQ19" s="28" t="str">
        <f>IFERROR(VLOOKUP(DATE($K$1,$K$2,ULQ$4),Table1[],(MATCH(Calendar!$A19,DB!$1:$1,0)),FALSE),"")</f>
        <v/>
      </c>
      <c r="ULR19" s="28" t="str">
        <f>IFERROR(VLOOKUP(DATE($K$1,$K$2,ULR$4),Table1[],(MATCH(Calendar!$A19,DB!$1:$1,0)),FALSE),"")</f>
        <v/>
      </c>
      <c r="ULS19" s="28" t="str">
        <f>IFERROR(VLOOKUP(DATE($K$1,$K$2,ULS$4),Table1[],(MATCH(Calendar!$A19,DB!$1:$1,0)),FALSE),"")</f>
        <v/>
      </c>
      <c r="ULT19" s="28" t="str">
        <f>IFERROR(VLOOKUP(DATE($K$1,$K$2,ULT$4),Table1[],(MATCH(Calendar!$A19,DB!$1:$1,0)),FALSE),"")</f>
        <v/>
      </c>
      <c r="ULU19" s="28" t="str">
        <f>IFERROR(VLOOKUP(DATE($K$1,$K$2,ULU$4),Table1[],(MATCH(Calendar!$A19,DB!$1:$1,0)),FALSE),"")</f>
        <v/>
      </c>
      <c r="ULV19" s="28" t="str">
        <f>IFERROR(VLOOKUP(DATE($K$1,$K$2,ULV$4),Table1[],(MATCH(Calendar!$A19,DB!$1:$1,0)),FALSE),"")</f>
        <v/>
      </c>
      <c r="ULW19" s="28" t="str">
        <f>IFERROR(VLOOKUP(DATE($K$1,$K$2,ULW$4),Table1[],(MATCH(Calendar!$A19,DB!$1:$1,0)),FALSE),"")</f>
        <v/>
      </c>
      <c r="ULX19" s="28" t="str">
        <f>IFERROR(VLOOKUP(DATE($K$1,$K$2,ULX$4),Table1[],(MATCH(Calendar!$A19,DB!$1:$1,0)),FALSE),"")</f>
        <v/>
      </c>
      <c r="ULY19" s="28" t="str">
        <f>IFERROR(VLOOKUP(DATE($K$1,$K$2,ULY$4),Table1[],(MATCH(Calendar!$A19,DB!$1:$1,0)),FALSE),"")</f>
        <v/>
      </c>
      <c r="ULZ19" s="28" t="str">
        <f>IFERROR(VLOOKUP(DATE($K$1,$K$2,ULZ$4),Table1[],(MATCH(Calendar!$A19,DB!$1:$1,0)),FALSE),"")</f>
        <v/>
      </c>
      <c r="UMA19" s="28" t="str">
        <f>IFERROR(VLOOKUP(DATE($K$1,$K$2,UMA$4),Table1[],(MATCH(Calendar!$A19,DB!$1:$1,0)),FALSE),"")</f>
        <v/>
      </c>
      <c r="UMB19" s="28" t="str">
        <f>IFERROR(VLOOKUP(DATE($K$1,$K$2,UMB$4),Table1[],(MATCH(Calendar!$A19,DB!$1:$1,0)),FALSE),"")</f>
        <v/>
      </c>
      <c r="UMC19" s="28" t="str">
        <f>IFERROR(VLOOKUP(DATE($K$1,$K$2,UMC$4),Table1[],(MATCH(Calendar!$A19,DB!$1:$1,0)),FALSE),"")</f>
        <v/>
      </c>
      <c r="UMD19" s="28" t="str">
        <f>IFERROR(VLOOKUP(DATE($K$1,$K$2,UMD$4),Table1[],(MATCH(Calendar!$A19,DB!$1:$1,0)),FALSE),"")</f>
        <v/>
      </c>
      <c r="UME19" s="28" t="str">
        <f>IFERROR(VLOOKUP(DATE($K$1,$K$2,UME$4),Table1[],(MATCH(Calendar!$A19,DB!$1:$1,0)),FALSE),"")</f>
        <v/>
      </c>
      <c r="UMF19" s="28" t="str">
        <f>IFERROR(VLOOKUP(DATE($K$1,$K$2,UMF$4),Table1[],(MATCH(Calendar!$A19,DB!$1:$1,0)),FALSE),"")</f>
        <v/>
      </c>
      <c r="UMG19" s="28" t="str">
        <f>IFERROR(VLOOKUP(DATE($K$1,$K$2,UMG$4),Table1[],(MATCH(Calendar!$A19,DB!$1:$1,0)),FALSE),"")</f>
        <v/>
      </c>
      <c r="UMH19" s="28" t="str">
        <f>IFERROR(VLOOKUP(DATE($K$1,$K$2,UMH$4),Table1[],(MATCH(Calendar!$A19,DB!$1:$1,0)),FALSE),"")</f>
        <v/>
      </c>
      <c r="UMI19" s="28" t="str">
        <f>IFERROR(VLOOKUP(DATE($K$1,$K$2,UMI$4),Table1[],(MATCH(Calendar!$A19,DB!$1:$1,0)),FALSE),"")</f>
        <v/>
      </c>
      <c r="UMJ19" s="28" t="str">
        <f>IFERROR(VLOOKUP(DATE($K$1,$K$2,UMJ$4),Table1[],(MATCH(Calendar!$A19,DB!$1:$1,0)),FALSE),"")</f>
        <v/>
      </c>
      <c r="UMK19" s="28" t="str">
        <f>IFERROR(VLOOKUP(DATE($K$1,$K$2,UMK$4),Table1[],(MATCH(Calendar!$A19,DB!$1:$1,0)),FALSE),"")</f>
        <v/>
      </c>
      <c r="UML19" s="28" t="str">
        <f>IFERROR(VLOOKUP(DATE($K$1,$K$2,UML$4),Table1[],(MATCH(Calendar!$A19,DB!$1:$1,0)),FALSE),"")</f>
        <v/>
      </c>
      <c r="UMM19" s="28" t="str">
        <f>IFERROR(VLOOKUP(DATE($K$1,$K$2,UMM$4),Table1[],(MATCH(Calendar!$A19,DB!$1:$1,0)),FALSE),"")</f>
        <v/>
      </c>
      <c r="UMN19" s="28" t="str">
        <f>IFERROR(VLOOKUP(DATE($K$1,$K$2,UMN$4),Table1[],(MATCH(Calendar!$A19,DB!$1:$1,0)),FALSE),"")</f>
        <v/>
      </c>
      <c r="UMO19" s="28" t="str">
        <f>IFERROR(VLOOKUP(DATE($K$1,$K$2,UMO$4),Table1[],(MATCH(Calendar!$A19,DB!$1:$1,0)),FALSE),"")</f>
        <v/>
      </c>
      <c r="UMP19" s="28" t="str">
        <f>IFERROR(VLOOKUP(DATE($K$1,$K$2,UMP$4),Table1[],(MATCH(Calendar!$A19,DB!$1:$1,0)),FALSE),"")</f>
        <v/>
      </c>
      <c r="UMQ19" s="28" t="str">
        <f>IFERROR(VLOOKUP(DATE($K$1,$K$2,UMQ$4),Table1[],(MATCH(Calendar!$A19,DB!$1:$1,0)),FALSE),"")</f>
        <v/>
      </c>
      <c r="UMR19" s="28" t="str">
        <f>IFERROR(VLOOKUP(DATE($K$1,$K$2,UMR$4),Table1[],(MATCH(Calendar!$A19,DB!$1:$1,0)),FALSE),"")</f>
        <v/>
      </c>
      <c r="UMS19" s="28" t="str">
        <f>IFERROR(VLOOKUP(DATE($K$1,$K$2,UMS$4),Table1[],(MATCH(Calendar!$A19,DB!$1:$1,0)),FALSE),"")</f>
        <v/>
      </c>
      <c r="UMT19" s="28" t="str">
        <f>IFERROR(VLOOKUP(DATE($K$1,$K$2,UMT$4),Table1[],(MATCH(Calendar!$A19,DB!$1:$1,0)),FALSE),"")</f>
        <v/>
      </c>
      <c r="UMU19" s="28" t="str">
        <f>IFERROR(VLOOKUP(DATE($K$1,$K$2,UMU$4),Table1[],(MATCH(Calendar!$A19,DB!$1:$1,0)),FALSE),"")</f>
        <v/>
      </c>
      <c r="UMV19" s="28" t="str">
        <f>IFERROR(VLOOKUP(DATE($K$1,$K$2,UMV$4),Table1[],(MATCH(Calendar!$A19,DB!$1:$1,0)),FALSE),"")</f>
        <v/>
      </c>
      <c r="UMW19" s="28" t="str">
        <f>IFERROR(VLOOKUP(DATE($K$1,$K$2,UMW$4),Table1[],(MATCH(Calendar!$A19,DB!$1:$1,0)),FALSE),"")</f>
        <v/>
      </c>
      <c r="UMX19" s="28" t="str">
        <f>IFERROR(VLOOKUP(DATE($K$1,$K$2,UMX$4),Table1[],(MATCH(Calendar!$A19,DB!$1:$1,0)),FALSE),"")</f>
        <v/>
      </c>
      <c r="UMY19" s="28" t="str">
        <f>IFERROR(VLOOKUP(DATE($K$1,$K$2,UMY$4),Table1[],(MATCH(Calendar!$A19,DB!$1:$1,0)),FALSE),"")</f>
        <v/>
      </c>
      <c r="UMZ19" s="28" t="str">
        <f>IFERROR(VLOOKUP(DATE($K$1,$K$2,UMZ$4),Table1[],(MATCH(Calendar!$A19,DB!$1:$1,0)),FALSE),"")</f>
        <v/>
      </c>
      <c r="UNA19" s="28" t="str">
        <f>IFERROR(VLOOKUP(DATE($K$1,$K$2,UNA$4),Table1[],(MATCH(Calendar!$A19,DB!$1:$1,0)),FALSE),"")</f>
        <v/>
      </c>
      <c r="UNB19" s="28" t="str">
        <f>IFERROR(VLOOKUP(DATE($K$1,$K$2,UNB$4),Table1[],(MATCH(Calendar!$A19,DB!$1:$1,0)),FALSE),"")</f>
        <v/>
      </c>
      <c r="UNC19" s="28" t="str">
        <f>IFERROR(VLOOKUP(DATE($K$1,$K$2,UNC$4),Table1[],(MATCH(Calendar!$A19,DB!$1:$1,0)),FALSE),"")</f>
        <v/>
      </c>
      <c r="UND19" s="28" t="str">
        <f>IFERROR(VLOOKUP(DATE($K$1,$K$2,UND$4),Table1[],(MATCH(Calendar!$A19,DB!$1:$1,0)),FALSE),"")</f>
        <v/>
      </c>
      <c r="UNE19" s="28" t="str">
        <f>IFERROR(VLOOKUP(DATE($K$1,$K$2,UNE$4),Table1[],(MATCH(Calendar!$A19,DB!$1:$1,0)),FALSE),"")</f>
        <v/>
      </c>
      <c r="UNF19" s="28" t="str">
        <f>IFERROR(VLOOKUP(DATE($K$1,$K$2,UNF$4),Table1[],(MATCH(Calendar!$A19,DB!$1:$1,0)),FALSE),"")</f>
        <v/>
      </c>
      <c r="UNG19" s="28" t="str">
        <f>IFERROR(VLOOKUP(DATE($K$1,$K$2,UNG$4),Table1[],(MATCH(Calendar!$A19,DB!$1:$1,0)),FALSE),"")</f>
        <v/>
      </c>
      <c r="UNH19" s="28" t="str">
        <f>IFERROR(VLOOKUP(DATE($K$1,$K$2,UNH$4),Table1[],(MATCH(Calendar!$A19,DB!$1:$1,0)),FALSE),"")</f>
        <v/>
      </c>
      <c r="UNI19" s="28" t="str">
        <f>IFERROR(VLOOKUP(DATE($K$1,$K$2,UNI$4),Table1[],(MATCH(Calendar!$A19,DB!$1:$1,0)),FALSE),"")</f>
        <v/>
      </c>
      <c r="UNJ19" s="28" t="str">
        <f>IFERROR(VLOOKUP(DATE($K$1,$K$2,UNJ$4),Table1[],(MATCH(Calendar!$A19,DB!$1:$1,0)),FALSE),"")</f>
        <v/>
      </c>
      <c r="UNK19" s="28" t="str">
        <f>IFERROR(VLOOKUP(DATE($K$1,$K$2,UNK$4),Table1[],(MATCH(Calendar!$A19,DB!$1:$1,0)),FALSE),"")</f>
        <v/>
      </c>
      <c r="UNL19" s="28" t="str">
        <f>IFERROR(VLOOKUP(DATE($K$1,$K$2,UNL$4),Table1[],(MATCH(Calendar!$A19,DB!$1:$1,0)),FALSE),"")</f>
        <v/>
      </c>
      <c r="UNM19" s="28" t="str">
        <f>IFERROR(VLOOKUP(DATE($K$1,$K$2,UNM$4),Table1[],(MATCH(Calendar!$A19,DB!$1:$1,0)),FALSE),"")</f>
        <v/>
      </c>
      <c r="UNN19" s="28" t="str">
        <f>IFERROR(VLOOKUP(DATE($K$1,$K$2,UNN$4),Table1[],(MATCH(Calendar!$A19,DB!$1:$1,0)),FALSE),"")</f>
        <v/>
      </c>
      <c r="UNO19" s="28" t="str">
        <f>IFERROR(VLOOKUP(DATE($K$1,$K$2,UNO$4),Table1[],(MATCH(Calendar!$A19,DB!$1:$1,0)),FALSE),"")</f>
        <v/>
      </c>
      <c r="UNP19" s="28" t="str">
        <f>IFERROR(VLOOKUP(DATE($K$1,$K$2,UNP$4),Table1[],(MATCH(Calendar!$A19,DB!$1:$1,0)),FALSE),"")</f>
        <v/>
      </c>
      <c r="UNQ19" s="28" t="str">
        <f>IFERROR(VLOOKUP(DATE($K$1,$K$2,UNQ$4),Table1[],(MATCH(Calendar!$A19,DB!$1:$1,0)),FALSE),"")</f>
        <v/>
      </c>
      <c r="UNR19" s="28" t="str">
        <f>IFERROR(VLOOKUP(DATE($K$1,$K$2,UNR$4),Table1[],(MATCH(Calendar!$A19,DB!$1:$1,0)),FALSE),"")</f>
        <v/>
      </c>
      <c r="UNS19" s="28" t="str">
        <f>IFERROR(VLOOKUP(DATE($K$1,$K$2,UNS$4),Table1[],(MATCH(Calendar!$A19,DB!$1:$1,0)),FALSE),"")</f>
        <v/>
      </c>
      <c r="UNT19" s="28" t="str">
        <f>IFERROR(VLOOKUP(DATE($K$1,$K$2,UNT$4),Table1[],(MATCH(Calendar!$A19,DB!$1:$1,0)),FALSE),"")</f>
        <v/>
      </c>
      <c r="UNU19" s="28" t="str">
        <f>IFERROR(VLOOKUP(DATE($K$1,$K$2,UNU$4),Table1[],(MATCH(Calendar!$A19,DB!$1:$1,0)),FALSE),"")</f>
        <v/>
      </c>
      <c r="UNV19" s="28" t="str">
        <f>IFERROR(VLOOKUP(DATE($K$1,$K$2,UNV$4),Table1[],(MATCH(Calendar!$A19,DB!$1:$1,0)),FALSE),"")</f>
        <v/>
      </c>
      <c r="UNW19" s="28" t="str">
        <f>IFERROR(VLOOKUP(DATE($K$1,$K$2,UNW$4),Table1[],(MATCH(Calendar!$A19,DB!$1:$1,0)),FALSE),"")</f>
        <v/>
      </c>
      <c r="UNX19" s="28" t="str">
        <f>IFERROR(VLOOKUP(DATE($K$1,$K$2,UNX$4),Table1[],(MATCH(Calendar!$A19,DB!$1:$1,0)),FALSE),"")</f>
        <v/>
      </c>
      <c r="UNY19" s="28" t="str">
        <f>IFERROR(VLOOKUP(DATE($K$1,$K$2,UNY$4),Table1[],(MATCH(Calendar!$A19,DB!$1:$1,0)),FALSE),"")</f>
        <v/>
      </c>
      <c r="UNZ19" s="28" t="str">
        <f>IFERROR(VLOOKUP(DATE($K$1,$K$2,UNZ$4),Table1[],(MATCH(Calendar!$A19,DB!$1:$1,0)),FALSE),"")</f>
        <v/>
      </c>
      <c r="UOA19" s="28" t="str">
        <f>IFERROR(VLOOKUP(DATE($K$1,$K$2,UOA$4),Table1[],(MATCH(Calendar!$A19,DB!$1:$1,0)),FALSE),"")</f>
        <v/>
      </c>
      <c r="UOB19" s="28" t="str">
        <f>IFERROR(VLOOKUP(DATE($K$1,$K$2,UOB$4),Table1[],(MATCH(Calendar!$A19,DB!$1:$1,0)),FALSE),"")</f>
        <v/>
      </c>
      <c r="UOC19" s="28" t="str">
        <f>IFERROR(VLOOKUP(DATE($K$1,$K$2,UOC$4),Table1[],(MATCH(Calendar!$A19,DB!$1:$1,0)),FALSE),"")</f>
        <v/>
      </c>
      <c r="UOD19" s="28" t="str">
        <f>IFERROR(VLOOKUP(DATE($K$1,$K$2,UOD$4),Table1[],(MATCH(Calendar!$A19,DB!$1:$1,0)),FALSE),"")</f>
        <v/>
      </c>
      <c r="UOE19" s="28" t="str">
        <f>IFERROR(VLOOKUP(DATE($K$1,$K$2,UOE$4),Table1[],(MATCH(Calendar!$A19,DB!$1:$1,0)),FALSE),"")</f>
        <v/>
      </c>
      <c r="UOF19" s="28" t="str">
        <f>IFERROR(VLOOKUP(DATE($K$1,$K$2,UOF$4),Table1[],(MATCH(Calendar!$A19,DB!$1:$1,0)),FALSE),"")</f>
        <v/>
      </c>
      <c r="UOG19" s="28" t="str">
        <f>IFERROR(VLOOKUP(DATE($K$1,$K$2,UOG$4),Table1[],(MATCH(Calendar!$A19,DB!$1:$1,0)),FALSE),"")</f>
        <v/>
      </c>
      <c r="UOH19" s="28" t="str">
        <f>IFERROR(VLOOKUP(DATE($K$1,$K$2,UOH$4),Table1[],(MATCH(Calendar!$A19,DB!$1:$1,0)),FALSE),"")</f>
        <v/>
      </c>
      <c r="UOI19" s="28" t="str">
        <f>IFERROR(VLOOKUP(DATE($K$1,$K$2,UOI$4),Table1[],(MATCH(Calendar!$A19,DB!$1:$1,0)),FALSE),"")</f>
        <v/>
      </c>
      <c r="UOJ19" s="28" t="str">
        <f>IFERROR(VLOOKUP(DATE($K$1,$K$2,UOJ$4),Table1[],(MATCH(Calendar!$A19,DB!$1:$1,0)),FALSE),"")</f>
        <v/>
      </c>
      <c r="UOK19" s="28" t="str">
        <f>IFERROR(VLOOKUP(DATE($K$1,$K$2,UOK$4),Table1[],(MATCH(Calendar!$A19,DB!$1:$1,0)),FALSE),"")</f>
        <v/>
      </c>
      <c r="UOL19" s="28" t="str">
        <f>IFERROR(VLOOKUP(DATE($K$1,$K$2,UOL$4),Table1[],(MATCH(Calendar!$A19,DB!$1:$1,0)),FALSE),"")</f>
        <v/>
      </c>
      <c r="UOM19" s="28" t="str">
        <f>IFERROR(VLOOKUP(DATE($K$1,$K$2,UOM$4),Table1[],(MATCH(Calendar!$A19,DB!$1:$1,0)),FALSE),"")</f>
        <v/>
      </c>
      <c r="UON19" s="28" t="str">
        <f>IFERROR(VLOOKUP(DATE($K$1,$K$2,UON$4),Table1[],(MATCH(Calendar!$A19,DB!$1:$1,0)),FALSE),"")</f>
        <v/>
      </c>
      <c r="UOO19" s="28" t="str">
        <f>IFERROR(VLOOKUP(DATE($K$1,$K$2,UOO$4),Table1[],(MATCH(Calendar!$A19,DB!$1:$1,0)),FALSE),"")</f>
        <v/>
      </c>
      <c r="UOP19" s="28" t="str">
        <f>IFERROR(VLOOKUP(DATE($K$1,$K$2,UOP$4),Table1[],(MATCH(Calendar!$A19,DB!$1:$1,0)),FALSE),"")</f>
        <v/>
      </c>
      <c r="UOQ19" s="28" t="str">
        <f>IFERROR(VLOOKUP(DATE($K$1,$K$2,UOQ$4),Table1[],(MATCH(Calendar!$A19,DB!$1:$1,0)),FALSE),"")</f>
        <v/>
      </c>
      <c r="UOR19" s="28" t="str">
        <f>IFERROR(VLOOKUP(DATE($K$1,$K$2,UOR$4),Table1[],(MATCH(Calendar!$A19,DB!$1:$1,0)),FALSE),"")</f>
        <v/>
      </c>
      <c r="UOS19" s="28" t="str">
        <f>IFERROR(VLOOKUP(DATE($K$1,$K$2,UOS$4),Table1[],(MATCH(Calendar!$A19,DB!$1:$1,0)),FALSE),"")</f>
        <v/>
      </c>
      <c r="UOT19" s="28" t="str">
        <f>IFERROR(VLOOKUP(DATE($K$1,$K$2,UOT$4),Table1[],(MATCH(Calendar!$A19,DB!$1:$1,0)),FALSE),"")</f>
        <v/>
      </c>
      <c r="UOU19" s="28" t="str">
        <f>IFERROR(VLOOKUP(DATE($K$1,$K$2,UOU$4),Table1[],(MATCH(Calendar!$A19,DB!$1:$1,0)),FALSE),"")</f>
        <v/>
      </c>
      <c r="UOV19" s="28" t="str">
        <f>IFERROR(VLOOKUP(DATE($K$1,$K$2,UOV$4),Table1[],(MATCH(Calendar!$A19,DB!$1:$1,0)),FALSE),"")</f>
        <v/>
      </c>
      <c r="UOW19" s="28" t="str">
        <f>IFERROR(VLOOKUP(DATE($K$1,$K$2,UOW$4),Table1[],(MATCH(Calendar!$A19,DB!$1:$1,0)),FALSE),"")</f>
        <v/>
      </c>
      <c r="UOX19" s="28" t="str">
        <f>IFERROR(VLOOKUP(DATE($K$1,$K$2,UOX$4),Table1[],(MATCH(Calendar!$A19,DB!$1:$1,0)),FALSE),"")</f>
        <v/>
      </c>
      <c r="UOY19" s="28" t="str">
        <f>IFERROR(VLOOKUP(DATE($K$1,$K$2,UOY$4),Table1[],(MATCH(Calendar!$A19,DB!$1:$1,0)),FALSE),"")</f>
        <v/>
      </c>
      <c r="UOZ19" s="28" t="str">
        <f>IFERROR(VLOOKUP(DATE($K$1,$K$2,UOZ$4),Table1[],(MATCH(Calendar!$A19,DB!$1:$1,0)),FALSE),"")</f>
        <v/>
      </c>
      <c r="UPA19" s="28" t="str">
        <f>IFERROR(VLOOKUP(DATE($K$1,$K$2,UPA$4),Table1[],(MATCH(Calendar!$A19,DB!$1:$1,0)),FALSE),"")</f>
        <v/>
      </c>
      <c r="UPB19" s="28" t="str">
        <f>IFERROR(VLOOKUP(DATE($K$1,$K$2,UPB$4),Table1[],(MATCH(Calendar!$A19,DB!$1:$1,0)),FALSE),"")</f>
        <v/>
      </c>
      <c r="UPC19" s="28" t="str">
        <f>IFERROR(VLOOKUP(DATE($K$1,$K$2,UPC$4),Table1[],(MATCH(Calendar!$A19,DB!$1:$1,0)),FALSE),"")</f>
        <v/>
      </c>
      <c r="UPD19" s="28" t="str">
        <f>IFERROR(VLOOKUP(DATE($K$1,$K$2,UPD$4),Table1[],(MATCH(Calendar!$A19,DB!$1:$1,0)),FALSE),"")</f>
        <v/>
      </c>
      <c r="UPE19" s="28" t="str">
        <f>IFERROR(VLOOKUP(DATE($K$1,$K$2,UPE$4),Table1[],(MATCH(Calendar!$A19,DB!$1:$1,0)),FALSE),"")</f>
        <v/>
      </c>
      <c r="UPF19" s="28" t="str">
        <f>IFERROR(VLOOKUP(DATE($K$1,$K$2,UPF$4),Table1[],(MATCH(Calendar!$A19,DB!$1:$1,0)),FALSE),"")</f>
        <v/>
      </c>
      <c r="UPG19" s="28" t="str">
        <f>IFERROR(VLOOKUP(DATE($K$1,$K$2,UPG$4),Table1[],(MATCH(Calendar!$A19,DB!$1:$1,0)),FALSE),"")</f>
        <v/>
      </c>
      <c r="UPH19" s="28" t="str">
        <f>IFERROR(VLOOKUP(DATE($K$1,$K$2,UPH$4),Table1[],(MATCH(Calendar!$A19,DB!$1:$1,0)),FALSE),"")</f>
        <v/>
      </c>
      <c r="UPI19" s="28" t="str">
        <f>IFERROR(VLOOKUP(DATE($K$1,$K$2,UPI$4),Table1[],(MATCH(Calendar!$A19,DB!$1:$1,0)),FALSE),"")</f>
        <v/>
      </c>
      <c r="UPJ19" s="28" t="str">
        <f>IFERROR(VLOOKUP(DATE($K$1,$K$2,UPJ$4),Table1[],(MATCH(Calendar!$A19,DB!$1:$1,0)),FALSE),"")</f>
        <v/>
      </c>
      <c r="UPK19" s="28" t="str">
        <f>IFERROR(VLOOKUP(DATE($K$1,$K$2,UPK$4),Table1[],(MATCH(Calendar!$A19,DB!$1:$1,0)),FALSE),"")</f>
        <v/>
      </c>
      <c r="UPL19" s="28" t="str">
        <f>IFERROR(VLOOKUP(DATE($K$1,$K$2,UPL$4),Table1[],(MATCH(Calendar!$A19,DB!$1:$1,0)),FALSE),"")</f>
        <v/>
      </c>
      <c r="UPM19" s="28" t="str">
        <f>IFERROR(VLOOKUP(DATE($K$1,$K$2,UPM$4),Table1[],(MATCH(Calendar!$A19,DB!$1:$1,0)),FALSE),"")</f>
        <v/>
      </c>
      <c r="UPN19" s="28" t="str">
        <f>IFERROR(VLOOKUP(DATE($K$1,$K$2,UPN$4),Table1[],(MATCH(Calendar!$A19,DB!$1:$1,0)),FALSE),"")</f>
        <v/>
      </c>
      <c r="UPO19" s="28" t="str">
        <f>IFERROR(VLOOKUP(DATE($K$1,$K$2,UPO$4),Table1[],(MATCH(Calendar!$A19,DB!$1:$1,0)),FALSE),"")</f>
        <v/>
      </c>
      <c r="UPP19" s="28" t="str">
        <f>IFERROR(VLOOKUP(DATE($K$1,$K$2,UPP$4),Table1[],(MATCH(Calendar!$A19,DB!$1:$1,0)),FALSE),"")</f>
        <v/>
      </c>
      <c r="UPQ19" s="28" t="str">
        <f>IFERROR(VLOOKUP(DATE($K$1,$K$2,UPQ$4),Table1[],(MATCH(Calendar!$A19,DB!$1:$1,0)),FALSE),"")</f>
        <v/>
      </c>
      <c r="UPR19" s="28" t="str">
        <f>IFERROR(VLOOKUP(DATE($K$1,$K$2,UPR$4),Table1[],(MATCH(Calendar!$A19,DB!$1:$1,0)),FALSE),"")</f>
        <v/>
      </c>
      <c r="UPS19" s="28" t="str">
        <f>IFERROR(VLOOKUP(DATE($K$1,$K$2,UPS$4),Table1[],(MATCH(Calendar!$A19,DB!$1:$1,0)),FALSE),"")</f>
        <v/>
      </c>
      <c r="UPT19" s="28" t="str">
        <f>IFERROR(VLOOKUP(DATE($K$1,$K$2,UPT$4),Table1[],(MATCH(Calendar!$A19,DB!$1:$1,0)),FALSE),"")</f>
        <v/>
      </c>
      <c r="UPU19" s="28" t="str">
        <f>IFERROR(VLOOKUP(DATE($K$1,$K$2,UPU$4),Table1[],(MATCH(Calendar!$A19,DB!$1:$1,0)),FALSE),"")</f>
        <v/>
      </c>
      <c r="UPV19" s="28" t="str">
        <f>IFERROR(VLOOKUP(DATE($K$1,$K$2,UPV$4),Table1[],(MATCH(Calendar!$A19,DB!$1:$1,0)),FALSE),"")</f>
        <v/>
      </c>
      <c r="UPW19" s="28" t="str">
        <f>IFERROR(VLOOKUP(DATE($K$1,$K$2,UPW$4),Table1[],(MATCH(Calendar!$A19,DB!$1:$1,0)),FALSE),"")</f>
        <v/>
      </c>
      <c r="UPX19" s="28" t="str">
        <f>IFERROR(VLOOKUP(DATE($K$1,$K$2,UPX$4),Table1[],(MATCH(Calendar!$A19,DB!$1:$1,0)),FALSE),"")</f>
        <v/>
      </c>
      <c r="UPY19" s="28" t="str">
        <f>IFERROR(VLOOKUP(DATE($K$1,$K$2,UPY$4),Table1[],(MATCH(Calendar!$A19,DB!$1:$1,0)),FALSE),"")</f>
        <v/>
      </c>
      <c r="UPZ19" s="28" t="str">
        <f>IFERROR(VLOOKUP(DATE($K$1,$K$2,UPZ$4),Table1[],(MATCH(Calendar!$A19,DB!$1:$1,0)),FALSE),"")</f>
        <v/>
      </c>
      <c r="UQA19" s="28" t="str">
        <f>IFERROR(VLOOKUP(DATE($K$1,$K$2,UQA$4),Table1[],(MATCH(Calendar!$A19,DB!$1:$1,0)),FALSE),"")</f>
        <v/>
      </c>
      <c r="UQB19" s="28" t="str">
        <f>IFERROR(VLOOKUP(DATE($K$1,$K$2,UQB$4),Table1[],(MATCH(Calendar!$A19,DB!$1:$1,0)),FALSE),"")</f>
        <v/>
      </c>
      <c r="UQC19" s="28" t="str">
        <f>IFERROR(VLOOKUP(DATE($K$1,$K$2,UQC$4),Table1[],(MATCH(Calendar!$A19,DB!$1:$1,0)),FALSE),"")</f>
        <v/>
      </c>
      <c r="UQD19" s="28" t="str">
        <f>IFERROR(VLOOKUP(DATE($K$1,$K$2,UQD$4),Table1[],(MATCH(Calendar!$A19,DB!$1:$1,0)),FALSE),"")</f>
        <v/>
      </c>
      <c r="UQE19" s="28" t="str">
        <f>IFERROR(VLOOKUP(DATE($K$1,$K$2,UQE$4),Table1[],(MATCH(Calendar!$A19,DB!$1:$1,0)),FALSE),"")</f>
        <v/>
      </c>
      <c r="UQF19" s="28" t="str">
        <f>IFERROR(VLOOKUP(DATE($K$1,$K$2,UQF$4),Table1[],(MATCH(Calendar!$A19,DB!$1:$1,0)),FALSE),"")</f>
        <v/>
      </c>
      <c r="UQG19" s="28" t="str">
        <f>IFERROR(VLOOKUP(DATE($K$1,$K$2,UQG$4),Table1[],(MATCH(Calendar!$A19,DB!$1:$1,0)),FALSE),"")</f>
        <v/>
      </c>
      <c r="UQH19" s="28" t="str">
        <f>IFERROR(VLOOKUP(DATE($K$1,$K$2,UQH$4),Table1[],(MATCH(Calendar!$A19,DB!$1:$1,0)),FALSE),"")</f>
        <v/>
      </c>
      <c r="UQI19" s="28" t="str">
        <f>IFERROR(VLOOKUP(DATE($K$1,$K$2,UQI$4),Table1[],(MATCH(Calendar!$A19,DB!$1:$1,0)),FALSE),"")</f>
        <v/>
      </c>
      <c r="UQJ19" s="28" t="str">
        <f>IFERROR(VLOOKUP(DATE($K$1,$K$2,UQJ$4),Table1[],(MATCH(Calendar!$A19,DB!$1:$1,0)),FALSE),"")</f>
        <v/>
      </c>
      <c r="UQK19" s="28" t="str">
        <f>IFERROR(VLOOKUP(DATE($K$1,$K$2,UQK$4),Table1[],(MATCH(Calendar!$A19,DB!$1:$1,0)),FALSE),"")</f>
        <v/>
      </c>
      <c r="UQL19" s="28" t="str">
        <f>IFERROR(VLOOKUP(DATE($K$1,$K$2,UQL$4),Table1[],(MATCH(Calendar!$A19,DB!$1:$1,0)),FALSE),"")</f>
        <v/>
      </c>
      <c r="UQM19" s="28" t="str">
        <f>IFERROR(VLOOKUP(DATE($K$1,$K$2,UQM$4),Table1[],(MATCH(Calendar!$A19,DB!$1:$1,0)),FALSE),"")</f>
        <v/>
      </c>
      <c r="UQN19" s="28" t="str">
        <f>IFERROR(VLOOKUP(DATE($K$1,$K$2,UQN$4),Table1[],(MATCH(Calendar!$A19,DB!$1:$1,0)),FALSE),"")</f>
        <v/>
      </c>
      <c r="UQO19" s="28" t="str">
        <f>IFERROR(VLOOKUP(DATE($K$1,$K$2,UQO$4),Table1[],(MATCH(Calendar!$A19,DB!$1:$1,0)),FALSE),"")</f>
        <v/>
      </c>
      <c r="UQP19" s="28" t="str">
        <f>IFERROR(VLOOKUP(DATE($K$1,$K$2,UQP$4),Table1[],(MATCH(Calendar!$A19,DB!$1:$1,0)),FALSE),"")</f>
        <v/>
      </c>
      <c r="UQQ19" s="28" t="str">
        <f>IFERROR(VLOOKUP(DATE($K$1,$K$2,UQQ$4),Table1[],(MATCH(Calendar!$A19,DB!$1:$1,0)),FALSE),"")</f>
        <v/>
      </c>
      <c r="UQR19" s="28" t="str">
        <f>IFERROR(VLOOKUP(DATE($K$1,$K$2,UQR$4),Table1[],(MATCH(Calendar!$A19,DB!$1:$1,0)),FALSE),"")</f>
        <v/>
      </c>
      <c r="UQS19" s="28" t="str">
        <f>IFERROR(VLOOKUP(DATE($K$1,$K$2,UQS$4),Table1[],(MATCH(Calendar!$A19,DB!$1:$1,0)),FALSE),"")</f>
        <v/>
      </c>
      <c r="UQT19" s="28" t="str">
        <f>IFERROR(VLOOKUP(DATE($K$1,$K$2,UQT$4),Table1[],(MATCH(Calendar!$A19,DB!$1:$1,0)),FALSE),"")</f>
        <v/>
      </c>
      <c r="UQU19" s="28" t="str">
        <f>IFERROR(VLOOKUP(DATE($K$1,$K$2,UQU$4),Table1[],(MATCH(Calendar!$A19,DB!$1:$1,0)),FALSE),"")</f>
        <v/>
      </c>
      <c r="UQV19" s="28" t="str">
        <f>IFERROR(VLOOKUP(DATE($K$1,$K$2,UQV$4),Table1[],(MATCH(Calendar!$A19,DB!$1:$1,0)),FALSE),"")</f>
        <v/>
      </c>
      <c r="UQW19" s="28" t="str">
        <f>IFERROR(VLOOKUP(DATE($K$1,$K$2,UQW$4),Table1[],(MATCH(Calendar!$A19,DB!$1:$1,0)),FALSE),"")</f>
        <v/>
      </c>
      <c r="UQX19" s="28" t="str">
        <f>IFERROR(VLOOKUP(DATE($K$1,$K$2,UQX$4),Table1[],(MATCH(Calendar!$A19,DB!$1:$1,0)),FALSE),"")</f>
        <v/>
      </c>
      <c r="UQY19" s="28" t="str">
        <f>IFERROR(VLOOKUP(DATE($K$1,$K$2,UQY$4),Table1[],(MATCH(Calendar!$A19,DB!$1:$1,0)),FALSE),"")</f>
        <v/>
      </c>
      <c r="UQZ19" s="28" t="str">
        <f>IFERROR(VLOOKUP(DATE($K$1,$K$2,UQZ$4),Table1[],(MATCH(Calendar!$A19,DB!$1:$1,0)),FALSE),"")</f>
        <v/>
      </c>
      <c r="URA19" s="28" t="str">
        <f>IFERROR(VLOOKUP(DATE($K$1,$K$2,URA$4),Table1[],(MATCH(Calendar!$A19,DB!$1:$1,0)),FALSE),"")</f>
        <v/>
      </c>
      <c r="URB19" s="28" t="str">
        <f>IFERROR(VLOOKUP(DATE($K$1,$K$2,URB$4),Table1[],(MATCH(Calendar!$A19,DB!$1:$1,0)),FALSE),"")</f>
        <v/>
      </c>
      <c r="URC19" s="28" t="str">
        <f>IFERROR(VLOOKUP(DATE($K$1,$K$2,URC$4),Table1[],(MATCH(Calendar!$A19,DB!$1:$1,0)),FALSE),"")</f>
        <v/>
      </c>
      <c r="URD19" s="28" t="str">
        <f>IFERROR(VLOOKUP(DATE($K$1,$K$2,URD$4),Table1[],(MATCH(Calendar!$A19,DB!$1:$1,0)),FALSE),"")</f>
        <v/>
      </c>
      <c r="URE19" s="28" t="str">
        <f>IFERROR(VLOOKUP(DATE($K$1,$K$2,URE$4),Table1[],(MATCH(Calendar!$A19,DB!$1:$1,0)),FALSE),"")</f>
        <v/>
      </c>
      <c r="URF19" s="28" t="str">
        <f>IFERROR(VLOOKUP(DATE($K$1,$K$2,URF$4),Table1[],(MATCH(Calendar!$A19,DB!$1:$1,0)),FALSE),"")</f>
        <v/>
      </c>
      <c r="URG19" s="28" t="str">
        <f>IFERROR(VLOOKUP(DATE($K$1,$K$2,URG$4),Table1[],(MATCH(Calendar!$A19,DB!$1:$1,0)),FALSE),"")</f>
        <v/>
      </c>
      <c r="URH19" s="28" t="str">
        <f>IFERROR(VLOOKUP(DATE($K$1,$K$2,URH$4),Table1[],(MATCH(Calendar!$A19,DB!$1:$1,0)),FALSE),"")</f>
        <v/>
      </c>
      <c r="URI19" s="28" t="str">
        <f>IFERROR(VLOOKUP(DATE($K$1,$K$2,URI$4),Table1[],(MATCH(Calendar!$A19,DB!$1:$1,0)),FALSE),"")</f>
        <v/>
      </c>
      <c r="URJ19" s="28" t="str">
        <f>IFERROR(VLOOKUP(DATE($K$1,$K$2,URJ$4),Table1[],(MATCH(Calendar!$A19,DB!$1:$1,0)),FALSE),"")</f>
        <v/>
      </c>
      <c r="URK19" s="28" t="str">
        <f>IFERROR(VLOOKUP(DATE($K$1,$K$2,URK$4),Table1[],(MATCH(Calendar!$A19,DB!$1:$1,0)),FALSE),"")</f>
        <v/>
      </c>
      <c r="URL19" s="28" t="str">
        <f>IFERROR(VLOOKUP(DATE($K$1,$K$2,URL$4),Table1[],(MATCH(Calendar!$A19,DB!$1:$1,0)),FALSE),"")</f>
        <v/>
      </c>
      <c r="URM19" s="28" t="str">
        <f>IFERROR(VLOOKUP(DATE($K$1,$K$2,URM$4),Table1[],(MATCH(Calendar!$A19,DB!$1:$1,0)),FALSE),"")</f>
        <v/>
      </c>
      <c r="URN19" s="28" t="str">
        <f>IFERROR(VLOOKUP(DATE($K$1,$K$2,URN$4),Table1[],(MATCH(Calendar!$A19,DB!$1:$1,0)),FALSE),"")</f>
        <v/>
      </c>
      <c r="URO19" s="28" t="str">
        <f>IFERROR(VLOOKUP(DATE($K$1,$K$2,URO$4),Table1[],(MATCH(Calendar!$A19,DB!$1:$1,0)),FALSE),"")</f>
        <v/>
      </c>
      <c r="URP19" s="28" t="str">
        <f>IFERROR(VLOOKUP(DATE($K$1,$K$2,URP$4),Table1[],(MATCH(Calendar!$A19,DB!$1:$1,0)),FALSE),"")</f>
        <v/>
      </c>
      <c r="URQ19" s="28" t="str">
        <f>IFERROR(VLOOKUP(DATE($K$1,$K$2,URQ$4),Table1[],(MATCH(Calendar!$A19,DB!$1:$1,0)),FALSE),"")</f>
        <v/>
      </c>
      <c r="URR19" s="28" t="str">
        <f>IFERROR(VLOOKUP(DATE($K$1,$K$2,URR$4),Table1[],(MATCH(Calendar!$A19,DB!$1:$1,0)),FALSE),"")</f>
        <v/>
      </c>
      <c r="URS19" s="28" t="str">
        <f>IFERROR(VLOOKUP(DATE($K$1,$K$2,URS$4),Table1[],(MATCH(Calendar!$A19,DB!$1:$1,0)),FALSE),"")</f>
        <v/>
      </c>
      <c r="URT19" s="28" t="str">
        <f>IFERROR(VLOOKUP(DATE($K$1,$K$2,URT$4),Table1[],(MATCH(Calendar!$A19,DB!$1:$1,0)),FALSE),"")</f>
        <v/>
      </c>
      <c r="URU19" s="28" t="str">
        <f>IFERROR(VLOOKUP(DATE($K$1,$K$2,URU$4),Table1[],(MATCH(Calendar!$A19,DB!$1:$1,0)),FALSE),"")</f>
        <v/>
      </c>
      <c r="URV19" s="28" t="str">
        <f>IFERROR(VLOOKUP(DATE($K$1,$K$2,URV$4),Table1[],(MATCH(Calendar!$A19,DB!$1:$1,0)),FALSE),"")</f>
        <v/>
      </c>
      <c r="URW19" s="28" t="str">
        <f>IFERROR(VLOOKUP(DATE($K$1,$K$2,URW$4),Table1[],(MATCH(Calendar!$A19,DB!$1:$1,0)),FALSE),"")</f>
        <v/>
      </c>
      <c r="URX19" s="28" t="str">
        <f>IFERROR(VLOOKUP(DATE($K$1,$K$2,URX$4),Table1[],(MATCH(Calendar!$A19,DB!$1:$1,0)),FALSE),"")</f>
        <v/>
      </c>
      <c r="URY19" s="28" t="str">
        <f>IFERROR(VLOOKUP(DATE($K$1,$K$2,URY$4),Table1[],(MATCH(Calendar!$A19,DB!$1:$1,0)),FALSE),"")</f>
        <v/>
      </c>
      <c r="URZ19" s="28" t="str">
        <f>IFERROR(VLOOKUP(DATE($K$1,$K$2,URZ$4),Table1[],(MATCH(Calendar!$A19,DB!$1:$1,0)),FALSE),"")</f>
        <v/>
      </c>
      <c r="USA19" s="28" t="str">
        <f>IFERROR(VLOOKUP(DATE($K$1,$K$2,USA$4),Table1[],(MATCH(Calendar!$A19,DB!$1:$1,0)),FALSE),"")</f>
        <v/>
      </c>
      <c r="USB19" s="28" t="str">
        <f>IFERROR(VLOOKUP(DATE($K$1,$K$2,USB$4),Table1[],(MATCH(Calendar!$A19,DB!$1:$1,0)),FALSE),"")</f>
        <v/>
      </c>
      <c r="USC19" s="28" t="str">
        <f>IFERROR(VLOOKUP(DATE($K$1,$K$2,USC$4),Table1[],(MATCH(Calendar!$A19,DB!$1:$1,0)),FALSE),"")</f>
        <v/>
      </c>
      <c r="USD19" s="28" t="str">
        <f>IFERROR(VLOOKUP(DATE($K$1,$K$2,USD$4),Table1[],(MATCH(Calendar!$A19,DB!$1:$1,0)),FALSE),"")</f>
        <v/>
      </c>
      <c r="USE19" s="28" t="str">
        <f>IFERROR(VLOOKUP(DATE($K$1,$K$2,USE$4),Table1[],(MATCH(Calendar!$A19,DB!$1:$1,0)),FALSE),"")</f>
        <v/>
      </c>
      <c r="USF19" s="28" t="str">
        <f>IFERROR(VLOOKUP(DATE($K$1,$K$2,USF$4),Table1[],(MATCH(Calendar!$A19,DB!$1:$1,0)),FALSE),"")</f>
        <v/>
      </c>
      <c r="USG19" s="28" t="str">
        <f>IFERROR(VLOOKUP(DATE($K$1,$K$2,USG$4),Table1[],(MATCH(Calendar!$A19,DB!$1:$1,0)),FALSE),"")</f>
        <v/>
      </c>
      <c r="USH19" s="28" t="str">
        <f>IFERROR(VLOOKUP(DATE($K$1,$K$2,USH$4),Table1[],(MATCH(Calendar!$A19,DB!$1:$1,0)),FALSE),"")</f>
        <v/>
      </c>
      <c r="USI19" s="28" t="str">
        <f>IFERROR(VLOOKUP(DATE($K$1,$K$2,USI$4),Table1[],(MATCH(Calendar!$A19,DB!$1:$1,0)),FALSE),"")</f>
        <v/>
      </c>
      <c r="USJ19" s="28" t="str">
        <f>IFERROR(VLOOKUP(DATE($K$1,$K$2,USJ$4),Table1[],(MATCH(Calendar!$A19,DB!$1:$1,0)),FALSE),"")</f>
        <v/>
      </c>
      <c r="USK19" s="28" t="str">
        <f>IFERROR(VLOOKUP(DATE($K$1,$K$2,USK$4),Table1[],(MATCH(Calendar!$A19,DB!$1:$1,0)),FALSE),"")</f>
        <v/>
      </c>
      <c r="USL19" s="28" t="str">
        <f>IFERROR(VLOOKUP(DATE($K$1,$K$2,USL$4),Table1[],(MATCH(Calendar!$A19,DB!$1:$1,0)),FALSE),"")</f>
        <v/>
      </c>
      <c r="USM19" s="28" t="str">
        <f>IFERROR(VLOOKUP(DATE($K$1,$K$2,USM$4),Table1[],(MATCH(Calendar!$A19,DB!$1:$1,0)),FALSE),"")</f>
        <v/>
      </c>
      <c r="USN19" s="28" t="str">
        <f>IFERROR(VLOOKUP(DATE($K$1,$K$2,USN$4),Table1[],(MATCH(Calendar!$A19,DB!$1:$1,0)),FALSE),"")</f>
        <v/>
      </c>
      <c r="USO19" s="28" t="str">
        <f>IFERROR(VLOOKUP(DATE($K$1,$K$2,USO$4),Table1[],(MATCH(Calendar!$A19,DB!$1:$1,0)),FALSE),"")</f>
        <v/>
      </c>
      <c r="USP19" s="28" t="str">
        <f>IFERROR(VLOOKUP(DATE($K$1,$K$2,USP$4),Table1[],(MATCH(Calendar!$A19,DB!$1:$1,0)),FALSE),"")</f>
        <v/>
      </c>
      <c r="USQ19" s="28" t="str">
        <f>IFERROR(VLOOKUP(DATE($K$1,$K$2,USQ$4),Table1[],(MATCH(Calendar!$A19,DB!$1:$1,0)),FALSE),"")</f>
        <v/>
      </c>
      <c r="USR19" s="28" t="str">
        <f>IFERROR(VLOOKUP(DATE($K$1,$K$2,USR$4),Table1[],(MATCH(Calendar!$A19,DB!$1:$1,0)),FALSE),"")</f>
        <v/>
      </c>
      <c r="USS19" s="28" t="str">
        <f>IFERROR(VLOOKUP(DATE($K$1,$K$2,USS$4),Table1[],(MATCH(Calendar!$A19,DB!$1:$1,0)),FALSE),"")</f>
        <v/>
      </c>
      <c r="UST19" s="28" t="str">
        <f>IFERROR(VLOOKUP(DATE($K$1,$K$2,UST$4),Table1[],(MATCH(Calendar!$A19,DB!$1:$1,0)),FALSE),"")</f>
        <v/>
      </c>
      <c r="USU19" s="28" t="str">
        <f>IFERROR(VLOOKUP(DATE($K$1,$K$2,USU$4),Table1[],(MATCH(Calendar!$A19,DB!$1:$1,0)),FALSE),"")</f>
        <v/>
      </c>
      <c r="USV19" s="28" t="str">
        <f>IFERROR(VLOOKUP(DATE($K$1,$K$2,USV$4),Table1[],(MATCH(Calendar!$A19,DB!$1:$1,0)),FALSE),"")</f>
        <v/>
      </c>
      <c r="USW19" s="28" t="str">
        <f>IFERROR(VLOOKUP(DATE($K$1,$K$2,USW$4),Table1[],(MATCH(Calendar!$A19,DB!$1:$1,0)),FALSE),"")</f>
        <v/>
      </c>
      <c r="USX19" s="28" t="str">
        <f>IFERROR(VLOOKUP(DATE($K$1,$K$2,USX$4),Table1[],(MATCH(Calendar!$A19,DB!$1:$1,0)),FALSE),"")</f>
        <v/>
      </c>
      <c r="USY19" s="28" t="str">
        <f>IFERROR(VLOOKUP(DATE($K$1,$K$2,USY$4),Table1[],(MATCH(Calendar!$A19,DB!$1:$1,0)),FALSE),"")</f>
        <v/>
      </c>
      <c r="USZ19" s="28" t="str">
        <f>IFERROR(VLOOKUP(DATE($K$1,$K$2,USZ$4),Table1[],(MATCH(Calendar!$A19,DB!$1:$1,0)),FALSE),"")</f>
        <v/>
      </c>
      <c r="UTA19" s="28" t="str">
        <f>IFERROR(VLOOKUP(DATE($K$1,$K$2,UTA$4),Table1[],(MATCH(Calendar!$A19,DB!$1:$1,0)),FALSE),"")</f>
        <v/>
      </c>
      <c r="UTB19" s="28" t="str">
        <f>IFERROR(VLOOKUP(DATE($K$1,$K$2,UTB$4),Table1[],(MATCH(Calendar!$A19,DB!$1:$1,0)),FALSE),"")</f>
        <v/>
      </c>
      <c r="UTC19" s="28" t="str">
        <f>IFERROR(VLOOKUP(DATE($K$1,$K$2,UTC$4),Table1[],(MATCH(Calendar!$A19,DB!$1:$1,0)),FALSE),"")</f>
        <v/>
      </c>
      <c r="UTD19" s="28" t="str">
        <f>IFERROR(VLOOKUP(DATE($K$1,$K$2,UTD$4),Table1[],(MATCH(Calendar!$A19,DB!$1:$1,0)),FALSE),"")</f>
        <v/>
      </c>
      <c r="UTE19" s="28" t="str">
        <f>IFERROR(VLOOKUP(DATE($K$1,$K$2,UTE$4),Table1[],(MATCH(Calendar!$A19,DB!$1:$1,0)),FALSE),"")</f>
        <v/>
      </c>
      <c r="UTF19" s="28" t="str">
        <f>IFERROR(VLOOKUP(DATE($K$1,$K$2,UTF$4),Table1[],(MATCH(Calendar!$A19,DB!$1:$1,0)),FALSE),"")</f>
        <v/>
      </c>
      <c r="UTG19" s="28" t="str">
        <f>IFERROR(VLOOKUP(DATE($K$1,$K$2,UTG$4),Table1[],(MATCH(Calendar!$A19,DB!$1:$1,0)),FALSE),"")</f>
        <v/>
      </c>
      <c r="UTH19" s="28" t="str">
        <f>IFERROR(VLOOKUP(DATE($K$1,$K$2,UTH$4),Table1[],(MATCH(Calendar!$A19,DB!$1:$1,0)),FALSE),"")</f>
        <v/>
      </c>
      <c r="UTI19" s="28" t="str">
        <f>IFERROR(VLOOKUP(DATE($K$1,$K$2,UTI$4),Table1[],(MATCH(Calendar!$A19,DB!$1:$1,0)),FALSE),"")</f>
        <v/>
      </c>
      <c r="UTJ19" s="28" t="str">
        <f>IFERROR(VLOOKUP(DATE($K$1,$K$2,UTJ$4),Table1[],(MATCH(Calendar!$A19,DB!$1:$1,0)),FALSE),"")</f>
        <v/>
      </c>
      <c r="UTK19" s="28" t="str">
        <f>IFERROR(VLOOKUP(DATE($K$1,$K$2,UTK$4),Table1[],(MATCH(Calendar!$A19,DB!$1:$1,0)),FALSE),"")</f>
        <v/>
      </c>
      <c r="UTL19" s="28" t="str">
        <f>IFERROR(VLOOKUP(DATE($K$1,$K$2,UTL$4),Table1[],(MATCH(Calendar!$A19,DB!$1:$1,0)),FALSE),"")</f>
        <v/>
      </c>
      <c r="UTM19" s="28" t="str">
        <f>IFERROR(VLOOKUP(DATE($K$1,$K$2,UTM$4),Table1[],(MATCH(Calendar!$A19,DB!$1:$1,0)),FALSE),"")</f>
        <v/>
      </c>
      <c r="UTN19" s="28" t="str">
        <f>IFERROR(VLOOKUP(DATE($K$1,$K$2,UTN$4),Table1[],(MATCH(Calendar!$A19,DB!$1:$1,0)),FALSE),"")</f>
        <v/>
      </c>
      <c r="UTO19" s="28" t="str">
        <f>IFERROR(VLOOKUP(DATE($K$1,$K$2,UTO$4),Table1[],(MATCH(Calendar!$A19,DB!$1:$1,0)),FALSE),"")</f>
        <v/>
      </c>
      <c r="UTP19" s="28" t="str">
        <f>IFERROR(VLOOKUP(DATE($K$1,$K$2,UTP$4),Table1[],(MATCH(Calendar!$A19,DB!$1:$1,0)),FALSE),"")</f>
        <v/>
      </c>
      <c r="UTQ19" s="28" t="str">
        <f>IFERROR(VLOOKUP(DATE($K$1,$K$2,UTQ$4),Table1[],(MATCH(Calendar!$A19,DB!$1:$1,0)),FALSE),"")</f>
        <v/>
      </c>
      <c r="UTR19" s="28" t="str">
        <f>IFERROR(VLOOKUP(DATE($K$1,$K$2,UTR$4),Table1[],(MATCH(Calendar!$A19,DB!$1:$1,0)),FALSE),"")</f>
        <v/>
      </c>
      <c r="UTS19" s="28" t="str">
        <f>IFERROR(VLOOKUP(DATE($K$1,$K$2,UTS$4),Table1[],(MATCH(Calendar!$A19,DB!$1:$1,0)),FALSE),"")</f>
        <v/>
      </c>
      <c r="UTT19" s="28" t="str">
        <f>IFERROR(VLOOKUP(DATE($K$1,$K$2,UTT$4),Table1[],(MATCH(Calendar!$A19,DB!$1:$1,0)),FALSE),"")</f>
        <v/>
      </c>
      <c r="UTU19" s="28" t="str">
        <f>IFERROR(VLOOKUP(DATE($K$1,$K$2,UTU$4),Table1[],(MATCH(Calendar!$A19,DB!$1:$1,0)),FALSE),"")</f>
        <v/>
      </c>
      <c r="UTV19" s="28" t="str">
        <f>IFERROR(VLOOKUP(DATE($K$1,$K$2,UTV$4),Table1[],(MATCH(Calendar!$A19,DB!$1:$1,0)),FALSE),"")</f>
        <v/>
      </c>
      <c r="UTW19" s="28" t="str">
        <f>IFERROR(VLOOKUP(DATE($K$1,$K$2,UTW$4),Table1[],(MATCH(Calendar!$A19,DB!$1:$1,0)),FALSE),"")</f>
        <v/>
      </c>
      <c r="UTX19" s="28" t="str">
        <f>IFERROR(VLOOKUP(DATE($K$1,$K$2,UTX$4),Table1[],(MATCH(Calendar!$A19,DB!$1:$1,0)),FALSE),"")</f>
        <v/>
      </c>
      <c r="UTY19" s="28" t="str">
        <f>IFERROR(VLOOKUP(DATE($K$1,$K$2,UTY$4),Table1[],(MATCH(Calendar!$A19,DB!$1:$1,0)),FALSE),"")</f>
        <v/>
      </c>
      <c r="UTZ19" s="28" t="str">
        <f>IFERROR(VLOOKUP(DATE($K$1,$K$2,UTZ$4),Table1[],(MATCH(Calendar!$A19,DB!$1:$1,0)),FALSE),"")</f>
        <v/>
      </c>
      <c r="UUA19" s="28" t="str">
        <f>IFERROR(VLOOKUP(DATE($K$1,$K$2,UUA$4),Table1[],(MATCH(Calendar!$A19,DB!$1:$1,0)),FALSE),"")</f>
        <v/>
      </c>
      <c r="UUB19" s="28" t="str">
        <f>IFERROR(VLOOKUP(DATE($K$1,$K$2,UUB$4),Table1[],(MATCH(Calendar!$A19,DB!$1:$1,0)),FALSE),"")</f>
        <v/>
      </c>
      <c r="UUC19" s="28" t="str">
        <f>IFERROR(VLOOKUP(DATE($K$1,$K$2,UUC$4),Table1[],(MATCH(Calendar!$A19,DB!$1:$1,0)),FALSE),"")</f>
        <v/>
      </c>
      <c r="UUD19" s="28" t="str">
        <f>IFERROR(VLOOKUP(DATE($K$1,$K$2,UUD$4),Table1[],(MATCH(Calendar!$A19,DB!$1:$1,0)),FALSE),"")</f>
        <v/>
      </c>
      <c r="UUE19" s="28" t="str">
        <f>IFERROR(VLOOKUP(DATE($K$1,$K$2,UUE$4),Table1[],(MATCH(Calendar!$A19,DB!$1:$1,0)),FALSE),"")</f>
        <v/>
      </c>
      <c r="UUF19" s="28" t="str">
        <f>IFERROR(VLOOKUP(DATE($K$1,$K$2,UUF$4),Table1[],(MATCH(Calendar!$A19,DB!$1:$1,0)),FALSE),"")</f>
        <v/>
      </c>
      <c r="UUG19" s="28" t="str">
        <f>IFERROR(VLOOKUP(DATE($K$1,$K$2,UUG$4),Table1[],(MATCH(Calendar!$A19,DB!$1:$1,0)),FALSE),"")</f>
        <v/>
      </c>
      <c r="UUH19" s="28" t="str">
        <f>IFERROR(VLOOKUP(DATE($K$1,$K$2,UUH$4),Table1[],(MATCH(Calendar!$A19,DB!$1:$1,0)),FALSE),"")</f>
        <v/>
      </c>
      <c r="UUI19" s="28" t="str">
        <f>IFERROR(VLOOKUP(DATE($K$1,$K$2,UUI$4),Table1[],(MATCH(Calendar!$A19,DB!$1:$1,0)),FALSE),"")</f>
        <v/>
      </c>
      <c r="UUJ19" s="28" t="str">
        <f>IFERROR(VLOOKUP(DATE($K$1,$K$2,UUJ$4),Table1[],(MATCH(Calendar!$A19,DB!$1:$1,0)),FALSE),"")</f>
        <v/>
      </c>
      <c r="UUK19" s="28" t="str">
        <f>IFERROR(VLOOKUP(DATE($K$1,$K$2,UUK$4),Table1[],(MATCH(Calendar!$A19,DB!$1:$1,0)),FALSE),"")</f>
        <v/>
      </c>
      <c r="UUL19" s="28" t="str">
        <f>IFERROR(VLOOKUP(DATE($K$1,$K$2,UUL$4),Table1[],(MATCH(Calendar!$A19,DB!$1:$1,0)),FALSE),"")</f>
        <v/>
      </c>
      <c r="UUM19" s="28" t="str">
        <f>IFERROR(VLOOKUP(DATE($K$1,$K$2,UUM$4),Table1[],(MATCH(Calendar!$A19,DB!$1:$1,0)),FALSE),"")</f>
        <v/>
      </c>
      <c r="UUN19" s="28" t="str">
        <f>IFERROR(VLOOKUP(DATE($K$1,$K$2,UUN$4),Table1[],(MATCH(Calendar!$A19,DB!$1:$1,0)),FALSE),"")</f>
        <v/>
      </c>
      <c r="UUO19" s="28" t="str">
        <f>IFERROR(VLOOKUP(DATE($K$1,$K$2,UUO$4),Table1[],(MATCH(Calendar!$A19,DB!$1:$1,0)),FALSE),"")</f>
        <v/>
      </c>
      <c r="UUP19" s="28" t="str">
        <f>IFERROR(VLOOKUP(DATE($K$1,$K$2,UUP$4),Table1[],(MATCH(Calendar!$A19,DB!$1:$1,0)),FALSE),"")</f>
        <v/>
      </c>
      <c r="UUQ19" s="28" t="str">
        <f>IFERROR(VLOOKUP(DATE($K$1,$K$2,UUQ$4),Table1[],(MATCH(Calendar!$A19,DB!$1:$1,0)),FALSE),"")</f>
        <v/>
      </c>
      <c r="UUR19" s="28" t="str">
        <f>IFERROR(VLOOKUP(DATE($K$1,$K$2,UUR$4),Table1[],(MATCH(Calendar!$A19,DB!$1:$1,0)),FALSE),"")</f>
        <v/>
      </c>
      <c r="UUS19" s="28" t="str">
        <f>IFERROR(VLOOKUP(DATE($K$1,$K$2,UUS$4),Table1[],(MATCH(Calendar!$A19,DB!$1:$1,0)),FALSE),"")</f>
        <v/>
      </c>
      <c r="UUT19" s="28" t="str">
        <f>IFERROR(VLOOKUP(DATE($K$1,$K$2,UUT$4),Table1[],(MATCH(Calendar!$A19,DB!$1:$1,0)),FALSE),"")</f>
        <v/>
      </c>
      <c r="UUU19" s="28" t="str">
        <f>IFERROR(VLOOKUP(DATE($K$1,$K$2,UUU$4),Table1[],(MATCH(Calendar!$A19,DB!$1:$1,0)),FALSE),"")</f>
        <v/>
      </c>
      <c r="UUV19" s="28" t="str">
        <f>IFERROR(VLOOKUP(DATE($K$1,$K$2,UUV$4),Table1[],(MATCH(Calendar!$A19,DB!$1:$1,0)),FALSE),"")</f>
        <v/>
      </c>
      <c r="UUW19" s="28" t="str">
        <f>IFERROR(VLOOKUP(DATE($K$1,$K$2,UUW$4),Table1[],(MATCH(Calendar!$A19,DB!$1:$1,0)),FALSE),"")</f>
        <v/>
      </c>
      <c r="UUX19" s="28" t="str">
        <f>IFERROR(VLOOKUP(DATE($K$1,$K$2,UUX$4),Table1[],(MATCH(Calendar!$A19,DB!$1:$1,0)),FALSE),"")</f>
        <v/>
      </c>
      <c r="UUY19" s="28" t="str">
        <f>IFERROR(VLOOKUP(DATE($K$1,$K$2,UUY$4),Table1[],(MATCH(Calendar!$A19,DB!$1:$1,0)),FALSE),"")</f>
        <v/>
      </c>
      <c r="UUZ19" s="28" t="str">
        <f>IFERROR(VLOOKUP(DATE($K$1,$K$2,UUZ$4),Table1[],(MATCH(Calendar!$A19,DB!$1:$1,0)),FALSE),"")</f>
        <v/>
      </c>
      <c r="UVA19" s="28" t="str">
        <f>IFERROR(VLOOKUP(DATE($K$1,$K$2,UVA$4),Table1[],(MATCH(Calendar!$A19,DB!$1:$1,0)),FALSE),"")</f>
        <v/>
      </c>
      <c r="UVB19" s="28" t="str">
        <f>IFERROR(VLOOKUP(DATE($K$1,$K$2,UVB$4),Table1[],(MATCH(Calendar!$A19,DB!$1:$1,0)),FALSE),"")</f>
        <v/>
      </c>
      <c r="UVC19" s="28" t="str">
        <f>IFERROR(VLOOKUP(DATE($K$1,$K$2,UVC$4),Table1[],(MATCH(Calendar!$A19,DB!$1:$1,0)),FALSE),"")</f>
        <v/>
      </c>
      <c r="UVD19" s="28" t="str">
        <f>IFERROR(VLOOKUP(DATE($K$1,$K$2,UVD$4),Table1[],(MATCH(Calendar!$A19,DB!$1:$1,0)),FALSE),"")</f>
        <v/>
      </c>
      <c r="UVE19" s="28" t="str">
        <f>IFERROR(VLOOKUP(DATE($K$1,$K$2,UVE$4),Table1[],(MATCH(Calendar!$A19,DB!$1:$1,0)),FALSE),"")</f>
        <v/>
      </c>
      <c r="UVF19" s="28" t="str">
        <f>IFERROR(VLOOKUP(DATE($K$1,$K$2,UVF$4),Table1[],(MATCH(Calendar!$A19,DB!$1:$1,0)),FALSE),"")</f>
        <v/>
      </c>
      <c r="UVG19" s="28" t="str">
        <f>IFERROR(VLOOKUP(DATE($K$1,$K$2,UVG$4),Table1[],(MATCH(Calendar!$A19,DB!$1:$1,0)),FALSE),"")</f>
        <v/>
      </c>
      <c r="UVH19" s="28" t="str">
        <f>IFERROR(VLOOKUP(DATE($K$1,$K$2,UVH$4),Table1[],(MATCH(Calendar!$A19,DB!$1:$1,0)),FALSE),"")</f>
        <v/>
      </c>
      <c r="UVI19" s="28" t="str">
        <f>IFERROR(VLOOKUP(DATE($K$1,$K$2,UVI$4),Table1[],(MATCH(Calendar!$A19,DB!$1:$1,0)),FALSE),"")</f>
        <v/>
      </c>
      <c r="UVJ19" s="28" t="str">
        <f>IFERROR(VLOOKUP(DATE($K$1,$K$2,UVJ$4),Table1[],(MATCH(Calendar!$A19,DB!$1:$1,0)),FALSE),"")</f>
        <v/>
      </c>
      <c r="UVK19" s="28" t="str">
        <f>IFERROR(VLOOKUP(DATE($K$1,$K$2,UVK$4),Table1[],(MATCH(Calendar!$A19,DB!$1:$1,0)),FALSE),"")</f>
        <v/>
      </c>
      <c r="UVL19" s="28" t="str">
        <f>IFERROR(VLOOKUP(DATE($K$1,$K$2,UVL$4),Table1[],(MATCH(Calendar!$A19,DB!$1:$1,0)),FALSE),"")</f>
        <v/>
      </c>
      <c r="UVM19" s="28" t="str">
        <f>IFERROR(VLOOKUP(DATE($K$1,$K$2,UVM$4),Table1[],(MATCH(Calendar!$A19,DB!$1:$1,0)),FALSE),"")</f>
        <v/>
      </c>
      <c r="UVN19" s="28" t="str">
        <f>IFERROR(VLOOKUP(DATE($K$1,$K$2,UVN$4),Table1[],(MATCH(Calendar!$A19,DB!$1:$1,0)),FALSE),"")</f>
        <v/>
      </c>
      <c r="UVO19" s="28" t="str">
        <f>IFERROR(VLOOKUP(DATE($K$1,$K$2,UVO$4),Table1[],(MATCH(Calendar!$A19,DB!$1:$1,0)),FALSE),"")</f>
        <v/>
      </c>
      <c r="UVP19" s="28" t="str">
        <f>IFERROR(VLOOKUP(DATE($K$1,$K$2,UVP$4),Table1[],(MATCH(Calendar!$A19,DB!$1:$1,0)),FALSE),"")</f>
        <v/>
      </c>
      <c r="UVQ19" s="28" t="str">
        <f>IFERROR(VLOOKUP(DATE($K$1,$K$2,UVQ$4),Table1[],(MATCH(Calendar!$A19,DB!$1:$1,0)),FALSE),"")</f>
        <v/>
      </c>
      <c r="UVR19" s="28" t="str">
        <f>IFERROR(VLOOKUP(DATE($K$1,$K$2,UVR$4),Table1[],(MATCH(Calendar!$A19,DB!$1:$1,0)),FALSE),"")</f>
        <v/>
      </c>
      <c r="UVS19" s="28" t="str">
        <f>IFERROR(VLOOKUP(DATE($K$1,$K$2,UVS$4),Table1[],(MATCH(Calendar!$A19,DB!$1:$1,0)),FALSE),"")</f>
        <v/>
      </c>
      <c r="UVT19" s="28" t="str">
        <f>IFERROR(VLOOKUP(DATE($K$1,$K$2,UVT$4),Table1[],(MATCH(Calendar!$A19,DB!$1:$1,0)),FALSE),"")</f>
        <v/>
      </c>
      <c r="UVU19" s="28" t="str">
        <f>IFERROR(VLOOKUP(DATE($K$1,$K$2,UVU$4),Table1[],(MATCH(Calendar!$A19,DB!$1:$1,0)),FALSE),"")</f>
        <v/>
      </c>
      <c r="UVV19" s="28" t="str">
        <f>IFERROR(VLOOKUP(DATE($K$1,$K$2,UVV$4),Table1[],(MATCH(Calendar!$A19,DB!$1:$1,0)),FALSE),"")</f>
        <v/>
      </c>
      <c r="UVW19" s="28" t="str">
        <f>IFERROR(VLOOKUP(DATE($K$1,$K$2,UVW$4),Table1[],(MATCH(Calendar!$A19,DB!$1:$1,0)),FALSE),"")</f>
        <v/>
      </c>
      <c r="UVX19" s="28" t="str">
        <f>IFERROR(VLOOKUP(DATE($K$1,$K$2,UVX$4),Table1[],(MATCH(Calendar!$A19,DB!$1:$1,0)),FALSE),"")</f>
        <v/>
      </c>
      <c r="UVY19" s="28" t="str">
        <f>IFERROR(VLOOKUP(DATE($K$1,$K$2,UVY$4),Table1[],(MATCH(Calendar!$A19,DB!$1:$1,0)),FALSE),"")</f>
        <v/>
      </c>
      <c r="UVZ19" s="28" t="str">
        <f>IFERROR(VLOOKUP(DATE($K$1,$K$2,UVZ$4),Table1[],(MATCH(Calendar!$A19,DB!$1:$1,0)),FALSE),"")</f>
        <v/>
      </c>
      <c r="UWA19" s="28" t="str">
        <f>IFERROR(VLOOKUP(DATE($K$1,$K$2,UWA$4),Table1[],(MATCH(Calendar!$A19,DB!$1:$1,0)),FALSE),"")</f>
        <v/>
      </c>
      <c r="UWB19" s="28" t="str">
        <f>IFERROR(VLOOKUP(DATE($K$1,$K$2,UWB$4),Table1[],(MATCH(Calendar!$A19,DB!$1:$1,0)),FALSE),"")</f>
        <v/>
      </c>
      <c r="UWC19" s="28" t="str">
        <f>IFERROR(VLOOKUP(DATE($K$1,$K$2,UWC$4),Table1[],(MATCH(Calendar!$A19,DB!$1:$1,0)),FALSE),"")</f>
        <v/>
      </c>
      <c r="UWD19" s="28" t="str">
        <f>IFERROR(VLOOKUP(DATE($K$1,$K$2,UWD$4),Table1[],(MATCH(Calendar!$A19,DB!$1:$1,0)),FALSE),"")</f>
        <v/>
      </c>
      <c r="UWE19" s="28" t="str">
        <f>IFERROR(VLOOKUP(DATE($K$1,$K$2,UWE$4),Table1[],(MATCH(Calendar!$A19,DB!$1:$1,0)),FALSE),"")</f>
        <v/>
      </c>
      <c r="UWF19" s="28" t="str">
        <f>IFERROR(VLOOKUP(DATE($K$1,$K$2,UWF$4),Table1[],(MATCH(Calendar!$A19,DB!$1:$1,0)),FALSE),"")</f>
        <v/>
      </c>
      <c r="UWG19" s="28" t="str">
        <f>IFERROR(VLOOKUP(DATE($K$1,$K$2,UWG$4),Table1[],(MATCH(Calendar!$A19,DB!$1:$1,0)),FALSE),"")</f>
        <v/>
      </c>
      <c r="UWH19" s="28" t="str">
        <f>IFERROR(VLOOKUP(DATE($K$1,$K$2,UWH$4),Table1[],(MATCH(Calendar!$A19,DB!$1:$1,0)),FALSE),"")</f>
        <v/>
      </c>
      <c r="UWI19" s="28" t="str">
        <f>IFERROR(VLOOKUP(DATE($K$1,$K$2,UWI$4),Table1[],(MATCH(Calendar!$A19,DB!$1:$1,0)),FALSE),"")</f>
        <v/>
      </c>
      <c r="UWJ19" s="28" t="str">
        <f>IFERROR(VLOOKUP(DATE($K$1,$K$2,UWJ$4),Table1[],(MATCH(Calendar!$A19,DB!$1:$1,0)),FALSE),"")</f>
        <v/>
      </c>
      <c r="UWK19" s="28" t="str">
        <f>IFERROR(VLOOKUP(DATE($K$1,$K$2,UWK$4),Table1[],(MATCH(Calendar!$A19,DB!$1:$1,0)),FALSE),"")</f>
        <v/>
      </c>
      <c r="UWL19" s="28" t="str">
        <f>IFERROR(VLOOKUP(DATE($K$1,$K$2,UWL$4),Table1[],(MATCH(Calendar!$A19,DB!$1:$1,0)),FALSE),"")</f>
        <v/>
      </c>
      <c r="UWM19" s="28" t="str">
        <f>IFERROR(VLOOKUP(DATE($K$1,$K$2,UWM$4),Table1[],(MATCH(Calendar!$A19,DB!$1:$1,0)),FALSE),"")</f>
        <v/>
      </c>
      <c r="UWN19" s="28" t="str">
        <f>IFERROR(VLOOKUP(DATE($K$1,$K$2,UWN$4),Table1[],(MATCH(Calendar!$A19,DB!$1:$1,0)),FALSE),"")</f>
        <v/>
      </c>
      <c r="UWO19" s="28" t="str">
        <f>IFERROR(VLOOKUP(DATE($K$1,$K$2,UWO$4),Table1[],(MATCH(Calendar!$A19,DB!$1:$1,0)),FALSE),"")</f>
        <v/>
      </c>
      <c r="UWP19" s="28" t="str">
        <f>IFERROR(VLOOKUP(DATE($K$1,$K$2,UWP$4),Table1[],(MATCH(Calendar!$A19,DB!$1:$1,0)),FALSE),"")</f>
        <v/>
      </c>
      <c r="UWQ19" s="28" t="str">
        <f>IFERROR(VLOOKUP(DATE($K$1,$K$2,UWQ$4),Table1[],(MATCH(Calendar!$A19,DB!$1:$1,0)),FALSE),"")</f>
        <v/>
      </c>
      <c r="UWR19" s="28" t="str">
        <f>IFERROR(VLOOKUP(DATE($K$1,$K$2,UWR$4),Table1[],(MATCH(Calendar!$A19,DB!$1:$1,0)),FALSE),"")</f>
        <v/>
      </c>
      <c r="UWS19" s="28" t="str">
        <f>IFERROR(VLOOKUP(DATE($K$1,$K$2,UWS$4),Table1[],(MATCH(Calendar!$A19,DB!$1:$1,0)),FALSE),"")</f>
        <v/>
      </c>
      <c r="UWT19" s="28" t="str">
        <f>IFERROR(VLOOKUP(DATE($K$1,$K$2,UWT$4),Table1[],(MATCH(Calendar!$A19,DB!$1:$1,0)),FALSE),"")</f>
        <v/>
      </c>
      <c r="UWU19" s="28" t="str">
        <f>IFERROR(VLOOKUP(DATE($K$1,$K$2,UWU$4),Table1[],(MATCH(Calendar!$A19,DB!$1:$1,0)),FALSE),"")</f>
        <v/>
      </c>
      <c r="UWV19" s="28" t="str">
        <f>IFERROR(VLOOKUP(DATE($K$1,$K$2,UWV$4),Table1[],(MATCH(Calendar!$A19,DB!$1:$1,0)),FALSE),"")</f>
        <v/>
      </c>
      <c r="UWW19" s="28" t="str">
        <f>IFERROR(VLOOKUP(DATE($K$1,$K$2,UWW$4),Table1[],(MATCH(Calendar!$A19,DB!$1:$1,0)),FALSE),"")</f>
        <v/>
      </c>
      <c r="UWX19" s="28" t="str">
        <f>IFERROR(VLOOKUP(DATE($K$1,$K$2,UWX$4),Table1[],(MATCH(Calendar!$A19,DB!$1:$1,0)),FALSE),"")</f>
        <v/>
      </c>
      <c r="UWY19" s="28" t="str">
        <f>IFERROR(VLOOKUP(DATE($K$1,$K$2,UWY$4),Table1[],(MATCH(Calendar!$A19,DB!$1:$1,0)),FALSE),"")</f>
        <v/>
      </c>
      <c r="UWZ19" s="28" t="str">
        <f>IFERROR(VLOOKUP(DATE($K$1,$K$2,UWZ$4),Table1[],(MATCH(Calendar!$A19,DB!$1:$1,0)),FALSE),"")</f>
        <v/>
      </c>
      <c r="UXA19" s="28" t="str">
        <f>IFERROR(VLOOKUP(DATE($K$1,$K$2,UXA$4),Table1[],(MATCH(Calendar!$A19,DB!$1:$1,0)),FALSE),"")</f>
        <v/>
      </c>
      <c r="UXB19" s="28" t="str">
        <f>IFERROR(VLOOKUP(DATE($K$1,$K$2,UXB$4),Table1[],(MATCH(Calendar!$A19,DB!$1:$1,0)),FALSE),"")</f>
        <v/>
      </c>
      <c r="UXC19" s="28" t="str">
        <f>IFERROR(VLOOKUP(DATE($K$1,$K$2,UXC$4),Table1[],(MATCH(Calendar!$A19,DB!$1:$1,0)),FALSE),"")</f>
        <v/>
      </c>
      <c r="UXD19" s="28" t="str">
        <f>IFERROR(VLOOKUP(DATE($K$1,$K$2,UXD$4),Table1[],(MATCH(Calendar!$A19,DB!$1:$1,0)),FALSE),"")</f>
        <v/>
      </c>
      <c r="UXE19" s="28" t="str">
        <f>IFERROR(VLOOKUP(DATE($K$1,$K$2,UXE$4),Table1[],(MATCH(Calendar!$A19,DB!$1:$1,0)),FALSE),"")</f>
        <v/>
      </c>
      <c r="UXF19" s="28" t="str">
        <f>IFERROR(VLOOKUP(DATE($K$1,$K$2,UXF$4),Table1[],(MATCH(Calendar!$A19,DB!$1:$1,0)),FALSE),"")</f>
        <v/>
      </c>
      <c r="UXG19" s="28" t="str">
        <f>IFERROR(VLOOKUP(DATE($K$1,$K$2,UXG$4),Table1[],(MATCH(Calendar!$A19,DB!$1:$1,0)),FALSE),"")</f>
        <v/>
      </c>
      <c r="UXH19" s="28" t="str">
        <f>IFERROR(VLOOKUP(DATE($K$1,$K$2,UXH$4),Table1[],(MATCH(Calendar!$A19,DB!$1:$1,0)),FALSE),"")</f>
        <v/>
      </c>
      <c r="UXI19" s="28" t="str">
        <f>IFERROR(VLOOKUP(DATE($K$1,$K$2,UXI$4),Table1[],(MATCH(Calendar!$A19,DB!$1:$1,0)),FALSE),"")</f>
        <v/>
      </c>
      <c r="UXJ19" s="28" t="str">
        <f>IFERROR(VLOOKUP(DATE($K$1,$K$2,UXJ$4),Table1[],(MATCH(Calendar!$A19,DB!$1:$1,0)),FALSE),"")</f>
        <v/>
      </c>
      <c r="UXK19" s="28" t="str">
        <f>IFERROR(VLOOKUP(DATE($K$1,$K$2,UXK$4),Table1[],(MATCH(Calendar!$A19,DB!$1:$1,0)),FALSE),"")</f>
        <v/>
      </c>
      <c r="UXL19" s="28" t="str">
        <f>IFERROR(VLOOKUP(DATE($K$1,$K$2,UXL$4),Table1[],(MATCH(Calendar!$A19,DB!$1:$1,0)),FALSE),"")</f>
        <v/>
      </c>
      <c r="UXM19" s="28" t="str">
        <f>IFERROR(VLOOKUP(DATE($K$1,$K$2,UXM$4),Table1[],(MATCH(Calendar!$A19,DB!$1:$1,0)),FALSE),"")</f>
        <v/>
      </c>
      <c r="UXN19" s="28" t="str">
        <f>IFERROR(VLOOKUP(DATE($K$1,$K$2,UXN$4),Table1[],(MATCH(Calendar!$A19,DB!$1:$1,0)),FALSE),"")</f>
        <v/>
      </c>
      <c r="UXO19" s="28" t="str">
        <f>IFERROR(VLOOKUP(DATE($K$1,$K$2,UXO$4),Table1[],(MATCH(Calendar!$A19,DB!$1:$1,0)),FALSE),"")</f>
        <v/>
      </c>
      <c r="UXP19" s="28" t="str">
        <f>IFERROR(VLOOKUP(DATE($K$1,$K$2,UXP$4),Table1[],(MATCH(Calendar!$A19,DB!$1:$1,0)),FALSE),"")</f>
        <v/>
      </c>
      <c r="UXQ19" s="28" t="str">
        <f>IFERROR(VLOOKUP(DATE($K$1,$K$2,UXQ$4),Table1[],(MATCH(Calendar!$A19,DB!$1:$1,0)),FALSE),"")</f>
        <v/>
      </c>
      <c r="UXR19" s="28" t="str">
        <f>IFERROR(VLOOKUP(DATE($K$1,$K$2,UXR$4),Table1[],(MATCH(Calendar!$A19,DB!$1:$1,0)),FALSE),"")</f>
        <v/>
      </c>
      <c r="UXS19" s="28" t="str">
        <f>IFERROR(VLOOKUP(DATE($K$1,$K$2,UXS$4),Table1[],(MATCH(Calendar!$A19,DB!$1:$1,0)),FALSE),"")</f>
        <v/>
      </c>
      <c r="UXT19" s="28" t="str">
        <f>IFERROR(VLOOKUP(DATE($K$1,$K$2,UXT$4),Table1[],(MATCH(Calendar!$A19,DB!$1:$1,0)),FALSE),"")</f>
        <v/>
      </c>
      <c r="UXU19" s="28" t="str">
        <f>IFERROR(VLOOKUP(DATE($K$1,$K$2,UXU$4),Table1[],(MATCH(Calendar!$A19,DB!$1:$1,0)),FALSE),"")</f>
        <v/>
      </c>
      <c r="UXV19" s="28" t="str">
        <f>IFERROR(VLOOKUP(DATE($K$1,$K$2,UXV$4),Table1[],(MATCH(Calendar!$A19,DB!$1:$1,0)),FALSE),"")</f>
        <v/>
      </c>
      <c r="UXW19" s="28" t="str">
        <f>IFERROR(VLOOKUP(DATE($K$1,$K$2,UXW$4),Table1[],(MATCH(Calendar!$A19,DB!$1:$1,0)),FALSE),"")</f>
        <v/>
      </c>
      <c r="UXX19" s="28" t="str">
        <f>IFERROR(VLOOKUP(DATE($K$1,$K$2,UXX$4),Table1[],(MATCH(Calendar!$A19,DB!$1:$1,0)),FALSE),"")</f>
        <v/>
      </c>
      <c r="UXY19" s="28" t="str">
        <f>IFERROR(VLOOKUP(DATE($K$1,$K$2,UXY$4),Table1[],(MATCH(Calendar!$A19,DB!$1:$1,0)),FALSE),"")</f>
        <v/>
      </c>
      <c r="UXZ19" s="28" t="str">
        <f>IFERROR(VLOOKUP(DATE($K$1,$K$2,UXZ$4),Table1[],(MATCH(Calendar!$A19,DB!$1:$1,0)),FALSE),"")</f>
        <v/>
      </c>
      <c r="UYA19" s="28" t="str">
        <f>IFERROR(VLOOKUP(DATE($K$1,$K$2,UYA$4),Table1[],(MATCH(Calendar!$A19,DB!$1:$1,0)),FALSE),"")</f>
        <v/>
      </c>
      <c r="UYB19" s="28" t="str">
        <f>IFERROR(VLOOKUP(DATE($K$1,$K$2,UYB$4),Table1[],(MATCH(Calendar!$A19,DB!$1:$1,0)),FALSE),"")</f>
        <v/>
      </c>
      <c r="UYC19" s="28" t="str">
        <f>IFERROR(VLOOKUP(DATE($K$1,$K$2,UYC$4),Table1[],(MATCH(Calendar!$A19,DB!$1:$1,0)),FALSE),"")</f>
        <v/>
      </c>
      <c r="UYD19" s="28" t="str">
        <f>IFERROR(VLOOKUP(DATE($K$1,$K$2,UYD$4),Table1[],(MATCH(Calendar!$A19,DB!$1:$1,0)),FALSE),"")</f>
        <v/>
      </c>
      <c r="UYE19" s="28" t="str">
        <f>IFERROR(VLOOKUP(DATE($K$1,$K$2,UYE$4),Table1[],(MATCH(Calendar!$A19,DB!$1:$1,0)),FALSE),"")</f>
        <v/>
      </c>
      <c r="UYF19" s="28" t="str">
        <f>IFERROR(VLOOKUP(DATE($K$1,$K$2,UYF$4),Table1[],(MATCH(Calendar!$A19,DB!$1:$1,0)),FALSE),"")</f>
        <v/>
      </c>
      <c r="UYG19" s="28" t="str">
        <f>IFERROR(VLOOKUP(DATE($K$1,$K$2,UYG$4),Table1[],(MATCH(Calendar!$A19,DB!$1:$1,0)),FALSE),"")</f>
        <v/>
      </c>
      <c r="UYH19" s="28" t="str">
        <f>IFERROR(VLOOKUP(DATE($K$1,$K$2,UYH$4),Table1[],(MATCH(Calendar!$A19,DB!$1:$1,0)),FALSE),"")</f>
        <v/>
      </c>
      <c r="UYI19" s="28" t="str">
        <f>IFERROR(VLOOKUP(DATE($K$1,$K$2,UYI$4),Table1[],(MATCH(Calendar!$A19,DB!$1:$1,0)),FALSE),"")</f>
        <v/>
      </c>
      <c r="UYJ19" s="28" t="str">
        <f>IFERROR(VLOOKUP(DATE($K$1,$K$2,UYJ$4),Table1[],(MATCH(Calendar!$A19,DB!$1:$1,0)),FALSE),"")</f>
        <v/>
      </c>
      <c r="UYK19" s="28" t="str">
        <f>IFERROR(VLOOKUP(DATE($K$1,$K$2,UYK$4),Table1[],(MATCH(Calendar!$A19,DB!$1:$1,0)),FALSE),"")</f>
        <v/>
      </c>
      <c r="UYL19" s="28" t="str">
        <f>IFERROR(VLOOKUP(DATE($K$1,$K$2,UYL$4),Table1[],(MATCH(Calendar!$A19,DB!$1:$1,0)),FALSE),"")</f>
        <v/>
      </c>
      <c r="UYM19" s="28" t="str">
        <f>IFERROR(VLOOKUP(DATE($K$1,$K$2,UYM$4),Table1[],(MATCH(Calendar!$A19,DB!$1:$1,0)),FALSE),"")</f>
        <v/>
      </c>
      <c r="UYN19" s="28" t="str">
        <f>IFERROR(VLOOKUP(DATE($K$1,$K$2,UYN$4),Table1[],(MATCH(Calendar!$A19,DB!$1:$1,0)),FALSE),"")</f>
        <v/>
      </c>
      <c r="UYO19" s="28" t="str">
        <f>IFERROR(VLOOKUP(DATE($K$1,$K$2,UYO$4),Table1[],(MATCH(Calendar!$A19,DB!$1:$1,0)),FALSE),"")</f>
        <v/>
      </c>
      <c r="UYP19" s="28" t="str">
        <f>IFERROR(VLOOKUP(DATE($K$1,$K$2,UYP$4),Table1[],(MATCH(Calendar!$A19,DB!$1:$1,0)),FALSE),"")</f>
        <v/>
      </c>
      <c r="UYQ19" s="28" t="str">
        <f>IFERROR(VLOOKUP(DATE($K$1,$K$2,UYQ$4),Table1[],(MATCH(Calendar!$A19,DB!$1:$1,0)),FALSE),"")</f>
        <v/>
      </c>
      <c r="UYR19" s="28" t="str">
        <f>IFERROR(VLOOKUP(DATE($K$1,$K$2,UYR$4),Table1[],(MATCH(Calendar!$A19,DB!$1:$1,0)),FALSE),"")</f>
        <v/>
      </c>
      <c r="UYS19" s="28" t="str">
        <f>IFERROR(VLOOKUP(DATE($K$1,$K$2,UYS$4),Table1[],(MATCH(Calendar!$A19,DB!$1:$1,0)),FALSE),"")</f>
        <v/>
      </c>
      <c r="UYT19" s="28" t="str">
        <f>IFERROR(VLOOKUP(DATE($K$1,$K$2,UYT$4),Table1[],(MATCH(Calendar!$A19,DB!$1:$1,0)),FALSE),"")</f>
        <v/>
      </c>
      <c r="UYU19" s="28" t="str">
        <f>IFERROR(VLOOKUP(DATE($K$1,$K$2,UYU$4),Table1[],(MATCH(Calendar!$A19,DB!$1:$1,0)),FALSE),"")</f>
        <v/>
      </c>
      <c r="UYV19" s="28" t="str">
        <f>IFERROR(VLOOKUP(DATE($K$1,$K$2,UYV$4),Table1[],(MATCH(Calendar!$A19,DB!$1:$1,0)),FALSE),"")</f>
        <v/>
      </c>
      <c r="UYW19" s="28" t="str">
        <f>IFERROR(VLOOKUP(DATE($K$1,$K$2,UYW$4),Table1[],(MATCH(Calendar!$A19,DB!$1:$1,0)),FALSE),"")</f>
        <v/>
      </c>
      <c r="UYX19" s="28" t="str">
        <f>IFERROR(VLOOKUP(DATE($K$1,$K$2,UYX$4),Table1[],(MATCH(Calendar!$A19,DB!$1:$1,0)),FALSE),"")</f>
        <v/>
      </c>
      <c r="UYY19" s="28" t="str">
        <f>IFERROR(VLOOKUP(DATE($K$1,$K$2,UYY$4),Table1[],(MATCH(Calendar!$A19,DB!$1:$1,0)),FALSE),"")</f>
        <v/>
      </c>
      <c r="UYZ19" s="28" t="str">
        <f>IFERROR(VLOOKUP(DATE($K$1,$K$2,UYZ$4),Table1[],(MATCH(Calendar!$A19,DB!$1:$1,0)),FALSE),"")</f>
        <v/>
      </c>
      <c r="UZA19" s="28" t="str">
        <f>IFERROR(VLOOKUP(DATE($K$1,$K$2,UZA$4),Table1[],(MATCH(Calendar!$A19,DB!$1:$1,0)),FALSE),"")</f>
        <v/>
      </c>
      <c r="UZB19" s="28" t="str">
        <f>IFERROR(VLOOKUP(DATE($K$1,$K$2,UZB$4),Table1[],(MATCH(Calendar!$A19,DB!$1:$1,0)),FALSE),"")</f>
        <v/>
      </c>
      <c r="UZC19" s="28" t="str">
        <f>IFERROR(VLOOKUP(DATE($K$1,$K$2,UZC$4),Table1[],(MATCH(Calendar!$A19,DB!$1:$1,0)),FALSE),"")</f>
        <v/>
      </c>
      <c r="UZD19" s="28" t="str">
        <f>IFERROR(VLOOKUP(DATE($K$1,$K$2,UZD$4),Table1[],(MATCH(Calendar!$A19,DB!$1:$1,0)),FALSE),"")</f>
        <v/>
      </c>
      <c r="UZE19" s="28" t="str">
        <f>IFERROR(VLOOKUP(DATE($K$1,$K$2,UZE$4),Table1[],(MATCH(Calendar!$A19,DB!$1:$1,0)),FALSE),"")</f>
        <v/>
      </c>
      <c r="UZF19" s="28" t="str">
        <f>IFERROR(VLOOKUP(DATE($K$1,$K$2,UZF$4),Table1[],(MATCH(Calendar!$A19,DB!$1:$1,0)),FALSE),"")</f>
        <v/>
      </c>
      <c r="UZG19" s="28" t="str">
        <f>IFERROR(VLOOKUP(DATE($K$1,$K$2,UZG$4),Table1[],(MATCH(Calendar!$A19,DB!$1:$1,0)),FALSE),"")</f>
        <v/>
      </c>
      <c r="UZH19" s="28" t="str">
        <f>IFERROR(VLOOKUP(DATE($K$1,$K$2,UZH$4),Table1[],(MATCH(Calendar!$A19,DB!$1:$1,0)),FALSE),"")</f>
        <v/>
      </c>
      <c r="UZI19" s="28" t="str">
        <f>IFERROR(VLOOKUP(DATE($K$1,$K$2,UZI$4),Table1[],(MATCH(Calendar!$A19,DB!$1:$1,0)),FALSE),"")</f>
        <v/>
      </c>
      <c r="UZJ19" s="28" t="str">
        <f>IFERROR(VLOOKUP(DATE($K$1,$K$2,UZJ$4),Table1[],(MATCH(Calendar!$A19,DB!$1:$1,0)),FALSE),"")</f>
        <v/>
      </c>
      <c r="UZK19" s="28" t="str">
        <f>IFERROR(VLOOKUP(DATE($K$1,$K$2,UZK$4),Table1[],(MATCH(Calendar!$A19,DB!$1:$1,0)),FALSE),"")</f>
        <v/>
      </c>
      <c r="UZL19" s="28" t="str">
        <f>IFERROR(VLOOKUP(DATE($K$1,$K$2,UZL$4),Table1[],(MATCH(Calendar!$A19,DB!$1:$1,0)),FALSE),"")</f>
        <v/>
      </c>
      <c r="UZM19" s="28" t="str">
        <f>IFERROR(VLOOKUP(DATE($K$1,$K$2,UZM$4),Table1[],(MATCH(Calendar!$A19,DB!$1:$1,0)),FALSE),"")</f>
        <v/>
      </c>
      <c r="UZN19" s="28" t="str">
        <f>IFERROR(VLOOKUP(DATE($K$1,$K$2,UZN$4),Table1[],(MATCH(Calendar!$A19,DB!$1:$1,0)),FALSE),"")</f>
        <v/>
      </c>
      <c r="UZO19" s="28" t="str">
        <f>IFERROR(VLOOKUP(DATE($K$1,$K$2,UZO$4),Table1[],(MATCH(Calendar!$A19,DB!$1:$1,0)),FALSE),"")</f>
        <v/>
      </c>
      <c r="UZP19" s="28" t="str">
        <f>IFERROR(VLOOKUP(DATE($K$1,$K$2,UZP$4),Table1[],(MATCH(Calendar!$A19,DB!$1:$1,0)),FALSE),"")</f>
        <v/>
      </c>
      <c r="UZQ19" s="28" t="str">
        <f>IFERROR(VLOOKUP(DATE($K$1,$K$2,UZQ$4),Table1[],(MATCH(Calendar!$A19,DB!$1:$1,0)),FALSE),"")</f>
        <v/>
      </c>
      <c r="UZR19" s="28" t="str">
        <f>IFERROR(VLOOKUP(DATE($K$1,$K$2,UZR$4),Table1[],(MATCH(Calendar!$A19,DB!$1:$1,0)),FALSE),"")</f>
        <v/>
      </c>
      <c r="UZS19" s="28" t="str">
        <f>IFERROR(VLOOKUP(DATE($K$1,$K$2,UZS$4),Table1[],(MATCH(Calendar!$A19,DB!$1:$1,0)),FALSE),"")</f>
        <v/>
      </c>
      <c r="UZT19" s="28" t="str">
        <f>IFERROR(VLOOKUP(DATE($K$1,$K$2,UZT$4),Table1[],(MATCH(Calendar!$A19,DB!$1:$1,0)),FALSE),"")</f>
        <v/>
      </c>
      <c r="UZU19" s="28" t="str">
        <f>IFERROR(VLOOKUP(DATE($K$1,$K$2,UZU$4),Table1[],(MATCH(Calendar!$A19,DB!$1:$1,0)),FALSE),"")</f>
        <v/>
      </c>
      <c r="UZV19" s="28" t="str">
        <f>IFERROR(VLOOKUP(DATE($K$1,$K$2,UZV$4),Table1[],(MATCH(Calendar!$A19,DB!$1:$1,0)),FALSE),"")</f>
        <v/>
      </c>
      <c r="UZW19" s="28" t="str">
        <f>IFERROR(VLOOKUP(DATE($K$1,$K$2,UZW$4),Table1[],(MATCH(Calendar!$A19,DB!$1:$1,0)),FALSE),"")</f>
        <v/>
      </c>
      <c r="UZX19" s="28" t="str">
        <f>IFERROR(VLOOKUP(DATE($K$1,$K$2,UZX$4),Table1[],(MATCH(Calendar!$A19,DB!$1:$1,0)),FALSE),"")</f>
        <v/>
      </c>
      <c r="UZY19" s="28" t="str">
        <f>IFERROR(VLOOKUP(DATE($K$1,$K$2,UZY$4),Table1[],(MATCH(Calendar!$A19,DB!$1:$1,0)),FALSE),"")</f>
        <v/>
      </c>
      <c r="UZZ19" s="28" t="str">
        <f>IFERROR(VLOOKUP(DATE($K$1,$K$2,UZZ$4),Table1[],(MATCH(Calendar!$A19,DB!$1:$1,0)),FALSE),"")</f>
        <v/>
      </c>
      <c r="VAA19" s="28" t="str">
        <f>IFERROR(VLOOKUP(DATE($K$1,$K$2,VAA$4),Table1[],(MATCH(Calendar!$A19,DB!$1:$1,0)),FALSE),"")</f>
        <v/>
      </c>
      <c r="VAB19" s="28" t="str">
        <f>IFERROR(VLOOKUP(DATE($K$1,$K$2,VAB$4),Table1[],(MATCH(Calendar!$A19,DB!$1:$1,0)),FALSE),"")</f>
        <v/>
      </c>
      <c r="VAC19" s="28" t="str">
        <f>IFERROR(VLOOKUP(DATE($K$1,$K$2,VAC$4),Table1[],(MATCH(Calendar!$A19,DB!$1:$1,0)),FALSE),"")</f>
        <v/>
      </c>
      <c r="VAD19" s="28" t="str">
        <f>IFERROR(VLOOKUP(DATE($K$1,$K$2,VAD$4),Table1[],(MATCH(Calendar!$A19,DB!$1:$1,0)),FALSE),"")</f>
        <v/>
      </c>
      <c r="VAE19" s="28" t="str">
        <f>IFERROR(VLOOKUP(DATE($K$1,$K$2,VAE$4),Table1[],(MATCH(Calendar!$A19,DB!$1:$1,0)),FALSE),"")</f>
        <v/>
      </c>
      <c r="VAF19" s="28" t="str">
        <f>IFERROR(VLOOKUP(DATE($K$1,$K$2,VAF$4),Table1[],(MATCH(Calendar!$A19,DB!$1:$1,0)),FALSE),"")</f>
        <v/>
      </c>
      <c r="VAG19" s="28" t="str">
        <f>IFERROR(VLOOKUP(DATE($K$1,$K$2,VAG$4),Table1[],(MATCH(Calendar!$A19,DB!$1:$1,0)),FALSE),"")</f>
        <v/>
      </c>
      <c r="VAH19" s="28" t="str">
        <f>IFERROR(VLOOKUP(DATE($K$1,$K$2,VAH$4),Table1[],(MATCH(Calendar!$A19,DB!$1:$1,0)),FALSE),"")</f>
        <v/>
      </c>
      <c r="VAI19" s="28" t="str">
        <f>IFERROR(VLOOKUP(DATE($K$1,$K$2,VAI$4),Table1[],(MATCH(Calendar!$A19,DB!$1:$1,0)),FALSE),"")</f>
        <v/>
      </c>
      <c r="VAJ19" s="28" t="str">
        <f>IFERROR(VLOOKUP(DATE($K$1,$K$2,VAJ$4),Table1[],(MATCH(Calendar!$A19,DB!$1:$1,0)),FALSE),"")</f>
        <v/>
      </c>
      <c r="VAK19" s="28" t="str">
        <f>IFERROR(VLOOKUP(DATE($K$1,$K$2,VAK$4),Table1[],(MATCH(Calendar!$A19,DB!$1:$1,0)),FALSE),"")</f>
        <v/>
      </c>
      <c r="VAL19" s="28" t="str">
        <f>IFERROR(VLOOKUP(DATE($K$1,$K$2,VAL$4),Table1[],(MATCH(Calendar!$A19,DB!$1:$1,0)),FALSE),"")</f>
        <v/>
      </c>
      <c r="VAM19" s="28" t="str">
        <f>IFERROR(VLOOKUP(DATE($K$1,$K$2,VAM$4),Table1[],(MATCH(Calendar!$A19,DB!$1:$1,0)),FALSE),"")</f>
        <v/>
      </c>
      <c r="VAN19" s="28" t="str">
        <f>IFERROR(VLOOKUP(DATE($K$1,$K$2,VAN$4),Table1[],(MATCH(Calendar!$A19,DB!$1:$1,0)),FALSE),"")</f>
        <v/>
      </c>
      <c r="VAO19" s="28" t="str">
        <f>IFERROR(VLOOKUP(DATE($K$1,$K$2,VAO$4),Table1[],(MATCH(Calendar!$A19,DB!$1:$1,0)),FALSE),"")</f>
        <v/>
      </c>
      <c r="VAP19" s="28" t="str">
        <f>IFERROR(VLOOKUP(DATE($K$1,$K$2,VAP$4),Table1[],(MATCH(Calendar!$A19,DB!$1:$1,0)),FALSE),"")</f>
        <v/>
      </c>
      <c r="VAQ19" s="28" t="str">
        <f>IFERROR(VLOOKUP(DATE($K$1,$K$2,VAQ$4),Table1[],(MATCH(Calendar!$A19,DB!$1:$1,0)),FALSE),"")</f>
        <v/>
      </c>
      <c r="VAR19" s="28" t="str">
        <f>IFERROR(VLOOKUP(DATE($K$1,$K$2,VAR$4),Table1[],(MATCH(Calendar!$A19,DB!$1:$1,0)),FALSE),"")</f>
        <v/>
      </c>
      <c r="VAS19" s="28" t="str">
        <f>IFERROR(VLOOKUP(DATE($K$1,$K$2,VAS$4),Table1[],(MATCH(Calendar!$A19,DB!$1:$1,0)),FALSE),"")</f>
        <v/>
      </c>
      <c r="VAT19" s="28" t="str">
        <f>IFERROR(VLOOKUP(DATE($K$1,$K$2,VAT$4),Table1[],(MATCH(Calendar!$A19,DB!$1:$1,0)),FALSE),"")</f>
        <v/>
      </c>
      <c r="VAU19" s="28" t="str">
        <f>IFERROR(VLOOKUP(DATE($K$1,$K$2,VAU$4),Table1[],(MATCH(Calendar!$A19,DB!$1:$1,0)),FALSE),"")</f>
        <v/>
      </c>
      <c r="VAV19" s="28" t="str">
        <f>IFERROR(VLOOKUP(DATE($K$1,$K$2,VAV$4),Table1[],(MATCH(Calendar!$A19,DB!$1:$1,0)),FALSE),"")</f>
        <v/>
      </c>
      <c r="VAW19" s="28" t="str">
        <f>IFERROR(VLOOKUP(DATE($K$1,$K$2,VAW$4),Table1[],(MATCH(Calendar!$A19,DB!$1:$1,0)),FALSE),"")</f>
        <v/>
      </c>
      <c r="VAX19" s="28" t="str">
        <f>IFERROR(VLOOKUP(DATE($K$1,$K$2,VAX$4),Table1[],(MATCH(Calendar!$A19,DB!$1:$1,0)),FALSE),"")</f>
        <v/>
      </c>
      <c r="VAY19" s="28" t="str">
        <f>IFERROR(VLOOKUP(DATE($K$1,$K$2,VAY$4),Table1[],(MATCH(Calendar!$A19,DB!$1:$1,0)),FALSE),"")</f>
        <v/>
      </c>
      <c r="VAZ19" s="28" t="str">
        <f>IFERROR(VLOOKUP(DATE($K$1,$K$2,VAZ$4),Table1[],(MATCH(Calendar!$A19,DB!$1:$1,0)),FALSE),"")</f>
        <v/>
      </c>
      <c r="VBA19" s="28" t="str">
        <f>IFERROR(VLOOKUP(DATE($K$1,$K$2,VBA$4),Table1[],(MATCH(Calendar!$A19,DB!$1:$1,0)),FALSE),"")</f>
        <v/>
      </c>
      <c r="VBB19" s="28" t="str">
        <f>IFERROR(VLOOKUP(DATE($K$1,$K$2,VBB$4),Table1[],(MATCH(Calendar!$A19,DB!$1:$1,0)),FALSE),"")</f>
        <v/>
      </c>
      <c r="VBC19" s="28" t="str">
        <f>IFERROR(VLOOKUP(DATE($K$1,$K$2,VBC$4),Table1[],(MATCH(Calendar!$A19,DB!$1:$1,0)),FALSE),"")</f>
        <v/>
      </c>
      <c r="VBD19" s="28" t="str">
        <f>IFERROR(VLOOKUP(DATE($K$1,$K$2,VBD$4),Table1[],(MATCH(Calendar!$A19,DB!$1:$1,0)),FALSE),"")</f>
        <v/>
      </c>
      <c r="VBE19" s="28" t="str">
        <f>IFERROR(VLOOKUP(DATE($K$1,$K$2,VBE$4),Table1[],(MATCH(Calendar!$A19,DB!$1:$1,0)),FALSE),"")</f>
        <v/>
      </c>
      <c r="VBF19" s="28" t="str">
        <f>IFERROR(VLOOKUP(DATE($K$1,$K$2,VBF$4),Table1[],(MATCH(Calendar!$A19,DB!$1:$1,0)),FALSE),"")</f>
        <v/>
      </c>
      <c r="VBG19" s="28" t="str">
        <f>IFERROR(VLOOKUP(DATE($K$1,$K$2,VBG$4),Table1[],(MATCH(Calendar!$A19,DB!$1:$1,0)),FALSE),"")</f>
        <v/>
      </c>
      <c r="VBH19" s="28" t="str">
        <f>IFERROR(VLOOKUP(DATE($K$1,$K$2,VBH$4),Table1[],(MATCH(Calendar!$A19,DB!$1:$1,0)),FALSE),"")</f>
        <v/>
      </c>
      <c r="VBI19" s="28" t="str">
        <f>IFERROR(VLOOKUP(DATE($K$1,$K$2,VBI$4),Table1[],(MATCH(Calendar!$A19,DB!$1:$1,0)),FALSE),"")</f>
        <v/>
      </c>
      <c r="VBJ19" s="28" t="str">
        <f>IFERROR(VLOOKUP(DATE($K$1,$K$2,VBJ$4),Table1[],(MATCH(Calendar!$A19,DB!$1:$1,0)),FALSE),"")</f>
        <v/>
      </c>
      <c r="VBK19" s="28" t="str">
        <f>IFERROR(VLOOKUP(DATE($K$1,$K$2,VBK$4),Table1[],(MATCH(Calendar!$A19,DB!$1:$1,0)),FALSE),"")</f>
        <v/>
      </c>
      <c r="VBL19" s="28" t="str">
        <f>IFERROR(VLOOKUP(DATE($K$1,$K$2,VBL$4),Table1[],(MATCH(Calendar!$A19,DB!$1:$1,0)),FALSE),"")</f>
        <v/>
      </c>
      <c r="VBM19" s="28" t="str">
        <f>IFERROR(VLOOKUP(DATE($K$1,$K$2,VBM$4),Table1[],(MATCH(Calendar!$A19,DB!$1:$1,0)),FALSE),"")</f>
        <v/>
      </c>
      <c r="VBN19" s="28" t="str">
        <f>IFERROR(VLOOKUP(DATE($K$1,$K$2,VBN$4),Table1[],(MATCH(Calendar!$A19,DB!$1:$1,0)),FALSE),"")</f>
        <v/>
      </c>
      <c r="VBO19" s="28" t="str">
        <f>IFERROR(VLOOKUP(DATE($K$1,$K$2,VBO$4),Table1[],(MATCH(Calendar!$A19,DB!$1:$1,0)),FALSE),"")</f>
        <v/>
      </c>
      <c r="VBP19" s="28" t="str">
        <f>IFERROR(VLOOKUP(DATE($K$1,$K$2,VBP$4),Table1[],(MATCH(Calendar!$A19,DB!$1:$1,0)),FALSE),"")</f>
        <v/>
      </c>
      <c r="VBQ19" s="28" t="str">
        <f>IFERROR(VLOOKUP(DATE($K$1,$K$2,VBQ$4),Table1[],(MATCH(Calendar!$A19,DB!$1:$1,0)),FALSE),"")</f>
        <v/>
      </c>
      <c r="VBR19" s="28" t="str">
        <f>IFERROR(VLOOKUP(DATE($K$1,$K$2,VBR$4),Table1[],(MATCH(Calendar!$A19,DB!$1:$1,0)),FALSE),"")</f>
        <v/>
      </c>
      <c r="VBS19" s="28" t="str">
        <f>IFERROR(VLOOKUP(DATE($K$1,$K$2,VBS$4),Table1[],(MATCH(Calendar!$A19,DB!$1:$1,0)),FALSE),"")</f>
        <v/>
      </c>
      <c r="VBT19" s="28" t="str">
        <f>IFERROR(VLOOKUP(DATE($K$1,$K$2,VBT$4),Table1[],(MATCH(Calendar!$A19,DB!$1:$1,0)),FALSE),"")</f>
        <v/>
      </c>
      <c r="VBU19" s="28" t="str">
        <f>IFERROR(VLOOKUP(DATE($K$1,$K$2,VBU$4),Table1[],(MATCH(Calendar!$A19,DB!$1:$1,0)),FALSE),"")</f>
        <v/>
      </c>
      <c r="VBV19" s="28" t="str">
        <f>IFERROR(VLOOKUP(DATE($K$1,$K$2,VBV$4),Table1[],(MATCH(Calendar!$A19,DB!$1:$1,0)),FALSE),"")</f>
        <v/>
      </c>
      <c r="VBW19" s="28" t="str">
        <f>IFERROR(VLOOKUP(DATE($K$1,$K$2,VBW$4),Table1[],(MATCH(Calendar!$A19,DB!$1:$1,0)),FALSE),"")</f>
        <v/>
      </c>
      <c r="VBX19" s="28" t="str">
        <f>IFERROR(VLOOKUP(DATE($K$1,$K$2,VBX$4),Table1[],(MATCH(Calendar!$A19,DB!$1:$1,0)),FALSE),"")</f>
        <v/>
      </c>
      <c r="VBY19" s="28" t="str">
        <f>IFERROR(VLOOKUP(DATE($K$1,$K$2,VBY$4),Table1[],(MATCH(Calendar!$A19,DB!$1:$1,0)),FALSE),"")</f>
        <v/>
      </c>
      <c r="VBZ19" s="28" t="str">
        <f>IFERROR(VLOOKUP(DATE($K$1,$K$2,VBZ$4),Table1[],(MATCH(Calendar!$A19,DB!$1:$1,0)),FALSE),"")</f>
        <v/>
      </c>
      <c r="VCA19" s="28" t="str">
        <f>IFERROR(VLOOKUP(DATE($K$1,$K$2,VCA$4),Table1[],(MATCH(Calendar!$A19,DB!$1:$1,0)),FALSE),"")</f>
        <v/>
      </c>
      <c r="VCB19" s="28" t="str">
        <f>IFERROR(VLOOKUP(DATE($K$1,$K$2,VCB$4),Table1[],(MATCH(Calendar!$A19,DB!$1:$1,0)),FALSE),"")</f>
        <v/>
      </c>
      <c r="VCC19" s="28" t="str">
        <f>IFERROR(VLOOKUP(DATE($K$1,$K$2,VCC$4),Table1[],(MATCH(Calendar!$A19,DB!$1:$1,0)),FALSE),"")</f>
        <v/>
      </c>
      <c r="VCD19" s="28" t="str">
        <f>IFERROR(VLOOKUP(DATE($K$1,$K$2,VCD$4),Table1[],(MATCH(Calendar!$A19,DB!$1:$1,0)),FALSE),"")</f>
        <v/>
      </c>
      <c r="VCE19" s="28" t="str">
        <f>IFERROR(VLOOKUP(DATE($K$1,$K$2,VCE$4),Table1[],(MATCH(Calendar!$A19,DB!$1:$1,0)),FALSE),"")</f>
        <v/>
      </c>
      <c r="VCF19" s="28" t="str">
        <f>IFERROR(VLOOKUP(DATE($K$1,$K$2,VCF$4),Table1[],(MATCH(Calendar!$A19,DB!$1:$1,0)),FALSE),"")</f>
        <v/>
      </c>
      <c r="VCG19" s="28" t="str">
        <f>IFERROR(VLOOKUP(DATE($K$1,$K$2,VCG$4),Table1[],(MATCH(Calendar!$A19,DB!$1:$1,0)),FALSE),"")</f>
        <v/>
      </c>
      <c r="VCH19" s="28" t="str">
        <f>IFERROR(VLOOKUP(DATE($K$1,$K$2,VCH$4),Table1[],(MATCH(Calendar!$A19,DB!$1:$1,0)),FALSE),"")</f>
        <v/>
      </c>
      <c r="VCI19" s="28" t="str">
        <f>IFERROR(VLOOKUP(DATE($K$1,$K$2,VCI$4),Table1[],(MATCH(Calendar!$A19,DB!$1:$1,0)),FALSE),"")</f>
        <v/>
      </c>
      <c r="VCJ19" s="28" t="str">
        <f>IFERROR(VLOOKUP(DATE($K$1,$K$2,VCJ$4),Table1[],(MATCH(Calendar!$A19,DB!$1:$1,0)),FALSE),"")</f>
        <v/>
      </c>
      <c r="VCK19" s="28" t="str">
        <f>IFERROR(VLOOKUP(DATE($K$1,$K$2,VCK$4),Table1[],(MATCH(Calendar!$A19,DB!$1:$1,0)),FALSE),"")</f>
        <v/>
      </c>
      <c r="VCL19" s="28" t="str">
        <f>IFERROR(VLOOKUP(DATE($K$1,$K$2,VCL$4),Table1[],(MATCH(Calendar!$A19,DB!$1:$1,0)),FALSE),"")</f>
        <v/>
      </c>
      <c r="VCM19" s="28" t="str">
        <f>IFERROR(VLOOKUP(DATE($K$1,$K$2,VCM$4),Table1[],(MATCH(Calendar!$A19,DB!$1:$1,0)),FALSE),"")</f>
        <v/>
      </c>
      <c r="VCN19" s="28" t="str">
        <f>IFERROR(VLOOKUP(DATE($K$1,$K$2,VCN$4),Table1[],(MATCH(Calendar!$A19,DB!$1:$1,0)),FALSE),"")</f>
        <v/>
      </c>
      <c r="VCO19" s="28" t="str">
        <f>IFERROR(VLOOKUP(DATE($K$1,$K$2,VCO$4),Table1[],(MATCH(Calendar!$A19,DB!$1:$1,0)),FALSE),"")</f>
        <v/>
      </c>
      <c r="VCP19" s="28" t="str">
        <f>IFERROR(VLOOKUP(DATE($K$1,$K$2,VCP$4),Table1[],(MATCH(Calendar!$A19,DB!$1:$1,0)),FALSE),"")</f>
        <v/>
      </c>
      <c r="VCQ19" s="28" t="str">
        <f>IFERROR(VLOOKUP(DATE($K$1,$K$2,VCQ$4),Table1[],(MATCH(Calendar!$A19,DB!$1:$1,0)),FALSE),"")</f>
        <v/>
      </c>
      <c r="VCR19" s="28" t="str">
        <f>IFERROR(VLOOKUP(DATE($K$1,$K$2,VCR$4),Table1[],(MATCH(Calendar!$A19,DB!$1:$1,0)),FALSE),"")</f>
        <v/>
      </c>
      <c r="VCS19" s="28" t="str">
        <f>IFERROR(VLOOKUP(DATE($K$1,$K$2,VCS$4),Table1[],(MATCH(Calendar!$A19,DB!$1:$1,0)),FALSE),"")</f>
        <v/>
      </c>
      <c r="VCT19" s="28" t="str">
        <f>IFERROR(VLOOKUP(DATE($K$1,$K$2,VCT$4),Table1[],(MATCH(Calendar!$A19,DB!$1:$1,0)),FALSE),"")</f>
        <v/>
      </c>
      <c r="VCU19" s="28" t="str">
        <f>IFERROR(VLOOKUP(DATE($K$1,$K$2,VCU$4),Table1[],(MATCH(Calendar!$A19,DB!$1:$1,0)),FALSE),"")</f>
        <v/>
      </c>
      <c r="VCV19" s="28" t="str">
        <f>IFERROR(VLOOKUP(DATE($K$1,$K$2,VCV$4),Table1[],(MATCH(Calendar!$A19,DB!$1:$1,0)),FALSE),"")</f>
        <v/>
      </c>
      <c r="VCW19" s="28" t="str">
        <f>IFERROR(VLOOKUP(DATE($K$1,$K$2,VCW$4),Table1[],(MATCH(Calendar!$A19,DB!$1:$1,0)),FALSE),"")</f>
        <v/>
      </c>
      <c r="VCX19" s="28" t="str">
        <f>IFERROR(VLOOKUP(DATE($K$1,$K$2,VCX$4),Table1[],(MATCH(Calendar!$A19,DB!$1:$1,0)),FALSE),"")</f>
        <v/>
      </c>
      <c r="VCY19" s="28" t="str">
        <f>IFERROR(VLOOKUP(DATE($K$1,$K$2,VCY$4),Table1[],(MATCH(Calendar!$A19,DB!$1:$1,0)),FALSE),"")</f>
        <v/>
      </c>
      <c r="VCZ19" s="28" t="str">
        <f>IFERROR(VLOOKUP(DATE($K$1,$K$2,VCZ$4),Table1[],(MATCH(Calendar!$A19,DB!$1:$1,0)),FALSE),"")</f>
        <v/>
      </c>
      <c r="VDA19" s="28" t="str">
        <f>IFERROR(VLOOKUP(DATE($K$1,$K$2,VDA$4),Table1[],(MATCH(Calendar!$A19,DB!$1:$1,0)),FALSE),"")</f>
        <v/>
      </c>
      <c r="VDB19" s="28" t="str">
        <f>IFERROR(VLOOKUP(DATE($K$1,$K$2,VDB$4),Table1[],(MATCH(Calendar!$A19,DB!$1:$1,0)),FALSE),"")</f>
        <v/>
      </c>
      <c r="VDC19" s="28" t="str">
        <f>IFERROR(VLOOKUP(DATE($K$1,$K$2,VDC$4),Table1[],(MATCH(Calendar!$A19,DB!$1:$1,0)),FALSE),"")</f>
        <v/>
      </c>
      <c r="VDD19" s="28" t="str">
        <f>IFERROR(VLOOKUP(DATE($K$1,$K$2,VDD$4),Table1[],(MATCH(Calendar!$A19,DB!$1:$1,0)),FALSE),"")</f>
        <v/>
      </c>
      <c r="VDE19" s="28" t="str">
        <f>IFERROR(VLOOKUP(DATE($K$1,$K$2,VDE$4),Table1[],(MATCH(Calendar!$A19,DB!$1:$1,0)),FALSE),"")</f>
        <v/>
      </c>
      <c r="VDF19" s="28" t="str">
        <f>IFERROR(VLOOKUP(DATE($K$1,$K$2,VDF$4),Table1[],(MATCH(Calendar!$A19,DB!$1:$1,0)),FALSE),"")</f>
        <v/>
      </c>
      <c r="VDG19" s="28" t="str">
        <f>IFERROR(VLOOKUP(DATE($K$1,$K$2,VDG$4),Table1[],(MATCH(Calendar!$A19,DB!$1:$1,0)),FALSE),"")</f>
        <v/>
      </c>
      <c r="VDH19" s="28" t="str">
        <f>IFERROR(VLOOKUP(DATE($K$1,$K$2,VDH$4),Table1[],(MATCH(Calendar!$A19,DB!$1:$1,0)),FALSE),"")</f>
        <v/>
      </c>
      <c r="VDI19" s="28" t="str">
        <f>IFERROR(VLOOKUP(DATE($K$1,$K$2,VDI$4),Table1[],(MATCH(Calendar!$A19,DB!$1:$1,0)),FALSE),"")</f>
        <v/>
      </c>
      <c r="VDJ19" s="28" t="str">
        <f>IFERROR(VLOOKUP(DATE($K$1,$K$2,VDJ$4),Table1[],(MATCH(Calendar!$A19,DB!$1:$1,0)),FALSE),"")</f>
        <v/>
      </c>
      <c r="VDK19" s="28" t="str">
        <f>IFERROR(VLOOKUP(DATE($K$1,$K$2,VDK$4),Table1[],(MATCH(Calendar!$A19,DB!$1:$1,0)),FALSE),"")</f>
        <v/>
      </c>
      <c r="VDL19" s="28" t="str">
        <f>IFERROR(VLOOKUP(DATE($K$1,$K$2,VDL$4),Table1[],(MATCH(Calendar!$A19,DB!$1:$1,0)),FALSE),"")</f>
        <v/>
      </c>
      <c r="VDM19" s="28" t="str">
        <f>IFERROR(VLOOKUP(DATE($K$1,$K$2,VDM$4),Table1[],(MATCH(Calendar!$A19,DB!$1:$1,0)),FALSE),"")</f>
        <v/>
      </c>
      <c r="VDN19" s="28" t="str">
        <f>IFERROR(VLOOKUP(DATE($K$1,$K$2,VDN$4),Table1[],(MATCH(Calendar!$A19,DB!$1:$1,0)),FALSE),"")</f>
        <v/>
      </c>
      <c r="VDO19" s="28" t="str">
        <f>IFERROR(VLOOKUP(DATE($K$1,$K$2,VDO$4),Table1[],(MATCH(Calendar!$A19,DB!$1:$1,0)),FALSE),"")</f>
        <v/>
      </c>
      <c r="VDP19" s="28" t="str">
        <f>IFERROR(VLOOKUP(DATE($K$1,$K$2,VDP$4),Table1[],(MATCH(Calendar!$A19,DB!$1:$1,0)),FALSE),"")</f>
        <v/>
      </c>
      <c r="VDQ19" s="28" t="str">
        <f>IFERROR(VLOOKUP(DATE($K$1,$K$2,VDQ$4),Table1[],(MATCH(Calendar!$A19,DB!$1:$1,0)),FALSE),"")</f>
        <v/>
      </c>
      <c r="VDR19" s="28" t="str">
        <f>IFERROR(VLOOKUP(DATE($K$1,$K$2,VDR$4),Table1[],(MATCH(Calendar!$A19,DB!$1:$1,0)),FALSE),"")</f>
        <v/>
      </c>
      <c r="VDS19" s="28" t="str">
        <f>IFERROR(VLOOKUP(DATE($K$1,$K$2,VDS$4),Table1[],(MATCH(Calendar!$A19,DB!$1:$1,0)),FALSE),"")</f>
        <v/>
      </c>
      <c r="VDT19" s="28" t="str">
        <f>IFERROR(VLOOKUP(DATE($K$1,$K$2,VDT$4),Table1[],(MATCH(Calendar!$A19,DB!$1:$1,0)),FALSE),"")</f>
        <v/>
      </c>
      <c r="VDU19" s="28" t="str">
        <f>IFERROR(VLOOKUP(DATE($K$1,$K$2,VDU$4),Table1[],(MATCH(Calendar!$A19,DB!$1:$1,0)),FALSE),"")</f>
        <v/>
      </c>
      <c r="VDV19" s="28" t="str">
        <f>IFERROR(VLOOKUP(DATE($K$1,$K$2,VDV$4),Table1[],(MATCH(Calendar!$A19,DB!$1:$1,0)),FALSE),"")</f>
        <v/>
      </c>
      <c r="VDW19" s="28" t="str">
        <f>IFERROR(VLOOKUP(DATE($K$1,$K$2,VDW$4),Table1[],(MATCH(Calendar!$A19,DB!$1:$1,0)),FALSE),"")</f>
        <v/>
      </c>
      <c r="VDX19" s="28" t="str">
        <f>IFERROR(VLOOKUP(DATE($K$1,$K$2,VDX$4),Table1[],(MATCH(Calendar!$A19,DB!$1:$1,0)),FALSE),"")</f>
        <v/>
      </c>
      <c r="VDY19" s="28" t="str">
        <f>IFERROR(VLOOKUP(DATE($K$1,$K$2,VDY$4),Table1[],(MATCH(Calendar!$A19,DB!$1:$1,0)),FALSE),"")</f>
        <v/>
      </c>
      <c r="VDZ19" s="28" t="str">
        <f>IFERROR(VLOOKUP(DATE($K$1,$K$2,VDZ$4),Table1[],(MATCH(Calendar!$A19,DB!$1:$1,0)),FALSE),"")</f>
        <v/>
      </c>
      <c r="VEA19" s="28" t="str">
        <f>IFERROR(VLOOKUP(DATE($K$1,$K$2,VEA$4),Table1[],(MATCH(Calendar!$A19,DB!$1:$1,0)),FALSE),"")</f>
        <v/>
      </c>
      <c r="VEB19" s="28" t="str">
        <f>IFERROR(VLOOKUP(DATE($K$1,$K$2,VEB$4),Table1[],(MATCH(Calendar!$A19,DB!$1:$1,0)),FALSE),"")</f>
        <v/>
      </c>
      <c r="VEC19" s="28" t="str">
        <f>IFERROR(VLOOKUP(DATE($K$1,$K$2,VEC$4),Table1[],(MATCH(Calendar!$A19,DB!$1:$1,0)),FALSE),"")</f>
        <v/>
      </c>
      <c r="VED19" s="28" t="str">
        <f>IFERROR(VLOOKUP(DATE($K$1,$K$2,VED$4),Table1[],(MATCH(Calendar!$A19,DB!$1:$1,0)),FALSE),"")</f>
        <v/>
      </c>
      <c r="VEE19" s="28" t="str">
        <f>IFERROR(VLOOKUP(DATE($K$1,$K$2,VEE$4),Table1[],(MATCH(Calendar!$A19,DB!$1:$1,0)),FALSE),"")</f>
        <v/>
      </c>
      <c r="VEF19" s="28" t="str">
        <f>IFERROR(VLOOKUP(DATE($K$1,$K$2,VEF$4),Table1[],(MATCH(Calendar!$A19,DB!$1:$1,0)),FALSE),"")</f>
        <v/>
      </c>
      <c r="VEG19" s="28" t="str">
        <f>IFERROR(VLOOKUP(DATE($K$1,$K$2,VEG$4),Table1[],(MATCH(Calendar!$A19,DB!$1:$1,0)),FALSE),"")</f>
        <v/>
      </c>
      <c r="VEH19" s="28" t="str">
        <f>IFERROR(VLOOKUP(DATE($K$1,$K$2,VEH$4),Table1[],(MATCH(Calendar!$A19,DB!$1:$1,0)),FALSE),"")</f>
        <v/>
      </c>
      <c r="VEI19" s="28" t="str">
        <f>IFERROR(VLOOKUP(DATE($K$1,$K$2,VEI$4),Table1[],(MATCH(Calendar!$A19,DB!$1:$1,0)),FALSE),"")</f>
        <v/>
      </c>
      <c r="VEJ19" s="28" t="str">
        <f>IFERROR(VLOOKUP(DATE($K$1,$K$2,VEJ$4),Table1[],(MATCH(Calendar!$A19,DB!$1:$1,0)),FALSE),"")</f>
        <v/>
      </c>
      <c r="VEK19" s="28" t="str">
        <f>IFERROR(VLOOKUP(DATE($K$1,$K$2,VEK$4),Table1[],(MATCH(Calendar!$A19,DB!$1:$1,0)),FALSE),"")</f>
        <v/>
      </c>
      <c r="VEL19" s="28" t="str">
        <f>IFERROR(VLOOKUP(DATE($K$1,$K$2,VEL$4),Table1[],(MATCH(Calendar!$A19,DB!$1:$1,0)),FALSE),"")</f>
        <v/>
      </c>
      <c r="VEM19" s="28" t="str">
        <f>IFERROR(VLOOKUP(DATE($K$1,$K$2,VEM$4),Table1[],(MATCH(Calendar!$A19,DB!$1:$1,0)),FALSE),"")</f>
        <v/>
      </c>
      <c r="VEN19" s="28" t="str">
        <f>IFERROR(VLOOKUP(DATE($K$1,$K$2,VEN$4),Table1[],(MATCH(Calendar!$A19,DB!$1:$1,0)),FALSE),"")</f>
        <v/>
      </c>
      <c r="VEO19" s="28" t="str">
        <f>IFERROR(VLOOKUP(DATE($K$1,$K$2,VEO$4),Table1[],(MATCH(Calendar!$A19,DB!$1:$1,0)),FALSE),"")</f>
        <v/>
      </c>
      <c r="VEP19" s="28" t="str">
        <f>IFERROR(VLOOKUP(DATE($K$1,$K$2,VEP$4),Table1[],(MATCH(Calendar!$A19,DB!$1:$1,0)),FALSE),"")</f>
        <v/>
      </c>
      <c r="VEQ19" s="28" t="str">
        <f>IFERROR(VLOOKUP(DATE($K$1,$K$2,VEQ$4),Table1[],(MATCH(Calendar!$A19,DB!$1:$1,0)),FALSE),"")</f>
        <v/>
      </c>
      <c r="VER19" s="28" t="str">
        <f>IFERROR(VLOOKUP(DATE($K$1,$K$2,VER$4),Table1[],(MATCH(Calendar!$A19,DB!$1:$1,0)),FALSE),"")</f>
        <v/>
      </c>
      <c r="VES19" s="28" t="str">
        <f>IFERROR(VLOOKUP(DATE($K$1,$K$2,VES$4),Table1[],(MATCH(Calendar!$A19,DB!$1:$1,0)),FALSE),"")</f>
        <v/>
      </c>
      <c r="VET19" s="28" t="str">
        <f>IFERROR(VLOOKUP(DATE($K$1,$K$2,VET$4),Table1[],(MATCH(Calendar!$A19,DB!$1:$1,0)),FALSE),"")</f>
        <v/>
      </c>
      <c r="VEU19" s="28" t="str">
        <f>IFERROR(VLOOKUP(DATE($K$1,$K$2,VEU$4),Table1[],(MATCH(Calendar!$A19,DB!$1:$1,0)),FALSE),"")</f>
        <v/>
      </c>
      <c r="VEV19" s="28" t="str">
        <f>IFERROR(VLOOKUP(DATE($K$1,$K$2,VEV$4),Table1[],(MATCH(Calendar!$A19,DB!$1:$1,0)),FALSE),"")</f>
        <v/>
      </c>
      <c r="VEW19" s="28" t="str">
        <f>IFERROR(VLOOKUP(DATE($K$1,$K$2,VEW$4),Table1[],(MATCH(Calendar!$A19,DB!$1:$1,0)),FALSE),"")</f>
        <v/>
      </c>
      <c r="VEX19" s="28" t="str">
        <f>IFERROR(VLOOKUP(DATE($K$1,$K$2,VEX$4),Table1[],(MATCH(Calendar!$A19,DB!$1:$1,0)),FALSE),"")</f>
        <v/>
      </c>
      <c r="VEY19" s="28" t="str">
        <f>IFERROR(VLOOKUP(DATE($K$1,$K$2,VEY$4),Table1[],(MATCH(Calendar!$A19,DB!$1:$1,0)),FALSE),"")</f>
        <v/>
      </c>
      <c r="VEZ19" s="28" t="str">
        <f>IFERROR(VLOOKUP(DATE($K$1,$K$2,VEZ$4),Table1[],(MATCH(Calendar!$A19,DB!$1:$1,0)),FALSE),"")</f>
        <v/>
      </c>
      <c r="VFA19" s="28" t="str">
        <f>IFERROR(VLOOKUP(DATE($K$1,$K$2,VFA$4),Table1[],(MATCH(Calendar!$A19,DB!$1:$1,0)),FALSE),"")</f>
        <v/>
      </c>
      <c r="VFB19" s="28" t="str">
        <f>IFERROR(VLOOKUP(DATE($K$1,$K$2,VFB$4),Table1[],(MATCH(Calendar!$A19,DB!$1:$1,0)),FALSE),"")</f>
        <v/>
      </c>
      <c r="VFC19" s="28" t="str">
        <f>IFERROR(VLOOKUP(DATE($K$1,$K$2,VFC$4),Table1[],(MATCH(Calendar!$A19,DB!$1:$1,0)),FALSE),"")</f>
        <v/>
      </c>
      <c r="VFD19" s="28" t="str">
        <f>IFERROR(VLOOKUP(DATE($K$1,$K$2,VFD$4),Table1[],(MATCH(Calendar!$A19,DB!$1:$1,0)),FALSE),"")</f>
        <v/>
      </c>
      <c r="VFE19" s="28" t="str">
        <f>IFERROR(VLOOKUP(DATE($K$1,$K$2,VFE$4),Table1[],(MATCH(Calendar!$A19,DB!$1:$1,0)),FALSE),"")</f>
        <v/>
      </c>
      <c r="VFF19" s="28" t="str">
        <f>IFERROR(VLOOKUP(DATE($K$1,$K$2,VFF$4),Table1[],(MATCH(Calendar!$A19,DB!$1:$1,0)),FALSE),"")</f>
        <v/>
      </c>
      <c r="VFG19" s="28" t="str">
        <f>IFERROR(VLOOKUP(DATE($K$1,$K$2,VFG$4),Table1[],(MATCH(Calendar!$A19,DB!$1:$1,0)),FALSE),"")</f>
        <v/>
      </c>
      <c r="VFH19" s="28" t="str">
        <f>IFERROR(VLOOKUP(DATE($K$1,$K$2,VFH$4),Table1[],(MATCH(Calendar!$A19,DB!$1:$1,0)),FALSE),"")</f>
        <v/>
      </c>
      <c r="VFI19" s="28" t="str">
        <f>IFERROR(VLOOKUP(DATE($K$1,$K$2,VFI$4),Table1[],(MATCH(Calendar!$A19,DB!$1:$1,0)),FALSE),"")</f>
        <v/>
      </c>
      <c r="VFJ19" s="28" t="str">
        <f>IFERROR(VLOOKUP(DATE($K$1,$K$2,VFJ$4),Table1[],(MATCH(Calendar!$A19,DB!$1:$1,0)),FALSE),"")</f>
        <v/>
      </c>
      <c r="VFK19" s="28" t="str">
        <f>IFERROR(VLOOKUP(DATE($K$1,$K$2,VFK$4),Table1[],(MATCH(Calendar!$A19,DB!$1:$1,0)),FALSE),"")</f>
        <v/>
      </c>
      <c r="VFL19" s="28" t="str">
        <f>IFERROR(VLOOKUP(DATE($K$1,$K$2,VFL$4),Table1[],(MATCH(Calendar!$A19,DB!$1:$1,0)),FALSE),"")</f>
        <v/>
      </c>
      <c r="VFM19" s="28" t="str">
        <f>IFERROR(VLOOKUP(DATE($K$1,$K$2,VFM$4),Table1[],(MATCH(Calendar!$A19,DB!$1:$1,0)),FALSE),"")</f>
        <v/>
      </c>
      <c r="VFN19" s="28" t="str">
        <f>IFERROR(VLOOKUP(DATE($K$1,$K$2,VFN$4),Table1[],(MATCH(Calendar!$A19,DB!$1:$1,0)),FALSE),"")</f>
        <v/>
      </c>
      <c r="VFO19" s="28" t="str">
        <f>IFERROR(VLOOKUP(DATE($K$1,$K$2,VFO$4),Table1[],(MATCH(Calendar!$A19,DB!$1:$1,0)),FALSE),"")</f>
        <v/>
      </c>
      <c r="VFP19" s="28" t="str">
        <f>IFERROR(VLOOKUP(DATE($K$1,$K$2,VFP$4),Table1[],(MATCH(Calendar!$A19,DB!$1:$1,0)),FALSE),"")</f>
        <v/>
      </c>
      <c r="VFQ19" s="28" t="str">
        <f>IFERROR(VLOOKUP(DATE($K$1,$K$2,VFQ$4),Table1[],(MATCH(Calendar!$A19,DB!$1:$1,0)),FALSE),"")</f>
        <v/>
      </c>
      <c r="VFR19" s="28" t="str">
        <f>IFERROR(VLOOKUP(DATE($K$1,$K$2,VFR$4),Table1[],(MATCH(Calendar!$A19,DB!$1:$1,0)),FALSE),"")</f>
        <v/>
      </c>
      <c r="VFS19" s="28" t="str">
        <f>IFERROR(VLOOKUP(DATE($K$1,$K$2,VFS$4),Table1[],(MATCH(Calendar!$A19,DB!$1:$1,0)),FALSE),"")</f>
        <v/>
      </c>
      <c r="VFT19" s="28" t="str">
        <f>IFERROR(VLOOKUP(DATE($K$1,$K$2,VFT$4),Table1[],(MATCH(Calendar!$A19,DB!$1:$1,0)),FALSE),"")</f>
        <v/>
      </c>
      <c r="VFU19" s="28" t="str">
        <f>IFERROR(VLOOKUP(DATE($K$1,$K$2,VFU$4),Table1[],(MATCH(Calendar!$A19,DB!$1:$1,0)),FALSE),"")</f>
        <v/>
      </c>
      <c r="VFV19" s="28" t="str">
        <f>IFERROR(VLOOKUP(DATE($K$1,$K$2,VFV$4),Table1[],(MATCH(Calendar!$A19,DB!$1:$1,0)),FALSE),"")</f>
        <v/>
      </c>
      <c r="VFW19" s="28" t="str">
        <f>IFERROR(VLOOKUP(DATE($K$1,$K$2,VFW$4),Table1[],(MATCH(Calendar!$A19,DB!$1:$1,0)),FALSE),"")</f>
        <v/>
      </c>
      <c r="VFX19" s="28" t="str">
        <f>IFERROR(VLOOKUP(DATE($K$1,$K$2,VFX$4),Table1[],(MATCH(Calendar!$A19,DB!$1:$1,0)),FALSE),"")</f>
        <v/>
      </c>
      <c r="VFY19" s="28" t="str">
        <f>IFERROR(VLOOKUP(DATE($K$1,$K$2,VFY$4),Table1[],(MATCH(Calendar!$A19,DB!$1:$1,0)),FALSE),"")</f>
        <v/>
      </c>
      <c r="VFZ19" s="28" t="str">
        <f>IFERROR(VLOOKUP(DATE($K$1,$K$2,VFZ$4),Table1[],(MATCH(Calendar!$A19,DB!$1:$1,0)),FALSE),"")</f>
        <v/>
      </c>
      <c r="VGA19" s="28" t="str">
        <f>IFERROR(VLOOKUP(DATE($K$1,$K$2,VGA$4),Table1[],(MATCH(Calendar!$A19,DB!$1:$1,0)),FALSE),"")</f>
        <v/>
      </c>
      <c r="VGB19" s="28" t="str">
        <f>IFERROR(VLOOKUP(DATE($K$1,$K$2,VGB$4),Table1[],(MATCH(Calendar!$A19,DB!$1:$1,0)),FALSE),"")</f>
        <v/>
      </c>
      <c r="VGC19" s="28" t="str">
        <f>IFERROR(VLOOKUP(DATE($K$1,$K$2,VGC$4),Table1[],(MATCH(Calendar!$A19,DB!$1:$1,0)),FALSE),"")</f>
        <v/>
      </c>
      <c r="VGD19" s="28" t="str">
        <f>IFERROR(VLOOKUP(DATE($K$1,$K$2,VGD$4),Table1[],(MATCH(Calendar!$A19,DB!$1:$1,0)),FALSE),"")</f>
        <v/>
      </c>
      <c r="VGE19" s="28" t="str">
        <f>IFERROR(VLOOKUP(DATE($K$1,$K$2,VGE$4),Table1[],(MATCH(Calendar!$A19,DB!$1:$1,0)),FALSE),"")</f>
        <v/>
      </c>
      <c r="VGF19" s="28" t="str">
        <f>IFERROR(VLOOKUP(DATE($K$1,$K$2,VGF$4),Table1[],(MATCH(Calendar!$A19,DB!$1:$1,0)),FALSE),"")</f>
        <v/>
      </c>
      <c r="VGG19" s="28" t="str">
        <f>IFERROR(VLOOKUP(DATE($K$1,$K$2,VGG$4),Table1[],(MATCH(Calendar!$A19,DB!$1:$1,0)),FALSE),"")</f>
        <v/>
      </c>
      <c r="VGH19" s="28" t="str">
        <f>IFERROR(VLOOKUP(DATE($K$1,$K$2,VGH$4),Table1[],(MATCH(Calendar!$A19,DB!$1:$1,0)),FALSE),"")</f>
        <v/>
      </c>
      <c r="VGI19" s="28" t="str">
        <f>IFERROR(VLOOKUP(DATE($K$1,$K$2,VGI$4),Table1[],(MATCH(Calendar!$A19,DB!$1:$1,0)),FALSE),"")</f>
        <v/>
      </c>
      <c r="VGJ19" s="28" t="str">
        <f>IFERROR(VLOOKUP(DATE($K$1,$K$2,VGJ$4),Table1[],(MATCH(Calendar!$A19,DB!$1:$1,0)),FALSE),"")</f>
        <v/>
      </c>
      <c r="VGK19" s="28" t="str">
        <f>IFERROR(VLOOKUP(DATE($K$1,$K$2,VGK$4),Table1[],(MATCH(Calendar!$A19,DB!$1:$1,0)),FALSE),"")</f>
        <v/>
      </c>
      <c r="VGL19" s="28" t="str">
        <f>IFERROR(VLOOKUP(DATE($K$1,$K$2,VGL$4),Table1[],(MATCH(Calendar!$A19,DB!$1:$1,0)),FALSE),"")</f>
        <v/>
      </c>
      <c r="VGM19" s="28" t="str">
        <f>IFERROR(VLOOKUP(DATE($K$1,$K$2,VGM$4),Table1[],(MATCH(Calendar!$A19,DB!$1:$1,0)),FALSE),"")</f>
        <v/>
      </c>
      <c r="VGN19" s="28" t="str">
        <f>IFERROR(VLOOKUP(DATE($K$1,$K$2,VGN$4),Table1[],(MATCH(Calendar!$A19,DB!$1:$1,0)),FALSE),"")</f>
        <v/>
      </c>
      <c r="VGO19" s="28" t="str">
        <f>IFERROR(VLOOKUP(DATE($K$1,$K$2,VGO$4),Table1[],(MATCH(Calendar!$A19,DB!$1:$1,0)),FALSE),"")</f>
        <v/>
      </c>
      <c r="VGP19" s="28" t="str">
        <f>IFERROR(VLOOKUP(DATE($K$1,$K$2,VGP$4),Table1[],(MATCH(Calendar!$A19,DB!$1:$1,0)),FALSE),"")</f>
        <v/>
      </c>
      <c r="VGQ19" s="28" t="str">
        <f>IFERROR(VLOOKUP(DATE($K$1,$K$2,VGQ$4),Table1[],(MATCH(Calendar!$A19,DB!$1:$1,0)),FALSE),"")</f>
        <v/>
      </c>
      <c r="VGR19" s="28" t="str">
        <f>IFERROR(VLOOKUP(DATE($K$1,$K$2,VGR$4),Table1[],(MATCH(Calendar!$A19,DB!$1:$1,0)),FALSE),"")</f>
        <v/>
      </c>
      <c r="VGS19" s="28" t="str">
        <f>IFERROR(VLOOKUP(DATE($K$1,$K$2,VGS$4),Table1[],(MATCH(Calendar!$A19,DB!$1:$1,0)),FALSE),"")</f>
        <v/>
      </c>
      <c r="VGT19" s="28" t="str">
        <f>IFERROR(VLOOKUP(DATE($K$1,$K$2,VGT$4),Table1[],(MATCH(Calendar!$A19,DB!$1:$1,0)),FALSE),"")</f>
        <v/>
      </c>
      <c r="VGU19" s="28" t="str">
        <f>IFERROR(VLOOKUP(DATE($K$1,$K$2,VGU$4),Table1[],(MATCH(Calendar!$A19,DB!$1:$1,0)),FALSE),"")</f>
        <v/>
      </c>
      <c r="VGV19" s="28" t="str">
        <f>IFERROR(VLOOKUP(DATE($K$1,$K$2,VGV$4),Table1[],(MATCH(Calendar!$A19,DB!$1:$1,0)),FALSE),"")</f>
        <v/>
      </c>
      <c r="VGW19" s="28" t="str">
        <f>IFERROR(VLOOKUP(DATE($K$1,$K$2,VGW$4),Table1[],(MATCH(Calendar!$A19,DB!$1:$1,0)),FALSE),"")</f>
        <v/>
      </c>
      <c r="VGX19" s="28" t="str">
        <f>IFERROR(VLOOKUP(DATE($K$1,$K$2,VGX$4),Table1[],(MATCH(Calendar!$A19,DB!$1:$1,0)),FALSE),"")</f>
        <v/>
      </c>
      <c r="VGY19" s="28" t="str">
        <f>IFERROR(VLOOKUP(DATE($K$1,$K$2,VGY$4),Table1[],(MATCH(Calendar!$A19,DB!$1:$1,0)),FALSE),"")</f>
        <v/>
      </c>
      <c r="VGZ19" s="28" t="str">
        <f>IFERROR(VLOOKUP(DATE($K$1,$K$2,VGZ$4),Table1[],(MATCH(Calendar!$A19,DB!$1:$1,0)),FALSE),"")</f>
        <v/>
      </c>
      <c r="VHA19" s="28" t="str">
        <f>IFERROR(VLOOKUP(DATE($K$1,$K$2,VHA$4),Table1[],(MATCH(Calendar!$A19,DB!$1:$1,0)),FALSE),"")</f>
        <v/>
      </c>
      <c r="VHB19" s="28" t="str">
        <f>IFERROR(VLOOKUP(DATE($K$1,$K$2,VHB$4),Table1[],(MATCH(Calendar!$A19,DB!$1:$1,0)),FALSE),"")</f>
        <v/>
      </c>
      <c r="VHC19" s="28" t="str">
        <f>IFERROR(VLOOKUP(DATE($K$1,$K$2,VHC$4),Table1[],(MATCH(Calendar!$A19,DB!$1:$1,0)),FALSE),"")</f>
        <v/>
      </c>
      <c r="VHD19" s="28" t="str">
        <f>IFERROR(VLOOKUP(DATE($K$1,$K$2,VHD$4),Table1[],(MATCH(Calendar!$A19,DB!$1:$1,0)),FALSE),"")</f>
        <v/>
      </c>
      <c r="VHE19" s="28" t="str">
        <f>IFERROR(VLOOKUP(DATE($K$1,$K$2,VHE$4),Table1[],(MATCH(Calendar!$A19,DB!$1:$1,0)),FALSE),"")</f>
        <v/>
      </c>
      <c r="VHF19" s="28" t="str">
        <f>IFERROR(VLOOKUP(DATE($K$1,$K$2,VHF$4),Table1[],(MATCH(Calendar!$A19,DB!$1:$1,0)),FALSE),"")</f>
        <v/>
      </c>
      <c r="VHG19" s="28" t="str">
        <f>IFERROR(VLOOKUP(DATE($K$1,$K$2,VHG$4),Table1[],(MATCH(Calendar!$A19,DB!$1:$1,0)),FALSE),"")</f>
        <v/>
      </c>
      <c r="VHH19" s="28" t="str">
        <f>IFERROR(VLOOKUP(DATE($K$1,$K$2,VHH$4),Table1[],(MATCH(Calendar!$A19,DB!$1:$1,0)),FALSE),"")</f>
        <v/>
      </c>
      <c r="VHI19" s="28" t="str">
        <f>IFERROR(VLOOKUP(DATE($K$1,$K$2,VHI$4),Table1[],(MATCH(Calendar!$A19,DB!$1:$1,0)),FALSE),"")</f>
        <v/>
      </c>
      <c r="VHJ19" s="28" t="str">
        <f>IFERROR(VLOOKUP(DATE($K$1,$K$2,VHJ$4),Table1[],(MATCH(Calendar!$A19,DB!$1:$1,0)),FALSE),"")</f>
        <v/>
      </c>
      <c r="VHK19" s="28" t="str">
        <f>IFERROR(VLOOKUP(DATE($K$1,$K$2,VHK$4),Table1[],(MATCH(Calendar!$A19,DB!$1:$1,0)),FALSE),"")</f>
        <v/>
      </c>
      <c r="VHL19" s="28" t="str">
        <f>IFERROR(VLOOKUP(DATE($K$1,$K$2,VHL$4),Table1[],(MATCH(Calendar!$A19,DB!$1:$1,0)),FALSE),"")</f>
        <v/>
      </c>
      <c r="VHM19" s="28" t="str">
        <f>IFERROR(VLOOKUP(DATE($K$1,$K$2,VHM$4),Table1[],(MATCH(Calendar!$A19,DB!$1:$1,0)),FALSE),"")</f>
        <v/>
      </c>
      <c r="VHN19" s="28" t="str">
        <f>IFERROR(VLOOKUP(DATE($K$1,$K$2,VHN$4),Table1[],(MATCH(Calendar!$A19,DB!$1:$1,0)),FALSE),"")</f>
        <v/>
      </c>
      <c r="VHO19" s="28" t="str">
        <f>IFERROR(VLOOKUP(DATE($K$1,$K$2,VHO$4),Table1[],(MATCH(Calendar!$A19,DB!$1:$1,0)),FALSE),"")</f>
        <v/>
      </c>
      <c r="VHP19" s="28" t="str">
        <f>IFERROR(VLOOKUP(DATE($K$1,$K$2,VHP$4),Table1[],(MATCH(Calendar!$A19,DB!$1:$1,0)),FALSE),"")</f>
        <v/>
      </c>
      <c r="VHQ19" s="28" t="str">
        <f>IFERROR(VLOOKUP(DATE($K$1,$K$2,VHQ$4),Table1[],(MATCH(Calendar!$A19,DB!$1:$1,0)),FALSE),"")</f>
        <v/>
      </c>
      <c r="VHR19" s="28" t="str">
        <f>IFERROR(VLOOKUP(DATE($K$1,$K$2,VHR$4),Table1[],(MATCH(Calendar!$A19,DB!$1:$1,0)),FALSE),"")</f>
        <v/>
      </c>
      <c r="VHS19" s="28" t="str">
        <f>IFERROR(VLOOKUP(DATE($K$1,$K$2,VHS$4),Table1[],(MATCH(Calendar!$A19,DB!$1:$1,0)),FALSE),"")</f>
        <v/>
      </c>
      <c r="VHT19" s="28" t="str">
        <f>IFERROR(VLOOKUP(DATE($K$1,$K$2,VHT$4),Table1[],(MATCH(Calendar!$A19,DB!$1:$1,0)),FALSE),"")</f>
        <v/>
      </c>
      <c r="VHU19" s="28" t="str">
        <f>IFERROR(VLOOKUP(DATE($K$1,$K$2,VHU$4),Table1[],(MATCH(Calendar!$A19,DB!$1:$1,0)),FALSE),"")</f>
        <v/>
      </c>
      <c r="VHV19" s="28" t="str">
        <f>IFERROR(VLOOKUP(DATE($K$1,$K$2,VHV$4),Table1[],(MATCH(Calendar!$A19,DB!$1:$1,0)),FALSE),"")</f>
        <v/>
      </c>
      <c r="VHW19" s="28" t="str">
        <f>IFERROR(VLOOKUP(DATE($K$1,$K$2,VHW$4),Table1[],(MATCH(Calendar!$A19,DB!$1:$1,0)),FALSE),"")</f>
        <v/>
      </c>
      <c r="VHX19" s="28" t="str">
        <f>IFERROR(VLOOKUP(DATE($K$1,$K$2,VHX$4),Table1[],(MATCH(Calendar!$A19,DB!$1:$1,0)),FALSE),"")</f>
        <v/>
      </c>
      <c r="VHY19" s="28" t="str">
        <f>IFERROR(VLOOKUP(DATE($K$1,$K$2,VHY$4),Table1[],(MATCH(Calendar!$A19,DB!$1:$1,0)),FALSE),"")</f>
        <v/>
      </c>
      <c r="VHZ19" s="28" t="str">
        <f>IFERROR(VLOOKUP(DATE($K$1,$K$2,VHZ$4),Table1[],(MATCH(Calendar!$A19,DB!$1:$1,0)),FALSE),"")</f>
        <v/>
      </c>
      <c r="VIA19" s="28" t="str">
        <f>IFERROR(VLOOKUP(DATE($K$1,$K$2,VIA$4),Table1[],(MATCH(Calendar!$A19,DB!$1:$1,0)),FALSE),"")</f>
        <v/>
      </c>
      <c r="VIB19" s="28" t="str">
        <f>IFERROR(VLOOKUP(DATE($K$1,$K$2,VIB$4),Table1[],(MATCH(Calendar!$A19,DB!$1:$1,0)),FALSE),"")</f>
        <v/>
      </c>
      <c r="VIC19" s="28" t="str">
        <f>IFERROR(VLOOKUP(DATE($K$1,$K$2,VIC$4),Table1[],(MATCH(Calendar!$A19,DB!$1:$1,0)),FALSE),"")</f>
        <v/>
      </c>
      <c r="VID19" s="28" t="str">
        <f>IFERROR(VLOOKUP(DATE($K$1,$K$2,VID$4),Table1[],(MATCH(Calendar!$A19,DB!$1:$1,0)),FALSE),"")</f>
        <v/>
      </c>
      <c r="VIE19" s="28" t="str">
        <f>IFERROR(VLOOKUP(DATE($K$1,$K$2,VIE$4),Table1[],(MATCH(Calendar!$A19,DB!$1:$1,0)),FALSE),"")</f>
        <v/>
      </c>
      <c r="VIF19" s="28" t="str">
        <f>IFERROR(VLOOKUP(DATE($K$1,$K$2,VIF$4),Table1[],(MATCH(Calendar!$A19,DB!$1:$1,0)),FALSE),"")</f>
        <v/>
      </c>
      <c r="VIG19" s="28" t="str">
        <f>IFERROR(VLOOKUP(DATE($K$1,$K$2,VIG$4),Table1[],(MATCH(Calendar!$A19,DB!$1:$1,0)),FALSE),"")</f>
        <v/>
      </c>
      <c r="VIH19" s="28" t="str">
        <f>IFERROR(VLOOKUP(DATE($K$1,$K$2,VIH$4),Table1[],(MATCH(Calendar!$A19,DB!$1:$1,0)),FALSE),"")</f>
        <v/>
      </c>
      <c r="VII19" s="28" t="str">
        <f>IFERROR(VLOOKUP(DATE($K$1,$K$2,VII$4),Table1[],(MATCH(Calendar!$A19,DB!$1:$1,0)),FALSE),"")</f>
        <v/>
      </c>
      <c r="VIJ19" s="28" t="str">
        <f>IFERROR(VLOOKUP(DATE($K$1,$K$2,VIJ$4),Table1[],(MATCH(Calendar!$A19,DB!$1:$1,0)),FALSE),"")</f>
        <v/>
      </c>
      <c r="VIK19" s="28" t="str">
        <f>IFERROR(VLOOKUP(DATE($K$1,$K$2,VIK$4),Table1[],(MATCH(Calendar!$A19,DB!$1:$1,0)),FALSE),"")</f>
        <v/>
      </c>
      <c r="VIL19" s="28" t="str">
        <f>IFERROR(VLOOKUP(DATE($K$1,$K$2,VIL$4),Table1[],(MATCH(Calendar!$A19,DB!$1:$1,0)),FALSE),"")</f>
        <v/>
      </c>
      <c r="VIM19" s="28" t="str">
        <f>IFERROR(VLOOKUP(DATE($K$1,$K$2,VIM$4),Table1[],(MATCH(Calendar!$A19,DB!$1:$1,0)),FALSE),"")</f>
        <v/>
      </c>
      <c r="VIN19" s="28" t="str">
        <f>IFERROR(VLOOKUP(DATE($K$1,$K$2,VIN$4),Table1[],(MATCH(Calendar!$A19,DB!$1:$1,0)),FALSE),"")</f>
        <v/>
      </c>
      <c r="VIO19" s="28" t="str">
        <f>IFERROR(VLOOKUP(DATE($K$1,$K$2,VIO$4),Table1[],(MATCH(Calendar!$A19,DB!$1:$1,0)),FALSE),"")</f>
        <v/>
      </c>
      <c r="VIP19" s="28" t="str">
        <f>IFERROR(VLOOKUP(DATE($K$1,$K$2,VIP$4),Table1[],(MATCH(Calendar!$A19,DB!$1:$1,0)),FALSE),"")</f>
        <v/>
      </c>
      <c r="VIQ19" s="28" t="str">
        <f>IFERROR(VLOOKUP(DATE($K$1,$K$2,VIQ$4),Table1[],(MATCH(Calendar!$A19,DB!$1:$1,0)),FALSE),"")</f>
        <v/>
      </c>
      <c r="VIR19" s="28" t="str">
        <f>IFERROR(VLOOKUP(DATE($K$1,$K$2,VIR$4),Table1[],(MATCH(Calendar!$A19,DB!$1:$1,0)),FALSE),"")</f>
        <v/>
      </c>
      <c r="VIS19" s="28" t="str">
        <f>IFERROR(VLOOKUP(DATE($K$1,$K$2,VIS$4),Table1[],(MATCH(Calendar!$A19,DB!$1:$1,0)),FALSE),"")</f>
        <v/>
      </c>
      <c r="VIT19" s="28" t="str">
        <f>IFERROR(VLOOKUP(DATE($K$1,$K$2,VIT$4),Table1[],(MATCH(Calendar!$A19,DB!$1:$1,0)),FALSE),"")</f>
        <v/>
      </c>
      <c r="VIU19" s="28" t="str">
        <f>IFERROR(VLOOKUP(DATE($K$1,$K$2,VIU$4),Table1[],(MATCH(Calendar!$A19,DB!$1:$1,0)),FALSE),"")</f>
        <v/>
      </c>
      <c r="VIV19" s="28" t="str">
        <f>IFERROR(VLOOKUP(DATE($K$1,$K$2,VIV$4),Table1[],(MATCH(Calendar!$A19,DB!$1:$1,0)),FALSE),"")</f>
        <v/>
      </c>
      <c r="VIW19" s="28" t="str">
        <f>IFERROR(VLOOKUP(DATE($K$1,$K$2,VIW$4),Table1[],(MATCH(Calendar!$A19,DB!$1:$1,0)),FALSE),"")</f>
        <v/>
      </c>
      <c r="VIX19" s="28" t="str">
        <f>IFERROR(VLOOKUP(DATE($K$1,$K$2,VIX$4),Table1[],(MATCH(Calendar!$A19,DB!$1:$1,0)),FALSE),"")</f>
        <v/>
      </c>
      <c r="VIY19" s="28" t="str">
        <f>IFERROR(VLOOKUP(DATE($K$1,$K$2,VIY$4),Table1[],(MATCH(Calendar!$A19,DB!$1:$1,0)),FALSE),"")</f>
        <v/>
      </c>
      <c r="VIZ19" s="28" t="str">
        <f>IFERROR(VLOOKUP(DATE($K$1,$K$2,VIZ$4),Table1[],(MATCH(Calendar!$A19,DB!$1:$1,0)),FALSE),"")</f>
        <v/>
      </c>
      <c r="VJA19" s="28" t="str">
        <f>IFERROR(VLOOKUP(DATE($K$1,$K$2,VJA$4),Table1[],(MATCH(Calendar!$A19,DB!$1:$1,0)),FALSE),"")</f>
        <v/>
      </c>
      <c r="VJB19" s="28" t="str">
        <f>IFERROR(VLOOKUP(DATE($K$1,$K$2,VJB$4),Table1[],(MATCH(Calendar!$A19,DB!$1:$1,0)),FALSE),"")</f>
        <v/>
      </c>
      <c r="VJC19" s="28" t="str">
        <f>IFERROR(VLOOKUP(DATE($K$1,$K$2,VJC$4),Table1[],(MATCH(Calendar!$A19,DB!$1:$1,0)),FALSE),"")</f>
        <v/>
      </c>
      <c r="VJD19" s="28" t="str">
        <f>IFERROR(VLOOKUP(DATE($K$1,$K$2,VJD$4),Table1[],(MATCH(Calendar!$A19,DB!$1:$1,0)),FALSE),"")</f>
        <v/>
      </c>
      <c r="VJE19" s="28" t="str">
        <f>IFERROR(VLOOKUP(DATE($K$1,$K$2,VJE$4),Table1[],(MATCH(Calendar!$A19,DB!$1:$1,0)),FALSE),"")</f>
        <v/>
      </c>
      <c r="VJF19" s="28" t="str">
        <f>IFERROR(VLOOKUP(DATE($K$1,$K$2,VJF$4),Table1[],(MATCH(Calendar!$A19,DB!$1:$1,0)),FALSE),"")</f>
        <v/>
      </c>
      <c r="VJG19" s="28" t="str">
        <f>IFERROR(VLOOKUP(DATE($K$1,$K$2,VJG$4),Table1[],(MATCH(Calendar!$A19,DB!$1:$1,0)),FALSE),"")</f>
        <v/>
      </c>
      <c r="VJH19" s="28" t="str">
        <f>IFERROR(VLOOKUP(DATE($K$1,$K$2,VJH$4),Table1[],(MATCH(Calendar!$A19,DB!$1:$1,0)),FALSE),"")</f>
        <v/>
      </c>
      <c r="VJI19" s="28" t="str">
        <f>IFERROR(VLOOKUP(DATE($K$1,$K$2,VJI$4),Table1[],(MATCH(Calendar!$A19,DB!$1:$1,0)),FALSE),"")</f>
        <v/>
      </c>
      <c r="VJJ19" s="28" t="str">
        <f>IFERROR(VLOOKUP(DATE($K$1,$K$2,VJJ$4),Table1[],(MATCH(Calendar!$A19,DB!$1:$1,0)),FALSE),"")</f>
        <v/>
      </c>
      <c r="VJK19" s="28" t="str">
        <f>IFERROR(VLOOKUP(DATE($K$1,$K$2,VJK$4),Table1[],(MATCH(Calendar!$A19,DB!$1:$1,0)),FALSE),"")</f>
        <v/>
      </c>
      <c r="VJL19" s="28" t="str">
        <f>IFERROR(VLOOKUP(DATE($K$1,$K$2,VJL$4),Table1[],(MATCH(Calendar!$A19,DB!$1:$1,0)),FALSE),"")</f>
        <v/>
      </c>
      <c r="VJM19" s="28" t="str">
        <f>IFERROR(VLOOKUP(DATE($K$1,$K$2,VJM$4),Table1[],(MATCH(Calendar!$A19,DB!$1:$1,0)),FALSE),"")</f>
        <v/>
      </c>
      <c r="VJN19" s="28" t="str">
        <f>IFERROR(VLOOKUP(DATE($K$1,$K$2,VJN$4),Table1[],(MATCH(Calendar!$A19,DB!$1:$1,0)),FALSE),"")</f>
        <v/>
      </c>
      <c r="VJO19" s="28" t="str">
        <f>IFERROR(VLOOKUP(DATE($K$1,$K$2,VJO$4),Table1[],(MATCH(Calendar!$A19,DB!$1:$1,0)),FALSE),"")</f>
        <v/>
      </c>
      <c r="VJP19" s="28" t="str">
        <f>IFERROR(VLOOKUP(DATE($K$1,$K$2,VJP$4),Table1[],(MATCH(Calendar!$A19,DB!$1:$1,0)),FALSE),"")</f>
        <v/>
      </c>
      <c r="VJQ19" s="28" t="str">
        <f>IFERROR(VLOOKUP(DATE($K$1,$K$2,VJQ$4),Table1[],(MATCH(Calendar!$A19,DB!$1:$1,0)),FALSE),"")</f>
        <v/>
      </c>
      <c r="VJR19" s="28" t="str">
        <f>IFERROR(VLOOKUP(DATE($K$1,$K$2,VJR$4),Table1[],(MATCH(Calendar!$A19,DB!$1:$1,0)),FALSE),"")</f>
        <v/>
      </c>
      <c r="VJS19" s="28" t="str">
        <f>IFERROR(VLOOKUP(DATE($K$1,$K$2,VJS$4),Table1[],(MATCH(Calendar!$A19,DB!$1:$1,0)),FALSE),"")</f>
        <v/>
      </c>
      <c r="VJT19" s="28" t="str">
        <f>IFERROR(VLOOKUP(DATE($K$1,$K$2,VJT$4),Table1[],(MATCH(Calendar!$A19,DB!$1:$1,0)),FALSE),"")</f>
        <v/>
      </c>
      <c r="VJU19" s="28" t="str">
        <f>IFERROR(VLOOKUP(DATE($K$1,$K$2,VJU$4),Table1[],(MATCH(Calendar!$A19,DB!$1:$1,0)),FALSE),"")</f>
        <v/>
      </c>
      <c r="VJV19" s="28" t="str">
        <f>IFERROR(VLOOKUP(DATE($K$1,$K$2,VJV$4),Table1[],(MATCH(Calendar!$A19,DB!$1:$1,0)),FALSE),"")</f>
        <v/>
      </c>
      <c r="VJW19" s="28" t="str">
        <f>IFERROR(VLOOKUP(DATE($K$1,$K$2,VJW$4),Table1[],(MATCH(Calendar!$A19,DB!$1:$1,0)),FALSE),"")</f>
        <v/>
      </c>
      <c r="VJX19" s="28" t="str">
        <f>IFERROR(VLOOKUP(DATE($K$1,$K$2,VJX$4),Table1[],(MATCH(Calendar!$A19,DB!$1:$1,0)),FALSE),"")</f>
        <v/>
      </c>
      <c r="VJY19" s="28" t="str">
        <f>IFERROR(VLOOKUP(DATE($K$1,$K$2,VJY$4),Table1[],(MATCH(Calendar!$A19,DB!$1:$1,0)),FALSE),"")</f>
        <v/>
      </c>
      <c r="VJZ19" s="28" t="str">
        <f>IFERROR(VLOOKUP(DATE($K$1,$K$2,VJZ$4),Table1[],(MATCH(Calendar!$A19,DB!$1:$1,0)),FALSE),"")</f>
        <v/>
      </c>
      <c r="VKA19" s="28" t="str">
        <f>IFERROR(VLOOKUP(DATE($K$1,$K$2,VKA$4),Table1[],(MATCH(Calendar!$A19,DB!$1:$1,0)),FALSE),"")</f>
        <v/>
      </c>
      <c r="VKB19" s="28" t="str">
        <f>IFERROR(VLOOKUP(DATE($K$1,$K$2,VKB$4),Table1[],(MATCH(Calendar!$A19,DB!$1:$1,0)),FALSE),"")</f>
        <v/>
      </c>
      <c r="VKC19" s="28" t="str">
        <f>IFERROR(VLOOKUP(DATE($K$1,$K$2,VKC$4),Table1[],(MATCH(Calendar!$A19,DB!$1:$1,0)),FALSE),"")</f>
        <v/>
      </c>
      <c r="VKD19" s="28" t="str">
        <f>IFERROR(VLOOKUP(DATE($K$1,$K$2,VKD$4),Table1[],(MATCH(Calendar!$A19,DB!$1:$1,0)),FALSE),"")</f>
        <v/>
      </c>
      <c r="VKE19" s="28" t="str">
        <f>IFERROR(VLOOKUP(DATE($K$1,$K$2,VKE$4),Table1[],(MATCH(Calendar!$A19,DB!$1:$1,0)),FALSE),"")</f>
        <v/>
      </c>
      <c r="VKF19" s="28" t="str">
        <f>IFERROR(VLOOKUP(DATE($K$1,$K$2,VKF$4),Table1[],(MATCH(Calendar!$A19,DB!$1:$1,0)),FALSE),"")</f>
        <v/>
      </c>
      <c r="VKG19" s="28" t="str">
        <f>IFERROR(VLOOKUP(DATE($K$1,$K$2,VKG$4),Table1[],(MATCH(Calendar!$A19,DB!$1:$1,0)),FALSE),"")</f>
        <v/>
      </c>
      <c r="VKH19" s="28" t="str">
        <f>IFERROR(VLOOKUP(DATE($K$1,$K$2,VKH$4),Table1[],(MATCH(Calendar!$A19,DB!$1:$1,0)),FALSE),"")</f>
        <v/>
      </c>
      <c r="VKI19" s="28" t="str">
        <f>IFERROR(VLOOKUP(DATE($K$1,$K$2,VKI$4),Table1[],(MATCH(Calendar!$A19,DB!$1:$1,0)),FALSE),"")</f>
        <v/>
      </c>
      <c r="VKJ19" s="28" t="str">
        <f>IFERROR(VLOOKUP(DATE($K$1,$K$2,VKJ$4),Table1[],(MATCH(Calendar!$A19,DB!$1:$1,0)),FALSE),"")</f>
        <v/>
      </c>
      <c r="VKK19" s="28" t="str">
        <f>IFERROR(VLOOKUP(DATE($K$1,$K$2,VKK$4),Table1[],(MATCH(Calendar!$A19,DB!$1:$1,0)),FALSE),"")</f>
        <v/>
      </c>
      <c r="VKL19" s="28" t="str">
        <f>IFERROR(VLOOKUP(DATE($K$1,$K$2,VKL$4),Table1[],(MATCH(Calendar!$A19,DB!$1:$1,0)),FALSE),"")</f>
        <v/>
      </c>
      <c r="VKM19" s="28" t="str">
        <f>IFERROR(VLOOKUP(DATE($K$1,$K$2,VKM$4),Table1[],(MATCH(Calendar!$A19,DB!$1:$1,0)),FALSE),"")</f>
        <v/>
      </c>
      <c r="VKN19" s="28" t="str">
        <f>IFERROR(VLOOKUP(DATE($K$1,$K$2,VKN$4),Table1[],(MATCH(Calendar!$A19,DB!$1:$1,0)),FALSE),"")</f>
        <v/>
      </c>
      <c r="VKO19" s="28" t="str">
        <f>IFERROR(VLOOKUP(DATE($K$1,$K$2,VKO$4),Table1[],(MATCH(Calendar!$A19,DB!$1:$1,0)),FALSE),"")</f>
        <v/>
      </c>
      <c r="VKP19" s="28" t="str">
        <f>IFERROR(VLOOKUP(DATE($K$1,$K$2,VKP$4),Table1[],(MATCH(Calendar!$A19,DB!$1:$1,0)),FALSE),"")</f>
        <v/>
      </c>
      <c r="VKQ19" s="28" t="str">
        <f>IFERROR(VLOOKUP(DATE($K$1,$K$2,VKQ$4),Table1[],(MATCH(Calendar!$A19,DB!$1:$1,0)),FALSE),"")</f>
        <v/>
      </c>
      <c r="VKR19" s="28" t="str">
        <f>IFERROR(VLOOKUP(DATE($K$1,$K$2,VKR$4),Table1[],(MATCH(Calendar!$A19,DB!$1:$1,0)),FALSE),"")</f>
        <v/>
      </c>
      <c r="VKS19" s="28" t="str">
        <f>IFERROR(VLOOKUP(DATE($K$1,$K$2,VKS$4),Table1[],(MATCH(Calendar!$A19,DB!$1:$1,0)),FALSE),"")</f>
        <v/>
      </c>
      <c r="VKT19" s="28" t="str">
        <f>IFERROR(VLOOKUP(DATE($K$1,$K$2,VKT$4),Table1[],(MATCH(Calendar!$A19,DB!$1:$1,0)),FALSE),"")</f>
        <v/>
      </c>
      <c r="VKU19" s="28" t="str">
        <f>IFERROR(VLOOKUP(DATE($K$1,$K$2,VKU$4),Table1[],(MATCH(Calendar!$A19,DB!$1:$1,0)),FALSE),"")</f>
        <v/>
      </c>
      <c r="VKV19" s="28" t="str">
        <f>IFERROR(VLOOKUP(DATE($K$1,$K$2,VKV$4),Table1[],(MATCH(Calendar!$A19,DB!$1:$1,0)),FALSE),"")</f>
        <v/>
      </c>
      <c r="VKW19" s="28" t="str">
        <f>IFERROR(VLOOKUP(DATE($K$1,$K$2,VKW$4),Table1[],(MATCH(Calendar!$A19,DB!$1:$1,0)),FALSE),"")</f>
        <v/>
      </c>
      <c r="VKX19" s="28" t="str">
        <f>IFERROR(VLOOKUP(DATE($K$1,$K$2,VKX$4),Table1[],(MATCH(Calendar!$A19,DB!$1:$1,0)),FALSE),"")</f>
        <v/>
      </c>
      <c r="VKY19" s="28" t="str">
        <f>IFERROR(VLOOKUP(DATE($K$1,$K$2,VKY$4),Table1[],(MATCH(Calendar!$A19,DB!$1:$1,0)),FALSE),"")</f>
        <v/>
      </c>
      <c r="VKZ19" s="28" t="str">
        <f>IFERROR(VLOOKUP(DATE($K$1,$K$2,VKZ$4),Table1[],(MATCH(Calendar!$A19,DB!$1:$1,0)),FALSE),"")</f>
        <v/>
      </c>
      <c r="VLA19" s="28" t="str">
        <f>IFERROR(VLOOKUP(DATE($K$1,$K$2,VLA$4),Table1[],(MATCH(Calendar!$A19,DB!$1:$1,0)),FALSE),"")</f>
        <v/>
      </c>
      <c r="VLB19" s="28" t="str">
        <f>IFERROR(VLOOKUP(DATE($K$1,$K$2,VLB$4),Table1[],(MATCH(Calendar!$A19,DB!$1:$1,0)),FALSE),"")</f>
        <v/>
      </c>
      <c r="VLC19" s="28" t="str">
        <f>IFERROR(VLOOKUP(DATE($K$1,$K$2,VLC$4),Table1[],(MATCH(Calendar!$A19,DB!$1:$1,0)),FALSE),"")</f>
        <v/>
      </c>
      <c r="VLD19" s="28" t="str">
        <f>IFERROR(VLOOKUP(DATE($K$1,$K$2,VLD$4),Table1[],(MATCH(Calendar!$A19,DB!$1:$1,0)),FALSE),"")</f>
        <v/>
      </c>
      <c r="VLE19" s="28" t="str">
        <f>IFERROR(VLOOKUP(DATE($K$1,$K$2,VLE$4),Table1[],(MATCH(Calendar!$A19,DB!$1:$1,0)),FALSE),"")</f>
        <v/>
      </c>
      <c r="VLF19" s="28" t="str">
        <f>IFERROR(VLOOKUP(DATE($K$1,$K$2,VLF$4),Table1[],(MATCH(Calendar!$A19,DB!$1:$1,0)),FALSE),"")</f>
        <v/>
      </c>
      <c r="VLG19" s="28" t="str">
        <f>IFERROR(VLOOKUP(DATE($K$1,$K$2,VLG$4),Table1[],(MATCH(Calendar!$A19,DB!$1:$1,0)),FALSE),"")</f>
        <v/>
      </c>
      <c r="VLH19" s="28" t="str">
        <f>IFERROR(VLOOKUP(DATE($K$1,$K$2,VLH$4),Table1[],(MATCH(Calendar!$A19,DB!$1:$1,0)),FALSE),"")</f>
        <v/>
      </c>
      <c r="VLI19" s="28" t="str">
        <f>IFERROR(VLOOKUP(DATE($K$1,$K$2,VLI$4),Table1[],(MATCH(Calendar!$A19,DB!$1:$1,0)),FALSE),"")</f>
        <v/>
      </c>
      <c r="VLJ19" s="28" t="str">
        <f>IFERROR(VLOOKUP(DATE($K$1,$K$2,VLJ$4),Table1[],(MATCH(Calendar!$A19,DB!$1:$1,0)),FALSE),"")</f>
        <v/>
      </c>
      <c r="VLK19" s="28" t="str">
        <f>IFERROR(VLOOKUP(DATE($K$1,$K$2,VLK$4),Table1[],(MATCH(Calendar!$A19,DB!$1:$1,0)),FALSE),"")</f>
        <v/>
      </c>
      <c r="VLL19" s="28" t="str">
        <f>IFERROR(VLOOKUP(DATE($K$1,$K$2,VLL$4),Table1[],(MATCH(Calendar!$A19,DB!$1:$1,0)),FALSE),"")</f>
        <v/>
      </c>
      <c r="VLM19" s="28" t="str">
        <f>IFERROR(VLOOKUP(DATE($K$1,$K$2,VLM$4),Table1[],(MATCH(Calendar!$A19,DB!$1:$1,0)),FALSE),"")</f>
        <v/>
      </c>
      <c r="VLN19" s="28" t="str">
        <f>IFERROR(VLOOKUP(DATE($K$1,$K$2,VLN$4),Table1[],(MATCH(Calendar!$A19,DB!$1:$1,0)),FALSE),"")</f>
        <v/>
      </c>
      <c r="VLO19" s="28" t="str">
        <f>IFERROR(VLOOKUP(DATE($K$1,$K$2,VLO$4),Table1[],(MATCH(Calendar!$A19,DB!$1:$1,0)),FALSE),"")</f>
        <v/>
      </c>
      <c r="VLP19" s="28" t="str">
        <f>IFERROR(VLOOKUP(DATE($K$1,$K$2,VLP$4),Table1[],(MATCH(Calendar!$A19,DB!$1:$1,0)),FALSE),"")</f>
        <v/>
      </c>
      <c r="VLQ19" s="28" t="str">
        <f>IFERROR(VLOOKUP(DATE($K$1,$K$2,VLQ$4),Table1[],(MATCH(Calendar!$A19,DB!$1:$1,0)),FALSE),"")</f>
        <v/>
      </c>
      <c r="VLR19" s="28" t="str">
        <f>IFERROR(VLOOKUP(DATE($K$1,$K$2,VLR$4),Table1[],(MATCH(Calendar!$A19,DB!$1:$1,0)),FALSE),"")</f>
        <v/>
      </c>
      <c r="VLS19" s="28" t="str">
        <f>IFERROR(VLOOKUP(DATE($K$1,$K$2,VLS$4),Table1[],(MATCH(Calendar!$A19,DB!$1:$1,0)),FALSE),"")</f>
        <v/>
      </c>
      <c r="VLT19" s="28" t="str">
        <f>IFERROR(VLOOKUP(DATE($K$1,$K$2,VLT$4),Table1[],(MATCH(Calendar!$A19,DB!$1:$1,0)),FALSE),"")</f>
        <v/>
      </c>
      <c r="VLU19" s="28" t="str">
        <f>IFERROR(VLOOKUP(DATE($K$1,$K$2,VLU$4),Table1[],(MATCH(Calendar!$A19,DB!$1:$1,0)),FALSE),"")</f>
        <v/>
      </c>
      <c r="VLV19" s="28" t="str">
        <f>IFERROR(VLOOKUP(DATE($K$1,$K$2,VLV$4),Table1[],(MATCH(Calendar!$A19,DB!$1:$1,0)),FALSE),"")</f>
        <v/>
      </c>
      <c r="VLW19" s="28" t="str">
        <f>IFERROR(VLOOKUP(DATE($K$1,$K$2,VLW$4),Table1[],(MATCH(Calendar!$A19,DB!$1:$1,0)),FALSE),"")</f>
        <v/>
      </c>
      <c r="VLX19" s="28" t="str">
        <f>IFERROR(VLOOKUP(DATE($K$1,$K$2,VLX$4),Table1[],(MATCH(Calendar!$A19,DB!$1:$1,0)),FALSE),"")</f>
        <v/>
      </c>
      <c r="VLY19" s="28" t="str">
        <f>IFERROR(VLOOKUP(DATE($K$1,$K$2,VLY$4),Table1[],(MATCH(Calendar!$A19,DB!$1:$1,0)),FALSE),"")</f>
        <v/>
      </c>
      <c r="VLZ19" s="28" t="str">
        <f>IFERROR(VLOOKUP(DATE($K$1,$K$2,VLZ$4),Table1[],(MATCH(Calendar!$A19,DB!$1:$1,0)),FALSE),"")</f>
        <v/>
      </c>
      <c r="VMA19" s="28" t="str">
        <f>IFERROR(VLOOKUP(DATE($K$1,$K$2,VMA$4),Table1[],(MATCH(Calendar!$A19,DB!$1:$1,0)),FALSE),"")</f>
        <v/>
      </c>
      <c r="VMB19" s="28" t="str">
        <f>IFERROR(VLOOKUP(DATE($K$1,$K$2,VMB$4),Table1[],(MATCH(Calendar!$A19,DB!$1:$1,0)),FALSE),"")</f>
        <v/>
      </c>
      <c r="VMC19" s="28" t="str">
        <f>IFERROR(VLOOKUP(DATE($K$1,$K$2,VMC$4),Table1[],(MATCH(Calendar!$A19,DB!$1:$1,0)),FALSE),"")</f>
        <v/>
      </c>
      <c r="VMD19" s="28" t="str">
        <f>IFERROR(VLOOKUP(DATE($K$1,$K$2,VMD$4),Table1[],(MATCH(Calendar!$A19,DB!$1:$1,0)),FALSE),"")</f>
        <v/>
      </c>
      <c r="VME19" s="28" t="str">
        <f>IFERROR(VLOOKUP(DATE($K$1,$K$2,VME$4),Table1[],(MATCH(Calendar!$A19,DB!$1:$1,0)),FALSE),"")</f>
        <v/>
      </c>
      <c r="VMF19" s="28" t="str">
        <f>IFERROR(VLOOKUP(DATE($K$1,$K$2,VMF$4),Table1[],(MATCH(Calendar!$A19,DB!$1:$1,0)),FALSE),"")</f>
        <v/>
      </c>
      <c r="VMG19" s="28" t="str">
        <f>IFERROR(VLOOKUP(DATE($K$1,$K$2,VMG$4),Table1[],(MATCH(Calendar!$A19,DB!$1:$1,0)),FALSE),"")</f>
        <v/>
      </c>
      <c r="VMH19" s="28" t="str">
        <f>IFERROR(VLOOKUP(DATE($K$1,$K$2,VMH$4),Table1[],(MATCH(Calendar!$A19,DB!$1:$1,0)),FALSE),"")</f>
        <v/>
      </c>
      <c r="VMI19" s="28" t="str">
        <f>IFERROR(VLOOKUP(DATE($K$1,$K$2,VMI$4),Table1[],(MATCH(Calendar!$A19,DB!$1:$1,0)),FALSE),"")</f>
        <v/>
      </c>
      <c r="VMJ19" s="28" t="str">
        <f>IFERROR(VLOOKUP(DATE($K$1,$K$2,VMJ$4),Table1[],(MATCH(Calendar!$A19,DB!$1:$1,0)),FALSE),"")</f>
        <v/>
      </c>
      <c r="VMK19" s="28" t="str">
        <f>IFERROR(VLOOKUP(DATE($K$1,$K$2,VMK$4),Table1[],(MATCH(Calendar!$A19,DB!$1:$1,0)),FALSE),"")</f>
        <v/>
      </c>
      <c r="VML19" s="28" t="str">
        <f>IFERROR(VLOOKUP(DATE($K$1,$K$2,VML$4),Table1[],(MATCH(Calendar!$A19,DB!$1:$1,0)),FALSE),"")</f>
        <v/>
      </c>
      <c r="VMM19" s="28" t="str">
        <f>IFERROR(VLOOKUP(DATE($K$1,$K$2,VMM$4),Table1[],(MATCH(Calendar!$A19,DB!$1:$1,0)),FALSE),"")</f>
        <v/>
      </c>
      <c r="VMN19" s="28" t="str">
        <f>IFERROR(VLOOKUP(DATE($K$1,$K$2,VMN$4),Table1[],(MATCH(Calendar!$A19,DB!$1:$1,0)),FALSE),"")</f>
        <v/>
      </c>
      <c r="VMO19" s="28" t="str">
        <f>IFERROR(VLOOKUP(DATE($K$1,$K$2,VMO$4),Table1[],(MATCH(Calendar!$A19,DB!$1:$1,0)),FALSE),"")</f>
        <v/>
      </c>
      <c r="VMP19" s="28" t="str">
        <f>IFERROR(VLOOKUP(DATE($K$1,$K$2,VMP$4),Table1[],(MATCH(Calendar!$A19,DB!$1:$1,0)),FALSE),"")</f>
        <v/>
      </c>
      <c r="VMQ19" s="28" t="str">
        <f>IFERROR(VLOOKUP(DATE($K$1,$K$2,VMQ$4),Table1[],(MATCH(Calendar!$A19,DB!$1:$1,0)),FALSE),"")</f>
        <v/>
      </c>
      <c r="VMR19" s="28" t="str">
        <f>IFERROR(VLOOKUP(DATE($K$1,$K$2,VMR$4),Table1[],(MATCH(Calendar!$A19,DB!$1:$1,0)),FALSE),"")</f>
        <v/>
      </c>
      <c r="VMS19" s="28" t="str">
        <f>IFERROR(VLOOKUP(DATE($K$1,$K$2,VMS$4),Table1[],(MATCH(Calendar!$A19,DB!$1:$1,0)),FALSE),"")</f>
        <v/>
      </c>
      <c r="VMT19" s="28" t="str">
        <f>IFERROR(VLOOKUP(DATE($K$1,$K$2,VMT$4),Table1[],(MATCH(Calendar!$A19,DB!$1:$1,0)),FALSE),"")</f>
        <v/>
      </c>
      <c r="VMU19" s="28" t="str">
        <f>IFERROR(VLOOKUP(DATE($K$1,$K$2,VMU$4),Table1[],(MATCH(Calendar!$A19,DB!$1:$1,0)),FALSE),"")</f>
        <v/>
      </c>
      <c r="VMV19" s="28" t="str">
        <f>IFERROR(VLOOKUP(DATE($K$1,$K$2,VMV$4),Table1[],(MATCH(Calendar!$A19,DB!$1:$1,0)),FALSE),"")</f>
        <v/>
      </c>
      <c r="VMW19" s="28" t="str">
        <f>IFERROR(VLOOKUP(DATE($K$1,$K$2,VMW$4),Table1[],(MATCH(Calendar!$A19,DB!$1:$1,0)),FALSE),"")</f>
        <v/>
      </c>
      <c r="VMX19" s="28" t="str">
        <f>IFERROR(VLOOKUP(DATE($K$1,$K$2,VMX$4),Table1[],(MATCH(Calendar!$A19,DB!$1:$1,0)),FALSE),"")</f>
        <v/>
      </c>
      <c r="VMY19" s="28" t="str">
        <f>IFERROR(VLOOKUP(DATE($K$1,$K$2,VMY$4),Table1[],(MATCH(Calendar!$A19,DB!$1:$1,0)),FALSE),"")</f>
        <v/>
      </c>
      <c r="VMZ19" s="28" t="str">
        <f>IFERROR(VLOOKUP(DATE($K$1,$K$2,VMZ$4),Table1[],(MATCH(Calendar!$A19,DB!$1:$1,0)),FALSE),"")</f>
        <v/>
      </c>
      <c r="VNA19" s="28" t="str">
        <f>IFERROR(VLOOKUP(DATE($K$1,$K$2,VNA$4),Table1[],(MATCH(Calendar!$A19,DB!$1:$1,0)),FALSE),"")</f>
        <v/>
      </c>
      <c r="VNB19" s="28" t="str">
        <f>IFERROR(VLOOKUP(DATE($K$1,$K$2,VNB$4),Table1[],(MATCH(Calendar!$A19,DB!$1:$1,0)),FALSE),"")</f>
        <v/>
      </c>
      <c r="VNC19" s="28" t="str">
        <f>IFERROR(VLOOKUP(DATE($K$1,$K$2,VNC$4),Table1[],(MATCH(Calendar!$A19,DB!$1:$1,0)),FALSE),"")</f>
        <v/>
      </c>
      <c r="VND19" s="28" t="str">
        <f>IFERROR(VLOOKUP(DATE($K$1,$K$2,VND$4),Table1[],(MATCH(Calendar!$A19,DB!$1:$1,0)),FALSE),"")</f>
        <v/>
      </c>
      <c r="VNE19" s="28" t="str">
        <f>IFERROR(VLOOKUP(DATE($K$1,$K$2,VNE$4),Table1[],(MATCH(Calendar!$A19,DB!$1:$1,0)),FALSE),"")</f>
        <v/>
      </c>
      <c r="VNF19" s="28" t="str">
        <f>IFERROR(VLOOKUP(DATE($K$1,$K$2,VNF$4),Table1[],(MATCH(Calendar!$A19,DB!$1:$1,0)),FALSE),"")</f>
        <v/>
      </c>
      <c r="VNG19" s="28" t="str">
        <f>IFERROR(VLOOKUP(DATE($K$1,$K$2,VNG$4),Table1[],(MATCH(Calendar!$A19,DB!$1:$1,0)),FALSE),"")</f>
        <v/>
      </c>
      <c r="VNH19" s="28" t="str">
        <f>IFERROR(VLOOKUP(DATE($K$1,$K$2,VNH$4),Table1[],(MATCH(Calendar!$A19,DB!$1:$1,0)),FALSE),"")</f>
        <v/>
      </c>
      <c r="VNI19" s="28" t="str">
        <f>IFERROR(VLOOKUP(DATE($K$1,$K$2,VNI$4),Table1[],(MATCH(Calendar!$A19,DB!$1:$1,0)),FALSE),"")</f>
        <v/>
      </c>
      <c r="VNJ19" s="28" t="str">
        <f>IFERROR(VLOOKUP(DATE($K$1,$K$2,VNJ$4),Table1[],(MATCH(Calendar!$A19,DB!$1:$1,0)),FALSE),"")</f>
        <v/>
      </c>
      <c r="VNK19" s="28" t="str">
        <f>IFERROR(VLOOKUP(DATE($K$1,$K$2,VNK$4),Table1[],(MATCH(Calendar!$A19,DB!$1:$1,0)),FALSE),"")</f>
        <v/>
      </c>
      <c r="VNL19" s="28" t="str">
        <f>IFERROR(VLOOKUP(DATE($K$1,$K$2,VNL$4),Table1[],(MATCH(Calendar!$A19,DB!$1:$1,0)),FALSE),"")</f>
        <v/>
      </c>
      <c r="VNM19" s="28" t="str">
        <f>IFERROR(VLOOKUP(DATE($K$1,$K$2,VNM$4),Table1[],(MATCH(Calendar!$A19,DB!$1:$1,0)),FALSE),"")</f>
        <v/>
      </c>
      <c r="VNN19" s="28" t="str">
        <f>IFERROR(VLOOKUP(DATE($K$1,$K$2,VNN$4),Table1[],(MATCH(Calendar!$A19,DB!$1:$1,0)),FALSE),"")</f>
        <v/>
      </c>
      <c r="VNO19" s="28" t="str">
        <f>IFERROR(VLOOKUP(DATE($K$1,$K$2,VNO$4),Table1[],(MATCH(Calendar!$A19,DB!$1:$1,0)),FALSE),"")</f>
        <v/>
      </c>
      <c r="VNP19" s="28" t="str">
        <f>IFERROR(VLOOKUP(DATE($K$1,$K$2,VNP$4),Table1[],(MATCH(Calendar!$A19,DB!$1:$1,0)),FALSE),"")</f>
        <v/>
      </c>
      <c r="VNQ19" s="28" t="str">
        <f>IFERROR(VLOOKUP(DATE($K$1,$K$2,VNQ$4),Table1[],(MATCH(Calendar!$A19,DB!$1:$1,0)),FALSE),"")</f>
        <v/>
      </c>
      <c r="VNR19" s="28" t="str">
        <f>IFERROR(VLOOKUP(DATE($K$1,$K$2,VNR$4),Table1[],(MATCH(Calendar!$A19,DB!$1:$1,0)),FALSE),"")</f>
        <v/>
      </c>
      <c r="VNS19" s="28" t="str">
        <f>IFERROR(VLOOKUP(DATE($K$1,$K$2,VNS$4),Table1[],(MATCH(Calendar!$A19,DB!$1:$1,0)),FALSE),"")</f>
        <v/>
      </c>
      <c r="VNT19" s="28" t="str">
        <f>IFERROR(VLOOKUP(DATE($K$1,$K$2,VNT$4),Table1[],(MATCH(Calendar!$A19,DB!$1:$1,0)),FALSE),"")</f>
        <v/>
      </c>
      <c r="VNU19" s="28" t="str">
        <f>IFERROR(VLOOKUP(DATE($K$1,$K$2,VNU$4),Table1[],(MATCH(Calendar!$A19,DB!$1:$1,0)),FALSE),"")</f>
        <v/>
      </c>
      <c r="VNV19" s="28" t="str">
        <f>IFERROR(VLOOKUP(DATE($K$1,$K$2,VNV$4),Table1[],(MATCH(Calendar!$A19,DB!$1:$1,0)),FALSE),"")</f>
        <v/>
      </c>
      <c r="VNW19" s="28" t="str">
        <f>IFERROR(VLOOKUP(DATE($K$1,$K$2,VNW$4),Table1[],(MATCH(Calendar!$A19,DB!$1:$1,0)),FALSE),"")</f>
        <v/>
      </c>
      <c r="VNX19" s="28" t="str">
        <f>IFERROR(VLOOKUP(DATE($K$1,$K$2,VNX$4),Table1[],(MATCH(Calendar!$A19,DB!$1:$1,0)),FALSE),"")</f>
        <v/>
      </c>
      <c r="VNY19" s="28" t="str">
        <f>IFERROR(VLOOKUP(DATE($K$1,$K$2,VNY$4),Table1[],(MATCH(Calendar!$A19,DB!$1:$1,0)),FALSE),"")</f>
        <v/>
      </c>
      <c r="VNZ19" s="28" t="str">
        <f>IFERROR(VLOOKUP(DATE($K$1,$K$2,VNZ$4),Table1[],(MATCH(Calendar!$A19,DB!$1:$1,0)),FALSE),"")</f>
        <v/>
      </c>
      <c r="VOA19" s="28" t="str">
        <f>IFERROR(VLOOKUP(DATE($K$1,$K$2,VOA$4),Table1[],(MATCH(Calendar!$A19,DB!$1:$1,0)),FALSE),"")</f>
        <v/>
      </c>
      <c r="VOB19" s="28" t="str">
        <f>IFERROR(VLOOKUP(DATE($K$1,$K$2,VOB$4),Table1[],(MATCH(Calendar!$A19,DB!$1:$1,0)),FALSE),"")</f>
        <v/>
      </c>
      <c r="VOC19" s="28" t="str">
        <f>IFERROR(VLOOKUP(DATE($K$1,$K$2,VOC$4),Table1[],(MATCH(Calendar!$A19,DB!$1:$1,0)),FALSE),"")</f>
        <v/>
      </c>
      <c r="VOD19" s="28" t="str">
        <f>IFERROR(VLOOKUP(DATE($K$1,$K$2,VOD$4),Table1[],(MATCH(Calendar!$A19,DB!$1:$1,0)),FALSE),"")</f>
        <v/>
      </c>
      <c r="VOE19" s="28" t="str">
        <f>IFERROR(VLOOKUP(DATE($K$1,$K$2,VOE$4),Table1[],(MATCH(Calendar!$A19,DB!$1:$1,0)),FALSE),"")</f>
        <v/>
      </c>
      <c r="VOF19" s="28" t="str">
        <f>IFERROR(VLOOKUP(DATE($K$1,$K$2,VOF$4),Table1[],(MATCH(Calendar!$A19,DB!$1:$1,0)),FALSE),"")</f>
        <v/>
      </c>
      <c r="VOG19" s="28" t="str">
        <f>IFERROR(VLOOKUP(DATE($K$1,$K$2,VOG$4),Table1[],(MATCH(Calendar!$A19,DB!$1:$1,0)),FALSE),"")</f>
        <v/>
      </c>
      <c r="VOH19" s="28" t="str">
        <f>IFERROR(VLOOKUP(DATE($K$1,$K$2,VOH$4),Table1[],(MATCH(Calendar!$A19,DB!$1:$1,0)),FALSE),"")</f>
        <v/>
      </c>
      <c r="VOI19" s="28" t="str">
        <f>IFERROR(VLOOKUP(DATE($K$1,$K$2,VOI$4),Table1[],(MATCH(Calendar!$A19,DB!$1:$1,0)),FALSE),"")</f>
        <v/>
      </c>
      <c r="VOJ19" s="28" t="str">
        <f>IFERROR(VLOOKUP(DATE($K$1,$K$2,VOJ$4),Table1[],(MATCH(Calendar!$A19,DB!$1:$1,0)),FALSE),"")</f>
        <v/>
      </c>
      <c r="VOK19" s="28" t="str">
        <f>IFERROR(VLOOKUP(DATE($K$1,$K$2,VOK$4),Table1[],(MATCH(Calendar!$A19,DB!$1:$1,0)),FALSE),"")</f>
        <v/>
      </c>
      <c r="VOL19" s="28" t="str">
        <f>IFERROR(VLOOKUP(DATE($K$1,$K$2,VOL$4),Table1[],(MATCH(Calendar!$A19,DB!$1:$1,0)),FALSE),"")</f>
        <v/>
      </c>
      <c r="VOM19" s="28" t="str">
        <f>IFERROR(VLOOKUP(DATE($K$1,$K$2,VOM$4),Table1[],(MATCH(Calendar!$A19,DB!$1:$1,0)),FALSE),"")</f>
        <v/>
      </c>
      <c r="VON19" s="28" t="str">
        <f>IFERROR(VLOOKUP(DATE($K$1,$K$2,VON$4),Table1[],(MATCH(Calendar!$A19,DB!$1:$1,0)),FALSE),"")</f>
        <v/>
      </c>
      <c r="VOO19" s="28" t="str">
        <f>IFERROR(VLOOKUP(DATE($K$1,$K$2,VOO$4),Table1[],(MATCH(Calendar!$A19,DB!$1:$1,0)),FALSE),"")</f>
        <v/>
      </c>
      <c r="VOP19" s="28" t="str">
        <f>IFERROR(VLOOKUP(DATE($K$1,$K$2,VOP$4),Table1[],(MATCH(Calendar!$A19,DB!$1:$1,0)),FALSE),"")</f>
        <v/>
      </c>
      <c r="VOQ19" s="28" t="str">
        <f>IFERROR(VLOOKUP(DATE($K$1,$K$2,VOQ$4),Table1[],(MATCH(Calendar!$A19,DB!$1:$1,0)),FALSE),"")</f>
        <v/>
      </c>
      <c r="VOR19" s="28" t="str">
        <f>IFERROR(VLOOKUP(DATE($K$1,$K$2,VOR$4),Table1[],(MATCH(Calendar!$A19,DB!$1:$1,0)),FALSE),"")</f>
        <v/>
      </c>
      <c r="VOS19" s="28" t="str">
        <f>IFERROR(VLOOKUP(DATE($K$1,$K$2,VOS$4),Table1[],(MATCH(Calendar!$A19,DB!$1:$1,0)),FALSE),"")</f>
        <v/>
      </c>
      <c r="VOT19" s="28" t="str">
        <f>IFERROR(VLOOKUP(DATE($K$1,$K$2,VOT$4),Table1[],(MATCH(Calendar!$A19,DB!$1:$1,0)),FALSE),"")</f>
        <v/>
      </c>
      <c r="VOU19" s="28" t="str">
        <f>IFERROR(VLOOKUP(DATE($K$1,$K$2,VOU$4),Table1[],(MATCH(Calendar!$A19,DB!$1:$1,0)),FALSE),"")</f>
        <v/>
      </c>
      <c r="VOV19" s="28" t="str">
        <f>IFERROR(VLOOKUP(DATE($K$1,$K$2,VOV$4),Table1[],(MATCH(Calendar!$A19,DB!$1:$1,0)),FALSE),"")</f>
        <v/>
      </c>
      <c r="VOW19" s="28" t="str">
        <f>IFERROR(VLOOKUP(DATE($K$1,$K$2,VOW$4),Table1[],(MATCH(Calendar!$A19,DB!$1:$1,0)),FALSE),"")</f>
        <v/>
      </c>
      <c r="VOX19" s="28" t="str">
        <f>IFERROR(VLOOKUP(DATE($K$1,$K$2,VOX$4),Table1[],(MATCH(Calendar!$A19,DB!$1:$1,0)),FALSE),"")</f>
        <v/>
      </c>
      <c r="VOY19" s="28" t="str">
        <f>IFERROR(VLOOKUP(DATE($K$1,$K$2,VOY$4),Table1[],(MATCH(Calendar!$A19,DB!$1:$1,0)),FALSE),"")</f>
        <v/>
      </c>
      <c r="VOZ19" s="28" t="str">
        <f>IFERROR(VLOOKUP(DATE($K$1,$K$2,VOZ$4),Table1[],(MATCH(Calendar!$A19,DB!$1:$1,0)),FALSE),"")</f>
        <v/>
      </c>
      <c r="VPA19" s="28" t="str">
        <f>IFERROR(VLOOKUP(DATE($K$1,$K$2,VPA$4),Table1[],(MATCH(Calendar!$A19,DB!$1:$1,0)),FALSE),"")</f>
        <v/>
      </c>
      <c r="VPB19" s="28" t="str">
        <f>IFERROR(VLOOKUP(DATE($K$1,$K$2,VPB$4),Table1[],(MATCH(Calendar!$A19,DB!$1:$1,0)),FALSE),"")</f>
        <v/>
      </c>
      <c r="VPC19" s="28" t="str">
        <f>IFERROR(VLOOKUP(DATE($K$1,$K$2,VPC$4),Table1[],(MATCH(Calendar!$A19,DB!$1:$1,0)),FALSE),"")</f>
        <v/>
      </c>
      <c r="VPD19" s="28" t="str">
        <f>IFERROR(VLOOKUP(DATE($K$1,$K$2,VPD$4),Table1[],(MATCH(Calendar!$A19,DB!$1:$1,0)),FALSE),"")</f>
        <v/>
      </c>
      <c r="VPE19" s="28" t="str">
        <f>IFERROR(VLOOKUP(DATE($K$1,$K$2,VPE$4),Table1[],(MATCH(Calendar!$A19,DB!$1:$1,0)),FALSE),"")</f>
        <v/>
      </c>
      <c r="VPF19" s="28" t="str">
        <f>IFERROR(VLOOKUP(DATE($K$1,$K$2,VPF$4),Table1[],(MATCH(Calendar!$A19,DB!$1:$1,0)),FALSE),"")</f>
        <v/>
      </c>
      <c r="VPG19" s="28" t="str">
        <f>IFERROR(VLOOKUP(DATE($K$1,$K$2,VPG$4),Table1[],(MATCH(Calendar!$A19,DB!$1:$1,0)),FALSE),"")</f>
        <v/>
      </c>
      <c r="VPH19" s="28" t="str">
        <f>IFERROR(VLOOKUP(DATE($K$1,$K$2,VPH$4),Table1[],(MATCH(Calendar!$A19,DB!$1:$1,0)),FALSE),"")</f>
        <v/>
      </c>
      <c r="VPI19" s="28" t="str">
        <f>IFERROR(VLOOKUP(DATE($K$1,$K$2,VPI$4),Table1[],(MATCH(Calendar!$A19,DB!$1:$1,0)),FALSE),"")</f>
        <v/>
      </c>
      <c r="VPJ19" s="28" t="str">
        <f>IFERROR(VLOOKUP(DATE($K$1,$K$2,VPJ$4),Table1[],(MATCH(Calendar!$A19,DB!$1:$1,0)),FALSE),"")</f>
        <v/>
      </c>
      <c r="VPK19" s="28" t="str">
        <f>IFERROR(VLOOKUP(DATE($K$1,$K$2,VPK$4),Table1[],(MATCH(Calendar!$A19,DB!$1:$1,0)),FALSE),"")</f>
        <v/>
      </c>
      <c r="VPL19" s="28" t="str">
        <f>IFERROR(VLOOKUP(DATE($K$1,$K$2,VPL$4),Table1[],(MATCH(Calendar!$A19,DB!$1:$1,0)),FALSE),"")</f>
        <v/>
      </c>
      <c r="VPM19" s="28" t="str">
        <f>IFERROR(VLOOKUP(DATE($K$1,$K$2,VPM$4),Table1[],(MATCH(Calendar!$A19,DB!$1:$1,0)),FALSE),"")</f>
        <v/>
      </c>
      <c r="VPN19" s="28" t="str">
        <f>IFERROR(VLOOKUP(DATE($K$1,$K$2,VPN$4),Table1[],(MATCH(Calendar!$A19,DB!$1:$1,0)),FALSE),"")</f>
        <v/>
      </c>
      <c r="VPO19" s="28" t="str">
        <f>IFERROR(VLOOKUP(DATE($K$1,$K$2,VPO$4),Table1[],(MATCH(Calendar!$A19,DB!$1:$1,0)),FALSE),"")</f>
        <v/>
      </c>
      <c r="VPP19" s="28" t="str">
        <f>IFERROR(VLOOKUP(DATE($K$1,$K$2,VPP$4),Table1[],(MATCH(Calendar!$A19,DB!$1:$1,0)),FALSE),"")</f>
        <v/>
      </c>
      <c r="VPQ19" s="28" t="str">
        <f>IFERROR(VLOOKUP(DATE($K$1,$K$2,VPQ$4),Table1[],(MATCH(Calendar!$A19,DB!$1:$1,0)),FALSE),"")</f>
        <v/>
      </c>
      <c r="VPR19" s="28" t="str">
        <f>IFERROR(VLOOKUP(DATE($K$1,$K$2,VPR$4),Table1[],(MATCH(Calendar!$A19,DB!$1:$1,0)),FALSE),"")</f>
        <v/>
      </c>
      <c r="VPS19" s="28" t="str">
        <f>IFERROR(VLOOKUP(DATE($K$1,$K$2,VPS$4),Table1[],(MATCH(Calendar!$A19,DB!$1:$1,0)),FALSE),"")</f>
        <v/>
      </c>
      <c r="VPT19" s="28" t="str">
        <f>IFERROR(VLOOKUP(DATE($K$1,$K$2,VPT$4),Table1[],(MATCH(Calendar!$A19,DB!$1:$1,0)),FALSE),"")</f>
        <v/>
      </c>
      <c r="VPU19" s="28" t="str">
        <f>IFERROR(VLOOKUP(DATE($K$1,$K$2,VPU$4),Table1[],(MATCH(Calendar!$A19,DB!$1:$1,0)),FALSE),"")</f>
        <v/>
      </c>
      <c r="VPV19" s="28" t="str">
        <f>IFERROR(VLOOKUP(DATE($K$1,$K$2,VPV$4),Table1[],(MATCH(Calendar!$A19,DB!$1:$1,0)),FALSE),"")</f>
        <v/>
      </c>
      <c r="VPW19" s="28" t="str">
        <f>IFERROR(VLOOKUP(DATE($K$1,$K$2,VPW$4),Table1[],(MATCH(Calendar!$A19,DB!$1:$1,0)),FALSE),"")</f>
        <v/>
      </c>
      <c r="VPX19" s="28" t="str">
        <f>IFERROR(VLOOKUP(DATE($K$1,$K$2,VPX$4),Table1[],(MATCH(Calendar!$A19,DB!$1:$1,0)),FALSE),"")</f>
        <v/>
      </c>
      <c r="VPY19" s="28" t="str">
        <f>IFERROR(VLOOKUP(DATE($K$1,$K$2,VPY$4),Table1[],(MATCH(Calendar!$A19,DB!$1:$1,0)),FALSE),"")</f>
        <v/>
      </c>
      <c r="VPZ19" s="28" t="str">
        <f>IFERROR(VLOOKUP(DATE($K$1,$K$2,VPZ$4),Table1[],(MATCH(Calendar!$A19,DB!$1:$1,0)),FALSE),"")</f>
        <v/>
      </c>
      <c r="VQA19" s="28" t="str">
        <f>IFERROR(VLOOKUP(DATE($K$1,$K$2,VQA$4),Table1[],(MATCH(Calendar!$A19,DB!$1:$1,0)),FALSE),"")</f>
        <v/>
      </c>
      <c r="VQB19" s="28" t="str">
        <f>IFERROR(VLOOKUP(DATE($K$1,$K$2,VQB$4),Table1[],(MATCH(Calendar!$A19,DB!$1:$1,0)),FALSE),"")</f>
        <v/>
      </c>
      <c r="VQC19" s="28" t="str">
        <f>IFERROR(VLOOKUP(DATE($K$1,$K$2,VQC$4),Table1[],(MATCH(Calendar!$A19,DB!$1:$1,0)),FALSE),"")</f>
        <v/>
      </c>
      <c r="VQD19" s="28" t="str">
        <f>IFERROR(VLOOKUP(DATE($K$1,$K$2,VQD$4),Table1[],(MATCH(Calendar!$A19,DB!$1:$1,0)),FALSE),"")</f>
        <v/>
      </c>
      <c r="VQE19" s="28" t="str">
        <f>IFERROR(VLOOKUP(DATE($K$1,$K$2,VQE$4),Table1[],(MATCH(Calendar!$A19,DB!$1:$1,0)),FALSE),"")</f>
        <v/>
      </c>
      <c r="VQF19" s="28" t="str">
        <f>IFERROR(VLOOKUP(DATE($K$1,$K$2,VQF$4),Table1[],(MATCH(Calendar!$A19,DB!$1:$1,0)),FALSE),"")</f>
        <v/>
      </c>
      <c r="VQG19" s="28" t="str">
        <f>IFERROR(VLOOKUP(DATE($K$1,$K$2,VQG$4),Table1[],(MATCH(Calendar!$A19,DB!$1:$1,0)),FALSE),"")</f>
        <v/>
      </c>
      <c r="VQH19" s="28" t="str">
        <f>IFERROR(VLOOKUP(DATE($K$1,$K$2,VQH$4),Table1[],(MATCH(Calendar!$A19,DB!$1:$1,0)),FALSE),"")</f>
        <v/>
      </c>
      <c r="VQI19" s="28" t="str">
        <f>IFERROR(VLOOKUP(DATE($K$1,$K$2,VQI$4),Table1[],(MATCH(Calendar!$A19,DB!$1:$1,0)),FALSE),"")</f>
        <v/>
      </c>
      <c r="VQJ19" s="28" t="str">
        <f>IFERROR(VLOOKUP(DATE($K$1,$K$2,VQJ$4),Table1[],(MATCH(Calendar!$A19,DB!$1:$1,0)),FALSE),"")</f>
        <v/>
      </c>
      <c r="VQK19" s="28" t="str">
        <f>IFERROR(VLOOKUP(DATE($K$1,$K$2,VQK$4),Table1[],(MATCH(Calendar!$A19,DB!$1:$1,0)),FALSE),"")</f>
        <v/>
      </c>
      <c r="VQL19" s="28" t="str">
        <f>IFERROR(VLOOKUP(DATE($K$1,$K$2,VQL$4),Table1[],(MATCH(Calendar!$A19,DB!$1:$1,0)),FALSE),"")</f>
        <v/>
      </c>
      <c r="VQM19" s="28" t="str">
        <f>IFERROR(VLOOKUP(DATE($K$1,$K$2,VQM$4),Table1[],(MATCH(Calendar!$A19,DB!$1:$1,0)),FALSE),"")</f>
        <v/>
      </c>
      <c r="VQN19" s="28" t="str">
        <f>IFERROR(VLOOKUP(DATE($K$1,$K$2,VQN$4),Table1[],(MATCH(Calendar!$A19,DB!$1:$1,0)),FALSE),"")</f>
        <v/>
      </c>
      <c r="VQO19" s="28" t="str">
        <f>IFERROR(VLOOKUP(DATE($K$1,$K$2,VQO$4),Table1[],(MATCH(Calendar!$A19,DB!$1:$1,0)),FALSE),"")</f>
        <v/>
      </c>
      <c r="VQP19" s="28" t="str">
        <f>IFERROR(VLOOKUP(DATE($K$1,$K$2,VQP$4),Table1[],(MATCH(Calendar!$A19,DB!$1:$1,0)),FALSE),"")</f>
        <v/>
      </c>
      <c r="VQQ19" s="28" t="str">
        <f>IFERROR(VLOOKUP(DATE($K$1,$K$2,VQQ$4),Table1[],(MATCH(Calendar!$A19,DB!$1:$1,0)),FALSE),"")</f>
        <v/>
      </c>
      <c r="VQR19" s="28" t="str">
        <f>IFERROR(VLOOKUP(DATE($K$1,$K$2,VQR$4),Table1[],(MATCH(Calendar!$A19,DB!$1:$1,0)),FALSE),"")</f>
        <v/>
      </c>
      <c r="VQS19" s="28" t="str">
        <f>IFERROR(VLOOKUP(DATE($K$1,$K$2,VQS$4),Table1[],(MATCH(Calendar!$A19,DB!$1:$1,0)),FALSE),"")</f>
        <v/>
      </c>
      <c r="VQT19" s="28" t="str">
        <f>IFERROR(VLOOKUP(DATE($K$1,$K$2,VQT$4),Table1[],(MATCH(Calendar!$A19,DB!$1:$1,0)),FALSE),"")</f>
        <v/>
      </c>
      <c r="VQU19" s="28" t="str">
        <f>IFERROR(VLOOKUP(DATE($K$1,$K$2,VQU$4),Table1[],(MATCH(Calendar!$A19,DB!$1:$1,0)),FALSE),"")</f>
        <v/>
      </c>
      <c r="VQV19" s="28" t="str">
        <f>IFERROR(VLOOKUP(DATE($K$1,$K$2,VQV$4),Table1[],(MATCH(Calendar!$A19,DB!$1:$1,0)),FALSE),"")</f>
        <v/>
      </c>
      <c r="VQW19" s="28" t="str">
        <f>IFERROR(VLOOKUP(DATE($K$1,$K$2,VQW$4),Table1[],(MATCH(Calendar!$A19,DB!$1:$1,0)),FALSE),"")</f>
        <v/>
      </c>
      <c r="VQX19" s="28" t="str">
        <f>IFERROR(VLOOKUP(DATE($K$1,$K$2,VQX$4),Table1[],(MATCH(Calendar!$A19,DB!$1:$1,0)),FALSE),"")</f>
        <v/>
      </c>
      <c r="VQY19" s="28" t="str">
        <f>IFERROR(VLOOKUP(DATE($K$1,$K$2,VQY$4),Table1[],(MATCH(Calendar!$A19,DB!$1:$1,0)),FALSE),"")</f>
        <v/>
      </c>
      <c r="VQZ19" s="28" t="str">
        <f>IFERROR(VLOOKUP(DATE($K$1,$K$2,VQZ$4),Table1[],(MATCH(Calendar!$A19,DB!$1:$1,0)),FALSE),"")</f>
        <v/>
      </c>
      <c r="VRA19" s="28" t="str">
        <f>IFERROR(VLOOKUP(DATE($K$1,$K$2,VRA$4),Table1[],(MATCH(Calendar!$A19,DB!$1:$1,0)),FALSE),"")</f>
        <v/>
      </c>
      <c r="VRB19" s="28" t="str">
        <f>IFERROR(VLOOKUP(DATE($K$1,$K$2,VRB$4),Table1[],(MATCH(Calendar!$A19,DB!$1:$1,0)),FALSE),"")</f>
        <v/>
      </c>
      <c r="VRC19" s="28" t="str">
        <f>IFERROR(VLOOKUP(DATE($K$1,$K$2,VRC$4),Table1[],(MATCH(Calendar!$A19,DB!$1:$1,0)),FALSE),"")</f>
        <v/>
      </c>
      <c r="VRD19" s="28" t="str">
        <f>IFERROR(VLOOKUP(DATE($K$1,$K$2,VRD$4),Table1[],(MATCH(Calendar!$A19,DB!$1:$1,0)),FALSE),"")</f>
        <v/>
      </c>
      <c r="VRE19" s="28" t="str">
        <f>IFERROR(VLOOKUP(DATE($K$1,$K$2,VRE$4),Table1[],(MATCH(Calendar!$A19,DB!$1:$1,0)),FALSE),"")</f>
        <v/>
      </c>
      <c r="VRF19" s="28" t="str">
        <f>IFERROR(VLOOKUP(DATE($K$1,$K$2,VRF$4),Table1[],(MATCH(Calendar!$A19,DB!$1:$1,0)),FALSE),"")</f>
        <v/>
      </c>
      <c r="VRG19" s="28" t="str">
        <f>IFERROR(VLOOKUP(DATE($K$1,$K$2,VRG$4),Table1[],(MATCH(Calendar!$A19,DB!$1:$1,0)),FALSE),"")</f>
        <v/>
      </c>
      <c r="VRH19" s="28" t="str">
        <f>IFERROR(VLOOKUP(DATE($K$1,$K$2,VRH$4),Table1[],(MATCH(Calendar!$A19,DB!$1:$1,0)),FALSE),"")</f>
        <v/>
      </c>
      <c r="VRI19" s="28" t="str">
        <f>IFERROR(VLOOKUP(DATE($K$1,$K$2,VRI$4),Table1[],(MATCH(Calendar!$A19,DB!$1:$1,0)),FALSE),"")</f>
        <v/>
      </c>
      <c r="VRJ19" s="28" t="str">
        <f>IFERROR(VLOOKUP(DATE($K$1,$K$2,VRJ$4),Table1[],(MATCH(Calendar!$A19,DB!$1:$1,0)),FALSE),"")</f>
        <v/>
      </c>
      <c r="VRK19" s="28" t="str">
        <f>IFERROR(VLOOKUP(DATE($K$1,$K$2,VRK$4),Table1[],(MATCH(Calendar!$A19,DB!$1:$1,0)),FALSE),"")</f>
        <v/>
      </c>
      <c r="VRL19" s="28" t="str">
        <f>IFERROR(VLOOKUP(DATE($K$1,$K$2,VRL$4),Table1[],(MATCH(Calendar!$A19,DB!$1:$1,0)),FALSE),"")</f>
        <v/>
      </c>
      <c r="VRM19" s="28" t="str">
        <f>IFERROR(VLOOKUP(DATE($K$1,$K$2,VRM$4),Table1[],(MATCH(Calendar!$A19,DB!$1:$1,0)),FALSE),"")</f>
        <v/>
      </c>
      <c r="VRN19" s="28" t="str">
        <f>IFERROR(VLOOKUP(DATE($K$1,$K$2,VRN$4),Table1[],(MATCH(Calendar!$A19,DB!$1:$1,0)),FALSE),"")</f>
        <v/>
      </c>
      <c r="VRO19" s="28" t="str">
        <f>IFERROR(VLOOKUP(DATE($K$1,$K$2,VRO$4),Table1[],(MATCH(Calendar!$A19,DB!$1:$1,0)),FALSE),"")</f>
        <v/>
      </c>
      <c r="VRP19" s="28" t="str">
        <f>IFERROR(VLOOKUP(DATE($K$1,$K$2,VRP$4),Table1[],(MATCH(Calendar!$A19,DB!$1:$1,0)),FALSE),"")</f>
        <v/>
      </c>
      <c r="VRQ19" s="28" t="str">
        <f>IFERROR(VLOOKUP(DATE($K$1,$K$2,VRQ$4),Table1[],(MATCH(Calendar!$A19,DB!$1:$1,0)),FALSE),"")</f>
        <v/>
      </c>
      <c r="VRR19" s="28" t="str">
        <f>IFERROR(VLOOKUP(DATE($K$1,$K$2,VRR$4),Table1[],(MATCH(Calendar!$A19,DB!$1:$1,0)),FALSE),"")</f>
        <v/>
      </c>
      <c r="VRS19" s="28" t="str">
        <f>IFERROR(VLOOKUP(DATE($K$1,$K$2,VRS$4),Table1[],(MATCH(Calendar!$A19,DB!$1:$1,0)),FALSE),"")</f>
        <v/>
      </c>
      <c r="VRT19" s="28" t="str">
        <f>IFERROR(VLOOKUP(DATE($K$1,$K$2,VRT$4),Table1[],(MATCH(Calendar!$A19,DB!$1:$1,0)),FALSE),"")</f>
        <v/>
      </c>
      <c r="VRU19" s="28" t="str">
        <f>IFERROR(VLOOKUP(DATE($K$1,$K$2,VRU$4),Table1[],(MATCH(Calendar!$A19,DB!$1:$1,0)),FALSE),"")</f>
        <v/>
      </c>
      <c r="VRV19" s="28" t="str">
        <f>IFERROR(VLOOKUP(DATE($K$1,$K$2,VRV$4),Table1[],(MATCH(Calendar!$A19,DB!$1:$1,0)),FALSE),"")</f>
        <v/>
      </c>
      <c r="VRW19" s="28" t="str">
        <f>IFERROR(VLOOKUP(DATE($K$1,$K$2,VRW$4),Table1[],(MATCH(Calendar!$A19,DB!$1:$1,0)),FALSE),"")</f>
        <v/>
      </c>
      <c r="VRX19" s="28" t="str">
        <f>IFERROR(VLOOKUP(DATE($K$1,$K$2,VRX$4),Table1[],(MATCH(Calendar!$A19,DB!$1:$1,0)),FALSE),"")</f>
        <v/>
      </c>
      <c r="VRY19" s="28" t="str">
        <f>IFERROR(VLOOKUP(DATE($K$1,$K$2,VRY$4),Table1[],(MATCH(Calendar!$A19,DB!$1:$1,0)),FALSE),"")</f>
        <v/>
      </c>
      <c r="VRZ19" s="28" t="str">
        <f>IFERROR(VLOOKUP(DATE($K$1,$K$2,VRZ$4),Table1[],(MATCH(Calendar!$A19,DB!$1:$1,0)),FALSE),"")</f>
        <v/>
      </c>
      <c r="VSA19" s="28" t="str">
        <f>IFERROR(VLOOKUP(DATE($K$1,$K$2,VSA$4),Table1[],(MATCH(Calendar!$A19,DB!$1:$1,0)),FALSE),"")</f>
        <v/>
      </c>
      <c r="VSB19" s="28" t="str">
        <f>IFERROR(VLOOKUP(DATE($K$1,$K$2,VSB$4),Table1[],(MATCH(Calendar!$A19,DB!$1:$1,0)),FALSE),"")</f>
        <v/>
      </c>
      <c r="VSC19" s="28" t="str">
        <f>IFERROR(VLOOKUP(DATE($K$1,$K$2,VSC$4),Table1[],(MATCH(Calendar!$A19,DB!$1:$1,0)),FALSE),"")</f>
        <v/>
      </c>
      <c r="VSD19" s="28" t="str">
        <f>IFERROR(VLOOKUP(DATE($K$1,$K$2,VSD$4),Table1[],(MATCH(Calendar!$A19,DB!$1:$1,0)),FALSE),"")</f>
        <v/>
      </c>
      <c r="VSE19" s="28" t="str">
        <f>IFERROR(VLOOKUP(DATE($K$1,$K$2,VSE$4),Table1[],(MATCH(Calendar!$A19,DB!$1:$1,0)),FALSE),"")</f>
        <v/>
      </c>
      <c r="VSF19" s="28" t="str">
        <f>IFERROR(VLOOKUP(DATE($K$1,$K$2,VSF$4),Table1[],(MATCH(Calendar!$A19,DB!$1:$1,0)),FALSE),"")</f>
        <v/>
      </c>
      <c r="VSG19" s="28" t="str">
        <f>IFERROR(VLOOKUP(DATE($K$1,$K$2,VSG$4),Table1[],(MATCH(Calendar!$A19,DB!$1:$1,0)),FALSE),"")</f>
        <v/>
      </c>
      <c r="VSH19" s="28" t="str">
        <f>IFERROR(VLOOKUP(DATE($K$1,$K$2,VSH$4),Table1[],(MATCH(Calendar!$A19,DB!$1:$1,0)),FALSE),"")</f>
        <v/>
      </c>
      <c r="VSI19" s="28" t="str">
        <f>IFERROR(VLOOKUP(DATE($K$1,$K$2,VSI$4),Table1[],(MATCH(Calendar!$A19,DB!$1:$1,0)),FALSE),"")</f>
        <v/>
      </c>
      <c r="VSJ19" s="28" t="str">
        <f>IFERROR(VLOOKUP(DATE($K$1,$K$2,VSJ$4),Table1[],(MATCH(Calendar!$A19,DB!$1:$1,0)),FALSE),"")</f>
        <v/>
      </c>
      <c r="VSK19" s="28" t="str">
        <f>IFERROR(VLOOKUP(DATE($K$1,$K$2,VSK$4),Table1[],(MATCH(Calendar!$A19,DB!$1:$1,0)),FALSE),"")</f>
        <v/>
      </c>
      <c r="VSL19" s="28" t="str">
        <f>IFERROR(VLOOKUP(DATE($K$1,$K$2,VSL$4),Table1[],(MATCH(Calendar!$A19,DB!$1:$1,0)),FALSE),"")</f>
        <v/>
      </c>
      <c r="VSM19" s="28" t="str">
        <f>IFERROR(VLOOKUP(DATE($K$1,$K$2,VSM$4),Table1[],(MATCH(Calendar!$A19,DB!$1:$1,0)),FALSE),"")</f>
        <v/>
      </c>
      <c r="VSN19" s="28" t="str">
        <f>IFERROR(VLOOKUP(DATE($K$1,$K$2,VSN$4),Table1[],(MATCH(Calendar!$A19,DB!$1:$1,0)),FALSE),"")</f>
        <v/>
      </c>
      <c r="VSO19" s="28" t="str">
        <f>IFERROR(VLOOKUP(DATE($K$1,$K$2,VSO$4),Table1[],(MATCH(Calendar!$A19,DB!$1:$1,0)),FALSE),"")</f>
        <v/>
      </c>
      <c r="VSP19" s="28" t="str">
        <f>IFERROR(VLOOKUP(DATE($K$1,$K$2,VSP$4),Table1[],(MATCH(Calendar!$A19,DB!$1:$1,0)),FALSE),"")</f>
        <v/>
      </c>
      <c r="VSQ19" s="28" t="str">
        <f>IFERROR(VLOOKUP(DATE($K$1,$K$2,VSQ$4),Table1[],(MATCH(Calendar!$A19,DB!$1:$1,0)),FALSE),"")</f>
        <v/>
      </c>
      <c r="VSR19" s="28" t="str">
        <f>IFERROR(VLOOKUP(DATE($K$1,$K$2,VSR$4),Table1[],(MATCH(Calendar!$A19,DB!$1:$1,0)),FALSE),"")</f>
        <v/>
      </c>
      <c r="VSS19" s="28" t="str">
        <f>IFERROR(VLOOKUP(DATE($K$1,$K$2,VSS$4),Table1[],(MATCH(Calendar!$A19,DB!$1:$1,0)),FALSE),"")</f>
        <v/>
      </c>
      <c r="VST19" s="28" t="str">
        <f>IFERROR(VLOOKUP(DATE($K$1,$K$2,VST$4),Table1[],(MATCH(Calendar!$A19,DB!$1:$1,0)),FALSE),"")</f>
        <v/>
      </c>
      <c r="VSU19" s="28" t="str">
        <f>IFERROR(VLOOKUP(DATE($K$1,$K$2,VSU$4),Table1[],(MATCH(Calendar!$A19,DB!$1:$1,0)),FALSE),"")</f>
        <v/>
      </c>
      <c r="VSV19" s="28" t="str">
        <f>IFERROR(VLOOKUP(DATE($K$1,$K$2,VSV$4),Table1[],(MATCH(Calendar!$A19,DB!$1:$1,0)),FALSE),"")</f>
        <v/>
      </c>
      <c r="VSW19" s="28" t="str">
        <f>IFERROR(VLOOKUP(DATE($K$1,$K$2,VSW$4),Table1[],(MATCH(Calendar!$A19,DB!$1:$1,0)),FALSE),"")</f>
        <v/>
      </c>
      <c r="VSX19" s="28" t="str">
        <f>IFERROR(VLOOKUP(DATE($K$1,$K$2,VSX$4),Table1[],(MATCH(Calendar!$A19,DB!$1:$1,0)),FALSE),"")</f>
        <v/>
      </c>
      <c r="VSY19" s="28" t="str">
        <f>IFERROR(VLOOKUP(DATE($K$1,$K$2,VSY$4),Table1[],(MATCH(Calendar!$A19,DB!$1:$1,0)),FALSE),"")</f>
        <v/>
      </c>
      <c r="VSZ19" s="28" t="str">
        <f>IFERROR(VLOOKUP(DATE($K$1,$K$2,VSZ$4),Table1[],(MATCH(Calendar!$A19,DB!$1:$1,0)),FALSE),"")</f>
        <v/>
      </c>
      <c r="VTA19" s="28" t="str">
        <f>IFERROR(VLOOKUP(DATE($K$1,$K$2,VTA$4),Table1[],(MATCH(Calendar!$A19,DB!$1:$1,0)),FALSE),"")</f>
        <v/>
      </c>
      <c r="VTB19" s="28" t="str">
        <f>IFERROR(VLOOKUP(DATE($K$1,$K$2,VTB$4),Table1[],(MATCH(Calendar!$A19,DB!$1:$1,0)),FALSE),"")</f>
        <v/>
      </c>
      <c r="VTC19" s="28" t="str">
        <f>IFERROR(VLOOKUP(DATE($K$1,$K$2,VTC$4),Table1[],(MATCH(Calendar!$A19,DB!$1:$1,0)),FALSE),"")</f>
        <v/>
      </c>
      <c r="VTD19" s="28" t="str">
        <f>IFERROR(VLOOKUP(DATE($K$1,$K$2,VTD$4),Table1[],(MATCH(Calendar!$A19,DB!$1:$1,0)),FALSE),"")</f>
        <v/>
      </c>
      <c r="VTE19" s="28" t="str">
        <f>IFERROR(VLOOKUP(DATE($K$1,$K$2,VTE$4),Table1[],(MATCH(Calendar!$A19,DB!$1:$1,0)),FALSE),"")</f>
        <v/>
      </c>
      <c r="VTF19" s="28" t="str">
        <f>IFERROR(VLOOKUP(DATE($K$1,$K$2,VTF$4),Table1[],(MATCH(Calendar!$A19,DB!$1:$1,0)),FALSE),"")</f>
        <v/>
      </c>
      <c r="VTG19" s="28" t="str">
        <f>IFERROR(VLOOKUP(DATE($K$1,$K$2,VTG$4),Table1[],(MATCH(Calendar!$A19,DB!$1:$1,0)),FALSE),"")</f>
        <v/>
      </c>
      <c r="VTH19" s="28" t="str">
        <f>IFERROR(VLOOKUP(DATE($K$1,$K$2,VTH$4),Table1[],(MATCH(Calendar!$A19,DB!$1:$1,0)),FALSE),"")</f>
        <v/>
      </c>
      <c r="VTI19" s="28" t="str">
        <f>IFERROR(VLOOKUP(DATE($K$1,$K$2,VTI$4),Table1[],(MATCH(Calendar!$A19,DB!$1:$1,0)),FALSE),"")</f>
        <v/>
      </c>
      <c r="VTJ19" s="28" t="str">
        <f>IFERROR(VLOOKUP(DATE($K$1,$K$2,VTJ$4),Table1[],(MATCH(Calendar!$A19,DB!$1:$1,0)),FALSE),"")</f>
        <v/>
      </c>
      <c r="VTK19" s="28" t="str">
        <f>IFERROR(VLOOKUP(DATE($K$1,$K$2,VTK$4),Table1[],(MATCH(Calendar!$A19,DB!$1:$1,0)),FALSE),"")</f>
        <v/>
      </c>
      <c r="VTL19" s="28" t="str">
        <f>IFERROR(VLOOKUP(DATE($K$1,$K$2,VTL$4),Table1[],(MATCH(Calendar!$A19,DB!$1:$1,0)),FALSE),"")</f>
        <v/>
      </c>
      <c r="VTM19" s="28" t="str">
        <f>IFERROR(VLOOKUP(DATE($K$1,$K$2,VTM$4),Table1[],(MATCH(Calendar!$A19,DB!$1:$1,0)),FALSE),"")</f>
        <v/>
      </c>
      <c r="VTN19" s="28" t="str">
        <f>IFERROR(VLOOKUP(DATE($K$1,$K$2,VTN$4),Table1[],(MATCH(Calendar!$A19,DB!$1:$1,0)),FALSE),"")</f>
        <v/>
      </c>
      <c r="VTO19" s="28" t="str">
        <f>IFERROR(VLOOKUP(DATE($K$1,$K$2,VTO$4),Table1[],(MATCH(Calendar!$A19,DB!$1:$1,0)),FALSE),"")</f>
        <v/>
      </c>
      <c r="VTP19" s="28" t="str">
        <f>IFERROR(VLOOKUP(DATE($K$1,$K$2,VTP$4),Table1[],(MATCH(Calendar!$A19,DB!$1:$1,0)),FALSE),"")</f>
        <v/>
      </c>
      <c r="VTQ19" s="28" t="str">
        <f>IFERROR(VLOOKUP(DATE($K$1,$K$2,VTQ$4),Table1[],(MATCH(Calendar!$A19,DB!$1:$1,0)),FALSE),"")</f>
        <v/>
      </c>
      <c r="VTR19" s="28" t="str">
        <f>IFERROR(VLOOKUP(DATE($K$1,$K$2,VTR$4),Table1[],(MATCH(Calendar!$A19,DB!$1:$1,0)),FALSE),"")</f>
        <v/>
      </c>
      <c r="VTS19" s="28" t="str">
        <f>IFERROR(VLOOKUP(DATE($K$1,$K$2,VTS$4),Table1[],(MATCH(Calendar!$A19,DB!$1:$1,0)),FALSE),"")</f>
        <v/>
      </c>
      <c r="VTT19" s="28" t="str">
        <f>IFERROR(VLOOKUP(DATE($K$1,$K$2,VTT$4),Table1[],(MATCH(Calendar!$A19,DB!$1:$1,0)),FALSE),"")</f>
        <v/>
      </c>
      <c r="VTU19" s="28" t="str">
        <f>IFERROR(VLOOKUP(DATE($K$1,$K$2,VTU$4),Table1[],(MATCH(Calendar!$A19,DB!$1:$1,0)),FALSE),"")</f>
        <v/>
      </c>
      <c r="VTV19" s="28" t="str">
        <f>IFERROR(VLOOKUP(DATE($K$1,$K$2,VTV$4),Table1[],(MATCH(Calendar!$A19,DB!$1:$1,0)),FALSE),"")</f>
        <v/>
      </c>
      <c r="VTW19" s="28" t="str">
        <f>IFERROR(VLOOKUP(DATE($K$1,$K$2,VTW$4),Table1[],(MATCH(Calendar!$A19,DB!$1:$1,0)),FALSE),"")</f>
        <v/>
      </c>
      <c r="VTX19" s="28" t="str">
        <f>IFERROR(VLOOKUP(DATE($K$1,$K$2,VTX$4),Table1[],(MATCH(Calendar!$A19,DB!$1:$1,0)),FALSE),"")</f>
        <v/>
      </c>
      <c r="VTY19" s="28" t="str">
        <f>IFERROR(VLOOKUP(DATE($K$1,$K$2,VTY$4),Table1[],(MATCH(Calendar!$A19,DB!$1:$1,0)),FALSE),"")</f>
        <v/>
      </c>
      <c r="VTZ19" s="28" t="str">
        <f>IFERROR(VLOOKUP(DATE($K$1,$K$2,VTZ$4),Table1[],(MATCH(Calendar!$A19,DB!$1:$1,0)),FALSE),"")</f>
        <v/>
      </c>
      <c r="VUA19" s="28" t="str">
        <f>IFERROR(VLOOKUP(DATE($K$1,$K$2,VUA$4),Table1[],(MATCH(Calendar!$A19,DB!$1:$1,0)),FALSE),"")</f>
        <v/>
      </c>
      <c r="VUB19" s="28" t="str">
        <f>IFERROR(VLOOKUP(DATE($K$1,$K$2,VUB$4),Table1[],(MATCH(Calendar!$A19,DB!$1:$1,0)),FALSE),"")</f>
        <v/>
      </c>
      <c r="VUC19" s="28" t="str">
        <f>IFERROR(VLOOKUP(DATE($K$1,$K$2,VUC$4),Table1[],(MATCH(Calendar!$A19,DB!$1:$1,0)),FALSE),"")</f>
        <v/>
      </c>
      <c r="VUD19" s="28" t="str">
        <f>IFERROR(VLOOKUP(DATE($K$1,$K$2,VUD$4),Table1[],(MATCH(Calendar!$A19,DB!$1:$1,0)),FALSE),"")</f>
        <v/>
      </c>
      <c r="VUE19" s="28" t="str">
        <f>IFERROR(VLOOKUP(DATE($K$1,$K$2,VUE$4),Table1[],(MATCH(Calendar!$A19,DB!$1:$1,0)),FALSE),"")</f>
        <v/>
      </c>
      <c r="VUF19" s="28" t="str">
        <f>IFERROR(VLOOKUP(DATE($K$1,$K$2,VUF$4),Table1[],(MATCH(Calendar!$A19,DB!$1:$1,0)),FALSE),"")</f>
        <v/>
      </c>
      <c r="VUG19" s="28" t="str">
        <f>IFERROR(VLOOKUP(DATE($K$1,$K$2,VUG$4),Table1[],(MATCH(Calendar!$A19,DB!$1:$1,0)),FALSE),"")</f>
        <v/>
      </c>
      <c r="VUH19" s="28" t="str">
        <f>IFERROR(VLOOKUP(DATE($K$1,$K$2,VUH$4),Table1[],(MATCH(Calendar!$A19,DB!$1:$1,0)),FALSE),"")</f>
        <v/>
      </c>
      <c r="VUI19" s="28" t="str">
        <f>IFERROR(VLOOKUP(DATE($K$1,$K$2,VUI$4),Table1[],(MATCH(Calendar!$A19,DB!$1:$1,0)),FALSE),"")</f>
        <v/>
      </c>
      <c r="VUJ19" s="28" t="str">
        <f>IFERROR(VLOOKUP(DATE($K$1,$K$2,VUJ$4),Table1[],(MATCH(Calendar!$A19,DB!$1:$1,0)),FALSE),"")</f>
        <v/>
      </c>
      <c r="VUK19" s="28" t="str">
        <f>IFERROR(VLOOKUP(DATE($K$1,$K$2,VUK$4),Table1[],(MATCH(Calendar!$A19,DB!$1:$1,0)),FALSE),"")</f>
        <v/>
      </c>
      <c r="VUL19" s="28" t="str">
        <f>IFERROR(VLOOKUP(DATE($K$1,$K$2,VUL$4),Table1[],(MATCH(Calendar!$A19,DB!$1:$1,0)),FALSE),"")</f>
        <v/>
      </c>
      <c r="VUM19" s="28" t="str">
        <f>IFERROR(VLOOKUP(DATE($K$1,$K$2,VUM$4),Table1[],(MATCH(Calendar!$A19,DB!$1:$1,0)),FALSE),"")</f>
        <v/>
      </c>
      <c r="VUN19" s="28" t="str">
        <f>IFERROR(VLOOKUP(DATE($K$1,$K$2,VUN$4),Table1[],(MATCH(Calendar!$A19,DB!$1:$1,0)),FALSE),"")</f>
        <v/>
      </c>
      <c r="VUO19" s="28" t="str">
        <f>IFERROR(VLOOKUP(DATE($K$1,$K$2,VUO$4),Table1[],(MATCH(Calendar!$A19,DB!$1:$1,0)),FALSE),"")</f>
        <v/>
      </c>
      <c r="VUP19" s="28" t="str">
        <f>IFERROR(VLOOKUP(DATE($K$1,$K$2,VUP$4),Table1[],(MATCH(Calendar!$A19,DB!$1:$1,0)),FALSE),"")</f>
        <v/>
      </c>
      <c r="VUQ19" s="28" t="str">
        <f>IFERROR(VLOOKUP(DATE($K$1,$K$2,VUQ$4),Table1[],(MATCH(Calendar!$A19,DB!$1:$1,0)),FALSE),"")</f>
        <v/>
      </c>
      <c r="VUR19" s="28" t="str">
        <f>IFERROR(VLOOKUP(DATE($K$1,$K$2,VUR$4),Table1[],(MATCH(Calendar!$A19,DB!$1:$1,0)),FALSE),"")</f>
        <v/>
      </c>
      <c r="VUS19" s="28" t="str">
        <f>IFERROR(VLOOKUP(DATE($K$1,$K$2,VUS$4),Table1[],(MATCH(Calendar!$A19,DB!$1:$1,0)),FALSE),"")</f>
        <v/>
      </c>
      <c r="VUT19" s="28" t="str">
        <f>IFERROR(VLOOKUP(DATE($K$1,$K$2,VUT$4),Table1[],(MATCH(Calendar!$A19,DB!$1:$1,0)),FALSE),"")</f>
        <v/>
      </c>
      <c r="VUU19" s="28" t="str">
        <f>IFERROR(VLOOKUP(DATE($K$1,$K$2,VUU$4),Table1[],(MATCH(Calendar!$A19,DB!$1:$1,0)),FALSE),"")</f>
        <v/>
      </c>
      <c r="VUV19" s="28" t="str">
        <f>IFERROR(VLOOKUP(DATE($K$1,$K$2,VUV$4),Table1[],(MATCH(Calendar!$A19,DB!$1:$1,0)),FALSE),"")</f>
        <v/>
      </c>
      <c r="VUW19" s="28" t="str">
        <f>IFERROR(VLOOKUP(DATE($K$1,$K$2,VUW$4),Table1[],(MATCH(Calendar!$A19,DB!$1:$1,0)),FALSE),"")</f>
        <v/>
      </c>
      <c r="VUX19" s="28" t="str">
        <f>IFERROR(VLOOKUP(DATE($K$1,$K$2,VUX$4),Table1[],(MATCH(Calendar!$A19,DB!$1:$1,0)),FALSE),"")</f>
        <v/>
      </c>
      <c r="VUY19" s="28" t="str">
        <f>IFERROR(VLOOKUP(DATE($K$1,$K$2,VUY$4),Table1[],(MATCH(Calendar!$A19,DB!$1:$1,0)),FALSE),"")</f>
        <v/>
      </c>
      <c r="VUZ19" s="28" t="str">
        <f>IFERROR(VLOOKUP(DATE($K$1,$K$2,VUZ$4),Table1[],(MATCH(Calendar!$A19,DB!$1:$1,0)),FALSE),"")</f>
        <v/>
      </c>
      <c r="VVA19" s="28" t="str">
        <f>IFERROR(VLOOKUP(DATE($K$1,$K$2,VVA$4),Table1[],(MATCH(Calendar!$A19,DB!$1:$1,0)),FALSE),"")</f>
        <v/>
      </c>
      <c r="VVB19" s="28" t="str">
        <f>IFERROR(VLOOKUP(DATE($K$1,$K$2,VVB$4),Table1[],(MATCH(Calendar!$A19,DB!$1:$1,0)),FALSE),"")</f>
        <v/>
      </c>
      <c r="VVC19" s="28" t="str">
        <f>IFERROR(VLOOKUP(DATE($K$1,$K$2,VVC$4),Table1[],(MATCH(Calendar!$A19,DB!$1:$1,0)),FALSE),"")</f>
        <v/>
      </c>
      <c r="VVD19" s="28" t="str">
        <f>IFERROR(VLOOKUP(DATE($K$1,$K$2,VVD$4),Table1[],(MATCH(Calendar!$A19,DB!$1:$1,0)),FALSE),"")</f>
        <v/>
      </c>
      <c r="VVE19" s="28" t="str">
        <f>IFERROR(VLOOKUP(DATE($K$1,$K$2,VVE$4),Table1[],(MATCH(Calendar!$A19,DB!$1:$1,0)),FALSE),"")</f>
        <v/>
      </c>
      <c r="VVF19" s="28" t="str">
        <f>IFERROR(VLOOKUP(DATE($K$1,$K$2,VVF$4),Table1[],(MATCH(Calendar!$A19,DB!$1:$1,0)),FALSE),"")</f>
        <v/>
      </c>
      <c r="VVG19" s="28" t="str">
        <f>IFERROR(VLOOKUP(DATE($K$1,$K$2,VVG$4),Table1[],(MATCH(Calendar!$A19,DB!$1:$1,0)),FALSE),"")</f>
        <v/>
      </c>
      <c r="VVH19" s="28" t="str">
        <f>IFERROR(VLOOKUP(DATE($K$1,$K$2,VVH$4),Table1[],(MATCH(Calendar!$A19,DB!$1:$1,0)),FALSE),"")</f>
        <v/>
      </c>
      <c r="VVI19" s="28" t="str">
        <f>IFERROR(VLOOKUP(DATE($K$1,$K$2,VVI$4),Table1[],(MATCH(Calendar!$A19,DB!$1:$1,0)),FALSE),"")</f>
        <v/>
      </c>
      <c r="VVJ19" s="28" t="str">
        <f>IFERROR(VLOOKUP(DATE($K$1,$K$2,VVJ$4),Table1[],(MATCH(Calendar!$A19,DB!$1:$1,0)),FALSE),"")</f>
        <v/>
      </c>
      <c r="VVK19" s="28" t="str">
        <f>IFERROR(VLOOKUP(DATE($K$1,$K$2,VVK$4),Table1[],(MATCH(Calendar!$A19,DB!$1:$1,0)),FALSE),"")</f>
        <v/>
      </c>
      <c r="VVL19" s="28" t="str">
        <f>IFERROR(VLOOKUP(DATE($K$1,$K$2,VVL$4),Table1[],(MATCH(Calendar!$A19,DB!$1:$1,0)),FALSE),"")</f>
        <v/>
      </c>
      <c r="VVM19" s="28" t="str">
        <f>IFERROR(VLOOKUP(DATE($K$1,$K$2,VVM$4),Table1[],(MATCH(Calendar!$A19,DB!$1:$1,0)),FALSE),"")</f>
        <v/>
      </c>
      <c r="VVN19" s="28" t="str">
        <f>IFERROR(VLOOKUP(DATE($K$1,$K$2,VVN$4),Table1[],(MATCH(Calendar!$A19,DB!$1:$1,0)),FALSE),"")</f>
        <v/>
      </c>
      <c r="VVO19" s="28" t="str">
        <f>IFERROR(VLOOKUP(DATE($K$1,$K$2,VVO$4),Table1[],(MATCH(Calendar!$A19,DB!$1:$1,0)),FALSE),"")</f>
        <v/>
      </c>
      <c r="VVP19" s="28" t="str">
        <f>IFERROR(VLOOKUP(DATE($K$1,$K$2,VVP$4),Table1[],(MATCH(Calendar!$A19,DB!$1:$1,0)),FALSE),"")</f>
        <v/>
      </c>
      <c r="VVQ19" s="28" t="str">
        <f>IFERROR(VLOOKUP(DATE($K$1,$K$2,VVQ$4),Table1[],(MATCH(Calendar!$A19,DB!$1:$1,0)),FALSE),"")</f>
        <v/>
      </c>
      <c r="VVR19" s="28" t="str">
        <f>IFERROR(VLOOKUP(DATE($K$1,$K$2,VVR$4),Table1[],(MATCH(Calendar!$A19,DB!$1:$1,0)),FALSE),"")</f>
        <v/>
      </c>
      <c r="VVS19" s="28" t="str">
        <f>IFERROR(VLOOKUP(DATE($K$1,$K$2,VVS$4),Table1[],(MATCH(Calendar!$A19,DB!$1:$1,0)),FALSE),"")</f>
        <v/>
      </c>
      <c r="VVT19" s="28" t="str">
        <f>IFERROR(VLOOKUP(DATE($K$1,$K$2,VVT$4),Table1[],(MATCH(Calendar!$A19,DB!$1:$1,0)),FALSE),"")</f>
        <v/>
      </c>
      <c r="VVU19" s="28" t="str">
        <f>IFERROR(VLOOKUP(DATE($K$1,$K$2,VVU$4),Table1[],(MATCH(Calendar!$A19,DB!$1:$1,0)),FALSE),"")</f>
        <v/>
      </c>
      <c r="VVV19" s="28" t="str">
        <f>IFERROR(VLOOKUP(DATE($K$1,$K$2,VVV$4),Table1[],(MATCH(Calendar!$A19,DB!$1:$1,0)),FALSE),"")</f>
        <v/>
      </c>
      <c r="VVW19" s="28" t="str">
        <f>IFERROR(VLOOKUP(DATE($K$1,$K$2,VVW$4),Table1[],(MATCH(Calendar!$A19,DB!$1:$1,0)),FALSE),"")</f>
        <v/>
      </c>
      <c r="VVX19" s="28" t="str">
        <f>IFERROR(VLOOKUP(DATE($K$1,$K$2,VVX$4),Table1[],(MATCH(Calendar!$A19,DB!$1:$1,0)),FALSE),"")</f>
        <v/>
      </c>
      <c r="VVY19" s="28" t="str">
        <f>IFERROR(VLOOKUP(DATE($K$1,$K$2,VVY$4),Table1[],(MATCH(Calendar!$A19,DB!$1:$1,0)),FALSE),"")</f>
        <v/>
      </c>
      <c r="VVZ19" s="28" t="str">
        <f>IFERROR(VLOOKUP(DATE($K$1,$K$2,VVZ$4),Table1[],(MATCH(Calendar!$A19,DB!$1:$1,0)),FALSE),"")</f>
        <v/>
      </c>
      <c r="VWA19" s="28" t="str">
        <f>IFERROR(VLOOKUP(DATE($K$1,$K$2,VWA$4),Table1[],(MATCH(Calendar!$A19,DB!$1:$1,0)),FALSE),"")</f>
        <v/>
      </c>
      <c r="VWB19" s="28" t="str">
        <f>IFERROR(VLOOKUP(DATE($K$1,$K$2,VWB$4),Table1[],(MATCH(Calendar!$A19,DB!$1:$1,0)),FALSE),"")</f>
        <v/>
      </c>
      <c r="VWC19" s="28" t="str">
        <f>IFERROR(VLOOKUP(DATE($K$1,$K$2,VWC$4),Table1[],(MATCH(Calendar!$A19,DB!$1:$1,0)),FALSE),"")</f>
        <v/>
      </c>
      <c r="VWD19" s="28" t="str">
        <f>IFERROR(VLOOKUP(DATE($K$1,$K$2,VWD$4),Table1[],(MATCH(Calendar!$A19,DB!$1:$1,0)),FALSE),"")</f>
        <v/>
      </c>
      <c r="VWE19" s="28" t="str">
        <f>IFERROR(VLOOKUP(DATE($K$1,$K$2,VWE$4),Table1[],(MATCH(Calendar!$A19,DB!$1:$1,0)),FALSE),"")</f>
        <v/>
      </c>
      <c r="VWF19" s="28" t="str">
        <f>IFERROR(VLOOKUP(DATE($K$1,$K$2,VWF$4),Table1[],(MATCH(Calendar!$A19,DB!$1:$1,0)),FALSE),"")</f>
        <v/>
      </c>
      <c r="VWG19" s="28" t="str">
        <f>IFERROR(VLOOKUP(DATE($K$1,$K$2,VWG$4),Table1[],(MATCH(Calendar!$A19,DB!$1:$1,0)),FALSE),"")</f>
        <v/>
      </c>
      <c r="VWH19" s="28" t="str">
        <f>IFERROR(VLOOKUP(DATE($K$1,$K$2,VWH$4),Table1[],(MATCH(Calendar!$A19,DB!$1:$1,0)),FALSE),"")</f>
        <v/>
      </c>
      <c r="VWI19" s="28" t="str">
        <f>IFERROR(VLOOKUP(DATE($K$1,$K$2,VWI$4),Table1[],(MATCH(Calendar!$A19,DB!$1:$1,0)),FALSE),"")</f>
        <v/>
      </c>
      <c r="VWJ19" s="28" t="str">
        <f>IFERROR(VLOOKUP(DATE($K$1,$K$2,VWJ$4),Table1[],(MATCH(Calendar!$A19,DB!$1:$1,0)),FALSE),"")</f>
        <v/>
      </c>
      <c r="VWK19" s="28" t="str">
        <f>IFERROR(VLOOKUP(DATE($K$1,$K$2,VWK$4),Table1[],(MATCH(Calendar!$A19,DB!$1:$1,0)),FALSE),"")</f>
        <v/>
      </c>
      <c r="VWL19" s="28" t="str">
        <f>IFERROR(VLOOKUP(DATE($K$1,$K$2,VWL$4),Table1[],(MATCH(Calendar!$A19,DB!$1:$1,0)),FALSE),"")</f>
        <v/>
      </c>
      <c r="VWM19" s="28" t="str">
        <f>IFERROR(VLOOKUP(DATE($K$1,$K$2,VWM$4),Table1[],(MATCH(Calendar!$A19,DB!$1:$1,0)),FALSE),"")</f>
        <v/>
      </c>
      <c r="VWN19" s="28" t="str">
        <f>IFERROR(VLOOKUP(DATE($K$1,$K$2,VWN$4),Table1[],(MATCH(Calendar!$A19,DB!$1:$1,0)),FALSE),"")</f>
        <v/>
      </c>
      <c r="VWO19" s="28" t="str">
        <f>IFERROR(VLOOKUP(DATE($K$1,$K$2,VWO$4),Table1[],(MATCH(Calendar!$A19,DB!$1:$1,0)),FALSE),"")</f>
        <v/>
      </c>
      <c r="VWP19" s="28" t="str">
        <f>IFERROR(VLOOKUP(DATE($K$1,$K$2,VWP$4),Table1[],(MATCH(Calendar!$A19,DB!$1:$1,0)),FALSE),"")</f>
        <v/>
      </c>
      <c r="VWQ19" s="28" t="str">
        <f>IFERROR(VLOOKUP(DATE($K$1,$K$2,VWQ$4),Table1[],(MATCH(Calendar!$A19,DB!$1:$1,0)),FALSE),"")</f>
        <v/>
      </c>
      <c r="VWR19" s="28" t="str">
        <f>IFERROR(VLOOKUP(DATE($K$1,$K$2,VWR$4),Table1[],(MATCH(Calendar!$A19,DB!$1:$1,0)),FALSE),"")</f>
        <v/>
      </c>
      <c r="VWS19" s="28" t="str">
        <f>IFERROR(VLOOKUP(DATE($K$1,$K$2,VWS$4),Table1[],(MATCH(Calendar!$A19,DB!$1:$1,0)),FALSE),"")</f>
        <v/>
      </c>
      <c r="VWT19" s="28" t="str">
        <f>IFERROR(VLOOKUP(DATE($K$1,$K$2,VWT$4),Table1[],(MATCH(Calendar!$A19,DB!$1:$1,0)),FALSE),"")</f>
        <v/>
      </c>
      <c r="VWU19" s="28" t="str">
        <f>IFERROR(VLOOKUP(DATE($K$1,$K$2,VWU$4),Table1[],(MATCH(Calendar!$A19,DB!$1:$1,0)),FALSE),"")</f>
        <v/>
      </c>
      <c r="VWV19" s="28" t="str">
        <f>IFERROR(VLOOKUP(DATE($K$1,$K$2,VWV$4),Table1[],(MATCH(Calendar!$A19,DB!$1:$1,0)),FALSE),"")</f>
        <v/>
      </c>
      <c r="VWW19" s="28" t="str">
        <f>IFERROR(VLOOKUP(DATE($K$1,$K$2,VWW$4),Table1[],(MATCH(Calendar!$A19,DB!$1:$1,0)),FALSE),"")</f>
        <v/>
      </c>
      <c r="VWX19" s="28" t="str">
        <f>IFERROR(VLOOKUP(DATE($K$1,$K$2,VWX$4),Table1[],(MATCH(Calendar!$A19,DB!$1:$1,0)),FALSE),"")</f>
        <v/>
      </c>
      <c r="VWY19" s="28" t="str">
        <f>IFERROR(VLOOKUP(DATE($K$1,$K$2,VWY$4),Table1[],(MATCH(Calendar!$A19,DB!$1:$1,0)),FALSE),"")</f>
        <v/>
      </c>
      <c r="VWZ19" s="28" t="str">
        <f>IFERROR(VLOOKUP(DATE($K$1,$K$2,VWZ$4),Table1[],(MATCH(Calendar!$A19,DB!$1:$1,0)),FALSE),"")</f>
        <v/>
      </c>
      <c r="VXA19" s="28" t="str">
        <f>IFERROR(VLOOKUP(DATE($K$1,$K$2,VXA$4),Table1[],(MATCH(Calendar!$A19,DB!$1:$1,0)),FALSE),"")</f>
        <v/>
      </c>
      <c r="VXB19" s="28" t="str">
        <f>IFERROR(VLOOKUP(DATE($K$1,$K$2,VXB$4),Table1[],(MATCH(Calendar!$A19,DB!$1:$1,0)),FALSE),"")</f>
        <v/>
      </c>
      <c r="VXC19" s="28" t="str">
        <f>IFERROR(VLOOKUP(DATE($K$1,$K$2,VXC$4),Table1[],(MATCH(Calendar!$A19,DB!$1:$1,0)),FALSE),"")</f>
        <v/>
      </c>
      <c r="VXD19" s="28" t="str">
        <f>IFERROR(VLOOKUP(DATE($K$1,$K$2,VXD$4),Table1[],(MATCH(Calendar!$A19,DB!$1:$1,0)),FALSE),"")</f>
        <v/>
      </c>
      <c r="VXE19" s="28" t="str">
        <f>IFERROR(VLOOKUP(DATE($K$1,$K$2,VXE$4),Table1[],(MATCH(Calendar!$A19,DB!$1:$1,0)),FALSE),"")</f>
        <v/>
      </c>
      <c r="VXF19" s="28" t="str">
        <f>IFERROR(VLOOKUP(DATE($K$1,$K$2,VXF$4),Table1[],(MATCH(Calendar!$A19,DB!$1:$1,0)),FALSE),"")</f>
        <v/>
      </c>
      <c r="VXG19" s="28" t="str">
        <f>IFERROR(VLOOKUP(DATE($K$1,$K$2,VXG$4),Table1[],(MATCH(Calendar!$A19,DB!$1:$1,0)),FALSE),"")</f>
        <v/>
      </c>
      <c r="VXH19" s="28" t="str">
        <f>IFERROR(VLOOKUP(DATE($K$1,$K$2,VXH$4),Table1[],(MATCH(Calendar!$A19,DB!$1:$1,0)),FALSE),"")</f>
        <v/>
      </c>
      <c r="VXI19" s="28" t="str">
        <f>IFERROR(VLOOKUP(DATE($K$1,$K$2,VXI$4),Table1[],(MATCH(Calendar!$A19,DB!$1:$1,0)),FALSE),"")</f>
        <v/>
      </c>
      <c r="VXJ19" s="28" t="str">
        <f>IFERROR(VLOOKUP(DATE($K$1,$K$2,VXJ$4),Table1[],(MATCH(Calendar!$A19,DB!$1:$1,0)),FALSE),"")</f>
        <v/>
      </c>
      <c r="VXK19" s="28" t="str">
        <f>IFERROR(VLOOKUP(DATE($K$1,$K$2,VXK$4),Table1[],(MATCH(Calendar!$A19,DB!$1:$1,0)),FALSE),"")</f>
        <v/>
      </c>
      <c r="VXL19" s="28" t="str">
        <f>IFERROR(VLOOKUP(DATE($K$1,$K$2,VXL$4),Table1[],(MATCH(Calendar!$A19,DB!$1:$1,0)),FALSE),"")</f>
        <v/>
      </c>
      <c r="VXM19" s="28" t="str">
        <f>IFERROR(VLOOKUP(DATE($K$1,$K$2,VXM$4),Table1[],(MATCH(Calendar!$A19,DB!$1:$1,0)),FALSE),"")</f>
        <v/>
      </c>
      <c r="VXN19" s="28" t="str">
        <f>IFERROR(VLOOKUP(DATE($K$1,$K$2,VXN$4),Table1[],(MATCH(Calendar!$A19,DB!$1:$1,0)),FALSE),"")</f>
        <v/>
      </c>
      <c r="VXO19" s="28" t="str">
        <f>IFERROR(VLOOKUP(DATE($K$1,$K$2,VXO$4),Table1[],(MATCH(Calendar!$A19,DB!$1:$1,0)),FALSE),"")</f>
        <v/>
      </c>
      <c r="VXP19" s="28" t="str">
        <f>IFERROR(VLOOKUP(DATE($K$1,$K$2,VXP$4),Table1[],(MATCH(Calendar!$A19,DB!$1:$1,0)),FALSE),"")</f>
        <v/>
      </c>
      <c r="VXQ19" s="28" t="str">
        <f>IFERROR(VLOOKUP(DATE($K$1,$K$2,VXQ$4),Table1[],(MATCH(Calendar!$A19,DB!$1:$1,0)),FALSE),"")</f>
        <v/>
      </c>
      <c r="VXR19" s="28" t="str">
        <f>IFERROR(VLOOKUP(DATE($K$1,$K$2,VXR$4),Table1[],(MATCH(Calendar!$A19,DB!$1:$1,0)),FALSE),"")</f>
        <v/>
      </c>
      <c r="VXS19" s="28" t="str">
        <f>IFERROR(VLOOKUP(DATE($K$1,$K$2,VXS$4),Table1[],(MATCH(Calendar!$A19,DB!$1:$1,0)),FALSE),"")</f>
        <v/>
      </c>
      <c r="VXT19" s="28" t="str">
        <f>IFERROR(VLOOKUP(DATE($K$1,$K$2,VXT$4),Table1[],(MATCH(Calendar!$A19,DB!$1:$1,0)),FALSE),"")</f>
        <v/>
      </c>
      <c r="VXU19" s="28" t="str">
        <f>IFERROR(VLOOKUP(DATE($K$1,$K$2,VXU$4),Table1[],(MATCH(Calendar!$A19,DB!$1:$1,0)),FALSE),"")</f>
        <v/>
      </c>
      <c r="VXV19" s="28" t="str">
        <f>IFERROR(VLOOKUP(DATE($K$1,$K$2,VXV$4),Table1[],(MATCH(Calendar!$A19,DB!$1:$1,0)),FALSE),"")</f>
        <v/>
      </c>
      <c r="VXW19" s="28" t="str">
        <f>IFERROR(VLOOKUP(DATE($K$1,$K$2,VXW$4),Table1[],(MATCH(Calendar!$A19,DB!$1:$1,0)),FALSE),"")</f>
        <v/>
      </c>
      <c r="VXX19" s="28" t="str">
        <f>IFERROR(VLOOKUP(DATE($K$1,$K$2,VXX$4),Table1[],(MATCH(Calendar!$A19,DB!$1:$1,0)),FALSE),"")</f>
        <v/>
      </c>
      <c r="VXY19" s="28" t="str">
        <f>IFERROR(VLOOKUP(DATE($K$1,$K$2,VXY$4),Table1[],(MATCH(Calendar!$A19,DB!$1:$1,0)),FALSE),"")</f>
        <v/>
      </c>
      <c r="VXZ19" s="28" t="str">
        <f>IFERROR(VLOOKUP(DATE($K$1,$K$2,VXZ$4),Table1[],(MATCH(Calendar!$A19,DB!$1:$1,0)),FALSE),"")</f>
        <v/>
      </c>
      <c r="VYA19" s="28" t="str">
        <f>IFERROR(VLOOKUP(DATE($K$1,$K$2,VYA$4),Table1[],(MATCH(Calendar!$A19,DB!$1:$1,0)),FALSE),"")</f>
        <v/>
      </c>
      <c r="VYB19" s="28" t="str">
        <f>IFERROR(VLOOKUP(DATE($K$1,$K$2,VYB$4),Table1[],(MATCH(Calendar!$A19,DB!$1:$1,0)),FALSE),"")</f>
        <v/>
      </c>
      <c r="VYC19" s="28" t="str">
        <f>IFERROR(VLOOKUP(DATE($K$1,$K$2,VYC$4),Table1[],(MATCH(Calendar!$A19,DB!$1:$1,0)),FALSE),"")</f>
        <v/>
      </c>
      <c r="VYD19" s="28" t="str">
        <f>IFERROR(VLOOKUP(DATE($K$1,$K$2,VYD$4),Table1[],(MATCH(Calendar!$A19,DB!$1:$1,0)),FALSE),"")</f>
        <v/>
      </c>
      <c r="VYE19" s="28" t="str">
        <f>IFERROR(VLOOKUP(DATE($K$1,$K$2,VYE$4),Table1[],(MATCH(Calendar!$A19,DB!$1:$1,0)),FALSE),"")</f>
        <v/>
      </c>
      <c r="VYF19" s="28" t="str">
        <f>IFERROR(VLOOKUP(DATE($K$1,$K$2,VYF$4),Table1[],(MATCH(Calendar!$A19,DB!$1:$1,0)),FALSE),"")</f>
        <v/>
      </c>
      <c r="VYG19" s="28" t="str">
        <f>IFERROR(VLOOKUP(DATE($K$1,$K$2,VYG$4),Table1[],(MATCH(Calendar!$A19,DB!$1:$1,0)),FALSE),"")</f>
        <v/>
      </c>
      <c r="VYH19" s="28" t="str">
        <f>IFERROR(VLOOKUP(DATE($K$1,$K$2,VYH$4),Table1[],(MATCH(Calendar!$A19,DB!$1:$1,0)),FALSE),"")</f>
        <v/>
      </c>
      <c r="VYI19" s="28" t="str">
        <f>IFERROR(VLOOKUP(DATE($K$1,$K$2,VYI$4),Table1[],(MATCH(Calendar!$A19,DB!$1:$1,0)),FALSE),"")</f>
        <v/>
      </c>
      <c r="VYJ19" s="28" t="str">
        <f>IFERROR(VLOOKUP(DATE($K$1,$K$2,VYJ$4),Table1[],(MATCH(Calendar!$A19,DB!$1:$1,0)),FALSE),"")</f>
        <v/>
      </c>
      <c r="VYK19" s="28" t="str">
        <f>IFERROR(VLOOKUP(DATE($K$1,$K$2,VYK$4),Table1[],(MATCH(Calendar!$A19,DB!$1:$1,0)),FALSE),"")</f>
        <v/>
      </c>
      <c r="VYL19" s="28" t="str">
        <f>IFERROR(VLOOKUP(DATE($K$1,$K$2,VYL$4),Table1[],(MATCH(Calendar!$A19,DB!$1:$1,0)),FALSE),"")</f>
        <v/>
      </c>
      <c r="VYM19" s="28" t="str">
        <f>IFERROR(VLOOKUP(DATE($K$1,$K$2,VYM$4),Table1[],(MATCH(Calendar!$A19,DB!$1:$1,0)),FALSE),"")</f>
        <v/>
      </c>
      <c r="VYN19" s="28" t="str">
        <f>IFERROR(VLOOKUP(DATE($K$1,$K$2,VYN$4),Table1[],(MATCH(Calendar!$A19,DB!$1:$1,0)),FALSE),"")</f>
        <v/>
      </c>
      <c r="VYO19" s="28" t="str">
        <f>IFERROR(VLOOKUP(DATE($K$1,$K$2,VYO$4),Table1[],(MATCH(Calendar!$A19,DB!$1:$1,0)),FALSE),"")</f>
        <v/>
      </c>
      <c r="VYP19" s="28" t="str">
        <f>IFERROR(VLOOKUP(DATE($K$1,$K$2,VYP$4),Table1[],(MATCH(Calendar!$A19,DB!$1:$1,0)),FALSE),"")</f>
        <v/>
      </c>
      <c r="VYQ19" s="28" t="str">
        <f>IFERROR(VLOOKUP(DATE($K$1,$K$2,VYQ$4),Table1[],(MATCH(Calendar!$A19,DB!$1:$1,0)),FALSE),"")</f>
        <v/>
      </c>
      <c r="VYR19" s="28" t="str">
        <f>IFERROR(VLOOKUP(DATE($K$1,$K$2,VYR$4),Table1[],(MATCH(Calendar!$A19,DB!$1:$1,0)),FALSE),"")</f>
        <v/>
      </c>
      <c r="VYS19" s="28" t="str">
        <f>IFERROR(VLOOKUP(DATE($K$1,$K$2,VYS$4),Table1[],(MATCH(Calendar!$A19,DB!$1:$1,0)),FALSE),"")</f>
        <v/>
      </c>
      <c r="VYT19" s="28" t="str">
        <f>IFERROR(VLOOKUP(DATE($K$1,$K$2,VYT$4),Table1[],(MATCH(Calendar!$A19,DB!$1:$1,0)),FALSE),"")</f>
        <v/>
      </c>
      <c r="VYU19" s="28" t="str">
        <f>IFERROR(VLOOKUP(DATE($K$1,$K$2,VYU$4),Table1[],(MATCH(Calendar!$A19,DB!$1:$1,0)),FALSE),"")</f>
        <v/>
      </c>
      <c r="VYV19" s="28" t="str">
        <f>IFERROR(VLOOKUP(DATE($K$1,$K$2,VYV$4),Table1[],(MATCH(Calendar!$A19,DB!$1:$1,0)),FALSE),"")</f>
        <v/>
      </c>
      <c r="VYW19" s="28" t="str">
        <f>IFERROR(VLOOKUP(DATE($K$1,$K$2,VYW$4),Table1[],(MATCH(Calendar!$A19,DB!$1:$1,0)),FALSE),"")</f>
        <v/>
      </c>
      <c r="VYX19" s="28" t="str">
        <f>IFERROR(VLOOKUP(DATE($K$1,$K$2,VYX$4),Table1[],(MATCH(Calendar!$A19,DB!$1:$1,0)),FALSE),"")</f>
        <v/>
      </c>
      <c r="VYY19" s="28" t="str">
        <f>IFERROR(VLOOKUP(DATE($K$1,$K$2,VYY$4),Table1[],(MATCH(Calendar!$A19,DB!$1:$1,0)),FALSE),"")</f>
        <v/>
      </c>
      <c r="VYZ19" s="28" t="str">
        <f>IFERROR(VLOOKUP(DATE($K$1,$K$2,VYZ$4),Table1[],(MATCH(Calendar!$A19,DB!$1:$1,0)),FALSE),"")</f>
        <v/>
      </c>
      <c r="VZA19" s="28" t="str">
        <f>IFERROR(VLOOKUP(DATE($K$1,$K$2,VZA$4),Table1[],(MATCH(Calendar!$A19,DB!$1:$1,0)),FALSE),"")</f>
        <v/>
      </c>
      <c r="VZB19" s="28" t="str">
        <f>IFERROR(VLOOKUP(DATE($K$1,$K$2,VZB$4),Table1[],(MATCH(Calendar!$A19,DB!$1:$1,0)),FALSE),"")</f>
        <v/>
      </c>
      <c r="VZC19" s="28" t="str">
        <f>IFERROR(VLOOKUP(DATE($K$1,$K$2,VZC$4),Table1[],(MATCH(Calendar!$A19,DB!$1:$1,0)),FALSE),"")</f>
        <v/>
      </c>
      <c r="VZD19" s="28" t="str">
        <f>IFERROR(VLOOKUP(DATE($K$1,$K$2,VZD$4),Table1[],(MATCH(Calendar!$A19,DB!$1:$1,0)),FALSE),"")</f>
        <v/>
      </c>
      <c r="VZE19" s="28" t="str">
        <f>IFERROR(VLOOKUP(DATE($K$1,$K$2,VZE$4),Table1[],(MATCH(Calendar!$A19,DB!$1:$1,0)),FALSE),"")</f>
        <v/>
      </c>
      <c r="VZF19" s="28" t="str">
        <f>IFERROR(VLOOKUP(DATE($K$1,$K$2,VZF$4),Table1[],(MATCH(Calendar!$A19,DB!$1:$1,0)),FALSE),"")</f>
        <v/>
      </c>
      <c r="VZG19" s="28" t="str">
        <f>IFERROR(VLOOKUP(DATE($K$1,$K$2,VZG$4),Table1[],(MATCH(Calendar!$A19,DB!$1:$1,0)),FALSE),"")</f>
        <v/>
      </c>
      <c r="VZH19" s="28" t="str">
        <f>IFERROR(VLOOKUP(DATE($K$1,$K$2,VZH$4),Table1[],(MATCH(Calendar!$A19,DB!$1:$1,0)),FALSE),"")</f>
        <v/>
      </c>
      <c r="VZI19" s="28" t="str">
        <f>IFERROR(VLOOKUP(DATE($K$1,$K$2,VZI$4),Table1[],(MATCH(Calendar!$A19,DB!$1:$1,0)),FALSE),"")</f>
        <v/>
      </c>
      <c r="VZJ19" s="28" t="str">
        <f>IFERROR(VLOOKUP(DATE($K$1,$K$2,VZJ$4),Table1[],(MATCH(Calendar!$A19,DB!$1:$1,0)),FALSE),"")</f>
        <v/>
      </c>
      <c r="VZK19" s="28" t="str">
        <f>IFERROR(VLOOKUP(DATE($K$1,$K$2,VZK$4),Table1[],(MATCH(Calendar!$A19,DB!$1:$1,0)),FALSE),"")</f>
        <v/>
      </c>
      <c r="VZL19" s="28" t="str">
        <f>IFERROR(VLOOKUP(DATE($K$1,$K$2,VZL$4),Table1[],(MATCH(Calendar!$A19,DB!$1:$1,0)),FALSE),"")</f>
        <v/>
      </c>
      <c r="VZM19" s="28" t="str">
        <f>IFERROR(VLOOKUP(DATE($K$1,$K$2,VZM$4),Table1[],(MATCH(Calendar!$A19,DB!$1:$1,0)),FALSE),"")</f>
        <v/>
      </c>
      <c r="VZN19" s="28" t="str">
        <f>IFERROR(VLOOKUP(DATE($K$1,$K$2,VZN$4),Table1[],(MATCH(Calendar!$A19,DB!$1:$1,0)),FALSE),"")</f>
        <v/>
      </c>
      <c r="VZO19" s="28" t="str">
        <f>IFERROR(VLOOKUP(DATE($K$1,$K$2,VZO$4),Table1[],(MATCH(Calendar!$A19,DB!$1:$1,0)),FALSE),"")</f>
        <v/>
      </c>
      <c r="VZP19" s="28" t="str">
        <f>IFERROR(VLOOKUP(DATE($K$1,$K$2,VZP$4),Table1[],(MATCH(Calendar!$A19,DB!$1:$1,0)),FALSE),"")</f>
        <v/>
      </c>
      <c r="VZQ19" s="28" t="str">
        <f>IFERROR(VLOOKUP(DATE($K$1,$K$2,VZQ$4),Table1[],(MATCH(Calendar!$A19,DB!$1:$1,0)),FALSE),"")</f>
        <v/>
      </c>
      <c r="VZR19" s="28" t="str">
        <f>IFERROR(VLOOKUP(DATE($K$1,$K$2,VZR$4),Table1[],(MATCH(Calendar!$A19,DB!$1:$1,0)),FALSE),"")</f>
        <v/>
      </c>
      <c r="VZS19" s="28" t="str">
        <f>IFERROR(VLOOKUP(DATE($K$1,$K$2,VZS$4),Table1[],(MATCH(Calendar!$A19,DB!$1:$1,0)),FALSE),"")</f>
        <v/>
      </c>
      <c r="VZT19" s="28" t="str">
        <f>IFERROR(VLOOKUP(DATE($K$1,$K$2,VZT$4),Table1[],(MATCH(Calendar!$A19,DB!$1:$1,0)),FALSE),"")</f>
        <v/>
      </c>
      <c r="VZU19" s="28" t="str">
        <f>IFERROR(VLOOKUP(DATE($K$1,$K$2,VZU$4),Table1[],(MATCH(Calendar!$A19,DB!$1:$1,0)),FALSE),"")</f>
        <v/>
      </c>
      <c r="VZV19" s="28" t="str">
        <f>IFERROR(VLOOKUP(DATE($K$1,$K$2,VZV$4),Table1[],(MATCH(Calendar!$A19,DB!$1:$1,0)),FALSE),"")</f>
        <v/>
      </c>
      <c r="VZW19" s="28" t="str">
        <f>IFERROR(VLOOKUP(DATE($K$1,$K$2,VZW$4),Table1[],(MATCH(Calendar!$A19,DB!$1:$1,0)),FALSE),"")</f>
        <v/>
      </c>
      <c r="VZX19" s="28" t="str">
        <f>IFERROR(VLOOKUP(DATE($K$1,$K$2,VZX$4),Table1[],(MATCH(Calendar!$A19,DB!$1:$1,0)),FALSE),"")</f>
        <v/>
      </c>
      <c r="VZY19" s="28" t="str">
        <f>IFERROR(VLOOKUP(DATE($K$1,$K$2,VZY$4),Table1[],(MATCH(Calendar!$A19,DB!$1:$1,0)),FALSE),"")</f>
        <v/>
      </c>
      <c r="VZZ19" s="28" t="str">
        <f>IFERROR(VLOOKUP(DATE($K$1,$K$2,VZZ$4),Table1[],(MATCH(Calendar!$A19,DB!$1:$1,0)),FALSE),"")</f>
        <v/>
      </c>
      <c r="WAA19" s="28" t="str">
        <f>IFERROR(VLOOKUP(DATE($K$1,$K$2,WAA$4),Table1[],(MATCH(Calendar!$A19,DB!$1:$1,0)),FALSE),"")</f>
        <v/>
      </c>
      <c r="WAB19" s="28" t="str">
        <f>IFERROR(VLOOKUP(DATE($K$1,$K$2,WAB$4),Table1[],(MATCH(Calendar!$A19,DB!$1:$1,0)),FALSE),"")</f>
        <v/>
      </c>
      <c r="WAC19" s="28" t="str">
        <f>IFERROR(VLOOKUP(DATE($K$1,$K$2,WAC$4),Table1[],(MATCH(Calendar!$A19,DB!$1:$1,0)),FALSE),"")</f>
        <v/>
      </c>
      <c r="WAD19" s="28" t="str">
        <f>IFERROR(VLOOKUP(DATE($K$1,$K$2,WAD$4),Table1[],(MATCH(Calendar!$A19,DB!$1:$1,0)),FALSE),"")</f>
        <v/>
      </c>
      <c r="WAE19" s="28" t="str">
        <f>IFERROR(VLOOKUP(DATE($K$1,$K$2,WAE$4),Table1[],(MATCH(Calendar!$A19,DB!$1:$1,0)),FALSE),"")</f>
        <v/>
      </c>
      <c r="WAF19" s="28" t="str">
        <f>IFERROR(VLOOKUP(DATE($K$1,$K$2,WAF$4),Table1[],(MATCH(Calendar!$A19,DB!$1:$1,0)),FALSE),"")</f>
        <v/>
      </c>
      <c r="WAG19" s="28" t="str">
        <f>IFERROR(VLOOKUP(DATE($K$1,$K$2,WAG$4),Table1[],(MATCH(Calendar!$A19,DB!$1:$1,0)),FALSE),"")</f>
        <v/>
      </c>
      <c r="WAH19" s="28" t="str">
        <f>IFERROR(VLOOKUP(DATE($K$1,$K$2,WAH$4),Table1[],(MATCH(Calendar!$A19,DB!$1:$1,0)),FALSE),"")</f>
        <v/>
      </c>
      <c r="WAI19" s="28" t="str">
        <f>IFERROR(VLOOKUP(DATE($K$1,$K$2,WAI$4),Table1[],(MATCH(Calendar!$A19,DB!$1:$1,0)),FALSE),"")</f>
        <v/>
      </c>
      <c r="WAJ19" s="28" t="str">
        <f>IFERROR(VLOOKUP(DATE($K$1,$K$2,WAJ$4),Table1[],(MATCH(Calendar!$A19,DB!$1:$1,0)),FALSE),"")</f>
        <v/>
      </c>
      <c r="WAK19" s="28" t="str">
        <f>IFERROR(VLOOKUP(DATE($K$1,$K$2,WAK$4),Table1[],(MATCH(Calendar!$A19,DB!$1:$1,0)),FALSE),"")</f>
        <v/>
      </c>
      <c r="WAL19" s="28" t="str">
        <f>IFERROR(VLOOKUP(DATE($K$1,$K$2,WAL$4),Table1[],(MATCH(Calendar!$A19,DB!$1:$1,0)),FALSE),"")</f>
        <v/>
      </c>
      <c r="WAM19" s="28" t="str">
        <f>IFERROR(VLOOKUP(DATE($K$1,$K$2,WAM$4),Table1[],(MATCH(Calendar!$A19,DB!$1:$1,0)),FALSE),"")</f>
        <v/>
      </c>
      <c r="WAN19" s="28" t="str">
        <f>IFERROR(VLOOKUP(DATE($K$1,$K$2,WAN$4),Table1[],(MATCH(Calendar!$A19,DB!$1:$1,0)),FALSE),"")</f>
        <v/>
      </c>
      <c r="WAO19" s="28" t="str">
        <f>IFERROR(VLOOKUP(DATE($K$1,$K$2,WAO$4),Table1[],(MATCH(Calendar!$A19,DB!$1:$1,0)),FALSE),"")</f>
        <v/>
      </c>
      <c r="WAP19" s="28" t="str">
        <f>IFERROR(VLOOKUP(DATE($K$1,$K$2,WAP$4),Table1[],(MATCH(Calendar!$A19,DB!$1:$1,0)),FALSE),"")</f>
        <v/>
      </c>
      <c r="WAQ19" s="28" t="str">
        <f>IFERROR(VLOOKUP(DATE($K$1,$K$2,WAQ$4),Table1[],(MATCH(Calendar!$A19,DB!$1:$1,0)),FALSE),"")</f>
        <v/>
      </c>
      <c r="WAR19" s="28" t="str">
        <f>IFERROR(VLOOKUP(DATE($K$1,$K$2,WAR$4),Table1[],(MATCH(Calendar!$A19,DB!$1:$1,0)),FALSE),"")</f>
        <v/>
      </c>
      <c r="WAS19" s="28" t="str">
        <f>IFERROR(VLOOKUP(DATE($K$1,$K$2,WAS$4),Table1[],(MATCH(Calendar!$A19,DB!$1:$1,0)),FALSE),"")</f>
        <v/>
      </c>
      <c r="WAT19" s="28" t="str">
        <f>IFERROR(VLOOKUP(DATE($K$1,$K$2,WAT$4),Table1[],(MATCH(Calendar!$A19,DB!$1:$1,0)),FALSE),"")</f>
        <v/>
      </c>
      <c r="WAU19" s="28" t="str">
        <f>IFERROR(VLOOKUP(DATE($K$1,$K$2,WAU$4),Table1[],(MATCH(Calendar!$A19,DB!$1:$1,0)),FALSE),"")</f>
        <v/>
      </c>
      <c r="WAV19" s="28" t="str">
        <f>IFERROR(VLOOKUP(DATE($K$1,$K$2,WAV$4),Table1[],(MATCH(Calendar!$A19,DB!$1:$1,0)),FALSE),"")</f>
        <v/>
      </c>
      <c r="WAW19" s="28" t="str">
        <f>IFERROR(VLOOKUP(DATE($K$1,$K$2,WAW$4),Table1[],(MATCH(Calendar!$A19,DB!$1:$1,0)),FALSE),"")</f>
        <v/>
      </c>
      <c r="WAX19" s="28" t="str">
        <f>IFERROR(VLOOKUP(DATE($K$1,$K$2,WAX$4),Table1[],(MATCH(Calendar!$A19,DB!$1:$1,0)),FALSE),"")</f>
        <v/>
      </c>
      <c r="WAY19" s="28" t="str">
        <f>IFERROR(VLOOKUP(DATE($K$1,$K$2,WAY$4),Table1[],(MATCH(Calendar!$A19,DB!$1:$1,0)),FALSE),"")</f>
        <v/>
      </c>
      <c r="WAZ19" s="28" t="str">
        <f>IFERROR(VLOOKUP(DATE($K$1,$K$2,WAZ$4),Table1[],(MATCH(Calendar!$A19,DB!$1:$1,0)),FALSE),"")</f>
        <v/>
      </c>
      <c r="WBA19" s="28" t="str">
        <f>IFERROR(VLOOKUP(DATE($K$1,$K$2,WBA$4),Table1[],(MATCH(Calendar!$A19,DB!$1:$1,0)),FALSE),"")</f>
        <v/>
      </c>
      <c r="WBB19" s="28" t="str">
        <f>IFERROR(VLOOKUP(DATE($K$1,$K$2,WBB$4),Table1[],(MATCH(Calendar!$A19,DB!$1:$1,0)),FALSE),"")</f>
        <v/>
      </c>
      <c r="WBC19" s="28" t="str">
        <f>IFERROR(VLOOKUP(DATE($K$1,$K$2,WBC$4),Table1[],(MATCH(Calendar!$A19,DB!$1:$1,0)),FALSE),"")</f>
        <v/>
      </c>
      <c r="WBD19" s="28" t="str">
        <f>IFERROR(VLOOKUP(DATE($K$1,$K$2,WBD$4),Table1[],(MATCH(Calendar!$A19,DB!$1:$1,0)),FALSE),"")</f>
        <v/>
      </c>
      <c r="WBE19" s="28" t="str">
        <f>IFERROR(VLOOKUP(DATE($K$1,$K$2,WBE$4),Table1[],(MATCH(Calendar!$A19,DB!$1:$1,0)),FALSE),"")</f>
        <v/>
      </c>
      <c r="WBF19" s="28" t="str">
        <f>IFERROR(VLOOKUP(DATE($K$1,$K$2,WBF$4),Table1[],(MATCH(Calendar!$A19,DB!$1:$1,0)),FALSE),"")</f>
        <v/>
      </c>
      <c r="WBG19" s="28" t="str">
        <f>IFERROR(VLOOKUP(DATE($K$1,$K$2,WBG$4),Table1[],(MATCH(Calendar!$A19,DB!$1:$1,0)),FALSE),"")</f>
        <v/>
      </c>
      <c r="WBH19" s="28" t="str">
        <f>IFERROR(VLOOKUP(DATE($K$1,$K$2,WBH$4),Table1[],(MATCH(Calendar!$A19,DB!$1:$1,0)),FALSE),"")</f>
        <v/>
      </c>
      <c r="WBI19" s="28" t="str">
        <f>IFERROR(VLOOKUP(DATE($K$1,$K$2,WBI$4),Table1[],(MATCH(Calendar!$A19,DB!$1:$1,0)),FALSE),"")</f>
        <v/>
      </c>
      <c r="WBJ19" s="28" t="str">
        <f>IFERROR(VLOOKUP(DATE($K$1,$K$2,WBJ$4),Table1[],(MATCH(Calendar!$A19,DB!$1:$1,0)),FALSE),"")</f>
        <v/>
      </c>
      <c r="WBK19" s="28" t="str">
        <f>IFERROR(VLOOKUP(DATE($K$1,$K$2,WBK$4),Table1[],(MATCH(Calendar!$A19,DB!$1:$1,0)),FALSE),"")</f>
        <v/>
      </c>
      <c r="WBL19" s="28" t="str">
        <f>IFERROR(VLOOKUP(DATE($K$1,$K$2,WBL$4),Table1[],(MATCH(Calendar!$A19,DB!$1:$1,0)),FALSE),"")</f>
        <v/>
      </c>
      <c r="WBM19" s="28" t="str">
        <f>IFERROR(VLOOKUP(DATE($K$1,$K$2,WBM$4),Table1[],(MATCH(Calendar!$A19,DB!$1:$1,0)),FALSE),"")</f>
        <v/>
      </c>
      <c r="WBN19" s="28" t="str">
        <f>IFERROR(VLOOKUP(DATE($K$1,$K$2,WBN$4),Table1[],(MATCH(Calendar!$A19,DB!$1:$1,0)),FALSE),"")</f>
        <v/>
      </c>
      <c r="WBO19" s="28" t="str">
        <f>IFERROR(VLOOKUP(DATE($K$1,$K$2,WBO$4),Table1[],(MATCH(Calendar!$A19,DB!$1:$1,0)),FALSE),"")</f>
        <v/>
      </c>
      <c r="WBP19" s="28" t="str">
        <f>IFERROR(VLOOKUP(DATE($K$1,$K$2,WBP$4),Table1[],(MATCH(Calendar!$A19,DB!$1:$1,0)),FALSE),"")</f>
        <v/>
      </c>
      <c r="WBQ19" s="28" t="str">
        <f>IFERROR(VLOOKUP(DATE($K$1,$K$2,WBQ$4),Table1[],(MATCH(Calendar!$A19,DB!$1:$1,0)),FALSE),"")</f>
        <v/>
      </c>
      <c r="WBR19" s="28" t="str">
        <f>IFERROR(VLOOKUP(DATE($K$1,$K$2,WBR$4),Table1[],(MATCH(Calendar!$A19,DB!$1:$1,0)),FALSE),"")</f>
        <v/>
      </c>
      <c r="WBS19" s="28" t="str">
        <f>IFERROR(VLOOKUP(DATE($K$1,$K$2,WBS$4),Table1[],(MATCH(Calendar!$A19,DB!$1:$1,0)),FALSE),"")</f>
        <v/>
      </c>
      <c r="WBT19" s="28" t="str">
        <f>IFERROR(VLOOKUP(DATE($K$1,$K$2,WBT$4),Table1[],(MATCH(Calendar!$A19,DB!$1:$1,0)),FALSE),"")</f>
        <v/>
      </c>
      <c r="WBU19" s="28" t="str">
        <f>IFERROR(VLOOKUP(DATE($K$1,$K$2,WBU$4),Table1[],(MATCH(Calendar!$A19,DB!$1:$1,0)),FALSE),"")</f>
        <v/>
      </c>
      <c r="WBV19" s="28" t="str">
        <f>IFERROR(VLOOKUP(DATE($K$1,$K$2,WBV$4),Table1[],(MATCH(Calendar!$A19,DB!$1:$1,0)),FALSE),"")</f>
        <v/>
      </c>
      <c r="WBW19" s="28" t="str">
        <f>IFERROR(VLOOKUP(DATE($K$1,$K$2,WBW$4),Table1[],(MATCH(Calendar!$A19,DB!$1:$1,0)),FALSE),"")</f>
        <v/>
      </c>
      <c r="WBX19" s="28" t="str">
        <f>IFERROR(VLOOKUP(DATE($K$1,$K$2,WBX$4),Table1[],(MATCH(Calendar!$A19,DB!$1:$1,0)),FALSE),"")</f>
        <v/>
      </c>
      <c r="WBY19" s="28" t="str">
        <f>IFERROR(VLOOKUP(DATE($K$1,$K$2,WBY$4),Table1[],(MATCH(Calendar!$A19,DB!$1:$1,0)),FALSE),"")</f>
        <v/>
      </c>
      <c r="WBZ19" s="28" t="str">
        <f>IFERROR(VLOOKUP(DATE($K$1,$K$2,WBZ$4),Table1[],(MATCH(Calendar!$A19,DB!$1:$1,0)),FALSE),"")</f>
        <v/>
      </c>
      <c r="WCA19" s="28" t="str">
        <f>IFERROR(VLOOKUP(DATE($K$1,$K$2,WCA$4),Table1[],(MATCH(Calendar!$A19,DB!$1:$1,0)),FALSE),"")</f>
        <v/>
      </c>
      <c r="WCB19" s="28" t="str">
        <f>IFERROR(VLOOKUP(DATE($K$1,$K$2,WCB$4),Table1[],(MATCH(Calendar!$A19,DB!$1:$1,0)),FALSE),"")</f>
        <v/>
      </c>
      <c r="WCC19" s="28" t="str">
        <f>IFERROR(VLOOKUP(DATE($K$1,$K$2,WCC$4),Table1[],(MATCH(Calendar!$A19,DB!$1:$1,0)),FALSE),"")</f>
        <v/>
      </c>
      <c r="WCD19" s="28" t="str">
        <f>IFERROR(VLOOKUP(DATE($K$1,$K$2,WCD$4),Table1[],(MATCH(Calendar!$A19,DB!$1:$1,0)),FALSE),"")</f>
        <v/>
      </c>
      <c r="WCE19" s="28" t="str">
        <f>IFERROR(VLOOKUP(DATE($K$1,$K$2,WCE$4),Table1[],(MATCH(Calendar!$A19,DB!$1:$1,0)),FALSE),"")</f>
        <v/>
      </c>
      <c r="WCF19" s="28" t="str">
        <f>IFERROR(VLOOKUP(DATE($K$1,$K$2,WCF$4),Table1[],(MATCH(Calendar!$A19,DB!$1:$1,0)),FALSE),"")</f>
        <v/>
      </c>
      <c r="WCG19" s="28" t="str">
        <f>IFERROR(VLOOKUP(DATE($K$1,$K$2,WCG$4),Table1[],(MATCH(Calendar!$A19,DB!$1:$1,0)),FALSE),"")</f>
        <v/>
      </c>
      <c r="WCH19" s="28" t="str">
        <f>IFERROR(VLOOKUP(DATE($K$1,$K$2,WCH$4),Table1[],(MATCH(Calendar!$A19,DB!$1:$1,0)),FALSE),"")</f>
        <v/>
      </c>
      <c r="WCI19" s="28" t="str">
        <f>IFERROR(VLOOKUP(DATE($K$1,$K$2,WCI$4),Table1[],(MATCH(Calendar!$A19,DB!$1:$1,0)),FALSE),"")</f>
        <v/>
      </c>
      <c r="WCJ19" s="28" t="str">
        <f>IFERROR(VLOOKUP(DATE($K$1,$K$2,WCJ$4),Table1[],(MATCH(Calendar!$A19,DB!$1:$1,0)),FALSE),"")</f>
        <v/>
      </c>
      <c r="WCK19" s="28" t="str">
        <f>IFERROR(VLOOKUP(DATE($K$1,$K$2,WCK$4),Table1[],(MATCH(Calendar!$A19,DB!$1:$1,0)),FALSE),"")</f>
        <v/>
      </c>
      <c r="WCL19" s="28" t="str">
        <f>IFERROR(VLOOKUP(DATE($K$1,$K$2,WCL$4),Table1[],(MATCH(Calendar!$A19,DB!$1:$1,0)),FALSE),"")</f>
        <v/>
      </c>
      <c r="WCM19" s="28" t="str">
        <f>IFERROR(VLOOKUP(DATE($K$1,$K$2,WCM$4),Table1[],(MATCH(Calendar!$A19,DB!$1:$1,0)),FALSE),"")</f>
        <v/>
      </c>
      <c r="WCN19" s="28" t="str">
        <f>IFERROR(VLOOKUP(DATE($K$1,$K$2,WCN$4),Table1[],(MATCH(Calendar!$A19,DB!$1:$1,0)),FALSE),"")</f>
        <v/>
      </c>
      <c r="WCO19" s="28" t="str">
        <f>IFERROR(VLOOKUP(DATE($K$1,$K$2,WCO$4),Table1[],(MATCH(Calendar!$A19,DB!$1:$1,0)),FALSE),"")</f>
        <v/>
      </c>
      <c r="WCP19" s="28" t="str">
        <f>IFERROR(VLOOKUP(DATE($K$1,$K$2,WCP$4),Table1[],(MATCH(Calendar!$A19,DB!$1:$1,0)),FALSE),"")</f>
        <v/>
      </c>
      <c r="WCQ19" s="28" t="str">
        <f>IFERROR(VLOOKUP(DATE($K$1,$K$2,WCQ$4),Table1[],(MATCH(Calendar!$A19,DB!$1:$1,0)),FALSE),"")</f>
        <v/>
      </c>
      <c r="WCR19" s="28" t="str">
        <f>IFERROR(VLOOKUP(DATE($K$1,$K$2,WCR$4),Table1[],(MATCH(Calendar!$A19,DB!$1:$1,0)),FALSE),"")</f>
        <v/>
      </c>
      <c r="WCS19" s="28" t="str">
        <f>IFERROR(VLOOKUP(DATE($K$1,$K$2,WCS$4),Table1[],(MATCH(Calendar!$A19,DB!$1:$1,0)),FALSE),"")</f>
        <v/>
      </c>
      <c r="WCT19" s="28" t="str">
        <f>IFERROR(VLOOKUP(DATE($K$1,$K$2,WCT$4),Table1[],(MATCH(Calendar!$A19,DB!$1:$1,0)),FALSE),"")</f>
        <v/>
      </c>
      <c r="WCU19" s="28" t="str">
        <f>IFERROR(VLOOKUP(DATE($K$1,$K$2,WCU$4),Table1[],(MATCH(Calendar!$A19,DB!$1:$1,0)),FALSE),"")</f>
        <v/>
      </c>
      <c r="WCV19" s="28" t="str">
        <f>IFERROR(VLOOKUP(DATE($K$1,$K$2,WCV$4),Table1[],(MATCH(Calendar!$A19,DB!$1:$1,0)),FALSE),"")</f>
        <v/>
      </c>
      <c r="WCW19" s="28" t="str">
        <f>IFERROR(VLOOKUP(DATE($K$1,$K$2,WCW$4),Table1[],(MATCH(Calendar!$A19,DB!$1:$1,0)),FALSE),"")</f>
        <v/>
      </c>
      <c r="WCX19" s="28" t="str">
        <f>IFERROR(VLOOKUP(DATE($K$1,$K$2,WCX$4),Table1[],(MATCH(Calendar!$A19,DB!$1:$1,0)),FALSE),"")</f>
        <v/>
      </c>
      <c r="WCY19" s="28" t="str">
        <f>IFERROR(VLOOKUP(DATE($K$1,$K$2,WCY$4),Table1[],(MATCH(Calendar!$A19,DB!$1:$1,0)),FALSE),"")</f>
        <v/>
      </c>
      <c r="WCZ19" s="28" t="str">
        <f>IFERROR(VLOOKUP(DATE($K$1,$K$2,WCZ$4),Table1[],(MATCH(Calendar!$A19,DB!$1:$1,0)),FALSE),"")</f>
        <v/>
      </c>
      <c r="WDA19" s="28" t="str">
        <f>IFERROR(VLOOKUP(DATE($K$1,$K$2,WDA$4),Table1[],(MATCH(Calendar!$A19,DB!$1:$1,0)),FALSE),"")</f>
        <v/>
      </c>
      <c r="WDB19" s="28" t="str">
        <f>IFERROR(VLOOKUP(DATE($K$1,$K$2,WDB$4),Table1[],(MATCH(Calendar!$A19,DB!$1:$1,0)),FALSE),"")</f>
        <v/>
      </c>
      <c r="WDC19" s="28" t="str">
        <f>IFERROR(VLOOKUP(DATE($K$1,$K$2,WDC$4),Table1[],(MATCH(Calendar!$A19,DB!$1:$1,0)),FALSE),"")</f>
        <v/>
      </c>
      <c r="WDD19" s="28" t="str">
        <f>IFERROR(VLOOKUP(DATE($K$1,$K$2,WDD$4),Table1[],(MATCH(Calendar!$A19,DB!$1:$1,0)),FALSE),"")</f>
        <v/>
      </c>
      <c r="WDE19" s="28" t="str">
        <f>IFERROR(VLOOKUP(DATE($K$1,$K$2,WDE$4),Table1[],(MATCH(Calendar!$A19,DB!$1:$1,0)),FALSE),"")</f>
        <v/>
      </c>
      <c r="WDF19" s="28" t="str">
        <f>IFERROR(VLOOKUP(DATE($K$1,$K$2,WDF$4),Table1[],(MATCH(Calendar!$A19,DB!$1:$1,0)),FALSE),"")</f>
        <v/>
      </c>
      <c r="WDG19" s="28" t="str">
        <f>IFERROR(VLOOKUP(DATE($K$1,$K$2,WDG$4),Table1[],(MATCH(Calendar!$A19,DB!$1:$1,0)),FALSE),"")</f>
        <v/>
      </c>
      <c r="WDH19" s="28" t="str">
        <f>IFERROR(VLOOKUP(DATE($K$1,$K$2,WDH$4),Table1[],(MATCH(Calendar!$A19,DB!$1:$1,0)),FALSE),"")</f>
        <v/>
      </c>
      <c r="WDI19" s="28" t="str">
        <f>IFERROR(VLOOKUP(DATE($K$1,$K$2,WDI$4),Table1[],(MATCH(Calendar!$A19,DB!$1:$1,0)),FALSE),"")</f>
        <v/>
      </c>
      <c r="WDJ19" s="28" t="str">
        <f>IFERROR(VLOOKUP(DATE($K$1,$K$2,WDJ$4),Table1[],(MATCH(Calendar!$A19,DB!$1:$1,0)),FALSE),"")</f>
        <v/>
      </c>
      <c r="WDK19" s="28" t="str">
        <f>IFERROR(VLOOKUP(DATE($K$1,$K$2,WDK$4),Table1[],(MATCH(Calendar!$A19,DB!$1:$1,0)),FALSE),"")</f>
        <v/>
      </c>
      <c r="WDL19" s="28" t="str">
        <f>IFERROR(VLOOKUP(DATE($K$1,$K$2,WDL$4),Table1[],(MATCH(Calendar!$A19,DB!$1:$1,0)),FALSE),"")</f>
        <v/>
      </c>
      <c r="WDM19" s="28" t="str">
        <f>IFERROR(VLOOKUP(DATE($K$1,$K$2,WDM$4),Table1[],(MATCH(Calendar!$A19,DB!$1:$1,0)),FALSE),"")</f>
        <v/>
      </c>
      <c r="WDN19" s="28" t="str">
        <f>IFERROR(VLOOKUP(DATE($K$1,$K$2,WDN$4),Table1[],(MATCH(Calendar!$A19,DB!$1:$1,0)),FALSE),"")</f>
        <v/>
      </c>
      <c r="WDO19" s="28" t="str">
        <f>IFERROR(VLOOKUP(DATE($K$1,$K$2,WDO$4),Table1[],(MATCH(Calendar!$A19,DB!$1:$1,0)),FALSE),"")</f>
        <v/>
      </c>
      <c r="WDP19" s="28" t="str">
        <f>IFERROR(VLOOKUP(DATE($K$1,$K$2,WDP$4),Table1[],(MATCH(Calendar!$A19,DB!$1:$1,0)),FALSE),"")</f>
        <v/>
      </c>
      <c r="WDQ19" s="28" t="str">
        <f>IFERROR(VLOOKUP(DATE($K$1,$K$2,WDQ$4),Table1[],(MATCH(Calendar!$A19,DB!$1:$1,0)),FALSE),"")</f>
        <v/>
      </c>
      <c r="WDR19" s="28" t="str">
        <f>IFERROR(VLOOKUP(DATE($K$1,$K$2,WDR$4),Table1[],(MATCH(Calendar!$A19,DB!$1:$1,0)),FALSE),"")</f>
        <v/>
      </c>
      <c r="WDS19" s="28" t="str">
        <f>IFERROR(VLOOKUP(DATE($K$1,$K$2,WDS$4),Table1[],(MATCH(Calendar!$A19,DB!$1:$1,0)),FALSE),"")</f>
        <v/>
      </c>
      <c r="WDT19" s="28" t="str">
        <f>IFERROR(VLOOKUP(DATE($K$1,$K$2,WDT$4),Table1[],(MATCH(Calendar!$A19,DB!$1:$1,0)),FALSE),"")</f>
        <v/>
      </c>
      <c r="WDU19" s="28" t="str">
        <f>IFERROR(VLOOKUP(DATE($K$1,$K$2,WDU$4),Table1[],(MATCH(Calendar!$A19,DB!$1:$1,0)),FALSE),"")</f>
        <v/>
      </c>
      <c r="WDV19" s="28" t="str">
        <f>IFERROR(VLOOKUP(DATE($K$1,$K$2,WDV$4),Table1[],(MATCH(Calendar!$A19,DB!$1:$1,0)),FALSE),"")</f>
        <v/>
      </c>
      <c r="WDW19" s="28" t="str">
        <f>IFERROR(VLOOKUP(DATE($K$1,$K$2,WDW$4),Table1[],(MATCH(Calendar!$A19,DB!$1:$1,0)),FALSE),"")</f>
        <v/>
      </c>
      <c r="WDX19" s="28" t="str">
        <f>IFERROR(VLOOKUP(DATE($K$1,$K$2,WDX$4),Table1[],(MATCH(Calendar!$A19,DB!$1:$1,0)),FALSE),"")</f>
        <v/>
      </c>
      <c r="WDY19" s="28" t="str">
        <f>IFERROR(VLOOKUP(DATE($K$1,$K$2,WDY$4),Table1[],(MATCH(Calendar!$A19,DB!$1:$1,0)),FALSE),"")</f>
        <v/>
      </c>
      <c r="WDZ19" s="28" t="str">
        <f>IFERROR(VLOOKUP(DATE($K$1,$K$2,WDZ$4),Table1[],(MATCH(Calendar!$A19,DB!$1:$1,0)),FALSE),"")</f>
        <v/>
      </c>
      <c r="WEA19" s="28" t="str">
        <f>IFERROR(VLOOKUP(DATE($K$1,$K$2,WEA$4),Table1[],(MATCH(Calendar!$A19,DB!$1:$1,0)),FALSE),"")</f>
        <v/>
      </c>
      <c r="WEB19" s="28" t="str">
        <f>IFERROR(VLOOKUP(DATE($K$1,$K$2,WEB$4),Table1[],(MATCH(Calendar!$A19,DB!$1:$1,0)),FALSE),"")</f>
        <v/>
      </c>
      <c r="WEC19" s="28" t="str">
        <f>IFERROR(VLOOKUP(DATE($K$1,$K$2,WEC$4),Table1[],(MATCH(Calendar!$A19,DB!$1:$1,0)),FALSE),"")</f>
        <v/>
      </c>
      <c r="WED19" s="28" t="str">
        <f>IFERROR(VLOOKUP(DATE($K$1,$K$2,WED$4),Table1[],(MATCH(Calendar!$A19,DB!$1:$1,0)),FALSE),"")</f>
        <v/>
      </c>
      <c r="WEE19" s="28" t="str">
        <f>IFERROR(VLOOKUP(DATE($K$1,$K$2,WEE$4),Table1[],(MATCH(Calendar!$A19,DB!$1:$1,0)),FALSE),"")</f>
        <v/>
      </c>
      <c r="WEF19" s="28" t="str">
        <f>IFERROR(VLOOKUP(DATE($K$1,$K$2,WEF$4),Table1[],(MATCH(Calendar!$A19,DB!$1:$1,0)),FALSE),"")</f>
        <v/>
      </c>
      <c r="WEG19" s="28" t="str">
        <f>IFERROR(VLOOKUP(DATE($K$1,$K$2,WEG$4),Table1[],(MATCH(Calendar!$A19,DB!$1:$1,0)),FALSE),"")</f>
        <v/>
      </c>
      <c r="WEH19" s="28" t="str">
        <f>IFERROR(VLOOKUP(DATE($K$1,$K$2,WEH$4),Table1[],(MATCH(Calendar!$A19,DB!$1:$1,0)),FALSE),"")</f>
        <v/>
      </c>
      <c r="WEI19" s="28" t="str">
        <f>IFERROR(VLOOKUP(DATE($K$1,$K$2,WEI$4),Table1[],(MATCH(Calendar!$A19,DB!$1:$1,0)),FALSE),"")</f>
        <v/>
      </c>
      <c r="WEJ19" s="28" t="str">
        <f>IFERROR(VLOOKUP(DATE($K$1,$K$2,WEJ$4),Table1[],(MATCH(Calendar!$A19,DB!$1:$1,0)),FALSE),"")</f>
        <v/>
      </c>
      <c r="WEK19" s="28" t="str">
        <f>IFERROR(VLOOKUP(DATE($K$1,$K$2,WEK$4),Table1[],(MATCH(Calendar!$A19,DB!$1:$1,0)),FALSE),"")</f>
        <v/>
      </c>
      <c r="WEL19" s="28" t="str">
        <f>IFERROR(VLOOKUP(DATE($K$1,$K$2,WEL$4),Table1[],(MATCH(Calendar!$A19,DB!$1:$1,0)),FALSE),"")</f>
        <v/>
      </c>
      <c r="WEM19" s="28" t="str">
        <f>IFERROR(VLOOKUP(DATE($K$1,$K$2,WEM$4),Table1[],(MATCH(Calendar!$A19,DB!$1:$1,0)),FALSE),"")</f>
        <v/>
      </c>
      <c r="WEN19" s="28" t="str">
        <f>IFERROR(VLOOKUP(DATE($K$1,$K$2,WEN$4),Table1[],(MATCH(Calendar!$A19,DB!$1:$1,0)),FALSE),"")</f>
        <v/>
      </c>
      <c r="WEO19" s="28" t="str">
        <f>IFERROR(VLOOKUP(DATE($K$1,$K$2,WEO$4),Table1[],(MATCH(Calendar!$A19,DB!$1:$1,0)),FALSE),"")</f>
        <v/>
      </c>
      <c r="WEP19" s="28" t="str">
        <f>IFERROR(VLOOKUP(DATE($K$1,$K$2,WEP$4),Table1[],(MATCH(Calendar!$A19,DB!$1:$1,0)),FALSE),"")</f>
        <v/>
      </c>
      <c r="WEQ19" s="28" t="str">
        <f>IFERROR(VLOOKUP(DATE($K$1,$K$2,WEQ$4),Table1[],(MATCH(Calendar!$A19,DB!$1:$1,0)),FALSE),"")</f>
        <v/>
      </c>
      <c r="WER19" s="28" t="str">
        <f>IFERROR(VLOOKUP(DATE($K$1,$K$2,WER$4),Table1[],(MATCH(Calendar!$A19,DB!$1:$1,0)),FALSE),"")</f>
        <v/>
      </c>
      <c r="WES19" s="28" t="str">
        <f>IFERROR(VLOOKUP(DATE($K$1,$K$2,WES$4),Table1[],(MATCH(Calendar!$A19,DB!$1:$1,0)),FALSE),"")</f>
        <v/>
      </c>
      <c r="WET19" s="28" t="str">
        <f>IFERROR(VLOOKUP(DATE($K$1,$K$2,WET$4),Table1[],(MATCH(Calendar!$A19,DB!$1:$1,0)),FALSE),"")</f>
        <v/>
      </c>
      <c r="WEU19" s="28" t="str">
        <f>IFERROR(VLOOKUP(DATE($K$1,$K$2,WEU$4),Table1[],(MATCH(Calendar!$A19,DB!$1:$1,0)),FALSE),"")</f>
        <v/>
      </c>
      <c r="WEV19" s="28" t="str">
        <f>IFERROR(VLOOKUP(DATE($K$1,$K$2,WEV$4),Table1[],(MATCH(Calendar!$A19,DB!$1:$1,0)),FALSE),"")</f>
        <v/>
      </c>
      <c r="WEW19" s="28" t="str">
        <f>IFERROR(VLOOKUP(DATE($K$1,$K$2,WEW$4),Table1[],(MATCH(Calendar!$A19,DB!$1:$1,0)),FALSE),"")</f>
        <v/>
      </c>
      <c r="WEX19" s="28" t="str">
        <f>IFERROR(VLOOKUP(DATE($K$1,$K$2,WEX$4),Table1[],(MATCH(Calendar!$A19,DB!$1:$1,0)),FALSE),"")</f>
        <v/>
      </c>
      <c r="WEY19" s="28" t="str">
        <f>IFERROR(VLOOKUP(DATE($K$1,$K$2,WEY$4),Table1[],(MATCH(Calendar!$A19,DB!$1:$1,0)),FALSE),"")</f>
        <v/>
      </c>
      <c r="WEZ19" s="28" t="str">
        <f>IFERROR(VLOOKUP(DATE($K$1,$K$2,WEZ$4),Table1[],(MATCH(Calendar!$A19,DB!$1:$1,0)),FALSE),"")</f>
        <v/>
      </c>
      <c r="WFA19" s="28" t="str">
        <f>IFERROR(VLOOKUP(DATE($K$1,$K$2,WFA$4),Table1[],(MATCH(Calendar!$A19,DB!$1:$1,0)),FALSE),"")</f>
        <v/>
      </c>
      <c r="WFB19" s="28" t="str">
        <f>IFERROR(VLOOKUP(DATE($K$1,$K$2,WFB$4),Table1[],(MATCH(Calendar!$A19,DB!$1:$1,0)),FALSE),"")</f>
        <v/>
      </c>
      <c r="WFC19" s="28" t="str">
        <f>IFERROR(VLOOKUP(DATE($K$1,$K$2,WFC$4),Table1[],(MATCH(Calendar!$A19,DB!$1:$1,0)),FALSE),"")</f>
        <v/>
      </c>
      <c r="WFD19" s="28" t="str">
        <f>IFERROR(VLOOKUP(DATE($K$1,$K$2,WFD$4),Table1[],(MATCH(Calendar!$A19,DB!$1:$1,0)),FALSE),"")</f>
        <v/>
      </c>
      <c r="WFE19" s="28" t="str">
        <f>IFERROR(VLOOKUP(DATE($K$1,$K$2,WFE$4),Table1[],(MATCH(Calendar!$A19,DB!$1:$1,0)),FALSE),"")</f>
        <v/>
      </c>
      <c r="WFF19" s="28" t="str">
        <f>IFERROR(VLOOKUP(DATE($K$1,$K$2,WFF$4),Table1[],(MATCH(Calendar!$A19,DB!$1:$1,0)),FALSE),"")</f>
        <v/>
      </c>
      <c r="WFG19" s="28" t="str">
        <f>IFERROR(VLOOKUP(DATE($K$1,$K$2,WFG$4),Table1[],(MATCH(Calendar!$A19,DB!$1:$1,0)),FALSE),"")</f>
        <v/>
      </c>
      <c r="WFH19" s="28" t="str">
        <f>IFERROR(VLOOKUP(DATE($K$1,$K$2,WFH$4),Table1[],(MATCH(Calendar!$A19,DB!$1:$1,0)),FALSE),"")</f>
        <v/>
      </c>
      <c r="WFI19" s="28" t="str">
        <f>IFERROR(VLOOKUP(DATE($K$1,$K$2,WFI$4),Table1[],(MATCH(Calendar!$A19,DB!$1:$1,0)),FALSE),"")</f>
        <v/>
      </c>
      <c r="WFJ19" s="28" t="str">
        <f>IFERROR(VLOOKUP(DATE($K$1,$K$2,WFJ$4),Table1[],(MATCH(Calendar!$A19,DB!$1:$1,0)),FALSE),"")</f>
        <v/>
      </c>
      <c r="WFK19" s="28" t="str">
        <f>IFERROR(VLOOKUP(DATE($K$1,$K$2,WFK$4),Table1[],(MATCH(Calendar!$A19,DB!$1:$1,0)),FALSE),"")</f>
        <v/>
      </c>
      <c r="WFL19" s="28" t="str">
        <f>IFERROR(VLOOKUP(DATE($K$1,$K$2,WFL$4),Table1[],(MATCH(Calendar!$A19,DB!$1:$1,0)),FALSE),"")</f>
        <v/>
      </c>
      <c r="WFM19" s="28" t="str">
        <f>IFERROR(VLOOKUP(DATE($K$1,$K$2,WFM$4),Table1[],(MATCH(Calendar!$A19,DB!$1:$1,0)),FALSE),"")</f>
        <v/>
      </c>
      <c r="WFN19" s="28" t="str">
        <f>IFERROR(VLOOKUP(DATE($K$1,$K$2,WFN$4),Table1[],(MATCH(Calendar!$A19,DB!$1:$1,0)),FALSE),"")</f>
        <v/>
      </c>
      <c r="WFO19" s="28" t="str">
        <f>IFERROR(VLOOKUP(DATE($K$1,$K$2,WFO$4),Table1[],(MATCH(Calendar!$A19,DB!$1:$1,0)),FALSE),"")</f>
        <v/>
      </c>
      <c r="WFP19" s="28" t="str">
        <f>IFERROR(VLOOKUP(DATE($K$1,$K$2,WFP$4),Table1[],(MATCH(Calendar!$A19,DB!$1:$1,0)),FALSE),"")</f>
        <v/>
      </c>
      <c r="WFQ19" s="28" t="str">
        <f>IFERROR(VLOOKUP(DATE($K$1,$K$2,WFQ$4),Table1[],(MATCH(Calendar!$A19,DB!$1:$1,0)),FALSE),"")</f>
        <v/>
      </c>
      <c r="WFR19" s="28" t="str">
        <f>IFERROR(VLOOKUP(DATE($K$1,$K$2,WFR$4),Table1[],(MATCH(Calendar!$A19,DB!$1:$1,0)),FALSE),"")</f>
        <v/>
      </c>
      <c r="WFS19" s="28" t="str">
        <f>IFERROR(VLOOKUP(DATE($K$1,$K$2,WFS$4),Table1[],(MATCH(Calendar!$A19,DB!$1:$1,0)),FALSE),"")</f>
        <v/>
      </c>
      <c r="WFT19" s="28" t="str">
        <f>IFERROR(VLOOKUP(DATE($K$1,$K$2,WFT$4),Table1[],(MATCH(Calendar!$A19,DB!$1:$1,0)),FALSE),"")</f>
        <v/>
      </c>
      <c r="WFU19" s="28" t="str">
        <f>IFERROR(VLOOKUP(DATE($K$1,$K$2,WFU$4),Table1[],(MATCH(Calendar!$A19,DB!$1:$1,0)),FALSE),"")</f>
        <v/>
      </c>
      <c r="WFV19" s="28" t="str">
        <f>IFERROR(VLOOKUP(DATE($K$1,$K$2,WFV$4),Table1[],(MATCH(Calendar!$A19,DB!$1:$1,0)),FALSE),"")</f>
        <v/>
      </c>
      <c r="WFW19" s="28" t="str">
        <f>IFERROR(VLOOKUP(DATE($K$1,$K$2,WFW$4),Table1[],(MATCH(Calendar!$A19,DB!$1:$1,0)),FALSE),"")</f>
        <v/>
      </c>
      <c r="WFX19" s="28" t="str">
        <f>IFERROR(VLOOKUP(DATE($K$1,$K$2,WFX$4),Table1[],(MATCH(Calendar!$A19,DB!$1:$1,0)),FALSE),"")</f>
        <v/>
      </c>
      <c r="WFY19" s="28" t="str">
        <f>IFERROR(VLOOKUP(DATE($K$1,$K$2,WFY$4),Table1[],(MATCH(Calendar!$A19,DB!$1:$1,0)),FALSE),"")</f>
        <v/>
      </c>
      <c r="WFZ19" s="28" t="str">
        <f>IFERROR(VLOOKUP(DATE($K$1,$K$2,WFZ$4),Table1[],(MATCH(Calendar!$A19,DB!$1:$1,0)),FALSE),"")</f>
        <v/>
      </c>
      <c r="WGA19" s="28" t="str">
        <f>IFERROR(VLOOKUP(DATE($K$1,$K$2,WGA$4),Table1[],(MATCH(Calendar!$A19,DB!$1:$1,0)),FALSE),"")</f>
        <v/>
      </c>
      <c r="WGB19" s="28" t="str">
        <f>IFERROR(VLOOKUP(DATE($K$1,$K$2,WGB$4),Table1[],(MATCH(Calendar!$A19,DB!$1:$1,0)),FALSE),"")</f>
        <v/>
      </c>
      <c r="WGC19" s="28" t="str">
        <f>IFERROR(VLOOKUP(DATE($K$1,$K$2,WGC$4),Table1[],(MATCH(Calendar!$A19,DB!$1:$1,0)),FALSE),"")</f>
        <v/>
      </c>
      <c r="WGD19" s="28" t="str">
        <f>IFERROR(VLOOKUP(DATE($K$1,$K$2,WGD$4),Table1[],(MATCH(Calendar!$A19,DB!$1:$1,0)),FALSE),"")</f>
        <v/>
      </c>
      <c r="WGE19" s="28" t="str">
        <f>IFERROR(VLOOKUP(DATE($K$1,$K$2,WGE$4),Table1[],(MATCH(Calendar!$A19,DB!$1:$1,0)),FALSE),"")</f>
        <v/>
      </c>
      <c r="WGF19" s="28" t="str">
        <f>IFERROR(VLOOKUP(DATE($K$1,$K$2,WGF$4),Table1[],(MATCH(Calendar!$A19,DB!$1:$1,0)),FALSE),"")</f>
        <v/>
      </c>
      <c r="WGG19" s="28" t="str">
        <f>IFERROR(VLOOKUP(DATE($K$1,$K$2,WGG$4),Table1[],(MATCH(Calendar!$A19,DB!$1:$1,0)),FALSE),"")</f>
        <v/>
      </c>
      <c r="WGH19" s="28" t="str">
        <f>IFERROR(VLOOKUP(DATE($K$1,$K$2,WGH$4),Table1[],(MATCH(Calendar!$A19,DB!$1:$1,0)),FALSE),"")</f>
        <v/>
      </c>
      <c r="WGI19" s="28" t="str">
        <f>IFERROR(VLOOKUP(DATE($K$1,$K$2,WGI$4),Table1[],(MATCH(Calendar!$A19,DB!$1:$1,0)),FALSE),"")</f>
        <v/>
      </c>
      <c r="WGJ19" s="28" t="str">
        <f>IFERROR(VLOOKUP(DATE($K$1,$K$2,WGJ$4),Table1[],(MATCH(Calendar!$A19,DB!$1:$1,0)),FALSE),"")</f>
        <v/>
      </c>
      <c r="WGK19" s="28" t="str">
        <f>IFERROR(VLOOKUP(DATE($K$1,$K$2,WGK$4),Table1[],(MATCH(Calendar!$A19,DB!$1:$1,0)),FALSE),"")</f>
        <v/>
      </c>
      <c r="WGL19" s="28" t="str">
        <f>IFERROR(VLOOKUP(DATE($K$1,$K$2,WGL$4),Table1[],(MATCH(Calendar!$A19,DB!$1:$1,0)),FALSE),"")</f>
        <v/>
      </c>
      <c r="WGM19" s="28" t="str">
        <f>IFERROR(VLOOKUP(DATE($K$1,$K$2,WGM$4),Table1[],(MATCH(Calendar!$A19,DB!$1:$1,0)),FALSE),"")</f>
        <v/>
      </c>
      <c r="WGN19" s="28" t="str">
        <f>IFERROR(VLOOKUP(DATE($K$1,$K$2,WGN$4),Table1[],(MATCH(Calendar!$A19,DB!$1:$1,0)),FALSE),"")</f>
        <v/>
      </c>
      <c r="WGO19" s="28" t="str">
        <f>IFERROR(VLOOKUP(DATE($K$1,$K$2,WGO$4),Table1[],(MATCH(Calendar!$A19,DB!$1:$1,0)),FALSE),"")</f>
        <v/>
      </c>
      <c r="WGP19" s="28" t="str">
        <f>IFERROR(VLOOKUP(DATE($K$1,$K$2,WGP$4),Table1[],(MATCH(Calendar!$A19,DB!$1:$1,0)),FALSE),"")</f>
        <v/>
      </c>
      <c r="WGQ19" s="28" t="str">
        <f>IFERROR(VLOOKUP(DATE($K$1,$K$2,WGQ$4),Table1[],(MATCH(Calendar!$A19,DB!$1:$1,0)),FALSE),"")</f>
        <v/>
      </c>
      <c r="WGR19" s="28" t="str">
        <f>IFERROR(VLOOKUP(DATE($K$1,$K$2,WGR$4),Table1[],(MATCH(Calendar!$A19,DB!$1:$1,0)),FALSE),"")</f>
        <v/>
      </c>
      <c r="WGS19" s="28" t="str">
        <f>IFERROR(VLOOKUP(DATE($K$1,$K$2,WGS$4),Table1[],(MATCH(Calendar!$A19,DB!$1:$1,0)),FALSE),"")</f>
        <v/>
      </c>
      <c r="WGT19" s="28" t="str">
        <f>IFERROR(VLOOKUP(DATE($K$1,$K$2,WGT$4),Table1[],(MATCH(Calendar!$A19,DB!$1:$1,0)),FALSE),"")</f>
        <v/>
      </c>
      <c r="WGU19" s="28" t="str">
        <f>IFERROR(VLOOKUP(DATE($K$1,$K$2,WGU$4),Table1[],(MATCH(Calendar!$A19,DB!$1:$1,0)),FALSE),"")</f>
        <v/>
      </c>
      <c r="WGV19" s="28" t="str">
        <f>IFERROR(VLOOKUP(DATE($K$1,$K$2,WGV$4),Table1[],(MATCH(Calendar!$A19,DB!$1:$1,0)),FALSE),"")</f>
        <v/>
      </c>
      <c r="WGW19" s="28" t="str">
        <f>IFERROR(VLOOKUP(DATE($K$1,$K$2,WGW$4),Table1[],(MATCH(Calendar!$A19,DB!$1:$1,0)),FALSE),"")</f>
        <v/>
      </c>
      <c r="WGX19" s="28" t="str">
        <f>IFERROR(VLOOKUP(DATE($K$1,$K$2,WGX$4),Table1[],(MATCH(Calendar!$A19,DB!$1:$1,0)),FALSE),"")</f>
        <v/>
      </c>
      <c r="WGY19" s="28" t="str">
        <f>IFERROR(VLOOKUP(DATE($K$1,$K$2,WGY$4),Table1[],(MATCH(Calendar!$A19,DB!$1:$1,0)),FALSE),"")</f>
        <v/>
      </c>
      <c r="WGZ19" s="28" t="str">
        <f>IFERROR(VLOOKUP(DATE($K$1,$K$2,WGZ$4),Table1[],(MATCH(Calendar!$A19,DB!$1:$1,0)),FALSE),"")</f>
        <v/>
      </c>
      <c r="WHA19" s="28" t="str">
        <f>IFERROR(VLOOKUP(DATE($K$1,$K$2,WHA$4),Table1[],(MATCH(Calendar!$A19,DB!$1:$1,0)),FALSE),"")</f>
        <v/>
      </c>
      <c r="WHB19" s="28" t="str">
        <f>IFERROR(VLOOKUP(DATE($K$1,$K$2,WHB$4),Table1[],(MATCH(Calendar!$A19,DB!$1:$1,0)),FALSE),"")</f>
        <v/>
      </c>
      <c r="WHC19" s="28" t="str">
        <f>IFERROR(VLOOKUP(DATE($K$1,$K$2,WHC$4),Table1[],(MATCH(Calendar!$A19,DB!$1:$1,0)),FALSE),"")</f>
        <v/>
      </c>
      <c r="WHD19" s="28" t="str">
        <f>IFERROR(VLOOKUP(DATE($K$1,$K$2,WHD$4),Table1[],(MATCH(Calendar!$A19,DB!$1:$1,0)),FALSE),"")</f>
        <v/>
      </c>
      <c r="WHE19" s="28" t="str">
        <f>IFERROR(VLOOKUP(DATE($K$1,$K$2,WHE$4),Table1[],(MATCH(Calendar!$A19,DB!$1:$1,0)),FALSE),"")</f>
        <v/>
      </c>
      <c r="WHF19" s="28" t="str">
        <f>IFERROR(VLOOKUP(DATE($K$1,$K$2,WHF$4),Table1[],(MATCH(Calendar!$A19,DB!$1:$1,0)),FALSE),"")</f>
        <v/>
      </c>
      <c r="WHG19" s="28" t="str">
        <f>IFERROR(VLOOKUP(DATE($K$1,$K$2,WHG$4),Table1[],(MATCH(Calendar!$A19,DB!$1:$1,0)),FALSE),"")</f>
        <v/>
      </c>
      <c r="WHH19" s="28" t="str">
        <f>IFERROR(VLOOKUP(DATE($K$1,$K$2,WHH$4),Table1[],(MATCH(Calendar!$A19,DB!$1:$1,0)),FALSE),"")</f>
        <v/>
      </c>
      <c r="WHI19" s="28" t="str">
        <f>IFERROR(VLOOKUP(DATE($K$1,$K$2,WHI$4),Table1[],(MATCH(Calendar!$A19,DB!$1:$1,0)),FALSE),"")</f>
        <v/>
      </c>
      <c r="WHJ19" s="28" t="str">
        <f>IFERROR(VLOOKUP(DATE($K$1,$K$2,WHJ$4),Table1[],(MATCH(Calendar!$A19,DB!$1:$1,0)),FALSE),"")</f>
        <v/>
      </c>
      <c r="WHK19" s="28" t="str">
        <f>IFERROR(VLOOKUP(DATE($K$1,$K$2,WHK$4),Table1[],(MATCH(Calendar!$A19,DB!$1:$1,0)),FALSE),"")</f>
        <v/>
      </c>
      <c r="WHL19" s="28" t="str">
        <f>IFERROR(VLOOKUP(DATE($K$1,$K$2,WHL$4),Table1[],(MATCH(Calendar!$A19,DB!$1:$1,0)),FALSE),"")</f>
        <v/>
      </c>
      <c r="WHM19" s="28" t="str">
        <f>IFERROR(VLOOKUP(DATE($K$1,$K$2,WHM$4),Table1[],(MATCH(Calendar!$A19,DB!$1:$1,0)),FALSE),"")</f>
        <v/>
      </c>
      <c r="WHN19" s="28" t="str">
        <f>IFERROR(VLOOKUP(DATE($K$1,$K$2,WHN$4),Table1[],(MATCH(Calendar!$A19,DB!$1:$1,0)),FALSE),"")</f>
        <v/>
      </c>
      <c r="WHO19" s="28" t="str">
        <f>IFERROR(VLOOKUP(DATE($K$1,$K$2,WHO$4),Table1[],(MATCH(Calendar!$A19,DB!$1:$1,0)),FALSE),"")</f>
        <v/>
      </c>
      <c r="WHP19" s="28" t="str">
        <f>IFERROR(VLOOKUP(DATE($K$1,$K$2,WHP$4),Table1[],(MATCH(Calendar!$A19,DB!$1:$1,0)),FALSE),"")</f>
        <v/>
      </c>
      <c r="WHQ19" s="28" t="str">
        <f>IFERROR(VLOOKUP(DATE($K$1,$K$2,WHQ$4),Table1[],(MATCH(Calendar!$A19,DB!$1:$1,0)),FALSE),"")</f>
        <v/>
      </c>
      <c r="WHR19" s="28" t="str">
        <f>IFERROR(VLOOKUP(DATE($K$1,$K$2,WHR$4),Table1[],(MATCH(Calendar!$A19,DB!$1:$1,0)),FALSE),"")</f>
        <v/>
      </c>
      <c r="WHS19" s="28" t="str">
        <f>IFERROR(VLOOKUP(DATE($K$1,$K$2,WHS$4),Table1[],(MATCH(Calendar!$A19,DB!$1:$1,0)),FALSE),"")</f>
        <v/>
      </c>
      <c r="WHT19" s="28" t="str">
        <f>IFERROR(VLOOKUP(DATE($K$1,$K$2,WHT$4),Table1[],(MATCH(Calendar!$A19,DB!$1:$1,0)),FALSE),"")</f>
        <v/>
      </c>
      <c r="WHU19" s="28" t="str">
        <f>IFERROR(VLOOKUP(DATE($K$1,$K$2,WHU$4),Table1[],(MATCH(Calendar!$A19,DB!$1:$1,0)),FALSE),"")</f>
        <v/>
      </c>
      <c r="WHV19" s="28" t="str">
        <f>IFERROR(VLOOKUP(DATE($K$1,$K$2,WHV$4),Table1[],(MATCH(Calendar!$A19,DB!$1:$1,0)),FALSE),"")</f>
        <v/>
      </c>
      <c r="WHW19" s="28" t="str">
        <f>IFERROR(VLOOKUP(DATE($K$1,$K$2,WHW$4),Table1[],(MATCH(Calendar!$A19,DB!$1:$1,0)),FALSE),"")</f>
        <v/>
      </c>
      <c r="WHX19" s="28" t="str">
        <f>IFERROR(VLOOKUP(DATE($K$1,$K$2,WHX$4),Table1[],(MATCH(Calendar!$A19,DB!$1:$1,0)),FALSE),"")</f>
        <v/>
      </c>
      <c r="WHY19" s="28" t="str">
        <f>IFERROR(VLOOKUP(DATE($K$1,$K$2,WHY$4),Table1[],(MATCH(Calendar!$A19,DB!$1:$1,0)),FALSE),"")</f>
        <v/>
      </c>
      <c r="WHZ19" s="28" t="str">
        <f>IFERROR(VLOOKUP(DATE($K$1,$K$2,WHZ$4),Table1[],(MATCH(Calendar!$A19,DB!$1:$1,0)),FALSE),"")</f>
        <v/>
      </c>
      <c r="WIA19" s="28" t="str">
        <f>IFERROR(VLOOKUP(DATE($K$1,$K$2,WIA$4),Table1[],(MATCH(Calendar!$A19,DB!$1:$1,0)),FALSE),"")</f>
        <v/>
      </c>
      <c r="WIB19" s="28" t="str">
        <f>IFERROR(VLOOKUP(DATE($K$1,$K$2,WIB$4),Table1[],(MATCH(Calendar!$A19,DB!$1:$1,0)),FALSE),"")</f>
        <v/>
      </c>
      <c r="WIC19" s="28" t="str">
        <f>IFERROR(VLOOKUP(DATE($K$1,$K$2,WIC$4),Table1[],(MATCH(Calendar!$A19,DB!$1:$1,0)),FALSE),"")</f>
        <v/>
      </c>
      <c r="WID19" s="28" t="str">
        <f>IFERROR(VLOOKUP(DATE($K$1,$K$2,WID$4),Table1[],(MATCH(Calendar!$A19,DB!$1:$1,0)),FALSE),"")</f>
        <v/>
      </c>
      <c r="WIE19" s="28" t="str">
        <f>IFERROR(VLOOKUP(DATE($K$1,$K$2,WIE$4),Table1[],(MATCH(Calendar!$A19,DB!$1:$1,0)),FALSE),"")</f>
        <v/>
      </c>
      <c r="WIF19" s="28" t="str">
        <f>IFERROR(VLOOKUP(DATE($K$1,$K$2,WIF$4),Table1[],(MATCH(Calendar!$A19,DB!$1:$1,0)),FALSE),"")</f>
        <v/>
      </c>
      <c r="WIG19" s="28" t="str">
        <f>IFERROR(VLOOKUP(DATE($K$1,$K$2,WIG$4),Table1[],(MATCH(Calendar!$A19,DB!$1:$1,0)),FALSE),"")</f>
        <v/>
      </c>
      <c r="WIH19" s="28" t="str">
        <f>IFERROR(VLOOKUP(DATE($K$1,$K$2,WIH$4),Table1[],(MATCH(Calendar!$A19,DB!$1:$1,0)),FALSE),"")</f>
        <v/>
      </c>
      <c r="WII19" s="28" t="str">
        <f>IFERROR(VLOOKUP(DATE($K$1,$K$2,WII$4),Table1[],(MATCH(Calendar!$A19,DB!$1:$1,0)),FALSE),"")</f>
        <v/>
      </c>
      <c r="WIJ19" s="28" t="str">
        <f>IFERROR(VLOOKUP(DATE($K$1,$K$2,WIJ$4),Table1[],(MATCH(Calendar!$A19,DB!$1:$1,0)),FALSE),"")</f>
        <v/>
      </c>
      <c r="WIK19" s="28" t="str">
        <f>IFERROR(VLOOKUP(DATE($K$1,$K$2,WIK$4),Table1[],(MATCH(Calendar!$A19,DB!$1:$1,0)),FALSE),"")</f>
        <v/>
      </c>
      <c r="WIL19" s="28" t="str">
        <f>IFERROR(VLOOKUP(DATE($K$1,$K$2,WIL$4),Table1[],(MATCH(Calendar!$A19,DB!$1:$1,0)),FALSE),"")</f>
        <v/>
      </c>
      <c r="WIM19" s="28" t="str">
        <f>IFERROR(VLOOKUP(DATE($K$1,$K$2,WIM$4),Table1[],(MATCH(Calendar!$A19,DB!$1:$1,0)),FALSE),"")</f>
        <v/>
      </c>
      <c r="WIN19" s="28" t="str">
        <f>IFERROR(VLOOKUP(DATE($K$1,$K$2,WIN$4),Table1[],(MATCH(Calendar!$A19,DB!$1:$1,0)),FALSE),"")</f>
        <v/>
      </c>
      <c r="WIO19" s="28" t="str">
        <f>IFERROR(VLOOKUP(DATE($K$1,$K$2,WIO$4),Table1[],(MATCH(Calendar!$A19,DB!$1:$1,0)),FALSE),"")</f>
        <v/>
      </c>
      <c r="WIP19" s="28" t="str">
        <f>IFERROR(VLOOKUP(DATE($K$1,$K$2,WIP$4),Table1[],(MATCH(Calendar!$A19,DB!$1:$1,0)),FALSE),"")</f>
        <v/>
      </c>
      <c r="WIQ19" s="28" t="str">
        <f>IFERROR(VLOOKUP(DATE($K$1,$K$2,WIQ$4),Table1[],(MATCH(Calendar!$A19,DB!$1:$1,0)),FALSE),"")</f>
        <v/>
      </c>
      <c r="WIR19" s="28" t="str">
        <f>IFERROR(VLOOKUP(DATE($K$1,$K$2,WIR$4),Table1[],(MATCH(Calendar!$A19,DB!$1:$1,0)),FALSE),"")</f>
        <v/>
      </c>
      <c r="WIS19" s="28" t="str">
        <f>IFERROR(VLOOKUP(DATE($K$1,$K$2,WIS$4),Table1[],(MATCH(Calendar!$A19,DB!$1:$1,0)),FALSE),"")</f>
        <v/>
      </c>
      <c r="WIT19" s="28" t="str">
        <f>IFERROR(VLOOKUP(DATE($K$1,$K$2,WIT$4),Table1[],(MATCH(Calendar!$A19,DB!$1:$1,0)),FALSE),"")</f>
        <v/>
      </c>
      <c r="WIU19" s="28" t="str">
        <f>IFERROR(VLOOKUP(DATE($K$1,$K$2,WIU$4),Table1[],(MATCH(Calendar!$A19,DB!$1:$1,0)),FALSE),"")</f>
        <v/>
      </c>
      <c r="WIV19" s="28" t="str">
        <f>IFERROR(VLOOKUP(DATE($K$1,$K$2,WIV$4),Table1[],(MATCH(Calendar!$A19,DB!$1:$1,0)),FALSE),"")</f>
        <v/>
      </c>
      <c r="WIW19" s="28" t="str">
        <f>IFERROR(VLOOKUP(DATE($K$1,$K$2,WIW$4),Table1[],(MATCH(Calendar!$A19,DB!$1:$1,0)),FALSE),"")</f>
        <v/>
      </c>
      <c r="WIX19" s="28" t="str">
        <f>IFERROR(VLOOKUP(DATE($K$1,$K$2,WIX$4),Table1[],(MATCH(Calendar!$A19,DB!$1:$1,0)),FALSE),"")</f>
        <v/>
      </c>
      <c r="WIY19" s="28" t="str">
        <f>IFERROR(VLOOKUP(DATE($K$1,$K$2,WIY$4),Table1[],(MATCH(Calendar!$A19,DB!$1:$1,0)),FALSE),"")</f>
        <v/>
      </c>
      <c r="WIZ19" s="28" t="str">
        <f>IFERROR(VLOOKUP(DATE($K$1,$K$2,WIZ$4),Table1[],(MATCH(Calendar!$A19,DB!$1:$1,0)),FALSE),"")</f>
        <v/>
      </c>
      <c r="WJA19" s="28" t="str">
        <f>IFERROR(VLOOKUP(DATE($K$1,$K$2,WJA$4),Table1[],(MATCH(Calendar!$A19,DB!$1:$1,0)),FALSE),"")</f>
        <v/>
      </c>
      <c r="WJB19" s="28" t="str">
        <f>IFERROR(VLOOKUP(DATE($K$1,$K$2,WJB$4),Table1[],(MATCH(Calendar!$A19,DB!$1:$1,0)),FALSE),"")</f>
        <v/>
      </c>
      <c r="WJC19" s="28" t="str">
        <f>IFERROR(VLOOKUP(DATE($K$1,$K$2,WJC$4),Table1[],(MATCH(Calendar!$A19,DB!$1:$1,0)),FALSE),"")</f>
        <v/>
      </c>
      <c r="WJD19" s="28" t="str">
        <f>IFERROR(VLOOKUP(DATE($K$1,$K$2,WJD$4),Table1[],(MATCH(Calendar!$A19,DB!$1:$1,0)),FALSE),"")</f>
        <v/>
      </c>
      <c r="WJE19" s="28" t="str">
        <f>IFERROR(VLOOKUP(DATE($K$1,$K$2,WJE$4),Table1[],(MATCH(Calendar!$A19,DB!$1:$1,0)),FALSE),"")</f>
        <v/>
      </c>
      <c r="WJF19" s="28" t="str">
        <f>IFERROR(VLOOKUP(DATE($K$1,$K$2,WJF$4),Table1[],(MATCH(Calendar!$A19,DB!$1:$1,0)),FALSE),"")</f>
        <v/>
      </c>
      <c r="WJG19" s="28" t="str">
        <f>IFERROR(VLOOKUP(DATE($K$1,$K$2,WJG$4),Table1[],(MATCH(Calendar!$A19,DB!$1:$1,0)),FALSE),"")</f>
        <v/>
      </c>
      <c r="WJH19" s="28" t="str">
        <f>IFERROR(VLOOKUP(DATE($K$1,$K$2,WJH$4),Table1[],(MATCH(Calendar!$A19,DB!$1:$1,0)),FALSE),"")</f>
        <v/>
      </c>
      <c r="WJI19" s="28" t="str">
        <f>IFERROR(VLOOKUP(DATE($K$1,$K$2,WJI$4),Table1[],(MATCH(Calendar!$A19,DB!$1:$1,0)),FALSE),"")</f>
        <v/>
      </c>
      <c r="WJJ19" s="28" t="str">
        <f>IFERROR(VLOOKUP(DATE($K$1,$K$2,WJJ$4),Table1[],(MATCH(Calendar!$A19,DB!$1:$1,0)),FALSE),"")</f>
        <v/>
      </c>
      <c r="WJK19" s="28" t="str">
        <f>IFERROR(VLOOKUP(DATE($K$1,$K$2,WJK$4),Table1[],(MATCH(Calendar!$A19,DB!$1:$1,0)),FALSE),"")</f>
        <v/>
      </c>
      <c r="WJL19" s="28" t="str">
        <f>IFERROR(VLOOKUP(DATE($K$1,$K$2,WJL$4),Table1[],(MATCH(Calendar!$A19,DB!$1:$1,0)),FALSE),"")</f>
        <v/>
      </c>
      <c r="WJM19" s="28" t="str">
        <f>IFERROR(VLOOKUP(DATE($K$1,$K$2,WJM$4),Table1[],(MATCH(Calendar!$A19,DB!$1:$1,0)),FALSE),"")</f>
        <v/>
      </c>
      <c r="WJN19" s="28" t="str">
        <f>IFERROR(VLOOKUP(DATE($K$1,$K$2,WJN$4),Table1[],(MATCH(Calendar!$A19,DB!$1:$1,0)),FALSE),"")</f>
        <v/>
      </c>
      <c r="WJO19" s="28" t="str">
        <f>IFERROR(VLOOKUP(DATE($K$1,$K$2,WJO$4),Table1[],(MATCH(Calendar!$A19,DB!$1:$1,0)),FALSE),"")</f>
        <v/>
      </c>
      <c r="WJP19" s="28" t="str">
        <f>IFERROR(VLOOKUP(DATE($K$1,$K$2,WJP$4),Table1[],(MATCH(Calendar!$A19,DB!$1:$1,0)),FALSE),"")</f>
        <v/>
      </c>
      <c r="WJQ19" s="28" t="str">
        <f>IFERROR(VLOOKUP(DATE($K$1,$K$2,WJQ$4),Table1[],(MATCH(Calendar!$A19,DB!$1:$1,0)),FALSE),"")</f>
        <v/>
      </c>
      <c r="WJR19" s="28" t="str">
        <f>IFERROR(VLOOKUP(DATE($K$1,$K$2,WJR$4),Table1[],(MATCH(Calendar!$A19,DB!$1:$1,0)),FALSE),"")</f>
        <v/>
      </c>
      <c r="WJS19" s="28" t="str">
        <f>IFERROR(VLOOKUP(DATE($K$1,$K$2,WJS$4),Table1[],(MATCH(Calendar!$A19,DB!$1:$1,0)),FALSE),"")</f>
        <v/>
      </c>
      <c r="WJT19" s="28" t="str">
        <f>IFERROR(VLOOKUP(DATE($K$1,$K$2,WJT$4),Table1[],(MATCH(Calendar!$A19,DB!$1:$1,0)),FALSE),"")</f>
        <v/>
      </c>
      <c r="WJU19" s="28" t="str">
        <f>IFERROR(VLOOKUP(DATE($K$1,$K$2,WJU$4),Table1[],(MATCH(Calendar!$A19,DB!$1:$1,0)),FALSE),"")</f>
        <v/>
      </c>
      <c r="WJV19" s="28" t="str">
        <f>IFERROR(VLOOKUP(DATE($K$1,$K$2,WJV$4),Table1[],(MATCH(Calendar!$A19,DB!$1:$1,0)),FALSE),"")</f>
        <v/>
      </c>
      <c r="WJW19" s="28" t="str">
        <f>IFERROR(VLOOKUP(DATE($K$1,$K$2,WJW$4),Table1[],(MATCH(Calendar!$A19,DB!$1:$1,0)),FALSE),"")</f>
        <v/>
      </c>
      <c r="WJX19" s="28" t="str">
        <f>IFERROR(VLOOKUP(DATE($K$1,$K$2,WJX$4),Table1[],(MATCH(Calendar!$A19,DB!$1:$1,0)),FALSE),"")</f>
        <v/>
      </c>
      <c r="WJY19" s="28" t="str">
        <f>IFERROR(VLOOKUP(DATE($K$1,$K$2,WJY$4),Table1[],(MATCH(Calendar!$A19,DB!$1:$1,0)),FALSE),"")</f>
        <v/>
      </c>
      <c r="WJZ19" s="28" t="str">
        <f>IFERROR(VLOOKUP(DATE($K$1,$K$2,WJZ$4),Table1[],(MATCH(Calendar!$A19,DB!$1:$1,0)),FALSE),"")</f>
        <v/>
      </c>
      <c r="WKA19" s="28" t="str">
        <f>IFERROR(VLOOKUP(DATE($K$1,$K$2,WKA$4),Table1[],(MATCH(Calendar!$A19,DB!$1:$1,0)),FALSE),"")</f>
        <v/>
      </c>
      <c r="WKB19" s="28" t="str">
        <f>IFERROR(VLOOKUP(DATE($K$1,$K$2,WKB$4),Table1[],(MATCH(Calendar!$A19,DB!$1:$1,0)),FALSE),"")</f>
        <v/>
      </c>
      <c r="WKC19" s="28" t="str">
        <f>IFERROR(VLOOKUP(DATE($K$1,$K$2,WKC$4),Table1[],(MATCH(Calendar!$A19,DB!$1:$1,0)),FALSE),"")</f>
        <v/>
      </c>
      <c r="WKD19" s="28" t="str">
        <f>IFERROR(VLOOKUP(DATE($K$1,$K$2,WKD$4),Table1[],(MATCH(Calendar!$A19,DB!$1:$1,0)),FALSE),"")</f>
        <v/>
      </c>
      <c r="WKE19" s="28" t="str">
        <f>IFERROR(VLOOKUP(DATE($K$1,$K$2,WKE$4),Table1[],(MATCH(Calendar!$A19,DB!$1:$1,0)),FALSE),"")</f>
        <v/>
      </c>
      <c r="WKF19" s="28" t="str">
        <f>IFERROR(VLOOKUP(DATE($K$1,$K$2,WKF$4),Table1[],(MATCH(Calendar!$A19,DB!$1:$1,0)),FALSE),"")</f>
        <v/>
      </c>
      <c r="WKG19" s="28" t="str">
        <f>IFERROR(VLOOKUP(DATE($K$1,$K$2,WKG$4),Table1[],(MATCH(Calendar!$A19,DB!$1:$1,0)),FALSE),"")</f>
        <v/>
      </c>
      <c r="WKH19" s="28" t="str">
        <f>IFERROR(VLOOKUP(DATE($K$1,$K$2,WKH$4),Table1[],(MATCH(Calendar!$A19,DB!$1:$1,0)),FALSE),"")</f>
        <v/>
      </c>
      <c r="WKI19" s="28" t="str">
        <f>IFERROR(VLOOKUP(DATE($K$1,$K$2,WKI$4),Table1[],(MATCH(Calendar!$A19,DB!$1:$1,0)),FALSE),"")</f>
        <v/>
      </c>
      <c r="WKJ19" s="28" t="str">
        <f>IFERROR(VLOOKUP(DATE($K$1,$K$2,WKJ$4),Table1[],(MATCH(Calendar!$A19,DB!$1:$1,0)),FALSE),"")</f>
        <v/>
      </c>
      <c r="WKK19" s="28" t="str">
        <f>IFERROR(VLOOKUP(DATE($K$1,$K$2,WKK$4),Table1[],(MATCH(Calendar!$A19,DB!$1:$1,0)),FALSE),"")</f>
        <v/>
      </c>
      <c r="WKL19" s="28" t="str">
        <f>IFERROR(VLOOKUP(DATE($K$1,$K$2,WKL$4),Table1[],(MATCH(Calendar!$A19,DB!$1:$1,0)),FALSE),"")</f>
        <v/>
      </c>
      <c r="WKM19" s="28" t="str">
        <f>IFERROR(VLOOKUP(DATE($K$1,$K$2,WKM$4),Table1[],(MATCH(Calendar!$A19,DB!$1:$1,0)),FALSE),"")</f>
        <v/>
      </c>
      <c r="WKN19" s="28" t="str">
        <f>IFERROR(VLOOKUP(DATE($K$1,$K$2,WKN$4),Table1[],(MATCH(Calendar!$A19,DB!$1:$1,0)),FALSE),"")</f>
        <v/>
      </c>
      <c r="WKO19" s="28" t="str">
        <f>IFERROR(VLOOKUP(DATE($K$1,$K$2,WKO$4),Table1[],(MATCH(Calendar!$A19,DB!$1:$1,0)),FALSE),"")</f>
        <v/>
      </c>
      <c r="WKP19" s="28" t="str">
        <f>IFERROR(VLOOKUP(DATE($K$1,$K$2,WKP$4),Table1[],(MATCH(Calendar!$A19,DB!$1:$1,0)),FALSE),"")</f>
        <v/>
      </c>
      <c r="WKQ19" s="28" t="str">
        <f>IFERROR(VLOOKUP(DATE($K$1,$K$2,WKQ$4),Table1[],(MATCH(Calendar!$A19,DB!$1:$1,0)),FALSE),"")</f>
        <v/>
      </c>
      <c r="WKR19" s="28" t="str">
        <f>IFERROR(VLOOKUP(DATE($K$1,$K$2,WKR$4),Table1[],(MATCH(Calendar!$A19,DB!$1:$1,0)),FALSE),"")</f>
        <v/>
      </c>
      <c r="WKS19" s="28" t="str">
        <f>IFERROR(VLOOKUP(DATE($K$1,$K$2,WKS$4),Table1[],(MATCH(Calendar!$A19,DB!$1:$1,0)),FALSE),"")</f>
        <v/>
      </c>
      <c r="WKT19" s="28" t="str">
        <f>IFERROR(VLOOKUP(DATE($K$1,$K$2,WKT$4),Table1[],(MATCH(Calendar!$A19,DB!$1:$1,0)),FALSE),"")</f>
        <v/>
      </c>
      <c r="WKU19" s="28" t="str">
        <f>IFERROR(VLOOKUP(DATE($K$1,$K$2,WKU$4),Table1[],(MATCH(Calendar!$A19,DB!$1:$1,0)),FALSE),"")</f>
        <v/>
      </c>
      <c r="WKV19" s="28" t="str">
        <f>IFERROR(VLOOKUP(DATE($K$1,$K$2,WKV$4),Table1[],(MATCH(Calendar!$A19,DB!$1:$1,0)),FALSE),"")</f>
        <v/>
      </c>
      <c r="WKW19" s="28" t="str">
        <f>IFERROR(VLOOKUP(DATE($K$1,$K$2,WKW$4),Table1[],(MATCH(Calendar!$A19,DB!$1:$1,0)),FALSE),"")</f>
        <v/>
      </c>
      <c r="WKX19" s="28" t="str">
        <f>IFERROR(VLOOKUP(DATE($K$1,$K$2,WKX$4),Table1[],(MATCH(Calendar!$A19,DB!$1:$1,0)),FALSE),"")</f>
        <v/>
      </c>
      <c r="WKY19" s="28" t="str">
        <f>IFERROR(VLOOKUP(DATE($K$1,$K$2,WKY$4),Table1[],(MATCH(Calendar!$A19,DB!$1:$1,0)),FALSE),"")</f>
        <v/>
      </c>
      <c r="WKZ19" s="28" t="str">
        <f>IFERROR(VLOOKUP(DATE($K$1,$K$2,WKZ$4),Table1[],(MATCH(Calendar!$A19,DB!$1:$1,0)),FALSE),"")</f>
        <v/>
      </c>
      <c r="WLA19" s="28" t="str">
        <f>IFERROR(VLOOKUP(DATE($K$1,$K$2,WLA$4),Table1[],(MATCH(Calendar!$A19,DB!$1:$1,0)),FALSE),"")</f>
        <v/>
      </c>
      <c r="WLB19" s="28" t="str">
        <f>IFERROR(VLOOKUP(DATE($K$1,$K$2,WLB$4),Table1[],(MATCH(Calendar!$A19,DB!$1:$1,0)),FALSE),"")</f>
        <v/>
      </c>
      <c r="WLC19" s="28" t="str">
        <f>IFERROR(VLOOKUP(DATE($K$1,$K$2,WLC$4),Table1[],(MATCH(Calendar!$A19,DB!$1:$1,0)),FALSE),"")</f>
        <v/>
      </c>
      <c r="WLD19" s="28" t="str">
        <f>IFERROR(VLOOKUP(DATE($K$1,$K$2,WLD$4),Table1[],(MATCH(Calendar!$A19,DB!$1:$1,0)),FALSE),"")</f>
        <v/>
      </c>
      <c r="WLE19" s="28" t="str">
        <f>IFERROR(VLOOKUP(DATE($K$1,$K$2,WLE$4),Table1[],(MATCH(Calendar!$A19,DB!$1:$1,0)),FALSE),"")</f>
        <v/>
      </c>
      <c r="WLF19" s="28" t="str">
        <f>IFERROR(VLOOKUP(DATE($K$1,$K$2,WLF$4),Table1[],(MATCH(Calendar!$A19,DB!$1:$1,0)),FALSE),"")</f>
        <v/>
      </c>
      <c r="WLG19" s="28" t="str">
        <f>IFERROR(VLOOKUP(DATE($K$1,$K$2,WLG$4),Table1[],(MATCH(Calendar!$A19,DB!$1:$1,0)),FALSE),"")</f>
        <v/>
      </c>
      <c r="WLH19" s="28" t="str">
        <f>IFERROR(VLOOKUP(DATE($K$1,$K$2,WLH$4),Table1[],(MATCH(Calendar!$A19,DB!$1:$1,0)),FALSE),"")</f>
        <v/>
      </c>
      <c r="WLI19" s="28" t="str">
        <f>IFERROR(VLOOKUP(DATE($K$1,$K$2,WLI$4),Table1[],(MATCH(Calendar!$A19,DB!$1:$1,0)),FALSE),"")</f>
        <v/>
      </c>
      <c r="WLJ19" s="28" t="str">
        <f>IFERROR(VLOOKUP(DATE($K$1,$K$2,WLJ$4),Table1[],(MATCH(Calendar!$A19,DB!$1:$1,0)),FALSE),"")</f>
        <v/>
      </c>
      <c r="WLK19" s="28" t="str">
        <f>IFERROR(VLOOKUP(DATE($K$1,$K$2,WLK$4),Table1[],(MATCH(Calendar!$A19,DB!$1:$1,0)),FALSE),"")</f>
        <v/>
      </c>
      <c r="WLL19" s="28" t="str">
        <f>IFERROR(VLOOKUP(DATE($K$1,$K$2,WLL$4),Table1[],(MATCH(Calendar!$A19,DB!$1:$1,0)),FALSE),"")</f>
        <v/>
      </c>
      <c r="WLM19" s="28" t="str">
        <f>IFERROR(VLOOKUP(DATE($K$1,$K$2,WLM$4),Table1[],(MATCH(Calendar!$A19,DB!$1:$1,0)),FALSE),"")</f>
        <v/>
      </c>
      <c r="WLN19" s="28" t="str">
        <f>IFERROR(VLOOKUP(DATE($K$1,$K$2,WLN$4),Table1[],(MATCH(Calendar!$A19,DB!$1:$1,0)),FALSE),"")</f>
        <v/>
      </c>
      <c r="WLO19" s="28" t="str">
        <f>IFERROR(VLOOKUP(DATE($K$1,$K$2,WLO$4),Table1[],(MATCH(Calendar!$A19,DB!$1:$1,0)),FALSE),"")</f>
        <v/>
      </c>
      <c r="WLP19" s="28" t="str">
        <f>IFERROR(VLOOKUP(DATE($K$1,$K$2,WLP$4),Table1[],(MATCH(Calendar!$A19,DB!$1:$1,0)),FALSE),"")</f>
        <v/>
      </c>
      <c r="WLQ19" s="28" t="str">
        <f>IFERROR(VLOOKUP(DATE($K$1,$K$2,WLQ$4),Table1[],(MATCH(Calendar!$A19,DB!$1:$1,0)),FALSE),"")</f>
        <v/>
      </c>
      <c r="WLR19" s="28" t="str">
        <f>IFERROR(VLOOKUP(DATE($K$1,$K$2,WLR$4),Table1[],(MATCH(Calendar!$A19,DB!$1:$1,0)),FALSE),"")</f>
        <v/>
      </c>
      <c r="WLS19" s="28" t="str">
        <f>IFERROR(VLOOKUP(DATE($K$1,$K$2,WLS$4),Table1[],(MATCH(Calendar!$A19,DB!$1:$1,0)),FALSE),"")</f>
        <v/>
      </c>
      <c r="WLT19" s="28" t="str">
        <f>IFERROR(VLOOKUP(DATE($K$1,$K$2,WLT$4),Table1[],(MATCH(Calendar!$A19,DB!$1:$1,0)),FALSE),"")</f>
        <v/>
      </c>
      <c r="WLU19" s="28" t="str">
        <f>IFERROR(VLOOKUP(DATE($K$1,$K$2,WLU$4),Table1[],(MATCH(Calendar!$A19,DB!$1:$1,0)),FALSE),"")</f>
        <v/>
      </c>
      <c r="WLV19" s="28" t="str">
        <f>IFERROR(VLOOKUP(DATE($K$1,$K$2,WLV$4),Table1[],(MATCH(Calendar!$A19,DB!$1:$1,0)),FALSE),"")</f>
        <v/>
      </c>
      <c r="WLW19" s="28" t="str">
        <f>IFERROR(VLOOKUP(DATE($K$1,$K$2,WLW$4),Table1[],(MATCH(Calendar!$A19,DB!$1:$1,0)),FALSE),"")</f>
        <v/>
      </c>
      <c r="WLX19" s="28" t="str">
        <f>IFERROR(VLOOKUP(DATE($K$1,$K$2,WLX$4),Table1[],(MATCH(Calendar!$A19,DB!$1:$1,0)),FALSE),"")</f>
        <v/>
      </c>
      <c r="WLY19" s="28" t="str">
        <f>IFERROR(VLOOKUP(DATE($K$1,$K$2,WLY$4),Table1[],(MATCH(Calendar!$A19,DB!$1:$1,0)),FALSE),"")</f>
        <v/>
      </c>
      <c r="WLZ19" s="28" t="str">
        <f>IFERROR(VLOOKUP(DATE($K$1,$K$2,WLZ$4),Table1[],(MATCH(Calendar!$A19,DB!$1:$1,0)),FALSE),"")</f>
        <v/>
      </c>
      <c r="WMA19" s="28" t="str">
        <f>IFERROR(VLOOKUP(DATE($K$1,$K$2,WMA$4),Table1[],(MATCH(Calendar!$A19,DB!$1:$1,0)),FALSE),"")</f>
        <v/>
      </c>
      <c r="WMB19" s="28" t="str">
        <f>IFERROR(VLOOKUP(DATE($K$1,$K$2,WMB$4),Table1[],(MATCH(Calendar!$A19,DB!$1:$1,0)),FALSE),"")</f>
        <v/>
      </c>
      <c r="WMC19" s="28" t="str">
        <f>IFERROR(VLOOKUP(DATE($K$1,$K$2,WMC$4),Table1[],(MATCH(Calendar!$A19,DB!$1:$1,0)),FALSE),"")</f>
        <v/>
      </c>
      <c r="WMD19" s="28" t="str">
        <f>IFERROR(VLOOKUP(DATE($K$1,$K$2,WMD$4),Table1[],(MATCH(Calendar!$A19,DB!$1:$1,0)),FALSE),"")</f>
        <v/>
      </c>
      <c r="WME19" s="28" t="str">
        <f>IFERROR(VLOOKUP(DATE($K$1,$K$2,WME$4),Table1[],(MATCH(Calendar!$A19,DB!$1:$1,0)),FALSE),"")</f>
        <v/>
      </c>
      <c r="WMF19" s="28" t="str">
        <f>IFERROR(VLOOKUP(DATE($K$1,$K$2,WMF$4),Table1[],(MATCH(Calendar!$A19,DB!$1:$1,0)),FALSE),"")</f>
        <v/>
      </c>
      <c r="WMG19" s="28" t="str">
        <f>IFERROR(VLOOKUP(DATE($K$1,$K$2,WMG$4),Table1[],(MATCH(Calendar!$A19,DB!$1:$1,0)),FALSE),"")</f>
        <v/>
      </c>
      <c r="WMH19" s="28" t="str">
        <f>IFERROR(VLOOKUP(DATE($K$1,$K$2,WMH$4),Table1[],(MATCH(Calendar!$A19,DB!$1:$1,0)),FALSE),"")</f>
        <v/>
      </c>
      <c r="WMI19" s="28" t="str">
        <f>IFERROR(VLOOKUP(DATE($K$1,$K$2,WMI$4),Table1[],(MATCH(Calendar!$A19,DB!$1:$1,0)),FALSE),"")</f>
        <v/>
      </c>
      <c r="WMJ19" s="28" t="str">
        <f>IFERROR(VLOOKUP(DATE($K$1,$K$2,WMJ$4),Table1[],(MATCH(Calendar!$A19,DB!$1:$1,0)),FALSE),"")</f>
        <v/>
      </c>
      <c r="WMK19" s="28" t="str">
        <f>IFERROR(VLOOKUP(DATE($K$1,$K$2,WMK$4),Table1[],(MATCH(Calendar!$A19,DB!$1:$1,0)),FALSE),"")</f>
        <v/>
      </c>
      <c r="WML19" s="28" t="str">
        <f>IFERROR(VLOOKUP(DATE($K$1,$K$2,WML$4),Table1[],(MATCH(Calendar!$A19,DB!$1:$1,0)),FALSE),"")</f>
        <v/>
      </c>
      <c r="WMM19" s="28" t="str">
        <f>IFERROR(VLOOKUP(DATE($K$1,$K$2,WMM$4),Table1[],(MATCH(Calendar!$A19,DB!$1:$1,0)),FALSE),"")</f>
        <v/>
      </c>
      <c r="WMN19" s="28" t="str">
        <f>IFERROR(VLOOKUP(DATE($K$1,$K$2,WMN$4),Table1[],(MATCH(Calendar!$A19,DB!$1:$1,0)),FALSE),"")</f>
        <v/>
      </c>
      <c r="WMO19" s="28" t="str">
        <f>IFERROR(VLOOKUP(DATE($K$1,$K$2,WMO$4),Table1[],(MATCH(Calendar!$A19,DB!$1:$1,0)),FALSE),"")</f>
        <v/>
      </c>
      <c r="WMP19" s="28" t="str">
        <f>IFERROR(VLOOKUP(DATE($K$1,$K$2,WMP$4),Table1[],(MATCH(Calendar!$A19,DB!$1:$1,0)),FALSE),"")</f>
        <v/>
      </c>
      <c r="WMQ19" s="28" t="str">
        <f>IFERROR(VLOOKUP(DATE($K$1,$K$2,WMQ$4),Table1[],(MATCH(Calendar!$A19,DB!$1:$1,0)),FALSE),"")</f>
        <v/>
      </c>
      <c r="WMR19" s="28" t="str">
        <f>IFERROR(VLOOKUP(DATE($K$1,$K$2,WMR$4),Table1[],(MATCH(Calendar!$A19,DB!$1:$1,0)),FALSE),"")</f>
        <v/>
      </c>
      <c r="WMS19" s="28" t="str">
        <f>IFERROR(VLOOKUP(DATE($K$1,$K$2,WMS$4),Table1[],(MATCH(Calendar!$A19,DB!$1:$1,0)),FALSE),"")</f>
        <v/>
      </c>
      <c r="WMT19" s="28" t="str">
        <f>IFERROR(VLOOKUP(DATE($K$1,$K$2,WMT$4),Table1[],(MATCH(Calendar!$A19,DB!$1:$1,0)),FALSE),"")</f>
        <v/>
      </c>
      <c r="WMU19" s="28" t="str">
        <f>IFERROR(VLOOKUP(DATE($K$1,$K$2,WMU$4),Table1[],(MATCH(Calendar!$A19,DB!$1:$1,0)),FALSE),"")</f>
        <v/>
      </c>
      <c r="WMV19" s="28" t="str">
        <f>IFERROR(VLOOKUP(DATE($K$1,$K$2,WMV$4),Table1[],(MATCH(Calendar!$A19,DB!$1:$1,0)),FALSE),"")</f>
        <v/>
      </c>
      <c r="WMW19" s="28" t="str">
        <f>IFERROR(VLOOKUP(DATE($K$1,$K$2,WMW$4),Table1[],(MATCH(Calendar!$A19,DB!$1:$1,0)),FALSE),"")</f>
        <v/>
      </c>
      <c r="WMX19" s="28" t="str">
        <f>IFERROR(VLOOKUP(DATE($K$1,$K$2,WMX$4),Table1[],(MATCH(Calendar!$A19,DB!$1:$1,0)),FALSE),"")</f>
        <v/>
      </c>
      <c r="WMY19" s="28" t="str">
        <f>IFERROR(VLOOKUP(DATE($K$1,$K$2,WMY$4),Table1[],(MATCH(Calendar!$A19,DB!$1:$1,0)),FALSE),"")</f>
        <v/>
      </c>
      <c r="WMZ19" s="28" t="str">
        <f>IFERROR(VLOOKUP(DATE($K$1,$K$2,WMZ$4),Table1[],(MATCH(Calendar!$A19,DB!$1:$1,0)),FALSE),"")</f>
        <v/>
      </c>
      <c r="WNA19" s="28" t="str">
        <f>IFERROR(VLOOKUP(DATE($K$1,$K$2,WNA$4),Table1[],(MATCH(Calendar!$A19,DB!$1:$1,0)),FALSE),"")</f>
        <v/>
      </c>
      <c r="WNB19" s="28" t="str">
        <f>IFERROR(VLOOKUP(DATE($K$1,$K$2,WNB$4),Table1[],(MATCH(Calendar!$A19,DB!$1:$1,0)),FALSE),"")</f>
        <v/>
      </c>
      <c r="WNC19" s="28" t="str">
        <f>IFERROR(VLOOKUP(DATE($K$1,$K$2,WNC$4),Table1[],(MATCH(Calendar!$A19,DB!$1:$1,0)),FALSE),"")</f>
        <v/>
      </c>
      <c r="WND19" s="28" t="str">
        <f>IFERROR(VLOOKUP(DATE($K$1,$K$2,WND$4),Table1[],(MATCH(Calendar!$A19,DB!$1:$1,0)),FALSE),"")</f>
        <v/>
      </c>
      <c r="WNE19" s="28" t="str">
        <f>IFERROR(VLOOKUP(DATE($K$1,$K$2,WNE$4),Table1[],(MATCH(Calendar!$A19,DB!$1:$1,0)),FALSE),"")</f>
        <v/>
      </c>
      <c r="WNF19" s="28" t="str">
        <f>IFERROR(VLOOKUP(DATE($K$1,$K$2,WNF$4),Table1[],(MATCH(Calendar!$A19,DB!$1:$1,0)),FALSE),"")</f>
        <v/>
      </c>
      <c r="WNG19" s="28" t="str">
        <f>IFERROR(VLOOKUP(DATE($K$1,$K$2,WNG$4),Table1[],(MATCH(Calendar!$A19,DB!$1:$1,0)),FALSE),"")</f>
        <v/>
      </c>
      <c r="WNH19" s="28" t="str">
        <f>IFERROR(VLOOKUP(DATE($K$1,$K$2,WNH$4),Table1[],(MATCH(Calendar!$A19,DB!$1:$1,0)),FALSE),"")</f>
        <v/>
      </c>
      <c r="WNI19" s="28" t="str">
        <f>IFERROR(VLOOKUP(DATE($K$1,$K$2,WNI$4),Table1[],(MATCH(Calendar!$A19,DB!$1:$1,0)),FALSE),"")</f>
        <v/>
      </c>
      <c r="WNJ19" s="28" t="str">
        <f>IFERROR(VLOOKUP(DATE($K$1,$K$2,WNJ$4),Table1[],(MATCH(Calendar!$A19,DB!$1:$1,0)),FALSE),"")</f>
        <v/>
      </c>
      <c r="WNK19" s="28" t="str">
        <f>IFERROR(VLOOKUP(DATE($K$1,$K$2,WNK$4),Table1[],(MATCH(Calendar!$A19,DB!$1:$1,0)),FALSE),"")</f>
        <v/>
      </c>
      <c r="WNL19" s="28" t="str">
        <f>IFERROR(VLOOKUP(DATE($K$1,$K$2,WNL$4),Table1[],(MATCH(Calendar!$A19,DB!$1:$1,0)),FALSE),"")</f>
        <v/>
      </c>
      <c r="WNM19" s="28" t="str">
        <f>IFERROR(VLOOKUP(DATE($K$1,$K$2,WNM$4),Table1[],(MATCH(Calendar!$A19,DB!$1:$1,0)),FALSE),"")</f>
        <v/>
      </c>
      <c r="WNN19" s="28" t="str">
        <f>IFERROR(VLOOKUP(DATE($K$1,$K$2,WNN$4),Table1[],(MATCH(Calendar!$A19,DB!$1:$1,0)),FALSE),"")</f>
        <v/>
      </c>
      <c r="WNO19" s="28" t="str">
        <f>IFERROR(VLOOKUP(DATE($K$1,$K$2,WNO$4),Table1[],(MATCH(Calendar!$A19,DB!$1:$1,0)),FALSE),"")</f>
        <v/>
      </c>
      <c r="WNP19" s="28" t="str">
        <f>IFERROR(VLOOKUP(DATE($K$1,$K$2,WNP$4),Table1[],(MATCH(Calendar!$A19,DB!$1:$1,0)),FALSE),"")</f>
        <v/>
      </c>
      <c r="WNQ19" s="28" t="str">
        <f>IFERROR(VLOOKUP(DATE($K$1,$K$2,WNQ$4),Table1[],(MATCH(Calendar!$A19,DB!$1:$1,0)),FALSE),"")</f>
        <v/>
      </c>
      <c r="WNR19" s="28" t="str">
        <f>IFERROR(VLOOKUP(DATE($K$1,$K$2,WNR$4),Table1[],(MATCH(Calendar!$A19,DB!$1:$1,0)),FALSE),"")</f>
        <v/>
      </c>
      <c r="WNS19" s="28" t="str">
        <f>IFERROR(VLOOKUP(DATE($K$1,$K$2,WNS$4),Table1[],(MATCH(Calendar!$A19,DB!$1:$1,0)),FALSE),"")</f>
        <v/>
      </c>
      <c r="WNT19" s="28" t="str">
        <f>IFERROR(VLOOKUP(DATE($K$1,$K$2,WNT$4),Table1[],(MATCH(Calendar!$A19,DB!$1:$1,0)),FALSE),"")</f>
        <v/>
      </c>
      <c r="WNU19" s="28" t="str">
        <f>IFERROR(VLOOKUP(DATE($K$1,$K$2,WNU$4),Table1[],(MATCH(Calendar!$A19,DB!$1:$1,0)),FALSE),"")</f>
        <v/>
      </c>
      <c r="WNV19" s="28" t="str">
        <f>IFERROR(VLOOKUP(DATE($K$1,$K$2,WNV$4),Table1[],(MATCH(Calendar!$A19,DB!$1:$1,0)),FALSE),"")</f>
        <v/>
      </c>
      <c r="WNW19" s="28" t="str">
        <f>IFERROR(VLOOKUP(DATE($K$1,$K$2,WNW$4),Table1[],(MATCH(Calendar!$A19,DB!$1:$1,0)),FALSE),"")</f>
        <v/>
      </c>
      <c r="WNX19" s="28" t="str">
        <f>IFERROR(VLOOKUP(DATE($K$1,$K$2,WNX$4),Table1[],(MATCH(Calendar!$A19,DB!$1:$1,0)),FALSE),"")</f>
        <v/>
      </c>
      <c r="WNY19" s="28" t="str">
        <f>IFERROR(VLOOKUP(DATE($K$1,$K$2,WNY$4),Table1[],(MATCH(Calendar!$A19,DB!$1:$1,0)),FALSE),"")</f>
        <v/>
      </c>
      <c r="WNZ19" s="28" t="str">
        <f>IFERROR(VLOOKUP(DATE($K$1,$K$2,WNZ$4),Table1[],(MATCH(Calendar!$A19,DB!$1:$1,0)),FALSE),"")</f>
        <v/>
      </c>
      <c r="WOA19" s="28" t="str">
        <f>IFERROR(VLOOKUP(DATE($K$1,$K$2,WOA$4),Table1[],(MATCH(Calendar!$A19,DB!$1:$1,0)),FALSE),"")</f>
        <v/>
      </c>
      <c r="WOB19" s="28" t="str">
        <f>IFERROR(VLOOKUP(DATE($K$1,$K$2,WOB$4),Table1[],(MATCH(Calendar!$A19,DB!$1:$1,0)),FALSE),"")</f>
        <v/>
      </c>
      <c r="WOC19" s="28" t="str">
        <f>IFERROR(VLOOKUP(DATE($K$1,$K$2,WOC$4),Table1[],(MATCH(Calendar!$A19,DB!$1:$1,0)),FALSE),"")</f>
        <v/>
      </c>
      <c r="WOD19" s="28" t="str">
        <f>IFERROR(VLOOKUP(DATE($K$1,$K$2,WOD$4),Table1[],(MATCH(Calendar!$A19,DB!$1:$1,0)),FALSE),"")</f>
        <v/>
      </c>
      <c r="WOE19" s="28" t="str">
        <f>IFERROR(VLOOKUP(DATE($K$1,$K$2,WOE$4),Table1[],(MATCH(Calendar!$A19,DB!$1:$1,0)),FALSE),"")</f>
        <v/>
      </c>
      <c r="WOF19" s="28" t="str">
        <f>IFERROR(VLOOKUP(DATE($K$1,$K$2,WOF$4),Table1[],(MATCH(Calendar!$A19,DB!$1:$1,0)),FALSE),"")</f>
        <v/>
      </c>
      <c r="WOG19" s="28" t="str">
        <f>IFERROR(VLOOKUP(DATE($K$1,$K$2,WOG$4),Table1[],(MATCH(Calendar!$A19,DB!$1:$1,0)),FALSE),"")</f>
        <v/>
      </c>
      <c r="WOH19" s="28" t="str">
        <f>IFERROR(VLOOKUP(DATE($K$1,$K$2,WOH$4),Table1[],(MATCH(Calendar!$A19,DB!$1:$1,0)),FALSE),"")</f>
        <v/>
      </c>
      <c r="WOI19" s="28" t="str">
        <f>IFERROR(VLOOKUP(DATE($K$1,$K$2,WOI$4),Table1[],(MATCH(Calendar!$A19,DB!$1:$1,0)),FALSE),"")</f>
        <v/>
      </c>
      <c r="WOJ19" s="28" t="str">
        <f>IFERROR(VLOOKUP(DATE($K$1,$K$2,WOJ$4),Table1[],(MATCH(Calendar!$A19,DB!$1:$1,0)),FALSE),"")</f>
        <v/>
      </c>
      <c r="WOK19" s="28" t="str">
        <f>IFERROR(VLOOKUP(DATE($K$1,$K$2,WOK$4),Table1[],(MATCH(Calendar!$A19,DB!$1:$1,0)),FALSE),"")</f>
        <v/>
      </c>
      <c r="WOL19" s="28" t="str">
        <f>IFERROR(VLOOKUP(DATE($K$1,$K$2,WOL$4),Table1[],(MATCH(Calendar!$A19,DB!$1:$1,0)),FALSE),"")</f>
        <v/>
      </c>
      <c r="WOM19" s="28" t="str">
        <f>IFERROR(VLOOKUP(DATE($K$1,$K$2,WOM$4),Table1[],(MATCH(Calendar!$A19,DB!$1:$1,0)),FALSE),"")</f>
        <v/>
      </c>
      <c r="WON19" s="28" t="str">
        <f>IFERROR(VLOOKUP(DATE($K$1,$K$2,WON$4),Table1[],(MATCH(Calendar!$A19,DB!$1:$1,0)),FALSE),"")</f>
        <v/>
      </c>
      <c r="WOO19" s="28" t="str">
        <f>IFERROR(VLOOKUP(DATE($K$1,$K$2,WOO$4),Table1[],(MATCH(Calendar!$A19,DB!$1:$1,0)),FALSE),"")</f>
        <v/>
      </c>
      <c r="WOP19" s="28" t="str">
        <f>IFERROR(VLOOKUP(DATE($K$1,$K$2,WOP$4),Table1[],(MATCH(Calendar!$A19,DB!$1:$1,0)),FALSE),"")</f>
        <v/>
      </c>
      <c r="WOQ19" s="28" t="str">
        <f>IFERROR(VLOOKUP(DATE($K$1,$K$2,WOQ$4),Table1[],(MATCH(Calendar!$A19,DB!$1:$1,0)),FALSE),"")</f>
        <v/>
      </c>
      <c r="WOR19" s="28" t="str">
        <f>IFERROR(VLOOKUP(DATE($K$1,$K$2,WOR$4),Table1[],(MATCH(Calendar!$A19,DB!$1:$1,0)),FALSE),"")</f>
        <v/>
      </c>
      <c r="WOS19" s="28" t="str">
        <f>IFERROR(VLOOKUP(DATE($K$1,$K$2,WOS$4),Table1[],(MATCH(Calendar!$A19,DB!$1:$1,0)),FALSE),"")</f>
        <v/>
      </c>
      <c r="WOT19" s="28" t="str">
        <f>IFERROR(VLOOKUP(DATE($K$1,$K$2,WOT$4),Table1[],(MATCH(Calendar!$A19,DB!$1:$1,0)),FALSE),"")</f>
        <v/>
      </c>
      <c r="WOU19" s="28" t="str">
        <f>IFERROR(VLOOKUP(DATE($K$1,$K$2,WOU$4),Table1[],(MATCH(Calendar!$A19,DB!$1:$1,0)),FALSE),"")</f>
        <v/>
      </c>
      <c r="WOV19" s="28" t="str">
        <f>IFERROR(VLOOKUP(DATE($K$1,$K$2,WOV$4),Table1[],(MATCH(Calendar!$A19,DB!$1:$1,0)),FALSE),"")</f>
        <v/>
      </c>
      <c r="WOW19" s="28" t="str">
        <f>IFERROR(VLOOKUP(DATE($K$1,$K$2,WOW$4),Table1[],(MATCH(Calendar!$A19,DB!$1:$1,0)),FALSE),"")</f>
        <v/>
      </c>
      <c r="WOX19" s="28" t="str">
        <f>IFERROR(VLOOKUP(DATE($K$1,$K$2,WOX$4),Table1[],(MATCH(Calendar!$A19,DB!$1:$1,0)),FALSE),"")</f>
        <v/>
      </c>
      <c r="WOY19" s="28" t="str">
        <f>IFERROR(VLOOKUP(DATE($K$1,$K$2,WOY$4),Table1[],(MATCH(Calendar!$A19,DB!$1:$1,0)),FALSE),"")</f>
        <v/>
      </c>
      <c r="WOZ19" s="28" t="str">
        <f>IFERROR(VLOOKUP(DATE($K$1,$K$2,WOZ$4),Table1[],(MATCH(Calendar!$A19,DB!$1:$1,0)),FALSE),"")</f>
        <v/>
      </c>
      <c r="WPA19" s="28" t="str">
        <f>IFERROR(VLOOKUP(DATE($K$1,$K$2,WPA$4),Table1[],(MATCH(Calendar!$A19,DB!$1:$1,0)),FALSE),"")</f>
        <v/>
      </c>
      <c r="WPB19" s="28" t="str">
        <f>IFERROR(VLOOKUP(DATE($K$1,$K$2,WPB$4),Table1[],(MATCH(Calendar!$A19,DB!$1:$1,0)),FALSE),"")</f>
        <v/>
      </c>
      <c r="WPC19" s="28" t="str">
        <f>IFERROR(VLOOKUP(DATE($K$1,$K$2,WPC$4),Table1[],(MATCH(Calendar!$A19,DB!$1:$1,0)),FALSE),"")</f>
        <v/>
      </c>
      <c r="WPD19" s="28" t="str">
        <f>IFERROR(VLOOKUP(DATE($K$1,$K$2,WPD$4),Table1[],(MATCH(Calendar!$A19,DB!$1:$1,0)),FALSE),"")</f>
        <v/>
      </c>
      <c r="WPE19" s="28" t="str">
        <f>IFERROR(VLOOKUP(DATE($K$1,$K$2,WPE$4),Table1[],(MATCH(Calendar!$A19,DB!$1:$1,0)),FALSE),"")</f>
        <v/>
      </c>
      <c r="WPF19" s="28" t="str">
        <f>IFERROR(VLOOKUP(DATE($K$1,$K$2,WPF$4),Table1[],(MATCH(Calendar!$A19,DB!$1:$1,0)),FALSE),"")</f>
        <v/>
      </c>
      <c r="WPG19" s="28" t="str">
        <f>IFERROR(VLOOKUP(DATE($K$1,$K$2,WPG$4),Table1[],(MATCH(Calendar!$A19,DB!$1:$1,0)),FALSE),"")</f>
        <v/>
      </c>
      <c r="WPH19" s="28" t="str">
        <f>IFERROR(VLOOKUP(DATE($K$1,$K$2,WPH$4),Table1[],(MATCH(Calendar!$A19,DB!$1:$1,0)),FALSE),"")</f>
        <v/>
      </c>
      <c r="WPI19" s="28" t="str">
        <f>IFERROR(VLOOKUP(DATE($K$1,$K$2,WPI$4),Table1[],(MATCH(Calendar!$A19,DB!$1:$1,0)),FALSE),"")</f>
        <v/>
      </c>
      <c r="WPJ19" s="28" t="str">
        <f>IFERROR(VLOOKUP(DATE($K$1,$K$2,WPJ$4),Table1[],(MATCH(Calendar!$A19,DB!$1:$1,0)),FALSE),"")</f>
        <v/>
      </c>
      <c r="WPK19" s="28" t="str">
        <f>IFERROR(VLOOKUP(DATE($K$1,$K$2,WPK$4),Table1[],(MATCH(Calendar!$A19,DB!$1:$1,0)),FALSE),"")</f>
        <v/>
      </c>
      <c r="WPL19" s="28" t="str">
        <f>IFERROR(VLOOKUP(DATE($K$1,$K$2,WPL$4),Table1[],(MATCH(Calendar!$A19,DB!$1:$1,0)),FALSE),"")</f>
        <v/>
      </c>
      <c r="WPM19" s="28" t="str">
        <f>IFERROR(VLOOKUP(DATE($K$1,$K$2,WPM$4),Table1[],(MATCH(Calendar!$A19,DB!$1:$1,0)),FALSE),"")</f>
        <v/>
      </c>
      <c r="WPN19" s="28" t="str">
        <f>IFERROR(VLOOKUP(DATE($K$1,$K$2,WPN$4),Table1[],(MATCH(Calendar!$A19,DB!$1:$1,0)),FALSE),"")</f>
        <v/>
      </c>
      <c r="WPO19" s="28" t="str">
        <f>IFERROR(VLOOKUP(DATE($K$1,$K$2,WPO$4),Table1[],(MATCH(Calendar!$A19,DB!$1:$1,0)),FALSE),"")</f>
        <v/>
      </c>
      <c r="WPP19" s="28" t="str">
        <f>IFERROR(VLOOKUP(DATE($K$1,$K$2,WPP$4),Table1[],(MATCH(Calendar!$A19,DB!$1:$1,0)),FALSE),"")</f>
        <v/>
      </c>
      <c r="WPQ19" s="28" t="str">
        <f>IFERROR(VLOOKUP(DATE($K$1,$K$2,WPQ$4),Table1[],(MATCH(Calendar!$A19,DB!$1:$1,0)),FALSE),"")</f>
        <v/>
      </c>
      <c r="WPR19" s="28" t="str">
        <f>IFERROR(VLOOKUP(DATE($K$1,$K$2,WPR$4),Table1[],(MATCH(Calendar!$A19,DB!$1:$1,0)),FALSE),"")</f>
        <v/>
      </c>
      <c r="WPS19" s="28" t="str">
        <f>IFERROR(VLOOKUP(DATE($K$1,$K$2,WPS$4),Table1[],(MATCH(Calendar!$A19,DB!$1:$1,0)),FALSE),"")</f>
        <v/>
      </c>
      <c r="WPT19" s="28" t="str">
        <f>IFERROR(VLOOKUP(DATE($K$1,$K$2,WPT$4),Table1[],(MATCH(Calendar!$A19,DB!$1:$1,0)),FALSE),"")</f>
        <v/>
      </c>
      <c r="WPU19" s="28" t="str">
        <f>IFERROR(VLOOKUP(DATE($K$1,$K$2,WPU$4),Table1[],(MATCH(Calendar!$A19,DB!$1:$1,0)),FALSE),"")</f>
        <v/>
      </c>
      <c r="WPV19" s="28" t="str">
        <f>IFERROR(VLOOKUP(DATE($K$1,$K$2,WPV$4),Table1[],(MATCH(Calendar!$A19,DB!$1:$1,0)),FALSE),"")</f>
        <v/>
      </c>
      <c r="WPW19" s="28" t="str">
        <f>IFERROR(VLOOKUP(DATE($K$1,$K$2,WPW$4),Table1[],(MATCH(Calendar!$A19,DB!$1:$1,0)),FALSE),"")</f>
        <v/>
      </c>
      <c r="WPX19" s="28" t="str">
        <f>IFERROR(VLOOKUP(DATE($K$1,$K$2,WPX$4),Table1[],(MATCH(Calendar!$A19,DB!$1:$1,0)),FALSE),"")</f>
        <v/>
      </c>
      <c r="WPY19" s="28" t="str">
        <f>IFERROR(VLOOKUP(DATE($K$1,$K$2,WPY$4),Table1[],(MATCH(Calendar!$A19,DB!$1:$1,0)),FALSE),"")</f>
        <v/>
      </c>
      <c r="WPZ19" s="28" t="str">
        <f>IFERROR(VLOOKUP(DATE($K$1,$K$2,WPZ$4),Table1[],(MATCH(Calendar!$A19,DB!$1:$1,0)),FALSE),"")</f>
        <v/>
      </c>
      <c r="WQA19" s="28" t="str">
        <f>IFERROR(VLOOKUP(DATE($K$1,$K$2,WQA$4),Table1[],(MATCH(Calendar!$A19,DB!$1:$1,0)),FALSE),"")</f>
        <v/>
      </c>
      <c r="WQB19" s="28" t="str">
        <f>IFERROR(VLOOKUP(DATE($K$1,$K$2,WQB$4),Table1[],(MATCH(Calendar!$A19,DB!$1:$1,0)),FALSE),"")</f>
        <v/>
      </c>
      <c r="WQC19" s="28" t="str">
        <f>IFERROR(VLOOKUP(DATE($K$1,$K$2,WQC$4),Table1[],(MATCH(Calendar!$A19,DB!$1:$1,0)),FALSE),"")</f>
        <v/>
      </c>
      <c r="WQD19" s="28" t="str">
        <f>IFERROR(VLOOKUP(DATE($K$1,$K$2,WQD$4),Table1[],(MATCH(Calendar!$A19,DB!$1:$1,0)),FALSE),"")</f>
        <v/>
      </c>
      <c r="WQE19" s="28" t="str">
        <f>IFERROR(VLOOKUP(DATE($K$1,$K$2,WQE$4),Table1[],(MATCH(Calendar!$A19,DB!$1:$1,0)),FALSE),"")</f>
        <v/>
      </c>
      <c r="WQF19" s="28" t="str">
        <f>IFERROR(VLOOKUP(DATE($K$1,$K$2,WQF$4),Table1[],(MATCH(Calendar!$A19,DB!$1:$1,0)),FALSE),"")</f>
        <v/>
      </c>
      <c r="WQG19" s="28" t="str">
        <f>IFERROR(VLOOKUP(DATE($K$1,$K$2,WQG$4),Table1[],(MATCH(Calendar!$A19,DB!$1:$1,0)),FALSE),"")</f>
        <v/>
      </c>
      <c r="WQH19" s="28" t="str">
        <f>IFERROR(VLOOKUP(DATE($K$1,$K$2,WQH$4),Table1[],(MATCH(Calendar!$A19,DB!$1:$1,0)),FALSE),"")</f>
        <v/>
      </c>
      <c r="WQI19" s="28" t="str">
        <f>IFERROR(VLOOKUP(DATE($K$1,$K$2,WQI$4),Table1[],(MATCH(Calendar!$A19,DB!$1:$1,0)),FALSE),"")</f>
        <v/>
      </c>
      <c r="WQJ19" s="28" t="str">
        <f>IFERROR(VLOOKUP(DATE($K$1,$K$2,WQJ$4),Table1[],(MATCH(Calendar!$A19,DB!$1:$1,0)),FALSE),"")</f>
        <v/>
      </c>
      <c r="WQK19" s="28" t="str">
        <f>IFERROR(VLOOKUP(DATE($K$1,$K$2,WQK$4),Table1[],(MATCH(Calendar!$A19,DB!$1:$1,0)),FALSE),"")</f>
        <v/>
      </c>
      <c r="WQL19" s="28" t="str">
        <f>IFERROR(VLOOKUP(DATE($K$1,$K$2,WQL$4),Table1[],(MATCH(Calendar!$A19,DB!$1:$1,0)),FALSE),"")</f>
        <v/>
      </c>
      <c r="WQM19" s="28" t="str">
        <f>IFERROR(VLOOKUP(DATE($K$1,$K$2,WQM$4),Table1[],(MATCH(Calendar!$A19,DB!$1:$1,0)),FALSE),"")</f>
        <v/>
      </c>
      <c r="WQN19" s="28" t="str">
        <f>IFERROR(VLOOKUP(DATE($K$1,$K$2,WQN$4),Table1[],(MATCH(Calendar!$A19,DB!$1:$1,0)),FALSE),"")</f>
        <v/>
      </c>
      <c r="WQO19" s="28" t="str">
        <f>IFERROR(VLOOKUP(DATE($K$1,$K$2,WQO$4),Table1[],(MATCH(Calendar!$A19,DB!$1:$1,0)),FALSE),"")</f>
        <v/>
      </c>
      <c r="WQP19" s="28" t="str">
        <f>IFERROR(VLOOKUP(DATE($K$1,$K$2,WQP$4),Table1[],(MATCH(Calendar!$A19,DB!$1:$1,0)),FALSE),"")</f>
        <v/>
      </c>
      <c r="WQQ19" s="28" t="str">
        <f>IFERROR(VLOOKUP(DATE($K$1,$K$2,WQQ$4),Table1[],(MATCH(Calendar!$A19,DB!$1:$1,0)),FALSE),"")</f>
        <v/>
      </c>
      <c r="WQR19" s="28" t="str">
        <f>IFERROR(VLOOKUP(DATE($K$1,$K$2,WQR$4),Table1[],(MATCH(Calendar!$A19,DB!$1:$1,0)),FALSE),"")</f>
        <v/>
      </c>
      <c r="WQS19" s="28" t="str">
        <f>IFERROR(VLOOKUP(DATE($K$1,$K$2,WQS$4),Table1[],(MATCH(Calendar!$A19,DB!$1:$1,0)),FALSE),"")</f>
        <v/>
      </c>
      <c r="WQT19" s="28" t="str">
        <f>IFERROR(VLOOKUP(DATE($K$1,$K$2,WQT$4),Table1[],(MATCH(Calendar!$A19,DB!$1:$1,0)),FALSE),"")</f>
        <v/>
      </c>
      <c r="WQU19" s="28" t="str">
        <f>IFERROR(VLOOKUP(DATE($K$1,$K$2,WQU$4),Table1[],(MATCH(Calendar!$A19,DB!$1:$1,0)),FALSE),"")</f>
        <v/>
      </c>
      <c r="WQV19" s="28" t="str">
        <f>IFERROR(VLOOKUP(DATE($K$1,$K$2,WQV$4),Table1[],(MATCH(Calendar!$A19,DB!$1:$1,0)),FALSE),"")</f>
        <v/>
      </c>
      <c r="WQW19" s="28" t="str">
        <f>IFERROR(VLOOKUP(DATE($K$1,$K$2,WQW$4),Table1[],(MATCH(Calendar!$A19,DB!$1:$1,0)),FALSE),"")</f>
        <v/>
      </c>
      <c r="WQX19" s="28" t="str">
        <f>IFERROR(VLOOKUP(DATE($K$1,$K$2,WQX$4),Table1[],(MATCH(Calendar!$A19,DB!$1:$1,0)),FALSE),"")</f>
        <v/>
      </c>
      <c r="WQY19" s="28" t="str">
        <f>IFERROR(VLOOKUP(DATE($K$1,$K$2,WQY$4),Table1[],(MATCH(Calendar!$A19,DB!$1:$1,0)),FALSE),"")</f>
        <v/>
      </c>
      <c r="WQZ19" s="28" t="str">
        <f>IFERROR(VLOOKUP(DATE($K$1,$K$2,WQZ$4),Table1[],(MATCH(Calendar!$A19,DB!$1:$1,0)),FALSE),"")</f>
        <v/>
      </c>
      <c r="WRA19" s="28" t="str">
        <f>IFERROR(VLOOKUP(DATE($K$1,$K$2,WRA$4),Table1[],(MATCH(Calendar!$A19,DB!$1:$1,0)),FALSE),"")</f>
        <v/>
      </c>
      <c r="WRB19" s="28" t="str">
        <f>IFERROR(VLOOKUP(DATE($K$1,$K$2,WRB$4),Table1[],(MATCH(Calendar!$A19,DB!$1:$1,0)),FALSE),"")</f>
        <v/>
      </c>
      <c r="WRC19" s="28" t="str">
        <f>IFERROR(VLOOKUP(DATE($K$1,$K$2,WRC$4),Table1[],(MATCH(Calendar!$A19,DB!$1:$1,0)),FALSE),"")</f>
        <v/>
      </c>
      <c r="WRD19" s="28" t="str">
        <f>IFERROR(VLOOKUP(DATE($K$1,$K$2,WRD$4),Table1[],(MATCH(Calendar!$A19,DB!$1:$1,0)),FALSE),"")</f>
        <v/>
      </c>
      <c r="WRE19" s="28" t="str">
        <f>IFERROR(VLOOKUP(DATE($K$1,$K$2,WRE$4),Table1[],(MATCH(Calendar!$A19,DB!$1:$1,0)),FALSE),"")</f>
        <v/>
      </c>
      <c r="WRF19" s="28" t="str">
        <f>IFERROR(VLOOKUP(DATE($K$1,$K$2,WRF$4),Table1[],(MATCH(Calendar!$A19,DB!$1:$1,0)),FALSE),"")</f>
        <v/>
      </c>
      <c r="WRG19" s="28" t="str">
        <f>IFERROR(VLOOKUP(DATE($K$1,$K$2,WRG$4),Table1[],(MATCH(Calendar!$A19,DB!$1:$1,0)),FALSE),"")</f>
        <v/>
      </c>
      <c r="WRH19" s="28" t="str">
        <f>IFERROR(VLOOKUP(DATE($K$1,$K$2,WRH$4),Table1[],(MATCH(Calendar!$A19,DB!$1:$1,0)),FALSE),"")</f>
        <v/>
      </c>
      <c r="WRI19" s="28" t="str">
        <f>IFERROR(VLOOKUP(DATE($K$1,$K$2,WRI$4),Table1[],(MATCH(Calendar!$A19,DB!$1:$1,0)),FALSE),"")</f>
        <v/>
      </c>
      <c r="WRJ19" s="28" t="str">
        <f>IFERROR(VLOOKUP(DATE($K$1,$K$2,WRJ$4),Table1[],(MATCH(Calendar!$A19,DB!$1:$1,0)),FALSE),"")</f>
        <v/>
      </c>
      <c r="WRK19" s="28" t="str">
        <f>IFERROR(VLOOKUP(DATE($K$1,$K$2,WRK$4),Table1[],(MATCH(Calendar!$A19,DB!$1:$1,0)),FALSE),"")</f>
        <v/>
      </c>
      <c r="WRL19" s="28" t="str">
        <f>IFERROR(VLOOKUP(DATE($K$1,$K$2,WRL$4),Table1[],(MATCH(Calendar!$A19,DB!$1:$1,0)),FALSE),"")</f>
        <v/>
      </c>
      <c r="WRM19" s="28" t="str">
        <f>IFERROR(VLOOKUP(DATE($K$1,$K$2,WRM$4),Table1[],(MATCH(Calendar!$A19,DB!$1:$1,0)),FALSE),"")</f>
        <v/>
      </c>
      <c r="WRN19" s="28" t="str">
        <f>IFERROR(VLOOKUP(DATE($K$1,$K$2,WRN$4),Table1[],(MATCH(Calendar!$A19,DB!$1:$1,0)),FALSE),"")</f>
        <v/>
      </c>
      <c r="WRO19" s="28" t="str">
        <f>IFERROR(VLOOKUP(DATE($K$1,$K$2,WRO$4),Table1[],(MATCH(Calendar!$A19,DB!$1:$1,0)),FALSE),"")</f>
        <v/>
      </c>
      <c r="WRP19" s="28" t="str">
        <f>IFERROR(VLOOKUP(DATE($K$1,$K$2,WRP$4),Table1[],(MATCH(Calendar!$A19,DB!$1:$1,0)),FALSE),"")</f>
        <v/>
      </c>
      <c r="WRQ19" s="28" t="str">
        <f>IFERROR(VLOOKUP(DATE($K$1,$K$2,WRQ$4),Table1[],(MATCH(Calendar!$A19,DB!$1:$1,0)),FALSE),"")</f>
        <v/>
      </c>
      <c r="WRR19" s="28" t="str">
        <f>IFERROR(VLOOKUP(DATE($K$1,$K$2,WRR$4),Table1[],(MATCH(Calendar!$A19,DB!$1:$1,0)),FALSE),"")</f>
        <v/>
      </c>
      <c r="WRS19" s="28" t="str">
        <f>IFERROR(VLOOKUP(DATE($K$1,$K$2,WRS$4),Table1[],(MATCH(Calendar!$A19,DB!$1:$1,0)),FALSE),"")</f>
        <v/>
      </c>
      <c r="WRT19" s="28" t="str">
        <f>IFERROR(VLOOKUP(DATE($K$1,$K$2,WRT$4),Table1[],(MATCH(Calendar!$A19,DB!$1:$1,0)),FALSE),"")</f>
        <v/>
      </c>
      <c r="WRU19" s="28" t="str">
        <f>IFERROR(VLOOKUP(DATE($K$1,$K$2,WRU$4),Table1[],(MATCH(Calendar!$A19,DB!$1:$1,0)),FALSE),"")</f>
        <v/>
      </c>
      <c r="WRV19" s="28" t="str">
        <f>IFERROR(VLOOKUP(DATE($K$1,$K$2,WRV$4),Table1[],(MATCH(Calendar!$A19,DB!$1:$1,0)),FALSE),"")</f>
        <v/>
      </c>
      <c r="WRW19" s="28" t="str">
        <f>IFERROR(VLOOKUP(DATE($K$1,$K$2,WRW$4),Table1[],(MATCH(Calendar!$A19,DB!$1:$1,0)),FALSE),"")</f>
        <v/>
      </c>
      <c r="WRX19" s="28" t="str">
        <f>IFERROR(VLOOKUP(DATE($K$1,$K$2,WRX$4),Table1[],(MATCH(Calendar!$A19,DB!$1:$1,0)),FALSE),"")</f>
        <v/>
      </c>
      <c r="WRY19" s="28" t="str">
        <f>IFERROR(VLOOKUP(DATE($K$1,$K$2,WRY$4),Table1[],(MATCH(Calendar!$A19,DB!$1:$1,0)),FALSE),"")</f>
        <v/>
      </c>
      <c r="WRZ19" s="28" t="str">
        <f>IFERROR(VLOOKUP(DATE($K$1,$K$2,WRZ$4),Table1[],(MATCH(Calendar!$A19,DB!$1:$1,0)),FALSE),"")</f>
        <v/>
      </c>
      <c r="WSA19" s="28" t="str">
        <f>IFERROR(VLOOKUP(DATE($K$1,$K$2,WSA$4),Table1[],(MATCH(Calendar!$A19,DB!$1:$1,0)),FALSE),"")</f>
        <v/>
      </c>
      <c r="WSB19" s="28" t="str">
        <f>IFERROR(VLOOKUP(DATE($K$1,$K$2,WSB$4),Table1[],(MATCH(Calendar!$A19,DB!$1:$1,0)),FALSE),"")</f>
        <v/>
      </c>
      <c r="WSC19" s="28" t="str">
        <f>IFERROR(VLOOKUP(DATE($K$1,$K$2,WSC$4),Table1[],(MATCH(Calendar!$A19,DB!$1:$1,0)),FALSE),"")</f>
        <v/>
      </c>
      <c r="WSD19" s="28" t="str">
        <f>IFERROR(VLOOKUP(DATE($K$1,$K$2,WSD$4),Table1[],(MATCH(Calendar!$A19,DB!$1:$1,0)),FALSE),"")</f>
        <v/>
      </c>
      <c r="WSE19" s="28" t="str">
        <f>IFERROR(VLOOKUP(DATE($K$1,$K$2,WSE$4),Table1[],(MATCH(Calendar!$A19,DB!$1:$1,0)),FALSE),"")</f>
        <v/>
      </c>
      <c r="WSF19" s="28" t="str">
        <f>IFERROR(VLOOKUP(DATE($K$1,$K$2,WSF$4),Table1[],(MATCH(Calendar!$A19,DB!$1:$1,0)),FALSE),"")</f>
        <v/>
      </c>
      <c r="WSG19" s="28" t="str">
        <f>IFERROR(VLOOKUP(DATE($K$1,$K$2,WSG$4),Table1[],(MATCH(Calendar!$A19,DB!$1:$1,0)),FALSE),"")</f>
        <v/>
      </c>
      <c r="WSH19" s="28" t="str">
        <f>IFERROR(VLOOKUP(DATE($K$1,$K$2,WSH$4),Table1[],(MATCH(Calendar!$A19,DB!$1:$1,0)),FALSE),"")</f>
        <v/>
      </c>
      <c r="WSI19" s="28" t="str">
        <f>IFERROR(VLOOKUP(DATE($K$1,$K$2,WSI$4),Table1[],(MATCH(Calendar!$A19,DB!$1:$1,0)),FALSE),"")</f>
        <v/>
      </c>
      <c r="WSJ19" s="28" t="str">
        <f>IFERROR(VLOOKUP(DATE($K$1,$K$2,WSJ$4),Table1[],(MATCH(Calendar!$A19,DB!$1:$1,0)),FALSE),"")</f>
        <v/>
      </c>
      <c r="WSK19" s="28" t="str">
        <f>IFERROR(VLOOKUP(DATE($K$1,$K$2,WSK$4),Table1[],(MATCH(Calendar!$A19,DB!$1:$1,0)),FALSE),"")</f>
        <v/>
      </c>
      <c r="WSL19" s="28" t="str">
        <f>IFERROR(VLOOKUP(DATE($K$1,$K$2,WSL$4),Table1[],(MATCH(Calendar!$A19,DB!$1:$1,0)),FALSE),"")</f>
        <v/>
      </c>
      <c r="WSM19" s="28" t="str">
        <f>IFERROR(VLOOKUP(DATE($K$1,$K$2,WSM$4),Table1[],(MATCH(Calendar!$A19,DB!$1:$1,0)),FALSE),"")</f>
        <v/>
      </c>
      <c r="WSN19" s="28" t="str">
        <f>IFERROR(VLOOKUP(DATE($K$1,$K$2,WSN$4),Table1[],(MATCH(Calendar!$A19,DB!$1:$1,0)),FALSE),"")</f>
        <v/>
      </c>
      <c r="WSO19" s="28" t="str">
        <f>IFERROR(VLOOKUP(DATE($K$1,$K$2,WSO$4),Table1[],(MATCH(Calendar!$A19,DB!$1:$1,0)),FALSE),"")</f>
        <v/>
      </c>
      <c r="WSP19" s="28" t="str">
        <f>IFERROR(VLOOKUP(DATE($K$1,$K$2,WSP$4),Table1[],(MATCH(Calendar!$A19,DB!$1:$1,0)),FALSE),"")</f>
        <v/>
      </c>
      <c r="WSQ19" s="28" t="str">
        <f>IFERROR(VLOOKUP(DATE($K$1,$K$2,WSQ$4),Table1[],(MATCH(Calendar!$A19,DB!$1:$1,0)),FALSE),"")</f>
        <v/>
      </c>
      <c r="WSR19" s="28" t="str">
        <f>IFERROR(VLOOKUP(DATE($K$1,$K$2,WSR$4),Table1[],(MATCH(Calendar!$A19,DB!$1:$1,0)),FALSE),"")</f>
        <v/>
      </c>
      <c r="WSS19" s="28" t="str">
        <f>IFERROR(VLOOKUP(DATE($K$1,$K$2,WSS$4),Table1[],(MATCH(Calendar!$A19,DB!$1:$1,0)),FALSE),"")</f>
        <v/>
      </c>
      <c r="WST19" s="28" t="str">
        <f>IFERROR(VLOOKUP(DATE($K$1,$K$2,WST$4),Table1[],(MATCH(Calendar!$A19,DB!$1:$1,0)),FALSE),"")</f>
        <v/>
      </c>
      <c r="WSU19" s="28" t="str">
        <f>IFERROR(VLOOKUP(DATE($K$1,$K$2,WSU$4),Table1[],(MATCH(Calendar!$A19,DB!$1:$1,0)),FALSE),"")</f>
        <v/>
      </c>
      <c r="WSV19" s="28" t="str">
        <f>IFERROR(VLOOKUP(DATE($K$1,$K$2,WSV$4),Table1[],(MATCH(Calendar!$A19,DB!$1:$1,0)),FALSE),"")</f>
        <v/>
      </c>
      <c r="WSW19" s="28" t="str">
        <f>IFERROR(VLOOKUP(DATE($K$1,$K$2,WSW$4),Table1[],(MATCH(Calendar!$A19,DB!$1:$1,0)),FALSE),"")</f>
        <v/>
      </c>
      <c r="WSX19" s="28" t="str">
        <f>IFERROR(VLOOKUP(DATE($K$1,$K$2,WSX$4),Table1[],(MATCH(Calendar!$A19,DB!$1:$1,0)),FALSE),"")</f>
        <v/>
      </c>
      <c r="WSY19" s="28" t="str">
        <f>IFERROR(VLOOKUP(DATE($K$1,$K$2,WSY$4),Table1[],(MATCH(Calendar!$A19,DB!$1:$1,0)),FALSE),"")</f>
        <v/>
      </c>
      <c r="WSZ19" s="28" t="str">
        <f>IFERROR(VLOOKUP(DATE($K$1,$K$2,WSZ$4),Table1[],(MATCH(Calendar!$A19,DB!$1:$1,0)),FALSE),"")</f>
        <v/>
      </c>
      <c r="WTA19" s="28" t="str">
        <f>IFERROR(VLOOKUP(DATE($K$1,$K$2,WTA$4),Table1[],(MATCH(Calendar!$A19,DB!$1:$1,0)),FALSE),"")</f>
        <v/>
      </c>
      <c r="WTB19" s="28" t="str">
        <f>IFERROR(VLOOKUP(DATE($K$1,$K$2,WTB$4),Table1[],(MATCH(Calendar!$A19,DB!$1:$1,0)),FALSE),"")</f>
        <v/>
      </c>
      <c r="WTC19" s="28" t="str">
        <f>IFERROR(VLOOKUP(DATE($K$1,$K$2,WTC$4),Table1[],(MATCH(Calendar!$A19,DB!$1:$1,0)),FALSE),"")</f>
        <v/>
      </c>
      <c r="WTD19" s="28" t="str">
        <f>IFERROR(VLOOKUP(DATE($K$1,$K$2,WTD$4),Table1[],(MATCH(Calendar!$A19,DB!$1:$1,0)),FALSE),"")</f>
        <v/>
      </c>
      <c r="WTE19" s="28" t="str">
        <f>IFERROR(VLOOKUP(DATE($K$1,$K$2,WTE$4),Table1[],(MATCH(Calendar!$A19,DB!$1:$1,0)),FALSE),"")</f>
        <v/>
      </c>
      <c r="WTF19" s="28" t="str">
        <f>IFERROR(VLOOKUP(DATE($K$1,$K$2,WTF$4),Table1[],(MATCH(Calendar!$A19,DB!$1:$1,0)),FALSE),"")</f>
        <v/>
      </c>
      <c r="WTG19" s="28" t="str">
        <f>IFERROR(VLOOKUP(DATE($K$1,$K$2,WTG$4),Table1[],(MATCH(Calendar!$A19,DB!$1:$1,0)),FALSE),"")</f>
        <v/>
      </c>
      <c r="WTH19" s="28" t="str">
        <f>IFERROR(VLOOKUP(DATE($K$1,$K$2,WTH$4),Table1[],(MATCH(Calendar!$A19,DB!$1:$1,0)),FALSE),"")</f>
        <v/>
      </c>
      <c r="WTI19" s="28" t="str">
        <f>IFERROR(VLOOKUP(DATE($K$1,$K$2,WTI$4),Table1[],(MATCH(Calendar!$A19,DB!$1:$1,0)),FALSE),"")</f>
        <v/>
      </c>
      <c r="WTJ19" s="28" t="str">
        <f>IFERROR(VLOOKUP(DATE($K$1,$K$2,WTJ$4),Table1[],(MATCH(Calendar!$A19,DB!$1:$1,0)),FALSE),"")</f>
        <v/>
      </c>
      <c r="WTK19" s="28" t="str">
        <f>IFERROR(VLOOKUP(DATE($K$1,$K$2,WTK$4),Table1[],(MATCH(Calendar!$A19,DB!$1:$1,0)),FALSE),"")</f>
        <v/>
      </c>
      <c r="WTL19" s="28" t="str">
        <f>IFERROR(VLOOKUP(DATE($K$1,$K$2,WTL$4),Table1[],(MATCH(Calendar!$A19,DB!$1:$1,0)),FALSE),"")</f>
        <v/>
      </c>
      <c r="WTM19" s="28" t="str">
        <f>IFERROR(VLOOKUP(DATE($K$1,$K$2,WTM$4),Table1[],(MATCH(Calendar!$A19,DB!$1:$1,0)),FALSE),"")</f>
        <v/>
      </c>
      <c r="WTN19" s="28" t="str">
        <f>IFERROR(VLOOKUP(DATE($K$1,$K$2,WTN$4),Table1[],(MATCH(Calendar!$A19,DB!$1:$1,0)),FALSE),"")</f>
        <v/>
      </c>
      <c r="WTO19" s="28" t="str">
        <f>IFERROR(VLOOKUP(DATE($K$1,$K$2,WTO$4),Table1[],(MATCH(Calendar!$A19,DB!$1:$1,0)),FALSE),"")</f>
        <v/>
      </c>
      <c r="WTP19" s="28" t="str">
        <f>IFERROR(VLOOKUP(DATE($K$1,$K$2,WTP$4),Table1[],(MATCH(Calendar!$A19,DB!$1:$1,0)),FALSE),"")</f>
        <v/>
      </c>
      <c r="WTQ19" s="28" t="str">
        <f>IFERROR(VLOOKUP(DATE($K$1,$K$2,WTQ$4),Table1[],(MATCH(Calendar!$A19,DB!$1:$1,0)),FALSE),"")</f>
        <v/>
      </c>
      <c r="WTR19" s="28" t="str">
        <f>IFERROR(VLOOKUP(DATE($K$1,$K$2,WTR$4),Table1[],(MATCH(Calendar!$A19,DB!$1:$1,0)),FALSE),"")</f>
        <v/>
      </c>
      <c r="WTS19" s="28" t="str">
        <f>IFERROR(VLOOKUP(DATE($K$1,$K$2,WTS$4),Table1[],(MATCH(Calendar!$A19,DB!$1:$1,0)),FALSE),"")</f>
        <v/>
      </c>
      <c r="WTT19" s="28" t="str">
        <f>IFERROR(VLOOKUP(DATE($K$1,$K$2,WTT$4),Table1[],(MATCH(Calendar!$A19,DB!$1:$1,0)),FALSE),"")</f>
        <v/>
      </c>
      <c r="WTU19" s="28" t="str">
        <f>IFERROR(VLOOKUP(DATE($K$1,$K$2,WTU$4),Table1[],(MATCH(Calendar!$A19,DB!$1:$1,0)),FALSE),"")</f>
        <v/>
      </c>
      <c r="WTV19" s="28" t="str">
        <f>IFERROR(VLOOKUP(DATE($K$1,$K$2,WTV$4),Table1[],(MATCH(Calendar!$A19,DB!$1:$1,0)),FALSE),"")</f>
        <v/>
      </c>
      <c r="WTW19" s="28" t="str">
        <f>IFERROR(VLOOKUP(DATE($K$1,$K$2,WTW$4),Table1[],(MATCH(Calendar!$A19,DB!$1:$1,0)),FALSE),"")</f>
        <v/>
      </c>
      <c r="WTX19" s="28" t="str">
        <f>IFERROR(VLOOKUP(DATE($K$1,$K$2,WTX$4),Table1[],(MATCH(Calendar!$A19,DB!$1:$1,0)),FALSE),"")</f>
        <v/>
      </c>
      <c r="WTY19" s="28" t="str">
        <f>IFERROR(VLOOKUP(DATE($K$1,$K$2,WTY$4),Table1[],(MATCH(Calendar!$A19,DB!$1:$1,0)),FALSE),"")</f>
        <v/>
      </c>
      <c r="WTZ19" s="28" t="str">
        <f>IFERROR(VLOOKUP(DATE($K$1,$K$2,WTZ$4),Table1[],(MATCH(Calendar!$A19,DB!$1:$1,0)),FALSE),"")</f>
        <v/>
      </c>
      <c r="WUA19" s="28" t="str">
        <f>IFERROR(VLOOKUP(DATE($K$1,$K$2,WUA$4),Table1[],(MATCH(Calendar!$A19,DB!$1:$1,0)),FALSE),"")</f>
        <v/>
      </c>
      <c r="WUB19" s="28" t="str">
        <f>IFERROR(VLOOKUP(DATE($K$1,$K$2,WUB$4),Table1[],(MATCH(Calendar!$A19,DB!$1:$1,0)),FALSE),"")</f>
        <v/>
      </c>
      <c r="WUC19" s="28" t="str">
        <f>IFERROR(VLOOKUP(DATE($K$1,$K$2,WUC$4),Table1[],(MATCH(Calendar!$A19,DB!$1:$1,0)),FALSE),"")</f>
        <v/>
      </c>
      <c r="WUD19" s="28" t="str">
        <f>IFERROR(VLOOKUP(DATE($K$1,$K$2,WUD$4),Table1[],(MATCH(Calendar!$A19,DB!$1:$1,0)),FALSE),"")</f>
        <v/>
      </c>
      <c r="WUE19" s="28" t="str">
        <f>IFERROR(VLOOKUP(DATE($K$1,$K$2,WUE$4),Table1[],(MATCH(Calendar!$A19,DB!$1:$1,0)),FALSE),"")</f>
        <v/>
      </c>
      <c r="WUF19" s="28" t="str">
        <f>IFERROR(VLOOKUP(DATE($K$1,$K$2,WUF$4),Table1[],(MATCH(Calendar!$A19,DB!$1:$1,0)),FALSE),"")</f>
        <v/>
      </c>
      <c r="WUG19" s="28" t="str">
        <f>IFERROR(VLOOKUP(DATE($K$1,$K$2,WUG$4),Table1[],(MATCH(Calendar!$A19,DB!$1:$1,0)),FALSE),"")</f>
        <v/>
      </c>
      <c r="WUH19" s="28" t="str">
        <f>IFERROR(VLOOKUP(DATE($K$1,$K$2,WUH$4),Table1[],(MATCH(Calendar!$A19,DB!$1:$1,0)),FALSE),"")</f>
        <v/>
      </c>
      <c r="WUI19" s="28" t="str">
        <f>IFERROR(VLOOKUP(DATE($K$1,$K$2,WUI$4),Table1[],(MATCH(Calendar!$A19,DB!$1:$1,0)),FALSE),"")</f>
        <v/>
      </c>
      <c r="WUJ19" s="28" t="str">
        <f>IFERROR(VLOOKUP(DATE($K$1,$K$2,WUJ$4),Table1[],(MATCH(Calendar!$A19,DB!$1:$1,0)),FALSE),"")</f>
        <v/>
      </c>
      <c r="WUK19" s="28" t="str">
        <f>IFERROR(VLOOKUP(DATE($K$1,$K$2,WUK$4),Table1[],(MATCH(Calendar!$A19,DB!$1:$1,0)),FALSE),"")</f>
        <v/>
      </c>
      <c r="WUL19" s="28" t="str">
        <f>IFERROR(VLOOKUP(DATE($K$1,$K$2,WUL$4),Table1[],(MATCH(Calendar!$A19,DB!$1:$1,0)),FALSE),"")</f>
        <v/>
      </c>
      <c r="WUM19" s="28" t="str">
        <f>IFERROR(VLOOKUP(DATE($K$1,$K$2,WUM$4),Table1[],(MATCH(Calendar!$A19,DB!$1:$1,0)),FALSE),"")</f>
        <v/>
      </c>
      <c r="WUN19" s="28" t="str">
        <f>IFERROR(VLOOKUP(DATE($K$1,$K$2,WUN$4),Table1[],(MATCH(Calendar!$A19,DB!$1:$1,0)),FALSE),"")</f>
        <v/>
      </c>
      <c r="WUO19" s="28" t="str">
        <f>IFERROR(VLOOKUP(DATE($K$1,$K$2,WUO$4),Table1[],(MATCH(Calendar!$A19,DB!$1:$1,0)),FALSE),"")</f>
        <v/>
      </c>
      <c r="WUP19" s="28" t="str">
        <f>IFERROR(VLOOKUP(DATE($K$1,$K$2,WUP$4),Table1[],(MATCH(Calendar!$A19,DB!$1:$1,0)),FALSE),"")</f>
        <v/>
      </c>
      <c r="WUQ19" s="28" t="str">
        <f>IFERROR(VLOOKUP(DATE($K$1,$K$2,WUQ$4),Table1[],(MATCH(Calendar!$A19,DB!$1:$1,0)),FALSE),"")</f>
        <v/>
      </c>
      <c r="WUR19" s="28" t="str">
        <f>IFERROR(VLOOKUP(DATE($K$1,$K$2,WUR$4),Table1[],(MATCH(Calendar!$A19,DB!$1:$1,0)),FALSE),"")</f>
        <v/>
      </c>
      <c r="WUS19" s="28" t="str">
        <f>IFERROR(VLOOKUP(DATE($K$1,$K$2,WUS$4),Table1[],(MATCH(Calendar!$A19,DB!$1:$1,0)),FALSE),"")</f>
        <v/>
      </c>
      <c r="WUT19" s="28" t="str">
        <f>IFERROR(VLOOKUP(DATE($K$1,$K$2,WUT$4),Table1[],(MATCH(Calendar!$A19,DB!$1:$1,0)),FALSE),"")</f>
        <v/>
      </c>
      <c r="WUU19" s="28" t="str">
        <f>IFERROR(VLOOKUP(DATE($K$1,$K$2,WUU$4),Table1[],(MATCH(Calendar!$A19,DB!$1:$1,0)),FALSE),"")</f>
        <v/>
      </c>
      <c r="WUV19" s="28" t="str">
        <f>IFERROR(VLOOKUP(DATE($K$1,$K$2,WUV$4),Table1[],(MATCH(Calendar!$A19,DB!$1:$1,0)),FALSE),"")</f>
        <v/>
      </c>
      <c r="WUW19" s="28" t="str">
        <f>IFERROR(VLOOKUP(DATE($K$1,$K$2,WUW$4),Table1[],(MATCH(Calendar!$A19,DB!$1:$1,0)),FALSE),"")</f>
        <v/>
      </c>
      <c r="WUX19" s="28" t="str">
        <f>IFERROR(VLOOKUP(DATE($K$1,$K$2,WUX$4),Table1[],(MATCH(Calendar!$A19,DB!$1:$1,0)),FALSE),"")</f>
        <v/>
      </c>
      <c r="WUY19" s="28" t="str">
        <f>IFERROR(VLOOKUP(DATE($K$1,$K$2,WUY$4),Table1[],(MATCH(Calendar!$A19,DB!$1:$1,0)),FALSE),"")</f>
        <v/>
      </c>
      <c r="WUZ19" s="28" t="str">
        <f>IFERROR(VLOOKUP(DATE($K$1,$K$2,WUZ$4),Table1[],(MATCH(Calendar!$A19,DB!$1:$1,0)),FALSE),"")</f>
        <v/>
      </c>
      <c r="WVA19" s="28" t="str">
        <f>IFERROR(VLOOKUP(DATE($K$1,$K$2,WVA$4),Table1[],(MATCH(Calendar!$A19,DB!$1:$1,0)),FALSE),"")</f>
        <v/>
      </c>
      <c r="WVB19" s="28" t="str">
        <f>IFERROR(VLOOKUP(DATE($K$1,$K$2,WVB$4),Table1[],(MATCH(Calendar!$A19,DB!$1:$1,0)),FALSE),"")</f>
        <v/>
      </c>
      <c r="WVC19" s="28" t="str">
        <f>IFERROR(VLOOKUP(DATE($K$1,$K$2,WVC$4),Table1[],(MATCH(Calendar!$A19,DB!$1:$1,0)),FALSE),"")</f>
        <v/>
      </c>
      <c r="WVD19" s="28" t="str">
        <f>IFERROR(VLOOKUP(DATE($K$1,$K$2,WVD$4),Table1[],(MATCH(Calendar!$A19,DB!$1:$1,0)),FALSE),"")</f>
        <v/>
      </c>
      <c r="WVE19" s="28" t="str">
        <f>IFERROR(VLOOKUP(DATE($K$1,$K$2,WVE$4),Table1[],(MATCH(Calendar!$A19,DB!$1:$1,0)),FALSE),"")</f>
        <v/>
      </c>
      <c r="WVF19" s="28" t="str">
        <f>IFERROR(VLOOKUP(DATE($K$1,$K$2,WVF$4),Table1[],(MATCH(Calendar!$A19,DB!$1:$1,0)),FALSE),"")</f>
        <v/>
      </c>
      <c r="WVG19" s="28" t="str">
        <f>IFERROR(VLOOKUP(DATE($K$1,$K$2,WVG$4),Table1[],(MATCH(Calendar!$A19,DB!$1:$1,0)),FALSE),"")</f>
        <v/>
      </c>
      <c r="WVH19" s="28" t="str">
        <f>IFERROR(VLOOKUP(DATE($K$1,$K$2,WVH$4),Table1[],(MATCH(Calendar!$A19,DB!$1:$1,0)),FALSE),"")</f>
        <v/>
      </c>
      <c r="WVI19" s="28" t="str">
        <f>IFERROR(VLOOKUP(DATE($K$1,$K$2,WVI$4),Table1[],(MATCH(Calendar!$A19,DB!$1:$1,0)),FALSE),"")</f>
        <v/>
      </c>
      <c r="WVJ19" s="28" t="str">
        <f>IFERROR(VLOOKUP(DATE($K$1,$K$2,WVJ$4),Table1[],(MATCH(Calendar!$A19,DB!$1:$1,0)),FALSE),"")</f>
        <v/>
      </c>
      <c r="WVK19" s="28" t="str">
        <f>IFERROR(VLOOKUP(DATE($K$1,$K$2,WVK$4),Table1[],(MATCH(Calendar!$A19,DB!$1:$1,0)),FALSE),"")</f>
        <v/>
      </c>
      <c r="WVL19" s="28" t="str">
        <f>IFERROR(VLOOKUP(DATE($K$1,$K$2,WVL$4),Table1[],(MATCH(Calendar!$A19,DB!$1:$1,0)),FALSE),"")</f>
        <v/>
      </c>
      <c r="WVM19" s="28" t="str">
        <f>IFERROR(VLOOKUP(DATE($K$1,$K$2,WVM$4),Table1[],(MATCH(Calendar!$A19,DB!$1:$1,0)),FALSE),"")</f>
        <v/>
      </c>
      <c r="WVN19" s="28" t="str">
        <f>IFERROR(VLOOKUP(DATE($K$1,$K$2,WVN$4),Table1[],(MATCH(Calendar!$A19,DB!$1:$1,0)),FALSE),"")</f>
        <v/>
      </c>
      <c r="WVO19" s="28" t="str">
        <f>IFERROR(VLOOKUP(DATE($K$1,$K$2,WVO$4),Table1[],(MATCH(Calendar!$A19,DB!$1:$1,0)),FALSE),"")</f>
        <v/>
      </c>
      <c r="WVP19" s="28" t="str">
        <f>IFERROR(VLOOKUP(DATE($K$1,$K$2,WVP$4),Table1[],(MATCH(Calendar!$A19,DB!$1:$1,0)),FALSE),"")</f>
        <v/>
      </c>
      <c r="WVQ19" s="28" t="str">
        <f>IFERROR(VLOOKUP(DATE($K$1,$K$2,WVQ$4),Table1[],(MATCH(Calendar!$A19,DB!$1:$1,0)),FALSE),"")</f>
        <v/>
      </c>
      <c r="WVR19" s="28" t="str">
        <f>IFERROR(VLOOKUP(DATE($K$1,$K$2,WVR$4),Table1[],(MATCH(Calendar!$A19,DB!$1:$1,0)),FALSE),"")</f>
        <v/>
      </c>
      <c r="WVS19" s="28" t="str">
        <f>IFERROR(VLOOKUP(DATE($K$1,$K$2,WVS$4),Table1[],(MATCH(Calendar!$A19,DB!$1:$1,0)),FALSE),"")</f>
        <v/>
      </c>
      <c r="WVT19" s="28" t="str">
        <f>IFERROR(VLOOKUP(DATE($K$1,$K$2,WVT$4),Table1[],(MATCH(Calendar!$A19,DB!$1:$1,0)),FALSE),"")</f>
        <v/>
      </c>
      <c r="WVU19" s="28" t="str">
        <f>IFERROR(VLOOKUP(DATE($K$1,$K$2,WVU$4),Table1[],(MATCH(Calendar!$A19,DB!$1:$1,0)),FALSE),"")</f>
        <v/>
      </c>
      <c r="WVV19" s="28" t="str">
        <f>IFERROR(VLOOKUP(DATE($K$1,$K$2,WVV$4),Table1[],(MATCH(Calendar!$A19,DB!$1:$1,0)),FALSE),"")</f>
        <v/>
      </c>
      <c r="WVW19" s="28" t="str">
        <f>IFERROR(VLOOKUP(DATE($K$1,$K$2,WVW$4),Table1[],(MATCH(Calendar!$A19,DB!$1:$1,0)),FALSE),"")</f>
        <v/>
      </c>
      <c r="WVX19" s="28" t="str">
        <f>IFERROR(VLOOKUP(DATE($K$1,$K$2,WVX$4),Table1[],(MATCH(Calendar!$A19,DB!$1:$1,0)),FALSE),"")</f>
        <v/>
      </c>
      <c r="WVY19" s="28" t="str">
        <f>IFERROR(VLOOKUP(DATE($K$1,$K$2,WVY$4),Table1[],(MATCH(Calendar!$A19,DB!$1:$1,0)),FALSE),"")</f>
        <v/>
      </c>
      <c r="WVZ19" s="28" t="str">
        <f>IFERROR(VLOOKUP(DATE($K$1,$K$2,WVZ$4),Table1[],(MATCH(Calendar!$A19,DB!$1:$1,0)),FALSE),"")</f>
        <v/>
      </c>
      <c r="WWA19" s="28" t="str">
        <f>IFERROR(VLOOKUP(DATE($K$1,$K$2,WWA$4),Table1[],(MATCH(Calendar!$A19,DB!$1:$1,0)),FALSE),"")</f>
        <v/>
      </c>
      <c r="WWB19" s="28" t="str">
        <f>IFERROR(VLOOKUP(DATE($K$1,$K$2,WWB$4),Table1[],(MATCH(Calendar!$A19,DB!$1:$1,0)),FALSE),"")</f>
        <v/>
      </c>
      <c r="WWC19" s="28" t="str">
        <f>IFERROR(VLOOKUP(DATE($K$1,$K$2,WWC$4),Table1[],(MATCH(Calendar!$A19,DB!$1:$1,0)),FALSE),"")</f>
        <v/>
      </c>
      <c r="WWD19" s="28" t="str">
        <f>IFERROR(VLOOKUP(DATE($K$1,$K$2,WWD$4),Table1[],(MATCH(Calendar!$A19,DB!$1:$1,0)),FALSE),"")</f>
        <v/>
      </c>
      <c r="WWE19" s="28" t="str">
        <f>IFERROR(VLOOKUP(DATE($K$1,$K$2,WWE$4),Table1[],(MATCH(Calendar!$A19,DB!$1:$1,0)),FALSE),"")</f>
        <v/>
      </c>
      <c r="WWF19" s="28" t="str">
        <f>IFERROR(VLOOKUP(DATE($K$1,$K$2,WWF$4),Table1[],(MATCH(Calendar!$A19,DB!$1:$1,0)),FALSE),"")</f>
        <v/>
      </c>
      <c r="WWG19" s="28" t="str">
        <f>IFERROR(VLOOKUP(DATE($K$1,$K$2,WWG$4),Table1[],(MATCH(Calendar!$A19,DB!$1:$1,0)),FALSE),"")</f>
        <v/>
      </c>
      <c r="WWH19" s="28" t="str">
        <f>IFERROR(VLOOKUP(DATE($K$1,$K$2,WWH$4),Table1[],(MATCH(Calendar!$A19,DB!$1:$1,0)),FALSE),"")</f>
        <v/>
      </c>
      <c r="WWI19" s="28" t="str">
        <f>IFERROR(VLOOKUP(DATE($K$1,$K$2,WWI$4),Table1[],(MATCH(Calendar!$A19,DB!$1:$1,0)),FALSE),"")</f>
        <v/>
      </c>
      <c r="WWJ19" s="28" t="str">
        <f>IFERROR(VLOOKUP(DATE($K$1,$K$2,WWJ$4),Table1[],(MATCH(Calendar!$A19,DB!$1:$1,0)),FALSE),"")</f>
        <v/>
      </c>
      <c r="WWK19" s="28" t="str">
        <f>IFERROR(VLOOKUP(DATE($K$1,$K$2,WWK$4),Table1[],(MATCH(Calendar!$A19,DB!$1:$1,0)),FALSE),"")</f>
        <v/>
      </c>
      <c r="WWL19" s="28" t="str">
        <f>IFERROR(VLOOKUP(DATE($K$1,$K$2,WWL$4),Table1[],(MATCH(Calendar!$A19,DB!$1:$1,0)),FALSE),"")</f>
        <v/>
      </c>
      <c r="WWM19" s="28" t="str">
        <f>IFERROR(VLOOKUP(DATE($K$1,$K$2,WWM$4),Table1[],(MATCH(Calendar!$A19,DB!$1:$1,0)),FALSE),"")</f>
        <v/>
      </c>
      <c r="WWN19" s="28" t="str">
        <f>IFERROR(VLOOKUP(DATE($K$1,$K$2,WWN$4),Table1[],(MATCH(Calendar!$A19,DB!$1:$1,0)),FALSE),"")</f>
        <v/>
      </c>
      <c r="WWO19" s="28" t="str">
        <f>IFERROR(VLOOKUP(DATE($K$1,$K$2,WWO$4),Table1[],(MATCH(Calendar!$A19,DB!$1:$1,0)),FALSE),"")</f>
        <v/>
      </c>
      <c r="WWP19" s="28" t="str">
        <f>IFERROR(VLOOKUP(DATE($K$1,$K$2,WWP$4),Table1[],(MATCH(Calendar!$A19,DB!$1:$1,0)),FALSE),"")</f>
        <v/>
      </c>
      <c r="WWQ19" s="28" t="str">
        <f>IFERROR(VLOOKUP(DATE($K$1,$K$2,WWQ$4),Table1[],(MATCH(Calendar!$A19,DB!$1:$1,0)),FALSE),"")</f>
        <v/>
      </c>
      <c r="WWR19" s="28" t="str">
        <f>IFERROR(VLOOKUP(DATE($K$1,$K$2,WWR$4),Table1[],(MATCH(Calendar!$A19,DB!$1:$1,0)),FALSE),"")</f>
        <v/>
      </c>
      <c r="WWS19" s="28" t="str">
        <f>IFERROR(VLOOKUP(DATE($K$1,$K$2,WWS$4),Table1[],(MATCH(Calendar!$A19,DB!$1:$1,0)),FALSE),"")</f>
        <v/>
      </c>
      <c r="WWT19" s="28" t="str">
        <f>IFERROR(VLOOKUP(DATE($K$1,$K$2,WWT$4),Table1[],(MATCH(Calendar!$A19,DB!$1:$1,0)),FALSE),"")</f>
        <v/>
      </c>
      <c r="WWU19" s="28" t="str">
        <f>IFERROR(VLOOKUP(DATE($K$1,$K$2,WWU$4),Table1[],(MATCH(Calendar!$A19,DB!$1:$1,0)),FALSE),"")</f>
        <v/>
      </c>
      <c r="WWV19" s="28" t="str">
        <f>IFERROR(VLOOKUP(DATE($K$1,$K$2,WWV$4),Table1[],(MATCH(Calendar!$A19,DB!$1:$1,0)),FALSE),"")</f>
        <v/>
      </c>
      <c r="WWW19" s="28" t="str">
        <f>IFERROR(VLOOKUP(DATE($K$1,$K$2,WWW$4),Table1[],(MATCH(Calendar!$A19,DB!$1:$1,0)),FALSE),"")</f>
        <v/>
      </c>
      <c r="WWX19" s="28" t="str">
        <f>IFERROR(VLOOKUP(DATE($K$1,$K$2,WWX$4),Table1[],(MATCH(Calendar!$A19,DB!$1:$1,0)),FALSE),"")</f>
        <v/>
      </c>
      <c r="WWY19" s="28" t="str">
        <f>IFERROR(VLOOKUP(DATE($K$1,$K$2,WWY$4),Table1[],(MATCH(Calendar!$A19,DB!$1:$1,0)),FALSE),"")</f>
        <v/>
      </c>
      <c r="WWZ19" s="28" t="str">
        <f>IFERROR(VLOOKUP(DATE($K$1,$K$2,WWZ$4),Table1[],(MATCH(Calendar!$A19,DB!$1:$1,0)),FALSE),"")</f>
        <v/>
      </c>
      <c r="WXA19" s="28" t="str">
        <f>IFERROR(VLOOKUP(DATE($K$1,$K$2,WXA$4),Table1[],(MATCH(Calendar!$A19,DB!$1:$1,0)),FALSE),"")</f>
        <v/>
      </c>
      <c r="WXB19" s="28" t="str">
        <f>IFERROR(VLOOKUP(DATE($K$1,$K$2,WXB$4),Table1[],(MATCH(Calendar!$A19,DB!$1:$1,0)),FALSE),"")</f>
        <v/>
      </c>
      <c r="WXC19" s="28" t="str">
        <f>IFERROR(VLOOKUP(DATE($K$1,$K$2,WXC$4),Table1[],(MATCH(Calendar!$A19,DB!$1:$1,0)),FALSE),"")</f>
        <v/>
      </c>
      <c r="WXD19" s="28" t="str">
        <f>IFERROR(VLOOKUP(DATE($K$1,$K$2,WXD$4),Table1[],(MATCH(Calendar!$A19,DB!$1:$1,0)),FALSE),"")</f>
        <v/>
      </c>
      <c r="WXE19" s="28" t="str">
        <f>IFERROR(VLOOKUP(DATE($K$1,$K$2,WXE$4),Table1[],(MATCH(Calendar!$A19,DB!$1:$1,0)),FALSE),"")</f>
        <v/>
      </c>
      <c r="WXF19" s="28" t="str">
        <f>IFERROR(VLOOKUP(DATE($K$1,$K$2,WXF$4),Table1[],(MATCH(Calendar!$A19,DB!$1:$1,0)),FALSE),"")</f>
        <v/>
      </c>
      <c r="WXG19" s="28" t="str">
        <f>IFERROR(VLOOKUP(DATE($K$1,$K$2,WXG$4),Table1[],(MATCH(Calendar!$A19,DB!$1:$1,0)),FALSE),"")</f>
        <v/>
      </c>
      <c r="WXH19" s="28" t="str">
        <f>IFERROR(VLOOKUP(DATE($K$1,$K$2,WXH$4),Table1[],(MATCH(Calendar!$A19,DB!$1:$1,0)),FALSE),"")</f>
        <v/>
      </c>
      <c r="WXI19" s="28" t="str">
        <f>IFERROR(VLOOKUP(DATE($K$1,$K$2,WXI$4),Table1[],(MATCH(Calendar!$A19,DB!$1:$1,0)),FALSE),"")</f>
        <v/>
      </c>
      <c r="WXJ19" s="28" t="str">
        <f>IFERROR(VLOOKUP(DATE($K$1,$K$2,WXJ$4),Table1[],(MATCH(Calendar!$A19,DB!$1:$1,0)),FALSE),"")</f>
        <v/>
      </c>
      <c r="WXK19" s="28" t="str">
        <f>IFERROR(VLOOKUP(DATE($K$1,$K$2,WXK$4),Table1[],(MATCH(Calendar!$A19,DB!$1:$1,0)),FALSE),"")</f>
        <v/>
      </c>
      <c r="WXL19" s="28" t="str">
        <f>IFERROR(VLOOKUP(DATE($K$1,$K$2,WXL$4),Table1[],(MATCH(Calendar!$A19,DB!$1:$1,0)),FALSE),"")</f>
        <v/>
      </c>
      <c r="WXM19" s="28" t="str">
        <f>IFERROR(VLOOKUP(DATE($K$1,$K$2,WXM$4),Table1[],(MATCH(Calendar!$A19,DB!$1:$1,0)),FALSE),"")</f>
        <v/>
      </c>
      <c r="WXN19" s="28" t="str">
        <f>IFERROR(VLOOKUP(DATE($K$1,$K$2,WXN$4),Table1[],(MATCH(Calendar!$A19,DB!$1:$1,0)),FALSE),"")</f>
        <v/>
      </c>
      <c r="WXO19" s="28" t="str">
        <f>IFERROR(VLOOKUP(DATE($K$1,$K$2,WXO$4),Table1[],(MATCH(Calendar!$A19,DB!$1:$1,0)),FALSE),"")</f>
        <v/>
      </c>
      <c r="WXP19" s="28" t="str">
        <f>IFERROR(VLOOKUP(DATE($K$1,$K$2,WXP$4),Table1[],(MATCH(Calendar!$A19,DB!$1:$1,0)),FALSE),"")</f>
        <v/>
      </c>
      <c r="WXQ19" s="28" t="str">
        <f>IFERROR(VLOOKUP(DATE($K$1,$K$2,WXQ$4),Table1[],(MATCH(Calendar!$A19,DB!$1:$1,0)),FALSE),"")</f>
        <v/>
      </c>
      <c r="WXR19" s="28" t="str">
        <f>IFERROR(VLOOKUP(DATE($K$1,$K$2,WXR$4),Table1[],(MATCH(Calendar!$A19,DB!$1:$1,0)),FALSE),"")</f>
        <v/>
      </c>
      <c r="WXS19" s="28" t="str">
        <f>IFERROR(VLOOKUP(DATE($K$1,$K$2,WXS$4),Table1[],(MATCH(Calendar!$A19,DB!$1:$1,0)),FALSE),"")</f>
        <v/>
      </c>
      <c r="WXT19" s="28" t="str">
        <f>IFERROR(VLOOKUP(DATE($K$1,$K$2,WXT$4),Table1[],(MATCH(Calendar!$A19,DB!$1:$1,0)),FALSE),"")</f>
        <v/>
      </c>
      <c r="WXU19" s="28" t="str">
        <f>IFERROR(VLOOKUP(DATE($K$1,$K$2,WXU$4),Table1[],(MATCH(Calendar!$A19,DB!$1:$1,0)),FALSE),"")</f>
        <v/>
      </c>
      <c r="WXV19" s="28" t="str">
        <f>IFERROR(VLOOKUP(DATE($K$1,$K$2,WXV$4),Table1[],(MATCH(Calendar!$A19,DB!$1:$1,0)),FALSE),"")</f>
        <v/>
      </c>
      <c r="WXW19" s="28" t="str">
        <f>IFERROR(VLOOKUP(DATE($K$1,$K$2,WXW$4),Table1[],(MATCH(Calendar!$A19,DB!$1:$1,0)),FALSE),"")</f>
        <v/>
      </c>
      <c r="WXX19" s="28" t="str">
        <f>IFERROR(VLOOKUP(DATE($K$1,$K$2,WXX$4),Table1[],(MATCH(Calendar!$A19,DB!$1:$1,0)),FALSE),"")</f>
        <v/>
      </c>
      <c r="WXY19" s="28" t="str">
        <f>IFERROR(VLOOKUP(DATE($K$1,$K$2,WXY$4),Table1[],(MATCH(Calendar!$A19,DB!$1:$1,0)),FALSE),"")</f>
        <v/>
      </c>
      <c r="WXZ19" s="28" t="str">
        <f>IFERROR(VLOOKUP(DATE($K$1,$K$2,WXZ$4),Table1[],(MATCH(Calendar!$A19,DB!$1:$1,0)),FALSE),"")</f>
        <v/>
      </c>
      <c r="WYA19" s="28" t="str">
        <f>IFERROR(VLOOKUP(DATE($K$1,$K$2,WYA$4),Table1[],(MATCH(Calendar!$A19,DB!$1:$1,0)),FALSE),"")</f>
        <v/>
      </c>
      <c r="WYB19" s="28" t="str">
        <f>IFERROR(VLOOKUP(DATE($K$1,$K$2,WYB$4),Table1[],(MATCH(Calendar!$A19,DB!$1:$1,0)),FALSE),"")</f>
        <v/>
      </c>
      <c r="WYC19" s="28" t="str">
        <f>IFERROR(VLOOKUP(DATE($K$1,$K$2,WYC$4),Table1[],(MATCH(Calendar!$A19,DB!$1:$1,0)),FALSE),"")</f>
        <v/>
      </c>
      <c r="WYD19" s="28" t="str">
        <f>IFERROR(VLOOKUP(DATE($K$1,$K$2,WYD$4),Table1[],(MATCH(Calendar!$A19,DB!$1:$1,0)),FALSE),"")</f>
        <v/>
      </c>
      <c r="WYE19" s="28" t="str">
        <f>IFERROR(VLOOKUP(DATE($K$1,$K$2,WYE$4),Table1[],(MATCH(Calendar!$A19,DB!$1:$1,0)),FALSE),"")</f>
        <v/>
      </c>
      <c r="WYF19" s="28" t="str">
        <f>IFERROR(VLOOKUP(DATE($K$1,$K$2,WYF$4),Table1[],(MATCH(Calendar!$A19,DB!$1:$1,0)),FALSE),"")</f>
        <v/>
      </c>
      <c r="WYG19" s="28" t="str">
        <f>IFERROR(VLOOKUP(DATE($K$1,$K$2,WYG$4),Table1[],(MATCH(Calendar!$A19,DB!$1:$1,0)),FALSE),"")</f>
        <v/>
      </c>
      <c r="WYH19" s="28" t="str">
        <f>IFERROR(VLOOKUP(DATE($K$1,$K$2,WYH$4),Table1[],(MATCH(Calendar!$A19,DB!$1:$1,0)),FALSE),"")</f>
        <v/>
      </c>
      <c r="WYI19" s="28" t="str">
        <f>IFERROR(VLOOKUP(DATE($K$1,$K$2,WYI$4),Table1[],(MATCH(Calendar!$A19,DB!$1:$1,0)),FALSE),"")</f>
        <v/>
      </c>
      <c r="WYJ19" s="28" t="str">
        <f>IFERROR(VLOOKUP(DATE($K$1,$K$2,WYJ$4),Table1[],(MATCH(Calendar!$A19,DB!$1:$1,0)),FALSE),"")</f>
        <v/>
      </c>
      <c r="WYK19" s="28" t="str">
        <f>IFERROR(VLOOKUP(DATE($K$1,$K$2,WYK$4),Table1[],(MATCH(Calendar!$A19,DB!$1:$1,0)),FALSE),"")</f>
        <v/>
      </c>
      <c r="WYL19" s="28" t="str">
        <f>IFERROR(VLOOKUP(DATE($K$1,$K$2,WYL$4),Table1[],(MATCH(Calendar!$A19,DB!$1:$1,0)),FALSE),"")</f>
        <v/>
      </c>
      <c r="WYM19" s="28" t="str">
        <f>IFERROR(VLOOKUP(DATE($K$1,$K$2,WYM$4),Table1[],(MATCH(Calendar!$A19,DB!$1:$1,0)),FALSE),"")</f>
        <v/>
      </c>
      <c r="WYN19" s="28" t="str">
        <f>IFERROR(VLOOKUP(DATE($K$1,$K$2,WYN$4),Table1[],(MATCH(Calendar!$A19,DB!$1:$1,0)),FALSE),"")</f>
        <v/>
      </c>
      <c r="WYO19" s="28" t="str">
        <f>IFERROR(VLOOKUP(DATE($K$1,$K$2,WYO$4),Table1[],(MATCH(Calendar!$A19,DB!$1:$1,0)),FALSE),"")</f>
        <v/>
      </c>
      <c r="WYP19" s="28" t="str">
        <f>IFERROR(VLOOKUP(DATE($K$1,$K$2,WYP$4),Table1[],(MATCH(Calendar!$A19,DB!$1:$1,0)),FALSE),"")</f>
        <v/>
      </c>
      <c r="WYQ19" s="28" t="str">
        <f>IFERROR(VLOOKUP(DATE($K$1,$K$2,WYQ$4),Table1[],(MATCH(Calendar!$A19,DB!$1:$1,0)),FALSE),"")</f>
        <v/>
      </c>
      <c r="WYR19" s="28" t="str">
        <f>IFERROR(VLOOKUP(DATE($K$1,$K$2,WYR$4),Table1[],(MATCH(Calendar!$A19,DB!$1:$1,0)),FALSE),"")</f>
        <v/>
      </c>
      <c r="WYS19" s="28" t="str">
        <f>IFERROR(VLOOKUP(DATE($K$1,$K$2,WYS$4),Table1[],(MATCH(Calendar!$A19,DB!$1:$1,0)),FALSE),"")</f>
        <v/>
      </c>
      <c r="WYT19" s="28" t="str">
        <f>IFERROR(VLOOKUP(DATE($K$1,$K$2,WYT$4),Table1[],(MATCH(Calendar!$A19,DB!$1:$1,0)),FALSE),"")</f>
        <v/>
      </c>
      <c r="WYU19" s="28" t="str">
        <f>IFERROR(VLOOKUP(DATE($K$1,$K$2,WYU$4),Table1[],(MATCH(Calendar!$A19,DB!$1:$1,0)),FALSE),"")</f>
        <v/>
      </c>
      <c r="WYV19" s="28" t="str">
        <f>IFERROR(VLOOKUP(DATE($K$1,$K$2,WYV$4),Table1[],(MATCH(Calendar!$A19,DB!$1:$1,0)),FALSE),"")</f>
        <v/>
      </c>
      <c r="WYW19" s="28" t="str">
        <f>IFERROR(VLOOKUP(DATE($K$1,$K$2,WYW$4),Table1[],(MATCH(Calendar!$A19,DB!$1:$1,0)),FALSE),"")</f>
        <v/>
      </c>
      <c r="WYX19" s="28" t="str">
        <f>IFERROR(VLOOKUP(DATE($K$1,$K$2,WYX$4),Table1[],(MATCH(Calendar!$A19,DB!$1:$1,0)),FALSE),"")</f>
        <v/>
      </c>
      <c r="WYY19" s="28" t="str">
        <f>IFERROR(VLOOKUP(DATE($K$1,$K$2,WYY$4),Table1[],(MATCH(Calendar!$A19,DB!$1:$1,0)),FALSE),"")</f>
        <v/>
      </c>
      <c r="WYZ19" s="28" t="str">
        <f>IFERROR(VLOOKUP(DATE($K$1,$K$2,WYZ$4),Table1[],(MATCH(Calendar!$A19,DB!$1:$1,0)),FALSE),"")</f>
        <v/>
      </c>
      <c r="WZA19" s="28" t="str">
        <f>IFERROR(VLOOKUP(DATE($K$1,$K$2,WZA$4),Table1[],(MATCH(Calendar!$A19,DB!$1:$1,0)),FALSE),"")</f>
        <v/>
      </c>
      <c r="WZB19" s="28" t="str">
        <f>IFERROR(VLOOKUP(DATE($K$1,$K$2,WZB$4),Table1[],(MATCH(Calendar!$A19,DB!$1:$1,0)),FALSE),"")</f>
        <v/>
      </c>
      <c r="WZC19" s="28" t="str">
        <f>IFERROR(VLOOKUP(DATE($K$1,$K$2,WZC$4),Table1[],(MATCH(Calendar!$A19,DB!$1:$1,0)),FALSE),"")</f>
        <v/>
      </c>
      <c r="WZD19" s="28" t="str">
        <f>IFERROR(VLOOKUP(DATE($K$1,$K$2,WZD$4),Table1[],(MATCH(Calendar!$A19,DB!$1:$1,0)),FALSE),"")</f>
        <v/>
      </c>
      <c r="WZE19" s="28" t="str">
        <f>IFERROR(VLOOKUP(DATE($K$1,$K$2,WZE$4),Table1[],(MATCH(Calendar!$A19,DB!$1:$1,0)),FALSE),"")</f>
        <v/>
      </c>
      <c r="WZF19" s="28" t="str">
        <f>IFERROR(VLOOKUP(DATE($K$1,$K$2,WZF$4),Table1[],(MATCH(Calendar!$A19,DB!$1:$1,0)),FALSE),"")</f>
        <v/>
      </c>
      <c r="WZG19" s="28" t="str">
        <f>IFERROR(VLOOKUP(DATE($K$1,$K$2,WZG$4),Table1[],(MATCH(Calendar!$A19,DB!$1:$1,0)),FALSE),"")</f>
        <v/>
      </c>
      <c r="WZH19" s="28" t="str">
        <f>IFERROR(VLOOKUP(DATE($K$1,$K$2,WZH$4),Table1[],(MATCH(Calendar!$A19,DB!$1:$1,0)),FALSE),"")</f>
        <v/>
      </c>
      <c r="WZI19" s="28" t="str">
        <f>IFERROR(VLOOKUP(DATE($K$1,$K$2,WZI$4),Table1[],(MATCH(Calendar!$A19,DB!$1:$1,0)),FALSE),"")</f>
        <v/>
      </c>
      <c r="WZJ19" s="28" t="str">
        <f>IFERROR(VLOOKUP(DATE($K$1,$K$2,WZJ$4),Table1[],(MATCH(Calendar!$A19,DB!$1:$1,0)),FALSE),"")</f>
        <v/>
      </c>
      <c r="WZK19" s="28" t="str">
        <f>IFERROR(VLOOKUP(DATE($K$1,$K$2,WZK$4),Table1[],(MATCH(Calendar!$A19,DB!$1:$1,0)),FALSE),"")</f>
        <v/>
      </c>
      <c r="WZL19" s="28" t="str">
        <f>IFERROR(VLOOKUP(DATE($K$1,$K$2,WZL$4),Table1[],(MATCH(Calendar!$A19,DB!$1:$1,0)),FALSE),"")</f>
        <v/>
      </c>
      <c r="WZM19" s="28" t="str">
        <f>IFERROR(VLOOKUP(DATE($K$1,$K$2,WZM$4),Table1[],(MATCH(Calendar!$A19,DB!$1:$1,0)),FALSE),"")</f>
        <v/>
      </c>
      <c r="WZN19" s="28" t="str">
        <f>IFERROR(VLOOKUP(DATE($K$1,$K$2,WZN$4),Table1[],(MATCH(Calendar!$A19,DB!$1:$1,0)),FALSE),"")</f>
        <v/>
      </c>
      <c r="WZO19" s="28" t="str">
        <f>IFERROR(VLOOKUP(DATE($K$1,$K$2,WZO$4),Table1[],(MATCH(Calendar!$A19,DB!$1:$1,0)),FALSE),"")</f>
        <v/>
      </c>
      <c r="WZP19" s="28" t="str">
        <f>IFERROR(VLOOKUP(DATE($K$1,$K$2,WZP$4),Table1[],(MATCH(Calendar!$A19,DB!$1:$1,0)),FALSE),"")</f>
        <v/>
      </c>
      <c r="WZQ19" s="28" t="str">
        <f>IFERROR(VLOOKUP(DATE($K$1,$K$2,WZQ$4),Table1[],(MATCH(Calendar!$A19,DB!$1:$1,0)),FALSE),"")</f>
        <v/>
      </c>
      <c r="WZR19" s="28" t="str">
        <f>IFERROR(VLOOKUP(DATE($K$1,$K$2,WZR$4),Table1[],(MATCH(Calendar!$A19,DB!$1:$1,0)),FALSE),"")</f>
        <v/>
      </c>
      <c r="WZS19" s="28" t="str">
        <f>IFERROR(VLOOKUP(DATE($K$1,$K$2,WZS$4),Table1[],(MATCH(Calendar!$A19,DB!$1:$1,0)),FALSE),"")</f>
        <v/>
      </c>
      <c r="WZT19" s="28" t="str">
        <f>IFERROR(VLOOKUP(DATE($K$1,$K$2,WZT$4),Table1[],(MATCH(Calendar!$A19,DB!$1:$1,0)),FALSE),"")</f>
        <v/>
      </c>
      <c r="WZU19" s="28" t="str">
        <f>IFERROR(VLOOKUP(DATE($K$1,$K$2,WZU$4),Table1[],(MATCH(Calendar!$A19,DB!$1:$1,0)),FALSE),"")</f>
        <v/>
      </c>
      <c r="WZV19" s="28" t="str">
        <f>IFERROR(VLOOKUP(DATE($K$1,$K$2,WZV$4),Table1[],(MATCH(Calendar!$A19,DB!$1:$1,0)),FALSE),"")</f>
        <v/>
      </c>
      <c r="WZW19" s="28" t="str">
        <f>IFERROR(VLOOKUP(DATE($K$1,$K$2,WZW$4),Table1[],(MATCH(Calendar!$A19,DB!$1:$1,0)),FALSE),"")</f>
        <v/>
      </c>
      <c r="WZX19" s="28" t="str">
        <f>IFERROR(VLOOKUP(DATE($K$1,$K$2,WZX$4),Table1[],(MATCH(Calendar!$A19,DB!$1:$1,0)),FALSE),"")</f>
        <v/>
      </c>
      <c r="WZY19" s="28" t="str">
        <f>IFERROR(VLOOKUP(DATE($K$1,$K$2,WZY$4),Table1[],(MATCH(Calendar!$A19,DB!$1:$1,0)),FALSE),"")</f>
        <v/>
      </c>
      <c r="WZZ19" s="28" t="str">
        <f>IFERROR(VLOOKUP(DATE($K$1,$K$2,WZZ$4),Table1[],(MATCH(Calendar!$A19,DB!$1:$1,0)),FALSE),"")</f>
        <v/>
      </c>
      <c r="XAA19" s="28" t="str">
        <f>IFERROR(VLOOKUP(DATE($K$1,$K$2,XAA$4),Table1[],(MATCH(Calendar!$A19,DB!$1:$1,0)),FALSE),"")</f>
        <v/>
      </c>
      <c r="XAB19" s="28" t="str">
        <f>IFERROR(VLOOKUP(DATE($K$1,$K$2,XAB$4),Table1[],(MATCH(Calendar!$A19,DB!$1:$1,0)),FALSE),"")</f>
        <v/>
      </c>
      <c r="XAC19" s="28" t="str">
        <f>IFERROR(VLOOKUP(DATE($K$1,$K$2,XAC$4),Table1[],(MATCH(Calendar!$A19,DB!$1:$1,0)),FALSE),"")</f>
        <v/>
      </c>
      <c r="XAD19" s="28" t="str">
        <f>IFERROR(VLOOKUP(DATE($K$1,$K$2,XAD$4),Table1[],(MATCH(Calendar!$A19,DB!$1:$1,0)),FALSE),"")</f>
        <v/>
      </c>
      <c r="XAE19" s="28" t="str">
        <f>IFERROR(VLOOKUP(DATE($K$1,$K$2,XAE$4),Table1[],(MATCH(Calendar!$A19,DB!$1:$1,0)),FALSE),"")</f>
        <v/>
      </c>
      <c r="XAF19" s="28" t="str">
        <f>IFERROR(VLOOKUP(DATE($K$1,$K$2,XAF$4),Table1[],(MATCH(Calendar!$A19,DB!$1:$1,0)),FALSE),"")</f>
        <v/>
      </c>
      <c r="XAG19" s="28" t="str">
        <f>IFERROR(VLOOKUP(DATE($K$1,$K$2,XAG$4),Table1[],(MATCH(Calendar!$A19,DB!$1:$1,0)),FALSE),"")</f>
        <v/>
      </c>
      <c r="XAH19" s="28" t="str">
        <f>IFERROR(VLOOKUP(DATE($K$1,$K$2,XAH$4),Table1[],(MATCH(Calendar!$A19,DB!$1:$1,0)),FALSE),"")</f>
        <v/>
      </c>
      <c r="XAI19" s="28" t="str">
        <f>IFERROR(VLOOKUP(DATE($K$1,$K$2,XAI$4),Table1[],(MATCH(Calendar!$A19,DB!$1:$1,0)),FALSE),"")</f>
        <v/>
      </c>
      <c r="XAJ19" s="28" t="str">
        <f>IFERROR(VLOOKUP(DATE($K$1,$K$2,XAJ$4),Table1[],(MATCH(Calendar!$A19,DB!$1:$1,0)),FALSE),"")</f>
        <v/>
      </c>
      <c r="XAK19" s="28" t="str">
        <f>IFERROR(VLOOKUP(DATE($K$1,$K$2,XAK$4),Table1[],(MATCH(Calendar!$A19,DB!$1:$1,0)),FALSE),"")</f>
        <v/>
      </c>
      <c r="XAL19" s="28" t="str">
        <f>IFERROR(VLOOKUP(DATE($K$1,$K$2,XAL$4),Table1[],(MATCH(Calendar!$A19,DB!$1:$1,0)),FALSE),"")</f>
        <v/>
      </c>
      <c r="XAM19" s="28" t="str">
        <f>IFERROR(VLOOKUP(DATE($K$1,$K$2,XAM$4),Table1[],(MATCH(Calendar!$A19,DB!$1:$1,0)),FALSE),"")</f>
        <v/>
      </c>
      <c r="XAN19" s="28" t="str">
        <f>IFERROR(VLOOKUP(DATE($K$1,$K$2,XAN$4),Table1[],(MATCH(Calendar!$A19,DB!$1:$1,0)),FALSE),"")</f>
        <v/>
      </c>
      <c r="XAO19" s="28" t="str">
        <f>IFERROR(VLOOKUP(DATE($K$1,$K$2,XAO$4),Table1[],(MATCH(Calendar!$A19,DB!$1:$1,0)),FALSE),"")</f>
        <v/>
      </c>
      <c r="XAP19" s="28" t="str">
        <f>IFERROR(VLOOKUP(DATE($K$1,$K$2,XAP$4),Table1[],(MATCH(Calendar!$A19,DB!$1:$1,0)),FALSE),"")</f>
        <v/>
      </c>
      <c r="XAQ19" s="28" t="str">
        <f>IFERROR(VLOOKUP(DATE($K$1,$K$2,XAQ$4),Table1[],(MATCH(Calendar!$A19,DB!$1:$1,0)),FALSE),"")</f>
        <v/>
      </c>
      <c r="XAR19" s="28" t="str">
        <f>IFERROR(VLOOKUP(DATE($K$1,$K$2,XAR$4),Table1[],(MATCH(Calendar!$A19,DB!$1:$1,0)),FALSE),"")</f>
        <v/>
      </c>
      <c r="XAS19" s="28" t="str">
        <f>IFERROR(VLOOKUP(DATE($K$1,$K$2,XAS$4),Table1[],(MATCH(Calendar!$A19,DB!$1:$1,0)),FALSE),"")</f>
        <v/>
      </c>
      <c r="XAT19" s="28" t="str">
        <f>IFERROR(VLOOKUP(DATE($K$1,$K$2,XAT$4),Table1[],(MATCH(Calendar!$A19,DB!$1:$1,0)),FALSE),"")</f>
        <v/>
      </c>
      <c r="XAU19" s="28" t="str">
        <f>IFERROR(VLOOKUP(DATE($K$1,$K$2,XAU$4),Table1[],(MATCH(Calendar!$A19,DB!$1:$1,0)),FALSE),"")</f>
        <v/>
      </c>
      <c r="XAV19" s="28" t="str">
        <f>IFERROR(VLOOKUP(DATE($K$1,$K$2,XAV$4),Table1[],(MATCH(Calendar!$A19,DB!$1:$1,0)),FALSE),"")</f>
        <v/>
      </c>
      <c r="XAW19" s="28" t="str">
        <f>IFERROR(VLOOKUP(DATE($K$1,$K$2,XAW$4),Table1[],(MATCH(Calendar!$A19,DB!$1:$1,0)),FALSE),"")</f>
        <v/>
      </c>
      <c r="XAX19" s="28" t="str">
        <f>IFERROR(VLOOKUP(DATE($K$1,$K$2,XAX$4),Table1[],(MATCH(Calendar!$A19,DB!$1:$1,0)),FALSE),"")</f>
        <v/>
      </c>
      <c r="XAY19" s="28" t="str">
        <f>IFERROR(VLOOKUP(DATE($K$1,$K$2,XAY$4),Table1[],(MATCH(Calendar!$A19,DB!$1:$1,0)),FALSE),"")</f>
        <v/>
      </c>
      <c r="XAZ19" s="28" t="str">
        <f>IFERROR(VLOOKUP(DATE($K$1,$K$2,XAZ$4),Table1[],(MATCH(Calendar!$A19,DB!$1:$1,0)),FALSE),"")</f>
        <v/>
      </c>
      <c r="XBA19" s="28" t="str">
        <f>IFERROR(VLOOKUP(DATE($K$1,$K$2,XBA$4),Table1[],(MATCH(Calendar!$A19,DB!$1:$1,0)),FALSE),"")</f>
        <v/>
      </c>
      <c r="XBB19" s="28" t="str">
        <f>IFERROR(VLOOKUP(DATE($K$1,$K$2,XBB$4),Table1[],(MATCH(Calendar!$A19,DB!$1:$1,0)),FALSE),"")</f>
        <v/>
      </c>
      <c r="XBC19" s="28" t="str">
        <f>IFERROR(VLOOKUP(DATE($K$1,$K$2,XBC$4),Table1[],(MATCH(Calendar!$A19,DB!$1:$1,0)),FALSE),"")</f>
        <v/>
      </c>
      <c r="XBD19" s="28" t="str">
        <f>IFERROR(VLOOKUP(DATE($K$1,$K$2,XBD$4),Table1[],(MATCH(Calendar!$A19,DB!$1:$1,0)),FALSE),"")</f>
        <v/>
      </c>
      <c r="XBE19" s="28" t="str">
        <f>IFERROR(VLOOKUP(DATE($K$1,$K$2,XBE$4),Table1[],(MATCH(Calendar!$A19,DB!$1:$1,0)),FALSE),"")</f>
        <v/>
      </c>
      <c r="XBF19" s="28" t="str">
        <f>IFERROR(VLOOKUP(DATE($K$1,$K$2,XBF$4),Table1[],(MATCH(Calendar!$A19,DB!$1:$1,0)),FALSE),"")</f>
        <v/>
      </c>
      <c r="XBG19" s="28" t="str">
        <f>IFERROR(VLOOKUP(DATE($K$1,$K$2,XBG$4),Table1[],(MATCH(Calendar!$A19,DB!$1:$1,0)),FALSE),"")</f>
        <v/>
      </c>
      <c r="XBH19" s="28" t="str">
        <f>IFERROR(VLOOKUP(DATE($K$1,$K$2,XBH$4),Table1[],(MATCH(Calendar!$A19,DB!$1:$1,0)),FALSE),"")</f>
        <v/>
      </c>
      <c r="XBI19" s="28" t="str">
        <f>IFERROR(VLOOKUP(DATE($K$1,$K$2,XBI$4),Table1[],(MATCH(Calendar!$A19,DB!$1:$1,0)),FALSE),"")</f>
        <v/>
      </c>
      <c r="XBJ19" s="28" t="str">
        <f>IFERROR(VLOOKUP(DATE($K$1,$K$2,XBJ$4),Table1[],(MATCH(Calendar!$A19,DB!$1:$1,0)),FALSE),"")</f>
        <v/>
      </c>
      <c r="XBK19" s="28" t="str">
        <f>IFERROR(VLOOKUP(DATE($K$1,$K$2,XBK$4),Table1[],(MATCH(Calendar!$A19,DB!$1:$1,0)),FALSE),"")</f>
        <v/>
      </c>
      <c r="XBL19" s="28" t="str">
        <f>IFERROR(VLOOKUP(DATE($K$1,$K$2,XBL$4),Table1[],(MATCH(Calendar!$A19,DB!$1:$1,0)),FALSE),"")</f>
        <v/>
      </c>
      <c r="XBM19" s="28" t="str">
        <f>IFERROR(VLOOKUP(DATE($K$1,$K$2,XBM$4),Table1[],(MATCH(Calendar!$A19,DB!$1:$1,0)),FALSE),"")</f>
        <v/>
      </c>
      <c r="XBN19" s="28" t="str">
        <f>IFERROR(VLOOKUP(DATE($K$1,$K$2,XBN$4),Table1[],(MATCH(Calendar!$A19,DB!$1:$1,0)),FALSE),"")</f>
        <v/>
      </c>
      <c r="XBO19" s="28" t="str">
        <f>IFERROR(VLOOKUP(DATE($K$1,$K$2,XBO$4),Table1[],(MATCH(Calendar!$A19,DB!$1:$1,0)),FALSE),"")</f>
        <v/>
      </c>
      <c r="XBP19" s="28" t="str">
        <f>IFERROR(VLOOKUP(DATE($K$1,$K$2,XBP$4),Table1[],(MATCH(Calendar!$A19,DB!$1:$1,0)),FALSE),"")</f>
        <v/>
      </c>
      <c r="XBQ19" s="28" t="str">
        <f>IFERROR(VLOOKUP(DATE($K$1,$K$2,XBQ$4),Table1[],(MATCH(Calendar!$A19,DB!$1:$1,0)),FALSE),"")</f>
        <v/>
      </c>
      <c r="XBR19" s="28" t="str">
        <f>IFERROR(VLOOKUP(DATE($K$1,$K$2,XBR$4),Table1[],(MATCH(Calendar!$A19,DB!$1:$1,0)),FALSE),"")</f>
        <v/>
      </c>
      <c r="XBS19" s="28" t="str">
        <f>IFERROR(VLOOKUP(DATE($K$1,$K$2,XBS$4),Table1[],(MATCH(Calendar!$A19,DB!$1:$1,0)),FALSE),"")</f>
        <v/>
      </c>
      <c r="XBT19" s="28" t="str">
        <f>IFERROR(VLOOKUP(DATE($K$1,$K$2,XBT$4),Table1[],(MATCH(Calendar!$A19,DB!$1:$1,0)),FALSE),"")</f>
        <v/>
      </c>
      <c r="XBU19" s="28" t="str">
        <f>IFERROR(VLOOKUP(DATE($K$1,$K$2,XBU$4),Table1[],(MATCH(Calendar!$A19,DB!$1:$1,0)),FALSE),"")</f>
        <v/>
      </c>
      <c r="XBV19" s="28" t="str">
        <f>IFERROR(VLOOKUP(DATE($K$1,$K$2,XBV$4),Table1[],(MATCH(Calendar!$A19,DB!$1:$1,0)),FALSE),"")</f>
        <v/>
      </c>
      <c r="XBW19" s="28" t="str">
        <f>IFERROR(VLOOKUP(DATE($K$1,$K$2,XBW$4),Table1[],(MATCH(Calendar!$A19,DB!$1:$1,0)),FALSE),"")</f>
        <v/>
      </c>
      <c r="XBX19" s="28" t="str">
        <f>IFERROR(VLOOKUP(DATE($K$1,$K$2,XBX$4),Table1[],(MATCH(Calendar!$A19,DB!$1:$1,0)),FALSE),"")</f>
        <v/>
      </c>
      <c r="XBY19" s="28" t="str">
        <f>IFERROR(VLOOKUP(DATE($K$1,$K$2,XBY$4),Table1[],(MATCH(Calendar!$A19,DB!$1:$1,0)),FALSE),"")</f>
        <v/>
      </c>
      <c r="XBZ19" s="28" t="str">
        <f>IFERROR(VLOOKUP(DATE($K$1,$K$2,XBZ$4),Table1[],(MATCH(Calendar!$A19,DB!$1:$1,0)),FALSE),"")</f>
        <v/>
      </c>
      <c r="XCA19" s="28" t="str">
        <f>IFERROR(VLOOKUP(DATE($K$1,$K$2,XCA$4),Table1[],(MATCH(Calendar!$A19,DB!$1:$1,0)),FALSE),"")</f>
        <v/>
      </c>
      <c r="XCB19" s="28" t="str">
        <f>IFERROR(VLOOKUP(DATE($K$1,$K$2,XCB$4),Table1[],(MATCH(Calendar!$A19,DB!$1:$1,0)),FALSE),"")</f>
        <v/>
      </c>
      <c r="XCC19" s="28" t="str">
        <f>IFERROR(VLOOKUP(DATE($K$1,$K$2,XCC$4),Table1[],(MATCH(Calendar!$A19,DB!$1:$1,0)),FALSE),"")</f>
        <v/>
      </c>
      <c r="XCD19" s="28" t="str">
        <f>IFERROR(VLOOKUP(DATE($K$1,$K$2,XCD$4),Table1[],(MATCH(Calendar!$A19,DB!$1:$1,0)),FALSE),"")</f>
        <v/>
      </c>
      <c r="XCE19" s="28" t="str">
        <f>IFERROR(VLOOKUP(DATE($K$1,$K$2,XCE$4),Table1[],(MATCH(Calendar!$A19,DB!$1:$1,0)),FALSE),"")</f>
        <v/>
      </c>
      <c r="XCF19" s="28" t="str">
        <f>IFERROR(VLOOKUP(DATE($K$1,$K$2,XCF$4),Table1[],(MATCH(Calendar!$A19,DB!$1:$1,0)),FALSE),"")</f>
        <v/>
      </c>
      <c r="XCG19" s="28" t="str">
        <f>IFERROR(VLOOKUP(DATE($K$1,$K$2,XCG$4),Table1[],(MATCH(Calendar!$A19,DB!$1:$1,0)),FALSE),"")</f>
        <v/>
      </c>
      <c r="XCH19" s="28" t="str">
        <f>IFERROR(VLOOKUP(DATE($K$1,$K$2,XCH$4),Table1[],(MATCH(Calendar!$A19,DB!$1:$1,0)),FALSE),"")</f>
        <v/>
      </c>
      <c r="XCI19" s="28" t="str">
        <f>IFERROR(VLOOKUP(DATE($K$1,$K$2,XCI$4),Table1[],(MATCH(Calendar!$A19,DB!$1:$1,0)),FALSE),"")</f>
        <v/>
      </c>
      <c r="XCJ19" s="28" t="str">
        <f>IFERROR(VLOOKUP(DATE($K$1,$K$2,XCJ$4),Table1[],(MATCH(Calendar!$A19,DB!$1:$1,0)),FALSE),"")</f>
        <v/>
      </c>
      <c r="XCK19" s="28" t="str">
        <f>IFERROR(VLOOKUP(DATE($K$1,$K$2,XCK$4),Table1[],(MATCH(Calendar!$A19,DB!$1:$1,0)),FALSE),"")</f>
        <v/>
      </c>
      <c r="XCL19" s="28" t="str">
        <f>IFERROR(VLOOKUP(DATE($K$1,$K$2,XCL$4),Table1[],(MATCH(Calendar!$A19,DB!$1:$1,0)),FALSE),"")</f>
        <v/>
      </c>
      <c r="XCM19" s="28" t="str">
        <f>IFERROR(VLOOKUP(DATE($K$1,$K$2,XCM$4),Table1[],(MATCH(Calendar!$A19,DB!$1:$1,0)),FALSE),"")</f>
        <v/>
      </c>
      <c r="XCN19" s="28" t="str">
        <f>IFERROR(VLOOKUP(DATE($K$1,$K$2,XCN$4),Table1[],(MATCH(Calendar!$A19,DB!$1:$1,0)),FALSE),"")</f>
        <v/>
      </c>
      <c r="XCO19" s="28" t="str">
        <f>IFERROR(VLOOKUP(DATE($K$1,$K$2,XCO$4),Table1[],(MATCH(Calendar!$A19,DB!$1:$1,0)),FALSE),"")</f>
        <v/>
      </c>
      <c r="XCP19" s="28" t="str">
        <f>IFERROR(VLOOKUP(DATE($K$1,$K$2,XCP$4),Table1[],(MATCH(Calendar!$A19,DB!$1:$1,0)),FALSE),"")</f>
        <v/>
      </c>
      <c r="XCQ19" s="28" t="str">
        <f>IFERROR(VLOOKUP(DATE($K$1,$K$2,XCQ$4),Table1[],(MATCH(Calendar!$A19,DB!$1:$1,0)),FALSE),"")</f>
        <v/>
      </c>
      <c r="XCR19" s="28" t="str">
        <f>IFERROR(VLOOKUP(DATE($K$1,$K$2,XCR$4),Table1[],(MATCH(Calendar!$A19,DB!$1:$1,0)),FALSE),"")</f>
        <v/>
      </c>
      <c r="XCS19" s="28" t="str">
        <f>IFERROR(VLOOKUP(DATE($K$1,$K$2,XCS$4),Table1[],(MATCH(Calendar!$A19,DB!$1:$1,0)),FALSE),"")</f>
        <v/>
      </c>
      <c r="XCT19" s="28" t="str">
        <f>IFERROR(VLOOKUP(DATE($K$1,$K$2,XCT$4),Table1[],(MATCH(Calendar!$A19,DB!$1:$1,0)),FALSE),"")</f>
        <v/>
      </c>
      <c r="XCU19" s="28" t="str">
        <f>IFERROR(VLOOKUP(DATE($K$1,$K$2,XCU$4),Table1[],(MATCH(Calendar!$A19,DB!$1:$1,0)),FALSE),"")</f>
        <v/>
      </c>
      <c r="XCV19" s="28" t="str">
        <f>IFERROR(VLOOKUP(DATE($K$1,$K$2,XCV$4),Table1[],(MATCH(Calendar!$A19,DB!$1:$1,0)),FALSE),"")</f>
        <v/>
      </c>
      <c r="XCW19" s="28" t="str">
        <f>IFERROR(VLOOKUP(DATE($K$1,$K$2,XCW$4),Table1[],(MATCH(Calendar!$A19,DB!$1:$1,0)),FALSE),"")</f>
        <v/>
      </c>
      <c r="XCX19" s="28" t="str">
        <f>IFERROR(VLOOKUP(DATE($K$1,$K$2,XCX$4),Table1[],(MATCH(Calendar!$A19,DB!$1:$1,0)),FALSE),"")</f>
        <v/>
      </c>
      <c r="XCY19" s="28" t="str">
        <f>IFERROR(VLOOKUP(DATE($K$1,$K$2,XCY$4),Table1[],(MATCH(Calendar!$A19,DB!$1:$1,0)),FALSE),"")</f>
        <v/>
      </c>
      <c r="XCZ19" s="28" t="str">
        <f>IFERROR(VLOOKUP(DATE($K$1,$K$2,XCZ$4),Table1[],(MATCH(Calendar!$A19,DB!$1:$1,0)),FALSE),"")</f>
        <v/>
      </c>
      <c r="XDA19" s="28" t="str">
        <f>IFERROR(VLOOKUP(DATE($K$1,$K$2,XDA$4),Table1[],(MATCH(Calendar!$A19,DB!$1:$1,0)),FALSE),"")</f>
        <v/>
      </c>
      <c r="XDB19" s="28" t="str">
        <f>IFERROR(VLOOKUP(DATE($K$1,$K$2,XDB$4),Table1[],(MATCH(Calendar!$A19,DB!$1:$1,0)),FALSE),"")</f>
        <v/>
      </c>
      <c r="XDC19" s="28" t="str">
        <f>IFERROR(VLOOKUP(DATE($K$1,$K$2,XDC$4),Table1[],(MATCH(Calendar!$A19,DB!$1:$1,0)),FALSE),"")</f>
        <v/>
      </c>
      <c r="XDD19" s="28" t="str">
        <f>IFERROR(VLOOKUP(DATE($K$1,$K$2,XDD$4),Table1[],(MATCH(Calendar!$A19,DB!$1:$1,0)),FALSE),"")</f>
        <v/>
      </c>
      <c r="XDE19" s="28" t="str">
        <f>IFERROR(VLOOKUP(DATE($K$1,$K$2,XDE$4),Table1[],(MATCH(Calendar!$A19,DB!$1:$1,0)),FALSE),"")</f>
        <v/>
      </c>
      <c r="XDF19" s="28" t="str">
        <f>IFERROR(VLOOKUP(DATE($K$1,$K$2,XDF$4),Table1[],(MATCH(Calendar!$A19,DB!$1:$1,0)),FALSE),"")</f>
        <v/>
      </c>
      <c r="XDG19" s="28" t="str">
        <f>IFERROR(VLOOKUP(DATE($K$1,$K$2,XDG$4),Table1[],(MATCH(Calendar!$A19,DB!$1:$1,0)),FALSE),"")</f>
        <v/>
      </c>
      <c r="XDH19" s="28" t="str">
        <f>IFERROR(VLOOKUP(DATE($K$1,$K$2,XDH$4),Table1[],(MATCH(Calendar!$A19,DB!$1:$1,0)),FALSE),"")</f>
        <v/>
      </c>
      <c r="XDI19" s="28" t="str">
        <f>IFERROR(VLOOKUP(DATE($K$1,$K$2,XDI$4),Table1[],(MATCH(Calendar!$A19,DB!$1:$1,0)),FALSE),"")</f>
        <v/>
      </c>
      <c r="XDJ19" s="28" t="str">
        <f>IFERROR(VLOOKUP(DATE($K$1,$K$2,XDJ$4),Table1[],(MATCH(Calendar!$A19,DB!$1:$1,0)),FALSE),"")</f>
        <v/>
      </c>
      <c r="XDK19" s="28" t="str">
        <f>IFERROR(VLOOKUP(DATE($K$1,$K$2,XDK$4),Table1[],(MATCH(Calendar!$A19,DB!$1:$1,0)),FALSE),"")</f>
        <v/>
      </c>
      <c r="XDL19" s="28" t="str">
        <f>IFERROR(VLOOKUP(DATE($K$1,$K$2,XDL$4),Table1[],(MATCH(Calendar!$A19,DB!$1:$1,0)),FALSE),"")</f>
        <v/>
      </c>
      <c r="XDM19" s="28" t="str">
        <f>IFERROR(VLOOKUP(DATE($K$1,$K$2,XDM$4),Table1[],(MATCH(Calendar!$A19,DB!$1:$1,0)),FALSE),"")</f>
        <v/>
      </c>
      <c r="XDN19" s="28" t="str">
        <f>IFERROR(VLOOKUP(DATE($K$1,$K$2,XDN$4),Table1[],(MATCH(Calendar!$A19,DB!$1:$1,0)),FALSE),"")</f>
        <v/>
      </c>
      <c r="XDO19" s="28" t="str">
        <f>IFERROR(VLOOKUP(DATE($K$1,$K$2,XDO$4),Table1[],(MATCH(Calendar!$A19,DB!$1:$1,0)),FALSE),"")</f>
        <v/>
      </c>
      <c r="XDP19" s="28" t="str">
        <f>IFERROR(VLOOKUP(DATE($K$1,$K$2,XDP$4),Table1[],(MATCH(Calendar!$A19,DB!$1:$1,0)),FALSE),"")</f>
        <v/>
      </c>
      <c r="XDQ19" s="28" t="str">
        <f>IFERROR(VLOOKUP(DATE($K$1,$K$2,XDQ$4),Table1[],(MATCH(Calendar!$A19,DB!$1:$1,0)),FALSE),"")</f>
        <v/>
      </c>
      <c r="XDR19" s="28" t="str">
        <f>IFERROR(VLOOKUP(DATE($K$1,$K$2,XDR$4),Table1[],(MATCH(Calendar!$A19,DB!$1:$1,0)),FALSE),"")</f>
        <v/>
      </c>
      <c r="XDS19" s="28" t="str">
        <f>IFERROR(VLOOKUP(DATE($K$1,$K$2,XDS$4),Table1[],(MATCH(Calendar!$A19,DB!$1:$1,0)),FALSE),"")</f>
        <v/>
      </c>
      <c r="XDT19" s="28" t="str">
        <f>IFERROR(VLOOKUP(DATE($K$1,$K$2,XDT$4),Table1[],(MATCH(Calendar!$A19,DB!$1:$1,0)),FALSE),"")</f>
        <v/>
      </c>
      <c r="XDU19" s="28" t="str">
        <f>IFERROR(VLOOKUP(DATE($K$1,$K$2,XDU$4),Table1[],(MATCH(Calendar!$A19,DB!$1:$1,0)),FALSE),"")</f>
        <v/>
      </c>
      <c r="XDV19" s="28" t="str">
        <f>IFERROR(VLOOKUP(DATE($K$1,$K$2,XDV$4),Table1[],(MATCH(Calendar!$A19,DB!$1:$1,0)),FALSE),"")</f>
        <v/>
      </c>
      <c r="XDW19" s="28" t="str">
        <f>IFERROR(VLOOKUP(DATE($K$1,$K$2,XDW$4),Table1[],(MATCH(Calendar!$A19,DB!$1:$1,0)),FALSE),"")</f>
        <v/>
      </c>
      <c r="XDX19" s="28" t="str">
        <f>IFERROR(VLOOKUP(DATE($K$1,$K$2,XDX$4),Table1[],(MATCH(Calendar!$A19,DB!$1:$1,0)),FALSE),"")</f>
        <v/>
      </c>
      <c r="XDY19" s="28" t="str">
        <f>IFERROR(VLOOKUP(DATE($K$1,$K$2,XDY$4),Table1[],(MATCH(Calendar!$A19,DB!$1:$1,0)),FALSE),"")</f>
        <v/>
      </c>
      <c r="XDZ19" s="28" t="str">
        <f>IFERROR(VLOOKUP(DATE($K$1,$K$2,XDZ$4),Table1[],(MATCH(Calendar!$A19,DB!$1:$1,0)),FALSE),"")</f>
        <v/>
      </c>
      <c r="XEA19" s="28" t="str">
        <f>IFERROR(VLOOKUP(DATE($K$1,$K$2,XEA$4),Table1[],(MATCH(Calendar!$A19,DB!$1:$1,0)),FALSE),"")</f>
        <v/>
      </c>
      <c r="XEB19" s="28" t="str">
        <f>IFERROR(VLOOKUP(DATE($K$1,$K$2,XEB$4),Table1[],(MATCH(Calendar!$A19,DB!$1:$1,0)),FALSE),"")</f>
        <v/>
      </c>
      <c r="XEC19" s="28" t="str">
        <f>IFERROR(VLOOKUP(DATE($K$1,$K$2,XEC$4),Table1[],(MATCH(Calendar!$A19,DB!$1:$1,0)),FALSE),"")</f>
        <v/>
      </c>
      <c r="XED19" s="28" t="str">
        <f>IFERROR(VLOOKUP(DATE($K$1,$K$2,XED$4),Table1[],(MATCH(Calendar!$A19,DB!$1:$1,0)),FALSE),"")</f>
        <v/>
      </c>
      <c r="XEE19" s="28" t="str">
        <f>IFERROR(VLOOKUP(DATE($K$1,$K$2,XEE$4),Table1[],(MATCH(Calendar!$A19,DB!$1:$1,0)),FALSE),"")</f>
        <v/>
      </c>
      <c r="XEF19" s="28" t="str">
        <f>IFERROR(VLOOKUP(DATE($K$1,$K$2,XEF$4),Table1[],(MATCH(Calendar!$A19,DB!$1:$1,0)),FALSE),"")</f>
        <v/>
      </c>
      <c r="XEG19" s="28" t="str">
        <f>IFERROR(VLOOKUP(DATE($K$1,$K$2,XEG$4),Table1[],(MATCH(Calendar!$A19,DB!$1:$1,0)),FALSE),"")</f>
        <v/>
      </c>
      <c r="XEH19" s="28" t="str">
        <f>IFERROR(VLOOKUP(DATE($K$1,$K$2,XEH$4),Table1[],(MATCH(Calendar!$A19,DB!$1:$1,0)),FALSE),"")</f>
        <v/>
      </c>
      <c r="XEI19" s="28" t="str">
        <f>IFERROR(VLOOKUP(DATE($K$1,$K$2,XEI$4),Table1[],(MATCH(Calendar!$A19,DB!$1:$1,0)),FALSE),"")</f>
        <v/>
      </c>
      <c r="XEJ19" s="28" t="str">
        <f>IFERROR(VLOOKUP(DATE($K$1,$K$2,XEJ$4),Table1[],(MATCH(Calendar!$A19,DB!$1:$1,0)),FALSE),"")</f>
        <v/>
      </c>
      <c r="XEK19" s="28" t="str">
        <f>IFERROR(VLOOKUP(DATE($K$1,$K$2,XEK$4),Table1[],(MATCH(Calendar!$A19,DB!$1:$1,0)),FALSE),"")</f>
        <v/>
      </c>
      <c r="XEL19" s="28" t="str">
        <f>IFERROR(VLOOKUP(DATE($K$1,$K$2,XEL$4),Table1[],(MATCH(Calendar!$A19,DB!$1:$1,0)),FALSE),"")</f>
        <v/>
      </c>
      <c r="XEM19" s="28" t="str">
        <f>IFERROR(VLOOKUP(DATE($K$1,$K$2,XEM$4),Table1[],(MATCH(Calendar!$A19,DB!$1:$1,0)),FALSE),"")</f>
        <v/>
      </c>
      <c r="XEN19" s="28" t="str">
        <f>IFERROR(VLOOKUP(DATE($K$1,$K$2,XEN$4),Table1[],(MATCH(Calendar!$A19,DB!$1:$1,0)),FALSE),"")</f>
        <v/>
      </c>
      <c r="XEO19" s="28" t="str">
        <f>IFERROR(VLOOKUP(DATE($K$1,$K$2,XEO$4),Table1[],(MATCH(Calendar!$A19,DB!$1:$1,0)),FALSE),"")</f>
        <v/>
      </c>
      <c r="XEP19" s="28" t="str">
        <f>IFERROR(VLOOKUP(DATE($K$1,$K$2,XEP$4),Table1[],(MATCH(Calendar!$A19,DB!$1:$1,0)),FALSE),"")</f>
        <v/>
      </c>
      <c r="XEQ19" s="28" t="str">
        <f>IFERROR(VLOOKUP(DATE($K$1,$K$2,XEQ$4),Table1[],(MATCH(Calendar!$A19,DB!$1:$1,0)),FALSE),"")</f>
        <v/>
      </c>
      <c r="XER19" s="28" t="str">
        <f>IFERROR(VLOOKUP(DATE($K$1,$K$2,XER$4),Table1[],(MATCH(Calendar!$A19,DB!$1:$1,0)),FALSE),"")</f>
        <v/>
      </c>
      <c r="XES19" s="28" t="str">
        <f>IFERROR(VLOOKUP(DATE($K$1,$K$2,XES$4),Table1[],(MATCH(Calendar!$A19,DB!$1:$1,0)),FALSE),"")</f>
        <v/>
      </c>
      <c r="XET19" s="28" t="str">
        <f>IFERROR(VLOOKUP(DATE($K$1,$K$2,XET$4),Table1[],(MATCH(Calendar!$A19,DB!$1:$1,0)),FALSE),"")</f>
        <v/>
      </c>
      <c r="XEU19" s="28" t="str">
        <f>IFERROR(VLOOKUP(DATE($K$1,$K$2,XEU$4),Table1[],(MATCH(Calendar!$A19,DB!$1:$1,0)),FALSE),"")</f>
        <v/>
      </c>
      <c r="XEV19" s="28" t="str">
        <f>IFERROR(VLOOKUP(DATE($K$1,$K$2,XEV$4),Table1[],(MATCH(Calendar!$A19,DB!$1:$1,0)),FALSE),"")</f>
        <v/>
      </c>
      <c r="XEW19" s="28" t="str">
        <f>IFERROR(VLOOKUP(DATE($K$1,$K$2,XEW$4),Table1[],(MATCH(Calendar!$A19,DB!$1:$1,0)),FALSE),"")</f>
        <v/>
      </c>
      <c r="XEX19" s="28" t="str">
        <f>IFERROR(VLOOKUP(DATE($K$1,$K$2,XEX$4),Table1[],(MATCH(Calendar!$A19,DB!$1:$1,0)),FALSE),"")</f>
        <v/>
      </c>
      <c r="XEY19" s="28" t="str">
        <f>IFERROR(VLOOKUP(DATE($K$1,$K$2,XEY$4),Table1[],(MATCH(Calendar!$A19,DB!$1:$1,0)),FALSE),"")</f>
        <v/>
      </c>
      <c r="XEZ19" s="28" t="str">
        <f>IFERROR(VLOOKUP(DATE($K$1,$K$2,XEZ$4),Table1[],(MATCH(Calendar!$A19,DB!$1:$1,0)),FALSE),"")</f>
        <v/>
      </c>
      <c r="XFA19" s="28" t="str">
        <f>IFERROR(VLOOKUP(DATE($K$1,$K$2,XFA$4),Table1[],(MATCH(Calendar!$A19,DB!$1:$1,0)),FALSE),"")</f>
        <v/>
      </c>
      <c r="XFB19" s="28" t="str">
        <f>IFERROR(VLOOKUP(DATE($K$1,$K$2,XFB$4),Table1[],(MATCH(Calendar!$A19,DB!$1:$1,0)),FALSE),"")</f>
        <v/>
      </c>
      <c r="XFC19" s="28" t="str">
        <f>IFERROR(VLOOKUP(DATE($K$1,$K$2,XFC$4),Table1[],(MATCH(Calendar!$A19,DB!$1:$1,0)),FALSE),"")</f>
        <v/>
      </c>
      <c r="XFD19" s="28" t="str">
        <f>IFERROR(VLOOKUP(DATE($K$1,$K$2,XFD$4),Table1[],(MATCH(Calendar!$A19,DB!$1:$1,0)),FALSE),"")</f>
        <v/>
      </c>
    </row>
    <row r="20" spans="1:16384" hidden="1"/>
    <row r="21" spans="1:16384" hidden="1"/>
    <row r="22" spans="1:16384" hidden="1"/>
    <row r="23" spans="1:16384" hidden="1"/>
    <row r="24" spans="1:16384" hidden="1"/>
    <row r="25" spans="1:16384" hidden="1"/>
    <row r="26" spans="1:16384" hidden="1"/>
    <row r="27" spans="1:16384" hidden="1"/>
    <row r="28" spans="1:16384" hidden="1"/>
    <row r="29" spans="1:16384" hidden="1"/>
    <row r="30" spans="1:16384" hidden="1"/>
    <row r="31" spans="1:16384" hidden="1"/>
    <row r="32" spans="1:16384"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sheetData>
  <sheetProtection sheet="1" objects="1" scenarios="1" selectLockedCells="1"/>
  <mergeCells count="6">
    <mergeCell ref="A1:H3"/>
    <mergeCell ref="K1:L1"/>
    <mergeCell ref="K2:L2"/>
    <mergeCell ref="K3:L3"/>
    <mergeCell ref="AC2:AD2"/>
    <mergeCell ref="AC3:AD3"/>
  </mergeCells>
  <conditionalFormatting sqref="B6:AF11">
    <cfRule type="beginsWith" dxfId="7" priority="5" operator="beginsWith" text="0">
      <formula>LEFT(B6,LEN("0"))="0"</formula>
    </cfRule>
    <cfRule type="containsText" dxfId="6" priority="10" operator="containsText" text="No">
      <formula>NOT(ISERROR(SEARCH("No",B6)))</formula>
    </cfRule>
    <cfRule type="containsText" dxfId="5" priority="11" operator="containsText" text="Yes">
      <formula>NOT(ISERROR(SEARCH("Yes",B6)))</formula>
    </cfRule>
    <cfRule type="colorScale" priority="12">
      <colorScale>
        <cfvo type="num" val="1"/>
        <cfvo type="num" val="5"/>
        <cfvo type="num" val="10"/>
        <color theme="5"/>
        <color theme="7" tint="0.79998168889431442"/>
        <color rgb="FF63BE7B"/>
      </colorScale>
    </cfRule>
  </conditionalFormatting>
  <conditionalFormatting sqref="B18:XFD18 B19:AF19">
    <cfRule type="colorScale" priority="9">
      <colorScale>
        <cfvo type="num" val="1"/>
        <cfvo type="num" val="5"/>
        <cfvo type="num" val="10"/>
        <color rgb="FFF8696B"/>
        <color rgb="FFFFEB84"/>
        <color rgb="FF63BE7B"/>
      </colorScale>
    </cfRule>
  </conditionalFormatting>
  <conditionalFormatting sqref="B12:AF17">
    <cfRule type="beginsWith" dxfId="4" priority="4" operator="beginsWith" text="0">
      <formula>LEFT(B12,LEN("0"))="0"</formula>
    </cfRule>
    <cfRule type="containsText" dxfId="3" priority="6" operator="containsText" text="No">
      <formula>NOT(ISERROR(SEARCH("No",B12)))</formula>
    </cfRule>
    <cfRule type="containsText" dxfId="2" priority="7" operator="containsText" text="Yes">
      <formula>NOT(ISERROR(SEARCH("Yes",B12)))</formula>
    </cfRule>
    <cfRule type="colorScale" priority="8">
      <colorScale>
        <cfvo type="num" val="1"/>
        <cfvo type="percentile" val="50"/>
        <cfvo type="max"/>
        <color theme="4"/>
        <color rgb="FFFFEB84"/>
        <color rgb="FFFF0000"/>
      </colorScale>
    </cfRule>
  </conditionalFormatting>
  <conditionalFormatting sqref="AG19:XFD19">
    <cfRule type="colorScale" priority="3">
      <colorScale>
        <cfvo type="num" val="1"/>
        <cfvo type="num" val="5"/>
        <cfvo type="num" val="10"/>
        <color rgb="FFF8696B"/>
        <color rgb="FFFFEB84"/>
        <color rgb="FF63BE7B"/>
      </colorScale>
    </cfRule>
  </conditionalFormatting>
  <conditionalFormatting sqref="B18:AF19">
    <cfRule type="containsText" dxfId="1" priority="1" operator="containsText" text="Bad">
      <formula>NOT(ISERROR(SEARCH("Bad",B18)))</formula>
    </cfRule>
    <cfRule type="containsText" dxfId="0" priority="2" operator="containsText" text="Good">
      <formula>NOT(ISERROR(SEARCH("Good",B18)))</formula>
    </cfRule>
  </conditionalFormatting>
  <dataValidations count="2">
    <dataValidation type="whole" allowBlank="1" showInputMessage="1" showErrorMessage="1" sqref="K2:L2" xr:uid="{DA7429CF-D421-4F30-820A-1785DC68380C}">
      <formula1>1</formula1>
      <formula2>12</formula2>
    </dataValidation>
    <dataValidation type="list" allowBlank="1" showInputMessage="1" showErrorMessage="1" sqref="K3:L3" xr:uid="{04BB759F-5F93-474B-BC55-92F442E1C395}">
      <formula1>"Yes, No"</formula1>
    </dataValidation>
  </dataValidation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3E0095-E2EF-4E4F-8159-03A3420D0BC6}">
  <sheetPr codeName="Sheet14">
    <tabColor theme="4"/>
  </sheetPr>
  <dimension ref="A1:L96"/>
  <sheetViews>
    <sheetView zoomScale="130" zoomScaleNormal="130" workbookViewId="0">
      <selection activeCell="A19" sqref="A19:I19"/>
    </sheetView>
  </sheetViews>
  <sheetFormatPr defaultColWidth="0" defaultRowHeight="15" customHeight="1" zeroHeight="1"/>
  <cols>
    <col min="1" max="1" width="14.7109375" bestFit="1" customWidth="1"/>
    <col min="2" max="6" width="9.140625" customWidth="1"/>
    <col min="7" max="7" width="16" bestFit="1" customWidth="1"/>
    <col min="8" max="9" width="9.140625" customWidth="1"/>
    <col min="10" max="16384" width="9.140625" hidden="1"/>
  </cols>
  <sheetData>
    <row r="1" spans="1:12" s="1" customFormat="1" ht="11.45" customHeight="1">
      <c r="A1" s="58" t="s">
        <v>79</v>
      </c>
      <c r="B1" s="58"/>
      <c r="C1" s="58"/>
      <c r="D1" s="58"/>
      <c r="E1" s="58"/>
      <c r="F1" s="58"/>
      <c r="G1" s="30"/>
      <c r="H1" s="30"/>
      <c r="I1" s="30"/>
    </row>
    <row r="2" spans="1:12" s="1" customFormat="1" ht="11.45" customHeight="1">
      <c r="A2" s="58"/>
      <c r="B2" s="58"/>
      <c r="C2" s="58"/>
      <c r="D2" s="58"/>
      <c r="E2" s="58"/>
      <c r="F2" s="58"/>
      <c r="G2" s="30"/>
      <c r="H2" s="30"/>
      <c r="I2" s="30"/>
      <c r="L2" s="1" t="s">
        <v>102</v>
      </c>
    </row>
    <row r="3" spans="1:12" s="1" customFormat="1" ht="11.45" customHeight="1">
      <c r="A3" s="92"/>
      <c r="B3" s="92"/>
      <c r="C3" s="92"/>
      <c r="D3" s="92"/>
      <c r="E3" s="92"/>
      <c r="F3" s="92"/>
      <c r="G3" s="30" t="s">
        <v>75</v>
      </c>
      <c r="H3" s="97"/>
      <c r="I3" s="98"/>
      <c r="L3" s="1">
        <f>Table1[[#This Row],[Date of Entry]]</f>
        <v>0</v>
      </c>
    </row>
    <row r="4" spans="1:12">
      <c r="A4" s="93"/>
      <c r="B4" s="93"/>
      <c r="C4" s="93"/>
      <c r="D4" s="93"/>
      <c r="E4" s="93"/>
      <c r="F4" s="93"/>
      <c r="G4" s="93"/>
      <c r="H4" s="93"/>
      <c r="I4" s="93"/>
      <c r="L4" s="1" t="e">
        <f>Table1[[#This Row],[Date of Entry]]</f>
        <v>#VALUE!</v>
      </c>
    </row>
    <row r="5" spans="1:12" ht="20.25">
      <c r="A5" s="18" t="e">
        <f ca="1">IF(VLOOKUP(L3,Table1[],MATCH($H$3,DB!$1:$1,0)+2,FALSE)=MAX(MAX(OFFSET(Table1[Good 1],0,MATCH($H$3,DB!$1:$1,0)))),L3,0)</f>
        <v>#N/A</v>
      </c>
      <c r="B5" s="82"/>
      <c r="C5" s="83"/>
      <c r="D5" s="81" t="s">
        <v>74</v>
      </c>
      <c r="E5" s="81"/>
      <c r="F5" s="91" t="e">
        <f ca="1">VLOOKUP(A5,Table1[],MATCH($H$3,DB!$1:$1,0)+1,FALSE)</f>
        <v>#N/A</v>
      </c>
      <c r="G5" s="20"/>
      <c r="H5" s="41" t="s">
        <v>73</v>
      </c>
      <c r="I5" s="91" t="e">
        <f ca="1">VLOOKUP(A5,Table1[],MATCH($H$3,DB!$1:$1,0)+2,FALSE)</f>
        <v>#N/A</v>
      </c>
      <c r="L5" s="1" t="e">
        <f>Table1[[#This Row],[Date of Entry]]</f>
        <v>#VALUE!</v>
      </c>
    </row>
    <row r="6" spans="1:12" ht="66" customHeight="1">
      <c r="A6" s="94" t="e">
        <f ca="1">VLOOKUP(A5,Table1[],MATCH($H$3,DB!$1:$1,0)+3,FALSE)</f>
        <v>#N/A</v>
      </c>
      <c r="B6" s="94"/>
      <c r="C6" s="94"/>
      <c r="D6" s="94"/>
      <c r="E6" s="94"/>
      <c r="F6" s="94"/>
      <c r="G6" s="94"/>
      <c r="H6" s="94"/>
      <c r="I6" s="94"/>
      <c r="L6" s="1" t="e">
        <f>Table1[[#This Row],[Date of Entry]]</f>
        <v>#VALUE!</v>
      </c>
    </row>
    <row r="7" spans="1:12">
      <c r="A7" s="84"/>
      <c r="B7" s="85"/>
      <c r="C7" s="85"/>
      <c r="D7" s="85"/>
      <c r="E7" s="85"/>
      <c r="F7" s="85"/>
      <c r="G7" s="85"/>
      <c r="H7" s="85"/>
      <c r="I7" s="86"/>
      <c r="L7" s="1" t="e">
        <f>Table1[[#This Row],[Date of Entry]]</f>
        <v>#VALUE!</v>
      </c>
    </row>
    <row r="8" spans="1:12" ht="20.25">
      <c r="A8" s="18" t="e">
        <f ca="1">IF(VLOOKUP($L$3,Table1[],MATCH($H$3,DB!$1:$1,0)+2,FALSE)=MAX(MAX(OFFSET(Table1[Good 1],0,MATCH($H$3,DB!$1:$1,0)))),L4,0)</f>
        <v>#N/A</v>
      </c>
      <c r="B8" s="82"/>
      <c r="C8" s="83"/>
      <c r="D8" s="81" t="s">
        <v>74</v>
      </c>
      <c r="E8" s="81"/>
      <c r="F8" s="91" t="e">
        <f ca="1">VLOOKUP(A8,Table1[],MATCH($H$3,DB!$1:$1,0)+1,FALSE)</f>
        <v>#N/A</v>
      </c>
      <c r="G8" s="20"/>
      <c r="H8" s="41" t="s">
        <v>73</v>
      </c>
      <c r="I8" s="91" t="e">
        <f ca="1">VLOOKUP(A8,Table1[],MATCH($H$3,DB!$1:$1,0)+2,FALSE)</f>
        <v>#N/A</v>
      </c>
    </row>
    <row r="9" spans="1:12" ht="66" customHeight="1">
      <c r="A9" s="94" t="e">
        <f ca="1">VLOOKUP(A8,Table1[],MATCH($H$3,DB!$1:$1,0)+3,FALSE)</f>
        <v>#N/A</v>
      </c>
      <c r="B9" s="94"/>
      <c r="C9" s="94"/>
      <c r="D9" s="94"/>
      <c r="E9" s="94"/>
      <c r="F9" s="94"/>
      <c r="G9" s="94"/>
      <c r="H9" s="94"/>
      <c r="I9" s="94"/>
    </row>
    <row r="10" spans="1:12">
      <c r="A10" s="84"/>
      <c r="B10" s="85"/>
      <c r="C10" s="85"/>
      <c r="D10" s="85"/>
      <c r="E10" s="85"/>
      <c r="F10" s="85"/>
      <c r="G10" s="85"/>
      <c r="H10" s="85"/>
      <c r="I10" s="86"/>
    </row>
    <row r="11" spans="1:12" ht="20.25">
      <c r="A11" s="18" t="e">
        <f ca="1">IF(VLOOKUP($L$3,Table1[],MATCH($H$3,DB!$1:$1,0)+2,FALSE)=MAX(MAX(OFFSET(Table1[Good 1],0,MATCH($H$3,DB!$1:$1,0)))),L5,0)</f>
        <v>#N/A</v>
      </c>
      <c r="B11" s="82"/>
      <c r="C11" s="83"/>
      <c r="D11" s="81" t="s">
        <v>74</v>
      </c>
      <c r="E11" s="81"/>
      <c r="F11" s="91" t="e">
        <f ca="1">VLOOKUP(A11,Table1[],MATCH($H$3,DB!$1:$1,0)+1,FALSE)</f>
        <v>#N/A</v>
      </c>
      <c r="G11" s="20"/>
      <c r="H11" s="41" t="s">
        <v>73</v>
      </c>
      <c r="I11" s="91" t="e">
        <f ca="1">VLOOKUP(A11,Table1[],MATCH($H$3,DB!$1:$1,0)+2,FALSE)</f>
        <v>#N/A</v>
      </c>
    </row>
    <row r="12" spans="1:12" ht="66" customHeight="1">
      <c r="A12" s="94" t="e">
        <f ca="1">VLOOKUP(A11,Table1[],MATCH($H$3,DB!$1:$1,0)+3,FALSE)</f>
        <v>#N/A</v>
      </c>
      <c r="B12" s="94"/>
      <c r="C12" s="94"/>
      <c r="D12" s="94"/>
      <c r="E12" s="94"/>
      <c r="F12" s="94"/>
      <c r="G12" s="94"/>
      <c r="H12" s="94"/>
      <c r="I12" s="94"/>
    </row>
    <row r="13" spans="1:12">
      <c r="A13" s="84"/>
      <c r="B13" s="85"/>
      <c r="C13" s="85"/>
      <c r="D13" s="85"/>
      <c r="E13" s="85"/>
      <c r="F13" s="85"/>
      <c r="G13" s="85"/>
      <c r="H13" s="85"/>
      <c r="I13" s="86"/>
    </row>
    <row r="14" spans="1:12" ht="20.25">
      <c r="A14" s="18" t="e">
        <f ca="1">IF(VLOOKUP($L$3,Table1[],MATCH($H$3,DB!$1:$1,0)+2,FALSE)=MAX(MAX(OFFSET(Table1[Good 1],0,MATCH($H$3,DB!$1:$1,0)))),L6,0)</f>
        <v>#N/A</v>
      </c>
      <c r="B14" s="82"/>
      <c r="C14" s="83"/>
      <c r="D14" s="81" t="s">
        <v>74</v>
      </c>
      <c r="E14" s="81"/>
      <c r="F14" s="91" t="e">
        <f ca="1">VLOOKUP(A14,Table1[],MATCH($H$3,DB!$1:$1,0)+1,FALSE)</f>
        <v>#N/A</v>
      </c>
      <c r="G14" s="20"/>
      <c r="H14" s="41" t="s">
        <v>73</v>
      </c>
      <c r="I14" s="91" t="e">
        <f ca="1">VLOOKUP(A14,Table1[],MATCH($H$3,DB!$1:$1,0)+2,FALSE)</f>
        <v>#N/A</v>
      </c>
    </row>
    <row r="15" spans="1:12" ht="66" customHeight="1">
      <c r="A15" s="94" t="e">
        <f ca="1">VLOOKUP(A14,Table1[],MATCH($H$3,DB!$1:$1,0)+3,FALSE)</f>
        <v>#N/A</v>
      </c>
      <c r="B15" s="94"/>
      <c r="C15" s="94"/>
      <c r="D15" s="94"/>
      <c r="E15" s="94"/>
      <c r="F15" s="94"/>
      <c r="G15" s="94"/>
      <c r="H15" s="94"/>
      <c r="I15" s="94"/>
    </row>
    <row r="16" spans="1:12">
      <c r="A16" s="84"/>
      <c r="B16" s="85"/>
      <c r="C16" s="85"/>
      <c r="D16" s="85"/>
      <c r="E16" s="85"/>
      <c r="F16" s="85"/>
      <c r="G16" s="85"/>
      <c r="H16" s="85"/>
      <c r="I16" s="86"/>
    </row>
    <row r="17" spans="1:9" ht="20.25">
      <c r="A17" s="18" t="e">
        <f ca="1">IF(VLOOKUP($L$3,Table1[],MATCH($H$3,DB!$1:$1,0)+2,FALSE)=MAX(MAX(OFFSET(Table1[Good 1],0,MATCH($H$3,DB!$1:$1,0)))),L7,0)</f>
        <v>#N/A</v>
      </c>
      <c r="B17" s="82"/>
      <c r="C17" s="83"/>
      <c r="D17" s="81" t="s">
        <v>74</v>
      </c>
      <c r="E17" s="81"/>
      <c r="F17" s="91" t="e">
        <f ca="1">VLOOKUP(A17,Table1[],MATCH($H$3,DB!$1:$1,0)+1,FALSE)</f>
        <v>#N/A</v>
      </c>
      <c r="G17" s="20"/>
      <c r="H17" s="41" t="s">
        <v>73</v>
      </c>
      <c r="I17" s="91" t="e">
        <f ca="1">VLOOKUP(A17,Table1[],MATCH($H$3,DB!$1:$1,0)+2,FALSE)</f>
        <v>#N/A</v>
      </c>
    </row>
    <row r="18" spans="1:9" ht="66" customHeight="1">
      <c r="A18" s="80" t="e">
        <f ca="1">VLOOKUP(A17,Table1[],MATCH($H$3,DB!$1:$1,0)+3,FALSE)</f>
        <v>#N/A</v>
      </c>
      <c r="B18" s="80"/>
      <c r="C18" s="80"/>
      <c r="D18" s="80"/>
      <c r="E18" s="80"/>
      <c r="F18" s="80"/>
      <c r="G18" s="80"/>
      <c r="H18" s="80"/>
      <c r="I18" s="80"/>
    </row>
    <row r="19" spans="1:9" ht="15" hidden="1" customHeight="1"/>
    <row r="20" spans="1:9" ht="15" hidden="1" customHeight="1"/>
    <row r="21" spans="1:9" ht="15" hidden="1" customHeight="1"/>
    <row r="22" spans="1:9" ht="15" hidden="1" customHeight="1"/>
    <row r="23" spans="1:9" ht="15" hidden="1" customHeight="1"/>
    <row r="24" spans="1:9" ht="15" hidden="1" customHeight="1"/>
    <row r="25" spans="1:9" ht="15" hidden="1" customHeight="1"/>
    <row r="26" spans="1:9" ht="15" hidden="1" customHeight="1"/>
    <row r="27" spans="1:9" ht="15" hidden="1" customHeight="1"/>
    <row r="28" spans="1:9" ht="15" hidden="1" customHeight="1"/>
    <row r="29" spans="1:9" ht="15" hidden="1" customHeight="1"/>
    <row r="30" spans="1:9" ht="15" hidden="1" customHeight="1"/>
    <row r="31" spans="1:9" ht="15" hidden="1" customHeight="1"/>
    <row r="32" spans="1:9" ht="15" hidden="1" customHeight="1"/>
    <row r="33" ht="15" hidden="1" customHeight="1"/>
    <row r="34" ht="15" hidden="1" customHeight="1"/>
    <row r="35" ht="15" hidden="1" customHeight="1"/>
    <row r="36" ht="15" hidden="1" customHeight="1"/>
    <row r="37" ht="15" hidden="1" customHeight="1"/>
    <row r="38" ht="15" hidden="1" customHeight="1"/>
    <row r="39" ht="15" hidden="1" customHeight="1"/>
    <row r="40" ht="15" hidden="1" customHeight="1"/>
    <row r="41" ht="15" hidden="1" customHeight="1"/>
    <row r="42" ht="15" hidden="1" customHeight="1"/>
    <row r="43" ht="15" hidden="1" customHeight="1"/>
    <row r="44" ht="15" hidden="1" customHeight="1"/>
    <row r="45" ht="15" hidden="1" customHeight="1"/>
    <row r="46" ht="15" hidden="1" customHeight="1"/>
    <row r="47" ht="15" hidden="1" customHeight="1"/>
    <row r="48" ht="15" hidden="1" customHeight="1"/>
    <row r="49" ht="15" hidden="1" customHeight="1"/>
    <row r="50" ht="15" hidden="1" customHeight="1"/>
    <row r="51" ht="15" hidden="1" customHeight="1"/>
    <row r="52" ht="15" hidden="1" customHeight="1"/>
    <row r="53" ht="15" hidden="1" customHeight="1"/>
    <row r="54" ht="15" hidden="1" customHeight="1"/>
    <row r="55" ht="15" hidden="1" customHeight="1"/>
    <row r="56" ht="15" hidden="1" customHeight="1"/>
    <row r="57" ht="15" hidden="1" customHeight="1"/>
    <row r="58" ht="15" hidden="1" customHeight="1"/>
    <row r="59" ht="15" hidden="1" customHeight="1"/>
    <row r="60" ht="15" hidden="1" customHeight="1"/>
    <row r="61" ht="15" hidden="1" customHeight="1"/>
    <row r="62" ht="15" hidden="1" customHeight="1"/>
    <row r="63" ht="15" hidden="1" customHeight="1"/>
    <row r="64" ht="15" hidden="1" customHeight="1"/>
    <row r="65" ht="15" hidden="1" customHeight="1"/>
    <row r="66" ht="15" hidden="1" customHeight="1"/>
    <row r="67" ht="15" hidden="1" customHeight="1"/>
    <row r="68" ht="15" hidden="1" customHeight="1"/>
    <row r="69" ht="15" hidden="1" customHeight="1"/>
    <row r="70" ht="15" hidden="1" customHeight="1"/>
    <row r="71" ht="15" hidden="1" customHeight="1"/>
    <row r="72" ht="15" hidden="1" customHeight="1"/>
    <row r="73" ht="15" hidden="1" customHeight="1"/>
    <row r="74" ht="15" hidden="1" customHeight="1"/>
    <row r="75" ht="15" hidden="1" customHeight="1"/>
    <row r="76" ht="15" hidden="1" customHeight="1"/>
    <row r="77" ht="15" hidden="1" customHeight="1"/>
    <row r="78" ht="15" hidden="1" customHeight="1"/>
    <row r="79" ht="15" hidden="1" customHeight="1"/>
    <row r="80"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row r="90" ht="15" hidden="1" customHeight="1"/>
    <row r="91" ht="15" hidden="1" customHeight="1"/>
    <row r="92" ht="15" hidden="1" customHeight="1"/>
    <row r="93" ht="15" hidden="1" customHeight="1"/>
    <row r="94" ht="15" hidden="1" customHeight="1"/>
    <row r="95" ht="15" hidden="1" customHeight="1"/>
    <row r="96" ht="15" hidden="1" customHeight="1"/>
  </sheetData>
  <sheetProtection sheet="1" objects="1" scenarios="1"/>
  <mergeCells count="22">
    <mergeCell ref="A15:I15"/>
    <mergeCell ref="A16:I16"/>
    <mergeCell ref="B17:C17"/>
    <mergeCell ref="D17:E17"/>
    <mergeCell ref="A18:I18"/>
    <mergeCell ref="B11:C11"/>
    <mergeCell ref="D11:E11"/>
    <mergeCell ref="A12:I12"/>
    <mergeCell ref="A13:I13"/>
    <mergeCell ref="B14:C14"/>
    <mergeCell ref="D14:E14"/>
    <mergeCell ref="A6:I6"/>
    <mergeCell ref="A7:I7"/>
    <mergeCell ref="B8:C8"/>
    <mergeCell ref="D8:E8"/>
    <mergeCell ref="A9:I9"/>
    <mergeCell ref="A10:I10"/>
    <mergeCell ref="A1:F3"/>
    <mergeCell ref="H3:I3"/>
    <mergeCell ref="A4:I4"/>
    <mergeCell ref="B5:C5"/>
    <mergeCell ref="D5:E5"/>
  </mergeCells>
  <conditionalFormatting sqref="F1:F1048576 I3:I1048576">
    <cfRule type="colorScale" priority="3">
      <colorScale>
        <cfvo type="num" val="1"/>
        <cfvo type="num" val="5"/>
        <cfvo type="num" val="10"/>
        <color rgb="FFF8696B"/>
        <color rgb="FFFFEB84"/>
        <color rgb="FF63BE7B"/>
      </colorScale>
    </cfRule>
  </conditionalFormatting>
  <dataValidations count="1">
    <dataValidation type="list" allowBlank="1" showInputMessage="1" showErrorMessage="1" sqref="H3:I3" xr:uid="{7D7EACEA-F8DF-4A6B-8F40-568F4994A6D7}">
      <formula1>Habits</formula1>
    </dataValidation>
  </dataValidations>
  <pageMargins left="0.7" right="0.7" top="0.75" bottom="0.75" header="0.3" footer="0.3"/>
  <drawing r:id="rId1"/>
  <legacyDrawing r:id="rId2"/>
  <controls>
    <mc:AlternateContent xmlns:mc="http://schemas.openxmlformats.org/markup-compatibility/2006">
      <mc:Choice Requires="x14">
        <control shapeId="17411" r:id="rId3" name="CommandButton2">
          <controlPr defaultSize="0" autoLine="0" r:id="rId4">
            <anchor moveWithCells="1">
              <from>
                <xdr:col>6</xdr:col>
                <xdr:colOff>76200</xdr:colOff>
                <xdr:row>0</xdr:row>
                <xdr:rowOff>95250</xdr:rowOff>
              </from>
              <to>
                <xdr:col>6</xdr:col>
                <xdr:colOff>638175</xdr:colOff>
                <xdr:row>2</xdr:row>
                <xdr:rowOff>85725</xdr:rowOff>
              </to>
            </anchor>
          </controlPr>
        </control>
      </mc:Choice>
      <mc:Fallback>
        <control shapeId="17411" r:id="rId3" name="CommandButton2"/>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7E87-6678-45DD-AE89-9C53DE2DAC92}">
  <sheetPr codeName="Sheet8">
    <tabColor theme="4"/>
  </sheetPr>
  <dimension ref="A1:I96"/>
  <sheetViews>
    <sheetView zoomScale="130" zoomScaleNormal="130" workbookViewId="0">
      <selection activeCell="A19" sqref="A19:I19"/>
    </sheetView>
  </sheetViews>
  <sheetFormatPr defaultColWidth="0" defaultRowHeight="15" zeroHeight="1"/>
  <cols>
    <col min="1" max="1" width="14.7109375" bestFit="1" customWidth="1"/>
    <col min="2" max="6" width="9.140625" customWidth="1"/>
    <col min="7" max="7" width="16" bestFit="1" customWidth="1"/>
    <col min="8" max="9" width="9.140625" customWidth="1"/>
    <col min="10" max="16384" width="9.140625" hidden="1"/>
  </cols>
  <sheetData>
    <row r="1" spans="1:9" s="1" customFormat="1" ht="11.45" customHeight="1">
      <c r="A1" s="58" t="s">
        <v>79</v>
      </c>
      <c r="B1" s="58"/>
      <c r="C1" s="58"/>
      <c r="D1" s="58"/>
      <c r="E1" s="58"/>
      <c r="F1" s="58"/>
      <c r="G1" s="30" t="s">
        <v>83</v>
      </c>
      <c r="H1" s="95">
        <v>2020</v>
      </c>
      <c r="I1" s="96"/>
    </row>
    <row r="2" spans="1:9" s="1" customFormat="1" ht="11.45" customHeight="1">
      <c r="A2" s="58"/>
      <c r="B2" s="58"/>
      <c r="C2" s="58"/>
      <c r="D2" s="58"/>
      <c r="E2" s="58"/>
      <c r="F2" s="58"/>
      <c r="G2" s="30" t="s">
        <v>72</v>
      </c>
      <c r="H2" s="95">
        <v>3</v>
      </c>
      <c r="I2" s="96"/>
    </row>
    <row r="3" spans="1:9" s="1" customFormat="1" ht="11.45" customHeight="1">
      <c r="A3" s="92"/>
      <c r="B3" s="92"/>
      <c r="C3" s="92"/>
      <c r="D3" s="92"/>
      <c r="E3" s="92"/>
      <c r="F3" s="92"/>
      <c r="G3" s="30" t="s">
        <v>75</v>
      </c>
      <c r="H3" s="97"/>
      <c r="I3" s="98"/>
    </row>
    <row r="4" spans="1:9">
      <c r="A4" s="93"/>
      <c r="B4" s="93"/>
      <c r="C4" s="93"/>
      <c r="D4" s="93"/>
      <c r="E4" s="93"/>
      <c r="F4" s="93"/>
      <c r="G4" s="93"/>
      <c r="H4" s="93"/>
      <c r="I4" s="93"/>
    </row>
    <row r="5" spans="1:9" ht="20.25">
      <c r="A5" s="18" t="str">
        <f>IFERROR(INDEX(Table1[Date of Entry],MATCH(DATE($H$1,$H$2,1),Table1[Date of Entry],1)),"")</f>
        <v/>
      </c>
      <c r="B5" s="82"/>
      <c r="C5" s="83"/>
      <c r="D5" s="81" t="s">
        <v>74</v>
      </c>
      <c r="E5" s="81"/>
      <c r="F5" s="91" t="e">
        <f>VLOOKUP(A5,Table1[],MATCH($H$3,DB!$1:$1,0)+1,FALSE)</f>
        <v>#N/A</v>
      </c>
      <c r="G5" s="20"/>
      <c r="H5" s="17" t="s">
        <v>73</v>
      </c>
      <c r="I5" s="91" t="e">
        <f>VLOOKUP(A5,Table1[],MATCH($H$3,DB!$1:$1,0)+2,FALSE)</f>
        <v>#N/A</v>
      </c>
    </row>
    <row r="6" spans="1:9" ht="66" customHeight="1">
      <c r="A6" s="80" t="e">
        <f>VLOOKUP(A5,Table1[],MATCH($H$3,DB!$1:$1,0)+3,FALSE)</f>
        <v>#N/A</v>
      </c>
      <c r="B6" s="80"/>
      <c r="C6" s="80"/>
      <c r="D6" s="80"/>
      <c r="E6" s="80"/>
      <c r="F6" s="80"/>
      <c r="G6" s="80"/>
      <c r="H6" s="80"/>
      <c r="I6" s="80"/>
    </row>
    <row r="7" spans="1:9">
      <c r="A7" s="84"/>
      <c r="B7" s="85"/>
      <c r="C7" s="85"/>
      <c r="D7" s="85"/>
      <c r="E7" s="85"/>
      <c r="F7" s="85"/>
      <c r="G7" s="85"/>
      <c r="H7" s="85"/>
      <c r="I7" s="86"/>
    </row>
    <row r="8" spans="1:9" ht="20.25">
      <c r="A8" s="18" t="str">
        <f>IFERROR(IF(INDEX(Table1[Date of Entry],MATCH(A5+1,Table1[Date of Entry],1))=A5,"",INDEX(Table1[Date of Entry],MATCH(A5+1,Table1[Date of Entry],1))),"")</f>
        <v/>
      </c>
      <c r="B8" s="82"/>
      <c r="C8" s="83"/>
      <c r="D8" s="81" t="s">
        <v>74</v>
      </c>
      <c r="E8" s="81"/>
      <c r="F8" s="91" t="e">
        <f>VLOOKUP(A8,Table1[],MATCH($H$3,DB!$1:$1,0)+1,FALSE)</f>
        <v>#N/A</v>
      </c>
      <c r="G8" s="20"/>
      <c r="H8" s="17" t="s">
        <v>73</v>
      </c>
      <c r="I8" s="91" t="e">
        <f>VLOOKUP(A8,Table1[],MATCH($H$3,DB!$1:$1,0)+2,FALSE)</f>
        <v>#N/A</v>
      </c>
    </row>
    <row r="9" spans="1:9" ht="66" customHeight="1">
      <c r="A9" s="80" t="e">
        <f>VLOOKUP(A8,Table1[],MATCH($H$3,DB!$1:$1,0)+3,FALSE)</f>
        <v>#N/A</v>
      </c>
      <c r="B9" s="80"/>
      <c r="C9" s="80"/>
      <c r="D9" s="80"/>
      <c r="E9" s="80"/>
      <c r="F9" s="80"/>
      <c r="G9" s="80"/>
      <c r="H9" s="80"/>
      <c r="I9" s="80"/>
    </row>
    <row r="10" spans="1:9">
      <c r="A10" s="84"/>
      <c r="B10" s="85"/>
      <c r="C10" s="85"/>
      <c r="D10" s="85"/>
      <c r="E10" s="85"/>
      <c r="F10" s="85"/>
      <c r="G10" s="85"/>
      <c r="H10" s="85"/>
      <c r="I10" s="86"/>
    </row>
    <row r="11" spans="1:9" ht="20.25">
      <c r="A11" s="18" t="str">
        <f>IFERROR(IF(INDEX(Table1[Date of Entry],MATCH(A8+1,Table1[Date of Entry],1))=A8,"",INDEX(Table1[Date of Entry],MATCH(A8+1,Table1[Date of Entry],1))),"")</f>
        <v/>
      </c>
      <c r="B11" s="82"/>
      <c r="C11" s="83"/>
      <c r="D11" s="81" t="s">
        <v>74</v>
      </c>
      <c r="E11" s="81"/>
      <c r="F11" s="91" t="e">
        <f>VLOOKUP(A11,Table1[],MATCH($H$3,DB!$1:$1,0)+1,FALSE)</f>
        <v>#N/A</v>
      </c>
      <c r="G11" s="20"/>
      <c r="H11" s="41" t="s">
        <v>73</v>
      </c>
      <c r="I11" s="91" t="e">
        <f>VLOOKUP(A11,Table1[],MATCH($H$3,DB!$1:$1,0)+2,FALSE)</f>
        <v>#N/A</v>
      </c>
    </row>
    <row r="12" spans="1:9" ht="66" customHeight="1">
      <c r="A12" s="80" t="e">
        <f>VLOOKUP(A11,Table1[],MATCH($H$3,DB!$1:$1,0)+3,FALSE)</f>
        <v>#N/A</v>
      </c>
      <c r="B12" s="80"/>
      <c r="C12" s="80"/>
      <c r="D12" s="80"/>
      <c r="E12" s="80"/>
      <c r="F12" s="80"/>
      <c r="G12" s="80"/>
      <c r="H12" s="80"/>
      <c r="I12" s="80"/>
    </row>
    <row r="13" spans="1:9">
      <c r="A13" s="84"/>
      <c r="B13" s="85"/>
      <c r="C13" s="85"/>
      <c r="D13" s="85"/>
      <c r="E13" s="85"/>
      <c r="F13" s="85"/>
      <c r="G13" s="85"/>
      <c r="H13" s="85"/>
      <c r="I13" s="86"/>
    </row>
    <row r="14" spans="1:9" ht="20.25">
      <c r="A14" s="18" t="str">
        <f>IFERROR(IF(INDEX(Table1[Date of Entry],MATCH(A11+1,Table1[Date of Entry],1))=A11,"",INDEX(Table1[Date of Entry],MATCH(A11+1,Table1[Date of Entry],1))),"")</f>
        <v/>
      </c>
      <c r="B14" s="82"/>
      <c r="C14" s="83"/>
      <c r="D14" s="81" t="s">
        <v>74</v>
      </c>
      <c r="E14" s="81"/>
      <c r="F14" s="91" t="e">
        <f>VLOOKUP(A14,Table1[],MATCH($H$3,DB!$1:$1,0)+1,FALSE)</f>
        <v>#N/A</v>
      </c>
      <c r="G14" s="20"/>
      <c r="H14" s="41" t="s">
        <v>73</v>
      </c>
      <c r="I14" s="91" t="e">
        <f>VLOOKUP(A14,Table1[],MATCH($H$3,DB!$1:$1,0)+2,FALSE)</f>
        <v>#N/A</v>
      </c>
    </row>
    <row r="15" spans="1:9" ht="66" customHeight="1">
      <c r="A15" s="80" t="e">
        <f>VLOOKUP(A14,Table1[],MATCH($H$3,DB!$1:$1,0)+3,FALSE)</f>
        <v>#N/A</v>
      </c>
      <c r="B15" s="80"/>
      <c r="C15" s="80"/>
      <c r="D15" s="80"/>
      <c r="E15" s="80"/>
      <c r="F15" s="80"/>
      <c r="G15" s="80"/>
      <c r="H15" s="80"/>
      <c r="I15" s="80"/>
    </row>
    <row r="16" spans="1:9">
      <c r="A16" s="84"/>
      <c r="B16" s="85"/>
      <c r="C16" s="85"/>
      <c r="D16" s="85"/>
      <c r="E16" s="85"/>
      <c r="F16" s="85"/>
      <c r="G16" s="85"/>
      <c r="H16" s="85"/>
      <c r="I16" s="86"/>
    </row>
    <row r="17" spans="1:9" ht="20.25">
      <c r="A17" s="18" t="str">
        <f>IFERROR(IF(INDEX(Table1[Date of Entry],MATCH(A14+1,Table1[Date of Entry],1))=A14,"",INDEX(Table1[Date of Entry],MATCH(A14+1,Table1[Date of Entry],1))),"")</f>
        <v/>
      </c>
      <c r="B17" s="82"/>
      <c r="C17" s="83"/>
      <c r="D17" s="81" t="s">
        <v>74</v>
      </c>
      <c r="E17" s="81"/>
      <c r="F17" s="91" t="e">
        <f>VLOOKUP(A17,Table1[],MATCH($H$3,DB!$1:$1,0)+1,FALSE)</f>
        <v>#N/A</v>
      </c>
      <c r="G17" s="20"/>
      <c r="H17" s="41" t="s">
        <v>73</v>
      </c>
      <c r="I17" s="91" t="e">
        <f>VLOOKUP(A17,Table1[],MATCH($H$3,DB!$1:$1,0)+2,FALSE)</f>
        <v>#N/A</v>
      </c>
    </row>
    <row r="18" spans="1:9" ht="66" customHeight="1">
      <c r="A18" s="80" t="e">
        <f>VLOOKUP(A17,Table1[],MATCH($H$3,DB!$1:$1,0)+3,FALSE)</f>
        <v>#N/A</v>
      </c>
      <c r="B18" s="80"/>
      <c r="C18" s="80"/>
      <c r="D18" s="80"/>
      <c r="E18" s="80"/>
      <c r="F18" s="80"/>
      <c r="G18" s="80"/>
      <c r="H18" s="80"/>
      <c r="I18" s="80"/>
    </row>
    <row r="19" spans="1:9">
      <c r="A19" s="84"/>
      <c r="B19" s="85"/>
      <c r="C19" s="85"/>
      <c r="D19" s="85"/>
      <c r="E19" s="85"/>
      <c r="F19" s="85"/>
      <c r="G19" s="85"/>
      <c r="H19" s="85"/>
      <c r="I19" s="86"/>
    </row>
    <row r="20" spans="1:9" ht="20.25">
      <c r="A20" s="18" t="str">
        <f>IFERROR(IF(INDEX(Table1[Date of Entry],MATCH(A17+1,Table1[Date of Entry],1))=A17,"",INDEX(Table1[Date of Entry],MATCH(A17+1,Table1[Date of Entry],1))),"")</f>
        <v/>
      </c>
      <c r="B20" s="82"/>
      <c r="C20" s="83"/>
      <c r="D20" s="81" t="s">
        <v>74</v>
      </c>
      <c r="E20" s="81"/>
      <c r="F20" s="91" t="e">
        <f>VLOOKUP(A20,Table1[],MATCH($H$3,DB!$1:$1,0)+1,FALSE)</f>
        <v>#N/A</v>
      </c>
      <c r="G20" s="20"/>
      <c r="H20" s="41" t="s">
        <v>73</v>
      </c>
      <c r="I20" s="91" t="e">
        <f>VLOOKUP(A20,Table1[],MATCH($H$3,DB!$1:$1,0)+2,FALSE)</f>
        <v>#N/A</v>
      </c>
    </row>
    <row r="21" spans="1:9" ht="66" customHeight="1">
      <c r="A21" s="80" t="e">
        <f>VLOOKUP(A20,Table1[],MATCH($H$3,DB!$1:$1,0)+3,FALSE)</f>
        <v>#N/A</v>
      </c>
      <c r="B21" s="80"/>
      <c r="C21" s="80"/>
      <c r="D21" s="80"/>
      <c r="E21" s="80"/>
      <c r="F21" s="80"/>
      <c r="G21" s="80"/>
      <c r="H21" s="80"/>
      <c r="I21" s="80"/>
    </row>
    <row r="22" spans="1:9">
      <c r="A22" s="84"/>
      <c r="B22" s="85"/>
      <c r="C22" s="85"/>
      <c r="D22" s="85"/>
      <c r="E22" s="85"/>
      <c r="F22" s="85"/>
      <c r="G22" s="85"/>
      <c r="H22" s="85"/>
      <c r="I22" s="86"/>
    </row>
    <row r="23" spans="1:9" ht="20.25">
      <c r="A23" s="18" t="str">
        <f>IFERROR(IF(INDEX(Table1[Date of Entry],MATCH(A20+1,Table1[Date of Entry],1))=A20,"",INDEX(Table1[Date of Entry],MATCH(A20+1,Table1[Date of Entry],1))),"")</f>
        <v/>
      </c>
      <c r="B23" s="82"/>
      <c r="C23" s="83"/>
      <c r="D23" s="81" t="s">
        <v>74</v>
      </c>
      <c r="E23" s="81"/>
      <c r="F23" s="91" t="e">
        <f>VLOOKUP(A23,Table1[],MATCH($H$3,DB!$1:$1,0)+1,FALSE)</f>
        <v>#N/A</v>
      </c>
      <c r="G23" s="20"/>
      <c r="H23" s="41" t="s">
        <v>73</v>
      </c>
      <c r="I23" s="91" t="e">
        <f>VLOOKUP(A23,Table1[],MATCH($H$3,DB!$1:$1,0)+2,FALSE)</f>
        <v>#N/A</v>
      </c>
    </row>
    <row r="24" spans="1:9" ht="66" customHeight="1">
      <c r="A24" s="80" t="e">
        <f>VLOOKUP(A23,Table1[],MATCH($H$3,DB!$1:$1,0)+3,FALSE)</f>
        <v>#N/A</v>
      </c>
      <c r="B24" s="80"/>
      <c r="C24" s="80"/>
      <c r="D24" s="80"/>
      <c r="E24" s="80"/>
      <c r="F24" s="80"/>
      <c r="G24" s="80"/>
      <c r="H24" s="80"/>
      <c r="I24" s="80"/>
    </row>
    <row r="25" spans="1:9">
      <c r="A25" s="84"/>
      <c r="B25" s="85"/>
      <c r="C25" s="85"/>
      <c r="D25" s="85"/>
      <c r="E25" s="85"/>
      <c r="F25" s="85"/>
      <c r="G25" s="85"/>
      <c r="H25" s="85"/>
      <c r="I25" s="86"/>
    </row>
    <row r="26" spans="1:9" ht="20.25">
      <c r="A26" s="18" t="str">
        <f>IFERROR(IF(INDEX(Table1[Date of Entry],MATCH(A23+1,Table1[Date of Entry],1))=A23,"",INDEX(Table1[Date of Entry],MATCH(A23+1,Table1[Date of Entry],1))),"")</f>
        <v/>
      </c>
      <c r="B26" s="82"/>
      <c r="C26" s="83"/>
      <c r="D26" s="81" t="s">
        <v>74</v>
      </c>
      <c r="E26" s="81"/>
      <c r="F26" s="91" t="e">
        <f>VLOOKUP(A26,Table1[],MATCH($H$3,DB!$1:$1,0)+1,FALSE)</f>
        <v>#N/A</v>
      </c>
      <c r="G26" s="20"/>
      <c r="H26" s="41" t="s">
        <v>73</v>
      </c>
      <c r="I26" s="91" t="e">
        <f>VLOOKUP(A26,Table1[],MATCH($H$3,DB!$1:$1,0)+2,FALSE)</f>
        <v>#N/A</v>
      </c>
    </row>
    <row r="27" spans="1:9" ht="66" customHeight="1">
      <c r="A27" s="80" t="e">
        <f>VLOOKUP(A26,Table1[],MATCH($H$3,DB!$1:$1,0)+3,FALSE)</f>
        <v>#N/A</v>
      </c>
      <c r="B27" s="80"/>
      <c r="C27" s="80"/>
      <c r="D27" s="80"/>
      <c r="E27" s="80"/>
      <c r="F27" s="80"/>
      <c r="G27" s="80"/>
      <c r="H27" s="80"/>
      <c r="I27" s="80"/>
    </row>
    <row r="28" spans="1:9">
      <c r="A28" s="84"/>
      <c r="B28" s="85"/>
      <c r="C28" s="85"/>
      <c r="D28" s="85"/>
      <c r="E28" s="85"/>
      <c r="F28" s="85"/>
      <c r="G28" s="85"/>
      <c r="H28" s="85"/>
      <c r="I28" s="86"/>
    </row>
    <row r="29" spans="1:9" ht="20.25">
      <c r="A29" s="18" t="str">
        <f>IFERROR(IF(INDEX(Table1[Date of Entry],MATCH(A26+1,Table1[Date of Entry],1))=A26,"",INDEX(Table1[Date of Entry],MATCH(A26+1,Table1[Date of Entry],1))),"")</f>
        <v/>
      </c>
      <c r="B29" s="82"/>
      <c r="C29" s="83"/>
      <c r="D29" s="81" t="s">
        <v>74</v>
      </c>
      <c r="E29" s="81"/>
      <c r="F29" s="91" t="e">
        <f>VLOOKUP(A29,Table1[],MATCH($H$3,DB!$1:$1,0)+1,FALSE)</f>
        <v>#N/A</v>
      </c>
      <c r="G29" s="20"/>
      <c r="H29" s="41" t="s">
        <v>73</v>
      </c>
      <c r="I29" s="91" t="e">
        <f>VLOOKUP(A29,Table1[],MATCH($H$3,DB!$1:$1,0)+2,FALSE)</f>
        <v>#N/A</v>
      </c>
    </row>
    <row r="30" spans="1:9" ht="66" customHeight="1">
      <c r="A30" s="80" t="e">
        <f>VLOOKUP(A29,Table1[],MATCH($H$3,DB!$1:$1,0)+3,FALSE)</f>
        <v>#N/A</v>
      </c>
      <c r="B30" s="80"/>
      <c r="C30" s="80"/>
      <c r="D30" s="80"/>
      <c r="E30" s="80"/>
      <c r="F30" s="80"/>
      <c r="G30" s="80"/>
      <c r="H30" s="80"/>
      <c r="I30" s="80"/>
    </row>
    <row r="31" spans="1:9">
      <c r="A31" s="84"/>
      <c r="B31" s="85"/>
      <c r="C31" s="85"/>
      <c r="D31" s="85"/>
      <c r="E31" s="85"/>
      <c r="F31" s="85"/>
      <c r="G31" s="85"/>
      <c r="H31" s="85"/>
      <c r="I31" s="86"/>
    </row>
    <row r="32" spans="1:9" ht="20.25">
      <c r="A32" s="18" t="str">
        <f>IFERROR(IF(INDEX(Table1[Date of Entry],MATCH(A29+1,Table1[Date of Entry],1))=A29,"",INDEX(Table1[Date of Entry],MATCH(A29+1,Table1[Date of Entry],1))),"")</f>
        <v/>
      </c>
      <c r="B32" s="82"/>
      <c r="C32" s="83"/>
      <c r="D32" s="81" t="s">
        <v>74</v>
      </c>
      <c r="E32" s="81"/>
      <c r="F32" s="91" t="e">
        <f>VLOOKUP(A32,Table1[],MATCH($H$3,DB!$1:$1,0)+1,FALSE)</f>
        <v>#N/A</v>
      </c>
      <c r="G32" s="20"/>
      <c r="H32" s="41" t="s">
        <v>73</v>
      </c>
      <c r="I32" s="91" t="e">
        <f>VLOOKUP(A32,Table1[],MATCH($H$3,DB!$1:$1,0)+2,FALSE)</f>
        <v>#N/A</v>
      </c>
    </row>
    <row r="33" spans="1:9" ht="66" customHeight="1">
      <c r="A33" s="80" t="e">
        <f>VLOOKUP(A32,Table1[],MATCH($H$3,DB!$1:$1,0)+3,FALSE)</f>
        <v>#N/A</v>
      </c>
      <c r="B33" s="80"/>
      <c r="C33" s="80"/>
      <c r="D33" s="80"/>
      <c r="E33" s="80"/>
      <c r="F33" s="80"/>
      <c r="G33" s="80"/>
      <c r="H33" s="80"/>
      <c r="I33" s="80"/>
    </row>
    <row r="34" spans="1:9">
      <c r="A34" s="84"/>
      <c r="B34" s="85"/>
      <c r="C34" s="85"/>
      <c r="D34" s="85"/>
      <c r="E34" s="85"/>
      <c r="F34" s="85"/>
      <c r="G34" s="85"/>
      <c r="H34" s="85"/>
      <c r="I34" s="86"/>
    </row>
    <row r="35" spans="1:9" ht="20.25">
      <c r="A35" s="18" t="str">
        <f>IFERROR(IF(INDEX(Table1[Date of Entry],MATCH(A32+1,Table1[Date of Entry],1))=A32,"",INDEX(Table1[Date of Entry],MATCH(A32+1,Table1[Date of Entry],1))),"")</f>
        <v/>
      </c>
      <c r="B35" s="82"/>
      <c r="C35" s="83"/>
      <c r="D35" s="81" t="s">
        <v>74</v>
      </c>
      <c r="E35" s="81"/>
      <c r="F35" s="91" t="e">
        <f>VLOOKUP(A35,Table1[],MATCH($H$3,DB!$1:$1,0)+1,FALSE)</f>
        <v>#N/A</v>
      </c>
      <c r="G35" s="20"/>
      <c r="H35" s="41" t="s">
        <v>73</v>
      </c>
      <c r="I35" s="91" t="e">
        <f>VLOOKUP(A35,Table1[],MATCH($H$3,DB!$1:$1,0)+2,FALSE)</f>
        <v>#N/A</v>
      </c>
    </row>
    <row r="36" spans="1:9" ht="66" customHeight="1">
      <c r="A36" s="80" t="e">
        <f>VLOOKUP(A35,Table1[],MATCH($H$3,DB!$1:$1,0)+3,FALSE)</f>
        <v>#N/A</v>
      </c>
      <c r="B36" s="80"/>
      <c r="C36" s="80"/>
      <c r="D36" s="80"/>
      <c r="E36" s="80"/>
      <c r="F36" s="80"/>
      <c r="G36" s="80"/>
      <c r="H36" s="80"/>
      <c r="I36" s="80"/>
    </row>
    <row r="37" spans="1:9">
      <c r="A37" s="84"/>
      <c r="B37" s="85"/>
      <c r="C37" s="85"/>
      <c r="D37" s="85"/>
      <c r="E37" s="85"/>
      <c r="F37" s="85"/>
      <c r="G37" s="85"/>
      <c r="H37" s="85"/>
      <c r="I37" s="86"/>
    </row>
    <row r="38" spans="1:9" ht="20.25">
      <c r="A38" s="18" t="str">
        <f>IFERROR(IF(INDEX(Table1[Date of Entry],MATCH(A35+1,Table1[Date of Entry],1))=A35,"",INDEX(Table1[Date of Entry],MATCH(A35+1,Table1[Date of Entry],1))),"")</f>
        <v/>
      </c>
      <c r="B38" s="82"/>
      <c r="C38" s="83"/>
      <c r="D38" s="81" t="s">
        <v>74</v>
      </c>
      <c r="E38" s="81"/>
      <c r="F38" s="91" t="e">
        <f>VLOOKUP(A38,Table1[],MATCH($H$3,DB!$1:$1,0)+1,FALSE)</f>
        <v>#N/A</v>
      </c>
      <c r="G38" s="20"/>
      <c r="H38" s="41" t="s">
        <v>73</v>
      </c>
      <c r="I38" s="91" t="e">
        <f>VLOOKUP(A38,Table1[],MATCH($H$3,DB!$1:$1,0)+2,FALSE)</f>
        <v>#N/A</v>
      </c>
    </row>
    <row r="39" spans="1:9" ht="66" customHeight="1">
      <c r="A39" s="80" t="e">
        <f>VLOOKUP(A38,Table1[],MATCH($H$3,DB!$1:$1,0)+3,FALSE)</f>
        <v>#N/A</v>
      </c>
      <c r="B39" s="80"/>
      <c r="C39" s="80"/>
      <c r="D39" s="80"/>
      <c r="E39" s="80"/>
      <c r="F39" s="80"/>
      <c r="G39" s="80"/>
      <c r="H39" s="80"/>
      <c r="I39" s="80"/>
    </row>
    <row r="40" spans="1:9">
      <c r="A40" s="84"/>
      <c r="B40" s="85"/>
      <c r="C40" s="85"/>
      <c r="D40" s="85"/>
      <c r="E40" s="85"/>
      <c r="F40" s="85"/>
      <c r="G40" s="85"/>
      <c r="H40" s="85"/>
      <c r="I40" s="86"/>
    </row>
    <row r="41" spans="1:9" ht="20.25">
      <c r="A41" s="18" t="str">
        <f>IFERROR(IF(INDEX(Table1[Date of Entry],MATCH(A38+1,Table1[Date of Entry],1))=A38,"",INDEX(Table1[Date of Entry],MATCH(A38+1,Table1[Date of Entry],1))),"")</f>
        <v/>
      </c>
      <c r="B41" s="82"/>
      <c r="C41" s="83"/>
      <c r="D41" s="81" t="s">
        <v>74</v>
      </c>
      <c r="E41" s="81"/>
      <c r="F41" s="91" t="e">
        <f>VLOOKUP(A41,Table1[],MATCH($H$3,DB!$1:$1,0)+1,FALSE)</f>
        <v>#N/A</v>
      </c>
      <c r="G41" s="20"/>
      <c r="H41" s="41" t="s">
        <v>73</v>
      </c>
      <c r="I41" s="91" t="e">
        <f>VLOOKUP(A41,Table1[],MATCH($H$3,DB!$1:$1,0)+2,FALSE)</f>
        <v>#N/A</v>
      </c>
    </row>
    <row r="42" spans="1:9" ht="66" customHeight="1">
      <c r="A42" s="80" t="e">
        <f>VLOOKUP(A41,Table1[],MATCH($H$3,DB!$1:$1,0)+3,FALSE)</f>
        <v>#N/A</v>
      </c>
      <c r="B42" s="80"/>
      <c r="C42" s="80"/>
      <c r="D42" s="80"/>
      <c r="E42" s="80"/>
      <c r="F42" s="80"/>
      <c r="G42" s="80"/>
      <c r="H42" s="80"/>
      <c r="I42" s="80"/>
    </row>
    <row r="43" spans="1:9">
      <c r="A43" s="84"/>
      <c r="B43" s="85"/>
      <c r="C43" s="85"/>
      <c r="D43" s="85"/>
      <c r="E43" s="85"/>
      <c r="F43" s="85"/>
      <c r="G43" s="85"/>
      <c r="H43" s="85"/>
      <c r="I43" s="86"/>
    </row>
    <row r="44" spans="1:9" ht="20.25">
      <c r="A44" s="18" t="str">
        <f>IFERROR(IF(INDEX(Table1[Date of Entry],MATCH(A41+1,Table1[Date of Entry],1))=A41,"",INDEX(Table1[Date of Entry],MATCH(A41+1,Table1[Date of Entry],1))),"")</f>
        <v/>
      </c>
      <c r="B44" s="82"/>
      <c r="C44" s="83"/>
      <c r="D44" s="81" t="s">
        <v>74</v>
      </c>
      <c r="E44" s="81"/>
      <c r="F44" s="91" t="e">
        <f>VLOOKUP(A44,Table1[],MATCH($H$3,DB!$1:$1,0)+1,FALSE)</f>
        <v>#N/A</v>
      </c>
      <c r="G44" s="20"/>
      <c r="H44" s="41" t="s">
        <v>73</v>
      </c>
      <c r="I44" s="91" t="e">
        <f>VLOOKUP(A44,Table1[],MATCH($H$3,DB!$1:$1,0)+2,FALSE)</f>
        <v>#N/A</v>
      </c>
    </row>
    <row r="45" spans="1:9" ht="66" customHeight="1">
      <c r="A45" s="80" t="e">
        <f>VLOOKUP(A44,Table1[],MATCH($H$3,DB!$1:$1,0)+3,FALSE)</f>
        <v>#N/A</v>
      </c>
      <c r="B45" s="80"/>
      <c r="C45" s="80"/>
      <c r="D45" s="80"/>
      <c r="E45" s="80"/>
      <c r="F45" s="80"/>
      <c r="G45" s="80"/>
      <c r="H45" s="80"/>
      <c r="I45" s="80"/>
    </row>
    <row r="46" spans="1:9">
      <c r="A46" s="84"/>
      <c r="B46" s="85"/>
      <c r="C46" s="85"/>
      <c r="D46" s="85"/>
      <c r="E46" s="85"/>
      <c r="F46" s="85"/>
      <c r="G46" s="85"/>
      <c r="H46" s="85"/>
      <c r="I46" s="86"/>
    </row>
    <row r="47" spans="1:9" ht="20.25">
      <c r="A47" s="18" t="str">
        <f>IFERROR(IF(INDEX(Table1[Date of Entry],MATCH(A44+1,Table1[Date of Entry],1))=A44,"",INDEX(Table1[Date of Entry],MATCH(A44+1,Table1[Date of Entry],1))),"")</f>
        <v/>
      </c>
      <c r="B47" s="82"/>
      <c r="C47" s="83"/>
      <c r="D47" s="81" t="s">
        <v>74</v>
      </c>
      <c r="E47" s="81"/>
      <c r="F47" s="91" t="e">
        <f>VLOOKUP(A47,Table1[],MATCH($H$3,DB!$1:$1,0)+1,FALSE)</f>
        <v>#N/A</v>
      </c>
      <c r="G47" s="20"/>
      <c r="H47" s="41" t="s">
        <v>73</v>
      </c>
      <c r="I47" s="91" t="e">
        <f>VLOOKUP(A47,Table1[],MATCH($H$3,DB!$1:$1,0)+2,FALSE)</f>
        <v>#N/A</v>
      </c>
    </row>
    <row r="48" spans="1:9" ht="66" customHeight="1">
      <c r="A48" s="80" t="e">
        <f>VLOOKUP(A47,Table1[],MATCH($H$3,DB!$1:$1,0)+3,FALSE)</f>
        <v>#N/A</v>
      </c>
      <c r="B48" s="80"/>
      <c r="C48" s="80"/>
      <c r="D48" s="80"/>
      <c r="E48" s="80"/>
      <c r="F48" s="80"/>
      <c r="G48" s="80"/>
      <c r="H48" s="80"/>
      <c r="I48" s="80"/>
    </row>
    <row r="49" spans="1:9">
      <c r="A49" s="84"/>
      <c r="B49" s="85"/>
      <c r="C49" s="85"/>
      <c r="D49" s="85"/>
      <c r="E49" s="85"/>
      <c r="F49" s="85"/>
      <c r="G49" s="85"/>
      <c r="H49" s="85"/>
      <c r="I49" s="86"/>
    </row>
    <row r="50" spans="1:9" ht="20.25">
      <c r="A50" s="18" t="str">
        <f>IFERROR(IF(INDEX(Table1[Date of Entry],MATCH(A47+1,Table1[Date of Entry],1))=A47,"",INDEX(Table1[Date of Entry],MATCH(A47+1,Table1[Date of Entry],1))),"")</f>
        <v/>
      </c>
      <c r="B50" s="82"/>
      <c r="C50" s="83"/>
      <c r="D50" s="81" t="s">
        <v>74</v>
      </c>
      <c r="E50" s="81"/>
      <c r="F50" s="91" t="e">
        <f>VLOOKUP(A50,Table1[],MATCH($H$3,DB!$1:$1,0)+1,FALSE)</f>
        <v>#N/A</v>
      </c>
      <c r="G50" s="20"/>
      <c r="H50" s="41" t="s">
        <v>73</v>
      </c>
      <c r="I50" s="91" t="e">
        <f>VLOOKUP(A50,Table1[],MATCH($H$3,DB!$1:$1,0)+2,FALSE)</f>
        <v>#N/A</v>
      </c>
    </row>
    <row r="51" spans="1:9" ht="66" customHeight="1">
      <c r="A51" s="80" t="e">
        <f>VLOOKUP(A50,Table1[],MATCH($H$3,DB!$1:$1,0)+3,FALSE)</f>
        <v>#N/A</v>
      </c>
      <c r="B51" s="80"/>
      <c r="C51" s="80"/>
      <c r="D51" s="80"/>
      <c r="E51" s="80"/>
      <c r="F51" s="80"/>
      <c r="G51" s="80"/>
      <c r="H51" s="80"/>
      <c r="I51" s="80"/>
    </row>
    <row r="52" spans="1:9">
      <c r="A52" s="84"/>
      <c r="B52" s="85"/>
      <c r="C52" s="85"/>
      <c r="D52" s="85"/>
      <c r="E52" s="85"/>
      <c r="F52" s="85"/>
      <c r="G52" s="85"/>
      <c r="H52" s="85"/>
      <c r="I52" s="86"/>
    </row>
    <row r="53" spans="1:9" ht="20.25">
      <c r="A53" s="18" t="str">
        <f>IFERROR(INDEX(Table1[Date of Entry],MATCH(A50+1,Table1[Date of Entry],1)),"")</f>
        <v/>
      </c>
      <c r="B53" s="82"/>
      <c r="C53" s="83"/>
      <c r="D53" s="81" t="s">
        <v>74</v>
      </c>
      <c r="E53" s="81"/>
      <c r="F53" s="91" t="e">
        <f>VLOOKUP(A53,Table1[],MATCH($H$3,DB!$1:$1,0)+1,FALSE)</f>
        <v>#N/A</v>
      </c>
      <c r="G53" s="20"/>
      <c r="H53" s="41" t="s">
        <v>73</v>
      </c>
      <c r="I53" s="91" t="e">
        <f>VLOOKUP(A53,Table1[],MATCH($H$3,DB!$1:$1,0)+2,FALSE)</f>
        <v>#N/A</v>
      </c>
    </row>
    <row r="54" spans="1:9" ht="66" customHeight="1">
      <c r="A54" s="80" t="e">
        <f>VLOOKUP(A53,Table1[],MATCH($H$3,DB!$1:$1,0)+3,FALSE)</f>
        <v>#N/A</v>
      </c>
      <c r="B54" s="80"/>
      <c r="C54" s="80"/>
      <c r="D54" s="80"/>
      <c r="E54" s="80"/>
      <c r="F54" s="80"/>
      <c r="G54" s="80"/>
      <c r="H54" s="80"/>
      <c r="I54" s="80"/>
    </row>
    <row r="55" spans="1:9">
      <c r="A55" s="84"/>
      <c r="B55" s="85"/>
      <c r="C55" s="85"/>
      <c r="D55" s="85"/>
      <c r="E55" s="85"/>
      <c r="F55" s="85"/>
      <c r="G55" s="85"/>
      <c r="H55" s="85"/>
      <c r="I55" s="86"/>
    </row>
    <row r="56" spans="1:9" ht="20.25">
      <c r="A56" s="18" t="str">
        <f>IFERROR(INDEX(Table1[Date of Entry],MATCH(A53+1,Table1[Date of Entry],1)),"")</f>
        <v/>
      </c>
      <c r="B56" s="82"/>
      <c r="C56" s="83"/>
      <c r="D56" s="81" t="s">
        <v>74</v>
      </c>
      <c r="E56" s="81"/>
      <c r="F56" s="91" t="e">
        <f>VLOOKUP(A56,Table1[],MATCH($H$3,DB!$1:$1,0)+1,FALSE)</f>
        <v>#N/A</v>
      </c>
      <c r="G56" s="20"/>
      <c r="H56" s="41" t="s">
        <v>73</v>
      </c>
      <c r="I56" s="91" t="e">
        <f>VLOOKUP(A56,Table1[],MATCH($H$3,DB!$1:$1,0)+2,FALSE)</f>
        <v>#N/A</v>
      </c>
    </row>
    <row r="57" spans="1:9" ht="66" customHeight="1">
      <c r="A57" s="80" t="e">
        <f>VLOOKUP(A56,Table1[],MATCH($H$3,DB!$1:$1,0)+3,FALSE)</f>
        <v>#N/A</v>
      </c>
      <c r="B57" s="80"/>
      <c r="C57" s="80"/>
      <c r="D57" s="80"/>
      <c r="E57" s="80"/>
      <c r="F57" s="80"/>
      <c r="G57" s="80"/>
      <c r="H57" s="80"/>
      <c r="I57" s="80"/>
    </row>
    <row r="58" spans="1:9">
      <c r="A58" s="84"/>
      <c r="B58" s="85"/>
      <c r="C58" s="85"/>
      <c r="D58" s="85"/>
      <c r="E58" s="85"/>
      <c r="F58" s="85"/>
      <c r="G58" s="85"/>
      <c r="H58" s="85"/>
      <c r="I58" s="86"/>
    </row>
    <row r="59" spans="1:9" ht="20.25">
      <c r="A59" s="18" t="str">
        <f>IFERROR(INDEX(Table1[Date of Entry],MATCH(A56+1,Table1[Date of Entry],1)),"")</f>
        <v/>
      </c>
      <c r="B59" s="82"/>
      <c r="C59" s="83"/>
      <c r="D59" s="81" t="s">
        <v>74</v>
      </c>
      <c r="E59" s="81"/>
      <c r="F59" s="91" t="e">
        <f>VLOOKUP(A59,Table1[],MATCH($H$3,DB!$1:$1,0)+1,FALSE)</f>
        <v>#N/A</v>
      </c>
      <c r="G59" s="20"/>
      <c r="H59" s="41" t="s">
        <v>73</v>
      </c>
      <c r="I59" s="91" t="e">
        <f>VLOOKUP(A59,Table1[],MATCH($H$3,DB!$1:$1,0)+2,FALSE)</f>
        <v>#N/A</v>
      </c>
    </row>
    <row r="60" spans="1:9" ht="66" customHeight="1">
      <c r="A60" s="80" t="e">
        <f>VLOOKUP(A59,Table1[],MATCH($H$3,DB!$1:$1,0)+3,FALSE)</f>
        <v>#N/A</v>
      </c>
      <c r="B60" s="80"/>
      <c r="C60" s="80"/>
      <c r="D60" s="80"/>
      <c r="E60" s="80"/>
      <c r="F60" s="80"/>
      <c r="G60" s="80"/>
      <c r="H60" s="80"/>
      <c r="I60" s="80"/>
    </row>
    <row r="61" spans="1:9">
      <c r="A61" s="84"/>
      <c r="B61" s="85"/>
      <c r="C61" s="85"/>
      <c r="D61" s="85"/>
      <c r="E61" s="85"/>
      <c r="F61" s="85"/>
      <c r="G61" s="85"/>
      <c r="H61" s="85"/>
      <c r="I61" s="86"/>
    </row>
    <row r="62" spans="1:9" ht="20.25">
      <c r="A62" s="18" t="str">
        <f>IFERROR(INDEX(Table1[Date of Entry],MATCH(A59+1,Table1[Date of Entry],1)),"")</f>
        <v/>
      </c>
      <c r="B62" s="82"/>
      <c r="C62" s="83"/>
      <c r="D62" s="81" t="s">
        <v>74</v>
      </c>
      <c r="E62" s="81"/>
      <c r="F62" s="91" t="e">
        <f>VLOOKUP(A62,Table1[],MATCH($H$3,DB!$1:$1,0)+1,FALSE)</f>
        <v>#N/A</v>
      </c>
      <c r="G62" s="20"/>
      <c r="H62" s="41" t="s">
        <v>73</v>
      </c>
      <c r="I62" s="91" t="e">
        <f>VLOOKUP(A62,Table1[],MATCH($H$3,DB!$1:$1,0)+2,FALSE)</f>
        <v>#N/A</v>
      </c>
    </row>
    <row r="63" spans="1:9" ht="66" customHeight="1">
      <c r="A63" s="80" t="e">
        <f>VLOOKUP(A62,Table1[],MATCH($H$3,DB!$1:$1,0)+3,FALSE)</f>
        <v>#N/A</v>
      </c>
      <c r="B63" s="80"/>
      <c r="C63" s="80"/>
      <c r="D63" s="80"/>
      <c r="E63" s="80"/>
      <c r="F63" s="80"/>
      <c r="G63" s="80"/>
      <c r="H63" s="80"/>
      <c r="I63" s="80"/>
    </row>
    <row r="64" spans="1:9">
      <c r="A64" s="84"/>
      <c r="B64" s="85"/>
      <c r="C64" s="85"/>
      <c r="D64" s="85"/>
      <c r="E64" s="85"/>
      <c r="F64" s="85"/>
      <c r="G64" s="85"/>
      <c r="H64" s="85"/>
      <c r="I64" s="86"/>
    </row>
    <row r="65" spans="1:9" ht="20.25">
      <c r="A65" s="18" t="str">
        <f>IFERROR(INDEX(Table1[Date of Entry],MATCH(A62+1,Table1[Date of Entry],1)),"")</f>
        <v/>
      </c>
      <c r="B65" s="82"/>
      <c r="C65" s="83"/>
      <c r="D65" s="81" t="s">
        <v>74</v>
      </c>
      <c r="E65" s="81"/>
      <c r="F65" s="91" t="e">
        <f>VLOOKUP(A65,Table1[],MATCH($H$3,DB!$1:$1,0)+1,FALSE)</f>
        <v>#N/A</v>
      </c>
      <c r="G65" s="20"/>
      <c r="H65" s="41" t="s">
        <v>73</v>
      </c>
      <c r="I65" s="91" t="e">
        <f>VLOOKUP(A65,Table1[],MATCH($H$3,DB!$1:$1,0)+2,FALSE)</f>
        <v>#N/A</v>
      </c>
    </row>
    <row r="66" spans="1:9" ht="66" customHeight="1">
      <c r="A66" s="80" t="e">
        <f>VLOOKUP(A65,Table1[],MATCH($H$3,DB!$1:$1,0)+3,FALSE)</f>
        <v>#N/A</v>
      </c>
      <c r="B66" s="80"/>
      <c r="C66" s="80"/>
      <c r="D66" s="80"/>
      <c r="E66" s="80"/>
      <c r="F66" s="80"/>
      <c r="G66" s="80"/>
      <c r="H66" s="80"/>
      <c r="I66" s="80"/>
    </row>
    <row r="67" spans="1:9">
      <c r="A67" s="84"/>
      <c r="B67" s="85"/>
      <c r="C67" s="85"/>
      <c r="D67" s="85"/>
      <c r="E67" s="85"/>
      <c r="F67" s="85"/>
      <c r="G67" s="85"/>
      <c r="H67" s="85"/>
      <c r="I67" s="86"/>
    </row>
    <row r="68" spans="1:9" ht="20.25">
      <c r="A68" s="18" t="str">
        <f>IFERROR(INDEX(Table1[Date of Entry],MATCH(A65+1,Table1[Date of Entry],1)),"")</f>
        <v/>
      </c>
      <c r="B68" s="82"/>
      <c r="C68" s="83"/>
      <c r="D68" s="81" t="s">
        <v>74</v>
      </c>
      <c r="E68" s="81"/>
      <c r="F68" s="91" t="e">
        <f>VLOOKUP(A68,Table1[],MATCH($H$3,DB!$1:$1,0)+1,FALSE)</f>
        <v>#N/A</v>
      </c>
      <c r="G68" s="20"/>
      <c r="H68" s="41" t="s">
        <v>73</v>
      </c>
      <c r="I68" s="91" t="e">
        <f>VLOOKUP(A68,Table1[],MATCH($H$3,DB!$1:$1,0)+2,FALSE)</f>
        <v>#N/A</v>
      </c>
    </row>
    <row r="69" spans="1:9" ht="66" customHeight="1">
      <c r="A69" s="80" t="e">
        <f>VLOOKUP(A68,Table1[],MATCH($H$3,DB!$1:$1,0)+3,FALSE)</f>
        <v>#N/A</v>
      </c>
      <c r="B69" s="80"/>
      <c r="C69" s="80"/>
      <c r="D69" s="80"/>
      <c r="E69" s="80"/>
      <c r="F69" s="80"/>
      <c r="G69" s="80"/>
      <c r="H69" s="80"/>
      <c r="I69" s="80"/>
    </row>
    <row r="70" spans="1:9">
      <c r="A70" s="84"/>
      <c r="B70" s="85"/>
      <c r="C70" s="85"/>
      <c r="D70" s="85"/>
      <c r="E70" s="85"/>
      <c r="F70" s="85"/>
      <c r="G70" s="85"/>
      <c r="H70" s="85"/>
      <c r="I70" s="86"/>
    </row>
    <row r="71" spans="1:9" ht="20.25">
      <c r="A71" s="18" t="str">
        <f>IFERROR(INDEX(Table1[Date of Entry],MATCH(A68+1,Table1[Date of Entry],1)),"")</f>
        <v/>
      </c>
      <c r="B71" s="82"/>
      <c r="C71" s="83"/>
      <c r="D71" s="81" t="s">
        <v>74</v>
      </c>
      <c r="E71" s="81"/>
      <c r="F71" s="91" t="e">
        <f>VLOOKUP(A71,Table1[],MATCH($H$3,DB!$1:$1,0)+1,FALSE)</f>
        <v>#N/A</v>
      </c>
      <c r="G71" s="20"/>
      <c r="H71" s="41" t="s">
        <v>73</v>
      </c>
      <c r="I71" s="91" t="e">
        <f>VLOOKUP(A71,Table1[],MATCH($H$3,DB!$1:$1,0)+2,FALSE)</f>
        <v>#N/A</v>
      </c>
    </row>
    <row r="72" spans="1:9" ht="66" customHeight="1">
      <c r="A72" s="80" t="e">
        <f>VLOOKUP(A71,Table1[],MATCH($H$3,DB!$1:$1,0)+3,FALSE)</f>
        <v>#N/A</v>
      </c>
      <c r="B72" s="80"/>
      <c r="C72" s="80"/>
      <c r="D72" s="80"/>
      <c r="E72" s="80"/>
      <c r="F72" s="80"/>
      <c r="G72" s="80"/>
      <c r="H72" s="80"/>
      <c r="I72" s="80"/>
    </row>
    <row r="73" spans="1:9">
      <c r="A73" s="84"/>
      <c r="B73" s="85"/>
      <c r="C73" s="85"/>
      <c r="D73" s="85"/>
      <c r="E73" s="85"/>
      <c r="F73" s="85"/>
      <c r="G73" s="85"/>
      <c r="H73" s="85"/>
      <c r="I73" s="86"/>
    </row>
    <row r="74" spans="1:9" ht="20.25">
      <c r="A74" s="18" t="str">
        <f>IFERROR(INDEX(Table1[Date of Entry],MATCH(A71+1,Table1[Date of Entry],1)),"")</f>
        <v/>
      </c>
      <c r="B74" s="82"/>
      <c r="C74" s="83"/>
      <c r="D74" s="81" t="s">
        <v>74</v>
      </c>
      <c r="E74" s="81"/>
      <c r="F74" s="91" t="e">
        <f>VLOOKUP(A74,Table1[],MATCH($H$3,DB!$1:$1,0)+1,FALSE)</f>
        <v>#N/A</v>
      </c>
      <c r="G74" s="20"/>
      <c r="H74" s="41" t="s">
        <v>73</v>
      </c>
      <c r="I74" s="91" t="e">
        <f>VLOOKUP(A74,Table1[],MATCH($H$3,DB!$1:$1,0)+2,FALSE)</f>
        <v>#N/A</v>
      </c>
    </row>
    <row r="75" spans="1:9" ht="66" customHeight="1">
      <c r="A75" s="80" t="e">
        <f>VLOOKUP(A74,Table1[],MATCH($H$3,DB!$1:$1,0)+3,FALSE)</f>
        <v>#N/A</v>
      </c>
      <c r="B75" s="80"/>
      <c r="C75" s="80"/>
      <c r="D75" s="80"/>
      <c r="E75" s="80"/>
      <c r="F75" s="80"/>
      <c r="G75" s="80"/>
      <c r="H75" s="80"/>
      <c r="I75" s="80"/>
    </row>
    <row r="76" spans="1:9">
      <c r="A76" s="84"/>
      <c r="B76" s="85"/>
      <c r="C76" s="85"/>
      <c r="D76" s="85"/>
      <c r="E76" s="85"/>
      <c r="F76" s="85"/>
      <c r="G76" s="85"/>
      <c r="H76" s="85"/>
      <c r="I76" s="86"/>
    </row>
    <row r="77" spans="1:9" ht="20.25">
      <c r="A77" s="18" t="str">
        <f>IFERROR(INDEX(Table1[Date of Entry],MATCH(A74+1,Table1[Date of Entry],1)),"")</f>
        <v/>
      </c>
      <c r="B77" s="82"/>
      <c r="C77" s="83"/>
      <c r="D77" s="81" t="s">
        <v>74</v>
      </c>
      <c r="E77" s="81"/>
      <c r="F77" s="91" t="e">
        <f>VLOOKUP(A77,Table1[],MATCH($H$3,DB!$1:$1,0)+1,FALSE)</f>
        <v>#N/A</v>
      </c>
      <c r="G77" s="20"/>
      <c r="H77" s="41" t="s">
        <v>73</v>
      </c>
      <c r="I77" s="91" t="e">
        <f>VLOOKUP(A77,Table1[],MATCH($H$3,DB!$1:$1,0)+2,FALSE)</f>
        <v>#N/A</v>
      </c>
    </row>
    <row r="78" spans="1:9" ht="66" customHeight="1">
      <c r="A78" s="80" t="e">
        <f>VLOOKUP(A77,Table1[],MATCH($H$3,DB!$1:$1,0)+3,FALSE)</f>
        <v>#N/A</v>
      </c>
      <c r="B78" s="80"/>
      <c r="C78" s="80"/>
      <c r="D78" s="80"/>
      <c r="E78" s="80"/>
      <c r="F78" s="80"/>
      <c r="G78" s="80"/>
      <c r="H78" s="80"/>
      <c r="I78" s="80"/>
    </row>
    <row r="79" spans="1:9">
      <c r="A79" s="84"/>
      <c r="B79" s="85"/>
      <c r="C79" s="85"/>
      <c r="D79" s="85"/>
      <c r="E79" s="85"/>
      <c r="F79" s="85"/>
      <c r="G79" s="85"/>
      <c r="H79" s="85"/>
      <c r="I79" s="86"/>
    </row>
    <row r="80" spans="1:9" ht="20.25">
      <c r="A80" s="18" t="str">
        <f>IFERROR(INDEX(Table1[Date of Entry],MATCH(A77+1,Table1[Date of Entry],1)),"")</f>
        <v/>
      </c>
      <c r="B80" s="82"/>
      <c r="C80" s="83"/>
      <c r="D80" s="81" t="s">
        <v>74</v>
      </c>
      <c r="E80" s="81"/>
      <c r="F80" s="91" t="e">
        <f>VLOOKUP(A80,Table1[],MATCH($H$3,DB!$1:$1,0)+1,FALSE)</f>
        <v>#N/A</v>
      </c>
      <c r="G80" s="20"/>
      <c r="H80" s="41" t="s">
        <v>73</v>
      </c>
      <c r="I80" s="91" t="e">
        <f>VLOOKUP(A80,Table1[],MATCH($H$3,DB!$1:$1,0)+2,FALSE)</f>
        <v>#N/A</v>
      </c>
    </row>
    <row r="81" spans="1:9" ht="66" customHeight="1">
      <c r="A81" s="80" t="e">
        <f>VLOOKUP(A80,Table1[],MATCH($H$3,DB!$1:$1,0)+3,FALSE)</f>
        <v>#N/A</v>
      </c>
      <c r="B81" s="80"/>
      <c r="C81" s="80"/>
      <c r="D81" s="80"/>
      <c r="E81" s="80"/>
      <c r="F81" s="80"/>
      <c r="G81" s="80"/>
      <c r="H81" s="80"/>
      <c r="I81" s="80"/>
    </row>
    <row r="82" spans="1:9">
      <c r="A82" s="84"/>
      <c r="B82" s="85"/>
      <c r="C82" s="85"/>
      <c r="D82" s="85"/>
      <c r="E82" s="85"/>
      <c r="F82" s="85"/>
      <c r="G82" s="85"/>
      <c r="H82" s="85"/>
      <c r="I82" s="86"/>
    </row>
    <row r="83" spans="1:9" ht="20.25">
      <c r="A83" s="18" t="str">
        <f>IFERROR(INDEX(Table1[Date of Entry],MATCH(A80+1,Table1[Date of Entry],1)),"")</f>
        <v/>
      </c>
      <c r="B83" s="82"/>
      <c r="C83" s="83"/>
      <c r="D83" s="81" t="s">
        <v>74</v>
      </c>
      <c r="E83" s="81"/>
      <c r="F83" s="91" t="e">
        <f>VLOOKUP(A83,Table1[],MATCH($H$3,DB!$1:$1,0)+1,FALSE)</f>
        <v>#N/A</v>
      </c>
      <c r="G83" s="20"/>
      <c r="H83" s="41" t="s">
        <v>73</v>
      </c>
      <c r="I83" s="91" t="e">
        <f>VLOOKUP(A83,Table1[],MATCH($H$3,DB!$1:$1,0)+2,FALSE)</f>
        <v>#N/A</v>
      </c>
    </row>
    <row r="84" spans="1:9" ht="66" customHeight="1">
      <c r="A84" s="80" t="e">
        <f>VLOOKUP(A83,Table1[],MATCH($H$3,DB!$1:$1,0)+3,FALSE)</f>
        <v>#N/A</v>
      </c>
      <c r="B84" s="80"/>
      <c r="C84" s="80"/>
      <c r="D84" s="80"/>
      <c r="E84" s="80"/>
      <c r="F84" s="80"/>
      <c r="G84" s="80"/>
      <c r="H84" s="80"/>
      <c r="I84" s="80"/>
    </row>
    <row r="85" spans="1:9">
      <c r="A85" s="84"/>
      <c r="B85" s="85"/>
      <c r="C85" s="85"/>
      <c r="D85" s="85"/>
      <c r="E85" s="85"/>
      <c r="F85" s="85"/>
      <c r="G85" s="85"/>
      <c r="H85" s="85"/>
      <c r="I85" s="86"/>
    </row>
    <row r="86" spans="1:9" ht="20.25">
      <c r="A86" s="18" t="str">
        <f>IFERROR(INDEX(Table1[Date of Entry],MATCH(A83+1,Table1[Date of Entry],1)),"")</f>
        <v/>
      </c>
      <c r="B86" s="82"/>
      <c r="C86" s="83"/>
      <c r="D86" s="81" t="s">
        <v>74</v>
      </c>
      <c r="E86" s="81"/>
      <c r="F86" s="91" t="e">
        <f>VLOOKUP(A86,Table1[],MATCH($H$3,DB!$1:$1,0)+1,FALSE)</f>
        <v>#N/A</v>
      </c>
      <c r="G86" s="20"/>
      <c r="H86" s="41" t="s">
        <v>73</v>
      </c>
      <c r="I86" s="91" t="e">
        <f>VLOOKUP(A86,Table1[],MATCH($H$3,DB!$1:$1,0)+2,FALSE)</f>
        <v>#N/A</v>
      </c>
    </row>
    <row r="87" spans="1:9" ht="66" customHeight="1">
      <c r="A87" s="80" t="e">
        <f>VLOOKUP(A86,Table1[],MATCH($H$3,DB!$1:$1,0)+3,FALSE)</f>
        <v>#N/A</v>
      </c>
      <c r="B87" s="80"/>
      <c r="C87" s="80"/>
      <c r="D87" s="80"/>
      <c r="E87" s="80"/>
      <c r="F87" s="80"/>
      <c r="G87" s="80"/>
      <c r="H87" s="80"/>
      <c r="I87" s="80"/>
    </row>
    <row r="88" spans="1:9">
      <c r="A88" s="84"/>
      <c r="B88" s="85"/>
      <c r="C88" s="85"/>
      <c r="D88" s="85"/>
      <c r="E88" s="85"/>
      <c r="F88" s="85"/>
      <c r="G88" s="85"/>
      <c r="H88" s="85"/>
      <c r="I88" s="86"/>
    </row>
    <row r="89" spans="1:9" ht="20.25">
      <c r="A89" s="18" t="str">
        <f>IFERROR(INDEX(Table1[Date of Entry],MATCH(A86+1,Table1[Date of Entry],1)),"")</f>
        <v/>
      </c>
      <c r="B89" s="82"/>
      <c r="C89" s="83"/>
      <c r="D89" s="81" t="s">
        <v>74</v>
      </c>
      <c r="E89" s="81"/>
      <c r="F89" s="91" t="e">
        <f>VLOOKUP(A89,Table1[],MATCH($H$3,DB!$1:$1,0)+1,FALSE)</f>
        <v>#N/A</v>
      </c>
      <c r="G89" s="20"/>
      <c r="H89" s="41" t="s">
        <v>73</v>
      </c>
      <c r="I89" s="91" t="e">
        <f>VLOOKUP(A89,Table1[],MATCH($H$3,DB!$1:$1,0)+2,FALSE)</f>
        <v>#N/A</v>
      </c>
    </row>
    <row r="90" spans="1:9" ht="66" customHeight="1">
      <c r="A90" s="80" t="e">
        <f>VLOOKUP(A89,Table1[],MATCH($H$3,DB!$1:$1,0)+3,FALSE)</f>
        <v>#N/A</v>
      </c>
      <c r="B90" s="80"/>
      <c r="C90" s="80"/>
      <c r="D90" s="80"/>
      <c r="E90" s="80"/>
      <c r="F90" s="80"/>
      <c r="G90" s="80"/>
      <c r="H90" s="80"/>
      <c r="I90" s="80"/>
    </row>
    <row r="91" spans="1:9">
      <c r="A91" s="84"/>
      <c r="B91" s="85"/>
      <c r="C91" s="85"/>
      <c r="D91" s="85"/>
      <c r="E91" s="85"/>
      <c r="F91" s="85"/>
      <c r="G91" s="85"/>
      <c r="H91" s="85"/>
      <c r="I91" s="86"/>
    </row>
    <row r="92" spans="1:9" ht="20.25">
      <c r="A92" s="18" t="str">
        <f>IFERROR(INDEX(Table1[Date of Entry],MATCH(A89+1,Table1[Date of Entry],1)),"")</f>
        <v/>
      </c>
      <c r="B92" s="82"/>
      <c r="C92" s="83"/>
      <c r="D92" s="81" t="s">
        <v>74</v>
      </c>
      <c r="E92" s="81"/>
      <c r="F92" s="91" t="e">
        <f>VLOOKUP(A92,Table1[],MATCH($H$3,DB!$1:$1,0)+1,FALSE)</f>
        <v>#N/A</v>
      </c>
      <c r="G92" s="20"/>
      <c r="H92" s="41" t="s">
        <v>73</v>
      </c>
      <c r="I92" s="91" t="e">
        <f>VLOOKUP(A92,Table1[],MATCH($H$3,DB!$1:$1,0)+2,FALSE)</f>
        <v>#N/A</v>
      </c>
    </row>
    <row r="93" spans="1:9" ht="66" customHeight="1">
      <c r="A93" s="80" t="e">
        <f>VLOOKUP(A92,Table1[],MATCH($H$3,DB!$1:$1,0)+3,FALSE)</f>
        <v>#N/A</v>
      </c>
      <c r="B93" s="80"/>
      <c r="C93" s="80"/>
      <c r="D93" s="80"/>
      <c r="E93" s="80"/>
      <c r="F93" s="80"/>
      <c r="G93" s="80"/>
      <c r="H93" s="80"/>
      <c r="I93" s="80"/>
    </row>
    <row r="94" spans="1:9">
      <c r="A94" s="84"/>
      <c r="B94" s="85"/>
      <c r="C94" s="85"/>
      <c r="D94" s="85"/>
      <c r="E94" s="85"/>
      <c r="F94" s="85"/>
      <c r="G94" s="85"/>
      <c r="H94" s="85"/>
      <c r="I94" s="86"/>
    </row>
    <row r="95" spans="1:9" ht="20.25">
      <c r="A95" s="18" t="str">
        <f>IFERROR(INDEX(Table1[Date of Entry],MATCH(A92+1,Table1[Date of Entry],1)),"")</f>
        <v/>
      </c>
      <c r="B95" s="82"/>
      <c r="C95" s="83"/>
      <c r="D95" s="81" t="s">
        <v>74</v>
      </c>
      <c r="E95" s="81"/>
      <c r="F95" s="91" t="e">
        <f>VLOOKUP(A95,Table1[],MATCH($H$3,DB!$1:$1,0)+1,FALSE)</f>
        <v>#N/A</v>
      </c>
      <c r="G95" s="20"/>
      <c r="H95" s="41" t="s">
        <v>73</v>
      </c>
      <c r="I95" s="91" t="e">
        <f>VLOOKUP(A95,Table1[],MATCH($H$3,DB!$1:$1,0)+2,FALSE)</f>
        <v>#N/A</v>
      </c>
    </row>
    <row r="96" spans="1:9" ht="66" customHeight="1">
      <c r="A96" s="80" t="e">
        <f>VLOOKUP(A95,Table1[],MATCH($H$3,DB!$1:$1,0)+3,FALSE)</f>
        <v>#N/A</v>
      </c>
      <c r="B96" s="80"/>
      <c r="C96" s="80"/>
      <c r="D96" s="80"/>
      <c r="E96" s="80"/>
      <c r="F96" s="80"/>
      <c r="G96" s="80"/>
      <c r="H96" s="80"/>
      <c r="I96" s="80"/>
    </row>
  </sheetData>
  <sheetProtection sheet="1" objects="1" scenarios="1"/>
  <mergeCells count="128">
    <mergeCell ref="A93:I93"/>
    <mergeCell ref="A94:I94"/>
    <mergeCell ref="B95:C95"/>
    <mergeCell ref="D95:E95"/>
    <mergeCell ref="A96:I96"/>
    <mergeCell ref="B89:C89"/>
    <mergeCell ref="D89:E89"/>
    <mergeCell ref="A90:I90"/>
    <mergeCell ref="A91:I91"/>
    <mergeCell ref="B92:C92"/>
    <mergeCell ref="D92:E92"/>
    <mergeCell ref="A85:I85"/>
    <mergeCell ref="B86:C86"/>
    <mergeCell ref="D86:E86"/>
    <mergeCell ref="A87:I87"/>
    <mergeCell ref="A88:I88"/>
    <mergeCell ref="A81:I81"/>
    <mergeCell ref="A82:I82"/>
    <mergeCell ref="B83:C83"/>
    <mergeCell ref="D83:E83"/>
    <mergeCell ref="A84:I84"/>
    <mergeCell ref="B77:C77"/>
    <mergeCell ref="D77:E77"/>
    <mergeCell ref="A78:I78"/>
    <mergeCell ref="A79:I79"/>
    <mergeCell ref="B80:C80"/>
    <mergeCell ref="D80:E80"/>
    <mergeCell ref="A73:I73"/>
    <mergeCell ref="B74:C74"/>
    <mergeCell ref="D74:E74"/>
    <mergeCell ref="A75:I75"/>
    <mergeCell ref="A76:I76"/>
    <mergeCell ref="A69:I69"/>
    <mergeCell ref="A70:I70"/>
    <mergeCell ref="B71:C71"/>
    <mergeCell ref="D71:E71"/>
    <mergeCell ref="A72:I72"/>
    <mergeCell ref="B65:C65"/>
    <mergeCell ref="D65:E65"/>
    <mergeCell ref="A66:I66"/>
    <mergeCell ref="A67:I67"/>
    <mergeCell ref="B68:C68"/>
    <mergeCell ref="D68:E68"/>
    <mergeCell ref="A61:I61"/>
    <mergeCell ref="B62:C62"/>
    <mergeCell ref="D62:E62"/>
    <mergeCell ref="A63:I63"/>
    <mergeCell ref="A64:I64"/>
    <mergeCell ref="A57:I57"/>
    <mergeCell ref="A58:I58"/>
    <mergeCell ref="B59:C59"/>
    <mergeCell ref="D59:E59"/>
    <mergeCell ref="A60:I60"/>
    <mergeCell ref="B53:C53"/>
    <mergeCell ref="D53:E53"/>
    <mergeCell ref="A54:I54"/>
    <mergeCell ref="A55:I55"/>
    <mergeCell ref="B56:C56"/>
    <mergeCell ref="D56:E56"/>
    <mergeCell ref="A49:I49"/>
    <mergeCell ref="B50:C50"/>
    <mergeCell ref="D50:E50"/>
    <mergeCell ref="A51:I51"/>
    <mergeCell ref="A52:I52"/>
    <mergeCell ref="A45:I45"/>
    <mergeCell ref="A46:I46"/>
    <mergeCell ref="B47:C47"/>
    <mergeCell ref="D47:E47"/>
    <mergeCell ref="A48:I48"/>
    <mergeCell ref="B41:C41"/>
    <mergeCell ref="D41:E41"/>
    <mergeCell ref="A42:I42"/>
    <mergeCell ref="A43:I43"/>
    <mergeCell ref="B44:C44"/>
    <mergeCell ref="D44:E44"/>
    <mergeCell ref="A37:I37"/>
    <mergeCell ref="B38:C38"/>
    <mergeCell ref="D38:E38"/>
    <mergeCell ref="A39:I39"/>
    <mergeCell ref="A40:I40"/>
    <mergeCell ref="A33:I33"/>
    <mergeCell ref="A34:I34"/>
    <mergeCell ref="B35:C35"/>
    <mergeCell ref="D35:E35"/>
    <mergeCell ref="A36:I36"/>
    <mergeCell ref="B29:C29"/>
    <mergeCell ref="D29:E29"/>
    <mergeCell ref="A30:I30"/>
    <mergeCell ref="A31:I31"/>
    <mergeCell ref="B32:C32"/>
    <mergeCell ref="D32:E32"/>
    <mergeCell ref="A25:I25"/>
    <mergeCell ref="B26:C26"/>
    <mergeCell ref="D26:E26"/>
    <mergeCell ref="A27:I27"/>
    <mergeCell ref="A28:I28"/>
    <mergeCell ref="A21:I21"/>
    <mergeCell ref="A22:I22"/>
    <mergeCell ref="B23:C23"/>
    <mergeCell ref="D23:E23"/>
    <mergeCell ref="A24:I24"/>
    <mergeCell ref="A19:I19"/>
    <mergeCell ref="B20:C20"/>
    <mergeCell ref="D20:E20"/>
    <mergeCell ref="H2:I2"/>
    <mergeCell ref="H1:I1"/>
    <mergeCell ref="A15:I15"/>
    <mergeCell ref="A10:I10"/>
    <mergeCell ref="B11:C11"/>
    <mergeCell ref="D11:E11"/>
    <mergeCell ref="A13:I13"/>
    <mergeCell ref="A12:I12"/>
    <mergeCell ref="A18:I18"/>
    <mergeCell ref="H3:I3"/>
    <mergeCell ref="D5:E5"/>
    <mergeCell ref="D8:E8"/>
    <mergeCell ref="B5:C5"/>
    <mergeCell ref="A7:I7"/>
    <mergeCell ref="A6:I6"/>
    <mergeCell ref="A9:I9"/>
    <mergeCell ref="A1:F3"/>
    <mergeCell ref="B14:C14"/>
    <mergeCell ref="D14:E14"/>
    <mergeCell ref="A16:I16"/>
    <mergeCell ref="B17:C17"/>
    <mergeCell ref="D17:E17"/>
    <mergeCell ref="A4:I4"/>
    <mergeCell ref="B8:C8"/>
  </mergeCells>
  <conditionalFormatting sqref="F1:F1048576">
    <cfRule type="colorScale" priority="2">
      <colorScale>
        <cfvo type="num" val="1"/>
        <cfvo type="num" val="5"/>
        <cfvo type="num" val="10"/>
        <color rgb="FFF8696B"/>
        <color rgb="FFFFEB84"/>
        <color rgb="FF63BE7B"/>
      </colorScale>
    </cfRule>
  </conditionalFormatting>
  <conditionalFormatting sqref="I1:I1048576">
    <cfRule type="colorScale" priority="1">
      <colorScale>
        <cfvo type="num" val="1"/>
        <cfvo type="num" val="5"/>
        <cfvo type="num" val="10"/>
        <color rgb="FFF8696B"/>
        <color rgb="FFFFEB84"/>
        <color rgb="FF63BE7B"/>
      </colorScale>
    </cfRule>
  </conditionalFormatting>
  <dataValidations count="1">
    <dataValidation type="list" allowBlank="1" showInputMessage="1" showErrorMessage="1" sqref="H3:I3" xr:uid="{93D0EDD1-215F-484E-A66D-7F60C51B641D}">
      <formula1>Habits</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46" r:id="rId4" name="CommandButton2">
          <controlPr defaultSize="0" autoLine="0" r:id="rId5">
            <anchor moveWithCells="1">
              <from>
                <xdr:col>6</xdr:col>
                <xdr:colOff>9525</xdr:colOff>
                <xdr:row>0</xdr:row>
                <xdr:rowOff>95250</xdr:rowOff>
              </from>
              <to>
                <xdr:col>6</xdr:col>
                <xdr:colOff>571500</xdr:colOff>
                <xdr:row>2</xdr:row>
                <xdr:rowOff>85725</xdr:rowOff>
              </to>
            </anchor>
          </controlPr>
        </control>
      </mc:Choice>
      <mc:Fallback>
        <control shapeId="10246" r:id="rId4" name="CommandButton2"/>
      </mc:Fallback>
    </mc:AlternateContent>
    <mc:AlternateContent xmlns:mc="http://schemas.openxmlformats.org/markup-compatibility/2006">
      <mc:Choice Requires="x14">
        <control shapeId="10244" r:id="rId6" name="CommandButton1">
          <controlPr defaultSize="0" autoLine="0" autoPict="0" r:id="rId7">
            <anchor moveWithCells="1">
              <from>
                <xdr:col>6</xdr:col>
                <xdr:colOff>333375</xdr:colOff>
                <xdr:row>18</xdr:row>
                <xdr:rowOff>0</xdr:rowOff>
              </from>
              <to>
                <xdr:col>6</xdr:col>
                <xdr:colOff>866775</xdr:colOff>
                <xdr:row>18</xdr:row>
                <xdr:rowOff>0</xdr:rowOff>
              </to>
            </anchor>
          </controlPr>
        </control>
      </mc:Choice>
      <mc:Fallback>
        <control shapeId="10244" r:id="rId6" name="CommandButton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D026C-E0CF-49EB-8F20-F4F1976A18BE}">
  <sheetPr codeName="Sheet12">
    <tabColor theme="9"/>
  </sheetPr>
  <dimension ref="A1:R59"/>
  <sheetViews>
    <sheetView topLeftCell="A58" zoomScale="145" zoomScaleNormal="145" workbookViewId="0">
      <selection activeCell="A61" sqref="A61"/>
    </sheetView>
  </sheetViews>
  <sheetFormatPr defaultColWidth="0" defaultRowHeight="15" customHeight="1"/>
  <cols>
    <col min="1" max="9" width="9.140625" customWidth="1"/>
    <col min="10" max="18" width="0" hidden="1" customWidth="1"/>
    <col min="19" max="16384" width="9.140625" hidden="1"/>
  </cols>
  <sheetData>
    <row r="1" spans="1:9" ht="34.5">
      <c r="A1" s="44" t="s">
        <v>2</v>
      </c>
      <c r="B1" s="44"/>
      <c r="C1" s="44"/>
      <c r="D1" s="44"/>
      <c r="E1" s="44"/>
      <c r="F1" s="44"/>
      <c r="G1" s="44"/>
      <c r="H1" s="44"/>
      <c r="I1" s="44"/>
    </row>
    <row r="2" spans="1:9" ht="16.5">
      <c r="A2" s="69" t="s">
        <v>18</v>
      </c>
      <c r="B2" s="69"/>
      <c r="C2" s="69"/>
      <c r="D2" s="69"/>
      <c r="E2" s="69"/>
      <c r="F2" s="69"/>
      <c r="G2" s="9" t="s">
        <v>4</v>
      </c>
      <c r="H2" s="87">
        <v>1</v>
      </c>
      <c r="I2" s="88"/>
    </row>
    <row r="3" spans="1:9" ht="15" customHeight="1">
      <c r="A3" s="1"/>
      <c r="B3" s="1"/>
      <c r="C3" s="1"/>
      <c r="D3" s="1"/>
      <c r="E3" s="1"/>
      <c r="F3" s="1"/>
      <c r="G3" s="1"/>
      <c r="H3" s="1"/>
      <c r="I3" s="1"/>
    </row>
    <row r="4" spans="1:9" ht="49.5" customHeight="1">
      <c r="A4" s="70" t="s">
        <v>5</v>
      </c>
      <c r="B4" s="70"/>
      <c r="C4" s="70"/>
      <c r="D4" s="70"/>
      <c r="E4" s="70"/>
      <c r="F4" s="70"/>
      <c r="G4" s="70"/>
      <c r="H4" s="70"/>
      <c r="I4" s="70"/>
    </row>
    <row r="5" spans="1:9" ht="16.5">
      <c r="A5" s="5"/>
      <c r="B5" s="5"/>
      <c r="C5" s="5"/>
      <c r="D5" s="5"/>
      <c r="E5" s="5"/>
      <c r="F5" s="5"/>
      <c r="G5" s="5"/>
      <c r="H5" s="5"/>
      <c r="I5" s="5"/>
    </row>
    <row r="6" spans="1:9" ht="16.5">
      <c r="A6" s="69">
        <f>DB!B1</f>
        <v>0</v>
      </c>
      <c r="B6" s="69"/>
      <c r="C6" s="69"/>
      <c r="D6" s="69"/>
      <c r="E6" s="69"/>
      <c r="F6" s="69"/>
      <c r="G6" s="69"/>
      <c r="H6" s="71" t="s">
        <v>22</v>
      </c>
      <c r="I6" s="71"/>
    </row>
    <row r="7" spans="1:9" ht="16.5">
      <c r="A7" s="72" t="str">
        <f>_xlfn.CONCAT("Did you ",A6, " today?")</f>
        <v>Did you 0 today?</v>
      </c>
      <c r="B7" s="72"/>
      <c r="C7" s="72"/>
      <c r="D7" s="73"/>
      <c r="E7" s="4">
        <v>2</v>
      </c>
      <c r="F7" s="72" t="s">
        <v>6</v>
      </c>
      <c r="G7" s="72"/>
      <c r="H7" s="72"/>
      <c r="I7" s="4">
        <v>3</v>
      </c>
    </row>
    <row r="8" spans="1:9" ht="16.5">
      <c r="A8" s="74" t="s">
        <v>21</v>
      </c>
      <c r="B8" s="74"/>
      <c r="C8" s="74"/>
      <c r="D8" s="74"/>
      <c r="E8" s="5"/>
      <c r="F8" s="72" t="str">
        <f>IF(E7="Yes","How well did you do it?","")</f>
        <v/>
      </c>
      <c r="G8" s="72"/>
      <c r="H8" s="72"/>
      <c r="I8" s="4">
        <v>4</v>
      </c>
    </row>
    <row r="9" spans="1:9" ht="66" customHeight="1">
      <c r="A9" s="89">
        <v>5</v>
      </c>
      <c r="B9" s="89"/>
      <c r="C9" s="89"/>
      <c r="D9" s="89"/>
      <c r="E9" s="89"/>
      <c r="F9" s="89"/>
      <c r="G9" s="89"/>
      <c r="H9" s="89"/>
      <c r="I9" s="89"/>
    </row>
    <row r="10" spans="1:9" ht="16.5">
      <c r="A10" s="5"/>
      <c r="B10" s="5"/>
      <c r="C10" s="5"/>
      <c r="D10" s="5"/>
      <c r="E10" s="5"/>
      <c r="F10" s="5"/>
      <c r="G10" s="5"/>
      <c r="H10" s="5"/>
      <c r="I10" s="5"/>
    </row>
    <row r="11" spans="1:9" ht="16.5">
      <c r="A11" s="69">
        <f>DB!F1</f>
        <v>0</v>
      </c>
      <c r="B11" s="69"/>
      <c r="C11" s="69"/>
      <c r="D11" s="69"/>
      <c r="E11" s="69"/>
      <c r="F11" s="69"/>
      <c r="G11" s="69"/>
      <c r="H11" s="71" t="s">
        <v>22</v>
      </c>
      <c r="I11" s="71"/>
    </row>
    <row r="12" spans="1:9" ht="16.5">
      <c r="A12" s="72" t="str">
        <f>_xlfn.CONCAT("Did you ",A11, " today?")</f>
        <v>Did you 0 today?</v>
      </c>
      <c r="B12" s="72"/>
      <c r="C12" s="72"/>
      <c r="D12" s="73"/>
      <c r="E12" s="4">
        <v>6</v>
      </c>
      <c r="F12" s="72" t="s">
        <v>6</v>
      </c>
      <c r="G12" s="72"/>
      <c r="H12" s="72"/>
      <c r="I12" s="4">
        <v>7</v>
      </c>
    </row>
    <row r="13" spans="1:9" ht="16.5">
      <c r="A13" s="74" t="s">
        <v>21</v>
      </c>
      <c r="B13" s="74"/>
      <c r="C13" s="74"/>
      <c r="D13" s="74"/>
      <c r="E13" s="5"/>
      <c r="F13" s="72" t="str">
        <f>IF(E12="Yes","How well did you do it?","")</f>
        <v/>
      </c>
      <c r="G13" s="72"/>
      <c r="H13" s="72"/>
      <c r="I13" s="4">
        <v>8</v>
      </c>
    </row>
    <row r="14" spans="1:9" ht="66" customHeight="1">
      <c r="A14" s="89">
        <v>9</v>
      </c>
      <c r="B14" s="89"/>
      <c r="C14" s="89"/>
      <c r="D14" s="89"/>
      <c r="E14" s="89"/>
      <c r="F14" s="89"/>
      <c r="G14" s="89"/>
      <c r="H14" s="89"/>
      <c r="I14" s="89"/>
    </row>
    <row r="15" spans="1:9" ht="16.5">
      <c r="A15" s="5"/>
      <c r="B15" s="5"/>
      <c r="C15" s="5"/>
      <c r="D15" s="5"/>
      <c r="E15" s="5"/>
      <c r="F15" s="5"/>
      <c r="G15" s="5"/>
      <c r="H15" s="5"/>
      <c r="I15" s="5"/>
    </row>
    <row r="16" spans="1:9" ht="16.5">
      <c r="A16" s="69">
        <f>DB!J1</f>
        <v>0</v>
      </c>
      <c r="B16" s="69"/>
      <c r="C16" s="69"/>
      <c r="D16" s="69"/>
      <c r="E16" s="69"/>
      <c r="F16" s="69"/>
      <c r="G16" s="69"/>
      <c r="H16" s="71" t="s">
        <v>22</v>
      </c>
      <c r="I16" s="71"/>
    </row>
    <row r="17" spans="1:9" ht="16.5">
      <c r="A17" s="72" t="str">
        <f>_xlfn.CONCAT("Did you ",A16, " today?")</f>
        <v>Did you 0 today?</v>
      </c>
      <c r="B17" s="72"/>
      <c r="C17" s="72"/>
      <c r="D17" s="73"/>
      <c r="E17" s="4">
        <v>10</v>
      </c>
      <c r="F17" s="72" t="s">
        <v>6</v>
      </c>
      <c r="G17" s="72"/>
      <c r="H17" s="72"/>
      <c r="I17" s="4">
        <v>11</v>
      </c>
    </row>
    <row r="18" spans="1:9" ht="16.5">
      <c r="A18" s="74" t="s">
        <v>21</v>
      </c>
      <c r="B18" s="74"/>
      <c r="C18" s="74"/>
      <c r="D18" s="74"/>
      <c r="E18" s="5"/>
      <c r="F18" s="72" t="str">
        <f>IF(E17="Yes","How well did you do it?","")</f>
        <v/>
      </c>
      <c r="G18" s="72"/>
      <c r="H18" s="72"/>
      <c r="I18" s="4">
        <v>12</v>
      </c>
    </row>
    <row r="19" spans="1:9" ht="66" customHeight="1">
      <c r="A19" s="89">
        <v>13</v>
      </c>
      <c r="B19" s="89"/>
      <c r="C19" s="89"/>
      <c r="D19" s="89"/>
      <c r="E19" s="89"/>
      <c r="F19" s="89"/>
      <c r="G19" s="89"/>
      <c r="H19" s="89"/>
      <c r="I19" s="89"/>
    </row>
    <row r="20" spans="1:9" ht="16.5">
      <c r="A20" s="5"/>
      <c r="B20" s="5"/>
      <c r="C20" s="5"/>
      <c r="D20" s="5"/>
      <c r="E20" s="5"/>
      <c r="F20" s="5"/>
      <c r="G20" s="5"/>
      <c r="H20" s="5"/>
      <c r="I20" s="5"/>
    </row>
    <row r="21" spans="1:9" ht="16.5">
      <c r="A21" s="69">
        <f>DB!N1</f>
        <v>0</v>
      </c>
      <c r="B21" s="69"/>
      <c r="C21" s="69"/>
      <c r="D21" s="69"/>
      <c r="E21" s="69"/>
      <c r="F21" s="69"/>
      <c r="G21" s="69"/>
      <c r="H21" s="71" t="s">
        <v>22</v>
      </c>
      <c r="I21" s="71"/>
    </row>
    <row r="22" spans="1:9" ht="16.5">
      <c r="A22" s="72" t="str">
        <f>_xlfn.CONCAT("Did you ",A21, " today?")</f>
        <v>Did you 0 today?</v>
      </c>
      <c r="B22" s="72"/>
      <c r="C22" s="72"/>
      <c r="D22" s="73"/>
      <c r="E22" s="4">
        <v>14</v>
      </c>
      <c r="F22" s="72" t="s">
        <v>6</v>
      </c>
      <c r="G22" s="72"/>
      <c r="H22" s="72"/>
      <c r="I22" s="4">
        <v>15</v>
      </c>
    </row>
    <row r="23" spans="1:9" ht="16.5">
      <c r="A23" s="74" t="s">
        <v>21</v>
      </c>
      <c r="B23" s="74"/>
      <c r="C23" s="74"/>
      <c r="D23" s="74"/>
      <c r="E23" s="5"/>
      <c r="F23" s="72" t="str">
        <f>IF(E22="Yes","How well did you do it?","")</f>
        <v/>
      </c>
      <c r="G23" s="72"/>
      <c r="H23" s="72"/>
      <c r="I23" s="4">
        <v>16</v>
      </c>
    </row>
    <row r="24" spans="1:9" ht="66" customHeight="1">
      <c r="A24" s="89">
        <v>17</v>
      </c>
      <c r="B24" s="89"/>
      <c r="C24" s="89"/>
      <c r="D24" s="89"/>
      <c r="E24" s="89"/>
      <c r="F24" s="89"/>
      <c r="G24" s="89"/>
      <c r="H24" s="89"/>
      <c r="I24" s="89"/>
    </row>
    <row r="25" spans="1:9" ht="16.5">
      <c r="A25" s="5"/>
      <c r="B25" s="5"/>
      <c r="C25" s="5"/>
      <c r="D25" s="5"/>
      <c r="E25" s="5"/>
      <c r="F25" s="5"/>
      <c r="G25" s="5"/>
      <c r="H25" s="5"/>
      <c r="I25" s="5"/>
    </row>
    <row r="26" spans="1:9" ht="16.5">
      <c r="A26" s="69">
        <f>DB!R1</f>
        <v>0</v>
      </c>
      <c r="B26" s="69"/>
      <c r="C26" s="69"/>
      <c r="D26" s="69"/>
      <c r="E26" s="69"/>
      <c r="F26" s="69"/>
      <c r="G26" s="69"/>
      <c r="H26" s="71" t="s">
        <v>22</v>
      </c>
      <c r="I26" s="71"/>
    </row>
    <row r="27" spans="1:9" ht="16.5">
      <c r="A27" s="72" t="str">
        <f>_xlfn.CONCAT("Did you ",A26, " today?")</f>
        <v>Did you 0 today?</v>
      </c>
      <c r="B27" s="72"/>
      <c r="C27" s="72"/>
      <c r="D27" s="73"/>
      <c r="E27" s="4">
        <v>18</v>
      </c>
      <c r="F27" s="72" t="s">
        <v>6</v>
      </c>
      <c r="G27" s="72"/>
      <c r="H27" s="72"/>
      <c r="I27" s="4">
        <v>19</v>
      </c>
    </row>
    <row r="28" spans="1:9" ht="16.5">
      <c r="A28" s="74" t="s">
        <v>21</v>
      </c>
      <c r="B28" s="74"/>
      <c r="C28" s="74"/>
      <c r="D28" s="74"/>
      <c r="E28" s="5"/>
      <c r="F28" s="72" t="str">
        <f>IF(E27="Yes","How well did you do it?","")</f>
        <v/>
      </c>
      <c r="G28" s="72"/>
      <c r="H28" s="72"/>
      <c r="I28" s="4">
        <v>20</v>
      </c>
    </row>
    <row r="29" spans="1:9" ht="66" customHeight="1">
      <c r="A29" s="89">
        <v>21</v>
      </c>
      <c r="B29" s="89"/>
      <c r="C29" s="89"/>
      <c r="D29" s="89"/>
      <c r="E29" s="89"/>
      <c r="F29" s="89"/>
      <c r="G29" s="89"/>
      <c r="H29" s="89"/>
      <c r="I29" s="89"/>
    </row>
    <row r="30" spans="1:9" ht="16.5">
      <c r="A30" s="5"/>
      <c r="B30" s="5"/>
      <c r="C30" s="5"/>
      <c r="D30" s="5"/>
      <c r="E30" s="5"/>
      <c r="F30" s="5"/>
      <c r="G30" s="5"/>
      <c r="H30" s="5"/>
      <c r="I30" s="5"/>
    </row>
    <row r="31" spans="1:9" ht="16.5">
      <c r="A31" s="69">
        <f>DB!V1</f>
        <v>0</v>
      </c>
      <c r="B31" s="69"/>
      <c r="C31" s="69"/>
      <c r="D31" s="69"/>
      <c r="E31" s="69"/>
      <c r="F31" s="69"/>
      <c r="G31" s="69"/>
      <c r="H31" s="71" t="s">
        <v>22</v>
      </c>
      <c r="I31" s="71"/>
    </row>
    <row r="32" spans="1:9" ht="16.5">
      <c r="A32" s="72" t="str">
        <f>_xlfn.CONCAT("Did you ",A31, " today?")</f>
        <v>Did you 0 today?</v>
      </c>
      <c r="B32" s="72"/>
      <c r="C32" s="72"/>
      <c r="D32" s="73"/>
      <c r="E32" s="4">
        <v>22</v>
      </c>
      <c r="F32" s="72" t="s">
        <v>8</v>
      </c>
      <c r="G32" s="72"/>
      <c r="H32" s="72"/>
      <c r="I32" s="4">
        <v>23</v>
      </c>
    </row>
    <row r="33" spans="1:9" ht="16.5">
      <c r="A33" s="74" t="s">
        <v>21</v>
      </c>
      <c r="B33" s="74"/>
      <c r="C33" s="74"/>
      <c r="D33" s="74"/>
      <c r="E33" s="5"/>
      <c r="F33" s="72" t="str">
        <f>IF(E32="Yes","How well did you do it?","")</f>
        <v/>
      </c>
      <c r="G33" s="72"/>
      <c r="H33" s="72"/>
      <c r="I33" s="4">
        <v>24</v>
      </c>
    </row>
    <row r="34" spans="1:9" ht="66" customHeight="1">
      <c r="A34" s="89">
        <v>25</v>
      </c>
      <c r="B34" s="89"/>
      <c r="C34" s="89"/>
      <c r="D34" s="89"/>
      <c r="E34" s="89"/>
      <c r="F34" s="89"/>
      <c r="G34" s="89"/>
      <c r="H34" s="89"/>
      <c r="I34" s="89"/>
    </row>
    <row r="35" spans="1:9" ht="16.5">
      <c r="A35" s="5"/>
      <c r="B35" s="5"/>
      <c r="C35" s="5"/>
      <c r="D35" s="5"/>
      <c r="E35" s="5"/>
      <c r="F35" s="5"/>
      <c r="G35" s="5"/>
      <c r="H35" s="5"/>
      <c r="I35" s="5"/>
    </row>
    <row r="36" spans="1:9" ht="16.5">
      <c r="A36" s="69">
        <f>DB!Z1</f>
        <v>0</v>
      </c>
      <c r="B36" s="69"/>
      <c r="C36" s="69"/>
      <c r="D36" s="69"/>
      <c r="E36" s="69"/>
      <c r="F36" s="69"/>
      <c r="G36" s="69"/>
      <c r="H36" s="71" t="s">
        <v>22</v>
      </c>
      <c r="I36" s="71"/>
    </row>
    <row r="37" spans="1:9" ht="16.5">
      <c r="A37" s="72" t="str">
        <f>_xlfn.CONCAT("Did you ",A36, " today?")</f>
        <v>Did you 0 today?</v>
      </c>
      <c r="B37" s="72"/>
      <c r="C37" s="72"/>
      <c r="D37" s="73"/>
      <c r="E37" s="4">
        <v>26</v>
      </c>
      <c r="F37" s="72" t="s">
        <v>8</v>
      </c>
      <c r="G37" s="72"/>
      <c r="H37" s="72"/>
      <c r="I37" s="4">
        <v>27</v>
      </c>
    </row>
    <row r="38" spans="1:9" ht="16.5">
      <c r="A38" s="74" t="s">
        <v>21</v>
      </c>
      <c r="B38" s="74"/>
      <c r="C38" s="74"/>
      <c r="D38" s="74"/>
      <c r="E38" s="5"/>
      <c r="F38" s="72" t="str">
        <f>IF(E37="Yes","How well did you do it?","")</f>
        <v/>
      </c>
      <c r="G38" s="72"/>
      <c r="H38" s="72"/>
      <c r="I38" s="4">
        <v>28</v>
      </c>
    </row>
    <row r="39" spans="1:9" ht="66" customHeight="1">
      <c r="A39" s="89">
        <v>29</v>
      </c>
      <c r="B39" s="89"/>
      <c r="C39" s="89"/>
      <c r="D39" s="89"/>
      <c r="E39" s="89"/>
      <c r="F39" s="89"/>
      <c r="G39" s="89"/>
      <c r="H39" s="89"/>
      <c r="I39" s="89"/>
    </row>
    <row r="40" spans="1:9" ht="16.5">
      <c r="A40" s="5"/>
      <c r="B40" s="5"/>
      <c r="C40" s="5"/>
      <c r="D40" s="5"/>
      <c r="E40" s="5"/>
      <c r="F40" s="5"/>
      <c r="G40" s="5"/>
      <c r="H40" s="5"/>
      <c r="I40" s="5"/>
    </row>
    <row r="41" spans="1:9" ht="16.5">
      <c r="A41" s="69">
        <f>DB!AD1</f>
        <v>0</v>
      </c>
      <c r="B41" s="69"/>
      <c r="C41" s="69"/>
      <c r="D41" s="69"/>
      <c r="E41" s="69"/>
      <c r="F41" s="69"/>
      <c r="G41" s="69"/>
      <c r="H41" s="71" t="s">
        <v>22</v>
      </c>
      <c r="I41" s="71"/>
    </row>
    <row r="42" spans="1:9" ht="16.5">
      <c r="A42" s="72" t="str">
        <f>_xlfn.CONCAT("Did you ",A41, " today?")</f>
        <v>Did you 0 today?</v>
      </c>
      <c r="B42" s="72"/>
      <c r="C42" s="72"/>
      <c r="D42" s="73"/>
      <c r="E42" s="4">
        <v>30</v>
      </c>
      <c r="F42" s="72" t="s">
        <v>8</v>
      </c>
      <c r="G42" s="72"/>
      <c r="H42" s="72"/>
      <c r="I42" s="4">
        <v>31</v>
      </c>
    </row>
    <row r="43" spans="1:9" ht="16.5">
      <c r="A43" s="74" t="s">
        <v>21</v>
      </c>
      <c r="B43" s="74"/>
      <c r="C43" s="74"/>
      <c r="D43" s="74"/>
      <c r="E43" s="5"/>
      <c r="F43" s="72" t="str">
        <f>IF(E42="Yes","How well did you do it?","")</f>
        <v/>
      </c>
      <c r="G43" s="72"/>
      <c r="H43" s="72"/>
      <c r="I43" s="4">
        <v>32</v>
      </c>
    </row>
    <row r="44" spans="1:9" ht="66" customHeight="1">
      <c r="A44" s="89">
        <v>33</v>
      </c>
      <c r="B44" s="89"/>
      <c r="C44" s="89"/>
      <c r="D44" s="89"/>
      <c r="E44" s="89"/>
      <c r="F44" s="89"/>
      <c r="G44" s="89"/>
      <c r="H44" s="89"/>
      <c r="I44" s="89"/>
    </row>
    <row r="45" spans="1:9" ht="16.5">
      <c r="A45" s="5"/>
      <c r="B45" s="5"/>
      <c r="C45" s="5"/>
      <c r="D45" s="5"/>
      <c r="E45" s="5"/>
      <c r="F45" s="5"/>
      <c r="G45" s="5"/>
      <c r="H45" s="5"/>
      <c r="I45" s="5"/>
    </row>
    <row r="46" spans="1:9" ht="16.5">
      <c r="A46" s="69">
        <f>DB!AH1</f>
        <v>0</v>
      </c>
      <c r="B46" s="69"/>
      <c r="C46" s="69"/>
      <c r="D46" s="69"/>
      <c r="E46" s="69"/>
      <c r="F46" s="69"/>
      <c r="G46" s="69"/>
      <c r="H46" s="71" t="s">
        <v>22</v>
      </c>
      <c r="I46" s="71"/>
    </row>
    <row r="47" spans="1:9" ht="16.5">
      <c r="A47" s="72" t="str">
        <f>_xlfn.CONCAT("Did you ",A46, " today?")</f>
        <v>Did you 0 today?</v>
      </c>
      <c r="B47" s="72"/>
      <c r="C47" s="72"/>
      <c r="D47" s="73"/>
      <c r="E47" s="4">
        <v>34</v>
      </c>
      <c r="F47" s="72" t="s">
        <v>8</v>
      </c>
      <c r="G47" s="72"/>
      <c r="H47" s="72"/>
      <c r="I47" s="4">
        <v>35</v>
      </c>
    </row>
    <row r="48" spans="1:9" ht="16.5">
      <c r="A48" s="74" t="s">
        <v>21</v>
      </c>
      <c r="B48" s="74"/>
      <c r="C48" s="74"/>
      <c r="D48" s="74"/>
      <c r="E48" s="5"/>
      <c r="F48" s="72" t="str">
        <f>IF(E47="Yes","How well did you do it?","")</f>
        <v/>
      </c>
      <c r="G48" s="72"/>
      <c r="H48" s="72"/>
      <c r="I48" s="4">
        <v>36</v>
      </c>
    </row>
    <row r="49" spans="1:9" ht="66" customHeight="1">
      <c r="A49" s="89">
        <v>37</v>
      </c>
      <c r="B49" s="89"/>
      <c r="C49" s="89"/>
      <c r="D49" s="89"/>
      <c r="E49" s="89"/>
      <c r="F49" s="89"/>
      <c r="G49" s="89"/>
      <c r="H49" s="89"/>
      <c r="I49" s="89"/>
    </row>
    <row r="50" spans="1:9" ht="16.5">
      <c r="A50" s="5"/>
      <c r="B50" s="5"/>
      <c r="C50" s="5"/>
      <c r="D50" s="5"/>
      <c r="E50" s="5"/>
      <c r="F50" s="5"/>
      <c r="G50" s="5"/>
      <c r="H50" s="5"/>
      <c r="I50" s="5"/>
    </row>
    <row r="51" spans="1:9" ht="16.5">
      <c r="A51" s="69">
        <f>DB!AL1</f>
        <v>0</v>
      </c>
      <c r="B51" s="69"/>
      <c r="C51" s="69"/>
      <c r="D51" s="69"/>
      <c r="E51" s="69"/>
      <c r="F51" s="69"/>
      <c r="G51" s="69"/>
      <c r="H51" s="71" t="s">
        <v>22</v>
      </c>
      <c r="I51" s="71"/>
    </row>
    <row r="52" spans="1:9" ht="16.5">
      <c r="A52" s="72" t="str">
        <f>_xlfn.CONCAT("Did you ",A51, " today?")</f>
        <v>Did you 0 today?</v>
      </c>
      <c r="B52" s="72"/>
      <c r="C52" s="72"/>
      <c r="D52" s="73"/>
      <c r="E52" s="4">
        <v>38</v>
      </c>
      <c r="F52" s="72" t="s">
        <v>8</v>
      </c>
      <c r="G52" s="72"/>
      <c r="H52" s="72"/>
      <c r="I52" s="4">
        <v>39</v>
      </c>
    </row>
    <row r="53" spans="1:9" ht="16.5">
      <c r="A53" s="74" t="s">
        <v>21</v>
      </c>
      <c r="B53" s="74"/>
      <c r="C53" s="74"/>
      <c r="D53" s="74"/>
      <c r="E53" s="5"/>
      <c r="F53" s="90" t="s">
        <v>7</v>
      </c>
      <c r="G53" s="90"/>
      <c r="H53" s="90"/>
      <c r="I53" s="4">
        <v>40</v>
      </c>
    </row>
    <row r="54" spans="1:9" ht="66" customHeight="1">
      <c r="A54" s="89">
        <v>41</v>
      </c>
      <c r="B54" s="89"/>
      <c r="C54" s="89"/>
      <c r="D54" s="89"/>
      <c r="E54" s="89"/>
      <c r="F54" s="89"/>
      <c r="G54" s="89"/>
      <c r="H54" s="89"/>
      <c r="I54" s="89"/>
    </row>
    <row r="55" spans="1:9" ht="16.5">
      <c r="A55" s="5"/>
      <c r="B55" s="5"/>
      <c r="C55" s="5"/>
      <c r="D55" s="5"/>
      <c r="E55" s="5"/>
      <c r="F55" s="5"/>
      <c r="G55" s="5"/>
      <c r="H55" s="5"/>
      <c r="I55" s="5">
        <v>46</v>
      </c>
    </row>
    <row r="56" spans="1:9" ht="16.5">
      <c r="A56" s="69" t="s">
        <v>23</v>
      </c>
      <c r="B56" s="69"/>
      <c r="C56" s="69"/>
      <c r="D56" s="69"/>
      <c r="E56" s="69"/>
      <c r="F56" s="69"/>
      <c r="G56" s="69"/>
      <c r="H56" s="71" t="s">
        <v>22</v>
      </c>
      <c r="I56" s="71"/>
    </row>
    <row r="57" spans="1:9" ht="16.5">
      <c r="A57" s="72" t="s">
        <v>24</v>
      </c>
      <c r="B57" s="72"/>
      <c r="C57" s="72"/>
      <c r="D57" s="73"/>
      <c r="E57" s="4">
        <v>42</v>
      </c>
      <c r="F57" s="76" t="s">
        <v>26</v>
      </c>
      <c r="G57" s="72"/>
      <c r="H57" s="73"/>
      <c r="I57" s="4">
        <v>43</v>
      </c>
    </row>
    <row r="58" spans="1:9" ht="16.5">
      <c r="A58" s="74" t="s">
        <v>25</v>
      </c>
      <c r="B58" s="74"/>
      <c r="C58" s="74"/>
      <c r="D58" s="74"/>
      <c r="E58" s="5"/>
      <c r="F58" s="72" t="s">
        <v>27</v>
      </c>
      <c r="G58" s="72"/>
      <c r="H58" s="72"/>
      <c r="I58" s="4">
        <v>44</v>
      </c>
    </row>
    <row r="59" spans="1:9" ht="132" customHeight="1">
      <c r="A59" s="89">
        <v>45</v>
      </c>
      <c r="B59" s="89"/>
      <c r="C59" s="89"/>
      <c r="D59" s="89"/>
      <c r="E59" s="89"/>
      <c r="F59" s="89"/>
      <c r="G59" s="89"/>
      <c r="H59" s="89"/>
      <c r="I59" s="89"/>
    </row>
  </sheetData>
  <mergeCells count="81">
    <mergeCell ref="A57:D57"/>
    <mergeCell ref="F57:H57"/>
    <mergeCell ref="A58:D58"/>
    <mergeCell ref="F58:H58"/>
    <mergeCell ref="A59:I59"/>
    <mergeCell ref="A56:G56"/>
    <mergeCell ref="H56:I56"/>
    <mergeCell ref="A47:D47"/>
    <mergeCell ref="F47:H47"/>
    <mergeCell ref="A48:D48"/>
    <mergeCell ref="F48:H48"/>
    <mergeCell ref="A49:I49"/>
    <mergeCell ref="A51:G51"/>
    <mergeCell ref="H51:I51"/>
    <mergeCell ref="A52:D52"/>
    <mergeCell ref="F52:H52"/>
    <mergeCell ref="A53:D53"/>
    <mergeCell ref="F53:H53"/>
    <mergeCell ref="A54:I54"/>
    <mergeCell ref="A46:G46"/>
    <mergeCell ref="H46:I46"/>
    <mergeCell ref="A37:D37"/>
    <mergeCell ref="F37:H37"/>
    <mergeCell ref="A38:D38"/>
    <mergeCell ref="F38:H38"/>
    <mergeCell ref="A39:I39"/>
    <mergeCell ref="A41:G41"/>
    <mergeCell ref="H41:I41"/>
    <mergeCell ref="A42:D42"/>
    <mergeCell ref="F42:H42"/>
    <mergeCell ref="A43:D43"/>
    <mergeCell ref="F43:H43"/>
    <mergeCell ref="A44:I44"/>
    <mergeCell ref="A36:G36"/>
    <mergeCell ref="H36:I36"/>
    <mergeCell ref="A27:D27"/>
    <mergeCell ref="F27:H27"/>
    <mergeCell ref="A28:D28"/>
    <mergeCell ref="F28:H28"/>
    <mergeCell ref="A29:I29"/>
    <mergeCell ref="A31:G31"/>
    <mergeCell ref="H31:I31"/>
    <mergeCell ref="A32:D32"/>
    <mergeCell ref="F32:H32"/>
    <mergeCell ref="A33:D33"/>
    <mergeCell ref="F33:H33"/>
    <mergeCell ref="A34:I34"/>
    <mergeCell ref="A26:G26"/>
    <mergeCell ref="H26:I26"/>
    <mergeCell ref="A17:D17"/>
    <mergeCell ref="F17:H17"/>
    <mergeCell ref="A18:D18"/>
    <mergeCell ref="F18:H18"/>
    <mergeCell ref="A19:I19"/>
    <mergeCell ref="A21:G21"/>
    <mergeCell ref="H21:I21"/>
    <mergeCell ref="A22:D22"/>
    <mergeCell ref="F22:H22"/>
    <mergeCell ref="A23:D23"/>
    <mergeCell ref="F23:H23"/>
    <mergeCell ref="A24:I24"/>
    <mergeCell ref="A16:G16"/>
    <mergeCell ref="H16:I16"/>
    <mergeCell ref="A7:D7"/>
    <mergeCell ref="F7:H7"/>
    <mergeCell ref="A8:D8"/>
    <mergeCell ref="F8:H8"/>
    <mergeCell ref="A9:I9"/>
    <mergeCell ref="A11:G11"/>
    <mergeCell ref="H11:I11"/>
    <mergeCell ref="A12:D12"/>
    <mergeCell ref="F12:H12"/>
    <mergeCell ref="A13:D13"/>
    <mergeCell ref="F13:H13"/>
    <mergeCell ref="A14:I14"/>
    <mergeCell ref="A1:I1"/>
    <mergeCell ref="A2:F2"/>
    <mergeCell ref="H2:I2"/>
    <mergeCell ref="A4:I4"/>
    <mergeCell ref="A6:G6"/>
    <mergeCell ref="H6:I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E6205A-2ADD-47BF-8A25-809BA617932A}">
  <sheetPr codeName="Sheet13">
    <tabColor theme="9"/>
  </sheetPr>
  <dimension ref="A1:G13"/>
  <sheetViews>
    <sheetView workbookViewId="0">
      <selection activeCell="F2" sqref="F2:G8"/>
    </sheetView>
  </sheetViews>
  <sheetFormatPr defaultRowHeight="15"/>
  <sheetData>
    <row r="1" spans="1:7">
      <c r="B1" s="22" t="s">
        <v>80</v>
      </c>
      <c r="C1" s="22" t="s">
        <v>81</v>
      </c>
      <c r="G1" s="22" t="s">
        <v>90</v>
      </c>
    </row>
    <row r="2" spans="1:7" ht="15.75">
      <c r="A2" s="25" t="str">
        <f>IF(B2="","",MAX(A$1:A1)+1)</f>
        <v/>
      </c>
      <c r="B2" s="19" t="str">
        <f>IF(Setup!C7=0,"",Setup!C7)</f>
        <v/>
      </c>
      <c r="C2" s="25" t="str">
        <f>IFERROR(INDEX($B$2:$B$11,MATCH(ROW()-ROW($D$1),$A$2:$A$11,0)),"")</f>
        <v/>
      </c>
      <c r="F2">
        <v>1</v>
      </c>
      <c r="G2" t="s">
        <v>91</v>
      </c>
    </row>
    <row r="3" spans="1:7" ht="15.75">
      <c r="A3" s="25" t="str">
        <f>IF(B3="","",MAX(A$1:A2)+1)</f>
        <v/>
      </c>
      <c r="B3" s="19" t="str">
        <f>IF(Setup!C8=0,"",Setup!C8)</f>
        <v/>
      </c>
      <c r="C3" s="25" t="str">
        <f t="shared" ref="C3:C11" si="0">IFERROR(INDEX($B$2:$B$11,MATCH(ROW()-ROW($D$1),$A$2:$A$11,0)),"")</f>
        <v/>
      </c>
      <c r="F3">
        <v>2</v>
      </c>
      <c r="G3" t="s">
        <v>92</v>
      </c>
    </row>
    <row r="4" spans="1:7" ht="15.75">
      <c r="A4" s="25" t="str">
        <f>IF(B4="","",MAX(A$1:A3)+1)</f>
        <v/>
      </c>
      <c r="B4" s="19" t="str">
        <f>IF(Setup!C9=0,"",Setup!C9)</f>
        <v/>
      </c>
      <c r="C4" s="25" t="str">
        <f t="shared" si="0"/>
        <v/>
      </c>
      <c r="F4">
        <v>3</v>
      </c>
      <c r="G4" t="s">
        <v>93</v>
      </c>
    </row>
    <row r="5" spans="1:7" ht="15.75">
      <c r="A5" s="25" t="str">
        <f>IF(B5="","",MAX(A$1:A4)+1)</f>
        <v/>
      </c>
      <c r="B5" s="19" t="str">
        <f>IF(Setup!C10=0,"",Setup!C10)</f>
        <v/>
      </c>
      <c r="C5" s="25" t="str">
        <f t="shared" si="0"/>
        <v/>
      </c>
      <c r="F5">
        <v>4</v>
      </c>
      <c r="G5" t="s">
        <v>94</v>
      </c>
    </row>
    <row r="6" spans="1:7" ht="15.75">
      <c r="A6" s="25" t="str">
        <f>IF(B6="","",MAX(A$1:A5)+1)</f>
        <v/>
      </c>
      <c r="B6" s="19" t="str">
        <f>IF(Setup!C11=0,"",Setup!C11)</f>
        <v/>
      </c>
      <c r="C6" s="25" t="str">
        <f t="shared" si="0"/>
        <v/>
      </c>
      <c r="F6">
        <v>5</v>
      </c>
      <c r="G6" t="s">
        <v>95</v>
      </c>
    </row>
    <row r="7" spans="1:7" ht="15.75">
      <c r="A7" s="25" t="str">
        <f>IF(B7="","",MAX(A$1:A6)+1)</f>
        <v/>
      </c>
      <c r="B7" s="19" t="str">
        <f>IF(Setup!C14=0,"",Setup!C14)</f>
        <v/>
      </c>
      <c r="C7" s="25" t="str">
        <f t="shared" si="0"/>
        <v/>
      </c>
      <c r="F7">
        <v>6</v>
      </c>
      <c r="G7" t="s">
        <v>96</v>
      </c>
    </row>
    <row r="8" spans="1:7" ht="15.75">
      <c r="A8" s="25" t="str">
        <f>IF(B8="","",MAX(A$1:A7)+1)</f>
        <v/>
      </c>
      <c r="B8" s="19" t="str">
        <f>IF(Setup!C15=0,"",Setup!C15)</f>
        <v/>
      </c>
      <c r="C8" s="25" t="str">
        <f t="shared" si="0"/>
        <v/>
      </c>
      <c r="F8">
        <v>7</v>
      </c>
      <c r="G8" t="s">
        <v>97</v>
      </c>
    </row>
    <row r="9" spans="1:7" ht="15.75">
      <c r="A9" s="25" t="str">
        <f>IF(B9="","",MAX(A$1:A8)+1)</f>
        <v/>
      </c>
      <c r="B9" s="19" t="str">
        <f>IF(Setup!C16=0,"",Setup!C16)</f>
        <v/>
      </c>
      <c r="C9" s="25" t="str">
        <f t="shared" si="0"/>
        <v/>
      </c>
    </row>
    <row r="10" spans="1:7" ht="15.75">
      <c r="A10" s="25" t="str">
        <f>IF(B10="","",MAX(A$1:A9)+1)</f>
        <v/>
      </c>
      <c r="B10" s="19" t="str">
        <f>IF(Setup!C17=0,"",Setup!C17)</f>
        <v/>
      </c>
      <c r="C10" s="25" t="str">
        <f t="shared" si="0"/>
        <v/>
      </c>
    </row>
    <row r="11" spans="1:7" ht="15.75">
      <c r="A11" s="24" t="str">
        <f>IF(B11="","",MAX(A$1:A10)+1)</f>
        <v/>
      </c>
      <c r="B11" t="str">
        <f>IF(Setup!C18=0,"",Setup!C18)</f>
        <v/>
      </c>
      <c r="C11" s="24" t="str">
        <f t="shared" si="0"/>
        <v/>
      </c>
    </row>
    <row r="12" spans="1:7">
      <c r="C12" s="23"/>
    </row>
    <row r="13" spans="1:7">
      <c r="C13" s="23"/>
    </row>
  </sheetData>
  <phoneticPr fontId="2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3EA04-E751-4DC7-9B6F-8C471E5E9693}">
  <sheetPr codeName="Sheet3">
    <tabColor theme="9"/>
  </sheetPr>
  <dimension ref="A1:AW3"/>
  <sheetViews>
    <sheetView workbookViewId="0">
      <selection activeCell="C20" sqref="C20"/>
    </sheetView>
  </sheetViews>
  <sheetFormatPr defaultRowHeight="15"/>
  <cols>
    <col min="1" max="1" width="10.42578125" customWidth="1"/>
    <col min="2" max="2" width="9.7109375" bestFit="1" customWidth="1"/>
    <col min="3" max="46" width="8.85546875" customWidth="1"/>
  </cols>
  <sheetData>
    <row r="1" spans="1:49" ht="45">
      <c r="A1" s="2" t="s">
        <v>16</v>
      </c>
      <c r="B1" s="2">
        <f>Setup!C7</f>
        <v>0</v>
      </c>
      <c r="C1" s="2" t="str">
        <f>_xlfn.CONCAT(B1," start")</f>
        <v>0 start</v>
      </c>
      <c r="D1" s="2" t="str">
        <f>_xlfn.CONCAT(B1," rating")</f>
        <v>0 rating</v>
      </c>
      <c r="E1" s="2" t="str">
        <f>_xlfn.CONCAT(B1," notes")</f>
        <v>0 notes</v>
      </c>
      <c r="F1" s="2">
        <f>Setup!$C$8</f>
        <v>0</v>
      </c>
      <c r="G1" s="2" t="str">
        <f>_xlfn.CONCAT(F1," start")</f>
        <v>0 start</v>
      </c>
      <c r="H1" s="2" t="str">
        <f>_xlfn.CONCAT(F1," rating")</f>
        <v>0 rating</v>
      </c>
      <c r="I1" s="2" t="str">
        <f>_xlfn.CONCAT(F1," notes")</f>
        <v>0 notes</v>
      </c>
      <c r="J1" s="2">
        <f>Setup!$C$9</f>
        <v>0</v>
      </c>
      <c r="K1" s="2" t="str">
        <f>_xlfn.CONCAT(J1," start")</f>
        <v>0 start</v>
      </c>
      <c r="L1" s="2" t="str">
        <f>_xlfn.CONCAT(J1," rating")</f>
        <v>0 rating</v>
      </c>
      <c r="M1" s="2" t="str">
        <f>_xlfn.CONCAT(J1," notes")</f>
        <v>0 notes</v>
      </c>
      <c r="N1" s="2">
        <f>Setup!$C$11</f>
        <v>0</v>
      </c>
      <c r="O1" s="2" t="str">
        <f>_xlfn.CONCAT(N1," start")</f>
        <v>0 start</v>
      </c>
      <c r="P1" s="2" t="str">
        <f>_xlfn.CONCAT(N1," rating")</f>
        <v>0 rating</v>
      </c>
      <c r="Q1" s="2" t="str">
        <f>_xlfn.CONCAT(N1," notes")</f>
        <v>0 notes</v>
      </c>
      <c r="R1" s="2">
        <f>Setup!$C$12</f>
        <v>0</v>
      </c>
      <c r="S1" s="2" t="str">
        <f>_xlfn.CONCAT(R1," start")</f>
        <v>0 start</v>
      </c>
      <c r="T1" s="2" t="str">
        <f>_xlfn.CONCAT(R1," rating")</f>
        <v>0 rating</v>
      </c>
      <c r="U1" s="2" t="str">
        <f>_xlfn.CONCAT(R1," notes")</f>
        <v>0 notes</v>
      </c>
      <c r="V1" s="2">
        <f>Setup!$C$14</f>
        <v>0</v>
      </c>
      <c r="W1" s="2" t="str">
        <f>_xlfn.CONCAT(V1," start")</f>
        <v>0 start</v>
      </c>
      <c r="X1" s="2" t="str">
        <f>_xlfn.CONCAT(V1," rating")</f>
        <v>0 rating</v>
      </c>
      <c r="Y1" s="2" t="str">
        <f>_xlfn.CONCAT(V1," notes")</f>
        <v>0 notes</v>
      </c>
      <c r="Z1" s="2">
        <f>Setup!$C$15</f>
        <v>0</v>
      </c>
      <c r="AA1" s="2" t="str">
        <f>_xlfn.CONCAT(Z1," start")</f>
        <v>0 start</v>
      </c>
      <c r="AB1" s="2" t="str">
        <f>_xlfn.CONCAT(Z1," rating")</f>
        <v>0 rating</v>
      </c>
      <c r="AC1" s="2" t="str">
        <f>_xlfn.CONCAT(Z1," notes")</f>
        <v>0 notes</v>
      </c>
      <c r="AD1" s="2">
        <f>Setup!$C$16</f>
        <v>0</v>
      </c>
      <c r="AE1" s="2" t="str">
        <f>_xlfn.CONCAT(AD1," start")</f>
        <v>0 start</v>
      </c>
      <c r="AF1" s="2" t="str">
        <f>_xlfn.CONCAT(AD1," rating")</f>
        <v>0 rating</v>
      </c>
      <c r="AG1" s="2" t="str">
        <f>_xlfn.CONCAT(AD1," notes")</f>
        <v>0 notes</v>
      </c>
      <c r="AH1" s="2">
        <f>Setup!$C$17</f>
        <v>0</v>
      </c>
      <c r="AI1" s="2" t="str">
        <f>_xlfn.CONCAT(AH1," start")</f>
        <v>0 start</v>
      </c>
      <c r="AJ1" s="2" t="str">
        <f>_xlfn.CONCAT(AH1," rating")</f>
        <v>0 rating</v>
      </c>
      <c r="AK1" s="2" t="str">
        <f>_xlfn.CONCAT(AH1," notes")</f>
        <v>0 notes</v>
      </c>
      <c r="AL1" s="2">
        <f>Setup!$C$18</f>
        <v>0</v>
      </c>
      <c r="AM1" s="2" t="str">
        <f>_xlfn.CONCAT(AL1," start")</f>
        <v>0 start</v>
      </c>
      <c r="AN1" s="2" t="str">
        <f>_xlfn.CONCAT(AL1," rating")</f>
        <v>0 rating</v>
      </c>
      <c r="AO1" s="2" t="str">
        <f>_xlfn.CONCAT(AL1," notes")</f>
        <v>0 notes</v>
      </c>
      <c r="AP1" s="2" t="s">
        <v>23</v>
      </c>
      <c r="AQ1" s="2" t="s">
        <v>28</v>
      </c>
      <c r="AR1" s="2" t="s">
        <v>29</v>
      </c>
      <c r="AS1" s="2" t="str">
        <f>_xlfn.CONCAT(AP1," notes")</f>
        <v>Overall notes</v>
      </c>
      <c r="AT1" s="2" t="s">
        <v>17</v>
      </c>
      <c r="AU1" s="2" t="s">
        <v>101</v>
      </c>
      <c r="AV1" s="2" t="s">
        <v>99</v>
      </c>
      <c r="AW1" s="2" t="s">
        <v>100</v>
      </c>
    </row>
    <row r="2" spans="1:49" s="2" customFormat="1" ht="30.75" customHeight="1">
      <c r="A2" s="2" t="s">
        <v>16</v>
      </c>
      <c r="B2" s="2" t="s">
        <v>31</v>
      </c>
      <c r="C2" s="2" t="s">
        <v>41</v>
      </c>
      <c r="D2" s="2" t="s">
        <v>42</v>
      </c>
      <c r="E2" s="2" t="s">
        <v>43</v>
      </c>
      <c r="F2" s="2" t="s">
        <v>32</v>
      </c>
      <c r="G2" s="2" t="s">
        <v>44</v>
      </c>
      <c r="H2" s="2" t="s">
        <v>45</v>
      </c>
      <c r="I2" s="2" t="s">
        <v>46</v>
      </c>
      <c r="J2" s="2" t="s">
        <v>33</v>
      </c>
      <c r="K2" s="2" t="s">
        <v>47</v>
      </c>
      <c r="L2" s="2" t="s">
        <v>48</v>
      </c>
      <c r="M2" s="2" t="s">
        <v>49</v>
      </c>
      <c r="N2" s="2" t="s">
        <v>34</v>
      </c>
      <c r="O2" s="2" t="s">
        <v>50</v>
      </c>
      <c r="P2" s="2" t="s">
        <v>51</v>
      </c>
      <c r="Q2" s="2" t="s">
        <v>52</v>
      </c>
      <c r="R2" s="2" t="s">
        <v>35</v>
      </c>
      <c r="S2" s="2" t="s">
        <v>53</v>
      </c>
      <c r="T2" s="2" t="s">
        <v>54</v>
      </c>
      <c r="U2" s="2" t="s">
        <v>55</v>
      </c>
      <c r="V2" s="2" t="s">
        <v>36</v>
      </c>
      <c r="W2" s="2" t="s">
        <v>56</v>
      </c>
      <c r="X2" s="2" t="s">
        <v>57</v>
      </c>
      <c r="Y2" s="2" t="s">
        <v>58</v>
      </c>
      <c r="Z2" s="2" t="s">
        <v>37</v>
      </c>
      <c r="AA2" s="2" t="s">
        <v>59</v>
      </c>
      <c r="AB2" s="2" t="s">
        <v>60</v>
      </c>
      <c r="AC2" s="2" t="s">
        <v>61</v>
      </c>
      <c r="AD2" s="2" t="s">
        <v>38</v>
      </c>
      <c r="AE2" s="2" t="s">
        <v>62</v>
      </c>
      <c r="AF2" s="2" t="s">
        <v>63</v>
      </c>
      <c r="AG2" s="2" t="s">
        <v>64</v>
      </c>
      <c r="AH2" s="2" t="s">
        <v>39</v>
      </c>
      <c r="AI2" s="2" t="s">
        <v>65</v>
      </c>
      <c r="AJ2" s="2" t="s">
        <v>66</v>
      </c>
      <c r="AK2" s="2" t="s">
        <v>67</v>
      </c>
      <c r="AL2" s="2" t="s">
        <v>40</v>
      </c>
      <c r="AM2" s="2" t="s">
        <v>68</v>
      </c>
      <c r="AN2" s="2" t="s">
        <v>69</v>
      </c>
      <c r="AO2" s="2" t="s">
        <v>70</v>
      </c>
      <c r="AP2" s="2" t="s">
        <v>23</v>
      </c>
      <c r="AQ2" s="2" t="s">
        <v>28</v>
      </c>
      <c r="AR2" s="2" t="s">
        <v>29</v>
      </c>
      <c r="AS2" s="2" t="s">
        <v>71</v>
      </c>
      <c r="AT2" s="2" t="s">
        <v>17</v>
      </c>
      <c r="AU2" s="2" t="s">
        <v>98</v>
      </c>
      <c r="AV2" s="2" t="s">
        <v>99</v>
      </c>
      <c r="AW2" s="2" t="s">
        <v>100</v>
      </c>
    </row>
    <row r="3" spans="1:49">
      <c r="A3" s="11"/>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Setup</vt:lpstr>
      <vt:lpstr>Input</vt:lpstr>
      <vt:lpstr>Records</vt:lpstr>
      <vt:lpstr>Calendar</vt:lpstr>
      <vt:lpstr>Top Days</vt:lpstr>
      <vt:lpstr>Journals</vt:lpstr>
      <vt:lpstr>Tab</vt:lpstr>
      <vt:lpstr>Lookups</vt:lpstr>
      <vt:lpstr>DB</vt:lpstr>
      <vt:lpstr>Bad</vt:lpstr>
      <vt:lpstr>Good</vt:lpstr>
      <vt:lpstr>weekdays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 Hollabaugh</dc:creator>
  <cp:lastModifiedBy>Seb Hollabaugh</cp:lastModifiedBy>
  <dcterms:created xsi:type="dcterms:W3CDTF">2020-03-12T21:20:52Z</dcterms:created>
  <dcterms:modified xsi:type="dcterms:W3CDTF">2020-03-16T23:44:23Z</dcterms:modified>
</cp:coreProperties>
</file>